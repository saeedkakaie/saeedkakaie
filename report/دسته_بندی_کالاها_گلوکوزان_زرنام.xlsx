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۱- پنج دسته" sheetId="1" state="visible" r:id="rId3"/>
    <sheet name="۲- تفاوت گروه کالا" sheetId="2" state="visible" r:id="rId4"/>
    <sheet name="۳- دسته به گروه زرنام" sheetId="3" state="visible" r:id="rId5"/>
    <sheet name="۴- گروه‌های گلوکوزان" sheetId="4" state="visible" r:id="rId6"/>
    <sheet name="۵- واحدهای متفاوت" sheetId="5" state="visible" r:id="rId7"/>
    <sheet name="۶- اقدام هر دسته" sheetId="6" state="visible" r:id="rId8"/>
    <sheet name="داده کالاها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<sst xmlns="http://schemas.openxmlformats.org/spreadsheetml/2006/main" count="113681" uniqueCount="30886">
  <si>
    <t xml:space="preserve">پنج دستهٔ کالا بر اساس شرح و واحد سنجش</t>
  </si>
  <si>
    <r>
      <rPr>
        <sz val="9"/>
        <color rgb="FF6B7482"/>
        <rFont val="FreeSans"/>
        <family val="2"/>
      </rPr>
      <t xml:space="preserve">۱۲٬۹۸۰ کالای گلوکوزان در برابر </t>
    </r>
    <r>
      <rPr>
        <sz val="9"/>
        <color rgb="FF6B7482"/>
        <rFont val="Vazirmatn"/>
        <family val="0"/>
        <charset val="1"/>
      </rPr>
      <t xml:space="preserve">SAP </t>
    </r>
    <r>
      <rPr>
        <sz val="9"/>
        <color rgb="FF6B7482"/>
        <rFont val="FreeSans"/>
        <family val="2"/>
      </rPr>
      <t xml:space="preserve">زرنام </t>
    </r>
    <r>
      <rPr>
        <sz val="9"/>
        <color rgb="FF6B7482"/>
        <rFont val="Vazirmatn"/>
        <family val="0"/>
        <charset val="1"/>
      </rPr>
      <t xml:space="preserve">· </t>
    </r>
    <r>
      <rPr>
        <sz val="9"/>
        <color rgb="FF6B7482"/>
        <rFont val="FreeSans"/>
        <family val="2"/>
      </rPr>
      <t xml:space="preserve">همهٔ اعداد با فرمول از شیت </t>
    </r>
    <r>
      <rPr>
        <sz val="9"/>
        <color rgb="FF6B7482"/>
        <rFont val="Vazirmatn"/>
        <family val="0"/>
        <charset val="1"/>
      </rPr>
      <t xml:space="preserve">«</t>
    </r>
    <r>
      <rPr>
        <sz val="9"/>
        <color rgb="FF6B7482"/>
        <rFont val="FreeSans"/>
        <family val="2"/>
      </rPr>
      <t xml:space="preserve">داده کالاها</t>
    </r>
    <r>
      <rPr>
        <sz val="9"/>
        <color rgb="FF6B7482"/>
        <rFont val="Vazirmatn"/>
        <family val="0"/>
        <charset val="1"/>
      </rPr>
      <t xml:space="preserve">»</t>
    </r>
  </si>
  <si>
    <t xml:space="preserve">دسته</t>
  </si>
  <si>
    <t xml:space="preserve">معنی</t>
  </si>
  <si>
    <t xml:space="preserve">تعداد کالا</t>
  </si>
  <si>
    <t xml:space="preserve">درصد</t>
  </si>
  <si>
    <t xml:space="preserve">اقدام</t>
  </si>
  <si>
    <r>
      <rPr>
        <b val="true"/>
        <sz val="10"/>
        <color rgb="FF1F7A4D"/>
        <rFont val="FreeSans"/>
        <family val="2"/>
      </rPr>
      <t xml:space="preserve">۱</t>
    </r>
    <r>
      <rPr>
        <b val="true"/>
        <sz val="10"/>
        <color rgb="FF1F7A4D"/>
        <rFont val="Vazirmatn"/>
        <family val="0"/>
        <charset val="1"/>
      </rPr>
      <t xml:space="preserve">- </t>
    </r>
    <r>
      <rPr>
        <b val="true"/>
        <sz val="10"/>
        <color rgb="FF1F7A4D"/>
        <rFont val="FreeSans"/>
        <family val="2"/>
      </rPr>
      <t xml:space="preserve">دقیقاً یکی</t>
    </r>
  </si>
  <si>
    <t xml:space="preserve">شرح و واحد یکسان</t>
  </si>
  <si>
    <t xml:space="preserve">اکستند مستقیم</t>
  </si>
  <si>
    <r>
      <rPr>
        <b val="true"/>
        <sz val="10"/>
        <color rgb="FF3A67A6"/>
        <rFont val="FreeSans"/>
        <family val="2"/>
      </rPr>
      <t xml:space="preserve">۲</t>
    </r>
    <r>
      <rPr>
        <b val="true"/>
        <sz val="10"/>
        <color rgb="FF3A67A6"/>
        <rFont val="Vazirmatn"/>
        <family val="0"/>
        <charset val="1"/>
      </rPr>
      <t xml:space="preserve">- </t>
    </r>
    <r>
      <rPr>
        <b val="true"/>
        <sz val="10"/>
        <color rgb="FF3A67A6"/>
        <rFont val="FreeSans"/>
        <family val="2"/>
      </rPr>
      <t xml:space="preserve">شرح یکی، واحد متفاوت</t>
    </r>
  </si>
  <si>
    <t xml:space="preserve">همان کالا، واحد دیگر</t>
  </si>
  <si>
    <r>
      <rPr>
        <sz val="10"/>
        <rFont val="FreeSans"/>
        <family val="2"/>
      </rPr>
      <t xml:space="preserve">اکستند </t>
    </r>
    <r>
      <rPr>
        <sz val="10"/>
        <rFont val="Vazirmatn"/>
        <family val="0"/>
        <charset val="1"/>
      </rPr>
      <t xml:space="preserve">+ </t>
    </r>
    <r>
      <rPr>
        <sz val="10"/>
        <rFont val="FreeSans"/>
        <family val="2"/>
      </rPr>
      <t xml:space="preserve">ضریب تبدیل</t>
    </r>
  </si>
  <si>
    <r>
      <rPr>
        <b val="true"/>
        <sz val="10"/>
        <color rgb="FFC98A1B"/>
        <rFont val="FreeSans"/>
        <family val="2"/>
      </rPr>
      <t xml:space="preserve">۳</t>
    </r>
    <r>
      <rPr>
        <b val="true"/>
        <sz val="10"/>
        <color rgb="FFC98A1B"/>
        <rFont val="Vazirmatn"/>
        <family val="0"/>
        <charset val="1"/>
      </rPr>
      <t xml:space="preserve">- </t>
    </r>
    <r>
      <rPr>
        <b val="true"/>
        <sz val="10"/>
        <color rgb="FFC98A1B"/>
        <rFont val="FreeSans"/>
        <family val="2"/>
      </rPr>
      <t xml:space="preserve">شرح مشابه، واحد متفاوت</t>
    </r>
  </si>
  <si>
    <t xml:space="preserve">احتمالاً همان کالا، واحد دیگر</t>
  </si>
  <si>
    <r>
      <rPr>
        <sz val="10"/>
        <rFont val="FreeSans"/>
        <family val="2"/>
      </rPr>
      <t xml:space="preserve">بررسی </t>
    </r>
    <r>
      <rPr>
        <sz val="10"/>
        <rFont val="Vazirmatn"/>
        <family val="0"/>
        <charset val="1"/>
      </rPr>
      <t xml:space="preserve">+ </t>
    </r>
    <r>
      <rPr>
        <sz val="10"/>
        <rFont val="FreeSans"/>
        <family val="2"/>
      </rPr>
      <t xml:space="preserve">ضریب تبدیل</t>
    </r>
  </si>
  <si>
    <r>
      <rPr>
        <b val="true"/>
        <sz val="10"/>
        <color rgb="FF7FB08F"/>
        <rFont val="FreeSans"/>
        <family val="2"/>
      </rPr>
      <t xml:space="preserve">۴</t>
    </r>
    <r>
      <rPr>
        <b val="true"/>
        <sz val="10"/>
        <color rgb="FF7FB08F"/>
        <rFont val="Vazirmatn"/>
        <family val="0"/>
        <charset val="1"/>
      </rPr>
      <t xml:space="preserve">- </t>
    </r>
    <r>
      <rPr>
        <b val="true"/>
        <sz val="10"/>
        <color rgb="FF7FB08F"/>
        <rFont val="FreeSans"/>
        <family val="2"/>
      </rPr>
      <t xml:space="preserve">شرح مشابه، واحد یکسان</t>
    </r>
  </si>
  <si>
    <t xml:space="preserve">احتمالاً همان کالا</t>
  </si>
  <si>
    <t xml:space="preserve">بررسی و تأیید</t>
  </si>
  <si>
    <r>
      <rPr>
        <b val="true"/>
        <sz val="10"/>
        <color rgb="FFB5342A"/>
        <rFont val="FreeSans"/>
        <family val="2"/>
      </rPr>
      <t xml:space="preserve">۵</t>
    </r>
    <r>
      <rPr>
        <b val="true"/>
        <sz val="10"/>
        <color rgb="FFB5342A"/>
        <rFont val="Vazirmatn"/>
        <family val="0"/>
        <charset val="1"/>
      </rPr>
      <t xml:space="preserve">- </t>
    </r>
    <r>
      <rPr>
        <b val="true"/>
        <sz val="10"/>
        <color rgb="FFB5342A"/>
        <rFont val="FreeSans"/>
        <family val="2"/>
      </rPr>
      <t xml:space="preserve">بدون معادل</t>
    </r>
  </si>
  <si>
    <t xml:space="preserve">در زرنام نیست</t>
  </si>
  <si>
    <t xml:space="preserve">ایجاد کد جدید</t>
  </si>
  <si>
    <t xml:space="preserve">جمع</t>
  </si>
  <si>
    <r>
      <rPr>
        <b val="true"/>
        <sz val="14"/>
        <color rgb="FF0B2547"/>
        <rFont val="FreeSans"/>
        <family val="2"/>
      </rPr>
      <t xml:space="preserve">تفاوت گروه کالا </t>
    </r>
    <r>
      <rPr>
        <b val="true"/>
        <sz val="14"/>
        <color rgb="FF0B2547"/>
        <rFont val="Vazirmatn"/>
        <family val="0"/>
        <charset val="1"/>
      </rPr>
      <t xml:space="preserve">(</t>
    </r>
    <r>
      <rPr>
        <b val="true"/>
        <sz val="14"/>
        <color rgb="FF0B2547"/>
        <rFont val="FreeSans"/>
        <family val="2"/>
      </rPr>
      <t xml:space="preserve">کالاهای دارای معادل</t>
    </r>
    <r>
      <rPr>
        <b val="true"/>
        <sz val="14"/>
        <color rgb="FF0B2547"/>
        <rFont val="Vazirmatn"/>
        <family val="0"/>
        <charset val="1"/>
      </rPr>
      <t xml:space="preserve">)</t>
    </r>
  </si>
  <si>
    <r>
      <rPr>
        <sz val="9"/>
        <color rgb="FF6B7482"/>
        <rFont val="FreeSans"/>
        <family val="2"/>
      </rPr>
      <t xml:space="preserve">گروه مشابه </t>
    </r>
    <r>
      <rPr>
        <sz val="9"/>
        <color rgb="FF6B7482"/>
        <rFont val="Vazirmatn"/>
        <family val="0"/>
        <charset val="1"/>
      </rPr>
      <t xml:space="preserve">= </t>
    </r>
    <r>
      <rPr>
        <sz val="9"/>
        <color rgb="FF6B7482"/>
        <rFont val="FreeSans"/>
        <family val="2"/>
      </rPr>
      <t xml:space="preserve">کالا در گروه زرنامِ غالبِ گروه ۴ رقمی گلوکوزانش است؛ گروه متفاوت </t>
    </r>
    <r>
      <rPr>
        <sz val="9"/>
        <color rgb="FF6B7482"/>
        <rFont val="Vazirmatn"/>
        <family val="0"/>
        <charset val="1"/>
      </rPr>
      <t xml:space="preserve">= </t>
    </r>
    <r>
      <rPr>
        <sz val="9"/>
        <color rgb="FF6B7482"/>
        <rFont val="FreeSans"/>
        <family val="2"/>
      </rPr>
      <t xml:space="preserve">طبقه‌بندی باید بررسی شود</t>
    </r>
  </si>
  <si>
    <t xml:space="preserve">گروه کالا مشابه</t>
  </si>
  <si>
    <t xml:space="preserve">گروه کالا متفاوت</t>
  </si>
  <si>
    <t xml:space="preserve">درصد مشابه</t>
  </si>
  <si>
    <t xml:space="preserve">دسته‌بندی به تفکیک گروه کالای زرنام</t>
  </si>
  <si>
    <t xml:space="preserve">برای کالاهای بدون معادل، گروه نزدیک‌ترین کالای مشابه زرنام</t>
  </si>
  <si>
    <t xml:space="preserve">گروه کالا</t>
  </si>
  <si>
    <t xml:space="preserve">دقیقاً یکی</t>
  </si>
  <si>
    <t xml:space="preserve">شرح یکی، واحد متفاوت</t>
  </si>
  <si>
    <t xml:space="preserve">مشابه، واحد متفاوت</t>
  </si>
  <si>
    <t xml:space="preserve">مشابه، واحد یکسان</t>
  </si>
  <si>
    <t xml:space="preserve">بدون معادل</t>
  </si>
  <si>
    <t xml:space="preserve">سهم دارای معادل</t>
  </si>
  <si>
    <t xml:space="preserve">مکانيک</t>
  </si>
  <si>
    <t xml:space="preserve">لوله و اتصالات</t>
  </si>
  <si>
    <t xml:space="preserve">ابزارآلات ويراق آلات</t>
  </si>
  <si>
    <t xml:space="preserve">برق و الکترونيک</t>
  </si>
  <si>
    <t xml:space="preserve">تاسيسات</t>
  </si>
  <si>
    <t xml:space="preserve">اقلام اداري</t>
  </si>
  <si>
    <t xml:space="preserve">آزمايشگاه</t>
  </si>
  <si>
    <t xml:space="preserve">عمران</t>
  </si>
  <si>
    <t xml:space="preserve">مقاطع و فلزات</t>
  </si>
  <si>
    <t xml:space="preserve">IT</t>
  </si>
  <si>
    <t xml:space="preserve">توليد و بسته بندي</t>
  </si>
  <si>
    <t xml:space="preserve">ابزاردقيق</t>
  </si>
  <si>
    <t xml:space="preserve">شیمیایی</t>
  </si>
  <si>
    <t xml:space="preserve">HSE</t>
  </si>
  <si>
    <r>
      <rPr>
        <sz val="10"/>
        <rFont val="FreeSans"/>
        <family val="2"/>
      </rPr>
      <t xml:space="preserve">سایر </t>
    </r>
    <r>
      <rPr>
        <sz val="10"/>
        <rFont val="Vazirmatn"/>
        <family val="0"/>
        <charset val="1"/>
      </rPr>
      <t xml:space="preserve">36 </t>
    </r>
    <r>
      <rPr>
        <sz val="10"/>
        <rFont val="FreeSans"/>
        <family val="2"/>
      </rPr>
      <t xml:space="preserve">گروه</t>
    </r>
  </si>
  <si>
    <t xml:space="preserve">گروه‌های گلوکوزان با بیشترین تفاوت گروه کالا</t>
  </si>
  <si>
    <r>
      <rPr>
        <sz val="9"/>
        <color rgb="FF6B7482"/>
        <rFont val="FreeSans"/>
        <family val="2"/>
      </rPr>
      <t xml:space="preserve">گروه </t>
    </r>
    <r>
      <rPr>
        <sz val="9"/>
        <color rgb="FF6B7482"/>
        <rFont val="Vazirmatn"/>
        <family val="0"/>
        <charset val="1"/>
      </rPr>
      <t xml:space="preserve">= </t>
    </r>
    <r>
      <rPr>
        <sz val="9"/>
        <color rgb="FF6B7482"/>
        <rFont val="FreeSans"/>
        <family val="2"/>
      </rPr>
      <t xml:space="preserve">۴ رقم اول کد گلوکوزان؛ گروه زرنامِ غالب </t>
    </r>
    <r>
      <rPr>
        <sz val="9"/>
        <color rgb="FF6B7482"/>
        <rFont val="Vazirmatn"/>
        <family val="0"/>
        <charset val="1"/>
      </rPr>
      <t xml:space="preserve">= </t>
    </r>
    <r>
      <rPr>
        <sz val="9"/>
        <color rgb="FF6B7482"/>
        <rFont val="FreeSans"/>
        <family val="2"/>
      </rPr>
      <t xml:space="preserve">پرتکرارترین گروه زرنام در کالاهای دارای معادل همان گروه</t>
    </r>
  </si>
  <si>
    <t xml:space="preserve">گروه گلوکوزان</t>
  </si>
  <si>
    <t xml:space="preserve">دارای معادل</t>
  </si>
  <si>
    <t xml:space="preserve">گروه مشابه</t>
  </si>
  <si>
    <t xml:space="preserve">گروه متفاوت</t>
  </si>
  <si>
    <t xml:space="preserve">گروه زرنامِ غالب</t>
  </si>
  <si>
    <r>
      <rPr>
        <b val="true"/>
        <sz val="10"/>
        <rFont val="Vazirmatn"/>
        <family val="0"/>
        <charset val="1"/>
      </rPr>
      <t xml:space="preserve">3126 (</t>
    </r>
    <r>
      <rPr>
        <b val="true"/>
        <sz val="10"/>
        <rFont val="FreeSans"/>
        <family val="2"/>
      </rPr>
      <t xml:space="preserve">پیچ، واشر</t>
    </r>
    <r>
      <rPr>
        <b val="true"/>
        <sz val="10"/>
        <rFont val="Vazirmatn"/>
        <family val="0"/>
        <charset val="1"/>
      </rPr>
      <t xml:space="preserve">)</t>
    </r>
  </si>
  <si>
    <r>
      <rPr>
        <b val="true"/>
        <sz val="10"/>
        <rFont val="Vazirmatn"/>
        <family val="0"/>
        <charset val="1"/>
      </rPr>
      <t xml:space="preserve">3121 (</t>
    </r>
    <r>
      <rPr>
        <b val="true"/>
        <sz val="10"/>
        <rFont val="FreeSans"/>
        <family val="2"/>
      </rPr>
      <t xml:space="preserve">کلید، کابل</t>
    </r>
    <r>
      <rPr>
        <b val="true"/>
        <sz val="10"/>
        <rFont val="Vazirmatn"/>
        <family val="0"/>
        <charset val="1"/>
      </rPr>
      <t xml:space="preserve">)</t>
    </r>
  </si>
  <si>
    <r>
      <rPr>
        <b val="true"/>
        <sz val="10"/>
        <rFont val="Vazirmatn"/>
        <family val="0"/>
        <charset val="1"/>
      </rPr>
      <t xml:space="preserve">3127 (</t>
    </r>
    <r>
      <rPr>
        <b val="true"/>
        <sz val="10"/>
        <rFont val="FreeSans"/>
        <family val="2"/>
      </rPr>
      <t xml:space="preserve">شیر، لوله</t>
    </r>
    <r>
      <rPr>
        <b val="true"/>
        <sz val="10"/>
        <rFont val="Vazirmatn"/>
        <family val="0"/>
        <charset val="1"/>
      </rPr>
      <t xml:space="preserve">)</t>
    </r>
  </si>
  <si>
    <r>
      <rPr>
        <b val="true"/>
        <sz val="10"/>
        <rFont val="Vazirmatn"/>
        <family val="0"/>
        <charset val="1"/>
      </rPr>
      <t xml:space="preserve">9961 (</t>
    </r>
    <r>
      <rPr>
        <b val="true"/>
        <sz val="10"/>
        <rFont val="FreeSans"/>
        <family val="2"/>
      </rPr>
      <t xml:space="preserve">فرم، دفتر</t>
    </r>
    <r>
      <rPr>
        <b val="true"/>
        <sz val="10"/>
        <rFont val="Vazirmatn"/>
        <family val="0"/>
        <charset val="1"/>
      </rPr>
      <t xml:space="preserve">)</t>
    </r>
  </si>
  <si>
    <r>
      <rPr>
        <b val="true"/>
        <sz val="10"/>
        <rFont val="Vazirmatn"/>
        <family val="0"/>
        <charset val="1"/>
      </rPr>
      <t xml:space="preserve">7762 (</t>
    </r>
    <r>
      <rPr>
        <b val="true"/>
        <sz val="10"/>
        <rFont val="FreeSans"/>
        <family val="2"/>
      </rPr>
      <t xml:space="preserve">مایع، پودر</t>
    </r>
    <r>
      <rPr>
        <b val="true"/>
        <sz val="10"/>
        <rFont val="Vazirmatn"/>
        <family val="0"/>
        <charset val="1"/>
      </rPr>
      <t xml:space="preserve">)</t>
    </r>
  </si>
  <si>
    <t xml:space="preserve">اقلام خوراکي</t>
  </si>
  <si>
    <r>
      <rPr>
        <b val="true"/>
        <sz val="10"/>
        <rFont val="Vazirmatn"/>
        <family val="0"/>
        <charset val="1"/>
      </rPr>
      <t xml:space="preserve">3129 (</t>
    </r>
    <r>
      <rPr>
        <b val="true"/>
        <sz val="10"/>
        <rFont val="FreeSans"/>
        <family val="2"/>
      </rPr>
      <t xml:space="preserve">ورق، قوطی</t>
    </r>
    <r>
      <rPr>
        <b val="true"/>
        <sz val="10"/>
        <rFont val="Vazirmatn"/>
        <family val="0"/>
        <charset val="1"/>
      </rPr>
      <t xml:space="preserve">)</t>
    </r>
  </si>
  <si>
    <r>
      <rPr>
        <b val="true"/>
        <sz val="10"/>
        <rFont val="Vazirmatn"/>
        <family val="0"/>
        <charset val="1"/>
      </rPr>
      <t xml:space="preserve">3123 (</t>
    </r>
    <r>
      <rPr>
        <b val="true"/>
        <sz val="10"/>
        <rFont val="FreeSans"/>
        <family val="2"/>
      </rPr>
      <t xml:space="preserve">بلبرینگ، بوش</t>
    </r>
    <r>
      <rPr>
        <b val="true"/>
        <sz val="10"/>
        <rFont val="Vazirmatn"/>
        <family val="0"/>
        <charset val="1"/>
      </rPr>
      <t xml:space="preserve">)</t>
    </r>
  </si>
  <si>
    <r>
      <rPr>
        <b val="true"/>
        <sz val="10"/>
        <rFont val="Vazirmatn"/>
        <family val="0"/>
        <charset val="1"/>
      </rPr>
      <t xml:space="preserve">3122 (</t>
    </r>
    <r>
      <rPr>
        <b val="true"/>
        <sz val="10"/>
        <rFont val="FreeSans"/>
        <family val="2"/>
      </rPr>
      <t xml:space="preserve">اورینگ، کاسه</t>
    </r>
    <r>
      <rPr>
        <b val="true"/>
        <sz val="10"/>
        <rFont val="Vazirmatn"/>
        <family val="0"/>
        <charset val="1"/>
      </rPr>
      <t xml:space="preserve">)</t>
    </r>
  </si>
  <si>
    <r>
      <rPr>
        <sz val="10"/>
        <rFont val="FreeSans"/>
        <family val="2"/>
      </rPr>
      <t xml:space="preserve">سایر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گروه</t>
    </r>
  </si>
  <si>
    <r>
      <rPr>
        <sz val="9"/>
        <color rgb="FF6B7482"/>
        <rFont val="FreeSans"/>
        <family val="2"/>
      </rPr>
      <t xml:space="preserve">مثال</t>
    </r>
    <r>
      <rPr>
        <sz val="9"/>
        <color rgb="FF6B7482"/>
        <rFont val="Vazirmatn"/>
        <family val="0"/>
        <charset val="1"/>
      </rPr>
      <t xml:space="preserve">: </t>
    </r>
    <r>
      <rPr>
        <sz val="9"/>
        <color rgb="FF6B7482"/>
        <rFont val="FreeSans"/>
        <family val="2"/>
      </rPr>
      <t xml:space="preserve">گروه </t>
    </r>
    <r>
      <rPr>
        <sz val="9"/>
        <color rgb="FF6B7482"/>
        <rFont val="Vazirmatn"/>
        <family val="0"/>
        <charset val="1"/>
      </rPr>
      <t xml:space="preserve">3126 (</t>
    </r>
    <r>
      <rPr>
        <sz val="9"/>
        <color rgb="FF6B7482"/>
        <rFont val="FreeSans"/>
        <family val="2"/>
      </rPr>
      <t xml:space="preserve">پیچ و واشر</t>
    </r>
    <r>
      <rPr>
        <sz val="9"/>
        <color rgb="FF6B7482"/>
        <rFont val="Vazirmatn"/>
        <family val="0"/>
        <charset val="1"/>
      </rPr>
      <t xml:space="preserve">) </t>
    </r>
    <r>
      <rPr>
        <sz val="9"/>
        <color rgb="FF6B7482"/>
        <rFont val="FreeSans"/>
        <family val="2"/>
      </rPr>
      <t xml:space="preserve">در زرنام بین </t>
    </r>
    <r>
      <rPr>
        <sz val="9"/>
        <color rgb="FF6B7482"/>
        <rFont val="Vazirmatn"/>
        <family val="0"/>
        <charset val="1"/>
      </rPr>
      <t xml:space="preserve">«</t>
    </r>
    <r>
      <rPr>
        <sz val="9"/>
        <color rgb="FF6B7482"/>
        <rFont val="FreeSans"/>
        <family val="2"/>
      </rPr>
      <t xml:space="preserve">لوله و اتصالات</t>
    </r>
    <r>
      <rPr>
        <sz val="9"/>
        <color rgb="FF6B7482"/>
        <rFont val="Vazirmatn"/>
        <family val="0"/>
        <charset val="1"/>
      </rPr>
      <t xml:space="preserve">» (</t>
    </r>
    <r>
      <rPr>
        <sz val="9"/>
        <color rgb="FF6B7482"/>
        <rFont val="FreeSans"/>
        <family val="2"/>
      </rPr>
      <t xml:space="preserve">۱۳۴</t>
    </r>
    <r>
      <rPr>
        <sz val="9"/>
        <color rgb="FF6B7482"/>
        <rFont val="Vazirmatn"/>
        <family val="0"/>
        <charset val="1"/>
      </rPr>
      <t xml:space="preserve">)</t>
    </r>
    <r>
      <rPr>
        <sz val="9"/>
        <color rgb="FF6B7482"/>
        <rFont val="FreeSans"/>
        <family val="2"/>
      </rPr>
      <t xml:space="preserve">، </t>
    </r>
    <r>
      <rPr>
        <sz val="9"/>
        <color rgb="FF6B7482"/>
        <rFont val="Vazirmatn"/>
        <family val="0"/>
        <charset val="1"/>
      </rPr>
      <t xml:space="preserve">«</t>
    </r>
    <r>
      <rPr>
        <sz val="9"/>
        <color rgb="FF6B7482"/>
        <rFont val="FreeSans"/>
        <family val="2"/>
      </rPr>
      <t xml:space="preserve">ابزارآلات و یراق‌آلات</t>
    </r>
    <r>
      <rPr>
        <sz val="9"/>
        <color rgb="FF6B7482"/>
        <rFont val="Vazirmatn"/>
        <family val="0"/>
        <charset val="1"/>
      </rPr>
      <t xml:space="preserve">» (</t>
    </r>
    <r>
      <rPr>
        <sz val="9"/>
        <color rgb="FF6B7482"/>
        <rFont val="FreeSans"/>
        <family val="2"/>
      </rPr>
      <t xml:space="preserve">۹۹</t>
    </r>
    <r>
      <rPr>
        <sz val="9"/>
        <color rgb="FF6B7482"/>
        <rFont val="Vazirmatn"/>
        <family val="0"/>
        <charset val="1"/>
      </rPr>
      <t xml:space="preserve">) </t>
    </r>
    <r>
      <rPr>
        <sz val="9"/>
        <color rgb="FF6B7482"/>
        <rFont val="FreeSans"/>
        <family val="2"/>
      </rPr>
      <t xml:space="preserve">و </t>
    </r>
    <r>
      <rPr>
        <sz val="9"/>
        <color rgb="FF6B7482"/>
        <rFont val="Vazirmatn"/>
        <family val="0"/>
        <charset val="1"/>
      </rPr>
      <t xml:space="preserve">«</t>
    </r>
    <r>
      <rPr>
        <sz val="9"/>
        <color rgb="FF6B7482"/>
        <rFont val="FreeSans"/>
        <family val="2"/>
      </rPr>
      <t xml:space="preserve">اتصالات مکانیک</t>
    </r>
    <r>
      <rPr>
        <sz val="9"/>
        <color rgb="FF6B7482"/>
        <rFont val="Vazirmatn"/>
        <family val="0"/>
        <charset val="1"/>
      </rPr>
      <t xml:space="preserve">» (</t>
    </r>
    <r>
      <rPr>
        <sz val="9"/>
        <color rgb="FF6B7482"/>
        <rFont val="FreeSans"/>
        <family val="2"/>
      </rPr>
      <t xml:space="preserve">۱۹</t>
    </r>
    <r>
      <rPr>
        <sz val="9"/>
        <color rgb="FF6B7482"/>
        <rFont val="Vazirmatn"/>
        <family val="0"/>
        <charset val="1"/>
      </rPr>
      <t xml:space="preserve">) </t>
    </r>
    <r>
      <rPr>
        <sz val="9"/>
        <color rgb="FF6B7482"/>
        <rFont val="FreeSans"/>
        <family val="2"/>
      </rPr>
      <t xml:space="preserve">پخش است؛ برای کدهای جدید این گروه قاعدهٔ طبقه‌بندی واحد لازم است</t>
    </r>
    <r>
      <rPr>
        <sz val="9"/>
        <color rgb="FF6B7482"/>
        <rFont val="Vazirmatn"/>
        <family val="0"/>
        <charset val="1"/>
      </rPr>
      <t xml:space="preserve">.</t>
    </r>
  </si>
  <si>
    <r>
      <rPr>
        <b val="true"/>
        <sz val="14"/>
        <color rgb="FF0B2547"/>
        <rFont val="FreeSans"/>
        <family val="2"/>
      </rPr>
      <t xml:space="preserve">واحدهای متفاوت </t>
    </r>
    <r>
      <rPr>
        <b val="true"/>
        <sz val="14"/>
        <color rgb="FF0B2547"/>
        <rFont val="Vazirmatn"/>
        <family val="0"/>
        <charset val="1"/>
      </rPr>
      <t xml:space="preserve">(</t>
    </r>
    <r>
      <rPr>
        <b val="true"/>
        <sz val="14"/>
        <color rgb="FF0B2547"/>
        <rFont val="FreeSans"/>
        <family val="2"/>
      </rPr>
      <t xml:space="preserve">دستهٔ ۲ و ۳</t>
    </r>
    <r>
      <rPr>
        <b val="true"/>
        <sz val="14"/>
        <color rgb="FF0B2547"/>
        <rFont val="Vazirmatn"/>
        <family val="0"/>
        <charset val="1"/>
      </rPr>
      <t xml:space="preserve">)</t>
    </r>
  </si>
  <si>
    <r>
      <rPr>
        <sz val="9"/>
        <color rgb="FF6B7482"/>
        <rFont val="FreeSans"/>
        <family val="2"/>
      </rPr>
      <t xml:space="preserve">گلوکوزان ← زرنام </t>
    </r>
    <r>
      <rPr>
        <sz val="9"/>
        <color rgb="FF6B7482"/>
        <rFont val="Vazirmatn"/>
        <family val="0"/>
        <charset val="1"/>
      </rPr>
      <t xml:space="preserve">· </t>
    </r>
    <r>
      <rPr>
        <sz val="9"/>
        <color rgb="FF6B7482"/>
        <rFont val="FreeSans"/>
        <family val="2"/>
      </rPr>
      <t xml:space="preserve">ضریب ۱ </t>
    </r>
    <r>
      <rPr>
        <sz val="9"/>
        <color rgb="FF6B7482"/>
        <rFont val="Vazirmatn"/>
        <family val="0"/>
        <charset val="1"/>
      </rPr>
      <t xml:space="preserve">= </t>
    </r>
    <r>
      <rPr>
        <sz val="9"/>
        <color rgb="FF6B7482"/>
        <rFont val="FreeSans"/>
        <family val="2"/>
      </rPr>
      <t xml:space="preserve">هم‌جنس؛ ضریب کالایی </t>
    </r>
    <r>
      <rPr>
        <sz val="9"/>
        <color rgb="FF6B7482"/>
        <rFont val="Vazirmatn"/>
        <family val="0"/>
        <charset val="1"/>
      </rPr>
      <t xml:space="preserve">= </t>
    </r>
    <r>
      <rPr>
        <sz val="9"/>
        <color rgb="FF6B7482"/>
        <rFont val="FreeSans"/>
        <family val="2"/>
      </rPr>
      <t xml:space="preserve">انبار باید برای هر کالا تعیین کند</t>
    </r>
  </si>
  <si>
    <r>
      <rPr>
        <b val="true"/>
        <sz val="10"/>
        <color rgb="FFFFFFFF"/>
        <rFont val="FreeSans"/>
        <family val="2"/>
      </rPr>
      <t xml:space="preserve">جفت واحد </t>
    </r>
    <r>
      <rPr>
        <b val="true"/>
        <sz val="10"/>
        <color rgb="FFFFFFFF"/>
        <rFont val="Vazirmatn"/>
        <family val="0"/>
        <charset val="1"/>
      </rPr>
      <t xml:space="preserve">(</t>
    </r>
    <r>
      <rPr>
        <b val="true"/>
        <sz val="10"/>
        <color rgb="FFFFFFFF"/>
        <rFont val="FreeSans"/>
        <family val="2"/>
      </rPr>
      <t xml:space="preserve">گلوکوزان ← زرنام</t>
    </r>
    <r>
      <rPr>
        <b val="true"/>
        <sz val="10"/>
        <color rgb="FFFFFFFF"/>
        <rFont val="Vazirmatn"/>
        <family val="0"/>
        <charset val="1"/>
      </rPr>
      <t xml:space="preserve">)</t>
    </r>
  </si>
  <si>
    <t xml:space="preserve">نوع ضریب</t>
  </si>
  <si>
    <t xml:space="preserve">عدد ← دستگاه</t>
  </si>
  <si>
    <t xml:space="preserve">ضریب ۱</t>
  </si>
  <si>
    <t xml:space="preserve">دستگاه ← عدد</t>
  </si>
  <si>
    <t xml:space="preserve">کیلوگرم ← متر</t>
  </si>
  <si>
    <t xml:space="preserve">ضریب کالایی</t>
  </si>
  <si>
    <t xml:space="preserve">شاخه ← متر</t>
  </si>
  <si>
    <t xml:space="preserve">متر ← عدد</t>
  </si>
  <si>
    <t xml:space="preserve">عدد ← دست</t>
  </si>
  <si>
    <t xml:space="preserve">دست ← عدد</t>
  </si>
  <si>
    <t xml:space="preserve">عدد ← متر</t>
  </si>
  <si>
    <t xml:space="preserve">سایر جفت‌ها</t>
  </si>
  <si>
    <t xml:space="preserve">اقدام هر دسته</t>
  </si>
  <si>
    <t xml:space="preserve">دستهٔ ۳ و ۴ شامل تطابق قوی و احتمالی است و پیش از اکستند تأیید کارشناس لازم دارد</t>
  </si>
  <si>
    <r>
      <rPr>
        <b val="true"/>
        <sz val="10"/>
        <color rgb="FFFFFFFF"/>
        <rFont val="FreeSans"/>
        <family val="2"/>
      </rPr>
      <t xml:space="preserve">گروه کالا متفاوت </t>
    </r>
    <r>
      <rPr>
        <b val="true"/>
        <sz val="10"/>
        <color rgb="FFFFFFFF"/>
        <rFont val="Vazirmatn"/>
        <family val="0"/>
        <charset val="1"/>
      </rPr>
      <t xml:space="preserve">(</t>
    </r>
    <r>
      <rPr>
        <b val="true"/>
        <sz val="10"/>
        <color rgb="FFFFFFFF"/>
        <rFont val="FreeSans"/>
        <family val="2"/>
      </rPr>
      <t xml:space="preserve">بازبینی طبقه‌بندی</t>
    </r>
    <r>
      <rPr>
        <b val="true"/>
        <sz val="10"/>
        <color rgb="FFFFFFFF"/>
        <rFont val="Vazirmatn"/>
        <family val="0"/>
        <charset val="1"/>
      </rPr>
      <t xml:space="preserve">)</t>
    </r>
  </si>
  <si>
    <t xml:space="preserve">کد گلوکوزان</t>
  </si>
  <si>
    <t xml:space="preserve">عنوان گلوکوزان</t>
  </si>
  <si>
    <t xml:space="preserve">واحد گلوکوزان</t>
  </si>
  <si>
    <t xml:space="preserve">کد زرنام</t>
  </si>
  <si>
    <t xml:space="preserve">شرح زرنام</t>
  </si>
  <si>
    <t xml:space="preserve">واحد زرنام</t>
  </si>
  <si>
    <t xml:space="preserve">وضعیت گروه کالا</t>
  </si>
  <si>
    <r>
      <rPr>
        <b val="true"/>
        <sz val="10"/>
        <color rgb="FFFFFFFF"/>
        <rFont val="FreeSans"/>
        <family val="2"/>
      </rPr>
      <t xml:space="preserve">گروه کالای زرنام </t>
    </r>
    <r>
      <rPr>
        <b val="true"/>
        <sz val="10"/>
        <color rgb="FFFFFFFF"/>
        <rFont val="Vazirmatn"/>
        <family val="0"/>
        <charset val="1"/>
      </rPr>
      <t xml:space="preserve">(</t>
    </r>
    <r>
      <rPr>
        <b val="true"/>
        <sz val="10"/>
        <color rgb="FFFFFFFF"/>
        <rFont val="FreeSans"/>
        <family val="2"/>
      </rPr>
      <t xml:space="preserve">یا نزدیک‌ترین مشابه</t>
    </r>
    <r>
      <rPr>
        <b val="true"/>
        <sz val="10"/>
        <color rgb="FFFFFFFF"/>
        <rFont val="Vazirmatn"/>
        <family val="0"/>
        <charset val="1"/>
      </rPr>
      <t xml:space="preserve">)</t>
    </r>
  </si>
  <si>
    <r>
      <rPr>
        <b val="true"/>
        <sz val="10"/>
        <color rgb="FFFFFFFF"/>
        <rFont val="FreeSans"/>
        <family val="2"/>
      </rPr>
      <t xml:space="preserve">گروه گلوکوزان </t>
    </r>
    <r>
      <rPr>
        <b val="true"/>
        <sz val="10"/>
        <color rgb="FFFFFFFF"/>
        <rFont val="Vazirmatn"/>
        <family val="0"/>
        <charset val="1"/>
      </rPr>
      <t xml:space="preserve">(</t>
    </r>
    <r>
      <rPr>
        <b val="true"/>
        <sz val="10"/>
        <color rgb="FFFFFFFF"/>
        <rFont val="FreeSans"/>
        <family val="2"/>
      </rPr>
      <t xml:space="preserve">۴ رقم اول کد</t>
    </r>
    <r>
      <rPr>
        <b val="true"/>
        <sz val="10"/>
        <color rgb="FFFFFFFF"/>
        <rFont val="Vazirmatn"/>
        <family val="0"/>
        <charset val="1"/>
      </rPr>
      <t xml:space="preserve">)</t>
    </r>
  </si>
  <si>
    <t xml:space="preserve">گروه زرنامِ غالب برای گروه گلوکوزان</t>
  </si>
  <si>
    <t xml:space="preserve">100002</t>
  </si>
  <si>
    <t xml:space="preserve">نشاسته گندم</t>
  </si>
  <si>
    <t xml:space="preserve">کیلوگرم</t>
  </si>
  <si>
    <t xml:space="preserve">5015680</t>
  </si>
  <si>
    <t xml:space="preserve">KG</t>
  </si>
  <si>
    <r>
      <rPr>
        <sz val="10"/>
        <rFont val="FreeSans"/>
        <family val="2"/>
      </rPr>
      <t xml:space="preserve">۱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دقیقاً یکی</t>
    </r>
  </si>
  <si>
    <r>
      <rPr>
        <sz val="10"/>
        <rFont val="Vazirmatn"/>
        <family val="0"/>
        <charset val="1"/>
      </rPr>
      <t xml:space="preserve">1000 (</t>
    </r>
    <r>
      <rPr>
        <sz val="10"/>
        <rFont val="FreeSans"/>
        <family val="2"/>
      </rPr>
      <t xml:space="preserve">نشاسته، دوغآب</t>
    </r>
    <r>
      <rPr>
        <sz val="10"/>
        <rFont val="Vazirmatn"/>
        <family val="0"/>
        <charset val="1"/>
      </rPr>
      <t xml:space="preserve">)</t>
    </r>
  </si>
  <si>
    <t xml:space="preserve">110017</t>
  </si>
  <si>
    <t xml:space="preserve">آنزیم آلفا آمیلاز</t>
  </si>
  <si>
    <t xml:space="preserve">1000850</t>
  </si>
  <si>
    <t xml:space="preserve">افزودني ها و آنزيمها</t>
  </si>
  <si>
    <r>
      <rPr>
        <sz val="10"/>
        <rFont val="Vazirmatn"/>
        <family val="0"/>
        <charset val="1"/>
      </rPr>
      <t xml:space="preserve">1100 (</t>
    </r>
    <r>
      <rPr>
        <sz val="10"/>
        <rFont val="FreeSans"/>
        <family val="2"/>
      </rPr>
      <t xml:space="preserve">رزین، ماده</t>
    </r>
    <r>
      <rPr>
        <sz val="10"/>
        <rFont val="Vazirmatn"/>
        <family val="0"/>
        <charset val="1"/>
      </rPr>
      <t xml:space="preserve">)</t>
    </r>
  </si>
  <si>
    <t xml:space="preserve">120001</t>
  </si>
  <si>
    <t xml:space="preserve">اسید کلریدریک</t>
  </si>
  <si>
    <t xml:space="preserve">5020465</t>
  </si>
  <si>
    <r>
      <rPr>
        <sz val="10"/>
        <rFont val="Vazirmatn"/>
        <family val="0"/>
        <charset val="1"/>
      </rPr>
      <t xml:space="preserve">1200 (</t>
    </r>
    <r>
      <rPr>
        <sz val="10"/>
        <rFont val="FreeSans"/>
        <family val="2"/>
      </rPr>
      <t xml:space="preserve">اسید، خاک</t>
    </r>
    <r>
      <rPr>
        <sz val="10"/>
        <rFont val="Vazirmatn"/>
        <family val="0"/>
        <charset val="1"/>
      </rPr>
      <t xml:space="preserve">)</t>
    </r>
  </si>
  <si>
    <t xml:space="preserve">120007</t>
  </si>
  <si>
    <r>
      <rPr>
        <sz val="10"/>
        <rFont val="FreeSans"/>
        <family val="2"/>
      </rPr>
      <t xml:space="preserve">رزین آنیونی </t>
    </r>
    <r>
      <rPr>
        <sz val="10"/>
        <rFont val="Vazirmatn"/>
        <family val="0"/>
        <charset val="1"/>
      </rPr>
      <t xml:space="preserve">D354FD</t>
    </r>
  </si>
  <si>
    <t xml:space="preserve">5011294</t>
  </si>
  <si>
    <r>
      <rPr>
        <sz val="10"/>
        <rFont val="FreeSans"/>
        <family val="2"/>
      </rPr>
      <t xml:space="preserve">رزین آنیونی </t>
    </r>
    <r>
      <rPr>
        <sz val="10"/>
        <rFont val="Vazirmatn"/>
        <family val="0"/>
        <charset val="1"/>
      </rPr>
      <t xml:space="preserve">(D354 FD)</t>
    </r>
  </si>
  <si>
    <t xml:space="preserve">120015</t>
  </si>
  <si>
    <t xml:space="preserve">آنزیم گلوکو آمیلاز</t>
  </si>
  <si>
    <t xml:space="preserve">1000849</t>
  </si>
  <si>
    <t xml:space="preserve">120043</t>
  </si>
  <si>
    <t xml:space="preserve">کربنات کلسیم</t>
  </si>
  <si>
    <t xml:space="preserve">5002949</t>
  </si>
  <si>
    <t xml:space="preserve">کلسیم کربنات</t>
  </si>
  <si>
    <t xml:space="preserve">120049</t>
  </si>
  <si>
    <r>
      <rPr>
        <sz val="10"/>
        <rFont val="FreeSans"/>
        <family val="2"/>
      </rPr>
      <t xml:space="preserve">نشاسته سیب زمینی </t>
    </r>
    <r>
      <rPr>
        <sz val="10"/>
        <rFont val="Vazirmatn"/>
        <family val="0"/>
        <charset val="1"/>
      </rPr>
      <t xml:space="preserve">.</t>
    </r>
  </si>
  <si>
    <t xml:space="preserve">5001242</t>
  </si>
  <si>
    <t xml:space="preserve">نشاسته سيب زميني</t>
  </si>
  <si>
    <t xml:space="preserve">120058</t>
  </si>
  <si>
    <t xml:space="preserve">اسید استیک</t>
  </si>
  <si>
    <t xml:space="preserve">لیتر</t>
  </si>
  <si>
    <t xml:space="preserve">5003715</t>
  </si>
  <si>
    <t xml:space="preserve">اسيد استيک</t>
  </si>
  <si>
    <t xml:space="preserve">L</t>
  </si>
  <si>
    <t xml:space="preserve">16214004</t>
  </si>
  <si>
    <r>
      <rPr>
        <sz val="10"/>
        <rFont val="FreeSans"/>
        <family val="2"/>
      </rPr>
      <t xml:space="preserve">کابل مسی افشان  </t>
    </r>
    <r>
      <rPr>
        <sz val="10"/>
        <rFont val="Vazirmatn"/>
        <family val="0"/>
        <charset val="1"/>
      </rPr>
      <t xml:space="preserve">120 * 1</t>
    </r>
  </si>
  <si>
    <t xml:space="preserve">متر</t>
  </si>
  <si>
    <t xml:space="preserve">4046693</t>
  </si>
  <si>
    <r>
      <rPr>
        <sz val="10"/>
        <rFont val="FreeSans"/>
        <family val="2"/>
      </rPr>
      <t xml:space="preserve">کابل افشان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مسی</t>
    </r>
    <r>
      <rPr>
        <sz val="10"/>
        <rFont val="Vazirmatn"/>
        <family val="0"/>
        <charset val="1"/>
      </rPr>
      <t xml:space="preserve">-120*1</t>
    </r>
  </si>
  <si>
    <t xml:space="preserve">M</t>
  </si>
  <si>
    <r>
      <rPr>
        <sz val="10"/>
        <rFont val="Vazirmatn"/>
        <family val="0"/>
        <charset val="1"/>
      </rPr>
      <t xml:space="preserve">1621 (</t>
    </r>
    <r>
      <rPr>
        <sz val="10"/>
        <rFont val="FreeSans"/>
        <family val="2"/>
      </rPr>
      <t xml:space="preserve">الکتروموتور، پمپ</t>
    </r>
    <r>
      <rPr>
        <sz val="10"/>
        <rFont val="Vazirmatn"/>
        <family val="0"/>
        <charset val="1"/>
      </rPr>
      <t xml:space="preserve">)</t>
    </r>
  </si>
  <si>
    <t xml:space="preserve">16290002</t>
  </si>
  <si>
    <t xml:space="preserve">کمد بایگانی</t>
  </si>
  <si>
    <t xml:space="preserve">عدد</t>
  </si>
  <si>
    <t xml:space="preserve">6001148</t>
  </si>
  <si>
    <t xml:space="preserve">PC</t>
  </si>
  <si>
    <r>
      <rPr>
        <sz val="10"/>
        <rFont val="Vazirmatn"/>
        <family val="0"/>
        <charset val="1"/>
      </rPr>
      <t xml:space="preserve">1629 (</t>
    </r>
    <r>
      <rPr>
        <sz val="10"/>
        <rFont val="FreeSans"/>
        <family val="2"/>
      </rPr>
      <t xml:space="preserve">ورق، ناودانی</t>
    </r>
    <r>
      <rPr>
        <sz val="10"/>
        <rFont val="Vazirmatn"/>
        <family val="0"/>
        <charset val="1"/>
      </rPr>
      <t xml:space="preserve">)</t>
    </r>
  </si>
  <si>
    <t xml:space="preserve">251017</t>
  </si>
  <si>
    <r>
      <rPr>
        <sz val="10"/>
        <rFont val="FreeSans"/>
        <family val="2"/>
      </rPr>
      <t xml:space="preserve">پالت پلاستیکی   </t>
    </r>
    <r>
      <rPr>
        <sz val="10"/>
        <rFont val="Vazirmatn"/>
        <family val="0"/>
        <charset val="1"/>
      </rPr>
      <t xml:space="preserve">120*100</t>
    </r>
  </si>
  <si>
    <t xml:space="preserve">5012116</t>
  </si>
  <si>
    <r>
      <rPr>
        <sz val="10"/>
        <rFont val="FreeSans"/>
        <family val="2"/>
      </rPr>
      <t xml:space="preserve">پالت پلاستیکی </t>
    </r>
    <r>
      <rPr>
        <sz val="10"/>
        <rFont val="Vazirmatn"/>
        <family val="0"/>
        <charset val="1"/>
      </rPr>
      <t xml:space="preserve">120*100</t>
    </r>
  </si>
  <si>
    <t xml:space="preserve">اقلام بسته بندي</t>
  </si>
  <si>
    <r>
      <rPr>
        <sz val="10"/>
        <rFont val="Vazirmatn"/>
        <family val="0"/>
        <charset val="1"/>
      </rPr>
      <t xml:space="preserve">2510 (</t>
    </r>
    <r>
      <rPr>
        <sz val="10"/>
        <rFont val="FreeSans"/>
        <family val="2"/>
      </rPr>
      <t xml:space="preserve">نایلون، تسمه</t>
    </r>
    <r>
      <rPr>
        <sz val="10"/>
        <rFont val="Vazirmatn"/>
        <family val="0"/>
        <charset val="1"/>
      </rPr>
      <t xml:space="preserve">)</t>
    </r>
  </si>
  <si>
    <t xml:space="preserve">27801002</t>
  </si>
  <si>
    <r>
      <rPr>
        <sz val="10"/>
        <rFont val="FreeSans"/>
        <family val="2"/>
      </rPr>
      <t xml:space="preserve">پالت پلاستیکی  </t>
    </r>
    <r>
      <rPr>
        <sz val="10"/>
        <rFont val="Vazirmatn"/>
        <family val="0"/>
        <charset val="1"/>
      </rPr>
      <t xml:space="preserve">120*100</t>
    </r>
  </si>
  <si>
    <r>
      <rPr>
        <sz val="10"/>
        <rFont val="Vazirmatn"/>
        <family val="0"/>
        <charset val="1"/>
      </rPr>
      <t xml:space="preserve">2780 (</t>
    </r>
    <r>
      <rPr>
        <sz val="10"/>
        <rFont val="FreeSans"/>
        <family val="2"/>
      </rPr>
      <t xml:space="preserve">پالت</t>
    </r>
    <r>
      <rPr>
        <sz val="10"/>
        <rFont val="Vazirmatn"/>
        <family val="0"/>
        <charset val="1"/>
      </rPr>
      <t xml:space="preserve">)</t>
    </r>
  </si>
  <si>
    <t xml:space="preserve">31211604</t>
  </si>
  <si>
    <r>
      <rPr>
        <sz val="10"/>
        <rFont val="FreeSans"/>
        <family val="2"/>
      </rPr>
      <t xml:space="preserve">فیوز  شیشه ای                      </t>
    </r>
    <r>
      <rPr>
        <sz val="10"/>
        <rFont val="Vazirmatn"/>
        <family val="0"/>
        <charset val="1"/>
      </rPr>
      <t xml:space="preserve">20   </t>
    </r>
    <r>
      <rPr>
        <sz val="10"/>
        <rFont val="FreeSans"/>
        <family val="2"/>
      </rPr>
      <t xml:space="preserve">آمپر</t>
    </r>
  </si>
  <si>
    <t xml:space="preserve">4027493</t>
  </si>
  <si>
    <r>
      <rPr>
        <sz val="10"/>
        <rFont val="FreeSans"/>
        <family val="2"/>
      </rPr>
      <t xml:space="preserve">فیوز شیشه ای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آمپر</t>
    </r>
  </si>
  <si>
    <r>
      <rPr>
        <sz val="10"/>
        <rFont val="Vazirmatn"/>
        <family val="0"/>
        <charset val="1"/>
      </rPr>
      <t xml:space="preserve">3121 (</t>
    </r>
    <r>
      <rPr>
        <sz val="10"/>
        <rFont val="FreeSans"/>
        <family val="2"/>
      </rPr>
      <t xml:space="preserve">کلید، کابل</t>
    </r>
    <r>
      <rPr>
        <sz val="10"/>
        <rFont val="Vazirmatn"/>
        <family val="0"/>
        <charset val="1"/>
      </rPr>
      <t xml:space="preserve">)</t>
    </r>
  </si>
  <si>
    <t xml:space="preserve">31212227</t>
  </si>
  <si>
    <t xml:space="preserve">کلید دو پل توکار</t>
  </si>
  <si>
    <t xml:space="preserve">4005505</t>
  </si>
  <si>
    <t xml:space="preserve">کليد دو پل توکار</t>
  </si>
  <si>
    <t xml:space="preserve">31212241</t>
  </si>
  <si>
    <r>
      <rPr>
        <sz val="10"/>
        <rFont val="FreeSans"/>
        <family val="2"/>
      </rPr>
      <t xml:space="preserve">کلید روکار بارانی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تک پل </t>
    </r>
    <r>
      <rPr>
        <sz val="10"/>
        <rFont val="Vazirmatn"/>
        <family val="0"/>
        <charset val="1"/>
      </rPr>
      <t xml:space="preserve">)</t>
    </r>
  </si>
  <si>
    <t xml:space="preserve">4005507</t>
  </si>
  <si>
    <t xml:space="preserve">کليد تک پل باراني روکار</t>
  </si>
  <si>
    <t xml:space="preserve">31212316</t>
  </si>
  <si>
    <t xml:space="preserve">قاب کلید مینیاتوری تکفاز</t>
  </si>
  <si>
    <t xml:space="preserve">4005174</t>
  </si>
  <si>
    <t xml:space="preserve">قاب کليد مينياتوري تک فاز</t>
  </si>
  <si>
    <t xml:space="preserve">31212319</t>
  </si>
  <si>
    <t xml:space="preserve">جعبه کلید حرارتی</t>
  </si>
  <si>
    <t xml:space="preserve">4028133</t>
  </si>
  <si>
    <t xml:space="preserve">31212394</t>
  </si>
  <si>
    <t xml:space="preserve">کلید تک پل تو کار</t>
  </si>
  <si>
    <t xml:space="preserve">4005502</t>
  </si>
  <si>
    <t xml:space="preserve">کليد تک پل توکار</t>
  </si>
  <si>
    <t xml:space="preserve">31213101</t>
  </si>
  <si>
    <t xml:space="preserve">ترمینال فیوزخور</t>
  </si>
  <si>
    <t xml:space="preserve">4042594</t>
  </si>
  <si>
    <r>
      <rPr>
        <sz val="10"/>
        <rFont val="FreeSans"/>
        <family val="2"/>
      </rPr>
      <t xml:space="preserve">ترمینال فیوز خور  </t>
    </r>
    <r>
      <rPr>
        <sz val="10"/>
        <rFont val="Vazirmatn"/>
        <family val="0"/>
        <charset val="1"/>
      </rPr>
      <t xml:space="preserve">RFT5</t>
    </r>
  </si>
  <si>
    <t xml:space="preserve">31213273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</si>
  <si>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شاخه برق به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شاخه</t>
    </r>
  </si>
  <si>
    <t xml:space="preserve">4033183</t>
  </si>
  <si>
    <t xml:space="preserve">تبدیل دو شاخه به سه شاخه برق</t>
  </si>
  <si>
    <t xml:space="preserve">31213701</t>
  </si>
  <si>
    <t xml:space="preserve">پریز روکار تلفن</t>
  </si>
  <si>
    <t xml:space="preserve">4027309</t>
  </si>
  <si>
    <t xml:space="preserve">پریز تلفن روکار</t>
  </si>
  <si>
    <t xml:space="preserve">31213712</t>
  </si>
  <si>
    <r>
      <rPr>
        <sz val="10"/>
        <rFont val="FreeSans"/>
        <family val="2"/>
      </rPr>
      <t xml:space="preserve">پریز  توکار   </t>
    </r>
    <r>
      <rPr>
        <sz val="10"/>
        <rFont val="Vazirmatn"/>
        <family val="0"/>
        <charset val="1"/>
      </rPr>
      <t xml:space="preserve">UPS</t>
    </r>
  </si>
  <si>
    <t xml:space="preserve">4021887</t>
  </si>
  <si>
    <r>
      <rPr>
        <sz val="10"/>
        <rFont val="FreeSans"/>
        <family val="2"/>
      </rPr>
      <t xml:space="preserve">پریز </t>
    </r>
    <r>
      <rPr>
        <sz val="10"/>
        <rFont val="Vazirmatn"/>
        <family val="0"/>
        <charset val="1"/>
      </rPr>
      <t xml:space="preserve">UPS </t>
    </r>
    <r>
      <rPr>
        <sz val="10"/>
        <rFont val="FreeSans"/>
        <family val="2"/>
      </rPr>
      <t xml:space="preserve">توکار</t>
    </r>
  </si>
  <si>
    <t xml:space="preserve">31214005</t>
  </si>
  <si>
    <r>
      <rPr>
        <sz val="10"/>
        <rFont val="FreeSans"/>
        <family val="2"/>
      </rPr>
      <t xml:space="preserve">کابل نیمه افشان  </t>
    </r>
    <r>
      <rPr>
        <sz val="10"/>
        <rFont val="Vazirmatn"/>
        <family val="0"/>
        <charset val="1"/>
      </rPr>
      <t xml:space="preserve">240*1</t>
    </r>
  </si>
  <si>
    <t xml:space="preserve">4020191</t>
  </si>
  <si>
    <t xml:space="preserve">31214750</t>
  </si>
  <si>
    <r>
      <rPr>
        <sz val="10"/>
        <rFont val="FreeSans"/>
        <family val="2"/>
      </rPr>
      <t xml:space="preserve">کابل    افشان         </t>
    </r>
    <r>
      <rPr>
        <sz val="10"/>
        <rFont val="Vazirmatn"/>
        <family val="0"/>
        <charset val="1"/>
      </rPr>
      <t xml:space="preserve">6 * 3</t>
    </r>
  </si>
  <si>
    <t xml:space="preserve">4005953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</si>
  <si>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6*3</t>
    </r>
  </si>
  <si>
    <t xml:space="preserve">31214774</t>
  </si>
  <si>
    <r>
      <rPr>
        <sz val="10"/>
        <rFont val="FreeSans"/>
        <family val="2"/>
      </rPr>
      <t xml:space="preserve">کابل افشان   </t>
    </r>
    <r>
      <rPr>
        <sz val="10"/>
        <rFont val="Vazirmatn"/>
        <family val="0"/>
        <charset val="1"/>
      </rPr>
      <t xml:space="preserve">1 * 7</t>
    </r>
  </si>
  <si>
    <t xml:space="preserve">4020573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</si>
  <si>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1*7</t>
    </r>
  </si>
  <si>
    <t xml:space="preserve">31214787</t>
  </si>
  <si>
    <r>
      <rPr>
        <sz val="10"/>
        <rFont val="FreeSans"/>
        <family val="2"/>
      </rPr>
      <t xml:space="preserve">کابل افشان   </t>
    </r>
    <r>
      <rPr>
        <sz val="10"/>
        <rFont val="Vazirmatn"/>
        <family val="0"/>
        <charset val="1"/>
      </rPr>
      <t xml:space="preserve">10 * 5</t>
    </r>
  </si>
  <si>
    <t xml:space="preserve">4005956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</si>
  <si>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10*5</t>
    </r>
  </si>
  <si>
    <t xml:space="preserve">31214793</t>
  </si>
  <si>
    <r>
      <rPr>
        <sz val="10"/>
        <rFont val="FreeSans"/>
        <family val="2"/>
      </rPr>
      <t xml:space="preserve">کابل تلفن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زوج  </t>
    </r>
    <r>
      <rPr>
        <sz val="10"/>
        <rFont val="Vazirmatn"/>
        <family val="0"/>
        <charset val="1"/>
      </rPr>
      <t xml:space="preserve">0/6</t>
    </r>
  </si>
  <si>
    <t xml:space="preserve">4027566</t>
  </si>
  <si>
    <r>
      <rPr>
        <sz val="10"/>
        <rFont val="FreeSans"/>
        <family val="2"/>
      </rPr>
      <t xml:space="preserve">کابل تلفن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زوج </t>
    </r>
    <r>
      <rPr>
        <sz val="10"/>
        <rFont val="Vazirmatn"/>
        <family val="0"/>
        <charset val="1"/>
      </rPr>
      <t xml:space="preserve">0/6</t>
    </r>
  </si>
  <si>
    <t xml:space="preserve">31214799</t>
  </si>
  <si>
    <r>
      <rPr>
        <sz val="10"/>
        <rFont val="FreeSans"/>
        <family val="2"/>
      </rPr>
      <t xml:space="preserve">سیم افشان      </t>
    </r>
    <r>
      <rPr>
        <sz val="10"/>
        <rFont val="Vazirmatn"/>
        <family val="0"/>
        <charset val="1"/>
      </rPr>
      <t xml:space="preserve">1/5 * 1</t>
    </r>
  </si>
  <si>
    <t xml:space="preserve">4006001</t>
  </si>
  <si>
    <r>
      <rPr>
        <sz val="10"/>
        <rFont val="FreeSans"/>
        <family val="2"/>
      </rPr>
      <t xml:space="preserve">سيم افشان </t>
    </r>
    <r>
      <rPr>
        <sz val="10"/>
        <rFont val="Vazirmatn"/>
        <family val="0"/>
        <charset val="1"/>
      </rPr>
      <t xml:space="preserve">1.5*1</t>
    </r>
  </si>
  <si>
    <t xml:space="preserve">31214805</t>
  </si>
  <si>
    <r>
      <rPr>
        <sz val="10"/>
        <rFont val="FreeSans"/>
        <family val="2"/>
      </rPr>
      <t xml:space="preserve">سیم افشان   </t>
    </r>
    <r>
      <rPr>
        <sz val="10"/>
        <rFont val="Vazirmatn"/>
        <family val="0"/>
        <charset val="1"/>
      </rPr>
      <t xml:space="preserve">1 * 1</t>
    </r>
  </si>
  <si>
    <t xml:space="preserve">4006000</t>
  </si>
  <si>
    <r>
      <rPr>
        <sz val="10"/>
        <rFont val="FreeSans"/>
        <family val="2"/>
      </rPr>
      <t xml:space="preserve">سيم افشان </t>
    </r>
    <r>
      <rPr>
        <sz val="10"/>
        <rFont val="Vazirmatn"/>
        <family val="0"/>
        <charset val="1"/>
      </rPr>
      <t xml:space="preserve">1*1</t>
    </r>
  </si>
  <si>
    <t xml:space="preserve">31214807</t>
  </si>
  <si>
    <r>
      <rPr>
        <sz val="10"/>
        <rFont val="FreeSans"/>
        <family val="2"/>
      </rPr>
      <t xml:space="preserve">سیم افشان   </t>
    </r>
    <r>
      <rPr>
        <sz val="10"/>
        <rFont val="Vazirmatn"/>
        <family val="0"/>
        <charset val="1"/>
      </rPr>
      <t xml:space="preserve">4 * 1</t>
    </r>
  </si>
  <si>
    <t xml:space="preserve">4006003</t>
  </si>
  <si>
    <r>
      <rPr>
        <sz val="10"/>
        <rFont val="FreeSans"/>
        <family val="2"/>
      </rPr>
      <t xml:space="preserve">سيم افشان </t>
    </r>
    <r>
      <rPr>
        <sz val="10"/>
        <rFont val="Vazirmatn"/>
        <family val="0"/>
        <charset val="1"/>
      </rPr>
      <t xml:space="preserve">4*1</t>
    </r>
  </si>
  <si>
    <t xml:space="preserve">31214808</t>
  </si>
  <si>
    <r>
      <rPr>
        <sz val="10"/>
        <rFont val="FreeSans"/>
        <family val="2"/>
      </rPr>
      <t xml:space="preserve">سیم افشان   </t>
    </r>
    <r>
      <rPr>
        <sz val="10"/>
        <rFont val="Vazirmatn"/>
        <family val="0"/>
        <charset val="1"/>
      </rPr>
      <t xml:space="preserve">6 * 1</t>
    </r>
  </si>
  <si>
    <t xml:space="preserve">4006004</t>
  </si>
  <si>
    <r>
      <rPr>
        <sz val="10"/>
        <rFont val="FreeSans"/>
        <family val="2"/>
      </rPr>
      <t xml:space="preserve">سيم افشان </t>
    </r>
    <r>
      <rPr>
        <sz val="10"/>
        <rFont val="Vazirmatn"/>
        <family val="0"/>
        <charset val="1"/>
      </rPr>
      <t xml:space="preserve">6*1</t>
    </r>
  </si>
  <si>
    <t xml:space="preserve">31214811</t>
  </si>
  <si>
    <r>
      <rPr>
        <sz val="10"/>
        <rFont val="FreeSans"/>
        <family val="2"/>
      </rPr>
      <t xml:space="preserve">سیم افشان      </t>
    </r>
    <r>
      <rPr>
        <sz val="10"/>
        <rFont val="Vazirmatn"/>
        <family val="0"/>
        <charset val="1"/>
      </rPr>
      <t xml:space="preserve">2/5 * 1</t>
    </r>
  </si>
  <si>
    <t xml:space="preserve">4006002</t>
  </si>
  <si>
    <r>
      <rPr>
        <sz val="10"/>
        <rFont val="FreeSans"/>
        <family val="2"/>
      </rPr>
      <t xml:space="preserve">سيم افشان </t>
    </r>
    <r>
      <rPr>
        <sz val="10"/>
        <rFont val="Vazirmatn"/>
        <family val="0"/>
        <charset val="1"/>
      </rPr>
      <t xml:space="preserve">2.5*1</t>
    </r>
  </si>
  <si>
    <t xml:space="preserve">31214829</t>
  </si>
  <si>
    <r>
      <rPr>
        <sz val="10"/>
        <rFont val="FreeSans"/>
        <family val="2"/>
      </rPr>
      <t xml:space="preserve">کابل جوشکاری نمره  </t>
    </r>
    <r>
      <rPr>
        <sz val="10"/>
        <rFont val="Vazirmatn"/>
        <family val="0"/>
        <charset val="1"/>
      </rPr>
      <t xml:space="preserve">12</t>
    </r>
  </si>
  <si>
    <t xml:space="preserve">4001842</t>
  </si>
  <si>
    <r>
      <rPr>
        <sz val="10"/>
        <rFont val="FreeSans"/>
        <family val="2"/>
      </rPr>
      <t xml:space="preserve">کابل جوشکاري نمره </t>
    </r>
    <r>
      <rPr>
        <sz val="10"/>
        <rFont val="Vazirmatn"/>
        <family val="0"/>
        <charset val="1"/>
      </rPr>
      <t xml:space="preserve">12</t>
    </r>
  </si>
  <si>
    <t xml:space="preserve">31214830</t>
  </si>
  <si>
    <r>
      <rPr>
        <sz val="10"/>
        <rFont val="FreeSans"/>
        <family val="2"/>
      </rPr>
      <t xml:space="preserve">سیم افشان     </t>
    </r>
    <r>
      <rPr>
        <sz val="10"/>
        <rFont val="Vazirmatn"/>
        <family val="0"/>
        <charset val="1"/>
      </rPr>
      <t xml:space="preserve">10 * 1</t>
    </r>
  </si>
  <si>
    <t xml:space="preserve">4006005</t>
  </si>
  <si>
    <r>
      <rPr>
        <sz val="10"/>
        <rFont val="FreeSans"/>
        <family val="2"/>
      </rPr>
      <t xml:space="preserve">سيم افشان </t>
    </r>
    <r>
      <rPr>
        <sz val="10"/>
        <rFont val="Vazirmatn"/>
        <family val="0"/>
        <charset val="1"/>
      </rPr>
      <t xml:space="preserve">10*1</t>
    </r>
  </si>
  <si>
    <t xml:space="preserve">31214837</t>
  </si>
  <si>
    <r>
      <rPr>
        <sz val="10"/>
        <rFont val="FreeSans"/>
        <family val="2"/>
      </rPr>
      <t xml:space="preserve">کابل مسی نیمه افشان   </t>
    </r>
    <r>
      <rPr>
        <sz val="10"/>
        <rFont val="Vazirmatn"/>
        <family val="0"/>
        <charset val="1"/>
      </rPr>
      <t xml:space="preserve">185 * 1</t>
    </r>
  </si>
  <si>
    <t xml:space="preserve">4059975</t>
  </si>
  <si>
    <r>
      <rPr>
        <sz val="10"/>
        <rFont val="FreeSans"/>
        <family val="2"/>
      </rPr>
      <t xml:space="preserve">کابل نیمه افشان </t>
    </r>
    <r>
      <rPr>
        <sz val="10"/>
        <rFont val="Vazirmatn"/>
        <family val="0"/>
        <charset val="1"/>
      </rPr>
      <t xml:space="preserve">185*1 </t>
    </r>
    <r>
      <rPr>
        <sz val="10"/>
        <rFont val="FreeSans"/>
        <family val="2"/>
      </rPr>
      <t xml:space="preserve">مسی</t>
    </r>
  </si>
  <si>
    <t xml:space="preserve">31214840</t>
  </si>
  <si>
    <r>
      <rPr>
        <sz val="10"/>
        <rFont val="FreeSans"/>
        <family val="2"/>
      </rPr>
      <t xml:space="preserve">کابل افشان    </t>
    </r>
    <r>
      <rPr>
        <sz val="10"/>
        <rFont val="Vazirmatn"/>
        <family val="0"/>
        <charset val="1"/>
      </rPr>
      <t xml:space="preserve">1/5   *  7</t>
    </r>
  </si>
  <si>
    <t xml:space="preserve">4009272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</si>
  <si>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1.5 * 7</t>
    </r>
  </si>
  <si>
    <t xml:space="preserve">31214852</t>
  </si>
  <si>
    <r>
      <rPr>
        <sz val="10"/>
        <rFont val="FreeSans"/>
        <family val="2"/>
      </rPr>
      <t xml:space="preserve">سیم ارت افشان  </t>
    </r>
    <r>
      <rPr>
        <sz val="10"/>
        <rFont val="Vazirmatn"/>
        <family val="0"/>
        <charset val="1"/>
      </rPr>
      <t xml:space="preserve">2/5 * 1</t>
    </r>
  </si>
  <si>
    <t xml:space="preserve">4006010</t>
  </si>
  <si>
    <r>
      <rPr>
        <sz val="10"/>
        <rFont val="FreeSans"/>
        <family val="2"/>
      </rPr>
      <t xml:space="preserve">سيم افشان ارت </t>
    </r>
    <r>
      <rPr>
        <sz val="10"/>
        <rFont val="Vazirmatn"/>
        <family val="0"/>
        <charset val="1"/>
      </rPr>
      <t xml:space="preserve">2.5*1</t>
    </r>
  </si>
  <si>
    <t xml:space="preserve">31214853</t>
  </si>
  <si>
    <r>
      <rPr>
        <sz val="10"/>
        <rFont val="FreeSans"/>
        <family val="2"/>
      </rPr>
      <t xml:space="preserve">سیم ارت افشان  </t>
    </r>
    <r>
      <rPr>
        <sz val="10"/>
        <rFont val="Vazirmatn"/>
        <family val="0"/>
        <charset val="1"/>
      </rPr>
      <t xml:space="preserve">16 * 1</t>
    </r>
  </si>
  <si>
    <t xml:space="preserve">4034113</t>
  </si>
  <si>
    <r>
      <rPr>
        <sz val="10"/>
        <rFont val="FreeSans"/>
        <family val="2"/>
      </rPr>
      <t xml:space="preserve">سیم افشان ارت </t>
    </r>
    <r>
      <rPr>
        <sz val="10"/>
        <rFont val="Vazirmatn"/>
        <family val="0"/>
        <charset val="1"/>
      </rPr>
      <t xml:space="preserve">16*1</t>
    </r>
  </si>
  <si>
    <t xml:space="preserve">31214883</t>
  </si>
  <si>
    <r>
      <rPr>
        <sz val="10"/>
        <rFont val="FreeSans"/>
        <family val="2"/>
      </rPr>
      <t xml:space="preserve">کابل شبکه   </t>
    </r>
    <r>
      <rPr>
        <sz val="10"/>
        <rFont val="Vazirmatn"/>
        <family val="0"/>
        <charset val="1"/>
      </rPr>
      <t xml:space="preserve">cat 6</t>
    </r>
  </si>
  <si>
    <t xml:space="preserve">5002265</t>
  </si>
  <si>
    <r>
      <rPr>
        <sz val="10"/>
        <rFont val="FreeSans"/>
        <family val="2"/>
      </rPr>
      <t xml:space="preserve">کابل شبکه </t>
    </r>
    <r>
      <rPr>
        <sz val="10"/>
        <rFont val="Vazirmatn"/>
        <family val="0"/>
        <charset val="1"/>
      </rPr>
      <t xml:space="preserve">CAT6</t>
    </r>
  </si>
  <si>
    <t xml:space="preserve">31214898</t>
  </si>
  <si>
    <r>
      <rPr>
        <sz val="10"/>
        <rFont val="FreeSans"/>
        <family val="2"/>
      </rPr>
      <t xml:space="preserve">کابل افشان    </t>
    </r>
    <r>
      <rPr>
        <sz val="10"/>
        <rFont val="Vazirmatn"/>
        <family val="0"/>
        <charset val="1"/>
      </rPr>
      <t xml:space="preserve">1   *  5</t>
    </r>
  </si>
  <si>
    <t xml:space="preserve">4009274</t>
  </si>
  <si>
    <r>
      <rPr>
        <sz val="10"/>
        <rFont val="FreeSans"/>
        <family val="2"/>
      </rPr>
      <t xml:space="preserve">کابل افشان</t>
    </r>
    <r>
      <rPr>
        <sz val="10"/>
        <rFont val="Vazirmatn"/>
        <family val="0"/>
        <charset val="1"/>
      </rPr>
      <t xml:space="preserve">1 * 5</t>
    </r>
  </si>
  <si>
    <t xml:space="preserve">31214901</t>
  </si>
  <si>
    <r>
      <rPr>
        <sz val="10"/>
        <rFont val="FreeSans"/>
        <family val="2"/>
      </rPr>
      <t xml:space="preserve">کابل افشان            </t>
    </r>
    <r>
      <rPr>
        <sz val="10"/>
        <rFont val="Vazirmatn"/>
        <family val="0"/>
        <charset val="1"/>
      </rPr>
      <t xml:space="preserve">2/5*2</t>
    </r>
  </si>
  <si>
    <t xml:space="preserve">4005946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</si>
  <si>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2.5*2</t>
    </r>
  </si>
  <si>
    <t xml:space="preserve">31214907</t>
  </si>
  <si>
    <r>
      <rPr>
        <sz val="10"/>
        <rFont val="FreeSans"/>
        <family val="2"/>
      </rPr>
      <t xml:space="preserve">کابل افشان شیلددار           </t>
    </r>
    <r>
      <rPr>
        <sz val="10"/>
        <rFont val="Vazirmatn"/>
        <family val="0"/>
        <charset val="1"/>
      </rPr>
      <t xml:space="preserve">1 * 2</t>
    </r>
  </si>
  <si>
    <t xml:space="preserve">4020577</t>
  </si>
  <si>
    <r>
      <rPr>
        <sz val="10"/>
        <rFont val="FreeSans"/>
        <family val="2"/>
      </rPr>
      <t xml:space="preserve">کابل افشان شیلددار </t>
    </r>
    <r>
      <rPr>
        <sz val="10"/>
        <rFont val="Vazirmatn"/>
        <family val="0"/>
        <charset val="1"/>
      </rPr>
      <t xml:space="preserve">1*2</t>
    </r>
  </si>
  <si>
    <t xml:space="preserve">31214910</t>
  </si>
  <si>
    <r>
      <rPr>
        <sz val="10"/>
        <rFont val="FreeSans"/>
        <family val="2"/>
      </rPr>
      <t xml:space="preserve">کابل افشان    </t>
    </r>
    <r>
      <rPr>
        <sz val="10"/>
        <rFont val="Vazirmatn"/>
        <family val="0"/>
        <charset val="1"/>
      </rPr>
      <t xml:space="preserve">2/5 * 3</t>
    </r>
  </si>
  <si>
    <t xml:space="preserve">4005951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</si>
  <si>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2.5*3</t>
    </r>
  </si>
  <si>
    <t xml:space="preserve">31214911</t>
  </si>
  <si>
    <r>
      <rPr>
        <sz val="10"/>
        <rFont val="FreeSans"/>
        <family val="2"/>
      </rPr>
      <t xml:space="preserve">کابل افشان          </t>
    </r>
    <r>
      <rPr>
        <sz val="10"/>
        <rFont val="Vazirmatn"/>
        <family val="0"/>
        <charset val="1"/>
      </rPr>
      <t xml:space="preserve">1/5*2</t>
    </r>
  </si>
  <si>
    <t xml:space="preserve">4005945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</si>
  <si>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1.5*2</t>
    </r>
  </si>
  <si>
    <t xml:space="preserve">31214913</t>
  </si>
  <si>
    <r>
      <rPr>
        <sz val="10"/>
        <rFont val="FreeSans"/>
        <family val="2"/>
      </rPr>
      <t xml:space="preserve">کابل  افشان                 </t>
    </r>
    <r>
      <rPr>
        <sz val="10"/>
        <rFont val="Vazirmatn"/>
        <family val="0"/>
        <charset val="1"/>
      </rPr>
      <t xml:space="preserve">1/5 * 3</t>
    </r>
  </si>
  <si>
    <t xml:space="preserve">4005950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</si>
  <si>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1.5*3</t>
    </r>
  </si>
  <si>
    <t xml:space="preserve">31214920</t>
  </si>
  <si>
    <r>
      <rPr>
        <sz val="10"/>
        <rFont val="FreeSans"/>
        <family val="2"/>
      </rPr>
      <t xml:space="preserve">کابل  افشان          </t>
    </r>
    <r>
      <rPr>
        <sz val="10"/>
        <rFont val="Vazirmatn"/>
        <family val="0"/>
        <charset val="1"/>
      </rPr>
      <t xml:space="preserve">16*5</t>
    </r>
  </si>
  <si>
    <t xml:space="preserve">5002572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</si>
  <si>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16*5</t>
    </r>
  </si>
  <si>
    <t xml:space="preserve">31214922</t>
  </si>
  <si>
    <r>
      <rPr>
        <sz val="10"/>
        <rFont val="FreeSans"/>
        <family val="2"/>
      </rPr>
      <t xml:space="preserve">کابل افشان             </t>
    </r>
    <r>
      <rPr>
        <sz val="10"/>
        <rFont val="Vazirmatn"/>
        <family val="0"/>
        <charset val="1"/>
      </rPr>
      <t xml:space="preserve">1 * 4</t>
    </r>
  </si>
  <si>
    <t xml:space="preserve">4008556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</si>
  <si>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1*4</t>
    </r>
  </si>
  <si>
    <t xml:space="preserve">31214923</t>
  </si>
  <si>
    <r>
      <rPr>
        <sz val="10"/>
        <rFont val="FreeSans"/>
        <family val="2"/>
      </rPr>
      <t xml:space="preserve">کابل افشان          </t>
    </r>
    <r>
      <rPr>
        <sz val="10"/>
        <rFont val="Vazirmatn"/>
        <family val="0"/>
        <charset val="1"/>
      </rPr>
      <t xml:space="preserve">1/5* 4</t>
    </r>
  </si>
  <si>
    <t xml:space="preserve">4005954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</si>
  <si>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1.5*4</t>
    </r>
  </si>
  <si>
    <t xml:space="preserve">31214927</t>
  </si>
  <si>
    <r>
      <rPr>
        <sz val="10"/>
        <rFont val="FreeSans"/>
        <family val="2"/>
      </rPr>
      <t xml:space="preserve">کابل افشان         </t>
    </r>
    <r>
      <rPr>
        <sz val="10"/>
        <rFont val="Vazirmatn"/>
        <family val="0"/>
        <charset val="1"/>
      </rPr>
      <t xml:space="preserve">2/5 * 4</t>
    </r>
  </si>
  <si>
    <t xml:space="preserve">4005955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</si>
  <si>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2.5*4</t>
    </r>
  </si>
  <si>
    <t xml:space="preserve">31214928</t>
  </si>
  <si>
    <r>
      <rPr>
        <sz val="10"/>
        <rFont val="FreeSans"/>
        <family val="2"/>
      </rPr>
      <t xml:space="preserve">کابل افشان        </t>
    </r>
    <r>
      <rPr>
        <sz val="10"/>
        <rFont val="Vazirmatn"/>
        <family val="0"/>
        <charset val="1"/>
      </rPr>
      <t xml:space="preserve">2/5 * 5</t>
    </r>
  </si>
  <si>
    <t xml:space="preserve">4005957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</si>
  <si>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2.5*5</t>
    </r>
  </si>
  <si>
    <t xml:space="preserve">31214929</t>
  </si>
  <si>
    <r>
      <rPr>
        <sz val="10"/>
        <rFont val="FreeSans"/>
        <family val="2"/>
      </rPr>
      <t xml:space="preserve">کابل افشان         </t>
    </r>
    <r>
      <rPr>
        <sz val="10"/>
        <rFont val="Vazirmatn"/>
        <family val="0"/>
        <charset val="1"/>
      </rPr>
      <t xml:space="preserve">1/5 * 5</t>
    </r>
  </si>
  <si>
    <t xml:space="preserve">4059828</t>
  </si>
  <si>
    <r>
      <rPr>
        <sz val="10"/>
        <rFont val="FreeSans"/>
        <family val="2"/>
      </rPr>
      <t xml:space="preserve">کابل افشان  </t>
    </r>
    <r>
      <rPr>
        <sz val="10"/>
        <rFont val="Vazirmatn"/>
        <family val="0"/>
        <charset val="1"/>
      </rPr>
      <t xml:space="preserve">1.5*5</t>
    </r>
  </si>
  <si>
    <t xml:space="preserve">31214930</t>
  </si>
  <si>
    <r>
      <rPr>
        <sz val="10"/>
        <rFont val="FreeSans"/>
        <family val="2"/>
      </rPr>
      <t xml:space="preserve">کابل    افشان          </t>
    </r>
    <r>
      <rPr>
        <sz val="10"/>
        <rFont val="Vazirmatn"/>
        <family val="0"/>
        <charset val="1"/>
      </rPr>
      <t xml:space="preserve">4 * 3</t>
    </r>
  </si>
  <si>
    <t xml:space="preserve">4005952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</si>
  <si>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4*3</t>
    </r>
  </si>
  <si>
    <t xml:space="preserve">31214932</t>
  </si>
  <si>
    <r>
      <rPr>
        <sz val="10"/>
        <rFont val="FreeSans"/>
        <family val="2"/>
      </rPr>
      <t xml:space="preserve">کابل  افشان            </t>
    </r>
    <r>
      <rPr>
        <sz val="10"/>
        <rFont val="Vazirmatn"/>
        <family val="0"/>
        <charset val="1"/>
      </rPr>
      <t xml:space="preserve">6 * 5</t>
    </r>
  </si>
  <si>
    <t xml:space="preserve">4005959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</si>
  <si>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6*5</t>
    </r>
  </si>
  <si>
    <t xml:space="preserve">31214933</t>
  </si>
  <si>
    <r>
      <rPr>
        <sz val="10"/>
        <rFont val="FreeSans"/>
        <family val="2"/>
      </rPr>
      <t xml:space="preserve">کابل افشان             </t>
    </r>
    <r>
      <rPr>
        <sz val="10"/>
        <rFont val="Vazirmatn"/>
        <family val="0"/>
        <charset val="1"/>
      </rPr>
      <t xml:space="preserve">4 * 4</t>
    </r>
  </si>
  <si>
    <t xml:space="preserve">4006809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</si>
  <si>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4*4</t>
    </r>
  </si>
  <si>
    <t xml:space="preserve">31214939</t>
  </si>
  <si>
    <r>
      <rPr>
        <sz val="10"/>
        <rFont val="FreeSans"/>
        <family val="2"/>
      </rPr>
      <t xml:space="preserve">کابل افشان         </t>
    </r>
    <r>
      <rPr>
        <sz val="10"/>
        <rFont val="Vazirmatn"/>
        <family val="0"/>
        <charset val="1"/>
      </rPr>
      <t xml:space="preserve">16 * 4</t>
    </r>
  </si>
  <si>
    <t xml:space="preserve">4017566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</si>
  <si>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16*4</t>
    </r>
  </si>
  <si>
    <t xml:space="preserve">31214942</t>
  </si>
  <si>
    <r>
      <rPr>
        <sz val="10"/>
        <rFont val="FreeSans"/>
        <family val="2"/>
      </rPr>
      <t xml:space="preserve">کابل افشان            </t>
    </r>
    <r>
      <rPr>
        <sz val="10"/>
        <rFont val="Vazirmatn"/>
        <family val="0"/>
        <charset val="1"/>
      </rPr>
      <t xml:space="preserve">6* 4</t>
    </r>
  </si>
  <si>
    <t xml:space="preserve">4017570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</si>
  <si>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6*4</t>
    </r>
  </si>
  <si>
    <t xml:space="preserve">31214943</t>
  </si>
  <si>
    <r>
      <rPr>
        <sz val="10"/>
        <rFont val="FreeSans"/>
        <family val="2"/>
      </rPr>
      <t xml:space="preserve">کابل افشان      </t>
    </r>
    <r>
      <rPr>
        <sz val="10"/>
        <rFont val="Vazirmatn"/>
        <family val="0"/>
        <charset val="1"/>
      </rPr>
      <t xml:space="preserve">10*4</t>
    </r>
  </si>
  <si>
    <t xml:space="preserve">4017569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</si>
  <si>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10*4</t>
    </r>
  </si>
  <si>
    <t xml:space="preserve">31215100</t>
  </si>
  <si>
    <r>
      <rPr>
        <sz val="10"/>
        <rFont val="FreeSans"/>
        <family val="2"/>
      </rPr>
      <t xml:space="preserve">گلند  پلاستیکی </t>
    </r>
    <r>
      <rPr>
        <sz val="10"/>
        <rFont val="Vazirmatn"/>
        <family val="0"/>
        <charset val="1"/>
      </rPr>
      <t xml:space="preserve">PG 42</t>
    </r>
  </si>
  <si>
    <t xml:space="preserve">5003396</t>
  </si>
  <si>
    <r>
      <rPr>
        <sz val="10"/>
        <rFont val="FreeSans"/>
        <family val="2"/>
      </rPr>
      <t xml:space="preserve">گلند پلاستيکي </t>
    </r>
    <r>
      <rPr>
        <sz val="10"/>
        <rFont val="Vazirmatn"/>
        <family val="0"/>
        <charset val="1"/>
      </rPr>
      <t xml:space="preserve">PG42</t>
    </r>
  </si>
  <si>
    <t xml:space="preserve">31215101</t>
  </si>
  <si>
    <r>
      <rPr>
        <sz val="10"/>
        <rFont val="FreeSans"/>
        <family val="2"/>
      </rPr>
      <t xml:space="preserve">گلند  پلاستیکی </t>
    </r>
    <r>
      <rPr>
        <sz val="10"/>
        <rFont val="Vazirmatn"/>
        <family val="0"/>
        <charset val="1"/>
      </rPr>
      <t xml:space="preserve">PG 13/5</t>
    </r>
  </si>
  <si>
    <t xml:space="preserve">5003391</t>
  </si>
  <si>
    <r>
      <rPr>
        <sz val="10"/>
        <rFont val="FreeSans"/>
        <family val="2"/>
      </rPr>
      <t xml:space="preserve">گلند پلاستيکي </t>
    </r>
    <r>
      <rPr>
        <sz val="10"/>
        <rFont val="Vazirmatn"/>
        <family val="0"/>
        <charset val="1"/>
      </rPr>
      <t xml:space="preserve">PG13.5</t>
    </r>
  </si>
  <si>
    <t xml:space="preserve">31215103</t>
  </si>
  <si>
    <r>
      <rPr>
        <sz val="10"/>
        <rFont val="FreeSans"/>
        <family val="2"/>
      </rPr>
      <t xml:space="preserve">گلند پلاستیکی       </t>
    </r>
    <r>
      <rPr>
        <sz val="10"/>
        <rFont val="Vazirmatn"/>
        <family val="0"/>
        <charset val="1"/>
      </rPr>
      <t xml:space="preserve">PG11</t>
    </r>
  </si>
  <si>
    <t xml:space="preserve">5003390</t>
  </si>
  <si>
    <r>
      <rPr>
        <sz val="10"/>
        <rFont val="FreeSans"/>
        <family val="2"/>
      </rPr>
      <t xml:space="preserve">گلند پلاستيکي </t>
    </r>
    <r>
      <rPr>
        <sz val="10"/>
        <rFont val="Vazirmatn"/>
        <family val="0"/>
        <charset val="1"/>
      </rPr>
      <t xml:space="preserve">PG11</t>
    </r>
  </si>
  <si>
    <t xml:space="preserve">31215117</t>
  </si>
  <si>
    <r>
      <rPr>
        <sz val="10"/>
        <rFont val="FreeSans"/>
        <family val="2"/>
      </rPr>
      <t xml:space="preserve">گلند  پلاستیکی </t>
    </r>
    <r>
      <rPr>
        <sz val="10"/>
        <rFont val="Vazirmatn"/>
        <family val="0"/>
        <charset val="1"/>
      </rPr>
      <t xml:space="preserve">PG 29</t>
    </r>
  </si>
  <si>
    <t xml:space="preserve">5003394</t>
  </si>
  <si>
    <r>
      <rPr>
        <sz val="10"/>
        <rFont val="FreeSans"/>
        <family val="2"/>
      </rPr>
      <t xml:space="preserve">گلند پلاستيکي </t>
    </r>
    <r>
      <rPr>
        <sz val="10"/>
        <rFont val="Vazirmatn"/>
        <family val="0"/>
        <charset val="1"/>
      </rPr>
      <t xml:space="preserve">PG29</t>
    </r>
  </si>
  <si>
    <t xml:space="preserve">31215119</t>
  </si>
  <si>
    <r>
      <rPr>
        <sz val="10"/>
        <rFont val="FreeSans"/>
        <family val="2"/>
      </rPr>
      <t xml:space="preserve">گلند  پلاستیکی </t>
    </r>
    <r>
      <rPr>
        <sz val="10"/>
        <rFont val="Vazirmatn"/>
        <family val="0"/>
        <charset val="1"/>
      </rPr>
      <t xml:space="preserve">PG 36</t>
    </r>
  </si>
  <si>
    <t xml:space="preserve">5003395</t>
  </si>
  <si>
    <r>
      <rPr>
        <sz val="10"/>
        <rFont val="FreeSans"/>
        <family val="2"/>
      </rPr>
      <t xml:space="preserve">گلند پلاستيکي </t>
    </r>
    <r>
      <rPr>
        <sz val="10"/>
        <rFont val="Vazirmatn"/>
        <family val="0"/>
        <charset val="1"/>
      </rPr>
      <t xml:space="preserve">PG36</t>
    </r>
  </si>
  <si>
    <t xml:space="preserve">31215128</t>
  </si>
  <si>
    <r>
      <rPr>
        <sz val="10"/>
        <rFont val="FreeSans"/>
        <family val="2"/>
      </rPr>
      <t xml:space="preserve">گلند  پلاستیکی </t>
    </r>
    <r>
      <rPr>
        <sz val="10"/>
        <rFont val="Vazirmatn"/>
        <family val="0"/>
        <charset val="1"/>
      </rPr>
      <t xml:space="preserve">PG 48</t>
    </r>
  </si>
  <si>
    <t xml:space="preserve">5003397</t>
  </si>
  <si>
    <r>
      <rPr>
        <sz val="10"/>
        <rFont val="FreeSans"/>
        <family val="2"/>
      </rPr>
      <t xml:space="preserve">گلند پلاستيکي </t>
    </r>
    <r>
      <rPr>
        <sz val="10"/>
        <rFont val="Vazirmatn"/>
        <family val="0"/>
        <charset val="1"/>
      </rPr>
      <t xml:space="preserve">PG48</t>
    </r>
  </si>
  <si>
    <t xml:space="preserve">31216111</t>
  </si>
  <si>
    <r>
      <rPr>
        <sz val="10"/>
        <rFont val="FreeSans"/>
        <family val="2"/>
      </rPr>
      <t xml:space="preserve">بوبین شیر برقی </t>
    </r>
    <r>
      <rPr>
        <sz val="10"/>
        <rFont val="Vazirmatn"/>
        <family val="0"/>
        <charset val="1"/>
      </rPr>
      <t xml:space="preserve">220V</t>
    </r>
  </si>
  <si>
    <t xml:space="preserve">4030029</t>
  </si>
  <si>
    <r>
      <rPr>
        <sz val="10"/>
        <rFont val="FreeSans"/>
        <family val="2"/>
      </rPr>
      <t xml:space="preserve">بوبین شیر برقی </t>
    </r>
    <r>
      <rPr>
        <sz val="10"/>
        <rFont val="Vazirmatn"/>
        <family val="0"/>
        <charset val="1"/>
      </rPr>
      <t xml:space="preserve">220 </t>
    </r>
    <r>
      <rPr>
        <sz val="10"/>
        <rFont val="FreeSans"/>
        <family val="2"/>
      </rPr>
      <t xml:space="preserve">ولت</t>
    </r>
  </si>
  <si>
    <t xml:space="preserve">31217017</t>
  </si>
  <si>
    <r>
      <rPr>
        <sz val="10"/>
        <rFont val="FreeSans"/>
        <family val="2"/>
      </rPr>
      <t xml:space="preserve">فن تابلویی </t>
    </r>
    <r>
      <rPr>
        <sz val="10"/>
        <rFont val="Vazirmatn"/>
        <family val="0"/>
        <charset val="1"/>
      </rPr>
      <t xml:space="preserve">20*20</t>
    </r>
  </si>
  <si>
    <t xml:space="preserve">4027944</t>
  </si>
  <si>
    <r>
      <rPr>
        <sz val="10"/>
        <rFont val="FreeSans"/>
        <family val="2"/>
      </rPr>
      <t xml:space="preserve">فن تابلویی </t>
    </r>
    <r>
      <rPr>
        <sz val="10"/>
        <rFont val="Vazirmatn"/>
        <family val="0"/>
        <charset val="1"/>
      </rPr>
      <t xml:space="preserve">20 * 20</t>
    </r>
  </si>
  <si>
    <t xml:space="preserve">31217105</t>
  </si>
  <si>
    <r>
      <rPr>
        <sz val="10"/>
        <rFont val="FreeSans"/>
        <family val="2"/>
      </rPr>
      <t xml:space="preserve">الکتروموتور       </t>
    </r>
    <r>
      <rPr>
        <sz val="10"/>
        <rFont val="Vazirmatn"/>
        <family val="0"/>
        <charset val="1"/>
      </rPr>
      <t xml:space="preserve">5/5KW   1400RPM</t>
    </r>
  </si>
  <si>
    <t xml:space="preserve">دستگاه</t>
  </si>
  <si>
    <t xml:space="preserve">4027697</t>
  </si>
  <si>
    <r>
      <rPr>
        <sz val="10"/>
        <rFont val="FreeSans"/>
        <family val="2"/>
      </rPr>
      <t xml:space="preserve">الکتروموتور </t>
    </r>
    <r>
      <rPr>
        <sz val="10"/>
        <rFont val="Vazirmatn"/>
        <family val="0"/>
        <charset val="1"/>
      </rPr>
      <t xml:space="preserve">5.5KW - 1400rpm</t>
    </r>
  </si>
  <si>
    <t xml:space="preserve">DST</t>
  </si>
  <si>
    <t xml:space="preserve">31217156</t>
  </si>
  <si>
    <r>
      <rPr>
        <sz val="10"/>
        <rFont val="FreeSans"/>
        <family val="2"/>
      </rPr>
      <t xml:space="preserve">الکتروموتور    </t>
    </r>
    <r>
      <rPr>
        <sz val="10"/>
        <rFont val="Vazirmatn"/>
        <family val="0"/>
        <charset val="1"/>
      </rPr>
      <t xml:space="preserve">7/5KW  1450 RPM</t>
    </r>
  </si>
  <si>
    <t xml:space="preserve">4027734</t>
  </si>
  <si>
    <r>
      <rPr>
        <sz val="10"/>
        <rFont val="FreeSans"/>
        <family val="2"/>
      </rPr>
      <t xml:space="preserve">الکترو موتور </t>
    </r>
    <r>
      <rPr>
        <sz val="10"/>
        <rFont val="Vazirmatn"/>
        <family val="0"/>
        <charset val="1"/>
      </rPr>
      <t xml:space="preserve">7.5KW - 1450rpm</t>
    </r>
  </si>
  <si>
    <t xml:space="preserve">31218127</t>
  </si>
  <si>
    <t xml:space="preserve">کاغذ  پرچ</t>
  </si>
  <si>
    <t xml:space="preserve">برگ</t>
  </si>
  <si>
    <t xml:space="preserve">5002982</t>
  </si>
  <si>
    <t xml:space="preserve">کاغذ پرچ</t>
  </si>
  <si>
    <t xml:space="preserve">SHT</t>
  </si>
  <si>
    <t xml:space="preserve">31218563</t>
  </si>
  <si>
    <t xml:space="preserve">چراغ مطالعه</t>
  </si>
  <si>
    <t xml:space="preserve">6003903</t>
  </si>
  <si>
    <t xml:space="preserve">31218910</t>
  </si>
  <si>
    <t xml:space="preserve">چراغ  تونلی</t>
  </si>
  <si>
    <t xml:space="preserve">4013456</t>
  </si>
  <si>
    <t xml:space="preserve">چراغ تونلي</t>
  </si>
  <si>
    <t xml:space="preserve">31219458</t>
  </si>
  <si>
    <t xml:space="preserve">دماسنج الکلی</t>
  </si>
  <si>
    <t xml:space="preserve">4005259</t>
  </si>
  <si>
    <t xml:space="preserve">دماسنج الکلي</t>
  </si>
  <si>
    <t xml:space="preserve">31222118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</si>
  <si>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10*72*95</t>
    </r>
  </si>
  <si>
    <t xml:space="preserve">4025044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</si>
  <si>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10*95*72</t>
    </r>
  </si>
  <si>
    <r>
      <rPr>
        <sz val="10"/>
        <rFont val="Vazirmatn"/>
        <family val="0"/>
        <charset val="1"/>
      </rPr>
      <t xml:space="preserve">3122 (</t>
    </r>
    <r>
      <rPr>
        <sz val="10"/>
        <rFont val="FreeSans"/>
        <family val="2"/>
      </rPr>
      <t xml:space="preserve">اورینگ، کاسه</t>
    </r>
    <r>
      <rPr>
        <sz val="10"/>
        <rFont val="Vazirmatn"/>
        <family val="0"/>
        <charset val="1"/>
      </rPr>
      <t xml:space="preserve">)</t>
    </r>
  </si>
  <si>
    <t xml:space="preserve">31222142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</si>
  <si>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5*20*30</t>
    </r>
  </si>
  <si>
    <t xml:space="preserve">4025074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</si>
  <si>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5*30*20</t>
    </r>
  </si>
  <si>
    <t xml:space="preserve">31222150</t>
  </si>
  <si>
    <r>
      <rPr>
        <sz val="10"/>
        <rFont val="FreeSans"/>
        <family val="2"/>
      </rPr>
      <t xml:space="preserve">کاسه نمد         </t>
    </r>
    <r>
      <rPr>
        <sz val="10"/>
        <rFont val="Vazirmatn"/>
        <family val="0"/>
        <charset val="1"/>
      </rPr>
      <t xml:space="preserve">10* 30  *45</t>
    </r>
  </si>
  <si>
    <t xml:space="preserve">4025037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</si>
  <si>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10*45*30</t>
    </r>
  </si>
  <si>
    <t xml:space="preserve">31222157</t>
  </si>
  <si>
    <r>
      <rPr>
        <sz val="10"/>
        <rFont val="FreeSans"/>
        <family val="2"/>
      </rPr>
      <t xml:space="preserve">کاسه نمد          </t>
    </r>
    <r>
      <rPr>
        <sz val="10"/>
        <rFont val="Vazirmatn"/>
        <family val="0"/>
        <charset val="1"/>
      </rPr>
      <t xml:space="preserve">10* 52* 32</t>
    </r>
  </si>
  <si>
    <t xml:space="preserve">5013285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</si>
  <si>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10*52*32</t>
    </r>
  </si>
  <si>
    <t xml:space="preserve">31222179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</si>
  <si>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7*30*40</t>
    </r>
  </si>
  <si>
    <t xml:space="preserve">5013287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</si>
  <si>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7*40*30</t>
    </r>
  </si>
  <si>
    <t xml:space="preserve">31222236</t>
  </si>
  <si>
    <r>
      <rPr>
        <sz val="10"/>
        <rFont val="FreeSans"/>
        <family val="2"/>
      </rPr>
      <t xml:space="preserve">کاسه نمد        </t>
    </r>
    <r>
      <rPr>
        <sz val="10"/>
        <rFont val="Vazirmatn"/>
        <family val="0"/>
        <charset val="1"/>
      </rPr>
      <t xml:space="preserve">10 * 42 * 72</t>
    </r>
  </si>
  <si>
    <t xml:space="preserve">5013281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</si>
  <si>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10*72*42</t>
    </r>
  </si>
  <si>
    <t xml:space="preserve">31222244</t>
  </si>
  <si>
    <r>
      <rPr>
        <sz val="10"/>
        <rFont val="FreeSans"/>
        <family val="2"/>
      </rPr>
      <t xml:space="preserve">کاسه نمد فلزی   </t>
    </r>
    <r>
      <rPr>
        <sz val="10"/>
        <rFont val="Vazirmatn"/>
        <family val="0"/>
        <charset val="1"/>
      </rPr>
      <t xml:space="preserve">12*150*120</t>
    </r>
  </si>
  <si>
    <t xml:space="preserve">4011974</t>
  </si>
  <si>
    <r>
      <rPr>
        <sz val="10"/>
        <rFont val="Vazirmatn"/>
        <family val="0"/>
        <charset val="1"/>
      </rPr>
      <t xml:space="preserve">120-150-12 </t>
    </r>
    <r>
      <rPr>
        <sz val="10"/>
        <rFont val="FreeSans"/>
        <family val="2"/>
      </rPr>
      <t xml:space="preserve">کاسه نمد فلزي</t>
    </r>
  </si>
  <si>
    <t xml:space="preserve">31222250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</si>
  <si>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5*24*16</t>
    </r>
  </si>
  <si>
    <t xml:space="preserve">4025058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</si>
  <si>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5*24*16</t>
    </r>
  </si>
  <si>
    <t xml:space="preserve">31222280</t>
  </si>
  <si>
    <r>
      <rPr>
        <sz val="10"/>
        <rFont val="FreeSans"/>
        <family val="2"/>
      </rPr>
      <t xml:space="preserve">کاسه نمد     </t>
    </r>
    <r>
      <rPr>
        <sz val="10"/>
        <rFont val="Vazirmatn"/>
        <family val="0"/>
        <charset val="1"/>
      </rPr>
      <t xml:space="preserve">13*160*120</t>
    </r>
  </si>
  <si>
    <t xml:space="preserve">4041288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</si>
  <si>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13-160-120</t>
    </r>
  </si>
  <si>
    <t xml:space="preserve">31222281</t>
  </si>
  <si>
    <r>
      <rPr>
        <sz val="10"/>
        <rFont val="FreeSans"/>
        <family val="2"/>
      </rPr>
      <t xml:space="preserve">کاسه نمد           </t>
    </r>
    <r>
      <rPr>
        <sz val="10"/>
        <rFont val="Vazirmatn"/>
        <family val="0"/>
        <charset val="1"/>
      </rPr>
      <t xml:space="preserve">12*45*70</t>
    </r>
  </si>
  <si>
    <t xml:space="preserve">4025030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</si>
  <si>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12*70*45</t>
    </r>
  </si>
  <si>
    <t xml:space="preserve">31222294</t>
  </si>
  <si>
    <r>
      <rPr>
        <sz val="10"/>
        <rFont val="FreeSans"/>
        <family val="2"/>
      </rPr>
      <t xml:space="preserve">کاسه  نمد             </t>
    </r>
    <r>
      <rPr>
        <sz val="10"/>
        <rFont val="Vazirmatn"/>
        <family val="0"/>
        <charset val="1"/>
      </rPr>
      <t xml:space="preserve">7*38*52</t>
    </r>
  </si>
  <si>
    <t xml:space="preserve">5013280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</si>
  <si>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7*52*38</t>
    </r>
  </si>
  <si>
    <t xml:space="preserve">31222323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</si>
  <si>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10*85*60</t>
    </r>
  </si>
  <si>
    <t xml:space="preserve">4025052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</si>
  <si>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10*85*60</t>
    </r>
  </si>
  <si>
    <t xml:space="preserve">31222359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</si>
  <si>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8 *45*60</t>
    </r>
  </si>
  <si>
    <t xml:space="preserve">4025031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</si>
  <si>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8*60*45</t>
    </r>
  </si>
  <si>
    <t xml:space="preserve">31222360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</si>
  <si>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10*45*62</t>
    </r>
  </si>
  <si>
    <t xml:space="preserve">4025067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</si>
  <si>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10*62*45</t>
    </r>
  </si>
  <si>
    <t xml:space="preserve">31222390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</si>
  <si>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12 * 140 * 85</t>
    </r>
  </si>
  <si>
    <t xml:space="preserve">4025079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</si>
  <si>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12*140*85</t>
    </r>
  </si>
  <si>
    <t xml:space="preserve">31222417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</si>
  <si>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10*75*55</t>
    </r>
  </si>
  <si>
    <t xml:space="preserve">5013277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</si>
  <si>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10*75*55</t>
    </r>
  </si>
  <si>
    <t xml:space="preserve">31222433</t>
  </si>
  <si>
    <r>
      <rPr>
        <sz val="10"/>
        <rFont val="FreeSans"/>
        <family val="2"/>
      </rPr>
      <t xml:space="preserve">کاسه نمد        </t>
    </r>
    <r>
      <rPr>
        <sz val="10"/>
        <rFont val="Vazirmatn"/>
        <family val="0"/>
        <charset val="1"/>
      </rPr>
      <t xml:space="preserve">10*110*85</t>
    </r>
  </si>
  <si>
    <t xml:space="preserve">4025053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</si>
  <si>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10*110*85</t>
    </r>
  </si>
  <si>
    <t xml:space="preserve">31222444</t>
  </si>
  <si>
    <r>
      <rPr>
        <sz val="10"/>
        <rFont val="FreeSans"/>
        <family val="2"/>
      </rPr>
      <t xml:space="preserve">کاسه نمد           </t>
    </r>
    <r>
      <rPr>
        <sz val="10"/>
        <rFont val="Vazirmatn"/>
        <family val="0"/>
        <charset val="1"/>
      </rPr>
      <t xml:space="preserve">10*70*90</t>
    </r>
  </si>
  <si>
    <t xml:space="preserve">5013275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</si>
  <si>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10*90*70</t>
    </r>
  </si>
  <si>
    <t xml:space="preserve">31222458</t>
  </si>
  <si>
    <r>
      <rPr>
        <sz val="10"/>
        <rFont val="FreeSans"/>
        <family val="2"/>
      </rPr>
      <t xml:space="preserve">کاسه نمد        </t>
    </r>
    <r>
      <rPr>
        <sz val="10"/>
        <rFont val="Vazirmatn"/>
        <family val="0"/>
        <charset val="1"/>
      </rPr>
      <t xml:space="preserve">13* 95 * 130</t>
    </r>
  </si>
  <si>
    <t xml:space="preserve">4025027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</si>
  <si>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13*130*95</t>
    </r>
  </si>
  <si>
    <t xml:space="preserve">31222460</t>
  </si>
  <si>
    <r>
      <rPr>
        <sz val="10"/>
        <rFont val="FreeSans"/>
        <family val="2"/>
      </rPr>
      <t xml:space="preserve">کاسه نمد           </t>
    </r>
    <r>
      <rPr>
        <sz val="10"/>
        <rFont val="Vazirmatn"/>
        <family val="0"/>
        <charset val="1"/>
      </rPr>
      <t xml:space="preserve">10*75*100</t>
    </r>
  </si>
  <si>
    <t xml:space="preserve">4025016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</si>
  <si>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10*100*75</t>
    </r>
  </si>
  <si>
    <t xml:space="preserve">31222471</t>
  </si>
  <si>
    <r>
      <rPr>
        <sz val="10"/>
        <rFont val="FreeSans"/>
        <family val="2"/>
      </rPr>
      <t xml:space="preserve">کاسه نمد         </t>
    </r>
    <r>
      <rPr>
        <sz val="10"/>
        <rFont val="Vazirmatn"/>
        <family val="0"/>
        <charset val="1"/>
      </rPr>
      <t xml:space="preserve">12*140*105</t>
    </r>
  </si>
  <si>
    <t xml:space="preserve">4025065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</si>
  <si>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12*140*105</t>
    </r>
  </si>
  <si>
    <t xml:space="preserve">31222484</t>
  </si>
  <si>
    <r>
      <rPr>
        <sz val="10"/>
        <rFont val="FreeSans"/>
        <family val="2"/>
      </rPr>
      <t xml:space="preserve">کاسه نمد     </t>
    </r>
    <r>
      <rPr>
        <sz val="10"/>
        <rFont val="Vazirmatn"/>
        <family val="0"/>
        <charset val="1"/>
      </rPr>
      <t xml:space="preserve">14 - 110 - 150</t>
    </r>
  </si>
  <si>
    <t xml:space="preserve">4025084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</si>
  <si>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14*150*110</t>
    </r>
  </si>
  <si>
    <t xml:space="preserve">31222493</t>
  </si>
  <si>
    <r>
      <rPr>
        <sz val="10"/>
        <rFont val="FreeSans"/>
        <family val="2"/>
      </rPr>
      <t xml:space="preserve">کاسه نمد         </t>
    </r>
    <r>
      <rPr>
        <sz val="10"/>
        <rFont val="Vazirmatn"/>
        <family val="0"/>
        <charset val="1"/>
      </rPr>
      <t xml:space="preserve">12*130*105</t>
    </r>
  </si>
  <si>
    <t xml:space="preserve">5013282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</si>
  <si>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12*130*105</t>
    </r>
  </si>
  <si>
    <t xml:space="preserve">31222499</t>
  </si>
  <si>
    <r>
      <rPr>
        <sz val="10"/>
        <rFont val="FreeSans"/>
        <family val="2"/>
      </rPr>
      <t xml:space="preserve">کاسه نمد         </t>
    </r>
    <r>
      <rPr>
        <sz val="10"/>
        <rFont val="Vazirmatn"/>
        <family val="0"/>
        <charset val="1"/>
      </rPr>
      <t xml:space="preserve">15*150*120</t>
    </r>
  </si>
  <si>
    <t xml:space="preserve">4025038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</si>
  <si>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15*150*120</t>
    </r>
  </si>
  <si>
    <t xml:space="preserve">31222536</t>
  </si>
  <si>
    <r>
      <rPr>
        <sz val="10"/>
        <rFont val="FreeSans"/>
        <family val="2"/>
      </rPr>
      <t xml:space="preserve">کاسه نمد      </t>
    </r>
    <r>
      <rPr>
        <sz val="10"/>
        <rFont val="Vazirmatn"/>
        <family val="0"/>
        <charset val="1"/>
      </rPr>
      <t xml:space="preserve">12 - 100 - 130</t>
    </r>
  </si>
  <si>
    <t xml:space="preserve">4025036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</si>
  <si>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12*130*100</t>
    </r>
  </si>
  <si>
    <t xml:space="preserve">31223098</t>
  </si>
  <si>
    <r>
      <rPr>
        <sz val="10"/>
        <rFont val="FreeSans"/>
        <family val="2"/>
      </rPr>
      <t xml:space="preserve">اورینگ         </t>
    </r>
    <r>
      <rPr>
        <sz val="10"/>
        <rFont val="Vazirmatn"/>
        <family val="0"/>
        <charset val="1"/>
      </rPr>
      <t xml:space="preserve">67 * 3/5 * 60</t>
    </r>
  </si>
  <si>
    <t xml:space="preserve">4025115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</si>
  <si>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3.5*67*60</t>
    </r>
  </si>
  <si>
    <t xml:space="preserve">31223149</t>
  </si>
  <si>
    <r>
      <rPr>
        <sz val="10"/>
        <rFont val="FreeSans"/>
        <family val="2"/>
      </rPr>
      <t xml:space="preserve">اورینگ                </t>
    </r>
    <r>
      <rPr>
        <sz val="10"/>
        <rFont val="Vazirmatn"/>
        <family val="0"/>
        <charset val="1"/>
      </rPr>
      <t xml:space="preserve">53 * 4/5 * 44</t>
    </r>
  </si>
  <si>
    <t xml:space="preserve">4025174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</si>
  <si>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4.5*53*44</t>
    </r>
  </si>
  <si>
    <t xml:space="preserve">31223161</t>
  </si>
  <si>
    <r>
      <rPr>
        <sz val="10"/>
        <rFont val="FreeSans"/>
        <family val="2"/>
      </rPr>
      <t xml:space="preserve">اورینگ                    </t>
    </r>
    <r>
      <rPr>
        <sz val="10"/>
        <rFont val="Vazirmatn"/>
        <family val="0"/>
        <charset val="1"/>
      </rPr>
      <t xml:space="preserve">18 * 2 * 14</t>
    </r>
  </si>
  <si>
    <t xml:space="preserve">4025309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</si>
  <si>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2*14*18</t>
    </r>
  </si>
  <si>
    <t xml:space="preserve">31223202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</si>
  <si>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2/5 * 70 * 75</t>
    </r>
  </si>
  <si>
    <t xml:space="preserve">4040748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</si>
  <si>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2.5*75*70</t>
    </r>
  </si>
  <si>
    <t xml:space="preserve">31223225</t>
  </si>
  <si>
    <r>
      <rPr>
        <sz val="10"/>
        <rFont val="FreeSans"/>
        <family val="2"/>
      </rPr>
      <t xml:space="preserve">اورینگ                   </t>
    </r>
    <r>
      <rPr>
        <sz val="10"/>
        <rFont val="Vazirmatn"/>
        <family val="0"/>
        <charset val="1"/>
      </rPr>
      <t xml:space="preserve">63 * 2/5 * 58</t>
    </r>
  </si>
  <si>
    <t xml:space="preserve">4025311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</si>
  <si>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2.5*63*58</t>
    </r>
  </si>
  <si>
    <t xml:space="preserve">31223233</t>
  </si>
  <si>
    <t xml:space="preserve">گردگیر</t>
  </si>
  <si>
    <t xml:space="preserve">4025483</t>
  </si>
  <si>
    <t xml:space="preserve">گرد گیر</t>
  </si>
  <si>
    <t xml:space="preserve">31223317</t>
  </si>
  <si>
    <r>
      <rPr>
        <sz val="10"/>
        <rFont val="FreeSans"/>
        <family val="2"/>
      </rPr>
      <t xml:space="preserve">اورینگ       </t>
    </r>
    <r>
      <rPr>
        <sz val="10"/>
        <rFont val="Vazirmatn"/>
        <family val="0"/>
        <charset val="1"/>
      </rPr>
      <t xml:space="preserve">65* 3/5 * 58</t>
    </r>
  </si>
  <si>
    <t xml:space="preserve">4025305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</si>
  <si>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3.5*65*58</t>
    </r>
  </si>
  <si>
    <t xml:space="preserve">31223331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</si>
  <si>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64 * 4/5 * 55</t>
    </r>
  </si>
  <si>
    <t xml:space="preserve">4025191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</si>
  <si>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4.5*64*55</t>
    </r>
  </si>
  <si>
    <t xml:space="preserve">31223363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</si>
  <si>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2/5 * 22 * 17</t>
    </r>
  </si>
  <si>
    <t xml:space="preserve">4025133</t>
  </si>
  <si>
    <r>
      <rPr>
        <sz val="10"/>
        <rFont val="FreeSans"/>
        <family val="2"/>
      </rPr>
      <t xml:space="preserve">اورینگ  </t>
    </r>
    <r>
      <rPr>
        <sz val="10"/>
        <rFont val="Vazirmatn"/>
        <family val="0"/>
        <charset val="1"/>
      </rPr>
      <t xml:space="preserve">2.5*22*17</t>
    </r>
  </si>
  <si>
    <t xml:space="preserve">31223398</t>
  </si>
  <si>
    <r>
      <rPr>
        <sz val="10"/>
        <rFont val="FreeSans"/>
        <family val="2"/>
      </rPr>
      <t xml:space="preserve">اورینگ                          </t>
    </r>
    <r>
      <rPr>
        <sz val="10"/>
        <rFont val="Vazirmatn"/>
        <family val="0"/>
        <charset val="1"/>
      </rPr>
      <t xml:space="preserve">52 * 3/5 * 45</t>
    </r>
  </si>
  <si>
    <t xml:space="preserve">4040761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</si>
  <si>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3.5*52*45</t>
    </r>
  </si>
  <si>
    <t xml:space="preserve">31223399</t>
  </si>
  <si>
    <r>
      <rPr>
        <sz val="10"/>
        <rFont val="FreeSans"/>
        <family val="2"/>
      </rPr>
      <t xml:space="preserve">اورینگ                          </t>
    </r>
    <r>
      <rPr>
        <sz val="10"/>
        <rFont val="Vazirmatn"/>
        <family val="0"/>
        <charset val="1"/>
      </rPr>
      <t xml:space="preserve">53 * 4 * 45</t>
    </r>
  </si>
  <si>
    <t xml:space="preserve">4025146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</si>
  <si>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4*53*45</t>
    </r>
  </si>
  <si>
    <t xml:space="preserve">31223407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</si>
  <si>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79 * 5/5 * 90</t>
    </r>
  </si>
  <si>
    <t xml:space="preserve">4025145</t>
  </si>
  <si>
    <r>
      <rPr>
        <sz val="10"/>
        <rFont val="FreeSans"/>
        <family val="2"/>
      </rPr>
      <t xml:space="preserve">اورینگ  </t>
    </r>
    <r>
      <rPr>
        <sz val="10"/>
        <rFont val="Vazirmatn"/>
        <family val="0"/>
        <charset val="1"/>
      </rPr>
      <t xml:space="preserve">5.5*90*79</t>
    </r>
  </si>
  <si>
    <t xml:space="preserve">31223428</t>
  </si>
  <si>
    <r>
      <rPr>
        <sz val="10"/>
        <rFont val="FreeSans"/>
        <family val="2"/>
      </rPr>
      <t xml:space="preserve">اورینگ      </t>
    </r>
    <r>
      <rPr>
        <sz val="10"/>
        <rFont val="Vazirmatn"/>
        <family val="0"/>
        <charset val="1"/>
      </rPr>
      <t xml:space="preserve">75 * 2/5 * 70</t>
    </r>
  </si>
  <si>
    <t xml:space="preserve">31223429</t>
  </si>
  <si>
    <r>
      <rPr>
        <sz val="10"/>
        <rFont val="FreeSans"/>
        <family val="2"/>
      </rPr>
      <t xml:space="preserve">اورینگ وایتون      </t>
    </r>
    <r>
      <rPr>
        <sz val="10"/>
        <rFont val="Vazirmatn"/>
        <family val="0"/>
        <charset val="1"/>
      </rPr>
      <t xml:space="preserve">62 * 3/5 * 55</t>
    </r>
  </si>
  <si>
    <t xml:space="preserve">4025181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</si>
  <si>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3.5*62*55</t>
    </r>
  </si>
  <si>
    <t xml:space="preserve">31223454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</si>
  <si>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35 * 2 * 31</t>
    </r>
  </si>
  <si>
    <t xml:space="preserve">5019226</t>
  </si>
  <si>
    <r>
      <rPr>
        <sz val="10"/>
        <rFont val="FreeSans"/>
        <family val="2"/>
      </rPr>
      <t xml:space="preserve">اورینگ</t>
    </r>
    <r>
      <rPr>
        <sz val="10"/>
        <rFont val="Vazirmatn"/>
        <family val="0"/>
        <charset val="1"/>
      </rPr>
      <t xml:space="preserve">-2-35-31-</t>
    </r>
    <r>
      <rPr>
        <sz val="10"/>
        <rFont val="FreeSans"/>
        <family val="2"/>
      </rPr>
      <t xml:space="preserve">لاستیکی</t>
    </r>
  </si>
  <si>
    <t xml:space="preserve">31223486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</si>
  <si>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52 * 3/5 * 45</t>
    </r>
  </si>
  <si>
    <t xml:space="preserve">4025324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</si>
  <si>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3.5*52*45</t>
    </r>
  </si>
  <si>
    <t xml:space="preserve">31223499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</si>
  <si>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53 * 3/5 * 60</t>
    </r>
  </si>
  <si>
    <t xml:space="preserve">4039483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</si>
  <si>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3.5*60*53</t>
    </r>
  </si>
  <si>
    <t xml:space="preserve">31223504</t>
  </si>
  <si>
    <r>
      <rPr>
        <sz val="10"/>
        <rFont val="FreeSans"/>
        <family val="2"/>
      </rPr>
      <t xml:space="preserve">اورینگ      </t>
    </r>
    <r>
      <rPr>
        <sz val="10"/>
        <rFont val="Vazirmatn"/>
        <family val="0"/>
        <charset val="1"/>
      </rPr>
      <t xml:space="preserve">15 * 2/5 * 10</t>
    </r>
  </si>
  <si>
    <t xml:space="preserve">5013088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</si>
  <si>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2.5*15*10</t>
    </r>
  </si>
  <si>
    <t xml:space="preserve">31223505</t>
  </si>
  <si>
    <r>
      <rPr>
        <sz val="10"/>
        <rFont val="FreeSans"/>
        <family val="2"/>
      </rPr>
      <t xml:space="preserve">اورینگ      </t>
    </r>
    <r>
      <rPr>
        <sz val="10"/>
        <rFont val="Vazirmatn"/>
        <family val="0"/>
        <charset val="1"/>
      </rPr>
      <t xml:space="preserve">85 * 5 * 95</t>
    </r>
  </si>
  <si>
    <t xml:space="preserve">4025144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</si>
  <si>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5*95*85</t>
    </r>
  </si>
  <si>
    <t xml:space="preserve">31223507</t>
  </si>
  <si>
    <r>
      <rPr>
        <sz val="10"/>
        <rFont val="FreeSans"/>
        <family val="2"/>
      </rPr>
      <t xml:space="preserve">اورینگ    </t>
    </r>
    <r>
      <rPr>
        <sz val="10"/>
        <rFont val="Vazirmatn"/>
        <family val="0"/>
        <charset val="1"/>
      </rPr>
      <t xml:space="preserve">2 * 32 * 28</t>
    </r>
  </si>
  <si>
    <t xml:space="preserve">4025316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</si>
  <si>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2*28*32</t>
    </r>
  </si>
  <si>
    <t xml:space="preserve">31223508</t>
  </si>
  <si>
    <r>
      <rPr>
        <sz val="10"/>
        <rFont val="FreeSans"/>
        <family val="2"/>
      </rPr>
      <t xml:space="preserve">اورینگ    </t>
    </r>
    <r>
      <rPr>
        <sz val="10"/>
        <rFont val="Vazirmatn"/>
        <family val="0"/>
        <charset val="1"/>
      </rPr>
      <t xml:space="preserve">7 * 2 * 3</t>
    </r>
  </si>
  <si>
    <t xml:space="preserve">5013086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</si>
  <si>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2*7*3</t>
    </r>
  </si>
  <si>
    <t xml:space="preserve">31223509</t>
  </si>
  <si>
    <r>
      <rPr>
        <sz val="10"/>
        <rFont val="FreeSans"/>
        <family val="2"/>
      </rPr>
      <t xml:space="preserve">اورینگ وایتون  </t>
    </r>
    <r>
      <rPr>
        <sz val="10"/>
        <rFont val="Vazirmatn"/>
        <family val="0"/>
        <charset val="1"/>
      </rPr>
      <t xml:space="preserve">37 * 3/5 * 30</t>
    </r>
  </si>
  <si>
    <t xml:space="preserve">4025184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</si>
  <si>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3.5*37*30</t>
    </r>
  </si>
  <si>
    <t xml:space="preserve">31223520</t>
  </si>
  <si>
    <r>
      <rPr>
        <sz val="10"/>
        <rFont val="FreeSans"/>
        <family val="2"/>
      </rPr>
      <t xml:space="preserve">اورینگ      </t>
    </r>
    <r>
      <rPr>
        <sz val="10"/>
        <rFont val="Vazirmatn"/>
        <family val="0"/>
        <charset val="1"/>
      </rPr>
      <t xml:space="preserve">87 -5/5 -76</t>
    </r>
  </si>
  <si>
    <t xml:space="preserve">4025303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</si>
  <si>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87*5.5*76</t>
    </r>
  </si>
  <si>
    <t xml:space="preserve">31223548</t>
  </si>
  <si>
    <r>
      <rPr>
        <sz val="10"/>
        <rFont val="FreeSans"/>
        <family val="2"/>
      </rPr>
      <t xml:space="preserve">اورینگ        </t>
    </r>
    <r>
      <rPr>
        <sz val="10"/>
        <rFont val="Vazirmatn"/>
        <family val="0"/>
        <charset val="1"/>
      </rPr>
      <t xml:space="preserve">19-3-25</t>
    </r>
  </si>
  <si>
    <t xml:space="preserve">4025138</t>
  </si>
  <si>
    <r>
      <rPr>
        <sz val="10"/>
        <rFont val="FreeSans"/>
        <family val="2"/>
      </rPr>
      <t xml:space="preserve">اورینگ  </t>
    </r>
    <r>
      <rPr>
        <sz val="10"/>
        <rFont val="Vazirmatn"/>
        <family val="0"/>
        <charset val="1"/>
      </rPr>
      <t xml:space="preserve">3*25*19</t>
    </r>
  </si>
  <si>
    <t xml:space="preserve">31223582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</si>
  <si>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43 * 2 * 39</t>
    </r>
  </si>
  <si>
    <t xml:space="preserve">4025164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</si>
  <si>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2*43*39</t>
    </r>
  </si>
  <si>
    <t xml:space="preserve">31223586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</si>
  <si>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160 * 6 * 148</t>
    </r>
  </si>
  <si>
    <t xml:space="preserve">5013091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</si>
  <si>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6*160*148</t>
    </r>
  </si>
  <si>
    <t xml:space="preserve">31223598</t>
  </si>
  <si>
    <r>
      <rPr>
        <sz val="10"/>
        <rFont val="FreeSans"/>
        <family val="2"/>
      </rPr>
      <t xml:space="preserve">اورینگ    </t>
    </r>
    <r>
      <rPr>
        <sz val="10"/>
        <rFont val="Vazirmatn"/>
        <family val="0"/>
        <charset val="1"/>
      </rPr>
      <t xml:space="preserve">14 * 2 * 10</t>
    </r>
  </si>
  <si>
    <t xml:space="preserve">4025188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</si>
  <si>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2*14*10</t>
    </r>
  </si>
  <si>
    <t xml:space="preserve">31223603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</si>
  <si>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47 * 3/5 * 40</t>
    </r>
  </si>
  <si>
    <t xml:space="preserve">4025242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</si>
  <si>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3.5*47*40</t>
    </r>
  </si>
  <si>
    <t xml:space="preserve">31225210</t>
  </si>
  <si>
    <t xml:space="preserve">فیلتر  هوای  کمپرسور</t>
  </si>
  <si>
    <t xml:space="preserve">4028782</t>
  </si>
  <si>
    <t xml:space="preserve">فیلتر هوای کمپرسور</t>
  </si>
  <si>
    <t xml:space="preserve">31226357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</si>
  <si>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KHZ80-65-200</t>
    </r>
  </si>
  <si>
    <t xml:space="preserve">4025405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</si>
  <si>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200-65-80 KHZ</t>
    </r>
  </si>
  <si>
    <t xml:space="preserve">31226358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</si>
  <si>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KHZ65-50-200</t>
    </r>
  </si>
  <si>
    <t xml:space="preserve">4025388</t>
  </si>
  <si>
    <r>
      <rPr>
        <sz val="10"/>
        <rFont val="FreeSans"/>
        <family val="2"/>
      </rPr>
      <t xml:space="preserve">سیل مکانیکی</t>
    </r>
    <r>
      <rPr>
        <sz val="10"/>
        <rFont val="Vazirmatn"/>
        <family val="0"/>
        <charset val="1"/>
      </rPr>
      <t xml:space="preserve">: KHZ 65-50-200</t>
    </r>
  </si>
  <si>
    <t xml:space="preserve">31226360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</si>
  <si>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KHZ80-65-250</t>
    </r>
  </si>
  <si>
    <t xml:space="preserve">4025406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</si>
  <si>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250-65-80 KHZ...</t>
    </r>
  </si>
  <si>
    <t xml:space="preserve">31226364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</si>
  <si>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IHD50-32-200</t>
    </r>
  </si>
  <si>
    <t xml:space="preserve">4055247</t>
  </si>
  <si>
    <t xml:space="preserve">31226365</t>
  </si>
  <si>
    <r>
      <rPr>
        <sz val="10"/>
        <rFont val="FreeSans"/>
        <family val="2"/>
      </rPr>
      <t xml:space="preserve">سیل مکانیکی</t>
    </r>
    <r>
      <rPr>
        <sz val="10"/>
        <rFont val="Vazirmatn"/>
        <family val="0"/>
        <charset val="1"/>
      </rPr>
      <t xml:space="preserve">*** IHD125-100-400</t>
    </r>
  </si>
  <si>
    <t xml:space="preserve">4055253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</si>
  <si>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IHD125-100-400</t>
    </r>
  </si>
  <si>
    <t xml:space="preserve">31228143</t>
  </si>
  <si>
    <t xml:space="preserve">چسب  ماتیکی</t>
  </si>
  <si>
    <t xml:space="preserve">5000310</t>
  </si>
  <si>
    <t xml:space="preserve">چسب ماتيکي</t>
  </si>
  <si>
    <t xml:space="preserve">31231068</t>
  </si>
  <si>
    <r>
      <rPr>
        <sz val="10"/>
        <rFont val="FreeSans"/>
        <family val="2"/>
      </rPr>
      <t xml:space="preserve">رولبرینگ مخروطی </t>
    </r>
    <r>
      <rPr>
        <sz val="10"/>
        <rFont val="Vazirmatn"/>
        <family val="0"/>
        <charset val="1"/>
      </rPr>
      <t xml:space="preserve">32222</t>
    </r>
  </si>
  <si>
    <t xml:space="preserve">4053379</t>
  </si>
  <si>
    <r>
      <rPr>
        <sz val="10"/>
        <rFont val="Vazirmatn"/>
        <family val="0"/>
        <charset val="1"/>
      </rPr>
      <t xml:space="preserve">3123 (</t>
    </r>
    <r>
      <rPr>
        <sz val="10"/>
        <rFont val="FreeSans"/>
        <family val="2"/>
      </rPr>
      <t xml:space="preserve">بلبرینگ، بوش</t>
    </r>
    <r>
      <rPr>
        <sz val="10"/>
        <rFont val="Vazirmatn"/>
        <family val="0"/>
        <charset val="1"/>
      </rPr>
      <t xml:space="preserve">)</t>
    </r>
  </si>
  <si>
    <t xml:space="preserve">31231074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</si>
  <si>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NU 319 ECP / C3</t>
    </r>
  </si>
  <si>
    <t xml:space="preserve">4024893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</si>
  <si>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NU 319ECP/C3</t>
    </r>
  </si>
  <si>
    <t xml:space="preserve">31231081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</si>
  <si>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30207</t>
    </r>
  </si>
  <si>
    <t xml:space="preserve">4024876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</si>
  <si>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30207</t>
    </r>
  </si>
  <si>
    <t xml:space="preserve">31231179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</si>
  <si>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6310</t>
    </r>
  </si>
  <si>
    <t xml:space="preserve">4024789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</si>
  <si>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6310</t>
    </r>
  </si>
  <si>
    <t xml:space="preserve">31231235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</si>
  <si>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6010</t>
    </r>
  </si>
  <si>
    <t xml:space="preserve">4024715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</si>
  <si>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6010</t>
    </r>
  </si>
  <si>
    <t xml:space="preserve">31231364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</si>
  <si>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6215</t>
    </r>
  </si>
  <si>
    <t xml:space="preserve">4024709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</si>
  <si>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6215</t>
    </r>
  </si>
  <si>
    <t xml:space="preserve">31231370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</si>
  <si>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6218</t>
    </r>
  </si>
  <si>
    <t xml:space="preserve">4024678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</si>
  <si>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6218</t>
    </r>
  </si>
  <si>
    <t xml:space="preserve">31231385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</si>
  <si>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6205</t>
    </r>
  </si>
  <si>
    <t xml:space="preserve">4024722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</si>
  <si>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6205</t>
    </r>
  </si>
  <si>
    <t xml:space="preserve">31231441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</si>
  <si>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6316 C3</t>
    </r>
  </si>
  <si>
    <t xml:space="preserve">4024780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</si>
  <si>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6316/C3</t>
    </r>
  </si>
  <si>
    <t xml:space="preserve">31231452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</si>
  <si>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6403</t>
    </r>
  </si>
  <si>
    <t xml:space="preserve">4024671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</si>
  <si>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6403</t>
    </r>
  </si>
  <si>
    <t xml:space="preserve">31231464</t>
  </si>
  <si>
    <r>
      <rPr>
        <sz val="10"/>
        <rFont val="FreeSans"/>
        <family val="2"/>
      </rPr>
      <t xml:space="preserve">بلبرینگ       </t>
    </r>
    <r>
      <rPr>
        <sz val="10"/>
        <rFont val="Vazirmatn"/>
        <family val="0"/>
        <charset val="1"/>
      </rPr>
      <t xml:space="preserve">7312 BECBM</t>
    </r>
  </si>
  <si>
    <t xml:space="preserve">4024666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</si>
  <si>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7312BECBM</t>
    </r>
  </si>
  <si>
    <t xml:space="preserve">31231513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</si>
  <si>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206 RN</t>
    </r>
  </si>
  <si>
    <t xml:space="preserve">4024848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</si>
  <si>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RN 206</t>
    </r>
  </si>
  <si>
    <t xml:space="preserve">31231568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</si>
  <si>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30307</t>
    </r>
  </si>
  <si>
    <t xml:space="preserve">4024865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</si>
  <si>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30307</t>
    </r>
  </si>
  <si>
    <t xml:space="preserve">31231576</t>
  </si>
  <si>
    <r>
      <rPr>
        <sz val="10"/>
        <rFont val="FreeSans"/>
        <family val="2"/>
      </rPr>
      <t xml:space="preserve">رولبرینگ            </t>
    </r>
    <r>
      <rPr>
        <sz val="10"/>
        <rFont val="Vazirmatn"/>
        <family val="0"/>
        <charset val="1"/>
      </rPr>
      <t xml:space="preserve">NU        306</t>
    </r>
  </si>
  <si>
    <t xml:space="preserve">4024844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</si>
  <si>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NU 306</t>
    </r>
  </si>
  <si>
    <t xml:space="preserve">31231579</t>
  </si>
  <si>
    <r>
      <rPr>
        <sz val="10"/>
        <rFont val="FreeSans"/>
        <family val="2"/>
      </rPr>
      <t xml:space="preserve">رولبرینگ             </t>
    </r>
    <r>
      <rPr>
        <sz val="10"/>
        <rFont val="Vazirmatn"/>
        <family val="0"/>
        <charset val="1"/>
      </rPr>
      <t xml:space="preserve">30210</t>
    </r>
  </si>
  <si>
    <t xml:space="preserve">4024875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</si>
  <si>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30210</t>
    </r>
  </si>
  <si>
    <t xml:space="preserve">31231585</t>
  </si>
  <si>
    <r>
      <rPr>
        <sz val="10"/>
        <rFont val="FreeSans"/>
        <family val="2"/>
      </rPr>
      <t xml:space="preserve">بلبرینگ        </t>
    </r>
    <r>
      <rPr>
        <sz val="10"/>
        <rFont val="Vazirmatn"/>
        <family val="0"/>
        <charset val="1"/>
      </rPr>
      <t xml:space="preserve">32215</t>
    </r>
  </si>
  <si>
    <t xml:space="preserve">4024749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</si>
  <si>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32215</t>
    </r>
  </si>
  <si>
    <t xml:space="preserve">31231638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</si>
  <si>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6201</t>
    </r>
  </si>
  <si>
    <t xml:space="preserve">4024681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</si>
  <si>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6201</t>
    </r>
  </si>
  <si>
    <t xml:space="preserve">31231670</t>
  </si>
  <si>
    <r>
      <rPr>
        <sz val="10"/>
        <rFont val="FreeSans"/>
        <family val="2"/>
      </rPr>
      <t xml:space="preserve">رولبرینگ   </t>
    </r>
    <r>
      <rPr>
        <sz val="10"/>
        <rFont val="Vazirmatn"/>
        <family val="0"/>
        <charset val="1"/>
      </rPr>
      <t xml:space="preserve">NU 222 ECM</t>
    </r>
  </si>
  <si>
    <t xml:space="preserve">4024881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</si>
  <si>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NU 222ECM</t>
    </r>
  </si>
  <si>
    <t xml:space="preserve">31231676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</si>
  <si>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6407</t>
    </r>
  </si>
  <si>
    <t xml:space="preserve">4036687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</si>
  <si>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6407</t>
    </r>
  </si>
  <si>
    <t xml:space="preserve">31231803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</si>
  <si>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22316</t>
    </r>
  </si>
  <si>
    <t xml:space="preserve">4024895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</si>
  <si>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22316</t>
    </r>
  </si>
  <si>
    <t xml:space="preserve">31232001</t>
  </si>
  <si>
    <r>
      <rPr>
        <sz val="10"/>
        <rFont val="FreeSans"/>
        <family val="2"/>
      </rPr>
      <t xml:space="preserve">بوشن استیل دنده ای </t>
    </r>
    <r>
      <rPr>
        <sz val="10"/>
        <rFont val="Vazirmatn"/>
        <family val="0"/>
        <charset val="1"/>
      </rPr>
      <t xml:space="preserve">304           "2</t>
    </r>
  </si>
  <si>
    <t xml:space="preserve">4029694</t>
  </si>
  <si>
    <r>
      <rPr>
        <sz val="10"/>
        <rFont val="FreeSans"/>
        <family val="2"/>
      </rPr>
      <t xml:space="preserve">بوشن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</si>
  <si>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31232002</t>
  </si>
  <si>
    <r>
      <rPr>
        <sz val="10"/>
        <rFont val="FreeSans"/>
        <family val="2"/>
      </rPr>
      <t xml:space="preserve">بوشن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           </t>
    </r>
    <r>
      <rPr>
        <sz val="10"/>
        <rFont val="Vazirmatn"/>
        <family val="0"/>
        <charset val="1"/>
      </rPr>
      <t xml:space="preserve">"1/2</t>
    </r>
  </si>
  <si>
    <t xml:space="preserve">4029699</t>
  </si>
  <si>
    <r>
      <rPr>
        <sz val="10"/>
        <rFont val="FreeSans"/>
        <family val="2"/>
      </rPr>
      <t xml:space="preserve">بوشن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</si>
  <si>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31232020</t>
  </si>
  <si>
    <r>
      <rPr>
        <sz val="10"/>
        <rFont val="FreeSans"/>
        <family val="2"/>
      </rPr>
      <t xml:space="preserve">بوشن استیل  </t>
    </r>
    <r>
      <rPr>
        <sz val="10"/>
        <rFont val="Vazirmatn"/>
        <family val="0"/>
        <charset val="1"/>
      </rPr>
      <t xml:space="preserve">304   </t>
    </r>
    <r>
      <rPr>
        <sz val="10"/>
        <rFont val="FreeSans"/>
        <family val="2"/>
      </rPr>
      <t xml:space="preserve">دنده ای        </t>
    </r>
    <r>
      <rPr>
        <sz val="10"/>
        <rFont val="Vazirmatn"/>
        <family val="0"/>
        <charset val="1"/>
      </rPr>
      <t xml:space="preserve">"1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1/4</t>
    </r>
  </si>
  <si>
    <t xml:space="preserve">4029696</t>
  </si>
  <si>
    <r>
      <rPr>
        <sz val="10"/>
        <rFont val="FreeSans"/>
        <family val="2"/>
      </rPr>
      <t xml:space="preserve">بوشن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1/4 1 </t>
    </r>
    <r>
      <rPr>
        <sz val="10"/>
        <rFont val="FreeSans"/>
        <family val="2"/>
      </rPr>
      <t xml:space="preserve">اینچ</t>
    </r>
  </si>
  <si>
    <t xml:space="preserve">31232033</t>
  </si>
  <si>
    <r>
      <rPr>
        <sz val="10"/>
        <rFont val="FreeSans"/>
        <family val="2"/>
      </rPr>
      <t xml:space="preserve">بوشن گالوانیزه دنده ای                  </t>
    </r>
    <r>
      <rPr>
        <sz val="10"/>
        <rFont val="Vazirmatn"/>
        <family val="0"/>
        <charset val="1"/>
      </rPr>
      <t xml:space="preserve">" 4</t>
    </r>
  </si>
  <si>
    <t xml:space="preserve">4029702</t>
  </si>
  <si>
    <r>
      <rPr>
        <sz val="10"/>
        <rFont val="FreeSans"/>
        <family val="2"/>
      </rPr>
      <t xml:space="preserve">بوشن گالوانیزه دنده ای 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</si>
  <si>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31232039</t>
  </si>
  <si>
    <r>
      <rPr>
        <sz val="10"/>
        <rFont val="FreeSans"/>
        <family val="2"/>
      </rPr>
      <t xml:space="preserve">بوشن گالوانیزه دنده ای            </t>
    </r>
    <r>
      <rPr>
        <sz val="10"/>
        <rFont val="Vazirmatn"/>
        <family val="0"/>
        <charset val="1"/>
      </rPr>
      <t xml:space="preserve">" 2</t>
    </r>
  </si>
  <si>
    <t xml:space="preserve">4029744</t>
  </si>
  <si>
    <r>
      <rPr>
        <sz val="10"/>
        <rFont val="FreeSans"/>
        <family val="2"/>
      </rPr>
      <t xml:space="preserve">بوشن گالوانیزه دنده ای 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</si>
  <si>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31232041</t>
  </si>
  <si>
    <r>
      <rPr>
        <sz val="10"/>
        <rFont val="FreeSans"/>
        <family val="2"/>
      </rPr>
      <t xml:space="preserve">بوشن گالوانیزه دنده ای                </t>
    </r>
    <r>
      <rPr>
        <sz val="10"/>
        <rFont val="Vazirmatn"/>
        <family val="0"/>
        <charset val="1"/>
      </rPr>
      <t xml:space="preserve">"3</t>
    </r>
  </si>
  <si>
    <t xml:space="preserve">4029703</t>
  </si>
  <si>
    <r>
      <rPr>
        <sz val="10"/>
        <rFont val="FreeSans"/>
        <family val="2"/>
      </rPr>
      <t xml:space="preserve">بوشن گالوانیزه دنده ای 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</si>
  <si>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31232345</t>
  </si>
  <si>
    <r>
      <rPr>
        <sz val="10"/>
        <rFont val="FreeSans"/>
        <family val="2"/>
      </rPr>
      <t xml:space="preserve">بوشن استیل دنده ای  </t>
    </r>
    <r>
      <rPr>
        <sz val="10"/>
        <rFont val="Vazirmatn"/>
        <family val="0"/>
        <charset val="1"/>
      </rPr>
      <t xml:space="preserve">304       " 3/4</t>
    </r>
  </si>
  <si>
    <t xml:space="preserve">4029698</t>
  </si>
  <si>
    <r>
      <rPr>
        <sz val="10"/>
        <rFont val="FreeSans"/>
        <family val="2"/>
      </rPr>
      <t xml:space="preserve">بوشن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</si>
  <si>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31232356</t>
  </si>
  <si>
    <r>
      <rPr>
        <sz val="10"/>
        <rFont val="FreeSans"/>
        <family val="2"/>
      </rPr>
      <t xml:space="preserve">بوشن استیل </t>
    </r>
    <r>
      <rPr>
        <sz val="10"/>
        <rFont val="Vazirmatn"/>
        <family val="0"/>
        <charset val="1"/>
      </rPr>
      <t xml:space="preserve">304  </t>
    </r>
    <r>
      <rPr>
        <sz val="10"/>
        <rFont val="FreeSans"/>
        <family val="2"/>
      </rPr>
      <t xml:space="preserve">دنده ای     </t>
    </r>
    <r>
      <rPr>
        <sz val="10"/>
        <rFont val="Vazirmatn"/>
        <family val="0"/>
        <charset val="1"/>
      </rPr>
      <t xml:space="preserve">" 1/2</t>
    </r>
  </si>
  <si>
    <t xml:space="preserve">31232426</t>
  </si>
  <si>
    <r>
      <rPr>
        <sz val="10"/>
        <rFont val="FreeSans"/>
        <family val="2"/>
      </rPr>
      <t xml:space="preserve">بوشن دنده ای استیل </t>
    </r>
    <r>
      <rPr>
        <sz val="10"/>
        <rFont val="Vazirmatn"/>
        <family val="0"/>
        <charset val="1"/>
      </rPr>
      <t xml:space="preserve">304        "1</t>
    </r>
  </si>
  <si>
    <t xml:space="preserve">4029697</t>
  </si>
  <si>
    <r>
      <rPr>
        <sz val="10"/>
        <rFont val="FreeSans"/>
        <family val="2"/>
      </rPr>
      <t xml:space="preserve">بوشن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</si>
  <si>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31232433</t>
  </si>
  <si>
    <r>
      <rPr>
        <sz val="10"/>
        <rFont val="FreeSans"/>
        <family val="2"/>
      </rPr>
      <t xml:space="preserve">بوشن استیل دنده ای  </t>
    </r>
    <r>
      <rPr>
        <sz val="10"/>
        <rFont val="Vazirmatn"/>
        <family val="0"/>
        <charset val="1"/>
      </rPr>
      <t xml:space="preserve">304     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</si>
  <si>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4029695</t>
  </si>
  <si>
    <r>
      <rPr>
        <sz val="10"/>
        <rFont val="FreeSans"/>
        <family val="2"/>
      </rPr>
      <t xml:space="preserve">بوشن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</si>
  <si>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31234179</t>
  </si>
  <si>
    <r>
      <rPr>
        <sz val="10"/>
        <rFont val="FreeSans"/>
        <family val="2"/>
      </rPr>
      <t xml:space="preserve">یاتاقان کولر آبی  </t>
    </r>
    <r>
      <rPr>
        <sz val="10"/>
        <rFont val="Vazirmatn"/>
        <family val="0"/>
        <charset val="1"/>
      </rPr>
      <t xml:space="preserve">7000</t>
    </r>
  </si>
  <si>
    <t xml:space="preserve">4024940</t>
  </si>
  <si>
    <r>
      <rPr>
        <sz val="10"/>
        <rFont val="FreeSans"/>
        <family val="2"/>
      </rPr>
      <t xml:space="preserve">یاتاقان کولر آبی </t>
    </r>
    <r>
      <rPr>
        <sz val="10"/>
        <rFont val="Vazirmatn"/>
        <family val="0"/>
        <charset val="1"/>
      </rPr>
      <t xml:space="preserve">7000</t>
    </r>
  </si>
  <si>
    <t xml:space="preserve">31237114</t>
  </si>
  <si>
    <r>
      <rPr>
        <sz val="10"/>
        <rFont val="FreeSans"/>
        <family val="2"/>
      </rPr>
      <t xml:space="preserve">روغن بهران بندر </t>
    </r>
    <r>
      <rPr>
        <sz val="10"/>
        <rFont val="Vazirmatn"/>
        <family val="0"/>
        <charset val="1"/>
      </rPr>
      <t xml:space="preserve">50</t>
    </r>
  </si>
  <si>
    <t xml:space="preserve">4024376</t>
  </si>
  <si>
    <t xml:space="preserve">31237134</t>
  </si>
  <si>
    <r>
      <rPr>
        <sz val="10"/>
        <rFont val="FreeSans"/>
        <family val="2"/>
      </rPr>
      <t xml:space="preserve">روغن بهران بردبار </t>
    </r>
    <r>
      <rPr>
        <sz val="10"/>
        <rFont val="Vazirmatn"/>
        <family val="0"/>
        <charset val="1"/>
      </rPr>
      <t xml:space="preserve">220</t>
    </r>
  </si>
  <si>
    <t xml:space="preserve">5017109</t>
  </si>
  <si>
    <t xml:space="preserve">31237601</t>
  </si>
  <si>
    <r>
      <rPr>
        <sz val="10"/>
        <rFont val="FreeSans"/>
        <family val="2"/>
      </rPr>
      <t xml:space="preserve">تینر فوری </t>
    </r>
    <r>
      <rPr>
        <sz val="10"/>
        <rFont val="Vazirmatn"/>
        <family val="0"/>
        <charset val="1"/>
      </rPr>
      <t xml:space="preserve">20000</t>
    </r>
  </si>
  <si>
    <t xml:space="preserve">5003541</t>
  </si>
  <si>
    <r>
      <rPr>
        <sz val="10"/>
        <rFont val="FreeSans"/>
        <family val="2"/>
      </rPr>
      <t xml:space="preserve">تينر فوري </t>
    </r>
    <r>
      <rPr>
        <sz val="10"/>
        <rFont val="Vazirmatn"/>
        <family val="0"/>
        <charset val="1"/>
      </rPr>
      <t xml:space="preserve">20000</t>
    </r>
  </si>
  <si>
    <t xml:space="preserve">31239179</t>
  </si>
  <si>
    <t xml:space="preserve">گریس پمپ سطلی</t>
  </si>
  <si>
    <t xml:space="preserve">4030672</t>
  </si>
  <si>
    <t xml:space="preserve">31241179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</si>
  <si>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47     AX</t>
    </r>
  </si>
  <si>
    <t xml:space="preserve">4042609</t>
  </si>
  <si>
    <r>
      <rPr>
        <sz val="10"/>
        <rFont val="FreeSans"/>
        <family val="2"/>
      </rPr>
      <t xml:space="preserve">تسمه پروانه </t>
    </r>
    <r>
      <rPr>
        <sz val="10"/>
        <rFont val="Vazirmatn"/>
        <family val="0"/>
        <charset val="1"/>
      </rPr>
      <t xml:space="preserve">AX 47</t>
    </r>
  </si>
  <si>
    <r>
      <rPr>
        <sz val="10"/>
        <rFont val="Vazirmatn"/>
        <family val="0"/>
        <charset val="1"/>
      </rPr>
      <t xml:space="preserve">3124 (</t>
    </r>
    <r>
      <rPr>
        <sz val="10"/>
        <rFont val="FreeSans"/>
        <family val="2"/>
      </rPr>
      <t xml:space="preserve">تسمه، چرخ</t>
    </r>
    <r>
      <rPr>
        <sz val="10"/>
        <rFont val="Vazirmatn"/>
        <family val="0"/>
        <charset val="1"/>
      </rPr>
      <t xml:space="preserve">)</t>
    </r>
  </si>
  <si>
    <t xml:space="preserve">31244218</t>
  </si>
  <si>
    <r>
      <rPr>
        <sz val="10"/>
        <rFont val="FreeSans"/>
        <family val="2"/>
      </rPr>
      <t xml:space="preserve">لاستیک کوپلینگ </t>
    </r>
    <r>
      <rPr>
        <sz val="10"/>
        <rFont val="Vazirmatn"/>
        <family val="0"/>
        <charset val="1"/>
      </rPr>
      <t xml:space="preserve">KB 125</t>
    </r>
  </si>
  <si>
    <t xml:space="preserve">4025836</t>
  </si>
  <si>
    <r>
      <rPr>
        <sz val="10"/>
        <rFont val="FreeSans"/>
        <family val="2"/>
      </rPr>
      <t xml:space="preserve">لاستیک کوپلینگ </t>
    </r>
    <r>
      <rPr>
        <sz val="10"/>
        <rFont val="Vazirmatn"/>
        <family val="0"/>
        <charset val="1"/>
      </rPr>
      <t xml:space="preserve">KB125</t>
    </r>
  </si>
  <si>
    <t xml:space="preserve">31244302</t>
  </si>
  <si>
    <r>
      <rPr>
        <sz val="10"/>
        <rFont val="FreeSans"/>
        <family val="2"/>
      </rPr>
      <t xml:space="preserve">فولی کولر </t>
    </r>
    <r>
      <rPr>
        <sz val="10"/>
        <rFont val="Vazirmatn"/>
        <family val="0"/>
        <charset val="1"/>
      </rPr>
      <t xml:space="preserve">75mm</t>
    </r>
  </si>
  <si>
    <t xml:space="preserve">5013166</t>
  </si>
  <si>
    <r>
      <rPr>
        <sz val="10"/>
        <rFont val="FreeSans"/>
        <family val="2"/>
      </rPr>
      <t xml:space="preserve">فولی کولر سایز </t>
    </r>
    <r>
      <rPr>
        <sz val="10"/>
        <rFont val="Vazirmatn"/>
        <family val="0"/>
        <charset val="1"/>
      </rPr>
      <t xml:space="preserve">75mm</t>
    </r>
  </si>
  <si>
    <t xml:space="preserve">31250135</t>
  </si>
  <si>
    <t xml:space="preserve">OIL GUIDE RING  3431 - 3526 - 000</t>
  </si>
  <si>
    <t xml:space="preserve">5017259</t>
  </si>
  <si>
    <t xml:space="preserve">3431-3526-000  OIL GUIDE RING</t>
  </si>
  <si>
    <r>
      <rPr>
        <sz val="10"/>
        <rFont val="Vazirmatn"/>
        <family val="0"/>
        <charset val="1"/>
      </rPr>
      <t xml:space="preserve">3125 (</t>
    </r>
    <r>
      <rPr>
        <sz val="10"/>
        <rFont val="FreeSans"/>
        <family val="2"/>
      </rPr>
      <t xml:space="preserve">پروانه، شفت</t>
    </r>
    <r>
      <rPr>
        <sz val="10"/>
        <rFont val="Vazirmatn"/>
        <family val="0"/>
        <charset val="1"/>
      </rPr>
      <t xml:space="preserve">)</t>
    </r>
  </si>
  <si>
    <t xml:space="preserve">31250136</t>
  </si>
  <si>
    <t xml:space="preserve">SLEEVE  3391 - 3356 - 000</t>
  </si>
  <si>
    <t xml:space="preserve">4041885</t>
  </si>
  <si>
    <t xml:space="preserve">3391-3356-000  SLEEVE</t>
  </si>
  <si>
    <t xml:space="preserve">31250139</t>
  </si>
  <si>
    <t xml:space="preserve">RING   3391 - 3419 - 010</t>
  </si>
  <si>
    <t xml:space="preserve">5017263</t>
  </si>
  <si>
    <t xml:space="preserve">3391-3419-010   RING</t>
  </si>
  <si>
    <t xml:space="preserve">31250160</t>
  </si>
  <si>
    <t xml:space="preserve">GASKET      0007 - 2868 - 600</t>
  </si>
  <si>
    <t xml:space="preserve">5017264</t>
  </si>
  <si>
    <t xml:space="preserve">0007-2868-600  GASKET</t>
  </si>
  <si>
    <t xml:space="preserve">31250187</t>
  </si>
  <si>
    <t xml:space="preserve">GASKET     0007 - 2868 - 600</t>
  </si>
  <si>
    <t xml:space="preserve">31250212</t>
  </si>
  <si>
    <t xml:space="preserve">spacer sleeve   welded  3298-2239-000</t>
  </si>
  <si>
    <t xml:space="preserve">4041890</t>
  </si>
  <si>
    <t xml:space="preserve">3298-2239-000  SPACER SLEEVE WELDED</t>
  </si>
  <si>
    <t xml:space="preserve">31250218</t>
  </si>
  <si>
    <t xml:space="preserve">Lower centripetal pump   3296-2241-100</t>
  </si>
  <si>
    <t xml:space="preserve">4041901</t>
  </si>
  <si>
    <t xml:space="preserve">3296-2241-100  LOWER CENTRIPETAL PUMP</t>
  </si>
  <si>
    <t xml:space="preserve">31252102</t>
  </si>
  <si>
    <r>
      <rPr>
        <sz val="10"/>
        <rFont val="FreeSans"/>
        <family val="2"/>
      </rPr>
      <t xml:space="preserve">پروانه پلاستیکی الکتروموتور          </t>
    </r>
    <r>
      <rPr>
        <sz val="10"/>
        <rFont val="Vazirmatn"/>
        <family val="0"/>
        <charset val="1"/>
      </rPr>
      <t xml:space="preserve">42mm</t>
    </r>
  </si>
  <si>
    <t xml:space="preserve">4006114</t>
  </si>
  <si>
    <r>
      <rPr>
        <sz val="10"/>
        <rFont val="FreeSans"/>
        <family val="2"/>
      </rPr>
      <t xml:space="preserve">پروانه پلاستيکي </t>
    </r>
    <r>
      <rPr>
        <sz val="10"/>
        <rFont val="Vazirmatn"/>
        <family val="0"/>
        <charset val="1"/>
      </rPr>
      <t xml:space="preserve">42mm </t>
    </r>
    <r>
      <rPr>
        <sz val="10"/>
        <rFont val="FreeSans"/>
        <family val="2"/>
      </rPr>
      <t xml:space="preserve">الکتروموتور</t>
    </r>
  </si>
  <si>
    <t xml:space="preserve">31252103</t>
  </si>
  <si>
    <r>
      <rPr>
        <sz val="10"/>
        <rFont val="FreeSans"/>
        <family val="2"/>
      </rPr>
      <t xml:space="preserve">پروانه پلاستیکی الکتروموتور          </t>
    </r>
    <r>
      <rPr>
        <sz val="10"/>
        <rFont val="Vazirmatn"/>
        <family val="0"/>
        <charset val="1"/>
      </rPr>
      <t xml:space="preserve">40mm</t>
    </r>
  </si>
  <si>
    <t xml:space="preserve">4006113</t>
  </si>
  <si>
    <r>
      <rPr>
        <sz val="10"/>
        <rFont val="FreeSans"/>
        <family val="2"/>
      </rPr>
      <t xml:space="preserve">پروانه پلاستيکي </t>
    </r>
    <r>
      <rPr>
        <sz val="10"/>
        <rFont val="Vazirmatn"/>
        <family val="0"/>
        <charset val="1"/>
      </rPr>
      <t xml:space="preserve">40mm </t>
    </r>
    <r>
      <rPr>
        <sz val="10"/>
        <rFont val="FreeSans"/>
        <family val="2"/>
      </rPr>
      <t xml:space="preserve">الکتروموتور</t>
    </r>
  </si>
  <si>
    <t xml:space="preserve">31252108</t>
  </si>
  <si>
    <r>
      <rPr>
        <sz val="10"/>
        <rFont val="FreeSans"/>
        <family val="2"/>
      </rPr>
      <t xml:space="preserve">پروانه پلاستیکی الکتروموتور            </t>
    </r>
    <r>
      <rPr>
        <sz val="10"/>
        <rFont val="Vazirmatn"/>
        <family val="0"/>
        <charset val="1"/>
      </rPr>
      <t xml:space="preserve">32mm</t>
    </r>
  </si>
  <si>
    <t xml:space="preserve">4006110</t>
  </si>
  <si>
    <r>
      <rPr>
        <sz val="10"/>
        <rFont val="FreeSans"/>
        <family val="2"/>
      </rPr>
      <t xml:space="preserve">پروانه پلاستيکي </t>
    </r>
    <r>
      <rPr>
        <sz val="10"/>
        <rFont val="Vazirmatn"/>
        <family val="0"/>
        <charset val="1"/>
      </rPr>
      <t xml:space="preserve">32mm </t>
    </r>
    <r>
      <rPr>
        <sz val="10"/>
        <rFont val="FreeSans"/>
        <family val="2"/>
      </rPr>
      <t xml:space="preserve">الکتروموتور</t>
    </r>
  </si>
  <si>
    <t xml:space="preserve">31252137</t>
  </si>
  <si>
    <r>
      <rPr>
        <sz val="10"/>
        <rFont val="FreeSans"/>
        <family val="2"/>
      </rPr>
      <t xml:space="preserve">پروانه پمپ     </t>
    </r>
    <r>
      <rPr>
        <sz val="10"/>
        <rFont val="Vazirmatn"/>
        <family val="0"/>
        <charset val="1"/>
      </rPr>
      <t xml:space="preserve">IHD 65-50-250</t>
    </r>
  </si>
  <si>
    <t xml:space="preserve">4055575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</si>
  <si>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IHD 65-50-250</t>
    </r>
  </si>
  <si>
    <t xml:space="preserve">31252207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</si>
  <si>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IHD65-50-250</t>
    </r>
  </si>
  <si>
    <t xml:space="preserve">31252263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</si>
  <si>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250 - 100 - 125 IHD</t>
    </r>
  </si>
  <si>
    <t xml:space="preserve">4047950</t>
  </si>
  <si>
    <r>
      <rPr>
        <sz val="10"/>
        <rFont val="FreeSans"/>
        <family val="2"/>
      </rPr>
      <t xml:space="preserve">پروانه پمپ</t>
    </r>
    <r>
      <rPr>
        <sz val="10"/>
        <rFont val="Vazirmatn"/>
        <family val="0"/>
        <charset val="1"/>
      </rPr>
      <t xml:space="preserve">-IHD125-100-250</t>
    </r>
  </si>
  <si>
    <t xml:space="preserve">31252269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</si>
  <si>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200 - 65 - 80 IHD</t>
    </r>
  </si>
  <si>
    <t xml:space="preserve">4055548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</si>
  <si>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IHD 80-65-200</t>
    </r>
  </si>
  <si>
    <t xml:space="preserve">31252317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</si>
  <si>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IHD 80 - 65 - 200</t>
    </r>
  </si>
  <si>
    <t xml:space="preserve">31252346</t>
  </si>
  <si>
    <r>
      <rPr>
        <sz val="10"/>
        <rFont val="FreeSans"/>
        <family val="2"/>
      </rPr>
      <t xml:space="preserve">پروانه پلاستیکی الکتروموتور         </t>
    </r>
    <r>
      <rPr>
        <sz val="10"/>
        <rFont val="Vazirmatn"/>
        <family val="0"/>
        <charset val="1"/>
      </rPr>
      <t xml:space="preserve">28mm</t>
    </r>
  </si>
  <si>
    <t xml:space="preserve">4006108</t>
  </si>
  <si>
    <r>
      <rPr>
        <sz val="10"/>
        <rFont val="FreeSans"/>
        <family val="2"/>
      </rPr>
      <t xml:space="preserve">پروانه پلاستيکي </t>
    </r>
    <r>
      <rPr>
        <sz val="10"/>
        <rFont val="Vazirmatn"/>
        <family val="0"/>
        <charset val="1"/>
      </rPr>
      <t xml:space="preserve">28mm </t>
    </r>
    <r>
      <rPr>
        <sz val="10"/>
        <rFont val="FreeSans"/>
        <family val="2"/>
      </rPr>
      <t xml:space="preserve">الکتروموتور</t>
    </r>
  </si>
  <si>
    <t xml:space="preserve">31252352</t>
  </si>
  <si>
    <r>
      <rPr>
        <sz val="10"/>
        <rFont val="FreeSans"/>
        <family val="2"/>
      </rPr>
      <t xml:space="preserve">پروانه پلاستیکی الکتروموتور         </t>
    </r>
    <r>
      <rPr>
        <sz val="10"/>
        <rFont val="Vazirmatn"/>
        <family val="0"/>
        <charset val="1"/>
      </rPr>
      <t xml:space="preserve">38mm</t>
    </r>
  </si>
  <si>
    <t xml:space="preserve">4006112</t>
  </si>
  <si>
    <r>
      <rPr>
        <sz val="10"/>
        <rFont val="FreeSans"/>
        <family val="2"/>
      </rPr>
      <t xml:space="preserve">پروانه پلاستيکي </t>
    </r>
    <r>
      <rPr>
        <sz val="10"/>
        <rFont val="Vazirmatn"/>
        <family val="0"/>
        <charset val="1"/>
      </rPr>
      <t xml:space="preserve">38mm </t>
    </r>
    <r>
      <rPr>
        <sz val="10"/>
        <rFont val="FreeSans"/>
        <family val="2"/>
      </rPr>
      <t xml:space="preserve">الکتروموتور</t>
    </r>
  </si>
  <si>
    <t xml:space="preserve">31252426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</si>
  <si>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IHD150-125-250</t>
    </r>
  </si>
  <si>
    <t xml:space="preserve">4034391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</si>
  <si>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IHD150-125-250</t>
    </r>
  </si>
  <si>
    <t xml:space="preserve">31252431</t>
  </si>
  <si>
    <r>
      <rPr>
        <sz val="10"/>
        <rFont val="FreeSans"/>
        <family val="2"/>
      </rPr>
      <t xml:space="preserve">پروانه پلاستیکی الکتروموتور  </t>
    </r>
    <r>
      <rPr>
        <sz val="10"/>
        <rFont val="Vazirmatn"/>
        <family val="0"/>
        <charset val="1"/>
      </rPr>
      <t xml:space="preserve">45mm</t>
    </r>
  </si>
  <si>
    <t xml:space="preserve">4006116</t>
  </si>
  <si>
    <r>
      <rPr>
        <sz val="10"/>
        <rFont val="FreeSans"/>
        <family val="2"/>
      </rPr>
      <t xml:space="preserve">پروانه پلاستيکي </t>
    </r>
    <r>
      <rPr>
        <sz val="10"/>
        <rFont val="Vazirmatn"/>
        <family val="0"/>
        <charset val="1"/>
      </rPr>
      <t xml:space="preserve">45mm </t>
    </r>
    <r>
      <rPr>
        <sz val="10"/>
        <rFont val="FreeSans"/>
        <family val="2"/>
      </rPr>
      <t xml:space="preserve">الکتروموتور</t>
    </r>
  </si>
  <si>
    <t xml:space="preserve">31261402</t>
  </si>
  <si>
    <r>
      <rPr>
        <sz val="10"/>
        <rFont val="FreeSans"/>
        <family val="2"/>
      </rPr>
      <t xml:space="preserve">واشر لاستیکی                  </t>
    </r>
    <r>
      <rPr>
        <sz val="10"/>
        <rFont val="Vazirmatn"/>
        <family val="0"/>
        <charset val="1"/>
      </rPr>
      <t xml:space="preserve">4   </t>
    </r>
    <r>
      <rPr>
        <sz val="10"/>
        <rFont val="FreeSans"/>
        <family val="2"/>
      </rPr>
      <t xml:space="preserve">اینچ</t>
    </r>
  </si>
  <si>
    <t xml:space="preserve">4027125</t>
  </si>
  <si>
    <r>
      <rPr>
        <sz val="10"/>
        <rFont val="FreeSans"/>
        <family val="2"/>
      </rPr>
      <t xml:space="preserve">واشر لاستیکی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</si>
  <si>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r>
      <rPr>
        <sz val="10"/>
        <rFont val="Vazirmatn"/>
        <family val="0"/>
        <charset val="1"/>
      </rPr>
      <t xml:space="preserve">3126 (</t>
    </r>
    <r>
      <rPr>
        <sz val="10"/>
        <rFont val="FreeSans"/>
        <family val="2"/>
      </rPr>
      <t xml:space="preserve">پیچ، واشر</t>
    </r>
    <r>
      <rPr>
        <sz val="10"/>
        <rFont val="Vazirmatn"/>
        <family val="0"/>
        <charset val="1"/>
      </rPr>
      <t xml:space="preserve">)</t>
    </r>
  </si>
  <si>
    <t xml:space="preserve">31261404</t>
  </si>
  <si>
    <r>
      <rPr>
        <sz val="10"/>
        <rFont val="FreeSans"/>
        <family val="2"/>
      </rPr>
      <t xml:space="preserve">واشر  لاستیکی                 </t>
    </r>
    <r>
      <rPr>
        <sz val="10"/>
        <rFont val="Vazirmatn"/>
        <family val="0"/>
        <charset val="1"/>
      </rPr>
      <t xml:space="preserve">4   </t>
    </r>
    <r>
      <rPr>
        <sz val="10"/>
        <rFont val="FreeSans"/>
        <family val="2"/>
      </rPr>
      <t xml:space="preserve">اینچ</t>
    </r>
  </si>
  <si>
    <t xml:space="preserve">31261489</t>
  </si>
  <si>
    <r>
      <rPr>
        <sz val="10"/>
        <rFont val="FreeSans"/>
        <family val="2"/>
      </rPr>
      <t xml:space="preserve">واشرلاستیکی                    </t>
    </r>
    <r>
      <rPr>
        <sz val="10"/>
        <rFont val="Vazirmatn"/>
        <family val="0"/>
        <charset val="1"/>
      </rPr>
      <t xml:space="preserve">3</t>
    </r>
  </si>
  <si>
    <t xml:space="preserve">4027124</t>
  </si>
  <si>
    <r>
      <rPr>
        <sz val="10"/>
        <rFont val="FreeSans"/>
        <family val="2"/>
      </rPr>
      <t xml:space="preserve">واشر لاستیکی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</si>
  <si>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31261493</t>
  </si>
  <si>
    <r>
      <rPr>
        <sz val="10"/>
        <rFont val="FreeSans"/>
        <family val="2"/>
      </rPr>
      <t xml:space="preserve">واشرلاستیکی                   </t>
    </r>
    <r>
      <rPr>
        <sz val="10"/>
        <rFont val="Vazirmatn"/>
        <family val="0"/>
        <charset val="1"/>
      </rPr>
      <t xml:space="preserve">3   </t>
    </r>
    <r>
      <rPr>
        <sz val="10"/>
        <rFont val="FreeSans"/>
        <family val="2"/>
      </rPr>
      <t xml:space="preserve">اینچ</t>
    </r>
  </si>
  <si>
    <t xml:space="preserve">31261500</t>
  </si>
  <si>
    <r>
      <rPr>
        <sz val="10"/>
        <rFont val="FreeSans"/>
        <family val="2"/>
      </rPr>
      <t xml:space="preserve">واشر کلینگریت سیم دار  </t>
    </r>
    <r>
      <rPr>
        <sz val="10"/>
        <rFont val="Vazirmatn"/>
        <family val="0"/>
        <charset val="1"/>
      </rPr>
      <t xml:space="preserve">" 1/2</t>
    </r>
  </si>
  <si>
    <t xml:space="preserve">5019964</t>
  </si>
  <si>
    <r>
      <rPr>
        <sz val="10"/>
        <rFont val="FreeSans"/>
        <family val="2"/>
      </rPr>
      <t xml:space="preserve">واشر</t>
    </r>
    <r>
      <rPr>
        <sz val="10"/>
        <rFont val="Vazirmatn"/>
        <family val="0"/>
        <charset val="1"/>
      </rPr>
      <t xml:space="preserve">-1/2in-</t>
    </r>
    <r>
      <rPr>
        <sz val="10"/>
        <rFont val="FreeSans"/>
        <family val="2"/>
      </rPr>
      <t xml:space="preserve">کلینگریت سیم دار</t>
    </r>
  </si>
  <si>
    <t xml:space="preserve">31261501</t>
  </si>
  <si>
    <r>
      <rPr>
        <sz val="10"/>
        <rFont val="FreeSans"/>
        <family val="2"/>
      </rPr>
      <t xml:space="preserve">واشر کلینگریت سیم دار    </t>
    </r>
    <r>
      <rPr>
        <sz val="10"/>
        <rFont val="Vazirmatn"/>
        <family val="0"/>
        <charset val="1"/>
      </rPr>
      <t xml:space="preserve">"16</t>
    </r>
  </si>
  <si>
    <t xml:space="preserve">5019962</t>
  </si>
  <si>
    <r>
      <rPr>
        <sz val="10"/>
        <rFont val="FreeSans"/>
        <family val="2"/>
      </rPr>
      <t xml:space="preserve">واشر</t>
    </r>
    <r>
      <rPr>
        <sz val="10"/>
        <rFont val="Vazirmatn"/>
        <family val="0"/>
        <charset val="1"/>
      </rPr>
      <t xml:space="preserve">-16in-</t>
    </r>
    <r>
      <rPr>
        <sz val="10"/>
        <rFont val="FreeSans"/>
        <family val="2"/>
      </rPr>
      <t xml:space="preserve">کلینگریت سیم دار</t>
    </r>
  </si>
  <si>
    <t xml:space="preserve">31261509</t>
  </si>
  <si>
    <r>
      <rPr>
        <sz val="10"/>
        <rFont val="FreeSans"/>
        <family val="2"/>
      </rPr>
      <t xml:space="preserve">واشر کلینگریت سیم دار   </t>
    </r>
    <r>
      <rPr>
        <sz val="10"/>
        <rFont val="Vazirmatn"/>
        <family val="0"/>
        <charset val="1"/>
      </rPr>
      <t xml:space="preserve">" 1/2</t>
    </r>
  </si>
  <si>
    <t xml:space="preserve">31261524</t>
  </si>
  <si>
    <r>
      <rPr>
        <sz val="10"/>
        <rFont val="FreeSans"/>
        <family val="2"/>
      </rPr>
      <t xml:space="preserve">واشر کلینگریت سیم دار   </t>
    </r>
    <r>
      <rPr>
        <sz val="10"/>
        <rFont val="Vazirmatn"/>
        <family val="0"/>
        <charset val="1"/>
      </rPr>
      <t xml:space="preserve">" 1</t>
    </r>
  </si>
  <si>
    <t xml:space="preserve">5019965</t>
  </si>
  <si>
    <r>
      <rPr>
        <sz val="10"/>
        <rFont val="FreeSans"/>
        <family val="2"/>
      </rPr>
      <t xml:space="preserve">واشر</t>
    </r>
    <r>
      <rPr>
        <sz val="10"/>
        <rFont val="Vazirmatn"/>
        <family val="0"/>
        <charset val="1"/>
      </rPr>
      <t xml:space="preserve">-1in-</t>
    </r>
    <r>
      <rPr>
        <sz val="10"/>
        <rFont val="FreeSans"/>
        <family val="2"/>
      </rPr>
      <t xml:space="preserve">کلینگریت سیم دار</t>
    </r>
  </si>
  <si>
    <t xml:space="preserve">31261553</t>
  </si>
  <si>
    <r>
      <rPr>
        <sz val="10"/>
        <rFont val="FreeSans"/>
        <family val="2"/>
      </rPr>
      <t xml:space="preserve">واشر کلینگریت سیم دار   </t>
    </r>
    <r>
      <rPr>
        <sz val="10"/>
        <rFont val="Vazirmatn"/>
        <family val="0"/>
        <charset val="1"/>
      </rPr>
      <t xml:space="preserve">" 4</t>
    </r>
  </si>
  <si>
    <t xml:space="preserve">5019960</t>
  </si>
  <si>
    <r>
      <rPr>
        <sz val="10"/>
        <rFont val="FreeSans"/>
        <family val="2"/>
      </rPr>
      <t xml:space="preserve">واشر</t>
    </r>
    <r>
      <rPr>
        <sz val="10"/>
        <rFont val="Vazirmatn"/>
        <family val="0"/>
        <charset val="1"/>
      </rPr>
      <t xml:space="preserve">-4in-</t>
    </r>
    <r>
      <rPr>
        <sz val="10"/>
        <rFont val="FreeSans"/>
        <family val="2"/>
      </rPr>
      <t xml:space="preserve">کلینگریت سیم دار</t>
    </r>
  </si>
  <si>
    <t xml:space="preserve">31261561</t>
  </si>
  <si>
    <r>
      <rPr>
        <sz val="10"/>
        <rFont val="FreeSans"/>
        <family val="2"/>
      </rPr>
      <t xml:space="preserve">واشر کلینگریت سیم دار   </t>
    </r>
    <r>
      <rPr>
        <sz val="10"/>
        <rFont val="Vazirmatn"/>
        <family val="0"/>
        <charset val="1"/>
      </rPr>
      <t xml:space="preserve">" 5</t>
    </r>
  </si>
  <si>
    <t xml:space="preserve">5016097</t>
  </si>
  <si>
    <r>
      <rPr>
        <sz val="10"/>
        <rFont val="FreeSans"/>
        <family val="2"/>
      </rPr>
      <t xml:space="preserve">واشر کلینگریت سیم دار سایز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اینچ</t>
    </r>
  </si>
  <si>
    <t xml:space="preserve">اتصالات مکانیک</t>
  </si>
  <si>
    <t xml:space="preserve">31261595</t>
  </si>
  <si>
    <r>
      <rPr>
        <sz val="10"/>
        <rFont val="FreeSans"/>
        <family val="2"/>
      </rPr>
      <t xml:space="preserve">واشر کلینگریت سیم دار   </t>
    </r>
    <r>
      <rPr>
        <sz val="10"/>
        <rFont val="Vazirmatn"/>
        <family val="0"/>
        <charset val="1"/>
      </rPr>
      <t xml:space="preserve">" 6</t>
    </r>
  </si>
  <si>
    <t xml:space="preserve">5019963</t>
  </si>
  <si>
    <r>
      <rPr>
        <sz val="10"/>
        <rFont val="FreeSans"/>
        <family val="2"/>
      </rPr>
      <t xml:space="preserve">واشر</t>
    </r>
    <r>
      <rPr>
        <sz val="10"/>
        <rFont val="Vazirmatn"/>
        <family val="0"/>
        <charset val="1"/>
      </rPr>
      <t xml:space="preserve">-6in-</t>
    </r>
    <r>
      <rPr>
        <sz val="10"/>
        <rFont val="FreeSans"/>
        <family val="2"/>
      </rPr>
      <t xml:space="preserve">کلینگریت سیم دار</t>
    </r>
  </si>
  <si>
    <t xml:space="preserve">31264244</t>
  </si>
  <si>
    <r>
      <rPr>
        <sz val="10"/>
        <rFont val="FreeSans"/>
        <family val="2"/>
      </rPr>
      <t xml:space="preserve">درپوش گالوانیزه         </t>
    </r>
    <r>
      <rPr>
        <sz val="10"/>
        <rFont val="Vazirmatn"/>
        <family val="0"/>
        <charset val="1"/>
      </rPr>
      <t xml:space="preserve">" 1/2</t>
    </r>
  </si>
  <si>
    <t xml:space="preserve">4002331</t>
  </si>
  <si>
    <r>
      <rPr>
        <sz val="10"/>
        <rFont val="FreeSans"/>
        <family val="2"/>
      </rPr>
      <t xml:space="preserve">درپوش گالوانيزه </t>
    </r>
    <r>
      <rPr>
        <sz val="10"/>
        <rFont val="Vazirmatn"/>
        <family val="0"/>
        <charset val="1"/>
      </rPr>
      <t xml:space="preserve">"1/2</t>
    </r>
  </si>
  <si>
    <t xml:space="preserve">31269209</t>
  </si>
  <si>
    <t xml:space="preserve">تورچ آرگون</t>
  </si>
  <si>
    <t xml:space="preserve">5007290</t>
  </si>
  <si>
    <t xml:space="preserve">31269210</t>
  </si>
  <si>
    <r>
      <rPr>
        <sz val="10"/>
        <rFont val="FreeSans"/>
        <family val="2"/>
      </rPr>
      <t xml:space="preserve">گاز پخش کن </t>
    </r>
    <r>
      <rPr>
        <sz val="10"/>
        <rFont val="Vazirmatn"/>
        <family val="0"/>
        <charset val="1"/>
      </rPr>
      <t xml:space="preserve">CO2</t>
    </r>
  </si>
  <si>
    <t xml:space="preserve">4035533</t>
  </si>
  <si>
    <t xml:space="preserve">31269301</t>
  </si>
  <si>
    <t xml:space="preserve">چفت کشویی درب</t>
  </si>
  <si>
    <t xml:space="preserve">5004263</t>
  </si>
  <si>
    <t xml:space="preserve">چفت كشويي درب</t>
  </si>
  <si>
    <t xml:space="preserve">31269456</t>
  </si>
  <si>
    <t xml:space="preserve">دسته قلاویز دستی متوسط</t>
  </si>
  <si>
    <t xml:space="preserve">4018483</t>
  </si>
  <si>
    <t xml:space="preserve">31271639</t>
  </si>
  <si>
    <r>
      <rPr>
        <sz val="10"/>
        <rFont val="FreeSans"/>
        <family val="2"/>
      </rPr>
      <t xml:space="preserve">شیر اطمینان برنجی         </t>
    </r>
    <r>
      <rPr>
        <sz val="10"/>
        <rFont val="Vazirmatn"/>
        <family val="0"/>
        <charset val="1"/>
      </rPr>
      <t xml:space="preserve">" 3/4</t>
    </r>
  </si>
  <si>
    <t xml:space="preserve">4029970</t>
  </si>
  <si>
    <r>
      <rPr>
        <sz val="10"/>
        <rFont val="FreeSans"/>
        <family val="2"/>
      </rPr>
      <t xml:space="preserve">شیر اطمینان برنجی 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</si>
  <si>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r>
      <rPr>
        <sz val="10"/>
        <rFont val="Vazirmatn"/>
        <family val="0"/>
        <charset val="1"/>
      </rPr>
      <t xml:space="preserve">3127 (</t>
    </r>
    <r>
      <rPr>
        <sz val="10"/>
        <rFont val="FreeSans"/>
        <family val="2"/>
      </rPr>
      <t xml:space="preserve">شیر، لوله</t>
    </r>
    <r>
      <rPr>
        <sz val="10"/>
        <rFont val="Vazirmatn"/>
        <family val="0"/>
        <charset val="1"/>
      </rPr>
      <t xml:space="preserve">)</t>
    </r>
  </si>
  <si>
    <t xml:space="preserve">31272320</t>
  </si>
  <si>
    <r>
      <rPr>
        <sz val="10"/>
        <rFont val="FreeSans"/>
        <family val="2"/>
      </rPr>
      <t xml:space="preserve">زانویی پلیکا  </t>
    </r>
    <r>
      <rPr>
        <sz val="10"/>
        <rFont val="Vazirmatn"/>
        <family val="0"/>
        <charset val="1"/>
      </rPr>
      <t xml:space="preserve">90  </t>
    </r>
    <r>
      <rPr>
        <sz val="10"/>
        <rFont val="FreeSans"/>
        <family val="2"/>
      </rPr>
      <t xml:space="preserve">درجه       </t>
    </r>
    <r>
      <rPr>
        <sz val="10"/>
        <rFont val="Vazirmatn"/>
        <family val="0"/>
        <charset val="1"/>
      </rPr>
      <t xml:space="preserve">110</t>
    </r>
  </si>
  <si>
    <t xml:space="preserve">4000725</t>
  </si>
  <si>
    <r>
      <rPr>
        <sz val="10"/>
        <rFont val="FreeSans"/>
        <family val="2"/>
      </rPr>
      <t xml:space="preserve">زانو پليکا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سايز </t>
    </r>
    <r>
      <rPr>
        <sz val="10"/>
        <rFont val="Vazirmatn"/>
        <family val="0"/>
        <charset val="1"/>
      </rPr>
      <t xml:space="preserve">110</t>
    </r>
  </si>
  <si>
    <t xml:space="preserve">31272741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</si>
  <si>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1/4 1   CPVC</t>
    </r>
  </si>
  <si>
    <t xml:space="preserve">4029488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</si>
  <si>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1/4 1 </t>
    </r>
    <r>
      <rPr>
        <sz val="10"/>
        <rFont val="FreeSans"/>
        <family val="2"/>
      </rPr>
      <t xml:space="preserve">اینچ</t>
    </r>
  </si>
  <si>
    <t xml:space="preserve">31272750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</si>
  <si>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5   CPVC</t>
    </r>
  </si>
  <si>
    <t xml:space="preserve">4029489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</si>
  <si>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اینچ</t>
    </r>
  </si>
  <si>
    <t xml:space="preserve">31272760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</si>
  <si>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1/2 , 2      UPVC</t>
    </r>
  </si>
  <si>
    <t xml:space="preserve">4029529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</si>
  <si>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</si>
  <si>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31272782</t>
  </si>
  <si>
    <r>
      <rPr>
        <sz val="10"/>
        <rFont val="FreeSans"/>
        <family val="2"/>
      </rPr>
      <t xml:space="preserve">سه راهی دنده ای استیل </t>
    </r>
    <r>
      <rPr>
        <sz val="10"/>
        <rFont val="Vazirmatn"/>
        <family val="0"/>
        <charset val="1"/>
      </rPr>
      <t xml:space="preserve">316   " 1/2</t>
    </r>
  </si>
  <si>
    <t xml:space="preserve">4029463</t>
  </si>
  <si>
    <r>
      <rPr>
        <sz val="10"/>
        <rFont val="FreeSans"/>
        <family val="2"/>
      </rPr>
      <t xml:space="preserve">سه راهی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</si>
  <si>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31272849</t>
  </si>
  <si>
    <r>
      <rPr>
        <sz val="10"/>
        <rFont val="FreeSans"/>
        <family val="2"/>
      </rPr>
      <t xml:space="preserve">سه راهی پرسی نیوپایپ </t>
    </r>
    <r>
      <rPr>
        <sz val="10"/>
        <rFont val="Vazirmatn"/>
        <family val="0"/>
        <charset val="1"/>
      </rPr>
      <t xml:space="preserve">20*20*20</t>
    </r>
  </si>
  <si>
    <t xml:space="preserve">4044535</t>
  </si>
  <si>
    <r>
      <rPr>
        <sz val="10"/>
        <rFont val="FreeSans"/>
        <family val="2"/>
      </rPr>
      <t xml:space="preserve">سه راهی نیوپایپ پرسی </t>
    </r>
    <r>
      <rPr>
        <sz val="10"/>
        <rFont val="Vazirmatn"/>
        <family val="0"/>
        <charset val="1"/>
      </rPr>
      <t xml:space="preserve">20*20*20</t>
    </r>
  </si>
  <si>
    <t xml:space="preserve">31273268</t>
  </si>
  <si>
    <r>
      <rPr>
        <sz val="10"/>
        <rFont val="FreeSans"/>
        <family val="2"/>
      </rPr>
      <t xml:space="preserve">فلنج  </t>
    </r>
    <r>
      <rPr>
        <sz val="10"/>
        <rFont val="Vazirmatn"/>
        <family val="0"/>
        <charset val="1"/>
      </rPr>
      <t xml:space="preserve">" C PVC          5</t>
    </r>
  </si>
  <si>
    <t xml:space="preserve">4029151</t>
  </si>
  <si>
    <r>
      <rPr>
        <sz val="10"/>
        <rFont val="FreeSans"/>
        <family val="2"/>
      </rPr>
      <t xml:space="preserve">فلنچ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اینچ</t>
    </r>
  </si>
  <si>
    <t xml:space="preserve">31273269</t>
  </si>
  <si>
    <r>
      <rPr>
        <sz val="10"/>
        <rFont val="FreeSans"/>
        <family val="2"/>
      </rPr>
      <t xml:space="preserve">فلنج  </t>
    </r>
    <r>
      <rPr>
        <sz val="10"/>
        <rFont val="Vazirmatn"/>
        <family val="0"/>
        <charset val="1"/>
      </rPr>
      <t xml:space="preserve">" C PVC           6</t>
    </r>
  </si>
  <si>
    <t xml:space="preserve">4029153</t>
  </si>
  <si>
    <r>
      <rPr>
        <sz val="10"/>
        <rFont val="FreeSans"/>
        <family val="2"/>
      </rPr>
      <t xml:space="preserve">فلنچ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اینچ</t>
    </r>
  </si>
  <si>
    <t xml:space="preserve">31273276</t>
  </si>
  <si>
    <r>
      <rPr>
        <sz val="10"/>
        <rFont val="FreeSans"/>
        <family val="2"/>
      </rPr>
      <t xml:space="preserve">فلنج  </t>
    </r>
    <r>
      <rPr>
        <sz val="10"/>
        <rFont val="Vazirmatn"/>
        <family val="0"/>
        <charset val="1"/>
      </rPr>
      <t xml:space="preserve">" C PVC          1/2, 2</t>
    </r>
  </si>
  <si>
    <t xml:space="preserve">4029190</t>
  </si>
  <si>
    <r>
      <rPr>
        <sz val="10"/>
        <rFont val="FreeSans"/>
        <family val="2"/>
      </rPr>
      <t xml:space="preserve">فلنچ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</si>
  <si>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31273310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</si>
  <si>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 1/2 1      UPVC</t>
    </r>
  </si>
  <si>
    <t xml:space="preserve">4029166</t>
  </si>
  <si>
    <r>
      <rPr>
        <sz val="10"/>
        <rFont val="FreeSans"/>
        <family val="2"/>
      </rPr>
      <t xml:space="preserve">فلنچ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</si>
  <si>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31273406</t>
  </si>
  <si>
    <r>
      <rPr>
        <sz val="10"/>
        <rFont val="FreeSans"/>
        <family val="2"/>
      </rPr>
      <t xml:space="preserve">تبدیل گالوانیزه  دنده ای  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1</t>
    </r>
  </si>
  <si>
    <t xml:space="preserve">4031191</t>
  </si>
  <si>
    <r>
      <rPr>
        <sz val="10"/>
        <rFont val="FreeSans"/>
        <family val="2"/>
      </rPr>
      <t xml:space="preserve">تبدیل گالوانیزه دنده ای سایز </t>
    </r>
    <r>
      <rPr>
        <sz val="10"/>
        <rFont val="Vazirmatn"/>
        <family val="0"/>
        <charset val="1"/>
      </rPr>
      <t xml:space="preserve">1*1/2 1</t>
    </r>
    <r>
      <rPr>
        <sz val="10"/>
        <rFont val="FreeSans"/>
        <family val="2"/>
      </rPr>
      <t xml:space="preserve">اینچ</t>
    </r>
  </si>
  <si>
    <t xml:space="preserve">31273566</t>
  </si>
  <si>
    <r>
      <rPr>
        <sz val="10"/>
        <rFont val="FreeSans"/>
        <family val="2"/>
      </rPr>
      <t xml:space="preserve">تبدیل پلیکا    </t>
    </r>
    <r>
      <rPr>
        <sz val="10"/>
        <rFont val="Vazirmatn"/>
        <family val="0"/>
        <charset val="1"/>
      </rPr>
      <t xml:space="preserve">63 * 90</t>
    </r>
  </si>
  <si>
    <t xml:space="preserve">4029421</t>
  </si>
  <si>
    <r>
      <rPr>
        <sz val="10"/>
        <rFont val="FreeSans"/>
        <family val="2"/>
      </rPr>
      <t xml:space="preserve">تبدیل پلیکا سایز </t>
    </r>
    <r>
      <rPr>
        <sz val="10"/>
        <rFont val="Vazirmatn"/>
        <family val="0"/>
        <charset val="1"/>
      </rPr>
      <t xml:space="preserve">63*90</t>
    </r>
  </si>
  <si>
    <t xml:space="preserve">31273907</t>
  </si>
  <si>
    <t xml:space="preserve">سیفون ظرفشوئی</t>
  </si>
  <si>
    <t xml:space="preserve">4017133</t>
  </si>
  <si>
    <t xml:space="preserve">سیفون ظرفشویی</t>
  </si>
  <si>
    <t xml:space="preserve">31274507</t>
  </si>
  <si>
    <r>
      <rPr>
        <sz val="10"/>
        <rFont val="FreeSans"/>
        <family val="2"/>
      </rPr>
      <t xml:space="preserve">شیلنگ شفاف سیم دار   </t>
    </r>
    <r>
      <rPr>
        <sz val="10"/>
        <rFont val="Vazirmatn"/>
        <family val="0"/>
        <charset val="1"/>
      </rPr>
      <t xml:space="preserve">" 1</t>
    </r>
  </si>
  <si>
    <t xml:space="preserve">4044249</t>
  </si>
  <si>
    <r>
      <rPr>
        <sz val="10"/>
        <rFont val="FreeSans"/>
        <family val="2"/>
      </rPr>
      <t xml:space="preserve">شیلنگ شفاف سیم دار </t>
    </r>
    <r>
      <rPr>
        <sz val="10"/>
        <rFont val="Vazirmatn"/>
        <family val="0"/>
        <charset val="1"/>
      </rPr>
      <t xml:space="preserve">1IN</t>
    </r>
  </si>
  <si>
    <t xml:space="preserve">31274508</t>
  </si>
  <si>
    <t xml:space="preserve">شیلنگ توالت پلاستیکی</t>
  </si>
  <si>
    <t xml:space="preserve">5004776</t>
  </si>
  <si>
    <t xml:space="preserve">شيلنگ توالت پلاستيکي</t>
  </si>
  <si>
    <t xml:space="preserve">31274543</t>
  </si>
  <si>
    <t xml:space="preserve">شیلنگ توالت فلزی</t>
  </si>
  <si>
    <t xml:space="preserve">5002497</t>
  </si>
  <si>
    <t xml:space="preserve">31274548</t>
  </si>
  <si>
    <r>
      <rPr>
        <sz val="10"/>
        <rFont val="FreeSans"/>
        <family val="2"/>
      </rPr>
      <t xml:space="preserve">شیلنگ شفاف </t>
    </r>
    <r>
      <rPr>
        <sz val="10"/>
        <rFont val="Vazirmatn"/>
        <family val="0"/>
        <charset val="1"/>
      </rPr>
      <t xml:space="preserve">10</t>
    </r>
  </si>
  <si>
    <t xml:space="preserve">4030340</t>
  </si>
  <si>
    <r>
      <rPr>
        <sz val="10"/>
        <rFont val="FreeSans"/>
        <family val="2"/>
      </rPr>
      <t xml:space="preserve">شیلنگ شفاف سایز </t>
    </r>
    <r>
      <rPr>
        <sz val="10"/>
        <rFont val="Vazirmatn"/>
        <family val="0"/>
        <charset val="1"/>
      </rPr>
      <t xml:space="preserve">10</t>
    </r>
  </si>
  <si>
    <t xml:space="preserve">31276098</t>
  </si>
  <si>
    <r>
      <rPr>
        <sz val="10"/>
        <rFont val="FreeSans"/>
        <family val="2"/>
      </rPr>
      <t xml:space="preserve">لوله خرطومی   </t>
    </r>
    <r>
      <rPr>
        <sz val="10"/>
        <rFont val="Vazirmatn"/>
        <family val="0"/>
        <charset val="1"/>
      </rPr>
      <t xml:space="preserve">16</t>
    </r>
  </si>
  <si>
    <t xml:space="preserve">4015056</t>
  </si>
  <si>
    <r>
      <rPr>
        <sz val="10"/>
        <rFont val="FreeSans"/>
        <family val="2"/>
      </rPr>
      <t xml:space="preserve">لوله خرطومي</t>
    </r>
    <r>
      <rPr>
        <sz val="10"/>
        <rFont val="Vazirmatn"/>
        <family val="0"/>
        <charset val="1"/>
      </rPr>
      <t xml:space="preserve">16</t>
    </r>
  </si>
  <si>
    <t xml:space="preserve">31276545</t>
  </si>
  <si>
    <r>
      <rPr>
        <sz val="10"/>
        <rFont val="FreeSans"/>
        <family val="2"/>
      </rPr>
      <t xml:space="preserve">لرزه گیر لاستیکی   </t>
    </r>
    <r>
      <rPr>
        <sz val="10"/>
        <rFont val="Vazirmatn"/>
        <family val="0"/>
        <charset val="1"/>
      </rPr>
      <t xml:space="preserve">" 6</t>
    </r>
  </si>
  <si>
    <t xml:space="preserve">4028955</t>
  </si>
  <si>
    <r>
      <rPr>
        <sz val="10"/>
        <rFont val="FreeSans"/>
        <family val="2"/>
      </rPr>
      <t xml:space="preserve">لرزه گیر لاستیکی سایز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اینچ</t>
    </r>
  </si>
  <si>
    <t xml:space="preserve">31278510</t>
  </si>
  <si>
    <r>
      <rPr>
        <sz val="10"/>
        <rFont val="FreeSans"/>
        <family val="2"/>
      </rPr>
      <t xml:space="preserve">فلوتر برنجی  </t>
    </r>
    <r>
      <rPr>
        <sz val="10"/>
        <rFont val="Vazirmatn"/>
        <family val="0"/>
        <charset val="1"/>
      </rPr>
      <t xml:space="preserve">1/2</t>
    </r>
  </si>
  <si>
    <t xml:space="preserve">4010694</t>
  </si>
  <si>
    <r>
      <rPr>
        <sz val="10"/>
        <rFont val="FreeSans"/>
        <family val="2"/>
      </rPr>
      <t xml:space="preserve">فلوتر برنجي </t>
    </r>
    <r>
      <rPr>
        <sz val="10"/>
        <rFont val="Vazirmatn"/>
        <family val="0"/>
        <charset val="1"/>
      </rPr>
      <t xml:space="preserve">"1/2</t>
    </r>
  </si>
  <si>
    <t xml:space="preserve">31286130</t>
  </si>
  <si>
    <t xml:space="preserve">روغن دان</t>
  </si>
  <si>
    <t xml:space="preserve">5009329</t>
  </si>
  <si>
    <t xml:space="preserve">روغندان</t>
  </si>
  <si>
    <r>
      <rPr>
        <sz val="10"/>
        <rFont val="Vazirmatn"/>
        <family val="0"/>
        <charset val="1"/>
      </rPr>
      <t xml:space="preserve">3128 (</t>
    </r>
    <r>
      <rPr>
        <sz val="10"/>
        <rFont val="FreeSans"/>
        <family val="2"/>
      </rPr>
      <t xml:space="preserve">تیغه، آچار</t>
    </r>
    <r>
      <rPr>
        <sz val="10"/>
        <rFont val="Vazirmatn"/>
        <family val="0"/>
        <charset val="1"/>
      </rPr>
      <t xml:space="preserve">)</t>
    </r>
  </si>
  <si>
    <t xml:space="preserve">31286147</t>
  </si>
  <si>
    <t xml:space="preserve">گام سنج</t>
  </si>
  <si>
    <t xml:space="preserve">4010593</t>
  </si>
  <si>
    <t xml:space="preserve">31286157</t>
  </si>
  <si>
    <r>
      <rPr>
        <sz val="10"/>
        <rFont val="FreeSans"/>
        <family val="2"/>
      </rPr>
      <t xml:space="preserve">دسته بکس جغجغه ای  </t>
    </r>
    <r>
      <rPr>
        <sz val="10"/>
        <rFont val="Vazirmatn"/>
        <family val="0"/>
        <charset val="1"/>
      </rPr>
      <t xml:space="preserve">"1/2</t>
    </r>
  </si>
  <si>
    <t xml:space="preserve">4019733</t>
  </si>
  <si>
    <r>
      <rPr>
        <sz val="10"/>
        <rFont val="FreeSans"/>
        <family val="2"/>
      </rPr>
      <t xml:space="preserve">دسته بکس جغجغه ای </t>
    </r>
    <r>
      <rPr>
        <sz val="10"/>
        <rFont val="Vazirmatn"/>
        <family val="0"/>
        <charset val="1"/>
      </rPr>
      <t xml:space="preserve">"</t>
    </r>
    <r>
      <rPr>
        <sz val="10"/>
        <rFont val="FreeSans"/>
        <family val="2"/>
      </rPr>
      <t xml:space="preserve">۱</t>
    </r>
    <r>
      <rPr>
        <sz val="10"/>
        <rFont val="Vazirmatn"/>
        <family val="0"/>
        <charset val="1"/>
      </rPr>
      <t xml:space="preserve">/</t>
    </r>
    <r>
      <rPr>
        <sz val="10"/>
        <rFont val="FreeSans"/>
        <family val="2"/>
      </rPr>
      <t xml:space="preserve">۲</t>
    </r>
  </si>
  <si>
    <t xml:space="preserve">31286171</t>
  </si>
  <si>
    <t xml:space="preserve">کیف  ابزار</t>
  </si>
  <si>
    <t xml:space="preserve">5000506</t>
  </si>
  <si>
    <t xml:space="preserve">کيف ابزار</t>
  </si>
  <si>
    <t xml:space="preserve">31286191</t>
  </si>
  <si>
    <t xml:space="preserve">پیچ گوشتی دو سو متوسط</t>
  </si>
  <si>
    <t xml:space="preserve">4003621</t>
  </si>
  <si>
    <t xml:space="preserve">31286192</t>
  </si>
  <si>
    <t xml:space="preserve">پیچ گوشتی چهار سو بزرگ</t>
  </si>
  <si>
    <t xml:space="preserve">5004948</t>
  </si>
  <si>
    <t xml:space="preserve">31286194</t>
  </si>
  <si>
    <t xml:space="preserve">پیچ گوشتی چهار سو متوسط</t>
  </si>
  <si>
    <t xml:space="preserve">4003620</t>
  </si>
  <si>
    <t xml:space="preserve">31286200</t>
  </si>
  <si>
    <t xml:space="preserve">گاز انبر</t>
  </si>
  <si>
    <t xml:space="preserve">4026417</t>
  </si>
  <si>
    <t xml:space="preserve">گازانبر</t>
  </si>
  <si>
    <t xml:space="preserve">31286212</t>
  </si>
  <si>
    <r>
      <rPr>
        <sz val="10"/>
        <rFont val="FreeSans"/>
        <family val="2"/>
      </rPr>
      <t xml:space="preserve">آچار فرانسه </t>
    </r>
    <r>
      <rPr>
        <sz val="10"/>
        <rFont val="Vazirmatn"/>
        <family val="0"/>
        <charset val="1"/>
      </rPr>
      <t xml:space="preserve">"12</t>
    </r>
  </si>
  <si>
    <t xml:space="preserve">4018818</t>
  </si>
  <si>
    <t xml:space="preserve">31286300</t>
  </si>
  <si>
    <t xml:space="preserve">دم باریک</t>
  </si>
  <si>
    <t xml:space="preserve">4010629</t>
  </si>
  <si>
    <t xml:space="preserve">دم باريک</t>
  </si>
  <si>
    <t xml:space="preserve">31286303</t>
  </si>
  <si>
    <r>
      <rPr>
        <sz val="10"/>
        <rFont val="FreeSans"/>
        <family val="2"/>
      </rPr>
      <t xml:space="preserve">انبر جوشکاری </t>
    </r>
    <r>
      <rPr>
        <sz val="10"/>
        <rFont val="Vazirmatn"/>
        <family val="0"/>
        <charset val="1"/>
      </rPr>
      <t xml:space="preserve">200A</t>
    </r>
  </si>
  <si>
    <t xml:space="preserve">4005328</t>
  </si>
  <si>
    <r>
      <rPr>
        <sz val="10"/>
        <rFont val="FreeSans"/>
        <family val="2"/>
      </rPr>
      <t xml:space="preserve">انبر جوشکاري </t>
    </r>
    <r>
      <rPr>
        <sz val="10"/>
        <rFont val="Vazirmatn"/>
        <family val="0"/>
        <charset val="1"/>
      </rPr>
      <t xml:space="preserve">200A</t>
    </r>
  </si>
  <si>
    <t xml:space="preserve">31286305</t>
  </si>
  <si>
    <r>
      <rPr>
        <sz val="10"/>
        <rFont val="FreeSans"/>
        <family val="2"/>
      </rPr>
      <t xml:space="preserve">انبر جوشکاری </t>
    </r>
    <r>
      <rPr>
        <sz val="10"/>
        <rFont val="Vazirmatn"/>
        <family val="0"/>
        <charset val="1"/>
      </rPr>
      <t xml:space="preserve">300A</t>
    </r>
  </si>
  <si>
    <t xml:space="preserve">4017661</t>
  </si>
  <si>
    <t xml:space="preserve">31286311</t>
  </si>
  <si>
    <t xml:space="preserve">سیم چین</t>
  </si>
  <si>
    <t xml:space="preserve">4002000</t>
  </si>
  <si>
    <t xml:space="preserve">31286413</t>
  </si>
  <si>
    <t xml:space="preserve">قیف پلاستیکی</t>
  </si>
  <si>
    <t xml:space="preserve">5006286</t>
  </si>
  <si>
    <t xml:space="preserve">قيف پلاستيکي</t>
  </si>
  <si>
    <t xml:space="preserve">31291491</t>
  </si>
  <si>
    <r>
      <rPr>
        <sz val="10"/>
        <rFont val="FreeSans"/>
        <family val="2"/>
      </rPr>
      <t xml:space="preserve">کپسول گاز  </t>
    </r>
    <r>
      <rPr>
        <sz val="10"/>
        <rFont val="Vazirmatn"/>
        <family val="0"/>
        <charset val="1"/>
      </rPr>
      <t xml:space="preserve">R 141 B</t>
    </r>
  </si>
  <si>
    <t xml:space="preserve">5023599</t>
  </si>
  <si>
    <r>
      <rPr>
        <sz val="10"/>
        <rFont val="FreeSans"/>
        <family val="2"/>
      </rPr>
      <t xml:space="preserve">کپسول گاز </t>
    </r>
    <r>
      <rPr>
        <sz val="10"/>
        <rFont val="Vazirmatn"/>
        <family val="0"/>
        <charset val="1"/>
      </rPr>
      <t xml:space="preserve">R141B</t>
    </r>
  </si>
  <si>
    <r>
      <rPr>
        <sz val="10"/>
        <rFont val="Vazirmatn"/>
        <family val="0"/>
        <charset val="1"/>
      </rPr>
      <t xml:space="preserve">3129 (</t>
    </r>
    <r>
      <rPr>
        <sz val="10"/>
        <rFont val="FreeSans"/>
        <family val="2"/>
      </rPr>
      <t xml:space="preserve">ورق، قوطی</t>
    </r>
    <r>
      <rPr>
        <sz val="10"/>
        <rFont val="Vazirmatn"/>
        <family val="0"/>
        <charset val="1"/>
      </rPr>
      <t xml:space="preserve">)</t>
    </r>
  </si>
  <si>
    <t xml:space="preserve">31291501</t>
  </si>
  <si>
    <r>
      <rPr>
        <sz val="10"/>
        <rFont val="FreeSans"/>
        <family val="2"/>
      </rPr>
      <t xml:space="preserve">کپسول گاز    </t>
    </r>
    <r>
      <rPr>
        <sz val="10"/>
        <rFont val="Vazirmatn"/>
        <family val="0"/>
        <charset val="1"/>
      </rPr>
      <t xml:space="preserve">R 22</t>
    </r>
  </si>
  <si>
    <t xml:space="preserve">5023600</t>
  </si>
  <si>
    <r>
      <rPr>
        <sz val="10"/>
        <rFont val="FreeSans"/>
        <family val="2"/>
      </rPr>
      <t xml:space="preserve">کپسول گاز </t>
    </r>
    <r>
      <rPr>
        <sz val="10"/>
        <rFont val="Vazirmatn"/>
        <family val="0"/>
        <charset val="1"/>
      </rPr>
      <t xml:space="preserve">R22</t>
    </r>
  </si>
  <si>
    <t xml:space="preserve">31292117</t>
  </si>
  <si>
    <t xml:space="preserve">اسپری رنگ مشکی</t>
  </si>
  <si>
    <t xml:space="preserve">5005930</t>
  </si>
  <si>
    <t xml:space="preserve">رنگ اسپري مشکي</t>
  </si>
  <si>
    <t xml:space="preserve">31292118</t>
  </si>
  <si>
    <t xml:space="preserve">اسپری رنگ نقره ای</t>
  </si>
  <si>
    <t xml:space="preserve">5002363</t>
  </si>
  <si>
    <t xml:space="preserve">31292251</t>
  </si>
  <si>
    <t xml:space="preserve">بتونه  سنگی</t>
  </si>
  <si>
    <t xml:space="preserve">5003547</t>
  </si>
  <si>
    <t xml:space="preserve">بتونه سنگي</t>
  </si>
  <si>
    <t xml:space="preserve">31299961</t>
  </si>
  <si>
    <t xml:space="preserve">دستگاه خوشبو کننده هوا</t>
  </si>
  <si>
    <t xml:space="preserve">5006289</t>
  </si>
  <si>
    <t xml:space="preserve">دستگاه خوش بو کننده هوا</t>
  </si>
  <si>
    <t xml:space="preserve">بهداشتي</t>
  </si>
  <si>
    <t xml:space="preserve">31299995</t>
  </si>
  <si>
    <t xml:space="preserve">باطری  سکه ای</t>
  </si>
  <si>
    <t xml:space="preserve">5008748</t>
  </si>
  <si>
    <t xml:space="preserve">باطری سکه ای</t>
  </si>
  <si>
    <t xml:space="preserve">31900001</t>
  </si>
  <si>
    <r>
      <rPr>
        <sz val="10"/>
        <rFont val="FreeSans"/>
        <family val="2"/>
      </rPr>
      <t xml:space="preserve">ذرت</t>
    </r>
    <r>
      <rPr>
        <sz val="10"/>
        <rFont val="Vazirmatn"/>
        <family val="0"/>
        <charset val="1"/>
      </rPr>
      <t xml:space="preserve">.</t>
    </r>
  </si>
  <si>
    <t xml:space="preserve">1000046</t>
  </si>
  <si>
    <t xml:space="preserve">ذرت</t>
  </si>
  <si>
    <r>
      <rPr>
        <sz val="10"/>
        <rFont val="Vazirmatn"/>
        <family val="0"/>
        <charset val="1"/>
      </rPr>
      <t xml:space="preserve">3190 (</t>
    </r>
    <r>
      <rPr>
        <sz val="10"/>
        <rFont val="FreeSans"/>
        <family val="2"/>
      </rPr>
      <t xml:space="preserve">ذرت</t>
    </r>
    <r>
      <rPr>
        <sz val="10"/>
        <rFont val="Vazirmatn"/>
        <family val="0"/>
        <charset val="1"/>
      </rPr>
      <t xml:space="preserve">.)</t>
    </r>
  </si>
  <si>
    <t xml:space="preserve">33900001</t>
  </si>
  <si>
    <t xml:space="preserve">ماسه شسته</t>
  </si>
  <si>
    <t xml:space="preserve">5000184</t>
  </si>
  <si>
    <r>
      <rPr>
        <sz val="10"/>
        <rFont val="Vazirmatn"/>
        <family val="0"/>
        <charset val="1"/>
      </rPr>
      <t xml:space="preserve">3390 (</t>
    </r>
    <r>
      <rPr>
        <sz val="10"/>
        <rFont val="FreeSans"/>
        <family val="2"/>
      </rPr>
      <t xml:space="preserve">سنگ، سرامیک</t>
    </r>
    <r>
      <rPr>
        <sz val="10"/>
        <rFont val="Vazirmatn"/>
        <family val="0"/>
        <charset val="1"/>
      </rPr>
      <t xml:space="preserve">)</t>
    </r>
  </si>
  <si>
    <t xml:space="preserve">33900008</t>
  </si>
  <si>
    <t xml:space="preserve">دسته بیل</t>
  </si>
  <si>
    <t xml:space="preserve">5006341</t>
  </si>
  <si>
    <t xml:space="preserve">دسته بيل</t>
  </si>
  <si>
    <t xml:space="preserve">33900080</t>
  </si>
  <si>
    <r>
      <rPr>
        <sz val="10"/>
        <rFont val="FreeSans"/>
        <family val="2"/>
      </rPr>
      <t xml:space="preserve">سرامیک     </t>
    </r>
    <r>
      <rPr>
        <sz val="10"/>
        <rFont val="Vazirmatn"/>
        <family val="0"/>
        <charset val="1"/>
      </rPr>
      <t xml:space="preserve">60 * 60</t>
    </r>
  </si>
  <si>
    <t xml:space="preserve">متر مربع</t>
  </si>
  <si>
    <t xml:space="preserve">5004867</t>
  </si>
  <si>
    <r>
      <rPr>
        <sz val="10"/>
        <rFont val="FreeSans"/>
        <family val="2"/>
      </rPr>
      <t xml:space="preserve">سرامیک </t>
    </r>
    <r>
      <rPr>
        <sz val="10"/>
        <rFont val="Vazirmatn"/>
        <family val="0"/>
        <charset val="1"/>
      </rPr>
      <t xml:space="preserve">60*60</t>
    </r>
  </si>
  <si>
    <t xml:space="preserve">M2</t>
  </si>
  <si>
    <t xml:space="preserve">33900184</t>
  </si>
  <si>
    <t xml:space="preserve">پوکه  معدنی</t>
  </si>
  <si>
    <t xml:space="preserve">5004845</t>
  </si>
  <si>
    <t xml:space="preserve">پوکه معدنی</t>
  </si>
  <si>
    <t xml:space="preserve">33900195</t>
  </si>
  <si>
    <t xml:space="preserve">آجر  فشاری</t>
  </si>
  <si>
    <t xml:space="preserve">5003509</t>
  </si>
  <si>
    <t xml:space="preserve">آجر فشاري</t>
  </si>
  <si>
    <t xml:space="preserve">34293119</t>
  </si>
  <si>
    <t xml:space="preserve">گازوئیل</t>
  </si>
  <si>
    <t xml:space="preserve">5002988</t>
  </si>
  <si>
    <r>
      <rPr>
        <sz val="10"/>
        <rFont val="Vazirmatn"/>
        <family val="0"/>
        <charset val="1"/>
      </rPr>
      <t xml:space="preserve">3429 (</t>
    </r>
    <r>
      <rPr>
        <sz val="10"/>
        <rFont val="FreeSans"/>
        <family val="2"/>
      </rPr>
      <t xml:space="preserve">گازوئیل</t>
    </r>
    <r>
      <rPr>
        <sz val="10"/>
        <rFont val="Vazirmatn"/>
        <family val="0"/>
        <charset val="1"/>
      </rPr>
      <t xml:space="preserve">)</t>
    </r>
  </si>
  <si>
    <t xml:space="preserve">35110026</t>
  </si>
  <si>
    <t xml:space="preserve">کارت شبکه</t>
  </si>
  <si>
    <t xml:space="preserve">5011132</t>
  </si>
  <si>
    <r>
      <rPr>
        <sz val="10"/>
        <rFont val="Vazirmatn"/>
        <family val="0"/>
        <charset val="1"/>
      </rPr>
      <t xml:space="preserve">3511 (</t>
    </r>
    <r>
      <rPr>
        <sz val="10"/>
        <rFont val="FreeSans"/>
        <family val="2"/>
      </rPr>
      <t xml:space="preserve">دوربین، آداپتور</t>
    </r>
    <r>
      <rPr>
        <sz val="10"/>
        <rFont val="Vazirmatn"/>
        <family val="0"/>
        <charset val="1"/>
      </rPr>
      <t xml:space="preserve">)</t>
    </r>
  </si>
  <si>
    <t xml:space="preserve">35117002</t>
  </si>
  <si>
    <t xml:space="preserve">کرنومتر</t>
  </si>
  <si>
    <t xml:space="preserve">5010986</t>
  </si>
  <si>
    <t xml:space="preserve">35175004</t>
  </si>
  <si>
    <t xml:space="preserve">کاسه  توالت</t>
  </si>
  <si>
    <t xml:space="preserve">4005210</t>
  </si>
  <si>
    <t xml:space="preserve">کاسه توالت</t>
  </si>
  <si>
    <r>
      <rPr>
        <sz val="10"/>
        <rFont val="Vazirmatn"/>
        <family val="0"/>
        <charset val="1"/>
      </rPr>
      <t xml:space="preserve">3517 (</t>
    </r>
    <r>
      <rPr>
        <sz val="10"/>
        <rFont val="FreeSans"/>
        <family val="2"/>
      </rPr>
      <t xml:space="preserve">زانویی، روشویی</t>
    </r>
    <r>
      <rPr>
        <sz val="10"/>
        <rFont val="Vazirmatn"/>
        <family val="0"/>
        <charset val="1"/>
      </rPr>
      <t xml:space="preserve">)</t>
    </r>
  </si>
  <si>
    <t xml:space="preserve">35175007</t>
  </si>
  <si>
    <t xml:space="preserve">کاسه روشوئی</t>
  </si>
  <si>
    <t xml:space="preserve">5002434</t>
  </si>
  <si>
    <t xml:space="preserve">کاسه روشویی</t>
  </si>
  <si>
    <t xml:space="preserve">35175050</t>
  </si>
  <si>
    <t xml:space="preserve">فلاش  تانک</t>
  </si>
  <si>
    <t xml:space="preserve">4005211</t>
  </si>
  <si>
    <t xml:space="preserve">فلاش تانک</t>
  </si>
  <si>
    <t xml:space="preserve">35179051</t>
  </si>
  <si>
    <r>
      <rPr>
        <sz val="10"/>
        <rFont val="FreeSans"/>
        <family val="2"/>
      </rPr>
      <t xml:space="preserve">شیشه   </t>
    </r>
    <r>
      <rPr>
        <sz val="10"/>
        <rFont val="Vazirmatn"/>
        <family val="0"/>
        <charset val="1"/>
      </rPr>
      <t xml:space="preserve">10  </t>
    </r>
    <r>
      <rPr>
        <sz val="10"/>
        <rFont val="FreeSans"/>
        <family val="2"/>
      </rPr>
      <t xml:space="preserve">میلیمتر</t>
    </r>
  </si>
  <si>
    <t xml:space="preserve">5003514</t>
  </si>
  <si>
    <r>
      <rPr>
        <sz val="10"/>
        <rFont val="FreeSans"/>
        <family val="2"/>
      </rPr>
      <t xml:space="preserve">شيشه </t>
    </r>
    <r>
      <rPr>
        <sz val="10"/>
        <rFont val="Vazirmatn"/>
        <family val="0"/>
        <charset val="1"/>
      </rPr>
      <t xml:space="preserve">10 mm</t>
    </r>
  </si>
  <si>
    <t xml:space="preserve">35186009</t>
  </si>
  <si>
    <t xml:space="preserve">کیف ابزار</t>
  </si>
  <si>
    <r>
      <rPr>
        <sz val="10"/>
        <rFont val="Vazirmatn"/>
        <family val="0"/>
        <charset val="1"/>
      </rPr>
      <t xml:space="preserve">3518 (</t>
    </r>
    <r>
      <rPr>
        <sz val="10"/>
        <rFont val="FreeSans"/>
        <family val="2"/>
      </rPr>
      <t xml:space="preserve">آچار، پیچ</t>
    </r>
    <r>
      <rPr>
        <sz val="10"/>
        <rFont val="Vazirmatn"/>
        <family val="0"/>
        <charset val="1"/>
      </rPr>
      <t xml:space="preserve">)</t>
    </r>
  </si>
  <si>
    <t xml:space="preserve">35186054</t>
  </si>
  <si>
    <r>
      <rPr>
        <sz val="10"/>
        <rFont val="FreeSans"/>
        <family val="2"/>
      </rPr>
      <t xml:space="preserve">پیچ گوشتی مچی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سو</t>
    </r>
  </si>
  <si>
    <t xml:space="preserve">4019335</t>
  </si>
  <si>
    <t xml:space="preserve">پیچ گوشتی مچی دو سو</t>
  </si>
  <si>
    <t xml:space="preserve">35186055</t>
  </si>
  <si>
    <r>
      <rPr>
        <sz val="10"/>
        <rFont val="FreeSans"/>
        <family val="2"/>
      </rPr>
      <t xml:space="preserve">پیچ گوشتی مچی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سو</t>
    </r>
  </si>
  <si>
    <t xml:space="preserve">4019334</t>
  </si>
  <si>
    <t xml:space="preserve">پیچ گوشتی مچی چهار سو</t>
  </si>
  <si>
    <t xml:space="preserve">35186110</t>
  </si>
  <si>
    <t xml:space="preserve">انبر قفلی</t>
  </si>
  <si>
    <t xml:space="preserve">4000299</t>
  </si>
  <si>
    <t xml:space="preserve">انبر قفلي</t>
  </si>
  <si>
    <t xml:space="preserve">35186224</t>
  </si>
  <si>
    <r>
      <rPr>
        <sz val="10"/>
        <rFont val="FreeSans"/>
        <family val="2"/>
      </rPr>
      <t xml:space="preserve">آچار لوله گیر  </t>
    </r>
    <r>
      <rPr>
        <sz val="10"/>
        <rFont val="Vazirmatn"/>
        <family val="0"/>
        <charset val="1"/>
      </rPr>
      <t xml:space="preserve">"14</t>
    </r>
  </si>
  <si>
    <t xml:space="preserve">4030637</t>
  </si>
  <si>
    <r>
      <rPr>
        <sz val="10"/>
        <rFont val="FreeSans"/>
        <family val="2"/>
      </rPr>
      <t xml:space="preserve">آچار لوله گیر </t>
    </r>
    <r>
      <rPr>
        <sz val="10"/>
        <rFont val="Vazirmatn"/>
        <family val="0"/>
        <charset val="1"/>
      </rPr>
      <t xml:space="preserve">14 </t>
    </r>
    <r>
      <rPr>
        <sz val="10"/>
        <rFont val="FreeSans"/>
        <family val="2"/>
      </rPr>
      <t xml:space="preserve">اینچ</t>
    </r>
  </si>
  <si>
    <t xml:space="preserve">35186236</t>
  </si>
  <si>
    <r>
      <rPr>
        <sz val="10"/>
        <rFont val="FreeSans"/>
        <family val="2"/>
      </rPr>
      <t xml:space="preserve">آچار فرانسه   </t>
    </r>
    <r>
      <rPr>
        <sz val="10"/>
        <rFont val="Vazirmatn"/>
        <family val="0"/>
        <charset val="1"/>
      </rPr>
      <t xml:space="preserve">" 6</t>
    </r>
  </si>
  <si>
    <t xml:space="preserve">4046544</t>
  </si>
  <si>
    <r>
      <rPr>
        <sz val="10"/>
        <rFont val="FreeSans"/>
        <family val="2"/>
      </rPr>
      <t xml:space="preserve">آچار</t>
    </r>
    <r>
      <rPr>
        <sz val="10"/>
        <rFont val="Vazirmatn"/>
        <family val="0"/>
        <charset val="1"/>
      </rPr>
      <t xml:space="preserve">-	 </t>
    </r>
    <r>
      <rPr>
        <sz val="10"/>
        <rFont val="FreeSans"/>
        <family val="2"/>
      </rPr>
      <t xml:space="preserve">فرانسه </t>
    </r>
    <r>
      <rPr>
        <sz val="10"/>
        <rFont val="Vazirmatn"/>
        <family val="0"/>
        <charset val="1"/>
      </rPr>
      <t xml:space="preserve">"6</t>
    </r>
  </si>
  <si>
    <t xml:space="preserve">35186238</t>
  </si>
  <si>
    <r>
      <rPr>
        <sz val="10"/>
        <rFont val="FreeSans"/>
        <family val="2"/>
      </rPr>
      <t xml:space="preserve">آچار یکسر تخت و یکسر رینگی </t>
    </r>
    <r>
      <rPr>
        <sz val="10"/>
        <rFont val="Vazirmatn"/>
        <family val="0"/>
        <charset val="1"/>
      </rPr>
      <t xml:space="preserve">27</t>
    </r>
  </si>
  <si>
    <t xml:space="preserve">4008681</t>
  </si>
  <si>
    <r>
      <rPr>
        <sz val="10"/>
        <rFont val="FreeSans"/>
        <family val="2"/>
      </rPr>
      <t xml:space="preserve">آچار یکسر تخت یکسر رینگی نمره </t>
    </r>
    <r>
      <rPr>
        <sz val="10"/>
        <rFont val="Vazirmatn"/>
        <family val="0"/>
        <charset val="1"/>
      </rPr>
      <t xml:space="preserve">27</t>
    </r>
  </si>
  <si>
    <t xml:space="preserve">35186244</t>
  </si>
  <si>
    <r>
      <rPr>
        <sz val="10"/>
        <rFont val="FreeSans"/>
        <family val="2"/>
      </rPr>
      <t xml:space="preserve">آچار تخت    </t>
    </r>
    <r>
      <rPr>
        <sz val="10"/>
        <rFont val="Vazirmatn"/>
        <family val="0"/>
        <charset val="1"/>
      </rPr>
      <t xml:space="preserve">6-7</t>
    </r>
  </si>
  <si>
    <t xml:space="preserve">4018939</t>
  </si>
  <si>
    <r>
      <rPr>
        <sz val="10"/>
        <rFont val="FreeSans"/>
        <family val="2"/>
      </rPr>
      <t xml:space="preserve">آچار تخت </t>
    </r>
    <r>
      <rPr>
        <sz val="10"/>
        <rFont val="Vazirmatn"/>
        <family val="0"/>
        <charset val="1"/>
      </rPr>
      <t xml:space="preserve">6-7</t>
    </r>
  </si>
  <si>
    <t xml:space="preserve">EA</t>
  </si>
  <si>
    <t xml:space="preserve">35186255</t>
  </si>
  <si>
    <r>
      <rPr>
        <sz val="10"/>
        <rFont val="FreeSans"/>
        <family val="2"/>
      </rPr>
      <t xml:space="preserve">آچار فرانسه   </t>
    </r>
    <r>
      <rPr>
        <sz val="10"/>
        <rFont val="Vazirmatn"/>
        <family val="0"/>
        <charset val="1"/>
      </rPr>
      <t xml:space="preserve">" 12</t>
    </r>
  </si>
  <si>
    <t xml:space="preserve">35186283</t>
  </si>
  <si>
    <r>
      <rPr>
        <sz val="10"/>
        <rFont val="FreeSans"/>
        <family val="2"/>
      </rPr>
      <t xml:space="preserve">آچار دوسر تخت  </t>
    </r>
    <r>
      <rPr>
        <sz val="10"/>
        <rFont val="Vazirmatn"/>
        <family val="0"/>
        <charset val="1"/>
      </rPr>
      <t xml:space="preserve">27-24</t>
    </r>
  </si>
  <si>
    <t xml:space="preserve">4030639</t>
  </si>
  <si>
    <r>
      <rPr>
        <sz val="10"/>
        <rFont val="FreeSans"/>
        <family val="2"/>
      </rPr>
      <t xml:space="preserve">آچار دو سر تخت </t>
    </r>
    <r>
      <rPr>
        <sz val="10"/>
        <rFont val="Vazirmatn"/>
        <family val="0"/>
        <charset val="1"/>
      </rPr>
      <t xml:space="preserve">27-24</t>
    </r>
  </si>
  <si>
    <t xml:space="preserve">35186317</t>
  </si>
  <si>
    <r>
      <rPr>
        <sz val="10"/>
        <rFont val="FreeSans"/>
        <family val="2"/>
      </rPr>
      <t xml:space="preserve">آچار بکس </t>
    </r>
    <r>
      <rPr>
        <sz val="10"/>
        <rFont val="Vazirmatn"/>
        <family val="0"/>
        <charset val="1"/>
      </rPr>
      <t xml:space="preserve">17</t>
    </r>
  </si>
  <si>
    <t xml:space="preserve">4026357</t>
  </si>
  <si>
    <r>
      <rPr>
        <sz val="10"/>
        <rFont val="FreeSans"/>
        <family val="2"/>
      </rPr>
      <t xml:space="preserve">آچار بکس نمره </t>
    </r>
    <r>
      <rPr>
        <sz val="10"/>
        <rFont val="Vazirmatn"/>
        <family val="0"/>
        <charset val="1"/>
      </rPr>
      <t xml:space="preserve">17</t>
    </r>
  </si>
  <si>
    <t xml:space="preserve">35186318</t>
  </si>
  <si>
    <r>
      <rPr>
        <sz val="10"/>
        <rFont val="FreeSans"/>
        <family val="2"/>
      </rPr>
      <t xml:space="preserve">آچار بکس </t>
    </r>
    <r>
      <rPr>
        <sz val="10"/>
        <rFont val="Vazirmatn"/>
        <family val="0"/>
        <charset val="1"/>
      </rPr>
      <t xml:space="preserve">13</t>
    </r>
  </si>
  <si>
    <t xml:space="preserve">4026394</t>
  </si>
  <si>
    <r>
      <rPr>
        <sz val="10"/>
        <rFont val="FreeSans"/>
        <family val="2"/>
      </rPr>
      <t xml:space="preserve">آچار بکس نمره </t>
    </r>
    <r>
      <rPr>
        <sz val="10"/>
        <rFont val="Vazirmatn"/>
        <family val="0"/>
        <charset val="1"/>
      </rPr>
      <t xml:space="preserve">13</t>
    </r>
  </si>
  <si>
    <t xml:space="preserve">35186329</t>
  </si>
  <si>
    <r>
      <rPr>
        <sz val="10"/>
        <rFont val="FreeSans"/>
        <family val="2"/>
      </rPr>
      <t xml:space="preserve">آچار فرانسه   </t>
    </r>
    <r>
      <rPr>
        <sz val="10"/>
        <rFont val="Vazirmatn"/>
        <family val="0"/>
        <charset val="1"/>
      </rPr>
      <t xml:space="preserve">" 15</t>
    </r>
  </si>
  <si>
    <t xml:space="preserve">4003619</t>
  </si>
  <si>
    <r>
      <rPr>
        <sz val="10"/>
        <rFont val="FreeSans"/>
        <family val="2"/>
      </rPr>
      <t xml:space="preserve">آچار فرانسه </t>
    </r>
    <r>
      <rPr>
        <sz val="10"/>
        <rFont val="Vazirmatn"/>
        <family val="0"/>
        <charset val="1"/>
      </rPr>
      <t xml:space="preserve">15 </t>
    </r>
    <r>
      <rPr>
        <sz val="10"/>
        <rFont val="FreeSans"/>
        <family val="2"/>
      </rPr>
      <t xml:space="preserve">اینچ</t>
    </r>
  </si>
  <si>
    <t xml:space="preserve">35186346</t>
  </si>
  <si>
    <r>
      <rPr>
        <sz val="10"/>
        <rFont val="FreeSans"/>
        <family val="2"/>
      </rPr>
      <t xml:space="preserve">آچار بکس </t>
    </r>
    <r>
      <rPr>
        <sz val="10"/>
        <rFont val="Vazirmatn"/>
        <family val="0"/>
        <charset val="1"/>
      </rPr>
      <t xml:space="preserve">19</t>
    </r>
  </si>
  <si>
    <t xml:space="preserve">4026390</t>
  </si>
  <si>
    <r>
      <rPr>
        <sz val="10"/>
        <rFont val="FreeSans"/>
        <family val="2"/>
      </rPr>
      <t xml:space="preserve">آچار بکس نمره </t>
    </r>
    <r>
      <rPr>
        <sz val="10"/>
        <rFont val="Vazirmatn"/>
        <family val="0"/>
        <charset val="1"/>
      </rPr>
      <t xml:space="preserve">19</t>
    </r>
  </si>
  <si>
    <t xml:space="preserve">35186356</t>
  </si>
  <si>
    <r>
      <rPr>
        <sz val="10"/>
        <rFont val="FreeSans"/>
        <family val="2"/>
      </rPr>
      <t xml:space="preserve">آچار آلن  </t>
    </r>
    <r>
      <rPr>
        <sz val="10"/>
        <rFont val="Vazirmatn"/>
        <family val="0"/>
        <charset val="1"/>
      </rPr>
      <t xml:space="preserve">12</t>
    </r>
  </si>
  <si>
    <t xml:space="preserve">4003105</t>
  </si>
  <si>
    <r>
      <rPr>
        <sz val="10"/>
        <rFont val="FreeSans"/>
        <family val="2"/>
      </rPr>
      <t xml:space="preserve">آچار آلن </t>
    </r>
    <r>
      <rPr>
        <sz val="10"/>
        <rFont val="Vazirmatn"/>
        <family val="0"/>
        <charset val="1"/>
      </rPr>
      <t xml:space="preserve">12</t>
    </r>
  </si>
  <si>
    <t xml:space="preserve">35186366</t>
  </si>
  <si>
    <r>
      <rPr>
        <sz val="10"/>
        <rFont val="FreeSans"/>
        <family val="2"/>
      </rPr>
      <t xml:space="preserve">جعبه بکس  </t>
    </r>
    <r>
      <rPr>
        <sz val="10"/>
        <rFont val="Vazirmatn"/>
        <family val="0"/>
        <charset val="1"/>
      </rPr>
      <t xml:space="preserve">1/2</t>
    </r>
  </si>
  <si>
    <t xml:space="preserve">دست</t>
  </si>
  <si>
    <t xml:space="preserve">4026355</t>
  </si>
  <si>
    <r>
      <rPr>
        <sz val="10"/>
        <rFont val="FreeSans"/>
        <family val="2"/>
      </rPr>
      <t xml:space="preserve">جعبه بکس </t>
    </r>
    <r>
      <rPr>
        <sz val="10"/>
        <rFont val="Vazirmatn"/>
        <family val="0"/>
        <charset val="1"/>
      </rPr>
      <t xml:space="preserve">1/2</t>
    </r>
  </si>
  <si>
    <t xml:space="preserve">DAS</t>
  </si>
  <si>
    <t xml:space="preserve">35186375</t>
  </si>
  <si>
    <r>
      <rPr>
        <sz val="10"/>
        <rFont val="FreeSans"/>
        <family val="2"/>
      </rPr>
      <t xml:space="preserve">آچار بکس </t>
    </r>
    <r>
      <rPr>
        <sz val="10"/>
        <rFont val="Vazirmatn"/>
        <family val="0"/>
        <charset val="1"/>
      </rPr>
      <t xml:space="preserve">27</t>
    </r>
  </si>
  <si>
    <t xml:space="preserve">4026361</t>
  </si>
  <si>
    <r>
      <rPr>
        <sz val="10"/>
        <rFont val="FreeSans"/>
        <family val="2"/>
      </rPr>
      <t xml:space="preserve">آچار بکس نمره </t>
    </r>
    <r>
      <rPr>
        <sz val="10"/>
        <rFont val="Vazirmatn"/>
        <family val="0"/>
        <charset val="1"/>
      </rPr>
      <t xml:space="preserve">27</t>
    </r>
  </si>
  <si>
    <t xml:space="preserve">35186377</t>
  </si>
  <si>
    <r>
      <rPr>
        <sz val="10"/>
        <rFont val="FreeSans"/>
        <family val="2"/>
      </rPr>
      <t xml:space="preserve">آچار آلن  </t>
    </r>
    <r>
      <rPr>
        <sz val="10"/>
        <rFont val="Vazirmatn"/>
        <family val="0"/>
        <charset val="1"/>
      </rPr>
      <t xml:space="preserve">6</t>
    </r>
  </si>
  <si>
    <t xml:space="preserve">4003102</t>
  </si>
  <si>
    <r>
      <rPr>
        <sz val="10"/>
        <rFont val="FreeSans"/>
        <family val="2"/>
      </rPr>
      <t xml:space="preserve">آچار آلن </t>
    </r>
    <r>
      <rPr>
        <sz val="10"/>
        <rFont val="Vazirmatn"/>
        <family val="0"/>
        <charset val="1"/>
      </rPr>
      <t xml:space="preserve">6</t>
    </r>
  </si>
  <si>
    <t xml:space="preserve">35186394</t>
  </si>
  <si>
    <t xml:space="preserve">قیچی باغبانی</t>
  </si>
  <si>
    <t xml:space="preserve">4005358</t>
  </si>
  <si>
    <t xml:space="preserve">قيچي باغباني</t>
  </si>
  <si>
    <t xml:space="preserve">35186402</t>
  </si>
  <si>
    <t xml:space="preserve">پیچ گوشتی دوسو بزرگ</t>
  </si>
  <si>
    <t xml:space="preserve">4008688</t>
  </si>
  <si>
    <t xml:space="preserve">پیچ گوشتی دو سو بزرگ</t>
  </si>
  <si>
    <t xml:space="preserve">35186403</t>
  </si>
  <si>
    <t xml:space="preserve">پیچ  گوشتی دوسو متوسط</t>
  </si>
  <si>
    <t xml:space="preserve">35186404</t>
  </si>
  <si>
    <t xml:space="preserve">پیچ  گوشتی  چهار  سو  متوسط</t>
  </si>
  <si>
    <t xml:space="preserve">35186405</t>
  </si>
  <si>
    <t xml:space="preserve">پیچ  گوشتی  چهار سو  بزرگ</t>
  </si>
  <si>
    <t xml:space="preserve">35186406</t>
  </si>
  <si>
    <t xml:space="preserve">پیچ  گوشتی دوسو ضربه خور بزرگ</t>
  </si>
  <si>
    <t xml:space="preserve">4023965</t>
  </si>
  <si>
    <t xml:space="preserve">پیچ گوشتی ضربه خور دوسو بزرگ</t>
  </si>
  <si>
    <t xml:space="preserve">35186410</t>
  </si>
  <si>
    <t xml:space="preserve">35186450</t>
  </si>
  <si>
    <r>
      <rPr>
        <sz val="10"/>
        <rFont val="FreeSans"/>
        <family val="2"/>
      </rPr>
      <t xml:space="preserve">آچار فرانسه   </t>
    </r>
    <r>
      <rPr>
        <sz val="10"/>
        <rFont val="Vazirmatn"/>
        <family val="0"/>
        <charset val="1"/>
      </rPr>
      <t xml:space="preserve">" 10</t>
    </r>
  </si>
  <si>
    <t xml:space="preserve">4016197</t>
  </si>
  <si>
    <r>
      <rPr>
        <sz val="10"/>
        <rFont val="FreeSans"/>
        <family val="2"/>
      </rPr>
      <t xml:space="preserve">آچار فرانسه </t>
    </r>
    <r>
      <rPr>
        <sz val="10"/>
        <rFont val="Vazirmatn"/>
        <family val="0"/>
        <charset val="1"/>
      </rPr>
      <t xml:space="preserve">"10</t>
    </r>
  </si>
  <si>
    <t xml:space="preserve">35186510</t>
  </si>
  <si>
    <t xml:space="preserve">چکش  لاستیکی</t>
  </si>
  <si>
    <t xml:space="preserve">5005061</t>
  </si>
  <si>
    <t xml:space="preserve">چکش لاستيکي</t>
  </si>
  <si>
    <t xml:space="preserve">35186525</t>
  </si>
  <si>
    <t xml:space="preserve">پرس سر سیم چشمی</t>
  </si>
  <si>
    <t xml:space="preserve">4023906</t>
  </si>
  <si>
    <t xml:space="preserve">پرس سرسیم چشمی</t>
  </si>
  <si>
    <t xml:space="preserve">35192006</t>
  </si>
  <si>
    <r>
      <rPr>
        <sz val="10"/>
        <rFont val="FreeSans"/>
        <family val="2"/>
      </rPr>
      <t xml:space="preserve">تینر فوری  </t>
    </r>
    <r>
      <rPr>
        <sz val="10"/>
        <rFont val="Vazirmatn"/>
        <family val="0"/>
        <charset val="1"/>
      </rPr>
      <t xml:space="preserve">20000</t>
    </r>
  </si>
  <si>
    <r>
      <rPr>
        <sz val="10"/>
        <rFont val="Vazirmatn"/>
        <family val="0"/>
        <charset val="1"/>
      </rPr>
      <t xml:space="preserve">3519 (</t>
    </r>
    <r>
      <rPr>
        <sz val="10"/>
        <rFont val="FreeSans"/>
        <family val="2"/>
      </rPr>
      <t xml:space="preserve">رنگ، ورق</t>
    </r>
    <r>
      <rPr>
        <sz val="10"/>
        <rFont val="Vazirmatn"/>
        <family val="0"/>
        <charset val="1"/>
      </rPr>
      <t xml:space="preserve">)</t>
    </r>
  </si>
  <si>
    <t xml:space="preserve">35192007</t>
  </si>
  <si>
    <t xml:space="preserve">تینر روغنی</t>
  </si>
  <si>
    <t xml:space="preserve">5003543</t>
  </si>
  <si>
    <t xml:space="preserve">تينر روغني</t>
  </si>
  <si>
    <t xml:space="preserve">35192015</t>
  </si>
  <si>
    <t xml:space="preserve">بتونه سنگی</t>
  </si>
  <si>
    <t xml:space="preserve">35192021</t>
  </si>
  <si>
    <t xml:space="preserve">تینر اپوکسی</t>
  </si>
  <si>
    <t xml:space="preserve">5000015</t>
  </si>
  <si>
    <t xml:space="preserve">تينر اپوکسي</t>
  </si>
  <si>
    <t xml:space="preserve">35193004</t>
  </si>
  <si>
    <t xml:space="preserve">فرغون</t>
  </si>
  <si>
    <t xml:space="preserve">4005356</t>
  </si>
  <si>
    <t xml:space="preserve">35193008</t>
  </si>
  <si>
    <t xml:space="preserve">کلنگ با دسته</t>
  </si>
  <si>
    <t xml:space="preserve">5006758</t>
  </si>
  <si>
    <t xml:space="preserve">دسته کلنگ</t>
  </si>
  <si>
    <t xml:space="preserve">35197012</t>
  </si>
  <si>
    <t xml:space="preserve">دستگاه تسمه کش</t>
  </si>
  <si>
    <t xml:space="preserve">4030652</t>
  </si>
  <si>
    <t xml:space="preserve">35197013</t>
  </si>
  <si>
    <r>
      <rPr>
        <sz val="10"/>
        <rFont val="FreeSans"/>
        <family val="2"/>
      </rPr>
      <t xml:space="preserve">کپسول  </t>
    </r>
    <r>
      <rPr>
        <sz val="10"/>
        <rFont val="Vazirmatn"/>
        <family val="0"/>
        <charset val="1"/>
      </rPr>
      <t xml:space="preserve">CO2      </t>
    </r>
    <r>
      <rPr>
        <sz val="10"/>
        <rFont val="FreeSans"/>
        <family val="2"/>
      </rPr>
      <t xml:space="preserve">کیلو گرمی   </t>
    </r>
    <r>
      <rPr>
        <sz val="10"/>
        <rFont val="Vazirmatn"/>
        <family val="0"/>
        <charset val="1"/>
      </rPr>
      <t xml:space="preserve">6</t>
    </r>
  </si>
  <si>
    <t xml:space="preserve">6000841</t>
  </si>
  <si>
    <r>
      <rPr>
        <sz val="10"/>
        <rFont val="FreeSans"/>
        <family val="2"/>
      </rPr>
      <t xml:space="preserve">کپسول </t>
    </r>
    <r>
      <rPr>
        <sz val="10"/>
        <rFont val="Vazirmatn"/>
        <family val="0"/>
        <charset val="1"/>
      </rPr>
      <t xml:space="preserve">CO2-6 Kg</t>
    </r>
  </si>
  <si>
    <t xml:space="preserve">35198150</t>
  </si>
  <si>
    <t xml:space="preserve">دستگاه علف زن</t>
  </si>
  <si>
    <t xml:space="preserve">6003093</t>
  </si>
  <si>
    <t xml:space="preserve">35210111</t>
  </si>
  <si>
    <t xml:space="preserve">ماوس بی سیم</t>
  </si>
  <si>
    <t xml:space="preserve">5000408</t>
  </si>
  <si>
    <t xml:space="preserve">ماوس بي سيم</t>
  </si>
  <si>
    <r>
      <rPr>
        <sz val="10"/>
        <rFont val="Vazirmatn"/>
        <family val="0"/>
        <charset val="1"/>
      </rPr>
      <t xml:space="preserve">3521 (</t>
    </r>
    <r>
      <rPr>
        <sz val="10"/>
        <rFont val="FreeSans"/>
        <family val="2"/>
      </rPr>
      <t xml:space="preserve">کولر، مقاومت</t>
    </r>
    <r>
      <rPr>
        <sz val="10"/>
        <rFont val="Vazirmatn"/>
        <family val="0"/>
        <charset val="1"/>
      </rPr>
      <t xml:space="preserve">)</t>
    </r>
  </si>
  <si>
    <t xml:space="preserve">35220000</t>
  </si>
  <si>
    <t xml:space="preserve">صندلی گردان</t>
  </si>
  <si>
    <t xml:space="preserve">6003103</t>
  </si>
  <si>
    <r>
      <rPr>
        <sz val="10"/>
        <rFont val="Vazirmatn"/>
        <family val="0"/>
        <charset val="1"/>
      </rPr>
      <t xml:space="preserve">3522 (</t>
    </r>
    <r>
      <rPr>
        <sz val="10"/>
        <rFont val="FreeSans"/>
        <family val="2"/>
      </rPr>
      <t xml:space="preserve">کمد، درب</t>
    </r>
    <r>
      <rPr>
        <sz val="10"/>
        <rFont val="Vazirmatn"/>
        <family val="0"/>
        <charset val="1"/>
      </rPr>
      <t xml:space="preserve">)</t>
    </r>
  </si>
  <si>
    <t xml:space="preserve">35220027</t>
  </si>
  <si>
    <t xml:space="preserve">تخته وایت برد</t>
  </si>
  <si>
    <t xml:space="preserve">6001223</t>
  </si>
  <si>
    <t xml:space="preserve">تخته وايت برد</t>
  </si>
  <si>
    <t xml:space="preserve">35220036</t>
  </si>
  <si>
    <t xml:space="preserve">صندلی کنفرانسی</t>
  </si>
  <si>
    <t xml:space="preserve">6000816</t>
  </si>
  <si>
    <t xml:space="preserve">35220052</t>
  </si>
  <si>
    <t xml:space="preserve">صندلی گردان مدیریتی</t>
  </si>
  <si>
    <t xml:space="preserve">6000695</t>
  </si>
  <si>
    <t xml:space="preserve">35220118</t>
  </si>
  <si>
    <t xml:space="preserve">پرده زبرا</t>
  </si>
  <si>
    <t xml:space="preserve">5016424</t>
  </si>
  <si>
    <t xml:space="preserve">35220130</t>
  </si>
  <si>
    <t xml:space="preserve">پرده</t>
  </si>
  <si>
    <t xml:space="preserve">5003521</t>
  </si>
  <si>
    <t xml:space="preserve">35254100</t>
  </si>
  <si>
    <t xml:space="preserve">جک دوچرخه</t>
  </si>
  <si>
    <t xml:space="preserve">4026262</t>
  </si>
  <si>
    <r>
      <rPr>
        <sz val="10"/>
        <rFont val="Vazirmatn"/>
        <family val="0"/>
        <charset val="1"/>
      </rPr>
      <t xml:space="preserve">3525 (</t>
    </r>
    <r>
      <rPr>
        <sz val="10"/>
        <rFont val="FreeSans"/>
        <family val="2"/>
      </rPr>
      <t xml:space="preserve">کاور، شفت</t>
    </r>
    <r>
      <rPr>
        <sz val="10"/>
        <rFont val="Vazirmatn"/>
        <family val="0"/>
        <charset val="1"/>
      </rPr>
      <t xml:space="preserve">)</t>
    </r>
  </si>
  <si>
    <t xml:space="preserve">35266006</t>
  </si>
  <si>
    <t xml:space="preserve">قفل دوچرخه</t>
  </si>
  <si>
    <t xml:space="preserve">4010646</t>
  </si>
  <si>
    <r>
      <rPr>
        <sz val="10"/>
        <rFont val="Vazirmatn"/>
        <family val="0"/>
        <charset val="1"/>
      </rPr>
      <t xml:space="preserve">3526 (</t>
    </r>
    <r>
      <rPr>
        <sz val="10"/>
        <rFont val="FreeSans"/>
        <family val="2"/>
      </rPr>
      <t xml:space="preserve">پیچ، لولای</t>
    </r>
    <r>
      <rPr>
        <sz val="10"/>
        <rFont val="Vazirmatn"/>
        <family val="0"/>
        <charset val="1"/>
      </rPr>
      <t xml:space="preserve">)</t>
    </r>
  </si>
  <si>
    <t xml:space="preserve">35289000</t>
  </si>
  <si>
    <t xml:space="preserve">شیلد محافظ صورت</t>
  </si>
  <si>
    <t xml:space="preserve">5012410</t>
  </si>
  <si>
    <t xml:space="preserve">ايمني</t>
  </si>
  <si>
    <r>
      <rPr>
        <sz val="10"/>
        <rFont val="Vazirmatn"/>
        <family val="0"/>
        <charset val="1"/>
      </rPr>
      <t xml:space="preserve">3528 (</t>
    </r>
    <r>
      <rPr>
        <sz val="10"/>
        <rFont val="FreeSans"/>
        <family val="2"/>
      </rPr>
      <t xml:space="preserve">تیغه، جعبه</t>
    </r>
    <r>
      <rPr>
        <sz val="10"/>
        <rFont val="Vazirmatn"/>
        <family val="0"/>
        <charset val="1"/>
      </rPr>
      <t xml:space="preserve">)</t>
    </r>
  </si>
  <si>
    <t xml:space="preserve">420005</t>
  </si>
  <si>
    <t xml:space="preserve">روغن ذرت تصفیه شده فله</t>
  </si>
  <si>
    <t xml:space="preserve">3200031</t>
  </si>
  <si>
    <t xml:space="preserve">روغن تصفيه شده ذرت فله</t>
  </si>
  <si>
    <t xml:space="preserve">روغن</t>
  </si>
  <si>
    <r>
      <rPr>
        <sz val="10"/>
        <rFont val="Vazirmatn"/>
        <family val="0"/>
        <charset val="1"/>
      </rPr>
      <t xml:space="preserve">4200 (</t>
    </r>
    <r>
      <rPr>
        <sz val="10"/>
        <rFont val="FreeSans"/>
        <family val="2"/>
      </rPr>
      <t xml:space="preserve">روغن، جرم</t>
    </r>
    <r>
      <rPr>
        <sz val="10"/>
        <rFont val="Vazirmatn"/>
        <family val="0"/>
        <charset val="1"/>
      </rPr>
      <t xml:space="preserve">)</t>
    </r>
  </si>
  <si>
    <t xml:space="preserve">510052</t>
  </si>
  <si>
    <r>
      <rPr>
        <sz val="10"/>
        <rFont val="FreeSans"/>
        <family val="2"/>
      </rPr>
      <t xml:space="preserve">دوغاب نشاسته بومه </t>
    </r>
    <r>
      <rPr>
        <sz val="10"/>
        <rFont val="Vazirmatn"/>
        <family val="0"/>
        <charset val="1"/>
      </rPr>
      <t xml:space="preserve">21 </t>
    </r>
    <r>
      <rPr>
        <sz val="10"/>
        <rFont val="FreeSans"/>
        <family val="2"/>
      </rPr>
      <t xml:space="preserve">الی </t>
    </r>
    <r>
      <rPr>
        <sz val="10"/>
        <rFont val="Vazirmatn"/>
        <family val="0"/>
        <charset val="1"/>
      </rPr>
      <t xml:space="preserve">22</t>
    </r>
  </si>
  <si>
    <t xml:space="preserve">2000306</t>
  </si>
  <si>
    <t xml:space="preserve">دوغاب</t>
  </si>
  <si>
    <r>
      <rPr>
        <sz val="10"/>
        <rFont val="Vazirmatn"/>
        <family val="0"/>
        <charset val="1"/>
      </rPr>
      <t xml:space="preserve">5100 (</t>
    </r>
    <r>
      <rPr>
        <sz val="10"/>
        <rFont val="FreeSans"/>
        <family val="2"/>
      </rPr>
      <t xml:space="preserve">شربت، گلوکوز</t>
    </r>
    <r>
      <rPr>
        <sz val="10"/>
        <rFont val="Vazirmatn"/>
        <family val="0"/>
        <charset val="1"/>
      </rPr>
      <t xml:space="preserve">)</t>
    </r>
  </si>
  <si>
    <t xml:space="preserve">فروکتوز</t>
  </si>
  <si>
    <t xml:space="preserve">520020</t>
  </si>
  <si>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z-4</t>
    </r>
  </si>
  <si>
    <t xml:space="preserve">5012738</t>
  </si>
  <si>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Z4</t>
    </r>
  </si>
  <si>
    <r>
      <rPr>
        <sz val="10"/>
        <rFont val="Vazirmatn"/>
        <family val="0"/>
        <charset val="1"/>
      </rPr>
      <t xml:space="preserve">5200 (</t>
    </r>
    <r>
      <rPr>
        <sz val="10"/>
        <rFont val="FreeSans"/>
        <family val="2"/>
      </rPr>
      <t xml:space="preserve">گلوکوز، نشاسته</t>
    </r>
    <r>
      <rPr>
        <sz val="10"/>
        <rFont val="Vazirmatn"/>
        <family val="0"/>
        <charset val="1"/>
      </rPr>
      <t xml:space="preserve">)</t>
    </r>
  </si>
  <si>
    <t xml:space="preserve">520035</t>
  </si>
  <si>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5 - z</t>
    </r>
  </si>
  <si>
    <t xml:space="preserve">5012739</t>
  </si>
  <si>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Z5</t>
    </r>
  </si>
  <si>
    <t xml:space="preserve">520042</t>
  </si>
  <si>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z6</t>
    </r>
  </si>
  <si>
    <t xml:space="preserve">5012740</t>
  </si>
  <si>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Z6</t>
    </r>
  </si>
  <si>
    <t xml:space="preserve">520162</t>
  </si>
  <si>
    <t xml:space="preserve">نشاسته  سیب زمینی</t>
  </si>
  <si>
    <r>
      <rPr>
        <sz val="10"/>
        <rFont val="Vazirmatn"/>
        <family val="0"/>
        <charset val="1"/>
      </rPr>
      <t xml:space="preserve">5201 (</t>
    </r>
    <r>
      <rPr>
        <sz val="10"/>
        <rFont val="FreeSans"/>
        <family val="2"/>
      </rPr>
      <t xml:space="preserve">نشاسته، روغن</t>
    </r>
    <r>
      <rPr>
        <sz val="10"/>
        <rFont val="Vazirmatn"/>
        <family val="0"/>
        <charset val="1"/>
      </rPr>
      <t xml:space="preserve">)</t>
    </r>
  </si>
  <si>
    <t xml:space="preserve">77620101</t>
  </si>
  <si>
    <t xml:space="preserve">برنج</t>
  </si>
  <si>
    <t xml:space="preserve">5007671</t>
  </si>
  <si>
    <r>
      <rPr>
        <sz val="10"/>
        <rFont val="Vazirmatn"/>
        <family val="0"/>
        <charset val="1"/>
      </rPr>
      <t xml:space="preserve">7762 (</t>
    </r>
    <r>
      <rPr>
        <sz val="10"/>
        <rFont val="FreeSans"/>
        <family val="2"/>
      </rPr>
      <t xml:space="preserve">مایع، پودر</t>
    </r>
    <r>
      <rPr>
        <sz val="10"/>
        <rFont val="Vazirmatn"/>
        <family val="0"/>
        <charset val="1"/>
      </rPr>
      <t xml:space="preserve">)</t>
    </r>
  </si>
  <si>
    <t xml:space="preserve">77620108</t>
  </si>
  <si>
    <t xml:space="preserve">لوبیا قرمز</t>
  </si>
  <si>
    <t xml:space="preserve">5023524</t>
  </si>
  <si>
    <t xml:space="preserve">77620109</t>
  </si>
  <si>
    <t xml:space="preserve">تخم مرغ</t>
  </si>
  <si>
    <t xml:space="preserve">5006745</t>
  </si>
  <si>
    <t xml:space="preserve">77620112</t>
  </si>
  <si>
    <t xml:space="preserve">اسپری خوشبوکننده</t>
  </si>
  <si>
    <t xml:space="preserve">5000221</t>
  </si>
  <si>
    <t xml:space="preserve">اسپري خوشبو کننده</t>
  </si>
  <si>
    <t xml:space="preserve">77620152</t>
  </si>
  <si>
    <t xml:space="preserve">لیوان شیشه ای</t>
  </si>
  <si>
    <t xml:space="preserve">5006295</t>
  </si>
  <si>
    <t xml:space="preserve">ليوان شيشه اي</t>
  </si>
  <si>
    <t xml:space="preserve">لوازم پذيرايي</t>
  </si>
  <si>
    <t xml:space="preserve">77620300</t>
  </si>
  <si>
    <t xml:space="preserve">خیار</t>
  </si>
  <si>
    <t xml:space="preserve">5006710</t>
  </si>
  <si>
    <t xml:space="preserve">77620301</t>
  </si>
  <si>
    <t xml:space="preserve">گوجه فرنگی</t>
  </si>
  <si>
    <t xml:space="preserve">5006711</t>
  </si>
  <si>
    <t xml:space="preserve">77620302</t>
  </si>
  <si>
    <t xml:space="preserve">لیمو ترش</t>
  </si>
  <si>
    <t xml:space="preserve">5023646</t>
  </si>
  <si>
    <t xml:space="preserve">77620314</t>
  </si>
  <si>
    <t xml:space="preserve">تن ماهی</t>
  </si>
  <si>
    <t xml:space="preserve">5009982</t>
  </si>
  <si>
    <t xml:space="preserve">77620317</t>
  </si>
  <si>
    <t xml:space="preserve">رب گوجه فرنگی</t>
  </si>
  <si>
    <t xml:space="preserve">5006720</t>
  </si>
  <si>
    <t xml:space="preserve">77620320</t>
  </si>
  <si>
    <t xml:space="preserve">لپه</t>
  </si>
  <si>
    <t xml:space="preserve">5023525</t>
  </si>
  <si>
    <t xml:space="preserve">77620321</t>
  </si>
  <si>
    <t xml:space="preserve">عدس</t>
  </si>
  <si>
    <t xml:space="preserve">5023517</t>
  </si>
  <si>
    <t xml:space="preserve">77620322</t>
  </si>
  <si>
    <t xml:space="preserve">نخود</t>
  </si>
  <si>
    <t xml:space="preserve">5023997</t>
  </si>
  <si>
    <t xml:space="preserve">77620323</t>
  </si>
  <si>
    <t xml:space="preserve">لوبیا چیتی</t>
  </si>
  <si>
    <t xml:space="preserve">5023522</t>
  </si>
  <si>
    <t xml:space="preserve">77620327</t>
  </si>
  <si>
    <t xml:space="preserve">کشمش پلویی</t>
  </si>
  <si>
    <t xml:space="preserve">5023892</t>
  </si>
  <si>
    <t xml:space="preserve">77620402</t>
  </si>
  <si>
    <t xml:space="preserve">چنگال  میوه خوری</t>
  </si>
  <si>
    <t xml:space="preserve">5007611</t>
  </si>
  <si>
    <t xml:space="preserve">چنگال میوه خوری</t>
  </si>
  <si>
    <t xml:space="preserve">77620424</t>
  </si>
  <si>
    <t xml:space="preserve">مایع ظرفشویی</t>
  </si>
  <si>
    <t xml:space="preserve">5006314</t>
  </si>
  <si>
    <t xml:space="preserve">مايع ظرفشويي</t>
  </si>
  <si>
    <t xml:space="preserve">77620426</t>
  </si>
  <si>
    <t xml:space="preserve">سیم ظرفشوئی</t>
  </si>
  <si>
    <t xml:space="preserve">5006342</t>
  </si>
  <si>
    <t xml:space="preserve">سيم ظرفشويي</t>
  </si>
  <si>
    <t xml:space="preserve">77620431</t>
  </si>
  <si>
    <t xml:space="preserve">مایع دستشویی</t>
  </si>
  <si>
    <t xml:space="preserve">5006312</t>
  </si>
  <si>
    <t xml:space="preserve">مايع دستشويي</t>
  </si>
  <si>
    <t xml:space="preserve">77620501</t>
  </si>
  <si>
    <t xml:space="preserve">سنگ نمک</t>
  </si>
  <si>
    <t xml:space="preserve">5006976</t>
  </si>
  <si>
    <t xml:space="preserve">77620502</t>
  </si>
  <si>
    <t xml:space="preserve">پودر فلفل سیاه</t>
  </si>
  <si>
    <t xml:space="preserve">5024260</t>
  </si>
  <si>
    <t xml:space="preserve">77620508</t>
  </si>
  <si>
    <t xml:space="preserve">آرد سوخاری</t>
  </si>
  <si>
    <t xml:space="preserve">5023665</t>
  </si>
  <si>
    <t xml:space="preserve">77620509</t>
  </si>
  <si>
    <t xml:space="preserve">زرشک</t>
  </si>
  <si>
    <t xml:space="preserve">5023541</t>
  </si>
  <si>
    <t xml:space="preserve">77620510</t>
  </si>
  <si>
    <t xml:space="preserve">شوید خشک</t>
  </si>
  <si>
    <t xml:space="preserve">5023529</t>
  </si>
  <si>
    <t xml:space="preserve">77620511</t>
  </si>
  <si>
    <t xml:space="preserve">سس مایونز تک نفره</t>
  </si>
  <si>
    <t xml:space="preserve">5023710</t>
  </si>
  <si>
    <t xml:space="preserve">سس تک نفره مایونز</t>
  </si>
  <si>
    <t xml:space="preserve">77620520</t>
  </si>
  <si>
    <t xml:space="preserve">جوش شیرین</t>
  </si>
  <si>
    <t xml:space="preserve">5023664</t>
  </si>
  <si>
    <t xml:space="preserve">77620521</t>
  </si>
  <si>
    <t xml:space="preserve">پودر دارچین</t>
  </si>
  <si>
    <t xml:space="preserve">5024261</t>
  </si>
  <si>
    <t xml:space="preserve">پودر  دارچین</t>
  </si>
  <si>
    <t xml:space="preserve">77620522</t>
  </si>
  <si>
    <t xml:space="preserve">پودر سیر</t>
  </si>
  <si>
    <t xml:space="preserve">5023528</t>
  </si>
  <si>
    <t xml:space="preserve">77620526</t>
  </si>
  <si>
    <r>
      <rPr>
        <sz val="10"/>
        <rFont val="FreeSans"/>
        <family val="2"/>
      </rPr>
      <t xml:space="preserve">جو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پرک </t>
    </r>
    <r>
      <rPr>
        <sz val="10"/>
        <rFont val="Vazirmatn"/>
        <family val="0"/>
        <charset val="1"/>
      </rPr>
      <t xml:space="preserve">)</t>
    </r>
  </si>
  <si>
    <t xml:space="preserve">5023650</t>
  </si>
  <si>
    <t xml:space="preserve">جوپرک</t>
  </si>
  <si>
    <t xml:space="preserve">77620527</t>
  </si>
  <si>
    <t xml:space="preserve">پودر گلپر</t>
  </si>
  <si>
    <t xml:space="preserve">5025724</t>
  </si>
  <si>
    <t xml:space="preserve">77620530</t>
  </si>
  <si>
    <t xml:space="preserve">خلال نارنج</t>
  </si>
  <si>
    <t xml:space="preserve">5023970</t>
  </si>
  <si>
    <t xml:space="preserve">77620532</t>
  </si>
  <si>
    <t xml:space="preserve">خلال بادام</t>
  </si>
  <si>
    <t xml:space="preserve">5023972</t>
  </si>
  <si>
    <t xml:space="preserve">77620536</t>
  </si>
  <si>
    <t xml:space="preserve">نعنا خشک</t>
  </si>
  <si>
    <t xml:space="preserve">5023971</t>
  </si>
  <si>
    <t xml:space="preserve">77620908</t>
  </si>
  <si>
    <t xml:space="preserve">دستمال جادویی</t>
  </si>
  <si>
    <t xml:space="preserve">5000621</t>
  </si>
  <si>
    <t xml:space="preserve">دستمال جادوئي</t>
  </si>
  <si>
    <t xml:space="preserve">77620918</t>
  </si>
  <si>
    <t xml:space="preserve">قندان</t>
  </si>
  <si>
    <t xml:space="preserve">5000730</t>
  </si>
  <si>
    <t xml:space="preserve">77620924</t>
  </si>
  <si>
    <t xml:space="preserve">شکر</t>
  </si>
  <si>
    <t xml:space="preserve">5006820</t>
  </si>
  <si>
    <t xml:space="preserve">77620939</t>
  </si>
  <si>
    <t xml:space="preserve">مرغ</t>
  </si>
  <si>
    <t xml:space="preserve">5006709</t>
  </si>
  <si>
    <t xml:space="preserve">77620940</t>
  </si>
  <si>
    <t xml:space="preserve">گوشت</t>
  </si>
  <si>
    <t xml:space="preserve">5006708</t>
  </si>
  <si>
    <t xml:space="preserve">77620950</t>
  </si>
  <si>
    <t xml:space="preserve">سینی استیل</t>
  </si>
  <si>
    <t xml:space="preserve">5024564</t>
  </si>
  <si>
    <t xml:space="preserve">77620967</t>
  </si>
  <si>
    <t xml:space="preserve">چنگال</t>
  </si>
  <si>
    <t xml:space="preserve">5024042</t>
  </si>
  <si>
    <t xml:space="preserve">77620990</t>
  </si>
  <si>
    <t xml:space="preserve">ران مرغ</t>
  </si>
  <si>
    <t xml:space="preserve">5023587</t>
  </si>
  <si>
    <t xml:space="preserve">77620991</t>
  </si>
  <si>
    <t xml:space="preserve">شنیسل مرغ</t>
  </si>
  <si>
    <t xml:space="preserve">5023632</t>
  </si>
  <si>
    <t xml:space="preserve">77620993</t>
  </si>
  <si>
    <t xml:space="preserve">سیب زمینی</t>
  </si>
  <si>
    <t xml:space="preserve">5006717</t>
  </si>
  <si>
    <t xml:space="preserve">77620994</t>
  </si>
  <si>
    <t xml:space="preserve">پیاز</t>
  </si>
  <si>
    <t xml:space="preserve">5006716</t>
  </si>
  <si>
    <t xml:space="preserve">77620995</t>
  </si>
  <si>
    <t xml:space="preserve">قارچ</t>
  </si>
  <si>
    <t xml:space="preserve">5006723</t>
  </si>
  <si>
    <t xml:space="preserve">77620996</t>
  </si>
  <si>
    <t xml:space="preserve">فلفل دلمه ای</t>
  </si>
  <si>
    <t xml:space="preserve">5006737</t>
  </si>
  <si>
    <t xml:space="preserve">77620997</t>
  </si>
  <si>
    <t xml:space="preserve">هویج</t>
  </si>
  <si>
    <t xml:space="preserve">5006722</t>
  </si>
  <si>
    <t xml:space="preserve">88500097</t>
  </si>
  <si>
    <t xml:space="preserve">قرص  رینگر</t>
  </si>
  <si>
    <t xml:space="preserve">5003738</t>
  </si>
  <si>
    <t xml:space="preserve">قرص رينگر</t>
  </si>
  <si>
    <r>
      <rPr>
        <sz val="10"/>
        <rFont val="Vazirmatn"/>
        <family val="0"/>
        <charset val="1"/>
      </rPr>
      <t xml:space="preserve">8850 (</t>
    </r>
    <r>
      <rPr>
        <sz val="10"/>
        <rFont val="FreeSans"/>
        <family val="2"/>
      </rPr>
      <t xml:space="preserve">محیط، پی</t>
    </r>
    <r>
      <rPr>
        <sz val="10"/>
        <rFont val="Vazirmatn"/>
        <family val="0"/>
        <charset val="1"/>
      </rPr>
      <t xml:space="preserve">)</t>
    </r>
  </si>
  <si>
    <t xml:space="preserve">88500183</t>
  </si>
  <si>
    <t xml:space="preserve">سدیم هیدروکسید</t>
  </si>
  <si>
    <t xml:space="preserve">5020454</t>
  </si>
  <si>
    <t xml:space="preserve">88500186</t>
  </si>
  <si>
    <r>
      <rPr>
        <sz val="10"/>
        <rFont val="FreeSans"/>
        <family val="2"/>
      </rPr>
      <t xml:space="preserve">مگنت        </t>
    </r>
    <r>
      <rPr>
        <sz val="10"/>
        <rFont val="Vazirmatn"/>
        <family val="0"/>
        <charset val="1"/>
      </rPr>
      <t xml:space="preserve">4cm</t>
    </r>
  </si>
  <si>
    <t xml:space="preserve">5011019</t>
  </si>
  <si>
    <r>
      <rPr>
        <sz val="10"/>
        <rFont val="FreeSans"/>
        <family val="2"/>
      </rPr>
      <t xml:space="preserve">مگنت </t>
    </r>
    <r>
      <rPr>
        <sz val="10"/>
        <rFont val="Vazirmatn"/>
        <family val="0"/>
        <charset val="1"/>
      </rPr>
      <t xml:space="preserve">4cm</t>
    </r>
  </si>
  <si>
    <t xml:space="preserve">88500253</t>
  </si>
  <si>
    <t xml:space="preserve">پارا آنیزیدین</t>
  </si>
  <si>
    <t xml:space="preserve">گرم</t>
  </si>
  <si>
    <t xml:space="preserve">5017051</t>
  </si>
  <si>
    <t xml:space="preserve">پاراآنیزیدین</t>
  </si>
  <si>
    <t xml:space="preserve">G</t>
  </si>
  <si>
    <t xml:space="preserve">88500320</t>
  </si>
  <si>
    <t xml:space="preserve">سیلیکاژل</t>
  </si>
  <si>
    <t xml:space="preserve">5003589</t>
  </si>
  <si>
    <t xml:space="preserve">سيليکاژل</t>
  </si>
  <si>
    <t xml:space="preserve">88500363</t>
  </si>
  <si>
    <t xml:space="preserve">سولفات جیوه</t>
  </si>
  <si>
    <t xml:space="preserve">5015168</t>
  </si>
  <si>
    <t xml:space="preserve">جیوه سولفات</t>
  </si>
  <si>
    <t xml:space="preserve">88500422</t>
  </si>
  <si>
    <t xml:space="preserve">استون</t>
  </si>
  <si>
    <t xml:space="preserve">5003661</t>
  </si>
  <si>
    <t xml:space="preserve">88500449</t>
  </si>
  <si>
    <t xml:space="preserve">دی اتیل اتر</t>
  </si>
  <si>
    <t xml:space="preserve">5009455</t>
  </si>
  <si>
    <t xml:space="preserve">88500486</t>
  </si>
  <si>
    <t xml:space="preserve">سیکلو هگزان</t>
  </si>
  <si>
    <t xml:space="preserve">5009456</t>
  </si>
  <si>
    <t xml:space="preserve">88500497</t>
  </si>
  <si>
    <t xml:space="preserve">اسید نیتریک</t>
  </si>
  <si>
    <t xml:space="preserve">5009529</t>
  </si>
  <si>
    <t xml:space="preserve">88500500</t>
  </si>
  <si>
    <r>
      <rPr>
        <sz val="10"/>
        <rFont val="FreeSans"/>
        <family val="2"/>
      </rPr>
      <t xml:space="preserve">الکترود    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</t>
    </r>
  </si>
  <si>
    <t xml:space="preserve">5014433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</si>
  <si>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</t>
    </r>
  </si>
  <si>
    <t xml:space="preserve">88500606</t>
  </si>
  <si>
    <r>
      <rPr>
        <sz val="10"/>
        <rFont val="FreeSans"/>
        <family val="2"/>
      </rPr>
      <t xml:space="preserve">مگنت        </t>
    </r>
    <r>
      <rPr>
        <sz val="10"/>
        <rFont val="Vazirmatn"/>
        <family val="0"/>
        <charset val="1"/>
      </rPr>
      <t xml:space="preserve">2cm</t>
    </r>
  </si>
  <si>
    <t xml:space="preserve">5011020</t>
  </si>
  <si>
    <r>
      <rPr>
        <sz val="10"/>
        <rFont val="FreeSans"/>
        <family val="2"/>
      </rPr>
      <t xml:space="preserve">مگنت </t>
    </r>
    <r>
      <rPr>
        <sz val="10"/>
        <rFont val="Vazirmatn"/>
        <family val="0"/>
        <charset val="1"/>
      </rPr>
      <t xml:space="preserve">2cm</t>
    </r>
  </si>
  <si>
    <t xml:space="preserve">88500611</t>
  </si>
  <si>
    <t xml:space="preserve">پنبه</t>
  </si>
  <si>
    <t xml:space="preserve">بسته</t>
  </si>
  <si>
    <t xml:space="preserve">5006326</t>
  </si>
  <si>
    <t xml:space="preserve">PAC</t>
  </si>
  <si>
    <t xml:space="preserve">88500612</t>
  </si>
  <si>
    <t xml:space="preserve">پنس آزمایشگاهی</t>
  </si>
  <si>
    <t xml:space="preserve">5009230</t>
  </si>
  <si>
    <t xml:space="preserve">پنس آزمايشگاهي</t>
  </si>
  <si>
    <t xml:space="preserve">88500667</t>
  </si>
  <si>
    <t xml:space="preserve">آسکوربیک اسید</t>
  </si>
  <si>
    <t xml:space="preserve">5023570</t>
  </si>
  <si>
    <t xml:space="preserve">88500713</t>
  </si>
  <si>
    <t xml:space="preserve">پتاسیم هیدروژن فتالات</t>
  </si>
  <si>
    <t xml:space="preserve">5017252</t>
  </si>
  <si>
    <t xml:space="preserve">88500718</t>
  </si>
  <si>
    <t xml:space="preserve">فرمالدهید</t>
  </si>
  <si>
    <t xml:space="preserve">5016629</t>
  </si>
  <si>
    <t xml:space="preserve">88500728</t>
  </si>
  <si>
    <t xml:space="preserve">نشاسته سیب زمینی</t>
  </si>
  <si>
    <t xml:space="preserve">88500743</t>
  </si>
  <si>
    <t xml:space="preserve">ید جامد</t>
  </si>
  <si>
    <t xml:space="preserve">5016630</t>
  </si>
  <si>
    <t xml:space="preserve">88500745</t>
  </si>
  <si>
    <t xml:space="preserve">متیل رد</t>
  </si>
  <si>
    <t xml:space="preserve">5017020</t>
  </si>
  <si>
    <t xml:space="preserve">88500747</t>
  </si>
  <si>
    <r>
      <rPr>
        <sz val="10"/>
        <rFont val="FreeSans"/>
        <family val="2"/>
      </rPr>
      <t xml:space="preserve">محیط کشت  </t>
    </r>
    <r>
      <rPr>
        <sz val="10"/>
        <rFont val="Vazirmatn"/>
        <family val="0"/>
        <charset val="1"/>
      </rPr>
      <t xml:space="preserve">Potato Dextrose Agar</t>
    </r>
  </si>
  <si>
    <t xml:space="preserve">5022491</t>
  </si>
  <si>
    <r>
      <rPr>
        <sz val="10"/>
        <rFont val="FreeSans"/>
        <family val="2"/>
      </rPr>
      <t xml:space="preserve">محیط کشت </t>
    </r>
    <r>
      <rPr>
        <sz val="10"/>
        <rFont val="Vazirmatn"/>
        <family val="0"/>
        <charset val="1"/>
      </rPr>
      <t xml:space="preserve">Potato Dextrose Agar</t>
    </r>
  </si>
  <si>
    <t xml:space="preserve">88500771</t>
  </si>
  <si>
    <t xml:space="preserve">آمونیوم استات</t>
  </si>
  <si>
    <t xml:space="preserve">5018157</t>
  </si>
  <si>
    <t xml:space="preserve">88500787</t>
  </si>
  <si>
    <t xml:space="preserve">ایزو  اکتان</t>
  </si>
  <si>
    <t xml:space="preserve">5009448</t>
  </si>
  <si>
    <t xml:space="preserve">ایزو اکتان</t>
  </si>
  <si>
    <t xml:space="preserve">88500789</t>
  </si>
  <si>
    <r>
      <rPr>
        <sz val="10"/>
        <rFont val="FreeSans"/>
        <family val="2"/>
      </rPr>
      <t xml:space="preserve">بشر پلاستیکی   </t>
    </r>
    <r>
      <rPr>
        <sz val="10"/>
        <rFont val="Vazirmatn"/>
        <family val="0"/>
        <charset val="1"/>
      </rPr>
      <t xml:space="preserve">1000CC</t>
    </r>
  </si>
  <si>
    <t xml:space="preserve">5021138</t>
  </si>
  <si>
    <r>
      <rPr>
        <sz val="10"/>
        <rFont val="FreeSans"/>
        <family val="2"/>
      </rPr>
      <t xml:space="preserve">بشر پلاستیکی </t>
    </r>
    <r>
      <rPr>
        <sz val="10"/>
        <rFont val="Vazirmatn"/>
        <family val="0"/>
        <charset val="1"/>
      </rPr>
      <t xml:space="preserve">1000cc</t>
    </r>
  </si>
  <si>
    <t xml:space="preserve">88500839</t>
  </si>
  <si>
    <t xml:space="preserve">استو نیتریل</t>
  </si>
  <si>
    <t xml:space="preserve">5013902</t>
  </si>
  <si>
    <t xml:space="preserve">استونیتریل</t>
  </si>
  <si>
    <t xml:space="preserve">88500858</t>
  </si>
  <si>
    <t xml:space="preserve">اسید سولفوریک</t>
  </si>
  <si>
    <t xml:space="preserve">5003709</t>
  </si>
  <si>
    <t xml:space="preserve">اسيد سولفوريک</t>
  </si>
  <si>
    <t xml:space="preserve">99610101</t>
  </si>
  <si>
    <t xml:space="preserve">شلوارکار</t>
  </si>
  <si>
    <t xml:space="preserve">5007556</t>
  </si>
  <si>
    <t xml:space="preserve">شلوار کار</t>
  </si>
  <si>
    <t xml:space="preserve">البسه</t>
  </si>
  <si>
    <r>
      <rPr>
        <sz val="10"/>
        <rFont val="Vazirmatn"/>
        <family val="0"/>
        <charset val="1"/>
      </rPr>
      <t xml:space="preserve">9961 (</t>
    </r>
    <r>
      <rPr>
        <sz val="10"/>
        <rFont val="FreeSans"/>
        <family val="2"/>
      </rPr>
      <t xml:space="preserve">فرم، دفتر</t>
    </r>
    <r>
      <rPr>
        <sz val="10"/>
        <rFont val="Vazirmatn"/>
        <family val="0"/>
        <charset val="1"/>
      </rPr>
      <t xml:space="preserve">)</t>
    </r>
  </si>
  <si>
    <t xml:space="preserve">99610102</t>
  </si>
  <si>
    <t xml:space="preserve">کت وشلوار</t>
  </si>
  <si>
    <t xml:space="preserve">5008531</t>
  </si>
  <si>
    <t xml:space="preserve">کت و شلوار</t>
  </si>
  <si>
    <t xml:space="preserve">99610118</t>
  </si>
  <si>
    <t xml:space="preserve">ساک ورزشی</t>
  </si>
  <si>
    <t xml:space="preserve">5011546</t>
  </si>
  <si>
    <t xml:space="preserve">99610128</t>
  </si>
  <si>
    <t xml:space="preserve">چتر</t>
  </si>
  <si>
    <t xml:space="preserve">5008541</t>
  </si>
  <si>
    <t xml:space="preserve">99610129</t>
  </si>
  <si>
    <t xml:space="preserve">پیراهن اداری</t>
  </si>
  <si>
    <t xml:space="preserve">5020273</t>
  </si>
  <si>
    <t xml:space="preserve">99610132</t>
  </si>
  <si>
    <t xml:space="preserve">پشتی طبی</t>
  </si>
  <si>
    <t xml:space="preserve">5010888</t>
  </si>
  <si>
    <t xml:space="preserve">99610140</t>
  </si>
  <si>
    <t xml:space="preserve">لباس کار جوشکاری</t>
  </si>
  <si>
    <t xml:space="preserve">5006464</t>
  </si>
  <si>
    <t xml:space="preserve">لباس کار جوشکاري</t>
  </si>
  <si>
    <t xml:space="preserve">99610147</t>
  </si>
  <si>
    <t xml:space="preserve">کاور ورزشی</t>
  </si>
  <si>
    <t xml:space="preserve">5017959</t>
  </si>
  <si>
    <t xml:space="preserve">99610149</t>
  </si>
  <si>
    <t xml:space="preserve">زیر لیوانی</t>
  </si>
  <si>
    <t xml:space="preserve">5006304</t>
  </si>
  <si>
    <t xml:space="preserve">زير ليواني</t>
  </si>
  <si>
    <t xml:space="preserve">99610150</t>
  </si>
  <si>
    <t xml:space="preserve">جلیقه خبرنگاری</t>
  </si>
  <si>
    <t xml:space="preserve">5020898</t>
  </si>
  <si>
    <t xml:space="preserve">99610154</t>
  </si>
  <si>
    <t xml:space="preserve">چکمه لاستیکی</t>
  </si>
  <si>
    <t xml:space="preserve">جفت</t>
  </si>
  <si>
    <t xml:space="preserve">5015157</t>
  </si>
  <si>
    <t xml:space="preserve">PAA</t>
  </si>
  <si>
    <t xml:space="preserve">99610285</t>
  </si>
  <si>
    <t xml:space="preserve">جای اسکاچ</t>
  </si>
  <si>
    <t xml:space="preserve">5006585</t>
  </si>
  <si>
    <t xml:space="preserve">99610438</t>
  </si>
  <si>
    <r>
      <rPr>
        <sz val="10"/>
        <rFont val="FreeSans"/>
        <family val="2"/>
      </rPr>
      <t xml:space="preserve">کاغذ </t>
    </r>
    <r>
      <rPr>
        <sz val="10"/>
        <rFont val="Vazirmatn"/>
        <family val="0"/>
        <charset val="1"/>
      </rPr>
      <t xml:space="preserve">A5</t>
    </r>
  </si>
  <si>
    <t xml:space="preserve">5006124</t>
  </si>
  <si>
    <t xml:space="preserve">99610439</t>
  </si>
  <si>
    <r>
      <rPr>
        <sz val="10"/>
        <rFont val="FreeSans"/>
        <family val="2"/>
      </rPr>
      <t xml:space="preserve">کاغذ   </t>
    </r>
    <r>
      <rPr>
        <sz val="10"/>
        <rFont val="Vazirmatn"/>
        <family val="0"/>
        <charset val="1"/>
      </rPr>
      <t xml:space="preserve">A3</t>
    </r>
  </si>
  <si>
    <t xml:space="preserve">5006131</t>
  </si>
  <si>
    <r>
      <rPr>
        <sz val="10"/>
        <rFont val="FreeSans"/>
        <family val="2"/>
      </rPr>
      <t xml:space="preserve">کاغذ </t>
    </r>
    <r>
      <rPr>
        <sz val="10"/>
        <rFont val="Vazirmatn"/>
        <family val="0"/>
        <charset val="1"/>
      </rPr>
      <t xml:space="preserve">A3</t>
    </r>
  </si>
  <si>
    <t xml:space="preserve">99610441</t>
  </si>
  <si>
    <r>
      <rPr>
        <sz val="10"/>
        <rFont val="FreeSans"/>
        <family val="2"/>
      </rPr>
      <t xml:space="preserve">کاغذ  </t>
    </r>
    <r>
      <rPr>
        <sz val="10"/>
        <rFont val="Vazirmatn"/>
        <family val="0"/>
        <charset val="1"/>
      </rPr>
      <t xml:space="preserve">A4</t>
    </r>
  </si>
  <si>
    <t xml:space="preserve">5006123</t>
  </si>
  <si>
    <r>
      <rPr>
        <sz val="10"/>
        <rFont val="FreeSans"/>
        <family val="2"/>
      </rPr>
      <t xml:space="preserve">کاغذ </t>
    </r>
    <r>
      <rPr>
        <sz val="10"/>
        <rFont val="Vazirmatn"/>
        <family val="0"/>
        <charset val="1"/>
      </rPr>
      <t xml:space="preserve">A4</t>
    </r>
  </si>
  <si>
    <t xml:space="preserve">99610539</t>
  </si>
  <si>
    <t xml:space="preserve">برچسب شیشه مات کن</t>
  </si>
  <si>
    <t xml:space="preserve">5011522</t>
  </si>
  <si>
    <t xml:space="preserve">99610581</t>
  </si>
  <si>
    <r>
      <rPr>
        <sz val="10"/>
        <rFont val="FreeSans"/>
        <family val="2"/>
      </rPr>
      <t xml:space="preserve">فرم درخواست انجام کار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انجام فعالیت</t>
    </r>
  </si>
  <si>
    <t xml:space="preserve">5011790</t>
  </si>
  <si>
    <r>
      <rPr>
        <sz val="10"/>
        <rFont val="FreeSans"/>
        <family val="2"/>
      </rPr>
      <t xml:space="preserve">فرم درخواست انجام کار</t>
    </r>
    <r>
      <rPr>
        <sz val="10"/>
        <rFont val="Vazirmatn"/>
        <family val="0"/>
        <charset val="1"/>
      </rPr>
      <t xml:space="preserve">/</t>
    </r>
    <r>
      <rPr>
        <sz val="10"/>
        <rFont val="FreeSans"/>
        <family val="2"/>
      </rPr>
      <t xml:space="preserve">انجام فعالیت</t>
    </r>
  </si>
  <si>
    <t xml:space="preserve">99610604</t>
  </si>
  <si>
    <t xml:space="preserve">خودکار   آبی</t>
  </si>
  <si>
    <t xml:space="preserve">5006103</t>
  </si>
  <si>
    <t xml:space="preserve">خودکار آبي</t>
  </si>
  <si>
    <t xml:space="preserve">99610605</t>
  </si>
  <si>
    <t xml:space="preserve">خودکار  سبز</t>
  </si>
  <si>
    <t xml:space="preserve">5006106</t>
  </si>
  <si>
    <t xml:space="preserve">خودکار سبز</t>
  </si>
  <si>
    <t xml:space="preserve">99610606</t>
  </si>
  <si>
    <t xml:space="preserve">خودکار  قرمز</t>
  </si>
  <si>
    <t xml:space="preserve">5006105</t>
  </si>
  <si>
    <t xml:space="preserve">خودکار قرمز</t>
  </si>
  <si>
    <t xml:space="preserve">99610607</t>
  </si>
  <si>
    <t xml:space="preserve">خودکار  مشکی</t>
  </si>
  <si>
    <t xml:space="preserve">5006104</t>
  </si>
  <si>
    <t xml:space="preserve">خودکار مشکي</t>
  </si>
  <si>
    <t xml:space="preserve">99610608</t>
  </si>
  <si>
    <t xml:space="preserve">کیسه  زباله</t>
  </si>
  <si>
    <t xml:space="preserve">5006320</t>
  </si>
  <si>
    <t xml:space="preserve">کيسه زباله</t>
  </si>
  <si>
    <t xml:space="preserve">99610613</t>
  </si>
  <si>
    <t xml:space="preserve">مداد قرمز</t>
  </si>
  <si>
    <t xml:space="preserve">5006634</t>
  </si>
  <si>
    <t xml:space="preserve">99610615</t>
  </si>
  <si>
    <t xml:space="preserve">مداد تراش</t>
  </si>
  <si>
    <t xml:space="preserve">5006274</t>
  </si>
  <si>
    <t xml:space="preserve">99610617</t>
  </si>
  <si>
    <t xml:space="preserve">مداد پاک کن</t>
  </si>
  <si>
    <t xml:space="preserve">5006122</t>
  </si>
  <si>
    <t xml:space="preserve">99610624</t>
  </si>
  <si>
    <t xml:space="preserve">گیره کاغذ بزرگ</t>
  </si>
  <si>
    <t xml:space="preserve">5006165</t>
  </si>
  <si>
    <t xml:space="preserve">گيره کاغذ بزرگ</t>
  </si>
  <si>
    <t xml:space="preserve">99610630</t>
  </si>
  <si>
    <t xml:space="preserve">گیره کاغذ کوچک</t>
  </si>
  <si>
    <t xml:space="preserve">5006164</t>
  </si>
  <si>
    <t xml:space="preserve">گيره کاغذ کوچک</t>
  </si>
  <si>
    <t xml:space="preserve">99610637</t>
  </si>
  <si>
    <r>
      <rPr>
        <sz val="10"/>
        <rFont val="FreeSans"/>
        <family val="2"/>
      </rPr>
      <t xml:space="preserve">کلاسور  </t>
    </r>
    <r>
      <rPr>
        <sz val="10"/>
        <rFont val="Vazirmatn"/>
        <family val="0"/>
        <charset val="1"/>
      </rPr>
      <t xml:space="preserve">A4</t>
    </r>
  </si>
  <si>
    <t xml:space="preserve">5006621</t>
  </si>
  <si>
    <r>
      <rPr>
        <sz val="10"/>
        <rFont val="FreeSans"/>
        <family val="2"/>
      </rPr>
      <t xml:space="preserve">کلاسور</t>
    </r>
    <r>
      <rPr>
        <sz val="10"/>
        <rFont val="Vazirmatn"/>
        <family val="0"/>
        <charset val="1"/>
      </rPr>
      <t xml:space="preserve">A4</t>
    </r>
  </si>
  <si>
    <t xml:space="preserve">99610638</t>
  </si>
  <si>
    <t xml:space="preserve">ماژیک وایت برد آبی</t>
  </si>
  <si>
    <t xml:space="preserve">5006113</t>
  </si>
  <si>
    <t xml:space="preserve">ماژيک وايت برد آبي</t>
  </si>
  <si>
    <t xml:space="preserve">99610639</t>
  </si>
  <si>
    <t xml:space="preserve">ماژیک وایت برد سبز</t>
  </si>
  <si>
    <t xml:space="preserve">5006116</t>
  </si>
  <si>
    <t xml:space="preserve">ماژيک وايت برد سبز</t>
  </si>
  <si>
    <t xml:space="preserve">99610640</t>
  </si>
  <si>
    <t xml:space="preserve">ماژیک وایت برد قرمز</t>
  </si>
  <si>
    <t xml:space="preserve">5006115</t>
  </si>
  <si>
    <t xml:space="preserve">ماژيک وايت برد قرمز</t>
  </si>
  <si>
    <t xml:space="preserve">99610641</t>
  </si>
  <si>
    <t xml:space="preserve">ماژیک وایت برد مشکی</t>
  </si>
  <si>
    <t xml:space="preserve">5006114</t>
  </si>
  <si>
    <t xml:space="preserve">ماژيک وايت برد مشکي</t>
  </si>
  <si>
    <t xml:space="preserve">99610648</t>
  </si>
  <si>
    <t xml:space="preserve">کاور سی دی</t>
  </si>
  <si>
    <t xml:space="preserve">5006230</t>
  </si>
  <si>
    <t xml:space="preserve">کاور سي دي</t>
  </si>
  <si>
    <t xml:space="preserve">99610654</t>
  </si>
  <si>
    <t xml:space="preserve">ماژیک های لایت زرد</t>
  </si>
  <si>
    <t xml:space="preserve">5006627</t>
  </si>
  <si>
    <t xml:space="preserve">99610656</t>
  </si>
  <si>
    <t xml:space="preserve">ماژیک های لایت سبز</t>
  </si>
  <si>
    <t xml:space="preserve">5006628</t>
  </si>
  <si>
    <t xml:space="preserve">99610668</t>
  </si>
  <si>
    <t xml:space="preserve">ماژیک های لایت صورتی</t>
  </si>
  <si>
    <t xml:space="preserve">5006629</t>
  </si>
  <si>
    <t xml:space="preserve">99610673</t>
  </si>
  <si>
    <t xml:space="preserve">سوزن منگنه بزرگ</t>
  </si>
  <si>
    <t xml:space="preserve">5002657</t>
  </si>
  <si>
    <t xml:space="preserve">99610674</t>
  </si>
  <si>
    <t xml:space="preserve">کیف لپ تاپ</t>
  </si>
  <si>
    <t xml:space="preserve">5005993</t>
  </si>
  <si>
    <t xml:space="preserve">99610675</t>
  </si>
  <si>
    <t xml:space="preserve">ماژیک های لایت آبی</t>
  </si>
  <si>
    <t xml:space="preserve">5006117</t>
  </si>
  <si>
    <t xml:space="preserve">ماژيک هاي لايت آبي</t>
  </si>
  <si>
    <t xml:space="preserve">99610717</t>
  </si>
  <si>
    <t xml:space="preserve">زیر بشقابی</t>
  </si>
  <si>
    <t xml:space="preserve">5006605</t>
  </si>
  <si>
    <t xml:space="preserve">99610748</t>
  </si>
  <si>
    <t xml:space="preserve">دسته جارو</t>
  </si>
  <si>
    <t xml:space="preserve">5000912</t>
  </si>
  <si>
    <t xml:space="preserve">99610778</t>
  </si>
  <si>
    <t xml:space="preserve">بیل شهرداری</t>
  </si>
  <si>
    <t xml:space="preserve">5004955</t>
  </si>
  <si>
    <t xml:space="preserve">99610779</t>
  </si>
  <si>
    <t xml:space="preserve">99610807</t>
  </si>
  <si>
    <t xml:space="preserve">گاز استریل</t>
  </si>
  <si>
    <t xml:space="preserve">5007226</t>
  </si>
  <si>
    <t xml:space="preserve">99610819</t>
  </si>
  <si>
    <t xml:space="preserve">جعبه کمکهای اولیه</t>
  </si>
  <si>
    <t xml:space="preserve">5006382</t>
  </si>
  <si>
    <t xml:space="preserve">جعبه کمکهاي اوليه</t>
  </si>
  <si>
    <t xml:space="preserve">99610821</t>
  </si>
  <si>
    <t xml:space="preserve">پماد پیروکسیکام</t>
  </si>
  <si>
    <t xml:space="preserve">5007153</t>
  </si>
  <si>
    <t xml:space="preserve">99610828</t>
  </si>
  <si>
    <t xml:space="preserve">شربت آلومینیوم</t>
  </si>
  <si>
    <t xml:space="preserve">5007173</t>
  </si>
  <si>
    <t xml:space="preserve">شربت آلومينيوم ام جی اس</t>
  </si>
  <si>
    <t xml:space="preserve">99610839</t>
  </si>
  <si>
    <t xml:space="preserve">پماد دیکلوفناک</t>
  </si>
  <si>
    <t xml:space="preserve">5007149</t>
  </si>
  <si>
    <t xml:space="preserve">99610841</t>
  </si>
  <si>
    <t xml:space="preserve">پماد موپیروسین</t>
  </si>
  <si>
    <t xml:space="preserve">5007154</t>
  </si>
  <si>
    <t xml:space="preserve">99610851</t>
  </si>
  <si>
    <t xml:space="preserve">پد الکلی</t>
  </si>
  <si>
    <t xml:space="preserve">5007560</t>
  </si>
  <si>
    <t xml:space="preserve">99610879</t>
  </si>
  <si>
    <t xml:space="preserve">فوتبال دستی بزرگ</t>
  </si>
  <si>
    <t xml:space="preserve">5011547</t>
  </si>
  <si>
    <t xml:space="preserve">99610883</t>
  </si>
  <si>
    <t xml:space="preserve">گل اطلسی</t>
  </si>
  <si>
    <t xml:space="preserve">5011283</t>
  </si>
  <si>
    <t xml:space="preserve">99610884</t>
  </si>
  <si>
    <t xml:space="preserve">گل جعفری</t>
  </si>
  <si>
    <t xml:space="preserve">5015162</t>
  </si>
  <si>
    <t xml:space="preserve">99610904</t>
  </si>
  <si>
    <t xml:space="preserve">گیره پوشه</t>
  </si>
  <si>
    <t xml:space="preserve">5004843</t>
  </si>
  <si>
    <t xml:space="preserve">99610952</t>
  </si>
  <si>
    <t xml:space="preserve">فندک</t>
  </si>
  <si>
    <t xml:space="preserve">5006344</t>
  </si>
  <si>
    <t xml:space="preserve">99610955</t>
  </si>
  <si>
    <t xml:space="preserve">رخت آویز</t>
  </si>
  <si>
    <t xml:space="preserve">5009040</t>
  </si>
  <si>
    <t xml:space="preserve">99610957</t>
  </si>
  <si>
    <t xml:space="preserve">ساعت دیواری</t>
  </si>
  <si>
    <t xml:space="preserve">5006290</t>
  </si>
  <si>
    <t xml:space="preserve">ساعت ديواري</t>
  </si>
  <si>
    <t xml:space="preserve">99610988</t>
  </si>
  <si>
    <t xml:space="preserve">چوب لباسی ایستاده</t>
  </si>
  <si>
    <t xml:space="preserve">6001578</t>
  </si>
  <si>
    <t xml:space="preserve">99610993</t>
  </si>
  <si>
    <t xml:space="preserve">توپ پینگ پنگ</t>
  </si>
  <si>
    <t xml:space="preserve">5010398</t>
  </si>
  <si>
    <t xml:space="preserve">99611003</t>
  </si>
  <si>
    <t xml:space="preserve">چوب لباسی دیواری</t>
  </si>
  <si>
    <t xml:space="preserve">5006287</t>
  </si>
  <si>
    <t xml:space="preserve">چوب لباسي ديواري</t>
  </si>
  <si>
    <t xml:space="preserve">99611010</t>
  </si>
  <si>
    <t xml:space="preserve">چسب بخیه</t>
  </si>
  <si>
    <t xml:space="preserve">5007165</t>
  </si>
  <si>
    <t xml:space="preserve">99611014</t>
  </si>
  <si>
    <t xml:space="preserve">سم دیازینون</t>
  </si>
  <si>
    <t xml:space="preserve">5003613</t>
  </si>
  <si>
    <t xml:space="preserve">سم ديازينون</t>
  </si>
  <si>
    <t xml:space="preserve">99611015</t>
  </si>
  <si>
    <t xml:space="preserve">سم دلتا مترین</t>
  </si>
  <si>
    <t xml:space="preserve">5003612</t>
  </si>
  <si>
    <t xml:space="preserve">سم دلتامترين</t>
  </si>
  <si>
    <t xml:space="preserve">99611016</t>
  </si>
  <si>
    <t xml:space="preserve">سم سایپر مترین</t>
  </si>
  <si>
    <t xml:space="preserve">5003611</t>
  </si>
  <si>
    <t xml:space="preserve">سم سايپرمترين</t>
  </si>
  <si>
    <t xml:space="preserve">99611061</t>
  </si>
  <si>
    <r>
      <rPr>
        <sz val="10"/>
        <rFont val="FreeSans"/>
        <family val="2"/>
      </rPr>
      <t xml:space="preserve">فایل چوبی 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کشویی</t>
    </r>
  </si>
  <si>
    <t xml:space="preserve">6000069</t>
  </si>
  <si>
    <t xml:space="preserve">فايل چوبي سه کشويي</t>
  </si>
  <si>
    <t xml:space="preserve">اموال اداری</t>
  </si>
  <si>
    <t xml:space="preserve">120017</t>
  </si>
  <si>
    <t xml:space="preserve">اسید  نیتریک</t>
  </si>
  <si>
    <r>
      <rPr>
        <sz val="10"/>
        <rFont val="FreeSans"/>
        <family val="2"/>
      </rPr>
      <t xml:space="preserve">۲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شرح یکی، واحد متفاوت</t>
    </r>
  </si>
  <si>
    <t xml:space="preserve">کیلوگرم ← لیتر</t>
  </si>
  <si>
    <t xml:space="preserve">120029</t>
  </si>
  <si>
    <r>
      <rPr>
        <sz val="10"/>
        <rFont val="FreeSans"/>
        <family val="2"/>
      </rPr>
      <t xml:space="preserve">آب ژاول</t>
    </r>
    <r>
      <rPr>
        <sz val="10"/>
        <rFont val="Vazirmatn"/>
        <family val="0"/>
        <charset val="1"/>
      </rPr>
      <t xml:space="preserve">.</t>
    </r>
  </si>
  <si>
    <t xml:space="preserve">5009136</t>
  </si>
  <si>
    <t xml:space="preserve">آب ژاول</t>
  </si>
  <si>
    <t xml:space="preserve">16217001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</si>
  <si>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11KW  1500RPM</t>
    </r>
  </si>
  <si>
    <t xml:space="preserve">4027735</t>
  </si>
  <si>
    <r>
      <rPr>
        <sz val="10"/>
        <rFont val="FreeSans"/>
        <family val="2"/>
      </rPr>
      <t xml:space="preserve">الکتروموتور </t>
    </r>
    <r>
      <rPr>
        <sz val="10"/>
        <rFont val="Vazirmatn"/>
        <family val="0"/>
        <charset val="1"/>
      </rPr>
      <t xml:space="preserve">11KW - 1500rpm</t>
    </r>
  </si>
  <si>
    <t xml:space="preserve">16217103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</si>
  <si>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7/5KW  1500RPM</t>
    </r>
  </si>
  <si>
    <t xml:space="preserve">6003064</t>
  </si>
  <si>
    <r>
      <rPr>
        <sz val="10"/>
        <rFont val="FreeSans"/>
        <family val="2"/>
      </rPr>
      <t xml:space="preserve">الکتروگیربکس </t>
    </r>
    <r>
      <rPr>
        <sz val="10"/>
        <rFont val="Vazirmatn"/>
        <family val="0"/>
        <charset val="1"/>
      </rPr>
      <t xml:space="preserve">7/5KW - 1500rpm</t>
    </r>
  </si>
  <si>
    <t xml:space="preserve">31214955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</si>
  <si>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VGA</t>
    </r>
  </si>
  <si>
    <t xml:space="preserve">5005770</t>
  </si>
  <si>
    <t xml:space="preserve">31228147</t>
  </si>
  <si>
    <t xml:space="preserve">چسب دو طرفه</t>
  </si>
  <si>
    <t xml:space="preserve">5011440</t>
  </si>
  <si>
    <t xml:space="preserve">HLG</t>
  </si>
  <si>
    <r>
      <rPr>
        <sz val="10"/>
        <rFont val="FreeSans"/>
        <family val="2"/>
      </rPr>
      <t xml:space="preserve">بسته ← </t>
    </r>
    <r>
      <rPr>
        <sz val="10"/>
        <rFont val="Vazirmatn"/>
        <family val="0"/>
        <charset val="1"/>
      </rPr>
      <t xml:space="preserve">HLG</t>
    </r>
  </si>
  <si>
    <t xml:space="preserve">31228319</t>
  </si>
  <si>
    <t xml:space="preserve">توری نسوز</t>
  </si>
  <si>
    <t xml:space="preserve">5009553</t>
  </si>
  <si>
    <t xml:space="preserve">31237150</t>
  </si>
  <si>
    <r>
      <rPr>
        <sz val="10"/>
        <rFont val="FreeSans"/>
        <family val="2"/>
      </rPr>
      <t xml:space="preserve">روغن         </t>
    </r>
    <r>
      <rPr>
        <sz val="10"/>
        <rFont val="Vazirmatn"/>
        <family val="0"/>
        <charset val="1"/>
      </rPr>
      <t xml:space="preserve">GS4</t>
    </r>
  </si>
  <si>
    <t xml:space="preserve">گالن</t>
  </si>
  <si>
    <t xml:space="preserve">4030759</t>
  </si>
  <si>
    <r>
      <rPr>
        <sz val="10"/>
        <rFont val="FreeSans"/>
        <family val="2"/>
      </rPr>
      <t xml:space="preserve">روغن </t>
    </r>
    <r>
      <rPr>
        <sz val="10"/>
        <rFont val="Vazirmatn"/>
        <family val="0"/>
        <charset val="1"/>
      </rPr>
      <t xml:space="preserve">4GS</t>
    </r>
  </si>
  <si>
    <t xml:space="preserve">گالن ← لیتر</t>
  </si>
  <si>
    <t xml:space="preserve">31239178</t>
  </si>
  <si>
    <t xml:space="preserve">گریس پمپ دستی</t>
  </si>
  <si>
    <t xml:space="preserve">6001180</t>
  </si>
  <si>
    <t xml:space="preserve">گريس پمپ دستي</t>
  </si>
  <si>
    <t xml:space="preserve">31273908</t>
  </si>
  <si>
    <t xml:space="preserve">31276195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</si>
  <si>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 6</t>
    </r>
  </si>
  <si>
    <t xml:space="preserve">4031083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</si>
  <si>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اینچ</t>
    </r>
  </si>
  <si>
    <t xml:space="preserve">31276272</t>
  </si>
  <si>
    <r>
      <rPr>
        <sz val="10"/>
        <rFont val="FreeSans"/>
        <family val="2"/>
      </rPr>
      <t xml:space="preserve">لوله پلیکا    </t>
    </r>
    <r>
      <rPr>
        <sz val="10"/>
        <rFont val="Vazirmatn"/>
        <family val="0"/>
        <charset val="1"/>
      </rPr>
      <t xml:space="preserve">63</t>
    </r>
  </si>
  <si>
    <t xml:space="preserve">شاخه</t>
  </si>
  <si>
    <t xml:space="preserve">4029232</t>
  </si>
  <si>
    <r>
      <rPr>
        <sz val="10"/>
        <rFont val="FreeSans"/>
        <family val="2"/>
      </rPr>
      <t xml:space="preserve">لوله پلیکا سایز </t>
    </r>
    <r>
      <rPr>
        <sz val="10"/>
        <rFont val="Vazirmatn"/>
        <family val="0"/>
        <charset val="1"/>
      </rPr>
      <t xml:space="preserve">63</t>
    </r>
  </si>
  <si>
    <t xml:space="preserve">31276299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</si>
  <si>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" U PVC          3/4</t>
    </r>
  </si>
  <si>
    <t xml:space="preserve">4029221</t>
  </si>
  <si>
    <r>
      <rPr>
        <sz val="10"/>
        <rFont val="FreeSans"/>
        <family val="2"/>
      </rPr>
      <t xml:space="preserve">لوله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</si>
  <si>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31276323</t>
  </si>
  <si>
    <r>
      <rPr>
        <sz val="10"/>
        <rFont val="FreeSans"/>
        <family val="2"/>
      </rPr>
      <t xml:space="preserve">لوله گالوانیزه      </t>
    </r>
    <r>
      <rPr>
        <sz val="10"/>
        <rFont val="Vazirmatn"/>
        <family val="0"/>
        <charset val="1"/>
      </rPr>
      <t xml:space="preserve">" 4</t>
    </r>
  </si>
  <si>
    <t xml:space="preserve">4031079</t>
  </si>
  <si>
    <r>
      <rPr>
        <sz val="10"/>
        <rFont val="FreeSans"/>
        <family val="2"/>
      </rPr>
      <t xml:space="preserve">لوله گالوانیزه 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</si>
  <si>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31276368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</si>
  <si>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"8</t>
    </r>
  </si>
  <si>
    <t xml:space="preserve">4031104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</si>
  <si>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اینچ</t>
    </r>
  </si>
  <si>
    <t xml:space="preserve">31276371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</si>
  <si>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"1/2</t>
    </r>
  </si>
  <si>
    <t xml:space="preserve">4031120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</si>
  <si>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رده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سایز</t>
    </r>
    <r>
      <rPr>
        <sz val="10"/>
        <rFont val="Vazirmatn"/>
        <family val="0"/>
        <charset val="1"/>
      </rPr>
      <t xml:space="preserve">1/2</t>
    </r>
    <r>
      <rPr>
        <sz val="10"/>
        <rFont val="FreeSans"/>
        <family val="2"/>
      </rPr>
      <t xml:space="preserve">اینچ</t>
    </r>
  </si>
  <si>
    <t xml:space="preserve">31276375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</si>
  <si>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"4</t>
    </r>
  </si>
  <si>
    <t xml:space="preserve">4031126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</si>
  <si>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</si>
  <si>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31276378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</si>
  <si>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"2</t>
    </r>
  </si>
  <si>
    <t xml:space="preserve">4031093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</si>
  <si>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</si>
  <si>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31276387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</si>
  <si>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"1</t>
    </r>
  </si>
  <si>
    <t xml:space="preserve">4031090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</si>
  <si>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</si>
  <si>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کیلوگرم ← عدد</t>
  </si>
  <si>
    <t xml:space="preserve">31284100</t>
  </si>
  <si>
    <r>
      <rPr>
        <sz val="10"/>
        <rFont val="FreeSans"/>
        <family val="2"/>
      </rPr>
      <t xml:space="preserve">پوشال کولر آبی  </t>
    </r>
    <r>
      <rPr>
        <sz val="10"/>
        <rFont val="Vazirmatn"/>
        <family val="0"/>
        <charset val="1"/>
      </rPr>
      <t xml:space="preserve">3500</t>
    </r>
  </si>
  <si>
    <t xml:space="preserve">4028816</t>
  </si>
  <si>
    <r>
      <rPr>
        <sz val="10"/>
        <rFont val="FreeSans"/>
        <family val="2"/>
      </rPr>
      <t xml:space="preserve">پوشال کولر آبی </t>
    </r>
    <r>
      <rPr>
        <sz val="10"/>
        <rFont val="Vazirmatn"/>
        <family val="0"/>
        <charset val="1"/>
      </rPr>
      <t xml:space="preserve">3500</t>
    </r>
  </si>
  <si>
    <t xml:space="preserve">31284105</t>
  </si>
  <si>
    <r>
      <rPr>
        <sz val="10"/>
        <rFont val="FreeSans"/>
        <family val="2"/>
      </rPr>
      <t xml:space="preserve">پوشال کولر آبی  </t>
    </r>
    <r>
      <rPr>
        <sz val="10"/>
        <rFont val="Vazirmatn"/>
        <family val="0"/>
        <charset val="1"/>
      </rPr>
      <t xml:space="preserve">5500</t>
    </r>
  </si>
  <si>
    <t xml:space="preserve">4028817</t>
  </si>
  <si>
    <r>
      <rPr>
        <sz val="10"/>
        <rFont val="FreeSans"/>
        <family val="2"/>
      </rPr>
      <t xml:space="preserve">پوشال کولر آبی </t>
    </r>
    <r>
      <rPr>
        <sz val="10"/>
        <rFont val="Vazirmatn"/>
        <family val="0"/>
        <charset val="1"/>
      </rPr>
      <t xml:space="preserve">5500</t>
    </r>
  </si>
  <si>
    <t xml:space="preserve">31286153</t>
  </si>
  <si>
    <t xml:space="preserve">تستر کابل شبکه</t>
  </si>
  <si>
    <t xml:space="preserve">4008819</t>
  </si>
  <si>
    <t xml:space="preserve">31286601</t>
  </si>
  <si>
    <r>
      <rPr>
        <sz val="10"/>
        <rFont val="FreeSans"/>
        <family val="2"/>
      </rPr>
      <t xml:space="preserve">جرثقیل دستی زنجیری   </t>
    </r>
    <r>
      <rPr>
        <sz val="10"/>
        <rFont val="Vazirmatn"/>
        <family val="0"/>
        <charset val="1"/>
      </rPr>
      <t xml:space="preserve">3ton</t>
    </r>
  </si>
  <si>
    <t xml:space="preserve">6004896</t>
  </si>
  <si>
    <r>
      <rPr>
        <sz val="10"/>
        <rFont val="FreeSans"/>
        <family val="2"/>
      </rPr>
      <t xml:space="preserve">جرثقیل دستی زنجیری </t>
    </r>
    <r>
      <rPr>
        <sz val="10"/>
        <rFont val="Vazirmatn"/>
        <family val="0"/>
        <charset val="1"/>
      </rPr>
      <t xml:space="preserve">3TON</t>
    </r>
  </si>
  <si>
    <t xml:space="preserve">31289144</t>
  </si>
  <si>
    <t xml:space="preserve">کاور کفش یکبار مصرف</t>
  </si>
  <si>
    <t xml:space="preserve">5011841</t>
  </si>
  <si>
    <t xml:space="preserve">بسته ← عدد</t>
  </si>
  <si>
    <t xml:space="preserve">31298584</t>
  </si>
  <si>
    <t xml:space="preserve">گان چسب کاشت میلگرد</t>
  </si>
  <si>
    <t xml:space="preserve">4033972</t>
  </si>
  <si>
    <t xml:space="preserve">31299307</t>
  </si>
  <si>
    <r>
      <rPr>
        <sz val="10"/>
        <rFont val="FreeSans"/>
        <family val="2"/>
      </rPr>
      <t xml:space="preserve">لوازم جک فرمان لیفتراک سپاهان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تن</t>
    </r>
  </si>
  <si>
    <t xml:space="preserve">5013180</t>
  </si>
  <si>
    <r>
      <rPr>
        <sz val="10"/>
        <rFont val="FreeSans"/>
        <family val="2"/>
      </rPr>
      <t xml:space="preserve">لوازم جک فرمان لیفتراک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تن سپاهان</t>
    </r>
  </si>
  <si>
    <t xml:space="preserve">33299615</t>
  </si>
  <si>
    <t xml:space="preserve">آجرنسوز</t>
  </si>
  <si>
    <t xml:space="preserve">5009631</t>
  </si>
  <si>
    <t xml:space="preserve">آجر نسوز</t>
  </si>
  <si>
    <r>
      <rPr>
        <sz val="10"/>
        <rFont val="Vazirmatn"/>
        <family val="0"/>
        <charset val="1"/>
      </rPr>
      <t xml:space="preserve">3329 (</t>
    </r>
    <r>
      <rPr>
        <sz val="10"/>
        <rFont val="FreeSans"/>
        <family val="2"/>
      </rPr>
      <t xml:space="preserve">قیر، آجرنسوز</t>
    </r>
    <r>
      <rPr>
        <sz val="10"/>
        <rFont val="Vazirmatn"/>
        <family val="0"/>
        <charset val="1"/>
      </rPr>
      <t xml:space="preserve">)</t>
    </r>
  </si>
  <si>
    <t xml:space="preserve">عدد ← متر مربع</t>
  </si>
  <si>
    <t xml:space="preserve">33900003</t>
  </si>
  <si>
    <t xml:space="preserve">آجر فشاری</t>
  </si>
  <si>
    <t xml:space="preserve">تن</t>
  </si>
  <si>
    <t xml:space="preserve">تن ← کیلوگرم</t>
  </si>
  <si>
    <t xml:space="preserve">33900127</t>
  </si>
  <si>
    <t xml:space="preserve">هاردنر اپوکسی پلی آمید</t>
  </si>
  <si>
    <t xml:space="preserve">5008127</t>
  </si>
  <si>
    <t xml:space="preserve">لیتر ← کیلوگرم</t>
  </si>
  <si>
    <t xml:space="preserve">33900128</t>
  </si>
  <si>
    <t xml:space="preserve">هاردنر اپوکسی پلی آمین</t>
  </si>
  <si>
    <t xml:space="preserve">5001731</t>
  </si>
  <si>
    <t xml:space="preserve">هاردنراپوکسي پلي آمين</t>
  </si>
  <si>
    <t xml:space="preserve">35186419</t>
  </si>
  <si>
    <t xml:space="preserve">پیچ گوشتی ضربه ای دو سو</t>
  </si>
  <si>
    <t xml:space="preserve">4000247</t>
  </si>
  <si>
    <t xml:space="preserve">پيچ گوشتي ضربه اي دوسو</t>
  </si>
  <si>
    <t xml:space="preserve">35199616</t>
  </si>
  <si>
    <t xml:space="preserve">سماور  برقی</t>
  </si>
  <si>
    <t xml:space="preserve">6000986</t>
  </si>
  <si>
    <t xml:space="preserve">سماور برقي</t>
  </si>
  <si>
    <t xml:space="preserve">35200213</t>
  </si>
  <si>
    <r>
      <rPr>
        <sz val="10"/>
        <rFont val="FreeSans"/>
        <family val="2"/>
      </rPr>
      <t xml:space="preserve">سماور برقی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لیتری</t>
    </r>
  </si>
  <si>
    <t xml:space="preserve">6003097</t>
  </si>
  <si>
    <r>
      <rPr>
        <sz val="10"/>
        <rFont val="Vazirmatn"/>
        <family val="0"/>
        <charset val="1"/>
      </rPr>
      <t xml:space="preserve">3520 (</t>
    </r>
    <r>
      <rPr>
        <sz val="10"/>
        <rFont val="FreeSans"/>
        <family val="2"/>
      </rPr>
      <t xml:space="preserve">سیستم، هارد</t>
    </r>
    <r>
      <rPr>
        <sz val="10"/>
        <rFont val="Vazirmatn"/>
        <family val="0"/>
        <charset val="1"/>
      </rPr>
      <t xml:space="preserve">)</t>
    </r>
  </si>
  <si>
    <t xml:space="preserve">35220074</t>
  </si>
  <si>
    <r>
      <rPr>
        <sz val="10"/>
        <rFont val="FreeSans"/>
        <family val="2"/>
      </rPr>
      <t xml:space="preserve">کمد لباس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درب فلزی</t>
    </r>
  </si>
  <si>
    <t xml:space="preserve">6000056</t>
  </si>
  <si>
    <r>
      <rPr>
        <sz val="10"/>
        <rFont val="FreeSans"/>
        <family val="2"/>
      </rPr>
      <t xml:space="preserve">کمد فلزي لباس </t>
    </r>
    <r>
      <rPr>
        <sz val="10"/>
        <rFont val="Vazirmatn"/>
        <family val="0"/>
        <charset val="1"/>
      </rPr>
      <t xml:space="preserve">6</t>
    </r>
    <r>
      <rPr>
        <sz val="10"/>
        <rFont val="FreeSans"/>
        <family val="2"/>
      </rPr>
      <t xml:space="preserve">درب</t>
    </r>
    <r>
      <rPr>
        <sz val="10"/>
        <rFont val="Vazirmatn"/>
        <family val="0"/>
        <charset val="1"/>
      </rPr>
      <t xml:space="preserve">*</t>
    </r>
  </si>
  <si>
    <t xml:space="preserve">35220116</t>
  </si>
  <si>
    <t xml:space="preserve">پرده  زبرا</t>
  </si>
  <si>
    <t xml:space="preserve">77620180</t>
  </si>
  <si>
    <t xml:space="preserve">پوست کن سیب زمینی</t>
  </si>
  <si>
    <t xml:space="preserve">6007008</t>
  </si>
  <si>
    <t xml:space="preserve">77620404</t>
  </si>
  <si>
    <t xml:space="preserve">مایع ظرفشوئی</t>
  </si>
  <si>
    <t xml:space="preserve">قوطی</t>
  </si>
  <si>
    <t xml:space="preserve">قوطی ← لیتر</t>
  </si>
  <si>
    <t xml:space="preserve">77620500</t>
  </si>
  <si>
    <t xml:space="preserve">نمک طعام</t>
  </si>
  <si>
    <t xml:space="preserve">5003672</t>
  </si>
  <si>
    <r>
      <rPr>
        <sz val="10"/>
        <rFont val="FreeSans"/>
        <family val="2"/>
      </rPr>
      <t xml:space="preserve">کیلوگرم ← </t>
    </r>
    <r>
      <rPr>
        <sz val="10"/>
        <rFont val="Vazirmatn"/>
        <family val="0"/>
        <charset val="1"/>
      </rPr>
      <t xml:space="preserve">G</t>
    </r>
  </si>
  <si>
    <t xml:space="preserve">77620504</t>
  </si>
  <si>
    <t xml:space="preserve">زعفران</t>
  </si>
  <si>
    <t xml:space="preserve">5009185</t>
  </si>
  <si>
    <r>
      <rPr>
        <sz val="10"/>
        <rFont val="FreeSans"/>
        <family val="2"/>
      </rPr>
      <t xml:space="preserve">سمپل</t>
    </r>
    <r>
      <rPr>
        <sz val="10"/>
        <rFont val="Vazirmatn"/>
        <family val="0"/>
        <charset val="1"/>
      </rPr>
      <t xml:space="preserve">/</t>
    </r>
    <r>
      <rPr>
        <sz val="10"/>
        <rFont val="FreeSans"/>
        <family val="2"/>
      </rPr>
      <t xml:space="preserve">نمونه</t>
    </r>
  </si>
  <si>
    <t xml:space="preserve">گرم ← بسته</t>
  </si>
  <si>
    <t xml:space="preserve">77620513</t>
  </si>
  <si>
    <t xml:space="preserve">سس مایونز</t>
  </si>
  <si>
    <t xml:space="preserve">5006704</t>
  </si>
  <si>
    <t xml:space="preserve">77620515</t>
  </si>
  <si>
    <t xml:space="preserve">آب لیمو</t>
  </si>
  <si>
    <t xml:space="preserve">5006525</t>
  </si>
  <si>
    <t xml:space="preserve">آبليمو</t>
  </si>
  <si>
    <t xml:space="preserve">لیتر ← عدد</t>
  </si>
  <si>
    <t xml:space="preserve">77620524</t>
  </si>
  <si>
    <t xml:space="preserve">لیمو عمانی</t>
  </si>
  <si>
    <t xml:space="preserve">5008660</t>
  </si>
  <si>
    <t xml:space="preserve">کیلوگرم ← بسته</t>
  </si>
  <si>
    <t xml:space="preserve">77620613</t>
  </si>
  <si>
    <t xml:space="preserve">دوغ</t>
  </si>
  <si>
    <t xml:space="preserve">5006691</t>
  </si>
  <si>
    <t xml:space="preserve">عدد ← بسته</t>
  </si>
  <si>
    <t xml:space="preserve">77620907</t>
  </si>
  <si>
    <t xml:space="preserve">قاشق یکبار مصرف</t>
  </si>
  <si>
    <t xml:space="preserve">5006617</t>
  </si>
  <si>
    <t xml:space="preserve">77620911</t>
  </si>
  <si>
    <t xml:space="preserve">بشقاب میوه خوری</t>
  </si>
  <si>
    <t xml:space="preserve">5007617</t>
  </si>
  <si>
    <t xml:space="preserve">77620919</t>
  </si>
  <si>
    <t xml:space="preserve">قند</t>
  </si>
  <si>
    <t xml:space="preserve">5006538</t>
  </si>
  <si>
    <t xml:space="preserve">77620930</t>
  </si>
  <si>
    <t xml:space="preserve">نمک دان</t>
  </si>
  <si>
    <t xml:space="preserve">5006644</t>
  </si>
  <si>
    <t xml:space="preserve">نمکدان</t>
  </si>
  <si>
    <t xml:space="preserve">77620933</t>
  </si>
  <si>
    <t xml:space="preserve">لیوان  یکبار  مصرف</t>
  </si>
  <si>
    <t xml:space="preserve">5011550</t>
  </si>
  <si>
    <t xml:space="preserve">لیوان یکبار مصرف</t>
  </si>
  <si>
    <t xml:space="preserve">77620934</t>
  </si>
  <si>
    <t xml:space="preserve">دستمال کاغذی رولی بزرگ</t>
  </si>
  <si>
    <t xml:space="preserve">رول</t>
  </si>
  <si>
    <t xml:space="preserve">5006327</t>
  </si>
  <si>
    <t xml:space="preserve">دستمال کاغذي رولي بزرگ</t>
  </si>
  <si>
    <t xml:space="preserve">رول ← بسته</t>
  </si>
  <si>
    <t xml:space="preserve">77620961</t>
  </si>
  <si>
    <t xml:space="preserve">کتری برقی</t>
  </si>
  <si>
    <t xml:space="preserve">6000987</t>
  </si>
  <si>
    <t xml:space="preserve">کتري برقي</t>
  </si>
  <si>
    <t xml:space="preserve">77620973</t>
  </si>
  <si>
    <t xml:space="preserve">دستمال کاغذی رولی کوچک</t>
  </si>
  <si>
    <t xml:space="preserve">5006328</t>
  </si>
  <si>
    <t xml:space="preserve">دستمال کاغذي رولي کوچک</t>
  </si>
  <si>
    <t xml:space="preserve">88500362</t>
  </si>
  <si>
    <t xml:space="preserve">قرص کجلدال</t>
  </si>
  <si>
    <t xml:space="preserve">5006747</t>
  </si>
  <si>
    <r>
      <rPr>
        <sz val="10"/>
        <rFont val="FreeSans"/>
        <family val="2"/>
      </rPr>
      <t xml:space="preserve">بسته ← </t>
    </r>
    <r>
      <rPr>
        <sz val="10"/>
        <rFont val="Vazirmatn"/>
        <family val="0"/>
        <charset val="1"/>
      </rPr>
      <t xml:space="preserve">G</t>
    </r>
  </si>
  <si>
    <t xml:space="preserve">88500420</t>
  </si>
  <si>
    <t xml:space="preserve">اسید بوریک</t>
  </si>
  <si>
    <t xml:space="preserve">5003663</t>
  </si>
  <si>
    <t xml:space="preserve">اسيد بوريک</t>
  </si>
  <si>
    <t xml:space="preserve">88500446</t>
  </si>
  <si>
    <t xml:space="preserve">اکسید منیزیم</t>
  </si>
  <si>
    <t xml:space="preserve">1001621</t>
  </si>
  <si>
    <t xml:space="preserve">منيزيم اکسيد</t>
  </si>
  <si>
    <t xml:space="preserve">گرم ← کیلوگرم</t>
  </si>
  <si>
    <t xml:space="preserve">88500707</t>
  </si>
  <si>
    <t xml:space="preserve">سنگ  جوش</t>
  </si>
  <si>
    <t xml:space="preserve">5011597</t>
  </si>
  <si>
    <t xml:space="preserve">سنگ جوش</t>
  </si>
  <si>
    <t xml:space="preserve">88500708</t>
  </si>
  <si>
    <t xml:space="preserve">سولفوریک اسید</t>
  </si>
  <si>
    <t xml:space="preserve">88500719</t>
  </si>
  <si>
    <t xml:space="preserve">سولفیت سدیم</t>
  </si>
  <si>
    <t xml:space="preserve">5014444</t>
  </si>
  <si>
    <t xml:space="preserve">سدیم سولفیت</t>
  </si>
  <si>
    <t xml:space="preserve">88500723</t>
  </si>
  <si>
    <t xml:space="preserve">مالیک اسید</t>
  </si>
  <si>
    <t xml:space="preserve">5022832</t>
  </si>
  <si>
    <t xml:space="preserve">ML</t>
  </si>
  <si>
    <r>
      <rPr>
        <sz val="10"/>
        <rFont val="FreeSans"/>
        <family val="2"/>
      </rPr>
      <t xml:space="preserve">کیلوگرم ← </t>
    </r>
    <r>
      <rPr>
        <sz val="10"/>
        <rFont val="Vazirmatn"/>
        <family val="0"/>
        <charset val="1"/>
      </rPr>
      <t xml:space="preserve">ML</t>
    </r>
  </si>
  <si>
    <t xml:space="preserve">88500726</t>
  </si>
  <si>
    <t xml:space="preserve">سی سی</t>
  </si>
  <si>
    <t xml:space="preserve">سی سی ← لیتر</t>
  </si>
  <si>
    <t xml:space="preserve">88500753</t>
  </si>
  <si>
    <t xml:space="preserve">میلی لیتر</t>
  </si>
  <si>
    <t xml:space="preserve">میلی لیتر ← لیتر</t>
  </si>
  <si>
    <t xml:space="preserve">88500770</t>
  </si>
  <si>
    <t xml:space="preserve">تری اتیل آمین</t>
  </si>
  <si>
    <t xml:space="preserve">5015030</t>
  </si>
  <si>
    <t xml:space="preserve">88500856</t>
  </si>
  <si>
    <t xml:space="preserve">پارا فیلم</t>
  </si>
  <si>
    <t xml:space="preserve">حلقه</t>
  </si>
  <si>
    <t xml:space="preserve">5010175</t>
  </si>
  <si>
    <t xml:space="preserve">پارافیلم</t>
  </si>
  <si>
    <t xml:space="preserve">حلقه ← بسته</t>
  </si>
  <si>
    <t xml:space="preserve">99610022</t>
  </si>
  <si>
    <t xml:space="preserve">لیوان یکبار مصرف پلاستیکی</t>
  </si>
  <si>
    <t xml:space="preserve">5016516</t>
  </si>
  <si>
    <t xml:space="preserve">99610109</t>
  </si>
  <si>
    <t xml:space="preserve">کفش ورزشی</t>
  </si>
  <si>
    <t xml:space="preserve">5011840</t>
  </si>
  <si>
    <r>
      <rPr>
        <sz val="10"/>
        <rFont val="FreeSans"/>
        <family val="2"/>
      </rPr>
      <t xml:space="preserve">عدد ← </t>
    </r>
    <r>
      <rPr>
        <sz val="10"/>
        <rFont val="Vazirmatn"/>
        <family val="0"/>
        <charset val="1"/>
      </rPr>
      <t xml:space="preserve">PAA</t>
    </r>
  </si>
  <si>
    <t xml:space="preserve">99610115</t>
  </si>
  <si>
    <t xml:space="preserve">کلاه یکبار مصرف</t>
  </si>
  <si>
    <t xml:space="preserve">5024018</t>
  </si>
  <si>
    <t xml:space="preserve">کلاه یکبارمصرف</t>
  </si>
  <si>
    <t xml:space="preserve">99610182</t>
  </si>
  <si>
    <r>
      <rPr>
        <sz val="10"/>
        <rFont val="FreeSans"/>
        <family val="2"/>
      </rPr>
      <t xml:space="preserve">فرم درخواست انجام کار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انجام فعالیت</t>
    </r>
  </si>
  <si>
    <r>
      <rPr>
        <sz val="10"/>
        <rFont val="FreeSans"/>
        <family val="2"/>
      </rPr>
      <t xml:space="preserve">بسته ← </t>
    </r>
    <r>
      <rPr>
        <sz val="10"/>
        <rFont val="Vazirmatn"/>
        <family val="0"/>
        <charset val="1"/>
      </rPr>
      <t xml:space="preserve">SHT</t>
    </r>
  </si>
  <si>
    <t xml:space="preserve">99610201</t>
  </si>
  <si>
    <t xml:space="preserve">کیسه فریزر</t>
  </si>
  <si>
    <t xml:space="preserve">5005021</t>
  </si>
  <si>
    <t xml:space="preserve">بسته ← کیلوگرم</t>
  </si>
  <si>
    <t xml:space="preserve">99610232</t>
  </si>
  <si>
    <t xml:space="preserve">فرم رسید موقت</t>
  </si>
  <si>
    <t xml:space="preserve">5011793</t>
  </si>
  <si>
    <t xml:space="preserve">99610278</t>
  </si>
  <si>
    <t xml:space="preserve">فرم مجوز ایمنی انجام کار</t>
  </si>
  <si>
    <t xml:space="preserve">5011794</t>
  </si>
  <si>
    <t xml:space="preserve">99610612</t>
  </si>
  <si>
    <t xml:space="preserve">تقویم  رومیزی</t>
  </si>
  <si>
    <t xml:space="preserve">5006161</t>
  </si>
  <si>
    <t xml:space="preserve">تقويم روميزي</t>
  </si>
  <si>
    <t xml:space="preserve">JLD</t>
  </si>
  <si>
    <r>
      <rPr>
        <sz val="10"/>
        <rFont val="FreeSans"/>
        <family val="2"/>
      </rPr>
      <t xml:space="preserve">عدد ← </t>
    </r>
    <r>
      <rPr>
        <sz val="10"/>
        <rFont val="Vazirmatn"/>
        <family val="0"/>
        <charset val="1"/>
      </rPr>
      <t xml:space="preserve">JLD</t>
    </r>
  </si>
  <si>
    <t xml:space="preserve">99610669</t>
  </si>
  <si>
    <t xml:space="preserve">سوزن منگنه کوچک</t>
  </si>
  <si>
    <t xml:space="preserve">5006609</t>
  </si>
  <si>
    <t xml:space="preserve">99610695</t>
  </si>
  <si>
    <t xml:space="preserve">تقویم رومیزی</t>
  </si>
  <si>
    <r>
      <rPr>
        <sz val="10"/>
        <rFont val="FreeSans"/>
        <family val="2"/>
      </rPr>
      <t xml:space="preserve">بسته ← </t>
    </r>
    <r>
      <rPr>
        <sz val="10"/>
        <rFont val="Vazirmatn"/>
        <family val="0"/>
        <charset val="1"/>
      </rPr>
      <t xml:space="preserve">JLD</t>
    </r>
  </si>
  <si>
    <t xml:space="preserve">99610719</t>
  </si>
  <si>
    <t xml:space="preserve">قرص دیکلوفناک</t>
  </si>
  <si>
    <t xml:space="preserve">5007192</t>
  </si>
  <si>
    <t xml:space="preserve">قرص ديكلوفناك</t>
  </si>
  <si>
    <r>
      <rPr>
        <sz val="10"/>
        <rFont val="FreeSans"/>
        <family val="2"/>
      </rPr>
      <t xml:space="preserve">بسته ← </t>
    </r>
    <r>
      <rPr>
        <sz val="10"/>
        <rFont val="Vazirmatn"/>
        <family val="0"/>
        <charset val="1"/>
      </rPr>
      <t xml:space="preserve">EA</t>
    </r>
  </si>
  <si>
    <t xml:space="preserve">99610824</t>
  </si>
  <si>
    <t xml:space="preserve">قرص سرماخوردگی</t>
  </si>
  <si>
    <t xml:space="preserve">5010826</t>
  </si>
  <si>
    <t xml:space="preserve">99610825</t>
  </si>
  <si>
    <t xml:space="preserve">قرص استامینوفن</t>
  </si>
  <si>
    <t xml:space="preserve">5007188</t>
  </si>
  <si>
    <t xml:space="preserve">99610856</t>
  </si>
  <si>
    <t xml:space="preserve">کپسول ژلوفن</t>
  </si>
  <si>
    <t xml:space="preserve">ورق</t>
  </si>
  <si>
    <t xml:space="preserve">5007218</t>
  </si>
  <si>
    <r>
      <rPr>
        <sz val="10"/>
        <rFont val="FreeSans"/>
        <family val="2"/>
      </rPr>
      <t xml:space="preserve">ورق ← </t>
    </r>
    <r>
      <rPr>
        <sz val="10"/>
        <rFont val="Vazirmatn"/>
        <family val="0"/>
        <charset val="1"/>
      </rPr>
      <t xml:space="preserve">EA</t>
    </r>
  </si>
  <si>
    <t xml:space="preserve">99610949</t>
  </si>
  <si>
    <t xml:space="preserve">پارچه تنظیف</t>
  </si>
  <si>
    <t xml:space="preserve">5006325</t>
  </si>
  <si>
    <t xml:space="preserve">پارچه تنظيف</t>
  </si>
  <si>
    <t xml:space="preserve">ROL</t>
  </si>
  <si>
    <r>
      <rPr>
        <sz val="10"/>
        <rFont val="FreeSans"/>
        <family val="2"/>
      </rPr>
      <t xml:space="preserve">متر ← </t>
    </r>
    <r>
      <rPr>
        <sz val="10"/>
        <rFont val="Vazirmatn"/>
        <family val="0"/>
        <charset val="1"/>
      </rPr>
      <t xml:space="preserve">ROL</t>
    </r>
  </si>
  <si>
    <t xml:space="preserve">110032</t>
  </si>
  <si>
    <r>
      <rPr>
        <sz val="10"/>
        <rFont val="FreeSans"/>
        <family val="2"/>
      </rPr>
      <t xml:space="preserve">رزین کاتیونی  </t>
    </r>
    <r>
      <rPr>
        <sz val="10"/>
        <rFont val="Vazirmatn"/>
        <family val="0"/>
        <charset val="1"/>
      </rPr>
      <t xml:space="preserve">C 100 E</t>
    </r>
  </si>
  <si>
    <t xml:space="preserve">5015699</t>
  </si>
  <si>
    <r>
      <rPr>
        <sz val="10"/>
        <rFont val="FreeSans"/>
        <family val="2"/>
      </rPr>
      <t xml:space="preserve">رزین پرولایت مدل </t>
    </r>
    <r>
      <rPr>
        <sz val="10"/>
        <rFont val="Vazirmatn"/>
        <family val="0"/>
        <charset val="1"/>
      </rPr>
      <t xml:space="preserve">C100 </t>
    </r>
    <r>
      <rPr>
        <sz val="10"/>
        <rFont val="FreeSans"/>
        <family val="2"/>
      </rPr>
      <t xml:space="preserve">کاتیونی</t>
    </r>
  </si>
  <si>
    <r>
      <rPr>
        <sz val="10"/>
        <rFont val="FreeSans"/>
        <family val="2"/>
      </rPr>
      <t xml:space="preserve">۳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شرح مشابه، واحد متفاوت</t>
    </r>
  </si>
  <si>
    <t xml:space="preserve">120011</t>
  </si>
  <si>
    <t xml:space="preserve">سود کاستیک شکری</t>
  </si>
  <si>
    <t xml:space="preserve">5010431</t>
  </si>
  <si>
    <t xml:space="preserve">سود کاستیک</t>
  </si>
  <si>
    <t xml:space="preserve">BAG</t>
  </si>
  <si>
    <r>
      <rPr>
        <sz val="10"/>
        <rFont val="FreeSans"/>
        <family val="2"/>
      </rPr>
      <t xml:space="preserve">کیلوگرم ← </t>
    </r>
    <r>
      <rPr>
        <sz val="10"/>
        <rFont val="Vazirmatn"/>
        <family val="0"/>
        <charset val="1"/>
      </rPr>
      <t xml:space="preserve">BAG</t>
    </r>
  </si>
  <si>
    <t xml:space="preserve">120014</t>
  </si>
  <si>
    <t xml:space="preserve">سود کاستیک پرک</t>
  </si>
  <si>
    <t xml:space="preserve">16217002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</si>
  <si>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7/5KW  1500RPM</t>
    </r>
  </si>
  <si>
    <t xml:space="preserve">4032075</t>
  </si>
  <si>
    <r>
      <rPr>
        <sz val="10"/>
        <rFont val="FreeSans"/>
        <family val="2"/>
      </rPr>
      <t xml:space="preserve">الکتروموتور </t>
    </r>
    <r>
      <rPr>
        <sz val="10"/>
        <rFont val="Vazirmatn"/>
        <family val="0"/>
        <charset val="1"/>
      </rPr>
      <t xml:space="preserve">75KW - 1500rpm</t>
    </r>
  </si>
  <si>
    <t xml:space="preserve">16217003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</si>
  <si>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18/5KW  1500RPM</t>
    </r>
  </si>
  <si>
    <t xml:space="preserve">6004562</t>
  </si>
  <si>
    <r>
      <rPr>
        <sz val="10"/>
        <rFont val="FreeSans"/>
        <family val="2"/>
      </rPr>
      <t xml:space="preserve">الکتروموتور فلنچی </t>
    </r>
    <r>
      <rPr>
        <sz val="10"/>
        <rFont val="Vazirmatn"/>
        <family val="0"/>
        <charset val="1"/>
      </rPr>
      <t xml:space="preserve">18.5KW 380V 1500RPM</t>
    </r>
  </si>
  <si>
    <t xml:space="preserve">16217007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</si>
  <si>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5/5KW  1000RPM</t>
    </r>
  </si>
  <si>
    <t xml:space="preserve">6004612</t>
  </si>
  <si>
    <r>
      <rPr>
        <sz val="10"/>
        <rFont val="FreeSans"/>
        <family val="2"/>
      </rPr>
      <t xml:space="preserve">الکتروموتور پایه دار </t>
    </r>
    <r>
      <rPr>
        <sz val="10"/>
        <rFont val="Vazirmatn"/>
        <family val="0"/>
        <charset val="1"/>
      </rPr>
      <t xml:space="preserve">5.5KW 380V 1000RPM</t>
    </r>
  </si>
  <si>
    <t xml:space="preserve">16217012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</si>
  <si>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5/5KW  1500RPM</t>
    </r>
  </si>
  <si>
    <t xml:space="preserve">4027731</t>
  </si>
  <si>
    <r>
      <rPr>
        <sz val="10"/>
        <rFont val="FreeSans"/>
        <family val="2"/>
      </rPr>
      <t xml:space="preserve">الکتروموتور فلنچی سه فاز </t>
    </r>
    <r>
      <rPr>
        <sz val="10"/>
        <rFont val="Vazirmatn"/>
        <family val="0"/>
        <charset val="1"/>
      </rPr>
      <t xml:space="preserve">5.5KW - 1500rpm</t>
    </r>
  </si>
  <si>
    <t xml:space="preserve">16217013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</si>
  <si>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7/5KW  3000RPM</t>
    </r>
  </si>
  <si>
    <t xml:space="preserve">6003063</t>
  </si>
  <si>
    <r>
      <rPr>
        <sz val="10"/>
        <rFont val="FreeSans"/>
        <family val="2"/>
      </rPr>
      <t xml:space="preserve">الکتروموتور فلنچی سه فاز </t>
    </r>
    <r>
      <rPr>
        <sz val="10"/>
        <rFont val="Vazirmatn"/>
        <family val="0"/>
        <charset val="1"/>
      </rPr>
      <t xml:space="preserve">7.5KW - 3000rpm</t>
    </r>
  </si>
  <si>
    <t xml:space="preserve">16217014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</si>
  <si>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3KW  1500RPM</t>
    </r>
  </si>
  <si>
    <t xml:space="preserve">4027695</t>
  </si>
  <si>
    <r>
      <rPr>
        <sz val="10"/>
        <rFont val="FreeSans"/>
        <family val="2"/>
      </rPr>
      <t xml:space="preserve">الکتروموتور فلنچی سه فاز </t>
    </r>
    <r>
      <rPr>
        <sz val="10"/>
        <rFont val="Vazirmatn"/>
        <family val="0"/>
        <charset val="1"/>
      </rPr>
      <t xml:space="preserve">3KW - 1500rpm.</t>
    </r>
  </si>
  <si>
    <t xml:space="preserve">16217015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</si>
  <si>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5/5KW  3000RPM</t>
    </r>
  </si>
  <si>
    <t xml:space="preserve">6004570</t>
  </si>
  <si>
    <r>
      <rPr>
        <sz val="10"/>
        <rFont val="FreeSans"/>
        <family val="2"/>
      </rPr>
      <t xml:space="preserve">الکتروموتور فلنچی </t>
    </r>
    <r>
      <rPr>
        <sz val="10"/>
        <rFont val="Vazirmatn"/>
        <family val="0"/>
        <charset val="1"/>
      </rPr>
      <t xml:space="preserve">5.5KW 380V 3000RPM</t>
    </r>
  </si>
  <si>
    <t xml:space="preserve">16217016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</si>
  <si>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4KW  1500RPM</t>
    </r>
  </si>
  <si>
    <t xml:space="preserve">4027712</t>
  </si>
  <si>
    <r>
      <rPr>
        <sz val="10"/>
        <rFont val="FreeSans"/>
        <family val="2"/>
      </rPr>
      <t xml:space="preserve">الکتروموتور فلنچی سه فاز </t>
    </r>
    <r>
      <rPr>
        <sz val="10"/>
        <rFont val="Vazirmatn"/>
        <family val="0"/>
        <charset val="1"/>
      </rPr>
      <t xml:space="preserve">4KW - 1500rpm</t>
    </r>
  </si>
  <si>
    <t xml:space="preserve">16217020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</si>
  <si>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4KW  3000RPM</t>
    </r>
  </si>
  <si>
    <t xml:space="preserve">6004545</t>
  </si>
  <si>
    <r>
      <rPr>
        <sz val="10"/>
        <rFont val="FreeSans"/>
        <family val="2"/>
      </rPr>
      <t xml:space="preserve">الکتروموتور فلنچی </t>
    </r>
    <r>
      <rPr>
        <sz val="10"/>
        <rFont val="Vazirmatn"/>
        <family val="0"/>
        <charset val="1"/>
      </rPr>
      <t xml:space="preserve">4KW 380V 3000RPM</t>
    </r>
  </si>
  <si>
    <t xml:space="preserve">16217024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</si>
  <si>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1/1KW  1500RPM</t>
    </r>
  </si>
  <si>
    <t xml:space="preserve">16217029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</si>
  <si>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0/55KW  1500RPM</t>
    </r>
  </si>
  <si>
    <t xml:space="preserve">4014983</t>
  </si>
  <si>
    <r>
      <rPr>
        <sz val="10"/>
        <rFont val="FreeSans"/>
        <family val="2"/>
      </rPr>
      <t xml:space="preserve">الکتروموتور پايه دار</t>
    </r>
    <r>
      <rPr>
        <sz val="10"/>
        <rFont val="Vazirmatn"/>
        <family val="0"/>
        <charset val="1"/>
      </rPr>
      <t xml:space="preserve">0.55kw380V 1500rpm</t>
    </r>
  </si>
  <si>
    <t xml:space="preserve">16217030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</si>
  <si>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3KW  3000RPM</t>
    </r>
  </si>
  <si>
    <t xml:space="preserve">6004608</t>
  </si>
  <si>
    <r>
      <rPr>
        <sz val="10"/>
        <rFont val="FreeSans"/>
        <family val="2"/>
      </rPr>
      <t xml:space="preserve">الکتروموتور فلنچی </t>
    </r>
    <r>
      <rPr>
        <sz val="10"/>
        <rFont val="Vazirmatn"/>
        <family val="0"/>
        <charset val="1"/>
      </rPr>
      <t xml:space="preserve">3KW 380V 3000RPM</t>
    </r>
  </si>
  <si>
    <t xml:space="preserve">16217032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</si>
  <si>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0/75KW  1500RPM</t>
    </r>
  </si>
  <si>
    <t xml:space="preserve">6004345</t>
  </si>
  <si>
    <r>
      <rPr>
        <sz val="10"/>
        <rFont val="FreeSans"/>
        <family val="2"/>
      </rPr>
      <t xml:space="preserve">الکتروموتور موتوژن </t>
    </r>
    <r>
      <rPr>
        <sz val="10"/>
        <rFont val="Vazirmatn"/>
        <family val="0"/>
        <charset val="1"/>
      </rPr>
      <t xml:space="preserve">0.75KW 1500RPM</t>
    </r>
  </si>
  <si>
    <t xml:space="preserve">16217034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</si>
  <si>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0/37KW  1500RPM</t>
    </r>
  </si>
  <si>
    <t xml:space="preserve">6004564</t>
  </si>
  <si>
    <r>
      <rPr>
        <sz val="10"/>
        <rFont val="FreeSans"/>
        <family val="2"/>
      </rPr>
      <t xml:space="preserve">الکتروموتور فلنچی </t>
    </r>
    <r>
      <rPr>
        <sz val="10"/>
        <rFont val="Vazirmatn"/>
        <family val="0"/>
        <charset val="1"/>
      </rPr>
      <t xml:space="preserve">0.37KW 380V 1500RPM</t>
    </r>
  </si>
  <si>
    <t xml:space="preserve">16217035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</si>
  <si>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0/12KW  1500RPM</t>
    </r>
  </si>
  <si>
    <t xml:space="preserve">4014981</t>
  </si>
  <si>
    <r>
      <rPr>
        <sz val="10"/>
        <rFont val="FreeSans"/>
        <family val="2"/>
      </rPr>
      <t xml:space="preserve">الکتروموتور پايه دار</t>
    </r>
    <r>
      <rPr>
        <sz val="10"/>
        <rFont val="Vazirmatn"/>
        <family val="0"/>
        <charset val="1"/>
      </rPr>
      <t xml:space="preserve">0.12kw380V 1500rpm</t>
    </r>
  </si>
  <si>
    <t xml:space="preserve">16217036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</si>
  <si>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0/37KW  1000RPM</t>
    </r>
  </si>
  <si>
    <t xml:space="preserve">6004565</t>
  </si>
  <si>
    <r>
      <rPr>
        <sz val="10"/>
        <rFont val="FreeSans"/>
        <family val="2"/>
      </rPr>
      <t xml:space="preserve">الکتروموتور فلنچی </t>
    </r>
    <r>
      <rPr>
        <sz val="10"/>
        <rFont val="Vazirmatn"/>
        <family val="0"/>
        <charset val="1"/>
      </rPr>
      <t xml:space="preserve">0.37KW 380V 1000RPM</t>
    </r>
  </si>
  <si>
    <t xml:space="preserve">16217039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</si>
  <si>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2/2KW  1500RPM</t>
    </r>
  </si>
  <si>
    <t xml:space="preserve">6005781</t>
  </si>
  <si>
    <r>
      <rPr>
        <sz val="10"/>
        <rFont val="FreeSans"/>
        <family val="2"/>
      </rPr>
      <t xml:space="preserve">الکتروموتور</t>
    </r>
    <r>
      <rPr>
        <sz val="10"/>
        <rFont val="Vazirmatn"/>
        <family val="0"/>
        <charset val="1"/>
      </rPr>
      <t xml:space="preserve">-220V-1500RPM-.-2.2KW</t>
    </r>
  </si>
  <si>
    <t xml:space="preserve">16217046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</si>
  <si>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45KW  3000RPM</t>
    </r>
  </si>
  <si>
    <t xml:space="preserve">4013907</t>
  </si>
  <si>
    <r>
      <rPr>
        <sz val="10"/>
        <rFont val="FreeSans"/>
        <family val="2"/>
      </rPr>
      <t xml:space="preserve">الکتروموتور پايه دار </t>
    </r>
    <r>
      <rPr>
        <sz val="10"/>
        <rFont val="Vazirmatn"/>
        <family val="0"/>
        <charset val="1"/>
      </rPr>
      <t xml:space="preserve">45kw380V 3000rpm</t>
    </r>
  </si>
  <si>
    <t xml:space="preserve">16217047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</si>
  <si>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37KW  3000RPM</t>
    </r>
  </si>
  <si>
    <t xml:space="preserve">4014140</t>
  </si>
  <si>
    <r>
      <rPr>
        <sz val="10"/>
        <rFont val="FreeSans"/>
        <family val="2"/>
      </rPr>
      <t xml:space="preserve">الکتروموتور پايه دار </t>
    </r>
    <r>
      <rPr>
        <sz val="10"/>
        <rFont val="Vazirmatn"/>
        <family val="0"/>
        <charset val="1"/>
      </rPr>
      <t xml:space="preserve">37kw 380V 3000rpm</t>
    </r>
  </si>
  <si>
    <t xml:space="preserve">16217055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</si>
  <si>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90KW  1500RPM</t>
    </r>
  </si>
  <si>
    <t xml:space="preserve">6004530</t>
  </si>
  <si>
    <r>
      <rPr>
        <sz val="10"/>
        <rFont val="FreeSans"/>
        <family val="2"/>
      </rPr>
      <t xml:space="preserve">الکتروموتور پایه دار </t>
    </r>
    <r>
      <rPr>
        <sz val="10"/>
        <rFont val="Vazirmatn"/>
        <family val="0"/>
        <charset val="1"/>
      </rPr>
      <t xml:space="preserve">90KW 380V 1500RPM</t>
    </r>
  </si>
  <si>
    <t xml:space="preserve">16217057</t>
  </si>
  <si>
    <r>
      <rPr>
        <sz val="10"/>
        <rFont val="FreeSans"/>
        <family val="2"/>
      </rPr>
      <t xml:space="preserve">الکتروموتور ویبره  </t>
    </r>
    <r>
      <rPr>
        <sz val="10"/>
        <rFont val="Vazirmatn"/>
        <family val="0"/>
        <charset val="1"/>
      </rPr>
      <t xml:space="preserve">0/75KW  1500RPM</t>
    </r>
  </si>
  <si>
    <t xml:space="preserve">16217133</t>
  </si>
  <si>
    <t xml:space="preserve">گیربکس</t>
  </si>
  <si>
    <t xml:space="preserve">4025956</t>
  </si>
  <si>
    <t xml:space="preserve">گیربکس پرده</t>
  </si>
  <si>
    <t xml:space="preserve">16217228</t>
  </si>
  <si>
    <t xml:space="preserve">پمپ خلاء دیگ گلوتن</t>
  </si>
  <si>
    <t xml:space="preserve">6002994</t>
  </si>
  <si>
    <t xml:space="preserve">پمپ خلاء</t>
  </si>
  <si>
    <t xml:space="preserve">16217229</t>
  </si>
  <si>
    <t xml:space="preserve">پمپ خلاء درام گلوتن</t>
  </si>
  <si>
    <t xml:space="preserve">16217262</t>
  </si>
  <si>
    <t xml:space="preserve">پمپ خلاء وکیوم پارس</t>
  </si>
  <si>
    <t xml:space="preserve">16217273</t>
  </si>
  <si>
    <t xml:space="preserve">پمپ خلاء ایزومراز</t>
  </si>
  <si>
    <t xml:space="preserve">16228003</t>
  </si>
  <si>
    <t xml:space="preserve">گریتینگ</t>
  </si>
  <si>
    <t xml:space="preserve">5007871</t>
  </si>
  <si>
    <t xml:space="preserve">گریتینگ گالوانیزه</t>
  </si>
  <si>
    <r>
      <rPr>
        <sz val="10"/>
        <rFont val="Vazirmatn"/>
        <family val="0"/>
        <charset val="1"/>
      </rPr>
      <t xml:space="preserve">1622 (</t>
    </r>
    <r>
      <rPr>
        <sz val="10"/>
        <rFont val="FreeSans"/>
        <family val="2"/>
      </rPr>
      <t xml:space="preserve">سیل، توری</t>
    </r>
    <r>
      <rPr>
        <sz val="10"/>
        <rFont val="Vazirmatn"/>
        <family val="0"/>
        <charset val="1"/>
      </rPr>
      <t xml:space="preserve">)</t>
    </r>
  </si>
  <si>
    <t xml:space="preserve">عدد ← کیلوگرم</t>
  </si>
  <si>
    <t xml:space="preserve">16244002</t>
  </si>
  <si>
    <t xml:space="preserve">کوپلینگ</t>
  </si>
  <si>
    <t xml:space="preserve">4025808</t>
  </si>
  <si>
    <t xml:space="preserve">کوپلینگ پلاستیکی</t>
  </si>
  <si>
    <r>
      <rPr>
        <sz val="10"/>
        <rFont val="Vazirmatn"/>
        <family val="0"/>
        <charset val="1"/>
      </rPr>
      <t xml:space="preserve">1624 (</t>
    </r>
    <r>
      <rPr>
        <sz val="10"/>
        <rFont val="FreeSans"/>
        <family val="2"/>
      </rPr>
      <t xml:space="preserve">چرخ، کوپلینگ</t>
    </r>
    <r>
      <rPr>
        <sz val="10"/>
        <rFont val="Vazirmatn"/>
        <family val="0"/>
        <charset val="1"/>
      </rPr>
      <t xml:space="preserve">)</t>
    </r>
  </si>
  <si>
    <t xml:space="preserve">16276204</t>
  </si>
  <si>
    <t xml:space="preserve">لوله پلیکا</t>
  </si>
  <si>
    <r>
      <rPr>
        <sz val="10"/>
        <rFont val="Vazirmatn"/>
        <family val="0"/>
        <charset val="1"/>
      </rPr>
      <t xml:space="preserve">1627 (</t>
    </r>
    <r>
      <rPr>
        <sz val="10"/>
        <rFont val="FreeSans"/>
        <family val="2"/>
      </rPr>
      <t xml:space="preserve">شیر، لوله</t>
    </r>
    <r>
      <rPr>
        <sz val="10"/>
        <rFont val="Vazirmatn"/>
        <family val="0"/>
        <charset val="1"/>
      </rPr>
      <t xml:space="preserve">)</t>
    </r>
  </si>
  <si>
    <t xml:space="preserve">16291201</t>
  </si>
  <si>
    <r>
      <rPr>
        <sz val="10"/>
        <rFont val="FreeSans"/>
        <family val="2"/>
      </rPr>
      <t xml:space="preserve">نبشی استیل  </t>
    </r>
    <r>
      <rPr>
        <sz val="10"/>
        <rFont val="Vazirmatn"/>
        <family val="0"/>
        <charset val="1"/>
      </rPr>
      <t xml:space="preserve">100 * 100</t>
    </r>
  </si>
  <si>
    <t xml:space="preserve">5015231</t>
  </si>
  <si>
    <r>
      <rPr>
        <sz val="10"/>
        <rFont val="FreeSans"/>
        <family val="2"/>
      </rPr>
      <t xml:space="preserve">نبشی </t>
    </r>
    <r>
      <rPr>
        <sz val="10"/>
        <rFont val="Vazirmatn"/>
        <family val="0"/>
        <charset val="1"/>
      </rPr>
      <t xml:space="preserve">S.S 100*100*10 mm</t>
    </r>
  </si>
  <si>
    <t xml:space="preserve">16291401</t>
  </si>
  <si>
    <r>
      <rPr>
        <sz val="10"/>
        <rFont val="FreeSans"/>
        <family val="2"/>
      </rPr>
      <t xml:space="preserve">ناودانی آهنی  </t>
    </r>
    <r>
      <rPr>
        <sz val="10"/>
        <rFont val="Vazirmatn"/>
        <family val="0"/>
        <charset val="1"/>
      </rPr>
      <t xml:space="preserve">12</t>
    </r>
  </si>
  <si>
    <t xml:space="preserve">5000065</t>
  </si>
  <si>
    <r>
      <rPr>
        <sz val="10"/>
        <rFont val="FreeSans"/>
        <family val="2"/>
      </rPr>
      <t xml:space="preserve">ناوداني آهني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متري سايز </t>
    </r>
    <r>
      <rPr>
        <sz val="10"/>
        <rFont val="Vazirmatn"/>
        <family val="0"/>
        <charset val="1"/>
      </rPr>
      <t xml:space="preserve">12</t>
    </r>
  </si>
  <si>
    <t xml:space="preserve">SHK</t>
  </si>
  <si>
    <r>
      <rPr>
        <sz val="10"/>
        <rFont val="FreeSans"/>
        <family val="2"/>
      </rPr>
      <t xml:space="preserve">متر ← </t>
    </r>
    <r>
      <rPr>
        <sz val="10"/>
        <rFont val="Vazirmatn"/>
        <family val="0"/>
        <charset val="1"/>
      </rPr>
      <t xml:space="preserve">SHK</t>
    </r>
  </si>
  <si>
    <t xml:space="preserve">16291402</t>
  </si>
  <si>
    <r>
      <rPr>
        <sz val="10"/>
        <rFont val="FreeSans"/>
        <family val="2"/>
      </rPr>
      <t xml:space="preserve">ناودانی آهنی  </t>
    </r>
    <r>
      <rPr>
        <sz val="10"/>
        <rFont val="Vazirmatn"/>
        <family val="0"/>
        <charset val="1"/>
      </rPr>
      <t xml:space="preserve">16</t>
    </r>
  </si>
  <si>
    <t xml:space="preserve">5000066</t>
  </si>
  <si>
    <r>
      <rPr>
        <sz val="10"/>
        <rFont val="FreeSans"/>
        <family val="2"/>
      </rPr>
      <t xml:space="preserve">ناوداني آهني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متري سايز </t>
    </r>
    <r>
      <rPr>
        <sz val="10"/>
        <rFont val="Vazirmatn"/>
        <family val="0"/>
        <charset val="1"/>
      </rPr>
      <t xml:space="preserve">16</t>
    </r>
  </si>
  <si>
    <t xml:space="preserve">16291403</t>
  </si>
  <si>
    <r>
      <rPr>
        <sz val="10"/>
        <rFont val="FreeSans"/>
        <family val="2"/>
      </rPr>
      <t xml:space="preserve">ناودانی آهنی </t>
    </r>
    <r>
      <rPr>
        <sz val="10"/>
        <rFont val="Vazirmatn"/>
        <family val="0"/>
        <charset val="1"/>
      </rPr>
      <t xml:space="preserve">12</t>
    </r>
  </si>
  <si>
    <r>
      <rPr>
        <sz val="10"/>
        <rFont val="FreeSans"/>
        <family val="2"/>
      </rPr>
      <t xml:space="preserve">عدد ← </t>
    </r>
    <r>
      <rPr>
        <sz val="10"/>
        <rFont val="Vazirmatn"/>
        <family val="0"/>
        <charset val="1"/>
      </rPr>
      <t xml:space="preserve">SHK</t>
    </r>
  </si>
  <si>
    <t xml:space="preserve">16291404</t>
  </si>
  <si>
    <r>
      <rPr>
        <sz val="10"/>
        <rFont val="FreeSans"/>
        <family val="2"/>
      </rPr>
      <t xml:space="preserve">ناودانی آهنی </t>
    </r>
    <r>
      <rPr>
        <sz val="10"/>
        <rFont val="Vazirmatn"/>
        <family val="0"/>
        <charset val="1"/>
      </rPr>
      <t xml:space="preserve">16</t>
    </r>
  </si>
  <si>
    <t xml:space="preserve">16291800</t>
  </si>
  <si>
    <t xml:space="preserve">جک پالت</t>
  </si>
  <si>
    <t xml:space="preserve">6007132</t>
  </si>
  <si>
    <t xml:space="preserve">جک پالت دستی</t>
  </si>
  <si>
    <t xml:space="preserve">16299010</t>
  </si>
  <si>
    <t xml:space="preserve">ماکروفر مستعمل</t>
  </si>
  <si>
    <t xml:space="preserve">6001425</t>
  </si>
  <si>
    <t xml:space="preserve">ماکروفر</t>
  </si>
  <si>
    <t xml:space="preserve">16299031</t>
  </si>
  <si>
    <r>
      <rPr>
        <sz val="10"/>
        <rFont val="FreeSans"/>
        <family val="2"/>
      </rPr>
      <t xml:space="preserve">کولر گازی  </t>
    </r>
    <r>
      <rPr>
        <sz val="10"/>
        <rFont val="Vazirmatn"/>
        <family val="0"/>
        <charset val="1"/>
      </rPr>
      <t xml:space="preserve">24000</t>
    </r>
  </si>
  <si>
    <t xml:space="preserve">5013056</t>
  </si>
  <si>
    <r>
      <rPr>
        <sz val="10"/>
        <rFont val="FreeSans"/>
        <family val="2"/>
      </rPr>
      <t xml:space="preserve">کولر گازی اسپیلت </t>
    </r>
    <r>
      <rPr>
        <sz val="10"/>
        <rFont val="Vazirmatn"/>
        <family val="0"/>
        <charset val="1"/>
      </rPr>
      <t xml:space="preserve">24000BTU/HR</t>
    </r>
  </si>
  <si>
    <t xml:space="preserve">250008</t>
  </si>
  <si>
    <r>
      <rPr>
        <sz val="10"/>
        <rFont val="FreeSans"/>
        <family val="2"/>
      </rPr>
      <t xml:space="preserve">نوار چسب شیشه ای  </t>
    </r>
    <r>
      <rPr>
        <sz val="10"/>
        <rFont val="Vazirmatn"/>
        <family val="0"/>
        <charset val="1"/>
      </rPr>
      <t xml:space="preserve">5CM</t>
    </r>
  </si>
  <si>
    <t xml:space="preserve">5006044</t>
  </si>
  <si>
    <r>
      <rPr>
        <sz val="10"/>
        <rFont val="FreeSans"/>
        <family val="2"/>
      </rPr>
      <t xml:space="preserve">چسب نواري </t>
    </r>
    <r>
      <rPr>
        <sz val="10"/>
        <rFont val="Vazirmatn"/>
        <family val="0"/>
        <charset val="1"/>
      </rPr>
      <t xml:space="preserve">5cm</t>
    </r>
  </si>
  <si>
    <r>
      <rPr>
        <sz val="10"/>
        <rFont val="Vazirmatn"/>
        <family val="0"/>
        <charset val="1"/>
      </rPr>
      <t xml:space="preserve">2500 (</t>
    </r>
    <r>
      <rPr>
        <sz val="10"/>
        <rFont val="FreeSans"/>
        <family val="2"/>
      </rPr>
      <t xml:space="preserve">لیبل، بست</t>
    </r>
    <r>
      <rPr>
        <sz val="10"/>
        <rFont val="Vazirmatn"/>
        <family val="0"/>
        <charset val="1"/>
      </rPr>
      <t xml:space="preserve">)</t>
    </r>
  </si>
  <si>
    <t xml:space="preserve">حلقه ← عدد</t>
  </si>
  <si>
    <t xml:space="preserve">251005</t>
  </si>
  <si>
    <t xml:space="preserve">سلفون شیرینگ</t>
  </si>
  <si>
    <t xml:space="preserve">5011614</t>
  </si>
  <si>
    <t xml:space="preserve">سلفون</t>
  </si>
  <si>
    <r>
      <rPr>
        <sz val="10"/>
        <rFont val="FreeSans"/>
        <family val="2"/>
      </rPr>
      <t xml:space="preserve">کیلوگرم ← </t>
    </r>
    <r>
      <rPr>
        <sz val="10"/>
        <rFont val="Vazirmatn"/>
        <family val="0"/>
        <charset val="1"/>
      </rPr>
      <t xml:space="preserve">ROL</t>
    </r>
  </si>
  <si>
    <t xml:space="preserve">31210502</t>
  </si>
  <si>
    <r>
      <rPr>
        <sz val="10"/>
        <rFont val="FreeSans"/>
        <family val="2"/>
      </rPr>
      <t xml:space="preserve">ماژول  </t>
    </r>
    <r>
      <rPr>
        <sz val="10"/>
        <rFont val="Vazirmatn"/>
        <family val="0"/>
        <charset val="1"/>
      </rPr>
      <t xml:space="preserve">ET200M</t>
    </r>
  </si>
  <si>
    <t xml:space="preserve">4045910</t>
  </si>
  <si>
    <r>
      <rPr>
        <sz val="10"/>
        <rFont val="FreeSans"/>
        <family val="2"/>
      </rPr>
      <t xml:space="preserve">ماژول </t>
    </r>
    <r>
      <rPr>
        <sz val="10"/>
        <rFont val="Vazirmatn"/>
        <family val="0"/>
        <charset val="1"/>
      </rPr>
      <t xml:space="preserve">PLC ET200M</t>
    </r>
  </si>
  <si>
    <t xml:space="preserve">31210510</t>
  </si>
  <si>
    <r>
      <rPr>
        <sz val="10"/>
        <rFont val="FreeSans"/>
        <family val="2"/>
      </rPr>
      <t xml:space="preserve">ماژول ورودی </t>
    </r>
    <r>
      <rPr>
        <sz val="10"/>
        <rFont val="Vazirmatn"/>
        <family val="0"/>
        <charset val="1"/>
      </rPr>
      <t xml:space="preserve">AI   6ES7331-7KF02-0AB0</t>
    </r>
  </si>
  <si>
    <t xml:space="preserve">4014444</t>
  </si>
  <si>
    <r>
      <rPr>
        <sz val="10"/>
        <rFont val="FreeSans"/>
        <family val="2"/>
      </rPr>
      <t xml:space="preserve">ماژول زيمنس </t>
    </r>
    <r>
      <rPr>
        <sz val="10"/>
        <rFont val="Vazirmatn"/>
        <family val="0"/>
        <charset val="1"/>
      </rPr>
      <t xml:space="preserve">6ES7331-7KF02-0AB0</t>
    </r>
  </si>
  <si>
    <t xml:space="preserve">31210609</t>
  </si>
  <si>
    <r>
      <rPr>
        <sz val="10"/>
        <rFont val="FreeSans"/>
        <family val="2"/>
      </rPr>
      <t xml:space="preserve">ماژول سی پی یو  </t>
    </r>
    <r>
      <rPr>
        <sz val="10"/>
        <rFont val="Vazirmatn"/>
        <family val="0"/>
        <charset val="1"/>
      </rPr>
      <t xml:space="preserve">6ES7 214-1BD23-0XB8</t>
    </r>
  </si>
  <si>
    <t xml:space="preserve">4043506</t>
  </si>
  <si>
    <r>
      <rPr>
        <sz val="10"/>
        <rFont val="Vazirmatn"/>
        <family val="0"/>
        <charset val="1"/>
      </rPr>
      <t xml:space="preserve">6ES7 214-1BD23-0XB8 </t>
    </r>
    <r>
      <rPr>
        <sz val="10"/>
        <rFont val="FreeSans"/>
        <family val="2"/>
      </rPr>
      <t xml:space="preserve">ماژول </t>
    </r>
    <r>
      <rPr>
        <sz val="10"/>
        <rFont val="Vazirmatn"/>
        <family val="0"/>
        <charset val="1"/>
      </rPr>
      <t xml:space="preserve">PLC</t>
    </r>
  </si>
  <si>
    <t xml:space="preserve">31210632</t>
  </si>
  <si>
    <r>
      <rPr>
        <sz val="10"/>
        <rFont val="FreeSans"/>
        <family val="2"/>
      </rPr>
      <t xml:space="preserve">منبع تغذیه </t>
    </r>
    <r>
      <rPr>
        <sz val="10"/>
        <rFont val="Vazirmatn"/>
        <family val="0"/>
        <charset val="1"/>
      </rPr>
      <t xml:space="preserve">6EP1 336-3BA00 S7 - 200</t>
    </r>
  </si>
  <si>
    <t xml:space="preserve">4027738</t>
  </si>
  <si>
    <r>
      <rPr>
        <sz val="10"/>
        <rFont val="FreeSans"/>
        <family val="2"/>
      </rPr>
      <t xml:space="preserve">منبع تغذیه </t>
    </r>
    <r>
      <rPr>
        <sz val="10"/>
        <rFont val="Vazirmatn"/>
        <family val="0"/>
        <charset val="1"/>
      </rPr>
      <t xml:space="preserve">1*3 </t>
    </r>
    <r>
      <rPr>
        <sz val="10"/>
        <rFont val="FreeSans"/>
        <family val="2"/>
      </rPr>
      <t xml:space="preserve">وات</t>
    </r>
  </si>
  <si>
    <t xml:space="preserve">31212901</t>
  </si>
  <si>
    <r>
      <rPr>
        <sz val="10"/>
        <rFont val="FreeSans"/>
        <family val="2"/>
      </rPr>
      <t xml:space="preserve">زنگ اخبار        </t>
    </r>
    <r>
      <rPr>
        <sz val="10"/>
        <rFont val="Vazirmatn"/>
        <family val="0"/>
        <charset val="1"/>
      </rPr>
      <t xml:space="preserve">220V</t>
    </r>
  </si>
  <si>
    <t xml:space="preserve">4027780</t>
  </si>
  <si>
    <t xml:space="preserve">زنگ اخبار</t>
  </si>
  <si>
    <t xml:space="preserve">31212902</t>
  </si>
  <si>
    <r>
      <rPr>
        <sz val="10"/>
        <rFont val="FreeSans"/>
        <family val="2"/>
      </rPr>
      <t xml:space="preserve">آژیرخطر موتوری </t>
    </r>
    <r>
      <rPr>
        <sz val="10"/>
        <rFont val="Vazirmatn"/>
        <family val="0"/>
        <charset val="1"/>
      </rPr>
      <t xml:space="preserve">AC  220v</t>
    </r>
  </si>
  <si>
    <t xml:space="preserve">4013452</t>
  </si>
  <si>
    <r>
      <rPr>
        <sz val="10"/>
        <rFont val="FreeSans"/>
        <family val="2"/>
      </rPr>
      <t xml:space="preserve">آژير </t>
    </r>
    <r>
      <rPr>
        <sz val="10"/>
        <rFont val="Vazirmatn"/>
        <family val="0"/>
        <charset val="1"/>
      </rPr>
      <t xml:space="preserve">220V </t>
    </r>
    <r>
      <rPr>
        <sz val="10"/>
        <rFont val="FreeSans"/>
        <family val="2"/>
      </rPr>
      <t xml:space="preserve">موتوري</t>
    </r>
  </si>
  <si>
    <t xml:space="preserve">31212926</t>
  </si>
  <si>
    <r>
      <rPr>
        <sz val="10"/>
        <rFont val="FreeSans"/>
        <family val="2"/>
      </rPr>
      <t xml:space="preserve">سوئیچ </t>
    </r>
    <r>
      <rPr>
        <sz val="10"/>
        <rFont val="Vazirmatn"/>
        <family val="0"/>
        <charset val="1"/>
      </rPr>
      <t xml:space="preserve">24 </t>
    </r>
    <r>
      <rPr>
        <sz val="10"/>
        <rFont val="FreeSans"/>
        <family val="2"/>
      </rPr>
      <t xml:space="preserve">پورت </t>
    </r>
    <r>
      <rPr>
        <sz val="10"/>
        <rFont val="Vazirmatn"/>
        <family val="0"/>
        <charset val="1"/>
      </rPr>
      <t xml:space="preserve">POE </t>
    </r>
    <r>
      <rPr>
        <sz val="10"/>
        <rFont val="FreeSans"/>
        <family val="2"/>
      </rPr>
      <t xml:space="preserve">سیسکو  </t>
    </r>
    <r>
      <rPr>
        <sz val="10"/>
        <rFont val="Vazirmatn"/>
        <family val="0"/>
        <charset val="1"/>
      </rPr>
      <t xml:space="preserve">C 2960 - 24 PS - L</t>
    </r>
  </si>
  <si>
    <t xml:space="preserve">5010479</t>
  </si>
  <si>
    <r>
      <rPr>
        <sz val="10"/>
        <rFont val="FreeSans"/>
        <family val="2"/>
      </rPr>
      <t xml:space="preserve">سویچ سیسکو</t>
    </r>
    <r>
      <rPr>
        <sz val="10"/>
        <rFont val="Vazirmatn"/>
        <family val="0"/>
        <charset val="1"/>
      </rPr>
      <t xml:space="preserve">2960x 24</t>
    </r>
    <r>
      <rPr>
        <sz val="10"/>
        <rFont val="FreeSans"/>
        <family val="2"/>
      </rPr>
      <t xml:space="preserve">پورت</t>
    </r>
  </si>
  <si>
    <t xml:space="preserve">31212927</t>
  </si>
  <si>
    <r>
      <rPr>
        <sz val="10"/>
        <rFont val="FreeSans"/>
        <family val="2"/>
      </rPr>
      <t xml:space="preserve">سوئیچ </t>
    </r>
    <r>
      <rPr>
        <sz val="10"/>
        <rFont val="Vazirmatn"/>
        <family val="0"/>
        <charset val="1"/>
      </rPr>
      <t xml:space="preserve">24 </t>
    </r>
    <r>
      <rPr>
        <sz val="10"/>
        <rFont val="FreeSans"/>
        <family val="2"/>
      </rPr>
      <t xml:space="preserve">پورت سیسکو  </t>
    </r>
    <r>
      <rPr>
        <sz val="10"/>
        <rFont val="Vazirmatn"/>
        <family val="0"/>
        <charset val="1"/>
      </rPr>
      <t xml:space="preserve">C 2960 X - 24 TS - L</t>
    </r>
  </si>
  <si>
    <t xml:space="preserve">31212942</t>
  </si>
  <si>
    <r>
      <rPr>
        <sz val="10"/>
        <rFont val="FreeSans"/>
        <family val="2"/>
      </rPr>
      <t xml:space="preserve">سوئیچ </t>
    </r>
    <r>
      <rPr>
        <sz val="10"/>
        <rFont val="Vazirmatn"/>
        <family val="0"/>
        <charset val="1"/>
      </rPr>
      <t xml:space="preserve">24 </t>
    </r>
    <r>
      <rPr>
        <sz val="10"/>
        <rFont val="FreeSans"/>
        <family val="2"/>
      </rPr>
      <t xml:space="preserve">پورت سیسکو  </t>
    </r>
    <r>
      <rPr>
        <sz val="10"/>
        <rFont val="Vazirmatn"/>
        <family val="0"/>
        <charset val="1"/>
      </rPr>
      <t xml:space="preserve">WS - C 2960 X - 24 TS-L</t>
    </r>
  </si>
  <si>
    <t xml:space="preserve">31213493</t>
  </si>
  <si>
    <r>
      <rPr>
        <sz val="10"/>
        <rFont val="FreeSans"/>
        <family val="2"/>
      </rPr>
      <t xml:space="preserve">سافت استارتر  </t>
    </r>
    <r>
      <rPr>
        <sz val="10"/>
        <rFont val="Vazirmatn"/>
        <family val="0"/>
        <charset val="1"/>
      </rPr>
      <t xml:space="preserve">PSTX105-600-70  ABB 55KW</t>
    </r>
  </si>
  <si>
    <t xml:space="preserve">4035347</t>
  </si>
  <si>
    <r>
      <rPr>
        <sz val="10"/>
        <rFont val="FreeSans"/>
        <family val="2"/>
      </rPr>
      <t xml:space="preserve">سافت استارتر </t>
    </r>
    <r>
      <rPr>
        <sz val="10"/>
        <rFont val="Vazirmatn"/>
        <family val="0"/>
        <charset val="1"/>
      </rPr>
      <t xml:space="preserve">PSTX105 55KW ABB</t>
    </r>
  </si>
  <si>
    <t xml:space="preserve">31214888</t>
  </si>
  <si>
    <r>
      <rPr>
        <sz val="10"/>
        <rFont val="FreeSans"/>
        <family val="2"/>
      </rPr>
      <t xml:space="preserve">کابل ترنسمیتر  </t>
    </r>
    <r>
      <rPr>
        <sz val="10"/>
        <rFont val="Vazirmatn"/>
        <family val="0"/>
        <charset val="1"/>
      </rPr>
      <t xml:space="preserve">cyk10-a101    PH</t>
    </r>
  </si>
  <si>
    <t xml:space="preserve">4027577</t>
  </si>
  <si>
    <r>
      <rPr>
        <sz val="10"/>
        <rFont val="FreeSans"/>
        <family val="2"/>
      </rPr>
      <t xml:space="preserve">کابل سنسور </t>
    </r>
    <r>
      <rPr>
        <sz val="10"/>
        <rFont val="Vazirmatn"/>
        <family val="0"/>
        <charset val="1"/>
      </rPr>
      <t xml:space="preserve">CYK10-A101</t>
    </r>
  </si>
  <si>
    <t xml:space="preserve">31215331</t>
  </si>
  <si>
    <r>
      <rPr>
        <sz val="10"/>
        <rFont val="FreeSans"/>
        <family val="2"/>
      </rPr>
      <t xml:space="preserve">سینی برق گالوانیزه        </t>
    </r>
    <r>
      <rPr>
        <sz val="10"/>
        <rFont val="Vazirmatn"/>
        <family val="0"/>
        <charset val="1"/>
      </rPr>
      <t xml:space="preserve">10cm</t>
    </r>
  </si>
  <si>
    <t xml:space="preserve">4003219</t>
  </si>
  <si>
    <r>
      <rPr>
        <sz val="10"/>
        <rFont val="FreeSans"/>
        <family val="2"/>
      </rPr>
      <t xml:space="preserve">سيني کابل گالوانيزه </t>
    </r>
    <r>
      <rPr>
        <sz val="10"/>
        <rFont val="Vazirmatn"/>
        <family val="0"/>
        <charset val="1"/>
      </rPr>
      <t xml:space="preserve">10*20</t>
    </r>
  </si>
  <si>
    <t xml:space="preserve">31215357</t>
  </si>
  <si>
    <r>
      <rPr>
        <sz val="10"/>
        <rFont val="FreeSans"/>
        <family val="2"/>
      </rPr>
      <t xml:space="preserve">داکت تابلویی  </t>
    </r>
    <r>
      <rPr>
        <sz val="10"/>
        <rFont val="Vazirmatn"/>
        <family val="0"/>
        <charset val="1"/>
      </rPr>
      <t xml:space="preserve">40mm*60mm</t>
    </r>
  </si>
  <si>
    <t xml:space="preserve">4008202</t>
  </si>
  <si>
    <r>
      <rPr>
        <sz val="10"/>
        <rFont val="FreeSans"/>
        <family val="2"/>
      </rPr>
      <t xml:space="preserve">داکت پلاستيکي تابلويي </t>
    </r>
    <r>
      <rPr>
        <sz val="10"/>
        <rFont val="Vazirmatn"/>
        <family val="0"/>
        <charset val="1"/>
      </rPr>
      <t xml:space="preserve">60</t>
    </r>
  </si>
  <si>
    <t xml:space="preserve">31215358</t>
  </si>
  <si>
    <r>
      <rPr>
        <sz val="10"/>
        <rFont val="FreeSans"/>
        <family val="2"/>
      </rPr>
      <t xml:space="preserve">داکت تابلویی  </t>
    </r>
    <r>
      <rPr>
        <sz val="10"/>
        <rFont val="Vazirmatn"/>
        <family val="0"/>
        <charset val="1"/>
      </rPr>
      <t xml:space="preserve">60mm*60mm</t>
    </r>
  </si>
  <si>
    <t xml:space="preserve">31216601</t>
  </si>
  <si>
    <r>
      <rPr>
        <sz val="10"/>
        <rFont val="FreeSans"/>
        <family val="2"/>
      </rPr>
      <t xml:space="preserve">هارد اینترنال وسترن دیجیتال بنفش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ترابایت </t>
    </r>
    <r>
      <rPr>
        <sz val="10"/>
        <rFont val="Vazirmatn"/>
        <family val="0"/>
        <charset val="1"/>
      </rPr>
      <t xml:space="preserve">Purple WD42 PURZ</t>
    </r>
  </si>
  <si>
    <t xml:space="preserve">6004873</t>
  </si>
  <si>
    <r>
      <rPr>
        <sz val="10"/>
        <rFont val="FreeSans"/>
        <family val="2"/>
      </rPr>
      <t xml:space="preserve">هارد وسترن دیجیتال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ترابایت بنفش</t>
    </r>
  </si>
  <si>
    <t xml:space="preserve">31217011</t>
  </si>
  <si>
    <r>
      <rPr>
        <sz val="10"/>
        <rFont val="FreeSans"/>
        <family val="2"/>
      </rPr>
      <t xml:space="preserve">فن هواکش </t>
    </r>
    <r>
      <rPr>
        <sz val="10"/>
        <rFont val="Vazirmatn"/>
        <family val="0"/>
        <charset val="1"/>
      </rPr>
      <t xml:space="preserve">40 * 40</t>
    </r>
  </si>
  <si>
    <t xml:space="preserve">4027945</t>
  </si>
  <si>
    <r>
      <rPr>
        <sz val="10"/>
        <rFont val="FreeSans"/>
        <family val="2"/>
      </rPr>
      <t xml:space="preserve">فن هواکش تکفاز </t>
    </r>
    <r>
      <rPr>
        <sz val="10"/>
        <rFont val="Vazirmatn"/>
        <family val="0"/>
        <charset val="1"/>
      </rPr>
      <t xml:space="preserve">40*40</t>
    </r>
  </si>
  <si>
    <t xml:space="preserve">31217110</t>
  </si>
  <si>
    <r>
      <rPr>
        <sz val="10"/>
        <rFont val="FreeSans"/>
        <family val="2"/>
      </rPr>
      <t xml:space="preserve">الکتروموتور            </t>
    </r>
    <r>
      <rPr>
        <sz val="10"/>
        <rFont val="Vazirmatn"/>
        <family val="0"/>
        <charset val="1"/>
      </rPr>
      <t xml:space="preserve">3KW   1400RPM</t>
    </r>
  </si>
  <si>
    <t xml:space="preserve">5012928</t>
  </si>
  <si>
    <r>
      <rPr>
        <sz val="10"/>
        <rFont val="FreeSans"/>
        <family val="2"/>
      </rPr>
      <t xml:space="preserve">الکتروموتور فلنچی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فاز </t>
    </r>
    <r>
      <rPr>
        <sz val="10"/>
        <rFont val="Vazirmatn"/>
        <family val="0"/>
        <charset val="1"/>
      </rPr>
      <t xml:space="preserve">0.75KW - 1400rpm</t>
    </r>
  </si>
  <si>
    <t xml:space="preserve">31217136</t>
  </si>
  <si>
    <r>
      <rPr>
        <sz val="10"/>
        <rFont val="FreeSans"/>
        <family val="2"/>
      </rPr>
      <t xml:space="preserve">الکتروموتور    </t>
    </r>
    <r>
      <rPr>
        <sz val="10"/>
        <rFont val="Vazirmatn"/>
        <family val="0"/>
        <charset val="1"/>
      </rPr>
      <t xml:space="preserve">22KW  1500RPM</t>
    </r>
  </si>
  <si>
    <t xml:space="preserve">5012429</t>
  </si>
  <si>
    <r>
      <rPr>
        <sz val="10"/>
        <rFont val="FreeSans"/>
        <family val="2"/>
      </rPr>
      <t xml:space="preserve">الکتروموتور پایه دار </t>
    </r>
    <r>
      <rPr>
        <sz val="10"/>
        <rFont val="Vazirmatn"/>
        <family val="0"/>
        <charset val="1"/>
      </rPr>
      <t xml:space="preserve">22KW - 1500rpm</t>
    </r>
  </si>
  <si>
    <t xml:space="preserve">31217209</t>
  </si>
  <si>
    <r>
      <rPr>
        <sz val="10"/>
        <rFont val="FreeSans"/>
        <family val="2"/>
      </rPr>
      <t xml:space="preserve">الکتروموتور چدنی پایه دار بدون فلنج  </t>
    </r>
    <r>
      <rPr>
        <sz val="10"/>
        <rFont val="Vazirmatn"/>
        <family val="0"/>
        <charset val="1"/>
      </rPr>
      <t xml:space="preserve">4KW   1500RPM</t>
    </r>
  </si>
  <si>
    <t xml:space="preserve">5012430</t>
  </si>
  <si>
    <r>
      <rPr>
        <sz val="10"/>
        <rFont val="FreeSans"/>
        <family val="2"/>
      </rPr>
      <t xml:space="preserve">الکتروموتور پایه دار فلنچی </t>
    </r>
    <r>
      <rPr>
        <sz val="10"/>
        <rFont val="Vazirmatn"/>
        <family val="0"/>
        <charset val="1"/>
      </rPr>
      <t xml:space="preserve">4KW - 1500rpm</t>
    </r>
  </si>
  <si>
    <t xml:space="preserve">31217248</t>
  </si>
  <si>
    <r>
      <rPr>
        <sz val="10"/>
        <rFont val="FreeSans"/>
        <family val="2"/>
      </rPr>
      <t xml:space="preserve">الکتروموتور فلنجدار </t>
    </r>
    <r>
      <rPr>
        <sz val="10"/>
        <rFont val="Vazirmatn"/>
        <family val="0"/>
        <charset val="1"/>
      </rPr>
      <t xml:space="preserve">4KW 1500RPM</t>
    </r>
  </si>
  <si>
    <t xml:space="preserve">31217317</t>
  </si>
  <si>
    <t xml:space="preserve">پمپ آب  کولر</t>
  </si>
  <si>
    <t xml:space="preserve">4008497</t>
  </si>
  <si>
    <t xml:space="preserve">پمپ آب کولر آبي</t>
  </si>
  <si>
    <t xml:space="preserve">31217550</t>
  </si>
  <si>
    <r>
      <rPr>
        <sz val="10"/>
        <rFont val="FreeSans"/>
        <family val="2"/>
      </rPr>
      <t xml:space="preserve">الکتروموتور چدنی فلنج دار  </t>
    </r>
    <r>
      <rPr>
        <sz val="10"/>
        <rFont val="Vazirmatn"/>
        <family val="0"/>
        <charset val="1"/>
      </rPr>
      <t xml:space="preserve">2/2KW   1500RPM</t>
    </r>
  </si>
  <si>
    <t xml:space="preserve">5012426</t>
  </si>
  <si>
    <r>
      <rPr>
        <sz val="10"/>
        <rFont val="FreeSans"/>
        <family val="2"/>
      </rPr>
      <t xml:space="preserve">الکتروموتور فلنچ 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فاز </t>
    </r>
    <r>
      <rPr>
        <sz val="10"/>
        <rFont val="Vazirmatn"/>
        <family val="0"/>
        <charset val="1"/>
      </rPr>
      <t xml:space="preserve">2.2KW - 1500rpm</t>
    </r>
  </si>
  <si>
    <t xml:space="preserve">31217588</t>
  </si>
  <si>
    <r>
      <rPr>
        <sz val="10"/>
        <rFont val="FreeSans"/>
        <family val="2"/>
      </rPr>
      <t xml:space="preserve">الکتروموتور آلومینیومی فلنج دار   </t>
    </r>
    <r>
      <rPr>
        <sz val="10"/>
        <rFont val="Vazirmatn"/>
        <family val="0"/>
        <charset val="1"/>
      </rPr>
      <t xml:space="preserve">2/2KW  1500RPM</t>
    </r>
  </si>
  <si>
    <t xml:space="preserve">31218136</t>
  </si>
  <si>
    <t xml:space="preserve">نوار آبندی تفلونی</t>
  </si>
  <si>
    <t xml:space="preserve">5004736</t>
  </si>
  <si>
    <t xml:space="preserve">نوار تفلون</t>
  </si>
  <si>
    <t xml:space="preserve">31218137</t>
  </si>
  <si>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طرفه </t>
    </r>
    <r>
      <rPr>
        <sz val="10"/>
        <rFont val="Vazirmatn"/>
        <family val="0"/>
        <charset val="1"/>
      </rPr>
      <t xml:space="preserve">5cm</t>
    </r>
  </si>
  <si>
    <r>
      <rPr>
        <sz val="10"/>
        <rFont val="FreeSans"/>
        <family val="2"/>
      </rPr>
      <t xml:space="preserve">رول ← </t>
    </r>
    <r>
      <rPr>
        <sz val="10"/>
        <rFont val="Vazirmatn"/>
        <family val="0"/>
        <charset val="1"/>
      </rPr>
      <t xml:space="preserve">HLG</t>
    </r>
  </si>
  <si>
    <t xml:space="preserve">31218138</t>
  </si>
  <si>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طرفه </t>
    </r>
    <r>
      <rPr>
        <sz val="10"/>
        <rFont val="Vazirmatn"/>
        <family val="0"/>
        <charset val="1"/>
      </rPr>
      <t xml:space="preserve">3cm</t>
    </r>
  </si>
  <si>
    <t xml:space="preserve">31218160</t>
  </si>
  <si>
    <t xml:space="preserve">نوار لاستیکی</t>
  </si>
  <si>
    <t xml:space="preserve">4030300</t>
  </si>
  <si>
    <t xml:space="preserve">نوار لاستیکی درب تابلو</t>
  </si>
  <si>
    <t xml:space="preserve">31218205</t>
  </si>
  <si>
    <t xml:space="preserve">نخ  نسوز</t>
  </si>
  <si>
    <t xml:space="preserve">4025100</t>
  </si>
  <si>
    <r>
      <rPr>
        <sz val="10"/>
        <rFont val="FreeSans"/>
        <family val="2"/>
      </rPr>
      <t xml:space="preserve">نخ نسوز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میلیمتر</t>
    </r>
  </si>
  <si>
    <t xml:space="preserve">گرم ← متر</t>
  </si>
  <si>
    <t xml:space="preserve">31218914</t>
  </si>
  <si>
    <r>
      <rPr>
        <sz val="10"/>
        <rFont val="FreeSans"/>
        <family val="2"/>
      </rPr>
      <t xml:space="preserve">چراغ قوه پزشکی ریشتر </t>
    </r>
    <r>
      <rPr>
        <sz val="10"/>
        <rFont val="Vazirmatn"/>
        <family val="0"/>
        <charset val="1"/>
      </rPr>
      <t xml:space="preserve">( Richter )</t>
    </r>
  </si>
  <si>
    <t xml:space="preserve">5023130</t>
  </si>
  <si>
    <t xml:space="preserve">چراغ قوه پزشکی</t>
  </si>
  <si>
    <t xml:space="preserve">31219164</t>
  </si>
  <si>
    <r>
      <rPr>
        <sz val="10"/>
        <rFont val="FreeSans"/>
        <family val="2"/>
      </rPr>
      <t xml:space="preserve">گیج </t>
    </r>
    <r>
      <rPr>
        <sz val="10"/>
        <rFont val="Vazirmatn"/>
        <family val="0"/>
        <charset val="1"/>
      </rPr>
      <t xml:space="preserve">_0__16bar</t>
    </r>
  </si>
  <si>
    <t xml:space="preserve">4020538</t>
  </si>
  <si>
    <r>
      <rPr>
        <sz val="10"/>
        <rFont val="FreeSans"/>
        <family val="2"/>
      </rPr>
      <t xml:space="preserve">گیج فشار </t>
    </r>
    <r>
      <rPr>
        <sz val="10"/>
        <rFont val="Vazirmatn"/>
        <family val="0"/>
        <charset val="1"/>
      </rPr>
      <t xml:space="preserve">15mm 0-16 bar</t>
    </r>
  </si>
  <si>
    <t xml:space="preserve">31219519</t>
  </si>
  <si>
    <r>
      <rPr>
        <sz val="10"/>
        <rFont val="FreeSans"/>
        <family val="2"/>
      </rPr>
      <t xml:space="preserve">کنداکتیویته متر </t>
    </r>
    <r>
      <rPr>
        <sz val="10"/>
        <rFont val="Vazirmatn"/>
        <family val="0"/>
        <charset val="1"/>
      </rPr>
      <t xml:space="preserve">(CT)</t>
    </r>
  </si>
  <si>
    <t xml:space="preserve">5010969</t>
  </si>
  <si>
    <t xml:space="preserve">کنداکتیویتی متر</t>
  </si>
  <si>
    <t xml:space="preserve">31219662</t>
  </si>
  <si>
    <r>
      <rPr>
        <sz val="10"/>
        <rFont val="FreeSans"/>
        <family val="2"/>
      </rPr>
      <t xml:space="preserve">رگولاتور بانک خازنی فراکو </t>
    </r>
    <r>
      <rPr>
        <sz val="10"/>
        <rFont val="Vazirmatn"/>
        <family val="0"/>
        <charset val="1"/>
      </rPr>
      <t xml:space="preserve">RM 2112</t>
    </r>
  </si>
  <si>
    <t xml:space="preserve">6003118</t>
  </si>
  <si>
    <r>
      <rPr>
        <sz val="10"/>
        <rFont val="FreeSans"/>
        <family val="2"/>
      </rPr>
      <t xml:space="preserve">رگلاتور بانک خازنی</t>
    </r>
    <r>
      <rPr>
        <sz val="10"/>
        <rFont val="Vazirmatn"/>
        <family val="0"/>
        <charset val="1"/>
      </rPr>
      <t xml:space="preserve">FRAKO  RM2112</t>
    </r>
  </si>
  <si>
    <t xml:space="preserve">31219697</t>
  </si>
  <si>
    <r>
      <rPr>
        <sz val="10"/>
        <rFont val="FreeSans"/>
        <family val="2"/>
      </rPr>
      <t xml:space="preserve">کنترلر          </t>
    </r>
    <r>
      <rPr>
        <sz val="10"/>
        <rFont val="Vazirmatn"/>
        <family val="0"/>
        <charset val="1"/>
      </rPr>
      <t xml:space="preserve">SU-105PRR            SAMWON</t>
    </r>
  </si>
  <si>
    <t xml:space="preserve">4057604</t>
  </si>
  <si>
    <r>
      <rPr>
        <sz val="10"/>
        <rFont val="FreeSans"/>
        <family val="2"/>
      </rPr>
      <t xml:space="preserve">کنترلر دما </t>
    </r>
    <r>
      <rPr>
        <sz val="10"/>
        <rFont val="Vazirmatn"/>
        <family val="0"/>
        <charset val="1"/>
      </rPr>
      <t xml:space="preserve">SAMWON ENG SU-105IP</t>
    </r>
  </si>
  <si>
    <t xml:space="preserve">31223250</t>
  </si>
  <si>
    <r>
      <rPr>
        <sz val="10"/>
        <rFont val="FreeSans"/>
        <family val="2"/>
      </rPr>
      <t xml:space="preserve">اورینگ وایتون نمره </t>
    </r>
    <r>
      <rPr>
        <sz val="10"/>
        <rFont val="Vazirmatn"/>
        <family val="0"/>
        <charset val="1"/>
      </rPr>
      <t xml:space="preserve">: 3</t>
    </r>
  </si>
  <si>
    <t xml:space="preserve">4025329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</si>
  <si>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3 * 23</t>
    </r>
  </si>
  <si>
    <t xml:space="preserve">31223252</t>
  </si>
  <si>
    <r>
      <rPr>
        <sz val="10"/>
        <rFont val="FreeSans"/>
        <family val="2"/>
      </rPr>
      <t xml:space="preserve">اورینگ وایتون نمره </t>
    </r>
    <r>
      <rPr>
        <sz val="10"/>
        <rFont val="Vazirmatn"/>
        <family val="0"/>
        <charset val="1"/>
      </rPr>
      <t xml:space="preserve">: 4</t>
    </r>
  </si>
  <si>
    <t xml:space="preserve">4025204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</si>
  <si>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4*200</t>
    </r>
  </si>
  <si>
    <t xml:space="preserve">31223319</t>
  </si>
  <si>
    <r>
      <rPr>
        <sz val="10"/>
        <rFont val="FreeSans"/>
        <family val="2"/>
      </rPr>
      <t xml:space="preserve">اورینگ وایتون نمره </t>
    </r>
    <r>
      <rPr>
        <sz val="10"/>
        <rFont val="Vazirmatn"/>
        <family val="0"/>
        <charset val="1"/>
      </rPr>
      <t xml:space="preserve">: 5</t>
    </r>
  </si>
  <si>
    <t xml:space="preserve">4025126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</si>
  <si>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5*208</t>
    </r>
  </si>
  <si>
    <t xml:space="preserve">31223330</t>
  </si>
  <si>
    <r>
      <rPr>
        <sz val="10"/>
        <rFont val="FreeSans"/>
        <family val="2"/>
      </rPr>
      <t xml:space="preserve">اورینگ متری   </t>
    </r>
    <r>
      <rPr>
        <sz val="10"/>
        <rFont val="Vazirmatn"/>
        <family val="0"/>
        <charset val="1"/>
      </rPr>
      <t xml:space="preserve">3</t>
    </r>
  </si>
  <si>
    <t xml:space="preserve">31223378</t>
  </si>
  <si>
    <r>
      <rPr>
        <sz val="10"/>
        <rFont val="FreeSans"/>
        <family val="2"/>
      </rPr>
      <t xml:space="preserve">اورینگ متری   نمره </t>
    </r>
    <r>
      <rPr>
        <sz val="10"/>
        <rFont val="Vazirmatn"/>
        <family val="0"/>
        <charset val="1"/>
      </rPr>
      <t xml:space="preserve">5</t>
    </r>
  </si>
  <si>
    <t xml:space="preserve">4025122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</si>
  <si>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5*80</t>
    </r>
  </si>
  <si>
    <t xml:space="preserve">31223441</t>
  </si>
  <si>
    <t xml:space="preserve">اورینگ لاستیکی</t>
  </si>
  <si>
    <t xml:space="preserve">5005717</t>
  </si>
  <si>
    <r>
      <rPr>
        <sz val="10"/>
        <rFont val="FreeSans"/>
        <family val="2"/>
      </rPr>
      <t xml:space="preserve">اورينگ  </t>
    </r>
    <r>
      <rPr>
        <sz val="10"/>
        <rFont val="Vazirmatn"/>
        <family val="0"/>
        <charset val="1"/>
      </rPr>
      <t xml:space="preserve">3*16 </t>
    </r>
    <r>
      <rPr>
        <sz val="10"/>
        <rFont val="FreeSans"/>
        <family val="2"/>
      </rPr>
      <t xml:space="preserve">لاستيکي</t>
    </r>
  </si>
  <si>
    <t xml:space="preserve">31223442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</si>
  <si>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Q=11MM</t>
    </r>
  </si>
  <si>
    <t xml:space="preserve">5014845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</si>
  <si>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3*17*11</t>
    </r>
  </si>
  <si>
    <t xml:space="preserve">31223444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</si>
  <si>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Q=12MM</t>
    </r>
  </si>
  <si>
    <t xml:space="preserve">4025189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</si>
  <si>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2*12*8</t>
    </r>
  </si>
  <si>
    <t xml:space="preserve">31223445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</si>
  <si>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Q=4MM</t>
    </r>
  </si>
  <si>
    <t xml:space="preserve">4025117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</si>
  <si>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4*80</t>
    </r>
  </si>
  <si>
    <t xml:space="preserve">31223446</t>
  </si>
  <si>
    <r>
      <rPr>
        <sz val="10"/>
        <rFont val="FreeSans"/>
        <family val="2"/>
      </rPr>
      <t xml:space="preserve">اورینگ                    </t>
    </r>
    <r>
      <rPr>
        <sz val="10"/>
        <rFont val="Vazirmatn"/>
        <family val="0"/>
        <charset val="1"/>
      </rPr>
      <t xml:space="preserve">10</t>
    </r>
  </si>
  <si>
    <t xml:space="preserve">31223448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</si>
  <si>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Q=8MM</t>
    </r>
  </si>
  <si>
    <t xml:space="preserve">5013087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</si>
  <si>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2*8*4</t>
    </r>
  </si>
  <si>
    <t xml:space="preserve">31223449</t>
  </si>
  <si>
    <r>
      <rPr>
        <sz val="10"/>
        <rFont val="FreeSans"/>
        <family val="2"/>
      </rPr>
      <t xml:space="preserve">اورینگ                  </t>
    </r>
    <r>
      <rPr>
        <sz val="10"/>
        <rFont val="Vazirmatn"/>
        <family val="0"/>
        <charset val="1"/>
      </rPr>
      <t xml:space="preserve">9</t>
    </r>
  </si>
  <si>
    <t xml:space="preserve">5013090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</si>
  <si>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2*9*5</t>
    </r>
  </si>
  <si>
    <t xml:space="preserve">31223460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</si>
  <si>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Q=14MM</t>
    </r>
  </si>
  <si>
    <t xml:space="preserve">31225191</t>
  </si>
  <si>
    <r>
      <rPr>
        <sz val="10"/>
        <rFont val="FreeSans"/>
        <family val="2"/>
      </rPr>
      <t xml:space="preserve">فیلتر دستگاه آب مقطر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مرحله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1 )</t>
    </r>
  </si>
  <si>
    <t xml:space="preserve">سری</t>
  </si>
  <si>
    <t xml:space="preserve">5022489</t>
  </si>
  <si>
    <t xml:space="preserve">فیلتر جامبو سه مرحله ای آب مقطر گیر</t>
  </si>
  <si>
    <t xml:space="preserve">سری ← عدد</t>
  </si>
  <si>
    <t xml:space="preserve">31226317</t>
  </si>
  <si>
    <r>
      <rPr>
        <sz val="10"/>
        <rFont val="FreeSans"/>
        <family val="2"/>
      </rPr>
      <t xml:space="preserve">سیل مکانیکی پمپ شربت </t>
    </r>
    <r>
      <rPr>
        <sz val="10"/>
        <rFont val="Vazirmatn"/>
        <family val="0"/>
        <charset val="1"/>
      </rPr>
      <t xml:space="preserve">A 25</t>
    </r>
  </si>
  <si>
    <t xml:space="preserve">5012621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</si>
  <si>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M7N-25/G6</t>
    </r>
  </si>
  <si>
    <t xml:space="preserve">31226322</t>
  </si>
  <si>
    <r>
      <rPr>
        <sz val="10"/>
        <rFont val="FreeSans"/>
        <family val="2"/>
      </rPr>
      <t xml:space="preserve">سیل مکانیکی پمپ </t>
    </r>
    <r>
      <rPr>
        <sz val="10"/>
        <rFont val="Vazirmatn"/>
        <family val="0"/>
        <charset val="1"/>
      </rPr>
      <t xml:space="preserve">160 - 50</t>
    </r>
  </si>
  <si>
    <t xml:space="preserve">4025450</t>
  </si>
  <si>
    <r>
      <rPr>
        <sz val="10"/>
        <rFont val="FreeSans"/>
        <family val="2"/>
      </rPr>
      <t xml:space="preserve">سیل مکانیکی پمپ ایران </t>
    </r>
    <r>
      <rPr>
        <sz val="10"/>
        <rFont val="Vazirmatn"/>
        <family val="0"/>
        <charset val="1"/>
      </rPr>
      <t xml:space="preserve">EN-50-160</t>
    </r>
  </si>
  <si>
    <t xml:space="preserve">31226328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</si>
  <si>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50 - 160</t>
    </r>
  </si>
  <si>
    <t xml:space="preserve">31226329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</si>
  <si>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22</t>
    </r>
  </si>
  <si>
    <t xml:space="preserve">4056597</t>
  </si>
  <si>
    <r>
      <rPr>
        <sz val="10"/>
        <rFont val="FreeSans"/>
        <family val="2"/>
      </rPr>
      <t xml:space="preserve">سیل مکانیکی  بورگمن </t>
    </r>
    <r>
      <rPr>
        <sz val="10"/>
        <rFont val="Vazirmatn"/>
        <family val="0"/>
        <charset val="1"/>
      </rPr>
      <t xml:space="preserve">M32n-22</t>
    </r>
  </si>
  <si>
    <t xml:space="preserve">31226330</t>
  </si>
  <si>
    <t xml:space="preserve">سیل مکانیکی پمپ خلاء</t>
  </si>
  <si>
    <t xml:space="preserve">4025416</t>
  </si>
  <si>
    <t xml:space="preserve">سیل مکانیکی پمپ ایران</t>
  </si>
  <si>
    <t xml:space="preserve">31226335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</si>
  <si>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22</t>
    </r>
  </si>
  <si>
    <t xml:space="preserve">31226336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</si>
  <si>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33</t>
    </r>
  </si>
  <si>
    <t xml:space="preserve">4055204</t>
  </si>
  <si>
    <r>
      <rPr>
        <sz val="10"/>
        <rFont val="FreeSans"/>
        <family val="2"/>
      </rPr>
      <t xml:space="preserve">سیل مکانیکی دوبل </t>
    </r>
    <r>
      <rPr>
        <sz val="10"/>
        <rFont val="Vazirmatn"/>
        <family val="0"/>
        <charset val="1"/>
      </rPr>
      <t xml:space="preserve">CRANE R33</t>
    </r>
  </si>
  <si>
    <t xml:space="preserve">31226348</t>
  </si>
  <si>
    <r>
      <rPr>
        <sz val="10"/>
        <rFont val="FreeSans"/>
        <family val="2"/>
      </rPr>
      <t xml:space="preserve">سیل مکانیکی  پمپ  </t>
    </r>
    <r>
      <rPr>
        <sz val="10"/>
        <rFont val="Vazirmatn"/>
        <family val="0"/>
        <charset val="1"/>
      </rPr>
      <t xml:space="preserve">200 - 65 - 80 IHD</t>
    </r>
  </si>
  <si>
    <t xml:space="preserve">4055544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</si>
  <si>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IHD 80-65-200</t>
    </r>
  </si>
  <si>
    <t xml:space="preserve">31226352</t>
  </si>
  <si>
    <t xml:space="preserve">سیل مکانیکی پمپ آب ژاول</t>
  </si>
  <si>
    <t xml:space="preserve">31226371</t>
  </si>
  <si>
    <r>
      <rPr>
        <sz val="10"/>
        <rFont val="FreeSans"/>
        <family val="2"/>
      </rPr>
      <t xml:space="preserve">سیل مکانیکی   </t>
    </r>
    <r>
      <rPr>
        <sz val="10"/>
        <rFont val="Vazirmatn"/>
        <family val="0"/>
        <charset val="1"/>
      </rPr>
      <t xml:space="preserve">MG 1    25</t>
    </r>
  </si>
  <si>
    <t xml:space="preserve">4036574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</si>
  <si>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Burgmann MG1</t>
    </r>
  </si>
  <si>
    <t xml:space="preserve">31226372</t>
  </si>
  <si>
    <r>
      <rPr>
        <sz val="10"/>
        <rFont val="FreeSans"/>
        <family val="2"/>
      </rPr>
      <t xml:space="preserve">سیل مکانیکی        </t>
    </r>
    <r>
      <rPr>
        <sz val="10"/>
        <rFont val="Vazirmatn"/>
        <family val="0"/>
        <charset val="1"/>
      </rPr>
      <t xml:space="preserve">MG1-43</t>
    </r>
  </si>
  <si>
    <t xml:space="preserve">31226468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</si>
  <si>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MG 1 - 33</t>
    </r>
  </si>
  <si>
    <t xml:space="preserve">31226474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</si>
  <si>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MG1 - 20</t>
    </r>
  </si>
  <si>
    <t xml:space="preserve">31226580</t>
  </si>
  <si>
    <r>
      <rPr>
        <sz val="10"/>
        <rFont val="FreeSans"/>
        <family val="2"/>
      </rPr>
      <t xml:space="preserve">طناب پلاستیکی   نمره </t>
    </r>
    <r>
      <rPr>
        <sz val="10"/>
        <rFont val="Vazirmatn"/>
        <family val="0"/>
        <charset val="1"/>
      </rPr>
      <t xml:space="preserve">10</t>
    </r>
  </si>
  <si>
    <t xml:space="preserve">5017361</t>
  </si>
  <si>
    <r>
      <rPr>
        <sz val="10"/>
        <rFont val="FreeSans"/>
        <family val="2"/>
      </rPr>
      <t xml:space="preserve">طناب پلاستیکی </t>
    </r>
    <r>
      <rPr>
        <sz val="10"/>
        <rFont val="Vazirmatn"/>
        <family val="0"/>
        <charset val="1"/>
      </rPr>
      <t xml:space="preserve">10mm</t>
    </r>
  </si>
  <si>
    <t xml:space="preserve">31228101</t>
  </si>
  <si>
    <t xml:space="preserve">چسب حرارتی</t>
  </si>
  <si>
    <t xml:space="preserve">5005958</t>
  </si>
  <si>
    <t xml:space="preserve">چسب حرارتي تفنگي</t>
  </si>
  <si>
    <t xml:space="preserve">31228114</t>
  </si>
  <si>
    <t xml:space="preserve">چسب قطره ای</t>
  </si>
  <si>
    <t xml:space="preserve">5003575</t>
  </si>
  <si>
    <t xml:space="preserve">چسب مايع قطره اي</t>
  </si>
  <si>
    <t xml:space="preserve">TUP</t>
  </si>
  <si>
    <r>
      <rPr>
        <sz val="10"/>
        <rFont val="FreeSans"/>
        <family val="2"/>
      </rPr>
      <t xml:space="preserve">عدد ← </t>
    </r>
    <r>
      <rPr>
        <sz val="10"/>
        <rFont val="Vazirmatn"/>
        <family val="0"/>
        <charset val="1"/>
      </rPr>
      <t xml:space="preserve">TUP</t>
    </r>
  </si>
  <si>
    <t xml:space="preserve">31228124</t>
  </si>
  <si>
    <r>
      <rPr>
        <sz val="10"/>
        <rFont val="FreeSans"/>
        <family val="2"/>
      </rPr>
      <t xml:space="preserve">چسب  </t>
    </r>
    <r>
      <rPr>
        <sz val="10"/>
        <rFont val="Vazirmatn"/>
        <family val="0"/>
        <charset val="1"/>
      </rPr>
      <t xml:space="preserve">( CPVC GLUE )</t>
    </r>
  </si>
  <si>
    <t xml:space="preserve">4024413</t>
  </si>
  <si>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CPVC</t>
    </r>
  </si>
  <si>
    <t xml:space="preserve">قوطی ← کیلوگرم</t>
  </si>
  <si>
    <t xml:space="preserve">31228128</t>
  </si>
  <si>
    <t xml:space="preserve">خمیر سلیکونی</t>
  </si>
  <si>
    <t xml:space="preserve">5013484</t>
  </si>
  <si>
    <r>
      <rPr>
        <sz val="10"/>
        <rFont val="FreeSans"/>
        <family val="2"/>
      </rPr>
      <t xml:space="preserve">خمیر سلیکونی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گرمی</t>
    </r>
  </si>
  <si>
    <t xml:space="preserve">31228159</t>
  </si>
  <si>
    <r>
      <rPr>
        <sz val="10"/>
        <rFont val="FreeSans"/>
        <family val="2"/>
      </rPr>
      <t xml:space="preserve">خمیر سیلیکون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تیوپی </t>
    </r>
    <r>
      <rPr>
        <sz val="10"/>
        <rFont val="Vazirmatn"/>
        <family val="0"/>
        <charset val="1"/>
      </rPr>
      <t xml:space="preserve">)</t>
    </r>
  </si>
  <si>
    <t xml:space="preserve">5011185</t>
  </si>
  <si>
    <r>
      <rPr>
        <sz val="10"/>
        <rFont val="FreeSans"/>
        <family val="2"/>
      </rPr>
      <t xml:space="preserve">خمیر سیلیکون </t>
    </r>
    <r>
      <rPr>
        <sz val="10"/>
        <rFont val="Vazirmatn"/>
        <family val="0"/>
        <charset val="1"/>
      </rPr>
      <t xml:space="preserve">CPU</t>
    </r>
  </si>
  <si>
    <t xml:space="preserve">گرم ← عدد</t>
  </si>
  <si>
    <t xml:space="preserve">31229121</t>
  </si>
  <si>
    <t xml:space="preserve">پارچه فیلتر نهائی روغن</t>
  </si>
  <si>
    <t xml:space="preserve">5014423</t>
  </si>
  <si>
    <t xml:space="preserve">پارچه فیلتر پرس روغن</t>
  </si>
  <si>
    <t xml:space="preserve">31237411</t>
  </si>
  <si>
    <r>
      <rPr>
        <sz val="10"/>
        <rFont val="FreeSans"/>
        <family val="2"/>
      </rPr>
      <t xml:space="preserve">گریس دکانتور  </t>
    </r>
    <r>
      <rPr>
        <sz val="10"/>
        <rFont val="Vazirmatn"/>
        <family val="0"/>
        <charset val="1"/>
      </rPr>
      <t xml:space="preserve">080 - 0104 - 0015</t>
    </r>
  </si>
  <si>
    <t xml:space="preserve">4024394</t>
  </si>
  <si>
    <r>
      <rPr>
        <sz val="10"/>
        <rFont val="FreeSans"/>
        <family val="2"/>
      </rPr>
      <t xml:space="preserve">گریس </t>
    </r>
    <r>
      <rPr>
        <sz val="10"/>
        <rFont val="Vazirmatn"/>
        <family val="0"/>
        <charset val="1"/>
      </rPr>
      <t xml:space="preserve">080-0104-0015</t>
    </r>
  </si>
  <si>
    <t xml:space="preserve">31237413</t>
  </si>
  <si>
    <r>
      <rPr>
        <sz val="10"/>
        <rFont val="FreeSans"/>
        <family val="2"/>
      </rPr>
      <t xml:space="preserve">گریس دکانتور   </t>
    </r>
    <r>
      <rPr>
        <sz val="10"/>
        <rFont val="Vazirmatn"/>
        <family val="0"/>
        <charset val="1"/>
      </rPr>
      <t xml:space="preserve">080 - 0104 - 0015</t>
    </r>
  </si>
  <si>
    <t xml:space="preserve">31237502</t>
  </si>
  <si>
    <t xml:space="preserve">رزین</t>
  </si>
  <si>
    <t xml:space="preserve">5017364</t>
  </si>
  <si>
    <r>
      <rPr>
        <sz val="10"/>
        <rFont val="FreeSans"/>
        <family val="2"/>
      </rPr>
      <t xml:space="preserve">رزین </t>
    </r>
    <r>
      <rPr>
        <sz val="10"/>
        <rFont val="Vazirmatn"/>
        <family val="0"/>
        <charset val="1"/>
      </rPr>
      <t xml:space="preserve">VPI</t>
    </r>
  </si>
  <si>
    <t xml:space="preserve">31239182</t>
  </si>
  <si>
    <t xml:space="preserve">گریس پمپ دستی ضامن دار</t>
  </si>
  <si>
    <t xml:space="preserve">31241255</t>
  </si>
  <si>
    <t xml:space="preserve">تسمه دستگاه چسب زن کارتن</t>
  </si>
  <si>
    <t xml:space="preserve">6003089</t>
  </si>
  <si>
    <t xml:space="preserve">دستگاه کارتن چسب زن</t>
  </si>
  <si>
    <t xml:space="preserve">31241400</t>
  </si>
  <si>
    <r>
      <rPr>
        <sz val="10"/>
        <rFont val="FreeSans"/>
        <family val="2"/>
      </rPr>
      <t xml:space="preserve">تسمه  برزنتی                   </t>
    </r>
    <r>
      <rPr>
        <sz val="10"/>
        <rFont val="Vazirmatn"/>
        <family val="0"/>
        <charset val="1"/>
      </rPr>
      <t xml:space="preserve">10     CM</t>
    </r>
  </si>
  <si>
    <t xml:space="preserve">5019870</t>
  </si>
  <si>
    <r>
      <rPr>
        <sz val="10"/>
        <rFont val="FreeSans"/>
        <family val="2"/>
      </rPr>
      <t xml:space="preserve">تسمه برزنتی </t>
    </r>
    <r>
      <rPr>
        <sz val="10"/>
        <rFont val="Vazirmatn"/>
        <family val="0"/>
        <charset val="1"/>
      </rPr>
      <t xml:space="preserve">10TON 10M</t>
    </r>
  </si>
  <si>
    <t xml:space="preserve">31244117</t>
  </si>
  <si>
    <r>
      <rPr>
        <sz val="10"/>
        <rFont val="FreeSans"/>
        <family val="2"/>
      </rPr>
      <t xml:space="preserve">کوپلینگ چدنی  </t>
    </r>
    <r>
      <rPr>
        <sz val="10"/>
        <rFont val="Vazirmatn"/>
        <family val="0"/>
        <charset val="1"/>
      </rPr>
      <t xml:space="preserve">KB 125</t>
    </r>
  </si>
  <si>
    <t xml:space="preserve">4025807</t>
  </si>
  <si>
    <r>
      <rPr>
        <sz val="10"/>
        <rFont val="FreeSans"/>
        <family val="2"/>
      </rPr>
      <t xml:space="preserve">کوپلینگ </t>
    </r>
    <r>
      <rPr>
        <sz val="10"/>
        <rFont val="Vazirmatn"/>
        <family val="0"/>
        <charset val="1"/>
      </rPr>
      <t xml:space="preserve">KB125</t>
    </r>
  </si>
  <si>
    <t xml:space="preserve">جفت ← دست</t>
  </si>
  <si>
    <t xml:space="preserve">31244122</t>
  </si>
  <si>
    <r>
      <rPr>
        <sz val="10"/>
        <rFont val="FreeSans"/>
        <family val="2"/>
      </rPr>
      <t xml:space="preserve">کوپلینگ شیلنگ آتش نشانی </t>
    </r>
    <r>
      <rPr>
        <sz val="10"/>
        <rFont val="Vazirmatn"/>
        <family val="0"/>
        <charset val="1"/>
      </rPr>
      <t xml:space="preserve">" 1/2 1</t>
    </r>
  </si>
  <si>
    <t xml:space="preserve">4032178</t>
  </si>
  <si>
    <r>
      <rPr>
        <sz val="10"/>
        <rFont val="FreeSans"/>
        <family val="2"/>
      </rPr>
      <t xml:space="preserve">شیلنگ آتش نشانی </t>
    </r>
    <r>
      <rPr>
        <sz val="10"/>
        <rFont val="Vazirmatn"/>
        <family val="0"/>
        <charset val="1"/>
      </rPr>
      <t xml:space="preserve">1/2-1 </t>
    </r>
    <r>
      <rPr>
        <sz val="10"/>
        <rFont val="FreeSans"/>
        <family val="2"/>
      </rPr>
      <t xml:space="preserve">اینچی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سر کوپلینگ</t>
    </r>
  </si>
  <si>
    <r>
      <rPr>
        <sz val="10"/>
        <rFont val="FreeSans"/>
        <family val="2"/>
      </rPr>
      <t xml:space="preserve">عدد ← </t>
    </r>
    <r>
      <rPr>
        <sz val="10"/>
        <rFont val="Vazirmatn"/>
        <family val="0"/>
        <charset val="1"/>
      </rPr>
      <t xml:space="preserve">HLG</t>
    </r>
  </si>
  <si>
    <t xml:space="preserve">31244192</t>
  </si>
  <si>
    <t xml:space="preserve">31244478</t>
  </si>
  <si>
    <r>
      <rPr>
        <sz val="10"/>
        <rFont val="FreeSans"/>
        <family val="2"/>
      </rPr>
      <t xml:space="preserve">دنده زنجیر     </t>
    </r>
    <r>
      <rPr>
        <sz val="10"/>
        <rFont val="Vazirmatn"/>
        <family val="0"/>
        <charset val="1"/>
      </rPr>
      <t xml:space="preserve">60</t>
    </r>
  </si>
  <si>
    <t xml:space="preserve">4024586</t>
  </si>
  <si>
    <r>
      <rPr>
        <sz val="10"/>
        <rFont val="FreeSans"/>
        <family val="2"/>
      </rPr>
      <t xml:space="preserve">چرخ دنده زنجیر سایز </t>
    </r>
    <r>
      <rPr>
        <sz val="10"/>
        <rFont val="Vazirmatn"/>
        <family val="0"/>
        <charset val="1"/>
      </rPr>
      <t xml:space="preserve">60 </t>
    </r>
    <r>
      <rPr>
        <sz val="10"/>
        <rFont val="FreeSans"/>
        <family val="2"/>
      </rPr>
      <t xml:space="preserve">تعداد </t>
    </r>
    <r>
      <rPr>
        <sz val="10"/>
        <rFont val="Vazirmatn"/>
        <family val="0"/>
        <charset val="1"/>
      </rPr>
      <t xml:space="preserve">16 </t>
    </r>
    <r>
      <rPr>
        <sz val="10"/>
        <rFont val="FreeSans"/>
        <family val="2"/>
      </rPr>
      <t xml:space="preserve">دنده</t>
    </r>
  </si>
  <si>
    <t xml:space="preserve">31244490</t>
  </si>
  <si>
    <r>
      <rPr>
        <sz val="10"/>
        <rFont val="FreeSans"/>
        <family val="2"/>
      </rPr>
      <t xml:space="preserve">زنجیر گالوانیزه جوشی </t>
    </r>
    <r>
      <rPr>
        <sz val="10"/>
        <rFont val="Vazirmatn"/>
        <family val="0"/>
        <charset val="1"/>
      </rPr>
      <t xml:space="preserve">3mm</t>
    </r>
  </si>
  <si>
    <t xml:space="preserve">4035352</t>
  </si>
  <si>
    <r>
      <rPr>
        <sz val="10"/>
        <rFont val="FreeSans"/>
        <family val="2"/>
      </rPr>
      <t xml:space="preserve">زنجیر گالوانیزه </t>
    </r>
    <r>
      <rPr>
        <sz val="10"/>
        <rFont val="Vazirmatn"/>
        <family val="0"/>
        <charset val="1"/>
      </rPr>
      <t xml:space="preserve">3mm*10*20</t>
    </r>
  </si>
  <si>
    <t xml:space="preserve">31251421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</si>
  <si>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250 - 65 -  IHD80</t>
    </r>
  </si>
  <si>
    <t xml:space="preserve">4021176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</si>
  <si>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Ø65mm</t>
    </r>
  </si>
  <si>
    <t xml:space="preserve">31251428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</si>
  <si>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125 - 65 - 80 IHD</t>
    </r>
  </si>
  <si>
    <t xml:space="preserve">31251439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</si>
  <si>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160 - 65 - 80 IHD</t>
    </r>
  </si>
  <si>
    <t xml:space="preserve">31261362</t>
  </si>
  <si>
    <r>
      <rPr>
        <sz val="10"/>
        <rFont val="FreeSans"/>
        <family val="2"/>
      </rPr>
      <t xml:space="preserve">واشر لاستیکی  </t>
    </r>
    <r>
      <rPr>
        <sz val="10"/>
        <rFont val="Vazirmatn"/>
        <family val="0"/>
        <charset val="1"/>
      </rPr>
      <t xml:space="preserve">200Cm*100Cm*3mm</t>
    </r>
  </si>
  <si>
    <t xml:space="preserve">برگ ← عدد</t>
  </si>
  <si>
    <t xml:space="preserve">31261363</t>
  </si>
  <si>
    <r>
      <rPr>
        <sz val="10"/>
        <rFont val="FreeSans"/>
        <family val="2"/>
      </rPr>
      <t xml:space="preserve">واشر لاستیکی  </t>
    </r>
    <r>
      <rPr>
        <sz val="10"/>
        <rFont val="Vazirmatn"/>
        <family val="0"/>
        <charset val="1"/>
      </rPr>
      <t xml:space="preserve">200Cm*100Cm*5mm</t>
    </r>
  </si>
  <si>
    <t xml:space="preserve">4027126</t>
  </si>
  <si>
    <r>
      <rPr>
        <sz val="10"/>
        <rFont val="FreeSans"/>
        <family val="2"/>
      </rPr>
      <t xml:space="preserve">واشر لاستیکی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اینچ</t>
    </r>
  </si>
  <si>
    <t xml:space="preserve">31261364</t>
  </si>
  <si>
    <r>
      <rPr>
        <sz val="10"/>
        <rFont val="FreeSans"/>
        <family val="2"/>
      </rPr>
      <t xml:space="preserve">واشر نسوز لاستیکی  </t>
    </r>
    <r>
      <rPr>
        <sz val="10"/>
        <rFont val="Vazirmatn"/>
        <family val="0"/>
        <charset val="1"/>
      </rPr>
      <t xml:space="preserve">200Cm*100Cm*3mm</t>
    </r>
  </si>
  <si>
    <t xml:space="preserve">31261457</t>
  </si>
  <si>
    <r>
      <rPr>
        <sz val="10"/>
        <rFont val="FreeSans"/>
        <family val="2"/>
      </rPr>
      <t xml:space="preserve">واشر لاستیکی  </t>
    </r>
    <r>
      <rPr>
        <sz val="10"/>
        <rFont val="Vazirmatn"/>
        <family val="0"/>
        <charset val="1"/>
      </rPr>
      <t xml:space="preserve">1/5 * 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5mm</t>
    </r>
  </si>
  <si>
    <t xml:space="preserve">31261459</t>
  </si>
  <si>
    <r>
      <rPr>
        <sz val="10"/>
        <rFont val="FreeSans"/>
        <family val="2"/>
      </rPr>
      <t xml:space="preserve">واشر لاستیکی </t>
    </r>
    <r>
      <rPr>
        <sz val="10"/>
        <rFont val="Vazirmatn"/>
        <family val="0"/>
        <charset val="1"/>
      </rPr>
      <t xml:space="preserve">EPDM 2 * 1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5mm</t>
    </r>
  </si>
  <si>
    <t xml:space="preserve">31261460</t>
  </si>
  <si>
    <r>
      <rPr>
        <sz val="10"/>
        <rFont val="FreeSans"/>
        <family val="2"/>
      </rPr>
      <t xml:space="preserve">واشر لاستیکی </t>
    </r>
    <r>
      <rPr>
        <sz val="10"/>
        <rFont val="Vazirmatn"/>
        <family val="0"/>
        <charset val="1"/>
      </rPr>
      <t xml:space="preserve">EPDM 2 * 1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</t>
    </r>
  </si>
  <si>
    <t xml:space="preserve">5013000</t>
  </si>
  <si>
    <r>
      <rPr>
        <sz val="10"/>
        <rFont val="FreeSans"/>
        <family val="2"/>
      </rPr>
      <t xml:space="preserve">واشر لاستیکی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</si>
  <si>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31261520</t>
  </si>
  <si>
    <r>
      <rPr>
        <sz val="10"/>
        <rFont val="FreeSans"/>
        <family val="2"/>
      </rPr>
      <t xml:space="preserve">واشر سیلیکونی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میل</t>
    </r>
  </si>
  <si>
    <t xml:space="preserve">4027154</t>
  </si>
  <si>
    <r>
      <rPr>
        <sz val="10"/>
        <rFont val="FreeSans"/>
        <family val="2"/>
      </rPr>
      <t xml:space="preserve">واشر گسگت سیلیکونی </t>
    </r>
    <r>
      <rPr>
        <sz val="10"/>
        <rFont val="Vazirmatn"/>
        <family val="0"/>
        <charset val="1"/>
      </rPr>
      <t xml:space="preserve">4*50*35 </t>
    </r>
    <r>
      <rPr>
        <sz val="10"/>
        <rFont val="FreeSans"/>
        <family val="2"/>
      </rPr>
      <t xml:space="preserve">میلیمتر</t>
    </r>
  </si>
  <si>
    <t xml:space="preserve">متر مربع ← عدد</t>
  </si>
  <si>
    <t xml:space="preserve">31262346</t>
  </si>
  <si>
    <r>
      <rPr>
        <sz val="10"/>
        <rFont val="FreeSans"/>
        <family val="2"/>
      </rPr>
      <t xml:space="preserve">پیچ استیل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سانتی         </t>
    </r>
    <r>
      <rPr>
        <sz val="10"/>
        <rFont val="Vazirmatn"/>
        <family val="0"/>
        <charset val="1"/>
      </rPr>
      <t xml:space="preserve">10 MM</t>
    </r>
  </si>
  <si>
    <t xml:space="preserve">4014871</t>
  </si>
  <si>
    <r>
      <rPr>
        <sz val="10"/>
        <rFont val="FreeSans"/>
        <family val="2"/>
      </rPr>
      <t xml:space="preserve">پيچ متري </t>
    </r>
    <r>
      <rPr>
        <sz val="10"/>
        <rFont val="Vazirmatn"/>
        <family val="0"/>
        <charset val="1"/>
      </rPr>
      <t xml:space="preserve">M10 s.s.</t>
    </r>
  </si>
  <si>
    <t xml:space="preserve">31262347</t>
  </si>
  <si>
    <r>
      <rPr>
        <sz val="10"/>
        <rFont val="FreeSans"/>
        <family val="2"/>
      </rPr>
      <t xml:space="preserve">پیچ استیل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سانتی         </t>
    </r>
    <r>
      <rPr>
        <sz val="10"/>
        <rFont val="Vazirmatn"/>
        <family val="0"/>
        <charset val="1"/>
      </rPr>
      <t xml:space="preserve">MM      10</t>
    </r>
  </si>
  <si>
    <t xml:space="preserve">31262408</t>
  </si>
  <si>
    <r>
      <rPr>
        <sz val="10"/>
        <rFont val="FreeSans"/>
        <family val="2"/>
      </rPr>
      <t xml:space="preserve">پیچ استیل متری      </t>
    </r>
    <r>
      <rPr>
        <sz val="10"/>
        <rFont val="Vazirmatn"/>
        <family val="0"/>
        <charset val="1"/>
      </rPr>
      <t xml:space="preserve">10</t>
    </r>
  </si>
  <si>
    <t xml:space="preserve">31262653</t>
  </si>
  <si>
    <r>
      <rPr>
        <sz val="10"/>
        <rFont val="FreeSans"/>
        <family val="2"/>
      </rPr>
      <t xml:space="preserve">پیچ آهنی متری      </t>
    </r>
    <r>
      <rPr>
        <sz val="10"/>
        <rFont val="Vazirmatn"/>
        <family val="0"/>
        <charset val="1"/>
      </rPr>
      <t xml:space="preserve">6</t>
    </r>
  </si>
  <si>
    <t xml:space="preserve">4014872</t>
  </si>
  <si>
    <r>
      <rPr>
        <sz val="10"/>
        <rFont val="FreeSans"/>
        <family val="2"/>
      </rPr>
      <t xml:space="preserve">پيچ متري </t>
    </r>
    <r>
      <rPr>
        <sz val="10"/>
        <rFont val="Vazirmatn"/>
        <family val="0"/>
        <charset val="1"/>
      </rPr>
      <t xml:space="preserve">M6 S.S</t>
    </r>
  </si>
  <si>
    <t xml:space="preserve">31265178</t>
  </si>
  <si>
    <r>
      <rPr>
        <sz val="10"/>
        <rFont val="FreeSans"/>
        <family val="2"/>
      </rPr>
      <t xml:space="preserve">سیم مفتول          </t>
    </r>
    <r>
      <rPr>
        <sz val="10"/>
        <rFont val="Vazirmatn"/>
        <family val="0"/>
        <charset val="1"/>
      </rPr>
      <t xml:space="preserve">2</t>
    </r>
  </si>
  <si>
    <t xml:space="preserve">5013046</t>
  </si>
  <si>
    <r>
      <rPr>
        <sz val="10"/>
        <rFont val="FreeSans"/>
        <family val="2"/>
      </rPr>
      <t xml:space="preserve">سیم مفتول استیل </t>
    </r>
    <r>
      <rPr>
        <sz val="10"/>
        <rFont val="Vazirmatn"/>
        <family val="0"/>
        <charset val="1"/>
      </rPr>
      <t xml:space="preserve">2</t>
    </r>
  </si>
  <si>
    <t xml:space="preserve">31265201</t>
  </si>
  <si>
    <r>
      <rPr>
        <sz val="10"/>
        <rFont val="FreeSans"/>
        <family val="2"/>
      </rPr>
      <t xml:space="preserve">میخ پرچ        نمره   </t>
    </r>
    <r>
      <rPr>
        <sz val="10"/>
        <rFont val="Vazirmatn"/>
        <family val="0"/>
        <charset val="1"/>
      </rPr>
      <t xml:space="preserve">3</t>
    </r>
  </si>
  <si>
    <t xml:space="preserve">5002936</t>
  </si>
  <si>
    <r>
      <rPr>
        <sz val="10"/>
        <rFont val="FreeSans"/>
        <family val="2"/>
      </rPr>
      <t xml:space="preserve">میخ پرچ معمولی </t>
    </r>
    <r>
      <rPr>
        <sz val="10"/>
        <rFont val="Vazirmatn"/>
        <family val="0"/>
        <charset val="1"/>
      </rPr>
      <t xml:space="preserve">15*3 AL.</t>
    </r>
  </si>
  <si>
    <t xml:space="preserve">31266136</t>
  </si>
  <si>
    <t xml:space="preserve">دستگیره درب آهنی</t>
  </si>
  <si>
    <t xml:space="preserve">5005641</t>
  </si>
  <si>
    <t xml:space="preserve">دستگيره درب آهني چپ</t>
  </si>
  <si>
    <t xml:space="preserve">31267108</t>
  </si>
  <si>
    <r>
      <rPr>
        <sz val="10"/>
        <rFont val="FreeSans"/>
        <family val="2"/>
      </rPr>
      <t xml:space="preserve">رول پلاک          </t>
    </r>
    <r>
      <rPr>
        <sz val="10"/>
        <rFont val="Vazirmatn"/>
        <family val="0"/>
        <charset val="1"/>
      </rPr>
      <t xml:space="preserve">6mm</t>
    </r>
  </si>
  <si>
    <t xml:space="preserve">5013340</t>
  </si>
  <si>
    <r>
      <rPr>
        <sz val="10"/>
        <rFont val="FreeSans"/>
        <family val="2"/>
      </rPr>
      <t xml:space="preserve">رول پلاک </t>
    </r>
    <r>
      <rPr>
        <sz val="10"/>
        <rFont val="Vazirmatn"/>
        <family val="0"/>
        <charset val="1"/>
      </rPr>
      <t xml:space="preserve">60*6 </t>
    </r>
    <r>
      <rPr>
        <sz val="10"/>
        <rFont val="FreeSans"/>
        <family val="2"/>
      </rPr>
      <t xml:space="preserve">پلاستیکی</t>
    </r>
  </si>
  <si>
    <t xml:space="preserve">31269300</t>
  </si>
  <si>
    <t xml:space="preserve">شابلون رنده</t>
  </si>
  <si>
    <t xml:space="preserve">5011580</t>
  </si>
  <si>
    <t xml:space="preserve">شابلون</t>
  </si>
  <si>
    <t xml:space="preserve">31269432</t>
  </si>
  <si>
    <r>
      <rPr>
        <sz val="10"/>
        <rFont val="FreeSans"/>
        <family val="2"/>
      </rPr>
      <t xml:space="preserve">قلاویز             </t>
    </r>
    <r>
      <rPr>
        <sz val="10"/>
        <rFont val="Vazirmatn"/>
        <family val="0"/>
        <charset val="1"/>
      </rPr>
      <t xml:space="preserve">10 mm</t>
    </r>
  </si>
  <si>
    <t xml:space="preserve">4010999</t>
  </si>
  <si>
    <r>
      <rPr>
        <sz val="10"/>
        <rFont val="FreeSans"/>
        <family val="2"/>
      </rPr>
      <t xml:space="preserve">قلاويز ماشيني </t>
    </r>
    <r>
      <rPr>
        <sz val="10"/>
        <rFont val="Vazirmatn"/>
        <family val="0"/>
        <charset val="1"/>
      </rPr>
      <t xml:space="preserve">M10</t>
    </r>
  </si>
  <si>
    <t xml:space="preserve">31269438</t>
  </si>
  <si>
    <r>
      <rPr>
        <sz val="10"/>
        <rFont val="FreeSans"/>
        <family val="2"/>
      </rPr>
      <t xml:space="preserve">قلاویز                 </t>
    </r>
    <r>
      <rPr>
        <sz val="10"/>
        <rFont val="Vazirmatn"/>
        <family val="0"/>
        <charset val="1"/>
      </rPr>
      <t xml:space="preserve">14 mm</t>
    </r>
  </si>
  <si>
    <t xml:space="preserve">4011006</t>
  </si>
  <si>
    <r>
      <rPr>
        <sz val="10"/>
        <rFont val="FreeSans"/>
        <family val="2"/>
      </rPr>
      <t xml:space="preserve">قلاويز ماشيني </t>
    </r>
    <r>
      <rPr>
        <sz val="10"/>
        <rFont val="Vazirmatn"/>
        <family val="0"/>
        <charset val="1"/>
      </rPr>
      <t xml:space="preserve">M14</t>
    </r>
  </si>
  <si>
    <t xml:space="preserve">31269464</t>
  </si>
  <si>
    <r>
      <rPr>
        <sz val="10"/>
        <rFont val="FreeSans"/>
        <family val="2"/>
      </rPr>
      <t xml:space="preserve">قلاویز             </t>
    </r>
    <r>
      <rPr>
        <sz val="10"/>
        <rFont val="Vazirmatn"/>
        <family val="0"/>
        <charset val="1"/>
      </rPr>
      <t xml:space="preserve">8 mm</t>
    </r>
  </si>
  <si>
    <t xml:space="preserve">4010998</t>
  </si>
  <si>
    <r>
      <rPr>
        <sz val="10"/>
        <rFont val="FreeSans"/>
        <family val="2"/>
      </rPr>
      <t xml:space="preserve">قلاويز ماشيني </t>
    </r>
    <r>
      <rPr>
        <sz val="10"/>
        <rFont val="Vazirmatn"/>
        <family val="0"/>
        <charset val="1"/>
      </rPr>
      <t xml:space="preserve">M8</t>
    </r>
  </si>
  <si>
    <t xml:space="preserve">31269483</t>
  </si>
  <si>
    <r>
      <rPr>
        <sz val="10"/>
        <rFont val="FreeSans"/>
        <family val="2"/>
      </rPr>
      <t xml:space="preserve">قلاویز  </t>
    </r>
    <r>
      <rPr>
        <sz val="10"/>
        <rFont val="Vazirmatn"/>
        <family val="0"/>
        <charset val="1"/>
      </rPr>
      <t xml:space="preserve">M10*1/25</t>
    </r>
  </si>
  <si>
    <t xml:space="preserve">31269485</t>
  </si>
  <si>
    <r>
      <rPr>
        <sz val="10"/>
        <rFont val="FreeSans"/>
        <family val="2"/>
      </rPr>
      <t xml:space="preserve">قلاویز  </t>
    </r>
    <r>
      <rPr>
        <sz val="10"/>
        <rFont val="Vazirmatn"/>
        <family val="0"/>
        <charset val="1"/>
      </rPr>
      <t xml:space="preserve">m10*0/9</t>
    </r>
  </si>
  <si>
    <t xml:space="preserve">31271296</t>
  </si>
  <si>
    <r>
      <rPr>
        <sz val="10"/>
        <rFont val="FreeSans"/>
        <family val="2"/>
      </rPr>
      <t xml:space="preserve">فلومتر مغناطیسی</t>
    </r>
    <r>
      <rPr>
        <sz val="10"/>
        <rFont val="Vazirmatn"/>
        <family val="0"/>
        <charset val="1"/>
      </rPr>
      <t xml:space="preserve">O.C : 50w40-LL0a1aa0abaa  " 1/2  1  - 40 DN</t>
    </r>
  </si>
  <si>
    <t xml:space="preserve">4028242</t>
  </si>
  <si>
    <r>
      <rPr>
        <sz val="10"/>
        <rFont val="FreeSans"/>
        <family val="2"/>
      </rPr>
      <t xml:space="preserve">فلومتر   </t>
    </r>
    <r>
      <rPr>
        <sz val="10"/>
        <rFont val="Vazirmatn"/>
        <family val="0"/>
        <charset val="1"/>
      </rPr>
      <t xml:space="preserve">50L1F-JL0A1AA0ABAA</t>
    </r>
  </si>
  <si>
    <t xml:space="preserve">31273165</t>
  </si>
  <si>
    <r>
      <rPr>
        <sz val="10"/>
        <rFont val="FreeSans"/>
        <family val="2"/>
      </rPr>
      <t xml:space="preserve">فلنج الکتروموتور موتوژن چدنی  </t>
    </r>
    <r>
      <rPr>
        <sz val="10"/>
        <rFont val="Vazirmatn"/>
        <family val="0"/>
        <charset val="1"/>
      </rPr>
      <t xml:space="preserve">4KW 1500RPM</t>
    </r>
  </si>
  <si>
    <t xml:space="preserve">31273166</t>
  </si>
  <si>
    <r>
      <rPr>
        <sz val="10"/>
        <rFont val="FreeSans"/>
        <family val="2"/>
      </rPr>
      <t xml:space="preserve">فلنج الکتروموتور آلومینیومی  </t>
    </r>
    <r>
      <rPr>
        <sz val="10"/>
        <rFont val="Vazirmatn"/>
        <family val="0"/>
        <charset val="1"/>
      </rPr>
      <t xml:space="preserve">4KW 1500RPM</t>
    </r>
  </si>
  <si>
    <t xml:space="preserve">31273167</t>
  </si>
  <si>
    <r>
      <rPr>
        <sz val="10"/>
        <rFont val="FreeSans"/>
        <family val="2"/>
      </rPr>
      <t xml:space="preserve">فلنج الکتروموتور موتوژن چدنی  </t>
    </r>
    <r>
      <rPr>
        <sz val="10"/>
        <rFont val="Vazirmatn"/>
        <family val="0"/>
        <charset val="1"/>
      </rPr>
      <t xml:space="preserve">5/5KW 1500RPM</t>
    </r>
  </si>
  <si>
    <t xml:space="preserve">31273909</t>
  </si>
  <si>
    <r>
      <rPr>
        <sz val="10"/>
        <rFont val="FreeSans"/>
        <family val="2"/>
      </rPr>
      <t xml:space="preserve">سیفون روشویی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</si>
  <si>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4030289</t>
  </si>
  <si>
    <t xml:space="preserve">سیفون روشویی</t>
  </si>
  <si>
    <t xml:space="preserve">31273911</t>
  </si>
  <si>
    <r>
      <rPr>
        <sz val="10"/>
        <rFont val="FreeSans"/>
        <family val="2"/>
      </rPr>
      <t xml:space="preserve">سیفون زیر روشویی سیفون دار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</si>
  <si>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4045864</t>
  </si>
  <si>
    <t xml:space="preserve">سیفون زیر آب روشویی اتومات دار</t>
  </si>
  <si>
    <t xml:space="preserve">31274411</t>
  </si>
  <si>
    <r>
      <rPr>
        <sz val="10"/>
        <rFont val="FreeSans"/>
        <family val="2"/>
      </rPr>
      <t xml:space="preserve">شیلنگ گازی   </t>
    </r>
    <r>
      <rPr>
        <sz val="10"/>
        <rFont val="Vazirmatn"/>
        <family val="0"/>
        <charset val="1"/>
      </rPr>
      <t xml:space="preserve">" 3/8</t>
    </r>
  </si>
  <si>
    <t xml:space="preserve">4059713</t>
  </si>
  <si>
    <r>
      <rPr>
        <sz val="10"/>
        <rFont val="FreeSans"/>
        <family val="2"/>
      </rPr>
      <t xml:space="preserve">شیلنگ  تست کولر گازی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متری سایز </t>
    </r>
    <r>
      <rPr>
        <sz val="10"/>
        <rFont val="Vazirmatn"/>
        <family val="0"/>
        <charset val="1"/>
      </rPr>
      <t xml:space="preserve">3/8</t>
    </r>
    <r>
      <rPr>
        <sz val="10"/>
        <rFont val="FreeSans"/>
        <family val="2"/>
      </rPr>
      <t xml:space="preserve">اینچ</t>
    </r>
  </si>
  <si>
    <t xml:space="preserve">31274413</t>
  </si>
  <si>
    <r>
      <rPr>
        <sz val="10"/>
        <rFont val="FreeSans"/>
        <family val="2"/>
      </rPr>
      <t xml:space="preserve">شیلنگ فشار قوی 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سر پرس  </t>
    </r>
    <r>
      <rPr>
        <sz val="10"/>
        <rFont val="Vazirmatn"/>
        <family val="0"/>
        <charset val="1"/>
      </rPr>
      <t xml:space="preserve">50</t>
    </r>
    <r>
      <rPr>
        <sz val="10"/>
        <rFont val="FreeSans"/>
        <family val="2"/>
      </rPr>
      <t xml:space="preserve">سانتی  </t>
    </r>
    <r>
      <rPr>
        <sz val="10"/>
        <rFont val="Vazirmatn"/>
        <family val="0"/>
        <charset val="1"/>
      </rPr>
      <t xml:space="preserve">" 1/2</t>
    </r>
  </si>
  <si>
    <t xml:space="preserve">4030319</t>
  </si>
  <si>
    <r>
      <rPr>
        <sz val="10"/>
        <rFont val="FreeSans"/>
        <family val="2"/>
      </rPr>
      <t xml:space="preserve">شیلنگ فشار قوی سیم دار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</si>
  <si>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31274439</t>
  </si>
  <si>
    <r>
      <rPr>
        <sz val="10"/>
        <rFont val="FreeSans"/>
        <family val="2"/>
      </rPr>
      <t xml:space="preserve">شیلنگ آب   </t>
    </r>
    <r>
      <rPr>
        <sz val="10"/>
        <rFont val="Vazirmatn"/>
        <family val="0"/>
        <charset val="1"/>
      </rPr>
      <t xml:space="preserve">" 1</t>
    </r>
  </si>
  <si>
    <t xml:space="preserve">4005216</t>
  </si>
  <si>
    <r>
      <rPr>
        <sz val="10"/>
        <rFont val="FreeSans"/>
        <family val="2"/>
      </rPr>
      <t xml:space="preserve">شيلنگ </t>
    </r>
    <r>
      <rPr>
        <sz val="10"/>
        <rFont val="Vazirmatn"/>
        <family val="0"/>
        <charset val="1"/>
      </rPr>
      <t xml:space="preserve">1/2-1 in</t>
    </r>
  </si>
  <si>
    <t xml:space="preserve">31274492</t>
  </si>
  <si>
    <r>
      <rPr>
        <sz val="10"/>
        <rFont val="FreeSans"/>
        <family val="2"/>
      </rPr>
      <t xml:space="preserve">شیلنگ خرطومی 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</t>
    </r>
  </si>
  <si>
    <t xml:space="preserve">4005217</t>
  </si>
  <si>
    <r>
      <rPr>
        <sz val="10"/>
        <rFont val="FreeSans"/>
        <family val="2"/>
      </rPr>
      <t xml:space="preserve">شيلنگ </t>
    </r>
    <r>
      <rPr>
        <sz val="10"/>
        <rFont val="Vazirmatn"/>
        <family val="0"/>
        <charset val="1"/>
      </rPr>
      <t xml:space="preserve">1/2-2 in</t>
    </r>
  </si>
  <si>
    <t xml:space="preserve">31274493</t>
  </si>
  <si>
    <r>
      <rPr>
        <sz val="10"/>
        <rFont val="FreeSans"/>
        <family val="2"/>
      </rPr>
      <t xml:space="preserve">شیلنگ آب   </t>
    </r>
    <r>
      <rPr>
        <sz val="10"/>
        <rFont val="Vazirmatn"/>
        <family val="0"/>
        <charset val="1"/>
      </rPr>
      <t xml:space="preserve">" 1/2 1</t>
    </r>
  </si>
  <si>
    <t xml:space="preserve">31274536</t>
  </si>
  <si>
    <r>
      <rPr>
        <sz val="10"/>
        <rFont val="FreeSans"/>
        <family val="2"/>
      </rPr>
      <t xml:space="preserve">شیلنگ شفاف سیم دار دو سر پرس  </t>
    </r>
    <r>
      <rPr>
        <sz val="10"/>
        <rFont val="Vazirmatn"/>
        <family val="0"/>
        <charset val="1"/>
      </rPr>
      <t xml:space="preserve">"1</t>
    </r>
  </si>
  <si>
    <t xml:space="preserve">31274538</t>
  </si>
  <si>
    <r>
      <rPr>
        <sz val="10"/>
        <rFont val="FreeSans"/>
        <family val="2"/>
      </rPr>
      <t xml:space="preserve">شیلنگ شفاف سیم دار یک سر پرس استیل </t>
    </r>
    <r>
      <rPr>
        <sz val="10"/>
        <rFont val="Vazirmatn"/>
        <family val="0"/>
        <charset val="1"/>
      </rPr>
      <t xml:space="preserve">316  4</t>
    </r>
    <r>
      <rPr>
        <sz val="10"/>
        <rFont val="FreeSans"/>
        <family val="2"/>
      </rPr>
      <t xml:space="preserve">متری   </t>
    </r>
    <r>
      <rPr>
        <sz val="10"/>
        <rFont val="Vazirmatn"/>
        <family val="0"/>
        <charset val="1"/>
      </rPr>
      <t xml:space="preserve">"2</t>
    </r>
  </si>
  <si>
    <t xml:space="preserve">31276097</t>
  </si>
  <si>
    <r>
      <rPr>
        <sz val="10"/>
        <rFont val="FreeSans"/>
        <family val="2"/>
      </rPr>
      <t xml:space="preserve">لوله خرطومی برق  </t>
    </r>
    <r>
      <rPr>
        <sz val="10"/>
        <rFont val="Vazirmatn"/>
        <family val="0"/>
        <charset val="1"/>
      </rPr>
      <t xml:space="preserve">13</t>
    </r>
  </si>
  <si>
    <t xml:space="preserve">4005156</t>
  </si>
  <si>
    <r>
      <rPr>
        <sz val="10"/>
        <rFont val="FreeSans"/>
        <family val="2"/>
      </rPr>
      <t xml:space="preserve">لوله خرطومي </t>
    </r>
    <r>
      <rPr>
        <sz val="10"/>
        <rFont val="Vazirmatn"/>
        <family val="0"/>
        <charset val="1"/>
      </rPr>
      <t xml:space="preserve">13</t>
    </r>
  </si>
  <si>
    <t xml:space="preserve">حلقه ← متر</t>
  </si>
  <si>
    <t xml:space="preserve">31276138</t>
  </si>
  <si>
    <r>
      <rPr>
        <sz val="10"/>
        <rFont val="FreeSans"/>
        <family val="2"/>
      </rPr>
      <t xml:space="preserve">لوله آهنی مانیسمان                </t>
    </r>
    <r>
      <rPr>
        <sz val="10"/>
        <rFont val="Vazirmatn"/>
        <family val="0"/>
        <charset val="1"/>
      </rPr>
      <t xml:space="preserve">" 3</t>
    </r>
  </si>
  <si>
    <t xml:space="preserve">4024255</t>
  </si>
  <si>
    <r>
      <rPr>
        <sz val="10"/>
        <rFont val="FreeSans"/>
        <family val="2"/>
      </rPr>
      <t xml:space="preserve">لوله کربن رده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</si>
  <si>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31276139</t>
  </si>
  <si>
    <r>
      <rPr>
        <sz val="10"/>
        <rFont val="FreeSans"/>
        <family val="2"/>
      </rPr>
      <t xml:space="preserve">لوله مویی </t>
    </r>
    <r>
      <rPr>
        <sz val="10"/>
        <rFont val="Vazirmatn"/>
        <family val="0"/>
        <charset val="1"/>
      </rPr>
      <t xml:space="preserve">1/2</t>
    </r>
  </si>
  <si>
    <t xml:space="preserve">4032222</t>
  </si>
  <si>
    <r>
      <rPr>
        <sz val="10"/>
        <rFont val="FreeSans"/>
        <family val="2"/>
      </rPr>
      <t xml:space="preserve">لوله موئی آبسردکن </t>
    </r>
    <r>
      <rPr>
        <sz val="10"/>
        <rFont val="Vazirmatn"/>
        <family val="0"/>
        <charset val="1"/>
      </rPr>
      <t xml:space="preserve">1/2HP</t>
    </r>
  </si>
  <si>
    <t xml:space="preserve">31276141</t>
  </si>
  <si>
    <r>
      <rPr>
        <sz val="10"/>
        <rFont val="FreeSans"/>
        <family val="2"/>
      </rPr>
      <t xml:space="preserve">لوله استیل                           </t>
    </r>
    <r>
      <rPr>
        <sz val="10"/>
        <rFont val="Vazirmatn"/>
        <family val="0"/>
        <charset val="1"/>
      </rPr>
      <t xml:space="preserve">"1/4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</t>
    </r>
  </si>
  <si>
    <t xml:space="preserve">4031091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</si>
  <si>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" 1/4 1</t>
    </r>
  </si>
  <si>
    <t xml:space="preserve">31276159</t>
  </si>
  <si>
    <r>
      <rPr>
        <sz val="10"/>
        <rFont val="FreeSans"/>
        <family val="2"/>
      </rPr>
      <t xml:space="preserve">لوله استیل                   </t>
    </r>
    <r>
      <rPr>
        <sz val="10"/>
        <rFont val="Vazirmatn"/>
        <family val="0"/>
        <charset val="1"/>
      </rPr>
      <t xml:space="preserve">" 1/2 1</t>
    </r>
  </si>
  <si>
    <t xml:space="preserve">4031092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</si>
  <si>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"1/2 1</t>
    </r>
  </si>
  <si>
    <t xml:space="preserve">31276170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</si>
  <si>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" 3/4</t>
    </r>
  </si>
  <si>
    <t xml:space="preserve">4029198</t>
  </si>
  <si>
    <r>
      <rPr>
        <sz val="10"/>
        <rFont val="FreeSans"/>
        <family val="2"/>
      </rPr>
      <t xml:space="preserve">لوله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</si>
  <si>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31276181</t>
  </si>
  <si>
    <r>
      <rPr>
        <sz val="10"/>
        <rFont val="FreeSans"/>
        <family val="2"/>
      </rPr>
      <t xml:space="preserve">لوله استیل درز دار </t>
    </r>
    <r>
      <rPr>
        <sz val="10"/>
        <rFont val="Vazirmatn"/>
        <family val="0"/>
        <charset val="1"/>
      </rPr>
      <t xml:space="preserve">304</t>
    </r>
  </si>
  <si>
    <t xml:space="preserve">4041548</t>
  </si>
  <si>
    <r>
      <rPr>
        <sz val="10"/>
        <rFont val="FreeSans"/>
        <family val="2"/>
      </rPr>
      <t xml:space="preserve">لوله درز دار </t>
    </r>
    <r>
      <rPr>
        <sz val="10"/>
        <rFont val="Vazirmatn"/>
        <family val="0"/>
        <charset val="1"/>
      </rPr>
      <t xml:space="preserve">S.S304 10"*2mm</t>
    </r>
  </si>
  <si>
    <t xml:space="preserve">31276184</t>
  </si>
  <si>
    <r>
      <rPr>
        <sz val="10"/>
        <rFont val="FreeSans"/>
        <family val="2"/>
      </rPr>
      <t xml:space="preserve">لوله استیل مانیسمان </t>
    </r>
    <r>
      <rPr>
        <sz val="10"/>
        <rFont val="Vazirmatn"/>
        <family val="0"/>
        <charset val="1"/>
      </rPr>
      <t xml:space="preserve">316</t>
    </r>
  </si>
  <si>
    <t xml:space="preserve">4031109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</si>
  <si>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16</t>
    </r>
  </si>
  <si>
    <t xml:space="preserve">31276185</t>
  </si>
  <si>
    <r>
      <rPr>
        <sz val="10"/>
        <rFont val="FreeSans"/>
        <family val="2"/>
      </rPr>
      <t xml:space="preserve">لوله استیل مانیسمان </t>
    </r>
    <r>
      <rPr>
        <sz val="10"/>
        <rFont val="Vazirmatn"/>
        <family val="0"/>
        <charset val="1"/>
      </rPr>
      <t xml:space="preserve">304</t>
    </r>
  </si>
  <si>
    <t xml:space="preserve">31276203</t>
  </si>
  <si>
    <r>
      <rPr>
        <sz val="10"/>
        <rFont val="FreeSans"/>
        <family val="2"/>
      </rPr>
      <t xml:space="preserve">لوله پلی اتیلن  </t>
    </r>
    <r>
      <rPr>
        <sz val="10"/>
        <rFont val="Vazirmatn"/>
        <family val="0"/>
        <charset val="1"/>
      </rPr>
      <t xml:space="preserve">" 6</t>
    </r>
  </si>
  <si>
    <t xml:space="preserve">4031117</t>
  </si>
  <si>
    <r>
      <rPr>
        <sz val="10"/>
        <rFont val="FreeSans"/>
        <family val="2"/>
      </rPr>
      <t xml:space="preserve">لوله پلی اتیلن </t>
    </r>
    <r>
      <rPr>
        <sz val="10"/>
        <rFont val="Vazirmatn"/>
        <family val="0"/>
        <charset val="1"/>
      </rPr>
      <t xml:space="preserve">PN6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63</t>
    </r>
  </si>
  <si>
    <t xml:space="preserve">31276211</t>
  </si>
  <si>
    <r>
      <rPr>
        <sz val="10"/>
        <rFont val="FreeSans"/>
        <family val="2"/>
      </rPr>
      <t xml:space="preserve">لوله   </t>
    </r>
    <r>
      <rPr>
        <sz val="10"/>
        <rFont val="Vazirmatn"/>
        <family val="0"/>
        <charset val="1"/>
      </rPr>
      <t xml:space="preserve">UPVC      "4</t>
    </r>
  </si>
  <si>
    <t xml:space="preserve">4029202</t>
  </si>
  <si>
    <r>
      <rPr>
        <sz val="10"/>
        <rFont val="FreeSans"/>
        <family val="2"/>
      </rPr>
      <t xml:space="preserve">لوله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PN10</t>
    </r>
  </si>
  <si>
    <t xml:space="preserve">31276213</t>
  </si>
  <si>
    <r>
      <rPr>
        <sz val="10"/>
        <rFont val="FreeSans"/>
        <family val="2"/>
      </rPr>
      <t xml:space="preserve">لوله </t>
    </r>
    <r>
      <rPr>
        <sz val="10"/>
        <rFont val="Vazirmatn"/>
        <family val="0"/>
        <charset val="1"/>
      </rPr>
      <t xml:space="preserve">" 1      UPVC</t>
    </r>
  </si>
  <si>
    <t xml:space="preserve">4029214</t>
  </si>
  <si>
    <r>
      <rPr>
        <sz val="10"/>
        <rFont val="FreeSans"/>
        <family val="2"/>
      </rPr>
      <t xml:space="preserve">لوله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PN10</t>
    </r>
  </si>
  <si>
    <t xml:space="preserve">31276220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</si>
  <si>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" C PVC          3/4</t>
    </r>
  </si>
  <si>
    <t xml:space="preserve">31276229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</si>
  <si>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"PIPE CPVC  DN 100 ) 4 )</t>
    </r>
  </si>
  <si>
    <t xml:space="preserve">4029204</t>
  </si>
  <si>
    <r>
      <rPr>
        <sz val="10"/>
        <rFont val="FreeSans"/>
        <family val="2"/>
      </rPr>
      <t xml:space="preserve">لوله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</si>
  <si>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31276238</t>
  </si>
  <si>
    <r>
      <rPr>
        <sz val="10"/>
        <rFont val="FreeSans"/>
        <family val="2"/>
      </rPr>
      <t xml:space="preserve">لوله آهنی مانیسمان            </t>
    </r>
    <r>
      <rPr>
        <sz val="10"/>
        <rFont val="Vazirmatn"/>
        <family val="0"/>
        <charset val="1"/>
      </rPr>
      <t xml:space="preserve">" 6</t>
    </r>
  </si>
  <si>
    <t xml:space="preserve">4031098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</si>
  <si>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اینچ</t>
    </r>
  </si>
  <si>
    <t xml:space="preserve">31276239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</si>
  <si>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 " 1/2</t>
    </r>
  </si>
  <si>
    <t xml:space="preserve">4029196</t>
  </si>
  <si>
    <r>
      <rPr>
        <sz val="10"/>
        <rFont val="FreeSans"/>
        <family val="2"/>
      </rPr>
      <t xml:space="preserve">لوله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</si>
  <si>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31276242</t>
  </si>
  <si>
    <r>
      <rPr>
        <sz val="10"/>
        <rFont val="FreeSans"/>
        <family val="2"/>
      </rPr>
      <t xml:space="preserve">لوله آهنی مانیسمان           </t>
    </r>
    <r>
      <rPr>
        <sz val="10"/>
        <rFont val="Vazirmatn"/>
        <family val="0"/>
        <charset val="1"/>
      </rPr>
      <t xml:space="preserve">" 2</t>
    </r>
  </si>
  <si>
    <t xml:space="preserve">4024254</t>
  </si>
  <si>
    <r>
      <rPr>
        <sz val="10"/>
        <rFont val="FreeSans"/>
        <family val="2"/>
      </rPr>
      <t xml:space="preserve">لوله کربن رده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</si>
  <si>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31276243</t>
  </si>
  <si>
    <r>
      <rPr>
        <sz val="10"/>
        <rFont val="FreeSans"/>
        <family val="2"/>
      </rPr>
      <t xml:space="preserve">لوله مانیسمان </t>
    </r>
    <r>
      <rPr>
        <sz val="10"/>
        <rFont val="Vazirmatn"/>
        <family val="0"/>
        <charset val="1"/>
      </rPr>
      <t xml:space="preserve">3/8</t>
    </r>
    <r>
      <rPr>
        <sz val="10"/>
        <rFont val="FreeSans"/>
        <family val="2"/>
      </rPr>
      <t xml:space="preserve">اینچ</t>
    </r>
  </si>
  <si>
    <t xml:space="preserve">4031077</t>
  </si>
  <si>
    <r>
      <rPr>
        <sz val="10"/>
        <rFont val="FreeSans"/>
        <family val="2"/>
      </rPr>
      <t xml:space="preserve">لوله استیل مانیسمان </t>
    </r>
    <r>
      <rPr>
        <sz val="10"/>
        <rFont val="Vazirmatn"/>
        <family val="0"/>
        <charset val="1"/>
      </rPr>
      <t xml:space="preserve">"3/8-ss316-s10</t>
    </r>
  </si>
  <si>
    <t xml:space="preserve">31276257</t>
  </si>
  <si>
    <r>
      <rPr>
        <sz val="10"/>
        <rFont val="FreeSans"/>
        <family val="2"/>
      </rPr>
      <t xml:space="preserve">لوله  فولادی برق   </t>
    </r>
    <r>
      <rPr>
        <sz val="10"/>
        <rFont val="Vazirmatn"/>
        <family val="0"/>
        <charset val="1"/>
      </rPr>
      <t xml:space="preserve">16</t>
    </r>
  </si>
  <si>
    <t xml:space="preserve">4005138</t>
  </si>
  <si>
    <r>
      <rPr>
        <sz val="10"/>
        <rFont val="FreeSans"/>
        <family val="2"/>
      </rPr>
      <t xml:space="preserve">لوله کاندوئيت فولادي </t>
    </r>
    <r>
      <rPr>
        <sz val="10"/>
        <rFont val="Vazirmatn"/>
        <family val="0"/>
        <charset val="1"/>
      </rPr>
      <t xml:space="preserve">PG16</t>
    </r>
  </si>
  <si>
    <t xml:space="preserve">31276262</t>
  </si>
  <si>
    <r>
      <rPr>
        <sz val="10"/>
        <rFont val="FreeSans"/>
        <family val="2"/>
      </rPr>
      <t xml:space="preserve">لوله پلیکا </t>
    </r>
    <r>
      <rPr>
        <sz val="10"/>
        <rFont val="Vazirmatn"/>
        <family val="0"/>
        <charset val="1"/>
      </rPr>
      <t xml:space="preserve">110</t>
    </r>
  </si>
  <si>
    <t xml:space="preserve">4029231</t>
  </si>
  <si>
    <r>
      <rPr>
        <sz val="10"/>
        <rFont val="FreeSans"/>
        <family val="2"/>
      </rPr>
      <t xml:space="preserve">لوله پلیکا سایز </t>
    </r>
    <r>
      <rPr>
        <sz val="10"/>
        <rFont val="Vazirmatn"/>
        <family val="0"/>
        <charset val="1"/>
      </rPr>
      <t xml:space="preserve">110 </t>
    </r>
    <r>
      <rPr>
        <sz val="10"/>
        <rFont val="FreeSans"/>
        <family val="2"/>
      </rPr>
      <t xml:space="preserve">فشار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بار</t>
    </r>
  </si>
  <si>
    <t xml:space="preserve">31276273</t>
  </si>
  <si>
    <r>
      <rPr>
        <sz val="10"/>
        <rFont val="FreeSans"/>
        <family val="2"/>
      </rPr>
      <t xml:space="preserve">لوله نیمه قوی پلیکا  </t>
    </r>
    <r>
      <rPr>
        <sz val="10"/>
        <rFont val="Vazirmatn"/>
        <family val="0"/>
        <charset val="1"/>
      </rPr>
      <t xml:space="preserve">63</t>
    </r>
  </si>
  <si>
    <t xml:space="preserve">31276274</t>
  </si>
  <si>
    <r>
      <rPr>
        <sz val="10"/>
        <rFont val="FreeSans"/>
        <family val="2"/>
      </rPr>
      <t xml:space="preserve">لوله      </t>
    </r>
    <r>
      <rPr>
        <sz val="10"/>
        <rFont val="Vazirmatn"/>
        <family val="0"/>
        <charset val="1"/>
      </rPr>
      <t xml:space="preserve">UPVC       "1</t>
    </r>
  </si>
  <si>
    <t xml:space="preserve">31276275</t>
  </si>
  <si>
    <r>
      <rPr>
        <sz val="10"/>
        <rFont val="FreeSans"/>
        <family val="2"/>
      </rPr>
      <t xml:space="preserve">لوله        </t>
    </r>
    <r>
      <rPr>
        <sz val="10"/>
        <rFont val="Vazirmatn"/>
        <family val="0"/>
        <charset val="1"/>
      </rPr>
      <t xml:space="preserve">Upvc   "3</t>
    </r>
  </si>
  <si>
    <t xml:space="preserve">4031137</t>
  </si>
  <si>
    <r>
      <rPr>
        <sz val="10"/>
        <rFont val="FreeSans"/>
        <family val="2"/>
      </rPr>
      <t xml:space="preserve">لوله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PN10</t>
    </r>
  </si>
  <si>
    <t xml:space="preserve">31276279</t>
  </si>
  <si>
    <r>
      <rPr>
        <sz val="10"/>
        <rFont val="FreeSans"/>
        <family val="2"/>
      </rPr>
      <t xml:space="preserve">لوله پلاستیکی برق </t>
    </r>
    <r>
      <rPr>
        <sz val="10"/>
        <rFont val="Vazirmatn"/>
        <family val="0"/>
        <charset val="1"/>
      </rPr>
      <t xml:space="preserve">16</t>
    </r>
  </si>
  <si>
    <t xml:space="preserve">4013243</t>
  </si>
  <si>
    <r>
      <rPr>
        <sz val="10"/>
        <rFont val="FreeSans"/>
        <family val="2"/>
      </rPr>
      <t xml:space="preserve">سرپلاستيکي لوله برق </t>
    </r>
    <r>
      <rPr>
        <sz val="10"/>
        <rFont val="Vazirmatn"/>
        <family val="0"/>
        <charset val="1"/>
      </rPr>
      <t xml:space="preserve">PG16</t>
    </r>
  </si>
  <si>
    <t xml:space="preserve">شاخه ← عدد</t>
  </si>
  <si>
    <t xml:space="preserve">31276292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</si>
  <si>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20   " 1/2</t>
    </r>
  </si>
  <si>
    <t xml:space="preserve">4031087</t>
  </si>
  <si>
    <r>
      <rPr>
        <sz val="10"/>
        <rFont val="FreeSans"/>
        <family val="2"/>
      </rPr>
      <t xml:space="preserve">لوله کربن رده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مانیسمان سایز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</si>
  <si>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31276294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</si>
  <si>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" 1</t>
    </r>
  </si>
  <si>
    <t xml:space="preserve">4031072</t>
  </si>
  <si>
    <r>
      <rPr>
        <sz val="10"/>
        <rFont val="FreeSans"/>
        <family val="2"/>
      </rPr>
      <t xml:space="preserve">لوله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</si>
  <si>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31276300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</si>
  <si>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10  "1/2</t>
    </r>
  </si>
  <si>
    <t xml:space="preserve">31276303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</si>
  <si>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 " 5</t>
    </r>
  </si>
  <si>
    <t xml:space="preserve">4031082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</si>
  <si>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اینچ</t>
    </r>
  </si>
  <si>
    <t xml:space="preserve">31276311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</si>
  <si>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 " 1</t>
    </r>
  </si>
  <si>
    <t xml:space="preserve">31276312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</si>
  <si>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 " 4</t>
    </r>
  </si>
  <si>
    <t xml:space="preserve">4031081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</si>
  <si>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</si>
  <si>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31276313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</si>
  <si>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 " 2</t>
    </r>
  </si>
  <si>
    <t xml:space="preserve">4031103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</si>
  <si>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</si>
  <si>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31276314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</si>
  <si>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10  "1/2 1</t>
    </r>
  </si>
  <si>
    <t xml:space="preserve">31276316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</si>
  <si>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" 12</t>
    </r>
  </si>
  <si>
    <t xml:space="preserve">4031085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</si>
  <si>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</t>
    </r>
    <r>
      <rPr>
        <sz val="10"/>
        <rFont val="FreeSans"/>
        <family val="2"/>
      </rPr>
      <t xml:space="preserve">مانیسمان سایز</t>
    </r>
    <r>
      <rPr>
        <sz val="10"/>
        <rFont val="Vazirmatn"/>
        <family val="0"/>
        <charset val="1"/>
      </rPr>
      <t xml:space="preserve">12</t>
    </r>
    <r>
      <rPr>
        <sz val="10"/>
        <rFont val="FreeSans"/>
        <family val="2"/>
      </rPr>
      <t xml:space="preserve">اینچ</t>
    </r>
  </si>
  <si>
    <t xml:space="preserve">31276318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</si>
  <si>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 " 3/4</t>
    </r>
  </si>
  <si>
    <t xml:space="preserve">31276319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</si>
  <si>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 " 1/2 2</t>
    </r>
  </si>
  <si>
    <t xml:space="preserve">4031076</t>
  </si>
  <si>
    <r>
      <rPr>
        <sz val="10"/>
        <rFont val="FreeSans"/>
        <family val="2"/>
      </rPr>
      <t xml:space="preserve">لوله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سایز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</si>
  <si>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31276320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</si>
  <si>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 " 1/2 1</t>
    </r>
  </si>
  <si>
    <t xml:space="preserve">4031074</t>
  </si>
  <si>
    <r>
      <rPr>
        <sz val="10"/>
        <rFont val="FreeSans"/>
        <family val="2"/>
      </rPr>
      <t xml:space="preserve">لوله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سایز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</si>
  <si>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31276321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</si>
  <si>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"1/4 1</t>
    </r>
  </si>
  <si>
    <t xml:space="preserve">4031073</t>
  </si>
  <si>
    <r>
      <rPr>
        <sz val="10"/>
        <rFont val="FreeSans"/>
        <family val="2"/>
      </rPr>
      <t xml:space="preserve">لوله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سایز</t>
    </r>
    <r>
      <rPr>
        <sz val="10"/>
        <rFont val="Vazirmatn"/>
        <family val="0"/>
        <charset val="1"/>
      </rPr>
      <t xml:space="preserve">1/4 1 </t>
    </r>
    <r>
      <rPr>
        <sz val="10"/>
        <rFont val="FreeSans"/>
        <family val="2"/>
      </rPr>
      <t xml:space="preserve">اینچ</t>
    </r>
  </si>
  <si>
    <t xml:space="preserve">31276322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</si>
  <si>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20   " 2</t>
    </r>
  </si>
  <si>
    <t xml:space="preserve">31276324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</si>
  <si>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20   " 3</t>
    </r>
  </si>
  <si>
    <t xml:space="preserve">31276331</t>
  </si>
  <si>
    <r>
      <rPr>
        <sz val="10"/>
        <rFont val="FreeSans"/>
        <family val="2"/>
      </rPr>
      <t xml:space="preserve">لوله آهنی جوشی درزدار رده </t>
    </r>
    <r>
      <rPr>
        <sz val="10"/>
        <rFont val="Vazirmatn"/>
        <family val="0"/>
        <charset val="1"/>
      </rPr>
      <t xml:space="preserve">10 "1</t>
    </r>
  </si>
  <si>
    <t xml:space="preserve">4029241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</si>
  <si>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درزدار 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</si>
  <si>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31276348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</si>
  <si>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" U PVC          1/2</t>
    </r>
  </si>
  <si>
    <t xml:space="preserve">4029215</t>
  </si>
  <si>
    <r>
      <rPr>
        <sz val="10"/>
        <rFont val="FreeSans"/>
        <family val="2"/>
      </rPr>
      <t xml:space="preserve">لوله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PN10</t>
    </r>
  </si>
  <si>
    <t xml:space="preserve">31276349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</si>
  <si>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20   "1</t>
    </r>
  </si>
  <si>
    <t xml:space="preserve">31276354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</si>
  <si>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20   " 1/2 1</t>
    </r>
  </si>
  <si>
    <t xml:space="preserve">31276373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</si>
  <si>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"3/8</t>
    </r>
  </si>
  <si>
    <t xml:space="preserve">31276374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</si>
  <si>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"3/4</t>
    </r>
  </si>
  <si>
    <t xml:space="preserve">4031089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</si>
  <si>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3/4</t>
    </r>
  </si>
  <si>
    <t xml:space="preserve">31276376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</si>
  <si>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"1/2 2</t>
    </r>
  </si>
  <si>
    <t xml:space="preserve">4031080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</si>
  <si>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</t>
    </r>
    <r>
      <rPr>
        <sz val="10"/>
        <rFont val="Vazirmatn"/>
        <family val="0"/>
        <charset val="1"/>
      </rPr>
      <t xml:space="preserve">" 1/2 2</t>
    </r>
  </si>
  <si>
    <t xml:space="preserve">31276381</t>
  </si>
  <si>
    <r>
      <rPr>
        <sz val="10"/>
        <rFont val="FreeSans"/>
        <family val="2"/>
      </rPr>
      <t xml:space="preserve">لوله مسی آسیاب ایمپکت  </t>
    </r>
    <r>
      <rPr>
        <sz val="10"/>
        <rFont val="Vazirmatn"/>
        <family val="0"/>
        <charset val="1"/>
      </rPr>
      <t xml:space="preserve">" 1/4</t>
    </r>
  </si>
  <si>
    <t xml:space="preserve">4029233</t>
  </si>
  <si>
    <r>
      <rPr>
        <sz val="10"/>
        <rFont val="FreeSans"/>
        <family val="2"/>
      </rPr>
      <t xml:space="preserve">لوله مسی سایز </t>
    </r>
    <r>
      <rPr>
        <sz val="10"/>
        <rFont val="Vazirmatn"/>
        <family val="0"/>
        <charset val="1"/>
      </rPr>
      <t xml:space="preserve">1/4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(6mm)</t>
    </r>
  </si>
  <si>
    <t xml:space="preserve">31276389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</si>
  <si>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" 1/2</t>
    </r>
  </si>
  <si>
    <t xml:space="preserve">31279249</t>
  </si>
  <si>
    <r>
      <rPr>
        <sz val="10"/>
        <rFont val="FreeSans"/>
        <family val="2"/>
      </rPr>
      <t xml:space="preserve">طلق شیشه ای شفاف </t>
    </r>
    <r>
      <rPr>
        <sz val="10"/>
        <rFont val="Vazirmatn"/>
        <family val="0"/>
        <charset val="1"/>
      </rPr>
      <t xml:space="preserve">3mm</t>
    </r>
  </si>
  <si>
    <t xml:space="preserve">5018553</t>
  </si>
  <si>
    <r>
      <rPr>
        <sz val="10"/>
        <rFont val="FreeSans"/>
        <family val="2"/>
      </rPr>
      <t xml:space="preserve">طلق شفاف </t>
    </r>
    <r>
      <rPr>
        <sz val="10"/>
        <rFont val="Vazirmatn"/>
        <family val="0"/>
        <charset val="1"/>
      </rPr>
      <t xml:space="preserve">1000*3</t>
    </r>
  </si>
  <si>
    <t xml:space="preserve">31279251</t>
  </si>
  <si>
    <r>
      <rPr>
        <sz val="10"/>
        <rFont val="FreeSans"/>
        <family val="2"/>
      </rPr>
      <t xml:space="preserve">طلق شفاف  </t>
    </r>
    <r>
      <rPr>
        <sz val="10"/>
        <rFont val="Vazirmatn"/>
        <family val="0"/>
        <charset val="1"/>
      </rPr>
      <t xml:space="preserve">5mm</t>
    </r>
  </si>
  <si>
    <t xml:space="preserve">5008361</t>
  </si>
  <si>
    <r>
      <rPr>
        <sz val="10"/>
        <rFont val="FreeSans"/>
        <family val="2"/>
      </rPr>
      <t xml:space="preserve">طلق شفاف </t>
    </r>
    <r>
      <rPr>
        <sz val="10"/>
        <rFont val="Vazirmatn"/>
        <family val="0"/>
        <charset val="1"/>
      </rPr>
      <t xml:space="preserve">3000*2000*5mm</t>
    </r>
  </si>
  <si>
    <r>
      <rPr>
        <sz val="10"/>
        <rFont val="FreeSans"/>
        <family val="2"/>
      </rPr>
      <t xml:space="preserve">متر مربع ← </t>
    </r>
    <r>
      <rPr>
        <sz val="10"/>
        <rFont val="Vazirmatn"/>
        <family val="0"/>
        <charset val="1"/>
      </rPr>
      <t xml:space="preserve">SHT</t>
    </r>
  </si>
  <si>
    <t xml:space="preserve">31279254</t>
  </si>
  <si>
    <r>
      <rPr>
        <sz val="10"/>
        <rFont val="FreeSans"/>
        <family val="2"/>
      </rPr>
      <t xml:space="preserve">طلق پلی کربنات شفاف  </t>
    </r>
    <r>
      <rPr>
        <sz val="10"/>
        <rFont val="Vazirmatn"/>
        <family val="0"/>
        <charset val="1"/>
      </rPr>
      <t xml:space="preserve">6mm</t>
    </r>
  </si>
  <si>
    <t xml:space="preserve">4034283</t>
  </si>
  <si>
    <r>
      <rPr>
        <sz val="10"/>
        <rFont val="FreeSans"/>
        <family val="2"/>
      </rPr>
      <t xml:space="preserve">طلق پلی کربنات </t>
    </r>
    <r>
      <rPr>
        <sz val="10"/>
        <rFont val="Vazirmatn"/>
        <family val="0"/>
        <charset val="1"/>
      </rPr>
      <t xml:space="preserve">915*635*MM6</t>
    </r>
  </si>
  <si>
    <t xml:space="preserve">31285118</t>
  </si>
  <si>
    <r>
      <rPr>
        <sz val="10"/>
        <rFont val="FreeSans"/>
        <family val="2"/>
      </rPr>
      <t xml:space="preserve">سنگ رومیزی </t>
    </r>
    <r>
      <rPr>
        <sz val="10"/>
        <rFont val="Vazirmatn"/>
        <family val="0"/>
        <charset val="1"/>
      </rPr>
      <t xml:space="preserve">( 200mm*25mm*32mm ( A46</t>
    </r>
  </si>
  <si>
    <t xml:space="preserve">6001539</t>
  </si>
  <si>
    <r>
      <rPr>
        <sz val="10"/>
        <rFont val="FreeSans"/>
        <family val="2"/>
      </rPr>
      <t xml:space="preserve">سنگ رومیزی </t>
    </r>
    <r>
      <rPr>
        <sz val="10"/>
        <rFont val="Vazirmatn"/>
        <family val="0"/>
        <charset val="1"/>
      </rPr>
      <t xml:space="preserve">200W</t>
    </r>
  </si>
  <si>
    <t xml:space="preserve">31285132</t>
  </si>
  <si>
    <r>
      <rPr>
        <sz val="10"/>
        <rFont val="FreeSans"/>
        <family val="2"/>
      </rPr>
      <t xml:space="preserve">سنباده آهن نمره </t>
    </r>
    <r>
      <rPr>
        <sz val="10"/>
        <rFont val="Vazirmatn"/>
        <family val="0"/>
        <charset val="1"/>
      </rPr>
      <t xml:space="preserve">: 100</t>
    </r>
  </si>
  <si>
    <t xml:space="preserve">5020500</t>
  </si>
  <si>
    <r>
      <rPr>
        <sz val="10"/>
        <rFont val="FreeSans"/>
        <family val="2"/>
      </rPr>
      <t xml:space="preserve">سنباده پودری </t>
    </r>
    <r>
      <rPr>
        <sz val="10"/>
        <rFont val="Vazirmatn"/>
        <family val="0"/>
        <charset val="1"/>
      </rPr>
      <t xml:space="preserve">100</t>
    </r>
    <r>
      <rPr>
        <sz val="10"/>
        <rFont val="FreeSans"/>
        <family val="2"/>
      </rPr>
      <t xml:space="preserve">آهن</t>
    </r>
  </si>
  <si>
    <t xml:space="preserve">متر ← کیلوگرم</t>
  </si>
  <si>
    <t xml:space="preserve">31285137</t>
  </si>
  <si>
    <r>
      <rPr>
        <sz val="10"/>
        <rFont val="FreeSans"/>
        <family val="2"/>
      </rPr>
      <t xml:space="preserve">سنباده </t>
    </r>
    <r>
      <rPr>
        <sz val="10"/>
        <rFont val="Vazirmatn"/>
        <family val="0"/>
        <charset val="1"/>
      </rPr>
      <t xml:space="preserve">P 100</t>
    </r>
  </si>
  <si>
    <t xml:space="preserve">5003899</t>
  </si>
  <si>
    <r>
      <rPr>
        <sz val="10"/>
        <rFont val="FreeSans"/>
        <family val="2"/>
      </rPr>
      <t xml:space="preserve">سنباده نواري </t>
    </r>
    <r>
      <rPr>
        <sz val="10"/>
        <rFont val="Vazirmatn"/>
        <family val="0"/>
        <charset val="1"/>
      </rPr>
      <t xml:space="preserve">P100</t>
    </r>
  </si>
  <si>
    <t xml:space="preserve">رول ← متر</t>
  </si>
  <si>
    <t xml:space="preserve">31286128</t>
  </si>
  <si>
    <r>
      <rPr>
        <sz val="10"/>
        <rFont val="FreeSans"/>
        <family val="2"/>
      </rPr>
      <t xml:space="preserve">آچار یکسر رینگ و یکسر تخت </t>
    </r>
    <r>
      <rPr>
        <sz val="10"/>
        <rFont val="Vazirmatn"/>
        <family val="0"/>
        <charset val="1"/>
      </rPr>
      <t xml:space="preserve">32 - 8</t>
    </r>
  </si>
  <si>
    <t xml:space="preserve">4032294</t>
  </si>
  <si>
    <r>
      <rPr>
        <sz val="10"/>
        <rFont val="FreeSans"/>
        <family val="2"/>
      </rPr>
      <t xml:space="preserve">آچار یکسر تخت یکسر رینگی نمره </t>
    </r>
    <r>
      <rPr>
        <sz val="10"/>
        <rFont val="Vazirmatn"/>
        <family val="0"/>
        <charset val="1"/>
      </rPr>
      <t xml:space="preserve">32</t>
    </r>
  </si>
  <si>
    <t xml:space="preserve">31286142</t>
  </si>
  <si>
    <r>
      <rPr>
        <sz val="10"/>
        <rFont val="FreeSans"/>
        <family val="2"/>
      </rPr>
      <t xml:space="preserve">میکرومتر  </t>
    </r>
    <r>
      <rPr>
        <sz val="10"/>
        <rFont val="Vazirmatn"/>
        <family val="0"/>
        <charset val="1"/>
      </rPr>
      <t xml:space="preserve">50 - 25</t>
    </r>
  </si>
  <si>
    <t xml:space="preserve">6001145</t>
  </si>
  <si>
    <t xml:space="preserve">میکرومتر</t>
  </si>
  <si>
    <t xml:space="preserve">31286211</t>
  </si>
  <si>
    <r>
      <rPr>
        <sz val="10"/>
        <rFont val="FreeSans"/>
        <family val="2"/>
      </rPr>
      <t xml:space="preserve">آچار آلن </t>
    </r>
    <r>
      <rPr>
        <sz val="10"/>
        <rFont val="Vazirmatn"/>
        <family val="0"/>
        <charset val="1"/>
      </rPr>
      <t xml:space="preserve">10 - 1  </t>
    </r>
    <r>
      <rPr>
        <sz val="10"/>
        <rFont val="FreeSans"/>
        <family val="2"/>
      </rPr>
      <t xml:space="preserve">کامل</t>
    </r>
  </si>
  <si>
    <t xml:space="preserve">4032290</t>
  </si>
  <si>
    <r>
      <rPr>
        <sz val="10"/>
        <rFont val="FreeSans"/>
        <family val="2"/>
      </rPr>
      <t xml:space="preserve">آچار آلن نمره </t>
    </r>
    <r>
      <rPr>
        <sz val="10"/>
        <rFont val="Vazirmatn"/>
        <family val="0"/>
        <charset val="1"/>
      </rPr>
      <t xml:space="preserve">10</t>
    </r>
  </si>
  <si>
    <t xml:space="preserve">31286401</t>
  </si>
  <si>
    <t xml:space="preserve">لیسه فنری بزرگ</t>
  </si>
  <si>
    <t xml:space="preserve">4026328</t>
  </si>
  <si>
    <t xml:space="preserve">لیسه فنری</t>
  </si>
  <si>
    <t xml:space="preserve">31286402</t>
  </si>
  <si>
    <t xml:space="preserve">لیسه فنری کوچک</t>
  </si>
  <si>
    <t xml:space="preserve">31289116</t>
  </si>
  <si>
    <t xml:space="preserve">دستکش نخی لاتکس</t>
  </si>
  <si>
    <t xml:space="preserve">5010878</t>
  </si>
  <si>
    <t xml:space="preserve">دستکش نخی سفید</t>
  </si>
  <si>
    <t xml:space="preserve">31289132</t>
  </si>
  <si>
    <r>
      <rPr>
        <sz val="10"/>
        <rFont val="FreeSans"/>
        <family val="2"/>
      </rPr>
      <t xml:space="preserve">ماسک پرستاری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پزشکی </t>
    </r>
    <r>
      <rPr>
        <sz val="10"/>
        <rFont val="Vazirmatn"/>
        <family val="0"/>
        <charset val="1"/>
      </rPr>
      <t xml:space="preserve">)</t>
    </r>
  </si>
  <si>
    <t xml:space="preserve">5010860</t>
  </si>
  <si>
    <t xml:space="preserve">ماسک  پرستاری</t>
  </si>
  <si>
    <t xml:space="preserve">31289345</t>
  </si>
  <si>
    <r>
      <rPr>
        <sz val="10"/>
        <rFont val="FreeSans"/>
        <family val="2"/>
      </rPr>
      <t xml:space="preserve">شمشه آلومینیومی </t>
    </r>
    <r>
      <rPr>
        <sz val="10"/>
        <rFont val="Vazirmatn"/>
        <family val="0"/>
        <charset val="1"/>
      </rPr>
      <t xml:space="preserve">3m</t>
    </r>
  </si>
  <si>
    <t xml:space="preserve">4024257</t>
  </si>
  <si>
    <t xml:space="preserve">شمشه آلومینیومی</t>
  </si>
  <si>
    <t xml:space="preserve">31291106</t>
  </si>
  <si>
    <r>
      <rPr>
        <sz val="10"/>
        <rFont val="FreeSans"/>
        <family val="2"/>
      </rPr>
      <t xml:space="preserve">ناودانی آهنی  نمره </t>
    </r>
    <r>
      <rPr>
        <sz val="10"/>
        <rFont val="Vazirmatn"/>
        <family val="0"/>
        <charset val="1"/>
      </rPr>
      <t xml:space="preserve">: 10</t>
    </r>
  </si>
  <si>
    <t xml:space="preserve">5013016</t>
  </si>
  <si>
    <r>
      <rPr>
        <sz val="10"/>
        <rFont val="FreeSans"/>
        <family val="2"/>
      </rPr>
      <t xml:space="preserve">ناودانی آهنی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متری سایز </t>
    </r>
    <r>
      <rPr>
        <sz val="10"/>
        <rFont val="Vazirmatn"/>
        <family val="0"/>
        <charset val="1"/>
      </rPr>
      <t xml:space="preserve">10</t>
    </r>
  </si>
  <si>
    <t xml:space="preserve">31291157</t>
  </si>
  <si>
    <r>
      <rPr>
        <sz val="10"/>
        <rFont val="FreeSans"/>
        <family val="2"/>
      </rPr>
      <t xml:space="preserve">ساندویچ پانل دیواری </t>
    </r>
    <r>
      <rPr>
        <sz val="10"/>
        <rFont val="Vazirmatn"/>
        <family val="0"/>
        <charset val="1"/>
      </rPr>
      <t xml:space="preserve">2m*1/14m*4Cm</t>
    </r>
  </si>
  <si>
    <t xml:space="preserve">5010722</t>
  </si>
  <si>
    <t xml:space="preserve">ساندویچ پنل دیواری دو رو</t>
  </si>
  <si>
    <r>
      <rPr>
        <sz val="10"/>
        <rFont val="FreeSans"/>
        <family val="2"/>
      </rPr>
      <t xml:space="preserve">عدد ← </t>
    </r>
    <r>
      <rPr>
        <sz val="10"/>
        <rFont val="Vazirmatn"/>
        <family val="0"/>
        <charset val="1"/>
      </rPr>
      <t xml:space="preserve">SHT</t>
    </r>
  </si>
  <si>
    <t xml:space="preserve">31291159</t>
  </si>
  <si>
    <r>
      <rPr>
        <sz val="10"/>
        <rFont val="FreeSans"/>
        <family val="2"/>
      </rPr>
      <t xml:space="preserve">ساندویچ پانل سقفی </t>
    </r>
    <r>
      <rPr>
        <sz val="10"/>
        <rFont val="Vazirmatn"/>
        <family val="0"/>
        <charset val="1"/>
      </rPr>
      <t xml:space="preserve">8m*1m*6Cm</t>
    </r>
  </si>
  <si>
    <t xml:space="preserve">5010720</t>
  </si>
  <si>
    <t xml:space="preserve">ساندویچ پنل سقفی یک رو</t>
  </si>
  <si>
    <t xml:space="preserve">31291230</t>
  </si>
  <si>
    <r>
      <rPr>
        <sz val="10"/>
        <rFont val="FreeSans"/>
        <family val="2"/>
      </rPr>
      <t xml:space="preserve">ورق فلاشینگ خم خورده </t>
    </r>
    <r>
      <rPr>
        <sz val="10"/>
        <rFont val="Vazirmatn"/>
        <family val="0"/>
        <charset val="1"/>
      </rPr>
      <t xml:space="preserve">( 20Cm*175Cm )</t>
    </r>
  </si>
  <si>
    <t xml:space="preserve">5014377</t>
  </si>
  <si>
    <r>
      <rPr>
        <sz val="10"/>
        <rFont val="FreeSans"/>
        <family val="2"/>
      </rPr>
      <t xml:space="preserve">ورق فلاشینگ </t>
    </r>
    <r>
      <rPr>
        <sz val="10"/>
        <rFont val="Vazirmatn"/>
        <family val="0"/>
        <charset val="1"/>
      </rPr>
      <t xml:space="preserve">GALV 20cm</t>
    </r>
  </si>
  <si>
    <t xml:space="preserve">31291530</t>
  </si>
  <si>
    <r>
      <rPr>
        <sz val="10"/>
        <rFont val="FreeSans"/>
        <family val="2"/>
      </rPr>
      <t xml:space="preserve">میلگرد آهنی       </t>
    </r>
    <r>
      <rPr>
        <sz val="10"/>
        <rFont val="Vazirmatn"/>
        <family val="0"/>
        <charset val="1"/>
      </rPr>
      <t xml:space="preserve">MM12</t>
    </r>
  </si>
  <si>
    <t xml:space="preserve">5003979</t>
  </si>
  <si>
    <r>
      <rPr>
        <sz val="10"/>
        <rFont val="FreeSans"/>
        <family val="2"/>
      </rPr>
      <t xml:space="preserve">ميلگرد </t>
    </r>
    <r>
      <rPr>
        <sz val="10"/>
        <rFont val="Vazirmatn"/>
        <family val="0"/>
        <charset val="1"/>
      </rPr>
      <t xml:space="preserve">S.S 12mm</t>
    </r>
  </si>
  <si>
    <t xml:space="preserve">31291557</t>
  </si>
  <si>
    <r>
      <rPr>
        <sz val="10"/>
        <rFont val="FreeSans"/>
        <family val="2"/>
      </rPr>
      <t xml:space="preserve">میلگرد استیل </t>
    </r>
    <r>
      <rPr>
        <sz val="10"/>
        <rFont val="Vazirmatn"/>
        <family val="0"/>
        <charset val="1"/>
      </rPr>
      <t xml:space="preserve">304  Q=12mm</t>
    </r>
  </si>
  <si>
    <t xml:space="preserve">31291592</t>
  </si>
  <si>
    <r>
      <rPr>
        <sz val="10"/>
        <rFont val="FreeSans"/>
        <family val="2"/>
      </rPr>
      <t xml:space="preserve">میلگرد تفلونی پلیمر فلوئوردار </t>
    </r>
    <r>
      <rPr>
        <sz val="10"/>
        <rFont val="Vazirmatn"/>
        <family val="0"/>
        <charset val="1"/>
      </rPr>
      <t xml:space="preserve">Q=120 50cm</t>
    </r>
  </si>
  <si>
    <t xml:space="preserve">5003991</t>
  </si>
  <si>
    <r>
      <rPr>
        <sz val="10"/>
        <rFont val="FreeSans"/>
        <family val="2"/>
      </rPr>
      <t xml:space="preserve">ميلگرد پليمر </t>
    </r>
    <r>
      <rPr>
        <sz val="10"/>
        <rFont val="Vazirmatn"/>
        <family val="0"/>
        <charset val="1"/>
      </rPr>
      <t xml:space="preserve">120mm</t>
    </r>
  </si>
  <si>
    <t xml:space="preserve">31291595</t>
  </si>
  <si>
    <r>
      <rPr>
        <sz val="10"/>
        <rFont val="FreeSans"/>
        <family val="2"/>
      </rPr>
      <t xml:space="preserve">میلگرد تفلونی پلی آمید    </t>
    </r>
    <r>
      <rPr>
        <sz val="10"/>
        <rFont val="Vazirmatn"/>
        <family val="0"/>
        <charset val="1"/>
      </rPr>
      <t xml:space="preserve">Q=90</t>
    </r>
  </si>
  <si>
    <t xml:space="preserve">4024251</t>
  </si>
  <si>
    <r>
      <rPr>
        <sz val="10"/>
        <rFont val="FreeSans"/>
        <family val="2"/>
      </rPr>
      <t xml:space="preserve">میلگرد پلی آمید قطر </t>
    </r>
    <r>
      <rPr>
        <sz val="10"/>
        <rFont val="Vazirmatn"/>
        <family val="0"/>
        <charset val="1"/>
      </rPr>
      <t xml:space="preserve">90mm</t>
    </r>
  </si>
  <si>
    <t xml:space="preserve">31291597</t>
  </si>
  <si>
    <r>
      <rPr>
        <sz val="10"/>
        <rFont val="FreeSans"/>
        <family val="2"/>
      </rPr>
      <t xml:space="preserve">میلگرد تفلونی پلی آمید    </t>
    </r>
    <r>
      <rPr>
        <sz val="10"/>
        <rFont val="Vazirmatn"/>
        <family val="0"/>
        <charset val="1"/>
      </rPr>
      <t xml:space="preserve">Q=120</t>
    </r>
  </si>
  <si>
    <t xml:space="preserve">5014058</t>
  </si>
  <si>
    <r>
      <rPr>
        <sz val="10"/>
        <rFont val="FreeSans"/>
        <family val="2"/>
      </rPr>
      <t xml:space="preserve">میلگرد پلی آمید قطر </t>
    </r>
    <r>
      <rPr>
        <sz val="10"/>
        <rFont val="Vazirmatn"/>
        <family val="0"/>
        <charset val="1"/>
      </rPr>
      <t xml:space="preserve">120*MM 550</t>
    </r>
  </si>
  <si>
    <r>
      <rPr>
        <sz val="10"/>
        <rFont val="FreeSans"/>
        <family val="2"/>
      </rPr>
      <t xml:space="preserve">کیلوگرم ← </t>
    </r>
    <r>
      <rPr>
        <sz val="10"/>
        <rFont val="Vazirmatn"/>
        <family val="0"/>
        <charset val="1"/>
      </rPr>
      <t xml:space="preserve">SHK</t>
    </r>
  </si>
  <si>
    <t xml:space="preserve">31291608</t>
  </si>
  <si>
    <r>
      <rPr>
        <sz val="10"/>
        <rFont val="FreeSans"/>
        <family val="2"/>
      </rPr>
      <t xml:space="preserve">ورق فلاشینگ ضخامت </t>
    </r>
    <r>
      <rPr>
        <sz val="10"/>
        <rFont val="Vazirmatn"/>
        <family val="0"/>
        <charset val="1"/>
      </rPr>
      <t xml:space="preserve">0/5mm</t>
    </r>
  </si>
  <si>
    <t xml:space="preserve">5010737</t>
  </si>
  <si>
    <r>
      <rPr>
        <sz val="10"/>
        <rFont val="FreeSans"/>
        <family val="2"/>
      </rPr>
      <t xml:space="preserve">ورق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0/5 </t>
    </r>
    <r>
      <rPr>
        <sz val="10"/>
        <rFont val="FreeSans"/>
        <family val="2"/>
      </rPr>
      <t xml:space="preserve">میلیمتر</t>
    </r>
  </si>
  <si>
    <t xml:space="preserve">متر مربع ← متر</t>
  </si>
  <si>
    <t xml:space="preserve">31291748</t>
  </si>
  <si>
    <r>
      <rPr>
        <sz val="10"/>
        <rFont val="FreeSans"/>
        <family val="2"/>
      </rPr>
      <t xml:space="preserve">ورق استیل      </t>
    </r>
    <r>
      <rPr>
        <sz val="10"/>
        <rFont val="Vazirmatn"/>
        <family val="0"/>
        <charset val="1"/>
      </rPr>
      <t xml:space="preserve">304         1*1*20mm</t>
    </r>
  </si>
  <si>
    <t xml:space="preserve">5017704</t>
  </si>
  <si>
    <r>
      <rPr>
        <sz val="10"/>
        <rFont val="FreeSans"/>
        <family val="2"/>
      </rPr>
      <t xml:space="preserve">ورق ساده </t>
    </r>
    <r>
      <rPr>
        <sz val="10"/>
        <rFont val="Vazirmatn"/>
        <family val="0"/>
        <charset val="1"/>
      </rPr>
      <t xml:space="preserve">1mm S.S 304</t>
    </r>
  </si>
  <si>
    <t xml:space="preserve">کیلوگرم ← متر مربع</t>
  </si>
  <si>
    <t xml:space="preserve">31291750</t>
  </si>
  <si>
    <r>
      <rPr>
        <sz val="10"/>
        <rFont val="FreeSans"/>
        <family val="2"/>
      </rPr>
      <t xml:space="preserve">ورق استیل </t>
    </r>
    <r>
      <rPr>
        <sz val="10"/>
        <rFont val="Vazirmatn"/>
        <family val="0"/>
        <charset val="1"/>
      </rPr>
      <t xml:space="preserve">316  1*2*3mm</t>
    </r>
  </si>
  <si>
    <t xml:space="preserve">5017711</t>
  </si>
  <si>
    <r>
      <rPr>
        <sz val="10"/>
        <rFont val="FreeSans"/>
        <family val="2"/>
      </rPr>
      <t xml:space="preserve">ورق </t>
    </r>
    <r>
      <rPr>
        <sz val="10"/>
        <rFont val="Vazirmatn"/>
        <family val="0"/>
        <charset val="1"/>
      </rPr>
      <t xml:space="preserve">1mm S.S 316</t>
    </r>
  </si>
  <si>
    <t xml:space="preserve">31291751</t>
  </si>
  <si>
    <r>
      <rPr>
        <sz val="10"/>
        <rFont val="FreeSans"/>
        <family val="2"/>
      </rPr>
      <t xml:space="preserve">ورق استیل </t>
    </r>
    <r>
      <rPr>
        <sz val="10"/>
        <rFont val="Vazirmatn"/>
        <family val="0"/>
        <charset val="1"/>
      </rPr>
      <t xml:space="preserve">304  2m * 1m * 10mm</t>
    </r>
  </si>
  <si>
    <t xml:space="preserve">31291752</t>
  </si>
  <si>
    <r>
      <rPr>
        <sz val="10"/>
        <rFont val="FreeSans"/>
        <family val="2"/>
      </rPr>
      <t xml:space="preserve">ورق استیل      </t>
    </r>
    <r>
      <rPr>
        <sz val="10"/>
        <rFont val="Vazirmatn"/>
        <family val="0"/>
        <charset val="1"/>
      </rPr>
      <t xml:space="preserve">316         1*2*4mm</t>
    </r>
  </si>
  <si>
    <t xml:space="preserve">31291753</t>
  </si>
  <si>
    <r>
      <rPr>
        <sz val="10"/>
        <rFont val="FreeSans"/>
        <family val="2"/>
      </rPr>
      <t xml:space="preserve">ورق استیل </t>
    </r>
    <r>
      <rPr>
        <sz val="10"/>
        <rFont val="Vazirmatn"/>
        <family val="0"/>
        <charset val="1"/>
      </rPr>
      <t xml:space="preserve">316  2m * 1m * 5mm</t>
    </r>
  </si>
  <si>
    <t xml:space="preserve">31291754</t>
  </si>
  <si>
    <r>
      <rPr>
        <sz val="10"/>
        <rFont val="FreeSans"/>
        <family val="2"/>
      </rPr>
      <t xml:space="preserve">ورق استیل </t>
    </r>
    <r>
      <rPr>
        <sz val="10"/>
        <rFont val="Vazirmatn"/>
        <family val="0"/>
        <charset val="1"/>
      </rPr>
      <t xml:space="preserve">304  2/5m * 1/25m * 3mm</t>
    </r>
  </si>
  <si>
    <t xml:space="preserve">5017714</t>
  </si>
  <si>
    <r>
      <rPr>
        <sz val="10"/>
        <rFont val="FreeSans"/>
        <family val="2"/>
      </rPr>
      <t xml:space="preserve">ورق ساده </t>
    </r>
    <r>
      <rPr>
        <sz val="10"/>
        <rFont val="Vazirmatn"/>
        <family val="0"/>
        <charset val="1"/>
      </rPr>
      <t xml:space="preserve">3mm S.S 304</t>
    </r>
  </si>
  <si>
    <t xml:space="preserve">31291757</t>
  </si>
  <si>
    <r>
      <rPr>
        <sz val="10"/>
        <rFont val="FreeSans"/>
        <family val="2"/>
      </rPr>
      <t xml:space="preserve">ورق استیل </t>
    </r>
    <r>
      <rPr>
        <sz val="10"/>
        <rFont val="Vazirmatn"/>
        <family val="0"/>
        <charset val="1"/>
      </rPr>
      <t xml:space="preserve">304  2m * 1m * 2mm</t>
    </r>
  </si>
  <si>
    <t xml:space="preserve">5017715</t>
  </si>
  <si>
    <r>
      <rPr>
        <sz val="10"/>
        <rFont val="FreeSans"/>
        <family val="2"/>
      </rPr>
      <t xml:space="preserve">ورق ساده </t>
    </r>
    <r>
      <rPr>
        <sz val="10"/>
        <rFont val="Vazirmatn"/>
        <family val="0"/>
        <charset val="1"/>
      </rPr>
      <t xml:space="preserve">2mm S.S 304</t>
    </r>
  </si>
  <si>
    <t xml:space="preserve">31291758</t>
  </si>
  <si>
    <r>
      <rPr>
        <sz val="10"/>
        <rFont val="FreeSans"/>
        <family val="2"/>
      </rPr>
      <t xml:space="preserve">ورق استیل </t>
    </r>
    <r>
      <rPr>
        <sz val="10"/>
        <rFont val="Vazirmatn"/>
        <family val="0"/>
        <charset val="1"/>
      </rPr>
      <t xml:space="preserve">304  3m * 1/5m * 2mm</t>
    </r>
  </si>
  <si>
    <t xml:space="preserve">31291759</t>
  </si>
  <si>
    <r>
      <rPr>
        <sz val="10"/>
        <rFont val="FreeSans"/>
        <family val="2"/>
      </rPr>
      <t xml:space="preserve">ورق استیل </t>
    </r>
    <r>
      <rPr>
        <sz val="10"/>
        <rFont val="Vazirmatn"/>
        <family val="0"/>
        <charset val="1"/>
      </rPr>
      <t xml:space="preserve">304  2m * 1m * 3mm</t>
    </r>
  </si>
  <si>
    <t xml:space="preserve">31291760</t>
  </si>
  <si>
    <r>
      <rPr>
        <sz val="10"/>
        <rFont val="FreeSans"/>
        <family val="2"/>
      </rPr>
      <t xml:space="preserve">ورق استیل </t>
    </r>
    <r>
      <rPr>
        <sz val="10"/>
        <rFont val="Vazirmatn"/>
        <family val="0"/>
        <charset val="1"/>
      </rPr>
      <t xml:space="preserve">316  1*2*2mm</t>
    </r>
  </si>
  <si>
    <t xml:space="preserve">31291800</t>
  </si>
  <si>
    <r>
      <rPr>
        <sz val="10"/>
        <rFont val="FreeSans"/>
        <family val="2"/>
      </rPr>
      <t xml:space="preserve">نبشی آهنی </t>
    </r>
    <r>
      <rPr>
        <sz val="10"/>
        <rFont val="Vazirmatn"/>
        <family val="0"/>
        <charset val="1"/>
      </rPr>
      <t xml:space="preserve">4mm   40 * 40</t>
    </r>
  </si>
  <si>
    <t xml:space="preserve">5020076</t>
  </si>
  <si>
    <r>
      <rPr>
        <sz val="10"/>
        <rFont val="FreeSans"/>
        <family val="2"/>
      </rPr>
      <t xml:space="preserve">نبشی </t>
    </r>
    <r>
      <rPr>
        <sz val="10"/>
        <rFont val="Vazirmatn"/>
        <family val="0"/>
        <charset val="1"/>
      </rPr>
      <t xml:space="preserve">C.S 40*40*4mm</t>
    </r>
  </si>
  <si>
    <t xml:space="preserve">31291801</t>
  </si>
  <si>
    <r>
      <rPr>
        <sz val="10"/>
        <rFont val="FreeSans"/>
        <family val="2"/>
      </rPr>
      <t xml:space="preserve">نبشی آهنی </t>
    </r>
    <r>
      <rPr>
        <sz val="10"/>
        <rFont val="Vazirmatn"/>
        <family val="0"/>
        <charset val="1"/>
      </rPr>
      <t xml:space="preserve">5mm   50 * 50</t>
    </r>
  </si>
  <si>
    <t xml:space="preserve">5014290</t>
  </si>
  <si>
    <r>
      <rPr>
        <sz val="10"/>
        <rFont val="FreeSans"/>
        <family val="2"/>
      </rPr>
      <t xml:space="preserve">نبشی </t>
    </r>
    <r>
      <rPr>
        <sz val="10"/>
        <rFont val="Vazirmatn"/>
        <family val="0"/>
        <charset val="1"/>
      </rPr>
      <t xml:space="preserve">C.S 50*50*5mm</t>
    </r>
  </si>
  <si>
    <t xml:space="preserve">31291803</t>
  </si>
  <si>
    <r>
      <rPr>
        <sz val="10"/>
        <rFont val="FreeSans"/>
        <family val="2"/>
      </rPr>
      <t xml:space="preserve">نبشی آهنی </t>
    </r>
    <r>
      <rPr>
        <sz val="10"/>
        <rFont val="Vazirmatn"/>
        <family val="0"/>
        <charset val="1"/>
      </rPr>
      <t xml:space="preserve">8mm   80 * 80</t>
    </r>
  </si>
  <si>
    <t xml:space="preserve">5014683</t>
  </si>
  <si>
    <r>
      <rPr>
        <sz val="10"/>
        <rFont val="FreeSans"/>
        <family val="2"/>
      </rPr>
      <t xml:space="preserve">نبشی آهن طول </t>
    </r>
    <r>
      <rPr>
        <sz val="10"/>
        <rFont val="Vazirmatn"/>
        <family val="0"/>
        <charset val="1"/>
      </rPr>
      <t xml:space="preserve">8cm 8*80*80</t>
    </r>
  </si>
  <si>
    <t xml:space="preserve">31291804</t>
  </si>
  <si>
    <r>
      <rPr>
        <sz val="10"/>
        <rFont val="FreeSans"/>
        <family val="2"/>
      </rPr>
      <t xml:space="preserve">نبشی آهنی </t>
    </r>
    <r>
      <rPr>
        <sz val="10"/>
        <rFont val="Vazirmatn"/>
        <family val="0"/>
        <charset val="1"/>
      </rPr>
      <t xml:space="preserve">3mm   40 * 40</t>
    </r>
  </si>
  <si>
    <t xml:space="preserve">5015135</t>
  </si>
  <si>
    <r>
      <rPr>
        <sz val="10"/>
        <rFont val="FreeSans"/>
        <family val="2"/>
      </rPr>
      <t xml:space="preserve">نبشی </t>
    </r>
    <r>
      <rPr>
        <sz val="10"/>
        <rFont val="Vazirmatn"/>
        <family val="0"/>
        <charset val="1"/>
      </rPr>
      <t xml:space="preserve">C.S 40*40*3mm</t>
    </r>
  </si>
  <si>
    <t xml:space="preserve">31291805</t>
  </si>
  <si>
    <r>
      <rPr>
        <sz val="10"/>
        <rFont val="FreeSans"/>
        <family val="2"/>
      </rPr>
      <t xml:space="preserve">نبشی آهنی </t>
    </r>
    <r>
      <rPr>
        <sz val="10"/>
        <rFont val="Vazirmatn"/>
        <family val="0"/>
        <charset val="1"/>
      </rPr>
      <t xml:space="preserve">10mm   100 * 100</t>
    </r>
  </si>
  <si>
    <t xml:space="preserve">31291806</t>
  </si>
  <si>
    <r>
      <rPr>
        <sz val="10"/>
        <rFont val="FreeSans"/>
        <family val="2"/>
      </rPr>
      <t xml:space="preserve">نبشی آهنی </t>
    </r>
    <r>
      <rPr>
        <sz val="10"/>
        <rFont val="Vazirmatn"/>
        <family val="0"/>
        <charset val="1"/>
      </rPr>
      <t xml:space="preserve">3mm   50 * 50</t>
    </r>
  </si>
  <si>
    <t xml:space="preserve">5015979</t>
  </si>
  <si>
    <r>
      <rPr>
        <sz val="10"/>
        <rFont val="FreeSans"/>
        <family val="2"/>
      </rPr>
      <t xml:space="preserve">نبشی </t>
    </r>
    <r>
      <rPr>
        <sz val="10"/>
        <rFont val="Vazirmatn"/>
        <family val="0"/>
        <charset val="1"/>
      </rPr>
      <t xml:space="preserve">C.S 50*50*3mm</t>
    </r>
  </si>
  <si>
    <t xml:space="preserve">31291847</t>
  </si>
  <si>
    <r>
      <rPr>
        <sz val="10"/>
        <rFont val="FreeSans"/>
        <family val="2"/>
      </rPr>
      <t xml:space="preserve">نبشی استیل </t>
    </r>
    <r>
      <rPr>
        <sz val="10"/>
        <rFont val="Vazirmatn"/>
        <family val="0"/>
        <charset val="1"/>
      </rPr>
      <t xml:space="preserve">304  40*40      4mm</t>
    </r>
  </si>
  <si>
    <t xml:space="preserve">5004047</t>
  </si>
  <si>
    <r>
      <rPr>
        <sz val="10"/>
        <rFont val="FreeSans"/>
        <family val="2"/>
      </rPr>
      <t xml:space="preserve">نبشي</t>
    </r>
    <r>
      <rPr>
        <sz val="10"/>
        <rFont val="Vazirmatn"/>
        <family val="0"/>
        <charset val="1"/>
      </rPr>
      <t xml:space="preserve">S.S 40*40mm</t>
    </r>
  </si>
  <si>
    <t xml:space="preserve">31291901</t>
  </si>
  <si>
    <r>
      <rPr>
        <sz val="10"/>
        <rFont val="FreeSans"/>
        <family val="2"/>
      </rPr>
      <t xml:space="preserve">ناودانی آهنی  نمره </t>
    </r>
    <r>
      <rPr>
        <sz val="10"/>
        <rFont val="Vazirmatn"/>
        <family val="0"/>
        <charset val="1"/>
      </rPr>
      <t xml:space="preserve">10</t>
    </r>
  </si>
  <si>
    <t xml:space="preserve">31291902</t>
  </si>
  <si>
    <r>
      <rPr>
        <sz val="10"/>
        <rFont val="FreeSans"/>
        <family val="2"/>
      </rPr>
      <t xml:space="preserve">ناودانی آهنی  نمره </t>
    </r>
    <r>
      <rPr>
        <sz val="10"/>
        <rFont val="Vazirmatn"/>
        <family val="0"/>
        <charset val="1"/>
      </rPr>
      <t xml:space="preserve">14</t>
    </r>
  </si>
  <si>
    <t xml:space="preserve">5013017</t>
  </si>
  <si>
    <r>
      <rPr>
        <sz val="10"/>
        <rFont val="FreeSans"/>
        <family val="2"/>
      </rPr>
      <t xml:space="preserve">ناودانی آهنی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متری سایز </t>
    </r>
    <r>
      <rPr>
        <sz val="10"/>
        <rFont val="Vazirmatn"/>
        <family val="0"/>
        <charset val="1"/>
      </rPr>
      <t xml:space="preserve">14</t>
    </r>
  </si>
  <si>
    <t xml:space="preserve">31291911</t>
  </si>
  <si>
    <r>
      <rPr>
        <sz val="10"/>
        <rFont val="FreeSans"/>
        <family val="2"/>
      </rPr>
      <t xml:space="preserve">ناودانی آهنی   نمره </t>
    </r>
    <r>
      <rPr>
        <sz val="10"/>
        <rFont val="Vazirmatn"/>
        <family val="0"/>
        <charset val="1"/>
      </rPr>
      <t xml:space="preserve">12</t>
    </r>
  </si>
  <si>
    <t xml:space="preserve">31292116</t>
  </si>
  <si>
    <t xml:space="preserve">اسپری رنگ سفید</t>
  </si>
  <si>
    <t xml:space="preserve">4030755</t>
  </si>
  <si>
    <t xml:space="preserve">رنگ اسپری سفید مات</t>
  </si>
  <si>
    <t xml:space="preserve">CAN</t>
  </si>
  <si>
    <r>
      <rPr>
        <sz val="10"/>
        <rFont val="FreeSans"/>
        <family val="2"/>
      </rPr>
      <t xml:space="preserve">عدد ← </t>
    </r>
    <r>
      <rPr>
        <sz val="10"/>
        <rFont val="Vazirmatn"/>
        <family val="0"/>
        <charset val="1"/>
      </rPr>
      <t xml:space="preserve">CAN</t>
    </r>
  </si>
  <si>
    <t xml:space="preserve">31292127</t>
  </si>
  <si>
    <r>
      <rPr>
        <sz val="10"/>
        <rFont val="FreeSans"/>
        <family val="2"/>
      </rPr>
      <t xml:space="preserve">اسپری زنگ بر    </t>
    </r>
    <r>
      <rPr>
        <sz val="10"/>
        <rFont val="Vazirmatn"/>
        <family val="0"/>
        <charset val="1"/>
      </rPr>
      <t xml:space="preserve">WD-40</t>
    </r>
  </si>
  <si>
    <t xml:space="preserve">5002316</t>
  </si>
  <si>
    <r>
      <rPr>
        <sz val="10"/>
        <rFont val="FreeSans"/>
        <family val="2"/>
      </rPr>
      <t xml:space="preserve">اسپری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زنگ بر </t>
    </r>
    <r>
      <rPr>
        <sz val="10"/>
        <rFont val="Vazirmatn"/>
        <family val="0"/>
        <charset val="1"/>
      </rPr>
      <t xml:space="preserve">w40</t>
    </r>
  </si>
  <si>
    <t xml:space="preserve">31292250</t>
  </si>
  <si>
    <t xml:space="preserve">بتونه ماستیک</t>
  </si>
  <si>
    <t xml:space="preserve">5014132</t>
  </si>
  <si>
    <t xml:space="preserve">بتونه درزگیر و ماستیک</t>
  </si>
  <si>
    <t xml:space="preserve">31294103</t>
  </si>
  <si>
    <r>
      <rPr>
        <sz val="10"/>
        <rFont val="FreeSans"/>
        <family val="2"/>
      </rPr>
      <t xml:space="preserve">تیوپ لاستیک دوچرخه </t>
    </r>
    <r>
      <rPr>
        <sz val="10"/>
        <rFont val="Vazirmatn"/>
        <family val="0"/>
        <charset val="1"/>
      </rPr>
      <t xml:space="preserve">26</t>
    </r>
  </si>
  <si>
    <t xml:space="preserve">5000628</t>
  </si>
  <si>
    <r>
      <rPr>
        <sz val="10"/>
        <rFont val="FreeSans"/>
        <family val="2"/>
      </rPr>
      <t xml:space="preserve">تيوپ دوچرخه </t>
    </r>
    <r>
      <rPr>
        <sz val="10"/>
        <rFont val="Vazirmatn"/>
        <family val="0"/>
        <charset val="1"/>
      </rPr>
      <t xml:space="preserve">26</t>
    </r>
  </si>
  <si>
    <t xml:space="preserve">31299202</t>
  </si>
  <si>
    <t xml:space="preserve">نوار  خطر</t>
  </si>
  <si>
    <t xml:space="preserve">4030689</t>
  </si>
  <si>
    <t xml:space="preserve">نوار خطر زرد</t>
  </si>
  <si>
    <t xml:space="preserve">رول ← عدد</t>
  </si>
  <si>
    <t xml:space="preserve">31299305</t>
  </si>
  <si>
    <r>
      <rPr>
        <sz val="10"/>
        <rFont val="FreeSans"/>
        <family val="2"/>
      </rPr>
      <t xml:space="preserve">لوازم واپرایزور  </t>
    </r>
    <r>
      <rPr>
        <sz val="10"/>
        <rFont val="Vazirmatn"/>
        <family val="0"/>
        <charset val="1"/>
      </rPr>
      <t xml:space="preserve">( 9730243 )</t>
    </r>
  </si>
  <si>
    <t xml:space="preserve">4050237</t>
  </si>
  <si>
    <r>
      <rPr>
        <sz val="10"/>
        <rFont val="FreeSans"/>
        <family val="2"/>
      </rPr>
      <t xml:space="preserve">لوازم واپرایزر لیفتراک 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تن </t>
    </r>
    <r>
      <rPr>
        <sz val="10"/>
        <rFont val="Vazirmatn"/>
        <family val="0"/>
        <charset val="1"/>
      </rPr>
      <t xml:space="preserve">RK-J(9730243)</t>
    </r>
  </si>
  <si>
    <t xml:space="preserve">31299811</t>
  </si>
  <si>
    <r>
      <rPr>
        <sz val="10"/>
        <rFont val="FreeSans"/>
        <family val="2"/>
      </rPr>
      <t xml:space="preserve">عایق لوله مسی   </t>
    </r>
    <r>
      <rPr>
        <sz val="10"/>
        <rFont val="Vazirmatn"/>
        <family val="0"/>
        <charset val="1"/>
      </rPr>
      <t xml:space="preserve">5/8</t>
    </r>
  </si>
  <si>
    <t xml:space="preserve">5014586</t>
  </si>
  <si>
    <r>
      <rPr>
        <sz val="10"/>
        <rFont val="FreeSans"/>
        <family val="2"/>
      </rPr>
      <t xml:space="preserve">عایق لوله مسی سایز </t>
    </r>
    <r>
      <rPr>
        <sz val="10"/>
        <rFont val="Vazirmatn"/>
        <family val="0"/>
        <charset val="1"/>
      </rPr>
      <t xml:space="preserve">5/8</t>
    </r>
    <r>
      <rPr>
        <sz val="10"/>
        <rFont val="FreeSans"/>
        <family val="2"/>
      </rPr>
      <t xml:space="preserve">اینچ</t>
    </r>
    <r>
      <rPr>
        <sz val="10"/>
        <rFont val="Vazirmatn"/>
        <family val="0"/>
        <charset val="1"/>
      </rPr>
      <t xml:space="preserve">( 9mm)</t>
    </r>
  </si>
  <si>
    <t xml:space="preserve">31299884</t>
  </si>
  <si>
    <t xml:space="preserve">فیلتر هوای پاک</t>
  </si>
  <si>
    <t xml:space="preserve">4028887</t>
  </si>
  <si>
    <t xml:space="preserve">فیلتر هوای پاژن</t>
  </si>
  <si>
    <t xml:space="preserve">31299941</t>
  </si>
  <si>
    <t xml:space="preserve">سوزن چرخ دوخت</t>
  </si>
  <si>
    <t xml:space="preserve">4006710</t>
  </si>
  <si>
    <t xml:space="preserve">سوزن چرخ دستي</t>
  </si>
  <si>
    <t xml:space="preserve">31299969</t>
  </si>
  <si>
    <t xml:space="preserve">باتری لپ تاپ</t>
  </si>
  <si>
    <t xml:space="preserve">5023225</t>
  </si>
  <si>
    <r>
      <rPr>
        <sz val="10"/>
        <rFont val="FreeSans"/>
        <family val="2"/>
      </rPr>
      <t xml:space="preserve">باطری لپ تاپ </t>
    </r>
    <r>
      <rPr>
        <sz val="10"/>
        <rFont val="Vazirmatn"/>
        <family val="0"/>
        <charset val="1"/>
      </rPr>
      <t xml:space="preserve">HP</t>
    </r>
  </si>
  <si>
    <t xml:space="preserve">31299998</t>
  </si>
  <si>
    <t xml:space="preserve">مانیتور</t>
  </si>
  <si>
    <t xml:space="preserve">6006687</t>
  </si>
  <si>
    <t xml:space="preserve">مانیتور پرتابل</t>
  </si>
  <si>
    <t xml:space="preserve">33299618</t>
  </si>
  <si>
    <t xml:space="preserve">قیر  شل</t>
  </si>
  <si>
    <t xml:space="preserve">بشکه</t>
  </si>
  <si>
    <t xml:space="preserve">5003519</t>
  </si>
  <si>
    <t xml:space="preserve">قير</t>
  </si>
  <si>
    <t xml:space="preserve">بشکه ← کیلوگرم</t>
  </si>
  <si>
    <t xml:space="preserve">33299619</t>
  </si>
  <si>
    <t xml:space="preserve">قیر سفت</t>
  </si>
  <si>
    <t xml:space="preserve">کارتن</t>
  </si>
  <si>
    <t xml:space="preserve">کارتن ← کیلوگرم</t>
  </si>
  <si>
    <t xml:space="preserve">33900011</t>
  </si>
  <si>
    <t xml:space="preserve">پودر خاک سنگ</t>
  </si>
  <si>
    <t xml:space="preserve">کیسه</t>
  </si>
  <si>
    <t xml:space="preserve">5000169</t>
  </si>
  <si>
    <t xml:space="preserve">پودر سنگ</t>
  </si>
  <si>
    <t xml:space="preserve">کیسه ← کیلوگرم</t>
  </si>
  <si>
    <t xml:space="preserve">33900012</t>
  </si>
  <si>
    <t xml:space="preserve">گچ سفید</t>
  </si>
  <si>
    <t xml:space="preserve">5003505</t>
  </si>
  <si>
    <t xml:space="preserve">گچ کيسه اي سفيد سمنان</t>
  </si>
  <si>
    <t xml:space="preserve">33900018</t>
  </si>
  <si>
    <t xml:space="preserve">سیمان سفید</t>
  </si>
  <si>
    <t xml:space="preserve">5003503</t>
  </si>
  <si>
    <t xml:space="preserve">سيمان سفيد پاکتي</t>
  </si>
  <si>
    <t xml:space="preserve">33900045</t>
  </si>
  <si>
    <t xml:space="preserve">ضد یخ بتون</t>
  </si>
  <si>
    <t xml:space="preserve">5008529</t>
  </si>
  <si>
    <t xml:space="preserve">ضد یخ بتن</t>
  </si>
  <si>
    <t xml:space="preserve">33900157</t>
  </si>
  <si>
    <r>
      <rPr>
        <sz val="10"/>
        <rFont val="FreeSans"/>
        <family val="2"/>
      </rPr>
      <t xml:space="preserve">سیمان نسوز  </t>
    </r>
    <r>
      <rPr>
        <sz val="10"/>
        <rFont val="Vazirmatn"/>
        <family val="0"/>
        <charset val="1"/>
      </rPr>
      <t xml:space="preserve">ES )  EF cast )</t>
    </r>
  </si>
  <si>
    <t xml:space="preserve">5012700</t>
  </si>
  <si>
    <t xml:space="preserve">سیمان نسوز</t>
  </si>
  <si>
    <t xml:space="preserve">33900158</t>
  </si>
  <si>
    <r>
      <rPr>
        <sz val="10"/>
        <rFont val="FreeSans"/>
        <family val="2"/>
      </rPr>
      <t xml:space="preserve">سیمان نسوز  </t>
    </r>
    <r>
      <rPr>
        <sz val="10"/>
        <rFont val="Vazirmatn"/>
        <family val="0"/>
        <charset val="1"/>
      </rPr>
      <t xml:space="preserve">H ) IR EE Cast )</t>
    </r>
  </si>
  <si>
    <t xml:space="preserve">33900165</t>
  </si>
  <si>
    <r>
      <rPr>
        <sz val="10"/>
        <rFont val="FreeSans"/>
        <family val="2"/>
      </rPr>
      <t xml:space="preserve">رزین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اپوکسی</t>
    </r>
  </si>
  <si>
    <t xml:space="preserve">5010474</t>
  </si>
  <si>
    <t xml:space="preserve">رزین گروت اپوکسی</t>
  </si>
  <si>
    <t xml:space="preserve">33900166</t>
  </si>
  <si>
    <r>
      <rPr>
        <sz val="10"/>
        <rFont val="FreeSans"/>
        <family val="2"/>
      </rPr>
      <t xml:space="preserve">هاردنر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اسید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رزین اپوکسی</t>
    </r>
  </si>
  <si>
    <t xml:space="preserve">5010475</t>
  </si>
  <si>
    <t xml:space="preserve">هاردنر گروت اپوکسی</t>
  </si>
  <si>
    <t xml:space="preserve">33900180</t>
  </si>
  <si>
    <r>
      <rPr>
        <sz val="10"/>
        <rFont val="FreeSans"/>
        <family val="2"/>
      </rPr>
      <t xml:space="preserve">سیمان نسوز  </t>
    </r>
    <r>
      <rPr>
        <sz val="10"/>
        <rFont val="Vazirmatn"/>
        <family val="0"/>
        <charset val="1"/>
      </rPr>
      <t xml:space="preserve">IR EF Cast</t>
    </r>
  </si>
  <si>
    <t xml:space="preserve">33900203</t>
  </si>
  <si>
    <r>
      <rPr>
        <sz val="10"/>
        <rFont val="FreeSans"/>
        <family val="2"/>
      </rPr>
      <t xml:space="preserve">سرامیک کف  </t>
    </r>
    <r>
      <rPr>
        <sz val="10"/>
        <rFont val="Vazirmatn"/>
        <family val="0"/>
        <charset val="1"/>
      </rPr>
      <t xml:space="preserve">80Cm*80Cm</t>
    </r>
  </si>
  <si>
    <t xml:space="preserve">5012851</t>
  </si>
  <si>
    <r>
      <rPr>
        <sz val="10"/>
        <rFont val="FreeSans"/>
        <family val="2"/>
      </rPr>
      <t xml:space="preserve">سرامیک </t>
    </r>
    <r>
      <rPr>
        <sz val="10"/>
        <rFont val="Vazirmatn"/>
        <family val="0"/>
        <charset val="1"/>
      </rPr>
      <t xml:space="preserve">80*80</t>
    </r>
  </si>
  <si>
    <t xml:space="preserve">35110020</t>
  </si>
  <si>
    <t xml:space="preserve">منبع تغذیه اسید زنی</t>
  </si>
  <si>
    <t xml:space="preserve">5011129</t>
  </si>
  <si>
    <t xml:space="preserve">منبع تغذیه</t>
  </si>
  <si>
    <t xml:space="preserve">35110044</t>
  </si>
  <si>
    <t xml:space="preserve">شستی اعلام  حریق</t>
  </si>
  <si>
    <t xml:space="preserve">4034688</t>
  </si>
  <si>
    <r>
      <rPr>
        <sz val="10"/>
        <rFont val="FreeSans"/>
        <family val="2"/>
      </rPr>
      <t xml:space="preserve">شستی اعلان حریق </t>
    </r>
    <r>
      <rPr>
        <sz val="10"/>
        <rFont val="Vazirmatn"/>
        <family val="0"/>
        <charset val="1"/>
      </rPr>
      <t xml:space="preserve">ZETA</t>
    </r>
  </si>
  <si>
    <t xml:space="preserve">35110209</t>
  </si>
  <si>
    <t xml:space="preserve">میکروفون گیشه ای</t>
  </si>
  <si>
    <t xml:space="preserve">4036364</t>
  </si>
  <si>
    <t xml:space="preserve">میکروفون گیشه</t>
  </si>
  <si>
    <t xml:space="preserve">35110225</t>
  </si>
  <si>
    <r>
      <rPr>
        <sz val="10"/>
        <rFont val="FreeSans"/>
        <family val="2"/>
      </rPr>
      <t xml:space="preserve">آنتی ویروس لایسنس </t>
    </r>
    <r>
      <rPr>
        <sz val="10"/>
        <rFont val="Vazirmatn"/>
        <family val="0"/>
        <charset val="1"/>
      </rPr>
      <t xml:space="preserve">Kasper sky</t>
    </r>
  </si>
  <si>
    <t xml:space="preserve">نسخه</t>
  </si>
  <si>
    <t xml:space="preserve">5011213</t>
  </si>
  <si>
    <t xml:space="preserve">لایسنس آنتی ویروس</t>
  </si>
  <si>
    <t xml:space="preserve">نسخه ← عدد</t>
  </si>
  <si>
    <t xml:space="preserve">35116109</t>
  </si>
  <si>
    <r>
      <rPr>
        <sz val="10"/>
        <rFont val="FreeSans"/>
        <family val="2"/>
      </rPr>
      <t xml:space="preserve">لایسنس آنتی ویروس  </t>
    </r>
    <r>
      <rPr>
        <sz val="10"/>
        <rFont val="Vazirmatn"/>
        <family val="0"/>
        <charset val="1"/>
      </rPr>
      <t xml:space="preserve">Kaspersky EDR Foundation</t>
    </r>
  </si>
  <si>
    <t xml:space="preserve">35118801</t>
  </si>
  <si>
    <t xml:space="preserve">نوار خطر</t>
  </si>
  <si>
    <t xml:space="preserve">35124000</t>
  </si>
  <si>
    <r>
      <rPr>
        <sz val="10"/>
        <rFont val="FreeSans"/>
        <family val="2"/>
      </rPr>
      <t xml:space="preserve">عایق پشم سنگ لوله ای </t>
    </r>
    <r>
      <rPr>
        <sz val="10"/>
        <rFont val="Vazirmatn"/>
        <family val="0"/>
        <charset val="1"/>
      </rPr>
      <t xml:space="preserve">" 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5cm </t>
    </r>
    <r>
      <rPr>
        <sz val="10"/>
        <rFont val="FreeSans"/>
        <family val="2"/>
      </rPr>
      <t xml:space="preserve">بدون روکش</t>
    </r>
  </si>
  <si>
    <t xml:space="preserve">5012805</t>
  </si>
  <si>
    <r>
      <rPr>
        <sz val="10"/>
        <rFont val="FreeSans"/>
        <family val="2"/>
      </rPr>
      <t xml:space="preserve">پشم سنگ لوله ای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 ضخامت </t>
    </r>
    <r>
      <rPr>
        <sz val="10"/>
        <rFont val="Vazirmatn"/>
        <family val="0"/>
        <charset val="1"/>
      </rPr>
      <t xml:space="preserve">5cm</t>
    </r>
  </si>
  <si>
    <r>
      <rPr>
        <sz val="10"/>
        <rFont val="Vazirmatn"/>
        <family val="0"/>
        <charset val="1"/>
      </rPr>
      <t xml:space="preserve">3512 (</t>
    </r>
    <r>
      <rPr>
        <sz val="10"/>
        <rFont val="FreeSans"/>
        <family val="2"/>
      </rPr>
      <t xml:space="preserve">تابلوی، عایق</t>
    </r>
    <r>
      <rPr>
        <sz val="10"/>
        <rFont val="Vazirmatn"/>
        <family val="0"/>
        <charset val="1"/>
      </rPr>
      <t xml:space="preserve">)</t>
    </r>
  </si>
  <si>
    <t xml:space="preserve">35124003</t>
  </si>
  <si>
    <r>
      <rPr>
        <sz val="10"/>
        <rFont val="FreeSans"/>
        <family val="2"/>
      </rPr>
      <t xml:space="preserve">عایق پشم سنگ لوله ای </t>
    </r>
    <r>
      <rPr>
        <sz val="10"/>
        <rFont val="Vazirmatn"/>
        <family val="0"/>
        <charset val="1"/>
      </rPr>
      <t xml:space="preserve">" 4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5cm </t>
    </r>
    <r>
      <rPr>
        <sz val="10"/>
        <rFont val="FreeSans"/>
        <family val="2"/>
      </rPr>
      <t xml:space="preserve">بدون روکش</t>
    </r>
  </si>
  <si>
    <t xml:space="preserve">5012807</t>
  </si>
  <si>
    <r>
      <rPr>
        <sz val="10"/>
        <rFont val="FreeSans"/>
        <family val="2"/>
      </rPr>
      <t xml:space="preserve">پشم سنگ لوله ای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 ضخامت </t>
    </r>
    <r>
      <rPr>
        <sz val="10"/>
        <rFont val="Vazirmatn"/>
        <family val="0"/>
        <charset val="1"/>
      </rPr>
      <t xml:space="preserve">5cm</t>
    </r>
  </si>
  <si>
    <t xml:space="preserve">35124019</t>
  </si>
  <si>
    <r>
      <rPr>
        <sz val="10"/>
        <rFont val="FreeSans"/>
        <family val="2"/>
      </rPr>
      <t xml:space="preserve">سنگ پشم سنگ لوله ای </t>
    </r>
    <r>
      <rPr>
        <sz val="10"/>
        <rFont val="Vazirmatn"/>
        <family val="0"/>
        <charset val="1"/>
      </rPr>
      <t xml:space="preserve">" 3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5cm </t>
    </r>
    <r>
      <rPr>
        <sz val="10"/>
        <rFont val="FreeSans"/>
        <family val="2"/>
      </rPr>
      <t xml:space="preserve">بدون روکش</t>
    </r>
  </si>
  <si>
    <t xml:space="preserve">5012806</t>
  </si>
  <si>
    <r>
      <rPr>
        <sz val="10"/>
        <rFont val="FreeSans"/>
        <family val="2"/>
      </rPr>
      <t xml:space="preserve">پشم سنگ لوله ای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 ضخامت  </t>
    </r>
    <r>
      <rPr>
        <sz val="10"/>
        <rFont val="Vazirmatn"/>
        <family val="0"/>
        <charset val="1"/>
      </rPr>
      <t xml:space="preserve">5cm</t>
    </r>
  </si>
  <si>
    <t xml:space="preserve">35124076</t>
  </si>
  <si>
    <r>
      <rPr>
        <sz val="10"/>
        <rFont val="FreeSans"/>
        <family val="2"/>
      </rPr>
      <t xml:space="preserve">عایق لوله مسی  </t>
    </r>
    <r>
      <rPr>
        <sz val="10"/>
        <rFont val="Vazirmatn"/>
        <family val="0"/>
        <charset val="1"/>
      </rPr>
      <t xml:space="preserve">5/8</t>
    </r>
  </si>
  <si>
    <t xml:space="preserve">35186008</t>
  </si>
  <si>
    <r>
      <rPr>
        <sz val="10"/>
        <rFont val="FreeSans"/>
        <family val="2"/>
      </rPr>
      <t xml:space="preserve">جعبه آتش نشانی کامل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فایر باکس </t>
    </r>
    <r>
      <rPr>
        <sz val="10"/>
        <rFont val="Vazirmatn"/>
        <family val="0"/>
        <charset val="1"/>
      </rPr>
      <t xml:space="preserve">)</t>
    </r>
  </si>
  <si>
    <t xml:space="preserve">4024308</t>
  </si>
  <si>
    <r>
      <rPr>
        <sz val="10"/>
        <rFont val="FreeSans"/>
        <family val="2"/>
      </rPr>
      <t xml:space="preserve">جعبه آتش نشانی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فایر باکس</t>
    </r>
    <r>
      <rPr>
        <sz val="10"/>
        <rFont val="Vazirmatn"/>
        <family val="0"/>
        <charset val="1"/>
      </rPr>
      <t xml:space="preserve">)</t>
    </r>
  </si>
  <si>
    <t xml:space="preserve">35186020</t>
  </si>
  <si>
    <t xml:space="preserve">تورچ آرگون کامل</t>
  </si>
  <si>
    <t xml:space="preserve">35186025</t>
  </si>
  <si>
    <t xml:space="preserve">جعبه ابزار و قطعات</t>
  </si>
  <si>
    <t xml:space="preserve">4010482</t>
  </si>
  <si>
    <t xml:space="preserve">جعبه ابزار</t>
  </si>
  <si>
    <t xml:space="preserve">35186069</t>
  </si>
  <si>
    <r>
      <rPr>
        <sz val="10"/>
        <rFont val="FreeSans"/>
        <family val="2"/>
      </rPr>
      <t xml:space="preserve">سنباده پوستاپ  </t>
    </r>
    <r>
      <rPr>
        <sz val="10"/>
        <rFont val="Vazirmatn"/>
        <family val="0"/>
        <charset val="1"/>
      </rPr>
      <t xml:space="preserve">P 220</t>
    </r>
  </si>
  <si>
    <t xml:space="preserve">5020961</t>
  </si>
  <si>
    <r>
      <rPr>
        <sz val="10"/>
        <rFont val="FreeSans"/>
        <family val="2"/>
      </rPr>
      <t xml:space="preserve">سنباده </t>
    </r>
    <r>
      <rPr>
        <sz val="10"/>
        <rFont val="Vazirmatn"/>
        <family val="0"/>
        <charset val="1"/>
      </rPr>
      <t xml:space="preserve">P220 </t>
    </r>
    <r>
      <rPr>
        <sz val="10"/>
        <rFont val="FreeSans"/>
        <family val="2"/>
      </rPr>
      <t xml:space="preserve">پوساب</t>
    </r>
  </si>
  <si>
    <t xml:space="preserve">35186077</t>
  </si>
  <si>
    <t xml:space="preserve">فرز الماسه انگشتی مخروطی</t>
  </si>
  <si>
    <t xml:space="preserve">4059416</t>
  </si>
  <si>
    <r>
      <rPr>
        <sz val="10"/>
        <rFont val="FreeSans"/>
        <family val="2"/>
      </rPr>
      <t xml:space="preserve">فرز انگشتی الماسه مخروطی خشن پک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عددی</t>
    </r>
    <r>
      <rPr>
        <sz val="10"/>
        <rFont val="Vazirmatn"/>
        <family val="0"/>
        <charset val="1"/>
      </rPr>
      <t xml:space="preserve">6mm</t>
    </r>
  </si>
  <si>
    <t xml:space="preserve">35186103</t>
  </si>
  <si>
    <r>
      <rPr>
        <sz val="10"/>
        <rFont val="FreeSans"/>
        <family val="2"/>
      </rPr>
      <t xml:space="preserve">آچار آلن ستاره ای خشابی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سوراخ دار </t>
    </r>
    <r>
      <rPr>
        <sz val="10"/>
        <rFont val="Vazirmatn"/>
        <family val="0"/>
        <charset val="1"/>
      </rPr>
      <t xml:space="preserve">)</t>
    </r>
  </si>
  <si>
    <t xml:space="preserve">4026362</t>
  </si>
  <si>
    <t xml:space="preserve">آچار آلن ستاره ای</t>
  </si>
  <si>
    <t xml:space="preserve">35186259</t>
  </si>
  <si>
    <r>
      <rPr>
        <sz val="10"/>
        <rFont val="FreeSans"/>
        <family val="2"/>
      </rPr>
      <t xml:space="preserve">آچار  یکسر  تخت  یکسر  رینگ  </t>
    </r>
    <r>
      <rPr>
        <sz val="10"/>
        <rFont val="Vazirmatn"/>
        <family val="0"/>
        <charset val="1"/>
      </rPr>
      <t xml:space="preserve">24</t>
    </r>
  </si>
  <si>
    <t xml:space="preserve">4026375</t>
  </si>
  <si>
    <r>
      <rPr>
        <sz val="10"/>
        <rFont val="FreeSans"/>
        <family val="2"/>
      </rPr>
      <t xml:space="preserve">آچار یکسر تخت یکسر رینگی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تا </t>
    </r>
    <r>
      <rPr>
        <sz val="10"/>
        <rFont val="Vazirmatn"/>
        <family val="0"/>
        <charset val="1"/>
      </rPr>
      <t xml:space="preserve">24</t>
    </r>
  </si>
  <si>
    <t xml:space="preserve">35186362</t>
  </si>
  <si>
    <r>
      <rPr>
        <sz val="10"/>
        <rFont val="FreeSans"/>
        <family val="2"/>
      </rPr>
      <t xml:space="preserve">آچار یکسر تخت و یکسر رینگی  </t>
    </r>
    <r>
      <rPr>
        <sz val="10"/>
        <rFont val="Vazirmatn"/>
        <family val="0"/>
        <charset val="1"/>
      </rPr>
      <t xml:space="preserve">32 - 8</t>
    </r>
  </si>
  <si>
    <t xml:space="preserve">35186363</t>
  </si>
  <si>
    <r>
      <rPr>
        <sz val="10"/>
        <rFont val="FreeSans"/>
        <family val="2"/>
      </rPr>
      <t xml:space="preserve">آچار یکسر تخت جغجغه ای  </t>
    </r>
    <r>
      <rPr>
        <sz val="10"/>
        <rFont val="Vazirmatn"/>
        <family val="0"/>
        <charset val="1"/>
      </rPr>
      <t xml:space="preserve">19 - 13 - 10</t>
    </r>
  </si>
  <si>
    <t xml:space="preserve">4032291</t>
  </si>
  <si>
    <r>
      <rPr>
        <sz val="10"/>
        <rFont val="FreeSans"/>
        <family val="2"/>
      </rPr>
      <t xml:space="preserve">آچار جغجغه ای یکسر تخت نمره </t>
    </r>
    <r>
      <rPr>
        <sz val="10"/>
        <rFont val="Vazirmatn"/>
        <family val="0"/>
        <charset val="1"/>
      </rPr>
      <t xml:space="preserve">19</t>
    </r>
  </si>
  <si>
    <t xml:space="preserve">35186376</t>
  </si>
  <si>
    <r>
      <rPr>
        <sz val="10"/>
        <rFont val="FreeSans"/>
        <family val="2"/>
      </rPr>
      <t xml:space="preserve">آچار آلن  </t>
    </r>
    <r>
      <rPr>
        <sz val="10"/>
        <rFont val="Vazirmatn"/>
        <family val="0"/>
        <charset val="1"/>
      </rPr>
      <t xml:space="preserve">3</t>
    </r>
  </si>
  <si>
    <t xml:space="preserve">4032285</t>
  </si>
  <si>
    <r>
      <rPr>
        <sz val="10"/>
        <rFont val="FreeSans"/>
        <family val="2"/>
      </rPr>
      <t xml:space="preserve">آچار آلن </t>
    </r>
    <r>
      <rPr>
        <sz val="10"/>
        <rFont val="Vazirmatn"/>
        <family val="0"/>
        <charset val="1"/>
      </rPr>
      <t xml:space="preserve">14-3</t>
    </r>
  </si>
  <si>
    <t xml:space="preserve">35186408</t>
  </si>
  <si>
    <t xml:space="preserve">پیچ گوشتی معمولی دوسو</t>
  </si>
  <si>
    <t xml:space="preserve">4026405</t>
  </si>
  <si>
    <t xml:space="preserve">پیچ گوشتی دوسو کوچک</t>
  </si>
  <si>
    <t xml:space="preserve">35186544</t>
  </si>
  <si>
    <r>
      <rPr>
        <sz val="10"/>
        <rFont val="FreeSans"/>
        <family val="2"/>
      </rPr>
      <t xml:space="preserve">سیم لحیم  </t>
    </r>
    <r>
      <rPr>
        <sz val="10"/>
        <rFont val="Vazirmatn"/>
        <family val="0"/>
        <charset val="1"/>
      </rPr>
      <t xml:space="preserve">1mm</t>
    </r>
  </si>
  <si>
    <t xml:space="preserve">5004252</t>
  </si>
  <si>
    <t xml:space="preserve">سيم لحيم</t>
  </si>
  <si>
    <t xml:space="preserve">35186545</t>
  </si>
  <si>
    <r>
      <rPr>
        <sz val="10"/>
        <rFont val="FreeSans"/>
        <family val="2"/>
      </rPr>
      <t xml:space="preserve">سیم لحیم  </t>
    </r>
    <r>
      <rPr>
        <sz val="10"/>
        <rFont val="Vazirmatn"/>
        <family val="0"/>
        <charset val="1"/>
      </rPr>
      <t xml:space="preserve">0/8mm</t>
    </r>
  </si>
  <si>
    <t xml:space="preserve">5024192</t>
  </si>
  <si>
    <r>
      <rPr>
        <sz val="10"/>
        <rFont val="FreeSans"/>
        <family val="2"/>
      </rPr>
      <t xml:space="preserve">سیم لحیم آساهی</t>
    </r>
    <r>
      <rPr>
        <sz val="10"/>
        <rFont val="Vazirmatn"/>
        <family val="0"/>
        <charset val="1"/>
      </rPr>
      <t xml:space="preserve">0.8mm100g</t>
    </r>
  </si>
  <si>
    <t xml:space="preserve">35191223</t>
  </si>
  <si>
    <r>
      <rPr>
        <sz val="10"/>
        <rFont val="FreeSans"/>
        <family val="2"/>
      </rPr>
      <t xml:space="preserve">ورق استیل  </t>
    </r>
    <r>
      <rPr>
        <sz val="10"/>
        <rFont val="Vazirmatn"/>
        <family val="0"/>
        <charset val="1"/>
      </rPr>
      <t xml:space="preserve">316</t>
    </r>
  </si>
  <si>
    <t xml:space="preserve">35191224</t>
  </si>
  <si>
    <r>
      <rPr>
        <sz val="10"/>
        <rFont val="FreeSans"/>
        <family val="2"/>
      </rPr>
      <t xml:space="preserve">ورق استیل  </t>
    </r>
    <r>
      <rPr>
        <sz val="10"/>
        <rFont val="Vazirmatn"/>
        <family val="0"/>
        <charset val="1"/>
      </rPr>
      <t xml:space="preserve">304</t>
    </r>
  </si>
  <si>
    <t xml:space="preserve">5017713</t>
  </si>
  <si>
    <r>
      <rPr>
        <sz val="10"/>
        <rFont val="FreeSans"/>
        <family val="2"/>
      </rPr>
      <t xml:space="preserve">ورق ساده </t>
    </r>
    <r>
      <rPr>
        <sz val="10"/>
        <rFont val="Vazirmatn"/>
        <family val="0"/>
        <charset val="1"/>
      </rPr>
      <t xml:space="preserve">4mm S.S 304</t>
    </r>
  </si>
  <si>
    <t xml:space="preserve">35191371</t>
  </si>
  <si>
    <r>
      <rPr>
        <sz val="10"/>
        <rFont val="FreeSans"/>
        <family val="2"/>
      </rPr>
      <t xml:space="preserve">ناودانی آهنی نمره   </t>
    </r>
    <r>
      <rPr>
        <sz val="10"/>
        <rFont val="Vazirmatn"/>
        <family val="0"/>
        <charset val="1"/>
      </rPr>
      <t xml:space="preserve">6</t>
    </r>
  </si>
  <si>
    <t xml:space="preserve">35191508</t>
  </si>
  <si>
    <r>
      <rPr>
        <sz val="10"/>
        <rFont val="FreeSans"/>
        <family val="2"/>
      </rPr>
      <t xml:space="preserve">یراق آلات لولا  </t>
    </r>
    <r>
      <rPr>
        <sz val="10"/>
        <rFont val="Vazirmatn"/>
        <family val="0"/>
        <charset val="1"/>
      </rPr>
      <t xml:space="preserve">102-101</t>
    </r>
  </si>
  <si>
    <t xml:space="preserve">4041529</t>
  </si>
  <si>
    <r>
      <rPr>
        <sz val="10"/>
        <rFont val="FreeSans"/>
        <family val="2"/>
      </rPr>
      <t xml:space="preserve">یراق آلات لولا </t>
    </r>
    <r>
      <rPr>
        <sz val="10"/>
        <rFont val="Vazirmatn"/>
        <family val="0"/>
        <charset val="1"/>
      </rPr>
      <t xml:space="preserve">101 </t>
    </r>
    <r>
      <rPr>
        <sz val="10"/>
        <rFont val="FreeSans"/>
        <family val="2"/>
      </rPr>
      <t xml:space="preserve">درب شیشه ای بازویی</t>
    </r>
  </si>
  <si>
    <t xml:space="preserve">35191561</t>
  </si>
  <si>
    <r>
      <rPr>
        <sz val="10"/>
        <rFont val="FreeSans"/>
        <family val="2"/>
      </rPr>
      <t xml:space="preserve">میلگرد آهنی         </t>
    </r>
    <r>
      <rPr>
        <sz val="10"/>
        <rFont val="Vazirmatn"/>
        <family val="0"/>
        <charset val="1"/>
      </rPr>
      <t xml:space="preserve">MM8</t>
    </r>
  </si>
  <si>
    <t xml:space="preserve">5008322</t>
  </si>
  <si>
    <r>
      <rPr>
        <sz val="10"/>
        <rFont val="FreeSans"/>
        <family val="2"/>
      </rPr>
      <t xml:space="preserve">میلگرد </t>
    </r>
    <r>
      <rPr>
        <sz val="10"/>
        <rFont val="Vazirmatn"/>
        <family val="0"/>
        <charset val="1"/>
      </rPr>
      <t xml:space="preserve">S.S 8mm</t>
    </r>
  </si>
  <si>
    <t xml:space="preserve">35191640</t>
  </si>
  <si>
    <r>
      <rPr>
        <sz val="10"/>
        <rFont val="FreeSans"/>
        <family val="2"/>
      </rPr>
      <t xml:space="preserve">لقمه اتوی لوله سایز </t>
    </r>
    <r>
      <rPr>
        <sz val="10"/>
        <rFont val="Vazirmatn"/>
        <family val="0"/>
        <charset val="1"/>
      </rPr>
      <t xml:space="preserve">50</t>
    </r>
  </si>
  <si>
    <t xml:space="preserve">4026418</t>
  </si>
  <si>
    <r>
      <rPr>
        <sz val="10"/>
        <rFont val="FreeSans"/>
        <family val="2"/>
      </rPr>
      <t xml:space="preserve">لقمه اتو لوله سبز </t>
    </r>
    <r>
      <rPr>
        <sz val="10"/>
        <rFont val="Vazirmatn"/>
        <family val="0"/>
        <charset val="1"/>
      </rPr>
      <t xml:space="preserve">M50</t>
    </r>
  </si>
  <si>
    <t xml:space="preserve">جفت ← عدد</t>
  </si>
  <si>
    <t xml:space="preserve">35191660</t>
  </si>
  <si>
    <r>
      <rPr>
        <sz val="10"/>
        <rFont val="FreeSans"/>
        <family val="2"/>
      </rPr>
      <t xml:space="preserve">تسمه  برزنتی                  </t>
    </r>
    <r>
      <rPr>
        <sz val="10"/>
        <rFont val="Vazirmatn"/>
        <family val="0"/>
        <charset val="1"/>
      </rPr>
      <t xml:space="preserve">10      CM</t>
    </r>
  </si>
  <si>
    <t xml:space="preserve">35192051</t>
  </si>
  <si>
    <t xml:space="preserve">بتونه درزگیر کناف ایران</t>
  </si>
  <si>
    <t xml:space="preserve">کیسه ← متر مربع</t>
  </si>
  <si>
    <t xml:space="preserve">35192073</t>
  </si>
  <si>
    <t xml:space="preserve">بتونه درزگیر</t>
  </si>
  <si>
    <t xml:space="preserve">35192074</t>
  </si>
  <si>
    <t xml:space="preserve">بتونه  ماستیک</t>
  </si>
  <si>
    <t xml:space="preserve">35192078</t>
  </si>
  <si>
    <r>
      <rPr>
        <sz val="10"/>
        <rFont val="FreeSans"/>
        <family val="2"/>
      </rPr>
      <t xml:space="preserve">ژلاتین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خمیر </t>
    </r>
    <r>
      <rPr>
        <sz val="10"/>
        <rFont val="Vazirmatn"/>
        <family val="0"/>
        <charset val="1"/>
      </rPr>
      <t xml:space="preserve">)</t>
    </r>
  </si>
  <si>
    <t xml:space="preserve">5008051</t>
  </si>
  <si>
    <t xml:space="preserve">ژلاتین</t>
  </si>
  <si>
    <r>
      <rPr>
        <sz val="10"/>
        <rFont val="FreeSans"/>
        <family val="2"/>
      </rPr>
      <t xml:space="preserve">کیلوگرم ← </t>
    </r>
    <r>
      <rPr>
        <sz val="10"/>
        <rFont val="Vazirmatn"/>
        <family val="0"/>
        <charset val="1"/>
      </rPr>
      <t xml:space="preserve">SHT</t>
    </r>
  </si>
  <si>
    <t xml:space="preserve">35192093</t>
  </si>
  <si>
    <t xml:space="preserve">بتونه درزگیر  کناف ایران</t>
  </si>
  <si>
    <t xml:space="preserve">35198850</t>
  </si>
  <si>
    <r>
      <rPr>
        <sz val="10"/>
        <rFont val="FreeSans"/>
        <family val="2"/>
      </rPr>
      <t xml:space="preserve">شیشه سکوریت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میل</t>
    </r>
  </si>
  <si>
    <t xml:space="preserve">5010786</t>
  </si>
  <si>
    <r>
      <rPr>
        <sz val="10"/>
        <rFont val="FreeSans"/>
        <family val="2"/>
      </rPr>
      <t xml:space="preserve">شیشه سکوریت </t>
    </r>
    <r>
      <rPr>
        <sz val="10"/>
        <rFont val="Vazirmatn"/>
        <family val="0"/>
        <charset val="1"/>
      </rPr>
      <t xml:space="preserve">10 (80*129/5)</t>
    </r>
  </si>
  <si>
    <t xml:space="preserve">35198863</t>
  </si>
  <si>
    <t xml:space="preserve">شیشه</t>
  </si>
  <si>
    <t xml:space="preserve">5006315</t>
  </si>
  <si>
    <t xml:space="preserve">شيشه شور</t>
  </si>
  <si>
    <t xml:space="preserve">35199650</t>
  </si>
  <si>
    <t xml:space="preserve">دستگاه ضد عفونی کننده دست</t>
  </si>
  <si>
    <t xml:space="preserve">6001615</t>
  </si>
  <si>
    <t xml:space="preserve">دستگاه اتوماتیک ضد عفونی کننده دست</t>
  </si>
  <si>
    <t xml:space="preserve">35199840</t>
  </si>
  <si>
    <t xml:space="preserve">ساندویچ  پنل دیواری</t>
  </si>
  <si>
    <t xml:space="preserve">35199928</t>
  </si>
  <si>
    <t xml:space="preserve">ساندویچ  پنل سقفی</t>
  </si>
  <si>
    <t xml:space="preserve">35199934</t>
  </si>
  <si>
    <t xml:space="preserve">دستگاه  چرخ دوخت</t>
  </si>
  <si>
    <t xml:space="preserve">6003098</t>
  </si>
  <si>
    <t xml:space="preserve">دستگاه دوخت پلاستیک</t>
  </si>
  <si>
    <t xml:space="preserve">35199983</t>
  </si>
  <si>
    <t xml:space="preserve">دستگاه پرچ</t>
  </si>
  <si>
    <t xml:space="preserve">4010631</t>
  </si>
  <si>
    <t xml:space="preserve">دستگاه پرچ کن دستي</t>
  </si>
  <si>
    <t xml:space="preserve">35199994</t>
  </si>
  <si>
    <r>
      <rPr>
        <sz val="10"/>
        <rFont val="FreeSans"/>
        <family val="2"/>
      </rPr>
      <t xml:space="preserve">پنجره دوجداره  </t>
    </r>
    <r>
      <rPr>
        <sz val="10"/>
        <rFont val="Vazirmatn"/>
        <family val="0"/>
        <charset val="1"/>
      </rPr>
      <t xml:space="preserve">UPVC</t>
    </r>
  </si>
  <si>
    <t xml:space="preserve">5016957</t>
  </si>
  <si>
    <r>
      <rPr>
        <sz val="10"/>
        <rFont val="FreeSans"/>
        <family val="2"/>
      </rPr>
      <t xml:space="preserve">پنجره کشویی دوجداره </t>
    </r>
    <r>
      <rPr>
        <sz val="10"/>
        <rFont val="Vazirmatn"/>
        <family val="0"/>
        <charset val="1"/>
      </rPr>
      <t xml:space="preserve">pvc</t>
    </r>
  </si>
  <si>
    <t xml:space="preserve">35200076</t>
  </si>
  <si>
    <t xml:space="preserve">یراق درب</t>
  </si>
  <si>
    <t xml:space="preserve">4018010</t>
  </si>
  <si>
    <t xml:space="preserve">یراق آلات درب سکوریت</t>
  </si>
  <si>
    <t xml:space="preserve">35200118</t>
  </si>
  <si>
    <r>
      <rPr>
        <sz val="10"/>
        <rFont val="FreeSans"/>
        <family val="2"/>
      </rPr>
      <t xml:space="preserve">روتر میکروتیک  </t>
    </r>
    <r>
      <rPr>
        <sz val="10"/>
        <rFont val="Vazirmatn"/>
        <family val="0"/>
        <charset val="1"/>
      </rPr>
      <t xml:space="preserve">CCR 1036 - 12G - 45 - EM</t>
    </r>
  </si>
  <si>
    <t xml:space="preserve">5011240</t>
  </si>
  <si>
    <r>
      <rPr>
        <sz val="10"/>
        <rFont val="FreeSans"/>
        <family val="2"/>
      </rPr>
      <t xml:space="preserve">روتر میکروتیک </t>
    </r>
    <r>
      <rPr>
        <sz val="10"/>
        <rFont val="Vazirmatn"/>
        <family val="0"/>
        <charset val="1"/>
      </rPr>
      <t xml:space="preserve">1036</t>
    </r>
  </si>
  <si>
    <t xml:space="preserve">35210069</t>
  </si>
  <si>
    <r>
      <rPr>
        <sz val="10"/>
        <rFont val="FreeSans"/>
        <family val="2"/>
      </rPr>
      <t xml:space="preserve">کابینت دیواری </t>
    </r>
    <r>
      <rPr>
        <sz val="10"/>
        <rFont val="Vazirmatn"/>
        <family val="0"/>
        <charset val="1"/>
      </rPr>
      <t xml:space="preserve">MDF</t>
    </r>
  </si>
  <si>
    <t xml:space="preserve">6000956</t>
  </si>
  <si>
    <r>
      <rPr>
        <sz val="10"/>
        <rFont val="FreeSans"/>
        <family val="2"/>
      </rPr>
      <t xml:space="preserve">کابينت </t>
    </r>
    <r>
      <rPr>
        <sz val="10"/>
        <rFont val="Vazirmatn"/>
        <family val="0"/>
        <charset val="1"/>
      </rPr>
      <t xml:space="preserve">MDF</t>
    </r>
  </si>
  <si>
    <t xml:space="preserve">متر ← متر مربع</t>
  </si>
  <si>
    <t xml:space="preserve">35210070</t>
  </si>
  <si>
    <r>
      <rPr>
        <sz val="10"/>
        <rFont val="FreeSans"/>
        <family val="2"/>
      </rPr>
      <t xml:space="preserve">کابینت زمینی </t>
    </r>
    <r>
      <rPr>
        <sz val="10"/>
        <rFont val="Vazirmatn"/>
        <family val="0"/>
        <charset val="1"/>
      </rPr>
      <t xml:space="preserve">MDF</t>
    </r>
  </si>
  <si>
    <t xml:space="preserve">35212006</t>
  </si>
  <si>
    <r>
      <rPr>
        <sz val="10"/>
        <rFont val="FreeSans"/>
        <family val="2"/>
      </rPr>
      <t xml:space="preserve">سوئیچ </t>
    </r>
    <r>
      <rPr>
        <sz val="10"/>
        <rFont val="Vazirmatn"/>
        <family val="0"/>
        <charset val="1"/>
      </rPr>
      <t xml:space="preserve">24 </t>
    </r>
    <r>
      <rPr>
        <sz val="10"/>
        <rFont val="FreeSans"/>
        <family val="2"/>
      </rPr>
      <t xml:space="preserve">پورت سیسکو  </t>
    </r>
    <r>
      <rPr>
        <sz val="10"/>
        <rFont val="Vazirmatn"/>
        <family val="0"/>
        <charset val="1"/>
      </rPr>
      <t xml:space="preserve">WS-C2960 G / 24-TC-L</t>
    </r>
  </si>
  <si>
    <t xml:space="preserve">35212017</t>
  </si>
  <si>
    <r>
      <rPr>
        <sz val="10"/>
        <rFont val="FreeSans"/>
        <family val="2"/>
      </rPr>
      <t xml:space="preserve">سوئیچ شبکه </t>
    </r>
    <r>
      <rPr>
        <sz val="10"/>
        <rFont val="Vazirmatn"/>
        <family val="0"/>
        <charset val="1"/>
      </rPr>
      <t xml:space="preserve">24 </t>
    </r>
    <r>
      <rPr>
        <sz val="10"/>
        <rFont val="FreeSans"/>
        <family val="2"/>
      </rPr>
      <t xml:space="preserve">پورت سیسکو  </t>
    </r>
    <r>
      <rPr>
        <sz val="10"/>
        <rFont val="Vazirmatn"/>
        <family val="0"/>
        <charset val="1"/>
      </rPr>
      <t xml:space="preserve">C 2960 S - 24 PS - L</t>
    </r>
  </si>
  <si>
    <t xml:space="preserve">35219027</t>
  </si>
  <si>
    <t xml:space="preserve">لیبل سنسور دستگاه لیبل زن روغن</t>
  </si>
  <si>
    <t xml:space="preserve">6002980</t>
  </si>
  <si>
    <t xml:space="preserve">دستگاه لیبل زن</t>
  </si>
  <si>
    <t xml:space="preserve">35220101</t>
  </si>
  <si>
    <t xml:space="preserve">پرده عمودی</t>
  </si>
  <si>
    <t xml:space="preserve">35220153</t>
  </si>
  <si>
    <r>
      <rPr>
        <sz val="10"/>
        <rFont val="FreeSans"/>
        <family val="2"/>
      </rPr>
      <t xml:space="preserve">پرده کرکره ای فلزی </t>
    </r>
    <r>
      <rPr>
        <sz val="10"/>
        <rFont val="Vazirmatn"/>
        <family val="0"/>
        <charset val="1"/>
      </rPr>
      <t xml:space="preserve">1Cm </t>
    </r>
    <r>
      <rPr>
        <sz val="10"/>
        <rFont val="FreeSans"/>
        <family val="2"/>
      </rPr>
      <t xml:space="preserve">به همراه متعلقات</t>
    </r>
  </si>
  <si>
    <t xml:space="preserve">5010814</t>
  </si>
  <si>
    <r>
      <rPr>
        <sz val="10"/>
        <rFont val="FreeSans"/>
        <family val="2"/>
      </rPr>
      <t xml:space="preserve">پرده کرکره ای </t>
    </r>
    <r>
      <rPr>
        <sz val="10"/>
        <rFont val="Vazirmatn"/>
        <family val="0"/>
        <charset val="1"/>
      </rPr>
      <t xml:space="preserve">1/5*1</t>
    </r>
  </si>
  <si>
    <t xml:space="preserve">35237001</t>
  </si>
  <si>
    <r>
      <rPr>
        <sz val="10"/>
        <rFont val="FreeSans"/>
        <family val="2"/>
      </rPr>
      <t xml:space="preserve">روغن </t>
    </r>
    <r>
      <rPr>
        <sz val="10"/>
        <rFont val="Vazirmatn"/>
        <family val="0"/>
        <charset val="1"/>
      </rPr>
      <t xml:space="preserve">4GS </t>
    </r>
    <r>
      <rPr>
        <sz val="10"/>
        <rFont val="FreeSans"/>
        <family val="2"/>
      </rPr>
      <t xml:space="preserve">چین</t>
    </r>
  </si>
  <si>
    <r>
      <rPr>
        <sz val="10"/>
        <rFont val="Vazirmatn"/>
        <family val="0"/>
        <charset val="1"/>
      </rPr>
      <t xml:space="preserve">3523 (</t>
    </r>
    <r>
      <rPr>
        <sz val="10"/>
        <rFont val="FreeSans"/>
        <family val="2"/>
      </rPr>
      <t xml:space="preserve">اویل، میز</t>
    </r>
    <r>
      <rPr>
        <sz val="10"/>
        <rFont val="Vazirmatn"/>
        <family val="0"/>
        <charset val="1"/>
      </rPr>
      <t xml:space="preserve">)</t>
    </r>
  </si>
  <si>
    <t xml:space="preserve">اثاثیه اداری</t>
  </si>
  <si>
    <t xml:space="preserve">35237002</t>
  </si>
  <si>
    <t xml:space="preserve">35247000</t>
  </si>
  <si>
    <t xml:space="preserve">قرقره جرثقیل کابل بر</t>
  </si>
  <si>
    <t xml:space="preserve">4035754</t>
  </si>
  <si>
    <t xml:space="preserve">قرقره کابل بر جرثقیل سقفی</t>
  </si>
  <si>
    <r>
      <rPr>
        <sz val="10"/>
        <rFont val="Vazirmatn"/>
        <family val="0"/>
        <charset val="1"/>
      </rPr>
      <t xml:space="preserve">3524 (</t>
    </r>
    <r>
      <rPr>
        <sz val="10"/>
        <rFont val="FreeSans"/>
        <family val="2"/>
      </rPr>
      <t xml:space="preserve">کفی، کوپلینگ</t>
    </r>
    <r>
      <rPr>
        <sz val="10"/>
        <rFont val="Vazirmatn"/>
        <family val="0"/>
        <charset val="1"/>
      </rPr>
      <t xml:space="preserve">)</t>
    </r>
  </si>
  <si>
    <t xml:space="preserve">35266016</t>
  </si>
  <si>
    <t xml:space="preserve">دستگیره درب سکوریت</t>
  </si>
  <si>
    <t xml:space="preserve">4026275</t>
  </si>
  <si>
    <t xml:space="preserve">دستگیره درب کابینت</t>
  </si>
  <si>
    <t xml:space="preserve">35294000</t>
  </si>
  <si>
    <t xml:space="preserve">لاستیک لیفتراک</t>
  </si>
  <si>
    <t xml:space="preserve">4026234</t>
  </si>
  <si>
    <t xml:space="preserve">لاستیک مغزی شیشه لیفتراک</t>
  </si>
  <si>
    <r>
      <rPr>
        <sz val="10"/>
        <rFont val="Vazirmatn"/>
        <family val="0"/>
        <charset val="1"/>
      </rPr>
      <t xml:space="preserve">3529 (</t>
    </r>
    <r>
      <rPr>
        <sz val="10"/>
        <rFont val="FreeSans"/>
        <family val="2"/>
      </rPr>
      <t xml:space="preserve">لاستیک، کپسول</t>
    </r>
    <r>
      <rPr>
        <sz val="10"/>
        <rFont val="Vazirmatn"/>
        <family val="0"/>
        <charset val="1"/>
      </rPr>
      <t xml:space="preserve">)</t>
    </r>
  </si>
  <si>
    <t xml:space="preserve">35294001</t>
  </si>
  <si>
    <t xml:space="preserve">لاستیک  لیفتراک</t>
  </si>
  <si>
    <t xml:space="preserve">520028</t>
  </si>
  <si>
    <t xml:space="preserve">نشاسته خوراکی صادراتی</t>
  </si>
  <si>
    <t xml:space="preserve">5011939</t>
  </si>
  <si>
    <t xml:space="preserve">لیبل صادراتی نشاسته خوراکی</t>
  </si>
  <si>
    <t xml:space="preserve">520031</t>
  </si>
  <si>
    <r>
      <rPr>
        <sz val="10"/>
        <rFont val="FreeSans"/>
        <family val="2"/>
      </rPr>
      <t xml:space="preserve">روغن ذرت در گالن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لیتری</t>
    </r>
  </si>
  <si>
    <t xml:space="preserve">1501943</t>
  </si>
  <si>
    <r>
      <rPr>
        <sz val="10"/>
        <rFont val="FreeSans"/>
        <family val="2"/>
      </rPr>
      <t xml:space="preserve">گالن 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لیتری  روغن ذرت زر</t>
    </r>
  </si>
  <si>
    <r>
      <rPr>
        <sz val="10"/>
        <rFont val="FreeSans"/>
        <family val="2"/>
      </rPr>
      <t xml:space="preserve">کیلوگرم ← </t>
    </r>
    <r>
      <rPr>
        <sz val="10"/>
        <rFont val="Vazirmatn"/>
        <family val="0"/>
        <charset val="1"/>
      </rPr>
      <t xml:space="preserve">EA</t>
    </r>
  </si>
  <si>
    <t xml:space="preserve">520095</t>
  </si>
  <si>
    <t xml:space="preserve">نشاسته پریژل صنعتی در کیسه</t>
  </si>
  <si>
    <t xml:space="preserve">1501743</t>
  </si>
  <si>
    <r>
      <rPr>
        <sz val="10"/>
        <rFont val="FreeSans"/>
        <family val="2"/>
      </rPr>
      <t xml:space="preserve">کیسه نشاسته صنعتی </t>
    </r>
    <r>
      <rPr>
        <sz val="10"/>
        <rFont val="Vazirmatn"/>
        <family val="0"/>
        <charset val="1"/>
      </rPr>
      <t xml:space="preserve">AD STAR</t>
    </r>
  </si>
  <si>
    <t xml:space="preserve">520146</t>
  </si>
  <si>
    <t xml:space="preserve">نشاسته قالب در کیسه</t>
  </si>
  <si>
    <t xml:space="preserve">1502359</t>
  </si>
  <si>
    <t xml:space="preserve">کیسه نشاسته استابلایزر</t>
  </si>
  <si>
    <t xml:space="preserve">77620146</t>
  </si>
  <si>
    <t xml:space="preserve">چاقوی اره ای</t>
  </si>
  <si>
    <t xml:space="preserve">5007304</t>
  </si>
  <si>
    <t xml:space="preserve">چاقو اره ای</t>
  </si>
  <si>
    <t xml:space="preserve">77620403</t>
  </si>
  <si>
    <t xml:space="preserve">مایع جرم گیر</t>
  </si>
  <si>
    <t xml:space="preserve">5015395</t>
  </si>
  <si>
    <t xml:space="preserve">مایع جرم گیر بنفش بایو اپتیمم</t>
  </si>
  <si>
    <t xml:space="preserve">عدد ← لیتر</t>
  </si>
  <si>
    <t xml:space="preserve">77620405</t>
  </si>
  <si>
    <t xml:space="preserve">مایع ضد عفونی کننده</t>
  </si>
  <si>
    <t xml:space="preserve">5011098</t>
  </si>
  <si>
    <t xml:space="preserve">مایع ضد عفونی  کننده  دست</t>
  </si>
  <si>
    <t xml:space="preserve">77620406</t>
  </si>
  <si>
    <r>
      <rPr>
        <sz val="10"/>
        <rFont val="FreeSans"/>
        <family val="2"/>
      </rPr>
      <t xml:space="preserve">مایع دستشوئی </t>
    </r>
    <r>
      <rPr>
        <sz val="10"/>
        <rFont val="Vazirmatn"/>
        <family val="0"/>
        <charset val="1"/>
      </rPr>
      <t xml:space="preserve">20  </t>
    </r>
    <r>
      <rPr>
        <sz val="10"/>
        <rFont val="FreeSans"/>
        <family val="2"/>
      </rPr>
      <t xml:space="preserve">لیتری</t>
    </r>
  </si>
  <si>
    <t xml:space="preserve">77620410</t>
  </si>
  <si>
    <t xml:space="preserve">پودر ماشینی</t>
  </si>
  <si>
    <t xml:space="preserve">5010892</t>
  </si>
  <si>
    <t xml:space="preserve">پودر رختشویی ماشینی</t>
  </si>
  <si>
    <t xml:space="preserve">77620432</t>
  </si>
  <si>
    <r>
      <rPr>
        <sz val="10"/>
        <rFont val="FreeSans"/>
        <family val="2"/>
      </rPr>
      <t xml:space="preserve">مایع ظرفشویی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لیتری</t>
    </r>
  </si>
  <si>
    <t xml:space="preserve">77620512</t>
  </si>
  <si>
    <r>
      <rPr>
        <sz val="10"/>
        <rFont val="FreeSans"/>
        <family val="2"/>
      </rPr>
      <t xml:space="preserve">سس کچاب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گوجه فرنگی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تک نفره</t>
    </r>
  </si>
  <si>
    <t xml:space="preserve">5024658</t>
  </si>
  <si>
    <t xml:space="preserve">سس گوجه فرنگی</t>
  </si>
  <si>
    <t xml:space="preserve">77620525</t>
  </si>
  <si>
    <r>
      <rPr>
        <sz val="10"/>
        <rFont val="FreeSans"/>
        <family val="2"/>
      </rPr>
      <t xml:space="preserve">ذرت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کنسروی </t>
    </r>
    <r>
      <rPr>
        <sz val="10"/>
        <rFont val="Vazirmatn"/>
        <family val="0"/>
        <charset val="1"/>
      </rPr>
      <t xml:space="preserve">)</t>
    </r>
  </si>
  <si>
    <t xml:space="preserve">5024861</t>
  </si>
  <si>
    <t xml:space="preserve">کنسرو ذرت</t>
  </si>
  <si>
    <t xml:space="preserve">77620610</t>
  </si>
  <si>
    <t xml:space="preserve">نوشابه مشکی</t>
  </si>
  <si>
    <t xml:space="preserve">5006692</t>
  </si>
  <si>
    <t xml:space="preserve">نوشابه</t>
  </si>
  <si>
    <t xml:space="preserve">77620611</t>
  </si>
  <si>
    <t xml:space="preserve">نوشابه زرد</t>
  </si>
  <si>
    <t xml:space="preserve">77620612</t>
  </si>
  <si>
    <t xml:space="preserve">نوشابه لیمویی</t>
  </si>
  <si>
    <t xml:space="preserve">77620909</t>
  </si>
  <si>
    <t xml:space="preserve">شکلات خوری</t>
  </si>
  <si>
    <t xml:space="preserve">5006528</t>
  </si>
  <si>
    <t xml:space="preserve">شکلات</t>
  </si>
  <si>
    <t xml:space="preserve">77620912</t>
  </si>
  <si>
    <t xml:space="preserve">رنده استیل آشپزی</t>
  </si>
  <si>
    <t xml:space="preserve">5024517</t>
  </si>
  <si>
    <t xml:space="preserve">رنده دستی استیل</t>
  </si>
  <si>
    <t xml:space="preserve">77620916</t>
  </si>
  <si>
    <t xml:space="preserve">چای</t>
  </si>
  <si>
    <t xml:space="preserve">6001467</t>
  </si>
  <si>
    <t xml:space="preserve">چای ساز</t>
  </si>
  <si>
    <t xml:space="preserve">کیلوگرم ← دستگاه</t>
  </si>
  <si>
    <t xml:space="preserve">77620932</t>
  </si>
  <si>
    <t xml:space="preserve">قاشق غذا خوری</t>
  </si>
  <si>
    <t xml:space="preserve">5007303</t>
  </si>
  <si>
    <t xml:space="preserve">قاشق چای خوری</t>
  </si>
  <si>
    <r>
      <rPr>
        <sz val="10"/>
        <rFont val="FreeSans"/>
        <family val="2"/>
      </rPr>
      <t xml:space="preserve">دست ← </t>
    </r>
    <r>
      <rPr>
        <sz val="10"/>
        <rFont val="Vazirmatn"/>
        <family val="0"/>
        <charset val="1"/>
      </rPr>
      <t xml:space="preserve">PAA</t>
    </r>
  </si>
  <si>
    <t xml:space="preserve">77620945</t>
  </si>
  <si>
    <r>
      <rPr>
        <sz val="10"/>
        <rFont val="FreeSans"/>
        <family val="2"/>
      </rPr>
      <t xml:space="preserve">حلوا شکری </t>
    </r>
    <r>
      <rPr>
        <sz val="10"/>
        <rFont val="Vazirmatn"/>
        <family val="0"/>
        <charset val="1"/>
      </rPr>
      <t xml:space="preserve">( 50 </t>
    </r>
    <r>
      <rPr>
        <sz val="10"/>
        <rFont val="FreeSans"/>
        <family val="2"/>
      </rPr>
      <t xml:space="preserve">گرمی </t>
    </r>
    <r>
      <rPr>
        <sz val="10"/>
        <rFont val="Vazirmatn"/>
        <family val="0"/>
        <charset val="1"/>
      </rPr>
      <t xml:space="preserve">)</t>
    </r>
  </si>
  <si>
    <t xml:space="preserve">5024597</t>
  </si>
  <si>
    <t xml:space="preserve">حلوا شکری</t>
  </si>
  <si>
    <t xml:space="preserve">77620958</t>
  </si>
  <si>
    <t xml:space="preserve">کتری</t>
  </si>
  <si>
    <t xml:space="preserve">88500095</t>
  </si>
  <si>
    <r>
      <rPr>
        <sz val="10"/>
        <rFont val="FreeSans"/>
        <family val="2"/>
      </rPr>
      <t xml:space="preserve">سولفات پلی میکسین </t>
    </r>
    <r>
      <rPr>
        <sz val="10"/>
        <rFont val="Vazirmatn"/>
        <family val="0"/>
        <charset val="1"/>
      </rPr>
      <t xml:space="preserve">B (  </t>
    </r>
    <r>
      <rPr>
        <sz val="10"/>
        <rFont val="FreeSans"/>
        <family val="2"/>
      </rPr>
      <t xml:space="preserve">مکمل پاسیلوس سرئوس </t>
    </r>
    <r>
      <rPr>
        <sz val="10"/>
        <rFont val="Vazirmatn"/>
        <family val="0"/>
        <charset val="1"/>
      </rPr>
      <t xml:space="preserve">)</t>
    </r>
  </si>
  <si>
    <t xml:space="preserve">5009606</t>
  </si>
  <si>
    <r>
      <rPr>
        <sz val="10"/>
        <rFont val="FreeSans"/>
        <family val="2"/>
      </rPr>
      <t xml:space="preserve">سولفات پلی میکسین </t>
    </r>
    <r>
      <rPr>
        <sz val="10"/>
        <rFont val="Vazirmatn"/>
        <family val="0"/>
        <charset val="1"/>
      </rPr>
      <t xml:space="preserve">B</t>
    </r>
  </si>
  <si>
    <t xml:space="preserve">88500240</t>
  </si>
  <si>
    <t xml:space="preserve">ست فیلتراسیون دستگاه آب مقطرساز</t>
  </si>
  <si>
    <t xml:space="preserve">ست</t>
  </si>
  <si>
    <t xml:space="preserve">5011027</t>
  </si>
  <si>
    <t xml:space="preserve">ست فیلتراسیون</t>
  </si>
  <si>
    <t xml:space="preserve">ست ← عدد</t>
  </si>
  <si>
    <t xml:space="preserve">88500312</t>
  </si>
  <si>
    <t xml:space="preserve">خون گوسفندی بدون فیبرین</t>
  </si>
  <si>
    <t xml:space="preserve">5009590</t>
  </si>
  <si>
    <t xml:space="preserve">خون گوسفند بدون فیبرین</t>
  </si>
  <si>
    <t xml:space="preserve">CCM</t>
  </si>
  <si>
    <r>
      <rPr>
        <sz val="10"/>
        <rFont val="FreeSans"/>
        <family val="2"/>
      </rPr>
      <t xml:space="preserve">گرم ← </t>
    </r>
    <r>
      <rPr>
        <sz val="10"/>
        <rFont val="Vazirmatn"/>
        <family val="0"/>
        <charset val="1"/>
      </rPr>
      <t xml:space="preserve">CCM</t>
    </r>
  </si>
  <si>
    <t xml:space="preserve">88500347</t>
  </si>
  <si>
    <r>
      <rPr>
        <sz val="10"/>
        <rFont val="FreeSans"/>
        <family val="2"/>
      </rPr>
      <t xml:space="preserve">سولفات مس </t>
    </r>
    <r>
      <rPr>
        <sz val="10"/>
        <rFont val="Vazirmatn"/>
        <family val="0"/>
        <charset val="1"/>
      </rPr>
      <t xml:space="preserve">( CUSO4 5H2O )</t>
    </r>
  </si>
  <si>
    <t xml:space="preserve">5013900</t>
  </si>
  <si>
    <t xml:space="preserve">مس دو سولفات</t>
  </si>
  <si>
    <t xml:space="preserve">88500402</t>
  </si>
  <si>
    <r>
      <rPr>
        <sz val="10"/>
        <rFont val="FreeSans"/>
        <family val="2"/>
      </rPr>
      <t xml:space="preserve">محیط کشت   </t>
    </r>
    <r>
      <rPr>
        <sz val="10"/>
        <rFont val="Vazirmatn"/>
        <family val="0"/>
        <charset val="1"/>
      </rPr>
      <t xml:space="preserve">YGC    Agar</t>
    </r>
  </si>
  <si>
    <t xml:space="preserve">5013894</t>
  </si>
  <si>
    <r>
      <rPr>
        <sz val="10"/>
        <rFont val="FreeSans"/>
        <family val="2"/>
      </rPr>
      <t xml:space="preserve">محیط کشت </t>
    </r>
    <r>
      <rPr>
        <sz val="10"/>
        <rFont val="Vazirmatn"/>
        <family val="0"/>
        <charset val="1"/>
      </rPr>
      <t xml:space="preserve">YGC</t>
    </r>
  </si>
  <si>
    <t xml:space="preserve">88500421</t>
  </si>
  <si>
    <r>
      <rPr>
        <sz val="10"/>
        <rFont val="FreeSans"/>
        <family val="2"/>
      </rPr>
      <t xml:space="preserve">اسید سولفوریک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تیترازول </t>
    </r>
    <r>
      <rPr>
        <sz val="10"/>
        <rFont val="Vazirmatn"/>
        <family val="0"/>
        <charset val="1"/>
      </rPr>
      <t xml:space="preserve">N0/1 )</t>
    </r>
  </si>
  <si>
    <t xml:space="preserve">5008221</t>
  </si>
  <si>
    <r>
      <rPr>
        <sz val="10"/>
        <rFont val="FreeSans"/>
        <family val="2"/>
      </rPr>
      <t xml:space="preserve">تیترازول اسید سولفوریک</t>
    </r>
    <r>
      <rPr>
        <sz val="10"/>
        <rFont val="Vazirmatn"/>
        <family val="0"/>
        <charset val="1"/>
      </rPr>
      <t xml:space="preserve">0.1 </t>
    </r>
    <r>
      <rPr>
        <sz val="10"/>
        <rFont val="FreeSans"/>
        <family val="2"/>
      </rPr>
      <t xml:space="preserve">نرمال</t>
    </r>
  </si>
  <si>
    <t xml:space="preserve">88500431</t>
  </si>
  <si>
    <t xml:space="preserve">الکل طبی</t>
  </si>
  <si>
    <t xml:space="preserve">5006318</t>
  </si>
  <si>
    <r>
      <rPr>
        <sz val="10"/>
        <rFont val="FreeSans"/>
        <family val="2"/>
      </rPr>
      <t xml:space="preserve">الکل طبي </t>
    </r>
    <r>
      <rPr>
        <sz val="10"/>
        <rFont val="Vazirmatn"/>
        <family val="0"/>
        <charset val="1"/>
      </rPr>
      <t xml:space="preserve">1lit</t>
    </r>
  </si>
  <si>
    <t xml:space="preserve">شیشه ← عدد</t>
  </si>
  <si>
    <t xml:space="preserve">88500679</t>
  </si>
  <si>
    <t xml:space="preserve">الکل  طبی</t>
  </si>
  <si>
    <t xml:space="preserve">88500711</t>
  </si>
  <si>
    <t xml:space="preserve">کربن فعال گرانولی</t>
  </si>
  <si>
    <t xml:space="preserve">5012126</t>
  </si>
  <si>
    <t xml:space="preserve">کربن گرانولی جاکوبی</t>
  </si>
  <si>
    <t xml:space="preserve">88500804</t>
  </si>
  <si>
    <r>
      <rPr>
        <sz val="10"/>
        <rFont val="FreeSans"/>
        <family val="2"/>
      </rPr>
      <t xml:space="preserve">آمونیوم آهن </t>
    </r>
    <r>
      <rPr>
        <sz val="10"/>
        <rFont val="Vazirmatn"/>
        <family val="0"/>
        <charset val="1"/>
      </rPr>
      <t xml:space="preserve">( II ) </t>
    </r>
    <r>
      <rPr>
        <sz val="10"/>
        <rFont val="FreeSans"/>
        <family val="2"/>
      </rPr>
      <t xml:space="preserve">سولفات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آبه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سیگما آلدریچ </t>
    </r>
    <r>
      <rPr>
        <sz val="10"/>
        <rFont val="Vazirmatn"/>
        <family val="0"/>
        <charset val="1"/>
      </rPr>
      <t xml:space="preserve">)</t>
    </r>
  </si>
  <si>
    <t xml:space="preserve">5024883</t>
  </si>
  <si>
    <r>
      <rPr>
        <sz val="10"/>
        <rFont val="FreeSans"/>
        <family val="2"/>
      </rPr>
      <t xml:space="preserve">آمونیوم آهن</t>
    </r>
    <r>
      <rPr>
        <sz val="10"/>
        <rFont val="Vazirmatn"/>
        <family val="0"/>
        <charset val="1"/>
      </rPr>
      <t xml:space="preserve">(2) </t>
    </r>
    <r>
      <rPr>
        <sz val="10"/>
        <rFont val="FreeSans"/>
        <family val="2"/>
      </rPr>
      <t xml:space="preserve">سولفات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آبه</t>
    </r>
  </si>
  <si>
    <t xml:space="preserve">88500810</t>
  </si>
  <si>
    <r>
      <rPr>
        <sz val="10"/>
        <rFont val="FreeSans"/>
        <family val="2"/>
      </rPr>
      <t xml:space="preserve">پتاسیم هگزا سیانو فرات </t>
    </r>
    <r>
      <rPr>
        <sz val="10"/>
        <rFont val="Vazirmatn"/>
        <family val="0"/>
        <charset val="1"/>
      </rPr>
      <t xml:space="preserve">( 2 ) 3 </t>
    </r>
    <r>
      <rPr>
        <sz val="10"/>
        <rFont val="FreeSans"/>
        <family val="2"/>
      </rPr>
      <t xml:space="preserve">آبه</t>
    </r>
  </si>
  <si>
    <t xml:space="preserve">5014643</t>
  </si>
  <si>
    <r>
      <rPr>
        <sz val="10"/>
        <rFont val="FreeSans"/>
        <family val="2"/>
      </rPr>
      <t xml:space="preserve">پتاسیم هگزا سیانو فرات </t>
    </r>
    <r>
      <rPr>
        <sz val="10"/>
        <rFont val="Vazirmatn"/>
        <family val="0"/>
        <charset val="1"/>
      </rPr>
      <t xml:space="preserve">2</t>
    </r>
  </si>
  <si>
    <t xml:space="preserve">88500822</t>
  </si>
  <si>
    <t xml:space="preserve">رطوبت سنج و دماسنج دیجیتال</t>
  </si>
  <si>
    <t xml:space="preserve">6000823</t>
  </si>
  <si>
    <r>
      <rPr>
        <sz val="10"/>
        <rFont val="FreeSans"/>
        <family val="2"/>
      </rPr>
      <t xml:space="preserve">دماسنج  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رطوبت سنج محیطی دیجیتالی</t>
    </r>
  </si>
  <si>
    <t xml:space="preserve">88500828</t>
  </si>
  <si>
    <t xml:space="preserve">اسید کلریدریک غلیظ</t>
  </si>
  <si>
    <t xml:space="preserve">99610100</t>
  </si>
  <si>
    <t xml:space="preserve">کاپشن</t>
  </si>
  <si>
    <t xml:space="preserve">5021279</t>
  </si>
  <si>
    <t xml:space="preserve">کاپشن بازرسی</t>
  </si>
  <si>
    <t xml:space="preserve">99610124</t>
  </si>
  <si>
    <t xml:space="preserve">جوراب ورزشی</t>
  </si>
  <si>
    <t xml:space="preserve">5015018</t>
  </si>
  <si>
    <t xml:space="preserve">جوراب ورزشی فوتبال</t>
  </si>
  <si>
    <t xml:space="preserve">99610234</t>
  </si>
  <si>
    <t xml:space="preserve">فرم ملاقات</t>
  </si>
  <si>
    <t xml:space="preserve">5009053</t>
  </si>
  <si>
    <t xml:space="preserve">فرم برگه ملاقات</t>
  </si>
  <si>
    <t xml:space="preserve">چاپ و تکثیر</t>
  </si>
  <si>
    <t xml:space="preserve">برگ ← بسته</t>
  </si>
  <si>
    <t xml:space="preserve">99610366</t>
  </si>
  <si>
    <t xml:space="preserve">فرم مرخصی ساعتی</t>
  </si>
  <si>
    <t xml:space="preserve">5011787</t>
  </si>
  <si>
    <t xml:space="preserve">فرم مرخصی روزانه</t>
  </si>
  <si>
    <t xml:space="preserve">99610367</t>
  </si>
  <si>
    <t xml:space="preserve">فرم درخواست مرخصی</t>
  </si>
  <si>
    <t xml:space="preserve">99610368</t>
  </si>
  <si>
    <t xml:space="preserve">فرم ماموریت ساعتی</t>
  </si>
  <si>
    <t xml:space="preserve">5011788</t>
  </si>
  <si>
    <t xml:space="preserve">فرم ماموریت</t>
  </si>
  <si>
    <t xml:space="preserve">99610454</t>
  </si>
  <si>
    <t xml:space="preserve">چسب مایع</t>
  </si>
  <si>
    <t xml:space="preserve">5003571</t>
  </si>
  <si>
    <t xml:space="preserve">چسب مايع آهن</t>
  </si>
  <si>
    <t xml:space="preserve">99610474</t>
  </si>
  <si>
    <t xml:space="preserve">کاغذ دیوایدر</t>
  </si>
  <si>
    <t xml:space="preserve">5006045</t>
  </si>
  <si>
    <t xml:space="preserve">ديوايدر کاغذي</t>
  </si>
  <si>
    <t xml:space="preserve">99610501</t>
  </si>
  <si>
    <t xml:space="preserve">نوار چسب شیشه ای</t>
  </si>
  <si>
    <t xml:space="preserve">5004739</t>
  </si>
  <si>
    <t xml:space="preserve">نوار دور شيشه</t>
  </si>
  <si>
    <t xml:space="preserve">99610543</t>
  </si>
  <si>
    <t xml:space="preserve">دفترچه یادداشت رومیزی تاریخ دار</t>
  </si>
  <si>
    <t xml:space="preserve">5011429</t>
  </si>
  <si>
    <t xml:space="preserve">دفترچه یادداشت</t>
  </si>
  <si>
    <t xml:space="preserve">99610558</t>
  </si>
  <si>
    <t xml:space="preserve">فرم برگه ماموریت روزانه</t>
  </si>
  <si>
    <t xml:space="preserve">99610623</t>
  </si>
  <si>
    <t xml:space="preserve">گیره کاغذ</t>
  </si>
  <si>
    <t xml:space="preserve">99610679</t>
  </si>
  <si>
    <t xml:space="preserve">سوزن ته گرد</t>
  </si>
  <si>
    <t xml:space="preserve">5011416</t>
  </si>
  <si>
    <t xml:space="preserve">جای سوزن ته گرد</t>
  </si>
  <si>
    <t xml:space="preserve">99610687</t>
  </si>
  <si>
    <t xml:space="preserve">پانچ</t>
  </si>
  <si>
    <t xml:space="preserve">4008844</t>
  </si>
  <si>
    <t xml:space="preserve">پانچ بزرگ</t>
  </si>
  <si>
    <t xml:space="preserve">99610707</t>
  </si>
  <si>
    <t xml:space="preserve">ماژیک گلس برد</t>
  </si>
  <si>
    <t xml:space="preserve">5011402</t>
  </si>
  <si>
    <t xml:space="preserve">ماژیک وایت برد</t>
  </si>
  <si>
    <t xml:space="preserve">99610799</t>
  </si>
  <si>
    <t xml:space="preserve">دستگاه منگنه کوچک</t>
  </si>
  <si>
    <t xml:space="preserve">6003088</t>
  </si>
  <si>
    <t xml:space="preserve">دستگاه منگنه برقی</t>
  </si>
  <si>
    <t xml:space="preserve">99610820</t>
  </si>
  <si>
    <t xml:space="preserve">سرم شستشوی زخم</t>
  </si>
  <si>
    <t xml:space="preserve">بطری</t>
  </si>
  <si>
    <t xml:space="preserve">5010831</t>
  </si>
  <si>
    <t xml:space="preserve">سرم شستشو</t>
  </si>
  <si>
    <t xml:space="preserve">بطری ← عدد</t>
  </si>
  <si>
    <t xml:space="preserve">99610827</t>
  </si>
  <si>
    <t xml:space="preserve">قرص آلومینیوم</t>
  </si>
  <si>
    <t xml:space="preserve">5007179</t>
  </si>
  <si>
    <t xml:space="preserve">قرص آلومينيوم ام جی اس</t>
  </si>
  <si>
    <t xml:space="preserve">99610838</t>
  </si>
  <si>
    <t xml:space="preserve">قرص ستیریزین</t>
  </si>
  <si>
    <t xml:space="preserve">5007191</t>
  </si>
  <si>
    <t xml:space="preserve">قرص سيتريزين</t>
  </si>
  <si>
    <t xml:space="preserve">99610869</t>
  </si>
  <si>
    <t xml:space="preserve">شبرنگ برچسبی زرد</t>
  </si>
  <si>
    <t xml:space="preserve">5011439</t>
  </si>
  <si>
    <t xml:space="preserve">برچسب شبرنگ</t>
  </si>
  <si>
    <t xml:space="preserve">99610874</t>
  </si>
  <si>
    <t xml:space="preserve">تقویم رومیزی ایستاده</t>
  </si>
  <si>
    <t xml:space="preserve">99610875</t>
  </si>
  <si>
    <t xml:space="preserve">تقویم رومیزی زیر دستی</t>
  </si>
  <si>
    <t xml:space="preserve">99610877</t>
  </si>
  <si>
    <t xml:space="preserve">تقویم رومیزی مدیریتی</t>
  </si>
  <si>
    <t xml:space="preserve">99610899</t>
  </si>
  <si>
    <t xml:space="preserve">جاروی شهرداری</t>
  </si>
  <si>
    <t xml:space="preserve">5015512</t>
  </si>
  <si>
    <t xml:space="preserve">جارو شهرداری</t>
  </si>
  <si>
    <t xml:space="preserve">99610908</t>
  </si>
  <si>
    <t xml:space="preserve">زیپ کیپ</t>
  </si>
  <si>
    <t xml:space="preserve">5011531</t>
  </si>
  <si>
    <r>
      <rPr>
        <sz val="10"/>
        <rFont val="FreeSans"/>
        <family val="2"/>
      </rPr>
      <t xml:space="preserve">زیپ کیپ  </t>
    </r>
    <r>
      <rPr>
        <sz val="10"/>
        <rFont val="Vazirmatn"/>
        <family val="0"/>
        <charset val="1"/>
      </rPr>
      <t xml:space="preserve">10*8</t>
    </r>
  </si>
  <si>
    <t xml:space="preserve">99610913</t>
  </si>
  <si>
    <t xml:space="preserve">حشره کش</t>
  </si>
  <si>
    <t xml:space="preserve">6000843</t>
  </si>
  <si>
    <t xml:space="preserve">حشره کش برقي</t>
  </si>
  <si>
    <t xml:space="preserve">99610917</t>
  </si>
  <si>
    <r>
      <rPr>
        <sz val="10"/>
        <rFont val="FreeSans"/>
        <family val="2"/>
      </rPr>
      <t xml:space="preserve">ریبون پرینتر   </t>
    </r>
    <r>
      <rPr>
        <sz val="10"/>
        <rFont val="Vazirmatn"/>
        <family val="0"/>
        <charset val="1"/>
      </rPr>
      <t xml:space="preserve">Zebra  </t>
    </r>
    <r>
      <rPr>
        <sz val="10"/>
        <rFont val="FreeSans"/>
        <family val="2"/>
      </rPr>
      <t xml:space="preserve">مخصوص لیبل زنی</t>
    </r>
  </si>
  <si>
    <t xml:space="preserve">5008042</t>
  </si>
  <si>
    <t xml:space="preserve">ریبون پرینتر لیبل زن</t>
  </si>
  <si>
    <r>
      <rPr>
        <sz val="10"/>
        <rFont val="FreeSans"/>
        <family val="2"/>
      </rPr>
      <t xml:space="preserve">عدد ← </t>
    </r>
    <r>
      <rPr>
        <sz val="10"/>
        <rFont val="Vazirmatn"/>
        <family val="0"/>
        <charset val="1"/>
      </rPr>
      <t xml:space="preserve">ROL</t>
    </r>
  </si>
  <si>
    <t xml:space="preserve">99611028</t>
  </si>
  <si>
    <t xml:space="preserve">لیوان پلاستیکی</t>
  </si>
  <si>
    <t xml:space="preserve">99611042</t>
  </si>
  <si>
    <t xml:space="preserve">کفش کار بدون بند</t>
  </si>
  <si>
    <t xml:space="preserve">5011839</t>
  </si>
  <si>
    <t xml:space="preserve">بند کفش</t>
  </si>
  <si>
    <t xml:space="preserve">99611046</t>
  </si>
  <si>
    <t xml:space="preserve">فرم انجام کار از واحد</t>
  </si>
  <si>
    <t xml:space="preserve">99611060</t>
  </si>
  <si>
    <t xml:space="preserve">کاپشن کار برزنتی خزدار</t>
  </si>
  <si>
    <t xml:space="preserve">5010098</t>
  </si>
  <si>
    <t xml:space="preserve">کاپشن بادگیر خزدار</t>
  </si>
  <si>
    <t xml:space="preserve">100006</t>
  </si>
  <si>
    <t xml:space="preserve">نشاسته ذرت خرید شده</t>
  </si>
  <si>
    <t xml:space="preserve">5023900</t>
  </si>
  <si>
    <t xml:space="preserve">نشاسته ذرت</t>
  </si>
  <si>
    <r>
      <rPr>
        <sz val="10"/>
        <rFont val="FreeSans"/>
        <family val="2"/>
      </rPr>
      <t xml:space="preserve">۴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شرح مشابه، واحد یکسان</t>
    </r>
  </si>
  <si>
    <t xml:space="preserve">110001</t>
  </si>
  <si>
    <r>
      <rPr>
        <sz val="10"/>
        <rFont val="FreeSans"/>
        <family val="2"/>
      </rPr>
      <t xml:space="preserve">کربن اکتیو</t>
    </r>
    <r>
      <rPr>
        <sz val="10"/>
        <rFont val="Vazirmatn"/>
        <family val="0"/>
        <charset val="1"/>
      </rPr>
      <t xml:space="preserve">.</t>
    </r>
  </si>
  <si>
    <t xml:space="preserve">1000822</t>
  </si>
  <si>
    <t xml:space="preserve">کربن اکتیو پودری</t>
  </si>
  <si>
    <t xml:space="preserve">110006</t>
  </si>
  <si>
    <t xml:space="preserve">خاک پرلیت نرم</t>
  </si>
  <si>
    <t xml:space="preserve">1000826</t>
  </si>
  <si>
    <t xml:space="preserve">خاک پرلیت</t>
  </si>
  <si>
    <t xml:space="preserve">110026</t>
  </si>
  <si>
    <r>
      <rPr>
        <sz val="10"/>
        <rFont val="FreeSans"/>
        <family val="2"/>
      </rPr>
      <t xml:space="preserve">رزین کاتیونی  </t>
    </r>
    <r>
      <rPr>
        <sz val="10"/>
        <rFont val="Vazirmatn"/>
        <family val="0"/>
        <charset val="1"/>
      </rPr>
      <t xml:space="preserve">D 001 - F</t>
    </r>
  </si>
  <si>
    <t xml:space="preserve">5011982</t>
  </si>
  <si>
    <r>
      <rPr>
        <sz val="10"/>
        <rFont val="FreeSans"/>
        <family val="2"/>
      </rPr>
      <t xml:space="preserve">رزین کاتیونی </t>
    </r>
    <r>
      <rPr>
        <sz val="10"/>
        <rFont val="Vazirmatn"/>
        <family val="0"/>
        <charset val="1"/>
      </rPr>
      <t xml:space="preserve">(D001 FD)</t>
    </r>
  </si>
  <si>
    <t xml:space="preserve">110028</t>
  </si>
  <si>
    <r>
      <rPr>
        <sz val="10"/>
        <rFont val="FreeSans"/>
        <family val="2"/>
      </rPr>
      <t xml:space="preserve">رزین آنیونی  </t>
    </r>
    <r>
      <rPr>
        <sz val="10"/>
        <rFont val="Vazirmatn"/>
        <family val="0"/>
        <charset val="1"/>
      </rPr>
      <t xml:space="preserve">D 202 - MB</t>
    </r>
  </si>
  <si>
    <t xml:space="preserve">5012731</t>
  </si>
  <si>
    <r>
      <rPr>
        <sz val="10"/>
        <rFont val="FreeSans"/>
        <family val="2"/>
      </rPr>
      <t xml:space="preserve">رزین آنیونی </t>
    </r>
    <r>
      <rPr>
        <sz val="10"/>
        <rFont val="Vazirmatn"/>
        <family val="0"/>
        <charset val="1"/>
      </rPr>
      <t xml:space="preserve">(D202 FD)</t>
    </r>
  </si>
  <si>
    <t xml:space="preserve">110029</t>
  </si>
  <si>
    <r>
      <rPr>
        <sz val="10"/>
        <rFont val="FreeSans"/>
        <family val="2"/>
      </rPr>
      <t xml:space="preserve">رزین کاتیونی </t>
    </r>
    <r>
      <rPr>
        <sz val="10"/>
        <rFont val="Vazirmatn"/>
        <family val="0"/>
        <charset val="1"/>
      </rPr>
      <t xml:space="preserve">D001 - MB</t>
    </r>
  </si>
  <si>
    <t xml:space="preserve">110030</t>
  </si>
  <si>
    <r>
      <rPr>
        <sz val="10"/>
        <rFont val="FreeSans"/>
        <family val="2"/>
      </rPr>
      <t xml:space="preserve">رزین       </t>
    </r>
    <r>
      <rPr>
        <sz val="10"/>
        <rFont val="Vazirmatn"/>
        <family val="0"/>
        <charset val="1"/>
      </rPr>
      <t xml:space="preserve">ssmb</t>
    </r>
  </si>
  <si>
    <t xml:space="preserve">5012734</t>
  </si>
  <si>
    <r>
      <rPr>
        <sz val="10"/>
        <rFont val="FreeSans"/>
        <family val="2"/>
      </rPr>
      <t xml:space="preserve">رزین </t>
    </r>
    <r>
      <rPr>
        <sz val="10"/>
        <rFont val="Vazirmatn"/>
        <family val="0"/>
        <charset val="1"/>
      </rPr>
      <t xml:space="preserve">SSMB(</t>
    </r>
    <r>
      <rPr>
        <sz val="10"/>
        <rFont val="FreeSans"/>
        <family val="2"/>
      </rPr>
      <t xml:space="preserve">پروژه</t>
    </r>
    <r>
      <rPr>
        <sz val="10"/>
        <rFont val="Vazirmatn"/>
        <family val="0"/>
        <charset val="1"/>
      </rPr>
      <t xml:space="preserve">)</t>
    </r>
  </si>
  <si>
    <t xml:space="preserve">110041</t>
  </si>
  <si>
    <t xml:space="preserve">مالتو دکسترین پودری</t>
  </si>
  <si>
    <t xml:space="preserve">3500063</t>
  </si>
  <si>
    <t xml:space="preserve">مالتو دکسترین پودری فله</t>
  </si>
  <si>
    <t xml:space="preserve">مالتودکسترین پودری</t>
  </si>
  <si>
    <t xml:space="preserve">120002</t>
  </si>
  <si>
    <t xml:space="preserve">خاک پرلیت زبر</t>
  </si>
  <si>
    <t xml:space="preserve">120004</t>
  </si>
  <si>
    <t xml:space="preserve">بیسولفیت سدیم</t>
  </si>
  <si>
    <t xml:space="preserve">120005</t>
  </si>
  <si>
    <t xml:space="preserve">نمک تصفیه</t>
  </si>
  <si>
    <t xml:space="preserve">5025562</t>
  </si>
  <si>
    <t xml:space="preserve">نمک تصفیه شده ید دار</t>
  </si>
  <si>
    <t xml:space="preserve">120009</t>
  </si>
  <si>
    <t xml:space="preserve">گوگرد</t>
  </si>
  <si>
    <t xml:space="preserve">1000821</t>
  </si>
  <si>
    <t xml:space="preserve">گوگرد گرانول</t>
  </si>
  <si>
    <t xml:space="preserve">120012</t>
  </si>
  <si>
    <t xml:space="preserve">اسید  فسفریک</t>
  </si>
  <si>
    <t xml:space="preserve">1000832</t>
  </si>
  <si>
    <r>
      <rPr>
        <sz val="10"/>
        <rFont val="FreeSans"/>
        <family val="2"/>
      </rPr>
      <t xml:space="preserve">اسید فسفریک </t>
    </r>
    <r>
      <rPr>
        <sz val="10"/>
        <rFont val="Vazirmatn"/>
        <family val="0"/>
        <charset val="1"/>
      </rPr>
      <t xml:space="preserve">85%</t>
    </r>
  </si>
  <si>
    <t xml:space="preserve">120022</t>
  </si>
  <si>
    <r>
      <rPr>
        <sz val="10"/>
        <rFont val="FreeSans"/>
        <family val="2"/>
      </rPr>
      <t xml:space="preserve">سولفات منیزیم  </t>
    </r>
    <r>
      <rPr>
        <sz val="10"/>
        <rFont val="Vazirmatn"/>
        <family val="0"/>
        <charset val="1"/>
      </rPr>
      <t xml:space="preserve">( 7 </t>
    </r>
    <r>
      <rPr>
        <sz val="10"/>
        <rFont val="FreeSans"/>
        <family val="2"/>
      </rPr>
      <t xml:space="preserve">آبه </t>
    </r>
    <r>
      <rPr>
        <sz val="10"/>
        <rFont val="Vazirmatn"/>
        <family val="0"/>
        <charset val="1"/>
      </rPr>
      <t xml:space="preserve">)</t>
    </r>
  </si>
  <si>
    <t xml:space="preserve">1000818</t>
  </si>
  <si>
    <r>
      <rPr>
        <sz val="10"/>
        <rFont val="FreeSans"/>
        <family val="2"/>
      </rPr>
      <t xml:space="preserve">منیزیم سولفات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آبه جامد</t>
    </r>
  </si>
  <si>
    <t xml:space="preserve">120024</t>
  </si>
  <si>
    <t xml:space="preserve">بوراکس</t>
  </si>
  <si>
    <t xml:space="preserve">5015407</t>
  </si>
  <si>
    <t xml:space="preserve">پودر بوراکس</t>
  </si>
  <si>
    <t xml:space="preserve">16212001</t>
  </si>
  <si>
    <r>
      <rPr>
        <sz val="10"/>
        <rFont val="FreeSans"/>
        <family val="2"/>
      </rPr>
      <t xml:space="preserve">کلید مینیاتوری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در سایزهای مختلف</t>
    </r>
  </si>
  <si>
    <t xml:space="preserve">4027239</t>
  </si>
  <si>
    <r>
      <rPr>
        <sz val="10"/>
        <rFont val="FreeSans"/>
        <family val="2"/>
      </rPr>
      <t xml:space="preserve">کلید مینیاتوری سه فاز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آمپر</t>
    </r>
  </si>
  <si>
    <t xml:space="preserve">16213000</t>
  </si>
  <si>
    <t xml:space="preserve">تابلو برق ایستاده</t>
  </si>
  <si>
    <t xml:space="preserve">6004916</t>
  </si>
  <si>
    <r>
      <rPr>
        <sz val="10"/>
        <rFont val="FreeSans"/>
        <family val="2"/>
      </rPr>
      <t xml:space="preserve">تابلو برق ایستاده </t>
    </r>
    <r>
      <rPr>
        <sz val="10"/>
        <rFont val="Vazirmatn"/>
        <family val="0"/>
        <charset val="1"/>
      </rPr>
      <t xml:space="preserve">30*40*75</t>
    </r>
  </si>
  <si>
    <t xml:space="preserve">16214002</t>
  </si>
  <si>
    <r>
      <rPr>
        <sz val="10"/>
        <rFont val="FreeSans"/>
        <family val="2"/>
      </rPr>
      <t xml:space="preserve">کابل آلومینیومی  </t>
    </r>
    <r>
      <rPr>
        <sz val="10"/>
        <rFont val="Vazirmatn"/>
        <family val="0"/>
        <charset val="1"/>
      </rPr>
      <t xml:space="preserve">120 * 1</t>
    </r>
  </si>
  <si>
    <t xml:space="preserve">4046696</t>
  </si>
  <si>
    <r>
      <rPr>
        <sz val="10"/>
        <rFont val="FreeSans"/>
        <family val="2"/>
      </rPr>
      <t xml:space="preserve">کابل نیمه افشان</t>
    </r>
    <r>
      <rPr>
        <sz val="10"/>
        <rFont val="Vazirmatn"/>
        <family val="0"/>
        <charset val="1"/>
      </rPr>
      <t xml:space="preserve">-120*1-</t>
    </r>
    <r>
      <rPr>
        <sz val="10"/>
        <rFont val="FreeSans"/>
        <family val="2"/>
      </rPr>
      <t xml:space="preserve">آلومینیوم</t>
    </r>
  </si>
  <si>
    <t xml:space="preserve">16214003</t>
  </si>
  <si>
    <r>
      <rPr>
        <sz val="10"/>
        <rFont val="FreeSans"/>
        <family val="2"/>
      </rPr>
      <t xml:space="preserve">کابل مسی افشان  </t>
    </r>
    <r>
      <rPr>
        <sz val="10"/>
        <rFont val="Vazirmatn"/>
        <family val="0"/>
        <charset val="1"/>
      </rPr>
      <t xml:space="preserve">240 * 1</t>
    </r>
  </si>
  <si>
    <t xml:space="preserve">16214005</t>
  </si>
  <si>
    <r>
      <rPr>
        <sz val="10"/>
        <rFont val="FreeSans"/>
        <family val="2"/>
      </rPr>
      <t xml:space="preserve">کابل افشان  </t>
    </r>
    <r>
      <rPr>
        <sz val="10"/>
        <rFont val="Vazirmatn"/>
        <family val="0"/>
        <charset val="1"/>
      </rPr>
      <t xml:space="preserve">50+95*3</t>
    </r>
  </si>
  <si>
    <t xml:space="preserve">4027552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</si>
  <si>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95 * 3</t>
    </r>
  </si>
  <si>
    <t xml:space="preserve">16214006</t>
  </si>
  <si>
    <r>
      <rPr>
        <sz val="10"/>
        <rFont val="FreeSans"/>
        <family val="2"/>
      </rPr>
      <t xml:space="preserve">کابل مسی افشان  </t>
    </r>
    <r>
      <rPr>
        <sz val="10"/>
        <rFont val="Vazirmatn"/>
        <family val="0"/>
        <charset val="1"/>
      </rPr>
      <t xml:space="preserve">16 * 4</t>
    </r>
  </si>
  <si>
    <t xml:space="preserve">16214007</t>
  </si>
  <si>
    <r>
      <rPr>
        <sz val="10"/>
        <rFont val="FreeSans"/>
        <family val="2"/>
      </rPr>
      <t xml:space="preserve">کابل افشان  </t>
    </r>
    <r>
      <rPr>
        <sz val="10"/>
        <rFont val="Vazirmatn"/>
        <family val="0"/>
        <charset val="1"/>
      </rPr>
      <t xml:space="preserve">70+150*3</t>
    </r>
  </si>
  <si>
    <t xml:space="preserve">4050730</t>
  </si>
  <si>
    <r>
      <rPr>
        <sz val="10"/>
        <rFont val="FreeSans"/>
        <family val="2"/>
      </rPr>
      <t xml:space="preserve">کابل نیمه افشان</t>
    </r>
    <r>
      <rPr>
        <sz val="10"/>
        <rFont val="Vazirmatn"/>
        <family val="0"/>
        <charset val="1"/>
      </rPr>
      <t xml:space="preserve">-3*150+70-</t>
    </r>
    <r>
      <rPr>
        <sz val="10"/>
        <rFont val="FreeSans"/>
        <family val="2"/>
      </rPr>
      <t xml:space="preserve">مسی</t>
    </r>
  </si>
  <si>
    <t xml:space="preserve">16214008</t>
  </si>
  <si>
    <r>
      <rPr>
        <sz val="10"/>
        <rFont val="FreeSans"/>
        <family val="2"/>
      </rPr>
      <t xml:space="preserve">کابل مسی افشان  </t>
    </r>
    <r>
      <rPr>
        <sz val="10"/>
        <rFont val="Vazirmatn"/>
        <family val="0"/>
        <charset val="1"/>
      </rPr>
      <t xml:space="preserve">10 * 4</t>
    </r>
  </si>
  <si>
    <t xml:space="preserve">16214011</t>
  </si>
  <si>
    <r>
      <rPr>
        <sz val="10"/>
        <rFont val="FreeSans"/>
        <family val="2"/>
      </rPr>
      <t xml:space="preserve">کابل مسی افشان  </t>
    </r>
    <r>
      <rPr>
        <sz val="10"/>
        <rFont val="Vazirmatn"/>
        <family val="0"/>
        <charset val="1"/>
      </rPr>
      <t xml:space="preserve">12 * 1</t>
    </r>
  </si>
  <si>
    <t xml:space="preserve">4005962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</si>
  <si>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1*12</t>
    </r>
  </si>
  <si>
    <t xml:space="preserve">16214012</t>
  </si>
  <si>
    <r>
      <rPr>
        <sz val="10"/>
        <rFont val="FreeSans"/>
        <family val="2"/>
      </rPr>
      <t xml:space="preserve">کابل مسی افشان  </t>
    </r>
    <r>
      <rPr>
        <sz val="10"/>
        <rFont val="Vazirmatn"/>
        <family val="0"/>
        <charset val="1"/>
      </rPr>
      <t xml:space="preserve">7 * 1</t>
    </r>
  </si>
  <si>
    <t xml:space="preserve">16214101</t>
  </si>
  <si>
    <r>
      <rPr>
        <sz val="10"/>
        <rFont val="FreeSans"/>
        <family val="2"/>
      </rPr>
      <t xml:space="preserve">کنتاکتور  </t>
    </r>
    <r>
      <rPr>
        <sz val="10"/>
        <rFont val="Vazirmatn"/>
        <family val="0"/>
        <charset val="1"/>
      </rPr>
      <t xml:space="preserve">220KW</t>
    </r>
  </si>
  <si>
    <t xml:space="preserve">4005673</t>
  </si>
  <si>
    <r>
      <rPr>
        <sz val="10"/>
        <rFont val="FreeSans"/>
        <family val="2"/>
      </rPr>
      <t xml:space="preserve">کنتاکتور اشنايدر </t>
    </r>
    <r>
      <rPr>
        <sz val="10"/>
        <rFont val="Vazirmatn"/>
        <family val="0"/>
        <charset val="1"/>
      </rPr>
      <t xml:space="preserve">22kw 220V D50</t>
    </r>
  </si>
  <si>
    <t xml:space="preserve">16217011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</si>
  <si>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22KW  1500RPM</t>
    </r>
  </si>
  <si>
    <t xml:space="preserve">16217037</t>
  </si>
  <si>
    <t xml:space="preserve">موتور کرکره برقی</t>
  </si>
  <si>
    <t xml:space="preserve">4028050</t>
  </si>
  <si>
    <t xml:space="preserve">پایه موتور کرکره برقی</t>
  </si>
  <si>
    <t xml:space="preserve">16217048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</si>
  <si>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75KW  3000RPM</t>
    </r>
  </si>
  <si>
    <t xml:space="preserve">6006148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</si>
  <si>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380V 3000rpm IM B3 75KW</t>
    </r>
  </si>
  <si>
    <t xml:space="preserve">16218200</t>
  </si>
  <si>
    <t xml:space="preserve">شیشه جلوی چراغ آپولو</t>
  </si>
  <si>
    <t xml:space="preserve">5011359</t>
  </si>
  <si>
    <t xml:space="preserve">شیشه چراغ آپولو</t>
  </si>
  <si>
    <t xml:space="preserve">16219000</t>
  </si>
  <si>
    <t xml:space="preserve">جک پنوماتیک</t>
  </si>
  <si>
    <t xml:space="preserve">4041532</t>
  </si>
  <si>
    <r>
      <rPr>
        <sz val="10"/>
        <rFont val="FreeSans"/>
        <family val="2"/>
      </rPr>
      <t xml:space="preserve">جک پنوماتیک </t>
    </r>
    <r>
      <rPr>
        <sz val="10"/>
        <rFont val="Vazirmatn"/>
        <family val="0"/>
        <charset val="1"/>
      </rPr>
      <t xml:space="preserve">1000*50</t>
    </r>
  </si>
  <si>
    <t xml:space="preserve">16219300</t>
  </si>
  <si>
    <r>
      <rPr>
        <sz val="10"/>
        <rFont val="FreeSans"/>
        <family val="2"/>
      </rPr>
      <t xml:space="preserve">رگلاتور </t>
    </r>
    <r>
      <rPr>
        <sz val="10"/>
        <rFont val="Vazirmatn"/>
        <family val="0"/>
        <charset val="1"/>
      </rPr>
      <t xml:space="preserve">" 1/2 2</t>
    </r>
  </si>
  <si>
    <t xml:space="preserve">4030602</t>
  </si>
  <si>
    <r>
      <rPr>
        <sz val="10"/>
        <rFont val="FreeSans"/>
        <family val="2"/>
      </rPr>
      <t xml:space="preserve">رگلاتور گاز فلنچی </t>
    </r>
    <r>
      <rPr>
        <sz val="10"/>
        <rFont val="Vazirmatn"/>
        <family val="0"/>
        <charset val="1"/>
      </rPr>
      <t xml:space="preserve">2*60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</si>
  <si>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16225000</t>
  </si>
  <si>
    <t xml:space="preserve">فیلتر  گازوئیل</t>
  </si>
  <si>
    <t xml:space="preserve">4028925</t>
  </si>
  <si>
    <t xml:space="preserve">فیلتر گازوئیل آهنی خاور</t>
  </si>
  <si>
    <t xml:space="preserve">16226002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</si>
  <si>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IHF 80-65-160</t>
    </r>
  </si>
  <si>
    <t xml:space="preserve">4025382</t>
  </si>
  <si>
    <r>
      <rPr>
        <sz val="10"/>
        <rFont val="FreeSans"/>
        <family val="2"/>
      </rPr>
      <t xml:space="preserve">سیل مکانیکی</t>
    </r>
    <r>
      <rPr>
        <sz val="10"/>
        <rFont val="Vazirmatn"/>
        <family val="0"/>
        <charset val="1"/>
      </rPr>
      <t xml:space="preserve">:  160-65-80 IHD</t>
    </r>
  </si>
  <si>
    <t xml:space="preserve">16226006</t>
  </si>
  <si>
    <r>
      <rPr>
        <sz val="10"/>
        <rFont val="FreeSans"/>
        <family val="2"/>
      </rPr>
      <t xml:space="preserve">سیل قطر </t>
    </r>
    <r>
      <rPr>
        <sz val="10"/>
        <rFont val="Vazirmatn"/>
        <family val="0"/>
        <charset val="1"/>
      </rPr>
      <t xml:space="preserve">55</t>
    </r>
  </si>
  <si>
    <t xml:space="preserve">4055002</t>
  </si>
  <si>
    <r>
      <rPr>
        <sz val="10"/>
        <rFont val="FreeSans"/>
        <family val="2"/>
      </rPr>
      <t xml:space="preserve">سیل مکانیکی قطر </t>
    </r>
    <r>
      <rPr>
        <sz val="10"/>
        <rFont val="Vazirmatn"/>
        <family val="0"/>
        <charset val="1"/>
      </rPr>
      <t xml:space="preserve">55 FSS-H7</t>
    </r>
  </si>
  <si>
    <t xml:space="preserve">16247000</t>
  </si>
  <si>
    <t xml:space="preserve">پایه الکتروموتور</t>
  </si>
  <si>
    <t xml:space="preserve">4054925</t>
  </si>
  <si>
    <r>
      <rPr>
        <sz val="10"/>
        <rFont val="FreeSans"/>
        <family val="2"/>
      </rPr>
      <t xml:space="preserve">پایه ی الکتروموتور </t>
    </r>
    <r>
      <rPr>
        <sz val="10"/>
        <rFont val="Vazirmatn"/>
        <family val="0"/>
        <charset val="1"/>
      </rPr>
      <t xml:space="preserve">7.5KW</t>
    </r>
  </si>
  <si>
    <t xml:space="preserve">16251018</t>
  </si>
  <si>
    <r>
      <rPr>
        <sz val="10"/>
        <rFont val="FreeSans"/>
        <family val="2"/>
      </rPr>
      <t xml:space="preserve">شفت پمپ   </t>
    </r>
    <r>
      <rPr>
        <sz val="10"/>
        <rFont val="Vazirmatn"/>
        <family val="0"/>
        <charset val="1"/>
      </rPr>
      <t xml:space="preserve">IHD 80-65-200</t>
    </r>
  </si>
  <si>
    <t xml:space="preserve">4055540</t>
  </si>
  <si>
    <r>
      <rPr>
        <sz val="10"/>
        <rFont val="FreeSans"/>
        <family val="2"/>
      </rPr>
      <t xml:space="preserve">پوشش شفت پمپ </t>
    </r>
    <r>
      <rPr>
        <sz val="10"/>
        <rFont val="Vazirmatn"/>
        <family val="0"/>
        <charset val="1"/>
      </rPr>
      <t xml:space="preserve">IHD 80-65-200</t>
    </r>
  </si>
  <si>
    <r>
      <rPr>
        <sz val="10"/>
        <rFont val="Vazirmatn"/>
        <family val="0"/>
        <charset val="1"/>
      </rPr>
      <t xml:space="preserve">1625 (</t>
    </r>
    <r>
      <rPr>
        <sz val="10"/>
        <rFont val="FreeSans"/>
        <family val="2"/>
      </rPr>
      <t xml:space="preserve">شفت، صفحه</t>
    </r>
    <r>
      <rPr>
        <sz val="10"/>
        <rFont val="Vazirmatn"/>
        <family val="0"/>
        <charset val="1"/>
      </rPr>
      <t xml:space="preserve">)</t>
    </r>
  </si>
  <si>
    <t xml:space="preserve">16251021</t>
  </si>
  <si>
    <r>
      <rPr>
        <sz val="10"/>
        <rFont val="FreeSans"/>
        <family val="2"/>
      </rPr>
      <t xml:space="preserve">شفت پمپ  </t>
    </r>
    <r>
      <rPr>
        <sz val="10"/>
        <rFont val="Vazirmatn"/>
        <family val="0"/>
        <charset val="1"/>
      </rPr>
      <t xml:space="preserve">IHD100-65-250</t>
    </r>
  </si>
  <si>
    <t xml:space="preserve">4025520</t>
  </si>
  <si>
    <r>
      <rPr>
        <sz val="10"/>
        <rFont val="FreeSans"/>
        <family val="2"/>
      </rPr>
      <t xml:space="preserve">شفت پمپ </t>
    </r>
    <r>
      <rPr>
        <sz val="10"/>
        <rFont val="Vazirmatn"/>
        <family val="0"/>
        <charset val="1"/>
      </rPr>
      <t xml:space="preserve">2900RPM IHD100-65-250</t>
    </r>
  </si>
  <si>
    <t xml:space="preserve">16251025</t>
  </si>
  <si>
    <r>
      <rPr>
        <sz val="10"/>
        <rFont val="FreeSans"/>
        <family val="2"/>
      </rPr>
      <t xml:space="preserve">شفت پمپ   </t>
    </r>
    <r>
      <rPr>
        <sz val="10"/>
        <rFont val="Vazirmatn"/>
        <family val="0"/>
        <charset val="1"/>
      </rPr>
      <t xml:space="preserve">IHD 65-50-160</t>
    </r>
  </si>
  <si>
    <t xml:space="preserve">4025524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</si>
  <si>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IHD65-50-160  2900rpm</t>
    </r>
  </si>
  <si>
    <t xml:space="preserve">16251030</t>
  </si>
  <si>
    <t xml:space="preserve">شفت آسیاب پیلر</t>
  </si>
  <si>
    <t xml:space="preserve">4028667</t>
  </si>
  <si>
    <t xml:space="preserve">شفت آسیاب چکشی</t>
  </si>
  <si>
    <t xml:space="preserve">16252000</t>
  </si>
  <si>
    <t xml:space="preserve">پروانه فن رینولد</t>
  </si>
  <si>
    <t xml:space="preserve">4026151</t>
  </si>
  <si>
    <t xml:space="preserve">پروانه فن ریو</t>
  </si>
  <si>
    <t xml:space="preserve">16252001</t>
  </si>
  <si>
    <t xml:space="preserve">پروانه کولینگ تاور</t>
  </si>
  <si>
    <t xml:space="preserve">4028757</t>
  </si>
  <si>
    <t xml:space="preserve">پروانه فن کولینگ تاور</t>
  </si>
  <si>
    <t xml:space="preserve">16252002</t>
  </si>
  <si>
    <t xml:space="preserve">پروانه فن</t>
  </si>
  <si>
    <t xml:space="preserve">16264300</t>
  </si>
  <si>
    <r>
      <rPr>
        <sz val="10"/>
        <rFont val="FreeSans"/>
        <family val="2"/>
      </rPr>
      <t xml:space="preserve">کاسه سیل پمپ   </t>
    </r>
    <r>
      <rPr>
        <sz val="10"/>
        <rFont val="Vazirmatn"/>
        <family val="0"/>
        <charset val="1"/>
      </rPr>
      <t xml:space="preserve">IHD 100-65-250</t>
    </r>
  </si>
  <si>
    <t xml:space="preserve">4025447</t>
  </si>
  <si>
    <r>
      <rPr>
        <sz val="10"/>
        <rFont val="FreeSans"/>
        <family val="2"/>
      </rPr>
      <t xml:space="preserve">سیل پمپ </t>
    </r>
    <r>
      <rPr>
        <sz val="10"/>
        <rFont val="Vazirmatn"/>
        <family val="0"/>
        <charset val="1"/>
      </rPr>
      <t xml:space="preserve">IHD 100-65-250</t>
    </r>
  </si>
  <si>
    <r>
      <rPr>
        <sz val="10"/>
        <rFont val="Vazirmatn"/>
        <family val="0"/>
        <charset val="1"/>
      </rPr>
      <t xml:space="preserve">1626 (</t>
    </r>
    <r>
      <rPr>
        <sz val="10"/>
        <rFont val="FreeSans"/>
        <family val="2"/>
      </rPr>
      <t xml:space="preserve">مهره، پیچ</t>
    </r>
    <r>
      <rPr>
        <sz val="10"/>
        <rFont val="Vazirmatn"/>
        <family val="0"/>
        <charset val="1"/>
      </rPr>
      <t xml:space="preserve">)</t>
    </r>
  </si>
  <si>
    <t xml:space="preserve">16271008</t>
  </si>
  <si>
    <t xml:space="preserve">شیر یکطرفه اهرمی</t>
  </si>
  <si>
    <t xml:space="preserve">5022837</t>
  </si>
  <si>
    <t xml:space="preserve">شیر یکطرفه</t>
  </si>
  <si>
    <t xml:space="preserve">16271011</t>
  </si>
  <si>
    <r>
      <rPr>
        <sz val="10"/>
        <rFont val="FreeSans"/>
        <family val="2"/>
      </rPr>
      <t xml:space="preserve">شیر فشار شکن اسپیراکس سارکو </t>
    </r>
    <r>
      <rPr>
        <sz val="10"/>
        <rFont val="Vazirmatn"/>
        <family val="0"/>
        <charset val="1"/>
      </rPr>
      <t xml:space="preserve">"1/2 2</t>
    </r>
  </si>
  <si>
    <t xml:space="preserve">4030037</t>
  </si>
  <si>
    <r>
      <rPr>
        <sz val="10"/>
        <rFont val="FreeSans"/>
        <family val="2"/>
      </rPr>
      <t xml:space="preserve">شیر فشار شکن </t>
    </r>
    <r>
      <rPr>
        <sz val="10"/>
        <rFont val="Vazirmatn"/>
        <family val="0"/>
        <charset val="1"/>
      </rPr>
      <t xml:space="preserve">"2 </t>
    </r>
    <r>
      <rPr>
        <sz val="10"/>
        <rFont val="FreeSans"/>
        <family val="2"/>
      </rPr>
      <t xml:space="preserve">اینچ</t>
    </r>
  </si>
  <si>
    <t xml:space="preserve">16271014</t>
  </si>
  <si>
    <r>
      <rPr>
        <sz val="10"/>
        <rFont val="FreeSans"/>
        <family val="2"/>
      </rPr>
      <t xml:space="preserve">شیر </t>
    </r>
    <r>
      <rPr>
        <sz val="10"/>
        <rFont val="Vazirmatn"/>
        <family val="0"/>
        <charset val="1"/>
      </rPr>
      <t xml:space="preserve">"UPVC  1/2</t>
    </r>
  </si>
  <si>
    <t xml:space="preserve">4029875</t>
  </si>
  <si>
    <r>
      <rPr>
        <sz val="10"/>
        <rFont val="FreeSans"/>
        <family val="2"/>
      </rPr>
      <t xml:space="preserve">شیر پروانه ای دستی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</si>
  <si>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16271015</t>
  </si>
  <si>
    <t xml:space="preserve">شیر برقی هیدرولیک</t>
  </si>
  <si>
    <t xml:space="preserve">4052490</t>
  </si>
  <si>
    <t xml:space="preserve">شیر هیدرولیک راهبند</t>
  </si>
  <si>
    <t xml:space="preserve">16271021</t>
  </si>
  <si>
    <r>
      <rPr>
        <sz val="10"/>
        <rFont val="FreeSans"/>
        <family val="2"/>
      </rPr>
      <t xml:space="preserve">شیر پروانه ای گازی </t>
    </r>
    <r>
      <rPr>
        <sz val="10"/>
        <rFont val="Vazirmatn"/>
        <family val="0"/>
        <charset val="1"/>
      </rPr>
      <t xml:space="preserve">" 3</t>
    </r>
  </si>
  <si>
    <t xml:space="preserve">4031849</t>
  </si>
  <si>
    <r>
      <rPr>
        <sz val="10"/>
        <rFont val="FreeSans"/>
        <family val="2"/>
      </rPr>
      <t xml:space="preserve">شیر پروانه ای دستی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</si>
  <si>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16271023</t>
  </si>
  <si>
    <r>
      <rPr>
        <sz val="10"/>
        <rFont val="FreeSans"/>
        <family val="2"/>
      </rPr>
      <t xml:space="preserve">شیر سوزنی بخار  </t>
    </r>
    <r>
      <rPr>
        <sz val="10"/>
        <rFont val="Vazirmatn"/>
        <family val="0"/>
        <charset val="1"/>
      </rPr>
      <t xml:space="preserve">"4</t>
    </r>
  </si>
  <si>
    <t xml:space="preserve">4029862</t>
  </si>
  <si>
    <r>
      <rPr>
        <sz val="10"/>
        <rFont val="FreeSans"/>
        <family val="2"/>
      </rPr>
      <t xml:space="preserve">شیر فلکه سوزنی برنجی 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</si>
  <si>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16271028</t>
  </si>
  <si>
    <r>
      <rPr>
        <sz val="10"/>
        <rFont val="FreeSans"/>
        <family val="2"/>
      </rPr>
      <t xml:space="preserve">شیر سوزنی بخار  </t>
    </r>
    <r>
      <rPr>
        <sz val="10"/>
        <rFont val="Vazirmatn"/>
        <family val="0"/>
        <charset val="1"/>
      </rPr>
      <t xml:space="preserve">"1/2 1</t>
    </r>
  </si>
  <si>
    <t xml:space="preserve">4029864</t>
  </si>
  <si>
    <r>
      <rPr>
        <sz val="10"/>
        <rFont val="FreeSans"/>
        <family val="2"/>
      </rPr>
      <t xml:space="preserve">شیر فلکه سوزنی برنجی 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</si>
  <si>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16272203</t>
  </si>
  <si>
    <r>
      <rPr>
        <sz val="10"/>
        <rFont val="FreeSans"/>
        <family val="2"/>
      </rPr>
      <t xml:space="preserve">تبدیل  </t>
    </r>
    <r>
      <rPr>
        <sz val="10"/>
        <rFont val="Vazirmatn"/>
        <family val="0"/>
        <charset val="1"/>
      </rPr>
      <t xml:space="preserve">"UPVC  3/4" * 1/2</t>
    </r>
  </si>
  <si>
    <t xml:space="preserve">4031221</t>
  </si>
  <si>
    <r>
      <rPr>
        <sz val="10"/>
        <rFont val="FreeSans"/>
        <family val="2"/>
      </rPr>
      <t xml:space="preserve">تبدیل یکسر دنده نری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* 3/4</t>
    </r>
  </si>
  <si>
    <t xml:space="preserve">16274100</t>
  </si>
  <si>
    <t xml:space="preserve">سیم بکسل</t>
  </si>
  <si>
    <t xml:space="preserve">4026409</t>
  </si>
  <si>
    <r>
      <rPr>
        <sz val="10"/>
        <rFont val="FreeSans"/>
        <family val="2"/>
      </rPr>
      <t xml:space="preserve">سیم بکسل نمره </t>
    </r>
    <r>
      <rPr>
        <sz val="10"/>
        <rFont val="Vazirmatn"/>
        <family val="0"/>
        <charset val="1"/>
      </rPr>
      <t xml:space="preserve">3</t>
    </r>
  </si>
  <si>
    <t xml:space="preserve">16274200</t>
  </si>
  <si>
    <r>
      <rPr>
        <sz val="10"/>
        <rFont val="FreeSans"/>
        <family val="2"/>
      </rPr>
      <t xml:space="preserve">شیلنگ شفاف سیم دار </t>
    </r>
    <r>
      <rPr>
        <sz val="10"/>
        <rFont val="Vazirmatn"/>
        <family val="0"/>
        <charset val="1"/>
      </rPr>
      <t xml:space="preserve">"4</t>
    </r>
  </si>
  <si>
    <t xml:space="preserve">4030362</t>
  </si>
  <si>
    <r>
      <rPr>
        <sz val="10"/>
        <rFont val="FreeSans"/>
        <family val="2"/>
      </rPr>
      <t xml:space="preserve">شیلنگ شفاف </t>
    </r>
    <r>
      <rPr>
        <sz val="10"/>
        <rFont val="Vazirmatn"/>
        <family val="0"/>
        <charset val="1"/>
      </rPr>
      <t xml:space="preserve">2 * 4</t>
    </r>
  </si>
  <si>
    <t xml:space="preserve">16276000</t>
  </si>
  <si>
    <r>
      <rPr>
        <sz val="10"/>
        <rFont val="FreeSans"/>
        <family val="2"/>
      </rPr>
      <t xml:space="preserve">لرزه گیر حصیری استیل </t>
    </r>
    <r>
      <rPr>
        <sz val="10"/>
        <rFont val="Vazirmatn"/>
        <family val="0"/>
        <charset val="1"/>
      </rPr>
      <t xml:space="preserve">1/4 1</t>
    </r>
  </si>
  <si>
    <t xml:space="preserve">4025869</t>
  </si>
  <si>
    <r>
      <rPr>
        <sz val="10"/>
        <rFont val="FreeSans"/>
        <family val="2"/>
      </rPr>
      <t xml:space="preserve">لرزه گیر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1/4 1 </t>
    </r>
    <r>
      <rPr>
        <sz val="10"/>
        <rFont val="FreeSans"/>
        <family val="2"/>
      </rPr>
      <t xml:space="preserve">اینچ</t>
    </r>
  </si>
  <si>
    <t xml:space="preserve">16276001</t>
  </si>
  <si>
    <t xml:space="preserve">لرزه گیر لاستیکی</t>
  </si>
  <si>
    <t xml:space="preserve">4028958</t>
  </si>
  <si>
    <r>
      <rPr>
        <sz val="10"/>
        <rFont val="FreeSans"/>
        <family val="2"/>
      </rPr>
      <t xml:space="preserve">لرزه گیر لاستیکی 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</si>
  <si>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16279000</t>
  </si>
  <si>
    <t xml:space="preserve">طلق شفاف</t>
  </si>
  <si>
    <t xml:space="preserve">4024249</t>
  </si>
  <si>
    <r>
      <rPr>
        <sz val="10"/>
        <rFont val="FreeSans"/>
        <family val="2"/>
      </rPr>
      <t xml:space="preserve">طلق شفاف </t>
    </r>
    <r>
      <rPr>
        <sz val="10"/>
        <rFont val="Vazirmatn"/>
        <family val="0"/>
        <charset val="1"/>
      </rPr>
      <t xml:space="preserve">6mm</t>
    </r>
  </si>
  <si>
    <t xml:space="preserve">16282001</t>
  </si>
  <si>
    <t xml:space="preserve">تیغه آسیاب چکشی</t>
  </si>
  <si>
    <t xml:space="preserve">4025584</t>
  </si>
  <si>
    <t xml:space="preserve">تیغه آسیاب چکشی فیبر</t>
  </si>
  <si>
    <r>
      <rPr>
        <sz val="10"/>
        <rFont val="Vazirmatn"/>
        <family val="0"/>
        <charset val="1"/>
      </rPr>
      <t xml:space="preserve">1628 (</t>
    </r>
    <r>
      <rPr>
        <sz val="10"/>
        <rFont val="FreeSans"/>
        <family val="2"/>
      </rPr>
      <t xml:space="preserve">تیغه، قیفی</t>
    </r>
    <r>
      <rPr>
        <sz val="10"/>
        <rFont val="Vazirmatn"/>
        <family val="0"/>
        <charset val="1"/>
      </rPr>
      <t xml:space="preserve">)</t>
    </r>
  </si>
  <si>
    <t xml:space="preserve">16290001</t>
  </si>
  <si>
    <t xml:space="preserve">تخته وایت برد ایستاده پایه دار</t>
  </si>
  <si>
    <t xml:space="preserve">5013052</t>
  </si>
  <si>
    <t xml:space="preserve">پایه تخته وایت برد ایستاده</t>
  </si>
  <si>
    <t xml:space="preserve">16291202</t>
  </si>
  <si>
    <r>
      <rPr>
        <sz val="10"/>
        <rFont val="FreeSans"/>
        <family val="2"/>
      </rPr>
      <t xml:space="preserve">نبشی آهنی </t>
    </r>
    <r>
      <rPr>
        <sz val="10"/>
        <rFont val="Vazirmatn"/>
        <family val="0"/>
        <charset val="1"/>
      </rPr>
      <t xml:space="preserve">6</t>
    </r>
  </si>
  <si>
    <t xml:space="preserve">5013009</t>
  </si>
  <si>
    <r>
      <rPr>
        <sz val="10"/>
        <rFont val="FreeSans"/>
        <family val="2"/>
      </rPr>
      <t xml:space="preserve">نبشی آهن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متری سایز</t>
    </r>
    <r>
      <rPr>
        <sz val="10"/>
        <rFont val="Vazirmatn"/>
        <family val="0"/>
        <charset val="1"/>
      </rPr>
      <t xml:space="preserve">2</t>
    </r>
  </si>
  <si>
    <t xml:space="preserve">16291405</t>
  </si>
  <si>
    <r>
      <rPr>
        <sz val="10"/>
        <rFont val="FreeSans"/>
        <family val="2"/>
      </rPr>
      <t xml:space="preserve">ناودانی گالوانیزه </t>
    </r>
    <r>
      <rPr>
        <sz val="10"/>
        <rFont val="Vazirmatn"/>
        <family val="0"/>
        <charset val="1"/>
      </rPr>
      <t xml:space="preserve">5</t>
    </r>
  </si>
  <si>
    <t xml:space="preserve">5013019</t>
  </si>
  <si>
    <r>
      <rPr>
        <sz val="10"/>
        <rFont val="FreeSans"/>
        <family val="2"/>
      </rPr>
      <t xml:space="preserve">ناودانی گالوانیزه پانچ نمره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120</t>
    </r>
  </si>
  <si>
    <t xml:space="preserve">16299005</t>
  </si>
  <si>
    <t xml:space="preserve">دستگاه فیلتر پرس</t>
  </si>
  <si>
    <t xml:space="preserve">4032477</t>
  </si>
  <si>
    <t xml:space="preserve">دستگاه فیلتر پرس اتوماتیک</t>
  </si>
  <si>
    <t xml:space="preserve">16299030</t>
  </si>
  <si>
    <r>
      <rPr>
        <sz val="10"/>
        <rFont val="FreeSans"/>
        <family val="2"/>
      </rPr>
      <t xml:space="preserve">کولر آبی </t>
    </r>
    <r>
      <rPr>
        <sz val="10"/>
        <rFont val="Vazirmatn"/>
        <family val="0"/>
        <charset val="1"/>
      </rPr>
      <t xml:space="preserve">7000</t>
    </r>
  </si>
  <si>
    <t xml:space="preserve">6001512</t>
  </si>
  <si>
    <r>
      <rPr>
        <sz val="10"/>
        <rFont val="FreeSans"/>
        <family val="2"/>
      </rPr>
      <t xml:space="preserve">کولر آبی </t>
    </r>
    <r>
      <rPr>
        <sz val="10"/>
        <rFont val="Vazirmatn"/>
        <family val="0"/>
        <charset val="1"/>
      </rPr>
      <t xml:space="preserve">7000CFM</t>
    </r>
  </si>
  <si>
    <t xml:space="preserve">16299037</t>
  </si>
  <si>
    <t xml:space="preserve">دستگاه فیلتر پرس استیل</t>
  </si>
  <si>
    <t xml:space="preserve">16299041</t>
  </si>
  <si>
    <t xml:space="preserve">دستگاه بسته بندی نشاسته</t>
  </si>
  <si>
    <t xml:space="preserve">6003556</t>
  </si>
  <si>
    <r>
      <rPr>
        <sz val="10"/>
        <rFont val="FreeSans"/>
        <family val="2"/>
      </rPr>
      <t xml:space="preserve">دستگاه بسته بندی نشاسته پودری </t>
    </r>
    <r>
      <rPr>
        <sz val="10"/>
        <rFont val="Vazirmatn"/>
        <family val="0"/>
        <charset val="1"/>
      </rPr>
      <t xml:space="preserve">500g</t>
    </r>
  </si>
  <si>
    <t xml:space="preserve">211002</t>
  </si>
  <si>
    <r>
      <rPr>
        <sz val="10"/>
        <rFont val="FreeSans"/>
        <family val="2"/>
      </rPr>
      <t xml:space="preserve">درب گالن روغن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لیتری</t>
    </r>
  </si>
  <si>
    <t xml:space="preserve">1501946</t>
  </si>
  <si>
    <r>
      <rPr>
        <sz val="10"/>
        <rFont val="FreeSans"/>
        <family val="2"/>
      </rPr>
      <t xml:space="preserve">درب گالن 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لیتری  روغن ذرت زر</t>
    </r>
  </si>
  <si>
    <r>
      <rPr>
        <sz val="10"/>
        <rFont val="Vazirmatn"/>
        <family val="0"/>
        <charset val="1"/>
      </rPr>
      <t xml:space="preserve">2110 (</t>
    </r>
    <r>
      <rPr>
        <sz val="10"/>
        <rFont val="FreeSans"/>
        <family val="2"/>
      </rPr>
      <t xml:space="preserve">گونی، درب</t>
    </r>
    <r>
      <rPr>
        <sz val="10"/>
        <rFont val="Vazirmatn"/>
        <family val="0"/>
        <charset val="1"/>
      </rPr>
      <t xml:space="preserve">)</t>
    </r>
  </si>
  <si>
    <t xml:space="preserve">211057</t>
  </si>
  <si>
    <r>
      <rPr>
        <sz val="10"/>
        <rFont val="FreeSans"/>
        <family val="2"/>
      </rPr>
      <t xml:space="preserve">درب گالن پلاستیکی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 گرمی</t>
    </r>
  </si>
  <si>
    <t xml:space="preserve">5018630</t>
  </si>
  <si>
    <r>
      <rPr>
        <sz val="10"/>
        <rFont val="FreeSans"/>
        <family val="2"/>
      </rPr>
      <t xml:space="preserve">درب ظرف پلاستیکی </t>
    </r>
    <r>
      <rPr>
        <sz val="10"/>
        <rFont val="Vazirmatn"/>
        <family val="0"/>
        <charset val="1"/>
      </rPr>
      <t xml:space="preserve">25kg</t>
    </r>
  </si>
  <si>
    <t xml:space="preserve">213002</t>
  </si>
  <si>
    <r>
      <rPr>
        <sz val="10"/>
        <rFont val="FreeSans"/>
        <family val="2"/>
      </rPr>
      <t xml:space="preserve">گالن روغن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لیتری</t>
    </r>
  </si>
  <si>
    <r>
      <rPr>
        <sz val="10"/>
        <rFont val="Vazirmatn"/>
        <family val="0"/>
        <charset val="1"/>
      </rPr>
      <t xml:space="preserve">2130 (</t>
    </r>
    <r>
      <rPr>
        <sz val="10"/>
        <rFont val="FreeSans"/>
        <family val="2"/>
      </rPr>
      <t xml:space="preserve">بشکه، گالن</t>
    </r>
    <r>
      <rPr>
        <sz val="10"/>
        <rFont val="Vazirmatn"/>
        <family val="0"/>
        <charset val="1"/>
      </rPr>
      <t xml:space="preserve">)</t>
    </r>
  </si>
  <si>
    <t xml:space="preserve">213003</t>
  </si>
  <si>
    <r>
      <rPr>
        <sz val="10"/>
        <rFont val="FreeSans"/>
        <family val="2"/>
      </rPr>
      <t xml:space="preserve">بشکه فلزی </t>
    </r>
    <r>
      <rPr>
        <sz val="10"/>
        <rFont val="Vazirmatn"/>
        <family val="0"/>
        <charset val="1"/>
      </rPr>
      <t xml:space="preserve">220  </t>
    </r>
    <r>
      <rPr>
        <sz val="10"/>
        <rFont val="FreeSans"/>
        <family val="2"/>
      </rPr>
      <t xml:space="preserve">لیتری دهانه تنگ</t>
    </r>
  </si>
  <si>
    <t xml:space="preserve">5007615</t>
  </si>
  <si>
    <r>
      <rPr>
        <sz val="10"/>
        <rFont val="FreeSans"/>
        <family val="2"/>
      </rPr>
      <t xml:space="preserve">بشکه فلزی</t>
    </r>
    <r>
      <rPr>
        <sz val="10"/>
        <rFont val="Vazirmatn"/>
        <family val="0"/>
        <charset val="1"/>
      </rPr>
      <t xml:space="preserve">220</t>
    </r>
    <r>
      <rPr>
        <sz val="10"/>
        <rFont val="FreeSans"/>
        <family val="2"/>
      </rPr>
      <t xml:space="preserve">لیتری</t>
    </r>
  </si>
  <si>
    <t xml:space="preserve">213009</t>
  </si>
  <si>
    <r>
      <rPr>
        <sz val="10"/>
        <rFont val="FreeSans"/>
        <family val="2"/>
      </rPr>
      <t xml:space="preserve">بشکه پلاستیکی </t>
    </r>
    <r>
      <rPr>
        <sz val="10"/>
        <rFont val="Vazirmatn"/>
        <family val="0"/>
        <charset val="1"/>
      </rPr>
      <t xml:space="preserve">220 </t>
    </r>
    <r>
      <rPr>
        <sz val="10"/>
        <rFont val="FreeSans"/>
        <family val="2"/>
      </rPr>
      <t xml:space="preserve">لیتری دهانه تنگ</t>
    </r>
  </si>
  <si>
    <t xml:space="preserve">5007614</t>
  </si>
  <si>
    <r>
      <rPr>
        <sz val="10"/>
        <rFont val="FreeSans"/>
        <family val="2"/>
      </rPr>
      <t xml:space="preserve">بشکه پلاستیکی </t>
    </r>
    <r>
      <rPr>
        <sz val="10"/>
        <rFont val="Vazirmatn"/>
        <family val="0"/>
        <charset val="1"/>
      </rPr>
      <t xml:space="preserve">220</t>
    </r>
    <r>
      <rPr>
        <sz val="10"/>
        <rFont val="FreeSans"/>
        <family val="2"/>
      </rPr>
      <t xml:space="preserve">لیتری</t>
    </r>
  </si>
  <si>
    <t xml:space="preserve">220001</t>
  </si>
  <si>
    <r>
      <rPr>
        <sz val="10"/>
        <rFont val="FreeSans"/>
        <family val="2"/>
      </rPr>
      <t xml:space="preserve">کارتن روغن   </t>
    </r>
    <r>
      <rPr>
        <sz val="10"/>
        <rFont val="Vazirmatn"/>
        <family val="0"/>
        <charset val="1"/>
      </rPr>
      <t xml:space="preserve">900 </t>
    </r>
    <r>
      <rPr>
        <sz val="10"/>
        <rFont val="FreeSans"/>
        <family val="2"/>
      </rPr>
      <t xml:space="preserve">سی سی 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عددی</t>
    </r>
  </si>
  <si>
    <t xml:space="preserve">5011957</t>
  </si>
  <si>
    <r>
      <rPr>
        <sz val="10"/>
        <rFont val="FreeSans"/>
        <family val="2"/>
      </rPr>
      <t xml:space="preserve">کارتن بطری </t>
    </r>
    <r>
      <rPr>
        <sz val="10"/>
        <rFont val="Vazirmatn"/>
        <family val="0"/>
        <charset val="1"/>
      </rPr>
      <t xml:space="preserve">900 </t>
    </r>
    <r>
      <rPr>
        <sz val="10"/>
        <rFont val="FreeSans"/>
        <family val="2"/>
      </rPr>
      <t xml:space="preserve">سی سی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روغن</t>
    </r>
    <r>
      <rPr>
        <sz val="10"/>
        <rFont val="Vazirmatn"/>
        <family val="0"/>
        <charset val="1"/>
      </rPr>
      <t xml:space="preserve">)</t>
    </r>
  </si>
  <si>
    <r>
      <rPr>
        <sz val="10"/>
        <rFont val="Vazirmatn"/>
        <family val="0"/>
        <charset val="1"/>
      </rPr>
      <t xml:space="preserve">2200 (</t>
    </r>
    <r>
      <rPr>
        <sz val="10"/>
        <rFont val="FreeSans"/>
        <family val="2"/>
      </rPr>
      <t xml:space="preserve">کارتن</t>
    </r>
    <r>
      <rPr>
        <sz val="10"/>
        <rFont val="Vazirmatn"/>
        <family val="0"/>
        <charset val="1"/>
      </rPr>
      <t xml:space="preserve">)</t>
    </r>
  </si>
  <si>
    <t xml:space="preserve">220002</t>
  </si>
  <si>
    <r>
      <rPr>
        <sz val="10"/>
        <rFont val="FreeSans"/>
        <family val="2"/>
      </rPr>
      <t xml:space="preserve">کارتن روغن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عددی کلاله</t>
    </r>
  </si>
  <si>
    <t xml:space="preserve">1501881</t>
  </si>
  <si>
    <r>
      <rPr>
        <sz val="10"/>
        <rFont val="FreeSans"/>
        <family val="2"/>
      </rPr>
      <t xml:space="preserve">کارتن بطری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روغن</t>
    </r>
    <r>
      <rPr>
        <sz val="10"/>
        <rFont val="Vazirmatn"/>
        <family val="0"/>
        <charset val="1"/>
      </rPr>
      <t xml:space="preserve">)</t>
    </r>
  </si>
  <si>
    <t xml:space="preserve">250003</t>
  </si>
  <si>
    <r>
      <rPr>
        <sz val="10"/>
        <rFont val="FreeSans"/>
        <family val="2"/>
      </rPr>
      <t xml:space="preserve">لیبل گالن گلوکوز  </t>
    </r>
    <r>
      <rPr>
        <sz val="10"/>
        <rFont val="Vazirmatn"/>
        <family val="0"/>
        <charset val="1"/>
      </rPr>
      <t xml:space="preserve">50  </t>
    </r>
    <r>
      <rPr>
        <sz val="10"/>
        <rFont val="FreeSans"/>
        <family val="2"/>
      </rPr>
      <t xml:space="preserve">کیلویی</t>
    </r>
  </si>
  <si>
    <t xml:space="preserve">5011923</t>
  </si>
  <si>
    <r>
      <rPr>
        <sz val="10"/>
        <rFont val="FreeSans"/>
        <family val="2"/>
      </rPr>
      <t xml:space="preserve">لیبل گلوکوز</t>
    </r>
    <r>
      <rPr>
        <sz val="10"/>
        <rFont val="Vazirmatn"/>
        <family val="0"/>
        <charset val="1"/>
      </rPr>
      <t xml:space="preserve">42 </t>
    </r>
    <r>
      <rPr>
        <sz val="10"/>
        <rFont val="FreeSans"/>
        <family val="2"/>
      </rPr>
      <t xml:space="preserve">داخلی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کیلویی</t>
    </r>
  </si>
  <si>
    <t xml:space="preserve">250007</t>
  </si>
  <si>
    <r>
      <rPr>
        <sz val="10"/>
        <rFont val="FreeSans"/>
        <family val="2"/>
      </rPr>
      <t xml:space="preserve">لیبل فروکتوز </t>
    </r>
    <r>
      <rPr>
        <sz val="10"/>
        <rFont val="Vazirmatn"/>
        <family val="0"/>
        <charset val="1"/>
      </rPr>
      <t xml:space="preserve">42</t>
    </r>
  </si>
  <si>
    <t xml:space="preserve">5018728</t>
  </si>
  <si>
    <r>
      <rPr>
        <sz val="10"/>
        <rFont val="FreeSans"/>
        <family val="2"/>
      </rPr>
      <t xml:space="preserve">لیبل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فروکتوز </t>
    </r>
    <r>
      <rPr>
        <sz val="10"/>
        <rFont val="Vazirmatn"/>
        <family val="0"/>
        <charset val="1"/>
      </rPr>
      <t xml:space="preserve">F42 </t>
    </r>
    <r>
      <rPr>
        <sz val="10"/>
        <rFont val="FreeSans"/>
        <family val="2"/>
      </rPr>
      <t xml:space="preserve">دارویی</t>
    </r>
  </si>
  <si>
    <t xml:space="preserve">250014</t>
  </si>
  <si>
    <r>
      <rPr>
        <sz val="10"/>
        <rFont val="FreeSans"/>
        <family val="2"/>
      </rPr>
      <t xml:space="preserve">بست  پلاستیکی  </t>
    </r>
    <r>
      <rPr>
        <sz val="10"/>
        <rFont val="Vazirmatn"/>
        <family val="0"/>
        <charset val="1"/>
      </rPr>
      <t xml:space="preserve">550 * 7.6mm</t>
    </r>
  </si>
  <si>
    <t xml:space="preserve">5003455</t>
  </si>
  <si>
    <r>
      <rPr>
        <sz val="10"/>
        <rFont val="FreeSans"/>
        <family val="2"/>
      </rPr>
      <t xml:space="preserve">بست کمربندي پلاستيکي </t>
    </r>
    <r>
      <rPr>
        <sz val="10"/>
        <rFont val="Vazirmatn"/>
        <family val="0"/>
        <charset val="1"/>
      </rPr>
      <t xml:space="preserve">550mm</t>
    </r>
  </si>
  <si>
    <t xml:space="preserve">250015</t>
  </si>
  <si>
    <r>
      <rPr>
        <sz val="10"/>
        <rFont val="FreeSans"/>
        <family val="2"/>
      </rPr>
      <t xml:space="preserve">لیبل گالن فروکتوز </t>
    </r>
    <r>
      <rPr>
        <sz val="10"/>
        <rFont val="Vazirmatn"/>
        <family val="0"/>
        <charset val="1"/>
      </rPr>
      <t xml:space="preserve">55</t>
    </r>
  </si>
  <si>
    <t xml:space="preserve">5018730</t>
  </si>
  <si>
    <r>
      <rPr>
        <sz val="10"/>
        <rFont val="FreeSans"/>
        <family val="2"/>
      </rPr>
      <t xml:space="preserve">لیبل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فروکتوز </t>
    </r>
    <r>
      <rPr>
        <sz val="10"/>
        <rFont val="Vazirmatn"/>
        <family val="0"/>
        <charset val="1"/>
      </rPr>
      <t xml:space="preserve">F55 </t>
    </r>
    <r>
      <rPr>
        <sz val="10"/>
        <rFont val="FreeSans"/>
        <family val="2"/>
      </rPr>
      <t xml:space="preserve">دارویی</t>
    </r>
  </si>
  <si>
    <t xml:space="preserve">251015</t>
  </si>
  <si>
    <r>
      <rPr>
        <sz val="10"/>
        <rFont val="FreeSans"/>
        <family val="2"/>
      </rPr>
      <t xml:space="preserve">پالت چوبی 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استوک</t>
    </r>
    <r>
      <rPr>
        <sz val="10"/>
        <rFont val="Vazirmatn"/>
        <family val="0"/>
        <charset val="1"/>
      </rPr>
      <t xml:space="preserve">)  100*120</t>
    </r>
  </si>
  <si>
    <t xml:space="preserve">5012118</t>
  </si>
  <si>
    <r>
      <rPr>
        <sz val="10"/>
        <rFont val="FreeSans"/>
        <family val="2"/>
      </rPr>
      <t xml:space="preserve">پالت چوبی </t>
    </r>
    <r>
      <rPr>
        <sz val="10"/>
        <rFont val="Vazirmatn"/>
        <family val="0"/>
        <charset val="1"/>
      </rPr>
      <t xml:space="preserve">120*100</t>
    </r>
  </si>
  <si>
    <t xml:space="preserve">260001</t>
  </si>
  <si>
    <t xml:space="preserve">نخ دوخت</t>
  </si>
  <si>
    <t xml:space="preserve">5011977</t>
  </si>
  <si>
    <t xml:space="preserve">نخ دوخت دستی</t>
  </si>
  <si>
    <r>
      <rPr>
        <sz val="10"/>
        <rFont val="Vazirmatn"/>
        <family val="0"/>
        <charset val="1"/>
      </rPr>
      <t xml:space="preserve">2600 (</t>
    </r>
    <r>
      <rPr>
        <sz val="10"/>
        <rFont val="FreeSans"/>
        <family val="2"/>
      </rPr>
      <t xml:space="preserve">نخ</t>
    </r>
    <r>
      <rPr>
        <sz val="10"/>
        <rFont val="Vazirmatn"/>
        <family val="0"/>
        <charset val="1"/>
      </rPr>
      <t xml:space="preserve">)</t>
    </r>
  </si>
  <si>
    <t xml:space="preserve">27701001</t>
  </si>
  <si>
    <r>
      <rPr>
        <sz val="10"/>
        <rFont val="FreeSans"/>
        <family val="2"/>
      </rPr>
      <t xml:space="preserve">گالن پلاستیکی </t>
    </r>
    <r>
      <rPr>
        <sz val="10"/>
        <rFont val="Vazirmatn"/>
        <family val="0"/>
        <charset val="1"/>
      </rPr>
      <t xml:space="preserve">20</t>
    </r>
    <r>
      <rPr>
        <sz val="10"/>
        <rFont val="FreeSans"/>
        <family val="2"/>
      </rPr>
      <t xml:space="preserve">لیتری روغن شرکت زرنام</t>
    </r>
  </si>
  <si>
    <t xml:space="preserve">5011987</t>
  </si>
  <si>
    <r>
      <rPr>
        <sz val="10"/>
        <rFont val="FreeSans"/>
        <family val="2"/>
      </rPr>
      <t xml:space="preserve">گالن پلاستیکی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لیتری</t>
    </r>
  </si>
  <si>
    <r>
      <rPr>
        <sz val="10"/>
        <rFont val="Vazirmatn"/>
        <family val="0"/>
        <charset val="1"/>
      </rPr>
      <t xml:space="preserve">2770 (</t>
    </r>
    <r>
      <rPr>
        <sz val="10"/>
        <rFont val="FreeSans"/>
        <family val="2"/>
      </rPr>
      <t xml:space="preserve">گالن، مخزن</t>
    </r>
    <r>
      <rPr>
        <sz val="10"/>
        <rFont val="Vazirmatn"/>
        <family val="0"/>
        <charset val="1"/>
      </rPr>
      <t xml:space="preserve">)</t>
    </r>
  </si>
  <si>
    <t xml:space="preserve">27801001</t>
  </si>
  <si>
    <r>
      <rPr>
        <sz val="10"/>
        <rFont val="FreeSans"/>
        <family val="2"/>
      </rPr>
      <t xml:space="preserve">پالت چوبی </t>
    </r>
    <r>
      <rPr>
        <sz val="10"/>
        <rFont val="Vazirmatn"/>
        <family val="0"/>
        <charset val="1"/>
      </rPr>
      <t xml:space="preserve">110*110 </t>
    </r>
    <r>
      <rPr>
        <sz val="10"/>
        <rFont val="FreeSans"/>
        <family val="2"/>
      </rPr>
      <t xml:space="preserve">شرکت زرنام</t>
    </r>
  </si>
  <si>
    <t xml:space="preserve">5012120</t>
  </si>
  <si>
    <r>
      <rPr>
        <sz val="10"/>
        <rFont val="FreeSans"/>
        <family val="2"/>
      </rPr>
      <t xml:space="preserve">پالت چوبی </t>
    </r>
    <r>
      <rPr>
        <sz val="10"/>
        <rFont val="Vazirmatn"/>
        <family val="0"/>
        <charset val="1"/>
      </rPr>
      <t xml:space="preserve">110*110</t>
    </r>
  </si>
  <si>
    <t xml:space="preserve">31210212</t>
  </si>
  <si>
    <r>
      <rPr>
        <sz val="10"/>
        <rFont val="FreeSans"/>
        <family val="2"/>
      </rPr>
      <t xml:space="preserve">پچ پنل </t>
    </r>
    <r>
      <rPr>
        <sz val="10"/>
        <rFont val="Vazirmatn"/>
        <family val="0"/>
        <charset val="1"/>
      </rPr>
      <t xml:space="preserve">24 </t>
    </r>
    <r>
      <rPr>
        <sz val="10"/>
        <rFont val="FreeSans"/>
        <family val="2"/>
      </rPr>
      <t xml:space="preserve">پورت لگراند </t>
    </r>
    <r>
      <rPr>
        <sz val="10"/>
        <rFont val="Vazirmatn"/>
        <family val="0"/>
        <charset val="1"/>
      </rPr>
      <t xml:space="preserve">Cat6-SFTP</t>
    </r>
  </si>
  <si>
    <t xml:space="preserve">5011248</t>
  </si>
  <si>
    <r>
      <rPr>
        <sz val="10"/>
        <rFont val="FreeSans"/>
        <family val="2"/>
      </rPr>
      <t xml:space="preserve">پچ پنل </t>
    </r>
    <r>
      <rPr>
        <sz val="10"/>
        <rFont val="Vazirmatn"/>
        <family val="0"/>
        <charset val="1"/>
      </rPr>
      <t xml:space="preserve">24 </t>
    </r>
    <r>
      <rPr>
        <sz val="10"/>
        <rFont val="FreeSans"/>
        <family val="2"/>
      </rPr>
      <t xml:space="preserve">پورت </t>
    </r>
    <r>
      <rPr>
        <sz val="10"/>
        <rFont val="Vazirmatn"/>
        <family val="0"/>
        <charset val="1"/>
      </rPr>
      <t xml:space="preserve">CAT6</t>
    </r>
  </si>
  <si>
    <t xml:space="preserve">31210227</t>
  </si>
  <si>
    <r>
      <rPr>
        <sz val="10"/>
        <rFont val="FreeSans"/>
        <family val="2"/>
      </rPr>
      <t xml:space="preserve">تاچ پنل </t>
    </r>
    <r>
      <rPr>
        <sz val="10"/>
        <rFont val="Vazirmatn"/>
        <family val="0"/>
        <charset val="1"/>
      </rPr>
      <t xml:space="preserve">6AV2 123-2GB03-0AX0</t>
    </r>
  </si>
  <si>
    <t xml:space="preserve">4038308</t>
  </si>
  <si>
    <r>
      <rPr>
        <sz val="10"/>
        <rFont val="FreeSans"/>
        <family val="2"/>
      </rPr>
      <t xml:space="preserve">تاچ پانل زیمنس </t>
    </r>
    <r>
      <rPr>
        <sz val="10"/>
        <rFont val="Vazirmatn"/>
        <family val="0"/>
        <charset val="1"/>
      </rPr>
      <t xml:space="preserve">6AV2-123-2GB03-0AX0</t>
    </r>
  </si>
  <si>
    <t xml:space="preserve">31210230</t>
  </si>
  <si>
    <r>
      <rPr>
        <sz val="10"/>
        <rFont val="FreeSans"/>
        <family val="2"/>
      </rPr>
      <t xml:space="preserve">تاچ پنل </t>
    </r>
    <r>
      <rPr>
        <sz val="10"/>
        <rFont val="Vazirmatn"/>
        <family val="0"/>
        <charset val="1"/>
      </rPr>
      <t xml:space="preserve">6AV2 123-2DB03-0AX0</t>
    </r>
  </si>
  <si>
    <t xml:space="preserve">31210528</t>
  </si>
  <si>
    <r>
      <rPr>
        <sz val="10"/>
        <rFont val="FreeSans"/>
        <family val="2"/>
      </rPr>
      <t xml:space="preserve">ماژول </t>
    </r>
    <r>
      <rPr>
        <sz val="10"/>
        <rFont val="Vazirmatn"/>
        <family val="0"/>
        <charset val="1"/>
      </rPr>
      <t xml:space="preserve">SFP </t>
    </r>
    <r>
      <rPr>
        <sz val="10"/>
        <rFont val="FreeSans"/>
        <family val="2"/>
      </rPr>
      <t xml:space="preserve">فیبر نوری </t>
    </r>
    <r>
      <rPr>
        <sz val="10"/>
        <rFont val="Vazirmatn"/>
        <family val="0"/>
        <charset val="1"/>
      </rPr>
      <t xml:space="preserve">LH Cisco FC-LC SM</t>
    </r>
  </si>
  <si>
    <t xml:space="preserve">5011366</t>
  </si>
  <si>
    <r>
      <rPr>
        <sz val="10"/>
        <rFont val="FreeSans"/>
        <family val="2"/>
      </rPr>
      <t xml:space="preserve">ماژول فیبر نوری </t>
    </r>
    <r>
      <rPr>
        <sz val="10"/>
        <rFont val="Vazirmatn"/>
        <family val="0"/>
        <charset val="1"/>
      </rPr>
      <t xml:space="preserve">GLC-LH-SM</t>
    </r>
  </si>
  <si>
    <t xml:space="preserve">31210530</t>
  </si>
  <si>
    <r>
      <rPr>
        <sz val="10"/>
        <rFont val="FreeSans"/>
        <family val="2"/>
      </rPr>
      <t xml:space="preserve">ماژول پی ال سی  </t>
    </r>
    <r>
      <rPr>
        <sz val="10"/>
        <rFont val="Vazirmatn"/>
        <family val="0"/>
        <charset val="1"/>
      </rPr>
      <t xml:space="preserve">DVP-16SP11T</t>
    </r>
  </si>
  <si>
    <t xml:space="preserve">4021630</t>
  </si>
  <si>
    <r>
      <rPr>
        <sz val="10"/>
        <rFont val="FreeSans"/>
        <family val="2"/>
      </rPr>
      <t xml:space="preserve">ماژول دلتا </t>
    </r>
    <r>
      <rPr>
        <sz val="10"/>
        <rFont val="Vazirmatn"/>
        <family val="0"/>
        <charset val="1"/>
      </rPr>
      <t xml:space="preserve">DVP16SP11R</t>
    </r>
  </si>
  <si>
    <t xml:space="preserve">31210541</t>
  </si>
  <si>
    <r>
      <rPr>
        <sz val="10"/>
        <rFont val="FreeSans"/>
        <family val="2"/>
      </rPr>
      <t xml:space="preserve">ماژول سی پی   </t>
    </r>
    <r>
      <rPr>
        <sz val="10"/>
        <rFont val="Vazirmatn"/>
        <family val="0"/>
        <charset val="1"/>
      </rPr>
      <t xml:space="preserve">6GK7 343-1EX30-0XE0</t>
    </r>
  </si>
  <si>
    <t xml:space="preserve">4006175</t>
  </si>
  <si>
    <r>
      <rPr>
        <sz val="10"/>
        <rFont val="FreeSans"/>
        <family val="2"/>
      </rPr>
      <t xml:space="preserve">ماژول زيمنس </t>
    </r>
    <r>
      <rPr>
        <sz val="10"/>
        <rFont val="Vazirmatn"/>
        <family val="0"/>
        <charset val="1"/>
      </rPr>
      <t xml:space="preserve">6GK7 343-1EX30-0XE0</t>
    </r>
  </si>
  <si>
    <t xml:space="preserve">31210623</t>
  </si>
  <si>
    <r>
      <rPr>
        <sz val="10"/>
        <rFont val="FreeSans"/>
        <family val="2"/>
      </rPr>
      <t xml:space="preserve">ماژول پی ال سی  </t>
    </r>
    <r>
      <rPr>
        <sz val="10"/>
        <rFont val="Vazirmatn"/>
        <family val="0"/>
        <charset val="1"/>
      </rPr>
      <t xml:space="preserve">DVP-14SS211R</t>
    </r>
  </si>
  <si>
    <t xml:space="preserve">4006171</t>
  </si>
  <si>
    <r>
      <rPr>
        <sz val="10"/>
        <rFont val="FreeSans"/>
        <family val="2"/>
      </rPr>
      <t xml:space="preserve">ماژول دلتا </t>
    </r>
    <r>
      <rPr>
        <sz val="10"/>
        <rFont val="Vazirmatn"/>
        <family val="0"/>
        <charset val="1"/>
      </rPr>
      <t xml:space="preserve">DVP14SS211R</t>
    </r>
  </si>
  <si>
    <t xml:space="preserve">31210633</t>
  </si>
  <si>
    <r>
      <rPr>
        <sz val="10"/>
        <rFont val="FreeSans"/>
        <family val="2"/>
      </rPr>
      <t xml:space="preserve">منبع تغذیه </t>
    </r>
    <r>
      <rPr>
        <sz val="10"/>
        <rFont val="Vazirmatn"/>
        <family val="0"/>
        <charset val="1"/>
      </rPr>
      <t xml:space="preserve">MDR-60-24 ) 24V DC 2/5A )</t>
    </r>
  </si>
  <si>
    <t xml:space="preserve">4027745</t>
  </si>
  <si>
    <r>
      <rPr>
        <sz val="10"/>
        <rFont val="FreeSans"/>
        <family val="2"/>
      </rPr>
      <t xml:space="preserve">منبع تغذیه </t>
    </r>
    <r>
      <rPr>
        <sz val="10"/>
        <rFont val="Vazirmatn"/>
        <family val="0"/>
        <charset val="1"/>
      </rPr>
      <t xml:space="preserve">24VDC</t>
    </r>
  </si>
  <si>
    <t xml:space="preserve">31210642</t>
  </si>
  <si>
    <r>
      <rPr>
        <sz val="10"/>
        <rFont val="FreeSans"/>
        <family val="2"/>
      </rPr>
      <t xml:space="preserve">منبع تغذیه سوئیچینگ </t>
    </r>
    <r>
      <rPr>
        <sz val="10"/>
        <rFont val="Vazirmatn"/>
        <family val="0"/>
        <charset val="1"/>
      </rPr>
      <t xml:space="preserve">220V AC * 12V DC  5A</t>
    </r>
  </si>
  <si>
    <t xml:space="preserve">4023889</t>
  </si>
  <si>
    <r>
      <rPr>
        <sz val="10"/>
        <rFont val="FreeSans"/>
        <family val="2"/>
      </rPr>
      <t xml:space="preserve">منبع تغذیه </t>
    </r>
    <r>
      <rPr>
        <sz val="10"/>
        <rFont val="Vazirmatn"/>
        <family val="0"/>
        <charset val="1"/>
      </rPr>
      <t xml:space="preserve">12</t>
    </r>
    <r>
      <rPr>
        <sz val="10"/>
        <rFont val="FreeSans"/>
        <family val="2"/>
      </rPr>
      <t xml:space="preserve">ولت </t>
    </r>
    <r>
      <rPr>
        <sz val="10"/>
        <rFont val="Vazirmatn"/>
        <family val="0"/>
        <charset val="1"/>
      </rPr>
      <t xml:space="preserve">5</t>
    </r>
    <r>
      <rPr>
        <sz val="10"/>
        <rFont val="FreeSans"/>
        <family val="2"/>
      </rPr>
      <t xml:space="preserve">آمپر</t>
    </r>
  </si>
  <si>
    <t xml:space="preserve">31210643</t>
  </si>
  <si>
    <r>
      <rPr>
        <sz val="10"/>
        <rFont val="FreeSans"/>
        <family val="2"/>
      </rPr>
      <t xml:space="preserve">منبع تغذیه  </t>
    </r>
    <r>
      <rPr>
        <sz val="10"/>
        <rFont val="Vazirmatn"/>
        <family val="0"/>
        <charset val="1"/>
      </rPr>
      <t xml:space="preserve">24V</t>
    </r>
  </si>
  <si>
    <t xml:space="preserve">31210644</t>
  </si>
  <si>
    <r>
      <rPr>
        <sz val="10"/>
        <rFont val="FreeSans"/>
        <family val="2"/>
      </rPr>
      <t xml:space="preserve">منبع تغذیه  </t>
    </r>
    <r>
      <rPr>
        <sz val="10"/>
        <rFont val="Vazirmatn"/>
        <family val="0"/>
        <charset val="1"/>
      </rPr>
      <t xml:space="preserve">12V</t>
    </r>
  </si>
  <si>
    <t xml:space="preserve">31211142</t>
  </si>
  <si>
    <r>
      <rPr>
        <sz val="10"/>
        <rFont val="FreeSans"/>
        <family val="2"/>
      </rPr>
      <t xml:space="preserve">فیوز                                     </t>
    </r>
    <r>
      <rPr>
        <sz val="10"/>
        <rFont val="Vazirmatn"/>
        <family val="0"/>
        <charset val="1"/>
      </rPr>
      <t xml:space="preserve">100   </t>
    </r>
    <r>
      <rPr>
        <sz val="10"/>
        <rFont val="FreeSans"/>
        <family val="2"/>
      </rPr>
      <t xml:space="preserve">آمپر</t>
    </r>
  </si>
  <si>
    <t xml:space="preserve">5012544</t>
  </si>
  <si>
    <r>
      <rPr>
        <sz val="10"/>
        <rFont val="FreeSans"/>
        <family val="2"/>
      </rPr>
      <t xml:space="preserve">فیوز سرامیکی </t>
    </r>
    <r>
      <rPr>
        <sz val="10"/>
        <rFont val="Vazirmatn"/>
        <family val="0"/>
        <charset val="1"/>
      </rPr>
      <t xml:space="preserve">100 </t>
    </r>
    <r>
      <rPr>
        <sz val="10"/>
        <rFont val="FreeSans"/>
        <family val="2"/>
      </rPr>
      <t xml:space="preserve">آمپر</t>
    </r>
  </si>
  <si>
    <t xml:space="preserve">31211204</t>
  </si>
  <si>
    <r>
      <rPr>
        <sz val="10"/>
        <rFont val="FreeSans"/>
        <family val="2"/>
      </rPr>
      <t xml:space="preserve">فیوز شیشه ای پایه کوتاه  </t>
    </r>
    <r>
      <rPr>
        <sz val="10"/>
        <rFont val="Vazirmatn"/>
        <family val="0"/>
        <charset val="1"/>
      </rPr>
      <t xml:space="preserve">10A</t>
    </r>
  </si>
  <si>
    <t xml:space="preserve">5004275</t>
  </si>
  <si>
    <r>
      <rPr>
        <sz val="10"/>
        <rFont val="FreeSans"/>
        <family val="2"/>
      </rPr>
      <t xml:space="preserve">فيوز شيشه اي پايه کوتاه </t>
    </r>
    <r>
      <rPr>
        <sz val="10"/>
        <rFont val="Vazirmatn"/>
        <family val="0"/>
        <charset val="1"/>
      </rPr>
      <t xml:space="preserve">250V 10A</t>
    </r>
  </si>
  <si>
    <t xml:space="preserve">31211206</t>
  </si>
  <si>
    <r>
      <rPr>
        <sz val="10"/>
        <rFont val="FreeSans"/>
        <family val="2"/>
      </rPr>
      <t xml:space="preserve">فیوز شیشه ای پایه بلند  </t>
    </r>
    <r>
      <rPr>
        <sz val="10"/>
        <rFont val="Vazirmatn"/>
        <family val="0"/>
        <charset val="1"/>
      </rPr>
      <t xml:space="preserve">10A</t>
    </r>
  </si>
  <si>
    <t xml:space="preserve">31211313</t>
  </si>
  <si>
    <r>
      <rPr>
        <sz val="10"/>
        <rFont val="FreeSans"/>
        <family val="2"/>
      </rPr>
      <t xml:space="preserve">فیوز  چاقوئی پایه کوتاه            </t>
    </r>
    <r>
      <rPr>
        <sz val="10"/>
        <rFont val="Vazirmatn"/>
        <family val="0"/>
        <charset val="1"/>
      </rPr>
      <t xml:space="preserve">63  </t>
    </r>
    <r>
      <rPr>
        <sz val="10"/>
        <rFont val="FreeSans"/>
        <family val="2"/>
      </rPr>
      <t xml:space="preserve">آمپر</t>
    </r>
  </si>
  <si>
    <t xml:space="preserve">4005854</t>
  </si>
  <si>
    <r>
      <rPr>
        <sz val="10"/>
        <rFont val="FreeSans"/>
        <family val="2"/>
      </rPr>
      <t xml:space="preserve">فيوز کاردي پايه کوتاه </t>
    </r>
    <r>
      <rPr>
        <sz val="10"/>
        <rFont val="Vazirmatn"/>
        <family val="0"/>
        <charset val="1"/>
      </rPr>
      <t xml:space="preserve">63A CL:G 500V</t>
    </r>
  </si>
  <si>
    <t xml:space="preserve">31211315</t>
  </si>
  <si>
    <r>
      <rPr>
        <sz val="10"/>
        <rFont val="FreeSans"/>
        <family val="2"/>
      </rPr>
      <t xml:space="preserve">فیوز  چاقوئی  پایه کوتاه           </t>
    </r>
    <r>
      <rPr>
        <sz val="10"/>
        <rFont val="Vazirmatn"/>
        <family val="0"/>
        <charset val="1"/>
      </rPr>
      <t xml:space="preserve">80  </t>
    </r>
    <r>
      <rPr>
        <sz val="10"/>
        <rFont val="FreeSans"/>
        <family val="2"/>
      </rPr>
      <t xml:space="preserve">آمپر</t>
    </r>
  </si>
  <si>
    <t xml:space="preserve">4005855</t>
  </si>
  <si>
    <r>
      <rPr>
        <sz val="10"/>
        <rFont val="FreeSans"/>
        <family val="2"/>
      </rPr>
      <t xml:space="preserve">فيوز کاردي پايه کوتاه </t>
    </r>
    <r>
      <rPr>
        <sz val="10"/>
        <rFont val="Vazirmatn"/>
        <family val="0"/>
        <charset val="1"/>
      </rPr>
      <t xml:space="preserve">80A CL:G 500V</t>
    </r>
  </si>
  <si>
    <t xml:space="preserve">31211317</t>
  </si>
  <si>
    <r>
      <rPr>
        <sz val="10"/>
        <rFont val="FreeSans"/>
        <family val="2"/>
      </rPr>
      <t xml:space="preserve">فیوز  چاقوئی  پایه بلند             </t>
    </r>
    <r>
      <rPr>
        <sz val="10"/>
        <rFont val="Vazirmatn"/>
        <family val="0"/>
        <charset val="1"/>
      </rPr>
      <t xml:space="preserve">80   </t>
    </r>
    <r>
      <rPr>
        <sz val="10"/>
        <rFont val="FreeSans"/>
        <family val="2"/>
      </rPr>
      <t xml:space="preserve">آمپر</t>
    </r>
  </si>
  <si>
    <t xml:space="preserve">4044302</t>
  </si>
  <si>
    <r>
      <rPr>
        <sz val="10"/>
        <rFont val="FreeSans"/>
        <family val="2"/>
      </rPr>
      <t xml:space="preserve">فیوز پایه بلند </t>
    </r>
    <r>
      <rPr>
        <sz val="10"/>
        <rFont val="Vazirmatn"/>
        <family val="0"/>
        <charset val="1"/>
      </rPr>
      <t xml:space="preserve">80A </t>
    </r>
    <r>
      <rPr>
        <sz val="10"/>
        <rFont val="FreeSans"/>
        <family val="2"/>
      </rPr>
      <t xml:space="preserve">خودرو ریو</t>
    </r>
  </si>
  <si>
    <t xml:space="preserve">31211321</t>
  </si>
  <si>
    <r>
      <rPr>
        <sz val="10"/>
        <rFont val="FreeSans"/>
        <family val="2"/>
      </rPr>
      <t xml:space="preserve">فیوز  چاقوئی پایه کوتاه            </t>
    </r>
    <r>
      <rPr>
        <sz val="10"/>
        <rFont val="Vazirmatn"/>
        <family val="0"/>
        <charset val="1"/>
      </rPr>
      <t xml:space="preserve">100  </t>
    </r>
    <r>
      <rPr>
        <sz val="10"/>
        <rFont val="FreeSans"/>
        <family val="2"/>
      </rPr>
      <t xml:space="preserve">آمپر</t>
    </r>
  </si>
  <si>
    <t xml:space="preserve">4005856</t>
  </si>
  <si>
    <r>
      <rPr>
        <sz val="10"/>
        <rFont val="FreeSans"/>
        <family val="2"/>
      </rPr>
      <t xml:space="preserve">فيوز کاردي پايه کوتاه </t>
    </r>
    <r>
      <rPr>
        <sz val="10"/>
        <rFont val="Vazirmatn"/>
        <family val="0"/>
        <charset val="1"/>
      </rPr>
      <t xml:space="preserve">100A CL:G 500V</t>
    </r>
  </si>
  <si>
    <t xml:space="preserve">31211323</t>
  </si>
  <si>
    <r>
      <rPr>
        <sz val="10"/>
        <rFont val="FreeSans"/>
        <family val="2"/>
      </rPr>
      <t xml:space="preserve">فیوز  چاقوئی پایه کوتاه  </t>
    </r>
    <r>
      <rPr>
        <sz val="10"/>
        <rFont val="Vazirmatn"/>
        <family val="0"/>
        <charset val="1"/>
      </rPr>
      <t xml:space="preserve">125 </t>
    </r>
    <r>
      <rPr>
        <sz val="10"/>
        <rFont val="FreeSans"/>
        <family val="2"/>
      </rPr>
      <t xml:space="preserve">آمپر</t>
    </r>
  </si>
  <si>
    <t xml:space="preserve">4005857</t>
  </si>
  <si>
    <r>
      <rPr>
        <sz val="10"/>
        <rFont val="FreeSans"/>
        <family val="2"/>
      </rPr>
      <t xml:space="preserve">فيوز کاردي پايه کوتاه </t>
    </r>
    <r>
      <rPr>
        <sz val="10"/>
        <rFont val="Vazirmatn"/>
        <family val="0"/>
        <charset val="1"/>
      </rPr>
      <t xml:space="preserve">125A CL:G 500V</t>
    </r>
  </si>
  <si>
    <t xml:space="preserve">31211326</t>
  </si>
  <si>
    <r>
      <rPr>
        <sz val="10"/>
        <rFont val="FreeSans"/>
        <family val="2"/>
      </rPr>
      <t xml:space="preserve">فیوز  چاقوئی  پایه کوتاه           </t>
    </r>
    <r>
      <rPr>
        <sz val="10"/>
        <rFont val="Vazirmatn"/>
        <family val="0"/>
        <charset val="1"/>
      </rPr>
      <t xml:space="preserve">160  </t>
    </r>
    <r>
      <rPr>
        <sz val="10"/>
        <rFont val="FreeSans"/>
        <family val="2"/>
      </rPr>
      <t xml:space="preserve">آمپر</t>
    </r>
  </si>
  <si>
    <t xml:space="preserve">4005858</t>
  </si>
  <si>
    <r>
      <rPr>
        <sz val="10"/>
        <rFont val="FreeSans"/>
        <family val="2"/>
      </rPr>
      <t xml:space="preserve">فيوز کاردي پايه کوتاه </t>
    </r>
    <r>
      <rPr>
        <sz val="10"/>
        <rFont val="Vazirmatn"/>
        <family val="0"/>
        <charset val="1"/>
      </rPr>
      <t xml:space="preserve">160A CL:G 500V</t>
    </r>
  </si>
  <si>
    <t xml:space="preserve">31211331</t>
  </si>
  <si>
    <r>
      <rPr>
        <sz val="10"/>
        <rFont val="FreeSans"/>
        <family val="2"/>
      </rPr>
      <t xml:space="preserve">فیوز  چاقوئی  پایه بلند            </t>
    </r>
    <r>
      <rPr>
        <sz val="10"/>
        <rFont val="Vazirmatn"/>
        <family val="0"/>
        <charset val="1"/>
      </rPr>
      <t xml:space="preserve">250   </t>
    </r>
    <r>
      <rPr>
        <sz val="10"/>
        <rFont val="FreeSans"/>
        <family val="2"/>
      </rPr>
      <t xml:space="preserve">آمپر</t>
    </r>
  </si>
  <si>
    <t xml:space="preserve">4013117</t>
  </si>
  <si>
    <r>
      <rPr>
        <sz val="10"/>
        <rFont val="FreeSans"/>
        <family val="2"/>
      </rPr>
      <t xml:space="preserve">فيوز شيشه اي پايه بلند </t>
    </r>
    <r>
      <rPr>
        <sz val="10"/>
        <rFont val="Vazirmatn"/>
        <family val="0"/>
        <charset val="1"/>
      </rPr>
      <t xml:space="preserve">250V 2A</t>
    </r>
  </si>
  <si>
    <t xml:space="preserve">31211335</t>
  </si>
  <si>
    <r>
      <rPr>
        <sz val="10"/>
        <rFont val="FreeSans"/>
        <family val="2"/>
      </rPr>
      <t xml:space="preserve">فیوز چاقوئی پایه کوتاه             </t>
    </r>
    <r>
      <rPr>
        <sz val="10"/>
        <rFont val="Vazirmatn"/>
        <family val="0"/>
        <charset val="1"/>
      </rPr>
      <t xml:space="preserve">250   </t>
    </r>
    <r>
      <rPr>
        <sz val="10"/>
        <rFont val="FreeSans"/>
        <family val="2"/>
      </rPr>
      <t xml:space="preserve">آمپر</t>
    </r>
  </si>
  <si>
    <t xml:space="preserve">4005841</t>
  </si>
  <si>
    <r>
      <rPr>
        <sz val="10"/>
        <rFont val="FreeSans"/>
        <family val="2"/>
      </rPr>
      <t xml:space="preserve">فيوز شيشه اي پايه کوتاه </t>
    </r>
    <r>
      <rPr>
        <sz val="10"/>
        <rFont val="Vazirmatn"/>
        <family val="0"/>
        <charset val="1"/>
      </rPr>
      <t xml:space="preserve">250V 1A</t>
    </r>
  </si>
  <si>
    <t xml:space="preserve">31211725</t>
  </si>
  <si>
    <r>
      <rPr>
        <sz val="10"/>
        <rFont val="FreeSans"/>
        <family val="2"/>
      </rPr>
      <t xml:space="preserve">پایه  فیوز   بلند                      </t>
    </r>
    <r>
      <rPr>
        <sz val="10"/>
        <rFont val="Vazirmatn"/>
        <family val="0"/>
        <charset val="1"/>
      </rPr>
      <t xml:space="preserve">250   </t>
    </r>
    <r>
      <rPr>
        <sz val="10"/>
        <rFont val="FreeSans"/>
        <family val="2"/>
      </rPr>
      <t xml:space="preserve">آمپر</t>
    </r>
  </si>
  <si>
    <t xml:space="preserve">31211737</t>
  </si>
  <si>
    <r>
      <rPr>
        <sz val="10"/>
        <rFont val="FreeSans"/>
        <family val="2"/>
      </rPr>
      <t xml:space="preserve">پایه  فیوز   باکس                       </t>
    </r>
    <r>
      <rPr>
        <sz val="10"/>
        <rFont val="Vazirmatn"/>
        <family val="0"/>
        <charset val="1"/>
      </rPr>
      <t xml:space="preserve">63    </t>
    </r>
    <r>
      <rPr>
        <sz val="10"/>
        <rFont val="FreeSans"/>
        <family val="2"/>
      </rPr>
      <t xml:space="preserve">آمپر</t>
    </r>
  </si>
  <si>
    <t xml:space="preserve">4005889</t>
  </si>
  <si>
    <r>
      <rPr>
        <sz val="10"/>
        <rFont val="FreeSans"/>
        <family val="2"/>
      </rPr>
      <t xml:space="preserve">پايه فيوز فشنگي </t>
    </r>
    <r>
      <rPr>
        <sz val="10"/>
        <rFont val="Vazirmatn"/>
        <family val="0"/>
        <charset val="1"/>
      </rPr>
      <t xml:space="preserve">63A</t>
    </r>
  </si>
  <si>
    <t xml:space="preserve">31211739</t>
  </si>
  <si>
    <t xml:space="preserve">پایه   فیوز   شیشه ای</t>
  </si>
  <si>
    <t xml:space="preserve">4027512</t>
  </si>
  <si>
    <r>
      <rPr>
        <sz val="10"/>
        <rFont val="FreeSans"/>
        <family val="2"/>
      </rPr>
      <t xml:space="preserve">پایه فیوز شیشه ای </t>
    </r>
    <r>
      <rPr>
        <sz val="10"/>
        <rFont val="Vazirmatn"/>
        <family val="0"/>
        <charset val="1"/>
      </rPr>
      <t xml:space="preserve">20A</t>
    </r>
  </si>
  <si>
    <t xml:space="preserve">31211748</t>
  </si>
  <si>
    <t xml:space="preserve">تخته کلم موتور</t>
  </si>
  <si>
    <t xml:space="preserve">4027694</t>
  </si>
  <si>
    <t xml:space="preserve">تخته کلم الکتروموتور</t>
  </si>
  <si>
    <t xml:space="preserve">31211959</t>
  </si>
  <si>
    <r>
      <rPr>
        <sz val="10"/>
        <rFont val="FreeSans"/>
        <family val="2"/>
      </rPr>
      <t xml:space="preserve">فیوز   فشنگی  تابلو              </t>
    </r>
    <r>
      <rPr>
        <sz val="10"/>
        <rFont val="Vazirmatn"/>
        <family val="0"/>
        <charset val="1"/>
      </rPr>
      <t xml:space="preserve">10A    500V</t>
    </r>
  </si>
  <si>
    <t xml:space="preserve">4055033</t>
  </si>
  <si>
    <r>
      <rPr>
        <sz val="10"/>
        <rFont val="FreeSans"/>
        <family val="2"/>
      </rPr>
      <t xml:space="preserve">فیوز فشنگی </t>
    </r>
    <r>
      <rPr>
        <sz val="10"/>
        <rFont val="Vazirmatn"/>
        <family val="0"/>
        <charset val="1"/>
      </rPr>
      <t xml:space="preserve">32A 38*10 500V CL:G</t>
    </r>
  </si>
  <si>
    <t xml:space="preserve">31211969</t>
  </si>
  <si>
    <r>
      <rPr>
        <sz val="10"/>
        <rFont val="FreeSans"/>
        <family val="2"/>
      </rPr>
      <t xml:space="preserve">فیوز  فشنگی  </t>
    </r>
    <r>
      <rPr>
        <sz val="10"/>
        <rFont val="Vazirmatn"/>
        <family val="0"/>
        <charset val="1"/>
      </rPr>
      <t xml:space="preserve">35   </t>
    </r>
    <r>
      <rPr>
        <sz val="10"/>
        <rFont val="FreeSans"/>
        <family val="2"/>
      </rPr>
      <t xml:space="preserve">آمپر</t>
    </r>
  </si>
  <si>
    <t xml:space="preserve">4056512</t>
  </si>
  <si>
    <r>
      <rPr>
        <sz val="10"/>
        <rFont val="FreeSans"/>
        <family val="2"/>
      </rPr>
      <t xml:space="preserve">فیوز فشنگی </t>
    </r>
    <r>
      <rPr>
        <sz val="10"/>
        <rFont val="Vazirmatn"/>
        <family val="0"/>
        <charset val="1"/>
      </rPr>
      <t xml:space="preserve">35A </t>
    </r>
    <r>
      <rPr>
        <sz val="10"/>
        <rFont val="FreeSans"/>
        <family val="2"/>
      </rPr>
      <t xml:space="preserve">سرامیکی </t>
    </r>
    <r>
      <rPr>
        <sz val="10"/>
        <rFont val="Vazirmatn"/>
        <family val="0"/>
        <charset val="1"/>
      </rPr>
      <t xml:space="preserve">500V CL:G</t>
    </r>
  </si>
  <si>
    <t xml:space="preserve">31211973</t>
  </si>
  <si>
    <r>
      <rPr>
        <sz val="10"/>
        <rFont val="FreeSans"/>
        <family val="2"/>
      </rPr>
      <t xml:space="preserve">فیوز  فشنگی  </t>
    </r>
    <r>
      <rPr>
        <sz val="10"/>
        <rFont val="Vazirmatn"/>
        <family val="0"/>
        <charset val="1"/>
      </rPr>
      <t xml:space="preserve">50   </t>
    </r>
    <r>
      <rPr>
        <sz val="10"/>
        <rFont val="FreeSans"/>
        <family val="2"/>
      </rPr>
      <t xml:space="preserve">آمپر</t>
    </r>
  </si>
  <si>
    <t xml:space="preserve">4055493</t>
  </si>
  <si>
    <r>
      <rPr>
        <sz val="10"/>
        <rFont val="FreeSans"/>
        <family val="2"/>
      </rPr>
      <t xml:space="preserve">فیوز فشنگی </t>
    </r>
    <r>
      <rPr>
        <sz val="10"/>
        <rFont val="Vazirmatn"/>
        <family val="0"/>
        <charset val="1"/>
      </rPr>
      <t xml:space="preserve">50A </t>
    </r>
    <r>
      <rPr>
        <sz val="10"/>
        <rFont val="FreeSans"/>
        <family val="2"/>
      </rPr>
      <t xml:space="preserve">سرامیکی  </t>
    </r>
    <r>
      <rPr>
        <sz val="10"/>
        <rFont val="Vazirmatn"/>
        <family val="0"/>
        <charset val="1"/>
      </rPr>
      <t xml:space="preserve">400V MRO</t>
    </r>
  </si>
  <si>
    <t xml:space="preserve">31211975</t>
  </si>
  <si>
    <r>
      <rPr>
        <sz val="10"/>
        <rFont val="FreeSans"/>
        <family val="2"/>
      </rPr>
      <t xml:space="preserve">فیوز  فشنگی   </t>
    </r>
    <r>
      <rPr>
        <sz val="10"/>
        <rFont val="Vazirmatn"/>
        <family val="0"/>
        <charset val="1"/>
      </rPr>
      <t xml:space="preserve">63  </t>
    </r>
    <r>
      <rPr>
        <sz val="10"/>
        <rFont val="FreeSans"/>
        <family val="2"/>
      </rPr>
      <t xml:space="preserve">آمپر</t>
    </r>
  </si>
  <si>
    <t xml:space="preserve">4005875</t>
  </si>
  <si>
    <r>
      <rPr>
        <sz val="10"/>
        <rFont val="FreeSans"/>
        <family val="2"/>
      </rPr>
      <t xml:space="preserve">فيوز فشنگي پايه کوتاه </t>
    </r>
    <r>
      <rPr>
        <sz val="10"/>
        <rFont val="Vazirmatn"/>
        <family val="0"/>
        <charset val="1"/>
      </rPr>
      <t xml:space="preserve">63A CL:G 500V</t>
    </r>
  </si>
  <si>
    <t xml:space="preserve">31212102</t>
  </si>
  <si>
    <t xml:space="preserve">کلید راکر دو حالته چراغ دار</t>
  </si>
  <si>
    <t xml:space="preserve">4027248</t>
  </si>
  <si>
    <r>
      <rPr>
        <sz val="10"/>
        <rFont val="FreeSans"/>
        <family val="2"/>
      </rPr>
      <t xml:space="preserve">کلید دو حالته </t>
    </r>
    <r>
      <rPr>
        <sz val="10"/>
        <rFont val="Vazirmatn"/>
        <family val="0"/>
        <charset val="1"/>
      </rPr>
      <t xml:space="preserve">1-0</t>
    </r>
  </si>
  <si>
    <t xml:space="preserve">31212107</t>
  </si>
  <si>
    <r>
      <rPr>
        <sz val="10"/>
        <rFont val="FreeSans"/>
        <family val="2"/>
      </rPr>
      <t xml:space="preserve">کلید  اتوماتیک                      </t>
    </r>
    <r>
      <rPr>
        <sz val="10"/>
        <rFont val="Vazirmatn"/>
        <family val="0"/>
        <charset val="1"/>
      </rPr>
      <t xml:space="preserve">800   </t>
    </r>
    <r>
      <rPr>
        <sz val="10"/>
        <rFont val="FreeSans"/>
        <family val="2"/>
      </rPr>
      <t xml:space="preserve">آمپر</t>
    </r>
  </si>
  <si>
    <t xml:space="preserve">4044423</t>
  </si>
  <si>
    <r>
      <rPr>
        <sz val="10"/>
        <rFont val="FreeSans"/>
        <family val="2"/>
      </rPr>
      <t xml:space="preserve">کلید اتوماتیک </t>
    </r>
    <r>
      <rPr>
        <sz val="10"/>
        <rFont val="Vazirmatn"/>
        <family val="0"/>
        <charset val="1"/>
      </rPr>
      <t xml:space="preserve">800A </t>
    </r>
    <r>
      <rPr>
        <sz val="10"/>
        <rFont val="FreeSans"/>
        <family val="2"/>
      </rPr>
      <t xml:space="preserve">موتوردار </t>
    </r>
    <r>
      <rPr>
        <sz val="10"/>
        <rFont val="Vazirmatn"/>
        <family val="0"/>
        <charset val="1"/>
      </rPr>
      <t xml:space="preserve">NS800N</t>
    </r>
  </si>
  <si>
    <t xml:space="preserve">31212128</t>
  </si>
  <si>
    <r>
      <rPr>
        <sz val="10"/>
        <rFont val="FreeSans"/>
        <family val="2"/>
      </rPr>
      <t xml:space="preserve">کلید کامپکت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حرارتی </t>
    </r>
    <r>
      <rPr>
        <sz val="10"/>
        <rFont val="Vazirmatn"/>
        <family val="0"/>
        <charset val="1"/>
      </rPr>
      <t xml:space="preserve">) 100A</t>
    </r>
  </si>
  <si>
    <t xml:space="preserve">4016831</t>
  </si>
  <si>
    <r>
      <rPr>
        <sz val="10"/>
        <rFont val="FreeSans"/>
        <family val="2"/>
      </rPr>
      <t xml:space="preserve">کلید کامپکت </t>
    </r>
    <r>
      <rPr>
        <sz val="10"/>
        <rFont val="Vazirmatn"/>
        <family val="0"/>
        <charset val="1"/>
      </rPr>
      <t xml:space="preserve">NSX100F</t>
    </r>
  </si>
  <si>
    <t xml:space="preserve">31212131</t>
  </si>
  <si>
    <r>
      <rPr>
        <sz val="10"/>
        <rFont val="FreeSans"/>
        <family val="2"/>
      </rPr>
      <t xml:space="preserve">کلید کامپکت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حرارتی </t>
    </r>
    <r>
      <rPr>
        <sz val="10"/>
        <rFont val="Vazirmatn"/>
        <family val="0"/>
        <charset val="1"/>
      </rPr>
      <t xml:space="preserve">) 160A</t>
    </r>
  </si>
  <si>
    <t xml:space="preserve">4016833</t>
  </si>
  <si>
    <r>
      <rPr>
        <sz val="10"/>
        <rFont val="FreeSans"/>
        <family val="2"/>
      </rPr>
      <t xml:space="preserve">کلید کامپکت </t>
    </r>
    <r>
      <rPr>
        <sz val="10"/>
        <rFont val="Vazirmatn"/>
        <family val="0"/>
        <charset val="1"/>
      </rPr>
      <t xml:space="preserve">NSX160F</t>
    </r>
  </si>
  <si>
    <t xml:space="preserve">31212132</t>
  </si>
  <si>
    <r>
      <rPr>
        <sz val="10"/>
        <rFont val="FreeSans"/>
        <family val="2"/>
      </rPr>
      <t xml:space="preserve">کلید سه پل کامپکت  </t>
    </r>
    <r>
      <rPr>
        <sz val="10"/>
        <rFont val="Vazirmatn"/>
        <family val="0"/>
        <charset val="1"/>
      </rPr>
      <t xml:space="preserve">88 - 125A</t>
    </r>
  </si>
  <si>
    <t xml:space="preserve">5002555</t>
  </si>
  <si>
    <r>
      <rPr>
        <sz val="10"/>
        <rFont val="FreeSans"/>
        <family val="2"/>
      </rPr>
      <t xml:space="preserve">کليد کامپکت </t>
    </r>
    <r>
      <rPr>
        <sz val="10"/>
        <rFont val="Vazirmatn"/>
        <family val="0"/>
        <charset val="1"/>
      </rPr>
      <t xml:space="preserve">NSX125F</t>
    </r>
  </si>
  <si>
    <t xml:space="preserve">31212208</t>
  </si>
  <si>
    <t xml:space="preserve">کلید زنگ تک پل روکار بارانی</t>
  </si>
  <si>
    <t xml:space="preserve">31212230</t>
  </si>
  <si>
    <t xml:space="preserve">کلید  روکار  لگراند  تک  پل</t>
  </si>
  <si>
    <t xml:space="preserve">4008546</t>
  </si>
  <si>
    <t xml:space="preserve">کليد تک پل روکار</t>
  </si>
  <si>
    <t xml:space="preserve">31212231</t>
  </si>
  <si>
    <t xml:space="preserve">کلید  یک پل توکار</t>
  </si>
  <si>
    <t xml:space="preserve">31212239</t>
  </si>
  <si>
    <t xml:space="preserve">کلید دو پل بارانی</t>
  </si>
  <si>
    <t xml:space="preserve">4027266</t>
  </si>
  <si>
    <t xml:space="preserve">کلید بارانی دو پل روکار</t>
  </si>
  <si>
    <t xml:space="preserve">31212244</t>
  </si>
  <si>
    <t xml:space="preserve">کلید کولر روکار همراه با قاب</t>
  </si>
  <si>
    <t xml:space="preserve">4005504</t>
  </si>
  <si>
    <t xml:space="preserve">کليد کولر آبي روکار</t>
  </si>
  <si>
    <t xml:space="preserve">31212245</t>
  </si>
  <si>
    <t xml:space="preserve">کلید کولر توکار</t>
  </si>
  <si>
    <t xml:space="preserve">4005503</t>
  </si>
  <si>
    <t xml:space="preserve">کليد کولر آبي توکار</t>
  </si>
  <si>
    <t xml:space="preserve">31212250</t>
  </si>
  <si>
    <r>
      <rPr>
        <sz val="10"/>
        <rFont val="FreeSans"/>
        <family val="2"/>
      </rPr>
      <t xml:space="preserve">کلید  </t>
    </r>
    <r>
      <rPr>
        <sz val="10"/>
        <rFont val="Vazirmatn"/>
        <family val="0"/>
        <charset val="1"/>
      </rPr>
      <t xml:space="preserve">1-0-2 </t>
    </r>
    <r>
      <rPr>
        <sz val="10"/>
        <rFont val="FreeSans"/>
        <family val="2"/>
      </rPr>
      <t xml:space="preserve">دوطرفه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سه حالته</t>
    </r>
    <r>
      <rPr>
        <sz val="10"/>
        <rFont val="Vazirmatn"/>
        <family val="0"/>
        <charset val="1"/>
      </rPr>
      <t xml:space="preserve">)</t>
    </r>
  </si>
  <si>
    <t xml:space="preserve">4027243</t>
  </si>
  <si>
    <r>
      <rPr>
        <sz val="10"/>
        <rFont val="FreeSans"/>
        <family val="2"/>
      </rPr>
      <t xml:space="preserve">کلید سه حالته </t>
    </r>
    <r>
      <rPr>
        <sz val="10"/>
        <rFont val="Vazirmatn"/>
        <family val="0"/>
        <charset val="1"/>
      </rPr>
      <t xml:space="preserve">2-1-0</t>
    </r>
  </si>
  <si>
    <t xml:space="preserve">31212289</t>
  </si>
  <si>
    <t xml:space="preserve">کلید استوپ استارت دوبل</t>
  </si>
  <si>
    <t xml:space="preserve">4045431</t>
  </si>
  <si>
    <t xml:space="preserve">کلید استپ و استارت</t>
  </si>
  <si>
    <t xml:space="preserve">31212300</t>
  </si>
  <si>
    <r>
      <rPr>
        <sz val="10"/>
        <rFont val="FreeSans"/>
        <family val="2"/>
      </rPr>
      <t xml:space="preserve">کلید سلکتوری یکطرفه  </t>
    </r>
    <r>
      <rPr>
        <sz val="10"/>
        <rFont val="Vazirmatn"/>
        <family val="0"/>
        <charset val="1"/>
      </rPr>
      <t xml:space="preserve">16A</t>
    </r>
  </si>
  <si>
    <t xml:space="preserve">4027280</t>
  </si>
  <si>
    <r>
      <rPr>
        <sz val="10"/>
        <rFont val="FreeSans"/>
        <family val="2"/>
      </rPr>
      <t xml:space="preserve">کلید سلکتوری </t>
    </r>
    <r>
      <rPr>
        <sz val="10"/>
        <rFont val="Vazirmatn"/>
        <family val="0"/>
        <charset val="1"/>
      </rPr>
      <t xml:space="preserve">1-0 </t>
    </r>
    <r>
      <rPr>
        <sz val="10"/>
        <rFont val="FreeSans"/>
        <family val="2"/>
      </rPr>
      <t xml:space="preserve">سه فاز </t>
    </r>
    <r>
      <rPr>
        <sz val="10"/>
        <rFont val="Vazirmatn"/>
        <family val="0"/>
        <charset val="1"/>
      </rPr>
      <t xml:space="preserve">16A</t>
    </r>
  </si>
  <si>
    <t xml:space="preserve">31212302</t>
  </si>
  <si>
    <r>
      <rPr>
        <sz val="10"/>
        <rFont val="FreeSans"/>
        <family val="2"/>
      </rPr>
      <t xml:space="preserve">کلید گردان تک فاز                  </t>
    </r>
    <r>
      <rPr>
        <sz val="10"/>
        <rFont val="Vazirmatn"/>
        <family val="0"/>
        <charset val="1"/>
      </rPr>
      <t xml:space="preserve">32  </t>
    </r>
    <r>
      <rPr>
        <sz val="10"/>
        <rFont val="FreeSans"/>
        <family val="2"/>
      </rPr>
      <t xml:space="preserve">آمپر</t>
    </r>
  </si>
  <si>
    <t xml:space="preserve">4037571</t>
  </si>
  <si>
    <r>
      <rPr>
        <sz val="10"/>
        <rFont val="FreeSans"/>
        <family val="2"/>
      </rPr>
      <t xml:space="preserve">کلید گردان سه فاز </t>
    </r>
    <r>
      <rPr>
        <sz val="10"/>
        <rFont val="Vazirmatn"/>
        <family val="0"/>
        <charset val="1"/>
      </rPr>
      <t xml:space="preserve">EATON ON/OFF 32A</t>
    </r>
  </si>
  <si>
    <t xml:space="preserve">31212304</t>
  </si>
  <si>
    <r>
      <rPr>
        <sz val="10"/>
        <rFont val="FreeSans"/>
        <family val="2"/>
      </rPr>
      <t xml:space="preserve">کلید  تله  مکانیک        </t>
    </r>
    <r>
      <rPr>
        <sz val="10"/>
        <rFont val="Vazirmatn"/>
        <family val="0"/>
        <charset val="1"/>
      </rPr>
      <t xml:space="preserve">1-0</t>
    </r>
  </si>
  <si>
    <t xml:space="preserve">4034657</t>
  </si>
  <si>
    <r>
      <rPr>
        <sz val="10"/>
        <rFont val="FreeSans"/>
        <family val="2"/>
      </rPr>
      <t xml:space="preserve">کلید سلکتوری تکفاز </t>
    </r>
    <r>
      <rPr>
        <sz val="10"/>
        <rFont val="Vazirmatn"/>
        <family val="0"/>
        <charset val="1"/>
      </rPr>
      <t xml:space="preserve">1-0 </t>
    </r>
    <r>
      <rPr>
        <sz val="10"/>
        <rFont val="FreeSans"/>
        <family val="2"/>
      </rPr>
      <t xml:space="preserve">تله مکانیک </t>
    </r>
    <r>
      <rPr>
        <sz val="10"/>
        <rFont val="Vazirmatn"/>
        <family val="0"/>
        <charset val="1"/>
      </rPr>
      <t xml:space="preserve">25A</t>
    </r>
  </si>
  <si>
    <t xml:space="preserve">31212312</t>
  </si>
  <si>
    <r>
      <rPr>
        <sz val="10"/>
        <rFont val="FreeSans"/>
        <family val="2"/>
      </rPr>
      <t xml:space="preserve">کلید سلکتور یک پل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حالته  </t>
    </r>
    <r>
      <rPr>
        <sz val="10"/>
        <rFont val="Vazirmatn"/>
        <family val="0"/>
        <charset val="1"/>
      </rPr>
      <t xml:space="preserve">3 - 2 - 1 - 0</t>
    </r>
  </si>
  <si>
    <t xml:space="preserve">31212329</t>
  </si>
  <si>
    <r>
      <rPr>
        <sz val="10"/>
        <rFont val="FreeSans"/>
        <family val="2"/>
      </rPr>
      <t xml:space="preserve">کلید حرارتی        </t>
    </r>
    <r>
      <rPr>
        <sz val="10"/>
        <rFont val="Vazirmatn"/>
        <family val="0"/>
        <charset val="1"/>
      </rPr>
      <t xml:space="preserve">2/5-1/6 </t>
    </r>
    <r>
      <rPr>
        <sz val="10"/>
        <rFont val="FreeSans"/>
        <family val="2"/>
      </rPr>
      <t xml:space="preserve">آمپر</t>
    </r>
  </si>
  <si>
    <t xml:space="preserve">4027292</t>
  </si>
  <si>
    <r>
      <rPr>
        <sz val="10"/>
        <rFont val="FreeSans"/>
        <family val="2"/>
      </rPr>
      <t xml:space="preserve">کلید حرارتی </t>
    </r>
    <r>
      <rPr>
        <sz val="10"/>
        <rFont val="Vazirmatn"/>
        <family val="0"/>
        <charset val="1"/>
      </rPr>
      <t xml:space="preserve">2.5-1.6 (GV2-P07)</t>
    </r>
  </si>
  <si>
    <t xml:space="preserve">31212353</t>
  </si>
  <si>
    <r>
      <rPr>
        <sz val="10"/>
        <rFont val="FreeSans"/>
        <family val="2"/>
      </rPr>
      <t xml:space="preserve">کلید حرارتی           </t>
    </r>
    <r>
      <rPr>
        <sz val="10"/>
        <rFont val="Vazirmatn"/>
        <family val="0"/>
        <charset val="1"/>
      </rPr>
      <t xml:space="preserve">23-17 </t>
    </r>
    <r>
      <rPr>
        <sz val="10"/>
        <rFont val="FreeSans"/>
        <family val="2"/>
      </rPr>
      <t xml:space="preserve">آمپر</t>
    </r>
  </si>
  <si>
    <t xml:space="preserve">4028114</t>
  </si>
  <si>
    <r>
      <rPr>
        <sz val="10"/>
        <rFont val="FreeSans"/>
        <family val="2"/>
      </rPr>
      <t xml:space="preserve">کلید حرارتی </t>
    </r>
    <r>
      <rPr>
        <sz val="10"/>
        <rFont val="Vazirmatn"/>
        <family val="0"/>
        <charset val="1"/>
      </rPr>
      <t xml:space="preserve">23-17 (GV2-P21)</t>
    </r>
  </si>
  <si>
    <t xml:space="preserve">31212371</t>
  </si>
  <si>
    <r>
      <rPr>
        <sz val="10"/>
        <rFont val="FreeSans"/>
        <family val="2"/>
      </rPr>
      <t xml:space="preserve">کلید  </t>
    </r>
    <r>
      <rPr>
        <sz val="10"/>
        <rFont val="Vazirmatn"/>
        <family val="0"/>
        <charset val="1"/>
      </rPr>
      <t xml:space="preserve">0-1   </t>
    </r>
    <r>
      <rPr>
        <sz val="10"/>
        <rFont val="FreeSans"/>
        <family val="2"/>
      </rPr>
      <t xml:space="preserve">سه فاز      </t>
    </r>
    <r>
      <rPr>
        <sz val="10"/>
        <rFont val="Vazirmatn"/>
        <family val="0"/>
        <charset val="1"/>
      </rPr>
      <t xml:space="preserve">63  </t>
    </r>
    <r>
      <rPr>
        <sz val="10"/>
        <rFont val="FreeSans"/>
        <family val="2"/>
      </rPr>
      <t xml:space="preserve">آمپر</t>
    </r>
  </si>
  <si>
    <t xml:space="preserve">4005478</t>
  </si>
  <si>
    <r>
      <rPr>
        <sz val="10"/>
        <rFont val="FreeSans"/>
        <family val="2"/>
      </rPr>
      <t xml:space="preserve">کليد مينياتوري سه فاز </t>
    </r>
    <r>
      <rPr>
        <sz val="10"/>
        <rFont val="Vazirmatn"/>
        <family val="0"/>
        <charset val="1"/>
      </rPr>
      <t xml:space="preserve">63A    CL:C</t>
    </r>
  </si>
  <si>
    <t xml:space="preserve">31212373</t>
  </si>
  <si>
    <r>
      <rPr>
        <sz val="10"/>
        <rFont val="FreeSans"/>
        <family val="2"/>
      </rPr>
      <t xml:space="preserve">کلید حرارتی      </t>
    </r>
    <r>
      <rPr>
        <sz val="10"/>
        <rFont val="Vazirmatn"/>
        <family val="0"/>
        <charset val="1"/>
      </rPr>
      <t xml:space="preserve">40 - 30    </t>
    </r>
    <r>
      <rPr>
        <sz val="10"/>
        <rFont val="FreeSans"/>
        <family val="2"/>
      </rPr>
      <t xml:space="preserve">آمپر</t>
    </r>
  </si>
  <si>
    <t xml:space="preserve">4005603</t>
  </si>
  <si>
    <r>
      <rPr>
        <sz val="10"/>
        <rFont val="FreeSans"/>
        <family val="2"/>
      </rPr>
      <t xml:space="preserve">کليد حرارتي </t>
    </r>
    <r>
      <rPr>
        <sz val="10"/>
        <rFont val="Vazirmatn"/>
        <family val="0"/>
        <charset val="1"/>
      </rPr>
      <t xml:space="preserve">30-40 </t>
    </r>
    <r>
      <rPr>
        <sz val="10"/>
        <rFont val="FreeSans"/>
        <family val="2"/>
      </rPr>
      <t xml:space="preserve">اشنايدر </t>
    </r>
    <r>
      <rPr>
        <sz val="10"/>
        <rFont val="Vazirmatn"/>
        <family val="0"/>
        <charset val="1"/>
      </rPr>
      <t xml:space="preserve">GV3P40</t>
    </r>
  </si>
  <si>
    <t xml:space="preserve">31212376</t>
  </si>
  <si>
    <r>
      <rPr>
        <sz val="10"/>
        <rFont val="FreeSans"/>
        <family val="2"/>
      </rPr>
      <t xml:space="preserve">کلید حرارتی          </t>
    </r>
    <r>
      <rPr>
        <sz val="10"/>
        <rFont val="Vazirmatn"/>
        <family val="0"/>
        <charset val="1"/>
      </rPr>
      <t xml:space="preserve">30  </t>
    </r>
    <r>
      <rPr>
        <sz val="10"/>
        <rFont val="FreeSans"/>
        <family val="2"/>
      </rPr>
      <t xml:space="preserve">کیلو وات</t>
    </r>
  </si>
  <si>
    <t xml:space="preserve">31212389</t>
  </si>
  <si>
    <r>
      <rPr>
        <sz val="10"/>
        <rFont val="FreeSans"/>
        <family val="2"/>
      </rPr>
      <t xml:space="preserve">کلید حرارتی             </t>
    </r>
    <r>
      <rPr>
        <sz val="10"/>
        <rFont val="Vazirmatn"/>
        <family val="0"/>
        <charset val="1"/>
      </rPr>
      <t xml:space="preserve">14-9 </t>
    </r>
    <r>
      <rPr>
        <sz val="10"/>
        <rFont val="FreeSans"/>
        <family val="2"/>
      </rPr>
      <t xml:space="preserve">آمپر</t>
    </r>
  </si>
  <si>
    <t xml:space="preserve">4027289</t>
  </si>
  <si>
    <r>
      <rPr>
        <sz val="10"/>
        <rFont val="FreeSans"/>
        <family val="2"/>
      </rPr>
      <t xml:space="preserve">کلید حرارتی </t>
    </r>
    <r>
      <rPr>
        <sz val="10"/>
        <rFont val="Vazirmatn"/>
        <family val="0"/>
        <charset val="1"/>
      </rPr>
      <t xml:space="preserve">14-9 (GV2-P16)</t>
    </r>
  </si>
  <si>
    <t xml:space="preserve">31212390</t>
  </si>
  <si>
    <r>
      <rPr>
        <sz val="10"/>
        <rFont val="FreeSans"/>
        <family val="2"/>
      </rPr>
      <t xml:space="preserve">کلید حرارتی                </t>
    </r>
    <r>
      <rPr>
        <sz val="10"/>
        <rFont val="Vazirmatn"/>
        <family val="0"/>
        <charset val="1"/>
      </rPr>
      <t xml:space="preserve">9 - 14A</t>
    </r>
  </si>
  <si>
    <t xml:space="preserve">31212391</t>
  </si>
  <si>
    <r>
      <rPr>
        <sz val="10"/>
        <rFont val="FreeSans"/>
        <family val="2"/>
      </rPr>
      <t xml:space="preserve">کلید حرارتی  </t>
    </r>
    <r>
      <rPr>
        <sz val="10"/>
        <rFont val="Vazirmatn"/>
        <family val="0"/>
        <charset val="1"/>
      </rPr>
      <t xml:space="preserve">32 - 24 </t>
    </r>
    <r>
      <rPr>
        <sz val="10"/>
        <rFont val="FreeSans"/>
        <family val="2"/>
      </rPr>
      <t xml:space="preserve">آمپر</t>
    </r>
  </si>
  <si>
    <t xml:space="preserve">4028113</t>
  </si>
  <si>
    <r>
      <rPr>
        <sz val="10"/>
        <rFont val="FreeSans"/>
        <family val="2"/>
      </rPr>
      <t xml:space="preserve">کلید حرارتی </t>
    </r>
    <r>
      <rPr>
        <sz val="10"/>
        <rFont val="Vazirmatn"/>
        <family val="0"/>
        <charset val="1"/>
      </rPr>
      <t xml:space="preserve">GV2P32) 24-32A)</t>
    </r>
  </si>
  <si>
    <t xml:space="preserve">31212503</t>
  </si>
  <si>
    <r>
      <rPr>
        <sz val="10"/>
        <rFont val="FreeSans"/>
        <family val="2"/>
      </rPr>
      <t xml:space="preserve">کلید حرارتی       </t>
    </r>
    <r>
      <rPr>
        <sz val="10"/>
        <rFont val="Vazirmatn"/>
        <family val="0"/>
        <charset val="1"/>
      </rPr>
      <t xml:space="preserve">18-13       </t>
    </r>
    <r>
      <rPr>
        <sz val="10"/>
        <rFont val="FreeSans"/>
        <family val="2"/>
      </rPr>
      <t xml:space="preserve">آمپر</t>
    </r>
  </si>
  <si>
    <t xml:space="preserve">4027302</t>
  </si>
  <si>
    <r>
      <rPr>
        <sz val="10"/>
        <rFont val="FreeSans"/>
        <family val="2"/>
      </rPr>
      <t xml:space="preserve">کلید حرارتی </t>
    </r>
    <r>
      <rPr>
        <sz val="10"/>
        <rFont val="Vazirmatn"/>
        <family val="0"/>
        <charset val="1"/>
      </rPr>
      <t xml:space="preserve">18-13 (GV2-P20)</t>
    </r>
  </si>
  <si>
    <t xml:space="preserve">31212506</t>
  </si>
  <si>
    <r>
      <rPr>
        <sz val="10"/>
        <rFont val="FreeSans"/>
        <family val="2"/>
      </rPr>
      <t xml:space="preserve">کلید حرارتی               </t>
    </r>
    <r>
      <rPr>
        <sz val="10"/>
        <rFont val="Vazirmatn"/>
        <family val="0"/>
        <charset val="1"/>
      </rPr>
      <t xml:space="preserve">4KW</t>
    </r>
  </si>
  <si>
    <t xml:space="preserve">4027291</t>
  </si>
  <si>
    <r>
      <rPr>
        <sz val="10"/>
        <rFont val="FreeSans"/>
        <family val="2"/>
      </rPr>
      <t xml:space="preserve">کلید حرارتی </t>
    </r>
    <r>
      <rPr>
        <sz val="10"/>
        <rFont val="Vazirmatn"/>
        <family val="0"/>
        <charset val="1"/>
      </rPr>
      <t xml:space="preserve">4-2.5 (GV2-P08)</t>
    </r>
  </si>
  <si>
    <t xml:space="preserve">31212512</t>
  </si>
  <si>
    <r>
      <rPr>
        <sz val="10"/>
        <rFont val="FreeSans"/>
        <family val="2"/>
      </rPr>
      <t xml:space="preserve">کلید حرارتی  </t>
    </r>
    <r>
      <rPr>
        <sz val="10"/>
        <rFont val="Vazirmatn"/>
        <family val="0"/>
        <charset val="1"/>
      </rPr>
      <t xml:space="preserve">3KW</t>
    </r>
  </si>
  <si>
    <t xml:space="preserve">4027301</t>
  </si>
  <si>
    <r>
      <rPr>
        <sz val="10"/>
        <rFont val="FreeSans"/>
        <family val="2"/>
      </rPr>
      <t xml:space="preserve">کلید حرارتی </t>
    </r>
    <r>
      <rPr>
        <sz val="10"/>
        <rFont val="Vazirmatn"/>
        <family val="0"/>
        <charset val="1"/>
      </rPr>
      <t xml:space="preserve">GV3P32) 23-32A)</t>
    </r>
  </si>
  <si>
    <t xml:space="preserve">31212523</t>
  </si>
  <si>
    <r>
      <rPr>
        <sz val="10"/>
        <rFont val="FreeSans"/>
        <family val="2"/>
      </rPr>
      <t xml:space="preserve">کلید حرارتی زیمنس </t>
    </r>
    <r>
      <rPr>
        <sz val="10"/>
        <rFont val="Vazirmatn"/>
        <family val="0"/>
        <charset val="1"/>
      </rPr>
      <t xml:space="preserve">2/2KW</t>
    </r>
  </si>
  <si>
    <t xml:space="preserve">5012583</t>
  </si>
  <si>
    <r>
      <rPr>
        <sz val="10"/>
        <rFont val="FreeSans"/>
        <family val="2"/>
      </rPr>
      <t xml:space="preserve">کلید حرارتی زیمنس </t>
    </r>
    <r>
      <rPr>
        <sz val="10"/>
        <rFont val="Vazirmatn"/>
        <family val="0"/>
        <charset val="1"/>
      </rPr>
      <t xml:space="preserve">3RV2021-1DA10-2.2-3.2A</t>
    </r>
  </si>
  <si>
    <t xml:space="preserve">31212524</t>
  </si>
  <si>
    <r>
      <rPr>
        <sz val="10"/>
        <rFont val="FreeSans"/>
        <family val="2"/>
      </rPr>
      <t xml:space="preserve">کلید حرارتی زیمنس </t>
    </r>
    <r>
      <rPr>
        <sz val="10"/>
        <rFont val="Vazirmatn"/>
        <family val="0"/>
        <charset val="1"/>
      </rPr>
      <t xml:space="preserve">3KW</t>
    </r>
  </si>
  <si>
    <t xml:space="preserve">4005550</t>
  </si>
  <si>
    <r>
      <rPr>
        <sz val="10"/>
        <rFont val="FreeSans"/>
        <family val="2"/>
      </rPr>
      <t xml:space="preserve">کليد حرارتي </t>
    </r>
    <r>
      <rPr>
        <sz val="10"/>
        <rFont val="Vazirmatn"/>
        <family val="0"/>
        <charset val="1"/>
      </rPr>
      <t xml:space="preserve">0.7-1 </t>
    </r>
    <r>
      <rPr>
        <sz val="10"/>
        <rFont val="FreeSans"/>
        <family val="2"/>
      </rPr>
      <t xml:space="preserve">زيمنس </t>
    </r>
    <r>
      <rPr>
        <sz val="10"/>
        <rFont val="Vazirmatn"/>
        <family val="0"/>
        <charset val="1"/>
      </rPr>
      <t xml:space="preserve">3RV1021</t>
    </r>
  </si>
  <si>
    <t xml:space="preserve">31212525</t>
  </si>
  <si>
    <r>
      <rPr>
        <sz val="10"/>
        <rFont val="FreeSans"/>
        <family val="2"/>
      </rPr>
      <t xml:space="preserve">کلید حرارتی زیمنس </t>
    </r>
    <r>
      <rPr>
        <sz val="10"/>
        <rFont val="Vazirmatn"/>
        <family val="0"/>
        <charset val="1"/>
      </rPr>
      <t xml:space="preserve">4KW</t>
    </r>
  </si>
  <si>
    <t xml:space="preserve">5012593</t>
  </si>
  <si>
    <r>
      <rPr>
        <sz val="10"/>
        <rFont val="FreeSans"/>
        <family val="2"/>
      </rPr>
      <t xml:space="preserve">کلید حرارتی زیمنس </t>
    </r>
    <r>
      <rPr>
        <sz val="10"/>
        <rFont val="Vazirmatn"/>
        <family val="0"/>
        <charset val="1"/>
      </rPr>
      <t xml:space="preserve">100-80 - 3RV1041-4MA10</t>
    </r>
  </si>
  <si>
    <t xml:space="preserve">31212528</t>
  </si>
  <si>
    <r>
      <rPr>
        <sz val="10"/>
        <rFont val="FreeSans"/>
        <family val="2"/>
      </rPr>
      <t xml:space="preserve">کلید سلکتوری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حالته </t>
    </r>
    <r>
      <rPr>
        <sz val="10"/>
        <rFont val="Vazirmatn"/>
        <family val="0"/>
        <charset val="1"/>
      </rPr>
      <t xml:space="preserve">( 4-3-2-1-0 )</t>
    </r>
  </si>
  <si>
    <t xml:space="preserve">31212530</t>
  </si>
  <si>
    <r>
      <rPr>
        <sz val="10"/>
        <rFont val="FreeSans"/>
        <family val="2"/>
      </rPr>
      <t xml:space="preserve">کلید محافظ جان تکفاز ترکیبی </t>
    </r>
    <r>
      <rPr>
        <sz val="10"/>
        <rFont val="Vazirmatn"/>
        <family val="0"/>
        <charset val="1"/>
      </rPr>
      <t xml:space="preserve">40A</t>
    </r>
  </si>
  <si>
    <t xml:space="preserve">4013385</t>
  </si>
  <si>
    <r>
      <rPr>
        <sz val="10"/>
        <rFont val="FreeSans"/>
        <family val="2"/>
      </rPr>
      <t xml:space="preserve">کليد محافظ جان سه فاز </t>
    </r>
    <r>
      <rPr>
        <sz val="10"/>
        <rFont val="Vazirmatn"/>
        <family val="0"/>
        <charset val="1"/>
      </rPr>
      <t xml:space="preserve">40A CL:C</t>
    </r>
  </si>
  <si>
    <t xml:space="preserve">31212697</t>
  </si>
  <si>
    <r>
      <rPr>
        <sz val="10"/>
        <rFont val="FreeSans"/>
        <family val="2"/>
      </rPr>
      <t xml:space="preserve">کلید  مینیاتوری 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فاز               </t>
    </r>
    <r>
      <rPr>
        <sz val="10"/>
        <rFont val="Vazirmatn"/>
        <family val="0"/>
        <charset val="1"/>
      </rPr>
      <t xml:space="preserve">63   </t>
    </r>
    <r>
      <rPr>
        <sz val="10"/>
        <rFont val="FreeSans"/>
        <family val="2"/>
      </rPr>
      <t xml:space="preserve">آمپر</t>
    </r>
  </si>
  <si>
    <t xml:space="preserve">31212698</t>
  </si>
  <si>
    <r>
      <rPr>
        <sz val="10"/>
        <rFont val="FreeSans"/>
        <family val="2"/>
      </rPr>
      <t xml:space="preserve">کلید مینیاتوری  تک فاز           </t>
    </r>
    <r>
      <rPr>
        <sz val="10"/>
        <rFont val="Vazirmatn"/>
        <family val="0"/>
        <charset val="1"/>
      </rPr>
      <t xml:space="preserve">16A</t>
    </r>
  </si>
  <si>
    <t xml:space="preserve">4005466</t>
  </si>
  <si>
    <r>
      <rPr>
        <sz val="10"/>
        <rFont val="FreeSans"/>
        <family val="2"/>
      </rPr>
      <t xml:space="preserve">کليد مينياتوري تک فاز </t>
    </r>
    <r>
      <rPr>
        <sz val="10"/>
        <rFont val="Vazirmatn"/>
        <family val="0"/>
        <charset val="1"/>
      </rPr>
      <t xml:space="preserve">16A    CL:C</t>
    </r>
  </si>
  <si>
    <t xml:space="preserve">31212704</t>
  </si>
  <si>
    <r>
      <rPr>
        <sz val="10"/>
        <rFont val="FreeSans"/>
        <family val="2"/>
      </rPr>
      <t xml:space="preserve">کلید  مینیا توری  تک فاز          </t>
    </r>
    <r>
      <rPr>
        <sz val="10"/>
        <rFont val="Vazirmatn"/>
        <family val="0"/>
        <charset val="1"/>
      </rPr>
      <t xml:space="preserve">10  </t>
    </r>
    <r>
      <rPr>
        <sz val="10"/>
        <rFont val="FreeSans"/>
        <family val="2"/>
      </rPr>
      <t xml:space="preserve">آمپر</t>
    </r>
  </si>
  <si>
    <t xml:space="preserve">4002870</t>
  </si>
  <si>
    <r>
      <rPr>
        <sz val="10"/>
        <rFont val="FreeSans"/>
        <family val="2"/>
      </rPr>
      <t xml:space="preserve">کليد مينياتوري تک فاز </t>
    </r>
    <r>
      <rPr>
        <sz val="10"/>
        <rFont val="Vazirmatn"/>
        <family val="0"/>
        <charset val="1"/>
      </rPr>
      <t xml:space="preserve">10A    CL:C</t>
    </r>
  </si>
  <si>
    <t xml:space="preserve">31212708</t>
  </si>
  <si>
    <r>
      <rPr>
        <sz val="10"/>
        <rFont val="FreeSans"/>
        <family val="2"/>
      </rPr>
      <t xml:space="preserve">کلید  مینیاتوری 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فاز               </t>
    </r>
    <r>
      <rPr>
        <sz val="10"/>
        <rFont val="Vazirmatn"/>
        <family val="0"/>
        <charset val="1"/>
      </rPr>
      <t xml:space="preserve">50   </t>
    </r>
    <r>
      <rPr>
        <sz val="10"/>
        <rFont val="FreeSans"/>
        <family val="2"/>
      </rPr>
      <t xml:space="preserve">آمپر</t>
    </r>
  </si>
  <si>
    <t xml:space="preserve">4005476</t>
  </si>
  <si>
    <r>
      <rPr>
        <sz val="10"/>
        <rFont val="FreeSans"/>
        <family val="2"/>
      </rPr>
      <t xml:space="preserve">کليد مينياتوري سه فاز </t>
    </r>
    <r>
      <rPr>
        <sz val="10"/>
        <rFont val="Vazirmatn"/>
        <family val="0"/>
        <charset val="1"/>
      </rPr>
      <t xml:space="preserve">50A    CL:C</t>
    </r>
  </si>
  <si>
    <t xml:space="preserve">31212709</t>
  </si>
  <si>
    <r>
      <rPr>
        <sz val="10"/>
        <rFont val="FreeSans"/>
        <family val="2"/>
      </rPr>
      <t xml:space="preserve">کلید  مینیاتوری 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فاز               </t>
    </r>
    <r>
      <rPr>
        <sz val="10"/>
        <rFont val="Vazirmatn"/>
        <family val="0"/>
        <charset val="1"/>
      </rPr>
      <t xml:space="preserve">16  </t>
    </r>
    <r>
      <rPr>
        <sz val="10"/>
        <rFont val="FreeSans"/>
        <family val="2"/>
      </rPr>
      <t xml:space="preserve">آمپر</t>
    </r>
  </si>
  <si>
    <t xml:space="preserve">4005472</t>
  </si>
  <si>
    <r>
      <rPr>
        <sz val="10"/>
        <rFont val="FreeSans"/>
        <family val="2"/>
      </rPr>
      <t xml:space="preserve">کليد مينياتوري سه فاز </t>
    </r>
    <r>
      <rPr>
        <sz val="10"/>
        <rFont val="Vazirmatn"/>
        <family val="0"/>
        <charset val="1"/>
      </rPr>
      <t xml:space="preserve">16A   CL:C</t>
    </r>
  </si>
  <si>
    <t xml:space="preserve">31212753</t>
  </si>
  <si>
    <r>
      <rPr>
        <sz val="10"/>
        <rFont val="FreeSans"/>
        <family val="2"/>
      </rPr>
      <t xml:space="preserve">کلید  اتوماتیک                       </t>
    </r>
    <r>
      <rPr>
        <sz val="10"/>
        <rFont val="Vazirmatn"/>
        <family val="0"/>
        <charset val="1"/>
      </rPr>
      <t xml:space="preserve">250  </t>
    </r>
    <r>
      <rPr>
        <sz val="10"/>
        <rFont val="FreeSans"/>
        <family val="2"/>
      </rPr>
      <t xml:space="preserve">آمپر</t>
    </r>
  </si>
  <si>
    <t xml:space="preserve">4006798</t>
  </si>
  <si>
    <r>
      <rPr>
        <sz val="10"/>
        <rFont val="FreeSans"/>
        <family val="2"/>
      </rPr>
      <t xml:space="preserve">کليد اتوماتيک </t>
    </r>
    <r>
      <rPr>
        <sz val="10"/>
        <rFont val="Vazirmatn"/>
        <family val="0"/>
        <charset val="1"/>
      </rPr>
      <t xml:space="preserve">250A NS250N</t>
    </r>
  </si>
  <si>
    <t xml:space="preserve">31212811</t>
  </si>
  <si>
    <r>
      <rPr>
        <sz val="10"/>
        <rFont val="FreeSans"/>
        <family val="2"/>
      </rPr>
      <t xml:space="preserve">میکروسوئیچ   </t>
    </r>
    <r>
      <rPr>
        <sz val="10"/>
        <rFont val="Vazirmatn"/>
        <family val="0"/>
        <charset val="1"/>
      </rPr>
      <t xml:space="preserve">8108</t>
    </r>
  </si>
  <si>
    <t xml:space="preserve">4014200</t>
  </si>
  <si>
    <r>
      <rPr>
        <sz val="10"/>
        <rFont val="FreeSans"/>
        <family val="2"/>
      </rPr>
      <t xml:space="preserve">ميکروسوئيچ </t>
    </r>
    <r>
      <rPr>
        <sz val="10"/>
        <rFont val="Vazirmatn"/>
        <family val="0"/>
        <charset val="1"/>
      </rPr>
      <t xml:space="preserve">EMAF TZ-8108  6A</t>
    </r>
  </si>
  <si>
    <t xml:space="preserve">31212898</t>
  </si>
  <si>
    <r>
      <rPr>
        <sz val="10"/>
        <rFont val="FreeSans"/>
        <family val="2"/>
      </rPr>
      <t xml:space="preserve">پرشر سوئیچ دکانتور  </t>
    </r>
    <r>
      <rPr>
        <sz val="10"/>
        <rFont val="Vazirmatn"/>
        <family val="0"/>
        <charset val="1"/>
      </rPr>
      <t xml:space="preserve">000 - 4111 - 0005</t>
    </r>
  </si>
  <si>
    <t xml:space="preserve">4028301</t>
  </si>
  <si>
    <r>
      <rPr>
        <sz val="10"/>
        <rFont val="FreeSans"/>
        <family val="2"/>
      </rPr>
      <t xml:space="preserve">پرشر سوئیچ </t>
    </r>
    <r>
      <rPr>
        <sz val="10"/>
        <rFont val="Vazirmatn"/>
        <family val="0"/>
        <charset val="1"/>
      </rPr>
      <t xml:space="preserve">000-4111-0005</t>
    </r>
  </si>
  <si>
    <t xml:space="preserve">31212917</t>
  </si>
  <si>
    <r>
      <rPr>
        <sz val="10"/>
        <rFont val="FreeSans"/>
        <family val="2"/>
      </rPr>
      <t xml:space="preserve">میکروسوئیچ اهرم دار </t>
    </r>
    <r>
      <rPr>
        <sz val="10"/>
        <rFont val="Vazirmatn"/>
        <family val="0"/>
        <charset val="1"/>
      </rPr>
      <t xml:space="preserve">KWLL-3Z  50mm</t>
    </r>
  </si>
  <si>
    <t xml:space="preserve">4027431</t>
  </si>
  <si>
    <t xml:space="preserve">میکروسوئیچ اهرم دار</t>
  </si>
  <si>
    <t xml:space="preserve">31212924</t>
  </si>
  <si>
    <t xml:space="preserve">میکروسوئیچ</t>
  </si>
  <si>
    <t xml:space="preserve">4027430</t>
  </si>
  <si>
    <t xml:space="preserve">میکروسوئیچ دوار</t>
  </si>
  <si>
    <t xml:space="preserve">31212945</t>
  </si>
  <si>
    <r>
      <rPr>
        <sz val="10"/>
        <rFont val="FreeSans"/>
        <family val="2"/>
      </rPr>
      <t xml:space="preserve">میکروسوئیچ  </t>
    </r>
    <r>
      <rPr>
        <sz val="10"/>
        <rFont val="Vazirmatn"/>
        <family val="0"/>
        <charset val="1"/>
      </rPr>
      <t xml:space="preserve">V - 15 - 1 C 25</t>
    </r>
  </si>
  <si>
    <t xml:space="preserve">4051072</t>
  </si>
  <si>
    <r>
      <rPr>
        <sz val="10"/>
        <rFont val="FreeSans"/>
        <family val="2"/>
      </rPr>
      <t xml:space="preserve">میکروسوئیچ</t>
    </r>
    <r>
      <rPr>
        <sz val="10"/>
        <rFont val="Vazirmatn"/>
        <family val="0"/>
        <charset val="1"/>
      </rPr>
      <t xml:space="preserve">-OMRON-15A-V155-1C25</t>
    </r>
  </si>
  <si>
    <t xml:space="preserve">31213102</t>
  </si>
  <si>
    <r>
      <rPr>
        <sz val="10"/>
        <rFont val="FreeSans"/>
        <family val="2"/>
      </rPr>
      <t xml:space="preserve">ترمینال ریلی                   </t>
    </r>
    <r>
      <rPr>
        <sz val="10"/>
        <rFont val="Vazirmatn"/>
        <family val="0"/>
        <charset val="1"/>
      </rPr>
      <t xml:space="preserve">2/5mm</t>
    </r>
  </si>
  <si>
    <t xml:space="preserve">4027543</t>
  </si>
  <si>
    <r>
      <rPr>
        <sz val="10"/>
        <rFont val="FreeSans"/>
        <family val="2"/>
      </rPr>
      <t xml:space="preserve">ترمینال ریلی فنری </t>
    </r>
    <r>
      <rPr>
        <sz val="10"/>
        <rFont val="Vazirmatn"/>
        <family val="0"/>
        <charset val="1"/>
      </rPr>
      <t xml:space="preserve">2.5</t>
    </r>
  </si>
  <si>
    <t xml:space="preserve">31213103</t>
  </si>
  <si>
    <r>
      <rPr>
        <sz val="10"/>
        <rFont val="FreeSans"/>
        <family val="2"/>
      </rPr>
      <t xml:space="preserve">ترمینال ریلی                    </t>
    </r>
    <r>
      <rPr>
        <sz val="10"/>
        <rFont val="Vazirmatn"/>
        <family val="0"/>
        <charset val="1"/>
      </rPr>
      <t xml:space="preserve">10mm</t>
    </r>
  </si>
  <si>
    <t xml:space="preserve">4027537</t>
  </si>
  <si>
    <r>
      <rPr>
        <sz val="10"/>
        <rFont val="FreeSans"/>
        <family val="2"/>
      </rPr>
      <t xml:space="preserve">ترمینال ریلی پیچی </t>
    </r>
    <r>
      <rPr>
        <sz val="10"/>
        <rFont val="Vazirmatn"/>
        <family val="0"/>
        <charset val="1"/>
      </rPr>
      <t xml:space="preserve">10</t>
    </r>
  </si>
  <si>
    <t xml:space="preserve">31213105</t>
  </si>
  <si>
    <r>
      <rPr>
        <sz val="10"/>
        <rFont val="FreeSans"/>
        <family val="2"/>
      </rPr>
      <t xml:space="preserve">ترمینال ریلی                   </t>
    </r>
    <r>
      <rPr>
        <sz val="10"/>
        <rFont val="Vazirmatn"/>
        <family val="0"/>
        <charset val="1"/>
      </rPr>
      <t xml:space="preserve">70mm</t>
    </r>
  </si>
  <si>
    <t xml:space="preserve">4027539</t>
  </si>
  <si>
    <r>
      <rPr>
        <sz val="10"/>
        <rFont val="FreeSans"/>
        <family val="2"/>
      </rPr>
      <t xml:space="preserve">ترمینال ریلی پیچی </t>
    </r>
    <r>
      <rPr>
        <sz val="10"/>
        <rFont val="Vazirmatn"/>
        <family val="0"/>
        <charset val="1"/>
      </rPr>
      <t xml:space="preserve">70</t>
    </r>
  </si>
  <si>
    <t xml:space="preserve">31213109</t>
  </si>
  <si>
    <r>
      <rPr>
        <sz val="10"/>
        <rFont val="FreeSans"/>
        <family val="2"/>
      </rPr>
      <t xml:space="preserve">ترمینال ریلی                    </t>
    </r>
    <r>
      <rPr>
        <sz val="10"/>
        <rFont val="Vazirmatn"/>
        <family val="0"/>
        <charset val="1"/>
      </rPr>
      <t xml:space="preserve">16mm</t>
    </r>
  </si>
  <si>
    <t xml:space="preserve">4027536</t>
  </si>
  <si>
    <r>
      <rPr>
        <sz val="10"/>
        <rFont val="FreeSans"/>
        <family val="2"/>
      </rPr>
      <t xml:space="preserve">ترمینال ریلی فنری </t>
    </r>
    <r>
      <rPr>
        <sz val="10"/>
        <rFont val="Vazirmatn"/>
        <family val="0"/>
        <charset val="1"/>
      </rPr>
      <t xml:space="preserve">16</t>
    </r>
  </si>
  <si>
    <t xml:space="preserve">31213110</t>
  </si>
  <si>
    <r>
      <rPr>
        <sz val="10"/>
        <rFont val="FreeSans"/>
        <family val="2"/>
      </rPr>
      <t xml:space="preserve">ترمینال ریلی    </t>
    </r>
    <r>
      <rPr>
        <sz val="10"/>
        <rFont val="Vazirmatn"/>
        <family val="0"/>
        <charset val="1"/>
      </rPr>
      <t xml:space="preserve">4mm</t>
    </r>
  </si>
  <si>
    <t xml:space="preserve">5012452</t>
  </si>
  <si>
    <r>
      <rPr>
        <sz val="10"/>
        <rFont val="FreeSans"/>
        <family val="2"/>
      </rPr>
      <t xml:space="preserve">ترمینال ریلی فنری </t>
    </r>
    <r>
      <rPr>
        <sz val="10"/>
        <rFont val="Vazirmatn"/>
        <family val="0"/>
        <charset val="1"/>
      </rPr>
      <t xml:space="preserve">4</t>
    </r>
  </si>
  <si>
    <t xml:space="preserve">31213117</t>
  </si>
  <si>
    <r>
      <rPr>
        <sz val="10"/>
        <rFont val="FreeSans"/>
        <family val="2"/>
      </rPr>
      <t xml:space="preserve">ترمینال ریلی    </t>
    </r>
    <r>
      <rPr>
        <sz val="10"/>
        <rFont val="Vazirmatn"/>
        <family val="0"/>
        <charset val="1"/>
      </rPr>
      <t xml:space="preserve">1/5mm</t>
    </r>
  </si>
  <si>
    <t xml:space="preserve">4027538</t>
  </si>
  <si>
    <r>
      <rPr>
        <sz val="10"/>
        <rFont val="FreeSans"/>
        <family val="2"/>
      </rPr>
      <t xml:space="preserve">ترمینال ریلی فنری </t>
    </r>
    <r>
      <rPr>
        <sz val="10"/>
        <rFont val="Vazirmatn"/>
        <family val="0"/>
        <charset val="1"/>
      </rPr>
      <t xml:space="preserve">1.5</t>
    </r>
  </si>
  <si>
    <t xml:space="preserve">31213183</t>
  </si>
  <si>
    <r>
      <rPr>
        <sz val="10"/>
        <rFont val="FreeSans"/>
        <family val="2"/>
      </rPr>
      <t xml:space="preserve">ترمینال لاستیکی                  </t>
    </r>
    <r>
      <rPr>
        <sz val="10"/>
        <rFont val="Vazirmatn"/>
        <family val="0"/>
        <charset val="1"/>
      </rPr>
      <t xml:space="preserve">25  </t>
    </r>
    <r>
      <rPr>
        <sz val="10"/>
        <rFont val="FreeSans"/>
        <family val="2"/>
      </rPr>
      <t xml:space="preserve">آمپر</t>
    </r>
  </si>
  <si>
    <t xml:space="preserve">4013173</t>
  </si>
  <si>
    <r>
      <rPr>
        <sz val="10"/>
        <rFont val="FreeSans"/>
        <family val="2"/>
      </rPr>
      <t xml:space="preserve">ترمينال پلاستيکي </t>
    </r>
    <r>
      <rPr>
        <sz val="10"/>
        <rFont val="Vazirmatn"/>
        <family val="0"/>
        <charset val="1"/>
      </rPr>
      <t xml:space="preserve">25</t>
    </r>
  </si>
  <si>
    <t xml:space="preserve">31213205</t>
  </si>
  <si>
    <r>
      <rPr>
        <sz val="10"/>
        <rFont val="FreeSans"/>
        <family val="2"/>
      </rPr>
      <t xml:space="preserve">تبدیل دو شاخه برق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به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فیش</t>
    </r>
  </si>
  <si>
    <t xml:space="preserve">31213245</t>
  </si>
  <si>
    <t xml:space="preserve">سه راهی صنعتی سیار با کابل</t>
  </si>
  <si>
    <t xml:space="preserve">4009174</t>
  </si>
  <si>
    <t xml:space="preserve">سه راهي برق صنعتي</t>
  </si>
  <si>
    <t xml:space="preserve">31213248</t>
  </si>
  <si>
    <t xml:space="preserve">چهار راهی محافظ برق</t>
  </si>
  <si>
    <t xml:space="preserve">4009162</t>
  </si>
  <si>
    <r>
      <rPr>
        <sz val="10"/>
        <rFont val="FreeSans"/>
        <family val="2"/>
      </rPr>
      <t xml:space="preserve">چهار راهي محافظ دار پلاستيکي</t>
    </r>
    <r>
      <rPr>
        <sz val="10"/>
        <rFont val="Vazirmatn"/>
        <family val="0"/>
        <charset val="1"/>
      </rPr>
      <t xml:space="preserve">10A</t>
    </r>
  </si>
  <si>
    <t xml:space="preserve">31213319</t>
  </si>
  <si>
    <r>
      <rPr>
        <sz val="10"/>
        <rFont val="FreeSans"/>
        <family val="2"/>
      </rPr>
      <t xml:space="preserve">چراغ خیابانی </t>
    </r>
    <r>
      <rPr>
        <sz val="10"/>
        <rFont val="Vazirmatn"/>
        <family val="0"/>
        <charset val="1"/>
      </rPr>
      <t xml:space="preserve">LED 100W</t>
    </r>
  </si>
  <si>
    <t xml:space="preserve">4027664</t>
  </si>
  <si>
    <r>
      <rPr>
        <sz val="10"/>
        <rFont val="FreeSans"/>
        <family val="2"/>
      </rPr>
      <t xml:space="preserve">چراغ آپولو </t>
    </r>
    <r>
      <rPr>
        <sz val="10"/>
        <rFont val="Vazirmatn"/>
        <family val="0"/>
        <charset val="1"/>
      </rPr>
      <t xml:space="preserve">100 </t>
    </r>
    <r>
      <rPr>
        <sz val="10"/>
        <rFont val="FreeSans"/>
        <family val="2"/>
      </rPr>
      <t xml:space="preserve">وات </t>
    </r>
    <r>
      <rPr>
        <sz val="10"/>
        <rFont val="Vazirmatn"/>
        <family val="0"/>
        <charset val="1"/>
      </rPr>
      <t xml:space="preserve">LED</t>
    </r>
  </si>
  <si>
    <t xml:space="preserve">31213329</t>
  </si>
  <si>
    <r>
      <rPr>
        <sz val="10"/>
        <rFont val="FreeSans"/>
        <family val="2"/>
      </rPr>
      <t xml:space="preserve">زانویی ترانکینگ داخلی  </t>
    </r>
    <r>
      <rPr>
        <sz val="10"/>
        <rFont val="Vazirmatn"/>
        <family val="0"/>
        <charset val="1"/>
      </rPr>
      <t xml:space="preserve">50*100</t>
    </r>
  </si>
  <si>
    <t xml:space="preserve">4033801</t>
  </si>
  <si>
    <r>
      <rPr>
        <sz val="10"/>
        <rFont val="FreeSans"/>
        <family val="2"/>
      </rPr>
      <t xml:space="preserve">زانو تراکینگ داخلی  </t>
    </r>
    <r>
      <rPr>
        <sz val="10"/>
        <rFont val="Vazirmatn"/>
        <family val="0"/>
        <charset val="1"/>
      </rPr>
      <t xml:space="preserve">50*100</t>
    </r>
    <r>
      <rPr>
        <sz val="10"/>
        <rFont val="FreeSans"/>
        <family val="2"/>
      </rPr>
      <t xml:space="preserve">سوپیتا</t>
    </r>
  </si>
  <si>
    <r>
      <rPr>
        <sz val="10"/>
        <rFont val="FreeSans"/>
        <family val="2"/>
      </rPr>
      <t xml:space="preserve">لوله و اتصالات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برق</t>
    </r>
  </si>
  <si>
    <t xml:space="preserve">31213330</t>
  </si>
  <si>
    <r>
      <rPr>
        <sz val="10"/>
        <rFont val="FreeSans"/>
        <family val="2"/>
      </rPr>
      <t xml:space="preserve">زانویی ترانکینگ خارجی  </t>
    </r>
    <r>
      <rPr>
        <sz val="10"/>
        <rFont val="Vazirmatn"/>
        <family val="0"/>
        <charset val="1"/>
      </rPr>
      <t xml:space="preserve">50*100</t>
    </r>
  </si>
  <si>
    <t xml:space="preserve">4033798</t>
  </si>
  <si>
    <r>
      <rPr>
        <sz val="10"/>
        <rFont val="FreeSans"/>
        <family val="2"/>
      </rPr>
      <t xml:space="preserve">زانو تراکینگ خارجی</t>
    </r>
    <r>
      <rPr>
        <sz val="10"/>
        <rFont val="Vazirmatn"/>
        <family val="0"/>
        <charset val="1"/>
      </rPr>
      <t xml:space="preserve">50*100</t>
    </r>
    <r>
      <rPr>
        <sz val="10"/>
        <rFont val="FreeSans"/>
        <family val="2"/>
      </rPr>
      <t xml:space="preserve">سوپیتا</t>
    </r>
  </si>
  <si>
    <t xml:space="preserve">31213331</t>
  </si>
  <si>
    <r>
      <rPr>
        <sz val="10"/>
        <rFont val="FreeSans"/>
        <family val="2"/>
      </rPr>
      <t xml:space="preserve">ته بند ترانکینگ  </t>
    </r>
    <r>
      <rPr>
        <sz val="10"/>
        <rFont val="Vazirmatn"/>
        <family val="0"/>
        <charset val="1"/>
      </rPr>
      <t xml:space="preserve">50*100</t>
    </r>
  </si>
  <si>
    <t xml:space="preserve">5012864</t>
  </si>
  <si>
    <r>
      <rPr>
        <sz val="10"/>
        <rFont val="FreeSans"/>
        <family val="2"/>
      </rPr>
      <t xml:space="preserve">ته بند تراکینگ </t>
    </r>
    <r>
      <rPr>
        <sz val="10"/>
        <rFont val="Vazirmatn"/>
        <family val="0"/>
        <charset val="1"/>
      </rPr>
      <t xml:space="preserve">50*100</t>
    </r>
  </si>
  <si>
    <t xml:space="preserve">31213370</t>
  </si>
  <si>
    <r>
      <rPr>
        <sz val="10"/>
        <rFont val="FreeSans"/>
        <family val="2"/>
      </rPr>
      <t xml:space="preserve">جعبه مینیاتوری روکار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تایی</t>
    </r>
  </si>
  <si>
    <t xml:space="preserve">4044337</t>
  </si>
  <si>
    <r>
      <rPr>
        <sz val="10"/>
        <rFont val="FreeSans"/>
        <family val="2"/>
      </rPr>
      <t xml:space="preserve">جعبه کلید مینیاتوری روکار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تایی</t>
    </r>
  </si>
  <si>
    <t xml:space="preserve">31213402</t>
  </si>
  <si>
    <r>
      <rPr>
        <sz val="10"/>
        <rFont val="FreeSans"/>
        <family val="2"/>
      </rPr>
      <t xml:space="preserve">تابلو برق   </t>
    </r>
    <r>
      <rPr>
        <sz val="10"/>
        <rFont val="Vazirmatn"/>
        <family val="0"/>
        <charset val="1"/>
      </rPr>
      <t xml:space="preserve">30cm * 40cm</t>
    </r>
  </si>
  <si>
    <t xml:space="preserve">5012440</t>
  </si>
  <si>
    <r>
      <rPr>
        <sz val="10"/>
        <rFont val="FreeSans"/>
        <family val="2"/>
      </rPr>
      <t xml:space="preserve">تابلو برق </t>
    </r>
    <r>
      <rPr>
        <sz val="10"/>
        <rFont val="Vazirmatn"/>
        <family val="0"/>
        <charset val="1"/>
      </rPr>
      <t xml:space="preserve">15*30*40</t>
    </r>
  </si>
  <si>
    <t xml:space="preserve">31213413</t>
  </si>
  <si>
    <r>
      <rPr>
        <sz val="10"/>
        <rFont val="FreeSans"/>
        <family val="2"/>
      </rPr>
      <t xml:space="preserve">تابلو برق فلزی    </t>
    </r>
    <r>
      <rPr>
        <sz val="10"/>
        <rFont val="Vazirmatn"/>
        <family val="0"/>
        <charset val="1"/>
      </rPr>
      <t xml:space="preserve">20 * 40 * 30</t>
    </r>
  </si>
  <si>
    <t xml:space="preserve">4035828</t>
  </si>
  <si>
    <r>
      <rPr>
        <sz val="10"/>
        <rFont val="FreeSans"/>
        <family val="2"/>
      </rPr>
      <t xml:space="preserve">تابلو برق فلزی </t>
    </r>
    <r>
      <rPr>
        <sz val="10"/>
        <rFont val="Vazirmatn"/>
        <family val="0"/>
        <charset val="1"/>
      </rPr>
      <t xml:space="preserve">20*30*40 cm</t>
    </r>
  </si>
  <si>
    <t xml:space="preserve">31213427</t>
  </si>
  <si>
    <r>
      <rPr>
        <sz val="10"/>
        <rFont val="FreeSans"/>
        <family val="2"/>
      </rPr>
      <t xml:space="preserve">تابلو برق استیل   </t>
    </r>
    <r>
      <rPr>
        <sz val="10"/>
        <rFont val="Vazirmatn"/>
        <family val="0"/>
        <charset val="1"/>
      </rPr>
      <t xml:space="preserve">20 * 40 * 30</t>
    </r>
  </si>
  <si>
    <t xml:space="preserve">31213466</t>
  </si>
  <si>
    <r>
      <rPr>
        <sz val="10"/>
        <rFont val="FreeSans"/>
        <family val="2"/>
      </rPr>
      <t xml:space="preserve">کنتاکتور زیمنس  </t>
    </r>
    <r>
      <rPr>
        <sz val="10"/>
        <rFont val="Vazirmatn"/>
        <family val="0"/>
        <charset val="1"/>
      </rPr>
      <t xml:space="preserve">3KW</t>
    </r>
  </si>
  <si>
    <t xml:space="preserve">4005655</t>
  </si>
  <si>
    <r>
      <rPr>
        <sz val="10"/>
        <rFont val="FreeSans"/>
        <family val="2"/>
      </rPr>
      <t xml:space="preserve">کنتاکتور زيمنس </t>
    </r>
    <r>
      <rPr>
        <sz val="10"/>
        <rFont val="Vazirmatn"/>
        <family val="0"/>
        <charset val="1"/>
      </rPr>
      <t xml:space="preserve">11kw 220V 3TF43</t>
    </r>
  </si>
  <si>
    <t xml:space="preserve">31213476</t>
  </si>
  <si>
    <r>
      <rPr>
        <sz val="10"/>
        <rFont val="FreeSans"/>
        <family val="2"/>
      </rPr>
      <t xml:space="preserve">کمکی کنتاکتور زیمنس  </t>
    </r>
    <r>
      <rPr>
        <sz val="10"/>
        <rFont val="Vazirmatn"/>
        <family val="0"/>
        <charset val="1"/>
      </rPr>
      <t xml:space="preserve">3RH2911-1HA22 2NO+2CO</t>
    </r>
  </si>
  <si>
    <t xml:space="preserve">4027363</t>
  </si>
  <si>
    <r>
      <rPr>
        <sz val="10"/>
        <rFont val="FreeSans"/>
        <family val="2"/>
      </rPr>
      <t xml:space="preserve">کنتاکت کمکی زیمنس </t>
    </r>
    <r>
      <rPr>
        <sz val="10"/>
        <rFont val="Vazirmatn"/>
        <family val="0"/>
        <charset val="1"/>
      </rPr>
      <t xml:space="preserve">3RH2911-1HA22</t>
    </r>
  </si>
  <si>
    <t xml:space="preserve">31213478</t>
  </si>
  <si>
    <r>
      <rPr>
        <sz val="10"/>
        <rFont val="FreeSans"/>
        <family val="2"/>
      </rPr>
      <t xml:space="preserve">کمکی کنتاکتور زیمنس </t>
    </r>
    <r>
      <rPr>
        <sz val="10"/>
        <rFont val="Vazirmatn"/>
        <family val="0"/>
        <charset val="1"/>
      </rPr>
      <t xml:space="preserve">3RH 2911-1HA22 2NO+2CO</t>
    </r>
  </si>
  <si>
    <t xml:space="preserve">31213496</t>
  </si>
  <si>
    <r>
      <rPr>
        <sz val="10"/>
        <rFont val="FreeSans"/>
        <family val="2"/>
      </rPr>
      <t xml:space="preserve">سافت استارتر زیمنس     </t>
    </r>
    <r>
      <rPr>
        <sz val="10"/>
        <rFont val="Vazirmatn"/>
        <family val="0"/>
        <charset val="1"/>
      </rPr>
      <t xml:space="preserve">22KW</t>
    </r>
  </si>
  <si>
    <t xml:space="preserve">4032073</t>
  </si>
  <si>
    <r>
      <rPr>
        <sz val="10"/>
        <rFont val="FreeSans"/>
        <family val="2"/>
      </rPr>
      <t xml:space="preserve">سافت استارتر زیمنس </t>
    </r>
    <r>
      <rPr>
        <sz val="10"/>
        <rFont val="Vazirmatn"/>
        <family val="0"/>
        <charset val="1"/>
      </rPr>
      <t xml:space="preserve">3RW4036-1BB14  22KW</t>
    </r>
  </si>
  <si>
    <t xml:space="preserve">31213499</t>
  </si>
  <si>
    <r>
      <rPr>
        <sz val="10"/>
        <rFont val="FreeSans"/>
        <family val="2"/>
      </rPr>
      <t xml:space="preserve">سافت استارتر  </t>
    </r>
    <r>
      <rPr>
        <sz val="10"/>
        <rFont val="Vazirmatn"/>
        <family val="0"/>
        <charset val="1"/>
      </rPr>
      <t xml:space="preserve">132KW</t>
    </r>
  </si>
  <si>
    <t xml:space="preserve">6006681</t>
  </si>
  <si>
    <r>
      <rPr>
        <sz val="10"/>
        <rFont val="FreeSans"/>
        <family val="2"/>
      </rPr>
      <t xml:space="preserve">سافت استارتر </t>
    </r>
    <r>
      <rPr>
        <sz val="10"/>
        <rFont val="Vazirmatn"/>
        <family val="0"/>
        <charset val="1"/>
      </rPr>
      <t xml:space="preserve">ATS22C25Q </t>
    </r>
    <r>
      <rPr>
        <sz val="10"/>
        <rFont val="FreeSans"/>
        <family val="2"/>
      </rPr>
      <t xml:space="preserve">اشنایدر </t>
    </r>
    <r>
      <rPr>
        <sz val="10"/>
        <rFont val="Vazirmatn"/>
        <family val="0"/>
        <charset val="1"/>
      </rPr>
      <t xml:space="preserve">132KW</t>
    </r>
  </si>
  <si>
    <t xml:space="preserve">31213616</t>
  </si>
  <si>
    <r>
      <rPr>
        <sz val="10"/>
        <rFont val="FreeSans"/>
        <family val="2"/>
      </rPr>
      <t xml:space="preserve">شستی اعلام حریق زیتکس  </t>
    </r>
    <r>
      <rPr>
        <sz val="10"/>
        <rFont val="Vazirmatn"/>
        <family val="0"/>
        <charset val="1"/>
      </rPr>
      <t xml:space="preserve">ZI - CP - 95   Zitex</t>
    </r>
  </si>
  <si>
    <t xml:space="preserve">4040102</t>
  </si>
  <si>
    <r>
      <rPr>
        <sz val="10"/>
        <rFont val="FreeSans"/>
        <family val="2"/>
      </rPr>
      <t xml:space="preserve">شستی اعلام حریق زیتکس مدل </t>
    </r>
    <r>
      <rPr>
        <sz val="10"/>
        <rFont val="Vazirmatn"/>
        <family val="0"/>
        <charset val="1"/>
      </rPr>
      <t xml:space="preserve">ZI-CP 95</t>
    </r>
  </si>
  <si>
    <t xml:space="preserve">31213630</t>
  </si>
  <si>
    <r>
      <rPr>
        <sz val="10"/>
        <rFont val="FreeSans"/>
        <family val="2"/>
      </rPr>
      <t xml:space="preserve">استارتر    </t>
    </r>
    <r>
      <rPr>
        <sz val="10"/>
        <rFont val="Vazirmatn"/>
        <family val="0"/>
        <charset val="1"/>
      </rPr>
      <t xml:space="preserve">250W</t>
    </r>
  </si>
  <si>
    <t xml:space="preserve">4027659</t>
  </si>
  <si>
    <r>
      <rPr>
        <sz val="10"/>
        <rFont val="FreeSans"/>
        <family val="2"/>
      </rPr>
      <t xml:space="preserve">استارت پرژکتور </t>
    </r>
    <r>
      <rPr>
        <sz val="10"/>
        <rFont val="Vazirmatn"/>
        <family val="0"/>
        <charset val="1"/>
      </rPr>
      <t xml:space="preserve">250 </t>
    </r>
    <r>
      <rPr>
        <sz val="10"/>
        <rFont val="FreeSans"/>
        <family val="2"/>
      </rPr>
      <t xml:space="preserve">وات</t>
    </r>
  </si>
  <si>
    <t xml:space="preserve">31213634</t>
  </si>
  <si>
    <t xml:space="preserve">استارتر لامپ گازی</t>
  </si>
  <si>
    <t xml:space="preserve">4013512</t>
  </si>
  <si>
    <t xml:space="preserve">استارتر لامپ خياري</t>
  </si>
  <si>
    <t xml:space="preserve">31213668</t>
  </si>
  <si>
    <r>
      <rPr>
        <sz val="10"/>
        <rFont val="FreeSans"/>
        <family val="2"/>
      </rPr>
      <t xml:space="preserve">ترانس برق </t>
    </r>
    <r>
      <rPr>
        <sz val="10"/>
        <rFont val="Vazirmatn"/>
        <family val="0"/>
        <charset val="1"/>
      </rPr>
      <t xml:space="preserve">220V </t>
    </r>
    <r>
      <rPr>
        <sz val="10"/>
        <rFont val="FreeSans"/>
        <family val="2"/>
      </rPr>
      <t xml:space="preserve">به </t>
    </r>
    <r>
      <rPr>
        <sz val="10"/>
        <rFont val="Vazirmatn"/>
        <family val="0"/>
        <charset val="1"/>
      </rPr>
      <t xml:space="preserve">24V AC</t>
    </r>
  </si>
  <si>
    <t xml:space="preserve">4027813</t>
  </si>
  <si>
    <r>
      <rPr>
        <sz val="10"/>
        <rFont val="FreeSans"/>
        <family val="2"/>
      </rPr>
      <t xml:space="preserve">ترانس </t>
    </r>
    <r>
      <rPr>
        <sz val="10"/>
        <rFont val="Vazirmatn"/>
        <family val="0"/>
        <charset val="1"/>
      </rPr>
      <t xml:space="preserve">AC220 </t>
    </r>
    <r>
      <rPr>
        <sz val="10"/>
        <rFont val="FreeSans"/>
        <family val="2"/>
      </rPr>
      <t xml:space="preserve">به </t>
    </r>
    <r>
      <rPr>
        <sz val="10"/>
        <rFont val="Vazirmatn"/>
        <family val="0"/>
        <charset val="1"/>
      </rPr>
      <t xml:space="preserve">24</t>
    </r>
    <r>
      <rPr>
        <sz val="10"/>
        <rFont val="FreeSans"/>
        <family val="2"/>
      </rPr>
      <t xml:space="preserve">ولت </t>
    </r>
    <r>
      <rPr>
        <sz val="10"/>
        <rFont val="Vazirmatn"/>
        <family val="0"/>
        <charset val="1"/>
      </rPr>
      <t xml:space="preserve">6</t>
    </r>
    <r>
      <rPr>
        <sz val="10"/>
        <rFont val="FreeSans"/>
        <family val="2"/>
      </rPr>
      <t xml:space="preserve">آمپر</t>
    </r>
  </si>
  <si>
    <t xml:space="preserve">31213672</t>
  </si>
  <si>
    <r>
      <rPr>
        <sz val="10"/>
        <rFont val="FreeSans"/>
        <family val="2"/>
      </rPr>
      <t xml:space="preserve">ترانس     </t>
    </r>
    <r>
      <rPr>
        <sz val="10"/>
        <rFont val="Vazirmatn"/>
        <family val="0"/>
        <charset val="1"/>
      </rPr>
      <t xml:space="preserve">250W</t>
    </r>
  </si>
  <si>
    <t xml:space="preserve">4027791</t>
  </si>
  <si>
    <r>
      <rPr>
        <sz val="10"/>
        <rFont val="FreeSans"/>
        <family val="2"/>
      </rPr>
      <t xml:space="preserve">ترانس پرژکتور </t>
    </r>
    <r>
      <rPr>
        <sz val="10"/>
        <rFont val="Vazirmatn"/>
        <family val="0"/>
        <charset val="1"/>
      </rPr>
      <t xml:space="preserve">250 </t>
    </r>
    <r>
      <rPr>
        <sz val="10"/>
        <rFont val="FreeSans"/>
        <family val="2"/>
      </rPr>
      <t xml:space="preserve">وات</t>
    </r>
  </si>
  <si>
    <t xml:space="preserve">31213676</t>
  </si>
  <si>
    <r>
      <rPr>
        <sz val="10"/>
        <rFont val="FreeSans"/>
        <family val="2"/>
      </rPr>
      <t xml:space="preserve">ترانس برق </t>
    </r>
    <r>
      <rPr>
        <sz val="10"/>
        <rFont val="Vazirmatn"/>
        <family val="0"/>
        <charset val="1"/>
      </rPr>
      <t xml:space="preserve">220v</t>
    </r>
  </si>
  <si>
    <t xml:space="preserve">4027792</t>
  </si>
  <si>
    <r>
      <rPr>
        <sz val="10"/>
        <rFont val="FreeSans"/>
        <family val="2"/>
      </rPr>
      <t xml:space="preserve">ترانس </t>
    </r>
    <r>
      <rPr>
        <sz val="10"/>
        <rFont val="Vazirmatn"/>
        <family val="0"/>
        <charset val="1"/>
      </rPr>
      <t xml:space="preserve">125 </t>
    </r>
    <r>
      <rPr>
        <sz val="10"/>
        <rFont val="FreeSans"/>
        <family val="2"/>
      </rPr>
      <t xml:space="preserve">وات </t>
    </r>
    <r>
      <rPr>
        <sz val="10"/>
        <rFont val="Vazirmatn"/>
        <family val="0"/>
        <charset val="1"/>
      </rPr>
      <t xml:space="preserve">-220 </t>
    </r>
    <r>
      <rPr>
        <sz val="10"/>
        <rFont val="FreeSans"/>
        <family val="2"/>
      </rPr>
      <t xml:space="preserve">ولت</t>
    </r>
  </si>
  <si>
    <t xml:space="preserve">31213686</t>
  </si>
  <si>
    <t xml:space="preserve">پریز شبکه ترانکینگ</t>
  </si>
  <si>
    <t xml:space="preserve">4027314</t>
  </si>
  <si>
    <t xml:space="preserve">پریز شبکه تراکینگ</t>
  </si>
  <si>
    <t xml:space="preserve">31213687</t>
  </si>
  <si>
    <t xml:space="preserve">پریز تلفن ترانکینگ</t>
  </si>
  <si>
    <t xml:space="preserve">4027306</t>
  </si>
  <si>
    <t xml:space="preserve">پریز برق سبز ترانکینگ</t>
  </si>
  <si>
    <t xml:space="preserve">31213689</t>
  </si>
  <si>
    <r>
      <rPr>
        <sz val="10"/>
        <rFont val="FreeSans"/>
        <family val="2"/>
      </rPr>
      <t xml:space="preserve">پریز ترانکینگ برق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سفید </t>
    </r>
    <r>
      <rPr>
        <sz val="10"/>
        <rFont val="Vazirmatn"/>
        <family val="0"/>
        <charset val="1"/>
      </rPr>
      <t xml:space="preserve">)</t>
    </r>
  </si>
  <si>
    <t xml:space="preserve">4026509</t>
  </si>
  <si>
    <t xml:space="preserve">پریز برق سفید تراکینگ</t>
  </si>
  <si>
    <t xml:space="preserve">31213703</t>
  </si>
  <si>
    <t xml:space="preserve">پریز  توکار  تلفن</t>
  </si>
  <si>
    <t xml:space="preserve">4013427</t>
  </si>
  <si>
    <t xml:space="preserve">پريز تلفن توکار لگراند</t>
  </si>
  <si>
    <t xml:space="preserve">31213704</t>
  </si>
  <si>
    <t xml:space="preserve">پریز تابلویی ارت دار</t>
  </si>
  <si>
    <t xml:space="preserve">4003469</t>
  </si>
  <si>
    <t xml:space="preserve">پریز ارت دار روکار</t>
  </si>
  <si>
    <t xml:space="preserve">31213708</t>
  </si>
  <si>
    <t xml:space="preserve">پریز   شبکه   کامپیوتر   توکار</t>
  </si>
  <si>
    <t xml:space="preserve">4027308</t>
  </si>
  <si>
    <t xml:space="preserve">پریز شبکه روکار</t>
  </si>
  <si>
    <t xml:space="preserve">31213710</t>
  </si>
  <si>
    <t xml:space="preserve">پریز توکار ارت دار</t>
  </si>
  <si>
    <t xml:space="preserve">31213711</t>
  </si>
  <si>
    <t xml:space="preserve">پریز توکار</t>
  </si>
  <si>
    <t xml:space="preserve">4021885</t>
  </si>
  <si>
    <t xml:space="preserve">پریز برق توکار</t>
  </si>
  <si>
    <t xml:space="preserve">31213713</t>
  </si>
  <si>
    <t xml:space="preserve">پریز  بارانی روکار</t>
  </si>
  <si>
    <t xml:space="preserve">4013428</t>
  </si>
  <si>
    <t xml:space="preserve">پريز باراني روکار پارت الکتريک</t>
  </si>
  <si>
    <t xml:space="preserve">31213714</t>
  </si>
  <si>
    <r>
      <rPr>
        <sz val="10"/>
        <rFont val="FreeSans"/>
        <family val="2"/>
      </rPr>
      <t xml:space="preserve">پریز توکار ارت دار </t>
    </r>
    <r>
      <rPr>
        <sz val="10"/>
        <rFont val="Vazirmatn"/>
        <family val="0"/>
        <charset val="1"/>
      </rPr>
      <t xml:space="preserve">UPS</t>
    </r>
  </si>
  <si>
    <t xml:space="preserve">31213725</t>
  </si>
  <si>
    <t xml:space="preserve">پریز تلفن داکتی</t>
  </si>
  <si>
    <t xml:space="preserve">31213727</t>
  </si>
  <si>
    <t xml:space="preserve">پریز شبکه و تلفن توکار</t>
  </si>
  <si>
    <t xml:space="preserve">4008549</t>
  </si>
  <si>
    <t xml:space="preserve">پريز شبکه توکار اشنايدر</t>
  </si>
  <si>
    <t xml:space="preserve">31213728</t>
  </si>
  <si>
    <r>
      <rPr>
        <sz val="10"/>
        <rFont val="FreeSans"/>
        <family val="2"/>
      </rPr>
      <t xml:space="preserve">سوکت شبکه   </t>
    </r>
    <r>
      <rPr>
        <sz val="10"/>
        <rFont val="Vazirmatn"/>
        <family val="0"/>
        <charset val="1"/>
      </rPr>
      <t xml:space="preserve">Rj 45</t>
    </r>
  </si>
  <si>
    <t xml:space="preserve">5020807</t>
  </si>
  <si>
    <r>
      <rPr>
        <sz val="10"/>
        <rFont val="FreeSans"/>
        <family val="2"/>
      </rPr>
      <t xml:space="preserve">سوکت شبکه </t>
    </r>
    <r>
      <rPr>
        <sz val="10"/>
        <rFont val="Vazirmatn"/>
        <family val="0"/>
        <charset val="1"/>
      </rPr>
      <t xml:space="preserve">RJ45 CAT5</t>
    </r>
  </si>
  <si>
    <t xml:space="preserve">31213737</t>
  </si>
  <si>
    <r>
      <rPr>
        <sz val="10"/>
        <rFont val="FreeSans"/>
        <family val="2"/>
      </rPr>
      <t xml:space="preserve">کارت </t>
    </r>
    <r>
      <rPr>
        <sz val="10"/>
        <rFont val="Vazirmatn"/>
        <family val="0"/>
        <charset val="1"/>
      </rPr>
      <t xml:space="preserve">6ES7 234 - 4HE32 - 0XB0 PLC AI/AO</t>
    </r>
  </si>
  <si>
    <t xml:space="preserve">4028378</t>
  </si>
  <si>
    <r>
      <rPr>
        <sz val="10"/>
        <rFont val="FreeSans"/>
        <family val="2"/>
      </rPr>
      <t xml:space="preserve">کارت </t>
    </r>
    <r>
      <rPr>
        <sz val="10"/>
        <rFont val="Vazirmatn"/>
        <family val="0"/>
        <charset val="1"/>
      </rPr>
      <t xml:space="preserve">6ES7 234-4HE32-0XB0</t>
    </r>
  </si>
  <si>
    <t xml:space="preserve">31213740</t>
  </si>
  <si>
    <r>
      <rPr>
        <sz val="10"/>
        <rFont val="FreeSans"/>
        <family val="2"/>
      </rPr>
      <t xml:space="preserve">سوکت تلفن     </t>
    </r>
    <r>
      <rPr>
        <sz val="10"/>
        <rFont val="Vazirmatn"/>
        <family val="0"/>
        <charset val="1"/>
      </rPr>
      <t xml:space="preserve">Rj 11</t>
    </r>
  </si>
  <si>
    <t xml:space="preserve">4019872</t>
  </si>
  <si>
    <r>
      <rPr>
        <sz val="10"/>
        <rFont val="FreeSans"/>
        <family val="2"/>
      </rPr>
      <t xml:space="preserve">سوکت تلفن  </t>
    </r>
    <r>
      <rPr>
        <sz val="10"/>
        <rFont val="Vazirmatn"/>
        <family val="0"/>
        <charset val="1"/>
      </rPr>
      <t xml:space="preserve">CAT3 RJ11 </t>
    </r>
    <r>
      <rPr>
        <sz val="10"/>
        <rFont val="FreeSans"/>
        <family val="2"/>
      </rPr>
      <t xml:space="preserve">سوپیتا</t>
    </r>
    <r>
      <rPr>
        <sz val="10"/>
        <rFont val="Vazirmatn"/>
        <family val="0"/>
        <charset val="1"/>
      </rPr>
      <t xml:space="preserve">50044</t>
    </r>
  </si>
  <si>
    <t xml:space="preserve">31213742</t>
  </si>
  <si>
    <r>
      <rPr>
        <sz val="10"/>
        <rFont val="FreeSans"/>
        <family val="2"/>
      </rPr>
      <t xml:space="preserve">سوکت سنسور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پین  </t>
    </r>
    <r>
      <rPr>
        <sz val="10"/>
        <rFont val="Vazirmatn"/>
        <family val="0"/>
        <charset val="1"/>
      </rPr>
      <t xml:space="preserve">M12 </t>
    </r>
    <r>
      <rPr>
        <sz val="10"/>
        <rFont val="FreeSans"/>
        <family val="2"/>
      </rPr>
      <t xml:space="preserve">مادگی</t>
    </r>
  </si>
  <si>
    <t xml:space="preserve">4028449</t>
  </si>
  <si>
    <r>
      <rPr>
        <sz val="10"/>
        <rFont val="FreeSans"/>
        <family val="2"/>
      </rPr>
      <t xml:space="preserve">سوکت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پین سنسور </t>
    </r>
    <r>
      <rPr>
        <sz val="10"/>
        <rFont val="Vazirmatn"/>
        <family val="0"/>
        <charset val="1"/>
      </rPr>
      <t xml:space="preserve">IFM</t>
    </r>
  </si>
  <si>
    <t xml:space="preserve">31213747</t>
  </si>
  <si>
    <r>
      <rPr>
        <sz val="10"/>
        <rFont val="FreeSans"/>
        <family val="2"/>
      </rPr>
      <t xml:space="preserve">کارت </t>
    </r>
    <r>
      <rPr>
        <sz val="10"/>
        <rFont val="Vazirmatn"/>
        <family val="0"/>
        <charset val="1"/>
      </rPr>
      <t xml:space="preserve">6ES7 321 - 1BH02 - 0AA0 PLC DI</t>
    </r>
  </si>
  <si>
    <t xml:space="preserve">4028034</t>
  </si>
  <si>
    <r>
      <rPr>
        <sz val="10"/>
        <rFont val="FreeSans"/>
        <family val="2"/>
      </rPr>
      <t xml:space="preserve">کارت </t>
    </r>
    <r>
      <rPr>
        <sz val="10"/>
        <rFont val="Vazirmatn"/>
        <family val="0"/>
        <charset val="1"/>
      </rPr>
      <t xml:space="preserve">6ES7 321-1BH02-0AA0</t>
    </r>
  </si>
  <si>
    <t xml:space="preserve">31213756</t>
  </si>
  <si>
    <r>
      <rPr>
        <sz val="10"/>
        <rFont val="FreeSans"/>
        <family val="2"/>
      </rPr>
      <t xml:space="preserve">سر سیم سوزنی دوبل نمره </t>
    </r>
    <r>
      <rPr>
        <sz val="10"/>
        <rFont val="Vazirmatn"/>
        <family val="0"/>
        <charset val="1"/>
      </rPr>
      <t xml:space="preserve">1/5</t>
    </r>
  </si>
  <si>
    <t xml:space="preserve">4026564</t>
  </si>
  <si>
    <r>
      <rPr>
        <sz val="10"/>
        <rFont val="FreeSans"/>
        <family val="2"/>
      </rPr>
      <t xml:space="preserve">سر سیم لوله ای دوبل نمره </t>
    </r>
    <r>
      <rPr>
        <sz val="10"/>
        <rFont val="Vazirmatn"/>
        <family val="0"/>
        <charset val="1"/>
      </rPr>
      <t xml:space="preserve">1/5</t>
    </r>
  </si>
  <si>
    <t xml:space="preserve">31213757</t>
  </si>
  <si>
    <r>
      <rPr>
        <sz val="10"/>
        <rFont val="FreeSans"/>
        <family val="2"/>
      </rPr>
      <t xml:space="preserve">سر سیم سوزنی دوبل نمره </t>
    </r>
    <r>
      <rPr>
        <sz val="10"/>
        <rFont val="Vazirmatn"/>
        <family val="0"/>
        <charset val="1"/>
      </rPr>
      <t xml:space="preserve">1</t>
    </r>
  </si>
  <si>
    <t xml:space="preserve">4026565</t>
  </si>
  <si>
    <r>
      <rPr>
        <sz val="10"/>
        <rFont val="FreeSans"/>
        <family val="2"/>
      </rPr>
      <t xml:space="preserve">سر سیم لوله ای دوبل نمره </t>
    </r>
    <r>
      <rPr>
        <sz val="10"/>
        <rFont val="Vazirmatn"/>
        <family val="0"/>
        <charset val="1"/>
      </rPr>
      <t xml:space="preserve">1</t>
    </r>
  </si>
  <si>
    <t xml:space="preserve">31213774</t>
  </si>
  <si>
    <r>
      <rPr>
        <sz val="10"/>
        <rFont val="FreeSans"/>
        <family val="2"/>
      </rPr>
      <t xml:space="preserve">سر سیم            </t>
    </r>
    <r>
      <rPr>
        <sz val="10"/>
        <rFont val="Vazirmatn"/>
        <family val="0"/>
        <charset val="1"/>
      </rPr>
      <t xml:space="preserve">6</t>
    </r>
  </si>
  <si>
    <t xml:space="preserve">4026559</t>
  </si>
  <si>
    <r>
      <rPr>
        <sz val="10"/>
        <rFont val="FreeSans"/>
        <family val="2"/>
      </rPr>
      <t xml:space="preserve">سر سیم گرد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6</t>
    </r>
  </si>
  <si>
    <t xml:space="preserve">31213775</t>
  </si>
  <si>
    <r>
      <rPr>
        <sz val="10"/>
        <rFont val="FreeSans"/>
        <family val="2"/>
      </rPr>
      <t xml:space="preserve">سر سیم سوکت کولری  </t>
    </r>
    <r>
      <rPr>
        <sz val="10"/>
        <rFont val="Vazirmatn"/>
        <family val="0"/>
        <charset val="1"/>
      </rPr>
      <t xml:space="preserve">2/5</t>
    </r>
  </si>
  <si>
    <t xml:space="preserve">4026562</t>
  </si>
  <si>
    <r>
      <rPr>
        <sz val="10"/>
        <rFont val="FreeSans"/>
        <family val="2"/>
      </rPr>
      <t xml:space="preserve">سر سیم کولری مادگی نمره </t>
    </r>
    <r>
      <rPr>
        <sz val="10"/>
        <rFont val="Vazirmatn"/>
        <family val="0"/>
        <charset val="1"/>
      </rPr>
      <t xml:space="preserve">2.5</t>
    </r>
  </si>
  <si>
    <t xml:space="preserve">31213777</t>
  </si>
  <si>
    <r>
      <rPr>
        <sz val="10"/>
        <rFont val="FreeSans"/>
        <family val="2"/>
      </rPr>
      <t xml:space="preserve">کارت  </t>
    </r>
    <r>
      <rPr>
        <sz val="10"/>
        <rFont val="Vazirmatn"/>
        <family val="0"/>
        <charset val="1"/>
      </rPr>
      <t xml:space="preserve">PLC  322 - 1BH01 - 0AA0</t>
    </r>
  </si>
  <si>
    <t xml:space="preserve">4028032</t>
  </si>
  <si>
    <r>
      <rPr>
        <sz val="10"/>
        <rFont val="FreeSans"/>
        <family val="2"/>
      </rPr>
      <t xml:space="preserve">کارت </t>
    </r>
    <r>
      <rPr>
        <sz val="10"/>
        <rFont val="Vazirmatn"/>
        <family val="0"/>
        <charset val="1"/>
      </rPr>
      <t xml:space="preserve">6ES7 322-1BH01-0AA0</t>
    </r>
  </si>
  <si>
    <t xml:space="preserve">31213778</t>
  </si>
  <si>
    <r>
      <rPr>
        <sz val="10"/>
        <rFont val="FreeSans"/>
        <family val="2"/>
      </rPr>
      <t xml:space="preserve">کارت  </t>
    </r>
    <r>
      <rPr>
        <sz val="10"/>
        <rFont val="Vazirmatn"/>
        <family val="0"/>
        <charset val="1"/>
      </rPr>
      <t xml:space="preserve">PLC  331 - 7KF02 - 0AB0</t>
    </r>
  </si>
  <si>
    <t xml:space="preserve">4028039</t>
  </si>
  <si>
    <r>
      <rPr>
        <sz val="10"/>
        <rFont val="FreeSans"/>
        <family val="2"/>
      </rPr>
      <t xml:space="preserve">کارت </t>
    </r>
    <r>
      <rPr>
        <sz val="10"/>
        <rFont val="Vazirmatn"/>
        <family val="0"/>
        <charset val="1"/>
      </rPr>
      <t xml:space="preserve">6ES7 331-1KF02-0AB0 - PLC</t>
    </r>
  </si>
  <si>
    <t xml:space="preserve">31213786</t>
  </si>
  <si>
    <t xml:space="preserve">پایه لامپ مهتابی</t>
  </si>
  <si>
    <t xml:space="preserve">5004118</t>
  </si>
  <si>
    <t xml:space="preserve">پايه مهتابي بلند</t>
  </si>
  <si>
    <t xml:space="preserve">31213799</t>
  </si>
  <si>
    <r>
      <rPr>
        <sz val="10"/>
        <rFont val="FreeSans"/>
        <family val="2"/>
      </rPr>
      <t xml:space="preserve">سر سیم دوبل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وایر شو </t>
    </r>
    <r>
      <rPr>
        <sz val="10"/>
        <rFont val="Vazirmatn"/>
        <family val="0"/>
        <charset val="1"/>
      </rPr>
      <t xml:space="preserve">) 0/5</t>
    </r>
  </si>
  <si>
    <t xml:space="preserve">4026566</t>
  </si>
  <si>
    <r>
      <rPr>
        <sz val="10"/>
        <rFont val="FreeSans"/>
        <family val="2"/>
      </rPr>
      <t xml:space="preserve">سر سیم لوله ای دوبل نمره </t>
    </r>
    <r>
      <rPr>
        <sz val="10"/>
        <rFont val="Vazirmatn"/>
        <family val="0"/>
        <charset val="1"/>
      </rPr>
      <t xml:space="preserve">0.5</t>
    </r>
  </si>
  <si>
    <t xml:space="preserve">31213814</t>
  </si>
  <si>
    <r>
      <rPr>
        <sz val="10"/>
        <rFont val="FreeSans"/>
        <family val="2"/>
      </rPr>
      <t xml:space="preserve">سوکت نظامی نری و مادگی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پین</t>
    </r>
  </si>
  <si>
    <t xml:space="preserve">5015988</t>
  </si>
  <si>
    <r>
      <rPr>
        <sz val="10"/>
        <rFont val="FreeSans"/>
        <family val="2"/>
      </rPr>
      <t xml:space="preserve">سوکت مادگی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پین</t>
    </r>
  </si>
  <si>
    <t xml:space="preserve">31214172</t>
  </si>
  <si>
    <r>
      <rPr>
        <sz val="10"/>
        <rFont val="FreeSans"/>
        <family val="2"/>
      </rPr>
      <t xml:space="preserve">بی متال   </t>
    </r>
    <r>
      <rPr>
        <sz val="10"/>
        <rFont val="Vazirmatn"/>
        <family val="0"/>
        <charset val="1"/>
      </rPr>
      <t xml:space="preserve">0/16 - 0/1A</t>
    </r>
  </si>
  <si>
    <t xml:space="preserve">4055311</t>
  </si>
  <si>
    <r>
      <rPr>
        <sz val="10"/>
        <rFont val="FreeSans"/>
        <family val="2"/>
      </rPr>
      <t xml:space="preserve">بی متال اشنایدر </t>
    </r>
    <r>
      <rPr>
        <sz val="10"/>
        <rFont val="Vazirmatn"/>
        <family val="0"/>
        <charset val="1"/>
      </rPr>
      <t xml:space="preserve">0.1-0.16A LRD01</t>
    </r>
  </si>
  <si>
    <t xml:space="preserve">31214185</t>
  </si>
  <si>
    <r>
      <rPr>
        <sz val="10"/>
        <rFont val="FreeSans"/>
        <family val="2"/>
      </rPr>
      <t xml:space="preserve">بی متال   </t>
    </r>
    <r>
      <rPr>
        <sz val="10"/>
        <rFont val="Vazirmatn"/>
        <family val="0"/>
        <charset val="1"/>
      </rPr>
      <t xml:space="preserve">0/4 - 0/25A</t>
    </r>
  </si>
  <si>
    <t xml:space="preserve">4055309</t>
  </si>
  <si>
    <r>
      <rPr>
        <sz val="10"/>
        <rFont val="FreeSans"/>
        <family val="2"/>
      </rPr>
      <t xml:space="preserve">بی متال اشنایدر </t>
    </r>
    <r>
      <rPr>
        <sz val="10"/>
        <rFont val="Vazirmatn"/>
        <family val="0"/>
        <charset val="1"/>
      </rPr>
      <t xml:space="preserve">0.25-0.4A LRD03</t>
    </r>
  </si>
  <si>
    <t xml:space="preserve">31214330</t>
  </si>
  <si>
    <r>
      <rPr>
        <sz val="10"/>
        <rFont val="FreeSans"/>
        <family val="2"/>
      </rPr>
      <t xml:space="preserve">رله کنترل سطح مایعات اشنایدر              </t>
    </r>
    <r>
      <rPr>
        <sz val="10"/>
        <rFont val="Vazirmatn"/>
        <family val="0"/>
        <charset val="1"/>
      </rPr>
      <t xml:space="preserve">RM35LM33MW</t>
    </r>
  </si>
  <si>
    <t xml:space="preserve">4027400</t>
  </si>
  <si>
    <r>
      <rPr>
        <sz val="10"/>
        <rFont val="FreeSans"/>
        <family val="2"/>
      </rPr>
      <t xml:space="preserve">رله کنترل سطح اشنایدر </t>
    </r>
    <r>
      <rPr>
        <sz val="10"/>
        <rFont val="Vazirmatn"/>
        <family val="0"/>
        <charset val="1"/>
      </rPr>
      <t xml:space="preserve">RM35LM33MW</t>
    </r>
  </si>
  <si>
    <t xml:space="preserve">31214338</t>
  </si>
  <si>
    <r>
      <rPr>
        <sz val="10"/>
        <rFont val="FreeSans"/>
        <family val="2"/>
      </rPr>
      <t xml:space="preserve">رله </t>
    </r>
    <r>
      <rPr>
        <sz val="10"/>
        <rFont val="Vazirmatn"/>
        <family val="0"/>
        <charset val="1"/>
      </rPr>
      <t xml:space="preserve">14 </t>
    </r>
    <r>
      <rPr>
        <sz val="10"/>
        <rFont val="FreeSans"/>
        <family val="2"/>
      </rPr>
      <t xml:space="preserve">پایه </t>
    </r>
    <r>
      <rPr>
        <sz val="10"/>
        <rFont val="Vazirmatn"/>
        <family val="0"/>
        <charset val="1"/>
      </rPr>
      <t xml:space="preserve">24V  DC  Finder</t>
    </r>
  </si>
  <si>
    <t xml:space="preserve">4027462</t>
  </si>
  <si>
    <r>
      <rPr>
        <sz val="10"/>
        <rFont val="FreeSans"/>
        <family val="2"/>
      </rPr>
      <t xml:space="preserve">رله </t>
    </r>
    <r>
      <rPr>
        <sz val="10"/>
        <rFont val="Vazirmatn"/>
        <family val="0"/>
        <charset val="1"/>
      </rPr>
      <t xml:space="preserve">14 </t>
    </r>
    <r>
      <rPr>
        <sz val="10"/>
        <rFont val="FreeSans"/>
        <family val="2"/>
      </rPr>
      <t xml:space="preserve">پین </t>
    </r>
    <r>
      <rPr>
        <sz val="10"/>
        <rFont val="Vazirmatn"/>
        <family val="0"/>
        <charset val="1"/>
      </rPr>
      <t xml:space="preserve">Finder-55.34.9.024.0094-24VDC</t>
    </r>
  </si>
  <si>
    <t xml:space="preserve">31214341</t>
  </si>
  <si>
    <r>
      <rPr>
        <sz val="10"/>
        <rFont val="FreeSans"/>
        <family val="2"/>
      </rPr>
      <t xml:space="preserve">رله ترمنیتور حفاظت موتور زیمنس </t>
    </r>
    <r>
      <rPr>
        <sz val="10"/>
        <rFont val="Vazirmatn"/>
        <family val="0"/>
        <charset val="1"/>
      </rPr>
      <t xml:space="preserve">3RN1010-1CMOO</t>
    </r>
  </si>
  <si>
    <t xml:space="preserve">5012485</t>
  </si>
  <si>
    <r>
      <rPr>
        <sz val="10"/>
        <rFont val="FreeSans"/>
        <family val="2"/>
      </rPr>
      <t xml:space="preserve">رله حفاظت ترمیستوری زیمنس </t>
    </r>
    <r>
      <rPr>
        <sz val="10"/>
        <rFont val="Vazirmatn"/>
        <family val="0"/>
        <charset val="1"/>
      </rPr>
      <t xml:space="preserve">3RN1010-1CM00</t>
    </r>
  </si>
  <si>
    <t xml:space="preserve">31214351</t>
  </si>
  <si>
    <r>
      <rPr>
        <sz val="10"/>
        <rFont val="FreeSans"/>
        <family val="2"/>
      </rPr>
      <t xml:space="preserve">رله </t>
    </r>
    <r>
      <rPr>
        <sz val="10"/>
        <rFont val="Vazirmatn"/>
        <family val="0"/>
        <charset val="1"/>
      </rPr>
      <t xml:space="preserve">Finder 24V PLC</t>
    </r>
  </si>
  <si>
    <t xml:space="preserve">4009547</t>
  </si>
  <si>
    <r>
      <rPr>
        <sz val="10"/>
        <rFont val="FreeSans"/>
        <family val="2"/>
      </rPr>
      <t xml:space="preserve">رله کتابی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پایه </t>
    </r>
    <r>
      <rPr>
        <sz val="10"/>
        <rFont val="Vazirmatn"/>
        <family val="0"/>
        <charset val="1"/>
      </rPr>
      <t xml:space="preserve">24v Finder</t>
    </r>
  </si>
  <si>
    <t xml:space="preserve">31214413</t>
  </si>
  <si>
    <r>
      <rPr>
        <sz val="10"/>
        <rFont val="FreeSans"/>
        <family val="2"/>
      </rPr>
      <t xml:space="preserve">کنتاکتور  </t>
    </r>
    <r>
      <rPr>
        <sz val="10"/>
        <rFont val="Vazirmatn"/>
        <family val="0"/>
        <charset val="1"/>
      </rPr>
      <t xml:space="preserve">37  </t>
    </r>
    <r>
      <rPr>
        <sz val="10"/>
        <rFont val="FreeSans"/>
        <family val="2"/>
      </rPr>
      <t xml:space="preserve">کیلو وات</t>
    </r>
  </si>
  <si>
    <t xml:space="preserve">4005682</t>
  </si>
  <si>
    <r>
      <rPr>
        <sz val="10"/>
        <rFont val="FreeSans"/>
        <family val="2"/>
      </rPr>
      <t xml:space="preserve">کنتاکتور اشنايدر </t>
    </r>
    <r>
      <rPr>
        <sz val="10"/>
        <rFont val="Vazirmatn"/>
        <family val="0"/>
        <charset val="1"/>
      </rPr>
      <t xml:space="preserve">37kw 220V D80</t>
    </r>
  </si>
  <si>
    <t xml:space="preserve">31214429</t>
  </si>
  <si>
    <r>
      <rPr>
        <sz val="10"/>
        <rFont val="FreeSans"/>
        <family val="2"/>
      </rPr>
      <t xml:space="preserve">کنتاکتور     </t>
    </r>
    <r>
      <rPr>
        <sz val="10"/>
        <rFont val="Vazirmatn"/>
        <family val="0"/>
        <charset val="1"/>
      </rPr>
      <t xml:space="preserve">30KW</t>
    </r>
  </si>
  <si>
    <t xml:space="preserve">4005678</t>
  </si>
  <si>
    <r>
      <rPr>
        <sz val="10"/>
        <rFont val="FreeSans"/>
        <family val="2"/>
      </rPr>
      <t xml:space="preserve">کنتاکتور اشنايدر </t>
    </r>
    <r>
      <rPr>
        <sz val="10"/>
        <rFont val="Vazirmatn"/>
        <family val="0"/>
        <charset val="1"/>
      </rPr>
      <t xml:space="preserve">30kw 220V D65</t>
    </r>
  </si>
  <si>
    <t xml:space="preserve">31214432</t>
  </si>
  <si>
    <r>
      <rPr>
        <sz val="10"/>
        <rFont val="FreeSans"/>
        <family val="2"/>
      </rPr>
      <t xml:space="preserve">کنتاکتور      </t>
    </r>
    <r>
      <rPr>
        <sz val="10"/>
        <rFont val="Vazirmatn"/>
        <family val="0"/>
        <charset val="1"/>
      </rPr>
      <t xml:space="preserve">22KW</t>
    </r>
  </si>
  <si>
    <t xml:space="preserve">31214441</t>
  </si>
  <si>
    <r>
      <rPr>
        <sz val="10"/>
        <rFont val="FreeSans"/>
        <family val="2"/>
      </rPr>
      <t xml:space="preserve">کنتاکتور زیمنس </t>
    </r>
    <r>
      <rPr>
        <sz val="10"/>
        <rFont val="Vazirmatn"/>
        <family val="0"/>
        <charset val="1"/>
      </rPr>
      <t xml:space="preserve">7/5KW</t>
    </r>
  </si>
  <si>
    <t xml:space="preserve">4005647</t>
  </si>
  <si>
    <r>
      <rPr>
        <sz val="10"/>
        <rFont val="FreeSans"/>
        <family val="2"/>
      </rPr>
      <t xml:space="preserve">کنتاکتور زيمنس </t>
    </r>
    <r>
      <rPr>
        <sz val="10"/>
        <rFont val="Vazirmatn"/>
        <family val="0"/>
        <charset val="1"/>
      </rPr>
      <t xml:space="preserve">7.5kw 220V 3TF42</t>
    </r>
  </si>
  <si>
    <t xml:space="preserve">31214444</t>
  </si>
  <si>
    <r>
      <rPr>
        <sz val="10"/>
        <rFont val="FreeSans"/>
        <family val="2"/>
      </rPr>
      <t xml:space="preserve">کنتاکتور اشنایدر </t>
    </r>
    <r>
      <rPr>
        <sz val="10"/>
        <rFont val="Vazirmatn"/>
        <family val="0"/>
        <charset val="1"/>
      </rPr>
      <t xml:space="preserve">LC1D25 - </t>
    </r>
    <r>
      <rPr>
        <sz val="10"/>
        <rFont val="FreeSans"/>
        <family val="2"/>
      </rPr>
      <t xml:space="preserve">بوبین </t>
    </r>
    <r>
      <rPr>
        <sz val="10"/>
        <rFont val="Vazirmatn"/>
        <family val="0"/>
        <charset val="1"/>
      </rPr>
      <t xml:space="preserve">24V - DC</t>
    </r>
  </si>
  <si>
    <t xml:space="preserve">4027336</t>
  </si>
  <si>
    <r>
      <rPr>
        <sz val="10"/>
        <rFont val="FreeSans"/>
        <family val="2"/>
      </rPr>
      <t xml:space="preserve">کنتاکتور </t>
    </r>
    <r>
      <rPr>
        <sz val="10"/>
        <rFont val="Vazirmatn"/>
        <family val="0"/>
        <charset val="1"/>
      </rPr>
      <t xml:space="preserve">LC1D25 - 24V</t>
    </r>
  </si>
  <si>
    <t xml:space="preserve">31214445</t>
  </si>
  <si>
    <r>
      <rPr>
        <sz val="10"/>
        <rFont val="FreeSans"/>
        <family val="2"/>
      </rPr>
      <t xml:space="preserve">کنتاکتور اشنایدر </t>
    </r>
    <r>
      <rPr>
        <sz val="10"/>
        <rFont val="Vazirmatn"/>
        <family val="0"/>
        <charset val="1"/>
      </rPr>
      <t xml:space="preserve">LC1D18 - </t>
    </r>
    <r>
      <rPr>
        <sz val="10"/>
        <rFont val="FreeSans"/>
        <family val="2"/>
      </rPr>
      <t xml:space="preserve">بوبین </t>
    </r>
    <r>
      <rPr>
        <sz val="10"/>
        <rFont val="Vazirmatn"/>
        <family val="0"/>
        <charset val="1"/>
      </rPr>
      <t xml:space="preserve">24V - DC</t>
    </r>
  </si>
  <si>
    <t xml:space="preserve">4027335</t>
  </si>
  <si>
    <r>
      <rPr>
        <sz val="10"/>
        <rFont val="FreeSans"/>
        <family val="2"/>
      </rPr>
      <t xml:space="preserve">کنتاکتور </t>
    </r>
    <r>
      <rPr>
        <sz val="10"/>
        <rFont val="Vazirmatn"/>
        <family val="0"/>
        <charset val="1"/>
      </rPr>
      <t xml:space="preserve">LC1D18 - 24V</t>
    </r>
  </si>
  <si>
    <t xml:space="preserve">31214452</t>
  </si>
  <si>
    <r>
      <rPr>
        <sz val="10"/>
        <rFont val="FreeSans"/>
        <family val="2"/>
      </rPr>
      <t xml:space="preserve">کنتاکتور خازنی </t>
    </r>
    <r>
      <rPr>
        <sz val="10"/>
        <rFont val="Vazirmatn"/>
        <family val="0"/>
        <charset val="1"/>
      </rPr>
      <t xml:space="preserve">95A</t>
    </r>
  </si>
  <si>
    <t xml:space="preserve">4013900</t>
  </si>
  <si>
    <r>
      <rPr>
        <sz val="10"/>
        <rFont val="FreeSans"/>
        <family val="2"/>
      </rPr>
      <t xml:space="preserve">کنتاکتور اشنايدر </t>
    </r>
    <r>
      <rPr>
        <sz val="10"/>
        <rFont val="Vazirmatn"/>
        <family val="0"/>
        <charset val="1"/>
      </rPr>
      <t xml:space="preserve">125A-220V-LC1D95</t>
    </r>
  </si>
  <si>
    <t xml:space="preserve">31214751</t>
  </si>
  <si>
    <r>
      <rPr>
        <sz val="10"/>
        <rFont val="FreeSans"/>
        <family val="2"/>
      </rPr>
      <t xml:space="preserve">کابل شبکه </t>
    </r>
    <r>
      <rPr>
        <sz val="10"/>
        <rFont val="Vazirmatn"/>
        <family val="0"/>
        <charset val="1"/>
      </rPr>
      <t xml:space="preserve">Cat 6 ( </t>
    </r>
    <r>
      <rPr>
        <sz val="10"/>
        <rFont val="FreeSans"/>
        <family val="2"/>
      </rPr>
      <t xml:space="preserve">لگراند </t>
    </r>
    <r>
      <rPr>
        <sz val="10"/>
        <rFont val="Vazirmatn"/>
        <family val="0"/>
        <charset val="1"/>
      </rPr>
      <t xml:space="preserve">SFTP )</t>
    </r>
  </si>
  <si>
    <t xml:space="preserve">31214772</t>
  </si>
  <si>
    <r>
      <rPr>
        <sz val="10"/>
        <rFont val="FreeSans"/>
        <family val="2"/>
      </rPr>
      <t xml:space="preserve">کابل ارت  </t>
    </r>
    <r>
      <rPr>
        <sz val="10"/>
        <rFont val="Vazirmatn"/>
        <family val="0"/>
        <charset val="1"/>
      </rPr>
      <t xml:space="preserve">35</t>
    </r>
  </si>
  <si>
    <t xml:space="preserve">4006791</t>
  </si>
  <si>
    <r>
      <rPr>
        <sz val="10"/>
        <rFont val="FreeSans"/>
        <family val="2"/>
      </rPr>
      <t xml:space="preserve">کابل ارتينگ </t>
    </r>
    <r>
      <rPr>
        <sz val="10"/>
        <rFont val="Vazirmatn"/>
        <family val="0"/>
        <charset val="1"/>
      </rPr>
      <t xml:space="preserve">35</t>
    </r>
  </si>
  <si>
    <t xml:space="preserve">31214777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</si>
  <si>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VGA  15m</t>
    </r>
  </si>
  <si>
    <t xml:space="preserve">31214782</t>
  </si>
  <si>
    <r>
      <rPr>
        <sz val="10"/>
        <rFont val="FreeSans"/>
        <family val="2"/>
      </rPr>
      <t xml:space="preserve">کابل افزایش طول </t>
    </r>
    <r>
      <rPr>
        <sz val="10"/>
        <rFont val="Vazirmatn"/>
        <family val="0"/>
        <charset val="1"/>
      </rPr>
      <t xml:space="preserve">USB3 (  5 </t>
    </r>
    <r>
      <rPr>
        <sz val="10"/>
        <rFont val="FreeSans"/>
        <family val="2"/>
      </rPr>
      <t xml:space="preserve">متری  </t>
    </r>
    <r>
      <rPr>
        <sz val="10"/>
        <rFont val="Vazirmatn"/>
        <family val="0"/>
        <charset val="1"/>
      </rPr>
      <t xml:space="preserve">)</t>
    </r>
  </si>
  <si>
    <t xml:space="preserve">5014161</t>
  </si>
  <si>
    <r>
      <rPr>
        <sz val="10"/>
        <rFont val="FreeSans"/>
        <family val="2"/>
      </rPr>
      <t xml:space="preserve">کابل افزایش طول صدا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متری</t>
    </r>
  </si>
  <si>
    <t xml:space="preserve">31214796</t>
  </si>
  <si>
    <r>
      <rPr>
        <sz val="10"/>
        <rFont val="FreeSans"/>
        <family val="2"/>
      </rPr>
      <t xml:space="preserve">کابل ارت   </t>
    </r>
    <r>
      <rPr>
        <sz val="10"/>
        <rFont val="Vazirmatn"/>
        <family val="0"/>
        <charset val="1"/>
      </rPr>
      <t xml:space="preserve">70 * 1</t>
    </r>
  </si>
  <si>
    <t xml:space="preserve">4019505</t>
  </si>
  <si>
    <r>
      <rPr>
        <sz val="10"/>
        <rFont val="FreeSans"/>
        <family val="2"/>
      </rPr>
      <t xml:space="preserve">کابل ارتینگ </t>
    </r>
    <r>
      <rPr>
        <sz val="10"/>
        <rFont val="Vazirmatn"/>
        <family val="0"/>
        <charset val="1"/>
      </rPr>
      <t xml:space="preserve">70</t>
    </r>
  </si>
  <si>
    <t xml:space="preserve">31214841</t>
  </si>
  <si>
    <r>
      <rPr>
        <sz val="10"/>
        <rFont val="FreeSans"/>
        <family val="2"/>
      </rPr>
      <t xml:space="preserve">سیم نسوز   </t>
    </r>
    <r>
      <rPr>
        <sz val="10"/>
        <rFont val="Vazirmatn"/>
        <family val="0"/>
        <charset val="1"/>
      </rPr>
      <t xml:space="preserve">2/5MM</t>
    </r>
  </si>
  <si>
    <t xml:space="preserve">4006013</t>
  </si>
  <si>
    <r>
      <rPr>
        <sz val="10"/>
        <rFont val="FreeSans"/>
        <family val="2"/>
      </rPr>
      <t xml:space="preserve">سيم افشان نسوز </t>
    </r>
    <r>
      <rPr>
        <sz val="10"/>
        <rFont val="Vazirmatn"/>
        <family val="0"/>
        <charset val="1"/>
      </rPr>
      <t xml:space="preserve">2.5*1</t>
    </r>
  </si>
  <si>
    <t xml:space="preserve">31214850</t>
  </si>
  <si>
    <t xml:space="preserve">کابل برق پاور کامپیوتر</t>
  </si>
  <si>
    <t xml:space="preserve">5011179</t>
  </si>
  <si>
    <t xml:space="preserve">کابل پاور کامپیوتر</t>
  </si>
  <si>
    <t xml:space="preserve">31214851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</si>
  <si>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15 </t>
    </r>
    <r>
      <rPr>
        <sz val="10"/>
        <rFont val="FreeSans"/>
        <family val="2"/>
      </rPr>
      <t xml:space="preserve">متری  </t>
    </r>
    <r>
      <rPr>
        <sz val="10"/>
        <rFont val="Vazirmatn"/>
        <family val="0"/>
        <charset val="1"/>
      </rPr>
      <t xml:space="preserve">HDMI</t>
    </r>
  </si>
  <si>
    <t xml:space="preserve">5011180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</si>
  <si>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1/5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HDMI</t>
    </r>
  </si>
  <si>
    <t xml:space="preserve">31214856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</si>
  <si>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VGA  3m</t>
    </r>
  </si>
  <si>
    <t xml:space="preserve">31214857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</si>
  <si>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VGA  5m</t>
    </r>
  </si>
  <si>
    <t xml:space="preserve">31214858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</si>
  <si>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VGA  8m</t>
    </r>
  </si>
  <si>
    <t xml:space="preserve">31214859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</si>
  <si>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VGA  10m</t>
    </r>
  </si>
  <si>
    <t xml:space="preserve">31214860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</si>
  <si>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VGA  20m</t>
    </r>
  </si>
  <si>
    <t xml:space="preserve">31214861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</si>
  <si>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HDMI  20m</t>
    </r>
  </si>
  <si>
    <t xml:space="preserve">4020992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</si>
  <si>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20HDMI  </t>
    </r>
    <r>
      <rPr>
        <sz val="10"/>
        <rFont val="FreeSans"/>
        <family val="2"/>
      </rPr>
      <t xml:space="preserve">متری</t>
    </r>
  </si>
  <si>
    <t xml:space="preserve">31214862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</si>
  <si>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HDMI  3m</t>
    </r>
  </si>
  <si>
    <t xml:space="preserve">5007753</t>
  </si>
  <si>
    <r>
      <rPr>
        <sz val="10"/>
        <rFont val="FreeSans"/>
        <family val="2"/>
      </rPr>
      <t xml:space="preserve">کابل  </t>
    </r>
    <r>
      <rPr>
        <sz val="10"/>
        <rFont val="Vazirmatn"/>
        <family val="0"/>
        <charset val="1"/>
      </rPr>
      <t xml:space="preserve">HDMI  </t>
    </r>
    <r>
      <rPr>
        <sz val="10"/>
        <rFont val="FreeSans"/>
        <family val="2"/>
      </rPr>
      <t xml:space="preserve">سه متری</t>
    </r>
  </si>
  <si>
    <t xml:space="preserve">31214863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</si>
  <si>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HDMI  5m</t>
    </r>
  </si>
  <si>
    <t xml:space="preserve">5011181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</si>
  <si>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HDMI</t>
    </r>
  </si>
  <si>
    <t xml:space="preserve">31214865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</si>
  <si>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HDMI  10m</t>
    </r>
  </si>
  <si>
    <t xml:space="preserve">5011182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</si>
  <si>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HDMI</t>
    </r>
  </si>
  <si>
    <t xml:space="preserve">31214866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</si>
  <si>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VGA  1/5m</t>
    </r>
  </si>
  <si>
    <t xml:space="preserve">31214877</t>
  </si>
  <si>
    <r>
      <rPr>
        <sz val="10"/>
        <rFont val="FreeSans"/>
        <family val="2"/>
      </rPr>
      <t xml:space="preserve">کابل شیلدار    </t>
    </r>
    <r>
      <rPr>
        <sz val="10"/>
        <rFont val="Vazirmatn"/>
        <family val="0"/>
        <charset val="1"/>
      </rPr>
      <t xml:space="preserve">1*4</t>
    </r>
  </si>
  <si>
    <t xml:space="preserve">4015021</t>
  </si>
  <si>
    <r>
      <rPr>
        <sz val="10"/>
        <rFont val="FreeSans"/>
        <family val="2"/>
      </rPr>
      <t xml:space="preserve">کابل افشان </t>
    </r>
    <r>
      <rPr>
        <sz val="10"/>
        <rFont val="Vazirmatn"/>
        <family val="0"/>
        <charset val="1"/>
      </rPr>
      <t xml:space="preserve">1*4 </t>
    </r>
    <r>
      <rPr>
        <sz val="10"/>
        <rFont val="FreeSans"/>
        <family val="2"/>
      </rPr>
      <t xml:space="preserve">شیلدار</t>
    </r>
  </si>
  <si>
    <t xml:space="preserve">31214925</t>
  </si>
  <si>
    <r>
      <rPr>
        <sz val="10"/>
        <rFont val="FreeSans"/>
        <family val="2"/>
      </rPr>
      <t xml:space="preserve">کابل  </t>
    </r>
    <r>
      <rPr>
        <sz val="10"/>
        <rFont val="Vazirmatn"/>
        <family val="0"/>
        <charset val="1"/>
      </rPr>
      <t xml:space="preserve">16 * 1 + 35 * 3</t>
    </r>
  </si>
  <si>
    <t xml:space="preserve">4008563</t>
  </si>
  <si>
    <r>
      <rPr>
        <sz val="10"/>
        <rFont val="FreeSans"/>
        <family val="2"/>
      </rPr>
      <t xml:space="preserve">کابل مفتولي </t>
    </r>
    <r>
      <rPr>
        <sz val="10"/>
        <rFont val="Vazirmatn"/>
        <family val="0"/>
        <charset val="1"/>
      </rPr>
      <t xml:space="preserve">16+35*3</t>
    </r>
  </si>
  <si>
    <t xml:space="preserve">31214948</t>
  </si>
  <si>
    <r>
      <rPr>
        <sz val="10"/>
        <rFont val="FreeSans"/>
        <family val="2"/>
      </rPr>
      <t xml:space="preserve">کابل پچ کورد فیبر نوری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متری</t>
    </r>
  </si>
  <si>
    <t xml:space="preserve">5011260</t>
  </si>
  <si>
    <r>
      <rPr>
        <sz val="10"/>
        <rFont val="FreeSans"/>
        <family val="2"/>
      </rPr>
      <t xml:space="preserve">کابل پچ کرد فیبر نوری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متری</t>
    </r>
  </si>
  <si>
    <t xml:space="preserve">31214976</t>
  </si>
  <si>
    <r>
      <rPr>
        <sz val="10"/>
        <rFont val="FreeSans"/>
        <family val="2"/>
      </rPr>
      <t xml:space="preserve">کابل شیلددار      </t>
    </r>
    <r>
      <rPr>
        <sz val="10"/>
        <rFont val="Vazirmatn"/>
        <family val="0"/>
        <charset val="1"/>
      </rPr>
      <t xml:space="preserve">1 * 2</t>
    </r>
  </si>
  <si>
    <t xml:space="preserve">31214996</t>
  </si>
  <si>
    <r>
      <rPr>
        <sz val="10"/>
        <rFont val="FreeSans"/>
        <family val="2"/>
      </rPr>
      <t xml:space="preserve">کابل ارت نمره </t>
    </r>
    <r>
      <rPr>
        <sz val="10"/>
        <rFont val="Vazirmatn"/>
        <family val="0"/>
        <charset val="1"/>
      </rPr>
      <t xml:space="preserve">50</t>
    </r>
  </si>
  <si>
    <t xml:space="preserve">4000635</t>
  </si>
  <si>
    <r>
      <rPr>
        <sz val="10"/>
        <rFont val="FreeSans"/>
        <family val="2"/>
      </rPr>
      <t xml:space="preserve">کابل ارت </t>
    </r>
    <r>
      <rPr>
        <sz val="10"/>
        <rFont val="Vazirmatn"/>
        <family val="0"/>
        <charset val="1"/>
      </rPr>
      <t xml:space="preserve">50*1 </t>
    </r>
    <r>
      <rPr>
        <sz val="10"/>
        <rFont val="FreeSans"/>
        <family val="2"/>
      </rPr>
      <t xml:space="preserve">نیمه افشان</t>
    </r>
  </si>
  <si>
    <t xml:space="preserve">31215109</t>
  </si>
  <si>
    <r>
      <rPr>
        <sz val="10"/>
        <rFont val="FreeSans"/>
        <family val="2"/>
      </rPr>
      <t xml:space="preserve">گلند پلاستیکی     </t>
    </r>
    <r>
      <rPr>
        <sz val="10"/>
        <rFont val="Vazirmatn"/>
        <family val="0"/>
        <charset val="1"/>
      </rPr>
      <t xml:space="preserve">16</t>
    </r>
  </si>
  <si>
    <t xml:space="preserve">5005763</t>
  </si>
  <si>
    <r>
      <rPr>
        <sz val="10"/>
        <rFont val="FreeSans"/>
        <family val="2"/>
      </rPr>
      <t xml:space="preserve">گلند پلاستيکي </t>
    </r>
    <r>
      <rPr>
        <sz val="10"/>
        <rFont val="Vazirmatn"/>
        <family val="0"/>
        <charset val="1"/>
      </rPr>
      <t xml:space="preserve">1.5*16</t>
    </r>
  </si>
  <si>
    <t xml:space="preserve">31215131</t>
  </si>
  <si>
    <r>
      <rPr>
        <sz val="10"/>
        <rFont val="FreeSans"/>
        <family val="2"/>
      </rPr>
      <t xml:space="preserve">گلند پلاستیکی        نمره         </t>
    </r>
    <r>
      <rPr>
        <sz val="10"/>
        <rFont val="Vazirmatn"/>
        <family val="0"/>
        <charset val="1"/>
      </rPr>
      <t xml:space="preserve">63</t>
    </r>
  </si>
  <si>
    <t xml:space="preserve">5007720</t>
  </si>
  <si>
    <r>
      <rPr>
        <sz val="10"/>
        <rFont val="FreeSans"/>
        <family val="2"/>
      </rPr>
      <t xml:space="preserve">گلند پلاستیکی </t>
    </r>
    <r>
      <rPr>
        <sz val="10"/>
        <rFont val="Vazirmatn"/>
        <family val="0"/>
        <charset val="1"/>
      </rPr>
      <t xml:space="preserve">M63</t>
    </r>
  </si>
  <si>
    <t xml:space="preserve">31215200</t>
  </si>
  <si>
    <r>
      <rPr>
        <sz val="10"/>
        <rFont val="FreeSans"/>
        <family val="2"/>
      </rPr>
      <t xml:space="preserve">کابلشو                   </t>
    </r>
    <r>
      <rPr>
        <sz val="10"/>
        <rFont val="Vazirmatn"/>
        <family val="0"/>
        <charset val="1"/>
      </rPr>
      <t xml:space="preserve">2/5</t>
    </r>
  </si>
  <si>
    <t xml:space="preserve">4026590</t>
  </si>
  <si>
    <r>
      <rPr>
        <sz val="10"/>
        <rFont val="FreeSans"/>
        <family val="2"/>
      </rPr>
      <t xml:space="preserve">کابلشو </t>
    </r>
    <r>
      <rPr>
        <sz val="10"/>
        <rFont val="Vazirmatn"/>
        <family val="0"/>
        <charset val="1"/>
      </rPr>
      <t xml:space="preserve">2/5 </t>
    </r>
    <r>
      <rPr>
        <sz val="10"/>
        <rFont val="FreeSans"/>
        <family val="2"/>
      </rPr>
      <t xml:space="preserve">سوراخ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میلیمتر</t>
    </r>
  </si>
  <si>
    <t xml:space="preserve">31215207</t>
  </si>
  <si>
    <r>
      <rPr>
        <sz val="10"/>
        <rFont val="FreeSans"/>
        <family val="2"/>
      </rPr>
      <t xml:space="preserve">کابلشو      نمره        </t>
    </r>
    <r>
      <rPr>
        <sz val="10"/>
        <rFont val="Vazirmatn"/>
        <family val="0"/>
        <charset val="1"/>
      </rPr>
      <t xml:space="preserve">10</t>
    </r>
  </si>
  <si>
    <t xml:space="preserve">4026602</t>
  </si>
  <si>
    <r>
      <rPr>
        <sz val="10"/>
        <rFont val="FreeSans"/>
        <family val="2"/>
      </rPr>
      <t xml:space="preserve">کابلشو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سوراخ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میلیمتر</t>
    </r>
  </si>
  <si>
    <t xml:space="preserve">31215209</t>
  </si>
  <si>
    <r>
      <rPr>
        <sz val="10"/>
        <rFont val="FreeSans"/>
        <family val="2"/>
      </rPr>
      <t xml:space="preserve">کابلشو      نمره        </t>
    </r>
    <r>
      <rPr>
        <sz val="10"/>
        <rFont val="Vazirmatn"/>
        <family val="0"/>
        <charset val="1"/>
      </rPr>
      <t xml:space="preserve">16</t>
    </r>
  </si>
  <si>
    <t xml:space="preserve">4026571</t>
  </si>
  <si>
    <r>
      <rPr>
        <sz val="10"/>
        <rFont val="FreeSans"/>
        <family val="2"/>
      </rPr>
      <t xml:space="preserve">کابلشو </t>
    </r>
    <r>
      <rPr>
        <sz val="10"/>
        <rFont val="Vazirmatn"/>
        <family val="0"/>
        <charset val="1"/>
      </rPr>
      <t xml:space="preserve">16 </t>
    </r>
    <r>
      <rPr>
        <sz val="10"/>
        <rFont val="FreeSans"/>
        <family val="2"/>
      </rPr>
      <t xml:space="preserve">سوراخ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میلیمتر</t>
    </r>
  </si>
  <si>
    <t xml:space="preserve">31215211</t>
  </si>
  <si>
    <r>
      <rPr>
        <sz val="10"/>
        <rFont val="FreeSans"/>
        <family val="2"/>
      </rPr>
      <t xml:space="preserve">کابلشو      نمره       </t>
    </r>
    <r>
      <rPr>
        <sz val="10"/>
        <rFont val="Vazirmatn"/>
        <family val="0"/>
        <charset val="1"/>
      </rPr>
      <t xml:space="preserve">35</t>
    </r>
  </si>
  <si>
    <t xml:space="preserve">4000673</t>
  </si>
  <si>
    <r>
      <rPr>
        <sz val="10"/>
        <rFont val="FreeSans"/>
        <family val="2"/>
      </rPr>
      <t xml:space="preserve">کابلشو </t>
    </r>
    <r>
      <rPr>
        <sz val="10"/>
        <rFont val="Vazirmatn"/>
        <family val="0"/>
        <charset val="1"/>
      </rPr>
      <t xml:space="preserve">12*35 </t>
    </r>
    <r>
      <rPr>
        <sz val="10"/>
        <rFont val="FreeSans"/>
        <family val="2"/>
      </rPr>
      <t xml:space="preserve">مسي</t>
    </r>
  </si>
  <si>
    <t xml:space="preserve">31215215</t>
  </si>
  <si>
    <r>
      <rPr>
        <sz val="10"/>
        <rFont val="FreeSans"/>
        <family val="2"/>
      </rPr>
      <t xml:space="preserve">کابلشو      نمره     </t>
    </r>
    <r>
      <rPr>
        <sz val="10"/>
        <rFont val="Vazirmatn"/>
        <family val="0"/>
        <charset val="1"/>
      </rPr>
      <t xml:space="preserve">150</t>
    </r>
  </si>
  <si>
    <t xml:space="preserve">4026595</t>
  </si>
  <si>
    <r>
      <rPr>
        <sz val="10"/>
        <rFont val="FreeSans"/>
        <family val="2"/>
      </rPr>
      <t xml:space="preserve">کابلشو </t>
    </r>
    <r>
      <rPr>
        <sz val="10"/>
        <rFont val="Vazirmatn"/>
        <family val="0"/>
        <charset val="1"/>
      </rPr>
      <t xml:space="preserve">150 </t>
    </r>
    <r>
      <rPr>
        <sz val="10"/>
        <rFont val="FreeSans"/>
        <family val="2"/>
      </rPr>
      <t xml:space="preserve">سوراخ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میلیمتر</t>
    </r>
  </si>
  <si>
    <t xml:space="preserve">31215217</t>
  </si>
  <si>
    <r>
      <rPr>
        <sz val="10"/>
        <rFont val="FreeSans"/>
        <family val="2"/>
      </rPr>
      <t xml:space="preserve">کابلشو      نمره      </t>
    </r>
    <r>
      <rPr>
        <sz val="10"/>
        <rFont val="Vazirmatn"/>
        <family val="0"/>
        <charset val="1"/>
      </rPr>
      <t xml:space="preserve">70</t>
    </r>
  </si>
  <si>
    <t xml:space="preserve">5012902</t>
  </si>
  <si>
    <r>
      <rPr>
        <sz val="10"/>
        <rFont val="FreeSans"/>
        <family val="2"/>
      </rPr>
      <t xml:space="preserve">کابلشو </t>
    </r>
    <r>
      <rPr>
        <sz val="10"/>
        <rFont val="Vazirmatn"/>
        <family val="0"/>
        <charset val="1"/>
      </rPr>
      <t xml:space="preserve">70 </t>
    </r>
    <r>
      <rPr>
        <sz val="10"/>
        <rFont val="FreeSans"/>
        <family val="2"/>
      </rPr>
      <t xml:space="preserve">سوراخ </t>
    </r>
    <r>
      <rPr>
        <sz val="10"/>
        <rFont val="Vazirmatn"/>
        <family val="0"/>
        <charset val="1"/>
      </rPr>
      <t xml:space="preserve">16 </t>
    </r>
    <r>
      <rPr>
        <sz val="10"/>
        <rFont val="FreeSans"/>
        <family val="2"/>
      </rPr>
      <t xml:space="preserve">میلیمتر</t>
    </r>
  </si>
  <si>
    <t xml:space="preserve">31215225</t>
  </si>
  <si>
    <r>
      <rPr>
        <sz val="10"/>
        <rFont val="FreeSans"/>
        <family val="2"/>
      </rPr>
      <t xml:space="preserve">کابلشو      نمره      </t>
    </r>
    <r>
      <rPr>
        <sz val="10"/>
        <rFont val="Vazirmatn"/>
        <family val="0"/>
        <charset val="1"/>
      </rPr>
      <t xml:space="preserve">50</t>
    </r>
  </si>
  <si>
    <t xml:space="preserve">4026570</t>
  </si>
  <si>
    <r>
      <rPr>
        <sz val="10"/>
        <rFont val="FreeSans"/>
        <family val="2"/>
      </rPr>
      <t xml:space="preserve">کابلشو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سوراخ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میلیمتر</t>
    </r>
  </si>
  <si>
    <t xml:space="preserve">31215229</t>
  </si>
  <si>
    <r>
      <rPr>
        <sz val="10"/>
        <rFont val="FreeSans"/>
        <family val="2"/>
      </rPr>
      <t xml:space="preserve">کابلشو      نمره     </t>
    </r>
    <r>
      <rPr>
        <sz val="10"/>
        <rFont val="Vazirmatn"/>
        <family val="0"/>
        <charset val="1"/>
      </rPr>
      <t xml:space="preserve">120</t>
    </r>
  </si>
  <si>
    <t xml:space="preserve">4026589</t>
  </si>
  <si>
    <r>
      <rPr>
        <sz val="10"/>
        <rFont val="FreeSans"/>
        <family val="2"/>
      </rPr>
      <t xml:space="preserve">کابلشو </t>
    </r>
    <r>
      <rPr>
        <sz val="10"/>
        <rFont val="Vazirmatn"/>
        <family val="0"/>
        <charset val="1"/>
      </rPr>
      <t xml:space="preserve">120 </t>
    </r>
    <r>
      <rPr>
        <sz val="10"/>
        <rFont val="FreeSans"/>
        <family val="2"/>
      </rPr>
      <t xml:space="preserve">سوراخ </t>
    </r>
    <r>
      <rPr>
        <sz val="10"/>
        <rFont val="Vazirmatn"/>
        <family val="0"/>
        <charset val="1"/>
      </rPr>
      <t xml:space="preserve">14</t>
    </r>
  </si>
  <si>
    <t xml:space="preserve">31215231</t>
  </si>
  <si>
    <r>
      <rPr>
        <sz val="10"/>
        <rFont val="FreeSans"/>
        <family val="2"/>
      </rPr>
      <t xml:space="preserve">کابلشو      نمره     </t>
    </r>
    <r>
      <rPr>
        <sz val="10"/>
        <rFont val="Vazirmatn"/>
        <family val="0"/>
        <charset val="1"/>
      </rPr>
      <t xml:space="preserve">185</t>
    </r>
  </si>
  <si>
    <t xml:space="preserve">4026586</t>
  </si>
  <si>
    <r>
      <rPr>
        <sz val="10"/>
        <rFont val="FreeSans"/>
        <family val="2"/>
      </rPr>
      <t xml:space="preserve">کابلشو </t>
    </r>
    <r>
      <rPr>
        <sz val="10"/>
        <rFont val="Vazirmatn"/>
        <family val="0"/>
        <charset val="1"/>
      </rPr>
      <t xml:space="preserve">185 </t>
    </r>
    <r>
      <rPr>
        <sz val="10"/>
        <rFont val="FreeSans"/>
        <family val="2"/>
      </rPr>
      <t xml:space="preserve">سوراخ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میلیمتر</t>
    </r>
  </si>
  <si>
    <t xml:space="preserve">31215233</t>
  </si>
  <si>
    <r>
      <rPr>
        <sz val="10"/>
        <rFont val="FreeSans"/>
        <family val="2"/>
      </rPr>
      <t xml:space="preserve">کابلشو     نمره      </t>
    </r>
    <r>
      <rPr>
        <sz val="10"/>
        <rFont val="Vazirmatn"/>
        <family val="0"/>
        <charset val="1"/>
      </rPr>
      <t xml:space="preserve">240</t>
    </r>
  </si>
  <si>
    <t xml:space="preserve">4026592</t>
  </si>
  <si>
    <r>
      <rPr>
        <sz val="10"/>
        <rFont val="FreeSans"/>
        <family val="2"/>
      </rPr>
      <t xml:space="preserve">کابلشو </t>
    </r>
    <r>
      <rPr>
        <sz val="10"/>
        <rFont val="Vazirmatn"/>
        <family val="0"/>
        <charset val="1"/>
      </rPr>
      <t xml:space="preserve">240 </t>
    </r>
    <r>
      <rPr>
        <sz val="10"/>
        <rFont val="FreeSans"/>
        <family val="2"/>
      </rPr>
      <t xml:space="preserve">سوراخ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میلیمتر</t>
    </r>
  </si>
  <si>
    <t xml:space="preserve">31215261</t>
  </si>
  <si>
    <r>
      <rPr>
        <sz val="10"/>
        <rFont val="FreeSans"/>
        <family val="2"/>
      </rPr>
      <t xml:space="preserve">کابلشو بی متال    </t>
    </r>
    <r>
      <rPr>
        <sz val="10"/>
        <rFont val="Vazirmatn"/>
        <family val="0"/>
        <charset val="1"/>
      </rPr>
      <t xml:space="preserve">300mm</t>
    </r>
  </si>
  <si>
    <t xml:space="preserve">4035009</t>
  </si>
  <si>
    <r>
      <rPr>
        <sz val="10"/>
        <rFont val="FreeSans"/>
        <family val="2"/>
      </rPr>
      <t xml:space="preserve">کابلشو بی متال</t>
    </r>
    <r>
      <rPr>
        <sz val="10"/>
        <rFont val="Vazirmatn"/>
        <family val="0"/>
        <charset val="1"/>
      </rPr>
      <t xml:space="preserve">DTL 12*300D</t>
    </r>
  </si>
  <si>
    <t xml:space="preserve">31215262</t>
  </si>
  <si>
    <r>
      <rPr>
        <sz val="10"/>
        <rFont val="FreeSans"/>
        <family val="2"/>
      </rPr>
      <t xml:space="preserve">کابلشو مسی </t>
    </r>
    <r>
      <rPr>
        <sz val="10"/>
        <rFont val="Vazirmatn"/>
        <family val="0"/>
        <charset val="1"/>
      </rPr>
      <t xml:space="preserve">240</t>
    </r>
  </si>
  <si>
    <t xml:space="preserve">4005199</t>
  </si>
  <si>
    <r>
      <rPr>
        <sz val="10"/>
        <rFont val="FreeSans"/>
        <family val="2"/>
      </rPr>
      <t xml:space="preserve">کابلشو مسي قلع اندود </t>
    </r>
    <r>
      <rPr>
        <sz val="10"/>
        <rFont val="Vazirmatn"/>
        <family val="0"/>
        <charset val="1"/>
      </rPr>
      <t xml:space="preserve">KL240-16</t>
    </r>
  </si>
  <si>
    <t xml:space="preserve">31215263</t>
  </si>
  <si>
    <r>
      <rPr>
        <sz val="10"/>
        <rFont val="FreeSans"/>
        <family val="2"/>
      </rPr>
      <t xml:space="preserve">کابلشو بی متال    </t>
    </r>
    <r>
      <rPr>
        <sz val="10"/>
        <rFont val="Vazirmatn"/>
        <family val="0"/>
        <charset val="1"/>
      </rPr>
      <t xml:space="preserve">120mm</t>
    </r>
  </si>
  <si>
    <t xml:space="preserve">4026593</t>
  </si>
  <si>
    <r>
      <rPr>
        <sz val="10"/>
        <rFont val="FreeSans"/>
        <family val="2"/>
      </rPr>
      <t xml:space="preserve">کابلشو بی متال </t>
    </r>
    <r>
      <rPr>
        <sz val="10"/>
        <rFont val="Vazirmatn"/>
        <family val="0"/>
        <charset val="1"/>
      </rPr>
      <t xml:space="preserve">120</t>
    </r>
  </si>
  <si>
    <t xml:space="preserve">31215264</t>
  </si>
  <si>
    <r>
      <rPr>
        <sz val="10"/>
        <rFont val="FreeSans"/>
        <family val="2"/>
      </rPr>
      <t xml:space="preserve">کابلشو بی متال    </t>
    </r>
    <r>
      <rPr>
        <sz val="10"/>
        <rFont val="Vazirmatn"/>
        <family val="0"/>
        <charset val="1"/>
      </rPr>
      <t xml:space="preserve">70mm</t>
    </r>
  </si>
  <si>
    <t xml:space="preserve">4026588</t>
  </si>
  <si>
    <r>
      <rPr>
        <sz val="10"/>
        <rFont val="FreeSans"/>
        <family val="2"/>
      </rPr>
      <t xml:space="preserve">کابلشو بی متال </t>
    </r>
    <r>
      <rPr>
        <sz val="10"/>
        <rFont val="Vazirmatn"/>
        <family val="0"/>
        <charset val="1"/>
      </rPr>
      <t xml:space="preserve">70</t>
    </r>
  </si>
  <si>
    <t xml:space="preserve">31215265</t>
  </si>
  <si>
    <r>
      <rPr>
        <sz val="10"/>
        <rFont val="FreeSans"/>
        <family val="2"/>
      </rPr>
      <t xml:space="preserve">کابلشو فول بی متال </t>
    </r>
    <r>
      <rPr>
        <sz val="10"/>
        <rFont val="Vazirmatn"/>
        <family val="0"/>
        <charset val="1"/>
      </rPr>
      <t xml:space="preserve">300</t>
    </r>
  </si>
  <si>
    <t xml:space="preserve">31215267</t>
  </si>
  <si>
    <r>
      <rPr>
        <sz val="10"/>
        <rFont val="FreeSans"/>
        <family val="2"/>
      </rPr>
      <t xml:space="preserve">کابلشو فول بی متال </t>
    </r>
    <r>
      <rPr>
        <sz val="10"/>
        <rFont val="Vazirmatn"/>
        <family val="0"/>
        <charset val="1"/>
      </rPr>
      <t xml:space="preserve">185</t>
    </r>
  </si>
  <si>
    <t xml:space="preserve">4026598</t>
  </si>
  <si>
    <r>
      <rPr>
        <sz val="10"/>
        <rFont val="FreeSans"/>
        <family val="2"/>
      </rPr>
      <t xml:space="preserve">کابلشو بی متال </t>
    </r>
    <r>
      <rPr>
        <sz val="10"/>
        <rFont val="Vazirmatn"/>
        <family val="0"/>
        <charset val="1"/>
      </rPr>
      <t xml:space="preserve">12*185</t>
    </r>
  </si>
  <si>
    <t xml:space="preserve">31215268</t>
  </si>
  <si>
    <r>
      <rPr>
        <sz val="10"/>
        <rFont val="FreeSans"/>
        <family val="2"/>
      </rPr>
      <t xml:space="preserve">کابلشو فول بی متال </t>
    </r>
    <r>
      <rPr>
        <sz val="10"/>
        <rFont val="Vazirmatn"/>
        <family val="0"/>
        <charset val="1"/>
      </rPr>
      <t xml:space="preserve">120</t>
    </r>
  </si>
  <si>
    <t xml:space="preserve">31215269</t>
  </si>
  <si>
    <r>
      <rPr>
        <sz val="10"/>
        <rFont val="FreeSans"/>
        <family val="2"/>
      </rPr>
      <t xml:space="preserve">کابلشو فول بی متال </t>
    </r>
    <r>
      <rPr>
        <sz val="10"/>
        <rFont val="Vazirmatn"/>
        <family val="0"/>
        <charset val="1"/>
      </rPr>
      <t xml:space="preserve">70</t>
    </r>
  </si>
  <si>
    <t xml:space="preserve">31215270</t>
  </si>
  <si>
    <r>
      <rPr>
        <sz val="10"/>
        <rFont val="FreeSans"/>
        <family val="2"/>
      </rPr>
      <t xml:space="preserve">کابلشو مسی </t>
    </r>
    <r>
      <rPr>
        <sz val="10"/>
        <rFont val="Vazirmatn"/>
        <family val="0"/>
        <charset val="1"/>
      </rPr>
      <t xml:space="preserve">10mm )  185 )</t>
    </r>
  </si>
  <si>
    <t xml:space="preserve">31215273</t>
  </si>
  <si>
    <r>
      <rPr>
        <sz val="10"/>
        <rFont val="FreeSans"/>
        <family val="2"/>
      </rPr>
      <t xml:space="preserve">کابلشو بی متال </t>
    </r>
    <r>
      <rPr>
        <sz val="10"/>
        <rFont val="Vazirmatn"/>
        <family val="0"/>
        <charset val="1"/>
      </rPr>
      <t xml:space="preserve">185mm ( </t>
    </r>
    <r>
      <rPr>
        <sz val="10"/>
        <rFont val="FreeSans"/>
        <family val="2"/>
      </rPr>
      <t xml:space="preserve">کلاته </t>
    </r>
    <r>
      <rPr>
        <sz val="10"/>
        <rFont val="Vazirmatn"/>
        <family val="0"/>
        <charset val="1"/>
      </rPr>
      <t xml:space="preserve">)</t>
    </r>
  </si>
  <si>
    <t xml:space="preserve">31215307</t>
  </si>
  <si>
    <r>
      <rPr>
        <sz val="10"/>
        <rFont val="FreeSans"/>
        <family val="2"/>
      </rPr>
      <t xml:space="preserve">سینی برق گالوانیزه </t>
    </r>
    <r>
      <rPr>
        <sz val="10"/>
        <rFont val="Vazirmatn"/>
        <family val="0"/>
        <charset val="1"/>
      </rPr>
      <t xml:space="preserve">20cm</t>
    </r>
  </si>
  <si>
    <t xml:space="preserve">31215328</t>
  </si>
  <si>
    <r>
      <rPr>
        <sz val="10"/>
        <rFont val="FreeSans"/>
        <family val="2"/>
      </rPr>
      <t xml:space="preserve">داکت طوسی شیاردار  </t>
    </r>
    <r>
      <rPr>
        <sz val="10"/>
        <rFont val="Vazirmatn"/>
        <family val="0"/>
        <charset val="1"/>
      </rPr>
      <t xml:space="preserve">60*60</t>
    </r>
  </si>
  <si>
    <t xml:space="preserve">4019923</t>
  </si>
  <si>
    <r>
      <rPr>
        <sz val="10"/>
        <rFont val="FreeSans"/>
        <family val="2"/>
      </rPr>
      <t xml:space="preserve">داکت پلاستیکی شیاردار</t>
    </r>
    <r>
      <rPr>
        <sz val="10"/>
        <rFont val="Vazirmatn"/>
        <family val="0"/>
        <charset val="1"/>
      </rPr>
      <t xml:space="preserve">60*60</t>
    </r>
  </si>
  <si>
    <t xml:space="preserve">31215341</t>
  </si>
  <si>
    <r>
      <rPr>
        <sz val="10"/>
        <rFont val="FreeSans"/>
        <family val="2"/>
      </rPr>
      <t xml:space="preserve">درب سینی </t>
    </r>
    <r>
      <rPr>
        <sz val="10"/>
        <rFont val="Vazirmatn"/>
        <family val="0"/>
        <charset val="1"/>
      </rPr>
      <t xml:space="preserve">20  </t>
    </r>
    <r>
      <rPr>
        <sz val="10"/>
        <rFont val="FreeSans"/>
        <family val="2"/>
      </rPr>
      <t xml:space="preserve">سانتی</t>
    </r>
  </si>
  <si>
    <t xml:space="preserve">4003449</t>
  </si>
  <si>
    <r>
      <rPr>
        <sz val="10"/>
        <rFont val="FreeSans"/>
        <family val="2"/>
      </rPr>
      <t xml:space="preserve">درب سینی کابل</t>
    </r>
    <r>
      <rPr>
        <sz val="10"/>
        <rFont val="Vazirmatn"/>
        <family val="0"/>
        <charset val="1"/>
      </rPr>
      <t xml:space="preserve">20</t>
    </r>
  </si>
  <si>
    <t xml:space="preserve">31215359</t>
  </si>
  <si>
    <r>
      <rPr>
        <sz val="10"/>
        <rFont val="FreeSans"/>
        <family val="2"/>
      </rPr>
      <t xml:space="preserve">داکت تابلویی  </t>
    </r>
    <r>
      <rPr>
        <sz val="10"/>
        <rFont val="Vazirmatn"/>
        <family val="0"/>
        <charset val="1"/>
      </rPr>
      <t xml:space="preserve">100mm*60mm</t>
    </r>
  </si>
  <si>
    <t xml:space="preserve">4026622</t>
  </si>
  <si>
    <r>
      <rPr>
        <sz val="10"/>
        <rFont val="FreeSans"/>
        <family val="2"/>
      </rPr>
      <t xml:space="preserve">داکت شیاردار تابلویی </t>
    </r>
    <r>
      <rPr>
        <sz val="10"/>
        <rFont val="Vazirmatn"/>
        <family val="0"/>
        <charset val="1"/>
      </rPr>
      <t xml:space="preserve">60*100</t>
    </r>
  </si>
  <si>
    <t xml:space="preserve">31215362</t>
  </si>
  <si>
    <t xml:space="preserve">ته بند داکت تراکینگی</t>
  </si>
  <si>
    <t xml:space="preserve">4021110</t>
  </si>
  <si>
    <t xml:space="preserve">ته بند تراکینگ</t>
  </si>
  <si>
    <t xml:space="preserve">31216097</t>
  </si>
  <si>
    <r>
      <rPr>
        <sz val="10"/>
        <rFont val="FreeSans"/>
        <family val="2"/>
      </rPr>
      <t xml:space="preserve">بوبین شیر برقی پارکر </t>
    </r>
    <r>
      <rPr>
        <sz val="10"/>
        <rFont val="Vazirmatn"/>
        <family val="0"/>
        <charset val="1"/>
      </rPr>
      <t xml:space="preserve">220V AC - ZB09</t>
    </r>
  </si>
  <si>
    <t xml:space="preserve">31216099</t>
  </si>
  <si>
    <r>
      <rPr>
        <sz val="10"/>
        <rFont val="FreeSans"/>
        <family val="2"/>
      </rPr>
      <t xml:space="preserve">بوبین شیر برقی دانفوس </t>
    </r>
    <r>
      <rPr>
        <sz val="10"/>
        <rFont val="Vazirmatn"/>
        <family val="0"/>
        <charset val="1"/>
      </rPr>
      <t xml:space="preserve">7/8  220V AC</t>
    </r>
  </si>
  <si>
    <t xml:space="preserve">31216113</t>
  </si>
  <si>
    <r>
      <rPr>
        <sz val="10"/>
        <rFont val="FreeSans"/>
        <family val="2"/>
      </rPr>
      <t xml:space="preserve">بوبین شیر برقی    </t>
    </r>
    <r>
      <rPr>
        <sz val="10"/>
        <rFont val="Vazirmatn"/>
        <family val="0"/>
        <charset val="1"/>
      </rPr>
      <t xml:space="preserve">MSF 230</t>
    </r>
  </si>
  <si>
    <t xml:space="preserve">4027371</t>
  </si>
  <si>
    <r>
      <rPr>
        <sz val="10"/>
        <rFont val="FreeSans"/>
        <family val="2"/>
      </rPr>
      <t xml:space="preserve">بوبین شیر برقی اتو درین </t>
    </r>
    <r>
      <rPr>
        <sz val="10"/>
        <rFont val="Vazirmatn"/>
        <family val="0"/>
        <charset val="1"/>
      </rPr>
      <t xml:space="preserve">230V - 15W</t>
    </r>
  </si>
  <si>
    <t xml:space="preserve">31216121</t>
  </si>
  <si>
    <r>
      <rPr>
        <sz val="10"/>
        <rFont val="FreeSans"/>
        <family val="2"/>
      </rPr>
      <t xml:space="preserve">لودسل </t>
    </r>
    <r>
      <rPr>
        <sz val="10"/>
        <rFont val="Vazirmatn"/>
        <family val="0"/>
        <charset val="1"/>
      </rPr>
      <t xml:space="preserve">Mavin TYPE NA3 Cap 200Kg</t>
    </r>
  </si>
  <si>
    <t xml:space="preserve">4043830</t>
  </si>
  <si>
    <r>
      <rPr>
        <sz val="10"/>
        <rFont val="FreeSans"/>
        <family val="2"/>
      </rPr>
      <t xml:space="preserve">لودسل باسکول </t>
    </r>
    <r>
      <rPr>
        <sz val="10"/>
        <rFont val="Vazirmatn"/>
        <family val="0"/>
        <charset val="1"/>
      </rPr>
      <t xml:space="preserve">NA3-200KG</t>
    </r>
  </si>
  <si>
    <t xml:space="preserve">31216432</t>
  </si>
  <si>
    <r>
      <rPr>
        <sz val="10"/>
        <rFont val="FreeSans"/>
        <family val="2"/>
      </rPr>
      <t xml:space="preserve">ماژول ورودی آنالوگ </t>
    </r>
    <r>
      <rPr>
        <sz val="10"/>
        <rFont val="Vazirmatn"/>
        <family val="0"/>
        <charset val="1"/>
      </rPr>
      <t xml:space="preserve">6ES7 134-6GF00-0AA1</t>
    </r>
  </si>
  <si>
    <t xml:space="preserve">4027760</t>
  </si>
  <si>
    <r>
      <rPr>
        <sz val="10"/>
        <rFont val="FreeSans"/>
        <family val="2"/>
      </rPr>
      <t xml:space="preserve">ماژول زیمنس  </t>
    </r>
    <r>
      <rPr>
        <sz val="10"/>
        <rFont val="Vazirmatn"/>
        <family val="0"/>
        <charset val="1"/>
      </rPr>
      <t xml:space="preserve">134-6GF00-0AA1</t>
    </r>
  </si>
  <si>
    <t xml:space="preserve">31216452</t>
  </si>
  <si>
    <r>
      <rPr>
        <sz val="10"/>
        <rFont val="FreeSans"/>
        <family val="2"/>
      </rPr>
      <t xml:space="preserve">آداپتور فیبر نوری  </t>
    </r>
    <r>
      <rPr>
        <sz val="10"/>
        <rFont val="Vazirmatn"/>
        <family val="0"/>
        <charset val="1"/>
      </rPr>
      <t xml:space="preserve">FC - SC</t>
    </r>
  </si>
  <si>
    <t xml:space="preserve">4007915</t>
  </si>
  <si>
    <t xml:space="preserve">آداپتور فیبر نوری</t>
  </si>
  <si>
    <t xml:space="preserve">31216611</t>
  </si>
  <si>
    <t xml:space="preserve">پاکت</t>
  </si>
  <si>
    <t xml:space="preserve">5011815</t>
  </si>
  <si>
    <t xml:space="preserve">پاکت سکه</t>
  </si>
  <si>
    <t xml:space="preserve">31216613</t>
  </si>
  <si>
    <r>
      <rPr>
        <sz val="10"/>
        <rFont val="FreeSans"/>
        <family val="2"/>
      </rPr>
      <t xml:space="preserve">فلش مموری  </t>
    </r>
    <r>
      <rPr>
        <sz val="10"/>
        <rFont val="Vazirmatn"/>
        <family val="0"/>
        <charset val="1"/>
      </rPr>
      <t xml:space="preserve">8GB</t>
    </r>
  </si>
  <si>
    <t xml:space="preserve">4014614</t>
  </si>
  <si>
    <r>
      <rPr>
        <sz val="10"/>
        <rFont val="FreeSans"/>
        <family val="2"/>
      </rPr>
      <t xml:space="preserve">فلش مموري </t>
    </r>
    <r>
      <rPr>
        <sz val="10"/>
        <rFont val="Vazirmatn"/>
        <family val="0"/>
        <charset val="1"/>
      </rPr>
      <t xml:space="preserve">USB- 8G</t>
    </r>
  </si>
  <si>
    <t xml:space="preserve">31216894</t>
  </si>
  <si>
    <r>
      <rPr>
        <sz val="10"/>
        <rFont val="FreeSans"/>
        <family val="2"/>
      </rPr>
      <t xml:space="preserve">المنت سماور برقی </t>
    </r>
    <r>
      <rPr>
        <sz val="10"/>
        <rFont val="Vazirmatn"/>
        <family val="0"/>
        <charset val="1"/>
      </rPr>
      <t xml:space="preserve">2000W</t>
    </r>
  </si>
  <si>
    <t xml:space="preserve">4006057</t>
  </si>
  <si>
    <r>
      <rPr>
        <sz val="10"/>
        <rFont val="FreeSans"/>
        <family val="2"/>
      </rPr>
      <t xml:space="preserve">المنت آبگرمکن برقي </t>
    </r>
    <r>
      <rPr>
        <sz val="10"/>
        <rFont val="Vazirmatn"/>
        <family val="0"/>
        <charset val="1"/>
      </rPr>
      <t xml:space="preserve">2000W</t>
    </r>
  </si>
  <si>
    <t xml:space="preserve">31216896</t>
  </si>
  <si>
    <r>
      <rPr>
        <sz val="10"/>
        <rFont val="FreeSans"/>
        <family val="2"/>
      </rPr>
      <t xml:space="preserve">المنت سرامیکی </t>
    </r>
    <r>
      <rPr>
        <sz val="10"/>
        <rFont val="Vazirmatn"/>
        <family val="0"/>
        <charset val="1"/>
      </rPr>
      <t xml:space="preserve">30Cm</t>
    </r>
  </si>
  <si>
    <t xml:space="preserve">4060112</t>
  </si>
  <si>
    <r>
      <rPr>
        <sz val="10"/>
        <rFont val="FreeSans"/>
        <family val="2"/>
      </rPr>
      <t xml:space="preserve">المنت تسمه ای سرامیکی </t>
    </r>
    <r>
      <rPr>
        <sz val="10"/>
        <rFont val="Vazirmatn"/>
        <family val="0"/>
        <charset val="1"/>
      </rPr>
      <t xml:space="preserve">30*90mm </t>
    </r>
    <r>
      <rPr>
        <sz val="10"/>
        <rFont val="FreeSans"/>
        <family val="2"/>
      </rPr>
      <t xml:space="preserve">وات</t>
    </r>
    <r>
      <rPr>
        <sz val="10"/>
        <rFont val="Vazirmatn"/>
        <family val="0"/>
        <charset val="1"/>
      </rPr>
      <t xml:space="preserve">1000</t>
    </r>
  </si>
  <si>
    <t xml:space="preserve">31216897</t>
  </si>
  <si>
    <r>
      <rPr>
        <sz val="10"/>
        <rFont val="FreeSans"/>
        <family val="2"/>
      </rPr>
      <t xml:space="preserve">المنت آبگرمکن برقی ترمووات آریستون </t>
    </r>
    <r>
      <rPr>
        <sz val="10"/>
        <rFont val="Vazirmatn"/>
        <family val="0"/>
        <charset val="1"/>
      </rPr>
      <t xml:space="preserve">( RTM  2000 Wat t )</t>
    </r>
  </si>
  <si>
    <t xml:space="preserve">31216905</t>
  </si>
  <si>
    <t xml:space="preserve">المنت فیلتر هوا</t>
  </si>
  <si>
    <t xml:space="preserve">4028868</t>
  </si>
  <si>
    <r>
      <rPr>
        <sz val="10"/>
        <rFont val="FreeSans"/>
        <family val="2"/>
      </rPr>
      <t xml:space="preserve">فیلتر کارتریج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المنت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گاز</t>
    </r>
  </si>
  <si>
    <t xml:space="preserve">31216907</t>
  </si>
  <si>
    <t xml:space="preserve">المنت بخاری برقی</t>
  </si>
  <si>
    <t xml:space="preserve">4009176</t>
  </si>
  <si>
    <t xml:space="preserve">شيشه المنت بخاري برقي</t>
  </si>
  <si>
    <t xml:space="preserve">31217033</t>
  </si>
  <si>
    <r>
      <rPr>
        <sz val="10"/>
        <rFont val="FreeSans"/>
        <family val="2"/>
      </rPr>
      <t xml:space="preserve">فن تابلویی </t>
    </r>
    <r>
      <rPr>
        <sz val="10"/>
        <rFont val="Vazirmatn"/>
        <family val="0"/>
        <charset val="1"/>
      </rPr>
      <t xml:space="preserve">12*12   220V   0/13 / 0/15A ACAXIALFAN 12038</t>
    </r>
  </si>
  <si>
    <t xml:space="preserve">4034341</t>
  </si>
  <si>
    <r>
      <rPr>
        <sz val="10"/>
        <rFont val="FreeSans"/>
        <family val="2"/>
      </rPr>
      <t xml:space="preserve">فن تابلویی </t>
    </r>
    <r>
      <rPr>
        <sz val="10"/>
        <rFont val="Vazirmatn"/>
        <family val="0"/>
        <charset val="1"/>
      </rPr>
      <t xml:space="preserve">12*12  220V</t>
    </r>
  </si>
  <si>
    <t xml:space="preserve">31217063</t>
  </si>
  <si>
    <r>
      <rPr>
        <sz val="10"/>
        <rFont val="FreeSans"/>
        <family val="2"/>
      </rPr>
      <t xml:space="preserve">فن هیتر برقی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مدل </t>
    </r>
    <r>
      <rPr>
        <sz val="10"/>
        <rFont val="Vazirmatn"/>
        <family val="0"/>
        <charset val="1"/>
      </rPr>
      <t xml:space="preserve">: </t>
    </r>
    <r>
      <rPr>
        <sz val="10"/>
        <rFont val="FreeSans"/>
        <family val="2"/>
      </rPr>
      <t xml:space="preserve">انرژی </t>
    </r>
    <r>
      <rPr>
        <sz val="10"/>
        <rFont val="Vazirmatn"/>
        <family val="0"/>
        <charset val="1"/>
      </rPr>
      <t xml:space="preserve">EH0150</t>
    </r>
  </si>
  <si>
    <t xml:space="preserve">6001755</t>
  </si>
  <si>
    <r>
      <rPr>
        <sz val="10"/>
        <rFont val="FreeSans"/>
        <family val="2"/>
      </rPr>
      <t xml:space="preserve">هیتر برقی فن دار انرژی </t>
    </r>
    <r>
      <rPr>
        <sz val="10"/>
        <rFont val="Vazirmatn"/>
        <family val="0"/>
        <charset val="1"/>
      </rPr>
      <t xml:space="preserve">1300m3/h</t>
    </r>
    <r>
      <rPr>
        <sz val="10"/>
        <rFont val="FreeSans"/>
        <family val="2"/>
      </rPr>
      <t xml:space="preserve">مدل</t>
    </r>
    <r>
      <rPr>
        <sz val="10"/>
        <rFont val="Vazirmatn"/>
        <family val="0"/>
        <charset val="1"/>
      </rPr>
      <t xml:space="preserve">EH0150</t>
    </r>
  </si>
  <si>
    <t xml:space="preserve">31217107</t>
  </si>
  <si>
    <r>
      <rPr>
        <sz val="10"/>
        <rFont val="FreeSans"/>
        <family val="2"/>
      </rPr>
      <t xml:space="preserve">الکتروموتور            </t>
    </r>
    <r>
      <rPr>
        <sz val="10"/>
        <rFont val="Vazirmatn"/>
        <family val="0"/>
        <charset val="1"/>
      </rPr>
      <t xml:space="preserve">4KW   3000RPM</t>
    </r>
  </si>
  <si>
    <t xml:space="preserve">31217113</t>
  </si>
  <si>
    <r>
      <rPr>
        <sz val="10"/>
        <rFont val="FreeSans"/>
        <family val="2"/>
      </rPr>
      <t xml:space="preserve">الکتروموتور چدنی موتوژن              </t>
    </r>
    <r>
      <rPr>
        <sz val="10"/>
        <rFont val="Vazirmatn"/>
        <family val="0"/>
        <charset val="1"/>
      </rPr>
      <t xml:space="preserve">11KW    1500Rpm</t>
    </r>
  </si>
  <si>
    <t xml:space="preserve">31217151</t>
  </si>
  <si>
    <r>
      <rPr>
        <sz val="10"/>
        <rFont val="FreeSans"/>
        <family val="2"/>
      </rPr>
      <t xml:space="preserve">الکتروموتور        </t>
    </r>
    <r>
      <rPr>
        <sz val="10"/>
        <rFont val="Vazirmatn"/>
        <family val="0"/>
        <charset val="1"/>
      </rPr>
      <t xml:space="preserve">37kw-3000rpm</t>
    </r>
  </si>
  <si>
    <t xml:space="preserve">31217212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</si>
  <si>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4KW</t>
    </r>
  </si>
  <si>
    <t xml:space="preserve">6005243</t>
  </si>
  <si>
    <r>
      <rPr>
        <sz val="10"/>
        <rFont val="FreeSans"/>
        <family val="2"/>
      </rPr>
      <t xml:space="preserve">الکتروگیربکس </t>
    </r>
    <r>
      <rPr>
        <sz val="10"/>
        <rFont val="Vazirmatn"/>
        <family val="0"/>
        <charset val="1"/>
      </rPr>
      <t xml:space="preserve">KA77-100-4P 3KW 55RPM</t>
    </r>
  </si>
  <si>
    <t xml:space="preserve">31217230</t>
  </si>
  <si>
    <r>
      <rPr>
        <sz val="10"/>
        <rFont val="FreeSans"/>
        <family val="2"/>
      </rPr>
      <t xml:space="preserve">الکتروموتور        </t>
    </r>
    <r>
      <rPr>
        <sz val="10"/>
        <rFont val="Vazirmatn"/>
        <family val="0"/>
        <charset val="1"/>
      </rPr>
      <t xml:space="preserve">55KW  1400RPM</t>
    </r>
  </si>
  <si>
    <t xml:space="preserve">31217257</t>
  </si>
  <si>
    <r>
      <rPr>
        <sz val="10"/>
        <rFont val="FreeSans"/>
        <family val="2"/>
      </rPr>
      <t xml:space="preserve">الکتروموتور موتوژن  </t>
    </r>
    <r>
      <rPr>
        <sz val="10"/>
        <rFont val="Vazirmatn"/>
        <family val="0"/>
        <charset val="1"/>
      </rPr>
      <t xml:space="preserve">132KW  1500RPM</t>
    </r>
  </si>
  <si>
    <t xml:space="preserve">6004537</t>
  </si>
  <si>
    <r>
      <rPr>
        <sz val="10"/>
        <rFont val="FreeSans"/>
        <family val="2"/>
      </rPr>
      <t xml:space="preserve">الکتروموتور فلنچی </t>
    </r>
    <r>
      <rPr>
        <sz val="10"/>
        <rFont val="Vazirmatn"/>
        <family val="0"/>
        <charset val="1"/>
      </rPr>
      <t xml:space="preserve">132KW 380V 1500RPM</t>
    </r>
  </si>
  <si>
    <t xml:space="preserve">31217264</t>
  </si>
  <si>
    <r>
      <rPr>
        <sz val="10"/>
        <rFont val="FreeSans"/>
        <family val="2"/>
      </rPr>
      <t xml:space="preserve">الکتروموتور پایه دار چدنی  </t>
    </r>
    <r>
      <rPr>
        <sz val="10"/>
        <rFont val="Vazirmatn"/>
        <family val="0"/>
        <charset val="1"/>
      </rPr>
      <t xml:space="preserve">4KW   3000RPM</t>
    </r>
  </si>
  <si>
    <t xml:space="preserve">6004609</t>
  </si>
  <si>
    <r>
      <rPr>
        <sz val="10"/>
        <rFont val="FreeSans"/>
        <family val="2"/>
      </rPr>
      <t xml:space="preserve">الکتروموتور پایه دار </t>
    </r>
    <r>
      <rPr>
        <sz val="10"/>
        <rFont val="Vazirmatn"/>
        <family val="0"/>
        <charset val="1"/>
      </rPr>
      <t xml:space="preserve">4KW 380V 3000RPM</t>
    </r>
  </si>
  <si>
    <t xml:space="preserve">31217452</t>
  </si>
  <si>
    <r>
      <rPr>
        <sz val="10"/>
        <rFont val="FreeSans"/>
        <family val="2"/>
      </rPr>
      <t xml:space="preserve">دوزینگ پمپ  </t>
    </r>
    <r>
      <rPr>
        <sz val="10"/>
        <rFont val="Vazirmatn"/>
        <family val="0"/>
        <charset val="1"/>
      </rPr>
      <t xml:space="preserve">B-250N-75/B-43  DOSEURO</t>
    </r>
  </si>
  <si>
    <t xml:space="preserve">4031966</t>
  </si>
  <si>
    <r>
      <rPr>
        <sz val="10"/>
        <rFont val="Vazirmatn"/>
        <family val="0"/>
        <charset val="1"/>
      </rPr>
      <t xml:space="preserve">B-250N-75/B-43 </t>
    </r>
    <r>
      <rPr>
        <sz val="10"/>
        <rFont val="FreeSans"/>
        <family val="2"/>
      </rPr>
      <t xml:space="preserve">شفت محرک دوزینگ پمپ</t>
    </r>
  </si>
  <si>
    <t xml:space="preserve">31217549</t>
  </si>
  <si>
    <r>
      <rPr>
        <sz val="10"/>
        <rFont val="FreeSans"/>
        <family val="2"/>
      </rPr>
      <t xml:space="preserve">الکتروموتور چدنی فلنج دار  </t>
    </r>
    <r>
      <rPr>
        <sz val="10"/>
        <rFont val="Vazirmatn"/>
        <family val="0"/>
        <charset val="1"/>
      </rPr>
      <t xml:space="preserve">3KW   1500RPM</t>
    </r>
  </si>
  <si>
    <t xml:space="preserve">31217589</t>
  </si>
  <si>
    <r>
      <rPr>
        <sz val="10"/>
        <rFont val="FreeSans"/>
        <family val="2"/>
      </rPr>
      <t xml:space="preserve">الکتروموتور چدنی موتوژن فلنج دار پایه دار  </t>
    </r>
    <r>
      <rPr>
        <sz val="10"/>
        <rFont val="Vazirmatn"/>
        <family val="0"/>
        <charset val="1"/>
      </rPr>
      <t xml:space="preserve">5/5KW   3000RPM</t>
    </r>
  </si>
  <si>
    <t xml:space="preserve">4032020</t>
  </si>
  <si>
    <r>
      <rPr>
        <sz val="10"/>
        <rFont val="FreeSans"/>
        <family val="2"/>
      </rPr>
      <t xml:space="preserve">الکتروموتور پایه دار سه فاز</t>
    </r>
    <r>
      <rPr>
        <sz val="10"/>
        <rFont val="Vazirmatn"/>
        <family val="0"/>
        <charset val="1"/>
      </rPr>
      <t xml:space="preserve">5.5KW-3000rpm</t>
    </r>
  </si>
  <si>
    <t xml:space="preserve">31217650</t>
  </si>
  <si>
    <r>
      <rPr>
        <sz val="10"/>
        <rFont val="FreeSans"/>
        <family val="2"/>
      </rPr>
      <t xml:space="preserve">الکتروموتور فلنج دار زیمنس  </t>
    </r>
    <r>
      <rPr>
        <sz val="10"/>
        <rFont val="Vazirmatn"/>
        <family val="0"/>
        <charset val="1"/>
      </rPr>
      <t xml:space="preserve">11KW 1500RPM</t>
    </r>
  </si>
  <si>
    <t xml:space="preserve">4027703</t>
  </si>
  <si>
    <r>
      <rPr>
        <sz val="10"/>
        <rFont val="FreeSans"/>
        <family val="2"/>
      </rPr>
      <t xml:space="preserve">الکتروموتور فلنچی سه فاز </t>
    </r>
    <r>
      <rPr>
        <sz val="10"/>
        <rFont val="Vazirmatn"/>
        <family val="0"/>
        <charset val="1"/>
      </rPr>
      <t xml:space="preserve">11KW - 1500rpm</t>
    </r>
  </si>
  <si>
    <t xml:space="preserve">31217687</t>
  </si>
  <si>
    <r>
      <rPr>
        <sz val="10"/>
        <rFont val="FreeSans"/>
        <family val="2"/>
      </rPr>
      <t xml:space="preserve">الکتروموتور پایه دار بدون فلنج موتوژن  </t>
    </r>
    <r>
      <rPr>
        <sz val="10"/>
        <rFont val="Vazirmatn"/>
        <family val="0"/>
        <charset val="1"/>
      </rPr>
      <t xml:space="preserve">37KW  3000RPM</t>
    </r>
  </si>
  <si>
    <t xml:space="preserve">31218126</t>
  </si>
  <si>
    <t xml:space="preserve">چسب</t>
  </si>
  <si>
    <t xml:space="preserve">4024410</t>
  </si>
  <si>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PVC</t>
    </r>
  </si>
  <si>
    <t xml:space="preserve">31218162</t>
  </si>
  <si>
    <t xml:space="preserve">نوار عایق بندی پرایمر</t>
  </si>
  <si>
    <t xml:space="preserve">5004824</t>
  </si>
  <si>
    <t xml:space="preserve">نوار پرايمر</t>
  </si>
  <si>
    <t xml:space="preserve">31218182</t>
  </si>
  <si>
    <t xml:space="preserve">درزگیر نواری درب و پنجره</t>
  </si>
  <si>
    <t xml:space="preserve">5019635</t>
  </si>
  <si>
    <t xml:space="preserve">نوار درزگیر درب خودرو</t>
  </si>
  <si>
    <t xml:space="preserve">31218502</t>
  </si>
  <si>
    <r>
      <rPr>
        <sz val="10"/>
        <rFont val="FreeSans"/>
        <family val="2"/>
      </rPr>
      <t xml:space="preserve">چراغ سیگنال </t>
    </r>
    <r>
      <rPr>
        <sz val="10"/>
        <rFont val="Vazirmatn"/>
        <family val="0"/>
        <charset val="1"/>
      </rPr>
      <t xml:space="preserve">v380 8 w</t>
    </r>
  </si>
  <si>
    <t xml:space="preserve">4027625</t>
  </si>
  <si>
    <r>
      <rPr>
        <sz val="10"/>
        <rFont val="FreeSans"/>
        <family val="2"/>
      </rPr>
      <t xml:space="preserve">چراغ سیگنال </t>
    </r>
    <r>
      <rPr>
        <sz val="10"/>
        <rFont val="Vazirmatn"/>
        <family val="0"/>
        <charset val="1"/>
      </rPr>
      <t xml:space="preserve">380V</t>
    </r>
  </si>
  <si>
    <t xml:space="preserve">31218508</t>
  </si>
  <si>
    <t xml:space="preserve">چراغ  سه  رنگ  آلارم</t>
  </si>
  <si>
    <t xml:space="preserve">4057434</t>
  </si>
  <si>
    <r>
      <rPr>
        <sz val="10"/>
        <rFont val="FreeSans"/>
        <family val="2"/>
      </rPr>
      <t xml:space="preserve">چراغ آلارم سه طبقه </t>
    </r>
    <r>
      <rPr>
        <sz val="10"/>
        <rFont val="Vazirmatn"/>
        <family val="0"/>
        <charset val="1"/>
      </rPr>
      <t xml:space="preserve">220V-5W</t>
    </r>
  </si>
  <si>
    <t xml:space="preserve">31218520</t>
  </si>
  <si>
    <r>
      <rPr>
        <sz val="10"/>
        <rFont val="FreeSans"/>
        <family val="2"/>
      </rPr>
      <t xml:space="preserve">چراغ سیگنال </t>
    </r>
    <r>
      <rPr>
        <sz val="10"/>
        <rFont val="Vazirmatn"/>
        <family val="0"/>
        <charset val="1"/>
      </rPr>
      <t xml:space="preserve">220V</t>
    </r>
  </si>
  <si>
    <t xml:space="preserve">4053124</t>
  </si>
  <si>
    <r>
      <rPr>
        <sz val="10"/>
        <rFont val="FreeSans"/>
        <family val="2"/>
      </rPr>
      <t xml:space="preserve">چراغ سیگنال آمپرمتر </t>
    </r>
    <r>
      <rPr>
        <sz val="10"/>
        <rFont val="Vazirmatn"/>
        <family val="0"/>
        <charset val="1"/>
      </rPr>
      <t xml:space="preserve">220 </t>
    </r>
    <r>
      <rPr>
        <sz val="10"/>
        <rFont val="FreeSans"/>
        <family val="2"/>
      </rPr>
      <t xml:space="preserve">ولت زرد</t>
    </r>
  </si>
  <si>
    <t xml:space="preserve">31218522</t>
  </si>
  <si>
    <t xml:space="preserve">چراغ سیگنال ولت متری</t>
  </si>
  <si>
    <t xml:space="preserve">4014599</t>
  </si>
  <si>
    <t xml:space="preserve">چراغ سيگنال سماوري</t>
  </si>
  <si>
    <t xml:space="preserve">31218525</t>
  </si>
  <si>
    <r>
      <rPr>
        <sz val="10"/>
        <rFont val="FreeSans"/>
        <family val="2"/>
      </rPr>
      <t xml:space="preserve">چراغ سیگنال </t>
    </r>
    <r>
      <rPr>
        <sz val="10"/>
        <rFont val="Vazirmatn"/>
        <family val="0"/>
        <charset val="1"/>
      </rPr>
      <t xml:space="preserve">24V</t>
    </r>
  </si>
  <si>
    <t xml:space="preserve">4013472</t>
  </si>
  <si>
    <r>
      <rPr>
        <sz val="10"/>
        <rFont val="FreeSans"/>
        <family val="2"/>
      </rPr>
      <t xml:space="preserve">چراغ سيگنال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سفيد </t>
    </r>
    <r>
      <rPr>
        <sz val="10"/>
        <rFont val="Vazirmatn"/>
        <family val="0"/>
        <charset val="1"/>
      </rPr>
      <t xml:space="preserve">24 </t>
    </r>
    <r>
      <rPr>
        <sz val="10"/>
        <rFont val="FreeSans"/>
        <family val="2"/>
      </rPr>
      <t xml:space="preserve">ولت</t>
    </r>
  </si>
  <si>
    <t xml:space="preserve">31218528</t>
  </si>
  <si>
    <t xml:space="preserve">چراغ سیگنال فرکانس متری</t>
  </si>
  <si>
    <t xml:space="preserve">4049468</t>
  </si>
  <si>
    <t xml:space="preserve">چراغ سیگنال ولت آمپر فرکانس متر زرد</t>
  </si>
  <si>
    <t xml:space="preserve">31218564</t>
  </si>
  <si>
    <t xml:space="preserve">چراغ هالوژن توکار</t>
  </si>
  <si>
    <t xml:space="preserve">4020406</t>
  </si>
  <si>
    <t xml:space="preserve">چراغ هالوژني</t>
  </si>
  <si>
    <t xml:space="preserve">31218614</t>
  </si>
  <si>
    <r>
      <rPr>
        <sz val="10"/>
        <rFont val="FreeSans"/>
        <family val="2"/>
      </rPr>
      <t xml:space="preserve">لامپ       </t>
    </r>
    <r>
      <rPr>
        <sz val="10"/>
        <rFont val="Vazirmatn"/>
        <family val="0"/>
        <charset val="1"/>
      </rPr>
      <t xml:space="preserve">LED         10W</t>
    </r>
  </si>
  <si>
    <t xml:space="preserve">5004096</t>
  </si>
  <si>
    <r>
      <rPr>
        <sz val="10"/>
        <rFont val="FreeSans"/>
        <family val="2"/>
      </rPr>
      <t xml:space="preserve">لامپ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سفيد </t>
    </r>
    <r>
      <rPr>
        <sz val="10"/>
        <rFont val="Vazirmatn"/>
        <family val="0"/>
        <charset val="1"/>
      </rPr>
      <t xml:space="preserve">10W*220V</t>
    </r>
  </si>
  <si>
    <t xml:space="preserve">31218616</t>
  </si>
  <si>
    <r>
      <rPr>
        <sz val="10"/>
        <rFont val="FreeSans"/>
        <family val="2"/>
      </rPr>
      <t xml:space="preserve">لامپ       </t>
    </r>
    <r>
      <rPr>
        <sz val="10"/>
        <rFont val="Vazirmatn"/>
        <family val="0"/>
        <charset val="1"/>
      </rPr>
      <t xml:space="preserve">LED     12W</t>
    </r>
  </si>
  <si>
    <t xml:space="preserve">5005837</t>
  </si>
  <si>
    <r>
      <rPr>
        <sz val="10"/>
        <rFont val="FreeSans"/>
        <family val="2"/>
      </rPr>
      <t xml:space="preserve">لامپ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سفيد </t>
    </r>
    <r>
      <rPr>
        <sz val="10"/>
        <rFont val="Vazirmatn"/>
        <family val="0"/>
        <charset val="1"/>
      </rPr>
      <t xml:space="preserve">12W*220V</t>
    </r>
  </si>
  <si>
    <t xml:space="preserve">31218623</t>
  </si>
  <si>
    <r>
      <rPr>
        <sz val="10"/>
        <rFont val="FreeSans"/>
        <family val="2"/>
      </rPr>
      <t xml:space="preserve">لامپ خیاری </t>
    </r>
    <r>
      <rPr>
        <sz val="10"/>
        <rFont val="Vazirmatn"/>
        <family val="0"/>
        <charset val="1"/>
      </rPr>
      <t xml:space="preserve">250W</t>
    </r>
  </si>
  <si>
    <t xml:space="preserve">5004242</t>
  </si>
  <si>
    <r>
      <rPr>
        <sz val="10"/>
        <rFont val="FreeSans"/>
        <family val="2"/>
      </rPr>
      <t xml:space="preserve">لامپ خياري زرد </t>
    </r>
    <r>
      <rPr>
        <sz val="10"/>
        <rFont val="Vazirmatn"/>
        <family val="0"/>
        <charset val="1"/>
      </rPr>
      <t xml:space="preserve">250W*220V</t>
    </r>
  </si>
  <si>
    <t xml:space="preserve">31218634</t>
  </si>
  <si>
    <r>
      <rPr>
        <sz val="10"/>
        <rFont val="FreeSans"/>
        <family val="2"/>
      </rPr>
      <t xml:space="preserve">چراغ سقفی روکار  </t>
    </r>
    <r>
      <rPr>
        <sz val="10"/>
        <rFont val="Vazirmatn"/>
        <family val="0"/>
        <charset val="1"/>
      </rPr>
      <t xml:space="preserve">30 * 30</t>
    </r>
  </si>
  <si>
    <t xml:space="preserve">4034751</t>
  </si>
  <si>
    <r>
      <rPr>
        <sz val="10"/>
        <rFont val="FreeSans"/>
        <family val="2"/>
      </rPr>
      <t xml:space="preserve">چراغ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سقفی</t>
    </r>
    <r>
      <rPr>
        <sz val="10"/>
        <rFont val="Vazirmatn"/>
        <family val="0"/>
        <charset val="1"/>
      </rPr>
      <t xml:space="preserve">30*30 </t>
    </r>
    <r>
      <rPr>
        <sz val="10"/>
        <rFont val="FreeSans"/>
        <family val="2"/>
      </rPr>
      <t xml:space="preserve">،</t>
    </r>
    <r>
      <rPr>
        <sz val="10"/>
        <rFont val="Vazirmatn"/>
        <family val="0"/>
        <charset val="1"/>
      </rPr>
      <t xml:space="preserve">24 </t>
    </r>
    <r>
      <rPr>
        <sz val="10"/>
        <rFont val="FreeSans"/>
        <family val="2"/>
      </rPr>
      <t xml:space="preserve">وات</t>
    </r>
  </si>
  <si>
    <t xml:space="preserve">31218635</t>
  </si>
  <si>
    <r>
      <rPr>
        <sz val="10"/>
        <rFont val="FreeSans"/>
        <family val="2"/>
      </rPr>
      <t xml:space="preserve">چراغ سقفی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توکار  </t>
    </r>
    <r>
      <rPr>
        <sz val="10"/>
        <rFont val="Vazirmatn"/>
        <family val="0"/>
        <charset val="1"/>
      </rPr>
      <t xml:space="preserve">30 * 30</t>
    </r>
  </si>
  <si>
    <t xml:space="preserve">31218719</t>
  </si>
  <si>
    <r>
      <rPr>
        <sz val="10"/>
        <rFont val="FreeSans"/>
        <family val="2"/>
      </rPr>
      <t xml:space="preserve">لامپ آفتابی   </t>
    </r>
    <r>
      <rPr>
        <sz val="10"/>
        <rFont val="Vazirmatn"/>
        <family val="0"/>
        <charset val="1"/>
      </rPr>
      <t xml:space="preserve">20W</t>
    </r>
  </si>
  <si>
    <t xml:space="preserve">4027633</t>
  </si>
  <si>
    <r>
      <rPr>
        <sz val="10"/>
        <rFont val="FreeSans"/>
        <family val="2"/>
      </rPr>
      <t xml:space="preserve">لامپ کم مصرف آفتابی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وات</t>
    </r>
  </si>
  <si>
    <t xml:space="preserve">31218809</t>
  </si>
  <si>
    <r>
      <rPr>
        <sz val="10"/>
        <rFont val="FreeSans"/>
        <family val="2"/>
      </rPr>
      <t xml:space="preserve">لامپ گازی ترانس دار     </t>
    </r>
    <r>
      <rPr>
        <sz val="10"/>
        <rFont val="Vazirmatn"/>
        <family val="0"/>
        <charset val="1"/>
      </rPr>
      <t xml:space="preserve">250 W</t>
    </r>
  </si>
  <si>
    <t xml:space="preserve">5004101</t>
  </si>
  <si>
    <r>
      <rPr>
        <sz val="10"/>
        <rFont val="FreeSans"/>
        <family val="2"/>
      </rPr>
      <t xml:space="preserve">لامپ گازي زرد </t>
    </r>
    <r>
      <rPr>
        <sz val="10"/>
        <rFont val="Vazirmatn"/>
        <family val="0"/>
        <charset val="1"/>
      </rPr>
      <t xml:space="preserve">250W*220V</t>
    </r>
  </si>
  <si>
    <t xml:space="preserve">31218815</t>
  </si>
  <si>
    <r>
      <rPr>
        <sz val="10"/>
        <rFont val="FreeSans"/>
        <family val="2"/>
      </rPr>
      <t xml:space="preserve">پروژکتور مازی نور  </t>
    </r>
    <r>
      <rPr>
        <sz val="10"/>
        <rFont val="Vazirmatn"/>
        <family val="0"/>
        <charset val="1"/>
      </rPr>
      <t xml:space="preserve">VEGA  M310 A  250 S</t>
    </r>
  </si>
  <si>
    <t xml:space="preserve">4019593</t>
  </si>
  <si>
    <r>
      <rPr>
        <sz val="10"/>
        <rFont val="FreeSans"/>
        <family val="2"/>
      </rPr>
      <t xml:space="preserve">پروژکتور مازی نور </t>
    </r>
    <r>
      <rPr>
        <sz val="10"/>
        <rFont val="Vazirmatn"/>
        <family val="0"/>
        <charset val="1"/>
      </rPr>
      <t xml:space="preserve">250w</t>
    </r>
  </si>
  <si>
    <t xml:space="preserve">31218906</t>
  </si>
  <si>
    <r>
      <rPr>
        <sz val="10"/>
        <rFont val="FreeSans"/>
        <family val="2"/>
      </rPr>
      <t xml:space="preserve">لامپ خیاری       </t>
    </r>
    <r>
      <rPr>
        <sz val="10"/>
        <rFont val="Vazirmatn"/>
        <family val="0"/>
        <charset val="1"/>
      </rPr>
      <t xml:space="preserve">400W</t>
    </r>
  </si>
  <si>
    <t xml:space="preserve">5008542</t>
  </si>
  <si>
    <r>
      <rPr>
        <sz val="10"/>
        <rFont val="FreeSans"/>
        <family val="2"/>
      </rPr>
      <t xml:space="preserve">لامپ خیاری زرد </t>
    </r>
    <r>
      <rPr>
        <sz val="10"/>
        <rFont val="Vazirmatn"/>
        <family val="0"/>
        <charset val="1"/>
      </rPr>
      <t xml:space="preserve">400W*220V</t>
    </r>
  </si>
  <si>
    <t xml:space="preserve">31218907</t>
  </si>
  <si>
    <t xml:space="preserve">چراغ قوه دستی</t>
  </si>
  <si>
    <t xml:space="preserve">5011355</t>
  </si>
  <si>
    <t xml:space="preserve">چراغ قوه پلیسی</t>
  </si>
  <si>
    <t xml:space="preserve">31218913</t>
  </si>
  <si>
    <t xml:space="preserve">چراغ  قوه پیشانی</t>
  </si>
  <si>
    <t xml:space="preserve">31218916</t>
  </si>
  <si>
    <t xml:space="preserve">چراغ قوه شارژی</t>
  </si>
  <si>
    <t xml:space="preserve">5011196</t>
  </si>
  <si>
    <t xml:space="preserve">چراغ قوه شارژی بزرگ</t>
  </si>
  <si>
    <t xml:space="preserve">31219072</t>
  </si>
  <si>
    <r>
      <rPr>
        <sz val="10"/>
        <rFont val="FreeSans"/>
        <family val="2"/>
      </rPr>
      <t xml:space="preserve">فتوسل  </t>
    </r>
    <r>
      <rPr>
        <sz val="10"/>
        <rFont val="Vazirmatn"/>
        <family val="0"/>
        <charset val="1"/>
      </rPr>
      <t xml:space="preserve">25A</t>
    </r>
  </si>
  <si>
    <t xml:space="preserve">4003589</t>
  </si>
  <si>
    <r>
      <rPr>
        <sz val="10"/>
        <rFont val="FreeSans"/>
        <family val="2"/>
      </rPr>
      <t xml:space="preserve">فتوسل روشنایی </t>
    </r>
    <r>
      <rPr>
        <sz val="10"/>
        <rFont val="Vazirmatn"/>
        <family val="0"/>
        <charset val="1"/>
      </rPr>
      <t xml:space="preserve">25A</t>
    </r>
  </si>
  <si>
    <t xml:space="preserve">31219125</t>
  </si>
  <si>
    <r>
      <rPr>
        <sz val="10"/>
        <rFont val="FreeSans"/>
        <family val="2"/>
      </rPr>
      <t xml:space="preserve">گیج فشار   </t>
    </r>
    <r>
      <rPr>
        <sz val="10"/>
        <rFont val="Vazirmatn"/>
        <family val="0"/>
        <charset val="1"/>
      </rPr>
      <t xml:space="preserve">0   -1     bar</t>
    </r>
  </si>
  <si>
    <t xml:space="preserve">4045896</t>
  </si>
  <si>
    <r>
      <rPr>
        <sz val="10"/>
        <rFont val="FreeSans"/>
        <family val="2"/>
      </rPr>
      <t xml:space="preserve">گیج فشار عمود نصب </t>
    </r>
    <r>
      <rPr>
        <sz val="10"/>
        <rFont val="Vazirmatn"/>
        <family val="0"/>
        <charset val="1"/>
      </rPr>
      <t xml:space="preserve">1/2in 1-0bar</t>
    </r>
  </si>
  <si>
    <t xml:space="preserve">31219185</t>
  </si>
  <si>
    <t xml:space="preserve">مانومتر کپسول آتش نشانی پودری</t>
  </si>
  <si>
    <t xml:space="preserve">4024285</t>
  </si>
  <si>
    <r>
      <rPr>
        <sz val="10"/>
        <rFont val="FreeSans"/>
        <family val="2"/>
      </rPr>
      <t xml:space="preserve">مانومتر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گیج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کپسول آتش نشانی پودری</t>
    </r>
  </si>
  <si>
    <t xml:space="preserve">31219300</t>
  </si>
  <si>
    <r>
      <rPr>
        <sz val="10"/>
        <rFont val="FreeSans"/>
        <family val="2"/>
      </rPr>
      <t xml:space="preserve">دیافراگم دوزینگ پمپ  </t>
    </r>
    <r>
      <rPr>
        <sz val="10"/>
        <rFont val="Vazirmatn"/>
        <family val="0"/>
        <charset val="1"/>
      </rPr>
      <t xml:space="preserve">"1</t>
    </r>
  </si>
  <si>
    <t xml:space="preserve">4030081</t>
  </si>
  <si>
    <t xml:space="preserve">دیافراگم پمپ دوزینگ</t>
  </si>
  <si>
    <t xml:space="preserve">31219328</t>
  </si>
  <si>
    <r>
      <rPr>
        <sz val="10"/>
        <rFont val="FreeSans"/>
        <family val="2"/>
      </rPr>
      <t xml:space="preserve">دیافراگم شیر برقی  </t>
    </r>
    <r>
      <rPr>
        <sz val="10"/>
        <rFont val="Vazirmatn"/>
        <family val="0"/>
        <charset val="1"/>
      </rPr>
      <t xml:space="preserve">"1</t>
    </r>
  </si>
  <si>
    <t xml:space="preserve">4029923</t>
  </si>
  <si>
    <r>
      <rPr>
        <sz val="10"/>
        <rFont val="FreeSans"/>
        <family val="2"/>
      </rPr>
      <t xml:space="preserve">دیافراگم شیر برقی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</si>
  <si>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31219340</t>
  </si>
  <si>
    <r>
      <rPr>
        <sz val="10"/>
        <rFont val="FreeSans"/>
        <family val="2"/>
      </rPr>
      <t xml:space="preserve">دیافراگم دوزینگ پمپ </t>
    </r>
    <r>
      <rPr>
        <sz val="10"/>
        <rFont val="Vazirmatn"/>
        <family val="0"/>
        <charset val="1"/>
      </rPr>
      <t xml:space="preserve">ETATRON  BT - MA/MD</t>
    </r>
  </si>
  <si>
    <t xml:space="preserve">4046466</t>
  </si>
  <si>
    <r>
      <rPr>
        <sz val="10"/>
        <rFont val="FreeSans"/>
        <family val="2"/>
      </rPr>
      <t xml:space="preserve">دیافراگم دوزینگ پمپ</t>
    </r>
    <r>
      <rPr>
        <sz val="10"/>
        <rFont val="Vazirmatn"/>
        <family val="0"/>
        <charset val="1"/>
      </rPr>
      <t xml:space="preserve">-ETATRON DLX MA/AD...</t>
    </r>
  </si>
  <si>
    <t xml:space="preserve">31219346</t>
  </si>
  <si>
    <t xml:space="preserve">دیافراگم دوزینگ پمپ کیمیکال</t>
  </si>
  <si>
    <t xml:space="preserve">31219673</t>
  </si>
  <si>
    <r>
      <rPr>
        <sz val="10"/>
        <rFont val="FreeSans"/>
        <family val="2"/>
      </rPr>
      <t xml:space="preserve">سنسور ویبره دکانتور  </t>
    </r>
    <r>
      <rPr>
        <sz val="10"/>
        <rFont val="Vazirmatn"/>
        <family val="0"/>
        <charset val="1"/>
      </rPr>
      <t xml:space="preserve">130 - 1646 - 0005</t>
    </r>
  </si>
  <si>
    <t xml:space="preserve">4028527</t>
  </si>
  <si>
    <r>
      <rPr>
        <sz val="10"/>
        <rFont val="FreeSans"/>
        <family val="2"/>
      </rPr>
      <t xml:space="preserve">سنسور ویبره</t>
    </r>
    <r>
      <rPr>
        <sz val="10"/>
        <rFont val="Vazirmatn"/>
        <family val="0"/>
        <charset val="1"/>
      </rPr>
      <t xml:space="preserve">: 130-1646-0005</t>
    </r>
  </si>
  <si>
    <t xml:space="preserve">31219705</t>
  </si>
  <si>
    <r>
      <rPr>
        <sz val="10"/>
        <rFont val="FreeSans"/>
        <family val="2"/>
      </rPr>
      <t xml:space="preserve">کنترل فاز  </t>
    </r>
    <r>
      <rPr>
        <sz val="10"/>
        <rFont val="Vazirmatn"/>
        <family val="0"/>
        <charset val="1"/>
      </rPr>
      <t xml:space="preserve">20 RM 17 TG</t>
    </r>
  </si>
  <si>
    <t xml:space="preserve">4002849</t>
  </si>
  <si>
    <r>
      <rPr>
        <sz val="10"/>
        <rFont val="FreeSans"/>
        <family val="2"/>
      </rPr>
      <t xml:space="preserve">فرمان کنترل فاز اشنايدر </t>
    </r>
    <r>
      <rPr>
        <sz val="10"/>
        <rFont val="Vazirmatn"/>
        <family val="0"/>
        <charset val="1"/>
      </rPr>
      <t xml:space="preserve">RM17TG20</t>
    </r>
  </si>
  <si>
    <t xml:space="preserve">31219715</t>
  </si>
  <si>
    <r>
      <rPr>
        <sz val="10"/>
        <rFont val="FreeSans"/>
        <family val="2"/>
      </rPr>
      <t xml:space="preserve">کنترلر هانیانگ  </t>
    </r>
    <r>
      <rPr>
        <sz val="10"/>
        <rFont val="Vazirmatn"/>
        <family val="0"/>
        <charset val="1"/>
      </rPr>
      <t xml:space="preserve">( NX4 - OO ( UL</t>
    </r>
  </si>
  <si>
    <t xml:space="preserve">4028591</t>
  </si>
  <si>
    <r>
      <rPr>
        <sz val="10"/>
        <rFont val="FreeSans"/>
        <family val="2"/>
      </rPr>
      <t xml:space="preserve">کنترلر دمای هانیانگ </t>
    </r>
    <r>
      <rPr>
        <sz val="10"/>
        <rFont val="Vazirmatn"/>
        <family val="0"/>
        <charset val="1"/>
      </rPr>
      <t xml:space="preserve">NX4</t>
    </r>
  </si>
  <si>
    <t xml:space="preserve">31219727</t>
  </si>
  <si>
    <r>
      <rPr>
        <sz val="10"/>
        <rFont val="FreeSans"/>
        <family val="2"/>
      </rPr>
      <t xml:space="preserve">سنسور القایی  </t>
    </r>
    <r>
      <rPr>
        <sz val="10"/>
        <rFont val="Vazirmatn"/>
        <family val="0"/>
        <charset val="1"/>
      </rPr>
      <t xml:space="preserve">18</t>
    </r>
  </si>
  <si>
    <t xml:space="preserve">4028532</t>
  </si>
  <si>
    <r>
      <rPr>
        <sz val="10"/>
        <rFont val="FreeSans"/>
        <family val="2"/>
      </rPr>
      <t xml:space="preserve">سنسور القایی </t>
    </r>
    <r>
      <rPr>
        <sz val="10"/>
        <rFont val="Vazirmatn"/>
        <family val="0"/>
        <charset val="1"/>
      </rPr>
      <t xml:space="preserve">NJ5-18GM-N</t>
    </r>
  </si>
  <si>
    <t xml:space="preserve">31219765</t>
  </si>
  <si>
    <t xml:space="preserve">ترموستات</t>
  </si>
  <si>
    <t xml:space="preserve">4026152</t>
  </si>
  <si>
    <t xml:space="preserve">ترموستات ریو</t>
  </si>
  <si>
    <t xml:space="preserve">31219768</t>
  </si>
  <si>
    <t xml:space="preserve">31219801</t>
  </si>
  <si>
    <r>
      <rPr>
        <sz val="10"/>
        <rFont val="FreeSans"/>
        <family val="2"/>
      </rPr>
      <t xml:space="preserve">پایه ریل زاویه دار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</t>
    </r>
  </si>
  <si>
    <t xml:space="preserve">4027959</t>
  </si>
  <si>
    <r>
      <rPr>
        <sz val="10"/>
        <rFont val="FreeSans"/>
        <family val="2"/>
      </rPr>
      <t xml:space="preserve">پایه ریل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</t>
    </r>
  </si>
  <si>
    <t xml:space="preserve">31219808</t>
  </si>
  <si>
    <r>
      <rPr>
        <sz val="10"/>
        <rFont val="FreeSans"/>
        <family val="2"/>
      </rPr>
      <t xml:space="preserve">پایه رله 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پایه </t>
    </r>
    <r>
      <rPr>
        <sz val="10"/>
        <rFont val="Vazirmatn"/>
        <family val="0"/>
        <charset val="1"/>
      </rPr>
      <t xml:space="preserve">220V</t>
    </r>
  </si>
  <si>
    <t xml:space="preserve">4027417</t>
  </si>
  <si>
    <r>
      <rPr>
        <sz val="10"/>
        <rFont val="FreeSans"/>
        <family val="2"/>
      </rPr>
      <t xml:space="preserve">پایه رله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پین </t>
    </r>
    <r>
      <rPr>
        <sz val="10"/>
        <rFont val="Vazirmatn"/>
        <family val="0"/>
        <charset val="1"/>
      </rPr>
      <t xml:space="preserve">Finder 95.05  220V</t>
    </r>
  </si>
  <si>
    <t xml:space="preserve">31219809</t>
  </si>
  <si>
    <r>
      <rPr>
        <sz val="10"/>
        <rFont val="FreeSans"/>
        <family val="2"/>
      </rPr>
      <t xml:space="preserve">پایه رله  </t>
    </r>
    <r>
      <rPr>
        <sz val="10"/>
        <rFont val="Vazirmatn"/>
        <family val="0"/>
        <charset val="1"/>
      </rPr>
      <t xml:space="preserve">11</t>
    </r>
    <r>
      <rPr>
        <sz val="10"/>
        <rFont val="FreeSans"/>
        <family val="2"/>
      </rPr>
      <t xml:space="preserve">پایه </t>
    </r>
    <r>
      <rPr>
        <sz val="10"/>
        <rFont val="Vazirmatn"/>
        <family val="0"/>
        <charset val="1"/>
      </rPr>
      <t xml:space="preserve">Finder</t>
    </r>
  </si>
  <si>
    <t xml:space="preserve">4027420</t>
  </si>
  <si>
    <r>
      <rPr>
        <sz val="10"/>
        <rFont val="FreeSans"/>
        <family val="2"/>
      </rPr>
      <t xml:space="preserve">پایه رله </t>
    </r>
    <r>
      <rPr>
        <sz val="10"/>
        <rFont val="Vazirmatn"/>
        <family val="0"/>
        <charset val="1"/>
      </rPr>
      <t xml:space="preserve">11 </t>
    </r>
    <r>
      <rPr>
        <sz val="10"/>
        <rFont val="FreeSans"/>
        <family val="2"/>
      </rPr>
      <t xml:space="preserve">پین </t>
    </r>
    <r>
      <rPr>
        <sz val="10"/>
        <rFont val="Vazirmatn"/>
        <family val="0"/>
        <charset val="1"/>
      </rPr>
      <t xml:space="preserve">Finder TYPE 94.73  250V</t>
    </r>
  </si>
  <si>
    <t xml:space="preserve">31219817</t>
  </si>
  <si>
    <r>
      <rPr>
        <sz val="10"/>
        <rFont val="FreeSans"/>
        <family val="2"/>
      </rPr>
      <t xml:space="preserve">سنسورنوری جت پرینتر </t>
    </r>
    <r>
      <rPr>
        <sz val="10"/>
        <rFont val="Vazirmatn"/>
        <family val="0"/>
        <charset val="1"/>
      </rPr>
      <t xml:space="preserve">BR100 DDT</t>
    </r>
  </si>
  <si>
    <t xml:space="preserve">4006756</t>
  </si>
  <si>
    <r>
      <rPr>
        <sz val="10"/>
        <rFont val="FreeSans"/>
        <family val="2"/>
      </rPr>
      <t xml:space="preserve">سنسورنوري </t>
    </r>
    <r>
      <rPr>
        <sz val="10"/>
        <rFont val="Vazirmatn"/>
        <family val="0"/>
        <charset val="1"/>
      </rPr>
      <t xml:space="preserve">BR100DDT-24V</t>
    </r>
  </si>
  <si>
    <t xml:space="preserve">31219852</t>
  </si>
  <si>
    <t xml:space="preserve">آمپرمتر دیجیتالی</t>
  </si>
  <si>
    <t xml:space="preserve">4030612</t>
  </si>
  <si>
    <t xml:space="preserve">آمپرمتر دیجیتالی تابلویی</t>
  </si>
  <si>
    <t xml:space="preserve">31219858</t>
  </si>
  <si>
    <r>
      <rPr>
        <sz val="10"/>
        <rFont val="FreeSans"/>
        <family val="2"/>
      </rPr>
      <t xml:space="preserve">سنسور القایی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سیمه  </t>
    </r>
    <r>
      <rPr>
        <sz val="10"/>
        <rFont val="Vazirmatn"/>
        <family val="0"/>
        <charset val="1"/>
      </rPr>
      <t xml:space="preserve">PNP on  OmRon - 24V - E2B - M18KN16-M1-B1</t>
    </r>
  </si>
  <si>
    <t xml:space="preserve">5012341</t>
  </si>
  <si>
    <r>
      <rPr>
        <sz val="10"/>
        <rFont val="FreeSans"/>
        <family val="2"/>
      </rPr>
      <t xml:space="preserve">سنسور </t>
    </r>
    <r>
      <rPr>
        <sz val="10"/>
        <rFont val="Vazirmatn"/>
        <family val="0"/>
        <charset val="1"/>
      </rPr>
      <t xml:space="preserve">E2B-M18KN16-WPB1-PNP - OMRON</t>
    </r>
  </si>
  <si>
    <t xml:space="preserve">31219884</t>
  </si>
  <si>
    <r>
      <rPr>
        <sz val="10"/>
        <rFont val="FreeSans"/>
        <family val="2"/>
      </rPr>
      <t xml:space="preserve">سنسور القایی </t>
    </r>
    <r>
      <rPr>
        <sz val="10"/>
        <rFont val="Vazirmatn"/>
        <family val="0"/>
        <charset val="1"/>
      </rPr>
      <t xml:space="preserve">NJ5-11-N-G-Y PEPPERL+FUCHS 317937</t>
    </r>
  </si>
  <si>
    <t xml:space="preserve">4044146</t>
  </si>
  <si>
    <r>
      <rPr>
        <sz val="10"/>
        <rFont val="FreeSans"/>
        <family val="2"/>
      </rPr>
      <t xml:space="preserve">سنسور القایی </t>
    </r>
    <r>
      <rPr>
        <sz val="10"/>
        <rFont val="Vazirmatn"/>
        <family val="0"/>
        <charset val="1"/>
      </rPr>
      <t xml:space="preserve">NJ5-11-N-G-Y</t>
    </r>
  </si>
  <si>
    <t xml:space="preserve">31219910</t>
  </si>
  <si>
    <r>
      <rPr>
        <sz val="10"/>
        <rFont val="FreeSans"/>
        <family val="2"/>
      </rPr>
      <t xml:space="preserve">درایو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 </t>
    </r>
    <r>
      <rPr>
        <sz val="10"/>
        <rFont val="Vazirmatn"/>
        <family val="0"/>
        <charset val="1"/>
      </rPr>
      <t xml:space="preserve">LS-SV008iG5A-4  0/75KW</t>
    </r>
  </si>
  <si>
    <t xml:space="preserve">4032345</t>
  </si>
  <si>
    <r>
      <rPr>
        <sz val="10"/>
        <rFont val="FreeSans"/>
        <family val="2"/>
      </rPr>
      <t xml:space="preserve">درایو ال اس </t>
    </r>
    <r>
      <rPr>
        <sz val="10"/>
        <rFont val="Vazirmatn"/>
        <family val="0"/>
        <charset val="1"/>
      </rPr>
      <t xml:space="preserve">0.75 </t>
    </r>
    <r>
      <rPr>
        <sz val="10"/>
        <rFont val="FreeSans"/>
        <family val="2"/>
      </rPr>
      <t xml:space="preserve">کیلو وات </t>
    </r>
    <r>
      <rPr>
        <sz val="10"/>
        <rFont val="Vazirmatn"/>
        <family val="0"/>
        <charset val="1"/>
      </rPr>
      <t xml:space="preserve">SV008iG5A-4</t>
    </r>
  </si>
  <si>
    <t xml:space="preserve">31219944</t>
  </si>
  <si>
    <r>
      <rPr>
        <sz val="10"/>
        <rFont val="FreeSans"/>
        <family val="2"/>
      </rPr>
      <t xml:space="preserve">کولیس دیجیتال </t>
    </r>
    <r>
      <rPr>
        <sz val="10"/>
        <rFont val="Vazirmatn"/>
        <family val="0"/>
        <charset val="1"/>
      </rPr>
      <t xml:space="preserve">30cm</t>
    </r>
  </si>
  <si>
    <t xml:space="preserve">4035697</t>
  </si>
  <si>
    <r>
      <rPr>
        <sz val="10"/>
        <rFont val="FreeSans"/>
        <family val="2"/>
      </rPr>
      <t xml:space="preserve">کولیس دیجیتال </t>
    </r>
    <r>
      <rPr>
        <sz val="10"/>
        <rFont val="Vazirmatn"/>
        <family val="0"/>
        <charset val="1"/>
      </rPr>
      <t xml:space="preserve">INSIZE 30cm</t>
    </r>
  </si>
  <si>
    <t xml:space="preserve">31219946</t>
  </si>
  <si>
    <r>
      <rPr>
        <sz val="10"/>
        <rFont val="FreeSans"/>
        <family val="2"/>
      </rPr>
      <t xml:space="preserve">کولیس دیجیتال  </t>
    </r>
    <r>
      <rPr>
        <sz val="10"/>
        <rFont val="Vazirmatn"/>
        <family val="0"/>
        <charset val="1"/>
      </rPr>
      <t xml:space="preserve">30cm</t>
    </r>
  </si>
  <si>
    <t xml:space="preserve">4005380</t>
  </si>
  <si>
    <t xml:space="preserve">کوليس ديجيتال</t>
  </si>
  <si>
    <t xml:space="preserve">31219967</t>
  </si>
  <si>
    <r>
      <rPr>
        <sz val="10"/>
        <rFont val="FreeSans"/>
        <family val="2"/>
      </rPr>
      <t xml:space="preserve">کنترلر و نمایشگر وزن </t>
    </r>
    <r>
      <rPr>
        <sz val="10"/>
        <rFont val="Vazirmatn"/>
        <family val="0"/>
        <charset val="1"/>
      </rPr>
      <t xml:space="preserve">(PULSELECTRONIC) MODEL: PFC-1000</t>
    </r>
  </si>
  <si>
    <t xml:space="preserve">4036726</t>
  </si>
  <si>
    <r>
      <rPr>
        <sz val="10"/>
        <rFont val="FreeSans"/>
        <family val="2"/>
      </rPr>
      <t xml:space="preserve">نمایشگر کنترل وزن </t>
    </r>
    <r>
      <rPr>
        <sz val="10"/>
        <rFont val="Vazirmatn"/>
        <family val="0"/>
        <charset val="1"/>
      </rPr>
      <t xml:space="preserve">PFC-1000</t>
    </r>
  </si>
  <si>
    <t xml:space="preserve">31222109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</si>
  <si>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7 *15*30</t>
    </r>
  </si>
  <si>
    <t xml:space="preserve">4004462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</si>
  <si>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7-30-15</t>
    </r>
  </si>
  <si>
    <t xml:space="preserve">31222115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</si>
  <si>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7 *16*30</t>
    </r>
  </si>
  <si>
    <t xml:space="preserve">4011812</t>
  </si>
  <si>
    <r>
      <rPr>
        <sz val="10"/>
        <rFont val="Vazirmatn"/>
        <family val="0"/>
        <charset val="1"/>
      </rPr>
      <t xml:space="preserve">16-30-7 </t>
    </r>
    <r>
      <rPr>
        <sz val="10"/>
        <rFont val="FreeSans"/>
        <family val="2"/>
      </rPr>
      <t xml:space="preserve">کاسه نمد دما پايين</t>
    </r>
  </si>
  <si>
    <t xml:space="preserve">31222117</t>
  </si>
  <si>
    <r>
      <rPr>
        <sz val="10"/>
        <rFont val="FreeSans"/>
        <family val="2"/>
      </rPr>
      <t xml:space="preserve">کاسه نمد           </t>
    </r>
    <r>
      <rPr>
        <sz val="10"/>
        <rFont val="Vazirmatn"/>
        <family val="0"/>
        <charset val="1"/>
      </rPr>
      <t xml:space="preserve">10 *70*95</t>
    </r>
  </si>
  <si>
    <t xml:space="preserve">4004578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</si>
  <si>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10-95-70</t>
    </r>
  </si>
  <si>
    <t xml:space="preserve">31222131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</si>
  <si>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7*25*47</t>
    </r>
  </si>
  <si>
    <t xml:space="preserve">4004484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</si>
  <si>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7-47-25</t>
    </r>
  </si>
  <si>
    <t xml:space="preserve">31222145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</si>
  <si>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7*62*30</t>
    </r>
  </si>
  <si>
    <t xml:space="preserve">4011839</t>
  </si>
  <si>
    <r>
      <rPr>
        <sz val="10"/>
        <rFont val="Vazirmatn"/>
        <family val="0"/>
        <charset val="1"/>
      </rPr>
      <t xml:space="preserve">30-62-7 </t>
    </r>
    <r>
      <rPr>
        <sz val="10"/>
        <rFont val="FreeSans"/>
        <family val="2"/>
      </rPr>
      <t xml:space="preserve">کاسه نمد دما پايين</t>
    </r>
  </si>
  <si>
    <t xml:space="preserve">31222147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</si>
  <si>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7*17*30</t>
    </r>
  </si>
  <si>
    <t xml:space="preserve">4011851</t>
  </si>
  <si>
    <r>
      <rPr>
        <sz val="10"/>
        <rFont val="Vazirmatn"/>
        <family val="0"/>
        <charset val="1"/>
      </rPr>
      <t xml:space="preserve">17-30-7 </t>
    </r>
    <r>
      <rPr>
        <sz val="10"/>
        <rFont val="FreeSans"/>
        <family val="2"/>
      </rPr>
      <t xml:space="preserve">کاسه نمد دما پايين</t>
    </r>
  </si>
  <si>
    <t xml:space="preserve">31222148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</si>
  <si>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7*35*20</t>
    </r>
  </si>
  <si>
    <t xml:space="preserve">4004468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</si>
  <si>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7-35-20</t>
    </r>
  </si>
  <si>
    <t xml:space="preserve">31222170</t>
  </si>
  <si>
    <r>
      <rPr>
        <sz val="10"/>
        <rFont val="FreeSans"/>
        <family val="2"/>
      </rPr>
      <t xml:space="preserve">کاسه نمد           </t>
    </r>
    <r>
      <rPr>
        <sz val="10"/>
        <rFont val="Vazirmatn"/>
        <family val="0"/>
        <charset val="1"/>
      </rPr>
      <t xml:space="preserve">10 *52*35</t>
    </r>
  </si>
  <si>
    <t xml:space="preserve">4004502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</si>
  <si>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10-52-35</t>
    </r>
  </si>
  <si>
    <t xml:space="preserve">31222181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</si>
  <si>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10*62*35</t>
    </r>
  </si>
  <si>
    <t xml:space="preserve">4004516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</si>
  <si>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10-62-35</t>
    </r>
  </si>
  <si>
    <t xml:space="preserve">31222196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</si>
  <si>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10*72*40</t>
    </r>
  </si>
  <si>
    <t xml:space="preserve">4004538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</si>
  <si>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10-72-40</t>
    </r>
  </si>
  <si>
    <t xml:space="preserve">31222205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</si>
  <si>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8*25*40</t>
    </r>
  </si>
  <si>
    <t xml:space="preserve">4004472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</si>
  <si>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8-40-25</t>
    </r>
  </si>
  <si>
    <t xml:space="preserve">31222218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</si>
  <si>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10*40*80</t>
    </r>
  </si>
  <si>
    <t xml:space="preserve">4011957</t>
  </si>
  <si>
    <r>
      <rPr>
        <sz val="10"/>
        <rFont val="Vazirmatn"/>
        <family val="0"/>
        <charset val="1"/>
      </rPr>
      <t xml:space="preserve">40-80-10 </t>
    </r>
    <r>
      <rPr>
        <sz val="10"/>
        <rFont val="FreeSans"/>
        <family val="2"/>
      </rPr>
      <t xml:space="preserve">کاسه نمد دما پايين</t>
    </r>
  </si>
  <si>
    <t xml:space="preserve">31222225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</si>
  <si>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10*45*72</t>
    </r>
  </si>
  <si>
    <t xml:space="preserve">4035978</t>
  </si>
  <si>
    <r>
      <rPr>
        <sz val="10"/>
        <rFont val="FreeSans"/>
        <family val="2"/>
      </rPr>
      <t xml:space="preserve">کاسه نمد دما بالا  </t>
    </r>
    <r>
      <rPr>
        <sz val="10"/>
        <rFont val="Vazirmatn"/>
        <family val="0"/>
        <charset val="1"/>
      </rPr>
      <t xml:space="preserve">10-72-45</t>
    </r>
  </si>
  <si>
    <t xml:space="preserve">31222233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</si>
  <si>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10*60*40</t>
    </r>
  </si>
  <si>
    <t xml:space="preserve">4004508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</si>
  <si>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10-60-40</t>
    </r>
  </si>
  <si>
    <t xml:space="preserve">31222234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</si>
  <si>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12*40*60</t>
    </r>
  </si>
  <si>
    <t xml:space="preserve">4049789</t>
  </si>
  <si>
    <r>
      <rPr>
        <sz val="10"/>
        <rFont val="FreeSans"/>
        <family val="2"/>
      </rPr>
      <t xml:space="preserve">کاسه نمد دما پایین</t>
    </r>
    <r>
      <rPr>
        <sz val="10"/>
        <rFont val="Vazirmatn"/>
        <family val="0"/>
        <charset val="1"/>
      </rPr>
      <t xml:space="preserve">-12-60-40 mm</t>
    </r>
  </si>
  <si>
    <t xml:space="preserve">31222237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</si>
  <si>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7*52*40</t>
    </r>
  </si>
  <si>
    <t xml:space="preserve">4004503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</si>
  <si>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7-52-40</t>
    </r>
  </si>
  <si>
    <t xml:space="preserve">31222247</t>
  </si>
  <si>
    <r>
      <rPr>
        <sz val="10"/>
        <rFont val="FreeSans"/>
        <family val="2"/>
      </rPr>
      <t xml:space="preserve">کاسه نمد فلزی   </t>
    </r>
    <r>
      <rPr>
        <sz val="10"/>
        <rFont val="Vazirmatn"/>
        <family val="0"/>
        <charset val="1"/>
      </rPr>
      <t xml:space="preserve">12*85*110</t>
    </r>
  </si>
  <si>
    <t xml:space="preserve">4011978</t>
  </si>
  <si>
    <r>
      <rPr>
        <sz val="10"/>
        <rFont val="Vazirmatn"/>
        <family val="0"/>
        <charset val="1"/>
      </rPr>
      <t xml:space="preserve">85-110-12 </t>
    </r>
    <r>
      <rPr>
        <sz val="10"/>
        <rFont val="FreeSans"/>
        <family val="2"/>
      </rPr>
      <t xml:space="preserve">کاسه نمد دما بالا</t>
    </r>
  </si>
  <si>
    <t xml:space="preserve">31222248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</si>
  <si>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12*75*120</t>
    </r>
  </si>
  <si>
    <t xml:space="preserve">4004594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</si>
  <si>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12-120-75</t>
    </r>
  </si>
  <si>
    <t xml:space="preserve">31222251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</si>
  <si>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7*30*47</t>
    </r>
  </si>
  <si>
    <t xml:space="preserve">4004487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</si>
  <si>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7-47-30</t>
    </r>
  </si>
  <si>
    <t xml:space="preserve">31222258</t>
  </si>
  <si>
    <r>
      <rPr>
        <sz val="10"/>
        <rFont val="FreeSans"/>
        <family val="2"/>
      </rPr>
      <t xml:space="preserve">کاسه نمد وایتون    </t>
    </r>
    <r>
      <rPr>
        <sz val="10"/>
        <rFont val="Vazirmatn"/>
        <family val="0"/>
        <charset val="1"/>
      </rPr>
      <t xml:space="preserve">7 * 62 * 40</t>
    </r>
  </si>
  <si>
    <t xml:space="preserve">4004520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</si>
  <si>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7-62-40</t>
    </r>
  </si>
  <si>
    <t xml:space="preserve">31222264</t>
  </si>
  <si>
    <r>
      <rPr>
        <sz val="10"/>
        <rFont val="FreeSans"/>
        <family val="2"/>
      </rPr>
      <t xml:space="preserve">کاسه نمد         </t>
    </r>
    <r>
      <rPr>
        <sz val="10"/>
        <rFont val="Vazirmatn"/>
        <family val="0"/>
        <charset val="1"/>
      </rPr>
      <t xml:space="preserve">10 *30 * 50</t>
    </r>
  </si>
  <si>
    <t xml:space="preserve">4011802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</si>
  <si>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10-30-50</t>
    </r>
  </si>
  <si>
    <t xml:space="preserve">31222266</t>
  </si>
  <si>
    <r>
      <rPr>
        <sz val="10"/>
        <rFont val="FreeSans"/>
        <family val="2"/>
      </rPr>
      <t xml:space="preserve">کاسه نمد فلزی   </t>
    </r>
    <r>
      <rPr>
        <sz val="10"/>
        <rFont val="Vazirmatn"/>
        <family val="0"/>
        <charset val="1"/>
      </rPr>
      <t xml:space="preserve">10*85*110</t>
    </r>
  </si>
  <si>
    <t xml:space="preserve">31222270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</si>
  <si>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10*45*65</t>
    </r>
  </si>
  <si>
    <t xml:space="preserve">4004529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</si>
  <si>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10-65-45</t>
    </r>
  </si>
  <si>
    <t xml:space="preserve">31222282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</si>
  <si>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10*50*72</t>
    </r>
  </si>
  <si>
    <t xml:space="preserve">4004543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</si>
  <si>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10-72-50</t>
    </r>
  </si>
  <si>
    <t xml:space="preserve">31222285</t>
  </si>
  <si>
    <r>
      <rPr>
        <sz val="10"/>
        <rFont val="FreeSans"/>
        <family val="2"/>
      </rPr>
      <t xml:space="preserve">کاسه نمد    </t>
    </r>
    <r>
      <rPr>
        <sz val="10"/>
        <rFont val="Vazirmatn"/>
        <family val="0"/>
        <charset val="1"/>
      </rPr>
      <t xml:space="preserve">7 * 62 * 42</t>
    </r>
  </si>
  <si>
    <t xml:space="preserve">5025089</t>
  </si>
  <si>
    <r>
      <rPr>
        <sz val="10"/>
        <rFont val="FreeSans"/>
        <family val="2"/>
      </rPr>
      <t xml:space="preserve">کاسه نمد دما بالا </t>
    </r>
    <r>
      <rPr>
        <sz val="10"/>
        <rFont val="Vazirmatn"/>
        <family val="0"/>
        <charset val="1"/>
      </rPr>
      <t xml:space="preserve">7*62*42</t>
    </r>
  </si>
  <si>
    <t xml:space="preserve">31222296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</si>
  <si>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8*40*55</t>
    </r>
  </si>
  <si>
    <t xml:space="preserve">5024418</t>
  </si>
  <si>
    <r>
      <rPr>
        <sz val="10"/>
        <rFont val="FreeSans"/>
        <family val="2"/>
      </rPr>
      <t xml:space="preserve">کاسه نمد تفلونی </t>
    </r>
    <r>
      <rPr>
        <sz val="10"/>
        <rFont val="Vazirmatn"/>
        <family val="0"/>
        <charset val="1"/>
      </rPr>
      <t xml:space="preserve">8*55*40</t>
    </r>
  </si>
  <si>
    <t xml:space="preserve">31222298</t>
  </si>
  <si>
    <r>
      <rPr>
        <sz val="10"/>
        <rFont val="FreeSans"/>
        <family val="2"/>
      </rPr>
      <t xml:space="preserve">کاسه نمد توپی اکسل فرمان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تن </t>
    </r>
    <r>
      <rPr>
        <sz val="10"/>
        <rFont val="Vazirmatn"/>
        <family val="0"/>
        <charset val="1"/>
      </rPr>
      <t xml:space="preserve">9532628</t>
    </r>
  </si>
  <si>
    <t xml:space="preserve">4045102</t>
  </si>
  <si>
    <r>
      <rPr>
        <sz val="10"/>
        <rFont val="FreeSans"/>
        <family val="2"/>
      </rPr>
      <t xml:space="preserve">کاسه نمد توپی اکسل فرمان لیفتراک </t>
    </r>
    <r>
      <rPr>
        <sz val="10"/>
        <rFont val="Vazirmatn"/>
        <family val="0"/>
        <charset val="1"/>
      </rPr>
      <t xml:space="preserve">3 ton</t>
    </r>
  </si>
  <si>
    <t xml:space="preserve">31222306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</si>
  <si>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10*45*80</t>
    </r>
  </si>
  <si>
    <t xml:space="preserve">4004553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</si>
  <si>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10-80-45</t>
    </r>
  </si>
  <si>
    <t xml:space="preserve">31222307</t>
  </si>
  <si>
    <r>
      <rPr>
        <sz val="10"/>
        <rFont val="FreeSans"/>
        <family val="2"/>
      </rPr>
      <t xml:space="preserve">کاسه نمد فلزی   </t>
    </r>
    <r>
      <rPr>
        <sz val="10"/>
        <rFont val="Vazirmatn"/>
        <family val="0"/>
        <charset val="1"/>
      </rPr>
      <t xml:space="preserve">10*72*50</t>
    </r>
  </si>
  <si>
    <t xml:space="preserve">31222312</t>
  </si>
  <si>
    <r>
      <rPr>
        <sz val="10"/>
        <rFont val="FreeSans"/>
        <family val="2"/>
      </rPr>
      <t xml:space="preserve">کاسه نمد               </t>
    </r>
    <r>
      <rPr>
        <sz val="10"/>
        <rFont val="Vazirmatn"/>
        <family val="0"/>
        <charset val="1"/>
      </rPr>
      <t xml:space="preserve">8*40*55</t>
    </r>
  </si>
  <si>
    <t xml:space="preserve">31222316</t>
  </si>
  <si>
    <r>
      <rPr>
        <sz val="10"/>
        <rFont val="FreeSans"/>
        <family val="2"/>
      </rPr>
      <t xml:space="preserve">کاسه نمد  </t>
    </r>
    <r>
      <rPr>
        <sz val="10"/>
        <rFont val="Vazirmatn"/>
        <family val="0"/>
        <charset val="1"/>
      </rPr>
      <t xml:space="preserve">7 * 16 * 6</t>
    </r>
  </si>
  <si>
    <t xml:space="preserve">5024225</t>
  </si>
  <si>
    <r>
      <rPr>
        <sz val="10"/>
        <rFont val="FreeSans"/>
        <family val="2"/>
      </rPr>
      <t xml:space="preserve">کاسه نمد فلزی </t>
    </r>
    <r>
      <rPr>
        <sz val="10"/>
        <rFont val="Vazirmatn"/>
        <family val="0"/>
        <charset val="1"/>
      </rPr>
      <t xml:space="preserve">7-16-6</t>
    </r>
  </si>
  <si>
    <t xml:space="preserve">31222328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</si>
  <si>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10*62*40</t>
    </r>
  </si>
  <si>
    <t xml:space="preserve">4004522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</si>
  <si>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10-62-40</t>
    </r>
  </si>
  <si>
    <t xml:space="preserve">31222330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</si>
  <si>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10*55*80</t>
    </r>
  </si>
  <si>
    <t xml:space="preserve">4004556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</si>
  <si>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10-80-55</t>
    </r>
  </si>
  <si>
    <t xml:space="preserve">31222332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</si>
  <si>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10*50*80</t>
    </r>
  </si>
  <si>
    <t xml:space="preserve">4050012</t>
  </si>
  <si>
    <r>
      <rPr>
        <sz val="10"/>
        <rFont val="FreeSans"/>
        <family val="2"/>
      </rPr>
      <t xml:space="preserve">کاسه نمد دما پایین </t>
    </r>
    <r>
      <rPr>
        <sz val="10"/>
        <rFont val="Vazirmatn"/>
        <family val="0"/>
        <charset val="1"/>
      </rPr>
      <t xml:space="preserve">50-80-10</t>
    </r>
  </si>
  <si>
    <t xml:space="preserve">31222336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</si>
  <si>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12*75*50</t>
    </r>
  </si>
  <si>
    <t xml:space="preserve">4011971</t>
  </si>
  <si>
    <r>
      <rPr>
        <sz val="10"/>
        <rFont val="Vazirmatn"/>
        <family val="0"/>
        <charset val="1"/>
      </rPr>
      <t xml:space="preserve">50-75-12 </t>
    </r>
    <r>
      <rPr>
        <sz val="10"/>
        <rFont val="FreeSans"/>
        <family val="2"/>
      </rPr>
      <t xml:space="preserve">کاسه نمد دما بالا</t>
    </r>
  </si>
  <si>
    <t xml:space="preserve">31222337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</si>
  <si>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12*60*35</t>
    </r>
  </si>
  <si>
    <t xml:space="preserve">5024224</t>
  </si>
  <si>
    <r>
      <rPr>
        <sz val="10"/>
        <rFont val="FreeSans"/>
        <family val="2"/>
      </rPr>
      <t xml:space="preserve">کاسه نمد دما پایین </t>
    </r>
    <r>
      <rPr>
        <sz val="10"/>
        <rFont val="Vazirmatn"/>
        <family val="0"/>
        <charset val="1"/>
      </rPr>
      <t xml:space="preserve">12*60*35</t>
    </r>
  </si>
  <si>
    <t xml:space="preserve">31222338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</si>
  <si>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12*70*50</t>
    </r>
  </si>
  <si>
    <t xml:space="preserve">4004534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</si>
  <si>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12-70-50</t>
    </r>
  </si>
  <si>
    <t xml:space="preserve">31222364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</si>
  <si>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10*45*75</t>
    </r>
  </si>
  <si>
    <t xml:space="preserve">5024581</t>
  </si>
  <si>
    <r>
      <rPr>
        <sz val="10"/>
        <rFont val="FreeSans"/>
        <family val="2"/>
      </rPr>
      <t xml:space="preserve">کاسه نمد دما پایین </t>
    </r>
    <r>
      <rPr>
        <sz val="10"/>
        <rFont val="Vazirmatn"/>
        <family val="0"/>
        <charset val="1"/>
      </rPr>
      <t xml:space="preserve">10-75-45</t>
    </r>
  </si>
  <si>
    <t xml:space="preserve">31222365</t>
  </si>
  <si>
    <r>
      <rPr>
        <sz val="10"/>
        <rFont val="FreeSans"/>
        <family val="2"/>
      </rPr>
      <t xml:space="preserve">کاسه نمد       </t>
    </r>
    <r>
      <rPr>
        <sz val="10"/>
        <rFont val="Vazirmatn"/>
        <family val="0"/>
        <charset val="1"/>
      </rPr>
      <t xml:space="preserve">.    10*72*95</t>
    </r>
  </si>
  <si>
    <t xml:space="preserve">31222371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</si>
  <si>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10 60 90</t>
    </r>
  </si>
  <si>
    <t xml:space="preserve">4004571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</si>
  <si>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10-90-60</t>
    </r>
  </si>
  <si>
    <t xml:space="preserve">31222379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</si>
  <si>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10*50*70</t>
    </r>
  </si>
  <si>
    <t xml:space="preserve">4055104</t>
  </si>
  <si>
    <r>
      <rPr>
        <sz val="10"/>
        <rFont val="FreeSans"/>
        <family val="2"/>
      </rPr>
      <t xml:space="preserve">کاسه نمد دما بالا </t>
    </r>
    <r>
      <rPr>
        <sz val="10"/>
        <rFont val="Vazirmatn"/>
        <family val="0"/>
        <charset val="1"/>
      </rPr>
      <t xml:space="preserve">10-70-50</t>
    </r>
  </si>
  <si>
    <t xml:space="preserve">31222382</t>
  </si>
  <si>
    <r>
      <rPr>
        <sz val="10"/>
        <rFont val="FreeSans"/>
        <family val="2"/>
      </rPr>
      <t xml:space="preserve">کاسه نمد           </t>
    </r>
    <r>
      <rPr>
        <sz val="10"/>
        <rFont val="Vazirmatn"/>
        <family val="0"/>
        <charset val="1"/>
      </rPr>
      <t xml:space="preserve">10*100*70</t>
    </r>
  </si>
  <si>
    <t xml:space="preserve">4004584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</si>
  <si>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10-100-70</t>
    </r>
  </si>
  <si>
    <t xml:space="preserve">31222387</t>
  </si>
  <si>
    <r>
      <rPr>
        <sz val="10"/>
        <rFont val="FreeSans"/>
        <family val="2"/>
      </rPr>
      <t xml:space="preserve">کاسه نمد                </t>
    </r>
    <r>
      <rPr>
        <sz val="10"/>
        <rFont val="Vazirmatn"/>
        <family val="0"/>
        <charset val="1"/>
      </rPr>
      <t xml:space="preserve">8-55-90</t>
    </r>
  </si>
  <si>
    <t xml:space="preserve">4042994</t>
  </si>
  <si>
    <r>
      <rPr>
        <sz val="10"/>
        <rFont val="FreeSans"/>
        <family val="2"/>
      </rPr>
      <t xml:space="preserve">کاسه نمد دما بالا </t>
    </r>
    <r>
      <rPr>
        <sz val="10"/>
        <rFont val="Vazirmatn"/>
        <family val="0"/>
        <charset val="1"/>
      </rPr>
      <t xml:space="preserve">8-90-55</t>
    </r>
  </si>
  <si>
    <t xml:space="preserve">31222428</t>
  </si>
  <si>
    <r>
      <rPr>
        <sz val="10"/>
        <rFont val="FreeSans"/>
        <family val="2"/>
      </rPr>
      <t xml:space="preserve">کاسه نمد          </t>
    </r>
    <r>
      <rPr>
        <sz val="10"/>
        <rFont val="Vazirmatn"/>
        <family val="0"/>
        <charset val="1"/>
      </rPr>
      <t xml:space="preserve">10 - 65 -85</t>
    </r>
  </si>
  <si>
    <t xml:space="preserve">4033547</t>
  </si>
  <si>
    <r>
      <rPr>
        <sz val="10"/>
        <rFont val="Vazirmatn"/>
        <family val="0"/>
        <charset val="1"/>
      </rPr>
      <t xml:space="preserve">65-85-10 </t>
    </r>
    <r>
      <rPr>
        <sz val="10"/>
        <rFont val="FreeSans"/>
        <family val="2"/>
      </rPr>
      <t xml:space="preserve">کاسه نمد فلزی</t>
    </r>
  </si>
  <si>
    <t xml:space="preserve">31222449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</si>
  <si>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10-95-75</t>
    </r>
  </si>
  <si>
    <t xml:space="preserve">4004579</t>
  </si>
  <si>
    <r>
      <rPr>
        <sz val="10"/>
        <rFont val="FreeSans"/>
        <family val="2"/>
      </rPr>
      <t xml:space="preserve">کاسه نمد دما پايين </t>
    </r>
    <r>
      <rPr>
        <sz val="10"/>
        <rFont val="Vazirmatn"/>
        <family val="0"/>
        <charset val="1"/>
      </rPr>
      <t xml:space="preserve">10-95-75</t>
    </r>
  </si>
  <si>
    <t xml:space="preserve">31222451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</si>
  <si>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10*90*50</t>
    </r>
  </si>
  <si>
    <t xml:space="preserve">4011890</t>
  </si>
  <si>
    <r>
      <rPr>
        <sz val="10"/>
        <rFont val="Vazirmatn"/>
        <family val="0"/>
        <charset val="1"/>
      </rPr>
      <t xml:space="preserve">50-90-10 </t>
    </r>
    <r>
      <rPr>
        <sz val="10"/>
        <rFont val="FreeSans"/>
        <family val="2"/>
      </rPr>
      <t xml:space="preserve">کاسه نمد دما بالا</t>
    </r>
  </si>
  <si>
    <t xml:space="preserve">31222486</t>
  </si>
  <si>
    <r>
      <rPr>
        <sz val="10"/>
        <rFont val="FreeSans"/>
        <family val="2"/>
      </rPr>
      <t xml:space="preserve">کاسه نمد    </t>
    </r>
    <r>
      <rPr>
        <sz val="10"/>
        <rFont val="Vazirmatn"/>
        <family val="0"/>
        <charset val="1"/>
      </rPr>
      <t xml:space="preserve">10 * 40 * 62</t>
    </r>
  </si>
  <si>
    <t xml:space="preserve">31222511</t>
  </si>
  <si>
    <r>
      <rPr>
        <sz val="10"/>
        <rFont val="FreeSans"/>
        <family val="2"/>
      </rPr>
      <t xml:space="preserve">کاسه نمد لاستیکی  </t>
    </r>
    <r>
      <rPr>
        <sz val="10"/>
        <rFont val="Vazirmatn"/>
        <family val="0"/>
        <charset val="1"/>
      </rPr>
      <t xml:space="preserve">15*230*200</t>
    </r>
  </si>
  <si>
    <t xml:space="preserve">4040758</t>
  </si>
  <si>
    <r>
      <rPr>
        <sz val="10"/>
        <rFont val="FreeSans"/>
        <family val="2"/>
      </rPr>
      <t xml:space="preserve">کاسه نمد دما پایین </t>
    </r>
    <r>
      <rPr>
        <sz val="10"/>
        <rFont val="Vazirmatn"/>
        <family val="0"/>
        <charset val="1"/>
      </rPr>
      <t xml:space="preserve">15*230*200</t>
    </r>
  </si>
  <si>
    <t xml:space="preserve">31222520</t>
  </si>
  <si>
    <r>
      <rPr>
        <sz val="10"/>
        <rFont val="FreeSans"/>
        <family val="2"/>
      </rPr>
      <t xml:space="preserve">کاسه نمد    </t>
    </r>
    <r>
      <rPr>
        <sz val="10"/>
        <rFont val="Vazirmatn"/>
        <family val="0"/>
        <charset val="1"/>
      </rPr>
      <t xml:space="preserve">VS 100</t>
    </r>
  </si>
  <si>
    <t xml:space="preserve">4025063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</si>
  <si>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10*100*60</t>
    </r>
  </si>
  <si>
    <t xml:space="preserve">31222527</t>
  </si>
  <si>
    <r>
      <rPr>
        <sz val="10"/>
        <rFont val="FreeSans"/>
        <family val="2"/>
      </rPr>
      <t xml:space="preserve">کاسه نمد      </t>
    </r>
    <r>
      <rPr>
        <sz val="10"/>
        <rFont val="Vazirmatn"/>
        <family val="0"/>
        <charset val="1"/>
      </rPr>
      <t xml:space="preserve">VS 80</t>
    </r>
  </si>
  <si>
    <t xml:space="preserve">4025042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</si>
  <si>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8*95*80</t>
    </r>
  </si>
  <si>
    <t xml:space="preserve">31222560</t>
  </si>
  <si>
    <r>
      <rPr>
        <sz val="10"/>
        <rFont val="FreeSans"/>
        <family val="2"/>
      </rPr>
      <t xml:space="preserve">کاسه نمد  </t>
    </r>
    <r>
      <rPr>
        <sz val="10"/>
        <rFont val="Vazirmatn"/>
        <family val="0"/>
        <charset val="1"/>
      </rPr>
      <t xml:space="preserve">7 * 62 * 40</t>
    </r>
  </si>
  <si>
    <t xml:space="preserve">31223094</t>
  </si>
  <si>
    <r>
      <rPr>
        <sz val="10"/>
        <rFont val="FreeSans"/>
        <family val="2"/>
      </rPr>
      <t xml:space="preserve">اورینگ         </t>
    </r>
    <r>
      <rPr>
        <sz val="10"/>
        <rFont val="Vazirmatn"/>
        <family val="0"/>
        <charset val="1"/>
      </rPr>
      <t xml:space="preserve">12 * 2/5 * 7</t>
    </r>
  </si>
  <si>
    <t xml:space="preserve">4034672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</si>
  <si>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2.5*12*7 MM</t>
    </r>
  </si>
  <si>
    <t xml:space="preserve">31223097</t>
  </si>
  <si>
    <r>
      <rPr>
        <sz val="10"/>
        <rFont val="FreeSans"/>
        <family val="2"/>
      </rPr>
      <t xml:space="preserve">پکینگ            </t>
    </r>
    <r>
      <rPr>
        <sz val="10"/>
        <rFont val="Vazirmatn"/>
        <family val="0"/>
        <charset val="1"/>
      </rPr>
      <t xml:space="preserve">41 * 8 * 25</t>
    </r>
  </si>
  <si>
    <t xml:space="preserve">4030238</t>
  </si>
  <si>
    <r>
      <rPr>
        <sz val="10"/>
        <rFont val="FreeSans"/>
        <family val="2"/>
      </rPr>
      <t xml:space="preserve">پکینگ  </t>
    </r>
    <r>
      <rPr>
        <sz val="10"/>
        <rFont val="Vazirmatn"/>
        <family val="0"/>
        <charset val="1"/>
      </rPr>
      <t xml:space="preserve">DN25</t>
    </r>
  </si>
  <si>
    <t xml:space="preserve">31223131</t>
  </si>
  <si>
    <r>
      <rPr>
        <sz val="10"/>
        <rFont val="FreeSans"/>
        <family val="2"/>
      </rPr>
      <t xml:space="preserve">اورینگ               </t>
    </r>
    <r>
      <rPr>
        <sz val="10"/>
        <rFont val="Vazirmatn"/>
        <family val="0"/>
        <charset val="1"/>
      </rPr>
      <t xml:space="preserve">35 * 3/5 * 28</t>
    </r>
  </si>
  <si>
    <t xml:space="preserve">4025179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</si>
  <si>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3.5*35*28</t>
    </r>
  </si>
  <si>
    <t xml:space="preserve">31223141</t>
  </si>
  <si>
    <r>
      <rPr>
        <sz val="10"/>
        <rFont val="FreeSans"/>
        <family val="2"/>
      </rPr>
      <t xml:space="preserve">اورینگ                   </t>
    </r>
    <r>
      <rPr>
        <sz val="10"/>
        <rFont val="Vazirmatn"/>
        <family val="0"/>
        <charset val="1"/>
      </rPr>
      <t xml:space="preserve">58 * 4 * 50</t>
    </r>
  </si>
  <si>
    <t xml:space="preserve">4025180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</si>
  <si>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4*58*50</t>
    </r>
  </si>
  <si>
    <t xml:space="preserve">31223143</t>
  </si>
  <si>
    <r>
      <rPr>
        <sz val="10"/>
        <rFont val="FreeSans"/>
        <family val="2"/>
      </rPr>
      <t xml:space="preserve">اورینگ                   </t>
    </r>
    <r>
      <rPr>
        <sz val="10"/>
        <rFont val="Vazirmatn"/>
        <family val="0"/>
        <charset val="1"/>
      </rPr>
      <t xml:space="preserve">70 * 5 * 60</t>
    </r>
  </si>
  <si>
    <t xml:space="preserve">5022114</t>
  </si>
  <si>
    <r>
      <rPr>
        <sz val="10"/>
        <rFont val="FreeSans"/>
        <family val="2"/>
      </rPr>
      <t xml:space="preserve">اورینگ سیلیکونی </t>
    </r>
    <r>
      <rPr>
        <sz val="10"/>
        <rFont val="Vazirmatn"/>
        <family val="0"/>
        <charset val="1"/>
      </rPr>
      <t xml:space="preserve">5*70*60 mm</t>
    </r>
  </si>
  <si>
    <t xml:space="preserve">31223156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</si>
  <si>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DL-4P2S</t>
    </r>
  </si>
  <si>
    <t xml:space="preserve">31223179</t>
  </si>
  <si>
    <r>
      <rPr>
        <sz val="10"/>
        <rFont val="FreeSans"/>
        <family val="2"/>
      </rPr>
      <t xml:space="preserve">اورینگ                    </t>
    </r>
    <r>
      <rPr>
        <sz val="10"/>
        <rFont val="Vazirmatn"/>
        <family val="0"/>
        <charset val="1"/>
      </rPr>
      <t xml:space="preserve">22 * 2 * 18</t>
    </r>
  </si>
  <si>
    <t xml:space="preserve">5013621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</si>
  <si>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2*18</t>
    </r>
  </si>
  <si>
    <t xml:space="preserve">31223200</t>
  </si>
  <si>
    <r>
      <rPr>
        <sz val="10"/>
        <rFont val="FreeSans"/>
        <family val="2"/>
      </rPr>
      <t xml:space="preserve">اورینگ                  </t>
    </r>
    <r>
      <rPr>
        <sz val="10"/>
        <rFont val="Vazirmatn"/>
        <family val="0"/>
        <charset val="1"/>
      </rPr>
      <t xml:space="preserve">45 * 3/5 * 38</t>
    </r>
  </si>
  <si>
    <t xml:space="preserve">4025202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</si>
  <si>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3.5*45*38</t>
    </r>
  </si>
  <si>
    <t xml:space="preserve">31223201</t>
  </si>
  <si>
    <r>
      <rPr>
        <sz val="10"/>
        <rFont val="FreeSans"/>
        <family val="2"/>
      </rPr>
      <t xml:space="preserve">اورینگ                     </t>
    </r>
    <r>
      <rPr>
        <sz val="10"/>
        <rFont val="Vazirmatn"/>
        <family val="0"/>
        <charset val="1"/>
      </rPr>
      <t xml:space="preserve">70 * 5 * 60</t>
    </r>
  </si>
  <si>
    <t xml:space="preserve">31223220</t>
  </si>
  <si>
    <r>
      <rPr>
        <sz val="10"/>
        <rFont val="FreeSans"/>
        <family val="2"/>
      </rPr>
      <t xml:space="preserve">اورینگ                     </t>
    </r>
    <r>
      <rPr>
        <sz val="10"/>
        <rFont val="Vazirmatn"/>
        <family val="0"/>
        <charset val="1"/>
      </rPr>
      <t xml:space="preserve">58 * 4 * 50</t>
    </r>
  </si>
  <si>
    <t xml:space="preserve">31223240</t>
  </si>
  <si>
    <r>
      <rPr>
        <sz val="10"/>
        <rFont val="FreeSans"/>
        <family val="2"/>
      </rPr>
      <t xml:space="preserve">اورینگ             </t>
    </r>
    <r>
      <rPr>
        <sz val="10"/>
        <rFont val="Vazirmatn"/>
        <family val="0"/>
        <charset val="1"/>
      </rPr>
      <t xml:space="preserve">49 * 2/5 * 54</t>
    </r>
  </si>
  <si>
    <t xml:space="preserve">4025176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</si>
  <si>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2.5*54*49</t>
    </r>
  </si>
  <si>
    <t xml:space="preserve">31223256</t>
  </si>
  <si>
    <r>
      <rPr>
        <sz val="10"/>
        <rFont val="FreeSans"/>
        <family val="2"/>
      </rPr>
      <t xml:space="preserve">اورینگ           </t>
    </r>
    <r>
      <rPr>
        <sz val="10"/>
        <rFont val="Vazirmatn"/>
        <family val="0"/>
        <charset val="1"/>
      </rPr>
      <t xml:space="preserve">37 * 2/5 * 32</t>
    </r>
  </si>
  <si>
    <t xml:space="preserve">5019142</t>
  </si>
  <si>
    <r>
      <rPr>
        <sz val="10"/>
        <rFont val="FreeSans"/>
        <family val="2"/>
      </rPr>
      <t xml:space="preserve">اورینگ</t>
    </r>
    <r>
      <rPr>
        <sz val="10"/>
        <rFont val="Vazirmatn"/>
        <family val="0"/>
        <charset val="1"/>
      </rPr>
      <t xml:space="preserve">-2.5-37-32-</t>
    </r>
    <r>
      <rPr>
        <sz val="10"/>
        <rFont val="FreeSans"/>
        <family val="2"/>
      </rPr>
      <t xml:space="preserve">وایتون</t>
    </r>
  </si>
  <si>
    <t xml:space="preserve">31223258</t>
  </si>
  <si>
    <r>
      <rPr>
        <sz val="10"/>
        <rFont val="FreeSans"/>
        <family val="2"/>
      </rPr>
      <t xml:space="preserve">اورینگ                          </t>
    </r>
    <r>
      <rPr>
        <sz val="10"/>
        <rFont val="Vazirmatn"/>
        <family val="0"/>
        <charset val="1"/>
      </rPr>
      <t xml:space="preserve">48 * 4 * 40</t>
    </r>
  </si>
  <si>
    <t xml:space="preserve">4025183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</si>
  <si>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4*48*40</t>
    </r>
  </si>
  <si>
    <t xml:space="preserve">31223261</t>
  </si>
  <si>
    <r>
      <rPr>
        <sz val="10"/>
        <rFont val="FreeSans"/>
        <family val="2"/>
      </rPr>
      <t xml:space="preserve">اورینگ                       </t>
    </r>
    <r>
      <rPr>
        <sz val="10"/>
        <rFont val="Vazirmatn"/>
        <family val="0"/>
        <charset val="1"/>
      </rPr>
      <t xml:space="preserve">47 * 3/5 * 40</t>
    </r>
  </si>
  <si>
    <t xml:space="preserve">31223283</t>
  </si>
  <si>
    <r>
      <rPr>
        <sz val="10"/>
        <rFont val="FreeSans"/>
        <family val="2"/>
      </rPr>
      <t xml:space="preserve">اورینگ                             </t>
    </r>
    <r>
      <rPr>
        <sz val="10"/>
        <rFont val="Vazirmatn"/>
        <family val="0"/>
        <charset val="1"/>
      </rPr>
      <t xml:space="preserve">55 * 3/5 *  48</t>
    </r>
  </si>
  <si>
    <t xml:space="preserve">4025112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</si>
  <si>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3.5*55</t>
    </r>
  </si>
  <si>
    <t xml:space="preserve">31223293</t>
  </si>
  <si>
    <r>
      <rPr>
        <sz val="10"/>
        <rFont val="FreeSans"/>
        <family val="2"/>
      </rPr>
      <t xml:space="preserve">اورینگ                             </t>
    </r>
    <r>
      <rPr>
        <sz val="10"/>
        <rFont val="Vazirmatn"/>
        <family val="0"/>
        <charset val="1"/>
      </rPr>
      <t xml:space="preserve">66 * 3 * 60</t>
    </r>
  </si>
  <si>
    <t xml:space="preserve">5025775</t>
  </si>
  <si>
    <r>
      <rPr>
        <sz val="10"/>
        <rFont val="FreeSans"/>
        <family val="2"/>
      </rPr>
      <t xml:space="preserve">اورینگ لاستیکی </t>
    </r>
    <r>
      <rPr>
        <sz val="10"/>
        <rFont val="Vazirmatn"/>
        <family val="0"/>
        <charset val="1"/>
      </rPr>
      <t xml:space="preserve">3*60*66</t>
    </r>
  </si>
  <si>
    <t xml:space="preserve">31223324</t>
  </si>
  <si>
    <r>
      <rPr>
        <sz val="10"/>
        <rFont val="FreeSans"/>
        <family val="2"/>
      </rPr>
      <t xml:space="preserve">اورینگ       </t>
    </r>
    <r>
      <rPr>
        <sz val="10"/>
        <rFont val="Vazirmatn"/>
        <family val="0"/>
        <charset val="1"/>
      </rPr>
      <t xml:space="preserve">45 * 3/5 * 38</t>
    </r>
  </si>
  <si>
    <t xml:space="preserve">31223328</t>
  </si>
  <si>
    <r>
      <rPr>
        <sz val="10"/>
        <rFont val="FreeSans"/>
        <family val="2"/>
      </rPr>
      <t xml:space="preserve">اورینگ    </t>
    </r>
    <r>
      <rPr>
        <sz val="10"/>
        <rFont val="Vazirmatn"/>
        <family val="0"/>
        <charset val="1"/>
      </rPr>
      <t xml:space="preserve">Q=210*5/7</t>
    </r>
  </si>
  <si>
    <t xml:space="preserve">5024031</t>
  </si>
  <si>
    <r>
      <rPr>
        <sz val="10"/>
        <rFont val="FreeSans"/>
        <family val="2"/>
      </rPr>
      <t xml:space="preserve">اورینگ سیلیکونی </t>
    </r>
    <r>
      <rPr>
        <sz val="10"/>
        <rFont val="Vazirmatn"/>
        <family val="0"/>
        <charset val="1"/>
      </rPr>
      <t xml:space="preserve">mm210*220.4*5.7</t>
    </r>
  </si>
  <si>
    <t xml:space="preserve">31223329</t>
  </si>
  <si>
    <r>
      <rPr>
        <sz val="10"/>
        <rFont val="FreeSans"/>
        <family val="2"/>
      </rPr>
      <t xml:space="preserve">اورینگ      </t>
    </r>
    <r>
      <rPr>
        <sz val="10"/>
        <rFont val="Vazirmatn"/>
        <family val="0"/>
        <charset val="1"/>
      </rPr>
      <t xml:space="preserve">Q=195*5/7</t>
    </r>
  </si>
  <si>
    <t xml:space="preserve">5024032</t>
  </si>
  <si>
    <r>
      <rPr>
        <sz val="10"/>
        <rFont val="FreeSans"/>
        <family val="2"/>
      </rPr>
      <t xml:space="preserve">اورینگ سیلیکونی </t>
    </r>
    <r>
      <rPr>
        <sz val="10"/>
        <rFont val="Vazirmatn"/>
        <family val="0"/>
        <charset val="1"/>
      </rPr>
      <t xml:space="preserve">mm195*205.4*5.7</t>
    </r>
  </si>
  <si>
    <t xml:space="preserve">31223335</t>
  </si>
  <si>
    <r>
      <rPr>
        <sz val="10"/>
        <rFont val="FreeSans"/>
        <family val="2"/>
      </rPr>
      <t xml:space="preserve">اورینگ           </t>
    </r>
    <r>
      <rPr>
        <sz val="10"/>
        <rFont val="Vazirmatn"/>
        <family val="0"/>
        <charset val="1"/>
      </rPr>
      <t xml:space="preserve">39 * 3/5 * 32</t>
    </r>
  </si>
  <si>
    <t xml:space="preserve">4025116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</si>
  <si>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3/5*32</t>
    </r>
  </si>
  <si>
    <t xml:space="preserve">31223336</t>
  </si>
  <si>
    <r>
      <rPr>
        <sz val="10"/>
        <rFont val="FreeSans"/>
        <family val="2"/>
      </rPr>
      <t xml:space="preserve">اورینگ       </t>
    </r>
    <r>
      <rPr>
        <sz val="10"/>
        <rFont val="Vazirmatn"/>
        <family val="0"/>
        <charset val="1"/>
      </rPr>
      <t xml:space="preserve">55 * 4/5 * 46</t>
    </r>
  </si>
  <si>
    <t xml:space="preserve">5022120</t>
  </si>
  <si>
    <r>
      <rPr>
        <sz val="10"/>
        <rFont val="FreeSans"/>
        <family val="2"/>
      </rPr>
      <t xml:space="preserve">اورینگ لاستیکی </t>
    </r>
    <r>
      <rPr>
        <sz val="10"/>
        <rFont val="Vazirmatn"/>
        <family val="0"/>
        <charset val="1"/>
      </rPr>
      <t xml:space="preserve">4.5*46*55mm</t>
    </r>
  </si>
  <si>
    <t xml:space="preserve">31223338</t>
  </si>
  <si>
    <r>
      <rPr>
        <sz val="10"/>
        <rFont val="FreeSans"/>
        <family val="2"/>
      </rPr>
      <t xml:space="preserve">اورینگ لاستیکی     </t>
    </r>
    <r>
      <rPr>
        <sz val="10"/>
        <rFont val="Vazirmatn"/>
        <family val="0"/>
        <charset val="1"/>
      </rPr>
      <t xml:space="preserve">38 * 3 * 32</t>
    </r>
  </si>
  <si>
    <t xml:space="preserve">4025245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</si>
  <si>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3*32*38</t>
    </r>
  </si>
  <si>
    <t xml:space="preserve">31223340</t>
  </si>
  <si>
    <r>
      <rPr>
        <sz val="10"/>
        <rFont val="FreeSans"/>
        <family val="2"/>
      </rPr>
      <t xml:space="preserve">اورینگ      </t>
    </r>
    <r>
      <rPr>
        <sz val="10"/>
        <rFont val="Vazirmatn"/>
        <family val="0"/>
        <charset val="1"/>
      </rPr>
      <t xml:space="preserve">42 * 3/5 * 35</t>
    </r>
  </si>
  <si>
    <t xml:space="preserve">5019141</t>
  </si>
  <si>
    <r>
      <rPr>
        <sz val="10"/>
        <rFont val="FreeSans"/>
        <family val="2"/>
      </rPr>
      <t xml:space="preserve">اورینگ</t>
    </r>
    <r>
      <rPr>
        <sz val="10"/>
        <rFont val="Vazirmatn"/>
        <family val="0"/>
        <charset val="1"/>
      </rPr>
      <t xml:space="preserve">-35-42-3.5-</t>
    </r>
    <r>
      <rPr>
        <sz val="10"/>
        <rFont val="FreeSans"/>
        <family val="2"/>
      </rPr>
      <t xml:space="preserve">لاستیکی</t>
    </r>
  </si>
  <si>
    <t xml:space="preserve">31223348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</si>
  <si>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60 * 3/5 * 53</t>
    </r>
  </si>
  <si>
    <t xml:space="preserve">5022089</t>
  </si>
  <si>
    <r>
      <rPr>
        <sz val="10"/>
        <rFont val="FreeSans"/>
        <family val="2"/>
      </rPr>
      <t xml:space="preserve">اورینگ لاستیکی </t>
    </r>
    <r>
      <rPr>
        <sz val="10"/>
        <rFont val="Vazirmatn"/>
        <family val="0"/>
        <charset val="1"/>
      </rPr>
      <t xml:space="preserve">3.5*53*60</t>
    </r>
  </si>
  <si>
    <t xml:space="preserve">31223356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</si>
  <si>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101 * 3 * 95</t>
    </r>
  </si>
  <si>
    <t xml:space="preserve">4025123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</si>
  <si>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3*95</t>
    </r>
  </si>
  <si>
    <t xml:space="preserve">31223358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</si>
  <si>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85 * 2/5 * 80</t>
    </r>
  </si>
  <si>
    <t xml:space="preserve">4040772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</si>
  <si>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2.5*85*80</t>
    </r>
  </si>
  <si>
    <t xml:space="preserve">31223368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</si>
  <si>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2/5 * 49 * 54</t>
    </r>
  </si>
  <si>
    <t xml:space="preserve">31223373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</si>
  <si>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42 * 3/5 * 35</t>
    </r>
  </si>
  <si>
    <t xml:space="preserve">31223374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</si>
  <si>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70 * 2/5 * 65</t>
    </r>
  </si>
  <si>
    <t xml:space="preserve">4025254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</si>
  <si>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2.5*70*65</t>
    </r>
  </si>
  <si>
    <t xml:space="preserve">31223377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</si>
  <si>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80 * 3/5 * 73</t>
    </r>
  </si>
  <si>
    <t xml:space="preserve">4040305</t>
  </si>
  <si>
    <r>
      <rPr>
        <sz val="10"/>
        <rFont val="FreeSans"/>
        <family val="2"/>
      </rPr>
      <t xml:space="preserve">اورینگ سیلیکونی </t>
    </r>
    <r>
      <rPr>
        <sz val="10"/>
        <rFont val="Vazirmatn"/>
        <family val="0"/>
        <charset val="1"/>
      </rPr>
      <t xml:space="preserve">3.5*73*80</t>
    </r>
  </si>
  <si>
    <t xml:space="preserve">31223380</t>
  </si>
  <si>
    <r>
      <rPr>
        <sz val="10"/>
        <rFont val="FreeSans"/>
        <family val="2"/>
      </rPr>
      <t xml:space="preserve">اورینگ متری   نمره </t>
    </r>
    <r>
      <rPr>
        <sz val="10"/>
        <rFont val="Vazirmatn"/>
        <family val="0"/>
        <charset val="1"/>
      </rPr>
      <t xml:space="preserve">7</t>
    </r>
  </si>
  <si>
    <t xml:space="preserve">5003072</t>
  </si>
  <si>
    <r>
      <rPr>
        <sz val="10"/>
        <rFont val="FreeSans"/>
        <family val="2"/>
      </rPr>
      <t xml:space="preserve">اورينگ متري </t>
    </r>
    <r>
      <rPr>
        <sz val="10"/>
        <rFont val="Vazirmatn"/>
        <family val="0"/>
        <charset val="1"/>
      </rPr>
      <t xml:space="preserve">7mm </t>
    </r>
    <r>
      <rPr>
        <sz val="10"/>
        <rFont val="FreeSans"/>
        <family val="2"/>
      </rPr>
      <t xml:space="preserve">لاستيکي</t>
    </r>
  </si>
  <si>
    <t xml:space="preserve">31223403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</si>
  <si>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100 * 3 * 94</t>
    </r>
  </si>
  <si>
    <t xml:space="preserve">4025250</t>
  </si>
  <si>
    <r>
      <rPr>
        <sz val="10"/>
        <rFont val="FreeSans"/>
        <family val="2"/>
      </rPr>
      <t xml:space="preserve">اورینگ  </t>
    </r>
    <r>
      <rPr>
        <sz val="10"/>
        <rFont val="Vazirmatn"/>
        <family val="0"/>
        <charset val="1"/>
      </rPr>
      <t xml:space="preserve">3*100*94</t>
    </r>
  </si>
  <si>
    <t xml:space="preserve">31223415</t>
  </si>
  <si>
    <r>
      <rPr>
        <sz val="10"/>
        <rFont val="FreeSans"/>
        <family val="2"/>
      </rPr>
      <t xml:space="preserve">اورینگ لاستیکی </t>
    </r>
    <r>
      <rPr>
        <sz val="10"/>
        <rFont val="Vazirmatn"/>
        <family val="0"/>
        <charset val="1"/>
      </rPr>
      <t xml:space="preserve">218 * 4 * 210</t>
    </r>
  </si>
  <si>
    <t xml:space="preserve">4025119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</si>
  <si>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4*210</t>
    </r>
  </si>
  <si>
    <t xml:space="preserve">31223424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</si>
  <si>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25 * 2/5 * 20</t>
    </r>
  </si>
  <si>
    <t xml:space="preserve">4025111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</si>
  <si>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2/5*20</t>
    </r>
  </si>
  <si>
    <t xml:space="preserve">31223430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</si>
  <si>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85 * 5 * 75</t>
    </r>
  </si>
  <si>
    <t xml:space="preserve">5014979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</si>
  <si>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5*85 </t>
    </r>
    <r>
      <rPr>
        <sz val="10"/>
        <rFont val="FreeSans"/>
        <family val="2"/>
      </rPr>
      <t xml:space="preserve">لاستیکی</t>
    </r>
  </si>
  <si>
    <t xml:space="preserve">31223455</t>
  </si>
  <si>
    <r>
      <rPr>
        <sz val="10"/>
        <rFont val="FreeSans"/>
        <family val="2"/>
      </rPr>
      <t xml:space="preserve">اورینگ      </t>
    </r>
    <r>
      <rPr>
        <sz val="10"/>
        <rFont val="Vazirmatn"/>
        <family val="0"/>
        <charset val="1"/>
      </rPr>
      <t xml:space="preserve">20 * 2/5 * 15</t>
    </r>
  </si>
  <si>
    <t xml:space="preserve">31223457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</si>
  <si>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44 - 3 - 50</t>
    </r>
  </si>
  <si>
    <t xml:space="preserve">4041505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</si>
  <si>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44mm*50mm*3mm</t>
    </r>
  </si>
  <si>
    <t xml:space="preserve">31223487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</si>
  <si>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53 * 4 * 45</t>
    </r>
  </si>
  <si>
    <t xml:space="preserve">31223492</t>
  </si>
  <si>
    <r>
      <rPr>
        <sz val="10"/>
        <rFont val="FreeSans"/>
        <family val="2"/>
      </rPr>
      <t xml:space="preserve">اورینگ       </t>
    </r>
    <r>
      <rPr>
        <sz val="10"/>
        <rFont val="Vazirmatn"/>
        <family val="0"/>
        <charset val="1"/>
      </rPr>
      <t xml:space="preserve">106 * 5/5 * 95</t>
    </r>
  </si>
  <si>
    <t xml:space="preserve">4025253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</si>
  <si>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5.5*95</t>
    </r>
  </si>
  <si>
    <t xml:space="preserve">31223494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</si>
  <si>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45 * 3 * 39</t>
    </r>
  </si>
  <si>
    <t xml:space="preserve">4025247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</si>
  <si>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3*45*39</t>
    </r>
  </si>
  <si>
    <t xml:space="preserve">31223496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</si>
  <si>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57 * 3/5 * 64</t>
    </r>
  </si>
  <si>
    <t xml:space="preserve">5013082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</si>
  <si>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3.5*57*64</t>
    </r>
  </si>
  <si>
    <t xml:space="preserve">31223497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</si>
  <si>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24 * 2/5 * 19</t>
    </r>
  </si>
  <si>
    <t xml:space="preserve">4025139</t>
  </si>
  <si>
    <r>
      <rPr>
        <sz val="10"/>
        <rFont val="FreeSans"/>
        <family val="2"/>
      </rPr>
      <t xml:space="preserve">اورینگ  </t>
    </r>
    <r>
      <rPr>
        <sz val="10"/>
        <rFont val="Vazirmatn"/>
        <family val="0"/>
        <charset val="1"/>
      </rPr>
      <t xml:space="preserve">2.5*24*19</t>
    </r>
  </si>
  <si>
    <t xml:space="preserve">31223506</t>
  </si>
  <si>
    <r>
      <rPr>
        <sz val="10"/>
        <rFont val="FreeSans"/>
        <family val="2"/>
      </rPr>
      <t xml:space="preserve">اورینگ  </t>
    </r>
    <r>
      <rPr>
        <sz val="10"/>
        <rFont val="Vazirmatn"/>
        <family val="0"/>
        <charset val="1"/>
      </rPr>
      <t xml:space="preserve">3/5 * 43 * 50</t>
    </r>
  </si>
  <si>
    <t xml:space="preserve">5025030</t>
  </si>
  <si>
    <r>
      <rPr>
        <sz val="10"/>
        <rFont val="FreeSans"/>
        <family val="2"/>
      </rPr>
      <t xml:space="preserve">اورینگ  لاستیکی </t>
    </r>
    <r>
      <rPr>
        <sz val="10"/>
        <rFont val="Vazirmatn"/>
        <family val="0"/>
        <charset val="1"/>
      </rPr>
      <t xml:space="preserve">3.5*50*43</t>
    </r>
  </si>
  <si>
    <t xml:space="preserve">31223512</t>
  </si>
  <si>
    <r>
      <rPr>
        <sz val="10"/>
        <rFont val="FreeSans"/>
        <family val="2"/>
      </rPr>
      <t xml:space="preserve">اورینگ وایتون  </t>
    </r>
    <r>
      <rPr>
        <sz val="10"/>
        <rFont val="Vazirmatn"/>
        <family val="0"/>
        <charset val="1"/>
      </rPr>
      <t xml:space="preserve">44 * 3 * 38</t>
    </r>
  </si>
  <si>
    <t xml:space="preserve">5013083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</si>
  <si>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3*38*44</t>
    </r>
  </si>
  <si>
    <t xml:space="preserve">31223523</t>
  </si>
  <si>
    <r>
      <rPr>
        <sz val="10"/>
        <rFont val="FreeSans"/>
        <family val="2"/>
      </rPr>
      <t xml:space="preserve">اورینگ لاستیکی   </t>
    </r>
    <r>
      <rPr>
        <sz val="10"/>
        <rFont val="Vazirmatn"/>
        <family val="0"/>
        <charset val="1"/>
      </rPr>
      <t xml:space="preserve">24 * 2 * 20</t>
    </r>
  </si>
  <si>
    <t xml:space="preserve">5022093</t>
  </si>
  <si>
    <r>
      <rPr>
        <sz val="10"/>
        <rFont val="FreeSans"/>
        <family val="2"/>
      </rPr>
      <t xml:space="preserve">اورینگ لاستیکی </t>
    </r>
    <r>
      <rPr>
        <sz val="10"/>
        <rFont val="Vazirmatn"/>
        <family val="0"/>
        <charset val="1"/>
      </rPr>
      <t xml:space="preserve">24mm*20mm*2mm</t>
    </r>
  </si>
  <si>
    <t xml:space="preserve">31223526</t>
  </si>
  <si>
    <r>
      <rPr>
        <sz val="10"/>
        <rFont val="FreeSans"/>
        <family val="2"/>
      </rPr>
      <t xml:space="preserve">اورینگ  </t>
    </r>
    <r>
      <rPr>
        <sz val="10"/>
        <rFont val="Vazirmatn"/>
        <family val="0"/>
        <charset val="1"/>
      </rPr>
      <t xml:space="preserve">NBR  12 * 2/5 * 17</t>
    </r>
  </si>
  <si>
    <t xml:space="preserve">4025190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</si>
  <si>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2.5*17*12</t>
    </r>
  </si>
  <si>
    <t xml:space="preserve">31223555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</si>
  <si>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200 - 65 - 80 ( Q45 H40 )( 200 * 3/5 )</t>
    </r>
  </si>
  <si>
    <t xml:space="preserve">4018553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</si>
  <si>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3.5*45 </t>
    </r>
    <r>
      <rPr>
        <sz val="10"/>
        <rFont val="FreeSans"/>
        <family val="2"/>
      </rPr>
      <t xml:space="preserve">لاستیکی</t>
    </r>
  </si>
  <si>
    <t xml:space="preserve">31223575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</si>
  <si>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32 - 4 - 40</t>
    </r>
  </si>
  <si>
    <t xml:space="preserve">4025356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</si>
  <si>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4*32*40</t>
    </r>
  </si>
  <si>
    <t xml:space="preserve">31223576</t>
  </si>
  <si>
    <r>
      <rPr>
        <sz val="10"/>
        <rFont val="FreeSans"/>
        <family val="2"/>
      </rPr>
      <t xml:space="preserve">اورینگ لاستیکی وایتون </t>
    </r>
    <r>
      <rPr>
        <sz val="10"/>
        <rFont val="Vazirmatn"/>
        <family val="0"/>
        <charset val="1"/>
      </rPr>
      <t xml:space="preserve">8 - 2 - 12</t>
    </r>
  </si>
  <si>
    <t xml:space="preserve">5003073</t>
  </si>
  <si>
    <r>
      <rPr>
        <sz val="10"/>
        <rFont val="FreeSans"/>
        <family val="2"/>
      </rPr>
      <t xml:space="preserve">اورينگ </t>
    </r>
    <r>
      <rPr>
        <sz val="10"/>
        <rFont val="Vazirmatn"/>
        <family val="0"/>
        <charset val="1"/>
      </rPr>
      <t xml:space="preserve">2*12 </t>
    </r>
    <r>
      <rPr>
        <sz val="10"/>
        <rFont val="FreeSans"/>
        <family val="2"/>
      </rPr>
      <t xml:space="preserve">لاستيکي</t>
    </r>
  </si>
  <si>
    <t xml:space="preserve">31223577</t>
  </si>
  <si>
    <r>
      <rPr>
        <sz val="10"/>
        <rFont val="FreeSans"/>
        <family val="2"/>
      </rPr>
      <t xml:space="preserve">اورینگ لاستیکی وایتون  </t>
    </r>
    <r>
      <rPr>
        <sz val="10"/>
        <rFont val="Vazirmatn"/>
        <family val="0"/>
        <charset val="1"/>
      </rPr>
      <t xml:space="preserve">7 - 2/5 - 12</t>
    </r>
  </si>
  <si>
    <t xml:space="preserve">31223589</t>
  </si>
  <si>
    <r>
      <rPr>
        <sz val="10"/>
        <rFont val="FreeSans"/>
        <family val="2"/>
      </rPr>
      <t xml:space="preserve">گردگیر پشت کاسه نمد توپی اکسل فرمان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تن </t>
    </r>
    <r>
      <rPr>
        <sz val="10"/>
        <rFont val="Vazirmatn"/>
        <family val="0"/>
        <charset val="1"/>
      </rPr>
      <t xml:space="preserve">9532642</t>
    </r>
  </si>
  <si>
    <t xml:space="preserve">4045086</t>
  </si>
  <si>
    <t xml:space="preserve">گردگیر پشت کاسه نمد توپی اکسل فرمان</t>
  </si>
  <si>
    <t xml:space="preserve">31223597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</si>
  <si>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80 * 2/5 * 75</t>
    </r>
  </si>
  <si>
    <t xml:space="preserve">5005710</t>
  </si>
  <si>
    <r>
      <rPr>
        <sz val="10"/>
        <rFont val="FreeSans"/>
        <family val="2"/>
      </rPr>
      <t xml:space="preserve">اورينگ  </t>
    </r>
    <r>
      <rPr>
        <sz val="10"/>
        <rFont val="Vazirmatn"/>
        <family val="0"/>
        <charset val="1"/>
      </rPr>
      <t xml:space="preserve">2.5*75 </t>
    </r>
    <r>
      <rPr>
        <sz val="10"/>
        <rFont val="FreeSans"/>
        <family val="2"/>
      </rPr>
      <t xml:space="preserve">لاستيکي</t>
    </r>
  </si>
  <si>
    <t xml:space="preserve">31223601</t>
  </si>
  <si>
    <r>
      <rPr>
        <sz val="10"/>
        <rFont val="FreeSans"/>
        <family val="2"/>
      </rPr>
      <t xml:space="preserve">اورینگ وایتون   </t>
    </r>
    <r>
      <rPr>
        <sz val="10"/>
        <rFont val="Vazirmatn"/>
        <family val="0"/>
        <charset val="1"/>
      </rPr>
      <t xml:space="preserve">42 * 3/5 * 35</t>
    </r>
  </si>
  <si>
    <t xml:space="preserve">4025252</t>
  </si>
  <si>
    <r>
      <rPr>
        <sz val="10"/>
        <rFont val="FreeSans"/>
        <family val="2"/>
      </rPr>
      <t xml:space="preserve">اورینگ وایتون </t>
    </r>
    <r>
      <rPr>
        <sz val="10"/>
        <rFont val="Vazirmatn"/>
        <family val="0"/>
        <charset val="1"/>
      </rPr>
      <t xml:space="preserve">3.5*35</t>
    </r>
  </si>
  <si>
    <t xml:space="preserve">31224179</t>
  </si>
  <si>
    <t xml:space="preserve">فنر مخصوص جک پالت</t>
  </si>
  <si>
    <t xml:space="preserve">4024443</t>
  </si>
  <si>
    <t xml:space="preserve">فنر جک پالت دستی</t>
  </si>
  <si>
    <t xml:space="preserve">31225112</t>
  </si>
  <si>
    <t xml:space="preserve">فیلتر روغن پیکان</t>
  </si>
  <si>
    <t xml:space="preserve">4020888</t>
  </si>
  <si>
    <t xml:space="preserve">فیلتر روغن پیکان وانت</t>
  </si>
  <si>
    <t xml:space="preserve">31225154</t>
  </si>
  <si>
    <r>
      <rPr>
        <sz val="10"/>
        <rFont val="FreeSans"/>
        <family val="2"/>
      </rPr>
      <t xml:space="preserve">فیلتر هوای بزرگ لیفتراک گاز سوز </t>
    </r>
    <r>
      <rPr>
        <sz val="10"/>
        <rFont val="Vazirmatn"/>
        <family val="0"/>
        <charset val="1"/>
      </rPr>
      <t xml:space="preserve">Sj</t>
    </r>
  </si>
  <si>
    <t xml:space="preserve">4010774</t>
  </si>
  <si>
    <t xml:space="preserve">فيلتر هواي ليفتراک</t>
  </si>
  <si>
    <t xml:space="preserve">31225166</t>
  </si>
  <si>
    <r>
      <rPr>
        <sz val="10"/>
        <rFont val="FreeSans"/>
        <family val="2"/>
      </rPr>
      <t xml:space="preserve">فیلتر </t>
    </r>
    <r>
      <rPr>
        <sz val="10"/>
        <rFont val="Vazirmatn"/>
        <family val="0"/>
        <charset val="1"/>
      </rPr>
      <t xml:space="preserve">PP ( </t>
    </r>
    <r>
      <rPr>
        <sz val="10"/>
        <rFont val="FreeSans"/>
        <family val="2"/>
      </rPr>
      <t xml:space="preserve">ممبران </t>
    </r>
    <r>
      <rPr>
        <sz val="10"/>
        <rFont val="Vazirmatn"/>
        <family val="0"/>
        <charset val="1"/>
      </rPr>
      <t xml:space="preserve">RO )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میکرون</t>
    </r>
  </si>
  <si>
    <t xml:space="preserve">4028944</t>
  </si>
  <si>
    <r>
      <rPr>
        <sz val="10"/>
        <rFont val="FreeSans"/>
        <family val="2"/>
      </rPr>
      <t xml:space="preserve">فیلتر ممبران </t>
    </r>
    <r>
      <rPr>
        <sz val="10"/>
        <rFont val="Vazirmatn"/>
        <family val="0"/>
        <charset val="1"/>
      </rPr>
      <t xml:space="preserve">SWC5 - RO</t>
    </r>
  </si>
  <si>
    <t xml:space="preserve">31225168</t>
  </si>
  <si>
    <r>
      <rPr>
        <sz val="10"/>
        <rFont val="FreeSans"/>
        <family val="2"/>
      </rPr>
      <t xml:space="preserve">فیلتر تابلویی       </t>
    </r>
    <r>
      <rPr>
        <sz val="10"/>
        <rFont val="Vazirmatn"/>
        <family val="0"/>
        <charset val="1"/>
      </rPr>
      <t xml:space="preserve">25*25</t>
    </r>
  </si>
  <si>
    <t xml:space="preserve">4019400</t>
  </si>
  <si>
    <r>
      <rPr>
        <sz val="10"/>
        <rFont val="FreeSans"/>
        <family val="2"/>
      </rPr>
      <t xml:space="preserve">فیلتر تابلویی </t>
    </r>
    <r>
      <rPr>
        <sz val="10"/>
        <rFont val="Vazirmatn"/>
        <family val="0"/>
        <charset val="1"/>
      </rPr>
      <t xml:space="preserve">FANDIS  25*25 220V</t>
    </r>
  </si>
  <si>
    <t xml:space="preserve">31225185</t>
  </si>
  <si>
    <t xml:space="preserve">فیلتر هوای ژنراتور</t>
  </si>
  <si>
    <t xml:space="preserve">4026249</t>
  </si>
  <si>
    <t xml:space="preserve">فیلتر هوا بزرگ دیزل ژنراتور</t>
  </si>
  <si>
    <t xml:space="preserve">31225188</t>
  </si>
  <si>
    <r>
      <rPr>
        <sz val="10"/>
        <rFont val="FreeSans"/>
        <family val="2"/>
      </rPr>
      <t xml:space="preserve">فیلتر درایر مهره ای دانفوس بلند </t>
    </r>
    <r>
      <rPr>
        <sz val="10"/>
        <rFont val="Vazirmatn"/>
        <family val="0"/>
        <charset val="1"/>
      </rPr>
      <t xml:space="preserve">"5/8</t>
    </r>
  </si>
  <si>
    <t xml:space="preserve">5020284</t>
  </si>
  <si>
    <r>
      <rPr>
        <sz val="10"/>
        <rFont val="FreeSans"/>
        <family val="2"/>
      </rPr>
      <t xml:space="preserve">فیلتر درایر </t>
    </r>
    <r>
      <rPr>
        <sz val="10"/>
        <rFont val="Vazirmatn"/>
        <family val="0"/>
        <charset val="1"/>
      </rPr>
      <t xml:space="preserve">5/8 </t>
    </r>
    <r>
      <rPr>
        <sz val="10"/>
        <rFont val="FreeSans"/>
        <family val="2"/>
      </rPr>
      <t xml:space="preserve">پایه بلند</t>
    </r>
  </si>
  <si>
    <t xml:space="preserve">31225197</t>
  </si>
  <si>
    <t xml:space="preserve">فیلتر روغن موتور</t>
  </si>
  <si>
    <t xml:space="preserve">4028906</t>
  </si>
  <si>
    <t xml:space="preserve">فیلتر روغن پژو</t>
  </si>
  <si>
    <t xml:space="preserve">31225198</t>
  </si>
  <si>
    <t xml:space="preserve">فیلتر سوخت ثانویه</t>
  </si>
  <si>
    <t xml:space="preserve">4028214</t>
  </si>
  <si>
    <r>
      <rPr>
        <sz val="10"/>
        <rFont val="FreeSans"/>
        <family val="2"/>
      </rPr>
      <t xml:space="preserve">فیلترمیانی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فیلتر ثانویه</t>
    </r>
    <r>
      <rPr>
        <sz val="10"/>
        <rFont val="Vazirmatn"/>
        <family val="0"/>
        <charset val="1"/>
      </rPr>
      <t xml:space="preserve">)</t>
    </r>
  </si>
  <si>
    <t xml:space="preserve">31225207</t>
  </si>
  <si>
    <t xml:space="preserve">فیلتر هوا</t>
  </si>
  <si>
    <t xml:space="preserve">4028885</t>
  </si>
  <si>
    <t xml:space="preserve">فیلتر هوا پژو</t>
  </si>
  <si>
    <t xml:space="preserve">31225212</t>
  </si>
  <si>
    <t xml:space="preserve">فیلتر روغن گیربکس</t>
  </si>
  <si>
    <t xml:space="preserve">31225231</t>
  </si>
  <si>
    <r>
      <rPr>
        <sz val="10"/>
        <rFont val="FreeSans"/>
        <family val="2"/>
      </rPr>
      <t xml:space="preserve">فیلتر هوای اطلس  </t>
    </r>
    <r>
      <rPr>
        <sz val="10"/>
        <rFont val="Vazirmatn"/>
        <family val="0"/>
        <charset val="1"/>
      </rPr>
      <t xml:space="preserve">GA55</t>
    </r>
  </si>
  <si>
    <t xml:space="preserve">5018325</t>
  </si>
  <si>
    <r>
      <rPr>
        <sz val="10"/>
        <rFont val="FreeSans"/>
        <family val="2"/>
      </rPr>
      <t xml:space="preserve">فیلتر هوای کمپرسور </t>
    </r>
    <r>
      <rPr>
        <sz val="10"/>
        <rFont val="Vazirmatn"/>
        <family val="0"/>
        <charset val="1"/>
      </rPr>
      <t xml:space="preserve">GA55 1622185501</t>
    </r>
  </si>
  <si>
    <t xml:space="preserve">31225242</t>
  </si>
  <si>
    <r>
      <rPr>
        <sz val="10"/>
        <rFont val="FreeSans"/>
        <family val="2"/>
      </rPr>
      <t xml:space="preserve">فیلتر سپراتور اطلس  </t>
    </r>
    <r>
      <rPr>
        <sz val="10"/>
        <rFont val="Vazirmatn"/>
        <family val="0"/>
        <charset val="1"/>
      </rPr>
      <t xml:space="preserve">GA55</t>
    </r>
  </si>
  <si>
    <t xml:space="preserve">4028914</t>
  </si>
  <si>
    <r>
      <rPr>
        <sz val="10"/>
        <rFont val="FreeSans"/>
        <family val="2"/>
      </rPr>
      <t xml:space="preserve">فیلتر روغن سپراتور </t>
    </r>
    <r>
      <rPr>
        <sz val="10"/>
        <rFont val="Vazirmatn"/>
        <family val="0"/>
        <charset val="1"/>
      </rPr>
      <t xml:space="preserve">GA55</t>
    </r>
  </si>
  <si>
    <t xml:space="preserve">31225243</t>
  </si>
  <si>
    <r>
      <rPr>
        <sz val="10"/>
        <rFont val="FreeSans"/>
        <family val="2"/>
      </rPr>
      <t xml:space="preserve">فیلتر روغن اطلس  </t>
    </r>
    <r>
      <rPr>
        <sz val="10"/>
        <rFont val="Vazirmatn"/>
        <family val="0"/>
        <charset val="1"/>
      </rPr>
      <t xml:space="preserve">GA55</t>
    </r>
  </si>
  <si>
    <t xml:space="preserve">31225252</t>
  </si>
  <si>
    <t xml:space="preserve">فیلتر ماسک شیمیایی تمام صورت</t>
  </si>
  <si>
    <t xml:space="preserve">5010886</t>
  </si>
  <si>
    <t xml:space="preserve">فیلتر ماسک صورت</t>
  </si>
  <si>
    <t xml:space="preserve">31225253</t>
  </si>
  <si>
    <r>
      <rPr>
        <sz val="10"/>
        <rFont val="FreeSans"/>
        <family val="2"/>
      </rPr>
      <t xml:space="preserve">فیلتر ماسک شیمیایی  </t>
    </r>
    <r>
      <rPr>
        <sz val="10"/>
        <rFont val="Vazirmatn"/>
        <family val="0"/>
        <charset val="1"/>
      </rPr>
      <t xml:space="preserve">Spassiani2P3R</t>
    </r>
  </si>
  <si>
    <t xml:space="preserve">5014412</t>
  </si>
  <si>
    <r>
      <rPr>
        <sz val="10"/>
        <rFont val="FreeSans"/>
        <family val="2"/>
      </rPr>
      <t xml:space="preserve">فیلتر ماسک شیمیایی </t>
    </r>
    <r>
      <rPr>
        <sz val="10"/>
        <rFont val="Vazirmatn"/>
        <family val="0"/>
        <charset val="1"/>
      </rPr>
      <t xml:space="preserve">3M</t>
    </r>
  </si>
  <si>
    <t xml:space="preserve">31225258</t>
  </si>
  <si>
    <r>
      <rPr>
        <sz val="10"/>
        <rFont val="FreeSans"/>
        <family val="2"/>
      </rPr>
      <t xml:space="preserve">فیلتر ماسک شیمیایی   </t>
    </r>
    <r>
      <rPr>
        <sz val="10"/>
        <rFont val="Vazirmatn"/>
        <family val="0"/>
        <charset val="1"/>
      </rPr>
      <t xml:space="preserve">6006 3M</t>
    </r>
  </si>
  <si>
    <t xml:space="preserve">31225415</t>
  </si>
  <si>
    <r>
      <rPr>
        <sz val="10"/>
        <rFont val="FreeSans"/>
        <family val="2"/>
      </rPr>
      <t xml:space="preserve">فیلتر متوسط   </t>
    </r>
    <r>
      <rPr>
        <sz val="10"/>
        <rFont val="Vazirmatn"/>
        <family val="0"/>
        <charset val="1"/>
      </rPr>
      <t xml:space="preserve">MEDIUM  FILTER</t>
    </r>
  </si>
  <si>
    <t xml:space="preserve">4028897</t>
  </si>
  <si>
    <r>
      <rPr>
        <sz val="10"/>
        <rFont val="Vazirmatn"/>
        <family val="0"/>
        <charset val="1"/>
      </rPr>
      <t xml:space="preserve">Medium filter (</t>
    </r>
    <r>
      <rPr>
        <sz val="10"/>
        <rFont val="FreeSans"/>
        <family val="2"/>
      </rPr>
      <t xml:space="preserve">فیلترمیانی</t>
    </r>
    <r>
      <rPr>
        <sz val="10"/>
        <rFont val="Vazirmatn"/>
        <family val="0"/>
        <charset val="1"/>
      </rPr>
      <t xml:space="preserve">).</t>
    </r>
  </si>
  <si>
    <t xml:space="preserve">31225417</t>
  </si>
  <si>
    <r>
      <rPr>
        <sz val="10"/>
        <rFont val="FreeSans"/>
        <family val="2"/>
      </rPr>
      <t xml:space="preserve">فیلتر ابتدایی      </t>
    </r>
    <r>
      <rPr>
        <sz val="10"/>
        <rFont val="Vazirmatn"/>
        <family val="0"/>
        <charset val="1"/>
      </rPr>
      <t xml:space="preserve">primarily  filter</t>
    </r>
  </si>
  <si>
    <t xml:space="preserve">4028896</t>
  </si>
  <si>
    <r>
      <rPr>
        <sz val="10"/>
        <rFont val="Vazirmatn"/>
        <family val="0"/>
        <charset val="1"/>
      </rPr>
      <t xml:space="preserve">Primarily filter (</t>
    </r>
    <r>
      <rPr>
        <sz val="10"/>
        <rFont val="FreeSans"/>
        <family val="2"/>
      </rPr>
      <t xml:space="preserve">فیلتراصلی</t>
    </r>
    <r>
      <rPr>
        <sz val="10"/>
        <rFont val="Vazirmatn"/>
        <family val="0"/>
        <charset val="1"/>
      </rPr>
      <t xml:space="preserve">).</t>
    </r>
  </si>
  <si>
    <t xml:space="preserve">31225418</t>
  </si>
  <si>
    <t xml:space="preserve">فیلتر هوای پاک سفید</t>
  </si>
  <si>
    <t xml:space="preserve">4028886</t>
  </si>
  <si>
    <t xml:space="preserve">فیلتر هوای ریو</t>
  </si>
  <si>
    <t xml:space="preserve">31225419</t>
  </si>
  <si>
    <t xml:space="preserve">فیلتر هوای پاک صورتی</t>
  </si>
  <si>
    <t xml:space="preserve">31225420</t>
  </si>
  <si>
    <t xml:space="preserve">فیلتر هوای آکاردئونی</t>
  </si>
  <si>
    <t xml:space="preserve">31226302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</si>
  <si>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315 - 100 - 125 IHD</t>
    </r>
  </si>
  <si>
    <t xml:space="preserve">4055512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</si>
  <si>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IHD125-100-315</t>
    </r>
  </si>
  <si>
    <t xml:space="preserve">31226303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</si>
  <si>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250 - 65 - 100 IHD</t>
    </r>
  </si>
  <si>
    <t xml:space="preserve">4025379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</si>
  <si>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IHD100-65-250</t>
    </r>
  </si>
  <si>
    <t xml:space="preserve">31226325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</si>
  <si>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20  FUF</t>
    </r>
  </si>
  <si>
    <t xml:space="preserve">4055317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</si>
  <si>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75TLS6-20C</t>
    </r>
  </si>
  <si>
    <t xml:space="preserve">31226339</t>
  </si>
  <si>
    <r>
      <rPr>
        <sz val="10"/>
        <rFont val="FreeSans"/>
        <family val="2"/>
      </rPr>
      <t xml:space="preserve">سیل مکانیکی پمپ </t>
    </r>
    <r>
      <rPr>
        <sz val="10"/>
        <rFont val="Vazirmatn"/>
        <family val="0"/>
        <charset val="1"/>
      </rPr>
      <t xml:space="preserve">200 - 65 - 80 IHD</t>
    </r>
  </si>
  <si>
    <t xml:space="preserve">31226345</t>
  </si>
  <si>
    <r>
      <rPr>
        <sz val="10"/>
        <rFont val="FreeSans"/>
        <family val="2"/>
      </rPr>
      <t xml:space="preserve">سیل مکانیکی      </t>
    </r>
    <r>
      <rPr>
        <sz val="10"/>
        <rFont val="Vazirmatn"/>
        <family val="0"/>
        <charset val="1"/>
      </rPr>
      <t xml:space="preserve">MG1-30</t>
    </r>
  </si>
  <si>
    <t xml:space="preserve">31226359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</si>
  <si>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KHZ50-32-160</t>
    </r>
  </si>
  <si>
    <t xml:space="preserve">4058116</t>
  </si>
  <si>
    <r>
      <rPr>
        <sz val="10"/>
        <rFont val="FreeSans"/>
        <family val="2"/>
      </rPr>
      <t xml:space="preserve">سیل مکانیکی پمپ مگنتی</t>
    </r>
    <r>
      <rPr>
        <sz val="10"/>
        <rFont val="Vazirmatn"/>
        <family val="0"/>
        <charset val="1"/>
      </rPr>
      <t xml:space="preserve">CQB50-32-160F</t>
    </r>
  </si>
  <si>
    <t xml:space="preserve">31226361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</si>
  <si>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IHD 125-100-400</t>
    </r>
  </si>
  <si>
    <t xml:space="preserve">31226362</t>
  </si>
  <si>
    <r>
      <rPr>
        <sz val="10"/>
        <rFont val="FreeSans"/>
        <family val="2"/>
      </rPr>
      <t xml:space="preserve">سیل مکانیکی پمپ </t>
    </r>
    <r>
      <rPr>
        <sz val="10"/>
        <rFont val="Vazirmatn"/>
        <family val="0"/>
        <charset val="1"/>
      </rPr>
      <t xml:space="preserve">KHZ65-50-160</t>
    </r>
  </si>
  <si>
    <t xml:space="preserve">5013115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</si>
  <si>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KHZ65-50-160 7.5 KW</t>
    </r>
  </si>
  <si>
    <t xml:space="preserve">31226363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</si>
  <si>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KHZ100-65-250</t>
    </r>
  </si>
  <si>
    <t xml:space="preserve">31226366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</si>
  <si>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IHD50-32-160</t>
    </r>
  </si>
  <si>
    <t xml:space="preserve">4055545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</si>
  <si>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IHD 50-32-160</t>
    </r>
  </si>
  <si>
    <t xml:space="preserve">31226379</t>
  </si>
  <si>
    <r>
      <rPr>
        <sz val="10"/>
        <rFont val="FreeSans"/>
        <family val="2"/>
      </rPr>
      <t xml:space="preserve">سیل مکانیکی پمپ خلاء  </t>
    </r>
    <r>
      <rPr>
        <sz val="10"/>
        <rFont val="Vazirmatn"/>
        <family val="0"/>
        <charset val="1"/>
      </rPr>
      <t xml:space="preserve">2BV6161</t>
    </r>
  </si>
  <si>
    <t xml:space="preserve">4025433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</si>
  <si>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2BV6161</t>
    </r>
  </si>
  <si>
    <t xml:space="preserve">31226380</t>
  </si>
  <si>
    <r>
      <rPr>
        <sz val="10"/>
        <rFont val="FreeSans"/>
        <family val="2"/>
      </rPr>
      <t xml:space="preserve">سیل مکانیکی پمپ خلاء  </t>
    </r>
    <r>
      <rPr>
        <sz val="10"/>
        <rFont val="Vazirmatn"/>
        <family val="0"/>
        <charset val="1"/>
      </rPr>
      <t xml:space="preserve">2BE1202</t>
    </r>
  </si>
  <si>
    <t xml:space="preserve">4025420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</si>
  <si>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2BE1202-970</t>
    </r>
  </si>
  <si>
    <t xml:space="preserve">31226382</t>
  </si>
  <si>
    <r>
      <rPr>
        <sz val="10"/>
        <rFont val="FreeSans"/>
        <family val="2"/>
      </rPr>
      <t xml:space="preserve">سیل مکانیکی پمپ خلاء  </t>
    </r>
    <r>
      <rPr>
        <sz val="10"/>
        <rFont val="Vazirmatn"/>
        <family val="0"/>
        <charset val="1"/>
      </rPr>
      <t xml:space="preserve">2BV2071</t>
    </r>
  </si>
  <si>
    <t xml:space="preserve">4025434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</si>
  <si>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2BV2071</t>
    </r>
  </si>
  <si>
    <t xml:space="preserve">31226383</t>
  </si>
  <si>
    <r>
      <rPr>
        <sz val="10"/>
        <rFont val="FreeSans"/>
        <family val="2"/>
      </rPr>
      <t xml:space="preserve">سیل مکانیکی پمپ خلاء  </t>
    </r>
    <r>
      <rPr>
        <sz val="10"/>
        <rFont val="Vazirmatn"/>
        <family val="0"/>
        <charset val="1"/>
      </rPr>
      <t xml:space="preserve">2BV6131</t>
    </r>
  </si>
  <si>
    <t xml:space="preserve">4025432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</si>
  <si>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2BV6131</t>
    </r>
  </si>
  <si>
    <t xml:space="preserve">31226384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</si>
  <si>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200 - 65 - 80   ( Q40 H50 )  IHD</t>
    </r>
  </si>
  <si>
    <t xml:space="preserve">31226387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</si>
  <si>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250 - 50 - 65 IHD</t>
    </r>
  </si>
  <si>
    <t xml:space="preserve">4055593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</si>
  <si>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IHD 65-50-250</t>
    </r>
  </si>
  <si>
    <t xml:space="preserve">31226388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</si>
  <si>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160 - 65 - 80 Q60 H30 ) IHD)</t>
    </r>
  </si>
  <si>
    <t xml:space="preserve">31226390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</si>
  <si>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250 - 65 - 80 IHD</t>
    </r>
  </si>
  <si>
    <t xml:space="preserve">31226391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</si>
  <si>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400 - 50 - 80   ( K041008 ) IHD</t>
    </r>
  </si>
  <si>
    <t xml:space="preserve">4055358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</si>
  <si>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IHD80-50-400</t>
    </r>
  </si>
  <si>
    <t xml:space="preserve">31226392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</si>
  <si>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125 - 50 - 65 IHD</t>
    </r>
  </si>
  <si>
    <t xml:space="preserve">4025383</t>
  </si>
  <si>
    <r>
      <rPr>
        <sz val="10"/>
        <rFont val="FreeSans"/>
        <family val="2"/>
      </rPr>
      <t xml:space="preserve">سیل مکانیکی</t>
    </r>
    <r>
      <rPr>
        <sz val="10"/>
        <rFont val="Vazirmatn"/>
        <family val="0"/>
        <charset val="1"/>
      </rPr>
      <t xml:space="preserve">:  125-50-65 IHD</t>
    </r>
  </si>
  <si>
    <t xml:space="preserve">31226393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</si>
  <si>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200 - 32 - 50 IHD</t>
    </r>
  </si>
  <si>
    <t xml:space="preserve">31226396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</si>
  <si>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125 - 32 - 50 IHD</t>
    </r>
  </si>
  <si>
    <t xml:space="preserve">4055543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</si>
  <si>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IHD 50-32-125</t>
    </r>
  </si>
  <si>
    <t xml:space="preserve">31226397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</si>
  <si>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400 - 150 - 200   ( 560D 65 ) IHD</t>
    </r>
  </si>
  <si>
    <t xml:space="preserve">4058451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</si>
  <si>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IHD 200-150-400</t>
    </r>
  </si>
  <si>
    <t xml:space="preserve">31226398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</si>
  <si>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315 - 100 - 125 IHD</t>
    </r>
  </si>
  <si>
    <t xml:space="preserve">31226400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</si>
  <si>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200 - 50 - 65 IHD</t>
    </r>
  </si>
  <si>
    <t xml:space="preserve">31226401</t>
  </si>
  <si>
    <r>
      <rPr>
        <sz val="10"/>
        <rFont val="FreeSans"/>
        <family val="2"/>
      </rPr>
      <t xml:space="preserve">سیل مکانیکی پمپ </t>
    </r>
    <r>
      <rPr>
        <sz val="10"/>
        <rFont val="Vazirmatn"/>
        <family val="0"/>
        <charset val="1"/>
      </rPr>
      <t xml:space="preserve">400 - 50 - 80   580D 55 / IHD</t>
    </r>
  </si>
  <si>
    <t xml:space="preserve">31226402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</si>
  <si>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160 - 65 - 80   ( Q40 H30 ) IHD</t>
    </r>
  </si>
  <si>
    <t xml:space="preserve">31226403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</si>
  <si>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160 - 50 -  65 IHD</t>
    </r>
  </si>
  <si>
    <t xml:space="preserve">4025387</t>
  </si>
  <si>
    <r>
      <rPr>
        <sz val="10"/>
        <rFont val="FreeSans"/>
        <family val="2"/>
      </rPr>
      <t xml:space="preserve">سیل مکانیکی</t>
    </r>
    <r>
      <rPr>
        <sz val="10"/>
        <rFont val="Vazirmatn"/>
        <family val="0"/>
        <charset val="1"/>
      </rPr>
      <t xml:space="preserve">:  160-50-65 IHD</t>
    </r>
  </si>
  <si>
    <t xml:space="preserve">31226409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</si>
  <si>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250 - 65 - 100 KHZ</t>
    </r>
  </si>
  <si>
    <t xml:space="preserve">31226420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</si>
  <si>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IHF80-65-160</t>
    </r>
  </si>
  <si>
    <t xml:space="preserve">31226432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</si>
  <si>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A / CB 12</t>
    </r>
  </si>
  <si>
    <t xml:space="preserve">4056567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</si>
  <si>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50TLS12-10C</t>
    </r>
  </si>
  <si>
    <t xml:space="preserve">31226435</t>
  </si>
  <si>
    <r>
      <rPr>
        <sz val="10"/>
        <rFont val="FreeSans"/>
        <family val="2"/>
      </rPr>
      <t xml:space="preserve">سیل مکانیکی پمپ </t>
    </r>
    <r>
      <rPr>
        <sz val="10"/>
        <rFont val="Vazirmatn"/>
        <family val="0"/>
        <charset val="1"/>
      </rPr>
      <t xml:space="preserve">315 - 125 - 150 KPW</t>
    </r>
  </si>
  <si>
    <t xml:space="preserve">4025400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</si>
  <si>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315-125-150 IHD</t>
    </r>
  </si>
  <si>
    <t xml:space="preserve">31226437</t>
  </si>
  <si>
    <r>
      <rPr>
        <sz val="10"/>
        <rFont val="FreeSans"/>
        <family val="2"/>
      </rPr>
      <t xml:space="preserve">سیل مکانیکی پمپ </t>
    </r>
    <r>
      <rPr>
        <sz val="10"/>
        <rFont val="Vazirmatn"/>
        <family val="0"/>
        <charset val="1"/>
      </rPr>
      <t xml:space="preserve">400 - 100 - 125 KPW</t>
    </r>
  </si>
  <si>
    <t xml:space="preserve">31226438</t>
  </si>
  <si>
    <r>
      <rPr>
        <sz val="10"/>
        <rFont val="FreeSans"/>
        <family val="2"/>
      </rPr>
      <t xml:space="preserve">سیل مکانیکی پمپ </t>
    </r>
    <r>
      <rPr>
        <sz val="10"/>
        <rFont val="Vazirmatn"/>
        <family val="0"/>
        <charset val="1"/>
      </rPr>
      <t xml:space="preserve">315 - 100 - 125  KPW</t>
    </r>
  </si>
  <si>
    <t xml:space="preserve">4025410</t>
  </si>
  <si>
    <r>
      <rPr>
        <sz val="10"/>
        <rFont val="FreeSans"/>
        <family val="2"/>
      </rPr>
      <t xml:space="preserve">سیل مکانیکی پمپ تفلونی </t>
    </r>
    <r>
      <rPr>
        <sz val="10"/>
        <rFont val="Vazirmatn"/>
        <family val="0"/>
        <charset val="1"/>
      </rPr>
      <t xml:space="preserve">315-100</t>
    </r>
  </si>
  <si>
    <t xml:space="preserve">31226439</t>
  </si>
  <si>
    <r>
      <rPr>
        <sz val="10"/>
        <rFont val="FreeSans"/>
        <family val="2"/>
      </rPr>
      <t xml:space="preserve">سیل مکانیکی پمپ </t>
    </r>
    <r>
      <rPr>
        <sz val="10"/>
        <rFont val="Vazirmatn"/>
        <family val="0"/>
        <charset val="1"/>
      </rPr>
      <t xml:space="preserve">250 - 100 - 125 KPW</t>
    </r>
  </si>
  <si>
    <t xml:space="preserve">4025398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</si>
  <si>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250-100-125 IHD</t>
    </r>
  </si>
  <si>
    <t xml:space="preserve">31226440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</si>
  <si>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250 - 100 - 125 IHD</t>
    </r>
  </si>
  <si>
    <t xml:space="preserve">31226441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</si>
  <si>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315 - 125 - 150 IHD</t>
    </r>
  </si>
  <si>
    <t xml:space="preserve">31226443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</si>
  <si>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200 - 65 - 80 IHD</t>
    </r>
  </si>
  <si>
    <t xml:space="preserve">31226447</t>
  </si>
  <si>
    <t xml:space="preserve">سیل مکانیکی همزن ساکاری</t>
  </si>
  <si>
    <t xml:space="preserve">5013129</t>
  </si>
  <si>
    <t xml:space="preserve">سیل مکانیکی ساکاریا</t>
  </si>
  <si>
    <t xml:space="preserve">31226478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</si>
  <si>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AR 30</t>
    </r>
  </si>
  <si>
    <t xml:space="preserve">4057938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</si>
  <si>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60TLS6-30C</t>
    </r>
  </si>
  <si>
    <t xml:space="preserve">31226481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</si>
  <si>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AR 25</t>
    </r>
  </si>
  <si>
    <t xml:space="preserve">5013131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</si>
  <si>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120B 25</t>
    </r>
  </si>
  <si>
    <t xml:space="preserve">31226484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</si>
  <si>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IHD100-65-315</t>
    </r>
  </si>
  <si>
    <t xml:space="preserve">5013118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</si>
  <si>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IHD100-65-315 11 KW</t>
    </r>
  </si>
  <si>
    <t xml:space="preserve">31226485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</si>
  <si>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IHD150-125-250</t>
    </r>
  </si>
  <si>
    <t xml:space="preserve">4025380</t>
  </si>
  <si>
    <r>
      <rPr>
        <sz val="10"/>
        <rFont val="FreeSans"/>
        <family val="2"/>
      </rPr>
      <t xml:space="preserve">سیل مکانیکی</t>
    </r>
    <r>
      <rPr>
        <sz val="10"/>
        <rFont val="Vazirmatn"/>
        <family val="0"/>
        <charset val="1"/>
      </rPr>
      <t xml:space="preserve">:  250-125-150 IHD</t>
    </r>
  </si>
  <si>
    <t xml:space="preserve">31226486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</si>
  <si>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IHD200-150-315</t>
    </r>
  </si>
  <si>
    <t xml:space="preserve">4025408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</si>
  <si>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IHD 200-150-315</t>
    </r>
  </si>
  <si>
    <t xml:space="preserve">31226491</t>
  </si>
  <si>
    <r>
      <rPr>
        <sz val="10"/>
        <rFont val="FreeSans"/>
        <family val="2"/>
      </rPr>
      <t xml:space="preserve">سیل مکانیکی  سایر  </t>
    </r>
    <r>
      <rPr>
        <sz val="10"/>
        <rFont val="Vazirmatn"/>
        <family val="0"/>
        <charset val="1"/>
      </rPr>
      <t xml:space="preserve">AR 25</t>
    </r>
  </si>
  <si>
    <t xml:space="preserve">31226583</t>
  </si>
  <si>
    <r>
      <rPr>
        <sz val="10"/>
        <rFont val="FreeSans"/>
        <family val="2"/>
      </rPr>
      <t xml:space="preserve">طناب پلاستیکی    نمره </t>
    </r>
    <r>
      <rPr>
        <sz val="10"/>
        <rFont val="Vazirmatn"/>
        <family val="0"/>
        <charset val="1"/>
      </rPr>
      <t xml:space="preserve">10</t>
    </r>
  </si>
  <si>
    <t xml:space="preserve">31227124</t>
  </si>
  <si>
    <r>
      <rPr>
        <sz val="10"/>
        <rFont val="FreeSans"/>
        <family val="2"/>
      </rPr>
      <t xml:space="preserve">نازل پلاستیکی  </t>
    </r>
    <r>
      <rPr>
        <sz val="10"/>
        <rFont val="Vazirmatn"/>
        <family val="0"/>
        <charset val="1"/>
      </rPr>
      <t xml:space="preserve">" 1/2</t>
    </r>
  </si>
  <si>
    <t xml:space="preserve">4005224</t>
  </si>
  <si>
    <r>
      <rPr>
        <sz val="10"/>
        <rFont val="FreeSans"/>
        <family val="2"/>
      </rPr>
      <t xml:space="preserve">نازل </t>
    </r>
    <r>
      <rPr>
        <sz val="10"/>
        <rFont val="Vazirmatn"/>
        <family val="0"/>
        <charset val="1"/>
      </rPr>
      <t xml:space="preserve">1/2-2 in</t>
    </r>
  </si>
  <si>
    <t xml:space="preserve">31227128</t>
  </si>
  <si>
    <t xml:space="preserve">نازل کارواش</t>
  </si>
  <si>
    <t xml:space="preserve">4026308</t>
  </si>
  <si>
    <r>
      <rPr>
        <sz val="10"/>
        <rFont val="FreeSans"/>
        <family val="2"/>
      </rPr>
      <t xml:space="preserve">نازل کارواش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لانس</t>
    </r>
    <r>
      <rPr>
        <sz val="10"/>
        <rFont val="Vazirmatn"/>
        <family val="0"/>
        <charset val="1"/>
      </rPr>
      <t xml:space="preserve">)</t>
    </r>
  </si>
  <si>
    <t xml:space="preserve">31227147</t>
  </si>
  <si>
    <r>
      <rPr>
        <sz val="10"/>
        <rFont val="FreeSans"/>
        <family val="2"/>
      </rPr>
      <t xml:space="preserve">نازل پلاسما  </t>
    </r>
    <r>
      <rPr>
        <sz val="10"/>
        <rFont val="Vazirmatn"/>
        <family val="0"/>
        <charset val="1"/>
      </rPr>
      <t xml:space="preserve">1/1</t>
    </r>
  </si>
  <si>
    <t xml:space="preserve">4026344</t>
  </si>
  <si>
    <t xml:space="preserve">نازل پلاسما</t>
  </si>
  <si>
    <t xml:space="preserve">31227153</t>
  </si>
  <si>
    <r>
      <rPr>
        <sz val="10"/>
        <rFont val="FreeSans"/>
        <family val="2"/>
      </rPr>
      <t xml:space="preserve">نازل برش پلاسما  </t>
    </r>
    <r>
      <rPr>
        <sz val="10"/>
        <rFont val="Vazirmatn"/>
        <family val="0"/>
        <charset val="1"/>
      </rPr>
      <t xml:space="preserve">1/6   CB 150</t>
    </r>
  </si>
  <si>
    <t xml:space="preserve">4026346</t>
  </si>
  <si>
    <r>
      <rPr>
        <sz val="10"/>
        <rFont val="FreeSans"/>
        <family val="2"/>
      </rPr>
      <t xml:space="preserve">نازل پلاسما نمره </t>
    </r>
    <r>
      <rPr>
        <sz val="10"/>
        <rFont val="Vazirmatn"/>
        <family val="0"/>
        <charset val="1"/>
      </rPr>
      <t xml:space="preserve">1.6</t>
    </r>
  </si>
  <si>
    <t xml:space="preserve">31227161</t>
  </si>
  <si>
    <r>
      <rPr>
        <sz val="10"/>
        <rFont val="FreeSans"/>
        <family val="2"/>
      </rPr>
      <t xml:space="preserve">نازل </t>
    </r>
    <r>
      <rPr>
        <sz val="10"/>
        <rFont val="Vazirmatn"/>
        <family val="0"/>
        <charset val="1"/>
      </rPr>
      <t xml:space="preserve">1/2 CO2</t>
    </r>
  </si>
  <si>
    <t xml:space="preserve">31227162</t>
  </si>
  <si>
    <r>
      <rPr>
        <sz val="10"/>
        <rFont val="FreeSans"/>
        <family val="2"/>
      </rPr>
      <t xml:space="preserve">نازل </t>
    </r>
    <r>
      <rPr>
        <sz val="10"/>
        <rFont val="Vazirmatn"/>
        <family val="0"/>
        <charset val="1"/>
      </rPr>
      <t xml:space="preserve">0/8 CO2</t>
    </r>
  </si>
  <si>
    <t xml:space="preserve">4045906</t>
  </si>
  <si>
    <r>
      <rPr>
        <sz val="10"/>
        <rFont val="FreeSans"/>
        <family val="2"/>
      </rPr>
      <t xml:space="preserve">نازل تورچ </t>
    </r>
    <r>
      <rPr>
        <sz val="10"/>
        <rFont val="Vazirmatn"/>
        <family val="0"/>
        <charset val="1"/>
      </rPr>
      <t xml:space="preserve">CO2 0.8</t>
    </r>
  </si>
  <si>
    <t xml:space="preserve">31227165</t>
  </si>
  <si>
    <r>
      <rPr>
        <sz val="10"/>
        <rFont val="FreeSans"/>
        <family val="2"/>
      </rPr>
      <t xml:space="preserve">قطره چکان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نازل </t>
    </r>
    <r>
      <rPr>
        <sz val="10"/>
        <rFont val="Vazirmatn"/>
        <family val="0"/>
        <charset val="1"/>
      </rPr>
      <t xml:space="preserve">)</t>
    </r>
  </si>
  <si>
    <t xml:space="preserve">5011018</t>
  </si>
  <si>
    <t xml:space="preserve">قطره چکان ساده</t>
  </si>
  <si>
    <t xml:space="preserve">31227204</t>
  </si>
  <si>
    <r>
      <rPr>
        <sz val="10"/>
        <rFont val="FreeSans"/>
        <family val="2"/>
      </rPr>
      <t xml:space="preserve">پکینگ                        </t>
    </r>
    <r>
      <rPr>
        <sz val="10"/>
        <rFont val="Vazirmatn"/>
        <family val="0"/>
        <charset val="1"/>
      </rPr>
      <t xml:space="preserve">15 * 115 * 135</t>
    </r>
  </si>
  <si>
    <t xml:space="preserve">4030237</t>
  </si>
  <si>
    <r>
      <rPr>
        <sz val="10"/>
        <rFont val="FreeSans"/>
        <family val="2"/>
      </rPr>
      <t xml:space="preserve">پکینگ  </t>
    </r>
    <r>
      <rPr>
        <sz val="10"/>
        <rFont val="Vazirmatn"/>
        <family val="0"/>
        <charset val="1"/>
      </rPr>
      <t xml:space="preserve">DN15</t>
    </r>
  </si>
  <si>
    <t xml:space="preserve">31227251</t>
  </si>
  <si>
    <r>
      <rPr>
        <sz val="10"/>
        <rFont val="FreeSans"/>
        <family val="2"/>
      </rPr>
      <t xml:space="preserve">پکینگ     </t>
    </r>
    <r>
      <rPr>
        <sz val="10"/>
        <rFont val="Vazirmatn"/>
        <family val="0"/>
        <charset val="1"/>
      </rPr>
      <t xml:space="preserve">8 * 26 * 15</t>
    </r>
  </si>
  <si>
    <t xml:space="preserve">31227321</t>
  </si>
  <si>
    <r>
      <rPr>
        <sz val="10"/>
        <rFont val="FreeSans"/>
        <family val="2"/>
      </rPr>
      <t xml:space="preserve">پکینگ  </t>
    </r>
    <r>
      <rPr>
        <sz val="10"/>
        <rFont val="Vazirmatn"/>
        <family val="0"/>
        <charset val="1"/>
      </rPr>
      <t xml:space="preserve">12 * 10 * 25</t>
    </r>
  </si>
  <si>
    <t xml:space="preserve">31227335</t>
  </si>
  <si>
    <r>
      <rPr>
        <sz val="10"/>
        <rFont val="FreeSans"/>
        <family val="2"/>
      </rPr>
      <t xml:space="preserve">پکینگ   </t>
    </r>
    <r>
      <rPr>
        <sz val="10"/>
        <rFont val="Vazirmatn"/>
        <family val="0"/>
        <charset val="1"/>
      </rPr>
      <t xml:space="preserve">7/5 - 40 - 30</t>
    </r>
  </si>
  <si>
    <t xml:space="preserve">4030239</t>
  </si>
  <si>
    <r>
      <rPr>
        <sz val="10"/>
        <rFont val="FreeSans"/>
        <family val="2"/>
      </rPr>
      <t xml:space="preserve">پکینگ  </t>
    </r>
    <r>
      <rPr>
        <sz val="10"/>
        <rFont val="Vazirmatn"/>
        <family val="0"/>
        <charset val="1"/>
      </rPr>
      <t xml:space="preserve">DN40</t>
    </r>
  </si>
  <si>
    <t xml:space="preserve">31228103</t>
  </si>
  <si>
    <t xml:space="preserve">چسب هل</t>
  </si>
  <si>
    <t xml:space="preserve">5005970</t>
  </si>
  <si>
    <t xml:space="preserve">چسب مايع هل</t>
  </si>
  <si>
    <t xml:space="preserve">31228117</t>
  </si>
  <si>
    <r>
      <rPr>
        <sz val="10"/>
        <rFont val="FreeSans"/>
        <family val="2"/>
      </rPr>
      <t xml:space="preserve">چسب مخصوص    </t>
    </r>
    <r>
      <rPr>
        <sz val="10"/>
        <rFont val="Vazirmatn"/>
        <family val="0"/>
        <charset val="1"/>
      </rPr>
      <t xml:space="preserve">CPVC</t>
    </r>
  </si>
  <si>
    <t xml:space="preserve">31228118</t>
  </si>
  <si>
    <r>
      <rPr>
        <sz val="10"/>
        <rFont val="FreeSans"/>
        <family val="2"/>
      </rPr>
      <t xml:space="preserve">چسب تارگت  </t>
    </r>
    <r>
      <rPr>
        <sz val="10"/>
        <rFont val="Vazirmatn"/>
        <family val="0"/>
        <charset val="1"/>
      </rPr>
      <t xml:space="preserve">(  PVC  )</t>
    </r>
  </si>
  <si>
    <t xml:space="preserve">31228133</t>
  </si>
  <si>
    <t xml:space="preserve">چسب  چوب</t>
  </si>
  <si>
    <t xml:space="preserve">5003569</t>
  </si>
  <si>
    <t xml:space="preserve">چسب مايع چوب</t>
  </si>
  <si>
    <t xml:space="preserve">31228135</t>
  </si>
  <si>
    <t xml:space="preserve">چسب بل تیوپی</t>
  </si>
  <si>
    <t xml:space="preserve">5005016</t>
  </si>
  <si>
    <t xml:space="preserve">چسب آهن تيوپي</t>
  </si>
  <si>
    <t xml:space="preserve">31228141</t>
  </si>
  <si>
    <t xml:space="preserve">چسب پلی اورتان</t>
  </si>
  <si>
    <t xml:space="preserve">5023727</t>
  </si>
  <si>
    <t xml:space="preserve">چسب پلی اورتان مشکی</t>
  </si>
  <si>
    <t xml:space="preserve">31228156</t>
  </si>
  <si>
    <r>
      <rPr>
        <sz val="10"/>
        <rFont val="FreeSans"/>
        <family val="2"/>
      </rPr>
      <t xml:space="preserve">تفلون مایع  </t>
    </r>
    <r>
      <rPr>
        <sz val="10"/>
        <rFont val="Vazirmatn"/>
        <family val="0"/>
        <charset val="1"/>
      </rPr>
      <t xml:space="preserve">50mL</t>
    </r>
  </si>
  <si>
    <t xml:space="preserve">5009502</t>
  </si>
  <si>
    <t xml:space="preserve">تفلون مایع</t>
  </si>
  <si>
    <t xml:space="preserve">31228443</t>
  </si>
  <si>
    <r>
      <rPr>
        <sz val="10"/>
        <rFont val="FreeSans"/>
        <family val="2"/>
      </rPr>
      <t xml:space="preserve">صافی فلنجدار استیل           </t>
    </r>
    <r>
      <rPr>
        <sz val="10"/>
        <rFont val="Vazirmatn"/>
        <family val="0"/>
        <charset val="1"/>
      </rPr>
      <t xml:space="preserve">" 3</t>
    </r>
  </si>
  <si>
    <t xml:space="preserve">4031822</t>
  </si>
  <si>
    <r>
      <rPr>
        <sz val="10"/>
        <rFont val="FreeSans"/>
        <family val="2"/>
      </rPr>
      <t xml:space="preserve">صافی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فلنچی کلاس </t>
    </r>
    <r>
      <rPr>
        <sz val="10"/>
        <rFont val="Vazirmatn"/>
        <family val="0"/>
        <charset val="1"/>
      </rPr>
      <t xml:space="preserve">150 </t>
    </r>
    <r>
      <rPr>
        <sz val="10"/>
        <rFont val="FreeSans"/>
        <family val="2"/>
      </rPr>
      <t xml:space="preserve">سایز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</si>
  <si>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31228455</t>
  </si>
  <si>
    <r>
      <rPr>
        <sz val="10"/>
        <rFont val="FreeSans"/>
        <family val="2"/>
      </rPr>
      <t xml:space="preserve">صافی چدنی فلنجدار </t>
    </r>
    <r>
      <rPr>
        <sz val="10"/>
        <rFont val="Vazirmatn"/>
        <family val="0"/>
        <charset val="1"/>
      </rPr>
      <t xml:space="preserve">"2</t>
    </r>
  </si>
  <si>
    <t xml:space="preserve">4030094</t>
  </si>
  <si>
    <r>
      <rPr>
        <sz val="10"/>
        <rFont val="FreeSans"/>
        <family val="2"/>
      </rPr>
      <t xml:space="preserve">صافی چدنی فلنچی </t>
    </r>
    <r>
      <rPr>
        <sz val="10"/>
        <rFont val="Vazirmatn"/>
        <family val="0"/>
        <charset val="1"/>
      </rPr>
      <t xml:space="preserve">PN 25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</si>
  <si>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31228457</t>
  </si>
  <si>
    <r>
      <rPr>
        <sz val="10"/>
        <rFont val="FreeSans"/>
        <family val="2"/>
      </rPr>
      <t xml:space="preserve">صافی فلنج دار استیل </t>
    </r>
    <r>
      <rPr>
        <sz val="10"/>
        <rFont val="Vazirmatn"/>
        <family val="0"/>
        <charset val="1"/>
      </rPr>
      <t xml:space="preserve">2"</t>
    </r>
  </si>
  <si>
    <t xml:space="preserve">4030097</t>
  </si>
  <si>
    <r>
      <rPr>
        <sz val="10"/>
        <rFont val="FreeSans"/>
        <family val="2"/>
      </rPr>
      <t xml:space="preserve">صافی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فلنچی 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</si>
  <si>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31228458</t>
  </si>
  <si>
    <r>
      <rPr>
        <sz val="10"/>
        <rFont val="FreeSans"/>
        <family val="2"/>
      </rPr>
      <t xml:space="preserve">صافی چدنی    </t>
    </r>
    <r>
      <rPr>
        <sz val="10"/>
        <rFont val="Vazirmatn"/>
        <family val="0"/>
        <charset val="1"/>
      </rPr>
      <t xml:space="preserve">"6</t>
    </r>
  </si>
  <si>
    <t xml:space="preserve">4031824</t>
  </si>
  <si>
    <r>
      <rPr>
        <sz val="10"/>
        <rFont val="FreeSans"/>
        <family val="2"/>
      </rPr>
      <t xml:space="preserve">صافی چدنی فلنچی </t>
    </r>
    <r>
      <rPr>
        <sz val="10"/>
        <rFont val="Vazirmatn"/>
        <family val="0"/>
        <charset val="1"/>
      </rPr>
      <t xml:space="preserve">PN 25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اینچ</t>
    </r>
  </si>
  <si>
    <t xml:space="preserve">31228459</t>
  </si>
  <si>
    <r>
      <rPr>
        <sz val="10"/>
        <rFont val="FreeSans"/>
        <family val="2"/>
      </rPr>
      <t xml:space="preserve">صافی چدنی بخار فلنجدار  </t>
    </r>
    <r>
      <rPr>
        <sz val="10"/>
        <rFont val="Vazirmatn"/>
        <family val="0"/>
        <charset val="1"/>
      </rPr>
      <t xml:space="preserve">" 3     PN 16</t>
    </r>
  </si>
  <si>
    <t xml:space="preserve">4030100</t>
  </si>
  <si>
    <r>
      <rPr>
        <sz val="10"/>
        <rFont val="FreeSans"/>
        <family val="2"/>
      </rPr>
      <t xml:space="preserve">صافی چدنی فلنچی </t>
    </r>
    <r>
      <rPr>
        <sz val="10"/>
        <rFont val="Vazirmatn"/>
        <family val="0"/>
        <charset val="1"/>
      </rPr>
      <t xml:space="preserve">PN16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</si>
  <si>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31228461</t>
  </si>
  <si>
    <r>
      <rPr>
        <sz val="10"/>
        <rFont val="FreeSans"/>
        <family val="2"/>
      </rPr>
      <t xml:space="preserve">صافی دنده ای برنجی   </t>
    </r>
    <r>
      <rPr>
        <sz val="10"/>
        <rFont val="Vazirmatn"/>
        <family val="0"/>
        <charset val="1"/>
      </rPr>
      <t xml:space="preserve">" 1/2</t>
    </r>
  </si>
  <si>
    <t xml:space="preserve">4030102</t>
  </si>
  <si>
    <r>
      <rPr>
        <sz val="10"/>
        <rFont val="FreeSans"/>
        <family val="2"/>
      </rPr>
      <t xml:space="preserve">صافی برنجی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</si>
  <si>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31229102</t>
  </si>
  <si>
    <t xml:space="preserve">پارچه گرد بافت فیلتر نهایی روغن</t>
  </si>
  <si>
    <t xml:space="preserve">31229111</t>
  </si>
  <si>
    <t xml:space="preserve">پارچه بک فیلتر نشاسته پریژل</t>
  </si>
  <si>
    <t xml:space="preserve">4028912</t>
  </si>
  <si>
    <t xml:space="preserve">پارچه فیلتر پرس تکی نشاسته</t>
  </si>
  <si>
    <t xml:space="preserve">31229114</t>
  </si>
  <si>
    <r>
      <rPr>
        <sz val="10"/>
        <rFont val="FreeSans"/>
        <family val="2"/>
      </rPr>
      <t xml:space="preserve">پارچه بزرگ فیلتر پرس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سوراخه</t>
    </r>
  </si>
  <si>
    <t xml:space="preserve">4028910</t>
  </si>
  <si>
    <r>
      <rPr>
        <sz val="10"/>
        <rFont val="FreeSans"/>
        <family val="2"/>
      </rPr>
      <t xml:space="preserve">پارچه فیلتر پرس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سوراخه نشاسته</t>
    </r>
  </si>
  <si>
    <t xml:space="preserve">31229124</t>
  </si>
  <si>
    <r>
      <rPr>
        <sz val="10"/>
        <rFont val="FreeSans"/>
        <family val="2"/>
      </rPr>
      <t xml:space="preserve">پارچه فیلتر پرس روغن خام  </t>
    </r>
    <r>
      <rPr>
        <sz val="10"/>
        <rFont val="Vazirmatn"/>
        <family val="0"/>
        <charset val="1"/>
      </rPr>
      <t xml:space="preserve">130 * 70</t>
    </r>
  </si>
  <si>
    <t xml:space="preserve">31229132</t>
  </si>
  <si>
    <t xml:space="preserve">پارچه فیلتر پرس گلوتن</t>
  </si>
  <si>
    <t xml:space="preserve">31229167</t>
  </si>
  <si>
    <r>
      <rPr>
        <sz val="10"/>
        <rFont val="FreeSans"/>
        <family val="2"/>
      </rPr>
      <t xml:space="preserve">پارچه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فیلتر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درایر نشاسته</t>
    </r>
  </si>
  <si>
    <t xml:space="preserve">31229172</t>
  </si>
  <si>
    <t xml:space="preserve">پارچه فیلتر بسته بندی نشاسته</t>
  </si>
  <si>
    <t xml:space="preserve">31231016</t>
  </si>
  <si>
    <r>
      <rPr>
        <sz val="10"/>
        <rFont val="FreeSans"/>
        <family val="2"/>
      </rPr>
      <t xml:space="preserve">رولبرینگ              </t>
    </r>
    <r>
      <rPr>
        <sz val="10"/>
        <rFont val="Vazirmatn"/>
        <family val="0"/>
        <charset val="1"/>
      </rPr>
      <t xml:space="preserve">N  206  M</t>
    </r>
  </si>
  <si>
    <t xml:space="preserve">31231022</t>
  </si>
  <si>
    <r>
      <rPr>
        <sz val="10"/>
        <rFont val="FreeSans"/>
        <family val="2"/>
      </rPr>
      <t xml:space="preserve">بلبرینگ             </t>
    </r>
    <r>
      <rPr>
        <sz val="10"/>
        <rFont val="Vazirmatn"/>
        <family val="0"/>
        <charset val="1"/>
      </rPr>
      <t xml:space="preserve">608         ZZ</t>
    </r>
  </si>
  <si>
    <t xml:space="preserve">4011036</t>
  </si>
  <si>
    <r>
      <rPr>
        <sz val="10"/>
        <rFont val="Vazirmatn"/>
        <family val="0"/>
        <charset val="1"/>
      </rPr>
      <t xml:space="preserve">608-ZZ-C3 </t>
    </r>
    <r>
      <rPr>
        <sz val="10"/>
        <rFont val="FreeSans"/>
        <family val="2"/>
      </rPr>
      <t xml:space="preserve">بلبرينگ معمولي</t>
    </r>
  </si>
  <si>
    <t xml:space="preserve">31231026</t>
  </si>
  <si>
    <r>
      <rPr>
        <sz val="10"/>
        <rFont val="FreeSans"/>
        <family val="2"/>
      </rPr>
      <t xml:space="preserve">رولبرینگ            </t>
    </r>
    <r>
      <rPr>
        <sz val="10"/>
        <rFont val="Vazirmatn"/>
        <family val="0"/>
        <charset val="1"/>
      </rPr>
      <t xml:space="preserve">NJ      307</t>
    </r>
  </si>
  <si>
    <t xml:space="preserve">4024894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</si>
  <si>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NJ 307ECP</t>
    </r>
  </si>
  <si>
    <t xml:space="preserve">31231029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</si>
  <si>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.  22252CA/W33</t>
    </r>
  </si>
  <si>
    <t xml:space="preserve">4057133</t>
  </si>
  <si>
    <r>
      <rPr>
        <sz val="10"/>
        <rFont val="FreeSans"/>
        <family val="2"/>
      </rPr>
      <t xml:space="preserve">رولبرینگ معمولی </t>
    </r>
    <r>
      <rPr>
        <sz val="10"/>
        <rFont val="Vazirmatn"/>
        <family val="0"/>
        <charset val="1"/>
      </rPr>
      <t xml:space="preserve">22252CA/W33</t>
    </r>
  </si>
  <si>
    <t xml:space="preserve">31231030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</si>
  <si>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22252CA/W33</t>
    </r>
  </si>
  <si>
    <t xml:space="preserve">31231032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</si>
  <si>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6330</t>
    </r>
  </si>
  <si>
    <t xml:space="preserve">4024676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</si>
  <si>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6330</t>
    </r>
  </si>
  <si>
    <t xml:space="preserve">31231039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</si>
  <si>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32014</t>
    </r>
  </si>
  <si>
    <t xml:space="preserve">4024904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</si>
  <si>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32014X</t>
    </r>
  </si>
  <si>
    <t xml:space="preserve">31231040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</si>
  <si>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212       NJ</t>
    </r>
  </si>
  <si>
    <t xml:space="preserve">4024852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</si>
  <si>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NJ212E</t>
    </r>
  </si>
  <si>
    <t xml:space="preserve">31231042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</si>
  <si>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22216 E1K</t>
    </r>
  </si>
  <si>
    <t xml:space="preserve">4011214</t>
  </si>
  <si>
    <r>
      <rPr>
        <sz val="10"/>
        <rFont val="FreeSans"/>
        <family val="2"/>
      </rPr>
      <t xml:space="preserve">رولبرينگ معمولي </t>
    </r>
    <r>
      <rPr>
        <sz val="10"/>
        <rFont val="Vazirmatn"/>
        <family val="0"/>
        <charset val="1"/>
      </rPr>
      <t xml:space="preserve">22216E</t>
    </r>
  </si>
  <si>
    <t xml:space="preserve">31231045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</si>
  <si>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6317 - 2RS / C3</t>
    </r>
  </si>
  <si>
    <t xml:space="preserve">4043679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</si>
  <si>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6317/2RS/C3</t>
    </r>
  </si>
  <si>
    <t xml:space="preserve">31231046</t>
  </si>
  <si>
    <r>
      <rPr>
        <sz val="10"/>
        <rFont val="FreeSans"/>
        <family val="2"/>
      </rPr>
      <t xml:space="preserve">بلبرینگ   </t>
    </r>
    <r>
      <rPr>
        <sz val="10"/>
        <rFont val="Vazirmatn"/>
        <family val="0"/>
        <charset val="1"/>
      </rPr>
      <t xml:space="preserve">NU       240      EC</t>
    </r>
  </si>
  <si>
    <t xml:space="preserve">4035748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</si>
  <si>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NU240EC</t>
    </r>
  </si>
  <si>
    <t xml:space="preserve">31231048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</si>
  <si>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nj 309</t>
    </r>
  </si>
  <si>
    <t xml:space="preserve">4024909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</si>
  <si>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RN309</t>
    </r>
  </si>
  <si>
    <t xml:space="preserve">31231053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</si>
  <si>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32211</t>
    </r>
  </si>
  <si>
    <t xml:space="preserve">4057034</t>
  </si>
  <si>
    <r>
      <rPr>
        <sz val="10"/>
        <rFont val="FreeSans"/>
        <family val="2"/>
      </rPr>
      <t xml:space="preserve">رولبرینگ مخروطی </t>
    </r>
    <r>
      <rPr>
        <sz val="10"/>
        <rFont val="Vazirmatn"/>
        <family val="0"/>
        <charset val="1"/>
      </rPr>
      <t xml:space="preserve">32211</t>
    </r>
  </si>
  <si>
    <t xml:space="preserve">31231061</t>
  </si>
  <si>
    <r>
      <rPr>
        <sz val="10"/>
        <rFont val="FreeSans"/>
        <family val="2"/>
      </rPr>
      <t xml:space="preserve">رولبرینگ            </t>
    </r>
    <r>
      <rPr>
        <sz val="10"/>
        <rFont val="Vazirmatn"/>
        <family val="0"/>
        <charset val="1"/>
      </rPr>
      <t xml:space="preserve">313         N</t>
    </r>
  </si>
  <si>
    <t xml:space="preserve">5013189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</si>
  <si>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NUP 313ECJ</t>
    </r>
  </si>
  <si>
    <t xml:space="preserve">31231064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</si>
  <si>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310       NU</t>
    </r>
  </si>
  <si>
    <t xml:space="preserve">4024839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</si>
  <si>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NU 310</t>
    </r>
  </si>
  <si>
    <t xml:space="preserve">31231066</t>
  </si>
  <si>
    <r>
      <rPr>
        <sz val="10"/>
        <rFont val="FreeSans"/>
        <family val="2"/>
      </rPr>
      <t xml:space="preserve">بلبرینگ      </t>
    </r>
    <r>
      <rPr>
        <sz val="10"/>
        <rFont val="Vazirmatn"/>
        <family val="0"/>
        <charset val="1"/>
      </rPr>
      <t xml:space="preserve">NU       312      E</t>
    </r>
  </si>
  <si>
    <t xml:space="preserve">4024896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</si>
  <si>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NU 312</t>
    </r>
  </si>
  <si>
    <t xml:space="preserve">31231067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</si>
  <si>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 312</t>
    </r>
  </si>
  <si>
    <t xml:space="preserve">31231078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</si>
  <si>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32009</t>
    </r>
  </si>
  <si>
    <t xml:space="preserve">4024900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</si>
  <si>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32009X</t>
    </r>
  </si>
  <si>
    <t xml:space="preserve">31231088</t>
  </si>
  <si>
    <r>
      <rPr>
        <sz val="10"/>
        <rFont val="FreeSans"/>
        <family val="2"/>
      </rPr>
      <t xml:space="preserve">رولبرینگ    </t>
    </r>
    <r>
      <rPr>
        <sz val="10"/>
        <rFont val="Vazirmatn"/>
        <family val="0"/>
        <charset val="1"/>
      </rPr>
      <t xml:space="preserve">NJ 305 M</t>
    </r>
  </si>
  <si>
    <t xml:space="preserve">4046415</t>
  </si>
  <si>
    <r>
      <rPr>
        <sz val="10"/>
        <rFont val="FreeSans"/>
        <family val="2"/>
      </rPr>
      <t xml:space="preserve">رولبرینگ استوانه ای</t>
    </r>
    <r>
      <rPr>
        <sz val="10"/>
        <rFont val="Vazirmatn"/>
        <family val="0"/>
        <charset val="1"/>
      </rPr>
      <t xml:space="preserve">-NJ305 E</t>
    </r>
  </si>
  <si>
    <t xml:space="preserve">31231095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</si>
  <si>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6205 - 2RS  C3</t>
    </r>
  </si>
  <si>
    <t xml:space="preserve">4024657</t>
  </si>
  <si>
    <r>
      <rPr>
        <sz val="10"/>
        <rFont val="Vazirmatn"/>
        <family val="0"/>
        <charset val="1"/>
      </rPr>
      <t xml:space="preserve">6205-2RS-C3 </t>
    </r>
    <r>
      <rPr>
        <sz val="10"/>
        <rFont val="FreeSans"/>
        <family val="2"/>
      </rPr>
      <t xml:space="preserve">بلبرینگ معمولی</t>
    </r>
  </si>
  <si>
    <t xml:space="preserve">31231098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</si>
  <si>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6208 - 2RS  C3</t>
    </r>
  </si>
  <si>
    <t xml:space="preserve">4011193</t>
  </si>
  <si>
    <r>
      <rPr>
        <sz val="10"/>
        <rFont val="FreeSans"/>
        <family val="2"/>
      </rPr>
      <t xml:space="preserve">بلبرينگ معمولي </t>
    </r>
    <r>
      <rPr>
        <sz val="10"/>
        <rFont val="Vazirmatn"/>
        <family val="0"/>
        <charset val="1"/>
      </rPr>
      <t xml:space="preserve">6208-2RS-C3</t>
    </r>
  </si>
  <si>
    <t xml:space="preserve">31231099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</si>
  <si>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( 14 </t>
    </r>
    <r>
      <rPr>
        <sz val="10"/>
        <rFont val="FreeSans"/>
        <family val="2"/>
      </rPr>
      <t xml:space="preserve">ساچمه </t>
    </r>
    <r>
      <rPr>
        <sz val="10"/>
        <rFont val="Vazirmatn"/>
        <family val="0"/>
        <charset val="1"/>
      </rPr>
      <t xml:space="preserve">) RN 312 M</t>
    </r>
  </si>
  <si>
    <t xml:space="preserve">4024858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</si>
  <si>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RN312M</t>
    </r>
  </si>
  <si>
    <t xml:space="preserve">31231108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</si>
  <si>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ATN 9     3207</t>
    </r>
  </si>
  <si>
    <t xml:space="preserve">4004219</t>
  </si>
  <si>
    <r>
      <rPr>
        <sz val="10"/>
        <rFont val="Vazirmatn"/>
        <family val="0"/>
        <charset val="1"/>
      </rPr>
      <t xml:space="preserve">3207-ATN9 </t>
    </r>
    <r>
      <rPr>
        <sz val="10"/>
        <rFont val="FreeSans"/>
        <family val="2"/>
      </rPr>
      <t xml:space="preserve">بلبرينگ معمولي</t>
    </r>
  </si>
  <si>
    <t xml:space="preserve">31231121</t>
  </si>
  <si>
    <r>
      <rPr>
        <sz val="10"/>
        <rFont val="FreeSans"/>
        <family val="2"/>
      </rPr>
      <t xml:space="preserve">بلبرینگ   </t>
    </r>
    <r>
      <rPr>
        <sz val="10"/>
        <rFont val="Vazirmatn"/>
        <family val="0"/>
        <charset val="1"/>
      </rPr>
      <t xml:space="preserve">NU        2244    EC</t>
    </r>
  </si>
  <si>
    <t xml:space="preserve">4035747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</si>
  <si>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NU2244EC</t>
    </r>
  </si>
  <si>
    <t xml:space="preserve">31231125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</si>
  <si>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22216</t>
    </r>
  </si>
  <si>
    <t xml:space="preserve">4024811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</si>
  <si>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EK 22216</t>
    </r>
  </si>
  <si>
    <t xml:space="preserve">31231130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</si>
  <si>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SKF  NU  222  ECM</t>
    </r>
  </si>
  <si>
    <t xml:space="preserve">31231169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</si>
  <si>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3305</t>
    </r>
  </si>
  <si>
    <t xml:space="preserve">4024828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</si>
  <si>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3305ATN9</t>
    </r>
  </si>
  <si>
    <t xml:space="preserve">31231175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</si>
  <si>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3308</t>
    </r>
  </si>
  <si>
    <t xml:space="preserve">4044422</t>
  </si>
  <si>
    <r>
      <rPr>
        <sz val="10"/>
        <rFont val="FreeSans"/>
        <family val="2"/>
      </rPr>
      <t xml:space="preserve">بلبرینگ دو ردیفه </t>
    </r>
    <r>
      <rPr>
        <sz val="10"/>
        <rFont val="Vazirmatn"/>
        <family val="0"/>
        <charset val="1"/>
      </rPr>
      <t xml:space="preserve">3308</t>
    </r>
  </si>
  <si>
    <t xml:space="preserve">31231187</t>
  </si>
  <si>
    <r>
      <rPr>
        <sz val="10"/>
        <rFont val="FreeSans"/>
        <family val="2"/>
      </rPr>
      <t xml:space="preserve">بلبرینگ   </t>
    </r>
    <r>
      <rPr>
        <sz val="10"/>
        <rFont val="Vazirmatn"/>
        <family val="0"/>
        <charset val="1"/>
      </rPr>
      <t xml:space="preserve">6310ZZ C3</t>
    </r>
  </si>
  <si>
    <t xml:space="preserve">31231188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</si>
  <si>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22216       CK</t>
    </r>
  </si>
  <si>
    <t xml:space="preserve">31231200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</si>
  <si>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ZZ        6208</t>
    </r>
  </si>
  <si>
    <t xml:space="preserve">4024794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</si>
  <si>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6208/C3</t>
    </r>
  </si>
  <si>
    <t xml:space="preserve">31231209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</si>
  <si>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32007</t>
    </r>
  </si>
  <si>
    <t xml:space="preserve">5023968</t>
  </si>
  <si>
    <r>
      <rPr>
        <sz val="10"/>
        <rFont val="FreeSans"/>
        <family val="2"/>
      </rPr>
      <t xml:space="preserve">رولبرینگ مخروطی </t>
    </r>
    <r>
      <rPr>
        <sz val="10"/>
        <rFont val="Vazirmatn"/>
        <family val="0"/>
        <charset val="1"/>
      </rPr>
      <t xml:space="preserve">32007</t>
    </r>
  </si>
  <si>
    <t xml:space="preserve">31231237</t>
  </si>
  <si>
    <r>
      <rPr>
        <sz val="10"/>
        <rFont val="FreeSans"/>
        <family val="2"/>
      </rPr>
      <t xml:space="preserve">بلبرینگ    </t>
    </r>
    <r>
      <rPr>
        <sz val="10"/>
        <rFont val="Vazirmatn"/>
        <family val="0"/>
        <charset val="1"/>
      </rPr>
      <t xml:space="preserve">6024</t>
    </r>
  </si>
  <si>
    <t xml:space="preserve">4054400</t>
  </si>
  <si>
    <r>
      <rPr>
        <sz val="10"/>
        <rFont val="FreeSans"/>
        <family val="2"/>
      </rPr>
      <t xml:space="preserve">بلبرینگ معمولی </t>
    </r>
    <r>
      <rPr>
        <sz val="10"/>
        <rFont val="Vazirmatn"/>
        <family val="0"/>
        <charset val="1"/>
      </rPr>
      <t xml:space="preserve">6024</t>
    </r>
  </si>
  <si>
    <t xml:space="preserve">31231241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</si>
  <si>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6012       ZZ</t>
    </r>
  </si>
  <si>
    <t xml:space="preserve">4024670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</si>
  <si>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6012ZMZ</t>
    </r>
  </si>
  <si>
    <t xml:space="preserve">31231247</t>
  </si>
  <si>
    <r>
      <rPr>
        <sz val="10"/>
        <rFont val="FreeSans"/>
        <family val="2"/>
      </rPr>
      <t xml:space="preserve">بلبرینگ        </t>
    </r>
    <r>
      <rPr>
        <sz val="10"/>
        <rFont val="Vazirmatn"/>
        <family val="0"/>
        <charset val="1"/>
      </rPr>
      <t xml:space="preserve">6014   E</t>
    </r>
  </si>
  <si>
    <t xml:space="preserve">4024696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</si>
  <si>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6014</t>
    </r>
  </si>
  <si>
    <t xml:space="preserve">31231249</t>
  </si>
  <si>
    <r>
      <rPr>
        <sz val="10"/>
        <rFont val="FreeSans"/>
        <family val="2"/>
      </rPr>
      <t xml:space="preserve">بلبرینگ    </t>
    </r>
    <r>
      <rPr>
        <sz val="10"/>
        <rFont val="Vazirmatn"/>
        <family val="0"/>
        <charset val="1"/>
      </rPr>
      <t xml:space="preserve">2Z     6014</t>
    </r>
  </si>
  <si>
    <t xml:space="preserve">31231260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</si>
  <si>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6013       ZZ</t>
    </r>
  </si>
  <si>
    <t xml:space="preserve">4024689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</si>
  <si>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6013</t>
    </r>
  </si>
  <si>
    <t xml:space="preserve">31231261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</si>
  <si>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6022  C3</t>
    </r>
  </si>
  <si>
    <t xml:space="preserve">4024663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</si>
  <si>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6022</t>
    </r>
  </si>
  <si>
    <t xml:space="preserve">31231262</t>
  </si>
  <si>
    <r>
      <rPr>
        <sz val="10"/>
        <rFont val="FreeSans"/>
        <family val="2"/>
      </rPr>
      <t xml:space="preserve">بلبرینگ       </t>
    </r>
    <r>
      <rPr>
        <sz val="10"/>
        <rFont val="Vazirmatn"/>
        <family val="0"/>
        <charset val="1"/>
      </rPr>
      <t xml:space="preserve">6014  M  C3</t>
    </r>
  </si>
  <si>
    <t xml:space="preserve">31231267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</si>
  <si>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6201 ZZ</t>
    </r>
  </si>
  <si>
    <t xml:space="preserve">31231277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</si>
  <si>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6203       ZZ</t>
    </r>
  </si>
  <si>
    <t xml:space="preserve">4024713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</si>
  <si>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SKF 6203</t>
    </r>
  </si>
  <si>
    <t xml:space="preserve">31231295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</si>
  <si>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22212     Kc3</t>
    </r>
  </si>
  <si>
    <t xml:space="preserve">4024695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</si>
  <si>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22212CCW33C3</t>
    </r>
  </si>
  <si>
    <t xml:space="preserve">31231298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</si>
  <si>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6205       ZZ</t>
    </r>
  </si>
  <si>
    <t xml:space="preserve">31231303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</si>
  <si>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6212       ZZ</t>
    </r>
  </si>
  <si>
    <t xml:space="preserve">4024792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</si>
  <si>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6212/C3</t>
    </r>
  </si>
  <si>
    <t xml:space="preserve">31231305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</si>
  <si>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6217</t>
    </r>
  </si>
  <si>
    <t xml:space="preserve">4024677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</si>
  <si>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6217N</t>
    </r>
  </si>
  <si>
    <t xml:space="preserve">31231316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</si>
  <si>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6206       ZZ</t>
    </r>
  </si>
  <si>
    <t xml:space="preserve">4024793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</si>
  <si>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6206/C3</t>
    </r>
  </si>
  <si>
    <t xml:space="preserve">31231320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</si>
  <si>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6312 - 2RS C3</t>
    </r>
  </si>
  <si>
    <t xml:space="preserve">4004308</t>
  </si>
  <si>
    <r>
      <rPr>
        <sz val="10"/>
        <rFont val="Vazirmatn"/>
        <family val="0"/>
        <charset val="1"/>
      </rPr>
      <t xml:space="preserve">6312-2RS1-C3 </t>
    </r>
    <r>
      <rPr>
        <sz val="10"/>
        <rFont val="FreeSans"/>
        <family val="2"/>
      </rPr>
      <t xml:space="preserve">بلبرينگ معمولي</t>
    </r>
  </si>
  <si>
    <t xml:space="preserve">31231321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</si>
  <si>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SKF NU 2311  ECML / C3</t>
    </r>
  </si>
  <si>
    <t xml:space="preserve">4024885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</si>
  <si>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NU2311 ECML C3</t>
    </r>
  </si>
  <si>
    <t xml:space="preserve">31231322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</si>
  <si>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6207       ZZ</t>
    </r>
  </si>
  <si>
    <t xml:space="preserve">4024734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</si>
  <si>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6207/C3</t>
    </r>
  </si>
  <si>
    <t xml:space="preserve">31231323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</si>
  <si>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NU 319 / C3</t>
    </r>
  </si>
  <si>
    <t xml:space="preserve">31231324</t>
  </si>
  <si>
    <r>
      <rPr>
        <sz val="10"/>
        <rFont val="FreeSans"/>
        <family val="2"/>
      </rPr>
      <t xml:space="preserve">رولبرینگ     </t>
    </r>
    <r>
      <rPr>
        <sz val="10"/>
        <rFont val="Vazirmatn"/>
        <family val="0"/>
        <charset val="1"/>
      </rPr>
      <t xml:space="preserve">N 307 M</t>
    </r>
  </si>
  <si>
    <t xml:space="preserve">4024855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</si>
  <si>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RN307</t>
    </r>
  </si>
  <si>
    <t xml:space="preserve">31231326</t>
  </si>
  <si>
    <r>
      <rPr>
        <sz val="10"/>
        <rFont val="FreeSans"/>
        <family val="2"/>
      </rPr>
      <t xml:space="preserve">بلبرینگ    </t>
    </r>
    <r>
      <rPr>
        <sz val="10"/>
        <rFont val="Vazirmatn"/>
        <family val="0"/>
        <charset val="1"/>
      </rPr>
      <t xml:space="preserve">ZZ  6317</t>
    </r>
  </si>
  <si>
    <t xml:space="preserve">4024698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</si>
  <si>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6317</t>
    </r>
  </si>
  <si>
    <t xml:space="preserve">31231328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</si>
  <si>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629</t>
    </r>
  </si>
  <si>
    <t xml:space="preserve">5023092</t>
  </si>
  <si>
    <t xml:space="preserve">بلبرینگ</t>
  </si>
  <si>
    <t xml:space="preserve">31231333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</si>
  <si>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NMB R - 1660 HH</t>
    </r>
  </si>
  <si>
    <t xml:space="preserve">4040745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</si>
  <si>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R 1660 HH</t>
    </r>
  </si>
  <si>
    <t xml:space="preserve">31231337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</si>
  <si>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6209       ZZ</t>
    </r>
  </si>
  <si>
    <t xml:space="preserve">4024728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</si>
  <si>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6209C3</t>
    </r>
  </si>
  <si>
    <t xml:space="preserve">31231341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</si>
  <si>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6210       ZZ</t>
    </r>
  </si>
  <si>
    <t xml:space="preserve">4030526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</si>
  <si>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6210</t>
    </r>
  </si>
  <si>
    <t xml:space="preserve">31231342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</si>
  <si>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6308 - 2RS C3</t>
    </r>
  </si>
  <si>
    <t xml:space="preserve">4004300</t>
  </si>
  <si>
    <r>
      <rPr>
        <sz val="10"/>
        <rFont val="Vazirmatn"/>
        <family val="0"/>
        <charset val="1"/>
      </rPr>
      <t xml:space="preserve">6308-2RS1-C3 </t>
    </r>
    <r>
      <rPr>
        <sz val="10"/>
        <rFont val="FreeSans"/>
        <family val="2"/>
      </rPr>
      <t xml:space="preserve">بلبرينگ معمولي</t>
    </r>
  </si>
  <si>
    <t xml:space="preserve">31231343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</si>
  <si>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6211       ZZ</t>
    </r>
  </si>
  <si>
    <t xml:space="preserve">4024675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</si>
  <si>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6211N</t>
    </r>
  </si>
  <si>
    <t xml:space="preserve">31231346</t>
  </si>
  <si>
    <r>
      <rPr>
        <sz val="10"/>
        <rFont val="FreeSans"/>
        <family val="2"/>
      </rPr>
      <t xml:space="preserve">بلبرینگ   شیاردار     </t>
    </r>
    <r>
      <rPr>
        <sz val="10"/>
        <rFont val="Vazirmatn"/>
        <family val="0"/>
        <charset val="1"/>
      </rPr>
      <t xml:space="preserve">N    6211</t>
    </r>
  </si>
  <si>
    <t xml:space="preserve">31231355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</si>
  <si>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6213         ZZ</t>
    </r>
  </si>
  <si>
    <t xml:space="preserve">4024727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</si>
  <si>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6213</t>
    </r>
  </si>
  <si>
    <t xml:space="preserve">31231358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</si>
  <si>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6302         ZZ</t>
    </r>
  </si>
  <si>
    <t xml:space="preserve">4024733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</si>
  <si>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6302C3</t>
    </r>
  </si>
  <si>
    <t xml:space="preserve">31231359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</si>
  <si>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6213       ZZ</t>
    </r>
  </si>
  <si>
    <t xml:space="preserve">31231366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</si>
  <si>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6222    CS</t>
    </r>
  </si>
  <si>
    <t xml:space="preserve">4024732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</si>
  <si>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6222</t>
    </r>
  </si>
  <si>
    <t xml:space="preserve">31231367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</si>
  <si>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6216</t>
    </r>
  </si>
  <si>
    <t xml:space="preserve">4043750</t>
  </si>
  <si>
    <r>
      <rPr>
        <sz val="10"/>
        <rFont val="Vazirmatn"/>
        <family val="0"/>
        <charset val="1"/>
      </rPr>
      <t xml:space="preserve">6216-2Z-C3 </t>
    </r>
    <r>
      <rPr>
        <sz val="10"/>
        <rFont val="FreeSans"/>
        <family val="2"/>
      </rPr>
      <t xml:space="preserve">بلبرینگ معمولی</t>
    </r>
  </si>
  <si>
    <t xml:space="preserve">31231369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</si>
  <si>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6240</t>
    </r>
  </si>
  <si>
    <t xml:space="preserve">4035749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</si>
  <si>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6240M</t>
    </r>
  </si>
  <si>
    <t xml:space="preserve">31231373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</si>
  <si>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6262         Z</t>
    </r>
  </si>
  <si>
    <t xml:space="preserve">4024816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</si>
  <si>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626/2Z</t>
    </r>
  </si>
  <si>
    <t xml:space="preserve">31231377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</si>
  <si>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6301         ZZ</t>
    </r>
  </si>
  <si>
    <t xml:space="preserve">5013158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</si>
  <si>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6301</t>
    </r>
  </si>
  <si>
    <t xml:space="preserve">31231382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</si>
  <si>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6304       ZZ</t>
    </r>
  </si>
  <si>
    <t xml:space="preserve">4016593</t>
  </si>
  <si>
    <r>
      <rPr>
        <sz val="10"/>
        <rFont val="Vazirmatn"/>
        <family val="0"/>
        <charset val="1"/>
      </rPr>
      <t xml:space="preserve">6304-ZZ-C3 </t>
    </r>
    <r>
      <rPr>
        <sz val="10"/>
        <rFont val="FreeSans"/>
        <family val="2"/>
      </rPr>
      <t xml:space="preserve">بلبرینگ معمولی</t>
    </r>
  </si>
  <si>
    <t xml:space="preserve">31231390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</si>
  <si>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6303       ZZ</t>
    </r>
  </si>
  <si>
    <t xml:space="preserve">4024818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</si>
  <si>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6303</t>
    </r>
  </si>
  <si>
    <t xml:space="preserve">31231397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</si>
  <si>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32210</t>
    </r>
  </si>
  <si>
    <t xml:space="preserve">4024872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</si>
  <si>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32210</t>
    </r>
  </si>
  <si>
    <t xml:space="preserve">31231400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</si>
  <si>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6306       ZZ</t>
    </r>
  </si>
  <si>
    <t xml:space="preserve">4011040</t>
  </si>
  <si>
    <r>
      <rPr>
        <sz val="10"/>
        <rFont val="Vazirmatn"/>
        <family val="0"/>
        <charset val="1"/>
      </rPr>
      <t xml:space="preserve">6306-ZZ </t>
    </r>
    <r>
      <rPr>
        <sz val="10"/>
        <rFont val="FreeSans"/>
        <family val="2"/>
      </rPr>
      <t xml:space="preserve">بلبرينگ معمولي</t>
    </r>
  </si>
  <si>
    <t xml:space="preserve">31231406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</si>
  <si>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6307       ZZ</t>
    </r>
  </si>
  <si>
    <t xml:space="preserve">4050999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</si>
  <si>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C3-6307</t>
    </r>
  </si>
  <si>
    <t xml:space="preserve">31231412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</si>
  <si>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6308       ZZ</t>
    </r>
  </si>
  <si>
    <t xml:space="preserve">4011038</t>
  </si>
  <si>
    <r>
      <rPr>
        <sz val="10"/>
        <rFont val="Vazirmatn"/>
        <family val="0"/>
        <charset val="1"/>
      </rPr>
      <t xml:space="preserve">6308-ZZ </t>
    </r>
    <r>
      <rPr>
        <sz val="10"/>
        <rFont val="FreeSans"/>
        <family val="2"/>
      </rPr>
      <t xml:space="preserve">بلبرينگ معمولي</t>
    </r>
  </si>
  <si>
    <t xml:space="preserve">31231421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</si>
  <si>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6309       ZZ</t>
    </r>
  </si>
  <si>
    <t xml:space="preserve">4024795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</si>
  <si>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6309</t>
    </r>
  </si>
  <si>
    <t xml:space="preserve">31231422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</si>
  <si>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C4 -  Z  6309</t>
    </r>
  </si>
  <si>
    <t xml:space="preserve">31231425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</si>
  <si>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2RS      6310</t>
    </r>
  </si>
  <si>
    <t xml:space="preserve">4004304</t>
  </si>
  <si>
    <r>
      <rPr>
        <sz val="10"/>
        <rFont val="Vazirmatn"/>
        <family val="0"/>
        <charset val="1"/>
      </rPr>
      <t xml:space="preserve">6310-2RS1-C3 </t>
    </r>
    <r>
      <rPr>
        <sz val="10"/>
        <rFont val="FreeSans"/>
        <family val="2"/>
      </rPr>
      <t xml:space="preserve">بلبرينگ معمولي</t>
    </r>
  </si>
  <si>
    <t xml:space="preserve">31231427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</si>
  <si>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6311       ZZ</t>
    </r>
  </si>
  <si>
    <t xml:space="preserve">4024805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</si>
  <si>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6311/C3</t>
    </r>
  </si>
  <si>
    <t xml:space="preserve">31231434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</si>
  <si>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6312       ZZ</t>
    </r>
  </si>
  <si>
    <t xml:space="preserve">4024723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</si>
  <si>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6312</t>
    </r>
  </si>
  <si>
    <t xml:space="preserve">31231438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</si>
  <si>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6313       ZZ</t>
    </r>
  </si>
  <si>
    <t xml:space="preserve">4024797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</si>
  <si>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6313</t>
    </r>
  </si>
  <si>
    <t xml:space="preserve">31231439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</si>
  <si>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6314       ZZ</t>
    </r>
  </si>
  <si>
    <t xml:space="preserve">4024804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</si>
  <si>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6314</t>
    </r>
  </si>
  <si>
    <t xml:space="preserve">31231440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</si>
  <si>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6317  M / C3 - VL0241</t>
    </r>
  </si>
  <si>
    <t xml:space="preserve">31231446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</si>
  <si>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C3 6319</t>
    </r>
  </si>
  <si>
    <t xml:space="preserve">4024779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</si>
  <si>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C3/6319</t>
    </r>
  </si>
  <si>
    <t xml:space="preserve">31231448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</si>
  <si>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6405      ZZ</t>
    </r>
  </si>
  <si>
    <t xml:space="preserve">4024669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</si>
  <si>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6405</t>
    </r>
  </si>
  <si>
    <t xml:space="preserve">31231453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</si>
  <si>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ZZ       6409</t>
    </r>
  </si>
  <si>
    <t xml:space="preserve">4024800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</si>
  <si>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6409/C3</t>
    </r>
  </si>
  <si>
    <t xml:space="preserve">31231466</t>
  </si>
  <si>
    <r>
      <rPr>
        <sz val="10"/>
        <rFont val="FreeSans"/>
        <family val="2"/>
      </rPr>
      <t xml:space="preserve">بلبرینگ      </t>
    </r>
    <r>
      <rPr>
        <sz val="10"/>
        <rFont val="Vazirmatn"/>
        <family val="0"/>
        <charset val="1"/>
      </rPr>
      <t xml:space="preserve">BE    7309</t>
    </r>
  </si>
  <si>
    <t xml:space="preserve">4035220</t>
  </si>
  <si>
    <r>
      <rPr>
        <sz val="10"/>
        <rFont val="FreeSans"/>
        <family val="2"/>
      </rPr>
      <t xml:space="preserve">بلبرینگ معمولی </t>
    </r>
    <r>
      <rPr>
        <sz val="10"/>
        <rFont val="Vazirmatn"/>
        <family val="0"/>
        <charset val="1"/>
      </rPr>
      <t xml:space="preserve">7309_BE</t>
    </r>
  </si>
  <si>
    <t xml:space="preserve">31231467</t>
  </si>
  <si>
    <r>
      <rPr>
        <sz val="10"/>
        <rFont val="FreeSans"/>
        <family val="2"/>
      </rPr>
      <t xml:space="preserve">بلبرینگ       </t>
    </r>
    <r>
      <rPr>
        <sz val="10"/>
        <rFont val="Vazirmatn"/>
        <family val="0"/>
        <charset val="1"/>
      </rPr>
      <t xml:space="preserve">7308 BM</t>
    </r>
  </si>
  <si>
    <t xml:space="preserve">4024661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</si>
  <si>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7308BECBM</t>
    </r>
  </si>
  <si>
    <t xml:space="preserve">31231478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</si>
  <si>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7310          B</t>
    </r>
  </si>
  <si>
    <t xml:space="preserve">4024665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</si>
  <si>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7310BECBM</t>
    </r>
  </si>
  <si>
    <t xml:space="preserve">31231479</t>
  </si>
  <si>
    <r>
      <rPr>
        <sz val="10"/>
        <rFont val="FreeSans"/>
        <family val="2"/>
      </rPr>
      <t xml:space="preserve">بلبرینگ   </t>
    </r>
    <r>
      <rPr>
        <sz val="10"/>
        <rFont val="Vazirmatn"/>
        <family val="0"/>
        <charset val="1"/>
      </rPr>
      <t xml:space="preserve">6305 N</t>
    </r>
  </si>
  <si>
    <t xml:space="preserve">4035223</t>
  </si>
  <si>
    <r>
      <rPr>
        <sz val="10"/>
        <rFont val="FreeSans"/>
        <family val="2"/>
      </rPr>
      <t xml:space="preserve">بلبرینگ معمولی </t>
    </r>
    <r>
      <rPr>
        <sz val="10"/>
        <rFont val="Vazirmatn"/>
        <family val="0"/>
        <charset val="1"/>
      </rPr>
      <t xml:space="preserve">6305_2Z_C3</t>
    </r>
  </si>
  <si>
    <t xml:space="preserve">31231500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</si>
  <si>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6902     2RS</t>
    </r>
  </si>
  <si>
    <t xml:space="preserve">5013157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</si>
  <si>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6902</t>
    </r>
  </si>
  <si>
    <t xml:space="preserve">31231509</t>
  </si>
  <si>
    <r>
      <rPr>
        <sz val="10"/>
        <rFont val="FreeSans"/>
        <family val="2"/>
      </rPr>
      <t xml:space="preserve">رولبرینگ   </t>
    </r>
    <r>
      <rPr>
        <sz val="10"/>
        <rFont val="Vazirmatn"/>
        <family val="0"/>
        <charset val="1"/>
      </rPr>
      <t xml:space="preserve">32219</t>
    </r>
  </si>
  <si>
    <t xml:space="preserve">4054542</t>
  </si>
  <si>
    <r>
      <rPr>
        <sz val="10"/>
        <rFont val="FreeSans"/>
        <family val="2"/>
      </rPr>
      <t xml:space="preserve">رولبرینگ مخروطی </t>
    </r>
    <r>
      <rPr>
        <sz val="10"/>
        <rFont val="Vazirmatn"/>
        <family val="0"/>
        <charset val="1"/>
      </rPr>
      <t xml:space="preserve">32219</t>
    </r>
  </si>
  <si>
    <t xml:space="preserve">31231510</t>
  </si>
  <si>
    <r>
      <rPr>
        <sz val="10"/>
        <rFont val="FreeSans"/>
        <family val="2"/>
      </rPr>
      <t xml:space="preserve">رولبرینگ   </t>
    </r>
    <r>
      <rPr>
        <sz val="10"/>
        <rFont val="Vazirmatn"/>
        <family val="0"/>
        <charset val="1"/>
      </rPr>
      <t xml:space="preserve">32228</t>
    </r>
  </si>
  <si>
    <t xml:space="preserve">4054545</t>
  </si>
  <si>
    <r>
      <rPr>
        <sz val="10"/>
        <rFont val="FreeSans"/>
        <family val="2"/>
      </rPr>
      <t xml:space="preserve">رولبرینگ مخروطی </t>
    </r>
    <r>
      <rPr>
        <sz val="10"/>
        <rFont val="Vazirmatn"/>
        <family val="0"/>
        <charset val="1"/>
      </rPr>
      <t xml:space="preserve">32228</t>
    </r>
  </si>
  <si>
    <t xml:space="preserve">31231534</t>
  </si>
  <si>
    <r>
      <rPr>
        <sz val="10"/>
        <rFont val="FreeSans"/>
        <family val="2"/>
      </rPr>
      <t xml:space="preserve">بلبرینگ                </t>
    </r>
    <r>
      <rPr>
        <sz val="10"/>
        <rFont val="Vazirmatn"/>
        <family val="0"/>
        <charset val="1"/>
      </rPr>
      <t xml:space="preserve">22226</t>
    </r>
  </si>
  <si>
    <t xml:space="preserve">4024861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</si>
  <si>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22226</t>
    </r>
  </si>
  <si>
    <t xml:space="preserve">31231550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</si>
  <si>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30206</t>
    </r>
  </si>
  <si>
    <t xml:space="preserve">4011356</t>
  </si>
  <si>
    <r>
      <rPr>
        <sz val="10"/>
        <rFont val="FreeSans"/>
        <family val="2"/>
      </rPr>
      <t xml:space="preserve">رولبرينگ مخروطي </t>
    </r>
    <r>
      <rPr>
        <sz val="10"/>
        <rFont val="Vazirmatn"/>
        <family val="0"/>
        <charset val="1"/>
      </rPr>
      <t xml:space="preserve">30206</t>
    </r>
  </si>
  <si>
    <t xml:space="preserve">31231560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</si>
  <si>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32011</t>
    </r>
  </si>
  <si>
    <t xml:space="preserve">4024899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</si>
  <si>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32011X</t>
    </r>
  </si>
  <si>
    <t xml:space="preserve">31231575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</si>
  <si>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305        NU</t>
    </r>
  </si>
  <si>
    <t xml:space="preserve">4024843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</si>
  <si>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NU 305</t>
    </r>
  </si>
  <si>
    <t xml:space="preserve">31231577</t>
  </si>
  <si>
    <r>
      <rPr>
        <sz val="10"/>
        <rFont val="FreeSans"/>
        <family val="2"/>
      </rPr>
      <t xml:space="preserve">بلبرینگ        </t>
    </r>
    <r>
      <rPr>
        <sz val="10"/>
        <rFont val="Vazirmatn"/>
        <family val="0"/>
        <charset val="1"/>
      </rPr>
      <t xml:space="preserve">NU  308  M</t>
    </r>
  </si>
  <si>
    <t xml:space="preserve">4024845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</si>
  <si>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NU 308</t>
    </r>
  </si>
  <si>
    <t xml:space="preserve">31231578</t>
  </si>
  <si>
    <r>
      <rPr>
        <sz val="10"/>
        <rFont val="FreeSans"/>
        <family val="2"/>
      </rPr>
      <t xml:space="preserve">رولبرینگ            </t>
    </r>
    <r>
      <rPr>
        <sz val="10"/>
        <rFont val="Vazirmatn"/>
        <family val="0"/>
        <charset val="1"/>
      </rPr>
      <t xml:space="preserve">NU        307</t>
    </r>
  </si>
  <si>
    <t xml:space="preserve">4024886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</si>
  <si>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NU 307ECP</t>
    </r>
  </si>
  <si>
    <t xml:space="preserve">31231580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</si>
  <si>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32206</t>
    </r>
  </si>
  <si>
    <t xml:space="preserve">4011326</t>
  </si>
  <si>
    <r>
      <rPr>
        <sz val="10"/>
        <rFont val="FreeSans"/>
        <family val="2"/>
      </rPr>
      <t xml:space="preserve">رولبرينگ مخروطي </t>
    </r>
    <r>
      <rPr>
        <sz val="10"/>
        <rFont val="Vazirmatn"/>
        <family val="0"/>
        <charset val="1"/>
      </rPr>
      <t xml:space="preserve">32206J</t>
    </r>
  </si>
  <si>
    <t xml:space="preserve">31231584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</si>
  <si>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32209</t>
    </r>
  </si>
  <si>
    <t xml:space="preserve">4024869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</si>
  <si>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32209</t>
    </r>
  </si>
  <si>
    <t xml:space="preserve">31231587</t>
  </si>
  <si>
    <r>
      <rPr>
        <sz val="10"/>
        <rFont val="FreeSans"/>
        <family val="2"/>
      </rPr>
      <t xml:space="preserve">رولبرینگ مخروطی پرس روغن </t>
    </r>
    <r>
      <rPr>
        <sz val="10"/>
        <rFont val="Vazirmatn"/>
        <family val="0"/>
        <charset val="1"/>
      </rPr>
      <t xml:space="preserve">32222  1528-GOYUM-1500</t>
    </r>
  </si>
  <si>
    <t xml:space="preserve">31231591</t>
  </si>
  <si>
    <r>
      <rPr>
        <sz val="10"/>
        <rFont val="FreeSans"/>
        <family val="2"/>
      </rPr>
      <t xml:space="preserve">رولبرینگ مخروطی پرس روغن </t>
    </r>
    <r>
      <rPr>
        <sz val="10"/>
        <rFont val="Vazirmatn"/>
        <family val="0"/>
        <charset val="1"/>
      </rPr>
      <t xml:space="preserve">32224 1529-GOYUM-1500</t>
    </r>
  </si>
  <si>
    <t xml:space="preserve">4050773</t>
  </si>
  <si>
    <r>
      <rPr>
        <sz val="10"/>
        <rFont val="FreeSans"/>
        <family val="2"/>
      </rPr>
      <t xml:space="preserve">رولبرینگ مخروطی</t>
    </r>
    <r>
      <rPr>
        <sz val="10"/>
        <rFont val="Vazirmatn"/>
        <family val="0"/>
        <charset val="1"/>
      </rPr>
      <t xml:space="preserve">-32224</t>
    </r>
  </si>
  <si>
    <t xml:space="preserve">31231595</t>
  </si>
  <si>
    <r>
      <rPr>
        <sz val="10"/>
        <rFont val="FreeSans"/>
        <family val="2"/>
      </rPr>
      <t xml:space="preserve">رولبرینگ مخروطی   </t>
    </r>
    <r>
      <rPr>
        <sz val="10"/>
        <rFont val="Vazirmatn"/>
        <family val="0"/>
        <charset val="1"/>
      </rPr>
      <t xml:space="preserve">32308</t>
    </r>
  </si>
  <si>
    <t xml:space="preserve">4024867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</si>
  <si>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32308</t>
    </r>
  </si>
  <si>
    <t xml:space="preserve">31231683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</si>
  <si>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32212</t>
    </r>
  </si>
  <si>
    <t xml:space="preserve">4024868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</si>
  <si>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32212</t>
    </r>
  </si>
  <si>
    <t xml:space="preserve">31231690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</si>
  <si>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6406</t>
    </r>
  </si>
  <si>
    <t xml:space="preserve">4004319</t>
  </si>
  <si>
    <r>
      <rPr>
        <sz val="10"/>
        <rFont val="FreeSans"/>
        <family val="2"/>
      </rPr>
      <t xml:space="preserve">بلبرينگ معمولي </t>
    </r>
    <r>
      <rPr>
        <sz val="10"/>
        <rFont val="Vazirmatn"/>
        <family val="0"/>
        <charset val="1"/>
      </rPr>
      <t xml:space="preserve">6406</t>
    </r>
  </si>
  <si>
    <t xml:space="preserve">31231810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</si>
  <si>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22213       K</t>
    </r>
  </si>
  <si>
    <t xml:space="preserve">4060116</t>
  </si>
  <si>
    <r>
      <rPr>
        <sz val="10"/>
        <rFont val="FreeSans"/>
        <family val="2"/>
      </rPr>
      <t xml:space="preserve">رولبرینگ مخروطی </t>
    </r>
    <r>
      <rPr>
        <sz val="10"/>
        <rFont val="Vazirmatn"/>
        <family val="0"/>
        <charset val="1"/>
      </rPr>
      <t xml:space="preserve">22213EK</t>
    </r>
  </si>
  <si>
    <t xml:space="preserve">31231865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</si>
  <si>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UC       211</t>
    </r>
  </si>
  <si>
    <t xml:space="preserve">4004330</t>
  </si>
  <si>
    <r>
      <rPr>
        <sz val="10"/>
        <rFont val="FreeSans"/>
        <family val="2"/>
      </rPr>
      <t xml:space="preserve">بلبرينگ معمولي </t>
    </r>
    <r>
      <rPr>
        <sz val="10"/>
        <rFont val="Vazirmatn"/>
        <family val="0"/>
        <charset val="1"/>
      </rPr>
      <t xml:space="preserve">UC211</t>
    </r>
  </si>
  <si>
    <t xml:space="preserve">31231868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</si>
  <si>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UC       210</t>
    </r>
  </si>
  <si>
    <t xml:space="preserve">4004329</t>
  </si>
  <si>
    <r>
      <rPr>
        <sz val="10"/>
        <rFont val="FreeSans"/>
        <family val="2"/>
      </rPr>
      <t xml:space="preserve">بلبرينگ معمولي </t>
    </r>
    <r>
      <rPr>
        <sz val="10"/>
        <rFont val="Vazirmatn"/>
        <family val="0"/>
        <charset val="1"/>
      </rPr>
      <t xml:space="preserve">UC210</t>
    </r>
  </si>
  <si>
    <t xml:space="preserve">31232004</t>
  </si>
  <si>
    <r>
      <rPr>
        <sz val="10"/>
        <rFont val="FreeSans"/>
        <family val="2"/>
      </rPr>
      <t xml:space="preserve">بوشن استیل دنده ای            </t>
    </r>
    <r>
      <rPr>
        <sz val="10"/>
        <rFont val="Vazirmatn"/>
        <family val="0"/>
        <charset val="1"/>
      </rPr>
      <t xml:space="preserve">" 3</t>
    </r>
  </si>
  <si>
    <t xml:space="preserve">4029693</t>
  </si>
  <si>
    <r>
      <rPr>
        <sz val="10"/>
        <rFont val="FreeSans"/>
        <family val="2"/>
      </rPr>
      <t xml:space="preserve">بوشن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</si>
  <si>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31232010</t>
  </si>
  <si>
    <r>
      <rPr>
        <sz val="10"/>
        <rFont val="FreeSans"/>
        <family val="2"/>
      </rPr>
      <t xml:space="preserve">بوشن </t>
    </r>
    <r>
      <rPr>
        <sz val="10"/>
        <rFont val="Vazirmatn"/>
        <family val="0"/>
        <charset val="1"/>
      </rPr>
      <t xml:space="preserve">upvc  3/4</t>
    </r>
  </si>
  <si>
    <t xml:space="preserve">4029748</t>
  </si>
  <si>
    <r>
      <rPr>
        <sz val="10"/>
        <rFont val="FreeSans"/>
        <family val="2"/>
      </rPr>
      <t xml:space="preserve">بوشن دو سر دنده مادگی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</si>
  <si>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31232013</t>
  </si>
  <si>
    <r>
      <rPr>
        <sz val="10"/>
        <rFont val="FreeSans"/>
        <family val="2"/>
      </rPr>
      <t xml:space="preserve">بوشن </t>
    </r>
    <r>
      <rPr>
        <sz val="10"/>
        <rFont val="Vazirmatn"/>
        <family val="0"/>
        <charset val="1"/>
      </rPr>
      <t xml:space="preserve">Upvc    "3</t>
    </r>
  </si>
  <si>
    <t xml:space="preserve">4002675</t>
  </si>
  <si>
    <r>
      <rPr>
        <sz val="10"/>
        <rFont val="FreeSans"/>
        <family val="2"/>
      </rPr>
      <t xml:space="preserve">بوشن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چسبی سایز </t>
    </r>
    <r>
      <rPr>
        <sz val="10"/>
        <rFont val="Vazirmatn"/>
        <family val="0"/>
        <charset val="1"/>
      </rPr>
      <t xml:space="preserve">"3 PN16</t>
    </r>
  </si>
  <si>
    <t xml:space="preserve">31232015</t>
  </si>
  <si>
    <r>
      <rPr>
        <sz val="10"/>
        <rFont val="FreeSans"/>
        <family val="2"/>
      </rPr>
      <t xml:space="preserve">بوشن  </t>
    </r>
    <r>
      <rPr>
        <sz val="10"/>
        <rFont val="Vazirmatn"/>
        <family val="0"/>
        <charset val="1"/>
      </rPr>
      <t xml:space="preserve">" upvc     6</t>
    </r>
  </si>
  <si>
    <t xml:space="preserve">4029734</t>
  </si>
  <si>
    <r>
      <rPr>
        <sz val="10"/>
        <rFont val="FreeSans"/>
        <family val="2"/>
      </rPr>
      <t xml:space="preserve">بوشن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(160) 6 </t>
    </r>
    <r>
      <rPr>
        <sz val="10"/>
        <rFont val="FreeSans"/>
        <family val="2"/>
      </rPr>
      <t xml:space="preserve">اینچ</t>
    </r>
  </si>
  <si>
    <t xml:space="preserve">31232016</t>
  </si>
  <si>
    <r>
      <rPr>
        <sz val="10"/>
        <rFont val="FreeSans"/>
        <family val="2"/>
      </rPr>
      <t xml:space="preserve">بوشن  </t>
    </r>
    <r>
      <rPr>
        <sz val="10"/>
        <rFont val="Vazirmatn"/>
        <family val="0"/>
        <charset val="1"/>
      </rPr>
      <t xml:space="preserve">" UPVC   1 1/2</t>
    </r>
  </si>
  <si>
    <t xml:space="preserve">4029736</t>
  </si>
  <si>
    <r>
      <rPr>
        <sz val="10"/>
        <rFont val="FreeSans"/>
        <family val="2"/>
      </rPr>
      <t xml:space="preserve">بوشن یکسر مغزی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</si>
  <si>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31232035</t>
  </si>
  <si>
    <r>
      <rPr>
        <sz val="10"/>
        <rFont val="FreeSans"/>
        <family val="2"/>
      </rPr>
      <t xml:space="preserve">بوشن آذین یکسر دنده           </t>
    </r>
    <r>
      <rPr>
        <sz val="10"/>
        <rFont val="Vazirmatn"/>
        <family val="0"/>
        <charset val="1"/>
      </rPr>
      <t xml:space="preserve">" 1/2</t>
    </r>
  </si>
  <si>
    <t xml:space="preserve">4029714</t>
  </si>
  <si>
    <r>
      <rPr>
        <sz val="10"/>
        <rFont val="FreeSans"/>
        <family val="2"/>
      </rPr>
      <t xml:space="preserve">بوشن یکسر دنده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</si>
  <si>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31232036</t>
  </si>
  <si>
    <r>
      <rPr>
        <sz val="10"/>
        <rFont val="FreeSans"/>
        <family val="2"/>
      </rPr>
      <t xml:space="preserve">بوشن آذین جوشی   </t>
    </r>
    <r>
      <rPr>
        <sz val="10"/>
        <rFont val="Vazirmatn"/>
        <family val="0"/>
        <charset val="1"/>
      </rPr>
      <t xml:space="preserve">" 1/2</t>
    </r>
  </si>
  <si>
    <t xml:space="preserve">4029707</t>
  </si>
  <si>
    <r>
      <rPr>
        <sz val="10"/>
        <rFont val="FreeSans"/>
        <family val="2"/>
      </rPr>
      <t xml:space="preserve">بوشن جوشی دنده ای </t>
    </r>
    <r>
      <rPr>
        <sz val="10"/>
        <rFont val="Vazirmatn"/>
        <family val="0"/>
        <charset val="1"/>
      </rPr>
      <t xml:space="preserve">"1/2 2</t>
    </r>
  </si>
  <si>
    <t xml:space="preserve">31232043</t>
  </si>
  <si>
    <r>
      <rPr>
        <sz val="10"/>
        <rFont val="FreeSans"/>
        <family val="2"/>
      </rPr>
      <t xml:space="preserve">بوشن گالوانبزه دنده ای               </t>
    </r>
    <r>
      <rPr>
        <sz val="10"/>
        <rFont val="Vazirmatn"/>
        <family val="0"/>
        <charset val="1"/>
      </rPr>
      <t xml:space="preserve">"1</t>
    </r>
  </si>
  <si>
    <t xml:space="preserve">4029745</t>
  </si>
  <si>
    <r>
      <rPr>
        <sz val="10"/>
        <rFont val="FreeSans"/>
        <family val="2"/>
      </rPr>
      <t xml:space="preserve">بوشن گالوانیزه دنده ای 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</si>
  <si>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31232054</t>
  </si>
  <si>
    <r>
      <rPr>
        <sz val="10"/>
        <rFont val="FreeSans"/>
        <family val="2"/>
      </rPr>
      <t xml:space="preserve">بوشن یکسر دنده  </t>
    </r>
    <r>
      <rPr>
        <sz val="10"/>
        <rFont val="Vazirmatn"/>
        <family val="0"/>
        <charset val="1"/>
      </rPr>
      <t xml:space="preserve">"  1   CPVC</t>
    </r>
  </si>
  <si>
    <t xml:space="preserve">4029710</t>
  </si>
  <si>
    <r>
      <rPr>
        <sz val="10"/>
        <rFont val="FreeSans"/>
        <family val="2"/>
      </rPr>
      <t xml:space="preserve">بوشن یکسر دنده سبز </t>
    </r>
    <r>
      <rPr>
        <sz val="10"/>
        <rFont val="Vazirmatn"/>
        <family val="0"/>
        <charset val="1"/>
      </rPr>
      <t xml:space="preserve">1*32</t>
    </r>
  </si>
  <si>
    <t xml:space="preserve">31232139</t>
  </si>
  <si>
    <r>
      <rPr>
        <sz val="10"/>
        <rFont val="FreeSans"/>
        <family val="2"/>
      </rPr>
      <t xml:space="preserve">بوشن آذین یکسر دنده     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</si>
  <si>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31232161</t>
  </si>
  <si>
    <r>
      <rPr>
        <sz val="10"/>
        <rFont val="FreeSans"/>
        <family val="2"/>
      </rPr>
      <t xml:space="preserve">بوشن آذین یکسر دنده             </t>
    </r>
    <r>
      <rPr>
        <sz val="10"/>
        <rFont val="Vazirmatn"/>
        <family val="0"/>
        <charset val="1"/>
      </rPr>
      <t xml:space="preserve">" 1</t>
    </r>
  </si>
  <si>
    <t xml:space="preserve">31232165</t>
  </si>
  <si>
    <r>
      <rPr>
        <sz val="10"/>
        <rFont val="FreeSans"/>
        <family val="2"/>
      </rPr>
      <t xml:space="preserve">بوشن یکسر دنده آذین          </t>
    </r>
    <r>
      <rPr>
        <sz val="10"/>
        <rFont val="Vazirmatn"/>
        <family val="0"/>
        <charset val="1"/>
      </rPr>
      <t xml:space="preserve">" 3/4</t>
    </r>
  </si>
  <si>
    <t xml:space="preserve">4029709</t>
  </si>
  <si>
    <r>
      <rPr>
        <sz val="10"/>
        <rFont val="FreeSans"/>
        <family val="2"/>
      </rPr>
      <t xml:space="preserve">بوشن یکسر دنده سبز </t>
    </r>
    <r>
      <rPr>
        <sz val="10"/>
        <rFont val="Vazirmatn"/>
        <family val="0"/>
        <charset val="1"/>
      </rPr>
      <t xml:space="preserve">3/4*20</t>
    </r>
  </si>
  <si>
    <t xml:space="preserve">31232184</t>
  </si>
  <si>
    <r>
      <rPr>
        <sz val="10"/>
        <rFont val="FreeSans"/>
        <family val="2"/>
      </rPr>
      <t xml:space="preserve">بوشن استیل دنده ای     </t>
    </r>
    <r>
      <rPr>
        <sz val="10"/>
        <rFont val="Vazirmatn"/>
        <family val="0"/>
        <charset val="1"/>
      </rPr>
      <t xml:space="preserve">" 1/2 2</t>
    </r>
  </si>
  <si>
    <t xml:space="preserve">4031672</t>
  </si>
  <si>
    <r>
      <rPr>
        <sz val="10"/>
        <rFont val="FreeSans"/>
        <family val="2"/>
      </rPr>
      <t xml:space="preserve">بوشن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</si>
  <si>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31232185</t>
  </si>
  <si>
    <r>
      <rPr>
        <sz val="10"/>
        <rFont val="FreeSans"/>
        <family val="2"/>
      </rPr>
      <t xml:space="preserve">بوشن آهنی دنده ای         </t>
    </r>
    <r>
      <rPr>
        <sz val="10"/>
        <rFont val="Vazirmatn"/>
        <family val="0"/>
        <charset val="1"/>
      </rPr>
      <t xml:space="preserve">" 3/4</t>
    </r>
  </si>
  <si>
    <t xml:space="preserve">31232350</t>
  </si>
  <si>
    <r>
      <rPr>
        <sz val="10"/>
        <rFont val="FreeSans"/>
        <family val="2"/>
      </rPr>
      <t xml:space="preserve">بوشن آهنی دنده ای فشار قوی  </t>
    </r>
    <r>
      <rPr>
        <sz val="10"/>
        <rFont val="Vazirmatn"/>
        <family val="0"/>
        <charset val="1"/>
      </rPr>
      <t xml:space="preserve">" 1/2</t>
    </r>
  </si>
  <si>
    <t xml:space="preserve">4029721</t>
  </si>
  <si>
    <r>
      <rPr>
        <sz val="10"/>
        <rFont val="FreeSans"/>
        <family val="2"/>
      </rPr>
      <t xml:space="preserve">بوشن کربن فشار قوی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</si>
  <si>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31232352</t>
  </si>
  <si>
    <r>
      <rPr>
        <sz val="10"/>
        <rFont val="FreeSans"/>
        <family val="2"/>
      </rPr>
      <t xml:space="preserve">بوشن آهنی مانیسمان  رده </t>
    </r>
    <r>
      <rPr>
        <sz val="10"/>
        <rFont val="Vazirmatn"/>
        <family val="0"/>
        <charset val="1"/>
      </rPr>
      <t xml:space="preserve">40  " 2</t>
    </r>
  </si>
  <si>
    <t xml:space="preserve">4031670</t>
  </si>
  <si>
    <r>
      <rPr>
        <sz val="10"/>
        <rFont val="FreeSans"/>
        <family val="2"/>
      </rPr>
      <t xml:space="preserve">بوشن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</si>
  <si>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31232354</t>
  </si>
  <si>
    <r>
      <rPr>
        <sz val="10"/>
        <rFont val="FreeSans"/>
        <family val="2"/>
      </rPr>
      <t xml:space="preserve">بوشن آهنی مانیسمان  رده </t>
    </r>
    <r>
      <rPr>
        <sz val="10"/>
        <rFont val="Vazirmatn"/>
        <family val="0"/>
        <charset val="1"/>
      </rPr>
      <t xml:space="preserve">40  " 1/2 2</t>
    </r>
  </si>
  <si>
    <t xml:space="preserve">4031671</t>
  </si>
  <si>
    <r>
      <rPr>
        <sz val="10"/>
        <rFont val="FreeSans"/>
        <family val="2"/>
      </rPr>
      <t xml:space="preserve">بوشن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</t>
    </r>
    <r>
      <rPr>
        <sz val="10"/>
        <rFont val="FreeSans"/>
        <family val="2"/>
      </rPr>
      <t xml:space="preserve">مانیسمان سای </t>
    </r>
    <r>
      <rPr>
        <sz val="10"/>
        <rFont val="Vazirmatn"/>
        <family val="0"/>
        <charset val="1"/>
      </rPr>
      <t xml:space="preserve">1/2 2</t>
    </r>
  </si>
  <si>
    <t xml:space="preserve">31232431</t>
  </si>
  <si>
    <r>
      <rPr>
        <sz val="10"/>
        <rFont val="FreeSans"/>
        <family val="2"/>
      </rPr>
      <t xml:space="preserve">بوشن استیل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 </t>
    </r>
    <r>
      <rPr>
        <sz val="10"/>
        <rFont val="Vazirmatn"/>
        <family val="0"/>
        <charset val="1"/>
      </rPr>
      <t xml:space="preserve">1/4</t>
    </r>
  </si>
  <si>
    <t xml:space="preserve">4029751</t>
  </si>
  <si>
    <r>
      <rPr>
        <sz val="10"/>
        <rFont val="FreeSans"/>
        <family val="2"/>
      </rPr>
      <t xml:space="preserve">بوشن دنده ای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1/4 </t>
    </r>
    <r>
      <rPr>
        <sz val="10"/>
        <rFont val="FreeSans"/>
        <family val="2"/>
      </rPr>
      <t xml:space="preserve">اینچ</t>
    </r>
  </si>
  <si>
    <t xml:space="preserve">31232450</t>
  </si>
  <si>
    <r>
      <rPr>
        <sz val="10"/>
        <rFont val="FreeSans"/>
        <family val="2"/>
      </rPr>
      <t xml:space="preserve">بوشن رابط نیوپایپ </t>
    </r>
    <r>
      <rPr>
        <sz val="10"/>
        <rFont val="Vazirmatn"/>
        <family val="0"/>
        <charset val="1"/>
      </rPr>
      <t xml:space="preserve">"1/2*16</t>
    </r>
  </si>
  <si>
    <t xml:space="preserve">4041702</t>
  </si>
  <si>
    <r>
      <rPr>
        <sz val="10"/>
        <rFont val="FreeSans"/>
        <family val="2"/>
      </rPr>
      <t xml:space="preserve">بوشن روپیچ نیوپایپ پرسی </t>
    </r>
    <r>
      <rPr>
        <sz val="10"/>
        <rFont val="Vazirmatn"/>
        <family val="0"/>
        <charset val="1"/>
      </rPr>
      <t xml:space="preserve">1/2*16"</t>
    </r>
  </si>
  <si>
    <t xml:space="preserve">31232451</t>
  </si>
  <si>
    <r>
      <rPr>
        <sz val="10"/>
        <rFont val="FreeSans"/>
        <family val="2"/>
      </rPr>
      <t xml:space="preserve">بوشن روپیچ نیوپایپ </t>
    </r>
    <r>
      <rPr>
        <sz val="10"/>
        <rFont val="Vazirmatn"/>
        <family val="0"/>
        <charset val="1"/>
      </rPr>
      <t xml:space="preserve">1/2*20</t>
    </r>
  </si>
  <si>
    <t xml:space="preserve">4020867</t>
  </si>
  <si>
    <r>
      <rPr>
        <sz val="10"/>
        <rFont val="FreeSans"/>
        <family val="2"/>
      </rPr>
      <t xml:space="preserve">بوشن توپیچ نیوپایپ پرسی </t>
    </r>
    <r>
      <rPr>
        <sz val="10"/>
        <rFont val="Vazirmatn"/>
        <family val="0"/>
        <charset val="1"/>
      </rPr>
      <t xml:space="preserve">1/2" *20</t>
    </r>
  </si>
  <si>
    <t xml:space="preserve">31232453</t>
  </si>
  <si>
    <r>
      <rPr>
        <sz val="10"/>
        <rFont val="FreeSans"/>
        <family val="2"/>
      </rPr>
      <t xml:space="preserve">بوشن پرسی نیوپایپ  </t>
    </r>
    <r>
      <rPr>
        <sz val="10"/>
        <rFont val="Vazirmatn"/>
        <family val="0"/>
        <charset val="1"/>
      </rPr>
      <t xml:space="preserve">20*1/2</t>
    </r>
  </si>
  <si>
    <t xml:space="preserve">31234128</t>
  </si>
  <si>
    <r>
      <rPr>
        <sz val="10"/>
        <rFont val="FreeSans"/>
        <family val="2"/>
      </rPr>
      <t xml:space="preserve">یاطاقان با بلبرینگ   </t>
    </r>
    <r>
      <rPr>
        <sz val="10"/>
        <rFont val="Vazirmatn"/>
        <family val="0"/>
        <charset val="1"/>
      </rPr>
      <t xml:space="preserve">211 F</t>
    </r>
  </si>
  <si>
    <t xml:space="preserve">4024651</t>
  </si>
  <si>
    <r>
      <rPr>
        <sz val="10"/>
        <rFont val="FreeSans"/>
        <family val="2"/>
      </rPr>
      <t xml:space="preserve">بلبرینگ یاتاقان </t>
    </r>
    <r>
      <rPr>
        <sz val="10"/>
        <rFont val="Vazirmatn"/>
        <family val="0"/>
        <charset val="1"/>
      </rPr>
      <t xml:space="preserve">UC211</t>
    </r>
  </si>
  <si>
    <t xml:space="preserve">31234144</t>
  </si>
  <si>
    <r>
      <rPr>
        <sz val="10"/>
        <rFont val="FreeSans"/>
        <family val="2"/>
      </rPr>
      <t xml:space="preserve">یاتاقان بلبرینگ   </t>
    </r>
    <r>
      <rPr>
        <sz val="10"/>
        <rFont val="Vazirmatn"/>
        <family val="0"/>
        <charset val="1"/>
      </rPr>
      <t xml:space="preserve">P 206  K</t>
    </r>
  </si>
  <si>
    <t xml:space="preserve">4024979</t>
  </si>
  <si>
    <r>
      <rPr>
        <sz val="10"/>
        <rFont val="FreeSans"/>
        <family val="2"/>
      </rPr>
      <t xml:space="preserve">یاتاقان </t>
    </r>
    <r>
      <rPr>
        <sz val="10"/>
        <rFont val="Vazirmatn"/>
        <family val="0"/>
        <charset val="1"/>
      </rPr>
      <t xml:space="preserve">P206</t>
    </r>
  </si>
  <si>
    <t xml:space="preserve">31234152</t>
  </si>
  <si>
    <r>
      <rPr>
        <sz val="10"/>
        <rFont val="FreeSans"/>
        <family val="2"/>
      </rPr>
      <t xml:space="preserve">یاطاقان   </t>
    </r>
    <r>
      <rPr>
        <sz val="10"/>
        <rFont val="Vazirmatn"/>
        <family val="0"/>
        <charset val="1"/>
      </rPr>
      <t xml:space="preserve">sn 509</t>
    </r>
  </si>
  <si>
    <t xml:space="preserve">4045184</t>
  </si>
  <si>
    <r>
      <rPr>
        <sz val="10"/>
        <rFont val="FreeSans"/>
        <family val="2"/>
      </rPr>
      <t xml:space="preserve">یاتاقان ایستاده </t>
    </r>
    <r>
      <rPr>
        <sz val="10"/>
        <rFont val="Vazirmatn"/>
        <family val="0"/>
        <charset val="1"/>
      </rPr>
      <t xml:space="preserve">SN-509</t>
    </r>
  </si>
  <si>
    <t xml:space="preserve">31234183</t>
  </si>
  <si>
    <r>
      <rPr>
        <sz val="10"/>
        <rFont val="FreeSans"/>
        <family val="2"/>
      </rPr>
      <t xml:space="preserve">یاتاقان کولر </t>
    </r>
    <r>
      <rPr>
        <sz val="10"/>
        <rFont val="Vazirmatn"/>
        <family val="0"/>
        <charset val="1"/>
      </rPr>
      <t xml:space="preserve">3500</t>
    </r>
  </si>
  <si>
    <t xml:space="preserve">5013255</t>
  </si>
  <si>
    <r>
      <rPr>
        <sz val="10"/>
        <rFont val="FreeSans"/>
        <family val="2"/>
      </rPr>
      <t xml:space="preserve">یاتاقان کولر آبی </t>
    </r>
    <r>
      <rPr>
        <sz val="10"/>
        <rFont val="Vazirmatn"/>
        <family val="0"/>
        <charset val="1"/>
      </rPr>
      <t xml:space="preserve">3500</t>
    </r>
  </si>
  <si>
    <t xml:space="preserve">31234302</t>
  </si>
  <si>
    <r>
      <rPr>
        <sz val="10"/>
        <rFont val="FreeSans"/>
        <family val="2"/>
      </rPr>
      <t xml:space="preserve">یاطاقان با بلبرینگ     </t>
    </r>
    <r>
      <rPr>
        <sz val="10"/>
        <rFont val="Vazirmatn"/>
        <family val="0"/>
        <charset val="1"/>
      </rPr>
      <t xml:space="preserve">211 P</t>
    </r>
  </si>
  <si>
    <t xml:space="preserve">31234349</t>
  </si>
  <si>
    <r>
      <rPr>
        <sz val="10"/>
        <rFont val="FreeSans"/>
        <family val="2"/>
      </rPr>
      <t xml:space="preserve">یاطاقان                    </t>
    </r>
    <r>
      <rPr>
        <sz val="10"/>
        <rFont val="Vazirmatn"/>
        <family val="0"/>
        <charset val="1"/>
      </rPr>
      <t xml:space="preserve">F 206</t>
    </r>
  </si>
  <si>
    <t xml:space="preserve">31237101</t>
  </si>
  <si>
    <r>
      <rPr>
        <sz val="10"/>
        <rFont val="FreeSans"/>
        <family val="2"/>
      </rPr>
      <t xml:space="preserve">روغن بهران                </t>
    </r>
    <r>
      <rPr>
        <sz val="10"/>
        <rFont val="Vazirmatn"/>
        <family val="0"/>
        <charset val="1"/>
      </rPr>
      <t xml:space="preserve">40</t>
    </r>
  </si>
  <si>
    <t xml:space="preserve">5003552</t>
  </si>
  <si>
    <r>
      <rPr>
        <sz val="10"/>
        <rFont val="FreeSans"/>
        <family val="2"/>
      </rPr>
      <t xml:space="preserve">روغن موتور بهران </t>
    </r>
    <r>
      <rPr>
        <sz val="10"/>
        <rFont val="Vazirmatn"/>
        <family val="0"/>
        <charset val="1"/>
      </rPr>
      <t xml:space="preserve">40</t>
    </r>
  </si>
  <si>
    <t xml:space="preserve">31237105</t>
  </si>
  <si>
    <r>
      <rPr>
        <sz val="10"/>
        <rFont val="FreeSans"/>
        <family val="2"/>
      </rPr>
      <t xml:space="preserve">روغن کمپرسور    </t>
    </r>
    <r>
      <rPr>
        <sz val="10"/>
        <rFont val="Vazirmatn"/>
        <family val="0"/>
        <charset val="1"/>
      </rPr>
      <t xml:space="preserve">4GS</t>
    </r>
  </si>
  <si>
    <t xml:space="preserve">31237106</t>
  </si>
  <si>
    <t xml:space="preserve">آب   باطری</t>
  </si>
  <si>
    <t xml:space="preserve">5007325</t>
  </si>
  <si>
    <t xml:space="preserve">آب مقطر باطری</t>
  </si>
  <si>
    <t xml:space="preserve">31237108</t>
  </si>
  <si>
    <r>
      <rPr>
        <sz val="10"/>
        <rFont val="FreeSans"/>
        <family val="2"/>
      </rPr>
      <t xml:space="preserve">روغن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بهران پیشتاز </t>
    </r>
    <r>
      <rPr>
        <sz val="10"/>
        <rFont val="Vazirmatn"/>
        <family val="0"/>
        <charset val="1"/>
      </rPr>
      <t xml:space="preserve">SL) 20W 50</t>
    </r>
  </si>
  <si>
    <t xml:space="preserve">5009006</t>
  </si>
  <si>
    <r>
      <rPr>
        <sz val="10"/>
        <rFont val="FreeSans"/>
        <family val="2"/>
      </rPr>
      <t xml:space="preserve">روغن بهران سوپر پیشتاز </t>
    </r>
    <r>
      <rPr>
        <sz val="10"/>
        <rFont val="Vazirmatn"/>
        <family val="0"/>
        <charset val="1"/>
      </rPr>
      <t xml:space="preserve">20W50</t>
    </r>
  </si>
  <si>
    <t xml:space="preserve">31237110</t>
  </si>
  <si>
    <r>
      <rPr>
        <sz val="10"/>
        <rFont val="FreeSans"/>
        <family val="2"/>
      </rPr>
      <t xml:space="preserve">روغن بهران هیدرولیک </t>
    </r>
    <r>
      <rPr>
        <sz val="10"/>
        <rFont val="Vazirmatn"/>
        <family val="0"/>
        <charset val="1"/>
      </rPr>
      <t xml:space="preserve">32</t>
    </r>
  </si>
  <si>
    <t xml:space="preserve">5008902</t>
  </si>
  <si>
    <r>
      <rPr>
        <sz val="10"/>
        <rFont val="FreeSans"/>
        <family val="2"/>
      </rPr>
      <t xml:space="preserve">روغن هیدرولیک </t>
    </r>
    <r>
      <rPr>
        <sz val="10"/>
        <rFont val="Vazirmatn"/>
        <family val="0"/>
        <charset val="1"/>
      </rPr>
      <t xml:space="preserve">H32</t>
    </r>
  </si>
  <si>
    <t xml:space="preserve">31237111</t>
  </si>
  <si>
    <r>
      <rPr>
        <sz val="10"/>
        <rFont val="FreeSans"/>
        <family val="2"/>
      </rPr>
      <t xml:space="preserve">روغن موتور  </t>
    </r>
    <r>
      <rPr>
        <sz val="10"/>
        <rFont val="Vazirmatn"/>
        <family val="0"/>
        <charset val="1"/>
      </rPr>
      <t xml:space="preserve">40</t>
    </r>
  </si>
  <si>
    <t xml:space="preserve">5018208</t>
  </si>
  <si>
    <r>
      <rPr>
        <sz val="10"/>
        <rFont val="FreeSans"/>
        <family val="2"/>
      </rPr>
      <t xml:space="preserve">روغن موتور</t>
    </r>
    <r>
      <rPr>
        <sz val="10"/>
        <rFont val="Vazirmatn"/>
        <family val="0"/>
        <charset val="1"/>
      </rPr>
      <t xml:space="preserve">40-10</t>
    </r>
  </si>
  <si>
    <t xml:space="preserve">31237118</t>
  </si>
  <si>
    <r>
      <rPr>
        <sz val="10"/>
        <rFont val="FreeSans"/>
        <family val="2"/>
      </rPr>
      <t xml:space="preserve">روغن موتور بهران توربو دیزل اکسترا </t>
    </r>
    <r>
      <rPr>
        <sz val="10"/>
        <rFont val="Vazirmatn"/>
        <family val="0"/>
        <charset val="1"/>
      </rPr>
      <t xml:space="preserve">( 15W40 - CH / C14 )</t>
    </r>
  </si>
  <si>
    <t xml:space="preserve">5020282</t>
  </si>
  <si>
    <r>
      <rPr>
        <sz val="10"/>
        <rFont val="FreeSans"/>
        <family val="2"/>
      </rPr>
      <t xml:space="preserve">روغن موتور بهران توربو دیزل  </t>
    </r>
    <r>
      <rPr>
        <sz val="10"/>
        <rFont val="Vazirmatn"/>
        <family val="0"/>
        <charset val="1"/>
      </rPr>
      <t xml:space="preserve">15W40</t>
    </r>
  </si>
  <si>
    <t xml:space="preserve">31237119</t>
  </si>
  <si>
    <r>
      <rPr>
        <sz val="10"/>
        <rFont val="FreeSans"/>
        <family val="2"/>
      </rPr>
      <t xml:space="preserve">روغن بهران هیدرلیک  </t>
    </r>
    <r>
      <rPr>
        <sz val="10"/>
        <rFont val="Vazirmatn"/>
        <family val="0"/>
        <charset val="1"/>
      </rPr>
      <t xml:space="preserve">46</t>
    </r>
  </si>
  <si>
    <t xml:space="preserve">4024382</t>
  </si>
  <si>
    <r>
      <rPr>
        <sz val="10"/>
        <rFont val="FreeSans"/>
        <family val="2"/>
      </rPr>
      <t xml:space="preserve">روغن بهران هیدرولیک </t>
    </r>
    <r>
      <rPr>
        <sz val="10"/>
        <rFont val="Vazirmatn"/>
        <family val="0"/>
        <charset val="1"/>
      </rPr>
      <t xml:space="preserve">H46</t>
    </r>
  </si>
  <si>
    <t xml:space="preserve">31237128</t>
  </si>
  <si>
    <r>
      <rPr>
        <sz val="10"/>
        <rFont val="FreeSans"/>
        <family val="2"/>
      </rPr>
      <t xml:space="preserve">روغن پارس   </t>
    </r>
    <r>
      <rPr>
        <sz val="10"/>
        <rFont val="Vazirmatn"/>
        <family val="0"/>
        <charset val="1"/>
      </rPr>
      <t xml:space="preserve">20-50</t>
    </r>
  </si>
  <si>
    <t xml:space="preserve">5007856</t>
  </si>
  <si>
    <r>
      <rPr>
        <sz val="10"/>
        <rFont val="FreeSans"/>
        <family val="2"/>
      </rPr>
      <t xml:space="preserve">روغن موتور پارس پایا </t>
    </r>
    <r>
      <rPr>
        <sz val="10"/>
        <rFont val="Vazirmatn"/>
        <family val="0"/>
        <charset val="1"/>
      </rPr>
      <t xml:space="preserve">20w50</t>
    </r>
  </si>
  <si>
    <t xml:space="preserve">31237129</t>
  </si>
  <si>
    <r>
      <rPr>
        <sz val="10"/>
        <rFont val="FreeSans"/>
        <family val="2"/>
      </rPr>
      <t xml:space="preserve">روغن گیربکس بهران توربو دیزل اکسترا </t>
    </r>
    <r>
      <rPr>
        <sz val="10"/>
        <rFont val="Vazirmatn"/>
        <family val="0"/>
        <charset val="1"/>
      </rPr>
      <t xml:space="preserve">( 15W40 - CH / C14 )</t>
    </r>
  </si>
  <si>
    <t xml:space="preserve">31237133</t>
  </si>
  <si>
    <r>
      <rPr>
        <sz val="10"/>
        <rFont val="FreeSans"/>
        <family val="2"/>
      </rPr>
      <t xml:space="preserve">روغن هیدرولیک شل      </t>
    </r>
    <r>
      <rPr>
        <sz val="10"/>
        <rFont val="Vazirmatn"/>
        <family val="0"/>
        <charset val="1"/>
      </rPr>
      <t xml:space="preserve">46</t>
    </r>
  </si>
  <si>
    <t xml:space="preserve">31237135</t>
  </si>
  <si>
    <r>
      <rPr>
        <sz val="10"/>
        <rFont val="FreeSans"/>
        <family val="2"/>
      </rPr>
      <t xml:space="preserve">روغن هیدرولیک شل      </t>
    </r>
    <r>
      <rPr>
        <sz val="10"/>
        <rFont val="Vazirmatn"/>
        <family val="0"/>
        <charset val="1"/>
      </rPr>
      <t xml:space="preserve">68</t>
    </r>
  </si>
  <si>
    <t xml:space="preserve">5001320</t>
  </si>
  <si>
    <r>
      <rPr>
        <sz val="10"/>
        <rFont val="FreeSans"/>
        <family val="2"/>
      </rPr>
      <t xml:space="preserve">روغن هیدرولیک </t>
    </r>
    <r>
      <rPr>
        <sz val="10"/>
        <rFont val="Vazirmatn"/>
        <family val="0"/>
        <charset val="1"/>
      </rPr>
      <t xml:space="preserve">H68</t>
    </r>
  </si>
  <si>
    <t xml:space="preserve">31237137</t>
  </si>
  <si>
    <r>
      <rPr>
        <sz val="10"/>
        <rFont val="FreeSans"/>
        <family val="2"/>
      </rPr>
      <t xml:space="preserve">روغن حل شونده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آب صابون </t>
    </r>
    <r>
      <rPr>
        <sz val="10"/>
        <rFont val="Vazirmatn"/>
        <family val="0"/>
        <charset val="1"/>
      </rPr>
      <t xml:space="preserve">)</t>
    </r>
  </si>
  <si>
    <t xml:space="preserve">5008819</t>
  </si>
  <si>
    <t xml:space="preserve">روغن آب صابون</t>
  </si>
  <si>
    <t xml:space="preserve">31237139</t>
  </si>
  <si>
    <r>
      <rPr>
        <sz val="10"/>
        <rFont val="FreeSans"/>
        <family val="2"/>
      </rPr>
      <t xml:space="preserve">روغن هیدرولیک شل </t>
    </r>
    <r>
      <rPr>
        <sz val="10"/>
        <rFont val="Vazirmatn"/>
        <family val="0"/>
        <charset val="1"/>
      </rPr>
      <t xml:space="preserve">shell tellus   32</t>
    </r>
  </si>
  <si>
    <t xml:space="preserve">31237144</t>
  </si>
  <si>
    <r>
      <rPr>
        <sz val="10"/>
        <rFont val="FreeSans"/>
        <family val="2"/>
      </rPr>
      <t xml:space="preserve">روغن شل </t>
    </r>
    <r>
      <rPr>
        <sz val="10"/>
        <rFont val="Vazirmatn"/>
        <family val="0"/>
        <charset val="1"/>
      </rPr>
      <t xml:space="preserve">mobil dtexcel46</t>
    </r>
  </si>
  <si>
    <t xml:space="preserve">4024381</t>
  </si>
  <si>
    <r>
      <rPr>
        <sz val="10"/>
        <rFont val="FreeSans"/>
        <family val="2"/>
      </rPr>
      <t xml:space="preserve">روغن </t>
    </r>
    <r>
      <rPr>
        <sz val="10"/>
        <rFont val="Vazirmatn"/>
        <family val="0"/>
        <charset val="1"/>
      </rPr>
      <t xml:space="preserve">Mobil 46</t>
    </r>
  </si>
  <si>
    <t xml:space="preserve">31237161</t>
  </si>
  <si>
    <r>
      <rPr>
        <sz val="10"/>
        <rFont val="FreeSans"/>
        <family val="2"/>
      </rPr>
      <t xml:space="preserve">روغن بهران بردبار </t>
    </r>
    <r>
      <rPr>
        <sz val="10"/>
        <rFont val="Vazirmatn"/>
        <family val="0"/>
        <charset val="1"/>
      </rPr>
      <t xml:space="preserve">320</t>
    </r>
  </si>
  <si>
    <t xml:space="preserve">4024386</t>
  </si>
  <si>
    <r>
      <rPr>
        <sz val="10"/>
        <rFont val="FreeSans"/>
        <family val="2"/>
      </rPr>
      <t xml:space="preserve">روغن بهران بردبار </t>
    </r>
    <r>
      <rPr>
        <sz val="10"/>
        <rFont val="Vazirmatn"/>
        <family val="0"/>
        <charset val="1"/>
      </rPr>
      <t xml:space="preserve">320PG</t>
    </r>
  </si>
  <si>
    <t xml:space="preserve">31237165</t>
  </si>
  <si>
    <r>
      <rPr>
        <sz val="10"/>
        <rFont val="FreeSans"/>
        <family val="2"/>
      </rPr>
      <t xml:space="preserve">روغن دکانتور   </t>
    </r>
    <r>
      <rPr>
        <sz val="10"/>
        <rFont val="Vazirmatn"/>
        <family val="0"/>
        <charset val="1"/>
      </rPr>
      <t xml:space="preserve">CF 5000 ) 000 - 0036 - 0015 )</t>
    </r>
  </si>
  <si>
    <t xml:space="preserve">4024371</t>
  </si>
  <si>
    <r>
      <rPr>
        <sz val="10"/>
        <rFont val="FreeSans"/>
        <family val="2"/>
      </rPr>
      <t xml:space="preserve">روغن </t>
    </r>
    <r>
      <rPr>
        <sz val="10"/>
        <rFont val="Vazirmatn"/>
        <family val="0"/>
        <charset val="1"/>
      </rPr>
      <t xml:space="preserve">X0015-0036-000</t>
    </r>
  </si>
  <si>
    <t xml:space="preserve">31237167</t>
  </si>
  <si>
    <r>
      <rPr>
        <sz val="10"/>
        <rFont val="FreeSans"/>
        <family val="2"/>
      </rPr>
      <t xml:space="preserve">روغن کمپرسور </t>
    </r>
    <r>
      <rPr>
        <sz val="10"/>
        <rFont val="Vazirmatn"/>
        <family val="0"/>
        <charset val="1"/>
      </rPr>
      <t xml:space="preserve">Ro To - inject  GA 55</t>
    </r>
  </si>
  <si>
    <t xml:space="preserve">4024388</t>
  </si>
  <si>
    <r>
      <rPr>
        <sz val="10"/>
        <rFont val="FreeSans"/>
        <family val="2"/>
      </rPr>
      <t xml:space="preserve">روغن کمپرسور </t>
    </r>
    <r>
      <rPr>
        <sz val="10"/>
        <rFont val="Vazirmatn"/>
        <family val="0"/>
        <charset val="1"/>
      </rPr>
      <t xml:space="preserve">GA55</t>
    </r>
  </si>
  <si>
    <t xml:space="preserve">31237255</t>
  </si>
  <si>
    <r>
      <rPr>
        <sz val="10"/>
        <rFont val="FreeSans"/>
        <family val="2"/>
      </rPr>
      <t xml:space="preserve">روغن ترمز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زرد رنگ </t>
    </r>
    <r>
      <rPr>
        <sz val="10"/>
        <rFont val="Vazirmatn"/>
        <family val="0"/>
        <charset val="1"/>
      </rPr>
      <t xml:space="preserve">)</t>
    </r>
  </si>
  <si>
    <t xml:space="preserve">5018429</t>
  </si>
  <si>
    <t xml:space="preserve">روغن ترمز زرد فومن شیمی</t>
  </si>
  <si>
    <t xml:space="preserve">31237352</t>
  </si>
  <si>
    <t xml:space="preserve">ضد یخ</t>
  </si>
  <si>
    <t xml:space="preserve">31237419</t>
  </si>
  <si>
    <r>
      <rPr>
        <sz val="10"/>
        <rFont val="FreeSans"/>
        <family val="2"/>
      </rPr>
      <t xml:space="preserve">گریس نسوز لیتم کمپلکس </t>
    </r>
    <r>
      <rPr>
        <sz val="10"/>
        <rFont val="Vazirmatn"/>
        <family val="0"/>
        <charset val="1"/>
      </rPr>
      <t xml:space="preserve">EP</t>
    </r>
  </si>
  <si>
    <t xml:space="preserve">4024399</t>
  </si>
  <si>
    <t xml:space="preserve">گریس نسوز</t>
  </si>
  <si>
    <t xml:space="preserve">31239102</t>
  </si>
  <si>
    <r>
      <rPr>
        <sz val="10"/>
        <rFont val="FreeSans"/>
        <family val="2"/>
      </rPr>
      <t xml:space="preserve">گریس خور راست       نمره </t>
    </r>
    <r>
      <rPr>
        <sz val="10"/>
        <rFont val="Vazirmatn"/>
        <family val="0"/>
        <charset val="1"/>
      </rPr>
      <t xml:space="preserve">12</t>
    </r>
  </si>
  <si>
    <t xml:space="preserve">5002239</t>
  </si>
  <si>
    <r>
      <rPr>
        <sz val="10"/>
        <rFont val="FreeSans"/>
        <family val="2"/>
      </rPr>
      <t xml:space="preserve">گريس خور </t>
    </r>
    <r>
      <rPr>
        <sz val="10"/>
        <rFont val="Vazirmatn"/>
        <family val="0"/>
        <charset val="1"/>
      </rPr>
      <t xml:space="preserve">90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12</t>
    </r>
  </si>
  <si>
    <t xml:space="preserve">31239103</t>
  </si>
  <si>
    <r>
      <rPr>
        <sz val="10"/>
        <rFont val="FreeSans"/>
        <family val="2"/>
      </rPr>
      <t xml:space="preserve">گریس خور سرکج </t>
    </r>
    <r>
      <rPr>
        <sz val="10"/>
        <rFont val="Vazirmatn"/>
        <family val="0"/>
        <charset val="1"/>
      </rPr>
      <t xml:space="preserve">45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10</t>
    </r>
  </si>
  <si>
    <t xml:space="preserve">5003011</t>
  </si>
  <si>
    <r>
      <rPr>
        <sz val="10"/>
        <rFont val="FreeSans"/>
        <family val="2"/>
      </rPr>
      <t xml:space="preserve">گريس خور </t>
    </r>
    <r>
      <rPr>
        <sz val="10"/>
        <rFont val="Vazirmatn"/>
        <family val="0"/>
        <charset val="1"/>
      </rPr>
      <t xml:space="preserve">45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10</t>
    </r>
  </si>
  <si>
    <t xml:space="preserve">31239104</t>
  </si>
  <si>
    <r>
      <rPr>
        <sz val="10"/>
        <rFont val="FreeSans"/>
        <family val="2"/>
      </rPr>
      <t xml:space="preserve">گریس خور راست      نمره </t>
    </r>
    <r>
      <rPr>
        <sz val="10"/>
        <rFont val="Vazirmatn"/>
        <family val="0"/>
        <charset val="1"/>
      </rPr>
      <t xml:space="preserve">10</t>
    </r>
  </si>
  <si>
    <t xml:space="preserve">5002236</t>
  </si>
  <si>
    <r>
      <rPr>
        <sz val="10"/>
        <rFont val="FreeSans"/>
        <family val="2"/>
      </rPr>
      <t xml:space="preserve">گريس خور </t>
    </r>
    <r>
      <rPr>
        <sz val="10"/>
        <rFont val="Vazirmatn"/>
        <family val="0"/>
        <charset val="1"/>
      </rPr>
      <t xml:space="preserve">90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10</t>
    </r>
  </si>
  <si>
    <t xml:space="preserve">31239105</t>
  </si>
  <si>
    <r>
      <rPr>
        <sz val="10"/>
        <rFont val="FreeSans"/>
        <family val="2"/>
      </rPr>
      <t xml:space="preserve">گریس خور راست       نمره </t>
    </r>
    <r>
      <rPr>
        <sz val="10"/>
        <rFont val="Vazirmatn"/>
        <family val="0"/>
        <charset val="1"/>
      </rPr>
      <t xml:space="preserve">6</t>
    </r>
  </si>
  <si>
    <t xml:space="preserve">5002237</t>
  </si>
  <si>
    <r>
      <rPr>
        <sz val="10"/>
        <rFont val="FreeSans"/>
        <family val="2"/>
      </rPr>
      <t xml:space="preserve">گريس خور </t>
    </r>
    <r>
      <rPr>
        <sz val="10"/>
        <rFont val="Vazirmatn"/>
        <family val="0"/>
        <charset val="1"/>
      </rPr>
      <t xml:space="preserve">90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6</t>
    </r>
  </si>
  <si>
    <t xml:space="preserve">31239107</t>
  </si>
  <si>
    <r>
      <rPr>
        <sz val="10"/>
        <rFont val="FreeSans"/>
        <family val="2"/>
      </rPr>
      <t xml:space="preserve">گریس خور سرکج </t>
    </r>
    <r>
      <rPr>
        <sz val="10"/>
        <rFont val="Vazirmatn"/>
        <family val="0"/>
        <charset val="1"/>
      </rPr>
      <t xml:space="preserve">45     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6</t>
    </r>
  </si>
  <si>
    <t xml:space="preserve">5004818</t>
  </si>
  <si>
    <r>
      <rPr>
        <sz val="10"/>
        <rFont val="FreeSans"/>
        <family val="2"/>
      </rPr>
      <t xml:space="preserve">گريس خور </t>
    </r>
    <r>
      <rPr>
        <sz val="10"/>
        <rFont val="Vazirmatn"/>
        <family val="0"/>
        <charset val="1"/>
      </rPr>
      <t xml:space="preserve">45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6</t>
    </r>
  </si>
  <si>
    <t xml:space="preserve">31239111</t>
  </si>
  <si>
    <r>
      <rPr>
        <sz val="10"/>
        <rFont val="FreeSans"/>
        <family val="2"/>
      </rPr>
      <t xml:space="preserve">گریس خور راست          نمره </t>
    </r>
    <r>
      <rPr>
        <sz val="10"/>
        <rFont val="Vazirmatn"/>
        <family val="0"/>
        <charset val="1"/>
      </rPr>
      <t xml:space="preserve">8</t>
    </r>
  </si>
  <si>
    <t xml:space="preserve">5002238</t>
  </si>
  <si>
    <r>
      <rPr>
        <sz val="10"/>
        <rFont val="FreeSans"/>
        <family val="2"/>
      </rPr>
      <t xml:space="preserve">گريس خور </t>
    </r>
    <r>
      <rPr>
        <sz val="10"/>
        <rFont val="Vazirmatn"/>
        <family val="0"/>
        <charset val="1"/>
      </rPr>
      <t xml:space="preserve">90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8</t>
    </r>
  </si>
  <si>
    <t xml:space="preserve">31239112</t>
  </si>
  <si>
    <r>
      <rPr>
        <sz val="10"/>
        <rFont val="FreeSans"/>
        <family val="2"/>
      </rPr>
      <t xml:space="preserve">گریس خور سرکج </t>
    </r>
    <r>
      <rPr>
        <sz val="10"/>
        <rFont val="Vazirmatn"/>
        <family val="0"/>
        <charset val="1"/>
      </rPr>
      <t xml:space="preserve">90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10</t>
    </r>
  </si>
  <si>
    <t xml:space="preserve">31239122</t>
  </si>
  <si>
    <r>
      <rPr>
        <sz val="10"/>
        <rFont val="FreeSans"/>
        <family val="2"/>
      </rPr>
      <t xml:space="preserve">گریس خور سرکج </t>
    </r>
    <r>
      <rPr>
        <sz val="10"/>
        <rFont val="Vazirmatn"/>
        <family val="0"/>
        <charset val="1"/>
      </rPr>
      <t xml:space="preserve">90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8</t>
    </r>
  </si>
  <si>
    <t xml:space="preserve">31239125</t>
  </si>
  <si>
    <r>
      <rPr>
        <sz val="10"/>
        <rFont val="FreeSans"/>
        <family val="2"/>
      </rPr>
      <t xml:space="preserve">گریس خور سرکج </t>
    </r>
    <r>
      <rPr>
        <sz val="10"/>
        <rFont val="Vazirmatn"/>
        <family val="0"/>
        <charset val="1"/>
      </rPr>
      <t xml:space="preserve">90 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6</t>
    </r>
  </si>
  <si>
    <t xml:space="preserve">31241101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</si>
  <si>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27        AX</t>
    </r>
  </si>
  <si>
    <t xml:space="preserve">4060184</t>
  </si>
  <si>
    <r>
      <rPr>
        <sz val="10"/>
        <rFont val="FreeSans"/>
        <family val="2"/>
      </rPr>
      <t xml:space="preserve">تسمه دنده ای </t>
    </r>
    <r>
      <rPr>
        <sz val="10"/>
        <rFont val="Vazirmatn"/>
        <family val="0"/>
        <charset val="1"/>
      </rPr>
      <t xml:space="preserve">AX 27</t>
    </r>
  </si>
  <si>
    <t xml:space="preserve">31241118</t>
  </si>
  <si>
    <r>
      <rPr>
        <sz val="10"/>
        <rFont val="FreeSans"/>
        <family val="2"/>
      </rPr>
      <t xml:space="preserve">تسمه پروانه   </t>
    </r>
    <r>
      <rPr>
        <sz val="10"/>
        <rFont val="Vazirmatn"/>
        <family val="0"/>
        <charset val="1"/>
      </rPr>
      <t xml:space="preserve">2286 SPB</t>
    </r>
  </si>
  <si>
    <t xml:space="preserve">4024526</t>
  </si>
  <si>
    <r>
      <rPr>
        <sz val="10"/>
        <rFont val="FreeSans"/>
        <family val="2"/>
      </rPr>
      <t xml:space="preserve">تسمه لاستیکی </t>
    </r>
    <r>
      <rPr>
        <sz val="10"/>
        <rFont val="Vazirmatn"/>
        <family val="0"/>
        <charset val="1"/>
      </rPr>
      <t xml:space="preserve">SPB2286</t>
    </r>
  </si>
  <si>
    <t xml:space="preserve">31241121</t>
  </si>
  <si>
    <r>
      <rPr>
        <sz val="10"/>
        <rFont val="FreeSans"/>
        <family val="2"/>
      </rPr>
      <t xml:space="preserve">تسمه پروانه  </t>
    </r>
    <r>
      <rPr>
        <sz val="10"/>
        <rFont val="Vazirmatn"/>
        <family val="0"/>
        <charset val="1"/>
      </rPr>
      <t xml:space="preserve">SPZ 1337 LW</t>
    </r>
  </si>
  <si>
    <t xml:space="preserve">4024514</t>
  </si>
  <si>
    <r>
      <rPr>
        <sz val="10"/>
        <rFont val="FreeSans"/>
        <family val="2"/>
      </rPr>
      <t xml:space="preserve">تسمه لاستیکی </t>
    </r>
    <r>
      <rPr>
        <sz val="10"/>
        <rFont val="Vazirmatn"/>
        <family val="0"/>
        <charset val="1"/>
      </rPr>
      <t xml:space="preserve">SPZ1337</t>
    </r>
  </si>
  <si>
    <t xml:space="preserve">31241136</t>
  </si>
  <si>
    <r>
      <rPr>
        <sz val="10"/>
        <rFont val="FreeSans"/>
        <family val="2"/>
      </rPr>
      <t xml:space="preserve">تسمه پروانه                  </t>
    </r>
    <r>
      <rPr>
        <sz val="10"/>
        <rFont val="Vazirmatn"/>
        <family val="0"/>
        <charset val="1"/>
      </rPr>
      <t xml:space="preserve">SPB2500</t>
    </r>
  </si>
  <si>
    <t xml:space="preserve">4024553</t>
  </si>
  <si>
    <r>
      <rPr>
        <sz val="10"/>
        <rFont val="FreeSans"/>
        <family val="2"/>
      </rPr>
      <t xml:space="preserve">تسمه لاستیکی </t>
    </r>
    <r>
      <rPr>
        <sz val="10"/>
        <rFont val="Vazirmatn"/>
        <family val="0"/>
        <charset val="1"/>
      </rPr>
      <t xml:space="preserve">SPB2500</t>
    </r>
  </si>
  <si>
    <t xml:space="preserve">31241167</t>
  </si>
  <si>
    <r>
      <rPr>
        <sz val="10"/>
        <rFont val="FreeSans"/>
        <family val="2"/>
      </rPr>
      <t xml:space="preserve">تسمه پروانه  آجدار             </t>
    </r>
    <r>
      <rPr>
        <sz val="10"/>
        <rFont val="Vazirmatn"/>
        <family val="0"/>
        <charset val="1"/>
      </rPr>
      <t xml:space="preserve">47     BX</t>
    </r>
  </si>
  <si>
    <t xml:space="preserve">31241168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</si>
  <si>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45    AX</t>
    </r>
  </si>
  <si>
    <t xml:space="preserve">5021177</t>
  </si>
  <si>
    <r>
      <rPr>
        <sz val="10"/>
        <rFont val="FreeSans"/>
        <family val="2"/>
      </rPr>
      <t xml:space="preserve">تسمه دنده ای </t>
    </r>
    <r>
      <rPr>
        <sz val="10"/>
        <rFont val="Vazirmatn"/>
        <family val="0"/>
        <charset val="1"/>
      </rPr>
      <t xml:space="preserve">AX 45</t>
    </r>
  </si>
  <si>
    <t xml:space="preserve">31241176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</si>
  <si>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46      AX</t>
    </r>
  </si>
  <si>
    <t xml:space="preserve">5021178</t>
  </si>
  <si>
    <r>
      <rPr>
        <sz val="10"/>
        <rFont val="FreeSans"/>
        <family val="2"/>
      </rPr>
      <t xml:space="preserve">تسمه دنده ای </t>
    </r>
    <r>
      <rPr>
        <sz val="10"/>
        <rFont val="Vazirmatn"/>
        <family val="0"/>
        <charset val="1"/>
      </rPr>
      <t xml:space="preserve">AX 46</t>
    </r>
  </si>
  <si>
    <t xml:space="preserve">31241351</t>
  </si>
  <si>
    <r>
      <rPr>
        <sz val="10"/>
        <rFont val="FreeSans"/>
        <family val="2"/>
      </rPr>
      <t xml:space="preserve">تسمه پروانه        </t>
    </r>
    <r>
      <rPr>
        <sz val="10"/>
        <rFont val="Vazirmatn"/>
        <family val="0"/>
        <charset val="1"/>
      </rPr>
      <t xml:space="preserve">3150    SPC</t>
    </r>
  </si>
  <si>
    <t xml:space="preserve">5013170</t>
  </si>
  <si>
    <r>
      <rPr>
        <sz val="10"/>
        <rFont val="FreeSans"/>
        <family val="2"/>
      </rPr>
      <t xml:space="preserve">تسمه لاستیکی </t>
    </r>
    <r>
      <rPr>
        <sz val="10"/>
        <rFont val="Vazirmatn"/>
        <family val="0"/>
        <charset val="1"/>
      </rPr>
      <t xml:space="preserve">SPC  3150</t>
    </r>
  </si>
  <si>
    <t xml:space="preserve">31241404</t>
  </si>
  <si>
    <r>
      <rPr>
        <sz val="10"/>
        <rFont val="FreeSans"/>
        <family val="2"/>
      </rPr>
      <t xml:space="preserve">تسمه پولی لاستیکی </t>
    </r>
    <r>
      <rPr>
        <sz val="10"/>
        <rFont val="Vazirmatn"/>
        <family val="0"/>
        <charset val="1"/>
      </rPr>
      <t xml:space="preserve">B - 2134</t>
    </r>
  </si>
  <si>
    <t xml:space="preserve">4024498</t>
  </si>
  <si>
    <r>
      <rPr>
        <sz val="10"/>
        <rFont val="FreeSans"/>
        <family val="2"/>
      </rPr>
      <t xml:space="preserve">تسمه لاستیکی </t>
    </r>
    <r>
      <rPr>
        <sz val="10"/>
        <rFont val="Vazirmatn"/>
        <family val="0"/>
        <charset val="1"/>
      </rPr>
      <t xml:space="preserve">B2134</t>
    </r>
  </si>
  <si>
    <t xml:space="preserve">31241510</t>
  </si>
  <si>
    <r>
      <rPr>
        <sz val="10"/>
        <rFont val="FreeSans"/>
        <family val="2"/>
      </rPr>
      <t xml:space="preserve">تسمه پروانه                   </t>
    </r>
    <r>
      <rPr>
        <sz val="10"/>
        <rFont val="Vazirmatn"/>
        <family val="0"/>
        <charset val="1"/>
      </rPr>
      <t xml:space="preserve">160       XL</t>
    </r>
  </si>
  <si>
    <t xml:space="preserve">4024543</t>
  </si>
  <si>
    <r>
      <rPr>
        <sz val="10"/>
        <rFont val="FreeSans"/>
        <family val="2"/>
      </rPr>
      <t xml:space="preserve">تسمه چرخ دوخت دستی </t>
    </r>
    <r>
      <rPr>
        <sz val="10"/>
        <rFont val="Vazirmatn"/>
        <family val="0"/>
        <charset val="1"/>
      </rPr>
      <t xml:space="preserve">160XL</t>
    </r>
  </si>
  <si>
    <t xml:space="preserve">31242345</t>
  </si>
  <si>
    <t xml:space="preserve">خار بازکن بزرگ</t>
  </si>
  <si>
    <t xml:space="preserve">4044472</t>
  </si>
  <si>
    <t xml:space="preserve">خار بازکن سرکج بزرگ</t>
  </si>
  <si>
    <t xml:space="preserve">31242348</t>
  </si>
  <si>
    <t xml:space="preserve">خار جمع کن متوسط</t>
  </si>
  <si>
    <t xml:space="preserve">4030650</t>
  </si>
  <si>
    <t xml:space="preserve">خار جمع کن مستقیم متوسط</t>
  </si>
  <si>
    <t xml:space="preserve">31242352</t>
  </si>
  <si>
    <t xml:space="preserve">خار بازکن متوسط</t>
  </si>
  <si>
    <t xml:space="preserve">4000935</t>
  </si>
  <si>
    <t xml:space="preserve">خار بازکن سرکج متوسط</t>
  </si>
  <si>
    <t xml:space="preserve">31242471</t>
  </si>
  <si>
    <r>
      <rPr>
        <sz val="10"/>
        <rFont val="FreeSans"/>
        <family val="2"/>
      </rPr>
      <t xml:space="preserve">اشپیل                      نمره   </t>
    </r>
    <r>
      <rPr>
        <sz val="10"/>
        <rFont val="Vazirmatn"/>
        <family val="0"/>
        <charset val="1"/>
      </rPr>
      <t xml:space="preserve">4</t>
    </r>
  </si>
  <si>
    <t xml:space="preserve">4032809</t>
  </si>
  <si>
    <r>
      <rPr>
        <sz val="10"/>
        <rFont val="FreeSans"/>
        <family val="2"/>
      </rPr>
      <t xml:space="preserve">اشپیل </t>
    </r>
    <r>
      <rPr>
        <sz val="10"/>
        <rFont val="Vazirmatn"/>
        <family val="0"/>
        <charset val="1"/>
      </rPr>
      <t xml:space="preserve">50 * 4 </t>
    </r>
    <r>
      <rPr>
        <sz val="10"/>
        <rFont val="FreeSans"/>
        <family val="2"/>
      </rPr>
      <t xml:space="preserve">میلیمتر</t>
    </r>
  </si>
  <si>
    <t xml:space="preserve">31243105</t>
  </si>
  <si>
    <t xml:space="preserve">دنده گیربکس جرم</t>
  </si>
  <si>
    <t xml:space="preserve">4012263</t>
  </si>
  <si>
    <t xml:space="preserve">دنده برنجي گيربکس</t>
  </si>
  <si>
    <t xml:space="preserve">31243154</t>
  </si>
  <si>
    <t xml:space="preserve">چرخ دنده</t>
  </si>
  <si>
    <t xml:space="preserve">5011222</t>
  </si>
  <si>
    <t xml:space="preserve">چرخ دنده پرینتر</t>
  </si>
  <si>
    <t xml:space="preserve">31243156</t>
  </si>
  <si>
    <t xml:space="preserve">31243159</t>
  </si>
  <si>
    <t xml:space="preserve">31243161</t>
  </si>
  <si>
    <t xml:space="preserve">چرخ دنده زنجیر دوبل</t>
  </si>
  <si>
    <t xml:space="preserve">4037513</t>
  </si>
  <si>
    <t xml:space="preserve">چرخ دنده زنجیر عقب دوچرخه</t>
  </si>
  <si>
    <t xml:space="preserve">31243178</t>
  </si>
  <si>
    <t xml:space="preserve">چرخ   دنده  گیربکس</t>
  </si>
  <si>
    <t xml:space="preserve">4024575</t>
  </si>
  <si>
    <t xml:space="preserve">چرخ دنده گیربکس مینی سنگ متابو</t>
  </si>
  <si>
    <t xml:space="preserve">31243181</t>
  </si>
  <si>
    <t xml:space="preserve">چرخ   دنده   گیربکس</t>
  </si>
  <si>
    <t xml:space="preserve">31243198</t>
  </si>
  <si>
    <r>
      <rPr>
        <sz val="10"/>
        <rFont val="FreeSans"/>
        <family val="2"/>
      </rPr>
      <t xml:space="preserve">چرخ زنجیر </t>
    </r>
    <r>
      <rPr>
        <sz val="10"/>
        <rFont val="Vazirmatn"/>
        <family val="0"/>
        <charset val="1"/>
      </rPr>
      <t xml:space="preserve">18 </t>
    </r>
    <r>
      <rPr>
        <sz val="10"/>
        <rFont val="FreeSans"/>
        <family val="2"/>
      </rPr>
      <t xml:space="preserve">دنده نمره </t>
    </r>
    <r>
      <rPr>
        <sz val="10"/>
        <rFont val="Vazirmatn"/>
        <family val="0"/>
        <charset val="1"/>
      </rPr>
      <t xml:space="preserve">50</t>
    </r>
  </si>
  <si>
    <t xml:space="preserve">4004161</t>
  </si>
  <si>
    <r>
      <rPr>
        <sz val="10"/>
        <rFont val="FreeSans"/>
        <family val="2"/>
      </rPr>
      <t xml:space="preserve">چرخ زنجير </t>
    </r>
    <r>
      <rPr>
        <sz val="10"/>
        <rFont val="Vazirmatn"/>
        <family val="0"/>
        <charset val="1"/>
      </rPr>
      <t xml:space="preserve">Z18-50 </t>
    </r>
    <r>
      <rPr>
        <sz val="10"/>
        <rFont val="FreeSans"/>
        <family val="2"/>
      </rPr>
      <t xml:space="preserve">خام </t>
    </r>
    <r>
      <rPr>
        <sz val="10"/>
        <rFont val="Vazirmatn"/>
        <family val="0"/>
        <charset val="1"/>
      </rPr>
      <t xml:space="preserve">C.S</t>
    </r>
  </si>
  <si>
    <t xml:space="preserve">31243199</t>
  </si>
  <si>
    <t xml:space="preserve">چرخ صندلی</t>
  </si>
  <si>
    <t xml:space="preserve">5003832</t>
  </si>
  <si>
    <t xml:space="preserve">چرخ صندلي گرد</t>
  </si>
  <si>
    <t xml:space="preserve">31243228</t>
  </si>
  <si>
    <t xml:space="preserve">دنده گیربکس</t>
  </si>
  <si>
    <t xml:space="preserve">31243231</t>
  </si>
  <si>
    <t xml:space="preserve">دنده  گیربکس</t>
  </si>
  <si>
    <t xml:space="preserve">31243252</t>
  </si>
  <si>
    <t xml:space="preserve">چرخ دنده برنجی گیربکس</t>
  </si>
  <si>
    <t xml:space="preserve">31244198</t>
  </si>
  <si>
    <r>
      <rPr>
        <sz val="10"/>
        <rFont val="FreeSans"/>
        <family val="2"/>
      </rPr>
      <t xml:space="preserve">لاستیک کوپلینگ سنتر فلکس   </t>
    </r>
    <r>
      <rPr>
        <sz val="10"/>
        <rFont val="Vazirmatn"/>
        <family val="0"/>
        <charset val="1"/>
      </rPr>
      <t xml:space="preserve">A - 8</t>
    </r>
  </si>
  <si>
    <t xml:space="preserve">4025853</t>
  </si>
  <si>
    <r>
      <rPr>
        <sz val="10"/>
        <rFont val="FreeSans"/>
        <family val="2"/>
      </rPr>
      <t xml:space="preserve">لاستیک کوپلینگ نمره </t>
    </r>
    <r>
      <rPr>
        <sz val="10"/>
        <rFont val="Vazirmatn"/>
        <family val="0"/>
        <charset val="1"/>
      </rPr>
      <t xml:space="preserve">8</t>
    </r>
  </si>
  <si>
    <t xml:space="preserve">31244201</t>
  </si>
  <si>
    <r>
      <rPr>
        <sz val="10"/>
        <rFont val="FreeSans"/>
        <family val="2"/>
      </rPr>
      <t xml:space="preserve">لاستیک کوپلینگ خورشیدی        </t>
    </r>
    <r>
      <rPr>
        <sz val="10"/>
        <rFont val="Vazirmatn"/>
        <family val="0"/>
        <charset val="1"/>
      </rPr>
      <t xml:space="preserve">125</t>
    </r>
  </si>
  <si>
    <t xml:space="preserve">4025855</t>
  </si>
  <si>
    <r>
      <rPr>
        <sz val="10"/>
        <rFont val="FreeSans"/>
        <family val="2"/>
      </rPr>
      <t xml:space="preserve">لاستیک کوپلینگ </t>
    </r>
    <r>
      <rPr>
        <sz val="10"/>
        <rFont val="Vazirmatn"/>
        <family val="0"/>
        <charset val="1"/>
      </rPr>
      <t xml:space="preserve">SE-125</t>
    </r>
  </si>
  <si>
    <t xml:space="preserve">31244202</t>
  </si>
  <si>
    <r>
      <rPr>
        <sz val="10"/>
        <rFont val="FreeSans"/>
        <family val="2"/>
      </rPr>
      <t xml:space="preserve">لاستیک کوپلینگ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پره  </t>
    </r>
    <r>
      <rPr>
        <sz val="10"/>
        <rFont val="Vazirmatn"/>
        <family val="0"/>
        <charset val="1"/>
      </rPr>
      <t xml:space="preserve">95</t>
    </r>
  </si>
  <si>
    <t xml:space="preserve">4025837</t>
  </si>
  <si>
    <r>
      <rPr>
        <sz val="10"/>
        <rFont val="FreeSans"/>
        <family val="2"/>
      </rPr>
      <t xml:space="preserve">لاستیک کوپلینگ </t>
    </r>
    <r>
      <rPr>
        <sz val="10"/>
        <rFont val="Vazirmatn"/>
        <family val="0"/>
        <charset val="1"/>
      </rPr>
      <t xml:space="preserve">SE95</t>
    </r>
  </si>
  <si>
    <t xml:space="preserve">31244204</t>
  </si>
  <si>
    <r>
      <rPr>
        <sz val="10"/>
        <rFont val="FreeSans"/>
        <family val="2"/>
      </rPr>
      <t xml:space="preserve">لاستیک کوپلینگ تایری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قطر خارجی </t>
    </r>
    <r>
      <rPr>
        <sz val="10"/>
        <rFont val="Vazirmatn"/>
        <family val="0"/>
        <charset val="1"/>
      </rPr>
      <t xml:space="preserve">130mm - </t>
    </r>
    <r>
      <rPr>
        <sz val="10"/>
        <rFont val="FreeSans"/>
        <family val="2"/>
      </rPr>
      <t xml:space="preserve">پهنا </t>
    </r>
    <r>
      <rPr>
        <sz val="10"/>
        <rFont val="Vazirmatn"/>
        <family val="0"/>
        <charset val="1"/>
      </rPr>
      <t xml:space="preserve">51mm ) Flex - F50</t>
    </r>
  </si>
  <si>
    <t xml:space="preserve">4025848</t>
  </si>
  <si>
    <r>
      <rPr>
        <sz val="10"/>
        <rFont val="FreeSans"/>
        <family val="2"/>
      </rPr>
      <t xml:space="preserve">لاستیک کوپلینگ </t>
    </r>
    <r>
      <rPr>
        <sz val="10"/>
        <rFont val="Vazirmatn"/>
        <family val="0"/>
        <charset val="1"/>
      </rPr>
      <t xml:space="preserve">flex - 50</t>
    </r>
  </si>
  <si>
    <t xml:space="preserve">31244207</t>
  </si>
  <si>
    <t xml:space="preserve">لاستیک کوپلینگ  آهنی</t>
  </si>
  <si>
    <t xml:space="preserve">31244209</t>
  </si>
  <si>
    <r>
      <rPr>
        <sz val="10"/>
        <rFont val="FreeSans"/>
        <family val="2"/>
      </rPr>
      <t xml:space="preserve">لاستیک کوپلینگ مکعبی      </t>
    </r>
    <r>
      <rPr>
        <sz val="10"/>
        <rFont val="Vazirmatn"/>
        <family val="0"/>
        <charset val="1"/>
      </rPr>
      <t xml:space="preserve">125</t>
    </r>
  </si>
  <si>
    <t xml:space="preserve">31244213</t>
  </si>
  <si>
    <r>
      <rPr>
        <sz val="10"/>
        <rFont val="FreeSans"/>
        <family val="2"/>
      </rPr>
      <t xml:space="preserve">لاستیک کوپلینگ     </t>
    </r>
    <r>
      <rPr>
        <sz val="10"/>
        <rFont val="Vazirmatn"/>
        <family val="0"/>
        <charset val="1"/>
      </rPr>
      <t xml:space="preserve">H  110</t>
    </r>
  </si>
  <si>
    <t xml:space="preserve">4025858</t>
  </si>
  <si>
    <r>
      <rPr>
        <sz val="10"/>
        <rFont val="FreeSans"/>
        <family val="2"/>
      </rPr>
      <t xml:space="preserve">لاستیک کوپلینگ </t>
    </r>
    <r>
      <rPr>
        <sz val="10"/>
        <rFont val="Vazirmatn"/>
        <family val="0"/>
        <charset val="1"/>
      </rPr>
      <t xml:space="preserve">SE-110</t>
    </r>
  </si>
  <si>
    <t xml:space="preserve">31244228</t>
  </si>
  <si>
    <r>
      <rPr>
        <sz val="10"/>
        <rFont val="FreeSans"/>
        <family val="2"/>
      </rPr>
      <t xml:space="preserve">لاستیک کوپلینگ  </t>
    </r>
    <r>
      <rPr>
        <sz val="10"/>
        <rFont val="Vazirmatn"/>
        <family val="0"/>
        <charset val="1"/>
      </rPr>
      <t xml:space="preserve">KB 95</t>
    </r>
  </si>
  <si>
    <t xml:space="preserve">31244230</t>
  </si>
  <si>
    <r>
      <rPr>
        <sz val="10"/>
        <rFont val="FreeSans"/>
        <family val="2"/>
      </rPr>
      <t xml:space="preserve">لاستیک کوپلینگ تایری  </t>
    </r>
    <r>
      <rPr>
        <sz val="10"/>
        <rFont val="Vazirmatn"/>
        <family val="0"/>
        <charset val="1"/>
      </rPr>
      <t xml:space="preserve">50 * 180</t>
    </r>
  </si>
  <si>
    <t xml:space="preserve">4025857</t>
  </si>
  <si>
    <r>
      <rPr>
        <sz val="10"/>
        <rFont val="FreeSans"/>
        <family val="2"/>
      </rPr>
      <t xml:space="preserve">لاستیک کوپلینگ </t>
    </r>
    <r>
      <rPr>
        <sz val="10"/>
        <rFont val="Vazirmatn"/>
        <family val="0"/>
        <charset val="1"/>
      </rPr>
      <t xml:space="preserve">50F</t>
    </r>
  </si>
  <si>
    <t xml:space="preserve">31244232</t>
  </si>
  <si>
    <r>
      <rPr>
        <sz val="10"/>
        <rFont val="FreeSans"/>
        <family val="2"/>
      </rPr>
      <t xml:space="preserve">لاستیک کوپلینگ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پر خورشیدی </t>
    </r>
    <r>
      <rPr>
        <sz val="10"/>
        <rFont val="Vazirmatn"/>
        <family val="0"/>
        <charset val="1"/>
      </rPr>
      <t xml:space="preserve">65</t>
    </r>
  </si>
  <si>
    <t xml:space="preserve">31244237</t>
  </si>
  <si>
    <r>
      <rPr>
        <sz val="10"/>
        <rFont val="FreeSans"/>
        <family val="2"/>
      </rPr>
      <t xml:space="preserve">لاستیک کوپلینگ               </t>
    </r>
    <r>
      <rPr>
        <sz val="10"/>
        <rFont val="Vazirmatn"/>
        <family val="0"/>
        <charset val="1"/>
      </rPr>
      <t xml:space="preserve">CM</t>
    </r>
  </si>
  <si>
    <t xml:space="preserve">31244238</t>
  </si>
  <si>
    <r>
      <rPr>
        <sz val="10"/>
        <rFont val="FreeSans"/>
        <family val="2"/>
      </rPr>
      <t xml:space="preserve">لاستیک کوپلینگ هشت پر      </t>
    </r>
    <r>
      <rPr>
        <sz val="10"/>
        <rFont val="Vazirmatn"/>
        <family val="0"/>
        <charset val="1"/>
      </rPr>
      <t xml:space="preserve">105</t>
    </r>
  </si>
  <si>
    <t xml:space="preserve">31244246</t>
  </si>
  <si>
    <t xml:space="preserve">لاستیک کوپلینگ</t>
  </si>
  <si>
    <t xml:space="preserve">31244274</t>
  </si>
  <si>
    <r>
      <rPr>
        <sz val="10"/>
        <rFont val="FreeSans"/>
        <family val="2"/>
      </rPr>
      <t xml:space="preserve">فولی سه تسمه </t>
    </r>
    <r>
      <rPr>
        <sz val="10"/>
        <rFont val="Vazirmatn"/>
        <family val="0"/>
        <charset val="1"/>
      </rPr>
      <t xml:space="preserve">A</t>
    </r>
  </si>
  <si>
    <t xml:space="preserve">5013162</t>
  </si>
  <si>
    <r>
      <rPr>
        <sz val="10"/>
        <rFont val="FreeSans"/>
        <family val="2"/>
      </rPr>
      <t xml:space="preserve">فولی سه تسمه </t>
    </r>
    <r>
      <rPr>
        <sz val="10"/>
        <rFont val="Vazirmatn"/>
        <family val="0"/>
        <charset val="1"/>
      </rPr>
      <t xml:space="preserve">A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28*120</t>
    </r>
  </si>
  <si>
    <t xml:space="preserve">31244345</t>
  </si>
  <si>
    <r>
      <rPr>
        <sz val="10"/>
        <rFont val="FreeSans"/>
        <family val="2"/>
      </rPr>
      <t xml:space="preserve">فولی کولر </t>
    </r>
    <r>
      <rPr>
        <sz val="10"/>
        <rFont val="Vazirmatn"/>
        <family val="0"/>
        <charset val="1"/>
      </rPr>
      <t xml:space="preserve">70mm</t>
    </r>
  </si>
  <si>
    <t xml:space="preserve">4012216</t>
  </si>
  <si>
    <t xml:space="preserve">فولي کولر</t>
  </si>
  <si>
    <t xml:space="preserve">31244458</t>
  </si>
  <si>
    <r>
      <rPr>
        <sz val="10"/>
        <rFont val="FreeSans"/>
        <family val="2"/>
      </rPr>
      <t xml:space="preserve">زنجیر قلاب کج سایز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جرثقیل </t>
    </r>
    <r>
      <rPr>
        <sz val="10"/>
        <rFont val="Vazirmatn"/>
        <family val="0"/>
        <charset val="1"/>
      </rPr>
      <t xml:space="preserve">5ton</t>
    </r>
  </si>
  <si>
    <t xml:space="preserve">6004897</t>
  </si>
  <si>
    <r>
      <rPr>
        <sz val="10"/>
        <rFont val="FreeSans"/>
        <family val="2"/>
      </rPr>
      <t xml:space="preserve">جرثقیل دستی زنجیری </t>
    </r>
    <r>
      <rPr>
        <sz val="10"/>
        <rFont val="Vazirmatn"/>
        <family val="0"/>
        <charset val="1"/>
      </rPr>
      <t xml:space="preserve">5TON</t>
    </r>
  </si>
  <si>
    <t xml:space="preserve">31244460</t>
  </si>
  <si>
    <t xml:space="preserve">زنجیر چرخ دنده</t>
  </si>
  <si>
    <t xml:space="preserve">5013194</t>
  </si>
  <si>
    <r>
      <rPr>
        <sz val="10"/>
        <rFont val="FreeSans"/>
        <family val="2"/>
      </rPr>
      <t xml:space="preserve">زنجیر چرخ دنده گام </t>
    </r>
    <r>
      <rPr>
        <sz val="10"/>
        <rFont val="Vazirmatn"/>
        <family val="0"/>
        <charset val="1"/>
      </rPr>
      <t xml:space="preserve">40</t>
    </r>
  </si>
  <si>
    <t xml:space="preserve">31244466</t>
  </si>
  <si>
    <r>
      <rPr>
        <sz val="10"/>
        <rFont val="FreeSans"/>
        <family val="2"/>
      </rPr>
      <t xml:space="preserve">زنجیر تک ردیفه  نمره  </t>
    </r>
    <r>
      <rPr>
        <sz val="10"/>
        <rFont val="Vazirmatn"/>
        <family val="0"/>
        <charset val="1"/>
      </rPr>
      <t xml:space="preserve">80</t>
    </r>
  </si>
  <si>
    <t xml:space="preserve">4004084</t>
  </si>
  <si>
    <r>
      <rPr>
        <sz val="10"/>
        <rFont val="FreeSans"/>
        <family val="2"/>
      </rPr>
      <t xml:space="preserve">زنجير تک رديفه </t>
    </r>
    <r>
      <rPr>
        <sz val="10"/>
        <rFont val="Vazirmatn"/>
        <family val="0"/>
        <charset val="1"/>
      </rPr>
      <t xml:space="preserve">80 C.S</t>
    </r>
  </si>
  <si>
    <t xml:space="preserve">31244469</t>
  </si>
  <si>
    <t xml:space="preserve">زنجیر</t>
  </si>
  <si>
    <t xml:space="preserve">4024558</t>
  </si>
  <si>
    <r>
      <rPr>
        <sz val="10"/>
        <rFont val="FreeSans"/>
        <family val="2"/>
      </rPr>
      <t xml:space="preserve">زنجیر نمره </t>
    </r>
    <r>
      <rPr>
        <sz val="10"/>
        <rFont val="Vazirmatn"/>
        <family val="0"/>
        <charset val="1"/>
      </rPr>
      <t xml:space="preserve">10</t>
    </r>
  </si>
  <si>
    <t xml:space="preserve">31244472</t>
  </si>
  <si>
    <r>
      <rPr>
        <sz val="10"/>
        <rFont val="FreeSans"/>
        <family val="2"/>
      </rPr>
      <t xml:space="preserve">قفل زنجیر تک ردیفه کامل  </t>
    </r>
    <r>
      <rPr>
        <sz val="10"/>
        <rFont val="Vazirmatn"/>
        <family val="0"/>
        <charset val="1"/>
      </rPr>
      <t xml:space="preserve">80</t>
    </r>
  </si>
  <si>
    <t xml:space="preserve">4004095</t>
  </si>
  <si>
    <r>
      <rPr>
        <sz val="10"/>
        <rFont val="FreeSans"/>
        <family val="2"/>
      </rPr>
      <t xml:space="preserve">قفل زنجير تک رديفه </t>
    </r>
    <r>
      <rPr>
        <sz val="10"/>
        <rFont val="Vazirmatn"/>
        <family val="0"/>
        <charset val="1"/>
      </rPr>
      <t xml:space="preserve">80 C.S</t>
    </r>
  </si>
  <si>
    <t xml:space="preserve">31244477</t>
  </si>
  <si>
    <r>
      <rPr>
        <sz val="10"/>
        <rFont val="FreeSans"/>
        <family val="2"/>
      </rPr>
      <t xml:space="preserve">زنجیر دوبل  نمره  </t>
    </r>
    <r>
      <rPr>
        <sz val="10"/>
        <rFont val="Vazirmatn"/>
        <family val="0"/>
        <charset val="1"/>
      </rPr>
      <t xml:space="preserve">50</t>
    </r>
  </si>
  <si>
    <t xml:space="preserve">4024560</t>
  </si>
  <si>
    <r>
      <rPr>
        <sz val="10"/>
        <rFont val="FreeSans"/>
        <family val="2"/>
      </rPr>
      <t xml:space="preserve">زنجیر تک ردیفه </t>
    </r>
    <r>
      <rPr>
        <sz val="10"/>
        <rFont val="Vazirmatn"/>
        <family val="0"/>
        <charset val="1"/>
      </rPr>
      <t xml:space="preserve">50 S.S</t>
    </r>
  </si>
  <si>
    <t xml:space="preserve">31244479</t>
  </si>
  <si>
    <r>
      <rPr>
        <sz val="10"/>
        <rFont val="FreeSans"/>
        <family val="2"/>
      </rPr>
      <t xml:space="preserve">زنجیر تک ردیفه نمره   </t>
    </r>
    <r>
      <rPr>
        <sz val="10"/>
        <rFont val="Vazirmatn"/>
        <family val="0"/>
        <charset val="1"/>
      </rPr>
      <t xml:space="preserve">100</t>
    </r>
  </si>
  <si>
    <t xml:space="preserve">4032831</t>
  </si>
  <si>
    <r>
      <rPr>
        <sz val="10"/>
        <rFont val="FreeSans"/>
        <family val="2"/>
      </rPr>
      <t xml:space="preserve">زنجیر تک ردیفه </t>
    </r>
    <r>
      <rPr>
        <sz val="10"/>
        <rFont val="Vazirmatn"/>
        <family val="0"/>
        <charset val="1"/>
      </rPr>
      <t xml:space="preserve">C.S SMV100</t>
    </r>
  </si>
  <si>
    <t xml:space="preserve">31244482</t>
  </si>
  <si>
    <r>
      <rPr>
        <sz val="10"/>
        <rFont val="FreeSans"/>
        <family val="2"/>
      </rPr>
      <t xml:space="preserve">زنجیر تک ردیفه  نمره  </t>
    </r>
    <r>
      <rPr>
        <sz val="10"/>
        <rFont val="Vazirmatn"/>
        <family val="0"/>
        <charset val="1"/>
      </rPr>
      <t xml:space="preserve">50</t>
    </r>
  </si>
  <si>
    <t xml:space="preserve">31244499</t>
  </si>
  <si>
    <t xml:space="preserve">زنجیر  چرخ دنده</t>
  </si>
  <si>
    <t xml:space="preserve">31244502</t>
  </si>
  <si>
    <r>
      <rPr>
        <sz val="10"/>
        <rFont val="FreeSans"/>
        <family val="2"/>
      </rPr>
      <t xml:space="preserve">قفل زنجیر  </t>
    </r>
    <r>
      <rPr>
        <sz val="10"/>
        <rFont val="Vazirmatn"/>
        <family val="0"/>
        <charset val="1"/>
      </rPr>
      <t xml:space="preserve">120</t>
    </r>
  </si>
  <si>
    <t xml:space="preserve">4036764</t>
  </si>
  <si>
    <r>
      <rPr>
        <sz val="10"/>
        <rFont val="FreeSans"/>
        <family val="2"/>
      </rPr>
      <t xml:space="preserve">قفل زنجیر دوردیفه سایز </t>
    </r>
    <r>
      <rPr>
        <sz val="10"/>
        <rFont val="Vazirmatn"/>
        <family val="0"/>
        <charset val="1"/>
      </rPr>
      <t xml:space="preserve">C.S120</t>
    </r>
  </si>
  <si>
    <t xml:space="preserve">31244505</t>
  </si>
  <si>
    <r>
      <rPr>
        <sz val="10"/>
        <rFont val="FreeSans"/>
        <family val="2"/>
      </rPr>
      <t xml:space="preserve">قفل زنجیر  </t>
    </r>
    <r>
      <rPr>
        <sz val="10"/>
        <rFont val="Vazirmatn"/>
        <family val="0"/>
        <charset val="1"/>
      </rPr>
      <t xml:space="preserve">60</t>
    </r>
  </si>
  <si>
    <t xml:space="preserve">4004094</t>
  </si>
  <si>
    <r>
      <rPr>
        <sz val="10"/>
        <rFont val="FreeSans"/>
        <family val="2"/>
      </rPr>
      <t xml:space="preserve">قفل زنجير تک رديفه </t>
    </r>
    <r>
      <rPr>
        <sz val="10"/>
        <rFont val="Vazirmatn"/>
        <family val="0"/>
        <charset val="1"/>
      </rPr>
      <t xml:space="preserve">60 C.S</t>
    </r>
  </si>
  <si>
    <t xml:space="preserve">31244506</t>
  </si>
  <si>
    <r>
      <rPr>
        <sz val="10"/>
        <rFont val="FreeSans"/>
        <family val="2"/>
      </rPr>
      <t xml:space="preserve">قفل زنجیر  </t>
    </r>
    <r>
      <rPr>
        <sz val="10"/>
        <rFont val="Vazirmatn"/>
        <family val="0"/>
        <charset val="1"/>
      </rPr>
      <t xml:space="preserve">40</t>
    </r>
  </si>
  <si>
    <t xml:space="preserve">4004092</t>
  </si>
  <si>
    <r>
      <rPr>
        <sz val="10"/>
        <rFont val="FreeSans"/>
        <family val="2"/>
      </rPr>
      <t xml:space="preserve">قفل زنجير تک رديفه </t>
    </r>
    <r>
      <rPr>
        <sz val="10"/>
        <rFont val="Vazirmatn"/>
        <family val="0"/>
        <charset val="1"/>
      </rPr>
      <t xml:space="preserve">40 C.S</t>
    </r>
  </si>
  <si>
    <t xml:space="preserve">31244507</t>
  </si>
  <si>
    <r>
      <rPr>
        <sz val="10"/>
        <rFont val="FreeSans"/>
        <family val="2"/>
      </rPr>
      <t xml:space="preserve">قفل زنجیر  نمره </t>
    </r>
    <r>
      <rPr>
        <sz val="10"/>
        <rFont val="Vazirmatn"/>
        <family val="0"/>
        <charset val="1"/>
      </rPr>
      <t xml:space="preserve">50</t>
    </r>
  </si>
  <si>
    <t xml:space="preserve">5013251</t>
  </si>
  <si>
    <r>
      <rPr>
        <sz val="10"/>
        <rFont val="FreeSans"/>
        <family val="2"/>
      </rPr>
      <t xml:space="preserve">قفل زنجیر تک ردیفه نمره </t>
    </r>
    <r>
      <rPr>
        <sz val="10"/>
        <rFont val="Vazirmatn"/>
        <family val="0"/>
        <charset val="1"/>
      </rPr>
      <t xml:space="preserve">50</t>
    </r>
  </si>
  <si>
    <t xml:space="preserve">31244513</t>
  </si>
  <si>
    <t xml:space="preserve">قفل زنجیر</t>
  </si>
  <si>
    <t xml:space="preserve">4024573</t>
  </si>
  <si>
    <r>
      <rPr>
        <sz val="10"/>
        <rFont val="FreeSans"/>
        <family val="2"/>
      </rPr>
      <t xml:space="preserve">قفل زنجیر </t>
    </r>
    <r>
      <rPr>
        <sz val="10"/>
        <rFont val="Vazirmatn"/>
        <family val="0"/>
        <charset val="1"/>
      </rPr>
      <t xml:space="preserve">12B</t>
    </r>
  </si>
  <si>
    <t xml:space="preserve">31244517</t>
  </si>
  <si>
    <r>
      <rPr>
        <sz val="10"/>
        <rFont val="FreeSans"/>
        <family val="2"/>
      </rPr>
      <t xml:space="preserve">قفل زنجیر نیمه تک ردیفه    نمره </t>
    </r>
    <r>
      <rPr>
        <sz val="10"/>
        <rFont val="Vazirmatn"/>
        <family val="0"/>
        <charset val="1"/>
      </rPr>
      <t xml:space="preserve">80</t>
    </r>
  </si>
  <si>
    <t xml:space="preserve">31244558</t>
  </si>
  <si>
    <r>
      <rPr>
        <sz val="10"/>
        <rFont val="FreeSans"/>
        <family val="2"/>
      </rPr>
      <t xml:space="preserve">تفلونی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پارویی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کانوایر</t>
    </r>
  </si>
  <si>
    <t xml:space="preserve">5013668</t>
  </si>
  <si>
    <r>
      <rPr>
        <sz val="10"/>
        <rFont val="FreeSans"/>
        <family val="2"/>
      </rPr>
      <t xml:space="preserve">پارویی تفلونی کانوایر </t>
    </r>
    <r>
      <rPr>
        <sz val="10"/>
        <rFont val="Vazirmatn"/>
        <family val="0"/>
        <charset val="1"/>
      </rPr>
      <t xml:space="preserve">110</t>
    </r>
    <r>
      <rPr>
        <sz val="10"/>
        <rFont val="FreeSans"/>
        <family val="2"/>
      </rPr>
      <t xml:space="preserve">تنی</t>
    </r>
  </si>
  <si>
    <t xml:space="preserve">31247131</t>
  </si>
  <si>
    <t xml:space="preserve">پایه نگهدارنده المنت</t>
  </si>
  <si>
    <t xml:space="preserve">4005179</t>
  </si>
  <si>
    <t xml:space="preserve">پايه نگهدارنده فلزي المنت بخاري برقي</t>
  </si>
  <si>
    <t xml:space="preserve">31247833</t>
  </si>
  <si>
    <r>
      <rPr>
        <sz val="10"/>
        <rFont val="FreeSans"/>
        <family val="2"/>
      </rPr>
      <t xml:space="preserve">رابط شیلنگ پیسوار </t>
    </r>
    <r>
      <rPr>
        <sz val="10"/>
        <rFont val="Vazirmatn"/>
        <family val="0"/>
        <charset val="1"/>
      </rPr>
      <t xml:space="preserve">" 1/2</t>
    </r>
  </si>
  <si>
    <t xml:space="preserve">4030400</t>
  </si>
  <si>
    <r>
      <rPr>
        <sz val="10"/>
        <rFont val="FreeSans"/>
        <family val="2"/>
      </rPr>
      <t xml:space="preserve">شیلنگ رابط پیسوار </t>
    </r>
    <r>
      <rPr>
        <sz val="10"/>
        <rFont val="Vazirmatn"/>
        <family val="0"/>
        <charset val="1"/>
      </rPr>
      <t xml:space="preserve">"1/2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- 40 </t>
    </r>
    <r>
      <rPr>
        <sz val="10"/>
        <rFont val="FreeSans"/>
        <family val="2"/>
      </rPr>
      <t xml:space="preserve">سانتی</t>
    </r>
  </si>
  <si>
    <t xml:space="preserve">31250112</t>
  </si>
  <si>
    <r>
      <rPr>
        <sz val="10"/>
        <rFont val="FreeSans"/>
        <family val="2"/>
      </rPr>
      <t xml:space="preserve">فیلتر سپراتور  </t>
    </r>
    <r>
      <rPr>
        <sz val="10"/>
        <rFont val="Vazirmatn"/>
        <family val="0"/>
        <charset val="1"/>
      </rPr>
      <t xml:space="preserve">000 - 4572 -0018</t>
    </r>
  </si>
  <si>
    <t xml:space="preserve">4028918</t>
  </si>
  <si>
    <r>
      <rPr>
        <sz val="10"/>
        <rFont val="FreeSans"/>
        <family val="2"/>
      </rPr>
      <t xml:space="preserve">فیلتر روغن</t>
    </r>
    <r>
      <rPr>
        <sz val="10"/>
        <rFont val="Vazirmatn"/>
        <family val="0"/>
        <charset val="1"/>
      </rPr>
      <t xml:space="preserve">: 000-4572-0018</t>
    </r>
  </si>
  <si>
    <t xml:space="preserve">31250119</t>
  </si>
  <si>
    <r>
      <rPr>
        <sz val="10"/>
        <rFont val="FreeSans"/>
        <family val="2"/>
      </rPr>
      <t xml:space="preserve">فنر سیل سپراتور  </t>
    </r>
    <r>
      <rPr>
        <sz val="10"/>
        <rFont val="Vazirmatn"/>
        <family val="0"/>
        <charset val="1"/>
      </rPr>
      <t xml:space="preserve">000 - 1792 - 3296</t>
    </r>
  </si>
  <si>
    <t xml:space="preserve">4025786</t>
  </si>
  <si>
    <r>
      <rPr>
        <sz val="10"/>
        <rFont val="FreeSans"/>
        <family val="2"/>
      </rPr>
      <t xml:space="preserve">فنر استیل </t>
    </r>
    <r>
      <rPr>
        <sz val="10"/>
        <rFont val="Vazirmatn"/>
        <family val="0"/>
        <charset val="1"/>
      </rPr>
      <t xml:space="preserve">000-1792-3296</t>
    </r>
  </si>
  <si>
    <t xml:space="preserve">31250144</t>
  </si>
  <si>
    <r>
      <rPr>
        <sz val="10"/>
        <rFont val="FreeSans"/>
        <family val="2"/>
      </rPr>
      <t xml:space="preserve">نازل سپراتور  </t>
    </r>
    <r>
      <rPr>
        <sz val="10"/>
        <rFont val="Vazirmatn"/>
        <family val="0"/>
        <charset val="1"/>
      </rPr>
      <t xml:space="preserve">040-6709-3384</t>
    </r>
  </si>
  <si>
    <t xml:space="preserve">4029007</t>
  </si>
  <si>
    <r>
      <rPr>
        <sz val="10"/>
        <rFont val="FreeSans"/>
        <family val="2"/>
      </rPr>
      <t xml:space="preserve">نازل </t>
    </r>
    <r>
      <rPr>
        <sz val="10"/>
        <rFont val="Vazirmatn"/>
        <family val="0"/>
        <charset val="1"/>
      </rPr>
      <t xml:space="preserve">040-6709-3384</t>
    </r>
  </si>
  <si>
    <t xml:space="preserve">31251157</t>
  </si>
  <si>
    <r>
      <rPr>
        <sz val="10"/>
        <rFont val="FreeSans"/>
        <family val="2"/>
      </rPr>
      <t xml:space="preserve">شفت پمپ ایران  </t>
    </r>
    <r>
      <rPr>
        <sz val="10"/>
        <rFont val="Vazirmatn"/>
        <family val="0"/>
        <charset val="1"/>
      </rPr>
      <t xml:space="preserve">300 - 50</t>
    </r>
  </si>
  <si>
    <t xml:space="preserve">4054538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</si>
  <si>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Ø50mm </t>
    </r>
    <r>
      <rPr>
        <sz val="10"/>
        <rFont val="FreeSans"/>
        <family val="2"/>
      </rPr>
      <t xml:space="preserve">پمپ ایرانی</t>
    </r>
    <r>
      <rPr>
        <sz val="10"/>
        <rFont val="Vazirmatn"/>
        <family val="0"/>
        <charset val="1"/>
      </rPr>
      <t xml:space="preserve">HDS50-300 C.S</t>
    </r>
  </si>
  <si>
    <t xml:space="preserve">31251159</t>
  </si>
  <si>
    <r>
      <rPr>
        <sz val="10"/>
        <rFont val="FreeSans"/>
        <family val="2"/>
      </rPr>
      <t xml:space="preserve">شفت پمپ  </t>
    </r>
    <r>
      <rPr>
        <sz val="10"/>
        <rFont val="Vazirmatn"/>
        <family val="0"/>
        <charset val="1"/>
      </rPr>
      <t xml:space="preserve">315 - 100 - 125 IHD</t>
    </r>
  </si>
  <si>
    <t xml:space="preserve">4028646</t>
  </si>
  <si>
    <r>
      <rPr>
        <sz val="10"/>
        <rFont val="FreeSans"/>
        <family val="2"/>
      </rPr>
      <t xml:space="preserve">شفت پمپ </t>
    </r>
    <r>
      <rPr>
        <sz val="10"/>
        <rFont val="Vazirmatn"/>
        <family val="0"/>
        <charset val="1"/>
      </rPr>
      <t xml:space="preserve">315-100</t>
    </r>
  </si>
  <si>
    <t xml:space="preserve">31251160</t>
  </si>
  <si>
    <r>
      <rPr>
        <sz val="10"/>
        <rFont val="FreeSans"/>
        <family val="2"/>
      </rPr>
      <t xml:space="preserve">شفت پمپ   </t>
    </r>
    <r>
      <rPr>
        <sz val="10"/>
        <rFont val="Vazirmatn"/>
        <family val="0"/>
        <charset val="1"/>
      </rPr>
      <t xml:space="preserve">250 - 65 - 100 IHD</t>
    </r>
  </si>
  <si>
    <t xml:space="preserve">31251207</t>
  </si>
  <si>
    <r>
      <rPr>
        <sz val="10"/>
        <rFont val="FreeSans"/>
        <family val="2"/>
      </rPr>
      <t xml:space="preserve">شفت پمپ </t>
    </r>
    <r>
      <rPr>
        <sz val="10"/>
        <rFont val="Vazirmatn"/>
        <family val="0"/>
        <charset val="1"/>
      </rPr>
      <t xml:space="preserve">315 - 125 - 150 KPW</t>
    </r>
  </si>
  <si>
    <t xml:space="preserve">4036013</t>
  </si>
  <si>
    <r>
      <rPr>
        <sz val="10"/>
        <rFont val="FreeSans"/>
        <family val="2"/>
      </rPr>
      <t xml:space="preserve">شفت پمپ </t>
    </r>
    <r>
      <rPr>
        <sz val="10"/>
        <rFont val="Vazirmatn"/>
        <family val="0"/>
        <charset val="1"/>
      </rPr>
      <t xml:space="preserve">IHD 150-125-315 KW 75</t>
    </r>
  </si>
  <si>
    <t xml:space="preserve">31251214</t>
  </si>
  <si>
    <r>
      <rPr>
        <sz val="10"/>
        <rFont val="FreeSans"/>
        <family val="2"/>
      </rPr>
      <t xml:space="preserve">شفت پمپ </t>
    </r>
    <r>
      <rPr>
        <sz val="10"/>
        <rFont val="Vazirmatn"/>
        <family val="0"/>
        <charset val="1"/>
      </rPr>
      <t xml:space="preserve">315 - 100 - 125 KPW</t>
    </r>
  </si>
  <si>
    <t xml:space="preserve">31251217</t>
  </si>
  <si>
    <r>
      <rPr>
        <sz val="10"/>
        <rFont val="FreeSans"/>
        <family val="2"/>
      </rPr>
      <t xml:space="preserve">شفت پمپ  </t>
    </r>
    <r>
      <rPr>
        <sz val="10"/>
        <rFont val="Vazirmatn"/>
        <family val="0"/>
        <charset val="1"/>
      </rPr>
      <t xml:space="preserve">250 - 100 - 125 IHD</t>
    </r>
  </si>
  <si>
    <t xml:space="preserve">4025521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</si>
  <si>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IHD125-100-250  1450rpm</t>
    </r>
  </si>
  <si>
    <t xml:space="preserve">31251220</t>
  </si>
  <si>
    <r>
      <rPr>
        <sz val="10"/>
        <rFont val="FreeSans"/>
        <family val="2"/>
      </rPr>
      <t xml:space="preserve">شفت پمپ  </t>
    </r>
    <r>
      <rPr>
        <sz val="10"/>
        <rFont val="Vazirmatn"/>
        <family val="0"/>
        <charset val="1"/>
      </rPr>
      <t xml:space="preserve">315 - 125 - 150 IHD</t>
    </r>
  </si>
  <si>
    <t xml:space="preserve">31251301</t>
  </si>
  <si>
    <r>
      <rPr>
        <sz val="10"/>
        <rFont val="FreeSans"/>
        <family val="2"/>
      </rPr>
      <t xml:space="preserve">شفت پمپ         </t>
    </r>
    <r>
      <rPr>
        <sz val="10"/>
        <rFont val="Vazirmatn"/>
        <family val="0"/>
        <charset val="1"/>
      </rPr>
      <t xml:space="preserve">160-50</t>
    </r>
  </si>
  <si>
    <t xml:space="preserve">4028647</t>
  </si>
  <si>
    <r>
      <rPr>
        <sz val="10"/>
        <rFont val="FreeSans"/>
        <family val="2"/>
      </rPr>
      <t xml:space="preserve">شفت پمپ ایران </t>
    </r>
    <r>
      <rPr>
        <sz val="10"/>
        <rFont val="Vazirmatn"/>
        <family val="0"/>
        <charset val="1"/>
      </rPr>
      <t xml:space="preserve">EN-50-160</t>
    </r>
  </si>
  <si>
    <t xml:space="preserve">31251313</t>
  </si>
  <si>
    <r>
      <rPr>
        <sz val="10"/>
        <rFont val="FreeSans"/>
        <family val="2"/>
      </rPr>
      <t xml:space="preserve">شفت پمپ  </t>
    </r>
    <r>
      <rPr>
        <sz val="10"/>
        <rFont val="Vazirmatn"/>
        <family val="0"/>
        <charset val="1"/>
      </rPr>
      <t xml:space="preserve">IHD100-65-315</t>
    </r>
  </si>
  <si>
    <t xml:space="preserve">31251315</t>
  </si>
  <si>
    <r>
      <rPr>
        <sz val="10"/>
        <rFont val="FreeSans"/>
        <family val="2"/>
      </rPr>
      <t xml:space="preserve">شفت پمپ  </t>
    </r>
    <r>
      <rPr>
        <sz val="10"/>
        <rFont val="Vazirmatn"/>
        <family val="0"/>
        <charset val="1"/>
      </rPr>
      <t xml:space="preserve">IHD150-125-250</t>
    </r>
  </si>
  <si>
    <t xml:space="preserve">4028706</t>
  </si>
  <si>
    <r>
      <rPr>
        <sz val="10"/>
        <rFont val="Vazirmatn"/>
        <family val="0"/>
        <charset val="1"/>
      </rPr>
      <t xml:space="preserve">Shaft sleeve (</t>
    </r>
    <r>
      <rPr>
        <sz val="10"/>
        <rFont val="FreeSans"/>
        <family val="2"/>
      </rPr>
      <t xml:space="preserve">پوشش شفت </t>
    </r>
    <r>
      <rPr>
        <sz val="10"/>
        <rFont val="Vazirmatn"/>
        <family val="0"/>
        <charset val="1"/>
      </rPr>
      <t xml:space="preserve">) IHD 150 125 250</t>
    </r>
  </si>
  <si>
    <t xml:space="preserve">31251316</t>
  </si>
  <si>
    <r>
      <rPr>
        <sz val="10"/>
        <rFont val="FreeSans"/>
        <family val="2"/>
      </rPr>
      <t xml:space="preserve">شفت پمپ  </t>
    </r>
    <r>
      <rPr>
        <sz val="10"/>
        <rFont val="Vazirmatn"/>
        <family val="0"/>
        <charset val="1"/>
      </rPr>
      <t xml:space="preserve">IHD200-150-315</t>
    </r>
  </si>
  <si>
    <t xml:space="preserve">4025523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</si>
  <si>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IHD200-150-315  1450rpm</t>
    </r>
  </si>
  <si>
    <t xml:space="preserve">31251341</t>
  </si>
  <si>
    <t xml:space="preserve">شفت فولادی آسیاب چکشی گلوتن</t>
  </si>
  <si>
    <t xml:space="preserve">31251348</t>
  </si>
  <si>
    <t xml:space="preserve">شفت گیربکس ورودی پرس بزرگ روغنکشی</t>
  </si>
  <si>
    <t xml:space="preserve">5013210</t>
  </si>
  <si>
    <t xml:space="preserve">شفت ورودی گیربکس بارریز</t>
  </si>
  <si>
    <t xml:space="preserve">31251405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</si>
  <si>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IHF80-65-160</t>
    </r>
  </si>
  <si>
    <t xml:space="preserve">4032106</t>
  </si>
  <si>
    <r>
      <rPr>
        <sz val="10"/>
        <rFont val="Vazirmatn"/>
        <family val="0"/>
        <charset val="1"/>
      </rPr>
      <t xml:space="preserve">IHF80-65-160 11KW </t>
    </r>
    <r>
      <rPr>
        <sz val="10"/>
        <rFont val="FreeSans"/>
        <family val="2"/>
      </rPr>
      <t xml:space="preserve">شفت پمپ</t>
    </r>
  </si>
  <si>
    <t xml:space="preserve">31251407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</si>
  <si>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KHZ100-65-250</t>
    </r>
  </si>
  <si>
    <t xml:space="preserve">4025549</t>
  </si>
  <si>
    <r>
      <rPr>
        <sz val="10"/>
        <rFont val="Vazirmatn"/>
        <family val="0"/>
        <charset val="1"/>
      </rPr>
      <t xml:space="preserve">Shaft (</t>
    </r>
    <r>
      <rPr>
        <sz val="10"/>
        <rFont val="FreeSans"/>
        <family val="2"/>
      </rPr>
      <t xml:space="preserve">شفت</t>
    </r>
    <r>
      <rPr>
        <sz val="10"/>
        <rFont val="Vazirmatn"/>
        <family val="0"/>
        <charset val="1"/>
      </rPr>
      <t xml:space="preserve">) KHZ100-65-250 7.5 KW</t>
    </r>
  </si>
  <si>
    <t xml:space="preserve">31251408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</si>
  <si>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KHZ65-50-160</t>
    </r>
  </si>
  <si>
    <t xml:space="preserve">4025525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</si>
  <si>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KHZ65-50-160  5.6kw</t>
    </r>
  </si>
  <si>
    <t xml:space="preserve">31251410</t>
  </si>
  <si>
    <r>
      <rPr>
        <sz val="10"/>
        <rFont val="FreeSans"/>
        <family val="2"/>
      </rPr>
      <t xml:space="preserve">شفت  </t>
    </r>
    <r>
      <rPr>
        <sz val="10"/>
        <rFont val="Vazirmatn"/>
        <family val="0"/>
        <charset val="1"/>
      </rPr>
      <t xml:space="preserve">KHZ65-50-200</t>
    </r>
  </si>
  <si>
    <t xml:space="preserve">4025546</t>
  </si>
  <si>
    <r>
      <rPr>
        <sz val="10"/>
        <rFont val="Vazirmatn"/>
        <family val="0"/>
        <charset val="1"/>
      </rPr>
      <t xml:space="preserve">Shaft (</t>
    </r>
    <r>
      <rPr>
        <sz val="10"/>
        <rFont val="FreeSans"/>
        <family val="2"/>
      </rPr>
      <t xml:space="preserve">شفت</t>
    </r>
    <r>
      <rPr>
        <sz val="10"/>
        <rFont val="Vazirmatn"/>
        <family val="0"/>
        <charset val="1"/>
      </rPr>
      <t xml:space="preserve">) KHZ65-50-200 11 KW</t>
    </r>
  </si>
  <si>
    <t xml:space="preserve">31251411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</si>
  <si>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KHZ 80-65-200</t>
    </r>
  </si>
  <si>
    <t xml:space="preserve">4025528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</si>
  <si>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KHZ80-65-200   16kw</t>
    </r>
  </si>
  <si>
    <t xml:space="preserve">31251435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</si>
  <si>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35 - 100 - 100UB - ZK</t>
    </r>
  </si>
  <si>
    <t xml:space="preserve">4031969</t>
  </si>
  <si>
    <r>
      <rPr>
        <sz val="10"/>
        <rFont val="Vazirmatn"/>
        <family val="0"/>
        <charset val="1"/>
      </rPr>
      <t xml:space="preserve">100UB-ZK100-35,30kw </t>
    </r>
    <r>
      <rPr>
        <sz val="10"/>
        <rFont val="FreeSans"/>
        <family val="2"/>
      </rPr>
      <t xml:space="preserve">شفت پمپ</t>
    </r>
  </si>
  <si>
    <t xml:space="preserve">31252100</t>
  </si>
  <si>
    <r>
      <rPr>
        <sz val="10"/>
        <rFont val="FreeSans"/>
        <family val="2"/>
      </rPr>
      <t xml:space="preserve">پروانه پلاستیکی الکتروموتور قطر </t>
    </r>
    <r>
      <rPr>
        <sz val="10"/>
        <rFont val="Vazirmatn"/>
        <family val="0"/>
        <charset val="1"/>
      </rPr>
      <t xml:space="preserve">48</t>
    </r>
  </si>
  <si>
    <t xml:space="preserve">5023756</t>
  </si>
  <si>
    <r>
      <rPr>
        <sz val="10"/>
        <rFont val="FreeSans"/>
        <family val="2"/>
      </rPr>
      <t xml:space="preserve">پروانه الکتروموتور پلاستیکی </t>
    </r>
    <r>
      <rPr>
        <sz val="10"/>
        <rFont val="Vazirmatn"/>
        <family val="0"/>
        <charset val="1"/>
      </rPr>
      <t xml:space="preserve">250mm 48mm 4</t>
    </r>
  </si>
  <si>
    <t xml:space="preserve">31252112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</si>
  <si>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160 - 50</t>
    </r>
  </si>
  <si>
    <t xml:space="preserve">4033036</t>
  </si>
  <si>
    <r>
      <rPr>
        <sz val="10"/>
        <rFont val="FreeSans"/>
        <family val="2"/>
      </rPr>
      <t xml:space="preserve">پروانه پمپ ایران </t>
    </r>
    <r>
      <rPr>
        <sz val="10"/>
        <rFont val="Vazirmatn"/>
        <family val="0"/>
        <charset val="1"/>
      </rPr>
      <t xml:space="preserve">EN50-160</t>
    </r>
  </si>
  <si>
    <t xml:space="preserve">31252118</t>
  </si>
  <si>
    <r>
      <rPr>
        <sz val="10"/>
        <rFont val="FreeSans"/>
        <family val="2"/>
      </rPr>
      <t xml:space="preserve">پروانه پمپ                </t>
    </r>
    <r>
      <rPr>
        <sz val="10"/>
        <rFont val="Vazirmatn"/>
        <family val="0"/>
        <charset val="1"/>
      </rPr>
      <t xml:space="preserve">315 - 150</t>
    </r>
  </si>
  <si>
    <t xml:space="preserve">4050449</t>
  </si>
  <si>
    <r>
      <rPr>
        <sz val="10"/>
        <rFont val="FreeSans"/>
        <family val="2"/>
      </rPr>
      <t xml:space="preserve">پروانه پمپ</t>
    </r>
    <r>
      <rPr>
        <sz val="10"/>
        <rFont val="Vazirmatn"/>
        <family val="0"/>
        <charset val="1"/>
      </rPr>
      <t xml:space="preserve">-KSB-S.S316-150-315</t>
    </r>
  </si>
  <si>
    <t xml:space="preserve">31252122</t>
  </si>
  <si>
    <r>
      <rPr>
        <sz val="10"/>
        <rFont val="FreeSans"/>
        <family val="2"/>
      </rPr>
      <t xml:space="preserve">پروانه پمپ   </t>
    </r>
    <r>
      <rPr>
        <sz val="10"/>
        <rFont val="Vazirmatn"/>
        <family val="0"/>
        <charset val="1"/>
      </rPr>
      <t xml:space="preserve">315 -100 - 125</t>
    </r>
  </si>
  <si>
    <t xml:space="preserve">4047946</t>
  </si>
  <si>
    <r>
      <rPr>
        <sz val="10"/>
        <rFont val="FreeSans"/>
        <family val="2"/>
      </rPr>
      <t xml:space="preserve">پروانه پمپ</t>
    </r>
    <r>
      <rPr>
        <sz val="10"/>
        <rFont val="Vazirmatn"/>
        <family val="0"/>
        <charset val="1"/>
      </rPr>
      <t xml:space="preserve">-IHD125-100-315</t>
    </r>
  </si>
  <si>
    <t xml:space="preserve">31252125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</si>
  <si>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250 - 65 - 100</t>
    </r>
  </si>
  <si>
    <t xml:space="preserve">4028696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</si>
  <si>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2900RPM IHD100-65-250</t>
    </r>
  </si>
  <si>
    <t xml:space="preserve">31252128</t>
  </si>
  <si>
    <r>
      <rPr>
        <sz val="10"/>
        <rFont val="FreeSans"/>
        <family val="2"/>
      </rPr>
      <t xml:space="preserve">پروانه استیل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پره  </t>
    </r>
    <r>
      <rPr>
        <sz val="10"/>
        <rFont val="Vazirmatn"/>
        <family val="0"/>
        <charset val="1"/>
      </rPr>
      <t xml:space="preserve">200 - 65 - 80  IHD</t>
    </r>
  </si>
  <si>
    <t xml:space="preserve">31252133</t>
  </si>
  <si>
    <r>
      <rPr>
        <sz val="10"/>
        <rFont val="FreeSans"/>
        <family val="2"/>
      </rPr>
      <t xml:space="preserve">پروانه پمپ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کوچک</t>
    </r>
  </si>
  <si>
    <t xml:space="preserve">4028058</t>
  </si>
  <si>
    <r>
      <rPr>
        <sz val="10"/>
        <rFont val="FreeSans"/>
        <family val="2"/>
      </rPr>
      <t xml:space="preserve">پروانه پمپ هواساز استیل </t>
    </r>
    <r>
      <rPr>
        <sz val="10"/>
        <rFont val="Vazirmatn"/>
        <family val="0"/>
        <charset val="1"/>
      </rPr>
      <t xml:space="preserve">316</t>
    </r>
  </si>
  <si>
    <t xml:space="preserve">31252146</t>
  </si>
  <si>
    <t xml:space="preserve">پروانه پمپ کولینگ تاور</t>
  </si>
  <si>
    <t xml:space="preserve">31252181</t>
  </si>
  <si>
    <r>
      <rPr>
        <sz val="10"/>
        <rFont val="FreeSans"/>
        <family val="2"/>
      </rPr>
      <t xml:space="preserve">پروانه پمپ ایران  </t>
    </r>
    <r>
      <rPr>
        <sz val="10"/>
        <rFont val="Vazirmatn"/>
        <family val="0"/>
        <charset val="1"/>
      </rPr>
      <t xml:space="preserve">200 - 50</t>
    </r>
  </si>
  <si>
    <t xml:space="preserve">4052035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</si>
  <si>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KSB-50-200</t>
    </r>
  </si>
  <si>
    <t xml:space="preserve">31252199</t>
  </si>
  <si>
    <r>
      <rPr>
        <sz val="10"/>
        <rFont val="FreeSans"/>
        <family val="2"/>
      </rPr>
      <t xml:space="preserve">پروانه </t>
    </r>
    <r>
      <rPr>
        <sz val="10"/>
        <rFont val="Vazirmatn"/>
        <family val="0"/>
        <charset val="1"/>
      </rPr>
      <t xml:space="preserve">KHZ50-32-160</t>
    </r>
  </si>
  <si>
    <t xml:space="preserve">4028076</t>
  </si>
  <si>
    <r>
      <rPr>
        <sz val="10"/>
        <rFont val="Vazirmatn"/>
        <family val="0"/>
        <charset val="1"/>
      </rPr>
      <t xml:space="preserve">Impeller (</t>
    </r>
    <r>
      <rPr>
        <sz val="10"/>
        <rFont val="FreeSans"/>
        <family val="2"/>
      </rPr>
      <t xml:space="preserve">پروانه</t>
    </r>
    <r>
      <rPr>
        <sz val="10"/>
        <rFont val="Vazirmatn"/>
        <family val="0"/>
        <charset val="1"/>
      </rPr>
      <t xml:space="preserve">) KHZ50-32-160 3 KW</t>
    </r>
  </si>
  <si>
    <t xml:space="preserve">31252200</t>
  </si>
  <si>
    <r>
      <rPr>
        <sz val="10"/>
        <rFont val="FreeSans"/>
        <family val="2"/>
      </rPr>
      <t xml:space="preserve">پروانه </t>
    </r>
    <r>
      <rPr>
        <sz val="10"/>
        <rFont val="Vazirmatn"/>
        <family val="0"/>
        <charset val="1"/>
      </rPr>
      <t xml:space="preserve">KHZ65-50-160</t>
    </r>
  </si>
  <si>
    <t xml:space="preserve">4028692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</si>
  <si>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KHZ 65-50-160</t>
    </r>
  </si>
  <si>
    <t xml:space="preserve">31252201</t>
  </si>
  <si>
    <r>
      <rPr>
        <sz val="10"/>
        <rFont val="FreeSans"/>
        <family val="2"/>
      </rPr>
      <t xml:space="preserve">پروانه </t>
    </r>
    <r>
      <rPr>
        <sz val="10"/>
        <rFont val="Vazirmatn"/>
        <family val="0"/>
        <charset val="1"/>
      </rPr>
      <t xml:space="preserve">KHZ80-65-250</t>
    </r>
  </si>
  <si>
    <t xml:space="preserve">4028069</t>
  </si>
  <si>
    <r>
      <rPr>
        <sz val="10"/>
        <rFont val="Vazirmatn"/>
        <family val="0"/>
        <charset val="1"/>
      </rPr>
      <t xml:space="preserve">Impeller (</t>
    </r>
    <r>
      <rPr>
        <sz val="10"/>
        <rFont val="FreeSans"/>
        <family val="2"/>
      </rPr>
      <t xml:space="preserve">پروانه</t>
    </r>
    <r>
      <rPr>
        <sz val="10"/>
        <rFont val="Vazirmatn"/>
        <family val="0"/>
        <charset val="1"/>
      </rPr>
      <t xml:space="preserve">) KHZ80-65-250 5.5 KW</t>
    </r>
  </si>
  <si>
    <t xml:space="preserve">31252203</t>
  </si>
  <si>
    <r>
      <rPr>
        <sz val="10"/>
        <rFont val="FreeSans"/>
        <family val="2"/>
      </rPr>
      <t xml:space="preserve">پروانه </t>
    </r>
    <r>
      <rPr>
        <sz val="10"/>
        <rFont val="Vazirmatn"/>
        <family val="0"/>
        <charset val="1"/>
      </rPr>
      <t xml:space="preserve">KHZ65-50-200</t>
    </r>
  </si>
  <si>
    <t xml:space="preserve">4028079</t>
  </si>
  <si>
    <r>
      <rPr>
        <sz val="10"/>
        <rFont val="Vazirmatn"/>
        <family val="0"/>
        <charset val="1"/>
      </rPr>
      <t xml:space="preserve">Impeller (</t>
    </r>
    <r>
      <rPr>
        <sz val="10"/>
        <rFont val="FreeSans"/>
        <family val="2"/>
      </rPr>
      <t xml:space="preserve">پروانه</t>
    </r>
    <r>
      <rPr>
        <sz val="10"/>
        <rFont val="Vazirmatn"/>
        <family val="0"/>
        <charset val="1"/>
      </rPr>
      <t xml:space="preserve">) KHZ65-50-200 11 KW</t>
    </r>
  </si>
  <si>
    <t xml:space="preserve">31252204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</si>
  <si>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KHZ100-65-250</t>
    </r>
  </si>
  <si>
    <t xml:space="preserve">4028082</t>
  </si>
  <si>
    <r>
      <rPr>
        <sz val="10"/>
        <rFont val="Vazirmatn"/>
        <family val="0"/>
        <charset val="1"/>
      </rPr>
      <t xml:space="preserve">Impeller (</t>
    </r>
    <r>
      <rPr>
        <sz val="10"/>
        <rFont val="FreeSans"/>
        <family val="2"/>
      </rPr>
      <t xml:space="preserve">پروانه</t>
    </r>
    <r>
      <rPr>
        <sz val="10"/>
        <rFont val="Vazirmatn"/>
        <family val="0"/>
        <charset val="1"/>
      </rPr>
      <t xml:space="preserve">) KHZ100-65-250 7.5 KW</t>
    </r>
  </si>
  <si>
    <t xml:space="preserve">31252205</t>
  </si>
  <si>
    <r>
      <rPr>
        <sz val="10"/>
        <rFont val="FreeSans"/>
        <family val="2"/>
      </rPr>
      <t xml:space="preserve">پروانه </t>
    </r>
    <r>
      <rPr>
        <sz val="10"/>
        <rFont val="Vazirmatn"/>
        <family val="0"/>
        <charset val="1"/>
      </rPr>
      <t xml:space="preserve">KHZ100-65-315</t>
    </r>
  </si>
  <si>
    <t xml:space="preserve">4028075</t>
  </si>
  <si>
    <r>
      <rPr>
        <sz val="10"/>
        <rFont val="Vazirmatn"/>
        <family val="0"/>
        <charset val="1"/>
      </rPr>
      <t xml:space="preserve">Impeller (</t>
    </r>
    <r>
      <rPr>
        <sz val="10"/>
        <rFont val="FreeSans"/>
        <family val="2"/>
      </rPr>
      <t xml:space="preserve">پروانه</t>
    </r>
    <r>
      <rPr>
        <sz val="10"/>
        <rFont val="Vazirmatn"/>
        <family val="0"/>
        <charset val="1"/>
      </rPr>
      <t xml:space="preserve">) KHZ100-65-315 15 KW</t>
    </r>
  </si>
  <si>
    <t xml:space="preserve">31252206</t>
  </si>
  <si>
    <r>
      <rPr>
        <sz val="10"/>
        <rFont val="FreeSans"/>
        <family val="2"/>
      </rPr>
      <t xml:space="preserve">پروانه </t>
    </r>
    <r>
      <rPr>
        <sz val="10"/>
        <rFont val="Vazirmatn"/>
        <family val="0"/>
        <charset val="1"/>
      </rPr>
      <t xml:space="preserve">IHF80-65-160</t>
    </r>
  </si>
  <si>
    <t xml:space="preserve">4028089</t>
  </si>
  <si>
    <r>
      <rPr>
        <sz val="10"/>
        <rFont val="FreeSans"/>
        <family val="2"/>
      </rPr>
      <t xml:space="preserve">پروانه تفلونی  </t>
    </r>
    <r>
      <rPr>
        <sz val="10"/>
        <rFont val="Vazirmatn"/>
        <family val="0"/>
        <charset val="1"/>
      </rPr>
      <t xml:space="preserve">IHF80-65-160,11KW</t>
    </r>
  </si>
  <si>
    <t xml:space="preserve">31252211</t>
  </si>
  <si>
    <r>
      <rPr>
        <sz val="10"/>
        <rFont val="FreeSans"/>
        <family val="2"/>
      </rPr>
      <t xml:space="preserve">پروانه </t>
    </r>
    <r>
      <rPr>
        <sz val="10"/>
        <rFont val="Vazirmatn"/>
        <family val="0"/>
        <charset val="1"/>
      </rPr>
      <t xml:space="preserve">APP11-50</t>
    </r>
  </si>
  <si>
    <t xml:space="preserve">4050677</t>
  </si>
  <si>
    <r>
      <rPr>
        <sz val="10"/>
        <rFont val="FreeSans"/>
        <family val="2"/>
      </rPr>
      <t xml:space="preserve">پروانه پمپ</t>
    </r>
    <r>
      <rPr>
        <sz val="10"/>
        <rFont val="Vazirmatn"/>
        <family val="0"/>
        <charset val="1"/>
      </rPr>
      <t xml:space="preserve">-Sulzer-APP11-50-190mm</t>
    </r>
  </si>
  <si>
    <t xml:space="preserve">31252224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</si>
  <si>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315 - 100 - 125 IHD</t>
    </r>
  </si>
  <si>
    <t xml:space="preserve">31252226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</si>
  <si>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400 - 50 - 80 IHD</t>
    </r>
  </si>
  <si>
    <t xml:space="preserve">4047943</t>
  </si>
  <si>
    <r>
      <rPr>
        <sz val="10"/>
        <rFont val="FreeSans"/>
        <family val="2"/>
      </rPr>
      <t xml:space="preserve">پروانه پمپ</t>
    </r>
    <r>
      <rPr>
        <sz val="10"/>
        <rFont val="Vazirmatn"/>
        <family val="0"/>
        <charset val="1"/>
      </rPr>
      <t xml:space="preserve">-IHD80-50-400</t>
    </r>
  </si>
  <si>
    <t xml:space="preserve">31252229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</si>
  <si>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200 - 65 - 80 ( Q45 H40 ) IHD</t>
    </r>
  </si>
  <si>
    <t xml:space="preserve">31252233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</si>
  <si>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160 - 50 - 65 ( Q30 H30 ) IHD</t>
    </r>
  </si>
  <si>
    <t xml:space="preserve">4028691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</si>
  <si>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IHD 65-50-160</t>
    </r>
  </si>
  <si>
    <t xml:space="preserve">31252234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</si>
  <si>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160 - 50 - 65 ( Q20 H30 ) IHD</t>
    </r>
  </si>
  <si>
    <t xml:space="preserve">31252236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</si>
  <si>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160 - 32 - 50 IHD</t>
    </r>
  </si>
  <si>
    <t xml:space="preserve">4055549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</si>
  <si>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IHD 50-32-160</t>
    </r>
  </si>
  <si>
    <t xml:space="preserve">31252242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</si>
  <si>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125 - 32 - 50 IHD</t>
    </r>
  </si>
  <si>
    <t xml:space="preserve">4055547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</si>
  <si>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IHD50-32-125</t>
    </r>
  </si>
  <si>
    <t xml:space="preserve">31252258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</si>
  <si>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315 - 100 - 125 KPW</t>
    </r>
  </si>
  <si>
    <t xml:space="preserve">31252260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</si>
  <si>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250 - 100 - 125 KPW</t>
    </r>
  </si>
  <si>
    <t xml:space="preserve">31252270</t>
  </si>
  <si>
    <r>
      <rPr>
        <sz val="10"/>
        <rFont val="FreeSans"/>
        <family val="2"/>
      </rPr>
      <t xml:space="preserve">پروانه کمکی پمپ </t>
    </r>
    <r>
      <rPr>
        <sz val="10"/>
        <rFont val="Vazirmatn"/>
        <family val="0"/>
        <charset val="1"/>
      </rPr>
      <t xml:space="preserve">200 - 65 - 80 IHD</t>
    </r>
  </si>
  <si>
    <t xml:space="preserve">31252282</t>
  </si>
  <si>
    <r>
      <rPr>
        <sz val="10"/>
        <rFont val="FreeSans"/>
        <family val="2"/>
      </rPr>
      <t xml:space="preserve">پروانه فن کولینگ تاور </t>
    </r>
    <r>
      <rPr>
        <sz val="10"/>
        <rFont val="Vazirmatn"/>
        <family val="0"/>
        <charset val="1"/>
      </rPr>
      <t xml:space="preserve">MB 450</t>
    </r>
  </si>
  <si>
    <t xml:space="preserve">31252301</t>
  </si>
  <si>
    <r>
      <rPr>
        <sz val="10"/>
        <rFont val="FreeSans"/>
        <family val="2"/>
      </rPr>
      <t xml:space="preserve">پروانه کمکی پمپ  </t>
    </r>
    <r>
      <rPr>
        <sz val="10"/>
        <rFont val="Vazirmatn"/>
        <family val="0"/>
        <charset val="1"/>
      </rPr>
      <t xml:space="preserve">200 - 65 - 80 IHD</t>
    </r>
  </si>
  <si>
    <t xml:space="preserve">31252302</t>
  </si>
  <si>
    <r>
      <rPr>
        <sz val="10"/>
        <rFont val="FreeSans"/>
        <family val="2"/>
      </rPr>
      <t xml:space="preserve">پروانه کمکی پمپ  </t>
    </r>
    <r>
      <rPr>
        <sz val="10"/>
        <rFont val="Vazirmatn"/>
        <family val="0"/>
        <charset val="1"/>
      </rPr>
      <t xml:space="preserve">125 - 32 - 50 IHD</t>
    </r>
  </si>
  <si>
    <t xml:space="preserve">31252306</t>
  </si>
  <si>
    <r>
      <rPr>
        <sz val="10"/>
        <rFont val="FreeSans"/>
        <family val="2"/>
      </rPr>
      <t xml:space="preserve">پروانه کمکی پمپ  </t>
    </r>
    <r>
      <rPr>
        <sz val="10"/>
        <rFont val="Vazirmatn"/>
        <family val="0"/>
        <charset val="1"/>
      </rPr>
      <t xml:space="preserve">250 - 65 - 100 IHD</t>
    </r>
  </si>
  <si>
    <t xml:space="preserve">4031972</t>
  </si>
  <si>
    <r>
      <rPr>
        <sz val="10"/>
        <rFont val="FreeSans"/>
        <family val="2"/>
      </rPr>
      <t xml:space="preserve">پروانه کمکی موتور </t>
    </r>
    <r>
      <rPr>
        <sz val="10"/>
        <rFont val="Vazirmatn"/>
        <family val="0"/>
        <charset val="1"/>
      </rPr>
      <t xml:space="preserve">2900RPM IHD100-65-250</t>
    </r>
  </si>
  <si>
    <t xml:space="preserve">31252314</t>
  </si>
  <si>
    <r>
      <rPr>
        <sz val="10"/>
        <rFont val="FreeSans"/>
        <family val="2"/>
      </rPr>
      <t xml:space="preserve">پروانه کمکی پمپ  </t>
    </r>
    <r>
      <rPr>
        <sz val="10"/>
        <rFont val="Vazirmatn"/>
        <family val="0"/>
        <charset val="1"/>
      </rPr>
      <t xml:space="preserve">250 - 50 - 65 IHD</t>
    </r>
  </si>
  <si>
    <t xml:space="preserve">31252320</t>
  </si>
  <si>
    <r>
      <rPr>
        <sz val="10"/>
        <rFont val="FreeSans"/>
        <family val="2"/>
      </rPr>
      <t xml:space="preserve">پروانه پمپ باز  </t>
    </r>
    <r>
      <rPr>
        <sz val="10"/>
        <rFont val="Vazirmatn"/>
        <family val="0"/>
        <charset val="1"/>
      </rPr>
      <t xml:space="preserve">IHD 50 - 32 - 125</t>
    </r>
  </si>
  <si>
    <t xml:space="preserve">31252328</t>
  </si>
  <si>
    <r>
      <rPr>
        <sz val="10"/>
        <rFont val="FreeSans"/>
        <family val="2"/>
      </rPr>
      <t xml:space="preserve">پروانه   پمپ       </t>
    </r>
    <r>
      <rPr>
        <sz val="10"/>
        <rFont val="Vazirmatn"/>
        <family val="0"/>
        <charset val="1"/>
      </rPr>
      <t xml:space="preserve">250 - 150</t>
    </r>
  </si>
  <si>
    <t xml:space="preserve">31252336</t>
  </si>
  <si>
    <r>
      <rPr>
        <sz val="10"/>
        <rFont val="FreeSans"/>
        <family val="2"/>
      </rPr>
      <t xml:space="preserve">پروانه پمپ ایران  </t>
    </r>
    <r>
      <rPr>
        <sz val="10"/>
        <rFont val="Vazirmatn"/>
        <family val="0"/>
        <charset val="1"/>
      </rPr>
      <t xml:space="preserve">200 - 65</t>
    </r>
  </si>
  <si>
    <t xml:space="preserve">31252343</t>
  </si>
  <si>
    <r>
      <rPr>
        <sz val="10"/>
        <rFont val="FreeSans"/>
        <family val="2"/>
      </rPr>
      <t xml:space="preserve">پروانه پمپ ایران </t>
    </r>
    <r>
      <rPr>
        <sz val="10"/>
        <rFont val="Vazirmatn"/>
        <family val="0"/>
        <charset val="1"/>
      </rPr>
      <t xml:space="preserve">200- 65</t>
    </r>
  </si>
  <si>
    <t xml:space="preserve">31252344</t>
  </si>
  <si>
    <r>
      <rPr>
        <sz val="10"/>
        <rFont val="FreeSans"/>
        <family val="2"/>
      </rPr>
      <t xml:space="preserve">پروانه پمپ ایران </t>
    </r>
    <r>
      <rPr>
        <sz val="10"/>
        <rFont val="Vazirmatn"/>
        <family val="0"/>
        <charset val="1"/>
      </rPr>
      <t xml:space="preserve">250- 65</t>
    </r>
  </si>
  <si>
    <t xml:space="preserve">31252349</t>
  </si>
  <si>
    <r>
      <rPr>
        <sz val="10"/>
        <rFont val="FreeSans"/>
        <family val="2"/>
      </rPr>
      <t xml:space="preserve">پروانه پلاستیکی الکترو موتور         </t>
    </r>
    <r>
      <rPr>
        <sz val="10"/>
        <rFont val="Vazirmatn"/>
        <family val="0"/>
        <charset val="1"/>
      </rPr>
      <t xml:space="preserve">24mm</t>
    </r>
  </si>
  <si>
    <t xml:space="preserve">4006106</t>
  </si>
  <si>
    <r>
      <rPr>
        <sz val="10"/>
        <rFont val="FreeSans"/>
        <family val="2"/>
      </rPr>
      <t xml:space="preserve">پروانه پلاستيکي </t>
    </r>
    <r>
      <rPr>
        <sz val="10"/>
        <rFont val="Vazirmatn"/>
        <family val="0"/>
        <charset val="1"/>
      </rPr>
      <t xml:space="preserve">24mm </t>
    </r>
    <r>
      <rPr>
        <sz val="10"/>
        <rFont val="FreeSans"/>
        <family val="2"/>
      </rPr>
      <t xml:space="preserve">الکتروموتور</t>
    </r>
  </si>
  <si>
    <t xml:space="preserve">31252350</t>
  </si>
  <si>
    <r>
      <rPr>
        <sz val="10"/>
        <rFont val="FreeSans"/>
        <family val="2"/>
      </rPr>
      <t xml:space="preserve">پروانه پمپ ایران  </t>
    </r>
    <r>
      <rPr>
        <sz val="10"/>
        <rFont val="Vazirmatn"/>
        <family val="0"/>
        <charset val="1"/>
      </rPr>
      <t xml:space="preserve">300 - 50</t>
    </r>
  </si>
  <si>
    <t xml:space="preserve">4028060</t>
  </si>
  <si>
    <r>
      <rPr>
        <sz val="10"/>
        <rFont val="FreeSans"/>
        <family val="2"/>
      </rPr>
      <t xml:space="preserve">پروانه پمپ پرلیت </t>
    </r>
    <r>
      <rPr>
        <sz val="10"/>
        <rFont val="Vazirmatn"/>
        <family val="0"/>
        <charset val="1"/>
      </rPr>
      <t xml:space="preserve">HDS 50-300</t>
    </r>
  </si>
  <si>
    <t xml:space="preserve">31252357</t>
  </si>
  <si>
    <r>
      <rPr>
        <sz val="10"/>
        <rFont val="FreeSans"/>
        <family val="2"/>
      </rPr>
      <t xml:space="preserve">پروانه پلاستیکی الکتروموتور          </t>
    </r>
    <r>
      <rPr>
        <sz val="10"/>
        <rFont val="Vazirmatn"/>
        <family val="0"/>
        <charset val="1"/>
      </rPr>
      <t xml:space="preserve">48mm</t>
    </r>
  </si>
  <si>
    <t xml:space="preserve">31252360</t>
  </si>
  <si>
    <r>
      <rPr>
        <sz val="10"/>
        <rFont val="FreeSans"/>
        <family val="2"/>
      </rPr>
      <t xml:space="preserve">پروانه پلاستیکی الکتروموتور       </t>
    </r>
    <r>
      <rPr>
        <sz val="10"/>
        <rFont val="Vazirmatn"/>
        <family val="0"/>
        <charset val="1"/>
      </rPr>
      <t xml:space="preserve">7/5KW</t>
    </r>
  </si>
  <si>
    <t xml:space="preserve">4028061</t>
  </si>
  <si>
    <r>
      <rPr>
        <sz val="10"/>
        <rFont val="FreeSans"/>
        <family val="2"/>
      </rPr>
      <t xml:space="preserve">پروانه الکتروموتور </t>
    </r>
    <r>
      <rPr>
        <sz val="10"/>
        <rFont val="Vazirmatn"/>
        <family val="0"/>
        <charset val="1"/>
      </rPr>
      <t xml:space="preserve">7.5KW</t>
    </r>
  </si>
  <si>
    <t xml:space="preserve">31252367</t>
  </si>
  <si>
    <r>
      <rPr>
        <sz val="10"/>
        <rFont val="FreeSans"/>
        <family val="2"/>
      </rPr>
      <t xml:space="preserve">پروانه استیل پمپ ایران  </t>
    </r>
    <r>
      <rPr>
        <sz val="10"/>
        <rFont val="Vazirmatn"/>
        <family val="0"/>
        <charset val="1"/>
      </rPr>
      <t xml:space="preserve">160 - 50</t>
    </r>
  </si>
  <si>
    <t xml:space="preserve">31252370</t>
  </si>
  <si>
    <r>
      <rPr>
        <sz val="10"/>
        <rFont val="FreeSans"/>
        <family val="2"/>
      </rPr>
      <t xml:space="preserve">پروانه پمپ ایران  </t>
    </r>
    <r>
      <rPr>
        <sz val="10"/>
        <rFont val="Vazirmatn"/>
        <family val="0"/>
        <charset val="1"/>
      </rPr>
      <t xml:space="preserve">160 - 32</t>
    </r>
  </si>
  <si>
    <t xml:space="preserve">31252373</t>
  </si>
  <si>
    <t xml:space="preserve">31252395</t>
  </si>
  <si>
    <r>
      <rPr>
        <sz val="10"/>
        <rFont val="FreeSans"/>
        <family val="2"/>
      </rPr>
      <t xml:space="preserve">پروانه پلاستیکی الکتروموتور  </t>
    </r>
    <r>
      <rPr>
        <sz val="10"/>
        <rFont val="Vazirmatn"/>
        <family val="0"/>
        <charset val="1"/>
      </rPr>
      <t xml:space="preserve">30mm</t>
    </r>
  </si>
  <si>
    <t xml:space="preserve">4041051</t>
  </si>
  <si>
    <r>
      <rPr>
        <sz val="10"/>
        <rFont val="FreeSans"/>
        <family val="2"/>
      </rPr>
      <t xml:space="preserve">پروانه پلاستیکی </t>
    </r>
    <r>
      <rPr>
        <sz val="10"/>
        <rFont val="Vazirmatn"/>
        <family val="0"/>
        <charset val="1"/>
      </rPr>
      <t xml:space="preserve">30mm </t>
    </r>
    <r>
      <rPr>
        <sz val="10"/>
        <rFont val="FreeSans"/>
        <family val="2"/>
      </rPr>
      <t xml:space="preserve">الکتروموتور </t>
    </r>
    <r>
      <rPr>
        <sz val="10"/>
        <rFont val="Vazirmatn"/>
        <family val="0"/>
        <charset val="1"/>
      </rPr>
      <t xml:space="preserve">2,2KW</t>
    </r>
  </si>
  <si>
    <t xml:space="preserve">31252424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</si>
  <si>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IHD100-65-315  motor 11kw</t>
    </r>
  </si>
  <si>
    <t xml:space="preserve">4028080</t>
  </si>
  <si>
    <r>
      <rPr>
        <sz val="10"/>
        <rFont val="Vazirmatn"/>
        <family val="0"/>
        <charset val="1"/>
      </rPr>
      <t xml:space="preserve">Impeller (</t>
    </r>
    <r>
      <rPr>
        <sz val="10"/>
        <rFont val="FreeSans"/>
        <family val="2"/>
      </rPr>
      <t xml:space="preserve">پروانه</t>
    </r>
    <r>
      <rPr>
        <sz val="10"/>
        <rFont val="Vazirmatn"/>
        <family val="0"/>
        <charset val="1"/>
      </rPr>
      <t xml:space="preserve">) IHD100-65-315 11 KW</t>
    </r>
  </si>
  <si>
    <t xml:space="preserve">31252427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</si>
  <si>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IHD200-150-315</t>
    </r>
  </si>
  <si>
    <t xml:space="preserve">4028683</t>
  </si>
  <si>
    <r>
      <rPr>
        <sz val="10"/>
        <rFont val="Vazirmatn"/>
        <family val="0"/>
        <charset val="1"/>
      </rPr>
      <t xml:space="preserve">Impeller IHD200-150-315, 1450rpm(</t>
    </r>
    <r>
      <rPr>
        <sz val="10"/>
        <rFont val="FreeSans"/>
        <family val="2"/>
      </rPr>
      <t xml:space="preserve">پروانه</t>
    </r>
    <r>
      <rPr>
        <sz val="10"/>
        <rFont val="Vazirmatn"/>
        <family val="0"/>
        <charset val="1"/>
      </rPr>
      <t xml:space="preserve">)</t>
    </r>
  </si>
  <si>
    <t xml:space="preserve">31252505</t>
  </si>
  <si>
    <r>
      <rPr>
        <sz val="10"/>
        <rFont val="FreeSans"/>
        <family val="2"/>
      </rPr>
      <t xml:space="preserve">پروانه  </t>
    </r>
    <r>
      <rPr>
        <sz val="10"/>
        <rFont val="Vazirmatn"/>
        <family val="0"/>
        <charset val="1"/>
      </rPr>
      <t xml:space="preserve">Impller</t>
    </r>
  </si>
  <si>
    <t xml:space="preserve">4028087</t>
  </si>
  <si>
    <r>
      <rPr>
        <sz val="10"/>
        <rFont val="FreeSans"/>
        <family val="2"/>
      </rPr>
      <t xml:space="preserve">پروانه موتور </t>
    </r>
    <r>
      <rPr>
        <sz val="10"/>
        <rFont val="Vazirmatn"/>
        <family val="0"/>
        <charset val="1"/>
      </rPr>
      <t xml:space="preserve">(Impeller)</t>
    </r>
  </si>
  <si>
    <t xml:space="preserve">31254203</t>
  </si>
  <si>
    <r>
      <rPr>
        <sz val="10"/>
        <rFont val="FreeSans"/>
        <family val="2"/>
      </rPr>
      <t xml:space="preserve">پیستون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عملگر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پنوماتیک بادی</t>
    </r>
  </si>
  <si>
    <t xml:space="preserve">4025497</t>
  </si>
  <si>
    <t xml:space="preserve">پیستون شیر عملگر پنوماتیکی</t>
  </si>
  <si>
    <t xml:space="preserve">31261135</t>
  </si>
  <si>
    <r>
      <rPr>
        <sz val="10"/>
        <rFont val="FreeSans"/>
        <family val="2"/>
      </rPr>
      <t xml:space="preserve">واشر تخت آهنی              </t>
    </r>
    <r>
      <rPr>
        <sz val="10"/>
        <rFont val="Vazirmatn"/>
        <family val="0"/>
        <charset val="1"/>
      </rPr>
      <t xml:space="preserve">16  MM</t>
    </r>
  </si>
  <si>
    <t xml:space="preserve">4008996</t>
  </si>
  <si>
    <r>
      <rPr>
        <sz val="10"/>
        <rFont val="FreeSans"/>
        <family val="2"/>
      </rPr>
      <t xml:space="preserve">واشر  تخت </t>
    </r>
    <r>
      <rPr>
        <sz val="10"/>
        <rFont val="Vazirmatn"/>
        <family val="0"/>
        <charset val="1"/>
      </rPr>
      <t xml:space="preserve">16 </t>
    </r>
    <r>
      <rPr>
        <sz val="10"/>
        <rFont val="FreeSans"/>
        <family val="2"/>
      </rPr>
      <t xml:space="preserve">استیل</t>
    </r>
  </si>
  <si>
    <t xml:space="preserve">31261136</t>
  </si>
  <si>
    <r>
      <rPr>
        <sz val="10"/>
        <rFont val="FreeSans"/>
        <family val="2"/>
      </rPr>
      <t xml:space="preserve">واشر تخت آهنی              </t>
    </r>
    <r>
      <rPr>
        <sz val="10"/>
        <rFont val="Vazirmatn"/>
        <family val="0"/>
        <charset val="1"/>
      </rPr>
      <t xml:space="preserve">18  MM</t>
    </r>
  </si>
  <si>
    <t xml:space="preserve">4021052</t>
  </si>
  <si>
    <r>
      <rPr>
        <sz val="10"/>
        <rFont val="FreeSans"/>
        <family val="2"/>
      </rPr>
      <t xml:space="preserve">واشر  تخت </t>
    </r>
    <r>
      <rPr>
        <sz val="10"/>
        <rFont val="Vazirmatn"/>
        <family val="0"/>
        <charset val="1"/>
      </rPr>
      <t xml:space="preserve">18 </t>
    </r>
    <r>
      <rPr>
        <sz val="10"/>
        <rFont val="FreeSans"/>
        <family val="2"/>
      </rPr>
      <t xml:space="preserve">استیل</t>
    </r>
  </si>
  <si>
    <t xml:space="preserve">31261137</t>
  </si>
  <si>
    <r>
      <rPr>
        <sz val="10"/>
        <rFont val="FreeSans"/>
        <family val="2"/>
      </rPr>
      <t xml:space="preserve">واشر تخت آهنی              </t>
    </r>
    <r>
      <rPr>
        <sz val="10"/>
        <rFont val="Vazirmatn"/>
        <family val="0"/>
        <charset val="1"/>
      </rPr>
      <t xml:space="preserve">20  MM</t>
    </r>
  </si>
  <si>
    <t xml:space="preserve">4008997</t>
  </si>
  <si>
    <r>
      <rPr>
        <sz val="10"/>
        <rFont val="FreeSans"/>
        <family val="2"/>
      </rPr>
      <t xml:space="preserve">واشر  تخت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استیل</t>
    </r>
  </si>
  <si>
    <t xml:space="preserve">31261138</t>
  </si>
  <si>
    <r>
      <rPr>
        <sz val="10"/>
        <rFont val="FreeSans"/>
        <family val="2"/>
      </rPr>
      <t xml:space="preserve">واشر تخت آهنی              </t>
    </r>
    <r>
      <rPr>
        <sz val="10"/>
        <rFont val="Vazirmatn"/>
        <family val="0"/>
        <charset val="1"/>
      </rPr>
      <t xml:space="preserve">22  MM</t>
    </r>
  </si>
  <si>
    <t xml:space="preserve">4008170</t>
  </si>
  <si>
    <r>
      <rPr>
        <sz val="10"/>
        <rFont val="FreeSans"/>
        <family val="2"/>
      </rPr>
      <t xml:space="preserve">واشر  تخت </t>
    </r>
    <r>
      <rPr>
        <sz val="10"/>
        <rFont val="Vazirmatn"/>
        <family val="0"/>
        <charset val="1"/>
      </rPr>
      <t xml:space="preserve">22 Galv.</t>
    </r>
  </si>
  <si>
    <t xml:space="preserve">31261139</t>
  </si>
  <si>
    <r>
      <rPr>
        <sz val="10"/>
        <rFont val="FreeSans"/>
        <family val="2"/>
      </rPr>
      <t xml:space="preserve">واشر تخت آهنی               </t>
    </r>
    <r>
      <rPr>
        <sz val="10"/>
        <rFont val="Vazirmatn"/>
        <family val="0"/>
        <charset val="1"/>
      </rPr>
      <t xml:space="preserve">MM 14</t>
    </r>
  </si>
  <si>
    <t xml:space="preserve">4008165</t>
  </si>
  <si>
    <r>
      <rPr>
        <sz val="10"/>
        <rFont val="FreeSans"/>
        <family val="2"/>
      </rPr>
      <t xml:space="preserve">واشر  تخت </t>
    </r>
    <r>
      <rPr>
        <sz val="10"/>
        <rFont val="Vazirmatn"/>
        <family val="0"/>
        <charset val="1"/>
      </rPr>
      <t xml:space="preserve">14 Galv.</t>
    </r>
  </si>
  <si>
    <t xml:space="preserve">31261144</t>
  </si>
  <si>
    <r>
      <rPr>
        <sz val="10"/>
        <rFont val="FreeSans"/>
        <family val="2"/>
      </rPr>
      <t xml:space="preserve">واشر تخت آهنی                </t>
    </r>
    <r>
      <rPr>
        <sz val="10"/>
        <rFont val="Vazirmatn"/>
        <family val="0"/>
        <charset val="1"/>
      </rPr>
      <t xml:space="preserve">5  MM</t>
    </r>
  </si>
  <si>
    <t xml:space="preserve">4014973</t>
  </si>
  <si>
    <r>
      <rPr>
        <sz val="10"/>
        <rFont val="FreeSans"/>
        <family val="2"/>
      </rPr>
      <t xml:space="preserve">واشر تخت </t>
    </r>
    <r>
      <rPr>
        <sz val="10"/>
        <rFont val="Vazirmatn"/>
        <family val="0"/>
        <charset val="1"/>
      </rPr>
      <t xml:space="preserve">M5 S.S</t>
    </r>
  </si>
  <si>
    <t xml:space="preserve">31261145</t>
  </si>
  <si>
    <r>
      <rPr>
        <sz val="10"/>
        <rFont val="FreeSans"/>
        <family val="2"/>
      </rPr>
      <t xml:space="preserve">واشر تخت آهنی                </t>
    </r>
    <r>
      <rPr>
        <sz val="10"/>
        <rFont val="Vazirmatn"/>
        <family val="0"/>
        <charset val="1"/>
      </rPr>
      <t xml:space="preserve">6  MM</t>
    </r>
  </si>
  <si>
    <t xml:space="preserve">5024607</t>
  </si>
  <si>
    <r>
      <rPr>
        <sz val="10"/>
        <rFont val="FreeSans"/>
        <family val="2"/>
      </rPr>
      <t xml:space="preserve">واشر تخت </t>
    </r>
    <r>
      <rPr>
        <sz val="10"/>
        <rFont val="Vazirmatn"/>
        <family val="0"/>
        <charset val="1"/>
      </rPr>
      <t xml:space="preserve">S.S M6</t>
    </r>
  </si>
  <si>
    <t xml:space="preserve">31261146</t>
  </si>
  <si>
    <r>
      <rPr>
        <sz val="10"/>
        <rFont val="FreeSans"/>
        <family val="2"/>
      </rPr>
      <t xml:space="preserve">واشر تخت آهنی              </t>
    </r>
    <r>
      <rPr>
        <sz val="10"/>
        <rFont val="Vazirmatn"/>
        <family val="0"/>
        <charset val="1"/>
      </rPr>
      <t xml:space="preserve">32  MM</t>
    </r>
  </si>
  <si>
    <t xml:space="preserve">4027105</t>
  </si>
  <si>
    <r>
      <rPr>
        <sz val="10"/>
        <rFont val="FreeSans"/>
        <family val="2"/>
      </rPr>
      <t xml:space="preserve">واشر تخت سیاه نمره </t>
    </r>
    <r>
      <rPr>
        <sz val="10"/>
        <rFont val="Vazirmatn"/>
        <family val="0"/>
        <charset val="1"/>
      </rPr>
      <t xml:space="preserve">32</t>
    </r>
  </si>
  <si>
    <t xml:space="preserve">31261151</t>
  </si>
  <si>
    <r>
      <rPr>
        <sz val="10"/>
        <rFont val="FreeSans"/>
        <family val="2"/>
      </rPr>
      <t xml:space="preserve">واشر تخت آهنی                </t>
    </r>
    <r>
      <rPr>
        <sz val="10"/>
        <rFont val="Vazirmatn"/>
        <family val="0"/>
        <charset val="1"/>
      </rPr>
      <t xml:space="preserve">8  MM</t>
    </r>
  </si>
  <si>
    <t xml:space="preserve">4014976</t>
  </si>
  <si>
    <r>
      <rPr>
        <sz val="10"/>
        <rFont val="FreeSans"/>
        <family val="2"/>
      </rPr>
      <t xml:space="preserve">واشر تخت </t>
    </r>
    <r>
      <rPr>
        <sz val="10"/>
        <rFont val="Vazirmatn"/>
        <family val="0"/>
        <charset val="1"/>
      </rPr>
      <t xml:space="preserve">M8 S.S</t>
    </r>
  </si>
  <si>
    <t xml:space="preserve">31261153</t>
  </si>
  <si>
    <r>
      <rPr>
        <sz val="10"/>
        <rFont val="FreeSans"/>
        <family val="2"/>
      </rPr>
      <t xml:space="preserve">واشر تخت آهنی               </t>
    </r>
    <r>
      <rPr>
        <sz val="10"/>
        <rFont val="Vazirmatn"/>
        <family val="0"/>
        <charset val="1"/>
      </rPr>
      <t xml:space="preserve">10 MM</t>
    </r>
  </si>
  <si>
    <t xml:space="preserve">4023194</t>
  </si>
  <si>
    <r>
      <rPr>
        <sz val="10"/>
        <rFont val="FreeSans"/>
        <family val="2"/>
      </rPr>
      <t xml:space="preserve">واشر تخت </t>
    </r>
    <r>
      <rPr>
        <sz val="10"/>
        <rFont val="Vazirmatn"/>
        <family val="0"/>
        <charset val="1"/>
      </rPr>
      <t xml:space="preserve">M10 S.S</t>
    </r>
  </si>
  <si>
    <t xml:space="preserve">31261154</t>
  </si>
  <si>
    <r>
      <rPr>
        <sz val="10"/>
        <rFont val="FreeSans"/>
        <family val="2"/>
      </rPr>
      <t xml:space="preserve">واشر تخت آهنی                </t>
    </r>
    <r>
      <rPr>
        <sz val="10"/>
        <rFont val="Vazirmatn"/>
        <family val="0"/>
        <charset val="1"/>
      </rPr>
      <t xml:space="preserve">MM  4</t>
    </r>
  </si>
  <si>
    <t xml:space="preserve">4014975</t>
  </si>
  <si>
    <r>
      <rPr>
        <sz val="10"/>
        <rFont val="FreeSans"/>
        <family val="2"/>
      </rPr>
      <t xml:space="preserve">واشر تخت </t>
    </r>
    <r>
      <rPr>
        <sz val="10"/>
        <rFont val="Vazirmatn"/>
        <family val="0"/>
        <charset val="1"/>
      </rPr>
      <t xml:space="preserve">M4 S.S</t>
    </r>
  </si>
  <si>
    <t xml:space="preserve">31261155</t>
  </si>
  <si>
    <r>
      <rPr>
        <sz val="10"/>
        <rFont val="FreeSans"/>
        <family val="2"/>
      </rPr>
      <t xml:space="preserve">واشر تخت آهنی                </t>
    </r>
    <r>
      <rPr>
        <sz val="10"/>
        <rFont val="Vazirmatn"/>
        <family val="0"/>
        <charset val="1"/>
      </rPr>
      <t xml:space="preserve">MM12</t>
    </r>
  </si>
  <si>
    <t xml:space="preserve">4008995</t>
  </si>
  <si>
    <r>
      <rPr>
        <sz val="10"/>
        <rFont val="FreeSans"/>
        <family val="2"/>
      </rPr>
      <t xml:space="preserve">واشر  تخت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استیل</t>
    </r>
  </si>
  <si>
    <t xml:space="preserve">31261156</t>
  </si>
  <si>
    <r>
      <rPr>
        <sz val="10"/>
        <rFont val="FreeSans"/>
        <family val="2"/>
      </rPr>
      <t xml:space="preserve">واشر تخت استیل               </t>
    </r>
    <r>
      <rPr>
        <sz val="10"/>
        <rFont val="Vazirmatn"/>
        <family val="0"/>
        <charset val="1"/>
      </rPr>
      <t xml:space="preserve">MM  8</t>
    </r>
  </si>
  <si>
    <t xml:space="preserve">31261203</t>
  </si>
  <si>
    <r>
      <rPr>
        <sz val="10"/>
        <rFont val="FreeSans"/>
        <family val="2"/>
      </rPr>
      <t xml:space="preserve">واشر تخت  استیل            </t>
    </r>
    <r>
      <rPr>
        <sz val="10"/>
        <rFont val="Vazirmatn"/>
        <family val="0"/>
        <charset val="1"/>
      </rPr>
      <t xml:space="preserve">16 MM</t>
    </r>
  </si>
  <si>
    <t xml:space="preserve">31261211</t>
  </si>
  <si>
    <r>
      <rPr>
        <sz val="10"/>
        <rFont val="FreeSans"/>
        <family val="2"/>
      </rPr>
      <t xml:space="preserve">واشر تخت استیل               </t>
    </r>
    <r>
      <rPr>
        <sz val="10"/>
        <rFont val="Vazirmatn"/>
        <family val="0"/>
        <charset val="1"/>
      </rPr>
      <t xml:space="preserve">6  MM</t>
    </r>
  </si>
  <si>
    <t xml:space="preserve">31261214</t>
  </si>
  <si>
    <r>
      <rPr>
        <sz val="10"/>
        <rFont val="FreeSans"/>
        <family val="2"/>
      </rPr>
      <t xml:space="preserve">واشر تخت استیل            </t>
    </r>
    <r>
      <rPr>
        <sz val="10"/>
        <rFont val="Vazirmatn"/>
        <family val="0"/>
        <charset val="1"/>
      </rPr>
      <t xml:space="preserve">20   MM</t>
    </r>
  </si>
  <si>
    <t xml:space="preserve">31261215</t>
  </si>
  <si>
    <r>
      <rPr>
        <sz val="10"/>
        <rFont val="FreeSans"/>
        <family val="2"/>
      </rPr>
      <t xml:space="preserve">واشر تخت  استیل            </t>
    </r>
    <r>
      <rPr>
        <sz val="10"/>
        <rFont val="Vazirmatn"/>
        <family val="0"/>
        <charset val="1"/>
      </rPr>
      <t xml:space="preserve">10  MM</t>
    </r>
  </si>
  <si>
    <t xml:space="preserve">31261220</t>
  </si>
  <si>
    <r>
      <rPr>
        <sz val="10"/>
        <rFont val="FreeSans"/>
        <family val="2"/>
      </rPr>
      <t xml:space="preserve">واشر تخت استیل             </t>
    </r>
    <r>
      <rPr>
        <sz val="10"/>
        <rFont val="Vazirmatn"/>
        <family val="0"/>
        <charset val="1"/>
      </rPr>
      <t xml:space="preserve">MM  14</t>
    </r>
  </si>
  <si>
    <t xml:space="preserve">4027073</t>
  </si>
  <si>
    <r>
      <rPr>
        <sz val="10"/>
        <rFont val="FreeSans"/>
        <family val="2"/>
      </rPr>
      <t xml:space="preserve">واشر تخت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14</t>
    </r>
  </si>
  <si>
    <t xml:space="preserve">31261222</t>
  </si>
  <si>
    <r>
      <rPr>
        <sz val="10"/>
        <rFont val="FreeSans"/>
        <family val="2"/>
      </rPr>
      <t xml:space="preserve">واشر تخت استیل دور بلند   </t>
    </r>
    <r>
      <rPr>
        <sz val="10"/>
        <rFont val="Vazirmatn"/>
        <family val="0"/>
        <charset val="1"/>
      </rPr>
      <t xml:space="preserve">MM  20</t>
    </r>
  </si>
  <si>
    <t xml:space="preserve">31261225</t>
  </si>
  <si>
    <r>
      <rPr>
        <sz val="10"/>
        <rFont val="FreeSans"/>
        <family val="2"/>
      </rPr>
      <t xml:space="preserve">واشر تخت </t>
    </r>
    <r>
      <rPr>
        <sz val="10"/>
        <rFont val="Vazirmatn"/>
        <family val="0"/>
        <charset val="1"/>
      </rPr>
      <t xml:space="preserve">18     ( ABS )</t>
    </r>
  </si>
  <si>
    <t xml:space="preserve">4008168</t>
  </si>
  <si>
    <r>
      <rPr>
        <sz val="10"/>
        <rFont val="FreeSans"/>
        <family val="2"/>
      </rPr>
      <t xml:space="preserve">واشر  تخت </t>
    </r>
    <r>
      <rPr>
        <sz val="10"/>
        <rFont val="Vazirmatn"/>
        <family val="0"/>
        <charset val="1"/>
      </rPr>
      <t xml:space="preserve">18 Galv.</t>
    </r>
  </si>
  <si>
    <t xml:space="preserve">31261258</t>
  </si>
  <si>
    <r>
      <rPr>
        <sz val="10"/>
        <rFont val="FreeSans"/>
        <family val="2"/>
      </rPr>
      <t xml:space="preserve">واشر صفحه مبدل  </t>
    </r>
    <r>
      <rPr>
        <sz val="10"/>
        <rFont val="Vazirmatn"/>
        <family val="0"/>
        <charset val="1"/>
      </rPr>
      <t xml:space="preserve">NT 50 X - CDS - 10</t>
    </r>
  </si>
  <si>
    <t xml:space="preserve">4027192</t>
  </si>
  <si>
    <r>
      <rPr>
        <sz val="10"/>
        <rFont val="FreeSans"/>
        <family val="2"/>
      </rPr>
      <t xml:space="preserve">واشر مبدل صفحه ای </t>
    </r>
    <r>
      <rPr>
        <sz val="10"/>
        <rFont val="Vazirmatn"/>
        <family val="0"/>
        <charset val="1"/>
      </rPr>
      <t xml:space="preserve">M10</t>
    </r>
  </si>
  <si>
    <t xml:space="preserve">31261351</t>
  </si>
  <si>
    <r>
      <rPr>
        <sz val="10"/>
        <rFont val="FreeSans"/>
        <family val="2"/>
      </rPr>
      <t xml:space="preserve">واشر لاستیکی مبدل </t>
    </r>
    <r>
      <rPr>
        <sz val="10"/>
        <rFont val="Vazirmatn"/>
        <family val="0"/>
        <charset val="1"/>
      </rPr>
      <t xml:space="preserve">AU5/HEPDM</t>
    </r>
  </si>
  <si>
    <t xml:space="preserve">31261361</t>
  </si>
  <si>
    <r>
      <rPr>
        <sz val="10"/>
        <rFont val="FreeSans"/>
        <family val="2"/>
      </rPr>
      <t xml:space="preserve">واشر لاستیکی         </t>
    </r>
    <r>
      <rPr>
        <sz val="10"/>
        <rFont val="Vazirmatn"/>
        <family val="0"/>
        <charset val="1"/>
      </rPr>
      <t xml:space="preserve">6*12*600</t>
    </r>
  </si>
  <si>
    <t xml:space="preserve">4027127</t>
  </si>
  <si>
    <r>
      <rPr>
        <sz val="10"/>
        <rFont val="FreeSans"/>
        <family val="2"/>
      </rPr>
      <t xml:space="preserve">واشر لاستیکی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اینچ</t>
    </r>
  </si>
  <si>
    <t xml:space="preserve">31261406</t>
  </si>
  <si>
    <r>
      <rPr>
        <sz val="10"/>
        <rFont val="FreeSans"/>
        <family val="2"/>
      </rPr>
      <t xml:space="preserve">واشر لاستیکی آببندی فیلتر شربت </t>
    </r>
    <r>
      <rPr>
        <sz val="10"/>
        <rFont val="Vazirmatn"/>
        <family val="0"/>
        <charset val="1"/>
      </rPr>
      <t xml:space="preserve">8mm  -   600</t>
    </r>
  </si>
  <si>
    <t xml:space="preserve">4035706</t>
  </si>
  <si>
    <r>
      <rPr>
        <sz val="10"/>
        <rFont val="FreeSans"/>
        <family val="2"/>
      </rPr>
      <t xml:space="preserve">واشر لاستیکی </t>
    </r>
    <r>
      <rPr>
        <sz val="10"/>
        <rFont val="Vazirmatn"/>
        <family val="0"/>
        <charset val="1"/>
      </rPr>
      <t xml:space="preserve">8MM</t>
    </r>
  </si>
  <si>
    <t xml:space="preserve">31261442</t>
  </si>
  <si>
    <r>
      <rPr>
        <sz val="10"/>
        <rFont val="FreeSans"/>
        <family val="2"/>
      </rPr>
      <t xml:space="preserve">واشر لاستیکی  آبنما               </t>
    </r>
    <r>
      <rPr>
        <sz val="10"/>
        <rFont val="Vazirmatn"/>
        <family val="0"/>
        <charset val="1"/>
      </rPr>
      <t xml:space="preserve">" 6</t>
    </r>
  </si>
  <si>
    <t xml:space="preserve">31261443</t>
  </si>
  <si>
    <r>
      <rPr>
        <sz val="10"/>
        <rFont val="FreeSans"/>
        <family val="2"/>
      </rPr>
      <t xml:space="preserve">واشر لاستیکی شیر آب مخلوط </t>
    </r>
    <r>
      <rPr>
        <sz val="10"/>
        <rFont val="Vazirmatn"/>
        <family val="0"/>
        <charset val="1"/>
      </rPr>
      <t xml:space="preserve">" 3/4</t>
    </r>
  </si>
  <si>
    <t xml:space="preserve">5012998</t>
  </si>
  <si>
    <r>
      <rPr>
        <sz val="10"/>
        <rFont val="FreeSans"/>
        <family val="2"/>
      </rPr>
      <t xml:space="preserve">واشر لاستیکی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</si>
  <si>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31261445</t>
  </si>
  <si>
    <r>
      <rPr>
        <sz val="10"/>
        <rFont val="FreeSans"/>
        <family val="2"/>
      </rPr>
      <t xml:space="preserve">واشر لاستیکی شیر آب مخلوط  </t>
    </r>
    <r>
      <rPr>
        <sz val="10"/>
        <rFont val="Vazirmatn"/>
        <family val="0"/>
        <charset val="1"/>
      </rPr>
      <t xml:space="preserve">" 1/2</t>
    </r>
  </si>
  <si>
    <t xml:space="preserve">5012997</t>
  </si>
  <si>
    <r>
      <rPr>
        <sz val="10"/>
        <rFont val="FreeSans"/>
        <family val="2"/>
      </rPr>
      <t xml:space="preserve">واشر لاستیکی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</si>
  <si>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31261447</t>
  </si>
  <si>
    <t xml:space="preserve">واشر    لاستیکی</t>
  </si>
  <si>
    <t xml:space="preserve">31261449</t>
  </si>
  <si>
    <t xml:space="preserve">واشر      لاستیکی</t>
  </si>
  <si>
    <t xml:space="preserve">31261451</t>
  </si>
  <si>
    <r>
      <rPr>
        <sz val="10"/>
        <rFont val="FreeSans"/>
        <family val="2"/>
      </rPr>
      <t xml:space="preserve">واشر سیلیکونی   </t>
    </r>
    <r>
      <rPr>
        <sz val="10"/>
        <rFont val="Vazirmatn"/>
        <family val="0"/>
        <charset val="1"/>
      </rPr>
      <t xml:space="preserve">" 3</t>
    </r>
  </si>
  <si>
    <t xml:space="preserve">4031953</t>
  </si>
  <si>
    <r>
      <rPr>
        <sz val="10"/>
        <rFont val="FreeSans"/>
        <family val="2"/>
      </rPr>
      <t xml:space="preserve">واشر گسگت سیلیکونی </t>
    </r>
    <r>
      <rPr>
        <sz val="10"/>
        <rFont val="Vazirmatn"/>
        <family val="0"/>
        <charset val="1"/>
      </rPr>
      <t xml:space="preserve">3*60*30</t>
    </r>
  </si>
  <si>
    <t xml:space="preserve">31261454</t>
  </si>
  <si>
    <r>
      <rPr>
        <sz val="10"/>
        <rFont val="FreeSans"/>
        <family val="2"/>
      </rPr>
      <t xml:space="preserve">واشر لاستیکی     </t>
    </r>
    <r>
      <rPr>
        <sz val="10"/>
        <rFont val="Vazirmatn"/>
        <family val="0"/>
        <charset val="1"/>
      </rPr>
      <t xml:space="preserve">DL-4P2S</t>
    </r>
  </si>
  <si>
    <t xml:space="preserve">31261455</t>
  </si>
  <si>
    <r>
      <rPr>
        <sz val="10"/>
        <rFont val="FreeSans"/>
        <family val="2"/>
      </rPr>
      <t xml:space="preserve">واشر لاستیکی      </t>
    </r>
    <r>
      <rPr>
        <sz val="10"/>
        <rFont val="Vazirmatn"/>
        <family val="0"/>
        <charset val="1"/>
      </rPr>
      <t xml:space="preserve">TL   22*500</t>
    </r>
  </si>
  <si>
    <t xml:space="preserve">4027059</t>
  </si>
  <si>
    <r>
      <rPr>
        <sz val="10"/>
        <rFont val="FreeSans"/>
        <family val="2"/>
      </rPr>
      <t xml:space="preserve">واشرگسگت تفلونی  </t>
    </r>
    <r>
      <rPr>
        <sz val="10"/>
        <rFont val="Vazirmatn"/>
        <family val="0"/>
        <charset val="1"/>
      </rPr>
      <t xml:space="preserve">TL(0) 22*500 TOP Gasket</t>
    </r>
  </si>
  <si>
    <t xml:space="preserve">31261471</t>
  </si>
  <si>
    <t xml:space="preserve">واشر  لاستیکی</t>
  </si>
  <si>
    <t xml:space="preserve">31261474</t>
  </si>
  <si>
    <r>
      <rPr>
        <sz val="10"/>
        <rFont val="FreeSans"/>
        <family val="2"/>
      </rPr>
      <t xml:space="preserve">واشر سیلیکونی </t>
    </r>
    <r>
      <rPr>
        <sz val="10"/>
        <rFont val="Vazirmatn"/>
        <family val="0"/>
        <charset val="1"/>
      </rPr>
      <t xml:space="preserve">12 * 6 * 600</t>
    </r>
  </si>
  <si>
    <t xml:space="preserve">4027157</t>
  </si>
  <si>
    <r>
      <rPr>
        <sz val="10"/>
        <rFont val="FreeSans"/>
        <family val="2"/>
      </rPr>
      <t xml:space="preserve">واشر گسگت سیلیکونی </t>
    </r>
    <r>
      <rPr>
        <sz val="10"/>
        <rFont val="Vazirmatn"/>
        <family val="0"/>
        <charset val="1"/>
      </rPr>
      <t xml:space="preserve">12*6*600 </t>
    </r>
    <r>
      <rPr>
        <sz val="10"/>
        <rFont val="FreeSans"/>
        <family val="2"/>
      </rPr>
      <t xml:space="preserve">میلیمتر</t>
    </r>
  </si>
  <si>
    <t xml:space="preserve">31261476</t>
  </si>
  <si>
    <r>
      <rPr>
        <sz val="10"/>
        <rFont val="FreeSans"/>
        <family val="2"/>
      </rPr>
      <t xml:space="preserve">واشر سیلیکونی </t>
    </r>
    <r>
      <rPr>
        <sz val="10"/>
        <rFont val="Vazirmatn"/>
        <family val="0"/>
        <charset val="1"/>
      </rPr>
      <t xml:space="preserve">14 * 10 * 1200</t>
    </r>
  </si>
  <si>
    <t xml:space="preserve">5024527</t>
  </si>
  <si>
    <r>
      <rPr>
        <sz val="10"/>
        <rFont val="FreeSans"/>
        <family val="2"/>
      </rPr>
      <t xml:space="preserve">واشر گسکت سیلیکونی </t>
    </r>
    <r>
      <rPr>
        <sz val="10"/>
        <rFont val="Vazirmatn"/>
        <family val="0"/>
        <charset val="1"/>
      </rPr>
      <t xml:space="preserve">10in</t>
    </r>
  </si>
  <si>
    <t xml:space="preserve">31261478</t>
  </si>
  <si>
    <r>
      <rPr>
        <sz val="10"/>
        <rFont val="FreeSans"/>
        <family val="2"/>
      </rPr>
      <t xml:space="preserve">واشر سیلیکونی </t>
    </r>
    <r>
      <rPr>
        <sz val="10"/>
        <rFont val="Vazirmatn"/>
        <family val="0"/>
        <charset val="1"/>
      </rPr>
      <t xml:space="preserve">12 * 6 * 500</t>
    </r>
  </si>
  <si>
    <t xml:space="preserve">4027156</t>
  </si>
  <si>
    <r>
      <rPr>
        <sz val="10"/>
        <rFont val="FreeSans"/>
        <family val="2"/>
      </rPr>
      <t xml:space="preserve">واشر گسگت سیلیکونی </t>
    </r>
    <r>
      <rPr>
        <sz val="10"/>
        <rFont val="Vazirmatn"/>
        <family val="0"/>
        <charset val="1"/>
      </rPr>
      <t xml:space="preserve">12*6*500 </t>
    </r>
    <r>
      <rPr>
        <sz val="10"/>
        <rFont val="FreeSans"/>
        <family val="2"/>
      </rPr>
      <t xml:space="preserve">میلیمتر</t>
    </r>
  </si>
  <si>
    <t xml:space="preserve">31261511</t>
  </si>
  <si>
    <r>
      <rPr>
        <sz val="10"/>
        <rFont val="FreeSans"/>
        <family val="2"/>
      </rPr>
      <t xml:space="preserve">واشر کلینگریت مبدل حرارتی استیپ   </t>
    </r>
    <r>
      <rPr>
        <sz val="10"/>
        <rFont val="Vazirmatn"/>
        <family val="0"/>
        <charset val="1"/>
      </rPr>
      <t xml:space="preserve">" 15</t>
    </r>
  </si>
  <si>
    <t xml:space="preserve">4060031</t>
  </si>
  <si>
    <r>
      <rPr>
        <sz val="10"/>
        <rFont val="FreeSans"/>
        <family val="2"/>
      </rPr>
      <t xml:space="preserve">واشر مبدل حرارتی </t>
    </r>
    <r>
      <rPr>
        <sz val="10"/>
        <rFont val="Vazirmatn"/>
        <family val="0"/>
        <charset val="1"/>
      </rPr>
      <t xml:space="preserve">SM-M15M</t>
    </r>
  </si>
  <si>
    <t xml:space="preserve">31261513</t>
  </si>
  <si>
    <r>
      <rPr>
        <sz val="10"/>
        <rFont val="FreeSans"/>
        <family val="2"/>
      </rPr>
      <t xml:space="preserve">واشر کلینگریت سیم دار   </t>
    </r>
    <r>
      <rPr>
        <sz val="10"/>
        <rFont val="Vazirmatn"/>
        <family val="0"/>
        <charset val="1"/>
      </rPr>
      <t xml:space="preserve">" 3/4</t>
    </r>
  </si>
  <si>
    <t xml:space="preserve">4031929</t>
  </si>
  <si>
    <r>
      <rPr>
        <sz val="10"/>
        <rFont val="FreeSans"/>
        <family val="2"/>
      </rPr>
      <t xml:space="preserve">واشر گرین گریت سیم دار 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</si>
  <si>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31261517</t>
  </si>
  <si>
    <r>
      <rPr>
        <sz val="10"/>
        <rFont val="FreeSans"/>
        <family val="2"/>
      </rPr>
      <t xml:space="preserve">واشر کلینگریت </t>
    </r>
    <r>
      <rPr>
        <sz val="10"/>
        <rFont val="Vazirmatn"/>
        <family val="0"/>
        <charset val="1"/>
      </rPr>
      <t xml:space="preserve">120*72    " 6</t>
    </r>
  </si>
  <si>
    <t xml:space="preserve">31261523</t>
  </si>
  <si>
    <r>
      <rPr>
        <sz val="10"/>
        <rFont val="FreeSans"/>
        <family val="2"/>
      </rPr>
      <t xml:space="preserve">واشر کلینگریت سیم دار   </t>
    </r>
    <r>
      <rPr>
        <sz val="10"/>
        <rFont val="Vazirmatn"/>
        <family val="0"/>
        <charset val="1"/>
      </rPr>
      <t xml:space="preserve">" 1/2  2</t>
    </r>
  </si>
  <si>
    <t xml:space="preserve">31261533</t>
  </si>
  <si>
    <r>
      <rPr>
        <sz val="10"/>
        <rFont val="FreeSans"/>
        <family val="2"/>
      </rPr>
      <t xml:space="preserve">واشر کلینگریت سیم دار   </t>
    </r>
    <r>
      <rPr>
        <sz val="10"/>
        <rFont val="Vazirmatn"/>
        <family val="0"/>
        <charset val="1"/>
      </rPr>
      <t xml:space="preserve">" 1/2  1</t>
    </r>
  </si>
  <si>
    <t xml:space="preserve">31261537</t>
  </si>
  <si>
    <r>
      <rPr>
        <sz val="10"/>
        <rFont val="FreeSans"/>
        <family val="2"/>
      </rPr>
      <t xml:space="preserve">واشر کلینگریت سیم دار    </t>
    </r>
    <r>
      <rPr>
        <sz val="10"/>
        <rFont val="Vazirmatn"/>
        <family val="0"/>
        <charset val="1"/>
      </rPr>
      <t xml:space="preserve">3mm     "3</t>
    </r>
  </si>
  <si>
    <t xml:space="preserve">5019966</t>
  </si>
  <si>
    <r>
      <rPr>
        <sz val="10"/>
        <rFont val="FreeSans"/>
        <family val="2"/>
      </rPr>
      <t xml:space="preserve">واشر</t>
    </r>
    <r>
      <rPr>
        <sz val="10"/>
        <rFont val="Vazirmatn"/>
        <family val="0"/>
        <charset val="1"/>
      </rPr>
      <t xml:space="preserve">-3in-</t>
    </r>
    <r>
      <rPr>
        <sz val="10"/>
        <rFont val="FreeSans"/>
        <family val="2"/>
      </rPr>
      <t xml:space="preserve">کلینگریت سیم دار</t>
    </r>
  </si>
  <si>
    <t xml:space="preserve">31261563</t>
  </si>
  <si>
    <r>
      <rPr>
        <sz val="10"/>
        <rFont val="FreeSans"/>
        <family val="2"/>
      </rPr>
      <t xml:space="preserve">واشر کلینگریت سیم دار    </t>
    </r>
    <r>
      <rPr>
        <sz val="10"/>
        <rFont val="Vazirmatn"/>
        <family val="0"/>
        <charset val="1"/>
      </rPr>
      <t xml:space="preserve">"8     3mm</t>
    </r>
  </si>
  <si>
    <t xml:space="preserve">31261594</t>
  </si>
  <si>
    <r>
      <rPr>
        <sz val="10"/>
        <rFont val="FreeSans"/>
        <family val="2"/>
      </rPr>
      <t xml:space="preserve">واشر کلینگریت   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</si>
  <si>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31261597</t>
  </si>
  <si>
    <r>
      <rPr>
        <sz val="10"/>
        <rFont val="FreeSans"/>
        <family val="2"/>
      </rPr>
      <t xml:space="preserve">واشر کلینگریت سیم دار     </t>
    </r>
    <r>
      <rPr>
        <sz val="10"/>
        <rFont val="Vazirmatn"/>
        <family val="0"/>
        <charset val="1"/>
      </rPr>
      <t xml:space="preserve">3mm      "10</t>
    </r>
  </si>
  <si>
    <t xml:space="preserve">31261602</t>
  </si>
  <si>
    <r>
      <rPr>
        <sz val="10"/>
        <rFont val="FreeSans"/>
        <family val="2"/>
      </rPr>
      <t xml:space="preserve">واشر  مسی  تخت             </t>
    </r>
    <r>
      <rPr>
        <sz val="10"/>
        <rFont val="Vazirmatn"/>
        <family val="0"/>
        <charset val="1"/>
      </rPr>
      <t xml:space="preserve">MM   6</t>
    </r>
  </si>
  <si>
    <t xml:space="preserve">31261604</t>
  </si>
  <si>
    <r>
      <rPr>
        <sz val="10"/>
        <rFont val="FreeSans"/>
        <family val="2"/>
      </rPr>
      <t xml:space="preserve">واشر مسی  تخت              </t>
    </r>
    <r>
      <rPr>
        <sz val="10"/>
        <rFont val="Vazirmatn"/>
        <family val="0"/>
        <charset val="1"/>
      </rPr>
      <t xml:space="preserve">MM   8</t>
    </r>
  </si>
  <si>
    <t xml:space="preserve">31261607</t>
  </si>
  <si>
    <r>
      <rPr>
        <sz val="10"/>
        <rFont val="FreeSans"/>
        <family val="2"/>
      </rPr>
      <t xml:space="preserve">واشر مسی تخت             </t>
    </r>
    <r>
      <rPr>
        <sz val="10"/>
        <rFont val="Vazirmatn"/>
        <family val="0"/>
        <charset val="1"/>
      </rPr>
      <t xml:space="preserve">22   MM</t>
    </r>
  </si>
  <si>
    <t xml:space="preserve">4027079</t>
  </si>
  <si>
    <r>
      <rPr>
        <sz val="10"/>
        <rFont val="FreeSans"/>
        <family val="2"/>
      </rPr>
      <t xml:space="preserve">واشر تخت سیاه نمره </t>
    </r>
    <r>
      <rPr>
        <sz val="10"/>
        <rFont val="Vazirmatn"/>
        <family val="0"/>
        <charset val="1"/>
      </rPr>
      <t xml:space="preserve">22</t>
    </r>
  </si>
  <si>
    <t xml:space="preserve">31261610</t>
  </si>
  <si>
    <r>
      <rPr>
        <sz val="10"/>
        <rFont val="FreeSans"/>
        <family val="2"/>
      </rPr>
      <t xml:space="preserve">واشر مسی  تخت             </t>
    </r>
    <r>
      <rPr>
        <sz val="10"/>
        <rFont val="Vazirmatn"/>
        <family val="0"/>
        <charset val="1"/>
      </rPr>
      <t xml:space="preserve">MM  14</t>
    </r>
  </si>
  <si>
    <t xml:space="preserve">4027076</t>
  </si>
  <si>
    <r>
      <rPr>
        <sz val="10"/>
        <rFont val="FreeSans"/>
        <family val="2"/>
      </rPr>
      <t xml:space="preserve">واشر تخت سیاه نمره </t>
    </r>
    <r>
      <rPr>
        <sz val="10"/>
        <rFont val="Vazirmatn"/>
        <family val="0"/>
        <charset val="1"/>
      </rPr>
      <t xml:space="preserve">14</t>
    </r>
  </si>
  <si>
    <t xml:space="preserve">31261612</t>
  </si>
  <si>
    <r>
      <rPr>
        <sz val="10"/>
        <rFont val="FreeSans"/>
        <family val="2"/>
      </rPr>
      <t xml:space="preserve">واشر مسی تخت              </t>
    </r>
    <r>
      <rPr>
        <sz val="10"/>
        <rFont val="Vazirmatn"/>
        <family val="0"/>
        <charset val="1"/>
      </rPr>
      <t xml:space="preserve">MM   16</t>
    </r>
  </si>
  <si>
    <t xml:space="preserve">5019392</t>
  </si>
  <si>
    <r>
      <rPr>
        <sz val="10"/>
        <rFont val="FreeSans"/>
        <family val="2"/>
      </rPr>
      <t xml:space="preserve">واشر تخت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مسی</t>
    </r>
    <r>
      <rPr>
        <sz val="10"/>
        <rFont val="Vazirmatn"/>
        <family val="0"/>
        <charset val="1"/>
      </rPr>
      <t xml:space="preserve">-16</t>
    </r>
  </si>
  <si>
    <t xml:space="preserve">31261626</t>
  </si>
  <si>
    <r>
      <rPr>
        <sz val="10"/>
        <rFont val="FreeSans"/>
        <family val="2"/>
      </rPr>
      <t xml:space="preserve">واشر تخت استیل دور پهن </t>
    </r>
    <r>
      <rPr>
        <sz val="10"/>
        <rFont val="Vazirmatn"/>
        <family val="0"/>
        <charset val="1"/>
      </rPr>
      <t xml:space="preserve">10</t>
    </r>
  </si>
  <si>
    <t xml:space="preserve">5021121</t>
  </si>
  <si>
    <r>
      <rPr>
        <sz val="10"/>
        <rFont val="FreeSans"/>
        <family val="2"/>
      </rPr>
      <t xml:space="preserve">واشر تخت دور پهن </t>
    </r>
    <r>
      <rPr>
        <sz val="10"/>
        <rFont val="Vazirmatn"/>
        <family val="0"/>
        <charset val="1"/>
      </rPr>
      <t xml:space="preserve">S.S316 M10</t>
    </r>
  </si>
  <si>
    <t xml:space="preserve">31261628</t>
  </si>
  <si>
    <r>
      <rPr>
        <sz val="10"/>
        <rFont val="FreeSans"/>
        <family val="2"/>
      </rPr>
      <t xml:space="preserve">واشر تخت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دور بلند </t>
    </r>
    <r>
      <rPr>
        <sz val="10"/>
        <rFont val="Vazirmatn"/>
        <family val="0"/>
        <charset val="1"/>
      </rPr>
      <t xml:space="preserve">Q 12</t>
    </r>
  </si>
  <si>
    <t xml:space="preserve">5012996</t>
  </si>
  <si>
    <r>
      <rPr>
        <sz val="10"/>
        <rFont val="FreeSans"/>
        <family val="2"/>
      </rPr>
      <t xml:space="preserve">واشر تخت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12</t>
    </r>
  </si>
  <si>
    <t xml:space="preserve">31261653</t>
  </si>
  <si>
    <r>
      <rPr>
        <sz val="10"/>
        <rFont val="FreeSans"/>
        <family val="2"/>
      </rPr>
      <t xml:space="preserve">واشر فنری آهنی               </t>
    </r>
    <r>
      <rPr>
        <sz val="10"/>
        <rFont val="Vazirmatn"/>
        <family val="0"/>
        <charset val="1"/>
      </rPr>
      <t xml:space="preserve">MM   6</t>
    </r>
  </si>
  <si>
    <t xml:space="preserve">4027112</t>
  </si>
  <si>
    <r>
      <rPr>
        <sz val="10"/>
        <rFont val="FreeSans"/>
        <family val="2"/>
      </rPr>
      <t xml:space="preserve">واشر فنری سیاه نمره </t>
    </r>
    <r>
      <rPr>
        <sz val="10"/>
        <rFont val="Vazirmatn"/>
        <family val="0"/>
        <charset val="1"/>
      </rPr>
      <t xml:space="preserve">6</t>
    </r>
  </si>
  <si>
    <t xml:space="preserve">31261654</t>
  </si>
  <si>
    <r>
      <rPr>
        <sz val="10"/>
        <rFont val="FreeSans"/>
        <family val="2"/>
      </rPr>
      <t xml:space="preserve">واشر فنری استیل              </t>
    </r>
    <r>
      <rPr>
        <sz val="10"/>
        <rFont val="Vazirmatn"/>
        <family val="0"/>
        <charset val="1"/>
      </rPr>
      <t xml:space="preserve">6   MM</t>
    </r>
  </si>
  <si>
    <t xml:space="preserve">4027109</t>
  </si>
  <si>
    <r>
      <rPr>
        <sz val="10"/>
        <rFont val="FreeSans"/>
        <family val="2"/>
      </rPr>
      <t xml:space="preserve">واشر فنری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6</t>
    </r>
  </si>
  <si>
    <t xml:space="preserve">31261655</t>
  </si>
  <si>
    <r>
      <rPr>
        <sz val="10"/>
        <rFont val="FreeSans"/>
        <family val="2"/>
      </rPr>
      <t xml:space="preserve">واشر فنری آهنی               </t>
    </r>
    <r>
      <rPr>
        <sz val="10"/>
        <rFont val="Vazirmatn"/>
        <family val="0"/>
        <charset val="1"/>
      </rPr>
      <t xml:space="preserve">MM   8</t>
    </r>
  </si>
  <si>
    <t xml:space="preserve">4036773</t>
  </si>
  <si>
    <r>
      <rPr>
        <sz val="10"/>
        <rFont val="FreeSans"/>
        <family val="2"/>
      </rPr>
      <t xml:space="preserve">واشر فنری استیل </t>
    </r>
    <r>
      <rPr>
        <sz val="10"/>
        <rFont val="Vazirmatn"/>
        <family val="0"/>
        <charset val="1"/>
      </rPr>
      <t xml:space="preserve">M8</t>
    </r>
  </si>
  <si>
    <t xml:space="preserve">31261656</t>
  </si>
  <si>
    <r>
      <rPr>
        <sz val="10"/>
        <rFont val="FreeSans"/>
        <family val="2"/>
      </rPr>
      <t xml:space="preserve">واشر فنری استیل              </t>
    </r>
    <r>
      <rPr>
        <sz val="10"/>
        <rFont val="Vazirmatn"/>
        <family val="0"/>
        <charset val="1"/>
      </rPr>
      <t xml:space="preserve">MM   8</t>
    </r>
  </si>
  <si>
    <t xml:space="preserve">31261657</t>
  </si>
  <si>
    <r>
      <rPr>
        <sz val="10"/>
        <rFont val="FreeSans"/>
        <family val="2"/>
      </rPr>
      <t xml:space="preserve">واشر فنری آهنی              </t>
    </r>
    <r>
      <rPr>
        <sz val="10"/>
        <rFont val="Vazirmatn"/>
        <family val="0"/>
        <charset val="1"/>
      </rPr>
      <t xml:space="preserve">10  MM</t>
    </r>
  </si>
  <si>
    <t xml:space="preserve">4008181</t>
  </si>
  <si>
    <r>
      <rPr>
        <sz val="10"/>
        <rFont val="FreeSans"/>
        <family val="2"/>
      </rPr>
      <t xml:space="preserve">واشر  فنري </t>
    </r>
    <r>
      <rPr>
        <sz val="10"/>
        <rFont val="Vazirmatn"/>
        <family val="0"/>
        <charset val="1"/>
      </rPr>
      <t xml:space="preserve">10 Galv.</t>
    </r>
  </si>
  <si>
    <t xml:space="preserve">31261658</t>
  </si>
  <si>
    <r>
      <rPr>
        <sz val="10"/>
        <rFont val="FreeSans"/>
        <family val="2"/>
      </rPr>
      <t xml:space="preserve">واشر فنری استیل            </t>
    </r>
    <r>
      <rPr>
        <sz val="10"/>
        <rFont val="Vazirmatn"/>
        <family val="0"/>
        <charset val="1"/>
      </rPr>
      <t xml:space="preserve">10   MM</t>
    </r>
  </si>
  <si>
    <t xml:space="preserve">4027110</t>
  </si>
  <si>
    <r>
      <rPr>
        <sz val="10"/>
        <rFont val="FreeSans"/>
        <family val="2"/>
      </rPr>
      <t xml:space="preserve">واشر فنری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10</t>
    </r>
  </si>
  <si>
    <t xml:space="preserve">31261661</t>
  </si>
  <si>
    <r>
      <rPr>
        <sz val="10"/>
        <rFont val="FreeSans"/>
        <family val="2"/>
      </rPr>
      <t xml:space="preserve">واشر فنری آهنی             </t>
    </r>
    <r>
      <rPr>
        <sz val="10"/>
        <rFont val="Vazirmatn"/>
        <family val="0"/>
        <charset val="1"/>
      </rPr>
      <t xml:space="preserve">12   MM</t>
    </r>
  </si>
  <si>
    <t xml:space="preserve">4019306</t>
  </si>
  <si>
    <r>
      <rPr>
        <sz val="10"/>
        <rFont val="FreeSans"/>
        <family val="2"/>
      </rPr>
      <t xml:space="preserve">واشر  فنری </t>
    </r>
    <r>
      <rPr>
        <sz val="10"/>
        <rFont val="Vazirmatn"/>
        <family val="0"/>
        <charset val="1"/>
      </rPr>
      <t xml:space="preserve">12  S.S</t>
    </r>
  </si>
  <si>
    <t xml:space="preserve">31261662</t>
  </si>
  <si>
    <r>
      <rPr>
        <sz val="10"/>
        <rFont val="FreeSans"/>
        <family val="2"/>
      </rPr>
      <t xml:space="preserve">واشر فنری استیل            </t>
    </r>
    <r>
      <rPr>
        <sz val="10"/>
        <rFont val="Vazirmatn"/>
        <family val="0"/>
        <charset val="1"/>
      </rPr>
      <t xml:space="preserve">MM  12</t>
    </r>
  </si>
  <si>
    <t xml:space="preserve">31261663</t>
  </si>
  <si>
    <r>
      <rPr>
        <sz val="10"/>
        <rFont val="FreeSans"/>
        <family val="2"/>
      </rPr>
      <t xml:space="preserve">واشر فنری آهنی              </t>
    </r>
    <r>
      <rPr>
        <sz val="10"/>
        <rFont val="Vazirmatn"/>
        <family val="0"/>
        <charset val="1"/>
      </rPr>
      <t xml:space="preserve">14  MM</t>
    </r>
  </si>
  <si>
    <t xml:space="preserve">4027114</t>
  </si>
  <si>
    <r>
      <rPr>
        <sz val="10"/>
        <rFont val="FreeSans"/>
        <family val="2"/>
      </rPr>
      <t xml:space="preserve">واشر فنری سیاه نمره </t>
    </r>
    <r>
      <rPr>
        <sz val="10"/>
        <rFont val="Vazirmatn"/>
        <family val="0"/>
        <charset val="1"/>
      </rPr>
      <t xml:space="preserve">14</t>
    </r>
  </si>
  <si>
    <t xml:space="preserve">31261665</t>
  </si>
  <si>
    <r>
      <rPr>
        <sz val="10"/>
        <rFont val="FreeSans"/>
        <family val="2"/>
      </rPr>
      <t xml:space="preserve">واشر فنری آهنی              </t>
    </r>
    <r>
      <rPr>
        <sz val="10"/>
        <rFont val="Vazirmatn"/>
        <family val="0"/>
        <charset val="1"/>
      </rPr>
      <t xml:space="preserve">16  MM</t>
    </r>
  </si>
  <si>
    <t xml:space="preserve">5019176</t>
  </si>
  <si>
    <r>
      <rPr>
        <sz val="10"/>
        <rFont val="FreeSans"/>
        <family val="2"/>
      </rPr>
      <t xml:space="preserve">واشر فنری</t>
    </r>
    <r>
      <rPr>
        <sz val="10"/>
        <rFont val="Vazirmatn"/>
        <family val="0"/>
        <charset val="1"/>
      </rPr>
      <t xml:space="preserve">-C.S-16</t>
    </r>
  </si>
  <si>
    <t xml:space="preserve">31261667</t>
  </si>
  <si>
    <r>
      <rPr>
        <sz val="10"/>
        <rFont val="FreeSans"/>
        <family val="2"/>
      </rPr>
      <t xml:space="preserve">واشر فنری آهنی              </t>
    </r>
    <r>
      <rPr>
        <sz val="10"/>
        <rFont val="Vazirmatn"/>
        <family val="0"/>
        <charset val="1"/>
      </rPr>
      <t xml:space="preserve">18  MM</t>
    </r>
  </si>
  <si>
    <t xml:space="preserve">5019175</t>
  </si>
  <si>
    <r>
      <rPr>
        <sz val="10"/>
        <rFont val="FreeSans"/>
        <family val="2"/>
      </rPr>
      <t xml:space="preserve">واشر فنری</t>
    </r>
    <r>
      <rPr>
        <sz val="10"/>
        <rFont val="Vazirmatn"/>
        <family val="0"/>
        <charset val="1"/>
      </rPr>
      <t xml:space="preserve">-C.S-18</t>
    </r>
  </si>
  <si>
    <t xml:space="preserve">31261668</t>
  </si>
  <si>
    <r>
      <rPr>
        <sz val="10"/>
        <rFont val="FreeSans"/>
        <family val="2"/>
      </rPr>
      <t xml:space="preserve">واشر فنری استیل             </t>
    </r>
    <r>
      <rPr>
        <sz val="10"/>
        <rFont val="Vazirmatn"/>
        <family val="0"/>
        <charset val="1"/>
      </rPr>
      <t xml:space="preserve">MM  16</t>
    </r>
  </si>
  <si>
    <t xml:space="preserve">4020526</t>
  </si>
  <si>
    <r>
      <rPr>
        <sz val="10"/>
        <rFont val="FreeSans"/>
        <family val="2"/>
      </rPr>
      <t xml:space="preserve">واشر  فنری </t>
    </r>
    <r>
      <rPr>
        <sz val="10"/>
        <rFont val="Vazirmatn"/>
        <family val="0"/>
        <charset val="1"/>
      </rPr>
      <t xml:space="preserve">16 S.S</t>
    </r>
  </si>
  <si>
    <t xml:space="preserve">31261669</t>
  </si>
  <si>
    <r>
      <rPr>
        <sz val="10"/>
        <rFont val="FreeSans"/>
        <family val="2"/>
      </rPr>
      <t xml:space="preserve">واشر فنری آهنی             </t>
    </r>
    <r>
      <rPr>
        <sz val="10"/>
        <rFont val="Vazirmatn"/>
        <family val="0"/>
        <charset val="1"/>
      </rPr>
      <t xml:space="preserve">MM   20</t>
    </r>
  </si>
  <si>
    <t xml:space="preserve">5019174</t>
  </si>
  <si>
    <r>
      <rPr>
        <sz val="10"/>
        <rFont val="FreeSans"/>
        <family val="2"/>
      </rPr>
      <t xml:space="preserve">واشر فنری</t>
    </r>
    <r>
      <rPr>
        <sz val="10"/>
        <rFont val="Vazirmatn"/>
        <family val="0"/>
        <charset val="1"/>
      </rPr>
      <t xml:space="preserve">-C.S-20</t>
    </r>
  </si>
  <si>
    <t xml:space="preserve">31261671</t>
  </si>
  <si>
    <r>
      <rPr>
        <sz val="10"/>
        <rFont val="FreeSans"/>
        <family val="2"/>
      </rPr>
      <t xml:space="preserve">واشر فنری آهنی              </t>
    </r>
    <r>
      <rPr>
        <sz val="10"/>
        <rFont val="Vazirmatn"/>
        <family val="0"/>
        <charset val="1"/>
      </rPr>
      <t xml:space="preserve">22 MM</t>
    </r>
  </si>
  <si>
    <t xml:space="preserve">5019177</t>
  </si>
  <si>
    <r>
      <rPr>
        <sz val="10"/>
        <rFont val="FreeSans"/>
        <family val="2"/>
      </rPr>
      <t xml:space="preserve">واشر فنری</t>
    </r>
    <r>
      <rPr>
        <sz val="10"/>
        <rFont val="Vazirmatn"/>
        <family val="0"/>
        <charset val="1"/>
      </rPr>
      <t xml:space="preserve">-C.S-22</t>
    </r>
  </si>
  <si>
    <t xml:space="preserve">31261673</t>
  </si>
  <si>
    <r>
      <rPr>
        <sz val="10"/>
        <rFont val="FreeSans"/>
        <family val="2"/>
      </rPr>
      <t xml:space="preserve">واشر فنری آهنی             </t>
    </r>
    <r>
      <rPr>
        <sz val="10"/>
        <rFont val="Vazirmatn"/>
        <family val="0"/>
        <charset val="1"/>
      </rPr>
      <t xml:space="preserve">24  MM</t>
    </r>
  </si>
  <si>
    <t xml:space="preserve">4040369</t>
  </si>
  <si>
    <r>
      <rPr>
        <sz val="10"/>
        <rFont val="FreeSans"/>
        <family val="2"/>
      </rPr>
      <t xml:space="preserve">واشر فنری </t>
    </r>
    <r>
      <rPr>
        <sz val="10"/>
        <rFont val="Vazirmatn"/>
        <family val="0"/>
        <charset val="1"/>
      </rPr>
      <t xml:space="preserve">C.S M24</t>
    </r>
  </si>
  <si>
    <t xml:space="preserve">31261676</t>
  </si>
  <si>
    <r>
      <rPr>
        <sz val="10"/>
        <rFont val="FreeSans"/>
        <family val="2"/>
      </rPr>
      <t xml:space="preserve">واشر تخت آهنی               </t>
    </r>
    <r>
      <rPr>
        <sz val="10"/>
        <rFont val="Vazirmatn"/>
        <family val="0"/>
        <charset val="1"/>
      </rPr>
      <t xml:space="preserve">14 MM</t>
    </r>
  </si>
  <si>
    <t xml:space="preserve">31261677</t>
  </si>
  <si>
    <r>
      <rPr>
        <sz val="10"/>
        <rFont val="FreeSans"/>
        <family val="2"/>
      </rPr>
      <t xml:space="preserve">واشر فنری استیل           </t>
    </r>
    <r>
      <rPr>
        <sz val="10"/>
        <rFont val="Vazirmatn"/>
        <family val="0"/>
        <charset val="1"/>
      </rPr>
      <t xml:space="preserve">18  MM</t>
    </r>
  </si>
  <si>
    <t xml:space="preserve">4027111</t>
  </si>
  <si>
    <r>
      <rPr>
        <sz val="10"/>
        <rFont val="FreeSans"/>
        <family val="2"/>
      </rPr>
      <t xml:space="preserve">واشر فنری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18</t>
    </r>
  </si>
  <si>
    <t xml:space="preserve">31261679</t>
  </si>
  <si>
    <r>
      <rPr>
        <sz val="10"/>
        <rFont val="FreeSans"/>
        <family val="2"/>
      </rPr>
      <t xml:space="preserve">واشر فنری  استیل          </t>
    </r>
    <r>
      <rPr>
        <sz val="10"/>
        <rFont val="Vazirmatn"/>
        <family val="0"/>
        <charset val="1"/>
      </rPr>
      <t xml:space="preserve">22  MM</t>
    </r>
  </si>
  <si>
    <t xml:space="preserve">4027098</t>
  </si>
  <si>
    <r>
      <rPr>
        <sz val="10"/>
        <rFont val="FreeSans"/>
        <family val="2"/>
      </rPr>
      <t xml:space="preserve">واشر فنری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22</t>
    </r>
  </si>
  <si>
    <t xml:space="preserve">31261963</t>
  </si>
  <si>
    <r>
      <rPr>
        <sz val="10"/>
        <rFont val="FreeSans"/>
        <family val="2"/>
      </rPr>
      <t xml:space="preserve">واشر تخت                        </t>
    </r>
    <r>
      <rPr>
        <sz val="10"/>
        <rFont val="Vazirmatn"/>
        <family val="0"/>
        <charset val="1"/>
      </rPr>
      <t xml:space="preserve">24    MM</t>
    </r>
  </si>
  <si>
    <t xml:space="preserve">4017070</t>
  </si>
  <si>
    <r>
      <rPr>
        <sz val="10"/>
        <rFont val="FreeSans"/>
        <family val="2"/>
      </rPr>
      <t xml:space="preserve">واشر  تخت </t>
    </r>
    <r>
      <rPr>
        <sz val="10"/>
        <rFont val="Vazirmatn"/>
        <family val="0"/>
        <charset val="1"/>
      </rPr>
      <t xml:space="preserve">24 C.S</t>
    </r>
  </si>
  <si>
    <t xml:space="preserve">31261967</t>
  </si>
  <si>
    <r>
      <rPr>
        <sz val="10"/>
        <rFont val="FreeSans"/>
        <family val="2"/>
      </rPr>
      <t xml:space="preserve">واشر اسپیرال  </t>
    </r>
    <r>
      <rPr>
        <sz val="10"/>
        <rFont val="Vazirmatn"/>
        <family val="0"/>
        <charset val="1"/>
      </rPr>
      <t xml:space="preserve">" 1/2 1</t>
    </r>
  </si>
  <si>
    <t xml:space="preserve">4031947</t>
  </si>
  <si>
    <r>
      <rPr>
        <sz val="10"/>
        <rFont val="FreeSans"/>
        <family val="2"/>
      </rPr>
      <t xml:space="preserve">واشر گسگت اسپیرال 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</si>
  <si>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31261969</t>
  </si>
  <si>
    <r>
      <rPr>
        <sz val="10"/>
        <rFont val="FreeSans"/>
        <family val="2"/>
      </rPr>
      <t xml:space="preserve">واشر اسپیرال  </t>
    </r>
    <r>
      <rPr>
        <sz val="10"/>
        <rFont val="Vazirmatn"/>
        <family val="0"/>
        <charset val="1"/>
      </rPr>
      <t xml:space="preserve">" 2</t>
    </r>
  </si>
  <si>
    <t xml:space="preserve">4027060</t>
  </si>
  <si>
    <r>
      <rPr>
        <sz val="10"/>
        <rFont val="FreeSans"/>
        <family val="2"/>
      </rPr>
      <t xml:space="preserve">واشر گسگت اسپیرال 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</si>
  <si>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31261970</t>
  </si>
  <si>
    <r>
      <rPr>
        <sz val="10"/>
        <rFont val="FreeSans"/>
        <family val="2"/>
      </rPr>
      <t xml:space="preserve">واشر اسپیرال  </t>
    </r>
    <r>
      <rPr>
        <sz val="10"/>
        <rFont val="Vazirmatn"/>
        <family val="0"/>
        <charset val="1"/>
      </rPr>
      <t xml:space="preserve">" 1/2 2</t>
    </r>
  </si>
  <si>
    <t xml:space="preserve">4027061</t>
  </si>
  <si>
    <r>
      <rPr>
        <sz val="10"/>
        <rFont val="FreeSans"/>
        <family val="2"/>
      </rPr>
      <t xml:space="preserve">واشر گسگت اسپیرال 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</si>
  <si>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31261973</t>
  </si>
  <si>
    <r>
      <rPr>
        <sz val="10"/>
        <rFont val="FreeSans"/>
        <family val="2"/>
      </rPr>
      <t xml:space="preserve">واشر اسپیرال  </t>
    </r>
    <r>
      <rPr>
        <sz val="10"/>
        <rFont val="Vazirmatn"/>
        <family val="0"/>
        <charset val="1"/>
      </rPr>
      <t xml:space="preserve">" 3</t>
    </r>
  </si>
  <si>
    <t xml:space="preserve">4027062</t>
  </si>
  <si>
    <r>
      <rPr>
        <sz val="10"/>
        <rFont val="FreeSans"/>
        <family val="2"/>
      </rPr>
      <t xml:space="preserve">واشر گسگت اسپیرال 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- PN25</t>
    </r>
  </si>
  <si>
    <t xml:space="preserve">31261974</t>
  </si>
  <si>
    <r>
      <rPr>
        <sz val="10"/>
        <rFont val="FreeSans"/>
        <family val="2"/>
      </rPr>
      <t xml:space="preserve">واشر اسپیرال </t>
    </r>
    <r>
      <rPr>
        <sz val="10"/>
        <rFont val="Vazirmatn"/>
        <family val="0"/>
        <charset val="1"/>
      </rPr>
      <t xml:space="preserve">H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"5</t>
    </r>
  </si>
  <si>
    <t xml:space="preserve">4027064</t>
  </si>
  <si>
    <r>
      <rPr>
        <sz val="10"/>
        <rFont val="FreeSans"/>
        <family val="2"/>
      </rPr>
      <t xml:space="preserve">واشر گسگت اسپیرال سایز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- PN25</t>
    </r>
  </si>
  <si>
    <t xml:space="preserve">31261975</t>
  </si>
  <si>
    <r>
      <rPr>
        <sz val="10"/>
        <rFont val="FreeSans"/>
        <family val="2"/>
      </rPr>
      <t xml:space="preserve">واشر اسپیرال </t>
    </r>
    <r>
      <rPr>
        <sz val="10"/>
        <rFont val="Vazirmatn"/>
        <family val="0"/>
        <charset val="1"/>
      </rPr>
      <t xml:space="preserve">H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"4</t>
    </r>
  </si>
  <si>
    <t xml:space="preserve">4027063</t>
  </si>
  <si>
    <r>
      <rPr>
        <sz val="10"/>
        <rFont val="FreeSans"/>
        <family val="2"/>
      </rPr>
      <t xml:space="preserve">واشر گسگت اسپیرال 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</si>
  <si>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31261985</t>
  </si>
  <si>
    <r>
      <rPr>
        <sz val="10"/>
        <rFont val="FreeSans"/>
        <family val="2"/>
      </rPr>
      <t xml:space="preserve">واشر زیر مهره سگ دست به ضخامت </t>
    </r>
    <r>
      <rPr>
        <sz val="10"/>
        <rFont val="Vazirmatn"/>
        <family val="0"/>
        <charset val="1"/>
      </rPr>
      <t xml:space="preserve">( 4/5mm ) 9532623</t>
    </r>
  </si>
  <si>
    <t xml:space="preserve">5018387</t>
  </si>
  <si>
    <r>
      <rPr>
        <sz val="10"/>
        <rFont val="FreeSans"/>
        <family val="2"/>
      </rPr>
      <t xml:space="preserve">واشر زیر مهره سگدست </t>
    </r>
    <r>
      <rPr>
        <sz val="10"/>
        <rFont val="Vazirmatn"/>
        <family val="0"/>
        <charset val="1"/>
      </rPr>
      <t xml:space="preserve">4.5mm</t>
    </r>
  </si>
  <si>
    <t xml:space="preserve">31261987</t>
  </si>
  <si>
    <r>
      <rPr>
        <sz val="10"/>
        <rFont val="FreeSans"/>
        <family val="2"/>
      </rPr>
      <t xml:space="preserve">واشر اسپیرال  </t>
    </r>
    <r>
      <rPr>
        <sz val="10"/>
        <rFont val="Vazirmatn"/>
        <family val="0"/>
        <charset val="1"/>
      </rPr>
      <t xml:space="preserve">" 1</t>
    </r>
  </si>
  <si>
    <t xml:space="preserve">4031928</t>
  </si>
  <si>
    <r>
      <rPr>
        <sz val="10"/>
        <rFont val="FreeSans"/>
        <family val="2"/>
      </rPr>
      <t xml:space="preserve">واشر گسگت اسپیرال 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</si>
  <si>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31262119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</si>
  <si>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10mm * 5cm</t>
    </r>
  </si>
  <si>
    <t xml:space="preserve">4014784</t>
  </si>
  <si>
    <r>
      <rPr>
        <sz val="10"/>
        <rFont val="FreeSans"/>
        <family val="2"/>
      </rPr>
      <t xml:space="preserve">پيچ آلن </t>
    </r>
    <r>
      <rPr>
        <sz val="10"/>
        <rFont val="Vazirmatn"/>
        <family val="0"/>
        <charset val="1"/>
      </rPr>
      <t xml:space="preserve">M5*10S.S </t>
    </r>
    <r>
      <rPr>
        <sz val="10"/>
        <rFont val="FreeSans"/>
        <family val="2"/>
      </rPr>
      <t xml:space="preserve">تمام رزوه</t>
    </r>
  </si>
  <si>
    <t xml:space="preserve">31262153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</si>
  <si>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20mm * 7cm</t>
    </r>
  </si>
  <si>
    <t xml:space="preserve">4014800</t>
  </si>
  <si>
    <r>
      <rPr>
        <sz val="10"/>
        <rFont val="FreeSans"/>
        <family val="2"/>
      </rPr>
      <t xml:space="preserve">پيچ آلن </t>
    </r>
    <r>
      <rPr>
        <sz val="10"/>
        <rFont val="Vazirmatn"/>
        <family val="0"/>
        <charset val="1"/>
      </rPr>
      <t xml:space="preserve">M6*20S.S </t>
    </r>
    <r>
      <rPr>
        <sz val="10"/>
        <rFont val="FreeSans"/>
        <family val="2"/>
      </rPr>
      <t xml:space="preserve">تمام رزوه</t>
    </r>
  </si>
  <si>
    <t xml:space="preserve">31262158</t>
  </si>
  <si>
    <r>
      <rPr>
        <sz val="10"/>
        <rFont val="FreeSans"/>
        <family val="2"/>
      </rPr>
      <t xml:space="preserve">پیچ آهنی  دو سر رزوه   </t>
    </r>
    <r>
      <rPr>
        <sz val="10"/>
        <rFont val="Vazirmatn"/>
        <family val="0"/>
        <charset val="1"/>
      </rPr>
      <t xml:space="preserve">16mm * 8cm</t>
    </r>
  </si>
  <si>
    <t xml:space="preserve">4026789</t>
  </si>
  <si>
    <r>
      <rPr>
        <sz val="10"/>
        <rFont val="FreeSans"/>
        <family val="2"/>
      </rPr>
      <t xml:space="preserve">پیچ دو سر رزوه نمره </t>
    </r>
    <r>
      <rPr>
        <sz val="10"/>
        <rFont val="Vazirmatn"/>
        <family val="0"/>
        <charset val="1"/>
      </rPr>
      <t xml:space="preserve">8</t>
    </r>
  </si>
  <si>
    <t xml:space="preserve">31262225</t>
  </si>
  <si>
    <r>
      <rPr>
        <sz val="10"/>
        <rFont val="FreeSans"/>
        <family val="2"/>
      </rPr>
      <t xml:space="preserve">پیچ آلن                                </t>
    </r>
    <r>
      <rPr>
        <sz val="10"/>
        <rFont val="Vazirmatn"/>
        <family val="0"/>
        <charset val="1"/>
      </rPr>
      <t xml:space="preserve">MM    8</t>
    </r>
  </si>
  <si>
    <t xml:space="preserve">4014933</t>
  </si>
  <si>
    <r>
      <rPr>
        <sz val="10"/>
        <rFont val="FreeSans"/>
        <family val="2"/>
      </rPr>
      <t xml:space="preserve">پيچ آلن مغزي </t>
    </r>
    <r>
      <rPr>
        <sz val="10"/>
        <rFont val="Vazirmatn"/>
        <family val="0"/>
        <charset val="1"/>
      </rPr>
      <t xml:space="preserve">M8*10 C.S</t>
    </r>
  </si>
  <si>
    <t xml:space="preserve">31262286</t>
  </si>
  <si>
    <r>
      <rPr>
        <sz val="10"/>
        <rFont val="FreeSans"/>
        <family val="2"/>
      </rPr>
      <t xml:space="preserve">پیچ آلنی مغزی خور آهنی تمام رزوه         </t>
    </r>
    <r>
      <rPr>
        <sz val="10"/>
        <rFont val="Vazirmatn"/>
        <family val="0"/>
        <charset val="1"/>
      </rPr>
      <t xml:space="preserve">20*8</t>
    </r>
  </si>
  <si>
    <t xml:space="preserve">4009130</t>
  </si>
  <si>
    <r>
      <rPr>
        <sz val="10"/>
        <rFont val="FreeSans"/>
        <family val="2"/>
      </rPr>
      <t xml:space="preserve">پيچ آلن مغزي </t>
    </r>
    <r>
      <rPr>
        <sz val="10"/>
        <rFont val="Vazirmatn"/>
        <family val="0"/>
        <charset val="1"/>
      </rPr>
      <t xml:space="preserve">M8*20 C.S </t>
    </r>
    <r>
      <rPr>
        <sz val="10"/>
        <rFont val="FreeSans"/>
        <family val="2"/>
      </rPr>
      <t xml:space="preserve">تمام رزوه</t>
    </r>
  </si>
  <si>
    <t xml:space="preserve">31262300</t>
  </si>
  <si>
    <r>
      <rPr>
        <sz val="10"/>
        <rFont val="FreeSans"/>
        <family val="2"/>
      </rPr>
      <t xml:space="preserve">پیچ استیل  آچار خور تمام رزوه  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سانتی         </t>
    </r>
    <r>
      <rPr>
        <sz val="10"/>
        <rFont val="Vazirmatn"/>
        <family val="0"/>
        <charset val="1"/>
      </rPr>
      <t xml:space="preserve">20     MM</t>
    </r>
  </si>
  <si>
    <t xml:space="preserve">4013300</t>
  </si>
  <si>
    <r>
      <rPr>
        <sz val="10"/>
        <rFont val="FreeSans"/>
        <family val="2"/>
      </rPr>
      <t xml:space="preserve">پيچ آچارخور </t>
    </r>
    <r>
      <rPr>
        <sz val="10"/>
        <rFont val="Vazirmatn"/>
        <family val="0"/>
        <charset val="1"/>
      </rPr>
      <t xml:space="preserve">M8*20 S.S </t>
    </r>
    <r>
      <rPr>
        <sz val="10"/>
        <rFont val="FreeSans"/>
        <family val="2"/>
      </rPr>
      <t xml:space="preserve">تمام رزوه</t>
    </r>
  </si>
  <si>
    <t xml:space="preserve">31262309</t>
  </si>
  <si>
    <r>
      <rPr>
        <sz val="10"/>
        <rFont val="FreeSans"/>
        <family val="2"/>
      </rPr>
      <t xml:space="preserve">پیچ استیل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سانتی        </t>
    </r>
    <r>
      <rPr>
        <sz val="10"/>
        <rFont val="Vazirmatn"/>
        <family val="0"/>
        <charset val="1"/>
      </rPr>
      <t xml:space="preserve">20       MM</t>
    </r>
  </si>
  <si>
    <t xml:space="preserve">4020295</t>
  </si>
  <si>
    <r>
      <rPr>
        <sz val="10"/>
        <rFont val="FreeSans"/>
        <family val="2"/>
      </rPr>
      <t xml:space="preserve">پیچ متری </t>
    </r>
    <r>
      <rPr>
        <sz val="10"/>
        <rFont val="Vazirmatn"/>
        <family val="0"/>
        <charset val="1"/>
      </rPr>
      <t xml:space="preserve">M20 s.s</t>
    </r>
  </si>
  <si>
    <t xml:space="preserve">31262320</t>
  </si>
  <si>
    <r>
      <rPr>
        <sz val="10"/>
        <rFont val="FreeSans"/>
        <family val="2"/>
      </rPr>
      <t xml:space="preserve">پیچ استیل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سانتی        </t>
    </r>
    <r>
      <rPr>
        <sz val="10"/>
        <rFont val="Vazirmatn"/>
        <family val="0"/>
        <charset val="1"/>
      </rPr>
      <t xml:space="preserve">20    MM</t>
    </r>
  </si>
  <si>
    <t xml:space="preserve">4014870</t>
  </si>
  <si>
    <r>
      <rPr>
        <sz val="10"/>
        <rFont val="FreeSans"/>
        <family val="2"/>
      </rPr>
      <t xml:space="preserve">پيچ متري </t>
    </r>
    <r>
      <rPr>
        <sz val="10"/>
        <rFont val="Vazirmatn"/>
        <family val="0"/>
        <charset val="1"/>
      </rPr>
      <t xml:space="preserve">M12 s.s .</t>
    </r>
  </si>
  <si>
    <t xml:space="preserve">31262327</t>
  </si>
  <si>
    <r>
      <rPr>
        <sz val="10"/>
        <rFont val="FreeSans"/>
        <family val="2"/>
      </rPr>
      <t xml:space="preserve">پیچ  استیل    </t>
    </r>
    <r>
      <rPr>
        <sz val="10"/>
        <rFont val="Vazirmatn"/>
        <family val="0"/>
        <charset val="1"/>
      </rPr>
      <t xml:space="preserve">12</t>
    </r>
    <r>
      <rPr>
        <sz val="10"/>
        <rFont val="FreeSans"/>
        <family val="2"/>
      </rPr>
      <t xml:space="preserve">سانتی       </t>
    </r>
    <r>
      <rPr>
        <sz val="10"/>
        <rFont val="Vazirmatn"/>
        <family val="0"/>
        <charset val="1"/>
      </rPr>
      <t xml:space="preserve">10 MM</t>
    </r>
  </si>
  <si>
    <t xml:space="preserve">31262335</t>
  </si>
  <si>
    <r>
      <rPr>
        <sz val="10"/>
        <rFont val="FreeSans"/>
        <family val="2"/>
      </rPr>
      <t xml:space="preserve">پیچ استیل     </t>
    </r>
    <r>
      <rPr>
        <sz val="10"/>
        <rFont val="Vazirmatn"/>
        <family val="0"/>
        <charset val="1"/>
      </rPr>
      <t xml:space="preserve">12</t>
    </r>
    <r>
      <rPr>
        <sz val="10"/>
        <rFont val="FreeSans"/>
        <family val="2"/>
      </rPr>
      <t xml:space="preserve">سانتی      </t>
    </r>
    <r>
      <rPr>
        <sz val="10"/>
        <rFont val="Vazirmatn"/>
        <family val="0"/>
        <charset val="1"/>
      </rPr>
      <t xml:space="preserve">22  MM</t>
    </r>
  </si>
  <si>
    <t xml:space="preserve">4041266</t>
  </si>
  <si>
    <r>
      <rPr>
        <sz val="10"/>
        <rFont val="FreeSans"/>
        <family val="2"/>
      </rPr>
      <t xml:space="preserve">پیچ متری </t>
    </r>
    <r>
      <rPr>
        <sz val="10"/>
        <rFont val="Vazirmatn"/>
        <family val="0"/>
        <charset val="1"/>
      </rPr>
      <t xml:space="preserve">M22 S.S</t>
    </r>
  </si>
  <si>
    <t xml:space="preserve">31262341</t>
  </si>
  <si>
    <r>
      <rPr>
        <sz val="10"/>
        <rFont val="FreeSans"/>
        <family val="2"/>
      </rPr>
      <t xml:space="preserve">پیچ استیل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سانتی        </t>
    </r>
    <r>
      <rPr>
        <sz val="10"/>
        <rFont val="Vazirmatn"/>
        <family val="0"/>
        <charset val="1"/>
      </rPr>
      <t xml:space="preserve">16      MM</t>
    </r>
  </si>
  <si>
    <t xml:space="preserve">4020294</t>
  </si>
  <si>
    <r>
      <rPr>
        <sz val="10"/>
        <rFont val="FreeSans"/>
        <family val="2"/>
      </rPr>
      <t xml:space="preserve">پیچ متری </t>
    </r>
    <r>
      <rPr>
        <sz val="10"/>
        <rFont val="Vazirmatn"/>
        <family val="0"/>
        <charset val="1"/>
      </rPr>
      <t xml:space="preserve">M16 s.s</t>
    </r>
  </si>
  <si>
    <t xml:space="preserve">31262343</t>
  </si>
  <si>
    <r>
      <rPr>
        <sz val="10"/>
        <rFont val="FreeSans"/>
        <family val="2"/>
      </rPr>
      <t xml:space="preserve">پیچ استیل</t>
    </r>
    <r>
      <rPr>
        <sz val="10"/>
        <rFont val="Vazirmatn"/>
        <family val="0"/>
        <charset val="1"/>
      </rPr>
      <t xml:space="preserve">5</t>
    </r>
    <r>
      <rPr>
        <sz val="10"/>
        <rFont val="FreeSans"/>
        <family val="2"/>
      </rPr>
      <t xml:space="preserve">سانتی         </t>
    </r>
    <r>
      <rPr>
        <sz val="10"/>
        <rFont val="Vazirmatn"/>
        <family val="0"/>
        <charset val="1"/>
      </rPr>
      <t xml:space="preserve">18      MM</t>
    </r>
  </si>
  <si>
    <t xml:space="preserve">4026719</t>
  </si>
  <si>
    <r>
      <rPr>
        <sz val="10"/>
        <rFont val="FreeSans"/>
        <family val="2"/>
      </rPr>
      <t xml:space="preserve">پیچ متری استیل </t>
    </r>
    <r>
      <rPr>
        <sz val="10"/>
        <rFont val="Vazirmatn"/>
        <family val="0"/>
        <charset val="1"/>
      </rPr>
      <t xml:space="preserve">M18</t>
    </r>
  </si>
  <si>
    <t xml:space="preserve">31262344</t>
  </si>
  <si>
    <r>
      <rPr>
        <sz val="10"/>
        <rFont val="FreeSans"/>
        <family val="2"/>
      </rPr>
      <t xml:space="preserve">پیچ  استیل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سانتی       </t>
    </r>
    <r>
      <rPr>
        <sz val="10"/>
        <rFont val="Vazirmatn"/>
        <family val="0"/>
        <charset val="1"/>
      </rPr>
      <t xml:space="preserve">20      MM</t>
    </r>
  </si>
  <si>
    <t xml:space="preserve">31262348</t>
  </si>
  <si>
    <r>
      <rPr>
        <sz val="10"/>
        <rFont val="FreeSans"/>
        <family val="2"/>
      </rPr>
      <t xml:space="preserve">پیچ استیل اچار خور تمام رزوه  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سانتی         </t>
    </r>
    <r>
      <rPr>
        <sz val="10"/>
        <rFont val="Vazirmatn"/>
        <family val="0"/>
        <charset val="1"/>
      </rPr>
      <t xml:space="preserve">10 MM</t>
    </r>
  </si>
  <si>
    <t xml:space="preserve">4014755</t>
  </si>
  <si>
    <r>
      <rPr>
        <sz val="10"/>
        <rFont val="FreeSans"/>
        <family val="2"/>
      </rPr>
      <t xml:space="preserve">پيچ آچارخور </t>
    </r>
    <r>
      <rPr>
        <sz val="10"/>
        <rFont val="Vazirmatn"/>
        <family val="0"/>
        <charset val="1"/>
      </rPr>
      <t xml:space="preserve">M5*10 S.S </t>
    </r>
    <r>
      <rPr>
        <sz val="10"/>
        <rFont val="FreeSans"/>
        <family val="2"/>
      </rPr>
      <t xml:space="preserve">تمام رزوه</t>
    </r>
  </si>
  <si>
    <t xml:space="preserve">31262350</t>
  </si>
  <si>
    <r>
      <rPr>
        <sz val="10"/>
        <rFont val="FreeSans"/>
        <family val="2"/>
      </rPr>
      <t xml:space="preserve">پیچ استیل شش گوش تمام رزوه    </t>
    </r>
    <r>
      <rPr>
        <sz val="10"/>
        <rFont val="Vazirmatn"/>
        <family val="0"/>
        <charset val="1"/>
      </rPr>
      <t xml:space="preserve">60*10 </t>
    </r>
    <r>
      <rPr>
        <sz val="10"/>
        <rFont val="FreeSans"/>
        <family val="2"/>
      </rPr>
      <t xml:space="preserve">میلیمتر</t>
    </r>
  </si>
  <si>
    <t xml:space="preserve">4014749</t>
  </si>
  <si>
    <r>
      <rPr>
        <sz val="10"/>
        <rFont val="FreeSans"/>
        <family val="2"/>
      </rPr>
      <t xml:space="preserve">پيچ آچارخور </t>
    </r>
    <r>
      <rPr>
        <sz val="10"/>
        <rFont val="Vazirmatn"/>
        <family val="0"/>
        <charset val="1"/>
      </rPr>
      <t xml:space="preserve">M10*60S.S </t>
    </r>
    <r>
      <rPr>
        <sz val="10"/>
        <rFont val="FreeSans"/>
        <family val="2"/>
      </rPr>
      <t xml:space="preserve">تمام رزوه</t>
    </r>
  </si>
  <si>
    <t xml:space="preserve">31262361</t>
  </si>
  <si>
    <r>
      <rPr>
        <sz val="10"/>
        <rFont val="FreeSans"/>
        <family val="2"/>
      </rPr>
      <t xml:space="preserve">پیچ رولپلاک  </t>
    </r>
    <r>
      <rPr>
        <sz val="10"/>
        <rFont val="Vazirmatn"/>
        <family val="0"/>
        <charset val="1"/>
      </rPr>
      <t xml:space="preserve">4Cm</t>
    </r>
  </si>
  <si>
    <t xml:space="preserve">4023907</t>
  </si>
  <si>
    <r>
      <rPr>
        <sz val="10"/>
        <rFont val="FreeSans"/>
        <family val="2"/>
      </rPr>
      <t xml:space="preserve">پیچ رولپلاک نمره </t>
    </r>
    <r>
      <rPr>
        <sz val="10"/>
        <rFont val="Vazirmatn"/>
        <family val="0"/>
        <charset val="1"/>
      </rPr>
      <t xml:space="preserve">4</t>
    </r>
  </si>
  <si>
    <t xml:space="preserve">31262366</t>
  </si>
  <si>
    <r>
      <rPr>
        <sz val="10"/>
        <rFont val="FreeSans"/>
        <family val="2"/>
      </rPr>
      <t xml:space="preserve">پیچ رولپلاک  </t>
    </r>
    <r>
      <rPr>
        <sz val="10"/>
        <rFont val="Vazirmatn"/>
        <family val="0"/>
        <charset val="1"/>
      </rPr>
      <t xml:space="preserve">7mm</t>
    </r>
  </si>
  <si>
    <t xml:space="preserve">4026750</t>
  </si>
  <si>
    <r>
      <rPr>
        <sz val="10"/>
        <rFont val="FreeSans"/>
        <family val="2"/>
      </rPr>
      <t xml:space="preserve">پیچ رولپلاک نمره </t>
    </r>
    <r>
      <rPr>
        <sz val="10"/>
        <rFont val="Vazirmatn"/>
        <family val="0"/>
        <charset val="1"/>
      </rPr>
      <t xml:space="preserve">7</t>
    </r>
  </si>
  <si>
    <t xml:space="preserve">31262367</t>
  </si>
  <si>
    <r>
      <rPr>
        <sz val="10"/>
        <rFont val="FreeSans"/>
        <family val="2"/>
      </rPr>
      <t xml:space="preserve">پیچ رولپلاک  </t>
    </r>
    <r>
      <rPr>
        <sz val="10"/>
        <rFont val="Vazirmatn"/>
        <family val="0"/>
        <charset val="1"/>
      </rPr>
      <t xml:space="preserve">8mm</t>
    </r>
  </si>
  <si>
    <t xml:space="preserve">4026751</t>
  </si>
  <si>
    <r>
      <rPr>
        <sz val="10"/>
        <rFont val="FreeSans"/>
        <family val="2"/>
      </rPr>
      <t xml:space="preserve">پیچ رولپلاک نمره </t>
    </r>
    <r>
      <rPr>
        <sz val="10"/>
        <rFont val="Vazirmatn"/>
        <family val="0"/>
        <charset val="1"/>
      </rPr>
      <t xml:space="preserve">8</t>
    </r>
  </si>
  <si>
    <t xml:space="preserve">31262368</t>
  </si>
  <si>
    <r>
      <rPr>
        <sz val="10"/>
        <rFont val="FreeSans"/>
        <family val="2"/>
      </rPr>
      <t xml:space="preserve">پیچ رولپلاک  </t>
    </r>
    <r>
      <rPr>
        <sz val="10"/>
        <rFont val="Vazirmatn"/>
        <family val="0"/>
        <charset val="1"/>
      </rPr>
      <t xml:space="preserve">6mm</t>
    </r>
  </si>
  <si>
    <t xml:space="preserve">4020627</t>
  </si>
  <si>
    <r>
      <rPr>
        <sz val="10"/>
        <rFont val="FreeSans"/>
        <family val="2"/>
      </rPr>
      <t xml:space="preserve">پیچ رولپلاک </t>
    </r>
    <r>
      <rPr>
        <sz val="10"/>
        <rFont val="Vazirmatn"/>
        <family val="0"/>
        <charset val="1"/>
      </rPr>
      <t xml:space="preserve">mm50*6</t>
    </r>
  </si>
  <si>
    <t xml:space="preserve">31262377</t>
  </si>
  <si>
    <r>
      <rPr>
        <sz val="10"/>
        <rFont val="FreeSans"/>
        <family val="2"/>
      </rPr>
      <t xml:space="preserve">پیچ رولپلاک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سانتی    </t>
    </r>
    <r>
      <rPr>
        <sz val="10"/>
        <rFont val="Vazirmatn"/>
        <family val="0"/>
        <charset val="1"/>
      </rPr>
      <t xml:space="preserve">4mm</t>
    </r>
  </si>
  <si>
    <t xml:space="preserve">31262381</t>
  </si>
  <si>
    <r>
      <rPr>
        <sz val="10"/>
        <rFont val="FreeSans"/>
        <family val="2"/>
      </rPr>
      <t xml:space="preserve">پیچ آهنی متری      </t>
    </r>
    <r>
      <rPr>
        <sz val="10"/>
        <rFont val="Vazirmatn"/>
        <family val="0"/>
        <charset val="1"/>
      </rPr>
      <t xml:space="preserve">8</t>
    </r>
  </si>
  <si>
    <t xml:space="preserve">4026716</t>
  </si>
  <si>
    <r>
      <rPr>
        <sz val="10"/>
        <rFont val="FreeSans"/>
        <family val="2"/>
      </rPr>
      <t xml:space="preserve">پیچ متری سیاه نمره </t>
    </r>
    <r>
      <rPr>
        <sz val="10"/>
        <rFont val="Vazirmatn"/>
        <family val="0"/>
        <charset val="1"/>
      </rPr>
      <t xml:space="preserve">8</t>
    </r>
  </si>
  <si>
    <t xml:space="preserve">31262382</t>
  </si>
  <si>
    <r>
      <rPr>
        <sz val="10"/>
        <rFont val="FreeSans"/>
        <family val="2"/>
      </rPr>
      <t xml:space="preserve">پیچ  استیل  متری            </t>
    </r>
    <r>
      <rPr>
        <sz val="10"/>
        <rFont val="Vazirmatn"/>
        <family val="0"/>
        <charset val="1"/>
      </rPr>
      <t xml:space="preserve">22    MM</t>
    </r>
  </si>
  <si>
    <t xml:space="preserve">31262388</t>
  </si>
  <si>
    <r>
      <rPr>
        <sz val="10"/>
        <rFont val="FreeSans"/>
        <family val="2"/>
      </rPr>
      <t xml:space="preserve">پیچ خودکار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سانتی     </t>
    </r>
    <r>
      <rPr>
        <sz val="10"/>
        <rFont val="Vazirmatn"/>
        <family val="0"/>
        <charset val="1"/>
      </rPr>
      <t xml:space="preserve">5mm</t>
    </r>
  </si>
  <si>
    <t xml:space="preserve">4026988</t>
  </si>
  <si>
    <r>
      <rPr>
        <sz val="10"/>
        <rFont val="FreeSans"/>
        <family val="2"/>
      </rPr>
      <t xml:space="preserve">پیچ خودکار </t>
    </r>
    <r>
      <rPr>
        <sz val="10"/>
        <rFont val="Vazirmatn"/>
        <family val="0"/>
        <charset val="1"/>
      </rPr>
      <t xml:space="preserve">MDF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6</t>
    </r>
  </si>
  <si>
    <t xml:space="preserve">31262426</t>
  </si>
  <si>
    <r>
      <rPr>
        <sz val="10"/>
        <rFont val="FreeSans"/>
        <family val="2"/>
      </rPr>
      <t xml:space="preserve">پیچ آهنی آلنی تمام رزوه  </t>
    </r>
    <r>
      <rPr>
        <sz val="10"/>
        <rFont val="Vazirmatn"/>
        <family val="0"/>
        <charset val="1"/>
      </rPr>
      <t xml:space="preserve">30 * 12</t>
    </r>
  </si>
  <si>
    <t xml:space="preserve">4014797</t>
  </si>
  <si>
    <r>
      <rPr>
        <sz val="10"/>
        <rFont val="FreeSans"/>
        <family val="2"/>
      </rPr>
      <t xml:space="preserve">پيچ آلن </t>
    </r>
    <r>
      <rPr>
        <sz val="10"/>
        <rFont val="Vazirmatn"/>
        <family val="0"/>
        <charset val="1"/>
      </rPr>
      <t xml:space="preserve">M12*30S.S </t>
    </r>
    <r>
      <rPr>
        <sz val="10"/>
        <rFont val="FreeSans"/>
        <family val="2"/>
      </rPr>
      <t xml:space="preserve">تمام رزوه</t>
    </r>
  </si>
  <si>
    <t xml:space="preserve">31262428</t>
  </si>
  <si>
    <r>
      <rPr>
        <sz val="10"/>
        <rFont val="FreeSans"/>
        <family val="2"/>
      </rPr>
      <t xml:space="preserve">پیچ پروانه ای  </t>
    </r>
    <r>
      <rPr>
        <sz val="10"/>
        <rFont val="Vazirmatn"/>
        <family val="0"/>
        <charset val="1"/>
      </rPr>
      <t xml:space="preserve">8cm</t>
    </r>
  </si>
  <si>
    <t xml:space="preserve">4026979</t>
  </si>
  <si>
    <t xml:space="preserve">پیچ پروانه ای</t>
  </si>
  <si>
    <t xml:space="preserve">31262438</t>
  </si>
  <si>
    <r>
      <rPr>
        <sz val="10"/>
        <rFont val="FreeSans"/>
        <family val="2"/>
      </rPr>
      <t xml:space="preserve">پیچ آهنی متری     </t>
    </r>
    <r>
      <rPr>
        <sz val="10"/>
        <rFont val="Vazirmatn"/>
        <family val="0"/>
        <charset val="1"/>
      </rPr>
      <t xml:space="preserve">10</t>
    </r>
  </si>
  <si>
    <t xml:space="preserve">4026715</t>
  </si>
  <si>
    <r>
      <rPr>
        <sz val="10"/>
        <rFont val="FreeSans"/>
        <family val="2"/>
      </rPr>
      <t xml:space="preserve">پیچ متری سیاه نمره </t>
    </r>
    <r>
      <rPr>
        <sz val="10"/>
        <rFont val="Vazirmatn"/>
        <family val="0"/>
        <charset val="1"/>
      </rPr>
      <t xml:space="preserve">10</t>
    </r>
  </si>
  <si>
    <t xml:space="preserve">31262500</t>
  </si>
  <si>
    <r>
      <rPr>
        <sz val="10"/>
        <rFont val="FreeSans"/>
        <family val="2"/>
      </rPr>
      <t xml:space="preserve">پیچ استیل </t>
    </r>
    <r>
      <rPr>
        <sz val="10"/>
        <rFont val="Vazirmatn"/>
        <family val="0"/>
        <charset val="1"/>
      </rPr>
      <t xml:space="preserve">304  M 12 * 35mm</t>
    </r>
  </si>
  <si>
    <t xml:space="preserve">31262582</t>
  </si>
  <si>
    <r>
      <rPr>
        <sz val="10"/>
        <rFont val="FreeSans"/>
        <family val="2"/>
      </rPr>
      <t xml:space="preserve">پیچ پانل  </t>
    </r>
    <r>
      <rPr>
        <sz val="10"/>
        <rFont val="Vazirmatn"/>
        <family val="0"/>
        <charset val="1"/>
      </rPr>
      <t xml:space="preserve">(tn 2/5 )</t>
    </r>
  </si>
  <si>
    <t xml:space="preserve">4026980</t>
  </si>
  <si>
    <r>
      <rPr>
        <sz val="10"/>
        <rFont val="FreeSans"/>
        <family val="2"/>
      </rPr>
      <t xml:space="preserve">پیچ پانل </t>
    </r>
    <r>
      <rPr>
        <sz val="10"/>
        <rFont val="Vazirmatn"/>
        <family val="0"/>
        <charset val="1"/>
      </rPr>
      <t xml:space="preserve">2/5 </t>
    </r>
    <r>
      <rPr>
        <sz val="10"/>
        <rFont val="FreeSans"/>
        <family val="2"/>
      </rPr>
      <t xml:space="preserve">سانتی</t>
    </r>
  </si>
  <si>
    <t xml:space="preserve">31262583</t>
  </si>
  <si>
    <r>
      <rPr>
        <sz val="10"/>
        <rFont val="FreeSans"/>
        <family val="2"/>
      </rPr>
      <t xml:space="preserve">پیچ سازه سرمته  </t>
    </r>
    <r>
      <rPr>
        <sz val="10"/>
        <rFont val="Vazirmatn"/>
        <family val="0"/>
        <charset val="1"/>
      </rPr>
      <t xml:space="preserve">(LB 9/5 )</t>
    </r>
  </si>
  <si>
    <t xml:space="preserve">5009727</t>
  </si>
  <si>
    <r>
      <rPr>
        <sz val="10"/>
        <rFont val="FreeSans"/>
        <family val="2"/>
      </rPr>
      <t xml:space="preserve">پیچ سازه سرمته</t>
    </r>
    <r>
      <rPr>
        <sz val="10"/>
        <rFont val="Vazirmatn"/>
        <family val="0"/>
        <charset val="1"/>
      </rPr>
      <t xml:space="preserve">mm 9.5*3.5</t>
    </r>
  </si>
  <si>
    <t xml:space="preserve">31262636</t>
  </si>
  <si>
    <t xml:space="preserve">پیچ پین چرخ دوخت</t>
  </si>
  <si>
    <t xml:space="preserve">4006683</t>
  </si>
  <si>
    <t xml:space="preserve">پيچ پايه دوخت چرخ دستي</t>
  </si>
  <si>
    <t xml:space="preserve">31262645</t>
  </si>
  <si>
    <r>
      <rPr>
        <sz val="10"/>
        <rFont val="FreeSans"/>
        <family val="2"/>
      </rPr>
      <t xml:space="preserve">پیچ آهنی آلنی تمام رزوه  </t>
    </r>
    <r>
      <rPr>
        <sz val="10"/>
        <rFont val="Vazirmatn"/>
        <family val="0"/>
        <charset val="1"/>
      </rPr>
      <t xml:space="preserve">50 * 14</t>
    </r>
  </si>
  <si>
    <t xml:space="preserve">4014814</t>
  </si>
  <si>
    <r>
      <rPr>
        <sz val="10"/>
        <rFont val="FreeSans"/>
        <family val="2"/>
      </rPr>
      <t xml:space="preserve">پيچ آلن </t>
    </r>
    <r>
      <rPr>
        <sz val="10"/>
        <rFont val="Vazirmatn"/>
        <family val="0"/>
        <charset val="1"/>
      </rPr>
      <t xml:space="preserve">M14*50S.S </t>
    </r>
    <r>
      <rPr>
        <sz val="10"/>
        <rFont val="FreeSans"/>
        <family val="2"/>
      </rPr>
      <t xml:space="preserve">تمام رزوه</t>
    </r>
  </si>
  <si>
    <t xml:space="preserve">31262658</t>
  </si>
  <si>
    <r>
      <rPr>
        <sz val="10"/>
        <rFont val="FreeSans"/>
        <family val="2"/>
      </rPr>
      <t xml:space="preserve">پیچ سرمته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سو </t>
    </r>
    <r>
      <rPr>
        <sz val="10"/>
        <rFont val="Vazirmatn"/>
        <family val="0"/>
        <charset val="1"/>
      </rPr>
      <t xml:space="preserve">( 5Cm )</t>
    </r>
  </si>
  <si>
    <t xml:space="preserve">4000447</t>
  </si>
  <si>
    <r>
      <rPr>
        <sz val="10"/>
        <rFont val="FreeSans"/>
        <family val="2"/>
      </rPr>
      <t xml:space="preserve">پیچ شیروانی سرمته </t>
    </r>
    <r>
      <rPr>
        <sz val="10"/>
        <rFont val="Vazirmatn"/>
        <family val="0"/>
        <charset val="1"/>
      </rPr>
      <t xml:space="preserve">4 cm</t>
    </r>
  </si>
  <si>
    <t xml:space="preserve">31263105</t>
  </si>
  <si>
    <r>
      <rPr>
        <sz val="10"/>
        <rFont val="FreeSans"/>
        <family val="2"/>
      </rPr>
      <t xml:space="preserve">مهره پروانه پمپ </t>
    </r>
    <r>
      <rPr>
        <sz val="10"/>
        <rFont val="Vazirmatn"/>
        <family val="0"/>
        <charset val="1"/>
      </rPr>
      <t xml:space="preserve">250 - 100 - 125 IHD</t>
    </r>
  </si>
  <si>
    <t xml:space="preserve">31263133</t>
  </si>
  <si>
    <r>
      <rPr>
        <sz val="10"/>
        <rFont val="FreeSans"/>
        <family val="2"/>
      </rPr>
      <t xml:space="preserve">مهره آهنی کاسه نمد دار    </t>
    </r>
    <r>
      <rPr>
        <sz val="10"/>
        <rFont val="Vazirmatn"/>
        <family val="0"/>
        <charset val="1"/>
      </rPr>
      <t xml:space="preserve">10mm</t>
    </r>
  </si>
  <si>
    <t xml:space="preserve">4008143</t>
  </si>
  <si>
    <r>
      <rPr>
        <sz val="10"/>
        <rFont val="FreeSans"/>
        <family val="2"/>
      </rPr>
      <t xml:space="preserve">مهره کاسه نمد دار </t>
    </r>
    <r>
      <rPr>
        <sz val="10"/>
        <rFont val="Vazirmatn"/>
        <family val="0"/>
        <charset val="1"/>
      </rPr>
      <t xml:space="preserve">M10 Galv.</t>
    </r>
  </si>
  <si>
    <t xml:space="preserve">31263145</t>
  </si>
  <si>
    <r>
      <rPr>
        <sz val="10"/>
        <rFont val="FreeSans"/>
        <family val="2"/>
      </rPr>
      <t xml:space="preserve">مهره قفل دار استیل </t>
    </r>
    <r>
      <rPr>
        <sz val="10"/>
        <rFont val="Vazirmatn"/>
        <family val="0"/>
        <charset val="1"/>
      </rPr>
      <t xml:space="preserve">304  M 12</t>
    </r>
  </si>
  <si>
    <t xml:space="preserve">4014956</t>
  </si>
  <si>
    <r>
      <rPr>
        <sz val="10"/>
        <rFont val="FreeSans"/>
        <family val="2"/>
      </rPr>
      <t xml:space="preserve">مهره کاسه نمد دار </t>
    </r>
    <r>
      <rPr>
        <sz val="10"/>
        <rFont val="Vazirmatn"/>
        <family val="0"/>
        <charset val="1"/>
      </rPr>
      <t xml:space="preserve">M12 S.S</t>
    </r>
  </si>
  <si>
    <t xml:space="preserve">31263166</t>
  </si>
  <si>
    <r>
      <rPr>
        <sz val="10"/>
        <rFont val="FreeSans"/>
        <family val="2"/>
      </rPr>
      <t xml:space="preserve">مهره گالوانیزه                   </t>
    </r>
    <r>
      <rPr>
        <sz val="10"/>
        <rFont val="Vazirmatn"/>
        <family val="0"/>
        <charset val="1"/>
      </rPr>
      <t xml:space="preserve">10  MM</t>
    </r>
  </si>
  <si>
    <t xml:space="preserve">5012989</t>
  </si>
  <si>
    <r>
      <rPr>
        <sz val="10"/>
        <rFont val="FreeSans"/>
        <family val="2"/>
      </rPr>
      <t xml:space="preserve">مهره گالوانیزه دنده ریز نمره </t>
    </r>
    <r>
      <rPr>
        <sz val="10"/>
        <rFont val="Vazirmatn"/>
        <family val="0"/>
        <charset val="1"/>
      </rPr>
      <t xml:space="preserve">10</t>
    </r>
  </si>
  <si>
    <t xml:space="preserve">31263170</t>
  </si>
  <si>
    <r>
      <rPr>
        <sz val="10"/>
        <rFont val="FreeSans"/>
        <family val="2"/>
      </rPr>
      <t xml:space="preserve">مهره گالوانیزه                   </t>
    </r>
    <r>
      <rPr>
        <sz val="10"/>
        <rFont val="Vazirmatn"/>
        <family val="0"/>
        <charset val="1"/>
      </rPr>
      <t xml:space="preserve">12  MM</t>
    </r>
  </si>
  <si>
    <t xml:space="preserve">4000221</t>
  </si>
  <si>
    <r>
      <rPr>
        <sz val="10"/>
        <rFont val="FreeSans"/>
        <family val="2"/>
      </rPr>
      <t xml:space="preserve">مهره گالوانيزه نمره </t>
    </r>
    <r>
      <rPr>
        <sz val="10"/>
        <rFont val="Vazirmatn"/>
        <family val="0"/>
        <charset val="1"/>
      </rPr>
      <t xml:space="preserve">12</t>
    </r>
  </si>
  <si>
    <t xml:space="preserve">31263205</t>
  </si>
  <si>
    <r>
      <rPr>
        <sz val="10"/>
        <rFont val="FreeSans"/>
        <family val="2"/>
      </rPr>
      <t xml:space="preserve">مهره استیل                       </t>
    </r>
    <r>
      <rPr>
        <sz val="10"/>
        <rFont val="Vazirmatn"/>
        <family val="0"/>
        <charset val="1"/>
      </rPr>
      <t xml:space="preserve">8      MM</t>
    </r>
  </si>
  <si>
    <t xml:space="preserve">5012990</t>
  </si>
  <si>
    <r>
      <rPr>
        <sz val="10"/>
        <rFont val="FreeSans"/>
        <family val="2"/>
      </rPr>
      <t xml:space="preserve">مهره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8</t>
    </r>
  </si>
  <si>
    <t xml:space="preserve">31263207</t>
  </si>
  <si>
    <r>
      <rPr>
        <sz val="10"/>
        <rFont val="FreeSans"/>
        <family val="2"/>
      </rPr>
      <t xml:space="preserve">مهره استیل                     </t>
    </r>
    <r>
      <rPr>
        <sz val="10"/>
        <rFont val="Vazirmatn"/>
        <family val="0"/>
        <charset val="1"/>
      </rPr>
      <t xml:space="preserve">10  MM</t>
    </r>
  </si>
  <si>
    <t xml:space="preserve">4009579</t>
  </si>
  <si>
    <r>
      <rPr>
        <sz val="10"/>
        <rFont val="FreeSans"/>
        <family val="2"/>
      </rPr>
      <t xml:space="preserve">مهره معمولی </t>
    </r>
    <r>
      <rPr>
        <sz val="10"/>
        <rFont val="Vazirmatn"/>
        <family val="0"/>
        <charset val="1"/>
      </rPr>
      <t xml:space="preserve">M10 S.S</t>
    </r>
  </si>
  <si>
    <t xml:space="preserve">31263209</t>
  </si>
  <si>
    <r>
      <rPr>
        <sz val="10"/>
        <rFont val="FreeSans"/>
        <family val="2"/>
      </rPr>
      <t xml:space="preserve">مهره استیل                     </t>
    </r>
    <r>
      <rPr>
        <sz val="10"/>
        <rFont val="Vazirmatn"/>
        <family val="0"/>
        <charset val="1"/>
      </rPr>
      <t xml:space="preserve">14      MM</t>
    </r>
  </si>
  <si>
    <t xml:space="preserve">4018655</t>
  </si>
  <si>
    <r>
      <rPr>
        <sz val="10"/>
        <rFont val="FreeSans"/>
        <family val="2"/>
      </rPr>
      <t xml:space="preserve">مهره معمولی </t>
    </r>
    <r>
      <rPr>
        <sz val="10"/>
        <rFont val="Vazirmatn"/>
        <family val="0"/>
        <charset val="1"/>
      </rPr>
      <t xml:space="preserve">M14 s.s</t>
    </r>
  </si>
  <si>
    <t xml:space="preserve">31263213</t>
  </si>
  <si>
    <r>
      <rPr>
        <sz val="10"/>
        <rFont val="FreeSans"/>
        <family val="2"/>
      </rPr>
      <t xml:space="preserve">مهره استیل                       </t>
    </r>
    <r>
      <rPr>
        <sz val="10"/>
        <rFont val="Vazirmatn"/>
        <family val="0"/>
        <charset val="1"/>
      </rPr>
      <t xml:space="preserve">4      MM</t>
    </r>
  </si>
  <si>
    <t xml:space="preserve">4027014</t>
  </si>
  <si>
    <r>
      <rPr>
        <sz val="10"/>
        <rFont val="FreeSans"/>
        <family val="2"/>
      </rPr>
      <t xml:space="preserve">مهره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4</t>
    </r>
  </si>
  <si>
    <t xml:space="preserve">31263214</t>
  </si>
  <si>
    <r>
      <rPr>
        <sz val="10"/>
        <rFont val="FreeSans"/>
        <family val="2"/>
      </rPr>
      <t xml:space="preserve">مهره استیل نمره </t>
    </r>
    <r>
      <rPr>
        <sz val="10"/>
        <rFont val="Vazirmatn"/>
        <family val="0"/>
        <charset val="1"/>
      </rPr>
      <t xml:space="preserve">5</t>
    </r>
  </si>
  <si>
    <t xml:space="preserve">4014952</t>
  </si>
  <si>
    <r>
      <rPr>
        <sz val="10"/>
        <rFont val="FreeSans"/>
        <family val="2"/>
      </rPr>
      <t xml:space="preserve">مهره معمولي </t>
    </r>
    <r>
      <rPr>
        <sz val="10"/>
        <rFont val="Vazirmatn"/>
        <family val="0"/>
        <charset val="1"/>
      </rPr>
      <t xml:space="preserve">M5 s.s</t>
    </r>
  </si>
  <si>
    <t xml:space="preserve">31263215</t>
  </si>
  <si>
    <r>
      <rPr>
        <sz val="10"/>
        <rFont val="FreeSans"/>
        <family val="2"/>
      </rPr>
      <t xml:space="preserve">مهره استیل                     </t>
    </r>
    <r>
      <rPr>
        <sz val="10"/>
        <rFont val="Vazirmatn"/>
        <family val="0"/>
        <charset val="1"/>
      </rPr>
      <t xml:space="preserve">12      MM</t>
    </r>
  </si>
  <si>
    <t xml:space="preserve">4008992</t>
  </si>
  <si>
    <r>
      <rPr>
        <sz val="10"/>
        <rFont val="FreeSans"/>
        <family val="2"/>
      </rPr>
      <t xml:space="preserve">مهره معمولی </t>
    </r>
    <r>
      <rPr>
        <sz val="10"/>
        <rFont val="Vazirmatn"/>
        <family val="0"/>
        <charset val="1"/>
      </rPr>
      <t xml:space="preserve">M12 s.s</t>
    </r>
  </si>
  <si>
    <t xml:space="preserve">31263219</t>
  </si>
  <si>
    <r>
      <rPr>
        <sz val="10"/>
        <rFont val="FreeSans"/>
        <family val="2"/>
      </rPr>
      <t xml:space="preserve">مهره استیل                     </t>
    </r>
    <r>
      <rPr>
        <sz val="10"/>
        <rFont val="Vazirmatn"/>
        <family val="0"/>
        <charset val="1"/>
      </rPr>
      <t xml:space="preserve">16      MM</t>
    </r>
  </si>
  <si>
    <t xml:space="preserve">4008993</t>
  </si>
  <si>
    <r>
      <rPr>
        <sz val="10"/>
        <rFont val="FreeSans"/>
        <family val="2"/>
      </rPr>
      <t xml:space="preserve">مهره معمولی </t>
    </r>
    <r>
      <rPr>
        <sz val="10"/>
        <rFont val="Vazirmatn"/>
        <family val="0"/>
        <charset val="1"/>
      </rPr>
      <t xml:space="preserve">M16 s.s</t>
    </r>
  </si>
  <si>
    <t xml:space="preserve">31263223</t>
  </si>
  <si>
    <r>
      <rPr>
        <sz val="10"/>
        <rFont val="FreeSans"/>
        <family val="2"/>
      </rPr>
      <t xml:space="preserve">مهره استیل               </t>
    </r>
    <r>
      <rPr>
        <sz val="10"/>
        <rFont val="Vazirmatn"/>
        <family val="0"/>
        <charset val="1"/>
      </rPr>
      <t xml:space="preserve">20         MM</t>
    </r>
  </si>
  <si>
    <t xml:space="preserve">4008994</t>
  </si>
  <si>
    <r>
      <rPr>
        <sz val="10"/>
        <rFont val="FreeSans"/>
        <family val="2"/>
      </rPr>
      <t xml:space="preserve">مهره معمولی </t>
    </r>
    <r>
      <rPr>
        <sz val="10"/>
        <rFont val="Vazirmatn"/>
        <family val="0"/>
        <charset val="1"/>
      </rPr>
      <t xml:space="preserve">M20 s.s</t>
    </r>
  </si>
  <si>
    <t xml:space="preserve">31263226</t>
  </si>
  <si>
    <r>
      <rPr>
        <sz val="10"/>
        <rFont val="FreeSans"/>
        <family val="2"/>
      </rPr>
      <t xml:space="preserve">مهره استیل کاسه نمد دار  </t>
    </r>
    <r>
      <rPr>
        <sz val="10"/>
        <rFont val="Vazirmatn"/>
        <family val="0"/>
        <charset val="1"/>
      </rPr>
      <t xml:space="preserve">16    MM</t>
    </r>
  </si>
  <si>
    <t xml:space="preserve">4027020</t>
  </si>
  <si>
    <r>
      <rPr>
        <sz val="10"/>
        <rFont val="FreeSans"/>
        <family val="2"/>
      </rPr>
      <t xml:space="preserve">مهره کاسه نمدی استیل نمره </t>
    </r>
    <r>
      <rPr>
        <sz val="10"/>
        <rFont val="Vazirmatn"/>
        <family val="0"/>
        <charset val="1"/>
      </rPr>
      <t xml:space="preserve">16</t>
    </r>
  </si>
  <si>
    <t xml:space="preserve">31263227</t>
  </si>
  <si>
    <r>
      <rPr>
        <sz val="10"/>
        <rFont val="FreeSans"/>
        <family val="2"/>
      </rPr>
      <t xml:space="preserve">مهره استیل                     </t>
    </r>
    <r>
      <rPr>
        <sz val="10"/>
        <rFont val="Vazirmatn"/>
        <family val="0"/>
        <charset val="1"/>
      </rPr>
      <t xml:space="preserve">12       MM</t>
    </r>
  </si>
  <si>
    <t xml:space="preserve">31263229</t>
  </si>
  <si>
    <r>
      <rPr>
        <sz val="10"/>
        <rFont val="FreeSans"/>
        <family val="2"/>
      </rPr>
      <t xml:space="preserve">مهره استیل                     </t>
    </r>
    <r>
      <rPr>
        <sz val="10"/>
        <rFont val="Vazirmatn"/>
        <family val="0"/>
        <charset val="1"/>
      </rPr>
      <t xml:space="preserve">22      MM</t>
    </r>
  </si>
  <si>
    <t xml:space="preserve">4027013</t>
  </si>
  <si>
    <r>
      <rPr>
        <sz val="10"/>
        <rFont val="FreeSans"/>
        <family val="2"/>
      </rPr>
      <t xml:space="preserve">مهره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22</t>
    </r>
  </si>
  <si>
    <t xml:space="preserve">31263231</t>
  </si>
  <si>
    <r>
      <rPr>
        <sz val="10"/>
        <rFont val="FreeSans"/>
        <family val="2"/>
      </rPr>
      <t xml:space="preserve">مهره استیل                     </t>
    </r>
    <r>
      <rPr>
        <sz val="10"/>
        <rFont val="Vazirmatn"/>
        <family val="0"/>
        <charset val="1"/>
      </rPr>
      <t xml:space="preserve">20      MM</t>
    </r>
  </si>
  <si>
    <t xml:space="preserve">31263234</t>
  </si>
  <si>
    <r>
      <rPr>
        <sz val="10"/>
        <rFont val="FreeSans"/>
        <family val="2"/>
      </rPr>
      <t xml:space="preserve">مهره استیل                     </t>
    </r>
    <r>
      <rPr>
        <sz val="10"/>
        <rFont val="Vazirmatn"/>
        <family val="0"/>
        <charset val="1"/>
      </rPr>
      <t xml:space="preserve">24      MM</t>
    </r>
  </si>
  <si>
    <t xml:space="preserve">5012986</t>
  </si>
  <si>
    <r>
      <rPr>
        <sz val="10"/>
        <rFont val="FreeSans"/>
        <family val="2"/>
      </rPr>
      <t xml:space="preserve">مهره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24</t>
    </r>
  </si>
  <si>
    <t xml:space="preserve">31263236</t>
  </si>
  <si>
    <r>
      <rPr>
        <sz val="10"/>
        <rFont val="FreeSans"/>
        <family val="2"/>
      </rPr>
      <t xml:space="preserve">مهره استیل                       </t>
    </r>
    <r>
      <rPr>
        <sz val="10"/>
        <rFont val="Vazirmatn"/>
        <family val="0"/>
        <charset val="1"/>
      </rPr>
      <t xml:space="preserve">6      MM</t>
    </r>
  </si>
  <si>
    <t xml:space="preserve">4009581</t>
  </si>
  <si>
    <r>
      <rPr>
        <sz val="10"/>
        <rFont val="FreeSans"/>
        <family val="2"/>
      </rPr>
      <t xml:space="preserve">مهره معمولی </t>
    </r>
    <r>
      <rPr>
        <sz val="10"/>
        <rFont val="Vazirmatn"/>
        <family val="0"/>
        <charset val="1"/>
      </rPr>
      <t xml:space="preserve">M6 s.s</t>
    </r>
  </si>
  <si>
    <t xml:space="preserve">31263247</t>
  </si>
  <si>
    <r>
      <rPr>
        <sz val="10"/>
        <rFont val="FreeSans"/>
        <family val="2"/>
      </rPr>
      <t xml:space="preserve">مهره استیل                     </t>
    </r>
    <r>
      <rPr>
        <sz val="10"/>
        <rFont val="Vazirmatn"/>
        <family val="0"/>
        <charset val="1"/>
      </rPr>
      <t xml:space="preserve">18      MM</t>
    </r>
  </si>
  <si>
    <t xml:space="preserve">5012992</t>
  </si>
  <si>
    <r>
      <rPr>
        <sz val="10"/>
        <rFont val="FreeSans"/>
        <family val="2"/>
      </rPr>
      <t xml:space="preserve">مهره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18</t>
    </r>
  </si>
  <si>
    <t xml:space="preserve">31263269</t>
  </si>
  <si>
    <t xml:space="preserve">مهره استیل</t>
  </si>
  <si>
    <t xml:space="preserve">31263271</t>
  </si>
  <si>
    <t xml:space="preserve">مهره  استیل</t>
  </si>
  <si>
    <t xml:space="preserve">31264139</t>
  </si>
  <si>
    <r>
      <rPr>
        <sz val="10"/>
        <rFont val="FreeSans"/>
        <family val="2"/>
      </rPr>
      <t xml:space="preserve">درپوش استیل</t>
    </r>
    <r>
      <rPr>
        <sz val="10"/>
        <rFont val="Vazirmatn"/>
        <family val="0"/>
        <charset val="1"/>
      </rPr>
      <t xml:space="preserve">.      </t>
    </r>
    <r>
      <rPr>
        <sz val="10"/>
        <rFont val="FreeSans"/>
        <family val="2"/>
      </rPr>
      <t xml:space="preserve">اینچ  </t>
    </r>
    <r>
      <rPr>
        <sz val="10"/>
        <rFont val="Vazirmatn"/>
        <family val="0"/>
        <charset val="1"/>
      </rPr>
      <t xml:space="preserve">3/8</t>
    </r>
  </si>
  <si>
    <t xml:space="preserve">4029586</t>
  </si>
  <si>
    <r>
      <rPr>
        <sz val="10"/>
        <rFont val="FreeSans"/>
        <family val="2"/>
      </rPr>
      <t xml:space="preserve">درپوش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3/8 </t>
    </r>
    <r>
      <rPr>
        <sz val="10"/>
        <rFont val="FreeSans"/>
        <family val="2"/>
      </rPr>
      <t xml:space="preserve">اینچ</t>
    </r>
  </si>
  <si>
    <t xml:space="preserve">31264140</t>
  </si>
  <si>
    <r>
      <rPr>
        <sz val="10"/>
        <rFont val="FreeSans"/>
        <family val="2"/>
      </rPr>
      <t xml:space="preserve">درپوش استیل            </t>
    </r>
    <r>
      <rPr>
        <sz val="10"/>
        <rFont val="Vazirmatn"/>
        <family val="0"/>
        <charset val="1"/>
      </rPr>
      <t xml:space="preserve">4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</si>
  <si>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4009995</t>
  </si>
  <si>
    <r>
      <rPr>
        <sz val="10"/>
        <rFont val="FreeSans"/>
        <family val="2"/>
      </rPr>
      <t xml:space="preserve">درپوش </t>
    </r>
    <r>
      <rPr>
        <sz val="10"/>
        <rFont val="Vazirmatn"/>
        <family val="0"/>
        <charset val="1"/>
      </rPr>
      <t xml:space="preserve">"S.S 1/2</t>
    </r>
  </si>
  <si>
    <t xml:space="preserve">31264142</t>
  </si>
  <si>
    <r>
      <rPr>
        <sz val="10"/>
        <rFont val="FreeSans"/>
        <family val="2"/>
      </rPr>
      <t xml:space="preserve">درپوش استیل      اینچ   </t>
    </r>
    <r>
      <rPr>
        <sz val="10"/>
        <rFont val="Vazirmatn"/>
        <family val="0"/>
        <charset val="1"/>
      </rPr>
      <t xml:space="preserve">3/8</t>
    </r>
  </si>
  <si>
    <t xml:space="preserve">31264146</t>
  </si>
  <si>
    <r>
      <rPr>
        <sz val="10"/>
        <rFont val="FreeSans"/>
        <family val="2"/>
      </rPr>
      <t xml:space="preserve">درپوش آهنی دنده ای  </t>
    </r>
    <r>
      <rPr>
        <sz val="10"/>
        <rFont val="Vazirmatn"/>
        <family val="0"/>
        <charset val="1"/>
      </rPr>
      <t xml:space="preserve">" 1/2</t>
    </r>
  </si>
  <si>
    <t xml:space="preserve">4030787</t>
  </si>
  <si>
    <r>
      <rPr>
        <sz val="10"/>
        <rFont val="FreeSans"/>
        <family val="2"/>
      </rPr>
      <t xml:space="preserve">درپوش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</si>
  <si>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31264155</t>
  </si>
  <si>
    <r>
      <rPr>
        <sz val="10"/>
        <rFont val="FreeSans"/>
        <family val="2"/>
      </rPr>
      <t xml:space="preserve">درپوش استیل              </t>
    </r>
    <r>
      <rPr>
        <sz val="10"/>
        <rFont val="Vazirmatn"/>
        <family val="0"/>
        <charset val="1"/>
      </rPr>
      <t xml:space="preserve">3/4</t>
    </r>
  </si>
  <si>
    <t xml:space="preserve">4026525</t>
  </si>
  <si>
    <r>
      <rPr>
        <sz val="10"/>
        <rFont val="FreeSans"/>
        <family val="2"/>
      </rPr>
      <t xml:space="preserve">درپوش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</si>
  <si>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31264178</t>
  </si>
  <si>
    <r>
      <rPr>
        <sz val="10"/>
        <rFont val="FreeSans"/>
        <family val="2"/>
      </rPr>
      <t xml:space="preserve">درپوش دنده ای استیل       </t>
    </r>
    <r>
      <rPr>
        <sz val="10"/>
        <rFont val="Vazirmatn"/>
        <family val="0"/>
        <charset val="1"/>
      </rPr>
      <t xml:space="preserve">" 1</t>
    </r>
  </si>
  <si>
    <t xml:space="preserve">4029588</t>
  </si>
  <si>
    <r>
      <rPr>
        <sz val="10"/>
        <rFont val="FreeSans"/>
        <family val="2"/>
      </rPr>
      <t xml:space="preserve">درپوش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</si>
  <si>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31264231</t>
  </si>
  <si>
    <r>
      <rPr>
        <sz val="10"/>
        <rFont val="FreeSans"/>
        <family val="2"/>
      </rPr>
      <t xml:space="preserve">درپوش گالوانیزه </t>
    </r>
    <r>
      <rPr>
        <sz val="10"/>
        <rFont val="Vazirmatn"/>
        <family val="0"/>
        <charset val="1"/>
      </rPr>
      <t xml:space="preserve">"3/4</t>
    </r>
  </si>
  <si>
    <t xml:space="preserve">4026521</t>
  </si>
  <si>
    <r>
      <rPr>
        <sz val="10"/>
        <rFont val="FreeSans"/>
        <family val="2"/>
      </rPr>
      <t xml:space="preserve">درپوش گالوانیزه دنده ای 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</si>
  <si>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31264234</t>
  </si>
  <si>
    <r>
      <rPr>
        <sz val="10"/>
        <rFont val="FreeSans"/>
        <family val="2"/>
      </rPr>
      <t xml:space="preserve">درپوش پلاستیکی آلنی  </t>
    </r>
    <r>
      <rPr>
        <sz val="10"/>
        <rFont val="Vazirmatn"/>
        <family val="0"/>
        <charset val="1"/>
      </rPr>
      <t xml:space="preserve">"1/2</t>
    </r>
  </si>
  <si>
    <t xml:space="preserve">4041918</t>
  </si>
  <si>
    <r>
      <rPr>
        <sz val="10"/>
        <rFont val="FreeSans"/>
        <family val="2"/>
      </rPr>
      <t xml:space="preserve">درپوش پلاستیکی </t>
    </r>
    <r>
      <rPr>
        <sz val="10"/>
        <rFont val="Vazirmatn"/>
        <family val="0"/>
        <charset val="1"/>
      </rPr>
      <t xml:space="preserve">"1/2</t>
    </r>
  </si>
  <si>
    <t xml:space="preserve">31264241</t>
  </si>
  <si>
    <r>
      <rPr>
        <sz val="10"/>
        <rFont val="FreeSans"/>
        <family val="2"/>
      </rPr>
      <t xml:space="preserve">درپوش گالوانیزه        </t>
    </r>
    <r>
      <rPr>
        <sz val="10"/>
        <rFont val="Vazirmatn"/>
        <family val="0"/>
        <charset val="1"/>
      </rPr>
      <t xml:space="preserve">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</t>
    </r>
  </si>
  <si>
    <t xml:space="preserve">31264242</t>
  </si>
  <si>
    <r>
      <rPr>
        <sz val="10"/>
        <rFont val="FreeSans"/>
        <family val="2"/>
      </rPr>
      <t xml:space="preserve">درپوش گالوانیزه     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1/4</t>
    </r>
  </si>
  <si>
    <t xml:space="preserve">4026523</t>
  </si>
  <si>
    <r>
      <rPr>
        <sz val="10"/>
        <rFont val="FreeSans"/>
        <family val="2"/>
      </rPr>
      <t xml:space="preserve">درپوش گالوانیزه دنده ای سایز </t>
    </r>
    <r>
      <rPr>
        <sz val="10"/>
        <rFont val="Vazirmatn"/>
        <family val="0"/>
        <charset val="1"/>
      </rPr>
      <t xml:space="preserve">1/4 1 </t>
    </r>
    <r>
      <rPr>
        <sz val="10"/>
        <rFont val="FreeSans"/>
        <family val="2"/>
      </rPr>
      <t xml:space="preserve">اینچ</t>
    </r>
  </si>
  <si>
    <t xml:space="preserve">31264243</t>
  </si>
  <si>
    <r>
      <rPr>
        <sz val="10"/>
        <rFont val="FreeSans"/>
        <family val="2"/>
      </rPr>
      <t xml:space="preserve">درپوش گالوانیزه       اینچ </t>
    </r>
    <r>
      <rPr>
        <sz val="10"/>
        <rFont val="Vazirmatn"/>
        <family val="0"/>
        <charset val="1"/>
      </rPr>
      <t xml:space="preserve">2</t>
    </r>
  </si>
  <si>
    <t xml:space="preserve">4026518</t>
  </si>
  <si>
    <r>
      <rPr>
        <sz val="10"/>
        <rFont val="FreeSans"/>
        <family val="2"/>
      </rPr>
      <t xml:space="preserve">درپوش گالوانیزه دنده ای 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</si>
  <si>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31264570</t>
  </si>
  <si>
    <r>
      <rPr>
        <sz val="10"/>
        <rFont val="FreeSans"/>
        <family val="2"/>
      </rPr>
      <t xml:space="preserve">عینکی پمپ ایران  </t>
    </r>
    <r>
      <rPr>
        <sz val="10"/>
        <rFont val="Vazirmatn"/>
        <family val="0"/>
        <charset val="1"/>
      </rPr>
      <t xml:space="preserve">250 - 65</t>
    </r>
  </si>
  <si>
    <t xml:space="preserve">4057873</t>
  </si>
  <si>
    <r>
      <rPr>
        <sz val="10"/>
        <rFont val="FreeSans"/>
        <family val="2"/>
      </rPr>
      <t xml:space="preserve">عینکی پمپ پمپیران </t>
    </r>
    <r>
      <rPr>
        <sz val="10"/>
        <rFont val="Vazirmatn"/>
        <family val="0"/>
        <charset val="1"/>
      </rPr>
      <t xml:space="preserve">EN 65-250</t>
    </r>
  </si>
  <si>
    <t xml:space="preserve">31265102</t>
  </si>
  <si>
    <r>
      <rPr>
        <sz val="10"/>
        <rFont val="FreeSans"/>
        <family val="2"/>
      </rPr>
      <t xml:space="preserve">الکترود استیل </t>
    </r>
    <r>
      <rPr>
        <sz val="10"/>
        <rFont val="Vazirmatn"/>
        <family val="0"/>
        <charset val="1"/>
      </rPr>
      <t xml:space="preserve">316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: 3/25</t>
    </r>
  </si>
  <si>
    <t xml:space="preserve">5003794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</si>
  <si>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316L 3.25mm</t>
    </r>
  </si>
  <si>
    <t xml:space="preserve">31265104</t>
  </si>
  <si>
    <r>
      <rPr>
        <sz val="10"/>
        <rFont val="FreeSans"/>
        <family val="2"/>
      </rPr>
      <t xml:space="preserve">الکترود استیل </t>
    </r>
    <r>
      <rPr>
        <sz val="10"/>
        <rFont val="Vazirmatn"/>
        <family val="0"/>
        <charset val="1"/>
      </rPr>
      <t xml:space="preserve">316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: 2/5 ( E 316 L -160 )</t>
    </r>
  </si>
  <si>
    <t xml:space="preserve">5003793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</si>
  <si>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316L 2.5mm</t>
    </r>
  </si>
  <si>
    <t xml:space="preserve">31265106</t>
  </si>
  <si>
    <r>
      <rPr>
        <sz val="10"/>
        <rFont val="FreeSans"/>
        <family val="2"/>
      </rPr>
      <t xml:space="preserve">الکترود استیل </t>
    </r>
    <r>
      <rPr>
        <sz val="10"/>
        <rFont val="Vazirmatn"/>
        <family val="0"/>
        <charset val="1"/>
      </rPr>
      <t xml:space="preserve">308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: 2/5</t>
    </r>
  </si>
  <si>
    <t xml:space="preserve">5005290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</si>
  <si>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308L 2.5mm</t>
    </r>
  </si>
  <si>
    <t xml:space="preserve">31265110</t>
  </si>
  <si>
    <r>
      <rPr>
        <sz val="10"/>
        <rFont val="FreeSans"/>
        <family val="2"/>
      </rPr>
      <t xml:space="preserve">الکترود آهنی    </t>
    </r>
    <r>
      <rPr>
        <sz val="10"/>
        <rFont val="Vazirmatn"/>
        <family val="0"/>
        <charset val="1"/>
      </rPr>
      <t xml:space="preserve">Size:2/5 mm*300mm  AWS:E6013</t>
    </r>
  </si>
  <si>
    <t xml:space="preserve">5002297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</si>
  <si>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6013 2.5mm</t>
    </r>
  </si>
  <si>
    <t xml:space="preserve">31265117</t>
  </si>
  <si>
    <r>
      <rPr>
        <sz val="10"/>
        <rFont val="FreeSans"/>
        <family val="2"/>
      </rPr>
      <t xml:space="preserve">الکترود  آهنی </t>
    </r>
    <r>
      <rPr>
        <sz val="10"/>
        <rFont val="Vazirmatn"/>
        <family val="0"/>
        <charset val="1"/>
      </rPr>
      <t xml:space="preserve">E6013      3/25</t>
    </r>
  </si>
  <si>
    <t xml:space="preserve">5003798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</si>
  <si>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6013 3.25mm</t>
    </r>
  </si>
  <si>
    <t xml:space="preserve">31265124</t>
  </si>
  <si>
    <r>
      <rPr>
        <sz val="10"/>
        <rFont val="FreeSans"/>
        <family val="2"/>
      </rPr>
      <t xml:space="preserve">الکترود چدنی             </t>
    </r>
    <r>
      <rPr>
        <sz val="10"/>
        <rFont val="Vazirmatn"/>
        <family val="0"/>
        <charset val="1"/>
      </rPr>
      <t xml:space="preserve">2/5</t>
    </r>
  </si>
  <si>
    <t xml:space="preserve">4033386</t>
  </si>
  <si>
    <r>
      <rPr>
        <sz val="10"/>
        <rFont val="FreeSans"/>
        <family val="2"/>
      </rPr>
      <t xml:space="preserve">الکترود چدن </t>
    </r>
    <r>
      <rPr>
        <sz val="10"/>
        <rFont val="Vazirmatn"/>
        <family val="0"/>
        <charset val="1"/>
      </rPr>
      <t xml:space="preserve">2/5</t>
    </r>
  </si>
  <si>
    <t xml:space="preserve">31265128</t>
  </si>
  <si>
    <r>
      <rPr>
        <sz val="10"/>
        <rFont val="FreeSans"/>
        <family val="2"/>
      </rPr>
      <t xml:space="preserve">الکترود  تنگستن         </t>
    </r>
    <r>
      <rPr>
        <sz val="10"/>
        <rFont val="Vazirmatn"/>
        <family val="0"/>
        <charset val="1"/>
      </rPr>
      <t xml:space="preserve">3/2</t>
    </r>
  </si>
  <si>
    <t xml:space="preserve">4025992</t>
  </si>
  <si>
    <r>
      <rPr>
        <sz val="10"/>
        <rFont val="FreeSans"/>
        <family val="2"/>
      </rPr>
      <t xml:space="preserve">الکترود تنگستن </t>
    </r>
    <r>
      <rPr>
        <sz val="10"/>
        <rFont val="Vazirmatn"/>
        <family val="0"/>
        <charset val="1"/>
      </rPr>
      <t xml:space="preserve">3.2 </t>
    </r>
    <r>
      <rPr>
        <sz val="10"/>
        <rFont val="FreeSans"/>
        <family val="2"/>
      </rPr>
      <t xml:space="preserve">رنگ قرمز</t>
    </r>
  </si>
  <si>
    <t xml:space="preserve">31265138</t>
  </si>
  <si>
    <r>
      <rPr>
        <sz val="10"/>
        <rFont val="FreeSans"/>
        <family val="2"/>
      </rPr>
      <t xml:space="preserve">الکترود آهنی  </t>
    </r>
    <r>
      <rPr>
        <sz val="10"/>
        <rFont val="Vazirmatn"/>
        <family val="0"/>
        <charset val="1"/>
      </rPr>
      <t xml:space="preserve">E7018    </t>
    </r>
    <r>
      <rPr>
        <sz val="10"/>
        <rFont val="FreeSans"/>
        <family val="2"/>
      </rPr>
      <t xml:space="preserve">نمره   </t>
    </r>
    <r>
      <rPr>
        <sz val="10"/>
        <rFont val="Vazirmatn"/>
        <family val="0"/>
        <charset val="1"/>
      </rPr>
      <t xml:space="preserve">4</t>
    </r>
  </si>
  <si>
    <t xml:space="preserve">5002553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</si>
  <si>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7018 4mm</t>
    </r>
  </si>
  <si>
    <t xml:space="preserve">31265168</t>
  </si>
  <si>
    <r>
      <rPr>
        <sz val="10"/>
        <rFont val="FreeSans"/>
        <family val="2"/>
      </rPr>
      <t xml:space="preserve">الکترود آهنی  </t>
    </r>
    <r>
      <rPr>
        <sz val="10"/>
        <rFont val="Vazirmatn"/>
        <family val="0"/>
        <charset val="1"/>
      </rPr>
      <t xml:space="preserve">E7018    </t>
    </r>
    <r>
      <rPr>
        <sz val="10"/>
        <rFont val="FreeSans"/>
        <family val="2"/>
      </rPr>
      <t xml:space="preserve">نمره   </t>
    </r>
    <r>
      <rPr>
        <sz val="10"/>
        <rFont val="Vazirmatn"/>
        <family val="0"/>
        <charset val="1"/>
      </rPr>
      <t xml:space="preserve">2/5</t>
    </r>
  </si>
  <si>
    <t xml:space="preserve">5008549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</si>
  <si>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7018 2.5mm</t>
    </r>
  </si>
  <si>
    <t xml:space="preserve">31265169</t>
  </si>
  <si>
    <r>
      <rPr>
        <sz val="10"/>
        <rFont val="FreeSans"/>
        <family val="2"/>
      </rPr>
      <t xml:space="preserve">الکترود استیل </t>
    </r>
    <r>
      <rPr>
        <sz val="10"/>
        <rFont val="Vazirmatn"/>
        <family val="0"/>
        <charset val="1"/>
      </rPr>
      <t xml:space="preserve">309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: 3</t>
    </r>
  </si>
  <si>
    <t xml:space="preserve">5009199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</si>
  <si>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309L 3mm</t>
    </r>
  </si>
  <si>
    <t xml:space="preserve">31265171</t>
  </si>
  <si>
    <r>
      <rPr>
        <sz val="10"/>
        <rFont val="FreeSans"/>
        <family val="2"/>
      </rPr>
      <t xml:space="preserve">الکترود آهنی </t>
    </r>
    <r>
      <rPr>
        <sz val="10"/>
        <rFont val="Vazirmatn"/>
        <family val="0"/>
        <charset val="1"/>
      </rPr>
      <t xml:space="preserve">6013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: 4</t>
    </r>
  </si>
  <si>
    <t xml:space="preserve">5003799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</si>
  <si>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6013 4mm</t>
    </r>
  </si>
  <si>
    <t xml:space="preserve">31265180</t>
  </si>
  <si>
    <r>
      <rPr>
        <sz val="10"/>
        <rFont val="FreeSans"/>
        <family val="2"/>
      </rPr>
      <t xml:space="preserve">سیم مفتول نسوز  قطر </t>
    </r>
    <r>
      <rPr>
        <sz val="10"/>
        <rFont val="Vazirmatn"/>
        <family val="0"/>
        <charset val="1"/>
      </rPr>
      <t xml:space="preserve">1mm</t>
    </r>
  </si>
  <si>
    <t xml:space="preserve">4027597</t>
  </si>
  <si>
    <r>
      <rPr>
        <sz val="10"/>
        <rFont val="FreeSans"/>
        <family val="2"/>
      </rPr>
      <t xml:space="preserve">سیم مفتول </t>
    </r>
    <r>
      <rPr>
        <sz val="10"/>
        <rFont val="Vazirmatn"/>
        <family val="0"/>
        <charset val="1"/>
      </rPr>
      <t xml:space="preserve">16*1</t>
    </r>
  </si>
  <si>
    <t xml:space="preserve">31265190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</si>
  <si>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ESAB  E7018-G  2/5</t>
    </r>
  </si>
  <si>
    <t xml:space="preserve">31265192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</si>
  <si>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6010 2/5  ESAB</t>
    </r>
  </si>
  <si>
    <t xml:space="preserve">5002306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</si>
  <si>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6010 2.5mm</t>
    </r>
  </si>
  <si>
    <t xml:space="preserve">31265195</t>
  </si>
  <si>
    <r>
      <rPr>
        <sz val="10"/>
        <rFont val="FreeSans"/>
        <family val="2"/>
      </rPr>
      <t xml:space="preserve">سیم مفتول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1mm</t>
    </r>
  </si>
  <si>
    <t xml:space="preserve">5014560</t>
  </si>
  <si>
    <r>
      <rPr>
        <sz val="10"/>
        <rFont val="FreeSans"/>
        <family val="2"/>
      </rPr>
      <t xml:space="preserve">سیم مفتول </t>
    </r>
    <r>
      <rPr>
        <sz val="10"/>
        <rFont val="Vazirmatn"/>
        <family val="0"/>
        <charset val="1"/>
      </rPr>
      <t xml:space="preserve">S.S 1MM</t>
    </r>
  </si>
  <si>
    <t xml:space="preserve">31265202</t>
  </si>
  <si>
    <r>
      <rPr>
        <sz val="10"/>
        <rFont val="FreeSans"/>
        <family val="2"/>
      </rPr>
      <t xml:space="preserve">میخ پرچ        نمره   </t>
    </r>
    <r>
      <rPr>
        <sz val="10"/>
        <rFont val="Vazirmatn"/>
        <family val="0"/>
        <charset val="1"/>
      </rPr>
      <t xml:space="preserve">4</t>
    </r>
  </si>
  <si>
    <t xml:space="preserve">5003373</t>
  </si>
  <si>
    <r>
      <rPr>
        <sz val="10"/>
        <rFont val="FreeSans"/>
        <family val="2"/>
      </rPr>
      <t xml:space="preserve">ميخ پرچ معمولي </t>
    </r>
    <r>
      <rPr>
        <sz val="10"/>
        <rFont val="Vazirmatn"/>
        <family val="0"/>
        <charset val="1"/>
      </rPr>
      <t xml:space="preserve">10*4 AL.</t>
    </r>
  </si>
  <si>
    <t xml:space="preserve">31265205</t>
  </si>
  <si>
    <r>
      <rPr>
        <sz val="10"/>
        <rFont val="FreeSans"/>
        <family val="2"/>
      </rPr>
      <t xml:space="preserve">میخ پرچ        نمره   </t>
    </r>
    <r>
      <rPr>
        <sz val="10"/>
        <rFont val="Vazirmatn"/>
        <family val="0"/>
        <charset val="1"/>
      </rPr>
      <t xml:space="preserve">5</t>
    </r>
  </si>
  <si>
    <t xml:space="preserve">4027215</t>
  </si>
  <si>
    <r>
      <rPr>
        <sz val="10"/>
        <rFont val="FreeSans"/>
        <family val="2"/>
      </rPr>
      <t xml:space="preserve">میخ پرچ </t>
    </r>
    <r>
      <rPr>
        <sz val="10"/>
        <rFont val="Vazirmatn"/>
        <family val="0"/>
        <charset val="1"/>
      </rPr>
      <t xml:space="preserve">16*5</t>
    </r>
  </si>
  <si>
    <t xml:space="preserve">31265208</t>
  </si>
  <si>
    <r>
      <rPr>
        <sz val="10"/>
        <rFont val="FreeSans"/>
        <family val="2"/>
      </rPr>
      <t xml:space="preserve">میخ آهنی  </t>
    </r>
    <r>
      <rPr>
        <sz val="10"/>
        <rFont val="Vazirmatn"/>
        <family val="0"/>
        <charset val="1"/>
      </rPr>
      <t xml:space="preserve">13mm * 60mm</t>
    </r>
  </si>
  <si>
    <t xml:space="preserve">5024671</t>
  </si>
  <si>
    <r>
      <rPr>
        <sz val="10"/>
        <rFont val="FreeSans"/>
        <family val="2"/>
      </rPr>
      <t xml:space="preserve">میخ نواری آهنی مته ای  </t>
    </r>
    <r>
      <rPr>
        <sz val="10"/>
        <rFont val="Vazirmatn"/>
        <family val="0"/>
        <charset val="1"/>
      </rPr>
      <t xml:space="preserve">60*13</t>
    </r>
  </si>
  <si>
    <t xml:space="preserve">31265211</t>
  </si>
  <si>
    <t xml:space="preserve">میخ و چاشنی آهنی سرخود</t>
  </si>
  <si>
    <t xml:space="preserve">4009497</t>
  </si>
  <si>
    <t xml:space="preserve">چاشنی میخ</t>
  </si>
  <si>
    <t xml:space="preserve">31266100</t>
  </si>
  <si>
    <r>
      <rPr>
        <sz val="10"/>
        <rFont val="FreeSans"/>
        <family val="2"/>
      </rPr>
      <t xml:space="preserve">قفل کمدی   </t>
    </r>
    <r>
      <rPr>
        <sz val="10"/>
        <rFont val="Vazirmatn"/>
        <family val="0"/>
        <charset val="1"/>
      </rPr>
      <t xml:space="preserve">808</t>
    </r>
  </si>
  <si>
    <t xml:space="preserve">5002250</t>
  </si>
  <si>
    <r>
      <rPr>
        <sz val="10"/>
        <rFont val="FreeSans"/>
        <family val="2"/>
      </rPr>
      <t xml:space="preserve">قفل درب کمد </t>
    </r>
    <r>
      <rPr>
        <sz val="10"/>
        <rFont val="Vazirmatn"/>
        <family val="0"/>
        <charset val="1"/>
      </rPr>
      <t xml:space="preserve">808</t>
    </r>
  </si>
  <si>
    <t xml:space="preserve">31266102</t>
  </si>
  <si>
    <t xml:space="preserve">قفل آویز</t>
  </si>
  <si>
    <t xml:space="preserve">4026287</t>
  </si>
  <si>
    <r>
      <rPr>
        <sz val="10"/>
        <rFont val="FreeSans"/>
        <family val="2"/>
      </rPr>
      <t xml:space="preserve">قفل آویز </t>
    </r>
    <r>
      <rPr>
        <sz val="10"/>
        <rFont val="Vazirmatn"/>
        <family val="0"/>
        <charset val="1"/>
      </rPr>
      <t xml:space="preserve">32</t>
    </r>
  </si>
  <si>
    <t xml:space="preserve">31266103</t>
  </si>
  <si>
    <t xml:space="preserve">قفل کتابی متوسط</t>
  </si>
  <si>
    <t xml:space="preserve">4030190</t>
  </si>
  <si>
    <t xml:space="preserve">قفل چمدانی متوسط</t>
  </si>
  <si>
    <t xml:space="preserve">31266108</t>
  </si>
  <si>
    <t xml:space="preserve">قفل آویز بزرگ</t>
  </si>
  <si>
    <t xml:space="preserve">5018794</t>
  </si>
  <si>
    <t xml:space="preserve">قفل آویز رمزدار</t>
  </si>
  <si>
    <t xml:space="preserve">31266109</t>
  </si>
  <si>
    <r>
      <rPr>
        <sz val="10"/>
        <rFont val="FreeSans"/>
        <family val="2"/>
      </rPr>
      <t xml:space="preserve">قفل سوئیچی </t>
    </r>
    <r>
      <rPr>
        <sz val="10"/>
        <rFont val="Vazirmatn"/>
        <family val="0"/>
        <charset val="1"/>
      </rPr>
      <t xml:space="preserve">9Cm</t>
    </r>
  </si>
  <si>
    <t xml:space="preserve">4055556</t>
  </si>
  <si>
    <r>
      <rPr>
        <sz val="10"/>
        <rFont val="FreeSans"/>
        <family val="2"/>
      </rPr>
      <t xml:space="preserve">قفل سوئیچی رک </t>
    </r>
    <r>
      <rPr>
        <sz val="10"/>
        <rFont val="Vazirmatn"/>
        <family val="0"/>
        <charset val="1"/>
      </rPr>
      <t xml:space="preserve">9</t>
    </r>
    <r>
      <rPr>
        <sz val="10"/>
        <rFont val="FreeSans"/>
        <family val="2"/>
      </rPr>
      <t xml:space="preserve">یونیت</t>
    </r>
  </si>
  <si>
    <t xml:space="preserve">31266115</t>
  </si>
  <si>
    <t xml:space="preserve">قفل درب</t>
  </si>
  <si>
    <t xml:space="preserve">4017433</t>
  </si>
  <si>
    <t xml:space="preserve">قفل سویچی درب</t>
  </si>
  <si>
    <t xml:space="preserve">31266123</t>
  </si>
  <si>
    <t xml:space="preserve">قفل تابلویی ریتال</t>
  </si>
  <si>
    <t xml:space="preserve">4014150</t>
  </si>
  <si>
    <t xml:space="preserve">قفل تابلو ريتال</t>
  </si>
  <si>
    <t xml:space="preserve">31266124</t>
  </si>
  <si>
    <t xml:space="preserve">قفل درب حیاطی</t>
  </si>
  <si>
    <t xml:space="preserve">5003861</t>
  </si>
  <si>
    <t xml:space="preserve">قفل حياطي دستي</t>
  </si>
  <si>
    <t xml:space="preserve">31266129</t>
  </si>
  <si>
    <t xml:space="preserve">قفل کشویی فایل</t>
  </si>
  <si>
    <t xml:space="preserve">5006040</t>
  </si>
  <si>
    <t xml:space="preserve">قفل  فايلي</t>
  </si>
  <si>
    <t xml:space="preserve">31266134</t>
  </si>
  <si>
    <r>
      <rPr>
        <sz val="10"/>
        <rFont val="FreeSans"/>
        <family val="2"/>
      </rPr>
      <t xml:space="preserve">قفل سوئیچی درب آهنی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 4/5Cm</t>
    </r>
  </si>
  <si>
    <t xml:space="preserve">4030691</t>
  </si>
  <si>
    <r>
      <rPr>
        <sz val="10"/>
        <rFont val="FreeSans"/>
        <family val="2"/>
      </rPr>
      <t xml:space="preserve">قفل سوئیچی درب آهنی </t>
    </r>
    <r>
      <rPr>
        <sz val="10"/>
        <rFont val="Vazirmatn"/>
        <family val="0"/>
        <charset val="1"/>
      </rPr>
      <t xml:space="preserve">4.5 </t>
    </r>
    <r>
      <rPr>
        <sz val="10"/>
        <rFont val="FreeSans"/>
        <family val="2"/>
      </rPr>
      <t xml:space="preserve">سانتی</t>
    </r>
  </si>
  <si>
    <t xml:space="preserve">31266138</t>
  </si>
  <si>
    <t xml:space="preserve">قفل اسپانیولت درب</t>
  </si>
  <si>
    <t xml:space="preserve">4033043</t>
  </si>
  <si>
    <r>
      <rPr>
        <sz val="10"/>
        <rFont val="FreeSans"/>
        <family val="2"/>
      </rPr>
      <t xml:space="preserve">قفل در مدل اسپانیولت درب </t>
    </r>
    <r>
      <rPr>
        <sz val="10"/>
        <rFont val="Vazirmatn"/>
        <family val="0"/>
        <charset val="1"/>
      </rPr>
      <t xml:space="preserve">pvc</t>
    </r>
  </si>
  <si>
    <t xml:space="preserve">31266150</t>
  </si>
  <si>
    <t xml:space="preserve">دستگیره  پنجره</t>
  </si>
  <si>
    <t xml:space="preserve">4026299</t>
  </si>
  <si>
    <r>
      <rPr>
        <sz val="10"/>
        <rFont val="FreeSans"/>
        <family val="2"/>
      </rPr>
      <t xml:space="preserve">دستگیره پنجره </t>
    </r>
    <r>
      <rPr>
        <sz val="10"/>
        <rFont val="Vazirmatn"/>
        <family val="0"/>
        <charset val="1"/>
      </rPr>
      <t xml:space="preserve">PVC</t>
    </r>
  </si>
  <si>
    <t xml:space="preserve">31266152</t>
  </si>
  <si>
    <t xml:space="preserve">دستگیره درب چوبی</t>
  </si>
  <si>
    <t xml:space="preserve">4003549</t>
  </si>
  <si>
    <t xml:space="preserve">دستگیره درب چوبی سوئیچی</t>
  </si>
  <si>
    <t xml:space="preserve">31266156</t>
  </si>
  <si>
    <t xml:space="preserve">دستگیره  درب آهنی</t>
  </si>
  <si>
    <t xml:space="preserve">31266158</t>
  </si>
  <si>
    <r>
      <rPr>
        <sz val="10"/>
        <rFont val="FreeSans"/>
        <family val="2"/>
      </rPr>
      <t xml:space="preserve">قفل سوییچی درب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</si>
  <si>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31266160</t>
  </si>
  <si>
    <t xml:space="preserve">دستگیره</t>
  </si>
  <si>
    <t xml:space="preserve">5020926</t>
  </si>
  <si>
    <t xml:space="preserve">دستگیره کمد</t>
  </si>
  <si>
    <t xml:space="preserve">31266194</t>
  </si>
  <si>
    <r>
      <rPr>
        <sz val="10"/>
        <rFont val="FreeSans"/>
        <family val="2"/>
      </rPr>
      <t xml:space="preserve">لولای درب </t>
    </r>
    <r>
      <rPr>
        <sz val="10"/>
        <rFont val="Vazirmatn"/>
        <family val="0"/>
        <charset val="1"/>
      </rPr>
      <t xml:space="preserve">UPVC</t>
    </r>
  </si>
  <si>
    <t xml:space="preserve">5005542</t>
  </si>
  <si>
    <r>
      <rPr>
        <sz val="10"/>
        <rFont val="FreeSans"/>
        <family val="2"/>
      </rPr>
      <t xml:space="preserve">لولا  کتابي درب </t>
    </r>
    <r>
      <rPr>
        <sz val="10"/>
        <rFont val="Vazirmatn"/>
        <family val="0"/>
        <charset val="1"/>
      </rPr>
      <t xml:space="preserve">PVC</t>
    </r>
  </si>
  <si>
    <t xml:space="preserve">31266221</t>
  </si>
  <si>
    <t xml:space="preserve">لولای تابلو برق</t>
  </si>
  <si>
    <t xml:space="preserve">5003848</t>
  </si>
  <si>
    <t xml:space="preserve">لولا درب تابلو برق</t>
  </si>
  <si>
    <t xml:space="preserve">31266222</t>
  </si>
  <si>
    <t xml:space="preserve">لولای سرنیزه بلبورینگ</t>
  </si>
  <si>
    <t xml:space="preserve">4034883</t>
  </si>
  <si>
    <t xml:space="preserve">لولای سرنیزه بلبرینگی درب چوبی</t>
  </si>
  <si>
    <t xml:space="preserve">31267107</t>
  </si>
  <si>
    <r>
      <rPr>
        <sz val="10"/>
        <rFont val="FreeSans"/>
        <family val="2"/>
      </rPr>
      <t xml:space="preserve">رول پلاک          </t>
    </r>
    <r>
      <rPr>
        <sz val="10"/>
        <rFont val="Vazirmatn"/>
        <family val="0"/>
        <charset val="1"/>
      </rPr>
      <t xml:space="preserve">8mm</t>
    </r>
  </si>
  <si>
    <t xml:space="preserve">5003287</t>
  </si>
  <si>
    <r>
      <rPr>
        <sz val="10"/>
        <rFont val="FreeSans"/>
        <family val="2"/>
      </rPr>
      <t xml:space="preserve">رول پلاک </t>
    </r>
    <r>
      <rPr>
        <sz val="10"/>
        <rFont val="Vazirmatn"/>
        <family val="0"/>
        <charset val="1"/>
      </rPr>
      <t xml:space="preserve">50*8 </t>
    </r>
    <r>
      <rPr>
        <sz val="10"/>
        <rFont val="FreeSans"/>
        <family val="2"/>
      </rPr>
      <t xml:space="preserve">پلاستيکي</t>
    </r>
  </si>
  <si>
    <t xml:space="preserve">31267110</t>
  </si>
  <si>
    <r>
      <rPr>
        <sz val="10"/>
        <rFont val="FreeSans"/>
        <family val="2"/>
      </rPr>
      <t xml:space="preserve">رول بولت         </t>
    </r>
    <r>
      <rPr>
        <sz val="10"/>
        <rFont val="Vazirmatn"/>
        <family val="0"/>
        <charset val="1"/>
      </rPr>
      <t xml:space="preserve">10mm</t>
    </r>
  </si>
  <si>
    <t xml:space="preserve">5002309</t>
  </si>
  <si>
    <r>
      <rPr>
        <sz val="10"/>
        <rFont val="FreeSans"/>
        <family val="2"/>
      </rPr>
      <t xml:space="preserve">رول بولت </t>
    </r>
    <r>
      <rPr>
        <sz val="10"/>
        <rFont val="Vazirmatn"/>
        <family val="0"/>
        <charset val="1"/>
      </rPr>
      <t xml:space="preserve">100*10 Galv.</t>
    </r>
  </si>
  <si>
    <t xml:space="preserve">31267111</t>
  </si>
  <si>
    <r>
      <rPr>
        <sz val="10"/>
        <rFont val="FreeSans"/>
        <family val="2"/>
      </rPr>
      <t xml:space="preserve">رول پلاک  </t>
    </r>
    <r>
      <rPr>
        <sz val="10"/>
        <rFont val="Vazirmatn"/>
        <family val="0"/>
        <charset val="1"/>
      </rPr>
      <t xml:space="preserve">5mm</t>
    </r>
  </si>
  <si>
    <t xml:space="preserve">5005012</t>
  </si>
  <si>
    <r>
      <rPr>
        <sz val="10"/>
        <rFont val="FreeSans"/>
        <family val="2"/>
      </rPr>
      <t xml:space="preserve">رول پلاک </t>
    </r>
    <r>
      <rPr>
        <sz val="10"/>
        <rFont val="Vazirmatn"/>
        <family val="0"/>
        <charset val="1"/>
      </rPr>
      <t xml:space="preserve">30*5</t>
    </r>
    <r>
      <rPr>
        <sz val="10"/>
        <rFont val="FreeSans"/>
        <family val="2"/>
      </rPr>
      <t xml:space="preserve">پلاستيکي</t>
    </r>
  </si>
  <si>
    <t xml:space="preserve">31267115</t>
  </si>
  <si>
    <r>
      <rPr>
        <sz val="10"/>
        <rFont val="FreeSans"/>
        <family val="2"/>
      </rPr>
      <t xml:space="preserve">رول پلاک پروانه ای </t>
    </r>
    <r>
      <rPr>
        <sz val="10"/>
        <rFont val="Vazirmatn"/>
        <family val="0"/>
        <charset val="1"/>
      </rPr>
      <t xml:space="preserve">( 5Cm  ( 12*2mm</t>
    </r>
  </si>
  <si>
    <t xml:space="preserve">5019742</t>
  </si>
  <si>
    <r>
      <rPr>
        <sz val="10"/>
        <rFont val="FreeSans"/>
        <family val="2"/>
      </rPr>
      <t xml:space="preserve">رول پلاک پروانه ای</t>
    </r>
    <r>
      <rPr>
        <sz val="10"/>
        <rFont val="Vazirmatn"/>
        <family val="0"/>
        <charset val="1"/>
      </rPr>
      <t xml:space="preserve">-5cm</t>
    </r>
  </si>
  <si>
    <t xml:space="preserve">31267117</t>
  </si>
  <si>
    <r>
      <rPr>
        <sz val="10"/>
        <rFont val="FreeSans"/>
        <family val="2"/>
      </rPr>
      <t xml:space="preserve">رول بولت         </t>
    </r>
    <r>
      <rPr>
        <sz val="10"/>
        <rFont val="Vazirmatn"/>
        <family val="0"/>
        <charset val="1"/>
      </rPr>
      <t xml:space="preserve">12mm</t>
    </r>
  </si>
  <si>
    <t xml:space="preserve">4033974</t>
  </si>
  <si>
    <r>
      <rPr>
        <sz val="10"/>
        <rFont val="FreeSans"/>
        <family val="2"/>
      </rPr>
      <t xml:space="preserve">رول بولت </t>
    </r>
    <r>
      <rPr>
        <sz val="10"/>
        <rFont val="Vazirmatn"/>
        <family val="0"/>
        <charset val="1"/>
      </rPr>
      <t xml:space="preserve">R-HPT  M12*120mm</t>
    </r>
  </si>
  <si>
    <t xml:space="preserve">31267124</t>
  </si>
  <si>
    <r>
      <rPr>
        <sz val="10"/>
        <rFont val="FreeSans"/>
        <family val="2"/>
      </rPr>
      <t xml:space="preserve">رولپلاک   </t>
    </r>
    <r>
      <rPr>
        <sz val="10"/>
        <rFont val="Vazirmatn"/>
        <family val="0"/>
        <charset val="1"/>
      </rPr>
      <t xml:space="preserve">12</t>
    </r>
  </si>
  <si>
    <t xml:space="preserve">4026993</t>
  </si>
  <si>
    <r>
      <rPr>
        <sz val="10"/>
        <rFont val="FreeSans"/>
        <family val="2"/>
      </rPr>
      <t xml:space="preserve">رولپلاک معمولی نمره </t>
    </r>
    <r>
      <rPr>
        <sz val="10"/>
        <rFont val="Vazirmatn"/>
        <family val="0"/>
        <charset val="1"/>
      </rPr>
      <t xml:space="preserve">12</t>
    </r>
  </si>
  <si>
    <t xml:space="preserve">31269200</t>
  </si>
  <si>
    <r>
      <rPr>
        <sz val="10"/>
        <rFont val="FreeSans"/>
        <family val="2"/>
      </rPr>
      <t xml:space="preserve">سوزن گیر آرگون </t>
    </r>
    <r>
      <rPr>
        <sz val="10"/>
        <rFont val="Vazirmatn"/>
        <family val="0"/>
        <charset val="1"/>
      </rPr>
      <t xml:space="preserve">2/4</t>
    </r>
  </si>
  <si>
    <t xml:space="preserve">5008097</t>
  </si>
  <si>
    <r>
      <rPr>
        <sz val="10"/>
        <rFont val="FreeSans"/>
        <family val="2"/>
      </rPr>
      <t xml:space="preserve">سوزن گیر  تورچ آرگون </t>
    </r>
    <r>
      <rPr>
        <sz val="10"/>
        <rFont val="Vazirmatn"/>
        <family val="0"/>
        <charset val="1"/>
      </rPr>
      <t xml:space="preserve">2.4mm</t>
    </r>
  </si>
  <si>
    <t xml:space="preserve">31269202</t>
  </si>
  <si>
    <r>
      <rPr>
        <sz val="10"/>
        <rFont val="FreeSans"/>
        <family val="2"/>
      </rPr>
      <t xml:space="preserve">سرامیک آرگون </t>
    </r>
    <r>
      <rPr>
        <sz val="10"/>
        <rFont val="Vazirmatn"/>
        <family val="0"/>
        <charset val="1"/>
      </rPr>
      <t xml:space="preserve">8</t>
    </r>
  </si>
  <si>
    <t xml:space="preserve">4025994</t>
  </si>
  <si>
    <r>
      <rPr>
        <sz val="10"/>
        <rFont val="FreeSans"/>
        <family val="2"/>
      </rPr>
      <t xml:space="preserve">سرامیک تورچ آرگون نمره </t>
    </r>
    <r>
      <rPr>
        <sz val="10"/>
        <rFont val="Vazirmatn"/>
        <family val="0"/>
        <charset val="1"/>
      </rPr>
      <t xml:space="preserve">8</t>
    </r>
  </si>
  <si>
    <t xml:space="preserve">31269204</t>
  </si>
  <si>
    <r>
      <rPr>
        <sz val="10"/>
        <rFont val="FreeSans"/>
        <family val="2"/>
      </rPr>
      <t xml:space="preserve">سوزن گیر آرگون </t>
    </r>
    <r>
      <rPr>
        <sz val="10"/>
        <rFont val="Vazirmatn"/>
        <family val="0"/>
        <charset val="1"/>
      </rPr>
      <t xml:space="preserve">1/6</t>
    </r>
  </si>
  <si>
    <t xml:space="preserve">4023020</t>
  </si>
  <si>
    <r>
      <rPr>
        <sz val="10"/>
        <rFont val="FreeSans"/>
        <family val="2"/>
      </rPr>
      <t xml:space="preserve">سوزن گیر  تورچ آرگون </t>
    </r>
    <r>
      <rPr>
        <sz val="10"/>
        <rFont val="Vazirmatn"/>
        <family val="0"/>
        <charset val="1"/>
      </rPr>
      <t xml:space="preserve">1.6mm</t>
    </r>
  </si>
  <si>
    <t xml:space="preserve">31269285</t>
  </si>
  <si>
    <t xml:space="preserve">قلاب</t>
  </si>
  <si>
    <t xml:space="preserve">4018537</t>
  </si>
  <si>
    <t xml:space="preserve">قلاب جرثقیل</t>
  </si>
  <si>
    <t xml:space="preserve">31269324</t>
  </si>
  <si>
    <t xml:space="preserve">قلاب چرخ دوخت</t>
  </si>
  <si>
    <t xml:space="preserve">4052283</t>
  </si>
  <si>
    <r>
      <rPr>
        <sz val="10"/>
        <rFont val="FreeSans"/>
        <family val="2"/>
      </rPr>
      <t xml:space="preserve">قلاب چرخ دوخت صنعتی </t>
    </r>
    <r>
      <rPr>
        <sz val="10"/>
        <rFont val="Vazirmatn"/>
        <family val="0"/>
        <charset val="1"/>
      </rPr>
      <t xml:space="preserve">BAOFENG</t>
    </r>
  </si>
  <si>
    <t xml:space="preserve">31269350</t>
  </si>
  <si>
    <r>
      <rPr>
        <sz val="10"/>
        <rFont val="FreeSans"/>
        <family val="2"/>
      </rPr>
      <t xml:space="preserve">لقمه اتو  </t>
    </r>
    <r>
      <rPr>
        <sz val="10"/>
        <rFont val="Vazirmatn"/>
        <family val="0"/>
        <charset val="1"/>
      </rPr>
      <t xml:space="preserve">20</t>
    </r>
  </si>
  <si>
    <t xml:space="preserve">4026422</t>
  </si>
  <si>
    <r>
      <rPr>
        <sz val="10"/>
        <rFont val="FreeSans"/>
        <family val="2"/>
      </rPr>
      <t xml:space="preserve">لقمه اتو لوله سبز </t>
    </r>
    <r>
      <rPr>
        <sz val="10"/>
        <rFont val="Vazirmatn"/>
        <family val="0"/>
        <charset val="1"/>
      </rPr>
      <t xml:space="preserve">M20</t>
    </r>
  </si>
  <si>
    <t xml:space="preserve">31269351</t>
  </si>
  <si>
    <r>
      <rPr>
        <sz val="10"/>
        <rFont val="FreeSans"/>
        <family val="2"/>
      </rPr>
      <t xml:space="preserve">لقمه اتو  </t>
    </r>
    <r>
      <rPr>
        <sz val="10"/>
        <rFont val="Vazirmatn"/>
        <family val="0"/>
        <charset val="1"/>
      </rPr>
      <t xml:space="preserve">25</t>
    </r>
  </si>
  <si>
    <t xml:space="preserve">4026421</t>
  </si>
  <si>
    <r>
      <rPr>
        <sz val="10"/>
        <rFont val="FreeSans"/>
        <family val="2"/>
      </rPr>
      <t xml:space="preserve">لقمه اتو لوله سبز </t>
    </r>
    <r>
      <rPr>
        <sz val="10"/>
        <rFont val="Vazirmatn"/>
        <family val="0"/>
        <charset val="1"/>
      </rPr>
      <t xml:space="preserve">M25</t>
    </r>
  </si>
  <si>
    <t xml:space="preserve">31269352</t>
  </si>
  <si>
    <r>
      <rPr>
        <sz val="10"/>
        <rFont val="FreeSans"/>
        <family val="2"/>
      </rPr>
      <t xml:space="preserve">لقمه اتو  </t>
    </r>
    <r>
      <rPr>
        <sz val="10"/>
        <rFont val="Vazirmatn"/>
        <family val="0"/>
        <charset val="1"/>
      </rPr>
      <t xml:space="preserve">32</t>
    </r>
  </si>
  <si>
    <t xml:space="preserve">4026420</t>
  </si>
  <si>
    <r>
      <rPr>
        <sz val="10"/>
        <rFont val="FreeSans"/>
        <family val="2"/>
      </rPr>
      <t xml:space="preserve">لقمه اتو لوله سبز </t>
    </r>
    <r>
      <rPr>
        <sz val="10"/>
        <rFont val="Vazirmatn"/>
        <family val="0"/>
        <charset val="1"/>
      </rPr>
      <t xml:space="preserve">M32</t>
    </r>
  </si>
  <si>
    <t xml:space="preserve">31269353</t>
  </si>
  <si>
    <r>
      <rPr>
        <sz val="10"/>
        <rFont val="FreeSans"/>
        <family val="2"/>
      </rPr>
      <t xml:space="preserve">لقمه اتو  </t>
    </r>
    <r>
      <rPr>
        <sz val="10"/>
        <rFont val="Vazirmatn"/>
        <family val="0"/>
        <charset val="1"/>
      </rPr>
      <t xml:space="preserve">50</t>
    </r>
  </si>
  <si>
    <t xml:space="preserve">31269441</t>
  </si>
  <si>
    <r>
      <rPr>
        <sz val="10"/>
        <rFont val="FreeSans"/>
        <family val="2"/>
      </rPr>
      <t xml:space="preserve">قلاویز                 </t>
    </r>
    <r>
      <rPr>
        <sz val="10"/>
        <rFont val="Vazirmatn"/>
        <family val="0"/>
        <charset val="1"/>
      </rPr>
      <t xml:space="preserve">16 mm</t>
    </r>
  </si>
  <si>
    <t xml:space="preserve">4011012</t>
  </si>
  <si>
    <r>
      <rPr>
        <sz val="10"/>
        <rFont val="FreeSans"/>
        <family val="2"/>
      </rPr>
      <t xml:space="preserve">قلاويز ماشيني </t>
    </r>
    <r>
      <rPr>
        <sz val="10"/>
        <rFont val="Vazirmatn"/>
        <family val="0"/>
        <charset val="1"/>
      </rPr>
      <t xml:space="preserve">M16</t>
    </r>
  </si>
  <si>
    <t xml:space="preserve">31269446</t>
  </si>
  <si>
    <r>
      <rPr>
        <sz val="10"/>
        <rFont val="FreeSans"/>
        <family val="2"/>
      </rPr>
      <t xml:space="preserve">قلاویز                 </t>
    </r>
    <r>
      <rPr>
        <sz val="10"/>
        <rFont val="Vazirmatn"/>
        <family val="0"/>
        <charset val="1"/>
      </rPr>
      <t xml:space="preserve">10 mm</t>
    </r>
  </si>
  <si>
    <t xml:space="preserve">31269457</t>
  </si>
  <si>
    <t xml:space="preserve">دسته  چرخ دوخت</t>
  </si>
  <si>
    <t xml:space="preserve">4012546</t>
  </si>
  <si>
    <t xml:space="preserve">دسته چرخ دوخت گوني</t>
  </si>
  <si>
    <t xml:space="preserve">31269460</t>
  </si>
  <si>
    <r>
      <rPr>
        <sz val="10"/>
        <rFont val="FreeSans"/>
        <family val="2"/>
      </rPr>
      <t xml:space="preserve">قلاویز  </t>
    </r>
    <r>
      <rPr>
        <sz val="10"/>
        <rFont val="Vazirmatn"/>
        <family val="0"/>
        <charset val="1"/>
      </rPr>
      <t xml:space="preserve">M 3/4 - 10</t>
    </r>
  </si>
  <si>
    <t xml:space="preserve">4037671</t>
  </si>
  <si>
    <r>
      <rPr>
        <sz val="10"/>
        <rFont val="FreeSans"/>
        <family val="2"/>
      </rPr>
      <t xml:space="preserve">قلاویز دستی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</si>
  <si>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31269461</t>
  </si>
  <si>
    <r>
      <rPr>
        <sz val="10"/>
        <rFont val="FreeSans"/>
        <family val="2"/>
      </rPr>
      <t xml:space="preserve">قلاویز      </t>
    </r>
    <r>
      <rPr>
        <sz val="10"/>
        <rFont val="Vazirmatn"/>
        <family val="0"/>
        <charset val="1"/>
      </rPr>
      <t xml:space="preserve">"1</t>
    </r>
  </si>
  <si>
    <t xml:space="preserve">4037663</t>
  </si>
  <si>
    <r>
      <rPr>
        <sz val="10"/>
        <rFont val="FreeSans"/>
        <family val="2"/>
      </rPr>
      <t xml:space="preserve">قلاویز دستی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</si>
  <si>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31269463</t>
  </si>
  <si>
    <r>
      <rPr>
        <sz val="10"/>
        <rFont val="FreeSans"/>
        <family val="2"/>
      </rPr>
      <t xml:space="preserve">قلاویز             </t>
    </r>
    <r>
      <rPr>
        <sz val="10"/>
        <rFont val="Vazirmatn"/>
        <family val="0"/>
        <charset val="1"/>
      </rPr>
      <t xml:space="preserve">6 mm</t>
    </r>
  </si>
  <si>
    <t xml:space="preserve">4025981</t>
  </si>
  <si>
    <r>
      <rPr>
        <sz val="10"/>
        <rFont val="FreeSans"/>
        <family val="2"/>
      </rPr>
      <t xml:space="preserve">قلاویز دستی نمره </t>
    </r>
    <r>
      <rPr>
        <sz val="10"/>
        <rFont val="Vazirmatn"/>
        <family val="0"/>
        <charset val="1"/>
      </rPr>
      <t xml:space="preserve">6</t>
    </r>
  </si>
  <si>
    <t xml:space="preserve">31269466</t>
  </si>
  <si>
    <r>
      <rPr>
        <sz val="10"/>
        <rFont val="FreeSans"/>
        <family val="2"/>
      </rPr>
      <t xml:space="preserve">قلاویز            </t>
    </r>
    <r>
      <rPr>
        <sz val="10"/>
        <rFont val="Vazirmatn"/>
        <family val="0"/>
        <charset val="1"/>
      </rPr>
      <t xml:space="preserve">12 mm</t>
    </r>
  </si>
  <si>
    <t xml:space="preserve">4030677</t>
  </si>
  <si>
    <r>
      <rPr>
        <sz val="10"/>
        <rFont val="FreeSans"/>
        <family val="2"/>
      </rPr>
      <t xml:space="preserve">قلاویز دستی نمره </t>
    </r>
    <r>
      <rPr>
        <sz val="10"/>
        <rFont val="Vazirmatn"/>
        <family val="0"/>
        <charset val="1"/>
      </rPr>
      <t xml:space="preserve">12</t>
    </r>
  </si>
  <si>
    <t xml:space="preserve">31269484</t>
  </si>
  <si>
    <r>
      <rPr>
        <sz val="10"/>
        <rFont val="FreeSans"/>
        <family val="2"/>
      </rPr>
      <t xml:space="preserve">قلاویز  </t>
    </r>
    <r>
      <rPr>
        <sz val="10"/>
        <rFont val="Vazirmatn"/>
        <family val="0"/>
        <charset val="1"/>
      </rPr>
      <t xml:space="preserve">M6*1</t>
    </r>
  </si>
  <si>
    <t xml:space="preserve">31269555</t>
  </si>
  <si>
    <t xml:space="preserve">دسته حدیده</t>
  </si>
  <si>
    <t xml:space="preserve">4037248</t>
  </si>
  <si>
    <r>
      <rPr>
        <sz val="10"/>
        <rFont val="FreeSans"/>
        <family val="2"/>
      </rPr>
      <t xml:space="preserve">دسته حدیده </t>
    </r>
    <r>
      <rPr>
        <sz val="10"/>
        <rFont val="Vazirmatn"/>
        <family val="0"/>
        <charset val="1"/>
      </rPr>
      <t xml:space="preserve">9*25</t>
    </r>
  </si>
  <si>
    <t xml:space="preserve">31269623</t>
  </si>
  <si>
    <r>
      <rPr>
        <sz val="10"/>
        <rFont val="FreeSans"/>
        <family val="2"/>
      </rPr>
      <t xml:space="preserve">فرز  انگشتی  </t>
    </r>
    <r>
      <rPr>
        <sz val="10"/>
        <rFont val="Vazirmatn"/>
        <family val="0"/>
        <charset val="1"/>
      </rPr>
      <t xml:space="preserve">10mm</t>
    </r>
  </si>
  <si>
    <t xml:space="preserve">4011000</t>
  </si>
  <si>
    <r>
      <rPr>
        <sz val="10"/>
        <rFont val="FreeSans"/>
        <family val="2"/>
      </rPr>
      <t xml:space="preserve">فرز انگشتي استوانه </t>
    </r>
    <r>
      <rPr>
        <sz val="10"/>
        <rFont val="Vazirmatn"/>
        <family val="0"/>
        <charset val="1"/>
      </rPr>
      <t xml:space="preserve">10mm</t>
    </r>
  </si>
  <si>
    <t xml:space="preserve">31269752</t>
  </si>
  <si>
    <r>
      <rPr>
        <sz val="10"/>
        <rFont val="FreeSans"/>
        <family val="2"/>
      </rPr>
      <t xml:space="preserve">مته آهنی   </t>
    </r>
    <r>
      <rPr>
        <sz val="10"/>
        <rFont val="Vazirmatn"/>
        <family val="0"/>
        <charset val="1"/>
      </rPr>
      <t xml:space="preserve">8MM</t>
    </r>
  </si>
  <si>
    <t xml:space="preserve">5003764</t>
  </si>
  <si>
    <r>
      <rPr>
        <sz val="10"/>
        <rFont val="FreeSans"/>
        <family val="2"/>
      </rPr>
      <t xml:space="preserve">مته آهن </t>
    </r>
    <r>
      <rPr>
        <sz val="10"/>
        <rFont val="Vazirmatn"/>
        <family val="0"/>
        <charset val="1"/>
      </rPr>
      <t xml:space="preserve">8</t>
    </r>
  </si>
  <si>
    <t xml:space="preserve">31269779</t>
  </si>
  <si>
    <r>
      <rPr>
        <sz val="10"/>
        <rFont val="FreeSans"/>
        <family val="2"/>
      </rPr>
      <t xml:space="preserve">مته آهنی       </t>
    </r>
    <r>
      <rPr>
        <sz val="10"/>
        <rFont val="Vazirmatn"/>
        <family val="0"/>
        <charset val="1"/>
      </rPr>
      <t xml:space="preserve">13</t>
    </r>
  </si>
  <si>
    <t xml:space="preserve">5003772</t>
  </si>
  <si>
    <r>
      <rPr>
        <sz val="10"/>
        <rFont val="FreeSans"/>
        <family val="2"/>
      </rPr>
      <t xml:space="preserve">مته آهن </t>
    </r>
    <r>
      <rPr>
        <sz val="10"/>
        <rFont val="Vazirmatn"/>
        <family val="0"/>
        <charset val="1"/>
      </rPr>
      <t xml:space="preserve">13</t>
    </r>
  </si>
  <si>
    <t xml:space="preserve">31269780</t>
  </si>
  <si>
    <r>
      <rPr>
        <sz val="10"/>
        <rFont val="FreeSans"/>
        <family val="2"/>
      </rPr>
      <t xml:space="preserve">مته آهنی       </t>
    </r>
    <r>
      <rPr>
        <sz val="10"/>
        <rFont val="Vazirmatn"/>
        <family val="0"/>
        <charset val="1"/>
      </rPr>
      <t xml:space="preserve">16</t>
    </r>
  </si>
  <si>
    <t xml:space="preserve">5003774</t>
  </si>
  <si>
    <r>
      <rPr>
        <sz val="10"/>
        <rFont val="FreeSans"/>
        <family val="2"/>
      </rPr>
      <t xml:space="preserve">مته آهن </t>
    </r>
    <r>
      <rPr>
        <sz val="10"/>
        <rFont val="Vazirmatn"/>
        <family val="0"/>
        <charset val="1"/>
      </rPr>
      <t xml:space="preserve">16</t>
    </r>
  </si>
  <si>
    <t xml:space="preserve">31269781</t>
  </si>
  <si>
    <r>
      <rPr>
        <sz val="10"/>
        <rFont val="FreeSans"/>
        <family val="2"/>
      </rPr>
      <t xml:space="preserve">مته آهنی       </t>
    </r>
    <r>
      <rPr>
        <sz val="10"/>
        <rFont val="Vazirmatn"/>
        <family val="0"/>
        <charset val="1"/>
      </rPr>
      <t xml:space="preserve">18</t>
    </r>
  </si>
  <si>
    <t xml:space="preserve">5003776</t>
  </si>
  <si>
    <r>
      <rPr>
        <sz val="10"/>
        <rFont val="FreeSans"/>
        <family val="2"/>
      </rPr>
      <t xml:space="preserve">مته آهن </t>
    </r>
    <r>
      <rPr>
        <sz val="10"/>
        <rFont val="Vazirmatn"/>
        <family val="0"/>
        <charset val="1"/>
      </rPr>
      <t xml:space="preserve">18</t>
    </r>
  </si>
  <si>
    <t xml:space="preserve">31269799</t>
  </si>
  <si>
    <r>
      <rPr>
        <sz val="10"/>
        <rFont val="FreeSans"/>
        <family val="2"/>
      </rPr>
      <t xml:space="preserve">مته الماسه                </t>
    </r>
    <r>
      <rPr>
        <sz val="10"/>
        <rFont val="Vazirmatn"/>
        <family val="0"/>
        <charset val="1"/>
      </rPr>
      <t xml:space="preserve">5   mm</t>
    </r>
  </si>
  <si>
    <t xml:space="preserve">5005558</t>
  </si>
  <si>
    <r>
      <rPr>
        <sz val="10"/>
        <rFont val="FreeSans"/>
        <family val="2"/>
      </rPr>
      <t xml:space="preserve">مته الماسه دوپر </t>
    </r>
    <r>
      <rPr>
        <sz val="10"/>
        <rFont val="Vazirmatn"/>
        <family val="0"/>
        <charset val="1"/>
      </rPr>
      <t xml:space="preserve">5</t>
    </r>
  </si>
  <si>
    <t xml:space="preserve">31269801</t>
  </si>
  <si>
    <r>
      <rPr>
        <sz val="10"/>
        <rFont val="FreeSans"/>
        <family val="2"/>
      </rPr>
      <t xml:space="preserve">مته استیل          </t>
    </r>
    <r>
      <rPr>
        <sz val="10"/>
        <rFont val="Vazirmatn"/>
        <family val="0"/>
        <charset val="1"/>
      </rPr>
      <t xml:space="preserve">HSSE  C0  5%    6/5mm</t>
    </r>
  </si>
  <si>
    <t xml:space="preserve">5005552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</si>
  <si>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6.5</t>
    </r>
  </si>
  <si>
    <t xml:space="preserve">31269807</t>
  </si>
  <si>
    <r>
      <rPr>
        <sz val="10"/>
        <rFont val="FreeSans"/>
        <family val="2"/>
      </rPr>
      <t xml:space="preserve">مته الماسه                </t>
    </r>
    <r>
      <rPr>
        <sz val="10"/>
        <rFont val="Vazirmatn"/>
        <family val="0"/>
        <charset val="1"/>
      </rPr>
      <t xml:space="preserve">7   mm</t>
    </r>
  </si>
  <si>
    <t xml:space="preserve">4002051</t>
  </si>
  <si>
    <r>
      <rPr>
        <sz val="10"/>
        <rFont val="FreeSans"/>
        <family val="2"/>
      </rPr>
      <t xml:space="preserve">مته الماسه نمره </t>
    </r>
    <r>
      <rPr>
        <sz val="10"/>
        <rFont val="Vazirmatn"/>
        <family val="0"/>
        <charset val="1"/>
      </rPr>
      <t xml:space="preserve">7</t>
    </r>
  </si>
  <si>
    <t xml:space="preserve">31269809</t>
  </si>
  <si>
    <r>
      <rPr>
        <sz val="10"/>
        <rFont val="FreeSans"/>
        <family val="2"/>
      </rPr>
      <t xml:space="preserve">مته الماسه               </t>
    </r>
    <r>
      <rPr>
        <sz val="10"/>
        <rFont val="Vazirmatn"/>
        <family val="0"/>
        <charset val="1"/>
      </rPr>
      <t xml:space="preserve">10  mm</t>
    </r>
  </si>
  <si>
    <t xml:space="preserve">5003785</t>
  </si>
  <si>
    <r>
      <rPr>
        <sz val="10"/>
        <rFont val="FreeSans"/>
        <family val="2"/>
      </rPr>
      <t xml:space="preserve">مته الماسه دوپر </t>
    </r>
    <r>
      <rPr>
        <sz val="10"/>
        <rFont val="Vazirmatn"/>
        <family val="0"/>
        <charset val="1"/>
      </rPr>
      <t xml:space="preserve">10</t>
    </r>
  </si>
  <si>
    <t xml:space="preserve">31269810</t>
  </si>
  <si>
    <r>
      <rPr>
        <sz val="10"/>
        <rFont val="FreeSans"/>
        <family val="2"/>
      </rPr>
      <t xml:space="preserve">مته الماسه                </t>
    </r>
    <r>
      <rPr>
        <sz val="10"/>
        <rFont val="Vazirmatn"/>
        <family val="0"/>
        <charset val="1"/>
      </rPr>
      <t xml:space="preserve">8   mm</t>
    </r>
  </si>
  <si>
    <t xml:space="preserve">5003784</t>
  </si>
  <si>
    <r>
      <rPr>
        <sz val="10"/>
        <rFont val="FreeSans"/>
        <family val="2"/>
      </rPr>
      <t xml:space="preserve">مته الماسه دوپر </t>
    </r>
    <r>
      <rPr>
        <sz val="10"/>
        <rFont val="Vazirmatn"/>
        <family val="0"/>
        <charset val="1"/>
      </rPr>
      <t xml:space="preserve">8</t>
    </r>
  </si>
  <si>
    <t xml:space="preserve">31269811</t>
  </si>
  <si>
    <r>
      <rPr>
        <sz val="10"/>
        <rFont val="FreeSans"/>
        <family val="2"/>
      </rPr>
      <t xml:space="preserve">مته الماسه    </t>
    </r>
    <r>
      <rPr>
        <sz val="10"/>
        <rFont val="Vazirmatn"/>
        <family val="0"/>
        <charset val="1"/>
      </rPr>
      <t xml:space="preserve">4</t>
    </r>
  </si>
  <si>
    <t xml:space="preserve">5005565</t>
  </si>
  <si>
    <r>
      <rPr>
        <sz val="10"/>
        <rFont val="FreeSans"/>
        <family val="2"/>
      </rPr>
      <t xml:space="preserve">مته الماسه دوپر </t>
    </r>
    <r>
      <rPr>
        <sz val="10"/>
        <rFont val="Vazirmatn"/>
        <family val="0"/>
        <charset val="1"/>
      </rPr>
      <t xml:space="preserve">4</t>
    </r>
  </si>
  <si>
    <t xml:space="preserve">31269812</t>
  </si>
  <si>
    <r>
      <rPr>
        <sz val="10"/>
        <rFont val="FreeSans"/>
        <family val="2"/>
      </rPr>
      <t xml:space="preserve">مته الماسه                 </t>
    </r>
    <r>
      <rPr>
        <sz val="10"/>
        <rFont val="Vazirmatn"/>
        <family val="0"/>
        <charset val="1"/>
      </rPr>
      <t xml:space="preserve">mm   6</t>
    </r>
  </si>
  <si>
    <t xml:space="preserve">5003782</t>
  </si>
  <si>
    <r>
      <rPr>
        <sz val="10"/>
        <rFont val="FreeSans"/>
        <family val="2"/>
      </rPr>
      <t xml:space="preserve">مته الماسه دوپر </t>
    </r>
    <r>
      <rPr>
        <sz val="10"/>
        <rFont val="Vazirmatn"/>
        <family val="0"/>
        <charset val="1"/>
      </rPr>
      <t xml:space="preserve">6</t>
    </r>
  </si>
  <si>
    <t xml:space="preserve">31269814</t>
  </si>
  <si>
    <r>
      <rPr>
        <sz val="10"/>
        <rFont val="FreeSans"/>
        <family val="2"/>
      </rPr>
      <t xml:space="preserve">مته استیل         </t>
    </r>
    <r>
      <rPr>
        <sz val="10"/>
        <rFont val="Vazirmatn"/>
        <family val="0"/>
        <charset val="1"/>
      </rPr>
      <t xml:space="preserve">HSSE  C0  5%    18  mm</t>
    </r>
  </si>
  <si>
    <t xml:space="preserve">5005575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</si>
  <si>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18</t>
    </r>
  </si>
  <si>
    <t xml:space="preserve">31269815</t>
  </si>
  <si>
    <r>
      <rPr>
        <sz val="10"/>
        <rFont val="FreeSans"/>
        <family val="2"/>
      </rPr>
      <t xml:space="preserve">مته استیل     </t>
    </r>
    <r>
      <rPr>
        <sz val="10"/>
        <rFont val="Vazirmatn"/>
        <family val="0"/>
        <charset val="1"/>
      </rPr>
      <t xml:space="preserve">HSSE  C0  5%   16mm</t>
    </r>
  </si>
  <si>
    <t xml:space="preserve">5005576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</si>
  <si>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16</t>
    </r>
  </si>
  <si>
    <t xml:space="preserve">31269817</t>
  </si>
  <si>
    <r>
      <rPr>
        <sz val="10"/>
        <rFont val="FreeSans"/>
        <family val="2"/>
      </rPr>
      <t xml:space="preserve">مته استیل           </t>
    </r>
    <r>
      <rPr>
        <sz val="10"/>
        <rFont val="Vazirmatn"/>
        <family val="0"/>
        <charset val="1"/>
      </rPr>
      <t xml:space="preserve">HSSE  C0  5%  10  mm</t>
    </r>
  </si>
  <si>
    <t xml:space="preserve">5005557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</si>
  <si>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10</t>
    </r>
  </si>
  <si>
    <t xml:space="preserve">31269818</t>
  </si>
  <si>
    <r>
      <rPr>
        <sz val="10"/>
        <rFont val="FreeSans"/>
        <family val="2"/>
      </rPr>
      <t xml:space="preserve">مته استیل         </t>
    </r>
    <r>
      <rPr>
        <sz val="10"/>
        <rFont val="Vazirmatn"/>
        <family val="0"/>
        <charset val="1"/>
      </rPr>
      <t xml:space="preserve">HSSE  C0  5%     5mm</t>
    </r>
  </si>
  <si>
    <t xml:space="preserve">4015670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</si>
  <si>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5</t>
    </r>
  </si>
  <si>
    <t xml:space="preserve">31269819</t>
  </si>
  <si>
    <r>
      <rPr>
        <sz val="10"/>
        <rFont val="FreeSans"/>
        <family val="2"/>
      </rPr>
      <t xml:space="preserve">مته استیل                 </t>
    </r>
    <r>
      <rPr>
        <sz val="10"/>
        <rFont val="Vazirmatn"/>
        <family val="0"/>
        <charset val="1"/>
      </rPr>
      <t xml:space="preserve">4/5    mm</t>
    </r>
  </si>
  <si>
    <t xml:space="preserve">5005550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</si>
  <si>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4.5</t>
    </r>
  </si>
  <si>
    <t xml:space="preserve">31269820</t>
  </si>
  <si>
    <r>
      <rPr>
        <sz val="10"/>
        <rFont val="FreeSans"/>
        <family val="2"/>
      </rPr>
      <t xml:space="preserve">مته استیل         </t>
    </r>
    <r>
      <rPr>
        <sz val="10"/>
        <rFont val="Vazirmatn"/>
        <family val="0"/>
        <charset val="1"/>
      </rPr>
      <t xml:space="preserve">HSSE  C0  5%    4mm</t>
    </r>
  </si>
  <si>
    <t xml:space="preserve">5005541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</si>
  <si>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4</t>
    </r>
  </si>
  <si>
    <t xml:space="preserve">31269821</t>
  </si>
  <si>
    <r>
      <rPr>
        <sz val="10"/>
        <rFont val="FreeSans"/>
        <family val="2"/>
      </rPr>
      <t xml:space="preserve">مته استیل        </t>
    </r>
    <r>
      <rPr>
        <sz val="10"/>
        <rFont val="Vazirmatn"/>
        <family val="0"/>
        <charset val="1"/>
      </rPr>
      <t xml:space="preserve">HSSE  C0  5%     8  mm</t>
    </r>
  </si>
  <si>
    <t xml:space="preserve">5005554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</si>
  <si>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8</t>
    </r>
  </si>
  <si>
    <t xml:space="preserve">31269822</t>
  </si>
  <si>
    <r>
      <rPr>
        <sz val="10"/>
        <rFont val="FreeSans"/>
        <family val="2"/>
      </rPr>
      <t xml:space="preserve">مته استیل     </t>
    </r>
    <r>
      <rPr>
        <sz val="10"/>
        <rFont val="Vazirmatn"/>
        <family val="0"/>
        <charset val="1"/>
      </rPr>
      <t xml:space="preserve">HSSE  C0  5%    12mm</t>
    </r>
  </si>
  <si>
    <t xml:space="preserve">5005573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</si>
  <si>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12</t>
    </r>
  </si>
  <si>
    <t xml:space="preserve">31269823</t>
  </si>
  <si>
    <r>
      <rPr>
        <sz val="10"/>
        <rFont val="FreeSans"/>
        <family val="2"/>
      </rPr>
      <t xml:space="preserve">مته استیل     </t>
    </r>
    <r>
      <rPr>
        <sz val="10"/>
        <rFont val="Vazirmatn"/>
        <family val="0"/>
        <charset val="1"/>
      </rPr>
      <t xml:space="preserve">HSSE  C0  5%     3mm</t>
    </r>
  </si>
  <si>
    <t xml:space="preserve">31269824</t>
  </si>
  <si>
    <r>
      <rPr>
        <sz val="10"/>
        <rFont val="FreeSans"/>
        <family val="2"/>
      </rPr>
      <t xml:space="preserve">مته استیل         </t>
    </r>
    <r>
      <rPr>
        <sz val="10"/>
        <rFont val="Vazirmatn"/>
        <family val="0"/>
        <charset val="1"/>
      </rPr>
      <t xml:space="preserve">HSSE  C0  5%    6mm</t>
    </r>
  </si>
  <si>
    <t xml:space="preserve">5005551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</si>
  <si>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6</t>
    </r>
  </si>
  <si>
    <t xml:space="preserve">31269825</t>
  </si>
  <si>
    <r>
      <rPr>
        <sz val="10"/>
        <rFont val="FreeSans"/>
        <family val="2"/>
      </rPr>
      <t xml:space="preserve">مته استیل    </t>
    </r>
    <r>
      <rPr>
        <sz val="10"/>
        <rFont val="Vazirmatn"/>
        <family val="0"/>
        <charset val="1"/>
      </rPr>
      <t xml:space="preserve">HSSE  C0  5%     7mm</t>
    </r>
  </si>
  <si>
    <t xml:space="preserve">5005553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</si>
  <si>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7</t>
    </r>
  </si>
  <si>
    <t xml:space="preserve">31269830</t>
  </si>
  <si>
    <r>
      <rPr>
        <sz val="10"/>
        <rFont val="FreeSans"/>
        <family val="2"/>
      </rPr>
      <t xml:space="preserve">مته استیل     </t>
    </r>
    <r>
      <rPr>
        <sz val="10"/>
        <rFont val="Vazirmatn"/>
        <family val="0"/>
        <charset val="1"/>
      </rPr>
      <t xml:space="preserve">HSSE  C0  5%     3/5mm</t>
    </r>
  </si>
  <si>
    <t xml:space="preserve">5005549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</si>
  <si>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3.5</t>
    </r>
  </si>
  <si>
    <t xml:space="preserve">31269834</t>
  </si>
  <si>
    <r>
      <rPr>
        <sz val="10"/>
        <rFont val="FreeSans"/>
        <family val="2"/>
      </rPr>
      <t xml:space="preserve">مته استیل             </t>
    </r>
    <r>
      <rPr>
        <sz val="10"/>
        <rFont val="Vazirmatn"/>
        <family val="0"/>
        <charset val="1"/>
      </rPr>
      <t xml:space="preserve">HSSE  C0  5%  2mm</t>
    </r>
  </si>
  <si>
    <t xml:space="preserve">31269838</t>
  </si>
  <si>
    <r>
      <rPr>
        <sz val="10"/>
        <rFont val="FreeSans"/>
        <family val="2"/>
      </rPr>
      <t xml:space="preserve">مته استیل      </t>
    </r>
    <r>
      <rPr>
        <sz val="10"/>
        <rFont val="Vazirmatn"/>
        <family val="0"/>
        <charset val="1"/>
      </rPr>
      <t xml:space="preserve">9mm</t>
    </r>
  </si>
  <si>
    <t xml:space="preserve">5005556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</si>
  <si>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9</t>
    </r>
  </si>
  <si>
    <t xml:space="preserve">31269840</t>
  </si>
  <si>
    <r>
      <rPr>
        <sz val="10"/>
        <rFont val="FreeSans"/>
        <family val="2"/>
      </rPr>
      <t xml:space="preserve">مته مرغک  </t>
    </r>
    <r>
      <rPr>
        <sz val="10"/>
        <rFont val="Vazirmatn"/>
        <family val="0"/>
        <charset val="1"/>
      </rPr>
      <t xml:space="preserve">A4 *10mm HSS</t>
    </r>
  </si>
  <si>
    <t xml:space="preserve">31269855</t>
  </si>
  <si>
    <r>
      <rPr>
        <sz val="10"/>
        <rFont val="FreeSans"/>
        <family val="2"/>
      </rPr>
      <t xml:space="preserve">مته استیل     </t>
    </r>
    <r>
      <rPr>
        <sz val="10"/>
        <rFont val="Vazirmatn"/>
        <family val="0"/>
        <charset val="1"/>
      </rPr>
      <t xml:space="preserve">HSSE  C0  5%    14mm</t>
    </r>
  </si>
  <si>
    <t xml:space="preserve">5005577</t>
  </si>
  <si>
    <r>
      <rPr>
        <sz val="10"/>
        <rFont val="FreeSans"/>
        <family val="2"/>
      </rPr>
      <t xml:space="preserve">مته استيل </t>
    </r>
    <r>
      <rPr>
        <sz val="10"/>
        <rFont val="Vazirmatn"/>
        <family val="0"/>
        <charset val="1"/>
      </rPr>
      <t xml:space="preserve">14</t>
    </r>
  </si>
  <si>
    <t xml:space="preserve">31269858</t>
  </si>
  <si>
    <r>
      <rPr>
        <sz val="10"/>
        <rFont val="FreeSans"/>
        <family val="2"/>
      </rPr>
      <t xml:space="preserve">مته کبالت  </t>
    </r>
    <r>
      <rPr>
        <sz val="10"/>
        <rFont val="Vazirmatn"/>
        <family val="0"/>
        <charset val="1"/>
      </rPr>
      <t xml:space="preserve">HSS 5%    4</t>
    </r>
  </si>
  <si>
    <t xml:space="preserve">5015384</t>
  </si>
  <si>
    <r>
      <rPr>
        <sz val="10"/>
        <rFont val="FreeSans"/>
        <family val="2"/>
      </rPr>
      <t xml:space="preserve">مته آهن کبالت </t>
    </r>
    <r>
      <rPr>
        <sz val="10"/>
        <rFont val="Vazirmatn"/>
        <family val="0"/>
        <charset val="1"/>
      </rPr>
      <t xml:space="preserve">4</t>
    </r>
  </si>
  <si>
    <t xml:space="preserve">31269876</t>
  </si>
  <si>
    <r>
      <rPr>
        <sz val="10"/>
        <rFont val="FreeSans"/>
        <family val="2"/>
      </rPr>
      <t xml:space="preserve">مته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شیار الماسه </t>
    </r>
    <r>
      <rPr>
        <sz val="10"/>
        <rFont val="Vazirmatn"/>
        <family val="0"/>
        <charset val="1"/>
      </rPr>
      <t xml:space="preserve">7mm</t>
    </r>
  </si>
  <si>
    <t xml:space="preserve">31269877</t>
  </si>
  <si>
    <r>
      <rPr>
        <sz val="10"/>
        <rFont val="FreeSans"/>
        <family val="2"/>
      </rPr>
      <t xml:space="preserve">مته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شیار الماسه </t>
    </r>
    <r>
      <rPr>
        <sz val="10"/>
        <rFont val="Vazirmatn"/>
        <family val="0"/>
        <charset val="1"/>
      </rPr>
      <t xml:space="preserve">8mm</t>
    </r>
  </si>
  <si>
    <t xml:space="preserve">31269880</t>
  </si>
  <si>
    <t xml:space="preserve">زیر الماس</t>
  </si>
  <si>
    <t xml:space="preserve">4042648</t>
  </si>
  <si>
    <t xml:space="preserve">زیر تیغچه الماس</t>
  </si>
  <si>
    <t xml:space="preserve">31269881</t>
  </si>
  <si>
    <r>
      <rPr>
        <sz val="10"/>
        <rFont val="FreeSans"/>
        <family val="2"/>
      </rPr>
      <t xml:space="preserve">مته استیل     </t>
    </r>
    <r>
      <rPr>
        <sz val="10"/>
        <rFont val="Vazirmatn"/>
        <family val="0"/>
        <charset val="1"/>
      </rPr>
      <t xml:space="preserve">HSSE  C0  5%    23mm</t>
    </r>
  </si>
  <si>
    <t xml:space="preserve">31269882</t>
  </si>
  <si>
    <r>
      <rPr>
        <sz val="10"/>
        <rFont val="FreeSans"/>
        <family val="2"/>
      </rPr>
      <t xml:space="preserve">مته استیل     </t>
    </r>
    <r>
      <rPr>
        <sz val="10"/>
        <rFont val="Vazirmatn"/>
        <family val="0"/>
        <charset val="1"/>
      </rPr>
      <t xml:space="preserve">HSSE  C0  5%    26mm</t>
    </r>
  </si>
  <si>
    <t xml:space="preserve">31269886</t>
  </si>
  <si>
    <r>
      <rPr>
        <sz val="10"/>
        <rFont val="FreeSans"/>
        <family val="2"/>
      </rPr>
      <t xml:space="preserve">مته استیل کبالت  </t>
    </r>
    <r>
      <rPr>
        <sz val="10"/>
        <rFont val="Vazirmatn"/>
        <family val="0"/>
        <charset val="1"/>
      </rPr>
      <t xml:space="preserve">HSS 8%    10</t>
    </r>
  </si>
  <si>
    <t xml:space="preserve">31269887</t>
  </si>
  <si>
    <r>
      <rPr>
        <sz val="10"/>
        <rFont val="FreeSans"/>
        <family val="2"/>
      </rPr>
      <t xml:space="preserve">مته استیل         </t>
    </r>
    <r>
      <rPr>
        <sz val="10"/>
        <rFont val="Vazirmatn"/>
        <family val="0"/>
        <charset val="1"/>
      </rPr>
      <t xml:space="preserve">HSSE  C0  5%    4/5mm</t>
    </r>
  </si>
  <si>
    <t xml:space="preserve">31269888</t>
  </si>
  <si>
    <r>
      <rPr>
        <sz val="10"/>
        <rFont val="FreeSans"/>
        <family val="2"/>
      </rPr>
      <t xml:space="preserve">مته استیل     </t>
    </r>
    <r>
      <rPr>
        <sz val="10"/>
        <rFont val="Vazirmatn"/>
        <family val="0"/>
        <charset val="1"/>
      </rPr>
      <t xml:space="preserve">HSSE  C0  5%    12*200mm</t>
    </r>
  </si>
  <si>
    <t xml:space="preserve">31269895</t>
  </si>
  <si>
    <r>
      <rPr>
        <sz val="10"/>
        <rFont val="FreeSans"/>
        <family val="2"/>
      </rPr>
      <t xml:space="preserve">مته استیل  </t>
    </r>
    <r>
      <rPr>
        <sz val="10"/>
        <rFont val="Vazirmatn"/>
        <family val="0"/>
        <charset val="1"/>
      </rPr>
      <t xml:space="preserve">HSSE  C0  5%  28mm</t>
    </r>
  </si>
  <si>
    <t xml:space="preserve">31269896</t>
  </si>
  <si>
    <r>
      <rPr>
        <sz val="10"/>
        <rFont val="FreeSans"/>
        <family val="2"/>
      </rPr>
      <t xml:space="preserve">مته استیل  </t>
    </r>
    <r>
      <rPr>
        <sz val="10"/>
        <rFont val="Vazirmatn"/>
        <family val="0"/>
        <charset val="1"/>
      </rPr>
      <t xml:space="preserve">HSSE  C0  5%  30mm</t>
    </r>
  </si>
  <si>
    <t xml:space="preserve">31269970</t>
  </si>
  <si>
    <t xml:space="preserve">کلاهک مته</t>
  </si>
  <si>
    <t xml:space="preserve">4044626</t>
  </si>
  <si>
    <r>
      <rPr>
        <sz val="10"/>
        <rFont val="FreeSans"/>
        <family val="2"/>
      </rPr>
      <t xml:space="preserve">کلاهک مته </t>
    </r>
    <r>
      <rPr>
        <sz val="10"/>
        <rFont val="Vazirmatn"/>
        <family val="0"/>
        <charset val="1"/>
      </rPr>
      <t xml:space="preserve">3-2</t>
    </r>
  </si>
  <si>
    <t xml:space="preserve">31271005</t>
  </si>
  <si>
    <t xml:space="preserve">شیر هیدرولیک</t>
  </si>
  <si>
    <t xml:space="preserve">31271007</t>
  </si>
  <si>
    <r>
      <rPr>
        <sz val="10"/>
        <rFont val="FreeSans"/>
        <family val="2"/>
      </rPr>
      <t xml:space="preserve">شیر دیافراگمی برقی </t>
    </r>
    <r>
      <rPr>
        <sz val="10"/>
        <rFont val="Vazirmatn"/>
        <family val="0"/>
        <charset val="1"/>
      </rPr>
      <t xml:space="preserve">" 1/2</t>
    </r>
  </si>
  <si>
    <t xml:space="preserve">4030079</t>
  </si>
  <si>
    <r>
      <rPr>
        <sz val="10"/>
        <rFont val="FreeSans"/>
        <family val="2"/>
      </rPr>
      <t xml:space="preserve">دیافراگم شیر برقی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</si>
  <si>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31271014</t>
  </si>
  <si>
    <r>
      <rPr>
        <sz val="10"/>
        <rFont val="FreeSans"/>
        <family val="2"/>
      </rPr>
      <t xml:space="preserve">شیر آهنی یکطرفه بین فلنجی    </t>
    </r>
    <r>
      <rPr>
        <sz val="10"/>
        <rFont val="Vazirmatn"/>
        <family val="0"/>
        <charset val="1"/>
      </rPr>
      <t xml:space="preserve">" 2</t>
    </r>
  </si>
  <si>
    <t xml:space="preserve">4031737</t>
  </si>
  <si>
    <r>
      <rPr>
        <sz val="10"/>
        <rFont val="FreeSans"/>
        <family val="2"/>
      </rPr>
      <t xml:space="preserve">شیر یکطرفه فلنچی 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</si>
  <si>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31271022</t>
  </si>
  <si>
    <r>
      <rPr>
        <sz val="10"/>
        <rFont val="FreeSans"/>
        <family val="2"/>
      </rPr>
      <t xml:space="preserve">شیر برقی پنوماتیک   </t>
    </r>
    <r>
      <rPr>
        <sz val="10"/>
        <rFont val="Vazirmatn"/>
        <family val="0"/>
        <charset val="1"/>
      </rPr>
      <t xml:space="preserve">5/2</t>
    </r>
  </si>
  <si>
    <t xml:space="preserve">4023091</t>
  </si>
  <si>
    <r>
      <rPr>
        <sz val="10"/>
        <rFont val="FreeSans"/>
        <family val="2"/>
      </rPr>
      <t xml:space="preserve">شیر برقی پنوماتیک </t>
    </r>
    <r>
      <rPr>
        <sz val="10"/>
        <rFont val="Vazirmatn"/>
        <family val="0"/>
        <charset val="1"/>
      </rPr>
      <t xml:space="preserve">5/2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"1/4</t>
    </r>
  </si>
  <si>
    <t xml:space="preserve">31271024</t>
  </si>
  <si>
    <r>
      <rPr>
        <sz val="10"/>
        <rFont val="FreeSans"/>
        <family val="2"/>
      </rPr>
      <t xml:space="preserve">شیر برقی سلونوئیدی دیافراگمی  </t>
    </r>
    <r>
      <rPr>
        <sz val="10"/>
        <rFont val="Vazirmatn"/>
        <family val="0"/>
        <charset val="1"/>
      </rPr>
      <t xml:space="preserve">"1</t>
    </r>
  </si>
  <si>
    <t xml:space="preserve">4029980</t>
  </si>
  <si>
    <r>
      <rPr>
        <sz val="10"/>
        <rFont val="FreeSans"/>
        <family val="2"/>
      </rPr>
      <t xml:space="preserve">شیر برقی دیافراگمی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</si>
  <si>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31271040</t>
  </si>
  <si>
    <t xml:space="preserve">31271070</t>
  </si>
  <si>
    <r>
      <rPr>
        <sz val="10"/>
        <rFont val="FreeSans"/>
        <family val="2"/>
      </rPr>
      <t xml:space="preserve">شیر برقی پروانه ای استیل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  " 3</t>
    </r>
  </si>
  <si>
    <t xml:space="preserve">4031854</t>
  </si>
  <si>
    <r>
      <rPr>
        <sz val="10"/>
        <rFont val="FreeSans"/>
        <family val="2"/>
      </rPr>
      <t xml:space="preserve">شیر پروانه ای کنترلی استیل </t>
    </r>
    <r>
      <rPr>
        <sz val="10"/>
        <rFont val="Vazirmatn"/>
        <family val="0"/>
        <charset val="1"/>
      </rPr>
      <t xml:space="preserve">316  3 </t>
    </r>
    <r>
      <rPr>
        <sz val="10"/>
        <rFont val="FreeSans"/>
        <family val="2"/>
      </rPr>
      <t xml:space="preserve">اینچ</t>
    </r>
  </si>
  <si>
    <t xml:space="preserve">31271085</t>
  </si>
  <si>
    <r>
      <rPr>
        <sz val="10"/>
        <rFont val="FreeSans"/>
        <family val="2"/>
      </rPr>
      <t xml:space="preserve">شیر برقی گازی دانکس </t>
    </r>
    <r>
      <rPr>
        <sz val="10"/>
        <rFont val="Vazirmatn"/>
        <family val="0"/>
        <charset val="1"/>
      </rPr>
      <t xml:space="preserve">" 1/2 2</t>
    </r>
  </si>
  <si>
    <t xml:space="preserve">4029906</t>
  </si>
  <si>
    <r>
      <rPr>
        <sz val="10"/>
        <rFont val="FreeSans"/>
        <family val="2"/>
      </rPr>
      <t xml:space="preserve">شیر گازی برنجی 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</si>
  <si>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31271092</t>
  </si>
  <si>
    <r>
      <rPr>
        <sz val="10"/>
        <rFont val="FreeSans"/>
        <family val="2"/>
      </rPr>
      <t xml:space="preserve">شیر یکطرفه بین فلنجی استیل </t>
    </r>
    <r>
      <rPr>
        <sz val="10"/>
        <rFont val="Vazirmatn"/>
        <family val="0"/>
        <charset val="1"/>
      </rPr>
      <t xml:space="preserve">2,1/2</t>
    </r>
  </si>
  <si>
    <t xml:space="preserve">31271093</t>
  </si>
  <si>
    <r>
      <rPr>
        <sz val="10"/>
        <rFont val="FreeSans"/>
        <family val="2"/>
      </rPr>
      <t xml:space="preserve">شیر یکطرفه بین فلنجی استیل  </t>
    </r>
    <r>
      <rPr>
        <sz val="10"/>
        <rFont val="Vazirmatn"/>
        <family val="0"/>
        <charset val="1"/>
      </rPr>
      <t xml:space="preserve">"2</t>
    </r>
  </si>
  <si>
    <t xml:space="preserve">31271100</t>
  </si>
  <si>
    <r>
      <rPr>
        <sz val="10"/>
        <rFont val="FreeSans"/>
        <family val="2"/>
      </rPr>
      <t xml:space="preserve">شیر یکضرب  استیل  دنده ای </t>
    </r>
    <r>
      <rPr>
        <sz val="10"/>
        <rFont val="Vazirmatn"/>
        <family val="0"/>
        <charset val="1"/>
      </rPr>
      <t xml:space="preserve">" 1/4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</t>
    </r>
  </si>
  <si>
    <t xml:space="preserve">4031624</t>
  </si>
  <si>
    <r>
      <rPr>
        <sz val="10"/>
        <rFont val="FreeSans"/>
        <family val="2"/>
      </rPr>
      <t xml:space="preserve">شیر گازی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 </t>
    </r>
    <r>
      <rPr>
        <sz val="10"/>
        <rFont val="Vazirmatn"/>
        <family val="0"/>
        <charset val="1"/>
      </rPr>
      <t xml:space="preserve">1/4 1 </t>
    </r>
    <r>
      <rPr>
        <sz val="10"/>
        <rFont val="FreeSans"/>
        <family val="2"/>
      </rPr>
      <t xml:space="preserve">اینچ</t>
    </r>
  </si>
  <si>
    <t xml:space="preserve">31271114</t>
  </si>
  <si>
    <r>
      <rPr>
        <sz val="10"/>
        <rFont val="FreeSans"/>
        <family val="2"/>
      </rPr>
      <t xml:space="preserve">شیر سوزنی چدنی فلنجدار کلاس </t>
    </r>
    <r>
      <rPr>
        <sz val="10"/>
        <rFont val="Vazirmatn"/>
        <family val="0"/>
        <charset val="1"/>
      </rPr>
      <t xml:space="preserve">150  "1/2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2</t>
    </r>
  </si>
  <si>
    <t xml:space="preserve">4030762</t>
  </si>
  <si>
    <r>
      <rPr>
        <sz val="10"/>
        <rFont val="FreeSans"/>
        <family val="2"/>
      </rPr>
      <t xml:space="preserve">شیر فلکه سوزنی فلنچی کلاس </t>
    </r>
    <r>
      <rPr>
        <sz val="10"/>
        <rFont val="Vazirmatn"/>
        <family val="0"/>
        <charset val="1"/>
      </rPr>
      <t xml:space="preserve">150  1/2 2"</t>
    </r>
  </si>
  <si>
    <t xml:space="preserve">31271117</t>
  </si>
  <si>
    <r>
      <rPr>
        <sz val="10"/>
        <rFont val="FreeSans"/>
        <family val="2"/>
      </rPr>
      <t xml:space="preserve">شیر سوزنی چدنی فلنجدار     </t>
    </r>
    <r>
      <rPr>
        <sz val="10"/>
        <rFont val="Vazirmatn"/>
        <family val="0"/>
        <charset val="1"/>
      </rPr>
      <t xml:space="preserve">" 1/2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</si>
  <si>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4031577</t>
  </si>
  <si>
    <r>
      <rPr>
        <sz val="10"/>
        <rFont val="FreeSans"/>
        <family val="2"/>
      </rPr>
      <t xml:space="preserve">شیر فلکه سوزنی چدنی فلنچی </t>
    </r>
    <r>
      <rPr>
        <sz val="10"/>
        <rFont val="Vazirmatn"/>
        <family val="0"/>
        <charset val="1"/>
      </rPr>
      <t xml:space="preserve">PN 16  1/2 1"</t>
    </r>
  </si>
  <si>
    <t xml:space="preserve">31271124</t>
  </si>
  <si>
    <r>
      <rPr>
        <sz val="10"/>
        <rFont val="FreeSans"/>
        <family val="2"/>
      </rPr>
      <t xml:space="preserve">شیر سوزنی چدنی فلنجدار  کلاس </t>
    </r>
    <r>
      <rPr>
        <sz val="10"/>
        <rFont val="Vazirmatn"/>
        <family val="0"/>
        <charset val="1"/>
      </rPr>
      <t xml:space="preserve">150        " 2</t>
    </r>
  </si>
  <si>
    <t xml:space="preserve">31271127</t>
  </si>
  <si>
    <r>
      <rPr>
        <sz val="10"/>
        <rFont val="FreeSans"/>
        <family val="2"/>
      </rPr>
      <t xml:space="preserve">شیر سوزنی بخار چدنی  فلنجدار  </t>
    </r>
    <r>
      <rPr>
        <sz val="10"/>
        <rFont val="Vazirmatn"/>
        <family val="0"/>
        <charset val="1"/>
      </rPr>
      <t xml:space="preserve">" 1</t>
    </r>
  </si>
  <si>
    <t xml:space="preserve">4031557</t>
  </si>
  <si>
    <r>
      <rPr>
        <sz val="10"/>
        <rFont val="FreeSans"/>
        <family val="2"/>
      </rPr>
      <t xml:space="preserve">شیر فلکه سوزنی چدنی فلنچی </t>
    </r>
    <r>
      <rPr>
        <sz val="10"/>
        <rFont val="Vazirmatn"/>
        <family val="0"/>
        <charset val="1"/>
      </rPr>
      <t xml:space="preserve">PN 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</t>
    </r>
  </si>
  <si>
    <t xml:space="preserve">31271177</t>
  </si>
  <si>
    <r>
      <rPr>
        <sz val="10"/>
        <rFont val="FreeSans"/>
        <family val="2"/>
      </rPr>
      <t xml:space="preserve">شیر برقی تایمردار </t>
    </r>
    <r>
      <rPr>
        <sz val="10"/>
        <rFont val="Vazirmatn"/>
        <family val="0"/>
        <charset val="1"/>
      </rPr>
      <t xml:space="preserve">" 1/2   220V</t>
    </r>
  </si>
  <si>
    <t xml:space="preserve">4040833</t>
  </si>
  <si>
    <r>
      <rPr>
        <sz val="10"/>
        <rFont val="FreeSans"/>
        <family val="2"/>
      </rPr>
      <t xml:space="preserve">شیر برقی تایمردار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اتو درین</t>
    </r>
    <r>
      <rPr>
        <sz val="10"/>
        <rFont val="Vazirmatn"/>
        <family val="0"/>
        <charset val="1"/>
      </rPr>
      <t xml:space="preserve">) 220V AC 1/2</t>
    </r>
  </si>
  <si>
    <t xml:space="preserve">31271208</t>
  </si>
  <si>
    <t xml:space="preserve">شیر اهرمی روشویی</t>
  </si>
  <si>
    <t xml:space="preserve">4007137</t>
  </si>
  <si>
    <t xml:space="preserve">شير مخلوط روشويي اهرمي</t>
  </si>
  <si>
    <t xml:space="preserve">31271212</t>
  </si>
  <si>
    <r>
      <rPr>
        <sz val="10"/>
        <rFont val="FreeSans"/>
        <family val="2"/>
      </rPr>
      <t xml:space="preserve">شیر پروانه ای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گیربکس دار </t>
    </r>
    <r>
      <rPr>
        <sz val="10"/>
        <rFont val="Vazirmatn"/>
        <family val="0"/>
        <charset val="1"/>
      </rPr>
      <t xml:space="preserve">"10</t>
    </r>
  </si>
  <si>
    <t xml:space="preserve">4029874</t>
  </si>
  <si>
    <r>
      <rPr>
        <sz val="10"/>
        <rFont val="FreeSans"/>
        <family val="2"/>
      </rPr>
      <t xml:space="preserve">شیر پروانه ای گیربکسی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اینچ</t>
    </r>
  </si>
  <si>
    <t xml:space="preserve">31271225</t>
  </si>
  <si>
    <r>
      <rPr>
        <sz val="10"/>
        <rFont val="FreeSans"/>
        <family val="2"/>
      </rPr>
      <t xml:space="preserve">شیر برقی                  </t>
    </r>
    <r>
      <rPr>
        <sz val="10"/>
        <rFont val="Vazirmatn"/>
        <family val="0"/>
        <charset val="1"/>
      </rPr>
      <t xml:space="preserve">" 2</t>
    </r>
  </si>
  <si>
    <t xml:space="preserve">4043194</t>
  </si>
  <si>
    <r>
      <rPr>
        <sz val="10"/>
        <rFont val="FreeSans"/>
        <family val="2"/>
      </rPr>
      <t xml:space="preserve">شیر</t>
    </r>
    <r>
      <rPr>
        <sz val="10"/>
        <rFont val="Vazirmatn"/>
        <family val="0"/>
        <charset val="1"/>
      </rPr>
      <t xml:space="preserve">220V </t>
    </r>
    <r>
      <rPr>
        <sz val="10"/>
        <rFont val="FreeSans"/>
        <family val="2"/>
      </rPr>
      <t xml:space="preserve">برقی</t>
    </r>
    <r>
      <rPr>
        <sz val="10"/>
        <rFont val="Vazirmatn"/>
        <family val="0"/>
        <charset val="1"/>
      </rPr>
      <t xml:space="preserve">1/4  5- 2</t>
    </r>
  </si>
  <si>
    <t xml:space="preserve">31271240</t>
  </si>
  <si>
    <r>
      <rPr>
        <sz val="10"/>
        <rFont val="FreeSans"/>
        <family val="2"/>
      </rPr>
      <t xml:space="preserve">شیر یکطرفه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بین فلنجی </t>
    </r>
    <r>
      <rPr>
        <sz val="10"/>
        <rFont val="Vazirmatn"/>
        <family val="0"/>
        <charset val="1"/>
      </rPr>
      <t xml:space="preserve">" 1/2 2</t>
    </r>
  </si>
  <si>
    <t xml:space="preserve">4031738</t>
  </si>
  <si>
    <r>
      <rPr>
        <sz val="10"/>
        <rFont val="FreeSans"/>
        <family val="2"/>
      </rPr>
      <t xml:space="preserve">شیر یکطرفه فلنچی 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</si>
  <si>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31271279</t>
  </si>
  <si>
    <r>
      <rPr>
        <sz val="10"/>
        <rFont val="FreeSans"/>
        <family val="2"/>
      </rPr>
      <t xml:space="preserve">شیر فشار شکن بخار چدنی فلنجدار </t>
    </r>
    <r>
      <rPr>
        <sz val="10"/>
        <rFont val="Vazirmatn"/>
        <family val="0"/>
        <charset val="1"/>
      </rPr>
      <t xml:space="preserve">" 2</t>
    </r>
  </si>
  <si>
    <t xml:space="preserve">4030040</t>
  </si>
  <si>
    <r>
      <rPr>
        <sz val="10"/>
        <rFont val="FreeSans"/>
        <family val="2"/>
      </rPr>
      <t xml:space="preserve">شیر فشار شکن چدنی </t>
    </r>
    <r>
      <rPr>
        <sz val="10"/>
        <rFont val="Vazirmatn"/>
        <family val="0"/>
        <charset val="1"/>
      </rPr>
      <t xml:space="preserve">6 - 0 </t>
    </r>
    <r>
      <rPr>
        <sz val="10"/>
        <rFont val="FreeSans"/>
        <family val="2"/>
      </rPr>
      <t xml:space="preserve">بار 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</si>
  <si>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31271318</t>
  </si>
  <si>
    <r>
      <rPr>
        <sz val="10"/>
        <rFont val="FreeSans"/>
        <family val="2"/>
      </rPr>
      <t xml:space="preserve">شیر استیل فلنجدار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پنوماتیک    </t>
    </r>
    <r>
      <rPr>
        <sz val="10"/>
        <rFont val="Vazirmatn"/>
        <family val="0"/>
        <charset val="1"/>
      </rPr>
      <t xml:space="preserve">" 2</t>
    </r>
  </si>
  <si>
    <t xml:space="preserve">4031516</t>
  </si>
  <si>
    <r>
      <rPr>
        <sz val="10"/>
        <rFont val="FreeSans"/>
        <family val="2"/>
      </rPr>
      <t xml:space="preserve">شیر پروانه پنوماتیک پادوان استیل </t>
    </r>
    <r>
      <rPr>
        <sz val="10"/>
        <rFont val="Vazirmatn"/>
        <family val="0"/>
        <charset val="1"/>
      </rPr>
      <t xml:space="preserve">316-"2</t>
    </r>
  </si>
  <si>
    <t xml:space="preserve">31271321</t>
  </si>
  <si>
    <r>
      <rPr>
        <sz val="10"/>
        <rFont val="FreeSans"/>
        <family val="2"/>
      </rPr>
      <t xml:space="preserve">شیر آذین دنده ای   </t>
    </r>
    <r>
      <rPr>
        <sz val="10"/>
        <rFont val="Vazirmatn"/>
        <family val="0"/>
        <charset val="1"/>
      </rPr>
      <t xml:space="preserve">" 1/4 1</t>
    </r>
  </si>
  <si>
    <t xml:space="preserve">31271330</t>
  </si>
  <si>
    <r>
      <rPr>
        <sz val="10"/>
        <rFont val="FreeSans"/>
        <family val="2"/>
      </rPr>
      <t xml:space="preserve">شیر یکطرفه آهنی    </t>
    </r>
    <r>
      <rPr>
        <sz val="10"/>
        <rFont val="Vazirmatn"/>
        <family val="0"/>
        <charset val="1"/>
      </rPr>
      <t xml:space="preserve">1/2</t>
    </r>
  </si>
  <si>
    <t xml:space="preserve">31271331</t>
  </si>
  <si>
    <r>
      <rPr>
        <sz val="10"/>
        <rFont val="FreeSans"/>
        <family val="2"/>
      </rPr>
      <t xml:space="preserve">شیر یکطرفه آهنی فلنجدار    </t>
    </r>
    <r>
      <rPr>
        <sz val="10"/>
        <rFont val="Vazirmatn"/>
        <family val="0"/>
        <charset val="1"/>
      </rPr>
      <t xml:space="preserve">" 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</si>
  <si>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31271332</t>
  </si>
  <si>
    <r>
      <rPr>
        <sz val="10"/>
        <rFont val="FreeSans"/>
        <family val="2"/>
      </rPr>
      <t xml:space="preserve">شیر یکطرفه بین فلنجی آهنی    </t>
    </r>
    <r>
      <rPr>
        <sz val="10"/>
        <rFont val="Vazirmatn"/>
        <family val="0"/>
        <charset val="1"/>
      </rPr>
      <t xml:space="preserve">2.1/2"</t>
    </r>
  </si>
  <si>
    <t xml:space="preserve">4029959</t>
  </si>
  <si>
    <r>
      <rPr>
        <sz val="10"/>
        <rFont val="FreeSans"/>
        <family val="2"/>
      </rPr>
      <t xml:space="preserve">شیر یکطرفه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فلنچی 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</si>
  <si>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31271344</t>
  </si>
  <si>
    <r>
      <rPr>
        <sz val="10"/>
        <rFont val="FreeSans"/>
        <family val="2"/>
      </rPr>
      <t xml:space="preserve">شیر یکضرب   </t>
    </r>
    <r>
      <rPr>
        <sz val="10"/>
        <rFont val="Vazirmatn"/>
        <family val="0"/>
        <charset val="1"/>
      </rPr>
      <t xml:space="preserve">" 1/2    UPVC</t>
    </r>
  </si>
  <si>
    <t xml:space="preserve">4029933</t>
  </si>
  <si>
    <r>
      <rPr>
        <sz val="10"/>
        <rFont val="FreeSans"/>
        <family val="2"/>
      </rPr>
      <t xml:space="preserve">شیر یکطرفه چسبی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</si>
  <si>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31271346</t>
  </si>
  <si>
    <r>
      <rPr>
        <sz val="10"/>
        <rFont val="FreeSans"/>
        <family val="2"/>
      </rPr>
      <t xml:space="preserve">شیر یکطرفه بین فلنجی آهنی  </t>
    </r>
    <r>
      <rPr>
        <sz val="10"/>
        <rFont val="Vazirmatn"/>
        <family val="0"/>
        <charset val="1"/>
      </rPr>
      <t xml:space="preserve">" 3</t>
    </r>
  </si>
  <si>
    <t xml:space="preserve">4029934</t>
  </si>
  <si>
    <r>
      <rPr>
        <sz val="10"/>
        <rFont val="FreeSans"/>
        <family val="2"/>
      </rPr>
      <t xml:space="preserve">شیر یکطرفه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فلنچی 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</si>
  <si>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31271348</t>
  </si>
  <si>
    <r>
      <rPr>
        <sz val="10"/>
        <rFont val="FreeSans"/>
        <family val="2"/>
      </rPr>
      <t xml:space="preserve">شیر فلکه کشویی  چدنی فلنجدار   </t>
    </r>
    <r>
      <rPr>
        <sz val="10"/>
        <rFont val="Vazirmatn"/>
        <family val="0"/>
        <charset val="1"/>
      </rPr>
      <t xml:space="preserve">" 3</t>
    </r>
  </si>
  <si>
    <t xml:space="preserve">4031582</t>
  </si>
  <si>
    <r>
      <rPr>
        <sz val="10"/>
        <rFont val="FreeSans"/>
        <family val="2"/>
      </rPr>
      <t xml:space="preserve">شیر فلکه کشویی فلنچی چدنی </t>
    </r>
    <r>
      <rPr>
        <sz val="10"/>
        <rFont val="Vazirmatn"/>
        <family val="0"/>
        <charset val="1"/>
      </rPr>
      <t xml:space="preserve">PN10  3 </t>
    </r>
    <r>
      <rPr>
        <sz val="10"/>
        <rFont val="FreeSans"/>
        <family val="2"/>
      </rPr>
      <t xml:space="preserve">اینچ</t>
    </r>
  </si>
  <si>
    <t xml:space="preserve">31271365</t>
  </si>
  <si>
    <r>
      <rPr>
        <sz val="10"/>
        <rFont val="FreeSans"/>
        <family val="2"/>
      </rPr>
      <t xml:space="preserve">شیر توپی استیل فلنجدار     </t>
    </r>
    <r>
      <rPr>
        <sz val="10"/>
        <rFont val="Vazirmatn"/>
        <family val="0"/>
        <charset val="1"/>
      </rPr>
      <t xml:space="preserve">" 5</t>
    </r>
  </si>
  <si>
    <t xml:space="preserve">4031527</t>
  </si>
  <si>
    <r>
      <rPr>
        <sz val="10"/>
        <rFont val="FreeSans"/>
        <family val="2"/>
      </rPr>
      <t xml:space="preserve">شیر توپی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بال ولو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فلنچی استیل </t>
    </r>
    <r>
      <rPr>
        <sz val="10"/>
        <rFont val="Vazirmatn"/>
        <family val="0"/>
        <charset val="1"/>
      </rPr>
      <t xml:space="preserve">304 5"</t>
    </r>
  </si>
  <si>
    <t xml:space="preserve">31271366</t>
  </si>
  <si>
    <r>
      <rPr>
        <sz val="10"/>
        <rFont val="FreeSans"/>
        <family val="2"/>
      </rPr>
      <t xml:space="preserve">شیر  پروانه ای  </t>
    </r>
    <r>
      <rPr>
        <sz val="10"/>
        <rFont val="Vazirmatn"/>
        <family val="0"/>
        <charset val="1"/>
      </rPr>
      <t xml:space="preserve">UPVC     "4</t>
    </r>
  </si>
  <si>
    <t xml:space="preserve">4029893</t>
  </si>
  <si>
    <r>
      <rPr>
        <sz val="10"/>
        <rFont val="FreeSans"/>
        <family val="2"/>
      </rPr>
      <t xml:space="preserve">شیر پروانه ای دستی </t>
    </r>
    <r>
      <rPr>
        <sz val="10"/>
        <rFont val="Vazirmatn"/>
        <family val="0"/>
        <charset val="1"/>
      </rPr>
      <t xml:space="preserve">UPVC - PN10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4"</t>
    </r>
  </si>
  <si>
    <t xml:space="preserve">31271367</t>
  </si>
  <si>
    <r>
      <rPr>
        <sz val="10"/>
        <rFont val="FreeSans"/>
        <family val="2"/>
      </rPr>
      <t xml:space="preserve">شیر  پروانه ای زبانه استیل          </t>
    </r>
    <r>
      <rPr>
        <sz val="10"/>
        <rFont val="Vazirmatn"/>
        <family val="0"/>
        <charset val="1"/>
      </rPr>
      <t xml:space="preserve">"8</t>
    </r>
  </si>
  <si>
    <t xml:space="preserve">4030722</t>
  </si>
  <si>
    <r>
      <rPr>
        <sz val="10"/>
        <rFont val="FreeSans"/>
        <family val="2"/>
      </rPr>
      <t xml:space="preserve">شیر پروانه ای اتومات استیل </t>
    </r>
    <r>
      <rPr>
        <sz val="10"/>
        <rFont val="Vazirmatn"/>
        <family val="0"/>
        <charset val="1"/>
      </rPr>
      <t xml:space="preserve">316  8 </t>
    </r>
    <r>
      <rPr>
        <sz val="10"/>
        <rFont val="FreeSans"/>
        <family val="2"/>
      </rPr>
      <t xml:space="preserve">اینچ</t>
    </r>
  </si>
  <si>
    <t xml:space="preserve">31271376</t>
  </si>
  <si>
    <r>
      <rPr>
        <sz val="10"/>
        <rFont val="FreeSans"/>
        <family val="2"/>
      </rPr>
      <t xml:space="preserve">شیر  پروانه ای زبانه  استیل       </t>
    </r>
    <r>
      <rPr>
        <sz val="10"/>
        <rFont val="Vazirmatn"/>
        <family val="0"/>
        <charset val="1"/>
      </rPr>
      <t xml:space="preserve">" 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2</t>
    </r>
  </si>
  <si>
    <t xml:space="preserve">31271378</t>
  </si>
  <si>
    <r>
      <rPr>
        <sz val="10"/>
        <rFont val="FreeSans"/>
        <family val="2"/>
      </rPr>
      <t xml:space="preserve">شیر  پروانه ای زبانه  استیل         </t>
    </r>
    <r>
      <rPr>
        <sz val="10"/>
        <rFont val="Vazirmatn"/>
        <family val="0"/>
        <charset val="1"/>
      </rPr>
      <t xml:space="preserve">" 3</t>
    </r>
  </si>
  <si>
    <t xml:space="preserve">4030721</t>
  </si>
  <si>
    <r>
      <rPr>
        <sz val="10"/>
        <rFont val="FreeSans"/>
        <family val="2"/>
      </rPr>
      <t xml:space="preserve">شیر پروانه ای اتومات استیل </t>
    </r>
    <r>
      <rPr>
        <sz val="10"/>
        <rFont val="Vazirmatn"/>
        <family val="0"/>
        <charset val="1"/>
      </rPr>
      <t xml:space="preserve">316  3 </t>
    </r>
    <r>
      <rPr>
        <sz val="10"/>
        <rFont val="FreeSans"/>
        <family val="2"/>
      </rPr>
      <t xml:space="preserve">اینچ</t>
    </r>
  </si>
  <si>
    <t xml:space="preserve">31271381</t>
  </si>
  <si>
    <r>
      <rPr>
        <sz val="10"/>
        <rFont val="FreeSans"/>
        <family val="2"/>
      </rPr>
      <t xml:space="preserve">شیر سوزنی فلنجدار بخار کلاس </t>
    </r>
    <r>
      <rPr>
        <sz val="10"/>
        <rFont val="Vazirmatn"/>
        <family val="0"/>
        <charset val="1"/>
      </rPr>
      <t xml:space="preserve">150    "1/2</t>
    </r>
  </si>
  <si>
    <t xml:space="preserve">31271382</t>
  </si>
  <si>
    <r>
      <rPr>
        <sz val="10"/>
        <rFont val="FreeSans"/>
        <family val="2"/>
      </rPr>
      <t xml:space="preserve">شیر پروانه ای   </t>
    </r>
    <r>
      <rPr>
        <sz val="10"/>
        <rFont val="Vazirmatn"/>
        <family val="0"/>
        <charset val="1"/>
      </rPr>
      <t xml:space="preserve">UPVC      "2.1/2</t>
    </r>
  </si>
  <si>
    <t xml:space="preserve">4029873</t>
  </si>
  <si>
    <r>
      <rPr>
        <sz val="10"/>
        <rFont val="FreeSans"/>
        <family val="2"/>
      </rPr>
      <t xml:space="preserve">شیر پروانه ای دستی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</si>
  <si>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31271397</t>
  </si>
  <si>
    <r>
      <rPr>
        <sz val="10"/>
        <rFont val="FreeSans"/>
        <family val="2"/>
      </rPr>
      <t xml:space="preserve">شیر فلکه کشوئی چدنی  فلنجدار   </t>
    </r>
    <r>
      <rPr>
        <sz val="10"/>
        <rFont val="Vazirmatn"/>
        <family val="0"/>
        <charset val="1"/>
      </rPr>
      <t xml:space="preserve">" 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</si>
  <si>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4029866</t>
  </si>
  <si>
    <r>
      <rPr>
        <sz val="10"/>
        <rFont val="FreeSans"/>
        <family val="2"/>
      </rPr>
      <t xml:space="preserve">شیر فلکه کشویی برنجی 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</si>
  <si>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31271401</t>
  </si>
  <si>
    <r>
      <rPr>
        <sz val="10"/>
        <rFont val="FreeSans"/>
        <family val="2"/>
      </rPr>
      <t xml:space="preserve">شیر پروانه ای زبانه </t>
    </r>
    <r>
      <rPr>
        <sz val="10"/>
        <rFont val="Vazirmatn"/>
        <family val="0"/>
        <charset val="1"/>
      </rPr>
      <t xml:space="preserve">UPVC     "2</t>
    </r>
  </si>
  <si>
    <t xml:space="preserve">31271402</t>
  </si>
  <si>
    <r>
      <rPr>
        <sz val="10"/>
        <rFont val="FreeSans"/>
        <family val="2"/>
      </rPr>
      <t xml:space="preserve">شیر پروانه ای </t>
    </r>
    <r>
      <rPr>
        <sz val="10"/>
        <rFont val="Vazirmatn"/>
        <family val="0"/>
        <charset val="1"/>
      </rPr>
      <t xml:space="preserve">UPVC    "3</t>
    </r>
  </si>
  <si>
    <t xml:space="preserve">31271403</t>
  </si>
  <si>
    <r>
      <rPr>
        <sz val="10"/>
        <rFont val="FreeSans"/>
        <family val="2"/>
      </rPr>
      <t xml:space="preserve">شیر فلکه کشوئی چدنی فلنجدار   </t>
    </r>
    <r>
      <rPr>
        <sz val="10"/>
        <rFont val="Vazirmatn"/>
        <family val="0"/>
        <charset val="1"/>
      </rPr>
      <t xml:space="preserve">" 4</t>
    </r>
  </si>
  <si>
    <t xml:space="preserve">4031584</t>
  </si>
  <si>
    <r>
      <rPr>
        <sz val="10"/>
        <rFont val="FreeSans"/>
        <family val="2"/>
      </rPr>
      <t xml:space="preserve">شیر فلکه کشویی فلنچی چدنی </t>
    </r>
    <r>
      <rPr>
        <sz val="10"/>
        <rFont val="Vazirmatn"/>
        <family val="0"/>
        <charset val="1"/>
      </rPr>
      <t xml:space="preserve">PN10  4 </t>
    </r>
    <r>
      <rPr>
        <sz val="10"/>
        <rFont val="FreeSans"/>
        <family val="2"/>
      </rPr>
      <t xml:space="preserve">اینچ</t>
    </r>
  </si>
  <si>
    <t xml:space="preserve">31271407</t>
  </si>
  <si>
    <r>
      <rPr>
        <sz val="10"/>
        <rFont val="FreeSans"/>
        <family val="2"/>
      </rPr>
      <t xml:space="preserve">شیر یکطرفه بین فلنجی آهنی  </t>
    </r>
    <r>
      <rPr>
        <sz val="10"/>
        <rFont val="Vazirmatn"/>
        <family val="0"/>
        <charset val="1"/>
      </rPr>
      <t xml:space="preserve">" 1/2 1</t>
    </r>
  </si>
  <si>
    <t xml:space="preserve">4031717</t>
  </si>
  <si>
    <r>
      <rPr>
        <sz val="10"/>
        <rFont val="FreeSans"/>
        <family val="2"/>
      </rPr>
      <t xml:space="preserve">شیر یکطرفه فلنچی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</si>
  <si>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31271412</t>
  </si>
  <si>
    <r>
      <rPr>
        <sz val="10"/>
        <rFont val="FreeSans"/>
        <family val="2"/>
      </rPr>
      <t xml:space="preserve">شیر فلکه کشویی استیل فلنجدار     </t>
    </r>
    <r>
      <rPr>
        <sz val="10"/>
        <rFont val="Vazirmatn"/>
        <family val="0"/>
        <charset val="1"/>
      </rPr>
      <t xml:space="preserve">" 4</t>
    </r>
  </si>
  <si>
    <t xml:space="preserve">31271413</t>
  </si>
  <si>
    <r>
      <rPr>
        <sz val="10"/>
        <rFont val="FreeSans"/>
        <family val="2"/>
      </rPr>
      <t xml:space="preserve">شیر یکطرفه استیل  </t>
    </r>
    <r>
      <rPr>
        <sz val="10"/>
        <rFont val="Vazirmatn"/>
        <family val="0"/>
        <charset val="1"/>
      </rPr>
      <t xml:space="preserve">"  6</t>
    </r>
  </si>
  <si>
    <t xml:space="preserve">4029944</t>
  </si>
  <si>
    <r>
      <rPr>
        <sz val="10"/>
        <rFont val="FreeSans"/>
        <family val="2"/>
      </rPr>
      <t xml:space="preserve">شیر یکطرفه ویفری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اینچ</t>
    </r>
  </si>
  <si>
    <t xml:space="preserve">31271417</t>
  </si>
  <si>
    <r>
      <rPr>
        <sz val="10"/>
        <rFont val="FreeSans"/>
        <family val="2"/>
      </rPr>
      <t xml:space="preserve">شیر یکطرفه استیل فلنج دار  </t>
    </r>
    <r>
      <rPr>
        <sz val="10"/>
        <rFont val="Vazirmatn"/>
        <family val="0"/>
        <charset val="1"/>
      </rPr>
      <t xml:space="preserve">" 2</t>
    </r>
  </si>
  <si>
    <t xml:space="preserve">31271423</t>
  </si>
  <si>
    <r>
      <rPr>
        <sz val="10"/>
        <rFont val="FreeSans"/>
        <family val="2"/>
      </rPr>
      <t xml:space="preserve">شیر فلکه کشویی استیل فلنجدار    </t>
    </r>
    <r>
      <rPr>
        <sz val="10"/>
        <rFont val="Vazirmatn"/>
        <family val="0"/>
        <charset val="1"/>
      </rPr>
      <t xml:space="preserve">" 4</t>
    </r>
  </si>
  <si>
    <t xml:space="preserve">31271439</t>
  </si>
  <si>
    <r>
      <rPr>
        <sz val="10"/>
        <rFont val="FreeSans"/>
        <family val="2"/>
      </rPr>
      <t xml:space="preserve">شیر یکطرفه فلنج دار پلی اتیلن   </t>
    </r>
    <r>
      <rPr>
        <sz val="10"/>
        <rFont val="Vazirmatn"/>
        <family val="0"/>
        <charset val="1"/>
      </rPr>
      <t xml:space="preserve">" 3</t>
    </r>
  </si>
  <si>
    <t xml:space="preserve">31271449</t>
  </si>
  <si>
    <r>
      <rPr>
        <sz val="10"/>
        <rFont val="FreeSans"/>
        <family val="2"/>
      </rPr>
      <t xml:space="preserve">شیر یکطرفه </t>
    </r>
    <r>
      <rPr>
        <sz val="10"/>
        <rFont val="Vazirmatn"/>
        <family val="0"/>
        <charset val="1"/>
      </rPr>
      <t xml:space="preserve">" UPVC     1/2</t>
    </r>
  </si>
  <si>
    <t xml:space="preserve">31271450</t>
  </si>
  <si>
    <r>
      <rPr>
        <sz val="10"/>
        <rFont val="FreeSans"/>
        <family val="2"/>
      </rPr>
      <t xml:space="preserve">شیر یکضرب   </t>
    </r>
    <r>
      <rPr>
        <sz val="10"/>
        <rFont val="Vazirmatn"/>
        <family val="0"/>
        <charset val="1"/>
      </rPr>
      <t xml:space="preserve">"  1 UPVC</t>
    </r>
  </si>
  <si>
    <t xml:space="preserve">4029961</t>
  </si>
  <si>
    <r>
      <rPr>
        <sz val="10"/>
        <rFont val="FreeSans"/>
        <family val="2"/>
      </rPr>
      <t xml:space="preserve">شیر یکطرفه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</si>
  <si>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31271455</t>
  </si>
  <si>
    <r>
      <rPr>
        <sz val="10"/>
        <rFont val="FreeSans"/>
        <family val="2"/>
      </rPr>
      <t xml:space="preserve">شیر فلکه کشوئی چدنی  فلنجدار    </t>
    </r>
    <r>
      <rPr>
        <sz val="10"/>
        <rFont val="Vazirmatn"/>
        <family val="0"/>
        <charset val="1"/>
      </rPr>
      <t xml:space="preserve">"5</t>
    </r>
  </si>
  <si>
    <t xml:space="preserve">4031583</t>
  </si>
  <si>
    <r>
      <rPr>
        <sz val="10"/>
        <rFont val="FreeSans"/>
        <family val="2"/>
      </rPr>
      <t xml:space="preserve">شیر فلکه کشویی فلنچی چدنی </t>
    </r>
    <r>
      <rPr>
        <sz val="10"/>
        <rFont val="Vazirmatn"/>
        <family val="0"/>
        <charset val="1"/>
      </rPr>
      <t xml:space="preserve">PN 10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5</t>
    </r>
  </si>
  <si>
    <t xml:space="preserve">31271461</t>
  </si>
  <si>
    <r>
      <rPr>
        <sz val="10"/>
        <rFont val="FreeSans"/>
        <family val="2"/>
      </rPr>
      <t xml:space="preserve">شیر یکطرفه بین فلنجی آهنی  </t>
    </r>
    <r>
      <rPr>
        <sz val="10"/>
        <rFont val="Vazirmatn"/>
        <family val="0"/>
        <charset val="1"/>
      </rPr>
      <t xml:space="preserve">" 4</t>
    </r>
  </si>
  <si>
    <t xml:space="preserve">4029957</t>
  </si>
  <si>
    <r>
      <rPr>
        <sz val="10"/>
        <rFont val="FreeSans"/>
        <family val="2"/>
      </rPr>
      <t xml:space="preserve">شیر یکطرفه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فلنچی 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</si>
  <si>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31271462</t>
  </si>
  <si>
    <r>
      <rPr>
        <sz val="10"/>
        <rFont val="FreeSans"/>
        <family val="2"/>
      </rPr>
      <t xml:space="preserve">شیر یکضرب استیل   دنده ای     </t>
    </r>
    <r>
      <rPr>
        <sz val="10"/>
        <rFont val="Vazirmatn"/>
        <family val="0"/>
        <charset val="1"/>
      </rPr>
      <t xml:space="preserve">" 1/4</t>
    </r>
  </si>
  <si>
    <t xml:space="preserve">31271464</t>
  </si>
  <si>
    <r>
      <rPr>
        <sz val="10"/>
        <rFont val="FreeSans"/>
        <family val="2"/>
      </rPr>
      <t xml:space="preserve">شیر فلکه سوزنی برنجی     </t>
    </r>
    <r>
      <rPr>
        <sz val="10"/>
        <rFont val="Vazirmatn"/>
        <family val="0"/>
        <charset val="1"/>
      </rPr>
      <t xml:space="preserve">" 1/4</t>
    </r>
  </si>
  <si>
    <t xml:space="preserve">4031591</t>
  </si>
  <si>
    <r>
      <rPr>
        <sz val="10"/>
        <rFont val="FreeSans"/>
        <family val="2"/>
      </rPr>
      <t xml:space="preserve">شیر فلکه سوزنی  فلنچی کلاس </t>
    </r>
    <r>
      <rPr>
        <sz val="10"/>
        <rFont val="Vazirmatn"/>
        <family val="0"/>
        <charset val="1"/>
      </rPr>
      <t xml:space="preserve">150  1/4 1</t>
    </r>
  </si>
  <si>
    <t xml:space="preserve">31271475</t>
  </si>
  <si>
    <r>
      <rPr>
        <sz val="10"/>
        <rFont val="FreeSans"/>
        <family val="2"/>
      </rPr>
      <t xml:space="preserve">شیر یکضرب استیل دنده ای   </t>
    </r>
    <r>
      <rPr>
        <sz val="10"/>
        <rFont val="Vazirmatn"/>
        <family val="0"/>
        <charset val="1"/>
      </rPr>
      <t xml:space="preserve">"3/8</t>
    </r>
  </si>
  <si>
    <t xml:space="preserve">4029899</t>
  </si>
  <si>
    <r>
      <rPr>
        <sz val="10"/>
        <rFont val="FreeSans"/>
        <family val="2"/>
      </rPr>
      <t xml:space="preserve">شیر گازی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3/8 </t>
    </r>
    <r>
      <rPr>
        <sz val="10"/>
        <rFont val="FreeSans"/>
        <family val="2"/>
      </rPr>
      <t xml:space="preserve">اینچ</t>
    </r>
  </si>
  <si>
    <t xml:space="preserve">31271476</t>
  </si>
  <si>
    <r>
      <rPr>
        <sz val="10"/>
        <rFont val="FreeSans"/>
        <family val="2"/>
      </rPr>
      <t xml:space="preserve">شیر  یکطرفه استیل فلنجدار </t>
    </r>
    <r>
      <rPr>
        <sz val="10"/>
        <rFont val="Vazirmatn"/>
        <family val="0"/>
        <charset val="1"/>
      </rPr>
      <t xml:space="preserve">" 4</t>
    </r>
  </si>
  <si>
    <t xml:space="preserve">4030736</t>
  </si>
  <si>
    <r>
      <rPr>
        <sz val="10"/>
        <rFont val="FreeSans"/>
        <family val="2"/>
      </rPr>
      <t xml:space="preserve">شیر یکطرفه فلنچی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4"</t>
    </r>
  </si>
  <si>
    <t xml:space="preserve">31271481</t>
  </si>
  <si>
    <r>
      <rPr>
        <sz val="10"/>
        <rFont val="FreeSans"/>
        <family val="2"/>
      </rPr>
      <t xml:space="preserve">شیر آتش نشانی برنجی  </t>
    </r>
    <r>
      <rPr>
        <sz val="10"/>
        <rFont val="Vazirmatn"/>
        <family val="0"/>
        <charset val="1"/>
      </rPr>
      <t xml:space="preserve">" 1/2 1</t>
    </r>
  </si>
  <si>
    <t xml:space="preserve">5018936</t>
  </si>
  <si>
    <r>
      <rPr>
        <sz val="10"/>
        <rFont val="FreeSans"/>
        <family val="2"/>
      </rPr>
      <t xml:space="preserve">شیر آتش نشانی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برنجی</t>
    </r>
    <r>
      <rPr>
        <sz val="10"/>
        <rFont val="Vazirmatn"/>
        <family val="0"/>
        <charset val="1"/>
      </rPr>
      <t xml:space="preserve">-1in</t>
    </r>
  </si>
  <si>
    <t xml:space="preserve">31271487</t>
  </si>
  <si>
    <r>
      <rPr>
        <sz val="10"/>
        <rFont val="FreeSans"/>
        <family val="2"/>
      </rPr>
      <t xml:space="preserve">شیر توپی  </t>
    </r>
    <r>
      <rPr>
        <sz val="10"/>
        <rFont val="Vazirmatn"/>
        <family val="0"/>
        <charset val="1"/>
      </rPr>
      <t xml:space="preserve">" U PVC    3/4</t>
    </r>
  </si>
  <si>
    <t xml:space="preserve">4031536</t>
  </si>
  <si>
    <r>
      <rPr>
        <sz val="10"/>
        <rFont val="FreeSans"/>
        <family val="2"/>
      </rPr>
      <t xml:space="preserve">شیر توپی دنده ای </t>
    </r>
    <r>
      <rPr>
        <sz val="10"/>
        <rFont val="Vazirmatn"/>
        <family val="0"/>
        <charset val="1"/>
      </rPr>
      <t xml:space="preserve">UPVC  3/4"</t>
    </r>
  </si>
  <si>
    <t xml:space="preserve">31271497</t>
  </si>
  <si>
    <r>
      <rPr>
        <sz val="10"/>
        <rFont val="FreeSans"/>
        <family val="2"/>
      </rPr>
      <t xml:space="preserve">شیر یکطرفه  چدنی فلنجدار        </t>
    </r>
    <r>
      <rPr>
        <sz val="10"/>
        <rFont val="Vazirmatn"/>
        <family val="0"/>
        <charset val="1"/>
      </rPr>
      <t xml:space="preserve">"2</t>
    </r>
  </si>
  <si>
    <t xml:space="preserve">4029954</t>
  </si>
  <si>
    <r>
      <rPr>
        <sz val="10"/>
        <rFont val="FreeSans"/>
        <family val="2"/>
      </rPr>
      <t xml:space="preserve">شیر یکطرفه چدنی فلنچی </t>
    </r>
    <r>
      <rPr>
        <sz val="10"/>
        <rFont val="Vazirmatn"/>
        <family val="0"/>
        <charset val="1"/>
      </rPr>
      <t xml:space="preserve">PN16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</si>
  <si>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31271508</t>
  </si>
  <si>
    <t xml:space="preserve">شیر مخلوط اهرمی دیواری</t>
  </si>
  <si>
    <t xml:space="preserve">4003186</t>
  </si>
  <si>
    <t xml:space="preserve">شیر مخلوط توالت اهرمی</t>
  </si>
  <si>
    <t xml:space="preserve">31271511</t>
  </si>
  <si>
    <t xml:space="preserve">علمک شیر مخلوط</t>
  </si>
  <si>
    <t xml:space="preserve">4014579</t>
  </si>
  <si>
    <t xml:space="preserve">علمک شير مخلوط روشويي</t>
  </si>
  <si>
    <t xml:space="preserve">31271514</t>
  </si>
  <si>
    <r>
      <rPr>
        <sz val="10"/>
        <rFont val="FreeSans"/>
        <family val="2"/>
      </rPr>
      <t xml:space="preserve">شیر یکضرب استیل   دنده ای    </t>
    </r>
    <r>
      <rPr>
        <sz val="10"/>
        <rFont val="Vazirmatn"/>
        <family val="0"/>
        <charset val="1"/>
      </rPr>
      <t xml:space="preserve">" 3/4</t>
    </r>
  </si>
  <si>
    <t xml:space="preserve">4029907</t>
  </si>
  <si>
    <r>
      <rPr>
        <sz val="10"/>
        <rFont val="FreeSans"/>
        <family val="2"/>
      </rPr>
      <t xml:space="preserve">شیر گازی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</si>
  <si>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31271515</t>
  </si>
  <si>
    <t xml:space="preserve">شیر حمام مخلوط</t>
  </si>
  <si>
    <t xml:space="preserve">4030062</t>
  </si>
  <si>
    <t xml:space="preserve">سوپاپ شیر مخلوط حمام</t>
  </si>
  <si>
    <t xml:space="preserve">31271533</t>
  </si>
  <si>
    <r>
      <rPr>
        <sz val="10"/>
        <rFont val="FreeSans"/>
        <family val="2"/>
      </rPr>
      <t xml:space="preserve">شیر توپی استیل فلنجدار         </t>
    </r>
    <r>
      <rPr>
        <sz val="10"/>
        <rFont val="Vazirmatn"/>
        <family val="0"/>
        <charset val="1"/>
      </rPr>
      <t xml:space="preserve">" 1/2</t>
    </r>
  </si>
  <si>
    <t xml:space="preserve">4031523</t>
  </si>
  <si>
    <r>
      <rPr>
        <sz val="10"/>
        <rFont val="FreeSans"/>
        <family val="2"/>
      </rPr>
      <t xml:space="preserve">شیر توپی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بال ولو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فلنچی استیل </t>
    </r>
    <r>
      <rPr>
        <sz val="10"/>
        <rFont val="Vazirmatn"/>
        <family val="0"/>
        <charset val="1"/>
      </rPr>
      <t xml:space="preserve">304  1/2</t>
    </r>
  </si>
  <si>
    <t xml:space="preserve">31271541</t>
  </si>
  <si>
    <r>
      <rPr>
        <sz val="10"/>
        <rFont val="FreeSans"/>
        <family val="2"/>
      </rPr>
      <t xml:space="preserve">شیر فلکه سوزنی استیل  </t>
    </r>
    <r>
      <rPr>
        <sz val="10"/>
        <rFont val="Vazirmatn"/>
        <family val="0"/>
        <charset val="1"/>
      </rPr>
      <t xml:space="preserve">" 3/4</t>
    </r>
  </si>
  <si>
    <t xml:space="preserve">4031576</t>
  </si>
  <si>
    <r>
      <rPr>
        <sz val="10"/>
        <rFont val="FreeSans"/>
        <family val="2"/>
      </rPr>
      <t xml:space="preserve">شیر فلکه سوزنی رزوه ای استیل </t>
    </r>
    <r>
      <rPr>
        <sz val="10"/>
        <rFont val="Vazirmatn"/>
        <family val="0"/>
        <charset val="1"/>
      </rPr>
      <t xml:space="preserve">316  3/4"</t>
    </r>
  </si>
  <si>
    <t xml:space="preserve">31271546</t>
  </si>
  <si>
    <r>
      <rPr>
        <sz val="10"/>
        <rFont val="FreeSans"/>
        <family val="2"/>
      </rPr>
      <t xml:space="preserve">شیر یکضرب استیل دنده ای    </t>
    </r>
    <r>
      <rPr>
        <sz val="10"/>
        <rFont val="Vazirmatn"/>
        <family val="0"/>
        <charset val="1"/>
      </rPr>
      <t xml:space="preserve">" 1</t>
    </r>
  </si>
  <si>
    <t xml:space="preserve">31271549</t>
  </si>
  <si>
    <r>
      <rPr>
        <sz val="10"/>
        <rFont val="FreeSans"/>
        <family val="2"/>
      </rPr>
      <t xml:space="preserve">شیر یکطرفه آهنی             </t>
    </r>
    <r>
      <rPr>
        <sz val="10"/>
        <rFont val="Vazirmatn"/>
        <family val="0"/>
        <charset val="1"/>
      </rPr>
      <t xml:space="preserve">" 1</t>
    </r>
  </si>
  <si>
    <t xml:space="preserve">31271551</t>
  </si>
  <si>
    <r>
      <rPr>
        <sz val="10"/>
        <rFont val="FreeSans"/>
        <family val="2"/>
      </rPr>
      <t xml:space="preserve">شیر سوزنی فولادی فلنجدار        </t>
    </r>
    <r>
      <rPr>
        <sz val="10"/>
        <rFont val="Vazirmatn"/>
        <family val="0"/>
        <charset val="1"/>
      </rPr>
      <t xml:space="preserve">" 1</t>
    </r>
  </si>
  <si>
    <t xml:space="preserve">4031563</t>
  </si>
  <si>
    <r>
      <rPr>
        <sz val="10"/>
        <rFont val="FreeSans"/>
        <family val="2"/>
      </rPr>
      <t xml:space="preserve">شیر فلکه سوزنی فولادی فلنچی کلاس </t>
    </r>
    <r>
      <rPr>
        <sz val="10"/>
        <rFont val="Vazirmatn"/>
        <family val="0"/>
        <charset val="1"/>
      </rPr>
      <t xml:space="preserve">150 1"</t>
    </r>
  </si>
  <si>
    <t xml:space="preserve">31271554</t>
  </si>
  <si>
    <r>
      <rPr>
        <sz val="10"/>
        <rFont val="FreeSans"/>
        <family val="2"/>
      </rPr>
      <t xml:space="preserve">شیر فلکه سوزنی برنجی  دنده ای   </t>
    </r>
    <r>
      <rPr>
        <sz val="10"/>
        <rFont val="Vazirmatn"/>
        <family val="0"/>
        <charset val="1"/>
      </rPr>
      <t xml:space="preserve">" 1/2</t>
    </r>
  </si>
  <si>
    <t xml:space="preserve">4029861</t>
  </si>
  <si>
    <r>
      <rPr>
        <sz val="10"/>
        <rFont val="FreeSans"/>
        <family val="2"/>
      </rPr>
      <t xml:space="preserve">شیر فلکه سوزنی برنجی سایز </t>
    </r>
    <r>
      <rPr>
        <sz val="10"/>
        <rFont val="Vazirmatn"/>
        <family val="0"/>
        <charset val="1"/>
      </rPr>
      <t xml:space="preserve">1/2 2  </t>
    </r>
    <r>
      <rPr>
        <sz val="10"/>
        <rFont val="FreeSans"/>
        <family val="2"/>
      </rPr>
      <t xml:space="preserve">اینچ</t>
    </r>
  </si>
  <si>
    <t xml:space="preserve">31271557</t>
  </si>
  <si>
    <r>
      <rPr>
        <sz val="10"/>
        <rFont val="FreeSans"/>
        <family val="2"/>
      </rPr>
      <t xml:space="preserve">شیر یکطرفه برنجی دنده ای     </t>
    </r>
    <r>
      <rPr>
        <sz val="10"/>
        <rFont val="Vazirmatn"/>
        <family val="0"/>
        <charset val="1"/>
      </rPr>
      <t xml:space="preserve">" 1</t>
    </r>
  </si>
  <si>
    <t xml:space="preserve">4029950</t>
  </si>
  <si>
    <r>
      <rPr>
        <sz val="10"/>
        <rFont val="FreeSans"/>
        <family val="2"/>
      </rPr>
      <t xml:space="preserve">شیر یکطرفه دریچه ای برنجی 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</si>
  <si>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31271558</t>
  </si>
  <si>
    <r>
      <rPr>
        <sz val="10"/>
        <rFont val="FreeSans"/>
        <family val="2"/>
      </rPr>
      <t xml:space="preserve">شیر یکطرفه آذین       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</si>
  <si>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31271566</t>
  </si>
  <si>
    <r>
      <rPr>
        <sz val="10"/>
        <rFont val="FreeSans"/>
        <family val="2"/>
      </rPr>
      <t xml:space="preserve">شیر فلکه کشویی استیل     </t>
    </r>
    <r>
      <rPr>
        <sz val="10"/>
        <rFont val="Vazirmatn"/>
        <family val="0"/>
        <charset val="1"/>
      </rPr>
      <t xml:space="preserve">" 3</t>
    </r>
  </si>
  <si>
    <t xml:space="preserve">31271570</t>
  </si>
  <si>
    <r>
      <rPr>
        <sz val="10"/>
        <rFont val="FreeSans"/>
        <family val="2"/>
      </rPr>
      <t xml:space="preserve">شیر یکضرب برنجی  دنده ای   </t>
    </r>
    <r>
      <rPr>
        <sz val="10"/>
        <rFont val="Vazirmatn"/>
        <family val="0"/>
        <charset val="1"/>
      </rPr>
      <t xml:space="preserve">" 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</t>
    </r>
  </si>
  <si>
    <t xml:space="preserve">4029949</t>
  </si>
  <si>
    <r>
      <rPr>
        <sz val="10"/>
        <rFont val="FreeSans"/>
        <family val="2"/>
      </rPr>
      <t xml:space="preserve">شیر یکطرفه دریچه ای برنجی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</si>
  <si>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31271586</t>
  </si>
  <si>
    <r>
      <rPr>
        <sz val="10"/>
        <rFont val="FreeSans"/>
        <family val="2"/>
      </rPr>
      <t xml:space="preserve">شیر یکطرفه بین فلنجی  استیل  </t>
    </r>
    <r>
      <rPr>
        <sz val="10"/>
        <rFont val="Vazirmatn"/>
        <family val="0"/>
        <charset val="1"/>
      </rPr>
      <t xml:space="preserve">" 1/2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</si>
  <si>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31271587</t>
  </si>
  <si>
    <r>
      <rPr>
        <sz val="10"/>
        <rFont val="FreeSans"/>
        <family val="2"/>
      </rPr>
      <t xml:space="preserve">شیر توپی استیل فلنجدار  کلاس </t>
    </r>
    <r>
      <rPr>
        <sz val="10"/>
        <rFont val="Vazirmatn"/>
        <family val="0"/>
        <charset val="1"/>
      </rPr>
      <t xml:space="preserve">150     304    " 3</t>
    </r>
  </si>
  <si>
    <t xml:space="preserve">4031705</t>
  </si>
  <si>
    <r>
      <rPr>
        <sz val="10"/>
        <rFont val="FreeSans"/>
        <family val="2"/>
      </rPr>
      <t xml:space="preserve">شیر یکطرفه فلنچی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3"</t>
    </r>
  </si>
  <si>
    <t xml:space="preserve">31271588</t>
  </si>
  <si>
    <r>
      <rPr>
        <sz val="10"/>
        <rFont val="FreeSans"/>
        <family val="2"/>
      </rPr>
      <t xml:space="preserve">شیر توپی استیل فلنجدار      </t>
    </r>
    <r>
      <rPr>
        <sz val="10"/>
        <rFont val="Vazirmatn"/>
        <family val="0"/>
        <charset val="1"/>
      </rPr>
      <t xml:space="preserve">" 5</t>
    </r>
  </si>
  <si>
    <t xml:space="preserve">31271595</t>
  </si>
  <si>
    <r>
      <rPr>
        <sz val="10"/>
        <rFont val="FreeSans"/>
        <family val="2"/>
      </rPr>
      <t xml:space="preserve">شیر یکضرب برنجی دنده ای </t>
    </r>
    <r>
      <rPr>
        <sz val="10"/>
        <rFont val="Vazirmatn"/>
        <family val="0"/>
        <charset val="1"/>
      </rPr>
      <t xml:space="preserve">"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</si>
  <si>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31271597</t>
  </si>
  <si>
    <r>
      <rPr>
        <sz val="10"/>
        <rFont val="FreeSans"/>
        <family val="2"/>
      </rPr>
      <t xml:space="preserve">شیر یکضرب استیل           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</si>
  <si>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4029911</t>
  </si>
  <si>
    <r>
      <rPr>
        <sz val="10"/>
        <rFont val="FreeSans"/>
        <family val="2"/>
      </rPr>
      <t xml:space="preserve">شیر گازی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جوشی سایز </t>
    </r>
    <r>
      <rPr>
        <sz val="10"/>
        <rFont val="Vazirmatn"/>
        <family val="0"/>
        <charset val="1"/>
      </rPr>
      <t xml:space="preserve">1/4 1 </t>
    </r>
    <r>
      <rPr>
        <sz val="10"/>
        <rFont val="FreeSans"/>
        <family val="2"/>
      </rPr>
      <t xml:space="preserve">اینچ</t>
    </r>
  </si>
  <si>
    <t xml:space="preserve">31271598</t>
  </si>
  <si>
    <r>
      <rPr>
        <sz val="10"/>
        <rFont val="FreeSans"/>
        <family val="2"/>
      </rPr>
      <t xml:space="preserve">شیر فلکه کشوئی برنجی  دنده ای    </t>
    </r>
    <r>
      <rPr>
        <sz val="10"/>
        <rFont val="Vazirmatn"/>
        <family val="0"/>
        <charset val="1"/>
      </rPr>
      <t xml:space="preserve">" 2</t>
    </r>
  </si>
  <si>
    <t xml:space="preserve">31271609</t>
  </si>
  <si>
    <r>
      <rPr>
        <sz val="10"/>
        <rFont val="FreeSans"/>
        <family val="2"/>
      </rPr>
      <t xml:space="preserve">شیر یکضرب  برنجی دنده ای          </t>
    </r>
    <r>
      <rPr>
        <sz val="10"/>
        <rFont val="Vazirmatn"/>
        <family val="0"/>
        <charset val="1"/>
      </rPr>
      <t xml:space="preserve">" 2</t>
    </r>
  </si>
  <si>
    <t xml:space="preserve">4031715</t>
  </si>
  <si>
    <r>
      <rPr>
        <sz val="10"/>
        <rFont val="FreeSans"/>
        <family val="2"/>
      </rPr>
      <t xml:space="preserve">شیر یکطرفه دریچه ای برنجی 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</si>
  <si>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31271611</t>
  </si>
  <si>
    <r>
      <rPr>
        <sz val="10"/>
        <rFont val="FreeSans"/>
        <family val="2"/>
      </rPr>
      <t xml:space="preserve">شیر یکطرفه چدنی فلنجدار  </t>
    </r>
    <r>
      <rPr>
        <sz val="10"/>
        <rFont val="Vazirmatn"/>
        <family val="0"/>
        <charset val="1"/>
      </rPr>
      <t xml:space="preserve">" 6</t>
    </r>
  </si>
  <si>
    <t xml:space="preserve">4029952</t>
  </si>
  <si>
    <r>
      <rPr>
        <sz val="10"/>
        <rFont val="FreeSans"/>
        <family val="2"/>
      </rPr>
      <t xml:space="preserve">شیر یکطرفه چدنی فلنچی </t>
    </r>
    <r>
      <rPr>
        <sz val="10"/>
        <rFont val="Vazirmatn"/>
        <family val="0"/>
        <charset val="1"/>
      </rPr>
      <t xml:space="preserve">PN16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اینچ</t>
    </r>
  </si>
  <si>
    <t xml:space="preserve">31271614</t>
  </si>
  <si>
    <r>
      <rPr>
        <sz val="10"/>
        <rFont val="FreeSans"/>
        <family val="2"/>
      </rPr>
      <t xml:space="preserve">شیر استیل یکطرفه   </t>
    </r>
    <r>
      <rPr>
        <sz val="10"/>
        <rFont val="Vazirmatn"/>
        <family val="0"/>
        <charset val="1"/>
      </rPr>
      <t xml:space="preserve">" 4</t>
    </r>
  </si>
  <si>
    <t xml:space="preserve">31271615</t>
  </si>
  <si>
    <r>
      <rPr>
        <sz val="10"/>
        <rFont val="FreeSans"/>
        <family val="2"/>
      </rPr>
      <t xml:space="preserve">شیر یکطرفه استیل فلنجدار         </t>
    </r>
    <r>
      <rPr>
        <sz val="10"/>
        <rFont val="Vazirmatn"/>
        <family val="0"/>
        <charset val="1"/>
      </rPr>
      <t xml:space="preserve">" 3</t>
    </r>
  </si>
  <si>
    <t xml:space="preserve">31271616</t>
  </si>
  <si>
    <r>
      <rPr>
        <sz val="10"/>
        <rFont val="FreeSans"/>
        <family val="2"/>
      </rPr>
      <t xml:space="preserve">شیر یکطرفه استیل   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</si>
  <si>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31271617</t>
  </si>
  <si>
    <r>
      <rPr>
        <sz val="10"/>
        <rFont val="FreeSans"/>
        <family val="2"/>
      </rPr>
      <t xml:space="preserve">شیر یکطرفه چدنی فلنجدار </t>
    </r>
    <r>
      <rPr>
        <sz val="10"/>
        <rFont val="Vazirmatn"/>
        <family val="0"/>
        <charset val="1"/>
      </rPr>
      <t xml:space="preserve">" 5</t>
    </r>
  </si>
  <si>
    <t xml:space="preserve">4029953</t>
  </si>
  <si>
    <r>
      <rPr>
        <sz val="10"/>
        <rFont val="FreeSans"/>
        <family val="2"/>
      </rPr>
      <t xml:space="preserve">شیر یکطرفه چدنی فلنچی سایز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اینچ</t>
    </r>
  </si>
  <si>
    <t xml:space="preserve">31271618</t>
  </si>
  <si>
    <r>
      <rPr>
        <sz val="10"/>
        <rFont val="FreeSans"/>
        <family val="2"/>
      </rPr>
      <t xml:space="preserve">شیر یکضرب استیل دنده ای  </t>
    </r>
    <r>
      <rPr>
        <sz val="10"/>
        <rFont val="Vazirmatn"/>
        <family val="0"/>
        <charset val="1"/>
      </rPr>
      <t xml:space="preserve">"1/2</t>
    </r>
  </si>
  <si>
    <t xml:space="preserve">4031623</t>
  </si>
  <si>
    <r>
      <rPr>
        <sz val="10"/>
        <rFont val="FreeSans"/>
        <family val="2"/>
      </rPr>
      <t xml:space="preserve">شیر گازی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</si>
  <si>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31271620</t>
  </si>
  <si>
    <r>
      <rPr>
        <sz val="10"/>
        <rFont val="FreeSans"/>
        <family val="2"/>
      </rPr>
      <t xml:space="preserve">شیر یکطرفه برنجی دنده ای </t>
    </r>
    <r>
      <rPr>
        <sz val="10"/>
        <rFont val="Vazirmatn"/>
        <family val="0"/>
        <charset val="1"/>
      </rPr>
      <t xml:space="preserve">" 1/2</t>
    </r>
  </si>
  <si>
    <t xml:space="preserve">31271624</t>
  </si>
  <si>
    <r>
      <rPr>
        <sz val="10"/>
        <rFont val="FreeSans"/>
        <family val="2"/>
      </rPr>
      <t xml:space="preserve">شیر یکطرفه چدنی فلنجدار          </t>
    </r>
    <r>
      <rPr>
        <sz val="10"/>
        <rFont val="Vazirmatn"/>
        <family val="0"/>
        <charset val="1"/>
      </rPr>
      <t xml:space="preserve">" 1</t>
    </r>
  </si>
  <si>
    <t xml:space="preserve">4029943</t>
  </si>
  <si>
    <r>
      <rPr>
        <sz val="10"/>
        <rFont val="FreeSans"/>
        <family val="2"/>
      </rPr>
      <t xml:space="preserve">شیر یکطرفه ویفری چدنی 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</si>
  <si>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31271634</t>
  </si>
  <si>
    <r>
      <rPr>
        <sz val="10"/>
        <rFont val="FreeSans"/>
        <family val="2"/>
      </rPr>
      <t xml:space="preserve">شیر اطمینان چدنی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3/4</t>
    </r>
  </si>
  <si>
    <t xml:space="preserve">31271636</t>
  </si>
  <si>
    <r>
      <rPr>
        <sz val="10"/>
        <rFont val="FreeSans"/>
        <family val="2"/>
      </rPr>
      <t xml:space="preserve">شیر اطمینان چدنی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1</t>
    </r>
  </si>
  <si>
    <t xml:space="preserve">4029971</t>
  </si>
  <si>
    <r>
      <rPr>
        <sz val="10"/>
        <rFont val="FreeSans"/>
        <family val="2"/>
      </rPr>
      <t xml:space="preserve">شیر اطمینان برنجی 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</si>
  <si>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31271638</t>
  </si>
  <si>
    <r>
      <rPr>
        <sz val="10"/>
        <rFont val="FreeSans"/>
        <family val="2"/>
      </rPr>
      <t xml:space="preserve">شیر اطمینان فلنجی 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</si>
  <si>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31271641</t>
  </si>
  <si>
    <r>
      <rPr>
        <sz val="10"/>
        <rFont val="FreeSans"/>
        <family val="2"/>
      </rPr>
      <t xml:space="preserve">شیر یکطرفه استیل دنده ای    </t>
    </r>
    <r>
      <rPr>
        <sz val="10"/>
        <rFont val="Vazirmatn"/>
        <family val="0"/>
        <charset val="1"/>
      </rPr>
      <t xml:space="preserve">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</t>
    </r>
  </si>
  <si>
    <t xml:space="preserve">4029962</t>
  </si>
  <si>
    <r>
      <rPr>
        <sz val="10"/>
        <rFont val="FreeSans"/>
        <family val="2"/>
      </rPr>
      <t xml:space="preserve">شیر یکطرفه دوسر دنده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</si>
  <si>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31271642</t>
  </si>
  <si>
    <r>
      <rPr>
        <sz val="10"/>
        <rFont val="FreeSans"/>
        <family val="2"/>
      </rPr>
      <t xml:space="preserve">شیر اطمینان برنجی         </t>
    </r>
    <r>
      <rPr>
        <sz val="10"/>
        <rFont val="Vazirmatn"/>
        <family val="0"/>
        <charset val="1"/>
      </rPr>
      <t xml:space="preserve">" 1</t>
    </r>
  </si>
  <si>
    <t xml:space="preserve">31271643</t>
  </si>
  <si>
    <r>
      <rPr>
        <sz val="10"/>
        <rFont val="FreeSans"/>
        <family val="2"/>
      </rPr>
      <t xml:space="preserve">شیر یکطرفه آهنی دنده ای      </t>
    </r>
    <r>
      <rPr>
        <sz val="10"/>
        <rFont val="Vazirmatn"/>
        <family val="0"/>
        <charset val="1"/>
      </rPr>
      <t xml:space="preserve">" 1/2</t>
    </r>
  </si>
  <si>
    <t xml:space="preserve">31271652</t>
  </si>
  <si>
    <r>
      <rPr>
        <sz val="10"/>
        <rFont val="FreeSans"/>
        <family val="2"/>
      </rPr>
      <t xml:space="preserve">شیر یکطرفه بین فلنجی استیل  </t>
    </r>
    <r>
      <rPr>
        <sz val="10"/>
        <rFont val="Vazirmatn"/>
        <family val="0"/>
        <charset val="1"/>
      </rPr>
      <t xml:space="preserve">" 3</t>
    </r>
  </si>
  <si>
    <t xml:space="preserve">31271657</t>
  </si>
  <si>
    <t xml:space="preserve">شیر اهرمی روشویی پایه بلند</t>
  </si>
  <si>
    <t xml:space="preserve">31271658</t>
  </si>
  <si>
    <t xml:space="preserve">شیر اهرمی ظرفشویی</t>
  </si>
  <si>
    <t xml:space="preserve">4007141</t>
  </si>
  <si>
    <t xml:space="preserve">شير مخلوط ظرفشويي اهرمي</t>
  </si>
  <si>
    <t xml:space="preserve">31271664</t>
  </si>
  <si>
    <r>
      <rPr>
        <sz val="10"/>
        <rFont val="FreeSans"/>
        <family val="2"/>
      </rPr>
      <t xml:space="preserve">شیر یکضرب برنجی  دنده ای      </t>
    </r>
    <r>
      <rPr>
        <sz val="10"/>
        <rFont val="Vazirmatn"/>
        <family val="0"/>
        <charset val="1"/>
      </rPr>
      <t xml:space="preserve">" 3/4</t>
    </r>
  </si>
  <si>
    <t xml:space="preserve">4029948</t>
  </si>
  <si>
    <r>
      <rPr>
        <sz val="10"/>
        <rFont val="FreeSans"/>
        <family val="2"/>
      </rPr>
      <t xml:space="preserve">شیر یکطرفه دریچه ای برنجی 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</si>
  <si>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31271666</t>
  </si>
  <si>
    <r>
      <rPr>
        <sz val="10"/>
        <rFont val="FreeSans"/>
        <family val="2"/>
      </rPr>
      <t xml:space="preserve">شیر یکضرب برنجی  دنده ای </t>
    </r>
    <r>
      <rPr>
        <sz val="10"/>
        <rFont val="Vazirmatn"/>
        <family val="0"/>
        <charset val="1"/>
      </rPr>
      <t xml:space="preserve">" 1/2</t>
    </r>
  </si>
  <si>
    <t xml:space="preserve">31271675</t>
  </si>
  <si>
    <r>
      <rPr>
        <sz val="10"/>
        <rFont val="FreeSans"/>
        <family val="2"/>
      </rPr>
      <t xml:space="preserve">فلوتر                       </t>
    </r>
    <r>
      <rPr>
        <sz val="10"/>
        <rFont val="Vazirmatn"/>
        <family val="0"/>
        <charset val="1"/>
      </rPr>
      <t xml:space="preserve">" 1/4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</si>
  <si>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4030211</t>
  </si>
  <si>
    <r>
      <rPr>
        <sz val="10"/>
        <rFont val="FreeSans"/>
        <family val="2"/>
      </rPr>
      <t xml:space="preserve">فلوتر استیل </t>
    </r>
    <r>
      <rPr>
        <sz val="10"/>
        <rFont val="Vazirmatn"/>
        <family val="0"/>
        <charset val="1"/>
      </rPr>
      <t xml:space="preserve">1/4 1 </t>
    </r>
    <r>
      <rPr>
        <sz val="10"/>
        <rFont val="FreeSans"/>
        <family val="2"/>
      </rPr>
      <t xml:space="preserve">اینچ</t>
    </r>
  </si>
  <si>
    <t xml:space="preserve">31271681</t>
  </si>
  <si>
    <r>
      <rPr>
        <sz val="10"/>
        <rFont val="FreeSans"/>
        <family val="2"/>
      </rPr>
      <t xml:space="preserve">شیر یکطرفه </t>
    </r>
    <r>
      <rPr>
        <sz val="10"/>
        <rFont val="Vazirmatn"/>
        <family val="0"/>
        <charset val="1"/>
      </rPr>
      <t xml:space="preserve">" C PVC           4</t>
    </r>
  </si>
  <si>
    <t xml:space="preserve">4029935</t>
  </si>
  <si>
    <r>
      <rPr>
        <sz val="10"/>
        <rFont val="FreeSans"/>
        <family val="2"/>
      </rPr>
      <t xml:space="preserve">شیر یکطرفه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چسبی 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</si>
  <si>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31271690</t>
  </si>
  <si>
    <r>
      <rPr>
        <sz val="10"/>
        <rFont val="FreeSans"/>
        <family val="2"/>
      </rPr>
      <t xml:space="preserve">شیر پروانه ای</t>
    </r>
    <r>
      <rPr>
        <sz val="10"/>
        <rFont val="Vazirmatn"/>
        <family val="0"/>
        <charset val="1"/>
      </rPr>
      <t xml:space="preserve">" C PVC          6</t>
    </r>
  </si>
  <si>
    <t xml:space="preserve">4031759</t>
  </si>
  <si>
    <r>
      <rPr>
        <sz val="10"/>
        <rFont val="FreeSans"/>
        <family val="2"/>
      </rPr>
      <t xml:space="preserve">شیر پروانه دستی </t>
    </r>
    <r>
      <rPr>
        <sz val="10"/>
        <rFont val="Vazirmatn"/>
        <family val="0"/>
        <charset val="1"/>
      </rPr>
      <t xml:space="preserve">EPDM - CPVC </t>
    </r>
    <r>
      <rPr>
        <sz val="10"/>
        <rFont val="FreeSans"/>
        <family val="2"/>
      </rPr>
      <t xml:space="preserve">لاستیکی  </t>
    </r>
    <r>
      <rPr>
        <sz val="10"/>
        <rFont val="Vazirmatn"/>
        <family val="0"/>
        <charset val="1"/>
      </rPr>
      <t xml:space="preserve">6</t>
    </r>
  </si>
  <si>
    <t xml:space="preserve">31271698</t>
  </si>
  <si>
    <r>
      <rPr>
        <sz val="10"/>
        <rFont val="FreeSans"/>
        <family val="2"/>
      </rPr>
      <t xml:space="preserve">شیر توپی  </t>
    </r>
    <r>
      <rPr>
        <sz val="10"/>
        <rFont val="Vazirmatn"/>
        <family val="0"/>
        <charset val="1"/>
      </rPr>
      <t xml:space="preserve">" C PVC              1/2</t>
    </r>
  </si>
  <si>
    <t xml:space="preserve">4031538</t>
  </si>
  <si>
    <r>
      <rPr>
        <sz val="10"/>
        <rFont val="FreeSans"/>
        <family val="2"/>
      </rPr>
      <t xml:space="preserve">شیر توپی دنده ای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1/2"</t>
    </r>
  </si>
  <si>
    <t xml:space="preserve">31271707</t>
  </si>
  <si>
    <r>
      <rPr>
        <sz val="10"/>
        <rFont val="FreeSans"/>
        <family val="2"/>
      </rPr>
      <t xml:space="preserve">شیر پروانه ای </t>
    </r>
    <r>
      <rPr>
        <sz val="10"/>
        <rFont val="Vazirmatn"/>
        <family val="0"/>
        <charset val="1"/>
      </rPr>
      <t xml:space="preserve">" 4  UPVC</t>
    </r>
  </si>
  <si>
    <t xml:space="preserve">31271717</t>
  </si>
  <si>
    <r>
      <rPr>
        <sz val="10"/>
        <rFont val="FreeSans"/>
        <family val="2"/>
      </rPr>
      <t xml:space="preserve">شیر سوزنی بخار چدنی  فلنجدار  </t>
    </r>
    <r>
      <rPr>
        <sz val="10"/>
        <rFont val="Vazirmatn"/>
        <family val="0"/>
        <charset val="1"/>
      </rPr>
      <t xml:space="preserve">" 6</t>
    </r>
  </si>
  <si>
    <t xml:space="preserve">4031553</t>
  </si>
  <si>
    <r>
      <rPr>
        <sz val="10"/>
        <rFont val="FreeSans"/>
        <family val="2"/>
      </rPr>
      <t xml:space="preserve">شیر فلکه سوزنی چدنی فلنچی </t>
    </r>
    <r>
      <rPr>
        <sz val="10"/>
        <rFont val="Vazirmatn"/>
        <family val="0"/>
        <charset val="1"/>
      </rPr>
      <t xml:space="preserve">PN 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6</t>
    </r>
  </si>
  <si>
    <t xml:space="preserve">31271727</t>
  </si>
  <si>
    <r>
      <rPr>
        <sz val="10"/>
        <rFont val="FreeSans"/>
        <family val="2"/>
      </rPr>
      <t xml:space="preserve">شیر آب سرد کن  </t>
    </r>
    <r>
      <rPr>
        <sz val="10"/>
        <rFont val="Vazirmatn"/>
        <family val="0"/>
        <charset val="1"/>
      </rPr>
      <t xml:space="preserve">"1/2</t>
    </r>
  </si>
  <si>
    <t xml:space="preserve">4030044</t>
  </si>
  <si>
    <r>
      <rPr>
        <sz val="10"/>
        <rFont val="FreeSans"/>
        <family val="2"/>
      </rPr>
      <t xml:space="preserve">شیر آب سردکن سایز </t>
    </r>
    <r>
      <rPr>
        <sz val="10"/>
        <rFont val="Vazirmatn"/>
        <family val="0"/>
        <charset val="1"/>
      </rPr>
      <t xml:space="preserve">1/2</t>
    </r>
  </si>
  <si>
    <t xml:space="preserve">31271738</t>
  </si>
  <si>
    <r>
      <rPr>
        <sz val="10"/>
        <rFont val="FreeSans"/>
        <family val="2"/>
      </rPr>
      <t xml:space="preserve">شیر یکطرفه بین فلنجی چدنی </t>
    </r>
    <r>
      <rPr>
        <sz val="10"/>
        <rFont val="Vazirmatn"/>
        <family val="0"/>
        <charset val="1"/>
      </rPr>
      <t xml:space="preserve">"6</t>
    </r>
  </si>
  <si>
    <t xml:space="preserve">31271747</t>
  </si>
  <si>
    <r>
      <rPr>
        <sz val="10"/>
        <rFont val="FreeSans"/>
        <family val="2"/>
      </rPr>
      <t xml:space="preserve">شیر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    UPVC</t>
    </r>
  </si>
  <si>
    <t xml:space="preserve">4029960</t>
  </si>
  <si>
    <r>
      <rPr>
        <sz val="10"/>
        <rFont val="FreeSans"/>
        <family val="2"/>
      </rPr>
      <t xml:space="preserve">شیر یکطرفه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فلنچی 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</si>
  <si>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31271748</t>
  </si>
  <si>
    <r>
      <rPr>
        <sz val="10"/>
        <rFont val="FreeSans"/>
        <family val="2"/>
      </rPr>
      <t xml:space="preserve">شیر  </t>
    </r>
    <r>
      <rPr>
        <sz val="10"/>
        <rFont val="Vazirmatn"/>
        <family val="0"/>
        <charset val="1"/>
      </rPr>
      <t xml:space="preserve">" 2     UPVC</t>
    </r>
  </si>
  <si>
    <t xml:space="preserve">31271750</t>
  </si>
  <si>
    <r>
      <rPr>
        <sz val="10"/>
        <rFont val="FreeSans"/>
        <family val="2"/>
      </rPr>
      <t xml:space="preserve">شیر یکطرفه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    UPVC</t>
    </r>
  </si>
  <si>
    <t xml:space="preserve">31271751</t>
  </si>
  <si>
    <r>
      <rPr>
        <sz val="10"/>
        <rFont val="FreeSans"/>
        <family val="2"/>
      </rPr>
      <t xml:space="preserve">شیر یکضرب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    UPVC</t>
    </r>
  </si>
  <si>
    <t xml:space="preserve">4029920</t>
  </si>
  <si>
    <r>
      <rPr>
        <sz val="10"/>
        <rFont val="FreeSans"/>
        <family val="2"/>
      </rPr>
      <t xml:space="preserve">شیر دیافراگمی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"1/4 1 </t>
    </r>
    <r>
      <rPr>
        <sz val="10"/>
        <rFont val="FreeSans"/>
        <family val="2"/>
      </rPr>
      <t xml:space="preserve">اینچ</t>
    </r>
  </si>
  <si>
    <t xml:space="preserve">31271754</t>
  </si>
  <si>
    <r>
      <rPr>
        <sz val="10"/>
        <rFont val="FreeSans"/>
        <family val="2"/>
      </rPr>
      <t xml:space="preserve">شیر یکضرب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    UPVC</t>
    </r>
  </si>
  <si>
    <t xml:space="preserve">4029919</t>
  </si>
  <si>
    <r>
      <rPr>
        <sz val="10"/>
        <rFont val="FreeSans"/>
        <family val="2"/>
      </rPr>
      <t xml:space="preserve">شیر دیافراگمی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</si>
  <si>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31271758</t>
  </si>
  <si>
    <r>
      <rPr>
        <sz val="10"/>
        <rFont val="FreeSans"/>
        <family val="2"/>
      </rPr>
      <t xml:space="preserve">شیر یکضرب دنده ای استیل </t>
    </r>
    <r>
      <rPr>
        <sz val="10"/>
        <rFont val="Vazirmatn"/>
        <family val="0"/>
        <charset val="1"/>
      </rPr>
      <t xml:space="preserve">316   " 2</t>
    </r>
  </si>
  <si>
    <t xml:space="preserve">4029908</t>
  </si>
  <si>
    <r>
      <rPr>
        <sz val="10"/>
        <rFont val="FreeSans"/>
        <family val="2"/>
      </rPr>
      <t xml:space="preserve">شیر گازی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</si>
  <si>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31271799</t>
  </si>
  <si>
    <r>
      <rPr>
        <sz val="10"/>
        <rFont val="FreeSans"/>
        <family val="2"/>
      </rPr>
      <t xml:space="preserve">شیر یکطرفه دوسر دنده </t>
    </r>
    <r>
      <rPr>
        <sz val="10"/>
        <rFont val="Vazirmatn"/>
        <family val="0"/>
        <charset val="1"/>
      </rPr>
      <t xml:space="preserve">" UPVC  1</t>
    </r>
  </si>
  <si>
    <t xml:space="preserve">31271800</t>
  </si>
  <si>
    <r>
      <rPr>
        <sz val="10"/>
        <rFont val="FreeSans"/>
        <family val="2"/>
      </rPr>
      <t xml:space="preserve">شیر یکطرفه  </t>
    </r>
    <r>
      <rPr>
        <sz val="10"/>
        <rFont val="Vazirmatn"/>
        <family val="0"/>
        <charset val="1"/>
      </rPr>
      <t xml:space="preserve">" UPVC  1/2</t>
    </r>
  </si>
  <si>
    <t xml:space="preserve">31271809</t>
  </si>
  <si>
    <t xml:space="preserve">سر دوش حمام</t>
  </si>
  <si>
    <t xml:space="preserve">5004760</t>
  </si>
  <si>
    <t xml:space="preserve">سر دوش علمک حمام</t>
  </si>
  <si>
    <t xml:space="preserve">31271813</t>
  </si>
  <si>
    <r>
      <rPr>
        <sz val="10"/>
        <rFont val="FreeSans"/>
        <family val="2"/>
      </rPr>
      <t xml:space="preserve">شیر  </t>
    </r>
    <r>
      <rPr>
        <sz val="10"/>
        <rFont val="Vazirmatn"/>
        <family val="0"/>
        <charset val="1"/>
      </rPr>
      <t xml:space="preserve">" 4   UPVC</t>
    </r>
  </si>
  <si>
    <t xml:space="preserve">31271816</t>
  </si>
  <si>
    <r>
      <rPr>
        <sz val="10"/>
        <rFont val="FreeSans"/>
        <family val="2"/>
      </rPr>
      <t xml:space="preserve">شیر پروانه ای پنوماتیک  </t>
    </r>
    <r>
      <rPr>
        <sz val="10"/>
        <rFont val="Vazirmatn"/>
        <family val="0"/>
        <charset val="1"/>
      </rPr>
      <t xml:space="preserve">"2 NO </t>
    </r>
    <r>
      <rPr>
        <sz val="10"/>
        <rFont val="FreeSans"/>
        <family val="2"/>
      </rPr>
      <t xml:space="preserve">بوبین </t>
    </r>
    <r>
      <rPr>
        <sz val="10"/>
        <rFont val="Vazirmatn"/>
        <family val="0"/>
        <charset val="1"/>
      </rPr>
      <t xml:space="preserve">220V</t>
    </r>
  </si>
  <si>
    <t xml:space="preserve">4053900</t>
  </si>
  <si>
    <r>
      <rPr>
        <sz val="10"/>
        <rFont val="FreeSans"/>
        <family val="2"/>
      </rPr>
      <t xml:space="preserve">شیر پنوماتیک دو سر بوبین </t>
    </r>
    <r>
      <rPr>
        <sz val="10"/>
        <rFont val="Vazirmatn"/>
        <family val="0"/>
        <charset val="1"/>
      </rPr>
      <t xml:space="preserve">220V 5/2 1/4in</t>
    </r>
  </si>
  <si>
    <t xml:space="preserve">31271824</t>
  </si>
  <si>
    <r>
      <rPr>
        <sz val="10"/>
        <rFont val="FreeSans"/>
        <family val="2"/>
      </rPr>
      <t xml:space="preserve">شیر فشارشکن بخار  </t>
    </r>
    <r>
      <rPr>
        <sz val="10"/>
        <rFont val="Vazirmatn"/>
        <family val="0"/>
        <charset val="1"/>
      </rPr>
      <t xml:space="preserve">"3</t>
    </r>
  </si>
  <si>
    <t xml:space="preserve">4030039</t>
  </si>
  <si>
    <r>
      <rPr>
        <sz val="10"/>
        <rFont val="FreeSans"/>
        <family val="2"/>
      </rPr>
      <t xml:space="preserve">شیر فشارشکن برنجی 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</si>
  <si>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31271842</t>
  </si>
  <si>
    <r>
      <rPr>
        <sz val="10"/>
        <rFont val="FreeSans"/>
        <family val="2"/>
      </rPr>
      <t xml:space="preserve">شیر یکطرفه زبانه دار چدنی فلنج دار   </t>
    </r>
    <r>
      <rPr>
        <sz val="10"/>
        <rFont val="Vazirmatn"/>
        <family val="0"/>
        <charset val="1"/>
      </rPr>
      <t xml:space="preserve">" 5</t>
    </r>
  </si>
  <si>
    <t xml:space="preserve">31271866</t>
  </si>
  <si>
    <r>
      <rPr>
        <sz val="10"/>
        <rFont val="FreeSans"/>
        <family val="2"/>
      </rPr>
      <t xml:space="preserve">شیر تزریقی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یکطرفه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اتاترون</t>
    </r>
  </si>
  <si>
    <t xml:space="preserve">31271867</t>
  </si>
  <si>
    <r>
      <rPr>
        <sz val="10"/>
        <rFont val="FreeSans"/>
        <family val="2"/>
      </rPr>
      <t xml:space="preserve">شیر یکطرفه استیل دنده ای  </t>
    </r>
    <r>
      <rPr>
        <sz val="10"/>
        <rFont val="Vazirmatn"/>
        <family val="0"/>
        <charset val="1"/>
      </rPr>
      <t xml:space="preserve">"3/4</t>
    </r>
  </si>
  <si>
    <t xml:space="preserve">4029946</t>
  </si>
  <si>
    <r>
      <rPr>
        <sz val="10"/>
        <rFont val="FreeSans"/>
        <family val="2"/>
      </rPr>
      <t xml:space="preserve">شیر یکطرفه ویفری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</si>
  <si>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31271872</t>
  </si>
  <si>
    <r>
      <rPr>
        <sz val="10"/>
        <rFont val="FreeSans"/>
        <family val="2"/>
      </rPr>
      <t xml:space="preserve">شیر پروانه ای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گیربکس دار </t>
    </r>
    <r>
      <rPr>
        <sz val="10"/>
        <rFont val="Vazirmatn"/>
        <family val="0"/>
        <charset val="1"/>
      </rPr>
      <t xml:space="preserve">"8</t>
    </r>
  </si>
  <si>
    <t xml:space="preserve">4032704</t>
  </si>
  <si>
    <r>
      <rPr>
        <sz val="10"/>
        <rFont val="FreeSans"/>
        <family val="2"/>
      </rPr>
      <t xml:space="preserve">شیر پروانه ای گیربکسی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8</t>
    </r>
  </si>
  <si>
    <t xml:space="preserve">31271873</t>
  </si>
  <si>
    <r>
      <rPr>
        <sz val="10"/>
        <rFont val="FreeSans"/>
        <family val="2"/>
      </rPr>
      <t xml:space="preserve">شیر سوزنی بخار چدنی فلنجدار   </t>
    </r>
    <r>
      <rPr>
        <sz val="10"/>
        <rFont val="Vazirmatn"/>
        <family val="0"/>
        <charset val="1"/>
      </rPr>
      <t xml:space="preserve">" 5</t>
    </r>
  </si>
  <si>
    <t xml:space="preserve">4031604</t>
  </si>
  <si>
    <r>
      <rPr>
        <sz val="10"/>
        <rFont val="FreeSans"/>
        <family val="2"/>
      </rPr>
      <t xml:space="preserve">شیر فلکه سوزنی چدنی فلنچی </t>
    </r>
    <r>
      <rPr>
        <sz val="10"/>
        <rFont val="Vazirmatn"/>
        <family val="0"/>
        <charset val="1"/>
      </rPr>
      <t xml:space="preserve">PN16  5 </t>
    </r>
    <r>
      <rPr>
        <sz val="10"/>
        <rFont val="FreeSans"/>
        <family val="2"/>
      </rPr>
      <t xml:space="preserve">اینچ</t>
    </r>
  </si>
  <si>
    <t xml:space="preserve">31271881</t>
  </si>
  <si>
    <r>
      <rPr>
        <sz val="10"/>
        <rFont val="FreeSans"/>
        <family val="2"/>
      </rPr>
      <t xml:space="preserve">شیر سوزنی بخار چدنی  فلنجدار  </t>
    </r>
    <r>
      <rPr>
        <sz val="10"/>
        <rFont val="Vazirmatn"/>
        <family val="0"/>
        <charset val="1"/>
      </rPr>
      <t xml:space="preserve">" 1/4 1</t>
    </r>
  </si>
  <si>
    <t xml:space="preserve">4031588</t>
  </si>
  <si>
    <r>
      <rPr>
        <sz val="10"/>
        <rFont val="FreeSans"/>
        <family val="2"/>
      </rPr>
      <t xml:space="preserve">شیر فلکه سوزنی چدنی فلنچی </t>
    </r>
    <r>
      <rPr>
        <sz val="10"/>
        <rFont val="Vazirmatn"/>
        <family val="0"/>
        <charset val="1"/>
      </rPr>
      <t xml:space="preserve">PN 16  1/4 1</t>
    </r>
  </si>
  <si>
    <t xml:space="preserve">31271897</t>
  </si>
  <si>
    <r>
      <rPr>
        <sz val="10"/>
        <rFont val="FreeSans"/>
        <family val="2"/>
      </rPr>
      <t xml:space="preserve">شیر پروانه ای زبانه استیل </t>
    </r>
    <r>
      <rPr>
        <sz val="10"/>
        <rFont val="Vazirmatn"/>
        <family val="0"/>
        <charset val="1"/>
      </rPr>
      <t xml:space="preserve">316 ( PN 16 ) "2 1/2</t>
    </r>
  </si>
  <si>
    <t xml:space="preserve">4031782</t>
  </si>
  <si>
    <r>
      <rPr>
        <sz val="10"/>
        <rFont val="FreeSans"/>
        <family val="2"/>
      </rPr>
      <t xml:space="preserve">شیر پروانه ای  استیل</t>
    </r>
    <r>
      <rPr>
        <sz val="10"/>
        <rFont val="Vazirmatn"/>
        <family val="0"/>
        <charset val="1"/>
      </rPr>
      <t xml:space="preserve">316</t>
    </r>
    <r>
      <rPr>
        <sz val="10"/>
        <rFont val="FreeSans"/>
        <family val="2"/>
      </rPr>
      <t xml:space="preserve">سیلیکون سایز</t>
    </r>
    <r>
      <rPr>
        <sz val="10"/>
        <rFont val="Vazirmatn"/>
        <family val="0"/>
        <charset val="1"/>
      </rPr>
      <t xml:space="preserve">1/2 2</t>
    </r>
  </si>
  <si>
    <t xml:space="preserve">31272100</t>
  </si>
  <si>
    <r>
      <rPr>
        <sz val="10"/>
        <rFont val="FreeSans"/>
        <family val="2"/>
      </rPr>
      <t xml:space="preserve">زانویی آهنی جوشی درزدار رده </t>
    </r>
    <r>
      <rPr>
        <sz val="10"/>
        <rFont val="Vazirmatn"/>
        <family val="0"/>
        <charset val="1"/>
      </rPr>
      <t xml:space="preserve">10   "1</t>
    </r>
  </si>
  <si>
    <t xml:space="preserve">4030912</t>
  </si>
  <si>
    <r>
      <rPr>
        <sz val="10"/>
        <rFont val="FreeSans"/>
        <family val="2"/>
      </rPr>
      <t xml:space="preserve">زانو کربن درزدار </t>
    </r>
    <r>
      <rPr>
        <sz val="10"/>
        <rFont val="Vazirmatn"/>
        <family val="0"/>
        <charset val="1"/>
      </rPr>
      <t xml:space="preserve">9 </t>
    </r>
    <r>
      <rPr>
        <sz val="10"/>
        <rFont val="FreeSans"/>
        <family val="2"/>
      </rPr>
      <t xml:space="preserve">درجه رده </t>
    </r>
    <r>
      <rPr>
        <sz val="10"/>
        <rFont val="Vazirmatn"/>
        <family val="0"/>
        <charset val="1"/>
      </rPr>
      <t xml:space="preserve">10  1/4 1</t>
    </r>
  </si>
  <si>
    <t xml:space="preserve">31272108</t>
  </si>
  <si>
    <r>
      <rPr>
        <sz val="10"/>
        <rFont val="FreeSans"/>
        <family val="2"/>
      </rPr>
      <t xml:space="preserve">زانویی آهنی مانیسمان جوشی           </t>
    </r>
    <r>
      <rPr>
        <sz val="10"/>
        <rFont val="Vazirmatn"/>
        <family val="0"/>
        <charset val="1"/>
      </rPr>
      <t xml:space="preserve">" 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</si>
  <si>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4030932</t>
  </si>
  <si>
    <r>
      <rPr>
        <sz val="10"/>
        <rFont val="FreeSans"/>
        <family val="2"/>
      </rPr>
      <t xml:space="preserve">زانو جوشی </t>
    </r>
    <r>
      <rPr>
        <sz val="10"/>
        <rFont val="Vazirmatn"/>
        <family val="0"/>
        <charset val="1"/>
      </rPr>
      <t xml:space="preserve">316  40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1/2 1</t>
    </r>
  </si>
  <si>
    <t xml:space="preserve">31272111</t>
  </si>
  <si>
    <r>
      <rPr>
        <sz val="10"/>
        <rFont val="FreeSans"/>
        <family val="2"/>
      </rPr>
      <t xml:space="preserve">زانویی گالوانیزه دنده ای </t>
    </r>
    <r>
      <rPr>
        <sz val="10"/>
        <rFont val="Vazirmatn"/>
        <family val="0"/>
        <charset val="1"/>
      </rPr>
      <t xml:space="preserve">90   " 1/2</t>
    </r>
  </si>
  <si>
    <t xml:space="preserve">4030835</t>
  </si>
  <si>
    <r>
      <rPr>
        <sz val="10"/>
        <rFont val="FreeSans"/>
        <family val="2"/>
      </rPr>
      <t xml:space="preserve">زانو گالوانیزه دنده ای 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"1/2 2</t>
    </r>
  </si>
  <si>
    <t xml:space="preserve">31272112</t>
  </si>
  <si>
    <r>
      <rPr>
        <sz val="10"/>
        <rFont val="FreeSans"/>
        <family val="2"/>
      </rPr>
      <t xml:space="preserve">زانویی آهنی مانیسمان </t>
    </r>
    <r>
      <rPr>
        <sz val="10"/>
        <rFont val="Vazirmatn"/>
        <family val="0"/>
        <charset val="1"/>
      </rPr>
      <t xml:space="preserve">90 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     " 3</t>
    </r>
  </si>
  <si>
    <t xml:space="preserve">4030885</t>
  </si>
  <si>
    <r>
      <rPr>
        <sz val="10"/>
        <rFont val="FreeSans"/>
        <family val="2"/>
      </rPr>
      <t xml:space="preserve">زانو جوشی </t>
    </r>
    <r>
      <rPr>
        <sz val="10"/>
        <rFont val="Vazirmatn"/>
        <family val="0"/>
        <charset val="1"/>
      </rPr>
      <t xml:space="preserve">304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3</t>
    </r>
  </si>
  <si>
    <t xml:space="preserve">31272114</t>
  </si>
  <si>
    <r>
      <rPr>
        <sz val="10"/>
        <rFont val="FreeSans"/>
        <family val="2"/>
      </rPr>
      <t xml:space="preserve">زانویی آهنی دنده ای فشار قوی  </t>
    </r>
    <r>
      <rPr>
        <sz val="10"/>
        <rFont val="Vazirmatn"/>
        <family val="0"/>
        <charset val="1"/>
      </rPr>
      <t xml:space="preserve">" 1/2</t>
    </r>
  </si>
  <si>
    <t xml:space="preserve">4030828</t>
  </si>
  <si>
    <r>
      <rPr>
        <sz val="10"/>
        <rFont val="FreeSans"/>
        <family val="2"/>
      </rPr>
      <t xml:space="preserve">زانو جوشی فشار قوی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 سایز </t>
    </r>
    <r>
      <rPr>
        <sz val="10"/>
        <rFont val="Vazirmatn"/>
        <family val="0"/>
        <charset val="1"/>
      </rPr>
      <t xml:space="preserve">"1/2</t>
    </r>
    <r>
      <rPr>
        <sz val="10"/>
        <rFont val="FreeSans"/>
        <family val="2"/>
      </rPr>
      <t xml:space="preserve">اینچ</t>
    </r>
  </si>
  <si>
    <t xml:space="preserve">31272117</t>
  </si>
  <si>
    <r>
      <rPr>
        <sz val="10"/>
        <rFont val="FreeSans"/>
        <family val="2"/>
      </rPr>
      <t xml:space="preserve">زانویی آهنی مانیسمان   رده </t>
    </r>
    <r>
      <rPr>
        <sz val="10"/>
        <rFont val="Vazirmatn"/>
        <family val="0"/>
        <charset val="1"/>
      </rPr>
      <t xml:space="preserve">40    90      " 2</t>
    </r>
  </si>
  <si>
    <t xml:space="preserve">4030924</t>
  </si>
  <si>
    <r>
      <rPr>
        <sz val="10"/>
        <rFont val="FreeSans"/>
        <family val="2"/>
      </rPr>
      <t xml:space="preserve">زانو  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90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1/2 2</t>
    </r>
  </si>
  <si>
    <t xml:space="preserve">31272124</t>
  </si>
  <si>
    <r>
      <rPr>
        <sz val="10"/>
        <rFont val="FreeSans"/>
        <family val="2"/>
      </rPr>
      <t xml:space="preserve">زانویی استیل مانیسمان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40  90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" 1/2 1</t>
    </r>
  </si>
  <si>
    <t xml:space="preserve">4030899</t>
  </si>
  <si>
    <r>
      <rPr>
        <sz val="10"/>
        <rFont val="FreeSans"/>
        <family val="2"/>
      </rPr>
      <t xml:space="preserve">زانو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1</t>
    </r>
  </si>
  <si>
    <t xml:space="preserve">31272128</t>
  </si>
  <si>
    <r>
      <rPr>
        <sz val="10"/>
        <rFont val="FreeSans"/>
        <family val="2"/>
      </rPr>
      <t xml:space="preserve">زانویی آهنی مانیسمان رده </t>
    </r>
    <r>
      <rPr>
        <sz val="10"/>
        <rFont val="Vazirmatn"/>
        <family val="0"/>
        <charset val="1"/>
      </rPr>
      <t xml:space="preserve">40    " 3/4</t>
    </r>
  </si>
  <si>
    <t xml:space="preserve">4030887</t>
  </si>
  <si>
    <r>
      <rPr>
        <sz val="10"/>
        <rFont val="FreeSans"/>
        <family val="2"/>
      </rPr>
      <t xml:space="preserve">زانو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3/4</t>
    </r>
  </si>
  <si>
    <t xml:space="preserve">31272131</t>
  </si>
  <si>
    <r>
      <rPr>
        <sz val="10"/>
        <rFont val="FreeSans"/>
        <family val="2"/>
      </rPr>
      <t xml:space="preserve">زانویی آهنی دنده ای      </t>
    </r>
    <r>
      <rPr>
        <sz val="10"/>
        <rFont val="Vazirmatn"/>
        <family val="0"/>
        <charset val="1"/>
      </rPr>
      <t xml:space="preserve">" 3/4</t>
    </r>
  </si>
  <si>
    <t xml:space="preserve">4030846</t>
  </si>
  <si>
    <r>
      <rPr>
        <sz val="10"/>
        <rFont val="FreeSans"/>
        <family val="2"/>
      </rPr>
      <t xml:space="preserve">زانو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3/4</t>
    </r>
  </si>
  <si>
    <t xml:space="preserve">31272136</t>
  </si>
  <si>
    <r>
      <rPr>
        <sz val="10"/>
        <rFont val="FreeSans"/>
        <family val="2"/>
      </rPr>
      <t xml:space="preserve">زانویی گالوانیزه چپقی </t>
    </r>
    <r>
      <rPr>
        <sz val="10"/>
        <rFont val="Vazirmatn"/>
        <family val="0"/>
        <charset val="1"/>
      </rPr>
      <t xml:space="preserve">"1/2</t>
    </r>
  </si>
  <si>
    <t xml:space="preserve">31272143</t>
  </si>
  <si>
    <r>
      <rPr>
        <sz val="10"/>
        <rFont val="FreeSans"/>
        <family val="2"/>
      </rPr>
      <t xml:space="preserve">زانویی جوشی آهنی مانیسمان  </t>
    </r>
    <r>
      <rPr>
        <sz val="10"/>
        <rFont val="Vazirmatn"/>
        <family val="0"/>
        <charset val="1"/>
      </rPr>
      <t xml:space="preserve">" 3</t>
    </r>
  </si>
  <si>
    <t xml:space="preserve">31272167</t>
  </si>
  <si>
    <r>
      <rPr>
        <sz val="10"/>
        <rFont val="FreeSans"/>
        <family val="2"/>
      </rPr>
      <t xml:space="preserve">زانویی آهنی مانیسمان جوشی    </t>
    </r>
    <r>
      <rPr>
        <sz val="10"/>
        <rFont val="Vazirmatn"/>
        <family val="0"/>
        <charset val="1"/>
      </rPr>
      <t xml:space="preserve">"1</t>
    </r>
  </si>
  <si>
    <t xml:space="preserve">31272179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</si>
  <si>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 رده </t>
    </r>
    <r>
      <rPr>
        <sz val="10"/>
        <rFont val="Vazirmatn"/>
        <family val="0"/>
        <charset val="1"/>
      </rPr>
      <t xml:space="preserve">10          "2</t>
    </r>
  </si>
  <si>
    <t xml:space="preserve">4030869</t>
  </si>
  <si>
    <r>
      <rPr>
        <sz val="10"/>
        <rFont val="FreeSans"/>
        <family val="2"/>
      </rPr>
      <t xml:space="preserve">زانو  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90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1/2 2</t>
    </r>
  </si>
  <si>
    <t xml:space="preserve">31272200</t>
  </si>
  <si>
    <r>
      <rPr>
        <sz val="10"/>
        <rFont val="FreeSans"/>
        <family val="2"/>
      </rPr>
      <t xml:space="preserve">زانویی استیل دنده ای            </t>
    </r>
    <r>
      <rPr>
        <sz val="10"/>
        <rFont val="Vazirmatn"/>
        <family val="0"/>
        <charset val="1"/>
      </rPr>
      <t xml:space="preserve">" 1/2</t>
    </r>
  </si>
  <si>
    <t xml:space="preserve">4030883</t>
  </si>
  <si>
    <r>
      <rPr>
        <sz val="10"/>
        <rFont val="FreeSans"/>
        <family val="2"/>
      </rPr>
      <t xml:space="preserve">زانو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1/2</t>
    </r>
  </si>
  <si>
    <t xml:space="preserve">31272202</t>
  </si>
  <si>
    <r>
      <rPr>
        <sz val="10"/>
        <rFont val="FreeSans"/>
        <family val="2"/>
      </rPr>
      <t xml:space="preserve">زانویی استیل مانیسمان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جوشی          </t>
    </r>
    <r>
      <rPr>
        <sz val="10"/>
        <rFont val="Vazirmatn"/>
        <family val="0"/>
        <charset val="1"/>
      </rPr>
      <t xml:space="preserve">" 8</t>
    </r>
  </si>
  <si>
    <t xml:space="preserve">4030863</t>
  </si>
  <si>
    <r>
      <rPr>
        <sz val="10"/>
        <rFont val="FreeSans"/>
        <family val="2"/>
      </rPr>
      <t xml:space="preserve">زانو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8</t>
    </r>
  </si>
  <si>
    <t xml:space="preserve">31272205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</si>
  <si>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</t>
    </r>
    <r>
      <rPr>
        <sz val="10"/>
        <rFont val="FreeSans"/>
        <family val="2"/>
      </rPr>
      <t xml:space="preserve">مانیسمان  رده </t>
    </r>
    <r>
      <rPr>
        <sz val="10"/>
        <rFont val="Vazirmatn"/>
        <family val="0"/>
        <charset val="1"/>
      </rPr>
      <t xml:space="preserve">10    " 1</t>
    </r>
  </si>
  <si>
    <t xml:space="preserve">4030816</t>
  </si>
  <si>
    <r>
      <rPr>
        <sz val="10"/>
        <rFont val="FreeSans"/>
        <family val="2"/>
      </rPr>
      <t xml:space="preserve">زانو  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1</t>
    </r>
  </si>
  <si>
    <t xml:space="preserve">31272207</t>
  </si>
  <si>
    <r>
      <rPr>
        <sz val="10"/>
        <rFont val="FreeSans"/>
        <family val="2"/>
      </rPr>
      <t xml:space="preserve">زانویی استیل دنده ای            </t>
    </r>
    <r>
      <rPr>
        <sz val="10"/>
        <rFont val="Vazirmatn"/>
        <family val="0"/>
        <charset val="1"/>
      </rPr>
      <t xml:space="preserve">" 3/4</t>
    </r>
  </si>
  <si>
    <t xml:space="preserve">31272214</t>
  </si>
  <si>
    <r>
      <rPr>
        <sz val="10"/>
        <rFont val="FreeSans"/>
        <family val="2"/>
      </rPr>
      <t xml:space="preserve">زانویی استیل جوشی مانیسمان رده </t>
    </r>
    <r>
      <rPr>
        <sz val="10"/>
        <rFont val="Vazirmatn"/>
        <family val="0"/>
        <charset val="1"/>
      </rPr>
      <t xml:space="preserve">10  " 1/2</t>
    </r>
  </si>
  <si>
    <t xml:space="preserve">4030874</t>
  </si>
  <si>
    <r>
      <rPr>
        <sz val="10"/>
        <rFont val="FreeSans"/>
        <family val="2"/>
      </rPr>
      <t xml:space="preserve">زانو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1/2</t>
    </r>
  </si>
  <si>
    <t xml:space="preserve">31272222</t>
  </si>
  <si>
    <r>
      <rPr>
        <sz val="10"/>
        <rFont val="FreeSans"/>
        <family val="2"/>
      </rPr>
      <t xml:space="preserve">زانویی استیل دنده ای       </t>
    </r>
    <r>
      <rPr>
        <sz val="10"/>
        <rFont val="Vazirmatn"/>
        <family val="0"/>
        <charset val="1"/>
      </rPr>
      <t xml:space="preserve">" 1</t>
    </r>
  </si>
  <si>
    <t xml:space="preserve">4030824</t>
  </si>
  <si>
    <r>
      <rPr>
        <sz val="10"/>
        <rFont val="FreeSans"/>
        <family val="2"/>
      </rPr>
      <t xml:space="preserve">زانو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1/2 1</t>
    </r>
  </si>
  <si>
    <t xml:space="preserve">31272230</t>
  </si>
  <si>
    <r>
      <rPr>
        <sz val="10"/>
        <rFont val="FreeSans"/>
        <family val="2"/>
      </rPr>
      <t xml:space="preserve">زانویی استیل دنده ای              </t>
    </r>
    <r>
      <rPr>
        <sz val="10"/>
        <rFont val="Vazirmatn"/>
        <family val="0"/>
        <charset val="1"/>
      </rPr>
      <t xml:space="preserve">"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</si>
  <si>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31272236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</si>
  <si>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" 2</t>
    </r>
  </si>
  <si>
    <t xml:space="preserve">31272246</t>
  </si>
  <si>
    <r>
      <rPr>
        <sz val="10"/>
        <rFont val="FreeSans"/>
        <family val="2"/>
      </rPr>
      <t xml:space="preserve">زانویی استیل چپقی        </t>
    </r>
    <r>
      <rPr>
        <sz val="10"/>
        <rFont val="Vazirmatn"/>
        <family val="0"/>
        <charset val="1"/>
      </rPr>
      <t xml:space="preserve">" 1/2</t>
    </r>
  </si>
  <si>
    <t xml:space="preserve">4030884</t>
  </si>
  <si>
    <r>
      <rPr>
        <sz val="10"/>
        <rFont val="FreeSans"/>
        <family val="2"/>
      </rPr>
      <t xml:space="preserve">زانو چپقی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استیل </t>
    </r>
    <r>
      <rPr>
        <sz val="10"/>
        <rFont val="Vazirmatn"/>
        <family val="0"/>
        <charset val="1"/>
      </rPr>
      <t xml:space="preserve">304 1/2</t>
    </r>
  </si>
  <si>
    <t xml:space="preserve">31272253</t>
  </si>
  <si>
    <r>
      <rPr>
        <sz val="10"/>
        <rFont val="FreeSans"/>
        <family val="2"/>
      </rPr>
      <t xml:space="preserve">زانویی گالوانیزه دنده ای               </t>
    </r>
    <r>
      <rPr>
        <sz val="10"/>
        <rFont val="Vazirmatn"/>
        <family val="0"/>
        <charset val="1"/>
      </rPr>
      <t xml:space="preserve">" 1</t>
    </r>
  </si>
  <si>
    <t xml:space="preserve">4030927</t>
  </si>
  <si>
    <r>
      <rPr>
        <sz val="10"/>
        <rFont val="FreeSans"/>
        <family val="2"/>
      </rPr>
      <t xml:space="preserve">زانو گالوانیزه دنده ای 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"1/4 1</t>
    </r>
  </si>
  <si>
    <t xml:space="preserve">31272261</t>
  </si>
  <si>
    <r>
      <rPr>
        <sz val="10"/>
        <rFont val="FreeSans"/>
        <family val="2"/>
      </rPr>
      <t xml:space="preserve">زانویی گالوانیزه دنده ای               </t>
    </r>
    <r>
      <rPr>
        <sz val="10"/>
        <rFont val="Vazirmatn"/>
        <family val="0"/>
        <charset val="1"/>
      </rPr>
      <t xml:space="preserve">" 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</si>
  <si>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4030801</t>
  </si>
  <si>
    <r>
      <rPr>
        <sz val="10"/>
        <rFont val="FreeSans"/>
        <family val="2"/>
      </rPr>
      <t xml:space="preserve">زانو گالوانیزه دنده ای 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1/2 1</t>
    </r>
  </si>
  <si>
    <t xml:space="preserve">31272272</t>
  </si>
  <si>
    <r>
      <rPr>
        <sz val="10"/>
        <rFont val="FreeSans"/>
        <family val="2"/>
      </rPr>
      <t xml:space="preserve">زانویی گالوانیزه چپقی     </t>
    </r>
    <r>
      <rPr>
        <sz val="10"/>
        <rFont val="Vazirmatn"/>
        <family val="0"/>
        <charset val="1"/>
      </rPr>
      <t xml:space="preserve">" 1</t>
    </r>
  </si>
  <si>
    <t xml:space="preserve">4030926</t>
  </si>
  <si>
    <r>
      <rPr>
        <sz val="10"/>
        <rFont val="FreeSans"/>
        <family val="2"/>
      </rPr>
      <t xml:space="preserve">زانو گالوانیزه دنده ای چپقی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1</t>
    </r>
  </si>
  <si>
    <t xml:space="preserve">31272276</t>
  </si>
  <si>
    <r>
      <rPr>
        <sz val="10"/>
        <rFont val="FreeSans"/>
        <family val="2"/>
      </rPr>
      <t xml:space="preserve">زانویی آهنی مانیسمان رده </t>
    </r>
    <r>
      <rPr>
        <sz val="10"/>
        <rFont val="Vazirmatn"/>
        <family val="0"/>
        <charset val="1"/>
      </rPr>
      <t xml:space="preserve">40  " 1/4 1</t>
    </r>
  </si>
  <si>
    <t xml:space="preserve">4030889</t>
  </si>
  <si>
    <r>
      <rPr>
        <sz val="10"/>
        <rFont val="FreeSans"/>
        <family val="2"/>
      </rPr>
      <t xml:space="preserve">زانو کربن رده </t>
    </r>
    <r>
      <rPr>
        <sz val="10"/>
        <rFont val="Vazirmatn"/>
        <family val="0"/>
        <charset val="1"/>
      </rPr>
      <t xml:space="preserve">40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1/4 1</t>
    </r>
  </si>
  <si>
    <t xml:space="preserve">31272277</t>
  </si>
  <si>
    <r>
      <rPr>
        <sz val="10"/>
        <rFont val="FreeSans"/>
        <family val="2"/>
      </rPr>
      <t xml:space="preserve">زانویی نیوپایپ دیواری  </t>
    </r>
    <r>
      <rPr>
        <sz val="10"/>
        <rFont val="Vazirmatn"/>
        <family val="0"/>
        <charset val="1"/>
      </rPr>
      <t xml:space="preserve">1/2*16</t>
    </r>
  </si>
  <si>
    <t xml:space="preserve">4001924</t>
  </si>
  <si>
    <r>
      <rPr>
        <sz val="10"/>
        <rFont val="FreeSans"/>
        <family val="2"/>
      </rPr>
      <t xml:space="preserve">زانو دیواری پرسی نیوپایپ</t>
    </r>
    <r>
      <rPr>
        <sz val="10"/>
        <rFont val="Vazirmatn"/>
        <family val="0"/>
        <charset val="1"/>
      </rPr>
      <t xml:space="preserve">"1/2*16</t>
    </r>
  </si>
  <si>
    <t xml:space="preserve">31272279</t>
  </si>
  <si>
    <r>
      <rPr>
        <sz val="10"/>
        <rFont val="FreeSans"/>
        <family val="2"/>
      </rPr>
      <t xml:space="preserve">زانویی نیوپایپ دیواری  </t>
    </r>
    <r>
      <rPr>
        <sz val="10"/>
        <rFont val="Vazirmatn"/>
        <family val="0"/>
        <charset val="1"/>
      </rPr>
      <t xml:space="preserve">1/2*20</t>
    </r>
  </si>
  <si>
    <t xml:space="preserve">4001926</t>
  </si>
  <si>
    <r>
      <rPr>
        <sz val="10"/>
        <rFont val="FreeSans"/>
        <family val="2"/>
      </rPr>
      <t xml:space="preserve">زانو دیواری پرسی نیوپایپ</t>
    </r>
    <r>
      <rPr>
        <sz val="10"/>
        <rFont val="Vazirmatn"/>
        <family val="0"/>
        <charset val="1"/>
      </rPr>
      <t xml:space="preserve">"1/2*20</t>
    </r>
  </si>
  <si>
    <t xml:space="preserve">31272281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</si>
  <si>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" 4</t>
    </r>
  </si>
  <si>
    <t xml:space="preserve">4030815</t>
  </si>
  <si>
    <r>
      <rPr>
        <sz val="10"/>
        <rFont val="FreeSans"/>
        <family val="2"/>
      </rPr>
      <t xml:space="preserve">زانو  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45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4</t>
    </r>
  </si>
  <si>
    <t xml:space="preserve">31272323</t>
  </si>
  <si>
    <r>
      <rPr>
        <sz val="10"/>
        <rFont val="FreeSans"/>
        <family val="2"/>
      </rPr>
      <t xml:space="preserve">زانویی پلیکا </t>
    </r>
    <r>
      <rPr>
        <sz val="10"/>
        <rFont val="Vazirmatn"/>
        <family val="0"/>
        <charset val="1"/>
      </rPr>
      <t xml:space="preserve">45    63</t>
    </r>
  </si>
  <si>
    <t xml:space="preserve">5016719</t>
  </si>
  <si>
    <r>
      <rPr>
        <sz val="10"/>
        <rFont val="FreeSans"/>
        <family val="2"/>
      </rPr>
      <t xml:space="preserve">زانویی پلیکا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 نمره </t>
    </r>
    <r>
      <rPr>
        <sz val="10"/>
        <rFont val="Vazirmatn"/>
        <family val="0"/>
        <charset val="1"/>
      </rPr>
      <t xml:space="preserve">63</t>
    </r>
  </si>
  <si>
    <t xml:space="preserve">31272343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</si>
  <si>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upvc  "1</t>
    </r>
  </si>
  <si>
    <t xml:space="preserve">4029268</t>
  </si>
  <si>
    <r>
      <rPr>
        <sz val="10"/>
        <rFont val="FreeSans"/>
        <family val="2"/>
      </rPr>
      <t xml:space="preserve">زانو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</si>
  <si>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31272347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</si>
  <si>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upvc     "4</t>
    </r>
  </si>
  <si>
    <t xml:space="preserve">4029282</t>
  </si>
  <si>
    <r>
      <rPr>
        <sz val="10"/>
        <rFont val="FreeSans"/>
        <family val="2"/>
      </rPr>
      <t xml:space="preserve">زانو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یکسر دنده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</si>
  <si>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31272348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</si>
  <si>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Upvc    "3</t>
    </r>
  </si>
  <si>
    <t xml:space="preserve">4029280</t>
  </si>
  <si>
    <r>
      <rPr>
        <sz val="10"/>
        <rFont val="FreeSans"/>
        <family val="2"/>
      </rPr>
      <t xml:space="preserve">زانو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چسبی </t>
    </r>
    <r>
      <rPr>
        <sz val="10"/>
        <rFont val="Vazirmatn"/>
        <family val="0"/>
        <charset val="1"/>
      </rPr>
      <t xml:space="preserve">PN10 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</si>
  <si>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31272352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</si>
  <si>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" 1/2 1      UPVC</t>
    </r>
  </si>
  <si>
    <t xml:space="preserve">31272353</t>
  </si>
  <si>
    <r>
      <rPr>
        <sz val="10"/>
        <rFont val="FreeSans"/>
        <family val="2"/>
      </rPr>
      <t xml:space="preserve">زانویی آهنی مانیسمان رده </t>
    </r>
    <r>
      <rPr>
        <sz val="10"/>
        <rFont val="Vazirmatn"/>
        <family val="0"/>
        <charset val="1"/>
      </rPr>
      <t xml:space="preserve">40    "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</si>
  <si>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4030791</t>
  </si>
  <si>
    <r>
      <rPr>
        <sz val="10"/>
        <rFont val="FreeSans"/>
        <family val="2"/>
      </rPr>
      <t xml:space="preserve">زانو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45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1/2 1</t>
    </r>
  </si>
  <si>
    <t xml:space="preserve">31272358</t>
  </si>
  <si>
    <r>
      <rPr>
        <sz val="10"/>
        <rFont val="FreeSans"/>
        <family val="2"/>
      </rPr>
      <t xml:space="preserve">زانویی پلی اتیلن </t>
    </r>
    <r>
      <rPr>
        <sz val="10"/>
        <rFont val="Vazirmatn"/>
        <family val="0"/>
        <charset val="1"/>
      </rPr>
      <t xml:space="preserve">90  " 6</t>
    </r>
  </si>
  <si>
    <t xml:space="preserve">4029300</t>
  </si>
  <si>
    <r>
      <rPr>
        <sz val="10"/>
        <rFont val="FreeSans"/>
        <family val="2"/>
      </rPr>
      <t xml:space="preserve">زانو پلی اتیلن جوشی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PN6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160</t>
    </r>
  </si>
  <si>
    <t xml:space="preserve">31272361</t>
  </si>
  <si>
    <r>
      <rPr>
        <sz val="10"/>
        <rFont val="FreeSans"/>
        <family val="2"/>
      </rPr>
      <t xml:space="preserve">زانویی آذین جوشی </t>
    </r>
    <r>
      <rPr>
        <sz val="10"/>
        <rFont val="Vazirmatn"/>
        <family val="0"/>
        <charset val="1"/>
      </rPr>
      <t xml:space="preserve">45 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</si>
  <si>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31272374</t>
  </si>
  <si>
    <r>
      <rPr>
        <sz val="10"/>
        <rFont val="FreeSans"/>
        <family val="2"/>
      </rPr>
      <t xml:space="preserve">زانویی آهنی مانیسمان  جوشی </t>
    </r>
    <r>
      <rPr>
        <sz val="10"/>
        <rFont val="Vazirmatn"/>
        <family val="0"/>
        <charset val="1"/>
      </rPr>
      <t xml:space="preserve">90 -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   " 4</t>
    </r>
  </si>
  <si>
    <t xml:space="preserve">4030896</t>
  </si>
  <si>
    <r>
      <rPr>
        <sz val="10"/>
        <rFont val="FreeSans"/>
        <family val="2"/>
      </rPr>
      <t xml:space="preserve">زانو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4</t>
    </r>
  </si>
  <si>
    <t xml:space="preserve">31272380</t>
  </si>
  <si>
    <r>
      <rPr>
        <sz val="10"/>
        <rFont val="FreeSans"/>
        <family val="2"/>
      </rPr>
      <t xml:space="preserve">زانویی آهنی مانیسمان    </t>
    </r>
    <r>
      <rPr>
        <sz val="10"/>
        <rFont val="Vazirmatn"/>
        <family val="0"/>
        <charset val="1"/>
      </rPr>
      <t xml:space="preserve">" 1/2</t>
    </r>
  </si>
  <si>
    <t xml:space="preserve">4030837</t>
  </si>
  <si>
    <r>
      <rPr>
        <sz val="10"/>
        <rFont val="FreeSans"/>
        <family val="2"/>
      </rPr>
      <t xml:space="preserve">زانو  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1/2</t>
    </r>
  </si>
  <si>
    <t xml:space="preserve">31272393</t>
  </si>
  <si>
    <r>
      <rPr>
        <sz val="10"/>
        <rFont val="FreeSans"/>
        <family val="2"/>
      </rPr>
      <t xml:space="preserve">زانویی آهنی مانیسمان </t>
    </r>
    <r>
      <rPr>
        <sz val="10"/>
        <rFont val="Vazirmatn"/>
        <family val="0"/>
        <charset val="1"/>
      </rPr>
      <t xml:space="preserve">90 -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   " 2</t>
    </r>
  </si>
  <si>
    <t xml:space="preserve">31272394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</si>
  <si>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"3 (ELBOW CPVC	DN 80)</t>
    </r>
  </si>
  <si>
    <t xml:space="preserve">4029293</t>
  </si>
  <si>
    <r>
      <rPr>
        <sz val="10"/>
        <rFont val="FreeSans"/>
        <family val="2"/>
      </rPr>
      <t xml:space="preserve">زانو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</si>
  <si>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31272395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</si>
  <si>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"4 (ELBOW CPVC	DN 100)</t>
    </r>
  </si>
  <si>
    <t xml:space="preserve">4029291</t>
  </si>
  <si>
    <r>
      <rPr>
        <sz val="10"/>
        <rFont val="FreeSans"/>
        <family val="2"/>
      </rPr>
      <t xml:space="preserve">زانو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</si>
  <si>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31272398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</si>
  <si>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"2 (ELBOW CPVC	DN 50)</t>
    </r>
  </si>
  <si>
    <t xml:space="preserve">4029295</t>
  </si>
  <si>
    <r>
      <rPr>
        <sz val="10"/>
        <rFont val="FreeSans"/>
        <family val="2"/>
      </rPr>
      <t xml:space="preserve">زانو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</si>
  <si>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31272400</t>
  </si>
  <si>
    <r>
      <rPr>
        <sz val="10"/>
        <rFont val="FreeSans"/>
        <family val="2"/>
      </rPr>
      <t xml:space="preserve">زانویی آهنی مانیسمان </t>
    </r>
    <r>
      <rPr>
        <sz val="10"/>
        <rFont val="Vazirmatn"/>
        <family val="0"/>
        <charset val="1"/>
      </rPr>
      <t xml:space="preserve">90 -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   " 1</t>
    </r>
  </si>
  <si>
    <t xml:space="preserve">4030888</t>
  </si>
  <si>
    <r>
      <rPr>
        <sz val="10"/>
        <rFont val="FreeSans"/>
        <family val="2"/>
      </rPr>
      <t xml:space="preserve">زانو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1</t>
    </r>
  </si>
  <si>
    <t xml:space="preserve">31272404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</si>
  <si>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" 1/2   CPVC</t>
    </r>
  </si>
  <si>
    <t xml:space="preserve">4029292</t>
  </si>
  <si>
    <r>
      <rPr>
        <sz val="10"/>
        <rFont val="FreeSans"/>
        <family val="2"/>
      </rPr>
      <t xml:space="preserve">زانو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</si>
  <si>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31272412</t>
  </si>
  <si>
    <r>
      <rPr>
        <sz val="10"/>
        <rFont val="FreeSans"/>
        <family val="2"/>
      </rPr>
      <t xml:space="preserve">زانویی گالوانیزه لوله بخاری </t>
    </r>
    <r>
      <rPr>
        <sz val="10"/>
        <rFont val="Vazirmatn"/>
        <family val="0"/>
        <charset val="1"/>
      </rPr>
      <t xml:space="preserve">10</t>
    </r>
  </si>
  <si>
    <t xml:space="preserve">4045808</t>
  </si>
  <si>
    <r>
      <rPr>
        <sz val="10"/>
        <rFont val="FreeSans"/>
        <family val="2"/>
      </rPr>
      <t xml:space="preserve">زانویی افقی </t>
    </r>
    <r>
      <rPr>
        <sz val="10"/>
        <rFont val="Vazirmatn"/>
        <family val="0"/>
        <charset val="1"/>
      </rPr>
      <t xml:space="preserve">10*40 </t>
    </r>
    <r>
      <rPr>
        <sz val="10"/>
        <rFont val="FreeSans"/>
        <family val="2"/>
      </rPr>
      <t xml:space="preserve">گالوانیزه</t>
    </r>
  </si>
  <si>
    <t xml:space="preserve">31272423</t>
  </si>
  <si>
    <r>
      <rPr>
        <sz val="10"/>
        <rFont val="FreeSans"/>
        <family val="2"/>
      </rPr>
      <t xml:space="preserve">زانویی گالوانیزه لوله بخاری </t>
    </r>
    <r>
      <rPr>
        <sz val="10"/>
        <rFont val="Vazirmatn"/>
        <family val="0"/>
        <charset val="1"/>
      </rPr>
      <t xml:space="preserve">15</t>
    </r>
  </si>
  <si>
    <t xml:space="preserve">4045739</t>
  </si>
  <si>
    <r>
      <rPr>
        <sz val="10"/>
        <rFont val="FreeSans"/>
        <family val="2"/>
      </rPr>
      <t xml:space="preserve">زانویی افقی </t>
    </r>
    <r>
      <rPr>
        <sz val="10"/>
        <rFont val="Vazirmatn"/>
        <family val="0"/>
        <charset val="1"/>
      </rPr>
      <t xml:space="preserve">15*30 </t>
    </r>
    <r>
      <rPr>
        <sz val="10"/>
        <rFont val="FreeSans"/>
        <family val="2"/>
      </rPr>
      <t xml:space="preserve">گالوانیزه</t>
    </r>
  </si>
  <si>
    <t xml:space="preserve">31272431</t>
  </si>
  <si>
    <r>
      <rPr>
        <sz val="10"/>
        <rFont val="FreeSans"/>
        <family val="2"/>
      </rPr>
      <t xml:space="preserve">زانو گالوانیزه داخلی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    </t>
    </r>
    <r>
      <rPr>
        <sz val="10"/>
        <rFont val="Vazirmatn"/>
        <family val="0"/>
        <charset val="1"/>
      </rPr>
      <t xml:space="preserve">10</t>
    </r>
  </si>
  <si>
    <t xml:space="preserve">4050342</t>
  </si>
  <si>
    <r>
      <rPr>
        <sz val="10"/>
        <rFont val="FreeSans"/>
        <family val="2"/>
      </rPr>
      <t xml:space="preserve">زانویی</t>
    </r>
    <r>
      <rPr>
        <sz val="10"/>
        <rFont val="Vazirmatn"/>
        <family val="0"/>
        <charset val="1"/>
      </rPr>
      <t xml:space="preserve">-10*7.5-</t>
    </r>
    <r>
      <rPr>
        <sz val="10"/>
        <rFont val="FreeSans"/>
        <family val="2"/>
      </rPr>
      <t xml:space="preserve">داخلی</t>
    </r>
    <r>
      <rPr>
        <sz val="10"/>
        <rFont val="Vazirmatn"/>
        <family val="0"/>
        <charset val="1"/>
      </rPr>
      <t xml:space="preserve">90</t>
    </r>
    <r>
      <rPr>
        <sz val="10"/>
        <rFont val="FreeSans"/>
        <family val="2"/>
      </rPr>
      <t xml:space="preserve">درجه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گالوانیزه سرد</t>
    </r>
  </si>
  <si>
    <t xml:space="preserve">31272432</t>
  </si>
  <si>
    <r>
      <rPr>
        <sz val="10"/>
        <rFont val="FreeSans"/>
        <family val="2"/>
      </rPr>
      <t xml:space="preserve">زانو گالوانیزه خارجی 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    </t>
    </r>
    <r>
      <rPr>
        <sz val="10"/>
        <rFont val="Vazirmatn"/>
        <family val="0"/>
        <charset val="1"/>
      </rPr>
      <t xml:space="preserve">10</t>
    </r>
  </si>
  <si>
    <t xml:space="preserve">4001637</t>
  </si>
  <si>
    <r>
      <rPr>
        <sz val="10"/>
        <rFont val="FreeSans"/>
        <family val="2"/>
      </rPr>
      <t xml:space="preserve">زانوي خارجي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7.5*10 </t>
    </r>
    <r>
      <rPr>
        <sz val="10"/>
        <rFont val="FreeSans"/>
        <family val="2"/>
      </rPr>
      <t xml:space="preserve">گالوانيزه گرم</t>
    </r>
  </si>
  <si>
    <t xml:space="preserve">31272433</t>
  </si>
  <si>
    <r>
      <rPr>
        <sz val="10"/>
        <rFont val="FreeSans"/>
        <family val="2"/>
      </rPr>
      <t xml:space="preserve">زانو گالوانیزه افقی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    </t>
    </r>
    <r>
      <rPr>
        <sz val="10"/>
        <rFont val="Vazirmatn"/>
        <family val="0"/>
        <charset val="1"/>
      </rPr>
      <t xml:space="preserve">10</t>
    </r>
  </si>
  <si>
    <t xml:space="preserve">4050327</t>
  </si>
  <si>
    <r>
      <rPr>
        <sz val="10"/>
        <rFont val="FreeSans"/>
        <family val="2"/>
      </rPr>
      <t xml:space="preserve">زانویی افقی</t>
    </r>
    <r>
      <rPr>
        <sz val="10"/>
        <rFont val="Vazirmatn"/>
        <family val="0"/>
        <charset val="1"/>
      </rPr>
      <t xml:space="preserve">-90</t>
    </r>
    <r>
      <rPr>
        <sz val="10"/>
        <rFont val="FreeSans"/>
        <family val="2"/>
      </rPr>
      <t xml:space="preserve">درجه</t>
    </r>
    <r>
      <rPr>
        <sz val="10"/>
        <rFont val="Vazirmatn"/>
        <family val="0"/>
        <charset val="1"/>
      </rPr>
      <t xml:space="preserve">-10*7.5-</t>
    </r>
    <r>
      <rPr>
        <sz val="10"/>
        <rFont val="FreeSans"/>
        <family val="2"/>
      </rPr>
      <t xml:space="preserve">گالوانیزه سرد</t>
    </r>
  </si>
  <si>
    <t xml:space="preserve">31272438</t>
  </si>
  <si>
    <r>
      <rPr>
        <sz val="10"/>
        <rFont val="FreeSans"/>
        <family val="2"/>
      </rPr>
      <t xml:space="preserve">زانویی نیوپایپ پرسی  </t>
    </r>
    <r>
      <rPr>
        <sz val="10"/>
        <rFont val="Vazirmatn"/>
        <family val="0"/>
        <charset val="1"/>
      </rPr>
      <t xml:space="preserve">"1/2*16</t>
    </r>
  </si>
  <si>
    <t xml:space="preserve">31272439</t>
  </si>
  <si>
    <r>
      <rPr>
        <sz val="10"/>
        <rFont val="FreeSans"/>
        <family val="2"/>
      </rPr>
      <t xml:space="preserve">زانویی پرسی نیوپایپ روکار </t>
    </r>
    <r>
      <rPr>
        <sz val="10"/>
        <rFont val="Vazirmatn"/>
        <family val="0"/>
        <charset val="1"/>
      </rPr>
      <t xml:space="preserve">16*1/2</t>
    </r>
  </si>
  <si>
    <t xml:space="preserve">31272440</t>
  </si>
  <si>
    <r>
      <rPr>
        <sz val="10"/>
        <rFont val="FreeSans"/>
        <family val="2"/>
      </rPr>
      <t xml:space="preserve">زانویی پرسی نیوپایپ روکار </t>
    </r>
    <r>
      <rPr>
        <sz val="10"/>
        <rFont val="Vazirmatn"/>
        <family val="0"/>
        <charset val="1"/>
      </rPr>
      <t xml:space="preserve">20*1/2</t>
    </r>
  </si>
  <si>
    <t xml:space="preserve">31272504</t>
  </si>
  <si>
    <r>
      <rPr>
        <sz val="10"/>
        <rFont val="FreeSans"/>
        <family val="2"/>
      </rPr>
      <t xml:space="preserve">سه راهی تبدیلی استیل جوشی </t>
    </r>
    <r>
      <rPr>
        <sz val="10"/>
        <rFont val="Vazirmatn"/>
        <family val="0"/>
        <charset val="1"/>
      </rPr>
      <t xml:space="preserve">" 1/2 * " 3/4</t>
    </r>
  </si>
  <si>
    <t xml:space="preserve">4031454</t>
  </si>
  <si>
    <r>
      <rPr>
        <sz val="10"/>
        <rFont val="FreeSans"/>
        <family val="2"/>
      </rPr>
      <t xml:space="preserve">سه راهی تبدیلی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</t>
    </r>
    <r>
      <rPr>
        <sz val="10"/>
        <rFont val="Vazirmatn"/>
        <family val="0"/>
        <charset val="1"/>
      </rPr>
      <t xml:space="preserve">1/2*3/4</t>
    </r>
  </si>
  <si>
    <t xml:space="preserve">31272508</t>
  </si>
  <si>
    <r>
      <rPr>
        <sz val="10"/>
        <rFont val="FreeSans"/>
        <family val="2"/>
      </rPr>
      <t xml:space="preserve">سه راهی آهنی مانیسمان جوشی    </t>
    </r>
    <r>
      <rPr>
        <sz val="10"/>
        <rFont val="Vazirmatn"/>
        <family val="0"/>
        <charset val="1"/>
      </rPr>
      <t xml:space="preserve">"1</t>
    </r>
  </si>
  <si>
    <t xml:space="preserve">4031313</t>
  </si>
  <si>
    <r>
      <rPr>
        <sz val="10"/>
        <rFont val="FreeSans"/>
        <family val="2"/>
      </rPr>
      <t xml:space="preserve">سه راهی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1</t>
    </r>
  </si>
  <si>
    <t xml:space="preserve">31272513</t>
  </si>
  <si>
    <r>
      <rPr>
        <sz val="10"/>
        <rFont val="FreeSans"/>
        <family val="2"/>
      </rPr>
      <t xml:space="preserve">سه راهی تبدیلی ساده آذین  </t>
    </r>
    <r>
      <rPr>
        <sz val="10"/>
        <rFont val="Vazirmatn"/>
        <family val="0"/>
        <charset val="1"/>
      </rPr>
      <t xml:space="preserve">" 1/2 * " 3/4</t>
    </r>
  </si>
  <si>
    <t xml:space="preserve">4031373</t>
  </si>
  <si>
    <r>
      <rPr>
        <sz val="10"/>
        <rFont val="FreeSans"/>
        <family val="2"/>
      </rPr>
      <t xml:space="preserve">سه راهی تبدیلی گالوانیزه  </t>
    </r>
    <r>
      <rPr>
        <sz val="10"/>
        <rFont val="Vazirmatn"/>
        <family val="0"/>
        <charset val="1"/>
      </rPr>
      <t xml:space="preserve">1/2*3/4</t>
    </r>
  </si>
  <si>
    <t xml:space="preserve">31272521</t>
  </si>
  <si>
    <r>
      <rPr>
        <sz val="10"/>
        <rFont val="FreeSans"/>
        <family val="2"/>
      </rPr>
      <t xml:space="preserve">سه راهی آهنی دنده ای         </t>
    </r>
    <r>
      <rPr>
        <sz val="10"/>
        <rFont val="Vazirmatn"/>
        <family val="0"/>
        <charset val="1"/>
      </rPr>
      <t xml:space="preserve">" 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</si>
  <si>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4031453</t>
  </si>
  <si>
    <r>
      <rPr>
        <sz val="10"/>
        <rFont val="FreeSans"/>
        <family val="2"/>
      </rPr>
      <t xml:space="preserve">سه راهی تبدیلی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</t>
    </r>
    <r>
      <rPr>
        <sz val="10"/>
        <rFont val="Vazirmatn"/>
        <family val="0"/>
        <charset val="1"/>
      </rPr>
      <t xml:space="preserve">1/2*1</t>
    </r>
  </si>
  <si>
    <t xml:space="preserve">31272536</t>
  </si>
  <si>
    <r>
      <rPr>
        <sz val="10"/>
        <rFont val="FreeSans"/>
        <family val="2"/>
      </rPr>
      <t xml:space="preserve">سه راهی آهنی مانیسمان جوشی  رده </t>
    </r>
    <r>
      <rPr>
        <sz val="10"/>
        <rFont val="Vazirmatn"/>
        <family val="0"/>
        <charset val="1"/>
      </rPr>
      <t xml:space="preserve">40          " 5</t>
    </r>
  </si>
  <si>
    <t xml:space="preserve">4031310</t>
  </si>
  <si>
    <r>
      <rPr>
        <sz val="10"/>
        <rFont val="FreeSans"/>
        <family val="2"/>
      </rPr>
      <t xml:space="preserve">سه راهی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5</t>
    </r>
  </si>
  <si>
    <t xml:space="preserve">31272542</t>
  </si>
  <si>
    <r>
      <rPr>
        <sz val="10"/>
        <rFont val="FreeSans"/>
        <family val="2"/>
      </rPr>
      <t xml:space="preserve">سه راهی استیل جوشی           </t>
    </r>
    <r>
      <rPr>
        <sz val="10"/>
        <rFont val="Vazirmatn"/>
        <family val="0"/>
        <charset val="1"/>
      </rPr>
      <t xml:space="preserve">" 6</t>
    </r>
  </si>
  <si>
    <t xml:space="preserve">4031320</t>
  </si>
  <si>
    <r>
      <rPr>
        <sz val="10"/>
        <rFont val="FreeSans"/>
        <family val="2"/>
      </rPr>
      <t xml:space="preserve">سه راهی استیل جوشی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6</t>
    </r>
  </si>
  <si>
    <t xml:space="preserve">31272546</t>
  </si>
  <si>
    <r>
      <rPr>
        <sz val="10"/>
        <rFont val="FreeSans"/>
        <family val="2"/>
      </rPr>
      <t xml:space="preserve">سه راهی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        1.1/4"</t>
    </r>
  </si>
  <si>
    <t xml:space="preserve">4031309</t>
  </si>
  <si>
    <r>
      <rPr>
        <sz val="10"/>
        <rFont val="FreeSans"/>
        <family val="2"/>
      </rPr>
      <t xml:space="preserve">سه راهی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4</t>
    </r>
  </si>
  <si>
    <t xml:space="preserve">31272548</t>
  </si>
  <si>
    <r>
      <rPr>
        <sz val="10"/>
        <rFont val="FreeSans"/>
        <family val="2"/>
      </rPr>
      <t xml:space="preserve">سه راهی استیل مانیسمان  رده </t>
    </r>
    <r>
      <rPr>
        <sz val="10"/>
        <rFont val="Vazirmatn"/>
        <family val="0"/>
        <charset val="1"/>
      </rPr>
      <t xml:space="preserve">10    "2</t>
    </r>
  </si>
  <si>
    <t xml:space="preserve">4031316</t>
  </si>
  <si>
    <r>
      <rPr>
        <sz val="10"/>
        <rFont val="FreeSans"/>
        <family val="2"/>
      </rPr>
      <t xml:space="preserve">سه راهی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2</t>
    </r>
  </si>
  <si>
    <t xml:space="preserve">31272549</t>
  </si>
  <si>
    <r>
      <rPr>
        <sz val="10"/>
        <rFont val="FreeSans"/>
        <family val="2"/>
      </rPr>
      <t xml:space="preserve">سه راهی جوشی  استیل          </t>
    </r>
    <r>
      <rPr>
        <sz val="10"/>
        <rFont val="Vazirmatn"/>
        <family val="0"/>
        <charset val="1"/>
      </rPr>
      <t xml:space="preserve">"10</t>
    </r>
  </si>
  <si>
    <t xml:space="preserve">31272550</t>
  </si>
  <si>
    <r>
      <rPr>
        <sz val="10"/>
        <rFont val="FreeSans"/>
        <family val="2"/>
      </rPr>
      <t xml:space="preserve">سه راهی استیل مانیسمان رده </t>
    </r>
    <r>
      <rPr>
        <sz val="10"/>
        <rFont val="Vazirmatn"/>
        <family val="0"/>
        <charset val="1"/>
      </rPr>
      <t xml:space="preserve">10   " 1/2</t>
    </r>
  </si>
  <si>
    <t xml:space="preserve">4031311</t>
  </si>
  <si>
    <r>
      <rPr>
        <sz val="10"/>
        <rFont val="FreeSans"/>
        <family val="2"/>
      </rPr>
      <t xml:space="preserve">سه راهی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1/2</t>
    </r>
  </si>
  <si>
    <t xml:space="preserve">31272551</t>
  </si>
  <si>
    <r>
      <rPr>
        <sz val="10"/>
        <rFont val="FreeSans"/>
        <family val="2"/>
      </rPr>
      <t xml:space="preserve">سه راهی جوشی استیل        </t>
    </r>
    <r>
      <rPr>
        <sz val="10"/>
        <rFont val="Vazirmatn"/>
        <family val="0"/>
        <charset val="1"/>
      </rPr>
      <t xml:space="preserve">" 3/4</t>
    </r>
  </si>
  <si>
    <t xml:space="preserve">4031444</t>
  </si>
  <si>
    <r>
      <rPr>
        <sz val="10"/>
        <rFont val="FreeSans"/>
        <family val="2"/>
      </rPr>
      <t xml:space="preserve">سه راهی تبدیل جوشی رده</t>
    </r>
    <r>
      <rPr>
        <sz val="10"/>
        <rFont val="Vazirmatn"/>
        <family val="0"/>
        <charset val="1"/>
      </rPr>
      <t xml:space="preserve">10 " 3/8 * 3/4</t>
    </r>
  </si>
  <si>
    <t xml:space="preserve">31272555</t>
  </si>
  <si>
    <r>
      <rPr>
        <sz val="10"/>
        <rFont val="FreeSans"/>
        <family val="2"/>
      </rPr>
      <t xml:space="preserve">سه راهی استیل مانیسمان رده </t>
    </r>
    <r>
      <rPr>
        <sz val="10"/>
        <rFont val="Vazirmatn"/>
        <family val="0"/>
        <charset val="1"/>
      </rPr>
      <t xml:space="preserve">10     304     "3</t>
    </r>
  </si>
  <si>
    <t xml:space="preserve">4031318</t>
  </si>
  <si>
    <r>
      <rPr>
        <sz val="10"/>
        <rFont val="FreeSans"/>
        <family val="2"/>
      </rPr>
      <t xml:space="preserve">سه راهی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3</t>
    </r>
  </si>
  <si>
    <t xml:space="preserve">31272556</t>
  </si>
  <si>
    <r>
      <rPr>
        <sz val="10"/>
        <rFont val="FreeSans"/>
        <family val="2"/>
      </rPr>
      <t xml:space="preserve">سه راهی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       "1</t>
    </r>
  </si>
  <si>
    <t xml:space="preserve">31272557</t>
  </si>
  <si>
    <r>
      <rPr>
        <sz val="10"/>
        <rFont val="FreeSans"/>
        <family val="2"/>
      </rPr>
      <t xml:space="preserve">سه راهی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" 2</t>
    </r>
  </si>
  <si>
    <t xml:space="preserve">4031325</t>
  </si>
  <si>
    <r>
      <rPr>
        <sz val="10"/>
        <rFont val="FreeSans"/>
        <family val="2"/>
      </rPr>
      <t xml:space="preserve">سه راهی  جوشی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2</t>
    </r>
  </si>
  <si>
    <t xml:space="preserve">31272561</t>
  </si>
  <si>
    <r>
      <rPr>
        <sz val="10"/>
        <rFont val="FreeSans"/>
        <family val="2"/>
      </rPr>
      <t xml:space="preserve">سه راهی استیل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     " 4</t>
    </r>
  </si>
  <si>
    <t xml:space="preserve">4031319</t>
  </si>
  <si>
    <r>
      <rPr>
        <sz val="10"/>
        <rFont val="FreeSans"/>
        <family val="2"/>
      </rPr>
      <t xml:space="preserve">سه راهی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4</t>
    </r>
  </si>
  <si>
    <t xml:space="preserve">31272563</t>
  </si>
  <si>
    <r>
      <rPr>
        <sz val="10"/>
        <rFont val="FreeSans"/>
        <family val="2"/>
      </rPr>
      <t xml:space="preserve">سه راهی استیل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          " 3</t>
    </r>
  </si>
  <si>
    <t xml:space="preserve">31272564</t>
  </si>
  <si>
    <r>
      <rPr>
        <sz val="10"/>
        <rFont val="FreeSans"/>
        <family val="2"/>
      </rPr>
      <t xml:space="preserve">سه راهی استیل جوشی            </t>
    </r>
    <r>
      <rPr>
        <sz val="10"/>
        <rFont val="Vazirmatn"/>
        <family val="0"/>
        <charset val="1"/>
      </rPr>
      <t xml:space="preserve">" 4    *</t>
    </r>
  </si>
  <si>
    <t xml:space="preserve">4031425</t>
  </si>
  <si>
    <r>
      <rPr>
        <sz val="10"/>
        <rFont val="FreeSans"/>
        <family val="2"/>
      </rPr>
      <t xml:space="preserve">سراهی تبدیل استیل جوشی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رده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3*4</t>
    </r>
  </si>
  <si>
    <t xml:space="preserve">31272570</t>
  </si>
  <si>
    <r>
      <rPr>
        <sz val="10"/>
        <rFont val="FreeSans"/>
        <family val="2"/>
      </rPr>
      <t xml:space="preserve">سه راهی دنده ای استیل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 </t>
    </r>
    <r>
      <rPr>
        <sz val="10"/>
        <rFont val="Vazirmatn"/>
        <family val="0"/>
        <charset val="1"/>
      </rPr>
      <t xml:space="preserve">1</t>
    </r>
  </si>
  <si>
    <t xml:space="preserve">31272571</t>
  </si>
  <si>
    <r>
      <rPr>
        <sz val="10"/>
        <rFont val="FreeSans"/>
        <family val="2"/>
      </rPr>
      <t xml:space="preserve">سه راهی استیل    دنده ای            </t>
    </r>
    <r>
      <rPr>
        <sz val="10"/>
        <rFont val="Vazirmatn"/>
        <family val="0"/>
        <charset val="1"/>
      </rPr>
      <t xml:space="preserve">" 1</t>
    </r>
  </si>
  <si>
    <t xml:space="preserve">31272573</t>
  </si>
  <si>
    <r>
      <rPr>
        <sz val="10"/>
        <rFont val="FreeSans"/>
        <family val="2"/>
      </rPr>
      <t xml:space="preserve">سه راهی تبدیلی استیل جوشی</t>
    </r>
    <r>
      <rPr>
        <sz val="10"/>
        <rFont val="Vazirmatn"/>
        <family val="0"/>
        <charset val="1"/>
      </rPr>
      <t xml:space="preserve">" 3/4 * " 2</t>
    </r>
  </si>
  <si>
    <t xml:space="preserve">4029500</t>
  </si>
  <si>
    <r>
      <rPr>
        <sz val="10"/>
        <rFont val="FreeSans"/>
        <family val="2"/>
      </rPr>
      <t xml:space="preserve">سه راهی تبدیلی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3/4 * 2 </t>
    </r>
    <r>
      <rPr>
        <sz val="10"/>
        <rFont val="FreeSans"/>
        <family val="2"/>
      </rPr>
      <t xml:space="preserve">اینچ</t>
    </r>
  </si>
  <si>
    <t xml:space="preserve">31272581</t>
  </si>
  <si>
    <r>
      <rPr>
        <sz val="10"/>
        <rFont val="FreeSans"/>
        <family val="2"/>
      </rPr>
      <t xml:space="preserve">سه راهی  استیل  تبدیلی   </t>
    </r>
    <r>
      <rPr>
        <sz val="10"/>
        <rFont val="Vazirmatn"/>
        <family val="0"/>
        <charset val="1"/>
      </rPr>
      <t xml:space="preserve">" 1/2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2</t>
    </r>
  </si>
  <si>
    <t xml:space="preserve">4029480</t>
  </si>
  <si>
    <r>
      <rPr>
        <sz val="10"/>
        <rFont val="FreeSans"/>
        <family val="2"/>
      </rPr>
      <t xml:space="preserve">سه راهی تبدیلی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 * 2 </t>
    </r>
    <r>
      <rPr>
        <sz val="10"/>
        <rFont val="FreeSans"/>
        <family val="2"/>
      </rPr>
      <t xml:space="preserve">اینچ</t>
    </r>
  </si>
  <si>
    <t xml:space="preserve">31272590</t>
  </si>
  <si>
    <r>
      <rPr>
        <sz val="10"/>
        <rFont val="FreeSans"/>
        <family val="2"/>
      </rPr>
      <t xml:space="preserve">سه راهی استیل تبدیلی جوشی    </t>
    </r>
    <r>
      <rPr>
        <sz val="10"/>
        <rFont val="Vazirmatn"/>
        <family val="0"/>
        <charset val="1"/>
      </rPr>
      <t xml:space="preserve">" 1 * " 2</t>
    </r>
  </si>
  <si>
    <t xml:space="preserve">31272591</t>
  </si>
  <si>
    <r>
      <rPr>
        <sz val="10"/>
        <rFont val="FreeSans"/>
        <family val="2"/>
      </rPr>
      <t xml:space="preserve">سه راهی تبدیلی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    " 2 * " 4</t>
    </r>
  </si>
  <si>
    <t xml:space="preserve">4031361</t>
  </si>
  <si>
    <r>
      <rPr>
        <sz val="10"/>
        <rFont val="FreeSans"/>
        <family val="2"/>
      </rPr>
      <t xml:space="preserve">سراهی تبدیل جوشی</t>
    </r>
    <r>
      <rPr>
        <sz val="10"/>
        <rFont val="Vazirmatn"/>
        <family val="0"/>
        <charset val="1"/>
      </rPr>
      <t xml:space="preserve">304</t>
    </r>
    <r>
      <rPr>
        <sz val="10"/>
        <rFont val="FreeSans"/>
        <family val="2"/>
      </rPr>
      <t xml:space="preserve">مانیسمان رده</t>
    </r>
    <r>
      <rPr>
        <sz val="10"/>
        <rFont val="Vazirmatn"/>
        <family val="0"/>
        <charset val="1"/>
      </rPr>
      <t xml:space="preserve">10 "2 * 3</t>
    </r>
  </si>
  <si>
    <t xml:space="preserve">31272594</t>
  </si>
  <si>
    <r>
      <rPr>
        <sz val="10"/>
        <rFont val="FreeSans"/>
        <family val="2"/>
      </rPr>
      <t xml:space="preserve">سه راهی تبدیلی استیل جوشی</t>
    </r>
    <r>
      <rPr>
        <sz val="10"/>
        <rFont val="Vazirmatn"/>
        <family val="0"/>
        <charset val="1"/>
      </rPr>
      <t xml:space="preserve">" 3 * " 4</t>
    </r>
  </si>
  <si>
    <t xml:space="preserve">4029509</t>
  </si>
  <si>
    <r>
      <rPr>
        <sz val="10"/>
        <rFont val="FreeSans"/>
        <family val="2"/>
      </rPr>
      <t xml:space="preserve">سه راهی تبدیلی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 * 4 </t>
    </r>
    <r>
      <rPr>
        <sz val="10"/>
        <rFont val="FreeSans"/>
        <family val="2"/>
      </rPr>
      <t xml:space="preserve">اینچ</t>
    </r>
  </si>
  <si>
    <t xml:space="preserve">31272596</t>
  </si>
  <si>
    <r>
      <rPr>
        <sz val="10"/>
        <rFont val="FreeSans"/>
        <family val="2"/>
      </rPr>
      <t xml:space="preserve">سه راهی تبدیلی استیل جوشی</t>
    </r>
    <r>
      <rPr>
        <sz val="10"/>
        <rFont val="Vazirmatn"/>
        <family val="0"/>
        <charset val="1"/>
      </rPr>
      <t xml:space="preserve">" 3 * " 5</t>
    </r>
  </si>
  <si>
    <t xml:space="preserve">4029502</t>
  </si>
  <si>
    <r>
      <rPr>
        <sz val="10"/>
        <rFont val="FreeSans"/>
        <family val="2"/>
      </rPr>
      <t xml:space="preserve">سه راهی تبدیلی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 * 5 </t>
    </r>
    <r>
      <rPr>
        <sz val="10"/>
        <rFont val="FreeSans"/>
        <family val="2"/>
      </rPr>
      <t xml:space="preserve">اینچ</t>
    </r>
  </si>
  <si>
    <t xml:space="preserve">31272597</t>
  </si>
  <si>
    <r>
      <rPr>
        <sz val="10"/>
        <rFont val="FreeSans"/>
        <family val="2"/>
      </rPr>
      <t xml:space="preserve">سه راهی تبدیلی استیل جوشی</t>
    </r>
    <r>
      <rPr>
        <sz val="10"/>
        <rFont val="Vazirmatn"/>
        <family val="0"/>
        <charset val="1"/>
      </rPr>
      <t xml:space="preserve">" 4 * " 5</t>
    </r>
  </si>
  <si>
    <t xml:space="preserve">4029503</t>
  </si>
  <si>
    <r>
      <rPr>
        <sz val="10"/>
        <rFont val="FreeSans"/>
        <family val="2"/>
      </rPr>
      <t xml:space="preserve">سه راهی تبدیلی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4 * 5</t>
    </r>
  </si>
  <si>
    <t xml:space="preserve">31272663</t>
  </si>
  <si>
    <r>
      <rPr>
        <sz val="10"/>
        <rFont val="FreeSans"/>
        <family val="2"/>
      </rPr>
      <t xml:space="preserve">سه راهی گالوانیزه </t>
    </r>
    <r>
      <rPr>
        <sz val="10"/>
        <rFont val="Vazirmatn"/>
        <family val="0"/>
        <charset val="1"/>
      </rPr>
      <t xml:space="preserve">"1/2</t>
    </r>
  </si>
  <si>
    <t xml:space="preserve">4029441</t>
  </si>
  <si>
    <r>
      <rPr>
        <sz val="10"/>
        <rFont val="FreeSans"/>
        <family val="2"/>
      </rPr>
      <t xml:space="preserve">سه راهی تبدیلی گالوانیزه سایز </t>
    </r>
    <r>
      <rPr>
        <sz val="10"/>
        <rFont val="Vazirmatn"/>
        <family val="0"/>
        <charset val="1"/>
      </rPr>
      <t xml:space="preserve">1/2*1 </t>
    </r>
    <r>
      <rPr>
        <sz val="10"/>
        <rFont val="FreeSans"/>
        <family val="2"/>
      </rPr>
      <t xml:space="preserve">اینچ</t>
    </r>
  </si>
  <si>
    <t xml:space="preserve">31272667</t>
  </si>
  <si>
    <r>
      <rPr>
        <sz val="10"/>
        <rFont val="FreeSans"/>
        <family val="2"/>
      </rPr>
      <t xml:space="preserve">سه راهی دنده ای گالوانیزه         </t>
    </r>
    <r>
      <rPr>
        <sz val="10"/>
        <rFont val="Vazirmatn"/>
        <family val="0"/>
        <charset val="1"/>
      </rPr>
      <t xml:space="preserve">" 1</t>
    </r>
  </si>
  <si>
    <t xml:space="preserve">4054083</t>
  </si>
  <si>
    <r>
      <rPr>
        <sz val="10"/>
        <rFont val="FreeSans"/>
        <family val="2"/>
      </rPr>
      <t xml:space="preserve">سه راهی برق گالوانیزه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</si>
  <si>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31272669</t>
  </si>
  <si>
    <r>
      <rPr>
        <sz val="10"/>
        <rFont val="FreeSans"/>
        <family val="2"/>
      </rPr>
      <t xml:space="preserve">سه راهی دنده ای گالوانیزه         </t>
    </r>
    <r>
      <rPr>
        <sz val="10"/>
        <rFont val="Vazirmatn"/>
        <family val="0"/>
        <charset val="1"/>
      </rPr>
      <t xml:space="preserve">" 3</t>
    </r>
  </si>
  <si>
    <t xml:space="preserve">4031303</t>
  </si>
  <si>
    <r>
      <rPr>
        <sz val="10"/>
        <rFont val="FreeSans"/>
        <family val="2"/>
      </rPr>
      <t xml:space="preserve">سه راهی گالوانیزه دنده ای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 سایز </t>
    </r>
    <r>
      <rPr>
        <sz val="10"/>
        <rFont val="Vazirmatn"/>
        <family val="0"/>
        <charset val="1"/>
      </rPr>
      <t xml:space="preserve">3</t>
    </r>
  </si>
  <si>
    <t xml:space="preserve">31272676</t>
  </si>
  <si>
    <r>
      <rPr>
        <sz val="10"/>
        <rFont val="FreeSans"/>
        <family val="2"/>
      </rPr>
      <t xml:space="preserve">سه راهی آهنی تبدیلی جوشی  </t>
    </r>
    <r>
      <rPr>
        <sz val="10"/>
        <rFont val="Vazirmatn"/>
        <family val="0"/>
        <charset val="1"/>
      </rPr>
      <t xml:space="preserve">2 *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</si>
  <si>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4031484</t>
  </si>
  <si>
    <r>
      <rPr>
        <sz val="10"/>
        <rFont val="FreeSans"/>
        <family val="2"/>
      </rPr>
      <t xml:space="preserve">سراهی تبدیل جوشی فشار قوی  </t>
    </r>
    <r>
      <rPr>
        <sz val="10"/>
        <rFont val="Vazirmatn"/>
        <family val="0"/>
        <charset val="1"/>
      </rPr>
      <t xml:space="preserve">1*2 </t>
    </r>
    <r>
      <rPr>
        <sz val="10"/>
        <rFont val="FreeSans"/>
        <family val="2"/>
      </rPr>
      <t xml:space="preserve">اینچ</t>
    </r>
  </si>
  <si>
    <t xml:space="preserve">31272685</t>
  </si>
  <si>
    <r>
      <rPr>
        <sz val="10"/>
        <rFont val="FreeSans"/>
        <family val="2"/>
      </rPr>
      <t xml:space="preserve">سه راهی آهنی تبدیلی جوشی </t>
    </r>
    <r>
      <rPr>
        <sz val="10"/>
        <rFont val="Vazirmatn"/>
        <family val="0"/>
        <charset val="1"/>
      </rPr>
      <t xml:space="preserve">40  "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 * 1/2</t>
    </r>
  </si>
  <si>
    <t xml:space="preserve">5012463</t>
  </si>
  <si>
    <r>
      <rPr>
        <sz val="10"/>
        <rFont val="FreeSans"/>
        <family val="2"/>
      </rPr>
      <t xml:space="preserve">سه راهی تبدیلی کربن فشار قوی  </t>
    </r>
    <r>
      <rPr>
        <sz val="10"/>
        <rFont val="Vazirmatn"/>
        <family val="0"/>
        <charset val="1"/>
      </rPr>
      <t xml:space="preserve">1/2 * 1</t>
    </r>
  </si>
  <si>
    <t xml:space="preserve">31272690</t>
  </si>
  <si>
    <r>
      <rPr>
        <sz val="10"/>
        <rFont val="FreeSans"/>
        <family val="2"/>
      </rPr>
      <t xml:space="preserve">سه راهی آهنی تبدیلی جوشی  </t>
    </r>
    <r>
      <rPr>
        <sz val="10"/>
        <rFont val="Vazirmatn"/>
        <family val="0"/>
        <charset val="1"/>
      </rPr>
      <t xml:space="preserve">" 2 * " 4</t>
    </r>
  </si>
  <si>
    <t xml:space="preserve">4029501</t>
  </si>
  <si>
    <r>
      <rPr>
        <sz val="10"/>
        <rFont val="FreeSans"/>
        <family val="2"/>
      </rPr>
      <t xml:space="preserve">سه راهی تبدیلی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* 4 </t>
    </r>
    <r>
      <rPr>
        <sz val="10"/>
        <rFont val="FreeSans"/>
        <family val="2"/>
      </rPr>
      <t xml:space="preserve">اینچ</t>
    </r>
  </si>
  <si>
    <t xml:space="preserve">31272691</t>
  </si>
  <si>
    <r>
      <rPr>
        <sz val="10"/>
        <rFont val="FreeSans"/>
        <family val="2"/>
      </rPr>
      <t xml:space="preserve">سه راهی آهنی تبدیلی جوشی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* " 4</t>
    </r>
  </si>
  <si>
    <t xml:space="preserve">4032679</t>
  </si>
  <si>
    <r>
      <rPr>
        <sz val="10"/>
        <rFont val="FreeSans"/>
        <family val="2"/>
      </rPr>
      <t xml:space="preserve">سه راهی تبدیلی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2 * 4 </t>
    </r>
    <r>
      <rPr>
        <sz val="10"/>
        <rFont val="FreeSans"/>
        <family val="2"/>
      </rPr>
      <t xml:space="preserve">اینچ</t>
    </r>
  </si>
  <si>
    <t xml:space="preserve">31272698</t>
  </si>
  <si>
    <r>
      <rPr>
        <sz val="10"/>
        <rFont val="FreeSans"/>
        <family val="2"/>
      </rPr>
      <t xml:space="preserve">سه راهی تبدیلی دنده ای گالوانیزه  </t>
    </r>
    <r>
      <rPr>
        <sz val="10"/>
        <rFont val="Vazirmatn"/>
        <family val="0"/>
        <charset val="1"/>
      </rPr>
      <t xml:space="preserve">" 1 * "1/4 1</t>
    </r>
  </si>
  <si>
    <t xml:space="preserve">4031374</t>
  </si>
  <si>
    <r>
      <rPr>
        <sz val="10"/>
        <rFont val="FreeSans"/>
        <family val="2"/>
      </rPr>
      <t xml:space="preserve">سه راهی تبدیلی گالوانیزه </t>
    </r>
    <r>
      <rPr>
        <sz val="10"/>
        <rFont val="Vazirmatn"/>
        <family val="0"/>
        <charset val="1"/>
      </rPr>
      <t xml:space="preserve">"1/4 1*1/2 1</t>
    </r>
  </si>
  <si>
    <t xml:space="preserve">31272706</t>
  </si>
  <si>
    <r>
      <rPr>
        <sz val="10"/>
        <rFont val="FreeSans"/>
        <family val="2"/>
      </rPr>
      <t xml:space="preserve">سه راهی پلی اتیلن   </t>
    </r>
    <r>
      <rPr>
        <sz val="10"/>
        <rFont val="Vazirmatn"/>
        <family val="0"/>
        <charset val="1"/>
      </rPr>
      <t xml:space="preserve">" 6</t>
    </r>
  </si>
  <si>
    <t xml:space="preserve">4029483</t>
  </si>
  <si>
    <r>
      <rPr>
        <sz val="10"/>
        <rFont val="FreeSans"/>
        <family val="2"/>
      </rPr>
      <t xml:space="preserve">سه راهی پلی اتیلن جوشی </t>
    </r>
    <r>
      <rPr>
        <sz val="10"/>
        <rFont val="Vazirmatn"/>
        <family val="0"/>
        <charset val="1"/>
      </rPr>
      <t xml:space="preserve">PN 6 </t>
    </r>
    <r>
      <rPr>
        <sz val="10"/>
        <rFont val="FreeSans"/>
        <family val="2"/>
      </rPr>
      <t xml:space="preserve">سایز  </t>
    </r>
    <r>
      <rPr>
        <sz val="10"/>
        <rFont val="Vazirmatn"/>
        <family val="0"/>
        <charset val="1"/>
      </rPr>
      <t xml:space="preserve">160</t>
    </r>
  </si>
  <si>
    <t xml:space="preserve">31272711</t>
  </si>
  <si>
    <t xml:space="preserve">سه راهی پلی اتیلن فشار قوی جوشی</t>
  </si>
  <si>
    <t xml:space="preserve">4029497</t>
  </si>
  <si>
    <r>
      <rPr>
        <sz val="10"/>
        <rFont val="FreeSans"/>
        <family val="2"/>
      </rPr>
      <t xml:space="preserve">سه راهی پلی اتیلن جوشی سایز </t>
    </r>
    <r>
      <rPr>
        <sz val="10"/>
        <rFont val="Vazirmatn"/>
        <family val="0"/>
        <charset val="1"/>
      </rPr>
      <t xml:space="preserve">90</t>
    </r>
  </si>
  <si>
    <t xml:space="preserve">31272712</t>
  </si>
  <si>
    <r>
      <rPr>
        <sz val="10"/>
        <rFont val="FreeSans"/>
        <family val="2"/>
      </rPr>
      <t xml:space="preserve">سه راهی تبدیلی آهنی مانیسمان رده </t>
    </r>
    <r>
      <rPr>
        <sz val="10"/>
        <rFont val="Vazirmatn"/>
        <family val="0"/>
        <charset val="1"/>
      </rPr>
      <t xml:space="preserve">40 " 3 * " 2</t>
    </r>
  </si>
  <si>
    <t xml:space="preserve">4031345</t>
  </si>
  <si>
    <r>
      <rPr>
        <sz val="10"/>
        <rFont val="FreeSans"/>
        <family val="2"/>
      </rPr>
      <t xml:space="preserve">سراهی تبدیلی کربن رده</t>
    </r>
    <r>
      <rPr>
        <sz val="10"/>
        <rFont val="Vazirmatn"/>
        <family val="0"/>
        <charset val="1"/>
      </rPr>
      <t xml:space="preserve">40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"2 * "3</t>
    </r>
  </si>
  <si>
    <t xml:space="preserve">31272713</t>
  </si>
  <si>
    <r>
      <rPr>
        <sz val="10"/>
        <rFont val="FreeSans"/>
        <family val="2"/>
      </rPr>
      <t xml:space="preserve">سه راهی پلی اتیلن تبدیلی         </t>
    </r>
    <r>
      <rPr>
        <sz val="10"/>
        <rFont val="Vazirmatn"/>
        <family val="0"/>
        <charset val="1"/>
      </rPr>
      <t xml:space="preserve">"3    </t>
    </r>
    <r>
      <rPr>
        <sz val="10"/>
        <rFont val="FreeSans"/>
        <family val="2"/>
      </rPr>
      <t xml:space="preserve">به    </t>
    </r>
    <r>
      <rPr>
        <sz val="10"/>
        <rFont val="Vazirmatn"/>
        <family val="0"/>
        <charset val="1"/>
      </rPr>
      <t xml:space="preserve">4"</t>
    </r>
  </si>
  <si>
    <t xml:space="preserve">31272714</t>
  </si>
  <si>
    <r>
      <rPr>
        <sz val="10"/>
        <rFont val="FreeSans"/>
        <family val="2"/>
      </rPr>
      <t xml:space="preserve">سه راهی تبدیلی پلی اتیلن   </t>
    </r>
    <r>
      <rPr>
        <sz val="10"/>
        <rFont val="Vazirmatn"/>
        <family val="0"/>
        <charset val="1"/>
      </rPr>
      <t xml:space="preserve">"2.1/2 *   "4</t>
    </r>
  </si>
  <si>
    <t xml:space="preserve">31272716</t>
  </si>
  <si>
    <r>
      <rPr>
        <sz val="10"/>
        <rFont val="FreeSans"/>
        <family val="2"/>
      </rPr>
      <t xml:space="preserve">سه راهی تبدیلی آهنی مانیسمان رده </t>
    </r>
    <r>
      <rPr>
        <sz val="10"/>
        <rFont val="Vazirmatn"/>
        <family val="0"/>
        <charset val="1"/>
      </rPr>
      <t xml:space="preserve">40 " 6 * " 2</t>
    </r>
  </si>
  <si>
    <t xml:space="preserve">31272717</t>
  </si>
  <si>
    <r>
      <rPr>
        <sz val="10"/>
        <rFont val="FreeSans"/>
        <family val="2"/>
      </rPr>
      <t xml:space="preserve">سه راهی تبدیلی آهنی مانیسمان رده </t>
    </r>
    <r>
      <rPr>
        <sz val="10"/>
        <rFont val="Vazirmatn"/>
        <family val="0"/>
        <charset val="1"/>
      </rPr>
      <t xml:space="preserve">40 " 1/2 1 * " 4</t>
    </r>
  </si>
  <si>
    <t xml:space="preserve">4031428</t>
  </si>
  <si>
    <r>
      <rPr>
        <sz val="10"/>
        <rFont val="FreeSans"/>
        <family val="2"/>
      </rPr>
      <t xml:space="preserve">سراهی تبدیل کربن رده</t>
    </r>
    <r>
      <rPr>
        <sz val="10"/>
        <rFont val="Vazirmatn"/>
        <family val="0"/>
        <charset val="1"/>
      </rPr>
      <t xml:space="preserve">40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1/2 * 3</t>
    </r>
  </si>
  <si>
    <t xml:space="preserve">31272723</t>
  </si>
  <si>
    <r>
      <rPr>
        <sz val="10"/>
        <rFont val="FreeSans"/>
        <family val="2"/>
      </rPr>
      <t xml:space="preserve">سه راهی پلیکا </t>
    </r>
    <r>
      <rPr>
        <sz val="10"/>
        <rFont val="Vazirmatn"/>
        <family val="0"/>
        <charset val="1"/>
      </rPr>
      <t xml:space="preserve">45    90</t>
    </r>
  </si>
  <si>
    <t xml:space="preserve">4000132</t>
  </si>
  <si>
    <r>
      <rPr>
        <sz val="10"/>
        <rFont val="FreeSans"/>
        <family val="2"/>
      </rPr>
      <t xml:space="preserve">سه راهي پليکا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 سايز </t>
    </r>
    <r>
      <rPr>
        <sz val="10"/>
        <rFont val="Vazirmatn"/>
        <family val="0"/>
        <charset val="1"/>
      </rPr>
      <t xml:space="preserve">90</t>
    </r>
  </si>
  <si>
    <t xml:space="preserve">31272724</t>
  </si>
  <si>
    <r>
      <rPr>
        <sz val="10"/>
        <rFont val="FreeSans"/>
        <family val="2"/>
      </rPr>
      <t xml:space="preserve">سه راهی پلیکا  </t>
    </r>
    <r>
      <rPr>
        <sz val="10"/>
        <rFont val="Vazirmatn"/>
        <family val="0"/>
        <charset val="1"/>
      </rPr>
      <t xml:space="preserve">90  </t>
    </r>
    <r>
      <rPr>
        <sz val="10"/>
        <rFont val="FreeSans"/>
        <family val="2"/>
      </rPr>
      <t xml:space="preserve">درجه     </t>
    </r>
    <r>
      <rPr>
        <sz val="10"/>
        <rFont val="Vazirmatn"/>
        <family val="0"/>
        <charset val="1"/>
      </rPr>
      <t xml:space="preserve">110</t>
    </r>
  </si>
  <si>
    <t xml:space="preserve">4029507</t>
  </si>
  <si>
    <r>
      <rPr>
        <sz val="10"/>
        <rFont val="FreeSans"/>
        <family val="2"/>
      </rPr>
      <t xml:space="preserve">سه راهی تبدیل پلیکا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 سایز </t>
    </r>
    <r>
      <rPr>
        <sz val="10"/>
        <rFont val="Vazirmatn"/>
        <family val="0"/>
        <charset val="1"/>
      </rPr>
      <t xml:space="preserve">90*110</t>
    </r>
  </si>
  <si>
    <t xml:space="preserve">31272727</t>
  </si>
  <si>
    <r>
      <rPr>
        <sz val="10"/>
        <rFont val="FreeSans"/>
        <family val="2"/>
      </rPr>
      <t xml:space="preserve">سه راهی آهنی جوشی رده </t>
    </r>
    <r>
      <rPr>
        <sz val="10"/>
        <rFont val="Vazirmatn"/>
        <family val="0"/>
        <charset val="1"/>
      </rPr>
      <t xml:space="preserve">40   " 3</t>
    </r>
  </si>
  <si>
    <t xml:space="preserve">4031308</t>
  </si>
  <si>
    <r>
      <rPr>
        <sz val="10"/>
        <rFont val="FreeSans"/>
        <family val="2"/>
      </rPr>
      <t xml:space="preserve">سه راهی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3</t>
    </r>
  </si>
  <si>
    <t xml:space="preserve">31272729</t>
  </si>
  <si>
    <r>
      <rPr>
        <sz val="10"/>
        <rFont val="FreeSans"/>
        <family val="2"/>
      </rPr>
      <t xml:space="preserve">سه راهی پلیکا </t>
    </r>
    <r>
      <rPr>
        <sz val="10"/>
        <rFont val="Vazirmatn"/>
        <family val="0"/>
        <charset val="1"/>
      </rPr>
      <t xml:space="preserve">45    63</t>
    </r>
  </si>
  <si>
    <t xml:space="preserve">4029508</t>
  </si>
  <si>
    <r>
      <rPr>
        <sz val="10"/>
        <rFont val="FreeSans"/>
        <family val="2"/>
      </rPr>
      <t xml:space="preserve">سه راهی تبدیل پلیکا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 سایز </t>
    </r>
    <r>
      <rPr>
        <sz val="10"/>
        <rFont val="Vazirmatn"/>
        <family val="0"/>
        <charset val="1"/>
      </rPr>
      <t xml:space="preserve">63*90</t>
    </r>
  </si>
  <si>
    <t xml:space="preserve">31272730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</si>
  <si>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2 ( TEE CPVC	DN 50 )</t>
    </r>
  </si>
  <si>
    <t xml:space="preserve">4029491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</si>
  <si>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</si>
  <si>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31272742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</si>
  <si>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1/2   CPVC</t>
    </r>
  </si>
  <si>
    <t xml:space="preserve">4029490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</si>
  <si>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</si>
  <si>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31272744</t>
  </si>
  <si>
    <r>
      <rPr>
        <sz val="10"/>
        <rFont val="FreeSans"/>
        <family val="2"/>
      </rPr>
      <t xml:space="preserve">سه راهی تبدیلی </t>
    </r>
    <r>
      <rPr>
        <sz val="10"/>
        <rFont val="Vazirmatn"/>
        <family val="0"/>
        <charset val="1"/>
      </rPr>
      <t xml:space="preserve">" 6      C PVC</t>
    </r>
  </si>
  <si>
    <t xml:space="preserve">4029493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</si>
  <si>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اینچ</t>
    </r>
  </si>
  <si>
    <t xml:space="preserve">31272745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</si>
  <si>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4 ( TEE CPVC	DN 100 )</t>
    </r>
  </si>
  <si>
    <t xml:space="preserve">4029492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</si>
  <si>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</si>
  <si>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31272752</t>
  </si>
  <si>
    <r>
      <rPr>
        <sz val="10"/>
        <rFont val="FreeSans"/>
        <family val="2"/>
      </rPr>
      <t xml:space="preserve">سه راهی پنوماتیک     </t>
    </r>
    <r>
      <rPr>
        <sz val="10"/>
        <rFont val="Vazirmatn"/>
        <family val="0"/>
        <charset val="1"/>
      </rPr>
      <t xml:space="preserve">6mm</t>
    </r>
  </si>
  <si>
    <t xml:space="preserve">4041944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</si>
  <si>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T </t>
    </r>
    <r>
      <rPr>
        <sz val="10"/>
        <rFont val="FreeSans"/>
        <family val="2"/>
      </rPr>
      <t xml:space="preserve">پنوماتیک وسط دنده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ـ </t>
    </r>
    <r>
      <rPr>
        <sz val="10"/>
        <rFont val="Vazirmatn"/>
        <family val="0"/>
        <charset val="1"/>
      </rPr>
      <t xml:space="preserve">M5</t>
    </r>
  </si>
  <si>
    <t xml:space="preserve">31272754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</si>
  <si>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2      UPVC</t>
    </r>
  </si>
  <si>
    <t xml:space="preserve">31272755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</si>
  <si>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1      UPVC</t>
    </r>
  </si>
  <si>
    <t xml:space="preserve">31272756</t>
  </si>
  <si>
    <r>
      <rPr>
        <sz val="10"/>
        <rFont val="FreeSans"/>
        <family val="2"/>
      </rPr>
      <t xml:space="preserve">سه راهی تبدیلی   </t>
    </r>
    <r>
      <rPr>
        <sz val="10"/>
        <rFont val="Vazirmatn"/>
        <family val="0"/>
        <charset val="1"/>
      </rPr>
      <t xml:space="preserve">UPVC             "1.1/2   *   "4</t>
    </r>
  </si>
  <si>
    <t xml:space="preserve">31272759</t>
  </si>
  <si>
    <r>
      <rPr>
        <sz val="10"/>
        <rFont val="FreeSans"/>
        <family val="2"/>
      </rPr>
      <t xml:space="preserve">سه راهی   </t>
    </r>
    <r>
      <rPr>
        <sz val="10"/>
        <rFont val="Vazirmatn"/>
        <family val="0"/>
        <charset val="1"/>
      </rPr>
      <t xml:space="preserve">Upvc    "3</t>
    </r>
  </si>
  <si>
    <t xml:space="preserve">31272761</t>
  </si>
  <si>
    <r>
      <rPr>
        <sz val="10"/>
        <rFont val="FreeSans"/>
        <family val="2"/>
      </rPr>
      <t xml:space="preserve">سه راهی  </t>
    </r>
    <r>
      <rPr>
        <sz val="10"/>
        <rFont val="Vazirmatn"/>
        <family val="0"/>
        <charset val="1"/>
      </rPr>
      <t xml:space="preserve">" UPVC     1 1/2</t>
    </r>
  </si>
  <si>
    <t xml:space="preserve">4029530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</si>
  <si>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</si>
  <si>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31272762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</si>
  <si>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4      UPVC</t>
    </r>
  </si>
  <si>
    <t xml:space="preserve">31272763</t>
  </si>
  <si>
    <r>
      <rPr>
        <sz val="10"/>
        <rFont val="FreeSans"/>
        <family val="2"/>
      </rPr>
      <t xml:space="preserve">سه راهی آهنی مانسیمان رده </t>
    </r>
    <r>
      <rPr>
        <sz val="10"/>
        <rFont val="Vazirmatn"/>
        <family val="0"/>
        <charset val="1"/>
      </rPr>
      <t xml:space="preserve">40    " 2</t>
    </r>
  </si>
  <si>
    <t xml:space="preserve">4031307</t>
  </si>
  <si>
    <r>
      <rPr>
        <sz val="10"/>
        <rFont val="FreeSans"/>
        <family val="2"/>
      </rPr>
      <t xml:space="preserve">سه راهی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2</t>
    </r>
  </si>
  <si>
    <t xml:space="preserve">31272764</t>
  </si>
  <si>
    <r>
      <rPr>
        <sz val="10"/>
        <rFont val="FreeSans"/>
        <family val="2"/>
      </rPr>
      <t xml:space="preserve">سه راهی استیل مانیسمان  رده </t>
    </r>
    <r>
      <rPr>
        <sz val="10"/>
        <rFont val="Vazirmatn"/>
        <family val="0"/>
        <charset val="1"/>
      </rPr>
      <t xml:space="preserve">10    " 1/2 1</t>
    </r>
  </si>
  <si>
    <t xml:space="preserve">4031315</t>
  </si>
  <si>
    <r>
      <rPr>
        <sz val="10"/>
        <rFont val="FreeSans"/>
        <family val="2"/>
      </rPr>
      <t xml:space="preserve">سه راهی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1/2 1</t>
    </r>
  </si>
  <si>
    <t xml:space="preserve">31272766</t>
  </si>
  <si>
    <r>
      <rPr>
        <sz val="10"/>
        <rFont val="FreeSans"/>
        <family val="2"/>
      </rPr>
      <t xml:space="preserve">سه راهی آهنی مانسیمان رده </t>
    </r>
    <r>
      <rPr>
        <sz val="10"/>
        <rFont val="Vazirmatn"/>
        <family val="0"/>
        <charset val="1"/>
      </rPr>
      <t xml:space="preserve">40    " 4</t>
    </r>
  </si>
  <si>
    <t xml:space="preserve">31272767</t>
  </si>
  <si>
    <r>
      <rPr>
        <sz val="10"/>
        <rFont val="FreeSans"/>
        <family val="2"/>
      </rPr>
      <t xml:space="preserve">سه راهی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مانسیمان رده </t>
    </r>
    <r>
      <rPr>
        <sz val="10"/>
        <rFont val="Vazirmatn"/>
        <family val="0"/>
        <charset val="1"/>
      </rPr>
      <t xml:space="preserve">40    " 2</t>
    </r>
  </si>
  <si>
    <t xml:space="preserve">31272768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</si>
  <si>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5 ( TEE UPVC	DN 125 )</t>
    </r>
  </si>
  <si>
    <t xml:space="preserve">4029528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</si>
  <si>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اینچ</t>
    </r>
  </si>
  <si>
    <t xml:space="preserve">31272778</t>
  </si>
  <si>
    <r>
      <rPr>
        <sz val="10"/>
        <rFont val="FreeSans"/>
        <family val="2"/>
      </rPr>
      <t xml:space="preserve">سه راهی استیل </t>
    </r>
    <r>
      <rPr>
        <sz val="10"/>
        <rFont val="Vazirmatn"/>
        <family val="0"/>
        <charset val="1"/>
      </rPr>
      <t xml:space="preserve">304</t>
    </r>
    <r>
      <rPr>
        <sz val="10"/>
        <rFont val="FreeSans"/>
        <family val="2"/>
      </rPr>
      <t xml:space="preserve">مانسیمان رده </t>
    </r>
    <r>
      <rPr>
        <sz val="10"/>
        <rFont val="Vazirmatn"/>
        <family val="0"/>
        <charset val="1"/>
      </rPr>
      <t xml:space="preserve">40    " 1/2 1</t>
    </r>
  </si>
  <si>
    <t xml:space="preserve">4031306</t>
  </si>
  <si>
    <r>
      <rPr>
        <sz val="10"/>
        <rFont val="FreeSans"/>
        <family val="2"/>
      </rPr>
      <t xml:space="preserve">سه راهی استیل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1</t>
    </r>
  </si>
  <si>
    <t xml:space="preserve">31272784</t>
  </si>
  <si>
    <r>
      <rPr>
        <sz val="10"/>
        <rFont val="FreeSans"/>
        <family val="2"/>
      </rPr>
      <t xml:space="preserve">سه راهی گالوانیزه دنده ای </t>
    </r>
    <r>
      <rPr>
        <sz val="10"/>
        <rFont val="Vazirmatn"/>
        <family val="0"/>
        <charset val="1"/>
      </rPr>
      <t xml:space="preserve">"1/2</t>
    </r>
  </si>
  <si>
    <t xml:space="preserve">4031301</t>
  </si>
  <si>
    <r>
      <rPr>
        <sz val="10"/>
        <rFont val="FreeSans"/>
        <family val="2"/>
      </rPr>
      <t xml:space="preserve">سه راهی گالوانیزه دنده ای سایز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</si>
  <si>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31272785</t>
  </si>
  <si>
    <r>
      <rPr>
        <sz val="10"/>
        <rFont val="FreeSans"/>
        <family val="2"/>
      </rPr>
      <t xml:space="preserve">سه راهی گالوانیزه  </t>
    </r>
    <r>
      <rPr>
        <sz val="10"/>
        <rFont val="Vazirmatn"/>
        <family val="0"/>
        <charset val="1"/>
      </rPr>
      <t xml:space="preserve">"1</t>
    </r>
  </si>
  <si>
    <t xml:space="preserve">31272786</t>
  </si>
  <si>
    <r>
      <rPr>
        <sz val="10"/>
        <rFont val="FreeSans"/>
        <family val="2"/>
      </rPr>
      <t xml:space="preserve">سه راهی تبدیلی گالوانیزه  </t>
    </r>
    <r>
      <rPr>
        <sz val="10"/>
        <rFont val="Vazirmatn"/>
        <family val="0"/>
        <charset val="1"/>
      </rPr>
      <t xml:space="preserve">"3/4 * " 1</t>
    </r>
  </si>
  <si>
    <t xml:space="preserve">4029447</t>
  </si>
  <si>
    <r>
      <rPr>
        <sz val="10"/>
        <rFont val="FreeSans"/>
        <family val="2"/>
      </rPr>
      <t xml:space="preserve">سه راهی تبدیلی گالوانیزه سایز </t>
    </r>
    <r>
      <rPr>
        <sz val="10"/>
        <rFont val="Vazirmatn"/>
        <family val="0"/>
        <charset val="1"/>
      </rPr>
      <t xml:space="preserve">3/4*1 </t>
    </r>
    <r>
      <rPr>
        <sz val="10"/>
        <rFont val="FreeSans"/>
        <family val="2"/>
      </rPr>
      <t xml:space="preserve">اینچ</t>
    </r>
  </si>
  <si>
    <t xml:space="preserve">31272787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</si>
  <si>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1   CPVC</t>
    </r>
  </si>
  <si>
    <t xml:space="preserve">31272788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</si>
  <si>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3/4    U PVC</t>
    </r>
  </si>
  <si>
    <t xml:space="preserve">31272803</t>
  </si>
  <si>
    <r>
      <rPr>
        <sz val="10"/>
        <rFont val="FreeSans"/>
        <family val="2"/>
      </rPr>
      <t xml:space="preserve">چهار راهی  </t>
    </r>
    <r>
      <rPr>
        <sz val="10"/>
        <rFont val="Vazirmatn"/>
        <family val="0"/>
        <charset val="1"/>
      </rPr>
      <t xml:space="preserve">UPVC   " 3</t>
    </r>
  </si>
  <si>
    <t xml:space="preserve">31272806</t>
  </si>
  <si>
    <r>
      <rPr>
        <sz val="10"/>
        <rFont val="FreeSans"/>
        <family val="2"/>
      </rPr>
      <t xml:space="preserve">تبدیل آهنی مانیسمان رده </t>
    </r>
    <r>
      <rPr>
        <sz val="10"/>
        <rFont val="Vazirmatn"/>
        <family val="0"/>
        <charset val="1"/>
      </rPr>
      <t xml:space="preserve">40      "1/4 1 * " 2</t>
    </r>
  </si>
  <si>
    <t xml:space="preserve">4031151</t>
  </si>
  <si>
    <r>
      <rPr>
        <sz val="10"/>
        <rFont val="FreeSans"/>
        <family val="2"/>
      </rPr>
      <t xml:space="preserve">تبدیل هم مرکز 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1/4 1*2</t>
    </r>
  </si>
  <si>
    <t xml:space="preserve">31272807</t>
  </si>
  <si>
    <r>
      <rPr>
        <sz val="10"/>
        <rFont val="FreeSans"/>
        <family val="2"/>
      </rPr>
      <t xml:space="preserve">تبدیل آهنی مانیسمان رده </t>
    </r>
    <r>
      <rPr>
        <sz val="10"/>
        <rFont val="Vazirmatn"/>
        <family val="0"/>
        <charset val="1"/>
      </rPr>
      <t xml:space="preserve">40      "1/2 2 * " 3</t>
    </r>
  </si>
  <si>
    <t xml:space="preserve">4031146</t>
  </si>
  <si>
    <r>
      <rPr>
        <sz val="10"/>
        <rFont val="FreeSans"/>
        <family val="2"/>
      </rPr>
      <t xml:space="preserve">تبدیل هم مرکز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1/2 2 * 3</t>
    </r>
  </si>
  <si>
    <t xml:space="preserve">31272808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</si>
  <si>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</t>
    </r>
    <r>
      <rPr>
        <sz val="10"/>
        <rFont val="FreeSans"/>
        <family val="2"/>
      </rPr>
      <t xml:space="preserve">هم مرکز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* " 5</t>
    </r>
  </si>
  <si>
    <t xml:space="preserve">4031210</t>
  </si>
  <si>
    <r>
      <rPr>
        <sz val="10"/>
        <rFont val="FreeSans"/>
        <family val="2"/>
      </rPr>
      <t xml:space="preserve">تبدیل هم مرکز </t>
    </r>
    <r>
      <rPr>
        <sz val="10"/>
        <rFont val="Vazirmatn"/>
        <family val="0"/>
        <charset val="1"/>
      </rPr>
      <t xml:space="preserve">ss304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5*2"</t>
    </r>
  </si>
  <si>
    <t xml:space="preserve">31272809</t>
  </si>
  <si>
    <r>
      <rPr>
        <sz val="10"/>
        <rFont val="FreeSans"/>
        <family val="2"/>
      </rPr>
      <t xml:space="preserve">تبدیل برنجی رزوه دار </t>
    </r>
    <r>
      <rPr>
        <sz val="10"/>
        <rFont val="Vazirmatn"/>
        <family val="0"/>
        <charset val="1"/>
      </rPr>
      <t xml:space="preserve">"1/2 1 * 2</t>
    </r>
  </si>
  <si>
    <t xml:space="preserve">4046889</t>
  </si>
  <si>
    <r>
      <rPr>
        <sz val="10"/>
        <rFont val="FreeSans"/>
        <family val="2"/>
      </rPr>
      <t xml:space="preserve">تبدیل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برنجی</t>
    </r>
    <r>
      <rPr>
        <sz val="10"/>
        <rFont val="Vazirmatn"/>
        <family val="0"/>
        <charset val="1"/>
      </rPr>
      <t xml:space="preserve">-1in*1/2in</t>
    </r>
  </si>
  <si>
    <t xml:space="preserve">31272817</t>
  </si>
  <si>
    <r>
      <rPr>
        <sz val="10"/>
        <rFont val="FreeSans"/>
        <family val="2"/>
      </rPr>
      <t xml:space="preserve">تبدیل  </t>
    </r>
    <r>
      <rPr>
        <sz val="10"/>
        <rFont val="Vazirmatn"/>
        <family val="0"/>
        <charset val="1"/>
      </rPr>
      <t xml:space="preserve">"1/2 1 * " 2   UPVC</t>
    </r>
  </si>
  <si>
    <t xml:space="preserve">4031275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</si>
  <si>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1 * 2 </t>
    </r>
    <r>
      <rPr>
        <sz val="10"/>
        <rFont val="FreeSans"/>
        <family val="2"/>
      </rPr>
      <t xml:space="preserve">اینچ</t>
    </r>
  </si>
  <si>
    <t xml:space="preserve">31272818</t>
  </si>
  <si>
    <r>
      <rPr>
        <sz val="10"/>
        <rFont val="FreeSans"/>
        <family val="2"/>
      </rPr>
      <t xml:space="preserve">سه راهی تبدیلی   </t>
    </r>
    <r>
      <rPr>
        <sz val="10"/>
        <rFont val="Vazirmatn"/>
        <family val="0"/>
        <charset val="1"/>
      </rPr>
      <t xml:space="preserve">UPVC   "1.1/2  *  "1</t>
    </r>
  </si>
  <si>
    <t xml:space="preserve">31272820</t>
  </si>
  <si>
    <r>
      <rPr>
        <sz val="10"/>
        <rFont val="FreeSans"/>
        <family val="2"/>
      </rPr>
      <t xml:space="preserve">سه راهی تبدیلی استیل جوشی</t>
    </r>
    <r>
      <rPr>
        <sz val="10"/>
        <rFont val="Vazirmatn"/>
        <family val="0"/>
        <charset val="1"/>
      </rPr>
      <t xml:space="preserve">" 1/2 1 * " 1/4 1</t>
    </r>
  </si>
  <si>
    <t xml:space="preserve">31272824</t>
  </si>
  <si>
    <r>
      <rPr>
        <sz val="10"/>
        <rFont val="FreeSans"/>
        <family val="2"/>
      </rPr>
      <t xml:space="preserve">تبدیل  </t>
    </r>
    <r>
      <rPr>
        <sz val="10"/>
        <rFont val="Vazirmatn"/>
        <family val="0"/>
        <charset val="1"/>
      </rPr>
      <t xml:space="preserve">UPVC    1 1/2 " * "1</t>
    </r>
  </si>
  <si>
    <t xml:space="preserve">4029393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</si>
  <si>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1/4 1 * 1/2 1 </t>
    </r>
    <r>
      <rPr>
        <sz val="10"/>
        <rFont val="FreeSans"/>
        <family val="2"/>
      </rPr>
      <t xml:space="preserve">اینچ</t>
    </r>
  </si>
  <si>
    <t xml:space="preserve">31272825</t>
  </si>
  <si>
    <r>
      <rPr>
        <sz val="10"/>
        <rFont val="FreeSans"/>
        <family val="2"/>
      </rPr>
      <t xml:space="preserve">تبدیل  </t>
    </r>
    <r>
      <rPr>
        <sz val="10"/>
        <rFont val="Vazirmatn"/>
        <family val="0"/>
        <charset val="1"/>
      </rPr>
      <t xml:space="preserve">UPVC    1 1/4 " * "1</t>
    </r>
  </si>
  <si>
    <t xml:space="preserve">31272826</t>
  </si>
  <si>
    <r>
      <rPr>
        <sz val="10"/>
        <rFont val="FreeSans"/>
        <family val="2"/>
      </rPr>
      <t xml:space="preserve">تبدیل  </t>
    </r>
    <r>
      <rPr>
        <sz val="10"/>
        <rFont val="Vazirmatn"/>
        <family val="0"/>
        <charset val="1"/>
      </rPr>
      <t xml:space="preserve">" UPVC    1 " *  1/2</t>
    </r>
  </si>
  <si>
    <t xml:space="preserve">31272827</t>
  </si>
  <si>
    <r>
      <rPr>
        <sz val="10"/>
        <rFont val="FreeSans"/>
        <family val="2"/>
      </rPr>
      <t xml:space="preserve">روپیچ توپیچ برنجی  </t>
    </r>
    <r>
      <rPr>
        <sz val="10"/>
        <rFont val="Vazirmatn"/>
        <family val="0"/>
        <charset val="1"/>
      </rPr>
      <t xml:space="preserve">" 1/2 * " 1/4</t>
    </r>
  </si>
  <si>
    <t xml:space="preserve">4029757</t>
  </si>
  <si>
    <r>
      <rPr>
        <sz val="10"/>
        <rFont val="FreeSans"/>
        <family val="2"/>
      </rPr>
      <t xml:space="preserve">روپیچ توپیچ برنجی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</si>
  <si>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31272828</t>
  </si>
  <si>
    <r>
      <rPr>
        <sz val="10"/>
        <rFont val="FreeSans"/>
        <family val="2"/>
      </rPr>
      <t xml:space="preserve">روپیچ توپیچ برنجی  </t>
    </r>
    <r>
      <rPr>
        <sz val="10"/>
        <rFont val="Vazirmatn"/>
        <family val="0"/>
        <charset val="1"/>
      </rPr>
      <t xml:space="preserve">" 1/2 * " 1/8</t>
    </r>
  </si>
  <si>
    <t xml:space="preserve">31272830</t>
  </si>
  <si>
    <r>
      <rPr>
        <sz val="10"/>
        <rFont val="FreeSans"/>
        <family val="2"/>
      </rPr>
      <t xml:space="preserve">تبدیل  </t>
    </r>
    <r>
      <rPr>
        <sz val="10"/>
        <rFont val="Vazirmatn"/>
        <family val="0"/>
        <charset val="1"/>
      </rPr>
      <t xml:space="preserve">" 5 * " 4     UPVC</t>
    </r>
  </si>
  <si>
    <t xml:space="preserve">4029345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</si>
  <si>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4 * 5 </t>
    </r>
    <r>
      <rPr>
        <sz val="10"/>
        <rFont val="FreeSans"/>
        <family val="2"/>
      </rPr>
      <t xml:space="preserve">اینچ</t>
    </r>
  </si>
  <si>
    <t xml:space="preserve">31272831</t>
  </si>
  <si>
    <r>
      <rPr>
        <sz val="10"/>
        <rFont val="FreeSans"/>
        <family val="2"/>
      </rPr>
      <t xml:space="preserve">چهار راهی دنده ای گالوانیزه </t>
    </r>
    <r>
      <rPr>
        <sz val="10"/>
        <rFont val="Vazirmatn"/>
        <family val="0"/>
        <charset val="1"/>
      </rPr>
      <t xml:space="preserve">" 1/4 1</t>
    </r>
  </si>
  <si>
    <t xml:space="preserve">4030788</t>
  </si>
  <si>
    <r>
      <rPr>
        <sz val="10"/>
        <rFont val="FreeSans"/>
        <family val="2"/>
      </rPr>
      <t xml:space="preserve">چهار راهی گالوانیزه دنده ای سایز </t>
    </r>
    <r>
      <rPr>
        <sz val="10"/>
        <rFont val="Vazirmatn"/>
        <family val="0"/>
        <charset val="1"/>
      </rPr>
      <t xml:space="preserve">1/4 1</t>
    </r>
  </si>
  <si>
    <t xml:space="preserve">31272833</t>
  </si>
  <si>
    <r>
      <rPr>
        <sz val="10"/>
        <rFont val="FreeSans"/>
        <family val="2"/>
      </rPr>
      <t xml:space="preserve">سه راهی آهنی مانیسمان رده </t>
    </r>
    <r>
      <rPr>
        <sz val="10"/>
        <rFont val="Vazirmatn"/>
        <family val="0"/>
        <charset val="1"/>
      </rPr>
      <t xml:space="preserve">40  " 8</t>
    </r>
  </si>
  <si>
    <t xml:space="preserve">4029467</t>
  </si>
  <si>
    <r>
      <rPr>
        <sz val="10"/>
        <rFont val="FreeSans"/>
        <family val="2"/>
      </rPr>
      <t xml:space="preserve">سه راهی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اینچ</t>
    </r>
  </si>
  <si>
    <t xml:space="preserve">31272834</t>
  </si>
  <si>
    <r>
      <rPr>
        <sz val="10"/>
        <rFont val="FreeSans"/>
        <family val="2"/>
      </rPr>
      <t xml:space="preserve">تبدیل استیل دنده ای   </t>
    </r>
    <r>
      <rPr>
        <sz val="10"/>
        <rFont val="Vazirmatn"/>
        <family val="0"/>
        <charset val="1"/>
      </rPr>
      <t xml:space="preserve">" 1/2 1 * " 2</t>
    </r>
  </si>
  <si>
    <t xml:space="preserve">5012417</t>
  </si>
  <si>
    <r>
      <rPr>
        <sz val="10"/>
        <rFont val="FreeSans"/>
        <family val="2"/>
      </rPr>
      <t xml:space="preserve">تبدیل گالوانیزه دنده ای سایز </t>
    </r>
    <r>
      <rPr>
        <sz val="10"/>
        <rFont val="Vazirmatn"/>
        <family val="0"/>
        <charset val="1"/>
      </rPr>
      <t xml:space="preserve">1*1/2 2"</t>
    </r>
  </si>
  <si>
    <t xml:space="preserve">31272835</t>
  </si>
  <si>
    <r>
      <rPr>
        <sz val="10"/>
        <rFont val="FreeSans"/>
        <family val="2"/>
      </rPr>
      <t xml:space="preserve">سه راهی پلی اتیلن </t>
    </r>
    <r>
      <rPr>
        <sz val="10"/>
        <rFont val="Vazirmatn"/>
        <family val="0"/>
        <charset val="1"/>
      </rPr>
      <t xml:space="preserve">16mm</t>
    </r>
  </si>
  <si>
    <t xml:space="preserve">4031305</t>
  </si>
  <si>
    <r>
      <rPr>
        <sz val="10"/>
        <rFont val="FreeSans"/>
        <family val="2"/>
      </rPr>
      <t xml:space="preserve">سه راهی پلی اتیلن جوشی </t>
    </r>
    <r>
      <rPr>
        <sz val="10"/>
        <rFont val="Vazirmatn"/>
        <family val="0"/>
        <charset val="1"/>
      </rPr>
      <t xml:space="preserve">PN16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250</t>
    </r>
  </si>
  <si>
    <t xml:space="preserve">31272838</t>
  </si>
  <si>
    <r>
      <rPr>
        <sz val="10"/>
        <rFont val="FreeSans"/>
        <family val="2"/>
      </rPr>
      <t xml:space="preserve">سه راهی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"1/2 2</t>
    </r>
  </si>
  <si>
    <t xml:space="preserve">31272839</t>
  </si>
  <si>
    <r>
      <rPr>
        <sz val="10"/>
        <rFont val="FreeSans"/>
        <family val="2"/>
      </rPr>
      <t xml:space="preserve">سه راهی پرسی نیوپایپ </t>
    </r>
    <r>
      <rPr>
        <sz val="10"/>
        <rFont val="Vazirmatn"/>
        <family val="0"/>
        <charset val="1"/>
      </rPr>
      <t xml:space="preserve">16*16</t>
    </r>
  </si>
  <si>
    <t xml:space="preserve">4030383</t>
  </si>
  <si>
    <r>
      <rPr>
        <sz val="10"/>
        <rFont val="FreeSans"/>
        <family val="2"/>
      </rPr>
      <t xml:space="preserve">سه راهی پرسی نیو پایپ </t>
    </r>
    <r>
      <rPr>
        <sz val="10"/>
        <rFont val="Vazirmatn"/>
        <family val="0"/>
        <charset val="1"/>
      </rPr>
      <t xml:space="preserve">16</t>
    </r>
  </si>
  <si>
    <t xml:space="preserve">31272841</t>
  </si>
  <si>
    <r>
      <rPr>
        <sz val="10"/>
        <rFont val="FreeSans"/>
        <family val="2"/>
      </rPr>
      <t xml:space="preserve">چهار راهی دنده ای استیل </t>
    </r>
    <r>
      <rPr>
        <sz val="10"/>
        <rFont val="Vazirmatn"/>
        <family val="0"/>
        <charset val="1"/>
      </rPr>
      <t xml:space="preserve">" 1/4 1</t>
    </r>
  </si>
  <si>
    <t xml:space="preserve">31272842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</si>
  <si>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همرکز رده </t>
    </r>
    <r>
      <rPr>
        <sz val="10"/>
        <rFont val="Vazirmatn"/>
        <family val="0"/>
        <charset val="1"/>
      </rPr>
      <t xml:space="preserve">40  " 3  * " 2</t>
    </r>
  </si>
  <si>
    <t xml:space="preserve">4031218</t>
  </si>
  <si>
    <r>
      <rPr>
        <sz val="10"/>
        <rFont val="FreeSans"/>
        <family val="2"/>
      </rPr>
      <t xml:space="preserve">تبدیل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2 * 3</t>
    </r>
  </si>
  <si>
    <t xml:space="preserve">31272844</t>
  </si>
  <si>
    <r>
      <rPr>
        <sz val="10"/>
        <rFont val="FreeSans"/>
        <family val="2"/>
      </rPr>
      <t xml:space="preserve">تبدیل آهنی مانیسمان  رده </t>
    </r>
    <r>
      <rPr>
        <sz val="10"/>
        <rFont val="Vazirmatn"/>
        <family val="0"/>
        <charset val="1"/>
      </rPr>
      <t xml:space="preserve">40  " 1/2 1 * " 1/4 1</t>
    </r>
  </si>
  <si>
    <t xml:space="preserve">4031143</t>
  </si>
  <si>
    <r>
      <rPr>
        <sz val="10"/>
        <rFont val="FreeSans"/>
        <family val="2"/>
      </rPr>
      <t xml:space="preserve">تبدیل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1"* 1/2 1</t>
    </r>
  </si>
  <si>
    <t xml:space="preserve">31272845</t>
  </si>
  <si>
    <r>
      <rPr>
        <sz val="10"/>
        <rFont val="FreeSans"/>
        <family val="2"/>
      </rPr>
      <t xml:space="preserve">سه راهی پرسی نیوپایپ </t>
    </r>
    <r>
      <rPr>
        <sz val="10"/>
        <rFont val="Vazirmatn"/>
        <family val="0"/>
        <charset val="1"/>
      </rPr>
      <t xml:space="preserve">25*16*25</t>
    </r>
  </si>
  <si>
    <t xml:space="preserve">4029533</t>
  </si>
  <si>
    <r>
      <rPr>
        <sz val="10"/>
        <rFont val="FreeSans"/>
        <family val="2"/>
      </rPr>
      <t xml:space="preserve">سه راهی پرسی نیو پایپ </t>
    </r>
    <r>
      <rPr>
        <sz val="10"/>
        <rFont val="Vazirmatn"/>
        <family val="0"/>
        <charset val="1"/>
      </rPr>
      <t xml:space="preserve">25</t>
    </r>
  </si>
  <si>
    <t xml:space="preserve">31272846</t>
  </si>
  <si>
    <r>
      <rPr>
        <sz val="10"/>
        <rFont val="FreeSans"/>
        <family val="2"/>
      </rPr>
      <t xml:space="preserve">سه راهی پرسی نیوپایپ </t>
    </r>
    <r>
      <rPr>
        <sz val="10"/>
        <rFont val="Vazirmatn"/>
        <family val="0"/>
        <charset val="1"/>
      </rPr>
      <t xml:space="preserve">20*16*25</t>
    </r>
  </si>
  <si>
    <t xml:space="preserve">31272847</t>
  </si>
  <si>
    <r>
      <rPr>
        <sz val="10"/>
        <rFont val="FreeSans"/>
        <family val="2"/>
      </rPr>
      <t xml:space="preserve">سه راهی پرسی نیوپایپ </t>
    </r>
    <r>
      <rPr>
        <sz val="10"/>
        <rFont val="Vazirmatn"/>
        <family val="0"/>
        <charset val="1"/>
      </rPr>
      <t xml:space="preserve">20*16*20</t>
    </r>
  </si>
  <si>
    <t xml:space="preserve">4029534</t>
  </si>
  <si>
    <r>
      <rPr>
        <sz val="10"/>
        <rFont val="FreeSans"/>
        <family val="2"/>
      </rPr>
      <t xml:space="preserve">سه راهی پرسی نیو پایپ </t>
    </r>
    <r>
      <rPr>
        <sz val="10"/>
        <rFont val="Vazirmatn"/>
        <family val="0"/>
        <charset val="1"/>
      </rPr>
      <t xml:space="preserve">20</t>
    </r>
  </si>
  <si>
    <t xml:space="preserve">31272848</t>
  </si>
  <si>
    <r>
      <rPr>
        <sz val="10"/>
        <rFont val="FreeSans"/>
        <family val="2"/>
      </rPr>
      <t xml:space="preserve">سه راهی پرسی نیوپایپ </t>
    </r>
    <r>
      <rPr>
        <sz val="10"/>
        <rFont val="Vazirmatn"/>
        <family val="0"/>
        <charset val="1"/>
      </rPr>
      <t xml:space="preserve">16*16*20</t>
    </r>
  </si>
  <si>
    <t xml:space="preserve">31272854</t>
  </si>
  <si>
    <r>
      <rPr>
        <sz val="10"/>
        <rFont val="FreeSans"/>
        <family val="2"/>
      </rPr>
      <t xml:space="preserve">سه راهی پرسی نیوپایپ </t>
    </r>
    <r>
      <rPr>
        <sz val="10"/>
        <rFont val="Vazirmatn"/>
        <family val="0"/>
        <charset val="1"/>
      </rPr>
      <t xml:space="preserve">16*1/2*16</t>
    </r>
  </si>
  <si>
    <t xml:space="preserve">31272855</t>
  </si>
  <si>
    <r>
      <rPr>
        <sz val="10"/>
        <rFont val="FreeSans"/>
        <family val="2"/>
      </rPr>
      <t xml:space="preserve">سه راهی آهنی مانیسمان رده </t>
    </r>
    <r>
      <rPr>
        <sz val="10"/>
        <rFont val="Vazirmatn"/>
        <family val="0"/>
        <charset val="1"/>
      </rPr>
      <t xml:space="preserve">40  " 3/4</t>
    </r>
  </si>
  <si>
    <t xml:space="preserve">4031292</t>
  </si>
  <si>
    <r>
      <rPr>
        <sz val="10"/>
        <rFont val="FreeSans"/>
        <family val="2"/>
      </rPr>
      <t xml:space="preserve">سه راهی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</si>
  <si>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31272856</t>
  </si>
  <si>
    <r>
      <rPr>
        <sz val="10"/>
        <rFont val="FreeSans"/>
        <family val="2"/>
      </rPr>
      <t xml:space="preserve">تبدیل همرکز  </t>
    </r>
    <r>
      <rPr>
        <sz val="10"/>
        <rFont val="Vazirmatn"/>
        <family val="0"/>
        <charset val="1"/>
      </rPr>
      <t xml:space="preserve">" 4 * " 3   UPVC</t>
    </r>
  </si>
  <si>
    <t xml:space="preserve">4029349</t>
  </si>
  <si>
    <r>
      <rPr>
        <sz val="10"/>
        <rFont val="FreeSans"/>
        <family val="2"/>
      </rPr>
      <t xml:space="preserve">تبدیل چسبی </t>
    </r>
    <r>
      <rPr>
        <sz val="10"/>
        <rFont val="Vazirmatn"/>
        <family val="0"/>
        <charset val="1"/>
      </rPr>
      <t xml:space="preserve">PN16 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 * 4 </t>
    </r>
    <r>
      <rPr>
        <sz val="10"/>
        <rFont val="FreeSans"/>
        <family val="2"/>
      </rPr>
      <t xml:space="preserve">اینچ</t>
    </r>
  </si>
  <si>
    <t xml:space="preserve">31272858</t>
  </si>
  <si>
    <r>
      <rPr>
        <sz val="10"/>
        <rFont val="FreeSans"/>
        <family val="2"/>
      </rPr>
      <t xml:space="preserve">روپیچ توپیچ گالوانیزه  </t>
    </r>
    <r>
      <rPr>
        <sz val="10"/>
        <rFont val="Vazirmatn"/>
        <family val="0"/>
        <charset val="1"/>
      </rPr>
      <t xml:space="preserve">" 3Cm )  1/2 )</t>
    </r>
  </si>
  <si>
    <t xml:space="preserve">4029735</t>
  </si>
  <si>
    <r>
      <rPr>
        <sz val="10"/>
        <rFont val="FreeSans"/>
        <family val="2"/>
      </rPr>
      <t xml:space="preserve">روپیچ توپیچ گالوانیزه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</si>
  <si>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31272859</t>
  </si>
  <si>
    <r>
      <rPr>
        <sz val="10"/>
        <rFont val="FreeSans"/>
        <family val="2"/>
      </rPr>
      <t xml:space="preserve">روپیچ توپیچ گالوانیزه  </t>
    </r>
    <r>
      <rPr>
        <sz val="10"/>
        <rFont val="Vazirmatn"/>
        <family val="0"/>
        <charset val="1"/>
      </rPr>
      <t xml:space="preserve">" 5Cm )  1/2 )</t>
    </r>
  </si>
  <si>
    <t xml:space="preserve">31272860</t>
  </si>
  <si>
    <r>
      <rPr>
        <sz val="10"/>
        <rFont val="FreeSans"/>
        <family val="2"/>
      </rPr>
      <t xml:space="preserve">روپیچ توپیچ گالوانیزه  </t>
    </r>
    <r>
      <rPr>
        <sz val="10"/>
        <rFont val="Vazirmatn"/>
        <family val="0"/>
        <charset val="1"/>
      </rPr>
      <t xml:space="preserve">" 3Cm )  3/4 )</t>
    </r>
  </si>
  <si>
    <t xml:space="preserve">4030376</t>
  </si>
  <si>
    <r>
      <rPr>
        <sz val="10"/>
        <rFont val="FreeSans"/>
        <family val="2"/>
      </rPr>
      <t xml:space="preserve">روپیچ توپیچ گالوانیزه 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</si>
  <si>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31272862</t>
  </si>
  <si>
    <r>
      <rPr>
        <sz val="10"/>
        <rFont val="FreeSans"/>
        <family val="2"/>
      </rPr>
      <t xml:space="preserve">روپیچ توپیچ گالوانیزه  </t>
    </r>
    <r>
      <rPr>
        <sz val="10"/>
        <rFont val="Vazirmatn"/>
        <family val="0"/>
        <charset val="1"/>
      </rPr>
      <t xml:space="preserve">" 5Cm )  3/4 )</t>
    </r>
  </si>
  <si>
    <t xml:space="preserve">31272863</t>
  </si>
  <si>
    <r>
      <rPr>
        <sz val="10"/>
        <rFont val="FreeSans"/>
        <family val="2"/>
      </rPr>
      <t xml:space="preserve">تبدیل همرکز  </t>
    </r>
    <r>
      <rPr>
        <sz val="10"/>
        <rFont val="Vazirmatn"/>
        <family val="0"/>
        <charset val="1"/>
      </rPr>
      <t xml:space="preserve">" 1/2 2 * " 1   UPVC</t>
    </r>
  </si>
  <si>
    <t xml:space="preserve">31273005</t>
  </si>
  <si>
    <r>
      <rPr>
        <sz val="10"/>
        <rFont val="FreeSans"/>
        <family val="2"/>
      </rPr>
      <t xml:space="preserve">فلنج آهنی گلودار                </t>
    </r>
    <r>
      <rPr>
        <sz val="10"/>
        <rFont val="Vazirmatn"/>
        <family val="0"/>
        <charset val="1"/>
      </rPr>
      <t xml:space="preserve">" 3/4</t>
    </r>
  </si>
  <si>
    <t xml:space="preserve">4029064</t>
  </si>
  <si>
    <r>
      <rPr>
        <sz val="10"/>
        <rFont val="FreeSans"/>
        <family val="2"/>
      </rPr>
      <t xml:space="preserve">فلنچ گلودار کربن </t>
    </r>
    <r>
      <rPr>
        <sz val="10"/>
        <rFont val="Vazirmatn"/>
        <family val="0"/>
        <charset val="1"/>
      </rPr>
      <t xml:space="preserve">PN 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</si>
  <si>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31273007</t>
  </si>
  <si>
    <r>
      <rPr>
        <sz val="10"/>
        <rFont val="FreeSans"/>
        <family val="2"/>
      </rPr>
      <t xml:space="preserve">فلنج آهنی گلودار     </t>
    </r>
    <r>
      <rPr>
        <sz val="10"/>
        <rFont val="Vazirmatn"/>
        <family val="0"/>
        <charset val="1"/>
      </rPr>
      <t xml:space="preserve">"1/4 1</t>
    </r>
  </si>
  <si>
    <t xml:space="preserve">4030943</t>
  </si>
  <si>
    <r>
      <rPr>
        <sz val="10"/>
        <rFont val="FreeSans"/>
        <family val="2"/>
      </rPr>
      <t xml:space="preserve">فلنچ گلودار کربن </t>
    </r>
    <r>
      <rPr>
        <sz val="10"/>
        <rFont val="Vazirmatn"/>
        <family val="0"/>
        <charset val="1"/>
      </rPr>
      <t xml:space="preserve">PN 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1/4 1</t>
    </r>
  </si>
  <si>
    <t xml:space="preserve">31273013</t>
  </si>
  <si>
    <r>
      <rPr>
        <sz val="10"/>
        <rFont val="FreeSans"/>
        <family val="2"/>
      </rPr>
      <t xml:space="preserve">فلنج آهنی گلودار                  </t>
    </r>
    <r>
      <rPr>
        <sz val="10"/>
        <rFont val="Vazirmatn"/>
        <family val="0"/>
        <charset val="1"/>
      </rPr>
      <t xml:space="preserve">"1</t>
    </r>
  </si>
  <si>
    <t xml:space="preserve">4029063</t>
  </si>
  <si>
    <r>
      <rPr>
        <sz val="10"/>
        <rFont val="FreeSans"/>
        <family val="2"/>
      </rPr>
      <t xml:space="preserve">فلنچ گلودار جوشی </t>
    </r>
    <r>
      <rPr>
        <sz val="10"/>
        <rFont val="Vazirmatn"/>
        <family val="0"/>
        <charset val="1"/>
      </rPr>
      <t xml:space="preserve">PN 40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</si>
  <si>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31273026</t>
  </si>
  <si>
    <r>
      <rPr>
        <sz val="10"/>
        <rFont val="FreeSans"/>
        <family val="2"/>
      </rPr>
      <t xml:space="preserve">فلنج  آهنی گلودار            </t>
    </r>
    <r>
      <rPr>
        <sz val="10"/>
        <rFont val="Vazirmatn"/>
        <family val="0"/>
        <charset val="1"/>
      </rPr>
      <t xml:space="preserve">" 1/2</t>
    </r>
  </si>
  <si>
    <t xml:space="preserve">4029050</t>
  </si>
  <si>
    <r>
      <rPr>
        <sz val="10"/>
        <rFont val="FreeSans"/>
        <family val="2"/>
      </rPr>
      <t xml:space="preserve">فلنچ گلودار کربن </t>
    </r>
    <r>
      <rPr>
        <sz val="10"/>
        <rFont val="Vazirmatn"/>
        <family val="0"/>
        <charset val="1"/>
      </rPr>
      <t xml:space="preserve">PN 25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</si>
  <si>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31273033</t>
  </si>
  <si>
    <r>
      <rPr>
        <sz val="10"/>
        <rFont val="FreeSans"/>
        <family val="2"/>
      </rPr>
      <t xml:space="preserve">فلنج استیل تخت </t>
    </r>
    <r>
      <rPr>
        <sz val="10"/>
        <rFont val="Vazirmatn"/>
        <family val="0"/>
        <charset val="1"/>
      </rPr>
      <t xml:space="preserve">304      "1/2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  *</t>
    </r>
  </si>
  <si>
    <t xml:space="preserve">4030988</t>
  </si>
  <si>
    <r>
      <rPr>
        <sz val="10"/>
        <rFont val="FreeSans"/>
        <family val="2"/>
      </rPr>
      <t xml:space="preserve">فلنچ تخت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جوشی </t>
    </r>
    <r>
      <rPr>
        <sz val="10"/>
        <rFont val="Vazirmatn"/>
        <family val="0"/>
        <charset val="1"/>
      </rPr>
      <t xml:space="preserve">PN 10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1</t>
    </r>
  </si>
  <si>
    <t xml:space="preserve">31273035</t>
  </si>
  <si>
    <r>
      <rPr>
        <sz val="10"/>
        <rFont val="FreeSans"/>
        <family val="2"/>
      </rPr>
      <t xml:space="preserve">فلنج آهنی جوشی گلودار  </t>
    </r>
    <r>
      <rPr>
        <sz val="10"/>
        <rFont val="Vazirmatn"/>
        <family val="0"/>
        <charset val="1"/>
      </rPr>
      <t xml:space="preserve">"1/2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2</t>
    </r>
  </si>
  <si>
    <t xml:space="preserve">4030946</t>
  </si>
  <si>
    <r>
      <rPr>
        <sz val="10"/>
        <rFont val="FreeSans"/>
        <family val="2"/>
      </rPr>
      <t xml:space="preserve">فلنچ گلودار جوشی کربن </t>
    </r>
    <r>
      <rPr>
        <sz val="10"/>
        <rFont val="Vazirmatn"/>
        <family val="0"/>
        <charset val="1"/>
      </rPr>
      <t xml:space="preserve">PN 25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2</t>
    </r>
  </si>
  <si>
    <t xml:space="preserve">31273040</t>
  </si>
  <si>
    <r>
      <rPr>
        <sz val="10"/>
        <rFont val="FreeSans"/>
        <family val="2"/>
      </rPr>
      <t xml:space="preserve">فلنج آهنی گلودار </t>
    </r>
    <r>
      <rPr>
        <sz val="10"/>
        <rFont val="Vazirmatn"/>
        <family val="0"/>
        <charset val="1"/>
      </rPr>
      <t xml:space="preserve">"8</t>
    </r>
  </si>
  <si>
    <t xml:space="preserve">4029046</t>
  </si>
  <si>
    <r>
      <rPr>
        <sz val="10"/>
        <rFont val="FreeSans"/>
        <family val="2"/>
      </rPr>
      <t xml:space="preserve">فلنچ گلودار کربن </t>
    </r>
    <r>
      <rPr>
        <sz val="10"/>
        <rFont val="Vazirmatn"/>
        <family val="0"/>
        <charset val="1"/>
      </rPr>
      <t xml:space="preserve">PN 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اینچ</t>
    </r>
  </si>
  <si>
    <t xml:space="preserve">31273055</t>
  </si>
  <si>
    <r>
      <rPr>
        <sz val="10"/>
        <rFont val="FreeSans"/>
        <family val="2"/>
      </rPr>
      <t xml:space="preserve">فلنج آهنی گلودار                 </t>
    </r>
    <r>
      <rPr>
        <sz val="10"/>
        <rFont val="Vazirmatn"/>
        <family val="0"/>
        <charset val="1"/>
      </rPr>
      <t xml:space="preserve">" 8</t>
    </r>
  </si>
  <si>
    <t xml:space="preserve">31273060</t>
  </si>
  <si>
    <r>
      <rPr>
        <sz val="10"/>
        <rFont val="FreeSans"/>
        <family val="2"/>
      </rPr>
      <t xml:space="preserve">فلنج آهنی گلودار                 </t>
    </r>
    <r>
      <rPr>
        <sz val="10"/>
        <rFont val="Vazirmatn"/>
        <family val="0"/>
        <charset val="1"/>
      </rPr>
      <t xml:space="preserve">"10</t>
    </r>
  </si>
  <si>
    <t xml:space="preserve">4029047</t>
  </si>
  <si>
    <r>
      <rPr>
        <sz val="10"/>
        <rFont val="FreeSans"/>
        <family val="2"/>
      </rPr>
      <t xml:space="preserve">فلنچ گلودار کربن </t>
    </r>
    <r>
      <rPr>
        <sz val="10"/>
        <rFont val="Vazirmatn"/>
        <family val="0"/>
        <charset val="1"/>
      </rPr>
      <t xml:space="preserve">PN 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اینچ</t>
    </r>
  </si>
  <si>
    <t xml:space="preserve">31273063</t>
  </si>
  <si>
    <r>
      <rPr>
        <sz val="10"/>
        <rFont val="FreeSans"/>
        <family val="2"/>
      </rPr>
      <t xml:space="preserve">فلنج آهنی گلودار                 </t>
    </r>
    <r>
      <rPr>
        <sz val="10"/>
        <rFont val="Vazirmatn"/>
        <family val="0"/>
        <charset val="1"/>
      </rPr>
      <t xml:space="preserve">"12</t>
    </r>
  </si>
  <si>
    <t xml:space="preserve">4029054</t>
  </si>
  <si>
    <r>
      <rPr>
        <sz val="10"/>
        <rFont val="FreeSans"/>
        <family val="2"/>
      </rPr>
      <t xml:space="preserve">فلنچ گلودار کربن </t>
    </r>
    <r>
      <rPr>
        <sz val="10"/>
        <rFont val="Vazirmatn"/>
        <family val="0"/>
        <charset val="1"/>
      </rPr>
      <t xml:space="preserve">PN 25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اینچ</t>
    </r>
  </si>
  <si>
    <t xml:space="preserve">31273067</t>
  </si>
  <si>
    <r>
      <rPr>
        <sz val="10"/>
        <rFont val="FreeSans"/>
        <family val="2"/>
      </rPr>
      <t xml:space="preserve">فلنج آهنی گلودار                 </t>
    </r>
    <r>
      <rPr>
        <sz val="10"/>
        <rFont val="Vazirmatn"/>
        <family val="0"/>
        <charset val="1"/>
      </rPr>
      <t xml:space="preserve">" 14</t>
    </r>
  </si>
  <si>
    <t xml:space="preserve">4029057</t>
  </si>
  <si>
    <r>
      <rPr>
        <sz val="10"/>
        <rFont val="FreeSans"/>
        <family val="2"/>
      </rPr>
      <t xml:space="preserve">فلنچ گلودار کربن </t>
    </r>
    <r>
      <rPr>
        <sz val="10"/>
        <rFont val="Vazirmatn"/>
        <family val="0"/>
        <charset val="1"/>
      </rPr>
      <t xml:space="preserve">PN 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14 </t>
    </r>
    <r>
      <rPr>
        <sz val="10"/>
        <rFont val="FreeSans"/>
        <family val="2"/>
      </rPr>
      <t xml:space="preserve">اینچ</t>
    </r>
  </si>
  <si>
    <t xml:space="preserve">31273077</t>
  </si>
  <si>
    <r>
      <rPr>
        <sz val="10"/>
        <rFont val="FreeSans"/>
        <family val="2"/>
      </rPr>
      <t xml:space="preserve">فلنچ آهنی تخت                </t>
    </r>
    <r>
      <rPr>
        <sz val="10"/>
        <rFont val="Vazirmatn"/>
        <family val="0"/>
        <charset val="1"/>
      </rPr>
      <t xml:space="preserve">" 3/4</t>
    </r>
  </si>
  <si>
    <t xml:space="preserve">4029079</t>
  </si>
  <si>
    <r>
      <rPr>
        <sz val="10"/>
        <rFont val="FreeSans"/>
        <family val="2"/>
      </rPr>
      <t xml:space="preserve">فلنچ تخت کربن </t>
    </r>
    <r>
      <rPr>
        <sz val="10"/>
        <rFont val="Vazirmatn"/>
        <family val="0"/>
        <charset val="1"/>
      </rPr>
      <t xml:space="preserve">PN 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</si>
  <si>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31273100</t>
  </si>
  <si>
    <r>
      <rPr>
        <sz val="10"/>
        <rFont val="FreeSans"/>
        <family val="2"/>
      </rPr>
      <t xml:space="preserve">فلنج استیل گلودار  </t>
    </r>
    <r>
      <rPr>
        <sz val="10"/>
        <rFont val="Vazirmatn"/>
        <family val="0"/>
        <charset val="1"/>
      </rPr>
      <t xml:space="preserve">"  1/4 1</t>
    </r>
  </si>
  <si>
    <t xml:space="preserve">4030955</t>
  </si>
  <si>
    <r>
      <rPr>
        <sz val="10"/>
        <rFont val="FreeSans"/>
        <family val="2"/>
      </rPr>
      <t xml:space="preserve">فلنچ گلودار استیل</t>
    </r>
    <r>
      <rPr>
        <sz val="10"/>
        <rFont val="Vazirmatn"/>
        <family val="0"/>
        <charset val="1"/>
      </rPr>
      <t xml:space="preserve">304</t>
    </r>
    <r>
      <rPr>
        <sz val="10"/>
        <rFont val="FreeSans"/>
        <family val="2"/>
      </rPr>
      <t xml:space="preserve">جوشی </t>
    </r>
    <r>
      <rPr>
        <sz val="10"/>
        <rFont val="Vazirmatn"/>
        <family val="0"/>
        <charset val="1"/>
      </rPr>
      <t xml:space="preserve">PN 20 </t>
    </r>
    <r>
      <rPr>
        <sz val="10"/>
        <rFont val="FreeSans"/>
        <family val="2"/>
      </rPr>
      <t xml:space="preserve">سایز</t>
    </r>
    <r>
      <rPr>
        <sz val="10"/>
        <rFont val="Vazirmatn"/>
        <family val="0"/>
        <charset val="1"/>
      </rPr>
      <t xml:space="preserve">1/4 1</t>
    </r>
  </si>
  <si>
    <t xml:space="preserve">31273103</t>
  </si>
  <si>
    <r>
      <rPr>
        <sz val="10"/>
        <rFont val="FreeSans"/>
        <family val="2"/>
      </rPr>
      <t xml:space="preserve">فلنج استیل گلودار </t>
    </r>
    <r>
      <rPr>
        <sz val="10"/>
        <rFont val="Vazirmatn"/>
        <family val="0"/>
        <charset val="1"/>
      </rPr>
      <t xml:space="preserve">" 1/2 1</t>
    </r>
  </si>
  <si>
    <t xml:space="preserve">4030973</t>
  </si>
  <si>
    <r>
      <rPr>
        <sz val="10"/>
        <rFont val="FreeSans"/>
        <family val="2"/>
      </rPr>
      <t xml:space="preserve">فلنچ گلودار استیل</t>
    </r>
    <r>
      <rPr>
        <sz val="10"/>
        <rFont val="Vazirmatn"/>
        <family val="0"/>
        <charset val="1"/>
      </rPr>
      <t xml:space="preserve">316</t>
    </r>
    <r>
      <rPr>
        <sz val="10"/>
        <rFont val="FreeSans"/>
        <family val="2"/>
      </rPr>
      <t xml:space="preserve">جوشی </t>
    </r>
    <r>
      <rPr>
        <sz val="10"/>
        <rFont val="Vazirmatn"/>
        <family val="0"/>
        <charset val="1"/>
      </rPr>
      <t xml:space="preserve">PN 16 </t>
    </r>
    <r>
      <rPr>
        <sz val="10"/>
        <rFont val="FreeSans"/>
        <family val="2"/>
      </rPr>
      <t xml:space="preserve">سایز</t>
    </r>
    <r>
      <rPr>
        <sz val="10"/>
        <rFont val="Vazirmatn"/>
        <family val="0"/>
        <charset val="1"/>
      </rPr>
      <t xml:space="preserve">1/2 1</t>
    </r>
  </si>
  <si>
    <t xml:space="preserve">31273106</t>
  </si>
  <si>
    <r>
      <rPr>
        <sz val="10"/>
        <rFont val="FreeSans"/>
        <family val="2"/>
      </rPr>
      <t xml:space="preserve">فلنج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گلودار  </t>
    </r>
    <r>
      <rPr>
        <sz val="10"/>
        <rFont val="Vazirmatn"/>
        <family val="0"/>
        <charset val="1"/>
      </rPr>
      <t xml:space="preserve">" 3</t>
    </r>
  </si>
  <si>
    <t xml:space="preserve">4030969</t>
  </si>
  <si>
    <r>
      <rPr>
        <sz val="10"/>
        <rFont val="FreeSans"/>
        <family val="2"/>
      </rPr>
      <t xml:space="preserve">فلنچ گلودار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جوشی </t>
    </r>
    <r>
      <rPr>
        <sz val="10"/>
        <rFont val="Vazirmatn"/>
        <family val="0"/>
        <charset val="1"/>
      </rPr>
      <t xml:space="preserve">PN 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</t>
    </r>
  </si>
  <si>
    <t xml:space="preserve">31273121</t>
  </si>
  <si>
    <r>
      <rPr>
        <sz val="10"/>
        <rFont val="FreeSans"/>
        <family val="2"/>
      </rPr>
      <t xml:space="preserve">فلنج استیل گلودار                </t>
    </r>
    <r>
      <rPr>
        <sz val="10"/>
        <rFont val="Vazirmatn"/>
        <family val="0"/>
        <charset val="1"/>
      </rPr>
      <t xml:space="preserve">" 1</t>
    </r>
  </si>
  <si>
    <t xml:space="preserve">31273145</t>
  </si>
  <si>
    <r>
      <rPr>
        <sz val="10"/>
        <rFont val="FreeSans"/>
        <family val="2"/>
      </rPr>
      <t xml:space="preserve">فلنج استیل کور          </t>
    </r>
    <r>
      <rPr>
        <sz val="10"/>
        <rFont val="Vazirmatn"/>
        <family val="0"/>
        <charset val="1"/>
      </rPr>
      <t xml:space="preserve">"8</t>
    </r>
  </si>
  <si>
    <t xml:space="preserve">4029157</t>
  </si>
  <si>
    <r>
      <rPr>
        <sz val="10"/>
        <rFont val="FreeSans"/>
        <family val="2"/>
      </rPr>
      <t xml:space="preserve">فلنچ کور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اینچ</t>
    </r>
  </si>
  <si>
    <t xml:space="preserve">31273158</t>
  </si>
  <si>
    <r>
      <rPr>
        <sz val="10"/>
        <rFont val="FreeSans"/>
        <family val="2"/>
      </rPr>
      <t xml:space="preserve">فلنج استیل کور    </t>
    </r>
    <r>
      <rPr>
        <sz val="10"/>
        <rFont val="Vazirmatn"/>
        <family val="0"/>
        <charset val="1"/>
      </rPr>
      <t xml:space="preserve">"1</t>
    </r>
  </si>
  <si>
    <t xml:space="preserve">4031035</t>
  </si>
  <si>
    <r>
      <rPr>
        <sz val="10"/>
        <rFont val="FreeSans"/>
        <family val="2"/>
      </rPr>
      <t xml:space="preserve">فلنچ کور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جوشی کلاس </t>
    </r>
    <r>
      <rPr>
        <sz val="10"/>
        <rFont val="Vazirmatn"/>
        <family val="0"/>
        <charset val="1"/>
      </rPr>
      <t xml:space="preserve">150 1"</t>
    </r>
  </si>
  <si>
    <t xml:space="preserve">31273160</t>
  </si>
  <si>
    <r>
      <rPr>
        <sz val="10"/>
        <rFont val="FreeSans"/>
        <family val="2"/>
      </rPr>
      <t xml:space="preserve">فلنج استیل کور    </t>
    </r>
    <r>
      <rPr>
        <sz val="10"/>
        <rFont val="Vazirmatn"/>
        <family val="0"/>
        <charset val="1"/>
      </rPr>
      <t xml:space="preserve">"2</t>
    </r>
  </si>
  <si>
    <t xml:space="preserve">4031034</t>
  </si>
  <si>
    <r>
      <rPr>
        <sz val="10"/>
        <rFont val="FreeSans"/>
        <family val="2"/>
      </rPr>
      <t xml:space="preserve">فلنچ کور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جوشی </t>
    </r>
    <r>
      <rPr>
        <sz val="10"/>
        <rFont val="Vazirmatn"/>
        <family val="0"/>
        <charset val="1"/>
      </rPr>
      <t xml:space="preserve">PN 16 </t>
    </r>
    <r>
      <rPr>
        <sz val="10"/>
        <rFont val="FreeSans"/>
        <family val="2"/>
      </rPr>
      <t xml:space="preserve">سایز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</si>
  <si>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31273162</t>
  </si>
  <si>
    <r>
      <rPr>
        <sz val="10"/>
        <rFont val="FreeSans"/>
        <family val="2"/>
      </rPr>
      <t xml:space="preserve">فلنج الکتروموتور موتوژن چدنی  </t>
    </r>
    <r>
      <rPr>
        <sz val="10"/>
        <rFont val="Vazirmatn"/>
        <family val="0"/>
        <charset val="1"/>
      </rPr>
      <t xml:space="preserve">3KW 1500RPM</t>
    </r>
  </si>
  <si>
    <t xml:space="preserve">31273163</t>
  </si>
  <si>
    <r>
      <rPr>
        <sz val="10"/>
        <rFont val="FreeSans"/>
        <family val="2"/>
      </rPr>
      <t xml:space="preserve">فلنج الکتروموتور آلومینیومی  </t>
    </r>
    <r>
      <rPr>
        <sz val="10"/>
        <rFont val="Vazirmatn"/>
        <family val="0"/>
        <charset val="1"/>
      </rPr>
      <t xml:space="preserve">3KW 1500RPM</t>
    </r>
  </si>
  <si>
    <t xml:space="preserve">31273231</t>
  </si>
  <si>
    <r>
      <rPr>
        <sz val="10"/>
        <rFont val="FreeSans"/>
        <family val="2"/>
      </rPr>
      <t xml:space="preserve">فلنج  تخت </t>
    </r>
    <r>
      <rPr>
        <sz val="10"/>
        <rFont val="Vazirmatn"/>
        <family val="0"/>
        <charset val="1"/>
      </rPr>
      <t xml:space="preserve">UPVC    "1</t>
    </r>
  </si>
  <si>
    <t xml:space="preserve">31273232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</si>
  <si>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upvc   "3</t>
    </r>
  </si>
  <si>
    <t xml:space="preserve">4025826</t>
  </si>
  <si>
    <r>
      <rPr>
        <sz val="10"/>
        <rFont val="FreeSans"/>
        <family val="2"/>
      </rPr>
      <t xml:space="preserve">فلنچ </t>
    </r>
    <r>
      <rPr>
        <sz val="10"/>
        <rFont val="Vazirmatn"/>
        <family val="0"/>
        <charset val="1"/>
      </rPr>
      <t xml:space="preserve">PN10 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</si>
  <si>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31273233</t>
  </si>
  <si>
    <r>
      <rPr>
        <sz val="10"/>
        <rFont val="FreeSans"/>
        <family val="2"/>
      </rPr>
      <t xml:space="preserve">فلنج تخت </t>
    </r>
    <r>
      <rPr>
        <sz val="10"/>
        <rFont val="Vazirmatn"/>
        <family val="0"/>
        <charset val="1"/>
      </rPr>
      <t xml:space="preserve">UPVC      "2</t>
    </r>
  </si>
  <si>
    <t xml:space="preserve">4029159</t>
  </si>
  <si>
    <r>
      <rPr>
        <sz val="10"/>
        <rFont val="FreeSans"/>
        <family val="2"/>
      </rPr>
      <t xml:space="preserve">فلنچ کور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</si>
  <si>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31273234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</si>
  <si>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     UPVC</t>
    </r>
  </si>
  <si>
    <t xml:space="preserve">4029183</t>
  </si>
  <si>
    <r>
      <rPr>
        <sz val="10"/>
        <rFont val="FreeSans"/>
        <family val="2"/>
      </rPr>
      <t xml:space="preserve">فلنچ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</si>
  <si>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31273271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</si>
  <si>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"4 (FLANGE CPVC	DN 100 )</t>
    </r>
  </si>
  <si>
    <t xml:space="preserve">4029154</t>
  </si>
  <si>
    <r>
      <rPr>
        <sz val="10"/>
        <rFont val="FreeSans"/>
        <family val="2"/>
      </rPr>
      <t xml:space="preserve">فلنچ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</si>
  <si>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31273273</t>
  </si>
  <si>
    <r>
      <rPr>
        <sz val="10"/>
        <rFont val="FreeSans"/>
        <family val="2"/>
      </rPr>
      <t xml:space="preserve">فلنج  </t>
    </r>
    <r>
      <rPr>
        <sz val="10"/>
        <rFont val="Vazirmatn"/>
        <family val="0"/>
        <charset val="1"/>
      </rPr>
      <t xml:space="preserve">" C PVC          1/4, 1</t>
    </r>
  </si>
  <si>
    <t xml:space="preserve">4030980</t>
  </si>
  <si>
    <r>
      <rPr>
        <sz val="10"/>
        <rFont val="FreeSans"/>
        <family val="2"/>
      </rPr>
      <t xml:space="preserve">فلنچ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1/4 1 </t>
    </r>
    <r>
      <rPr>
        <sz val="10"/>
        <rFont val="FreeSans"/>
        <family val="2"/>
      </rPr>
      <t xml:space="preserve">اینچ</t>
    </r>
  </si>
  <si>
    <t xml:space="preserve">31273274</t>
  </si>
  <si>
    <r>
      <rPr>
        <sz val="10"/>
        <rFont val="FreeSans"/>
        <family val="2"/>
      </rPr>
      <t xml:space="preserve">فلنج  </t>
    </r>
    <r>
      <rPr>
        <sz val="10"/>
        <rFont val="Vazirmatn"/>
        <family val="0"/>
        <charset val="1"/>
      </rPr>
      <t xml:space="preserve">" C PVC          1/2, 1</t>
    </r>
  </si>
  <si>
    <t xml:space="preserve">4029182</t>
  </si>
  <si>
    <r>
      <rPr>
        <sz val="10"/>
        <rFont val="FreeSans"/>
        <family val="2"/>
      </rPr>
      <t xml:space="preserve">فلنچ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</si>
  <si>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31273275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</si>
  <si>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"2 (FLANGE CPVC	DN 50 )</t>
    </r>
  </si>
  <si>
    <t xml:space="preserve">4029152</t>
  </si>
  <si>
    <r>
      <rPr>
        <sz val="10"/>
        <rFont val="FreeSans"/>
        <family val="2"/>
      </rPr>
      <t xml:space="preserve">فلنچ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</si>
  <si>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31273401</t>
  </si>
  <si>
    <r>
      <rPr>
        <sz val="10"/>
        <rFont val="FreeSans"/>
        <family val="2"/>
      </rPr>
      <t xml:space="preserve">تبدیل آهنی مانیسمان  رده </t>
    </r>
    <r>
      <rPr>
        <sz val="10"/>
        <rFont val="Vazirmatn"/>
        <family val="0"/>
        <charset val="1"/>
      </rPr>
      <t xml:space="preserve">40     " 3/4 *  "1</t>
    </r>
  </si>
  <si>
    <t xml:space="preserve">4031156</t>
  </si>
  <si>
    <r>
      <rPr>
        <sz val="10"/>
        <rFont val="FreeSans"/>
        <family val="2"/>
      </rPr>
      <t xml:space="preserve">تبدیل هم مرکز کربن رده </t>
    </r>
    <r>
      <rPr>
        <sz val="10"/>
        <rFont val="Vazirmatn"/>
        <family val="0"/>
        <charset val="1"/>
      </rPr>
      <t xml:space="preserve">40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3/4*1</t>
    </r>
  </si>
  <si>
    <t xml:space="preserve">31273403</t>
  </si>
  <si>
    <r>
      <rPr>
        <sz val="10"/>
        <rFont val="FreeSans"/>
        <family val="2"/>
      </rPr>
      <t xml:space="preserve">تبدیل گالوانیزه  </t>
    </r>
    <r>
      <rPr>
        <sz val="10"/>
        <rFont val="Vazirmatn"/>
        <family val="0"/>
        <charset val="1"/>
      </rPr>
      <t xml:space="preserve">" 1 * " 2</t>
    </r>
  </si>
  <si>
    <t xml:space="preserve">31273408</t>
  </si>
  <si>
    <r>
      <rPr>
        <sz val="10"/>
        <rFont val="FreeSans"/>
        <family val="2"/>
      </rPr>
      <t xml:space="preserve">تبدیل آهنی مانیسمان   </t>
    </r>
    <r>
      <rPr>
        <sz val="10"/>
        <rFont val="Vazirmatn"/>
        <family val="0"/>
        <charset val="1"/>
      </rPr>
      <t xml:space="preserve">" 10 * " 12</t>
    </r>
  </si>
  <si>
    <t xml:space="preserve">4031252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</si>
  <si>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8 * 12</t>
    </r>
  </si>
  <si>
    <t xml:space="preserve">31273409</t>
  </si>
  <si>
    <r>
      <rPr>
        <sz val="10"/>
        <rFont val="FreeSans"/>
        <family val="2"/>
      </rPr>
      <t xml:space="preserve">تبدیل جوشی  مانسمان </t>
    </r>
    <r>
      <rPr>
        <sz val="10"/>
        <rFont val="Vazirmatn"/>
        <family val="0"/>
        <charset val="1"/>
      </rPr>
      <t xml:space="preserve">"1/2*"1</t>
    </r>
  </si>
  <si>
    <t xml:space="preserve">4031215</t>
  </si>
  <si>
    <r>
      <rPr>
        <sz val="10"/>
        <rFont val="FreeSans"/>
        <family val="2"/>
      </rPr>
      <t xml:space="preserve">تبدیل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مانسمان </t>
    </r>
    <r>
      <rPr>
        <sz val="10"/>
        <rFont val="Vazirmatn"/>
        <family val="0"/>
        <charset val="1"/>
      </rPr>
      <t xml:space="preserve">1/2 1 * 2</t>
    </r>
  </si>
  <si>
    <t xml:space="preserve">31273412</t>
  </si>
  <si>
    <r>
      <rPr>
        <sz val="10"/>
        <rFont val="FreeSans"/>
        <family val="2"/>
      </rPr>
      <t xml:space="preserve">تبدیل گالوانیزه  دنده ای          </t>
    </r>
    <r>
      <rPr>
        <sz val="10"/>
        <rFont val="Vazirmatn"/>
        <family val="0"/>
        <charset val="1"/>
      </rPr>
      <t xml:space="preserve">" 1 * " 1/2</t>
    </r>
  </si>
  <si>
    <t xml:space="preserve">4032599</t>
  </si>
  <si>
    <r>
      <rPr>
        <sz val="10"/>
        <rFont val="FreeSans"/>
        <family val="2"/>
      </rPr>
      <t xml:space="preserve">تبدیل گالوانیزه دنده ای سایز </t>
    </r>
    <r>
      <rPr>
        <sz val="10"/>
        <rFont val="Vazirmatn"/>
        <family val="0"/>
        <charset val="1"/>
      </rPr>
      <t xml:space="preserve">1*1/2  </t>
    </r>
    <r>
      <rPr>
        <sz val="10"/>
        <rFont val="FreeSans"/>
        <family val="2"/>
      </rPr>
      <t xml:space="preserve">اینچ</t>
    </r>
  </si>
  <si>
    <t xml:space="preserve">31273413</t>
  </si>
  <si>
    <r>
      <rPr>
        <sz val="10"/>
        <rFont val="FreeSans"/>
        <family val="2"/>
      </rPr>
      <t xml:space="preserve">تبدیل گالوانیزه  دنده ای          </t>
    </r>
    <r>
      <rPr>
        <sz val="10"/>
        <rFont val="Vazirmatn"/>
        <family val="0"/>
        <charset val="1"/>
      </rPr>
      <t xml:space="preserve">" 3/4 * " 1</t>
    </r>
  </si>
  <si>
    <t xml:space="preserve">4031201</t>
  </si>
  <si>
    <r>
      <rPr>
        <sz val="10"/>
        <rFont val="FreeSans"/>
        <family val="2"/>
      </rPr>
      <t xml:space="preserve">تبدیل گالوانیزه دنده ای سایز </t>
    </r>
    <r>
      <rPr>
        <sz val="10"/>
        <rFont val="Vazirmatn"/>
        <family val="0"/>
        <charset val="1"/>
      </rPr>
      <t xml:space="preserve">3/4 *1/2 1</t>
    </r>
  </si>
  <si>
    <t xml:space="preserve">31273433</t>
  </si>
  <si>
    <r>
      <rPr>
        <sz val="10"/>
        <rFont val="FreeSans"/>
        <family val="2"/>
      </rPr>
      <t xml:space="preserve">تبدیل آهنی مانیسمان رده </t>
    </r>
    <r>
      <rPr>
        <sz val="10"/>
        <rFont val="Vazirmatn"/>
        <family val="0"/>
        <charset val="1"/>
      </rPr>
      <t xml:space="preserve">40 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2</t>
    </r>
  </si>
  <si>
    <t xml:space="preserve">4031145</t>
  </si>
  <si>
    <r>
      <rPr>
        <sz val="10"/>
        <rFont val="FreeSans"/>
        <family val="2"/>
      </rPr>
      <t xml:space="preserve">تبدیل هم مرکز 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</t>
    </r>
    <r>
      <rPr>
        <sz val="10"/>
        <rFont val="Vazirmatn"/>
        <family val="0"/>
        <charset val="1"/>
      </rPr>
      <t xml:space="preserve">1/2 1 * 2</t>
    </r>
  </si>
  <si>
    <t xml:space="preserve">31273448</t>
  </si>
  <si>
    <r>
      <rPr>
        <sz val="10"/>
        <rFont val="FreeSans"/>
        <family val="2"/>
      </rPr>
      <t xml:space="preserve">تبدیل جوشی </t>
    </r>
    <r>
      <rPr>
        <sz val="10"/>
        <rFont val="Vazirmatn"/>
        <family val="0"/>
        <charset val="1"/>
      </rPr>
      <t xml:space="preserve">1/2*1</t>
    </r>
    <r>
      <rPr>
        <sz val="10"/>
        <rFont val="FreeSans"/>
        <family val="2"/>
      </rPr>
      <t xml:space="preserve">اینچ</t>
    </r>
  </si>
  <si>
    <t xml:space="preserve">4031277</t>
  </si>
  <si>
    <r>
      <rPr>
        <sz val="10"/>
        <rFont val="FreeSans"/>
        <family val="2"/>
      </rPr>
      <t xml:space="preserve">تبدیل جوشی رده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درزدار  </t>
    </r>
    <r>
      <rPr>
        <sz val="10"/>
        <rFont val="Vazirmatn"/>
        <family val="0"/>
        <charset val="1"/>
      </rPr>
      <t xml:space="preserve">1/2 1*1/2 2</t>
    </r>
  </si>
  <si>
    <t xml:space="preserve">31273450</t>
  </si>
  <si>
    <r>
      <rPr>
        <sz val="10"/>
        <rFont val="FreeSans"/>
        <family val="2"/>
      </rPr>
      <t xml:space="preserve">تبدیل جوشی مانیسمان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1</t>
    </r>
  </si>
  <si>
    <t xml:space="preserve">4031226</t>
  </si>
  <si>
    <r>
      <rPr>
        <sz val="10"/>
        <rFont val="FreeSans"/>
        <family val="2"/>
      </rPr>
      <t xml:space="preserve">تبدیل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1*1/2 1</t>
    </r>
  </si>
  <si>
    <t xml:space="preserve">31273462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</si>
  <si>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"6 * "8</t>
    </r>
  </si>
  <si>
    <t xml:space="preserve">4031161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</si>
  <si>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s.s 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6*8"</t>
    </r>
  </si>
  <si>
    <t xml:space="preserve">31273468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</si>
  <si>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304 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   " 1 * " 2</t>
    </r>
  </si>
  <si>
    <t xml:space="preserve">4031228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</si>
  <si>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1/2 1 * 1/2 2</t>
    </r>
  </si>
  <si>
    <t xml:space="preserve">31273476</t>
  </si>
  <si>
    <r>
      <rPr>
        <sz val="10"/>
        <rFont val="FreeSans"/>
        <family val="2"/>
      </rPr>
      <t xml:space="preserve">تبدیل استیل دنده ای    </t>
    </r>
    <r>
      <rPr>
        <sz val="10"/>
        <rFont val="Vazirmatn"/>
        <family val="0"/>
        <charset val="1"/>
      </rPr>
      <t xml:space="preserve">" 1 *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</si>
  <si>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31273488</t>
  </si>
  <si>
    <r>
      <rPr>
        <sz val="10"/>
        <rFont val="FreeSans"/>
        <family val="2"/>
      </rPr>
      <t xml:space="preserve">تبدیل جوشی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     " 2 * " 4</t>
    </r>
  </si>
  <si>
    <t xml:space="preserve">4031236</t>
  </si>
  <si>
    <r>
      <rPr>
        <sz val="10"/>
        <rFont val="FreeSans"/>
        <family val="2"/>
      </rPr>
      <t xml:space="preserve">تبدیل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2 * 4</t>
    </r>
  </si>
  <si>
    <t xml:space="preserve">31273489</t>
  </si>
  <si>
    <r>
      <rPr>
        <sz val="10"/>
        <rFont val="FreeSans"/>
        <family val="2"/>
      </rPr>
      <t xml:space="preserve">تبدیل استیل جوشی مانیسمان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3</t>
    </r>
  </si>
  <si>
    <t xml:space="preserve">4031244</t>
  </si>
  <si>
    <r>
      <rPr>
        <sz val="10"/>
        <rFont val="FreeSans"/>
        <family val="2"/>
      </rPr>
      <t xml:space="preserve">تبدیل جوشی </t>
    </r>
    <r>
      <rPr>
        <sz val="10"/>
        <rFont val="Vazirmatn"/>
        <family val="0"/>
        <charset val="1"/>
      </rPr>
      <t xml:space="preserve">304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1/2 1 * 3</t>
    </r>
  </si>
  <si>
    <t xml:space="preserve">31273496</t>
  </si>
  <si>
    <r>
      <rPr>
        <sz val="10"/>
        <rFont val="FreeSans"/>
        <family val="2"/>
      </rPr>
      <t xml:space="preserve">تبدیل جوشی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           " 3 * " 4</t>
    </r>
  </si>
  <si>
    <t xml:space="preserve">4031237</t>
  </si>
  <si>
    <r>
      <rPr>
        <sz val="10"/>
        <rFont val="FreeSans"/>
        <family val="2"/>
      </rPr>
      <t xml:space="preserve">تبدیل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3 * 4</t>
    </r>
  </si>
  <si>
    <t xml:space="preserve">31273499</t>
  </si>
  <si>
    <r>
      <rPr>
        <sz val="10"/>
        <rFont val="FreeSans"/>
        <family val="2"/>
      </rPr>
      <t xml:space="preserve">تبدیل استیل جوشی              </t>
    </r>
    <r>
      <rPr>
        <sz val="10"/>
        <rFont val="Vazirmatn"/>
        <family val="0"/>
        <charset val="1"/>
      </rPr>
      <t xml:space="preserve">" 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 * " 4</t>
    </r>
  </si>
  <si>
    <t xml:space="preserve">4031270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</si>
  <si>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1/2 1*4</t>
    </r>
    <r>
      <rPr>
        <sz val="10"/>
        <rFont val="FreeSans"/>
        <family val="2"/>
      </rPr>
      <t xml:space="preserve">اینچ</t>
    </r>
  </si>
  <si>
    <t xml:space="preserve">31273513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</si>
  <si>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 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</si>
  <si>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4031233</t>
  </si>
  <si>
    <r>
      <rPr>
        <sz val="10"/>
        <rFont val="FreeSans"/>
        <family val="2"/>
      </rPr>
      <t xml:space="preserve">تبدیل 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مانیمان  </t>
    </r>
    <r>
      <rPr>
        <sz val="10"/>
        <rFont val="Vazirmatn"/>
        <family val="0"/>
        <charset val="1"/>
      </rPr>
      <t xml:space="preserve">1/4 1 * 1/2 1</t>
    </r>
  </si>
  <si>
    <t xml:space="preserve">31273522</t>
  </si>
  <si>
    <r>
      <rPr>
        <sz val="10"/>
        <rFont val="FreeSans"/>
        <family val="2"/>
      </rPr>
      <t xml:space="preserve">تبدیل استیل جوشی مانیسمان رده </t>
    </r>
    <r>
      <rPr>
        <sz val="10"/>
        <rFont val="Vazirmatn"/>
        <family val="0"/>
        <charset val="1"/>
      </rPr>
      <t xml:space="preserve">10   " 1 * 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</si>
  <si>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31273523</t>
  </si>
  <si>
    <r>
      <rPr>
        <sz val="10"/>
        <rFont val="FreeSans"/>
        <family val="2"/>
      </rPr>
      <t xml:space="preserve">تبدیل استیل مانیسمان رده </t>
    </r>
    <r>
      <rPr>
        <sz val="10"/>
        <rFont val="Vazirmatn"/>
        <family val="0"/>
        <charset val="1"/>
      </rPr>
      <t xml:space="preserve">10  " 3/4 * " 2</t>
    </r>
  </si>
  <si>
    <t xml:space="preserve">4031223</t>
  </si>
  <si>
    <r>
      <rPr>
        <sz val="10"/>
        <rFont val="FreeSans"/>
        <family val="2"/>
      </rPr>
      <t xml:space="preserve">تبدیل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3/4 * 2</t>
    </r>
  </si>
  <si>
    <t xml:space="preserve">31273524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</si>
  <si>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</t>
    </r>
  </si>
  <si>
    <t xml:space="preserve">4031227</t>
  </si>
  <si>
    <r>
      <rPr>
        <sz val="10"/>
        <rFont val="FreeSans"/>
        <family val="2"/>
      </rPr>
      <t xml:space="preserve">تبدیل 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1*1/2 2</t>
    </r>
  </si>
  <si>
    <t xml:space="preserve">31273526</t>
  </si>
  <si>
    <r>
      <rPr>
        <sz val="10"/>
        <rFont val="FreeSans"/>
        <family val="2"/>
      </rPr>
      <t xml:space="preserve">تبدیل استیل مانیسمان رده </t>
    </r>
    <r>
      <rPr>
        <sz val="10"/>
        <rFont val="Vazirmatn"/>
        <family val="0"/>
        <charset val="1"/>
      </rPr>
      <t xml:space="preserve">10  " 1/2 1 * " 2</t>
    </r>
  </si>
  <si>
    <t xml:space="preserve">31273528</t>
  </si>
  <si>
    <r>
      <rPr>
        <sz val="10"/>
        <rFont val="FreeSans"/>
        <family val="2"/>
      </rPr>
      <t xml:space="preserve">تبدیل استیل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  " 1/2 * "1</t>
    </r>
  </si>
  <si>
    <t xml:space="preserve">31273542</t>
  </si>
  <si>
    <r>
      <rPr>
        <sz val="10"/>
        <rFont val="FreeSans"/>
        <family val="2"/>
      </rPr>
      <t xml:space="preserve">تبدیل آهنی مانیسمان همرکز رده </t>
    </r>
    <r>
      <rPr>
        <sz val="10"/>
        <rFont val="Vazirmatn"/>
        <family val="0"/>
        <charset val="1"/>
      </rPr>
      <t xml:space="preserve">40  " 2 * " 3</t>
    </r>
  </si>
  <si>
    <t xml:space="preserve">31273543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</si>
  <si>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همرکز رده </t>
    </r>
    <r>
      <rPr>
        <sz val="10"/>
        <rFont val="Vazirmatn"/>
        <family val="0"/>
        <charset val="1"/>
      </rPr>
      <t xml:space="preserve">40  " 1/2 1 * " 2</t>
    </r>
  </si>
  <si>
    <t xml:space="preserve">31273545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</si>
  <si>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همرکز رده </t>
    </r>
    <r>
      <rPr>
        <sz val="10"/>
        <rFont val="Vazirmatn"/>
        <family val="0"/>
        <charset val="1"/>
      </rPr>
      <t xml:space="preserve">40  " 1/2 2 * " 2</t>
    </r>
  </si>
  <si>
    <t xml:space="preserve">4031152</t>
  </si>
  <si>
    <r>
      <rPr>
        <sz val="10"/>
        <rFont val="FreeSans"/>
        <family val="2"/>
      </rPr>
      <t xml:space="preserve">تبدیل هم مرکز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2*1/2 2</t>
    </r>
  </si>
  <si>
    <t xml:space="preserve">31273592</t>
  </si>
  <si>
    <r>
      <rPr>
        <sz val="10"/>
        <rFont val="FreeSans"/>
        <family val="2"/>
      </rPr>
      <t xml:space="preserve">تبدیل استیل جوشی   </t>
    </r>
    <r>
      <rPr>
        <sz val="10"/>
        <rFont val="Vazirmatn"/>
        <family val="0"/>
        <charset val="1"/>
      </rPr>
      <t xml:space="preserve">"2 * " 1/2</t>
    </r>
  </si>
  <si>
    <t xml:space="preserve">4032601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</si>
  <si>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1/2 2* </t>
    </r>
    <r>
      <rPr>
        <sz val="10"/>
        <rFont val="FreeSans"/>
        <family val="2"/>
      </rPr>
      <t xml:space="preserve">اینچ</t>
    </r>
  </si>
  <si>
    <t xml:space="preserve">31273597</t>
  </si>
  <si>
    <r>
      <rPr>
        <sz val="10"/>
        <rFont val="FreeSans"/>
        <family val="2"/>
      </rPr>
      <t xml:space="preserve">تبدیل استیل دنده ای </t>
    </r>
    <r>
      <rPr>
        <sz val="10"/>
        <rFont val="Vazirmatn"/>
        <family val="0"/>
        <charset val="1"/>
      </rPr>
      <t xml:space="preserve">"1/2 2 * "1/4 1</t>
    </r>
  </si>
  <si>
    <t xml:space="preserve">4031198</t>
  </si>
  <si>
    <r>
      <rPr>
        <sz val="10"/>
        <rFont val="FreeSans"/>
        <family val="2"/>
      </rPr>
      <t xml:space="preserve">تبدیل گالوانیزه دنده ای  </t>
    </r>
    <r>
      <rPr>
        <sz val="10"/>
        <rFont val="Vazirmatn"/>
        <family val="0"/>
        <charset val="1"/>
      </rPr>
      <t xml:space="preserve">1/4 1 *1/2 2</t>
    </r>
  </si>
  <si>
    <t xml:space="preserve">31273612</t>
  </si>
  <si>
    <r>
      <rPr>
        <sz val="10"/>
        <rFont val="FreeSans"/>
        <family val="2"/>
      </rPr>
      <t xml:space="preserve">تبدیل استیل جوشی غیر هم مرکز </t>
    </r>
    <r>
      <rPr>
        <sz val="10"/>
        <rFont val="Vazirmatn"/>
        <family val="0"/>
        <charset val="1"/>
      </rPr>
      <t xml:space="preserve">" 4 * " 5</t>
    </r>
  </si>
  <si>
    <t xml:space="preserve">4031167</t>
  </si>
  <si>
    <r>
      <rPr>
        <sz val="10"/>
        <rFont val="FreeSans"/>
        <family val="2"/>
      </rPr>
      <t xml:space="preserve">تبدیل غیر هم مرکز استیل 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5*4"</t>
    </r>
  </si>
  <si>
    <t xml:space="preserve">31273615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</si>
  <si>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همرکز رده </t>
    </r>
    <r>
      <rPr>
        <sz val="10"/>
        <rFont val="Vazirmatn"/>
        <family val="0"/>
        <charset val="1"/>
      </rPr>
      <t xml:space="preserve">40  " 4  * " 6</t>
    </r>
  </si>
  <si>
    <t xml:space="preserve">4031159</t>
  </si>
  <si>
    <r>
      <rPr>
        <sz val="10"/>
        <rFont val="FreeSans"/>
        <family val="2"/>
      </rPr>
      <t xml:space="preserve">تبدیل هم مرکز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6*4"</t>
    </r>
  </si>
  <si>
    <t xml:space="preserve">31273617</t>
  </si>
  <si>
    <r>
      <rPr>
        <sz val="10"/>
        <rFont val="FreeSans"/>
        <family val="2"/>
      </rPr>
      <t xml:space="preserve">تبدیل آذین    </t>
    </r>
    <r>
      <rPr>
        <sz val="10"/>
        <rFont val="Vazirmatn"/>
        <family val="0"/>
        <charset val="1"/>
      </rPr>
      <t xml:space="preserve">" 1/2 1 * " 1/4 1</t>
    </r>
  </si>
  <si>
    <t xml:space="preserve">31273626</t>
  </si>
  <si>
    <r>
      <rPr>
        <sz val="10"/>
        <rFont val="FreeSans"/>
        <family val="2"/>
      </rPr>
      <t xml:space="preserve">تبدیل آذین  </t>
    </r>
    <r>
      <rPr>
        <sz val="10"/>
        <rFont val="Vazirmatn"/>
        <family val="0"/>
        <charset val="1"/>
      </rPr>
      <t xml:space="preserve">" 1/2 1 * " 2</t>
    </r>
  </si>
  <si>
    <t xml:space="preserve">4055099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</si>
  <si>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به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، </t>
    </r>
    <r>
      <rPr>
        <sz val="10"/>
        <rFont val="Vazirmatn"/>
        <family val="0"/>
        <charset val="1"/>
      </rPr>
      <t xml:space="preserve">1/2-2</t>
    </r>
  </si>
  <si>
    <t xml:space="preserve">31273633</t>
  </si>
  <si>
    <r>
      <rPr>
        <sz val="10"/>
        <rFont val="FreeSans"/>
        <family val="2"/>
      </rPr>
      <t xml:space="preserve">تبدیل دنده ای </t>
    </r>
    <r>
      <rPr>
        <sz val="10"/>
        <rFont val="Vazirmatn"/>
        <family val="0"/>
        <charset val="1"/>
      </rPr>
      <t xml:space="preserve">" 3/4 * " 1/2  UPVC</t>
    </r>
  </si>
  <si>
    <t xml:space="preserve">4031266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</si>
  <si>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1/2 * 3/4</t>
    </r>
  </si>
  <si>
    <t xml:space="preserve">31273634</t>
  </si>
  <si>
    <r>
      <rPr>
        <sz val="10"/>
        <rFont val="FreeSans"/>
        <family val="2"/>
      </rPr>
      <t xml:space="preserve">تبدیل دنده ای </t>
    </r>
    <r>
      <rPr>
        <sz val="10"/>
        <rFont val="Vazirmatn"/>
        <family val="0"/>
        <charset val="1"/>
      </rPr>
      <t xml:space="preserve">" 1 * " 1/2  UPVC</t>
    </r>
  </si>
  <si>
    <t xml:space="preserve">4029360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</si>
  <si>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یکسر دنده سایز </t>
    </r>
    <r>
      <rPr>
        <sz val="10"/>
        <rFont val="Vazirmatn"/>
        <family val="0"/>
        <charset val="1"/>
      </rPr>
      <t xml:space="preserve">1/2 * 1 </t>
    </r>
    <r>
      <rPr>
        <sz val="10"/>
        <rFont val="FreeSans"/>
        <family val="2"/>
      </rPr>
      <t xml:space="preserve">اینچ</t>
    </r>
  </si>
  <si>
    <t xml:space="preserve">31273635</t>
  </si>
  <si>
    <r>
      <rPr>
        <sz val="10"/>
        <rFont val="FreeSans"/>
        <family val="2"/>
      </rPr>
      <t xml:space="preserve">تبدیل دنده ای </t>
    </r>
    <r>
      <rPr>
        <sz val="10"/>
        <rFont val="Vazirmatn"/>
        <family val="0"/>
        <charset val="1"/>
      </rPr>
      <t xml:space="preserve">" 3/4 * " 1  UPVC</t>
    </r>
  </si>
  <si>
    <t xml:space="preserve">4029361</t>
  </si>
  <si>
    <r>
      <rPr>
        <sz val="10"/>
        <rFont val="FreeSans"/>
        <family val="2"/>
      </rPr>
      <t xml:space="preserve">تبدیل دو سر دنده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3/4 * 1 </t>
    </r>
    <r>
      <rPr>
        <sz val="10"/>
        <rFont val="FreeSans"/>
        <family val="2"/>
      </rPr>
      <t xml:space="preserve">اینچ</t>
    </r>
  </si>
  <si>
    <t xml:space="preserve">31273636</t>
  </si>
  <si>
    <r>
      <rPr>
        <sz val="10"/>
        <rFont val="FreeSans"/>
        <family val="2"/>
      </rPr>
      <t xml:space="preserve">تبدیل دنده ای </t>
    </r>
    <r>
      <rPr>
        <sz val="10"/>
        <rFont val="Vazirmatn"/>
        <family val="0"/>
        <charset val="1"/>
      </rPr>
      <t xml:space="preserve">" 3/8 * " 1/2  UPVC</t>
    </r>
  </si>
  <si>
    <t xml:space="preserve">4030700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</si>
  <si>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دنده ای سایز </t>
    </r>
    <r>
      <rPr>
        <sz val="10"/>
        <rFont val="Vazirmatn"/>
        <family val="0"/>
        <charset val="1"/>
      </rPr>
      <t xml:space="preserve">3/8*1/2</t>
    </r>
    <r>
      <rPr>
        <sz val="10"/>
        <rFont val="FreeSans"/>
        <family val="2"/>
      </rPr>
      <t xml:space="preserve">اینچ</t>
    </r>
  </si>
  <si>
    <t xml:space="preserve">31273641</t>
  </si>
  <si>
    <r>
      <rPr>
        <sz val="10"/>
        <rFont val="FreeSans"/>
        <family val="2"/>
      </rPr>
      <t xml:space="preserve">تبدیل  </t>
    </r>
    <r>
      <rPr>
        <sz val="10"/>
        <rFont val="Vazirmatn"/>
        <family val="0"/>
        <charset val="1"/>
      </rPr>
      <t xml:space="preserve">UPVC    "2*"1</t>
    </r>
  </si>
  <si>
    <t xml:space="preserve">31273643</t>
  </si>
  <si>
    <r>
      <rPr>
        <sz val="10"/>
        <rFont val="FreeSans"/>
        <family val="2"/>
      </rPr>
      <t xml:space="preserve">تبدیل چسبی     </t>
    </r>
    <r>
      <rPr>
        <sz val="10"/>
        <rFont val="Vazirmatn"/>
        <family val="0"/>
        <charset val="1"/>
      </rPr>
      <t xml:space="preserve">Upvc    "4 * "3</t>
    </r>
  </si>
  <si>
    <t xml:space="preserve">31273646</t>
  </si>
  <si>
    <r>
      <rPr>
        <sz val="10"/>
        <rFont val="FreeSans"/>
        <family val="2"/>
      </rPr>
      <t xml:space="preserve">تبدیل     </t>
    </r>
    <r>
      <rPr>
        <sz val="10"/>
        <rFont val="Vazirmatn"/>
        <family val="0"/>
        <charset val="1"/>
      </rPr>
      <t xml:space="preserve">Upvc    "3 * "2 1/2</t>
    </r>
  </si>
  <si>
    <t xml:space="preserve">4029355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</si>
  <si>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2 * 3 </t>
    </r>
    <r>
      <rPr>
        <sz val="10"/>
        <rFont val="FreeSans"/>
        <family val="2"/>
      </rPr>
      <t xml:space="preserve">اینچ</t>
    </r>
  </si>
  <si>
    <t xml:space="preserve">31273648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</si>
  <si>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رابط </t>
    </r>
    <r>
      <rPr>
        <sz val="10"/>
        <rFont val="Vazirmatn"/>
        <family val="0"/>
        <charset val="1"/>
      </rPr>
      <t xml:space="preserve">) "  1 * " 1/2 1 CPVC</t>
    </r>
  </si>
  <si>
    <t xml:space="preserve">4029365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</si>
  <si>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* 1 </t>
    </r>
    <r>
      <rPr>
        <sz val="10"/>
        <rFont val="FreeSans"/>
        <family val="2"/>
      </rPr>
      <t xml:space="preserve">اینچ</t>
    </r>
  </si>
  <si>
    <t xml:space="preserve">31273649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</si>
  <si>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رابط </t>
    </r>
    <r>
      <rPr>
        <sz val="10"/>
        <rFont val="Vazirmatn"/>
        <family val="0"/>
        <charset val="1"/>
      </rPr>
      <t xml:space="preserve">) "  1/4 1 * " 1/2 1 CPVC</t>
    </r>
  </si>
  <si>
    <t xml:space="preserve">4029367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</si>
  <si>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1/4 1 * 1/2 1 </t>
    </r>
    <r>
      <rPr>
        <sz val="10"/>
        <rFont val="FreeSans"/>
        <family val="2"/>
      </rPr>
      <t xml:space="preserve">اینچ</t>
    </r>
  </si>
  <si>
    <t xml:space="preserve">31273650</t>
  </si>
  <si>
    <r>
      <rPr>
        <sz val="10"/>
        <rFont val="FreeSans"/>
        <family val="2"/>
      </rPr>
      <t xml:space="preserve">توپیچ روپیچ گالوانیزه </t>
    </r>
    <r>
      <rPr>
        <sz val="10"/>
        <rFont val="Vazirmatn"/>
        <family val="0"/>
        <charset val="1"/>
      </rPr>
      <t xml:space="preserve">1/2</t>
    </r>
  </si>
  <si>
    <t xml:space="preserve">31273652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</si>
  <si>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" 3/4 * " 1      C PVC</t>
    </r>
  </si>
  <si>
    <t xml:space="preserve">4029364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</si>
  <si>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3/4 * 1 </t>
    </r>
    <r>
      <rPr>
        <sz val="10"/>
        <rFont val="FreeSans"/>
        <family val="2"/>
      </rPr>
      <t xml:space="preserve">اینچ</t>
    </r>
  </si>
  <si>
    <t xml:space="preserve">31273653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</si>
  <si>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" 2 * 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     C PVC</t>
    </r>
  </si>
  <si>
    <t xml:space="preserve">4029353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</si>
  <si>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1/4 1 * 2 </t>
    </r>
    <r>
      <rPr>
        <sz val="10"/>
        <rFont val="FreeSans"/>
        <family val="2"/>
      </rPr>
      <t xml:space="preserve">اینچ</t>
    </r>
  </si>
  <si>
    <t xml:space="preserve">31273654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</si>
  <si>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1* " 2      C PVC</t>
    </r>
  </si>
  <si>
    <t xml:space="preserve">4029366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</si>
  <si>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1 * 2 </t>
    </r>
    <r>
      <rPr>
        <sz val="10"/>
        <rFont val="FreeSans"/>
        <family val="2"/>
      </rPr>
      <t xml:space="preserve">اینچ</t>
    </r>
  </si>
  <si>
    <t xml:space="preserve">31273655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</si>
  <si>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" 2 *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     C PVC</t>
    </r>
  </si>
  <si>
    <t xml:space="preserve">4029354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</si>
  <si>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* 1/2 2 </t>
    </r>
    <r>
      <rPr>
        <sz val="10"/>
        <rFont val="FreeSans"/>
        <family val="2"/>
      </rPr>
      <t xml:space="preserve">اینچ</t>
    </r>
  </si>
  <si>
    <t xml:space="preserve">31273669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</si>
  <si>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" 1 *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     C PVC</t>
    </r>
  </si>
  <si>
    <t xml:space="preserve">31273673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</si>
  <si>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" 4 * " 5     C PVC</t>
    </r>
  </si>
  <si>
    <t xml:space="preserve">4029373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</si>
  <si>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4 * 5 </t>
    </r>
    <r>
      <rPr>
        <sz val="10"/>
        <rFont val="FreeSans"/>
        <family val="2"/>
      </rPr>
      <t xml:space="preserve">اینچ</t>
    </r>
  </si>
  <si>
    <t xml:space="preserve">31273674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</si>
  <si>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" 5 * " 6     C PVC</t>
    </r>
  </si>
  <si>
    <t xml:space="preserve">4029374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</si>
  <si>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6 * 5 </t>
    </r>
    <r>
      <rPr>
        <sz val="10"/>
        <rFont val="FreeSans"/>
        <family val="2"/>
      </rPr>
      <t xml:space="preserve">اینچ</t>
    </r>
  </si>
  <si>
    <t xml:space="preserve">31273676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</si>
  <si>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" 2 * " 4   CPVC</t>
    </r>
  </si>
  <si>
    <t xml:space="preserve">4029356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</si>
  <si>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2 * 4 </t>
    </r>
    <r>
      <rPr>
        <sz val="10"/>
        <rFont val="FreeSans"/>
        <family val="2"/>
      </rPr>
      <t xml:space="preserve">اینچ</t>
    </r>
  </si>
  <si>
    <t xml:space="preserve">31273677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</si>
  <si>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" 1/2 1 * " 3   CPVC</t>
    </r>
  </si>
  <si>
    <t xml:space="preserve">31273678</t>
  </si>
  <si>
    <r>
      <rPr>
        <sz val="10"/>
        <rFont val="FreeSans"/>
        <family val="2"/>
      </rPr>
      <t xml:space="preserve">تبدیل  </t>
    </r>
    <r>
      <rPr>
        <sz val="10"/>
        <rFont val="Vazirmatn"/>
        <family val="0"/>
        <charset val="1"/>
      </rPr>
      <t xml:space="preserve">"  3/4 * "  1 CPVC</t>
    </r>
  </si>
  <si>
    <t xml:space="preserve">31273679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</si>
  <si>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رابط </t>
    </r>
    <r>
      <rPr>
        <sz val="10"/>
        <rFont val="Vazirmatn"/>
        <family val="0"/>
        <charset val="1"/>
      </rPr>
      <t xml:space="preserve">) " 2 * "  4 CPVC</t>
    </r>
  </si>
  <si>
    <t xml:space="preserve">31273680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</si>
  <si>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رابط </t>
    </r>
    <r>
      <rPr>
        <sz val="10"/>
        <rFont val="Vazirmatn"/>
        <family val="0"/>
        <charset val="1"/>
      </rPr>
      <t xml:space="preserve">) " 1/2 1 * " 4 CPVC</t>
    </r>
  </si>
  <si>
    <t xml:space="preserve">31273681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</si>
  <si>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رابط </t>
    </r>
    <r>
      <rPr>
        <sz val="10"/>
        <rFont val="Vazirmatn"/>
        <family val="0"/>
        <charset val="1"/>
      </rPr>
      <t xml:space="preserve">) "  1/2 * "  2 CPVC</t>
    </r>
  </si>
  <si>
    <t xml:space="preserve">31273682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</si>
  <si>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رابط </t>
    </r>
    <r>
      <rPr>
        <sz val="10"/>
        <rFont val="Vazirmatn"/>
        <family val="0"/>
        <charset val="1"/>
      </rPr>
      <t xml:space="preserve">) "  1 * "  2 CPVC</t>
    </r>
  </si>
  <si>
    <t xml:space="preserve">4029380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</si>
  <si>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 * 2 </t>
    </r>
    <r>
      <rPr>
        <sz val="10"/>
        <rFont val="FreeSans"/>
        <family val="2"/>
      </rPr>
      <t xml:space="preserve">اینچ</t>
    </r>
  </si>
  <si>
    <t xml:space="preserve">31273683</t>
  </si>
  <si>
    <r>
      <rPr>
        <sz val="10"/>
        <rFont val="FreeSans"/>
        <family val="2"/>
      </rPr>
      <t xml:space="preserve">تبدیل  </t>
    </r>
    <r>
      <rPr>
        <sz val="10"/>
        <rFont val="Vazirmatn"/>
        <family val="0"/>
        <charset val="1"/>
      </rPr>
      <t xml:space="preserve">"  1 * "  1/4 1 CPVC</t>
    </r>
  </si>
  <si>
    <t xml:space="preserve">4029363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</si>
  <si>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 * 1/4 1 </t>
    </r>
    <r>
      <rPr>
        <sz val="10"/>
        <rFont val="FreeSans"/>
        <family val="2"/>
      </rPr>
      <t xml:space="preserve">اینچ</t>
    </r>
  </si>
  <si>
    <t xml:space="preserve">31273690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</si>
  <si>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" 1/2 1 * " 1/2 2     C PVC</t>
    </r>
  </si>
  <si>
    <t xml:space="preserve">31273693</t>
  </si>
  <si>
    <r>
      <rPr>
        <sz val="10"/>
        <rFont val="FreeSans"/>
        <family val="2"/>
      </rPr>
      <t xml:space="preserve">توپیچ روپیچ </t>
    </r>
    <r>
      <rPr>
        <sz val="10"/>
        <rFont val="Vazirmatn"/>
        <family val="0"/>
        <charset val="1"/>
      </rPr>
      <t xml:space="preserve">" 3/4 * " 1/2  UPVC</t>
    </r>
  </si>
  <si>
    <t xml:space="preserve">31273694</t>
  </si>
  <si>
    <r>
      <rPr>
        <sz val="10"/>
        <rFont val="FreeSans"/>
        <family val="2"/>
      </rPr>
      <t xml:space="preserve">توپیچ روپیچ </t>
    </r>
    <r>
      <rPr>
        <sz val="10"/>
        <rFont val="Vazirmatn"/>
        <family val="0"/>
        <charset val="1"/>
      </rPr>
      <t xml:space="preserve">" 1 * " 1/2  UPVC</t>
    </r>
  </si>
  <si>
    <t xml:space="preserve">31273695</t>
  </si>
  <si>
    <r>
      <rPr>
        <sz val="10"/>
        <rFont val="FreeSans"/>
        <family val="2"/>
      </rPr>
      <t xml:space="preserve">توپیچ روپیچ </t>
    </r>
    <r>
      <rPr>
        <sz val="10"/>
        <rFont val="Vazirmatn"/>
        <family val="0"/>
        <charset val="1"/>
      </rPr>
      <t xml:space="preserve">" 11/2 * " 1/2  UPVC</t>
    </r>
  </si>
  <si>
    <t xml:space="preserve">31273699</t>
  </si>
  <si>
    <r>
      <rPr>
        <sz val="10"/>
        <rFont val="FreeSans"/>
        <family val="2"/>
      </rPr>
      <t xml:space="preserve">مغزی تبدیلی  </t>
    </r>
    <r>
      <rPr>
        <sz val="10"/>
        <rFont val="Vazirmatn"/>
        <family val="0"/>
        <charset val="1"/>
      </rPr>
      <t xml:space="preserve">" 1/2  * " 3/4  UPVC</t>
    </r>
  </si>
  <si>
    <t xml:space="preserve">4029649</t>
  </si>
  <si>
    <r>
      <rPr>
        <sz val="10"/>
        <rFont val="FreeSans"/>
        <family val="2"/>
      </rPr>
      <t xml:space="preserve">مغزی تبدیل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* 3/4</t>
    </r>
  </si>
  <si>
    <t xml:space="preserve">31273704</t>
  </si>
  <si>
    <r>
      <rPr>
        <sz val="10"/>
        <rFont val="FreeSans"/>
        <family val="2"/>
      </rPr>
      <t xml:space="preserve">مغزی گالوانیزه     </t>
    </r>
    <r>
      <rPr>
        <sz val="10"/>
        <rFont val="Vazirmatn"/>
        <family val="0"/>
        <charset val="1"/>
      </rPr>
      <t xml:space="preserve">"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</si>
  <si>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4029620</t>
  </si>
  <si>
    <r>
      <rPr>
        <sz val="10"/>
        <rFont val="FreeSans"/>
        <family val="2"/>
      </rPr>
      <t xml:space="preserve">مغزی گالوانیزه یکسر کونیک </t>
    </r>
    <r>
      <rPr>
        <sz val="10"/>
        <rFont val="Vazirmatn"/>
        <family val="0"/>
        <charset val="1"/>
      </rPr>
      <t xml:space="preserve">"1/2 1 </t>
    </r>
    <r>
      <rPr>
        <sz val="10"/>
        <rFont val="FreeSans"/>
        <family val="2"/>
      </rPr>
      <t xml:space="preserve">اینچ</t>
    </r>
  </si>
  <si>
    <t xml:space="preserve">31273713</t>
  </si>
  <si>
    <t xml:space="preserve">مغزی شیر مخلوط</t>
  </si>
  <si>
    <t xml:space="preserve">4031071</t>
  </si>
  <si>
    <t xml:space="preserve">مغزی شیر مخلوط معمولی</t>
  </si>
  <si>
    <t xml:space="preserve">31273718</t>
  </si>
  <si>
    <r>
      <rPr>
        <sz val="10"/>
        <rFont val="FreeSans"/>
        <family val="2"/>
      </rPr>
      <t xml:space="preserve">مغزی استیل      </t>
    </r>
    <r>
      <rPr>
        <sz val="10"/>
        <rFont val="Vazirmatn"/>
        <family val="0"/>
        <charset val="1"/>
      </rPr>
      <t xml:space="preserve">" 3</t>
    </r>
  </si>
  <si>
    <t xml:space="preserve">4029636</t>
  </si>
  <si>
    <r>
      <rPr>
        <sz val="10"/>
        <rFont val="FreeSans"/>
        <family val="2"/>
      </rPr>
      <t xml:space="preserve">مغزی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</si>
  <si>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31273722</t>
  </si>
  <si>
    <r>
      <rPr>
        <sz val="10"/>
        <rFont val="FreeSans"/>
        <family val="2"/>
      </rPr>
      <t xml:space="preserve">مغزی استیل فشار قوی یکطرف کونیک دار  </t>
    </r>
    <r>
      <rPr>
        <sz val="10"/>
        <rFont val="Vazirmatn"/>
        <family val="0"/>
        <charset val="1"/>
      </rPr>
      <t xml:space="preserve">" 1/2</t>
    </r>
  </si>
  <si>
    <t xml:space="preserve">4029622</t>
  </si>
  <si>
    <r>
      <rPr>
        <sz val="10"/>
        <rFont val="FreeSans"/>
        <family val="2"/>
      </rPr>
      <t xml:space="preserve">مغزی فشار قوی سایز </t>
    </r>
    <r>
      <rPr>
        <sz val="10"/>
        <rFont val="Vazirmatn"/>
        <family val="0"/>
        <charset val="1"/>
      </rPr>
      <t xml:space="preserve">"1/2 1 </t>
    </r>
    <r>
      <rPr>
        <sz val="10"/>
        <rFont val="FreeSans"/>
        <family val="2"/>
      </rPr>
      <t xml:space="preserve">اینچ</t>
    </r>
  </si>
  <si>
    <t xml:space="preserve">31273725</t>
  </si>
  <si>
    <r>
      <rPr>
        <sz val="10"/>
        <rFont val="FreeSans"/>
        <family val="2"/>
      </rPr>
      <t xml:space="preserve">مغزی </t>
    </r>
    <r>
      <rPr>
        <sz val="10"/>
        <rFont val="Vazirmatn"/>
        <family val="0"/>
        <charset val="1"/>
      </rPr>
      <t xml:space="preserve">"  1   CPVC</t>
    </r>
  </si>
  <si>
    <t xml:space="preserve">4029612</t>
  </si>
  <si>
    <r>
      <rPr>
        <sz val="10"/>
        <rFont val="FreeSans"/>
        <family val="2"/>
      </rPr>
      <t xml:space="preserve">مغزی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</si>
  <si>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31273733</t>
  </si>
  <si>
    <r>
      <rPr>
        <sz val="10"/>
        <rFont val="FreeSans"/>
        <family val="2"/>
      </rPr>
      <t xml:space="preserve">مغزی استیل </t>
    </r>
    <r>
      <rPr>
        <sz val="10"/>
        <rFont val="Vazirmatn"/>
        <family val="0"/>
        <charset val="1"/>
      </rPr>
      <t xml:space="preserve">" 3/8</t>
    </r>
  </si>
  <si>
    <t xml:space="preserve">4029634</t>
  </si>
  <si>
    <r>
      <rPr>
        <sz val="10"/>
        <rFont val="FreeSans"/>
        <family val="2"/>
      </rPr>
      <t xml:space="preserve">مغزی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3/8 </t>
    </r>
    <r>
      <rPr>
        <sz val="10"/>
        <rFont val="FreeSans"/>
        <family val="2"/>
      </rPr>
      <t xml:space="preserve">اینچ</t>
    </r>
  </si>
  <si>
    <t xml:space="preserve">31273743</t>
  </si>
  <si>
    <r>
      <rPr>
        <sz val="10"/>
        <rFont val="FreeSans"/>
        <family val="2"/>
      </rPr>
      <t xml:space="preserve">مغزی استیل      </t>
    </r>
    <r>
      <rPr>
        <sz val="10"/>
        <rFont val="Vazirmatn"/>
        <family val="0"/>
        <charset val="1"/>
      </rPr>
      <t xml:space="preserve">" 1</t>
    </r>
  </si>
  <si>
    <t xml:space="preserve">4031070</t>
  </si>
  <si>
    <r>
      <rPr>
        <sz val="10"/>
        <rFont val="FreeSans"/>
        <family val="2"/>
      </rPr>
      <t xml:space="preserve">مغزی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1/4 1 </t>
    </r>
    <r>
      <rPr>
        <sz val="10"/>
        <rFont val="FreeSans"/>
        <family val="2"/>
      </rPr>
      <t xml:space="preserve">اینچ</t>
    </r>
  </si>
  <si>
    <t xml:space="preserve">31273752</t>
  </si>
  <si>
    <r>
      <rPr>
        <sz val="10"/>
        <rFont val="FreeSans"/>
        <family val="2"/>
      </rPr>
      <t xml:space="preserve">مغزی برنجی   </t>
    </r>
    <r>
      <rPr>
        <sz val="10"/>
        <rFont val="Vazirmatn"/>
        <family val="0"/>
        <charset val="1"/>
      </rPr>
      <t xml:space="preserve">"3/8</t>
    </r>
  </si>
  <si>
    <t xml:space="preserve">4029644</t>
  </si>
  <si>
    <r>
      <rPr>
        <sz val="10"/>
        <rFont val="FreeSans"/>
        <family val="2"/>
      </rPr>
      <t xml:space="preserve">مغزی برنجی یکسر کونیک سایز </t>
    </r>
    <r>
      <rPr>
        <sz val="10"/>
        <rFont val="Vazirmatn"/>
        <family val="0"/>
        <charset val="1"/>
      </rPr>
      <t xml:space="preserve">3/8 </t>
    </r>
    <r>
      <rPr>
        <sz val="10"/>
        <rFont val="FreeSans"/>
        <family val="2"/>
      </rPr>
      <t xml:space="preserve">اینچ</t>
    </r>
  </si>
  <si>
    <t xml:space="preserve">31273754</t>
  </si>
  <si>
    <r>
      <rPr>
        <sz val="10"/>
        <rFont val="FreeSans"/>
        <family val="2"/>
      </rPr>
      <t xml:space="preserve">مغزی تبدیلی گالوانیزه  </t>
    </r>
    <r>
      <rPr>
        <sz val="10"/>
        <rFont val="Vazirmatn"/>
        <family val="0"/>
        <charset val="1"/>
      </rPr>
      <t xml:space="preserve">" 1/2 * " 3/8</t>
    </r>
  </si>
  <si>
    <t xml:space="preserve">4045518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</si>
  <si>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3/8 </t>
    </r>
    <r>
      <rPr>
        <sz val="10"/>
        <rFont val="FreeSans"/>
        <family val="2"/>
      </rPr>
      <t xml:space="preserve">به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دو سر مغزی گالوانیزه</t>
    </r>
  </si>
  <si>
    <t xml:space="preserve">31273755</t>
  </si>
  <si>
    <r>
      <rPr>
        <sz val="10"/>
        <rFont val="FreeSans"/>
        <family val="2"/>
      </rPr>
      <t xml:space="preserve">مغزی برنجی </t>
    </r>
    <r>
      <rPr>
        <sz val="10"/>
        <rFont val="Vazirmatn"/>
        <family val="0"/>
        <charset val="1"/>
      </rPr>
      <t xml:space="preserve">3/4*1/2</t>
    </r>
    <r>
      <rPr>
        <sz val="10"/>
        <rFont val="FreeSans"/>
        <family val="2"/>
      </rPr>
      <t xml:space="preserve">اینچ</t>
    </r>
  </si>
  <si>
    <t xml:space="preserve">4032554</t>
  </si>
  <si>
    <r>
      <rPr>
        <sz val="10"/>
        <rFont val="FreeSans"/>
        <family val="2"/>
      </rPr>
      <t xml:space="preserve">مغزی برنجی یکسر لوله مسی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</si>
  <si>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31273759</t>
  </si>
  <si>
    <r>
      <rPr>
        <sz val="10"/>
        <rFont val="FreeSans"/>
        <family val="2"/>
      </rPr>
      <t xml:space="preserve">مغزی استیل     </t>
    </r>
    <r>
      <rPr>
        <sz val="10"/>
        <rFont val="Vazirmatn"/>
        <family val="0"/>
        <charset val="1"/>
      </rPr>
      <t xml:space="preserve">1/4"</t>
    </r>
  </si>
  <si>
    <t xml:space="preserve">4029635</t>
  </si>
  <si>
    <r>
      <rPr>
        <sz val="10"/>
        <rFont val="FreeSans"/>
        <family val="2"/>
      </rPr>
      <t xml:space="preserve">مغزی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1/4 </t>
    </r>
    <r>
      <rPr>
        <sz val="10"/>
        <rFont val="FreeSans"/>
        <family val="2"/>
      </rPr>
      <t xml:space="preserve">اینچ</t>
    </r>
  </si>
  <si>
    <t xml:space="preserve">31273763</t>
  </si>
  <si>
    <r>
      <rPr>
        <sz val="10"/>
        <rFont val="FreeSans"/>
        <family val="2"/>
      </rPr>
      <t xml:space="preserve">مغزی برنجی </t>
    </r>
    <r>
      <rPr>
        <sz val="10"/>
        <rFont val="Vazirmatn"/>
        <family val="0"/>
        <charset val="1"/>
      </rPr>
      <t xml:space="preserve">1/4*3/8</t>
    </r>
  </si>
  <si>
    <t xml:space="preserve">31273766</t>
  </si>
  <si>
    <r>
      <rPr>
        <sz val="10"/>
        <rFont val="FreeSans"/>
        <family val="2"/>
      </rPr>
      <t xml:space="preserve">مغزی استیل تبدیلی  </t>
    </r>
    <r>
      <rPr>
        <sz val="10"/>
        <rFont val="Vazirmatn"/>
        <family val="0"/>
        <charset val="1"/>
      </rPr>
      <t xml:space="preserve">"3/8  -  "1/4</t>
    </r>
  </si>
  <si>
    <t xml:space="preserve">4029615</t>
  </si>
  <si>
    <r>
      <rPr>
        <sz val="10"/>
        <rFont val="FreeSans"/>
        <family val="2"/>
      </rPr>
      <t xml:space="preserve">مغزی تبدیل هیدرولیک </t>
    </r>
    <r>
      <rPr>
        <sz val="10"/>
        <rFont val="Vazirmatn"/>
        <family val="0"/>
        <charset val="1"/>
      </rPr>
      <t xml:space="preserve">1/4 * 3/8 </t>
    </r>
    <r>
      <rPr>
        <sz val="10"/>
        <rFont val="FreeSans"/>
        <family val="2"/>
      </rPr>
      <t xml:space="preserve">اینچ</t>
    </r>
  </si>
  <si>
    <t xml:space="preserve">31273778</t>
  </si>
  <si>
    <r>
      <rPr>
        <sz val="10"/>
        <rFont val="FreeSans"/>
        <family val="2"/>
      </rPr>
      <t xml:space="preserve">رابط  </t>
    </r>
    <r>
      <rPr>
        <sz val="10"/>
        <rFont val="Vazirmatn"/>
        <family val="0"/>
        <charset val="1"/>
      </rPr>
      <t xml:space="preserve">" 4      UPVC</t>
    </r>
  </si>
  <si>
    <t xml:space="preserve">4032744</t>
  </si>
  <si>
    <r>
      <rPr>
        <sz val="10"/>
        <rFont val="FreeSans"/>
        <family val="2"/>
      </rPr>
      <t xml:space="preserve">رابط ممگی </t>
    </r>
    <r>
      <rPr>
        <sz val="10"/>
        <rFont val="Vazirmatn"/>
        <family val="0"/>
        <charset val="1"/>
      </rPr>
      <t xml:space="preserve">"UPVC 4MM*1/4</t>
    </r>
  </si>
  <si>
    <t xml:space="preserve">31273780</t>
  </si>
  <si>
    <r>
      <rPr>
        <sz val="10"/>
        <rFont val="FreeSans"/>
        <family val="2"/>
      </rPr>
      <t xml:space="preserve">رابط  </t>
    </r>
    <r>
      <rPr>
        <sz val="10"/>
        <rFont val="Vazirmatn"/>
        <family val="0"/>
        <charset val="1"/>
      </rPr>
      <t xml:space="preserve">" 6      UPVC</t>
    </r>
  </si>
  <si>
    <t xml:space="preserve">4032743</t>
  </si>
  <si>
    <r>
      <rPr>
        <sz val="10"/>
        <rFont val="FreeSans"/>
        <family val="2"/>
      </rPr>
      <t xml:space="preserve">رابط ممگی </t>
    </r>
    <r>
      <rPr>
        <sz val="10"/>
        <rFont val="Vazirmatn"/>
        <family val="0"/>
        <charset val="1"/>
      </rPr>
      <t xml:space="preserve">"UPVC 6MM*1/4</t>
    </r>
  </si>
  <si>
    <t xml:space="preserve">31273805</t>
  </si>
  <si>
    <r>
      <rPr>
        <sz val="10"/>
        <rFont val="FreeSans"/>
        <family val="2"/>
      </rPr>
      <t xml:space="preserve">مهره ماسوره گالوانیزه دنده ای </t>
    </r>
    <r>
      <rPr>
        <sz val="10"/>
        <rFont val="Vazirmatn"/>
        <family val="0"/>
        <charset val="1"/>
      </rPr>
      <t xml:space="preserve">" 1</t>
    </r>
  </si>
  <si>
    <t xml:space="preserve">4029676</t>
  </si>
  <si>
    <r>
      <rPr>
        <sz val="10"/>
        <rFont val="FreeSans"/>
        <family val="2"/>
      </rPr>
      <t xml:space="preserve">مهره ماسوره گالوانیزه 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</si>
  <si>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31273807</t>
  </si>
  <si>
    <r>
      <rPr>
        <sz val="10"/>
        <rFont val="FreeSans"/>
        <family val="2"/>
      </rPr>
      <t xml:space="preserve">مهره ماسوره گالوانیزه </t>
    </r>
    <r>
      <rPr>
        <sz val="10"/>
        <rFont val="Vazirmatn"/>
        <family val="0"/>
        <charset val="1"/>
      </rPr>
      <t xml:space="preserve">" 3</t>
    </r>
  </si>
  <si>
    <t xml:space="preserve">4029662</t>
  </si>
  <si>
    <r>
      <rPr>
        <sz val="10"/>
        <rFont val="FreeSans"/>
        <family val="2"/>
      </rPr>
      <t xml:space="preserve">مهره ماسوره گالوانیزه گرم 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</si>
  <si>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31273809</t>
  </si>
  <si>
    <r>
      <rPr>
        <sz val="10"/>
        <rFont val="FreeSans"/>
        <family val="2"/>
      </rPr>
      <t xml:space="preserve">مهره ماسوره  گالوانیزه دنده ای  </t>
    </r>
    <r>
      <rPr>
        <sz val="10"/>
        <rFont val="Vazirmatn"/>
        <family val="0"/>
        <charset val="1"/>
      </rPr>
      <t xml:space="preserve">" 2</t>
    </r>
  </si>
  <si>
    <t xml:space="preserve">4029675</t>
  </si>
  <si>
    <r>
      <rPr>
        <sz val="10"/>
        <rFont val="FreeSans"/>
        <family val="2"/>
      </rPr>
      <t xml:space="preserve">مهره ماسوره گالوانیزه 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</si>
  <si>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31273812</t>
  </si>
  <si>
    <r>
      <rPr>
        <sz val="10"/>
        <rFont val="FreeSans"/>
        <family val="2"/>
      </rPr>
      <t xml:space="preserve">مهره ماسوره آهنی </t>
    </r>
    <r>
      <rPr>
        <sz val="10"/>
        <rFont val="Vazirmatn"/>
        <family val="0"/>
        <charset val="1"/>
      </rPr>
      <t xml:space="preserve">" 1/4 1</t>
    </r>
  </si>
  <si>
    <t xml:space="preserve">4029667</t>
  </si>
  <si>
    <r>
      <rPr>
        <sz val="10"/>
        <rFont val="FreeSans"/>
        <family val="2"/>
      </rPr>
      <t xml:space="preserve">مهره ماسوره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1/4 1 </t>
    </r>
    <r>
      <rPr>
        <sz val="10"/>
        <rFont val="FreeSans"/>
        <family val="2"/>
      </rPr>
      <t xml:space="preserve">اینچ</t>
    </r>
  </si>
  <si>
    <t xml:space="preserve">31273821</t>
  </si>
  <si>
    <r>
      <rPr>
        <sz val="10"/>
        <rFont val="FreeSans"/>
        <family val="2"/>
      </rPr>
      <t xml:space="preserve">مهره ماسوره استیل </t>
    </r>
    <r>
      <rPr>
        <sz val="10"/>
        <rFont val="Vazirmatn"/>
        <family val="0"/>
        <charset val="1"/>
      </rPr>
      <t xml:space="preserve">1/4</t>
    </r>
    <r>
      <rPr>
        <sz val="10"/>
        <rFont val="FreeSans"/>
        <family val="2"/>
      </rPr>
      <t xml:space="preserve">اینچ</t>
    </r>
  </si>
  <si>
    <t xml:space="preserve">31273823</t>
  </si>
  <si>
    <r>
      <rPr>
        <sz val="10"/>
        <rFont val="FreeSans"/>
        <family val="2"/>
      </rPr>
      <t xml:space="preserve">مهره ماسوره استیل  </t>
    </r>
    <r>
      <rPr>
        <sz val="10"/>
        <rFont val="Vazirmatn"/>
        <family val="0"/>
        <charset val="1"/>
      </rPr>
      <t xml:space="preserve">" 3/8</t>
    </r>
  </si>
  <si>
    <t xml:space="preserve">4031503</t>
  </si>
  <si>
    <r>
      <rPr>
        <sz val="10"/>
        <rFont val="FreeSans"/>
        <family val="2"/>
      </rPr>
      <t xml:space="preserve">مهره ماسوره استیل دنده ای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3/8</t>
    </r>
  </si>
  <si>
    <t xml:space="preserve">31273827</t>
  </si>
  <si>
    <r>
      <rPr>
        <sz val="10"/>
        <rFont val="FreeSans"/>
        <family val="2"/>
      </rPr>
      <t xml:space="preserve">مهره ماسوره استیل </t>
    </r>
    <r>
      <rPr>
        <sz val="10"/>
        <rFont val="Vazirmatn"/>
        <family val="0"/>
        <charset val="1"/>
      </rPr>
      <t xml:space="preserve">" 3/4</t>
    </r>
  </si>
  <si>
    <t xml:space="preserve">4029677</t>
  </si>
  <si>
    <r>
      <rPr>
        <sz val="10"/>
        <rFont val="FreeSans"/>
        <family val="2"/>
      </rPr>
      <t xml:space="preserve">مهره ماسوره گالوانیزه 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</si>
  <si>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31273828</t>
  </si>
  <si>
    <r>
      <rPr>
        <sz val="10"/>
        <rFont val="FreeSans"/>
        <family val="2"/>
      </rPr>
      <t xml:space="preserve">مهره ماسوره استیل  </t>
    </r>
    <r>
      <rPr>
        <sz val="10"/>
        <rFont val="Vazirmatn"/>
        <family val="0"/>
        <charset val="1"/>
      </rPr>
      <t xml:space="preserve">" 1/4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</t>
    </r>
  </si>
  <si>
    <t xml:space="preserve">31273829</t>
  </si>
  <si>
    <r>
      <rPr>
        <sz val="10"/>
        <rFont val="FreeSans"/>
        <family val="2"/>
      </rPr>
      <t xml:space="preserve">مهره ماسوره استیل    </t>
    </r>
    <r>
      <rPr>
        <sz val="10"/>
        <rFont val="Vazirmatn"/>
        <family val="0"/>
        <charset val="1"/>
      </rPr>
      <t xml:space="preserve">"1</t>
    </r>
  </si>
  <si>
    <t xml:space="preserve">4031507</t>
  </si>
  <si>
    <r>
      <rPr>
        <sz val="10"/>
        <rFont val="FreeSans"/>
        <family val="2"/>
      </rPr>
      <t xml:space="preserve">مهره ماسوره استیل جوشی </t>
    </r>
    <r>
      <rPr>
        <sz val="10"/>
        <rFont val="Vazirmatn"/>
        <family val="0"/>
        <charset val="1"/>
      </rPr>
      <t xml:space="preserve">304  1/2 1 </t>
    </r>
    <r>
      <rPr>
        <sz val="10"/>
        <rFont val="FreeSans"/>
        <family val="2"/>
      </rPr>
      <t xml:space="preserve">اینچ</t>
    </r>
  </si>
  <si>
    <t xml:space="preserve">31273830</t>
  </si>
  <si>
    <r>
      <rPr>
        <sz val="10"/>
        <rFont val="FreeSans"/>
        <family val="2"/>
      </rPr>
      <t xml:space="preserve">مهره ماسوره استیل   </t>
    </r>
    <r>
      <rPr>
        <sz val="10"/>
        <rFont val="Vazirmatn"/>
        <family val="0"/>
        <charset val="1"/>
      </rPr>
      <t xml:space="preserve">" 2</t>
    </r>
  </si>
  <si>
    <t xml:space="preserve">4029671</t>
  </si>
  <si>
    <r>
      <rPr>
        <sz val="10"/>
        <rFont val="FreeSans"/>
        <family val="2"/>
      </rPr>
      <t xml:space="preserve">مهره ماسوره استیل جوشی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</si>
  <si>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31273832</t>
  </si>
  <si>
    <r>
      <rPr>
        <sz val="10"/>
        <rFont val="FreeSans"/>
        <family val="2"/>
      </rPr>
      <t xml:space="preserve">مهره ماسوره استیل   </t>
    </r>
    <r>
      <rPr>
        <sz val="10"/>
        <rFont val="Vazirmatn"/>
        <family val="0"/>
        <charset val="1"/>
      </rPr>
      <t xml:space="preserve">"  3</t>
    </r>
  </si>
  <si>
    <t xml:space="preserve">4031509</t>
  </si>
  <si>
    <r>
      <rPr>
        <sz val="10"/>
        <rFont val="FreeSans"/>
        <family val="2"/>
      </rPr>
      <t xml:space="preserve">مهره ماسوره استیل دنده ای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</si>
  <si>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31273833</t>
  </si>
  <si>
    <r>
      <rPr>
        <sz val="10"/>
        <rFont val="FreeSans"/>
        <family val="2"/>
      </rPr>
      <t xml:space="preserve">مهره ماسوره استیل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</si>
  <si>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31273834</t>
  </si>
  <si>
    <r>
      <rPr>
        <sz val="10"/>
        <rFont val="FreeSans"/>
        <family val="2"/>
      </rPr>
      <t xml:space="preserve">مهره ماسوره استیل    </t>
    </r>
    <r>
      <rPr>
        <sz val="10"/>
        <rFont val="Vazirmatn"/>
        <family val="0"/>
        <charset val="1"/>
      </rPr>
      <t xml:space="preserve">"2</t>
    </r>
  </si>
  <si>
    <t xml:space="preserve">31273838</t>
  </si>
  <si>
    <r>
      <rPr>
        <sz val="10"/>
        <rFont val="FreeSans"/>
        <family val="2"/>
      </rPr>
      <t xml:space="preserve">مهره ماسوره  </t>
    </r>
    <r>
      <rPr>
        <sz val="10"/>
        <rFont val="Vazirmatn"/>
        <family val="0"/>
        <charset val="1"/>
      </rPr>
      <t xml:space="preserve">" 2      C PVC</t>
    </r>
  </si>
  <si>
    <t xml:space="preserve">4029666</t>
  </si>
  <si>
    <r>
      <rPr>
        <sz val="10"/>
        <rFont val="FreeSans"/>
        <family val="2"/>
      </rPr>
      <t xml:space="preserve">مهره ماسوره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</si>
  <si>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31273839</t>
  </si>
  <si>
    <r>
      <rPr>
        <sz val="10"/>
        <rFont val="FreeSans"/>
        <family val="2"/>
      </rPr>
      <t xml:space="preserve">مهره ماسوره  </t>
    </r>
    <r>
      <rPr>
        <sz val="10"/>
        <rFont val="Vazirmatn"/>
        <family val="0"/>
        <charset val="1"/>
      </rPr>
      <t xml:space="preserve">" 1/2 1     C PVC</t>
    </r>
  </si>
  <si>
    <t xml:space="preserve">4029668</t>
  </si>
  <si>
    <r>
      <rPr>
        <sz val="10"/>
        <rFont val="FreeSans"/>
        <family val="2"/>
      </rPr>
      <t xml:space="preserve">مهره ماسوره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</si>
  <si>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31273840</t>
  </si>
  <si>
    <r>
      <rPr>
        <sz val="10"/>
        <rFont val="FreeSans"/>
        <family val="2"/>
      </rPr>
      <t xml:space="preserve">مهره ماسوره  </t>
    </r>
    <r>
      <rPr>
        <sz val="10"/>
        <rFont val="Vazirmatn"/>
        <family val="0"/>
        <charset val="1"/>
      </rPr>
      <t xml:space="preserve">" 1     C PVC</t>
    </r>
  </si>
  <si>
    <t xml:space="preserve">31273846</t>
  </si>
  <si>
    <r>
      <rPr>
        <sz val="10"/>
        <rFont val="FreeSans"/>
        <family val="2"/>
      </rPr>
      <t xml:space="preserve">مهره ماسوره آذین یکسر دنده    </t>
    </r>
    <r>
      <rPr>
        <sz val="10"/>
        <rFont val="Vazirmatn"/>
        <family val="0"/>
        <charset val="1"/>
      </rPr>
      <t xml:space="preserve">"1</t>
    </r>
  </si>
  <si>
    <t xml:space="preserve">4029658</t>
  </si>
  <si>
    <r>
      <rPr>
        <sz val="10"/>
        <rFont val="FreeSans"/>
        <family val="2"/>
      </rPr>
      <t xml:space="preserve">مهره ماسوره کربن دنده ای سایز </t>
    </r>
    <r>
      <rPr>
        <sz val="10"/>
        <rFont val="Vazirmatn"/>
        <family val="0"/>
        <charset val="1"/>
      </rPr>
      <t xml:space="preserve">1/4 1 </t>
    </r>
    <r>
      <rPr>
        <sz val="10"/>
        <rFont val="FreeSans"/>
        <family val="2"/>
      </rPr>
      <t xml:space="preserve">اینچ</t>
    </r>
  </si>
  <si>
    <t xml:space="preserve">31273847</t>
  </si>
  <si>
    <r>
      <rPr>
        <sz val="10"/>
        <rFont val="FreeSans"/>
        <family val="2"/>
      </rPr>
      <t xml:space="preserve">مهره ماسوره آذین         </t>
    </r>
    <r>
      <rPr>
        <sz val="10"/>
        <rFont val="Vazirmatn"/>
        <family val="0"/>
        <charset val="1"/>
      </rPr>
      <t xml:space="preserve">" 1</t>
    </r>
  </si>
  <si>
    <t xml:space="preserve">31273853</t>
  </si>
  <si>
    <r>
      <rPr>
        <sz val="10"/>
        <rFont val="FreeSans"/>
        <family val="2"/>
      </rPr>
      <t xml:space="preserve">مهره ماسوره آذین      </t>
    </r>
    <r>
      <rPr>
        <sz val="10"/>
        <rFont val="Vazirmatn"/>
        <family val="0"/>
        <charset val="1"/>
      </rPr>
      <t xml:space="preserve">" 1/2</t>
    </r>
  </si>
  <si>
    <t xml:space="preserve">4029665</t>
  </si>
  <si>
    <r>
      <rPr>
        <sz val="10"/>
        <rFont val="FreeSans"/>
        <family val="2"/>
      </rPr>
      <t xml:space="preserve">مهره ماسوره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</si>
  <si>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31273871</t>
  </si>
  <si>
    <r>
      <rPr>
        <sz val="10"/>
        <rFont val="FreeSans"/>
        <family val="2"/>
      </rPr>
      <t xml:space="preserve">مهره ماسوره گالوانیزه 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</si>
  <si>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31273874</t>
  </si>
  <si>
    <r>
      <rPr>
        <sz val="10"/>
        <rFont val="FreeSans"/>
        <family val="2"/>
      </rPr>
      <t xml:space="preserve">مهره ماسوره آذین 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</si>
  <si>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31273875</t>
  </si>
  <si>
    <r>
      <rPr>
        <sz val="10"/>
        <rFont val="FreeSans"/>
        <family val="2"/>
      </rPr>
      <t xml:space="preserve">مهره ماسوره آذین  </t>
    </r>
    <r>
      <rPr>
        <sz val="10"/>
        <rFont val="Vazirmatn"/>
        <family val="0"/>
        <charset val="1"/>
      </rPr>
      <t xml:space="preserve">" 1/2 1</t>
    </r>
  </si>
  <si>
    <t xml:space="preserve">31273876</t>
  </si>
  <si>
    <r>
      <rPr>
        <sz val="10"/>
        <rFont val="FreeSans"/>
        <family val="2"/>
      </rPr>
      <t xml:space="preserve">رابط پلی اتیلن </t>
    </r>
    <r>
      <rPr>
        <sz val="10"/>
        <rFont val="Vazirmatn"/>
        <family val="0"/>
        <charset val="1"/>
      </rPr>
      <t xml:space="preserve">16mm</t>
    </r>
  </si>
  <si>
    <t xml:space="preserve">4030393</t>
  </si>
  <si>
    <r>
      <rPr>
        <sz val="10"/>
        <rFont val="FreeSans"/>
        <family val="2"/>
      </rPr>
      <t xml:space="preserve">رابط پلی اتیلن سایز </t>
    </r>
    <r>
      <rPr>
        <sz val="10"/>
        <rFont val="Vazirmatn"/>
        <family val="0"/>
        <charset val="1"/>
      </rPr>
      <t xml:space="preserve">16</t>
    </r>
  </si>
  <si>
    <t xml:space="preserve">31273972</t>
  </si>
  <si>
    <r>
      <rPr>
        <sz val="10"/>
        <rFont val="FreeSans"/>
        <family val="2"/>
      </rPr>
      <t xml:space="preserve">سرشیلنگی استیل     </t>
    </r>
    <r>
      <rPr>
        <sz val="10"/>
        <rFont val="Vazirmatn"/>
        <family val="0"/>
        <charset val="1"/>
      </rPr>
      <t xml:space="preserve">" 1/4</t>
    </r>
  </si>
  <si>
    <t xml:space="preserve">4029837</t>
  </si>
  <si>
    <r>
      <rPr>
        <sz val="10"/>
        <rFont val="FreeSans"/>
        <family val="2"/>
      </rPr>
      <t xml:space="preserve">سر شیلنگی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1/4 </t>
    </r>
    <r>
      <rPr>
        <sz val="10"/>
        <rFont val="FreeSans"/>
        <family val="2"/>
      </rPr>
      <t xml:space="preserve">اینچ</t>
    </r>
  </si>
  <si>
    <t xml:space="preserve">31273981</t>
  </si>
  <si>
    <r>
      <rPr>
        <sz val="10"/>
        <rFont val="FreeSans"/>
        <family val="2"/>
      </rPr>
      <t xml:space="preserve">سر شیلنگی برنجی </t>
    </r>
    <r>
      <rPr>
        <sz val="10"/>
        <rFont val="Vazirmatn"/>
        <family val="0"/>
        <charset val="1"/>
      </rPr>
      <t xml:space="preserve">" 3/4 * " 1/2</t>
    </r>
  </si>
  <si>
    <t xml:space="preserve">4000168</t>
  </si>
  <si>
    <r>
      <rPr>
        <sz val="10"/>
        <rFont val="FreeSans"/>
        <family val="2"/>
      </rPr>
      <t xml:space="preserve">سر شيلنگي آب سايز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اينچ</t>
    </r>
  </si>
  <si>
    <t xml:space="preserve">31273982</t>
  </si>
  <si>
    <r>
      <rPr>
        <sz val="10"/>
        <rFont val="FreeSans"/>
        <family val="2"/>
      </rPr>
      <t xml:space="preserve">سر شیلنگی برنجی </t>
    </r>
    <r>
      <rPr>
        <sz val="10"/>
        <rFont val="Vazirmatn"/>
        <family val="0"/>
        <charset val="1"/>
      </rPr>
      <t xml:space="preserve">" 3/4 * " 1</t>
    </r>
  </si>
  <si>
    <t xml:space="preserve">31273986</t>
  </si>
  <si>
    <r>
      <rPr>
        <sz val="10"/>
        <rFont val="FreeSans"/>
        <family val="2"/>
      </rPr>
      <t xml:space="preserve">سر شیلنگی استیل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</si>
  <si>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4029841</t>
  </si>
  <si>
    <r>
      <rPr>
        <sz val="10"/>
        <rFont val="FreeSans"/>
        <family val="2"/>
      </rPr>
      <t xml:space="preserve">سر شیلنگی آب سایز </t>
    </r>
    <r>
      <rPr>
        <sz val="10"/>
        <rFont val="Vazirmatn"/>
        <family val="0"/>
        <charset val="1"/>
      </rPr>
      <t xml:space="preserve">1/4 1 </t>
    </r>
    <r>
      <rPr>
        <sz val="10"/>
        <rFont val="FreeSans"/>
        <family val="2"/>
      </rPr>
      <t xml:space="preserve">اینچ</t>
    </r>
  </si>
  <si>
    <t xml:space="preserve">31273988</t>
  </si>
  <si>
    <r>
      <rPr>
        <sz val="10"/>
        <rFont val="FreeSans"/>
        <family val="2"/>
      </rPr>
      <t xml:space="preserve">سر شیلنگی استیل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</si>
  <si>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4029840</t>
  </si>
  <si>
    <r>
      <rPr>
        <sz val="10"/>
        <rFont val="FreeSans"/>
        <family val="2"/>
      </rPr>
      <t xml:space="preserve">سر شیلنگی آب 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</si>
  <si>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31273995</t>
  </si>
  <si>
    <r>
      <rPr>
        <sz val="10"/>
        <rFont val="FreeSans"/>
        <family val="2"/>
      </rPr>
      <t xml:space="preserve">سر شیلنگی استیل </t>
    </r>
    <r>
      <rPr>
        <sz val="10"/>
        <rFont val="Vazirmatn"/>
        <family val="0"/>
        <charset val="1"/>
      </rPr>
      <t xml:space="preserve">" 1/2</t>
    </r>
  </si>
  <si>
    <t xml:space="preserve">4029849</t>
  </si>
  <si>
    <r>
      <rPr>
        <sz val="10"/>
        <rFont val="FreeSans"/>
        <family val="2"/>
      </rPr>
      <t xml:space="preserve">سر شیلنگی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</si>
  <si>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31274007</t>
  </si>
  <si>
    <r>
      <rPr>
        <sz val="10"/>
        <rFont val="FreeSans"/>
        <family val="2"/>
      </rPr>
      <t xml:space="preserve">بست لوله آذین        </t>
    </r>
    <r>
      <rPr>
        <sz val="10"/>
        <rFont val="Vazirmatn"/>
        <family val="0"/>
        <charset val="1"/>
      </rPr>
      <t xml:space="preserve">25</t>
    </r>
  </si>
  <si>
    <t xml:space="preserve">4030186</t>
  </si>
  <si>
    <r>
      <rPr>
        <sz val="10"/>
        <rFont val="FreeSans"/>
        <family val="2"/>
      </rPr>
      <t xml:space="preserve">بست لوله سبز سایز </t>
    </r>
    <r>
      <rPr>
        <sz val="10"/>
        <rFont val="Vazirmatn"/>
        <family val="0"/>
        <charset val="1"/>
      </rPr>
      <t xml:space="preserve">25</t>
    </r>
  </si>
  <si>
    <t xml:space="preserve">31274014</t>
  </si>
  <si>
    <r>
      <rPr>
        <sz val="10"/>
        <rFont val="FreeSans"/>
        <family val="2"/>
      </rPr>
      <t xml:space="preserve">بست لوله آذین        </t>
    </r>
    <r>
      <rPr>
        <sz val="10"/>
        <rFont val="Vazirmatn"/>
        <family val="0"/>
        <charset val="1"/>
      </rPr>
      <t xml:space="preserve">32</t>
    </r>
  </si>
  <si>
    <t xml:space="preserve">4030185</t>
  </si>
  <si>
    <r>
      <rPr>
        <sz val="10"/>
        <rFont val="FreeSans"/>
        <family val="2"/>
      </rPr>
      <t xml:space="preserve">بست لوله سبز سایز </t>
    </r>
    <r>
      <rPr>
        <sz val="10"/>
        <rFont val="Vazirmatn"/>
        <family val="0"/>
        <charset val="1"/>
      </rPr>
      <t xml:space="preserve">32</t>
    </r>
  </si>
  <si>
    <t xml:space="preserve">31274030</t>
  </si>
  <si>
    <r>
      <rPr>
        <sz val="10"/>
        <rFont val="FreeSans"/>
        <family val="2"/>
      </rPr>
      <t xml:space="preserve">بست  فولادی سیم بکسل نمره  </t>
    </r>
    <r>
      <rPr>
        <sz val="10"/>
        <rFont val="Vazirmatn"/>
        <family val="0"/>
        <charset val="1"/>
      </rPr>
      <t xml:space="preserve">12</t>
    </r>
  </si>
  <si>
    <t xml:space="preserve">5004706</t>
  </si>
  <si>
    <r>
      <rPr>
        <sz val="10"/>
        <rFont val="FreeSans"/>
        <family val="2"/>
      </rPr>
      <t xml:space="preserve">بست  سيم بکسل </t>
    </r>
    <r>
      <rPr>
        <sz val="10"/>
        <rFont val="Vazirmatn"/>
        <family val="0"/>
        <charset val="1"/>
      </rPr>
      <t xml:space="preserve">C.S M12</t>
    </r>
  </si>
  <si>
    <t xml:space="preserve">31274031</t>
  </si>
  <si>
    <r>
      <rPr>
        <sz val="10"/>
        <rFont val="FreeSans"/>
        <family val="2"/>
      </rPr>
      <t xml:space="preserve">بست سیم بکسل           </t>
    </r>
    <r>
      <rPr>
        <sz val="10"/>
        <rFont val="Vazirmatn"/>
        <family val="0"/>
        <charset val="1"/>
      </rPr>
      <t xml:space="preserve">8</t>
    </r>
  </si>
  <si>
    <t xml:space="preserve">4030181</t>
  </si>
  <si>
    <r>
      <rPr>
        <sz val="10"/>
        <rFont val="FreeSans"/>
        <family val="2"/>
      </rPr>
      <t xml:space="preserve">بست سیم بکسل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8</t>
    </r>
  </si>
  <si>
    <t xml:space="preserve">31274036</t>
  </si>
  <si>
    <r>
      <rPr>
        <sz val="10"/>
        <rFont val="FreeSans"/>
        <family val="2"/>
      </rPr>
      <t xml:space="preserve">بست فولادی  سیم بکسل </t>
    </r>
    <r>
      <rPr>
        <sz val="10"/>
        <rFont val="Vazirmatn"/>
        <family val="0"/>
        <charset val="1"/>
      </rPr>
      <t xml:space="preserve">10</t>
    </r>
  </si>
  <si>
    <t xml:space="preserve">4000349</t>
  </si>
  <si>
    <r>
      <rPr>
        <sz val="10"/>
        <rFont val="FreeSans"/>
        <family val="2"/>
      </rPr>
      <t xml:space="preserve">کرپي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بست سيم بکسل فولادي نمره </t>
    </r>
    <r>
      <rPr>
        <sz val="10"/>
        <rFont val="Vazirmatn"/>
        <family val="0"/>
        <charset val="1"/>
      </rPr>
      <t xml:space="preserve">10)</t>
    </r>
  </si>
  <si>
    <t xml:space="preserve">31274041</t>
  </si>
  <si>
    <r>
      <rPr>
        <sz val="10"/>
        <rFont val="FreeSans"/>
        <family val="2"/>
      </rPr>
      <t xml:space="preserve">بست استیل </t>
    </r>
    <r>
      <rPr>
        <sz val="10"/>
        <rFont val="Vazirmatn"/>
        <family val="0"/>
        <charset val="1"/>
      </rPr>
      <t xml:space="preserve">" 4</t>
    </r>
  </si>
  <si>
    <t xml:space="preserve">4030161</t>
  </si>
  <si>
    <r>
      <rPr>
        <sz val="10"/>
        <rFont val="FreeSans"/>
        <family val="2"/>
      </rPr>
      <t xml:space="preserve">بست کلمپی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</si>
  <si>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31274052</t>
  </si>
  <si>
    <r>
      <rPr>
        <sz val="10"/>
        <rFont val="FreeSans"/>
        <family val="2"/>
      </rPr>
      <t xml:space="preserve">بست فلزی شیلنگ            </t>
    </r>
    <r>
      <rPr>
        <sz val="10"/>
        <rFont val="Vazirmatn"/>
        <family val="0"/>
        <charset val="1"/>
      </rPr>
      <t xml:space="preserve">" 3/4</t>
    </r>
  </si>
  <si>
    <t xml:space="preserve">4000164</t>
  </si>
  <si>
    <r>
      <rPr>
        <sz val="10"/>
        <rFont val="FreeSans"/>
        <family val="2"/>
      </rPr>
      <t xml:space="preserve">بست شيلنگ سايز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اينچ</t>
    </r>
  </si>
  <si>
    <t xml:space="preserve">31274054</t>
  </si>
  <si>
    <r>
      <rPr>
        <sz val="10"/>
        <rFont val="FreeSans"/>
        <family val="2"/>
      </rPr>
      <t xml:space="preserve">بست فلزی  شیلنگ            </t>
    </r>
    <r>
      <rPr>
        <sz val="10"/>
        <rFont val="Vazirmatn"/>
        <family val="0"/>
        <charset val="1"/>
      </rPr>
      <t xml:space="preserve">" 3/8</t>
    </r>
  </si>
  <si>
    <t xml:space="preserve">4030150</t>
  </si>
  <si>
    <r>
      <rPr>
        <sz val="10"/>
        <rFont val="FreeSans"/>
        <family val="2"/>
      </rPr>
      <t xml:space="preserve">بست شیلنگ سایز </t>
    </r>
    <r>
      <rPr>
        <sz val="10"/>
        <rFont val="Vazirmatn"/>
        <family val="0"/>
        <charset val="1"/>
      </rPr>
      <t xml:space="preserve">3/8 </t>
    </r>
    <r>
      <rPr>
        <sz val="10"/>
        <rFont val="FreeSans"/>
        <family val="2"/>
      </rPr>
      <t xml:space="preserve">اینچ</t>
    </r>
  </si>
  <si>
    <t xml:space="preserve">31274055</t>
  </si>
  <si>
    <r>
      <rPr>
        <sz val="10"/>
        <rFont val="FreeSans"/>
        <family val="2"/>
      </rPr>
      <t xml:space="preserve">بست فلزی  شیلنگ    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</si>
  <si>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4030151</t>
  </si>
  <si>
    <r>
      <rPr>
        <sz val="10"/>
        <rFont val="FreeSans"/>
        <family val="2"/>
      </rPr>
      <t xml:space="preserve">بست شیلنگ سایز </t>
    </r>
    <r>
      <rPr>
        <sz val="10"/>
        <rFont val="Vazirmatn"/>
        <family val="0"/>
        <charset val="1"/>
      </rPr>
      <t xml:space="preserve">1/4 </t>
    </r>
    <r>
      <rPr>
        <sz val="10"/>
        <rFont val="FreeSans"/>
        <family val="2"/>
      </rPr>
      <t xml:space="preserve">اینچ</t>
    </r>
  </si>
  <si>
    <t xml:space="preserve">31274056</t>
  </si>
  <si>
    <r>
      <rPr>
        <sz val="10"/>
        <rFont val="FreeSans"/>
        <family val="2"/>
      </rPr>
      <t xml:space="preserve">بست فلزی شیلنگ             </t>
    </r>
    <r>
      <rPr>
        <sz val="10"/>
        <rFont val="Vazirmatn"/>
        <family val="0"/>
        <charset val="1"/>
      </rPr>
      <t xml:space="preserve">" 1/2</t>
    </r>
  </si>
  <si>
    <t xml:space="preserve">4030149</t>
  </si>
  <si>
    <r>
      <rPr>
        <sz val="10"/>
        <rFont val="FreeSans"/>
        <family val="2"/>
      </rPr>
      <t xml:space="preserve">بست شیلنگ سایز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</si>
  <si>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31274058</t>
  </si>
  <si>
    <r>
      <rPr>
        <sz val="10"/>
        <rFont val="FreeSans"/>
        <family val="2"/>
      </rPr>
      <t xml:space="preserve">بست فلزی  شیلنگ           </t>
    </r>
    <r>
      <rPr>
        <sz val="10"/>
        <rFont val="Vazirmatn"/>
        <family val="0"/>
        <charset val="1"/>
      </rPr>
      <t xml:space="preserve">"1</t>
    </r>
  </si>
  <si>
    <t xml:space="preserve">4000165</t>
  </si>
  <si>
    <r>
      <rPr>
        <sz val="10"/>
        <rFont val="FreeSans"/>
        <family val="2"/>
      </rPr>
      <t xml:space="preserve">بست شيلنگ سايز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اينچ</t>
    </r>
  </si>
  <si>
    <t xml:space="preserve">31274065</t>
  </si>
  <si>
    <r>
      <rPr>
        <sz val="10"/>
        <rFont val="FreeSans"/>
        <family val="2"/>
      </rPr>
      <t xml:space="preserve">بست  فلزی شیلنگ         </t>
    </r>
    <r>
      <rPr>
        <sz val="10"/>
        <rFont val="Vazirmatn"/>
        <family val="0"/>
        <charset val="1"/>
      </rPr>
      <t xml:space="preserve">"2</t>
    </r>
  </si>
  <si>
    <t xml:space="preserve">4030153</t>
  </si>
  <si>
    <r>
      <rPr>
        <sz val="10"/>
        <rFont val="FreeSans"/>
        <family val="2"/>
      </rPr>
      <t xml:space="preserve">بست شیلنگ 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</si>
  <si>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31274091</t>
  </si>
  <si>
    <r>
      <rPr>
        <sz val="10"/>
        <rFont val="FreeSans"/>
        <family val="2"/>
      </rPr>
      <t xml:space="preserve">بست سیم بکسل       </t>
    </r>
    <r>
      <rPr>
        <sz val="10"/>
        <rFont val="Vazirmatn"/>
        <family val="0"/>
        <charset val="1"/>
      </rPr>
      <t xml:space="preserve">16</t>
    </r>
  </si>
  <si>
    <t xml:space="preserve">5005414</t>
  </si>
  <si>
    <r>
      <rPr>
        <sz val="10"/>
        <rFont val="FreeSans"/>
        <family val="2"/>
      </rPr>
      <t xml:space="preserve">بست سيم بکسل </t>
    </r>
    <r>
      <rPr>
        <sz val="10"/>
        <rFont val="Vazirmatn"/>
        <family val="0"/>
        <charset val="1"/>
      </rPr>
      <t xml:space="preserve">C.S M16</t>
    </r>
  </si>
  <si>
    <t xml:space="preserve">31274103</t>
  </si>
  <si>
    <r>
      <rPr>
        <sz val="10"/>
        <rFont val="FreeSans"/>
        <family val="2"/>
      </rPr>
      <t xml:space="preserve">بست آهنی شیلنگ آچار خور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</si>
  <si>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31274194</t>
  </si>
  <si>
    <r>
      <rPr>
        <sz val="10"/>
        <rFont val="FreeSans"/>
        <family val="2"/>
      </rPr>
      <t xml:space="preserve">بست استیل  </t>
    </r>
    <r>
      <rPr>
        <sz val="10"/>
        <rFont val="Vazirmatn"/>
        <family val="0"/>
        <charset val="1"/>
      </rPr>
      <t xml:space="preserve">304   300MM</t>
    </r>
  </si>
  <si>
    <t xml:space="preserve">5006060</t>
  </si>
  <si>
    <r>
      <rPr>
        <sz val="10"/>
        <rFont val="FreeSans"/>
        <family val="2"/>
      </rPr>
      <t xml:space="preserve">بست کرپي </t>
    </r>
    <r>
      <rPr>
        <sz val="10"/>
        <rFont val="Vazirmatn"/>
        <family val="0"/>
        <charset val="1"/>
      </rPr>
      <t xml:space="preserve">S.S 300mm</t>
    </r>
  </si>
  <si>
    <t xml:space="preserve">31274216</t>
  </si>
  <si>
    <r>
      <rPr>
        <sz val="10"/>
        <rFont val="FreeSans"/>
        <family val="2"/>
      </rPr>
      <t xml:space="preserve">بست  لوله  </t>
    </r>
    <r>
      <rPr>
        <sz val="10"/>
        <rFont val="Vazirmatn"/>
        <family val="0"/>
        <charset val="1"/>
      </rPr>
      <t xml:space="preserve">29</t>
    </r>
  </si>
  <si>
    <t xml:space="preserve">4026545</t>
  </si>
  <si>
    <r>
      <rPr>
        <sz val="10"/>
        <rFont val="FreeSans"/>
        <family val="2"/>
      </rPr>
      <t xml:space="preserve">بست تک پایه لوله </t>
    </r>
    <r>
      <rPr>
        <sz val="10"/>
        <rFont val="Vazirmatn"/>
        <family val="0"/>
        <charset val="1"/>
      </rPr>
      <t xml:space="preserve">PG29</t>
    </r>
  </si>
  <si>
    <t xml:space="preserve">31274222</t>
  </si>
  <si>
    <r>
      <rPr>
        <sz val="10"/>
        <rFont val="FreeSans"/>
        <family val="2"/>
      </rPr>
      <t xml:space="preserve">بست لوله برق  فلزی    </t>
    </r>
    <r>
      <rPr>
        <sz val="10"/>
        <rFont val="Vazirmatn"/>
        <family val="0"/>
        <charset val="1"/>
      </rPr>
      <t xml:space="preserve">MM 21</t>
    </r>
  </si>
  <si>
    <t xml:space="preserve">5003441</t>
  </si>
  <si>
    <r>
      <rPr>
        <sz val="10"/>
        <rFont val="FreeSans"/>
        <family val="2"/>
      </rPr>
      <t xml:space="preserve">بست اسپيت فلزي </t>
    </r>
    <r>
      <rPr>
        <sz val="10"/>
        <rFont val="Vazirmatn"/>
        <family val="0"/>
        <charset val="1"/>
      </rPr>
      <t xml:space="preserve">PG21</t>
    </r>
  </si>
  <si>
    <t xml:space="preserve">31274235</t>
  </si>
  <si>
    <r>
      <rPr>
        <sz val="10"/>
        <rFont val="FreeSans"/>
        <family val="2"/>
      </rPr>
      <t xml:space="preserve">بست کلمپی استیل کامل  صنایع شیری  </t>
    </r>
    <r>
      <rPr>
        <sz val="10"/>
        <rFont val="Vazirmatn"/>
        <family val="0"/>
        <charset val="1"/>
      </rPr>
      <t xml:space="preserve">25mm</t>
    </r>
  </si>
  <si>
    <t xml:space="preserve">5009782</t>
  </si>
  <si>
    <r>
      <rPr>
        <sz val="10"/>
        <rFont val="FreeSans"/>
        <family val="2"/>
      </rPr>
      <t xml:space="preserve">بست کلمپی </t>
    </r>
    <r>
      <rPr>
        <sz val="10"/>
        <rFont val="Vazirmatn"/>
        <family val="0"/>
        <charset val="1"/>
      </rPr>
      <t xml:space="preserve">25mm S.S</t>
    </r>
  </si>
  <si>
    <t xml:space="preserve">31274365</t>
  </si>
  <si>
    <r>
      <rPr>
        <sz val="10"/>
        <rFont val="FreeSans"/>
        <family val="2"/>
      </rPr>
      <t xml:space="preserve">بست  فلزی شیلنگ         </t>
    </r>
    <r>
      <rPr>
        <sz val="10"/>
        <rFont val="Vazirmatn"/>
        <family val="0"/>
        <charset val="1"/>
      </rPr>
      <t xml:space="preserve">"3</t>
    </r>
  </si>
  <si>
    <t xml:space="preserve">4030148</t>
  </si>
  <si>
    <r>
      <rPr>
        <sz val="10"/>
        <rFont val="FreeSans"/>
        <family val="2"/>
      </rPr>
      <t xml:space="preserve">بست شیلنگ 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</si>
  <si>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31274390</t>
  </si>
  <si>
    <t xml:space="preserve">بست  کپسول آتش نشانی</t>
  </si>
  <si>
    <t xml:space="preserve">5006154</t>
  </si>
  <si>
    <t xml:space="preserve">بست ديواري کپسول آتش نشاني</t>
  </si>
  <si>
    <t xml:space="preserve">31274402</t>
  </si>
  <si>
    <r>
      <rPr>
        <sz val="10"/>
        <rFont val="FreeSans"/>
        <family val="2"/>
      </rPr>
      <t xml:space="preserve">شیلنگ شیپورک کپسول آتشنشانی </t>
    </r>
    <r>
      <rPr>
        <sz val="10"/>
        <rFont val="Vazirmatn"/>
        <family val="0"/>
        <charset val="1"/>
      </rPr>
      <t xml:space="preserve">CO2</t>
    </r>
  </si>
  <si>
    <t xml:space="preserve">4033751</t>
  </si>
  <si>
    <r>
      <rPr>
        <sz val="10"/>
        <rFont val="FreeSans"/>
        <family val="2"/>
      </rPr>
      <t xml:space="preserve">شیلنگ شیپورک کپسول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کیلوگرمی </t>
    </r>
    <r>
      <rPr>
        <sz val="10"/>
        <rFont val="Vazirmatn"/>
        <family val="0"/>
        <charset val="1"/>
      </rPr>
      <t xml:space="preserve">co2</t>
    </r>
  </si>
  <si>
    <t xml:space="preserve">31274406</t>
  </si>
  <si>
    <t xml:space="preserve">شیلنگ فشارقوی کارواش</t>
  </si>
  <si>
    <t xml:space="preserve">4026309</t>
  </si>
  <si>
    <t xml:space="preserve">شیلنگ کارواش</t>
  </si>
  <si>
    <t xml:space="preserve">31274410</t>
  </si>
  <si>
    <r>
      <rPr>
        <sz val="10"/>
        <rFont val="FreeSans"/>
        <family val="2"/>
      </rPr>
      <t xml:space="preserve">شیلنگ گاز </t>
    </r>
    <r>
      <rPr>
        <sz val="10"/>
        <rFont val="Vazirmatn"/>
        <family val="0"/>
        <charset val="1"/>
      </rPr>
      <t xml:space="preserve">" 1/2</t>
    </r>
  </si>
  <si>
    <t xml:space="preserve">5017439</t>
  </si>
  <si>
    <r>
      <rPr>
        <sz val="10"/>
        <rFont val="FreeSans"/>
        <family val="2"/>
      </rPr>
      <t xml:space="preserve">شیلنگ پلاستیکی گاز نخ دار </t>
    </r>
    <r>
      <rPr>
        <sz val="10"/>
        <rFont val="Vazirmatn"/>
        <family val="0"/>
        <charset val="1"/>
      </rPr>
      <t xml:space="preserve">"1/2</t>
    </r>
  </si>
  <si>
    <t xml:space="preserve">31274421</t>
  </si>
  <si>
    <r>
      <rPr>
        <sz val="10"/>
        <rFont val="FreeSans"/>
        <family val="2"/>
      </rPr>
      <t xml:space="preserve">شیلنگ پنوماتیک شفاف     </t>
    </r>
    <r>
      <rPr>
        <sz val="10"/>
        <rFont val="Vazirmatn"/>
        <family val="0"/>
        <charset val="1"/>
      </rPr>
      <t xml:space="preserve">6mm</t>
    </r>
  </si>
  <si>
    <t xml:space="preserve">5002368</t>
  </si>
  <si>
    <r>
      <rPr>
        <sz val="10"/>
        <rFont val="FreeSans"/>
        <family val="2"/>
      </rPr>
      <t xml:space="preserve">شيلنگ پنوماتيک </t>
    </r>
    <r>
      <rPr>
        <sz val="10"/>
        <rFont val="Vazirmatn"/>
        <family val="0"/>
        <charset val="1"/>
      </rPr>
      <t xml:space="preserve">4*6 mm</t>
    </r>
  </si>
  <si>
    <t xml:space="preserve">31274425</t>
  </si>
  <si>
    <r>
      <rPr>
        <sz val="10"/>
        <rFont val="FreeSans"/>
        <family val="2"/>
      </rPr>
      <t xml:space="preserve">شیلنگ پنوماتیک     </t>
    </r>
    <r>
      <rPr>
        <sz val="10"/>
        <rFont val="Vazirmatn"/>
        <family val="0"/>
        <charset val="1"/>
      </rPr>
      <t xml:space="preserve">4*6</t>
    </r>
  </si>
  <si>
    <t xml:space="preserve">31274431</t>
  </si>
  <si>
    <r>
      <rPr>
        <sz val="10"/>
        <rFont val="FreeSans"/>
        <family val="2"/>
      </rPr>
      <t xml:space="preserve">شیلنگ پنوماتیک     </t>
    </r>
    <r>
      <rPr>
        <sz val="10"/>
        <rFont val="Vazirmatn"/>
        <family val="0"/>
        <charset val="1"/>
      </rPr>
      <t xml:space="preserve">12mm</t>
    </r>
  </si>
  <si>
    <t xml:space="preserve">5002371</t>
  </si>
  <si>
    <r>
      <rPr>
        <sz val="10"/>
        <rFont val="FreeSans"/>
        <family val="2"/>
      </rPr>
      <t xml:space="preserve">شيلنگ پنوماتيک </t>
    </r>
    <r>
      <rPr>
        <sz val="10"/>
        <rFont val="Vazirmatn"/>
        <family val="0"/>
        <charset val="1"/>
      </rPr>
      <t xml:space="preserve">8*12 mm</t>
    </r>
  </si>
  <si>
    <t xml:space="preserve">31274440</t>
  </si>
  <si>
    <r>
      <rPr>
        <sz val="10"/>
        <rFont val="FreeSans"/>
        <family val="2"/>
      </rPr>
      <t xml:space="preserve">شیلنگ پنوماتیک  نمره </t>
    </r>
    <r>
      <rPr>
        <sz val="10"/>
        <rFont val="Vazirmatn"/>
        <family val="0"/>
        <charset val="1"/>
      </rPr>
      <t xml:space="preserve">: 10</t>
    </r>
  </si>
  <si>
    <t xml:space="preserve">5004777</t>
  </si>
  <si>
    <r>
      <rPr>
        <sz val="10"/>
        <rFont val="FreeSans"/>
        <family val="2"/>
      </rPr>
      <t xml:space="preserve">شيلنگ پنوماتيک </t>
    </r>
    <r>
      <rPr>
        <sz val="10"/>
        <rFont val="Vazirmatn"/>
        <family val="0"/>
        <charset val="1"/>
      </rPr>
      <t xml:space="preserve">6*10 mm</t>
    </r>
  </si>
  <si>
    <t xml:space="preserve">31274452</t>
  </si>
  <si>
    <t xml:space="preserve">شیلنگ گریس خور</t>
  </si>
  <si>
    <t xml:space="preserve">5004260</t>
  </si>
  <si>
    <t xml:space="preserve">شيلنگ گريس پمپ</t>
  </si>
  <si>
    <t xml:space="preserve">31274453</t>
  </si>
  <si>
    <r>
      <rPr>
        <sz val="10"/>
        <rFont val="FreeSans"/>
        <family val="2"/>
      </rPr>
      <t xml:space="preserve">شیلنگ شفاف ساده  </t>
    </r>
    <r>
      <rPr>
        <sz val="10"/>
        <rFont val="Vazirmatn"/>
        <family val="0"/>
        <charset val="1"/>
      </rPr>
      <t xml:space="preserve">" 6</t>
    </r>
  </si>
  <si>
    <t xml:space="preserve">4030338</t>
  </si>
  <si>
    <r>
      <rPr>
        <sz val="10"/>
        <rFont val="FreeSans"/>
        <family val="2"/>
      </rPr>
      <t xml:space="preserve">شیلنگ شفاف </t>
    </r>
    <r>
      <rPr>
        <sz val="10"/>
        <rFont val="Vazirmatn"/>
        <family val="0"/>
        <charset val="1"/>
      </rPr>
      <t xml:space="preserve">4 * 6</t>
    </r>
  </si>
  <si>
    <t xml:space="preserve">31274454</t>
  </si>
  <si>
    <r>
      <rPr>
        <sz val="10"/>
        <rFont val="FreeSans"/>
        <family val="2"/>
      </rPr>
      <t xml:space="preserve">شیلنگ فشار قوی </t>
    </r>
    <r>
      <rPr>
        <sz val="10"/>
        <rFont val="Vazirmatn"/>
        <family val="0"/>
        <charset val="1"/>
      </rPr>
      <t xml:space="preserve">" 400bar  1 1/2</t>
    </r>
  </si>
  <si>
    <t xml:space="preserve">4030316</t>
  </si>
  <si>
    <r>
      <rPr>
        <sz val="10"/>
        <rFont val="FreeSans"/>
        <family val="2"/>
      </rPr>
      <t xml:space="preserve">شیلنگ فشار قوی سایز </t>
    </r>
    <r>
      <rPr>
        <sz val="10"/>
        <rFont val="Vazirmatn"/>
        <family val="0"/>
        <charset val="1"/>
      </rPr>
      <t xml:space="preserve">"1/2 1 </t>
    </r>
    <r>
      <rPr>
        <sz val="10"/>
        <rFont val="FreeSans"/>
        <family val="2"/>
      </rPr>
      <t xml:space="preserve">اینچ</t>
    </r>
  </si>
  <si>
    <t xml:space="preserve">31274456</t>
  </si>
  <si>
    <r>
      <rPr>
        <sz val="10"/>
        <rFont val="FreeSans"/>
        <family val="2"/>
      </rPr>
      <t xml:space="preserve">شیلنگ گاز نخ دار   </t>
    </r>
    <r>
      <rPr>
        <sz val="10"/>
        <rFont val="Vazirmatn"/>
        <family val="0"/>
        <charset val="1"/>
      </rPr>
      <t xml:space="preserve">" 3/4</t>
    </r>
  </si>
  <si>
    <t xml:space="preserve">4023803</t>
  </si>
  <si>
    <r>
      <rPr>
        <sz val="10"/>
        <rFont val="FreeSans"/>
        <family val="2"/>
      </rPr>
      <t xml:space="preserve">شیلنگ شفاف نخ دار </t>
    </r>
    <r>
      <rPr>
        <sz val="10"/>
        <rFont val="Vazirmatn"/>
        <family val="0"/>
        <charset val="1"/>
      </rPr>
      <t xml:space="preserve">3/4</t>
    </r>
  </si>
  <si>
    <t xml:space="preserve">31274457</t>
  </si>
  <si>
    <r>
      <rPr>
        <sz val="10"/>
        <rFont val="FreeSans"/>
        <family val="2"/>
      </rPr>
      <t xml:space="preserve">شیلنگ فشار قوی  </t>
    </r>
    <r>
      <rPr>
        <sz val="10"/>
        <rFont val="Vazirmatn"/>
        <family val="0"/>
        <charset val="1"/>
      </rPr>
      <t xml:space="preserve">" 1/2 1</t>
    </r>
  </si>
  <si>
    <t xml:space="preserve">31274462</t>
  </si>
  <si>
    <r>
      <rPr>
        <sz val="10"/>
        <rFont val="FreeSans"/>
        <family val="2"/>
      </rPr>
      <t xml:space="preserve">شیلنگ کارواش  </t>
    </r>
    <r>
      <rPr>
        <sz val="10"/>
        <rFont val="Vazirmatn"/>
        <family val="0"/>
        <charset val="1"/>
      </rPr>
      <t xml:space="preserve">" 3/8</t>
    </r>
  </si>
  <si>
    <t xml:space="preserve">31274464</t>
  </si>
  <si>
    <r>
      <rPr>
        <sz val="10"/>
        <rFont val="FreeSans"/>
        <family val="2"/>
      </rPr>
      <t xml:space="preserve">شیلنگ پیسوار با مهره </t>
    </r>
    <r>
      <rPr>
        <sz val="10"/>
        <rFont val="Vazirmatn"/>
        <family val="0"/>
        <charset val="1"/>
      </rPr>
      <t xml:space="preserve">" 3/4</t>
    </r>
  </si>
  <si>
    <t xml:space="preserve">4030329</t>
  </si>
  <si>
    <r>
      <rPr>
        <sz val="10"/>
        <rFont val="FreeSans"/>
        <family val="2"/>
      </rPr>
      <t xml:space="preserve">شیلنگ پیسوار 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- 50</t>
    </r>
    <r>
      <rPr>
        <sz val="10"/>
        <rFont val="FreeSans"/>
        <family val="2"/>
      </rPr>
      <t xml:space="preserve">سانتی</t>
    </r>
  </si>
  <si>
    <t xml:space="preserve">31274470</t>
  </si>
  <si>
    <r>
      <rPr>
        <sz val="10"/>
        <rFont val="FreeSans"/>
        <family val="2"/>
      </rPr>
      <t xml:space="preserve">شیلنگ پیسوار  </t>
    </r>
    <r>
      <rPr>
        <sz val="10"/>
        <rFont val="Vazirmatn"/>
        <family val="0"/>
        <charset val="1"/>
      </rPr>
      <t xml:space="preserve">"1/2 * "3/8</t>
    </r>
  </si>
  <si>
    <t xml:space="preserve">5012060</t>
  </si>
  <si>
    <r>
      <rPr>
        <sz val="10"/>
        <rFont val="FreeSans"/>
        <family val="2"/>
      </rPr>
      <t xml:space="preserve">شیلنگ پیسوار </t>
    </r>
    <r>
      <rPr>
        <sz val="10"/>
        <rFont val="Vazirmatn"/>
        <family val="0"/>
        <charset val="1"/>
      </rPr>
      <t xml:space="preserve">3/8*1/2 - 30 </t>
    </r>
    <r>
      <rPr>
        <sz val="10"/>
        <rFont val="FreeSans"/>
        <family val="2"/>
      </rPr>
      <t xml:space="preserve">سانتی</t>
    </r>
  </si>
  <si>
    <t xml:space="preserve">31274473</t>
  </si>
  <si>
    <r>
      <rPr>
        <sz val="10"/>
        <rFont val="FreeSans"/>
        <family val="2"/>
      </rPr>
      <t xml:space="preserve">شیلنگ سیم دار شفاف 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</si>
  <si>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31274499</t>
  </si>
  <si>
    <r>
      <rPr>
        <sz val="10"/>
        <rFont val="FreeSans"/>
        <family val="2"/>
      </rPr>
      <t xml:space="preserve">شیلنگ پیسوار با مهره </t>
    </r>
    <r>
      <rPr>
        <sz val="10"/>
        <rFont val="Vazirmatn"/>
        <family val="0"/>
        <charset val="1"/>
      </rPr>
      <t xml:space="preserve">" 3/8</t>
    </r>
  </si>
  <si>
    <t xml:space="preserve">31274505</t>
  </si>
  <si>
    <r>
      <rPr>
        <sz val="10"/>
        <rFont val="FreeSans"/>
        <family val="2"/>
      </rPr>
      <t xml:space="preserve">شیلنگ سیم دار شفاف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</t>
    </r>
  </si>
  <si>
    <t xml:space="preserve">4030353</t>
  </si>
  <si>
    <r>
      <rPr>
        <sz val="10"/>
        <rFont val="FreeSans"/>
        <family val="2"/>
      </rPr>
      <t xml:space="preserve">شیلنگ فلکسی بل سیم دار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</si>
  <si>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31274510</t>
  </si>
  <si>
    <t xml:space="preserve">شیلنگ گریس پمپ دستی</t>
  </si>
  <si>
    <t xml:space="preserve">31274523</t>
  </si>
  <si>
    <r>
      <rPr>
        <sz val="10"/>
        <rFont val="FreeSans"/>
        <family val="2"/>
      </rPr>
      <t xml:space="preserve">شیلنگ سیم دار شفاف     </t>
    </r>
    <r>
      <rPr>
        <sz val="10"/>
        <rFont val="Vazirmatn"/>
        <family val="0"/>
        <charset val="1"/>
      </rPr>
      <t xml:space="preserve">" 2</t>
    </r>
  </si>
  <si>
    <t xml:space="preserve">31274525</t>
  </si>
  <si>
    <r>
      <rPr>
        <sz val="10"/>
        <rFont val="FreeSans"/>
        <family val="2"/>
      </rPr>
      <t xml:space="preserve">شیلنگ سیم دار شفاف     </t>
    </r>
    <r>
      <rPr>
        <sz val="10"/>
        <rFont val="Vazirmatn"/>
        <family val="0"/>
        <charset val="1"/>
      </rPr>
      <t xml:space="preserve">" 4</t>
    </r>
  </si>
  <si>
    <t xml:space="preserve">31274528</t>
  </si>
  <si>
    <r>
      <rPr>
        <sz val="10"/>
        <rFont val="FreeSans"/>
        <family val="2"/>
      </rPr>
      <t xml:space="preserve">شیلنگ سیم دار شفاف 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</si>
  <si>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31274535</t>
  </si>
  <si>
    <t xml:space="preserve">شیلنگ هوا برش</t>
  </si>
  <si>
    <t xml:space="preserve">5008208</t>
  </si>
  <si>
    <t xml:space="preserve">شیلنگ هوا گاز</t>
  </si>
  <si>
    <t xml:space="preserve">31274544</t>
  </si>
  <si>
    <r>
      <rPr>
        <sz val="10"/>
        <rFont val="FreeSans"/>
        <family val="2"/>
      </rPr>
      <t xml:space="preserve">شیلنگ شفاف نمره </t>
    </r>
    <r>
      <rPr>
        <sz val="10"/>
        <rFont val="Vazirmatn"/>
        <family val="0"/>
        <charset val="1"/>
      </rPr>
      <t xml:space="preserve">: 4</t>
    </r>
  </si>
  <si>
    <t xml:space="preserve">31274551</t>
  </si>
  <si>
    <r>
      <rPr>
        <sz val="10"/>
        <rFont val="FreeSans"/>
        <family val="2"/>
      </rPr>
      <t xml:space="preserve">شیلنگ کپسول پودری </t>
    </r>
    <r>
      <rPr>
        <sz val="10"/>
        <rFont val="Vazirmatn"/>
        <family val="0"/>
        <charset val="1"/>
      </rPr>
      <t xml:space="preserve">6Kg</t>
    </r>
  </si>
  <si>
    <t xml:space="preserve">4033757</t>
  </si>
  <si>
    <r>
      <rPr>
        <sz val="10"/>
        <rFont val="FreeSans"/>
        <family val="2"/>
      </rPr>
      <t xml:space="preserve">شیلنگ کپسول پودر و گاز </t>
    </r>
    <r>
      <rPr>
        <sz val="10"/>
        <rFont val="Vazirmatn"/>
        <family val="0"/>
        <charset val="1"/>
      </rPr>
      <t xml:space="preserve">12</t>
    </r>
    <r>
      <rPr>
        <sz val="10"/>
        <rFont val="FreeSans"/>
        <family val="2"/>
      </rPr>
      <t xml:space="preserve">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کیلوگرم</t>
    </r>
  </si>
  <si>
    <t xml:space="preserve">31274604</t>
  </si>
  <si>
    <r>
      <rPr>
        <sz val="10"/>
        <rFont val="FreeSans"/>
        <family val="2"/>
      </rPr>
      <t xml:space="preserve">سیم بکسل     </t>
    </r>
    <r>
      <rPr>
        <sz val="10"/>
        <rFont val="Vazirmatn"/>
        <family val="0"/>
        <charset val="1"/>
      </rPr>
      <t xml:space="preserve">8</t>
    </r>
  </si>
  <si>
    <t xml:space="preserve">5003904</t>
  </si>
  <si>
    <r>
      <rPr>
        <sz val="10"/>
        <rFont val="FreeSans"/>
        <family val="2"/>
      </rPr>
      <t xml:space="preserve">سيم بکسل </t>
    </r>
    <r>
      <rPr>
        <sz val="10"/>
        <rFont val="Vazirmatn"/>
        <family val="0"/>
        <charset val="1"/>
      </rPr>
      <t xml:space="preserve">8mm</t>
    </r>
  </si>
  <si>
    <t xml:space="preserve">31274608</t>
  </si>
  <si>
    <r>
      <rPr>
        <sz val="10"/>
        <rFont val="FreeSans"/>
        <family val="2"/>
      </rPr>
      <t xml:space="preserve">سیم بکسل   نمره  </t>
    </r>
    <r>
      <rPr>
        <sz val="10"/>
        <rFont val="Vazirmatn"/>
        <family val="0"/>
        <charset val="1"/>
      </rPr>
      <t xml:space="preserve">10</t>
    </r>
  </si>
  <si>
    <t xml:space="preserve">5003905</t>
  </si>
  <si>
    <r>
      <rPr>
        <sz val="10"/>
        <rFont val="FreeSans"/>
        <family val="2"/>
      </rPr>
      <t xml:space="preserve">سيم بکسل </t>
    </r>
    <r>
      <rPr>
        <sz val="10"/>
        <rFont val="Vazirmatn"/>
        <family val="0"/>
        <charset val="1"/>
      </rPr>
      <t xml:space="preserve">10mm</t>
    </r>
  </si>
  <si>
    <t xml:space="preserve">31275100</t>
  </si>
  <si>
    <r>
      <rPr>
        <sz val="10"/>
        <rFont val="FreeSans"/>
        <family val="2"/>
      </rPr>
      <t xml:space="preserve">سر دنده آهنی مانیسمان رده </t>
    </r>
    <r>
      <rPr>
        <sz val="10"/>
        <rFont val="Vazirmatn"/>
        <family val="0"/>
        <charset val="1"/>
      </rPr>
      <t xml:space="preserve">40    " 1</t>
    </r>
  </si>
  <si>
    <t xml:space="preserve">4029655</t>
  </si>
  <si>
    <r>
      <rPr>
        <sz val="10"/>
        <rFont val="FreeSans"/>
        <family val="2"/>
      </rPr>
      <t xml:space="preserve">سر دنده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</si>
  <si>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31275102</t>
  </si>
  <si>
    <r>
      <rPr>
        <sz val="10"/>
        <rFont val="FreeSans"/>
        <family val="2"/>
      </rPr>
      <t xml:space="preserve">سر دنده آهنی مانیسمان     </t>
    </r>
    <r>
      <rPr>
        <sz val="10"/>
        <rFont val="Vazirmatn"/>
        <family val="0"/>
        <charset val="1"/>
      </rPr>
      <t xml:space="preserve">" 2</t>
    </r>
  </si>
  <si>
    <t xml:space="preserve">4031061</t>
  </si>
  <si>
    <r>
      <rPr>
        <sz val="10"/>
        <rFont val="FreeSans"/>
        <family val="2"/>
      </rPr>
      <t xml:space="preserve">سر دنده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2</t>
    </r>
  </si>
  <si>
    <t xml:space="preserve">31275103</t>
  </si>
  <si>
    <r>
      <rPr>
        <sz val="10"/>
        <rFont val="FreeSans"/>
        <family val="2"/>
      </rPr>
      <t xml:space="preserve">سر دنده آهنی مانیسمان     </t>
    </r>
    <r>
      <rPr>
        <sz val="10"/>
        <rFont val="Vazirmatn"/>
        <family val="0"/>
        <charset val="1"/>
      </rPr>
      <t xml:space="preserve">" 3</t>
    </r>
  </si>
  <si>
    <t xml:space="preserve">4029654</t>
  </si>
  <si>
    <r>
      <rPr>
        <sz val="10"/>
        <rFont val="FreeSans"/>
        <family val="2"/>
      </rPr>
      <t xml:space="preserve">سر دنده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</si>
  <si>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31275110</t>
  </si>
  <si>
    <r>
      <rPr>
        <sz val="10"/>
        <rFont val="FreeSans"/>
        <family val="2"/>
      </rPr>
      <t xml:space="preserve">سر دنده آهنی مانیسمان رده </t>
    </r>
    <r>
      <rPr>
        <sz val="10"/>
        <rFont val="Vazirmatn"/>
        <family val="0"/>
        <charset val="1"/>
      </rPr>
      <t xml:space="preserve">40  " 1/2 1</t>
    </r>
  </si>
  <si>
    <t xml:space="preserve">4031038</t>
  </si>
  <si>
    <r>
      <rPr>
        <sz val="10"/>
        <rFont val="FreeSans"/>
        <family val="2"/>
      </rPr>
      <t xml:space="preserve">سر دنده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</si>
  <si>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31275112</t>
  </si>
  <si>
    <r>
      <rPr>
        <sz val="10"/>
        <rFont val="FreeSans"/>
        <family val="2"/>
      </rPr>
      <t xml:space="preserve">سردنده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 رده </t>
    </r>
    <r>
      <rPr>
        <sz val="10"/>
        <rFont val="Vazirmatn"/>
        <family val="0"/>
        <charset val="1"/>
      </rPr>
      <t xml:space="preserve">40  " 1</t>
    </r>
  </si>
  <si>
    <t xml:space="preserve">4031050</t>
  </si>
  <si>
    <r>
      <rPr>
        <sz val="10"/>
        <rFont val="FreeSans"/>
        <family val="2"/>
      </rPr>
      <t xml:space="preserve">سردنده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1</t>
    </r>
  </si>
  <si>
    <t xml:space="preserve">31275114</t>
  </si>
  <si>
    <r>
      <rPr>
        <sz val="10"/>
        <rFont val="FreeSans"/>
        <family val="2"/>
      </rPr>
      <t xml:space="preserve">سردنده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 رده </t>
    </r>
    <r>
      <rPr>
        <sz val="10"/>
        <rFont val="Vazirmatn"/>
        <family val="0"/>
        <charset val="1"/>
      </rPr>
      <t xml:space="preserve">40  " 1/2 1</t>
    </r>
  </si>
  <si>
    <t xml:space="preserve">4031052</t>
  </si>
  <si>
    <r>
      <rPr>
        <sz val="10"/>
        <rFont val="FreeSans"/>
        <family val="2"/>
      </rPr>
      <t xml:space="preserve">سردنده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سایز</t>
    </r>
    <r>
      <rPr>
        <sz val="10"/>
        <rFont val="Vazirmatn"/>
        <family val="0"/>
        <charset val="1"/>
      </rPr>
      <t xml:space="preserve">1/2 1</t>
    </r>
  </si>
  <si>
    <t xml:space="preserve">31276081</t>
  </si>
  <si>
    <r>
      <rPr>
        <sz val="10"/>
        <rFont val="FreeSans"/>
        <family val="2"/>
      </rPr>
      <t xml:space="preserve">سر دنده آهنی مانیسمان رده </t>
    </r>
    <r>
      <rPr>
        <sz val="10"/>
        <rFont val="Vazirmatn"/>
        <family val="0"/>
        <charset val="1"/>
      </rPr>
      <t xml:space="preserve">40  "3/4</t>
    </r>
  </si>
  <si>
    <t xml:space="preserve">4031039</t>
  </si>
  <si>
    <r>
      <rPr>
        <sz val="10"/>
        <rFont val="FreeSans"/>
        <family val="2"/>
      </rPr>
      <t xml:space="preserve">سر دنده کربن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</t>
    </r>
  </si>
  <si>
    <t xml:space="preserve">31276083</t>
  </si>
  <si>
    <r>
      <rPr>
        <sz val="10"/>
        <rFont val="FreeSans"/>
        <family val="2"/>
      </rPr>
      <t xml:space="preserve">سر دنده آهنی مانیسمان     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</t>
    </r>
  </si>
  <si>
    <t xml:space="preserve">4031042</t>
  </si>
  <si>
    <r>
      <rPr>
        <sz val="10"/>
        <rFont val="FreeSans"/>
        <family val="2"/>
      </rPr>
      <t xml:space="preserve">سر دنده جوشی 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1/2 2</t>
    </r>
  </si>
  <si>
    <t xml:space="preserve">31276086</t>
  </si>
  <si>
    <r>
      <rPr>
        <sz val="10"/>
        <rFont val="FreeSans"/>
        <family val="2"/>
      </rPr>
      <t xml:space="preserve">سر دنده آهنی مانیسمان رده </t>
    </r>
    <r>
      <rPr>
        <sz val="10"/>
        <rFont val="Vazirmatn"/>
        <family val="0"/>
        <charset val="1"/>
      </rPr>
      <t xml:space="preserve">40     "1/2</t>
    </r>
  </si>
  <si>
    <t xml:space="preserve">31276088</t>
  </si>
  <si>
    <r>
      <rPr>
        <sz val="10"/>
        <rFont val="FreeSans"/>
        <family val="2"/>
      </rPr>
      <t xml:space="preserve">لوله خرطومی برق </t>
    </r>
    <r>
      <rPr>
        <sz val="10"/>
        <rFont val="Vazirmatn"/>
        <family val="0"/>
        <charset val="1"/>
      </rPr>
      <t xml:space="preserve">13</t>
    </r>
  </si>
  <si>
    <t xml:space="preserve">31276108</t>
  </si>
  <si>
    <r>
      <rPr>
        <sz val="10"/>
        <rFont val="FreeSans"/>
        <family val="2"/>
      </rPr>
      <t xml:space="preserve">لوله مسی   </t>
    </r>
    <r>
      <rPr>
        <sz val="10"/>
        <rFont val="Vazirmatn"/>
        <family val="0"/>
        <charset val="1"/>
      </rPr>
      <t xml:space="preserve">5/8</t>
    </r>
  </si>
  <si>
    <t xml:space="preserve">4020514</t>
  </si>
  <si>
    <r>
      <rPr>
        <sz val="10"/>
        <rFont val="FreeSans"/>
        <family val="2"/>
      </rPr>
      <t xml:space="preserve">لوله مسی سایز </t>
    </r>
    <r>
      <rPr>
        <sz val="10"/>
        <rFont val="Vazirmatn"/>
        <family val="0"/>
        <charset val="1"/>
      </rPr>
      <t xml:space="preserve">"5/8</t>
    </r>
  </si>
  <si>
    <t xml:space="preserve">31276130</t>
  </si>
  <si>
    <r>
      <rPr>
        <sz val="10"/>
        <rFont val="FreeSans"/>
        <family val="2"/>
      </rPr>
      <t xml:space="preserve">لوله پلیکا  </t>
    </r>
    <r>
      <rPr>
        <sz val="10"/>
        <rFont val="Vazirmatn"/>
        <family val="0"/>
        <charset val="1"/>
      </rPr>
      <t xml:space="preserve">110</t>
    </r>
  </si>
  <si>
    <t xml:space="preserve">31276131</t>
  </si>
  <si>
    <r>
      <rPr>
        <sz val="10"/>
        <rFont val="FreeSans"/>
        <family val="2"/>
      </rPr>
      <t xml:space="preserve">سردنده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  " 1/2</t>
    </r>
  </si>
  <si>
    <t xml:space="preserve">4031056</t>
  </si>
  <si>
    <r>
      <rPr>
        <sz val="10"/>
        <rFont val="FreeSans"/>
        <family val="2"/>
      </rPr>
      <t xml:space="preserve">سردنده جوشی</t>
    </r>
    <r>
      <rPr>
        <sz val="10"/>
        <rFont val="Vazirmatn"/>
        <family val="0"/>
        <charset val="1"/>
      </rPr>
      <t xml:space="preserve">304</t>
    </r>
    <r>
      <rPr>
        <sz val="10"/>
        <rFont val="FreeSans"/>
        <family val="2"/>
      </rPr>
      <t xml:space="preserve">رده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سایز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</si>
  <si>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31276132</t>
  </si>
  <si>
    <r>
      <rPr>
        <sz val="10"/>
        <rFont val="FreeSans"/>
        <family val="2"/>
      </rPr>
      <t xml:space="preserve">سر دنده استیل </t>
    </r>
    <r>
      <rPr>
        <sz val="10"/>
        <rFont val="Vazirmatn"/>
        <family val="0"/>
        <charset val="1"/>
      </rPr>
      <t xml:space="preserve">304  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                    "1</t>
    </r>
  </si>
  <si>
    <t xml:space="preserve">4031060</t>
  </si>
  <si>
    <r>
      <rPr>
        <sz val="10"/>
        <rFont val="FreeSans"/>
        <family val="2"/>
      </rPr>
      <t xml:space="preserve">سر دنده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مانیسمان سایز</t>
    </r>
    <r>
      <rPr>
        <sz val="10"/>
        <rFont val="Vazirmatn"/>
        <family val="0"/>
        <charset val="1"/>
      </rPr>
      <t xml:space="preserve">1/2 1</t>
    </r>
  </si>
  <si>
    <t xml:space="preserve">31276140</t>
  </si>
  <si>
    <r>
      <rPr>
        <sz val="10"/>
        <rFont val="FreeSans"/>
        <family val="2"/>
      </rPr>
      <t xml:space="preserve">سر دنده استیل مانیسمان جوشی         </t>
    </r>
    <r>
      <rPr>
        <sz val="10"/>
        <rFont val="Vazirmatn"/>
        <family val="0"/>
        <charset val="1"/>
      </rPr>
      <t xml:space="preserve">"1/2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</si>
  <si>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31276151</t>
  </si>
  <si>
    <r>
      <rPr>
        <sz val="10"/>
        <rFont val="FreeSans"/>
        <family val="2"/>
      </rPr>
      <t xml:space="preserve">سر دنده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 رده </t>
    </r>
    <r>
      <rPr>
        <sz val="10"/>
        <rFont val="Vazirmatn"/>
        <family val="0"/>
        <charset val="1"/>
      </rPr>
      <t xml:space="preserve">10             " 2</t>
    </r>
  </si>
  <si>
    <t xml:space="preserve">31276164</t>
  </si>
  <si>
    <r>
      <rPr>
        <sz val="10"/>
        <rFont val="FreeSans"/>
        <family val="2"/>
      </rPr>
      <t xml:space="preserve">سردنده استیل مانیسمان </t>
    </r>
    <r>
      <rPr>
        <sz val="10"/>
        <rFont val="Vazirmatn"/>
        <family val="0"/>
        <charset val="1"/>
      </rPr>
      <t xml:space="preserve">304 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 " 1/2</t>
    </r>
  </si>
  <si>
    <t xml:space="preserve">4031049</t>
  </si>
  <si>
    <r>
      <rPr>
        <sz val="10"/>
        <rFont val="FreeSans"/>
        <family val="2"/>
      </rPr>
      <t xml:space="preserve">سردنده جوشی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مانیسمان سایز </t>
    </r>
    <r>
      <rPr>
        <sz val="10"/>
        <rFont val="Vazirmatn"/>
        <family val="0"/>
        <charset val="1"/>
      </rPr>
      <t xml:space="preserve">1/2</t>
    </r>
  </si>
  <si>
    <t xml:space="preserve">31276183</t>
  </si>
  <si>
    <r>
      <rPr>
        <sz val="10"/>
        <rFont val="FreeSans"/>
        <family val="2"/>
      </rPr>
      <t xml:space="preserve">لوله خرطومی نرم تابلویی  </t>
    </r>
    <r>
      <rPr>
        <sz val="10"/>
        <rFont val="Vazirmatn"/>
        <family val="0"/>
        <charset val="1"/>
      </rPr>
      <t xml:space="preserve">6</t>
    </r>
  </si>
  <si>
    <t xml:space="preserve">5018570</t>
  </si>
  <si>
    <r>
      <rPr>
        <sz val="10"/>
        <rFont val="FreeSans"/>
        <family val="2"/>
      </rPr>
      <t xml:space="preserve">لوله خرطومی پلاستیکی تابلویی </t>
    </r>
    <r>
      <rPr>
        <sz val="10"/>
        <rFont val="Vazirmatn"/>
        <family val="0"/>
        <charset val="1"/>
      </rPr>
      <t xml:space="preserve">PG6</t>
    </r>
  </si>
  <si>
    <t xml:space="preserve">31276201</t>
  </si>
  <si>
    <r>
      <rPr>
        <sz val="10"/>
        <rFont val="FreeSans"/>
        <family val="2"/>
      </rPr>
      <t xml:space="preserve">لوله پلی اتیلن </t>
    </r>
    <r>
      <rPr>
        <sz val="10"/>
        <rFont val="Vazirmatn"/>
        <family val="0"/>
        <charset val="1"/>
      </rPr>
      <t xml:space="preserve">16mm</t>
    </r>
  </si>
  <si>
    <t xml:space="preserve">4031116</t>
  </si>
  <si>
    <r>
      <rPr>
        <sz val="10"/>
        <rFont val="FreeSans"/>
        <family val="2"/>
      </rPr>
      <t xml:space="preserve">لوله پلی اتیلن </t>
    </r>
    <r>
      <rPr>
        <sz val="10"/>
        <rFont val="Vazirmatn"/>
        <family val="0"/>
        <charset val="1"/>
      </rPr>
      <t xml:space="preserve">PN16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90</t>
    </r>
  </si>
  <si>
    <t xml:space="preserve">31276362</t>
  </si>
  <si>
    <r>
      <rPr>
        <sz val="10"/>
        <rFont val="FreeSans"/>
        <family val="2"/>
      </rPr>
      <t xml:space="preserve">لوله مسی  </t>
    </r>
    <r>
      <rPr>
        <sz val="10"/>
        <rFont val="Vazirmatn"/>
        <family val="0"/>
        <charset val="1"/>
      </rPr>
      <t xml:space="preserve">3/4</t>
    </r>
  </si>
  <si>
    <t xml:space="preserve">4029236</t>
  </si>
  <si>
    <r>
      <rPr>
        <sz val="10"/>
        <rFont val="FreeSans"/>
        <family val="2"/>
      </rPr>
      <t xml:space="preserve">لوله مسی 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(19mm)</t>
    </r>
  </si>
  <si>
    <t xml:space="preserve">31276363</t>
  </si>
  <si>
    <r>
      <rPr>
        <sz val="10"/>
        <rFont val="FreeSans"/>
        <family val="2"/>
      </rPr>
      <t xml:space="preserve">لوله مسی </t>
    </r>
    <r>
      <rPr>
        <sz val="10"/>
        <rFont val="Vazirmatn"/>
        <family val="0"/>
        <charset val="1"/>
      </rPr>
      <t xml:space="preserve">1/2</t>
    </r>
  </si>
  <si>
    <t xml:space="preserve">4029235</t>
  </si>
  <si>
    <r>
      <rPr>
        <sz val="10"/>
        <rFont val="FreeSans"/>
        <family val="2"/>
      </rPr>
      <t xml:space="preserve">لوله مسی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(12mm)</t>
    </r>
  </si>
  <si>
    <t xml:space="preserve">31276365</t>
  </si>
  <si>
    <r>
      <rPr>
        <sz val="10"/>
        <rFont val="FreeSans"/>
        <family val="2"/>
      </rPr>
      <t xml:space="preserve">لوله مسی  </t>
    </r>
    <r>
      <rPr>
        <sz val="10"/>
        <rFont val="Vazirmatn"/>
        <family val="0"/>
        <charset val="1"/>
      </rPr>
      <t xml:space="preserve">1/4</t>
    </r>
  </si>
  <si>
    <t xml:space="preserve">31276366</t>
  </si>
  <si>
    <r>
      <rPr>
        <sz val="10"/>
        <rFont val="FreeSans"/>
        <family val="2"/>
      </rPr>
      <t xml:space="preserve">لوله مسی  </t>
    </r>
    <r>
      <rPr>
        <sz val="10"/>
        <rFont val="Vazirmatn"/>
        <family val="0"/>
        <charset val="1"/>
      </rPr>
      <t xml:space="preserve">3/8</t>
    </r>
  </si>
  <si>
    <t xml:space="preserve">4029234</t>
  </si>
  <si>
    <r>
      <rPr>
        <sz val="10"/>
        <rFont val="FreeSans"/>
        <family val="2"/>
      </rPr>
      <t xml:space="preserve">لوله مسی سایز </t>
    </r>
    <r>
      <rPr>
        <sz val="10"/>
        <rFont val="Vazirmatn"/>
        <family val="0"/>
        <charset val="1"/>
      </rPr>
      <t xml:space="preserve">3/8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(10mm)</t>
    </r>
  </si>
  <si>
    <t xml:space="preserve">31276384</t>
  </si>
  <si>
    <r>
      <rPr>
        <sz val="10"/>
        <rFont val="FreeSans"/>
        <family val="2"/>
      </rPr>
      <t xml:space="preserve">لوله مسی  قطر </t>
    </r>
    <r>
      <rPr>
        <sz val="10"/>
        <rFont val="Vazirmatn"/>
        <family val="0"/>
        <charset val="1"/>
      </rPr>
      <t xml:space="preserve">6mm</t>
    </r>
  </si>
  <si>
    <t xml:space="preserve">31276501</t>
  </si>
  <si>
    <r>
      <rPr>
        <sz val="10"/>
        <rFont val="FreeSans"/>
        <family val="2"/>
      </rPr>
      <t xml:space="preserve">لرزه گیر حصیری استیل فلنجدار   </t>
    </r>
    <r>
      <rPr>
        <sz val="10"/>
        <rFont val="Vazirmatn"/>
        <family val="0"/>
        <charset val="1"/>
      </rPr>
      <t xml:space="preserve">" 1</t>
    </r>
  </si>
  <si>
    <t xml:space="preserve">4028952</t>
  </si>
  <si>
    <r>
      <rPr>
        <sz val="10"/>
        <rFont val="FreeSans"/>
        <family val="2"/>
      </rPr>
      <t xml:space="preserve">لرزه گیر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</si>
  <si>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31276506</t>
  </si>
  <si>
    <r>
      <rPr>
        <sz val="10"/>
        <rFont val="FreeSans"/>
        <family val="2"/>
      </rPr>
      <t xml:space="preserve">لرزه گیر آکاردئونی استیل </t>
    </r>
    <r>
      <rPr>
        <sz val="10"/>
        <rFont val="Vazirmatn"/>
        <family val="0"/>
        <charset val="1"/>
      </rPr>
      <t xml:space="preserve">" 4</t>
    </r>
  </si>
  <si>
    <t xml:space="preserve">4028967</t>
  </si>
  <si>
    <r>
      <rPr>
        <sz val="10"/>
        <rFont val="FreeSans"/>
        <family val="2"/>
      </rPr>
      <t xml:space="preserve">لرزه گیر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</si>
  <si>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31276508</t>
  </si>
  <si>
    <r>
      <rPr>
        <sz val="10"/>
        <rFont val="FreeSans"/>
        <family val="2"/>
      </rPr>
      <t xml:space="preserve">لرزه گیر آکاردئونی استیل  </t>
    </r>
    <r>
      <rPr>
        <sz val="10"/>
        <rFont val="Vazirmatn"/>
        <family val="0"/>
        <charset val="1"/>
      </rPr>
      <t xml:space="preserve">" 5</t>
    </r>
  </si>
  <si>
    <t xml:space="preserve">4029981</t>
  </si>
  <si>
    <r>
      <rPr>
        <sz val="10"/>
        <rFont val="FreeSans"/>
        <family val="2"/>
      </rPr>
      <t xml:space="preserve">لرزه گیر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اینچ</t>
    </r>
  </si>
  <si>
    <t xml:space="preserve">31276512</t>
  </si>
  <si>
    <r>
      <rPr>
        <sz val="10"/>
        <rFont val="FreeSans"/>
        <family val="2"/>
      </rPr>
      <t xml:space="preserve">لرزه گیر آکاردئونی استیل  </t>
    </r>
    <r>
      <rPr>
        <sz val="10"/>
        <rFont val="Vazirmatn"/>
        <family val="0"/>
        <charset val="1"/>
      </rPr>
      <t xml:space="preserve">" 1/2 2</t>
    </r>
  </si>
  <si>
    <t xml:space="preserve">4028968</t>
  </si>
  <si>
    <r>
      <rPr>
        <sz val="10"/>
        <rFont val="FreeSans"/>
        <family val="2"/>
      </rPr>
      <t xml:space="preserve">لرزه گیر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</si>
  <si>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31276513</t>
  </si>
  <si>
    <r>
      <rPr>
        <sz val="10"/>
        <rFont val="FreeSans"/>
        <family val="2"/>
      </rPr>
      <t xml:space="preserve">لرزه گیر لاستیکی دکانتور  </t>
    </r>
    <r>
      <rPr>
        <sz val="10"/>
        <rFont val="Vazirmatn"/>
        <family val="0"/>
        <charset val="1"/>
      </rPr>
      <t xml:space="preserve">770 - 3147 - 0021</t>
    </r>
  </si>
  <si>
    <t xml:space="preserve">4025107</t>
  </si>
  <si>
    <r>
      <rPr>
        <sz val="10"/>
        <rFont val="FreeSans"/>
        <family val="2"/>
      </rPr>
      <t xml:space="preserve">لاستیک لرزه گیر </t>
    </r>
    <r>
      <rPr>
        <sz val="10"/>
        <rFont val="Vazirmatn"/>
        <family val="0"/>
        <charset val="1"/>
      </rPr>
      <t xml:space="preserve">770-3147-0021</t>
    </r>
  </si>
  <si>
    <t xml:space="preserve">31276517</t>
  </si>
  <si>
    <r>
      <rPr>
        <sz val="10"/>
        <rFont val="FreeSans"/>
        <family val="2"/>
      </rPr>
      <t xml:space="preserve">لرزه گیر حصیری استیل  </t>
    </r>
    <r>
      <rPr>
        <sz val="10"/>
        <rFont val="Vazirmatn"/>
        <family val="0"/>
        <charset val="1"/>
      </rPr>
      <t xml:space="preserve">" 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1/4</t>
    </r>
  </si>
  <si>
    <t xml:space="preserve">31276518</t>
  </si>
  <si>
    <r>
      <rPr>
        <sz val="10"/>
        <rFont val="FreeSans"/>
        <family val="2"/>
      </rPr>
      <t xml:space="preserve">لرزه گیر حصیری فلنج دار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یکسر فلنج گردان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304 -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150 - " 1/2 1</t>
    </r>
  </si>
  <si>
    <t xml:space="preserve">4032023</t>
  </si>
  <si>
    <r>
      <rPr>
        <sz val="10"/>
        <rFont val="FreeSans"/>
        <family val="2"/>
      </rPr>
      <t xml:space="preserve">لرزه گیر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</si>
  <si>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31276519</t>
  </si>
  <si>
    <r>
      <rPr>
        <sz val="10"/>
        <rFont val="FreeSans"/>
        <family val="2"/>
      </rPr>
      <t xml:space="preserve">لرزه گیرحصیری استیل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</t>
    </r>
  </si>
  <si>
    <t xml:space="preserve">31276526</t>
  </si>
  <si>
    <r>
      <rPr>
        <sz val="10"/>
        <rFont val="FreeSans"/>
        <family val="2"/>
      </rPr>
      <t xml:space="preserve">لرزه گیر لاستیکی فلنجدار </t>
    </r>
    <r>
      <rPr>
        <sz val="10"/>
        <rFont val="Vazirmatn"/>
        <family val="0"/>
        <charset val="1"/>
      </rPr>
      <t xml:space="preserve">" 1/2 2</t>
    </r>
  </si>
  <si>
    <t xml:space="preserve">4028960</t>
  </si>
  <si>
    <r>
      <rPr>
        <sz val="10"/>
        <rFont val="FreeSans"/>
        <family val="2"/>
      </rPr>
      <t xml:space="preserve">لرزه گیر لاستیکی سایز </t>
    </r>
    <r>
      <rPr>
        <sz val="10"/>
        <rFont val="Vazirmatn"/>
        <family val="0"/>
        <charset val="1"/>
      </rPr>
      <t xml:space="preserve">1/2 2 </t>
    </r>
    <r>
      <rPr>
        <sz val="10"/>
        <rFont val="FreeSans"/>
        <family val="2"/>
      </rPr>
      <t xml:space="preserve">اینچ</t>
    </r>
  </si>
  <si>
    <t xml:space="preserve">31276528</t>
  </si>
  <si>
    <r>
      <rPr>
        <sz val="10"/>
        <rFont val="FreeSans"/>
        <family val="2"/>
      </rPr>
      <t xml:space="preserve">لرزه گیر لاستیکی فلنجدار    </t>
    </r>
    <r>
      <rPr>
        <sz val="10"/>
        <rFont val="Vazirmatn"/>
        <family val="0"/>
        <charset val="1"/>
      </rPr>
      <t xml:space="preserve">" 4</t>
    </r>
  </si>
  <si>
    <t xml:space="preserve">4028957</t>
  </si>
  <si>
    <r>
      <rPr>
        <sz val="10"/>
        <rFont val="FreeSans"/>
        <family val="2"/>
      </rPr>
      <t xml:space="preserve">لرزه گیر لاستیکی سایز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</si>
  <si>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31276530</t>
  </si>
  <si>
    <r>
      <rPr>
        <sz val="10"/>
        <rFont val="FreeSans"/>
        <family val="2"/>
      </rPr>
      <t xml:space="preserve">لرزه  گیر لاستیکی فلنجدار    </t>
    </r>
    <r>
      <rPr>
        <sz val="10"/>
        <rFont val="Vazirmatn"/>
        <family val="0"/>
        <charset val="1"/>
      </rPr>
      <t xml:space="preserve">"5</t>
    </r>
  </si>
  <si>
    <t xml:space="preserve">4029984</t>
  </si>
  <si>
    <r>
      <rPr>
        <sz val="10"/>
        <rFont val="FreeSans"/>
        <family val="2"/>
      </rPr>
      <t xml:space="preserve">لرزه گیر لاستیکی سایز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اینچ</t>
    </r>
  </si>
  <si>
    <t xml:space="preserve">31276531</t>
  </si>
  <si>
    <r>
      <rPr>
        <sz val="10"/>
        <rFont val="FreeSans"/>
        <family val="2"/>
      </rPr>
      <t xml:space="preserve">لرزه گیر حصیری استیل   </t>
    </r>
    <r>
      <rPr>
        <sz val="10"/>
        <rFont val="Vazirmatn"/>
        <family val="0"/>
        <charset val="1"/>
      </rPr>
      <t xml:space="preserve">" 4</t>
    </r>
  </si>
  <si>
    <t xml:space="preserve">31276533</t>
  </si>
  <si>
    <r>
      <rPr>
        <sz val="10"/>
        <rFont val="FreeSans"/>
        <family val="2"/>
      </rPr>
      <t xml:space="preserve">لرزه گیر لاستیکی فلنجدار     </t>
    </r>
    <r>
      <rPr>
        <sz val="10"/>
        <rFont val="Vazirmatn"/>
        <family val="0"/>
        <charset val="1"/>
      </rPr>
      <t xml:space="preserve">" 3</t>
    </r>
  </si>
  <si>
    <t xml:space="preserve">31276534</t>
  </si>
  <si>
    <r>
      <rPr>
        <sz val="10"/>
        <rFont val="FreeSans"/>
        <family val="2"/>
      </rPr>
      <t xml:space="preserve">لرزه گیر لاستیکی فلنجدار     </t>
    </r>
    <r>
      <rPr>
        <sz val="10"/>
        <rFont val="Vazirmatn"/>
        <family val="0"/>
        <charset val="1"/>
      </rPr>
      <t xml:space="preserve">" 2</t>
    </r>
  </si>
  <si>
    <t xml:space="preserve">4028959</t>
  </si>
  <si>
    <r>
      <rPr>
        <sz val="10"/>
        <rFont val="FreeSans"/>
        <family val="2"/>
      </rPr>
      <t xml:space="preserve">لرزه گیر لاستیکی 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</si>
  <si>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31276547</t>
  </si>
  <si>
    <r>
      <rPr>
        <sz val="10"/>
        <rFont val="FreeSans"/>
        <family val="2"/>
      </rPr>
      <t xml:space="preserve">لرزه گیر پلاستیکی  </t>
    </r>
    <r>
      <rPr>
        <sz val="10"/>
        <rFont val="Vazirmatn"/>
        <family val="0"/>
        <charset val="1"/>
      </rPr>
      <t xml:space="preserve">" 10</t>
    </r>
  </si>
  <si>
    <t xml:space="preserve">4029982</t>
  </si>
  <si>
    <r>
      <rPr>
        <sz val="10"/>
        <rFont val="FreeSans"/>
        <family val="2"/>
      </rPr>
      <t xml:space="preserve">لرزه گیر لاستیکی سایز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اینچ</t>
    </r>
  </si>
  <si>
    <t xml:space="preserve">31276574</t>
  </si>
  <si>
    <r>
      <rPr>
        <sz val="10"/>
        <rFont val="FreeSans"/>
        <family val="2"/>
      </rPr>
      <t xml:space="preserve">لرزه گیر حصیری فلنجدار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دو سر گردان </t>
    </r>
    <r>
      <rPr>
        <sz val="10"/>
        <rFont val="Vazirmatn"/>
        <family val="0"/>
        <charset val="1"/>
      </rPr>
      <t xml:space="preserve">" PN 16 70Cm  3</t>
    </r>
  </si>
  <si>
    <t xml:space="preserve">4028966</t>
  </si>
  <si>
    <r>
      <rPr>
        <sz val="10"/>
        <rFont val="FreeSans"/>
        <family val="2"/>
      </rPr>
      <t xml:space="preserve">لرزه گیر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</si>
  <si>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31276575</t>
  </si>
  <si>
    <r>
      <rPr>
        <sz val="10"/>
        <rFont val="FreeSans"/>
        <family val="2"/>
      </rPr>
      <t xml:space="preserve">لرزه گیر حصیری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دو سر فلنج گردان </t>
    </r>
    <r>
      <rPr>
        <sz val="10"/>
        <rFont val="Vazirmatn"/>
        <family val="0"/>
        <charset val="1"/>
      </rPr>
      <t xml:space="preserve">" PN 16 65Cm  2</t>
    </r>
  </si>
  <si>
    <t xml:space="preserve">31277185</t>
  </si>
  <si>
    <r>
      <rPr>
        <sz val="10"/>
        <rFont val="FreeSans"/>
        <family val="2"/>
      </rPr>
      <t xml:space="preserve">چرخ گاری کپسول </t>
    </r>
    <r>
      <rPr>
        <sz val="10"/>
        <rFont val="Vazirmatn"/>
        <family val="0"/>
        <charset val="1"/>
      </rPr>
      <t xml:space="preserve">30Kg ) CO2 )</t>
    </r>
  </si>
  <si>
    <t xml:space="preserve">4058023</t>
  </si>
  <si>
    <r>
      <rPr>
        <sz val="10"/>
        <rFont val="FreeSans"/>
        <family val="2"/>
      </rPr>
      <t xml:space="preserve">گاری کپسول </t>
    </r>
    <r>
      <rPr>
        <sz val="10"/>
        <rFont val="Vazirmatn"/>
        <family val="0"/>
        <charset val="1"/>
      </rPr>
      <t xml:space="preserve">30 </t>
    </r>
    <r>
      <rPr>
        <sz val="10"/>
        <rFont val="FreeSans"/>
        <family val="2"/>
      </rPr>
      <t xml:space="preserve">کیلوئی </t>
    </r>
    <r>
      <rPr>
        <sz val="10"/>
        <rFont val="Vazirmatn"/>
        <family val="0"/>
        <charset val="1"/>
      </rPr>
      <t xml:space="preserve">CO2</t>
    </r>
  </si>
  <si>
    <t xml:space="preserve">31277209</t>
  </si>
  <si>
    <r>
      <rPr>
        <sz val="10"/>
        <rFont val="FreeSans"/>
        <family val="2"/>
      </rPr>
      <t xml:space="preserve">ضربه گیر لاستیکی جرثقیل </t>
    </r>
    <r>
      <rPr>
        <sz val="10"/>
        <rFont val="Vazirmatn"/>
        <family val="0"/>
        <charset val="1"/>
      </rPr>
      <t xml:space="preserve">( M10-Q70-L30 )</t>
    </r>
  </si>
  <si>
    <t xml:space="preserve">4025919</t>
  </si>
  <si>
    <r>
      <rPr>
        <sz val="10"/>
        <rFont val="FreeSans"/>
        <family val="2"/>
      </rPr>
      <t xml:space="preserve">ضربه گیر لاستیکی </t>
    </r>
    <r>
      <rPr>
        <sz val="10"/>
        <rFont val="Vazirmatn"/>
        <family val="0"/>
        <charset val="1"/>
      </rPr>
      <t xml:space="preserve">M30</t>
    </r>
  </si>
  <si>
    <t xml:space="preserve">31277212</t>
  </si>
  <si>
    <t xml:space="preserve">پایه نگهدارنده غلطک درام</t>
  </si>
  <si>
    <t xml:space="preserve">4013662</t>
  </si>
  <si>
    <t xml:space="preserve">پايه نگهدارنده سنسور</t>
  </si>
  <si>
    <t xml:space="preserve">31277214</t>
  </si>
  <si>
    <r>
      <rPr>
        <sz val="10"/>
        <rFont val="FreeSans"/>
        <family val="2"/>
      </rPr>
      <t xml:space="preserve">پایه نگهدارنده موتور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دینام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ماشین چرخ دوخت</t>
    </r>
  </si>
  <si>
    <t xml:space="preserve">4045141</t>
  </si>
  <si>
    <t xml:space="preserve">پایه نگهدارنده سوزن چرخ دوخت دستی</t>
  </si>
  <si>
    <t xml:space="preserve">31278132</t>
  </si>
  <si>
    <r>
      <rPr>
        <sz val="10"/>
        <rFont val="FreeSans"/>
        <family val="2"/>
      </rPr>
      <t xml:space="preserve">فلوتر استیل دنده ای </t>
    </r>
    <r>
      <rPr>
        <sz val="10"/>
        <rFont val="Vazirmatn"/>
        <family val="0"/>
        <charset val="1"/>
      </rPr>
      <t xml:space="preserve">304    "2</t>
    </r>
  </si>
  <si>
    <t xml:space="preserve">4028327</t>
  </si>
  <si>
    <r>
      <rPr>
        <sz val="10"/>
        <rFont val="FreeSans"/>
        <family val="2"/>
      </rPr>
      <t xml:space="preserve">فلوتر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</si>
  <si>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31278134</t>
  </si>
  <si>
    <r>
      <rPr>
        <sz val="10"/>
        <rFont val="FreeSans"/>
        <family val="2"/>
      </rPr>
      <t xml:space="preserve">فلوتر استیل   </t>
    </r>
    <r>
      <rPr>
        <sz val="10"/>
        <rFont val="Vazirmatn"/>
        <family val="0"/>
        <charset val="1"/>
      </rPr>
      <t xml:space="preserve">"1</t>
    </r>
  </si>
  <si>
    <t xml:space="preserve">4028843</t>
  </si>
  <si>
    <r>
      <rPr>
        <sz val="10"/>
        <rFont val="FreeSans"/>
        <family val="2"/>
      </rPr>
      <t xml:space="preserve">فلوتر استیل </t>
    </r>
    <r>
      <rPr>
        <sz val="10"/>
        <rFont val="Vazirmatn"/>
        <family val="0"/>
        <charset val="1"/>
      </rPr>
      <t xml:space="preserve">1/2 1 </t>
    </r>
    <r>
      <rPr>
        <sz val="10"/>
        <rFont val="FreeSans"/>
        <family val="2"/>
      </rPr>
      <t xml:space="preserve">اینچ</t>
    </r>
  </si>
  <si>
    <t xml:space="preserve">31278506</t>
  </si>
  <si>
    <r>
      <rPr>
        <sz val="10"/>
        <rFont val="FreeSans"/>
        <family val="2"/>
      </rPr>
      <t xml:space="preserve">فلوتر برنجی دنده ای   </t>
    </r>
    <r>
      <rPr>
        <sz val="10"/>
        <rFont val="Vazirmatn"/>
        <family val="0"/>
        <charset val="1"/>
      </rPr>
      <t xml:space="preserve">" 1</t>
    </r>
  </si>
  <si>
    <t xml:space="preserve">4010695</t>
  </si>
  <si>
    <r>
      <rPr>
        <sz val="10"/>
        <rFont val="FreeSans"/>
        <family val="2"/>
      </rPr>
      <t xml:space="preserve">فلوتر برنجي </t>
    </r>
    <r>
      <rPr>
        <sz val="10"/>
        <rFont val="Vazirmatn"/>
        <family val="0"/>
        <charset val="1"/>
      </rPr>
      <t xml:space="preserve">"1</t>
    </r>
  </si>
  <si>
    <t xml:space="preserve">31278513</t>
  </si>
  <si>
    <r>
      <rPr>
        <sz val="10"/>
        <rFont val="FreeSans"/>
        <family val="2"/>
      </rPr>
      <t xml:space="preserve">فلوتر برنجی با شناور پلاستیکی </t>
    </r>
    <r>
      <rPr>
        <sz val="10"/>
        <rFont val="Vazirmatn"/>
        <family val="0"/>
        <charset val="1"/>
      </rPr>
      <t xml:space="preserve">"1/2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</t>
    </r>
  </si>
  <si>
    <t xml:space="preserve">4030210</t>
  </si>
  <si>
    <r>
      <rPr>
        <sz val="10"/>
        <rFont val="FreeSans"/>
        <family val="2"/>
      </rPr>
      <t xml:space="preserve">فلوتر پلاستیکی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</t>
    </r>
  </si>
  <si>
    <t xml:space="preserve">31279103</t>
  </si>
  <si>
    <t xml:space="preserve">شیشه ماسک سفید</t>
  </si>
  <si>
    <t xml:space="preserve">5004243</t>
  </si>
  <si>
    <t xml:space="preserve">شيشه ماسک سفيد جوشكاري</t>
  </si>
  <si>
    <t xml:space="preserve">31279113</t>
  </si>
  <si>
    <r>
      <rPr>
        <sz val="10"/>
        <rFont val="FreeSans"/>
        <family val="2"/>
      </rPr>
      <t xml:space="preserve">شیشه ماسک  نمره </t>
    </r>
    <r>
      <rPr>
        <sz val="10"/>
        <rFont val="Vazirmatn"/>
        <family val="0"/>
        <charset val="1"/>
      </rPr>
      <t xml:space="preserve">: 10</t>
    </r>
  </si>
  <si>
    <t xml:space="preserve">5009332</t>
  </si>
  <si>
    <r>
      <rPr>
        <sz val="10"/>
        <rFont val="FreeSans"/>
        <family val="2"/>
      </rPr>
      <t xml:space="preserve">شیشه ماسک جوشکاری </t>
    </r>
    <r>
      <rPr>
        <sz val="10"/>
        <rFont val="Vazirmatn"/>
        <family val="0"/>
        <charset val="1"/>
      </rPr>
      <t xml:space="preserve">10</t>
    </r>
  </si>
  <si>
    <t xml:space="preserve">31279115</t>
  </si>
  <si>
    <r>
      <rPr>
        <sz val="10"/>
        <rFont val="FreeSans"/>
        <family val="2"/>
      </rPr>
      <t xml:space="preserve">شیشه ماسک سیاه جوشکاری    </t>
    </r>
    <r>
      <rPr>
        <sz val="10"/>
        <rFont val="Vazirmatn"/>
        <family val="0"/>
        <charset val="1"/>
      </rPr>
      <t xml:space="preserve">50mm*100mm      shade No: 9</t>
    </r>
  </si>
  <si>
    <t xml:space="preserve">5004244</t>
  </si>
  <si>
    <r>
      <rPr>
        <sz val="10"/>
        <rFont val="FreeSans"/>
        <family val="2"/>
      </rPr>
      <t xml:space="preserve">شيشه ماسک جوشكاري </t>
    </r>
    <r>
      <rPr>
        <sz val="10"/>
        <rFont val="Vazirmatn"/>
        <family val="0"/>
        <charset val="1"/>
      </rPr>
      <t xml:space="preserve">9</t>
    </r>
  </si>
  <si>
    <t xml:space="preserve">31279139</t>
  </si>
  <si>
    <r>
      <rPr>
        <sz val="10"/>
        <rFont val="FreeSans"/>
        <family val="2"/>
      </rPr>
      <t xml:space="preserve">شیشه سای گلاس  </t>
    </r>
    <r>
      <rPr>
        <sz val="10"/>
        <rFont val="Vazirmatn"/>
        <family val="0"/>
        <charset val="1"/>
      </rPr>
      <t xml:space="preserve">D : 100mm t = 10mm</t>
    </r>
  </si>
  <si>
    <t xml:space="preserve">4025728</t>
  </si>
  <si>
    <r>
      <rPr>
        <sz val="10"/>
        <rFont val="FreeSans"/>
        <family val="2"/>
      </rPr>
      <t xml:space="preserve">شیشه سایت گلاس ضخامت </t>
    </r>
    <r>
      <rPr>
        <sz val="10"/>
        <rFont val="Vazirmatn"/>
        <family val="0"/>
        <charset val="1"/>
      </rPr>
      <t xml:space="preserve">100*10 mm</t>
    </r>
  </si>
  <si>
    <t xml:space="preserve">31279199</t>
  </si>
  <si>
    <r>
      <rPr>
        <sz val="10"/>
        <rFont val="FreeSans"/>
        <family val="2"/>
      </rPr>
      <t xml:space="preserve">شیشه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 </t>
    </r>
    <r>
      <rPr>
        <sz val="10"/>
        <rFont val="Vazirmatn"/>
        <family val="0"/>
        <charset val="1"/>
      </rPr>
      <t xml:space="preserve">5mm</t>
    </r>
  </si>
  <si>
    <t xml:space="preserve">5014366</t>
  </si>
  <si>
    <r>
      <rPr>
        <sz val="10"/>
        <rFont val="FreeSans"/>
        <family val="2"/>
      </rPr>
      <t xml:space="preserve">شیشه تک جداره </t>
    </r>
    <r>
      <rPr>
        <sz val="10"/>
        <rFont val="Vazirmatn"/>
        <family val="0"/>
        <charset val="1"/>
      </rPr>
      <t xml:space="preserve">5mm </t>
    </r>
    <r>
      <rPr>
        <sz val="10"/>
        <rFont val="FreeSans"/>
        <family val="2"/>
      </rPr>
      <t xml:space="preserve">سندبلاست</t>
    </r>
  </si>
  <si>
    <t xml:space="preserve">31279200</t>
  </si>
  <si>
    <r>
      <rPr>
        <sz val="10"/>
        <rFont val="FreeSans"/>
        <family val="2"/>
      </rPr>
      <t xml:space="preserve">شیشه ساده </t>
    </r>
    <r>
      <rPr>
        <sz val="10"/>
        <rFont val="Vazirmatn"/>
        <family val="0"/>
        <charset val="1"/>
      </rPr>
      <t xml:space="preserve">4mm</t>
    </r>
  </si>
  <si>
    <t xml:space="preserve">5017467</t>
  </si>
  <si>
    <r>
      <rPr>
        <sz val="10"/>
        <rFont val="FreeSans"/>
        <family val="2"/>
      </rPr>
      <t xml:space="preserve">شیشه دوجداره ساده </t>
    </r>
    <r>
      <rPr>
        <sz val="10"/>
        <rFont val="Vazirmatn"/>
        <family val="0"/>
        <charset val="1"/>
      </rPr>
      <t xml:space="preserve">mm 6-4</t>
    </r>
  </si>
  <si>
    <t xml:space="preserve">31279330</t>
  </si>
  <si>
    <t xml:space="preserve">پمپ روغن دستی فشاری</t>
  </si>
  <si>
    <t xml:space="preserve">4022051</t>
  </si>
  <si>
    <t xml:space="preserve">پمپ روغن کش دستی</t>
  </si>
  <si>
    <t xml:space="preserve">31279331</t>
  </si>
  <si>
    <r>
      <rPr>
        <sz val="10"/>
        <rFont val="FreeSans"/>
        <family val="2"/>
      </rPr>
      <t xml:space="preserve">پمپ روغن دستی سطلی 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لیتری</t>
    </r>
  </si>
  <si>
    <t xml:space="preserve">4051346</t>
  </si>
  <si>
    <t xml:space="preserve">پمپ روغن سطلی دستی</t>
  </si>
  <si>
    <t xml:space="preserve">31282104</t>
  </si>
  <si>
    <t xml:space="preserve">تیغه لوله بر</t>
  </si>
  <si>
    <t xml:space="preserve">4005341</t>
  </si>
  <si>
    <t xml:space="preserve">تيغه برش دستي لوله بر</t>
  </si>
  <si>
    <t xml:space="preserve">31282122</t>
  </si>
  <si>
    <t xml:space="preserve">تیغه آسیاب چکشی گلوتن فیلتر پرس</t>
  </si>
  <si>
    <t xml:space="preserve">4026039</t>
  </si>
  <si>
    <t xml:space="preserve">تیغه فولادی آسیاب چکشی گلوتن</t>
  </si>
  <si>
    <t xml:space="preserve">31282134</t>
  </si>
  <si>
    <r>
      <rPr>
        <sz val="10"/>
        <rFont val="FreeSans"/>
        <family val="2"/>
      </rPr>
      <t xml:space="preserve">تیغه آسیاب چکشی گلوتن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طرح جدید </t>
    </r>
    <r>
      <rPr>
        <sz val="10"/>
        <rFont val="Vazirmatn"/>
        <family val="0"/>
        <charset val="1"/>
      </rPr>
      <t xml:space="preserve">)</t>
    </r>
  </si>
  <si>
    <t xml:space="preserve">31282135</t>
  </si>
  <si>
    <t xml:space="preserve">تیغه آسیاب چکشی کوچک گلوتن</t>
  </si>
  <si>
    <t xml:space="preserve">31283157</t>
  </si>
  <si>
    <r>
      <rPr>
        <sz val="10"/>
        <rFont val="FreeSans"/>
        <family val="2"/>
      </rPr>
      <t xml:space="preserve">فرچه سیمی دستی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مسواکی </t>
    </r>
    <r>
      <rPr>
        <sz val="10"/>
        <rFont val="Vazirmatn"/>
        <family val="0"/>
        <charset val="1"/>
      </rPr>
      <t xml:space="preserve">)</t>
    </r>
  </si>
  <si>
    <t xml:space="preserve">5002323</t>
  </si>
  <si>
    <t xml:space="preserve">فرچه سیمی مسواکی</t>
  </si>
  <si>
    <t xml:space="preserve">31285105</t>
  </si>
  <si>
    <r>
      <rPr>
        <sz val="10"/>
        <rFont val="FreeSans"/>
        <family val="2"/>
      </rPr>
      <t xml:space="preserve">صفحه سنگ برش استیل بر</t>
    </r>
    <r>
      <rPr>
        <sz val="10"/>
        <rFont val="Vazirmatn"/>
        <family val="0"/>
        <charset val="1"/>
      </rPr>
      <t xml:space="preserve">Size: 180 * 1.6 * 22.23 mm</t>
    </r>
  </si>
  <si>
    <t xml:space="preserve">5003743</t>
  </si>
  <si>
    <r>
      <rPr>
        <sz val="10"/>
        <rFont val="FreeSans"/>
        <family val="2"/>
      </rPr>
      <t xml:space="preserve">صفحه برش </t>
    </r>
    <r>
      <rPr>
        <sz val="10"/>
        <rFont val="Vazirmatn"/>
        <family val="0"/>
        <charset val="1"/>
      </rPr>
      <t xml:space="preserve">1.6*180 </t>
    </r>
    <r>
      <rPr>
        <sz val="10"/>
        <rFont val="FreeSans"/>
        <family val="2"/>
      </rPr>
      <t xml:space="preserve">استيل بر</t>
    </r>
  </si>
  <si>
    <t xml:space="preserve">31285106</t>
  </si>
  <si>
    <r>
      <rPr>
        <sz val="10"/>
        <rFont val="FreeSans"/>
        <family val="2"/>
      </rPr>
      <t xml:space="preserve">صفحه سنگ ساب </t>
    </r>
    <r>
      <rPr>
        <sz val="10"/>
        <rFont val="Vazirmatn"/>
        <family val="0"/>
        <charset val="1"/>
      </rPr>
      <t xml:space="preserve">Size:  180 * 6 * 22.23 mm</t>
    </r>
  </si>
  <si>
    <t xml:space="preserve">5003748</t>
  </si>
  <si>
    <r>
      <rPr>
        <sz val="10"/>
        <rFont val="FreeSans"/>
        <family val="2"/>
      </rPr>
      <t xml:space="preserve">صفحه ساب </t>
    </r>
    <r>
      <rPr>
        <sz val="10"/>
        <rFont val="Vazirmatn"/>
        <family val="0"/>
        <charset val="1"/>
      </rPr>
      <t xml:space="preserve">6*180</t>
    </r>
  </si>
  <si>
    <t xml:space="preserve">31285108</t>
  </si>
  <si>
    <r>
      <rPr>
        <sz val="10"/>
        <rFont val="FreeSans"/>
        <family val="2"/>
      </rPr>
      <t xml:space="preserve">صفحه سنگ برش استیل بر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مینی سنگ</t>
    </r>
    <r>
      <rPr>
        <sz val="10"/>
        <rFont val="Vazirmatn"/>
        <family val="0"/>
        <charset val="1"/>
      </rPr>
      <t xml:space="preserve">) Size:115 * 1 * 22/23mm</t>
    </r>
  </si>
  <si>
    <t xml:space="preserve">5004825</t>
  </si>
  <si>
    <r>
      <rPr>
        <sz val="10"/>
        <rFont val="FreeSans"/>
        <family val="2"/>
      </rPr>
      <t xml:space="preserve">صفحه برش </t>
    </r>
    <r>
      <rPr>
        <sz val="10"/>
        <rFont val="Vazirmatn"/>
        <family val="0"/>
        <charset val="1"/>
      </rPr>
      <t xml:space="preserve">1*115 </t>
    </r>
    <r>
      <rPr>
        <sz val="10"/>
        <rFont val="FreeSans"/>
        <family val="2"/>
      </rPr>
      <t xml:space="preserve">استيل بر</t>
    </r>
  </si>
  <si>
    <t xml:space="preserve">31285111</t>
  </si>
  <si>
    <t xml:space="preserve">صفحه سنگ سمباده بزرگ</t>
  </si>
  <si>
    <t xml:space="preserve">4025960</t>
  </si>
  <si>
    <t xml:space="preserve">صفحه سنگ بر بزرگ</t>
  </si>
  <si>
    <t xml:space="preserve">31285112</t>
  </si>
  <si>
    <t xml:space="preserve">صفحه سنگ برش گرانیت بر</t>
  </si>
  <si>
    <t xml:space="preserve">4030679</t>
  </si>
  <si>
    <t xml:space="preserve">صفحه گرانیت بر کوچک</t>
  </si>
  <si>
    <t xml:space="preserve">31285120</t>
  </si>
  <si>
    <r>
      <rPr>
        <sz val="10"/>
        <rFont val="FreeSans"/>
        <family val="2"/>
      </rPr>
      <t xml:space="preserve">صفحه سنگ ساب مینی </t>
    </r>
    <r>
      <rPr>
        <sz val="10"/>
        <rFont val="Vazirmatn"/>
        <family val="0"/>
        <charset val="1"/>
      </rPr>
      <t xml:space="preserve">Size:115 * 6 * 22/23mm</t>
    </r>
  </si>
  <si>
    <t xml:space="preserve">5003749</t>
  </si>
  <si>
    <r>
      <rPr>
        <sz val="10"/>
        <rFont val="FreeSans"/>
        <family val="2"/>
      </rPr>
      <t xml:space="preserve">صفحه ساب </t>
    </r>
    <r>
      <rPr>
        <sz val="10"/>
        <rFont val="Vazirmatn"/>
        <family val="0"/>
        <charset val="1"/>
      </rPr>
      <t xml:space="preserve">6*115</t>
    </r>
  </si>
  <si>
    <t xml:space="preserve">31285126</t>
  </si>
  <si>
    <r>
      <rPr>
        <sz val="10"/>
        <rFont val="FreeSans"/>
        <family val="2"/>
      </rPr>
      <t xml:space="preserve">صفحه سنگ برش  </t>
    </r>
    <r>
      <rPr>
        <sz val="10"/>
        <rFont val="Vazirmatn"/>
        <family val="0"/>
        <charset val="1"/>
      </rPr>
      <t xml:space="preserve">*22 mm3*230</t>
    </r>
  </si>
  <si>
    <t xml:space="preserve">5004871</t>
  </si>
  <si>
    <r>
      <rPr>
        <sz val="10"/>
        <rFont val="FreeSans"/>
        <family val="2"/>
      </rPr>
      <t xml:space="preserve">صفحه برش سنگ بر </t>
    </r>
    <r>
      <rPr>
        <sz val="10"/>
        <rFont val="Vazirmatn"/>
        <family val="0"/>
        <charset val="1"/>
      </rPr>
      <t xml:space="preserve">230*3</t>
    </r>
  </si>
  <si>
    <t xml:space="preserve">31285130</t>
  </si>
  <si>
    <r>
      <rPr>
        <sz val="10"/>
        <rFont val="FreeSans"/>
        <family val="2"/>
      </rPr>
      <t xml:space="preserve">صفحه فلاپ مینی     </t>
    </r>
    <r>
      <rPr>
        <sz val="10"/>
        <rFont val="Vazirmatn"/>
        <family val="0"/>
        <charset val="1"/>
      </rPr>
      <t xml:space="preserve">Grit:60    115-22mm</t>
    </r>
  </si>
  <si>
    <t xml:space="preserve">4019276</t>
  </si>
  <si>
    <r>
      <rPr>
        <sz val="10"/>
        <rFont val="FreeSans"/>
        <family val="2"/>
      </rPr>
      <t xml:space="preserve">صفحه سمباده فلاپی مینی</t>
    </r>
    <r>
      <rPr>
        <sz val="10"/>
        <rFont val="Vazirmatn"/>
        <family val="0"/>
        <charset val="1"/>
      </rPr>
      <t xml:space="preserve">p60  115*22</t>
    </r>
  </si>
  <si>
    <t xml:space="preserve">31285131</t>
  </si>
  <si>
    <t xml:space="preserve">صفحه سنگ گرانیت بر بزرگ</t>
  </si>
  <si>
    <t xml:space="preserve">31285139</t>
  </si>
  <si>
    <t xml:space="preserve">صفحه ساب استیل بزرگ</t>
  </si>
  <si>
    <t xml:space="preserve">4025963</t>
  </si>
  <si>
    <t xml:space="preserve">صفحه سنگ صاب بزرگ استیل</t>
  </si>
  <si>
    <t xml:space="preserve">31285140</t>
  </si>
  <si>
    <r>
      <rPr>
        <sz val="10"/>
        <rFont val="FreeSans"/>
        <family val="2"/>
      </rPr>
      <t xml:space="preserve">صفحه برش استیل بزرگ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میل</t>
    </r>
  </si>
  <si>
    <t xml:space="preserve">4036945</t>
  </si>
  <si>
    <r>
      <rPr>
        <sz val="10"/>
        <rFont val="FreeSans"/>
        <family val="2"/>
      </rPr>
      <t xml:space="preserve">صفحه برش </t>
    </r>
    <r>
      <rPr>
        <sz val="10"/>
        <rFont val="Vazirmatn"/>
        <family val="0"/>
        <charset val="1"/>
      </rPr>
      <t xml:space="preserve">3*180 </t>
    </r>
    <r>
      <rPr>
        <sz val="10"/>
        <rFont val="FreeSans"/>
        <family val="2"/>
      </rPr>
      <t xml:space="preserve">استیل بر</t>
    </r>
  </si>
  <si>
    <t xml:space="preserve">31286108</t>
  </si>
  <si>
    <t xml:space="preserve">انبر اتصال</t>
  </si>
  <si>
    <t xml:space="preserve">4005331</t>
  </si>
  <si>
    <t xml:space="preserve">انبر اتصال جوشکاري</t>
  </si>
  <si>
    <t xml:space="preserve">31286115</t>
  </si>
  <si>
    <r>
      <rPr>
        <sz val="10"/>
        <rFont val="FreeSans"/>
        <family val="2"/>
      </rPr>
      <t xml:space="preserve">آچار تخت    </t>
    </r>
    <r>
      <rPr>
        <sz val="10"/>
        <rFont val="Vazirmatn"/>
        <family val="0"/>
        <charset val="1"/>
      </rPr>
      <t xml:space="preserve">30</t>
    </r>
  </si>
  <si>
    <t xml:space="preserve">4010511</t>
  </si>
  <si>
    <r>
      <rPr>
        <sz val="10"/>
        <rFont val="FreeSans"/>
        <family val="2"/>
      </rPr>
      <t xml:space="preserve">آچار تخت </t>
    </r>
    <r>
      <rPr>
        <sz val="10"/>
        <rFont val="Vazirmatn"/>
        <family val="0"/>
        <charset val="1"/>
      </rPr>
      <t xml:space="preserve">30-32</t>
    </r>
  </si>
  <si>
    <t xml:space="preserve">31286116</t>
  </si>
  <si>
    <r>
      <rPr>
        <sz val="10"/>
        <rFont val="FreeSans"/>
        <family val="2"/>
      </rPr>
      <t xml:space="preserve">آچار چاکنت  </t>
    </r>
    <r>
      <rPr>
        <sz val="10"/>
        <rFont val="Vazirmatn"/>
        <family val="0"/>
        <charset val="1"/>
      </rPr>
      <t xml:space="preserve">"4      Q=95-Q=100</t>
    </r>
  </si>
  <si>
    <t xml:space="preserve">4026380</t>
  </si>
  <si>
    <r>
      <rPr>
        <sz val="10"/>
        <rFont val="FreeSans"/>
        <family val="2"/>
      </rPr>
      <t xml:space="preserve">آچار چاکنت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اینچ</t>
    </r>
  </si>
  <si>
    <t xml:space="preserve">31286117</t>
  </si>
  <si>
    <t xml:space="preserve">سوهان تخت آهن</t>
  </si>
  <si>
    <t xml:space="preserve">4008698</t>
  </si>
  <si>
    <t xml:space="preserve">سوهان تخت</t>
  </si>
  <si>
    <t xml:space="preserve">31286122</t>
  </si>
  <si>
    <r>
      <rPr>
        <sz val="10"/>
        <rFont val="FreeSans"/>
        <family val="2"/>
      </rPr>
      <t xml:space="preserve">آچار تخت  </t>
    </r>
    <r>
      <rPr>
        <sz val="10"/>
        <rFont val="Vazirmatn"/>
        <family val="0"/>
        <charset val="1"/>
      </rPr>
      <t xml:space="preserve">17 - 19</t>
    </r>
  </si>
  <si>
    <t xml:space="preserve">4043798</t>
  </si>
  <si>
    <r>
      <rPr>
        <sz val="10"/>
        <rFont val="FreeSans"/>
        <family val="2"/>
      </rPr>
      <t xml:space="preserve">آچار دو سر تخت </t>
    </r>
    <r>
      <rPr>
        <sz val="10"/>
        <rFont val="Vazirmatn"/>
        <family val="0"/>
        <charset val="1"/>
      </rPr>
      <t xml:space="preserve">19-17</t>
    </r>
  </si>
  <si>
    <t xml:space="preserve">31286124</t>
  </si>
  <si>
    <r>
      <rPr>
        <sz val="10"/>
        <rFont val="FreeSans"/>
        <family val="2"/>
      </rPr>
      <t xml:space="preserve">آچار یک سر تخت یک سر جغجغه تاشو </t>
    </r>
    <r>
      <rPr>
        <sz val="10"/>
        <rFont val="Vazirmatn"/>
        <family val="0"/>
        <charset val="1"/>
      </rPr>
      <t xml:space="preserve">13</t>
    </r>
  </si>
  <si>
    <t xml:space="preserve">4009511</t>
  </si>
  <si>
    <r>
      <rPr>
        <sz val="10"/>
        <rFont val="FreeSans"/>
        <family val="2"/>
      </rPr>
      <t xml:space="preserve">آچار تخت یک سر جغجغه ای </t>
    </r>
    <r>
      <rPr>
        <sz val="10"/>
        <rFont val="Vazirmatn"/>
        <family val="0"/>
        <charset val="1"/>
      </rPr>
      <t xml:space="preserve">13</t>
    </r>
  </si>
  <si>
    <t xml:space="preserve">31286127</t>
  </si>
  <si>
    <r>
      <rPr>
        <sz val="10"/>
        <rFont val="FreeSans"/>
        <family val="2"/>
      </rPr>
      <t xml:space="preserve">آچار شلاقی تک دسته </t>
    </r>
    <r>
      <rPr>
        <sz val="10"/>
        <rFont val="Vazirmatn"/>
        <family val="0"/>
        <charset val="1"/>
      </rPr>
      <t xml:space="preserve">"4</t>
    </r>
  </si>
  <si>
    <t xml:space="preserve">4018803</t>
  </si>
  <si>
    <r>
      <rPr>
        <sz val="10"/>
        <rFont val="FreeSans"/>
        <family val="2"/>
      </rPr>
      <t xml:space="preserve">آچار شلاقی </t>
    </r>
    <r>
      <rPr>
        <sz val="10"/>
        <rFont val="Vazirmatn"/>
        <family val="0"/>
        <charset val="1"/>
      </rPr>
      <t xml:space="preserve">"4</t>
    </r>
  </si>
  <si>
    <t xml:space="preserve">31286135</t>
  </si>
  <si>
    <r>
      <rPr>
        <sz val="10"/>
        <rFont val="FreeSans"/>
        <family val="2"/>
      </rPr>
      <t xml:space="preserve">خار جمع کن سر راست کوچک </t>
    </r>
    <r>
      <rPr>
        <sz val="10"/>
        <rFont val="Vazirmatn"/>
        <family val="0"/>
        <charset val="1"/>
      </rPr>
      <t xml:space="preserve">"5</t>
    </r>
  </si>
  <si>
    <t xml:space="preserve">4047132</t>
  </si>
  <si>
    <r>
      <rPr>
        <sz val="10"/>
        <rFont val="FreeSans"/>
        <family val="2"/>
      </rPr>
      <t xml:space="preserve">خار جمع کن</t>
    </r>
    <r>
      <rPr>
        <sz val="10"/>
        <rFont val="Vazirmatn"/>
        <family val="0"/>
        <charset val="1"/>
      </rPr>
      <t xml:space="preserve">-5in-</t>
    </r>
    <r>
      <rPr>
        <sz val="10"/>
        <rFont val="FreeSans"/>
        <family val="2"/>
      </rPr>
      <t xml:space="preserve">سرکج</t>
    </r>
  </si>
  <si>
    <t xml:space="preserve">31286155</t>
  </si>
  <si>
    <r>
      <rPr>
        <sz val="10"/>
        <rFont val="FreeSans"/>
        <family val="2"/>
      </rPr>
      <t xml:space="preserve">پرگار صنعتی  </t>
    </r>
    <r>
      <rPr>
        <sz val="10"/>
        <rFont val="Vazirmatn"/>
        <family val="0"/>
        <charset val="1"/>
      </rPr>
      <t xml:space="preserve">60cm</t>
    </r>
  </si>
  <si>
    <t xml:space="preserve">4030620</t>
  </si>
  <si>
    <t xml:space="preserve">پرگار صنعتی</t>
  </si>
  <si>
    <t xml:space="preserve">31286172</t>
  </si>
  <si>
    <r>
      <rPr>
        <sz val="10"/>
        <rFont val="FreeSans"/>
        <family val="2"/>
      </rPr>
      <t xml:space="preserve">گونیای فلزی </t>
    </r>
    <r>
      <rPr>
        <sz val="10"/>
        <rFont val="Vazirmatn"/>
        <family val="0"/>
        <charset val="1"/>
      </rPr>
      <t xml:space="preserve">100Cm</t>
    </r>
  </si>
  <si>
    <t xml:space="preserve">4045292</t>
  </si>
  <si>
    <r>
      <rPr>
        <sz val="10"/>
        <rFont val="FreeSans"/>
        <family val="2"/>
      </rPr>
      <t xml:space="preserve">گونیا فلزی</t>
    </r>
    <r>
      <rPr>
        <sz val="10"/>
        <rFont val="Vazirmatn"/>
        <family val="0"/>
        <charset val="1"/>
      </rPr>
      <t xml:space="preserve">100cm</t>
    </r>
  </si>
  <si>
    <t xml:space="preserve">31286174</t>
  </si>
  <si>
    <r>
      <rPr>
        <sz val="10"/>
        <rFont val="FreeSans"/>
        <family val="2"/>
      </rPr>
      <t xml:space="preserve">آچار دو سر رینگ </t>
    </r>
    <r>
      <rPr>
        <sz val="10"/>
        <rFont val="Vazirmatn"/>
        <family val="0"/>
        <charset val="1"/>
      </rPr>
      <t xml:space="preserve">( 17 - 16 )</t>
    </r>
  </si>
  <si>
    <t xml:space="preserve">4010522</t>
  </si>
  <si>
    <r>
      <rPr>
        <sz val="10"/>
        <rFont val="FreeSans"/>
        <family val="2"/>
      </rPr>
      <t xml:space="preserve">آچار رينگي </t>
    </r>
    <r>
      <rPr>
        <sz val="10"/>
        <rFont val="Vazirmatn"/>
        <family val="0"/>
        <charset val="1"/>
      </rPr>
      <t xml:space="preserve">17-16</t>
    </r>
  </si>
  <si>
    <t xml:space="preserve">31286175</t>
  </si>
  <si>
    <r>
      <rPr>
        <sz val="10"/>
        <rFont val="FreeSans"/>
        <family val="2"/>
      </rPr>
      <t xml:space="preserve">آچار دو سر تخت </t>
    </r>
    <r>
      <rPr>
        <sz val="10"/>
        <rFont val="Vazirmatn"/>
        <family val="0"/>
        <charset val="1"/>
      </rPr>
      <t xml:space="preserve">( 15 - 14 )</t>
    </r>
  </si>
  <si>
    <t xml:space="preserve">4026386</t>
  </si>
  <si>
    <r>
      <rPr>
        <sz val="10"/>
        <rFont val="FreeSans"/>
        <family val="2"/>
      </rPr>
      <t xml:space="preserve">آچار دو سر رینگی نمره </t>
    </r>
    <r>
      <rPr>
        <sz val="10"/>
        <rFont val="Vazirmatn"/>
        <family val="0"/>
        <charset val="1"/>
      </rPr>
      <t xml:space="preserve">15-14</t>
    </r>
  </si>
  <si>
    <t xml:space="preserve">31286177</t>
  </si>
  <si>
    <r>
      <rPr>
        <sz val="10"/>
        <rFont val="FreeSans"/>
        <family val="2"/>
      </rPr>
      <t xml:space="preserve">خار باز کن سر راست </t>
    </r>
    <r>
      <rPr>
        <sz val="10"/>
        <rFont val="Vazirmatn"/>
        <family val="0"/>
        <charset val="1"/>
      </rPr>
      <t xml:space="preserve">"7</t>
    </r>
  </si>
  <si>
    <t xml:space="preserve">4047127</t>
  </si>
  <si>
    <r>
      <rPr>
        <sz val="10"/>
        <rFont val="FreeSans"/>
        <family val="2"/>
      </rPr>
      <t xml:space="preserve">خار باز کن</t>
    </r>
    <r>
      <rPr>
        <sz val="10"/>
        <rFont val="Vazirmatn"/>
        <family val="0"/>
        <charset val="1"/>
      </rPr>
      <t xml:space="preserve">-7in-</t>
    </r>
    <r>
      <rPr>
        <sz val="10"/>
        <rFont val="FreeSans"/>
        <family val="2"/>
      </rPr>
      <t xml:space="preserve">سرکج</t>
    </r>
  </si>
  <si>
    <t xml:space="preserve">31286178</t>
  </si>
  <si>
    <r>
      <rPr>
        <sz val="10"/>
        <rFont val="FreeSans"/>
        <family val="2"/>
      </rPr>
      <t xml:space="preserve">خار جمع کن سر راست </t>
    </r>
    <r>
      <rPr>
        <sz val="10"/>
        <rFont val="Vazirmatn"/>
        <family val="0"/>
        <charset val="1"/>
      </rPr>
      <t xml:space="preserve">"7</t>
    </r>
  </si>
  <si>
    <t xml:space="preserve">4047133</t>
  </si>
  <si>
    <r>
      <rPr>
        <sz val="10"/>
        <rFont val="FreeSans"/>
        <family val="2"/>
      </rPr>
      <t xml:space="preserve">خار جمع کن</t>
    </r>
    <r>
      <rPr>
        <sz val="10"/>
        <rFont val="Vazirmatn"/>
        <family val="0"/>
        <charset val="1"/>
      </rPr>
      <t xml:space="preserve">-7in-</t>
    </r>
    <r>
      <rPr>
        <sz val="10"/>
        <rFont val="FreeSans"/>
        <family val="2"/>
      </rPr>
      <t xml:space="preserve">سرکج</t>
    </r>
  </si>
  <si>
    <t xml:space="preserve">31286188</t>
  </si>
  <si>
    <t xml:space="preserve">پیچ گوشتی چهار سو متوسط ضربه ای</t>
  </si>
  <si>
    <t xml:space="preserve">4016198</t>
  </si>
  <si>
    <t xml:space="preserve">پیچ گوشتی ضربه خور چهار سو  متوسط</t>
  </si>
  <si>
    <t xml:space="preserve">31286190</t>
  </si>
  <si>
    <t xml:space="preserve">پیچ گوشتی دو سو بزرگ ضربه ای</t>
  </si>
  <si>
    <t xml:space="preserve">31286195</t>
  </si>
  <si>
    <t xml:space="preserve">پیچ گوشتی دو سو متوسط ضربه ای</t>
  </si>
  <si>
    <t xml:space="preserve">4016199</t>
  </si>
  <si>
    <t xml:space="preserve">پیچ گوشتی ضربه خور دو سو  متوسط</t>
  </si>
  <si>
    <t xml:space="preserve">31286198</t>
  </si>
  <si>
    <t xml:space="preserve">قیچی پارچه بری خیاطی بزرگ</t>
  </si>
  <si>
    <t xml:space="preserve">5009100</t>
  </si>
  <si>
    <t xml:space="preserve">قیچی خیاطی بزرگ</t>
  </si>
  <si>
    <t xml:space="preserve">31286205</t>
  </si>
  <si>
    <r>
      <rPr>
        <sz val="10"/>
        <rFont val="FreeSans"/>
        <family val="2"/>
      </rPr>
      <t xml:space="preserve">انبر قفلی  </t>
    </r>
    <r>
      <rPr>
        <sz val="10"/>
        <rFont val="Vazirmatn"/>
        <family val="0"/>
        <charset val="1"/>
      </rPr>
      <t xml:space="preserve">" 12</t>
    </r>
  </si>
  <si>
    <t xml:space="preserve">31286207</t>
  </si>
  <si>
    <t xml:space="preserve">پیچ گوشتی دو سو ضربه خور بزرگ</t>
  </si>
  <si>
    <t xml:space="preserve">31286210</t>
  </si>
  <si>
    <t xml:space="preserve">پیچ گوشتی دو سو ضربه ای بلند</t>
  </si>
  <si>
    <t xml:space="preserve">31286213</t>
  </si>
  <si>
    <r>
      <rPr>
        <sz val="10"/>
        <rFont val="FreeSans"/>
        <family val="2"/>
      </rPr>
      <t xml:space="preserve">آچار یکسر رینگ یکسر تخت </t>
    </r>
    <r>
      <rPr>
        <sz val="10"/>
        <rFont val="Vazirmatn"/>
        <family val="0"/>
        <charset val="1"/>
      </rPr>
      <t xml:space="preserve">13</t>
    </r>
  </si>
  <si>
    <t xml:space="preserve">5004953</t>
  </si>
  <si>
    <r>
      <rPr>
        <sz val="10"/>
        <rFont val="FreeSans"/>
        <family val="2"/>
      </rPr>
      <t xml:space="preserve">آچار یکسر تخت یک سر رینگی</t>
    </r>
    <r>
      <rPr>
        <sz val="10"/>
        <rFont val="Vazirmatn"/>
        <family val="0"/>
        <charset val="1"/>
      </rPr>
      <t xml:space="preserve">13</t>
    </r>
  </si>
  <si>
    <t xml:space="preserve">31286218</t>
  </si>
  <si>
    <r>
      <rPr>
        <sz val="10"/>
        <rFont val="FreeSans"/>
        <family val="2"/>
      </rPr>
      <t xml:space="preserve">انبر قفلی  </t>
    </r>
    <r>
      <rPr>
        <sz val="10"/>
        <rFont val="Vazirmatn"/>
        <family val="0"/>
        <charset val="1"/>
      </rPr>
      <t xml:space="preserve">" 7</t>
    </r>
  </si>
  <si>
    <t xml:space="preserve">31286219</t>
  </si>
  <si>
    <t xml:space="preserve">شاقول بزرگ</t>
  </si>
  <si>
    <t xml:space="preserve">4032103</t>
  </si>
  <si>
    <t xml:space="preserve">شاقول</t>
  </si>
  <si>
    <t xml:space="preserve">31286224</t>
  </si>
  <si>
    <r>
      <rPr>
        <sz val="10"/>
        <rFont val="FreeSans"/>
        <family val="2"/>
      </rPr>
      <t xml:space="preserve">پیچ گوشتی چهار سو عایق برق </t>
    </r>
    <r>
      <rPr>
        <sz val="10"/>
        <rFont val="Vazirmatn"/>
        <family val="0"/>
        <charset val="1"/>
      </rPr>
      <t xml:space="preserve">1000V</t>
    </r>
  </si>
  <si>
    <t xml:space="preserve">31286225</t>
  </si>
  <si>
    <r>
      <rPr>
        <sz val="10"/>
        <rFont val="FreeSans"/>
        <family val="2"/>
      </rPr>
      <t xml:space="preserve">پیچ گوشتی دو سو عایق برق </t>
    </r>
    <r>
      <rPr>
        <sz val="10"/>
        <rFont val="Vazirmatn"/>
        <family val="0"/>
        <charset val="1"/>
      </rPr>
      <t xml:space="preserve">1000V</t>
    </r>
  </si>
  <si>
    <t xml:space="preserve">31286226</t>
  </si>
  <si>
    <r>
      <rPr>
        <sz val="10"/>
        <rFont val="FreeSans"/>
        <family val="2"/>
      </rPr>
      <t xml:space="preserve">آلن  </t>
    </r>
    <r>
      <rPr>
        <sz val="10"/>
        <rFont val="Vazirmatn"/>
        <family val="0"/>
        <charset val="1"/>
      </rPr>
      <t xml:space="preserve">6</t>
    </r>
  </si>
  <si>
    <t xml:space="preserve">5004945</t>
  </si>
  <si>
    <r>
      <rPr>
        <sz val="10"/>
        <rFont val="FreeSans"/>
        <family val="2"/>
      </rPr>
      <t xml:space="preserve">آلن بوکس</t>
    </r>
    <r>
      <rPr>
        <sz val="10"/>
        <rFont val="Vazirmatn"/>
        <family val="0"/>
        <charset val="1"/>
      </rPr>
      <t xml:space="preserve">6</t>
    </r>
  </si>
  <si>
    <t xml:space="preserve">31286228</t>
  </si>
  <si>
    <r>
      <rPr>
        <sz val="10"/>
        <rFont val="FreeSans"/>
        <family val="2"/>
      </rPr>
      <t xml:space="preserve">آلن  </t>
    </r>
    <r>
      <rPr>
        <sz val="10"/>
        <rFont val="Vazirmatn"/>
        <family val="0"/>
        <charset val="1"/>
      </rPr>
      <t xml:space="preserve">10</t>
    </r>
  </si>
  <si>
    <t xml:space="preserve">4053999</t>
  </si>
  <si>
    <r>
      <rPr>
        <sz val="10"/>
        <rFont val="FreeSans"/>
        <family val="2"/>
      </rPr>
      <t xml:space="preserve">آلن بوکس</t>
    </r>
    <r>
      <rPr>
        <sz val="10"/>
        <rFont val="Vazirmatn"/>
        <family val="0"/>
        <charset val="1"/>
      </rPr>
      <t xml:space="preserve">10</t>
    </r>
  </si>
  <si>
    <t xml:space="preserve">31286236</t>
  </si>
  <si>
    <r>
      <rPr>
        <sz val="10"/>
        <rFont val="FreeSans"/>
        <family val="2"/>
      </rPr>
      <t xml:space="preserve">آچار یکسر رینگ یکسر تخت </t>
    </r>
    <r>
      <rPr>
        <sz val="10"/>
        <rFont val="Vazirmatn"/>
        <family val="0"/>
        <charset val="1"/>
      </rPr>
      <t xml:space="preserve">19</t>
    </r>
  </si>
  <si>
    <t xml:space="preserve">4002095</t>
  </si>
  <si>
    <r>
      <rPr>
        <sz val="10"/>
        <rFont val="FreeSans"/>
        <family val="2"/>
      </rPr>
      <t xml:space="preserve">آچار يکسر تخت يکسر رينگي نمره </t>
    </r>
    <r>
      <rPr>
        <sz val="10"/>
        <rFont val="Vazirmatn"/>
        <family val="0"/>
        <charset val="1"/>
      </rPr>
      <t xml:space="preserve">19</t>
    </r>
  </si>
  <si>
    <t xml:space="preserve">31286237</t>
  </si>
  <si>
    <r>
      <rPr>
        <sz val="10"/>
        <rFont val="FreeSans"/>
        <family val="2"/>
      </rPr>
      <t xml:space="preserve">دسته آلن </t>
    </r>
    <r>
      <rPr>
        <sz val="10"/>
        <rFont val="Vazirmatn"/>
        <family val="0"/>
        <charset val="1"/>
      </rPr>
      <t xml:space="preserve">10-1/5 </t>
    </r>
    <r>
      <rPr>
        <sz val="10"/>
        <rFont val="FreeSans"/>
        <family val="2"/>
      </rPr>
      <t xml:space="preserve">میلی متر</t>
    </r>
  </si>
  <si>
    <t xml:space="preserve">4035031</t>
  </si>
  <si>
    <r>
      <rPr>
        <sz val="10"/>
        <rFont val="FreeSans"/>
        <family val="2"/>
      </rPr>
      <t xml:space="preserve">دسته آلن </t>
    </r>
    <r>
      <rPr>
        <sz val="10"/>
        <rFont val="Vazirmatn"/>
        <family val="0"/>
        <charset val="1"/>
      </rPr>
      <t xml:space="preserve">1.5 </t>
    </r>
    <r>
      <rPr>
        <sz val="10"/>
        <rFont val="FreeSans"/>
        <family val="2"/>
      </rPr>
      <t xml:space="preserve">تا </t>
    </r>
    <r>
      <rPr>
        <sz val="10"/>
        <rFont val="Vazirmatn"/>
        <family val="0"/>
        <charset val="1"/>
      </rPr>
      <t xml:space="preserve">10</t>
    </r>
  </si>
  <si>
    <t xml:space="preserve">31286245</t>
  </si>
  <si>
    <r>
      <rPr>
        <sz val="10"/>
        <rFont val="FreeSans"/>
        <family val="2"/>
      </rPr>
      <t xml:space="preserve">پیچ گوشتی کوچک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سو  </t>
    </r>
    <r>
      <rPr>
        <sz val="10"/>
        <rFont val="Vazirmatn"/>
        <family val="0"/>
        <charset val="1"/>
      </rPr>
      <t xml:space="preserve">20Cm</t>
    </r>
  </si>
  <si>
    <t xml:space="preserve">31286247</t>
  </si>
  <si>
    <r>
      <rPr>
        <sz val="10"/>
        <rFont val="FreeSans"/>
        <family val="2"/>
      </rPr>
      <t xml:space="preserve">آچار یکسر رینگ یکسر تخت </t>
    </r>
    <r>
      <rPr>
        <sz val="10"/>
        <rFont val="Vazirmatn"/>
        <family val="0"/>
        <charset val="1"/>
      </rPr>
      <t xml:space="preserve">17</t>
    </r>
  </si>
  <si>
    <t xml:space="preserve">4000476</t>
  </si>
  <si>
    <r>
      <rPr>
        <sz val="10"/>
        <rFont val="FreeSans"/>
        <family val="2"/>
      </rPr>
      <t xml:space="preserve">آچار يكسر تخت يكسر رينگي نمره </t>
    </r>
    <r>
      <rPr>
        <sz val="10"/>
        <rFont val="Vazirmatn"/>
        <family val="0"/>
        <charset val="1"/>
      </rPr>
      <t xml:space="preserve">17</t>
    </r>
  </si>
  <si>
    <t xml:space="preserve">31286252</t>
  </si>
  <si>
    <r>
      <rPr>
        <sz val="10"/>
        <rFont val="FreeSans"/>
        <family val="2"/>
      </rPr>
      <t xml:space="preserve">آچار یکسر رینگ یکسر تخت </t>
    </r>
    <r>
      <rPr>
        <sz val="10"/>
        <rFont val="Vazirmatn"/>
        <family val="0"/>
        <charset val="1"/>
      </rPr>
      <t xml:space="preserve">10</t>
    </r>
  </si>
  <si>
    <t xml:space="preserve">4030624</t>
  </si>
  <si>
    <r>
      <rPr>
        <sz val="10"/>
        <rFont val="FreeSans"/>
        <family val="2"/>
      </rPr>
      <t xml:space="preserve">آچار یکسر تخت یکسر رینگی نمره </t>
    </r>
    <r>
      <rPr>
        <sz val="10"/>
        <rFont val="Vazirmatn"/>
        <family val="0"/>
        <charset val="1"/>
      </rPr>
      <t xml:space="preserve">10</t>
    </r>
  </si>
  <si>
    <t xml:space="preserve">31286254</t>
  </si>
  <si>
    <r>
      <rPr>
        <sz val="10"/>
        <rFont val="FreeSans"/>
        <family val="2"/>
      </rPr>
      <t xml:space="preserve">آچار یکسر رینگ یکسر تخت </t>
    </r>
    <r>
      <rPr>
        <sz val="10"/>
        <rFont val="Vazirmatn"/>
        <family val="0"/>
        <charset val="1"/>
      </rPr>
      <t xml:space="preserve">7</t>
    </r>
  </si>
  <si>
    <t xml:space="preserve">4030644</t>
  </si>
  <si>
    <r>
      <rPr>
        <sz val="10"/>
        <rFont val="FreeSans"/>
        <family val="2"/>
      </rPr>
      <t xml:space="preserve">آچار یکسر تخت یکسر رینگی نمره </t>
    </r>
    <r>
      <rPr>
        <sz val="10"/>
        <rFont val="Vazirmatn"/>
        <family val="0"/>
        <charset val="1"/>
      </rPr>
      <t xml:space="preserve">7</t>
    </r>
  </si>
  <si>
    <t xml:space="preserve">31286255</t>
  </si>
  <si>
    <r>
      <rPr>
        <sz val="10"/>
        <rFont val="FreeSans"/>
        <family val="2"/>
      </rPr>
      <t xml:space="preserve">آچار یکسر رینگ یکسر تخت </t>
    </r>
    <r>
      <rPr>
        <sz val="10"/>
        <rFont val="Vazirmatn"/>
        <family val="0"/>
        <charset val="1"/>
      </rPr>
      <t xml:space="preserve">8</t>
    </r>
  </si>
  <si>
    <t xml:space="preserve">4008686</t>
  </si>
  <si>
    <r>
      <rPr>
        <sz val="10"/>
        <rFont val="FreeSans"/>
        <family val="2"/>
      </rPr>
      <t xml:space="preserve">آچار یکسر تخت یکسر رینگی نمره </t>
    </r>
    <r>
      <rPr>
        <sz val="10"/>
        <rFont val="Vazirmatn"/>
        <family val="0"/>
        <charset val="1"/>
      </rPr>
      <t xml:space="preserve">8</t>
    </r>
  </si>
  <si>
    <t xml:space="preserve">31286257</t>
  </si>
  <si>
    <r>
      <rPr>
        <sz val="10"/>
        <rFont val="FreeSans"/>
        <family val="2"/>
      </rPr>
      <t xml:space="preserve">آچار یکسر رینگ یکسر تخت </t>
    </r>
    <r>
      <rPr>
        <sz val="10"/>
        <rFont val="Vazirmatn"/>
        <family val="0"/>
        <charset val="1"/>
      </rPr>
      <t xml:space="preserve">14</t>
    </r>
  </si>
  <si>
    <t xml:space="preserve">4008679</t>
  </si>
  <si>
    <r>
      <rPr>
        <sz val="10"/>
        <rFont val="FreeSans"/>
        <family val="2"/>
      </rPr>
      <t xml:space="preserve">آچار یکسر تخت یکسر رینگی نمره </t>
    </r>
    <r>
      <rPr>
        <sz val="10"/>
        <rFont val="Vazirmatn"/>
        <family val="0"/>
        <charset val="1"/>
      </rPr>
      <t xml:space="preserve">14</t>
    </r>
  </si>
  <si>
    <t xml:space="preserve">31286259</t>
  </si>
  <si>
    <r>
      <rPr>
        <sz val="10"/>
        <rFont val="FreeSans"/>
        <family val="2"/>
      </rPr>
      <t xml:space="preserve">پیچ گوشتی کوچک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سو  </t>
    </r>
    <r>
      <rPr>
        <sz val="10"/>
        <rFont val="Vazirmatn"/>
        <family val="0"/>
        <charset val="1"/>
      </rPr>
      <t xml:space="preserve">20Cm</t>
    </r>
  </si>
  <si>
    <t xml:space="preserve">4026404</t>
  </si>
  <si>
    <t xml:space="preserve">پیچ گوشتی چهار سو کوچک</t>
  </si>
  <si>
    <t xml:space="preserve">31286268</t>
  </si>
  <si>
    <r>
      <rPr>
        <sz val="10"/>
        <rFont val="FreeSans"/>
        <family val="2"/>
      </rPr>
      <t xml:space="preserve">آچار بکس </t>
    </r>
    <r>
      <rPr>
        <sz val="10"/>
        <rFont val="Vazirmatn"/>
        <family val="0"/>
        <charset val="1"/>
      </rPr>
      <t xml:space="preserve">( "1/2 * 13 )</t>
    </r>
  </si>
  <si>
    <t xml:space="preserve">31286301</t>
  </si>
  <si>
    <r>
      <rPr>
        <sz val="10"/>
        <rFont val="FreeSans"/>
        <family val="2"/>
      </rPr>
      <t xml:space="preserve">دم باریک  </t>
    </r>
    <r>
      <rPr>
        <sz val="10"/>
        <rFont val="Vazirmatn"/>
        <family val="0"/>
        <charset val="1"/>
      </rPr>
      <t xml:space="preserve">" 7</t>
    </r>
  </si>
  <si>
    <t xml:space="preserve">31286421</t>
  </si>
  <si>
    <t xml:space="preserve">قیف کوچک</t>
  </si>
  <si>
    <t xml:space="preserve">5011016</t>
  </si>
  <si>
    <t xml:space="preserve">قیف پلاستیکی کوچک</t>
  </si>
  <si>
    <t xml:space="preserve">31286431</t>
  </si>
  <si>
    <t xml:space="preserve">استامبولی</t>
  </si>
  <si>
    <t xml:space="preserve">5002605</t>
  </si>
  <si>
    <t xml:space="preserve">استانبولی</t>
  </si>
  <si>
    <t xml:space="preserve">31286441</t>
  </si>
  <si>
    <t xml:space="preserve">صافی توری کوچک</t>
  </si>
  <si>
    <t xml:space="preserve">5011606</t>
  </si>
  <si>
    <t xml:space="preserve">صافی چای کوچک</t>
  </si>
  <si>
    <t xml:space="preserve">31286442</t>
  </si>
  <si>
    <t xml:space="preserve">صافی توری بزرگ</t>
  </si>
  <si>
    <t xml:space="preserve">5011607</t>
  </si>
  <si>
    <t xml:space="preserve">صافی چای بزرگ</t>
  </si>
  <si>
    <t xml:space="preserve">31286444</t>
  </si>
  <si>
    <t xml:space="preserve">لیسه پلاستیکی کوچک</t>
  </si>
  <si>
    <t xml:space="preserve">4026327</t>
  </si>
  <si>
    <t xml:space="preserve">لیسه پلاستیکی</t>
  </si>
  <si>
    <t xml:space="preserve">31286445</t>
  </si>
  <si>
    <t xml:space="preserve">لیسه پلاستیکی بزرگ</t>
  </si>
  <si>
    <t xml:space="preserve">31286504</t>
  </si>
  <si>
    <t xml:space="preserve">چکش پلاستیکی</t>
  </si>
  <si>
    <t xml:space="preserve">31286600</t>
  </si>
  <si>
    <r>
      <rPr>
        <sz val="10"/>
        <rFont val="FreeSans"/>
        <family val="2"/>
      </rPr>
      <t xml:space="preserve">جرثقیل زنجیری دستی زنجیر بلند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VITAL 1ton</t>
    </r>
  </si>
  <si>
    <t xml:space="preserve">6005125</t>
  </si>
  <si>
    <r>
      <rPr>
        <sz val="10"/>
        <rFont val="FreeSans"/>
        <family val="2"/>
      </rPr>
      <t xml:space="preserve">جرثقیل دستی زنجیری </t>
    </r>
    <r>
      <rPr>
        <sz val="10"/>
        <rFont val="Vazirmatn"/>
        <family val="0"/>
        <charset val="1"/>
      </rPr>
      <t xml:space="preserve">6TON</t>
    </r>
  </si>
  <si>
    <t xml:space="preserve">31287025</t>
  </si>
  <si>
    <t xml:space="preserve">دریل شارژی رونیکس</t>
  </si>
  <si>
    <t xml:space="preserve">4030622</t>
  </si>
  <si>
    <t xml:space="preserve">دریل شارژی</t>
  </si>
  <si>
    <t xml:space="preserve">31287036</t>
  </si>
  <si>
    <t xml:space="preserve">مینی سنگ بوش</t>
  </si>
  <si>
    <t xml:space="preserve">4027241</t>
  </si>
  <si>
    <t xml:space="preserve">کلید مینی سنگ بوش</t>
  </si>
  <si>
    <t xml:space="preserve">31289102</t>
  </si>
  <si>
    <r>
      <rPr>
        <sz val="10"/>
        <rFont val="FreeSans"/>
        <family val="2"/>
      </rPr>
      <t xml:space="preserve">ماسک فیلتر دار نیم صورت ضد گرد و غبار </t>
    </r>
    <r>
      <rPr>
        <sz val="10"/>
        <rFont val="Vazirmatn"/>
        <family val="0"/>
        <charset val="1"/>
      </rPr>
      <t xml:space="preserve">( Duetta )</t>
    </r>
  </si>
  <si>
    <t xml:space="preserve">5023018</t>
  </si>
  <si>
    <r>
      <rPr>
        <sz val="10"/>
        <rFont val="FreeSans"/>
        <family val="2"/>
      </rPr>
      <t xml:space="preserve">فیلتر ماسک ضد اسید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نیم صورت</t>
    </r>
    <r>
      <rPr>
        <sz val="10"/>
        <rFont val="Vazirmatn"/>
        <family val="0"/>
        <charset val="1"/>
      </rPr>
      <t xml:space="preserve">)</t>
    </r>
  </si>
  <si>
    <t xml:space="preserve">31289109</t>
  </si>
  <si>
    <t xml:space="preserve">ماسک جوش کلاهی</t>
  </si>
  <si>
    <t xml:space="preserve">4010685</t>
  </si>
  <si>
    <t xml:space="preserve">ماسک کلاهي جوشکاري</t>
  </si>
  <si>
    <t xml:space="preserve">31289114</t>
  </si>
  <si>
    <t xml:space="preserve">دستکش چرمی آرگون ساق کوتاه</t>
  </si>
  <si>
    <t xml:space="preserve">5010880</t>
  </si>
  <si>
    <t xml:space="preserve">دستکش آرگون ساق کوتاه</t>
  </si>
  <si>
    <t xml:space="preserve">31289115</t>
  </si>
  <si>
    <t xml:space="preserve">کلاه ایمنی پلاستیکی</t>
  </si>
  <si>
    <t xml:space="preserve">5005114</t>
  </si>
  <si>
    <t xml:space="preserve">کلاه ایمنی مکانیکی</t>
  </si>
  <si>
    <t xml:space="preserve">31289117</t>
  </si>
  <si>
    <t xml:space="preserve">کلاه لبه دار</t>
  </si>
  <si>
    <t xml:space="preserve">5011866</t>
  </si>
  <si>
    <t xml:space="preserve">کلاه نقاب دار</t>
  </si>
  <si>
    <t xml:space="preserve">31289118</t>
  </si>
  <si>
    <t xml:space="preserve">کلاه پارچه ای</t>
  </si>
  <si>
    <t xml:space="preserve">5007453</t>
  </si>
  <si>
    <t xml:space="preserve">کلاه آفتابگیر دور پارچه ای</t>
  </si>
  <si>
    <t xml:space="preserve">31289119</t>
  </si>
  <si>
    <t xml:space="preserve">کاور کفش</t>
  </si>
  <si>
    <t xml:space="preserve">31289120</t>
  </si>
  <si>
    <t xml:space="preserve">دستکش جوشکاری ساقه کوتاه</t>
  </si>
  <si>
    <t xml:space="preserve">5010882</t>
  </si>
  <si>
    <t xml:space="preserve">دستکش جوشکاری</t>
  </si>
  <si>
    <t xml:space="preserve">31289123</t>
  </si>
  <si>
    <t xml:space="preserve">دستکش نخی</t>
  </si>
  <si>
    <t xml:space="preserve">31289126</t>
  </si>
  <si>
    <t xml:space="preserve">دستکش جوشکاری ساقه بلند</t>
  </si>
  <si>
    <t xml:space="preserve">5006362</t>
  </si>
  <si>
    <t xml:space="preserve">دستکش  جوشکاري ساق بلند</t>
  </si>
  <si>
    <t xml:space="preserve">31289128</t>
  </si>
  <si>
    <t xml:space="preserve">دستکش  لاستیکی</t>
  </si>
  <si>
    <t xml:space="preserve">5010879</t>
  </si>
  <si>
    <t xml:space="preserve">دستکش کف لاستیکی</t>
  </si>
  <si>
    <t xml:space="preserve">31289130</t>
  </si>
  <si>
    <t xml:space="preserve">دستکش پلاستیکی ضد اسید و شیمیایی</t>
  </si>
  <si>
    <t xml:space="preserve">5010881</t>
  </si>
  <si>
    <t xml:space="preserve">دستکش ضد اسید</t>
  </si>
  <si>
    <t xml:space="preserve">31289135</t>
  </si>
  <si>
    <r>
      <rPr>
        <sz val="10"/>
        <rFont val="FreeSans"/>
        <family val="2"/>
      </rPr>
      <t xml:space="preserve">ماسک شیمیایی نیم صورت فیلتر دار  </t>
    </r>
    <r>
      <rPr>
        <sz val="10"/>
        <rFont val="Vazirmatn"/>
        <family val="0"/>
        <charset val="1"/>
      </rPr>
      <t xml:space="preserve">6502 3M</t>
    </r>
  </si>
  <si>
    <t xml:space="preserve">31289139</t>
  </si>
  <si>
    <t xml:space="preserve">شیلد محافظ تمام صورت</t>
  </si>
  <si>
    <t xml:space="preserve">31289141</t>
  </si>
  <si>
    <r>
      <rPr>
        <sz val="10"/>
        <rFont val="FreeSans"/>
        <family val="2"/>
      </rPr>
      <t xml:space="preserve">گوشی ایمنی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خلبانی </t>
    </r>
    <r>
      <rPr>
        <sz val="10"/>
        <rFont val="Vazirmatn"/>
        <family val="0"/>
        <charset val="1"/>
      </rPr>
      <t xml:space="preserve">)</t>
    </r>
  </si>
  <si>
    <t xml:space="preserve">5010862</t>
  </si>
  <si>
    <t xml:space="preserve">گوشی خلبانی</t>
  </si>
  <si>
    <t xml:space="preserve">31289162</t>
  </si>
  <si>
    <t xml:space="preserve">عینک جوشکاری</t>
  </si>
  <si>
    <t xml:space="preserve">5000505</t>
  </si>
  <si>
    <t xml:space="preserve">عينک جوشکاري سياه</t>
  </si>
  <si>
    <t xml:space="preserve">31289274</t>
  </si>
  <si>
    <r>
      <rPr>
        <sz val="10"/>
        <rFont val="FreeSans"/>
        <family val="2"/>
      </rPr>
      <t xml:space="preserve">سه نظام دریل اتوماتیک  </t>
    </r>
    <r>
      <rPr>
        <sz val="10"/>
        <rFont val="Vazirmatn"/>
        <family val="0"/>
        <charset val="1"/>
      </rPr>
      <t xml:space="preserve">16 - 3</t>
    </r>
  </si>
  <si>
    <t xml:space="preserve">4018825</t>
  </si>
  <si>
    <r>
      <rPr>
        <sz val="10"/>
        <rFont val="FreeSans"/>
        <family val="2"/>
      </rPr>
      <t xml:space="preserve">سه نظام اتوماتیک </t>
    </r>
    <r>
      <rPr>
        <sz val="10"/>
        <rFont val="Vazirmatn"/>
        <family val="0"/>
        <charset val="1"/>
      </rPr>
      <t xml:space="preserve">16-3</t>
    </r>
  </si>
  <si>
    <t xml:space="preserve">31289277</t>
  </si>
  <si>
    <r>
      <rPr>
        <sz val="10"/>
        <rFont val="FreeSans"/>
        <family val="2"/>
      </rPr>
      <t xml:space="preserve">آچار سه نظام اتومات دریل دستی </t>
    </r>
    <r>
      <rPr>
        <sz val="10"/>
        <rFont val="Vazirmatn"/>
        <family val="0"/>
        <charset val="1"/>
      </rPr>
      <t xml:space="preserve">mm1 - 13</t>
    </r>
  </si>
  <si>
    <t xml:space="preserve">4026426</t>
  </si>
  <si>
    <t xml:space="preserve">آچار سه نظام دریل</t>
  </si>
  <si>
    <t xml:space="preserve">31289279</t>
  </si>
  <si>
    <r>
      <rPr>
        <sz val="10"/>
        <rFont val="FreeSans"/>
        <family val="2"/>
      </rPr>
      <t xml:space="preserve">سه نظام دریل اتوماتیک </t>
    </r>
    <r>
      <rPr>
        <sz val="10"/>
        <rFont val="Vazirmatn"/>
        <family val="0"/>
        <charset val="1"/>
      </rPr>
      <t xml:space="preserve">1/5mm-13mm</t>
    </r>
  </si>
  <si>
    <t xml:space="preserve">4009074</t>
  </si>
  <si>
    <r>
      <rPr>
        <sz val="10"/>
        <rFont val="FreeSans"/>
        <family val="2"/>
      </rPr>
      <t xml:space="preserve">سه نظام اتوماتیک </t>
    </r>
    <r>
      <rPr>
        <sz val="10"/>
        <rFont val="Vazirmatn"/>
        <family val="0"/>
        <charset val="1"/>
      </rPr>
      <t xml:space="preserve">1.5-13</t>
    </r>
  </si>
  <si>
    <t xml:space="preserve">31289343</t>
  </si>
  <si>
    <r>
      <rPr>
        <sz val="10"/>
        <rFont val="FreeSans"/>
        <family val="2"/>
      </rPr>
      <t xml:space="preserve">تخته بنایی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متری</t>
    </r>
  </si>
  <si>
    <t xml:space="preserve">5007074</t>
  </si>
  <si>
    <t xml:space="preserve">تخته بنایی</t>
  </si>
  <si>
    <t xml:space="preserve">31289465</t>
  </si>
  <si>
    <t xml:space="preserve">مقنعه حفاظتی جوشکاری</t>
  </si>
  <si>
    <t xml:space="preserve">5010874</t>
  </si>
  <si>
    <t xml:space="preserve">مقنعه جوشکاری</t>
  </si>
  <si>
    <t xml:space="preserve">31291105</t>
  </si>
  <si>
    <r>
      <rPr>
        <sz val="10"/>
        <rFont val="FreeSans"/>
        <family val="2"/>
      </rPr>
      <t xml:space="preserve">ناودانی آهنی  نمره </t>
    </r>
    <r>
      <rPr>
        <sz val="10"/>
        <rFont val="Vazirmatn"/>
        <family val="0"/>
        <charset val="1"/>
      </rPr>
      <t xml:space="preserve">: 16</t>
    </r>
  </si>
  <si>
    <t xml:space="preserve">31291160</t>
  </si>
  <si>
    <r>
      <rPr>
        <sz val="10"/>
        <rFont val="FreeSans"/>
        <family val="2"/>
      </rPr>
      <t xml:space="preserve">ساندویچ پنل سقفی </t>
    </r>
    <r>
      <rPr>
        <sz val="10"/>
        <rFont val="Vazirmatn"/>
        <family val="0"/>
        <charset val="1"/>
      </rPr>
      <t xml:space="preserve">6m*1m*8Cm</t>
    </r>
  </si>
  <si>
    <t xml:space="preserve">31291329</t>
  </si>
  <si>
    <r>
      <rPr>
        <sz val="10"/>
        <rFont val="FreeSans"/>
        <family val="2"/>
      </rPr>
      <t xml:space="preserve">شینه مسی  </t>
    </r>
    <r>
      <rPr>
        <sz val="10"/>
        <rFont val="Vazirmatn"/>
        <family val="0"/>
        <charset val="1"/>
      </rPr>
      <t xml:space="preserve">40mm * 5mm</t>
    </r>
  </si>
  <si>
    <t xml:space="preserve">4027960</t>
  </si>
  <si>
    <r>
      <rPr>
        <sz val="10"/>
        <rFont val="FreeSans"/>
        <family val="2"/>
      </rPr>
      <t xml:space="preserve">شینه مسی </t>
    </r>
    <r>
      <rPr>
        <sz val="10"/>
        <rFont val="Vazirmatn"/>
        <family val="0"/>
        <charset val="1"/>
      </rPr>
      <t xml:space="preserve">5 * 40 </t>
    </r>
    <r>
      <rPr>
        <sz val="10"/>
        <rFont val="FreeSans"/>
        <family val="2"/>
      </rPr>
      <t xml:space="preserve">میلیمتر</t>
    </r>
  </si>
  <si>
    <t xml:space="preserve">31291339</t>
  </si>
  <si>
    <r>
      <rPr>
        <sz val="10"/>
        <rFont val="FreeSans"/>
        <family val="2"/>
      </rPr>
      <t xml:space="preserve">باسبار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</t>
    </r>
    <r>
      <rPr>
        <sz val="10"/>
        <rFont val="Vazirmatn"/>
        <family val="0"/>
        <charset val="1"/>
      </rPr>
      <t xml:space="preserve">- 15 </t>
    </r>
    <r>
      <rPr>
        <sz val="10"/>
        <rFont val="FreeSans"/>
        <family val="2"/>
      </rPr>
      <t xml:space="preserve">پیچ  </t>
    </r>
    <r>
      <rPr>
        <sz val="10"/>
        <rFont val="Vazirmatn"/>
        <family val="0"/>
        <charset val="1"/>
      </rPr>
      <t xml:space="preserve">- 125A</t>
    </r>
  </si>
  <si>
    <t xml:space="preserve">4027369</t>
  </si>
  <si>
    <r>
      <rPr>
        <sz val="10"/>
        <rFont val="FreeSans"/>
        <family val="2"/>
      </rPr>
      <t xml:space="preserve">باسبار </t>
    </r>
    <r>
      <rPr>
        <sz val="10"/>
        <rFont val="Vazirmatn"/>
        <family val="0"/>
        <charset val="1"/>
      </rPr>
      <t xml:space="preserve">125 </t>
    </r>
    <r>
      <rPr>
        <sz val="10"/>
        <rFont val="FreeSans"/>
        <family val="2"/>
      </rPr>
      <t xml:space="preserve">آمپر</t>
    </r>
  </si>
  <si>
    <t xml:space="preserve">31291486</t>
  </si>
  <si>
    <r>
      <rPr>
        <sz val="10"/>
        <rFont val="FreeSans"/>
        <family val="2"/>
      </rPr>
      <t xml:space="preserve">کپسول گاز  </t>
    </r>
    <r>
      <rPr>
        <sz val="10"/>
        <rFont val="Vazirmatn"/>
        <family val="0"/>
        <charset val="1"/>
      </rPr>
      <t xml:space="preserve">R 410 A</t>
    </r>
  </si>
  <si>
    <t xml:space="preserve">5015257</t>
  </si>
  <si>
    <r>
      <rPr>
        <sz val="10"/>
        <rFont val="FreeSans"/>
        <family val="2"/>
      </rPr>
      <t xml:space="preserve">کپسول گاز مبرد یک کیلویی </t>
    </r>
    <r>
      <rPr>
        <sz val="10"/>
        <rFont val="Vazirmatn"/>
        <family val="0"/>
        <charset val="1"/>
      </rPr>
      <t xml:space="preserve">R410</t>
    </r>
  </si>
  <si>
    <t xml:space="preserve">31291490</t>
  </si>
  <si>
    <r>
      <rPr>
        <sz val="10"/>
        <rFont val="FreeSans"/>
        <family val="2"/>
      </rPr>
      <t xml:space="preserve">کپسول آتشنشانی </t>
    </r>
    <r>
      <rPr>
        <sz val="10"/>
        <rFont val="Vazirmatn"/>
        <family val="0"/>
        <charset val="1"/>
      </rPr>
      <t xml:space="preserve">CO2 6Kg</t>
    </r>
  </si>
  <si>
    <t xml:space="preserve">31291493</t>
  </si>
  <si>
    <r>
      <rPr>
        <sz val="10"/>
        <rFont val="FreeSans"/>
        <family val="2"/>
      </rPr>
      <t xml:space="preserve">کپسول گاز    </t>
    </r>
    <r>
      <rPr>
        <sz val="10"/>
        <rFont val="Vazirmatn"/>
        <family val="0"/>
        <charset val="1"/>
      </rPr>
      <t xml:space="preserve">R 134</t>
    </r>
  </si>
  <si>
    <t xml:space="preserve">5015258</t>
  </si>
  <si>
    <r>
      <rPr>
        <sz val="10"/>
        <rFont val="FreeSans"/>
        <family val="2"/>
      </rPr>
      <t xml:space="preserve">کپسول گاز مبرد یک کیلویی </t>
    </r>
    <r>
      <rPr>
        <sz val="10"/>
        <rFont val="Vazirmatn"/>
        <family val="0"/>
        <charset val="1"/>
      </rPr>
      <t xml:space="preserve">R134</t>
    </r>
  </si>
  <si>
    <t xml:space="preserve">31291494</t>
  </si>
  <si>
    <r>
      <rPr>
        <sz val="10"/>
        <rFont val="FreeSans"/>
        <family val="2"/>
      </rPr>
      <t xml:space="preserve">کپسول گاز    </t>
    </r>
    <r>
      <rPr>
        <sz val="10"/>
        <rFont val="Vazirmatn"/>
        <family val="0"/>
        <charset val="1"/>
      </rPr>
      <t xml:space="preserve">410 A</t>
    </r>
  </si>
  <si>
    <t xml:space="preserve">31291499</t>
  </si>
  <si>
    <t xml:space="preserve">کپسول اکسیژن</t>
  </si>
  <si>
    <t xml:space="preserve">6003678</t>
  </si>
  <si>
    <r>
      <rPr>
        <sz val="10"/>
        <rFont val="FreeSans"/>
        <family val="2"/>
      </rPr>
      <t xml:space="preserve">کپسول اکسیژن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لیتری</t>
    </r>
  </si>
  <si>
    <t xml:space="preserve">31291500</t>
  </si>
  <si>
    <r>
      <rPr>
        <sz val="10"/>
        <rFont val="FreeSans"/>
        <family val="2"/>
      </rPr>
      <t xml:space="preserve">کپسول گاز  </t>
    </r>
    <r>
      <rPr>
        <sz val="10"/>
        <rFont val="Vazirmatn"/>
        <family val="0"/>
        <charset val="1"/>
      </rPr>
      <t xml:space="preserve">CO2</t>
    </r>
  </si>
  <si>
    <t xml:space="preserve">4033697</t>
  </si>
  <si>
    <r>
      <rPr>
        <sz val="10"/>
        <rFont val="FreeSans"/>
        <family val="2"/>
      </rPr>
      <t xml:space="preserve">کپسول </t>
    </r>
    <r>
      <rPr>
        <sz val="10"/>
        <rFont val="Vazirmatn"/>
        <family val="0"/>
        <charset val="1"/>
      </rPr>
      <t xml:space="preserve">co2 3kg</t>
    </r>
  </si>
  <si>
    <t xml:space="preserve">31291502</t>
  </si>
  <si>
    <r>
      <rPr>
        <sz val="10"/>
        <rFont val="FreeSans"/>
        <family val="2"/>
      </rPr>
      <t xml:space="preserve">کپسول گاز     </t>
    </r>
    <r>
      <rPr>
        <sz val="10"/>
        <rFont val="Vazirmatn"/>
        <family val="0"/>
        <charset val="1"/>
      </rPr>
      <t xml:space="preserve">R 12</t>
    </r>
  </si>
  <si>
    <t xml:space="preserve">6000839</t>
  </si>
  <si>
    <r>
      <rPr>
        <sz val="10"/>
        <rFont val="FreeSans"/>
        <family val="2"/>
      </rPr>
      <t xml:space="preserve">کپسول پودر و گاز </t>
    </r>
    <r>
      <rPr>
        <sz val="10"/>
        <rFont val="Vazirmatn"/>
        <family val="0"/>
        <charset val="1"/>
      </rPr>
      <t xml:space="preserve">12 Kg</t>
    </r>
  </si>
  <si>
    <t xml:space="preserve">31291531</t>
  </si>
  <si>
    <r>
      <rPr>
        <sz val="10"/>
        <rFont val="FreeSans"/>
        <family val="2"/>
      </rPr>
      <t xml:space="preserve">کپسول پرسی گاز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کیلوئی</t>
    </r>
  </si>
  <si>
    <t xml:space="preserve">31291535</t>
  </si>
  <si>
    <r>
      <rPr>
        <sz val="10"/>
        <rFont val="FreeSans"/>
        <family val="2"/>
      </rPr>
      <t xml:space="preserve">میلگرد آجدار </t>
    </r>
    <r>
      <rPr>
        <sz val="10"/>
        <rFont val="Vazirmatn"/>
        <family val="0"/>
        <charset val="1"/>
      </rPr>
      <t xml:space="preserve">16 ( 12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) A3</t>
    </r>
  </si>
  <si>
    <t xml:space="preserve">5004050</t>
  </si>
  <si>
    <r>
      <rPr>
        <sz val="10"/>
        <rFont val="FreeSans"/>
        <family val="2"/>
      </rPr>
      <t xml:space="preserve">ميلگرد آجدار  </t>
    </r>
    <r>
      <rPr>
        <sz val="10"/>
        <rFont val="Vazirmatn"/>
        <family val="0"/>
        <charset val="1"/>
      </rPr>
      <t xml:space="preserve">12mm  A3</t>
    </r>
  </si>
  <si>
    <t xml:space="preserve">31292119</t>
  </si>
  <si>
    <t xml:space="preserve">اسپری فوم</t>
  </si>
  <si>
    <t xml:space="preserve">5003566</t>
  </si>
  <si>
    <t xml:space="preserve">اسپري فوم تزريقي</t>
  </si>
  <si>
    <t xml:space="preserve">31292130</t>
  </si>
  <si>
    <t xml:space="preserve">اسپری ناهید آبی</t>
  </si>
  <si>
    <t xml:space="preserve">5005935</t>
  </si>
  <si>
    <t xml:space="preserve">اسپري آبي</t>
  </si>
  <si>
    <t xml:space="preserve">31293133</t>
  </si>
  <si>
    <t xml:space="preserve">دریچه تهویه</t>
  </si>
  <si>
    <t xml:space="preserve">4030297</t>
  </si>
  <si>
    <t xml:space="preserve">دریچه آیفونی تهویه سرویس</t>
  </si>
  <si>
    <t xml:space="preserve">31293134</t>
  </si>
  <si>
    <t xml:space="preserve">دریچه کولر</t>
  </si>
  <si>
    <t xml:space="preserve">4035423</t>
  </si>
  <si>
    <t xml:space="preserve">دریچه کولر ریموت دار</t>
  </si>
  <si>
    <t xml:space="preserve">31293141</t>
  </si>
  <si>
    <r>
      <rPr>
        <sz val="10"/>
        <rFont val="FreeSans"/>
        <family val="2"/>
      </rPr>
      <t xml:space="preserve">دریچه کولر  </t>
    </r>
    <r>
      <rPr>
        <sz val="10"/>
        <rFont val="Vazirmatn"/>
        <family val="0"/>
        <charset val="1"/>
      </rPr>
      <t xml:space="preserve">35*35</t>
    </r>
  </si>
  <si>
    <t xml:space="preserve">5010782</t>
  </si>
  <si>
    <r>
      <rPr>
        <sz val="10"/>
        <rFont val="FreeSans"/>
        <family val="2"/>
      </rPr>
      <t xml:space="preserve">دریچه </t>
    </r>
    <r>
      <rPr>
        <sz val="10"/>
        <rFont val="Vazirmatn"/>
        <family val="0"/>
        <charset val="1"/>
      </rPr>
      <t xml:space="preserve">35*35</t>
    </r>
  </si>
  <si>
    <t xml:space="preserve">31294100</t>
  </si>
  <si>
    <t xml:space="preserve">چرخ  فرغون کامل با لاستیک</t>
  </si>
  <si>
    <t xml:space="preserve">5003833</t>
  </si>
  <si>
    <t xml:space="preserve">چرخ کامل فرغون</t>
  </si>
  <si>
    <t xml:space="preserve">31295400</t>
  </si>
  <si>
    <r>
      <rPr>
        <sz val="10"/>
        <rFont val="FreeSans"/>
        <family val="2"/>
      </rPr>
      <t xml:space="preserve">طلق پرس لمینت </t>
    </r>
    <r>
      <rPr>
        <sz val="10"/>
        <rFont val="Vazirmatn"/>
        <family val="0"/>
        <charset val="1"/>
      </rPr>
      <t xml:space="preserve">A5</t>
    </r>
  </si>
  <si>
    <t xml:space="preserve">5008416</t>
  </si>
  <si>
    <t xml:space="preserve">طلق لمینت پرس</t>
  </si>
  <si>
    <t xml:space="preserve">31298101</t>
  </si>
  <si>
    <t xml:space="preserve">کفشور پلاستیکی</t>
  </si>
  <si>
    <t xml:space="preserve">4024267</t>
  </si>
  <si>
    <r>
      <rPr>
        <sz val="10"/>
        <rFont val="FreeSans"/>
        <family val="2"/>
      </rPr>
      <t xml:space="preserve">کفشور پلاستیکی </t>
    </r>
    <r>
      <rPr>
        <sz val="10"/>
        <rFont val="Vazirmatn"/>
        <family val="0"/>
        <charset val="1"/>
      </rPr>
      <t xml:space="preserve">15*15</t>
    </r>
  </si>
  <si>
    <t xml:space="preserve">31298583</t>
  </si>
  <si>
    <t xml:space="preserve">تفنگی باد فلزی</t>
  </si>
  <si>
    <t xml:space="preserve">4009398</t>
  </si>
  <si>
    <t xml:space="preserve">تفنگی باد</t>
  </si>
  <si>
    <t xml:space="preserve">31298590</t>
  </si>
  <si>
    <t xml:space="preserve">تفنگی باد و شیلنگ</t>
  </si>
  <si>
    <t xml:space="preserve">31299205</t>
  </si>
  <si>
    <r>
      <rPr>
        <sz val="10"/>
        <rFont val="FreeSans"/>
        <family val="2"/>
      </rPr>
      <t xml:space="preserve">شیپورک کپسول </t>
    </r>
    <r>
      <rPr>
        <sz val="10"/>
        <rFont val="Vazirmatn"/>
        <family val="0"/>
        <charset val="1"/>
      </rPr>
      <t xml:space="preserve">CO2</t>
    </r>
  </si>
  <si>
    <t xml:space="preserve">4034159</t>
  </si>
  <si>
    <r>
      <rPr>
        <sz val="10"/>
        <rFont val="FreeSans"/>
        <family val="2"/>
      </rPr>
      <t xml:space="preserve">شیپورک کپسول </t>
    </r>
    <r>
      <rPr>
        <sz val="10"/>
        <rFont val="Vazirmatn"/>
        <family val="0"/>
        <charset val="1"/>
      </rPr>
      <t xml:space="preserve">30 </t>
    </r>
    <r>
      <rPr>
        <sz val="10"/>
        <rFont val="FreeSans"/>
        <family val="2"/>
      </rPr>
      <t xml:space="preserve">کیلوگرمی </t>
    </r>
    <r>
      <rPr>
        <sz val="10"/>
        <rFont val="Vazirmatn"/>
        <family val="0"/>
        <charset val="1"/>
      </rPr>
      <t xml:space="preserve">CO2</t>
    </r>
  </si>
  <si>
    <t xml:space="preserve">31299684</t>
  </si>
  <si>
    <r>
      <rPr>
        <sz val="10"/>
        <rFont val="FreeSans"/>
        <family val="2"/>
      </rPr>
      <t xml:space="preserve">باطری قلمی قابل شارژ </t>
    </r>
    <r>
      <rPr>
        <sz val="10"/>
        <rFont val="Vazirmatn"/>
        <family val="0"/>
        <charset val="1"/>
      </rPr>
      <t xml:space="preserve">1/2V</t>
    </r>
  </si>
  <si>
    <t xml:space="preserve">5006181</t>
  </si>
  <si>
    <r>
      <rPr>
        <sz val="10"/>
        <rFont val="FreeSans"/>
        <family val="2"/>
      </rPr>
      <t xml:space="preserve">باطري نيم قلمي شارژي </t>
    </r>
    <r>
      <rPr>
        <sz val="10"/>
        <rFont val="Vazirmatn"/>
        <family val="0"/>
        <charset val="1"/>
      </rPr>
      <t xml:space="preserve">1.2V</t>
    </r>
  </si>
  <si>
    <t xml:space="preserve">31299711</t>
  </si>
  <si>
    <t xml:space="preserve">سبد پمپ آب کولر</t>
  </si>
  <si>
    <t xml:space="preserve">4008500</t>
  </si>
  <si>
    <t xml:space="preserve">سبد پمپ آب کولر آبي</t>
  </si>
  <si>
    <t xml:space="preserve">31299806</t>
  </si>
  <si>
    <r>
      <rPr>
        <sz val="10"/>
        <rFont val="FreeSans"/>
        <family val="2"/>
      </rPr>
      <t xml:space="preserve">عایق لوله مسی  </t>
    </r>
    <r>
      <rPr>
        <sz val="10"/>
        <rFont val="Vazirmatn"/>
        <family val="0"/>
        <charset val="1"/>
      </rPr>
      <t xml:space="preserve">1/4</t>
    </r>
  </si>
  <si>
    <t xml:space="preserve">4030301</t>
  </si>
  <si>
    <r>
      <rPr>
        <sz val="10"/>
        <rFont val="FreeSans"/>
        <family val="2"/>
      </rPr>
      <t xml:space="preserve">عایق لوله مسی سایز </t>
    </r>
    <r>
      <rPr>
        <sz val="10"/>
        <rFont val="Vazirmatn"/>
        <family val="0"/>
        <charset val="1"/>
      </rPr>
      <t xml:space="preserve">1/4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(6mm)</t>
    </r>
  </si>
  <si>
    <t xml:space="preserve">31299808</t>
  </si>
  <si>
    <r>
      <rPr>
        <sz val="10"/>
        <rFont val="FreeSans"/>
        <family val="2"/>
      </rPr>
      <t xml:space="preserve">عایق لوله مسی  </t>
    </r>
    <r>
      <rPr>
        <sz val="10"/>
        <rFont val="Vazirmatn"/>
        <family val="0"/>
        <charset val="1"/>
      </rPr>
      <t xml:space="preserve">3/8</t>
    </r>
  </si>
  <si>
    <t xml:space="preserve">4030302</t>
  </si>
  <si>
    <r>
      <rPr>
        <sz val="10"/>
        <rFont val="FreeSans"/>
        <family val="2"/>
      </rPr>
      <t xml:space="preserve">عایق لوله مسی سایز </t>
    </r>
    <r>
      <rPr>
        <sz val="10"/>
        <rFont val="Vazirmatn"/>
        <family val="0"/>
        <charset val="1"/>
      </rPr>
      <t xml:space="preserve">3/8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(10mm)</t>
    </r>
  </si>
  <si>
    <t xml:space="preserve">31299809</t>
  </si>
  <si>
    <r>
      <rPr>
        <sz val="10"/>
        <rFont val="FreeSans"/>
        <family val="2"/>
      </rPr>
      <t xml:space="preserve">عایق لوله مسی  </t>
    </r>
    <r>
      <rPr>
        <sz val="10"/>
        <rFont val="Vazirmatn"/>
        <family val="0"/>
        <charset val="1"/>
      </rPr>
      <t xml:space="preserve">3/4</t>
    </r>
  </si>
  <si>
    <t xml:space="preserve">4030304</t>
  </si>
  <si>
    <r>
      <rPr>
        <sz val="10"/>
        <rFont val="FreeSans"/>
        <family val="2"/>
      </rPr>
      <t xml:space="preserve">عایق لوله مسی سایز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(19mm)</t>
    </r>
  </si>
  <si>
    <t xml:space="preserve">31299810</t>
  </si>
  <si>
    <r>
      <rPr>
        <sz val="10"/>
        <rFont val="FreeSans"/>
        <family val="2"/>
      </rPr>
      <t xml:space="preserve">عایق لوله مسی  </t>
    </r>
    <r>
      <rPr>
        <sz val="10"/>
        <rFont val="Vazirmatn"/>
        <family val="0"/>
        <charset val="1"/>
      </rPr>
      <t xml:space="preserve">1/2</t>
    </r>
  </si>
  <si>
    <t xml:space="preserve">4030303</t>
  </si>
  <si>
    <r>
      <rPr>
        <sz val="10"/>
        <rFont val="FreeSans"/>
        <family val="2"/>
      </rPr>
      <t xml:space="preserve">عایق لوله مسی سایز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(12mm)</t>
    </r>
  </si>
  <si>
    <t xml:space="preserve">31299870</t>
  </si>
  <si>
    <r>
      <rPr>
        <sz val="10"/>
        <rFont val="FreeSans"/>
        <family val="2"/>
      </rPr>
      <t xml:space="preserve">باتری سیلد اسید قابل شارژ  </t>
    </r>
    <r>
      <rPr>
        <sz val="10"/>
        <rFont val="Vazirmatn"/>
        <family val="0"/>
        <charset val="1"/>
      </rPr>
      <t xml:space="preserve">12V - 100 Ah</t>
    </r>
  </si>
  <si>
    <t xml:space="preserve">5022161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</si>
  <si>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UPS 12V 100AH   </t>
    </r>
    <r>
      <rPr>
        <sz val="10"/>
        <rFont val="FreeSans"/>
        <family val="2"/>
      </rPr>
      <t xml:space="preserve">سیلد شارژی</t>
    </r>
  </si>
  <si>
    <t xml:space="preserve">31299882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</si>
  <si>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3.6V  (14500) LS</t>
    </r>
  </si>
  <si>
    <t xml:space="preserve">5011449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</si>
  <si>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3/6 </t>
    </r>
    <r>
      <rPr>
        <sz val="10"/>
        <rFont val="FreeSans"/>
        <family val="2"/>
      </rPr>
      <t xml:space="preserve">ولت</t>
    </r>
  </si>
  <si>
    <t xml:space="preserve">31299886</t>
  </si>
  <si>
    <r>
      <rPr>
        <sz val="10"/>
        <rFont val="FreeSans"/>
        <family val="2"/>
      </rPr>
      <t xml:space="preserve">مخزن استیل  </t>
    </r>
    <r>
      <rPr>
        <sz val="10"/>
        <rFont val="Vazirmatn"/>
        <family val="0"/>
        <charset val="1"/>
      </rPr>
      <t xml:space="preserve">3000*1600</t>
    </r>
  </si>
  <si>
    <t xml:space="preserve">5012044</t>
  </si>
  <si>
    <r>
      <rPr>
        <sz val="10"/>
        <rFont val="FreeSans"/>
        <family val="2"/>
      </rPr>
      <t xml:space="preserve">مخزن استیل سپراتور </t>
    </r>
    <r>
      <rPr>
        <sz val="10"/>
        <rFont val="Vazirmatn"/>
        <family val="0"/>
        <charset val="1"/>
      </rPr>
      <t xml:space="preserve">3000 </t>
    </r>
    <r>
      <rPr>
        <sz val="10"/>
        <rFont val="FreeSans"/>
        <family val="2"/>
      </rPr>
      <t xml:space="preserve">لیتری</t>
    </r>
  </si>
  <si>
    <t xml:space="preserve">31299888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</si>
  <si>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6ES7 971-0BA00</t>
    </r>
  </si>
  <si>
    <t xml:space="preserve">4028145</t>
  </si>
  <si>
    <r>
      <rPr>
        <sz val="10"/>
        <rFont val="FreeSans"/>
        <family val="2"/>
      </rPr>
      <t xml:space="preserve">باطری زیمنس </t>
    </r>
    <r>
      <rPr>
        <sz val="10"/>
        <rFont val="Vazirmatn"/>
        <family val="0"/>
        <charset val="1"/>
      </rPr>
      <t xml:space="preserve">6ES7 971-0BA00</t>
    </r>
  </si>
  <si>
    <t xml:space="preserve">31299891</t>
  </si>
  <si>
    <r>
      <rPr>
        <sz val="10"/>
        <rFont val="FreeSans"/>
        <family val="2"/>
      </rPr>
      <t xml:space="preserve">باتری ماشین   </t>
    </r>
    <r>
      <rPr>
        <sz val="10"/>
        <rFont val="Vazirmatn"/>
        <family val="0"/>
        <charset val="1"/>
      </rPr>
      <t xml:space="preserve">12V  60AH</t>
    </r>
  </si>
  <si>
    <t xml:space="preserve">5001438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</si>
  <si>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ولت </t>
    </r>
    <r>
      <rPr>
        <sz val="10"/>
        <rFont val="Vazirmatn"/>
        <family val="0"/>
        <charset val="1"/>
      </rPr>
      <t xml:space="preserve">60</t>
    </r>
    <r>
      <rPr>
        <sz val="10"/>
        <rFont val="FreeSans"/>
        <family val="2"/>
      </rPr>
      <t xml:space="preserve">آمپر</t>
    </r>
  </si>
  <si>
    <t xml:space="preserve">31299892</t>
  </si>
  <si>
    <r>
      <rPr>
        <sz val="10"/>
        <rFont val="FreeSans"/>
        <family val="2"/>
      </rPr>
      <t xml:space="preserve">باطری اتمی   </t>
    </r>
    <r>
      <rPr>
        <sz val="10"/>
        <rFont val="Vazirmatn"/>
        <family val="0"/>
        <charset val="1"/>
      </rPr>
      <t xml:space="preserve">150 - 12</t>
    </r>
  </si>
  <si>
    <t xml:space="preserve">4019074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</si>
  <si>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ولت </t>
    </r>
    <r>
      <rPr>
        <sz val="10"/>
        <rFont val="Vazirmatn"/>
        <family val="0"/>
        <charset val="1"/>
      </rPr>
      <t xml:space="preserve">150 </t>
    </r>
    <r>
      <rPr>
        <sz val="10"/>
        <rFont val="FreeSans"/>
        <family val="2"/>
      </rPr>
      <t xml:space="preserve">آمپر</t>
    </r>
  </si>
  <si>
    <t xml:space="preserve">31299895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</si>
  <si>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12V - 100AH     UPS</t>
    </r>
  </si>
  <si>
    <t xml:space="preserve">5011193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</si>
  <si>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UPS 100A</t>
    </r>
  </si>
  <si>
    <t xml:space="preserve">31299938</t>
  </si>
  <si>
    <t xml:space="preserve">سوزن منگنه دوخت کارتن</t>
  </si>
  <si>
    <t xml:space="preserve">5006785</t>
  </si>
  <si>
    <t xml:space="preserve">سوزن منگنه چوب</t>
  </si>
  <si>
    <t xml:space="preserve">31299971</t>
  </si>
  <si>
    <r>
      <rPr>
        <sz val="10"/>
        <rFont val="FreeSans"/>
        <family val="2"/>
      </rPr>
      <t xml:space="preserve">باطری کتابی </t>
    </r>
    <r>
      <rPr>
        <sz val="10"/>
        <rFont val="Vazirmatn"/>
        <family val="0"/>
        <charset val="1"/>
      </rPr>
      <t xml:space="preserve">9V</t>
    </r>
  </si>
  <si>
    <t xml:space="preserve">5004233</t>
  </si>
  <si>
    <r>
      <rPr>
        <sz val="10"/>
        <rFont val="FreeSans"/>
        <family val="2"/>
      </rPr>
      <t xml:space="preserve">باطري کتابي معمولي</t>
    </r>
    <r>
      <rPr>
        <sz val="10"/>
        <rFont val="Vazirmatn"/>
        <family val="0"/>
        <charset val="1"/>
      </rPr>
      <t xml:space="preserve">9V</t>
    </r>
  </si>
  <si>
    <t xml:space="preserve">31299977</t>
  </si>
  <si>
    <t xml:space="preserve">مخزن پلاستیکی آب</t>
  </si>
  <si>
    <t xml:space="preserve">4052489</t>
  </si>
  <si>
    <t xml:space="preserve">پلاستیک مخزن راهبند</t>
  </si>
  <si>
    <t xml:space="preserve">31299979</t>
  </si>
  <si>
    <r>
      <rPr>
        <sz val="10"/>
        <rFont val="FreeSans"/>
        <family val="2"/>
      </rPr>
      <t xml:space="preserve">یونیت روغن کاری دکانتور  </t>
    </r>
    <r>
      <rPr>
        <sz val="10"/>
        <rFont val="Vazirmatn"/>
        <family val="0"/>
        <charset val="1"/>
      </rPr>
      <t xml:space="preserve">040 - 3409 - 8418</t>
    </r>
  </si>
  <si>
    <t xml:space="preserve">4028845</t>
  </si>
  <si>
    <r>
      <rPr>
        <sz val="10"/>
        <rFont val="FreeSans"/>
        <family val="2"/>
      </rPr>
      <t xml:space="preserve">یونیت هوا و روغن </t>
    </r>
    <r>
      <rPr>
        <sz val="10"/>
        <rFont val="Vazirmatn"/>
        <family val="0"/>
        <charset val="1"/>
      </rPr>
      <t xml:space="preserve">040-3409-8418</t>
    </r>
  </si>
  <si>
    <t xml:space="preserve">33900014</t>
  </si>
  <si>
    <r>
      <rPr>
        <sz val="10"/>
        <rFont val="FreeSans"/>
        <family val="2"/>
      </rPr>
      <t xml:space="preserve">سیمان تیپ </t>
    </r>
    <r>
      <rPr>
        <sz val="10"/>
        <rFont val="Vazirmatn"/>
        <family val="0"/>
        <charset val="1"/>
      </rPr>
      <t xml:space="preserve">2</t>
    </r>
  </si>
  <si>
    <t xml:space="preserve">5003502</t>
  </si>
  <si>
    <t xml:space="preserve">سيمان سياه پاکتي</t>
  </si>
  <si>
    <t xml:space="preserve">33900038</t>
  </si>
  <si>
    <t xml:space="preserve">دسته جاروی چوبی</t>
  </si>
  <si>
    <t xml:space="preserve">5006592</t>
  </si>
  <si>
    <t xml:space="preserve">دسته جارو چوبی</t>
  </si>
  <si>
    <t xml:space="preserve">33900039</t>
  </si>
  <si>
    <t xml:space="preserve">خاک بنتونیت چاه ارت</t>
  </si>
  <si>
    <t xml:space="preserve">5003590</t>
  </si>
  <si>
    <t xml:space="preserve">بنتونيت چاه ارت</t>
  </si>
  <si>
    <t xml:space="preserve">33900040</t>
  </si>
  <si>
    <t xml:space="preserve">گروت آماده سیمانی</t>
  </si>
  <si>
    <t xml:space="preserve">5003504</t>
  </si>
  <si>
    <t xml:space="preserve">سيمان گروت</t>
  </si>
  <si>
    <t xml:space="preserve">33900057</t>
  </si>
  <si>
    <t xml:space="preserve">چسب کاشی</t>
  </si>
  <si>
    <t xml:space="preserve">5002597</t>
  </si>
  <si>
    <t xml:space="preserve">چسب کاشی پودری</t>
  </si>
  <si>
    <t xml:space="preserve">33900066</t>
  </si>
  <si>
    <r>
      <rPr>
        <sz val="10"/>
        <rFont val="FreeSans"/>
        <family val="2"/>
      </rPr>
      <t xml:space="preserve">موزائیک       </t>
    </r>
    <r>
      <rPr>
        <sz val="10"/>
        <rFont val="Vazirmatn"/>
        <family val="0"/>
        <charset val="1"/>
      </rPr>
      <t xml:space="preserve">40 * 40</t>
    </r>
  </si>
  <si>
    <t xml:space="preserve">5004956</t>
  </si>
  <si>
    <r>
      <rPr>
        <sz val="10"/>
        <rFont val="Vazirmatn"/>
        <family val="0"/>
        <charset val="1"/>
      </rPr>
      <t xml:space="preserve">cm</t>
    </r>
    <r>
      <rPr>
        <sz val="10"/>
        <rFont val="FreeSans"/>
        <family val="2"/>
      </rPr>
      <t xml:space="preserve">موزائیک</t>
    </r>
    <r>
      <rPr>
        <sz val="10"/>
        <rFont val="Vazirmatn"/>
        <family val="0"/>
        <charset val="1"/>
      </rPr>
      <t xml:space="preserve">40*40</t>
    </r>
  </si>
  <si>
    <t xml:space="preserve">33900073</t>
  </si>
  <si>
    <r>
      <rPr>
        <sz val="10"/>
        <rFont val="FreeSans"/>
        <family val="2"/>
      </rPr>
      <t xml:space="preserve">سرامیک کف  </t>
    </r>
    <r>
      <rPr>
        <sz val="10"/>
        <rFont val="Vazirmatn"/>
        <family val="0"/>
        <charset val="1"/>
      </rPr>
      <t xml:space="preserve">40Cm*40Cm</t>
    </r>
  </si>
  <si>
    <t xml:space="preserve">5008331</t>
  </si>
  <si>
    <r>
      <rPr>
        <sz val="10"/>
        <rFont val="FreeSans"/>
        <family val="2"/>
      </rPr>
      <t xml:space="preserve">سرامیک </t>
    </r>
    <r>
      <rPr>
        <sz val="10"/>
        <rFont val="Vazirmatn"/>
        <family val="0"/>
        <charset val="1"/>
      </rPr>
      <t xml:space="preserve">40*40 cm</t>
    </r>
  </si>
  <si>
    <t xml:space="preserve">33900097</t>
  </si>
  <si>
    <r>
      <rPr>
        <sz val="10"/>
        <rFont val="FreeSans"/>
        <family val="2"/>
      </rPr>
      <t xml:space="preserve">سرامیک پرسلانی </t>
    </r>
    <r>
      <rPr>
        <sz val="10"/>
        <rFont val="Vazirmatn"/>
        <family val="0"/>
        <charset val="1"/>
      </rPr>
      <t xml:space="preserve">60*60</t>
    </r>
  </si>
  <si>
    <t xml:space="preserve">33900099</t>
  </si>
  <si>
    <r>
      <rPr>
        <sz val="10"/>
        <rFont val="FreeSans"/>
        <family val="2"/>
      </rPr>
      <t xml:space="preserve">سرامیک </t>
    </r>
    <r>
      <rPr>
        <sz val="10"/>
        <rFont val="Vazirmatn"/>
        <family val="0"/>
        <charset val="1"/>
      </rPr>
      <t xml:space="preserve">30*30</t>
    </r>
  </si>
  <si>
    <t xml:space="preserve">5023020</t>
  </si>
  <si>
    <r>
      <rPr>
        <sz val="10"/>
        <rFont val="FreeSans"/>
        <family val="2"/>
      </rPr>
      <t xml:space="preserve">سرامیک پرسلان </t>
    </r>
    <r>
      <rPr>
        <sz val="10"/>
        <rFont val="Vazirmatn"/>
        <family val="0"/>
        <charset val="1"/>
      </rPr>
      <t xml:space="preserve">30*30</t>
    </r>
  </si>
  <si>
    <t xml:space="preserve">33900106</t>
  </si>
  <si>
    <r>
      <rPr>
        <sz val="10"/>
        <rFont val="FreeSans"/>
        <family val="2"/>
      </rPr>
      <t xml:space="preserve">قرنیز </t>
    </r>
    <r>
      <rPr>
        <sz val="10"/>
        <rFont val="Vazirmatn"/>
        <family val="0"/>
        <charset val="1"/>
      </rPr>
      <t xml:space="preserve">PVC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10cm</t>
    </r>
  </si>
  <si>
    <t xml:space="preserve">5015224</t>
  </si>
  <si>
    <r>
      <rPr>
        <sz val="10"/>
        <rFont val="FreeSans"/>
        <family val="2"/>
      </rPr>
      <t xml:space="preserve">قرنیز </t>
    </r>
    <r>
      <rPr>
        <sz val="10"/>
        <rFont val="Vazirmatn"/>
        <family val="0"/>
        <charset val="1"/>
      </rPr>
      <t xml:space="preserve">PVC 10cm</t>
    </r>
  </si>
  <si>
    <t xml:space="preserve">33900137</t>
  </si>
  <si>
    <r>
      <rPr>
        <sz val="10"/>
        <rFont val="FreeSans"/>
        <family val="2"/>
      </rPr>
      <t xml:space="preserve">سنگ هرسین  عرض </t>
    </r>
    <r>
      <rPr>
        <sz val="10"/>
        <rFont val="Vazirmatn"/>
        <family val="0"/>
        <charset val="1"/>
      </rPr>
      <t xml:space="preserve">40cm</t>
    </r>
  </si>
  <si>
    <t xml:space="preserve">5006673</t>
  </si>
  <si>
    <r>
      <rPr>
        <sz val="10"/>
        <rFont val="FreeSans"/>
        <family val="2"/>
      </rPr>
      <t xml:space="preserve">سنگ هرسین </t>
    </r>
    <r>
      <rPr>
        <sz val="10"/>
        <rFont val="Vazirmatn"/>
        <family val="0"/>
        <charset val="1"/>
      </rPr>
      <t xml:space="preserve">40 cm</t>
    </r>
  </si>
  <si>
    <t xml:space="preserve">33900161</t>
  </si>
  <si>
    <r>
      <rPr>
        <sz val="10"/>
        <rFont val="FreeSans"/>
        <family val="2"/>
      </rPr>
      <t xml:space="preserve">سرامیک  </t>
    </r>
    <r>
      <rPr>
        <sz val="10"/>
        <rFont val="Vazirmatn"/>
        <family val="0"/>
        <charset val="1"/>
      </rPr>
      <t xml:space="preserve">40 * 40</t>
    </r>
  </si>
  <si>
    <t xml:space="preserve">33900191</t>
  </si>
  <si>
    <r>
      <rPr>
        <sz val="10"/>
        <rFont val="FreeSans"/>
        <family val="2"/>
      </rPr>
      <t xml:space="preserve">بلوک سیمانی </t>
    </r>
    <r>
      <rPr>
        <sz val="10"/>
        <rFont val="Vazirmatn"/>
        <family val="0"/>
        <charset val="1"/>
      </rPr>
      <t xml:space="preserve">40Cm*20Cm*20Cm</t>
    </r>
  </si>
  <si>
    <t xml:space="preserve">5008878</t>
  </si>
  <si>
    <r>
      <rPr>
        <sz val="10"/>
        <rFont val="FreeSans"/>
        <family val="2"/>
      </rPr>
      <t xml:space="preserve">بلوک سیمانی</t>
    </r>
    <r>
      <rPr>
        <sz val="10"/>
        <rFont val="Vazirmatn"/>
        <family val="0"/>
        <charset val="1"/>
      </rPr>
      <t xml:space="preserve">40*20*20cm</t>
    </r>
  </si>
  <si>
    <t xml:space="preserve">33900200</t>
  </si>
  <si>
    <r>
      <rPr>
        <sz val="10"/>
        <rFont val="FreeSans"/>
        <family val="2"/>
      </rPr>
      <t xml:space="preserve">سرامیک دیواری  </t>
    </r>
    <r>
      <rPr>
        <sz val="10"/>
        <rFont val="Vazirmatn"/>
        <family val="0"/>
        <charset val="1"/>
      </rPr>
      <t xml:space="preserve">30Cm*60Cm</t>
    </r>
  </si>
  <si>
    <t xml:space="preserve">5008587</t>
  </si>
  <si>
    <r>
      <rPr>
        <sz val="10"/>
        <rFont val="FreeSans"/>
        <family val="2"/>
      </rPr>
      <t xml:space="preserve">سرامیک </t>
    </r>
    <r>
      <rPr>
        <sz val="10"/>
        <rFont val="Vazirmatn"/>
        <family val="0"/>
        <charset val="1"/>
      </rPr>
      <t xml:space="preserve">30 * 60 </t>
    </r>
    <r>
      <rPr>
        <sz val="10"/>
        <rFont val="FreeSans"/>
        <family val="2"/>
      </rPr>
      <t xml:space="preserve">سانتی متر</t>
    </r>
  </si>
  <si>
    <t xml:space="preserve">33900202</t>
  </si>
  <si>
    <r>
      <rPr>
        <sz val="10"/>
        <rFont val="FreeSans"/>
        <family val="2"/>
      </rPr>
      <t xml:space="preserve">سرامیک سفید پرسلان  </t>
    </r>
    <r>
      <rPr>
        <sz val="10"/>
        <rFont val="Vazirmatn"/>
        <family val="0"/>
        <charset val="1"/>
      </rPr>
      <t xml:space="preserve">30Cm*30Cm</t>
    </r>
  </si>
  <si>
    <t xml:space="preserve">33900206</t>
  </si>
  <si>
    <r>
      <rPr>
        <sz val="10"/>
        <rFont val="FreeSans"/>
        <family val="2"/>
      </rPr>
      <t xml:space="preserve">سرامیک دیواری </t>
    </r>
    <r>
      <rPr>
        <sz val="10"/>
        <rFont val="Vazirmatn"/>
        <family val="0"/>
        <charset val="1"/>
      </rPr>
      <t xml:space="preserve">40Cm*40Cm</t>
    </r>
  </si>
  <si>
    <t xml:space="preserve">35101988</t>
  </si>
  <si>
    <r>
      <rPr>
        <sz val="10"/>
        <rFont val="FreeSans"/>
        <family val="2"/>
      </rPr>
      <t xml:space="preserve">شیر برقی    </t>
    </r>
    <r>
      <rPr>
        <sz val="10"/>
        <rFont val="Vazirmatn"/>
        <family val="0"/>
        <charset val="1"/>
      </rPr>
      <t xml:space="preserve">5/2</t>
    </r>
  </si>
  <si>
    <r>
      <rPr>
        <sz val="10"/>
        <rFont val="Vazirmatn"/>
        <family val="0"/>
        <charset val="1"/>
      </rPr>
      <t xml:space="preserve">3510 (</t>
    </r>
    <r>
      <rPr>
        <sz val="10"/>
        <rFont val="FreeSans"/>
        <family val="2"/>
      </rPr>
      <t xml:space="preserve">رم، برد</t>
    </r>
    <r>
      <rPr>
        <sz val="10"/>
        <rFont val="Vazirmatn"/>
        <family val="0"/>
        <charset val="1"/>
      </rPr>
      <t xml:space="preserve">)</t>
    </r>
  </si>
  <si>
    <t xml:space="preserve">35102002</t>
  </si>
  <si>
    <r>
      <rPr>
        <sz val="10"/>
        <rFont val="FreeSans"/>
        <family val="2"/>
      </rPr>
      <t xml:space="preserve">رم کامپیوتر  </t>
    </r>
    <r>
      <rPr>
        <sz val="10"/>
        <rFont val="Vazirmatn"/>
        <family val="0"/>
        <charset val="1"/>
      </rPr>
      <t xml:space="preserve">8G - DDR4 - 1200 MHZ</t>
    </r>
  </si>
  <si>
    <t xml:space="preserve">5011149</t>
  </si>
  <si>
    <r>
      <rPr>
        <sz val="10"/>
        <rFont val="FreeSans"/>
        <family val="2"/>
      </rPr>
      <t xml:space="preserve">رم کامپیوتر  </t>
    </r>
    <r>
      <rPr>
        <sz val="10"/>
        <rFont val="Vazirmatn"/>
        <family val="0"/>
        <charset val="1"/>
      </rPr>
      <t xml:space="preserve">8GB  DDR4</t>
    </r>
  </si>
  <si>
    <t xml:space="preserve">35102004</t>
  </si>
  <si>
    <r>
      <rPr>
        <sz val="10"/>
        <rFont val="FreeSans"/>
        <family val="2"/>
      </rPr>
      <t xml:space="preserve">رم کامپیوتر </t>
    </r>
    <r>
      <rPr>
        <sz val="10"/>
        <rFont val="Vazirmatn"/>
        <family val="0"/>
        <charset val="1"/>
      </rPr>
      <t xml:space="preserve">4G - DDR3</t>
    </r>
  </si>
  <si>
    <t xml:space="preserve">5011148</t>
  </si>
  <si>
    <r>
      <rPr>
        <sz val="10"/>
        <rFont val="FreeSans"/>
        <family val="2"/>
      </rPr>
      <t xml:space="preserve">رم کامپیوتر </t>
    </r>
    <r>
      <rPr>
        <sz val="10"/>
        <rFont val="Vazirmatn"/>
        <family val="0"/>
        <charset val="1"/>
      </rPr>
      <t xml:space="preserve">4GB/DDR3</t>
    </r>
  </si>
  <si>
    <t xml:space="preserve">35110028</t>
  </si>
  <si>
    <r>
      <rPr>
        <sz val="10"/>
        <rFont val="FreeSans"/>
        <family val="2"/>
      </rPr>
      <t xml:space="preserve">منبع تغذیه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آمپر</t>
    </r>
  </si>
  <si>
    <t xml:space="preserve">35110049</t>
  </si>
  <si>
    <t xml:space="preserve">ریموت کنترل کولر</t>
  </si>
  <si>
    <t xml:space="preserve">4009382</t>
  </si>
  <si>
    <t xml:space="preserve">ریموت کنترل کولر گازی</t>
  </si>
  <si>
    <t xml:space="preserve">35110057</t>
  </si>
  <si>
    <r>
      <rPr>
        <sz val="10"/>
        <rFont val="FreeSans"/>
        <family val="2"/>
      </rPr>
      <t xml:space="preserve">سوکت شبکه  </t>
    </r>
    <r>
      <rPr>
        <sz val="10"/>
        <rFont val="Vazirmatn"/>
        <family val="0"/>
        <charset val="1"/>
      </rPr>
      <t xml:space="preserve">PB</t>
    </r>
  </si>
  <si>
    <t xml:space="preserve">4010483</t>
  </si>
  <si>
    <t xml:space="preserve">سوکت زن شبکه</t>
  </si>
  <si>
    <t xml:space="preserve">35110081</t>
  </si>
  <si>
    <r>
      <rPr>
        <sz val="10"/>
        <rFont val="FreeSans"/>
        <family val="2"/>
      </rPr>
      <t xml:space="preserve">رله  باریک </t>
    </r>
    <r>
      <rPr>
        <sz val="10"/>
        <rFont val="Vazirmatn"/>
        <family val="0"/>
        <charset val="1"/>
      </rPr>
      <t xml:space="preserve">24  </t>
    </r>
    <r>
      <rPr>
        <sz val="10"/>
        <rFont val="FreeSans"/>
        <family val="2"/>
      </rPr>
      <t xml:space="preserve">ولتی با پایه  </t>
    </r>
    <r>
      <rPr>
        <sz val="10"/>
        <rFont val="Vazirmatn"/>
        <family val="0"/>
        <charset val="1"/>
      </rPr>
      <t xml:space="preserve">Finder</t>
    </r>
  </si>
  <si>
    <t xml:space="preserve">35110202</t>
  </si>
  <si>
    <r>
      <rPr>
        <sz val="10"/>
        <rFont val="FreeSans"/>
        <family val="2"/>
      </rPr>
      <t xml:space="preserve">تلویزیون </t>
    </r>
    <r>
      <rPr>
        <sz val="10"/>
        <rFont val="Vazirmatn"/>
        <family val="0"/>
        <charset val="1"/>
      </rPr>
      <t xml:space="preserve">" LED  55</t>
    </r>
  </si>
  <si>
    <t xml:space="preserve">6000079</t>
  </si>
  <si>
    <r>
      <rPr>
        <sz val="10"/>
        <rFont val="FreeSans"/>
        <family val="2"/>
      </rPr>
      <t xml:space="preserve">تلويزيون </t>
    </r>
    <r>
      <rPr>
        <sz val="10"/>
        <rFont val="Vazirmatn"/>
        <family val="0"/>
        <charset val="1"/>
      </rPr>
      <t xml:space="preserve">55 </t>
    </r>
    <r>
      <rPr>
        <sz val="10"/>
        <rFont val="FreeSans"/>
        <family val="2"/>
      </rPr>
      <t xml:space="preserve">اينچ</t>
    </r>
  </si>
  <si>
    <t xml:space="preserve">35110222</t>
  </si>
  <si>
    <r>
      <rPr>
        <sz val="10"/>
        <rFont val="FreeSans"/>
        <family val="2"/>
      </rPr>
      <t xml:space="preserve">دوربین هایک ویژن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مگا پیکسل  </t>
    </r>
    <r>
      <rPr>
        <sz val="10"/>
        <rFont val="Vazirmatn"/>
        <family val="0"/>
        <charset val="1"/>
      </rPr>
      <t xml:space="preserve">DS-2CE 16H0t DVR</t>
    </r>
  </si>
  <si>
    <t xml:space="preserve">5013430</t>
  </si>
  <si>
    <r>
      <rPr>
        <sz val="10"/>
        <rFont val="FreeSans"/>
        <family val="2"/>
      </rPr>
      <t xml:space="preserve">دوربین هایک ویژن </t>
    </r>
    <r>
      <rPr>
        <sz val="10"/>
        <rFont val="Vazirmatn"/>
        <family val="0"/>
        <charset val="1"/>
      </rPr>
      <t xml:space="preserve">DS-2CE16D0T-ITPF</t>
    </r>
  </si>
  <si>
    <t xml:space="preserve">35112022</t>
  </si>
  <si>
    <r>
      <rPr>
        <sz val="10"/>
        <rFont val="FreeSans"/>
        <family val="2"/>
      </rPr>
      <t xml:space="preserve">مته آهنی نمره </t>
    </r>
    <r>
      <rPr>
        <sz val="10"/>
        <rFont val="Vazirmatn"/>
        <family val="0"/>
        <charset val="1"/>
      </rPr>
      <t xml:space="preserve">6</t>
    </r>
  </si>
  <si>
    <t xml:space="preserve">5003759</t>
  </si>
  <si>
    <r>
      <rPr>
        <sz val="10"/>
        <rFont val="FreeSans"/>
        <family val="2"/>
      </rPr>
      <t xml:space="preserve">مته آهن </t>
    </r>
    <r>
      <rPr>
        <sz val="10"/>
        <rFont val="Vazirmatn"/>
        <family val="0"/>
        <charset val="1"/>
      </rPr>
      <t xml:space="preserve">6</t>
    </r>
  </si>
  <si>
    <t xml:space="preserve">35113003</t>
  </si>
  <si>
    <t xml:space="preserve">پریز برق ارت دار ترانکینگ</t>
  </si>
  <si>
    <t xml:space="preserve">35113660</t>
  </si>
  <si>
    <r>
      <rPr>
        <sz val="10"/>
        <rFont val="FreeSans"/>
        <family val="2"/>
      </rPr>
      <t xml:space="preserve">آداپتور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</t>
    </r>
  </si>
  <si>
    <t xml:space="preserve">4034380</t>
  </si>
  <si>
    <r>
      <rPr>
        <sz val="10"/>
        <rFont val="FreeSans"/>
        <family val="2"/>
      </rPr>
      <t xml:space="preserve">آداپتور و شارژر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</t>
    </r>
  </si>
  <si>
    <t xml:space="preserve">35116214</t>
  </si>
  <si>
    <r>
      <rPr>
        <sz val="10"/>
        <rFont val="FreeSans"/>
        <family val="2"/>
      </rPr>
      <t xml:space="preserve">جک روغنی </t>
    </r>
    <r>
      <rPr>
        <sz val="10"/>
        <rFont val="Vazirmatn"/>
        <family val="0"/>
        <charset val="1"/>
      </rPr>
      <t xml:space="preserve">5ton</t>
    </r>
  </si>
  <si>
    <t xml:space="preserve">6003731</t>
  </si>
  <si>
    <r>
      <rPr>
        <sz val="10"/>
        <rFont val="FreeSans"/>
        <family val="2"/>
      </rPr>
      <t xml:space="preserve">جک روغنی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تن</t>
    </r>
  </si>
  <si>
    <t xml:space="preserve">35116219</t>
  </si>
  <si>
    <r>
      <rPr>
        <sz val="10"/>
        <rFont val="FreeSans"/>
        <family val="2"/>
      </rPr>
      <t xml:space="preserve">جک روغنی </t>
    </r>
    <r>
      <rPr>
        <sz val="10"/>
        <rFont val="Vazirmatn"/>
        <family val="0"/>
        <charset val="1"/>
      </rPr>
      <t xml:space="preserve">20ton</t>
    </r>
  </si>
  <si>
    <t xml:space="preserve">6005004</t>
  </si>
  <si>
    <r>
      <rPr>
        <sz val="10"/>
        <rFont val="FreeSans"/>
        <family val="2"/>
      </rPr>
      <t xml:space="preserve">جک هیدرولیک </t>
    </r>
    <r>
      <rPr>
        <sz val="10"/>
        <rFont val="Vazirmatn"/>
        <family val="0"/>
        <charset val="1"/>
      </rPr>
      <t xml:space="preserve">20 TON</t>
    </r>
  </si>
  <si>
    <t xml:space="preserve">35116220</t>
  </si>
  <si>
    <r>
      <rPr>
        <sz val="10"/>
        <rFont val="FreeSans"/>
        <family val="2"/>
      </rPr>
      <t xml:space="preserve">جک روغنی </t>
    </r>
    <r>
      <rPr>
        <sz val="10"/>
        <rFont val="Vazirmatn"/>
        <family val="0"/>
        <charset val="1"/>
      </rPr>
      <t xml:space="preserve">10ton</t>
    </r>
  </si>
  <si>
    <t xml:space="preserve">6003732</t>
  </si>
  <si>
    <r>
      <rPr>
        <sz val="10"/>
        <rFont val="FreeSans"/>
        <family val="2"/>
      </rPr>
      <t xml:space="preserve">جک روغنی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تن</t>
    </r>
  </si>
  <si>
    <t xml:space="preserve">35118308</t>
  </si>
  <si>
    <t xml:space="preserve">سه راهی ترانکینگ</t>
  </si>
  <si>
    <t xml:space="preserve">5018485</t>
  </si>
  <si>
    <r>
      <rPr>
        <sz val="10"/>
        <rFont val="FreeSans"/>
        <family val="2"/>
      </rPr>
      <t xml:space="preserve">سه راهی ترانکینگ </t>
    </r>
    <r>
      <rPr>
        <sz val="10"/>
        <rFont val="Vazirmatn"/>
        <family val="0"/>
        <charset val="1"/>
      </rPr>
      <t xml:space="preserve">100mm</t>
    </r>
  </si>
  <si>
    <t xml:space="preserve">35118316</t>
  </si>
  <si>
    <t xml:space="preserve">پریز شبکه</t>
  </si>
  <si>
    <t xml:space="preserve">35118318</t>
  </si>
  <si>
    <t xml:space="preserve">کلید تک پل</t>
  </si>
  <si>
    <t xml:space="preserve">35118355</t>
  </si>
  <si>
    <t xml:space="preserve">پریز برق سفید</t>
  </si>
  <si>
    <t xml:space="preserve">35123986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</si>
  <si>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10 * 30  </t>
    </r>
    <r>
      <rPr>
        <sz val="10"/>
        <rFont val="FreeSans"/>
        <family val="2"/>
      </rPr>
      <t xml:space="preserve">کپسول آب و گاز</t>
    </r>
  </si>
  <si>
    <t xml:space="preserve">6000836</t>
  </si>
  <si>
    <r>
      <rPr>
        <sz val="10"/>
        <rFont val="FreeSans"/>
        <family val="2"/>
      </rPr>
      <t xml:space="preserve">کپسول آب و گاز </t>
    </r>
    <r>
      <rPr>
        <sz val="10"/>
        <rFont val="Vazirmatn"/>
        <family val="0"/>
        <charset val="1"/>
      </rPr>
      <t xml:space="preserve">10 Lit</t>
    </r>
  </si>
  <si>
    <t xml:space="preserve">35124077</t>
  </si>
  <si>
    <r>
      <rPr>
        <sz val="10"/>
        <rFont val="FreeSans"/>
        <family val="2"/>
      </rPr>
      <t xml:space="preserve">عایق لوله مسی </t>
    </r>
    <r>
      <rPr>
        <sz val="10"/>
        <rFont val="Vazirmatn"/>
        <family val="0"/>
        <charset val="1"/>
      </rPr>
      <t xml:space="preserve">10</t>
    </r>
  </si>
  <si>
    <t xml:space="preserve">35124080</t>
  </si>
  <si>
    <r>
      <rPr>
        <sz val="10"/>
        <rFont val="FreeSans"/>
        <family val="2"/>
      </rPr>
      <t xml:space="preserve">تابلوی فلزی  </t>
    </r>
    <r>
      <rPr>
        <sz val="10"/>
        <rFont val="Vazirmatn"/>
        <family val="0"/>
        <charset val="1"/>
      </rPr>
      <t xml:space="preserve">30cm*20cm</t>
    </r>
  </si>
  <si>
    <t xml:space="preserve">35145002</t>
  </si>
  <si>
    <r>
      <rPr>
        <sz val="10"/>
        <rFont val="FreeSans"/>
        <family val="2"/>
      </rPr>
      <t xml:space="preserve">گونیای فلزی </t>
    </r>
    <r>
      <rPr>
        <sz val="10"/>
        <rFont val="Vazirmatn"/>
        <family val="0"/>
        <charset val="1"/>
      </rPr>
      <t xml:space="preserve">20cm</t>
    </r>
  </si>
  <si>
    <t xml:space="preserve">4002116</t>
  </si>
  <si>
    <r>
      <rPr>
        <sz val="10"/>
        <rFont val="FreeSans"/>
        <family val="2"/>
      </rPr>
      <t xml:space="preserve">گونيا فلزي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سانتي</t>
    </r>
  </si>
  <si>
    <r>
      <rPr>
        <sz val="10"/>
        <rFont val="Vazirmatn"/>
        <family val="0"/>
        <charset val="1"/>
      </rPr>
      <t xml:space="preserve">3514 (</t>
    </r>
    <r>
      <rPr>
        <sz val="10"/>
        <rFont val="FreeSans"/>
        <family val="2"/>
      </rPr>
      <t xml:space="preserve">گونیای، پین</t>
    </r>
    <r>
      <rPr>
        <sz val="10"/>
        <rFont val="Vazirmatn"/>
        <family val="0"/>
        <charset val="1"/>
      </rPr>
      <t xml:space="preserve">)</t>
    </r>
  </si>
  <si>
    <t xml:space="preserve">35145003</t>
  </si>
  <si>
    <r>
      <rPr>
        <sz val="10"/>
        <rFont val="FreeSans"/>
        <family val="2"/>
      </rPr>
      <t xml:space="preserve">گونیای فلزی </t>
    </r>
    <r>
      <rPr>
        <sz val="10"/>
        <rFont val="Vazirmatn"/>
        <family val="0"/>
        <charset val="1"/>
      </rPr>
      <t xml:space="preserve">50cm</t>
    </r>
  </si>
  <si>
    <t xml:space="preserve">4018888</t>
  </si>
  <si>
    <r>
      <rPr>
        <sz val="10"/>
        <rFont val="FreeSans"/>
        <family val="2"/>
      </rPr>
      <t xml:space="preserve">گونیا </t>
    </r>
    <r>
      <rPr>
        <sz val="10"/>
        <rFont val="Vazirmatn"/>
        <family val="0"/>
        <charset val="1"/>
      </rPr>
      <t xml:space="preserve">50cm</t>
    </r>
  </si>
  <si>
    <t xml:space="preserve">35172500</t>
  </si>
  <si>
    <r>
      <rPr>
        <sz val="10"/>
        <rFont val="FreeSans"/>
        <family val="2"/>
      </rPr>
      <t xml:space="preserve">زانویی گالوانیزه لوله بخاری  </t>
    </r>
    <r>
      <rPr>
        <sz val="10"/>
        <rFont val="Vazirmatn"/>
        <family val="0"/>
        <charset val="1"/>
      </rPr>
      <t xml:space="preserve">10</t>
    </r>
  </si>
  <si>
    <t xml:space="preserve">35173500</t>
  </si>
  <si>
    <r>
      <rPr>
        <sz val="10"/>
        <rFont val="FreeSans"/>
        <family val="2"/>
      </rPr>
      <t xml:space="preserve">تبدیل استیل   دنده ای         </t>
    </r>
    <r>
      <rPr>
        <sz val="10"/>
        <rFont val="Vazirmatn"/>
        <family val="0"/>
        <charset val="1"/>
      </rPr>
      <t xml:space="preserve">" 3 * " 1</t>
    </r>
  </si>
  <si>
    <t xml:space="preserve">4029327</t>
  </si>
  <si>
    <r>
      <rPr>
        <sz val="10"/>
        <rFont val="FreeSans"/>
        <family val="2"/>
      </rPr>
      <t xml:space="preserve">تبدیل گالوانیزه دنده ای </t>
    </r>
    <r>
      <rPr>
        <sz val="10"/>
        <rFont val="Vazirmatn"/>
        <family val="0"/>
        <charset val="1"/>
      </rPr>
      <t xml:space="preserve">1*3 </t>
    </r>
    <r>
      <rPr>
        <sz val="10"/>
        <rFont val="FreeSans"/>
        <family val="2"/>
      </rPr>
      <t xml:space="preserve">اینچ</t>
    </r>
  </si>
  <si>
    <t xml:space="preserve">35173913</t>
  </si>
  <si>
    <t xml:space="preserve">کله قندی</t>
  </si>
  <si>
    <t xml:space="preserve">5003607</t>
  </si>
  <si>
    <t xml:space="preserve">کله قندي ترافيکي</t>
  </si>
  <si>
    <t xml:space="preserve">35175017</t>
  </si>
  <si>
    <t xml:space="preserve">روشویی نیم پایه به همراه آینه</t>
  </si>
  <si>
    <t xml:space="preserve">5006087</t>
  </si>
  <si>
    <t xml:space="preserve">پايه کاسه روشويي</t>
  </si>
  <si>
    <t xml:space="preserve">35179055</t>
  </si>
  <si>
    <t xml:space="preserve">35186003</t>
  </si>
  <si>
    <r>
      <rPr>
        <sz val="10"/>
        <rFont val="FreeSans"/>
        <family val="2"/>
      </rPr>
      <t xml:space="preserve">مته آهنی نمره </t>
    </r>
    <r>
      <rPr>
        <sz val="10"/>
        <rFont val="Vazirmatn"/>
        <family val="0"/>
        <charset val="1"/>
      </rPr>
      <t xml:space="preserve">4</t>
    </r>
  </si>
  <si>
    <t xml:space="preserve">5003755</t>
  </si>
  <si>
    <r>
      <rPr>
        <sz val="10"/>
        <rFont val="FreeSans"/>
        <family val="2"/>
      </rPr>
      <t xml:space="preserve">مته آهن </t>
    </r>
    <r>
      <rPr>
        <sz val="10"/>
        <rFont val="Vazirmatn"/>
        <family val="0"/>
        <charset val="1"/>
      </rPr>
      <t xml:space="preserve">4</t>
    </r>
  </si>
  <si>
    <t xml:space="preserve">35186005</t>
  </si>
  <si>
    <r>
      <rPr>
        <sz val="10"/>
        <rFont val="FreeSans"/>
        <family val="2"/>
      </rPr>
      <t xml:space="preserve">تراز   </t>
    </r>
    <r>
      <rPr>
        <sz val="10"/>
        <rFont val="Vazirmatn"/>
        <family val="0"/>
        <charset val="1"/>
      </rPr>
      <t xml:space="preserve">30   </t>
    </r>
    <r>
      <rPr>
        <sz val="10"/>
        <rFont val="FreeSans"/>
        <family val="2"/>
      </rPr>
      <t xml:space="preserve">سانتی</t>
    </r>
  </si>
  <si>
    <t xml:space="preserve">4032295</t>
  </si>
  <si>
    <r>
      <rPr>
        <sz val="10"/>
        <rFont val="FreeSans"/>
        <family val="2"/>
      </rPr>
      <t xml:space="preserve">تراز فلزی </t>
    </r>
    <r>
      <rPr>
        <sz val="10"/>
        <rFont val="Vazirmatn"/>
        <family val="0"/>
        <charset val="1"/>
      </rPr>
      <t xml:space="preserve">30 </t>
    </r>
    <r>
      <rPr>
        <sz val="10"/>
        <rFont val="FreeSans"/>
        <family val="2"/>
      </rPr>
      <t xml:space="preserve">سانتی</t>
    </r>
  </si>
  <si>
    <t xml:space="preserve">35186035</t>
  </si>
  <si>
    <t xml:space="preserve">شاقول بناِیی</t>
  </si>
  <si>
    <t xml:space="preserve">35186040</t>
  </si>
  <si>
    <r>
      <rPr>
        <sz val="10"/>
        <rFont val="FreeSans"/>
        <family val="2"/>
      </rPr>
      <t xml:space="preserve">هویه  </t>
    </r>
    <r>
      <rPr>
        <sz val="10"/>
        <rFont val="Vazirmatn"/>
        <family val="0"/>
        <charset val="1"/>
      </rPr>
      <t xml:space="preserve">60W</t>
    </r>
  </si>
  <si>
    <t xml:space="preserve">4016244</t>
  </si>
  <si>
    <r>
      <rPr>
        <sz val="10"/>
        <rFont val="FreeSans"/>
        <family val="2"/>
      </rPr>
      <t xml:space="preserve">هویه تفنگی </t>
    </r>
    <r>
      <rPr>
        <sz val="10"/>
        <rFont val="Vazirmatn"/>
        <family val="0"/>
        <charset val="1"/>
      </rPr>
      <t xml:space="preserve">60W</t>
    </r>
  </si>
  <si>
    <t xml:space="preserve">35186050</t>
  </si>
  <si>
    <r>
      <rPr>
        <sz val="10"/>
        <rFont val="FreeSans"/>
        <family val="2"/>
      </rPr>
      <t xml:space="preserve">تسمه حمل بار ضخامت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میل </t>
    </r>
    <r>
      <rPr>
        <sz val="10"/>
        <rFont val="Vazirmatn"/>
        <family val="0"/>
        <charset val="1"/>
      </rPr>
      <t xml:space="preserve">- 3 </t>
    </r>
    <r>
      <rPr>
        <sz val="10"/>
        <rFont val="FreeSans"/>
        <family val="2"/>
      </rPr>
      <t xml:space="preserve">تن </t>
    </r>
    <r>
      <rPr>
        <sz val="10"/>
        <rFont val="Vazirmatn"/>
        <family val="0"/>
        <charset val="1"/>
      </rPr>
      <t xml:space="preserve">- 3 </t>
    </r>
    <r>
      <rPr>
        <sz val="10"/>
        <rFont val="FreeSans"/>
        <family val="2"/>
      </rPr>
      <t xml:space="preserve">متری</t>
    </r>
  </si>
  <si>
    <t xml:space="preserve">4037841</t>
  </si>
  <si>
    <r>
      <rPr>
        <sz val="10"/>
        <rFont val="FreeSans"/>
        <family val="2"/>
      </rPr>
      <t xml:space="preserve">تسمه حمل بار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تن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متری</t>
    </r>
  </si>
  <si>
    <t xml:space="preserve">35186053</t>
  </si>
  <si>
    <r>
      <rPr>
        <sz val="10"/>
        <rFont val="FreeSans"/>
        <family val="2"/>
      </rPr>
      <t xml:space="preserve">سه نظام فلزی دریل اتوماتیک </t>
    </r>
    <r>
      <rPr>
        <sz val="10"/>
        <rFont val="Vazirmatn"/>
        <family val="0"/>
        <charset val="1"/>
      </rPr>
      <t xml:space="preserve">1/5mm-13mm</t>
    </r>
  </si>
  <si>
    <t xml:space="preserve">35186065</t>
  </si>
  <si>
    <r>
      <rPr>
        <sz val="10"/>
        <rFont val="FreeSans"/>
        <family val="2"/>
      </rPr>
      <t xml:space="preserve">گپ تورچ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پلاسما </t>
    </r>
    <r>
      <rPr>
        <sz val="10"/>
        <rFont val="Vazirmatn"/>
        <family val="0"/>
        <charset val="1"/>
      </rPr>
      <t xml:space="preserve">)  CB 150</t>
    </r>
  </si>
  <si>
    <t xml:space="preserve">4053748</t>
  </si>
  <si>
    <r>
      <rPr>
        <sz val="10"/>
        <rFont val="FreeSans"/>
        <family val="2"/>
      </rPr>
      <t xml:space="preserve">گپ تورچ دستگاه پلاسما </t>
    </r>
    <r>
      <rPr>
        <sz val="10"/>
        <rFont val="Vazirmatn"/>
        <family val="0"/>
        <charset val="1"/>
      </rPr>
      <t xml:space="preserve">CB150 </t>
    </r>
    <r>
      <rPr>
        <sz val="10"/>
        <rFont val="FreeSans"/>
        <family val="2"/>
      </rPr>
      <t xml:space="preserve">سرامیکی</t>
    </r>
  </si>
  <si>
    <t xml:space="preserve">35186076</t>
  </si>
  <si>
    <t xml:space="preserve">سوهان سه گوش متوسط</t>
  </si>
  <si>
    <t xml:space="preserve">4050734</t>
  </si>
  <si>
    <r>
      <rPr>
        <sz val="10"/>
        <rFont val="FreeSans"/>
        <family val="2"/>
      </rPr>
      <t xml:space="preserve">سوهان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بزرگ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سه گوش</t>
    </r>
  </si>
  <si>
    <t xml:space="preserve">35186084</t>
  </si>
  <si>
    <t xml:space="preserve">چکش فلزی</t>
  </si>
  <si>
    <t xml:space="preserve">4002113</t>
  </si>
  <si>
    <t xml:space="preserve">چکش فلزي يک کيلويي</t>
  </si>
  <si>
    <t xml:space="preserve">35186124</t>
  </si>
  <si>
    <r>
      <rPr>
        <sz val="10"/>
        <rFont val="FreeSans"/>
        <family val="2"/>
      </rPr>
      <t xml:space="preserve">مته الماسه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شیار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الماس </t>
    </r>
    <r>
      <rPr>
        <sz val="10"/>
        <rFont val="Vazirmatn"/>
        <family val="0"/>
        <charset val="1"/>
      </rPr>
      <t xml:space="preserve">(  500mm * 14 )</t>
    </r>
  </si>
  <si>
    <t xml:space="preserve">5018844</t>
  </si>
  <si>
    <r>
      <rPr>
        <sz val="10"/>
        <rFont val="FreeSans"/>
        <family val="2"/>
      </rPr>
      <t xml:space="preserve">مته</t>
    </r>
    <r>
      <rPr>
        <sz val="10"/>
        <rFont val="Vazirmatn"/>
        <family val="0"/>
        <charset val="1"/>
      </rPr>
      <t xml:space="preserve">-14MM-</t>
    </r>
    <r>
      <rPr>
        <sz val="10"/>
        <rFont val="FreeSans"/>
        <family val="2"/>
      </rPr>
      <t xml:space="preserve">الماسه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پنج شیار هیلتی</t>
    </r>
  </si>
  <si>
    <t xml:space="preserve">35186229</t>
  </si>
  <si>
    <r>
      <rPr>
        <sz val="10"/>
        <rFont val="FreeSans"/>
        <family val="2"/>
      </rPr>
      <t xml:space="preserve">آچار  دو سر رینگ  </t>
    </r>
    <r>
      <rPr>
        <sz val="10"/>
        <rFont val="Vazirmatn"/>
        <family val="0"/>
        <charset val="1"/>
      </rPr>
      <t xml:space="preserve">15 - 14</t>
    </r>
  </si>
  <si>
    <t xml:space="preserve">35186232</t>
  </si>
  <si>
    <r>
      <rPr>
        <sz val="10"/>
        <rFont val="FreeSans"/>
        <family val="2"/>
      </rPr>
      <t xml:space="preserve">آچار یکسر تخت و یکسر رینگی </t>
    </r>
    <r>
      <rPr>
        <sz val="10"/>
        <rFont val="Vazirmatn"/>
        <family val="0"/>
        <charset val="1"/>
      </rPr>
      <t xml:space="preserve">13</t>
    </r>
  </si>
  <si>
    <t xml:space="preserve">35186253</t>
  </si>
  <si>
    <t xml:space="preserve">آچار شلاقی</t>
  </si>
  <si>
    <t xml:space="preserve">4018684</t>
  </si>
  <si>
    <r>
      <rPr>
        <sz val="10"/>
        <rFont val="FreeSans"/>
        <family val="2"/>
      </rPr>
      <t xml:space="preserve">آچار شلاقی  </t>
    </r>
    <r>
      <rPr>
        <sz val="10"/>
        <rFont val="Vazirmatn"/>
        <family val="0"/>
        <charset val="1"/>
      </rPr>
      <t xml:space="preserve">"2</t>
    </r>
  </si>
  <si>
    <t xml:space="preserve">35186258</t>
  </si>
  <si>
    <r>
      <rPr>
        <sz val="10"/>
        <rFont val="FreeSans"/>
        <family val="2"/>
      </rPr>
      <t xml:space="preserve">آچار  یکسر رینگ  یکسر  تخت  </t>
    </r>
    <r>
      <rPr>
        <sz val="10"/>
        <rFont val="Vazirmatn"/>
        <family val="0"/>
        <charset val="1"/>
      </rPr>
      <t xml:space="preserve">8</t>
    </r>
  </si>
  <si>
    <t xml:space="preserve">35186260</t>
  </si>
  <si>
    <r>
      <rPr>
        <sz val="10"/>
        <rFont val="FreeSans"/>
        <family val="2"/>
      </rPr>
      <t xml:space="preserve">آچاریکسر  رینگ یکسر  تخت  </t>
    </r>
    <r>
      <rPr>
        <sz val="10"/>
        <rFont val="Vazirmatn"/>
        <family val="0"/>
        <charset val="1"/>
      </rPr>
      <t xml:space="preserve">6  </t>
    </r>
    <r>
      <rPr>
        <sz val="10"/>
        <rFont val="FreeSans"/>
        <family val="2"/>
      </rPr>
      <t xml:space="preserve">المانی</t>
    </r>
  </si>
  <si>
    <t xml:space="preserve">4030643</t>
  </si>
  <si>
    <r>
      <rPr>
        <sz val="10"/>
        <rFont val="FreeSans"/>
        <family val="2"/>
      </rPr>
      <t xml:space="preserve">آچار یکسر تخت یکسر رینگی نمره </t>
    </r>
    <r>
      <rPr>
        <sz val="10"/>
        <rFont val="Vazirmatn"/>
        <family val="0"/>
        <charset val="1"/>
      </rPr>
      <t xml:space="preserve">6</t>
    </r>
  </si>
  <si>
    <t xml:space="preserve">35186261</t>
  </si>
  <si>
    <r>
      <rPr>
        <sz val="10"/>
        <rFont val="FreeSans"/>
        <family val="2"/>
      </rPr>
      <t xml:space="preserve">آچار  یکسر رینگ  یکسر  تخت  </t>
    </r>
    <r>
      <rPr>
        <sz val="10"/>
        <rFont val="Vazirmatn"/>
        <family val="0"/>
        <charset val="1"/>
      </rPr>
      <t xml:space="preserve">7</t>
    </r>
  </si>
  <si>
    <t xml:space="preserve">35186263</t>
  </si>
  <si>
    <r>
      <rPr>
        <sz val="10"/>
        <rFont val="FreeSans"/>
        <family val="2"/>
      </rPr>
      <t xml:space="preserve">آچار یکسر  رینگ  یکسر  تخت  </t>
    </r>
    <r>
      <rPr>
        <sz val="10"/>
        <rFont val="Vazirmatn"/>
        <family val="0"/>
        <charset val="1"/>
      </rPr>
      <t xml:space="preserve">10</t>
    </r>
  </si>
  <si>
    <t xml:space="preserve">35186266</t>
  </si>
  <si>
    <r>
      <rPr>
        <sz val="10"/>
        <rFont val="FreeSans"/>
        <family val="2"/>
      </rPr>
      <t xml:space="preserve">آچار  یکسر  رینگ  یکسرتخت  </t>
    </r>
    <r>
      <rPr>
        <sz val="10"/>
        <rFont val="Vazirmatn"/>
        <family val="0"/>
        <charset val="1"/>
      </rPr>
      <t xml:space="preserve">14</t>
    </r>
  </si>
  <si>
    <t xml:space="preserve">35186269</t>
  </si>
  <si>
    <r>
      <rPr>
        <sz val="10"/>
        <rFont val="FreeSans"/>
        <family val="2"/>
      </rPr>
      <t xml:space="preserve">آچار یکسر  رینگ  یکسر  تخت   </t>
    </r>
    <r>
      <rPr>
        <sz val="10"/>
        <rFont val="Vazirmatn"/>
        <family val="0"/>
        <charset val="1"/>
      </rPr>
      <t xml:space="preserve">19</t>
    </r>
  </si>
  <si>
    <t xml:space="preserve">35186270</t>
  </si>
  <si>
    <r>
      <rPr>
        <sz val="10"/>
        <rFont val="FreeSans"/>
        <family val="2"/>
      </rPr>
      <t xml:space="preserve">آچار  دو سر رینگ  </t>
    </r>
    <r>
      <rPr>
        <sz val="10"/>
        <rFont val="Vazirmatn"/>
        <family val="0"/>
        <charset val="1"/>
      </rPr>
      <t xml:space="preserve">17 - 16</t>
    </r>
  </si>
  <si>
    <t xml:space="preserve">35186273</t>
  </si>
  <si>
    <r>
      <rPr>
        <sz val="10"/>
        <rFont val="FreeSans"/>
        <family val="2"/>
      </rPr>
      <t xml:space="preserve">آچار یکسررینگ یکسر تخت       </t>
    </r>
    <r>
      <rPr>
        <sz val="10"/>
        <rFont val="Vazirmatn"/>
        <family val="0"/>
        <charset val="1"/>
      </rPr>
      <t xml:space="preserve">13</t>
    </r>
  </si>
  <si>
    <t xml:space="preserve">35186274</t>
  </si>
  <si>
    <r>
      <rPr>
        <sz val="10"/>
        <rFont val="FreeSans"/>
        <family val="2"/>
      </rPr>
      <t xml:space="preserve">آچار  یکسرتخت  یکسر  رینگ  </t>
    </r>
    <r>
      <rPr>
        <sz val="10"/>
        <rFont val="Vazirmatn"/>
        <family val="0"/>
        <charset val="1"/>
      </rPr>
      <t xml:space="preserve">22</t>
    </r>
  </si>
  <si>
    <t xml:space="preserve">4032293</t>
  </si>
  <si>
    <r>
      <rPr>
        <sz val="10"/>
        <rFont val="FreeSans"/>
        <family val="2"/>
      </rPr>
      <t xml:space="preserve">آچار یکسر تخت یکسر رینگی نمره </t>
    </r>
    <r>
      <rPr>
        <sz val="10"/>
        <rFont val="Vazirmatn"/>
        <family val="0"/>
        <charset val="1"/>
      </rPr>
      <t xml:space="preserve">22</t>
    </r>
  </si>
  <si>
    <t xml:space="preserve">35186279</t>
  </si>
  <si>
    <r>
      <rPr>
        <sz val="10"/>
        <rFont val="FreeSans"/>
        <family val="2"/>
      </rPr>
      <t xml:space="preserve">آچار  دوسر  رینگ </t>
    </r>
    <r>
      <rPr>
        <sz val="10"/>
        <rFont val="Vazirmatn"/>
        <family val="0"/>
        <charset val="1"/>
      </rPr>
      <t xml:space="preserve">27-24</t>
    </r>
  </si>
  <si>
    <t xml:space="preserve">4030633</t>
  </si>
  <si>
    <r>
      <rPr>
        <sz val="10"/>
        <rFont val="FreeSans"/>
        <family val="2"/>
      </rPr>
      <t xml:space="preserve">آچار دوسر رینگی </t>
    </r>
    <r>
      <rPr>
        <sz val="10"/>
        <rFont val="Vazirmatn"/>
        <family val="0"/>
        <charset val="1"/>
      </rPr>
      <t xml:space="preserve">27-24</t>
    </r>
  </si>
  <si>
    <t xml:space="preserve">35186288</t>
  </si>
  <si>
    <r>
      <rPr>
        <sz val="10"/>
        <rFont val="FreeSans"/>
        <family val="2"/>
      </rPr>
      <t xml:space="preserve">آچار  دوسر  رینگ  </t>
    </r>
    <r>
      <rPr>
        <sz val="10"/>
        <rFont val="Vazirmatn"/>
        <family val="0"/>
        <charset val="1"/>
      </rPr>
      <t xml:space="preserve">13 - 12</t>
    </r>
  </si>
  <si>
    <t xml:space="preserve">4026387</t>
  </si>
  <si>
    <r>
      <rPr>
        <sz val="10"/>
        <rFont val="FreeSans"/>
        <family val="2"/>
      </rPr>
      <t xml:space="preserve">آچار دو سر رینگی نمره </t>
    </r>
    <r>
      <rPr>
        <sz val="10"/>
        <rFont val="Vazirmatn"/>
        <family val="0"/>
        <charset val="1"/>
      </rPr>
      <t xml:space="preserve">13-12</t>
    </r>
  </si>
  <si>
    <t xml:space="preserve">35186291</t>
  </si>
  <si>
    <r>
      <rPr>
        <sz val="10"/>
        <rFont val="FreeSans"/>
        <family val="2"/>
      </rPr>
      <t xml:space="preserve">آچار  دوسر  رینگ  </t>
    </r>
    <r>
      <rPr>
        <sz val="10"/>
        <rFont val="Vazirmatn"/>
        <family val="0"/>
        <charset val="1"/>
      </rPr>
      <t xml:space="preserve">23 - 21</t>
    </r>
  </si>
  <si>
    <t xml:space="preserve">5013455</t>
  </si>
  <si>
    <r>
      <rPr>
        <sz val="10"/>
        <rFont val="FreeSans"/>
        <family val="2"/>
      </rPr>
      <t xml:space="preserve">آچار دوسر رینگی </t>
    </r>
    <r>
      <rPr>
        <sz val="10"/>
        <rFont val="Vazirmatn"/>
        <family val="0"/>
        <charset val="1"/>
      </rPr>
      <t xml:space="preserve">23-21</t>
    </r>
  </si>
  <si>
    <t xml:space="preserve">35186348</t>
  </si>
  <si>
    <t xml:space="preserve">کمان اره آهن بر</t>
  </si>
  <si>
    <t xml:space="preserve">4040639</t>
  </si>
  <si>
    <t xml:space="preserve">کمان اره</t>
  </si>
  <si>
    <t xml:space="preserve">35186349</t>
  </si>
  <si>
    <r>
      <rPr>
        <sz val="10"/>
        <rFont val="FreeSans"/>
        <family val="2"/>
      </rPr>
      <t xml:space="preserve">آچار یکسر  رینگ  یکسر  تخت   </t>
    </r>
    <r>
      <rPr>
        <sz val="10"/>
        <rFont val="Vazirmatn"/>
        <family val="0"/>
        <charset val="1"/>
      </rPr>
      <t xml:space="preserve">18</t>
    </r>
  </si>
  <si>
    <t xml:space="preserve">4030641</t>
  </si>
  <si>
    <r>
      <rPr>
        <sz val="10"/>
        <rFont val="FreeSans"/>
        <family val="2"/>
      </rPr>
      <t xml:space="preserve">آچار یکسر تخت یکسر رینگی نمره </t>
    </r>
    <r>
      <rPr>
        <sz val="10"/>
        <rFont val="Vazirmatn"/>
        <family val="0"/>
        <charset val="1"/>
      </rPr>
      <t xml:space="preserve">18</t>
    </r>
  </si>
  <si>
    <t xml:space="preserve">35186364</t>
  </si>
  <si>
    <r>
      <rPr>
        <sz val="10"/>
        <rFont val="FreeSans"/>
        <family val="2"/>
      </rPr>
      <t xml:space="preserve">آچار فرانسه  </t>
    </r>
    <r>
      <rPr>
        <sz val="10"/>
        <rFont val="Vazirmatn"/>
        <family val="0"/>
        <charset val="1"/>
      </rPr>
      <t xml:space="preserve">" 1/2 1</t>
    </r>
  </si>
  <si>
    <t xml:space="preserve">4020820</t>
  </si>
  <si>
    <r>
      <rPr>
        <sz val="10"/>
        <rFont val="FreeSans"/>
        <family val="2"/>
      </rPr>
      <t xml:space="preserve">آچار فرانسه </t>
    </r>
    <r>
      <rPr>
        <sz val="10"/>
        <rFont val="Vazirmatn"/>
        <family val="0"/>
        <charset val="1"/>
      </rPr>
      <t xml:space="preserve">"1</t>
    </r>
  </si>
  <si>
    <t xml:space="preserve">35186383</t>
  </si>
  <si>
    <t xml:space="preserve">اره چوب بر</t>
  </si>
  <si>
    <t xml:space="preserve">4026014</t>
  </si>
  <si>
    <t xml:space="preserve">اره چوب بری</t>
  </si>
  <si>
    <t xml:space="preserve">35186385</t>
  </si>
  <si>
    <r>
      <rPr>
        <sz val="10"/>
        <rFont val="FreeSans"/>
        <family val="2"/>
      </rPr>
      <t xml:space="preserve">آچار یکسر  رینگ  یکسر  تخت   </t>
    </r>
    <r>
      <rPr>
        <sz val="10"/>
        <rFont val="Vazirmatn"/>
        <family val="0"/>
        <charset val="1"/>
      </rPr>
      <t xml:space="preserve">21</t>
    </r>
  </si>
  <si>
    <t xml:space="preserve">4000246</t>
  </si>
  <si>
    <r>
      <rPr>
        <sz val="10"/>
        <rFont val="FreeSans"/>
        <family val="2"/>
      </rPr>
      <t xml:space="preserve">آچار يکسر تخت يکسر رينگي نمره </t>
    </r>
    <r>
      <rPr>
        <sz val="10"/>
        <rFont val="Vazirmatn"/>
        <family val="0"/>
        <charset val="1"/>
      </rPr>
      <t xml:space="preserve">21</t>
    </r>
  </si>
  <si>
    <t xml:space="preserve">35186388</t>
  </si>
  <si>
    <r>
      <rPr>
        <sz val="10"/>
        <rFont val="FreeSans"/>
        <family val="2"/>
      </rPr>
      <t xml:space="preserve">آچار یکسر  رینگ  یکسر  تخت  </t>
    </r>
    <r>
      <rPr>
        <sz val="10"/>
        <rFont val="Vazirmatn"/>
        <family val="0"/>
        <charset val="1"/>
      </rPr>
      <t xml:space="preserve">26</t>
    </r>
  </si>
  <si>
    <t xml:space="preserve">4008680</t>
  </si>
  <si>
    <r>
      <rPr>
        <sz val="10"/>
        <rFont val="FreeSans"/>
        <family val="2"/>
      </rPr>
      <t xml:space="preserve">آچار یکسر تخت یکسر رینگی نمره </t>
    </r>
    <r>
      <rPr>
        <sz val="10"/>
        <rFont val="Vazirmatn"/>
        <family val="0"/>
        <charset val="1"/>
      </rPr>
      <t xml:space="preserve">26</t>
    </r>
  </si>
  <si>
    <t xml:space="preserve">35186396</t>
  </si>
  <si>
    <r>
      <rPr>
        <sz val="10"/>
        <rFont val="FreeSans"/>
        <family val="2"/>
      </rPr>
      <t xml:space="preserve">مته الماسه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شیار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الماس </t>
    </r>
    <r>
      <rPr>
        <sz val="10"/>
        <rFont val="Vazirmatn"/>
        <family val="0"/>
        <charset val="1"/>
      </rPr>
      <t xml:space="preserve">(  500mm * 20 )</t>
    </r>
  </si>
  <si>
    <t xml:space="preserve">5018845</t>
  </si>
  <si>
    <r>
      <rPr>
        <sz val="10"/>
        <rFont val="FreeSans"/>
        <family val="2"/>
      </rPr>
      <t xml:space="preserve">مته</t>
    </r>
    <r>
      <rPr>
        <sz val="10"/>
        <rFont val="Vazirmatn"/>
        <family val="0"/>
        <charset val="1"/>
      </rPr>
      <t xml:space="preserve">-20MM-</t>
    </r>
    <r>
      <rPr>
        <sz val="10"/>
        <rFont val="FreeSans"/>
        <family val="2"/>
      </rPr>
      <t xml:space="preserve">الماسه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پنج شیار هیلتی</t>
    </r>
  </si>
  <si>
    <t xml:space="preserve">35186399</t>
  </si>
  <si>
    <t xml:space="preserve">قلع کش پمپی معمولی</t>
  </si>
  <si>
    <t xml:space="preserve">4018756</t>
  </si>
  <si>
    <t xml:space="preserve">قلع کش</t>
  </si>
  <si>
    <t xml:space="preserve">35186401</t>
  </si>
  <si>
    <t xml:space="preserve">پیچ گوشتی چهار سو</t>
  </si>
  <si>
    <t xml:space="preserve">35186407</t>
  </si>
  <si>
    <t xml:space="preserve">پیچ گوشتی ضربه ای متوسط دوسو</t>
  </si>
  <si>
    <t xml:space="preserve">35186416</t>
  </si>
  <si>
    <t xml:space="preserve">گیره رومیزی</t>
  </si>
  <si>
    <t xml:space="preserve">4010496</t>
  </si>
  <si>
    <r>
      <rPr>
        <sz val="10"/>
        <rFont val="FreeSans"/>
        <family val="2"/>
      </rPr>
      <t xml:space="preserve">گيره روميزي </t>
    </r>
    <r>
      <rPr>
        <sz val="10"/>
        <rFont val="Vazirmatn"/>
        <family val="0"/>
        <charset val="1"/>
      </rPr>
      <t xml:space="preserve">300</t>
    </r>
  </si>
  <si>
    <t xml:space="preserve">35186420</t>
  </si>
  <si>
    <t xml:space="preserve">ست پیچ گوشتی سر دریلی</t>
  </si>
  <si>
    <t xml:space="preserve">4030656</t>
  </si>
  <si>
    <t xml:space="preserve">ست پیچ گوشتی سر دریلی کامل</t>
  </si>
  <si>
    <t xml:space="preserve">35186429</t>
  </si>
  <si>
    <t xml:space="preserve">پیچ  گوشتی چهارسو ضربه خور بزرگ</t>
  </si>
  <si>
    <t xml:space="preserve">35186430</t>
  </si>
  <si>
    <t xml:space="preserve">پیچ  گوشتی چهارسو ضربه خور متوسط</t>
  </si>
  <si>
    <t xml:space="preserve">4000248</t>
  </si>
  <si>
    <t xml:space="preserve">پيچ گوشتي ضربه اي چهارسو</t>
  </si>
  <si>
    <t xml:space="preserve">35186431</t>
  </si>
  <si>
    <t xml:space="preserve">پیچ  گوشتی چهارسو ضربه خور کوچک</t>
  </si>
  <si>
    <t xml:space="preserve">35186433</t>
  </si>
  <si>
    <t xml:space="preserve">پیچ  گوشتی دوسو ضربه خور کوچک</t>
  </si>
  <si>
    <t xml:space="preserve">35186438</t>
  </si>
  <si>
    <t xml:space="preserve">آچار فیلتر تسمه ای</t>
  </si>
  <si>
    <t xml:space="preserve">4008676</t>
  </si>
  <si>
    <t xml:space="preserve">آچار فیلتر</t>
  </si>
  <si>
    <t xml:space="preserve">35186441</t>
  </si>
  <si>
    <r>
      <rPr>
        <sz val="10"/>
        <rFont val="FreeSans"/>
        <family val="2"/>
      </rPr>
      <t xml:space="preserve">سرامیک آرگون     نمره </t>
    </r>
    <r>
      <rPr>
        <sz val="10"/>
        <rFont val="Vazirmatn"/>
        <family val="0"/>
        <charset val="1"/>
      </rPr>
      <t xml:space="preserve">5</t>
    </r>
  </si>
  <si>
    <t xml:space="preserve">4026343</t>
  </si>
  <si>
    <r>
      <rPr>
        <sz val="10"/>
        <rFont val="FreeSans"/>
        <family val="2"/>
      </rPr>
      <t xml:space="preserve">سرامیک تورچ آرگون نمره </t>
    </r>
    <r>
      <rPr>
        <sz val="10"/>
        <rFont val="Vazirmatn"/>
        <family val="0"/>
        <charset val="1"/>
      </rPr>
      <t xml:space="preserve">5</t>
    </r>
  </si>
  <si>
    <t xml:space="preserve">35186442</t>
  </si>
  <si>
    <t xml:space="preserve">خار باز کن سر راست</t>
  </si>
  <si>
    <t xml:space="preserve">4039262</t>
  </si>
  <si>
    <t xml:space="preserve">خار باز کن سر کج بزرگ</t>
  </si>
  <si>
    <t xml:space="preserve">35186486</t>
  </si>
  <si>
    <t xml:space="preserve">خار باز کن سر کج</t>
  </si>
  <si>
    <t xml:space="preserve">35186516</t>
  </si>
  <si>
    <t xml:space="preserve">قیچی ورق بر</t>
  </si>
  <si>
    <t xml:space="preserve">4030655</t>
  </si>
  <si>
    <r>
      <rPr>
        <sz val="10"/>
        <rFont val="FreeSans"/>
        <family val="2"/>
      </rPr>
      <t xml:space="preserve">قیچی ورق بر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چپ بر</t>
    </r>
    <r>
      <rPr>
        <sz val="10"/>
        <rFont val="Vazirmatn"/>
        <family val="0"/>
        <charset val="1"/>
      </rPr>
      <t xml:space="preserve">)</t>
    </r>
  </si>
  <si>
    <t xml:space="preserve">35186535</t>
  </si>
  <si>
    <t xml:space="preserve">چسب هیلتی</t>
  </si>
  <si>
    <t xml:space="preserve">5005960</t>
  </si>
  <si>
    <t xml:space="preserve">چسب مايع هيلتي</t>
  </si>
  <si>
    <t xml:space="preserve">35191238</t>
  </si>
  <si>
    <r>
      <rPr>
        <sz val="10"/>
        <rFont val="FreeSans"/>
        <family val="2"/>
      </rPr>
      <t xml:space="preserve">توری گالوانیزه درب و پنجره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مدل ثابت </t>
    </r>
    <r>
      <rPr>
        <sz val="10"/>
        <rFont val="Vazirmatn"/>
        <family val="0"/>
        <charset val="1"/>
      </rPr>
      <t xml:space="preserve">)</t>
    </r>
  </si>
  <si>
    <t xml:space="preserve">5008118</t>
  </si>
  <si>
    <t xml:space="preserve">توری پنجره</t>
  </si>
  <si>
    <t xml:space="preserve">35191294</t>
  </si>
  <si>
    <r>
      <rPr>
        <sz val="10"/>
        <rFont val="FreeSans"/>
        <family val="2"/>
      </rPr>
      <t xml:space="preserve">نبشی گالوانبزه کناف </t>
    </r>
    <r>
      <rPr>
        <sz val="10"/>
        <rFont val="Vazirmatn"/>
        <family val="0"/>
        <charset val="1"/>
      </rPr>
      <t xml:space="preserve">L 25</t>
    </r>
  </si>
  <si>
    <t xml:space="preserve">5005184</t>
  </si>
  <si>
    <r>
      <rPr>
        <sz val="10"/>
        <rFont val="FreeSans"/>
        <family val="2"/>
      </rPr>
      <t xml:space="preserve">نبشی  </t>
    </r>
    <r>
      <rPr>
        <sz val="10"/>
        <rFont val="Vazirmatn"/>
        <family val="0"/>
        <charset val="1"/>
      </rPr>
      <t xml:space="preserve">L25 </t>
    </r>
    <r>
      <rPr>
        <sz val="10"/>
        <rFont val="FreeSans"/>
        <family val="2"/>
      </rPr>
      <t xml:space="preserve">کناف</t>
    </r>
  </si>
  <si>
    <t xml:space="preserve">35191493</t>
  </si>
  <si>
    <t xml:space="preserve">توری پلاستیکی  درب و پنجره</t>
  </si>
  <si>
    <t xml:space="preserve">5015714</t>
  </si>
  <si>
    <t xml:space="preserve">توری پلیسه درب و پنجره</t>
  </si>
  <si>
    <t xml:space="preserve">35191505</t>
  </si>
  <si>
    <r>
      <rPr>
        <sz val="10"/>
        <rFont val="FreeSans"/>
        <family val="2"/>
      </rPr>
      <t xml:space="preserve">هندریل شیشه ای به همراه پایه اسپیکات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آلومینیومی </t>
    </r>
    <r>
      <rPr>
        <sz val="10"/>
        <rFont val="Vazirmatn"/>
        <family val="0"/>
        <charset val="1"/>
      </rPr>
      <t xml:space="preserve">)</t>
    </r>
  </si>
  <si>
    <t xml:space="preserve">5013525</t>
  </si>
  <si>
    <t xml:space="preserve">هندریل شیشه ای</t>
  </si>
  <si>
    <t xml:space="preserve">35191586</t>
  </si>
  <si>
    <r>
      <rPr>
        <sz val="10"/>
        <rFont val="FreeSans"/>
        <family val="2"/>
      </rPr>
      <t xml:space="preserve">شیلنگ فشار قوی پرس </t>
    </r>
    <r>
      <rPr>
        <sz val="10"/>
        <rFont val="Vazirmatn"/>
        <family val="0"/>
        <charset val="1"/>
      </rPr>
      <t xml:space="preserve">1/2</t>
    </r>
  </si>
  <si>
    <t xml:space="preserve">35192001</t>
  </si>
  <si>
    <t xml:space="preserve">رنگ اسپری فشاری</t>
  </si>
  <si>
    <t xml:space="preserve">35192016</t>
  </si>
  <si>
    <t xml:space="preserve">رنگ اپوکسی</t>
  </si>
  <si>
    <t xml:space="preserve">4024343</t>
  </si>
  <si>
    <t xml:space="preserve">رنگ اپوکسی سفید</t>
  </si>
  <si>
    <t xml:space="preserve">35192017</t>
  </si>
  <si>
    <t xml:space="preserve">رنگ پلاستیکی سفید</t>
  </si>
  <si>
    <t xml:space="preserve">5005936</t>
  </si>
  <si>
    <t xml:space="preserve">رنگ ساختماني پلاستيک سفيد</t>
  </si>
  <si>
    <t xml:space="preserve">35192019</t>
  </si>
  <si>
    <t xml:space="preserve">واکس مایع  مشکی</t>
  </si>
  <si>
    <t xml:space="preserve">5005099</t>
  </si>
  <si>
    <t xml:space="preserve">واکس مایع مشکی مخصوص دستگاه</t>
  </si>
  <si>
    <t xml:space="preserve">35192020</t>
  </si>
  <si>
    <t xml:space="preserve">رنگ روغنی نقره ای</t>
  </si>
  <si>
    <t xml:space="preserve">5009139</t>
  </si>
  <si>
    <t xml:space="preserve">رنگ صنعتی روغنی نقره ای براق</t>
  </si>
  <si>
    <t xml:space="preserve">35192022</t>
  </si>
  <si>
    <t xml:space="preserve">رنگ روغنی سفید</t>
  </si>
  <si>
    <t xml:space="preserve">5003531</t>
  </si>
  <si>
    <t xml:space="preserve">رنگ ساختماني روغني سفيد مات</t>
  </si>
  <si>
    <t xml:space="preserve">35192024</t>
  </si>
  <si>
    <t xml:space="preserve">رنگ روغنی قرمز</t>
  </si>
  <si>
    <t xml:space="preserve">5003523</t>
  </si>
  <si>
    <t xml:space="preserve">رنگ ساختماني روغني قرمز</t>
  </si>
  <si>
    <t xml:space="preserve">35192026</t>
  </si>
  <si>
    <t xml:space="preserve">رنگ  طوسی</t>
  </si>
  <si>
    <t xml:space="preserve">5009663</t>
  </si>
  <si>
    <t xml:space="preserve">رنگ روغنی طوسی</t>
  </si>
  <si>
    <t xml:space="preserve">35192027</t>
  </si>
  <si>
    <t xml:space="preserve">رنگ  روغنی  آبی</t>
  </si>
  <si>
    <t xml:space="preserve">4024364</t>
  </si>
  <si>
    <t xml:space="preserve">رنگ روغنی آبی اتومبیل</t>
  </si>
  <si>
    <t xml:space="preserve">35192028</t>
  </si>
  <si>
    <t xml:space="preserve">رنگ  روغنی  زرد</t>
  </si>
  <si>
    <t xml:space="preserve">5003522</t>
  </si>
  <si>
    <t xml:space="preserve">رنگ ساختماني روغني زرد</t>
  </si>
  <si>
    <t xml:space="preserve">35192029</t>
  </si>
  <si>
    <r>
      <rPr>
        <sz val="10"/>
        <rFont val="FreeSans"/>
        <family val="2"/>
      </rPr>
      <t xml:space="preserve">رنگ زرد روغنی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گل ماش </t>
    </r>
    <r>
      <rPr>
        <sz val="10"/>
        <rFont val="Vazirmatn"/>
        <family val="0"/>
        <charset val="1"/>
      </rPr>
      <t xml:space="preserve">)</t>
    </r>
  </si>
  <si>
    <t xml:space="preserve">35192030</t>
  </si>
  <si>
    <t xml:space="preserve">رنگ روغنی نارنجی</t>
  </si>
  <si>
    <t xml:space="preserve">5003526</t>
  </si>
  <si>
    <t xml:space="preserve">رنگ ساختماني روغني نارنجي</t>
  </si>
  <si>
    <t xml:space="preserve">35192033</t>
  </si>
  <si>
    <t xml:space="preserve">رنگ سفید ترافیکی</t>
  </si>
  <si>
    <t xml:space="preserve">5005946</t>
  </si>
  <si>
    <t xml:space="preserve">رنگ صنعتي ترافيکي سفيد</t>
  </si>
  <si>
    <t xml:space="preserve">35192037</t>
  </si>
  <si>
    <t xml:space="preserve">رنگ آستری اپوکسی</t>
  </si>
  <si>
    <t xml:space="preserve">5015411</t>
  </si>
  <si>
    <t xml:space="preserve">رنگ اپوکسی خاکستری</t>
  </si>
  <si>
    <t xml:space="preserve">35192038</t>
  </si>
  <si>
    <t xml:space="preserve">رنگ روغنی مشکی</t>
  </si>
  <si>
    <t xml:space="preserve">4024338</t>
  </si>
  <si>
    <t xml:space="preserve">رنگ روغنی مشکی مات</t>
  </si>
  <si>
    <t xml:space="preserve">35192052</t>
  </si>
  <si>
    <t xml:space="preserve">رنگ قرمز اتوموبیلی</t>
  </si>
  <si>
    <t xml:space="preserve">4024352</t>
  </si>
  <si>
    <t xml:space="preserve">رنگ قرمز جگری اتومبیل</t>
  </si>
  <si>
    <t xml:space="preserve">35192057</t>
  </si>
  <si>
    <t xml:space="preserve">رنگ اپوکسی ضد اسید آبی نیسانی</t>
  </si>
  <si>
    <t xml:space="preserve">4024362</t>
  </si>
  <si>
    <t xml:space="preserve">رنگ اپوکسی ضد اسید فنولیک</t>
  </si>
  <si>
    <t xml:space="preserve">35192058</t>
  </si>
  <si>
    <t xml:space="preserve">رنگ اپوکسی ضد اسید طوسی</t>
  </si>
  <si>
    <t xml:space="preserve">35192059</t>
  </si>
  <si>
    <t xml:space="preserve">رنگ اپوکسی ضد اسید نارنجی</t>
  </si>
  <si>
    <t xml:space="preserve">35192061</t>
  </si>
  <si>
    <t xml:space="preserve">رنگ اپوکسی ضد اسید کرم</t>
  </si>
  <si>
    <t xml:space="preserve">35192062</t>
  </si>
  <si>
    <t xml:space="preserve">رنگ اپوکسی ضد اسید زرد</t>
  </si>
  <si>
    <t xml:space="preserve">35192063</t>
  </si>
  <si>
    <t xml:space="preserve">رنگ اپوکسی ضد اسید قرمز</t>
  </si>
  <si>
    <t xml:space="preserve">35192065</t>
  </si>
  <si>
    <t xml:space="preserve">روغن  بتونه</t>
  </si>
  <si>
    <t xml:space="preserve">5005866</t>
  </si>
  <si>
    <t xml:space="preserve">روغن اليف مخصوص بتونه</t>
  </si>
  <si>
    <t xml:space="preserve">35192066</t>
  </si>
  <si>
    <t xml:space="preserve">واکس مایع  قهوه ای</t>
  </si>
  <si>
    <t xml:space="preserve">5005104</t>
  </si>
  <si>
    <t xml:space="preserve">واکس مایع قهوه ای مخصوص دستگاه</t>
  </si>
  <si>
    <t xml:space="preserve">35192067</t>
  </si>
  <si>
    <t xml:space="preserve">واکس مشکی</t>
  </si>
  <si>
    <t xml:space="preserve">5006639</t>
  </si>
  <si>
    <t xml:space="preserve">واکس کفش مشکی</t>
  </si>
  <si>
    <t xml:space="preserve">35192068</t>
  </si>
  <si>
    <t xml:space="preserve">رنگ اپوکسی ضد اسید سفید</t>
  </si>
  <si>
    <t xml:space="preserve">35192076</t>
  </si>
  <si>
    <r>
      <rPr>
        <sz val="10"/>
        <rFont val="FreeSans"/>
        <family val="2"/>
      </rPr>
      <t xml:space="preserve">تینر   </t>
    </r>
    <r>
      <rPr>
        <sz val="10"/>
        <rFont val="Vazirmatn"/>
        <family val="0"/>
        <charset val="1"/>
      </rPr>
      <t xml:space="preserve">10000</t>
    </r>
  </si>
  <si>
    <t xml:space="preserve">5003540</t>
  </si>
  <si>
    <r>
      <rPr>
        <sz val="10"/>
        <rFont val="FreeSans"/>
        <family val="2"/>
      </rPr>
      <t xml:space="preserve">تينر فوري </t>
    </r>
    <r>
      <rPr>
        <sz val="10"/>
        <rFont val="Vazirmatn"/>
        <family val="0"/>
        <charset val="1"/>
      </rPr>
      <t xml:space="preserve">10000</t>
    </r>
  </si>
  <si>
    <t xml:space="preserve">35192077</t>
  </si>
  <si>
    <t xml:space="preserve">واکس براق کننده بی رنگ</t>
  </si>
  <si>
    <t xml:space="preserve">5006352</t>
  </si>
  <si>
    <t xml:space="preserve">واکس ابري براق کننده</t>
  </si>
  <si>
    <t xml:space="preserve">35192081</t>
  </si>
  <si>
    <t xml:space="preserve">رنگ مشکی روغنی اتومبیلی</t>
  </si>
  <si>
    <t xml:space="preserve">4024356</t>
  </si>
  <si>
    <t xml:space="preserve">رنگ روغنی کرم اتومبیل</t>
  </si>
  <si>
    <t xml:space="preserve">35192083</t>
  </si>
  <si>
    <r>
      <rPr>
        <sz val="10"/>
        <rFont val="FreeSans"/>
        <family val="2"/>
      </rPr>
      <t xml:space="preserve">زینک ریچ اپوکسی </t>
    </r>
    <r>
      <rPr>
        <sz val="10"/>
        <rFont val="Vazirmatn"/>
        <family val="0"/>
        <charset val="1"/>
      </rPr>
      <t xml:space="preserve">+ </t>
    </r>
    <r>
      <rPr>
        <sz val="10"/>
        <rFont val="FreeSans"/>
        <family val="2"/>
      </rPr>
      <t xml:space="preserve">هاردنر</t>
    </r>
  </si>
  <si>
    <t xml:space="preserve">5004906</t>
  </si>
  <si>
    <t xml:space="preserve">مکمل هاردنر  زینک ریچ اپوکسی</t>
  </si>
  <si>
    <t xml:space="preserve">35192119</t>
  </si>
  <si>
    <r>
      <rPr>
        <sz val="10"/>
        <rFont val="FreeSans"/>
        <family val="2"/>
      </rPr>
      <t xml:space="preserve">لیسه  </t>
    </r>
    <r>
      <rPr>
        <sz val="10"/>
        <rFont val="Vazirmatn"/>
        <family val="0"/>
        <charset val="1"/>
      </rPr>
      <t xml:space="preserve">16cm</t>
    </r>
  </si>
  <si>
    <t xml:space="preserve">4005363</t>
  </si>
  <si>
    <r>
      <rPr>
        <sz val="10"/>
        <rFont val="FreeSans"/>
        <family val="2"/>
      </rPr>
      <t xml:space="preserve">ليسه فلزي</t>
    </r>
    <r>
      <rPr>
        <sz val="10"/>
        <rFont val="Vazirmatn"/>
        <family val="0"/>
        <charset val="1"/>
      </rPr>
      <t xml:space="preserve">16cm</t>
    </r>
  </si>
  <si>
    <t xml:space="preserve">35192994</t>
  </si>
  <si>
    <t xml:space="preserve">کاردک پلاستیکی</t>
  </si>
  <si>
    <t xml:space="preserve">5024335</t>
  </si>
  <si>
    <r>
      <rPr>
        <sz val="10"/>
        <rFont val="FreeSans"/>
        <family val="2"/>
      </rPr>
      <t xml:space="preserve">کاردک پلاستیکی </t>
    </r>
    <r>
      <rPr>
        <sz val="10"/>
        <rFont val="Vazirmatn"/>
        <family val="0"/>
        <charset val="1"/>
      </rPr>
      <t xml:space="preserve">20cm</t>
    </r>
  </si>
  <si>
    <t xml:space="preserve">35193003</t>
  </si>
  <si>
    <t xml:space="preserve">35193010</t>
  </si>
  <si>
    <r>
      <rPr>
        <sz val="10"/>
        <rFont val="FreeSans"/>
        <family val="2"/>
      </rPr>
      <t xml:space="preserve">کپسول پودری </t>
    </r>
    <r>
      <rPr>
        <sz val="10"/>
        <rFont val="Vazirmatn"/>
        <family val="0"/>
        <charset val="1"/>
      </rPr>
      <t xml:space="preserve">6kg</t>
    </r>
  </si>
  <si>
    <t xml:space="preserve">6002287</t>
  </si>
  <si>
    <r>
      <rPr>
        <sz val="10"/>
        <rFont val="FreeSans"/>
        <family val="2"/>
      </rPr>
      <t xml:space="preserve">کپسول پودر و گاز </t>
    </r>
    <r>
      <rPr>
        <sz val="10"/>
        <rFont val="Vazirmatn"/>
        <family val="0"/>
        <charset val="1"/>
      </rPr>
      <t xml:space="preserve">6 Kg</t>
    </r>
  </si>
  <si>
    <t xml:space="preserve">35196000</t>
  </si>
  <si>
    <r>
      <rPr>
        <sz val="10"/>
        <rFont val="FreeSans"/>
        <family val="2"/>
      </rPr>
      <t xml:space="preserve">کپسول پودری چرخدار  </t>
    </r>
    <r>
      <rPr>
        <sz val="10"/>
        <rFont val="Vazirmatn"/>
        <family val="0"/>
        <charset val="1"/>
      </rPr>
      <t xml:space="preserve">50kg</t>
    </r>
  </si>
  <si>
    <t xml:space="preserve">6000840</t>
  </si>
  <si>
    <r>
      <rPr>
        <sz val="10"/>
        <rFont val="FreeSans"/>
        <family val="2"/>
      </rPr>
      <t xml:space="preserve">کپسول پودر و گاز </t>
    </r>
    <r>
      <rPr>
        <sz val="10"/>
        <rFont val="Vazirmatn"/>
        <family val="0"/>
        <charset val="1"/>
      </rPr>
      <t xml:space="preserve">50 Kg</t>
    </r>
  </si>
  <si>
    <t xml:space="preserve">35197010</t>
  </si>
  <si>
    <t xml:space="preserve">تسمه کش دستی</t>
  </si>
  <si>
    <t xml:space="preserve">4041249</t>
  </si>
  <si>
    <t xml:space="preserve">استپ تسمه کش دستی</t>
  </si>
  <si>
    <t xml:space="preserve">35197021</t>
  </si>
  <si>
    <t xml:space="preserve">کپسول فندک</t>
  </si>
  <si>
    <t xml:space="preserve">5015146</t>
  </si>
  <si>
    <t xml:space="preserve">فندک کپسول خور</t>
  </si>
  <si>
    <t xml:space="preserve">35197023</t>
  </si>
  <si>
    <t xml:space="preserve">شیشه بخاری</t>
  </si>
  <si>
    <t xml:space="preserve">35198854</t>
  </si>
  <si>
    <r>
      <rPr>
        <sz val="10"/>
        <rFont val="FreeSans"/>
        <family val="2"/>
      </rPr>
      <t xml:space="preserve">شیشه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</t>
    </r>
  </si>
  <si>
    <t xml:space="preserve">5004925</t>
  </si>
  <si>
    <r>
      <rPr>
        <sz val="10"/>
        <rFont val="FreeSans"/>
        <family val="2"/>
      </rPr>
      <t xml:space="preserve">شیشه دو جداره ساده </t>
    </r>
    <r>
      <rPr>
        <sz val="10"/>
        <rFont val="Vazirmatn"/>
        <family val="0"/>
        <charset val="1"/>
      </rPr>
      <t xml:space="preserve">4-6</t>
    </r>
  </si>
  <si>
    <t xml:space="preserve">35198865</t>
  </si>
  <si>
    <t xml:space="preserve">شیشه سکوریت در</t>
  </si>
  <si>
    <t xml:space="preserve">5009974</t>
  </si>
  <si>
    <r>
      <rPr>
        <sz val="10"/>
        <rFont val="FreeSans"/>
        <family val="2"/>
      </rPr>
      <t xml:space="preserve">شیشه سکوریت </t>
    </r>
    <r>
      <rPr>
        <sz val="10"/>
        <rFont val="Vazirmatn"/>
        <family val="0"/>
        <charset val="1"/>
      </rPr>
      <t xml:space="preserve">6 mm</t>
    </r>
  </si>
  <si>
    <t xml:space="preserve">35198867</t>
  </si>
  <si>
    <t xml:space="preserve">شیشه سکوریت</t>
  </si>
  <si>
    <t xml:space="preserve">35199554</t>
  </si>
  <si>
    <r>
      <rPr>
        <sz val="10"/>
        <rFont val="FreeSans"/>
        <family val="2"/>
      </rPr>
      <t xml:space="preserve">کولر گازی    </t>
    </r>
    <r>
      <rPr>
        <sz val="10"/>
        <rFont val="Vazirmatn"/>
        <family val="0"/>
        <charset val="1"/>
      </rPr>
      <t xml:space="preserve">30000BTU</t>
    </r>
  </si>
  <si>
    <t xml:space="preserve">6001245</t>
  </si>
  <si>
    <r>
      <rPr>
        <sz val="10"/>
        <rFont val="FreeSans"/>
        <family val="2"/>
      </rPr>
      <t xml:space="preserve">کولر گازی سرمایشی گرمایشی </t>
    </r>
    <r>
      <rPr>
        <sz val="10"/>
        <rFont val="Vazirmatn"/>
        <family val="0"/>
        <charset val="1"/>
      </rPr>
      <t xml:space="preserve">BTU30000</t>
    </r>
  </si>
  <si>
    <t xml:space="preserve">35199560</t>
  </si>
  <si>
    <r>
      <rPr>
        <sz val="10"/>
        <rFont val="FreeSans"/>
        <family val="2"/>
      </rPr>
      <t xml:space="preserve">کولر گازی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اسپیلت </t>
    </r>
    <r>
      <rPr>
        <sz val="10"/>
        <rFont val="Vazirmatn"/>
        <family val="0"/>
        <charset val="1"/>
      </rPr>
      <t xml:space="preserve">)       36000Btu</t>
    </r>
  </si>
  <si>
    <t xml:space="preserve">6002322</t>
  </si>
  <si>
    <r>
      <rPr>
        <sz val="10"/>
        <rFont val="FreeSans"/>
        <family val="2"/>
      </rPr>
      <t xml:space="preserve">کولر گازی سرمایشی گرمایشی </t>
    </r>
    <r>
      <rPr>
        <sz val="10"/>
        <rFont val="Vazirmatn"/>
        <family val="0"/>
        <charset val="1"/>
      </rPr>
      <t xml:space="preserve">BTU36000</t>
    </r>
  </si>
  <si>
    <t xml:space="preserve">35199590</t>
  </si>
  <si>
    <r>
      <rPr>
        <sz val="10"/>
        <rFont val="FreeSans"/>
        <family val="2"/>
      </rPr>
      <t xml:space="preserve">کولر گازی </t>
    </r>
    <r>
      <rPr>
        <sz val="10"/>
        <rFont val="Vazirmatn"/>
        <family val="0"/>
        <charset val="1"/>
      </rPr>
      <t xml:space="preserve">BTU 18000</t>
    </r>
  </si>
  <si>
    <t xml:space="preserve">6001168</t>
  </si>
  <si>
    <r>
      <rPr>
        <sz val="10"/>
        <rFont val="FreeSans"/>
        <family val="2"/>
      </rPr>
      <t xml:space="preserve">کولر گازی سرمایشی گرمایشی </t>
    </r>
    <r>
      <rPr>
        <sz val="10"/>
        <rFont val="Vazirmatn"/>
        <family val="0"/>
        <charset val="1"/>
      </rPr>
      <t xml:space="preserve">BTU18000</t>
    </r>
  </si>
  <si>
    <t xml:space="preserve">35199607</t>
  </si>
  <si>
    <t xml:space="preserve">تیغه کرکره فوم دار</t>
  </si>
  <si>
    <t xml:space="preserve">4024280</t>
  </si>
  <si>
    <t xml:space="preserve">تیغه کرکره برقی</t>
  </si>
  <si>
    <t xml:space="preserve">35199620</t>
  </si>
  <si>
    <t xml:space="preserve">دستگاه واکس زنی کفش</t>
  </si>
  <si>
    <t xml:space="preserve">6001424</t>
  </si>
  <si>
    <t xml:space="preserve">دستگاه واکس</t>
  </si>
  <si>
    <t xml:space="preserve">35199986</t>
  </si>
  <si>
    <t xml:space="preserve">چای ساز برقی کلاسیک</t>
  </si>
  <si>
    <t xml:space="preserve">35200022</t>
  </si>
  <si>
    <r>
      <rPr>
        <sz val="10"/>
        <rFont val="FreeSans"/>
        <family val="2"/>
      </rPr>
      <t xml:space="preserve">هارد اینترنال  </t>
    </r>
    <r>
      <rPr>
        <sz val="10"/>
        <rFont val="Vazirmatn"/>
        <family val="0"/>
        <charset val="1"/>
      </rPr>
      <t xml:space="preserve">1Tb</t>
    </r>
  </si>
  <si>
    <t xml:space="preserve">5015791</t>
  </si>
  <si>
    <r>
      <rPr>
        <sz val="10"/>
        <rFont val="FreeSans"/>
        <family val="2"/>
      </rPr>
      <t xml:space="preserve">هارد اینترنال </t>
    </r>
    <r>
      <rPr>
        <sz val="10"/>
        <rFont val="Vazirmatn"/>
        <family val="0"/>
        <charset val="1"/>
      </rPr>
      <t xml:space="preserve">HDD 1 TB</t>
    </r>
  </si>
  <si>
    <t xml:space="preserve">35200063</t>
  </si>
  <si>
    <r>
      <rPr>
        <sz val="10"/>
        <rFont val="FreeSans"/>
        <family val="2"/>
      </rPr>
      <t xml:space="preserve">دستگاه جوش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</t>
    </r>
    <r>
      <rPr>
        <sz val="10"/>
        <rFont val="Vazirmatn"/>
        <family val="0"/>
        <charset val="1"/>
      </rPr>
      <t xml:space="preserve">5001  Carry EL</t>
    </r>
  </si>
  <si>
    <t xml:space="preserve">6000116</t>
  </si>
  <si>
    <r>
      <rPr>
        <sz val="10"/>
        <rFont val="FreeSans"/>
        <family val="2"/>
      </rPr>
      <t xml:space="preserve">دستگاه جوش سه فاز کارا </t>
    </r>
    <r>
      <rPr>
        <sz val="10"/>
        <rFont val="Vazirmatn"/>
        <family val="0"/>
        <charset val="1"/>
      </rPr>
      <t xml:space="preserve">EL-5001G*</t>
    </r>
  </si>
  <si>
    <t xml:space="preserve">35200110</t>
  </si>
  <si>
    <t xml:space="preserve">دستگاه اتومات لوله بازکنی فاضلاب فنری</t>
  </si>
  <si>
    <t xml:space="preserve">6004677</t>
  </si>
  <si>
    <t xml:space="preserve">دستگاه لوله بازکنی فنری اتوماتیک ژنراتور</t>
  </si>
  <si>
    <t xml:space="preserve">35200122</t>
  </si>
  <si>
    <r>
      <rPr>
        <sz val="10"/>
        <rFont val="FreeSans"/>
        <family val="2"/>
      </rPr>
      <t xml:space="preserve">دستگاه جوش </t>
    </r>
    <r>
      <rPr>
        <sz val="10"/>
        <rFont val="Vazirmatn"/>
        <family val="0"/>
        <charset val="1"/>
      </rPr>
      <t xml:space="preserve">CO2 </t>
    </r>
    <r>
      <rPr>
        <sz val="10"/>
        <rFont val="FreeSans"/>
        <family val="2"/>
      </rPr>
      <t xml:space="preserve">تک فاز گام الکتریک  </t>
    </r>
    <r>
      <rPr>
        <sz val="10"/>
        <rFont val="Vazirmatn"/>
        <family val="0"/>
        <charset val="1"/>
      </rPr>
      <t xml:space="preserve">Mini M16 202</t>
    </r>
  </si>
  <si>
    <t xml:space="preserve">6005181</t>
  </si>
  <si>
    <r>
      <rPr>
        <sz val="10"/>
        <rFont val="FreeSans"/>
        <family val="2"/>
      </rPr>
      <t xml:space="preserve">دستگاه جوش </t>
    </r>
    <r>
      <rPr>
        <sz val="10"/>
        <rFont val="Vazirmatn"/>
        <family val="0"/>
        <charset val="1"/>
      </rPr>
      <t xml:space="preserve">CO2 MINI MIG 202 C</t>
    </r>
  </si>
  <si>
    <t xml:space="preserve">35200143</t>
  </si>
  <si>
    <r>
      <rPr>
        <sz val="10"/>
        <rFont val="FreeSans"/>
        <family val="2"/>
      </rPr>
      <t xml:space="preserve">سشوار صنعتی </t>
    </r>
    <r>
      <rPr>
        <sz val="10"/>
        <rFont val="Vazirmatn"/>
        <family val="0"/>
        <charset val="1"/>
      </rPr>
      <t xml:space="preserve">.</t>
    </r>
  </si>
  <si>
    <t xml:space="preserve">6005999</t>
  </si>
  <si>
    <t xml:space="preserve">سشوار صنعتی بوش</t>
  </si>
  <si>
    <t xml:space="preserve">35200152</t>
  </si>
  <si>
    <r>
      <rPr>
        <sz val="10"/>
        <rFont val="FreeSans"/>
        <family val="2"/>
      </rPr>
      <t xml:space="preserve">جک پالت دستی </t>
    </r>
    <r>
      <rPr>
        <sz val="10"/>
        <rFont val="Vazirmatn"/>
        <family val="0"/>
        <charset val="1"/>
      </rPr>
      <t xml:space="preserve">3ton</t>
    </r>
  </si>
  <si>
    <t xml:space="preserve">6005905</t>
  </si>
  <si>
    <r>
      <rPr>
        <sz val="10"/>
        <rFont val="FreeSans"/>
        <family val="2"/>
      </rPr>
      <t xml:space="preserve">جک پالت دستی</t>
    </r>
    <r>
      <rPr>
        <sz val="10"/>
        <rFont val="Vazirmatn"/>
        <family val="0"/>
        <charset val="1"/>
      </rPr>
      <t xml:space="preserve">-3TON-TMS</t>
    </r>
  </si>
  <si>
    <t xml:space="preserve">35200182</t>
  </si>
  <si>
    <r>
      <rPr>
        <sz val="10"/>
        <rFont val="FreeSans"/>
        <family val="2"/>
      </rPr>
      <t xml:space="preserve">کولر گازی سرمایشی بدون اینورتر </t>
    </r>
    <r>
      <rPr>
        <sz val="10"/>
        <rFont val="Vazirmatn"/>
        <family val="0"/>
        <charset val="1"/>
      </rPr>
      <t xml:space="preserve">AR TC - 18 TQ  18000 BTU</t>
    </r>
  </si>
  <si>
    <t xml:space="preserve">35200201</t>
  </si>
  <si>
    <r>
      <rPr>
        <sz val="10"/>
        <rFont val="FreeSans"/>
        <family val="2"/>
      </rPr>
      <t xml:space="preserve">اجاق گاز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شعله مشعل دار</t>
    </r>
  </si>
  <si>
    <t xml:space="preserve">6001423</t>
  </si>
  <si>
    <t xml:space="preserve">اجاق گاز سه شعله</t>
  </si>
  <si>
    <t xml:space="preserve">35210053</t>
  </si>
  <si>
    <t xml:space="preserve">سنگ درپوش</t>
  </si>
  <si>
    <t xml:space="preserve">5007369</t>
  </si>
  <si>
    <t xml:space="preserve">سنگ درپوش هرسين</t>
  </si>
  <si>
    <t xml:space="preserve">35210073</t>
  </si>
  <si>
    <t xml:space="preserve">چرخ گوشت صنعتی رستورانی</t>
  </si>
  <si>
    <t xml:space="preserve">6007118</t>
  </si>
  <si>
    <t xml:space="preserve">چرخ گوشت تمام صنعتی</t>
  </si>
  <si>
    <t xml:space="preserve">35210074</t>
  </si>
  <si>
    <r>
      <rPr>
        <sz val="10"/>
        <rFont val="FreeSans"/>
        <family val="2"/>
      </rPr>
      <t xml:space="preserve">فریزر صندوقی 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درب</t>
    </r>
  </si>
  <si>
    <t xml:space="preserve">6007139</t>
  </si>
  <si>
    <t xml:space="preserve">فریزر صندوقی</t>
  </si>
  <si>
    <t xml:space="preserve">35210076</t>
  </si>
  <si>
    <t xml:space="preserve">یخچال ایستاده نوشابه</t>
  </si>
  <si>
    <t xml:space="preserve">6007395</t>
  </si>
  <si>
    <t xml:space="preserve">یخچال ویترینی ایستاده</t>
  </si>
  <si>
    <t xml:space="preserve">35210083</t>
  </si>
  <si>
    <r>
      <rPr>
        <sz val="10"/>
        <rFont val="FreeSans"/>
        <family val="2"/>
      </rPr>
      <t xml:space="preserve">چای ساز کره ای  </t>
    </r>
    <r>
      <rPr>
        <sz val="10"/>
        <rFont val="Vazirmatn"/>
        <family val="0"/>
        <charset val="1"/>
      </rPr>
      <t xml:space="preserve">Keem</t>
    </r>
  </si>
  <si>
    <t xml:space="preserve">35210092</t>
  </si>
  <si>
    <r>
      <rPr>
        <sz val="10"/>
        <rFont val="FreeSans"/>
        <family val="2"/>
      </rPr>
      <t xml:space="preserve">کولر گازی ایستاده هایسنس گرمایش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سرمایش </t>
    </r>
    <r>
      <rPr>
        <sz val="10"/>
        <rFont val="Vazirmatn"/>
        <family val="0"/>
        <charset val="1"/>
      </rPr>
      <t xml:space="preserve">36000</t>
    </r>
  </si>
  <si>
    <t xml:space="preserve">35214010</t>
  </si>
  <si>
    <t xml:space="preserve">سیم گاز لیفتراک سپاهان</t>
  </si>
  <si>
    <t xml:space="preserve">4026210</t>
  </si>
  <si>
    <r>
      <rPr>
        <sz val="10"/>
        <rFont val="FreeSans"/>
        <family val="2"/>
      </rPr>
      <t xml:space="preserve">سیم گاز لیفتراک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تن سپاهان</t>
    </r>
  </si>
  <si>
    <t xml:space="preserve">35215003</t>
  </si>
  <si>
    <r>
      <rPr>
        <sz val="10"/>
        <rFont val="FreeSans"/>
        <family val="2"/>
      </rPr>
      <t xml:space="preserve">داکت پلاستیکی  عرض </t>
    </r>
    <r>
      <rPr>
        <sz val="10"/>
        <rFont val="Vazirmatn"/>
        <family val="0"/>
        <charset val="1"/>
      </rPr>
      <t xml:space="preserve">20cm</t>
    </r>
  </si>
  <si>
    <t xml:space="preserve">4008565</t>
  </si>
  <si>
    <r>
      <rPr>
        <sz val="10"/>
        <rFont val="FreeSans"/>
        <family val="2"/>
      </rPr>
      <t xml:space="preserve">داکت پلاستيکي ديواري </t>
    </r>
    <r>
      <rPr>
        <sz val="10"/>
        <rFont val="Vazirmatn"/>
        <family val="0"/>
        <charset val="1"/>
      </rPr>
      <t xml:space="preserve">20*20</t>
    </r>
  </si>
  <si>
    <t xml:space="preserve">35220002</t>
  </si>
  <si>
    <t xml:space="preserve">صندلی گردان اداری</t>
  </si>
  <si>
    <t xml:space="preserve">35220003</t>
  </si>
  <si>
    <t xml:space="preserve">چهار پایه پلاستیکی</t>
  </si>
  <si>
    <t xml:space="preserve">5007322</t>
  </si>
  <si>
    <t xml:space="preserve">چهار پایه پلاستیکی یک پله</t>
  </si>
  <si>
    <t xml:space="preserve">35220008</t>
  </si>
  <si>
    <t xml:space="preserve">صندلی پلاستیکی</t>
  </si>
  <si>
    <t xml:space="preserve">6005042</t>
  </si>
  <si>
    <t xml:space="preserve">صندلی غذاخوری پلاستیکی</t>
  </si>
  <si>
    <t xml:space="preserve">35220031</t>
  </si>
  <si>
    <t xml:space="preserve">صندلی گردان آزمایشگاهی</t>
  </si>
  <si>
    <t xml:space="preserve">35220046</t>
  </si>
  <si>
    <t xml:space="preserve">صندلی ثابت اداری</t>
  </si>
  <si>
    <t xml:space="preserve">6003106</t>
  </si>
  <si>
    <t xml:space="preserve">صندلی  ثابت</t>
  </si>
  <si>
    <t xml:space="preserve">35220055</t>
  </si>
  <si>
    <t xml:space="preserve">آینه لیفتراک</t>
  </si>
  <si>
    <t xml:space="preserve">5007418</t>
  </si>
  <si>
    <t xml:space="preserve">آینه بغل لیفتراک</t>
  </si>
  <si>
    <t xml:space="preserve">35220061</t>
  </si>
  <si>
    <t xml:space="preserve">صندلی چرخ دار</t>
  </si>
  <si>
    <t xml:space="preserve">6005904</t>
  </si>
  <si>
    <r>
      <rPr>
        <sz val="10"/>
        <rFont val="FreeSans"/>
        <family val="2"/>
      </rPr>
      <t xml:space="preserve">صندلی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استیل چرخ دار</t>
    </r>
  </si>
  <si>
    <t xml:space="preserve">35220067</t>
  </si>
  <si>
    <r>
      <rPr>
        <sz val="10"/>
        <rFont val="FreeSans"/>
        <family val="2"/>
      </rPr>
      <t xml:space="preserve">چهار پایه پلاستیکی پله دار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متری</t>
    </r>
  </si>
  <si>
    <t xml:space="preserve">35220098</t>
  </si>
  <si>
    <r>
      <rPr>
        <sz val="10"/>
        <rFont val="FreeSans"/>
        <family val="2"/>
      </rPr>
      <t xml:space="preserve">کمد بایگانی </t>
    </r>
    <r>
      <rPr>
        <sz val="10"/>
        <rFont val="Vazirmatn"/>
        <family val="0"/>
        <charset val="1"/>
      </rPr>
      <t xml:space="preserve">MDF</t>
    </r>
  </si>
  <si>
    <t xml:space="preserve">35220124</t>
  </si>
  <si>
    <t xml:space="preserve">کمد بایگانی زونکن</t>
  </si>
  <si>
    <t xml:space="preserve">35220129</t>
  </si>
  <si>
    <t xml:space="preserve">کمد بایگانی گردان</t>
  </si>
  <si>
    <t xml:space="preserve">35220134</t>
  </si>
  <si>
    <t xml:space="preserve">هندریل شیشه ای به همراه اسکات</t>
  </si>
  <si>
    <t xml:space="preserve">35225007</t>
  </si>
  <si>
    <t xml:space="preserve">فیلتر ممبران</t>
  </si>
  <si>
    <t xml:space="preserve">4028854</t>
  </si>
  <si>
    <t xml:space="preserve">فیلتر سرامیکی ممبران</t>
  </si>
  <si>
    <t xml:space="preserve">35225009</t>
  </si>
  <si>
    <r>
      <rPr>
        <sz val="10"/>
        <rFont val="FreeSans"/>
        <family val="2"/>
      </rPr>
      <t xml:space="preserve">فیلتر درایر دنفوس </t>
    </r>
    <r>
      <rPr>
        <sz val="10"/>
        <rFont val="Vazirmatn"/>
        <family val="0"/>
        <charset val="1"/>
      </rPr>
      <t xml:space="preserve">DCL-163</t>
    </r>
  </si>
  <si>
    <t xml:space="preserve">5012686</t>
  </si>
  <si>
    <r>
      <rPr>
        <sz val="10"/>
        <rFont val="FreeSans"/>
        <family val="2"/>
      </rPr>
      <t xml:space="preserve">فیلتر درایر دوسر دنده </t>
    </r>
    <r>
      <rPr>
        <sz val="10"/>
        <rFont val="Vazirmatn"/>
        <family val="0"/>
        <charset val="1"/>
      </rPr>
      <t xml:space="preserve">10 DCL163-023Z5008</t>
    </r>
  </si>
  <si>
    <t xml:space="preserve">35225011</t>
  </si>
  <si>
    <t xml:space="preserve">فیلتر هوای دومینو</t>
  </si>
  <si>
    <t xml:space="preserve">35230003</t>
  </si>
  <si>
    <t xml:space="preserve">دمبل</t>
  </si>
  <si>
    <t xml:space="preserve">5020982</t>
  </si>
  <si>
    <t xml:space="preserve">دمبل ورزشی</t>
  </si>
  <si>
    <t xml:space="preserve">35253003</t>
  </si>
  <si>
    <r>
      <rPr>
        <sz val="10"/>
        <rFont val="FreeSans"/>
        <family val="2"/>
      </rPr>
      <t xml:space="preserve">کاور سوکت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پین</t>
    </r>
  </si>
  <si>
    <t xml:space="preserve">4028092</t>
  </si>
  <si>
    <t xml:space="preserve">کاور سوکت</t>
  </si>
  <si>
    <t xml:space="preserve">35266019</t>
  </si>
  <si>
    <t xml:space="preserve">35271018</t>
  </si>
  <si>
    <t xml:space="preserve">دوش و چشم شور اضطراری</t>
  </si>
  <si>
    <t xml:space="preserve">4024289</t>
  </si>
  <si>
    <t xml:space="preserve">دوش اضطراری</t>
  </si>
  <si>
    <r>
      <rPr>
        <sz val="10"/>
        <rFont val="Vazirmatn"/>
        <family val="0"/>
        <charset val="1"/>
      </rPr>
      <t xml:space="preserve">3527 (</t>
    </r>
    <r>
      <rPr>
        <sz val="10"/>
        <rFont val="FreeSans"/>
        <family val="2"/>
      </rPr>
      <t xml:space="preserve">لوله، لرزه</t>
    </r>
    <r>
      <rPr>
        <sz val="10"/>
        <rFont val="Vazirmatn"/>
        <family val="0"/>
        <charset val="1"/>
      </rPr>
      <t xml:space="preserve">)</t>
    </r>
  </si>
  <si>
    <t xml:space="preserve">35276000</t>
  </si>
  <si>
    <r>
      <rPr>
        <sz val="10"/>
        <rFont val="FreeSans"/>
        <family val="2"/>
      </rPr>
      <t xml:space="preserve">لوله مسی  نمره </t>
    </r>
    <r>
      <rPr>
        <sz val="10"/>
        <rFont val="Vazirmatn"/>
        <family val="0"/>
        <charset val="1"/>
      </rPr>
      <t xml:space="preserve">: 10</t>
    </r>
  </si>
  <si>
    <t xml:space="preserve">35276001</t>
  </si>
  <si>
    <r>
      <rPr>
        <sz val="10"/>
        <rFont val="FreeSans"/>
        <family val="2"/>
      </rPr>
      <t xml:space="preserve">لوله مسی  نمره </t>
    </r>
    <r>
      <rPr>
        <sz val="10"/>
        <rFont val="Vazirmatn"/>
        <family val="0"/>
        <charset val="1"/>
      </rPr>
      <t xml:space="preserve">: 3/4</t>
    </r>
  </si>
  <si>
    <t xml:space="preserve">35276003</t>
  </si>
  <si>
    <r>
      <rPr>
        <sz val="10"/>
        <rFont val="FreeSans"/>
        <family val="2"/>
      </rPr>
      <t xml:space="preserve">لوله مسی  </t>
    </r>
    <r>
      <rPr>
        <sz val="10"/>
        <rFont val="Vazirmatn"/>
        <family val="0"/>
        <charset val="1"/>
      </rPr>
      <t xml:space="preserve">5/8</t>
    </r>
  </si>
  <si>
    <t xml:space="preserve">35276004</t>
  </si>
  <si>
    <r>
      <rPr>
        <sz val="10"/>
        <rFont val="FreeSans"/>
        <family val="2"/>
      </rPr>
      <t xml:space="preserve">لوله مسی </t>
    </r>
    <r>
      <rPr>
        <sz val="10"/>
        <rFont val="Vazirmatn"/>
        <family val="0"/>
        <charset val="1"/>
      </rPr>
      <t xml:space="preserve">032        " 5/8</t>
    </r>
  </si>
  <si>
    <t xml:space="preserve">35276028</t>
  </si>
  <si>
    <r>
      <rPr>
        <sz val="10"/>
        <rFont val="FreeSans"/>
        <family val="2"/>
      </rPr>
      <t xml:space="preserve">لرزه گیر </t>
    </r>
    <r>
      <rPr>
        <sz val="10"/>
        <rFont val="Vazirmatn"/>
        <family val="0"/>
        <charset val="1"/>
      </rPr>
      <t xml:space="preserve">1/2    O-F</t>
    </r>
  </si>
  <si>
    <t xml:space="preserve">35291000</t>
  </si>
  <si>
    <r>
      <rPr>
        <sz val="10"/>
        <rFont val="FreeSans"/>
        <family val="2"/>
      </rPr>
      <t xml:space="preserve">کپسول پرسی گاز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کیلویی لیفتراک</t>
    </r>
  </si>
  <si>
    <t xml:space="preserve">5010864</t>
  </si>
  <si>
    <r>
      <rPr>
        <sz val="10"/>
        <rFont val="FreeSans"/>
        <family val="2"/>
      </rPr>
      <t xml:space="preserve">کپسول گاز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کیلوگرمی</t>
    </r>
  </si>
  <si>
    <t xml:space="preserve">35291004</t>
  </si>
  <si>
    <r>
      <rPr>
        <sz val="10"/>
        <rFont val="FreeSans"/>
        <family val="2"/>
      </rPr>
      <t xml:space="preserve">کپسول آتش نشانی پودر و گاز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کیلویی</t>
    </r>
  </si>
  <si>
    <t xml:space="preserve">35291005</t>
  </si>
  <si>
    <r>
      <rPr>
        <sz val="10"/>
        <rFont val="FreeSans"/>
        <family val="2"/>
      </rPr>
      <t xml:space="preserve">کپسول آتش نشانی پودر و گاز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کیلویی</t>
    </r>
  </si>
  <si>
    <t xml:space="preserve">35299007</t>
  </si>
  <si>
    <t xml:space="preserve">کلیپس گالوانیزه کناف</t>
  </si>
  <si>
    <t xml:space="preserve">4009490</t>
  </si>
  <si>
    <t xml:space="preserve">کلیپس کناف</t>
  </si>
  <si>
    <t xml:space="preserve">420001</t>
  </si>
  <si>
    <t xml:space="preserve">روغن خام ذرت فله</t>
  </si>
  <si>
    <t xml:space="preserve">3200030</t>
  </si>
  <si>
    <t xml:space="preserve">روغن خام ذرت</t>
  </si>
  <si>
    <t xml:space="preserve">491009</t>
  </si>
  <si>
    <t xml:space="preserve">گالن پلاستیکی</t>
  </si>
  <si>
    <t xml:space="preserve">5011986</t>
  </si>
  <si>
    <r>
      <rPr>
        <sz val="10"/>
        <rFont val="FreeSans"/>
        <family val="2"/>
      </rPr>
      <t xml:space="preserve">گالن پلاستیکی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لیتری</t>
    </r>
  </si>
  <si>
    <r>
      <rPr>
        <sz val="10"/>
        <rFont val="Vazirmatn"/>
        <family val="0"/>
        <charset val="1"/>
      </rPr>
      <t xml:space="preserve">4910 (</t>
    </r>
    <r>
      <rPr>
        <sz val="10"/>
        <rFont val="FreeSans"/>
        <family val="2"/>
      </rPr>
      <t xml:space="preserve">گالن</t>
    </r>
    <r>
      <rPr>
        <sz val="10"/>
        <rFont val="Vazirmatn"/>
        <family val="0"/>
        <charset val="1"/>
      </rPr>
      <t xml:space="preserve">)</t>
    </r>
  </si>
  <si>
    <t xml:space="preserve">510007</t>
  </si>
  <si>
    <t xml:space="preserve">نشاسته خوراکی</t>
  </si>
  <si>
    <t xml:space="preserve">5019457</t>
  </si>
  <si>
    <t xml:space="preserve">نشاسته خوراکی تست</t>
  </si>
  <si>
    <t xml:space="preserve">510008</t>
  </si>
  <si>
    <t xml:space="preserve">نشاسته صنعتی</t>
  </si>
  <si>
    <t xml:space="preserve">1000845</t>
  </si>
  <si>
    <t xml:space="preserve">نشاسته پری ژل صنعتی</t>
  </si>
  <si>
    <t xml:space="preserve">510035</t>
  </si>
  <si>
    <r>
      <rPr>
        <sz val="10"/>
        <rFont val="FreeSans"/>
        <family val="2"/>
      </rPr>
      <t xml:space="preserve">شربت فروکتوز </t>
    </r>
    <r>
      <rPr>
        <sz val="10"/>
        <rFont val="Vazirmatn"/>
        <family val="0"/>
        <charset val="1"/>
      </rPr>
      <t xml:space="preserve">F42  </t>
    </r>
    <r>
      <rPr>
        <sz val="10"/>
        <rFont val="FreeSans"/>
        <family val="2"/>
      </rPr>
      <t xml:space="preserve">فله</t>
    </r>
  </si>
  <si>
    <t xml:space="preserve">3500174</t>
  </si>
  <si>
    <t xml:space="preserve">شربت فروکتوز</t>
  </si>
  <si>
    <t xml:space="preserve">510039</t>
  </si>
  <si>
    <r>
      <rPr>
        <sz val="10"/>
        <rFont val="FreeSans"/>
        <family val="2"/>
      </rPr>
      <t xml:space="preserve">شربت فروکتوز </t>
    </r>
    <r>
      <rPr>
        <sz val="10"/>
        <rFont val="Vazirmatn"/>
        <family val="0"/>
        <charset val="1"/>
      </rPr>
      <t xml:space="preserve">F30  </t>
    </r>
    <r>
      <rPr>
        <sz val="10"/>
        <rFont val="FreeSans"/>
        <family val="2"/>
      </rPr>
      <t xml:space="preserve">فله</t>
    </r>
  </si>
  <si>
    <t xml:space="preserve">510054</t>
  </si>
  <si>
    <t xml:space="preserve">پودر مالتو دکسترین</t>
  </si>
  <si>
    <t xml:space="preserve">510055</t>
  </si>
  <si>
    <t xml:space="preserve">شربت اینورت در گالن</t>
  </si>
  <si>
    <t xml:space="preserve">3500396</t>
  </si>
  <si>
    <t xml:space="preserve">شربت اینورت آنزیمی</t>
  </si>
  <si>
    <t xml:space="preserve">510056</t>
  </si>
  <si>
    <t xml:space="preserve">شربت اینورت فلّه</t>
  </si>
  <si>
    <t xml:space="preserve">510058</t>
  </si>
  <si>
    <r>
      <rPr>
        <sz val="10"/>
        <rFont val="FreeSans"/>
        <family val="2"/>
      </rPr>
      <t xml:space="preserve">شربت فروکتوز  </t>
    </r>
    <r>
      <rPr>
        <sz val="10"/>
        <rFont val="Vazirmatn"/>
        <family val="0"/>
        <charset val="1"/>
      </rPr>
      <t xml:space="preserve">F20  </t>
    </r>
    <r>
      <rPr>
        <sz val="10"/>
        <rFont val="FreeSans"/>
        <family val="2"/>
      </rPr>
      <t xml:space="preserve">درگالن</t>
    </r>
  </si>
  <si>
    <t xml:space="preserve">3500574</t>
  </si>
  <si>
    <r>
      <rPr>
        <sz val="10"/>
        <rFont val="FreeSans"/>
        <family val="2"/>
      </rPr>
      <t xml:space="preserve">شربت فروکتوز </t>
    </r>
    <r>
      <rPr>
        <sz val="10"/>
        <rFont val="Vazirmatn"/>
        <family val="0"/>
        <charset val="1"/>
      </rPr>
      <t xml:space="preserve">F20 </t>
    </r>
    <r>
      <rPr>
        <sz val="10"/>
        <rFont val="FreeSans"/>
        <family val="2"/>
      </rPr>
      <t xml:space="preserve">بشکه </t>
    </r>
    <r>
      <rPr>
        <sz val="10"/>
        <rFont val="Vazirmatn"/>
        <family val="0"/>
        <charset val="1"/>
      </rPr>
      <t xml:space="preserve">300Kg</t>
    </r>
  </si>
  <si>
    <t xml:space="preserve">510059</t>
  </si>
  <si>
    <r>
      <rPr>
        <sz val="10"/>
        <rFont val="FreeSans"/>
        <family val="2"/>
      </rPr>
      <t xml:space="preserve">شربت فروکتوز  </t>
    </r>
    <r>
      <rPr>
        <sz val="10"/>
        <rFont val="Vazirmatn"/>
        <family val="0"/>
        <charset val="1"/>
      </rPr>
      <t xml:space="preserve">F20  </t>
    </r>
    <r>
      <rPr>
        <sz val="10"/>
        <rFont val="FreeSans"/>
        <family val="2"/>
      </rPr>
      <t xml:space="preserve">فله</t>
    </r>
  </si>
  <si>
    <t xml:space="preserve">510069</t>
  </si>
  <si>
    <r>
      <rPr>
        <sz val="10"/>
        <rFont val="FreeSans"/>
        <family val="2"/>
      </rPr>
      <t xml:space="preserve">شربت فروکتوز  </t>
    </r>
    <r>
      <rPr>
        <sz val="10"/>
        <rFont val="Vazirmatn"/>
        <family val="0"/>
        <charset val="1"/>
      </rPr>
      <t xml:space="preserve">F10  </t>
    </r>
    <r>
      <rPr>
        <sz val="10"/>
        <rFont val="FreeSans"/>
        <family val="2"/>
      </rPr>
      <t xml:space="preserve">در فله</t>
    </r>
  </si>
  <si>
    <t xml:space="preserve">510079</t>
  </si>
  <si>
    <r>
      <rPr>
        <sz val="10"/>
        <rFont val="FreeSans"/>
        <family val="2"/>
      </rPr>
      <t xml:space="preserve">شربت فروکتوز </t>
    </r>
    <r>
      <rPr>
        <sz val="10"/>
        <rFont val="Vazirmatn"/>
        <family val="0"/>
        <charset val="1"/>
      </rPr>
      <t xml:space="preserve">F62  </t>
    </r>
    <r>
      <rPr>
        <sz val="10"/>
        <rFont val="FreeSans"/>
        <family val="2"/>
      </rPr>
      <t xml:space="preserve">فله</t>
    </r>
  </si>
  <si>
    <t xml:space="preserve">520006</t>
  </si>
  <si>
    <t xml:space="preserve">کنجاله ذرت در کیسه</t>
  </si>
  <si>
    <t xml:space="preserve">3500083</t>
  </si>
  <si>
    <t xml:space="preserve">کنجاله جوانه ذرت</t>
  </si>
  <si>
    <t xml:space="preserve">520012</t>
  </si>
  <si>
    <t xml:space="preserve">خاک پرلیت فیلتره</t>
  </si>
  <si>
    <t xml:space="preserve">520014</t>
  </si>
  <si>
    <t xml:space="preserve">روغن ذرت خام درگالن</t>
  </si>
  <si>
    <t xml:space="preserve">520019</t>
  </si>
  <si>
    <t xml:space="preserve">خوراک گلوتن</t>
  </si>
  <si>
    <t xml:space="preserve">3500090</t>
  </si>
  <si>
    <t xml:space="preserve">خوراک گلوتن پرک فله</t>
  </si>
  <si>
    <t xml:space="preserve">فیبر ذرت</t>
  </si>
  <si>
    <t xml:space="preserve">520021</t>
  </si>
  <si>
    <r>
      <rPr>
        <sz val="10"/>
        <rFont val="FreeSans"/>
        <family val="2"/>
      </rPr>
      <t xml:space="preserve">ذرت خشک</t>
    </r>
    <r>
      <rPr>
        <sz val="10"/>
        <rFont val="Vazirmatn"/>
        <family val="0"/>
        <charset val="1"/>
      </rPr>
      <t xml:space="preserve">.</t>
    </r>
  </si>
  <si>
    <t xml:space="preserve">520029</t>
  </si>
  <si>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4-z </t>
    </r>
    <r>
      <rPr>
        <sz val="10"/>
        <rFont val="FreeSans"/>
        <family val="2"/>
      </rPr>
      <t xml:space="preserve">صادراتی</t>
    </r>
  </si>
  <si>
    <t xml:space="preserve">520030</t>
  </si>
  <si>
    <t xml:space="preserve">نشاسته پری‌ژل خوراکی</t>
  </si>
  <si>
    <t xml:space="preserve">520044</t>
  </si>
  <si>
    <r>
      <rPr>
        <sz val="10"/>
        <rFont val="FreeSans"/>
        <family val="2"/>
      </rPr>
      <t xml:space="preserve">گلوکوز شفاف در بشکه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کیلوگرمی</t>
    </r>
  </si>
  <si>
    <t xml:space="preserve">3500682</t>
  </si>
  <si>
    <r>
      <rPr>
        <sz val="10"/>
        <rFont val="FreeSans"/>
        <family val="2"/>
      </rPr>
      <t xml:space="preserve">گلوکز </t>
    </r>
    <r>
      <rPr>
        <sz val="10"/>
        <rFont val="Vazirmatn"/>
        <family val="0"/>
        <charset val="1"/>
      </rPr>
      <t xml:space="preserve">DE30 </t>
    </r>
    <r>
      <rPr>
        <sz val="10"/>
        <rFont val="FreeSans"/>
        <family val="2"/>
      </rPr>
      <t xml:space="preserve">بشکه </t>
    </r>
    <r>
      <rPr>
        <sz val="10"/>
        <rFont val="Vazirmatn"/>
        <family val="0"/>
        <charset val="1"/>
      </rPr>
      <t xml:space="preserve">300kg</t>
    </r>
  </si>
  <si>
    <t xml:space="preserve">گلوکز</t>
  </si>
  <si>
    <t xml:space="preserve">520055</t>
  </si>
  <si>
    <t xml:space="preserve">نشاسته کاتیونیک</t>
  </si>
  <si>
    <t xml:space="preserve">3500343</t>
  </si>
  <si>
    <t xml:space="preserve">نشاسته کاتیونیک فله</t>
  </si>
  <si>
    <t xml:space="preserve">520063</t>
  </si>
  <si>
    <r>
      <rPr>
        <sz val="10"/>
        <rFont val="FreeSans"/>
        <family val="2"/>
      </rPr>
      <t xml:space="preserve">گلوکوز شفاف با بریکس </t>
    </r>
    <r>
      <rPr>
        <sz val="10"/>
        <rFont val="Vazirmatn"/>
        <family val="0"/>
        <charset val="1"/>
      </rPr>
      <t xml:space="preserve">85 </t>
    </r>
    <r>
      <rPr>
        <sz val="10"/>
        <rFont val="FreeSans"/>
        <family val="2"/>
      </rPr>
      <t xml:space="preserve">در بشکه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کیلوگرمی</t>
    </r>
  </si>
  <si>
    <t xml:space="preserve">3500428</t>
  </si>
  <si>
    <r>
      <rPr>
        <sz val="10"/>
        <rFont val="FreeSans"/>
        <family val="2"/>
      </rPr>
      <t xml:space="preserve">گلوکز  </t>
    </r>
    <r>
      <rPr>
        <sz val="10"/>
        <rFont val="Vazirmatn"/>
        <family val="0"/>
        <charset val="1"/>
      </rPr>
      <t xml:space="preserve">DE55 </t>
    </r>
    <r>
      <rPr>
        <sz val="10"/>
        <rFont val="FreeSans"/>
        <family val="2"/>
      </rPr>
      <t xml:space="preserve">بریکس </t>
    </r>
    <r>
      <rPr>
        <sz val="10"/>
        <rFont val="Vazirmatn"/>
        <family val="0"/>
        <charset val="1"/>
      </rPr>
      <t xml:space="preserve">85 </t>
    </r>
    <r>
      <rPr>
        <sz val="10"/>
        <rFont val="FreeSans"/>
        <family val="2"/>
      </rPr>
      <t xml:space="preserve">بشکه </t>
    </r>
    <r>
      <rPr>
        <sz val="10"/>
        <rFont val="Vazirmatn"/>
        <family val="0"/>
        <charset val="1"/>
      </rPr>
      <t xml:space="preserve">300kg</t>
    </r>
  </si>
  <si>
    <t xml:space="preserve">520074</t>
  </si>
  <si>
    <t xml:space="preserve">نشاسته پرژلاتینه سیب زمینی</t>
  </si>
  <si>
    <t xml:space="preserve">520090</t>
  </si>
  <si>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z6 </t>
    </r>
    <r>
      <rPr>
        <sz val="10"/>
        <rFont val="FreeSans"/>
        <family val="2"/>
      </rPr>
      <t xml:space="preserve">صادراتی</t>
    </r>
  </si>
  <si>
    <t xml:space="preserve">520091</t>
  </si>
  <si>
    <r>
      <rPr>
        <sz val="10"/>
        <rFont val="FreeSans"/>
        <family val="2"/>
      </rPr>
      <t xml:space="preserve">گلوکوز شفاف </t>
    </r>
    <r>
      <rPr>
        <sz val="10"/>
        <rFont val="Vazirmatn"/>
        <family val="0"/>
        <charset val="1"/>
      </rPr>
      <t xml:space="preserve">DE60     BR82 </t>
    </r>
    <r>
      <rPr>
        <sz val="10"/>
        <rFont val="FreeSans"/>
        <family val="2"/>
      </rPr>
      <t xml:space="preserve">در بشکه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کیلوگرمی</t>
    </r>
  </si>
  <si>
    <t xml:space="preserve">3500046</t>
  </si>
  <si>
    <r>
      <rPr>
        <sz val="10"/>
        <rFont val="FreeSans"/>
        <family val="2"/>
      </rPr>
      <t xml:space="preserve">گلوکز </t>
    </r>
    <r>
      <rPr>
        <sz val="10"/>
        <rFont val="Vazirmatn"/>
        <family val="0"/>
        <charset val="1"/>
      </rPr>
      <t xml:space="preserve">DE 60 </t>
    </r>
    <r>
      <rPr>
        <sz val="10"/>
        <rFont val="FreeSans"/>
        <family val="2"/>
      </rPr>
      <t xml:space="preserve">بشکه </t>
    </r>
    <r>
      <rPr>
        <sz val="10"/>
        <rFont val="Vazirmatn"/>
        <family val="0"/>
        <charset val="1"/>
      </rPr>
      <t xml:space="preserve">300kg</t>
    </r>
  </si>
  <si>
    <t xml:space="preserve">520094</t>
  </si>
  <si>
    <t xml:space="preserve">کنجاله فله</t>
  </si>
  <si>
    <t xml:space="preserve">3500152</t>
  </si>
  <si>
    <r>
      <rPr>
        <sz val="10"/>
        <rFont val="FreeSans"/>
        <family val="2"/>
      </rPr>
      <t xml:space="preserve">کنجاله جوانه ذرت </t>
    </r>
    <r>
      <rPr>
        <sz val="10"/>
        <rFont val="Vazirmatn"/>
        <family val="0"/>
        <charset val="1"/>
      </rPr>
      <t xml:space="preserve">HF </t>
    </r>
    <r>
      <rPr>
        <sz val="10"/>
        <rFont val="FreeSans"/>
        <family val="2"/>
      </rPr>
      <t xml:space="preserve">فله</t>
    </r>
  </si>
  <si>
    <t xml:space="preserve">520101</t>
  </si>
  <si>
    <r>
      <rPr>
        <sz val="10"/>
        <rFont val="FreeSans"/>
        <family val="2"/>
      </rPr>
      <t xml:space="preserve">گلوتن مایع با بومه </t>
    </r>
    <r>
      <rPr>
        <sz val="10"/>
        <rFont val="Vazirmatn"/>
        <family val="0"/>
        <charset val="1"/>
      </rPr>
      <t xml:space="preserve">30 </t>
    </r>
    <r>
      <rPr>
        <sz val="10"/>
        <rFont val="FreeSans"/>
        <family val="2"/>
      </rPr>
      <t xml:space="preserve">در گالن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کیلویی</t>
    </r>
  </si>
  <si>
    <t xml:space="preserve">3500072</t>
  </si>
  <si>
    <r>
      <rPr>
        <sz val="10"/>
        <rFont val="FreeSans"/>
        <family val="2"/>
      </rPr>
      <t xml:space="preserve">گلوتن مایع بشکه </t>
    </r>
    <r>
      <rPr>
        <sz val="10"/>
        <rFont val="Vazirmatn"/>
        <family val="0"/>
        <charset val="1"/>
      </rPr>
      <t xml:space="preserve">45kg</t>
    </r>
  </si>
  <si>
    <t xml:space="preserve">گلوتن مایع</t>
  </si>
  <si>
    <t xml:space="preserve">520102</t>
  </si>
  <si>
    <r>
      <rPr>
        <sz val="10"/>
        <rFont val="FreeSans"/>
        <family val="2"/>
      </rPr>
      <t xml:space="preserve">نشاسته پریژل حفاری سبز </t>
    </r>
    <r>
      <rPr>
        <sz val="10"/>
        <rFont val="Vazirmatn"/>
        <family val="0"/>
        <charset val="1"/>
      </rPr>
      <t xml:space="preserve">HT</t>
    </r>
  </si>
  <si>
    <t xml:space="preserve">5012741</t>
  </si>
  <si>
    <t xml:space="preserve">نشاسته پری ژل حفاری سبز</t>
  </si>
  <si>
    <t xml:space="preserve">520105</t>
  </si>
  <si>
    <r>
      <rPr>
        <sz val="10"/>
        <rFont val="FreeSans"/>
        <family val="2"/>
      </rPr>
      <t xml:space="preserve">نشاسته اکسید در </t>
    </r>
    <r>
      <rPr>
        <sz val="10"/>
        <rFont val="Vazirmatn"/>
        <family val="0"/>
        <charset val="1"/>
      </rPr>
      <t xml:space="preserve">Big Bag</t>
    </r>
  </si>
  <si>
    <t xml:space="preserve">3500171</t>
  </si>
  <si>
    <t xml:space="preserve">نشاسته اکسید فله</t>
  </si>
  <si>
    <t xml:space="preserve">520109</t>
  </si>
  <si>
    <t xml:space="preserve">نشاسته سولویتوز ذرت در کیسه</t>
  </si>
  <si>
    <t xml:space="preserve">520121</t>
  </si>
  <si>
    <t xml:space="preserve">نشاسته صنعتی در جامبو</t>
  </si>
  <si>
    <t xml:space="preserve">3500026</t>
  </si>
  <si>
    <t xml:space="preserve">نشاسته ذرت کیسه جامبو</t>
  </si>
  <si>
    <t xml:space="preserve">520128</t>
  </si>
  <si>
    <t xml:space="preserve">نشاسته اصلاح شده ی مقاوم</t>
  </si>
  <si>
    <t xml:space="preserve">5015408</t>
  </si>
  <si>
    <t xml:space="preserve">نشاسته اصلاح شده گرم</t>
  </si>
  <si>
    <t xml:space="preserve">530017</t>
  </si>
  <si>
    <r>
      <rPr>
        <sz val="10"/>
        <rFont val="FreeSans"/>
        <family val="2"/>
      </rPr>
      <t xml:space="preserve">آنزیم آلفا آمیلاز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بازرگانی</t>
    </r>
    <r>
      <rPr>
        <sz val="10"/>
        <rFont val="Vazirmatn"/>
        <family val="0"/>
        <charset val="1"/>
      </rPr>
      <t xml:space="preserve">)</t>
    </r>
  </si>
  <si>
    <r>
      <rPr>
        <sz val="10"/>
        <rFont val="Vazirmatn"/>
        <family val="0"/>
        <charset val="1"/>
      </rPr>
      <t xml:space="preserve">5300 (</t>
    </r>
    <r>
      <rPr>
        <sz val="10"/>
        <rFont val="FreeSans"/>
        <family val="2"/>
      </rPr>
      <t xml:space="preserve">آنزیم، مالتو</t>
    </r>
    <r>
      <rPr>
        <sz val="10"/>
        <rFont val="Vazirmatn"/>
        <family val="0"/>
        <charset val="1"/>
      </rPr>
      <t xml:space="preserve">)</t>
    </r>
  </si>
  <si>
    <t xml:space="preserve">530054</t>
  </si>
  <si>
    <r>
      <rPr>
        <sz val="10"/>
        <rFont val="FreeSans"/>
        <family val="2"/>
      </rPr>
      <t xml:space="preserve">مالتو دکسترین پودری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بازرگانی</t>
    </r>
    <r>
      <rPr>
        <sz val="10"/>
        <rFont val="Vazirmatn"/>
        <family val="0"/>
        <charset val="1"/>
      </rPr>
      <t xml:space="preserve">)</t>
    </r>
  </si>
  <si>
    <t xml:space="preserve">77620100</t>
  </si>
  <si>
    <t xml:space="preserve">سبد پلاستیکی</t>
  </si>
  <si>
    <t xml:space="preserve">5011657</t>
  </si>
  <si>
    <t xml:space="preserve">سبد لباس پلاستیکی</t>
  </si>
  <si>
    <t xml:space="preserve">77620114</t>
  </si>
  <si>
    <t xml:space="preserve">سبد تفاله چایی</t>
  </si>
  <si>
    <t xml:space="preserve">5015166</t>
  </si>
  <si>
    <t xml:space="preserve">سبد تفاله گیر</t>
  </si>
  <si>
    <t xml:space="preserve">77620115</t>
  </si>
  <si>
    <t xml:space="preserve">سبد پلاستیکی درب دار</t>
  </si>
  <si>
    <t xml:space="preserve">77620129</t>
  </si>
  <si>
    <t xml:space="preserve">سیخ استیل کباب کوبیده</t>
  </si>
  <si>
    <t xml:space="preserve">5024058</t>
  </si>
  <si>
    <t xml:space="preserve">سیخ استیل کوبیده</t>
  </si>
  <si>
    <t xml:space="preserve">77620130</t>
  </si>
  <si>
    <t xml:space="preserve">سیخ استیل جوجه کباب</t>
  </si>
  <si>
    <t xml:space="preserve">5024045</t>
  </si>
  <si>
    <t xml:space="preserve">سیخ جوجه استیل</t>
  </si>
  <si>
    <t xml:space="preserve">77620144</t>
  </si>
  <si>
    <t xml:space="preserve">کارد و چنگال میوه خوری</t>
  </si>
  <si>
    <t xml:space="preserve">5006298</t>
  </si>
  <si>
    <t xml:space="preserve">کارد ميوه خوري</t>
  </si>
  <si>
    <t xml:space="preserve">77620145</t>
  </si>
  <si>
    <t xml:space="preserve">آبچکان استیل</t>
  </si>
  <si>
    <t xml:space="preserve">5009653</t>
  </si>
  <si>
    <t xml:space="preserve">آبچکان کابینتی استیل</t>
  </si>
  <si>
    <t xml:space="preserve">77620154</t>
  </si>
  <si>
    <t xml:space="preserve">سبد پلاستیکی بزرگ</t>
  </si>
  <si>
    <t xml:space="preserve">77620160</t>
  </si>
  <si>
    <r>
      <rPr>
        <sz val="10"/>
        <rFont val="FreeSans"/>
        <family val="2"/>
      </rPr>
      <t xml:space="preserve">آبکش استیل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3 )</t>
    </r>
  </si>
  <si>
    <t xml:space="preserve">5024572</t>
  </si>
  <si>
    <t xml:space="preserve">آبکش استیل</t>
  </si>
  <si>
    <t xml:space="preserve">77620161</t>
  </si>
  <si>
    <r>
      <rPr>
        <sz val="10"/>
        <rFont val="FreeSans"/>
        <family val="2"/>
      </rPr>
      <t xml:space="preserve">آبکش استیل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2 )</t>
    </r>
  </si>
  <si>
    <t xml:space="preserve">77620162</t>
  </si>
  <si>
    <r>
      <rPr>
        <sz val="10"/>
        <rFont val="FreeSans"/>
        <family val="2"/>
      </rPr>
      <t xml:space="preserve">آبکش استیل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1 )</t>
    </r>
  </si>
  <si>
    <t xml:space="preserve">77620163</t>
  </si>
  <si>
    <r>
      <rPr>
        <sz val="10"/>
        <rFont val="FreeSans"/>
        <family val="2"/>
      </rPr>
      <t xml:space="preserve">آبکش استیل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5 )</t>
    </r>
  </si>
  <si>
    <t xml:space="preserve">77620170</t>
  </si>
  <si>
    <t xml:space="preserve">آبگردان آلومینیومی با دسته چوبی بلند سایز بزرگ</t>
  </si>
  <si>
    <t xml:space="preserve">5024541</t>
  </si>
  <si>
    <t xml:space="preserve">آبگردان دسته چوبی بزرگ</t>
  </si>
  <si>
    <t xml:space="preserve">77620171</t>
  </si>
  <si>
    <t xml:space="preserve">آبگردان آلومینیومی با دسته چوبی سایز کوچک</t>
  </si>
  <si>
    <t xml:space="preserve">77620194</t>
  </si>
  <si>
    <t xml:space="preserve">کتری و قوری کوچک</t>
  </si>
  <si>
    <t xml:space="preserve">5025588</t>
  </si>
  <si>
    <t xml:space="preserve">قوری کتری</t>
  </si>
  <si>
    <t xml:space="preserve">77620200</t>
  </si>
  <si>
    <t xml:space="preserve">کف گیر تک پرسی توزیع غذا</t>
  </si>
  <si>
    <t xml:space="preserve">5024568</t>
  </si>
  <si>
    <t xml:space="preserve">کف گیر تک پرسی</t>
  </si>
  <si>
    <t xml:space="preserve">77620419</t>
  </si>
  <si>
    <t xml:space="preserve">مایع پاک کننده</t>
  </si>
  <si>
    <t xml:space="preserve">5008830</t>
  </si>
  <si>
    <t xml:space="preserve">مایع سفید کننده</t>
  </si>
  <si>
    <t xml:space="preserve">77620421</t>
  </si>
  <si>
    <t xml:space="preserve">اسکاچ</t>
  </si>
  <si>
    <t xml:space="preserve">5006343</t>
  </si>
  <si>
    <t xml:space="preserve">اسکاچ سيمي</t>
  </si>
  <si>
    <t xml:space="preserve">77620423</t>
  </si>
  <si>
    <t xml:space="preserve">چنگال غذا خوری</t>
  </si>
  <si>
    <t xml:space="preserve">77620428</t>
  </si>
  <si>
    <r>
      <rPr>
        <sz val="10"/>
        <rFont val="FreeSans"/>
        <family val="2"/>
      </rPr>
      <t xml:space="preserve">قاشق مربا خوری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چای خوری</t>
    </r>
    <r>
      <rPr>
        <sz val="10"/>
        <rFont val="Vazirmatn"/>
        <family val="0"/>
        <charset val="1"/>
      </rPr>
      <t xml:space="preserve">)</t>
    </r>
  </si>
  <si>
    <t xml:space="preserve">5007846</t>
  </si>
  <si>
    <t xml:space="preserve">قاشق مربا خوری</t>
  </si>
  <si>
    <t xml:space="preserve">77620433</t>
  </si>
  <si>
    <r>
      <rPr>
        <sz val="10"/>
        <rFont val="FreeSans"/>
        <family val="2"/>
      </rPr>
      <t xml:space="preserve">مایع دستشویی </t>
    </r>
    <r>
      <rPr>
        <sz val="10"/>
        <rFont val="Vazirmatn"/>
        <family val="0"/>
        <charset val="1"/>
      </rPr>
      <t xml:space="preserve">AVE</t>
    </r>
  </si>
  <si>
    <t xml:space="preserve">77620503</t>
  </si>
  <si>
    <t xml:space="preserve">پودر فلفل قرمز</t>
  </si>
  <si>
    <t xml:space="preserve">77620606</t>
  </si>
  <si>
    <t xml:space="preserve">کره حیوانی فله ای</t>
  </si>
  <si>
    <t xml:space="preserve">5024653</t>
  </si>
  <si>
    <t xml:space="preserve">کره فله حیوانی</t>
  </si>
  <si>
    <t xml:space="preserve">77620607</t>
  </si>
  <si>
    <t xml:space="preserve">ماست معمولی تک نفره</t>
  </si>
  <si>
    <t xml:space="preserve">5023530</t>
  </si>
  <si>
    <t xml:space="preserve">ماست تک نفره</t>
  </si>
  <si>
    <t xml:space="preserve">77620608</t>
  </si>
  <si>
    <t xml:space="preserve">ماست مو سیر تک نفره</t>
  </si>
  <si>
    <t xml:space="preserve">77620614</t>
  </si>
  <si>
    <t xml:space="preserve">خامه آشپزی</t>
  </si>
  <si>
    <t xml:space="preserve">5004939</t>
  </si>
  <si>
    <t xml:space="preserve">خامه</t>
  </si>
  <si>
    <t xml:space="preserve">77620902</t>
  </si>
  <si>
    <t xml:space="preserve">دستمال حوله ای</t>
  </si>
  <si>
    <t xml:space="preserve">5011649</t>
  </si>
  <si>
    <r>
      <rPr>
        <sz val="10"/>
        <rFont val="FreeSans"/>
        <family val="2"/>
      </rPr>
      <t xml:space="preserve">دستمال جادوئی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حوله ای</t>
    </r>
    <r>
      <rPr>
        <sz val="10"/>
        <rFont val="Vazirmatn"/>
        <family val="0"/>
        <charset val="1"/>
      </rPr>
      <t xml:space="preserve">)</t>
    </r>
  </si>
  <si>
    <t xml:space="preserve">77620905</t>
  </si>
  <si>
    <t xml:space="preserve">لیوان یکبار مصرف کاغذی</t>
  </si>
  <si>
    <t xml:space="preserve">77620914</t>
  </si>
  <si>
    <t xml:space="preserve">سینی پلاستیکی</t>
  </si>
  <si>
    <t xml:space="preserve">5011605</t>
  </si>
  <si>
    <t xml:space="preserve">سینی چای پلاستیکی</t>
  </si>
  <si>
    <t xml:space="preserve">77620917</t>
  </si>
  <si>
    <t xml:space="preserve">قوری  چینی</t>
  </si>
  <si>
    <t xml:space="preserve">5011555</t>
  </si>
  <si>
    <t xml:space="preserve">قوری چینی بزرگ</t>
  </si>
  <si>
    <t xml:space="preserve">77620921</t>
  </si>
  <si>
    <t xml:space="preserve">خاک  انداز</t>
  </si>
  <si>
    <t xml:space="preserve">5002660</t>
  </si>
  <si>
    <t xml:space="preserve">خاک انداز پلاستیکی</t>
  </si>
  <si>
    <t xml:space="preserve">77620923</t>
  </si>
  <si>
    <t xml:space="preserve">چای  صاف  کن</t>
  </si>
  <si>
    <t xml:space="preserve">5006299</t>
  </si>
  <si>
    <t xml:space="preserve">توري چاي صاف کن</t>
  </si>
  <si>
    <t xml:space="preserve">77620927</t>
  </si>
  <si>
    <r>
      <rPr>
        <sz val="10"/>
        <rFont val="FreeSans"/>
        <family val="2"/>
      </rPr>
      <t xml:space="preserve">بشقاب میوه خوری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پیش دستی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چینی</t>
    </r>
  </si>
  <si>
    <t xml:space="preserve">77620928</t>
  </si>
  <si>
    <t xml:space="preserve">پارچ آب</t>
  </si>
  <si>
    <t xml:space="preserve">5006574</t>
  </si>
  <si>
    <t xml:space="preserve">پارچ آب استیل</t>
  </si>
  <si>
    <t xml:space="preserve">77620946</t>
  </si>
  <si>
    <t xml:space="preserve">جای لیوانی آبسرد کن</t>
  </si>
  <si>
    <t xml:space="preserve">5002271</t>
  </si>
  <si>
    <t xml:space="preserve">جاي ليوان آبسرد کن</t>
  </si>
  <si>
    <t xml:space="preserve">77620956</t>
  </si>
  <si>
    <t xml:space="preserve">شیر پاکتی</t>
  </si>
  <si>
    <t xml:space="preserve">5000248</t>
  </si>
  <si>
    <t xml:space="preserve">شير پاکتي کوچک</t>
  </si>
  <si>
    <t xml:space="preserve">77620965</t>
  </si>
  <si>
    <t xml:space="preserve">سوت</t>
  </si>
  <si>
    <t xml:space="preserve">5009948</t>
  </si>
  <si>
    <t xml:space="preserve">سوت پلاستیکی</t>
  </si>
  <si>
    <t xml:space="preserve">تبلیغات</t>
  </si>
  <si>
    <t xml:space="preserve">77620968</t>
  </si>
  <si>
    <r>
      <rPr>
        <sz val="10"/>
        <rFont val="FreeSans"/>
        <family val="2"/>
      </rPr>
      <t xml:space="preserve">بطری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لیتری</t>
    </r>
  </si>
  <si>
    <t xml:space="preserve">1501615</t>
  </si>
  <si>
    <r>
      <rPr>
        <sz val="10"/>
        <rFont val="FreeSans"/>
        <family val="2"/>
      </rPr>
      <t xml:space="preserve">بطری 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لیتری دهانه </t>
    </r>
    <r>
      <rPr>
        <sz val="10"/>
        <rFont val="Vazirmatn"/>
        <family val="0"/>
        <charset val="1"/>
      </rPr>
      <t xml:space="preserve">65</t>
    </r>
  </si>
  <si>
    <t xml:space="preserve">77620978</t>
  </si>
  <si>
    <t xml:space="preserve">قاشق و چنگال غذا خوری</t>
  </si>
  <si>
    <t xml:space="preserve">5011565</t>
  </si>
  <si>
    <t xml:space="preserve">قاشق و چنگال استیل</t>
  </si>
  <si>
    <t xml:space="preserve">88500012</t>
  </si>
  <si>
    <t xml:space="preserve">پلی وینیل الکل خوراکی</t>
  </si>
  <si>
    <t xml:space="preserve">5022694</t>
  </si>
  <si>
    <t xml:space="preserve">پلی وینیل الکل</t>
  </si>
  <si>
    <t xml:space="preserve">88500050</t>
  </si>
  <si>
    <t xml:space="preserve">سولفات نقره</t>
  </si>
  <si>
    <t xml:space="preserve">5018703</t>
  </si>
  <si>
    <t xml:space="preserve">سولفات نقره جامد</t>
  </si>
  <si>
    <t xml:space="preserve">88500211</t>
  </si>
  <si>
    <r>
      <rPr>
        <sz val="10"/>
        <rFont val="FreeSans"/>
        <family val="2"/>
      </rPr>
      <t xml:space="preserve">الک آزمایشگاهی   مش   </t>
    </r>
    <r>
      <rPr>
        <sz val="10"/>
        <rFont val="Vazirmatn"/>
        <family val="0"/>
        <charset val="1"/>
      </rPr>
      <t xml:space="preserve">325</t>
    </r>
  </si>
  <si>
    <t xml:space="preserve">4036818</t>
  </si>
  <si>
    <r>
      <rPr>
        <sz val="10"/>
        <rFont val="FreeSans"/>
        <family val="2"/>
      </rPr>
      <t xml:space="preserve">الک استیل گرد آزمایشگاهی مش </t>
    </r>
    <r>
      <rPr>
        <sz val="10"/>
        <rFont val="Vazirmatn"/>
        <family val="0"/>
        <charset val="1"/>
      </rPr>
      <t xml:space="preserve">325</t>
    </r>
  </si>
  <si>
    <t xml:space="preserve">88500212</t>
  </si>
  <si>
    <r>
      <rPr>
        <sz val="10"/>
        <rFont val="FreeSans"/>
        <family val="2"/>
      </rPr>
      <t xml:space="preserve">الک آزمایشگاهی   مش   </t>
    </r>
    <r>
      <rPr>
        <sz val="10"/>
        <rFont val="Vazirmatn"/>
        <family val="0"/>
        <charset val="1"/>
      </rPr>
      <t xml:space="preserve">400</t>
    </r>
  </si>
  <si>
    <t xml:space="preserve">4036817</t>
  </si>
  <si>
    <r>
      <rPr>
        <sz val="10"/>
        <rFont val="FreeSans"/>
        <family val="2"/>
      </rPr>
      <t xml:space="preserve">الک استیل گرد آزمایشگاهی مش </t>
    </r>
    <r>
      <rPr>
        <sz val="10"/>
        <rFont val="Vazirmatn"/>
        <family val="0"/>
        <charset val="1"/>
      </rPr>
      <t xml:space="preserve">400</t>
    </r>
  </si>
  <si>
    <t xml:space="preserve">88500215</t>
  </si>
  <si>
    <r>
      <rPr>
        <sz val="10"/>
        <rFont val="FreeSans"/>
        <family val="2"/>
      </rPr>
      <t xml:space="preserve">دماسنج الکلی  </t>
    </r>
    <r>
      <rPr>
        <sz val="10"/>
        <rFont val="Vazirmatn"/>
        <family val="0"/>
        <charset val="1"/>
      </rPr>
      <t xml:space="preserve">100 - 0</t>
    </r>
  </si>
  <si>
    <t xml:space="preserve">88500254</t>
  </si>
  <si>
    <r>
      <rPr>
        <sz val="10"/>
        <rFont val="FreeSans"/>
        <family val="2"/>
      </rPr>
      <t xml:space="preserve">کاغذ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</t>
    </r>
  </si>
  <si>
    <t xml:space="preserve">5011061</t>
  </si>
  <si>
    <r>
      <rPr>
        <sz val="10"/>
        <rFont val="FreeSans"/>
        <family val="2"/>
      </rPr>
      <t xml:space="preserve">کاغذ </t>
    </r>
    <r>
      <rPr>
        <sz val="10"/>
        <rFont val="Vazirmatn"/>
        <family val="0"/>
        <charset val="1"/>
      </rPr>
      <t xml:space="preserve">PH</t>
    </r>
  </si>
  <si>
    <t xml:space="preserve">88500282</t>
  </si>
  <si>
    <r>
      <rPr>
        <sz val="10"/>
        <rFont val="FreeSans"/>
        <family val="2"/>
      </rPr>
      <t xml:space="preserve">ظرف استریل نمونه برداری میکروبی </t>
    </r>
    <r>
      <rPr>
        <sz val="10"/>
        <rFont val="Vazirmatn"/>
        <family val="0"/>
        <charset val="1"/>
      </rPr>
      <t xml:space="preserve">90mL</t>
    </r>
  </si>
  <si>
    <t xml:space="preserve">5020758</t>
  </si>
  <si>
    <r>
      <rPr>
        <sz val="10"/>
        <rFont val="FreeSans"/>
        <family val="2"/>
      </rPr>
      <t xml:space="preserve">ظرف نمونه برداری استریل</t>
    </r>
    <r>
      <rPr>
        <sz val="10"/>
        <rFont val="Vazirmatn"/>
        <family val="0"/>
        <charset val="1"/>
      </rPr>
      <t xml:space="preserve">-90cc</t>
    </r>
  </si>
  <si>
    <t xml:space="preserve">88500284</t>
  </si>
  <si>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 رومیزی </t>
    </r>
    <r>
      <rPr>
        <sz val="10"/>
        <rFont val="Vazirmatn"/>
        <family val="0"/>
        <charset val="1"/>
      </rPr>
      <t xml:space="preserve">H 2211</t>
    </r>
  </si>
  <si>
    <t xml:space="preserve">6000324</t>
  </si>
  <si>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 رومیزی</t>
    </r>
  </si>
  <si>
    <t xml:space="preserve">88500285</t>
  </si>
  <si>
    <t xml:space="preserve">امولوسیون تخم مرغ</t>
  </si>
  <si>
    <t xml:space="preserve">5009597</t>
  </si>
  <si>
    <t xml:space="preserve">امولسیون زرده تخم مرغ</t>
  </si>
  <si>
    <t xml:space="preserve">88500335</t>
  </si>
  <si>
    <r>
      <rPr>
        <sz val="10"/>
        <rFont val="FreeSans"/>
        <family val="2"/>
      </rPr>
      <t xml:space="preserve">تیترازول ید                   </t>
    </r>
    <r>
      <rPr>
        <sz val="10"/>
        <rFont val="Vazirmatn"/>
        <family val="0"/>
        <charset val="1"/>
      </rPr>
      <t xml:space="preserve">0/1N</t>
    </r>
  </si>
  <si>
    <t xml:space="preserve">5014585</t>
  </si>
  <si>
    <r>
      <rPr>
        <sz val="10"/>
        <rFont val="FreeSans"/>
        <family val="2"/>
      </rPr>
      <t xml:space="preserve">تیترازول </t>
    </r>
    <r>
      <rPr>
        <sz val="10"/>
        <rFont val="Vazirmatn"/>
        <family val="0"/>
        <charset val="1"/>
      </rPr>
      <t xml:space="preserve">HCl 0.1 N</t>
    </r>
  </si>
  <si>
    <t xml:space="preserve">88500344</t>
  </si>
  <si>
    <r>
      <rPr>
        <sz val="10"/>
        <rFont val="FreeSans"/>
        <family val="2"/>
      </rPr>
      <t xml:space="preserve">پتاسیم یدات   </t>
    </r>
    <r>
      <rPr>
        <sz val="10"/>
        <rFont val="Vazirmatn"/>
        <family val="0"/>
        <charset val="1"/>
      </rPr>
      <t xml:space="preserve">KIO3</t>
    </r>
  </si>
  <si>
    <t xml:space="preserve">5009450</t>
  </si>
  <si>
    <t xml:space="preserve">یدات پتاسیم</t>
  </si>
  <si>
    <t xml:space="preserve">88500350</t>
  </si>
  <si>
    <t xml:space="preserve">محیط کشت  دکستروز تریپتون آگار</t>
  </si>
  <si>
    <t xml:space="preserve">5023117</t>
  </si>
  <si>
    <r>
      <rPr>
        <sz val="10"/>
        <rFont val="FreeSans"/>
        <family val="2"/>
      </rPr>
      <t xml:space="preserve">محیط کشت آگار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آگار</t>
    </r>
  </si>
  <si>
    <t xml:space="preserve">88500359</t>
  </si>
  <si>
    <r>
      <rPr>
        <sz val="10"/>
        <rFont val="FreeSans"/>
        <family val="2"/>
      </rPr>
      <t xml:space="preserve">محیط کشت  </t>
    </r>
    <r>
      <rPr>
        <sz val="10"/>
        <rFont val="Vazirmatn"/>
        <family val="0"/>
        <charset val="1"/>
      </rPr>
      <t xml:space="preserve">EMB -  Agar</t>
    </r>
  </si>
  <si>
    <t xml:space="preserve">5012735</t>
  </si>
  <si>
    <r>
      <rPr>
        <sz val="10"/>
        <rFont val="FreeSans"/>
        <family val="2"/>
      </rPr>
      <t xml:space="preserve">محیط کشت </t>
    </r>
    <r>
      <rPr>
        <sz val="10"/>
        <rFont val="Vazirmatn"/>
        <family val="0"/>
        <charset val="1"/>
      </rPr>
      <t xml:space="preserve">EC</t>
    </r>
  </si>
  <si>
    <t xml:space="preserve">88500360</t>
  </si>
  <si>
    <r>
      <rPr>
        <sz val="10"/>
        <rFont val="FreeSans"/>
        <family val="2"/>
      </rPr>
      <t xml:space="preserve">محیط کشت  </t>
    </r>
    <r>
      <rPr>
        <sz val="10"/>
        <rFont val="Vazirmatn"/>
        <family val="0"/>
        <charset val="1"/>
      </rPr>
      <t xml:space="preserve">SpS  </t>
    </r>
    <r>
      <rPr>
        <sz val="10"/>
        <rFont val="FreeSans"/>
        <family val="2"/>
      </rPr>
      <t xml:space="preserve">آگار  </t>
    </r>
    <r>
      <rPr>
        <sz val="10"/>
        <rFont val="Vazirmatn"/>
        <family val="0"/>
        <charset val="1"/>
      </rPr>
      <t xml:space="preserve">( VRB - Agar )</t>
    </r>
  </si>
  <si>
    <t xml:space="preserve">88500404</t>
  </si>
  <si>
    <r>
      <rPr>
        <sz val="10"/>
        <rFont val="FreeSans"/>
        <family val="2"/>
      </rPr>
      <t xml:space="preserve">آنتی سرم سالمونلا  </t>
    </r>
    <r>
      <rPr>
        <sz val="10"/>
        <rFont val="Vazirmatn"/>
        <family val="0"/>
        <charset val="1"/>
      </rPr>
      <t xml:space="preserve">POLY-A-E</t>
    </r>
  </si>
  <si>
    <t xml:space="preserve">5009600</t>
  </si>
  <si>
    <r>
      <rPr>
        <sz val="10"/>
        <rFont val="FreeSans"/>
        <family val="2"/>
      </rPr>
      <t xml:space="preserve">آنتی سرم </t>
    </r>
    <r>
      <rPr>
        <sz val="10"/>
        <rFont val="Vazirmatn"/>
        <family val="0"/>
        <charset val="1"/>
      </rPr>
      <t xml:space="preserve">O </t>
    </r>
    <r>
      <rPr>
        <sz val="10"/>
        <rFont val="FreeSans"/>
        <family val="2"/>
      </rPr>
      <t xml:space="preserve">سالمونلا</t>
    </r>
  </si>
  <si>
    <t xml:space="preserve">88500405</t>
  </si>
  <si>
    <t xml:space="preserve">اسید  سیتریک</t>
  </si>
  <si>
    <t xml:space="preserve">5011292</t>
  </si>
  <si>
    <t xml:space="preserve">اسید سیتریک جامد</t>
  </si>
  <si>
    <t xml:space="preserve">88500417</t>
  </si>
  <si>
    <t xml:space="preserve">اسید سولفوریک غلیظ</t>
  </si>
  <si>
    <t xml:space="preserve">88500418</t>
  </si>
  <si>
    <r>
      <rPr>
        <sz val="10"/>
        <rFont val="FreeSans"/>
        <family val="2"/>
      </rPr>
      <t xml:space="preserve">اسید سولفوریک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تیترازول  </t>
    </r>
    <r>
      <rPr>
        <sz val="10"/>
        <rFont val="Vazirmatn"/>
        <family val="0"/>
        <charset val="1"/>
      </rPr>
      <t xml:space="preserve">1N )</t>
    </r>
  </si>
  <si>
    <t xml:space="preserve">5018780</t>
  </si>
  <si>
    <r>
      <rPr>
        <sz val="10"/>
        <rFont val="FreeSans"/>
        <family val="2"/>
      </rPr>
      <t xml:space="preserve">اسید سولفوریک تیترازول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نرمال</t>
    </r>
  </si>
  <si>
    <t xml:space="preserve">88500465</t>
  </si>
  <si>
    <t xml:space="preserve">اندیکاتور بی هوازی</t>
  </si>
  <si>
    <t xml:space="preserve">5015932</t>
  </si>
  <si>
    <t xml:space="preserve">اندیکاتور جاربی هوازی</t>
  </si>
  <si>
    <t xml:space="preserve">88500476</t>
  </si>
  <si>
    <t xml:space="preserve">محیط کشت آب پپتونه بافری</t>
  </si>
  <si>
    <t xml:space="preserve">5009594</t>
  </si>
  <si>
    <t xml:space="preserve">محیط کشت فسفات بافری</t>
  </si>
  <si>
    <t xml:space="preserve">88500481</t>
  </si>
  <si>
    <r>
      <rPr>
        <sz val="10"/>
        <rFont val="FreeSans"/>
        <family val="2"/>
      </rPr>
      <t xml:space="preserve">بی هوازی کننده محیط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گاز پک </t>
    </r>
    <r>
      <rPr>
        <sz val="10"/>
        <rFont val="Vazirmatn"/>
        <family val="0"/>
        <charset val="1"/>
      </rPr>
      <t xml:space="preserve">)  Anaerocalt</t>
    </r>
  </si>
  <si>
    <t xml:space="preserve">5022560</t>
  </si>
  <si>
    <t xml:space="preserve">محیط کشت گاز پک جار بی هوازی</t>
  </si>
  <si>
    <t xml:space="preserve">88500502</t>
  </si>
  <si>
    <r>
      <rPr>
        <sz val="10"/>
        <rFont val="FreeSans"/>
        <family val="2"/>
      </rPr>
      <t xml:space="preserve">ارلن مایر شیشه ای        </t>
    </r>
    <r>
      <rPr>
        <sz val="10"/>
        <rFont val="Vazirmatn"/>
        <family val="0"/>
        <charset val="1"/>
      </rPr>
      <t xml:space="preserve">0 -  250cc</t>
    </r>
  </si>
  <si>
    <t xml:space="preserve">5010935</t>
  </si>
  <si>
    <r>
      <rPr>
        <sz val="10"/>
        <rFont val="FreeSans"/>
        <family val="2"/>
      </rPr>
      <t xml:space="preserve">ارلن شیشه ای </t>
    </r>
    <r>
      <rPr>
        <sz val="10"/>
        <rFont val="Vazirmatn"/>
        <family val="0"/>
        <charset val="1"/>
      </rPr>
      <t xml:space="preserve">250 </t>
    </r>
    <r>
      <rPr>
        <sz val="10"/>
        <rFont val="FreeSans"/>
        <family val="2"/>
      </rPr>
      <t xml:space="preserve">سی سی</t>
    </r>
  </si>
  <si>
    <t xml:space="preserve">88500521</t>
  </si>
  <si>
    <r>
      <rPr>
        <sz val="10"/>
        <rFont val="FreeSans"/>
        <family val="2"/>
      </rPr>
      <t xml:space="preserve">بشر شیشه ای              </t>
    </r>
    <r>
      <rPr>
        <sz val="10"/>
        <rFont val="Vazirmatn"/>
        <family val="0"/>
        <charset val="1"/>
      </rPr>
      <t xml:space="preserve">0 -   50CC</t>
    </r>
  </si>
  <si>
    <t xml:space="preserve">5010925</t>
  </si>
  <si>
    <r>
      <rPr>
        <sz val="10"/>
        <rFont val="FreeSans"/>
        <family val="2"/>
      </rPr>
      <t xml:space="preserve">بشر شیشه ای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سی سی</t>
    </r>
  </si>
  <si>
    <t xml:space="preserve">88500523</t>
  </si>
  <si>
    <r>
      <rPr>
        <sz val="10"/>
        <rFont val="FreeSans"/>
        <family val="2"/>
      </rPr>
      <t xml:space="preserve">بشر شیشه ای              </t>
    </r>
    <r>
      <rPr>
        <sz val="10"/>
        <rFont val="Vazirmatn"/>
        <family val="0"/>
        <charset val="1"/>
      </rPr>
      <t xml:space="preserve">0 -  250CC</t>
    </r>
  </si>
  <si>
    <t xml:space="preserve">5010928</t>
  </si>
  <si>
    <r>
      <rPr>
        <sz val="10"/>
        <rFont val="FreeSans"/>
        <family val="2"/>
      </rPr>
      <t xml:space="preserve">بشر شیشه ای </t>
    </r>
    <r>
      <rPr>
        <sz val="10"/>
        <rFont val="Vazirmatn"/>
        <family val="0"/>
        <charset val="1"/>
      </rPr>
      <t xml:space="preserve">250 </t>
    </r>
    <r>
      <rPr>
        <sz val="10"/>
        <rFont val="FreeSans"/>
        <family val="2"/>
      </rPr>
      <t xml:space="preserve">سی سی</t>
    </r>
  </si>
  <si>
    <t xml:space="preserve">88500525</t>
  </si>
  <si>
    <r>
      <rPr>
        <sz val="10"/>
        <rFont val="FreeSans"/>
        <family val="2"/>
      </rPr>
      <t xml:space="preserve">بشر شیشه ای              </t>
    </r>
    <r>
      <rPr>
        <sz val="10"/>
        <rFont val="Vazirmatn"/>
        <family val="0"/>
        <charset val="1"/>
      </rPr>
      <t xml:space="preserve">0 - 1000CC</t>
    </r>
  </si>
  <si>
    <t xml:space="preserve">5021137</t>
  </si>
  <si>
    <r>
      <rPr>
        <sz val="10"/>
        <rFont val="FreeSans"/>
        <family val="2"/>
      </rPr>
      <t xml:space="preserve">بشر شیشه ای </t>
    </r>
    <r>
      <rPr>
        <sz val="10"/>
        <rFont val="Vazirmatn"/>
        <family val="0"/>
        <charset val="1"/>
      </rPr>
      <t xml:space="preserve">1000cc</t>
    </r>
  </si>
  <si>
    <t xml:space="preserve">88500526</t>
  </si>
  <si>
    <r>
      <rPr>
        <sz val="10"/>
        <rFont val="FreeSans"/>
        <family val="2"/>
      </rPr>
      <t xml:space="preserve">بشر شیشه ای              </t>
    </r>
    <r>
      <rPr>
        <sz val="10"/>
        <rFont val="Vazirmatn"/>
        <family val="0"/>
        <charset val="1"/>
      </rPr>
      <t xml:space="preserve">0 - 2000CC</t>
    </r>
  </si>
  <si>
    <t xml:space="preserve">5012164</t>
  </si>
  <si>
    <r>
      <rPr>
        <sz val="10"/>
        <rFont val="FreeSans"/>
        <family val="2"/>
      </rPr>
      <t xml:space="preserve">بشر شیشه ای </t>
    </r>
    <r>
      <rPr>
        <sz val="10"/>
        <rFont val="Vazirmatn"/>
        <family val="0"/>
        <charset val="1"/>
      </rPr>
      <t xml:space="preserve">2000 </t>
    </r>
    <r>
      <rPr>
        <sz val="10"/>
        <rFont val="FreeSans"/>
        <family val="2"/>
      </rPr>
      <t xml:space="preserve">سی سی</t>
    </r>
  </si>
  <si>
    <t xml:space="preserve">88500528</t>
  </si>
  <si>
    <r>
      <rPr>
        <sz val="10"/>
        <rFont val="FreeSans"/>
        <family val="2"/>
      </rPr>
      <t xml:space="preserve">بشر شیشه ای              </t>
    </r>
    <r>
      <rPr>
        <sz val="10"/>
        <rFont val="Vazirmatn"/>
        <family val="0"/>
        <charset val="1"/>
      </rPr>
      <t xml:space="preserve">0 -  100CC</t>
    </r>
  </si>
  <si>
    <t xml:space="preserve">5010926</t>
  </si>
  <si>
    <r>
      <rPr>
        <sz val="10"/>
        <rFont val="FreeSans"/>
        <family val="2"/>
      </rPr>
      <t xml:space="preserve">بشر شیشه ای </t>
    </r>
    <r>
      <rPr>
        <sz val="10"/>
        <rFont val="Vazirmatn"/>
        <family val="0"/>
        <charset val="1"/>
      </rPr>
      <t xml:space="preserve">100</t>
    </r>
    <r>
      <rPr>
        <sz val="10"/>
        <rFont val="FreeSans"/>
        <family val="2"/>
      </rPr>
      <t xml:space="preserve">سی سی</t>
    </r>
  </si>
  <si>
    <t xml:space="preserve">88500530</t>
  </si>
  <si>
    <r>
      <rPr>
        <sz val="10"/>
        <rFont val="FreeSans"/>
        <family val="2"/>
      </rPr>
      <t xml:space="preserve">بالن شیشه ای ژوژه       </t>
    </r>
    <r>
      <rPr>
        <sz val="10"/>
        <rFont val="Vazirmatn"/>
        <family val="0"/>
        <charset val="1"/>
      </rPr>
      <t xml:space="preserve">0 -   25CC</t>
    </r>
  </si>
  <si>
    <t xml:space="preserve">5010948</t>
  </si>
  <si>
    <r>
      <rPr>
        <sz val="10"/>
        <rFont val="FreeSans"/>
        <family val="2"/>
      </rPr>
      <t xml:space="preserve">بالن ژوژه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سی سی</t>
    </r>
  </si>
  <si>
    <t xml:space="preserve">88500532</t>
  </si>
  <si>
    <r>
      <rPr>
        <sz val="10"/>
        <rFont val="FreeSans"/>
        <family val="2"/>
      </rPr>
      <t xml:space="preserve">بالن شیشه ای ژوژه       </t>
    </r>
    <r>
      <rPr>
        <sz val="10"/>
        <rFont val="Vazirmatn"/>
        <family val="0"/>
        <charset val="1"/>
      </rPr>
      <t xml:space="preserve">0 -  250CC</t>
    </r>
  </si>
  <si>
    <t xml:space="preserve">5010954</t>
  </si>
  <si>
    <r>
      <rPr>
        <sz val="10"/>
        <rFont val="FreeSans"/>
        <family val="2"/>
      </rPr>
      <t xml:space="preserve">بالن ژوژه دربدار </t>
    </r>
    <r>
      <rPr>
        <sz val="10"/>
        <rFont val="Vazirmatn"/>
        <family val="0"/>
        <charset val="1"/>
      </rPr>
      <t xml:space="preserve">250 </t>
    </r>
    <r>
      <rPr>
        <sz val="10"/>
        <rFont val="FreeSans"/>
        <family val="2"/>
      </rPr>
      <t xml:space="preserve">سی سی</t>
    </r>
  </si>
  <si>
    <t xml:space="preserve">88500533</t>
  </si>
  <si>
    <r>
      <rPr>
        <sz val="10"/>
        <rFont val="FreeSans"/>
        <family val="2"/>
      </rPr>
      <t xml:space="preserve">بالن شیشه ای ژوژه        </t>
    </r>
    <r>
      <rPr>
        <sz val="10"/>
        <rFont val="Vazirmatn"/>
        <family val="0"/>
        <charset val="1"/>
      </rPr>
      <t xml:space="preserve">0 -  100CC</t>
    </r>
  </si>
  <si>
    <t xml:space="preserve">5010950</t>
  </si>
  <si>
    <r>
      <rPr>
        <sz val="10"/>
        <rFont val="FreeSans"/>
        <family val="2"/>
      </rPr>
      <t xml:space="preserve">بالن ژوژه </t>
    </r>
    <r>
      <rPr>
        <sz val="10"/>
        <rFont val="Vazirmatn"/>
        <family val="0"/>
        <charset val="1"/>
      </rPr>
      <t xml:space="preserve">100</t>
    </r>
    <r>
      <rPr>
        <sz val="10"/>
        <rFont val="FreeSans"/>
        <family val="2"/>
      </rPr>
      <t xml:space="preserve">سی سی</t>
    </r>
  </si>
  <si>
    <t xml:space="preserve">88500534</t>
  </si>
  <si>
    <r>
      <rPr>
        <sz val="10"/>
        <rFont val="FreeSans"/>
        <family val="2"/>
      </rPr>
      <t xml:space="preserve">بالن شیشه ای ژوژه        </t>
    </r>
    <r>
      <rPr>
        <sz val="10"/>
        <rFont val="Vazirmatn"/>
        <family val="0"/>
        <charset val="1"/>
      </rPr>
      <t xml:space="preserve">0 -  500CC</t>
    </r>
  </si>
  <si>
    <t xml:space="preserve">5010951</t>
  </si>
  <si>
    <r>
      <rPr>
        <sz val="10"/>
        <rFont val="FreeSans"/>
        <family val="2"/>
      </rPr>
      <t xml:space="preserve">بالن ژوژه </t>
    </r>
    <r>
      <rPr>
        <sz val="10"/>
        <rFont val="Vazirmatn"/>
        <family val="0"/>
        <charset val="1"/>
      </rPr>
      <t xml:space="preserve">500</t>
    </r>
    <r>
      <rPr>
        <sz val="10"/>
        <rFont val="FreeSans"/>
        <family val="2"/>
      </rPr>
      <t xml:space="preserve">سی سی</t>
    </r>
  </si>
  <si>
    <t xml:space="preserve">88500577</t>
  </si>
  <si>
    <t xml:space="preserve">قیف</t>
  </si>
  <si>
    <t xml:space="preserve">88500604</t>
  </si>
  <si>
    <r>
      <rPr>
        <sz val="10"/>
        <rFont val="FreeSans"/>
        <family val="2"/>
      </rPr>
      <t xml:space="preserve">ظرف شیشه ای     </t>
    </r>
    <r>
      <rPr>
        <sz val="10"/>
        <rFont val="Vazirmatn"/>
        <family val="0"/>
        <charset val="1"/>
      </rPr>
      <t xml:space="preserve">250cc</t>
    </r>
  </si>
  <si>
    <t xml:space="preserve">5016819</t>
  </si>
  <si>
    <r>
      <rPr>
        <sz val="10"/>
        <rFont val="FreeSans"/>
        <family val="2"/>
      </rPr>
      <t xml:space="preserve">ظرف نمونه برداری شیشه ای </t>
    </r>
    <r>
      <rPr>
        <sz val="10"/>
        <rFont val="Vazirmatn"/>
        <family val="0"/>
        <charset val="1"/>
      </rPr>
      <t xml:space="preserve">250 cc</t>
    </r>
  </si>
  <si>
    <t xml:space="preserve">88500613</t>
  </si>
  <si>
    <t xml:space="preserve">پوآر</t>
  </si>
  <si>
    <t xml:space="preserve">5012178</t>
  </si>
  <si>
    <t xml:space="preserve">پوآر سرنگی</t>
  </si>
  <si>
    <t xml:space="preserve">88500616</t>
  </si>
  <si>
    <r>
      <rPr>
        <sz val="10"/>
        <rFont val="FreeSans"/>
        <family val="2"/>
      </rPr>
      <t xml:space="preserve">ظرف نمونه  برداری کوچک  </t>
    </r>
    <r>
      <rPr>
        <sz val="10"/>
        <rFont val="Vazirmatn"/>
        <family val="0"/>
        <charset val="1"/>
      </rPr>
      <t xml:space="preserve">100  </t>
    </r>
    <r>
      <rPr>
        <sz val="10"/>
        <rFont val="FreeSans"/>
        <family val="2"/>
      </rPr>
      <t xml:space="preserve">گرمی</t>
    </r>
  </si>
  <si>
    <t xml:space="preserve">5011058</t>
  </si>
  <si>
    <r>
      <rPr>
        <sz val="10"/>
        <rFont val="FreeSans"/>
        <family val="2"/>
      </rPr>
      <t xml:space="preserve">ظرف نمونه برداری </t>
    </r>
    <r>
      <rPr>
        <sz val="10"/>
        <rFont val="Vazirmatn"/>
        <family val="0"/>
        <charset val="1"/>
      </rPr>
      <t xml:space="preserve">100</t>
    </r>
    <r>
      <rPr>
        <sz val="10"/>
        <rFont val="FreeSans"/>
        <family val="2"/>
      </rPr>
      <t xml:space="preserve">سی سی</t>
    </r>
  </si>
  <si>
    <t xml:space="preserve">88500618</t>
  </si>
  <si>
    <r>
      <rPr>
        <sz val="10"/>
        <rFont val="FreeSans"/>
        <family val="2"/>
      </rPr>
      <t xml:space="preserve">ظرف  نمونه  برداری  </t>
    </r>
    <r>
      <rPr>
        <sz val="10"/>
        <rFont val="Vazirmatn"/>
        <family val="0"/>
        <charset val="1"/>
      </rPr>
      <t xml:space="preserve">500  </t>
    </r>
    <r>
      <rPr>
        <sz val="10"/>
        <rFont val="FreeSans"/>
        <family val="2"/>
      </rPr>
      <t xml:space="preserve">گرمی</t>
    </r>
  </si>
  <si>
    <t xml:space="preserve">5011040</t>
  </si>
  <si>
    <r>
      <rPr>
        <sz val="10"/>
        <rFont val="FreeSans"/>
        <family val="2"/>
      </rPr>
      <t xml:space="preserve">ظرف نمونه برداری </t>
    </r>
    <r>
      <rPr>
        <sz val="10"/>
        <rFont val="Vazirmatn"/>
        <family val="0"/>
        <charset val="1"/>
      </rPr>
      <t xml:space="preserve">500 </t>
    </r>
    <r>
      <rPr>
        <sz val="10"/>
        <rFont val="FreeSans"/>
        <family val="2"/>
      </rPr>
      <t xml:space="preserve">سی سی</t>
    </r>
  </si>
  <si>
    <t xml:space="preserve">88500642</t>
  </si>
  <si>
    <t xml:space="preserve">قطره چکان</t>
  </si>
  <si>
    <t xml:space="preserve">88500644</t>
  </si>
  <si>
    <r>
      <rPr>
        <sz val="10"/>
        <rFont val="FreeSans"/>
        <family val="2"/>
      </rPr>
      <t xml:space="preserve">دستکش کوتاه نسوز </t>
    </r>
    <r>
      <rPr>
        <sz val="10"/>
        <rFont val="Vazirmatn"/>
        <family val="0"/>
        <charset val="1"/>
      </rPr>
      <t xml:space="preserve">( STANLEY )</t>
    </r>
  </si>
  <si>
    <t xml:space="preserve">5010883</t>
  </si>
  <si>
    <t xml:space="preserve">دستکش نسوز</t>
  </si>
  <si>
    <t xml:space="preserve">88500648</t>
  </si>
  <si>
    <t xml:space="preserve">جای لوله آزمایش</t>
  </si>
  <si>
    <t xml:space="preserve">5011013</t>
  </si>
  <si>
    <r>
      <rPr>
        <sz val="10"/>
        <rFont val="FreeSans"/>
        <family val="2"/>
      </rPr>
      <t xml:space="preserve">جای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رک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لوله آزمایش</t>
    </r>
  </si>
  <si>
    <t xml:space="preserve">88500675</t>
  </si>
  <si>
    <r>
      <rPr>
        <sz val="10"/>
        <rFont val="FreeSans"/>
        <family val="2"/>
      </rPr>
      <t xml:space="preserve">بومه سنج        </t>
    </r>
    <r>
      <rPr>
        <sz val="10"/>
        <rFont val="Vazirmatn"/>
        <family val="0"/>
        <charset val="1"/>
      </rPr>
      <t xml:space="preserve">30  -   0</t>
    </r>
  </si>
  <si>
    <t xml:space="preserve">5012171</t>
  </si>
  <si>
    <r>
      <rPr>
        <sz val="10"/>
        <rFont val="FreeSans"/>
        <family val="2"/>
      </rPr>
      <t xml:space="preserve">بومه سنج </t>
    </r>
    <r>
      <rPr>
        <sz val="10"/>
        <rFont val="Vazirmatn"/>
        <family val="0"/>
        <charset val="1"/>
      </rPr>
      <t xml:space="preserve">30-0 </t>
    </r>
    <r>
      <rPr>
        <sz val="10"/>
        <rFont val="FreeSans"/>
        <family val="2"/>
      </rPr>
      <t xml:space="preserve">با دقت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واحد</t>
    </r>
  </si>
  <si>
    <t xml:space="preserve">88500695</t>
  </si>
  <si>
    <r>
      <rPr>
        <sz val="10"/>
        <rFont val="FreeSans"/>
        <family val="2"/>
      </rPr>
      <t xml:space="preserve">ظرف نمونه پلاستیکی </t>
    </r>
    <r>
      <rPr>
        <sz val="10"/>
        <rFont val="Vazirmatn"/>
        <family val="0"/>
        <charset val="1"/>
      </rPr>
      <t xml:space="preserve">1Kg</t>
    </r>
  </si>
  <si>
    <t xml:space="preserve">1501577</t>
  </si>
  <si>
    <r>
      <rPr>
        <sz val="10"/>
        <rFont val="FreeSans"/>
        <family val="2"/>
      </rPr>
      <t xml:space="preserve">ظرف پلاستیکی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کیلویی</t>
    </r>
  </si>
  <si>
    <t xml:space="preserve">88500721</t>
  </si>
  <si>
    <r>
      <rPr>
        <sz val="10"/>
        <rFont val="FreeSans"/>
        <family val="2"/>
      </rPr>
      <t xml:space="preserve">پتاسیم هیدروکسید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جامد </t>
    </r>
    <r>
      <rPr>
        <sz val="10"/>
        <rFont val="Vazirmatn"/>
        <family val="0"/>
        <charset val="1"/>
      </rPr>
      <t xml:space="preserve">)</t>
    </r>
  </si>
  <si>
    <t xml:space="preserve">5003694</t>
  </si>
  <si>
    <t xml:space="preserve">هيدروکسيد پتاسيم</t>
  </si>
  <si>
    <t xml:space="preserve">88500737</t>
  </si>
  <si>
    <t xml:space="preserve">امولسیون تخم مرغی</t>
  </si>
  <si>
    <t xml:space="preserve">88500740</t>
  </si>
  <si>
    <r>
      <rPr>
        <sz val="10"/>
        <rFont val="FreeSans"/>
        <family val="2"/>
      </rPr>
      <t xml:space="preserve">محیط کشت  </t>
    </r>
    <r>
      <rPr>
        <sz val="10"/>
        <rFont val="Vazirmatn"/>
        <family val="0"/>
        <charset val="1"/>
      </rPr>
      <t xml:space="preserve">MRS Broth</t>
    </r>
  </si>
  <si>
    <t xml:space="preserve">5018010</t>
  </si>
  <si>
    <r>
      <rPr>
        <sz val="10"/>
        <rFont val="FreeSans"/>
        <family val="2"/>
      </rPr>
      <t xml:space="preserve">محیط کشت </t>
    </r>
    <r>
      <rPr>
        <sz val="10"/>
        <rFont val="Vazirmatn"/>
        <family val="0"/>
        <charset val="1"/>
      </rPr>
      <t xml:space="preserve">of</t>
    </r>
  </si>
  <si>
    <t xml:space="preserve">88500741</t>
  </si>
  <si>
    <r>
      <rPr>
        <sz val="10"/>
        <rFont val="FreeSans"/>
        <family val="2"/>
      </rPr>
      <t xml:space="preserve">سدیم لوریل سولفات </t>
    </r>
    <r>
      <rPr>
        <sz val="10"/>
        <rFont val="Vazirmatn"/>
        <family val="0"/>
        <charset val="1"/>
      </rPr>
      <t xml:space="preserve">( SLS )</t>
    </r>
  </si>
  <si>
    <t xml:space="preserve">5023405</t>
  </si>
  <si>
    <t xml:space="preserve">سدیم لوریل سولفات</t>
  </si>
  <si>
    <t xml:space="preserve">88500742</t>
  </si>
  <si>
    <t xml:space="preserve">پروپیلن  اکساید</t>
  </si>
  <si>
    <t xml:space="preserve">5014465</t>
  </si>
  <si>
    <t xml:space="preserve">پروپیلن اکسید</t>
  </si>
  <si>
    <t xml:space="preserve">88500751</t>
  </si>
  <si>
    <r>
      <rPr>
        <sz val="10"/>
        <rFont val="FreeSans"/>
        <family val="2"/>
      </rPr>
      <t xml:space="preserve">محیط کشت  </t>
    </r>
    <r>
      <rPr>
        <sz val="10"/>
        <rFont val="Vazirmatn"/>
        <family val="0"/>
        <charset val="1"/>
      </rPr>
      <t xml:space="preserve">PCA</t>
    </r>
  </si>
  <si>
    <t xml:space="preserve">88500752</t>
  </si>
  <si>
    <r>
      <rPr>
        <sz val="10"/>
        <rFont val="FreeSans"/>
        <family val="2"/>
      </rPr>
      <t xml:space="preserve">محیط کشت  </t>
    </r>
    <r>
      <rPr>
        <sz val="10"/>
        <rFont val="Vazirmatn"/>
        <family val="0"/>
        <charset val="1"/>
      </rPr>
      <t xml:space="preserve">YGC agar</t>
    </r>
  </si>
  <si>
    <t xml:space="preserve">88500777</t>
  </si>
  <si>
    <r>
      <rPr>
        <sz val="10"/>
        <rFont val="FreeSans"/>
        <family val="2"/>
      </rPr>
      <t xml:space="preserve">محیط کشت </t>
    </r>
    <r>
      <rPr>
        <sz val="10"/>
        <rFont val="Vazirmatn"/>
        <family val="0"/>
        <charset val="1"/>
      </rPr>
      <t xml:space="preserve">MYP</t>
    </r>
  </si>
  <si>
    <t xml:space="preserve">88500778</t>
  </si>
  <si>
    <r>
      <rPr>
        <sz val="10"/>
        <rFont val="FreeSans"/>
        <family val="2"/>
      </rPr>
      <t xml:space="preserve">محیط کشت  </t>
    </r>
    <r>
      <rPr>
        <sz val="10"/>
        <rFont val="Vazirmatn"/>
        <family val="0"/>
        <charset val="1"/>
      </rPr>
      <t xml:space="preserve">XLD agar</t>
    </r>
  </si>
  <si>
    <t xml:space="preserve">5005301</t>
  </si>
  <si>
    <r>
      <rPr>
        <sz val="10"/>
        <rFont val="Vazirmatn"/>
        <family val="0"/>
        <charset val="1"/>
      </rPr>
      <t xml:space="preserve">XLD </t>
    </r>
    <r>
      <rPr>
        <sz val="10"/>
        <rFont val="FreeSans"/>
        <family val="2"/>
      </rPr>
      <t xml:space="preserve">محیط کشت</t>
    </r>
  </si>
  <si>
    <t xml:space="preserve">88500782</t>
  </si>
  <si>
    <r>
      <rPr>
        <sz val="10"/>
        <rFont val="FreeSans"/>
        <family val="2"/>
      </rPr>
      <t xml:space="preserve">بشر شیشه ای  </t>
    </r>
    <r>
      <rPr>
        <sz val="10"/>
        <rFont val="Vazirmatn"/>
        <family val="0"/>
        <charset val="1"/>
      </rPr>
      <t xml:space="preserve">0 -  600CC</t>
    </r>
  </si>
  <si>
    <t xml:space="preserve">5012165</t>
  </si>
  <si>
    <r>
      <rPr>
        <sz val="10"/>
        <rFont val="FreeSans"/>
        <family val="2"/>
      </rPr>
      <t xml:space="preserve">بشر شیشه ای </t>
    </r>
    <r>
      <rPr>
        <sz val="10"/>
        <rFont val="Vazirmatn"/>
        <family val="0"/>
        <charset val="1"/>
      </rPr>
      <t xml:space="preserve">600 </t>
    </r>
    <r>
      <rPr>
        <sz val="10"/>
        <rFont val="FreeSans"/>
        <family val="2"/>
      </rPr>
      <t xml:space="preserve">سی سی</t>
    </r>
  </si>
  <si>
    <t xml:space="preserve">88500800</t>
  </si>
  <si>
    <r>
      <rPr>
        <sz val="10"/>
        <rFont val="FreeSans"/>
        <family val="2"/>
      </rPr>
      <t xml:space="preserve">محیط کشت  </t>
    </r>
    <r>
      <rPr>
        <sz val="10"/>
        <rFont val="Vazirmatn"/>
        <family val="0"/>
        <charset val="1"/>
      </rPr>
      <t xml:space="preserve">EC Broth</t>
    </r>
  </si>
  <si>
    <t xml:space="preserve">88500832</t>
  </si>
  <si>
    <t xml:space="preserve">لوله آزمایشگاهی در پیچدار</t>
  </si>
  <si>
    <t xml:space="preserve">5009257</t>
  </si>
  <si>
    <t xml:space="preserve">لوله آزمايشگاهي درپوش دار</t>
  </si>
  <si>
    <t xml:space="preserve">88500848</t>
  </si>
  <si>
    <t xml:space="preserve">محیط کشت سولفیت آیرون آگار</t>
  </si>
  <si>
    <t xml:space="preserve">88500868</t>
  </si>
  <si>
    <r>
      <rPr>
        <sz val="10"/>
        <rFont val="FreeSans"/>
        <family val="2"/>
      </rPr>
      <t xml:space="preserve">محیط کشت </t>
    </r>
    <r>
      <rPr>
        <sz val="10"/>
        <rFont val="Vazirmatn"/>
        <family val="0"/>
        <charset val="1"/>
      </rPr>
      <t xml:space="preserve">VRB </t>
    </r>
    <r>
      <rPr>
        <sz val="10"/>
        <rFont val="FreeSans"/>
        <family val="2"/>
      </rPr>
      <t xml:space="preserve">آگار</t>
    </r>
  </si>
  <si>
    <t xml:space="preserve">88500879</t>
  </si>
  <si>
    <r>
      <rPr>
        <sz val="10"/>
        <rFont val="FreeSans"/>
        <family val="2"/>
      </rPr>
      <t xml:space="preserve">لوله فالکون سانتریفیوژ  </t>
    </r>
    <r>
      <rPr>
        <sz val="10"/>
        <rFont val="Vazirmatn"/>
        <family val="0"/>
        <charset val="1"/>
      </rPr>
      <t xml:space="preserve">15CC</t>
    </r>
  </si>
  <si>
    <t xml:space="preserve">5011073</t>
  </si>
  <si>
    <r>
      <rPr>
        <sz val="10"/>
        <rFont val="FreeSans"/>
        <family val="2"/>
      </rPr>
      <t xml:space="preserve">لوله فالکون </t>
    </r>
    <r>
      <rPr>
        <sz val="10"/>
        <rFont val="Vazirmatn"/>
        <family val="0"/>
        <charset val="1"/>
      </rPr>
      <t xml:space="preserve">15 </t>
    </r>
    <r>
      <rPr>
        <sz val="10"/>
        <rFont val="FreeSans"/>
        <family val="2"/>
      </rPr>
      <t xml:space="preserve">سی سی</t>
    </r>
  </si>
  <si>
    <t xml:space="preserve">99610013</t>
  </si>
  <si>
    <t xml:space="preserve">سطل زباله استیل پدالی متوسط</t>
  </si>
  <si>
    <t xml:space="preserve">5005183</t>
  </si>
  <si>
    <t xml:space="preserve">سطل زباله متوسط پدال دار</t>
  </si>
  <si>
    <t xml:space="preserve">99610016</t>
  </si>
  <si>
    <t xml:space="preserve">دسته تیغ شیشه پاکن</t>
  </si>
  <si>
    <t xml:space="preserve">5011643</t>
  </si>
  <si>
    <t xml:space="preserve">دسته تی شیشه پاک کن</t>
  </si>
  <si>
    <t xml:space="preserve">99610021</t>
  </si>
  <si>
    <t xml:space="preserve">لیوان یکبار مصرف  کاغذی</t>
  </si>
  <si>
    <t xml:space="preserve">99610024</t>
  </si>
  <si>
    <r>
      <rPr>
        <sz val="10"/>
        <rFont val="FreeSans"/>
        <family val="2"/>
      </rPr>
      <t xml:space="preserve">ظرف یکبار مصرف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فومی تک پرسی </t>
    </r>
    <r>
      <rPr>
        <sz val="10"/>
        <rFont val="Vazirmatn"/>
        <family val="0"/>
        <charset val="1"/>
      </rPr>
      <t xml:space="preserve">)</t>
    </r>
  </si>
  <si>
    <t xml:space="preserve">5011059</t>
  </si>
  <si>
    <t xml:space="preserve">ظرف پلاستیکی یکبار مصرف</t>
  </si>
  <si>
    <t xml:space="preserve">99610025</t>
  </si>
  <si>
    <r>
      <rPr>
        <sz val="10"/>
        <rFont val="FreeSans"/>
        <family val="2"/>
      </rPr>
      <t xml:space="preserve">ظرف یکبار مصرف خورشت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کاسه ای </t>
    </r>
    <r>
      <rPr>
        <sz val="10"/>
        <rFont val="Vazirmatn"/>
        <family val="0"/>
        <charset val="1"/>
      </rPr>
      <t xml:space="preserve">)</t>
    </r>
  </si>
  <si>
    <t xml:space="preserve">99610034</t>
  </si>
  <si>
    <t xml:space="preserve">ظرف نمونه پلاستیکی درب دار</t>
  </si>
  <si>
    <t xml:space="preserve">5011057</t>
  </si>
  <si>
    <t xml:space="preserve">ظرف پلاستیکی درب دار</t>
  </si>
  <si>
    <t xml:space="preserve">99610045</t>
  </si>
  <si>
    <t xml:space="preserve">قاشق یکبار مصرف غذا خوری</t>
  </si>
  <si>
    <t xml:space="preserve">99610046</t>
  </si>
  <si>
    <t xml:space="preserve">چنگال یکبار مصرف غذا خوری</t>
  </si>
  <si>
    <t xml:space="preserve">5006405</t>
  </si>
  <si>
    <t xml:space="preserve">چنگال يکبار مصرف</t>
  </si>
  <si>
    <t xml:space="preserve">99610047</t>
  </si>
  <si>
    <t xml:space="preserve">قاشق یکبار مصرف چای خوری</t>
  </si>
  <si>
    <t xml:space="preserve">99610103</t>
  </si>
  <si>
    <t xml:space="preserve">گرمکن و شلوار ورزشی</t>
  </si>
  <si>
    <t xml:space="preserve">5015060</t>
  </si>
  <si>
    <r>
      <rPr>
        <sz val="10"/>
        <rFont val="FreeSans"/>
        <family val="2"/>
      </rPr>
      <t xml:space="preserve">گرمکن و شلوار ورزشی سایز </t>
    </r>
    <r>
      <rPr>
        <sz val="10"/>
        <rFont val="Vazirmatn"/>
        <family val="0"/>
        <charset val="1"/>
      </rPr>
      <t xml:space="preserve">M</t>
    </r>
  </si>
  <si>
    <t xml:space="preserve">99610107</t>
  </si>
  <si>
    <t xml:space="preserve">پیراهن و شلوار</t>
  </si>
  <si>
    <t xml:space="preserve">5015068</t>
  </si>
  <si>
    <r>
      <rPr>
        <sz val="10"/>
        <rFont val="FreeSans"/>
        <family val="2"/>
      </rPr>
      <t xml:space="preserve">پیراهن و شلوار دروازه بانی سایز </t>
    </r>
    <r>
      <rPr>
        <sz val="10"/>
        <rFont val="Vazirmatn"/>
        <family val="0"/>
        <charset val="1"/>
      </rPr>
      <t xml:space="preserve">L</t>
    </r>
  </si>
  <si>
    <t xml:space="preserve">99610110</t>
  </si>
  <si>
    <t xml:space="preserve">روپوش سفید</t>
  </si>
  <si>
    <t xml:space="preserve">5006413</t>
  </si>
  <si>
    <r>
      <rPr>
        <sz val="10"/>
        <rFont val="FreeSans"/>
        <family val="2"/>
      </rPr>
      <t xml:space="preserve">روپوش زنانه سفيد </t>
    </r>
    <r>
      <rPr>
        <sz val="10"/>
        <rFont val="Vazirmatn"/>
        <family val="0"/>
        <charset val="1"/>
      </rPr>
      <t xml:space="preserve">M</t>
    </r>
  </si>
  <si>
    <t xml:space="preserve">99610113</t>
  </si>
  <si>
    <t xml:space="preserve">مانتو</t>
  </si>
  <si>
    <t xml:space="preserve">5018874</t>
  </si>
  <si>
    <r>
      <rPr>
        <sz val="10"/>
        <rFont val="FreeSans"/>
        <family val="2"/>
      </rPr>
      <t xml:space="preserve">مانتو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زنانه</t>
    </r>
  </si>
  <si>
    <t xml:space="preserve">99610117</t>
  </si>
  <si>
    <t xml:space="preserve">کلاه</t>
  </si>
  <si>
    <t xml:space="preserve">5010847</t>
  </si>
  <si>
    <t xml:space="preserve">کلاه حصیری</t>
  </si>
  <si>
    <t xml:space="preserve">99610119</t>
  </si>
  <si>
    <t xml:space="preserve">بادگیر</t>
  </si>
  <si>
    <t xml:space="preserve">5008471</t>
  </si>
  <si>
    <r>
      <rPr>
        <sz val="10"/>
        <rFont val="FreeSans"/>
        <family val="2"/>
      </rPr>
      <t xml:space="preserve">بادگیر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بارونی</t>
    </r>
    <r>
      <rPr>
        <sz val="10"/>
        <rFont val="Vazirmatn"/>
        <family val="0"/>
        <charset val="1"/>
      </rPr>
      <t xml:space="preserve">)</t>
    </r>
  </si>
  <si>
    <t xml:space="preserve">99610130</t>
  </si>
  <si>
    <t xml:space="preserve">پیراهن و شورت ورزشی</t>
  </si>
  <si>
    <t xml:space="preserve">5015059</t>
  </si>
  <si>
    <r>
      <rPr>
        <sz val="10"/>
        <rFont val="FreeSans"/>
        <family val="2"/>
      </rPr>
      <t xml:space="preserve">ست پیراهن و شورت ورزشی سایز </t>
    </r>
    <r>
      <rPr>
        <sz val="10"/>
        <rFont val="Vazirmatn"/>
        <family val="0"/>
        <charset val="1"/>
      </rPr>
      <t xml:space="preserve">M</t>
    </r>
  </si>
  <si>
    <t xml:space="preserve">99610131</t>
  </si>
  <si>
    <t xml:space="preserve">مقنعه</t>
  </si>
  <si>
    <t xml:space="preserve">5008136</t>
  </si>
  <si>
    <t xml:space="preserve">مقنعه سفید</t>
  </si>
  <si>
    <t xml:space="preserve">99610134</t>
  </si>
  <si>
    <t xml:space="preserve">بالش</t>
  </si>
  <si>
    <t xml:space="preserve">5011645</t>
  </si>
  <si>
    <t xml:space="preserve">بالش یکنفره</t>
  </si>
  <si>
    <t xml:space="preserve">99610153</t>
  </si>
  <si>
    <t xml:space="preserve">لباس کار</t>
  </si>
  <si>
    <t xml:space="preserve">5007839</t>
  </si>
  <si>
    <t xml:space="preserve">لباس کار نقاشی</t>
  </si>
  <si>
    <t xml:space="preserve">99610156</t>
  </si>
  <si>
    <t xml:space="preserve">پتوی اطفاء حریق</t>
  </si>
  <si>
    <t xml:space="preserve">5008789</t>
  </si>
  <si>
    <t xml:space="preserve">پتوی حریق</t>
  </si>
  <si>
    <t xml:space="preserve">99610162</t>
  </si>
  <si>
    <t xml:space="preserve">تیشرت ورزشی</t>
  </si>
  <si>
    <t xml:space="preserve">5018949</t>
  </si>
  <si>
    <r>
      <rPr>
        <sz val="10"/>
        <rFont val="FreeSans"/>
        <family val="2"/>
      </rPr>
      <t xml:space="preserve">تیشرت</t>
    </r>
    <r>
      <rPr>
        <sz val="10"/>
        <rFont val="Vazirmatn"/>
        <family val="0"/>
        <charset val="1"/>
      </rPr>
      <t xml:space="preserve">-L</t>
    </r>
  </si>
  <si>
    <t xml:space="preserve">99610165</t>
  </si>
  <si>
    <t xml:space="preserve">جارو و خاک انداز ایستاده</t>
  </si>
  <si>
    <t xml:space="preserve">5006381</t>
  </si>
  <si>
    <t xml:space="preserve">جارو و خاک انداز</t>
  </si>
  <si>
    <t xml:space="preserve">99610166</t>
  </si>
  <si>
    <t xml:space="preserve">پادری</t>
  </si>
  <si>
    <t xml:space="preserve">4017155</t>
  </si>
  <si>
    <t xml:space="preserve">پادری حمام</t>
  </si>
  <si>
    <t xml:space="preserve">99610177</t>
  </si>
  <si>
    <t xml:space="preserve">کفش ایمنی</t>
  </si>
  <si>
    <t xml:space="preserve">5020977</t>
  </si>
  <si>
    <t xml:space="preserve">کفش کار ایمنی</t>
  </si>
  <si>
    <t xml:space="preserve">99610213</t>
  </si>
  <si>
    <t xml:space="preserve">جای مایع</t>
  </si>
  <si>
    <t xml:space="preserve">5004340</t>
  </si>
  <si>
    <t xml:space="preserve">جاي مايع دستشويي تکي</t>
  </si>
  <si>
    <t xml:space="preserve">99610214</t>
  </si>
  <si>
    <t xml:space="preserve">جای دستمال کاغذی</t>
  </si>
  <si>
    <t xml:space="preserve">5017878</t>
  </si>
  <si>
    <t xml:space="preserve">جای دستمال کاغذی توالت</t>
  </si>
  <si>
    <t xml:space="preserve">99610404</t>
  </si>
  <si>
    <r>
      <rPr>
        <sz val="10"/>
        <rFont val="FreeSans"/>
        <family val="2"/>
      </rPr>
      <t xml:space="preserve">دفترچه  یادداشت کوچک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جیبی </t>
    </r>
    <r>
      <rPr>
        <sz val="10"/>
        <rFont val="Vazirmatn"/>
        <family val="0"/>
        <charset val="1"/>
      </rPr>
      <t xml:space="preserve">)</t>
    </r>
  </si>
  <si>
    <t xml:space="preserve">جلد</t>
  </si>
  <si>
    <t xml:space="preserve">99610422</t>
  </si>
  <si>
    <t xml:space="preserve">دفترچه یادداشت متوسط</t>
  </si>
  <si>
    <t xml:space="preserve">99610424</t>
  </si>
  <si>
    <t xml:space="preserve">دفترچه یادداشت بزرگ</t>
  </si>
  <si>
    <t xml:space="preserve">99610431</t>
  </si>
  <si>
    <r>
      <rPr>
        <sz val="10"/>
        <rFont val="FreeSans"/>
        <family val="2"/>
      </rPr>
      <t xml:space="preserve">دفتر </t>
    </r>
    <r>
      <rPr>
        <sz val="10"/>
        <rFont val="Vazirmatn"/>
        <family val="0"/>
        <charset val="1"/>
      </rPr>
      <t xml:space="preserve">100 </t>
    </r>
    <r>
      <rPr>
        <sz val="10"/>
        <rFont val="FreeSans"/>
        <family val="2"/>
      </rPr>
      <t xml:space="preserve">برگ معمولی</t>
    </r>
  </si>
  <si>
    <t xml:space="preserve">5000316</t>
  </si>
  <si>
    <r>
      <rPr>
        <sz val="10"/>
        <rFont val="FreeSans"/>
        <family val="2"/>
      </rPr>
      <t xml:space="preserve">دفتر معمولي بزرگ </t>
    </r>
    <r>
      <rPr>
        <sz val="10"/>
        <rFont val="Vazirmatn"/>
        <family val="0"/>
        <charset val="1"/>
      </rPr>
      <t xml:space="preserve">100</t>
    </r>
    <r>
      <rPr>
        <sz val="10"/>
        <rFont val="FreeSans"/>
        <family val="2"/>
      </rPr>
      <t xml:space="preserve">برگ</t>
    </r>
  </si>
  <si>
    <t xml:space="preserve">99610446</t>
  </si>
  <si>
    <r>
      <rPr>
        <sz val="10"/>
        <rFont val="FreeSans"/>
        <family val="2"/>
      </rPr>
      <t xml:space="preserve">کارتابل سایز  </t>
    </r>
    <r>
      <rPr>
        <sz val="10"/>
        <rFont val="Vazirmatn"/>
        <family val="0"/>
        <charset val="1"/>
      </rPr>
      <t xml:space="preserve">A4</t>
    </r>
  </si>
  <si>
    <t xml:space="preserve">5006272</t>
  </si>
  <si>
    <t xml:space="preserve">کارتابل</t>
  </si>
  <si>
    <t xml:space="preserve">99610467</t>
  </si>
  <si>
    <r>
      <rPr>
        <sz val="10"/>
        <rFont val="FreeSans"/>
        <family val="2"/>
      </rPr>
      <t xml:space="preserve">پاکت نامه  </t>
    </r>
    <r>
      <rPr>
        <sz val="10"/>
        <rFont val="Vazirmatn"/>
        <family val="0"/>
        <charset val="1"/>
      </rPr>
      <t xml:space="preserve">A4</t>
    </r>
  </si>
  <si>
    <t xml:space="preserve">5011820</t>
  </si>
  <si>
    <r>
      <rPr>
        <sz val="10"/>
        <rFont val="FreeSans"/>
        <family val="2"/>
      </rPr>
      <t xml:space="preserve">پاکت نامه زرنام </t>
    </r>
    <r>
      <rPr>
        <sz val="10"/>
        <rFont val="Vazirmatn"/>
        <family val="0"/>
        <charset val="1"/>
      </rPr>
      <t xml:space="preserve">A4</t>
    </r>
  </si>
  <si>
    <t xml:space="preserve">99610478</t>
  </si>
  <si>
    <t xml:space="preserve">کاربن دستی آبی</t>
  </si>
  <si>
    <t xml:space="preserve">5006646</t>
  </si>
  <si>
    <t xml:space="preserve">کاربن آبی</t>
  </si>
  <si>
    <t xml:space="preserve">99610531</t>
  </si>
  <si>
    <t xml:space="preserve">برچسب کی بورد</t>
  </si>
  <si>
    <t xml:space="preserve">5006003</t>
  </si>
  <si>
    <t xml:space="preserve">برچسب  سفيد حروف فارسي کيبورد</t>
  </si>
  <si>
    <t xml:space="preserve">99610552</t>
  </si>
  <si>
    <t xml:space="preserve">ماشین حساب دستی</t>
  </si>
  <si>
    <t xml:space="preserve">5006632</t>
  </si>
  <si>
    <t xml:space="preserve">ماشین حساب حسابداری</t>
  </si>
  <si>
    <t xml:space="preserve">99610571</t>
  </si>
  <si>
    <t xml:space="preserve">فرم رسید موقت انبار ظروف و شیمیایی</t>
  </si>
  <si>
    <t xml:space="preserve">5018294</t>
  </si>
  <si>
    <r>
      <rPr>
        <sz val="10"/>
        <rFont val="FreeSans"/>
        <family val="2"/>
      </rPr>
      <t xml:space="preserve">فرم رسید موقت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انبار</t>
    </r>
    <r>
      <rPr>
        <sz val="10"/>
        <rFont val="Vazirmatn"/>
        <family val="0"/>
        <charset val="1"/>
      </rPr>
      <t xml:space="preserve">)</t>
    </r>
  </si>
  <si>
    <t xml:space="preserve">99610614</t>
  </si>
  <si>
    <r>
      <rPr>
        <sz val="10"/>
        <rFont val="FreeSans"/>
        <family val="2"/>
      </rPr>
      <t xml:space="preserve">مداد اتود   </t>
    </r>
    <r>
      <rPr>
        <sz val="10"/>
        <rFont val="Vazirmatn"/>
        <family val="0"/>
        <charset val="1"/>
      </rPr>
      <t xml:space="preserve">0/5</t>
    </r>
  </si>
  <si>
    <t xml:space="preserve">5011405</t>
  </si>
  <si>
    <r>
      <rPr>
        <sz val="10"/>
        <rFont val="FreeSans"/>
        <family val="2"/>
      </rPr>
      <t xml:space="preserve">مداد اتد </t>
    </r>
    <r>
      <rPr>
        <sz val="10"/>
        <rFont val="Vazirmatn"/>
        <family val="0"/>
        <charset val="1"/>
      </rPr>
      <t xml:space="preserve">0/5</t>
    </r>
  </si>
  <si>
    <t xml:space="preserve">99610616</t>
  </si>
  <si>
    <t xml:space="preserve">مداد تراش رومیزی</t>
  </si>
  <si>
    <t xml:space="preserve">99610619</t>
  </si>
  <si>
    <t xml:space="preserve">لاک غلط گیر</t>
  </si>
  <si>
    <t xml:space="preserve">5006121</t>
  </si>
  <si>
    <t xml:space="preserve">لاک غلط گير خودکاري</t>
  </si>
  <si>
    <t xml:space="preserve">99610633</t>
  </si>
  <si>
    <t xml:space="preserve">ماژیک آبی</t>
  </si>
  <si>
    <t xml:space="preserve">5006109</t>
  </si>
  <si>
    <t xml:space="preserve">ماژيک معمولي آبي</t>
  </si>
  <si>
    <t xml:space="preserve">99610634</t>
  </si>
  <si>
    <t xml:space="preserve">ماژیک سبز</t>
  </si>
  <si>
    <t xml:space="preserve">5006626</t>
  </si>
  <si>
    <t xml:space="preserve">ماژیک معمولی سبز</t>
  </si>
  <si>
    <t xml:space="preserve">99610635</t>
  </si>
  <si>
    <t xml:space="preserve">ماژیک قرمز</t>
  </si>
  <si>
    <t xml:space="preserve">5006111</t>
  </si>
  <si>
    <t xml:space="preserve">ماژيک معمولي قرمز</t>
  </si>
  <si>
    <t xml:space="preserve">99610636</t>
  </si>
  <si>
    <t xml:space="preserve">ماژیک مشکی</t>
  </si>
  <si>
    <t xml:space="preserve">5006108</t>
  </si>
  <si>
    <t xml:space="preserve">ماژيک سي دي مشکي</t>
  </si>
  <si>
    <t xml:space="preserve">99610644</t>
  </si>
  <si>
    <t xml:space="preserve">ماژیک های لایت قرمز</t>
  </si>
  <si>
    <t xml:space="preserve">99610647</t>
  </si>
  <si>
    <t xml:space="preserve">تخته پاک کن وایت برد</t>
  </si>
  <si>
    <t xml:space="preserve">5011390</t>
  </si>
  <si>
    <t xml:space="preserve">پاک کن تخته وایت برد مغناطیسی</t>
  </si>
  <si>
    <t xml:space="preserve">99610657</t>
  </si>
  <si>
    <t xml:space="preserve">جوهر استامپ</t>
  </si>
  <si>
    <t xml:space="preserve">5011436</t>
  </si>
  <si>
    <r>
      <rPr>
        <sz val="10"/>
        <rFont val="FreeSans"/>
        <family val="2"/>
      </rPr>
      <t xml:space="preserve">جوهر استامپ نانو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رنگ آبی</t>
    </r>
    <r>
      <rPr>
        <sz val="10"/>
        <rFont val="Vazirmatn"/>
        <family val="0"/>
        <charset val="1"/>
      </rPr>
      <t xml:space="preserve">)</t>
    </r>
  </si>
  <si>
    <t xml:space="preserve">99610665</t>
  </si>
  <si>
    <t xml:space="preserve">سوزن کش</t>
  </si>
  <si>
    <t xml:space="preserve">5006273</t>
  </si>
  <si>
    <t xml:space="preserve">سوزن کش بزرگ</t>
  </si>
  <si>
    <t xml:space="preserve">99610666</t>
  </si>
  <si>
    <t xml:space="preserve">ماژیک های لایت نارنجی</t>
  </si>
  <si>
    <t xml:space="preserve">99610677</t>
  </si>
  <si>
    <t xml:space="preserve">سوزن منگنه متوسط</t>
  </si>
  <si>
    <t xml:space="preserve">99610682</t>
  </si>
  <si>
    <r>
      <rPr>
        <sz val="10"/>
        <rFont val="FreeSans"/>
        <family val="2"/>
      </rPr>
      <t xml:space="preserve">خط کش    </t>
    </r>
    <r>
      <rPr>
        <sz val="10"/>
        <rFont val="Vazirmatn"/>
        <family val="0"/>
        <charset val="1"/>
      </rPr>
      <t xml:space="preserve">30    </t>
    </r>
    <r>
      <rPr>
        <sz val="10"/>
        <rFont val="FreeSans"/>
        <family val="2"/>
      </rPr>
      <t xml:space="preserve">سانتی</t>
    </r>
  </si>
  <si>
    <t xml:space="preserve">5000311</t>
  </si>
  <si>
    <r>
      <rPr>
        <sz val="10"/>
        <rFont val="FreeSans"/>
        <family val="2"/>
      </rPr>
      <t xml:space="preserve">خط کش فلزي</t>
    </r>
    <r>
      <rPr>
        <sz val="10"/>
        <rFont val="Vazirmatn"/>
        <family val="0"/>
        <charset val="1"/>
      </rPr>
      <t xml:space="preserve">30</t>
    </r>
    <r>
      <rPr>
        <sz val="10"/>
        <rFont val="FreeSans"/>
        <family val="2"/>
      </rPr>
      <t xml:space="preserve">سانتي</t>
    </r>
  </si>
  <si>
    <t xml:space="preserve">99610686</t>
  </si>
  <si>
    <t xml:space="preserve">دستگاه منگنه متوسط</t>
  </si>
  <si>
    <t xml:space="preserve">99610694</t>
  </si>
  <si>
    <t xml:space="preserve">جای کاغذ یادداشت پلاستیکی</t>
  </si>
  <si>
    <t xml:space="preserve">5011423</t>
  </si>
  <si>
    <t xml:space="preserve">جای کاغذ یادداشت رومیزی</t>
  </si>
  <si>
    <t xml:space="preserve">99610709</t>
  </si>
  <si>
    <t xml:space="preserve">لاک غلط گیر نواری</t>
  </si>
  <si>
    <t xml:space="preserve">99610710</t>
  </si>
  <si>
    <t xml:space="preserve">ماژیک وایت برد بنفش</t>
  </si>
  <si>
    <t xml:space="preserve">99610711</t>
  </si>
  <si>
    <t xml:space="preserve">ماژیک وایت برد نارنجی</t>
  </si>
  <si>
    <t xml:space="preserve">99610712</t>
  </si>
  <si>
    <t xml:space="preserve">ماژیک وایت برد قهوه ای</t>
  </si>
  <si>
    <t xml:space="preserve">99610713</t>
  </si>
  <si>
    <t xml:space="preserve">ماژیک وایت برد صورتی</t>
  </si>
  <si>
    <t xml:space="preserve">99610714</t>
  </si>
  <si>
    <t xml:space="preserve">ماژیک وایت برد آبی فیروزه ای</t>
  </si>
  <si>
    <t xml:space="preserve">99610722</t>
  </si>
  <si>
    <r>
      <rPr>
        <sz val="10"/>
        <rFont val="FreeSans"/>
        <family val="2"/>
      </rPr>
      <t xml:space="preserve">کاغذ </t>
    </r>
    <r>
      <rPr>
        <sz val="10"/>
        <rFont val="Vazirmatn"/>
        <family val="0"/>
        <charset val="1"/>
      </rPr>
      <t xml:space="preserve">A4  </t>
    </r>
    <r>
      <rPr>
        <sz val="10"/>
        <rFont val="FreeSans"/>
        <family val="2"/>
      </rPr>
      <t xml:space="preserve">قرمز</t>
    </r>
  </si>
  <si>
    <t xml:space="preserve">99610723</t>
  </si>
  <si>
    <r>
      <rPr>
        <sz val="10"/>
        <rFont val="FreeSans"/>
        <family val="2"/>
      </rPr>
      <t xml:space="preserve">کاغذ </t>
    </r>
    <r>
      <rPr>
        <sz val="10"/>
        <rFont val="Vazirmatn"/>
        <family val="0"/>
        <charset val="1"/>
      </rPr>
      <t xml:space="preserve">A4  </t>
    </r>
    <r>
      <rPr>
        <sz val="10"/>
        <rFont val="FreeSans"/>
        <family val="2"/>
      </rPr>
      <t xml:space="preserve">زرد</t>
    </r>
  </si>
  <si>
    <t xml:space="preserve">99610724</t>
  </si>
  <si>
    <t xml:space="preserve">دستگاه منگنه بزرگ</t>
  </si>
  <si>
    <t xml:space="preserve">99610726</t>
  </si>
  <si>
    <t xml:space="preserve">کلاه ایمنی بند دار کار در ارتفاع</t>
  </si>
  <si>
    <t xml:space="preserve">5014410</t>
  </si>
  <si>
    <t xml:space="preserve">کلاه ایمنی کار در ارتفاع</t>
  </si>
  <si>
    <t xml:space="preserve">99610727</t>
  </si>
  <si>
    <t xml:space="preserve">کیف کمری نگهداری ابزار</t>
  </si>
  <si>
    <t xml:space="preserve">99610728</t>
  </si>
  <si>
    <r>
      <rPr>
        <sz val="10"/>
        <rFont val="FreeSans"/>
        <family val="2"/>
      </rPr>
      <t xml:space="preserve">کاغذ </t>
    </r>
    <r>
      <rPr>
        <sz val="10"/>
        <rFont val="Vazirmatn"/>
        <family val="0"/>
        <charset val="1"/>
      </rPr>
      <t xml:space="preserve">A5  </t>
    </r>
    <r>
      <rPr>
        <sz val="10"/>
        <rFont val="FreeSans"/>
        <family val="2"/>
      </rPr>
      <t xml:space="preserve">قرمز</t>
    </r>
  </si>
  <si>
    <t xml:space="preserve">99610729</t>
  </si>
  <si>
    <r>
      <rPr>
        <sz val="10"/>
        <rFont val="FreeSans"/>
        <family val="2"/>
      </rPr>
      <t xml:space="preserve">کاغذ </t>
    </r>
    <r>
      <rPr>
        <sz val="10"/>
        <rFont val="Vazirmatn"/>
        <family val="0"/>
        <charset val="1"/>
      </rPr>
      <t xml:space="preserve">A5  </t>
    </r>
    <r>
      <rPr>
        <sz val="10"/>
        <rFont val="FreeSans"/>
        <family val="2"/>
      </rPr>
      <t xml:space="preserve">سبز</t>
    </r>
  </si>
  <si>
    <t xml:space="preserve">99610730</t>
  </si>
  <si>
    <r>
      <rPr>
        <sz val="10"/>
        <rFont val="FreeSans"/>
        <family val="2"/>
      </rPr>
      <t xml:space="preserve">فلاکس چای </t>
    </r>
    <r>
      <rPr>
        <sz val="10"/>
        <rFont val="Vazirmatn"/>
        <family val="0"/>
        <charset val="1"/>
      </rPr>
      <t xml:space="preserve">2/5 </t>
    </r>
    <r>
      <rPr>
        <sz val="10"/>
        <rFont val="FreeSans"/>
        <family val="2"/>
      </rPr>
      <t xml:space="preserve">لیتری</t>
    </r>
  </si>
  <si>
    <t xml:space="preserve">5006301</t>
  </si>
  <si>
    <t xml:space="preserve">فلاکس چاي</t>
  </si>
  <si>
    <t xml:space="preserve">99610734</t>
  </si>
  <si>
    <t xml:space="preserve">جوراب  ورزشی</t>
  </si>
  <si>
    <t xml:space="preserve">99610738</t>
  </si>
  <si>
    <t xml:space="preserve">ماژیک صنعتی مشکی</t>
  </si>
  <si>
    <t xml:space="preserve">99610739</t>
  </si>
  <si>
    <t xml:space="preserve">ماژیک صنعتی آبی</t>
  </si>
  <si>
    <t xml:space="preserve">5016462</t>
  </si>
  <si>
    <t xml:space="preserve">ماژیک سی دی ابی</t>
  </si>
  <si>
    <t xml:space="preserve">99610740</t>
  </si>
  <si>
    <t xml:space="preserve">ماژیک صنعتی قرمز</t>
  </si>
  <si>
    <t xml:space="preserve">99610747</t>
  </si>
  <si>
    <r>
      <rPr>
        <sz val="10"/>
        <rFont val="FreeSans"/>
        <family val="2"/>
      </rPr>
      <t xml:space="preserve">فلاکس چای </t>
    </r>
    <r>
      <rPr>
        <sz val="10"/>
        <rFont val="Vazirmatn"/>
        <family val="0"/>
        <charset val="1"/>
      </rPr>
      <t xml:space="preserve">1/5 </t>
    </r>
    <r>
      <rPr>
        <sz val="10"/>
        <rFont val="FreeSans"/>
        <family val="2"/>
      </rPr>
      <t xml:space="preserve">لیتری</t>
    </r>
  </si>
  <si>
    <t xml:space="preserve">99610749</t>
  </si>
  <si>
    <r>
      <rPr>
        <sz val="10"/>
        <rFont val="FreeSans"/>
        <family val="2"/>
      </rPr>
      <t xml:space="preserve">ماژیک قرمز </t>
    </r>
    <r>
      <rPr>
        <sz val="10"/>
        <rFont val="Vazirmatn"/>
        <family val="0"/>
        <charset val="1"/>
      </rPr>
      <t xml:space="preserve">PAINT</t>
    </r>
  </si>
  <si>
    <t xml:space="preserve">5006625</t>
  </si>
  <si>
    <t xml:space="preserve">ماژیک سی دی قرمز</t>
  </si>
  <si>
    <t xml:space="preserve">99610753</t>
  </si>
  <si>
    <t xml:space="preserve">ماوس با سیم</t>
  </si>
  <si>
    <t xml:space="preserve">99610754</t>
  </si>
  <si>
    <t xml:space="preserve">دفتر تلفن سیمی</t>
  </si>
  <si>
    <t xml:space="preserve">5006140</t>
  </si>
  <si>
    <t xml:space="preserve">دفتر تلفن</t>
  </si>
  <si>
    <t xml:space="preserve">99610758</t>
  </si>
  <si>
    <r>
      <rPr>
        <sz val="10"/>
        <rFont val="FreeSans"/>
        <family val="2"/>
      </rPr>
      <t xml:space="preserve">کیسه زباله  </t>
    </r>
    <r>
      <rPr>
        <sz val="10"/>
        <rFont val="Vazirmatn"/>
        <family val="0"/>
        <charset val="1"/>
      </rPr>
      <t xml:space="preserve">150*120</t>
    </r>
  </si>
  <si>
    <t xml:space="preserve">99610761</t>
  </si>
  <si>
    <t xml:space="preserve">طی نخی پوشش حوله ای</t>
  </si>
  <si>
    <t xml:space="preserve">5014896</t>
  </si>
  <si>
    <t xml:space="preserve">طی حوله ای</t>
  </si>
  <si>
    <t xml:space="preserve">99610782</t>
  </si>
  <si>
    <t xml:space="preserve">گاز استریل وازلینه مخصوص سوختگی</t>
  </si>
  <si>
    <t xml:space="preserve">5007230</t>
  </si>
  <si>
    <t xml:space="preserve">گاز وازلینه</t>
  </si>
  <si>
    <t xml:space="preserve">99610787</t>
  </si>
  <si>
    <r>
      <rPr>
        <sz val="10"/>
        <rFont val="FreeSans"/>
        <family val="2"/>
      </rPr>
      <t xml:space="preserve">مداد اتود   </t>
    </r>
    <r>
      <rPr>
        <sz val="10"/>
        <rFont val="Vazirmatn"/>
        <family val="0"/>
        <charset val="1"/>
      </rPr>
      <t xml:space="preserve">0/7</t>
    </r>
  </si>
  <si>
    <t xml:space="preserve">5011404</t>
  </si>
  <si>
    <r>
      <rPr>
        <sz val="10"/>
        <rFont val="FreeSans"/>
        <family val="2"/>
      </rPr>
      <t xml:space="preserve">مداد اتد </t>
    </r>
    <r>
      <rPr>
        <sz val="10"/>
        <rFont val="Vazirmatn"/>
        <family val="0"/>
        <charset val="1"/>
      </rPr>
      <t xml:space="preserve">0/7</t>
    </r>
  </si>
  <si>
    <t xml:space="preserve">99610789</t>
  </si>
  <si>
    <t xml:space="preserve">گیره کاغذ رنگی</t>
  </si>
  <si>
    <t xml:space="preserve">99610794</t>
  </si>
  <si>
    <r>
      <rPr>
        <sz val="10"/>
        <rFont val="FreeSans"/>
        <family val="2"/>
      </rPr>
      <t xml:space="preserve">دفترچه یادداشت   </t>
    </r>
    <r>
      <rPr>
        <sz val="10"/>
        <rFont val="Vazirmatn"/>
        <family val="0"/>
        <charset val="1"/>
      </rPr>
      <t xml:space="preserve">15 * 20</t>
    </r>
  </si>
  <si>
    <t xml:space="preserve">99610795</t>
  </si>
  <si>
    <r>
      <rPr>
        <sz val="10"/>
        <rFont val="FreeSans"/>
        <family val="2"/>
      </rPr>
      <t xml:space="preserve">دفترچه یادداشت   </t>
    </r>
    <r>
      <rPr>
        <sz val="10"/>
        <rFont val="Vazirmatn"/>
        <family val="0"/>
        <charset val="1"/>
      </rPr>
      <t xml:space="preserve">18 * 12</t>
    </r>
  </si>
  <si>
    <t xml:space="preserve">99610796</t>
  </si>
  <si>
    <r>
      <rPr>
        <sz val="10"/>
        <rFont val="FreeSans"/>
        <family val="2"/>
      </rPr>
      <t xml:space="preserve">دفترچه یادداشت   </t>
    </r>
    <r>
      <rPr>
        <sz val="10"/>
        <rFont val="Vazirmatn"/>
        <family val="0"/>
        <charset val="1"/>
      </rPr>
      <t xml:space="preserve">10 * 15</t>
    </r>
  </si>
  <si>
    <t xml:space="preserve">99610797</t>
  </si>
  <si>
    <r>
      <rPr>
        <sz val="10"/>
        <rFont val="FreeSans"/>
        <family val="2"/>
      </rPr>
      <t xml:space="preserve">دفتر بزرگ </t>
    </r>
    <r>
      <rPr>
        <sz val="10"/>
        <rFont val="Vazirmatn"/>
        <family val="0"/>
        <charset val="1"/>
      </rPr>
      <t xml:space="preserve">100 </t>
    </r>
    <r>
      <rPr>
        <sz val="10"/>
        <rFont val="FreeSans"/>
        <family val="2"/>
      </rPr>
      <t xml:space="preserve">برگی</t>
    </r>
  </si>
  <si>
    <t xml:space="preserve">99610803</t>
  </si>
  <si>
    <t xml:space="preserve">قطره تتراکائین چشمی</t>
  </si>
  <si>
    <t xml:space="preserve">5007212</t>
  </si>
  <si>
    <t xml:space="preserve">قطره استریل چشمی تتراکائین</t>
  </si>
  <si>
    <t xml:space="preserve">99610814</t>
  </si>
  <si>
    <r>
      <rPr>
        <sz val="10"/>
        <rFont val="FreeSans"/>
        <family val="2"/>
      </rPr>
      <t xml:space="preserve">تخته کار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شاسی</t>
    </r>
    <r>
      <rPr>
        <sz val="10"/>
        <rFont val="Vazirmatn"/>
        <family val="0"/>
        <charset val="1"/>
      </rPr>
      <t xml:space="preserve">)  A3</t>
    </r>
  </si>
  <si>
    <t xml:space="preserve">5006268</t>
  </si>
  <si>
    <t xml:space="preserve">تخته شاسي</t>
  </si>
  <si>
    <t xml:space="preserve">99610818</t>
  </si>
  <si>
    <t xml:space="preserve">باند کشی</t>
  </si>
  <si>
    <t xml:space="preserve">5007138</t>
  </si>
  <si>
    <r>
      <rPr>
        <sz val="10"/>
        <rFont val="FreeSans"/>
        <family val="2"/>
      </rPr>
      <t xml:space="preserve">باند کشی </t>
    </r>
    <r>
      <rPr>
        <sz val="10"/>
        <rFont val="Vazirmatn"/>
        <family val="0"/>
        <charset val="1"/>
      </rPr>
      <t xml:space="preserve">5 cm</t>
    </r>
  </si>
  <si>
    <t xml:space="preserve">99610848</t>
  </si>
  <si>
    <t xml:space="preserve">پماد سوختگی سیلور</t>
  </si>
  <si>
    <t xml:space="preserve">5010830</t>
  </si>
  <si>
    <t xml:space="preserve">پماد سوختگی</t>
  </si>
  <si>
    <t xml:space="preserve">99610854</t>
  </si>
  <si>
    <r>
      <rPr>
        <sz val="10"/>
        <rFont val="FreeSans"/>
        <family val="2"/>
      </rPr>
      <t xml:space="preserve">قطره چشمی نفازولین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ناپریوین </t>
    </r>
    <r>
      <rPr>
        <sz val="10"/>
        <rFont val="Vazirmatn"/>
        <family val="0"/>
        <charset val="1"/>
      </rPr>
      <t xml:space="preserve">)</t>
    </r>
  </si>
  <si>
    <t xml:space="preserve">5007216</t>
  </si>
  <si>
    <t xml:space="preserve">قطره استریل چشمی نفازولین</t>
  </si>
  <si>
    <t xml:space="preserve">99610889</t>
  </si>
  <si>
    <r>
      <rPr>
        <sz val="10"/>
        <rFont val="FreeSans"/>
        <family val="2"/>
      </rPr>
      <t xml:space="preserve">فلاکس چای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لیتری</t>
    </r>
  </si>
  <si>
    <t xml:space="preserve">99610891</t>
  </si>
  <si>
    <r>
      <rPr>
        <sz val="10"/>
        <rFont val="FreeSans"/>
        <family val="2"/>
      </rPr>
      <t xml:space="preserve">سطل زباله پدال دار  </t>
    </r>
    <r>
      <rPr>
        <sz val="10"/>
        <rFont val="Vazirmatn"/>
        <family val="0"/>
        <charset val="1"/>
      </rPr>
      <t xml:space="preserve">60 </t>
    </r>
    <r>
      <rPr>
        <sz val="10"/>
        <rFont val="FreeSans"/>
        <family val="2"/>
      </rPr>
      <t xml:space="preserve">لیتری</t>
    </r>
  </si>
  <si>
    <t xml:space="preserve">5011661</t>
  </si>
  <si>
    <r>
      <rPr>
        <sz val="10"/>
        <rFont val="FreeSans"/>
        <family val="2"/>
      </rPr>
      <t xml:space="preserve">ل زباله پدال دار </t>
    </r>
    <r>
      <rPr>
        <sz val="10"/>
        <rFont val="Vazirmatn"/>
        <family val="0"/>
        <charset val="1"/>
      </rPr>
      <t xml:space="preserve">60 </t>
    </r>
    <r>
      <rPr>
        <sz val="10"/>
        <rFont val="FreeSans"/>
        <family val="2"/>
      </rPr>
      <t xml:space="preserve">لیتری</t>
    </r>
  </si>
  <si>
    <t xml:space="preserve">99610892</t>
  </si>
  <si>
    <r>
      <rPr>
        <sz val="10"/>
        <rFont val="FreeSans"/>
        <family val="2"/>
      </rPr>
      <t xml:space="preserve">سطل زباله پدال دار  </t>
    </r>
    <r>
      <rPr>
        <sz val="10"/>
        <rFont val="Vazirmatn"/>
        <family val="0"/>
        <charset val="1"/>
      </rPr>
      <t xml:space="preserve">120 </t>
    </r>
    <r>
      <rPr>
        <sz val="10"/>
        <rFont val="FreeSans"/>
        <family val="2"/>
      </rPr>
      <t xml:space="preserve">لیتری</t>
    </r>
  </si>
  <si>
    <t xml:space="preserve">5002275</t>
  </si>
  <si>
    <r>
      <rPr>
        <sz val="10"/>
        <rFont val="FreeSans"/>
        <family val="2"/>
      </rPr>
      <t xml:space="preserve">سطل زباله </t>
    </r>
    <r>
      <rPr>
        <sz val="10"/>
        <rFont val="Vazirmatn"/>
        <family val="0"/>
        <charset val="1"/>
      </rPr>
      <t xml:space="preserve">120 </t>
    </r>
    <r>
      <rPr>
        <sz val="10"/>
        <rFont val="FreeSans"/>
        <family val="2"/>
      </rPr>
      <t xml:space="preserve">ليتري بزرگ</t>
    </r>
  </si>
  <si>
    <t xml:space="preserve">99610894</t>
  </si>
  <si>
    <r>
      <rPr>
        <sz val="10"/>
        <rFont val="FreeSans"/>
        <family val="2"/>
      </rPr>
      <t xml:space="preserve">توپ اطفاء حریق </t>
    </r>
    <r>
      <rPr>
        <sz val="10"/>
        <rFont val="Vazirmatn"/>
        <family val="0"/>
        <charset val="1"/>
      </rPr>
      <t xml:space="preserve">( Fire ball )</t>
    </r>
  </si>
  <si>
    <t xml:space="preserve">4033785</t>
  </si>
  <si>
    <r>
      <rPr>
        <sz val="10"/>
        <rFont val="FreeSans"/>
        <family val="2"/>
      </rPr>
      <t xml:space="preserve">توپ اطفاء حریق برند </t>
    </r>
    <r>
      <rPr>
        <sz val="10"/>
        <rFont val="Vazirmatn"/>
        <family val="0"/>
        <charset val="1"/>
      </rPr>
      <t xml:space="preserve">AFO</t>
    </r>
  </si>
  <si>
    <t xml:space="preserve">99610901</t>
  </si>
  <si>
    <t xml:space="preserve">فلاکس چای یک لیتری</t>
  </si>
  <si>
    <t xml:space="preserve">99610902</t>
  </si>
  <si>
    <t xml:space="preserve">فلاکس چای دولیتری</t>
  </si>
  <si>
    <t xml:space="preserve">99610910</t>
  </si>
  <si>
    <t xml:space="preserve">سطل زباله  بزرگ</t>
  </si>
  <si>
    <t xml:space="preserve">5007736</t>
  </si>
  <si>
    <t xml:space="preserve">سطل زباله راهرویی</t>
  </si>
  <si>
    <t xml:space="preserve">99610915</t>
  </si>
  <si>
    <t xml:space="preserve">سطل زباله  متوسط</t>
  </si>
  <si>
    <t xml:space="preserve">99610931</t>
  </si>
  <si>
    <t xml:space="preserve">موکت بر</t>
  </si>
  <si>
    <t xml:space="preserve">5006252</t>
  </si>
  <si>
    <t xml:space="preserve">کاتر موکت بر بزرگ</t>
  </si>
  <si>
    <t xml:space="preserve">99610933</t>
  </si>
  <si>
    <t xml:space="preserve">تیغ موکت بر</t>
  </si>
  <si>
    <t xml:space="preserve">5006239</t>
  </si>
  <si>
    <t xml:space="preserve">تيغ کاتر موکت بر کوچک</t>
  </si>
  <si>
    <t xml:space="preserve">99610934</t>
  </si>
  <si>
    <t xml:space="preserve">قیچی</t>
  </si>
  <si>
    <t xml:space="preserve">5006254</t>
  </si>
  <si>
    <t xml:space="preserve">قيچي کاغذ بزرگ</t>
  </si>
  <si>
    <t xml:space="preserve">99610935</t>
  </si>
  <si>
    <t xml:space="preserve">بیل  شهرداری  با دسته</t>
  </si>
  <si>
    <t xml:space="preserve">99610943</t>
  </si>
  <si>
    <t xml:space="preserve">طی نخی بادسته</t>
  </si>
  <si>
    <t xml:space="preserve">5008146</t>
  </si>
  <si>
    <t xml:space="preserve">طي نخي</t>
  </si>
  <si>
    <t xml:space="preserve">99610945</t>
  </si>
  <si>
    <t xml:space="preserve">طی لاستیکی با دسته</t>
  </si>
  <si>
    <t xml:space="preserve">5022516</t>
  </si>
  <si>
    <t xml:space="preserve">دسته طی استیل</t>
  </si>
  <si>
    <t xml:space="preserve">99610946</t>
  </si>
  <si>
    <t xml:space="preserve">جارو پلاستیکی  بادسته</t>
  </si>
  <si>
    <t xml:space="preserve">5006336</t>
  </si>
  <si>
    <t xml:space="preserve">جارو پلاستيکي بزرگ</t>
  </si>
  <si>
    <t xml:space="preserve">99610953</t>
  </si>
  <si>
    <r>
      <rPr>
        <sz val="10"/>
        <rFont val="FreeSans"/>
        <family val="2"/>
      </rPr>
      <t xml:space="preserve">تخته کار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شاسی</t>
    </r>
    <r>
      <rPr>
        <sz val="10"/>
        <rFont val="Vazirmatn"/>
        <family val="0"/>
        <charset val="1"/>
      </rPr>
      <t xml:space="preserve">)  A4</t>
    </r>
  </si>
  <si>
    <t xml:space="preserve">99610958</t>
  </si>
  <si>
    <r>
      <rPr>
        <sz val="10"/>
        <rFont val="FreeSans"/>
        <family val="2"/>
      </rPr>
      <t xml:space="preserve">باطری ریموت درب کنترلی</t>
    </r>
    <r>
      <rPr>
        <sz val="10"/>
        <rFont val="Vazirmatn"/>
        <family val="0"/>
        <charset val="1"/>
      </rPr>
      <t xml:space="preserve">camelion  12V  A27</t>
    </r>
  </si>
  <si>
    <t xml:space="preserve">5011448</t>
  </si>
  <si>
    <r>
      <rPr>
        <sz val="10"/>
        <rFont val="FreeSans"/>
        <family val="2"/>
      </rPr>
      <t xml:space="preserve">باطری ریموت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ولت </t>
    </r>
    <r>
      <rPr>
        <sz val="10"/>
        <rFont val="Vazirmatn"/>
        <family val="0"/>
        <charset val="1"/>
      </rPr>
      <t xml:space="preserve">27A</t>
    </r>
  </si>
  <si>
    <t xml:space="preserve">99610960</t>
  </si>
  <si>
    <r>
      <rPr>
        <sz val="10"/>
        <rFont val="FreeSans"/>
        <family val="2"/>
      </rPr>
      <t xml:space="preserve">باطری بزرگ  </t>
    </r>
    <r>
      <rPr>
        <sz val="10"/>
        <rFont val="Vazirmatn"/>
        <family val="0"/>
        <charset val="1"/>
      </rPr>
      <t xml:space="preserve">1/5 </t>
    </r>
    <r>
      <rPr>
        <sz val="10"/>
        <rFont val="FreeSans"/>
        <family val="2"/>
      </rPr>
      <t xml:space="preserve">ولت</t>
    </r>
  </si>
  <si>
    <t xml:space="preserve">5004862</t>
  </si>
  <si>
    <r>
      <rPr>
        <sz val="10"/>
        <rFont val="FreeSans"/>
        <family val="2"/>
      </rPr>
      <t xml:space="preserve">باطری معمولی بزرگ </t>
    </r>
    <r>
      <rPr>
        <sz val="10"/>
        <rFont val="Vazirmatn"/>
        <family val="0"/>
        <charset val="1"/>
      </rPr>
      <t xml:space="preserve">1.5V</t>
    </r>
  </si>
  <si>
    <t xml:space="preserve">99610961</t>
  </si>
  <si>
    <t xml:space="preserve">باطری قلمی</t>
  </si>
  <si>
    <t xml:space="preserve">5011215</t>
  </si>
  <si>
    <t xml:space="preserve">باطری</t>
  </si>
  <si>
    <t xml:space="preserve">99610962</t>
  </si>
  <si>
    <t xml:space="preserve">تلمبه  دستی مایعات</t>
  </si>
  <si>
    <t xml:space="preserve">4028601</t>
  </si>
  <si>
    <t xml:space="preserve">تلمبه دستی باد</t>
  </si>
  <si>
    <t xml:space="preserve">99610966</t>
  </si>
  <si>
    <t xml:space="preserve">توپ والیبال</t>
  </si>
  <si>
    <t xml:space="preserve">5023794</t>
  </si>
  <si>
    <t xml:space="preserve">توپ والیبال میکاسا</t>
  </si>
  <si>
    <t xml:space="preserve">99610974</t>
  </si>
  <si>
    <t xml:space="preserve">دستکش  یکبار  مصرف</t>
  </si>
  <si>
    <t xml:space="preserve">5006369</t>
  </si>
  <si>
    <t xml:space="preserve">دستکش يکبار مصرف نايلکسي</t>
  </si>
  <si>
    <t xml:space="preserve">99610977</t>
  </si>
  <si>
    <t xml:space="preserve">طی لاستیکی کوچک</t>
  </si>
  <si>
    <t xml:space="preserve">5006615</t>
  </si>
  <si>
    <t xml:space="preserve">طی پلاستیکی کوچک</t>
  </si>
  <si>
    <t xml:space="preserve">99610978</t>
  </si>
  <si>
    <t xml:space="preserve">محلول شستشوی چشم</t>
  </si>
  <si>
    <t xml:space="preserve">5016055</t>
  </si>
  <si>
    <t xml:space="preserve">محلول شستشوی چشم آی بس</t>
  </si>
  <si>
    <t xml:space="preserve">99611007</t>
  </si>
  <si>
    <r>
      <rPr>
        <sz val="10"/>
        <rFont val="FreeSans"/>
        <family val="2"/>
      </rPr>
      <t xml:space="preserve">فایل چوبی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کشوئی</t>
    </r>
  </si>
  <si>
    <t xml:space="preserve">6005315</t>
  </si>
  <si>
    <r>
      <rPr>
        <sz val="10"/>
        <rFont val="FreeSans"/>
        <family val="2"/>
      </rPr>
      <t xml:space="preserve">فایل کشوئی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طبقه فلزی</t>
    </r>
  </si>
  <si>
    <t xml:space="preserve">99611020</t>
  </si>
  <si>
    <t xml:space="preserve">مایع ضد عفونی کننده درموسپت</t>
  </si>
  <si>
    <t xml:space="preserve">99611022</t>
  </si>
  <si>
    <t xml:space="preserve">گل داودی</t>
  </si>
  <si>
    <t xml:space="preserve">5015853</t>
  </si>
  <si>
    <t xml:space="preserve">گل داوودی</t>
  </si>
  <si>
    <t xml:space="preserve">99611029</t>
  </si>
  <si>
    <t xml:space="preserve">گل بنفشه</t>
  </si>
  <si>
    <t xml:space="preserve">5020181</t>
  </si>
  <si>
    <r>
      <rPr>
        <sz val="10"/>
        <rFont val="FreeSans"/>
        <family val="2"/>
      </rPr>
      <t xml:space="preserve">گل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بنفشه فصلی</t>
    </r>
  </si>
  <si>
    <t xml:space="preserve">99611038</t>
  </si>
  <si>
    <t xml:space="preserve">رخت آویز دیواری</t>
  </si>
  <si>
    <t xml:space="preserve">99611041</t>
  </si>
  <si>
    <t xml:space="preserve">ماسک دهانی اکسیژن</t>
  </si>
  <si>
    <t xml:space="preserve">5010855</t>
  </si>
  <si>
    <t xml:space="preserve">ماسک تنفسی اکسیژن</t>
  </si>
  <si>
    <t xml:space="preserve">99611049</t>
  </si>
  <si>
    <t xml:space="preserve">کپسول گاز فندک</t>
  </si>
  <si>
    <t xml:space="preserve">99611051</t>
  </si>
  <si>
    <t xml:space="preserve">دسته طی</t>
  </si>
  <si>
    <t xml:space="preserve">99611056</t>
  </si>
  <si>
    <r>
      <rPr>
        <sz val="10"/>
        <rFont val="FreeSans"/>
        <family val="2"/>
      </rPr>
      <t xml:space="preserve">تخته وایت برد شیشه ای </t>
    </r>
    <r>
      <rPr>
        <sz val="10"/>
        <rFont val="Vazirmatn"/>
        <family val="0"/>
        <charset val="1"/>
      </rPr>
      <t xml:space="preserve">120Cm*80Cm</t>
    </r>
  </si>
  <si>
    <t xml:space="preserve">6001901</t>
  </si>
  <si>
    <t xml:space="preserve">تخته وایت برد شیشه ای</t>
  </si>
  <si>
    <t xml:space="preserve">99611057</t>
  </si>
  <si>
    <t xml:space="preserve">طی لاستیکی شیشه شور</t>
  </si>
  <si>
    <t xml:space="preserve">5006354</t>
  </si>
  <si>
    <t xml:space="preserve">طي لاستيکي شيشه شوي</t>
  </si>
  <si>
    <t xml:space="preserve">99611063</t>
  </si>
  <si>
    <r>
      <rPr>
        <sz val="10"/>
        <rFont val="FreeSans"/>
        <family val="2"/>
      </rPr>
      <t xml:space="preserve">دیوایدر کاغذی </t>
    </r>
    <r>
      <rPr>
        <sz val="10"/>
        <rFont val="Vazirmatn"/>
        <family val="0"/>
        <charset val="1"/>
      </rPr>
      <t xml:space="preserve">A4</t>
    </r>
  </si>
  <si>
    <t xml:space="preserve">100023</t>
  </si>
  <si>
    <t xml:space="preserve">دوغآب نشاسته</t>
  </si>
  <si>
    <r>
      <rPr>
        <sz val="10"/>
        <rFont val="FreeSans"/>
        <family val="2"/>
      </rPr>
      <t xml:space="preserve">۵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بدون معادل</t>
    </r>
  </si>
  <si>
    <t xml:space="preserve">110004</t>
  </si>
  <si>
    <r>
      <rPr>
        <sz val="10"/>
        <rFont val="FreeSans"/>
        <family val="2"/>
      </rPr>
      <t xml:space="preserve">سود مایع </t>
    </r>
    <r>
      <rPr>
        <sz val="10"/>
        <rFont val="Vazirmatn"/>
        <family val="0"/>
        <charset val="1"/>
      </rPr>
      <t xml:space="preserve">30%</t>
    </r>
  </si>
  <si>
    <t xml:space="preserve">110005</t>
  </si>
  <si>
    <r>
      <rPr>
        <sz val="10"/>
        <rFont val="FreeSans"/>
        <family val="2"/>
      </rPr>
      <t xml:space="preserve">سود مایع </t>
    </r>
    <r>
      <rPr>
        <sz val="10"/>
        <rFont val="Vazirmatn"/>
        <family val="0"/>
        <charset val="1"/>
      </rPr>
      <t xml:space="preserve">50%</t>
    </r>
  </si>
  <si>
    <t xml:space="preserve">110023</t>
  </si>
  <si>
    <t xml:space="preserve">ماده ضد رسوب</t>
  </si>
  <si>
    <t xml:space="preserve">110027</t>
  </si>
  <si>
    <r>
      <rPr>
        <sz val="10"/>
        <rFont val="FreeSans"/>
        <family val="2"/>
      </rPr>
      <t xml:space="preserve">رزین آنیونی  </t>
    </r>
    <r>
      <rPr>
        <sz val="10"/>
        <rFont val="Vazirmatn"/>
        <family val="0"/>
        <charset val="1"/>
      </rPr>
      <t xml:space="preserve">D 301 - F</t>
    </r>
  </si>
  <si>
    <t xml:space="preserve">110034</t>
  </si>
  <si>
    <r>
      <rPr>
        <sz val="10"/>
        <rFont val="FreeSans"/>
        <family val="2"/>
      </rPr>
      <t xml:space="preserve">رزین تنبل </t>
    </r>
    <r>
      <rPr>
        <sz val="10"/>
        <rFont val="Vazirmatn"/>
        <family val="0"/>
        <charset val="1"/>
      </rPr>
      <t xml:space="preserve">( QL - Inert ( Lazy</t>
    </r>
  </si>
  <si>
    <t xml:space="preserve">110037</t>
  </si>
  <si>
    <r>
      <rPr>
        <sz val="10"/>
        <rFont val="FreeSans"/>
        <family val="2"/>
      </rPr>
      <t xml:space="preserve">ماده ضد عفونی کننده </t>
    </r>
    <r>
      <rPr>
        <sz val="10"/>
        <rFont val="Vazirmatn"/>
        <family val="0"/>
        <charset val="1"/>
      </rPr>
      <t xml:space="preserve">SANISEPT</t>
    </r>
  </si>
  <si>
    <t xml:space="preserve">110038</t>
  </si>
  <si>
    <r>
      <rPr>
        <sz val="10"/>
        <rFont val="FreeSans"/>
        <family val="2"/>
      </rPr>
      <t xml:space="preserve">ماده ضد رسوب دیگ بخار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فسفات</t>
    </r>
    <r>
      <rPr>
        <sz val="10"/>
        <rFont val="Vazirmatn"/>
        <family val="0"/>
        <charset val="1"/>
      </rPr>
      <t xml:space="preserve">)</t>
    </r>
  </si>
  <si>
    <t xml:space="preserve">110039</t>
  </si>
  <si>
    <r>
      <rPr>
        <sz val="10"/>
        <rFont val="FreeSans"/>
        <family val="2"/>
      </rPr>
      <t xml:space="preserve">ماده جاذب اکسیژن دیگ بخار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سولفیت سدیم</t>
    </r>
    <r>
      <rPr>
        <sz val="10"/>
        <rFont val="Vazirmatn"/>
        <family val="0"/>
        <charset val="1"/>
      </rPr>
      <t xml:space="preserve">)</t>
    </r>
  </si>
  <si>
    <t xml:space="preserve">110040</t>
  </si>
  <si>
    <t xml:space="preserve">کیک سیب زمینی</t>
  </si>
  <si>
    <t xml:space="preserve">110043</t>
  </si>
  <si>
    <r>
      <rPr>
        <sz val="10"/>
        <rFont val="FreeSans"/>
        <family val="2"/>
      </rPr>
      <t xml:space="preserve">مواد ضد رسوب </t>
    </r>
    <r>
      <rPr>
        <sz val="10"/>
        <rFont val="Vazirmatn"/>
        <family val="0"/>
        <charset val="1"/>
      </rPr>
      <t xml:space="preserve">Uni Tech 2255</t>
    </r>
  </si>
  <si>
    <t xml:space="preserve">110044</t>
  </si>
  <si>
    <r>
      <rPr>
        <sz val="10"/>
        <rFont val="FreeSans"/>
        <family val="2"/>
      </rPr>
      <t xml:space="preserve">مواد ضد میکروبی </t>
    </r>
    <r>
      <rPr>
        <sz val="10"/>
        <rFont val="Vazirmatn"/>
        <family val="0"/>
        <charset val="1"/>
      </rPr>
      <t xml:space="preserve">Uni Tech 3291</t>
    </r>
  </si>
  <si>
    <t xml:space="preserve">110045</t>
  </si>
  <si>
    <r>
      <rPr>
        <sz val="10"/>
        <rFont val="FreeSans"/>
        <family val="2"/>
      </rPr>
      <t xml:space="preserve">مواد ضد میکروبی </t>
    </r>
    <r>
      <rPr>
        <sz val="10"/>
        <rFont val="Vazirmatn"/>
        <family val="0"/>
        <charset val="1"/>
      </rPr>
      <t xml:space="preserve">Uni Tech 3293</t>
    </r>
  </si>
  <si>
    <t xml:space="preserve">120003</t>
  </si>
  <si>
    <r>
      <rPr>
        <sz val="10"/>
        <rFont val="FreeSans"/>
        <family val="2"/>
      </rPr>
      <t xml:space="preserve">کربنات دو سود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سودا </t>
    </r>
    <r>
      <rPr>
        <sz val="10"/>
        <rFont val="Vazirmatn"/>
        <family val="0"/>
        <charset val="1"/>
      </rPr>
      <t xml:space="preserve">)</t>
    </r>
  </si>
  <si>
    <t xml:space="preserve">120008</t>
  </si>
  <si>
    <r>
      <rPr>
        <sz val="10"/>
        <rFont val="FreeSans"/>
        <family val="2"/>
      </rPr>
      <t xml:space="preserve">سدیم تری فسفات </t>
    </r>
    <r>
      <rPr>
        <sz val="10"/>
        <rFont val="Vazirmatn"/>
        <family val="0"/>
        <charset val="1"/>
      </rPr>
      <t xml:space="preserve">( Na3 PO4 )</t>
    </r>
  </si>
  <si>
    <t xml:space="preserve">120010</t>
  </si>
  <si>
    <t xml:space="preserve">خاک تونسیل</t>
  </si>
  <si>
    <t xml:space="preserve">120013</t>
  </si>
  <si>
    <r>
      <rPr>
        <sz val="10"/>
        <rFont val="FreeSans"/>
        <family val="2"/>
      </rPr>
      <t xml:space="preserve">پرسیدین  </t>
    </r>
    <r>
      <rPr>
        <sz val="10"/>
        <rFont val="Vazirmatn"/>
        <family val="0"/>
        <charset val="1"/>
      </rPr>
      <t xml:space="preserve">510</t>
    </r>
  </si>
  <si>
    <t xml:space="preserve">120018</t>
  </si>
  <si>
    <t xml:space="preserve">نمک فوق تصفیه</t>
  </si>
  <si>
    <t xml:space="preserve">120021</t>
  </si>
  <si>
    <t xml:space="preserve">ضد کف بهداشتی</t>
  </si>
  <si>
    <t xml:space="preserve">120025</t>
  </si>
  <si>
    <t xml:space="preserve">پارافورمالدئید</t>
  </si>
  <si>
    <t xml:space="preserve">120026</t>
  </si>
  <si>
    <t xml:space="preserve">پارافین</t>
  </si>
  <si>
    <t xml:space="preserve">120030</t>
  </si>
  <si>
    <r>
      <rPr>
        <sz val="10"/>
        <rFont val="FreeSans"/>
        <family val="2"/>
      </rPr>
      <t xml:space="preserve">فرولین   </t>
    </r>
    <r>
      <rPr>
        <sz val="10"/>
        <rFont val="Vazirmatn"/>
        <family val="0"/>
        <charset val="1"/>
      </rPr>
      <t xml:space="preserve">5001</t>
    </r>
  </si>
  <si>
    <t xml:space="preserve">120036</t>
  </si>
  <si>
    <r>
      <rPr>
        <sz val="10"/>
        <rFont val="FreeSans"/>
        <family val="2"/>
      </rPr>
      <t xml:space="preserve">سولفات سدیم   </t>
    </r>
    <r>
      <rPr>
        <sz val="10"/>
        <rFont val="Vazirmatn"/>
        <family val="0"/>
        <charset val="1"/>
      </rPr>
      <t xml:space="preserve">Na2So4</t>
    </r>
  </si>
  <si>
    <t xml:space="preserve">120037</t>
  </si>
  <si>
    <t xml:space="preserve">آنزیم ایزو مرایز</t>
  </si>
  <si>
    <t xml:space="preserve">120045</t>
  </si>
  <si>
    <r>
      <rPr>
        <sz val="10"/>
        <rFont val="Vazirmatn"/>
        <family val="0"/>
        <charset val="1"/>
      </rPr>
      <t xml:space="preserve">3 - </t>
    </r>
    <r>
      <rPr>
        <sz val="10"/>
        <rFont val="FreeSans"/>
        <family val="2"/>
      </rPr>
      <t xml:space="preserve">کلرو </t>
    </r>
    <r>
      <rPr>
        <sz val="10"/>
        <rFont val="Vazirmatn"/>
        <family val="0"/>
        <charset val="1"/>
      </rPr>
      <t xml:space="preserve">2 - </t>
    </r>
    <r>
      <rPr>
        <sz val="10"/>
        <rFont val="FreeSans"/>
        <family val="2"/>
      </rPr>
      <t xml:space="preserve">هیدروکسی پروپیل تری متیل آمونیوم کلراید</t>
    </r>
  </si>
  <si>
    <t xml:space="preserve">120052</t>
  </si>
  <si>
    <t xml:space="preserve">حلال جت پرینتر نشاسته</t>
  </si>
  <si>
    <t xml:space="preserve">120053</t>
  </si>
  <si>
    <r>
      <rPr>
        <sz val="10"/>
        <rFont val="FreeSans"/>
        <family val="2"/>
      </rPr>
      <t xml:space="preserve">حلال مکاپ  </t>
    </r>
    <r>
      <rPr>
        <sz val="10"/>
        <rFont val="Vazirmatn"/>
        <family val="0"/>
        <charset val="1"/>
      </rPr>
      <t xml:space="preserve">MC 299    ( </t>
    </r>
    <r>
      <rPr>
        <sz val="10"/>
        <rFont val="FreeSans"/>
        <family val="2"/>
      </rPr>
      <t xml:space="preserve">دومینو </t>
    </r>
    <r>
      <rPr>
        <sz val="10"/>
        <rFont val="Vazirmatn"/>
        <family val="0"/>
        <charset val="1"/>
      </rPr>
      <t xml:space="preserve">)</t>
    </r>
  </si>
  <si>
    <t xml:space="preserve">120054</t>
  </si>
  <si>
    <t xml:space="preserve">حلال شستشوی جت پرینتر پرتابل</t>
  </si>
  <si>
    <t xml:space="preserve">120059</t>
  </si>
  <si>
    <r>
      <rPr>
        <sz val="10"/>
        <rFont val="FreeSans"/>
        <family val="2"/>
      </rPr>
      <t xml:space="preserve">خاک کمک صافی فیلتر زمستانه تیپ </t>
    </r>
    <r>
      <rPr>
        <sz val="10"/>
        <rFont val="Vazirmatn"/>
        <family val="0"/>
        <charset val="1"/>
      </rPr>
      <t xml:space="preserve">1  - A1</t>
    </r>
  </si>
  <si>
    <t xml:space="preserve">120061</t>
  </si>
  <si>
    <t xml:space="preserve">جوهر جت پرینتر نشاسته</t>
  </si>
  <si>
    <t xml:space="preserve">120062</t>
  </si>
  <si>
    <r>
      <rPr>
        <sz val="10"/>
        <rFont val="FreeSans"/>
        <family val="2"/>
      </rPr>
      <t xml:space="preserve">جوهر اصلی  </t>
    </r>
    <r>
      <rPr>
        <sz val="10"/>
        <rFont val="Vazirmatn"/>
        <family val="0"/>
        <charset val="1"/>
      </rPr>
      <t xml:space="preserve">IR 299   ( </t>
    </r>
    <r>
      <rPr>
        <sz val="10"/>
        <rFont val="FreeSans"/>
        <family val="2"/>
      </rPr>
      <t xml:space="preserve">دومینو </t>
    </r>
    <r>
      <rPr>
        <sz val="10"/>
        <rFont val="Vazirmatn"/>
        <family val="0"/>
        <charset val="1"/>
      </rPr>
      <t xml:space="preserve">)</t>
    </r>
  </si>
  <si>
    <t xml:space="preserve">120063</t>
  </si>
  <si>
    <t xml:space="preserve">جوهر جت پرینتر پرتابل</t>
  </si>
  <si>
    <t xml:space="preserve">120064</t>
  </si>
  <si>
    <r>
      <rPr>
        <sz val="10"/>
        <rFont val="FreeSans"/>
        <family val="2"/>
      </rPr>
      <t xml:space="preserve">جوهر کمکی </t>
    </r>
    <r>
      <rPr>
        <sz val="10"/>
        <rFont val="Vazirmatn"/>
        <family val="0"/>
        <charset val="1"/>
      </rPr>
      <t xml:space="preserve">IC 299 BK   ( </t>
    </r>
    <r>
      <rPr>
        <sz val="10"/>
        <rFont val="FreeSans"/>
        <family val="2"/>
      </rPr>
      <t xml:space="preserve">دومینو </t>
    </r>
    <r>
      <rPr>
        <sz val="10"/>
        <rFont val="Vazirmatn"/>
        <family val="0"/>
        <charset val="1"/>
      </rPr>
      <t xml:space="preserve">)</t>
    </r>
  </si>
  <si>
    <t xml:space="preserve">120065</t>
  </si>
  <si>
    <r>
      <rPr>
        <sz val="10"/>
        <rFont val="FreeSans"/>
        <family val="2"/>
      </rPr>
      <t xml:space="preserve">خاک کمک صافی فیلتر زمستانه تیپ </t>
    </r>
    <r>
      <rPr>
        <sz val="10"/>
        <rFont val="Vazirmatn"/>
        <family val="0"/>
        <charset val="1"/>
      </rPr>
      <t xml:space="preserve">2</t>
    </r>
  </si>
  <si>
    <t xml:space="preserve">120066</t>
  </si>
  <si>
    <t xml:space="preserve">Ink Rapid Plus Black - Cassette 140mL</t>
  </si>
  <si>
    <t xml:space="preserve">120080</t>
  </si>
  <si>
    <r>
      <rPr>
        <sz val="10"/>
        <rFont val="FreeSans"/>
        <family val="2"/>
      </rPr>
      <t xml:space="preserve">واش </t>
    </r>
    <r>
      <rPr>
        <sz val="10"/>
        <rFont val="Vazirmatn"/>
        <family val="0"/>
        <charset val="1"/>
      </rPr>
      <t xml:space="preserve">800    ( </t>
    </r>
    <r>
      <rPr>
        <sz val="10"/>
        <rFont val="FreeSans"/>
        <family val="2"/>
      </rPr>
      <t xml:space="preserve">دومینو  </t>
    </r>
    <r>
      <rPr>
        <sz val="10"/>
        <rFont val="Vazirmatn"/>
        <family val="0"/>
        <charset val="1"/>
      </rPr>
      <t xml:space="preserve">)</t>
    </r>
  </si>
  <si>
    <t xml:space="preserve">120094</t>
  </si>
  <si>
    <r>
      <rPr>
        <sz val="10"/>
        <rFont val="FreeSans"/>
        <family val="2"/>
      </rPr>
      <t xml:space="preserve">کلسیم کلراید   </t>
    </r>
    <r>
      <rPr>
        <sz val="10"/>
        <rFont val="Vazirmatn"/>
        <family val="0"/>
        <charset val="1"/>
      </rPr>
      <t xml:space="preserve">CaCL2</t>
    </r>
  </si>
  <si>
    <t xml:space="preserve">120097</t>
  </si>
  <si>
    <t xml:space="preserve">زانتان گام خوراکی</t>
  </si>
  <si>
    <t xml:space="preserve">16211000</t>
  </si>
  <si>
    <t xml:space="preserve">پایه فیوز به همراه فیوز</t>
  </si>
  <si>
    <t xml:space="preserve">16211001</t>
  </si>
  <si>
    <t xml:space="preserve">فیوز کاردی در سایزهای مختلف</t>
  </si>
  <si>
    <t xml:space="preserve">16211002</t>
  </si>
  <si>
    <t xml:space="preserve">پایه فیوز</t>
  </si>
  <si>
    <t xml:space="preserve">16212000</t>
  </si>
  <si>
    <t xml:space="preserve">کلید اتوماتیک در رنج های مختلف</t>
  </si>
  <si>
    <t xml:space="preserve">16212002</t>
  </si>
  <si>
    <t xml:space="preserve">کلید حرارتی در سایزهای مختلف</t>
  </si>
  <si>
    <t xml:space="preserve">16213001</t>
  </si>
  <si>
    <t xml:space="preserve">تابلو برق در ابعاد مختلف</t>
  </si>
  <si>
    <t xml:space="preserve">16213002</t>
  </si>
  <si>
    <t xml:space="preserve">تابلوی پرس گویوم</t>
  </si>
  <si>
    <t xml:space="preserve">16213100</t>
  </si>
  <si>
    <t xml:space="preserve">ترمینال ریلی تکی</t>
  </si>
  <si>
    <t xml:space="preserve">16213101</t>
  </si>
  <si>
    <t xml:space="preserve">ترانس مهتابی</t>
  </si>
  <si>
    <t xml:space="preserve">16213102</t>
  </si>
  <si>
    <t xml:space="preserve">استارت لامپ های گازی</t>
  </si>
  <si>
    <t xml:space="preserve">16213103</t>
  </si>
  <si>
    <t xml:space="preserve">ترانس ایزوله</t>
  </si>
  <si>
    <t xml:space="preserve">16213200</t>
  </si>
  <si>
    <t xml:space="preserve">جعبه تقسیم</t>
  </si>
  <si>
    <t xml:space="preserve">16213300</t>
  </si>
  <si>
    <t xml:space="preserve">پاور پک روغن هیدرولیک</t>
  </si>
  <si>
    <t xml:space="preserve">16214000</t>
  </si>
  <si>
    <t xml:space="preserve">کابل سنسور سیلو</t>
  </si>
  <si>
    <t xml:space="preserve">16214001</t>
  </si>
  <si>
    <r>
      <rPr>
        <sz val="10"/>
        <rFont val="FreeSans"/>
        <family val="2"/>
      </rPr>
      <t xml:space="preserve">کابل آلومینیومی  </t>
    </r>
    <r>
      <rPr>
        <sz val="10"/>
        <rFont val="Vazirmatn"/>
        <family val="0"/>
        <charset val="1"/>
      </rPr>
      <t xml:space="preserve">300 * 1</t>
    </r>
  </si>
  <si>
    <t xml:space="preserve">16214009</t>
  </si>
  <si>
    <r>
      <rPr>
        <sz val="10"/>
        <rFont val="FreeSans"/>
        <family val="2"/>
      </rPr>
      <t xml:space="preserve">کابل مسی افشان  </t>
    </r>
    <r>
      <rPr>
        <sz val="10"/>
        <rFont val="Vazirmatn"/>
        <family val="0"/>
        <charset val="1"/>
      </rPr>
      <t xml:space="preserve">40 * 1</t>
    </r>
  </si>
  <si>
    <t xml:space="preserve">16214010</t>
  </si>
  <si>
    <r>
      <rPr>
        <sz val="10"/>
        <rFont val="FreeSans"/>
        <family val="2"/>
      </rPr>
      <t xml:space="preserve">کابل مسی افشان  </t>
    </r>
    <r>
      <rPr>
        <sz val="10"/>
        <rFont val="Vazirmatn"/>
        <family val="0"/>
        <charset val="1"/>
      </rPr>
      <t xml:space="preserve">20 * 1/5</t>
    </r>
  </si>
  <si>
    <t xml:space="preserve">16214100</t>
  </si>
  <si>
    <r>
      <rPr>
        <sz val="10"/>
        <rFont val="FreeSans"/>
        <family val="2"/>
      </rPr>
      <t xml:space="preserve">کنتاکتور  </t>
    </r>
    <r>
      <rPr>
        <sz val="10"/>
        <rFont val="Vazirmatn"/>
        <family val="0"/>
        <charset val="1"/>
      </rPr>
      <t xml:space="preserve">630KW</t>
    </r>
  </si>
  <si>
    <t xml:space="preserve">16214102</t>
  </si>
  <si>
    <r>
      <rPr>
        <sz val="10"/>
        <rFont val="FreeSans"/>
        <family val="2"/>
      </rPr>
      <t xml:space="preserve">کنتاکتور  </t>
    </r>
    <r>
      <rPr>
        <sz val="10"/>
        <rFont val="Vazirmatn"/>
        <family val="0"/>
        <charset val="1"/>
      </rPr>
      <t xml:space="preserve">75KW</t>
    </r>
  </si>
  <si>
    <t xml:space="preserve">16214103</t>
  </si>
  <si>
    <t xml:space="preserve">کنتاکتور در سایزهای مختلف</t>
  </si>
  <si>
    <t xml:space="preserve">16214200</t>
  </si>
  <si>
    <t xml:space="preserve">بی متال در سایزهای مختلف</t>
  </si>
  <si>
    <t xml:space="preserve">16216000</t>
  </si>
  <si>
    <t xml:space="preserve">مقره برق</t>
  </si>
  <si>
    <t xml:space="preserve">16217000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</si>
  <si>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15KW  3000RPM</t>
    </r>
  </si>
  <si>
    <t xml:space="preserve">16217004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</si>
  <si>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18/5KW  3000RPM</t>
    </r>
  </si>
  <si>
    <t xml:space="preserve">16217005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</si>
  <si>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30KW  3000RPM</t>
    </r>
  </si>
  <si>
    <t xml:space="preserve">16217006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</si>
  <si>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7/5KW  700RPM</t>
    </r>
  </si>
  <si>
    <t xml:space="preserve">16217008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</si>
  <si>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37KW  1500RPM</t>
    </r>
  </si>
  <si>
    <t xml:space="preserve">16217009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</si>
  <si>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11KW  3000RPM</t>
    </r>
  </si>
  <si>
    <t xml:space="preserve">16217010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</si>
  <si>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22KW  3000RPM</t>
    </r>
  </si>
  <si>
    <t xml:space="preserve">16217017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</si>
  <si>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15KW  1500RPM</t>
    </r>
  </si>
  <si>
    <t xml:space="preserve">16217018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</si>
  <si>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4KW  1000RPM</t>
    </r>
  </si>
  <si>
    <t xml:space="preserve">16217019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</si>
  <si>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7/5KW  1000RPM</t>
    </r>
  </si>
  <si>
    <t xml:space="preserve">16217021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</si>
  <si>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2/2KW  3000RPM</t>
    </r>
  </si>
  <si>
    <t xml:space="preserve">16217022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</si>
  <si>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1/25KW  1500RPM</t>
    </r>
  </si>
  <si>
    <t xml:space="preserve">16217023</t>
  </si>
  <si>
    <r>
      <rPr>
        <sz val="10"/>
        <rFont val="FreeSans"/>
        <family val="2"/>
      </rPr>
      <t xml:space="preserve">الکتروموتور ویبره  </t>
    </r>
    <r>
      <rPr>
        <sz val="10"/>
        <rFont val="Vazirmatn"/>
        <family val="0"/>
        <charset val="1"/>
      </rPr>
      <t xml:space="preserve">30W</t>
    </r>
  </si>
  <si>
    <t xml:space="preserve">16217025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</si>
  <si>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1/5KW  1500RPM</t>
    </r>
  </si>
  <si>
    <t xml:space="preserve">16217026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</si>
  <si>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1/5KW  3000RPM</t>
    </r>
  </si>
  <si>
    <t xml:space="preserve">16217027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</si>
  <si>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3KW  1000RPM</t>
    </r>
  </si>
  <si>
    <t xml:space="preserve">16217028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</si>
  <si>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3KW  900RPM</t>
    </r>
  </si>
  <si>
    <t xml:space="preserve">16217031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</si>
  <si>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0/18KW  1400RPM</t>
    </r>
  </si>
  <si>
    <t xml:space="preserve">16217033</t>
  </si>
  <si>
    <t xml:space="preserve">موتور ویبره دکانتور روغن کشی</t>
  </si>
  <si>
    <t xml:space="preserve">16217038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</si>
  <si>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0/75KW  3000RPM</t>
    </r>
  </si>
  <si>
    <t xml:space="preserve">16217040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</si>
  <si>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0/75KW  700RPM</t>
    </r>
  </si>
  <si>
    <t xml:space="preserve">16217041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</si>
  <si>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0/55KW  900RPM</t>
    </r>
  </si>
  <si>
    <t xml:space="preserve">16217042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</si>
  <si>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3KW  700RPM</t>
    </r>
  </si>
  <si>
    <t xml:space="preserve">16217043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</si>
  <si>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0/09KW  900RPM</t>
    </r>
  </si>
  <si>
    <t xml:space="preserve">16217044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</si>
  <si>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0/75KW  900RPM</t>
    </r>
  </si>
  <si>
    <t xml:space="preserve">16217045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</si>
  <si>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30KW  1000RPM</t>
    </r>
  </si>
  <si>
    <t xml:space="preserve">16217049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</si>
  <si>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30KW  1500RPM</t>
    </r>
  </si>
  <si>
    <t xml:space="preserve">16217050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</si>
  <si>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45KW  750RPM</t>
    </r>
  </si>
  <si>
    <t xml:space="preserve">16217051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</si>
  <si>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55KW  1500RPM</t>
    </r>
  </si>
  <si>
    <t xml:space="preserve">16217052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</si>
  <si>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11KW  1400RPM</t>
    </r>
  </si>
  <si>
    <t xml:space="preserve">16217053</t>
  </si>
  <si>
    <t xml:space="preserve">دینام  لودر</t>
  </si>
  <si>
    <t xml:space="preserve">16217054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</si>
  <si>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200KW  1500RPM</t>
    </r>
  </si>
  <si>
    <t xml:space="preserve">16217056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</si>
  <si>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160KW  1500RPM</t>
    </r>
  </si>
  <si>
    <t xml:space="preserve">16217058</t>
  </si>
  <si>
    <r>
      <rPr>
        <sz val="10"/>
        <rFont val="FreeSans"/>
        <family val="2"/>
      </rPr>
      <t xml:space="preserve">الکتروموتور ویبره  </t>
    </r>
    <r>
      <rPr>
        <sz val="10"/>
        <rFont val="Vazirmatn"/>
        <family val="0"/>
        <charset val="1"/>
      </rPr>
      <t xml:space="preserve">3KW  1500RPM</t>
    </r>
  </si>
  <si>
    <t xml:space="preserve">16217100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</si>
  <si>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0/55KW  1500RPM</t>
    </r>
  </si>
  <si>
    <t xml:space="preserve">16217101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</si>
  <si>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5/5KW  1500RPM</t>
    </r>
  </si>
  <si>
    <t xml:space="preserve">16217102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</si>
  <si>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11KW  1500RPM</t>
    </r>
  </si>
  <si>
    <t xml:space="preserve">16217104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</si>
  <si>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3KW  1500RPM</t>
    </r>
  </si>
  <si>
    <t xml:space="preserve">16217105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</si>
  <si>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2/2KW  1500RPM</t>
    </r>
  </si>
  <si>
    <t xml:space="preserve">16217106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</si>
  <si>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15KW  1500RPM</t>
    </r>
  </si>
  <si>
    <t xml:space="preserve">16217107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</si>
  <si>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4KW  1500RPM</t>
    </r>
  </si>
  <si>
    <t xml:space="preserve">16217108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</si>
  <si>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1/1KW  1500RPM</t>
    </r>
  </si>
  <si>
    <t xml:space="preserve">16217109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</si>
  <si>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0/37KW  1500RPM</t>
    </r>
  </si>
  <si>
    <t xml:space="preserve">16217110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</si>
  <si>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1/5KW  1450RPM</t>
    </r>
  </si>
  <si>
    <t xml:space="preserve">16217111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</si>
  <si>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3KW  1400RPM</t>
    </r>
  </si>
  <si>
    <t xml:space="preserve">16217112</t>
  </si>
  <si>
    <r>
      <rPr>
        <sz val="10"/>
        <rFont val="FreeSans"/>
        <family val="2"/>
      </rPr>
      <t xml:space="preserve">گیربکس </t>
    </r>
    <r>
      <rPr>
        <sz val="10"/>
        <rFont val="Vazirmatn"/>
        <family val="0"/>
        <charset val="1"/>
      </rPr>
      <t xml:space="preserve">7/5RPM</t>
    </r>
  </si>
  <si>
    <t xml:space="preserve">16217113</t>
  </si>
  <si>
    <t xml:space="preserve">الکترو پمپ اسید</t>
  </si>
  <si>
    <t xml:space="preserve">16217114</t>
  </si>
  <si>
    <r>
      <rPr>
        <sz val="10"/>
        <rFont val="FreeSans"/>
        <family val="2"/>
      </rPr>
      <t xml:space="preserve">گیربکس همزن </t>
    </r>
    <r>
      <rPr>
        <sz val="10"/>
        <rFont val="Vazirmatn"/>
        <family val="0"/>
        <charset val="1"/>
      </rPr>
      <t xml:space="preserve">39 ( UAA 248 )</t>
    </r>
  </si>
  <si>
    <t xml:space="preserve">16217115</t>
  </si>
  <si>
    <r>
      <rPr>
        <sz val="10"/>
        <rFont val="FreeSans"/>
        <family val="2"/>
      </rPr>
      <t xml:space="preserve">گیربکس گرد پمپ </t>
    </r>
    <r>
      <rPr>
        <sz val="10"/>
        <rFont val="Vazirmatn"/>
        <family val="0"/>
        <charset val="1"/>
      </rPr>
      <t xml:space="preserve">8086</t>
    </r>
  </si>
  <si>
    <t xml:space="preserve">16217116</t>
  </si>
  <si>
    <r>
      <rPr>
        <sz val="10"/>
        <rFont val="FreeSans"/>
        <family val="2"/>
      </rPr>
      <t xml:space="preserve">گیربکس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گوش پمپ </t>
    </r>
    <r>
      <rPr>
        <sz val="10"/>
        <rFont val="Vazirmatn"/>
        <family val="0"/>
        <charset val="1"/>
      </rPr>
      <t xml:space="preserve">8086</t>
    </r>
  </si>
  <si>
    <t xml:space="preserve">16217117</t>
  </si>
  <si>
    <t xml:space="preserve">گیربکس تیغه درام گلوکوز</t>
  </si>
  <si>
    <t xml:space="preserve">16217118</t>
  </si>
  <si>
    <t xml:space="preserve">گیربکس ایلماز کوچک</t>
  </si>
  <si>
    <t xml:space="preserve">16217119</t>
  </si>
  <si>
    <r>
      <rPr>
        <sz val="10"/>
        <rFont val="FreeSans"/>
        <family val="2"/>
      </rPr>
      <t xml:space="preserve">گیربکس حلزونی اصفهان سهند </t>
    </r>
    <r>
      <rPr>
        <sz val="10"/>
        <rFont val="Vazirmatn"/>
        <family val="0"/>
        <charset val="1"/>
      </rPr>
      <t xml:space="preserve">VF62</t>
    </r>
  </si>
  <si>
    <t xml:space="preserve">16217120</t>
  </si>
  <si>
    <t xml:space="preserve">گیربکس کتابی فولی دار</t>
  </si>
  <si>
    <t xml:space="preserve">16217121</t>
  </si>
  <si>
    <t xml:space="preserve">گیربکس هلیس سیلو</t>
  </si>
  <si>
    <t xml:space="preserve">16217122</t>
  </si>
  <si>
    <r>
      <rPr>
        <sz val="10"/>
        <rFont val="FreeSans"/>
        <family val="2"/>
      </rPr>
      <t xml:space="preserve">گیربکس پارس گرجی شفت </t>
    </r>
    <r>
      <rPr>
        <sz val="10"/>
        <rFont val="Vazirmatn"/>
        <family val="0"/>
        <charset val="1"/>
      </rPr>
      <t xml:space="preserve">48</t>
    </r>
  </si>
  <si>
    <t xml:space="preserve">16217123</t>
  </si>
  <si>
    <r>
      <rPr>
        <sz val="10"/>
        <rFont val="FreeSans"/>
        <family val="2"/>
      </rPr>
      <t xml:space="preserve">گیربکس پارس گرجی شفت </t>
    </r>
    <r>
      <rPr>
        <sz val="10"/>
        <rFont val="Vazirmatn"/>
        <family val="0"/>
        <charset val="1"/>
      </rPr>
      <t xml:space="preserve">32</t>
    </r>
  </si>
  <si>
    <t xml:space="preserve">16217124</t>
  </si>
  <si>
    <r>
      <rPr>
        <sz val="10"/>
        <rFont val="FreeSans"/>
        <family val="2"/>
      </rPr>
      <t xml:space="preserve">گیربکس دو سر شفت </t>
    </r>
    <r>
      <rPr>
        <sz val="10"/>
        <rFont val="Vazirmatn"/>
        <family val="0"/>
        <charset val="1"/>
      </rPr>
      <t xml:space="preserve">23</t>
    </r>
  </si>
  <si>
    <t xml:space="preserve">16217125</t>
  </si>
  <si>
    <r>
      <rPr>
        <sz val="10"/>
        <rFont val="FreeSans"/>
        <family val="2"/>
      </rPr>
      <t xml:space="preserve">گیربکس حلزونی </t>
    </r>
    <r>
      <rPr>
        <sz val="10"/>
        <rFont val="Vazirmatn"/>
        <family val="0"/>
        <charset val="1"/>
      </rPr>
      <t xml:space="preserve">VF86</t>
    </r>
  </si>
  <si>
    <t xml:space="preserve">16217126</t>
  </si>
  <si>
    <r>
      <rPr>
        <sz val="10"/>
        <rFont val="FreeSans"/>
        <family val="2"/>
      </rPr>
      <t xml:space="preserve">گیربکس ایلماز </t>
    </r>
    <r>
      <rPr>
        <sz val="10"/>
        <rFont val="Vazirmatn"/>
        <family val="0"/>
        <charset val="1"/>
      </rPr>
      <t xml:space="preserve">EN100</t>
    </r>
  </si>
  <si>
    <t xml:space="preserve">16217127</t>
  </si>
  <si>
    <r>
      <rPr>
        <sz val="10"/>
        <rFont val="FreeSans"/>
        <family val="2"/>
      </rPr>
      <t xml:space="preserve">گیربکس ایلماز </t>
    </r>
    <r>
      <rPr>
        <sz val="10"/>
        <rFont val="Vazirmatn"/>
        <family val="0"/>
        <charset val="1"/>
      </rPr>
      <t xml:space="preserve">EN80</t>
    </r>
  </si>
  <si>
    <t xml:space="preserve">16217128</t>
  </si>
  <si>
    <r>
      <rPr>
        <sz val="10"/>
        <rFont val="FreeSans"/>
        <family val="2"/>
      </rPr>
      <t xml:space="preserve">گیربکس </t>
    </r>
    <r>
      <rPr>
        <sz val="10"/>
        <rFont val="Vazirmatn"/>
        <family val="0"/>
        <charset val="1"/>
      </rPr>
      <t xml:space="preserve">MAS 35 / P  19</t>
    </r>
  </si>
  <si>
    <t xml:space="preserve">16217129</t>
  </si>
  <si>
    <t xml:space="preserve">گیربکس مرکب ایتالیایی</t>
  </si>
  <si>
    <t xml:space="preserve">16217130</t>
  </si>
  <si>
    <r>
      <rPr>
        <sz val="10"/>
        <rFont val="FreeSans"/>
        <family val="2"/>
      </rPr>
      <t xml:space="preserve">گیربکس پارس گرجی فلنجدار قطر </t>
    </r>
    <r>
      <rPr>
        <sz val="10"/>
        <rFont val="Vazirmatn"/>
        <family val="0"/>
        <charset val="1"/>
      </rPr>
      <t xml:space="preserve">60</t>
    </r>
  </si>
  <si>
    <t xml:space="preserve">16217131</t>
  </si>
  <si>
    <t xml:space="preserve">گیربکس کتابی متوسط</t>
  </si>
  <si>
    <t xml:space="preserve">16217132</t>
  </si>
  <si>
    <t xml:space="preserve">گیربکس پرس گویوم</t>
  </si>
  <si>
    <t xml:space="preserve">16217134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</si>
  <si>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7/5KW  100RPM</t>
    </r>
  </si>
  <si>
    <t xml:space="preserve">16217135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</si>
  <si>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11KW  250RPM</t>
    </r>
  </si>
  <si>
    <t xml:space="preserve">16217136</t>
  </si>
  <si>
    <r>
      <rPr>
        <sz val="10"/>
        <rFont val="FreeSans"/>
        <family val="2"/>
      </rPr>
      <t xml:space="preserve">گیربکس ایلماز  </t>
    </r>
    <r>
      <rPr>
        <sz val="10"/>
        <rFont val="Vazirmatn"/>
        <family val="0"/>
        <charset val="1"/>
      </rPr>
      <t xml:space="preserve">268RPM</t>
    </r>
  </si>
  <si>
    <t xml:space="preserve">16217137</t>
  </si>
  <si>
    <r>
      <rPr>
        <sz val="10"/>
        <rFont val="FreeSans"/>
        <family val="2"/>
      </rPr>
      <t xml:space="preserve">گیربکس منو پمپ </t>
    </r>
    <r>
      <rPr>
        <sz val="10"/>
        <rFont val="Vazirmatn"/>
        <family val="0"/>
        <charset val="1"/>
      </rPr>
      <t xml:space="preserve">GF85</t>
    </r>
  </si>
  <si>
    <t xml:space="preserve">16217138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</si>
  <si>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1/5KW  75RPM</t>
    </r>
  </si>
  <si>
    <t xml:space="preserve">16217139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</si>
  <si>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1/5KW  100RPM</t>
    </r>
  </si>
  <si>
    <t xml:space="preserve">16217140</t>
  </si>
  <si>
    <r>
      <rPr>
        <sz val="10"/>
        <rFont val="FreeSans"/>
        <family val="2"/>
      </rPr>
      <t xml:space="preserve">الکتروگیربکس همزن </t>
    </r>
    <r>
      <rPr>
        <sz val="10"/>
        <rFont val="Vazirmatn"/>
        <family val="0"/>
        <charset val="1"/>
      </rPr>
      <t xml:space="preserve">3KW</t>
    </r>
  </si>
  <si>
    <t xml:space="preserve">16217141</t>
  </si>
  <si>
    <r>
      <rPr>
        <sz val="10"/>
        <rFont val="FreeSans"/>
        <family val="2"/>
      </rPr>
      <t xml:space="preserve">الکتروگیربکس با روتاری </t>
    </r>
    <r>
      <rPr>
        <sz val="10"/>
        <rFont val="Vazirmatn"/>
        <family val="0"/>
        <charset val="1"/>
      </rPr>
      <t xml:space="preserve">1/5KW</t>
    </r>
  </si>
  <si>
    <t xml:space="preserve">16217142</t>
  </si>
  <si>
    <t xml:space="preserve">الکتروگیربکس درام قدیم شربت</t>
  </si>
  <si>
    <t xml:space="preserve">16217143</t>
  </si>
  <si>
    <t xml:space="preserve">الکتروگیربکس خشک کن</t>
  </si>
  <si>
    <t xml:space="preserve">16217144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</si>
  <si>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7/5KW  268RPM</t>
    </r>
  </si>
  <si>
    <t xml:space="preserve">16217145</t>
  </si>
  <si>
    <t xml:space="preserve">الکتروگیربکس به همراه همزن</t>
  </si>
  <si>
    <t xml:space="preserve">16217146</t>
  </si>
  <si>
    <r>
      <rPr>
        <sz val="10"/>
        <rFont val="FreeSans"/>
        <family val="2"/>
      </rPr>
      <t xml:space="preserve">گیربکس ایلماز </t>
    </r>
    <r>
      <rPr>
        <sz val="10"/>
        <rFont val="Vazirmatn"/>
        <family val="0"/>
        <charset val="1"/>
      </rPr>
      <t xml:space="preserve">EN125</t>
    </r>
  </si>
  <si>
    <t xml:space="preserve">16217147</t>
  </si>
  <si>
    <r>
      <rPr>
        <sz val="10"/>
        <rFont val="FreeSans"/>
        <family val="2"/>
      </rPr>
      <t xml:space="preserve">گیربکس همزن تانکهای فروکتوز </t>
    </r>
    <r>
      <rPr>
        <sz val="10"/>
        <rFont val="Vazirmatn"/>
        <family val="0"/>
        <charset val="1"/>
      </rPr>
      <t xml:space="preserve">( FCWDK 0155 )</t>
    </r>
  </si>
  <si>
    <t xml:space="preserve">16217148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</si>
  <si>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0/75KW  750RPM</t>
    </r>
  </si>
  <si>
    <t xml:space="preserve">16217200</t>
  </si>
  <si>
    <r>
      <rPr>
        <sz val="10"/>
        <rFont val="FreeSans"/>
        <family val="2"/>
      </rPr>
      <t xml:space="preserve">الکترو پمپ  </t>
    </r>
    <r>
      <rPr>
        <sz val="10"/>
        <rFont val="Vazirmatn"/>
        <family val="0"/>
        <charset val="1"/>
      </rPr>
      <t xml:space="preserve">11KW  3000RPM</t>
    </r>
  </si>
  <si>
    <t xml:space="preserve">16217201</t>
  </si>
  <si>
    <r>
      <rPr>
        <sz val="10"/>
        <rFont val="FreeSans"/>
        <family val="2"/>
      </rPr>
      <t xml:space="preserve">الکترو پمپ  </t>
    </r>
    <r>
      <rPr>
        <sz val="10"/>
        <rFont val="Vazirmatn"/>
        <family val="0"/>
        <charset val="1"/>
      </rPr>
      <t xml:space="preserve">1/5KW  1500RPM</t>
    </r>
  </si>
  <si>
    <t xml:space="preserve">16217202</t>
  </si>
  <si>
    <r>
      <rPr>
        <sz val="10"/>
        <rFont val="FreeSans"/>
        <family val="2"/>
      </rPr>
      <t xml:space="preserve">الکترو پمپ  </t>
    </r>
    <r>
      <rPr>
        <sz val="10"/>
        <rFont val="Vazirmatn"/>
        <family val="0"/>
        <charset val="1"/>
      </rPr>
      <t xml:space="preserve">2/2KW  3000RPM</t>
    </r>
  </si>
  <si>
    <t xml:space="preserve">16217203</t>
  </si>
  <si>
    <r>
      <rPr>
        <sz val="10"/>
        <rFont val="FreeSans"/>
        <family val="2"/>
      </rPr>
      <t xml:space="preserve">الکترو پمپ  </t>
    </r>
    <r>
      <rPr>
        <sz val="10"/>
        <rFont val="Vazirmatn"/>
        <family val="0"/>
        <charset val="1"/>
      </rPr>
      <t xml:space="preserve">4KW  3000RPM</t>
    </r>
  </si>
  <si>
    <t xml:space="preserve">16217204</t>
  </si>
  <si>
    <r>
      <rPr>
        <sz val="10"/>
        <rFont val="FreeSans"/>
        <family val="2"/>
      </rPr>
      <t xml:space="preserve">الکترو پمپ اسید  </t>
    </r>
    <r>
      <rPr>
        <sz val="10"/>
        <rFont val="Vazirmatn"/>
        <family val="0"/>
        <charset val="1"/>
      </rPr>
      <t xml:space="preserve">2/2KW  1500RPM</t>
    </r>
  </si>
  <si>
    <t xml:space="preserve">16217205</t>
  </si>
  <si>
    <r>
      <rPr>
        <sz val="10"/>
        <rFont val="FreeSans"/>
        <family val="2"/>
      </rPr>
      <t xml:space="preserve">الکترو پمپ  </t>
    </r>
    <r>
      <rPr>
        <sz val="10"/>
        <rFont val="Vazirmatn"/>
        <family val="0"/>
        <charset val="1"/>
      </rPr>
      <t xml:space="preserve">7/5KW  1500RPM</t>
    </r>
  </si>
  <si>
    <t xml:space="preserve">16217206</t>
  </si>
  <si>
    <t xml:space="preserve">الکترو پمپ خلاء اواپراتور</t>
  </si>
  <si>
    <t xml:space="preserve">16217207</t>
  </si>
  <si>
    <t xml:space="preserve">الکترو پمپ خلاء درام پادوان</t>
  </si>
  <si>
    <t xml:space="preserve">16217208</t>
  </si>
  <si>
    <t xml:space="preserve">پمپ عمودی دیگ بخار</t>
  </si>
  <si>
    <t xml:space="preserve">16217209</t>
  </si>
  <si>
    <r>
      <rPr>
        <sz val="10"/>
        <rFont val="FreeSans"/>
        <family val="2"/>
      </rPr>
      <t xml:space="preserve">پمپ ایران  </t>
    </r>
    <r>
      <rPr>
        <sz val="10"/>
        <rFont val="Vazirmatn"/>
        <family val="0"/>
        <charset val="1"/>
      </rPr>
      <t xml:space="preserve">250 - 100</t>
    </r>
  </si>
  <si>
    <t xml:space="preserve">16217210</t>
  </si>
  <si>
    <t xml:space="preserve">پمپ چاله</t>
  </si>
  <si>
    <t xml:space="preserve">16217211</t>
  </si>
  <si>
    <r>
      <rPr>
        <sz val="10"/>
        <rFont val="FreeSans"/>
        <family val="2"/>
      </rPr>
      <t xml:space="preserve">پمپ روغن  </t>
    </r>
    <r>
      <rPr>
        <sz val="10"/>
        <rFont val="Vazirmatn"/>
        <family val="0"/>
        <charset val="1"/>
      </rPr>
      <t xml:space="preserve">2/2KW  3000RPM</t>
    </r>
  </si>
  <si>
    <t xml:space="preserve">16217212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</si>
  <si>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150-125-315</t>
    </r>
  </si>
  <si>
    <t xml:space="preserve">16217213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</si>
  <si>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KHZ 100-65-315</t>
    </r>
  </si>
  <si>
    <t xml:space="preserve">16217214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</si>
  <si>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65-50-250</t>
    </r>
  </si>
  <si>
    <t xml:space="preserve">16217215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</si>
  <si>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KHZ 100-65-250</t>
    </r>
  </si>
  <si>
    <t xml:space="preserve">16217216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</si>
  <si>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80-65-200</t>
    </r>
  </si>
  <si>
    <t xml:space="preserve">16217217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</si>
  <si>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KHZ 80-65-250</t>
    </r>
  </si>
  <si>
    <t xml:space="preserve">16217218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</si>
  <si>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65-50-160</t>
    </r>
  </si>
  <si>
    <t xml:space="preserve">16217219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</si>
  <si>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65-50-200</t>
    </r>
  </si>
  <si>
    <t xml:space="preserve">16217220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</si>
  <si>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80-65-125</t>
    </r>
  </si>
  <si>
    <t xml:space="preserve">16217221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</si>
  <si>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80-65-160</t>
    </r>
  </si>
  <si>
    <t xml:space="preserve">16217222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</si>
  <si>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80-50-400</t>
    </r>
  </si>
  <si>
    <t xml:space="preserve">16217223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</si>
  <si>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125-100-400</t>
    </r>
  </si>
  <si>
    <t xml:space="preserve">16217224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</si>
  <si>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KPW 125-100-400</t>
    </r>
  </si>
  <si>
    <t xml:space="preserve">16217225</t>
  </si>
  <si>
    <t xml:space="preserve">پمپ لوپ ایرانی</t>
  </si>
  <si>
    <t xml:space="preserve">16217226</t>
  </si>
  <si>
    <r>
      <rPr>
        <sz val="10"/>
        <rFont val="FreeSans"/>
        <family val="2"/>
      </rPr>
      <t xml:space="preserve">پمپ خلاء درام پادوان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خروجی</t>
    </r>
  </si>
  <si>
    <t xml:space="preserve">16217227</t>
  </si>
  <si>
    <r>
      <rPr>
        <sz val="10"/>
        <rFont val="FreeSans"/>
        <family val="2"/>
      </rPr>
      <t xml:space="preserve">پمپ خلاء درام پادوان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خروجی</t>
    </r>
  </si>
  <si>
    <t xml:space="preserve">16217230</t>
  </si>
  <si>
    <t xml:space="preserve">پمپ اسید</t>
  </si>
  <si>
    <t xml:space="preserve">16217231</t>
  </si>
  <si>
    <r>
      <rPr>
        <sz val="10"/>
        <rFont val="FreeSans"/>
        <family val="2"/>
      </rPr>
      <t xml:space="preserve">پمپ اسید </t>
    </r>
    <r>
      <rPr>
        <sz val="10"/>
        <rFont val="Vazirmatn"/>
        <family val="0"/>
        <charset val="1"/>
      </rPr>
      <t xml:space="preserve">( IHF )</t>
    </r>
  </si>
  <si>
    <t xml:space="preserve">16217232</t>
  </si>
  <si>
    <r>
      <rPr>
        <sz val="10"/>
        <rFont val="FreeSans"/>
        <family val="2"/>
      </rPr>
      <t xml:space="preserve">پمپ گل کش </t>
    </r>
    <r>
      <rPr>
        <sz val="10"/>
        <rFont val="Vazirmatn"/>
        <family val="0"/>
        <charset val="1"/>
      </rPr>
      <t xml:space="preserve">300 - 50 ( HDS )</t>
    </r>
  </si>
  <si>
    <t xml:space="preserve">16217233</t>
  </si>
  <si>
    <t xml:space="preserve">مونو پمپ بهلول مشهد</t>
  </si>
  <si>
    <t xml:space="preserve">16217234</t>
  </si>
  <si>
    <r>
      <rPr>
        <sz val="10"/>
        <rFont val="FreeSans"/>
        <family val="2"/>
      </rPr>
      <t xml:space="preserve">دوزینگ پمپ  </t>
    </r>
    <r>
      <rPr>
        <sz val="10"/>
        <rFont val="Vazirmatn"/>
        <family val="0"/>
        <charset val="1"/>
      </rPr>
      <t xml:space="preserve">0/55KW  1500RPM</t>
    </r>
  </si>
  <si>
    <t xml:space="preserve">16217235</t>
  </si>
  <si>
    <r>
      <rPr>
        <sz val="10"/>
        <rFont val="FreeSans"/>
        <family val="2"/>
      </rPr>
      <t xml:space="preserve">دوزینگ پمپ  </t>
    </r>
    <r>
      <rPr>
        <sz val="10"/>
        <rFont val="Vazirmatn"/>
        <family val="0"/>
        <charset val="1"/>
      </rPr>
      <t xml:space="preserve">0/25KW  1500RPM</t>
    </r>
  </si>
  <si>
    <t xml:space="preserve">16217236</t>
  </si>
  <si>
    <r>
      <rPr>
        <sz val="10"/>
        <rFont val="FreeSans"/>
        <family val="2"/>
      </rPr>
      <t xml:space="preserve">دوزینگ پمپ  </t>
    </r>
    <r>
      <rPr>
        <sz val="10"/>
        <rFont val="Vazirmatn"/>
        <family val="0"/>
        <charset val="1"/>
      </rPr>
      <t xml:space="preserve">0/37KW  1500RPM</t>
    </r>
  </si>
  <si>
    <t xml:space="preserve">16217237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</si>
  <si>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40-25-125</t>
    </r>
  </si>
  <si>
    <t xml:space="preserve">16217238</t>
  </si>
  <si>
    <r>
      <rPr>
        <sz val="10"/>
        <rFont val="FreeSans"/>
        <family val="2"/>
      </rPr>
      <t xml:space="preserve">پمپ ایران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طرح قدیم </t>
    </r>
    <r>
      <rPr>
        <sz val="10"/>
        <rFont val="Vazirmatn"/>
        <family val="0"/>
        <charset val="1"/>
      </rPr>
      <t xml:space="preserve">) 160 - 50</t>
    </r>
  </si>
  <si>
    <t xml:space="preserve">16217239</t>
  </si>
  <si>
    <t xml:space="preserve">پمپ سرندی</t>
  </si>
  <si>
    <t xml:space="preserve">16217240</t>
  </si>
  <si>
    <t xml:space="preserve">پمپ در سایزهای مختلف</t>
  </si>
  <si>
    <t xml:space="preserve">16217241</t>
  </si>
  <si>
    <t xml:space="preserve">پمپ دنده ای تانکر حمل گلوکوز</t>
  </si>
  <si>
    <t xml:space="preserve">16217242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</si>
  <si>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80-65-250</t>
    </r>
  </si>
  <si>
    <t xml:space="preserve">16217243</t>
  </si>
  <si>
    <r>
      <rPr>
        <sz val="10"/>
        <rFont val="FreeSans"/>
        <family val="2"/>
      </rPr>
      <t xml:space="preserve">مونو پمپ  </t>
    </r>
    <r>
      <rPr>
        <sz val="10"/>
        <rFont val="Vazirmatn"/>
        <family val="0"/>
        <charset val="1"/>
      </rPr>
      <t xml:space="preserve">GF 85</t>
    </r>
  </si>
  <si>
    <t xml:space="preserve">16217244</t>
  </si>
  <si>
    <r>
      <rPr>
        <sz val="10"/>
        <rFont val="FreeSans"/>
        <family val="2"/>
      </rPr>
      <t xml:space="preserve">پمپ دنده ای </t>
    </r>
    <r>
      <rPr>
        <sz val="10"/>
        <rFont val="Vazirmatn"/>
        <family val="0"/>
        <charset val="1"/>
      </rPr>
      <t xml:space="preserve">GF10</t>
    </r>
  </si>
  <si>
    <t xml:space="preserve">16217245</t>
  </si>
  <si>
    <t xml:space="preserve">الکترو پمپ خلاء کندانسور اواپراتور</t>
  </si>
  <si>
    <t xml:space="preserve">16217246</t>
  </si>
  <si>
    <t xml:space="preserve">پمپ  اسید</t>
  </si>
  <si>
    <t xml:space="preserve">16217247</t>
  </si>
  <si>
    <r>
      <rPr>
        <sz val="10"/>
        <rFont val="FreeSans"/>
        <family val="2"/>
      </rPr>
      <t xml:space="preserve">الکترو پمپ اسید  </t>
    </r>
    <r>
      <rPr>
        <sz val="10"/>
        <rFont val="Vazirmatn"/>
        <family val="0"/>
        <charset val="1"/>
      </rPr>
      <t xml:space="preserve">2/2KW  3000RPM</t>
    </r>
  </si>
  <si>
    <t xml:space="preserve">16217248</t>
  </si>
  <si>
    <t xml:space="preserve">پمپ طبقاتی شناور</t>
  </si>
  <si>
    <t xml:space="preserve">16217249</t>
  </si>
  <si>
    <r>
      <rPr>
        <sz val="10"/>
        <rFont val="FreeSans"/>
        <family val="2"/>
      </rPr>
      <t xml:space="preserve">الکترو پمپ بشقابی استیل  </t>
    </r>
    <r>
      <rPr>
        <sz val="10"/>
        <rFont val="Vazirmatn"/>
        <family val="0"/>
        <charset val="1"/>
      </rPr>
      <t xml:space="preserve">1/1KW  3000RPM</t>
    </r>
  </si>
  <si>
    <t xml:space="preserve">16217250</t>
  </si>
  <si>
    <t xml:space="preserve">پمپ فومینگ تانک</t>
  </si>
  <si>
    <t xml:space="preserve">16217251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</si>
  <si>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125-80-160</t>
    </r>
  </si>
  <si>
    <t xml:space="preserve">16217252</t>
  </si>
  <si>
    <r>
      <rPr>
        <sz val="10"/>
        <rFont val="FreeSans"/>
        <family val="2"/>
      </rPr>
      <t xml:space="preserve">الکترو پمپ خلاء  </t>
    </r>
    <r>
      <rPr>
        <sz val="10"/>
        <rFont val="Vazirmatn"/>
        <family val="0"/>
        <charset val="1"/>
      </rPr>
      <t xml:space="preserve">45KW  750RPM</t>
    </r>
  </si>
  <si>
    <t xml:space="preserve">16217253</t>
  </si>
  <si>
    <r>
      <rPr>
        <sz val="10"/>
        <rFont val="FreeSans"/>
        <family val="2"/>
      </rPr>
      <t xml:space="preserve">الکترو پمپ ایران </t>
    </r>
    <r>
      <rPr>
        <sz val="10"/>
        <rFont val="Vazirmatn"/>
        <family val="0"/>
        <charset val="1"/>
      </rPr>
      <t xml:space="preserve">160-32</t>
    </r>
  </si>
  <si>
    <t xml:space="preserve">16217254</t>
  </si>
  <si>
    <r>
      <rPr>
        <sz val="10"/>
        <rFont val="FreeSans"/>
        <family val="2"/>
      </rPr>
      <t xml:space="preserve">پمپ سولزر </t>
    </r>
    <r>
      <rPr>
        <sz val="10"/>
        <rFont val="Vazirmatn"/>
        <family val="0"/>
        <charset val="1"/>
      </rPr>
      <t xml:space="preserve">APP11-50</t>
    </r>
  </si>
  <si>
    <t xml:space="preserve">16217255</t>
  </si>
  <si>
    <r>
      <rPr>
        <sz val="10"/>
        <rFont val="FreeSans"/>
        <family val="2"/>
      </rPr>
      <t xml:space="preserve">الکترو پمپ </t>
    </r>
    <r>
      <rPr>
        <sz val="10"/>
        <rFont val="Vazirmatn"/>
        <family val="0"/>
        <charset val="1"/>
      </rPr>
      <t xml:space="preserve">8002 </t>
    </r>
    <r>
      <rPr>
        <sz val="10"/>
        <rFont val="FreeSans"/>
        <family val="2"/>
      </rPr>
      <t xml:space="preserve">آلفالاوال </t>
    </r>
    <r>
      <rPr>
        <sz val="10"/>
        <rFont val="Vazirmatn"/>
        <family val="0"/>
        <charset val="1"/>
      </rPr>
      <t xml:space="preserve">1/5KW 1500RPM</t>
    </r>
  </si>
  <si>
    <t xml:space="preserve">16217256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</si>
  <si>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50-32-160</t>
    </r>
  </si>
  <si>
    <t xml:space="preserve">16217257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</si>
  <si>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IHD 50-32-125</t>
    </r>
  </si>
  <si>
    <t xml:space="preserve">16217258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</si>
  <si>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KHZ 65-50-160</t>
    </r>
  </si>
  <si>
    <t xml:space="preserve">16217259</t>
  </si>
  <si>
    <r>
      <rPr>
        <sz val="10"/>
        <rFont val="FreeSans"/>
        <family val="2"/>
      </rPr>
      <t xml:space="preserve">الکترو پمپ آلفالاوال </t>
    </r>
    <r>
      <rPr>
        <sz val="10"/>
        <rFont val="Vazirmatn"/>
        <family val="0"/>
        <charset val="1"/>
      </rPr>
      <t xml:space="preserve">1/5KW 3000RPM</t>
    </r>
  </si>
  <si>
    <t xml:space="preserve">16217260</t>
  </si>
  <si>
    <t xml:space="preserve">پمپ واش باطری اکسید</t>
  </si>
  <si>
    <t xml:space="preserve">16217261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</si>
  <si>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KHZ 65-50-200</t>
    </r>
  </si>
  <si>
    <t xml:space="preserve">16217263</t>
  </si>
  <si>
    <r>
      <rPr>
        <sz val="10"/>
        <rFont val="FreeSans"/>
        <family val="2"/>
      </rPr>
      <t xml:space="preserve">پمپ آلفالاوال </t>
    </r>
    <r>
      <rPr>
        <sz val="10"/>
        <rFont val="Vazirmatn"/>
        <family val="0"/>
        <charset val="1"/>
      </rPr>
      <t xml:space="preserve">( 8111 ) 2/2KW 3000RPM</t>
    </r>
  </si>
  <si>
    <t xml:space="preserve">16217264</t>
  </si>
  <si>
    <r>
      <rPr>
        <sz val="10"/>
        <rFont val="FreeSans"/>
        <family val="2"/>
      </rPr>
      <t xml:space="preserve">پمپ   </t>
    </r>
    <r>
      <rPr>
        <sz val="10"/>
        <rFont val="Vazirmatn"/>
        <family val="0"/>
        <charset val="1"/>
      </rPr>
      <t xml:space="preserve">KPW 150-125-315</t>
    </r>
  </si>
  <si>
    <t xml:space="preserve">16217265</t>
  </si>
  <si>
    <r>
      <rPr>
        <sz val="10"/>
        <rFont val="FreeSans"/>
        <family val="2"/>
      </rPr>
      <t xml:space="preserve">پمپ ایران  </t>
    </r>
    <r>
      <rPr>
        <sz val="10"/>
        <rFont val="Vazirmatn"/>
        <family val="0"/>
        <charset val="1"/>
      </rPr>
      <t xml:space="preserve">250 - 50</t>
    </r>
  </si>
  <si>
    <t xml:space="preserve">16217266</t>
  </si>
  <si>
    <r>
      <rPr>
        <sz val="10"/>
        <rFont val="FreeSans"/>
        <family val="2"/>
      </rPr>
      <t xml:space="preserve">پمپ ایران  </t>
    </r>
    <r>
      <rPr>
        <sz val="10"/>
        <rFont val="Vazirmatn"/>
        <family val="0"/>
        <charset val="1"/>
      </rPr>
      <t xml:space="preserve">250 - 65</t>
    </r>
  </si>
  <si>
    <t xml:space="preserve">16217267</t>
  </si>
  <si>
    <r>
      <rPr>
        <sz val="10"/>
        <rFont val="FreeSans"/>
        <family val="2"/>
      </rPr>
      <t xml:space="preserve">پمپ ایران  </t>
    </r>
    <r>
      <rPr>
        <sz val="10"/>
        <rFont val="Vazirmatn"/>
        <family val="0"/>
        <charset val="1"/>
      </rPr>
      <t xml:space="preserve">315 - 65</t>
    </r>
  </si>
  <si>
    <t xml:space="preserve">16217268</t>
  </si>
  <si>
    <r>
      <rPr>
        <sz val="10"/>
        <rFont val="FreeSans"/>
        <family val="2"/>
      </rPr>
      <t xml:space="preserve">پمپ ایران  </t>
    </r>
    <r>
      <rPr>
        <sz val="10"/>
        <rFont val="Vazirmatn"/>
        <family val="0"/>
        <charset val="1"/>
      </rPr>
      <t xml:space="preserve">250 - 150</t>
    </r>
  </si>
  <si>
    <t xml:space="preserve">16217269</t>
  </si>
  <si>
    <r>
      <rPr>
        <sz val="10"/>
        <rFont val="FreeSans"/>
        <family val="2"/>
      </rPr>
      <t xml:space="preserve">پمپ ایران  </t>
    </r>
    <r>
      <rPr>
        <sz val="10"/>
        <rFont val="Vazirmatn"/>
        <family val="0"/>
        <charset val="1"/>
      </rPr>
      <t xml:space="preserve">315 - 150</t>
    </r>
  </si>
  <si>
    <t xml:space="preserve">16217270</t>
  </si>
  <si>
    <r>
      <rPr>
        <sz val="10"/>
        <rFont val="FreeSans"/>
        <family val="2"/>
      </rPr>
      <t xml:space="preserve">پمپ آپارتمانی </t>
    </r>
    <r>
      <rPr>
        <sz val="10"/>
        <rFont val="Vazirmatn"/>
        <family val="0"/>
        <charset val="1"/>
      </rPr>
      <t xml:space="preserve">1/5 </t>
    </r>
    <r>
      <rPr>
        <sz val="10"/>
        <rFont val="FreeSans"/>
        <family val="2"/>
      </rPr>
      <t xml:space="preserve">اسب</t>
    </r>
  </si>
  <si>
    <t xml:space="preserve">16217271</t>
  </si>
  <si>
    <r>
      <rPr>
        <sz val="10"/>
        <rFont val="FreeSans"/>
        <family val="2"/>
      </rPr>
      <t xml:space="preserve">الکترو پمپ   </t>
    </r>
    <r>
      <rPr>
        <sz val="10"/>
        <rFont val="Vazirmatn"/>
        <family val="0"/>
        <charset val="1"/>
      </rPr>
      <t xml:space="preserve">IHD 100-65-200</t>
    </r>
  </si>
  <si>
    <t xml:space="preserve">16217272</t>
  </si>
  <si>
    <t xml:space="preserve">الکترو پمپ خلاء</t>
  </si>
  <si>
    <t xml:space="preserve">16217300</t>
  </si>
  <si>
    <r>
      <rPr>
        <sz val="10"/>
        <rFont val="FreeSans"/>
        <family val="2"/>
      </rPr>
      <t xml:space="preserve">الکترو فن  </t>
    </r>
    <r>
      <rPr>
        <sz val="10"/>
        <rFont val="Vazirmatn"/>
        <family val="0"/>
        <charset val="1"/>
      </rPr>
      <t xml:space="preserve">0/37KW  1500RPM</t>
    </r>
  </si>
  <si>
    <t xml:space="preserve">16217301</t>
  </si>
  <si>
    <r>
      <rPr>
        <sz val="10"/>
        <rFont val="FreeSans"/>
        <family val="2"/>
      </rPr>
      <t xml:space="preserve">الکترو فن  </t>
    </r>
    <r>
      <rPr>
        <sz val="10"/>
        <rFont val="Vazirmatn"/>
        <family val="0"/>
        <charset val="1"/>
      </rPr>
      <t xml:space="preserve">0/75KW  3000RPM</t>
    </r>
  </si>
  <si>
    <t xml:space="preserve">16217302</t>
  </si>
  <si>
    <t xml:space="preserve">الکترو فن دیگ دئوترم</t>
  </si>
  <si>
    <t xml:space="preserve">16217303</t>
  </si>
  <si>
    <r>
      <rPr>
        <sz val="10"/>
        <rFont val="FreeSans"/>
        <family val="2"/>
      </rPr>
      <t xml:space="preserve">فن کوره  </t>
    </r>
    <r>
      <rPr>
        <sz val="10"/>
        <rFont val="Vazirmatn"/>
        <family val="0"/>
        <charset val="1"/>
      </rPr>
      <t xml:space="preserve">SO2</t>
    </r>
  </si>
  <si>
    <t xml:space="preserve">16217304</t>
  </si>
  <si>
    <t xml:space="preserve">فن</t>
  </si>
  <si>
    <t xml:space="preserve">16217305</t>
  </si>
  <si>
    <r>
      <rPr>
        <sz val="10"/>
        <rFont val="FreeSans"/>
        <family val="2"/>
      </rPr>
      <t xml:space="preserve">الکترو فن دمنده  </t>
    </r>
    <r>
      <rPr>
        <sz val="10"/>
        <rFont val="Vazirmatn"/>
        <family val="0"/>
        <charset val="1"/>
      </rPr>
      <t xml:space="preserve">18/5KW  300RPM</t>
    </r>
  </si>
  <si>
    <t xml:space="preserve">16217306</t>
  </si>
  <si>
    <r>
      <rPr>
        <sz val="10"/>
        <rFont val="FreeSans"/>
        <family val="2"/>
      </rPr>
      <t xml:space="preserve">الکترو فن  </t>
    </r>
    <r>
      <rPr>
        <sz val="10"/>
        <rFont val="Vazirmatn"/>
        <family val="0"/>
        <charset val="1"/>
      </rPr>
      <t xml:space="preserve">1/5KW</t>
    </r>
  </si>
  <si>
    <t xml:space="preserve">16217400</t>
  </si>
  <si>
    <t xml:space="preserve">روتوری</t>
  </si>
  <si>
    <t xml:space="preserve">16217401</t>
  </si>
  <si>
    <t xml:space="preserve">دستگاه روتوری</t>
  </si>
  <si>
    <t xml:space="preserve">16217402</t>
  </si>
  <si>
    <t xml:space="preserve">روتوری الکتروموتور</t>
  </si>
  <si>
    <t xml:space="preserve">16217500</t>
  </si>
  <si>
    <t xml:space="preserve">کمپرسور کوپلند سردخانه روغن</t>
  </si>
  <si>
    <t xml:space="preserve">16218000</t>
  </si>
  <si>
    <r>
      <rPr>
        <sz val="10"/>
        <rFont val="FreeSans"/>
        <family val="2"/>
      </rPr>
      <t xml:space="preserve">نوار نقاله عرض </t>
    </r>
    <r>
      <rPr>
        <sz val="10"/>
        <rFont val="Vazirmatn"/>
        <family val="0"/>
        <charset val="1"/>
      </rPr>
      <t xml:space="preserve">20</t>
    </r>
  </si>
  <si>
    <t xml:space="preserve">16218001</t>
  </si>
  <si>
    <r>
      <rPr>
        <sz val="10"/>
        <rFont val="FreeSans"/>
        <family val="2"/>
      </rPr>
      <t xml:space="preserve">نوار نقاله عرض </t>
    </r>
    <r>
      <rPr>
        <sz val="10"/>
        <rFont val="Vazirmatn"/>
        <family val="0"/>
        <charset val="1"/>
      </rPr>
      <t xml:space="preserve">60</t>
    </r>
  </si>
  <si>
    <t xml:space="preserve">16218100</t>
  </si>
  <si>
    <t xml:space="preserve">پروژکتور</t>
  </si>
  <si>
    <t xml:space="preserve">16219100</t>
  </si>
  <si>
    <r>
      <rPr>
        <sz val="10"/>
        <rFont val="Vazirmatn"/>
        <family val="0"/>
        <charset val="1"/>
      </rPr>
      <t xml:space="preserve">CT </t>
    </r>
    <r>
      <rPr>
        <sz val="10"/>
        <rFont val="FreeSans"/>
        <family val="2"/>
      </rPr>
      <t xml:space="preserve">فشار قوی</t>
    </r>
  </si>
  <si>
    <t xml:space="preserve">16219101</t>
  </si>
  <si>
    <r>
      <rPr>
        <sz val="10"/>
        <rFont val="Vazirmatn"/>
        <family val="0"/>
        <charset val="1"/>
      </rPr>
      <t xml:space="preserve">PT </t>
    </r>
    <r>
      <rPr>
        <sz val="10"/>
        <rFont val="FreeSans"/>
        <family val="2"/>
      </rPr>
      <t xml:space="preserve">فشار قوی</t>
    </r>
  </si>
  <si>
    <t xml:space="preserve">16219102</t>
  </si>
  <si>
    <r>
      <rPr>
        <sz val="10"/>
        <rFont val="Vazirmatn"/>
        <family val="0"/>
        <charset val="1"/>
      </rPr>
      <t xml:space="preserve">CT </t>
    </r>
    <r>
      <rPr>
        <sz val="10"/>
        <rFont val="FreeSans"/>
        <family val="2"/>
      </rPr>
      <t xml:space="preserve">برق</t>
    </r>
  </si>
  <si>
    <t xml:space="preserve">16219200</t>
  </si>
  <si>
    <r>
      <rPr>
        <sz val="10"/>
        <rFont val="FreeSans"/>
        <family val="2"/>
      </rPr>
      <t xml:space="preserve">درایو دانفوس </t>
    </r>
    <r>
      <rPr>
        <sz val="10"/>
        <rFont val="Vazirmatn"/>
        <family val="0"/>
        <charset val="1"/>
      </rPr>
      <t xml:space="preserve">45KW</t>
    </r>
  </si>
  <si>
    <t xml:space="preserve">16219201</t>
  </si>
  <si>
    <r>
      <rPr>
        <sz val="10"/>
        <rFont val="FreeSans"/>
        <family val="2"/>
      </rPr>
      <t xml:space="preserve">درایو دانفوس </t>
    </r>
    <r>
      <rPr>
        <sz val="10"/>
        <rFont val="Vazirmatn"/>
        <family val="0"/>
        <charset val="1"/>
      </rPr>
      <t xml:space="preserve">22KW</t>
    </r>
  </si>
  <si>
    <t xml:space="preserve">16219202</t>
  </si>
  <si>
    <r>
      <rPr>
        <sz val="10"/>
        <rFont val="FreeSans"/>
        <family val="2"/>
      </rPr>
      <t xml:space="preserve">درایو دانفوس </t>
    </r>
    <r>
      <rPr>
        <sz val="10"/>
        <rFont val="Vazirmatn"/>
        <family val="0"/>
        <charset val="1"/>
      </rPr>
      <t xml:space="preserve">11KW</t>
    </r>
  </si>
  <si>
    <t xml:space="preserve">16219203</t>
  </si>
  <si>
    <r>
      <rPr>
        <sz val="10"/>
        <rFont val="FreeSans"/>
        <family val="2"/>
      </rPr>
      <t xml:space="preserve">درایو </t>
    </r>
    <r>
      <rPr>
        <sz val="10"/>
        <rFont val="Vazirmatn"/>
        <family val="0"/>
        <charset val="1"/>
      </rPr>
      <t xml:space="preserve">ABB ( 11KW )</t>
    </r>
  </si>
  <si>
    <t xml:space="preserve">16226000</t>
  </si>
  <si>
    <r>
      <rPr>
        <sz val="10"/>
        <rFont val="FreeSans"/>
        <family val="2"/>
      </rPr>
      <t xml:space="preserve">سیل قطر </t>
    </r>
    <r>
      <rPr>
        <sz val="10"/>
        <rFont val="Vazirmatn"/>
        <family val="0"/>
        <charset val="1"/>
      </rPr>
      <t xml:space="preserve">35</t>
    </r>
  </si>
  <si>
    <t xml:space="preserve">16226001</t>
  </si>
  <si>
    <r>
      <rPr>
        <sz val="10"/>
        <rFont val="FreeSans"/>
        <family val="2"/>
      </rPr>
      <t xml:space="preserve">سیل قطر </t>
    </r>
    <r>
      <rPr>
        <sz val="10"/>
        <rFont val="Vazirmatn"/>
        <family val="0"/>
        <charset val="1"/>
      </rPr>
      <t xml:space="preserve">45</t>
    </r>
  </si>
  <si>
    <t xml:space="preserve">16226003</t>
  </si>
  <si>
    <r>
      <rPr>
        <sz val="10"/>
        <rFont val="FreeSans"/>
        <family val="2"/>
      </rPr>
      <t xml:space="preserve">سیل سپراتور </t>
    </r>
    <r>
      <rPr>
        <sz val="10"/>
        <rFont val="Vazirmatn"/>
        <family val="0"/>
        <charset val="1"/>
      </rPr>
      <t xml:space="preserve">( 040-2145-3296 )</t>
    </r>
  </si>
  <si>
    <t xml:space="preserve">16226004</t>
  </si>
  <si>
    <r>
      <rPr>
        <sz val="10"/>
        <rFont val="FreeSans"/>
        <family val="2"/>
      </rPr>
      <t xml:space="preserve">سیل پمپ لوپ </t>
    </r>
    <r>
      <rPr>
        <sz val="10"/>
        <rFont val="Vazirmatn"/>
        <family val="0"/>
        <charset val="1"/>
      </rPr>
      <t xml:space="preserve">( Sru4 )</t>
    </r>
  </si>
  <si>
    <t xml:space="preserve">16226005</t>
  </si>
  <si>
    <t xml:space="preserve">سیل پمپ سولزر</t>
  </si>
  <si>
    <t xml:space="preserve">16226007</t>
  </si>
  <si>
    <r>
      <rPr>
        <sz val="10"/>
        <rFont val="FreeSans"/>
        <family val="2"/>
      </rPr>
      <t xml:space="preserve">سیل قطر </t>
    </r>
    <r>
      <rPr>
        <sz val="10"/>
        <rFont val="Vazirmatn"/>
        <family val="0"/>
        <charset val="1"/>
      </rPr>
      <t xml:space="preserve">50</t>
    </r>
  </si>
  <si>
    <t xml:space="preserve">16227000</t>
  </si>
  <si>
    <t xml:space="preserve">نازل سرندهای آسیاب ایمپکت قدیم</t>
  </si>
  <si>
    <t xml:space="preserve">16228000</t>
  </si>
  <si>
    <t xml:space="preserve">توری بوجاری</t>
  </si>
  <si>
    <t xml:space="preserve">16228001</t>
  </si>
  <si>
    <t xml:space="preserve">توری پرس پوسته</t>
  </si>
  <si>
    <t xml:space="preserve">16228002</t>
  </si>
  <si>
    <t xml:space="preserve">قاب هلیس استیل</t>
  </si>
  <si>
    <t xml:space="preserve">16228004</t>
  </si>
  <si>
    <r>
      <rPr>
        <sz val="10"/>
        <rFont val="FreeSans"/>
        <family val="2"/>
      </rPr>
      <t xml:space="preserve">توری آهنی نورد شده مش </t>
    </r>
    <r>
      <rPr>
        <sz val="10"/>
        <rFont val="Vazirmatn"/>
        <family val="0"/>
        <charset val="1"/>
      </rPr>
      <t xml:space="preserve">5 20Cm*200Cm</t>
    </r>
  </si>
  <si>
    <t xml:space="preserve">16228005</t>
  </si>
  <si>
    <t xml:space="preserve">شن گیر</t>
  </si>
  <si>
    <t xml:space="preserve">16232000</t>
  </si>
  <si>
    <t xml:space="preserve">بوشن استیل و آهن در سایزهای مختلف</t>
  </si>
  <si>
    <r>
      <rPr>
        <sz val="10"/>
        <rFont val="Vazirmatn"/>
        <family val="0"/>
        <charset val="1"/>
      </rPr>
      <t xml:space="preserve">1623 (</t>
    </r>
    <r>
      <rPr>
        <sz val="10"/>
        <rFont val="FreeSans"/>
        <family val="2"/>
      </rPr>
      <t xml:space="preserve">بوش، یاتاقان</t>
    </r>
    <r>
      <rPr>
        <sz val="10"/>
        <rFont val="Vazirmatn"/>
        <family val="0"/>
        <charset val="1"/>
      </rPr>
      <t xml:space="preserve">)</t>
    </r>
  </si>
  <si>
    <t xml:space="preserve">16232001</t>
  </si>
  <si>
    <t xml:space="preserve">بوشن آذین در سایزهای مختلف</t>
  </si>
  <si>
    <t xml:space="preserve">16232002</t>
  </si>
  <si>
    <r>
      <rPr>
        <sz val="10"/>
        <rFont val="FreeSans"/>
        <family val="2"/>
      </rPr>
      <t xml:space="preserve">بوشن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در سایزهای مختلف</t>
    </r>
  </si>
  <si>
    <t xml:space="preserve">16232003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</si>
  <si>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200 - 32 - 50 IHD</t>
    </r>
  </si>
  <si>
    <t xml:space="preserve">16232004</t>
  </si>
  <si>
    <r>
      <rPr>
        <sz val="10"/>
        <rFont val="FreeSans"/>
        <family val="2"/>
      </rPr>
      <t xml:space="preserve">بوش اسلیو  پمپ  </t>
    </r>
    <r>
      <rPr>
        <sz val="10"/>
        <rFont val="Vazirmatn"/>
        <family val="0"/>
        <charset val="1"/>
      </rPr>
      <t xml:space="preserve">200 - 50 - 65 IHD</t>
    </r>
  </si>
  <si>
    <t xml:space="preserve">16232005</t>
  </si>
  <si>
    <r>
      <rPr>
        <sz val="10"/>
        <rFont val="FreeSans"/>
        <family val="2"/>
      </rPr>
      <t xml:space="preserve">بوش اسلیو  پمپ  </t>
    </r>
    <r>
      <rPr>
        <sz val="10"/>
        <rFont val="Vazirmatn"/>
        <family val="0"/>
        <charset val="1"/>
      </rPr>
      <t xml:space="preserve">250 - 65 - 80 IHD</t>
    </r>
  </si>
  <si>
    <t xml:space="preserve">16232006</t>
  </si>
  <si>
    <r>
      <rPr>
        <sz val="10"/>
        <rFont val="FreeSans"/>
        <family val="2"/>
      </rPr>
      <t xml:space="preserve">بوش اسلیو  پمپ  </t>
    </r>
    <r>
      <rPr>
        <sz val="10"/>
        <rFont val="Vazirmatn"/>
        <family val="0"/>
        <charset val="1"/>
      </rPr>
      <t xml:space="preserve">400 - 100 - 125 IHD</t>
    </r>
  </si>
  <si>
    <t xml:space="preserve">16232007</t>
  </si>
  <si>
    <r>
      <rPr>
        <sz val="10"/>
        <rFont val="FreeSans"/>
        <family val="2"/>
      </rPr>
      <t xml:space="preserve">بوش اسلیو  پمپ  </t>
    </r>
    <r>
      <rPr>
        <sz val="10"/>
        <rFont val="Vazirmatn"/>
        <family val="0"/>
        <charset val="1"/>
      </rPr>
      <t xml:space="preserve">315 - 65 - 100 KHZ</t>
    </r>
  </si>
  <si>
    <t xml:space="preserve">16232008</t>
  </si>
  <si>
    <r>
      <rPr>
        <sz val="10"/>
        <rFont val="FreeSans"/>
        <family val="2"/>
      </rPr>
      <t xml:space="preserve">بوش اسلیو  پمپ  </t>
    </r>
    <r>
      <rPr>
        <sz val="10"/>
        <rFont val="Vazirmatn"/>
        <family val="0"/>
        <charset val="1"/>
      </rPr>
      <t xml:space="preserve">200 - 65 - 100 IHD</t>
    </r>
  </si>
  <si>
    <t xml:space="preserve">16232009</t>
  </si>
  <si>
    <r>
      <rPr>
        <sz val="10"/>
        <rFont val="FreeSans"/>
        <family val="2"/>
      </rPr>
      <t xml:space="preserve">بوش اسلیو   پمپ  </t>
    </r>
    <r>
      <rPr>
        <sz val="10"/>
        <rFont val="Vazirmatn"/>
        <family val="0"/>
        <charset val="1"/>
      </rPr>
      <t xml:space="preserve">250 - 65 - 80 IHD</t>
    </r>
  </si>
  <si>
    <t xml:space="preserve">16232010</t>
  </si>
  <si>
    <t xml:space="preserve">بوش استیل فید تیوپ دکانتور</t>
  </si>
  <si>
    <t xml:space="preserve">16232011</t>
  </si>
  <si>
    <r>
      <rPr>
        <sz val="10"/>
        <rFont val="FreeSans"/>
        <family val="2"/>
      </rPr>
      <t xml:space="preserve">بوش اسلیو  پمپ  </t>
    </r>
    <r>
      <rPr>
        <sz val="10"/>
        <rFont val="Vazirmatn"/>
        <family val="0"/>
        <charset val="1"/>
      </rPr>
      <t xml:space="preserve">200 - 80 - 125 IHD</t>
    </r>
  </si>
  <si>
    <t xml:space="preserve">16232012</t>
  </si>
  <si>
    <r>
      <rPr>
        <sz val="10"/>
        <rFont val="FreeSans"/>
        <family val="2"/>
      </rPr>
      <t xml:space="preserve">بوش اسلیو   پمپ  </t>
    </r>
    <r>
      <rPr>
        <sz val="10"/>
        <rFont val="Vazirmatn"/>
        <family val="0"/>
        <charset val="1"/>
      </rPr>
      <t xml:space="preserve">200 - 65 - 80 IHD</t>
    </r>
  </si>
  <si>
    <t xml:space="preserve">16232013</t>
  </si>
  <si>
    <r>
      <rPr>
        <sz val="10"/>
        <rFont val="FreeSans"/>
        <family val="2"/>
      </rPr>
      <t xml:space="preserve">بوش اسلیو  پمپ  </t>
    </r>
    <r>
      <rPr>
        <sz val="10"/>
        <rFont val="Vazirmatn"/>
        <family val="0"/>
        <charset val="1"/>
      </rPr>
      <t xml:space="preserve">200 - 50 - 65 KHZ</t>
    </r>
  </si>
  <si>
    <t xml:space="preserve">16232014</t>
  </si>
  <si>
    <r>
      <rPr>
        <sz val="10"/>
        <rFont val="FreeSans"/>
        <family val="2"/>
      </rPr>
      <t xml:space="preserve">بوش اسلیو  پمپ  </t>
    </r>
    <r>
      <rPr>
        <sz val="10"/>
        <rFont val="Vazirmatn"/>
        <family val="0"/>
        <charset val="1"/>
      </rPr>
      <t xml:space="preserve">250 - 65 - 100 IHD</t>
    </r>
  </si>
  <si>
    <t xml:space="preserve">16232015</t>
  </si>
  <si>
    <r>
      <rPr>
        <sz val="10"/>
        <rFont val="FreeSans"/>
        <family val="2"/>
      </rPr>
      <t xml:space="preserve">بوش اسلیو  پمپ  </t>
    </r>
    <r>
      <rPr>
        <sz val="10"/>
        <rFont val="Vazirmatn"/>
        <family val="0"/>
        <charset val="1"/>
      </rPr>
      <t xml:space="preserve">160 - 50 - 65 IHD</t>
    </r>
  </si>
  <si>
    <t xml:space="preserve">16232016</t>
  </si>
  <si>
    <r>
      <rPr>
        <sz val="10"/>
        <rFont val="FreeSans"/>
        <family val="2"/>
      </rPr>
      <t xml:space="preserve">بوش اسلیو  پمپ  </t>
    </r>
    <r>
      <rPr>
        <sz val="10"/>
        <rFont val="Vazirmatn"/>
        <family val="0"/>
        <charset val="1"/>
      </rPr>
      <t xml:space="preserve">315 - 100 - 125 KPW</t>
    </r>
  </si>
  <si>
    <t xml:space="preserve">16232017</t>
  </si>
  <si>
    <r>
      <rPr>
        <sz val="10"/>
        <rFont val="FreeSans"/>
        <family val="2"/>
      </rPr>
      <t xml:space="preserve">بوش اسلیو  پمپ  </t>
    </r>
    <r>
      <rPr>
        <sz val="10"/>
        <rFont val="Vazirmatn"/>
        <family val="0"/>
        <charset val="1"/>
      </rPr>
      <t xml:space="preserve">400 - 150 - 200 IHD</t>
    </r>
  </si>
  <si>
    <t xml:space="preserve">16232020</t>
  </si>
  <si>
    <r>
      <rPr>
        <sz val="10"/>
        <rFont val="FreeSans"/>
        <family val="2"/>
      </rPr>
      <t xml:space="preserve">بوش اسلیو  پمپ  </t>
    </r>
    <r>
      <rPr>
        <sz val="10"/>
        <rFont val="Vazirmatn"/>
        <family val="0"/>
        <charset val="1"/>
      </rPr>
      <t xml:space="preserve">250 - 65 - 100 KHZ</t>
    </r>
  </si>
  <si>
    <t xml:space="preserve">16234000</t>
  </si>
  <si>
    <t xml:space="preserve">یاتاقان</t>
  </si>
  <si>
    <t xml:space="preserve">16234001</t>
  </si>
  <si>
    <t xml:space="preserve">یاتاقان دکانتور</t>
  </si>
  <si>
    <t xml:space="preserve">16234003</t>
  </si>
  <si>
    <t xml:space="preserve">یاتاقان سه پایه همزن</t>
  </si>
  <si>
    <t xml:space="preserve">16234004</t>
  </si>
  <si>
    <t xml:space="preserve">یاتاقان همزن درام شربت</t>
  </si>
  <si>
    <t xml:space="preserve">16234005</t>
  </si>
  <si>
    <t xml:space="preserve">یاتاقان همزن های نشاسته سازی</t>
  </si>
  <si>
    <t xml:space="preserve">16242000</t>
  </si>
  <si>
    <t xml:space="preserve">پین کلاج پرس روغن کشی</t>
  </si>
  <si>
    <t xml:space="preserve">16243000</t>
  </si>
  <si>
    <t xml:space="preserve">چرخ دنده پرس روغن کشی</t>
  </si>
  <si>
    <t xml:space="preserve">16243001</t>
  </si>
  <si>
    <t xml:space="preserve">مارپیچ تنظیم دو سر قلاب</t>
  </si>
  <si>
    <t xml:space="preserve">16243002</t>
  </si>
  <si>
    <t xml:space="preserve">چرخ دنده در سایزهای مختلف</t>
  </si>
  <si>
    <t xml:space="preserve">16243003</t>
  </si>
  <si>
    <t xml:space="preserve">چرخ دنده درام اکسید</t>
  </si>
  <si>
    <t xml:space="preserve">16244000</t>
  </si>
  <si>
    <t xml:space="preserve">کوپلینگ در سایزهای مختلف</t>
  </si>
  <si>
    <t xml:space="preserve">16244001</t>
  </si>
  <si>
    <t xml:space="preserve">کوپلینگ جای فنری در سایزهای مختلف</t>
  </si>
  <si>
    <t xml:space="preserve">16244100</t>
  </si>
  <si>
    <t xml:space="preserve">فولی در سایزهای مختلف</t>
  </si>
  <si>
    <t xml:space="preserve">16247001</t>
  </si>
  <si>
    <t xml:space="preserve">طبلک سیلو</t>
  </si>
  <si>
    <t xml:space="preserve">16247002</t>
  </si>
  <si>
    <t xml:space="preserve">غلطک نوار نقاله در ابعاد مختلف</t>
  </si>
  <si>
    <t xml:space="preserve">16247003</t>
  </si>
  <si>
    <t xml:space="preserve">رولیک نوار نقاله گلوکوز</t>
  </si>
  <si>
    <t xml:space="preserve">16251000</t>
  </si>
  <si>
    <t xml:space="preserve">شفت پرس روغن</t>
  </si>
  <si>
    <t xml:space="preserve">16251001</t>
  </si>
  <si>
    <t xml:space="preserve">شفت استیل همزن تانک</t>
  </si>
  <si>
    <t xml:space="preserve">16251002</t>
  </si>
  <si>
    <t xml:space="preserve">شفت دنده پرس گویوم</t>
  </si>
  <si>
    <t xml:space="preserve">16251003</t>
  </si>
  <si>
    <t xml:space="preserve">شفت رابط هلیس در سایزهای مختلف</t>
  </si>
  <si>
    <t xml:space="preserve">16251004</t>
  </si>
  <si>
    <t xml:space="preserve">شفت فلزی</t>
  </si>
  <si>
    <t xml:space="preserve">16251005</t>
  </si>
  <si>
    <t xml:space="preserve">شفت افقی سپراتور آلفالاوال</t>
  </si>
  <si>
    <t xml:space="preserve">16251006</t>
  </si>
  <si>
    <t xml:space="preserve">شفت رابط هلیس سمت یاتاقان</t>
  </si>
  <si>
    <t xml:space="preserve">16251007</t>
  </si>
  <si>
    <t xml:space="preserve">شفت رابط هلیس سمت گیربکس</t>
  </si>
  <si>
    <t xml:space="preserve">16251008</t>
  </si>
  <si>
    <t xml:space="preserve">شفت پمپ سیکلون درام گلوکوز</t>
  </si>
  <si>
    <t xml:space="preserve">16251009</t>
  </si>
  <si>
    <r>
      <rPr>
        <sz val="10"/>
        <rFont val="FreeSans"/>
        <family val="2"/>
      </rPr>
      <t xml:space="preserve">شفت پمپ  </t>
    </r>
    <r>
      <rPr>
        <sz val="10"/>
        <rFont val="Vazirmatn"/>
        <family val="0"/>
        <charset val="1"/>
      </rPr>
      <t xml:space="preserve">IHD100-65-200</t>
    </r>
  </si>
  <si>
    <t xml:space="preserve">16251010</t>
  </si>
  <si>
    <t xml:space="preserve">شفت  پمپ سرند</t>
  </si>
  <si>
    <t xml:space="preserve">16251011</t>
  </si>
  <si>
    <t xml:space="preserve">شفت پمپ برگشتی سپراتور تغلیظ قدیم</t>
  </si>
  <si>
    <t xml:space="preserve">16251012</t>
  </si>
  <si>
    <t xml:space="preserve">شفت پمپ شربت</t>
  </si>
  <si>
    <t xml:space="preserve">16251013</t>
  </si>
  <si>
    <t xml:space="preserve">شفت  رابط هلیس</t>
  </si>
  <si>
    <t xml:space="preserve">16251014</t>
  </si>
  <si>
    <t xml:space="preserve">شفت فولادی فن کوچک پیلر</t>
  </si>
  <si>
    <t xml:space="preserve">16251015</t>
  </si>
  <si>
    <r>
      <rPr>
        <sz val="10"/>
        <rFont val="FreeSans"/>
        <family val="2"/>
      </rPr>
      <t xml:space="preserve">شفت استیل رابط هلیس </t>
    </r>
    <r>
      <rPr>
        <sz val="10"/>
        <rFont val="Vazirmatn"/>
        <family val="0"/>
        <charset val="1"/>
      </rPr>
      <t xml:space="preserve">" 1/2 2</t>
    </r>
  </si>
  <si>
    <t xml:space="preserve">16251016</t>
  </si>
  <si>
    <t xml:space="preserve">شفت استیل آسیاب اکسید</t>
  </si>
  <si>
    <t xml:space="preserve">16251017</t>
  </si>
  <si>
    <r>
      <rPr>
        <sz val="10"/>
        <rFont val="FreeSans"/>
        <family val="2"/>
      </rPr>
      <t xml:space="preserve">شفت پمپ   </t>
    </r>
    <r>
      <rPr>
        <sz val="10"/>
        <rFont val="Vazirmatn"/>
        <family val="0"/>
        <charset val="1"/>
      </rPr>
      <t xml:space="preserve">IHD 125-80-200</t>
    </r>
  </si>
  <si>
    <t xml:space="preserve">16251019</t>
  </si>
  <si>
    <t xml:space="preserve">شفت پمپ مهارت جهان</t>
  </si>
  <si>
    <t xml:space="preserve">16251020</t>
  </si>
  <si>
    <r>
      <rPr>
        <sz val="10"/>
        <rFont val="FreeSans"/>
        <family val="2"/>
      </rPr>
      <t xml:space="preserve">شفت فن کوره  </t>
    </r>
    <r>
      <rPr>
        <sz val="10"/>
        <rFont val="Vazirmatn"/>
        <family val="0"/>
        <charset val="1"/>
      </rPr>
      <t xml:space="preserve">SO2</t>
    </r>
  </si>
  <si>
    <t xml:space="preserve">16251022</t>
  </si>
  <si>
    <t xml:space="preserve">شفت یاتاقان همزن نشاسته سازی</t>
  </si>
  <si>
    <t xml:space="preserve">16251023</t>
  </si>
  <si>
    <r>
      <rPr>
        <sz val="10"/>
        <rFont val="FreeSans"/>
        <family val="2"/>
      </rPr>
      <t xml:space="preserve">شفت رابط هلیس سمت گیربکس </t>
    </r>
    <r>
      <rPr>
        <sz val="10"/>
        <rFont val="Vazirmatn"/>
        <family val="0"/>
        <charset val="1"/>
      </rPr>
      <t xml:space="preserve">" 1/2 2</t>
    </r>
  </si>
  <si>
    <t xml:space="preserve">16251024</t>
  </si>
  <si>
    <r>
      <rPr>
        <sz val="10"/>
        <rFont val="FreeSans"/>
        <family val="2"/>
      </rPr>
      <t xml:space="preserve">شفت رابط هلیس سمت یاتاقان </t>
    </r>
    <r>
      <rPr>
        <sz val="10"/>
        <rFont val="Vazirmatn"/>
        <family val="0"/>
        <charset val="1"/>
      </rPr>
      <t xml:space="preserve">" 1/2 2</t>
    </r>
  </si>
  <si>
    <t xml:space="preserve">16251026</t>
  </si>
  <si>
    <r>
      <rPr>
        <sz val="10"/>
        <rFont val="FreeSans"/>
        <family val="2"/>
      </rPr>
      <t xml:space="preserve">شفت پمپ   </t>
    </r>
    <r>
      <rPr>
        <sz val="10"/>
        <rFont val="Vazirmatn"/>
        <family val="0"/>
        <charset val="1"/>
      </rPr>
      <t xml:space="preserve">KHZ 100-65-250</t>
    </r>
  </si>
  <si>
    <t xml:space="preserve">16251027</t>
  </si>
  <si>
    <r>
      <rPr>
        <sz val="10"/>
        <rFont val="FreeSans"/>
        <family val="2"/>
      </rPr>
      <t xml:space="preserve">شفت پمپ خلاء درام پادوان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کاناله</t>
    </r>
  </si>
  <si>
    <t xml:space="preserve">16251031</t>
  </si>
  <si>
    <t xml:space="preserve">شفت فن پوسته جدید</t>
  </si>
  <si>
    <t xml:space="preserve">16251032</t>
  </si>
  <si>
    <r>
      <rPr>
        <sz val="10"/>
        <rFont val="FreeSans"/>
        <family val="2"/>
      </rPr>
      <t xml:space="preserve">شفت پمپ خلاء درام پادوان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کاناله</t>
    </r>
  </si>
  <si>
    <t xml:space="preserve">16251033</t>
  </si>
  <si>
    <r>
      <rPr>
        <sz val="10"/>
        <rFont val="FreeSans"/>
        <family val="2"/>
      </rPr>
      <t xml:space="preserve">شفت پمپ خلاء اواپراتور </t>
    </r>
    <r>
      <rPr>
        <sz val="10"/>
        <rFont val="Vazirmatn"/>
        <family val="0"/>
        <charset val="1"/>
      </rPr>
      <t xml:space="preserve">( PVIT 382 )</t>
    </r>
  </si>
  <si>
    <t xml:space="preserve">16252003</t>
  </si>
  <si>
    <t xml:space="preserve">پروانه پمپ های مختلف</t>
  </si>
  <si>
    <t xml:space="preserve">16252004</t>
  </si>
  <si>
    <t xml:space="preserve">پروانه آسیاب چکشی</t>
  </si>
  <si>
    <t xml:space="preserve">16252005</t>
  </si>
  <si>
    <t xml:space="preserve">پروانه آسیاب نشاسته اکسید</t>
  </si>
  <si>
    <t xml:space="preserve">16252006</t>
  </si>
  <si>
    <t xml:space="preserve">پروانه آلومینیومی فن سقفی</t>
  </si>
  <si>
    <t xml:space="preserve">16253000</t>
  </si>
  <si>
    <t xml:space="preserve">صفحه مبدل استیل اواپراتور</t>
  </si>
  <si>
    <t xml:space="preserve">16253001</t>
  </si>
  <si>
    <t xml:space="preserve">صفحه مبدل استیل  اواپراتور</t>
  </si>
  <si>
    <t xml:space="preserve">16253002</t>
  </si>
  <si>
    <t xml:space="preserve">صفحه ابتدای مبدل استیل اواپراتور</t>
  </si>
  <si>
    <t xml:space="preserve">16253003</t>
  </si>
  <si>
    <t xml:space="preserve">صفحه انتهای مبدل استیل اواپراتور</t>
  </si>
  <si>
    <t xml:space="preserve">16253004</t>
  </si>
  <si>
    <t xml:space="preserve">صفحه واش باطری</t>
  </si>
  <si>
    <t xml:space="preserve">16253005</t>
  </si>
  <si>
    <t xml:space="preserve">صفحه مبدل حرارتی روغن</t>
  </si>
  <si>
    <t xml:space="preserve">16253006</t>
  </si>
  <si>
    <t xml:space="preserve">صفحه مبدل حرارتی گلوکوز</t>
  </si>
  <si>
    <t xml:space="preserve">16253007</t>
  </si>
  <si>
    <r>
      <rPr>
        <sz val="10"/>
        <rFont val="FreeSans"/>
        <family val="2"/>
      </rPr>
      <t xml:space="preserve">صفحه مبدل حرارتی  </t>
    </r>
    <r>
      <rPr>
        <sz val="10"/>
        <rFont val="Vazirmatn"/>
        <family val="0"/>
        <charset val="1"/>
      </rPr>
      <t xml:space="preserve">AU10L2/81/PN10/316L/E</t>
    </r>
  </si>
  <si>
    <t xml:space="preserve">16253008</t>
  </si>
  <si>
    <r>
      <rPr>
        <sz val="10"/>
        <rFont val="FreeSans"/>
        <family val="2"/>
      </rPr>
      <t xml:space="preserve">کاور محفظه سیل پمپ  </t>
    </r>
    <r>
      <rPr>
        <sz val="10"/>
        <rFont val="Vazirmatn"/>
        <family val="0"/>
        <charset val="1"/>
      </rPr>
      <t xml:space="preserve">200 - 80 - 125 IHD</t>
    </r>
  </si>
  <si>
    <t xml:space="preserve">16253009</t>
  </si>
  <si>
    <t xml:space="preserve">صفحه مبدل آب سیل</t>
  </si>
  <si>
    <t xml:space="preserve">16261000</t>
  </si>
  <si>
    <t xml:space="preserve">واشر فنری استیل و آهن در سایزهای مختلف</t>
  </si>
  <si>
    <t xml:space="preserve">16261001</t>
  </si>
  <si>
    <t xml:space="preserve">واشر تخت استیل و آهن در سایزهای مختلف</t>
  </si>
  <si>
    <t xml:space="preserve">16262000</t>
  </si>
  <si>
    <t xml:space="preserve">پیچ استیل در سایزهای مختلف</t>
  </si>
  <si>
    <t xml:space="preserve">16262001</t>
  </si>
  <si>
    <t xml:space="preserve">پیچ آهنی در سایزهای مختلف</t>
  </si>
  <si>
    <t xml:space="preserve">16262002</t>
  </si>
  <si>
    <t xml:space="preserve">پیچ شیروانی در سایزهای مختلف</t>
  </si>
  <si>
    <t xml:space="preserve">16262003</t>
  </si>
  <si>
    <t xml:space="preserve">پیچ میل مهار آهنی</t>
  </si>
  <si>
    <t xml:space="preserve">16263000</t>
  </si>
  <si>
    <t xml:space="preserve">مهره استیل در سایزهای مختلف</t>
  </si>
  <si>
    <t xml:space="preserve">16263001</t>
  </si>
  <si>
    <t xml:space="preserve">مهره آهنی در سایزهای مختلف</t>
  </si>
  <si>
    <t xml:space="preserve">16263100</t>
  </si>
  <si>
    <t xml:space="preserve">مهره سر شفت سپراتور تغلیظ</t>
  </si>
  <si>
    <t xml:space="preserve">16263101</t>
  </si>
  <si>
    <t xml:space="preserve">مهره شفت سپراتور تغلیظ</t>
  </si>
  <si>
    <t xml:space="preserve">16263102</t>
  </si>
  <si>
    <t xml:space="preserve">مهره شفت یاتاقان همزن</t>
  </si>
  <si>
    <t xml:space="preserve">16263103</t>
  </si>
  <si>
    <r>
      <rPr>
        <sz val="10"/>
        <rFont val="FreeSans"/>
        <family val="2"/>
      </rPr>
      <t xml:space="preserve">مهره پروانه </t>
    </r>
    <r>
      <rPr>
        <sz val="10"/>
        <rFont val="Vazirmatn"/>
        <family val="0"/>
        <charset val="1"/>
      </rPr>
      <t xml:space="preserve">KHZ 100-65-250</t>
    </r>
  </si>
  <si>
    <t xml:space="preserve">16264000</t>
  </si>
  <si>
    <t xml:space="preserve">قاشقک خشکن در سایزهای مختلف</t>
  </si>
  <si>
    <t xml:space="preserve">16264002</t>
  </si>
  <si>
    <t xml:space="preserve">کلگی پمپ های مختلف</t>
  </si>
  <si>
    <t xml:space="preserve">16264003</t>
  </si>
  <si>
    <t xml:space="preserve">حلزونی پمپ سرند شربت</t>
  </si>
  <si>
    <t xml:space="preserve">16264004</t>
  </si>
  <si>
    <r>
      <rPr>
        <sz val="10"/>
        <rFont val="FreeSans"/>
        <family val="2"/>
      </rPr>
      <t xml:space="preserve">پوسته پمپ حلزونی با پایه موتور </t>
    </r>
    <r>
      <rPr>
        <sz val="10"/>
        <rFont val="Vazirmatn"/>
        <family val="0"/>
        <charset val="1"/>
      </rPr>
      <t xml:space="preserve">"4</t>
    </r>
  </si>
  <si>
    <t xml:space="preserve">16264005</t>
  </si>
  <si>
    <r>
      <rPr>
        <sz val="10"/>
        <rFont val="FreeSans"/>
        <family val="2"/>
      </rPr>
      <t xml:space="preserve">پوسته یاتاقان پمپ ایران </t>
    </r>
    <r>
      <rPr>
        <sz val="10"/>
        <rFont val="Vazirmatn"/>
        <family val="0"/>
        <charset val="1"/>
      </rPr>
      <t xml:space="preserve">315 - 150</t>
    </r>
  </si>
  <si>
    <t xml:space="preserve">16264100</t>
  </si>
  <si>
    <r>
      <rPr>
        <sz val="10"/>
        <rFont val="FreeSans"/>
        <family val="2"/>
      </rPr>
      <t xml:space="preserve">حفاظ </t>
    </r>
    <r>
      <rPr>
        <sz val="10"/>
        <rFont val="Vazirmatn"/>
        <family val="0"/>
        <charset val="1"/>
      </rPr>
      <t xml:space="preserve">U </t>
    </r>
    <r>
      <rPr>
        <sz val="10"/>
        <rFont val="FreeSans"/>
        <family val="2"/>
      </rPr>
      <t xml:space="preserve">شکل کوپلینگ</t>
    </r>
  </si>
  <si>
    <t xml:space="preserve">16264101</t>
  </si>
  <si>
    <r>
      <rPr>
        <sz val="10"/>
        <rFont val="FreeSans"/>
        <family val="2"/>
      </rPr>
      <t xml:space="preserve">کاسه پروانه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حفاظ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الکتروموتور در سایز های مختلف</t>
    </r>
  </si>
  <si>
    <t xml:space="preserve">16264102</t>
  </si>
  <si>
    <t xml:space="preserve">کاسه جلو و عقب الکتروموتور در سایز های مختلف</t>
  </si>
  <si>
    <t xml:space="preserve">16264103</t>
  </si>
  <si>
    <t xml:space="preserve">درپوش بالای الکتروموتور در سایز های مختلف</t>
  </si>
  <si>
    <t xml:space="preserve">16264104</t>
  </si>
  <si>
    <t xml:space="preserve">درپوش پمپ های سرندی</t>
  </si>
  <si>
    <t xml:space="preserve">16264105</t>
  </si>
  <si>
    <t xml:space="preserve">درپوش پمپ در سایزهای مختلف</t>
  </si>
  <si>
    <t xml:space="preserve">16264200</t>
  </si>
  <si>
    <t xml:space="preserve">عینکی پمپ های مختلف</t>
  </si>
  <si>
    <t xml:space="preserve">16264400</t>
  </si>
  <si>
    <t xml:space="preserve">گپ استیل در سایزهای مختلف</t>
  </si>
  <si>
    <t xml:space="preserve">16265000</t>
  </si>
  <si>
    <t xml:space="preserve">سیم آرماتور بندی</t>
  </si>
  <si>
    <t xml:space="preserve">16267000</t>
  </si>
  <si>
    <t xml:space="preserve">رول بولت آهنی</t>
  </si>
  <si>
    <t xml:space="preserve">16271000</t>
  </si>
  <si>
    <r>
      <rPr>
        <sz val="10"/>
        <rFont val="FreeSans"/>
        <family val="2"/>
      </rPr>
      <t xml:space="preserve">شیر سوزنی بخار  </t>
    </r>
    <r>
      <rPr>
        <sz val="10"/>
        <rFont val="Vazirmatn"/>
        <family val="0"/>
        <charset val="1"/>
      </rPr>
      <t xml:space="preserve">"12</t>
    </r>
  </si>
  <si>
    <t xml:space="preserve">16271001</t>
  </si>
  <si>
    <t xml:space="preserve">شیر پنوماتیک</t>
  </si>
  <si>
    <t xml:space="preserve">16271002</t>
  </si>
  <si>
    <r>
      <rPr>
        <sz val="10"/>
        <rFont val="FreeSans"/>
        <family val="2"/>
      </rPr>
      <t xml:space="preserve">شیر سوزنی بخار  </t>
    </r>
    <r>
      <rPr>
        <sz val="10"/>
        <rFont val="Vazirmatn"/>
        <family val="0"/>
        <charset val="1"/>
      </rPr>
      <t xml:space="preserve">DN 25</t>
    </r>
  </si>
  <si>
    <t xml:space="preserve">16271003</t>
  </si>
  <si>
    <r>
      <rPr>
        <sz val="10"/>
        <rFont val="FreeSans"/>
        <family val="2"/>
      </rPr>
      <t xml:space="preserve">شیر دیسکی استیل بین فلنجی </t>
    </r>
    <r>
      <rPr>
        <sz val="10"/>
        <rFont val="Vazirmatn"/>
        <family val="0"/>
        <charset val="1"/>
      </rPr>
      <t xml:space="preserve">"5</t>
    </r>
  </si>
  <si>
    <t xml:space="preserve">16271004</t>
  </si>
  <si>
    <r>
      <rPr>
        <sz val="10"/>
        <rFont val="FreeSans"/>
        <family val="2"/>
      </rPr>
      <t xml:space="preserve">شیر دیسکی استیل بین فلنجی </t>
    </r>
    <r>
      <rPr>
        <sz val="10"/>
        <rFont val="Vazirmatn"/>
        <family val="0"/>
        <charset val="1"/>
      </rPr>
      <t xml:space="preserve">"4</t>
    </r>
  </si>
  <si>
    <t xml:space="preserve">16271005</t>
  </si>
  <si>
    <r>
      <rPr>
        <sz val="10"/>
        <rFont val="FreeSans"/>
        <family val="2"/>
      </rPr>
      <t xml:space="preserve">شیر دیسکی استیل بین فلنجی </t>
    </r>
    <r>
      <rPr>
        <sz val="10"/>
        <rFont val="Vazirmatn"/>
        <family val="0"/>
        <charset val="1"/>
      </rPr>
      <t xml:space="preserve">"1/2 1</t>
    </r>
  </si>
  <si>
    <t xml:space="preserve">16271006</t>
  </si>
  <si>
    <r>
      <rPr>
        <sz val="10"/>
        <rFont val="FreeSans"/>
        <family val="2"/>
      </rPr>
      <t xml:space="preserve">شیر پروانه ای استیل صنایع شیری </t>
    </r>
    <r>
      <rPr>
        <sz val="10"/>
        <rFont val="Vazirmatn"/>
        <family val="0"/>
        <charset val="1"/>
      </rPr>
      <t xml:space="preserve">51mm</t>
    </r>
  </si>
  <si>
    <t xml:space="preserve">16271007</t>
  </si>
  <si>
    <t xml:space="preserve">شیر آتش نشانی</t>
  </si>
  <si>
    <t xml:space="preserve">16271009</t>
  </si>
  <si>
    <r>
      <rPr>
        <sz val="10"/>
        <rFont val="FreeSans"/>
        <family val="2"/>
      </rPr>
      <t xml:space="preserve">شیر برقی اسپیراکس سارکو </t>
    </r>
    <r>
      <rPr>
        <sz val="10"/>
        <rFont val="Vazirmatn"/>
        <family val="0"/>
        <charset val="1"/>
      </rPr>
      <t xml:space="preserve">DN 150</t>
    </r>
  </si>
  <si>
    <t xml:space="preserve">16271010</t>
  </si>
  <si>
    <r>
      <rPr>
        <sz val="10"/>
        <rFont val="FreeSans"/>
        <family val="2"/>
      </rPr>
      <t xml:space="preserve">شیر کنترلی پوزیشنردار </t>
    </r>
    <r>
      <rPr>
        <sz val="10"/>
        <rFont val="Vazirmatn"/>
        <family val="0"/>
        <charset val="1"/>
      </rPr>
      <t xml:space="preserve">"3 ( ARCA 0 )</t>
    </r>
  </si>
  <si>
    <t xml:space="preserve">16271012</t>
  </si>
  <si>
    <r>
      <rPr>
        <sz val="10"/>
        <rFont val="FreeSans"/>
        <family val="2"/>
      </rPr>
      <t xml:space="preserve">شیر توپی استیل فلنجدار </t>
    </r>
    <r>
      <rPr>
        <sz val="10"/>
        <rFont val="Vazirmatn"/>
        <family val="0"/>
        <charset val="1"/>
      </rPr>
      <t xml:space="preserve">"2</t>
    </r>
  </si>
  <si>
    <t xml:space="preserve">16271013</t>
  </si>
  <si>
    <r>
      <rPr>
        <sz val="10"/>
        <rFont val="FreeSans"/>
        <family val="2"/>
      </rPr>
      <t xml:space="preserve">شیر توپی استیل فلنجدار </t>
    </r>
    <r>
      <rPr>
        <sz val="10"/>
        <rFont val="Vazirmatn"/>
        <family val="0"/>
        <charset val="1"/>
      </rPr>
      <t xml:space="preserve">"1/2 2</t>
    </r>
  </si>
  <si>
    <t xml:space="preserve">16271016</t>
  </si>
  <si>
    <t xml:space="preserve">شیر آذین در سایزهای مختلف</t>
  </si>
  <si>
    <t xml:space="preserve">16271017</t>
  </si>
  <si>
    <r>
      <rPr>
        <sz val="10"/>
        <rFont val="FreeSans"/>
        <family val="2"/>
      </rPr>
      <t xml:space="preserve">شیر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در سایزهای مختلف</t>
    </r>
  </si>
  <si>
    <t xml:space="preserve">16271018</t>
  </si>
  <si>
    <r>
      <rPr>
        <sz val="10"/>
        <rFont val="FreeSans"/>
        <family val="2"/>
      </rPr>
      <t xml:space="preserve">شیر فشار شکن آهنی </t>
    </r>
    <r>
      <rPr>
        <sz val="10"/>
        <rFont val="Vazirmatn"/>
        <family val="0"/>
        <charset val="1"/>
      </rPr>
      <t xml:space="preserve">"3</t>
    </r>
  </si>
  <si>
    <t xml:space="preserve">16271019</t>
  </si>
  <si>
    <r>
      <rPr>
        <sz val="10"/>
        <rFont val="FreeSans"/>
        <family val="2"/>
      </rPr>
      <t xml:space="preserve">شیر برقی </t>
    </r>
    <r>
      <rPr>
        <sz val="10"/>
        <rFont val="Vazirmatn"/>
        <family val="0"/>
        <charset val="1"/>
      </rPr>
      <t xml:space="preserve">" 3</t>
    </r>
  </si>
  <si>
    <t xml:space="preserve">16271020</t>
  </si>
  <si>
    <r>
      <rPr>
        <sz val="10"/>
        <rFont val="FreeSans"/>
        <family val="2"/>
      </rPr>
      <t xml:space="preserve">شیر صافی گاز </t>
    </r>
    <r>
      <rPr>
        <sz val="10"/>
        <rFont val="Vazirmatn"/>
        <family val="0"/>
        <charset val="1"/>
      </rPr>
      <t xml:space="preserve">"3</t>
    </r>
  </si>
  <si>
    <t xml:space="preserve">16271022</t>
  </si>
  <si>
    <t xml:space="preserve">شیر برقی جرقه زن گازوئیل</t>
  </si>
  <si>
    <t xml:space="preserve">16271024</t>
  </si>
  <si>
    <r>
      <rPr>
        <sz val="10"/>
        <rFont val="FreeSans"/>
        <family val="2"/>
      </rPr>
      <t xml:space="preserve">شیر سوزنی بخار  </t>
    </r>
    <r>
      <rPr>
        <sz val="10"/>
        <rFont val="Vazirmatn"/>
        <family val="0"/>
        <charset val="1"/>
      </rPr>
      <t xml:space="preserve">"3</t>
    </r>
  </si>
  <si>
    <t xml:space="preserve">16271025</t>
  </si>
  <si>
    <r>
      <rPr>
        <sz val="10"/>
        <rFont val="FreeSans"/>
        <family val="2"/>
      </rPr>
      <t xml:space="preserve">شیر سوزنی بخار  </t>
    </r>
    <r>
      <rPr>
        <sz val="10"/>
        <rFont val="Vazirmatn"/>
        <family val="0"/>
        <charset val="1"/>
      </rPr>
      <t xml:space="preserve">"2</t>
    </r>
  </si>
  <si>
    <t xml:space="preserve">16271026</t>
  </si>
  <si>
    <r>
      <rPr>
        <sz val="10"/>
        <rFont val="FreeSans"/>
        <family val="2"/>
      </rPr>
      <t xml:space="preserve">شیر سوزنی بخار  </t>
    </r>
    <r>
      <rPr>
        <sz val="10"/>
        <rFont val="Vazirmatn"/>
        <family val="0"/>
        <charset val="1"/>
      </rPr>
      <t xml:space="preserve">"1/4 1</t>
    </r>
  </si>
  <si>
    <t xml:space="preserve">16271027</t>
  </si>
  <si>
    <t xml:space="preserve">کلکتور استیل بخار</t>
  </si>
  <si>
    <t xml:space="preserve">16271029</t>
  </si>
  <si>
    <r>
      <rPr>
        <sz val="10"/>
        <rFont val="FreeSans"/>
        <family val="2"/>
      </rPr>
      <t xml:space="preserve">شیر سوزنی بخار  </t>
    </r>
    <r>
      <rPr>
        <sz val="10"/>
        <rFont val="Vazirmatn"/>
        <family val="0"/>
        <charset val="1"/>
      </rPr>
      <t xml:space="preserve">"5</t>
    </r>
  </si>
  <si>
    <t xml:space="preserve">16271030</t>
  </si>
  <si>
    <r>
      <rPr>
        <sz val="10"/>
        <rFont val="FreeSans"/>
        <family val="2"/>
      </rPr>
      <t xml:space="preserve">شیر سوزنی بخار  </t>
    </r>
    <r>
      <rPr>
        <sz val="10"/>
        <rFont val="Vazirmatn"/>
        <family val="0"/>
        <charset val="1"/>
      </rPr>
      <t xml:space="preserve">"8</t>
    </r>
  </si>
  <si>
    <t xml:space="preserve">16271031</t>
  </si>
  <si>
    <r>
      <rPr>
        <sz val="10"/>
        <rFont val="FreeSans"/>
        <family val="2"/>
      </rPr>
      <t xml:space="preserve">شیر کاردی زبانه استیل </t>
    </r>
    <r>
      <rPr>
        <sz val="10"/>
        <rFont val="Vazirmatn"/>
        <family val="0"/>
        <charset val="1"/>
      </rPr>
      <t xml:space="preserve">"4</t>
    </r>
  </si>
  <si>
    <t xml:space="preserve">16271032</t>
  </si>
  <si>
    <r>
      <rPr>
        <sz val="10"/>
        <rFont val="FreeSans"/>
        <family val="2"/>
      </rPr>
      <t xml:space="preserve">شیر صافی آهنی فلنجدار  </t>
    </r>
    <r>
      <rPr>
        <sz val="10"/>
        <rFont val="Vazirmatn"/>
        <family val="0"/>
        <charset val="1"/>
      </rPr>
      <t xml:space="preserve">" 3</t>
    </r>
  </si>
  <si>
    <t xml:space="preserve">16271100</t>
  </si>
  <si>
    <r>
      <rPr>
        <sz val="10"/>
        <rFont val="FreeSans"/>
        <family val="2"/>
      </rPr>
      <t xml:space="preserve">فلومتر مغناطیسی اندرس هاوزر </t>
    </r>
    <r>
      <rPr>
        <sz val="10"/>
        <rFont val="Vazirmatn"/>
        <family val="0"/>
        <charset val="1"/>
      </rPr>
      <t xml:space="preserve">"1</t>
    </r>
  </si>
  <si>
    <t xml:space="preserve">16271101</t>
  </si>
  <si>
    <r>
      <rPr>
        <sz val="10"/>
        <rFont val="FreeSans"/>
        <family val="2"/>
      </rPr>
      <t xml:space="preserve">فلومتر مغناطیسی پریسماتک </t>
    </r>
    <r>
      <rPr>
        <sz val="10"/>
        <rFont val="Vazirmatn"/>
        <family val="0"/>
        <charset val="1"/>
      </rPr>
      <t xml:space="preserve">"2</t>
    </r>
  </si>
  <si>
    <t xml:space="preserve">16272000</t>
  </si>
  <si>
    <r>
      <rPr>
        <sz val="10"/>
        <rFont val="FreeSans"/>
        <family val="2"/>
      </rPr>
      <t xml:space="preserve">زانویی پلیکا </t>
    </r>
    <r>
      <rPr>
        <sz val="10"/>
        <rFont val="Vazirmatn"/>
        <family val="0"/>
        <charset val="1"/>
      </rPr>
      <t xml:space="preserve">90  "3</t>
    </r>
  </si>
  <si>
    <t xml:space="preserve">16272001</t>
  </si>
  <si>
    <t xml:space="preserve">زانویی آذین در سایزهای مختلف</t>
  </si>
  <si>
    <t xml:space="preserve">16272002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</si>
  <si>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و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 در سایزهای مختلف</t>
    </r>
  </si>
  <si>
    <t xml:space="preserve">16272003</t>
  </si>
  <si>
    <t xml:space="preserve">زانویی آهنی در سایزهای مختلف</t>
  </si>
  <si>
    <t xml:space="preserve">16272004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</si>
  <si>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در سایزهای مختلف</t>
    </r>
  </si>
  <si>
    <t xml:space="preserve">16272005</t>
  </si>
  <si>
    <t xml:space="preserve">زانویی پلیکا در سایزهای مختلف</t>
  </si>
  <si>
    <t xml:space="preserve">16272100</t>
  </si>
  <si>
    <t xml:space="preserve">سه راهی آذین در سایزهای مختلف</t>
  </si>
  <si>
    <t xml:space="preserve">16272101</t>
  </si>
  <si>
    <t xml:space="preserve">سه راهی آهنی در سایزهای مختلف</t>
  </si>
  <si>
    <t xml:space="preserve">16272102</t>
  </si>
  <si>
    <t xml:space="preserve">سه راهی استیل در سایزهای مختلف</t>
  </si>
  <si>
    <t xml:space="preserve">16272103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</si>
  <si>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در سایزهای مختلف</t>
    </r>
  </si>
  <si>
    <t xml:space="preserve">16272200</t>
  </si>
  <si>
    <t xml:space="preserve">تبدیل آذین در سایزهای مختلف</t>
  </si>
  <si>
    <t xml:space="preserve">16272201</t>
  </si>
  <si>
    <t xml:space="preserve">تبدیل آهنی در سایزهای مختلف</t>
  </si>
  <si>
    <t xml:space="preserve">16272202</t>
  </si>
  <si>
    <t xml:space="preserve">تبدیل استیل در سایزهای مختلف</t>
  </si>
  <si>
    <t xml:space="preserve">16272204</t>
  </si>
  <si>
    <r>
      <rPr>
        <sz val="10"/>
        <rFont val="FreeSans"/>
        <family val="2"/>
      </rPr>
      <t xml:space="preserve">تبدیل و اتصالات شیرهای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در سایزهای مختلف</t>
    </r>
  </si>
  <si>
    <t xml:space="preserve">16273000</t>
  </si>
  <si>
    <t xml:space="preserve">مهره ماسوره استیل و آهن در سایزهای مختلف</t>
  </si>
  <si>
    <t xml:space="preserve">16273001</t>
  </si>
  <si>
    <t xml:space="preserve">مهره ماسوره آذین در سایزهای مختلف</t>
  </si>
  <si>
    <t xml:space="preserve">16273100</t>
  </si>
  <si>
    <t xml:space="preserve">مغزی استیل و آهن در سایزهای مختلف</t>
  </si>
  <si>
    <t xml:space="preserve">16273200</t>
  </si>
  <si>
    <t xml:space="preserve">فلنج استیل در سایزهای مختلف</t>
  </si>
  <si>
    <t xml:space="preserve">16273201</t>
  </si>
  <si>
    <t xml:space="preserve">فلنج آهنی در سایزهای مختلف</t>
  </si>
  <si>
    <t xml:space="preserve">16273202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</si>
  <si>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در سایزهای مختلف</t>
    </r>
  </si>
  <si>
    <t xml:space="preserve">16273203</t>
  </si>
  <si>
    <t xml:space="preserve">فلنج آلومینیومی رابط آبگردان کولینگ تاور</t>
  </si>
  <si>
    <t xml:space="preserve">16273204</t>
  </si>
  <si>
    <r>
      <rPr>
        <sz val="10"/>
        <rFont val="FreeSans"/>
        <family val="2"/>
      </rPr>
      <t xml:space="preserve">فلنج شیر برقی </t>
    </r>
    <r>
      <rPr>
        <sz val="10"/>
        <rFont val="Vazirmatn"/>
        <family val="0"/>
        <charset val="1"/>
      </rPr>
      <t xml:space="preserve">" 3</t>
    </r>
  </si>
  <si>
    <t xml:space="preserve">16273205</t>
  </si>
  <si>
    <t xml:space="preserve">فلنج رابط الکتروموتور سپراتورها</t>
  </si>
  <si>
    <t xml:space="preserve">16273300</t>
  </si>
  <si>
    <t xml:space="preserve">سرفلنج استیل در سایزهای مختلف</t>
  </si>
  <si>
    <t xml:space="preserve">16273400</t>
  </si>
  <si>
    <t xml:space="preserve">رابط آهنی فلنجدار</t>
  </si>
  <si>
    <t xml:space="preserve">16274000</t>
  </si>
  <si>
    <t xml:space="preserve">بست آهنی پایه دار در سایزهای مختلف</t>
  </si>
  <si>
    <t xml:space="preserve">16274001</t>
  </si>
  <si>
    <t xml:space="preserve">بست آذین در سایزهای مختلف</t>
  </si>
  <si>
    <t xml:space="preserve">16274002</t>
  </si>
  <si>
    <t xml:space="preserve">بست استیل پایه دار در سایزهای مختلف</t>
  </si>
  <si>
    <t xml:space="preserve">16274003</t>
  </si>
  <si>
    <t xml:space="preserve">بست کمر بندی پلی اتیلن در سایزهای مختلف</t>
  </si>
  <si>
    <t xml:space="preserve">16274004</t>
  </si>
  <si>
    <t xml:space="preserve">بست استیل صنایع شیری در سایزهای مختلف</t>
  </si>
  <si>
    <t xml:space="preserve">16274005</t>
  </si>
  <si>
    <t xml:space="preserve">بست سیم بکسل در سایزهای مختلف</t>
  </si>
  <si>
    <t xml:space="preserve">16275000</t>
  </si>
  <si>
    <t xml:space="preserve">سردنده استیل و آهنی در سایزهای مختلف</t>
  </si>
  <si>
    <t xml:space="preserve">16276100</t>
  </si>
  <si>
    <t xml:space="preserve">استیم تراپ</t>
  </si>
  <si>
    <t xml:space="preserve">16276200</t>
  </si>
  <si>
    <t xml:space="preserve">لوله استیل در سایزهای مختلف</t>
  </si>
  <si>
    <t xml:space="preserve">16276201</t>
  </si>
  <si>
    <t xml:space="preserve">لوله آهنی در سایزهای مختلف</t>
  </si>
  <si>
    <t xml:space="preserve">16276202</t>
  </si>
  <si>
    <t xml:space="preserve">لوله پلی اتیلن در سایزهای مختلف</t>
  </si>
  <si>
    <t xml:space="preserve">16276203</t>
  </si>
  <si>
    <r>
      <rPr>
        <sz val="10"/>
        <rFont val="FreeSans"/>
        <family val="2"/>
      </rPr>
      <t xml:space="preserve">لوله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CPVC </t>
    </r>
    <r>
      <rPr>
        <sz val="10"/>
        <rFont val="FreeSans"/>
        <family val="2"/>
      </rPr>
      <t xml:space="preserve">در سایزهای مختلف</t>
    </r>
  </si>
  <si>
    <t xml:space="preserve">16276205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</si>
  <si>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ABS</t>
    </r>
  </si>
  <si>
    <t xml:space="preserve">16276206</t>
  </si>
  <si>
    <t xml:space="preserve">لوله پلی اتیلن فاضلاب</t>
  </si>
  <si>
    <t xml:space="preserve">16276207</t>
  </si>
  <si>
    <t xml:space="preserve">لوله آهنی دیگ بخار</t>
  </si>
  <si>
    <t xml:space="preserve">16276208</t>
  </si>
  <si>
    <t xml:space="preserve">16276209</t>
  </si>
  <si>
    <t xml:space="preserve">16277000</t>
  </si>
  <si>
    <r>
      <rPr>
        <sz val="10"/>
        <rFont val="FreeSans"/>
        <family val="2"/>
      </rPr>
      <t xml:space="preserve">چرخ گردان چدنی </t>
    </r>
    <r>
      <rPr>
        <sz val="10"/>
        <rFont val="Vazirmatn"/>
        <family val="0"/>
        <charset val="1"/>
      </rPr>
      <t xml:space="preserve">20</t>
    </r>
  </si>
  <si>
    <t xml:space="preserve">16280000</t>
  </si>
  <si>
    <r>
      <rPr>
        <sz val="10"/>
        <rFont val="FreeSans"/>
        <family val="2"/>
      </rPr>
      <t xml:space="preserve">قیفی هیدروکلون نوع  </t>
    </r>
    <r>
      <rPr>
        <sz val="10"/>
        <rFont val="Vazirmatn"/>
        <family val="0"/>
        <charset val="1"/>
      </rPr>
      <t xml:space="preserve">B</t>
    </r>
  </si>
  <si>
    <t xml:space="preserve">16282000</t>
  </si>
  <si>
    <t xml:space="preserve">مجموعه ورم و کالر پرس روغن کشی</t>
  </si>
  <si>
    <t xml:space="preserve">16282002</t>
  </si>
  <si>
    <t xml:space="preserve">تیغه های هلیس</t>
  </si>
  <si>
    <t xml:space="preserve">16282003</t>
  </si>
  <si>
    <t xml:space="preserve">اهرم کلاج پرس گویوم</t>
  </si>
  <si>
    <t xml:space="preserve">16290000</t>
  </si>
  <si>
    <r>
      <rPr>
        <sz val="10"/>
        <rFont val="FreeSans"/>
        <family val="2"/>
      </rPr>
      <t xml:space="preserve">نردبان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متری</t>
    </r>
  </si>
  <si>
    <t xml:space="preserve">16291000</t>
  </si>
  <si>
    <r>
      <rPr>
        <sz val="10"/>
        <rFont val="FreeSans"/>
        <family val="2"/>
      </rPr>
      <t xml:space="preserve">ورق آجدار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پله </t>
    </r>
    <r>
      <rPr>
        <sz val="10"/>
        <rFont val="Vazirmatn"/>
        <family val="0"/>
        <charset val="1"/>
      </rPr>
      <t xml:space="preserve">)</t>
    </r>
  </si>
  <si>
    <t xml:space="preserve">16291001</t>
  </si>
  <si>
    <r>
      <rPr>
        <sz val="10"/>
        <rFont val="FreeSans"/>
        <family val="2"/>
      </rPr>
      <t xml:space="preserve">ورق آهنی </t>
    </r>
    <r>
      <rPr>
        <sz val="10"/>
        <rFont val="Vazirmatn"/>
        <family val="0"/>
        <charset val="1"/>
      </rPr>
      <t xml:space="preserve">1 * 2   3 </t>
    </r>
    <r>
      <rPr>
        <sz val="10"/>
        <rFont val="FreeSans"/>
        <family val="2"/>
      </rPr>
      <t xml:space="preserve">میل</t>
    </r>
  </si>
  <si>
    <t xml:space="preserve">16291002</t>
  </si>
  <si>
    <r>
      <rPr>
        <sz val="10"/>
        <rFont val="FreeSans"/>
        <family val="2"/>
      </rPr>
      <t xml:space="preserve">ورق آهنی </t>
    </r>
    <r>
      <rPr>
        <sz val="10"/>
        <rFont val="Vazirmatn"/>
        <family val="0"/>
        <charset val="1"/>
      </rPr>
      <t xml:space="preserve">1/5 * 2/5   5 </t>
    </r>
    <r>
      <rPr>
        <sz val="10"/>
        <rFont val="FreeSans"/>
        <family val="2"/>
      </rPr>
      <t xml:space="preserve">میل</t>
    </r>
  </si>
  <si>
    <t xml:space="preserve">16291003</t>
  </si>
  <si>
    <t xml:space="preserve">ورق آبرو</t>
  </si>
  <si>
    <t xml:space="preserve">16291004</t>
  </si>
  <si>
    <r>
      <rPr>
        <sz val="10"/>
        <rFont val="FreeSans"/>
        <family val="2"/>
      </rPr>
      <t xml:space="preserve">ورق آهنی </t>
    </r>
    <r>
      <rPr>
        <sz val="10"/>
        <rFont val="Vazirmatn"/>
        <family val="0"/>
        <charset val="1"/>
      </rPr>
      <t xml:space="preserve">1/5 * 6   4 </t>
    </r>
    <r>
      <rPr>
        <sz val="10"/>
        <rFont val="FreeSans"/>
        <family val="2"/>
      </rPr>
      <t xml:space="preserve">میل</t>
    </r>
  </si>
  <si>
    <t xml:space="preserve">16291005</t>
  </si>
  <si>
    <t xml:space="preserve">ورق استیل در ابعاد مختلف</t>
  </si>
  <si>
    <t xml:space="preserve">16291006</t>
  </si>
  <si>
    <t xml:space="preserve">ورق استیل در سایزهای مختلف</t>
  </si>
  <si>
    <t xml:space="preserve">16291007</t>
  </si>
  <si>
    <t xml:space="preserve">ورق آهنی در سایزهای مختلف</t>
  </si>
  <si>
    <t xml:space="preserve">16291008</t>
  </si>
  <si>
    <t xml:space="preserve">ورق آلومینیومی</t>
  </si>
  <si>
    <t xml:space="preserve">16291100</t>
  </si>
  <si>
    <t xml:space="preserve">تیکه تیرآهن در سایزهای مختلف</t>
  </si>
  <si>
    <t xml:space="preserve">16291101</t>
  </si>
  <si>
    <r>
      <rPr>
        <sz val="10"/>
        <rFont val="FreeSans"/>
        <family val="2"/>
      </rPr>
      <t xml:space="preserve">تیر آهن </t>
    </r>
    <r>
      <rPr>
        <sz val="10"/>
        <rFont val="Vazirmatn"/>
        <family val="0"/>
        <charset val="1"/>
      </rPr>
      <t xml:space="preserve">16</t>
    </r>
  </si>
  <si>
    <t xml:space="preserve">16291102</t>
  </si>
  <si>
    <r>
      <rPr>
        <sz val="10"/>
        <rFont val="FreeSans"/>
        <family val="2"/>
      </rPr>
      <t xml:space="preserve">تیر آهن </t>
    </r>
    <r>
      <rPr>
        <sz val="10"/>
        <rFont val="Vazirmatn"/>
        <family val="0"/>
        <charset val="1"/>
      </rPr>
      <t xml:space="preserve">20</t>
    </r>
  </si>
  <si>
    <t xml:space="preserve">16291103</t>
  </si>
  <si>
    <r>
      <rPr>
        <sz val="10"/>
        <rFont val="FreeSans"/>
        <family val="2"/>
      </rPr>
      <t xml:space="preserve">تیر آهن </t>
    </r>
    <r>
      <rPr>
        <sz val="10"/>
        <rFont val="Vazirmatn"/>
        <family val="0"/>
        <charset val="1"/>
      </rPr>
      <t xml:space="preserve">24</t>
    </r>
  </si>
  <si>
    <t xml:space="preserve">16291104</t>
  </si>
  <si>
    <r>
      <rPr>
        <sz val="10"/>
        <rFont val="FreeSans"/>
        <family val="2"/>
      </rPr>
      <t xml:space="preserve">تیر آهن </t>
    </r>
    <r>
      <rPr>
        <sz val="10"/>
        <rFont val="Vazirmatn"/>
        <family val="0"/>
        <charset val="1"/>
      </rPr>
      <t xml:space="preserve">30</t>
    </r>
  </si>
  <si>
    <t xml:space="preserve">16291105</t>
  </si>
  <si>
    <t xml:space="preserve">تیر آهن بازویی سوله ها</t>
  </si>
  <si>
    <t xml:space="preserve">16291200</t>
  </si>
  <si>
    <r>
      <rPr>
        <sz val="10"/>
        <rFont val="FreeSans"/>
        <family val="2"/>
      </rPr>
      <t xml:space="preserve">نبشی استیل  </t>
    </r>
    <r>
      <rPr>
        <sz val="10"/>
        <rFont val="Vazirmatn"/>
        <family val="0"/>
        <charset val="1"/>
      </rPr>
      <t xml:space="preserve">70 * 70</t>
    </r>
  </si>
  <si>
    <t xml:space="preserve">16291203</t>
  </si>
  <si>
    <t xml:space="preserve">نبشی آهنی</t>
  </si>
  <si>
    <t xml:space="preserve">16291300</t>
  </si>
  <si>
    <t xml:space="preserve">قوطی آهنی در سایزهای مختلف</t>
  </si>
  <si>
    <t xml:space="preserve">16291301</t>
  </si>
  <si>
    <r>
      <rPr>
        <sz val="10"/>
        <rFont val="FreeSans"/>
        <family val="2"/>
      </rPr>
      <t xml:space="preserve">قوطی استیل  </t>
    </r>
    <r>
      <rPr>
        <sz val="10"/>
        <rFont val="Vazirmatn"/>
        <family val="0"/>
        <charset val="1"/>
      </rPr>
      <t xml:space="preserve">50 * 50</t>
    </r>
  </si>
  <si>
    <t xml:space="preserve">16291302</t>
  </si>
  <si>
    <r>
      <rPr>
        <sz val="10"/>
        <rFont val="FreeSans"/>
        <family val="2"/>
      </rPr>
      <t xml:space="preserve">قوطی استیل  </t>
    </r>
    <r>
      <rPr>
        <sz val="10"/>
        <rFont val="Vazirmatn"/>
        <family val="0"/>
        <charset val="1"/>
      </rPr>
      <t xml:space="preserve">60 * 60</t>
    </r>
  </si>
  <si>
    <t xml:space="preserve">16291400</t>
  </si>
  <si>
    <r>
      <rPr>
        <sz val="10"/>
        <rFont val="FreeSans"/>
        <family val="2"/>
      </rPr>
      <t xml:space="preserve">ناودانی آهنی  </t>
    </r>
    <r>
      <rPr>
        <sz val="10"/>
        <rFont val="Vazirmatn"/>
        <family val="0"/>
        <charset val="1"/>
      </rPr>
      <t xml:space="preserve">20</t>
    </r>
  </si>
  <si>
    <t xml:space="preserve">16291500</t>
  </si>
  <si>
    <r>
      <rPr>
        <sz val="10"/>
        <rFont val="FreeSans"/>
        <family val="2"/>
      </rPr>
      <t xml:space="preserve">میلگرد آهنی  </t>
    </r>
    <r>
      <rPr>
        <sz val="10"/>
        <rFont val="Vazirmatn"/>
        <family val="0"/>
        <charset val="1"/>
      </rPr>
      <t xml:space="preserve">12</t>
    </r>
  </si>
  <si>
    <t xml:space="preserve">16291501</t>
  </si>
  <si>
    <r>
      <rPr>
        <sz val="10"/>
        <rFont val="FreeSans"/>
        <family val="2"/>
      </rPr>
      <t xml:space="preserve">میلگرد آهنی  </t>
    </r>
    <r>
      <rPr>
        <sz val="10"/>
        <rFont val="Vazirmatn"/>
        <family val="0"/>
        <charset val="1"/>
      </rPr>
      <t xml:space="preserve">16</t>
    </r>
  </si>
  <si>
    <t xml:space="preserve">16291600</t>
  </si>
  <si>
    <r>
      <rPr>
        <sz val="10"/>
        <rFont val="FreeSans"/>
        <family val="2"/>
      </rPr>
      <t xml:space="preserve">تسمه آهنی  </t>
    </r>
    <r>
      <rPr>
        <sz val="10"/>
        <rFont val="Vazirmatn"/>
        <family val="0"/>
        <charset val="1"/>
      </rPr>
      <t xml:space="preserve">5</t>
    </r>
  </si>
  <si>
    <t xml:space="preserve">16291700</t>
  </si>
  <si>
    <t xml:space="preserve">سپری شیروانی</t>
  </si>
  <si>
    <t xml:space="preserve">16292000</t>
  </si>
  <si>
    <t xml:space="preserve">سرعت گیر پلاستیکی</t>
  </si>
  <si>
    <t xml:space="preserve">16293000</t>
  </si>
  <si>
    <t xml:space="preserve">دریچه مخازن در سایزهای مختلف</t>
  </si>
  <si>
    <t xml:space="preserve">16294000</t>
  </si>
  <si>
    <r>
      <rPr>
        <sz val="10"/>
        <rFont val="FreeSans"/>
        <family val="2"/>
      </rPr>
      <t xml:space="preserve">مجموعه در و پنل های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به همراه شیشه دوجداره و یراق آلات</t>
    </r>
  </si>
  <si>
    <t xml:space="preserve">16296000</t>
  </si>
  <si>
    <t xml:space="preserve">شاسی الکتروموتور و پمپ</t>
  </si>
  <si>
    <t xml:space="preserve">16296001</t>
  </si>
  <si>
    <t xml:space="preserve">شاستی پمپ فومینگ تانک</t>
  </si>
  <si>
    <t xml:space="preserve">16296002</t>
  </si>
  <si>
    <r>
      <rPr>
        <sz val="10"/>
        <rFont val="FreeSans"/>
        <family val="2"/>
      </rPr>
      <t xml:space="preserve">شاسی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بدنه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مبدل فروکتوز</t>
    </r>
  </si>
  <si>
    <t xml:space="preserve">16297000</t>
  </si>
  <si>
    <r>
      <rPr>
        <sz val="10"/>
        <rFont val="FreeSans"/>
        <family val="2"/>
      </rPr>
      <t xml:space="preserve">کف کاذب  </t>
    </r>
    <r>
      <rPr>
        <sz val="10"/>
        <rFont val="Vazirmatn"/>
        <family val="0"/>
        <charset val="1"/>
      </rPr>
      <t xml:space="preserve">60*60</t>
    </r>
  </si>
  <si>
    <t xml:space="preserve">16297001</t>
  </si>
  <si>
    <r>
      <rPr>
        <sz val="10"/>
        <rFont val="FreeSans"/>
        <family val="2"/>
      </rPr>
      <t xml:space="preserve">پله کان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راه پله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آهنی</t>
    </r>
  </si>
  <si>
    <t xml:space="preserve">16298000</t>
  </si>
  <si>
    <r>
      <rPr>
        <sz val="10"/>
        <rFont val="FreeSans"/>
        <family val="2"/>
      </rPr>
      <t xml:space="preserve">پوسته الکتروموتور  </t>
    </r>
    <r>
      <rPr>
        <sz val="10"/>
        <rFont val="Vazirmatn"/>
        <family val="0"/>
        <charset val="1"/>
      </rPr>
      <t xml:space="preserve">37KW  3000RPM</t>
    </r>
  </si>
  <si>
    <t xml:space="preserve">16298001</t>
  </si>
  <si>
    <r>
      <rPr>
        <sz val="10"/>
        <rFont val="FreeSans"/>
        <family val="2"/>
      </rPr>
      <t xml:space="preserve">پوسته الکتروموتور  </t>
    </r>
    <r>
      <rPr>
        <sz val="10"/>
        <rFont val="Vazirmatn"/>
        <family val="0"/>
        <charset val="1"/>
      </rPr>
      <t xml:space="preserve">11KW  3000RPM</t>
    </r>
  </si>
  <si>
    <t xml:space="preserve">16298002</t>
  </si>
  <si>
    <r>
      <rPr>
        <sz val="10"/>
        <rFont val="FreeSans"/>
        <family val="2"/>
      </rPr>
      <t xml:space="preserve">پوسته الکتروموتور  </t>
    </r>
    <r>
      <rPr>
        <sz val="10"/>
        <rFont val="Vazirmatn"/>
        <family val="0"/>
        <charset val="1"/>
      </rPr>
      <t xml:space="preserve">7/5KW  3000RPM</t>
    </r>
  </si>
  <si>
    <t xml:space="preserve">16298003</t>
  </si>
  <si>
    <r>
      <rPr>
        <sz val="10"/>
        <rFont val="FreeSans"/>
        <family val="2"/>
      </rPr>
      <t xml:space="preserve">پوسته الکتروموتور  </t>
    </r>
    <r>
      <rPr>
        <sz val="10"/>
        <rFont val="Vazirmatn"/>
        <family val="0"/>
        <charset val="1"/>
      </rPr>
      <t xml:space="preserve">3KW  1400RPM</t>
    </r>
  </si>
  <si>
    <t xml:space="preserve">16298004</t>
  </si>
  <si>
    <r>
      <rPr>
        <sz val="10"/>
        <rFont val="FreeSans"/>
        <family val="2"/>
      </rPr>
      <t xml:space="preserve">پوسته الکتروموتور  </t>
    </r>
    <r>
      <rPr>
        <sz val="10"/>
        <rFont val="Vazirmatn"/>
        <family val="0"/>
        <charset val="1"/>
      </rPr>
      <t xml:space="preserve">4KW  1500RPM</t>
    </r>
  </si>
  <si>
    <t xml:space="preserve">16298005</t>
  </si>
  <si>
    <r>
      <rPr>
        <sz val="10"/>
        <rFont val="FreeSans"/>
        <family val="2"/>
      </rPr>
      <t xml:space="preserve">پوسته الکتروموتور  </t>
    </r>
    <r>
      <rPr>
        <sz val="10"/>
        <rFont val="Vazirmatn"/>
        <family val="0"/>
        <charset val="1"/>
      </rPr>
      <t xml:space="preserve">2/2KW  1400RPM</t>
    </r>
  </si>
  <si>
    <t xml:space="preserve">16298100</t>
  </si>
  <si>
    <t xml:space="preserve">چهار شاخ فن کولینگ تاور فروکتوز به همراه پره</t>
  </si>
  <si>
    <t xml:space="preserve">16299000</t>
  </si>
  <si>
    <t xml:space="preserve">هلیس خشکن گلوتن</t>
  </si>
  <si>
    <t xml:space="preserve">16299001</t>
  </si>
  <si>
    <t xml:space="preserve">مخزن سیکلون درام گلوتن</t>
  </si>
  <si>
    <t xml:space="preserve">16299002</t>
  </si>
  <si>
    <t xml:space="preserve">دستگاه بسته بندی روغن</t>
  </si>
  <si>
    <t xml:space="preserve">16299003</t>
  </si>
  <si>
    <r>
      <rPr>
        <sz val="10"/>
        <rFont val="FreeSans"/>
        <family val="2"/>
      </rPr>
      <t xml:space="preserve">دستگاه کربن زنی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پرشر وکیوم </t>
    </r>
    <r>
      <rPr>
        <sz val="10"/>
        <rFont val="Vazirmatn"/>
        <family val="0"/>
        <charset val="1"/>
      </rPr>
      <t xml:space="preserve">)</t>
    </r>
  </si>
  <si>
    <t xml:space="preserve">16299004</t>
  </si>
  <si>
    <t xml:space="preserve">دستگاه قاپان بوجاری</t>
  </si>
  <si>
    <t xml:space="preserve">16299006</t>
  </si>
  <si>
    <t xml:space="preserve">دستگاه فیلتر پرس پایه بلند</t>
  </si>
  <si>
    <t xml:space="preserve">16299007</t>
  </si>
  <si>
    <t xml:space="preserve">دستگاه شیرینگ پک با متعلقات</t>
  </si>
  <si>
    <t xml:space="preserve">16299008</t>
  </si>
  <si>
    <t xml:space="preserve">قطعات بسته بندی فروکتوز</t>
  </si>
  <si>
    <t xml:space="preserve">16299009</t>
  </si>
  <si>
    <t xml:space="preserve">الواتور روغن کشی</t>
  </si>
  <si>
    <t xml:space="preserve">16299011</t>
  </si>
  <si>
    <t xml:space="preserve">راه پله آهنی جک دار</t>
  </si>
  <si>
    <t xml:space="preserve">16299012</t>
  </si>
  <si>
    <t xml:space="preserve">قرقر بالابر همراه با سیم بکسل</t>
  </si>
  <si>
    <t xml:space="preserve">16299013</t>
  </si>
  <si>
    <r>
      <rPr>
        <sz val="10"/>
        <rFont val="FreeSans"/>
        <family val="2"/>
      </rPr>
      <t xml:space="preserve">مخزن کوچک استیل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پایه</t>
    </r>
  </si>
  <si>
    <t xml:space="preserve">16299014</t>
  </si>
  <si>
    <t xml:space="preserve">هلیس استیل</t>
  </si>
  <si>
    <t xml:space="preserve">16299015</t>
  </si>
  <si>
    <t xml:space="preserve">گرمکن پرس روغن کشی با متعلقات</t>
  </si>
  <si>
    <t xml:space="preserve">16299016</t>
  </si>
  <si>
    <r>
      <rPr>
        <sz val="10"/>
        <rFont val="FreeSans"/>
        <family val="2"/>
      </rPr>
      <t xml:space="preserve">سیکلون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متر مکعبی</t>
    </r>
  </si>
  <si>
    <t xml:space="preserve">16299017</t>
  </si>
  <si>
    <t xml:space="preserve">کوکر پرس روغن کشی</t>
  </si>
  <si>
    <t xml:space="preserve">16299018</t>
  </si>
  <si>
    <t xml:space="preserve">هوا ساز</t>
  </si>
  <si>
    <t xml:space="preserve">16299019</t>
  </si>
  <si>
    <t xml:space="preserve">اتاقک فلزی آهنی</t>
  </si>
  <si>
    <t xml:space="preserve">16299020</t>
  </si>
  <si>
    <r>
      <rPr>
        <sz val="10"/>
        <rFont val="FreeSans"/>
        <family val="2"/>
      </rPr>
      <t xml:space="preserve">مخزن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متر مکعبی</t>
    </r>
  </si>
  <si>
    <t xml:space="preserve">16299022</t>
  </si>
  <si>
    <t xml:space="preserve">درب  برقی</t>
  </si>
  <si>
    <t xml:space="preserve">16299023</t>
  </si>
  <si>
    <t xml:space="preserve">درب و چهار چوب آهنی</t>
  </si>
  <si>
    <t xml:space="preserve">16299024</t>
  </si>
  <si>
    <r>
      <rPr>
        <sz val="10"/>
        <rFont val="FreeSans"/>
        <family val="2"/>
      </rPr>
      <t xml:space="preserve">هلیس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متری به همراه قاب</t>
    </r>
  </si>
  <si>
    <t xml:space="preserve">16299025</t>
  </si>
  <si>
    <r>
      <rPr>
        <sz val="10"/>
        <rFont val="FreeSans"/>
        <family val="2"/>
      </rPr>
      <t xml:space="preserve">مخزن مکعبی </t>
    </r>
    <r>
      <rPr>
        <sz val="10"/>
        <rFont val="Vazirmatn"/>
        <family val="0"/>
        <charset val="1"/>
      </rPr>
      <t xml:space="preserve">1500 </t>
    </r>
    <r>
      <rPr>
        <sz val="10"/>
        <rFont val="FreeSans"/>
        <family val="2"/>
      </rPr>
      <t xml:space="preserve">لیتری</t>
    </r>
  </si>
  <si>
    <t xml:space="preserve">16299026</t>
  </si>
  <si>
    <t xml:space="preserve">هلیس استیل با قاب</t>
  </si>
  <si>
    <t xml:space="preserve">16299027</t>
  </si>
  <si>
    <t xml:space="preserve">هلیس  آهنی</t>
  </si>
  <si>
    <t xml:space="preserve">16299028</t>
  </si>
  <si>
    <r>
      <rPr>
        <sz val="10"/>
        <rFont val="FreeSans"/>
        <family val="2"/>
      </rPr>
      <t xml:space="preserve">کولر گازی داکت اسپیلت سقفی </t>
    </r>
    <r>
      <rPr>
        <sz val="10"/>
        <rFont val="Vazirmatn"/>
        <family val="0"/>
        <charset val="1"/>
      </rPr>
      <t xml:space="preserve">36000</t>
    </r>
  </si>
  <si>
    <t xml:space="preserve">16299029</t>
  </si>
  <si>
    <r>
      <rPr>
        <sz val="10"/>
        <rFont val="FreeSans"/>
        <family val="2"/>
      </rPr>
      <t xml:space="preserve">کولر گازی </t>
    </r>
    <r>
      <rPr>
        <sz val="10"/>
        <rFont val="Vazirmatn"/>
        <family val="0"/>
        <charset val="1"/>
      </rPr>
      <t xml:space="preserve">12000</t>
    </r>
  </si>
  <si>
    <t xml:space="preserve">16299032</t>
  </si>
  <si>
    <t xml:space="preserve">سیکلون آهنی</t>
  </si>
  <si>
    <t xml:space="preserve">16299033</t>
  </si>
  <si>
    <t xml:space="preserve">مخزن استیل</t>
  </si>
  <si>
    <t xml:space="preserve">16299034</t>
  </si>
  <si>
    <r>
      <rPr>
        <sz val="10"/>
        <rFont val="FreeSans"/>
        <family val="2"/>
      </rPr>
      <t xml:space="preserve">هلیس استیل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تیکه با قاب</t>
    </r>
  </si>
  <si>
    <t xml:space="preserve">16299035</t>
  </si>
  <si>
    <t xml:space="preserve">مخزن مکعبی</t>
  </si>
  <si>
    <t xml:space="preserve">16299036</t>
  </si>
  <si>
    <t xml:space="preserve">دستگاه هایسنس داک اسپلیت به همراه کمپرسور</t>
  </si>
  <si>
    <t xml:space="preserve">16299038</t>
  </si>
  <si>
    <t xml:space="preserve">دستگاه هموژنایزر آزمایشگاهی</t>
  </si>
  <si>
    <t xml:space="preserve">16299039</t>
  </si>
  <si>
    <r>
      <rPr>
        <sz val="10"/>
        <rFont val="FreeSans"/>
        <family val="2"/>
      </rPr>
      <t xml:space="preserve">مبدل صفحه ای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</si>
  <si>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16299040</t>
  </si>
  <si>
    <t xml:space="preserve">دستگاه بسته بندی پوسته</t>
  </si>
  <si>
    <t xml:space="preserve">16299042</t>
  </si>
  <si>
    <t xml:space="preserve">ریل و نوار نقاله پوسته</t>
  </si>
  <si>
    <t xml:space="preserve">16299043</t>
  </si>
  <si>
    <t xml:space="preserve">کولر آبی پروتابل</t>
  </si>
  <si>
    <t xml:space="preserve">16299044</t>
  </si>
  <si>
    <t xml:space="preserve">آبگرمکن  دیواری</t>
  </si>
  <si>
    <t xml:space="preserve">211000</t>
  </si>
  <si>
    <t xml:space="preserve">گونی نشاسته صنعتی</t>
  </si>
  <si>
    <t xml:space="preserve">211001</t>
  </si>
  <si>
    <r>
      <rPr>
        <sz val="10"/>
        <rFont val="FreeSans"/>
        <family val="2"/>
      </rPr>
      <t xml:space="preserve">گالن گلوکز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کیلویی</t>
    </r>
  </si>
  <si>
    <t xml:space="preserve">211004</t>
  </si>
  <si>
    <t xml:space="preserve">گونی پوسته</t>
  </si>
  <si>
    <t xml:space="preserve">211006</t>
  </si>
  <si>
    <t xml:space="preserve">گونی کنجاله</t>
  </si>
  <si>
    <t xml:space="preserve">211007</t>
  </si>
  <si>
    <t xml:space="preserve">گونی گلوتن</t>
  </si>
  <si>
    <t xml:space="preserve">گلوتن پودری</t>
  </si>
  <si>
    <t xml:space="preserve">211008</t>
  </si>
  <si>
    <t xml:space="preserve">گونی نشاسته خوراکی</t>
  </si>
  <si>
    <t xml:space="preserve">211009</t>
  </si>
  <si>
    <r>
      <rPr>
        <sz val="10"/>
        <rFont val="FreeSans"/>
        <family val="2"/>
      </rPr>
      <t xml:space="preserve">گونی چسب   </t>
    </r>
    <r>
      <rPr>
        <sz val="10"/>
        <rFont val="Vazirmatn"/>
        <family val="0"/>
        <charset val="1"/>
      </rPr>
      <t xml:space="preserve">Z4</t>
    </r>
  </si>
  <si>
    <t xml:space="preserve">211010</t>
  </si>
  <si>
    <r>
      <rPr>
        <sz val="10"/>
        <rFont val="FreeSans"/>
        <family val="2"/>
      </rPr>
      <t xml:space="preserve">کیسه   بیگ بگ  </t>
    </r>
    <r>
      <rPr>
        <sz val="10"/>
        <rFont val="Vazirmatn"/>
        <family val="0"/>
        <charset val="1"/>
      </rPr>
      <t xml:space="preserve">68*68*75</t>
    </r>
  </si>
  <si>
    <t xml:space="preserve">211011</t>
  </si>
  <si>
    <t xml:space="preserve">گونی آمینو گلوتن</t>
  </si>
  <si>
    <t xml:space="preserve">211012</t>
  </si>
  <si>
    <t xml:space="preserve">گونی نشاسته اکسید</t>
  </si>
  <si>
    <t xml:space="preserve">211013</t>
  </si>
  <si>
    <r>
      <rPr>
        <sz val="10"/>
        <rFont val="FreeSans"/>
        <family val="2"/>
      </rPr>
      <t xml:space="preserve">درب گالن گلوکوز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کیلوئی</t>
    </r>
  </si>
  <si>
    <t xml:space="preserve">211014</t>
  </si>
  <si>
    <r>
      <rPr>
        <sz val="10"/>
        <rFont val="FreeSans"/>
        <family val="2"/>
      </rPr>
      <t xml:space="preserve">رینگ درب گالن گلوکوز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کیلوئی</t>
    </r>
  </si>
  <si>
    <t xml:space="preserve">211016</t>
  </si>
  <si>
    <r>
      <rPr>
        <sz val="10"/>
        <rFont val="FreeSans"/>
        <family val="2"/>
      </rPr>
      <t xml:space="preserve">رینگ درب گالن گلوکوز  </t>
    </r>
    <r>
      <rPr>
        <sz val="10"/>
        <rFont val="Vazirmatn"/>
        <family val="0"/>
        <charset val="1"/>
      </rPr>
      <t xml:space="preserve">45KG  ( </t>
    </r>
    <r>
      <rPr>
        <sz val="10"/>
        <rFont val="FreeSans"/>
        <family val="2"/>
      </rPr>
      <t xml:space="preserve">صادراتی </t>
    </r>
    <r>
      <rPr>
        <sz val="10"/>
        <rFont val="Vazirmatn"/>
        <family val="0"/>
        <charset val="1"/>
      </rPr>
      <t xml:space="preserve">)</t>
    </r>
  </si>
  <si>
    <t xml:space="preserve">211017</t>
  </si>
  <si>
    <r>
      <rPr>
        <sz val="10"/>
        <rFont val="FreeSans"/>
        <family val="2"/>
      </rPr>
      <t xml:space="preserve">گونی بیگ بگ  یک سر قیف دار  </t>
    </r>
    <r>
      <rPr>
        <sz val="10"/>
        <rFont val="Vazirmatn"/>
        <family val="0"/>
        <charset val="1"/>
      </rPr>
      <t xml:space="preserve">160 * 100 * 100</t>
    </r>
  </si>
  <si>
    <t xml:space="preserve">211021</t>
  </si>
  <si>
    <r>
      <rPr>
        <sz val="10"/>
        <rFont val="FreeSans"/>
        <family val="2"/>
      </rPr>
      <t xml:space="preserve">گونی بیگ بگ نشاسته    </t>
    </r>
    <r>
      <rPr>
        <sz val="10"/>
        <rFont val="Vazirmatn"/>
        <family val="0"/>
        <charset val="1"/>
      </rPr>
      <t xml:space="preserve">110*90*90</t>
    </r>
  </si>
  <si>
    <t xml:space="preserve">211027</t>
  </si>
  <si>
    <t xml:space="preserve">گونی نشاسته پرژل حفاری بدون آرم</t>
  </si>
  <si>
    <t xml:space="preserve">211030</t>
  </si>
  <si>
    <r>
      <rPr>
        <sz val="10"/>
        <rFont val="FreeSans"/>
        <family val="2"/>
      </rPr>
      <t xml:space="preserve">گونی بیگ بگ حفاری     </t>
    </r>
    <r>
      <rPr>
        <sz val="10"/>
        <rFont val="Vazirmatn"/>
        <family val="0"/>
        <charset val="1"/>
      </rPr>
      <t xml:space="preserve">165*120*115</t>
    </r>
  </si>
  <si>
    <t xml:space="preserve">211033</t>
  </si>
  <si>
    <r>
      <rPr>
        <sz val="10"/>
        <rFont val="FreeSans"/>
        <family val="2"/>
      </rPr>
      <t xml:space="preserve">گونی خرده ذرت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خاک </t>
    </r>
    <r>
      <rPr>
        <sz val="10"/>
        <rFont val="Vazirmatn"/>
        <family val="0"/>
        <charset val="1"/>
      </rPr>
      <t xml:space="preserve">)</t>
    </r>
  </si>
  <si>
    <t xml:space="preserve">خرده ذرت</t>
  </si>
  <si>
    <t xml:space="preserve">211037</t>
  </si>
  <si>
    <t xml:space="preserve">گونی نشاسته پرژل صنعتی</t>
  </si>
  <si>
    <t xml:space="preserve">211038</t>
  </si>
  <si>
    <r>
      <rPr>
        <sz val="10"/>
        <rFont val="FreeSans"/>
        <family val="2"/>
      </rPr>
      <t xml:space="preserve">گونی چسب   </t>
    </r>
    <r>
      <rPr>
        <sz val="10"/>
        <rFont val="Vazirmatn"/>
        <family val="0"/>
        <charset val="1"/>
      </rPr>
      <t xml:space="preserve">Z5</t>
    </r>
  </si>
  <si>
    <t xml:space="preserve">211039</t>
  </si>
  <si>
    <r>
      <rPr>
        <sz val="10"/>
        <rFont val="FreeSans"/>
        <family val="2"/>
      </rPr>
      <t xml:space="preserve">گونی چسب   </t>
    </r>
    <r>
      <rPr>
        <sz val="10"/>
        <rFont val="Vazirmatn"/>
        <family val="0"/>
        <charset val="1"/>
      </rPr>
      <t xml:space="preserve">Z6</t>
    </r>
  </si>
  <si>
    <t xml:space="preserve">211041</t>
  </si>
  <si>
    <r>
      <rPr>
        <sz val="10"/>
        <rFont val="FreeSans"/>
        <family val="2"/>
      </rPr>
      <t xml:space="preserve">مقوای سه لایه  </t>
    </r>
    <r>
      <rPr>
        <sz val="10"/>
        <rFont val="Vazirmatn"/>
        <family val="0"/>
        <charset val="1"/>
      </rPr>
      <t xml:space="preserve">100cm * 115cm</t>
    </r>
  </si>
  <si>
    <t xml:space="preserve">211042</t>
  </si>
  <si>
    <t xml:space="preserve">گونی نشاسته کاتیونیک</t>
  </si>
  <si>
    <t xml:space="preserve">211043</t>
  </si>
  <si>
    <r>
      <rPr>
        <sz val="10"/>
        <rFont val="FreeSans"/>
        <family val="2"/>
      </rPr>
      <t xml:space="preserve">گونی پرژل حفاری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سبز </t>
    </r>
    <r>
      <rPr>
        <sz val="10"/>
        <rFont val="Vazirmatn"/>
        <family val="0"/>
        <charset val="1"/>
      </rPr>
      <t xml:space="preserve">)</t>
    </r>
  </si>
  <si>
    <t xml:space="preserve">211044</t>
  </si>
  <si>
    <r>
      <rPr>
        <sz val="10"/>
        <rFont val="FreeSans"/>
        <family val="2"/>
      </rPr>
      <t xml:space="preserve">گونی پرژل حفاری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قرمز </t>
    </r>
    <r>
      <rPr>
        <sz val="10"/>
        <rFont val="Vazirmatn"/>
        <family val="0"/>
        <charset val="1"/>
      </rPr>
      <t xml:space="preserve">)</t>
    </r>
  </si>
  <si>
    <t xml:space="preserve">211045</t>
  </si>
  <si>
    <t xml:space="preserve">گونی  یم</t>
  </si>
  <si>
    <t xml:space="preserve">211046</t>
  </si>
  <si>
    <t xml:space="preserve">پاکت کامپوزیت بدون آرم</t>
  </si>
  <si>
    <t xml:space="preserve">211047</t>
  </si>
  <si>
    <t xml:space="preserve">گونی اسپری استارچ</t>
  </si>
  <si>
    <t xml:space="preserve">211051</t>
  </si>
  <si>
    <r>
      <rPr>
        <sz val="10"/>
        <rFont val="FreeSans"/>
        <family val="2"/>
      </rPr>
      <t xml:space="preserve">کیسه بیگ بگ دوسر قیف دار </t>
    </r>
    <r>
      <rPr>
        <sz val="10"/>
        <rFont val="Vazirmatn"/>
        <family val="0"/>
        <charset val="1"/>
      </rPr>
      <t xml:space="preserve">500 </t>
    </r>
    <r>
      <rPr>
        <sz val="10"/>
        <rFont val="FreeSans"/>
        <family val="2"/>
      </rPr>
      <t xml:space="preserve">کیلو گرمی  </t>
    </r>
    <r>
      <rPr>
        <sz val="10"/>
        <rFont val="Vazirmatn"/>
        <family val="0"/>
        <charset val="1"/>
      </rPr>
      <t xml:space="preserve">100*83*93</t>
    </r>
  </si>
  <si>
    <t xml:space="preserve">211052</t>
  </si>
  <si>
    <t xml:space="preserve">گونی نشاسته پریژل خوراکی</t>
  </si>
  <si>
    <t xml:space="preserve">211053</t>
  </si>
  <si>
    <t xml:space="preserve">گونی چسب کناف</t>
  </si>
  <si>
    <t xml:space="preserve">211054</t>
  </si>
  <si>
    <t xml:space="preserve">گونی چسب دکسترین</t>
  </si>
  <si>
    <t xml:space="preserve">211056</t>
  </si>
  <si>
    <r>
      <rPr>
        <sz val="10"/>
        <rFont val="FreeSans"/>
        <family val="2"/>
      </rPr>
      <t xml:space="preserve">گالن پلاستیکی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 گرمی</t>
    </r>
  </si>
  <si>
    <t xml:space="preserve">211058</t>
  </si>
  <si>
    <r>
      <rPr>
        <sz val="10"/>
        <rFont val="FreeSans"/>
        <family val="2"/>
      </rPr>
      <t xml:space="preserve">رینگ فلزی بشکه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کیلو گرمی</t>
    </r>
  </si>
  <si>
    <t xml:space="preserve">211101</t>
  </si>
  <si>
    <r>
      <rPr>
        <sz val="10"/>
        <rFont val="FreeSans"/>
        <family val="2"/>
      </rPr>
      <t xml:space="preserve">گالن خالی امانی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 گرمی</t>
    </r>
  </si>
  <si>
    <r>
      <rPr>
        <sz val="10"/>
        <rFont val="Vazirmatn"/>
        <family val="0"/>
        <charset val="1"/>
      </rPr>
      <t xml:space="preserve">2111 (</t>
    </r>
    <r>
      <rPr>
        <sz val="10"/>
        <rFont val="FreeSans"/>
        <family val="2"/>
      </rPr>
      <t xml:space="preserve">گالن</t>
    </r>
    <r>
      <rPr>
        <sz val="10"/>
        <rFont val="Vazirmatn"/>
        <family val="0"/>
        <charset val="1"/>
      </rPr>
      <t xml:space="preserve">)</t>
    </r>
  </si>
  <si>
    <t xml:space="preserve">212001</t>
  </si>
  <si>
    <r>
      <rPr>
        <sz val="10"/>
        <rFont val="FreeSans"/>
        <family val="2"/>
      </rPr>
      <t xml:space="preserve">بطری روغن </t>
    </r>
    <r>
      <rPr>
        <sz val="10"/>
        <rFont val="Vazirmatn"/>
        <family val="0"/>
        <charset val="1"/>
      </rPr>
      <t xml:space="preserve">900cc</t>
    </r>
  </si>
  <si>
    <r>
      <rPr>
        <sz val="10"/>
        <rFont val="Vazirmatn"/>
        <family val="0"/>
        <charset val="1"/>
      </rPr>
      <t xml:space="preserve">2120 (</t>
    </r>
    <r>
      <rPr>
        <sz val="10"/>
        <rFont val="FreeSans"/>
        <family val="2"/>
      </rPr>
      <t xml:space="preserve">بطری، حلب</t>
    </r>
    <r>
      <rPr>
        <sz val="10"/>
        <rFont val="Vazirmatn"/>
        <family val="0"/>
        <charset val="1"/>
      </rPr>
      <t xml:space="preserve">)</t>
    </r>
  </si>
  <si>
    <t xml:space="preserve">212003</t>
  </si>
  <si>
    <r>
      <rPr>
        <sz val="10"/>
        <rFont val="FreeSans"/>
        <family val="2"/>
      </rPr>
      <t xml:space="preserve">حلب گلوکوز   </t>
    </r>
    <r>
      <rPr>
        <sz val="10"/>
        <rFont val="Vazirmatn"/>
        <family val="0"/>
        <charset val="1"/>
      </rPr>
      <t xml:space="preserve">25Kg</t>
    </r>
  </si>
  <si>
    <t xml:space="preserve">212005</t>
  </si>
  <si>
    <r>
      <rPr>
        <sz val="10"/>
        <rFont val="FreeSans"/>
        <family val="2"/>
      </rPr>
      <t xml:space="preserve">بطری روغن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گلدن کورن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پخت و پز و سرخ کردنی </t>
    </r>
    <r>
      <rPr>
        <sz val="10"/>
        <rFont val="Vazirmatn"/>
        <family val="0"/>
        <charset val="1"/>
      </rPr>
      <t xml:space="preserve">)</t>
    </r>
  </si>
  <si>
    <t xml:space="preserve">212010</t>
  </si>
  <si>
    <r>
      <rPr>
        <sz val="10"/>
        <rFont val="FreeSans"/>
        <family val="2"/>
      </rPr>
      <t xml:space="preserve">سطل فلزی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 گرمی</t>
    </r>
  </si>
  <si>
    <t xml:space="preserve">212200</t>
  </si>
  <si>
    <r>
      <rPr>
        <sz val="10"/>
        <rFont val="FreeSans"/>
        <family val="2"/>
      </rPr>
      <t xml:space="preserve">درب بشکه پلاستیکی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کیلو گرمی</t>
    </r>
  </si>
  <si>
    <r>
      <rPr>
        <sz val="10"/>
        <rFont val="Vazirmatn"/>
        <family val="0"/>
        <charset val="1"/>
      </rPr>
      <t xml:space="preserve">2122 (</t>
    </r>
    <r>
      <rPr>
        <sz val="10"/>
        <rFont val="FreeSans"/>
        <family val="2"/>
      </rPr>
      <t xml:space="preserve">درب</t>
    </r>
    <r>
      <rPr>
        <sz val="10"/>
        <rFont val="Vazirmatn"/>
        <family val="0"/>
        <charset val="1"/>
      </rPr>
      <t xml:space="preserve">)</t>
    </r>
  </si>
  <si>
    <t xml:space="preserve">212201</t>
  </si>
  <si>
    <r>
      <rPr>
        <sz val="10"/>
        <rFont val="FreeSans"/>
        <family val="2"/>
      </rPr>
      <t xml:space="preserve">درب بطری روغن  </t>
    </r>
    <r>
      <rPr>
        <sz val="10"/>
        <rFont val="Vazirmatn"/>
        <family val="0"/>
        <charset val="1"/>
      </rPr>
      <t xml:space="preserve">900cc</t>
    </r>
  </si>
  <si>
    <t xml:space="preserve">212203</t>
  </si>
  <si>
    <t xml:space="preserve">درب بشکه فلزی</t>
  </si>
  <si>
    <t xml:space="preserve">212204</t>
  </si>
  <si>
    <r>
      <rPr>
        <sz val="10"/>
        <rFont val="FreeSans"/>
        <family val="2"/>
      </rPr>
      <t xml:space="preserve">درب بطری روغن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گلدن کورن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پخت و پز </t>
    </r>
    <r>
      <rPr>
        <sz val="10"/>
        <rFont val="Vazirmatn"/>
        <family val="0"/>
        <charset val="1"/>
      </rPr>
      <t xml:space="preserve">)</t>
    </r>
  </si>
  <si>
    <t xml:space="preserve">212207</t>
  </si>
  <si>
    <r>
      <rPr>
        <sz val="10"/>
        <rFont val="FreeSans"/>
        <family val="2"/>
      </rPr>
      <t xml:space="preserve">درب بطری روغن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گلدن کورن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سرخ کردنی </t>
    </r>
    <r>
      <rPr>
        <sz val="10"/>
        <rFont val="Vazirmatn"/>
        <family val="0"/>
        <charset val="1"/>
      </rPr>
      <t xml:space="preserve">)</t>
    </r>
  </si>
  <si>
    <t xml:space="preserve">213005</t>
  </si>
  <si>
    <r>
      <rPr>
        <sz val="10"/>
        <rFont val="FreeSans"/>
        <family val="2"/>
      </rPr>
      <t xml:space="preserve">بشکه فلزی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لیتری امانی</t>
    </r>
  </si>
  <si>
    <t xml:space="preserve">213006</t>
  </si>
  <si>
    <r>
      <rPr>
        <sz val="10"/>
        <rFont val="FreeSans"/>
        <family val="2"/>
      </rPr>
      <t xml:space="preserve">بشکه پلاستیکی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کیلویی دهانه گشاد</t>
    </r>
  </si>
  <si>
    <t xml:space="preserve">213007</t>
  </si>
  <si>
    <r>
      <rPr>
        <sz val="10"/>
        <rFont val="FreeSans"/>
        <family val="2"/>
      </rPr>
      <t xml:space="preserve">بشکه پلاستیکی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کیلویی دهانه گشاد امانی</t>
    </r>
  </si>
  <si>
    <t xml:space="preserve">213008</t>
  </si>
  <si>
    <r>
      <rPr>
        <sz val="10"/>
        <rFont val="FreeSans"/>
        <family val="2"/>
      </rPr>
      <t xml:space="preserve">مخزن </t>
    </r>
    <r>
      <rPr>
        <sz val="10"/>
        <rFont val="Vazirmatn"/>
        <family val="0"/>
        <charset val="1"/>
      </rPr>
      <t xml:space="preserve">ABC </t>
    </r>
    <r>
      <rPr>
        <sz val="10"/>
        <rFont val="FreeSans"/>
        <family val="2"/>
      </rPr>
      <t xml:space="preserve">تانک امانی</t>
    </r>
  </si>
  <si>
    <t xml:space="preserve">220004</t>
  </si>
  <si>
    <r>
      <rPr>
        <sz val="10"/>
        <rFont val="FreeSans"/>
        <family val="2"/>
      </rPr>
      <t xml:space="preserve">کارتن روغن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عددی گلدن کورن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پخت و پز </t>
    </r>
    <r>
      <rPr>
        <sz val="10"/>
        <rFont val="Vazirmatn"/>
        <family val="0"/>
        <charset val="1"/>
      </rPr>
      <t xml:space="preserve">)</t>
    </r>
  </si>
  <si>
    <t xml:space="preserve">220005</t>
  </si>
  <si>
    <t xml:space="preserve">کارتن پلاست گلوکوز</t>
  </si>
  <si>
    <t xml:space="preserve">220007</t>
  </si>
  <si>
    <t xml:space="preserve">کارتن پلاست روغن</t>
  </si>
  <si>
    <t xml:space="preserve">220008</t>
  </si>
  <si>
    <r>
      <rPr>
        <sz val="10"/>
        <rFont val="FreeSans"/>
        <family val="2"/>
      </rPr>
      <t xml:space="preserve">کارتن روغن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عددی گلدن کورن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سرخ کردنی </t>
    </r>
    <r>
      <rPr>
        <sz val="10"/>
        <rFont val="Vazirmatn"/>
        <family val="0"/>
        <charset val="1"/>
      </rPr>
      <t xml:space="preserve">)</t>
    </r>
  </si>
  <si>
    <t xml:space="preserve">220009</t>
  </si>
  <si>
    <t xml:space="preserve">کارتن پلاست</t>
  </si>
  <si>
    <t xml:space="preserve">250001</t>
  </si>
  <si>
    <r>
      <rPr>
        <sz val="10"/>
        <rFont val="FreeSans"/>
        <family val="2"/>
      </rPr>
      <t xml:space="preserve">لیبل بطری روغن </t>
    </r>
    <r>
      <rPr>
        <sz val="10"/>
        <rFont val="Vazirmatn"/>
        <family val="0"/>
        <charset val="1"/>
      </rPr>
      <t xml:space="preserve">900cc</t>
    </r>
  </si>
  <si>
    <t xml:space="preserve">250002</t>
  </si>
  <si>
    <r>
      <rPr>
        <sz val="10"/>
        <rFont val="FreeSans"/>
        <family val="2"/>
      </rPr>
      <t xml:space="preserve">لیبل بطری روغن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کلاله</t>
    </r>
  </si>
  <si>
    <t xml:space="preserve">250004</t>
  </si>
  <si>
    <r>
      <rPr>
        <sz val="10"/>
        <rFont val="FreeSans"/>
        <family val="2"/>
      </rPr>
      <t xml:space="preserve">لیبل بطری روغن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گلدن کورن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پخت و پز </t>
    </r>
    <r>
      <rPr>
        <sz val="10"/>
        <rFont val="Vazirmatn"/>
        <family val="0"/>
        <charset val="1"/>
      </rPr>
      <t xml:space="preserve">)</t>
    </r>
  </si>
  <si>
    <t xml:space="preserve">250006</t>
  </si>
  <si>
    <r>
      <rPr>
        <sz val="10"/>
        <rFont val="FreeSans"/>
        <family val="2"/>
      </rPr>
      <t xml:space="preserve">بست  پلاستیکی  </t>
    </r>
    <r>
      <rPr>
        <sz val="10"/>
        <rFont val="Vazirmatn"/>
        <family val="0"/>
        <charset val="1"/>
      </rPr>
      <t xml:space="preserve">250 * 4.8mm</t>
    </r>
  </si>
  <si>
    <t xml:space="preserve">250009</t>
  </si>
  <si>
    <t xml:space="preserve">بست پلمپ پلاستیکی</t>
  </si>
  <si>
    <t xml:space="preserve">250013</t>
  </si>
  <si>
    <t xml:space="preserve">لیبل سفید گالن و حلب گلوکوز</t>
  </si>
  <si>
    <t xml:space="preserve">250016</t>
  </si>
  <si>
    <r>
      <rPr>
        <sz val="10"/>
        <rFont val="FreeSans"/>
        <family val="2"/>
      </rPr>
      <t xml:space="preserve">لیبل بطری روغن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گلدن کورن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سرخ کردنی </t>
    </r>
    <r>
      <rPr>
        <sz val="10"/>
        <rFont val="Vazirmatn"/>
        <family val="0"/>
        <charset val="1"/>
      </rPr>
      <t xml:space="preserve">)</t>
    </r>
  </si>
  <si>
    <t xml:space="preserve">250017</t>
  </si>
  <si>
    <r>
      <rPr>
        <sz val="10"/>
        <rFont val="FreeSans"/>
        <family val="2"/>
      </rPr>
      <t xml:space="preserve">بارکد لیبل بطری روغن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گلدن کورن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سرخ کردنی </t>
    </r>
    <r>
      <rPr>
        <sz val="10"/>
        <rFont val="Vazirmatn"/>
        <family val="0"/>
        <charset val="1"/>
      </rPr>
      <t xml:space="preserve">)</t>
    </r>
  </si>
  <si>
    <t xml:space="preserve">250018</t>
  </si>
  <si>
    <r>
      <rPr>
        <sz val="10"/>
        <rFont val="FreeSans"/>
        <family val="2"/>
      </rPr>
      <t xml:space="preserve">لیبل بطری روغن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پخت و پز </t>
    </r>
    <r>
      <rPr>
        <sz val="10"/>
        <rFont val="Vazirmatn"/>
        <family val="0"/>
        <charset val="1"/>
      </rPr>
      <t xml:space="preserve">( D )</t>
    </r>
  </si>
  <si>
    <t xml:space="preserve">250019</t>
  </si>
  <si>
    <r>
      <rPr>
        <sz val="10"/>
        <rFont val="FreeSans"/>
        <family val="2"/>
      </rPr>
      <t xml:space="preserve">لیبل بطری روغن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سرخ کردنی </t>
    </r>
    <r>
      <rPr>
        <sz val="10"/>
        <rFont val="Vazirmatn"/>
        <family val="0"/>
        <charset val="1"/>
      </rPr>
      <t xml:space="preserve">( D )</t>
    </r>
  </si>
  <si>
    <t xml:space="preserve">251001</t>
  </si>
  <si>
    <r>
      <rPr>
        <sz val="10"/>
        <rFont val="FreeSans"/>
        <family val="2"/>
      </rPr>
      <t xml:space="preserve">نایلون گلوکوز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کیلویی</t>
    </r>
  </si>
  <si>
    <t xml:space="preserve">251002</t>
  </si>
  <si>
    <r>
      <rPr>
        <sz val="10"/>
        <rFont val="FreeSans"/>
        <family val="2"/>
      </rPr>
      <t xml:space="preserve">نایلون گلوکوز بشکه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کیلویی</t>
    </r>
  </si>
  <si>
    <t xml:space="preserve">251003</t>
  </si>
  <si>
    <r>
      <rPr>
        <sz val="10"/>
        <rFont val="FreeSans"/>
        <family val="2"/>
      </rPr>
      <t xml:space="preserve">نایلون گالن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 گرمی</t>
    </r>
  </si>
  <si>
    <t xml:space="preserve">251004</t>
  </si>
  <si>
    <t xml:space="preserve">نایلون شیرینگ</t>
  </si>
  <si>
    <t xml:space="preserve">251006</t>
  </si>
  <si>
    <t xml:space="preserve">بست فلزی  بسته بندی</t>
  </si>
  <si>
    <t xml:space="preserve">251007</t>
  </si>
  <si>
    <t xml:space="preserve">تسمه پلاستیکی شیرینگ</t>
  </si>
  <si>
    <t xml:space="preserve">251009</t>
  </si>
  <si>
    <t xml:space="preserve">تسمه فلزی بسته بندی</t>
  </si>
  <si>
    <t xml:space="preserve">251010</t>
  </si>
  <si>
    <t xml:space="preserve">پلیت پلمپ بزرگ درب بشکه</t>
  </si>
  <si>
    <t xml:space="preserve">251011</t>
  </si>
  <si>
    <t xml:space="preserve">پلیت پلمپ کوچک درب بشکه</t>
  </si>
  <si>
    <t xml:space="preserve">251012</t>
  </si>
  <si>
    <r>
      <rPr>
        <sz val="10"/>
        <rFont val="FreeSans"/>
        <family val="2"/>
      </rPr>
      <t xml:space="preserve">نایلون گلوکوز کارتنی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کیلوئی</t>
    </r>
  </si>
  <si>
    <t xml:space="preserve">251013</t>
  </si>
  <si>
    <r>
      <rPr>
        <sz val="10"/>
        <rFont val="FreeSans"/>
        <family val="2"/>
      </rPr>
      <t xml:space="preserve">نایلون شیرینگ </t>
    </r>
    <r>
      <rPr>
        <sz val="10"/>
        <rFont val="Vazirmatn"/>
        <family val="0"/>
        <charset val="1"/>
      </rPr>
      <t xml:space="preserve">50CM</t>
    </r>
  </si>
  <si>
    <t xml:space="preserve">27101001</t>
  </si>
  <si>
    <r>
      <rPr>
        <sz val="10"/>
        <rFont val="FreeSans"/>
        <family val="2"/>
      </rPr>
      <t xml:space="preserve">بطری روغن </t>
    </r>
    <r>
      <rPr>
        <sz val="10"/>
        <rFont val="Vazirmatn"/>
        <family val="0"/>
        <charset val="1"/>
      </rPr>
      <t xml:space="preserve">1620 </t>
    </r>
    <r>
      <rPr>
        <sz val="10"/>
        <rFont val="FreeSans"/>
        <family val="2"/>
      </rPr>
      <t xml:space="preserve">گرمی شرکت زرنام</t>
    </r>
  </si>
  <si>
    <r>
      <rPr>
        <sz val="10"/>
        <rFont val="Vazirmatn"/>
        <family val="0"/>
        <charset val="1"/>
      </rPr>
      <t xml:space="preserve">2710 (</t>
    </r>
    <r>
      <rPr>
        <sz val="10"/>
        <rFont val="FreeSans"/>
        <family val="2"/>
      </rPr>
      <t xml:space="preserve">بطری، درب</t>
    </r>
    <r>
      <rPr>
        <sz val="10"/>
        <rFont val="Vazirmatn"/>
        <family val="0"/>
        <charset val="1"/>
      </rPr>
      <t xml:space="preserve">)</t>
    </r>
  </si>
  <si>
    <t xml:space="preserve">27101002</t>
  </si>
  <si>
    <r>
      <rPr>
        <sz val="10"/>
        <rFont val="FreeSans"/>
        <family val="2"/>
      </rPr>
      <t xml:space="preserve">بطری روغن </t>
    </r>
    <r>
      <rPr>
        <sz val="10"/>
        <rFont val="Vazirmatn"/>
        <family val="0"/>
        <charset val="1"/>
      </rPr>
      <t xml:space="preserve">810 </t>
    </r>
    <r>
      <rPr>
        <sz val="10"/>
        <rFont val="FreeSans"/>
        <family val="2"/>
      </rPr>
      <t xml:space="preserve">گرمی شرکت زرنام</t>
    </r>
  </si>
  <si>
    <t xml:space="preserve">27101003</t>
  </si>
  <si>
    <r>
      <rPr>
        <sz val="10"/>
        <rFont val="FreeSans"/>
        <family val="2"/>
      </rPr>
      <t xml:space="preserve">درب بطری روغن  </t>
    </r>
    <r>
      <rPr>
        <sz val="10"/>
        <rFont val="Vazirmatn"/>
        <family val="0"/>
        <charset val="1"/>
      </rPr>
      <t xml:space="preserve">810</t>
    </r>
    <r>
      <rPr>
        <sz val="10"/>
        <rFont val="FreeSans"/>
        <family val="2"/>
      </rPr>
      <t xml:space="preserve">گرمی شرکت زرنام</t>
    </r>
  </si>
  <si>
    <t xml:space="preserve">27101004</t>
  </si>
  <si>
    <r>
      <rPr>
        <sz val="10"/>
        <rFont val="FreeSans"/>
        <family val="2"/>
      </rPr>
      <t xml:space="preserve">بطری روغن </t>
    </r>
    <r>
      <rPr>
        <sz val="10"/>
        <rFont val="Vazirmatn"/>
        <family val="0"/>
        <charset val="1"/>
      </rPr>
      <t xml:space="preserve">1350</t>
    </r>
    <r>
      <rPr>
        <sz val="10"/>
        <rFont val="FreeSans"/>
        <family val="2"/>
      </rPr>
      <t xml:space="preserve">گرمی شرکت زرنام</t>
    </r>
  </si>
  <si>
    <t xml:space="preserve">27201002</t>
  </si>
  <si>
    <r>
      <rPr>
        <sz val="10"/>
        <rFont val="FreeSans"/>
        <family val="2"/>
      </rPr>
      <t xml:space="preserve">کارتن روغن </t>
    </r>
    <r>
      <rPr>
        <sz val="10"/>
        <rFont val="Vazirmatn"/>
        <family val="0"/>
        <charset val="1"/>
      </rPr>
      <t xml:space="preserve">1620 </t>
    </r>
    <r>
      <rPr>
        <sz val="10"/>
        <rFont val="FreeSans"/>
        <family val="2"/>
      </rPr>
      <t xml:space="preserve">گرمی شرکت زرنام</t>
    </r>
  </si>
  <si>
    <r>
      <rPr>
        <sz val="10"/>
        <rFont val="Vazirmatn"/>
        <family val="0"/>
        <charset val="1"/>
      </rPr>
      <t xml:space="preserve">2720 (</t>
    </r>
    <r>
      <rPr>
        <sz val="10"/>
        <rFont val="FreeSans"/>
        <family val="2"/>
      </rPr>
      <t xml:space="preserve">کارتن</t>
    </r>
    <r>
      <rPr>
        <sz val="10"/>
        <rFont val="Vazirmatn"/>
        <family val="0"/>
        <charset val="1"/>
      </rPr>
      <t xml:space="preserve">)</t>
    </r>
  </si>
  <si>
    <t xml:space="preserve">27301001</t>
  </si>
  <si>
    <r>
      <rPr>
        <sz val="10"/>
        <rFont val="FreeSans"/>
        <family val="2"/>
      </rPr>
      <t xml:space="preserve">لیبل روغن </t>
    </r>
    <r>
      <rPr>
        <sz val="10"/>
        <rFont val="Vazirmatn"/>
        <family val="0"/>
        <charset val="1"/>
      </rPr>
      <t xml:space="preserve">1620 </t>
    </r>
    <r>
      <rPr>
        <sz val="10"/>
        <rFont val="FreeSans"/>
        <family val="2"/>
      </rPr>
      <t xml:space="preserve">گرمی شرکت زرنام</t>
    </r>
  </si>
  <si>
    <r>
      <rPr>
        <sz val="10"/>
        <rFont val="Vazirmatn"/>
        <family val="0"/>
        <charset val="1"/>
      </rPr>
      <t xml:space="preserve">2730 (</t>
    </r>
    <r>
      <rPr>
        <sz val="10"/>
        <rFont val="FreeSans"/>
        <family val="2"/>
      </rPr>
      <t xml:space="preserve">لیبل</t>
    </r>
    <r>
      <rPr>
        <sz val="10"/>
        <rFont val="Vazirmatn"/>
        <family val="0"/>
        <charset val="1"/>
      </rPr>
      <t xml:space="preserve">)</t>
    </r>
  </si>
  <si>
    <t xml:space="preserve">27301002</t>
  </si>
  <si>
    <r>
      <rPr>
        <sz val="10"/>
        <rFont val="FreeSans"/>
        <family val="2"/>
      </rPr>
      <t xml:space="preserve">لیبل روغن گالن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لیتری شرکت زرنام</t>
    </r>
  </si>
  <si>
    <t xml:space="preserve">27301003</t>
  </si>
  <si>
    <r>
      <rPr>
        <sz val="10"/>
        <rFont val="FreeSans"/>
        <family val="2"/>
      </rPr>
      <t xml:space="preserve">لیبل روغن گالن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لیتری شرکت زرنام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فارسی </t>
    </r>
    <r>
      <rPr>
        <sz val="10"/>
        <rFont val="Vazirmatn"/>
        <family val="0"/>
        <charset val="1"/>
      </rPr>
      <t xml:space="preserve">)</t>
    </r>
  </si>
  <si>
    <t xml:space="preserve">27301004</t>
  </si>
  <si>
    <r>
      <rPr>
        <sz val="10"/>
        <rFont val="FreeSans"/>
        <family val="2"/>
      </rPr>
      <t xml:space="preserve">لیبل روغن گالن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لیتری شرکت زرنام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انگلیسی </t>
    </r>
    <r>
      <rPr>
        <sz val="10"/>
        <rFont val="Vazirmatn"/>
        <family val="0"/>
        <charset val="1"/>
      </rPr>
      <t xml:space="preserve">)</t>
    </r>
  </si>
  <si>
    <t xml:space="preserve">27401001</t>
  </si>
  <si>
    <r>
      <rPr>
        <sz val="10"/>
        <rFont val="FreeSans"/>
        <family val="2"/>
      </rPr>
      <t xml:space="preserve">درب بطری روغن </t>
    </r>
    <r>
      <rPr>
        <sz val="10"/>
        <rFont val="Vazirmatn"/>
        <family val="0"/>
        <charset val="1"/>
      </rPr>
      <t xml:space="preserve">1620 </t>
    </r>
    <r>
      <rPr>
        <sz val="10"/>
        <rFont val="FreeSans"/>
        <family val="2"/>
      </rPr>
      <t xml:space="preserve">گرمی شرکت زرنام</t>
    </r>
  </si>
  <si>
    <r>
      <rPr>
        <sz val="10"/>
        <rFont val="Vazirmatn"/>
        <family val="0"/>
        <charset val="1"/>
      </rPr>
      <t xml:space="preserve">2740 (</t>
    </r>
    <r>
      <rPr>
        <sz val="10"/>
        <rFont val="FreeSans"/>
        <family val="2"/>
      </rPr>
      <t xml:space="preserve">درب</t>
    </r>
    <r>
      <rPr>
        <sz val="10"/>
        <rFont val="Vazirmatn"/>
        <family val="0"/>
        <charset val="1"/>
      </rPr>
      <t xml:space="preserve">)</t>
    </r>
  </si>
  <si>
    <t xml:space="preserve">27501001</t>
  </si>
  <si>
    <r>
      <rPr>
        <sz val="10"/>
        <rFont val="FreeSans"/>
        <family val="2"/>
      </rPr>
      <t xml:space="preserve">بشکه فلزی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کیلویی امانی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الحاوی</t>
    </r>
    <r>
      <rPr>
        <sz val="10"/>
        <rFont val="Vazirmatn"/>
        <family val="0"/>
        <charset val="1"/>
      </rPr>
      <t xml:space="preserve">)</t>
    </r>
  </si>
  <si>
    <r>
      <rPr>
        <sz val="10"/>
        <rFont val="Vazirmatn"/>
        <family val="0"/>
        <charset val="1"/>
      </rPr>
      <t xml:space="preserve">2750 (</t>
    </r>
    <r>
      <rPr>
        <sz val="10"/>
        <rFont val="FreeSans"/>
        <family val="2"/>
      </rPr>
      <t xml:space="preserve">بشکه</t>
    </r>
    <r>
      <rPr>
        <sz val="10"/>
        <rFont val="Vazirmatn"/>
        <family val="0"/>
        <charset val="1"/>
      </rPr>
      <t xml:space="preserve">)</t>
    </r>
  </si>
  <si>
    <t xml:space="preserve">27601001</t>
  </si>
  <si>
    <r>
      <rPr>
        <sz val="10"/>
        <rFont val="FreeSans"/>
        <family val="2"/>
      </rPr>
      <t xml:space="preserve">روغن خام امانی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زرنام</t>
    </r>
    <r>
      <rPr>
        <sz val="10"/>
        <rFont val="Vazirmatn"/>
        <family val="0"/>
        <charset val="1"/>
      </rPr>
      <t xml:space="preserve">)</t>
    </r>
  </si>
  <si>
    <r>
      <rPr>
        <sz val="10"/>
        <rFont val="Vazirmatn"/>
        <family val="0"/>
        <charset val="1"/>
      </rPr>
      <t xml:space="preserve">2760 (</t>
    </r>
    <r>
      <rPr>
        <sz val="10"/>
        <rFont val="FreeSans"/>
        <family val="2"/>
      </rPr>
      <t xml:space="preserve">روغن</t>
    </r>
    <r>
      <rPr>
        <sz val="10"/>
        <rFont val="Vazirmatn"/>
        <family val="0"/>
        <charset val="1"/>
      </rPr>
      <t xml:space="preserve">)</t>
    </r>
  </si>
  <si>
    <t xml:space="preserve">27701002</t>
  </si>
  <si>
    <r>
      <rPr>
        <sz val="10"/>
        <rFont val="FreeSans"/>
        <family val="2"/>
      </rPr>
      <t xml:space="preserve">مخزن پلی اتیلن حفاظ دار  </t>
    </r>
    <r>
      <rPr>
        <sz val="10"/>
        <rFont val="Vazirmatn"/>
        <family val="0"/>
        <charset val="1"/>
      </rPr>
      <t xml:space="preserve">IBC (</t>
    </r>
    <r>
      <rPr>
        <sz val="10"/>
        <rFont val="FreeSans"/>
        <family val="2"/>
      </rPr>
      <t xml:space="preserve">امانی</t>
    </r>
    <r>
      <rPr>
        <sz val="10"/>
        <rFont val="Vazirmatn"/>
        <family val="0"/>
        <charset val="1"/>
      </rPr>
      <t xml:space="preserve">)</t>
    </r>
  </si>
  <si>
    <t xml:space="preserve">27901001</t>
  </si>
  <si>
    <t xml:space="preserve">سلفون شرینگ شرکت زر نام</t>
  </si>
  <si>
    <r>
      <rPr>
        <sz val="10"/>
        <rFont val="Vazirmatn"/>
        <family val="0"/>
        <charset val="1"/>
      </rPr>
      <t xml:space="preserve">2790 (</t>
    </r>
    <r>
      <rPr>
        <sz val="10"/>
        <rFont val="FreeSans"/>
        <family val="2"/>
      </rPr>
      <t xml:space="preserve">سلفون</t>
    </r>
    <r>
      <rPr>
        <sz val="10"/>
        <rFont val="Vazirmatn"/>
        <family val="0"/>
        <charset val="1"/>
      </rPr>
      <t xml:space="preserve">)</t>
    </r>
  </si>
  <si>
    <t xml:space="preserve">31210100</t>
  </si>
  <si>
    <r>
      <rPr>
        <sz val="10"/>
        <rFont val="FreeSans"/>
        <family val="2"/>
      </rPr>
      <t xml:space="preserve">سی پی یو دکانتور </t>
    </r>
    <r>
      <rPr>
        <sz val="10"/>
        <rFont val="Vazirmatn"/>
        <family val="0"/>
        <charset val="1"/>
      </rPr>
      <t xml:space="preserve">6ES7 313 - 5BG04 - 0AB0  PLC</t>
    </r>
  </si>
  <si>
    <t xml:space="preserve">31210166</t>
  </si>
  <si>
    <r>
      <rPr>
        <sz val="10"/>
        <rFont val="FreeSans"/>
        <family val="2"/>
      </rPr>
      <t xml:space="preserve">ماژول سی پی یو  </t>
    </r>
    <r>
      <rPr>
        <sz val="10"/>
        <rFont val="Vazirmatn"/>
        <family val="0"/>
        <charset val="1"/>
      </rPr>
      <t xml:space="preserve">6ED1 052-1HB00-0BA6</t>
    </r>
  </si>
  <si>
    <t xml:space="preserve">31210168</t>
  </si>
  <si>
    <r>
      <rPr>
        <sz val="10"/>
        <rFont val="FreeSans"/>
        <family val="2"/>
      </rPr>
      <t xml:space="preserve">ماژول سی پی یو  </t>
    </r>
    <r>
      <rPr>
        <sz val="10"/>
        <rFont val="Vazirmatn"/>
        <family val="0"/>
        <charset val="1"/>
      </rPr>
      <t xml:space="preserve">6ES7 214-1AD23-0XB0</t>
    </r>
  </si>
  <si>
    <t xml:space="preserve">31210171</t>
  </si>
  <si>
    <r>
      <rPr>
        <sz val="10"/>
        <rFont val="FreeSans"/>
        <family val="2"/>
      </rPr>
      <t xml:space="preserve">سی پی یو </t>
    </r>
    <r>
      <rPr>
        <sz val="10"/>
        <rFont val="Vazirmatn"/>
        <family val="0"/>
        <charset val="1"/>
      </rPr>
      <t xml:space="preserve">CPU315-2PN/DP+2M MEMEORY CARD</t>
    </r>
  </si>
  <si>
    <t xml:space="preserve">31210172</t>
  </si>
  <si>
    <r>
      <rPr>
        <sz val="10"/>
        <rFont val="FreeSans"/>
        <family val="2"/>
      </rPr>
      <t xml:space="preserve">سی پی یو </t>
    </r>
    <r>
      <rPr>
        <sz val="10"/>
        <rFont val="Vazirmatn"/>
        <family val="0"/>
        <charset val="1"/>
      </rPr>
      <t xml:space="preserve">( CPU ) </t>
    </r>
    <r>
      <rPr>
        <sz val="10"/>
        <rFont val="FreeSans"/>
        <family val="2"/>
      </rPr>
      <t xml:space="preserve">زیمنس </t>
    </r>
    <r>
      <rPr>
        <sz val="10"/>
        <rFont val="Vazirmatn"/>
        <family val="0"/>
        <charset val="1"/>
      </rPr>
      <t xml:space="preserve">(  S7300  )</t>
    </r>
  </si>
  <si>
    <t xml:space="preserve">31210177</t>
  </si>
  <si>
    <r>
      <rPr>
        <sz val="10"/>
        <rFont val="FreeSans"/>
        <family val="2"/>
      </rPr>
      <t xml:space="preserve">ماژول پی ال سی  </t>
    </r>
    <r>
      <rPr>
        <sz val="10"/>
        <rFont val="Vazirmatn"/>
        <family val="0"/>
        <charset val="1"/>
      </rPr>
      <t xml:space="preserve">CPM1A-20CDR-A-V1</t>
    </r>
  </si>
  <si>
    <t xml:space="preserve">31210178</t>
  </si>
  <si>
    <r>
      <rPr>
        <sz val="10"/>
        <rFont val="FreeSans"/>
        <family val="2"/>
      </rPr>
      <t xml:space="preserve">ماژول پی ال سی  </t>
    </r>
    <r>
      <rPr>
        <sz val="10"/>
        <rFont val="Vazirmatn"/>
        <family val="0"/>
        <charset val="1"/>
      </rPr>
      <t xml:space="preserve">DVP-28SV11T2</t>
    </r>
  </si>
  <si>
    <t xml:space="preserve">31210179</t>
  </si>
  <si>
    <r>
      <rPr>
        <sz val="10"/>
        <rFont val="Vazirmatn"/>
        <family val="0"/>
        <charset val="1"/>
      </rPr>
      <t xml:space="preserve">HMI </t>
    </r>
    <r>
      <rPr>
        <sz val="10"/>
        <rFont val="FreeSans"/>
        <family val="2"/>
      </rPr>
      <t xml:space="preserve">زیمنس </t>
    </r>
    <r>
      <rPr>
        <sz val="10"/>
        <rFont val="Vazirmatn"/>
        <family val="0"/>
        <charset val="1"/>
      </rPr>
      <t xml:space="preserve">6AV6 642-0DC01 - 1AX1</t>
    </r>
  </si>
  <si>
    <t xml:space="preserve">31210180</t>
  </si>
  <si>
    <r>
      <rPr>
        <sz val="10"/>
        <rFont val="FreeSans"/>
        <family val="2"/>
      </rPr>
      <t xml:space="preserve">نمایشگر  </t>
    </r>
    <r>
      <rPr>
        <sz val="10"/>
        <rFont val="Vazirmatn"/>
        <family val="0"/>
        <charset val="1"/>
      </rPr>
      <t xml:space="preserve">PLC</t>
    </r>
  </si>
  <si>
    <t xml:space="preserve">31210181</t>
  </si>
  <si>
    <r>
      <rPr>
        <sz val="10"/>
        <rFont val="FreeSans"/>
        <family val="2"/>
      </rPr>
      <t xml:space="preserve">نمایشگر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پنل </t>
    </r>
    <r>
      <rPr>
        <sz val="10"/>
        <rFont val="Vazirmatn"/>
        <family val="0"/>
        <charset val="1"/>
      </rPr>
      <t xml:space="preserve">)     HMI    TP 177</t>
    </r>
  </si>
  <si>
    <t xml:space="preserve">31210183</t>
  </si>
  <si>
    <r>
      <rPr>
        <sz val="10"/>
        <rFont val="FreeSans"/>
        <family val="2"/>
      </rPr>
      <t xml:space="preserve">نمایشگر   </t>
    </r>
    <r>
      <rPr>
        <sz val="10"/>
        <rFont val="Vazirmatn"/>
        <family val="0"/>
        <charset val="1"/>
      </rPr>
      <t xml:space="preserve">M4NS-NA</t>
    </r>
  </si>
  <si>
    <t xml:space="preserve">31210184</t>
  </si>
  <si>
    <r>
      <rPr>
        <sz val="10"/>
        <rFont val="FreeSans"/>
        <family val="2"/>
      </rPr>
      <t xml:space="preserve">نمایشگر      </t>
    </r>
    <r>
      <rPr>
        <sz val="10"/>
        <rFont val="Vazirmatn"/>
        <family val="0"/>
        <charset val="1"/>
      </rPr>
      <t xml:space="preserve">M4 Y S-NA</t>
    </r>
  </si>
  <si>
    <t xml:space="preserve">31210187</t>
  </si>
  <si>
    <t xml:space="preserve">HMI TP 900 SIEMENS</t>
  </si>
  <si>
    <t xml:space="preserve">31210189</t>
  </si>
  <si>
    <r>
      <rPr>
        <sz val="10"/>
        <rFont val="FreeSans"/>
        <family val="2"/>
      </rPr>
      <t xml:space="preserve">نمایشگر دیجیتال </t>
    </r>
    <r>
      <rPr>
        <sz val="10"/>
        <rFont val="Vazirmatn"/>
        <family val="0"/>
        <charset val="1"/>
      </rPr>
      <t xml:space="preserve">M 4V   4 - 20 mA</t>
    </r>
  </si>
  <si>
    <t xml:space="preserve">31210192</t>
  </si>
  <si>
    <r>
      <rPr>
        <sz val="10"/>
        <rFont val="FreeSans"/>
        <family val="2"/>
      </rPr>
      <t xml:space="preserve">نمایشگر </t>
    </r>
    <r>
      <rPr>
        <sz val="10"/>
        <rFont val="Vazirmatn"/>
        <family val="0"/>
        <charset val="1"/>
      </rPr>
      <t xml:space="preserve">HMI SIEMENS KTP 1200 Basic OP</t>
    </r>
  </si>
  <si>
    <t xml:space="preserve">31210196</t>
  </si>
  <si>
    <t xml:space="preserve">SiMATiC HMI TP 900 Comfort</t>
  </si>
  <si>
    <t xml:space="preserve">31210198</t>
  </si>
  <si>
    <t xml:space="preserve">نمایشگر کنداکتیویته متر</t>
  </si>
  <si>
    <t xml:space="preserve">31210201</t>
  </si>
  <si>
    <r>
      <rPr>
        <sz val="10"/>
        <rFont val="FreeSans"/>
        <family val="2"/>
      </rPr>
      <t xml:space="preserve">پنل اپراتوری زیمنس </t>
    </r>
    <r>
      <rPr>
        <sz val="10"/>
        <rFont val="Vazirmatn"/>
        <family val="0"/>
        <charset val="1"/>
      </rPr>
      <t xml:space="preserve">(IOP-2 ) FOR SiNAMiCS - G120C - 6SL3255-0AA00-4jA2</t>
    </r>
  </si>
  <si>
    <t xml:space="preserve">31210203</t>
  </si>
  <si>
    <t xml:space="preserve">نمایشگر بسته بندی نشاسته</t>
  </si>
  <si>
    <t xml:space="preserve">31210204</t>
  </si>
  <si>
    <r>
      <rPr>
        <sz val="10"/>
        <rFont val="FreeSans"/>
        <family val="2"/>
      </rPr>
      <t xml:space="preserve">نمایشگر </t>
    </r>
    <r>
      <rPr>
        <sz val="10"/>
        <rFont val="Vazirmatn"/>
        <family val="0"/>
        <charset val="1"/>
      </rPr>
      <t xml:space="preserve">PLC </t>
    </r>
    <r>
      <rPr>
        <sz val="10"/>
        <rFont val="FreeSans"/>
        <family val="2"/>
      </rPr>
      <t xml:space="preserve">لوگو</t>
    </r>
  </si>
  <si>
    <t xml:space="preserve">31210205</t>
  </si>
  <si>
    <t xml:space="preserve">نمایشگر اومرون</t>
  </si>
  <si>
    <t xml:space="preserve">31210206</t>
  </si>
  <si>
    <r>
      <rPr>
        <sz val="10"/>
        <rFont val="FreeSans"/>
        <family val="2"/>
      </rPr>
      <t xml:space="preserve">پنل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حالته توکار مودی </t>
    </r>
    <r>
      <rPr>
        <sz val="10"/>
        <rFont val="Vazirmatn"/>
        <family val="0"/>
        <charset val="1"/>
      </rPr>
      <t xml:space="preserve">8W</t>
    </r>
  </si>
  <si>
    <t xml:space="preserve">31210207</t>
  </si>
  <si>
    <r>
      <rPr>
        <sz val="10"/>
        <rFont val="FreeSans"/>
        <family val="2"/>
      </rPr>
      <t xml:space="preserve">پنل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روکار  </t>
    </r>
    <r>
      <rPr>
        <sz val="10"/>
        <rFont val="Vazirmatn"/>
        <family val="0"/>
        <charset val="1"/>
      </rPr>
      <t xml:space="preserve">30*30</t>
    </r>
  </si>
  <si>
    <t xml:space="preserve">31210208</t>
  </si>
  <si>
    <r>
      <rPr>
        <sz val="10"/>
        <rFont val="FreeSans"/>
        <family val="2"/>
      </rPr>
      <t xml:space="preserve">نمایشگر ترازوی سیار </t>
    </r>
    <r>
      <rPr>
        <sz val="10"/>
        <rFont val="Vazirmatn"/>
        <family val="0"/>
        <charset val="1"/>
      </rPr>
      <t xml:space="preserve">tcs indicator  50Kg</t>
    </r>
  </si>
  <si>
    <t xml:space="preserve">31210209</t>
  </si>
  <si>
    <r>
      <rPr>
        <sz val="10"/>
        <rFont val="FreeSans"/>
        <family val="2"/>
      </rPr>
      <t xml:space="preserve">ال سی دی کاراکتری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آبی </t>
    </r>
    <r>
      <rPr>
        <sz val="10"/>
        <rFont val="Vazirmatn"/>
        <family val="0"/>
        <charset val="1"/>
      </rPr>
      <t xml:space="preserve">)  16*2</t>
    </r>
  </si>
  <si>
    <t xml:space="preserve">31210210</t>
  </si>
  <si>
    <r>
      <rPr>
        <sz val="10"/>
        <rFont val="FreeSans"/>
        <family val="2"/>
      </rPr>
      <t xml:space="preserve">پنل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روکار سقفی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یخی </t>
    </r>
    <r>
      <rPr>
        <sz val="10"/>
        <rFont val="Vazirmatn"/>
        <family val="0"/>
        <charset val="1"/>
      </rPr>
      <t xml:space="preserve">)  50*50  48W</t>
    </r>
  </si>
  <si>
    <t xml:space="preserve">31210211</t>
  </si>
  <si>
    <r>
      <rPr>
        <sz val="10"/>
        <rFont val="FreeSans"/>
        <family val="2"/>
      </rPr>
      <t xml:space="preserve">تاچ پنل  </t>
    </r>
    <r>
      <rPr>
        <sz val="10"/>
        <rFont val="Vazirmatn"/>
        <family val="0"/>
        <charset val="1"/>
      </rPr>
      <t xml:space="preserve">DOP-110WS</t>
    </r>
  </si>
  <si>
    <t xml:space="preserve">31210213</t>
  </si>
  <si>
    <r>
      <rPr>
        <sz val="10"/>
        <rFont val="FreeSans"/>
        <family val="2"/>
      </rPr>
      <t xml:space="preserve">پنل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روکار سقفی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یخی </t>
    </r>
    <r>
      <rPr>
        <sz val="10"/>
        <rFont val="Vazirmatn"/>
        <family val="0"/>
        <charset val="1"/>
      </rPr>
      <t xml:space="preserve">) 60Cm*60Cm</t>
    </r>
  </si>
  <si>
    <t xml:space="preserve">31210215</t>
  </si>
  <si>
    <r>
      <rPr>
        <sz val="10"/>
        <rFont val="FreeSans"/>
        <family val="2"/>
      </rPr>
      <t xml:space="preserve">نمایشگر </t>
    </r>
    <r>
      <rPr>
        <sz val="10"/>
        <rFont val="Vazirmatn"/>
        <family val="0"/>
        <charset val="1"/>
      </rPr>
      <t xml:space="preserve">HLP 1 HANYOUNG</t>
    </r>
  </si>
  <si>
    <t xml:space="preserve">31210216</t>
  </si>
  <si>
    <r>
      <rPr>
        <sz val="10"/>
        <rFont val="FreeSans"/>
        <family val="2"/>
      </rPr>
      <t xml:space="preserve">نمایشگر ترازوی پند </t>
    </r>
    <r>
      <rPr>
        <sz val="10"/>
        <rFont val="Vazirmatn"/>
        <family val="0"/>
        <charset val="1"/>
      </rPr>
      <t xml:space="preserve">TCS - K02E ) 150Kg )</t>
    </r>
  </si>
  <si>
    <t xml:space="preserve">31210217</t>
  </si>
  <si>
    <r>
      <rPr>
        <sz val="10"/>
        <rFont val="FreeSans"/>
        <family val="2"/>
      </rPr>
      <t xml:space="preserve">نمایشگر لودسل پارس مگا </t>
    </r>
    <r>
      <rPr>
        <sz val="10"/>
        <rFont val="Vazirmatn"/>
        <family val="0"/>
        <charset val="1"/>
      </rPr>
      <t xml:space="preserve">Pm - LD01</t>
    </r>
  </si>
  <si>
    <t xml:space="preserve">31210218</t>
  </si>
  <si>
    <r>
      <rPr>
        <sz val="10"/>
        <rFont val="FreeSans"/>
        <family val="2"/>
      </rPr>
      <t xml:space="preserve">پنل </t>
    </r>
    <r>
      <rPr>
        <sz val="10"/>
        <rFont val="Vazirmatn"/>
        <family val="0"/>
        <charset val="1"/>
      </rPr>
      <t xml:space="preserve">60Cm*60Cm ) 70W  LED )</t>
    </r>
  </si>
  <si>
    <t xml:space="preserve">31210219</t>
  </si>
  <si>
    <r>
      <rPr>
        <sz val="10"/>
        <rFont val="FreeSans"/>
        <family val="2"/>
      </rPr>
      <t xml:space="preserve">پنل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روکار سقفی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یخی </t>
    </r>
    <r>
      <rPr>
        <sz val="10"/>
        <rFont val="Vazirmatn"/>
        <family val="0"/>
        <charset val="1"/>
      </rPr>
      <t xml:space="preserve">) 40Cm*40Cm</t>
    </r>
  </si>
  <si>
    <t xml:space="preserve">31210220</t>
  </si>
  <si>
    <r>
      <rPr>
        <sz val="10"/>
        <rFont val="FreeSans"/>
        <family val="2"/>
      </rPr>
      <t xml:space="preserve">نمایشگر وزن لودسل </t>
    </r>
    <r>
      <rPr>
        <sz val="10"/>
        <rFont val="Vazirmatn"/>
        <family val="0"/>
        <charset val="1"/>
      </rPr>
      <t xml:space="preserve">GM-M02</t>
    </r>
  </si>
  <si>
    <t xml:space="preserve">31210221</t>
  </si>
  <si>
    <r>
      <rPr>
        <sz val="10"/>
        <rFont val="FreeSans"/>
        <family val="2"/>
      </rPr>
      <t xml:space="preserve">نمایشگر ترازوی سیار پند </t>
    </r>
    <r>
      <rPr>
        <sz val="10"/>
        <rFont val="Vazirmatn"/>
        <family val="0"/>
        <charset val="1"/>
      </rPr>
      <t xml:space="preserve">A12E LED</t>
    </r>
  </si>
  <si>
    <t xml:space="preserve">31210222</t>
  </si>
  <si>
    <r>
      <rPr>
        <sz val="10"/>
        <rFont val="FreeSans"/>
        <family val="2"/>
      </rPr>
      <t xml:space="preserve">پنل </t>
    </r>
    <r>
      <rPr>
        <sz val="10"/>
        <rFont val="Vazirmatn"/>
        <family val="0"/>
        <charset val="1"/>
      </rPr>
      <t xml:space="preserve">60*60 ( LED Back Light ) </t>
    </r>
    <r>
      <rPr>
        <sz val="10"/>
        <rFont val="FreeSans"/>
        <family val="2"/>
      </rPr>
      <t xml:space="preserve">دمای رنگ  </t>
    </r>
    <r>
      <rPr>
        <sz val="10"/>
        <rFont val="Vazirmatn"/>
        <family val="0"/>
        <charset val="1"/>
      </rPr>
      <t xml:space="preserve">4000K -  </t>
    </r>
    <r>
      <rPr>
        <sz val="10"/>
        <rFont val="FreeSans"/>
        <family val="2"/>
      </rPr>
      <t xml:space="preserve">توان </t>
    </r>
    <r>
      <rPr>
        <sz val="10"/>
        <rFont val="Vazirmatn"/>
        <family val="0"/>
        <charset val="1"/>
      </rPr>
      <t xml:space="preserve">72W</t>
    </r>
  </si>
  <si>
    <t xml:space="preserve">31210223</t>
  </si>
  <si>
    <r>
      <rPr>
        <sz val="10"/>
        <rFont val="FreeSans"/>
        <family val="2"/>
      </rPr>
      <t xml:space="preserve">پنل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چراغ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گرد سقفی توان </t>
    </r>
    <r>
      <rPr>
        <sz val="10"/>
        <rFont val="Vazirmatn"/>
        <family val="0"/>
        <charset val="1"/>
      </rPr>
      <t xml:space="preserve">22W</t>
    </r>
  </si>
  <si>
    <t xml:space="preserve">31210224</t>
  </si>
  <si>
    <r>
      <rPr>
        <sz val="10"/>
        <rFont val="FreeSans"/>
        <family val="2"/>
      </rPr>
      <t xml:space="preserve">پنل روکار </t>
    </r>
    <r>
      <rPr>
        <sz val="10"/>
        <rFont val="Vazirmatn"/>
        <family val="0"/>
        <charset val="1"/>
      </rPr>
      <t xml:space="preserve">40*40  ( LED - RONA - PLUS+CW ) </t>
    </r>
    <r>
      <rPr>
        <sz val="10"/>
        <rFont val="FreeSans"/>
        <family val="2"/>
      </rPr>
      <t xml:space="preserve">دمای رنگ  </t>
    </r>
    <r>
      <rPr>
        <sz val="10"/>
        <rFont val="Vazirmatn"/>
        <family val="0"/>
        <charset val="1"/>
      </rPr>
      <t xml:space="preserve">4000K - </t>
    </r>
    <r>
      <rPr>
        <sz val="10"/>
        <rFont val="FreeSans"/>
        <family val="2"/>
      </rPr>
      <t xml:space="preserve">توان </t>
    </r>
    <r>
      <rPr>
        <sz val="10"/>
        <rFont val="Vazirmatn"/>
        <family val="0"/>
        <charset val="1"/>
      </rPr>
      <t xml:space="preserve">50W</t>
    </r>
  </si>
  <si>
    <t xml:space="preserve">31210226</t>
  </si>
  <si>
    <r>
      <rPr>
        <sz val="10"/>
        <rFont val="FreeSans"/>
        <family val="2"/>
      </rPr>
      <t xml:space="preserve">تاچ پنل </t>
    </r>
    <r>
      <rPr>
        <sz val="10"/>
        <rFont val="Vazirmatn"/>
        <family val="0"/>
        <charset val="1"/>
      </rPr>
      <t xml:space="preserve">6AV6 648-0BE11-3AX0</t>
    </r>
  </si>
  <si>
    <t xml:space="preserve">31210229</t>
  </si>
  <si>
    <r>
      <rPr>
        <sz val="10"/>
        <rFont val="FreeSans"/>
        <family val="2"/>
      </rPr>
      <t xml:space="preserve">تاچ پنل </t>
    </r>
    <r>
      <rPr>
        <sz val="10"/>
        <rFont val="Vazirmatn"/>
        <family val="0"/>
        <charset val="1"/>
      </rPr>
      <t xml:space="preserve">6AV6 648-0BC11-3AX0</t>
    </r>
  </si>
  <si>
    <t xml:space="preserve">31210232</t>
  </si>
  <si>
    <t xml:space="preserve">تاچ پنل لیبل زن</t>
  </si>
  <si>
    <t xml:space="preserve">31210506</t>
  </si>
  <si>
    <r>
      <rPr>
        <sz val="10"/>
        <rFont val="FreeSans"/>
        <family val="2"/>
      </rPr>
      <t xml:space="preserve">ماژول</t>
    </r>
    <r>
      <rPr>
        <sz val="10"/>
        <rFont val="Vazirmatn"/>
        <family val="0"/>
        <charset val="1"/>
      </rPr>
      <t xml:space="preserve">6ES7221-1BF22-0XA8  S7 - 200</t>
    </r>
  </si>
  <si>
    <t xml:space="preserve">31210507</t>
  </si>
  <si>
    <r>
      <rPr>
        <sz val="10"/>
        <rFont val="FreeSans"/>
        <family val="2"/>
      </rPr>
      <t xml:space="preserve">ماژول </t>
    </r>
    <r>
      <rPr>
        <sz val="10"/>
        <rFont val="Vazirmatn"/>
        <family val="0"/>
        <charset val="1"/>
      </rPr>
      <t xml:space="preserve">6ES7231-0HC22-0XA8  S7 - 200</t>
    </r>
  </si>
  <si>
    <t xml:space="preserve">31210508</t>
  </si>
  <si>
    <r>
      <rPr>
        <sz val="10"/>
        <rFont val="FreeSans"/>
        <family val="2"/>
      </rPr>
      <t xml:space="preserve">ماژول پروفی باس</t>
    </r>
    <r>
      <rPr>
        <sz val="10"/>
        <rFont val="Vazirmatn"/>
        <family val="0"/>
        <charset val="1"/>
      </rPr>
      <t xml:space="preserve">6ES7277-0AA22-0XA0   S7 - 200</t>
    </r>
  </si>
  <si>
    <t xml:space="preserve">31210509</t>
  </si>
  <si>
    <r>
      <rPr>
        <sz val="10"/>
        <rFont val="FreeSans"/>
        <family val="2"/>
      </rPr>
      <t xml:space="preserve">ماژول </t>
    </r>
    <r>
      <rPr>
        <sz val="10"/>
        <rFont val="Vazirmatn"/>
        <family val="0"/>
        <charset val="1"/>
      </rPr>
      <t xml:space="preserve">6ES7153-2BA02-0XB0 S7 - 200 IM</t>
    </r>
  </si>
  <si>
    <t xml:space="preserve">31210511</t>
  </si>
  <si>
    <r>
      <rPr>
        <sz val="10"/>
        <rFont val="FreeSans"/>
        <family val="2"/>
      </rPr>
      <t xml:space="preserve">ماژول خروجی آنالوگ </t>
    </r>
    <r>
      <rPr>
        <sz val="10"/>
        <rFont val="Vazirmatn"/>
        <family val="0"/>
        <charset val="1"/>
      </rPr>
      <t xml:space="preserve">6ES7 332-5HF00-0AB0</t>
    </r>
  </si>
  <si>
    <t xml:space="preserve">31210512</t>
  </si>
  <si>
    <r>
      <rPr>
        <sz val="10"/>
        <rFont val="FreeSans"/>
        <family val="2"/>
      </rPr>
      <t xml:space="preserve">ماژول ورودی دیجیتالی  </t>
    </r>
    <r>
      <rPr>
        <sz val="10"/>
        <rFont val="Vazirmatn"/>
        <family val="0"/>
        <charset val="1"/>
      </rPr>
      <t xml:space="preserve">DI  6ES7321-1BH02-0AA0</t>
    </r>
  </si>
  <si>
    <t xml:space="preserve">31210513</t>
  </si>
  <si>
    <r>
      <rPr>
        <sz val="10"/>
        <rFont val="FreeSans"/>
        <family val="2"/>
      </rPr>
      <t xml:space="preserve">ماژول خروجی دیجیتالی </t>
    </r>
    <r>
      <rPr>
        <sz val="10"/>
        <rFont val="Vazirmatn"/>
        <family val="0"/>
        <charset val="1"/>
      </rPr>
      <t xml:space="preserve">6ES7322-1BH01-0AA0    DO</t>
    </r>
  </si>
  <si>
    <t xml:space="preserve">31210514</t>
  </si>
  <si>
    <r>
      <rPr>
        <sz val="10"/>
        <rFont val="FreeSans"/>
        <family val="2"/>
      </rPr>
      <t xml:space="preserve">ماژول </t>
    </r>
    <r>
      <rPr>
        <sz val="10"/>
        <rFont val="Vazirmatn"/>
        <family val="0"/>
        <charset val="1"/>
      </rPr>
      <t xml:space="preserve">6ES7153-1AA03-0XB0   ET 200 M</t>
    </r>
  </si>
  <si>
    <t xml:space="preserve">31210515</t>
  </si>
  <si>
    <r>
      <rPr>
        <sz val="10"/>
        <rFont val="FreeSans"/>
        <family val="2"/>
      </rPr>
      <t xml:space="preserve">ماژول </t>
    </r>
    <r>
      <rPr>
        <sz val="10"/>
        <rFont val="Vazirmatn"/>
        <family val="0"/>
        <charset val="1"/>
      </rPr>
      <t xml:space="preserve">223-1PH22-0XA8 EM S7 - 200</t>
    </r>
  </si>
  <si>
    <t xml:space="preserve">31210516</t>
  </si>
  <si>
    <r>
      <rPr>
        <sz val="10"/>
        <rFont val="FreeSans"/>
        <family val="2"/>
      </rPr>
      <t xml:space="preserve">ورودی برق ترمینال  </t>
    </r>
    <r>
      <rPr>
        <sz val="10"/>
        <rFont val="Vazirmatn"/>
        <family val="0"/>
        <charset val="1"/>
      </rPr>
      <t xml:space="preserve">FESTO VAEM - 24</t>
    </r>
  </si>
  <si>
    <t xml:space="preserve">31210517</t>
  </si>
  <si>
    <r>
      <rPr>
        <sz val="10"/>
        <rFont val="FreeSans"/>
        <family val="2"/>
      </rPr>
      <t xml:space="preserve">ورودی برق ترمینال  </t>
    </r>
    <r>
      <rPr>
        <sz val="10"/>
        <rFont val="Vazirmatn"/>
        <family val="0"/>
        <charset val="1"/>
      </rPr>
      <t xml:space="preserve">FESTO VAEM - 8</t>
    </r>
  </si>
  <si>
    <t xml:space="preserve">31210518</t>
  </si>
  <si>
    <r>
      <rPr>
        <sz val="10"/>
        <rFont val="FreeSans"/>
        <family val="2"/>
      </rPr>
      <t xml:space="preserve">ورودی پروفیباس  </t>
    </r>
    <r>
      <rPr>
        <sz val="10"/>
        <rFont val="Vazirmatn"/>
        <family val="0"/>
        <charset val="1"/>
      </rPr>
      <t xml:space="preserve">FESTO CTEU</t>
    </r>
  </si>
  <si>
    <t xml:space="preserve">31210521</t>
  </si>
  <si>
    <r>
      <rPr>
        <sz val="10"/>
        <rFont val="FreeSans"/>
        <family val="2"/>
      </rPr>
      <t xml:space="preserve">ماژول با ترمینال </t>
    </r>
    <r>
      <rPr>
        <sz val="10"/>
        <rFont val="Vazirmatn"/>
        <family val="0"/>
        <charset val="1"/>
      </rPr>
      <t xml:space="preserve">DI/DO 6ES7 323-1BL00-0AA0</t>
    </r>
  </si>
  <si>
    <t xml:space="preserve">31210522</t>
  </si>
  <si>
    <r>
      <rPr>
        <sz val="10"/>
        <rFont val="FreeSans"/>
        <family val="2"/>
      </rPr>
      <t xml:space="preserve">ماژول ورودی پی ال سی </t>
    </r>
    <r>
      <rPr>
        <sz val="10"/>
        <rFont val="Vazirmatn"/>
        <family val="0"/>
        <charset val="1"/>
      </rPr>
      <t xml:space="preserve">PLC 321-1BL00-0AA0</t>
    </r>
  </si>
  <si>
    <t xml:space="preserve">31210523</t>
  </si>
  <si>
    <r>
      <rPr>
        <sz val="10"/>
        <rFont val="FreeSans"/>
        <family val="2"/>
      </rPr>
      <t xml:space="preserve">ماژول خروجی پی ال سی </t>
    </r>
    <r>
      <rPr>
        <sz val="10"/>
        <rFont val="Vazirmatn"/>
        <family val="0"/>
        <charset val="1"/>
      </rPr>
      <t xml:space="preserve">PLC 322-1BL00-0AA0</t>
    </r>
  </si>
  <si>
    <t xml:space="preserve">31210524</t>
  </si>
  <si>
    <r>
      <rPr>
        <sz val="10"/>
        <rFont val="FreeSans"/>
        <family val="2"/>
      </rPr>
      <t xml:space="preserve">ماژول ورودی آنالوگ پی ال سی </t>
    </r>
    <r>
      <rPr>
        <sz val="10"/>
        <rFont val="Vazirmatn"/>
        <family val="0"/>
        <charset val="1"/>
      </rPr>
      <t xml:space="preserve">PLC 331-1KF02-0AB0</t>
    </r>
  </si>
  <si>
    <t xml:space="preserve">31210527</t>
  </si>
  <si>
    <t xml:space="preserve">ماژول قرائت و الزامات سیستم قطع چاه آب</t>
  </si>
  <si>
    <t xml:space="preserve">31210533</t>
  </si>
  <si>
    <r>
      <rPr>
        <sz val="10"/>
        <rFont val="FreeSans"/>
        <family val="2"/>
      </rPr>
      <t xml:space="preserve">ماژول سی پی </t>
    </r>
    <r>
      <rPr>
        <sz val="10"/>
        <rFont val="Vazirmatn"/>
        <family val="0"/>
        <charset val="1"/>
      </rPr>
      <t xml:space="preserve">6GK7 343-1CX10-0XE0</t>
    </r>
  </si>
  <si>
    <t xml:space="preserve">31210534</t>
  </si>
  <si>
    <r>
      <rPr>
        <sz val="10"/>
        <rFont val="FreeSans"/>
        <family val="2"/>
      </rPr>
      <t xml:space="preserve">ماژول ورودی دیجیتال </t>
    </r>
    <r>
      <rPr>
        <sz val="10"/>
        <rFont val="Vazirmatn"/>
        <family val="0"/>
        <charset val="1"/>
      </rPr>
      <t xml:space="preserve">6ES7 223-1BH22-0XA8</t>
    </r>
  </si>
  <si>
    <t xml:space="preserve">31210535</t>
  </si>
  <si>
    <r>
      <rPr>
        <sz val="10"/>
        <rFont val="FreeSans"/>
        <family val="2"/>
      </rPr>
      <t xml:space="preserve">ماژول ورودی دیجیتال </t>
    </r>
    <r>
      <rPr>
        <sz val="10"/>
        <rFont val="Vazirmatn"/>
        <family val="0"/>
        <charset val="1"/>
      </rPr>
      <t xml:space="preserve">6ED1 055-1MB00-0BA2</t>
    </r>
  </si>
  <si>
    <t xml:space="preserve">31210537</t>
  </si>
  <si>
    <r>
      <rPr>
        <sz val="10"/>
        <rFont val="FreeSans"/>
        <family val="2"/>
      </rPr>
      <t xml:space="preserve">ماژول ورودی دیجیتال </t>
    </r>
    <r>
      <rPr>
        <sz val="10"/>
        <rFont val="Vazirmatn"/>
        <family val="0"/>
        <charset val="1"/>
      </rPr>
      <t xml:space="preserve">6ES7 323-1BH00-0AA0</t>
    </r>
  </si>
  <si>
    <t xml:space="preserve">31210539</t>
  </si>
  <si>
    <r>
      <rPr>
        <sz val="10"/>
        <rFont val="FreeSans"/>
        <family val="2"/>
      </rPr>
      <t xml:space="preserve">ماژول خروجی آنالوگ </t>
    </r>
    <r>
      <rPr>
        <sz val="10"/>
        <rFont val="Vazirmatn"/>
        <family val="0"/>
        <charset val="1"/>
      </rPr>
      <t xml:space="preserve">6ES7 332-5HB01-0AB0</t>
    </r>
  </si>
  <si>
    <t xml:space="preserve">31210540</t>
  </si>
  <si>
    <r>
      <rPr>
        <sz val="10"/>
        <rFont val="FreeSans"/>
        <family val="2"/>
      </rPr>
      <t xml:space="preserve">ماژول ارتباطی  </t>
    </r>
    <r>
      <rPr>
        <sz val="10"/>
        <rFont val="Vazirmatn"/>
        <family val="0"/>
        <charset val="1"/>
      </rPr>
      <t xml:space="preserve">6ES7 365-0BA01-0AA0</t>
    </r>
  </si>
  <si>
    <t xml:space="preserve">31210542</t>
  </si>
  <si>
    <r>
      <rPr>
        <sz val="10"/>
        <rFont val="FreeSans"/>
        <family val="2"/>
      </rPr>
      <t xml:space="preserve">ماژول ورودی دیجیتال </t>
    </r>
    <r>
      <rPr>
        <sz val="10"/>
        <rFont val="Vazirmatn"/>
        <family val="0"/>
        <charset val="1"/>
      </rPr>
      <t xml:space="preserve">6ES7 223-1BL22-0XA8</t>
    </r>
  </si>
  <si>
    <t xml:space="preserve">31210546</t>
  </si>
  <si>
    <r>
      <rPr>
        <sz val="10"/>
        <rFont val="FreeSans"/>
        <family val="2"/>
      </rPr>
      <t xml:space="preserve">ماژول ورودی آنالوگ </t>
    </r>
    <r>
      <rPr>
        <sz val="10"/>
        <rFont val="Vazirmatn"/>
        <family val="0"/>
        <charset val="1"/>
      </rPr>
      <t xml:space="preserve">6ES7 331-7KF01-0AB0</t>
    </r>
  </si>
  <si>
    <t xml:space="preserve">31210607</t>
  </si>
  <si>
    <r>
      <rPr>
        <sz val="10"/>
        <rFont val="FreeSans"/>
        <family val="2"/>
      </rPr>
      <t xml:space="preserve">پی ال سی</t>
    </r>
    <r>
      <rPr>
        <sz val="10"/>
        <rFont val="Vazirmatn"/>
        <family val="0"/>
        <charset val="1"/>
      </rPr>
      <t xml:space="preserve">6ES7410-5HX08-0AB0  S7 - 400</t>
    </r>
  </si>
  <si>
    <t xml:space="preserve">31210608</t>
  </si>
  <si>
    <r>
      <rPr>
        <sz val="10"/>
        <rFont val="FreeSans"/>
        <family val="2"/>
      </rPr>
      <t xml:space="preserve">پی ال سی </t>
    </r>
    <r>
      <rPr>
        <sz val="10"/>
        <rFont val="Vazirmatn"/>
        <family val="0"/>
        <charset val="1"/>
      </rPr>
      <t xml:space="preserve">6ES7214-2AD23-0XB0    S7 - 200</t>
    </r>
  </si>
  <si>
    <t xml:space="preserve">31210610</t>
  </si>
  <si>
    <r>
      <rPr>
        <sz val="10"/>
        <rFont val="FreeSans"/>
        <family val="2"/>
      </rPr>
      <t xml:space="preserve">رک پی ال سی</t>
    </r>
    <r>
      <rPr>
        <sz val="10"/>
        <rFont val="Vazirmatn"/>
        <family val="0"/>
        <charset val="1"/>
      </rPr>
      <t xml:space="preserve">6ES7400-2JA00-0AA0  S7 - 400 H</t>
    </r>
  </si>
  <si>
    <t xml:space="preserve">31210611</t>
  </si>
  <si>
    <r>
      <rPr>
        <sz val="10"/>
        <rFont val="FreeSans"/>
        <family val="2"/>
      </rPr>
      <t xml:space="preserve">رک پی ال سی </t>
    </r>
    <r>
      <rPr>
        <sz val="10"/>
        <rFont val="Vazirmatn"/>
        <family val="0"/>
        <charset val="1"/>
      </rPr>
      <t xml:space="preserve">6ES7195-1GG30-0XA0 ET 200 M</t>
    </r>
  </si>
  <si>
    <t xml:space="preserve">31210612</t>
  </si>
  <si>
    <r>
      <rPr>
        <sz val="10"/>
        <rFont val="FreeSans"/>
        <family val="2"/>
      </rPr>
      <t xml:space="preserve">اتصال دهنده  پی ال سی </t>
    </r>
    <r>
      <rPr>
        <sz val="10"/>
        <rFont val="Vazirmatn"/>
        <family val="0"/>
        <charset val="1"/>
      </rPr>
      <t xml:space="preserve">6ES7197-1LB00-0XA0</t>
    </r>
  </si>
  <si>
    <t xml:space="preserve">31210613</t>
  </si>
  <si>
    <r>
      <rPr>
        <sz val="10"/>
        <rFont val="FreeSans"/>
        <family val="2"/>
      </rPr>
      <t xml:space="preserve">ماژول پی ال سی  </t>
    </r>
    <r>
      <rPr>
        <sz val="10"/>
        <rFont val="Vazirmatn"/>
        <family val="0"/>
        <charset val="1"/>
      </rPr>
      <t xml:space="preserve">DVP-14ES00R2</t>
    </r>
  </si>
  <si>
    <t xml:space="preserve">31210615</t>
  </si>
  <si>
    <r>
      <rPr>
        <sz val="10"/>
        <rFont val="FreeSans"/>
        <family val="2"/>
      </rPr>
      <t xml:space="preserve">پی ال سی </t>
    </r>
    <r>
      <rPr>
        <sz val="10"/>
        <rFont val="Vazirmatn"/>
        <family val="0"/>
        <charset val="1"/>
      </rPr>
      <t xml:space="preserve">6ES7 215 - 1AG40 - 0XB0  CPU</t>
    </r>
  </si>
  <si>
    <t xml:space="preserve">31210617</t>
  </si>
  <si>
    <r>
      <rPr>
        <sz val="10"/>
        <rFont val="FreeSans"/>
        <family val="2"/>
      </rPr>
      <t xml:space="preserve">ماژول پی ال سی  </t>
    </r>
    <r>
      <rPr>
        <sz val="10"/>
        <rFont val="Vazirmatn"/>
        <family val="0"/>
        <charset val="1"/>
      </rPr>
      <t xml:space="preserve">DVP-32ES200TC</t>
    </r>
  </si>
  <si>
    <t xml:space="preserve">31210619</t>
  </si>
  <si>
    <r>
      <rPr>
        <sz val="10"/>
        <rFont val="FreeSans"/>
        <family val="2"/>
      </rPr>
      <t xml:space="preserve">پی ال سی زیمنس </t>
    </r>
    <r>
      <rPr>
        <sz val="10"/>
        <rFont val="Vazirmatn"/>
        <family val="0"/>
        <charset val="1"/>
      </rPr>
      <t xml:space="preserve">CPU - 313C - 2DP 313-6CG04-0AB0</t>
    </r>
  </si>
  <si>
    <t xml:space="preserve">31210621</t>
  </si>
  <si>
    <r>
      <rPr>
        <sz val="10"/>
        <rFont val="FreeSans"/>
        <family val="2"/>
      </rPr>
      <t xml:space="preserve">ماژول پی ال سی  </t>
    </r>
    <r>
      <rPr>
        <sz val="10"/>
        <rFont val="Vazirmatn"/>
        <family val="0"/>
        <charset val="1"/>
      </rPr>
      <t xml:space="preserve">DVP-12SE11T</t>
    </r>
  </si>
  <si>
    <t xml:space="preserve">31210622</t>
  </si>
  <si>
    <r>
      <rPr>
        <sz val="10"/>
        <rFont val="FreeSans"/>
        <family val="2"/>
      </rPr>
      <t xml:space="preserve">رک دیواری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یونیت عمق </t>
    </r>
    <r>
      <rPr>
        <sz val="10"/>
        <rFont val="Vazirmatn"/>
        <family val="0"/>
        <charset val="1"/>
      </rPr>
      <t xml:space="preserve">39</t>
    </r>
  </si>
  <si>
    <t xml:space="preserve">31210625</t>
  </si>
  <si>
    <r>
      <rPr>
        <sz val="10"/>
        <rFont val="FreeSans"/>
        <family val="2"/>
      </rPr>
      <t xml:space="preserve">پی ال سی زیمنس </t>
    </r>
    <r>
      <rPr>
        <sz val="10"/>
        <rFont val="Vazirmatn"/>
        <family val="0"/>
        <charset val="1"/>
      </rPr>
      <t xml:space="preserve">6ED 1052-1HB08-0BA2 ) LOGO ! 8 )</t>
    </r>
  </si>
  <si>
    <t xml:space="preserve">31210630</t>
  </si>
  <si>
    <r>
      <rPr>
        <sz val="10"/>
        <rFont val="FreeSans"/>
        <family val="2"/>
      </rPr>
      <t xml:space="preserve">منبع تغذیه   </t>
    </r>
    <r>
      <rPr>
        <sz val="10"/>
        <rFont val="Vazirmatn"/>
        <family val="0"/>
        <charset val="1"/>
      </rPr>
      <t xml:space="preserve">12V   DC   10A</t>
    </r>
  </si>
  <si>
    <t xml:space="preserve">31210631</t>
  </si>
  <si>
    <r>
      <rPr>
        <sz val="10"/>
        <rFont val="FreeSans"/>
        <family val="2"/>
      </rPr>
      <t xml:space="preserve">منبع تغذیه </t>
    </r>
    <r>
      <rPr>
        <sz val="10"/>
        <rFont val="Vazirmatn"/>
        <family val="0"/>
        <charset val="1"/>
      </rPr>
      <t xml:space="preserve">6ES7407-0KA02-0AA0   S7 - 400</t>
    </r>
  </si>
  <si>
    <t xml:space="preserve">31210635</t>
  </si>
  <si>
    <r>
      <rPr>
        <sz val="10"/>
        <rFont val="FreeSans"/>
        <family val="2"/>
      </rPr>
      <t xml:space="preserve">منبع تغذیه </t>
    </r>
    <r>
      <rPr>
        <sz val="10"/>
        <rFont val="Vazirmatn"/>
        <family val="0"/>
        <charset val="1"/>
      </rPr>
      <t xml:space="preserve">SI TOP PSU 100S 220V AC 24V DC 5A</t>
    </r>
  </si>
  <si>
    <t xml:space="preserve">31210637</t>
  </si>
  <si>
    <r>
      <rPr>
        <sz val="10"/>
        <rFont val="FreeSans"/>
        <family val="2"/>
      </rPr>
      <t xml:space="preserve">منبع تغذیه </t>
    </r>
    <r>
      <rPr>
        <sz val="10"/>
        <rFont val="Vazirmatn"/>
        <family val="0"/>
        <charset val="1"/>
      </rPr>
      <t xml:space="preserve">SI TOP PSU 100S 220V AC 24V DC 20A</t>
    </r>
  </si>
  <si>
    <t xml:space="preserve">31210640</t>
  </si>
  <si>
    <r>
      <rPr>
        <sz val="10"/>
        <rFont val="FreeSans"/>
        <family val="2"/>
      </rPr>
      <t xml:space="preserve">منبع تغذیه دلتا </t>
    </r>
    <r>
      <rPr>
        <sz val="10"/>
        <rFont val="Vazirmatn"/>
        <family val="0"/>
        <charset val="1"/>
      </rPr>
      <t xml:space="preserve">DVP - PS01 Power Supply Delta</t>
    </r>
  </si>
  <si>
    <t xml:space="preserve">31210645</t>
  </si>
  <si>
    <r>
      <rPr>
        <sz val="10"/>
        <rFont val="FreeSans"/>
        <family val="2"/>
      </rPr>
      <t xml:space="preserve">منبع تغذیه دلتا  </t>
    </r>
    <r>
      <rPr>
        <sz val="10"/>
        <rFont val="Vazirmatn"/>
        <family val="0"/>
        <charset val="1"/>
      </rPr>
      <t xml:space="preserve">DVP - PS05 ( 5A )</t>
    </r>
  </si>
  <si>
    <t xml:space="preserve">31210648</t>
  </si>
  <si>
    <r>
      <rPr>
        <sz val="10"/>
        <rFont val="FreeSans"/>
        <family val="2"/>
      </rPr>
      <t xml:space="preserve">منبع تغذیه کامپیوتر گرین </t>
    </r>
    <r>
      <rPr>
        <sz val="10"/>
        <rFont val="Vazirmatn"/>
        <family val="0"/>
        <charset val="1"/>
      </rPr>
      <t xml:space="preserve">GP 450 A - ECO  450W</t>
    </r>
  </si>
  <si>
    <t xml:space="preserve">31210649</t>
  </si>
  <si>
    <r>
      <rPr>
        <sz val="10"/>
        <rFont val="FreeSans"/>
        <family val="2"/>
      </rPr>
      <t xml:space="preserve">منبع تغذیه کامپیوتر </t>
    </r>
    <r>
      <rPr>
        <sz val="10"/>
        <rFont val="Vazirmatn"/>
        <family val="0"/>
        <charset val="1"/>
      </rPr>
      <t xml:space="preserve">Power 400 ECO Green ) 400W )</t>
    </r>
  </si>
  <si>
    <t xml:space="preserve">31210901</t>
  </si>
  <si>
    <r>
      <rPr>
        <sz val="10"/>
        <rFont val="FreeSans"/>
        <family val="2"/>
      </rPr>
      <t xml:space="preserve">کانکتور پروفی باس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زیمنس </t>
    </r>
    <r>
      <rPr>
        <sz val="10"/>
        <rFont val="Vazirmatn"/>
        <family val="0"/>
        <charset val="1"/>
      </rPr>
      <t xml:space="preserve">) 6GK ISOO - OEAO2</t>
    </r>
  </si>
  <si>
    <t xml:space="preserve">31210902</t>
  </si>
  <si>
    <r>
      <rPr>
        <sz val="10"/>
        <rFont val="FreeSans"/>
        <family val="2"/>
      </rPr>
      <t xml:space="preserve">کانکتور پروفی باس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زیمنس </t>
    </r>
    <r>
      <rPr>
        <sz val="10"/>
        <rFont val="Vazirmatn"/>
        <family val="0"/>
        <charset val="1"/>
      </rPr>
      <t xml:space="preserve">)6ES7 - 972 - OBB52 - OXAO</t>
    </r>
  </si>
  <si>
    <t xml:space="preserve">31210906</t>
  </si>
  <si>
    <r>
      <rPr>
        <sz val="10"/>
        <rFont val="FreeSans"/>
        <family val="2"/>
      </rPr>
      <t xml:space="preserve">کانکتور ترمینال </t>
    </r>
    <r>
      <rPr>
        <sz val="10"/>
        <rFont val="Vazirmatn"/>
        <family val="0"/>
        <charset val="1"/>
      </rPr>
      <t xml:space="preserve">PLC        </t>
    </r>
    <r>
      <rPr>
        <sz val="10"/>
        <rFont val="FreeSans"/>
        <family val="2"/>
      </rPr>
      <t xml:space="preserve">پین </t>
    </r>
    <r>
      <rPr>
        <sz val="10"/>
        <rFont val="Vazirmatn"/>
        <family val="0"/>
        <charset val="1"/>
      </rPr>
      <t xml:space="preserve">20</t>
    </r>
  </si>
  <si>
    <t xml:space="preserve">31210908</t>
  </si>
  <si>
    <r>
      <rPr>
        <sz val="10"/>
        <rFont val="FreeSans"/>
        <family val="2"/>
      </rPr>
      <t xml:space="preserve">کانکتور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سوکت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مادگی  </t>
    </r>
    <r>
      <rPr>
        <sz val="10"/>
        <rFont val="Vazirmatn"/>
        <family val="0"/>
        <charset val="1"/>
      </rPr>
      <t xml:space="preserve">M12/8 - Pole</t>
    </r>
  </si>
  <si>
    <t xml:space="preserve">31210909</t>
  </si>
  <si>
    <r>
      <rPr>
        <sz val="10"/>
        <rFont val="FreeSans"/>
        <family val="2"/>
      </rPr>
      <t xml:space="preserve">کانکتور رو بردی قفل شونده  </t>
    </r>
    <r>
      <rPr>
        <sz val="10"/>
        <rFont val="Vazirmatn"/>
        <family val="0"/>
        <charset val="1"/>
      </rPr>
      <t xml:space="preserve">20Pin ( 2 * 10 ) FPC 0/5mm</t>
    </r>
  </si>
  <si>
    <t xml:space="preserve">31210910</t>
  </si>
  <si>
    <r>
      <rPr>
        <sz val="10"/>
        <rFont val="FreeSans"/>
        <family val="2"/>
      </rPr>
      <t xml:space="preserve">کانکتور فیلیپسی گرد نری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پین </t>
    </r>
    <r>
      <rPr>
        <sz val="10"/>
        <rFont val="Vazirmatn"/>
        <family val="0"/>
        <charset val="1"/>
      </rPr>
      <t xml:space="preserve">M 8P</t>
    </r>
  </si>
  <si>
    <t xml:space="preserve">31210911</t>
  </si>
  <si>
    <r>
      <rPr>
        <sz val="10"/>
        <rFont val="FreeSans"/>
        <family val="2"/>
      </rPr>
      <t xml:space="preserve">کانکتور نظامی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پین </t>
    </r>
    <r>
      <rPr>
        <sz val="10"/>
        <rFont val="Vazirmatn"/>
        <family val="0"/>
        <charset val="1"/>
      </rPr>
      <t xml:space="preserve">GX16 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16mm</t>
    </r>
  </si>
  <si>
    <t xml:space="preserve">31211200</t>
  </si>
  <si>
    <r>
      <rPr>
        <sz val="10"/>
        <rFont val="FreeSans"/>
        <family val="2"/>
      </rPr>
      <t xml:space="preserve">فیوز محافظ جان تکفاز  </t>
    </r>
    <r>
      <rPr>
        <sz val="10"/>
        <rFont val="Vazirmatn"/>
        <family val="0"/>
        <charset val="1"/>
      </rPr>
      <t xml:space="preserve">RCB  16A</t>
    </r>
  </si>
  <si>
    <t xml:space="preserve">31211209</t>
  </si>
  <si>
    <r>
      <rPr>
        <sz val="10"/>
        <rFont val="FreeSans"/>
        <family val="2"/>
      </rPr>
      <t xml:space="preserve">فیوز محافظ جان        </t>
    </r>
    <r>
      <rPr>
        <sz val="10"/>
        <rFont val="Vazirmatn"/>
        <family val="0"/>
        <charset val="1"/>
      </rPr>
      <t xml:space="preserve">32A</t>
    </r>
  </si>
  <si>
    <t xml:space="preserve">31211316</t>
  </si>
  <si>
    <r>
      <rPr>
        <sz val="10"/>
        <rFont val="FreeSans"/>
        <family val="2"/>
      </rPr>
      <t xml:space="preserve">فیوز کاردی تند سوز پایه بلند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حفاظت نیمه هادی </t>
    </r>
    <r>
      <rPr>
        <sz val="10"/>
        <rFont val="Vazirmatn"/>
        <family val="0"/>
        <charset val="1"/>
      </rPr>
      <t xml:space="preserve">) ULtRA rapid - 315 A - SiBa</t>
    </r>
  </si>
  <si>
    <t xml:space="preserve">31211319</t>
  </si>
  <si>
    <r>
      <rPr>
        <sz val="10"/>
        <rFont val="FreeSans"/>
        <family val="2"/>
      </rPr>
      <t xml:space="preserve">فیوز  چاقوئی پایه  بلند            </t>
    </r>
    <r>
      <rPr>
        <sz val="10"/>
        <rFont val="Vazirmatn"/>
        <family val="0"/>
        <charset val="1"/>
      </rPr>
      <t xml:space="preserve">100  </t>
    </r>
    <r>
      <rPr>
        <sz val="10"/>
        <rFont val="FreeSans"/>
        <family val="2"/>
      </rPr>
      <t xml:space="preserve">آمپر</t>
    </r>
  </si>
  <si>
    <t xml:space="preserve">31211325</t>
  </si>
  <si>
    <r>
      <rPr>
        <sz val="10"/>
        <rFont val="FreeSans"/>
        <family val="2"/>
      </rPr>
      <t xml:space="preserve">فیوز  چاقوئی پایه بلند             </t>
    </r>
    <r>
      <rPr>
        <sz val="10"/>
        <rFont val="Vazirmatn"/>
        <family val="0"/>
        <charset val="1"/>
      </rPr>
      <t xml:space="preserve">125  </t>
    </r>
    <r>
      <rPr>
        <sz val="10"/>
        <rFont val="FreeSans"/>
        <family val="2"/>
      </rPr>
      <t xml:space="preserve">آمپر</t>
    </r>
  </si>
  <si>
    <t xml:space="preserve">31211327</t>
  </si>
  <si>
    <r>
      <rPr>
        <sz val="10"/>
        <rFont val="FreeSans"/>
        <family val="2"/>
      </rPr>
      <t xml:space="preserve">فیوز  چاقوئی پایه بلند              </t>
    </r>
    <r>
      <rPr>
        <sz val="10"/>
        <rFont val="Vazirmatn"/>
        <family val="0"/>
        <charset val="1"/>
      </rPr>
      <t xml:space="preserve">160   </t>
    </r>
    <r>
      <rPr>
        <sz val="10"/>
        <rFont val="FreeSans"/>
        <family val="2"/>
      </rPr>
      <t xml:space="preserve">آمپر</t>
    </r>
  </si>
  <si>
    <t xml:space="preserve">31211329</t>
  </si>
  <si>
    <r>
      <rPr>
        <sz val="10"/>
        <rFont val="FreeSans"/>
        <family val="2"/>
      </rPr>
      <t xml:space="preserve">فیوز  چاقوئی  پایه بلند           </t>
    </r>
    <r>
      <rPr>
        <sz val="10"/>
        <rFont val="Vazirmatn"/>
        <family val="0"/>
        <charset val="1"/>
      </rPr>
      <t xml:space="preserve">200   </t>
    </r>
    <r>
      <rPr>
        <sz val="10"/>
        <rFont val="FreeSans"/>
        <family val="2"/>
      </rPr>
      <t xml:space="preserve">آمپر</t>
    </r>
  </si>
  <si>
    <t xml:space="preserve">31211332</t>
  </si>
  <si>
    <r>
      <rPr>
        <sz val="10"/>
        <rFont val="FreeSans"/>
        <family val="2"/>
      </rPr>
      <t xml:space="preserve">فیوز  پایه بلند</t>
    </r>
    <r>
      <rPr>
        <sz val="10"/>
        <rFont val="Vazirmatn"/>
        <family val="0"/>
        <charset val="1"/>
      </rPr>
      <t xml:space="preserve">500 </t>
    </r>
    <r>
      <rPr>
        <sz val="10"/>
        <rFont val="FreeSans"/>
        <family val="2"/>
      </rPr>
      <t xml:space="preserve">وات            </t>
    </r>
    <r>
      <rPr>
        <sz val="10"/>
        <rFont val="Vazirmatn"/>
        <family val="0"/>
        <charset val="1"/>
      </rPr>
      <t xml:space="preserve">250  </t>
    </r>
    <r>
      <rPr>
        <sz val="10"/>
        <rFont val="FreeSans"/>
        <family val="2"/>
      </rPr>
      <t xml:space="preserve">آمپر</t>
    </r>
  </si>
  <si>
    <t xml:space="preserve">31211333</t>
  </si>
  <si>
    <r>
      <rPr>
        <sz val="10"/>
        <rFont val="FreeSans"/>
        <family val="2"/>
      </rPr>
      <t xml:space="preserve">فیوز  چاقوئی پایه بلند              </t>
    </r>
    <r>
      <rPr>
        <sz val="10"/>
        <rFont val="Vazirmatn"/>
        <family val="0"/>
        <charset val="1"/>
      </rPr>
      <t xml:space="preserve">400   </t>
    </r>
    <r>
      <rPr>
        <sz val="10"/>
        <rFont val="FreeSans"/>
        <family val="2"/>
      </rPr>
      <t xml:space="preserve">آمپر</t>
    </r>
  </si>
  <si>
    <t xml:space="preserve">31211406</t>
  </si>
  <si>
    <r>
      <rPr>
        <sz val="10"/>
        <rFont val="FreeSans"/>
        <family val="2"/>
      </rPr>
      <t xml:space="preserve">فیوز  شیشه ای  </t>
    </r>
    <r>
      <rPr>
        <sz val="10"/>
        <rFont val="Vazirmatn"/>
        <family val="0"/>
        <charset val="1"/>
      </rPr>
      <t xml:space="preserve">220  </t>
    </r>
    <r>
      <rPr>
        <sz val="10"/>
        <rFont val="FreeSans"/>
        <family val="2"/>
      </rPr>
      <t xml:space="preserve">ولت      </t>
    </r>
    <r>
      <rPr>
        <sz val="10"/>
        <rFont val="Vazirmatn"/>
        <family val="0"/>
        <charset val="1"/>
      </rPr>
      <t xml:space="preserve">2  </t>
    </r>
    <r>
      <rPr>
        <sz val="10"/>
        <rFont val="FreeSans"/>
        <family val="2"/>
      </rPr>
      <t xml:space="preserve">آمپر</t>
    </r>
  </si>
  <si>
    <t xml:space="preserve">31211656</t>
  </si>
  <si>
    <r>
      <rPr>
        <sz val="10"/>
        <rFont val="FreeSans"/>
        <family val="2"/>
      </rPr>
      <t xml:space="preserve">فیوز مینیاتوری تکفاز  </t>
    </r>
    <r>
      <rPr>
        <sz val="10"/>
        <rFont val="Vazirmatn"/>
        <family val="0"/>
        <charset val="1"/>
      </rPr>
      <t xml:space="preserve">10  </t>
    </r>
    <r>
      <rPr>
        <sz val="10"/>
        <rFont val="FreeSans"/>
        <family val="2"/>
      </rPr>
      <t xml:space="preserve">آمپر</t>
    </r>
  </si>
  <si>
    <t xml:space="preserve">31211659</t>
  </si>
  <si>
    <r>
      <rPr>
        <sz val="10"/>
        <rFont val="FreeSans"/>
        <family val="2"/>
      </rPr>
      <t xml:space="preserve">فیوز مینیاتوری دو فاز                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آمپر</t>
    </r>
  </si>
  <si>
    <t xml:space="preserve">31211660</t>
  </si>
  <si>
    <r>
      <rPr>
        <sz val="10"/>
        <rFont val="FreeSans"/>
        <family val="2"/>
      </rPr>
      <t xml:space="preserve">فیوز مینیاتوری سه فاز             </t>
    </r>
    <r>
      <rPr>
        <sz val="10"/>
        <rFont val="Vazirmatn"/>
        <family val="0"/>
        <charset val="1"/>
      </rPr>
      <t xml:space="preserve">40  </t>
    </r>
    <r>
      <rPr>
        <sz val="10"/>
        <rFont val="FreeSans"/>
        <family val="2"/>
      </rPr>
      <t xml:space="preserve">آمپر</t>
    </r>
  </si>
  <si>
    <t xml:space="preserve">31211713</t>
  </si>
  <si>
    <r>
      <rPr>
        <sz val="10"/>
        <rFont val="FreeSans"/>
        <family val="2"/>
      </rPr>
      <t xml:space="preserve">پایه     فیوز   چاقوئی                </t>
    </r>
    <r>
      <rPr>
        <sz val="10"/>
        <rFont val="Vazirmatn"/>
        <family val="0"/>
        <charset val="1"/>
      </rPr>
      <t xml:space="preserve">100  </t>
    </r>
    <r>
      <rPr>
        <sz val="10"/>
        <rFont val="FreeSans"/>
        <family val="2"/>
      </rPr>
      <t xml:space="preserve">آمپر</t>
    </r>
  </si>
  <si>
    <t xml:space="preserve">31211717</t>
  </si>
  <si>
    <r>
      <rPr>
        <sz val="10"/>
        <rFont val="FreeSans"/>
        <family val="2"/>
      </rPr>
      <t xml:space="preserve">پایه  فیوز    چاقوئی                </t>
    </r>
    <r>
      <rPr>
        <sz val="10"/>
        <rFont val="Vazirmatn"/>
        <family val="0"/>
        <charset val="1"/>
      </rPr>
      <t xml:space="preserve">125    </t>
    </r>
    <r>
      <rPr>
        <sz val="10"/>
        <rFont val="FreeSans"/>
        <family val="2"/>
      </rPr>
      <t xml:space="preserve">آمپر</t>
    </r>
  </si>
  <si>
    <t xml:space="preserve">31211720</t>
  </si>
  <si>
    <r>
      <rPr>
        <sz val="10"/>
        <rFont val="FreeSans"/>
        <family val="2"/>
      </rPr>
      <t xml:space="preserve">پایه فیوز شیشه ای  </t>
    </r>
    <r>
      <rPr>
        <sz val="10"/>
        <rFont val="Vazirmatn"/>
        <family val="0"/>
        <charset val="1"/>
      </rPr>
      <t xml:space="preserve">24V</t>
    </r>
  </si>
  <si>
    <t xml:space="preserve">31211722</t>
  </si>
  <si>
    <r>
      <rPr>
        <sz val="10"/>
        <rFont val="FreeSans"/>
        <family val="2"/>
      </rPr>
      <t xml:space="preserve">پایه فیوز سه تایی پایه کوتاه      </t>
    </r>
    <r>
      <rPr>
        <sz val="10"/>
        <rFont val="Vazirmatn"/>
        <family val="0"/>
        <charset val="1"/>
      </rPr>
      <t xml:space="preserve">80  </t>
    </r>
    <r>
      <rPr>
        <sz val="10"/>
        <rFont val="FreeSans"/>
        <family val="2"/>
      </rPr>
      <t xml:space="preserve">آمپر</t>
    </r>
  </si>
  <si>
    <t xml:space="preserve">31211723</t>
  </si>
  <si>
    <r>
      <rPr>
        <sz val="10"/>
        <rFont val="FreeSans"/>
        <family val="2"/>
      </rPr>
      <t xml:space="preserve">پایه فیوز سه فاز                     </t>
    </r>
    <r>
      <rPr>
        <sz val="10"/>
        <rFont val="Vazirmatn"/>
        <family val="0"/>
        <charset val="1"/>
      </rPr>
      <t xml:space="preserve">160   </t>
    </r>
    <r>
      <rPr>
        <sz val="10"/>
        <rFont val="FreeSans"/>
        <family val="2"/>
      </rPr>
      <t xml:space="preserve">آمپر</t>
    </r>
  </si>
  <si>
    <t xml:space="preserve">31211724</t>
  </si>
  <si>
    <t xml:space="preserve">فیوز تلفن</t>
  </si>
  <si>
    <t xml:space="preserve">31211730</t>
  </si>
  <si>
    <r>
      <rPr>
        <sz val="10"/>
        <rFont val="FreeSans"/>
        <family val="2"/>
      </rPr>
      <t xml:space="preserve">پایه فیوز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زیمنس  </t>
    </r>
    <r>
      <rPr>
        <sz val="10"/>
        <rFont val="Vazirmatn"/>
        <family val="0"/>
        <charset val="1"/>
      </rPr>
      <t xml:space="preserve">3NP1133-1C ) A10 - 160A )</t>
    </r>
  </si>
  <si>
    <t xml:space="preserve">31211734</t>
  </si>
  <si>
    <r>
      <rPr>
        <sz val="10"/>
        <rFont val="FreeSans"/>
        <family val="2"/>
      </rPr>
      <t xml:space="preserve">براکت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2mm</t>
    </r>
  </si>
  <si>
    <t xml:space="preserve">31211742</t>
  </si>
  <si>
    <t xml:space="preserve">براکت</t>
  </si>
  <si>
    <t xml:space="preserve">31211745</t>
  </si>
  <si>
    <t xml:space="preserve">عایق  چینی</t>
  </si>
  <si>
    <t xml:space="preserve">31211747</t>
  </si>
  <si>
    <t xml:space="preserve">تخته کلم شیر برقی</t>
  </si>
  <si>
    <t xml:space="preserve">31211749</t>
  </si>
  <si>
    <r>
      <rPr>
        <sz val="10"/>
        <rFont val="FreeSans"/>
        <family val="2"/>
      </rPr>
      <t xml:space="preserve">کلم   چینی    الکتروموتور     </t>
    </r>
    <r>
      <rPr>
        <sz val="10"/>
        <rFont val="Vazirmatn"/>
        <family val="0"/>
        <charset val="1"/>
      </rPr>
      <t xml:space="preserve">VEM</t>
    </r>
  </si>
  <si>
    <t xml:space="preserve">31211750</t>
  </si>
  <si>
    <r>
      <rPr>
        <sz val="10"/>
        <rFont val="FreeSans"/>
        <family val="2"/>
      </rPr>
      <t xml:space="preserve">تخته کلم      </t>
    </r>
    <r>
      <rPr>
        <sz val="10"/>
        <rFont val="Vazirmatn"/>
        <family val="0"/>
        <charset val="1"/>
      </rPr>
      <t xml:space="preserve">18/5KW</t>
    </r>
  </si>
  <si>
    <t xml:space="preserve">31211751</t>
  </si>
  <si>
    <t xml:space="preserve">کیت نصب درب اینورتر</t>
  </si>
  <si>
    <t xml:space="preserve">31211756</t>
  </si>
  <si>
    <r>
      <rPr>
        <sz val="10"/>
        <rFont val="FreeSans"/>
        <family val="2"/>
      </rPr>
      <t xml:space="preserve">کلمپ ارتباط  </t>
    </r>
    <r>
      <rPr>
        <sz val="10"/>
        <rFont val="Vazirmatn"/>
        <family val="0"/>
        <charset val="1"/>
      </rPr>
      <t xml:space="preserve">70-35</t>
    </r>
  </si>
  <si>
    <t xml:space="preserve">31211903</t>
  </si>
  <si>
    <r>
      <rPr>
        <sz val="10"/>
        <rFont val="FreeSans"/>
        <family val="2"/>
      </rPr>
      <t xml:space="preserve">فیوز  مدادی  بلند                      </t>
    </r>
    <r>
      <rPr>
        <sz val="10"/>
        <rFont val="Vazirmatn"/>
        <family val="0"/>
        <charset val="1"/>
      </rPr>
      <t xml:space="preserve">6  </t>
    </r>
    <r>
      <rPr>
        <sz val="10"/>
        <rFont val="FreeSans"/>
        <family val="2"/>
      </rPr>
      <t xml:space="preserve">آمپر</t>
    </r>
  </si>
  <si>
    <t xml:space="preserve">31211904</t>
  </si>
  <si>
    <r>
      <rPr>
        <sz val="10"/>
        <rFont val="FreeSans"/>
        <family val="2"/>
      </rPr>
      <t xml:space="preserve">فیوز     مدادی                          </t>
    </r>
    <r>
      <rPr>
        <sz val="10"/>
        <rFont val="Vazirmatn"/>
        <family val="0"/>
        <charset val="1"/>
      </rPr>
      <t xml:space="preserve">40  </t>
    </r>
    <r>
      <rPr>
        <sz val="10"/>
        <rFont val="FreeSans"/>
        <family val="2"/>
      </rPr>
      <t xml:space="preserve">آمپر</t>
    </r>
  </si>
  <si>
    <t xml:space="preserve">31211905</t>
  </si>
  <si>
    <r>
      <rPr>
        <sz val="10"/>
        <rFont val="FreeSans"/>
        <family val="2"/>
      </rPr>
      <t xml:space="preserve">فیوز     مدادی                          </t>
    </r>
    <r>
      <rPr>
        <sz val="10"/>
        <rFont val="Vazirmatn"/>
        <family val="0"/>
        <charset val="1"/>
      </rPr>
      <t xml:space="preserve">25   </t>
    </r>
    <r>
      <rPr>
        <sz val="10"/>
        <rFont val="FreeSans"/>
        <family val="2"/>
      </rPr>
      <t xml:space="preserve">آمپر</t>
    </r>
  </si>
  <si>
    <t xml:space="preserve">31211906</t>
  </si>
  <si>
    <r>
      <rPr>
        <sz val="10"/>
        <rFont val="FreeSans"/>
        <family val="2"/>
      </rPr>
      <t xml:space="preserve">فیوز مدادی بلند                      </t>
    </r>
    <r>
      <rPr>
        <sz val="10"/>
        <rFont val="Vazirmatn"/>
        <family val="0"/>
        <charset val="1"/>
      </rPr>
      <t xml:space="preserve">20   </t>
    </r>
    <r>
      <rPr>
        <sz val="10"/>
        <rFont val="FreeSans"/>
        <family val="2"/>
      </rPr>
      <t xml:space="preserve">آمپر</t>
    </r>
  </si>
  <si>
    <t xml:space="preserve">31211907</t>
  </si>
  <si>
    <r>
      <rPr>
        <sz val="10"/>
        <rFont val="FreeSans"/>
        <family val="2"/>
      </rPr>
      <t xml:space="preserve">فیوز مدادی  بلند                       </t>
    </r>
    <r>
      <rPr>
        <sz val="10"/>
        <rFont val="Vazirmatn"/>
        <family val="0"/>
        <charset val="1"/>
      </rPr>
      <t xml:space="preserve">16  </t>
    </r>
    <r>
      <rPr>
        <sz val="10"/>
        <rFont val="FreeSans"/>
        <family val="2"/>
      </rPr>
      <t xml:space="preserve">آمپر</t>
    </r>
  </si>
  <si>
    <t xml:space="preserve">31211908</t>
  </si>
  <si>
    <r>
      <rPr>
        <sz val="10"/>
        <rFont val="FreeSans"/>
        <family val="2"/>
      </rPr>
      <t xml:space="preserve">فیوز مدادی    </t>
    </r>
    <r>
      <rPr>
        <sz val="10"/>
        <rFont val="Vazirmatn"/>
        <family val="0"/>
        <charset val="1"/>
      </rPr>
      <t xml:space="preserve">20A</t>
    </r>
  </si>
  <si>
    <t xml:space="preserve">31211932</t>
  </si>
  <si>
    <r>
      <rPr>
        <sz val="10"/>
        <rFont val="FreeSans"/>
        <family val="2"/>
      </rPr>
      <t xml:space="preserve">فیوز مدادی بلند                      </t>
    </r>
    <r>
      <rPr>
        <sz val="10"/>
        <rFont val="Vazirmatn"/>
        <family val="0"/>
        <charset val="1"/>
      </rPr>
      <t xml:space="preserve">32  </t>
    </r>
    <r>
      <rPr>
        <sz val="10"/>
        <rFont val="FreeSans"/>
        <family val="2"/>
      </rPr>
      <t xml:space="preserve">آمپر</t>
    </r>
  </si>
  <si>
    <t xml:space="preserve">31211955</t>
  </si>
  <si>
    <r>
      <rPr>
        <sz val="10"/>
        <rFont val="FreeSans"/>
        <family val="2"/>
      </rPr>
      <t xml:space="preserve">فیوز  فشنگی مدادی              </t>
    </r>
    <r>
      <rPr>
        <sz val="10"/>
        <rFont val="Vazirmatn"/>
        <family val="0"/>
        <charset val="1"/>
      </rPr>
      <t xml:space="preserve">6  </t>
    </r>
    <r>
      <rPr>
        <sz val="10"/>
        <rFont val="FreeSans"/>
        <family val="2"/>
      </rPr>
      <t xml:space="preserve">آمپر</t>
    </r>
  </si>
  <si>
    <t xml:space="preserve">31211961</t>
  </si>
  <si>
    <r>
      <rPr>
        <sz val="10"/>
        <rFont val="FreeSans"/>
        <family val="2"/>
      </rPr>
      <t xml:space="preserve">فیوز    مدادی    بلند                 </t>
    </r>
    <r>
      <rPr>
        <sz val="10"/>
        <rFont val="Vazirmatn"/>
        <family val="0"/>
        <charset val="1"/>
      </rPr>
      <t xml:space="preserve">10  </t>
    </r>
    <r>
      <rPr>
        <sz val="10"/>
        <rFont val="FreeSans"/>
        <family val="2"/>
      </rPr>
      <t xml:space="preserve">آمپر</t>
    </r>
  </si>
  <si>
    <t xml:space="preserve">31211963</t>
  </si>
  <si>
    <r>
      <rPr>
        <sz val="10"/>
        <rFont val="FreeSans"/>
        <family val="2"/>
      </rPr>
      <t xml:space="preserve">فیوز  فشنگی                           </t>
    </r>
    <r>
      <rPr>
        <sz val="10"/>
        <rFont val="Vazirmatn"/>
        <family val="0"/>
        <charset val="1"/>
      </rPr>
      <t xml:space="preserve">16   </t>
    </r>
    <r>
      <rPr>
        <sz val="10"/>
        <rFont val="FreeSans"/>
        <family val="2"/>
      </rPr>
      <t xml:space="preserve">آمپر</t>
    </r>
  </si>
  <si>
    <t xml:space="preserve">31211965</t>
  </si>
  <si>
    <r>
      <rPr>
        <sz val="10"/>
        <rFont val="FreeSans"/>
        <family val="2"/>
      </rPr>
      <t xml:space="preserve">فیوز  فشنگی </t>
    </r>
    <r>
      <rPr>
        <sz val="10"/>
        <rFont val="Vazirmatn"/>
        <family val="0"/>
        <charset val="1"/>
      </rPr>
      <t xml:space="preserve">20    </t>
    </r>
    <r>
      <rPr>
        <sz val="10"/>
        <rFont val="FreeSans"/>
        <family val="2"/>
      </rPr>
      <t xml:space="preserve">آمپر</t>
    </r>
  </si>
  <si>
    <t xml:space="preserve">31211967</t>
  </si>
  <si>
    <r>
      <rPr>
        <sz val="10"/>
        <rFont val="FreeSans"/>
        <family val="2"/>
      </rPr>
      <t xml:space="preserve">فیوز  فشنگی  </t>
    </r>
    <r>
      <rPr>
        <sz val="10"/>
        <rFont val="Vazirmatn"/>
        <family val="0"/>
        <charset val="1"/>
      </rPr>
      <t xml:space="preserve">25   </t>
    </r>
    <r>
      <rPr>
        <sz val="10"/>
        <rFont val="FreeSans"/>
        <family val="2"/>
      </rPr>
      <t xml:space="preserve">آمپر</t>
    </r>
  </si>
  <si>
    <t xml:space="preserve">31211971</t>
  </si>
  <si>
    <r>
      <rPr>
        <sz val="10"/>
        <rFont val="FreeSans"/>
        <family val="2"/>
      </rPr>
      <t xml:space="preserve">فیوز  فشنگی  </t>
    </r>
    <r>
      <rPr>
        <sz val="10"/>
        <rFont val="Vazirmatn"/>
        <family val="0"/>
        <charset val="1"/>
      </rPr>
      <t xml:space="preserve">15   </t>
    </r>
    <r>
      <rPr>
        <sz val="10"/>
        <rFont val="FreeSans"/>
        <family val="2"/>
      </rPr>
      <t xml:space="preserve">آمپر</t>
    </r>
  </si>
  <si>
    <t xml:space="preserve">31211979</t>
  </si>
  <si>
    <r>
      <rPr>
        <sz val="10"/>
        <rFont val="FreeSans"/>
        <family val="2"/>
      </rPr>
      <t xml:space="preserve">فیوز  فشنگی  </t>
    </r>
    <r>
      <rPr>
        <sz val="10"/>
        <rFont val="Vazirmatn"/>
        <family val="0"/>
        <charset val="1"/>
      </rPr>
      <t xml:space="preserve">100  </t>
    </r>
    <r>
      <rPr>
        <sz val="10"/>
        <rFont val="FreeSans"/>
        <family val="2"/>
      </rPr>
      <t xml:space="preserve">آمپر</t>
    </r>
  </si>
  <si>
    <t xml:space="preserve">31211980</t>
  </si>
  <si>
    <r>
      <rPr>
        <sz val="10"/>
        <rFont val="FreeSans"/>
        <family val="2"/>
      </rPr>
      <t xml:space="preserve">فیوز مینیاتوری  تک فاز </t>
    </r>
    <r>
      <rPr>
        <sz val="10"/>
        <rFont val="Vazirmatn"/>
        <family val="0"/>
        <charset val="1"/>
      </rPr>
      <t xml:space="preserve">16A</t>
    </r>
  </si>
  <si>
    <t xml:space="preserve">31212101</t>
  </si>
  <si>
    <r>
      <rPr>
        <sz val="10"/>
        <rFont val="FreeSans"/>
        <family val="2"/>
      </rPr>
      <t xml:space="preserve">کلید جرثقیل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دکمه با قارچی قفل شونده</t>
    </r>
  </si>
  <si>
    <t xml:space="preserve">31212104</t>
  </si>
  <si>
    <r>
      <rPr>
        <sz val="10"/>
        <rFont val="FreeSans"/>
        <family val="2"/>
      </rPr>
      <t xml:space="preserve">کلید </t>
    </r>
    <r>
      <rPr>
        <sz val="10"/>
        <rFont val="Vazirmatn"/>
        <family val="0"/>
        <charset val="1"/>
      </rPr>
      <t xml:space="preserve">1 - 0  </t>
    </r>
    <r>
      <rPr>
        <sz val="10"/>
        <rFont val="FreeSans"/>
        <family val="2"/>
      </rPr>
      <t xml:space="preserve">سه پل  </t>
    </r>
    <r>
      <rPr>
        <sz val="10"/>
        <rFont val="Vazirmatn"/>
        <family val="0"/>
        <charset val="1"/>
      </rPr>
      <t xml:space="preserve">16A</t>
    </r>
  </si>
  <si>
    <t xml:space="preserve">31212105</t>
  </si>
  <si>
    <r>
      <rPr>
        <sz val="10"/>
        <rFont val="FreeSans"/>
        <family val="2"/>
      </rPr>
      <t xml:space="preserve">کلید  اتوماتیک                      </t>
    </r>
    <r>
      <rPr>
        <sz val="10"/>
        <rFont val="Vazirmatn"/>
        <family val="0"/>
        <charset val="1"/>
      </rPr>
      <t xml:space="preserve">1250  </t>
    </r>
    <r>
      <rPr>
        <sz val="10"/>
        <rFont val="FreeSans"/>
        <family val="2"/>
      </rPr>
      <t xml:space="preserve">آمپر</t>
    </r>
  </si>
  <si>
    <t xml:space="preserve">31212106</t>
  </si>
  <si>
    <r>
      <rPr>
        <sz val="10"/>
        <rFont val="FreeSans"/>
        <family val="2"/>
      </rPr>
      <t xml:space="preserve">کلید  </t>
    </r>
    <r>
      <rPr>
        <sz val="10"/>
        <rFont val="Vazirmatn"/>
        <family val="0"/>
        <charset val="1"/>
      </rPr>
      <t xml:space="preserve">ON - OFF  </t>
    </r>
    <r>
      <rPr>
        <sz val="10"/>
        <rFont val="FreeSans"/>
        <family val="2"/>
      </rPr>
      <t xml:space="preserve">اواپراتور</t>
    </r>
  </si>
  <si>
    <t xml:space="preserve">31212109</t>
  </si>
  <si>
    <r>
      <rPr>
        <sz val="10"/>
        <rFont val="FreeSans"/>
        <family val="2"/>
      </rPr>
      <t xml:space="preserve">کلید اتوماتیک  </t>
    </r>
    <r>
      <rPr>
        <sz val="10"/>
        <rFont val="Vazirmatn"/>
        <family val="0"/>
        <charset val="1"/>
      </rPr>
      <t xml:space="preserve">630   </t>
    </r>
    <r>
      <rPr>
        <sz val="10"/>
        <rFont val="FreeSans"/>
        <family val="2"/>
      </rPr>
      <t xml:space="preserve">آمپر</t>
    </r>
  </si>
  <si>
    <t xml:space="preserve">31212115</t>
  </si>
  <si>
    <r>
      <rPr>
        <sz val="10"/>
        <rFont val="FreeSans"/>
        <family val="2"/>
      </rPr>
      <t xml:space="preserve">کلید اتوماتیک زیمنس </t>
    </r>
    <r>
      <rPr>
        <sz val="10"/>
        <rFont val="Vazirmatn"/>
        <family val="0"/>
        <charset val="1"/>
      </rPr>
      <t xml:space="preserve">3VL3725-1AA36-0AA0 VL 250 N  250A</t>
    </r>
  </si>
  <si>
    <t xml:space="preserve">31212118</t>
  </si>
  <si>
    <t xml:space="preserve">کلید فیوز زیمنس</t>
  </si>
  <si>
    <t xml:space="preserve">31212119</t>
  </si>
  <si>
    <r>
      <rPr>
        <sz val="10"/>
        <rFont val="FreeSans"/>
        <family val="2"/>
      </rPr>
      <t xml:space="preserve">کلید فیوز کاردی  </t>
    </r>
    <r>
      <rPr>
        <sz val="10"/>
        <rFont val="Vazirmatn"/>
        <family val="0"/>
        <charset val="1"/>
      </rPr>
      <t xml:space="preserve">160 </t>
    </r>
    <r>
      <rPr>
        <sz val="10"/>
        <rFont val="FreeSans"/>
        <family val="2"/>
      </rPr>
      <t xml:space="preserve">آمپر</t>
    </r>
  </si>
  <si>
    <t xml:space="preserve">31212123</t>
  </si>
  <si>
    <r>
      <rPr>
        <sz val="10"/>
        <rFont val="FreeSans"/>
        <family val="2"/>
      </rPr>
      <t xml:space="preserve">کلید کامپکت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حرارتی </t>
    </r>
    <r>
      <rPr>
        <sz val="10"/>
        <rFont val="Vazirmatn"/>
        <family val="0"/>
        <charset val="1"/>
      </rPr>
      <t xml:space="preserve">) 16A</t>
    </r>
  </si>
  <si>
    <t xml:space="preserve">31212124</t>
  </si>
  <si>
    <r>
      <rPr>
        <sz val="10"/>
        <rFont val="FreeSans"/>
        <family val="2"/>
      </rPr>
      <t xml:space="preserve">کلید کامپکت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حرارتی </t>
    </r>
    <r>
      <rPr>
        <sz val="10"/>
        <rFont val="Vazirmatn"/>
        <family val="0"/>
        <charset val="1"/>
      </rPr>
      <t xml:space="preserve">) 20A</t>
    </r>
  </si>
  <si>
    <t xml:space="preserve">31212126</t>
  </si>
  <si>
    <r>
      <rPr>
        <sz val="10"/>
        <rFont val="FreeSans"/>
        <family val="2"/>
      </rPr>
      <t xml:space="preserve">کلید کامپکت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حرارتی </t>
    </r>
    <r>
      <rPr>
        <sz val="10"/>
        <rFont val="Vazirmatn"/>
        <family val="0"/>
        <charset val="1"/>
      </rPr>
      <t xml:space="preserve">) 50A</t>
    </r>
  </si>
  <si>
    <t xml:space="preserve">31212129</t>
  </si>
  <si>
    <r>
      <rPr>
        <sz val="10"/>
        <rFont val="FreeSans"/>
        <family val="2"/>
      </rPr>
      <t xml:space="preserve">کلید کامپکت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حرارتی </t>
    </r>
    <r>
      <rPr>
        <sz val="10"/>
        <rFont val="Vazirmatn"/>
        <family val="0"/>
        <charset val="1"/>
      </rPr>
      <t xml:space="preserve">) 40A</t>
    </r>
  </si>
  <si>
    <t xml:space="preserve">31212130</t>
  </si>
  <si>
    <r>
      <rPr>
        <sz val="10"/>
        <rFont val="FreeSans"/>
        <family val="2"/>
      </rPr>
      <t xml:space="preserve">کلید کامپکت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حرارتی </t>
    </r>
    <r>
      <rPr>
        <sz val="10"/>
        <rFont val="Vazirmatn"/>
        <family val="0"/>
        <charset val="1"/>
      </rPr>
      <t xml:space="preserve">) 200A</t>
    </r>
  </si>
  <si>
    <t xml:space="preserve">31212136</t>
  </si>
  <si>
    <r>
      <rPr>
        <sz val="10"/>
        <rFont val="FreeSans"/>
        <family val="2"/>
      </rPr>
      <t xml:space="preserve">کلید چنج آور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طرفه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پل دستی </t>
    </r>
    <r>
      <rPr>
        <sz val="10"/>
        <rFont val="Vazirmatn"/>
        <family val="0"/>
        <charset val="1"/>
      </rPr>
      <t xml:space="preserve">400A</t>
    </r>
  </si>
  <si>
    <t xml:space="preserve">31212137</t>
  </si>
  <si>
    <r>
      <rPr>
        <sz val="10"/>
        <rFont val="FreeSans"/>
        <family val="2"/>
      </rPr>
      <t xml:space="preserve">کلید اتوماتیک  </t>
    </r>
    <r>
      <rPr>
        <sz val="10"/>
        <rFont val="Vazirmatn"/>
        <family val="0"/>
        <charset val="1"/>
      </rPr>
      <t xml:space="preserve">50A</t>
    </r>
  </si>
  <si>
    <t xml:space="preserve">31212138</t>
  </si>
  <si>
    <r>
      <rPr>
        <sz val="10"/>
        <rFont val="FreeSans"/>
        <family val="2"/>
      </rPr>
      <t xml:space="preserve">کلید کامپکت اشنایدر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میکرو لاجیک </t>
    </r>
    <r>
      <rPr>
        <sz val="10"/>
        <rFont val="Vazirmatn"/>
        <family val="0"/>
        <charset val="1"/>
      </rPr>
      <t xml:space="preserve">2 ) 1250A - 50KA NS1250 N</t>
    </r>
  </si>
  <si>
    <t xml:space="preserve">31212200</t>
  </si>
  <si>
    <r>
      <rPr>
        <sz val="10"/>
        <rFont val="FreeSans"/>
        <family val="2"/>
      </rPr>
      <t xml:space="preserve">کلید هوایی </t>
    </r>
    <r>
      <rPr>
        <sz val="10"/>
        <rFont val="Vazirmatn"/>
        <family val="0"/>
        <charset val="1"/>
      </rPr>
      <t xml:space="preserve">LS </t>
    </r>
    <r>
      <rPr>
        <sz val="10"/>
        <rFont val="FreeSans"/>
        <family val="2"/>
      </rPr>
      <t xml:space="preserve">متاسل بدنه ثابت بدون موتور </t>
    </r>
    <r>
      <rPr>
        <sz val="10"/>
        <rFont val="Vazirmatn"/>
        <family val="0"/>
        <charset val="1"/>
      </rPr>
      <t xml:space="preserve">1600A</t>
    </r>
  </si>
  <si>
    <t xml:space="preserve">31212207</t>
  </si>
  <si>
    <r>
      <rPr>
        <sz val="10"/>
        <rFont val="FreeSans"/>
        <family val="2"/>
      </rPr>
      <t xml:space="preserve">کلید اتوماتیک  </t>
    </r>
    <r>
      <rPr>
        <sz val="10"/>
        <rFont val="Vazirmatn"/>
        <family val="0"/>
        <charset val="1"/>
      </rPr>
      <t xml:space="preserve">1200A</t>
    </r>
  </si>
  <si>
    <t xml:space="preserve">31212210</t>
  </si>
  <si>
    <t xml:space="preserve">کلید دو پل داخل ترانکینگ</t>
  </si>
  <si>
    <t xml:space="preserve">31212213</t>
  </si>
  <si>
    <r>
      <rPr>
        <sz val="10"/>
        <rFont val="FreeSans"/>
        <family val="2"/>
      </rPr>
      <t xml:space="preserve">کلید اتوماتیک زیمنس </t>
    </r>
    <r>
      <rPr>
        <sz val="10"/>
        <rFont val="Vazirmatn"/>
        <family val="0"/>
        <charset val="1"/>
      </rPr>
      <t xml:space="preserve">3VL2716-1AA33-0AA0 VL 160 N  160A</t>
    </r>
  </si>
  <si>
    <t xml:space="preserve">31212215</t>
  </si>
  <si>
    <r>
      <rPr>
        <sz val="10"/>
        <rFont val="FreeSans"/>
        <family val="2"/>
      </rPr>
      <t xml:space="preserve">کلید   اصلی                        </t>
    </r>
    <r>
      <rPr>
        <sz val="10"/>
        <rFont val="Vazirmatn"/>
        <family val="0"/>
        <charset val="1"/>
      </rPr>
      <t xml:space="preserve">500   </t>
    </r>
    <r>
      <rPr>
        <sz val="10"/>
        <rFont val="FreeSans"/>
        <family val="2"/>
      </rPr>
      <t xml:space="preserve">آمپر</t>
    </r>
  </si>
  <si>
    <t xml:space="preserve">31212217</t>
  </si>
  <si>
    <r>
      <rPr>
        <sz val="10"/>
        <rFont val="FreeSans"/>
        <family val="2"/>
      </rPr>
      <t xml:space="preserve">کلید زیمنس  </t>
    </r>
    <r>
      <rPr>
        <sz val="10"/>
        <rFont val="Vazirmatn"/>
        <family val="0"/>
        <charset val="1"/>
      </rPr>
      <t xml:space="preserve">630A</t>
    </r>
  </si>
  <si>
    <t xml:space="preserve">31212221</t>
  </si>
  <si>
    <t xml:space="preserve">کلید    برق  دوپل   روکار</t>
  </si>
  <si>
    <t xml:space="preserve">31212243</t>
  </si>
  <si>
    <r>
      <rPr>
        <sz val="10"/>
        <rFont val="FreeSans"/>
        <family val="2"/>
      </rPr>
      <t xml:space="preserve">کلید جرثقیل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دکمه با قارچی قفل شونده</t>
    </r>
  </si>
  <si>
    <t xml:space="preserve">31212246</t>
  </si>
  <si>
    <r>
      <rPr>
        <sz val="10"/>
        <rFont val="FreeSans"/>
        <family val="2"/>
      </rPr>
      <t xml:space="preserve">کلید حرارتی  </t>
    </r>
    <r>
      <rPr>
        <sz val="10"/>
        <rFont val="Vazirmatn"/>
        <family val="0"/>
        <charset val="1"/>
      </rPr>
      <t xml:space="preserve">63 - 40 </t>
    </r>
    <r>
      <rPr>
        <sz val="10"/>
        <rFont val="FreeSans"/>
        <family val="2"/>
      </rPr>
      <t xml:space="preserve">آمپر</t>
    </r>
  </si>
  <si>
    <t xml:space="preserve">31212249</t>
  </si>
  <si>
    <r>
      <rPr>
        <sz val="10"/>
        <rFont val="FreeSans"/>
        <family val="2"/>
      </rPr>
      <t xml:space="preserve">کلید گردان چپگرد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راستگرد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</t>
    </r>
    <r>
      <rPr>
        <sz val="10"/>
        <rFont val="Vazirmatn"/>
        <family val="0"/>
        <charset val="1"/>
      </rPr>
      <t xml:space="preserve">16A</t>
    </r>
  </si>
  <si>
    <t xml:space="preserve">31212251</t>
  </si>
  <si>
    <t xml:space="preserve">کلید قطع و وصل چرخ دوخت</t>
  </si>
  <si>
    <t xml:space="preserve">31212297</t>
  </si>
  <si>
    <r>
      <rPr>
        <sz val="10"/>
        <rFont val="FreeSans"/>
        <family val="2"/>
      </rPr>
      <t xml:space="preserve">کادر و پایه ترانکینگ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ماژول</t>
    </r>
  </si>
  <si>
    <t xml:space="preserve">31212298</t>
  </si>
  <si>
    <r>
      <rPr>
        <sz val="10"/>
        <rFont val="FreeSans"/>
        <family val="2"/>
      </rPr>
      <t xml:space="preserve">کادر و پایه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ماژول ترانکینگ سوپیتا  </t>
    </r>
    <r>
      <rPr>
        <sz val="10"/>
        <rFont val="Vazirmatn"/>
        <family val="0"/>
        <charset val="1"/>
      </rPr>
      <t xml:space="preserve">100*50</t>
    </r>
  </si>
  <si>
    <t xml:space="preserve">31212299</t>
  </si>
  <si>
    <r>
      <rPr>
        <sz val="10"/>
        <rFont val="FreeSans"/>
        <family val="2"/>
      </rPr>
      <t xml:space="preserve">کاور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ماژول درب </t>
    </r>
    <r>
      <rPr>
        <sz val="10"/>
        <rFont val="Vazirmatn"/>
        <family val="0"/>
        <charset val="1"/>
      </rPr>
      <t xml:space="preserve">65mm </t>
    </r>
    <r>
      <rPr>
        <sz val="10"/>
        <rFont val="FreeSans"/>
        <family val="2"/>
      </rPr>
      <t xml:space="preserve">ترانکینگ لگراند </t>
    </r>
    <r>
      <rPr>
        <sz val="10"/>
        <rFont val="Vazirmatn"/>
        <family val="0"/>
        <charset val="1"/>
      </rPr>
      <t xml:space="preserve">85*50</t>
    </r>
  </si>
  <si>
    <t xml:space="preserve">31212307</t>
  </si>
  <si>
    <r>
      <rPr>
        <sz val="10"/>
        <rFont val="FreeSans"/>
        <family val="2"/>
      </rPr>
      <t xml:space="preserve">کلیدگردان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</t>
    </r>
    <r>
      <rPr>
        <sz val="10"/>
        <rFont val="Vazirmatn"/>
        <family val="0"/>
        <charset val="1"/>
      </rPr>
      <t xml:space="preserve">0-1                  20   </t>
    </r>
    <r>
      <rPr>
        <sz val="10"/>
        <rFont val="FreeSans"/>
        <family val="2"/>
      </rPr>
      <t xml:space="preserve">آمپر</t>
    </r>
  </si>
  <si>
    <t xml:space="preserve">31212308</t>
  </si>
  <si>
    <r>
      <rPr>
        <sz val="10"/>
        <rFont val="FreeSans"/>
        <family val="2"/>
      </rPr>
      <t xml:space="preserve">کلید گردان   سه  فاز              </t>
    </r>
    <r>
      <rPr>
        <sz val="10"/>
        <rFont val="Vazirmatn"/>
        <family val="0"/>
        <charset val="1"/>
      </rPr>
      <t xml:space="preserve">75   </t>
    </r>
    <r>
      <rPr>
        <sz val="10"/>
        <rFont val="FreeSans"/>
        <family val="2"/>
      </rPr>
      <t xml:space="preserve">آمپر</t>
    </r>
  </si>
  <si>
    <t xml:space="preserve">31212318</t>
  </si>
  <si>
    <r>
      <rPr>
        <sz val="10"/>
        <rFont val="FreeSans"/>
        <family val="2"/>
      </rPr>
      <t xml:space="preserve">جعبه کلید فرمان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سوراخ</t>
    </r>
  </si>
  <si>
    <t xml:space="preserve">31212320</t>
  </si>
  <si>
    <t xml:space="preserve">قاب کلید سلکتوری دستی یکطرفه</t>
  </si>
  <si>
    <t xml:space="preserve">31212321</t>
  </si>
  <si>
    <r>
      <rPr>
        <sz val="10"/>
        <rFont val="FreeSans"/>
        <family val="2"/>
      </rPr>
      <t xml:space="preserve">قاب فن تابلویی  </t>
    </r>
    <r>
      <rPr>
        <sz val="10"/>
        <rFont val="Vazirmatn"/>
        <family val="0"/>
        <charset val="1"/>
      </rPr>
      <t xml:space="preserve">22Cm*22Cm</t>
    </r>
  </si>
  <si>
    <t xml:space="preserve">31212322</t>
  </si>
  <si>
    <r>
      <rPr>
        <sz val="10"/>
        <rFont val="FreeSans"/>
        <family val="2"/>
      </rPr>
      <t xml:space="preserve">کادر و پایه تک ماژول ترانکینگ سوپیتا </t>
    </r>
    <r>
      <rPr>
        <sz val="10"/>
        <rFont val="Vazirmatn"/>
        <family val="0"/>
        <charset val="1"/>
      </rPr>
      <t xml:space="preserve">100*50</t>
    </r>
  </si>
  <si>
    <t xml:space="preserve">31212324</t>
  </si>
  <si>
    <r>
      <rPr>
        <sz val="10"/>
        <rFont val="FreeSans"/>
        <family val="2"/>
      </rPr>
      <t xml:space="preserve">کلید دو پل داخل ترانکینگ لگراند </t>
    </r>
    <r>
      <rPr>
        <sz val="10"/>
        <rFont val="Vazirmatn"/>
        <family val="0"/>
        <charset val="1"/>
      </rPr>
      <t xml:space="preserve">85*50</t>
    </r>
  </si>
  <si>
    <t xml:space="preserve">31212326</t>
  </si>
  <si>
    <t xml:space="preserve">کلید امر جنسی قارچی</t>
  </si>
  <si>
    <t xml:space="preserve">31212327</t>
  </si>
  <si>
    <r>
      <rPr>
        <sz val="10"/>
        <rFont val="FreeSans"/>
        <family val="2"/>
      </rPr>
      <t xml:space="preserve">کلید حرارتی     </t>
    </r>
    <r>
      <rPr>
        <sz val="10"/>
        <rFont val="Vazirmatn"/>
        <family val="0"/>
        <charset val="1"/>
      </rPr>
      <t xml:space="preserve">0/5 - 0/3 </t>
    </r>
    <r>
      <rPr>
        <sz val="10"/>
        <rFont val="FreeSans"/>
        <family val="2"/>
      </rPr>
      <t xml:space="preserve">آمپر</t>
    </r>
  </si>
  <si>
    <t xml:space="preserve">31212328</t>
  </si>
  <si>
    <r>
      <rPr>
        <sz val="10"/>
        <rFont val="FreeSans"/>
        <family val="2"/>
      </rPr>
      <t xml:space="preserve">کلید حرارتی    </t>
    </r>
    <r>
      <rPr>
        <sz val="10"/>
        <rFont val="Vazirmatn"/>
        <family val="0"/>
        <charset val="1"/>
      </rPr>
      <t xml:space="preserve">0/37KW</t>
    </r>
  </si>
  <si>
    <t xml:space="preserve">31212331</t>
  </si>
  <si>
    <t xml:space="preserve">امرجنسی محافظ دار کوچک</t>
  </si>
  <si>
    <t xml:space="preserve">31212375</t>
  </si>
  <si>
    <r>
      <rPr>
        <sz val="10"/>
        <rFont val="FreeSans"/>
        <family val="2"/>
      </rPr>
      <t xml:space="preserve">کلید حرارتی           </t>
    </r>
    <r>
      <rPr>
        <sz val="10"/>
        <rFont val="Vazirmatn"/>
        <family val="0"/>
        <charset val="1"/>
      </rPr>
      <t xml:space="preserve">22 </t>
    </r>
    <r>
      <rPr>
        <sz val="10"/>
        <rFont val="FreeSans"/>
        <family val="2"/>
      </rPr>
      <t xml:space="preserve">کیلو وات</t>
    </r>
  </si>
  <si>
    <t xml:space="preserve">31212381</t>
  </si>
  <si>
    <r>
      <rPr>
        <sz val="10"/>
        <rFont val="FreeSans"/>
        <family val="2"/>
      </rPr>
      <t xml:space="preserve">کلید حرارتی            </t>
    </r>
    <r>
      <rPr>
        <sz val="10"/>
        <rFont val="Vazirmatn"/>
        <family val="0"/>
        <charset val="1"/>
      </rPr>
      <t xml:space="preserve">80-65</t>
    </r>
  </si>
  <si>
    <t xml:space="preserve">31212383</t>
  </si>
  <si>
    <r>
      <rPr>
        <sz val="10"/>
        <rFont val="FreeSans"/>
        <family val="2"/>
      </rPr>
      <t xml:space="preserve">کلید حرارتی             </t>
    </r>
    <r>
      <rPr>
        <sz val="10"/>
        <rFont val="Vazirmatn"/>
        <family val="0"/>
        <charset val="1"/>
      </rPr>
      <t xml:space="preserve">80-63</t>
    </r>
  </si>
  <si>
    <t xml:space="preserve">31212385</t>
  </si>
  <si>
    <r>
      <rPr>
        <sz val="10"/>
        <rFont val="FreeSans"/>
        <family val="2"/>
      </rPr>
      <t xml:space="preserve">کلید حرارتی                 </t>
    </r>
    <r>
      <rPr>
        <sz val="10"/>
        <rFont val="Vazirmatn"/>
        <family val="0"/>
        <charset val="1"/>
      </rPr>
      <t xml:space="preserve">6-4 </t>
    </r>
    <r>
      <rPr>
        <sz val="10"/>
        <rFont val="FreeSans"/>
        <family val="2"/>
      </rPr>
      <t xml:space="preserve">آمپر</t>
    </r>
  </si>
  <si>
    <t xml:space="preserve">31212393</t>
  </si>
  <si>
    <r>
      <rPr>
        <sz val="10"/>
        <rFont val="FreeSans"/>
        <family val="2"/>
      </rPr>
      <t xml:space="preserve">کلید حرارتی زیمنس </t>
    </r>
    <r>
      <rPr>
        <sz val="10"/>
        <rFont val="Vazirmatn"/>
        <family val="0"/>
        <charset val="1"/>
      </rPr>
      <t xml:space="preserve">3RV2042-4RB10  37KW</t>
    </r>
  </si>
  <si>
    <t xml:space="preserve">31212403</t>
  </si>
  <si>
    <r>
      <rPr>
        <sz val="10"/>
        <rFont val="FreeSans"/>
        <family val="2"/>
      </rPr>
      <t xml:space="preserve">کلید حرارتی            </t>
    </r>
    <r>
      <rPr>
        <sz val="10"/>
        <rFont val="Vazirmatn"/>
        <family val="0"/>
        <charset val="1"/>
      </rPr>
      <t xml:space="preserve">1/5KW</t>
    </r>
  </si>
  <si>
    <t xml:space="preserve">31212501</t>
  </si>
  <si>
    <r>
      <rPr>
        <sz val="10"/>
        <rFont val="FreeSans"/>
        <family val="2"/>
      </rPr>
      <t xml:space="preserve">کلید حرارتی                </t>
    </r>
    <r>
      <rPr>
        <sz val="10"/>
        <rFont val="Vazirmatn"/>
        <family val="0"/>
        <charset val="1"/>
      </rPr>
      <t xml:space="preserve">8-4 </t>
    </r>
    <r>
      <rPr>
        <sz val="10"/>
        <rFont val="FreeSans"/>
        <family val="2"/>
      </rPr>
      <t xml:space="preserve">آمپر</t>
    </r>
  </si>
  <si>
    <t xml:space="preserve">31212502</t>
  </si>
  <si>
    <r>
      <rPr>
        <sz val="10"/>
        <rFont val="FreeSans"/>
        <family val="2"/>
      </rPr>
      <t xml:space="preserve">کلید حرارتی  </t>
    </r>
    <r>
      <rPr>
        <sz val="10"/>
        <rFont val="Vazirmatn"/>
        <family val="0"/>
        <charset val="1"/>
      </rPr>
      <t xml:space="preserve">0/55KW - 1/1 - 1/6A</t>
    </r>
  </si>
  <si>
    <t xml:space="preserve">31212508</t>
  </si>
  <si>
    <r>
      <rPr>
        <sz val="10"/>
        <rFont val="FreeSans"/>
        <family val="2"/>
      </rPr>
      <t xml:space="preserve">کلید حرارتی  </t>
    </r>
    <r>
      <rPr>
        <sz val="10"/>
        <rFont val="Vazirmatn"/>
        <family val="0"/>
        <charset val="1"/>
      </rPr>
      <t xml:space="preserve">11KW</t>
    </r>
  </si>
  <si>
    <t xml:space="preserve">31212511</t>
  </si>
  <si>
    <r>
      <rPr>
        <sz val="10"/>
        <rFont val="FreeSans"/>
        <family val="2"/>
      </rPr>
      <t xml:space="preserve">کلید حرارتی  </t>
    </r>
    <r>
      <rPr>
        <sz val="10"/>
        <rFont val="Vazirmatn"/>
        <family val="0"/>
        <charset val="1"/>
      </rPr>
      <t xml:space="preserve">11KW 25A</t>
    </r>
  </si>
  <si>
    <t xml:space="preserve">31212513</t>
  </si>
  <si>
    <t xml:space="preserve">کلید آسیاب دوم</t>
  </si>
  <si>
    <t xml:space="preserve">31212514</t>
  </si>
  <si>
    <t xml:space="preserve">کلید آسیاب ایمپکت</t>
  </si>
  <si>
    <t xml:space="preserve">31212515</t>
  </si>
  <si>
    <r>
      <rPr>
        <sz val="10"/>
        <rFont val="FreeSans"/>
        <family val="2"/>
      </rPr>
      <t xml:space="preserve">کلید حرارتی  </t>
    </r>
    <r>
      <rPr>
        <sz val="10"/>
        <rFont val="Vazirmatn"/>
        <family val="0"/>
        <charset val="1"/>
      </rPr>
      <t xml:space="preserve">0/75KW</t>
    </r>
  </si>
  <si>
    <t xml:space="preserve">31212516</t>
  </si>
  <si>
    <r>
      <rPr>
        <sz val="10"/>
        <rFont val="FreeSans"/>
        <family val="2"/>
      </rPr>
      <t xml:space="preserve">کلید حرارتی  </t>
    </r>
    <r>
      <rPr>
        <sz val="10"/>
        <rFont val="Vazirmatn"/>
        <family val="0"/>
        <charset val="1"/>
      </rPr>
      <t xml:space="preserve">16 - 10 </t>
    </r>
    <r>
      <rPr>
        <sz val="10"/>
        <rFont val="FreeSans"/>
        <family val="2"/>
      </rPr>
      <t xml:space="preserve">آمپر</t>
    </r>
  </si>
  <si>
    <t xml:space="preserve">31212517</t>
  </si>
  <si>
    <r>
      <rPr>
        <sz val="10"/>
        <rFont val="FreeSans"/>
        <family val="2"/>
      </rPr>
      <t xml:space="preserve">کلید حرارتی  </t>
    </r>
    <r>
      <rPr>
        <sz val="10"/>
        <rFont val="Vazirmatn"/>
        <family val="0"/>
        <charset val="1"/>
      </rPr>
      <t xml:space="preserve">4 - 28 </t>
    </r>
    <r>
      <rPr>
        <sz val="10"/>
        <rFont val="FreeSans"/>
        <family val="2"/>
      </rPr>
      <t xml:space="preserve">آمپر</t>
    </r>
  </si>
  <si>
    <t xml:space="preserve">31212518</t>
  </si>
  <si>
    <r>
      <rPr>
        <sz val="10"/>
        <rFont val="FreeSans"/>
        <family val="2"/>
      </rPr>
      <t xml:space="preserve">کلید جرثقیل اشنایدر </t>
    </r>
    <r>
      <rPr>
        <sz val="10"/>
        <rFont val="Vazirmatn"/>
        <family val="0"/>
        <charset val="1"/>
      </rPr>
      <t xml:space="preserve">XACA 471</t>
    </r>
  </si>
  <si>
    <t xml:space="preserve">31212519</t>
  </si>
  <si>
    <r>
      <rPr>
        <sz val="10"/>
        <rFont val="FreeSans"/>
        <family val="2"/>
      </rPr>
      <t xml:space="preserve">کلید دسیکانکتور  </t>
    </r>
    <r>
      <rPr>
        <sz val="10"/>
        <rFont val="Vazirmatn"/>
        <family val="0"/>
        <charset val="1"/>
      </rPr>
      <t xml:space="preserve">20000V</t>
    </r>
  </si>
  <si>
    <t xml:space="preserve">31212520</t>
  </si>
  <si>
    <r>
      <rPr>
        <sz val="10"/>
        <rFont val="FreeSans"/>
        <family val="2"/>
      </rPr>
      <t xml:space="preserve">کلید حرارتی زیمنس </t>
    </r>
    <r>
      <rPr>
        <sz val="10"/>
        <rFont val="Vazirmatn"/>
        <family val="0"/>
        <charset val="1"/>
      </rPr>
      <t xml:space="preserve">0/55KW</t>
    </r>
  </si>
  <si>
    <t xml:space="preserve">31212521</t>
  </si>
  <si>
    <r>
      <rPr>
        <sz val="10"/>
        <rFont val="FreeSans"/>
        <family val="2"/>
      </rPr>
      <t xml:space="preserve">کلید حرارتی زیمنس </t>
    </r>
    <r>
      <rPr>
        <sz val="10"/>
        <rFont val="Vazirmatn"/>
        <family val="0"/>
        <charset val="1"/>
      </rPr>
      <t xml:space="preserve">1/1KW</t>
    </r>
  </si>
  <si>
    <t xml:space="preserve">31212522</t>
  </si>
  <si>
    <r>
      <rPr>
        <sz val="10"/>
        <rFont val="FreeSans"/>
        <family val="2"/>
      </rPr>
      <t xml:space="preserve">کلید حرارتی زیمنس </t>
    </r>
    <r>
      <rPr>
        <sz val="10"/>
        <rFont val="Vazirmatn"/>
        <family val="0"/>
        <charset val="1"/>
      </rPr>
      <t xml:space="preserve">1/5KW</t>
    </r>
  </si>
  <si>
    <t xml:space="preserve">31212526</t>
  </si>
  <si>
    <r>
      <rPr>
        <sz val="10"/>
        <rFont val="FreeSans"/>
        <family val="2"/>
      </rPr>
      <t xml:space="preserve">کلید محافظ جان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</t>
    </r>
    <r>
      <rPr>
        <sz val="10"/>
        <rFont val="Vazirmatn"/>
        <family val="0"/>
        <charset val="1"/>
      </rPr>
      <t xml:space="preserve">32A</t>
    </r>
  </si>
  <si>
    <t xml:space="preserve">31212527</t>
  </si>
  <si>
    <r>
      <rPr>
        <sz val="10"/>
        <rFont val="FreeSans"/>
        <family val="2"/>
      </rPr>
      <t xml:space="preserve">کلید محافظ جان تکفاز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پل </t>
    </r>
    <r>
      <rPr>
        <sz val="10"/>
        <rFont val="Vazirmatn"/>
        <family val="0"/>
        <charset val="1"/>
      </rPr>
      <t xml:space="preserve">50A</t>
    </r>
  </si>
  <si>
    <t xml:space="preserve">31212529</t>
  </si>
  <si>
    <r>
      <rPr>
        <sz val="10"/>
        <rFont val="FreeSans"/>
        <family val="2"/>
      </rPr>
      <t xml:space="preserve">کلید محافظ جان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ترکیبی </t>
    </r>
    <r>
      <rPr>
        <sz val="10"/>
        <rFont val="Vazirmatn"/>
        <family val="0"/>
        <charset val="1"/>
      </rPr>
      <t xml:space="preserve">50A</t>
    </r>
  </si>
  <si>
    <t xml:space="preserve">31212699</t>
  </si>
  <si>
    <r>
      <rPr>
        <sz val="10"/>
        <rFont val="FreeSans"/>
        <family val="2"/>
      </rPr>
      <t xml:space="preserve">فیوز مینیاتوری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              </t>
    </r>
    <r>
      <rPr>
        <sz val="10"/>
        <rFont val="Vazirmatn"/>
        <family val="0"/>
        <charset val="1"/>
      </rPr>
      <t xml:space="preserve">32  </t>
    </r>
    <r>
      <rPr>
        <sz val="10"/>
        <rFont val="FreeSans"/>
        <family val="2"/>
      </rPr>
      <t xml:space="preserve">آمپر</t>
    </r>
  </si>
  <si>
    <t xml:space="preserve">31212700</t>
  </si>
  <si>
    <r>
      <rPr>
        <sz val="10"/>
        <rFont val="FreeSans"/>
        <family val="2"/>
      </rPr>
      <t xml:space="preserve">کلید  مینیاتوری   تک فاز          </t>
    </r>
    <r>
      <rPr>
        <sz val="10"/>
        <rFont val="Vazirmatn"/>
        <family val="0"/>
        <charset val="1"/>
      </rPr>
      <t xml:space="preserve">1  </t>
    </r>
    <r>
      <rPr>
        <sz val="10"/>
        <rFont val="FreeSans"/>
        <family val="2"/>
      </rPr>
      <t xml:space="preserve">آمپر</t>
    </r>
  </si>
  <si>
    <t xml:space="preserve">31212701</t>
  </si>
  <si>
    <r>
      <rPr>
        <sz val="10"/>
        <rFont val="FreeSans"/>
        <family val="2"/>
      </rPr>
      <t xml:space="preserve">فیوز مینیاتوری </t>
    </r>
    <r>
      <rPr>
        <sz val="10"/>
        <rFont val="Vazirmatn"/>
        <family val="0"/>
        <charset val="1"/>
      </rPr>
      <t xml:space="preserve">2</t>
    </r>
    <r>
      <rPr>
        <sz val="10"/>
        <rFont val="FreeSans"/>
        <family val="2"/>
      </rPr>
      <t xml:space="preserve">فاز                 </t>
    </r>
    <r>
      <rPr>
        <sz val="10"/>
        <rFont val="Vazirmatn"/>
        <family val="0"/>
        <charset val="1"/>
      </rPr>
      <t xml:space="preserve">10  </t>
    </r>
    <r>
      <rPr>
        <sz val="10"/>
        <rFont val="FreeSans"/>
        <family val="2"/>
      </rPr>
      <t xml:space="preserve">آمپر</t>
    </r>
  </si>
  <si>
    <t xml:space="preserve">31212702</t>
  </si>
  <si>
    <r>
      <rPr>
        <sz val="10"/>
        <rFont val="FreeSans"/>
        <family val="2"/>
      </rPr>
      <t xml:space="preserve">فیوز مینیاتوری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 </t>
    </r>
    <r>
      <rPr>
        <sz val="10"/>
        <rFont val="Vazirmatn"/>
        <family val="0"/>
        <charset val="1"/>
      </rPr>
      <t xml:space="preserve">10  </t>
    </r>
    <r>
      <rPr>
        <sz val="10"/>
        <rFont val="FreeSans"/>
        <family val="2"/>
      </rPr>
      <t xml:space="preserve">آمپر</t>
    </r>
  </si>
  <si>
    <t xml:space="preserve">31212703</t>
  </si>
  <si>
    <r>
      <rPr>
        <sz val="10"/>
        <rFont val="FreeSans"/>
        <family val="2"/>
      </rPr>
      <t xml:space="preserve">فیوز مینیاتوری  تک فاز            </t>
    </r>
    <r>
      <rPr>
        <sz val="10"/>
        <rFont val="Vazirmatn"/>
        <family val="0"/>
        <charset val="1"/>
      </rPr>
      <t xml:space="preserve">4  </t>
    </r>
    <r>
      <rPr>
        <sz val="10"/>
        <rFont val="FreeSans"/>
        <family val="2"/>
      </rPr>
      <t xml:space="preserve">آمپر</t>
    </r>
  </si>
  <si>
    <t xml:space="preserve">31212710</t>
  </si>
  <si>
    <r>
      <rPr>
        <sz val="10"/>
        <rFont val="FreeSans"/>
        <family val="2"/>
      </rPr>
      <t xml:space="preserve">فیوز مینیاتوری  تک فاز       </t>
    </r>
    <r>
      <rPr>
        <sz val="10"/>
        <rFont val="Vazirmatn"/>
        <family val="0"/>
        <charset val="1"/>
      </rPr>
      <t xml:space="preserve">25   </t>
    </r>
    <r>
      <rPr>
        <sz val="10"/>
        <rFont val="FreeSans"/>
        <family val="2"/>
      </rPr>
      <t xml:space="preserve">آمپر</t>
    </r>
  </si>
  <si>
    <t xml:space="preserve">31212711</t>
  </si>
  <si>
    <r>
      <rPr>
        <sz val="10"/>
        <rFont val="FreeSans"/>
        <family val="2"/>
      </rPr>
      <t xml:space="preserve">فیوز مینیاتوری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فاز             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آمپر</t>
    </r>
  </si>
  <si>
    <t xml:space="preserve">31212712</t>
  </si>
  <si>
    <r>
      <rPr>
        <sz val="10"/>
        <rFont val="FreeSans"/>
        <family val="2"/>
      </rPr>
      <t xml:space="preserve">فیوز مینیاتوری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فاز               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آمپر</t>
    </r>
  </si>
  <si>
    <t xml:space="preserve">31212713</t>
  </si>
  <si>
    <r>
      <rPr>
        <sz val="10"/>
        <rFont val="FreeSans"/>
        <family val="2"/>
      </rPr>
      <t xml:space="preserve">فیوز مینیاتوری تک فاز              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آمپر</t>
    </r>
  </si>
  <si>
    <t xml:space="preserve">31212717</t>
  </si>
  <si>
    <r>
      <rPr>
        <sz val="10"/>
        <rFont val="FreeSans"/>
        <family val="2"/>
      </rPr>
      <t xml:space="preserve">کلید  اتوماتیک                        </t>
    </r>
    <r>
      <rPr>
        <sz val="10"/>
        <rFont val="Vazirmatn"/>
        <family val="0"/>
        <charset val="1"/>
      </rPr>
      <t xml:space="preserve">63  </t>
    </r>
    <r>
      <rPr>
        <sz val="10"/>
        <rFont val="FreeSans"/>
        <family val="2"/>
      </rPr>
      <t xml:space="preserve">آمپر</t>
    </r>
  </si>
  <si>
    <t xml:space="preserve">31212718</t>
  </si>
  <si>
    <r>
      <rPr>
        <sz val="10"/>
        <rFont val="FreeSans"/>
        <family val="2"/>
      </rPr>
      <t xml:space="preserve">فیوز مینیاتوری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آمپر</t>
    </r>
  </si>
  <si>
    <t xml:space="preserve">31212760</t>
  </si>
  <si>
    <r>
      <rPr>
        <sz val="10"/>
        <rFont val="FreeSans"/>
        <family val="2"/>
      </rPr>
      <t xml:space="preserve">کلید اتوماتیک                        </t>
    </r>
    <r>
      <rPr>
        <sz val="10"/>
        <rFont val="Vazirmatn"/>
        <family val="0"/>
        <charset val="1"/>
      </rPr>
      <t xml:space="preserve">80  </t>
    </r>
    <r>
      <rPr>
        <sz val="10"/>
        <rFont val="FreeSans"/>
        <family val="2"/>
      </rPr>
      <t xml:space="preserve">آمپر</t>
    </r>
  </si>
  <si>
    <t xml:space="preserve">31212801</t>
  </si>
  <si>
    <r>
      <rPr>
        <sz val="10"/>
        <rFont val="FreeSans"/>
        <family val="2"/>
      </rPr>
      <t xml:space="preserve">میکروسوئیچ    دمپر هوا     </t>
    </r>
    <r>
      <rPr>
        <sz val="10"/>
        <rFont val="Vazirmatn"/>
        <family val="0"/>
        <charset val="1"/>
      </rPr>
      <t xml:space="preserve">220V</t>
    </r>
  </si>
  <si>
    <t xml:space="preserve">31212808</t>
  </si>
  <si>
    <r>
      <rPr>
        <sz val="10"/>
        <rFont val="FreeSans"/>
        <family val="2"/>
      </rPr>
      <t xml:space="preserve">میکروسوئیچ درب تابلو    </t>
    </r>
    <r>
      <rPr>
        <sz val="10"/>
        <rFont val="Vazirmatn"/>
        <family val="0"/>
        <charset val="1"/>
      </rPr>
      <t xml:space="preserve">16A</t>
    </r>
  </si>
  <si>
    <t xml:space="preserve">31212813</t>
  </si>
  <si>
    <r>
      <rPr>
        <sz val="10"/>
        <rFont val="FreeSans"/>
        <family val="2"/>
      </rPr>
      <t xml:space="preserve">سوئیچ خازنی میله ای    </t>
    </r>
    <r>
      <rPr>
        <sz val="10"/>
        <rFont val="Vazirmatn"/>
        <family val="0"/>
        <charset val="1"/>
      </rPr>
      <t xml:space="preserve">CLS-IR      15-30VDC    </t>
    </r>
    <r>
      <rPr>
        <sz val="10"/>
        <rFont val="FreeSans"/>
        <family val="2"/>
      </rPr>
      <t xml:space="preserve">رله ای</t>
    </r>
  </si>
  <si>
    <t xml:space="preserve">31212816</t>
  </si>
  <si>
    <r>
      <rPr>
        <sz val="10"/>
        <rFont val="FreeSans"/>
        <family val="2"/>
      </rPr>
      <t xml:space="preserve">لول سوئیچ عیوض تکنیک </t>
    </r>
    <r>
      <rPr>
        <sz val="10"/>
        <rFont val="Vazirmatn"/>
        <family val="0"/>
        <charset val="1"/>
      </rPr>
      <t xml:space="preserve">( 25 </t>
    </r>
    <r>
      <rPr>
        <sz val="10"/>
        <rFont val="FreeSans"/>
        <family val="2"/>
      </rPr>
      <t xml:space="preserve">درجه سانتی گراد </t>
    </r>
    <r>
      <rPr>
        <sz val="10"/>
        <rFont val="Vazirmatn"/>
        <family val="0"/>
        <charset val="1"/>
      </rPr>
      <t xml:space="preserve">) LS - 14 / PN : 25</t>
    </r>
  </si>
  <si>
    <t xml:space="preserve">31212817</t>
  </si>
  <si>
    <r>
      <rPr>
        <sz val="10"/>
        <rFont val="FreeSans"/>
        <family val="2"/>
      </rPr>
      <t xml:space="preserve">لول سوئیچ مایعات  </t>
    </r>
    <r>
      <rPr>
        <sz val="10"/>
        <rFont val="Vazirmatn"/>
        <family val="0"/>
        <charset val="1"/>
      </rPr>
      <t xml:space="preserve">EYVAZ - LS04</t>
    </r>
  </si>
  <si>
    <t xml:space="preserve">31212818</t>
  </si>
  <si>
    <t xml:space="preserve">لول سوئیچ اواپراتور</t>
  </si>
  <si>
    <t xml:space="preserve">31212819</t>
  </si>
  <si>
    <r>
      <rPr>
        <sz val="10"/>
        <rFont val="FreeSans"/>
        <family val="2"/>
      </rPr>
      <t xml:space="preserve">لول سوئیچ عیوض  </t>
    </r>
    <r>
      <rPr>
        <sz val="10"/>
        <rFont val="Vazirmatn"/>
        <family val="0"/>
        <charset val="1"/>
      </rPr>
      <t xml:space="preserve">MS-15</t>
    </r>
  </si>
  <si>
    <t xml:space="preserve">31212821</t>
  </si>
  <si>
    <r>
      <rPr>
        <sz val="10"/>
        <rFont val="FreeSans"/>
        <family val="2"/>
      </rPr>
      <t xml:space="preserve">لول سنج راداری    </t>
    </r>
    <r>
      <rPr>
        <sz val="10"/>
        <rFont val="Vazirmatn"/>
        <family val="0"/>
        <charset val="1"/>
      </rPr>
      <t xml:space="preserve">"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   ( FMR )</t>
    </r>
  </si>
  <si>
    <t xml:space="preserve">31212824</t>
  </si>
  <si>
    <r>
      <rPr>
        <sz val="10"/>
        <rFont val="FreeSans"/>
        <family val="2"/>
      </rPr>
      <t xml:space="preserve">لول سوئیچ دکانتور  </t>
    </r>
    <r>
      <rPr>
        <sz val="10"/>
        <rFont val="Vazirmatn"/>
        <family val="0"/>
        <charset val="1"/>
      </rPr>
      <t xml:space="preserve">000 - 0868 - 0005</t>
    </r>
  </si>
  <si>
    <t xml:space="preserve">31212827</t>
  </si>
  <si>
    <r>
      <rPr>
        <sz val="10"/>
        <rFont val="FreeSans"/>
        <family val="2"/>
      </rPr>
      <t xml:space="preserve">کیت ته بند </t>
    </r>
    <r>
      <rPr>
        <sz val="10"/>
        <rFont val="Vazirmatn"/>
        <family val="0"/>
        <charset val="1"/>
      </rPr>
      <t xml:space="preserve">End Seal  </t>
    </r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Heat trace</t>
    </r>
  </si>
  <si>
    <t xml:space="preserve">31212828</t>
  </si>
  <si>
    <r>
      <rPr>
        <sz val="10"/>
        <rFont val="FreeSans"/>
        <family val="2"/>
      </rPr>
      <t xml:space="preserve">کیت ورودی </t>
    </r>
    <r>
      <rPr>
        <sz val="10"/>
        <rFont val="Vazirmatn"/>
        <family val="0"/>
        <charset val="1"/>
      </rPr>
      <t xml:space="preserve">Entry Kit  </t>
    </r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Heat trace</t>
    </r>
  </si>
  <si>
    <t xml:space="preserve">31212829</t>
  </si>
  <si>
    <r>
      <rPr>
        <sz val="10"/>
        <rFont val="FreeSans"/>
        <family val="2"/>
      </rPr>
      <t xml:space="preserve">کیت موتور اطلس  </t>
    </r>
    <r>
      <rPr>
        <sz val="10"/>
        <rFont val="Vazirmatn"/>
        <family val="0"/>
        <charset val="1"/>
      </rPr>
      <t xml:space="preserve">ZT</t>
    </r>
  </si>
  <si>
    <t xml:space="preserve">31212830</t>
  </si>
  <si>
    <r>
      <rPr>
        <sz val="10"/>
        <rFont val="FreeSans"/>
        <family val="2"/>
      </rPr>
      <t xml:space="preserve">کیت آنلودر اطلس  </t>
    </r>
    <r>
      <rPr>
        <sz val="10"/>
        <rFont val="Vazirmatn"/>
        <family val="0"/>
        <charset val="1"/>
      </rPr>
      <t xml:space="preserve">ZT</t>
    </r>
  </si>
  <si>
    <t xml:space="preserve">31212833</t>
  </si>
  <si>
    <r>
      <rPr>
        <sz val="10"/>
        <rFont val="FreeSans"/>
        <family val="2"/>
      </rPr>
      <t xml:space="preserve">کیت </t>
    </r>
    <r>
      <rPr>
        <sz val="10"/>
        <rFont val="Vazirmatn"/>
        <family val="0"/>
        <charset val="1"/>
      </rPr>
      <t xml:space="preserve">Kit  meas.amplifier</t>
    </r>
  </si>
  <si>
    <t xml:space="preserve">31212835</t>
  </si>
  <si>
    <r>
      <rPr>
        <sz val="10"/>
        <rFont val="FreeSans"/>
        <family val="2"/>
      </rPr>
      <t xml:space="preserve">کیت </t>
    </r>
    <r>
      <rPr>
        <sz val="10"/>
        <rFont val="Vazirmatn"/>
        <family val="0"/>
        <charset val="1"/>
      </rPr>
      <t xml:space="preserve">Kit P.S.B</t>
    </r>
  </si>
  <si>
    <t xml:space="preserve">31212841</t>
  </si>
  <si>
    <r>
      <rPr>
        <sz val="10"/>
        <rFont val="FreeSans"/>
        <family val="2"/>
      </rPr>
      <t xml:space="preserve">سوئیچ تعیین سطح</t>
    </r>
    <r>
      <rPr>
        <sz val="10"/>
        <rFont val="Vazirmatn"/>
        <family val="0"/>
        <charset val="1"/>
      </rPr>
      <t xml:space="preserve">O.C : FTL50-17M9/0</t>
    </r>
  </si>
  <si>
    <t xml:space="preserve">31212842</t>
  </si>
  <si>
    <r>
      <rPr>
        <sz val="10"/>
        <rFont val="FreeSans"/>
        <family val="2"/>
      </rPr>
      <t xml:space="preserve">سوئیچ  تعیین سطح</t>
    </r>
    <r>
      <rPr>
        <sz val="10"/>
        <rFont val="Vazirmatn"/>
        <family val="0"/>
        <charset val="1"/>
      </rPr>
      <t xml:space="preserve">O.C : FTL20-0126</t>
    </r>
  </si>
  <si>
    <t xml:space="preserve">31212843</t>
  </si>
  <si>
    <r>
      <rPr>
        <sz val="10"/>
        <rFont val="FreeSans"/>
        <family val="2"/>
      </rPr>
      <t xml:space="preserve">سوئیچ  تعیین  سطح  </t>
    </r>
    <r>
      <rPr>
        <sz val="10"/>
        <rFont val="Vazirmatn"/>
        <family val="0"/>
        <charset val="1"/>
      </rPr>
      <t xml:space="preserve">O.C : FTC260-AA2D1</t>
    </r>
  </si>
  <si>
    <t xml:space="preserve">31212844</t>
  </si>
  <si>
    <r>
      <rPr>
        <sz val="10"/>
        <rFont val="FreeSans"/>
        <family val="2"/>
      </rPr>
      <t xml:space="preserve">سوئیچ  صنعتی</t>
    </r>
    <r>
      <rPr>
        <sz val="10"/>
        <rFont val="Vazirmatn"/>
        <family val="0"/>
        <charset val="1"/>
      </rPr>
      <t xml:space="preserve">6GK5212-2BB00-2AA3</t>
    </r>
  </si>
  <si>
    <t xml:space="preserve">31212846</t>
  </si>
  <si>
    <r>
      <rPr>
        <sz val="10"/>
        <rFont val="FreeSans"/>
        <family val="2"/>
      </rPr>
      <t xml:space="preserve">کیت مفصل ریکم آلومینیومی </t>
    </r>
    <r>
      <rPr>
        <sz val="10"/>
        <rFont val="Vazirmatn"/>
        <family val="0"/>
        <charset val="1"/>
      </rPr>
      <t xml:space="preserve">95 + 185 * 3</t>
    </r>
  </si>
  <si>
    <t xml:space="preserve">31212847</t>
  </si>
  <si>
    <r>
      <rPr>
        <sz val="10"/>
        <rFont val="FreeSans"/>
        <family val="2"/>
      </rPr>
      <t xml:space="preserve">لول سوییچ مینیاتوری تمام استیل </t>
    </r>
    <r>
      <rPr>
        <sz val="10"/>
        <rFont val="Vazirmatn"/>
        <family val="0"/>
        <charset val="1"/>
      </rPr>
      <t xml:space="preserve">304 ( S12-S ) </t>
    </r>
    <r>
      <rPr>
        <sz val="10"/>
        <rFont val="FreeSans"/>
        <family val="2"/>
      </rPr>
      <t xml:space="preserve">فشار کاری </t>
    </r>
    <r>
      <rPr>
        <sz val="10"/>
        <rFont val="Vazirmatn"/>
        <family val="0"/>
        <charset val="1"/>
      </rPr>
      <t xml:space="preserve">PN 16</t>
    </r>
  </si>
  <si>
    <t xml:space="preserve">31212848</t>
  </si>
  <si>
    <t xml:space="preserve">کیت نگهدارنده لودسل</t>
  </si>
  <si>
    <t xml:space="preserve">31212850</t>
  </si>
  <si>
    <t xml:space="preserve">حسگر سطح مخزن</t>
  </si>
  <si>
    <t xml:space="preserve">31212851</t>
  </si>
  <si>
    <r>
      <rPr>
        <sz val="10"/>
        <rFont val="FreeSans"/>
        <family val="2"/>
      </rPr>
      <t xml:space="preserve">سوئچ     ایربک      </t>
    </r>
    <r>
      <rPr>
        <sz val="10"/>
        <rFont val="Vazirmatn"/>
        <family val="0"/>
        <charset val="1"/>
      </rPr>
      <t xml:space="preserve">8.0 MAX</t>
    </r>
  </si>
  <si>
    <t xml:space="preserve">31212853</t>
  </si>
  <si>
    <r>
      <rPr>
        <sz val="10"/>
        <rFont val="FreeSans"/>
        <family val="2"/>
      </rPr>
      <t xml:space="preserve">پتانسیومتر دیجیتال اندا </t>
    </r>
    <r>
      <rPr>
        <sz val="10"/>
        <rFont val="Vazirmatn"/>
        <family val="0"/>
        <charset val="1"/>
      </rPr>
      <t xml:space="preserve">EDP 2041 - RS</t>
    </r>
  </si>
  <si>
    <t xml:space="preserve">31212854</t>
  </si>
  <si>
    <r>
      <rPr>
        <sz val="10"/>
        <rFont val="FreeSans"/>
        <family val="2"/>
      </rPr>
      <t xml:space="preserve">سوئیچ ایزولاتور  </t>
    </r>
    <r>
      <rPr>
        <sz val="10"/>
        <rFont val="Vazirmatn"/>
        <family val="0"/>
        <charset val="1"/>
      </rPr>
      <t xml:space="preserve">010 - 4509 - 0005</t>
    </r>
  </si>
  <si>
    <t xml:space="preserve">31212856</t>
  </si>
  <si>
    <t xml:space="preserve">سوئیچ مغناطیسی عیوض</t>
  </si>
  <si>
    <t xml:space="preserve">31212860</t>
  </si>
  <si>
    <r>
      <rPr>
        <sz val="10"/>
        <rFont val="FreeSans"/>
        <family val="2"/>
      </rPr>
      <t xml:space="preserve">پرشر هوا دانفوس </t>
    </r>
    <r>
      <rPr>
        <sz val="10"/>
        <rFont val="Vazirmatn"/>
        <family val="0"/>
        <charset val="1"/>
      </rPr>
      <t xml:space="preserve">Diff 0/7 - 3/5 bar /  0-7/5 bar</t>
    </r>
  </si>
  <si>
    <t xml:space="preserve">31212864</t>
  </si>
  <si>
    <r>
      <rPr>
        <sz val="10"/>
        <rFont val="FreeSans"/>
        <family val="2"/>
      </rPr>
      <t xml:space="preserve">پرشرترنسمیتر    </t>
    </r>
    <r>
      <rPr>
        <sz val="10"/>
        <rFont val="Vazirmatn"/>
        <family val="0"/>
        <charset val="1"/>
      </rPr>
      <t xml:space="preserve">s -11  wika   0-600 M  BAR</t>
    </r>
  </si>
  <si>
    <t xml:space="preserve">31212865</t>
  </si>
  <si>
    <r>
      <rPr>
        <sz val="10"/>
        <rFont val="FreeSans"/>
        <family val="2"/>
      </rPr>
      <t xml:space="preserve">ترنسمیتر   </t>
    </r>
    <r>
      <rPr>
        <sz val="10"/>
        <rFont val="Vazirmatn"/>
        <family val="0"/>
        <charset val="1"/>
      </rPr>
      <t xml:space="preserve">0-600 bar</t>
    </r>
  </si>
  <si>
    <t xml:space="preserve">31212868</t>
  </si>
  <si>
    <r>
      <rPr>
        <sz val="10"/>
        <rFont val="FreeSans"/>
        <family val="2"/>
      </rPr>
      <t xml:space="preserve">سوئیچ ایزولاتور  </t>
    </r>
    <r>
      <rPr>
        <sz val="10"/>
        <rFont val="Vazirmatn"/>
        <family val="0"/>
        <charset val="1"/>
      </rPr>
      <t xml:space="preserve">MK1 - 2RP / 24V DC</t>
    </r>
  </si>
  <si>
    <t xml:space="preserve">31212877</t>
  </si>
  <si>
    <r>
      <rPr>
        <sz val="10"/>
        <rFont val="FreeSans"/>
        <family val="2"/>
      </rPr>
      <t xml:space="preserve">پرشر سوئیچ هوا      </t>
    </r>
    <r>
      <rPr>
        <sz val="10"/>
        <rFont val="Vazirmatn"/>
        <family val="0"/>
        <charset val="1"/>
      </rPr>
      <t xml:space="preserve">150 - 5  </t>
    </r>
    <r>
      <rPr>
        <sz val="10"/>
        <rFont val="FreeSans"/>
        <family val="2"/>
      </rPr>
      <t xml:space="preserve">بار</t>
    </r>
  </si>
  <si>
    <t xml:space="preserve">31212879</t>
  </si>
  <si>
    <t xml:space="preserve">میکروسوئیچ  غلطکی</t>
  </si>
  <si>
    <t xml:space="preserve">31212883</t>
  </si>
  <si>
    <r>
      <rPr>
        <sz val="10"/>
        <rFont val="FreeSans"/>
        <family val="2"/>
      </rPr>
      <t xml:space="preserve">پرشرهوا                     </t>
    </r>
    <r>
      <rPr>
        <sz val="10"/>
        <rFont val="Vazirmatn"/>
        <family val="0"/>
        <charset val="1"/>
      </rPr>
      <t xml:space="preserve">0.4-3bar</t>
    </r>
  </si>
  <si>
    <t xml:space="preserve">31212887</t>
  </si>
  <si>
    <r>
      <rPr>
        <sz val="10"/>
        <rFont val="FreeSans"/>
        <family val="2"/>
      </rPr>
      <t xml:space="preserve">پرشرهوا                             </t>
    </r>
    <r>
      <rPr>
        <sz val="10"/>
        <rFont val="Vazirmatn"/>
        <family val="0"/>
        <charset val="1"/>
      </rPr>
      <t xml:space="preserve">500-0</t>
    </r>
    <r>
      <rPr>
        <sz val="10"/>
        <rFont val="FreeSans"/>
        <family val="2"/>
      </rPr>
      <t xml:space="preserve">بار</t>
    </r>
  </si>
  <si>
    <t xml:space="preserve">31212888</t>
  </si>
  <si>
    <r>
      <rPr>
        <sz val="10"/>
        <rFont val="FreeSans"/>
        <family val="2"/>
      </rPr>
      <t xml:space="preserve">پرشر سوئیچ گاز </t>
    </r>
    <r>
      <rPr>
        <sz val="10"/>
        <rFont val="Vazirmatn"/>
        <family val="0"/>
        <charset val="1"/>
      </rPr>
      <t xml:space="preserve">( 150 - 2/5 </t>
    </r>
    <r>
      <rPr>
        <sz val="10"/>
        <rFont val="FreeSans"/>
        <family val="2"/>
      </rPr>
      <t xml:space="preserve">میلی بار </t>
    </r>
    <r>
      <rPr>
        <sz val="10"/>
        <rFont val="Vazirmatn"/>
        <family val="0"/>
        <charset val="1"/>
      </rPr>
      <t xml:space="preserve">)</t>
    </r>
  </si>
  <si>
    <t xml:space="preserve">31212890</t>
  </si>
  <si>
    <t xml:space="preserve">پرشر سوئیچ بخار ریست دستی</t>
  </si>
  <si>
    <t xml:space="preserve">31212893</t>
  </si>
  <si>
    <r>
      <rPr>
        <sz val="10"/>
        <rFont val="FreeSans"/>
        <family val="2"/>
      </rPr>
      <t xml:space="preserve">فلومتر اندرس  </t>
    </r>
    <r>
      <rPr>
        <sz val="10"/>
        <rFont val="Vazirmatn"/>
        <family val="0"/>
        <charset val="1"/>
      </rPr>
      <t xml:space="preserve">(Promag P )</t>
    </r>
  </si>
  <si>
    <t xml:space="preserve">31212895</t>
  </si>
  <si>
    <r>
      <rPr>
        <sz val="10"/>
        <rFont val="FreeSans"/>
        <family val="2"/>
      </rPr>
      <t xml:space="preserve">فلومترجورج فیشر      </t>
    </r>
    <r>
      <rPr>
        <sz val="10"/>
        <rFont val="Vazirmatn"/>
        <family val="0"/>
        <charset val="1"/>
      </rPr>
      <t xml:space="preserve">" 3        0-60   60</t>
    </r>
    <r>
      <rPr>
        <sz val="10"/>
        <rFont val="FreeSans"/>
        <family val="2"/>
      </rPr>
      <t xml:space="preserve">متر مکعب </t>
    </r>
    <r>
      <rPr>
        <sz val="10"/>
        <rFont val="Vazirmatn"/>
        <family val="0"/>
        <charset val="1"/>
      </rPr>
      <t xml:space="preserve">H20</t>
    </r>
  </si>
  <si>
    <t xml:space="preserve">31212899</t>
  </si>
  <si>
    <r>
      <rPr>
        <sz val="10"/>
        <rFont val="FreeSans"/>
        <family val="2"/>
      </rPr>
      <t xml:space="preserve">پرشر سوئیچ هوشمند  </t>
    </r>
    <r>
      <rPr>
        <sz val="10"/>
        <rFont val="Vazirmatn"/>
        <family val="0"/>
        <charset val="1"/>
      </rPr>
      <t xml:space="preserve">PT 1407 - PF</t>
    </r>
  </si>
  <si>
    <t xml:space="preserve">31212903</t>
  </si>
  <si>
    <t xml:space="preserve">پرشر پتانسیومتر بخار هانی ول اصلی دیگ بخار</t>
  </si>
  <si>
    <t xml:space="preserve">31212904</t>
  </si>
  <si>
    <r>
      <rPr>
        <sz val="10"/>
        <rFont val="FreeSans"/>
        <family val="2"/>
      </rPr>
      <t xml:space="preserve">پرشر بخار </t>
    </r>
    <r>
      <rPr>
        <sz val="10"/>
        <rFont val="Vazirmatn"/>
        <family val="0"/>
        <charset val="1"/>
      </rPr>
      <t xml:space="preserve">ON - OFF </t>
    </r>
    <r>
      <rPr>
        <sz val="10"/>
        <rFont val="FreeSans"/>
        <family val="2"/>
      </rPr>
      <t xml:space="preserve">هانی ول اصلی دیگ بخار</t>
    </r>
  </si>
  <si>
    <t xml:space="preserve">31212907</t>
  </si>
  <si>
    <r>
      <rPr>
        <sz val="10"/>
        <rFont val="FreeSans"/>
        <family val="2"/>
      </rPr>
      <t xml:space="preserve">آژیر خطر الکترونیکی </t>
    </r>
    <r>
      <rPr>
        <sz val="10"/>
        <rFont val="Vazirmatn"/>
        <family val="0"/>
        <charset val="1"/>
      </rPr>
      <t xml:space="preserve">AC     220V</t>
    </r>
  </si>
  <si>
    <t xml:space="preserve">31212910</t>
  </si>
  <si>
    <r>
      <rPr>
        <sz val="10"/>
        <rFont val="FreeSans"/>
        <family val="2"/>
      </rPr>
      <t xml:space="preserve">پرشر سوئیچ روغن هیدرولیک </t>
    </r>
    <r>
      <rPr>
        <sz val="10"/>
        <rFont val="Vazirmatn"/>
        <family val="0"/>
        <charset val="1"/>
      </rPr>
      <t xml:space="preserve">350 - 10 </t>
    </r>
    <r>
      <rPr>
        <sz val="10"/>
        <rFont val="FreeSans"/>
        <family val="2"/>
      </rPr>
      <t xml:space="preserve">بار</t>
    </r>
  </si>
  <si>
    <t xml:space="preserve">31212913</t>
  </si>
  <si>
    <r>
      <rPr>
        <sz val="10"/>
        <rFont val="FreeSans"/>
        <family val="2"/>
      </rPr>
      <t xml:space="preserve">میکروسوئیچ  </t>
    </r>
    <r>
      <rPr>
        <sz val="10"/>
        <rFont val="Vazirmatn"/>
        <family val="0"/>
        <charset val="1"/>
      </rPr>
      <t xml:space="preserve">Z - 15G W22 - B</t>
    </r>
  </si>
  <si>
    <t xml:space="preserve">31212914</t>
  </si>
  <si>
    <r>
      <rPr>
        <sz val="10"/>
        <rFont val="FreeSans"/>
        <family val="2"/>
      </rPr>
      <t xml:space="preserve">آژیر الکترونیکی  </t>
    </r>
    <r>
      <rPr>
        <sz val="10"/>
        <rFont val="Vazirmatn"/>
        <family val="0"/>
        <charset val="1"/>
      </rPr>
      <t xml:space="preserve">110V - DC</t>
    </r>
  </si>
  <si>
    <t xml:space="preserve">31212915</t>
  </si>
  <si>
    <r>
      <rPr>
        <sz val="10"/>
        <rFont val="FreeSans"/>
        <family val="2"/>
      </rPr>
      <t xml:space="preserve">میکروسوئیچ  </t>
    </r>
    <r>
      <rPr>
        <sz val="10"/>
        <rFont val="Vazirmatn"/>
        <family val="0"/>
        <charset val="1"/>
      </rPr>
      <t xml:space="preserve">Lova to   KX - CB - C11</t>
    </r>
  </si>
  <si>
    <t xml:space="preserve">31212916</t>
  </si>
  <si>
    <r>
      <rPr>
        <sz val="10"/>
        <rFont val="FreeSans"/>
        <family val="2"/>
      </rPr>
      <t xml:space="preserve">پرشر ترنسمیتر </t>
    </r>
    <r>
      <rPr>
        <sz val="10"/>
        <rFont val="Vazirmatn"/>
        <family val="0"/>
        <charset val="1"/>
      </rPr>
      <t xml:space="preserve">600-0 </t>
    </r>
    <r>
      <rPr>
        <sz val="10"/>
        <rFont val="FreeSans"/>
        <family val="2"/>
      </rPr>
      <t xml:space="preserve">میلی بار  </t>
    </r>
    <r>
      <rPr>
        <sz val="10"/>
        <rFont val="Vazirmatn"/>
        <family val="0"/>
        <charset val="1"/>
      </rPr>
      <t xml:space="preserve">20-4 </t>
    </r>
    <r>
      <rPr>
        <sz val="10"/>
        <rFont val="FreeSans"/>
        <family val="2"/>
      </rPr>
      <t xml:space="preserve">میلی آمپر  </t>
    </r>
    <r>
      <rPr>
        <sz val="10"/>
        <rFont val="Vazirmatn"/>
        <family val="0"/>
        <charset val="1"/>
      </rPr>
      <t xml:space="preserve">(30-10) VDC</t>
    </r>
  </si>
  <si>
    <t xml:space="preserve">31212918</t>
  </si>
  <si>
    <r>
      <rPr>
        <sz val="10"/>
        <rFont val="FreeSans"/>
        <family val="2"/>
      </rPr>
      <t xml:space="preserve">لیمیت سوئیچ  </t>
    </r>
    <r>
      <rPr>
        <sz val="10"/>
        <rFont val="Vazirmatn"/>
        <family val="0"/>
        <charset val="1"/>
      </rPr>
      <t xml:space="preserve">Lova to   KX - CB - S11</t>
    </r>
  </si>
  <si>
    <t xml:space="preserve">31212919</t>
  </si>
  <si>
    <r>
      <rPr>
        <sz val="10"/>
        <rFont val="FreeSans"/>
        <family val="2"/>
      </rPr>
      <t xml:space="preserve">سوئیچ فشاری </t>
    </r>
    <r>
      <rPr>
        <sz val="10"/>
        <rFont val="Vazirmatn"/>
        <family val="0"/>
        <charset val="1"/>
      </rPr>
      <t xml:space="preserve">S2PR-P1RB Push Button Atonics</t>
    </r>
  </si>
  <si>
    <t xml:space="preserve">31212920</t>
  </si>
  <si>
    <r>
      <rPr>
        <sz val="10"/>
        <rFont val="FreeSans"/>
        <family val="2"/>
      </rPr>
      <t xml:space="preserve">سوئیچ فشاری </t>
    </r>
    <r>
      <rPr>
        <sz val="10"/>
        <rFont val="Vazirmatn"/>
        <family val="0"/>
        <charset val="1"/>
      </rPr>
      <t xml:space="preserve">S2PR-P1GA Push Button Atonics</t>
    </r>
  </si>
  <si>
    <t xml:space="preserve">31212921</t>
  </si>
  <si>
    <r>
      <rPr>
        <sz val="10"/>
        <rFont val="FreeSans"/>
        <family val="2"/>
      </rPr>
      <t xml:space="preserve">لیمیت سوئیچ اشنایدر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اهرمی </t>
    </r>
    <r>
      <rPr>
        <sz val="10"/>
        <rFont val="Vazirmatn"/>
        <family val="0"/>
        <charset val="1"/>
      </rPr>
      <t xml:space="preserve">) XCKJ 10541</t>
    </r>
  </si>
  <si>
    <t xml:space="preserve">31212922</t>
  </si>
  <si>
    <r>
      <rPr>
        <sz val="10"/>
        <rFont val="FreeSans"/>
        <family val="2"/>
      </rPr>
      <t xml:space="preserve">آژیر فلاشر زیتکس   </t>
    </r>
    <r>
      <rPr>
        <sz val="10"/>
        <rFont val="Vazirmatn"/>
        <family val="0"/>
        <charset val="1"/>
      </rPr>
      <t xml:space="preserve">Zitex SS 81</t>
    </r>
  </si>
  <si>
    <t xml:space="preserve">31212923</t>
  </si>
  <si>
    <r>
      <rPr>
        <sz val="10"/>
        <rFont val="FreeSans"/>
        <family val="2"/>
      </rPr>
      <t xml:space="preserve">سوئیچ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پورت </t>
    </r>
    <r>
      <rPr>
        <sz val="10"/>
        <rFont val="Vazirmatn"/>
        <family val="0"/>
        <charset val="1"/>
      </rPr>
      <t xml:space="preserve">KVM  </t>
    </r>
    <r>
      <rPr>
        <sz val="10"/>
        <rFont val="FreeSans"/>
        <family val="2"/>
      </rPr>
      <t xml:space="preserve">دی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لینک </t>
    </r>
    <r>
      <rPr>
        <sz val="10"/>
        <rFont val="Vazirmatn"/>
        <family val="0"/>
        <charset val="1"/>
      </rPr>
      <t xml:space="preserve">D KVM - 4U</t>
    </r>
  </si>
  <si>
    <t xml:space="preserve">31212925</t>
  </si>
  <si>
    <r>
      <rPr>
        <sz val="10"/>
        <rFont val="FreeSans"/>
        <family val="2"/>
      </rPr>
      <t xml:space="preserve">آژیر الکترونیکی  </t>
    </r>
    <r>
      <rPr>
        <sz val="10"/>
        <rFont val="Vazirmatn"/>
        <family val="0"/>
        <charset val="1"/>
      </rPr>
      <t xml:space="preserve">220V</t>
    </r>
  </si>
  <si>
    <t xml:space="preserve">31212928</t>
  </si>
  <si>
    <r>
      <rPr>
        <sz val="10"/>
        <rFont val="FreeSans"/>
        <family val="2"/>
      </rPr>
      <t xml:space="preserve">پرشر سوئیچ فشار پائین دانفوس  </t>
    </r>
    <r>
      <rPr>
        <sz val="10"/>
        <rFont val="Vazirmatn"/>
        <family val="0"/>
        <charset val="1"/>
      </rPr>
      <t xml:space="preserve">KP1 Ranye : 0/2-7/5 bar Diff : 0/7-4 bar</t>
    </r>
  </si>
  <si>
    <t xml:space="preserve">31212929</t>
  </si>
  <si>
    <r>
      <rPr>
        <sz val="10"/>
        <rFont val="FreeSans"/>
        <family val="2"/>
      </rPr>
      <t xml:space="preserve">آژیر چراغ گردان  </t>
    </r>
    <r>
      <rPr>
        <sz val="10"/>
        <rFont val="Vazirmatn"/>
        <family val="0"/>
        <charset val="1"/>
      </rPr>
      <t xml:space="preserve">220V AC</t>
    </r>
  </si>
  <si>
    <t xml:space="preserve">31212930</t>
  </si>
  <si>
    <r>
      <rPr>
        <sz val="10"/>
        <rFont val="FreeSans"/>
        <family val="2"/>
      </rPr>
      <t xml:space="preserve">سوئیچ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پورت </t>
    </r>
    <r>
      <rPr>
        <sz val="10"/>
        <rFont val="Vazirmatn"/>
        <family val="0"/>
        <charset val="1"/>
      </rPr>
      <t xml:space="preserve">KVM </t>
    </r>
    <r>
      <rPr>
        <sz val="10"/>
        <rFont val="FreeSans"/>
        <family val="2"/>
      </rPr>
      <t xml:space="preserve">لایمستون </t>
    </r>
    <r>
      <rPr>
        <sz val="10"/>
        <rFont val="Vazirmatn"/>
        <family val="0"/>
        <charset val="1"/>
      </rPr>
      <t xml:space="preserve">LS-HK0801  HTMI</t>
    </r>
  </si>
  <si>
    <t xml:space="preserve">31212931</t>
  </si>
  <si>
    <r>
      <rPr>
        <sz val="10"/>
        <rFont val="FreeSans"/>
        <family val="2"/>
      </rPr>
      <t xml:space="preserve">سوئیچ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پورت </t>
    </r>
    <r>
      <rPr>
        <sz val="10"/>
        <rFont val="Vazirmatn"/>
        <family val="0"/>
        <charset val="1"/>
      </rPr>
      <t xml:space="preserve">VGA </t>
    </r>
    <r>
      <rPr>
        <sz val="10"/>
        <rFont val="FreeSans"/>
        <family val="2"/>
      </rPr>
      <t xml:space="preserve">اتوماتیک آتن </t>
    </r>
    <r>
      <rPr>
        <sz val="10"/>
        <rFont val="Vazirmatn"/>
        <family val="0"/>
        <charset val="1"/>
      </rPr>
      <t xml:space="preserve">ATEN  VS0801A  KVM</t>
    </r>
  </si>
  <si>
    <t xml:space="preserve">31212932</t>
  </si>
  <si>
    <r>
      <rPr>
        <sz val="10"/>
        <rFont val="FreeSans"/>
        <family val="2"/>
      </rPr>
      <t xml:space="preserve">میکروسوئیچ فنری </t>
    </r>
    <r>
      <rPr>
        <sz val="10"/>
        <rFont val="Vazirmatn"/>
        <family val="0"/>
        <charset val="1"/>
      </rPr>
      <t xml:space="preserve">ME 9101</t>
    </r>
  </si>
  <si>
    <t xml:space="preserve">31212933</t>
  </si>
  <si>
    <r>
      <rPr>
        <sz val="10"/>
        <rFont val="FreeSans"/>
        <family val="2"/>
      </rPr>
      <t xml:space="preserve">میکروسوئیچ میله ای   </t>
    </r>
    <r>
      <rPr>
        <sz val="10"/>
        <rFont val="Vazirmatn"/>
        <family val="0"/>
        <charset val="1"/>
      </rPr>
      <t xml:space="preserve">Micro Switch Me 8107</t>
    </r>
  </si>
  <si>
    <t xml:space="preserve">31212934</t>
  </si>
  <si>
    <r>
      <rPr>
        <sz val="10"/>
        <rFont val="FreeSans"/>
        <family val="2"/>
      </rPr>
      <t xml:space="preserve">پرشر سوئیچ </t>
    </r>
    <r>
      <rPr>
        <sz val="10"/>
        <rFont val="Vazirmatn"/>
        <family val="0"/>
        <charset val="1"/>
      </rPr>
      <t xml:space="preserve">DWFK12-9bar WIL Spec HC400-684-0010</t>
    </r>
  </si>
  <si>
    <t xml:space="preserve">31212935</t>
  </si>
  <si>
    <t xml:space="preserve">آژیر پیزو فایروال بلند گوی شیپوری</t>
  </si>
  <si>
    <t xml:space="preserve">31212936</t>
  </si>
  <si>
    <r>
      <rPr>
        <sz val="10"/>
        <rFont val="FreeSans"/>
        <family val="2"/>
      </rPr>
      <t xml:space="preserve">میکروسوئیچ  </t>
    </r>
    <r>
      <rPr>
        <sz val="10"/>
        <rFont val="Vazirmatn"/>
        <family val="0"/>
        <charset val="1"/>
      </rPr>
      <t xml:space="preserve">MK V11 D30</t>
    </r>
  </si>
  <si>
    <t xml:space="preserve">31212937</t>
  </si>
  <si>
    <r>
      <rPr>
        <sz val="10"/>
        <rFont val="FreeSans"/>
        <family val="2"/>
      </rPr>
      <t xml:space="preserve">پرشر هوا دانفوس </t>
    </r>
    <r>
      <rPr>
        <sz val="10"/>
        <rFont val="Vazirmatn"/>
        <family val="0"/>
        <charset val="1"/>
      </rPr>
      <t xml:space="preserve">7/5 - 0/7 </t>
    </r>
    <r>
      <rPr>
        <sz val="10"/>
        <rFont val="FreeSans"/>
        <family val="2"/>
      </rPr>
      <t xml:space="preserve">بار</t>
    </r>
  </si>
  <si>
    <t xml:space="preserve">31212938</t>
  </si>
  <si>
    <r>
      <rPr>
        <sz val="10"/>
        <rFont val="FreeSans"/>
        <family val="2"/>
      </rPr>
      <t xml:space="preserve">پرشر سوئیچ کمپرسور باد </t>
    </r>
    <r>
      <rPr>
        <sz val="10"/>
        <rFont val="Vazirmatn"/>
        <family val="0"/>
        <charset val="1"/>
      </rPr>
      <t xml:space="preserve">CYA-B2</t>
    </r>
  </si>
  <si>
    <t xml:space="preserve">31212939</t>
  </si>
  <si>
    <r>
      <rPr>
        <sz val="10"/>
        <rFont val="FreeSans"/>
        <family val="2"/>
      </rPr>
      <t xml:space="preserve">پرشر ترنسمیتر  </t>
    </r>
    <r>
      <rPr>
        <sz val="10"/>
        <rFont val="Vazirmatn"/>
        <family val="0"/>
        <charset val="1"/>
      </rPr>
      <t xml:space="preserve">PNP4-20mA - 10-30 VDC - -1~1bar - E+H</t>
    </r>
  </si>
  <si>
    <t xml:space="preserve">31212940</t>
  </si>
  <si>
    <r>
      <rPr>
        <sz val="10"/>
        <rFont val="FreeSans"/>
        <family val="2"/>
      </rPr>
      <t xml:space="preserve">پرشر  </t>
    </r>
    <r>
      <rPr>
        <sz val="10"/>
        <rFont val="Vazirmatn"/>
        <family val="0"/>
        <charset val="1"/>
      </rPr>
      <t xml:space="preserve">high &amp; Low </t>
    </r>
    <r>
      <rPr>
        <sz val="10"/>
        <rFont val="FreeSans"/>
        <family val="2"/>
      </rPr>
      <t xml:space="preserve">مخصوص سردخانه</t>
    </r>
  </si>
  <si>
    <t xml:space="preserve">31212941</t>
  </si>
  <si>
    <r>
      <rPr>
        <sz val="10"/>
        <rFont val="FreeSans"/>
        <family val="2"/>
      </rPr>
      <t xml:space="preserve">پرشر </t>
    </r>
    <r>
      <rPr>
        <sz val="10"/>
        <rFont val="Vazirmatn"/>
        <family val="0"/>
        <charset val="1"/>
      </rPr>
      <t xml:space="preserve">Oil </t>
    </r>
    <r>
      <rPr>
        <sz val="10"/>
        <rFont val="FreeSans"/>
        <family val="2"/>
      </rPr>
      <t xml:space="preserve">مخصوص سردخانه</t>
    </r>
  </si>
  <si>
    <t xml:space="preserve">31212943</t>
  </si>
  <si>
    <r>
      <rPr>
        <sz val="10"/>
        <rFont val="FreeSans"/>
        <family val="2"/>
      </rPr>
      <t xml:space="preserve">پرشر سوئیچ هوا دانگس </t>
    </r>
    <r>
      <rPr>
        <sz val="10"/>
        <rFont val="Vazirmatn"/>
        <family val="0"/>
        <charset val="1"/>
      </rPr>
      <t xml:space="preserve">3 - 0/9 </t>
    </r>
    <r>
      <rPr>
        <sz val="10"/>
        <rFont val="FreeSans"/>
        <family val="2"/>
      </rPr>
      <t xml:space="preserve">میلی بار</t>
    </r>
  </si>
  <si>
    <t xml:space="preserve">31212946</t>
  </si>
  <si>
    <r>
      <rPr>
        <sz val="10"/>
        <rFont val="FreeSans"/>
        <family val="2"/>
      </rPr>
      <t xml:space="preserve">سوئیچ دمای اطلس کوپکو </t>
    </r>
    <r>
      <rPr>
        <sz val="10"/>
        <rFont val="Vazirmatn"/>
        <family val="0"/>
        <charset val="1"/>
      </rPr>
      <t xml:space="preserve">( 1089063716 )</t>
    </r>
  </si>
  <si>
    <t xml:space="preserve">31212948</t>
  </si>
  <si>
    <r>
      <rPr>
        <sz val="10"/>
        <rFont val="FreeSans"/>
        <family val="2"/>
      </rPr>
      <t xml:space="preserve">پرشر سوئیچ دستگاه اندازه گیری پروتئین </t>
    </r>
    <r>
      <rPr>
        <sz val="10"/>
        <rFont val="Vazirmatn"/>
        <family val="0"/>
        <charset val="1"/>
      </rPr>
      <t xml:space="preserve">60-30 </t>
    </r>
    <r>
      <rPr>
        <sz val="10"/>
        <rFont val="FreeSans"/>
        <family val="2"/>
      </rPr>
      <t xml:space="preserve">وات</t>
    </r>
  </si>
  <si>
    <t xml:space="preserve">31213100</t>
  </si>
  <si>
    <r>
      <rPr>
        <sz val="10"/>
        <rFont val="FreeSans"/>
        <family val="2"/>
      </rPr>
      <t xml:space="preserve">ترمینال فیوز خور چراغ دار </t>
    </r>
    <r>
      <rPr>
        <sz val="10"/>
        <rFont val="Vazirmatn"/>
        <family val="0"/>
        <charset val="1"/>
      </rPr>
      <t xml:space="preserve">24V DC</t>
    </r>
  </si>
  <si>
    <t xml:space="preserve">31213104</t>
  </si>
  <si>
    <r>
      <rPr>
        <sz val="10"/>
        <rFont val="FreeSans"/>
        <family val="2"/>
      </rPr>
      <t xml:space="preserve">ترمینال ریلی                      </t>
    </r>
    <r>
      <rPr>
        <sz val="10"/>
        <rFont val="Vazirmatn"/>
        <family val="0"/>
        <charset val="1"/>
      </rPr>
      <t xml:space="preserve">6mm</t>
    </r>
  </si>
  <si>
    <t xml:space="preserve">31213107</t>
  </si>
  <si>
    <r>
      <rPr>
        <sz val="10"/>
        <rFont val="FreeSans"/>
        <family val="2"/>
      </rPr>
      <t xml:space="preserve">ترمینال فیوز خور چراغ دار </t>
    </r>
    <r>
      <rPr>
        <sz val="10"/>
        <rFont val="Vazirmatn"/>
        <family val="0"/>
        <charset val="1"/>
      </rPr>
      <t xml:space="preserve">220V DC</t>
    </r>
  </si>
  <si>
    <t xml:space="preserve">31213151</t>
  </si>
  <si>
    <r>
      <rPr>
        <sz val="10"/>
        <rFont val="FreeSans"/>
        <family val="2"/>
      </rPr>
      <t xml:space="preserve">ترمینال ردیفی                     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آمپر</t>
    </r>
  </si>
  <si>
    <t xml:space="preserve">31213153</t>
  </si>
  <si>
    <r>
      <rPr>
        <sz val="10"/>
        <rFont val="FreeSans"/>
        <family val="2"/>
      </rPr>
      <t xml:space="preserve">ترمینال ردیفی                      </t>
    </r>
    <r>
      <rPr>
        <sz val="10"/>
        <rFont val="Vazirmatn"/>
        <family val="0"/>
        <charset val="1"/>
      </rPr>
      <t xml:space="preserve">16  </t>
    </r>
    <r>
      <rPr>
        <sz val="10"/>
        <rFont val="FreeSans"/>
        <family val="2"/>
      </rPr>
      <t xml:space="preserve">آمپر</t>
    </r>
  </si>
  <si>
    <t xml:space="preserve">31213160</t>
  </si>
  <si>
    <r>
      <rPr>
        <sz val="10"/>
        <rFont val="FreeSans"/>
        <family val="2"/>
      </rPr>
      <t xml:space="preserve">ترنسمیتر فشار </t>
    </r>
    <r>
      <rPr>
        <sz val="10"/>
        <rFont val="Vazirmatn"/>
        <family val="0"/>
        <charset val="1"/>
      </rPr>
      <t xml:space="preserve">PTP33B-AA7M2FGB3CJ 0-400mbar</t>
    </r>
  </si>
  <si>
    <t xml:space="preserve">31213162</t>
  </si>
  <si>
    <r>
      <rPr>
        <sz val="10"/>
        <rFont val="FreeSans"/>
        <family val="2"/>
      </rPr>
      <t xml:space="preserve">ترانسمیتر فشار </t>
    </r>
    <r>
      <rPr>
        <sz val="10"/>
        <rFont val="Vazirmatn"/>
        <family val="0"/>
        <charset val="1"/>
      </rPr>
      <t xml:space="preserve">PTF 110 INDum ART 0-2/5 bar</t>
    </r>
  </si>
  <si>
    <t xml:space="preserve">31213173</t>
  </si>
  <si>
    <r>
      <rPr>
        <sz val="10"/>
        <rFont val="FreeSans"/>
        <family val="2"/>
      </rPr>
      <t xml:space="preserve">ترمینال  جعبه   تقسیم            </t>
    </r>
    <r>
      <rPr>
        <sz val="10"/>
        <rFont val="Vazirmatn"/>
        <family val="0"/>
        <charset val="1"/>
      </rPr>
      <t xml:space="preserve">15   </t>
    </r>
    <r>
      <rPr>
        <sz val="10"/>
        <rFont val="FreeSans"/>
        <family val="2"/>
      </rPr>
      <t xml:space="preserve">آمپر</t>
    </r>
  </si>
  <si>
    <t xml:space="preserve">31213176</t>
  </si>
  <si>
    <r>
      <rPr>
        <sz val="10"/>
        <rFont val="FreeSans"/>
        <family val="2"/>
      </rPr>
      <t xml:space="preserve">ترمینال جریانی  رعد </t>
    </r>
    <r>
      <rPr>
        <sz val="10"/>
        <rFont val="Vazirmatn"/>
        <family val="0"/>
        <charset val="1"/>
      </rPr>
      <t xml:space="preserve">RSPT 6</t>
    </r>
  </si>
  <si>
    <t xml:space="preserve">31213181</t>
  </si>
  <si>
    <r>
      <rPr>
        <sz val="10"/>
        <rFont val="FreeSans"/>
        <family val="2"/>
      </rPr>
      <t xml:space="preserve">ترمینال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قفل </t>
    </r>
    <r>
      <rPr>
        <sz val="10"/>
        <rFont val="Vazirmatn"/>
        <family val="0"/>
        <charset val="1"/>
      </rPr>
      <t xml:space="preserve">)</t>
    </r>
  </si>
  <si>
    <t xml:space="preserve">31213192</t>
  </si>
  <si>
    <r>
      <rPr>
        <sz val="10"/>
        <rFont val="FreeSans"/>
        <family val="2"/>
      </rPr>
      <t xml:space="preserve">ترمینال تابلویی </t>
    </r>
    <r>
      <rPr>
        <sz val="10"/>
        <rFont val="Vazirmatn"/>
        <family val="0"/>
        <charset val="1"/>
      </rPr>
      <t xml:space="preserve">7mm</t>
    </r>
  </si>
  <si>
    <t xml:space="preserve">31213194</t>
  </si>
  <si>
    <r>
      <rPr>
        <sz val="10"/>
        <rFont val="FreeSans"/>
        <family val="2"/>
      </rPr>
      <t xml:space="preserve">ترمینال تابلویی </t>
    </r>
    <r>
      <rPr>
        <sz val="10"/>
        <rFont val="Vazirmatn"/>
        <family val="0"/>
        <charset val="1"/>
      </rPr>
      <t xml:space="preserve">10mm</t>
    </r>
  </si>
  <si>
    <t xml:space="preserve">31213198</t>
  </si>
  <si>
    <r>
      <rPr>
        <sz val="10"/>
        <rFont val="FreeSans"/>
        <family val="2"/>
      </rPr>
      <t xml:space="preserve">ترمینال تابلویی </t>
    </r>
    <r>
      <rPr>
        <sz val="10"/>
        <rFont val="Vazirmatn"/>
        <family val="0"/>
        <charset val="1"/>
      </rPr>
      <t xml:space="preserve">4mm</t>
    </r>
  </si>
  <si>
    <t xml:space="preserve">31213204</t>
  </si>
  <si>
    <r>
      <rPr>
        <sz val="10"/>
        <rFont val="FreeSans"/>
        <family val="2"/>
      </rPr>
      <t xml:space="preserve">دو شاخه تبدیل برق ارت دار </t>
    </r>
    <r>
      <rPr>
        <sz val="10"/>
        <rFont val="Vazirmatn"/>
        <family val="0"/>
        <charset val="1"/>
      </rPr>
      <t xml:space="preserve">Marken ) 20A  )</t>
    </r>
  </si>
  <si>
    <t xml:space="preserve">31213207</t>
  </si>
  <si>
    <r>
      <rPr>
        <sz val="10"/>
        <rFont val="FreeSans"/>
        <family val="2"/>
      </rPr>
      <t xml:space="preserve">دو شاخه ارتدار صنعتی برقی     </t>
    </r>
    <r>
      <rPr>
        <sz val="10"/>
        <rFont val="Vazirmatn"/>
        <family val="0"/>
        <charset val="1"/>
      </rPr>
      <t xml:space="preserve">ELECTRICAL PVC PLUG 16A  250V</t>
    </r>
  </si>
  <si>
    <t xml:space="preserve">31213242</t>
  </si>
  <si>
    <r>
      <rPr>
        <sz val="10"/>
        <rFont val="FreeSans"/>
        <family val="2"/>
      </rPr>
      <t xml:space="preserve">مبدل </t>
    </r>
    <r>
      <rPr>
        <sz val="10"/>
        <rFont val="Vazirmatn"/>
        <family val="0"/>
        <charset val="1"/>
      </rPr>
      <t xml:space="preserve">USB TO TTL  USB-TTL</t>
    </r>
  </si>
  <si>
    <t xml:space="preserve">31213243</t>
  </si>
  <si>
    <r>
      <rPr>
        <sz val="10"/>
        <rFont val="FreeSans"/>
        <family val="2"/>
      </rPr>
      <t xml:space="preserve">مبدل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شاخه به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شاخه برق</t>
    </r>
  </si>
  <si>
    <t xml:space="preserve">31213244</t>
  </si>
  <si>
    <r>
      <rPr>
        <sz val="10"/>
        <rFont val="FreeSans"/>
        <family val="2"/>
      </rPr>
      <t xml:space="preserve">مبدل </t>
    </r>
    <r>
      <rPr>
        <sz val="10"/>
        <rFont val="Vazirmatn"/>
        <family val="0"/>
        <charset val="1"/>
      </rPr>
      <t xml:space="preserve">POE </t>
    </r>
    <r>
      <rPr>
        <sz val="10"/>
        <rFont val="FreeSans"/>
        <family val="2"/>
      </rPr>
      <t xml:space="preserve">اسپلیتر فیش نری</t>
    </r>
  </si>
  <si>
    <t xml:space="preserve">31213246</t>
  </si>
  <si>
    <t xml:space="preserve">سه راهی برق محافظ دار</t>
  </si>
  <si>
    <t xml:space="preserve">31213247</t>
  </si>
  <si>
    <r>
      <rPr>
        <sz val="10"/>
        <rFont val="FreeSans"/>
        <family val="2"/>
      </rPr>
      <t xml:space="preserve">سه راهی برقی                 نمره  </t>
    </r>
    <r>
      <rPr>
        <sz val="10"/>
        <rFont val="Vazirmatn"/>
        <family val="0"/>
        <charset val="1"/>
      </rPr>
      <t xml:space="preserve">16</t>
    </r>
  </si>
  <si>
    <t xml:space="preserve">31213252</t>
  </si>
  <si>
    <r>
      <rPr>
        <sz val="10"/>
        <rFont val="FreeSans"/>
        <family val="2"/>
      </rPr>
      <t xml:space="preserve">محافظ ولتاژ یخچال </t>
    </r>
    <r>
      <rPr>
        <sz val="10"/>
        <rFont val="Vazirmatn"/>
        <family val="0"/>
        <charset val="1"/>
      </rPr>
      <t xml:space="preserve">2500W</t>
    </r>
  </si>
  <si>
    <t xml:space="preserve">31213254</t>
  </si>
  <si>
    <r>
      <rPr>
        <sz val="10"/>
        <rFont val="FreeSans"/>
        <family val="2"/>
      </rPr>
      <t xml:space="preserve">سه راهی برق سر پریزی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بدون سیم </t>
    </r>
    <r>
      <rPr>
        <sz val="10"/>
        <rFont val="Vazirmatn"/>
        <family val="0"/>
        <charset val="1"/>
      </rPr>
      <t xml:space="preserve">)</t>
    </r>
  </si>
  <si>
    <t xml:space="preserve">31213255</t>
  </si>
  <si>
    <r>
      <rPr>
        <sz val="10"/>
        <rFont val="FreeSans"/>
        <family val="2"/>
      </rPr>
      <t xml:space="preserve">محافظ ولتاژ </t>
    </r>
    <r>
      <rPr>
        <sz val="10"/>
        <rFont val="Vazirmatn"/>
        <family val="0"/>
        <charset val="1"/>
      </rPr>
      <t xml:space="preserve">63A  JBH</t>
    </r>
  </si>
  <si>
    <t xml:space="preserve">31213256</t>
  </si>
  <si>
    <t xml:space="preserve">محافظ برق یخچال</t>
  </si>
  <si>
    <t xml:space="preserve">31213257</t>
  </si>
  <si>
    <r>
      <rPr>
        <sz val="10"/>
        <rFont val="FreeSans"/>
        <family val="2"/>
      </rPr>
      <t xml:space="preserve">محافظ برق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پکیج تک خروجی </t>
    </r>
    <r>
      <rPr>
        <sz val="10"/>
        <rFont val="Vazirmatn"/>
        <family val="0"/>
        <charset val="1"/>
      </rPr>
      <t xml:space="preserve">)</t>
    </r>
  </si>
  <si>
    <t xml:space="preserve">31213263</t>
  </si>
  <si>
    <r>
      <rPr>
        <sz val="10"/>
        <rFont val="FreeSans"/>
        <family val="2"/>
      </rPr>
      <t xml:space="preserve">چهارشاخه سه فاز مادگی سیار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پلاستیکی</t>
    </r>
    <r>
      <rPr>
        <sz val="10"/>
        <rFont val="Vazirmatn"/>
        <family val="0"/>
        <charset val="1"/>
      </rPr>
      <t xml:space="preserve">)</t>
    </r>
  </si>
  <si>
    <t xml:space="preserve">31213264</t>
  </si>
  <si>
    <r>
      <rPr>
        <sz val="10"/>
        <rFont val="FreeSans"/>
        <family val="2"/>
      </rPr>
      <t xml:space="preserve">پنج شاخه صنعتی مادگی </t>
    </r>
    <r>
      <rPr>
        <sz val="10"/>
        <rFont val="Vazirmatn"/>
        <family val="0"/>
        <charset val="1"/>
      </rPr>
      <t xml:space="preserve">32A ( </t>
    </r>
    <r>
      <rPr>
        <sz val="10"/>
        <rFont val="FreeSans"/>
        <family val="2"/>
      </rPr>
      <t xml:space="preserve">پلاستیکی </t>
    </r>
    <r>
      <rPr>
        <sz val="10"/>
        <rFont val="Vazirmatn"/>
        <family val="0"/>
        <charset val="1"/>
      </rPr>
      <t xml:space="preserve">)</t>
    </r>
  </si>
  <si>
    <t xml:space="preserve">31213266</t>
  </si>
  <si>
    <r>
      <rPr>
        <sz val="10"/>
        <rFont val="FreeSans"/>
        <family val="2"/>
      </rPr>
      <t xml:space="preserve">پنج شاخ صنعتی نری  </t>
    </r>
    <r>
      <rPr>
        <sz val="10"/>
        <rFont val="Vazirmatn"/>
        <family val="0"/>
        <charset val="1"/>
      </rPr>
      <t xml:space="preserve">32A</t>
    </r>
  </si>
  <si>
    <t xml:space="preserve">31213269</t>
  </si>
  <si>
    <r>
      <rPr>
        <sz val="10"/>
        <rFont val="FreeSans"/>
        <family val="2"/>
      </rPr>
      <t xml:space="preserve">چهار  شاخه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نر</t>
    </r>
    <r>
      <rPr>
        <sz val="10"/>
        <rFont val="Vazirmatn"/>
        <family val="0"/>
        <charset val="1"/>
      </rPr>
      <t xml:space="preserve">)                       40  </t>
    </r>
    <r>
      <rPr>
        <sz val="10"/>
        <rFont val="FreeSans"/>
        <family val="2"/>
      </rPr>
      <t xml:space="preserve">آمپر</t>
    </r>
  </si>
  <si>
    <t xml:space="preserve">31213270</t>
  </si>
  <si>
    <r>
      <rPr>
        <sz val="10"/>
        <rFont val="FreeSans"/>
        <family val="2"/>
      </rPr>
      <t xml:space="preserve">چهار شاخه مادگی پلاستیکی دیواری    </t>
    </r>
    <r>
      <rPr>
        <sz val="10"/>
        <rFont val="Vazirmatn"/>
        <family val="0"/>
        <charset val="1"/>
      </rPr>
      <t xml:space="preserve">32A</t>
    </r>
  </si>
  <si>
    <t xml:space="preserve">31213303</t>
  </si>
  <si>
    <t xml:space="preserve">درپوش چدنی پمپ دنده ای</t>
  </si>
  <si>
    <t xml:space="preserve">31213310</t>
  </si>
  <si>
    <t xml:space="preserve">بالا ست لامپ مهتابی</t>
  </si>
  <si>
    <t xml:space="preserve">31213318</t>
  </si>
  <si>
    <r>
      <rPr>
        <sz val="10"/>
        <rFont val="FreeSans"/>
        <family val="2"/>
      </rPr>
      <t xml:space="preserve">قاب مهتابی دو لامپه  </t>
    </r>
    <r>
      <rPr>
        <sz val="10"/>
        <rFont val="Vazirmatn"/>
        <family val="0"/>
        <charset val="1"/>
      </rPr>
      <t xml:space="preserve">20 * 60</t>
    </r>
  </si>
  <si>
    <t xml:space="preserve">31213326</t>
  </si>
  <si>
    <r>
      <rPr>
        <sz val="10"/>
        <rFont val="FreeSans"/>
        <family val="2"/>
      </rPr>
      <t xml:space="preserve">قاب مهتابی تابلو برق </t>
    </r>
    <r>
      <rPr>
        <sz val="10"/>
        <rFont val="Vazirmatn"/>
        <family val="0"/>
        <charset val="1"/>
      </rPr>
      <t xml:space="preserve">40cm</t>
    </r>
  </si>
  <si>
    <t xml:space="preserve">31213327</t>
  </si>
  <si>
    <r>
      <rPr>
        <sz val="10"/>
        <rFont val="FreeSans"/>
        <family val="2"/>
      </rPr>
      <t xml:space="preserve">قاب مهتابی با لامپ  </t>
    </r>
    <r>
      <rPr>
        <sz val="10"/>
        <rFont val="Vazirmatn"/>
        <family val="0"/>
        <charset val="1"/>
      </rPr>
      <t xml:space="preserve">7W - 45cm</t>
    </r>
  </si>
  <si>
    <t xml:space="preserve">31213328</t>
  </si>
  <si>
    <r>
      <rPr>
        <sz val="10"/>
        <rFont val="FreeSans"/>
        <family val="2"/>
      </rPr>
      <t xml:space="preserve">قاب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ماژول ترانکینگ</t>
    </r>
  </si>
  <si>
    <t xml:space="preserve">31213332</t>
  </si>
  <si>
    <t xml:space="preserve">شاسی روکار درپوش دار زنگ بارانی</t>
  </si>
  <si>
    <t xml:space="preserve">31213333</t>
  </si>
  <si>
    <t xml:space="preserve">قاب کلید دو پل ترانکینگ</t>
  </si>
  <si>
    <t xml:space="preserve">31213334</t>
  </si>
  <si>
    <r>
      <rPr>
        <sz val="10"/>
        <rFont val="FreeSans"/>
        <family val="2"/>
      </rPr>
      <t xml:space="preserve">محافظ </t>
    </r>
    <r>
      <rPr>
        <sz val="10"/>
        <rFont val="Vazirmatn"/>
        <family val="0"/>
        <charset val="1"/>
      </rPr>
      <t xml:space="preserve">HMI </t>
    </r>
    <r>
      <rPr>
        <sz val="10"/>
        <rFont val="FreeSans"/>
        <family val="2"/>
      </rPr>
      <t xml:space="preserve">فتک  </t>
    </r>
    <r>
      <rPr>
        <sz val="10"/>
        <rFont val="Vazirmatn"/>
        <family val="0"/>
        <charset val="1"/>
      </rPr>
      <t xml:space="preserve">" 7</t>
    </r>
  </si>
  <si>
    <t xml:space="preserve">31213335</t>
  </si>
  <si>
    <r>
      <rPr>
        <sz val="10"/>
        <rFont val="FreeSans"/>
        <family val="2"/>
      </rPr>
      <t xml:space="preserve">زانویی داخل ترانکینگ  </t>
    </r>
    <r>
      <rPr>
        <sz val="10"/>
        <rFont val="Vazirmatn"/>
        <family val="0"/>
        <charset val="1"/>
      </rPr>
      <t xml:space="preserve">50 * 101</t>
    </r>
  </si>
  <si>
    <t xml:space="preserve">31213336</t>
  </si>
  <si>
    <r>
      <rPr>
        <sz val="10"/>
        <rFont val="FreeSans"/>
        <family val="2"/>
      </rPr>
      <t xml:space="preserve">زانویی بیرون ترانکینگ  </t>
    </r>
    <r>
      <rPr>
        <sz val="10"/>
        <rFont val="Vazirmatn"/>
        <family val="0"/>
        <charset val="1"/>
      </rPr>
      <t xml:space="preserve">50 * 101</t>
    </r>
  </si>
  <si>
    <t xml:space="preserve">31213337</t>
  </si>
  <si>
    <t xml:space="preserve">قاب ته بند ترانکینگ</t>
  </si>
  <si>
    <t xml:space="preserve">31213354</t>
  </si>
  <si>
    <r>
      <rPr>
        <sz val="10"/>
        <rFont val="FreeSans"/>
        <family val="2"/>
      </rPr>
      <t xml:space="preserve">قاب تقسیم برق کف خواب  </t>
    </r>
    <r>
      <rPr>
        <sz val="10"/>
        <rFont val="Vazirmatn"/>
        <family val="0"/>
        <charset val="1"/>
      </rPr>
      <t xml:space="preserve">10*20*20</t>
    </r>
  </si>
  <si>
    <t xml:space="preserve">31213355</t>
  </si>
  <si>
    <r>
      <rPr>
        <sz val="10"/>
        <rFont val="FreeSans"/>
        <family val="2"/>
      </rPr>
      <t xml:space="preserve">جانکشن باکس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کاناله</t>
    </r>
  </si>
  <si>
    <t xml:space="preserve">31213356</t>
  </si>
  <si>
    <r>
      <rPr>
        <sz val="10"/>
        <rFont val="FreeSans"/>
        <family val="2"/>
      </rPr>
      <t xml:space="preserve">جانکشن باکس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کاناله</t>
    </r>
  </si>
  <si>
    <t xml:space="preserve">31213357</t>
  </si>
  <si>
    <r>
      <rPr>
        <sz val="10"/>
        <rFont val="FreeSans"/>
        <family val="2"/>
      </rPr>
      <t xml:space="preserve">باکس کف خواب پلاستیکی درب دار پریزهای برق و شبکه بدون ماژول </t>
    </r>
    <r>
      <rPr>
        <sz val="10"/>
        <rFont val="Vazirmatn"/>
        <family val="0"/>
        <charset val="1"/>
      </rPr>
      <t xml:space="preserve">20*20</t>
    </r>
  </si>
  <si>
    <t xml:space="preserve">31213358</t>
  </si>
  <si>
    <r>
      <rPr>
        <sz val="10"/>
        <rFont val="FreeSans"/>
        <family val="2"/>
      </rPr>
      <t xml:space="preserve">باکس پلی کربنات  </t>
    </r>
    <r>
      <rPr>
        <sz val="10"/>
        <rFont val="Vazirmatn"/>
        <family val="0"/>
        <charset val="1"/>
      </rPr>
      <t xml:space="preserve">25 * 15</t>
    </r>
  </si>
  <si>
    <t xml:space="preserve">31213359</t>
  </si>
  <si>
    <r>
      <rPr>
        <sz val="10"/>
        <rFont val="FreeSans"/>
        <family val="2"/>
      </rPr>
      <t xml:space="preserve">باکس پلی کربنات  </t>
    </r>
    <r>
      <rPr>
        <sz val="10"/>
        <rFont val="Vazirmatn"/>
        <family val="0"/>
        <charset val="1"/>
      </rPr>
      <t xml:space="preserve">40 * 25</t>
    </r>
  </si>
  <si>
    <t xml:space="preserve">31213361</t>
  </si>
  <si>
    <r>
      <rPr>
        <sz val="10"/>
        <rFont val="FreeSans"/>
        <family val="2"/>
      </rPr>
      <t xml:space="preserve">دایت   تلفن   </t>
    </r>
    <r>
      <rPr>
        <sz val="10"/>
        <rFont val="Vazirmatn"/>
        <family val="0"/>
        <charset val="1"/>
      </rPr>
      <t xml:space="preserve">HP</t>
    </r>
  </si>
  <si>
    <t xml:space="preserve">31213363</t>
  </si>
  <si>
    <t xml:space="preserve">جعبه پشتی توکار پریز شبکه تک پورت لگراند</t>
  </si>
  <si>
    <t xml:space="preserve">31213364</t>
  </si>
  <si>
    <r>
      <rPr>
        <sz val="10"/>
        <rFont val="FreeSans"/>
        <family val="2"/>
      </rPr>
      <t xml:space="preserve">جعبه تقسیم پلاستیکی  </t>
    </r>
    <r>
      <rPr>
        <sz val="10"/>
        <rFont val="Vazirmatn"/>
        <family val="0"/>
        <charset val="1"/>
      </rPr>
      <t xml:space="preserve">10 * 10</t>
    </r>
  </si>
  <si>
    <t xml:space="preserve">31213365</t>
  </si>
  <si>
    <r>
      <rPr>
        <sz val="10"/>
        <rFont val="FreeSans"/>
        <family val="2"/>
      </rPr>
      <t xml:space="preserve">جعبه  کنترل  </t>
    </r>
    <r>
      <rPr>
        <sz val="10"/>
        <rFont val="Vazirmatn"/>
        <family val="0"/>
        <charset val="1"/>
      </rPr>
      <t xml:space="preserve">212434</t>
    </r>
  </si>
  <si>
    <t xml:space="preserve">31213368</t>
  </si>
  <si>
    <r>
      <rPr>
        <sz val="10"/>
        <rFont val="FreeSans"/>
        <family val="2"/>
      </rPr>
      <t xml:space="preserve">جعبه پریز کارگاهی تکفاز </t>
    </r>
    <r>
      <rPr>
        <sz val="10"/>
        <rFont val="Vazirmatn"/>
        <family val="0"/>
        <charset val="1"/>
      </rPr>
      <t xml:space="preserve">- 3</t>
    </r>
    <r>
      <rPr>
        <sz val="10"/>
        <rFont val="FreeSans"/>
        <family val="2"/>
      </rPr>
      <t xml:space="preserve">فاز  </t>
    </r>
    <r>
      <rPr>
        <sz val="10"/>
        <rFont val="Vazirmatn"/>
        <family val="0"/>
        <charset val="1"/>
      </rPr>
      <t xml:space="preserve">32A - IP66</t>
    </r>
  </si>
  <si>
    <t xml:space="preserve">31213375</t>
  </si>
  <si>
    <t xml:space="preserve">جعبه پشتی توکار پریز شبکه دو پورت لگراند</t>
  </si>
  <si>
    <t xml:space="preserve">31213377</t>
  </si>
  <si>
    <r>
      <rPr>
        <sz val="10"/>
        <rFont val="FreeSans"/>
        <family val="2"/>
      </rPr>
      <t xml:space="preserve">جعبه پاور </t>
    </r>
    <r>
      <rPr>
        <sz val="10"/>
        <rFont val="Vazirmatn"/>
        <family val="0"/>
        <charset val="1"/>
      </rPr>
      <t xml:space="preserve">Reychem Power box JBS - 100 - EP</t>
    </r>
  </si>
  <si>
    <t xml:space="preserve">31213380</t>
  </si>
  <si>
    <t xml:space="preserve">قوطی برق پلاستیکی کلید و پریز تو کار</t>
  </si>
  <si>
    <t xml:space="preserve">31213381</t>
  </si>
  <si>
    <r>
      <rPr>
        <sz val="10"/>
        <rFont val="FreeSans"/>
        <family val="2"/>
      </rPr>
      <t xml:space="preserve">جعبه فیوز مینیاتوری    </t>
    </r>
    <r>
      <rPr>
        <sz val="10"/>
        <rFont val="Vazirmatn"/>
        <family val="0"/>
        <charset val="1"/>
      </rPr>
      <t xml:space="preserve">20*30</t>
    </r>
  </si>
  <si>
    <t xml:space="preserve">31213393</t>
  </si>
  <si>
    <t xml:space="preserve">قوطی کلید  تو کار</t>
  </si>
  <si>
    <t xml:space="preserve">31213396</t>
  </si>
  <si>
    <t xml:space="preserve">فیس پلیت پریز شبکه تک پورت لگراند</t>
  </si>
  <si>
    <t xml:space="preserve">31213397</t>
  </si>
  <si>
    <r>
      <rPr>
        <sz val="10"/>
        <rFont val="FreeSans"/>
        <family val="2"/>
      </rPr>
      <t xml:space="preserve">تابلوی برق استیل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کنترل باکس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در ابعاد مختلف</t>
    </r>
  </si>
  <si>
    <t xml:space="preserve">31213406</t>
  </si>
  <si>
    <r>
      <rPr>
        <sz val="10"/>
        <rFont val="FreeSans"/>
        <family val="2"/>
      </rPr>
      <t xml:space="preserve">تابلو برق فلزی کامل  </t>
    </r>
    <r>
      <rPr>
        <sz val="10"/>
        <rFont val="Vazirmatn"/>
        <family val="0"/>
        <charset val="1"/>
      </rPr>
      <t xml:space="preserve">40 * 60 * 100</t>
    </r>
  </si>
  <si>
    <t xml:space="preserve">31213414</t>
  </si>
  <si>
    <t xml:space="preserve">فیس پلیت پریز شبکه دو پورت لگراند</t>
  </si>
  <si>
    <t xml:space="preserve">31213415</t>
  </si>
  <si>
    <t xml:space="preserve">کیستون شبکه دو پورت لگراند</t>
  </si>
  <si>
    <t xml:space="preserve">31213416</t>
  </si>
  <si>
    <t xml:space="preserve">کیستون شبکه تک پورت لگراند</t>
  </si>
  <si>
    <t xml:space="preserve">31213417</t>
  </si>
  <si>
    <r>
      <rPr>
        <sz val="10"/>
        <rFont val="FreeSans"/>
        <family val="2"/>
      </rPr>
      <t xml:space="preserve">تابلو برق     </t>
    </r>
    <r>
      <rPr>
        <sz val="10"/>
        <rFont val="Vazirmatn"/>
        <family val="0"/>
        <charset val="1"/>
      </rPr>
      <t xml:space="preserve">80 * 60 * 200</t>
    </r>
  </si>
  <si>
    <t xml:space="preserve">31213418</t>
  </si>
  <si>
    <r>
      <rPr>
        <sz val="10"/>
        <rFont val="FreeSans"/>
        <family val="2"/>
      </rPr>
      <t xml:space="preserve">تابلو برق     </t>
    </r>
    <r>
      <rPr>
        <sz val="10"/>
        <rFont val="Vazirmatn"/>
        <family val="0"/>
        <charset val="1"/>
      </rPr>
      <t xml:space="preserve">80 * 80 * 200</t>
    </r>
  </si>
  <si>
    <t xml:space="preserve">31213419</t>
  </si>
  <si>
    <r>
      <rPr>
        <sz val="10"/>
        <rFont val="FreeSans"/>
        <family val="2"/>
      </rPr>
      <t xml:space="preserve">پاور پک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مجموعه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روغن کاری  آسیاب ایمپکت  </t>
    </r>
    <r>
      <rPr>
        <sz val="10"/>
        <rFont val="Vazirmatn"/>
        <family val="0"/>
        <charset val="1"/>
      </rPr>
      <t xml:space="preserve">003-A005396</t>
    </r>
  </si>
  <si>
    <t xml:space="preserve">31213420</t>
  </si>
  <si>
    <t xml:space="preserve">تابلو رله حفاظتی کامل همراه رله حفاظتی و منبع تغذیه و ترانس</t>
  </si>
  <si>
    <t xml:space="preserve">31213424</t>
  </si>
  <si>
    <t xml:space="preserve">تابلوی توزیع برق</t>
  </si>
  <si>
    <t xml:space="preserve">31213425</t>
  </si>
  <si>
    <r>
      <rPr>
        <sz val="10"/>
        <rFont val="FreeSans"/>
        <family val="2"/>
      </rPr>
      <t xml:space="preserve">تابلوکنترل نصب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عدد نمایشگر</t>
    </r>
  </si>
  <si>
    <t xml:space="preserve">31213429</t>
  </si>
  <si>
    <r>
      <rPr>
        <sz val="10"/>
        <rFont val="FreeSans"/>
        <family val="2"/>
      </rPr>
      <t xml:space="preserve">تابلو برق دیواری روکار فلزی </t>
    </r>
    <r>
      <rPr>
        <sz val="10"/>
        <rFont val="Vazirmatn"/>
        <family val="0"/>
        <charset val="1"/>
      </rPr>
      <t xml:space="preserve">20*60*50</t>
    </r>
  </si>
  <si>
    <t xml:space="preserve">31213430</t>
  </si>
  <si>
    <r>
      <rPr>
        <sz val="10"/>
        <rFont val="FreeSans"/>
        <family val="2"/>
      </rPr>
      <t xml:space="preserve">تابلو برق دیواری روکار فلزی </t>
    </r>
    <r>
      <rPr>
        <sz val="10"/>
        <rFont val="Vazirmatn"/>
        <family val="0"/>
        <charset val="1"/>
      </rPr>
      <t xml:space="preserve">30*90*70</t>
    </r>
  </si>
  <si>
    <t xml:space="preserve">31213431</t>
  </si>
  <si>
    <r>
      <rPr>
        <sz val="10"/>
        <rFont val="FreeSans"/>
        <family val="2"/>
      </rPr>
      <t xml:space="preserve">تابلو برق </t>
    </r>
    <r>
      <rPr>
        <sz val="10"/>
        <rFont val="Vazirmatn"/>
        <family val="0"/>
        <charset val="1"/>
      </rPr>
      <t xml:space="preserve">IP </t>
    </r>
    <r>
      <rPr>
        <sz val="10"/>
        <rFont val="FreeSans"/>
        <family val="2"/>
      </rPr>
      <t xml:space="preserve">دار  </t>
    </r>
    <r>
      <rPr>
        <sz val="10"/>
        <rFont val="Vazirmatn"/>
        <family val="0"/>
        <charset val="1"/>
      </rPr>
      <t xml:space="preserve">22*70*60 ( tek pan )</t>
    </r>
  </si>
  <si>
    <t xml:space="preserve">31213433</t>
  </si>
  <si>
    <r>
      <rPr>
        <sz val="10"/>
        <rFont val="FreeSans"/>
        <family val="2"/>
      </rPr>
      <t xml:space="preserve">کیستون تلفن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لگراند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تو داکتی </t>
    </r>
    <r>
      <rPr>
        <sz val="10"/>
        <rFont val="Vazirmatn"/>
        <family val="0"/>
        <charset val="1"/>
      </rPr>
      <t xml:space="preserve">)</t>
    </r>
  </si>
  <si>
    <t xml:space="preserve">31213465</t>
  </si>
  <si>
    <r>
      <rPr>
        <sz val="10"/>
        <rFont val="FreeSans"/>
        <family val="2"/>
      </rPr>
      <t xml:space="preserve">کنتاکتور خازنی  </t>
    </r>
    <r>
      <rPr>
        <sz val="10"/>
        <rFont val="Vazirmatn"/>
        <family val="0"/>
        <charset val="1"/>
      </rPr>
      <t xml:space="preserve">92A</t>
    </r>
  </si>
  <si>
    <t xml:space="preserve">31213468</t>
  </si>
  <si>
    <r>
      <rPr>
        <sz val="10"/>
        <rFont val="FreeSans"/>
        <family val="2"/>
      </rPr>
      <t xml:space="preserve">کمکی تک باز                      </t>
    </r>
    <r>
      <rPr>
        <sz val="10"/>
        <rFont val="Vazirmatn"/>
        <family val="0"/>
        <charset val="1"/>
      </rPr>
      <t xml:space="preserve">3RV</t>
    </r>
  </si>
  <si>
    <t xml:space="preserve">31213470</t>
  </si>
  <si>
    <r>
      <rPr>
        <sz val="10"/>
        <rFont val="FreeSans"/>
        <family val="2"/>
      </rPr>
      <t xml:space="preserve">کمکی فیوز مینیاتوری         </t>
    </r>
    <r>
      <rPr>
        <sz val="10"/>
        <rFont val="Vazirmatn"/>
        <family val="0"/>
        <charset val="1"/>
      </rPr>
      <t xml:space="preserve">5SX</t>
    </r>
  </si>
  <si>
    <t xml:space="preserve">31213471</t>
  </si>
  <si>
    <t xml:space="preserve">کمکی رو خور کلید حرارتی</t>
  </si>
  <si>
    <t xml:space="preserve">31213473</t>
  </si>
  <si>
    <r>
      <rPr>
        <sz val="10"/>
        <rFont val="FreeSans"/>
        <family val="2"/>
      </rPr>
      <t xml:space="preserve">کمکی کلید اتوماتیک           </t>
    </r>
    <r>
      <rPr>
        <sz val="10"/>
        <rFont val="Vazirmatn"/>
        <family val="0"/>
        <charset val="1"/>
      </rPr>
      <t xml:space="preserve">3VL</t>
    </r>
  </si>
  <si>
    <t xml:space="preserve">31213474</t>
  </si>
  <si>
    <r>
      <rPr>
        <sz val="10"/>
        <rFont val="FreeSans"/>
        <family val="2"/>
      </rPr>
      <t xml:space="preserve">کمکی تک باز کلید حرارتی  </t>
    </r>
    <r>
      <rPr>
        <sz val="10"/>
        <rFont val="Vazirmatn"/>
        <family val="0"/>
        <charset val="1"/>
      </rPr>
      <t xml:space="preserve">3RV</t>
    </r>
  </si>
  <si>
    <t xml:space="preserve">31213477</t>
  </si>
  <si>
    <t xml:space="preserve">کنتاکت استارت تله مکانیک</t>
  </si>
  <si>
    <t xml:space="preserve">31213479</t>
  </si>
  <si>
    <t xml:space="preserve">کمکی کنتاکتور</t>
  </si>
  <si>
    <t xml:space="preserve">31213480</t>
  </si>
  <si>
    <t xml:space="preserve">کمکی تله دو باز دو بسته</t>
  </si>
  <si>
    <t xml:space="preserve">31213481</t>
  </si>
  <si>
    <r>
      <rPr>
        <sz val="10"/>
        <rFont val="FreeSans"/>
        <family val="2"/>
      </rPr>
      <t xml:space="preserve">کمکی کنتاکتور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تیغه بسته </t>
    </r>
    <r>
      <rPr>
        <sz val="10"/>
        <rFont val="Vazirmatn"/>
        <family val="0"/>
        <charset val="1"/>
      </rPr>
      <t xml:space="preserve">)</t>
    </r>
  </si>
  <si>
    <t xml:space="preserve">31213482</t>
  </si>
  <si>
    <r>
      <rPr>
        <sz val="10"/>
        <rFont val="FreeSans"/>
        <family val="2"/>
      </rPr>
      <t xml:space="preserve">سافت استارتر </t>
    </r>
    <r>
      <rPr>
        <sz val="10"/>
        <rFont val="Vazirmatn"/>
        <family val="0"/>
        <charset val="1"/>
      </rPr>
      <t xml:space="preserve">134A - 75KW</t>
    </r>
  </si>
  <si>
    <t xml:space="preserve">31213486</t>
  </si>
  <si>
    <r>
      <rPr>
        <sz val="10"/>
        <rFont val="FreeSans"/>
        <family val="2"/>
      </rPr>
      <t xml:space="preserve">سافت استارتر زیمنس     </t>
    </r>
    <r>
      <rPr>
        <sz val="10"/>
        <rFont val="Vazirmatn"/>
        <family val="0"/>
        <charset val="1"/>
      </rPr>
      <t xml:space="preserve">30KW</t>
    </r>
  </si>
  <si>
    <t xml:space="preserve">31213488</t>
  </si>
  <si>
    <r>
      <rPr>
        <sz val="10"/>
        <rFont val="FreeSans"/>
        <family val="2"/>
      </rPr>
      <t xml:space="preserve">سافت استارتر  </t>
    </r>
    <r>
      <rPr>
        <sz val="10"/>
        <rFont val="Vazirmatn"/>
        <family val="0"/>
        <charset val="1"/>
      </rPr>
      <t xml:space="preserve">ABB</t>
    </r>
  </si>
  <si>
    <t xml:space="preserve">31213489</t>
  </si>
  <si>
    <t xml:space="preserve">کنتاکت استوپ تله مکانیک</t>
  </si>
  <si>
    <t xml:space="preserve">31213492</t>
  </si>
  <si>
    <t xml:space="preserve">کنتاکت کمکی کلید حرارتی رو خور</t>
  </si>
  <si>
    <t xml:space="preserve">31213494</t>
  </si>
  <si>
    <r>
      <rPr>
        <sz val="10"/>
        <rFont val="FreeSans"/>
        <family val="2"/>
      </rPr>
      <t xml:space="preserve">اینترلاک کنتاکتور اشنایدر  </t>
    </r>
    <r>
      <rPr>
        <sz val="10"/>
        <rFont val="Vazirmatn"/>
        <family val="0"/>
        <charset val="1"/>
      </rPr>
      <t xml:space="preserve">LA9D11502</t>
    </r>
  </si>
  <si>
    <t xml:space="preserve">31213495</t>
  </si>
  <si>
    <t xml:space="preserve">کمکی بغل خور کلید حرارتی</t>
  </si>
  <si>
    <t xml:space="preserve">31213497</t>
  </si>
  <si>
    <r>
      <rPr>
        <sz val="10"/>
        <rFont val="FreeSans"/>
        <family val="2"/>
      </rPr>
      <t xml:space="preserve">سافت استارتر  </t>
    </r>
    <r>
      <rPr>
        <sz val="10"/>
        <rFont val="Vazirmatn"/>
        <family val="0"/>
        <charset val="1"/>
      </rPr>
      <t xml:space="preserve">PSTX60-600-70  ABB 15KW</t>
    </r>
  </si>
  <si>
    <t xml:space="preserve">31213498</t>
  </si>
  <si>
    <t xml:space="preserve">کمکی کلید حرارتی زیمنس روخور</t>
  </si>
  <si>
    <t xml:space="preserve">31213500</t>
  </si>
  <si>
    <t xml:space="preserve">کمکی کلید زیمنس</t>
  </si>
  <si>
    <t xml:space="preserve">31213501</t>
  </si>
  <si>
    <r>
      <rPr>
        <sz val="10"/>
        <rFont val="FreeSans"/>
        <family val="2"/>
      </rPr>
      <t xml:space="preserve">تریستور سافت استارتر </t>
    </r>
    <r>
      <rPr>
        <sz val="10"/>
        <rFont val="Vazirmatn"/>
        <family val="0"/>
        <charset val="1"/>
      </rPr>
      <t xml:space="preserve">SKKT 172 / 16 E</t>
    </r>
  </si>
  <si>
    <t xml:space="preserve">31213502</t>
  </si>
  <si>
    <r>
      <rPr>
        <sz val="10"/>
        <rFont val="FreeSans"/>
        <family val="2"/>
      </rPr>
      <t xml:space="preserve">سافت استارتر  </t>
    </r>
    <r>
      <rPr>
        <sz val="10"/>
        <rFont val="Vazirmatn"/>
        <family val="0"/>
        <charset val="1"/>
      </rPr>
      <t xml:space="preserve">PSTX72-600-70  ABB 37KW</t>
    </r>
  </si>
  <si>
    <t xml:space="preserve">31213503</t>
  </si>
  <si>
    <r>
      <rPr>
        <sz val="10"/>
        <rFont val="FreeSans"/>
        <family val="2"/>
      </rPr>
      <t xml:space="preserve">تریستور دیود </t>
    </r>
    <r>
      <rPr>
        <sz val="10"/>
        <rFont val="Vazirmatn"/>
        <family val="0"/>
        <charset val="1"/>
      </rPr>
      <t xml:space="preserve">SKKH 92 / 16 E</t>
    </r>
  </si>
  <si>
    <t xml:space="preserve">31213504</t>
  </si>
  <si>
    <r>
      <rPr>
        <sz val="10"/>
        <rFont val="FreeSans"/>
        <family val="2"/>
      </rPr>
      <t xml:space="preserve">تریستور </t>
    </r>
    <r>
      <rPr>
        <sz val="10"/>
        <rFont val="Vazirmatn"/>
        <family val="0"/>
        <charset val="1"/>
      </rPr>
      <t xml:space="preserve">CLA 50 E 1200 HB  ) 50 A - 1200 V )</t>
    </r>
  </si>
  <si>
    <t xml:space="preserve">31213601</t>
  </si>
  <si>
    <r>
      <rPr>
        <sz val="10"/>
        <rFont val="FreeSans"/>
        <family val="2"/>
      </rPr>
      <t xml:space="preserve">استارت مهتابی  </t>
    </r>
    <r>
      <rPr>
        <sz val="10"/>
        <rFont val="Vazirmatn"/>
        <family val="0"/>
        <charset val="1"/>
      </rPr>
      <t xml:space="preserve">40W</t>
    </r>
  </si>
  <si>
    <t xml:space="preserve">31213605</t>
  </si>
  <si>
    <t xml:space="preserve">شاسی استارت</t>
  </si>
  <si>
    <t xml:space="preserve">31213607</t>
  </si>
  <si>
    <r>
      <rPr>
        <sz val="10"/>
        <rFont val="FreeSans"/>
        <family val="2"/>
      </rPr>
      <t xml:space="preserve">استارت لامپ خیاری </t>
    </r>
    <r>
      <rPr>
        <sz val="10"/>
        <rFont val="Vazirmatn"/>
        <family val="0"/>
        <charset val="1"/>
      </rPr>
      <t xml:space="preserve">400W</t>
    </r>
  </si>
  <si>
    <t xml:space="preserve">31213609</t>
  </si>
  <si>
    <t xml:space="preserve">استارت و  استوپ</t>
  </si>
  <si>
    <t xml:space="preserve">31213610</t>
  </si>
  <si>
    <t xml:space="preserve">شاسی استوپ</t>
  </si>
  <si>
    <t xml:space="preserve">31213611</t>
  </si>
  <si>
    <t xml:space="preserve">شاستی دوبله چراغدار</t>
  </si>
  <si>
    <t xml:space="preserve">31213612</t>
  </si>
  <si>
    <r>
      <rPr>
        <sz val="10"/>
        <rFont val="FreeSans"/>
        <family val="2"/>
      </rPr>
      <t xml:space="preserve">شاستی استارت چراغ دار  </t>
    </r>
    <r>
      <rPr>
        <sz val="10"/>
        <rFont val="Vazirmatn"/>
        <family val="0"/>
        <charset val="1"/>
      </rPr>
      <t xml:space="preserve">24V AC</t>
    </r>
  </si>
  <si>
    <t xml:space="preserve">31213614</t>
  </si>
  <si>
    <r>
      <rPr>
        <sz val="10"/>
        <rFont val="FreeSans"/>
        <family val="2"/>
      </rPr>
      <t xml:space="preserve">شاسی استارت چراغ دار </t>
    </r>
    <r>
      <rPr>
        <sz val="10"/>
        <rFont val="Vazirmatn"/>
        <family val="0"/>
        <charset val="1"/>
      </rPr>
      <t xml:space="preserve">220V</t>
    </r>
  </si>
  <si>
    <t xml:space="preserve">31213615</t>
  </si>
  <si>
    <r>
      <rPr>
        <sz val="10"/>
        <rFont val="FreeSans"/>
        <family val="2"/>
      </rPr>
      <t xml:space="preserve">شاسی یک طرفه چراغدار  </t>
    </r>
    <r>
      <rPr>
        <sz val="10"/>
        <rFont val="Vazirmatn"/>
        <family val="0"/>
        <charset val="1"/>
      </rPr>
      <t xml:space="preserve">230V</t>
    </r>
  </si>
  <si>
    <t xml:space="preserve">31213617</t>
  </si>
  <si>
    <t xml:space="preserve">شاسی امرجنسی استوپ</t>
  </si>
  <si>
    <t xml:space="preserve">31213647</t>
  </si>
  <si>
    <r>
      <rPr>
        <sz val="10"/>
        <rFont val="FreeSans"/>
        <family val="2"/>
      </rPr>
      <t xml:space="preserve">ترانس ریل مگنتی </t>
    </r>
    <r>
      <rPr>
        <sz val="10"/>
        <rFont val="Vazirmatn"/>
        <family val="0"/>
        <charset val="1"/>
      </rPr>
      <t xml:space="preserve">100W ( </t>
    </r>
    <r>
      <rPr>
        <sz val="10"/>
        <rFont val="FreeSans"/>
        <family val="2"/>
      </rPr>
      <t xml:space="preserve">پارس شعاع </t>
    </r>
    <r>
      <rPr>
        <sz val="10"/>
        <rFont val="Vazirmatn"/>
        <family val="0"/>
        <charset val="1"/>
      </rPr>
      <t xml:space="preserve">)</t>
    </r>
  </si>
  <si>
    <t xml:space="preserve">31213648</t>
  </si>
  <si>
    <r>
      <rPr>
        <sz val="10"/>
        <rFont val="FreeSans"/>
        <family val="2"/>
      </rPr>
      <t xml:space="preserve">ترانس جریان </t>
    </r>
    <r>
      <rPr>
        <sz val="10"/>
        <rFont val="Vazirmatn"/>
        <family val="0"/>
        <charset val="1"/>
      </rPr>
      <t xml:space="preserve">5A*400 - AL1  CT</t>
    </r>
  </si>
  <si>
    <t xml:space="preserve">31213649</t>
  </si>
  <si>
    <r>
      <rPr>
        <sz val="10"/>
        <rFont val="FreeSans"/>
        <family val="2"/>
      </rPr>
      <t xml:space="preserve">ترانس جریان </t>
    </r>
    <r>
      <rPr>
        <sz val="10"/>
        <rFont val="Vazirmatn"/>
        <family val="0"/>
        <charset val="1"/>
      </rPr>
      <t xml:space="preserve">5A*600 - AL1  CT</t>
    </r>
  </si>
  <si>
    <t xml:space="preserve">31213650</t>
  </si>
  <si>
    <r>
      <rPr>
        <sz val="10"/>
        <rFont val="FreeSans"/>
        <family val="2"/>
      </rPr>
      <t xml:space="preserve">ترانس ایزوله  </t>
    </r>
    <r>
      <rPr>
        <sz val="10"/>
        <rFont val="Vazirmatn"/>
        <family val="0"/>
        <charset val="1"/>
      </rPr>
      <t xml:space="preserve">1000VA   4AM</t>
    </r>
  </si>
  <si>
    <t xml:space="preserve">31213651</t>
  </si>
  <si>
    <r>
      <rPr>
        <sz val="10"/>
        <rFont val="FreeSans"/>
        <family val="2"/>
      </rPr>
      <t xml:space="preserve">ترانس </t>
    </r>
    <r>
      <rPr>
        <sz val="10"/>
        <rFont val="Vazirmatn"/>
        <family val="0"/>
        <charset val="1"/>
      </rPr>
      <t xml:space="preserve">380v/48v   20va</t>
    </r>
  </si>
  <si>
    <t xml:space="preserve">31213652</t>
  </si>
  <si>
    <r>
      <rPr>
        <sz val="10"/>
        <rFont val="FreeSans"/>
        <family val="2"/>
      </rPr>
      <t xml:space="preserve">ترانس    کوران      </t>
    </r>
    <r>
      <rPr>
        <sz val="10"/>
        <rFont val="Vazirmatn"/>
        <family val="0"/>
        <charset val="1"/>
      </rPr>
      <t xml:space="preserve">200/5</t>
    </r>
  </si>
  <si>
    <t xml:space="preserve">31213656</t>
  </si>
  <si>
    <r>
      <rPr>
        <sz val="10"/>
        <rFont val="FreeSans"/>
        <family val="2"/>
      </rPr>
      <t xml:space="preserve">ترانس جریان </t>
    </r>
    <r>
      <rPr>
        <sz val="10"/>
        <rFont val="Vazirmatn"/>
        <family val="0"/>
        <charset val="1"/>
      </rPr>
      <t xml:space="preserve">5A*1000 - AL3  CT</t>
    </r>
  </si>
  <si>
    <t xml:space="preserve">31213657</t>
  </si>
  <si>
    <r>
      <rPr>
        <sz val="10"/>
        <rFont val="FreeSans"/>
        <family val="2"/>
      </rPr>
      <t xml:space="preserve">ترانس جریان  </t>
    </r>
    <r>
      <rPr>
        <sz val="10"/>
        <rFont val="Vazirmatn"/>
        <family val="0"/>
        <charset val="1"/>
      </rPr>
      <t xml:space="preserve">5/5 + 5</t>
    </r>
  </si>
  <si>
    <t xml:space="preserve">31213658</t>
  </si>
  <si>
    <r>
      <rPr>
        <sz val="10"/>
        <rFont val="FreeSans"/>
        <family val="2"/>
      </rPr>
      <t xml:space="preserve">ترانس جریان </t>
    </r>
    <r>
      <rPr>
        <sz val="10"/>
        <rFont val="Vazirmatn"/>
        <family val="0"/>
        <charset val="1"/>
      </rPr>
      <t xml:space="preserve">( CT ) </t>
    </r>
    <r>
      <rPr>
        <sz val="10"/>
        <rFont val="FreeSans"/>
        <family val="2"/>
      </rPr>
      <t xml:space="preserve">اندازه گیری </t>
    </r>
    <r>
      <rPr>
        <sz val="10"/>
        <rFont val="Vazirmatn"/>
        <family val="0"/>
        <charset val="1"/>
      </rPr>
      <t xml:space="preserve">1500 - 5A</t>
    </r>
  </si>
  <si>
    <t xml:space="preserve">31213659</t>
  </si>
  <si>
    <r>
      <rPr>
        <sz val="10"/>
        <rFont val="FreeSans"/>
        <family val="2"/>
      </rPr>
      <t xml:space="preserve">ترانس کاهنده ولتاژ </t>
    </r>
    <r>
      <rPr>
        <sz val="10"/>
        <rFont val="Vazirmatn"/>
        <family val="0"/>
        <charset val="1"/>
      </rPr>
      <t xml:space="preserve">IN : 220V AC Out : 78V AC P=1000W 4/5A</t>
    </r>
  </si>
  <si>
    <t xml:space="preserve">31213661</t>
  </si>
  <si>
    <r>
      <rPr>
        <sz val="10"/>
        <rFont val="FreeSans"/>
        <family val="2"/>
      </rPr>
      <t xml:space="preserve">ترانس مهتابی  </t>
    </r>
    <r>
      <rPr>
        <sz val="10"/>
        <rFont val="Vazirmatn"/>
        <family val="0"/>
        <charset val="1"/>
      </rPr>
      <t xml:space="preserve">40W</t>
    </r>
  </si>
  <si>
    <t xml:space="preserve">31213664</t>
  </si>
  <si>
    <r>
      <rPr>
        <sz val="10"/>
        <rFont val="FreeSans"/>
        <family val="2"/>
      </rPr>
      <t xml:space="preserve">ترانس ولتاژ به همراه متعلقات </t>
    </r>
    <r>
      <rPr>
        <sz val="10"/>
        <rFont val="Vazirmatn"/>
        <family val="0"/>
        <charset val="1"/>
      </rPr>
      <t xml:space="preserve">20000/220VAC</t>
    </r>
  </si>
  <si>
    <t xml:space="preserve">31213666</t>
  </si>
  <si>
    <r>
      <rPr>
        <sz val="10"/>
        <rFont val="FreeSans"/>
        <family val="2"/>
      </rPr>
      <t xml:space="preserve">سنسور جریان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ترانس جریان </t>
    </r>
    <r>
      <rPr>
        <sz val="10"/>
        <rFont val="Vazirmatn"/>
        <family val="0"/>
        <charset val="1"/>
      </rPr>
      <t xml:space="preserve">CT ) BA20-AI-T-2 Acrel</t>
    </r>
  </si>
  <si>
    <t xml:space="preserve">31213667</t>
  </si>
  <si>
    <r>
      <rPr>
        <sz val="10"/>
        <rFont val="FreeSans"/>
        <family val="2"/>
      </rPr>
      <t xml:space="preserve">سنسور جریان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ترانس جریان </t>
    </r>
    <r>
      <rPr>
        <sz val="10"/>
        <rFont val="Vazirmatn"/>
        <family val="0"/>
        <charset val="1"/>
      </rPr>
      <t xml:space="preserve">CT ) BA50-AI-T-2 Acrel</t>
    </r>
  </si>
  <si>
    <t xml:space="preserve">31213670</t>
  </si>
  <si>
    <r>
      <rPr>
        <sz val="10"/>
        <rFont val="FreeSans"/>
        <family val="2"/>
      </rPr>
      <t xml:space="preserve">ترانس </t>
    </r>
    <r>
      <rPr>
        <sz val="10"/>
        <rFont val="Vazirmatn"/>
        <family val="0"/>
        <charset val="1"/>
      </rPr>
      <t xml:space="preserve">( CT )  2000A</t>
    </r>
  </si>
  <si>
    <t xml:space="preserve">31213677</t>
  </si>
  <si>
    <r>
      <rPr>
        <sz val="10"/>
        <rFont val="FreeSans"/>
        <family val="2"/>
      </rPr>
      <t xml:space="preserve">ترانس ایزوله       </t>
    </r>
    <r>
      <rPr>
        <sz val="10"/>
        <rFont val="Vazirmatn"/>
        <family val="0"/>
        <charset val="1"/>
      </rPr>
      <t xml:space="preserve">4AM  400VA</t>
    </r>
  </si>
  <si>
    <t xml:space="preserve">31213678</t>
  </si>
  <si>
    <r>
      <rPr>
        <sz val="10"/>
        <rFont val="FreeSans"/>
        <family val="2"/>
      </rPr>
      <t xml:space="preserve">بالاست الکترونیکی مهتابی </t>
    </r>
    <r>
      <rPr>
        <sz val="10"/>
        <rFont val="Vazirmatn"/>
        <family val="0"/>
        <charset val="1"/>
      </rPr>
      <t xml:space="preserve">( 2 </t>
    </r>
    <r>
      <rPr>
        <sz val="10"/>
        <rFont val="FreeSans"/>
        <family val="2"/>
      </rPr>
      <t xml:space="preserve">لامپ </t>
    </r>
    <r>
      <rPr>
        <sz val="10"/>
        <rFont val="Vazirmatn"/>
        <family val="0"/>
        <charset val="1"/>
      </rPr>
      <t xml:space="preserve">)  40W</t>
    </r>
  </si>
  <si>
    <t xml:space="preserve">31213679</t>
  </si>
  <si>
    <r>
      <rPr>
        <sz val="10"/>
        <rFont val="FreeSans"/>
        <family val="2"/>
      </rPr>
      <t xml:space="preserve">ترانس لامپ گازی   </t>
    </r>
    <r>
      <rPr>
        <sz val="10"/>
        <rFont val="Vazirmatn"/>
        <family val="0"/>
        <charset val="1"/>
      </rPr>
      <t xml:space="preserve">400W</t>
    </r>
  </si>
  <si>
    <t xml:space="preserve">31213680</t>
  </si>
  <si>
    <r>
      <rPr>
        <sz val="10"/>
        <rFont val="FreeSans"/>
        <family val="2"/>
      </rPr>
      <t xml:space="preserve">ترانس لامپ گازی     </t>
    </r>
    <r>
      <rPr>
        <sz val="10"/>
        <rFont val="Vazirmatn"/>
        <family val="0"/>
        <charset val="1"/>
      </rPr>
      <t xml:space="preserve">250W</t>
    </r>
  </si>
  <si>
    <t xml:space="preserve">31213682</t>
  </si>
  <si>
    <r>
      <rPr>
        <sz val="10"/>
        <rFont val="FreeSans"/>
        <family val="2"/>
      </rPr>
      <t xml:space="preserve">ترانس الکترونیکی  لامپ </t>
    </r>
    <r>
      <rPr>
        <sz val="10"/>
        <rFont val="Vazirmatn"/>
        <family val="0"/>
        <charset val="1"/>
      </rPr>
      <t xml:space="preserve">40 * 2</t>
    </r>
  </si>
  <si>
    <t xml:space="preserve">31213683</t>
  </si>
  <si>
    <r>
      <rPr>
        <sz val="10"/>
        <rFont val="FreeSans"/>
        <family val="2"/>
      </rPr>
      <t xml:space="preserve">ترانس </t>
    </r>
    <r>
      <rPr>
        <sz val="10"/>
        <rFont val="Vazirmatn"/>
        <family val="0"/>
        <charset val="1"/>
      </rPr>
      <t xml:space="preserve">( CT )  1000A</t>
    </r>
  </si>
  <si>
    <t xml:space="preserve">31213684</t>
  </si>
  <si>
    <r>
      <rPr>
        <sz val="10"/>
        <rFont val="Vazirmatn"/>
        <family val="0"/>
        <charset val="1"/>
      </rPr>
      <t xml:space="preserve">CT </t>
    </r>
    <r>
      <rPr>
        <sz val="10"/>
        <rFont val="FreeSans"/>
        <family val="2"/>
      </rPr>
      <t xml:space="preserve">مگ الکتریک </t>
    </r>
    <r>
      <rPr>
        <sz val="10"/>
        <rFont val="Vazirmatn"/>
        <family val="0"/>
        <charset val="1"/>
      </rPr>
      <t xml:space="preserve">25/5/5</t>
    </r>
  </si>
  <si>
    <t xml:space="preserve">31213685</t>
  </si>
  <si>
    <r>
      <rPr>
        <sz val="10"/>
        <rFont val="FreeSans"/>
        <family val="2"/>
      </rPr>
      <t xml:space="preserve">فریم پریز ترانکینگ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تایی</t>
    </r>
  </si>
  <si>
    <t xml:space="preserve">31213688</t>
  </si>
  <si>
    <r>
      <rPr>
        <sz val="10"/>
        <rFont val="FreeSans"/>
        <family val="2"/>
      </rPr>
      <t xml:space="preserve">پریز ارت دار ترانکینگ </t>
    </r>
    <r>
      <rPr>
        <sz val="10"/>
        <rFont val="Vazirmatn"/>
        <family val="0"/>
        <charset val="1"/>
      </rPr>
      <t xml:space="preserve">UPS ( </t>
    </r>
    <r>
      <rPr>
        <sz val="10"/>
        <rFont val="FreeSans"/>
        <family val="2"/>
      </rPr>
      <t xml:space="preserve">قرمز </t>
    </r>
    <r>
      <rPr>
        <sz val="10"/>
        <rFont val="Vazirmatn"/>
        <family val="0"/>
        <charset val="1"/>
      </rPr>
      <t xml:space="preserve">)</t>
    </r>
  </si>
  <si>
    <t xml:space="preserve">31213690</t>
  </si>
  <si>
    <t xml:space="preserve">ترانسیمتر فاکس برو  پنوماتیک</t>
  </si>
  <si>
    <t xml:space="preserve">31213692</t>
  </si>
  <si>
    <r>
      <rPr>
        <sz val="10"/>
        <rFont val="FreeSans"/>
        <family val="2"/>
      </rPr>
      <t xml:space="preserve">ترنسمیتر فشار                  </t>
    </r>
    <r>
      <rPr>
        <sz val="10"/>
        <rFont val="Vazirmatn"/>
        <family val="0"/>
        <charset val="1"/>
      </rPr>
      <t xml:space="preserve">-1 + 2  bar</t>
    </r>
  </si>
  <si>
    <t xml:space="preserve">31213693</t>
  </si>
  <si>
    <r>
      <rPr>
        <sz val="10"/>
        <rFont val="FreeSans"/>
        <family val="2"/>
      </rPr>
      <t xml:space="preserve">ترنسمیتر فشار دیافراگمی  </t>
    </r>
    <r>
      <rPr>
        <sz val="10"/>
        <rFont val="Vazirmatn"/>
        <family val="0"/>
        <charset val="1"/>
      </rPr>
      <t xml:space="preserve">0 - 10 bar</t>
    </r>
  </si>
  <si>
    <t xml:space="preserve">31213697</t>
  </si>
  <si>
    <r>
      <rPr>
        <sz val="10"/>
        <rFont val="FreeSans"/>
        <family val="2"/>
      </rPr>
      <t xml:space="preserve">سوکت شبکه شانه دار با روکش فلزی </t>
    </r>
    <r>
      <rPr>
        <sz val="10"/>
        <rFont val="Vazirmatn"/>
        <family val="0"/>
        <charset val="1"/>
      </rPr>
      <t xml:space="preserve">( SFTP ) Cat 6&amp;7 Rj-45 Open End</t>
    </r>
  </si>
  <si>
    <t xml:space="preserve">31213698</t>
  </si>
  <si>
    <r>
      <rPr>
        <sz val="10"/>
        <rFont val="FreeSans"/>
        <family val="2"/>
      </rPr>
      <t xml:space="preserve">پریز توکار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گرد اسمارت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ملونی </t>
    </r>
    <r>
      <rPr>
        <sz val="10"/>
        <rFont val="Vazirmatn"/>
        <family val="0"/>
        <charset val="1"/>
      </rPr>
      <t xml:space="preserve">10032</t>
    </r>
  </si>
  <si>
    <t xml:space="preserve">31213699</t>
  </si>
  <si>
    <r>
      <rPr>
        <sz val="10"/>
        <rFont val="FreeSans"/>
        <family val="2"/>
      </rPr>
      <t xml:space="preserve">پریز ارت دار داخل ترانکینگ لگراند </t>
    </r>
    <r>
      <rPr>
        <sz val="10"/>
        <rFont val="Vazirmatn"/>
        <family val="0"/>
        <charset val="1"/>
      </rPr>
      <t xml:space="preserve">85*50</t>
    </r>
  </si>
  <si>
    <t xml:space="preserve">31213700</t>
  </si>
  <si>
    <r>
      <rPr>
        <sz val="10"/>
        <rFont val="FreeSans"/>
        <family val="2"/>
      </rPr>
      <t xml:space="preserve">پریز دیواری توکار  </t>
    </r>
    <r>
      <rPr>
        <sz val="10"/>
        <rFont val="Vazirmatn"/>
        <family val="0"/>
        <charset val="1"/>
      </rPr>
      <t xml:space="preserve">HDMI</t>
    </r>
  </si>
  <si>
    <t xml:space="preserve">31213706</t>
  </si>
  <si>
    <r>
      <rPr>
        <sz val="10"/>
        <rFont val="FreeSans"/>
        <family val="2"/>
      </rPr>
      <t xml:space="preserve">پریز صنعتی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)</t>
    </r>
  </si>
  <si>
    <t xml:space="preserve">31213707</t>
  </si>
  <si>
    <t xml:space="preserve">پریز  لاستیکی مادگی ارتدار</t>
  </si>
  <si>
    <t xml:space="preserve">31213709</t>
  </si>
  <si>
    <t xml:space="preserve">قاب پریز برق روکار لگراند</t>
  </si>
  <si>
    <t xml:space="preserve">31213715</t>
  </si>
  <si>
    <r>
      <rPr>
        <sz val="10"/>
        <rFont val="FreeSans"/>
        <family val="2"/>
      </rPr>
      <t xml:space="preserve">فریم پریز ترانکینگ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تایی</t>
    </r>
  </si>
  <si>
    <t xml:space="preserve">31213716</t>
  </si>
  <si>
    <r>
      <rPr>
        <sz val="10"/>
        <rFont val="FreeSans"/>
        <family val="2"/>
      </rPr>
      <t xml:space="preserve">پریز ارت دار </t>
    </r>
    <r>
      <rPr>
        <sz val="10"/>
        <rFont val="Vazirmatn"/>
        <family val="0"/>
        <charset val="1"/>
      </rPr>
      <t xml:space="preserve">UPS </t>
    </r>
    <r>
      <rPr>
        <sz val="10"/>
        <rFont val="FreeSans"/>
        <family val="2"/>
      </rPr>
      <t xml:space="preserve">داخل ترانکینگ سوپیتا </t>
    </r>
    <r>
      <rPr>
        <sz val="10"/>
        <rFont val="Vazirmatn"/>
        <family val="0"/>
        <charset val="1"/>
      </rPr>
      <t xml:space="preserve">100*50</t>
    </r>
  </si>
  <si>
    <t xml:space="preserve">31213717</t>
  </si>
  <si>
    <t xml:space="preserve">پریز ارت دار ترانکینگ</t>
  </si>
  <si>
    <t xml:space="preserve">31213719</t>
  </si>
  <si>
    <t xml:space="preserve">پریز تلفن ترانکینگ باریک به همراه فیس پلیت</t>
  </si>
  <si>
    <t xml:space="preserve">31213721</t>
  </si>
  <si>
    <r>
      <rPr>
        <sz val="10"/>
        <rFont val="FreeSans"/>
        <family val="2"/>
      </rPr>
      <t xml:space="preserve">پریز  چدنی سه فاز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آمپر</t>
    </r>
  </si>
  <si>
    <t xml:space="preserve">31213722</t>
  </si>
  <si>
    <t xml:space="preserve">پریز شبکه ترانکینگ باریک به همراه فیس پلیت</t>
  </si>
  <si>
    <t xml:space="preserve">31213723</t>
  </si>
  <si>
    <r>
      <rPr>
        <sz val="10"/>
        <rFont val="FreeSans"/>
        <family val="2"/>
      </rPr>
      <t xml:space="preserve">پریز رومیزی ملونی </t>
    </r>
    <r>
      <rPr>
        <sz val="10"/>
        <rFont val="Vazirmatn"/>
        <family val="0"/>
        <charset val="1"/>
      </rPr>
      <t xml:space="preserve">10024</t>
    </r>
  </si>
  <si>
    <t xml:space="preserve">31213726</t>
  </si>
  <si>
    <t xml:space="preserve">انبر اتصال باتری بزرگ</t>
  </si>
  <si>
    <t xml:space="preserve">31213729</t>
  </si>
  <si>
    <t xml:space="preserve">پریز  چهارقلوی چراغ دار دو شاخه ای</t>
  </si>
  <si>
    <t xml:space="preserve">31213730</t>
  </si>
  <si>
    <t xml:space="preserve">پریز تلفن توکار دو سوکت</t>
  </si>
  <si>
    <t xml:space="preserve">31213731</t>
  </si>
  <si>
    <t xml:space="preserve">کارت ورودی آنالوگ</t>
  </si>
  <si>
    <t xml:space="preserve">31213733</t>
  </si>
  <si>
    <r>
      <rPr>
        <sz val="10"/>
        <rFont val="FreeSans"/>
        <family val="2"/>
      </rPr>
      <t xml:space="preserve">کارت آنالوگ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خروجی </t>
    </r>
    <r>
      <rPr>
        <sz val="10"/>
        <rFont val="Vazirmatn"/>
        <family val="0"/>
        <charset val="1"/>
      </rPr>
      <t xml:space="preserve">) 8</t>
    </r>
    <r>
      <rPr>
        <sz val="10"/>
        <rFont val="FreeSans"/>
        <family val="2"/>
      </rPr>
      <t xml:space="preserve">کاناله </t>
    </r>
    <r>
      <rPr>
        <sz val="10"/>
        <rFont val="Vazirmatn"/>
        <family val="0"/>
        <charset val="1"/>
      </rPr>
      <t xml:space="preserve">S7 - 300 A0</t>
    </r>
  </si>
  <si>
    <t xml:space="preserve">31213735</t>
  </si>
  <si>
    <r>
      <rPr>
        <sz val="10"/>
        <rFont val="FreeSans"/>
        <family val="2"/>
      </rPr>
      <t xml:space="preserve">کارت </t>
    </r>
    <r>
      <rPr>
        <sz val="10"/>
        <rFont val="Vazirmatn"/>
        <family val="0"/>
        <charset val="1"/>
      </rPr>
      <t xml:space="preserve">6ES7221 - 1BH32 - OXBO PLC DI</t>
    </r>
  </si>
  <si>
    <t xml:space="preserve">31213736</t>
  </si>
  <si>
    <r>
      <rPr>
        <sz val="10"/>
        <rFont val="FreeSans"/>
        <family val="2"/>
      </rPr>
      <t xml:space="preserve">کارت </t>
    </r>
    <r>
      <rPr>
        <sz val="10"/>
        <rFont val="Vazirmatn"/>
        <family val="0"/>
        <charset val="1"/>
      </rPr>
      <t xml:space="preserve">6ES7222 - 1BH32 - OXBO PLC DO</t>
    </r>
  </si>
  <si>
    <t xml:space="preserve">31213738</t>
  </si>
  <si>
    <r>
      <rPr>
        <sz val="10"/>
        <rFont val="FreeSans"/>
        <family val="2"/>
      </rPr>
      <t xml:space="preserve">کارت </t>
    </r>
    <r>
      <rPr>
        <sz val="10"/>
        <rFont val="Vazirmatn"/>
        <family val="0"/>
        <charset val="1"/>
      </rPr>
      <t xml:space="preserve">6ES7232 - 4HD32 - OXBO PLC AO</t>
    </r>
  </si>
  <si>
    <t xml:space="preserve">31213739</t>
  </si>
  <si>
    <r>
      <rPr>
        <sz val="10"/>
        <rFont val="FreeSans"/>
        <family val="2"/>
      </rPr>
      <t xml:space="preserve">کارت </t>
    </r>
    <r>
      <rPr>
        <sz val="10"/>
        <rFont val="Vazirmatn"/>
        <family val="0"/>
        <charset val="1"/>
      </rPr>
      <t xml:space="preserve">6ES7331 - 7KF02 - OABO PLC AI</t>
    </r>
  </si>
  <si>
    <t xml:space="preserve">31213746</t>
  </si>
  <si>
    <r>
      <rPr>
        <sz val="10"/>
        <rFont val="FreeSans"/>
        <family val="2"/>
      </rPr>
      <t xml:space="preserve">ماژول ورودی آنالوگ </t>
    </r>
    <r>
      <rPr>
        <sz val="10"/>
        <rFont val="Vazirmatn"/>
        <family val="0"/>
        <charset val="1"/>
      </rPr>
      <t xml:space="preserve">6ES7 332-5HD01-0AB0</t>
    </r>
  </si>
  <si>
    <t xml:space="preserve">31213749</t>
  </si>
  <si>
    <r>
      <rPr>
        <sz val="10"/>
        <rFont val="FreeSans"/>
        <family val="2"/>
      </rPr>
      <t xml:space="preserve">سر سیم </t>
    </r>
    <r>
      <rPr>
        <sz val="10"/>
        <rFont val="Vazirmatn"/>
        <family val="0"/>
        <charset val="1"/>
      </rPr>
      <t xml:space="preserve">U </t>
    </r>
    <r>
      <rPr>
        <sz val="10"/>
        <rFont val="FreeSans"/>
        <family val="2"/>
      </rPr>
      <t xml:space="preserve">شکل  </t>
    </r>
    <r>
      <rPr>
        <sz val="10"/>
        <rFont val="Vazirmatn"/>
        <family val="0"/>
        <charset val="1"/>
      </rPr>
      <t xml:space="preserve">1/5</t>
    </r>
  </si>
  <si>
    <t xml:space="preserve">31213752</t>
  </si>
  <si>
    <r>
      <rPr>
        <sz val="10"/>
        <rFont val="FreeSans"/>
        <family val="2"/>
      </rPr>
      <t xml:space="preserve">سر سیم سوزنی  </t>
    </r>
    <r>
      <rPr>
        <sz val="10"/>
        <rFont val="Vazirmatn"/>
        <family val="0"/>
        <charset val="1"/>
      </rPr>
      <t xml:space="preserve">1/5</t>
    </r>
  </si>
  <si>
    <t xml:space="preserve">31213753</t>
  </si>
  <si>
    <r>
      <rPr>
        <sz val="10"/>
        <rFont val="FreeSans"/>
        <family val="2"/>
      </rPr>
      <t xml:space="preserve">فیش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سوکت </t>
    </r>
    <r>
      <rPr>
        <sz val="10"/>
        <rFont val="Vazirmatn"/>
        <family val="0"/>
        <charset val="1"/>
      </rPr>
      <t xml:space="preserve">)</t>
    </r>
  </si>
  <si>
    <t xml:space="preserve">31213754</t>
  </si>
  <si>
    <r>
      <rPr>
        <sz val="10"/>
        <rFont val="FreeSans"/>
        <family val="2"/>
      </rPr>
      <t xml:space="preserve">سرسیم سوزنی  </t>
    </r>
    <r>
      <rPr>
        <sz val="10"/>
        <rFont val="Vazirmatn"/>
        <family val="0"/>
        <charset val="1"/>
      </rPr>
      <t xml:space="preserve">25</t>
    </r>
  </si>
  <si>
    <t xml:space="preserve">31213758</t>
  </si>
  <si>
    <r>
      <rPr>
        <sz val="10"/>
        <rFont val="FreeSans"/>
        <family val="2"/>
      </rPr>
      <t xml:space="preserve">سر سیم چشمی </t>
    </r>
    <r>
      <rPr>
        <sz val="10"/>
        <rFont val="Vazirmatn"/>
        <family val="0"/>
        <charset val="1"/>
      </rPr>
      <t xml:space="preserve">5/5</t>
    </r>
  </si>
  <si>
    <t xml:space="preserve">31213759</t>
  </si>
  <si>
    <r>
      <rPr>
        <sz val="10"/>
        <rFont val="FreeSans"/>
        <family val="2"/>
      </rPr>
      <t xml:space="preserve">سر سیم سوزنی   نمره      </t>
    </r>
    <r>
      <rPr>
        <sz val="10"/>
        <rFont val="Vazirmatn"/>
        <family val="0"/>
        <charset val="1"/>
      </rPr>
      <t xml:space="preserve">4</t>
    </r>
  </si>
  <si>
    <t xml:space="preserve">31213760</t>
  </si>
  <si>
    <r>
      <rPr>
        <sz val="10"/>
        <rFont val="FreeSans"/>
        <family val="2"/>
      </rPr>
      <t xml:space="preserve">سر سیم سوزنی             </t>
    </r>
    <r>
      <rPr>
        <sz val="10"/>
        <rFont val="Vazirmatn"/>
        <family val="0"/>
        <charset val="1"/>
      </rPr>
      <t xml:space="preserve">2/5</t>
    </r>
  </si>
  <si>
    <t xml:space="preserve">31213761</t>
  </si>
  <si>
    <r>
      <rPr>
        <sz val="10"/>
        <rFont val="FreeSans"/>
        <family val="2"/>
      </rPr>
      <t xml:space="preserve">سر سیم  چشمی            </t>
    </r>
    <r>
      <rPr>
        <sz val="10"/>
        <rFont val="Vazirmatn"/>
        <family val="0"/>
        <charset val="1"/>
      </rPr>
      <t xml:space="preserve">1/5</t>
    </r>
  </si>
  <si>
    <t xml:space="preserve">31213762</t>
  </si>
  <si>
    <r>
      <rPr>
        <sz val="10"/>
        <rFont val="FreeSans"/>
        <family val="2"/>
      </rPr>
      <t xml:space="preserve">سر سیم سوزنی       نمره </t>
    </r>
    <r>
      <rPr>
        <sz val="10"/>
        <rFont val="Vazirmatn"/>
        <family val="0"/>
        <charset val="1"/>
      </rPr>
      <t xml:space="preserve">1</t>
    </r>
  </si>
  <si>
    <t xml:space="preserve">31213764</t>
  </si>
  <si>
    <r>
      <rPr>
        <sz val="10"/>
        <rFont val="FreeSans"/>
        <family val="2"/>
      </rPr>
      <t xml:space="preserve">سر سیم   سوزنی         </t>
    </r>
    <r>
      <rPr>
        <sz val="10"/>
        <rFont val="Vazirmatn"/>
        <family val="0"/>
        <charset val="1"/>
      </rPr>
      <t xml:space="preserve">10</t>
    </r>
  </si>
  <si>
    <t xml:space="preserve">31213765</t>
  </si>
  <si>
    <r>
      <rPr>
        <sz val="10"/>
        <rFont val="FreeSans"/>
        <family val="2"/>
      </rPr>
      <t xml:space="preserve">سر سیم   چشمی    </t>
    </r>
    <r>
      <rPr>
        <sz val="10"/>
        <rFont val="Vazirmatn"/>
        <family val="0"/>
        <charset val="1"/>
      </rPr>
      <t xml:space="preserve">2.5*5</t>
    </r>
  </si>
  <si>
    <t xml:space="preserve">31213767</t>
  </si>
  <si>
    <r>
      <rPr>
        <sz val="10"/>
        <rFont val="FreeSans"/>
        <family val="2"/>
      </rPr>
      <t xml:space="preserve">سر سیم سوزنی        </t>
    </r>
    <r>
      <rPr>
        <sz val="10"/>
        <rFont val="Vazirmatn"/>
        <family val="0"/>
        <charset val="1"/>
      </rPr>
      <t xml:space="preserve">0/75</t>
    </r>
  </si>
  <si>
    <t xml:space="preserve">31213769</t>
  </si>
  <si>
    <r>
      <rPr>
        <sz val="10"/>
        <rFont val="FreeSans"/>
        <family val="2"/>
      </rPr>
      <t xml:space="preserve">سر سیم  سوزنی    </t>
    </r>
    <r>
      <rPr>
        <sz val="10"/>
        <rFont val="Vazirmatn"/>
        <family val="0"/>
        <charset val="1"/>
      </rPr>
      <t xml:space="preserve">6</t>
    </r>
  </si>
  <si>
    <t xml:space="preserve">31213771</t>
  </si>
  <si>
    <r>
      <rPr>
        <sz val="10"/>
        <rFont val="FreeSans"/>
        <family val="2"/>
      </rPr>
      <t xml:space="preserve">سر سیم سوزنی            </t>
    </r>
    <r>
      <rPr>
        <sz val="10"/>
        <rFont val="Vazirmatn"/>
        <family val="0"/>
        <charset val="1"/>
      </rPr>
      <t xml:space="preserve">35</t>
    </r>
  </si>
  <si>
    <t xml:space="preserve">31213772</t>
  </si>
  <si>
    <r>
      <rPr>
        <sz val="10"/>
        <rFont val="FreeSans"/>
        <family val="2"/>
      </rPr>
      <t xml:space="preserve">سر سیم چشمی          </t>
    </r>
    <r>
      <rPr>
        <sz val="10"/>
        <rFont val="Vazirmatn"/>
        <family val="0"/>
        <charset val="1"/>
      </rPr>
      <t xml:space="preserve">2/5</t>
    </r>
  </si>
  <si>
    <t xml:space="preserve">31213773</t>
  </si>
  <si>
    <r>
      <rPr>
        <sz val="10"/>
        <rFont val="FreeSans"/>
        <family val="2"/>
      </rPr>
      <t xml:space="preserve">سر سیم چشمی             </t>
    </r>
    <r>
      <rPr>
        <sz val="10"/>
        <rFont val="Vazirmatn"/>
        <family val="0"/>
        <charset val="1"/>
      </rPr>
      <t xml:space="preserve">4</t>
    </r>
  </si>
  <si>
    <t xml:space="preserve">31213779</t>
  </si>
  <si>
    <r>
      <rPr>
        <sz val="10"/>
        <rFont val="FreeSans"/>
        <family val="2"/>
      </rPr>
      <t xml:space="preserve">کارت </t>
    </r>
    <r>
      <rPr>
        <sz val="10"/>
        <rFont val="Vazirmatn"/>
        <family val="0"/>
        <charset val="1"/>
      </rPr>
      <t xml:space="preserve">6ES7234 - 4HE32 - OXBO  AO/AI</t>
    </r>
  </si>
  <si>
    <t xml:space="preserve">31213783</t>
  </si>
  <si>
    <r>
      <rPr>
        <sz val="10"/>
        <rFont val="FreeSans"/>
        <family val="2"/>
      </rPr>
      <t xml:space="preserve">سر پیچ لامپ سرامیکی بزرگ    </t>
    </r>
    <r>
      <rPr>
        <sz val="10"/>
        <rFont val="Vazirmatn"/>
        <family val="0"/>
        <charset val="1"/>
      </rPr>
      <t xml:space="preserve">E 40</t>
    </r>
  </si>
  <si>
    <t xml:space="preserve">31213787</t>
  </si>
  <si>
    <t xml:space="preserve">سرپیچ لامپ</t>
  </si>
  <si>
    <t xml:space="preserve">31213788</t>
  </si>
  <si>
    <r>
      <rPr>
        <sz val="10"/>
        <rFont val="FreeSans"/>
        <family val="2"/>
      </rPr>
      <t xml:space="preserve">سرسیم شیلنگی  </t>
    </r>
    <r>
      <rPr>
        <sz val="10"/>
        <rFont val="Vazirmatn"/>
        <family val="0"/>
        <charset val="1"/>
      </rPr>
      <t xml:space="preserve">SMD</t>
    </r>
  </si>
  <si>
    <t xml:space="preserve">31213790</t>
  </si>
  <si>
    <r>
      <rPr>
        <sz val="10"/>
        <rFont val="FreeSans"/>
        <family val="2"/>
      </rPr>
      <t xml:space="preserve">سر پیچ لامپ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تبدیل بزرگ به کوچک </t>
    </r>
    <r>
      <rPr>
        <sz val="10"/>
        <rFont val="Vazirmatn"/>
        <family val="0"/>
        <charset val="1"/>
      </rPr>
      <t xml:space="preserve">)</t>
    </r>
  </si>
  <si>
    <t xml:space="preserve">31213794</t>
  </si>
  <si>
    <r>
      <rPr>
        <sz val="10"/>
        <rFont val="FreeSans"/>
        <family val="2"/>
      </rPr>
      <t xml:space="preserve">سر سیم چشمی            </t>
    </r>
    <r>
      <rPr>
        <sz val="10"/>
        <rFont val="Vazirmatn"/>
        <family val="0"/>
        <charset val="1"/>
      </rPr>
      <t xml:space="preserve">6</t>
    </r>
  </si>
  <si>
    <t xml:space="preserve">31213795</t>
  </si>
  <si>
    <r>
      <rPr>
        <sz val="10"/>
        <rFont val="FreeSans"/>
        <family val="2"/>
      </rPr>
      <t xml:space="preserve">سرسیم سوزنی  </t>
    </r>
    <r>
      <rPr>
        <sz val="10"/>
        <rFont val="Vazirmatn"/>
        <family val="0"/>
        <charset val="1"/>
      </rPr>
      <t xml:space="preserve">16</t>
    </r>
  </si>
  <si>
    <t xml:space="preserve">31213796</t>
  </si>
  <si>
    <r>
      <rPr>
        <sz val="10"/>
        <rFont val="FreeSans"/>
        <family val="2"/>
      </rPr>
      <t xml:space="preserve">سر سیم سوزنی دوبل نمره </t>
    </r>
    <r>
      <rPr>
        <sz val="10"/>
        <rFont val="Vazirmatn"/>
        <family val="0"/>
        <charset val="1"/>
      </rPr>
      <t xml:space="preserve">2/5</t>
    </r>
  </si>
  <si>
    <t xml:space="preserve">31213797</t>
  </si>
  <si>
    <r>
      <rPr>
        <sz val="10"/>
        <rFont val="FreeSans"/>
        <family val="2"/>
      </rPr>
      <t xml:space="preserve">سر سیم سوزنی دوبل نمره </t>
    </r>
    <r>
      <rPr>
        <sz val="10"/>
        <rFont val="Vazirmatn"/>
        <family val="0"/>
        <charset val="1"/>
      </rPr>
      <t xml:space="preserve">4</t>
    </r>
  </si>
  <si>
    <t xml:space="preserve">31213798</t>
  </si>
  <si>
    <r>
      <rPr>
        <sz val="10"/>
        <rFont val="FreeSans"/>
        <family val="2"/>
      </rPr>
      <t xml:space="preserve">سر سیم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وایر شو </t>
    </r>
    <r>
      <rPr>
        <sz val="10"/>
        <rFont val="Vazirmatn"/>
        <family val="0"/>
        <charset val="1"/>
      </rPr>
      <t xml:space="preserve">) 0/5</t>
    </r>
  </si>
  <si>
    <t xml:space="preserve">31213800</t>
  </si>
  <si>
    <r>
      <rPr>
        <sz val="10"/>
        <rFont val="FreeSans"/>
        <family val="2"/>
      </rPr>
      <t xml:space="preserve">سر سیم سوزنی دوبل نمره </t>
    </r>
    <r>
      <rPr>
        <sz val="10"/>
        <rFont val="Vazirmatn"/>
        <family val="0"/>
        <charset val="1"/>
      </rPr>
      <t xml:space="preserve">6</t>
    </r>
  </si>
  <si>
    <t xml:space="preserve">31213801</t>
  </si>
  <si>
    <r>
      <rPr>
        <sz val="10"/>
        <rFont val="FreeSans"/>
        <family val="2"/>
      </rPr>
      <t xml:space="preserve">شماره سیم فشاری </t>
    </r>
    <r>
      <rPr>
        <sz val="10"/>
        <rFont val="Vazirmatn"/>
        <family val="0"/>
        <charset val="1"/>
      </rPr>
      <t xml:space="preserve">2/5mm  </t>
    </r>
    <r>
      <rPr>
        <sz val="10"/>
        <rFont val="FreeSans"/>
        <family val="2"/>
      </rPr>
      <t xml:space="preserve">شماره </t>
    </r>
    <r>
      <rPr>
        <sz val="10"/>
        <rFont val="Vazirmatn"/>
        <family val="0"/>
        <charset val="1"/>
      </rPr>
      <t xml:space="preserve">9 - 0</t>
    </r>
  </si>
  <si>
    <t xml:space="preserve">31213802</t>
  </si>
  <si>
    <r>
      <rPr>
        <sz val="10"/>
        <rFont val="FreeSans"/>
        <family val="2"/>
      </rPr>
      <t xml:space="preserve">شماره سیم فشاری </t>
    </r>
    <r>
      <rPr>
        <sz val="10"/>
        <rFont val="Vazirmatn"/>
        <family val="0"/>
        <charset val="1"/>
      </rPr>
      <t xml:space="preserve">1mm  </t>
    </r>
    <r>
      <rPr>
        <sz val="10"/>
        <rFont val="FreeSans"/>
        <family val="2"/>
      </rPr>
      <t xml:space="preserve">شماره </t>
    </r>
    <r>
      <rPr>
        <sz val="10"/>
        <rFont val="Vazirmatn"/>
        <family val="0"/>
        <charset val="1"/>
      </rPr>
      <t xml:space="preserve">9 - 0</t>
    </r>
  </si>
  <si>
    <t xml:space="preserve">31213803</t>
  </si>
  <si>
    <t xml:space="preserve">لیبل تابلو برق پشت چسب دار</t>
  </si>
  <si>
    <t xml:space="preserve">31213804</t>
  </si>
  <si>
    <r>
      <rPr>
        <sz val="10"/>
        <rFont val="FreeSans"/>
        <family val="2"/>
      </rPr>
      <t xml:space="preserve">سر سیم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فیش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مادگی کولری </t>
    </r>
    <r>
      <rPr>
        <sz val="10"/>
        <rFont val="Vazirmatn"/>
        <family val="0"/>
        <charset val="1"/>
      </rPr>
      <t xml:space="preserve">6/3</t>
    </r>
  </si>
  <si>
    <t xml:space="preserve">31213805</t>
  </si>
  <si>
    <r>
      <rPr>
        <sz val="10"/>
        <rFont val="FreeSans"/>
        <family val="2"/>
      </rPr>
      <t xml:space="preserve">سر سیم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فیش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مادگی کولری پرچمی </t>
    </r>
    <r>
      <rPr>
        <sz val="10"/>
        <rFont val="Vazirmatn"/>
        <family val="0"/>
        <charset val="1"/>
      </rPr>
      <t xml:space="preserve">6/3</t>
    </r>
  </si>
  <si>
    <t xml:space="preserve">31213806</t>
  </si>
  <si>
    <r>
      <rPr>
        <sz val="10"/>
        <rFont val="FreeSans"/>
        <family val="2"/>
      </rPr>
      <t xml:space="preserve">سر سیم گرد چشمی زرد رنگ </t>
    </r>
    <r>
      <rPr>
        <sz val="10"/>
        <rFont val="Vazirmatn"/>
        <family val="0"/>
        <charset val="1"/>
      </rPr>
      <t xml:space="preserve">8 - 5/5</t>
    </r>
  </si>
  <si>
    <t xml:space="preserve">31213807</t>
  </si>
  <si>
    <t xml:space="preserve">لیبل شماره گذاری دور کابل شبکه</t>
  </si>
  <si>
    <t xml:space="preserve">31213808</t>
  </si>
  <si>
    <r>
      <rPr>
        <sz val="10"/>
        <rFont val="FreeSans"/>
        <family val="2"/>
      </rPr>
      <t xml:space="preserve">سر سیم سوزنی دوبل  </t>
    </r>
    <r>
      <rPr>
        <sz val="10"/>
        <rFont val="Vazirmatn"/>
        <family val="0"/>
        <charset val="1"/>
      </rPr>
      <t xml:space="preserve">0/75</t>
    </r>
  </si>
  <si>
    <t xml:space="preserve">31213809</t>
  </si>
  <si>
    <r>
      <rPr>
        <sz val="10"/>
        <rFont val="FreeSans"/>
        <family val="2"/>
      </rPr>
      <t xml:space="preserve">شماره سیم فشاری </t>
    </r>
    <r>
      <rPr>
        <sz val="10"/>
        <rFont val="Vazirmatn"/>
        <family val="0"/>
        <charset val="1"/>
      </rPr>
      <t xml:space="preserve">1mm - 0/5 </t>
    </r>
    <r>
      <rPr>
        <sz val="10"/>
        <rFont val="FreeSans"/>
        <family val="2"/>
      </rPr>
      <t xml:space="preserve">شماره </t>
    </r>
    <r>
      <rPr>
        <sz val="10"/>
        <rFont val="Vazirmatn"/>
        <family val="0"/>
        <charset val="1"/>
      </rPr>
      <t xml:space="preserve">9 - 0</t>
    </r>
  </si>
  <si>
    <t xml:space="preserve">31213810</t>
  </si>
  <si>
    <r>
      <rPr>
        <sz val="10"/>
        <rFont val="FreeSans"/>
        <family val="2"/>
      </rPr>
      <t xml:space="preserve">سر سیم سوزنی وایر شو  </t>
    </r>
    <r>
      <rPr>
        <sz val="10"/>
        <rFont val="Vazirmatn"/>
        <family val="0"/>
        <charset val="1"/>
      </rPr>
      <t xml:space="preserve">0/5</t>
    </r>
  </si>
  <si>
    <t xml:space="preserve">31213811</t>
  </si>
  <si>
    <t xml:space="preserve">سوکت برد</t>
  </si>
  <si>
    <t xml:space="preserve">31213812</t>
  </si>
  <si>
    <r>
      <rPr>
        <sz val="10"/>
        <rFont val="FreeSans"/>
        <family val="2"/>
      </rPr>
      <t xml:space="preserve">سوکت </t>
    </r>
    <r>
      <rPr>
        <sz val="10"/>
        <rFont val="Vazirmatn"/>
        <family val="0"/>
        <charset val="1"/>
      </rPr>
      <t xml:space="preserve">PLC </t>
    </r>
    <r>
      <rPr>
        <sz val="10"/>
        <rFont val="FreeSans"/>
        <family val="2"/>
      </rPr>
      <t xml:space="preserve">دلتا  </t>
    </r>
    <r>
      <rPr>
        <sz val="10"/>
        <rFont val="Vazirmatn"/>
        <family val="0"/>
        <charset val="1"/>
      </rPr>
      <t xml:space="preserve">PS2 - 8pin</t>
    </r>
  </si>
  <si>
    <t xml:space="preserve">31213813</t>
  </si>
  <si>
    <r>
      <rPr>
        <sz val="10"/>
        <rFont val="FreeSans"/>
        <family val="2"/>
      </rPr>
      <t xml:space="preserve">سر سیم سوزنی دوبل نمره </t>
    </r>
    <r>
      <rPr>
        <sz val="10"/>
        <rFont val="Vazirmatn"/>
        <family val="0"/>
        <charset val="1"/>
      </rPr>
      <t xml:space="preserve">10</t>
    </r>
  </si>
  <si>
    <t xml:space="preserve">31213815</t>
  </si>
  <si>
    <r>
      <rPr>
        <sz val="10"/>
        <rFont val="FreeSans"/>
        <family val="2"/>
      </rPr>
      <t xml:space="preserve">سوکت نظامی نری و مادگی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پین</t>
    </r>
  </si>
  <si>
    <t xml:space="preserve">31213816</t>
  </si>
  <si>
    <r>
      <rPr>
        <sz val="10"/>
        <rFont val="FreeSans"/>
        <family val="2"/>
      </rPr>
      <t xml:space="preserve">سوکت نظامی نری و مادگی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پین</t>
    </r>
  </si>
  <si>
    <t xml:space="preserve">31213817</t>
  </si>
  <si>
    <r>
      <rPr>
        <sz val="10"/>
        <rFont val="FreeSans"/>
        <family val="2"/>
      </rPr>
      <t xml:space="preserve">سوکت نظامی نری و مادگی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پین</t>
    </r>
  </si>
  <si>
    <t xml:space="preserve">31213818</t>
  </si>
  <si>
    <r>
      <rPr>
        <sz val="10"/>
        <rFont val="FreeSans"/>
        <family val="2"/>
      </rPr>
      <t xml:space="preserve">سوکت سیم تلفن </t>
    </r>
    <r>
      <rPr>
        <sz val="10"/>
        <rFont val="Vazirmatn"/>
        <family val="0"/>
        <charset val="1"/>
      </rPr>
      <t xml:space="preserve">( Rj - 9 )</t>
    </r>
  </si>
  <si>
    <t xml:space="preserve">31214100</t>
  </si>
  <si>
    <r>
      <rPr>
        <sz val="10"/>
        <rFont val="FreeSans"/>
        <family val="2"/>
      </rPr>
      <t xml:space="preserve">ترنسمیتر فشار  </t>
    </r>
    <r>
      <rPr>
        <sz val="10"/>
        <rFont val="Vazirmatn"/>
        <family val="0"/>
        <charset val="1"/>
      </rPr>
      <t xml:space="preserve">PTP35-A1C17H1DB4A</t>
    </r>
  </si>
  <si>
    <t xml:space="preserve">31214111</t>
  </si>
  <si>
    <r>
      <rPr>
        <sz val="10"/>
        <rFont val="FreeSans"/>
        <family val="2"/>
      </rPr>
      <t xml:space="preserve">بی متال تله   </t>
    </r>
    <r>
      <rPr>
        <sz val="10"/>
        <rFont val="Vazirmatn"/>
        <family val="0"/>
        <charset val="1"/>
      </rPr>
      <t xml:space="preserve">46kw  65A</t>
    </r>
  </si>
  <si>
    <t xml:space="preserve">31214115</t>
  </si>
  <si>
    <r>
      <rPr>
        <sz val="10"/>
        <rFont val="FreeSans"/>
        <family val="2"/>
      </rPr>
      <t xml:space="preserve">بی متال   </t>
    </r>
    <r>
      <rPr>
        <sz val="10"/>
        <rFont val="Vazirmatn"/>
        <family val="0"/>
        <charset val="1"/>
      </rPr>
      <t xml:space="preserve">10 - 6/3A</t>
    </r>
  </si>
  <si>
    <t xml:space="preserve">31214140</t>
  </si>
  <si>
    <r>
      <rPr>
        <sz val="10"/>
        <rFont val="FreeSans"/>
        <family val="2"/>
      </rPr>
      <t xml:space="preserve">بی متال تله                  </t>
    </r>
    <r>
      <rPr>
        <sz val="10"/>
        <rFont val="Vazirmatn"/>
        <family val="0"/>
        <charset val="1"/>
      </rPr>
      <t xml:space="preserve">4  -  6    </t>
    </r>
    <r>
      <rPr>
        <sz val="10"/>
        <rFont val="FreeSans"/>
        <family val="2"/>
      </rPr>
      <t xml:space="preserve">آمپر</t>
    </r>
  </si>
  <si>
    <t xml:space="preserve">31214146</t>
  </si>
  <si>
    <r>
      <rPr>
        <sz val="10"/>
        <rFont val="FreeSans"/>
        <family val="2"/>
      </rPr>
      <t xml:space="preserve">بی متال تله مکانیک       </t>
    </r>
    <r>
      <rPr>
        <sz val="10"/>
        <rFont val="Vazirmatn"/>
        <family val="0"/>
        <charset val="1"/>
      </rPr>
      <t xml:space="preserve">8 -  5     </t>
    </r>
    <r>
      <rPr>
        <sz val="10"/>
        <rFont val="FreeSans"/>
        <family val="2"/>
      </rPr>
      <t xml:space="preserve">آمپر</t>
    </r>
  </si>
  <si>
    <t xml:space="preserve">31214156</t>
  </si>
  <si>
    <r>
      <rPr>
        <sz val="10"/>
        <rFont val="FreeSans"/>
        <family val="2"/>
      </rPr>
      <t xml:space="preserve">بی متال تله                  </t>
    </r>
    <r>
      <rPr>
        <sz val="10"/>
        <rFont val="Vazirmatn"/>
        <family val="0"/>
        <charset val="1"/>
      </rPr>
      <t xml:space="preserve">1 -  2      </t>
    </r>
    <r>
      <rPr>
        <sz val="10"/>
        <rFont val="FreeSans"/>
        <family val="2"/>
      </rPr>
      <t xml:space="preserve">آمپر</t>
    </r>
  </si>
  <si>
    <t xml:space="preserve">31214168</t>
  </si>
  <si>
    <r>
      <rPr>
        <sz val="10"/>
        <rFont val="FreeSans"/>
        <family val="2"/>
      </rPr>
      <t xml:space="preserve">بی متال تله مکانیک تیپ جدید  </t>
    </r>
    <r>
      <rPr>
        <sz val="10"/>
        <rFont val="Vazirmatn"/>
        <family val="0"/>
        <charset val="1"/>
      </rPr>
      <t xml:space="preserve">A 12-8</t>
    </r>
  </si>
  <si>
    <t xml:space="preserve">31214171</t>
  </si>
  <si>
    <r>
      <rPr>
        <sz val="10"/>
        <rFont val="FreeSans"/>
        <family val="2"/>
      </rPr>
      <t xml:space="preserve">بی متال تله                 </t>
    </r>
    <r>
      <rPr>
        <sz val="10"/>
        <rFont val="Vazirmatn"/>
        <family val="0"/>
        <charset val="1"/>
      </rPr>
      <t xml:space="preserve">4  -  2      </t>
    </r>
    <r>
      <rPr>
        <sz val="10"/>
        <rFont val="FreeSans"/>
        <family val="2"/>
      </rPr>
      <t xml:space="preserve">آمپر</t>
    </r>
  </si>
  <si>
    <t xml:space="preserve">31214173</t>
  </si>
  <si>
    <r>
      <rPr>
        <sz val="10"/>
        <rFont val="FreeSans"/>
        <family val="2"/>
      </rPr>
      <t xml:space="preserve">بی متال   </t>
    </r>
    <r>
      <rPr>
        <sz val="10"/>
        <rFont val="Vazirmatn"/>
        <family val="0"/>
        <charset val="1"/>
      </rPr>
      <t xml:space="preserve">36 - 25A</t>
    </r>
  </si>
  <si>
    <t xml:space="preserve">31214175</t>
  </si>
  <si>
    <r>
      <rPr>
        <sz val="10"/>
        <rFont val="FreeSans"/>
        <family val="2"/>
      </rPr>
      <t xml:space="preserve">بی متال   </t>
    </r>
    <r>
      <rPr>
        <sz val="10"/>
        <rFont val="Vazirmatn"/>
        <family val="0"/>
        <charset val="1"/>
      </rPr>
      <t xml:space="preserve">57 - 40A</t>
    </r>
  </si>
  <si>
    <t xml:space="preserve">31214177</t>
  </si>
  <si>
    <r>
      <rPr>
        <sz val="10"/>
        <rFont val="FreeSans"/>
        <family val="2"/>
      </rPr>
      <t xml:space="preserve">بی متال  تله مکانیک   </t>
    </r>
    <r>
      <rPr>
        <sz val="10"/>
        <rFont val="Vazirmatn"/>
        <family val="0"/>
        <charset val="1"/>
      </rPr>
      <t xml:space="preserve">24 - 16      </t>
    </r>
    <r>
      <rPr>
        <sz val="10"/>
        <rFont val="FreeSans"/>
        <family val="2"/>
      </rPr>
      <t xml:space="preserve">آمپر</t>
    </r>
  </si>
  <si>
    <t xml:space="preserve">31214178</t>
  </si>
  <si>
    <r>
      <rPr>
        <sz val="10"/>
        <rFont val="FreeSans"/>
        <family val="2"/>
      </rPr>
      <t xml:space="preserve">بی متال   </t>
    </r>
    <r>
      <rPr>
        <sz val="10"/>
        <rFont val="Vazirmatn"/>
        <family val="0"/>
        <charset val="1"/>
      </rPr>
      <t xml:space="preserve">40 - 32A</t>
    </r>
  </si>
  <si>
    <t xml:space="preserve">31214179</t>
  </si>
  <si>
    <r>
      <rPr>
        <sz val="10"/>
        <rFont val="FreeSans"/>
        <family val="2"/>
      </rPr>
      <t xml:space="preserve">بی متال   </t>
    </r>
    <r>
      <rPr>
        <sz val="10"/>
        <rFont val="Vazirmatn"/>
        <family val="0"/>
        <charset val="1"/>
      </rPr>
      <t xml:space="preserve">25 - 16A</t>
    </r>
  </si>
  <si>
    <t xml:space="preserve">31214180</t>
  </si>
  <si>
    <r>
      <rPr>
        <sz val="10"/>
        <rFont val="FreeSans"/>
        <family val="2"/>
      </rPr>
      <t xml:space="preserve">بی متال   </t>
    </r>
    <r>
      <rPr>
        <sz val="10"/>
        <rFont val="Vazirmatn"/>
        <family val="0"/>
        <charset val="1"/>
      </rPr>
      <t xml:space="preserve">6/3 - 4A</t>
    </r>
  </si>
  <si>
    <t xml:space="preserve">31214181</t>
  </si>
  <si>
    <r>
      <rPr>
        <sz val="10"/>
        <rFont val="FreeSans"/>
        <family val="2"/>
      </rPr>
      <t xml:space="preserve">بی متال   </t>
    </r>
    <r>
      <rPr>
        <sz val="10"/>
        <rFont val="Vazirmatn"/>
        <family val="0"/>
        <charset val="1"/>
      </rPr>
      <t xml:space="preserve">2 - 1/25A</t>
    </r>
  </si>
  <si>
    <t xml:space="preserve">31214182</t>
  </si>
  <si>
    <r>
      <rPr>
        <sz val="10"/>
        <rFont val="FreeSans"/>
        <family val="2"/>
      </rPr>
      <t xml:space="preserve">بی متال   </t>
    </r>
    <r>
      <rPr>
        <sz val="10"/>
        <rFont val="Vazirmatn"/>
        <family val="0"/>
        <charset val="1"/>
      </rPr>
      <t xml:space="preserve">14/5 - 10A</t>
    </r>
  </si>
  <si>
    <t xml:space="preserve">31214183</t>
  </si>
  <si>
    <r>
      <rPr>
        <sz val="10"/>
        <rFont val="FreeSans"/>
        <family val="2"/>
      </rPr>
      <t xml:space="preserve">بی متال رله               </t>
    </r>
    <r>
      <rPr>
        <sz val="10"/>
        <rFont val="Vazirmatn"/>
        <family val="0"/>
        <charset val="1"/>
      </rPr>
      <t xml:space="preserve">32  - 22     </t>
    </r>
    <r>
      <rPr>
        <sz val="10"/>
        <rFont val="FreeSans"/>
        <family val="2"/>
      </rPr>
      <t xml:space="preserve">آمپر</t>
    </r>
  </si>
  <si>
    <t xml:space="preserve">31214184</t>
  </si>
  <si>
    <r>
      <rPr>
        <sz val="10"/>
        <rFont val="FreeSans"/>
        <family val="2"/>
      </rPr>
      <t xml:space="preserve">بی متال   </t>
    </r>
    <r>
      <rPr>
        <sz val="10"/>
        <rFont val="Vazirmatn"/>
        <family val="0"/>
        <charset val="1"/>
      </rPr>
      <t xml:space="preserve">16 - 10A</t>
    </r>
  </si>
  <si>
    <t xml:space="preserve">31214186</t>
  </si>
  <si>
    <r>
      <rPr>
        <sz val="10"/>
        <rFont val="FreeSans"/>
        <family val="2"/>
      </rPr>
      <t xml:space="preserve">بی متال تله               </t>
    </r>
    <r>
      <rPr>
        <sz val="10"/>
        <rFont val="Vazirmatn"/>
        <family val="0"/>
        <charset val="1"/>
      </rPr>
      <t xml:space="preserve">25  - 18      </t>
    </r>
    <r>
      <rPr>
        <sz val="10"/>
        <rFont val="FreeSans"/>
        <family val="2"/>
      </rPr>
      <t xml:space="preserve">آمپر</t>
    </r>
  </si>
  <si>
    <t xml:space="preserve">31214187</t>
  </si>
  <si>
    <r>
      <rPr>
        <sz val="10"/>
        <rFont val="FreeSans"/>
        <family val="2"/>
      </rPr>
      <t xml:space="preserve">بی متال  </t>
    </r>
    <r>
      <rPr>
        <sz val="10"/>
        <rFont val="Vazirmatn"/>
        <family val="0"/>
        <charset val="1"/>
      </rPr>
      <t xml:space="preserve">32A</t>
    </r>
  </si>
  <si>
    <t xml:space="preserve">31214189</t>
  </si>
  <si>
    <r>
      <rPr>
        <sz val="10"/>
        <rFont val="FreeSans"/>
        <family val="2"/>
      </rPr>
      <t xml:space="preserve">بی متال                    </t>
    </r>
    <r>
      <rPr>
        <sz val="10"/>
        <rFont val="Vazirmatn"/>
        <family val="0"/>
        <charset val="1"/>
      </rPr>
      <t xml:space="preserve">32  - 20      </t>
    </r>
    <r>
      <rPr>
        <sz val="10"/>
        <rFont val="FreeSans"/>
        <family val="2"/>
      </rPr>
      <t xml:space="preserve">آمپر</t>
    </r>
  </si>
  <si>
    <t xml:space="preserve">31214190</t>
  </si>
  <si>
    <r>
      <rPr>
        <sz val="10"/>
        <rFont val="FreeSans"/>
        <family val="2"/>
      </rPr>
      <t xml:space="preserve">بی متال رله               </t>
    </r>
    <r>
      <rPr>
        <sz val="10"/>
        <rFont val="Vazirmatn"/>
        <family val="0"/>
        <charset val="1"/>
      </rPr>
      <t xml:space="preserve">65  - 43      </t>
    </r>
    <r>
      <rPr>
        <sz val="10"/>
        <rFont val="FreeSans"/>
        <family val="2"/>
      </rPr>
      <t xml:space="preserve">آمپر</t>
    </r>
  </si>
  <si>
    <t xml:space="preserve">31214192</t>
  </si>
  <si>
    <r>
      <rPr>
        <sz val="10"/>
        <rFont val="FreeSans"/>
        <family val="2"/>
      </rPr>
      <t xml:space="preserve">بی متال                    </t>
    </r>
    <r>
      <rPr>
        <sz val="10"/>
        <rFont val="Vazirmatn"/>
        <family val="0"/>
        <charset val="1"/>
      </rPr>
      <t xml:space="preserve">55  -  35     </t>
    </r>
    <r>
      <rPr>
        <sz val="10"/>
        <rFont val="FreeSans"/>
        <family val="2"/>
      </rPr>
      <t xml:space="preserve">آمپر</t>
    </r>
  </si>
  <si>
    <t xml:space="preserve">31214204</t>
  </si>
  <si>
    <r>
      <rPr>
        <sz val="10"/>
        <rFont val="FreeSans"/>
        <family val="2"/>
      </rPr>
      <t xml:space="preserve">بی متال تله مکانیک    </t>
    </r>
    <r>
      <rPr>
        <sz val="10"/>
        <rFont val="Vazirmatn"/>
        <family val="0"/>
        <charset val="1"/>
      </rPr>
      <t xml:space="preserve">50  - 60    </t>
    </r>
    <r>
      <rPr>
        <sz val="10"/>
        <rFont val="FreeSans"/>
        <family val="2"/>
      </rPr>
      <t xml:space="preserve">آمپر</t>
    </r>
  </si>
  <si>
    <t xml:space="preserve">31214206</t>
  </si>
  <si>
    <r>
      <rPr>
        <sz val="10"/>
        <rFont val="FreeSans"/>
        <family val="2"/>
      </rPr>
      <t xml:space="preserve">بی متال                       </t>
    </r>
    <r>
      <rPr>
        <sz val="10"/>
        <rFont val="Vazirmatn"/>
        <family val="0"/>
        <charset val="1"/>
      </rPr>
      <t xml:space="preserve">16-22    </t>
    </r>
    <r>
      <rPr>
        <sz val="10"/>
        <rFont val="FreeSans"/>
        <family val="2"/>
      </rPr>
      <t xml:space="preserve">آمپر</t>
    </r>
  </si>
  <si>
    <t xml:space="preserve">31214215</t>
  </si>
  <si>
    <r>
      <rPr>
        <sz val="10"/>
        <rFont val="FreeSans"/>
        <family val="2"/>
      </rPr>
      <t xml:space="preserve">بی متال                     </t>
    </r>
    <r>
      <rPr>
        <sz val="10"/>
        <rFont val="Vazirmatn"/>
        <family val="0"/>
        <charset val="1"/>
      </rPr>
      <t xml:space="preserve">14 -   9     </t>
    </r>
    <r>
      <rPr>
        <sz val="10"/>
        <rFont val="FreeSans"/>
        <family val="2"/>
      </rPr>
      <t xml:space="preserve">آمپر</t>
    </r>
  </si>
  <si>
    <t xml:space="preserve">31214217</t>
  </si>
  <si>
    <r>
      <rPr>
        <sz val="10"/>
        <rFont val="FreeSans"/>
        <family val="2"/>
      </rPr>
      <t xml:space="preserve">بی متال تله                </t>
    </r>
    <r>
      <rPr>
        <sz val="10"/>
        <rFont val="Vazirmatn"/>
        <family val="0"/>
        <charset val="1"/>
      </rPr>
      <t xml:space="preserve">16 - 12     </t>
    </r>
    <r>
      <rPr>
        <sz val="10"/>
        <rFont val="FreeSans"/>
        <family val="2"/>
      </rPr>
      <t xml:space="preserve">آمپر</t>
    </r>
  </si>
  <si>
    <t xml:space="preserve">31214234</t>
  </si>
  <si>
    <r>
      <rPr>
        <sz val="10"/>
        <rFont val="FreeSans"/>
        <family val="2"/>
      </rPr>
      <t xml:space="preserve">رله   </t>
    </r>
    <r>
      <rPr>
        <sz val="10"/>
        <rFont val="Vazirmatn"/>
        <family val="0"/>
        <charset val="1"/>
      </rPr>
      <t xml:space="preserve">3V T 9300 - 1 SE 00</t>
    </r>
  </si>
  <si>
    <t xml:space="preserve">31214301</t>
  </si>
  <si>
    <r>
      <rPr>
        <sz val="10"/>
        <rFont val="FreeSans"/>
        <family val="2"/>
      </rPr>
      <t xml:space="preserve">رله سانتریفوز   </t>
    </r>
    <r>
      <rPr>
        <sz val="10"/>
        <rFont val="Vazirmatn"/>
        <family val="0"/>
        <charset val="1"/>
      </rPr>
      <t xml:space="preserve">220 v5  </t>
    </r>
    <r>
      <rPr>
        <sz val="10"/>
        <rFont val="FreeSans"/>
        <family val="2"/>
      </rPr>
      <t xml:space="preserve">آمپر</t>
    </r>
  </si>
  <si>
    <t xml:space="preserve">31214303</t>
  </si>
  <si>
    <r>
      <rPr>
        <sz val="10"/>
        <rFont val="FreeSans"/>
        <family val="2"/>
      </rPr>
      <t xml:space="preserve">رله گازی     </t>
    </r>
    <r>
      <rPr>
        <sz val="10"/>
        <rFont val="Vazirmatn"/>
        <family val="0"/>
        <charset val="1"/>
      </rPr>
      <t xml:space="preserve">970     </t>
    </r>
    <r>
      <rPr>
        <sz val="10"/>
        <rFont val="FreeSans"/>
        <family val="2"/>
      </rPr>
      <t xml:space="preserve">الکتریکی</t>
    </r>
  </si>
  <si>
    <t xml:space="preserve">31214304</t>
  </si>
  <si>
    <r>
      <rPr>
        <sz val="10"/>
        <rFont val="FreeSans"/>
        <family val="2"/>
      </rPr>
      <t xml:space="preserve">رله دوگانه سوز دیگ بخار با پایه </t>
    </r>
    <r>
      <rPr>
        <sz val="10"/>
        <rFont val="Vazirmatn"/>
        <family val="0"/>
        <charset val="1"/>
      </rPr>
      <t xml:space="preserve">635.1 LFL</t>
    </r>
  </si>
  <si>
    <t xml:space="preserve">31214305</t>
  </si>
  <si>
    <r>
      <rPr>
        <sz val="10"/>
        <rFont val="FreeSans"/>
        <family val="2"/>
      </rPr>
      <t xml:space="preserve">رله   پریمر       </t>
    </r>
    <r>
      <rPr>
        <sz val="10"/>
        <rFont val="Vazirmatn"/>
        <family val="0"/>
        <charset val="1"/>
      </rPr>
      <t xml:space="preserve">80    BBC   A</t>
    </r>
  </si>
  <si>
    <t xml:space="preserve">31214306</t>
  </si>
  <si>
    <r>
      <rPr>
        <sz val="10"/>
        <rFont val="FreeSans"/>
        <family val="2"/>
      </rPr>
      <t xml:space="preserve">رله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نشت یاب</t>
    </r>
    <r>
      <rPr>
        <sz val="10"/>
        <rFont val="Vazirmatn"/>
        <family val="0"/>
        <charset val="1"/>
      </rPr>
      <t xml:space="preserve">)</t>
    </r>
    <r>
      <rPr>
        <sz val="10"/>
        <rFont val="FreeSans"/>
        <family val="2"/>
      </rPr>
      <t xml:space="preserve">دوگانه سوزدیگ بخار با پایه </t>
    </r>
    <r>
      <rPr>
        <sz val="10"/>
        <rFont val="Vazirmatn"/>
        <family val="0"/>
        <charset val="1"/>
      </rPr>
      <t xml:space="preserve">523.11  LDU</t>
    </r>
  </si>
  <si>
    <t xml:space="preserve">31214314</t>
  </si>
  <si>
    <t xml:space="preserve">رله ضربه ای</t>
  </si>
  <si>
    <t xml:space="preserve">31214315</t>
  </si>
  <si>
    <r>
      <rPr>
        <sz val="10"/>
        <rFont val="FreeSans"/>
        <family val="2"/>
      </rPr>
      <t xml:space="preserve">رله بالانس دیگ بخار   </t>
    </r>
    <r>
      <rPr>
        <sz val="10"/>
        <rFont val="Vazirmatn"/>
        <family val="0"/>
        <charset val="1"/>
      </rPr>
      <t xml:space="preserve">3639 - 13016</t>
    </r>
  </si>
  <si>
    <t xml:space="preserve">31214316</t>
  </si>
  <si>
    <r>
      <rPr>
        <sz val="10"/>
        <rFont val="FreeSans"/>
        <family val="2"/>
      </rPr>
      <t xml:space="preserve">رله دیگ بخار      </t>
    </r>
    <r>
      <rPr>
        <sz val="10"/>
        <rFont val="Vazirmatn"/>
        <family val="0"/>
        <charset val="1"/>
      </rPr>
      <t xml:space="preserve">SB  125</t>
    </r>
  </si>
  <si>
    <t xml:space="preserve">31214318</t>
  </si>
  <si>
    <r>
      <rPr>
        <sz val="10"/>
        <rFont val="FreeSans"/>
        <family val="2"/>
      </rPr>
      <t xml:space="preserve">رله پرایمری ترانس  </t>
    </r>
    <r>
      <rPr>
        <sz val="10"/>
        <rFont val="Vazirmatn"/>
        <family val="0"/>
        <charset val="1"/>
      </rPr>
      <t xml:space="preserve">2000   HF125</t>
    </r>
  </si>
  <si>
    <t xml:space="preserve">31214331</t>
  </si>
  <si>
    <r>
      <rPr>
        <sz val="10"/>
        <rFont val="FreeSans"/>
        <family val="2"/>
      </rPr>
      <t xml:space="preserve">رله فیندر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پایه  </t>
    </r>
    <r>
      <rPr>
        <sz val="10"/>
        <rFont val="Vazirmatn"/>
        <family val="0"/>
        <charset val="1"/>
      </rPr>
      <t xml:space="preserve">24V AC</t>
    </r>
  </si>
  <si>
    <t xml:space="preserve">31214335</t>
  </si>
  <si>
    <r>
      <rPr>
        <sz val="10"/>
        <rFont val="FreeSans"/>
        <family val="2"/>
      </rPr>
      <t xml:space="preserve">رله شیشه ای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پایه  </t>
    </r>
    <r>
      <rPr>
        <sz val="10"/>
        <rFont val="Vazirmatn"/>
        <family val="0"/>
        <charset val="1"/>
      </rPr>
      <t xml:space="preserve">24V AC  40/52</t>
    </r>
  </si>
  <si>
    <t xml:space="preserve">31214336</t>
  </si>
  <si>
    <r>
      <rPr>
        <sz val="10"/>
        <rFont val="FreeSans"/>
        <family val="2"/>
      </rPr>
      <t xml:space="preserve">رله فیندر   </t>
    </r>
    <r>
      <rPr>
        <sz val="10"/>
        <rFont val="Vazirmatn"/>
        <family val="0"/>
        <charset val="1"/>
      </rPr>
      <t xml:space="preserve">220V</t>
    </r>
  </si>
  <si>
    <t xml:space="preserve">31214337</t>
  </si>
  <si>
    <r>
      <rPr>
        <sz val="10"/>
        <rFont val="FreeSans"/>
        <family val="2"/>
      </rPr>
      <t xml:space="preserve">رله بالانس هامورتی </t>
    </r>
    <r>
      <rPr>
        <sz val="10"/>
        <rFont val="Vazirmatn"/>
        <family val="0"/>
        <charset val="1"/>
      </rPr>
      <t xml:space="preserve">24V AC</t>
    </r>
  </si>
  <si>
    <t xml:space="preserve">31214339</t>
  </si>
  <si>
    <r>
      <rPr>
        <sz val="10"/>
        <rFont val="FreeSans"/>
        <family val="2"/>
      </rPr>
      <t xml:space="preserve">رله ضربه ای فیندر    </t>
    </r>
    <r>
      <rPr>
        <sz val="10"/>
        <rFont val="Vazirmatn"/>
        <family val="0"/>
        <charset val="1"/>
      </rPr>
      <t xml:space="preserve">16A</t>
    </r>
  </si>
  <si>
    <t xml:space="preserve">31214340</t>
  </si>
  <si>
    <r>
      <rPr>
        <sz val="10"/>
        <rFont val="FreeSans"/>
        <family val="2"/>
      </rPr>
      <t xml:space="preserve">رله فیندر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پایه </t>
    </r>
    <r>
      <rPr>
        <sz val="10"/>
        <rFont val="Vazirmatn"/>
        <family val="0"/>
        <charset val="1"/>
      </rPr>
      <t xml:space="preserve">230V 10A</t>
    </r>
  </si>
  <si>
    <t xml:space="preserve">31214343</t>
  </si>
  <si>
    <r>
      <rPr>
        <sz val="10"/>
        <rFont val="FreeSans"/>
        <family val="2"/>
      </rPr>
      <t xml:space="preserve">رله آسیاب دوم  </t>
    </r>
    <r>
      <rPr>
        <sz val="10"/>
        <rFont val="Vazirmatn"/>
        <family val="0"/>
        <charset val="1"/>
      </rPr>
      <t xml:space="preserve">( ETU )</t>
    </r>
  </si>
  <si>
    <t xml:space="preserve">31214344</t>
  </si>
  <si>
    <t xml:space="preserve">رله آلاکلنگی</t>
  </si>
  <si>
    <t xml:space="preserve">31214345</t>
  </si>
  <si>
    <r>
      <rPr>
        <sz val="10"/>
        <rFont val="FreeSans"/>
        <family val="2"/>
      </rPr>
      <t xml:space="preserve">رله الکترونیکی  </t>
    </r>
    <r>
      <rPr>
        <sz val="10"/>
        <rFont val="Vazirmatn"/>
        <family val="0"/>
        <charset val="1"/>
      </rPr>
      <t xml:space="preserve">200KW</t>
    </r>
  </si>
  <si>
    <t xml:space="preserve">31214346</t>
  </si>
  <si>
    <r>
      <rPr>
        <sz val="10"/>
        <rFont val="FreeSans"/>
        <family val="2"/>
      </rPr>
      <t xml:space="preserve">رله الکترونیکی  </t>
    </r>
    <r>
      <rPr>
        <sz val="10"/>
        <rFont val="Vazirmatn"/>
        <family val="0"/>
        <charset val="1"/>
      </rPr>
      <t xml:space="preserve">110KW</t>
    </r>
  </si>
  <si>
    <t xml:space="preserve">31214347</t>
  </si>
  <si>
    <t xml:space="preserve">رله شنت کلید زیمنس</t>
  </si>
  <si>
    <t xml:space="preserve">31214348</t>
  </si>
  <si>
    <r>
      <rPr>
        <sz val="10"/>
        <rFont val="FreeSans"/>
        <family val="2"/>
      </rPr>
      <t xml:space="preserve">رله پی ال سی باریک  </t>
    </r>
    <r>
      <rPr>
        <sz val="10"/>
        <rFont val="Vazirmatn"/>
        <family val="0"/>
        <charset val="1"/>
      </rPr>
      <t xml:space="preserve">Finder 220V 34.51.7.060.0010</t>
    </r>
  </si>
  <si>
    <t xml:space="preserve">31214349</t>
  </si>
  <si>
    <r>
      <rPr>
        <sz val="10"/>
        <rFont val="FreeSans"/>
        <family val="2"/>
      </rPr>
      <t xml:space="preserve">پاور کامپیوتر گرین  </t>
    </r>
    <r>
      <rPr>
        <sz val="10"/>
        <rFont val="Vazirmatn"/>
        <family val="0"/>
        <charset val="1"/>
      </rPr>
      <t xml:space="preserve">GP 380A - EUD 380W</t>
    </r>
  </si>
  <si>
    <t xml:space="preserve">31214352</t>
  </si>
  <si>
    <r>
      <rPr>
        <sz val="10"/>
        <rFont val="FreeSans"/>
        <family val="2"/>
      </rPr>
      <t xml:space="preserve">رله </t>
    </r>
    <r>
      <rPr>
        <sz val="10"/>
        <rFont val="Vazirmatn"/>
        <family val="0"/>
        <charset val="1"/>
      </rPr>
      <t xml:space="preserve">SSR </t>
    </r>
    <r>
      <rPr>
        <sz val="10"/>
        <rFont val="FreeSans"/>
        <family val="2"/>
      </rPr>
      <t xml:space="preserve">تک فاز پیچ خور  </t>
    </r>
    <r>
      <rPr>
        <sz val="10"/>
        <rFont val="Vazirmatn"/>
        <family val="0"/>
        <charset val="1"/>
      </rPr>
      <t xml:space="preserve">IN Put : 0~30VDC Load : 40A</t>
    </r>
  </si>
  <si>
    <t xml:space="preserve">31214353</t>
  </si>
  <si>
    <r>
      <rPr>
        <sz val="10"/>
        <rFont val="FreeSans"/>
        <family val="2"/>
      </rPr>
      <t xml:space="preserve">پاورمتر تابلویی اشنایدر </t>
    </r>
    <r>
      <rPr>
        <sz val="10"/>
        <rFont val="Vazirmatn"/>
        <family val="0"/>
        <charset val="1"/>
      </rPr>
      <t xml:space="preserve">Easy Logic - PM 2120</t>
    </r>
  </si>
  <si>
    <t xml:space="preserve">31214354</t>
  </si>
  <si>
    <r>
      <rPr>
        <sz val="10"/>
        <rFont val="FreeSans"/>
        <family val="2"/>
      </rPr>
      <t xml:space="preserve">پاور </t>
    </r>
    <r>
      <rPr>
        <sz val="10"/>
        <rFont val="Vazirmatn"/>
        <family val="0"/>
        <charset val="1"/>
      </rPr>
      <t xml:space="preserve">12V - 33A ( </t>
    </r>
    <r>
      <rPr>
        <sz val="10"/>
        <rFont val="FreeSans"/>
        <family val="2"/>
      </rPr>
      <t xml:space="preserve">اسلایم </t>
    </r>
    <r>
      <rPr>
        <sz val="10"/>
        <rFont val="Vazirmatn"/>
        <family val="0"/>
        <charset val="1"/>
      </rPr>
      <t xml:space="preserve">)</t>
    </r>
  </si>
  <si>
    <t xml:space="preserve">31214355</t>
  </si>
  <si>
    <r>
      <rPr>
        <sz val="10"/>
        <rFont val="FreeSans"/>
        <family val="2"/>
      </rPr>
      <t xml:space="preserve">رله شوفاژی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مدل گازی </t>
    </r>
    <r>
      <rPr>
        <sz val="10"/>
        <rFont val="Vazirmatn"/>
        <family val="0"/>
        <charset val="1"/>
      </rPr>
      <t xml:space="preserve">)  G 790</t>
    </r>
  </si>
  <si>
    <t xml:space="preserve">31214391</t>
  </si>
  <si>
    <t xml:space="preserve">سر کابل چرز   فشارقوی</t>
  </si>
  <si>
    <t xml:space="preserve">31214393</t>
  </si>
  <si>
    <t xml:space="preserve">سرکابل    فشار      قوی</t>
  </si>
  <si>
    <t xml:space="preserve">31214411</t>
  </si>
  <si>
    <r>
      <rPr>
        <sz val="10"/>
        <rFont val="FreeSans"/>
        <family val="2"/>
      </rPr>
      <t xml:space="preserve">کنتاکتور    </t>
    </r>
    <r>
      <rPr>
        <sz val="10"/>
        <rFont val="Vazirmatn"/>
        <family val="0"/>
        <charset val="1"/>
      </rPr>
      <t xml:space="preserve">15KW    </t>
    </r>
    <r>
      <rPr>
        <sz val="10"/>
        <rFont val="FreeSans"/>
        <family val="2"/>
      </rPr>
      <t xml:space="preserve">بوبین     </t>
    </r>
    <r>
      <rPr>
        <sz val="10"/>
        <rFont val="Vazirmatn"/>
        <family val="0"/>
        <charset val="1"/>
      </rPr>
      <t xml:space="preserve">230V/50HZ</t>
    </r>
  </si>
  <si>
    <t xml:space="preserve">31214412</t>
  </si>
  <si>
    <r>
      <rPr>
        <sz val="10"/>
        <rFont val="FreeSans"/>
        <family val="2"/>
      </rPr>
      <t xml:space="preserve">کنتاکتور   </t>
    </r>
    <r>
      <rPr>
        <sz val="10"/>
        <rFont val="Vazirmatn"/>
        <family val="0"/>
        <charset val="1"/>
      </rPr>
      <t xml:space="preserve">90KW</t>
    </r>
  </si>
  <si>
    <t xml:space="preserve">31214418</t>
  </si>
  <si>
    <r>
      <rPr>
        <sz val="10"/>
        <rFont val="FreeSans"/>
        <family val="2"/>
      </rPr>
      <t xml:space="preserve">کنتاکتور </t>
    </r>
    <r>
      <rPr>
        <sz val="10"/>
        <rFont val="Vazirmatn"/>
        <family val="0"/>
        <charset val="1"/>
      </rPr>
      <t xml:space="preserve">22 </t>
    </r>
    <r>
      <rPr>
        <sz val="10"/>
        <rFont val="FreeSans"/>
        <family val="2"/>
      </rPr>
      <t xml:space="preserve">کیلو وات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)</t>
    </r>
  </si>
  <si>
    <t xml:space="preserve">31214419</t>
  </si>
  <si>
    <r>
      <rPr>
        <sz val="10"/>
        <rFont val="FreeSans"/>
        <family val="2"/>
      </rPr>
      <t xml:space="preserve">کنتاکتور </t>
    </r>
    <r>
      <rPr>
        <sz val="10"/>
        <rFont val="Vazirmatn"/>
        <family val="0"/>
        <charset val="1"/>
      </rPr>
      <t xml:space="preserve">30 </t>
    </r>
    <r>
      <rPr>
        <sz val="10"/>
        <rFont val="FreeSans"/>
        <family val="2"/>
      </rPr>
      <t xml:space="preserve">کیلو وات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)</t>
    </r>
  </si>
  <si>
    <t xml:space="preserve">31214420</t>
  </si>
  <si>
    <r>
      <rPr>
        <sz val="10"/>
        <rFont val="FreeSans"/>
        <family val="2"/>
      </rPr>
      <t xml:space="preserve">کنتاکتور </t>
    </r>
    <r>
      <rPr>
        <sz val="10"/>
        <rFont val="Vazirmatn"/>
        <family val="0"/>
        <charset val="1"/>
      </rPr>
      <t xml:space="preserve">37 </t>
    </r>
    <r>
      <rPr>
        <sz val="10"/>
        <rFont val="FreeSans"/>
        <family val="2"/>
      </rPr>
      <t xml:space="preserve">کیلو وات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)</t>
    </r>
  </si>
  <si>
    <t xml:space="preserve">31214421</t>
  </si>
  <si>
    <r>
      <rPr>
        <sz val="10"/>
        <rFont val="FreeSans"/>
        <family val="2"/>
      </rPr>
      <t xml:space="preserve">کنتاکتور </t>
    </r>
    <r>
      <rPr>
        <sz val="10"/>
        <rFont val="Vazirmatn"/>
        <family val="0"/>
        <charset val="1"/>
      </rPr>
      <t xml:space="preserve">75 </t>
    </r>
    <r>
      <rPr>
        <sz val="10"/>
        <rFont val="FreeSans"/>
        <family val="2"/>
      </rPr>
      <t xml:space="preserve">کیلو وات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)</t>
    </r>
  </si>
  <si>
    <t xml:space="preserve">31214422</t>
  </si>
  <si>
    <r>
      <rPr>
        <sz val="10"/>
        <rFont val="FreeSans"/>
        <family val="2"/>
      </rPr>
      <t xml:space="preserve">کنتاکتور </t>
    </r>
    <r>
      <rPr>
        <sz val="10"/>
        <rFont val="Vazirmatn"/>
        <family val="0"/>
        <charset val="1"/>
      </rPr>
      <t xml:space="preserve">110 </t>
    </r>
    <r>
      <rPr>
        <sz val="10"/>
        <rFont val="FreeSans"/>
        <family val="2"/>
      </rPr>
      <t xml:space="preserve">کیلو وات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)</t>
    </r>
  </si>
  <si>
    <t xml:space="preserve">31214423</t>
  </si>
  <si>
    <r>
      <rPr>
        <sz val="10"/>
        <rFont val="FreeSans"/>
        <family val="2"/>
      </rPr>
      <t xml:space="preserve">کنتاکتور </t>
    </r>
    <r>
      <rPr>
        <sz val="10"/>
        <rFont val="Vazirmatn"/>
        <family val="0"/>
        <charset val="1"/>
      </rPr>
      <t xml:space="preserve">160 </t>
    </r>
    <r>
      <rPr>
        <sz val="10"/>
        <rFont val="FreeSans"/>
        <family val="2"/>
      </rPr>
      <t xml:space="preserve">کیلو وات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)</t>
    </r>
  </si>
  <si>
    <t xml:space="preserve">31214426</t>
  </si>
  <si>
    <r>
      <rPr>
        <sz val="10"/>
        <rFont val="FreeSans"/>
        <family val="2"/>
      </rPr>
      <t xml:space="preserve">کنتاکتور        </t>
    </r>
    <r>
      <rPr>
        <sz val="10"/>
        <rFont val="Vazirmatn"/>
        <family val="0"/>
        <charset val="1"/>
      </rPr>
      <t xml:space="preserve">18/5KW</t>
    </r>
  </si>
  <si>
    <t xml:space="preserve">31214431</t>
  </si>
  <si>
    <r>
      <rPr>
        <sz val="10"/>
        <rFont val="FreeSans"/>
        <family val="2"/>
      </rPr>
      <t xml:space="preserve">کنتاکتور         </t>
    </r>
    <r>
      <rPr>
        <sz val="10"/>
        <rFont val="Vazirmatn"/>
        <family val="0"/>
        <charset val="1"/>
      </rPr>
      <t xml:space="preserve">18KW    7/5A</t>
    </r>
  </si>
  <si>
    <t xml:space="preserve">31214436</t>
  </si>
  <si>
    <r>
      <rPr>
        <sz val="10"/>
        <rFont val="FreeSans"/>
        <family val="2"/>
      </rPr>
      <t xml:space="preserve">کنتاکتور  </t>
    </r>
    <r>
      <rPr>
        <sz val="10"/>
        <rFont val="Vazirmatn"/>
        <family val="0"/>
        <charset val="1"/>
      </rPr>
      <t xml:space="preserve">55KW (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)</t>
    </r>
  </si>
  <si>
    <t xml:space="preserve">31214440</t>
  </si>
  <si>
    <r>
      <rPr>
        <sz val="10"/>
        <rFont val="FreeSans"/>
        <family val="2"/>
      </rPr>
      <t xml:space="preserve">کنتاکتور               </t>
    </r>
    <r>
      <rPr>
        <sz val="10"/>
        <rFont val="Vazirmatn"/>
        <family val="0"/>
        <charset val="1"/>
      </rPr>
      <t xml:space="preserve">7/5KW</t>
    </r>
  </si>
  <si>
    <t xml:space="preserve">31214443</t>
  </si>
  <si>
    <r>
      <rPr>
        <sz val="10"/>
        <rFont val="FreeSans"/>
        <family val="2"/>
      </rPr>
      <t xml:space="preserve">کنتاکتور </t>
    </r>
    <r>
      <rPr>
        <sz val="10"/>
        <rFont val="Vazirmatn"/>
        <family val="0"/>
        <charset val="1"/>
      </rPr>
      <t xml:space="preserve">LS 15KW ( </t>
    </r>
    <r>
      <rPr>
        <sz val="10"/>
        <rFont val="FreeSans"/>
        <family val="2"/>
      </rPr>
      <t xml:space="preserve">بوبین </t>
    </r>
    <r>
      <rPr>
        <sz val="10"/>
        <rFont val="Vazirmatn"/>
        <family val="0"/>
        <charset val="1"/>
      </rPr>
      <t xml:space="preserve">24VAC / 50HZ )</t>
    </r>
  </si>
  <si>
    <t xml:space="preserve">31214446</t>
  </si>
  <si>
    <r>
      <rPr>
        <sz val="10"/>
        <rFont val="FreeSans"/>
        <family val="2"/>
      </rPr>
      <t xml:space="preserve">کنتاکتور اشنایدر </t>
    </r>
    <r>
      <rPr>
        <sz val="10"/>
        <rFont val="Vazirmatn"/>
        <family val="0"/>
        <charset val="1"/>
      </rPr>
      <t xml:space="preserve">LC1D38 - </t>
    </r>
    <r>
      <rPr>
        <sz val="10"/>
        <rFont val="FreeSans"/>
        <family val="2"/>
      </rPr>
      <t xml:space="preserve">بوبین </t>
    </r>
    <r>
      <rPr>
        <sz val="10"/>
        <rFont val="Vazirmatn"/>
        <family val="0"/>
        <charset val="1"/>
      </rPr>
      <t xml:space="preserve">24V - DC</t>
    </r>
  </si>
  <si>
    <t xml:space="preserve">31214451</t>
  </si>
  <si>
    <r>
      <rPr>
        <sz val="10"/>
        <rFont val="FreeSans"/>
        <family val="2"/>
      </rPr>
      <t xml:space="preserve">کنتاکتور خازنی </t>
    </r>
    <r>
      <rPr>
        <sz val="10"/>
        <rFont val="Vazirmatn"/>
        <family val="0"/>
        <charset val="1"/>
      </rPr>
      <t xml:space="preserve">50  </t>
    </r>
    <r>
      <rPr>
        <sz val="10"/>
        <rFont val="FreeSans"/>
        <family val="2"/>
      </rPr>
      <t xml:space="preserve">کیلو وار</t>
    </r>
  </si>
  <si>
    <t xml:space="preserve">31214453</t>
  </si>
  <si>
    <r>
      <rPr>
        <sz val="10"/>
        <rFont val="FreeSans"/>
        <family val="2"/>
      </rPr>
      <t xml:space="preserve">کنتاکتور خازنی </t>
    </r>
    <r>
      <rPr>
        <sz val="10"/>
        <rFont val="Vazirmatn"/>
        <family val="0"/>
        <charset val="1"/>
      </rPr>
      <t xml:space="preserve">14 </t>
    </r>
    <r>
      <rPr>
        <sz val="10"/>
        <rFont val="FreeSans"/>
        <family val="2"/>
      </rPr>
      <t xml:space="preserve">کیلو وار</t>
    </r>
  </si>
  <si>
    <t xml:space="preserve">31214462</t>
  </si>
  <si>
    <r>
      <rPr>
        <sz val="10"/>
        <rFont val="FreeSans"/>
        <family val="2"/>
      </rPr>
      <t xml:space="preserve">کنتاکتور   </t>
    </r>
    <r>
      <rPr>
        <sz val="10"/>
        <rFont val="Vazirmatn"/>
        <family val="0"/>
        <charset val="1"/>
      </rPr>
      <t xml:space="preserve">5/5    KW</t>
    </r>
  </si>
  <si>
    <t xml:space="preserve">31214463</t>
  </si>
  <si>
    <r>
      <rPr>
        <sz val="10"/>
        <rFont val="FreeSans"/>
        <family val="2"/>
      </rPr>
      <t xml:space="preserve">کنتاکتور    </t>
    </r>
    <r>
      <rPr>
        <sz val="10"/>
        <rFont val="Vazirmatn"/>
        <family val="0"/>
        <charset val="1"/>
      </rPr>
      <t xml:space="preserve">4KW</t>
    </r>
  </si>
  <si>
    <t xml:space="preserve">31214464</t>
  </si>
  <si>
    <r>
      <rPr>
        <sz val="10"/>
        <rFont val="FreeSans"/>
        <family val="2"/>
      </rPr>
      <t xml:space="preserve">کنتاکتور </t>
    </r>
    <r>
      <rPr>
        <sz val="10"/>
        <rFont val="Vazirmatn"/>
        <family val="0"/>
        <charset val="1"/>
      </rPr>
      <t xml:space="preserve">200KW (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)</t>
    </r>
  </si>
  <si>
    <t xml:space="preserve">31214472</t>
  </si>
  <si>
    <r>
      <rPr>
        <sz val="10"/>
        <rFont val="FreeSans"/>
        <family val="2"/>
      </rPr>
      <t xml:space="preserve">کنتاکتور    </t>
    </r>
    <r>
      <rPr>
        <sz val="10"/>
        <rFont val="Vazirmatn"/>
        <family val="0"/>
        <charset val="1"/>
      </rPr>
      <t xml:space="preserve">75KW</t>
    </r>
  </si>
  <si>
    <t xml:space="preserve">31214474</t>
  </si>
  <si>
    <r>
      <rPr>
        <sz val="10"/>
        <rFont val="FreeSans"/>
        <family val="2"/>
      </rPr>
      <t xml:space="preserve">کنتاکتور  </t>
    </r>
    <r>
      <rPr>
        <sz val="10"/>
        <rFont val="Vazirmatn"/>
        <family val="0"/>
        <charset val="1"/>
      </rPr>
      <t xml:space="preserve">45KW LC1-D95 M7</t>
    </r>
  </si>
  <si>
    <t xml:space="preserve">31214477</t>
  </si>
  <si>
    <r>
      <rPr>
        <sz val="10"/>
        <rFont val="FreeSans"/>
        <family val="2"/>
      </rPr>
      <t xml:space="preserve">کنتاکتور         </t>
    </r>
    <r>
      <rPr>
        <sz val="10"/>
        <rFont val="Vazirmatn"/>
        <family val="0"/>
        <charset val="1"/>
      </rPr>
      <t xml:space="preserve">11KW</t>
    </r>
  </si>
  <si>
    <t xml:space="preserve">31214600</t>
  </si>
  <si>
    <r>
      <rPr>
        <sz val="10"/>
        <rFont val="FreeSans"/>
        <family val="2"/>
      </rPr>
      <t xml:space="preserve">پلاتین موتور کولر آبی </t>
    </r>
    <r>
      <rPr>
        <sz val="10"/>
        <rFont val="Vazirmatn"/>
        <family val="0"/>
        <charset val="1"/>
      </rPr>
      <t xml:space="preserve">3/4hp</t>
    </r>
  </si>
  <si>
    <t xml:space="preserve">31214611</t>
  </si>
  <si>
    <r>
      <rPr>
        <sz val="10"/>
        <rFont val="FreeSans"/>
        <family val="2"/>
      </rPr>
      <t xml:space="preserve">ترنسمیتر فشار </t>
    </r>
    <r>
      <rPr>
        <sz val="10"/>
        <rFont val="Vazirmatn"/>
        <family val="0"/>
        <charset val="1"/>
      </rPr>
      <t xml:space="preserve">	O.C : PMC51-17410/0  1+ /  1 -  bar</t>
    </r>
  </si>
  <si>
    <t xml:space="preserve">31214612</t>
  </si>
  <si>
    <r>
      <rPr>
        <sz val="10"/>
        <rFont val="FreeSans"/>
        <family val="2"/>
      </rPr>
      <t xml:space="preserve">ترنسمیتر فشار   </t>
    </r>
    <r>
      <rPr>
        <sz val="10"/>
        <rFont val="Vazirmatn"/>
        <family val="0"/>
        <charset val="1"/>
      </rPr>
      <t xml:space="preserve">10+ /  1 -  barO.C : PMC51-2T5U0/0</t>
    </r>
  </si>
  <si>
    <t xml:space="preserve">31214613</t>
  </si>
  <si>
    <r>
      <rPr>
        <sz val="10"/>
        <rFont val="FreeSans"/>
        <family val="2"/>
      </rPr>
      <t xml:space="preserve">ترنسمیتر فشار </t>
    </r>
    <r>
      <rPr>
        <sz val="10"/>
        <rFont val="Vazirmatn"/>
        <family val="0"/>
        <charset val="1"/>
      </rPr>
      <t xml:space="preserve">O.C : PMC51-LPC1/0   1+ /  1 -  bar</t>
    </r>
  </si>
  <si>
    <t xml:space="preserve">31214614</t>
  </si>
  <si>
    <r>
      <rPr>
        <sz val="10"/>
        <rFont val="FreeSans"/>
        <family val="2"/>
      </rPr>
      <t xml:space="preserve">ترنسمیتر فشار </t>
    </r>
    <r>
      <rPr>
        <sz val="10"/>
        <rFont val="Vazirmatn"/>
        <family val="0"/>
        <charset val="1"/>
      </rPr>
      <t xml:space="preserve">O.C : PMP51-18A64/0  40+ /  1 -  bar</t>
    </r>
  </si>
  <si>
    <t xml:space="preserve">31214615</t>
  </si>
  <si>
    <r>
      <rPr>
        <sz val="10"/>
        <rFont val="FreeSans"/>
        <family val="2"/>
      </rPr>
      <t xml:space="preserve">ترنسمیتر فشار </t>
    </r>
    <r>
      <rPr>
        <sz val="10"/>
        <rFont val="Vazirmatn"/>
        <family val="0"/>
        <charset val="1"/>
      </rPr>
      <t xml:space="preserve">O.C : PMP51-1EHW7/0   10+ /  1 -  bar</t>
    </r>
  </si>
  <si>
    <t xml:space="preserve">31214617</t>
  </si>
  <si>
    <r>
      <rPr>
        <sz val="10"/>
        <rFont val="FreeSans"/>
        <family val="2"/>
      </rPr>
      <t xml:space="preserve">ترنسمیتر فشار </t>
    </r>
    <r>
      <rPr>
        <sz val="10"/>
        <rFont val="Vazirmatn"/>
        <family val="0"/>
        <charset val="1"/>
      </rPr>
      <t xml:space="preserve">O.C : PMP51-3XK46/101  40+ /  0  bar</t>
    </r>
  </si>
  <si>
    <t xml:space="preserve">31214618</t>
  </si>
  <si>
    <r>
      <rPr>
        <sz val="10"/>
        <rFont val="FreeSans"/>
        <family val="2"/>
      </rPr>
      <t xml:space="preserve">ترنسمیتر فشار </t>
    </r>
    <r>
      <rPr>
        <sz val="10"/>
        <rFont val="Vazirmatn"/>
        <family val="0"/>
        <charset val="1"/>
      </rPr>
      <t xml:space="preserve">O.C : PMP51-EA89/0    10+ /  1 -  bar</t>
    </r>
  </si>
  <si>
    <t xml:space="preserve">31214621</t>
  </si>
  <si>
    <r>
      <rPr>
        <sz val="10"/>
        <rFont val="FreeSans"/>
        <family val="2"/>
      </rPr>
      <t xml:space="preserve">ترنسمیتر دما  </t>
    </r>
    <r>
      <rPr>
        <sz val="10"/>
        <rFont val="Vazirmatn"/>
        <family val="0"/>
        <charset val="1"/>
      </rPr>
      <t xml:space="preserve">250 - 0  </t>
    </r>
    <r>
      <rPr>
        <sz val="10"/>
        <rFont val="FreeSans"/>
        <family val="2"/>
      </rPr>
      <t xml:space="preserve">درجه سانتی گراد</t>
    </r>
    <r>
      <rPr>
        <sz val="10"/>
        <rFont val="Vazirmatn"/>
        <family val="0"/>
        <charset val="1"/>
      </rPr>
      <t xml:space="preserve">O.C : TM401-31P3/115</t>
    </r>
  </si>
  <si>
    <t xml:space="preserve">31214622</t>
  </si>
  <si>
    <r>
      <rPr>
        <sz val="10"/>
        <rFont val="FreeSans"/>
        <family val="2"/>
      </rPr>
      <t xml:space="preserve">ترنسمیتر دما   </t>
    </r>
    <r>
      <rPr>
        <sz val="10"/>
        <rFont val="Vazirmatn"/>
        <family val="0"/>
        <charset val="1"/>
      </rPr>
      <t xml:space="preserve">100 - 0  </t>
    </r>
    <r>
      <rPr>
        <sz val="10"/>
        <rFont val="FreeSans"/>
        <family val="2"/>
      </rPr>
      <t xml:space="preserve">درجه سانتی گراد</t>
    </r>
    <r>
      <rPr>
        <sz val="10"/>
        <rFont val="Vazirmatn"/>
        <family val="0"/>
        <charset val="1"/>
      </rPr>
      <t xml:space="preserve">O.C : TM401-31Q9/101</t>
    </r>
  </si>
  <si>
    <t xml:space="preserve">31214623</t>
  </si>
  <si>
    <r>
      <rPr>
        <sz val="10"/>
        <rFont val="FreeSans"/>
        <family val="2"/>
      </rPr>
      <t xml:space="preserve">ترنسمیتر دما   </t>
    </r>
    <r>
      <rPr>
        <sz val="10"/>
        <rFont val="Vazirmatn"/>
        <family val="0"/>
        <charset val="1"/>
      </rPr>
      <t xml:space="preserve">150 - 0  </t>
    </r>
    <r>
      <rPr>
        <sz val="10"/>
        <rFont val="FreeSans"/>
        <family val="2"/>
      </rPr>
      <t xml:space="preserve">درجه سانتی گراد</t>
    </r>
    <r>
      <rPr>
        <sz val="10"/>
        <rFont val="Vazirmatn"/>
        <family val="0"/>
        <charset val="1"/>
      </rPr>
      <t xml:space="preserve">O.C : TM401-31Q9/115</t>
    </r>
  </si>
  <si>
    <t xml:space="preserve">31214624</t>
  </si>
  <si>
    <r>
      <rPr>
        <sz val="10"/>
        <rFont val="FreeSans"/>
        <family val="2"/>
      </rPr>
      <t xml:space="preserve">ترنسمیتر دما   </t>
    </r>
    <r>
      <rPr>
        <sz val="10"/>
        <rFont val="Vazirmatn"/>
        <family val="0"/>
        <charset val="1"/>
      </rPr>
      <t xml:space="preserve">400 - 0  </t>
    </r>
    <r>
      <rPr>
        <sz val="10"/>
        <rFont val="FreeSans"/>
        <family val="2"/>
      </rPr>
      <t xml:space="preserve">درجه سانتی گراد </t>
    </r>
    <r>
      <rPr>
        <sz val="10"/>
        <rFont val="Vazirmatn"/>
        <family val="0"/>
        <charset val="1"/>
      </rPr>
      <t xml:space="preserve">O.C:TM401-31Q9/125</t>
    </r>
  </si>
  <si>
    <t xml:space="preserve">31214625</t>
  </si>
  <si>
    <r>
      <rPr>
        <sz val="10"/>
        <rFont val="FreeSans"/>
        <family val="2"/>
      </rPr>
      <t xml:space="preserve">ترنسمیتر دما  </t>
    </r>
    <r>
      <rPr>
        <sz val="10"/>
        <rFont val="Vazirmatn"/>
        <family val="0"/>
        <charset val="1"/>
      </rPr>
      <t xml:space="preserve">100 - 0   </t>
    </r>
    <r>
      <rPr>
        <sz val="10"/>
        <rFont val="FreeSans"/>
        <family val="2"/>
      </rPr>
      <t xml:space="preserve">درجه سانتی گراد</t>
    </r>
    <r>
      <rPr>
        <sz val="10"/>
        <rFont val="Vazirmatn"/>
        <family val="0"/>
        <charset val="1"/>
      </rPr>
      <t xml:space="preserve">OC:TM501-1X78/115</t>
    </r>
  </si>
  <si>
    <t xml:space="preserve">31214627</t>
  </si>
  <si>
    <r>
      <rPr>
        <sz val="10"/>
        <rFont val="FreeSans"/>
        <family val="2"/>
      </rPr>
      <t xml:space="preserve">ترنسمیتر دما </t>
    </r>
    <r>
      <rPr>
        <sz val="10"/>
        <rFont val="Vazirmatn"/>
        <family val="0"/>
        <charset val="1"/>
      </rPr>
      <t xml:space="preserve">400-0 </t>
    </r>
    <r>
      <rPr>
        <sz val="10"/>
        <rFont val="FreeSans"/>
        <family val="2"/>
      </rPr>
      <t xml:space="preserve">درجه سانتی گراد</t>
    </r>
    <r>
      <rPr>
        <sz val="10"/>
        <rFont val="Vazirmatn"/>
        <family val="0"/>
        <charset val="1"/>
      </rPr>
      <t xml:space="preserve">O.C:TM501-24R0/101</t>
    </r>
  </si>
  <si>
    <t xml:space="preserve">31214628</t>
  </si>
  <si>
    <r>
      <rPr>
        <sz val="10"/>
        <rFont val="FreeSans"/>
        <family val="2"/>
      </rPr>
      <t xml:space="preserve">ترنسمیتر دما  </t>
    </r>
    <r>
      <rPr>
        <sz val="10"/>
        <rFont val="Vazirmatn"/>
        <family val="0"/>
        <charset val="1"/>
      </rPr>
      <t xml:space="preserve">100 - 0  </t>
    </r>
    <r>
      <rPr>
        <sz val="10"/>
        <rFont val="FreeSans"/>
        <family val="2"/>
      </rPr>
      <t xml:space="preserve">درجه سانتی گراد</t>
    </r>
    <r>
      <rPr>
        <sz val="10"/>
        <rFont val="Vazirmatn"/>
        <family val="0"/>
        <charset val="1"/>
      </rPr>
      <t xml:space="preserve">O.C : TM401-31M7/101</t>
    </r>
  </si>
  <si>
    <t xml:space="preserve">31214629</t>
  </si>
  <si>
    <r>
      <rPr>
        <sz val="10"/>
        <rFont val="FreeSans"/>
        <family val="2"/>
      </rPr>
      <t xml:space="preserve">ترنسمیتر دما  </t>
    </r>
    <r>
      <rPr>
        <sz val="10"/>
        <rFont val="Vazirmatn"/>
        <family val="0"/>
        <charset val="1"/>
      </rPr>
      <t xml:space="preserve">150 - 0  </t>
    </r>
    <r>
      <rPr>
        <sz val="10"/>
        <rFont val="FreeSans"/>
        <family val="2"/>
      </rPr>
      <t xml:space="preserve">درجه سانتی گراد</t>
    </r>
    <r>
      <rPr>
        <sz val="10"/>
        <rFont val="Vazirmatn"/>
        <family val="0"/>
        <charset val="1"/>
      </rPr>
      <t xml:space="preserve">O.C : TM401-31M7/115</t>
    </r>
  </si>
  <si>
    <t xml:space="preserve">31214630</t>
  </si>
  <si>
    <r>
      <rPr>
        <sz val="10"/>
        <rFont val="FreeSans"/>
        <family val="2"/>
      </rPr>
      <t xml:space="preserve">ترنسمیتر فشار  </t>
    </r>
    <r>
      <rPr>
        <sz val="10"/>
        <rFont val="Vazirmatn"/>
        <family val="0"/>
        <charset val="1"/>
      </rPr>
      <t xml:space="preserve">O.C : PMP51-THF0/0    10+ /  1 -  bar</t>
    </r>
  </si>
  <si>
    <t xml:space="preserve">31214631</t>
  </si>
  <si>
    <r>
      <rPr>
        <sz val="10"/>
        <rFont val="FreeSans"/>
        <family val="2"/>
      </rPr>
      <t xml:space="preserve">ترنسمیتر فشار </t>
    </r>
    <r>
      <rPr>
        <sz val="10"/>
        <rFont val="Vazirmatn"/>
        <family val="0"/>
        <charset val="1"/>
      </rPr>
      <t xml:space="preserve">O.C : PMP51-WA87/0  10+ /  1 -   bar</t>
    </r>
  </si>
  <si>
    <t xml:space="preserve">31214632</t>
  </si>
  <si>
    <r>
      <rPr>
        <sz val="10"/>
        <rFont val="FreeSans"/>
        <family val="2"/>
      </rPr>
      <t xml:space="preserve">ترنسمیتر فشار  </t>
    </r>
    <r>
      <rPr>
        <sz val="10"/>
        <rFont val="Vazirmatn"/>
        <family val="0"/>
        <charset val="1"/>
      </rPr>
      <t xml:space="preserve">O.C : PMP55-14W20/0 10+ /   1 -  bar</t>
    </r>
  </si>
  <si>
    <t xml:space="preserve">31214633</t>
  </si>
  <si>
    <r>
      <rPr>
        <sz val="10"/>
        <rFont val="FreeSans"/>
        <family val="2"/>
      </rPr>
      <t xml:space="preserve">ترنسمیتر فشار</t>
    </r>
    <r>
      <rPr>
        <sz val="10"/>
        <rFont val="Vazirmatn"/>
        <family val="0"/>
        <charset val="1"/>
      </rPr>
      <t xml:space="preserve">O.C : PMP51-12DU5/0   40+ /  1 -   bar</t>
    </r>
  </si>
  <si>
    <t xml:space="preserve">31214634</t>
  </si>
  <si>
    <r>
      <rPr>
        <sz val="10"/>
        <rFont val="FreeSans"/>
        <family val="2"/>
      </rPr>
      <t xml:space="preserve">ترنسمیتر فشار  </t>
    </r>
    <r>
      <rPr>
        <sz val="10"/>
        <rFont val="Vazirmatn"/>
        <family val="0"/>
        <charset val="1"/>
      </rPr>
      <t xml:space="preserve">O.C : PMP51-1AAK3/0 4+ /  1 -  bar</t>
    </r>
  </si>
  <si>
    <t xml:space="preserve">31214635</t>
  </si>
  <si>
    <r>
      <rPr>
        <sz val="10"/>
        <rFont val="FreeSans"/>
        <family val="2"/>
      </rPr>
      <t xml:space="preserve">ترنسمیتر   سطح</t>
    </r>
    <r>
      <rPr>
        <sz val="10"/>
        <rFont val="Vazirmatn"/>
        <family val="0"/>
        <charset val="1"/>
      </rPr>
      <t xml:space="preserve">O.C : PMP51-412R3/0</t>
    </r>
  </si>
  <si>
    <t xml:space="preserve">31214636</t>
  </si>
  <si>
    <r>
      <rPr>
        <sz val="10"/>
        <rFont val="FreeSans"/>
        <family val="2"/>
      </rPr>
      <t xml:space="preserve">ترنسمیتر سطح</t>
    </r>
    <r>
      <rPr>
        <sz val="10"/>
        <rFont val="Vazirmatn"/>
        <family val="0"/>
        <charset val="1"/>
      </rPr>
      <t xml:space="preserve">O.C : PMP51-39MA3/0</t>
    </r>
  </si>
  <si>
    <t xml:space="preserve">31214637</t>
  </si>
  <si>
    <r>
      <rPr>
        <sz val="10"/>
        <rFont val="FreeSans"/>
        <family val="2"/>
      </rPr>
      <t xml:space="preserve">ترنسمیتر  سطح</t>
    </r>
    <r>
      <rPr>
        <sz val="10"/>
        <rFont val="Vazirmatn"/>
        <family val="0"/>
        <charset val="1"/>
      </rPr>
      <t xml:space="preserve">O.C : PMP51-39M91/0</t>
    </r>
  </si>
  <si>
    <t xml:space="preserve">31214638</t>
  </si>
  <si>
    <r>
      <rPr>
        <sz val="10"/>
        <rFont val="FreeSans"/>
        <family val="2"/>
      </rPr>
      <t xml:space="preserve">ترنسمیتر   سطح</t>
    </r>
    <r>
      <rPr>
        <sz val="10"/>
        <rFont val="Vazirmatn"/>
        <family val="0"/>
        <charset val="1"/>
      </rPr>
      <t xml:space="preserve">O.C : PMP51-39M84/0</t>
    </r>
  </si>
  <si>
    <t xml:space="preserve">31214640</t>
  </si>
  <si>
    <r>
      <rPr>
        <sz val="10"/>
        <rFont val="FreeSans"/>
        <family val="2"/>
      </rPr>
      <t xml:space="preserve">ترنسمیتر  دما  </t>
    </r>
    <r>
      <rPr>
        <sz val="10"/>
        <rFont val="Vazirmatn"/>
        <family val="0"/>
        <charset val="1"/>
      </rPr>
      <t xml:space="preserve">100 - 0  </t>
    </r>
    <r>
      <rPr>
        <sz val="10"/>
        <rFont val="FreeSans"/>
        <family val="2"/>
      </rPr>
      <t xml:space="preserve">درجه سانتی گراد</t>
    </r>
    <r>
      <rPr>
        <sz val="10"/>
        <rFont val="Vazirmatn"/>
        <family val="0"/>
        <charset val="1"/>
      </rPr>
      <t xml:space="preserve">O.C : TM501-B111C12B1BC1A5</t>
    </r>
  </si>
  <si>
    <t xml:space="preserve">31214641</t>
  </si>
  <si>
    <r>
      <rPr>
        <sz val="10"/>
        <rFont val="FreeSans"/>
        <family val="2"/>
      </rPr>
      <t xml:space="preserve">ترنسمیتر  دما  </t>
    </r>
    <r>
      <rPr>
        <sz val="10"/>
        <rFont val="Vazirmatn"/>
        <family val="0"/>
        <charset val="1"/>
      </rPr>
      <t xml:space="preserve">150 - 0  </t>
    </r>
    <r>
      <rPr>
        <sz val="10"/>
        <rFont val="FreeSans"/>
        <family val="2"/>
      </rPr>
      <t xml:space="preserve">درجه سانتی گراد</t>
    </r>
    <r>
      <rPr>
        <sz val="10"/>
        <rFont val="Vazirmatn"/>
        <family val="0"/>
        <charset val="1"/>
      </rPr>
      <t xml:space="preserve">OC:TM501-24R0/125</t>
    </r>
  </si>
  <si>
    <t xml:space="preserve">31214642</t>
  </si>
  <si>
    <r>
      <rPr>
        <sz val="10"/>
        <rFont val="FreeSans"/>
        <family val="2"/>
      </rPr>
      <t xml:space="preserve">ترنسمیتر دما </t>
    </r>
    <r>
      <rPr>
        <sz val="10"/>
        <rFont val="Vazirmatn"/>
        <family val="0"/>
        <charset val="1"/>
      </rPr>
      <t xml:space="preserve">400 - 0  </t>
    </r>
    <r>
      <rPr>
        <sz val="10"/>
        <rFont val="FreeSans"/>
        <family val="2"/>
      </rPr>
      <t xml:space="preserve">درجه سانتی گراد </t>
    </r>
    <r>
      <rPr>
        <sz val="10"/>
        <rFont val="Vazirmatn"/>
        <family val="0"/>
        <charset val="1"/>
      </rPr>
      <t xml:space="preserve">O.C:TM501-24R0/139</t>
    </r>
  </si>
  <si>
    <t xml:space="preserve">31214644</t>
  </si>
  <si>
    <r>
      <rPr>
        <sz val="10"/>
        <rFont val="FreeSans"/>
        <family val="2"/>
      </rPr>
      <t xml:space="preserve">ترنسمیتر     </t>
    </r>
    <r>
      <rPr>
        <sz val="10"/>
        <rFont val="Vazirmatn"/>
        <family val="0"/>
        <charset val="1"/>
      </rPr>
      <t xml:space="preserve">O.C : CPS71D-7TB21 PH</t>
    </r>
  </si>
  <si>
    <t xml:space="preserve">31214645</t>
  </si>
  <si>
    <r>
      <rPr>
        <sz val="10"/>
        <rFont val="FreeSans"/>
        <family val="2"/>
      </rPr>
      <t xml:space="preserve">پنل ترنسمیتر   </t>
    </r>
    <r>
      <rPr>
        <sz val="10"/>
        <rFont val="Vazirmatn"/>
        <family val="0"/>
        <charset val="1"/>
      </rPr>
      <t xml:space="preserve">O.C : CPM223-MR0005</t>
    </r>
  </si>
  <si>
    <t xml:space="preserve">31214646</t>
  </si>
  <si>
    <r>
      <rPr>
        <sz val="10"/>
        <rFont val="FreeSans"/>
        <family val="2"/>
      </rPr>
      <t xml:space="preserve">ترنسمیتر سطح   </t>
    </r>
    <r>
      <rPr>
        <sz val="10"/>
        <rFont val="Vazirmatn"/>
        <family val="0"/>
        <charset val="1"/>
      </rPr>
      <t xml:space="preserve">O.C : PMP55-2M2V0/0</t>
    </r>
  </si>
  <si>
    <t xml:space="preserve">31214647</t>
  </si>
  <si>
    <r>
      <rPr>
        <sz val="10"/>
        <rFont val="FreeSans"/>
        <family val="2"/>
      </rPr>
      <t xml:space="preserve">ترنسمیتر  سطح </t>
    </r>
    <r>
      <rPr>
        <sz val="10"/>
        <rFont val="Vazirmatn"/>
        <family val="0"/>
        <charset val="1"/>
      </rPr>
      <t xml:space="preserve">O.C : PMP51-412U5/0</t>
    </r>
  </si>
  <si>
    <t xml:space="preserve">31214648</t>
  </si>
  <si>
    <r>
      <rPr>
        <sz val="10"/>
        <rFont val="FreeSans"/>
        <family val="2"/>
      </rPr>
      <t xml:space="preserve">ترنسمیتر کنترل دکانتور  </t>
    </r>
    <r>
      <rPr>
        <sz val="10"/>
        <rFont val="Vazirmatn"/>
        <family val="0"/>
        <charset val="1"/>
      </rPr>
      <t xml:space="preserve">030 - 3278 - 8655</t>
    </r>
  </si>
  <si>
    <t xml:space="preserve">31214649</t>
  </si>
  <si>
    <r>
      <rPr>
        <sz val="10"/>
        <rFont val="FreeSans"/>
        <family val="2"/>
      </rPr>
      <t xml:space="preserve">ترنسمیتر فشار دکانتور  </t>
    </r>
    <r>
      <rPr>
        <sz val="10"/>
        <rFont val="Vazirmatn"/>
        <family val="0"/>
        <charset val="1"/>
      </rPr>
      <t xml:space="preserve">300 - 1529 - 0005</t>
    </r>
  </si>
  <si>
    <t xml:space="preserve">31214650</t>
  </si>
  <si>
    <r>
      <rPr>
        <sz val="10"/>
        <rFont val="FreeSans"/>
        <family val="2"/>
      </rPr>
      <t xml:space="preserve">ترنسمیتر فشار </t>
    </r>
    <r>
      <rPr>
        <sz val="10"/>
        <rFont val="Vazirmatn"/>
        <family val="0"/>
        <charset val="1"/>
      </rPr>
      <t xml:space="preserve">PT 2301 - 1</t>
    </r>
  </si>
  <si>
    <t xml:space="preserve">31214651</t>
  </si>
  <si>
    <r>
      <rPr>
        <sz val="10"/>
        <rFont val="FreeSans"/>
        <family val="2"/>
      </rPr>
      <t xml:space="preserve">ترنسمیتر فشار     </t>
    </r>
    <r>
      <rPr>
        <sz val="10"/>
        <rFont val="Vazirmatn"/>
        <family val="0"/>
        <charset val="1"/>
      </rPr>
      <t xml:space="preserve">0-10 Bar</t>
    </r>
  </si>
  <si>
    <t xml:space="preserve">31214654</t>
  </si>
  <si>
    <r>
      <rPr>
        <sz val="10"/>
        <rFont val="FreeSans"/>
        <family val="2"/>
      </rPr>
      <t xml:space="preserve">ترنسمیتر ویکا </t>
    </r>
    <r>
      <rPr>
        <sz val="10"/>
        <rFont val="Vazirmatn"/>
        <family val="0"/>
        <charset val="1"/>
      </rPr>
      <t xml:space="preserve">600 - 0 </t>
    </r>
    <r>
      <rPr>
        <sz val="10"/>
        <rFont val="FreeSans"/>
        <family val="2"/>
      </rPr>
      <t xml:space="preserve">بار  </t>
    </r>
    <r>
      <rPr>
        <sz val="10"/>
        <rFont val="Vazirmatn"/>
        <family val="0"/>
        <charset val="1"/>
      </rPr>
      <t xml:space="preserve">S-11 / 4-20mA</t>
    </r>
  </si>
  <si>
    <t xml:space="preserve">31214661</t>
  </si>
  <si>
    <r>
      <rPr>
        <sz val="10"/>
        <rFont val="FreeSans"/>
        <family val="2"/>
      </rPr>
      <t xml:space="preserve">ترنسمیتر کنداکتیویته    </t>
    </r>
    <r>
      <rPr>
        <sz val="10"/>
        <rFont val="Vazirmatn"/>
        <family val="0"/>
        <charset val="1"/>
      </rPr>
      <t xml:space="preserve">O.C : cld18-1077/0</t>
    </r>
  </si>
  <si>
    <t xml:space="preserve">31214662</t>
  </si>
  <si>
    <r>
      <rPr>
        <sz val="10"/>
        <rFont val="FreeSans"/>
        <family val="2"/>
      </rPr>
      <t xml:space="preserve">ترنسمیتر  کنداکتیویته </t>
    </r>
    <r>
      <rPr>
        <sz val="10"/>
        <rFont val="Vazirmatn"/>
        <family val="0"/>
        <charset val="1"/>
      </rPr>
      <t xml:space="preserve">O.C : CLS19-B1A1A</t>
    </r>
  </si>
  <si>
    <t xml:space="preserve">31214663</t>
  </si>
  <si>
    <r>
      <rPr>
        <sz val="10"/>
        <rFont val="FreeSans"/>
        <family val="2"/>
      </rPr>
      <t xml:space="preserve">پنل  کنداکتیویته </t>
    </r>
    <r>
      <rPr>
        <sz val="10"/>
        <rFont val="Vazirmatn"/>
        <family val="0"/>
        <charset val="1"/>
      </rPr>
      <t xml:space="preserve">CLM223-CD8005</t>
    </r>
  </si>
  <si>
    <t xml:space="preserve">31214752</t>
  </si>
  <si>
    <r>
      <rPr>
        <sz val="10"/>
        <rFont val="FreeSans"/>
        <family val="2"/>
      </rPr>
      <t xml:space="preserve">کابل ارتباطی لوگو </t>
    </r>
    <r>
      <rPr>
        <sz val="10"/>
        <rFont val="Vazirmatn"/>
        <family val="0"/>
        <charset val="1"/>
      </rPr>
      <t xml:space="preserve">( 6ED-1057-1AA01-0BA0 )</t>
    </r>
  </si>
  <si>
    <t xml:space="preserve">31214754</t>
  </si>
  <si>
    <r>
      <rPr>
        <sz val="10"/>
        <rFont val="FreeSans"/>
        <family val="2"/>
      </rPr>
      <t xml:space="preserve">کابل آلومینیوم   </t>
    </r>
    <r>
      <rPr>
        <sz val="10"/>
        <rFont val="Vazirmatn"/>
        <family val="0"/>
        <charset val="1"/>
      </rPr>
      <t xml:space="preserve">16*4</t>
    </r>
  </si>
  <si>
    <t xml:space="preserve">31214756</t>
  </si>
  <si>
    <r>
      <rPr>
        <sz val="10"/>
        <rFont val="FreeSans"/>
        <family val="2"/>
      </rPr>
      <t xml:space="preserve">سیم برق </t>
    </r>
    <r>
      <rPr>
        <sz val="10"/>
        <rFont val="Vazirmatn"/>
        <family val="0"/>
        <charset val="1"/>
      </rPr>
      <t xml:space="preserve">1/5</t>
    </r>
  </si>
  <si>
    <t xml:space="preserve">31214758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</si>
  <si>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سر نری </t>
    </r>
    <r>
      <rPr>
        <sz val="10"/>
        <rFont val="Vazirmatn"/>
        <family val="0"/>
        <charset val="1"/>
      </rPr>
      <t xml:space="preserve">USB ( </t>
    </r>
    <r>
      <rPr>
        <sz val="10"/>
        <rFont val="FreeSans"/>
        <family val="2"/>
      </rPr>
      <t xml:space="preserve">لینک </t>
    </r>
    <r>
      <rPr>
        <sz val="10"/>
        <rFont val="Vazirmatn"/>
        <family val="0"/>
        <charset val="1"/>
      </rPr>
      <t xml:space="preserve">) 1/5m</t>
    </r>
  </si>
  <si>
    <t xml:space="preserve">31214762</t>
  </si>
  <si>
    <r>
      <rPr>
        <sz val="10"/>
        <rFont val="FreeSans"/>
        <family val="2"/>
      </rPr>
      <t xml:space="preserve">کابل کنترل تخت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فلت </t>
    </r>
    <r>
      <rPr>
        <sz val="10"/>
        <rFont val="Vazirmatn"/>
        <family val="0"/>
        <charset val="1"/>
      </rPr>
      <t xml:space="preserve">)  1*12</t>
    </r>
  </si>
  <si>
    <t xml:space="preserve">31214764</t>
  </si>
  <si>
    <r>
      <rPr>
        <sz val="10"/>
        <rFont val="FreeSans"/>
        <family val="2"/>
      </rPr>
      <t xml:space="preserve">کابل تبدیل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سر نری جک </t>
    </r>
    <r>
      <rPr>
        <sz val="10"/>
        <rFont val="Vazirmatn"/>
        <family val="0"/>
        <charset val="1"/>
      </rPr>
      <t xml:space="preserve">( 2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)  6/3mm*3/5mm</t>
    </r>
  </si>
  <si>
    <t xml:space="preserve">31214766</t>
  </si>
  <si>
    <r>
      <rPr>
        <sz val="10"/>
        <rFont val="FreeSans"/>
        <family val="2"/>
      </rPr>
      <t xml:space="preserve">کابل مسی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رشته اسپیکر  </t>
    </r>
    <r>
      <rPr>
        <sz val="10"/>
        <rFont val="Vazirmatn"/>
        <family val="0"/>
        <charset val="1"/>
      </rPr>
      <t xml:space="preserve">AWG 14</t>
    </r>
  </si>
  <si>
    <t xml:space="preserve">31214768</t>
  </si>
  <si>
    <r>
      <rPr>
        <sz val="10"/>
        <rFont val="FreeSans"/>
        <family val="2"/>
      </rPr>
      <t xml:space="preserve">سیم لاکی  </t>
    </r>
    <r>
      <rPr>
        <sz val="10"/>
        <rFont val="Vazirmatn"/>
        <family val="0"/>
        <charset val="1"/>
      </rPr>
      <t xml:space="preserve">10</t>
    </r>
  </si>
  <si>
    <t xml:space="preserve">31214771</t>
  </si>
  <si>
    <r>
      <rPr>
        <sz val="10"/>
        <rFont val="FreeSans"/>
        <family val="2"/>
      </rPr>
      <t xml:space="preserve">کابل ارت روکش دار  </t>
    </r>
    <r>
      <rPr>
        <sz val="10"/>
        <rFont val="Vazirmatn"/>
        <family val="0"/>
        <charset val="1"/>
      </rPr>
      <t xml:space="preserve">120*1</t>
    </r>
  </si>
  <si>
    <t xml:space="preserve">31214773</t>
  </si>
  <si>
    <t xml:space="preserve">کابل پرو فی باس</t>
  </si>
  <si>
    <t xml:space="preserve">31214775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</si>
  <si>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رشته </t>
    </r>
    <r>
      <rPr>
        <sz val="10"/>
        <rFont val="Vazirmatn"/>
        <family val="0"/>
        <charset val="1"/>
      </rPr>
      <t xml:space="preserve">1/5mm</t>
    </r>
  </si>
  <si>
    <t xml:space="preserve">31214776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</si>
  <si>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رشته </t>
    </r>
    <r>
      <rPr>
        <sz val="10"/>
        <rFont val="Vazirmatn"/>
        <family val="0"/>
        <charset val="1"/>
      </rPr>
      <t xml:space="preserve">2/5mm</t>
    </r>
  </si>
  <si>
    <t xml:space="preserve">31214779</t>
  </si>
  <si>
    <r>
      <rPr>
        <sz val="10"/>
        <rFont val="FreeSans"/>
        <family val="2"/>
      </rPr>
      <t xml:space="preserve">سیم </t>
    </r>
    <r>
      <rPr>
        <sz val="10"/>
        <rFont val="Vazirmatn"/>
        <family val="0"/>
        <charset val="1"/>
      </rPr>
      <t xml:space="preserve">AL </t>
    </r>
    <r>
      <rPr>
        <sz val="10"/>
        <rFont val="FreeSans"/>
        <family val="2"/>
      </rPr>
      <t xml:space="preserve">روکش دار </t>
    </r>
    <r>
      <rPr>
        <sz val="10"/>
        <rFont val="Vazirmatn"/>
        <family val="0"/>
        <charset val="1"/>
      </rPr>
      <t xml:space="preserve">73</t>
    </r>
  </si>
  <si>
    <t xml:space="preserve">31214780</t>
  </si>
  <si>
    <r>
      <rPr>
        <sz val="10"/>
        <rFont val="FreeSans"/>
        <family val="2"/>
      </rPr>
      <t xml:space="preserve">کابل پرینتر  </t>
    </r>
    <r>
      <rPr>
        <sz val="10"/>
        <rFont val="Vazirmatn"/>
        <family val="0"/>
        <charset val="1"/>
      </rPr>
      <t xml:space="preserve">1/5m</t>
    </r>
  </si>
  <si>
    <t xml:space="preserve">31214783</t>
  </si>
  <si>
    <r>
      <rPr>
        <sz val="10"/>
        <rFont val="FreeSans"/>
        <family val="2"/>
      </rPr>
      <t xml:space="preserve">سیم تمیز کننده نازل </t>
    </r>
    <r>
      <rPr>
        <sz val="10"/>
        <rFont val="Vazirmatn"/>
        <family val="0"/>
        <charset val="1"/>
      </rPr>
      <t xml:space="preserve">10Cm </t>
    </r>
    <r>
      <rPr>
        <sz val="10"/>
        <rFont val="FreeSans"/>
        <family val="2"/>
      </rPr>
      <t xml:space="preserve">جت پرینتر شاتان</t>
    </r>
  </si>
  <si>
    <t xml:space="preserve">31214784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</si>
  <si>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VGA </t>
    </r>
    <r>
      <rPr>
        <sz val="10"/>
        <rFont val="FreeSans"/>
        <family val="2"/>
      </rPr>
      <t xml:space="preserve">مانیتور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سر نویزگیر دار</t>
    </r>
  </si>
  <si>
    <t xml:space="preserve">31214785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</si>
  <si>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VGA  1/5m </t>
    </r>
    <r>
      <rPr>
        <sz val="10"/>
        <rFont val="FreeSans"/>
        <family val="2"/>
      </rPr>
      <t xml:space="preserve">دو سر نویزگیر دار</t>
    </r>
  </si>
  <si>
    <t xml:space="preserve">31214786</t>
  </si>
  <si>
    <r>
      <rPr>
        <sz val="10"/>
        <rFont val="FreeSans"/>
        <family val="2"/>
      </rPr>
      <t xml:space="preserve">کابل اعلام حریق شیلدار نسوز </t>
    </r>
    <r>
      <rPr>
        <sz val="10"/>
        <rFont val="Vazirmatn"/>
        <family val="0"/>
        <charset val="1"/>
      </rPr>
      <t xml:space="preserve">1/5*3</t>
    </r>
  </si>
  <si>
    <t xml:space="preserve">31214788</t>
  </si>
  <si>
    <r>
      <rPr>
        <sz val="10"/>
        <rFont val="FreeSans"/>
        <family val="2"/>
      </rPr>
      <t xml:space="preserve">کابل لودسل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رشته آنتی نویز</t>
    </r>
  </si>
  <si>
    <t xml:space="preserve">31214789</t>
  </si>
  <si>
    <t xml:space="preserve">کابل اینچینگ لیفتراک</t>
  </si>
  <si>
    <t xml:space="preserve">31214790</t>
  </si>
  <si>
    <r>
      <rPr>
        <sz val="10"/>
        <rFont val="FreeSans"/>
        <family val="2"/>
      </rPr>
      <t xml:space="preserve">کابل افشان نسوز جوشکاری </t>
    </r>
    <r>
      <rPr>
        <sz val="10"/>
        <rFont val="Vazirmatn"/>
        <family val="0"/>
        <charset val="1"/>
      </rPr>
      <t xml:space="preserve">1 - 10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10</t>
    </r>
  </si>
  <si>
    <t xml:space="preserve">31214791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</si>
  <si>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پین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متری یک سر نری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یک سر مادگی</t>
    </r>
  </si>
  <si>
    <t xml:space="preserve">31214792</t>
  </si>
  <si>
    <r>
      <rPr>
        <sz val="10"/>
        <rFont val="FreeSans"/>
        <family val="2"/>
      </rPr>
      <t xml:space="preserve">کابل تلفن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سر سوکت 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متری</t>
    </r>
  </si>
  <si>
    <t xml:space="preserve">31214794</t>
  </si>
  <si>
    <r>
      <rPr>
        <sz val="10"/>
        <rFont val="FreeSans"/>
        <family val="2"/>
      </rPr>
      <t xml:space="preserve">کابل بلند اتصال پرینتر </t>
    </r>
    <r>
      <rPr>
        <sz val="10"/>
        <rFont val="Vazirmatn"/>
        <family val="0"/>
        <charset val="1"/>
      </rPr>
      <t xml:space="preserve">Usb</t>
    </r>
  </si>
  <si>
    <t xml:space="preserve">31214803</t>
  </si>
  <si>
    <r>
      <rPr>
        <sz val="10"/>
        <rFont val="FreeSans"/>
        <family val="2"/>
      </rPr>
      <t xml:space="preserve">سیم فرمان نمره </t>
    </r>
    <r>
      <rPr>
        <sz val="10"/>
        <rFont val="Vazirmatn"/>
        <family val="0"/>
        <charset val="1"/>
      </rPr>
      <t xml:space="preserve">1</t>
    </r>
  </si>
  <si>
    <t xml:space="preserve">31214813</t>
  </si>
  <si>
    <r>
      <rPr>
        <sz val="10"/>
        <rFont val="FreeSans"/>
        <family val="2"/>
      </rPr>
      <t xml:space="preserve">سیم فرمان     </t>
    </r>
    <r>
      <rPr>
        <sz val="10"/>
        <rFont val="Vazirmatn"/>
        <family val="0"/>
        <charset val="1"/>
      </rPr>
      <t xml:space="preserve">0/75</t>
    </r>
  </si>
  <si>
    <t xml:space="preserve">31214818</t>
  </si>
  <si>
    <r>
      <rPr>
        <sz val="10"/>
        <rFont val="FreeSans"/>
        <family val="2"/>
      </rPr>
      <t xml:space="preserve">کابل شیلددار   </t>
    </r>
    <r>
      <rPr>
        <sz val="10"/>
        <rFont val="Vazirmatn"/>
        <family val="0"/>
        <charset val="1"/>
      </rPr>
      <t xml:space="preserve">0/75 * 4</t>
    </r>
  </si>
  <si>
    <t xml:space="preserve">31214820</t>
  </si>
  <si>
    <r>
      <rPr>
        <sz val="10"/>
        <rFont val="FreeSans"/>
        <family val="2"/>
      </rPr>
      <t xml:space="preserve">کابل آلومینیومی   </t>
    </r>
    <r>
      <rPr>
        <sz val="10"/>
        <rFont val="Vazirmatn"/>
        <family val="0"/>
        <charset val="1"/>
      </rPr>
      <t xml:space="preserve">35 + 70 * 3</t>
    </r>
  </si>
  <si>
    <t xml:space="preserve">31214822</t>
  </si>
  <si>
    <r>
      <rPr>
        <sz val="10"/>
        <rFont val="FreeSans"/>
        <family val="2"/>
      </rPr>
      <t xml:space="preserve">کابل رابط آنالیزور به الکترود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</t>
    </r>
  </si>
  <si>
    <t xml:space="preserve">31214831</t>
  </si>
  <si>
    <r>
      <rPr>
        <sz val="10"/>
        <rFont val="FreeSans"/>
        <family val="2"/>
      </rPr>
      <t xml:space="preserve">تسمه ارت بافته شده مسی قابل انعطاف دوسرپرس سوراخ </t>
    </r>
    <r>
      <rPr>
        <sz val="10"/>
        <rFont val="Vazirmatn"/>
        <family val="0"/>
        <charset val="1"/>
      </rPr>
      <t xml:space="preserve">6 15cm</t>
    </r>
  </si>
  <si>
    <t xml:space="preserve">31214833</t>
  </si>
  <si>
    <r>
      <rPr>
        <sz val="10"/>
        <rFont val="FreeSans"/>
        <family val="2"/>
      </rPr>
      <t xml:space="preserve">کابل آلومینیومی   </t>
    </r>
    <r>
      <rPr>
        <sz val="10"/>
        <rFont val="Vazirmatn"/>
        <family val="0"/>
        <charset val="1"/>
      </rPr>
      <t xml:space="preserve">70 + 120 * 3</t>
    </r>
  </si>
  <si>
    <t xml:space="preserve">31214834</t>
  </si>
  <si>
    <r>
      <rPr>
        <sz val="10"/>
        <rFont val="FreeSans"/>
        <family val="2"/>
      </rPr>
      <t xml:space="preserve">کابل افشان   </t>
    </r>
    <r>
      <rPr>
        <sz val="10"/>
        <rFont val="Vazirmatn"/>
        <family val="0"/>
        <charset val="1"/>
      </rPr>
      <t xml:space="preserve">0/5 * 4</t>
    </r>
  </si>
  <si>
    <t xml:space="preserve">31214835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</si>
  <si>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متری  </t>
    </r>
    <r>
      <rPr>
        <sz val="10"/>
        <rFont val="Vazirmatn"/>
        <family val="0"/>
        <charset val="1"/>
      </rPr>
      <t xml:space="preserve">HDMI</t>
    </r>
  </si>
  <si>
    <t xml:space="preserve">31214836</t>
  </si>
  <si>
    <r>
      <rPr>
        <sz val="10"/>
        <rFont val="FreeSans"/>
        <family val="2"/>
      </rPr>
      <t xml:space="preserve">کابل فلت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پین </t>
    </r>
    <r>
      <rPr>
        <sz val="10"/>
        <rFont val="Vazirmatn"/>
        <family val="0"/>
        <charset val="1"/>
      </rPr>
      <t xml:space="preserve">AWM-20624 80c FFC 60V-VW1</t>
    </r>
  </si>
  <si>
    <t xml:space="preserve">31214838</t>
  </si>
  <si>
    <r>
      <rPr>
        <sz val="10"/>
        <rFont val="FreeSans"/>
        <family val="2"/>
      </rPr>
      <t xml:space="preserve">کابل پچ کورد فیبر نوری زیمنس </t>
    </r>
    <r>
      <rPr>
        <sz val="10"/>
        <rFont val="Vazirmatn"/>
        <family val="0"/>
        <charset val="1"/>
      </rPr>
      <t xml:space="preserve">6ES7960-1AA04-5AA0/B</t>
    </r>
  </si>
  <si>
    <t xml:space="preserve">31214839</t>
  </si>
  <si>
    <r>
      <rPr>
        <sz val="10"/>
        <rFont val="FreeSans"/>
        <family val="2"/>
      </rPr>
      <t xml:space="preserve">کابل کواکسیال ترکیبی با برق  </t>
    </r>
    <r>
      <rPr>
        <sz val="10"/>
        <rFont val="Vazirmatn"/>
        <family val="0"/>
        <charset val="1"/>
      </rPr>
      <t xml:space="preserve">RG 59</t>
    </r>
  </si>
  <si>
    <t xml:space="preserve">31214846</t>
  </si>
  <si>
    <r>
      <rPr>
        <sz val="10"/>
        <rFont val="FreeSans"/>
        <family val="2"/>
      </rPr>
      <t xml:space="preserve">کابل اترنت زیمنس </t>
    </r>
    <r>
      <rPr>
        <sz val="10"/>
        <rFont val="Vazirmatn"/>
        <family val="0"/>
        <charset val="1"/>
      </rPr>
      <t xml:space="preserve">6XV 1840 - 2 AH10</t>
    </r>
  </si>
  <si>
    <t xml:space="preserve">31214854</t>
  </si>
  <si>
    <r>
      <rPr>
        <sz val="10"/>
        <rFont val="FreeSans"/>
        <family val="2"/>
      </rPr>
      <t xml:space="preserve">سیم فرمان   </t>
    </r>
    <r>
      <rPr>
        <sz val="10"/>
        <rFont val="Vazirmatn"/>
        <family val="0"/>
        <charset val="1"/>
      </rPr>
      <t xml:space="preserve">0/5 * 1</t>
    </r>
  </si>
  <si>
    <t xml:space="preserve">31214855</t>
  </si>
  <si>
    <r>
      <rPr>
        <sz val="10"/>
        <rFont val="FreeSans"/>
        <family val="2"/>
      </rPr>
      <t xml:space="preserve">کابل پچ کورد لگراند </t>
    </r>
    <r>
      <rPr>
        <sz val="10"/>
        <rFont val="Vazirmatn"/>
        <family val="0"/>
        <charset val="1"/>
      </rPr>
      <t xml:space="preserve">30Cm  Cat6-SFTP</t>
    </r>
  </si>
  <si>
    <t xml:space="preserve">31214864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</si>
  <si>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HDMI  8m</t>
    </r>
  </si>
  <si>
    <t xml:space="preserve">31214867</t>
  </si>
  <si>
    <r>
      <rPr>
        <sz val="10"/>
        <rFont val="FreeSans"/>
        <family val="2"/>
      </rPr>
      <t xml:space="preserve">کابل مسی نیمه افشان ارت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لایه </t>
    </r>
    <r>
      <rPr>
        <sz val="10"/>
        <rFont val="Vazirmatn"/>
        <family val="0"/>
        <charset val="1"/>
      </rPr>
      <t xml:space="preserve">- 50mm2</t>
    </r>
  </si>
  <si>
    <t xml:space="preserve">31214868</t>
  </si>
  <si>
    <r>
      <rPr>
        <sz val="10"/>
        <rFont val="FreeSans"/>
        <family val="2"/>
      </rPr>
      <t xml:space="preserve">کابل ترنسمیتر آسیاب ایمپکت  </t>
    </r>
    <r>
      <rPr>
        <sz val="10"/>
        <rFont val="Vazirmatn"/>
        <family val="0"/>
        <charset val="1"/>
      </rPr>
      <t xml:space="preserve">004-005637</t>
    </r>
  </si>
  <si>
    <t xml:space="preserve">31214871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</si>
  <si>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Heat Trace Self Regulating 40W/M-150C' 230V AC   IP67</t>
    </r>
  </si>
  <si>
    <t xml:space="preserve">31214873</t>
  </si>
  <si>
    <r>
      <rPr>
        <sz val="10"/>
        <rFont val="FreeSans"/>
        <family val="2"/>
      </rPr>
      <t xml:space="preserve">کابل   </t>
    </r>
    <r>
      <rPr>
        <sz val="10"/>
        <rFont val="Vazirmatn"/>
        <family val="0"/>
        <charset val="1"/>
      </rPr>
      <t xml:space="preserve">0/75 * 4</t>
    </r>
  </si>
  <si>
    <t xml:space="preserve">31214879</t>
  </si>
  <si>
    <r>
      <rPr>
        <sz val="10"/>
        <rFont val="FreeSans"/>
        <family val="2"/>
      </rPr>
      <t xml:space="preserve">کابل تلفن  </t>
    </r>
    <r>
      <rPr>
        <sz val="10"/>
        <rFont val="Vazirmatn"/>
        <family val="0"/>
        <charset val="1"/>
      </rPr>
      <t xml:space="preserve">15 </t>
    </r>
    <r>
      <rPr>
        <sz val="10"/>
        <rFont val="FreeSans"/>
        <family val="2"/>
      </rPr>
      <t xml:space="preserve">زوج</t>
    </r>
  </si>
  <si>
    <t xml:space="preserve">31214884</t>
  </si>
  <si>
    <r>
      <rPr>
        <sz val="10"/>
        <rFont val="FreeSans"/>
        <family val="2"/>
      </rPr>
      <t xml:space="preserve">کابل ارت </t>
    </r>
    <r>
      <rPr>
        <sz val="10"/>
        <rFont val="Vazirmatn"/>
        <family val="0"/>
        <charset val="1"/>
      </rPr>
      <t xml:space="preserve">1*10</t>
    </r>
  </si>
  <si>
    <t xml:space="preserve">31214885</t>
  </si>
  <si>
    <r>
      <rPr>
        <sz val="10"/>
        <rFont val="FreeSans"/>
        <family val="2"/>
      </rPr>
      <t xml:space="preserve">کابل رابط هارد اکسترنال </t>
    </r>
    <r>
      <rPr>
        <sz val="10"/>
        <rFont val="Vazirmatn"/>
        <family val="0"/>
        <charset val="1"/>
      </rPr>
      <t xml:space="preserve">USB 3</t>
    </r>
  </si>
  <si>
    <t xml:space="preserve">31214889</t>
  </si>
  <si>
    <r>
      <rPr>
        <sz val="10"/>
        <rFont val="FreeSans"/>
        <family val="2"/>
      </rPr>
      <t xml:space="preserve">کابل رابط ترنسمیترهای دما  </t>
    </r>
    <r>
      <rPr>
        <sz val="10"/>
        <rFont val="Vazirmatn"/>
        <family val="0"/>
        <charset val="1"/>
      </rPr>
      <t xml:space="preserve">TXU10-AB</t>
    </r>
  </si>
  <si>
    <t xml:space="preserve">31214900</t>
  </si>
  <si>
    <r>
      <rPr>
        <sz val="10"/>
        <rFont val="FreeSans"/>
        <family val="2"/>
      </rPr>
      <t xml:space="preserve">کابل برق سه پین </t>
    </r>
    <r>
      <rPr>
        <sz val="10"/>
        <rFont val="Vazirmatn"/>
        <family val="0"/>
        <charset val="1"/>
      </rPr>
      <t xml:space="preserve">1/5 </t>
    </r>
    <r>
      <rPr>
        <sz val="10"/>
        <rFont val="FreeSans"/>
        <family val="2"/>
      </rPr>
      <t xml:space="preserve">متری آداپتور لپ تاپ</t>
    </r>
  </si>
  <si>
    <t xml:space="preserve">31214905</t>
  </si>
  <si>
    <r>
      <rPr>
        <sz val="10"/>
        <rFont val="FreeSans"/>
        <family val="2"/>
      </rPr>
      <t xml:space="preserve">کابل رابط    </t>
    </r>
    <r>
      <rPr>
        <sz val="10"/>
        <rFont val="Vazirmatn"/>
        <family val="0"/>
        <charset val="1"/>
      </rPr>
      <t xml:space="preserve">usp</t>
    </r>
  </si>
  <si>
    <t xml:space="preserve">31214915</t>
  </si>
  <si>
    <r>
      <rPr>
        <sz val="10"/>
        <rFont val="FreeSans"/>
        <family val="2"/>
      </rPr>
      <t xml:space="preserve">کابل  </t>
    </r>
    <r>
      <rPr>
        <sz val="10"/>
        <rFont val="Vazirmatn"/>
        <family val="0"/>
        <charset val="1"/>
      </rPr>
      <t xml:space="preserve">U green US 166 ) USB - Link )</t>
    </r>
  </si>
  <si>
    <t xml:space="preserve">31214917</t>
  </si>
  <si>
    <r>
      <rPr>
        <sz val="10"/>
        <rFont val="FreeSans"/>
        <family val="2"/>
      </rPr>
      <t xml:space="preserve">کابل جوشکاری نمره  </t>
    </r>
    <r>
      <rPr>
        <sz val="10"/>
        <rFont val="Vazirmatn"/>
        <family val="0"/>
        <charset val="1"/>
      </rPr>
      <t xml:space="preserve">14</t>
    </r>
  </si>
  <si>
    <t xml:space="preserve">31214919</t>
  </si>
  <si>
    <r>
      <rPr>
        <sz val="10"/>
        <rFont val="FreeSans"/>
        <family val="2"/>
      </rPr>
      <t xml:space="preserve">سیم دمپر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همراه چشمی و قوری قوری </t>
    </r>
    <r>
      <rPr>
        <sz val="10"/>
        <rFont val="Vazirmatn"/>
        <family val="0"/>
        <charset val="1"/>
      </rPr>
      <t xml:space="preserve">)</t>
    </r>
  </si>
  <si>
    <t xml:space="preserve">31214947</t>
  </si>
  <si>
    <r>
      <rPr>
        <sz val="10"/>
        <rFont val="FreeSans"/>
        <family val="2"/>
      </rPr>
      <t xml:space="preserve">کابل افشان  </t>
    </r>
    <r>
      <rPr>
        <sz val="10"/>
        <rFont val="Vazirmatn"/>
        <family val="0"/>
        <charset val="1"/>
      </rPr>
      <t xml:space="preserve">1*10</t>
    </r>
  </si>
  <si>
    <t xml:space="preserve">31214951</t>
  </si>
  <si>
    <r>
      <rPr>
        <sz val="10"/>
        <rFont val="FreeSans"/>
        <family val="2"/>
      </rPr>
      <t xml:space="preserve">کابل آلومینیومی       </t>
    </r>
    <r>
      <rPr>
        <sz val="10"/>
        <rFont val="Vazirmatn"/>
        <family val="0"/>
        <charset val="1"/>
      </rPr>
      <t xml:space="preserve">300 * 1</t>
    </r>
  </si>
  <si>
    <t xml:space="preserve">31214954</t>
  </si>
  <si>
    <r>
      <rPr>
        <sz val="10"/>
        <rFont val="FreeSans"/>
        <family val="2"/>
      </rPr>
      <t xml:space="preserve">کابل فرمان    </t>
    </r>
    <r>
      <rPr>
        <sz val="10"/>
        <rFont val="Vazirmatn"/>
        <family val="0"/>
        <charset val="1"/>
      </rPr>
      <t xml:space="preserve">0/75 * 12</t>
    </r>
  </si>
  <si>
    <t xml:space="preserve">31214985</t>
  </si>
  <si>
    <r>
      <rPr>
        <sz val="10"/>
        <rFont val="FreeSans"/>
        <family val="2"/>
      </rPr>
      <t xml:space="preserve">سیم دوسر سوکت  تلفن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پریز به گوشی</t>
    </r>
    <r>
      <rPr>
        <sz val="10"/>
        <rFont val="Vazirmatn"/>
        <family val="0"/>
        <charset val="1"/>
      </rPr>
      <t xml:space="preserve">)</t>
    </r>
  </si>
  <si>
    <t xml:space="preserve">31214986</t>
  </si>
  <si>
    <t xml:space="preserve">کابل رابط اسکنر</t>
  </si>
  <si>
    <t xml:space="preserve">31214987</t>
  </si>
  <si>
    <r>
      <rPr>
        <sz val="10"/>
        <rFont val="FreeSans"/>
        <family val="2"/>
      </rPr>
      <t xml:space="preserve">سیم رابط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</t>
    </r>
  </si>
  <si>
    <t xml:space="preserve">31214992</t>
  </si>
  <si>
    <r>
      <rPr>
        <sz val="10"/>
        <rFont val="FreeSans"/>
        <family val="2"/>
      </rPr>
      <t xml:space="preserve">کابل شبکه صنعتی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زوج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سیمه</t>
    </r>
  </si>
  <si>
    <t xml:space="preserve">31215015</t>
  </si>
  <si>
    <r>
      <rPr>
        <sz val="10"/>
        <rFont val="FreeSans"/>
        <family val="2"/>
      </rPr>
      <t xml:space="preserve">بوشن لوله برق </t>
    </r>
    <r>
      <rPr>
        <sz val="10"/>
        <rFont val="Vazirmatn"/>
        <family val="0"/>
        <charset val="1"/>
      </rPr>
      <t xml:space="preserve">21</t>
    </r>
  </si>
  <si>
    <t xml:space="preserve">31215019</t>
  </si>
  <si>
    <r>
      <rPr>
        <sz val="10"/>
        <rFont val="FreeSans"/>
        <family val="2"/>
      </rPr>
      <t xml:space="preserve">بوش تفلونی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رابط گیربکس </t>
    </r>
    <r>
      <rPr>
        <sz val="10"/>
        <rFont val="Vazirmatn"/>
        <family val="0"/>
        <charset val="1"/>
      </rPr>
      <t xml:space="preserve">)</t>
    </r>
  </si>
  <si>
    <t xml:space="preserve">31215053</t>
  </si>
  <si>
    <r>
      <rPr>
        <sz val="10"/>
        <rFont val="FreeSans"/>
        <family val="2"/>
      </rPr>
      <t xml:space="preserve">زانویی فولادی برق   </t>
    </r>
    <r>
      <rPr>
        <sz val="10"/>
        <rFont val="Vazirmatn"/>
        <family val="0"/>
        <charset val="1"/>
      </rPr>
      <t xml:space="preserve">36</t>
    </r>
  </si>
  <si>
    <t xml:space="preserve">31215055</t>
  </si>
  <si>
    <r>
      <rPr>
        <sz val="10"/>
        <rFont val="FreeSans"/>
        <family val="2"/>
      </rPr>
      <t xml:space="preserve">زانوی   فولادی     برق     </t>
    </r>
    <r>
      <rPr>
        <sz val="10"/>
        <rFont val="Vazirmatn"/>
        <family val="0"/>
        <charset val="1"/>
      </rPr>
      <t xml:space="preserve">16</t>
    </r>
  </si>
  <si>
    <t xml:space="preserve">31215057</t>
  </si>
  <si>
    <r>
      <rPr>
        <sz val="10"/>
        <rFont val="FreeSans"/>
        <family val="2"/>
      </rPr>
      <t xml:space="preserve">زانویی   فولادی    برق    </t>
    </r>
    <r>
      <rPr>
        <sz val="10"/>
        <rFont val="Vazirmatn"/>
        <family val="0"/>
        <charset val="1"/>
      </rPr>
      <t xml:space="preserve">21</t>
    </r>
  </si>
  <si>
    <t xml:space="preserve">31215061</t>
  </si>
  <si>
    <r>
      <rPr>
        <sz val="10"/>
        <rFont val="FreeSans"/>
        <family val="2"/>
      </rPr>
      <t xml:space="preserve">زانویی فولادی برق نمره </t>
    </r>
    <r>
      <rPr>
        <sz val="10"/>
        <rFont val="Vazirmatn"/>
        <family val="0"/>
        <charset val="1"/>
      </rPr>
      <t xml:space="preserve">13</t>
    </r>
  </si>
  <si>
    <t xml:space="preserve">31215080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</si>
  <si>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PVC </t>
    </r>
    <r>
      <rPr>
        <sz val="10"/>
        <rFont val="FreeSans"/>
        <family val="2"/>
      </rPr>
      <t xml:space="preserve">لوله برق   </t>
    </r>
    <r>
      <rPr>
        <sz val="10"/>
        <rFont val="Vazirmatn"/>
        <family val="0"/>
        <charset val="1"/>
      </rPr>
      <t xml:space="preserve">16</t>
    </r>
  </si>
  <si>
    <t xml:space="preserve">31215081</t>
  </si>
  <si>
    <r>
      <rPr>
        <sz val="10"/>
        <rFont val="FreeSans"/>
        <family val="2"/>
      </rPr>
      <t xml:space="preserve">زانویی گالوانیزه لوله برق   </t>
    </r>
    <r>
      <rPr>
        <sz val="10"/>
        <rFont val="Vazirmatn"/>
        <family val="0"/>
        <charset val="1"/>
      </rPr>
      <t xml:space="preserve">16</t>
    </r>
  </si>
  <si>
    <t xml:space="preserve">31215082</t>
  </si>
  <si>
    <r>
      <rPr>
        <sz val="10"/>
        <rFont val="FreeSans"/>
        <family val="2"/>
      </rPr>
      <t xml:space="preserve">زاویه زانوی تخت ترانکینگ سوپیتا </t>
    </r>
    <r>
      <rPr>
        <sz val="10"/>
        <rFont val="Vazirmatn"/>
        <family val="0"/>
        <charset val="1"/>
      </rPr>
      <t xml:space="preserve">100mm*30mm</t>
    </r>
  </si>
  <si>
    <t xml:space="preserve">31215105</t>
  </si>
  <si>
    <r>
      <rPr>
        <sz val="10"/>
        <rFont val="FreeSans"/>
        <family val="2"/>
      </rPr>
      <t xml:space="preserve">گلند پلاستیکی          </t>
    </r>
    <r>
      <rPr>
        <sz val="10"/>
        <rFont val="Vazirmatn"/>
        <family val="0"/>
        <charset val="1"/>
      </rPr>
      <t xml:space="preserve">PG 9</t>
    </r>
  </si>
  <si>
    <t xml:space="preserve">31215107</t>
  </si>
  <si>
    <r>
      <rPr>
        <sz val="10"/>
        <rFont val="FreeSans"/>
        <family val="2"/>
      </rPr>
      <t xml:space="preserve">گلند پلاستیکی     </t>
    </r>
    <r>
      <rPr>
        <sz val="10"/>
        <rFont val="Vazirmatn"/>
        <family val="0"/>
        <charset val="1"/>
      </rPr>
      <t xml:space="preserve">13</t>
    </r>
  </si>
  <si>
    <t xml:space="preserve">31215121</t>
  </si>
  <si>
    <r>
      <rPr>
        <sz val="10"/>
        <rFont val="FreeSans"/>
        <family val="2"/>
      </rPr>
      <t xml:space="preserve">گلند      نمره          </t>
    </r>
    <r>
      <rPr>
        <sz val="10"/>
        <rFont val="Vazirmatn"/>
        <family val="0"/>
        <charset val="1"/>
      </rPr>
      <t xml:space="preserve">21</t>
    </r>
  </si>
  <si>
    <t xml:space="preserve">31215219</t>
  </si>
  <si>
    <r>
      <rPr>
        <sz val="10"/>
        <rFont val="FreeSans"/>
        <family val="2"/>
      </rPr>
      <t xml:space="preserve">کابلشو      نمره      </t>
    </r>
    <r>
      <rPr>
        <sz val="10"/>
        <rFont val="Vazirmatn"/>
        <family val="0"/>
        <charset val="1"/>
      </rPr>
      <t xml:space="preserve">25</t>
    </r>
  </si>
  <si>
    <t xml:space="preserve">31215223</t>
  </si>
  <si>
    <r>
      <rPr>
        <sz val="10"/>
        <rFont val="FreeSans"/>
        <family val="2"/>
      </rPr>
      <t xml:space="preserve">کابلشو      نمره      </t>
    </r>
    <r>
      <rPr>
        <sz val="10"/>
        <rFont val="Vazirmatn"/>
        <family val="0"/>
        <charset val="1"/>
      </rPr>
      <t xml:space="preserve">95</t>
    </r>
  </si>
  <si>
    <t xml:space="preserve">31215227</t>
  </si>
  <si>
    <r>
      <rPr>
        <sz val="10"/>
        <rFont val="FreeSans"/>
        <family val="2"/>
      </rPr>
      <t xml:space="preserve">کابلشو      نمره     </t>
    </r>
    <r>
      <rPr>
        <sz val="10"/>
        <rFont val="Vazirmatn"/>
        <family val="0"/>
        <charset val="1"/>
      </rPr>
      <t xml:space="preserve">125</t>
    </r>
  </si>
  <si>
    <t xml:space="preserve">31215243</t>
  </si>
  <si>
    <r>
      <rPr>
        <sz val="10"/>
        <rFont val="FreeSans"/>
        <family val="2"/>
      </rPr>
      <t xml:space="preserve">کابلشو                   </t>
    </r>
    <r>
      <rPr>
        <sz val="10"/>
        <rFont val="Vazirmatn"/>
        <family val="0"/>
        <charset val="1"/>
      </rPr>
      <t xml:space="preserve">4</t>
    </r>
  </si>
  <si>
    <t xml:space="preserve">31215266</t>
  </si>
  <si>
    <r>
      <rPr>
        <sz val="10"/>
        <rFont val="FreeSans"/>
        <family val="2"/>
      </rPr>
      <t xml:space="preserve">کابلشو      </t>
    </r>
    <r>
      <rPr>
        <sz val="10"/>
        <rFont val="Vazirmatn"/>
        <family val="0"/>
        <charset val="1"/>
      </rPr>
      <t xml:space="preserve">(8mm) * 50</t>
    </r>
  </si>
  <si>
    <t xml:space="preserve">31215271</t>
  </si>
  <si>
    <r>
      <rPr>
        <sz val="10"/>
        <rFont val="FreeSans"/>
        <family val="2"/>
      </rPr>
      <t xml:space="preserve">کابلشو مسی </t>
    </r>
    <r>
      <rPr>
        <sz val="10"/>
        <rFont val="Vazirmatn"/>
        <family val="0"/>
        <charset val="1"/>
      </rPr>
      <t xml:space="preserve">16mm )  95 )</t>
    </r>
  </si>
  <si>
    <t xml:space="preserve">31215272</t>
  </si>
  <si>
    <r>
      <rPr>
        <sz val="10"/>
        <rFont val="FreeSans"/>
        <family val="2"/>
      </rPr>
      <t xml:space="preserve">کابلشو فول بی متال </t>
    </r>
    <r>
      <rPr>
        <sz val="10"/>
        <rFont val="Vazirmatn"/>
        <family val="0"/>
        <charset val="1"/>
      </rPr>
      <t xml:space="preserve">95</t>
    </r>
  </si>
  <si>
    <t xml:space="preserve">31215274</t>
  </si>
  <si>
    <r>
      <rPr>
        <sz val="10"/>
        <rFont val="FreeSans"/>
        <family val="2"/>
      </rPr>
      <t xml:space="preserve">کابلشو بی متال </t>
    </r>
    <r>
      <rPr>
        <sz val="10"/>
        <rFont val="Vazirmatn"/>
        <family val="0"/>
        <charset val="1"/>
      </rPr>
      <t xml:space="preserve">95mm ( </t>
    </r>
    <r>
      <rPr>
        <sz val="10"/>
        <rFont val="FreeSans"/>
        <family val="2"/>
      </rPr>
      <t xml:space="preserve">کلاته </t>
    </r>
    <r>
      <rPr>
        <sz val="10"/>
        <rFont val="Vazirmatn"/>
        <family val="0"/>
        <charset val="1"/>
      </rPr>
      <t xml:space="preserve">)</t>
    </r>
  </si>
  <si>
    <t xml:space="preserve">31215275</t>
  </si>
  <si>
    <r>
      <rPr>
        <sz val="10"/>
        <rFont val="FreeSans"/>
        <family val="2"/>
      </rPr>
      <t xml:space="preserve">کابلشو بی متال </t>
    </r>
    <r>
      <rPr>
        <sz val="10"/>
        <rFont val="Vazirmatn"/>
        <family val="0"/>
        <charset val="1"/>
      </rPr>
      <t xml:space="preserve">300mm ( </t>
    </r>
    <r>
      <rPr>
        <sz val="10"/>
        <rFont val="FreeSans"/>
        <family val="2"/>
      </rPr>
      <t xml:space="preserve">کلاته </t>
    </r>
    <r>
      <rPr>
        <sz val="10"/>
        <rFont val="Vazirmatn"/>
        <family val="0"/>
        <charset val="1"/>
      </rPr>
      <t xml:space="preserve">)</t>
    </r>
  </si>
  <si>
    <t xml:space="preserve">31215276</t>
  </si>
  <si>
    <r>
      <rPr>
        <sz val="10"/>
        <rFont val="FreeSans"/>
        <family val="2"/>
      </rPr>
      <t xml:space="preserve">کابلشو بی متال   </t>
    </r>
    <r>
      <rPr>
        <sz val="10"/>
        <rFont val="Vazirmatn"/>
        <family val="0"/>
        <charset val="1"/>
      </rPr>
      <t xml:space="preserve">8 - 16</t>
    </r>
  </si>
  <si>
    <t xml:space="preserve">31215309</t>
  </si>
  <si>
    <r>
      <rPr>
        <sz val="10"/>
        <rFont val="FreeSans"/>
        <family val="2"/>
      </rPr>
      <t xml:space="preserve">سینی برق  </t>
    </r>
    <r>
      <rPr>
        <sz val="10"/>
        <rFont val="Vazirmatn"/>
        <family val="0"/>
        <charset val="1"/>
      </rPr>
      <t xml:space="preserve">30 </t>
    </r>
    <r>
      <rPr>
        <sz val="10"/>
        <rFont val="FreeSans"/>
        <family val="2"/>
      </rPr>
      <t xml:space="preserve">سانتی</t>
    </r>
  </si>
  <si>
    <t xml:space="preserve">31215311</t>
  </si>
  <si>
    <r>
      <rPr>
        <sz val="10"/>
        <rFont val="FreeSans"/>
        <family val="2"/>
      </rPr>
      <t xml:space="preserve">ترانکینگ  </t>
    </r>
    <r>
      <rPr>
        <sz val="10"/>
        <rFont val="Vazirmatn"/>
        <family val="0"/>
        <charset val="1"/>
      </rPr>
      <t xml:space="preserve">101mm*50mm</t>
    </r>
  </si>
  <si>
    <t xml:space="preserve">31215312</t>
  </si>
  <si>
    <r>
      <rPr>
        <sz val="10"/>
        <rFont val="FreeSans"/>
        <family val="2"/>
      </rPr>
      <t xml:space="preserve">ترانکینگ سوپیتا  </t>
    </r>
    <r>
      <rPr>
        <sz val="10"/>
        <rFont val="Vazirmatn"/>
        <family val="0"/>
        <charset val="1"/>
      </rPr>
      <t xml:space="preserve">100mm*50mm</t>
    </r>
  </si>
  <si>
    <t xml:space="preserve">31215315</t>
  </si>
  <si>
    <r>
      <rPr>
        <sz val="10"/>
        <rFont val="FreeSans"/>
        <family val="2"/>
      </rPr>
      <t xml:space="preserve">سینی برق به عرض </t>
    </r>
    <r>
      <rPr>
        <sz val="10"/>
        <rFont val="Vazirmatn"/>
        <family val="0"/>
        <charset val="1"/>
      </rPr>
      <t xml:space="preserve">40CM</t>
    </r>
  </si>
  <si>
    <t xml:space="preserve">31215320</t>
  </si>
  <si>
    <r>
      <rPr>
        <sz val="10"/>
        <rFont val="FreeSans"/>
        <family val="2"/>
      </rPr>
      <t xml:space="preserve">کانال پلاستیکی     </t>
    </r>
    <r>
      <rPr>
        <sz val="10"/>
        <rFont val="Vazirmatn"/>
        <family val="0"/>
        <charset val="1"/>
      </rPr>
      <t xml:space="preserve">6*6</t>
    </r>
  </si>
  <si>
    <t xml:space="preserve">31215323</t>
  </si>
  <si>
    <r>
      <rPr>
        <sz val="10"/>
        <rFont val="FreeSans"/>
        <family val="2"/>
      </rPr>
      <t xml:space="preserve">کانال پلاستیکی  برق  </t>
    </r>
    <r>
      <rPr>
        <sz val="10"/>
        <rFont val="Vazirmatn"/>
        <family val="0"/>
        <charset val="1"/>
      </rPr>
      <t xml:space="preserve">5*5</t>
    </r>
  </si>
  <si>
    <t xml:space="preserve">31215324</t>
  </si>
  <si>
    <r>
      <rPr>
        <sz val="10"/>
        <rFont val="FreeSans"/>
        <family val="2"/>
      </rPr>
      <t xml:space="preserve">کانال پلاستیکی     </t>
    </r>
    <r>
      <rPr>
        <sz val="10"/>
        <rFont val="Vazirmatn"/>
        <family val="0"/>
        <charset val="1"/>
      </rPr>
      <t xml:space="preserve">10*10</t>
    </r>
  </si>
  <si>
    <t xml:space="preserve">31215326</t>
  </si>
  <si>
    <r>
      <rPr>
        <sz val="10"/>
        <rFont val="FreeSans"/>
        <family val="2"/>
      </rPr>
      <t xml:space="preserve">کانال پلاستیکی   </t>
    </r>
    <r>
      <rPr>
        <sz val="10"/>
        <rFont val="Vazirmatn"/>
        <family val="0"/>
        <charset val="1"/>
      </rPr>
      <t xml:space="preserve">2/5*2/5</t>
    </r>
  </si>
  <si>
    <t xml:space="preserve">31215329</t>
  </si>
  <si>
    <r>
      <rPr>
        <sz val="10"/>
        <rFont val="FreeSans"/>
        <family val="2"/>
      </rPr>
      <t xml:space="preserve">داکت کف خواب  نمره </t>
    </r>
    <r>
      <rPr>
        <sz val="10"/>
        <rFont val="Vazirmatn"/>
        <family val="0"/>
        <charset val="1"/>
      </rPr>
      <t xml:space="preserve">: 7</t>
    </r>
  </si>
  <si>
    <t xml:space="preserve">31215332</t>
  </si>
  <si>
    <t xml:space="preserve">جوینت اتصال سینی کابل</t>
  </si>
  <si>
    <t xml:space="preserve">31215337</t>
  </si>
  <si>
    <r>
      <rPr>
        <sz val="10"/>
        <rFont val="FreeSans"/>
        <family val="2"/>
      </rPr>
      <t xml:space="preserve">سینی برق عرض </t>
    </r>
    <r>
      <rPr>
        <sz val="10"/>
        <rFont val="Vazirmatn"/>
        <family val="0"/>
        <charset val="1"/>
      </rPr>
      <t xml:space="preserve">80cm</t>
    </r>
  </si>
  <si>
    <t xml:space="preserve">31215338</t>
  </si>
  <si>
    <r>
      <rPr>
        <sz val="10"/>
        <rFont val="FreeSans"/>
        <family val="2"/>
      </rPr>
      <t xml:space="preserve">درب سینی </t>
    </r>
    <r>
      <rPr>
        <sz val="10"/>
        <rFont val="Vazirmatn"/>
        <family val="0"/>
        <charset val="1"/>
      </rPr>
      <t xml:space="preserve">15  </t>
    </r>
    <r>
      <rPr>
        <sz val="10"/>
        <rFont val="FreeSans"/>
        <family val="2"/>
      </rPr>
      <t xml:space="preserve">سانتی</t>
    </r>
  </si>
  <si>
    <t xml:space="preserve">31215342</t>
  </si>
  <si>
    <r>
      <rPr>
        <sz val="10"/>
        <rFont val="FreeSans"/>
        <family val="2"/>
      </rPr>
      <t xml:space="preserve">درب سینی </t>
    </r>
    <r>
      <rPr>
        <sz val="10"/>
        <rFont val="Vazirmatn"/>
        <family val="0"/>
        <charset val="1"/>
      </rPr>
      <t xml:space="preserve">10  </t>
    </r>
    <r>
      <rPr>
        <sz val="10"/>
        <rFont val="FreeSans"/>
        <family val="2"/>
      </rPr>
      <t xml:space="preserve">سانتی</t>
    </r>
  </si>
  <si>
    <t xml:space="preserve">31215351</t>
  </si>
  <si>
    <r>
      <rPr>
        <sz val="10"/>
        <rFont val="FreeSans"/>
        <family val="2"/>
      </rPr>
      <t xml:space="preserve">داکت تابلویی شیاردار </t>
    </r>
    <r>
      <rPr>
        <sz val="10"/>
        <rFont val="Vazirmatn"/>
        <family val="0"/>
        <charset val="1"/>
      </rPr>
      <t xml:space="preserve">6mm  </t>
    </r>
    <r>
      <rPr>
        <sz val="10"/>
        <rFont val="FreeSans"/>
        <family val="2"/>
      </rPr>
      <t xml:space="preserve">ارتفاع </t>
    </r>
    <r>
      <rPr>
        <sz val="10"/>
        <rFont val="Vazirmatn"/>
        <family val="0"/>
        <charset val="1"/>
      </rPr>
      <t xml:space="preserve">4/5mm</t>
    </r>
  </si>
  <si>
    <t xml:space="preserve">31215352</t>
  </si>
  <si>
    <r>
      <rPr>
        <sz val="10"/>
        <rFont val="FreeSans"/>
        <family val="2"/>
      </rPr>
      <t xml:space="preserve">داکت تابلویی   </t>
    </r>
    <r>
      <rPr>
        <sz val="10"/>
        <rFont val="Vazirmatn"/>
        <family val="0"/>
        <charset val="1"/>
      </rPr>
      <t xml:space="preserve">2/5*6cm</t>
    </r>
  </si>
  <si>
    <t xml:space="preserve">31215354</t>
  </si>
  <si>
    <r>
      <rPr>
        <sz val="10"/>
        <rFont val="FreeSans"/>
        <family val="2"/>
      </rPr>
      <t xml:space="preserve">داکت زمینی کف خواب چسب دار </t>
    </r>
    <r>
      <rPr>
        <sz val="10"/>
        <rFont val="Vazirmatn"/>
        <family val="0"/>
        <charset val="1"/>
      </rPr>
      <t xml:space="preserve">90mm*25mm</t>
    </r>
  </si>
  <si>
    <t xml:space="preserve">31215355</t>
  </si>
  <si>
    <r>
      <rPr>
        <sz val="10"/>
        <rFont val="FreeSans"/>
        <family val="2"/>
      </rPr>
      <t xml:space="preserve">کانال پلاستیکی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داکت </t>
    </r>
    <r>
      <rPr>
        <sz val="10"/>
        <rFont val="Vazirmatn"/>
        <family val="0"/>
        <charset val="1"/>
      </rPr>
      <t xml:space="preserve">)    2 * 2</t>
    </r>
  </si>
  <si>
    <t xml:space="preserve">31215356</t>
  </si>
  <si>
    <r>
      <rPr>
        <sz val="10"/>
        <rFont val="FreeSans"/>
        <family val="2"/>
      </rPr>
      <t xml:space="preserve">داکت چسبی  </t>
    </r>
    <r>
      <rPr>
        <sz val="10"/>
        <rFont val="Vazirmatn"/>
        <family val="0"/>
        <charset val="1"/>
      </rPr>
      <t xml:space="preserve">3*3</t>
    </r>
  </si>
  <si>
    <t xml:space="preserve">31215360</t>
  </si>
  <si>
    <r>
      <rPr>
        <sz val="10"/>
        <rFont val="FreeSans"/>
        <family val="2"/>
      </rPr>
      <t xml:space="preserve">داکت چسبی  </t>
    </r>
    <r>
      <rPr>
        <sz val="10"/>
        <rFont val="Vazirmatn"/>
        <family val="0"/>
        <charset val="1"/>
      </rPr>
      <t xml:space="preserve">2 * 2</t>
    </r>
  </si>
  <si>
    <t xml:space="preserve">31215361</t>
  </si>
  <si>
    <r>
      <rPr>
        <sz val="10"/>
        <rFont val="FreeSans"/>
        <family val="2"/>
      </rPr>
      <t xml:space="preserve">داکت تراکینگ  </t>
    </r>
    <r>
      <rPr>
        <sz val="10"/>
        <rFont val="Vazirmatn"/>
        <family val="0"/>
        <charset val="1"/>
      </rPr>
      <t xml:space="preserve">100*60</t>
    </r>
  </si>
  <si>
    <t xml:space="preserve">31215363</t>
  </si>
  <si>
    <r>
      <rPr>
        <sz val="10"/>
        <rFont val="FreeSans"/>
        <family val="2"/>
      </rPr>
      <t xml:space="preserve">ترانکینگ  </t>
    </r>
    <r>
      <rPr>
        <sz val="10"/>
        <rFont val="Vazirmatn"/>
        <family val="0"/>
        <charset val="1"/>
      </rPr>
      <t xml:space="preserve">80mm*50mm</t>
    </r>
  </si>
  <si>
    <t xml:space="preserve">31215364</t>
  </si>
  <si>
    <r>
      <rPr>
        <sz val="10"/>
        <rFont val="FreeSans"/>
        <family val="2"/>
      </rPr>
      <t xml:space="preserve">داکت دیواری  </t>
    </r>
    <r>
      <rPr>
        <sz val="10"/>
        <rFont val="Vazirmatn"/>
        <family val="0"/>
        <charset val="1"/>
      </rPr>
      <t xml:space="preserve">4Cm * 4Cm</t>
    </r>
  </si>
  <si>
    <t xml:space="preserve">31215366</t>
  </si>
  <si>
    <t xml:space="preserve">ریل تابلویی فلزی</t>
  </si>
  <si>
    <t xml:space="preserve">31215367</t>
  </si>
  <si>
    <t xml:space="preserve">ریل جلو بر چرخ دوخت</t>
  </si>
  <si>
    <t xml:space="preserve">31215369</t>
  </si>
  <si>
    <t xml:space="preserve">مفصل کابل تلفن</t>
  </si>
  <si>
    <t xml:space="preserve">31215371</t>
  </si>
  <si>
    <r>
      <rPr>
        <sz val="10"/>
        <rFont val="FreeSans"/>
        <family val="2"/>
      </rPr>
      <t xml:space="preserve">مفصل کابل ریکم نمره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مسی  </t>
    </r>
    <r>
      <rPr>
        <sz val="10"/>
        <rFont val="Vazirmatn"/>
        <family val="0"/>
        <charset val="1"/>
      </rPr>
      <t xml:space="preserve">20KV</t>
    </r>
  </si>
  <si>
    <t xml:space="preserve">31215373</t>
  </si>
  <si>
    <r>
      <rPr>
        <sz val="10"/>
        <rFont val="FreeSans"/>
        <family val="2"/>
      </rPr>
      <t xml:space="preserve">مفصل کابل ریکم  </t>
    </r>
    <r>
      <rPr>
        <sz val="10"/>
        <rFont val="Vazirmatn"/>
        <family val="0"/>
        <charset val="1"/>
      </rPr>
      <t xml:space="preserve">3*185+95</t>
    </r>
  </si>
  <si>
    <t xml:space="preserve">31215380</t>
  </si>
  <si>
    <r>
      <rPr>
        <sz val="10"/>
        <rFont val="FreeSans"/>
        <family val="2"/>
      </rPr>
      <t xml:space="preserve">مفصل کابل مسی  </t>
    </r>
    <r>
      <rPr>
        <sz val="10"/>
        <rFont val="Vazirmatn"/>
        <family val="0"/>
        <charset val="1"/>
      </rPr>
      <t xml:space="preserve">240 * 1</t>
    </r>
  </si>
  <si>
    <t xml:space="preserve">31215384</t>
  </si>
  <si>
    <r>
      <rPr>
        <sz val="10"/>
        <rFont val="FreeSans"/>
        <family val="2"/>
      </rPr>
      <t xml:space="preserve">داکت کف خواب  </t>
    </r>
    <r>
      <rPr>
        <sz val="10"/>
        <rFont val="Vazirmatn"/>
        <family val="0"/>
        <charset val="1"/>
      </rPr>
      <t xml:space="preserve">10*30</t>
    </r>
  </si>
  <si>
    <t xml:space="preserve">31215385</t>
  </si>
  <si>
    <r>
      <rPr>
        <sz val="10"/>
        <rFont val="FreeSans"/>
        <family val="2"/>
      </rPr>
      <t xml:space="preserve">ریل مگنتی سفید </t>
    </r>
    <r>
      <rPr>
        <sz val="10"/>
        <rFont val="Vazirmatn"/>
        <family val="0"/>
        <charset val="1"/>
      </rPr>
      <t xml:space="preserve">3m ( </t>
    </r>
    <r>
      <rPr>
        <sz val="10"/>
        <rFont val="FreeSans"/>
        <family val="2"/>
      </rPr>
      <t xml:space="preserve">پارس شعاع </t>
    </r>
    <r>
      <rPr>
        <sz val="10"/>
        <rFont val="Vazirmatn"/>
        <family val="0"/>
        <charset val="1"/>
      </rPr>
      <t xml:space="preserve">)</t>
    </r>
  </si>
  <si>
    <t xml:space="preserve">31215386</t>
  </si>
  <si>
    <r>
      <rPr>
        <sz val="10"/>
        <rFont val="FreeSans"/>
        <family val="2"/>
      </rPr>
      <t xml:space="preserve">رابط ریل مگنتی سفید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پارس شعاع </t>
    </r>
    <r>
      <rPr>
        <sz val="10"/>
        <rFont val="Vazirmatn"/>
        <family val="0"/>
        <charset val="1"/>
      </rPr>
      <t xml:space="preserve">)</t>
    </r>
  </si>
  <si>
    <t xml:space="preserve">31216098</t>
  </si>
  <si>
    <r>
      <rPr>
        <sz val="10"/>
        <rFont val="FreeSans"/>
        <family val="2"/>
      </rPr>
      <t xml:space="preserve">بوبین شیر برقی گاز </t>
    </r>
    <r>
      <rPr>
        <sz val="10"/>
        <rFont val="Vazirmatn"/>
        <family val="0"/>
        <charset val="1"/>
      </rPr>
      <t xml:space="preserve">"Art.Nr.200 AC-230V-50HZ 30W-ED100% DUNGS 1</t>
    </r>
  </si>
  <si>
    <t xml:space="preserve">31216101</t>
  </si>
  <si>
    <r>
      <rPr>
        <sz val="10"/>
        <rFont val="FreeSans"/>
        <family val="2"/>
      </rPr>
      <t xml:space="preserve">بوبین </t>
    </r>
    <r>
      <rPr>
        <sz val="10"/>
        <rFont val="Vazirmatn"/>
        <family val="0"/>
        <charset val="1"/>
      </rPr>
      <t xml:space="preserve">24v</t>
    </r>
  </si>
  <si>
    <t xml:space="preserve">31216104</t>
  </si>
  <si>
    <t xml:space="preserve">بوبین  کنتاکتور</t>
  </si>
  <si>
    <t xml:space="preserve">31216114</t>
  </si>
  <si>
    <r>
      <rPr>
        <sz val="10"/>
        <rFont val="FreeSans"/>
        <family val="2"/>
      </rPr>
      <t xml:space="preserve">لودسل دیجیتال </t>
    </r>
    <r>
      <rPr>
        <sz val="10"/>
        <rFont val="Vazirmatn"/>
        <family val="0"/>
        <charset val="1"/>
      </rPr>
      <t xml:space="preserve">35 </t>
    </r>
    <r>
      <rPr>
        <sz val="10"/>
        <rFont val="FreeSans"/>
        <family val="2"/>
      </rPr>
      <t xml:space="preserve">تنی </t>
    </r>
    <r>
      <rPr>
        <sz val="10"/>
        <rFont val="Vazirmatn"/>
        <family val="0"/>
        <charset val="1"/>
      </rPr>
      <t xml:space="preserve">CPD</t>
    </r>
  </si>
  <si>
    <t xml:space="preserve">31216115</t>
  </si>
  <si>
    <r>
      <rPr>
        <sz val="10"/>
        <rFont val="FreeSans"/>
        <family val="2"/>
      </rPr>
      <t xml:space="preserve">دتکتور دودی زیتکس  </t>
    </r>
    <r>
      <rPr>
        <sz val="10"/>
        <rFont val="Vazirmatn"/>
        <family val="0"/>
        <charset val="1"/>
      </rPr>
      <t xml:space="preserve">Zitex SD 815</t>
    </r>
  </si>
  <si>
    <t xml:space="preserve">31216117</t>
  </si>
  <si>
    <r>
      <rPr>
        <sz val="10"/>
        <rFont val="FreeSans"/>
        <family val="2"/>
      </rPr>
      <t xml:space="preserve">بوبین شیرهوا  </t>
    </r>
    <r>
      <rPr>
        <sz val="10"/>
        <rFont val="Vazirmatn"/>
        <family val="0"/>
        <charset val="1"/>
      </rPr>
      <t xml:space="preserve">V24  </t>
    </r>
    <r>
      <rPr>
        <sz val="10"/>
        <rFont val="FreeSans"/>
        <family val="2"/>
      </rPr>
      <t xml:space="preserve">فستو</t>
    </r>
  </si>
  <si>
    <t xml:space="preserve">31216118</t>
  </si>
  <si>
    <r>
      <rPr>
        <sz val="10"/>
        <rFont val="FreeSans"/>
        <family val="2"/>
      </rPr>
      <t xml:space="preserve">دتکتور حرارتی زیتکس  </t>
    </r>
    <r>
      <rPr>
        <sz val="10"/>
        <rFont val="Vazirmatn"/>
        <family val="0"/>
        <charset val="1"/>
      </rPr>
      <t xml:space="preserve">Zitex HD 715</t>
    </r>
  </si>
  <si>
    <t xml:space="preserve">31216120</t>
  </si>
  <si>
    <r>
      <rPr>
        <sz val="10"/>
        <rFont val="FreeSans"/>
        <family val="2"/>
      </rPr>
      <t xml:space="preserve">لودسل ترازوی سیار </t>
    </r>
    <r>
      <rPr>
        <sz val="10"/>
        <rFont val="Vazirmatn"/>
        <family val="0"/>
        <charset val="1"/>
      </rPr>
      <t xml:space="preserve">L6T 500Kg</t>
    </r>
  </si>
  <si>
    <t xml:space="preserve">31216123</t>
  </si>
  <si>
    <r>
      <rPr>
        <sz val="10"/>
        <rFont val="FreeSans"/>
        <family val="2"/>
      </rPr>
      <t xml:space="preserve">شارژر لپ تاپ </t>
    </r>
    <r>
      <rPr>
        <sz val="10"/>
        <rFont val="Vazirmatn"/>
        <family val="0"/>
        <charset val="1"/>
      </rPr>
      <t xml:space="preserve">DA90PE1-00 19/5V - 4/62A Dell</t>
    </r>
  </si>
  <si>
    <t xml:space="preserve">31216124</t>
  </si>
  <si>
    <r>
      <rPr>
        <sz val="10"/>
        <rFont val="FreeSans"/>
        <family val="2"/>
      </rPr>
      <t xml:space="preserve">لودسل فشاری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C3 ) ZSF Y-30T</t>
    </r>
  </si>
  <si>
    <t xml:space="preserve">31216126</t>
  </si>
  <si>
    <r>
      <rPr>
        <sz val="10"/>
        <rFont val="FreeSans"/>
        <family val="2"/>
      </rPr>
      <t xml:space="preserve">لودسل </t>
    </r>
    <r>
      <rPr>
        <sz val="10"/>
        <rFont val="Vazirmatn"/>
        <family val="0"/>
        <charset val="1"/>
      </rPr>
      <t xml:space="preserve">(PULSELECTRONIC)          MODEL: BT-2C (CAPACITY: 200 kg)</t>
    </r>
  </si>
  <si>
    <t xml:space="preserve">31216127</t>
  </si>
  <si>
    <r>
      <rPr>
        <sz val="10"/>
        <rFont val="FreeSans"/>
        <family val="2"/>
      </rPr>
      <t xml:space="preserve">لودسل تک پایه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C3 ) ( </t>
    </r>
    <r>
      <rPr>
        <sz val="10"/>
        <rFont val="FreeSans"/>
        <family val="2"/>
      </rPr>
      <t xml:space="preserve">مدل </t>
    </r>
    <r>
      <rPr>
        <sz val="10"/>
        <rFont val="Vazirmatn"/>
        <family val="0"/>
        <charset val="1"/>
      </rPr>
      <t xml:space="preserve">NA3 ) ( </t>
    </r>
    <r>
      <rPr>
        <sz val="10"/>
        <rFont val="FreeSans"/>
        <family val="2"/>
      </rPr>
      <t xml:space="preserve">ظرفیت </t>
    </r>
    <r>
      <rPr>
        <sz val="10"/>
        <rFont val="Vazirmatn"/>
        <family val="0"/>
        <charset val="1"/>
      </rPr>
      <t xml:space="preserve">300Kg )</t>
    </r>
  </si>
  <si>
    <t xml:space="preserve">31216128</t>
  </si>
  <si>
    <r>
      <rPr>
        <sz val="10"/>
        <rFont val="FreeSans"/>
        <family val="2"/>
      </rPr>
      <t xml:space="preserve">لودسل زمیک </t>
    </r>
    <r>
      <rPr>
        <sz val="10"/>
        <rFont val="Vazirmatn"/>
        <family val="0"/>
        <charset val="1"/>
      </rPr>
      <t xml:space="preserve">C3-L6E  200Kg</t>
    </r>
  </si>
  <si>
    <t xml:space="preserve">31216195</t>
  </si>
  <si>
    <t xml:space="preserve">لوازم تلفن سانترال</t>
  </si>
  <si>
    <t xml:space="preserve">31216198</t>
  </si>
  <si>
    <r>
      <rPr>
        <sz val="10"/>
        <rFont val="FreeSans"/>
        <family val="2"/>
      </rPr>
      <t xml:space="preserve">تلفن پاناسونیک  </t>
    </r>
    <r>
      <rPr>
        <sz val="10"/>
        <rFont val="Vazirmatn"/>
        <family val="0"/>
        <charset val="1"/>
      </rPr>
      <t xml:space="preserve">KX - TS 500 MX</t>
    </r>
  </si>
  <si>
    <t xml:space="preserve">31216199</t>
  </si>
  <si>
    <r>
      <rPr>
        <sz val="10"/>
        <rFont val="FreeSans"/>
        <family val="2"/>
      </rPr>
      <t xml:space="preserve">بی سیم واکی تاکی </t>
    </r>
    <r>
      <rPr>
        <sz val="10"/>
        <rFont val="Vazirmatn"/>
        <family val="0"/>
        <charset val="1"/>
      </rPr>
      <t xml:space="preserve">( MOTOCOM  ( MC 555</t>
    </r>
  </si>
  <si>
    <t xml:space="preserve">31216200</t>
  </si>
  <si>
    <r>
      <rPr>
        <sz val="10"/>
        <rFont val="FreeSans"/>
        <family val="2"/>
      </rPr>
      <t xml:space="preserve">تلفن بی سیم پاناسونیک </t>
    </r>
    <r>
      <rPr>
        <sz val="10"/>
        <rFont val="Vazirmatn"/>
        <family val="0"/>
        <charset val="1"/>
      </rPr>
      <t xml:space="preserve">KX-TG6811</t>
    </r>
  </si>
  <si>
    <t xml:space="preserve">31216203</t>
  </si>
  <si>
    <t xml:space="preserve">تلفن رومیزی</t>
  </si>
  <si>
    <t xml:space="preserve">31216209</t>
  </si>
  <si>
    <r>
      <rPr>
        <sz val="10"/>
        <rFont val="FreeSans"/>
        <family val="2"/>
      </rPr>
      <t xml:space="preserve">خازن                     </t>
    </r>
    <r>
      <rPr>
        <sz val="10"/>
        <rFont val="Vazirmatn"/>
        <family val="0"/>
        <charset val="1"/>
      </rPr>
      <t xml:space="preserve">25MF</t>
    </r>
  </si>
  <si>
    <t xml:space="preserve">31216211</t>
  </si>
  <si>
    <r>
      <rPr>
        <sz val="10"/>
        <rFont val="FreeSans"/>
        <family val="2"/>
      </rPr>
      <t xml:space="preserve">خازن سیلندری فراکو </t>
    </r>
    <r>
      <rPr>
        <sz val="10"/>
        <rFont val="Vazirmatn"/>
        <family val="0"/>
        <charset val="1"/>
      </rPr>
      <t xml:space="preserve">LKT 18- 480-DP</t>
    </r>
  </si>
  <si>
    <t xml:space="preserve">31216213</t>
  </si>
  <si>
    <r>
      <rPr>
        <sz val="10"/>
        <rFont val="FreeSans"/>
        <family val="2"/>
      </rPr>
      <t xml:space="preserve">خازن </t>
    </r>
    <r>
      <rPr>
        <sz val="10"/>
        <rFont val="Vazirmatn"/>
        <family val="0"/>
        <charset val="1"/>
      </rPr>
      <t xml:space="preserve">450 - 330</t>
    </r>
  </si>
  <si>
    <t xml:space="preserve">31216228</t>
  </si>
  <si>
    <r>
      <rPr>
        <sz val="10"/>
        <rFont val="FreeSans"/>
        <family val="2"/>
      </rPr>
      <t xml:space="preserve">خازن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پایه   </t>
    </r>
    <r>
      <rPr>
        <sz val="10"/>
        <rFont val="Vazirmatn"/>
        <family val="0"/>
        <charset val="1"/>
      </rPr>
      <t xml:space="preserve">35Mf + 5</t>
    </r>
  </si>
  <si>
    <t xml:space="preserve">31216231</t>
  </si>
  <si>
    <r>
      <rPr>
        <sz val="10"/>
        <rFont val="FreeSans"/>
        <family val="2"/>
      </rPr>
      <t xml:space="preserve">خازن دوبل الکتروموتور کولر </t>
    </r>
    <r>
      <rPr>
        <sz val="10"/>
        <rFont val="Vazirmatn"/>
        <family val="0"/>
        <charset val="1"/>
      </rPr>
      <t xml:space="preserve">12/5mF+25mF 400V AC</t>
    </r>
  </si>
  <si>
    <t xml:space="preserve">31216232</t>
  </si>
  <si>
    <r>
      <rPr>
        <sz val="10"/>
        <rFont val="FreeSans"/>
        <family val="2"/>
      </rPr>
      <t xml:space="preserve">خازن استارت  </t>
    </r>
    <r>
      <rPr>
        <sz val="10"/>
        <rFont val="Vazirmatn"/>
        <family val="0"/>
        <charset val="1"/>
      </rPr>
      <t xml:space="preserve">220MF - 130V AC</t>
    </r>
  </si>
  <si>
    <t xml:space="preserve">31216233</t>
  </si>
  <si>
    <r>
      <rPr>
        <sz val="10"/>
        <rFont val="FreeSans"/>
        <family val="2"/>
      </rPr>
      <t xml:space="preserve">خازن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پله میکرو فاراد </t>
    </r>
    <r>
      <rPr>
        <sz val="10"/>
        <rFont val="Vazirmatn"/>
        <family val="0"/>
        <charset val="1"/>
      </rPr>
      <t xml:space="preserve">2/50</t>
    </r>
  </si>
  <si>
    <t xml:space="preserve">31216234</t>
  </si>
  <si>
    <r>
      <rPr>
        <sz val="10"/>
        <rFont val="FreeSans"/>
        <family val="2"/>
      </rPr>
      <t xml:space="preserve">خازن دائم کار  </t>
    </r>
    <r>
      <rPr>
        <sz val="10"/>
        <rFont val="Vazirmatn"/>
        <family val="0"/>
        <charset val="1"/>
      </rPr>
      <t xml:space="preserve">40mF - 400V AC</t>
    </r>
  </si>
  <si>
    <t xml:space="preserve">31216235</t>
  </si>
  <si>
    <r>
      <rPr>
        <sz val="10"/>
        <rFont val="FreeSans"/>
        <family val="2"/>
      </rPr>
      <t xml:space="preserve">خازن موتور کولر  </t>
    </r>
    <r>
      <rPr>
        <sz val="10"/>
        <rFont val="Vazirmatn"/>
        <family val="0"/>
        <charset val="1"/>
      </rPr>
      <t xml:space="preserve">130V AC 230-285 mF</t>
    </r>
  </si>
  <si>
    <t xml:space="preserve">31216236</t>
  </si>
  <si>
    <r>
      <rPr>
        <sz val="10"/>
        <rFont val="FreeSans"/>
        <family val="2"/>
      </rPr>
      <t xml:space="preserve">خازن پلی استر  </t>
    </r>
    <r>
      <rPr>
        <sz val="10"/>
        <rFont val="Vazirmatn"/>
        <family val="0"/>
        <charset val="1"/>
      </rPr>
      <t xml:space="preserve">4Mf 400V</t>
    </r>
  </si>
  <si>
    <t xml:space="preserve">31216237</t>
  </si>
  <si>
    <r>
      <rPr>
        <sz val="10"/>
        <rFont val="FreeSans"/>
        <family val="2"/>
      </rPr>
      <t xml:space="preserve">خازن پلی استر  </t>
    </r>
    <r>
      <rPr>
        <sz val="10"/>
        <rFont val="Vazirmatn"/>
        <family val="0"/>
        <charset val="1"/>
      </rPr>
      <t xml:space="preserve">6Mf 400V</t>
    </r>
  </si>
  <si>
    <t xml:space="preserve">31216238</t>
  </si>
  <si>
    <r>
      <rPr>
        <sz val="10"/>
        <rFont val="FreeSans"/>
        <family val="2"/>
      </rPr>
      <t xml:space="preserve">خازن دائم کار </t>
    </r>
    <r>
      <rPr>
        <sz val="10"/>
        <rFont val="Vazirmatn"/>
        <family val="0"/>
        <charset val="1"/>
      </rPr>
      <t xml:space="preserve">10MF - 450V</t>
    </r>
  </si>
  <si>
    <t xml:space="preserve">31216239</t>
  </si>
  <si>
    <r>
      <rPr>
        <sz val="10"/>
        <rFont val="FreeSans"/>
        <family val="2"/>
      </rPr>
      <t xml:space="preserve">خازن روغنی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میکرو فاراد</t>
    </r>
  </si>
  <si>
    <t xml:space="preserve">31216240</t>
  </si>
  <si>
    <r>
      <rPr>
        <sz val="10"/>
        <rFont val="FreeSans"/>
        <family val="2"/>
      </rPr>
      <t xml:space="preserve">خازن دائم کار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روغنی </t>
    </r>
    <r>
      <rPr>
        <sz val="10"/>
        <rFont val="Vazirmatn"/>
        <family val="0"/>
        <charset val="1"/>
      </rPr>
      <t xml:space="preserve">) 35MF - 400V</t>
    </r>
  </si>
  <si>
    <t xml:space="preserve">31216242</t>
  </si>
  <si>
    <r>
      <rPr>
        <sz val="10"/>
        <rFont val="FreeSans"/>
        <family val="2"/>
      </rPr>
      <t xml:space="preserve">خازن دائم کار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دوبل </t>
    </r>
    <r>
      <rPr>
        <sz val="10"/>
        <rFont val="Vazirmatn"/>
        <family val="0"/>
        <charset val="1"/>
      </rPr>
      <t xml:space="preserve">) 8,16MF - 400-450V AC</t>
    </r>
  </si>
  <si>
    <t xml:space="preserve">31216243</t>
  </si>
  <si>
    <r>
      <rPr>
        <sz val="10"/>
        <rFont val="FreeSans"/>
        <family val="2"/>
      </rPr>
      <t xml:space="preserve">خازن دائم کار  </t>
    </r>
    <r>
      <rPr>
        <sz val="10"/>
        <rFont val="Vazirmatn"/>
        <family val="0"/>
        <charset val="1"/>
      </rPr>
      <t xml:space="preserve">8mF - 450V AC</t>
    </r>
  </si>
  <si>
    <t xml:space="preserve">31216301</t>
  </si>
  <si>
    <r>
      <rPr>
        <sz val="10"/>
        <rFont val="FreeSans"/>
        <family val="2"/>
      </rPr>
      <t xml:space="preserve">پل دیود  </t>
    </r>
    <r>
      <rPr>
        <sz val="10"/>
        <rFont val="Vazirmatn"/>
        <family val="0"/>
        <charset val="1"/>
      </rPr>
      <t xml:space="preserve">SKD 146 / 16 - L 140 T4</t>
    </r>
  </si>
  <si>
    <t xml:space="preserve">31216302</t>
  </si>
  <si>
    <r>
      <rPr>
        <sz val="10"/>
        <rFont val="FreeSans"/>
        <family val="2"/>
      </rPr>
      <t xml:space="preserve">پل دیود  </t>
    </r>
    <r>
      <rPr>
        <sz val="10"/>
        <rFont val="Vazirmatn"/>
        <family val="0"/>
        <charset val="1"/>
      </rPr>
      <t xml:space="preserve">KBPC3510</t>
    </r>
  </si>
  <si>
    <t xml:space="preserve">31216398</t>
  </si>
  <si>
    <r>
      <rPr>
        <sz val="10"/>
        <rFont val="FreeSans"/>
        <family val="2"/>
      </rPr>
      <t xml:space="preserve">واحد کارت حافظه درایو  </t>
    </r>
    <r>
      <rPr>
        <sz val="10"/>
        <rFont val="Vazirmatn"/>
        <family val="0"/>
        <charset val="1"/>
      </rPr>
      <t xml:space="preserve">ABB - ACS - 880</t>
    </r>
  </si>
  <si>
    <t xml:space="preserve">31216399</t>
  </si>
  <si>
    <r>
      <rPr>
        <sz val="10"/>
        <rFont val="FreeSans"/>
        <family val="2"/>
      </rPr>
      <t xml:space="preserve">ترانزیستور  </t>
    </r>
    <r>
      <rPr>
        <sz val="10"/>
        <rFont val="Vazirmatn"/>
        <family val="0"/>
        <charset val="1"/>
      </rPr>
      <t xml:space="preserve">60T 65P ES  IGBT</t>
    </r>
  </si>
  <si>
    <t xml:space="preserve">31216405</t>
  </si>
  <si>
    <r>
      <rPr>
        <sz val="10"/>
        <rFont val="FreeSans"/>
        <family val="2"/>
      </rPr>
      <t xml:space="preserve">کارت </t>
    </r>
    <r>
      <rPr>
        <sz val="10"/>
        <rFont val="Vazirmatn"/>
        <family val="0"/>
        <charset val="1"/>
      </rPr>
      <t xml:space="preserve">ET 200 M  Siemens</t>
    </r>
  </si>
  <si>
    <t xml:space="preserve">31216408</t>
  </si>
  <si>
    <r>
      <rPr>
        <sz val="10"/>
        <rFont val="FreeSans"/>
        <family val="2"/>
      </rPr>
      <t xml:space="preserve">ماژول ارتباطی </t>
    </r>
    <r>
      <rPr>
        <sz val="10"/>
        <rFont val="Vazirmatn"/>
        <family val="0"/>
        <charset val="1"/>
      </rPr>
      <t xml:space="preserve">6ES7 155-6AU01-0BN0</t>
    </r>
  </si>
  <si>
    <t xml:space="preserve">31216415</t>
  </si>
  <si>
    <t xml:space="preserve">بند  گوشی  تلفن</t>
  </si>
  <si>
    <t xml:space="preserve">31216428</t>
  </si>
  <si>
    <r>
      <rPr>
        <sz val="10"/>
        <rFont val="FreeSans"/>
        <family val="2"/>
      </rPr>
      <t xml:space="preserve">باس آداپتر  </t>
    </r>
    <r>
      <rPr>
        <sz val="10"/>
        <rFont val="Vazirmatn"/>
        <family val="0"/>
        <charset val="1"/>
      </rPr>
      <t xml:space="preserve">6ES7 193-6AR00-0AA0</t>
    </r>
  </si>
  <si>
    <t xml:space="preserve">31216429</t>
  </si>
  <si>
    <r>
      <rPr>
        <sz val="10"/>
        <rFont val="FreeSans"/>
        <family val="2"/>
      </rPr>
      <t xml:space="preserve">ماژول سرور  </t>
    </r>
    <r>
      <rPr>
        <sz val="10"/>
        <rFont val="Vazirmatn"/>
        <family val="0"/>
        <charset val="1"/>
      </rPr>
      <t xml:space="preserve">6ES7 193-6PA00-0AA0</t>
    </r>
  </si>
  <si>
    <t xml:space="preserve">31216430</t>
  </si>
  <si>
    <r>
      <rPr>
        <sz val="10"/>
        <rFont val="FreeSans"/>
        <family val="2"/>
      </rPr>
      <t xml:space="preserve">ماژول ورودی دیجیتال </t>
    </r>
    <r>
      <rPr>
        <sz val="10"/>
        <rFont val="Vazirmatn"/>
        <family val="0"/>
        <charset val="1"/>
      </rPr>
      <t xml:space="preserve">6ES7 131-6BH01-0BA0</t>
    </r>
  </si>
  <si>
    <t xml:space="preserve">31216431</t>
  </si>
  <si>
    <r>
      <rPr>
        <sz val="10"/>
        <rFont val="FreeSans"/>
        <family val="2"/>
      </rPr>
      <t xml:space="preserve">ماژول خروجی دیجیتال </t>
    </r>
    <r>
      <rPr>
        <sz val="10"/>
        <rFont val="Vazirmatn"/>
        <family val="0"/>
        <charset val="1"/>
      </rPr>
      <t xml:space="preserve">6ES7 132-6BH01-0BA0</t>
    </r>
  </si>
  <si>
    <t xml:space="preserve">31216433</t>
  </si>
  <si>
    <r>
      <rPr>
        <sz val="10"/>
        <rFont val="FreeSans"/>
        <family val="2"/>
      </rPr>
      <t xml:space="preserve">ماژول خروجی آنالوگ </t>
    </r>
    <r>
      <rPr>
        <sz val="10"/>
        <rFont val="Vazirmatn"/>
        <family val="0"/>
        <charset val="1"/>
      </rPr>
      <t xml:space="preserve">6ES7 135-6HD00-0BA1</t>
    </r>
  </si>
  <si>
    <t xml:space="preserve">31216434</t>
  </si>
  <si>
    <r>
      <rPr>
        <sz val="10"/>
        <rFont val="FreeSans"/>
        <family val="2"/>
      </rPr>
      <t xml:space="preserve">کارت شبکه اینترنال  </t>
    </r>
    <r>
      <rPr>
        <sz val="10"/>
        <rFont val="Vazirmatn"/>
        <family val="0"/>
        <charset val="1"/>
      </rPr>
      <t xml:space="preserve">PCI Express 1000/100/10</t>
    </r>
  </si>
  <si>
    <t xml:space="preserve">31216435</t>
  </si>
  <si>
    <t xml:space="preserve">کارت فلومتر پرومس</t>
  </si>
  <si>
    <t xml:space="preserve">31216436</t>
  </si>
  <si>
    <r>
      <rPr>
        <sz val="10"/>
        <rFont val="FreeSans"/>
        <family val="2"/>
      </rPr>
      <t xml:space="preserve">کارت وروردی </t>
    </r>
    <r>
      <rPr>
        <sz val="10"/>
        <rFont val="Vazirmatn"/>
        <family val="0"/>
        <charset val="1"/>
      </rPr>
      <t xml:space="preserve">32 </t>
    </r>
    <r>
      <rPr>
        <sz val="10"/>
        <rFont val="FreeSans"/>
        <family val="2"/>
      </rPr>
      <t xml:space="preserve">دیجیتال زیمنس</t>
    </r>
  </si>
  <si>
    <t xml:space="preserve">31216437</t>
  </si>
  <si>
    <r>
      <rPr>
        <sz val="10"/>
        <rFont val="FreeSans"/>
        <family val="2"/>
      </rPr>
      <t xml:space="preserve">آی سی </t>
    </r>
    <r>
      <rPr>
        <sz val="10"/>
        <rFont val="Vazirmatn"/>
        <family val="0"/>
        <charset val="1"/>
      </rPr>
      <t xml:space="preserve">512MBIT PARALLEL 66 TSOP 46V 32 M16 DRAM</t>
    </r>
  </si>
  <si>
    <t xml:space="preserve">31216438</t>
  </si>
  <si>
    <r>
      <rPr>
        <sz val="10"/>
        <rFont val="FreeSans"/>
        <family val="2"/>
      </rPr>
      <t xml:space="preserve">آداپتور </t>
    </r>
    <r>
      <rPr>
        <sz val="10"/>
        <rFont val="Vazirmatn"/>
        <family val="0"/>
        <charset val="1"/>
      </rPr>
      <t xml:space="preserve">IN PUT 220V AC OUT PUT 48V DC 2A  48V DC 2A</t>
    </r>
  </si>
  <si>
    <t xml:space="preserve">31216439</t>
  </si>
  <si>
    <r>
      <rPr>
        <sz val="10"/>
        <rFont val="FreeSans"/>
        <family val="2"/>
      </rPr>
      <t xml:space="preserve">کیبورد تلفن پاناسونیک  </t>
    </r>
    <r>
      <rPr>
        <sz val="10"/>
        <rFont val="Vazirmatn"/>
        <family val="0"/>
        <charset val="1"/>
      </rPr>
      <t xml:space="preserve">KX - TS 500 MX</t>
    </r>
  </si>
  <si>
    <t xml:space="preserve">31216440</t>
  </si>
  <si>
    <r>
      <rPr>
        <sz val="10"/>
        <rFont val="FreeSans"/>
        <family val="2"/>
      </rPr>
      <t xml:space="preserve">کارت رله برد دلتا  </t>
    </r>
    <r>
      <rPr>
        <sz val="10"/>
        <rFont val="Vazirmatn"/>
        <family val="0"/>
        <charset val="1"/>
      </rPr>
      <t xml:space="preserve">DVP AETB - OR 32A</t>
    </r>
  </si>
  <si>
    <t xml:space="preserve">31216441</t>
  </si>
  <si>
    <r>
      <rPr>
        <sz val="10"/>
        <rFont val="FreeSans"/>
        <family val="2"/>
      </rPr>
      <t xml:space="preserve">ماژول خروجی دیجیتال  </t>
    </r>
    <r>
      <rPr>
        <sz val="10"/>
        <rFont val="Vazirmatn"/>
        <family val="0"/>
        <charset val="1"/>
      </rPr>
      <t xml:space="preserve">DVP-32SN-11T</t>
    </r>
  </si>
  <si>
    <t xml:space="preserve">31216442</t>
  </si>
  <si>
    <r>
      <rPr>
        <sz val="10"/>
        <rFont val="FreeSans"/>
        <family val="2"/>
      </rPr>
      <t xml:space="preserve">ماژول ورودی آنالوگ  </t>
    </r>
    <r>
      <rPr>
        <sz val="10"/>
        <rFont val="Vazirmatn"/>
        <family val="0"/>
        <charset val="1"/>
      </rPr>
      <t xml:space="preserve">DVP-06AD-S</t>
    </r>
  </si>
  <si>
    <t xml:space="preserve">31216443</t>
  </si>
  <si>
    <r>
      <rPr>
        <sz val="10"/>
        <rFont val="FreeSans"/>
        <family val="2"/>
      </rPr>
      <t xml:space="preserve">ماژول ورودی دیجیتال  </t>
    </r>
    <r>
      <rPr>
        <sz val="10"/>
        <rFont val="Vazirmatn"/>
        <family val="0"/>
        <charset val="1"/>
      </rPr>
      <t xml:space="preserve">DVP-16SM-11N</t>
    </r>
  </si>
  <si>
    <t xml:space="preserve">31216444</t>
  </si>
  <si>
    <r>
      <rPr>
        <sz val="10"/>
        <rFont val="FreeSans"/>
        <family val="2"/>
      </rPr>
      <t xml:space="preserve">آداپتور بین راهی  </t>
    </r>
    <r>
      <rPr>
        <sz val="10"/>
        <rFont val="Vazirmatn"/>
        <family val="0"/>
        <charset val="1"/>
      </rPr>
      <t xml:space="preserve">7V - 3A</t>
    </r>
  </si>
  <si>
    <t xml:space="preserve">31216445</t>
  </si>
  <si>
    <r>
      <rPr>
        <sz val="10"/>
        <rFont val="FreeSans"/>
        <family val="2"/>
      </rPr>
      <t xml:space="preserve">آداپتور </t>
    </r>
    <r>
      <rPr>
        <sz val="10"/>
        <rFont val="Vazirmatn"/>
        <family val="0"/>
        <charset val="1"/>
      </rPr>
      <t xml:space="preserve">14V 3A </t>
    </r>
    <r>
      <rPr>
        <sz val="10"/>
        <rFont val="FreeSans"/>
        <family val="2"/>
      </rPr>
      <t xml:space="preserve">مانیتور سامسونگ</t>
    </r>
  </si>
  <si>
    <t xml:space="preserve">31216446</t>
  </si>
  <si>
    <r>
      <rPr>
        <sz val="10"/>
        <rFont val="FreeSans"/>
        <family val="2"/>
      </rPr>
      <t xml:space="preserve">آی سی </t>
    </r>
    <r>
      <rPr>
        <sz val="10"/>
        <rFont val="Vazirmatn"/>
        <family val="0"/>
        <charset val="1"/>
      </rPr>
      <t xml:space="preserve">It 8528E-SMD 128 PIN Storage</t>
    </r>
  </si>
  <si>
    <t xml:space="preserve">31216447</t>
  </si>
  <si>
    <r>
      <rPr>
        <sz val="10"/>
        <rFont val="FreeSans"/>
        <family val="2"/>
      </rPr>
      <t xml:space="preserve">آداپتور مانیتور سامسونگ  </t>
    </r>
    <r>
      <rPr>
        <sz val="10"/>
        <rFont val="Vazirmatn"/>
        <family val="0"/>
        <charset val="1"/>
      </rPr>
      <t xml:space="preserve">14V  2A</t>
    </r>
  </si>
  <si>
    <t xml:space="preserve">31216448</t>
  </si>
  <si>
    <r>
      <rPr>
        <sz val="10"/>
        <rFont val="FreeSans"/>
        <family val="2"/>
      </rPr>
      <t xml:space="preserve">آداپتور مانیتور ال جی  </t>
    </r>
    <r>
      <rPr>
        <sz val="10"/>
        <rFont val="Vazirmatn"/>
        <family val="0"/>
        <charset val="1"/>
      </rPr>
      <t xml:space="preserve">19V  1/2A</t>
    </r>
  </si>
  <si>
    <t xml:space="preserve">31216449</t>
  </si>
  <si>
    <r>
      <rPr>
        <sz val="10"/>
        <rFont val="FreeSans"/>
        <family val="2"/>
      </rPr>
      <t xml:space="preserve">آداپتور مانیتور ال جی  </t>
    </r>
    <r>
      <rPr>
        <sz val="10"/>
        <rFont val="Vazirmatn"/>
        <family val="0"/>
        <charset val="1"/>
      </rPr>
      <t xml:space="preserve">19V  0/8A</t>
    </r>
  </si>
  <si>
    <t xml:space="preserve">31216450</t>
  </si>
  <si>
    <r>
      <rPr>
        <sz val="10"/>
        <rFont val="FreeSans"/>
        <family val="2"/>
      </rPr>
      <t xml:space="preserve">صفحه کیبورد تلفن پاناسونیک  </t>
    </r>
    <r>
      <rPr>
        <sz val="10"/>
        <rFont val="Vazirmatn"/>
        <family val="0"/>
        <charset val="1"/>
      </rPr>
      <t xml:space="preserve">KX - TS 580 MX</t>
    </r>
  </si>
  <si>
    <t xml:space="preserve">31216451</t>
  </si>
  <si>
    <r>
      <rPr>
        <sz val="10"/>
        <rFont val="FreeSans"/>
        <family val="2"/>
      </rPr>
      <t xml:space="preserve">آی سی  </t>
    </r>
    <r>
      <rPr>
        <sz val="10"/>
        <rFont val="Vazirmatn"/>
        <family val="0"/>
        <charset val="1"/>
      </rPr>
      <t xml:space="preserve">LM 339 N DIP 14 PIN</t>
    </r>
  </si>
  <si>
    <t xml:space="preserve">31216453</t>
  </si>
  <si>
    <r>
      <rPr>
        <sz val="10"/>
        <rFont val="FreeSans"/>
        <family val="2"/>
      </rPr>
      <t xml:space="preserve">آداپتور دوربین   </t>
    </r>
    <r>
      <rPr>
        <sz val="10"/>
        <rFont val="Vazirmatn"/>
        <family val="0"/>
        <charset val="1"/>
      </rPr>
      <t xml:space="preserve">12V   2A</t>
    </r>
  </si>
  <si>
    <t xml:space="preserve">31216454</t>
  </si>
  <si>
    <r>
      <rPr>
        <sz val="10"/>
        <rFont val="FreeSans"/>
        <family val="2"/>
      </rPr>
      <t xml:space="preserve">آداپتور  </t>
    </r>
    <r>
      <rPr>
        <sz val="10"/>
        <rFont val="Vazirmatn"/>
        <family val="0"/>
        <charset val="1"/>
      </rPr>
      <t xml:space="preserve">14V - 1/43A</t>
    </r>
  </si>
  <si>
    <t xml:space="preserve">31216455</t>
  </si>
  <si>
    <r>
      <rPr>
        <sz val="10"/>
        <rFont val="FreeSans"/>
        <family val="2"/>
      </rPr>
      <t xml:space="preserve">کیبورد تلفن سیار پاناسونیک </t>
    </r>
    <r>
      <rPr>
        <sz val="10"/>
        <rFont val="Vazirmatn"/>
        <family val="0"/>
        <charset val="1"/>
      </rPr>
      <t xml:space="preserve">KX - TGA 371 BX</t>
    </r>
  </si>
  <si>
    <t xml:space="preserve">31216456</t>
  </si>
  <si>
    <r>
      <rPr>
        <sz val="10"/>
        <rFont val="FreeSans"/>
        <family val="2"/>
      </rPr>
      <t xml:space="preserve">ماژول ام ام سی </t>
    </r>
    <r>
      <rPr>
        <sz val="10"/>
        <rFont val="Vazirmatn"/>
        <family val="0"/>
        <charset val="1"/>
      </rPr>
      <t xml:space="preserve">6ES7 953-8LF31-0AA0</t>
    </r>
  </si>
  <si>
    <t xml:space="preserve">31216458</t>
  </si>
  <si>
    <r>
      <rPr>
        <sz val="10"/>
        <rFont val="FreeSans"/>
        <family val="2"/>
      </rPr>
      <t xml:space="preserve">ماژول ام ام سی </t>
    </r>
    <r>
      <rPr>
        <sz val="10"/>
        <rFont val="Vazirmatn"/>
        <family val="0"/>
        <charset val="1"/>
      </rPr>
      <t xml:space="preserve">6ES7 953-8LG30-0AA0</t>
    </r>
  </si>
  <si>
    <t xml:space="preserve">31216459</t>
  </si>
  <si>
    <r>
      <rPr>
        <sz val="10"/>
        <rFont val="FreeSans"/>
        <family val="2"/>
      </rPr>
      <t xml:space="preserve">آی سی  </t>
    </r>
    <r>
      <rPr>
        <sz val="10"/>
        <rFont val="Vazirmatn"/>
        <family val="0"/>
        <charset val="1"/>
      </rPr>
      <t xml:space="preserve">UA 741 CP - 8Pin DIP</t>
    </r>
  </si>
  <si>
    <t xml:space="preserve">31216460</t>
  </si>
  <si>
    <r>
      <rPr>
        <sz val="10"/>
        <rFont val="FreeSans"/>
        <family val="2"/>
      </rPr>
      <t xml:space="preserve">آی سی  </t>
    </r>
    <r>
      <rPr>
        <sz val="10"/>
        <rFont val="Vazirmatn"/>
        <family val="0"/>
        <charset val="1"/>
      </rPr>
      <t xml:space="preserve">LM 301 A</t>
    </r>
  </si>
  <si>
    <t xml:space="preserve">31216461</t>
  </si>
  <si>
    <r>
      <rPr>
        <sz val="10"/>
        <rFont val="FreeSans"/>
        <family val="2"/>
      </rPr>
      <t xml:space="preserve">ترانزیستور </t>
    </r>
    <r>
      <rPr>
        <sz val="10"/>
        <rFont val="Vazirmatn"/>
        <family val="0"/>
        <charset val="1"/>
      </rPr>
      <t xml:space="preserve">C1815 - NPN</t>
    </r>
  </si>
  <si>
    <t xml:space="preserve">31216462</t>
  </si>
  <si>
    <r>
      <rPr>
        <sz val="10"/>
        <rFont val="FreeSans"/>
        <family val="2"/>
      </rPr>
      <t xml:space="preserve">ترانزیستور  </t>
    </r>
    <r>
      <rPr>
        <sz val="10"/>
        <rFont val="Vazirmatn"/>
        <family val="0"/>
        <charset val="1"/>
      </rPr>
      <t xml:space="preserve">TL 431 AC</t>
    </r>
  </si>
  <si>
    <t xml:space="preserve">31216463</t>
  </si>
  <si>
    <r>
      <rPr>
        <sz val="10"/>
        <rFont val="FreeSans"/>
        <family val="2"/>
      </rPr>
      <t xml:space="preserve">ترانزیستور </t>
    </r>
    <r>
      <rPr>
        <sz val="10"/>
        <rFont val="Vazirmatn"/>
        <family val="0"/>
        <charset val="1"/>
      </rPr>
      <t xml:space="preserve">A 1015</t>
    </r>
  </si>
  <si>
    <t xml:space="preserve">31216464</t>
  </si>
  <si>
    <r>
      <rPr>
        <sz val="10"/>
        <rFont val="FreeSans"/>
        <family val="2"/>
      </rPr>
      <t xml:space="preserve">آداپتور بین راهی  </t>
    </r>
    <r>
      <rPr>
        <sz val="10"/>
        <rFont val="Vazirmatn"/>
        <family val="0"/>
        <charset val="1"/>
      </rPr>
      <t xml:space="preserve">7/5V - 2A</t>
    </r>
  </si>
  <si>
    <t xml:space="preserve">31216465</t>
  </si>
  <si>
    <r>
      <rPr>
        <sz val="10"/>
        <rFont val="FreeSans"/>
        <family val="2"/>
      </rPr>
      <t xml:space="preserve">کیبورد تلفن پاناسونیک  </t>
    </r>
    <r>
      <rPr>
        <sz val="10"/>
        <rFont val="Vazirmatn"/>
        <family val="0"/>
        <charset val="1"/>
      </rPr>
      <t xml:space="preserve">KX - TSC 625 M</t>
    </r>
  </si>
  <si>
    <t xml:space="preserve">31216466</t>
  </si>
  <si>
    <r>
      <rPr>
        <sz val="10"/>
        <rFont val="FreeSans"/>
        <family val="2"/>
      </rPr>
      <t xml:space="preserve">تلفن تست خط آنالوگ </t>
    </r>
    <r>
      <rPr>
        <sz val="10"/>
        <rFont val="Vazirmatn"/>
        <family val="0"/>
        <charset val="1"/>
      </rPr>
      <t xml:space="preserve">CFL 2000</t>
    </r>
  </si>
  <si>
    <t xml:space="preserve">31216468</t>
  </si>
  <si>
    <r>
      <rPr>
        <sz val="10"/>
        <rFont val="FreeSans"/>
        <family val="2"/>
      </rPr>
      <t xml:space="preserve">کیبورد تلفن سیار پاناسونیک </t>
    </r>
    <r>
      <rPr>
        <sz val="10"/>
        <rFont val="Vazirmatn"/>
        <family val="0"/>
        <charset val="1"/>
      </rPr>
      <t xml:space="preserve">( KX - TG 37 21 BX )</t>
    </r>
  </si>
  <si>
    <t xml:space="preserve">31216469</t>
  </si>
  <si>
    <r>
      <rPr>
        <sz val="10"/>
        <rFont val="FreeSans"/>
        <family val="2"/>
      </rPr>
      <t xml:space="preserve">ماژول کاهنده ولتاژ  </t>
    </r>
    <r>
      <rPr>
        <sz val="10"/>
        <rFont val="Vazirmatn"/>
        <family val="0"/>
        <charset val="1"/>
      </rPr>
      <t xml:space="preserve">300W 20A  DC - DC</t>
    </r>
  </si>
  <si>
    <t xml:space="preserve">31216470</t>
  </si>
  <si>
    <r>
      <rPr>
        <sz val="10"/>
        <rFont val="FreeSans"/>
        <family val="2"/>
      </rPr>
      <t xml:space="preserve">آی سی  </t>
    </r>
    <r>
      <rPr>
        <sz val="10"/>
        <rFont val="Vazirmatn"/>
        <family val="0"/>
        <charset val="1"/>
      </rPr>
      <t xml:space="preserve">CY 7C 680 13A - 56 PVX</t>
    </r>
  </si>
  <si>
    <t xml:space="preserve">31216505</t>
  </si>
  <si>
    <r>
      <rPr>
        <sz val="10"/>
        <rFont val="FreeSans"/>
        <family val="2"/>
      </rPr>
      <t xml:space="preserve">مقره اتکایی شیاردار قطر شیار </t>
    </r>
    <r>
      <rPr>
        <sz val="10"/>
        <rFont val="Vazirmatn"/>
        <family val="0"/>
        <charset val="1"/>
      </rPr>
      <t xml:space="preserve">12mm</t>
    </r>
  </si>
  <si>
    <t xml:space="preserve">31216506</t>
  </si>
  <si>
    <r>
      <rPr>
        <sz val="10"/>
        <rFont val="FreeSans"/>
        <family val="2"/>
      </rPr>
      <t xml:space="preserve">مقره اتکایی کمر شیاردار  </t>
    </r>
    <r>
      <rPr>
        <sz val="10"/>
        <rFont val="Vazirmatn"/>
        <family val="0"/>
        <charset val="1"/>
      </rPr>
      <t xml:space="preserve">55mm*50mm / M10</t>
    </r>
  </si>
  <si>
    <t xml:space="preserve">31216514</t>
  </si>
  <si>
    <r>
      <rPr>
        <sz val="10"/>
        <rFont val="FreeSans"/>
        <family val="2"/>
      </rPr>
      <t xml:space="preserve">مقاومت دکانتور  </t>
    </r>
    <r>
      <rPr>
        <sz val="10"/>
        <rFont val="Vazirmatn"/>
        <family val="0"/>
        <charset val="1"/>
      </rPr>
      <t xml:space="preserve">050 - 1226 - 0005</t>
    </r>
  </si>
  <si>
    <t xml:space="preserve">31216522</t>
  </si>
  <si>
    <r>
      <rPr>
        <sz val="10"/>
        <rFont val="FreeSans"/>
        <family val="2"/>
      </rPr>
      <t xml:space="preserve">مقاومت  </t>
    </r>
    <r>
      <rPr>
        <sz val="10"/>
        <rFont val="Vazirmatn"/>
        <family val="0"/>
        <charset val="1"/>
      </rPr>
      <t xml:space="preserve">150 </t>
    </r>
    <r>
      <rPr>
        <sz val="10"/>
        <rFont val="FreeSans"/>
        <family val="2"/>
      </rPr>
      <t xml:space="preserve">اهم  </t>
    </r>
    <r>
      <rPr>
        <sz val="10"/>
        <rFont val="Vazirmatn"/>
        <family val="0"/>
        <charset val="1"/>
      </rPr>
      <t xml:space="preserve">1W</t>
    </r>
  </si>
  <si>
    <t xml:space="preserve">31216598</t>
  </si>
  <si>
    <r>
      <rPr>
        <sz val="10"/>
        <rFont val="FreeSans"/>
        <family val="2"/>
      </rPr>
      <t xml:space="preserve">رم سرور </t>
    </r>
    <r>
      <rPr>
        <sz val="10"/>
        <rFont val="Vazirmatn"/>
        <family val="0"/>
        <charset val="1"/>
      </rPr>
      <t xml:space="preserve">32GB - 2666MHZ - DDR4 ) HP )</t>
    </r>
  </si>
  <si>
    <t xml:space="preserve">31216599</t>
  </si>
  <si>
    <r>
      <rPr>
        <sz val="10"/>
        <rFont val="FreeSans"/>
        <family val="2"/>
      </rPr>
      <t xml:space="preserve">رم لپ تاپ </t>
    </r>
    <r>
      <rPr>
        <sz val="10"/>
        <rFont val="Vazirmatn"/>
        <family val="0"/>
        <charset val="1"/>
      </rPr>
      <t xml:space="preserve">DDr3 - </t>
    </r>
    <r>
      <rPr>
        <sz val="10"/>
        <rFont val="FreeSans"/>
        <family val="2"/>
      </rPr>
      <t xml:space="preserve">فرکانس </t>
    </r>
    <r>
      <rPr>
        <sz val="10"/>
        <rFont val="Vazirmatn"/>
        <family val="0"/>
        <charset val="1"/>
      </rPr>
      <t xml:space="preserve">1333 </t>
    </r>
    <r>
      <rPr>
        <sz val="10"/>
        <rFont val="FreeSans"/>
        <family val="2"/>
      </rPr>
      <t xml:space="preserve">مگا هرتز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ظرفیت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گیگا بایت</t>
    </r>
  </si>
  <si>
    <t xml:space="preserve">31216600</t>
  </si>
  <si>
    <r>
      <rPr>
        <sz val="10"/>
        <rFont val="FreeSans"/>
        <family val="2"/>
      </rPr>
      <t xml:space="preserve">هارد </t>
    </r>
    <r>
      <rPr>
        <sz val="10"/>
        <rFont val="Vazirmatn"/>
        <family val="0"/>
        <charset val="1"/>
      </rPr>
      <t xml:space="preserve">SSD </t>
    </r>
    <r>
      <rPr>
        <sz val="10"/>
        <rFont val="FreeSans"/>
        <family val="2"/>
      </rPr>
      <t xml:space="preserve">اینترنال سامسونگ </t>
    </r>
    <r>
      <rPr>
        <sz val="10"/>
        <rFont val="Vazirmatn"/>
        <family val="0"/>
        <charset val="1"/>
      </rPr>
      <t xml:space="preserve">250 </t>
    </r>
    <r>
      <rPr>
        <sz val="10"/>
        <rFont val="FreeSans"/>
        <family val="2"/>
      </rPr>
      <t xml:space="preserve">گیگابایت </t>
    </r>
    <r>
      <rPr>
        <sz val="10"/>
        <rFont val="Vazirmatn"/>
        <family val="0"/>
        <charset val="1"/>
      </rPr>
      <t xml:space="preserve">EVO 870</t>
    </r>
  </si>
  <si>
    <t xml:space="preserve">31216603</t>
  </si>
  <si>
    <r>
      <rPr>
        <sz val="10"/>
        <rFont val="FreeSans"/>
        <family val="2"/>
      </rPr>
      <t xml:space="preserve">هارد اینترنال وسترن دیجیتال سبز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ترابایت </t>
    </r>
    <r>
      <rPr>
        <sz val="10"/>
        <rFont val="Vazirmatn"/>
        <family val="0"/>
        <charset val="1"/>
      </rPr>
      <t xml:space="preserve">( 1T )</t>
    </r>
  </si>
  <si>
    <t xml:space="preserve">31216604</t>
  </si>
  <si>
    <r>
      <rPr>
        <sz val="10"/>
        <rFont val="FreeSans"/>
        <family val="2"/>
      </rPr>
      <t xml:space="preserve">هارد سرور </t>
    </r>
    <r>
      <rPr>
        <sz val="10"/>
        <rFont val="Vazirmatn"/>
        <family val="0"/>
        <charset val="1"/>
      </rPr>
      <t xml:space="preserve">146GB 10K SAS HP Model : DG 0146 FAMWL HP</t>
    </r>
  </si>
  <si>
    <t xml:space="preserve">31216606</t>
  </si>
  <si>
    <r>
      <rPr>
        <sz val="10"/>
        <rFont val="FreeSans"/>
        <family val="2"/>
      </rPr>
      <t xml:space="preserve">هارد سرور </t>
    </r>
    <r>
      <rPr>
        <sz val="10"/>
        <rFont val="Vazirmatn"/>
        <family val="0"/>
        <charset val="1"/>
      </rPr>
      <t xml:space="preserve">SAS 300GB 15K HP</t>
    </r>
  </si>
  <si>
    <t xml:space="preserve">31216608</t>
  </si>
  <si>
    <r>
      <rPr>
        <sz val="10"/>
        <rFont val="FreeSans"/>
        <family val="2"/>
      </rPr>
      <t xml:space="preserve">هارد اینترنال وسترن دیجیتال بنفش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ترابایت </t>
    </r>
    <r>
      <rPr>
        <sz val="10"/>
        <rFont val="Vazirmatn"/>
        <family val="0"/>
        <charset val="1"/>
      </rPr>
      <t xml:space="preserve">Purple WD100 PURZ</t>
    </r>
  </si>
  <si>
    <t xml:space="preserve">31216612</t>
  </si>
  <si>
    <r>
      <rPr>
        <sz val="10"/>
        <rFont val="FreeSans"/>
        <family val="2"/>
      </rPr>
      <t xml:space="preserve">هارد سرور </t>
    </r>
    <r>
      <rPr>
        <sz val="10"/>
        <rFont val="Vazirmatn"/>
        <family val="0"/>
        <charset val="1"/>
      </rPr>
      <t xml:space="preserve">(HP) 2/5 </t>
    </r>
    <r>
      <rPr>
        <sz val="10"/>
        <rFont val="FreeSans"/>
        <family val="2"/>
      </rPr>
      <t xml:space="preserve">اینچ </t>
    </r>
    <r>
      <rPr>
        <sz val="10"/>
        <rFont val="Vazirmatn"/>
        <family val="0"/>
        <charset val="1"/>
      </rPr>
      <t xml:space="preserve">( HPE 2.4TB-10K-SAS-12G )( EG002400JWJNT / 876939-002 )</t>
    </r>
  </si>
  <si>
    <t xml:space="preserve">31216614</t>
  </si>
  <si>
    <r>
      <rPr>
        <sz val="10"/>
        <rFont val="FreeSans"/>
        <family val="2"/>
      </rPr>
      <t xml:space="preserve">هارد اکسترنال وسترن دیجیتال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ترابایت </t>
    </r>
    <r>
      <rPr>
        <sz val="10"/>
        <rFont val="Vazirmatn"/>
        <family val="0"/>
        <charset val="1"/>
      </rPr>
      <t xml:space="preserve">Western Digital 1TB External HDD</t>
    </r>
  </si>
  <si>
    <t xml:space="preserve">31216615</t>
  </si>
  <si>
    <r>
      <rPr>
        <sz val="10"/>
        <rFont val="FreeSans"/>
        <family val="2"/>
      </rPr>
      <t xml:space="preserve">هارد اکسترنال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ترابایت </t>
    </r>
    <r>
      <rPr>
        <sz val="10"/>
        <rFont val="Vazirmatn"/>
        <family val="0"/>
        <charset val="1"/>
      </rPr>
      <t xml:space="preserve">( AData HD 710 Pro )</t>
    </r>
  </si>
  <si>
    <t xml:space="preserve">31216616</t>
  </si>
  <si>
    <r>
      <rPr>
        <sz val="10"/>
        <rFont val="FreeSans"/>
        <family val="2"/>
      </rPr>
      <t xml:space="preserve">هارد دیسک اینترنال وسترن دیجیتال </t>
    </r>
    <r>
      <rPr>
        <sz val="10"/>
        <rFont val="Vazirmatn"/>
        <family val="0"/>
        <charset val="1"/>
      </rPr>
      <t xml:space="preserve">- 1 </t>
    </r>
    <r>
      <rPr>
        <sz val="10"/>
        <rFont val="FreeSans"/>
        <family val="2"/>
      </rPr>
      <t xml:space="preserve">ترابایت </t>
    </r>
    <r>
      <rPr>
        <sz val="10"/>
        <rFont val="Vazirmatn"/>
        <family val="0"/>
        <charset val="1"/>
      </rPr>
      <t xml:space="preserve">( Blue - WD10EZEX )</t>
    </r>
  </si>
  <si>
    <t xml:space="preserve">31216617</t>
  </si>
  <si>
    <r>
      <rPr>
        <sz val="10"/>
        <rFont val="FreeSans"/>
        <family val="2"/>
      </rPr>
      <t xml:space="preserve">هارد دیسک اینترنال وسترن دیجیتال </t>
    </r>
    <r>
      <rPr>
        <sz val="10"/>
        <rFont val="Vazirmatn"/>
        <family val="0"/>
        <charset val="1"/>
      </rPr>
      <t xml:space="preserve">- 500 </t>
    </r>
    <r>
      <rPr>
        <sz val="10"/>
        <rFont val="FreeSans"/>
        <family val="2"/>
      </rPr>
      <t xml:space="preserve">گیگا بایت </t>
    </r>
    <r>
      <rPr>
        <sz val="10"/>
        <rFont val="Vazirmatn"/>
        <family val="0"/>
        <charset val="1"/>
      </rPr>
      <t xml:space="preserve">( Blue - WD5000AZLX )</t>
    </r>
  </si>
  <si>
    <t xml:space="preserve">31216700</t>
  </si>
  <si>
    <r>
      <rPr>
        <sz val="10"/>
        <rFont val="FreeSans"/>
        <family val="2"/>
      </rPr>
      <t xml:space="preserve">ریموت بتا </t>
    </r>
    <r>
      <rPr>
        <sz val="10"/>
        <rFont val="Vazirmatn"/>
        <family val="0"/>
        <charset val="1"/>
      </rPr>
      <t xml:space="preserve">2007</t>
    </r>
  </si>
  <si>
    <t xml:space="preserve">31216701</t>
  </si>
  <si>
    <r>
      <rPr>
        <sz val="10"/>
        <rFont val="FreeSans"/>
        <family val="2"/>
      </rPr>
      <t xml:space="preserve">ریموت دستگاه جوش جوشا  </t>
    </r>
    <r>
      <rPr>
        <sz val="10"/>
        <rFont val="Vazirmatn"/>
        <family val="0"/>
        <charset val="1"/>
      </rPr>
      <t xml:space="preserve">EL 50001 G</t>
    </r>
  </si>
  <si>
    <t xml:space="preserve">31216702</t>
  </si>
  <si>
    <r>
      <rPr>
        <sz val="10"/>
        <rFont val="FreeSans"/>
        <family val="2"/>
      </rPr>
      <t xml:space="preserve">ریموت اندیکاتور زیتکس </t>
    </r>
    <r>
      <rPr>
        <sz val="10"/>
        <rFont val="Vazirmatn"/>
        <family val="0"/>
        <charset val="1"/>
      </rPr>
      <t xml:space="preserve">ZI - R 80</t>
    </r>
  </si>
  <si>
    <t xml:space="preserve">31216703</t>
  </si>
  <si>
    <r>
      <rPr>
        <sz val="10"/>
        <rFont val="FreeSans"/>
        <family val="2"/>
      </rPr>
      <t xml:space="preserve">ریموت کرکره برقی  </t>
    </r>
    <r>
      <rPr>
        <sz val="10"/>
        <rFont val="Vazirmatn"/>
        <family val="0"/>
        <charset val="1"/>
      </rPr>
      <t xml:space="preserve">Beta</t>
    </r>
  </si>
  <si>
    <t xml:space="preserve">31216704</t>
  </si>
  <si>
    <t xml:space="preserve">ریموت کرکره برقی</t>
  </si>
  <si>
    <t xml:space="preserve">31216705</t>
  </si>
  <si>
    <r>
      <rPr>
        <sz val="10"/>
        <rFont val="FreeSans"/>
        <family val="2"/>
      </rPr>
      <t xml:space="preserve">ریموت کنترل روشنایی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کانال مجزا</t>
    </r>
  </si>
  <si>
    <t xml:space="preserve">31216800</t>
  </si>
  <si>
    <t xml:space="preserve">راهنمای کابل جرثقیل سیم بکسلی</t>
  </si>
  <si>
    <t xml:space="preserve">31216895</t>
  </si>
  <si>
    <r>
      <rPr>
        <sz val="10"/>
        <rFont val="FreeSans"/>
        <family val="2"/>
      </rPr>
      <t xml:space="preserve">المنت سرامیکی </t>
    </r>
    <r>
      <rPr>
        <sz val="10"/>
        <rFont val="Vazirmatn"/>
        <family val="0"/>
        <charset val="1"/>
      </rPr>
      <t xml:space="preserve">25Cm</t>
    </r>
  </si>
  <si>
    <t xml:space="preserve">31216898</t>
  </si>
  <si>
    <r>
      <rPr>
        <sz val="10"/>
        <rFont val="FreeSans"/>
        <family val="2"/>
      </rPr>
      <t xml:space="preserve">المنت  </t>
    </r>
    <r>
      <rPr>
        <sz val="10"/>
        <rFont val="Vazirmatn"/>
        <family val="0"/>
        <charset val="1"/>
      </rPr>
      <t xml:space="preserve">220V 2000W</t>
    </r>
  </si>
  <si>
    <t xml:space="preserve">31216899</t>
  </si>
  <si>
    <r>
      <rPr>
        <sz val="10"/>
        <rFont val="FreeSans"/>
        <family val="2"/>
      </rPr>
      <t xml:space="preserve">المنت یو شکل </t>
    </r>
    <r>
      <rPr>
        <sz val="10"/>
        <rFont val="Vazirmatn"/>
        <family val="0"/>
        <charset val="1"/>
      </rPr>
      <t xml:space="preserve">( U ) </t>
    </r>
    <r>
      <rPr>
        <sz val="10"/>
        <rFont val="FreeSans"/>
        <family val="2"/>
      </rPr>
      <t xml:space="preserve">دستگاه بن ماری  </t>
    </r>
    <r>
      <rPr>
        <sz val="10"/>
        <rFont val="Vazirmatn"/>
        <family val="0"/>
        <charset val="1"/>
      </rPr>
      <t xml:space="preserve">2000W</t>
    </r>
  </si>
  <si>
    <t xml:space="preserve">31216900</t>
  </si>
  <si>
    <t xml:space="preserve">المنت  فلزی  نعلی  شکل</t>
  </si>
  <si>
    <t xml:space="preserve">31216903</t>
  </si>
  <si>
    <r>
      <rPr>
        <sz val="10"/>
        <rFont val="FreeSans"/>
        <family val="2"/>
      </rPr>
      <t xml:space="preserve">المنت استیل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دوبل </t>
    </r>
    <r>
      <rPr>
        <sz val="10"/>
        <rFont val="Vazirmatn"/>
        <family val="0"/>
        <charset val="1"/>
      </rPr>
      <t xml:space="preserve">)   80 * 12</t>
    </r>
  </si>
  <si>
    <t xml:space="preserve">31216904</t>
  </si>
  <si>
    <r>
      <rPr>
        <sz val="10"/>
        <rFont val="FreeSans"/>
        <family val="2"/>
      </rPr>
      <t xml:space="preserve">المنت دستگاه دکسترین </t>
    </r>
    <r>
      <rPr>
        <sz val="10"/>
        <rFont val="Vazirmatn"/>
        <family val="0"/>
        <charset val="1"/>
      </rPr>
      <t xml:space="preserve">10KW</t>
    </r>
  </si>
  <si>
    <t xml:space="preserve">31216908</t>
  </si>
  <si>
    <t xml:space="preserve">لیمیت سوئیچ غلطکی</t>
  </si>
  <si>
    <t xml:space="preserve">31216910</t>
  </si>
  <si>
    <r>
      <rPr>
        <sz val="10"/>
        <rFont val="FreeSans"/>
        <family val="2"/>
      </rPr>
      <t xml:space="preserve">لمیت سوئیچ فنری بلند  </t>
    </r>
    <r>
      <rPr>
        <sz val="10"/>
        <rFont val="Vazirmatn"/>
        <family val="0"/>
        <charset val="1"/>
      </rPr>
      <t xml:space="preserve">XCK - M</t>
    </r>
  </si>
  <si>
    <t xml:space="preserve">31216911</t>
  </si>
  <si>
    <r>
      <rPr>
        <sz val="10"/>
        <rFont val="FreeSans"/>
        <family val="2"/>
      </rPr>
      <t xml:space="preserve">لیمیت سوئیچ </t>
    </r>
    <r>
      <rPr>
        <sz val="10"/>
        <rFont val="Vazirmatn"/>
        <family val="0"/>
        <charset val="1"/>
      </rPr>
      <t xml:space="preserve">CHL-5391  CNTD</t>
    </r>
  </si>
  <si>
    <t xml:space="preserve">31216913</t>
  </si>
  <si>
    <r>
      <rPr>
        <sz val="10"/>
        <rFont val="FreeSans"/>
        <family val="2"/>
      </rPr>
      <t xml:space="preserve">لیمیت سوئیچ غلطکی  </t>
    </r>
    <r>
      <rPr>
        <sz val="10"/>
        <rFont val="Vazirmatn"/>
        <family val="0"/>
        <charset val="1"/>
      </rPr>
      <t xml:space="preserve">E100-00-FM</t>
    </r>
  </si>
  <si>
    <t xml:space="preserve">31216914</t>
  </si>
  <si>
    <r>
      <rPr>
        <sz val="10"/>
        <rFont val="FreeSans"/>
        <family val="2"/>
      </rPr>
      <t xml:space="preserve">لیمیت سوئیچ آنتنی </t>
    </r>
    <r>
      <rPr>
        <sz val="10"/>
        <rFont val="Vazirmatn"/>
        <family val="0"/>
        <charset val="1"/>
      </rPr>
      <t xml:space="preserve">RENY ) HZ - 9101 )</t>
    </r>
  </si>
  <si>
    <t xml:space="preserve">31216915</t>
  </si>
  <si>
    <r>
      <rPr>
        <sz val="10"/>
        <rFont val="FreeSans"/>
        <family val="2"/>
      </rPr>
      <t xml:space="preserve">لمیت سوئیچ  </t>
    </r>
    <r>
      <rPr>
        <sz val="10"/>
        <rFont val="Vazirmatn"/>
        <family val="0"/>
        <charset val="1"/>
      </rPr>
      <t xml:space="preserve">CLS - 111  CN TD</t>
    </r>
  </si>
  <si>
    <t xml:space="preserve">31217002</t>
  </si>
  <si>
    <r>
      <rPr>
        <sz val="10"/>
        <rFont val="FreeSans"/>
        <family val="2"/>
      </rPr>
      <t xml:space="preserve">دودکش </t>
    </r>
    <r>
      <rPr>
        <sz val="10"/>
        <rFont val="Vazirmatn"/>
        <family val="0"/>
        <charset val="1"/>
      </rPr>
      <t xml:space="preserve">H </t>
    </r>
    <r>
      <rPr>
        <sz val="10"/>
        <rFont val="FreeSans"/>
        <family val="2"/>
      </rPr>
      <t xml:space="preserve">لوله بخاری </t>
    </r>
    <r>
      <rPr>
        <sz val="10"/>
        <rFont val="Vazirmatn"/>
        <family val="0"/>
        <charset val="1"/>
      </rPr>
      <t xml:space="preserve">10</t>
    </r>
  </si>
  <si>
    <t xml:space="preserve">31217005</t>
  </si>
  <si>
    <r>
      <rPr>
        <sz val="10"/>
        <rFont val="FreeSans"/>
        <family val="2"/>
      </rPr>
      <t xml:space="preserve">فن خنک کننده درایو </t>
    </r>
    <r>
      <rPr>
        <sz val="10"/>
        <rFont val="Vazirmatn"/>
        <family val="0"/>
        <charset val="1"/>
      </rPr>
      <t xml:space="preserve">24VDC - ABB ( </t>
    </r>
    <r>
      <rPr>
        <sz val="10"/>
        <rFont val="FreeSans"/>
        <family val="2"/>
      </rPr>
      <t xml:space="preserve">مدل درایو </t>
    </r>
    <r>
      <rPr>
        <sz val="10"/>
        <rFont val="Vazirmatn"/>
        <family val="0"/>
        <charset val="1"/>
      </rPr>
      <t xml:space="preserve">ACS 880 - </t>
    </r>
    <r>
      <rPr>
        <sz val="10"/>
        <rFont val="FreeSans"/>
        <family val="2"/>
      </rPr>
      <t xml:space="preserve">توات درایو </t>
    </r>
    <r>
      <rPr>
        <sz val="10"/>
        <rFont val="Vazirmatn"/>
        <family val="0"/>
        <charset val="1"/>
      </rPr>
      <t xml:space="preserve">160KW )</t>
    </r>
  </si>
  <si>
    <t xml:space="preserve">31217008</t>
  </si>
  <si>
    <r>
      <rPr>
        <sz val="10"/>
        <rFont val="FreeSans"/>
        <family val="2"/>
      </rPr>
      <t xml:space="preserve">فن هواکش       </t>
    </r>
    <r>
      <rPr>
        <sz val="10"/>
        <rFont val="Vazirmatn"/>
        <family val="0"/>
        <charset val="1"/>
      </rPr>
      <t xml:space="preserve">60 *60</t>
    </r>
  </si>
  <si>
    <t xml:space="preserve">31217013</t>
  </si>
  <si>
    <r>
      <rPr>
        <sz val="10"/>
        <rFont val="FreeSans"/>
        <family val="2"/>
      </rPr>
      <t xml:space="preserve">فن هوا کش دیواری   </t>
    </r>
    <r>
      <rPr>
        <sz val="10"/>
        <rFont val="Vazirmatn"/>
        <family val="0"/>
        <charset val="1"/>
      </rPr>
      <t xml:space="preserve">25 * 25</t>
    </r>
  </si>
  <si>
    <t xml:space="preserve">31217015</t>
  </si>
  <si>
    <r>
      <rPr>
        <sz val="10"/>
        <rFont val="FreeSans"/>
        <family val="2"/>
      </rPr>
      <t xml:space="preserve">دودکش </t>
    </r>
    <r>
      <rPr>
        <sz val="10"/>
        <rFont val="Vazirmatn"/>
        <family val="0"/>
        <charset val="1"/>
      </rPr>
      <t xml:space="preserve">H </t>
    </r>
    <r>
      <rPr>
        <sz val="10"/>
        <rFont val="FreeSans"/>
        <family val="2"/>
      </rPr>
      <t xml:space="preserve">لوله بخاری </t>
    </r>
    <r>
      <rPr>
        <sz val="10"/>
        <rFont val="Vazirmatn"/>
        <family val="0"/>
        <charset val="1"/>
      </rPr>
      <t xml:space="preserve">15</t>
    </r>
  </si>
  <si>
    <t xml:space="preserve">31217019</t>
  </si>
  <si>
    <r>
      <rPr>
        <sz val="10"/>
        <rFont val="FreeSans"/>
        <family val="2"/>
      </rPr>
      <t xml:space="preserve">الکتروموتور          </t>
    </r>
    <r>
      <rPr>
        <sz val="10"/>
        <rFont val="Vazirmatn"/>
        <family val="0"/>
        <charset val="1"/>
      </rPr>
      <t xml:space="preserve">160KW   1450RPM</t>
    </r>
  </si>
  <si>
    <t xml:space="preserve">31217021</t>
  </si>
  <si>
    <r>
      <rPr>
        <sz val="10"/>
        <rFont val="FreeSans"/>
        <family val="2"/>
      </rPr>
      <t xml:space="preserve">فن هواکش       </t>
    </r>
    <r>
      <rPr>
        <sz val="10"/>
        <rFont val="Vazirmatn"/>
        <family val="0"/>
        <charset val="1"/>
      </rPr>
      <t xml:space="preserve">30 *30</t>
    </r>
  </si>
  <si>
    <t xml:space="preserve">31217024</t>
  </si>
  <si>
    <r>
      <rPr>
        <sz val="10"/>
        <rFont val="FreeSans"/>
        <family val="2"/>
      </rPr>
      <t xml:space="preserve">فن تابلو برق </t>
    </r>
    <r>
      <rPr>
        <sz val="10"/>
        <rFont val="Vazirmatn"/>
        <family val="0"/>
        <charset val="1"/>
      </rPr>
      <t xml:space="preserve">220V  17*17</t>
    </r>
  </si>
  <si>
    <t xml:space="preserve">31217026</t>
  </si>
  <si>
    <r>
      <rPr>
        <sz val="10"/>
        <rFont val="FreeSans"/>
        <family val="2"/>
      </rPr>
      <t xml:space="preserve">فن هواکش </t>
    </r>
    <r>
      <rPr>
        <sz val="10"/>
        <rFont val="Vazirmatn"/>
        <family val="0"/>
        <charset val="1"/>
      </rPr>
      <t xml:space="preserve">20 * 20</t>
    </r>
  </si>
  <si>
    <t xml:space="preserve">31217027</t>
  </si>
  <si>
    <r>
      <rPr>
        <sz val="10"/>
        <rFont val="FreeSans"/>
        <family val="2"/>
      </rPr>
      <t xml:space="preserve">فن آکسیال </t>
    </r>
    <r>
      <rPr>
        <sz val="10"/>
        <rFont val="Vazirmatn"/>
        <family val="0"/>
        <charset val="1"/>
      </rPr>
      <t xml:space="preserve">3KW 3000RPM Q=165 140m3/h - 145Pa</t>
    </r>
  </si>
  <si>
    <t xml:space="preserve">31217029</t>
  </si>
  <si>
    <r>
      <rPr>
        <sz val="10"/>
        <rFont val="FreeSans"/>
        <family val="2"/>
      </rPr>
      <t xml:space="preserve">فن سانتریفیوژ فوروارد تکفاز </t>
    </r>
    <r>
      <rPr>
        <sz val="10"/>
        <rFont val="Vazirmatn"/>
        <family val="0"/>
        <charset val="1"/>
      </rPr>
      <t xml:space="preserve">125W 220V(</t>
    </r>
    <r>
      <rPr>
        <sz val="10"/>
        <rFont val="FreeSans"/>
        <family val="2"/>
      </rPr>
      <t xml:space="preserve">اندازه پروانه </t>
    </r>
    <r>
      <rPr>
        <sz val="10"/>
        <rFont val="Vazirmatn"/>
        <family val="0"/>
        <charset val="1"/>
      </rPr>
      <t xml:space="preserve">13cm)</t>
    </r>
  </si>
  <si>
    <t xml:space="preserve">31217032</t>
  </si>
  <si>
    <r>
      <rPr>
        <sz val="10"/>
        <rFont val="FreeSans"/>
        <family val="2"/>
      </rPr>
      <t xml:space="preserve">فن هواکش  </t>
    </r>
    <r>
      <rPr>
        <sz val="10"/>
        <rFont val="Vazirmatn"/>
        <family val="0"/>
        <charset val="1"/>
      </rPr>
      <t xml:space="preserve">10 * 10</t>
    </r>
  </si>
  <si>
    <t xml:space="preserve">31217035</t>
  </si>
  <si>
    <r>
      <rPr>
        <sz val="10"/>
        <rFont val="FreeSans"/>
        <family val="2"/>
      </rPr>
      <t xml:space="preserve">فن تابلویی </t>
    </r>
    <r>
      <rPr>
        <sz val="10"/>
        <rFont val="Vazirmatn"/>
        <family val="0"/>
        <charset val="1"/>
      </rPr>
      <t xml:space="preserve">9 * 9    220V  18W</t>
    </r>
  </si>
  <si>
    <t xml:space="preserve">31217036</t>
  </si>
  <si>
    <r>
      <rPr>
        <sz val="10"/>
        <rFont val="FreeSans"/>
        <family val="2"/>
      </rPr>
      <t xml:space="preserve">فن استیل کوره </t>
    </r>
    <r>
      <rPr>
        <sz val="10"/>
        <rFont val="Vazirmatn"/>
        <family val="0"/>
        <charset val="1"/>
      </rPr>
      <t xml:space="preserve">SO2 1147-2446</t>
    </r>
  </si>
  <si>
    <t xml:space="preserve">31217037</t>
  </si>
  <si>
    <r>
      <rPr>
        <sz val="10"/>
        <rFont val="FreeSans"/>
        <family val="2"/>
      </rPr>
      <t xml:space="preserve">فن هواکش  </t>
    </r>
    <r>
      <rPr>
        <sz val="10"/>
        <rFont val="Vazirmatn"/>
        <family val="0"/>
        <charset val="1"/>
      </rPr>
      <t xml:space="preserve">15 * 15</t>
    </r>
  </si>
  <si>
    <t xml:space="preserve">31217038</t>
  </si>
  <si>
    <r>
      <rPr>
        <sz val="10"/>
        <rFont val="FreeSans"/>
        <family val="2"/>
      </rPr>
      <t xml:space="preserve">فن </t>
    </r>
    <r>
      <rPr>
        <sz val="10"/>
        <rFont val="Vazirmatn"/>
        <family val="0"/>
        <charset val="1"/>
      </rPr>
      <t xml:space="preserve">1/5 * 4 * 4  AFB0424VHB 12V DC</t>
    </r>
  </si>
  <si>
    <t xml:space="preserve">31217040</t>
  </si>
  <si>
    <r>
      <rPr>
        <sz val="10"/>
        <rFont val="FreeSans"/>
        <family val="2"/>
      </rPr>
      <t xml:space="preserve">فن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سیمه  </t>
    </r>
    <r>
      <rPr>
        <sz val="10"/>
        <rFont val="Vazirmatn"/>
        <family val="0"/>
        <charset val="1"/>
      </rPr>
      <t xml:space="preserve">6cm * 6cm * 25mm  24V DC</t>
    </r>
  </si>
  <si>
    <t xml:space="preserve">31217041</t>
  </si>
  <si>
    <r>
      <rPr>
        <sz val="10"/>
        <rFont val="FreeSans"/>
        <family val="2"/>
      </rPr>
      <t xml:space="preserve">فن هواکش  </t>
    </r>
    <r>
      <rPr>
        <sz val="10"/>
        <rFont val="Vazirmatn"/>
        <family val="0"/>
        <charset val="1"/>
      </rPr>
      <t xml:space="preserve">25 * 25</t>
    </r>
  </si>
  <si>
    <t xml:space="preserve">31217043</t>
  </si>
  <si>
    <r>
      <rPr>
        <sz val="10"/>
        <rFont val="FreeSans"/>
        <family val="2"/>
      </rPr>
      <t xml:space="preserve">فن هواکش  </t>
    </r>
    <r>
      <rPr>
        <sz val="10"/>
        <rFont val="Vazirmatn"/>
        <family val="0"/>
        <charset val="1"/>
      </rPr>
      <t xml:space="preserve">50 * 50</t>
    </r>
  </si>
  <si>
    <t xml:space="preserve">31217044</t>
  </si>
  <si>
    <r>
      <rPr>
        <sz val="10"/>
        <rFont val="FreeSans"/>
        <family val="2"/>
      </rPr>
      <t xml:space="preserve">فن درایو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سیم فید بک دار  </t>
    </r>
    <r>
      <rPr>
        <sz val="10"/>
        <rFont val="Vazirmatn"/>
        <family val="0"/>
        <charset val="1"/>
      </rPr>
      <t xml:space="preserve">6cm * 6cm  24V DC GM2406PTV2-A</t>
    </r>
  </si>
  <si>
    <t xml:space="preserve">31217045</t>
  </si>
  <si>
    <r>
      <rPr>
        <sz val="10"/>
        <rFont val="FreeSans"/>
        <family val="2"/>
      </rPr>
      <t xml:space="preserve">فن </t>
    </r>
    <r>
      <rPr>
        <sz val="10"/>
        <rFont val="Vazirmatn"/>
        <family val="0"/>
        <charset val="1"/>
      </rPr>
      <t xml:space="preserve">8cm*8cm*2/5cm 12V DC UPS</t>
    </r>
  </si>
  <si>
    <t xml:space="preserve">31217047</t>
  </si>
  <si>
    <r>
      <rPr>
        <sz val="10"/>
        <rFont val="FreeSans"/>
        <family val="2"/>
      </rPr>
      <t xml:space="preserve">فن هواکش مکنده دمپردار </t>
    </r>
    <r>
      <rPr>
        <sz val="10"/>
        <rFont val="Vazirmatn"/>
        <family val="0"/>
        <charset val="1"/>
      </rPr>
      <t xml:space="preserve">30 * 30</t>
    </r>
  </si>
  <si>
    <t xml:space="preserve">31217048</t>
  </si>
  <si>
    <r>
      <rPr>
        <sz val="10"/>
        <rFont val="FreeSans"/>
        <family val="2"/>
      </rPr>
      <t xml:space="preserve">فن آکسیال کانالی </t>
    </r>
    <r>
      <rPr>
        <sz val="10"/>
        <rFont val="Vazirmatn"/>
        <family val="0"/>
        <charset val="1"/>
      </rPr>
      <t xml:space="preserve">IFDAB 804 - 3 4KW 1400RPM 380V</t>
    </r>
  </si>
  <si>
    <t xml:space="preserve">31217049</t>
  </si>
  <si>
    <r>
      <rPr>
        <sz val="10"/>
        <rFont val="FreeSans"/>
        <family val="2"/>
      </rPr>
      <t xml:space="preserve">فن هواکش قطر </t>
    </r>
    <r>
      <rPr>
        <sz val="10"/>
        <rFont val="Vazirmatn"/>
        <family val="0"/>
        <charset val="1"/>
      </rPr>
      <t xml:space="preserve">15</t>
    </r>
  </si>
  <si>
    <t xml:space="preserve">31217050</t>
  </si>
  <si>
    <r>
      <rPr>
        <sz val="10"/>
        <rFont val="FreeSans"/>
        <family val="2"/>
      </rPr>
      <t xml:space="preserve">فن دمنده آشپزخانه دمپر دار </t>
    </r>
    <r>
      <rPr>
        <sz val="10"/>
        <rFont val="Vazirmatn"/>
        <family val="0"/>
        <charset val="1"/>
      </rPr>
      <t xml:space="preserve">DAMANDE 20*20  Type : VSL-20 S2 S V:220 - W:30 - r.p.m:1800 m3/h:385</t>
    </r>
  </si>
  <si>
    <t xml:space="preserve">31217051</t>
  </si>
  <si>
    <r>
      <rPr>
        <sz val="10"/>
        <rFont val="FreeSans"/>
        <family val="2"/>
      </rPr>
      <t xml:space="preserve">فن تابلویی قاب دار  </t>
    </r>
    <r>
      <rPr>
        <sz val="10"/>
        <rFont val="Vazirmatn"/>
        <family val="0"/>
        <charset val="1"/>
      </rPr>
      <t xml:space="preserve">22Cm*22Cm</t>
    </r>
  </si>
  <si>
    <t xml:space="preserve">31217052</t>
  </si>
  <si>
    <r>
      <rPr>
        <sz val="10"/>
        <rFont val="FreeSans"/>
        <family val="2"/>
      </rPr>
      <t xml:space="preserve">فن دمنده تکفاز </t>
    </r>
    <r>
      <rPr>
        <sz val="10"/>
        <rFont val="Vazirmatn"/>
        <family val="0"/>
        <charset val="1"/>
      </rPr>
      <t xml:space="preserve">220V  50Cm*50Cm</t>
    </r>
  </si>
  <si>
    <t xml:space="preserve">31217053</t>
  </si>
  <si>
    <r>
      <rPr>
        <sz val="10"/>
        <rFont val="FreeSans"/>
        <family val="2"/>
      </rPr>
      <t xml:space="preserve">فن دیواری دمنده   </t>
    </r>
    <r>
      <rPr>
        <sz val="10"/>
        <rFont val="Vazirmatn"/>
        <family val="0"/>
        <charset val="1"/>
      </rPr>
      <t xml:space="preserve">60Cm*60Cm</t>
    </r>
  </si>
  <si>
    <t xml:space="preserve">31217054</t>
  </si>
  <si>
    <r>
      <rPr>
        <sz val="10"/>
        <rFont val="FreeSans"/>
        <family val="2"/>
      </rPr>
      <t xml:space="preserve">فن فشار قوی رادیال </t>
    </r>
    <r>
      <rPr>
        <sz val="10"/>
        <rFont val="Vazirmatn"/>
        <family val="0"/>
        <charset val="1"/>
      </rPr>
      <t xml:space="preserve">Capacity=9000m3/h Pressure=11000Pa </t>
    </r>
    <r>
      <rPr>
        <sz val="10"/>
        <rFont val="FreeSans"/>
        <family val="2"/>
      </rPr>
      <t xml:space="preserve">نوع </t>
    </r>
    <r>
      <rPr>
        <sz val="10"/>
        <rFont val="Vazirmatn"/>
        <family val="0"/>
        <charset val="1"/>
      </rPr>
      <t xml:space="preserve">Direct Drire Type:IHFD 77L Motor:45KW </t>
    </r>
    <r>
      <rPr>
        <sz val="10"/>
        <rFont val="FreeSans"/>
        <family val="2"/>
      </rPr>
      <t xml:space="preserve">خروجی فن </t>
    </r>
    <r>
      <rPr>
        <sz val="10"/>
        <rFont val="Vazirmatn"/>
        <family val="0"/>
        <charset val="1"/>
      </rPr>
      <t xml:space="preserve">Bottom Horizonal</t>
    </r>
  </si>
  <si>
    <t xml:space="preserve">31217056</t>
  </si>
  <si>
    <r>
      <rPr>
        <sz val="10"/>
        <rFont val="FreeSans"/>
        <family val="2"/>
      </rPr>
      <t xml:space="preserve">فن </t>
    </r>
    <r>
      <rPr>
        <sz val="10"/>
        <rFont val="Vazirmatn"/>
        <family val="0"/>
        <charset val="1"/>
      </rPr>
      <t xml:space="preserve">G4-73-NO12C R90 , P=160KW,Q=9000M3/H,H=4000PA,N=1550RPM</t>
    </r>
  </si>
  <si>
    <t xml:space="preserve">31217057</t>
  </si>
  <si>
    <r>
      <rPr>
        <sz val="10"/>
        <rFont val="FreeSans"/>
        <family val="2"/>
      </rPr>
      <t xml:space="preserve">فن </t>
    </r>
    <r>
      <rPr>
        <sz val="10"/>
        <rFont val="Vazirmatn"/>
        <family val="0"/>
        <charset val="1"/>
      </rPr>
      <t xml:space="preserve">9-19-NO7.1DL90,P=55KW,N=2900RPM,Q=9500M3/H,H=9500PA</t>
    </r>
  </si>
  <si>
    <t xml:space="preserve">31217058</t>
  </si>
  <si>
    <r>
      <rPr>
        <sz val="10"/>
        <rFont val="FreeSans"/>
        <family val="2"/>
      </rPr>
      <t xml:space="preserve">فن بگ فیلتر </t>
    </r>
    <r>
      <rPr>
        <sz val="10"/>
        <rFont val="Vazirmatn"/>
        <family val="0"/>
        <charset val="1"/>
      </rPr>
      <t xml:space="preserve">4-72-4.5A, L90,P=7/5KW , N=2900RPM,Q=5000M3/H, H=1500PA</t>
    </r>
  </si>
  <si>
    <t xml:space="preserve">31217059</t>
  </si>
  <si>
    <r>
      <rPr>
        <sz val="10"/>
        <rFont val="FreeSans"/>
        <family val="2"/>
      </rPr>
      <t xml:space="preserve">فن بدون موتور </t>
    </r>
    <r>
      <rPr>
        <sz val="10"/>
        <rFont val="Vazirmatn"/>
        <family val="0"/>
        <charset val="1"/>
      </rPr>
      <t xml:space="preserve">6-30-7C,8464--6509PA, 6095--14675M3/H  L 90 C</t>
    </r>
  </si>
  <si>
    <t xml:space="preserve">31217060</t>
  </si>
  <si>
    <r>
      <rPr>
        <sz val="10"/>
        <rFont val="FreeSans"/>
        <family val="2"/>
      </rPr>
      <t xml:space="preserve">فن بدون موتور </t>
    </r>
    <r>
      <rPr>
        <sz val="10"/>
        <rFont val="Vazirmatn"/>
        <family val="0"/>
        <charset val="1"/>
      </rPr>
      <t xml:space="preserve">4-73-12C,1961--2949PA, 54526--104600M3/H  L90 C</t>
    </r>
  </si>
  <si>
    <t xml:space="preserve">31217061</t>
  </si>
  <si>
    <r>
      <rPr>
        <sz val="10"/>
        <rFont val="FreeSans"/>
        <family val="2"/>
      </rPr>
      <t xml:space="preserve">دمپر فن بدون موتور </t>
    </r>
    <r>
      <rPr>
        <sz val="10"/>
        <rFont val="Vazirmatn"/>
        <family val="0"/>
        <charset val="1"/>
      </rPr>
      <t xml:space="preserve">4-73-12C</t>
    </r>
  </si>
  <si>
    <t xml:space="preserve">31217062</t>
  </si>
  <si>
    <r>
      <rPr>
        <sz val="10"/>
        <rFont val="FreeSans"/>
        <family val="2"/>
      </rPr>
      <t xml:space="preserve">فن دیواری آکسیال            </t>
    </r>
    <r>
      <rPr>
        <sz val="10"/>
        <rFont val="Vazirmatn"/>
        <family val="0"/>
        <charset val="1"/>
      </rPr>
      <t xml:space="preserve">FTP4D 350S/140W</t>
    </r>
  </si>
  <si>
    <t xml:space="preserve">31217066</t>
  </si>
  <si>
    <r>
      <rPr>
        <sz val="10"/>
        <rFont val="FreeSans"/>
        <family val="2"/>
      </rPr>
      <t xml:space="preserve">فن آکسیال تکفاز </t>
    </r>
    <r>
      <rPr>
        <sz val="10"/>
        <rFont val="Vazirmatn"/>
        <family val="0"/>
        <charset val="1"/>
      </rPr>
      <t xml:space="preserve">FTP 4E-400S</t>
    </r>
  </si>
  <si>
    <t xml:space="preserve">31217067</t>
  </si>
  <si>
    <r>
      <rPr>
        <sz val="10"/>
        <rFont val="FreeSans"/>
        <family val="2"/>
      </rPr>
      <t xml:space="preserve">فن هواکش زیلابگ   </t>
    </r>
    <r>
      <rPr>
        <sz val="10"/>
        <rFont val="Vazirmatn"/>
        <family val="0"/>
        <charset val="1"/>
      </rPr>
      <t xml:space="preserve">4E-250 S</t>
    </r>
  </si>
  <si>
    <t xml:space="preserve">31217068</t>
  </si>
  <si>
    <r>
      <rPr>
        <sz val="10"/>
        <rFont val="FreeSans"/>
        <family val="2"/>
      </rPr>
      <t xml:space="preserve">فن دیواری دمنده تکفاز  </t>
    </r>
    <r>
      <rPr>
        <sz val="10"/>
        <rFont val="Vazirmatn"/>
        <family val="0"/>
        <charset val="1"/>
      </rPr>
      <t xml:space="preserve">70Cm*70Cm</t>
    </r>
  </si>
  <si>
    <t xml:space="preserve">31217069</t>
  </si>
  <si>
    <r>
      <rPr>
        <sz val="10"/>
        <rFont val="FreeSans"/>
        <family val="2"/>
      </rPr>
      <t xml:space="preserve">سیستم فن سوپر بلید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تیغه شفت استیل با قطر </t>
    </r>
    <r>
      <rPr>
        <sz val="10"/>
        <rFont val="Vazirmatn"/>
        <family val="0"/>
        <charset val="1"/>
      </rPr>
      <t xml:space="preserve">460Cm</t>
    </r>
  </si>
  <si>
    <t xml:space="preserve">31217070</t>
  </si>
  <si>
    <r>
      <rPr>
        <sz val="10"/>
        <rFont val="FreeSans"/>
        <family val="2"/>
      </rPr>
      <t xml:space="preserve">الکتروفن </t>
    </r>
    <r>
      <rPr>
        <sz val="10"/>
        <rFont val="Vazirmatn"/>
        <family val="0"/>
        <charset val="1"/>
      </rPr>
      <t xml:space="preserve">16W </t>
    </r>
    <r>
      <rPr>
        <sz val="10"/>
        <rFont val="FreeSans"/>
        <family val="2"/>
      </rPr>
      <t xml:space="preserve">یخچال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الکتروژن </t>
    </r>
    <r>
      <rPr>
        <sz val="10"/>
        <rFont val="Vazirmatn"/>
        <family val="0"/>
        <charset val="1"/>
      </rPr>
      <t xml:space="preserve">12163 - B )</t>
    </r>
  </si>
  <si>
    <t xml:space="preserve">31217071</t>
  </si>
  <si>
    <r>
      <rPr>
        <sz val="10"/>
        <rFont val="FreeSans"/>
        <family val="2"/>
      </rPr>
      <t xml:space="preserve">فن خنک کننده بلبرینگی </t>
    </r>
    <r>
      <rPr>
        <sz val="10"/>
        <rFont val="Vazirmatn"/>
        <family val="0"/>
        <charset val="1"/>
      </rPr>
      <t xml:space="preserve">9Cm*9Cm 24V DC </t>
    </r>
    <r>
      <rPr>
        <sz val="10"/>
        <rFont val="FreeSans"/>
        <family val="2"/>
      </rPr>
      <t xml:space="preserve">دستگاه جوش </t>
    </r>
    <r>
      <rPr>
        <sz val="10"/>
        <rFont val="Vazirmatn"/>
        <family val="0"/>
        <charset val="1"/>
      </rPr>
      <t xml:space="preserve">mini EL 252 D  - </t>
    </r>
    <r>
      <rPr>
        <sz val="10"/>
        <rFont val="FreeSans"/>
        <family val="2"/>
      </rPr>
      <t xml:space="preserve">مدل فن </t>
    </r>
    <r>
      <rPr>
        <sz val="10"/>
        <rFont val="Vazirmatn"/>
        <family val="0"/>
        <charset val="1"/>
      </rPr>
      <t xml:space="preserve">: SD9232C2H2 )</t>
    </r>
  </si>
  <si>
    <t xml:space="preserve">31217072</t>
  </si>
  <si>
    <r>
      <rPr>
        <sz val="10"/>
        <rFont val="FreeSans"/>
        <family val="2"/>
      </rPr>
      <t xml:space="preserve">الکتروگیربکس پارس گرجی </t>
    </r>
    <r>
      <rPr>
        <sz val="10"/>
        <rFont val="Vazirmatn"/>
        <family val="0"/>
        <charset val="1"/>
      </rPr>
      <t xml:space="preserve">4KW 1500RPM </t>
    </r>
    <r>
      <rPr>
        <sz val="10"/>
        <rFont val="FreeSans"/>
        <family val="2"/>
      </rPr>
      <t xml:space="preserve">دور گیربکس </t>
    </r>
    <r>
      <rPr>
        <sz val="10"/>
        <rFont val="Vazirmatn"/>
        <family val="0"/>
        <charset val="1"/>
      </rPr>
      <t xml:space="preserve">160RPM </t>
    </r>
    <r>
      <rPr>
        <sz val="10"/>
        <rFont val="FreeSans"/>
        <family val="2"/>
      </rPr>
      <t xml:space="preserve">قطر شفت </t>
    </r>
    <r>
      <rPr>
        <sz val="10"/>
        <rFont val="Vazirmatn"/>
        <family val="0"/>
        <charset val="1"/>
      </rPr>
      <t xml:space="preserve">ZG3-112-4  48mm</t>
    </r>
  </si>
  <si>
    <t xml:space="preserve">31217073</t>
  </si>
  <si>
    <r>
      <rPr>
        <sz val="10"/>
        <rFont val="FreeSans"/>
        <family val="2"/>
      </rPr>
      <t xml:space="preserve">فن کامپیوتر  </t>
    </r>
    <r>
      <rPr>
        <sz val="10"/>
        <rFont val="Vazirmatn"/>
        <family val="0"/>
        <charset val="1"/>
      </rPr>
      <t xml:space="preserve">12 * 12</t>
    </r>
  </si>
  <si>
    <t xml:space="preserve">31217075</t>
  </si>
  <si>
    <r>
      <rPr>
        <sz val="10"/>
        <rFont val="FreeSans"/>
        <family val="2"/>
      </rPr>
      <t xml:space="preserve">فن سی پی یو کامپیوتر </t>
    </r>
    <r>
      <rPr>
        <sz val="10"/>
        <rFont val="Vazirmatn"/>
        <family val="0"/>
        <charset val="1"/>
      </rPr>
      <t xml:space="preserve">100 * 100</t>
    </r>
  </si>
  <si>
    <t xml:space="preserve">31217079</t>
  </si>
  <si>
    <r>
      <rPr>
        <sz val="10"/>
        <rFont val="FreeSans"/>
        <family val="2"/>
      </rPr>
      <t xml:space="preserve">فن دیواری تک فاز  </t>
    </r>
    <r>
      <rPr>
        <sz val="10"/>
        <rFont val="Vazirmatn"/>
        <family val="0"/>
        <charset val="1"/>
      </rPr>
      <t xml:space="preserve">50 * 50</t>
    </r>
  </si>
  <si>
    <t xml:space="preserve">31217083</t>
  </si>
  <si>
    <r>
      <rPr>
        <sz val="10"/>
        <rFont val="FreeSans"/>
        <family val="2"/>
      </rPr>
      <t xml:space="preserve">فن </t>
    </r>
    <r>
      <rPr>
        <sz val="10"/>
        <rFont val="Vazirmatn"/>
        <family val="0"/>
        <charset val="1"/>
      </rPr>
      <t xml:space="preserve">Green Tinycool 90 ) CPU )</t>
    </r>
  </si>
  <si>
    <t xml:space="preserve">31217086</t>
  </si>
  <si>
    <r>
      <rPr>
        <sz val="10"/>
        <rFont val="FreeSans"/>
        <family val="2"/>
      </rPr>
      <t xml:space="preserve">فن دیواری فلزی </t>
    </r>
    <r>
      <rPr>
        <sz val="10"/>
        <rFont val="Vazirmatn"/>
        <family val="0"/>
        <charset val="1"/>
      </rPr>
      <t xml:space="preserve">27/5*27/5 ELECTROGEN 0/26A-36/5W 1300rpm-220V Type : FASIS005BU</t>
    </r>
  </si>
  <si>
    <t xml:space="preserve">31217087</t>
  </si>
  <si>
    <r>
      <rPr>
        <sz val="10"/>
        <rFont val="FreeSans"/>
        <family val="2"/>
      </rPr>
      <t xml:space="preserve">الکترو فن مکنده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زیلابگ </t>
    </r>
    <r>
      <rPr>
        <sz val="10"/>
        <rFont val="Vazirmatn"/>
        <family val="0"/>
        <charset val="1"/>
      </rPr>
      <t xml:space="preserve">) YWF-4D-400S-102/47</t>
    </r>
  </si>
  <si>
    <t xml:space="preserve">31217088</t>
  </si>
  <si>
    <r>
      <rPr>
        <sz val="10"/>
        <rFont val="FreeSans"/>
        <family val="2"/>
      </rPr>
      <t xml:space="preserve">پمپ سود </t>
    </r>
    <r>
      <rPr>
        <sz val="10"/>
        <rFont val="Vazirmatn"/>
        <family val="0"/>
        <charset val="1"/>
      </rPr>
      <t xml:space="preserve">( Pump NaOH )</t>
    </r>
  </si>
  <si>
    <t xml:space="preserve">31217089</t>
  </si>
  <si>
    <r>
      <rPr>
        <sz val="10"/>
        <rFont val="FreeSans"/>
        <family val="2"/>
      </rPr>
      <t xml:space="preserve">پمپ آب </t>
    </r>
    <r>
      <rPr>
        <sz val="10"/>
        <rFont val="Vazirmatn"/>
        <family val="0"/>
        <charset val="1"/>
      </rPr>
      <t xml:space="preserve">( Steam generator )</t>
    </r>
  </si>
  <si>
    <t xml:space="preserve">31217090</t>
  </si>
  <si>
    <r>
      <rPr>
        <sz val="10"/>
        <rFont val="FreeSans"/>
        <family val="2"/>
      </rPr>
      <t xml:space="preserve">پمپ آب </t>
    </r>
    <r>
      <rPr>
        <sz val="10"/>
        <rFont val="Vazirmatn"/>
        <family val="0"/>
        <charset val="1"/>
      </rPr>
      <t xml:space="preserve">( Pump Special )</t>
    </r>
  </si>
  <si>
    <t xml:space="preserve">31217091</t>
  </si>
  <si>
    <r>
      <rPr>
        <sz val="10"/>
        <rFont val="FreeSans"/>
        <family val="2"/>
      </rPr>
      <t xml:space="preserve">الکتروموتور فلنج دار زیمنس </t>
    </r>
    <r>
      <rPr>
        <sz val="10"/>
        <rFont val="Vazirmatn"/>
        <family val="0"/>
        <charset val="1"/>
      </rPr>
      <t xml:space="preserve">1AV1130B - IP55 - 5/5KW 1500RPM</t>
    </r>
  </si>
  <si>
    <t xml:space="preserve">31217092</t>
  </si>
  <si>
    <r>
      <rPr>
        <sz val="10"/>
        <rFont val="FreeSans"/>
        <family val="2"/>
      </rPr>
      <t xml:space="preserve">سیستم فن </t>
    </r>
    <r>
      <rPr>
        <sz val="10"/>
        <rFont val="Vazirmatn"/>
        <family val="0"/>
        <charset val="1"/>
      </rPr>
      <t xml:space="preserve">T-500 </t>
    </r>
    <r>
      <rPr>
        <sz val="10"/>
        <rFont val="FreeSans"/>
        <family val="2"/>
      </rPr>
      <t xml:space="preserve">شفت استیل</t>
    </r>
  </si>
  <si>
    <t xml:space="preserve">31217093</t>
  </si>
  <si>
    <r>
      <rPr>
        <sz val="10"/>
        <rFont val="FreeSans"/>
        <family val="2"/>
      </rPr>
      <t xml:space="preserve">فن سانتریفیوژ پولی تسمه ای </t>
    </r>
    <r>
      <rPr>
        <sz val="10"/>
        <rFont val="Vazirmatn"/>
        <family val="0"/>
        <charset val="1"/>
      </rPr>
      <t xml:space="preserve">P=240dapa - n=2750rpm 83m3/min∆</t>
    </r>
  </si>
  <si>
    <t xml:space="preserve">31217094</t>
  </si>
  <si>
    <r>
      <rPr>
        <sz val="10"/>
        <rFont val="FreeSans"/>
        <family val="2"/>
      </rPr>
      <t xml:space="preserve">فن بلبرینگی </t>
    </r>
    <r>
      <rPr>
        <sz val="10"/>
        <rFont val="Vazirmatn"/>
        <family val="0"/>
        <charset val="1"/>
      </rPr>
      <t xml:space="preserve">ebmPaPSt - 4184NXHH - 24V DC  12*12</t>
    </r>
  </si>
  <si>
    <t xml:space="preserve">31217095</t>
  </si>
  <si>
    <r>
      <rPr>
        <sz val="10"/>
        <rFont val="FreeSans"/>
        <family val="2"/>
      </rPr>
      <t xml:space="preserve">فن هواکش تابلویی دائم کار تکفاز 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دمنده </t>
    </r>
    <r>
      <rPr>
        <sz val="10"/>
        <rFont val="Vazirmatn"/>
        <family val="0"/>
        <charset val="1"/>
      </rPr>
      <t xml:space="preserve">) IEC-50T/F4S</t>
    </r>
  </si>
  <si>
    <t xml:space="preserve">31217096</t>
  </si>
  <si>
    <r>
      <rPr>
        <sz val="10"/>
        <rFont val="FreeSans"/>
        <family val="2"/>
      </rPr>
      <t xml:space="preserve">فن سرویس بهداشتی لوله ای </t>
    </r>
    <r>
      <rPr>
        <sz val="10"/>
        <rFont val="Vazirmatn"/>
        <family val="0"/>
        <charset val="1"/>
      </rPr>
      <t xml:space="preserve">10</t>
    </r>
  </si>
  <si>
    <t xml:space="preserve">31217097</t>
  </si>
  <si>
    <r>
      <rPr>
        <sz val="10"/>
        <rFont val="FreeSans"/>
        <family val="2"/>
      </rPr>
      <t xml:space="preserve">فن دیواری دمنده </t>
    </r>
    <r>
      <rPr>
        <sz val="10"/>
        <rFont val="Vazirmatn"/>
        <family val="0"/>
        <charset val="1"/>
      </rPr>
      <t xml:space="preserve">( YWF 4E - 500B ) </t>
    </r>
    <r>
      <rPr>
        <sz val="10"/>
        <rFont val="FreeSans"/>
        <family val="2"/>
      </rPr>
      <t xml:space="preserve">قطر دهانه </t>
    </r>
    <r>
      <rPr>
        <sz val="10"/>
        <rFont val="Vazirmatn"/>
        <family val="0"/>
        <charset val="1"/>
      </rPr>
      <t xml:space="preserve">50Cm</t>
    </r>
  </si>
  <si>
    <t xml:space="preserve">31217100</t>
  </si>
  <si>
    <r>
      <rPr>
        <sz val="10"/>
        <rFont val="FreeSans"/>
        <family val="2"/>
      </rPr>
      <t xml:space="preserve">گیربکس حلزونی </t>
    </r>
    <r>
      <rPr>
        <sz val="10"/>
        <rFont val="Vazirmatn"/>
        <family val="0"/>
        <charset val="1"/>
      </rPr>
      <t xml:space="preserve">RPM 35    11KW</t>
    </r>
  </si>
  <si>
    <t xml:space="preserve">31217101</t>
  </si>
  <si>
    <r>
      <rPr>
        <sz val="10"/>
        <rFont val="FreeSans"/>
        <family val="2"/>
      </rPr>
      <t xml:space="preserve">الکتروموتورفلنجدار </t>
    </r>
    <r>
      <rPr>
        <sz val="10"/>
        <rFont val="Vazirmatn"/>
        <family val="0"/>
        <charset val="1"/>
      </rPr>
      <t xml:space="preserve">22KW  -  1400rpm</t>
    </r>
  </si>
  <si>
    <t xml:space="preserve">31217114</t>
  </si>
  <si>
    <r>
      <rPr>
        <sz val="10"/>
        <rFont val="FreeSans"/>
        <family val="2"/>
      </rPr>
      <t xml:space="preserve">الکتروموتور چدنی فلنجدار </t>
    </r>
    <r>
      <rPr>
        <sz val="10"/>
        <rFont val="Vazirmatn"/>
        <family val="0"/>
        <charset val="1"/>
      </rPr>
      <t xml:space="preserve">4KW  - 1400RPM</t>
    </r>
  </si>
  <si>
    <t xml:space="preserve">31217117</t>
  </si>
  <si>
    <r>
      <rPr>
        <sz val="10"/>
        <rFont val="FreeSans"/>
        <family val="2"/>
      </rPr>
      <t xml:space="preserve">الکتروموتور           </t>
    </r>
    <r>
      <rPr>
        <sz val="10"/>
        <rFont val="Vazirmatn"/>
        <family val="0"/>
        <charset val="1"/>
      </rPr>
      <t xml:space="preserve">11KW   3000RPM</t>
    </r>
  </si>
  <si>
    <t xml:space="preserve">31217122</t>
  </si>
  <si>
    <r>
      <rPr>
        <sz val="10"/>
        <rFont val="FreeSans"/>
        <family val="2"/>
      </rPr>
      <t xml:space="preserve">الکتروموتور  گیربکس </t>
    </r>
    <r>
      <rPr>
        <sz val="10"/>
        <rFont val="Vazirmatn"/>
        <family val="0"/>
        <charset val="1"/>
      </rPr>
      <t xml:space="preserve">3KW1400 RPM</t>
    </r>
  </si>
  <si>
    <t xml:space="preserve">31217125</t>
  </si>
  <si>
    <r>
      <rPr>
        <sz val="10"/>
        <rFont val="FreeSans"/>
        <family val="2"/>
      </rPr>
      <t xml:space="preserve">الکتروموتور چدنی فلنج دار  </t>
    </r>
    <r>
      <rPr>
        <sz val="10"/>
        <rFont val="Vazirmatn"/>
        <family val="0"/>
        <charset val="1"/>
      </rPr>
      <t xml:space="preserve">2/2KW   3000RPM</t>
    </r>
  </si>
  <si>
    <t xml:space="preserve">31217126</t>
  </si>
  <si>
    <r>
      <rPr>
        <sz val="10"/>
        <rFont val="FreeSans"/>
        <family val="2"/>
      </rPr>
      <t xml:space="preserve">موتور پله </t>
    </r>
    <r>
      <rPr>
        <sz val="10"/>
        <rFont val="Vazirmatn"/>
        <family val="0"/>
        <charset val="1"/>
      </rPr>
      <t xml:space="preserve">CS-K63           LEA DSHINE</t>
    </r>
  </si>
  <si>
    <t xml:space="preserve">31217129</t>
  </si>
  <si>
    <r>
      <rPr>
        <sz val="10"/>
        <rFont val="FreeSans"/>
        <family val="2"/>
      </rPr>
      <t xml:space="preserve">الکترو موتور  </t>
    </r>
    <r>
      <rPr>
        <sz val="10"/>
        <rFont val="Vazirmatn"/>
        <family val="0"/>
        <charset val="1"/>
      </rPr>
      <t xml:space="preserve">15KW      1400RPM  GM160L4R2146 6AMMAK</t>
    </r>
  </si>
  <si>
    <t xml:space="preserve">31217137</t>
  </si>
  <si>
    <r>
      <rPr>
        <sz val="10"/>
        <rFont val="FreeSans"/>
        <family val="2"/>
      </rPr>
      <t xml:space="preserve">الکتروموتور          </t>
    </r>
    <r>
      <rPr>
        <sz val="10"/>
        <rFont val="Vazirmatn"/>
        <family val="0"/>
        <charset val="1"/>
      </rPr>
      <t xml:space="preserve">30KW   3000RPM</t>
    </r>
  </si>
  <si>
    <t xml:space="preserve">31217147</t>
  </si>
  <si>
    <r>
      <rPr>
        <sz val="10"/>
        <rFont val="FreeSans"/>
        <family val="2"/>
      </rPr>
      <t xml:space="preserve">الکتروموتور آسیاب  </t>
    </r>
    <r>
      <rPr>
        <sz val="10"/>
        <rFont val="Vazirmatn"/>
        <family val="0"/>
        <charset val="1"/>
      </rPr>
      <t xml:space="preserve">FQ - 136</t>
    </r>
  </si>
  <si>
    <t xml:space="preserve">31217148</t>
  </si>
  <si>
    <r>
      <rPr>
        <sz val="10"/>
        <rFont val="FreeSans"/>
        <family val="2"/>
      </rPr>
      <t xml:space="preserve">الکتروموتور  گیربکس    </t>
    </r>
    <r>
      <rPr>
        <sz val="10"/>
        <rFont val="Vazirmatn"/>
        <family val="0"/>
        <charset val="1"/>
      </rPr>
      <t xml:space="preserve">/5 KW 1400RPM5</t>
    </r>
  </si>
  <si>
    <t xml:space="preserve">31217157</t>
  </si>
  <si>
    <r>
      <rPr>
        <sz val="10"/>
        <rFont val="FreeSans"/>
        <family val="2"/>
      </rPr>
      <t xml:space="preserve">الکترو گیر بکس   </t>
    </r>
    <r>
      <rPr>
        <sz val="10"/>
        <rFont val="Vazirmatn"/>
        <family val="0"/>
        <charset val="1"/>
      </rPr>
      <t xml:space="preserve">4p .230- 0/37kw</t>
    </r>
  </si>
  <si>
    <t xml:space="preserve">31217167</t>
  </si>
  <si>
    <r>
      <rPr>
        <sz val="10"/>
        <rFont val="FreeSans"/>
        <family val="2"/>
      </rPr>
      <t xml:space="preserve">الکتروپمپ طبقاتی سوددکانتور </t>
    </r>
    <r>
      <rPr>
        <sz val="10"/>
        <rFont val="Vazirmatn"/>
        <family val="0"/>
        <charset val="1"/>
      </rPr>
      <t xml:space="preserve">101kw 2900r/min</t>
    </r>
  </si>
  <si>
    <t xml:space="preserve">31217168</t>
  </si>
  <si>
    <r>
      <rPr>
        <sz val="10"/>
        <rFont val="FreeSans"/>
        <family val="2"/>
      </rPr>
      <t xml:space="preserve">الکتروموتور چدنی موتوژن  </t>
    </r>
    <r>
      <rPr>
        <sz val="10"/>
        <rFont val="Vazirmatn"/>
        <family val="0"/>
        <charset val="1"/>
      </rPr>
      <t xml:space="preserve">7/5KW   3000RPM</t>
    </r>
  </si>
  <si>
    <t xml:space="preserve">31217174</t>
  </si>
  <si>
    <r>
      <rPr>
        <sz val="10"/>
        <rFont val="FreeSans"/>
        <family val="2"/>
      </rPr>
      <t xml:space="preserve">پمپ کامل    </t>
    </r>
    <r>
      <rPr>
        <sz val="10"/>
        <rFont val="Vazirmatn"/>
        <family val="0"/>
        <charset val="1"/>
      </rPr>
      <t xml:space="preserve">40FS - 8 - 20/3</t>
    </r>
  </si>
  <si>
    <t xml:space="preserve">31217176</t>
  </si>
  <si>
    <r>
      <rPr>
        <sz val="10"/>
        <rFont val="FreeSans"/>
        <family val="2"/>
      </rPr>
      <t xml:space="preserve">پمپ کامل  </t>
    </r>
    <r>
      <rPr>
        <sz val="10"/>
        <rFont val="Vazirmatn"/>
        <family val="0"/>
        <charset val="1"/>
      </rPr>
      <t xml:space="preserve">50FS - 20 - 20/4</t>
    </r>
  </si>
  <si>
    <t xml:space="preserve">31217177</t>
  </si>
  <si>
    <r>
      <rPr>
        <sz val="10"/>
        <rFont val="FreeSans"/>
        <family val="2"/>
      </rPr>
      <t xml:space="preserve">الکتروموتور فلنجدار    </t>
    </r>
    <r>
      <rPr>
        <sz val="10"/>
        <rFont val="Vazirmatn"/>
        <family val="0"/>
        <charset val="1"/>
      </rPr>
      <t xml:space="preserve">0/18KW</t>
    </r>
  </si>
  <si>
    <t xml:space="preserve">31217178</t>
  </si>
  <si>
    <r>
      <rPr>
        <sz val="10"/>
        <rFont val="FreeSans"/>
        <family val="2"/>
      </rPr>
      <t xml:space="preserve">الکتروموتور کولر     </t>
    </r>
    <r>
      <rPr>
        <sz val="10"/>
        <rFont val="Vazirmatn"/>
        <family val="0"/>
        <charset val="1"/>
      </rPr>
      <t xml:space="preserve">3/4</t>
    </r>
  </si>
  <si>
    <t xml:space="preserve">31217180</t>
  </si>
  <si>
    <r>
      <rPr>
        <sz val="10"/>
        <rFont val="FreeSans"/>
        <family val="2"/>
      </rPr>
      <t xml:space="preserve">الکتروموتور چرخ دوخت </t>
    </r>
    <r>
      <rPr>
        <sz val="10"/>
        <rFont val="Vazirmatn"/>
        <family val="0"/>
        <charset val="1"/>
      </rPr>
      <t xml:space="preserve">NP-7A/SM73BP 11500RPM 240V</t>
    </r>
  </si>
  <si>
    <t xml:space="preserve">31217181</t>
  </si>
  <si>
    <r>
      <rPr>
        <sz val="10"/>
        <rFont val="FreeSans"/>
        <family val="2"/>
      </rPr>
      <t xml:space="preserve">الکترو موتور  کولر </t>
    </r>
    <r>
      <rPr>
        <sz val="10"/>
        <rFont val="Vazirmatn"/>
        <family val="0"/>
        <charset val="1"/>
      </rPr>
      <t xml:space="preserve">1/2</t>
    </r>
  </si>
  <si>
    <t xml:space="preserve">31217182</t>
  </si>
  <si>
    <r>
      <rPr>
        <sz val="10"/>
        <rFont val="FreeSans"/>
        <family val="2"/>
      </rPr>
      <t xml:space="preserve">الکتروموتور          </t>
    </r>
    <r>
      <rPr>
        <sz val="10"/>
        <rFont val="Vazirmatn"/>
        <family val="0"/>
        <charset val="1"/>
      </rPr>
      <t xml:space="preserve">1/5KW   1400RPM</t>
    </r>
  </si>
  <si>
    <t xml:space="preserve">31217183</t>
  </si>
  <si>
    <t xml:space="preserve">الکترو پمپ روغن جک تیغه درام پریژل</t>
  </si>
  <si>
    <t xml:space="preserve">31217186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</si>
  <si>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55KW  3000RPM</t>
    </r>
  </si>
  <si>
    <t xml:space="preserve">31217188</t>
  </si>
  <si>
    <r>
      <rPr>
        <sz val="10"/>
        <rFont val="FreeSans"/>
        <family val="2"/>
      </rPr>
      <t xml:space="preserve">الکتروموتور   </t>
    </r>
    <r>
      <rPr>
        <sz val="10"/>
        <rFont val="Vazirmatn"/>
        <family val="0"/>
        <charset val="1"/>
      </rPr>
      <t xml:space="preserve">1400RPM   11KW</t>
    </r>
  </si>
  <si>
    <t xml:space="preserve">31217194</t>
  </si>
  <si>
    <r>
      <rPr>
        <sz val="10"/>
        <rFont val="FreeSans"/>
        <family val="2"/>
      </rPr>
      <t xml:space="preserve">الکتروموتور موتوژن چدنی </t>
    </r>
    <r>
      <rPr>
        <sz val="10"/>
        <rFont val="Vazirmatn"/>
        <family val="0"/>
        <charset val="1"/>
      </rPr>
      <t xml:space="preserve">160L4B 15KW  1500RPM</t>
    </r>
  </si>
  <si>
    <t xml:space="preserve">31217198</t>
  </si>
  <si>
    <r>
      <rPr>
        <sz val="10"/>
        <rFont val="FreeSans"/>
        <family val="2"/>
      </rPr>
      <t xml:space="preserve">پمپ کامل  </t>
    </r>
    <r>
      <rPr>
        <sz val="10"/>
        <rFont val="Vazirmatn"/>
        <family val="0"/>
        <charset val="1"/>
      </rPr>
      <t xml:space="preserve">IHD 125 - 100 - 315</t>
    </r>
  </si>
  <si>
    <t xml:space="preserve">31217205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</si>
  <si>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2/2KW 1450RPM</t>
    </r>
  </si>
  <si>
    <t xml:space="preserve">31217218</t>
  </si>
  <si>
    <r>
      <rPr>
        <sz val="10"/>
        <rFont val="FreeSans"/>
        <family val="2"/>
      </rPr>
      <t xml:space="preserve">الکترو گیربکس کتابی </t>
    </r>
    <r>
      <rPr>
        <sz val="10"/>
        <rFont val="Vazirmatn"/>
        <family val="0"/>
        <charset val="1"/>
      </rPr>
      <t xml:space="preserve">15   2/2KW   1400RPM</t>
    </r>
  </si>
  <si>
    <t xml:space="preserve">31217223</t>
  </si>
  <si>
    <r>
      <rPr>
        <sz val="10"/>
        <rFont val="FreeSans"/>
        <family val="2"/>
      </rPr>
      <t xml:space="preserve">گیربکس  </t>
    </r>
    <r>
      <rPr>
        <sz val="10"/>
        <rFont val="Vazirmatn"/>
        <family val="0"/>
        <charset val="1"/>
      </rPr>
      <t xml:space="preserve">SEW    260  RPM</t>
    </r>
  </si>
  <si>
    <t xml:space="preserve">31217225</t>
  </si>
  <si>
    <r>
      <rPr>
        <sz val="10"/>
        <rFont val="FreeSans"/>
        <family val="2"/>
      </rPr>
      <t xml:space="preserve">الکتروموتور          </t>
    </r>
    <r>
      <rPr>
        <sz val="10"/>
        <rFont val="Vazirmatn"/>
        <family val="0"/>
        <charset val="1"/>
      </rPr>
      <t xml:space="preserve">22KW   3000RPM</t>
    </r>
  </si>
  <si>
    <t xml:space="preserve">31217227</t>
  </si>
  <si>
    <r>
      <rPr>
        <sz val="10"/>
        <rFont val="FreeSans"/>
        <family val="2"/>
      </rPr>
      <t xml:space="preserve">گیربکس تخت گرجی  </t>
    </r>
    <r>
      <rPr>
        <sz val="10"/>
        <rFont val="Vazirmatn"/>
        <family val="0"/>
        <charset val="1"/>
      </rPr>
      <t xml:space="preserve">1 : SN1 : 7.3</t>
    </r>
  </si>
  <si>
    <t xml:space="preserve">31217228</t>
  </si>
  <si>
    <r>
      <rPr>
        <sz val="10"/>
        <rFont val="FreeSans"/>
        <family val="2"/>
      </rPr>
      <t xml:space="preserve">گیربکس دکانتور  </t>
    </r>
    <r>
      <rPr>
        <sz val="10"/>
        <rFont val="Vazirmatn"/>
        <family val="0"/>
        <charset val="1"/>
      </rPr>
      <t xml:space="preserve">030 - 3210 - 8655</t>
    </r>
  </si>
  <si>
    <t xml:space="preserve">31217229</t>
  </si>
  <si>
    <r>
      <rPr>
        <sz val="10"/>
        <rFont val="FreeSans"/>
        <family val="2"/>
      </rPr>
      <t xml:space="preserve">الکترو گیر بکس ایلماز     </t>
    </r>
    <r>
      <rPr>
        <sz val="10"/>
        <rFont val="Vazirmatn"/>
        <family val="0"/>
        <charset val="1"/>
      </rPr>
      <t xml:space="preserve">EN  063-00A09</t>
    </r>
  </si>
  <si>
    <t xml:space="preserve">31217231</t>
  </si>
  <si>
    <r>
      <rPr>
        <sz val="10"/>
        <rFont val="FreeSans"/>
        <family val="2"/>
      </rPr>
      <t xml:space="preserve">الکترو موتور </t>
    </r>
    <r>
      <rPr>
        <sz val="10"/>
        <rFont val="Vazirmatn"/>
        <family val="0"/>
        <charset val="1"/>
      </rPr>
      <t xml:space="preserve">18/5kw        1400 rpm</t>
    </r>
  </si>
  <si>
    <t xml:space="preserve">31217236</t>
  </si>
  <si>
    <r>
      <rPr>
        <sz val="10"/>
        <rFont val="FreeSans"/>
        <family val="2"/>
      </rPr>
      <t xml:space="preserve">گیربکس حلزونی  </t>
    </r>
    <r>
      <rPr>
        <sz val="10"/>
        <rFont val="Vazirmatn"/>
        <family val="0"/>
        <charset val="1"/>
      </rPr>
      <t xml:space="preserve">VF86  i=48</t>
    </r>
  </si>
  <si>
    <t xml:space="preserve">31217239</t>
  </si>
  <si>
    <r>
      <rPr>
        <sz val="10"/>
        <rFont val="FreeSans"/>
        <family val="2"/>
      </rPr>
      <t xml:space="preserve">سروموتور دیگ بخار  </t>
    </r>
    <r>
      <rPr>
        <sz val="10"/>
        <rFont val="Vazirmatn"/>
        <family val="0"/>
        <charset val="1"/>
      </rPr>
      <t xml:space="preserve">60  3W      TIME</t>
    </r>
  </si>
  <si>
    <t xml:space="preserve">31217242</t>
  </si>
  <si>
    <r>
      <rPr>
        <sz val="10"/>
        <rFont val="FreeSans"/>
        <family val="2"/>
      </rPr>
      <t xml:space="preserve">الکترو موتور  </t>
    </r>
    <r>
      <rPr>
        <sz val="10"/>
        <rFont val="Vazirmatn"/>
        <family val="0"/>
        <charset val="1"/>
      </rPr>
      <t xml:space="preserve">18/5KW - 1400 RPM</t>
    </r>
  </si>
  <si>
    <t xml:space="preserve">31217247</t>
  </si>
  <si>
    <r>
      <rPr>
        <sz val="10"/>
        <rFont val="FreeSans"/>
        <family val="2"/>
      </rPr>
      <t xml:space="preserve">الکتروموتور    </t>
    </r>
    <r>
      <rPr>
        <sz val="10"/>
        <rFont val="Vazirmatn"/>
        <family val="0"/>
        <charset val="1"/>
      </rPr>
      <t xml:space="preserve">2/2kw       1400 rpm</t>
    </r>
  </si>
  <si>
    <t xml:space="preserve">31217249</t>
  </si>
  <si>
    <r>
      <rPr>
        <sz val="10"/>
        <rFont val="FreeSans"/>
        <family val="2"/>
      </rPr>
      <t xml:space="preserve">الکتروموتور فلنجدار  </t>
    </r>
    <r>
      <rPr>
        <sz val="10"/>
        <rFont val="Vazirmatn"/>
        <family val="0"/>
        <charset val="1"/>
      </rPr>
      <t xml:space="preserve">5/5KW 1000RPM</t>
    </r>
  </si>
  <si>
    <t xml:space="preserve">31217260</t>
  </si>
  <si>
    <r>
      <rPr>
        <sz val="10"/>
        <rFont val="FreeSans"/>
        <family val="2"/>
      </rPr>
      <t xml:space="preserve">الکتروموتور          </t>
    </r>
    <r>
      <rPr>
        <sz val="10"/>
        <rFont val="Vazirmatn"/>
        <family val="0"/>
        <charset val="1"/>
      </rPr>
      <t xml:space="preserve">15KW   3000RPM</t>
    </r>
  </si>
  <si>
    <t xml:space="preserve">31217265</t>
  </si>
  <si>
    <r>
      <rPr>
        <sz val="10"/>
        <rFont val="FreeSans"/>
        <family val="2"/>
      </rPr>
      <t xml:space="preserve">الکتروموتور پایه دار چدنی  </t>
    </r>
    <r>
      <rPr>
        <sz val="10"/>
        <rFont val="Vazirmatn"/>
        <family val="0"/>
        <charset val="1"/>
      </rPr>
      <t xml:space="preserve">45KW   1400RPM</t>
    </r>
  </si>
  <si>
    <t xml:space="preserve">31217275</t>
  </si>
  <si>
    <r>
      <rPr>
        <sz val="10"/>
        <rFont val="FreeSans"/>
        <family val="2"/>
      </rPr>
      <t xml:space="preserve">الکتروگیربکس  </t>
    </r>
    <r>
      <rPr>
        <sz val="10"/>
        <rFont val="Vazirmatn"/>
        <family val="0"/>
        <charset val="1"/>
      </rPr>
      <t xml:space="preserve">7/5kw    100rpm</t>
    </r>
  </si>
  <si>
    <t xml:space="preserve">31217277</t>
  </si>
  <si>
    <r>
      <rPr>
        <sz val="10"/>
        <rFont val="FreeSans"/>
        <family val="2"/>
      </rPr>
      <t xml:space="preserve">الکتروموتور          </t>
    </r>
    <r>
      <rPr>
        <sz val="10"/>
        <rFont val="Vazirmatn"/>
        <family val="0"/>
        <charset val="1"/>
      </rPr>
      <t xml:space="preserve">1/1KW   1400RPM</t>
    </r>
  </si>
  <si>
    <t xml:space="preserve">31217284</t>
  </si>
  <si>
    <r>
      <rPr>
        <sz val="10"/>
        <rFont val="FreeSans"/>
        <family val="2"/>
      </rPr>
      <t xml:space="preserve">پمپ ایران بدون شاسی و موتور   </t>
    </r>
    <r>
      <rPr>
        <sz val="10"/>
        <rFont val="Vazirmatn"/>
        <family val="0"/>
        <charset val="1"/>
      </rPr>
      <t xml:space="preserve">160 - 50</t>
    </r>
  </si>
  <si>
    <t xml:space="preserve">31217295</t>
  </si>
  <si>
    <r>
      <rPr>
        <sz val="10"/>
        <rFont val="FreeSans"/>
        <family val="2"/>
      </rPr>
      <t xml:space="preserve">الکتروموتور پمپ ایران   </t>
    </r>
    <r>
      <rPr>
        <sz val="10"/>
        <rFont val="Vazirmatn"/>
        <family val="0"/>
        <charset val="1"/>
      </rPr>
      <t xml:space="preserve">200 - 65</t>
    </r>
  </si>
  <si>
    <t xml:space="preserve">31217297</t>
  </si>
  <si>
    <r>
      <rPr>
        <sz val="10"/>
        <rFont val="FreeSans"/>
        <family val="2"/>
      </rPr>
      <t xml:space="preserve">گیربکس درام اکسید       </t>
    </r>
    <r>
      <rPr>
        <sz val="10"/>
        <rFont val="Vazirmatn"/>
        <family val="0"/>
        <charset val="1"/>
      </rPr>
      <t xml:space="preserve">Y1530 ZLY224-20-I</t>
    </r>
  </si>
  <si>
    <t xml:space="preserve">31217299</t>
  </si>
  <si>
    <r>
      <rPr>
        <sz val="10"/>
        <rFont val="FreeSans"/>
        <family val="2"/>
      </rPr>
      <t xml:space="preserve">الکترو پمپ بشقابی مدل </t>
    </r>
    <r>
      <rPr>
        <sz val="10"/>
        <rFont val="Vazirmatn"/>
        <family val="0"/>
        <charset val="1"/>
      </rPr>
      <t xml:space="preserve">170    1/1KW</t>
    </r>
  </si>
  <si>
    <t xml:space="preserve">31217312</t>
  </si>
  <si>
    <r>
      <rPr>
        <sz val="10"/>
        <rFont val="FreeSans"/>
        <family val="2"/>
      </rPr>
      <t xml:space="preserve">الکترو پمپ ضد اسید</t>
    </r>
    <r>
      <rPr>
        <sz val="10"/>
        <rFont val="Vazirmatn"/>
        <family val="0"/>
        <charset val="1"/>
      </rPr>
      <t xml:space="preserve">AMP - N 40 - 150 2/2KW 2900RPM</t>
    </r>
  </si>
  <si>
    <t xml:space="preserve">31217314</t>
  </si>
  <si>
    <r>
      <rPr>
        <sz val="10"/>
        <rFont val="FreeSans"/>
        <family val="2"/>
      </rPr>
      <t xml:space="preserve">پمپ کامل </t>
    </r>
    <r>
      <rPr>
        <sz val="10"/>
        <rFont val="Vazirmatn"/>
        <family val="0"/>
        <charset val="1"/>
      </rPr>
      <t xml:space="preserve">IHD 100-65-450</t>
    </r>
  </si>
  <si>
    <t xml:space="preserve">31217318</t>
  </si>
  <si>
    <t xml:space="preserve">پمپ تخلیه روغن بشکه کش</t>
  </si>
  <si>
    <t xml:space="preserve">31217319</t>
  </si>
  <si>
    <r>
      <rPr>
        <sz val="10"/>
        <rFont val="FreeSans"/>
        <family val="2"/>
      </rPr>
      <t xml:space="preserve">پمپ کامل  </t>
    </r>
    <r>
      <rPr>
        <sz val="10"/>
        <rFont val="Vazirmatn"/>
        <family val="0"/>
        <charset val="1"/>
      </rPr>
      <t xml:space="preserve">IHD 50-32-200</t>
    </r>
  </si>
  <si>
    <t xml:space="preserve">31217320</t>
  </si>
  <si>
    <r>
      <rPr>
        <sz val="10"/>
        <rFont val="FreeSans"/>
        <family val="2"/>
      </rPr>
      <t xml:space="preserve">پمپ  کامل  </t>
    </r>
    <r>
      <rPr>
        <sz val="10"/>
        <rFont val="Vazirmatn"/>
        <family val="0"/>
        <charset val="1"/>
      </rPr>
      <t xml:space="preserve">IHD 65-50-125</t>
    </r>
  </si>
  <si>
    <t xml:space="preserve">31217335</t>
  </si>
  <si>
    <r>
      <rPr>
        <sz val="10"/>
        <rFont val="FreeSans"/>
        <family val="2"/>
      </rPr>
      <t xml:space="preserve">پمپ باز  </t>
    </r>
    <r>
      <rPr>
        <sz val="10"/>
        <rFont val="Vazirmatn"/>
        <family val="0"/>
        <charset val="1"/>
      </rPr>
      <t xml:space="preserve">IHD 50 - 32 - 125</t>
    </r>
  </si>
  <si>
    <t xml:space="preserve">31217344</t>
  </si>
  <si>
    <t xml:space="preserve">پمپ کارواش</t>
  </si>
  <si>
    <t xml:space="preserve">31217345</t>
  </si>
  <si>
    <r>
      <rPr>
        <sz val="10"/>
        <rFont val="FreeSans"/>
        <family val="2"/>
      </rPr>
      <t xml:space="preserve">پمپ ایران   </t>
    </r>
    <r>
      <rPr>
        <sz val="10"/>
        <rFont val="Vazirmatn"/>
        <family val="0"/>
        <charset val="1"/>
      </rPr>
      <t xml:space="preserve">160   -  50</t>
    </r>
  </si>
  <si>
    <t xml:space="preserve">31217347</t>
  </si>
  <si>
    <r>
      <rPr>
        <sz val="10"/>
        <rFont val="FreeSans"/>
        <family val="2"/>
      </rPr>
      <t xml:space="preserve">منو پمپ بهلول      </t>
    </r>
    <r>
      <rPr>
        <sz val="10"/>
        <rFont val="Vazirmatn"/>
        <family val="0"/>
        <charset val="1"/>
      </rPr>
      <t xml:space="preserve">A - 60</t>
    </r>
  </si>
  <si>
    <t xml:space="preserve">31217348</t>
  </si>
  <si>
    <r>
      <rPr>
        <sz val="10"/>
        <rFont val="FreeSans"/>
        <family val="2"/>
      </rPr>
      <t xml:space="preserve">پمپ ایران </t>
    </r>
    <r>
      <rPr>
        <sz val="10"/>
        <rFont val="Vazirmatn"/>
        <family val="0"/>
        <charset val="1"/>
      </rPr>
      <t xml:space="preserve">250 - 50</t>
    </r>
  </si>
  <si>
    <t xml:space="preserve">31217357</t>
  </si>
  <si>
    <r>
      <rPr>
        <sz val="10"/>
        <rFont val="FreeSans"/>
        <family val="2"/>
      </rPr>
      <t xml:space="preserve">پمپ کامل  </t>
    </r>
    <r>
      <rPr>
        <sz val="10"/>
        <rFont val="Vazirmatn"/>
        <family val="0"/>
        <charset val="1"/>
      </rPr>
      <t xml:space="preserve">IHD 50-32-160</t>
    </r>
  </si>
  <si>
    <t xml:space="preserve">31217374</t>
  </si>
  <si>
    <r>
      <rPr>
        <sz val="10"/>
        <rFont val="FreeSans"/>
        <family val="2"/>
      </rPr>
      <t xml:space="preserve">پمپ کامل  </t>
    </r>
    <r>
      <rPr>
        <sz val="10"/>
        <rFont val="Vazirmatn"/>
        <family val="0"/>
        <charset val="1"/>
      </rPr>
      <t xml:space="preserve">KHZ 50-32-160</t>
    </r>
  </si>
  <si>
    <t xml:space="preserve">31217377</t>
  </si>
  <si>
    <r>
      <rPr>
        <sz val="10"/>
        <rFont val="FreeSans"/>
        <family val="2"/>
      </rPr>
      <t xml:space="preserve">پمپ کامل  </t>
    </r>
    <r>
      <rPr>
        <sz val="10"/>
        <rFont val="Vazirmatn"/>
        <family val="0"/>
        <charset val="1"/>
      </rPr>
      <t xml:space="preserve">KHZ 80-65-200</t>
    </r>
  </si>
  <si>
    <t xml:space="preserve">31217381</t>
  </si>
  <si>
    <r>
      <rPr>
        <sz val="10"/>
        <rFont val="FreeSans"/>
        <family val="2"/>
      </rPr>
      <t xml:space="preserve">ویبره بوجاری   </t>
    </r>
    <r>
      <rPr>
        <sz val="10"/>
        <rFont val="Vazirmatn"/>
        <family val="0"/>
        <charset val="1"/>
      </rPr>
      <t xml:space="preserve">/3 KW0      700205</t>
    </r>
  </si>
  <si>
    <t xml:space="preserve">31217388</t>
  </si>
  <si>
    <t xml:space="preserve">پمپ لجن کش</t>
  </si>
  <si>
    <t xml:space="preserve">31217389</t>
  </si>
  <si>
    <r>
      <rPr>
        <sz val="10"/>
        <rFont val="FreeSans"/>
        <family val="2"/>
      </rPr>
      <t xml:space="preserve">روتاری با الکتروموتور    </t>
    </r>
    <r>
      <rPr>
        <sz val="10"/>
        <rFont val="Vazirmatn"/>
        <family val="0"/>
        <charset val="1"/>
      </rPr>
      <t xml:space="preserve">0/55KW - 1400RPM</t>
    </r>
  </si>
  <si>
    <t xml:space="preserve">31217390</t>
  </si>
  <si>
    <r>
      <rPr>
        <sz val="10"/>
        <rFont val="FreeSans"/>
        <family val="2"/>
      </rPr>
      <t xml:space="preserve">روتاری </t>
    </r>
    <r>
      <rPr>
        <sz val="10"/>
        <rFont val="Vazirmatn"/>
        <family val="0"/>
        <charset val="1"/>
      </rPr>
      <t xml:space="preserve">AIR LOK  GFWZB-24HT250</t>
    </r>
  </si>
  <si>
    <t xml:space="preserve">31217396</t>
  </si>
  <si>
    <r>
      <rPr>
        <sz val="10"/>
        <rFont val="FreeSans"/>
        <family val="2"/>
      </rPr>
      <t xml:space="preserve">روتور فلومتر </t>
    </r>
    <r>
      <rPr>
        <sz val="10"/>
        <rFont val="Vazirmatn"/>
        <family val="0"/>
        <charset val="1"/>
      </rPr>
      <t xml:space="preserve">" 2</t>
    </r>
  </si>
  <si>
    <t xml:space="preserve">31217399</t>
  </si>
  <si>
    <r>
      <rPr>
        <sz val="10"/>
        <rFont val="FreeSans"/>
        <family val="2"/>
      </rPr>
      <t xml:space="preserve">پمپ طبقاتی  </t>
    </r>
    <r>
      <rPr>
        <sz val="10"/>
        <rFont val="Vazirmatn"/>
        <family val="0"/>
        <charset val="1"/>
      </rPr>
      <t xml:space="preserve">CDL32-20FSWP</t>
    </r>
  </si>
  <si>
    <t xml:space="preserve">31217400</t>
  </si>
  <si>
    <r>
      <rPr>
        <sz val="10"/>
        <rFont val="FreeSans"/>
        <family val="2"/>
      </rPr>
      <t xml:space="preserve">پمپ طبقاتی  </t>
    </r>
    <r>
      <rPr>
        <sz val="10"/>
        <rFont val="Vazirmatn"/>
        <family val="0"/>
        <charset val="1"/>
      </rPr>
      <t xml:space="preserve">CDL32-90FSWP</t>
    </r>
  </si>
  <si>
    <t xml:space="preserve">31217401</t>
  </si>
  <si>
    <r>
      <rPr>
        <sz val="10"/>
        <rFont val="FreeSans"/>
        <family val="2"/>
      </rPr>
      <t xml:space="preserve">پمپ طبقاتی  </t>
    </r>
    <r>
      <rPr>
        <sz val="10"/>
        <rFont val="Vazirmatn"/>
        <family val="0"/>
        <charset val="1"/>
      </rPr>
      <t xml:space="preserve">CDL20-14FSWP</t>
    </r>
  </si>
  <si>
    <t xml:space="preserve">31217402</t>
  </si>
  <si>
    <r>
      <rPr>
        <sz val="10"/>
        <rFont val="FreeSans"/>
        <family val="2"/>
      </rPr>
      <t xml:space="preserve">پمپ طبقاتی   </t>
    </r>
    <r>
      <rPr>
        <sz val="10"/>
        <rFont val="Vazirmatn"/>
        <family val="0"/>
        <charset val="1"/>
      </rPr>
      <t xml:space="preserve">CDL32-20FSWP</t>
    </r>
  </si>
  <si>
    <t xml:space="preserve">31217412</t>
  </si>
  <si>
    <r>
      <rPr>
        <sz val="10"/>
        <rFont val="FreeSans"/>
        <family val="2"/>
      </rPr>
      <t xml:space="preserve">الکترو پمپ   </t>
    </r>
    <r>
      <rPr>
        <sz val="10"/>
        <rFont val="Vazirmatn"/>
        <family val="0"/>
        <charset val="1"/>
      </rPr>
      <t xml:space="preserve">30KW</t>
    </r>
  </si>
  <si>
    <t xml:space="preserve">31217414</t>
  </si>
  <si>
    <r>
      <rPr>
        <sz val="10"/>
        <rFont val="FreeSans"/>
        <family val="2"/>
      </rPr>
      <t xml:space="preserve">الکترو پمپ   </t>
    </r>
    <r>
      <rPr>
        <sz val="10"/>
        <rFont val="Vazirmatn"/>
        <family val="0"/>
        <charset val="1"/>
      </rPr>
      <t xml:space="preserve">5/5KW  3000RPM</t>
    </r>
  </si>
  <si>
    <t xml:space="preserve">31217416</t>
  </si>
  <si>
    <r>
      <rPr>
        <sz val="10"/>
        <rFont val="FreeSans"/>
        <family val="2"/>
      </rPr>
      <t xml:space="preserve">پمپ ایران </t>
    </r>
    <r>
      <rPr>
        <sz val="10"/>
        <rFont val="Vazirmatn"/>
        <family val="0"/>
        <charset val="1"/>
      </rPr>
      <t xml:space="preserve">300-50</t>
    </r>
  </si>
  <si>
    <t xml:space="preserve">31217427</t>
  </si>
  <si>
    <r>
      <rPr>
        <sz val="10"/>
        <rFont val="FreeSans"/>
        <family val="2"/>
      </rPr>
      <t xml:space="preserve">پمپ ایران  </t>
    </r>
    <r>
      <rPr>
        <sz val="10"/>
        <rFont val="Vazirmatn"/>
        <family val="0"/>
        <charset val="1"/>
      </rPr>
      <t xml:space="preserve">250-50</t>
    </r>
  </si>
  <si>
    <t xml:space="preserve">31217431</t>
  </si>
  <si>
    <t xml:space="preserve">پمپ کف کش</t>
  </si>
  <si>
    <t xml:space="preserve">31217436</t>
  </si>
  <si>
    <r>
      <rPr>
        <sz val="10"/>
        <rFont val="FreeSans"/>
        <family val="2"/>
      </rPr>
      <t xml:space="preserve">پمپ بدون شاسی وموتور </t>
    </r>
    <r>
      <rPr>
        <sz val="10"/>
        <rFont val="Vazirmatn"/>
        <family val="0"/>
        <charset val="1"/>
      </rPr>
      <t xml:space="preserve">315 - 125 - 150 KPW</t>
    </r>
  </si>
  <si>
    <t xml:space="preserve">31217437</t>
  </si>
  <si>
    <r>
      <rPr>
        <sz val="10"/>
        <rFont val="FreeSans"/>
        <family val="2"/>
      </rPr>
      <t xml:space="preserve">پمپ بدون شاسی وموتور </t>
    </r>
    <r>
      <rPr>
        <sz val="10"/>
        <rFont val="Vazirmatn"/>
        <family val="0"/>
        <charset val="1"/>
      </rPr>
      <t xml:space="preserve">400 - 125 - 150 KPW</t>
    </r>
  </si>
  <si>
    <t xml:space="preserve">31217438</t>
  </si>
  <si>
    <r>
      <rPr>
        <sz val="10"/>
        <rFont val="FreeSans"/>
        <family val="2"/>
      </rPr>
      <t xml:space="preserve">پمپ بدون شاسی وموتور </t>
    </r>
    <r>
      <rPr>
        <sz val="10"/>
        <rFont val="Vazirmatn"/>
        <family val="0"/>
        <charset val="1"/>
      </rPr>
      <t xml:space="preserve">400 - 100 - 125 KPW</t>
    </r>
  </si>
  <si>
    <t xml:space="preserve">31217439</t>
  </si>
  <si>
    <r>
      <rPr>
        <sz val="10"/>
        <rFont val="FreeSans"/>
        <family val="2"/>
      </rPr>
      <t xml:space="preserve">پمپ بدون شاسی وموتور </t>
    </r>
    <r>
      <rPr>
        <sz val="10"/>
        <rFont val="Vazirmatn"/>
        <family val="0"/>
        <charset val="1"/>
      </rPr>
      <t xml:space="preserve">315 - 100 - 125 KPW</t>
    </r>
  </si>
  <si>
    <t xml:space="preserve">31217440</t>
  </si>
  <si>
    <r>
      <rPr>
        <sz val="10"/>
        <rFont val="FreeSans"/>
        <family val="2"/>
      </rPr>
      <t xml:space="preserve">پمپ بدون شاسی وموتور </t>
    </r>
    <r>
      <rPr>
        <sz val="10"/>
        <rFont val="Vazirmatn"/>
        <family val="0"/>
        <charset val="1"/>
      </rPr>
      <t xml:space="preserve">250 - 100 - 125 KPW</t>
    </r>
  </si>
  <si>
    <t xml:space="preserve">31217441</t>
  </si>
  <si>
    <r>
      <rPr>
        <sz val="10"/>
        <rFont val="FreeSans"/>
        <family val="2"/>
      </rPr>
      <t xml:space="preserve">پمپ بدون شاسی وموتور </t>
    </r>
    <r>
      <rPr>
        <sz val="10"/>
        <rFont val="Vazirmatn"/>
        <family val="0"/>
        <charset val="1"/>
      </rPr>
      <t xml:space="preserve">250 - 100 - 125 IHD</t>
    </r>
  </si>
  <si>
    <t xml:space="preserve">31217442</t>
  </si>
  <si>
    <r>
      <rPr>
        <sz val="10"/>
        <rFont val="FreeSans"/>
        <family val="2"/>
      </rPr>
      <t xml:space="preserve">پمپ بدون شاسی وموتور </t>
    </r>
    <r>
      <rPr>
        <sz val="10"/>
        <rFont val="Vazirmatn"/>
        <family val="0"/>
        <charset val="1"/>
      </rPr>
      <t xml:space="preserve">315 - 125 - 150 IHD</t>
    </r>
  </si>
  <si>
    <t xml:space="preserve">31217443</t>
  </si>
  <si>
    <r>
      <rPr>
        <sz val="10"/>
        <rFont val="FreeSans"/>
        <family val="2"/>
      </rPr>
      <t xml:space="preserve">پمپ بدون شاسی وموتور </t>
    </r>
    <r>
      <rPr>
        <sz val="10"/>
        <rFont val="Vazirmatn"/>
        <family val="0"/>
        <charset val="1"/>
      </rPr>
      <t xml:space="preserve">450 - 100 - 125 IHD</t>
    </r>
  </si>
  <si>
    <t xml:space="preserve">31217448</t>
  </si>
  <si>
    <r>
      <rPr>
        <sz val="10"/>
        <rFont val="FreeSans"/>
        <family val="2"/>
      </rPr>
      <t xml:space="preserve">دوزینگ پمپ </t>
    </r>
    <r>
      <rPr>
        <sz val="10"/>
        <rFont val="Vazirmatn"/>
        <family val="0"/>
        <charset val="1"/>
      </rPr>
      <t xml:space="preserve">P 2201</t>
    </r>
  </si>
  <si>
    <t xml:space="preserve">31217451</t>
  </si>
  <si>
    <r>
      <rPr>
        <sz val="10"/>
        <rFont val="FreeSans"/>
        <family val="2"/>
      </rPr>
      <t xml:space="preserve">دوزینگ پمپ  </t>
    </r>
    <r>
      <rPr>
        <sz val="10"/>
        <rFont val="Vazirmatn"/>
        <family val="0"/>
        <charset val="1"/>
      </rPr>
      <t xml:space="preserve">29E38388E</t>
    </r>
  </si>
  <si>
    <t xml:space="preserve">31217454</t>
  </si>
  <si>
    <r>
      <rPr>
        <sz val="10"/>
        <rFont val="FreeSans"/>
        <family val="2"/>
      </rPr>
      <t xml:space="preserve">دوزینگ پمپ  </t>
    </r>
    <r>
      <rPr>
        <sz val="10"/>
        <rFont val="Vazirmatn"/>
        <family val="0"/>
        <charset val="1"/>
      </rPr>
      <t xml:space="preserve">190728</t>
    </r>
  </si>
  <si>
    <t xml:space="preserve">31217456</t>
  </si>
  <si>
    <r>
      <rPr>
        <sz val="10"/>
        <rFont val="FreeSans"/>
        <family val="2"/>
      </rPr>
      <t xml:space="preserve">دوزینگ پمپ   </t>
    </r>
    <r>
      <rPr>
        <sz val="10"/>
        <rFont val="Vazirmatn"/>
        <family val="0"/>
        <charset val="1"/>
      </rPr>
      <t xml:space="preserve">190734</t>
    </r>
  </si>
  <si>
    <t xml:space="preserve">31217457</t>
  </si>
  <si>
    <r>
      <rPr>
        <sz val="10"/>
        <rFont val="FreeSans"/>
        <family val="2"/>
      </rPr>
      <t xml:space="preserve">دوزینگ پمپ </t>
    </r>
    <r>
      <rPr>
        <sz val="10"/>
        <rFont val="Vazirmatn"/>
        <family val="0"/>
        <charset val="1"/>
      </rPr>
      <t xml:space="preserve">40W 100-240V 2bar 62 1/h  4-20mA</t>
    </r>
  </si>
  <si>
    <t xml:space="preserve">31217471</t>
  </si>
  <si>
    <r>
      <rPr>
        <sz val="10"/>
        <rFont val="FreeSans"/>
        <family val="2"/>
      </rPr>
      <t xml:space="preserve">وارنیش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عایق حرارتی</t>
    </r>
    <r>
      <rPr>
        <sz val="10"/>
        <rFont val="Vazirmatn"/>
        <family val="0"/>
        <charset val="1"/>
      </rPr>
      <t xml:space="preserve">)          7MM</t>
    </r>
  </si>
  <si>
    <t xml:space="preserve">31217474</t>
  </si>
  <si>
    <r>
      <rPr>
        <sz val="10"/>
        <rFont val="FreeSans"/>
        <family val="2"/>
      </rPr>
      <t xml:space="preserve">وارنیش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عایق حرارتی</t>
    </r>
    <r>
      <rPr>
        <sz val="10"/>
        <rFont val="Vazirmatn"/>
        <family val="0"/>
        <charset val="1"/>
      </rPr>
      <t xml:space="preserve">)          10MM</t>
    </r>
  </si>
  <si>
    <t xml:space="preserve">31217479</t>
  </si>
  <si>
    <r>
      <rPr>
        <sz val="10"/>
        <rFont val="FreeSans"/>
        <family val="2"/>
      </rPr>
      <t xml:space="preserve">وارنیش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عایق حرارتی</t>
    </r>
    <r>
      <rPr>
        <sz val="10"/>
        <rFont val="Vazirmatn"/>
        <family val="0"/>
        <charset val="1"/>
      </rPr>
      <t xml:space="preserve">)            20MM</t>
    </r>
  </si>
  <si>
    <t xml:space="preserve">31217488</t>
  </si>
  <si>
    <r>
      <rPr>
        <sz val="10"/>
        <rFont val="FreeSans"/>
        <family val="2"/>
      </rPr>
      <t xml:space="preserve">وارنیش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عایق حرارتی</t>
    </r>
    <r>
      <rPr>
        <sz val="10"/>
        <rFont val="Vazirmatn"/>
        <family val="0"/>
        <charset val="1"/>
      </rPr>
      <t xml:space="preserve">)          5MM</t>
    </r>
  </si>
  <si>
    <t xml:space="preserve">31217490</t>
  </si>
  <si>
    <r>
      <rPr>
        <sz val="10"/>
        <rFont val="FreeSans"/>
        <family val="2"/>
      </rPr>
      <t xml:space="preserve">پمپ ایران بدون موتور و شاسی </t>
    </r>
    <r>
      <rPr>
        <sz val="10"/>
        <rFont val="Vazirmatn"/>
        <family val="0"/>
        <charset val="1"/>
      </rPr>
      <t xml:space="preserve">200 - 65</t>
    </r>
  </si>
  <si>
    <t xml:space="preserve">31217492</t>
  </si>
  <si>
    <r>
      <rPr>
        <sz val="10"/>
        <rFont val="FreeSans"/>
        <family val="2"/>
      </rPr>
      <t xml:space="preserve">الکتروموتور            </t>
    </r>
    <r>
      <rPr>
        <sz val="10"/>
        <rFont val="Vazirmatn"/>
        <family val="0"/>
        <charset val="1"/>
      </rPr>
      <t xml:space="preserve">4KW   1400RPM</t>
    </r>
  </si>
  <si>
    <t xml:space="preserve">31217498</t>
  </si>
  <si>
    <r>
      <rPr>
        <sz val="10"/>
        <rFont val="FreeSans"/>
        <family val="2"/>
      </rPr>
      <t xml:space="preserve">الکتروموتور آلومینیومی   </t>
    </r>
    <r>
      <rPr>
        <sz val="10"/>
        <rFont val="Vazirmatn"/>
        <family val="0"/>
        <charset val="1"/>
      </rPr>
      <t xml:space="preserve">2/2KW  3000RPM</t>
    </r>
  </si>
  <si>
    <t xml:space="preserve">31217506</t>
  </si>
  <si>
    <r>
      <rPr>
        <sz val="10"/>
        <rFont val="FreeSans"/>
        <family val="2"/>
      </rPr>
      <t xml:space="preserve">پمپ گازوئیل مشعل همورتی </t>
    </r>
    <r>
      <rPr>
        <sz val="10"/>
        <rFont val="Vazirmatn"/>
        <family val="0"/>
        <charset val="1"/>
      </rPr>
      <t xml:space="preserve">AWD 22 </t>
    </r>
    <r>
      <rPr>
        <sz val="10"/>
        <rFont val="FreeSans"/>
        <family val="2"/>
      </rPr>
      <t xml:space="preserve">سری قدیم</t>
    </r>
  </si>
  <si>
    <t xml:space="preserve">31217507</t>
  </si>
  <si>
    <r>
      <rPr>
        <sz val="10"/>
        <rFont val="FreeSans"/>
        <family val="2"/>
      </rPr>
      <t xml:space="preserve">پمپ اسید </t>
    </r>
    <r>
      <rPr>
        <sz val="10"/>
        <rFont val="Vazirmatn"/>
        <family val="0"/>
        <charset val="1"/>
      </rPr>
      <t xml:space="preserve">AMP - N 40 - 150 2/2KW 2900RPM</t>
    </r>
  </si>
  <si>
    <t xml:space="preserve">31217511</t>
  </si>
  <si>
    <r>
      <rPr>
        <sz val="10"/>
        <rFont val="FreeSans"/>
        <family val="2"/>
      </rPr>
      <t xml:space="preserve">الکترو گیر بکس پارس گرجی </t>
    </r>
    <r>
      <rPr>
        <sz val="10"/>
        <rFont val="Vazirmatn"/>
        <family val="0"/>
        <charset val="1"/>
      </rPr>
      <t xml:space="preserve">2/2KW -1450RPM</t>
    </r>
  </si>
  <si>
    <t xml:space="preserve">31217512</t>
  </si>
  <si>
    <r>
      <rPr>
        <sz val="10"/>
        <rFont val="FreeSans"/>
        <family val="2"/>
      </rPr>
      <t xml:space="preserve">الکتروموتور چدنی موتوژن پایه دار بدون فلنج  </t>
    </r>
    <r>
      <rPr>
        <sz val="10"/>
        <rFont val="Vazirmatn"/>
        <family val="0"/>
        <charset val="1"/>
      </rPr>
      <t xml:space="preserve">30KW   1500RPM</t>
    </r>
  </si>
  <si>
    <t xml:space="preserve">31217514</t>
  </si>
  <si>
    <r>
      <rPr>
        <sz val="10"/>
        <rFont val="FreeSans"/>
        <family val="2"/>
      </rPr>
      <t xml:space="preserve">پمپ ایران بدون موتور و شاسی </t>
    </r>
    <r>
      <rPr>
        <sz val="10"/>
        <rFont val="Vazirmatn"/>
        <family val="0"/>
        <charset val="1"/>
      </rPr>
      <t xml:space="preserve">200 - 50</t>
    </r>
  </si>
  <si>
    <t xml:space="preserve">31217515</t>
  </si>
  <si>
    <r>
      <rPr>
        <sz val="10"/>
        <rFont val="FreeSans"/>
        <family val="2"/>
      </rPr>
      <t xml:space="preserve">الکتروموتور        </t>
    </r>
    <r>
      <rPr>
        <sz val="10"/>
        <rFont val="Vazirmatn"/>
        <family val="0"/>
        <charset val="1"/>
      </rPr>
      <t xml:space="preserve">55KW  1475RPM</t>
    </r>
  </si>
  <si>
    <t xml:space="preserve">31217516</t>
  </si>
  <si>
    <r>
      <rPr>
        <sz val="10"/>
        <rFont val="FreeSans"/>
        <family val="2"/>
      </rPr>
      <t xml:space="preserve">الکتروموتور        </t>
    </r>
    <r>
      <rPr>
        <sz val="10"/>
        <rFont val="Vazirmatn"/>
        <family val="0"/>
        <charset val="1"/>
      </rPr>
      <t xml:space="preserve">22KW  1460RPM</t>
    </r>
  </si>
  <si>
    <t xml:space="preserve">31217517</t>
  </si>
  <si>
    <r>
      <rPr>
        <sz val="10"/>
        <rFont val="FreeSans"/>
        <family val="2"/>
      </rPr>
      <t xml:space="preserve">پمپ دنده ای استیل </t>
    </r>
    <r>
      <rPr>
        <sz val="10"/>
        <rFont val="Vazirmatn"/>
        <family val="0"/>
        <charset val="1"/>
      </rPr>
      <t xml:space="preserve">720RPM 5AT  GF:10  60m3/h</t>
    </r>
  </si>
  <si>
    <t xml:space="preserve">31217523</t>
  </si>
  <si>
    <r>
      <rPr>
        <sz val="10"/>
        <rFont val="FreeSans"/>
        <family val="2"/>
      </rPr>
      <t xml:space="preserve">الکتروموتور چدنی فلنجدار  </t>
    </r>
    <r>
      <rPr>
        <sz val="10"/>
        <rFont val="Vazirmatn"/>
        <family val="0"/>
        <charset val="1"/>
      </rPr>
      <t xml:space="preserve">18/5KW 1400RPM</t>
    </r>
  </si>
  <si>
    <t xml:space="preserve">31217525</t>
  </si>
  <si>
    <r>
      <rPr>
        <sz val="10"/>
        <rFont val="FreeSans"/>
        <family val="2"/>
      </rPr>
      <t xml:space="preserve">پمپ ایران بدون شاسی و موتور  </t>
    </r>
    <r>
      <rPr>
        <sz val="10"/>
        <rFont val="Vazirmatn"/>
        <family val="0"/>
        <charset val="1"/>
      </rPr>
      <t xml:space="preserve">160 - 50</t>
    </r>
  </si>
  <si>
    <t xml:space="preserve">31217526</t>
  </si>
  <si>
    <r>
      <rPr>
        <sz val="10"/>
        <rFont val="FreeSans"/>
        <family val="2"/>
      </rPr>
      <t xml:space="preserve">پمپ ایران بدون شاسی و موتور  </t>
    </r>
    <r>
      <rPr>
        <sz val="10"/>
        <rFont val="Vazirmatn"/>
        <family val="0"/>
        <charset val="1"/>
      </rPr>
      <t xml:space="preserve">160 - 32</t>
    </r>
  </si>
  <si>
    <t xml:space="preserve">31217527</t>
  </si>
  <si>
    <r>
      <rPr>
        <sz val="10"/>
        <rFont val="FreeSans"/>
        <family val="2"/>
      </rPr>
      <t xml:space="preserve">روتور مونو پمپ  </t>
    </r>
    <r>
      <rPr>
        <sz val="10"/>
        <rFont val="Vazirmatn"/>
        <family val="0"/>
        <charset val="1"/>
      </rPr>
      <t xml:space="preserve">NM 063 BY  6bar</t>
    </r>
  </si>
  <si>
    <t xml:space="preserve">31217528</t>
  </si>
  <si>
    <r>
      <rPr>
        <sz val="10"/>
        <rFont val="FreeSans"/>
        <family val="2"/>
      </rPr>
      <t xml:space="preserve">الکتروموتور موتوژن فلنجدار  </t>
    </r>
    <r>
      <rPr>
        <sz val="10"/>
        <rFont val="Vazirmatn"/>
        <family val="0"/>
        <charset val="1"/>
      </rPr>
      <t xml:space="preserve">22KW 3000RPM</t>
    </r>
  </si>
  <si>
    <t xml:space="preserve">31217529</t>
  </si>
  <si>
    <r>
      <rPr>
        <sz val="10"/>
        <rFont val="FreeSans"/>
        <family val="2"/>
      </rPr>
      <t xml:space="preserve">پمپ بدون شاسی وموتور </t>
    </r>
    <r>
      <rPr>
        <sz val="10"/>
        <rFont val="Vazirmatn"/>
        <family val="0"/>
        <charset val="1"/>
      </rPr>
      <t xml:space="preserve">250 - 50 - 65 IHD</t>
    </r>
  </si>
  <si>
    <t xml:space="preserve">31217534</t>
  </si>
  <si>
    <r>
      <rPr>
        <sz val="10"/>
        <rFont val="FreeSans"/>
        <family val="2"/>
      </rPr>
      <t xml:space="preserve">پمپ ایران بدون موتور و شاسی </t>
    </r>
    <r>
      <rPr>
        <sz val="10"/>
        <rFont val="Vazirmatn"/>
        <family val="0"/>
        <charset val="1"/>
      </rPr>
      <t xml:space="preserve">200 - 100</t>
    </r>
  </si>
  <si>
    <t xml:space="preserve">31217536</t>
  </si>
  <si>
    <r>
      <rPr>
        <sz val="10"/>
        <rFont val="FreeSans"/>
        <family val="2"/>
      </rPr>
      <t xml:space="preserve">سرو موتور استانداردکسل </t>
    </r>
    <r>
      <rPr>
        <sz val="10"/>
        <rFont val="Vazirmatn"/>
        <family val="0"/>
        <charset val="1"/>
      </rPr>
      <t xml:space="preserve">110V</t>
    </r>
  </si>
  <si>
    <t xml:space="preserve">31217537</t>
  </si>
  <si>
    <r>
      <rPr>
        <sz val="10"/>
        <rFont val="FreeSans"/>
        <family val="2"/>
      </rPr>
      <t xml:space="preserve">سرو موتور دیگ بخار  </t>
    </r>
    <r>
      <rPr>
        <sz val="10"/>
        <rFont val="Vazirmatn"/>
        <family val="0"/>
        <charset val="1"/>
      </rPr>
      <t xml:space="preserve">940   M</t>
    </r>
  </si>
  <si>
    <t xml:space="preserve">31217540</t>
  </si>
  <si>
    <r>
      <rPr>
        <sz val="10"/>
        <rFont val="FreeSans"/>
        <family val="2"/>
      </rPr>
      <t xml:space="preserve">سرو موتور هانی ول </t>
    </r>
    <r>
      <rPr>
        <sz val="10"/>
        <rFont val="Vazirmatn"/>
        <family val="0"/>
        <charset val="1"/>
      </rPr>
      <t xml:space="preserve">M6284 A1097-S3 24V AC 50/60HZ</t>
    </r>
  </si>
  <si>
    <t xml:space="preserve">31217544</t>
  </si>
  <si>
    <r>
      <rPr>
        <sz val="10"/>
        <rFont val="FreeSans"/>
        <family val="2"/>
      </rPr>
      <t xml:space="preserve">الکترو پمپ سانترفیوژ </t>
    </r>
    <r>
      <rPr>
        <sz val="10"/>
        <rFont val="Vazirmatn"/>
        <family val="0"/>
        <charset val="1"/>
      </rPr>
      <t xml:space="preserve">3KW 3000RPM Head : 22m Q=20m3/h</t>
    </r>
  </si>
  <si>
    <t xml:space="preserve">31217545</t>
  </si>
  <si>
    <r>
      <rPr>
        <sz val="10"/>
        <rFont val="FreeSans"/>
        <family val="2"/>
      </rPr>
      <t xml:space="preserve">پمپ سانترفیوژ ضد اسید </t>
    </r>
    <r>
      <rPr>
        <sz val="10"/>
        <rFont val="Vazirmatn"/>
        <family val="0"/>
        <charset val="1"/>
      </rPr>
      <t xml:space="preserve">400-50-80 CON Q=25m3/h Head=30m</t>
    </r>
  </si>
  <si>
    <t xml:space="preserve">31217551</t>
  </si>
  <si>
    <r>
      <rPr>
        <sz val="10"/>
        <rFont val="FreeSans"/>
        <family val="2"/>
      </rPr>
      <t xml:space="preserve">گیربکس حلزونی  </t>
    </r>
    <r>
      <rPr>
        <sz val="10"/>
        <rFont val="Vazirmatn"/>
        <family val="0"/>
        <charset val="1"/>
      </rPr>
      <t xml:space="preserve">VF150/F   i=30</t>
    </r>
  </si>
  <si>
    <t xml:space="preserve">31217552</t>
  </si>
  <si>
    <r>
      <rPr>
        <sz val="10"/>
        <rFont val="FreeSans"/>
        <family val="2"/>
      </rPr>
      <t xml:space="preserve">الکتروگیربکس پارس </t>
    </r>
    <r>
      <rPr>
        <sz val="10"/>
        <rFont val="Vazirmatn"/>
        <family val="0"/>
        <charset val="1"/>
      </rPr>
      <t xml:space="preserve">1hP 1450RPM </t>
    </r>
    <r>
      <rPr>
        <sz val="10"/>
        <rFont val="FreeSans"/>
        <family val="2"/>
      </rPr>
      <t xml:space="preserve">دور گیربکس </t>
    </r>
    <r>
      <rPr>
        <sz val="10"/>
        <rFont val="Vazirmatn"/>
        <family val="0"/>
        <charset val="1"/>
      </rPr>
      <t xml:space="preserve">40RPM </t>
    </r>
    <r>
      <rPr>
        <sz val="10"/>
        <rFont val="FreeSans"/>
        <family val="2"/>
      </rPr>
      <t xml:space="preserve">قطر شفت </t>
    </r>
    <r>
      <rPr>
        <sz val="10"/>
        <rFont val="Vazirmatn"/>
        <family val="0"/>
        <charset val="1"/>
      </rPr>
      <t xml:space="preserve">32  ZG 2-80-4</t>
    </r>
  </si>
  <si>
    <t xml:space="preserve">31217553</t>
  </si>
  <si>
    <r>
      <rPr>
        <sz val="10"/>
        <rFont val="FreeSans"/>
        <family val="2"/>
      </rPr>
      <t xml:space="preserve">الکترو موتور   </t>
    </r>
    <r>
      <rPr>
        <sz val="10"/>
        <rFont val="Vazirmatn"/>
        <family val="0"/>
        <charset val="1"/>
      </rPr>
      <t xml:space="preserve">18/5KW - 3000 RPM</t>
    </r>
  </si>
  <si>
    <t xml:space="preserve">31217556</t>
  </si>
  <si>
    <r>
      <rPr>
        <sz val="10"/>
        <rFont val="FreeSans"/>
        <family val="2"/>
      </rPr>
      <t xml:space="preserve">الکتروگیربکس </t>
    </r>
    <r>
      <rPr>
        <sz val="10"/>
        <rFont val="Vazirmatn"/>
        <family val="0"/>
        <charset val="1"/>
      </rPr>
      <t xml:space="preserve">LiNUX - Y90-90 - 90W - 0.45A</t>
    </r>
  </si>
  <si>
    <t xml:space="preserve">31217558</t>
  </si>
  <si>
    <r>
      <rPr>
        <sz val="10"/>
        <rFont val="FreeSans"/>
        <family val="2"/>
      </rPr>
      <t xml:space="preserve">پمپ ایران بدون موتور و شاسی </t>
    </r>
    <r>
      <rPr>
        <sz val="10"/>
        <rFont val="Vazirmatn"/>
        <family val="0"/>
        <charset val="1"/>
      </rPr>
      <t xml:space="preserve">250 - 65</t>
    </r>
  </si>
  <si>
    <t xml:space="preserve">31217559</t>
  </si>
  <si>
    <r>
      <rPr>
        <sz val="10"/>
        <rFont val="FreeSans"/>
        <family val="2"/>
      </rPr>
      <t xml:space="preserve">الکتروگیربکس پایه دار  </t>
    </r>
    <r>
      <rPr>
        <sz val="10"/>
        <rFont val="Vazirmatn"/>
        <family val="0"/>
        <charset val="1"/>
      </rPr>
      <t xml:space="preserve">7/5KW 1450RPM </t>
    </r>
    <r>
      <rPr>
        <sz val="10"/>
        <rFont val="FreeSans"/>
        <family val="2"/>
      </rPr>
      <t xml:space="preserve">دور گیربکس </t>
    </r>
    <r>
      <rPr>
        <sz val="10"/>
        <rFont val="Vazirmatn"/>
        <family val="0"/>
        <charset val="1"/>
      </rPr>
      <t xml:space="preserve">63RPM </t>
    </r>
    <r>
      <rPr>
        <sz val="10"/>
        <rFont val="FreeSans"/>
        <family val="2"/>
      </rPr>
      <t xml:space="preserve">قطر شفت </t>
    </r>
    <r>
      <rPr>
        <sz val="10"/>
        <rFont val="Vazirmatn"/>
        <family val="0"/>
        <charset val="1"/>
      </rPr>
      <t xml:space="preserve">75mm</t>
    </r>
  </si>
  <si>
    <t xml:space="preserve">31217560</t>
  </si>
  <si>
    <r>
      <rPr>
        <sz val="10"/>
        <rFont val="FreeSans"/>
        <family val="2"/>
      </rPr>
      <t xml:space="preserve">کارواش با شاسی و الکتروموتور </t>
    </r>
    <r>
      <rPr>
        <sz val="10"/>
        <rFont val="Vazirmatn"/>
        <family val="0"/>
        <charset val="1"/>
      </rPr>
      <t xml:space="preserve">200bar</t>
    </r>
  </si>
  <si>
    <t xml:space="preserve">31217561</t>
  </si>
  <si>
    <r>
      <rPr>
        <sz val="10"/>
        <rFont val="FreeSans"/>
        <family val="2"/>
      </rPr>
      <t xml:space="preserve">پمپ آب پنتاکس  </t>
    </r>
    <r>
      <rPr>
        <sz val="10"/>
        <rFont val="Vazirmatn"/>
        <family val="0"/>
        <charset val="1"/>
      </rPr>
      <t xml:space="preserve">Pm 80</t>
    </r>
  </si>
  <si>
    <t xml:space="preserve">31217562</t>
  </si>
  <si>
    <r>
      <rPr>
        <sz val="10"/>
        <rFont val="FreeSans"/>
        <family val="2"/>
      </rPr>
      <t xml:space="preserve">پمپ دنده ای </t>
    </r>
    <r>
      <rPr>
        <sz val="10"/>
        <rFont val="Vazirmatn"/>
        <family val="0"/>
        <charset val="1"/>
      </rPr>
      <t xml:space="preserve">"2  Roto fluid FTSS 200</t>
    </r>
  </si>
  <si>
    <t xml:space="preserve">31217567</t>
  </si>
  <si>
    <r>
      <rPr>
        <sz val="10"/>
        <rFont val="FreeSans"/>
        <family val="2"/>
      </rPr>
      <t xml:space="preserve">پمپ ایران بدون موتور و شاسی </t>
    </r>
    <r>
      <rPr>
        <sz val="10"/>
        <rFont val="Vazirmatn"/>
        <family val="0"/>
        <charset val="1"/>
      </rPr>
      <t xml:space="preserve">250 - 40</t>
    </r>
  </si>
  <si>
    <t xml:space="preserve">31217583</t>
  </si>
  <si>
    <r>
      <rPr>
        <sz val="10"/>
        <rFont val="FreeSans"/>
        <family val="2"/>
      </rPr>
      <t xml:space="preserve">پمپ خلاء ظرفیت </t>
    </r>
    <r>
      <rPr>
        <sz val="10"/>
        <rFont val="Vazirmatn"/>
        <family val="0"/>
        <charset val="1"/>
      </rPr>
      <t xml:space="preserve">760m3/h - </t>
    </r>
    <r>
      <rPr>
        <sz val="10"/>
        <rFont val="FreeSans"/>
        <family val="2"/>
      </rPr>
      <t xml:space="preserve">فشار </t>
    </r>
    <r>
      <rPr>
        <sz val="10"/>
        <rFont val="Vazirmatn"/>
        <family val="0"/>
        <charset val="1"/>
      </rPr>
      <t xml:space="preserve">33hpa</t>
    </r>
  </si>
  <si>
    <t xml:space="preserve">31217584</t>
  </si>
  <si>
    <r>
      <rPr>
        <sz val="10"/>
        <rFont val="FreeSans"/>
        <family val="2"/>
      </rPr>
      <t xml:space="preserve">سرو موتور هانیول  </t>
    </r>
    <r>
      <rPr>
        <sz val="10"/>
        <rFont val="Vazirmatn"/>
        <family val="0"/>
        <charset val="1"/>
      </rPr>
      <t xml:space="preserve">M 9184  D 1013  24V  AC</t>
    </r>
  </si>
  <si>
    <t xml:space="preserve">31217586</t>
  </si>
  <si>
    <r>
      <rPr>
        <sz val="10"/>
        <rFont val="FreeSans"/>
        <family val="2"/>
      </rPr>
      <t xml:space="preserve">لجن کش تک فاز توان  </t>
    </r>
    <r>
      <rPr>
        <sz val="10"/>
        <rFont val="Vazirmatn"/>
        <family val="0"/>
        <charset val="1"/>
      </rPr>
      <t xml:space="preserve">S(F) TPD 12/8</t>
    </r>
  </si>
  <si>
    <t xml:space="preserve">31217587</t>
  </si>
  <si>
    <r>
      <rPr>
        <sz val="10"/>
        <rFont val="FreeSans"/>
        <family val="2"/>
      </rPr>
      <t xml:space="preserve">پمپ خانگی </t>
    </r>
    <r>
      <rPr>
        <sz val="10"/>
        <rFont val="Vazirmatn"/>
        <family val="0"/>
        <charset val="1"/>
      </rPr>
      <t xml:space="preserve">0/5 </t>
    </r>
    <r>
      <rPr>
        <sz val="10"/>
        <rFont val="FreeSans"/>
        <family val="2"/>
      </rPr>
      <t xml:space="preserve">اسب </t>
    </r>
    <r>
      <rPr>
        <sz val="10"/>
        <rFont val="Vazirmatn"/>
        <family val="0"/>
        <charset val="1"/>
      </rPr>
      <t xml:space="preserve">"1</t>
    </r>
  </si>
  <si>
    <t xml:space="preserve">31217590</t>
  </si>
  <si>
    <r>
      <rPr>
        <sz val="10"/>
        <rFont val="FreeSans"/>
        <family val="2"/>
      </rPr>
      <t xml:space="preserve">پمپ خلاء درام گلوتن </t>
    </r>
    <r>
      <rPr>
        <sz val="10"/>
        <rFont val="Vazirmatn"/>
        <family val="0"/>
        <charset val="1"/>
      </rPr>
      <t xml:space="preserve">2BE1 252 Nash ) Sealing=Packing Max Flow:35m3/min )</t>
    </r>
  </si>
  <si>
    <t xml:space="preserve">31217591</t>
  </si>
  <si>
    <r>
      <rPr>
        <sz val="10"/>
        <rFont val="FreeSans"/>
        <family val="2"/>
      </rPr>
      <t xml:space="preserve">موتور ویبره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</t>
    </r>
    <r>
      <rPr>
        <sz val="10"/>
        <rFont val="Vazirmatn"/>
        <family val="0"/>
        <charset val="1"/>
      </rPr>
      <t xml:space="preserve">- 1500 </t>
    </r>
    <r>
      <rPr>
        <sz val="10"/>
        <rFont val="FreeSans"/>
        <family val="2"/>
      </rPr>
      <t xml:space="preserve">دور </t>
    </r>
    <r>
      <rPr>
        <sz val="10"/>
        <rFont val="Vazirmatn"/>
        <family val="0"/>
        <charset val="1"/>
      </rPr>
      <t xml:space="preserve">- 400 </t>
    </r>
    <r>
      <rPr>
        <sz val="10"/>
        <rFont val="FreeSans"/>
        <family val="2"/>
      </rPr>
      <t xml:space="preserve">کیلو گرم</t>
    </r>
  </si>
  <si>
    <t xml:space="preserve">31217595</t>
  </si>
  <si>
    <r>
      <rPr>
        <sz val="10"/>
        <rFont val="FreeSans"/>
        <family val="2"/>
      </rPr>
      <t xml:space="preserve">پمپ دنده ای </t>
    </r>
    <r>
      <rPr>
        <sz val="10"/>
        <rFont val="Vazirmatn"/>
        <family val="0"/>
        <charset val="1"/>
      </rPr>
      <t xml:space="preserve">jK9  </t>
    </r>
    <r>
      <rPr>
        <sz val="10"/>
        <rFont val="FreeSans"/>
        <family val="2"/>
      </rPr>
      <t xml:space="preserve">تهران تولید</t>
    </r>
  </si>
  <si>
    <t xml:space="preserve">31217597</t>
  </si>
  <si>
    <r>
      <rPr>
        <sz val="10"/>
        <rFont val="FreeSans"/>
        <family val="2"/>
      </rPr>
      <t xml:space="preserve">الکتروموتور و پمپ خلاء استیل </t>
    </r>
    <r>
      <rPr>
        <sz val="10"/>
        <rFont val="Vazirmatn"/>
        <family val="0"/>
        <charset val="1"/>
      </rPr>
      <t xml:space="preserve">KPV 120 30mmHg 4KW 1450RPM</t>
    </r>
  </si>
  <si>
    <t xml:space="preserve">31217598</t>
  </si>
  <si>
    <r>
      <rPr>
        <sz val="10"/>
        <rFont val="FreeSans"/>
        <family val="2"/>
      </rPr>
      <t xml:space="preserve">موتور فن کندانسور آبسرد کن </t>
    </r>
    <r>
      <rPr>
        <sz val="10"/>
        <rFont val="Vazirmatn"/>
        <family val="0"/>
        <charset val="1"/>
      </rPr>
      <t xml:space="preserve">5W - </t>
    </r>
    <r>
      <rPr>
        <sz val="10"/>
        <rFont val="FreeSans"/>
        <family val="2"/>
      </rPr>
      <t xml:space="preserve">جهت چرخش </t>
    </r>
    <r>
      <rPr>
        <sz val="10"/>
        <rFont val="Vazirmatn"/>
        <family val="0"/>
        <charset val="1"/>
      </rPr>
      <t xml:space="preserve">CCW - </t>
    </r>
    <r>
      <rPr>
        <sz val="10"/>
        <rFont val="FreeSans"/>
        <family val="2"/>
      </rPr>
      <t xml:space="preserve">تیپ موتور </t>
    </r>
    <r>
      <rPr>
        <sz val="10"/>
        <rFont val="Vazirmatn"/>
        <family val="0"/>
        <charset val="1"/>
      </rPr>
      <t xml:space="preserve">12050</t>
    </r>
  </si>
  <si>
    <t xml:space="preserve">31217599</t>
  </si>
  <si>
    <r>
      <rPr>
        <sz val="10"/>
        <rFont val="FreeSans"/>
        <family val="2"/>
      </rPr>
      <t xml:space="preserve">کمپرسور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پیستونی یخچالی</t>
    </r>
  </si>
  <si>
    <t xml:space="preserve">31217600</t>
  </si>
  <si>
    <r>
      <rPr>
        <sz val="10"/>
        <rFont val="FreeSans"/>
        <family val="2"/>
      </rPr>
      <t xml:space="preserve">گیربکس  </t>
    </r>
    <r>
      <rPr>
        <sz val="10"/>
        <rFont val="Vazirmatn"/>
        <family val="0"/>
        <charset val="1"/>
      </rPr>
      <t xml:space="preserve">49  VF</t>
    </r>
  </si>
  <si>
    <t xml:space="preserve">31217601</t>
  </si>
  <si>
    <r>
      <rPr>
        <sz val="10"/>
        <rFont val="FreeSans"/>
        <family val="2"/>
      </rPr>
      <t xml:space="preserve">الکتروموتور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آلومینیومی موتوژن بدون فلنج </t>
    </r>
    <r>
      <rPr>
        <sz val="10"/>
        <rFont val="Vazirmatn"/>
        <family val="0"/>
        <charset val="1"/>
      </rPr>
      <t xml:space="preserve">0/55KW - 3000RPM</t>
    </r>
  </si>
  <si>
    <t xml:space="preserve">31217602</t>
  </si>
  <si>
    <r>
      <rPr>
        <sz val="10"/>
        <rFont val="FreeSans"/>
        <family val="2"/>
      </rPr>
      <t xml:space="preserve">کمپرسور یخچالی پیستونی </t>
    </r>
    <r>
      <rPr>
        <sz val="10"/>
        <rFont val="Vazirmatn"/>
        <family val="0"/>
        <charset val="1"/>
      </rPr>
      <t xml:space="preserve">3/4 </t>
    </r>
    <r>
      <rPr>
        <sz val="10"/>
        <rFont val="FreeSans"/>
        <family val="2"/>
      </rPr>
      <t xml:space="preserve">دانفوس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سیم پیچ مس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گاز </t>
    </r>
    <r>
      <rPr>
        <sz val="10"/>
        <rFont val="Vazirmatn"/>
        <family val="0"/>
        <charset val="1"/>
      </rPr>
      <t xml:space="preserve">R134</t>
    </r>
  </si>
  <si>
    <t xml:space="preserve">31217603</t>
  </si>
  <si>
    <r>
      <rPr>
        <sz val="10"/>
        <rFont val="FreeSans"/>
        <family val="2"/>
      </rPr>
      <t xml:space="preserve">کمپرسور یخچالی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های تک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سیم پیچ مس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گاز </t>
    </r>
    <r>
      <rPr>
        <sz val="10"/>
        <rFont val="Vazirmatn"/>
        <family val="0"/>
        <charset val="1"/>
      </rPr>
      <t xml:space="preserve">R134</t>
    </r>
  </si>
  <si>
    <t xml:space="preserve">31217606</t>
  </si>
  <si>
    <r>
      <rPr>
        <sz val="10"/>
        <rFont val="FreeSans"/>
        <family val="2"/>
      </rPr>
      <t xml:space="preserve">گیر بکس ایلمازبا فلنج     </t>
    </r>
    <r>
      <rPr>
        <sz val="10"/>
        <rFont val="Vazirmatn"/>
        <family val="0"/>
        <charset val="1"/>
      </rPr>
      <t xml:space="preserve">EN   125.00.A13        Rotio:52</t>
    </r>
  </si>
  <si>
    <t xml:space="preserve">31217614</t>
  </si>
  <si>
    <r>
      <rPr>
        <sz val="10"/>
        <rFont val="FreeSans"/>
        <family val="2"/>
      </rPr>
      <t xml:space="preserve">ویبره توربینی پنوماتیک  </t>
    </r>
    <r>
      <rPr>
        <sz val="10"/>
        <rFont val="Vazirmatn"/>
        <family val="0"/>
        <charset val="1"/>
      </rPr>
      <t xml:space="preserve">GT - 16</t>
    </r>
  </si>
  <si>
    <t xml:space="preserve">31217615</t>
  </si>
  <si>
    <r>
      <rPr>
        <sz val="10"/>
        <rFont val="FreeSans"/>
        <family val="2"/>
      </rPr>
      <t xml:space="preserve">گیربکس پمپ اواپراتور    </t>
    </r>
    <r>
      <rPr>
        <sz val="10"/>
        <rFont val="Vazirmatn"/>
        <family val="0"/>
        <charset val="1"/>
      </rPr>
      <t xml:space="preserve">1| 5.4</t>
    </r>
  </si>
  <si>
    <t xml:space="preserve">31217616</t>
  </si>
  <si>
    <r>
      <rPr>
        <sz val="10"/>
        <rFont val="FreeSans"/>
        <family val="2"/>
      </rPr>
      <t xml:space="preserve">گیربکس </t>
    </r>
    <r>
      <rPr>
        <sz val="10"/>
        <rFont val="Vazirmatn"/>
        <family val="0"/>
        <charset val="1"/>
      </rPr>
      <t xml:space="preserve">VF 49 - F1 28</t>
    </r>
  </si>
  <si>
    <t xml:space="preserve">31217617</t>
  </si>
  <si>
    <r>
      <rPr>
        <sz val="10"/>
        <rFont val="FreeSans"/>
        <family val="2"/>
      </rPr>
      <t xml:space="preserve">الکترو گیر بکس ایلماز   </t>
    </r>
    <r>
      <rPr>
        <sz val="10"/>
        <rFont val="Vazirmatn"/>
        <family val="0"/>
        <charset val="1"/>
      </rPr>
      <t xml:space="preserve">15K   1400 RPM</t>
    </r>
  </si>
  <si>
    <t xml:space="preserve">31217623</t>
  </si>
  <si>
    <r>
      <rPr>
        <sz val="10"/>
        <rFont val="FreeSans"/>
        <family val="2"/>
      </rPr>
      <t xml:space="preserve">گیربکس ایلماز  </t>
    </r>
    <r>
      <rPr>
        <sz val="10"/>
        <rFont val="Vazirmatn"/>
        <family val="0"/>
        <charset val="1"/>
      </rPr>
      <t xml:space="preserve">EN 100 - 00 - A10 Ratio 40</t>
    </r>
  </si>
  <si>
    <t xml:space="preserve">31217624</t>
  </si>
  <si>
    <r>
      <rPr>
        <sz val="10"/>
        <rFont val="FreeSans"/>
        <family val="2"/>
      </rPr>
      <t xml:space="preserve">گیربکس ایلماز  </t>
    </r>
    <r>
      <rPr>
        <sz val="10"/>
        <rFont val="Vazirmatn"/>
        <family val="0"/>
        <charset val="1"/>
      </rPr>
      <t xml:space="preserve">En 125 - 00 - A13 Ratio 52</t>
    </r>
  </si>
  <si>
    <t xml:space="preserve">31217626</t>
  </si>
  <si>
    <r>
      <rPr>
        <sz val="10"/>
        <rFont val="FreeSans"/>
        <family val="2"/>
      </rPr>
      <t xml:space="preserve">گیربکس ایلماز  </t>
    </r>
    <r>
      <rPr>
        <sz val="10"/>
        <rFont val="Vazirmatn"/>
        <family val="0"/>
        <charset val="1"/>
      </rPr>
      <t xml:space="preserve">EN 100 - 00 - A10 Ratio 52</t>
    </r>
  </si>
  <si>
    <t xml:space="preserve">31217627</t>
  </si>
  <si>
    <r>
      <rPr>
        <sz val="10"/>
        <rFont val="FreeSans"/>
        <family val="2"/>
      </rPr>
      <t xml:space="preserve">گیربکس ایلماز  </t>
    </r>
    <r>
      <rPr>
        <sz val="10"/>
        <rFont val="Vazirmatn"/>
        <family val="0"/>
        <charset val="1"/>
      </rPr>
      <t xml:space="preserve">EN  125.00.A10    Rotio:52</t>
    </r>
  </si>
  <si>
    <t xml:space="preserve">31217628</t>
  </si>
  <si>
    <r>
      <rPr>
        <sz val="10"/>
        <rFont val="FreeSans"/>
        <family val="2"/>
      </rPr>
      <t xml:space="preserve">گیربکس حلزونی  </t>
    </r>
    <r>
      <rPr>
        <sz val="10"/>
        <rFont val="Vazirmatn"/>
        <family val="0"/>
        <charset val="1"/>
      </rPr>
      <t xml:space="preserve">MVF 110 / N Ratio : 40</t>
    </r>
  </si>
  <si>
    <t xml:space="preserve">31217629</t>
  </si>
  <si>
    <r>
      <rPr>
        <sz val="10"/>
        <rFont val="FreeSans"/>
        <family val="2"/>
      </rPr>
      <t xml:space="preserve">الکترو پمپ خلاء </t>
    </r>
    <r>
      <rPr>
        <sz val="10"/>
        <rFont val="Vazirmatn"/>
        <family val="0"/>
        <charset val="1"/>
      </rPr>
      <t xml:space="preserve">PVI-AT 502 525m3/h 1450rpm</t>
    </r>
  </si>
  <si>
    <t xml:space="preserve">31217636</t>
  </si>
  <si>
    <r>
      <rPr>
        <sz val="10"/>
        <rFont val="FreeSans"/>
        <family val="2"/>
      </rPr>
      <t xml:space="preserve">گیربکس ایلماز  </t>
    </r>
    <r>
      <rPr>
        <sz val="10"/>
        <rFont val="Vazirmatn"/>
        <family val="0"/>
        <charset val="1"/>
      </rPr>
      <t xml:space="preserve">EN . 080 . 00 . A10   Rotio:15</t>
    </r>
  </si>
  <si>
    <t xml:space="preserve">31217637</t>
  </si>
  <si>
    <r>
      <rPr>
        <sz val="10"/>
        <rFont val="FreeSans"/>
        <family val="2"/>
      </rPr>
      <t xml:space="preserve">الکترو پمپ  </t>
    </r>
    <r>
      <rPr>
        <sz val="10"/>
        <rFont val="Vazirmatn"/>
        <family val="0"/>
        <charset val="1"/>
      </rPr>
      <t xml:space="preserve">RO-200/300 C.C.K</t>
    </r>
  </si>
  <si>
    <t xml:space="preserve">31217638</t>
  </si>
  <si>
    <r>
      <rPr>
        <sz val="10"/>
        <rFont val="FreeSans"/>
        <family val="2"/>
      </rPr>
      <t xml:space="preserve">الکترو پمپ نمک استیل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</t>
    </r>
    <r>
      <rPr>
        <sz val="10"/>
        <rFont val="Vazirmatn"/>
        <family val="0"/>
        <charset val="1"/>
      </rPr>
      <t xml:space="preserve">1/5 </t>
    </r>
    <r>
      <rPr>
        <sz val="10"/>
        <rFont val="FreeSans"/>
        <family val="2"/>
      </rPr>
      <t xml:space="preserve">اسب </t>
    </r>
    <r>
      <rPr>
        <sz val="10"/>
        <rFont val="Vazirmatn"/>
        <family val="0"/>
        <charset val="1"/>
      </rPr>
      <t xml:space="preserve">"1/4 1 </t>
    </r>
    <r>
      <rPr>
        <sz val="10"/>
        <rFont val="FreeSans"/>
        <family val="2"/>
      </rPr>
      <t xml:space="preserve">سری </t>
    </r>
    <r>
      <rPr>
        <sz val="10"/>
        <rFont val="Vazirmatn"/>
        <family val="0"/>
        <charset val="1"/>
      </rPr>
      <t xml:space="preserve">CNP  </t>
    </r>
    <r>
      <rPr>
        <sz val="10"/>
        <rFont val="FreeSans"/>
        <family val="2"/>
      </rPr>
      <t xml:space="preserve">مدل </t>
    </r>
    <r>
      <rPr>
        <sz val="10"/>
        <rFont val="Vazirmatn"/>
        <family val="0"/>
        <charset val="1"/>
      </rPr>
      <t xml:space="preserve">MS 100/ 1/1</t>
    </r>
  </si>
  <si>
    <t xml:space="preserve">31217641</t>
  </si>
  <si>
    <r>
      <rPr>
        <sz val="10"/>
        <rFont val="FreeSans"/>
        <family val="2"/>
      </rPr>
      <t xml:space="preserve">الکتروموتور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ژن </t>
    </r>
    <r>
      <rPr>
        <sz val="10"/>
        <rFont val="Vazirmatn"/>
        <family val="0"/>
        <charset val="1"/>
      </rPr>
      <t xml:space="preserve">) 90KW 1400RPM</t>
    </r>
  </si>
  <si>
    <t xml:space="preserve">31217642</t>
  </si>
  <si>
    <r>
      <rPr>
        <sz val="10"/>
        <rFont val="FreeSans"/>
        <family val="2"/>
      </rPr>
      <t xml:space="preserve">الکترو پمپ اسید </t>
    </r>
    <r>
      <rPr>
        <sz val="10"/>
        <rFont val="Vazirmatn"/>
        <family val="0"/>
        <charset val="1"/>
      </rPr>
      <t xml:space="preserve">IHD 150-125-315</t>
    </r>
  </si>
  <si>
    <t xml:space="preserve">31217643</t>
  </si>
  <si>
    <r>
      <rPr>
        <sz val="10"/>
        <rFont val="FreeSans"/>
        <family val="2"/>
      </rPr>
      <t xml:space="preserve">الکتروموتور  </t>
    </r>
    <r>
      <rPr>
        <sz val="10"/>
        <rFont val="Vazirmatn"/>
        <family val="0"/>
        <charset val="1"/>
      </rPr>
      <t xml:space="preserve">15KW  380V</t>
    </r>
  </si>
  <si>
    <t xml:space="preserve">31217644</t>
  </si>
  <si>
    <r>
      <rPr>
        <sz val="10"/>
        <rFont val="FreeSans"/>
        <family val="2"/>
      </rPr>
      <t xml:space="preserve">الکترو پمپ  </t>
    </r>
    <r>
      <rPr>
        <sz val="10"/>
        <rFont val="Vazirmatn"/>
        <family val="0"/>
        <charset val="1"/>
      </rPr>
      <t xml:space="preserve">30KW  100m3H</t>
    </r>
  </si>
  <si>
    <t xml:space="preserve">31217645</t>
  </si>
  <si>
    <r>
      <rPr>
        <sz val="10"/>
        <rFont val="FreeSans"/>
        <family val="2"/>
      </rPr>
      <t xml:space="preserve">منو پمپ  </t>
    </r>
    <r>
      <rPr>
        <sz val="10"/>
        <rFont val="Vazirmatn"/>
        <family val="0"/>
        <charset val="1"/>
      </rPr>
      <t xml:space="preserve">1/4KW</t>
    </r>
  </si>
  <si>
    <t xml:space="preserve">31217646</t>
  </si>
  <si>
    <r>
      <rPr>
        <sz val="10"/>
        <rFont val="FreeSans"/>
        <family val="2"/>
      </rPr>
      <t xml:space="preserve">الکتروموتور چدنی موتوژن پایه دار بدون فلنج   </t>
    </r>
    <r>
      <rPr>
        <sz val="10"/>
        <rFont val="Vazirmatn"/>
        <family val="0"/>
        <charset val="1"/>
      </rPr>
      <t xml:space="preserve">55KW 1000 RPM</t>
    </r>
  </si>
  <si>
    <t xml:space="preserve">31217647</t>
  </si>
  <si>
    <r>
      <rPr>
        <sz val="10"/>
        <rFont val="FreeSans"/>
        <family val="2"/>
      </rPr>
      <t xml:space="preserve">الکترو پمپ  </t>
    </r>
    <r>
      <rPr>
        <sz val="10"/>
        <rFont val="Vazirmatn"/>
        <family val="0"/>
        <charset val="1"/>
      </rPr>
      <t xml:space="preserve">IHD 65-50-160  7/5KW</t>
    </r>
  </si>
  <si>
    <t xml:space="preserve">31217648</t>
  </si>
  <si>
    <r>
      <rPr>
        <sz val="10"/>
        <rFont val="FreeSans"/>
        <family val="2"/>
      </rPr>
      <t xml:space="preserve">پمپ وکیوم خلاء بدون موتور و شاسی </t>
    </r>
    <r>
      <rPr>
        <sz val="10"/>
        <rFont val="Vazirmatn"/>
        <family val="0"/>
        <charset val="1"/>
      </rPr>
      <t xml:space="preserve">PVI-AT 382 380m3/h 30mmhg 1450 rpm</t>
    </r>
  </si>
  <si>
    <t xml:space="preserve">31217649</t>
  </si>
  <si>
    <r>
      <rPr>
        <sz val="10"/>
        <rFont val="FreeSans"/>
        <family val="2"/>
      </rPr>
      <t xml:space="preserve">الکترو گیربکس پایه دار پارس گرجی </t>
    </r>
    <r>
      <rPr>
        <sz val="10"/>
        <rFont val="Vazirmatn"/>
        <family val="0"/>
        <charset val="1"/>
      </rPr>
      <t xml:space="preserve">ZG5.BT 132 . L4 Ratio:23 7/5KW 63 RPM</t>
    </r>
  </si>
  <si>
    <t xml:space="preserve">31217651</t>
  </si>
  <si>
    <r>
      <rPr>
        <sz val="10"/>
        <rFont val="FreeSans"/>
        <family val="2"/>
      </rPr>
      <t xml:space="preserve">بلوئر انتقال نشاسته آلمان   </t>
    </r>
    <r>
      <rPr>
        <sz val="10"/>
        <rFont val="Vazirmatn"/>
        <family val="0"/>
        <charset val="1"/>
      </rPr>
      <t xml:space="preserve">Aearzen GM 10 S  PShaft=24/11KW Q1=10/89 m3/min P1= 1bar</t>
    </r>
  </si>
  <si>
    <t xml:space="preserve">31217652</t>
  </si>
  <si>
    <r>
      <rPr>
        <sz val="10"/>
        <rFont val="FreeSans"/>
        <family val="2"/>
      </rPr>
      <t xml:space="preserve">دوزینگ پمپ  </t>
    </r>
    <r>
      <rPr>
        <sz val="10"/>
        <rFont val="Vazirmatn"/>
        <family val="0"/>
        <charset val="1"/>
      </rPr>
      <t xml:space="preserve">220V 1/h  10-10 bar</t>
    </r>
  </si>
  <si>
    <t xml:space="preserve">31217654</t>
  </si>
  <si>
    <r>
      <rPr>
        <sz val="10"/>
        <rFont val="FreeSans"/>
        <family val="2"/>
      </rPr>
      <t xml:space="preserve">پمپ طبقاتی عمودی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ورود و خروج فلنج دار </t>
    </r>
    <r>
      <rPr>
        <sz val="10"/>
        <rFont val="Vazirmatn"/>
        <family val="0"/>
        <charset val="1"/>
      </rPr>
      <t xml:space="preserve">Type=LVR4-7 Q=105min m3/n-4.5m3/n Head=70m-50m LEO</t>
    </r>
  </si>
  <si>
    <t xml:space="preserve">31217655</t>
  </si>
  <si>
    <r>
      <rPr>
        <sz val="10"/>
        <rFont val="FreeSans"/>
        <family val="2"/>
      </rPr>
      <t xml:space="preserve">پمپ بدون موتور وشاسی  </t>
    </r>
    <r>
      <rPr>
        <sz val="10"/>
        <rFont val="Vazirmatn"/>
        <family val="0"/>
        <charset val="1"/>
      </rPr>
      <t xml:space="preserve">IHD100-65-315</t>
    </r>
  </si>
  <si>
    <t xml:space="preserve">31217656</t>
  </si>
  <si>
    <r>
      <rPr>
        <sz val="10"/>
        <rFont val="FreeSans"/>
        <family val="2"/>
      </rPr>
      <t xml:space="preserve">پمپ بدون موتور و شاسی  </t>
    </r>
    <r>
      <rPr>
        <sz val="10"/>
        <rFont val="Vazirmatn"/>
        <family val="0"/>
        <charset val="1"/>
      </rPr>
      <t xml:space="preserve">IHD150-125-250</t>
    </r>
  </si>
  <si>
    <t xml:space="preserve">31217657</t>
  </si>
  <si>
    <r>
      <rPr>
        <sz val="10"/>
        <rFont val="FreeSans"/>
        <family val="2"/>
      </rPr>
      <t xml:space="preserve">پمپ بدون موتور و شاسی   </t>
    </r>
    <r>
      <rPr>
        <sz val="10"/>
        <rFont val="Vazirmatn"/>
        <family val="0"/>
        <charset val="1"/>
      </rPr>
      <t xml:space="preserve">IHD250-200-315</t>
    </r>
  </si>
  <si>
    <t xml:space="preserve">31217658</t>
  </si>
  <si>
    <r>
      <rPr>
        <sz val="10"/>
        <rFont val="FreeSans"/>
        <family val="2"/>
      </rPr>
      <t xml:space="preserve">پمپ بدون موتور و شاسی  </t>
    </r>
    <r>
      <rPr>
        <sz val="10"/>
        <rFont val="Vazirmatn"/>
        <family val="0"/>
        <charset val="1"/>
      </rPr>
      <t xml:space="preserve">IHD200-150-315</t>
    </r>
  </si>
  <si>
    <t xml:space="preserve">31217659</t>
  </si>
  <si>
    <r>
      <rPr>
        <sz val="10"/>
        <rFont val="FreeSans"/>
        <family val="2"/>
      </rPr>
      <t xml:space="preserve">الکتروپمپ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اسب بشقابی </t>
    </r>
    <r>
      <rPr>
        <sz val="10"/>
        <rFont val="Vazirmatn"/>
        <family val="0"/>
        <charset val="1"/>
      </rPr>
      <t xml:space="preserve">CM 100</t>
    </r>
  </si>
  <si>
    <t xml:space="preserve">31217661</t>
  </si>
  <si>
    <r>
      <rPr>
        <sz val="10"/>
        <rFont val="FreeSans"/>
        <family val="2"/>
      </rPr>
      <t xml:space="preserve">پمپ لجن کش تک فاز </t>
    </r>
    <r>
      <rPr>
        <sz val="10"/>
        <rFont val="Vazirmatn"/>
        <family val="0"/>
        <charset val="1"/>
      </rPr>
      <t xml:space="preserve">"2 </t>
    </r>
    <r>
      <rPr>
        <sz val="10"/>
        <rFont val="FreeSans"/>
        <family val="2"/>
      </rPr>
      <t xml:space="preserve">بدنه استیل و پروانه استیل مدل پنتاکس </t>
    </r>
    <r>
      <rPr>
        <sz val="10"/>
        <rFont val="Vazirmatn"/>
        <family val="0"/>
        <charset val="1"/>
      </rPr>
      <t xml:space="preserve">9 </t>
    </r>
    <r>
      <rPr>
        <sz val="10"/>
        <rFont val="FreeSans"/>
        <family val="2"/>
      </rPr>
      <t xml:space="preserve">متر هد</t>
    </r>
  </si>
  <si>
    <t xml:space="preserve">31217662</t>
  </si>
  <si>
    <r>
      <rPr>
        <sz val="10"/>
        <rFont val="FreeSans"/>
        <family val="2"/>
      </rPr>
      <t xml:space="preserve">سرو موتور هانیول  </t>
    </r>
    <r>
      <rPr>
        <sz val="10"/>
        <rFont val="Vazirmatn"/>
        <family val="0"/>
        <charset val="1"/>
      </rPr>
      <t xml:space="preserve">M9484  E1009  24V  AC</t>
    </r>
  </si>
  <si>
    <t xml:space="preserve">31217663</t>
  </si>
  <si>
    <r>
      <rPr>
        <sz val="10"/>
        <rFont val="FreeSans"/>
        <family val="2"/>
      </rPr>
      <t xml:space="preserve">الکتروگیربکس خشک کن  </t>
    </r>
    <r>
      <rPr>
        <sz val="10"/>
        <rFont val="Vazirmatn"/>
        <family val="0"/>
        <charset val="1"/>
      </rPr>
      <t xml:space="preserve">R137DRS160M/C4/TF/V rpm:1470/25 i=59.17 15KW S1 Q=90mm SEW</t>
    </r>
  </si>
  <si>
    <t xml:space="preserve">31217664</t>
  </si>
  <si>
    <r>
      <rPr>
        <sz val="10"/>
        <rFont val="FreeSans"/>
        <family val="2"/>
      </rPr>
      <t xml:space="preserve">الکتروپمپ شناور پمپ ایران مدل </t>
    </r>
    <r>
      <rPr>
        <sz val="10"/>
        <rFont val="Vazirmatn"/>
        <family val="0"/>
        <charset val="1"/>
      </rPr>
      <t xml:space="preserve">193/8 </t>
    </r>
    <r>
      <rPr>
        <sz val="10"/>
        <rFont val="FreeSans"/>
        <family val="2"/>
      </rPr>
      <t xml:space="preserve">موتور </t>
    </r>
    <r>
      <rPr>
        <sz val="10"/>
        <rFont val="Vazirmatn"/>
        <family val="0"/>
        <charset val="1"/>
      </rPr>
      <t xml:space="preserve">9/2KW</t>
    </r>
  </si>
  <si>
    <t xml:space="preserve">31217665</t>
  </si>
  <si>
    <r>
      <rPr>
        <sz val="10"/>
        <rFont val="FreeSans"/>
        <family val="2"/>
      </rPr>
      <t xml:space="preserve">پمپ بدون موتور وشاسی  </t>
    </r>
    <r>
      <rPr>
        <sz val="10"/>
        <rFont val="Vazirmatn"/>
        <family val="0"/>
        <charset val="1"/>
      </rPr>
      <t xml:space="preserve">IHD250-200-350</t>
    </r>
  </si>
  <si>
    <t xml:space="preserve">31217666</t>
  </si>
  <si>
    <r>
      <rPr>
        <sz val="10"/>
        <rFont val="FreeSans"/>
        <family val="2"/>
      </rPr>
      <t xml:space="preserve">پمپ کارواش بدون موتور وشاسی اینتر </t>
    </r>
    <r>
      <rPr>
        <sz val="10"/>
        <rFont val="Vazirmatn"/>
        <family val="0"/>
        <charset val="1"/>
      </rPr>
      <t xml:space="preserve">WS 201 200Bar</t>
    </r>
  </si>
  <si>
    <t xml:space="preserve">31217670</t>
  </si>
  <si>
    <r>
      <rPr>
        <sz val="10"/>
        <rFont val="FreeSans"/>
        <family val="2"/>
      </rPr>
      <t xml:space="preserve">ترانسفورماتور جرقه زن </t>
    </r>
    <r>
      <rPr>
        <sz val="10"/>
        <rFont val="Vazirmatn"/>
        <family val="0"/>
        <charset val="1"/>
      </rPr>
      <t xml:space="preserve">1A 50HZ (CI.B) 220V</t>
    </r>
  </si>
  <si>
    <t xml:space="preserve">31217671</t>
  </si>
  <si>
    <r>
      <rPr>
        <sz val="10"/>
        <rFont val="FreeSans"/>
        <family val="2"/>
      </rPr>
      <t xml:space="preserve">الکتروموتور آلومینیومی فلنج دار موتوژن  </t>
    </r>
    <r>
      <rPr>
        <sz val="10"/>
        <rFont val="Vazirmatn"/>
        <family val="0"/>
        <charset val="1"/>
      </rPr>
      <t xml:space="preserve">1/5KW  1500RPM</t>
    </r>
  </si>
  <si>
    <t xml:space="preserve">31217672</t>
  </si>
  <si>
    <r>
      <rPr>
        <sz val="10"/>
        <rFont val="FreeSans"/>
        <family val="2"/>
      </rPr>
      <t xml:space="preserve">روتاری </t>
    </r>
    <r>
      <rPr>
        <sz val="10"/>
        <rFont val="Vazirmatn"/>
        <family val="0"/>
        <charset val="1"/>
      </rPr>
      <t xml:space="preserve">GFDWZB-24-C-, 241/N,P=2.2KW</t>
    </r>
  </si>
  <si>
    <t xml:space="preserve">31217673</t>
  </si>
  <si>
    <r>
      <rPr>
        <sz val="10"/>
        <rFont val="FreeSans"/>
        <family val="2"/>
      </rPr>
      <t xml:space="preserve">روتاری </t>
    </r>
    <r>
      <rPr>
        <sz val="10"/>
        <rFont val="Vazirmatn"/>
        <family val="0"/>
        <charset val="1"/>
      </rPr>
      <t xml:space="preserve">GFDWZB-24-C-, 241/N,P=2.2KW, N=38RPM</t>
    </r>
  </si>
  <si>
    <t xml:space="preserve">31217674</t>
  </si>
  <si>
    <r>
      <rPr>
        <sz val="10"/>
        <rFont val="FreeSans"/>
        <family val="2"/>
      </rPr>
      <t xml:space="preserve">پمپ سولزر بدون موتور </t>
    </r>
    <r>
      <rPr>
        <sz val="10"/>
        <rFont val="Vazirmatn"/>
        <family val="0"/>
        <charset val="1"/>
      </rPr>
      <t xml:space="preserve">APP22-32,Q=2.8L/SEC,H=85M</t>
    </r>
  </si>
  <si>
    <t xml:space="preserve">31217675</t>
  </si>
  <si>
    <r>
      <rPr>
        <sz val="10"/>
        <rFont val="FreeSans"/>
        <family val="2"/>
      </rPr>
      <t xml:space="preserve">پمپ سولزر بدون موتور </t>
    </r>
    <r>
      <rPr>
        <sz val="10"/>
        <rFont val="Vazirmatn"/>
        <family val="0"/>
        <charset val="1"/>
      </rPr>
      <t xml:space="preserve">APP11-50,Q=19.2L/SEC,H=30M</t>
    </r>
  </si>
  <si>
    <t xml:space="preserve">31217676</t>
  </si>
  <si>
    <r>
      <rPr>
        <sz val="10"/>
        <rFont val="FreeSans"/>
        <family val="2"/>
      </rPr>
      <t xml:space="preserve">پمپ سولزر بدون موتور </t>
    </r>
    <r>
      <rPr>
        <sz val="10"/>
        <rFont val="Vazirmatn"/>
        <family val="0"/>
        <charset val="1"/>
      </rPr>
      <t xml:space="preserve">APP23-40,Q=6.7L/SEC,H=97M</t>
    </r>
  </si>
  <si>
    <t xml:space="preserve">31217677</t>
  </si>
  <si>
    <r>
      <rPr>
        <sz val="10"/>
        <rFont val="FreeSans"/>
        <family val="2"/>
      </rPr>
      <t xml:space="preserve">موتور ویبره اسکرین  </t>
    </r>
    <r>
      <rPr>
        <sz val="10"/>
        <rFont val="Vazirmatn"/>
        <family val="0"/>
        <charset val="1"/>
      </rPr>
      <t xml:space="preserve">P=2.2KW  30--4</t>
    </r>
  </si>
  <si>
    <t xml:space="preserve">31217678</t>
  </si>
  <si>
    <r>
      <rPr>
        <sz val="10"/>
        <rFont val="FreeSans"/>
        <family val="2"/>
      </rPr>
      <t xml:space="preserve">روتور آسیاب چکشی نشاسته اکسید  </t>
    </r>
    <r>
      <rPr>
        <sz val="10"/>
        <rFont val="Vazirmatn"/>
        <family val="0"/>
        <charset val="1"/>
      </rPr>
      <t xml:space="preserve">HAMMER MILL TYPE:QWJ750</t>
    </r>
  </si>
  <si>
    <t xml:space="preserve">31217679</t>
  </si>
  <si>
    <r>
      <rPr>
        <sz val="10"/>
        <rFont val="FreeSans"/>
        <family val="2"/>
      </rPr>
      <t xml:space="preserve">الکتروگیربکس پارس گرجی  </t>
    </r>
    <r>
      <rPr>
        <sz val="10"/>
        <rFont val="Vazirmatn"/>
        <family val="0"/>
        <charset val="1"/>
      </rPr>
      <t xml:space="preserve">15KW  200RPM  </t>
    </r>
    <r>
      <rPr>
        <sz val="10"/>
        <rFont val="FreeSans"/>
        <family val="2"/>
      </rPr>
      <t xml:space="preserve">قطر شفت </t>
    </r>
    <r>
      <rPr>
        <sz val="10"/>
        <rFont val="Vazirmatn"/>
        <family val="0"/>
        <charset val="1"/>
      </rPr>
      <t xml:space="preserve">ZG5-160-4  75mm</t>
    </r>
  </si>
  <si>
    <t xml:space="preserve">31217680</t>
  </si>
  <si>
    <r>
      <rPr>
        <sz val="10"/>
        <rFont val="FreeSans"/>
        <family val="2"/>
      </rPr>
      <t xml:space="preserve">لجن کش تک فاز </t>
    </r>
    <r>
      <rPr>
        <sz val="10"/>
        <rFont val="Vazirmatn"/>
        <family val="0"/>
        <charset val="1"/>
      </rPr>
      <t xml:space="preserve">"2  1/5 </t>
    </r>
    <r>
      <rPr>
        <sz val="10"/>
        <rFont val="FreeSans"/>
        <family val="2"/>
      </rPr>
      <t xml:space="preserve">اسب بخار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ایتالیایی </t>
    </r>
    <r>
      <rPr>
        <sz val="10"/>
        <rFont val="Vazirmatn"/>
        <family val="0"/>
        <charset val="1"/>
      </rPr>
      <t xml:space="preserve">)</t>
    </r>
  </si>
  <si>
    <t xml:space="preserve">31217685</t>
  </si>
  <si>
    <r>
      <rPr>
        <sz val="10"/>
        <rFont val="FreeSans"/>
        <family val="2"/>
      </rPr>
      <t xml:space="preserve">الکتروگیربکس پارس گرجی </t>
    </r>
    <r>
      <rPr>
        <sz val="10"/>
        <rFont val="Vazirmatn"/>
        <family val="0"/>
        <charset val="1"/>
      </rPr>
      <t xml:space="preserve">2/2KW 1400RPM </t>
    </r>
    <r>
      <rPr>
        <sz val="10"/>
        <rFont val="FreeSans"/>
        <family val="2"/>
      </rPr>
      <t xml:space="preserve">دور گیربکس </t>
    </r>
    <r>
      <rPr>
        <sz val="10"/>
        <rFont val="Vazirmatn"/>
        <family val="0"/>
        <charset val="1"/>
      </rPr>
      <t xml:space="preserve">63RPM </t>
    </r>
    <r>
      <rPr>
        <sz val="10"/>
        <rFont val="FreeSans"/>
        <family val="2"/>
      </rPr>
      <t xml:space="preserve">قطر شفت </t>
    </r>
    <r>
      <rPr>
        <sz val="10"/>
        <rFont val="Vazirmatn"/>
        <family val="0"/>
        <charset val="1"/>
      </rPr>
      <t xml:space="preserve">ZG3-100-4  48mm</t>
    </r>
  </si>
  <si>
    <t xml:space="preserve">31217686</t>
  </si>
  <si>
    <r>
      <rPr>
        <sz val="10"/>
        <rFont val="FreeSans"/>
        <family val="2"/>
      </rPr>
      <t xml:space="preserve">پمپ لجن کش تک فاز بدنه و پروانه استیل </t>
    </r>
    <r>
      <rPr>
        <sz val="10"/>
        <rFont val="Vazirmatn"/>
        <family val="0"/>
        <charset val="1"/>
      </rPr>
      <t xml:space="preserve">220 </t>
    </r>
    <r>
      <rPr>
        <sz val="10"/>
        <rFont val="FreeSans"/>
        <family val="2"/>
      </rPr>
      <t xml:space="preserve">ولت پنتاکس </t>
    </r>
    <r>
      <rPr>
        <sz val="10"/>
        <rFont val="Vazirmatn"/>
        <family val="0"/>
        <charset val="1"/>
      </rPr>
      <t xml:space="preserve">DX/100/2 - </t>
    </r>
    <r>
      <rPr>
        <sz val="10"/>
        <rFont val="FreeSans"/>
        <family val="2"/>
      </rPr>
      <t xml:space="preserve">سیصد لیتر بر دقیقه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ارتفاع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متر</t>
    </r>
  </si>
  <si>
    <t xml:space="preserve">31217688</t>
  </si>
  <si>
    <r>
      <rPr>
        <sz val="10"/>
        <rFont val="FreeSans"/>
        <family val="2"/>
      </rPr>
      <t xml:space="preserve">الکتروموتور موتوژن  </t>
    </r>
    <r>
      <rPr>
        <sz val="10"/>
        <rFont val="Vazirmatn"/>
        <family val="0"/>
        <charset val="1"/>
      </rPr>
      <t xml:space="preserve">45KW  1000RPM</t>
    </r>
  </si>
  <si>
    <t xml:space="preserve">31217689</t>
  </si>
  <si>
    <r>
      <rPr>
        <sz val="10"/>
        <rFont val="FreeSans"/>
        <family val="2"/>
      </rPr>
      <t xml:space="preserve">الکترو پمپ آپارتمانی </t>
    </r>
    <r>
      <rPr>
        <sz val="10"/>
        <rFont val="Vazirmatn"/>
        <family val="0"/>
        <charset val="1"/>
      </rPr>
      <t xml:space="preserve">Pen tax  PM 80</t>
    </r>
  </si>
  <si>
    <t xml:space="preserve">31217691</t>
  </si>
  <si>
    <r>
      <rPr>
        <sz val="10"/>
        <rFont val="FreeSans"/>
        <family val="2"/>
      </rPr>
      <t xml:space="preserve">کمپرسور کوپلند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اسب بخار</t>
    </r>
  </si>
  <si>
    <t xml:space="preserve">31217692</t>
  </si>
  <si>
    <r>
      <rPr>
        <sz val="10"/>
        <rFont val="FreeSans"/>
        <family val="2"/>
      </rPr>
      <t xml:space="preserve">کمپرسور یخچال </t>
    </r>
    <r>
      <rPr>
        <sz val="10"/>
        <rFont val="Vazirmatn"/>
        <family val="0"/>
        <charset val="1"/>
      </rPr>
      <t xml:space="preserve">AE2415Y-UK  1/3</t>
    </r>
  </si>
  <si>
    <t xml:space="preserve">31217699</t>
  </si>
  <si>
    <r>
      <rPr>
        <sz val="10"/>
        <rFont val="FreeSans"/>
        <family val="2"/>
      </rPr>
      <t xml:space="preserve">کمپرسور یخچالی  </t>
    </r>
    <r>
      <rPr>
        <sz val="10"/>
        <rFont val="Vazirmatn"/>
        <family val="0"/>
        <charset val="1"/>
      </rPr>
      <t xml:space="preserve">PH 330G 2C 3KTS1 GMCC</t>
    </r>
  </si>
  <si>
    <t xml:space="preserve">31217700</t>
  </si>
  <si>
    <r>
      <rPr>
        <sz val="10"/>
        <rFont val="FreeSans"/>
        <family val="2"/>
      </rPr>
      <t xml:space="preserve">کمپرسور یخچالی </t>
    </r>
    <r>
      <rPr>
        <sz val="10"/>
        <rFont val="Vazirmatn"/>
        <family val="0"/>
        <charset val="1"/>
      </rPr>
      <t xml:space="preserve">PH 165X 1C - 4DZDE2 GMCC</t>
    </r>
  </si>
  <si>
    <t xml:space="preserve">31217701</t>
  </si>
  <si>
    <r>
      <rPr>
        <sz val="10"/>
        <rFont val="FreeSans"/>
        <family val="2"/>
      </rPr>
      <t xml:space="preserve">کاغذصافی  </t>
    </r>
    <r>
      <rPr>
        <sz val="10"/>
        <rFont val="Vazirmatn"/>
        <family val="0"/>
        <charset val="1"/>
      </rPr>
      <t xml:space="preserve">62*62</t>
    </r>
  </si>
  <si>
    <t xml:space="preserve">31217712</t>
  </si>
  <si>
    <r>
      <rPr>
        <sz val="10"/>
        <rFont val="FreeSans"/>
        <family val="2"/>
      </rPr>
      <t xml:space="preserve">فیلتر کاغذی     </t>
    </r>
    <r>
      <rPr>
        <sz val="10"/>
        <rFont val="Vazirmatn"/>
        <family val="0"/>
        <charset val="1"/>
      </rPr>
      <t xml:space="preserve">40    *      40</t>
    </r>
  </si>
  <si>
    <t xml:space="preserve">31217800</t>
  </si>
  <si>
    <r>
      <rPr>
        <sz val="10"/>
        <rFont val="FreeSans"/>
        <family val="2"/>
      </rPr>
      <t xml:space="preserve">گیربکس ایلماز  </t>
    </r>
    <r>
      <rPr>
        <sz val="10"/>
        <rFont val="Vazirmatn"/>
        <family val="0"/>
        <charset val="1"/>
      </rPr>
      <t xml:space="preserve">EN 063.00.A09  Ratio : 51 ( 1/1KW 1400RPM )</t>
    </r>
  </si>
  <si>
    <t xml:space="preserve">31217801</t>
  </si>
  <si>
    <r>
      <rPr>
        <sz val="10"/>
        <rFont val="FreeSans"/>
        <family val="2"/>
      </rPr>
      <t xml:space="preserve">دوزینگ پمپ اتاترون </t>
    </r>
    <r>
      <rPr>
        <sz val="10"/>
        <rFont val="Vazirmatn"/>
        <family val="0"/>
        <charset val="1"/>
      </rPr>
      <t xml:space="preserve">( DLX - MA / AD )</t>
    </r>
  </si>
  <si>
    <t xml:space="preserve">31217901</t>
  </si>
  <si>
    <r>
      <rPr>
        <sz val="10"/>
        <rFont val="FreeSans"/>
        <family val="2"/>
      </rPr>
      <t xml:space="preserve">فن درایو  </t>
    </r>
    <r>
      <rPr>
        <sz val="10"/>
        <rFont val="Vazirmatn"/>
        <family val="0"/>
        <charset val="1"/>
      </rPr>
      <t xml:space="preserve">mechatronics ) F8025X24B - 24V - DC 8Cm*8Cm )</t>
    </r>
  </si>
  <si>
    <t xml:space="preserve">31217902</t>
  </si>
  <si>
    <r>
      <rPr>
        <sz val="10"/>
        <rFont val="FreeSans"/>
        <family val="2"/>
      </rPr>
      <t xml:space="preserve">فن آکسیال کانالی </t>
    </r>
    <r>
      <rPr>
        <sz val="10"/>
        <rFont val="Vazirmatn"/>
        <family val="0"/>
        <charset val="1"/>
      </rPr>
      <t xml:space="preserve">IFDAB 906 - 3 - 3KW 900RPM - 380V</t>
    </r>
  </si>
  <si>
    <t xml:space="preserve">31217903</t>
  </si>
  <si>
    <r>
      <rPr>
        <sz val="10"/>
        <rFont val="FreeSans"/>
        <family val="2"/>
      </rPr>
      <t xml:space="preserve">فن </t>
    </r>
    <r>
      <rPr>
        <sz val="10"/>
        <rFont val="Vazirmatn"/>
        <family val="0"/>
        <charset val="1"/>
      </rPr>
      <t xml:space="preserve">CPU ( </t>
    </r>
    <r>
      <rPr>
        <sz val="10"/>
        <rFont val="FreeSans"/>
        <family val="2"/>
      </rPr>
      <t xml:space="preserve">پردازنده اینتل </t>
    </r>
    <r>
      <rPr>
        <sz val="10"/>
        <rFont val="Vazirmatn"/>
        <family val="0"/>
        <charset val="1"/>
      </rPr>
      <t xml:space="preserve">- G 5420 )</t>
    </r>
  </si>
  <si>
    <t xml:space="preserve">31217904</t>
  </si>
  <si>
    <r>
      <rPr>
        <sz val="10"/>
        <rFont val="FreeSans"/>
        <family val="2"/>
      </rPr>
      <t xml:space="preserve">الکتروفن آب سردکن </t>
    </r>
    <r>
      <rPr>
        <sz val="10"/>
        <rFont val="Vazirmatn"/>
        <family val="0"/>
        <charset val="1"/>
      </rPr>
      <t xml:space="preserve">( 16 </t>
    </r>
    <r>
      <rPr>
        <sz val="10"/>
        <rFont val="FreeSans"/>
        <family val="2"/>
      </rPr>
      <t xml:space="preserve">وات </t>
    </r>
    <r>
      <rPr>
        <sz val="10"/>
        <rFont val="Vazirmatn"/>
        <family val="0"/>
        <charset val="1"/>
      </rPr>
      <t xml:space="preserve">- 1300 </t>
    </r>
    <r>
      <rPr>
        <sz val="10"/>
        <rFont val="FreeSans"/>
        <family val="2"/>
      </rPr>
      <t xml:space="preserve">دور </t>
    </r>
    <r>
      <rPr>
        <sz val="10"/>
        <rFont val="Vazirmatn"/>
        <family val="0"/>
        <charset val="1"/>
      </rPr>
      <t xml:space="preserve">)</t>
    </r>
  </si>
  <si>
    <t xml:space="preserve">31218119</t>
  </si>
  <si>
    <t xml:space="preserve">نوارچسب برق</t>
  </si>
  <si>
    <t xml:space="preserve">31218121</t>
  </si>
  <si>
    <r>
      <rPr>
        <sz val="10"/>
        <rFont val="FreeSans"/>
        <family val="2"/>
      </rPr>
      <t xml:space="preserve">نوارچسب کاغذی </t>
    </r>
    <r>
      <rPr>
        <sz val="10"/>
        <rFont val="Vazirmatn"/>
        <family val="0"/>
        <charset val="1"/>
      </rPr>
      <t xml:space="preserve">5cm</t>
    </r>
  </si>
  <si>
    <t xml:space="preserve">31218125</t>
  </si>
  <si>
    <r>
      <rPr>
        <sz val="10"/>
        <rFont val="FreeSans"/>
        <family val="2"/>
      </rPr>
      <t xml:space="preserve">نوارچسب کاغذی </t>
    </r>
    <r>
      <rPr>
        <sz val="10"/>
        <rFont val="Vazirmatn"/>
        <family val="0"/>
        <charset val="1"/>
      </rPr>
      <t xml:space="preserve">2cm</t>
    </r>
  </si>
  <si>
    <t xml:space="preserve">31218128</t>
  </si>
  <si>
    <t xml:space="preserve">چسب آپارات نواری پهن</t>
  </si>
  <si>
    <t xml:space="preserve">31218130</t>
  </si>
  <si>
    <t xml:space="preserve">چسب آپارات نواری باریک</t>
  </si>
  <si>
    <t xml:space="preserve">31218141</t>
  </si>
  <si>
    <r>
      <rPr>
        <sz val="10"/>
        <rFont val="FreeSans"/>
        <family val="2"/>
      </rPr>
      <t xml:space="preserve">نوار نسوز  بعرض  </t>
    </r>
    <r>
      <rPr>
        <sz val="10"/>
        <rFont val="Vazirmatn"/>
        <family val="0"/>
        <charset val="1"/>
      </rPr>
      <t xml:space="preserve">5   </t>
    </r>
    <r>
      <rPr>
        <sz val="10"/>
        <rFont val="FreeSans"/>
        <family val="2"/>
      </rPr>
      <t xml:space="preserve">سانتیمتر</t>
    </r>
  </si>
  <si>
    <t xml:space="preserve">31218143</t>
  </si>
  <si>
    <r>
      <rPr>
        <sz val="10"/>
        <rFont val="FreeSans"/>
        <family val="2"/>
      </rPr>
      <t xml:space="preserve">نوار نسوز  بعرض  </t>
    </r>
    <r>
      <rPr>
        <sz val="10"/>
        <rFont val="Vazirmatn"/>
        <family val="0"/>
        <charset val="1"/>
      </rPr>
      <t xml:space="preserve">2   </t>
    </r>
    <r>
      <rPr>
        <sz val="10"/>
        <rFont val="FreeSans"/>
        <family val="2"/>
      </rPr>
      <t xml:space="preserve">سانتیمتر</t>
    </r>
  </si>
  <si>
    <t xml:space="preserve">31218145</t>
  </si>
  <si>
    <r>
      <rPr>
        <sz val="10"/>
        <rFont val="FreeSans"/>
        <family val="2"/>
      </rPr>
      <t xml:space="preserve">نوار چسب آلومینیومی </t>
    </r>
    <r>
      <rPr>
        <sz val="10"/>
        <rFont val="Vazirmatn"/>
        <family val="0"/>
        <charset val="1"/>
      </rPr>
      <t xml:space="preserve">AL Tape  5cm</t>
    </r>
  </si>
  <si>
    <t xml:space="preserve">31218151</t>
  </si>
  <si>
    <r>
      <rPr>
        <sz val="10"/>
        <rFont val="FreeSans"/>
        <family val="2"/>
      </rPr>
      <t xml:space="preserve">نوار برزنتی      عرض</t>
    </r>
    <r>
      <rPr>
        <sz val="10"/>
        <rFont val="Vazirmatn"/>
        <family val="0"/>
        <charset val="1"/>
      </rPr>
      <t xml:space="preserve">12CM     </t>
    </r>
    <r>
      <rPr>
        <sz val="10"/>
        <rFont val="FreeSans"/>
        <family val="2"/>
      </rPr>
      <t xml:space="preserve">ضخامت    </t>
    </r>
    <r>
      <rPr>
        <sz val="10"/>
        <rFont val="Vazirmatn"/>
        <family val="0"/>
        <charset val="1"/>
      </rPr>
      <t xml:space="preserve">6MM</t>
    </r>
  </si>
  <si>
    <t xml:space="preserve">31218152</t>
  </si>
  <si>
    <r>
      <rPr>
        <sz val="10"/>
        <rFont val="FreeSans"/>
        <family val="2"/>
      </rPr>
      <t xml:space="preserve">نوار </t>
    </r>
    <r>
      <rPr>
        <sz val="10"/>
        <rFont val="Vazirmatn"/>
        <family val="0"/>
        <charset val="1"/>
      </rPr>
      <t xml:space="preserve">PVC </t>
    </r>
    <r>
      <rPr>
        <sz val="10"/>
        <rFont val="FreeSans"/>
        <family val="2"/>
      </rPr>
      <t xml:space="preserve">آجدار عرض </t>
    </r>
    <r>
      <rPr>
        <sz val="10"/>
        <rFont val="Vazirmatn"/>
        <family val="0"/>
        <charset val="1"/>
      </rPr>
      <t xml:space="preserve">55cm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3mm </t>
    </r>
    <r>
      <rPr>
        <sz val="10"/>
        <rFont val="FreeSans"/>
        <family val="2"/>
      </rPr>
      <t xml:space="preserve">دوسر زیپ</t>
    </r>
  </si>
  <si>
    <t xml:space="preserve">31218156</t>
  </si>
  <si>
    <r>
      <rPr>
        <sz val="10"/>
        <rFont val="FreeSans"/>
        <family val="2"/>
      </rPr>
      <t xml:space="preserve">نوار لاستیکی آجدار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لایه نخ عرض </t>
    </r>
    <r>
      <rPr>
        <sz val="10"/>
        <rFont val="Vazirmatn"/>
        <family val="0"/>
        <charset val="1"/>
      </rPr>
      <t xml:space="preserve">50cm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10mm</t>
    </r>
  </si>
  <si>
    <t xml:space="preserve">31218157</t>
  </si>
  <si>
    <r>
      <rPr>
        <sz val="10"/>
        <rFont val="FreeSans"/>
        <family val="2"/>
      </rPr>
      <t xml:space="preserve">نوار لاستیکی آجدار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لایه نخ عرض </t>
    </r>
    <r>
      <rPr>
        <sz val="10"/>
        <rFont val="Vazirmatn"/>
        <family val="0"/>
        <charset val="1"/>
      </rPr>
      <t xml:space="preserve">60cm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12mm</t>
    </r>
  </si>
  <si>
    <t xml:space="preserve">31218159</t>
  </si>
  <si>
    <t xml:space="preserve">نوار لاستیکی دور سرند</t>
  </si>
  <si>
    <t xml:space="preserve">31218161</t>
  </si>
  <si>
    <r>
      <rPr>
        <sz val="10"/>
        <rFont val="FreeSans"/>
        <family val="2"/>
      </rPr>
      <t xml:space="preserve">نوار لاستیکی عرض </t>
    </r>
    <r>
      <rPr>
        <sz val="10"/>
        <rFont val="Vazirmatn"/>
        <family val="0"/>
        <charset val="1"/>
      </rPr>
      <t xml:space="preserve">35cm  </t>
    </r>
    <r>
      <rPr>
        <sz val="10"/>
        <rFont val="FreeSans"/>
        <family val="2"/>
      </rPr>
      <t xml:space="preserve">چهار لایه نخ   ضخامت </t>
    </r>
    <r>
      <rPr>
        <sz val="10"/>
        <rFont val="Vazirmatn"/>
        <family val="0"/>
        <charset val="1"/>
      </rPr>
      <t xml:space="preserve">10mm</t>
    </r>
  </si>
  <si>
    <t xml:space="preserve">31218169</t>
  </si>
  <si>
    <r>
      <rPr>
        <sz val="10"/>
        <rFont val="FreeSans"/>
        <family val="2"/>
      </rPr>
      <t xml:space="preserve">چسب درزگیر دکانتور  </t>
    </r>
    <r>
      <rPr>
        <sz val="10"/>
        <rFont val="Vazirmatn"/>
        <family val="0"/>
        <charset val="1"/>
      </rPr>
      <t xml:space="preserve">500 - 0606 - 6985</t>
    </r>
  </si>
  <si>
    <t xml:space="preserve">31218174</t>
  </si>
  <si>
    <r>
      <rPr>
        <sz val="10"/>
        <rFont val="FreeSans"/>
        <family val="2"/>
      </rPr>
      <t xml:space="preserve">نوار لاستیکی تک لایه نخ عرض </t>
    </r>
    <r>
      <rPr>
        <sz val="10"/>
        <rFont val="Vazirmatn"/>
        <family val="0"/>
        <charset val="1"/>
      </rPr>
      <t xml:space="preserve">1m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6mm</t>
    </r>
  </si>
  <si>
    <t xml:space="preserve">31218175</t>
  </si>
  <si>
    <r>
      <rPr>
        <sz val="10"/>
        <rFont val="FreeSans"/>
        <family val="2"/>
      </rPr>
      <t xml:space="preserve">نوار لاستیکی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لایه نخ عرض </t>
    </r>
    <r>
      <rPr>
        <sz val="10"/>
        <rFont val="Vazirmatn"/>
        <family val="0"/>
        <charset val="1"/>
      </rPr>
      <t xml:space="preserve">25Cm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12mm</t>
    </r>
  </si>
  <si>
    <t xml:space="preserve">31218189</t>
  </si>
  <si>
    <r>
      <rPr>
        <sz val="10"/>
        <rFont val="FreeSans"/>
        <family val="2"/>
      </rPr>
      <t xml:space="preserve">نوار لاستیکی دور درام عرض </t>
    </r>
    <r>
      <rPr>
        <sz val="10"/>
        <rFont val="Vazirmatn"/>
        <family val="0"/>
        <charset val="1"/>
      </rPr>
      <t xml:space="preserve">5</t>
    </r>
  </si>
  <si>
    <t xml:space="preserve">31218192</t>
  </si>
  <si>
    <t xml:space="preserve">نوار  لاستیکی درام  گلوتن</t>
  </si>
  <si>
    <t xml:space="preserve">31218193</t>
  </si>
  <si>
    <r>
      <rPr>
        <sz val="10"/>
        <rFont val="FreeSans"/>
        <family val="2"/>
      </rPr>
      <t xml:space="preserve">نوار نقاله عرض  </t>
    </r>
    <r>
      <rPr>
        <sz val="10"/>
        <rFont val="Vazirmatn"/>
        <family val="0"/>
        <charset val="1"/>
      </rPr>
      <t xml:space="preserve">10</t>
    </r>
  </si>
  <si>
    <t xml:space="preserve">31218196</t>
  </si>
  <si>
    <r>
      <rPr>
        <sz val="10"/>
        <rFont val="FreeSans"/>
        <family val="2"/>
      </rPr>
      <t xml:space="preserve">نوار الواتور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لا نخ عرض </t>
    </r>
    <r>
      <rPr>
        <sz val="10"/>
        <rFont val="Vazirmatn"/>
        <family val="0"/>
        <charset val="1"/>
      </rPr>
      <t xml:space="preserve">30cm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1cm</t>
    </r>
  </si>
  <si>
    <t xml:space="preserve">31218197</t>
  </si>
  <si>
    <r>
      <rPr>
        <sz val="10"/>
        <rFont val="FreeSans"/>
        <family val="2"/>
      </rPr>
      <t xml:space="preserve">نوار نقاله عرض  </t>
    </r>
    <r>
      <rPr>
        <sz val="10"/>
        <rFont val="Vazirmatn"/>
        <family val="0"/>
        <charset val="1"/>
      </rPr>
      <t xml:space="preserve">60</t>
    </r>
  </si>
  <si>
    <t xml:space="preserve">31218200</t>
  </si>
  <si>
    <t xml:space="preserve">نخ ریسمان کار بنایی</t>
  </si>
  <si>
    <t xml:space="preserve">دوک</t>
  </si>
  <si>
    <t xml:space="preserve">31218201</t>
  </si>
  <si>
    <t xml:space="preserve">نخ  پنبه</t>
  </si>
  <si>
    <t xml:space="preserve">31218202</t>
  </si>
  <si>
    <t xml:space="preserve">نخ دوخت پارچه درام</t>
  </si>
  <si>
    <t xml:space="preserve">31218209</t>
  </si>
  <si>
    <r>
      <rPr>
        <sz val="10"/>
        <rFont val="FreeSans"/>
        <family val="2"/>
      </rPr>
      <t xml:space="preserve">نوار لاستیکی عرض </t>
    </r>
    <r>
      <rPr>
        <sz val="10"/>
        <rFont val="Vazirmatn"/>
        <family val="0"/>
        <charset val="1"/>
      </rPr>
      <t xml:space="preserve">40cm  (</t>
    </r>
    <r>
      <rPr>
        <sz val="10"/>
        <rFont val="FreeSans"/>
        <family val="2"/>
      </rPr>
      <t xml:space="preserve">ضخامت  </t>
    </r>
    <r>
      <rPr>
        <sz val="10"/>
        <rFont val="Vazirmatn"/>
        <family val="0"/>
        <charset val="1"/>
      </rPr>
      <t xml:space="preserve">16mm - </t>
    </r>
    <r>
      <rPr>
        <sz val="10"/>
        <rFont val="FreeSans"/>
        <family val="2"/>
      </rPr>
      <t xml:space="preserve">پنج لا نخ</t>
    </r>
    <r>
      <rPr>
        <sz val="10"/>
        <rFont val="Vazirmatn"/>
        <family val="0"/>
        <charset val="1"/>
      </rPr>
      <t xml:space="preserve">)</t>
    </r>
  </si>
  <si>
    <t xml:space="preserve">31218214</t>
  </si>
  <si>
    <r>
      <rPr>
        <sz val="10"/>
        <rFont val="FreeSans"/>
        <family val="2"/>
      </rPr>
      <t xml:space="preserve">تسمه الواتور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برزنتی </t>
    </r>
    <r>
      <rPr>
        <sz val="10"/>
        <rFont val="Vazirmatn"/>
        <family val="0"/>
        <charset val="1"/>
      </rPr>
      <t xml:space="preserve">)</t>
    </r>
  </si>
  <si>
    <t xml:space="preserve">31218215</t>
  </si>
  <si>
    <r>
      <rPr>
        <sz val="10"/>
        <rFont val="FreeSans"/>
        <family val="2"/>
      </rPr>
      <t xml:space="preserve">نخ علف زنی نمره </t>
    </r>
    <r>
      <rPr>
        <sz val="10"/>
        <rFont val="Vazirmatn"/>
        <family val="0"/>
        <charset val="1"/>
      </rPr>
      <t xml:space="preserve">2</t>
    </r>
  </si>
  <si>
    <t xml:space="preserve">31218503</t>
  </si>
  <si>
    <r>
      <rPr>
        <sz val="10"/>
        <rFont val="FreeSans"/>
        <family val="2"/>
      </rPr>
      <t xml:space="preserve">لامپ میکروب کش </t>
    </r>
    <r>
      <rPr>
        <sz val="10"/>
        <rFont val="Vazirmatn"/>
        <family val="0"/>
        <charset val="1"/>
      </rPr>
      <t xml:space="preserve">30W</t>
    </r>
  </si>
  <si>
    <t xml:space="preserve">31218504</t>
  </si>
  <si>
    <t xml:space="preserve">چراغ گردان بوش آلمان</t>
  </si>
  <si>
    <t xml:space="preserve">31218507</t>
  </si>
  <si>
    <r>
      <rPr>
        <sz val="10"/>
        <rFont val="FreeSans"/>
        <family val="2"/>
      </rPr>
      <t xml:space="preserve">لامپ سیکنال   </t>
    </r>
    <r>
      <rPr>
        <sz val="10"/>
        <rFont val="Vazirmatn"/>
        <family val="0"/>
        <charset val="1"/>
      </rPr>
      <t xml:space="preserve">5  </t>
    </r>
    <r>
      <rPr>
        <sz val="10"/>
        <rFont val="FreeSans"/>
        <family val="2"/>
      </rPr>
      <t xml:space="preserve">وات  </t>
    </r>
    <r>
      <rPr>
        <sz val="10"/>
        <rFont val="Vazirmatn"/>
        <family val="0"/>
        <charset val="1"/>
      </rPr>
      <t xml:space="preserve">v24</t>
    </r>
  </si>
  <si>
    <t xml:space="preserve">31218510</t>
  </si>
  <si>
    <r>
      <rPr>
        <sz val="10"/>
        <rFont val="FreeSans"/>
        <family val="2"/>
      </rPr>
      <t xml:space="preserve">لامپ چراغ سیگنال </t>
    </r>
    <r>
      <rPr>
        <sz val="10"/>
        <rFont val="Vazirmatn"/>
        <family val="0"/>
        <charset val="1"/>
      </rPr>
      <t xml:space="preserve">220V</t>
    </r>
  </si>
  <si>
    <t xml:space="preserve">31218524</t>
  </si>
  <si>
    <r>
      <rPr>
        <sz val="10"/>
        <rFont val="FreeSans"/>
        <family val="2"/>
      </rPr>
      <t xml:space="preserve">لامپ چراغ آلارم    </t>
    </r>
    <r>
      <rPr>
        <sz val="10"/>
        <rFont val="Vazirmatn"/>
        <family val="0"/>
        <charset val="1"/>
      </rPr>
      <t xml:space="preserve">220V      20W</t>
    </r>
  </si>
  <si>
    <t xml:space="preserve">31218529</t>
  </si>
  <si>
    <r>
      <rPr>
        <sz val="10"/>
        <rFont val="FreeSans"/>
        <family val="2"/>
      </rPr>
      <t xml:space="preserve">چراغ راهنمایی ایمنی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رنگ</t>
    </r>
  </si>
  <si>
    <t xml:space="preserve">31218530</t>
  </si>
  <si>
    <r>
      <rPr>
        <sz val="10"/>
        <rFont val="FreeSans"/>
        <family val="2"/>
      </rPr>
      <t xml:space="preserve">چراغ سیگنال تابلویی آمپرمتردار </t>
    </r>
    <r>
      <rPr>
        <sz val="10"/>
        <rFont val="Vazirmatn"/>
        <family val="0"/>
        <charset val="1"/>
      </rPr>
      <t xml:space="preserve">100A</t>
    </r>
  </si>
  <si>
    <t xml:space="preserve">31218531</t>
  </si>
  <si>
    <t xml:space="preserve">چراغ دیواری ساندویچی</t>
  </si>
  <si>
    <t xml:space="preserve">31218533</t>
  </si>
  <si>
    <r>
      <rPr>
        <sz val="10"/>
        <rFont val="FreeSans"/>
        <family val="2"/>
      </rPr>
      <t xml:space="preserve">چراغ خیابانی مهتابی </t>
    </r>
    <r>
      <rPr>
        <sz val="10"/>
        <rFont val="Vazirmatn"/>
        <family val="0"/>
        <charset val="1"/>
      </rPr>
      <t xml:space="preserve">100W  COB</t>
    </r>
  </si>
  <si>
    <t xml:space="preserve">31218535</t>
  </si>
  <si>
    <r>
      <rPr>
        <sz val="10"/>
        <rFont val="FreeSans"/>
        <family val="2"/>
      </rPr>
      <t xml:space="preserve">چراغ سورنکو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پارس شعاع توس </t>
    </r>
    <r>
      <rPr>
        <sz val="10"/>
        <rFont val="Vazirmatn"/>
        <family val="0"/>
        <charset val="1"/>
      </rPr>
      <t xml:space="preserve">- 80W - 120Cm ( 8174</t>
    </r>
  </si>
  <si>
    <t xml:space="preserve">31218536</t>
  </si>
  <si>
    <r>
      <rPr>
        <sz val="10"/>
        <rFont val="FreeSans"/>
        <family val="2"/>
      </rPr>
      <t xml:space="preserve">چراغ </t>
    </r>
    <r>
      <rPr>
        <sz val="10"/>
        <rFont val="Vazirmatn"/>
        <family val="0"/>
        <charset val="1"/>
      </rPr>
      <t xml:space="preserve">USB - LED</t>
    </r>
  </si>
  <si>
    <t xml:space="preserve">31218538</t>
  </si>
  <si>
    <r>
      <rPr>
        <sz val="10"/>
        <rFont val="FreeSans"/>
        <family val="2"/>
      </rPr>
      <t xml:space="preserve">چراغ مگنتی ریلایت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تلسکوپی </t>
    </r>
    <r>
      <rPr>
        <sz val="10"/>
        <rFont val="Vazirmatn"/>
        <family val="0"/>
        <charset val="1"/>
      </rPr>
      <t xml:space="preserve">10W ( </t>
    </r>
    <r>
      <rPr>
        <sz val="10"/>
        <rFont val="FreeSans"/>
        <family val="2"/>
      </rPr>
      <t xml:space="preserve">پارس شعاع </t>
    </r>
    <r>
      <rPr>
        <sz val="10"/>
        <rFont val="Vazirmatn"/>
        <family val="0"/>
        <charset val="1"/>
      </rPr>
      <t xml:space="preserve">)</t>
    </r>
  </si>
  <si>
    <t xml:space="preserve">31218552</t>
  </si>
  <si>
    <r>
      <rPr>
        <sz val="10"/>
        <rFont val="FreeSans"/>
        <family val="2"/>
      </rPr>
      <t xml:space="preserve">چراغ مازی نور  </t>
    </r>
    <r>
      <rPr>
        <sz val="10"/>
        <rFont val="Vazirmatn"/>
        <family val="0"/>
        <charset val="1"/>
      </rPr>
      <t xml:space="preserve">E 27  </t>
    </r>
    <r>
      <rPr>
        <sz val="10"/>
        <rFont val="FreeSans"/>
        <family val="2"/>
      </rPr>
      <t xml:space="preserve">آپولون</t>
    </r>
  </si>
  <si>
    <t xml:space="preserve">31218554</t>
  </si>
  <si>
    <r>
      <rPr>
        <sz val="10"/>
        <rFont val="FreeSans"/>
        <family val="2"/>
      </rPr>
      <t xml:space="preserve">پروژکتور    </t>
    </r>
    <r>
      <rPr>
        <sz val="10"/>
        <rFont val="Vazirmatn"/>
        <family val="0"/>
        <charset val="1"/>
      </rPr>
      <t xml:space="preserve">100W  LED</t>
    </r>
  </si>
  <si>
    <t xml:space="preserve">31218556</t>
  </si>
  <si>
    <r>
      <rPr>
        <sz val="10"/>
        <rFont val="FreeSans"/>
        <family val="2"/>
      </rPr>
      <t xml:space="preserve">چراغ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افکت های اواپراتور</t>
    </r>
  </si>
  <si>
    <t xml:space="preserve">31218557</t>
  </si>
  <si>
    <r>
      <rPr>
        <sz val="10"/>
        <rFont val="FreeSans"/>
        <family val="2"/>
      </rPr>
      <t xml:space="preserve">چراغ فلورسنتی واترپروف تایفون </t>
    </r>
    <r>
      <rPr>
        <sz val="10"/>
        <rFont val="Vazirmatn"/>
        <family val="0"/>
        <charset val="1"/>
      </rPr>
      <t xml:space="preserve">ITY112236-ABS/PA(2*36w)</t>
    </r>
  </si>
  <si>
    <t xml:space="preserve">31218558</t>
  </si>
  <si>
    <r>
      <rPr>
        <sz val="10"/>
        <rFont val="FreeSans"/>
        <family val="2"/>
      </rPr>
      <t xml:space="preserve">پروژکتور    </t>
    </r>
    <r>
      <rPr>
        <sz val="10"/>
        <rFont val="Vazirmatn"/>
        <family val="0"/>
        <charset val="1"/>
      </rPr>
      <t xml:space="preserve">50W  LED</t>
    </r>
  </si>
  <si>
    <t xml:space="preserve">31218559</t>
  </si>
  <si>
    <r>
      <rPr>
        <sz val="10"/>
        <rFont val="FreeSans"/>
        <family val="2"/>
      </rPr>
      <t xml:space="preserve">لامپ دوکنتاک   </t>
    </r>
    <r>
      <rPr>
        <sz val="10"/>
        <rFont val="Vazirmatn"/>
        <family val="0"/>
        <charset val="1"/>
      </rPr>
      <t xml:space="preserve">v24</t>
    </r>
  </si>
  <si>
    <t xml:space="preserve">31218562</t>
  </si>
  <si>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نواری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متری ضد آب </t>
    </r>
    <r>
      <rPr>
        <sz val="10"/>
        <rFont val="Vazirmatn"/>
        <family val="0"/>
        <charset val="1"/>
      </rPr>
      <t xml:space="preserve">220V</t>
    </r>
  </si>
  <si>
    <t xml:space="preserve">31218566</t>
  </si>
  <si>
    <r>
      <rPr>
        <sz val="10"/>
        <rFont val="FreeSans"/>
        <family val="2"/>
      </rPr>
      <t xml:space="preserve">هالوژن سقفی </t>
    </r>
    <r>
      <rPr>
        <sz val="10"/>
        <rFont val="Vazirmatn"/>
        <family val="0"/>
        <charset val="1"/>
      </rPr>
      <t xml:space="preserve">9W  LED</t>
    </r>
  </si>
  <si>
    <t xml:space="preserve">31218570</t>
  </si>
  <si>
    <r>
      <rPr>
        <sz val="10"/>
        <rFont val="FreeSans"/>
        <family val="2"/>
      </rPr>
      <t xml:space="preserve">چراغ سقفی توکار هالوژن دنیز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آلتون </t>
    </r>
    <r>
      <rPr>
        <sz val="10"/>
        <rFont val="Vazirmatn"/>
        <family val="0"/>
        <charset val="1"/>
      </rPr>
      <t xml:space="preserve">) Q=7/5  9W 4000K</t>
    </r>
  </si>
  <si>
    <t xml:space="preserve">31218571</t>
  </si>
  <si>
    <r>
      <rPr>
        <sz val="10"/>
        <rFont val="FreeSans"/>
        <family val="2"/>
      </rPr>
      <t xml:space="preserve">لامپ رشته ای  </t>
    </r>
    <r>
      <rPr>
        <sz val="10"/>
        <rFont val="Vazirmatn"/>
        <family val="0"/>
        <charset val="1"/>
      </rPr>
      <t xml:space="preserve">12V - 25W</t>
    </r>
  </si>
  <si>
    <t xml:space="preserve">31218575</t>
  </si>
  <si>
    <r>
      <rPr>
        <sz val="10"/>
        <rFont val="FreeSans"/>
        <family val="2"/>
      </rPr>
      <t xml:space="preserve">پروژکتور </t>
    </r>
    <r>
      <rPr>
        <sz val="10"/>
        <rFont val="Vazirmatn"/>
        <family val="0"/>
        <charset val="1"/>
      </rPr>
      <t xml:space="preserve">COB </t>
    </r>
    <r>
      <rPr>
        <sz val="10"/>
        <rFont val="FreeSans"/>
        <family val="2"/>
      </rPr>
      <t xml:space="preserve">لنزدار </t>
    </r>
    <r>
      <rPr>
        <sz val="10"/>
        <rFont val="Vazirmatn"/>
        <family val="0"/>
        <charset val="1"/>
      </rPr>
      <t xml:space="preserve">100W</t>
    </r>
  </si>
  <si>
    <t xml:space="preserve">31218612</t>
  </si>
  <si>
    <r>
      <rPr>
        <sz val="10"/>
        <rFont val="FreeSans"/>
        <family val="2"/>
      </rPr>
      <t xml:space="preserve">لامپ  </t>
    </r>
    <r>
      <rPr>
        <sz val="10"/>
        <rFont val="Vazirmatn"/>
        <family val="0"/>
        <charset val="1"/>
      </rPr>
      <t xml:space="preserve">100W LED</t>
    </r>
  </si>
  <si>
    <t xml:space="preserve">31218617</t>
  </si>
  <si>
    <r>
      <rPr>
        <sz val="10"/>
        <rFont val="FreeSans"/>
        <family val="2"/>
      </rPr>
      <t xml:space="preserve">لامپ  </t>
    </r>
    <r>
      <rPr>
        <sz val="10"/>
        <rFont val="Vazirmatn"/>
        <family val="0"/>
        <charset val="1"/>
      </rPr>
      <t xml:space="preserve">100W</t>
    </r>
  </si>
  <si>
    <t xml:space="preserve">31218618</t>
  </si>
  <si>
    <r>
      <rPr>
        <sz val="10"/>
        <rFont val="FreeSans"/>
        <family val="2"/>
      </rPr>
      <t xml:space="preserve">لامپ مهتابی </t>
    </r>
    <r>
      <rPr>
        <sz val="10"/>
        <rFont val="Vazirmatn"/>
        <family val="0"/>
        <charset val="1"/>
      </rPr>
      <t xml:space="preserve">LED  )   9W  )</t>
    </r>
  </si>
  <si>
    <t xml:space="preserve">31218620</t>
  </si>
  <si>
    <r>
      <rPr>
        <sz val="10"/>
        <rFont val="FreeSans"/>
        <family val="2"/>
      </rPr>
      <t xml:space="preserve">لامپ      </t>
    </r>
    <r>
      <rPr>
        <sz val="10"/>
        <rFont val="Vazirmatn"/>
        <family val="0"/>
        <charset val="1"/>
      </rPr>
      <t xml:space="preserve">LED        40W</t>
    </r>
  </si>
  <si>
    <t xml:space="preserve">31218622</t>
  </si>
  <si>
    <t xml:space="preserve">لامپ دستگاه  اورهد</t>
  </si>
  <si>
    <t xml:space="preserve">31218624</t>
  </si>
  <si>
    <r>
      <rPr>
        <sz val="10"/>
        <rFont val="FreeSans"/>
        <family val="2"/>
      </rPr>
      <t xml:space="preserve">لامپ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توکار سقفی </t>
    </r>
    <r>
      <rPr>
        <sz val="10"/>
        <rFont val="Vazirmatn"/>
        <family val="0"/>
        <charset val="1"/>
      </rPr>
      <t xml:space="preserve">60 * 60</t>
    </r>
  </si>
  <si>
    <t xml:space="preserve">31218627</t>
  </si>
  <si>
    <r>
      <rPr>
        <sz val="10"/>
        <rFont val="FreeSans"/>
        <family val="2"/>
      </rPr>
      <t xml:space="preserve">لامپ  </t>
    </r>
    <r>
      <rPr>
        <sz val="10"/>
        <rFont val="Vazirmatn"/>
        <family val="0"/>
        <charset val="1"/>
      </rPr>
      <t xml:space="preserve">12v-15w</t>
    </r>
  </si>
  <si>
    <t xml:space="preserve">31218636</t>
  </si>
  <si>
    <r>
      <rPr>
        <sz val="10"/>
        <rFont val="FreeSans"/>
        <family val="2"/>
      </rPr>
      <t xml:space="preserve">چراغ توکار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مازی نور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لامپی </t>
    </r>
    <r>
      <rPr>
        <sz val="10"/>
        <rFont val="Vazirmatn"/>
        <family val="0"/>
        <charset val="1"/>
      </rPr>
      <t xml:space="preserve">120*30 29W M527RLED2PS840-W 4500Lm 220V AC</t>
    </r>
  </si>
  <si>
    <t xml:space="preserve">31218637</t>
  </si>
  <si>
    <r>
      <rPr>
        <sz val="10"/>
        <rFont val="FreeSans"/>
        <family val="2"/>
      </rPr>
      <t xml:space="preserve">لامپ مهتابی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تیوپ </t>
    </r>
    <r>
      <rPr>
        <sz val="10"/>
        <rFont val="Vazirmatn"/>
        <family val="0"/>
        <charset val="1"/>
      </rPr>
      <t xml:space="preserve">)  LED - 20W</t>
    </r>
  </si>
  <si>
    <t xml:space="preserve">31218638</t>
  </si>
  <si>
    <r>
      <rPr>
        <sz val="10"/>
        <rFont val="FreeSans"/>
        <family val="2"/>
      </rPr>
      <t xml:space="preserve">چراغ جلوی لودر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مدل لیفتراکی</t>
    </r>
  </si>
  <si>
    <t xml:space="preserve">31218639</t>
  </si>
  <si>
    <t xml:space="preserve">چراغ پشت لودر مدل لیفتراکی</t>
  </si>
  <si>
    <t xml:space="preserve">31218640</t>
  </si>
  <si>
    <r>
      <rPr>
        <sz val="10"/>
        <rFont val="FreeSans"/>
        <family val="2"/>
      </rPr>
      <t xml:space="preserve">مهتابی تابلو برق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50Cm</t>
    </r>
  </si>
  <si>
    <t xml:space="preserve">31218641</t>
  </si>
  <si>
    <r>
      <rPr>
        <sz val="10"/>
        <rFont val="FreeSans"/>
        <family val="2"/>
      </rPr>
      <t xml:space="preserve">مهتابی تابلو برق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70Cm</t>
    </r>
  </si>
  <si>
    <t xml:space="preserve">31218642</t>
  </si>
  <si>
    <r>
      <rPr>
        <sz val="10"/>
        <rFont val="FreeSans"/>
        <family val="2"/>
      </rPr>
      <t xml:space="preserve">چراغ توکار اپتیلد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مازی نور  </t>
    </r>
    <r>
      <rPr>
        <sz val="10"/>
        <rFont val="Vazirmatn"/>
        <family val="0"/>
        <charset val="1"/>
      </rPr>
      <t xml:space="preserve">120*30  M527RLED2PS865-W</t>
    </r>
  </si>
  <si>
    <t xml:space="preserve">31218701</t>
  </si>
  <si>
    <r>
      <rPr>
        <sz val="10"/>
        <rFont val="FreeSans"/>
        <family val="2"/>
      </rPr>
      <t xml:space="preserve">لامپ مهتابی   </t>
    </r>
    <r>
      <rPr>
        <sz val="10"/>
        <rFont val="Vazirmatn"/>
        <family val="0"/>
        <charset val="1"/>
      </rPr>
      <t xml:space="preserve">36W</t>
    </r>
  </si>
  <si>
    <t xml:space="preserve">31218703</t>
  </si>
  <si>
    <r>
      <rPr>
        <sz val="10"/>
        <rFont val="FreeSans"/>
        <family val="2"/>
      </rPr>
      <t xml:space="preserve">لامپ مهتابی   </t>
    </r>
    <r>
      <rPr>
        <sz val="10"/>
        <rFont val="Vazirmatn"/>
        <family val="0"/>
        <charset val="1"/>
      </rPr>
      <t xml:space="preserve">20W</t>
    </r>
  </si>
  <si>
    <t xml:space="preserve">31218709</t>
  </si>
  <si>
    <r>
      <rPr>
        <sz val="10"/>
        <rFont val="FreeSans"/>
        <family val="2"/>
      </rPr>
      <t xml:space="preserve">لامپ مهتابی     </t>
    </r>
    <r>
      <rPr>
        <sz val="10"/>
        <rFont val="Vazirmatn"/>
        <family val="0"/>
        <charset val="1"/>
      </rPr>
      <t xml:space="preserve">54w</t>
    </r>
  </si>
  <si>
    <t xml:space="preserve">31218711</t>
  </si>
  <si>
    <r>
      <rPr>
        <sz val="10"/>
        <rFont val="FreeSans"/>
        <family val="2"/>
      </rPr>
      <t xml:space="preserve">لامپ مهتابی تابلو برق  </t>
    </r>
    <r>
      <rPr>
        <sz val="10"/>
        <rFont val="Vazirmatn"/>
        <family val="0"/>
        <charset val="1"/>
      </rPr>
      <t xml:space="preserve">36cm   T8 - 14W</t>
    </r>
  </si>
  <si>
    <t xml:space="preserve">31218712</t>
  </si>
  <si>
    <r>
      <rPr>
        <sz val="10"/>
        <rFont val="FreeSans"/>
        <family val="2"/>
      </rPr>
      <t xml:space="preserve">لامپ مهتابی تابلو برق  </t>
    </r>
    <r>
      <rPr>
        <sz val="10"/>
        <rFont val="Vazirmatn"/>
        <family val="0"/>
        <charset val="1"/>
      </rPr>
      <t xml:space="preserve">F14T8 / 840</t>
    </r>
  </si>
  <si>
    <t xml:space="preserve">31218713</t>
  </si>
  <si>
    <r>
      <rPr>
        <sz val="10"/>
        <rFont val="FreeSans"/>
        <family val="2"/>
      </rPr>
      <t xml:space="preserve">لامپ مهتابی  </t>
    </r>
    <r>
      <rPr>
        <sz val="10"/>
        <rFont val="Vazirmatn"/>
        <family val="0"/>
        <charset val="1"/>
      </rPr>
      <t xml:space="preserve">F14 T8/D</t>
    </r>
  </si>
  <si>
    <t xml:space="preserve">31218714</t>
  </si>
  <si>
    <r>
      <rPr>
        <sz val="10"/>
        <rFont val="FreeSans"/>
        <family val="2"/>
      </rPr>
      <t xml:space="preserve">لامپ فلورسنت مهتابی  </t>
    </r>
    <r>
      <rPr>
        <sz val="10"/>
        <rFont val="Vazirmatn"/>
        <family val="0"/>
        <charset val="1"/>
      </rPr>
      <t xml:space="preserve">6W - T4</t>
    </r>
  </si>
  <si>
    <t xml:space="preserve">31218715</t>
  </si>
  <si>
    <r>
      <rPr>
        <sz val="10"/>
        <rFont val="FreeSans"/>
        <family val="2"/>
      </rPr>
      <t xml:space="preserve">لامپ گازی جیوه ای </t>
    </r>
    <r>
      <rPr>
        <sz val="10"/>
        <rFont val="Vazirmatn"/>
        <family val="0"/>
        <charset val="1"/>
      </rPr>
      <t xml:space="preserve">250W</t>
    </r>
  </si>
  <si>
    <t xml:space="preserve">31218716</t>
  </si>
  <si>
    <r>
      <rPr>
        <sz val="10"/>
        <rFont val="FreeSans"/>
        <family val="2"/>
      </rPr>
      <t xml:space="preserve">لامپ گازی بیضوی بخار سدیم </t>
    </r>
    <r>
      <rPr>
        <sz val="10"/>
        <rFont val="Vazirmatn"/>
        <family val="0"/>
        <charset val="1"/>
      </rPr>
      <t xml:space="preserve">E40-250W</t>
    </r>
  </si>
  <si>
    <t xml:space="preserve">31218717</t>
  </si>
  <si>
    <r>
      <rPr>
        <sz val="10"/>
        <rFont val="FreeSans"/>
        <family val="2"/>
      </rPr>
      <t xml:space="preserve">لامپ گازی بیضوی متال هالید </t>
    </r>
    <r>
      <rPr>
        <sz val="10"/>
        <rFont val="Vazirmatn"/>
        <family val="0"/>
        <charset val="1"/>
      </rPr>
      <t xml:space="preserve">E40-250W</t>
    </r>
  </si>
  <si>
    <t xml:space="preserve">31218718</t>
  </si>
  <si>
    <r>
      <rPr>
        <sz val="10"/>
        <rFont val="FreeSans"/>
        <family val="2"/>
      </rPr>
      <t xml:space="preserve">لامپ آکواریوم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سانتی واترپروف</t>
    </r>
  </si>
  <si>
    <t xml:space="preserve">31218803</t>
  </si>
  <si>
    <r>
      <rPr>
        <sz val="10"/>
        <rFont val="FreeSans"/>
        <family val="2"/>
      </rPr>
      <t xml:space="preserve">لامپ گازی بدون ترانس   </t>
    </r>
    <r>
      <rPr>
        <sz val="10"/>
        <rFont val="Vazirmatn"/>
        <family val="0"/>
        <charset val="1"/>
      </rPr>
      <t xml:space="preserve">250 W</t>
    </r>
  </si>
  <si>
    <t xml:space="preserve">31218807</t>
  </si>
  <si>
    <r>
      <rPr>
        <sz val="10"/>
        <rFont val="FreeSans"/>
        <family val="2"/>
      </rPr>
      <t xml:space="preserve">لامپ گازی بدون ترانس  </t>
    </r>
    <r>
      <rPr>
        <sz val="10"/>
        <rFont val="Vazirmatn"/>
        <family val="0"/>
        <charset val="1"/>
      </rPr>
      <t xml:space="preserve">v220  160 W</t>
    </r>
  </si>
  <si>
    <t xml:space="preserve">31218812</t>
  </si>
  <si>
    <r>
      <rPr>
        <sz val="10"/>
        <rFont val="FreeSans"/>
        <family val="2"/>
      </rPr>
      <t xml:space="preserve">لامپ   </t>
    </r>
    <r>
      <rPr>
        <sz val="10"/>
        <rFont val="Vazirmatn"/>
        <family val="0"/>
        <charset val="1"/>
      </rPr>
      <t xml:space="preserve">LED   50W</t>
    </r>
  </si>
  <si>
    <t xml:space="preserve">31218817</t>
  </si>
  <si>
    <r>
      <rPr>
        <sz val="10"/>
        <rFont val="FreeSans"/>
        <family val="2"/>
      </rPr>
      <t xml:space="preserve">ریسه شیلنگی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نوار </t>
    </r>
    <r>
      <rPr>
        <sz val="10"/>
        <rFont val="Vazirmatn"/>
        <family val="0"/>
        <charset val="1"/>
      </rPr>
      <t xml:space="preserve">SMD )</t>
    </r>
  </si>
  <si>
    <t xml:space="preserve">31218818</t>
  </si>
  <si>
    <r>
      <rPr>
        <sz val="10"/>
        <rFont val="FreeSans"/>
        <family val="2"/>
      </rPr>
      <t xml:space="preserve">ریسه </t>
    </r>
    <r>
      <rPr>
        <sz val="10"/>
        <rFont val="Vazirmatn"/>
        <family val="0"/>
        <charset val="1"/>
      </rPr>
      <t xml:space="preserve">50Cm  220V  LED</t>
    </r>
  </si>
  <si>
    <t xml:space="preserve">31218819</t>
  </si>
  <si>
    <r>
      <rPr>
        <sz val="10"/>
        <rFont val="FreeSans"/>
        <family val="2"/>
      </rPr>
      <t xml:space="preserve">ریسه شیلنگی آفتابی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ولتاژ ورودی </t>
    </r>
    <r>
      <rPr>
        <sz val="10"/>
        <rFont val="Vazirmatn"/>
        <family val="0"/>
        <charset val="1"/>
      </rPr>
      <t xml:space="preserve">220V</t>
    </r>
  </si>
  <si>
    <t xml:space="preserve">31218821</t>
  </si>
  <si>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شاخه ای </t>
    </r>
    <r>
      <rPr>
        <sz val="10"/>
        <rFont val="Vazirmatn"/>
        <family val="0"/>
        <charset val="1"/>
      </rPr>
      <t xml:space="preserve">1m 230V</t>
    </r>
  </si>
  <si>
    <t xml:space="preserve">31218823</t>
  </si>
  <si>
    <r>
      <rPr>
        <sz val="10"/>
        <rFont val="FreeSans"/>
        <family val="2"/>
      </rPr>
      <t xml:space="preserve">ریسه لاین نوری تراکم </t>
    </r>
    <r>
      <rPr>
        <sz val="10"/>
        <rFont val="Vazirmatn"/>
        <family val="0"/>
        <charset val="1"/>
      </rPr>
      <t xml:space="preserve">240 - 12V SMD</t>
    </r>
  </si>
  <si>
    <t xml:space="preserve">31218903</t>
  </si>
  <si>
    <t xml:space="preserve">چراغ پرژکتور با کلاهک</t>
  </si>
  <si>
    <t xml:space="preserve">31218912</t>
  </si>
  <si>
    <t xml:space="preserve">کاسه چراغ آپولو کامل</t>
  </si>
  <si>
    <t xml:space="preserve">31218915</t>
  </si>
  <si>
    <r>
      <rPr>
        <sz val="10"/>
        <rFont val="FreeSans"/>
        <family val="2"/>
      </rPr>
      <t xml:space="preserve">چراغ قوه  </t>
    </r>
    <r>
      <rPr>
        <sz val="10"/>
        <rFont val="Vazirmatn"/>
        <family val="0"/>
        <charset val="1"/>
      </rPr>
      <t xml:space="preserve">WD-545A-WEiDASi</t>
    </r>
  </si>
  <si>
    <t xml:space="preserve">31218917</t>
  </si>
  <si>
    <r>
      <rPr>
        <sz val="10"/>
        <rFont val="FreeSans"/>
        <family val="2"/>
      </rPr>
      <t xml:space="preserve">چراغ قوه دستی شارژی </t>
    </r>
    <r>
      <rPr>
        <sz val="10"/>
        <rFont val="Vazirmatn"/>
        <family val="0"/>
        <charset val="1"/>
      </rPr>
      <t xml:space="preserve">7045b</t>
    </r>
  </si>
  <si>
    <t xml:space="preserve">31219074</t>
  </si>
  <si>
    <r>
      <rPr>
        <sz val="10"/>
        <rFont val="FreeSans"/>
        <family val="2"/>
      </rPr>
      <t xml:space="preserve">فتوسل  </t>
    </r>
    <r>
      <rPr>
        <sz val="10"/>
        <rFont val="Vazirmatn"/>
        <family val="0"/>
        <charset val="1"/>
      </rPr>
      <t xml:space="preserve">UVZ</t>
    </r>
  </si>
  <si>
    <t xml:space="preserve">31219075</t>
  </si>
  <si>
    <r>
      <rPr>
        <sz val="10"/>
        <rFont val="FreeSans"/>
        <family val="2"/>
      </rPr>
      <t xml:space="preserve">فتو سل دو گانه سوز    </t>
    </r>
    <r>
      <rPr>
        <sz val="10"/>
        <rFont val="Vazirmatn"/>
        <family val="0"/>
        <charset val="1"/>
      </rPr>
      <t xml:space="preserve">QRA2</t>
    </r>
  </si>
  <si>
    <t xml:space="preserve">31219099</t>
  </si>
  <si>
    <r>
      <rPr>
        <sz val="10"/>
        <rFont val="FreeSans"/>
        <family val="2"/>
      </rPr>
      <t xml:space="preserve">ساعت اندازه گیری اندیکاتور آنالوگ همراه پایه مگنتی </t>
    </r>
    <r>
      <rPr>
        <sz val="10"/>
        <rFont val="Vazirmatn"/>
        <family val="0"/>
        <charset val="1"/>
      </rPr>
      <t xml:space="preserve">( ALATA ) - 0-10mm - </t>
    </r>
    <r>
      <rPr>
        <sz val="10"/>
        <rFont val="FreeSans"/>
        <family val="2"/>
      </rPr>
      <t xml:space="preserve">دقت </t>
    </r>
    <r>
      <rPr>
        <sz val="10"/>
        <rFont val="Vazirmatn"/>
        <family val="0"/>
        <charset val="1"/>
      </rPr>
      <t xml:space="preserve">0/01mm</t>
    </r>
  </si>
  <si>
    <t xml:space="preserve">31219101</t>
  </si>
  <si>
    <r>
      <rPr>
        <sz val="10"/>
        <rFont val="FreeSans"/>
        <family val="2"/>
      </rPr>
      <t xml:space="preserve">ساعت شمار تابلویی </t>
    </r>
    <r>
      <rPr>
        <sz val="10"/>
        <rFont val="Vazirmatn"/>
        <family val="0"/>
        <charset val="1"/>
      </rPr>
      <t xml:space="preserve">TCB-11YR /  14 B7</t>
    </r>
  </si>
  <si>
    <t xml:space="preserve">31219103</t>
  </si>
  <si>
    <r>
      <rPr>
        <sz val="10"/>
        <rFont val="FreeSans"/>
        <family val="2"/>
      </rPr>
      <t xml:space="preserve">گیج فشار بدون دیافراگم  </t>
    </r>
    <r>
      <rPr>
        <sz val="10"/>
        <rFont val="Vazirmatn"/>
        <family val="0"/>
        <charset val="1"/>
      </rPr>
      <t xml:space="preserve">10 - 0 </t>
    </r>
    <r>
      <rPr>
        <sz val="10"/>
        <rFont val="FreeSans"/>
        <family val="2"/>
      </rPr>
      <t xml:space="preserve">بار دقت </t>
    </r>
    <r>
      <rPr>
        <sz val="10"/>
        <rFont val="Vazirmatn"/>
        <family val="0"/>
        <charset val="1"/>
      </rPr>
      <t xml:space="preserve">0/2 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10cm</t>
    </r>
  </si>
  <si>
    <t xml:space="preserve">31219106</t>
  </si>
  <si>
    <r>
      <rPr>
        <sz val="10"/>
        <rFont val="FreeSans"/>
        <family val="2"/>
      </rPr>
      <t xml:space="preserve">گیج فشار دکانتور  </t>
    </r>
    <r>
      <rPr>
        <sz val="10"/>
        <rFont val="Vazirmatn"/>
        <family val="0"/>
        <charset val="1"/>
      </rPr>
      <t xml:space="preserve">610 - 0299 - 0001</t>
    </r>
  </si>
  <si>
    <t xml:space="preserve">31219111</t>
  </si>
  <si>
    <r>
      <rPr>
        <sz val="10"/>
        <rFont val="FreeSans"/>
        <family val="2"/>
      </rPr>
      <t xml:space="preserve">گیج فشار  </t>
    </r>
    <r>
      <rPr>
        <sz val="10"/>
        <rFont val="Vazirmatn"/>
        <family val="0"/>
        <charset val="1"/>
      </rPr>
      <t xml:space="preserve">10-0   </t>
    </r>
    <r>
      <rPr>
        <sz val="10"/>
        <rFont val="FreeSans"/>
        <family val="2"/>
      </rPr>
      <t xml:space="preserve">دیافراگمی</t>
    </r>
  </si>
  <si>
    <t xml:space="preserve">31219123</t>
  </si>
  <si>
    <t xml:space="preserve">گیج فشار</t>
  </si>
  <si>
    <t xml:space="preserve">31219127</t>
  </si>
  <si>
    <r>
      <rPr>
        <sz val="10"/>
        <rFont val="FreeSans"/>
        <family val="2"/>
      </rPr>
      <t xml:space="preserve">گیج فشار </t>
    </r>
    <r>
      <rPr>
        <sz val="10"/>
        <rFont val="Vazirmatn"/>
        <family val="0"/>
        <charset val="1"/>
      </rPr>
      <t xml:space="preserve">PRESSURE GAUGE )	0-1.0 MPA )</t>
    </r>
  </si>
  <si>
    <t xml:space="preserve">31219128</t>
  </si>
  <si>
    <r>
      <rPr>
        <sz val="10"/>
        <rFont val="FreeSans"/>
        <family val="2"/>
      </rPr>
      <t xml:space="preserve">گیج فشار دیافراگمی </t>
    </r>
    <r>
      <rPr>
        <sz val="10"/>
        <rFont val="Vazirmatn"/>
        <family val="0"/>
        <charset val="1"/>
      </rPr>
      <t xml:space="preserve">16 - 0 </t>
    </r>
    <r>
      <rPr>
        <sz val="10"/>
        <rFont val="FreeSans"/>
        <family val="2"/>
      </rPr>
      <t xml:space="preserve">بار دقت </t>
    </r>
    <r>
      <rPr>
        <sz val="10"/>
        <rFont val="Vazirmatn"/>
        <family val="0"/>
        <charset val="1"/>
      </rPr>
      <t xml:space="preserve">0/2  </t>
    </r>
    <r>
      <rPr>
        <sz val="10"/>
        <rFont val="FreeSans"/>
        <family val="2"/>
      </rPr>
      <t xml:space="preserve">اتصال </t>
    </r>
    <r>
      <rPr>
        <sz val="10"/>
        <rFont val="Vazirmatn"/>
        <family val="0"/>
        <charset val="1"/>
      </rPr>
      <t xml:space="preserve">"1/2</t>
    </r>
  </si>
  <si>
    <t xml:space="preserve">31219129</t>
  </si>
  <si>
    <r>
      <rPr>
        <sz val="10"/>
        <rFont val="FreeSans"/>
        <family val="2"/>
      </rPr>
      <t xml:space="preserve">گیج فشار دیافراگمی </t>
    </r>
    <r>
      <rPr>
        <sz val="10"/>
        <rFont val="Vazirmatn"/>
        <family val="0"/>
        <charset val="1"/>
      </rPr>
      <t xml:space="preserve">5 - 0 </t>
    </r>
    <r>
      <rPr>
        <sz val="10"/>
        <rFont val="FreeSans"/>
        <family val="2"/>
      </rPr>
      <t xml:space="preserve">بار دقت </t>
    </r>
    <r>
      <rPr>
        <sz val="10"/>
        <rFont val="Vazirmatn"/>
        <family val="0"/>
        <charset val="1"/>
      </rPr>
      <t xml:space="preserve">0/1 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10cm</t>
    </r>
  </si>
  <si>
    <t xml:space="preserve">31219130</t>
  </si>
  <si>
    <r>
      <rPr>
        <sz val="10"/>
        <rFont val="FreeSans"/>
        <family val="2"/>
      </rPr>
      <t xml:space="preserve">گیج فشار بدون دیافراگم  </t>
    </r>
    <r>
      <rPr>
        <sz val="10"/>
        <rFont val="Vazirmatn"/>
        <family val="0"/>
        <charset val="1"/>
      </rPr>
      <t xml:space="preserve">5 - 0 </t>
    </r>
    <r>
      <rPr>
        <sz val="10"/>
        <rFont val="FreeSans"/>
        <family val="2"/>
      </rPr>
      <t xml:space="preserve">بار دقت </t>
    </r>
    <r>
      <rPr>
        <sz val="10"/>
        <rFont val="Vazirmatn"/>
        <family val="0"/>
        <charset val="1"/>
      </rPr>
      <t xml:space="preserve">0/1 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10cm</t>
    </r>
  </si>
  <si>
    <t xml:space="preserve">31219131</t>
  </si>
  <si>
    <r>
      <rPr>
        <sz val="10"/>
        <rFont val="FreeSans"/>
        <family val="2"/>
      </rPr>
      <t xml:space="preserve">گیج 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_60 </t>
    </r>
    <r>
      <rPr>
        <sz val="10"/>
        <rFont val="FreeSans"/>
        <family val="2"/>
      </rPr>
      <t xml:space="preserve">کیلوگرم</t>
    </r>
  </si>
  <si>
    <t xml:space="preserve">31219132</t>
  </si>
  <si>
    <r>
      <rPr>
        <sz val="10"/>
        <rFont val="FreeSans"/>
        <family val="2"/>
      </rPr>
      <t xml:space="preserve">گیج دما  </t>
    </r>
    <r>
      <rPr>
        <sz val="10"/>
        <rFont val="Vazirmatn"/>
        <family val="0"/>
        <charset val="1"/>
      </rPr>
      <t xml:space="preserve">100 - 0 </t>
    </r>
    <r>
      <rPr>
        <sz val="10"/>
        <rFont val="FreeSans"/>
        <family val="2"/>
      </rPr>
      <t xml:space="preserve">دقت 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درجه سانتی گراد قطر صفحه </t>
    </r>
    <r>
      <rPr>
        <sz val="10"/>
        <rFont val="Vazirmatn"/>
        <family val="0"/>
        <charset val="1"/>
      </rPr>
      <t xml:space="preserve">15cm </t>
    </r>
    <r>
      <rPr>
        <sz val="10"/>
        <rFont val="FreeSans"/>
        <family val="2"/>
      </rPr>
      <t xml:space="preserve">طول سنسور </t>
    </r>
    <r>
      <rPr>
        <sz val="10"/>
        <rFont val="Vazirmatn"/>
        <family val="0"/>
        <charset val="1"/>
      </rPr>
      <t xml:space="preserve">10cm</t>
    </r>
  </si>
  <si>
    <t xml:space="preserve">31219133</t>
  </si>
  <si>
    <r>
      <rPr>
        <sz val="10"/>
        <rFont val="FreeSans"/>
        <family val="2"/>
      </rPr>
      <t xml:space="preserve">گیج دما  </t>
    </r>
    <r>
      <rPr>
        <sz val="10"/>
        <rFont val="Vazirmatn"/>
        <family val="0"/>
        <charset val="1"/>
      </rPr>
      <t xml:space="preserve">300 - 0 </t>
    </r>
    <r>
      <rPr>
        <sz val="10"/>
        <rFont val="FreeSans"/>
        <family val="2"/>
      </rPr>
      <t xml:space="preserve">دقت 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درجه سانتی گراد قطر صفحه </t>
    </r>
    <r>
      <rPr>
        <sz val="10"/>
        <rFont val="Vazirmatn"/>
        <family val="0"/>
        <charset val="1"/>
      </rPr>
      <t xml:space="preserve">15cm </t>
    </r>
    <r>
      <rPr>
        <sz val="10"/>
        <rFont val="FreeSans"/>
        <family val="2"/>
      </rPr>
      <t xml:space="preserve">طول سنسور </t>
    </r>
    <r>
      <rPr>
        <sz val="10"/>
        <rFont val="Vazirmatn"/>
        <family val="0"/>
        <charset val="1"/>
      </rPr>
      <t xml:space="preserve">10cm</t>
    </r>
  </si>
  <si>
    <t xml:space="preserve">31219136</t>
  </si>
  <si>
    <r>
      <rPr>
        <sz val="10"/>
        <rFont val="FreeSans"/>
        <family val="2"/>
      </rPr>
      <t xml:space="preserve">گیج فشار بخار  </t>
    </r>
    <r>
      <rPr>
        <sz val="10"/>
        <rFont val="Vazirmatn"/>
        <family val="0"/>
        <charset val="1"/>
      </rPr>
      <t xml:space="preserve">4 - 0 </t>
    </r>
    <r>
      <rPr>
        <sz val="10"/>
        <rFont val="FreeSans"/>
        <family val="2"/>
      </rPr>
      <t xml:space="preserve">بار  قطر صفحه </t>
    </r>
    <r>
      <rPr>
        <sz val="10"/>
        <rFont val="Vazirmatn"/>
        <family val="0"/>
        <charset val="1"/>
      </rPr>
      <t xml:space="preserve">10cm</t>
    </r>
  </si>
  <si>
    <t xml:space="preserve">31219137</t>
  </si>
  <si>
    <r>
      <rPr>
        <sz val="10"/>
        <rFont val="FreeSans"/>
        <family val="2"/>
      </rPr>
      <t xml:space="preserve">گیج فشار پنلی </t>
    </r>
    <r>
      <rPr>
        <sz val="10"/>
        <rFont val="Vazirmatn"/>
        <family val="0"/>
        <charset val="1"/>
      </rPr>
      <t xml:space="preserve">2/5 - 0 </t>
    </r>
    <r>
      <rPr>
        <sz val="10"/>
        <rFont val="FreeSans"/>
        <family val="2"/>
      </rPr>
      <t xml:space="preserve">بار دقت </t>
    </r>
    <r>
      <rPr>
        <sz val="10"/>
        <rFont val="Vazirmatn"/>
        <family val="0"/>
        <charset val="1"/>
      </rPr>
      <t xml:space="preserve">0/05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63mm </t>
    </r>
    <r>
      <rPr>
        <sz val="10"/>
        <rFont val="FreeSans"/>
        <family val="2"/>
      </rPr>
      <t xml:space="preserve">اتصال از پشت </t>
    </r>
    <r>
      <rPr>
        <sz val="10"/>
        <rFont val="Vazirmatn"/>
        <family val="0"/>
        <charset val="1"/>
      </rPr>
      <t xml:space="preserve">"1/4</t>
    </r>
  </si>
  <si>
    <t xml:space="preserve">31219138</t>
  </si>
  <si>
    <r>
      <rPr>
        <sz val="10"/>
        <rFont val="FreeSans"/>
        <family val="2"/>
      </rPr>
      <t xml:space="preserve">گیج فشار پنلی </t>
    </r>
    <r>
      <rPr>
        <sz val="10"/>
        <rFont val="Vazirmatn"/>
        <family val="0"/>
        <charset val="1"/>
      </rPr>
      <t xml:space="preserve">4 - 0 </t>
    </r>
    <r>
      <rPr>
        <sz val="10"/>
        <rFont val="FreeSans"/>
        <family val="2"/>
      </rPr>
      <t xml:space="preserve">بار دقت </t>
    </r>
    <r>
      <rPr>
        <sz val="10"/>
        <rFont val="Vazirmatn"/>
        <family val="0"/>
        <charset val="1"/>
      </rPr>
      <t xml:space="preserve">0/1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63mm </t>
    </r>
    <r>
      <rPr>
        <sz val="10"/>
        <rFont val="FreeSans"/>
        <family val="2"/>
      </rPr>
      <t xml:space="preserve">اتصال از پشت </t>
    </r>
    <r>
      <rPr>
        <sz val="10"/>
        <rFont val="Vazirmatn"/>
        <family val="0"/>
        <charset val="1"/>
      </rPr>
      <t xml:space="preserve">"1/4</t>
    </r>
  </si>
  <si>
    <t xml:space="preserve">31219139</t>
  </si>
  <si>
    <r>
      <rPr>
        <sz val="10"/>
        <rFont val="FreeSans"/>
        <family val="2"/>
      </rPr>
      <t xml:space="preserve">گیج فشار </t>
    </r>
    <r>
      <rPr>
        <sz val="10"/>
        <rFont val="Vazirmatn"/>
        <family val="0"/>
        <charset val="1"/>
      </rPr>
      <t xml:space="preserve">( PTP 33B - AA 7M 2H GB 3C J  ( E+H</t>
    </r>
  </si>
  <si>
    <t xml:space="preserve">31219140</t>
  </si>
  <si>
    <r>
      <rPr>
        <sz val="10"/>
        <rFont val="FreeSans"/>
        <family val="2"/>
      </rPr>
      <t xml:space="preserve">گیج فشار پنلی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تابلویی </t>
    </r>
    <r>
      <rPr>
        <sz val="10"/>
        <rFont val="Vazirmatn"/>
        <family val="0"/>
        <charset val="1"/>
      </rPr>
      <t xml:space="preserve">G 1/4 CL 2/5 / 1/6 232 / 50  NS 63mm  bar 0-70</t>
    </r>
  </si>
  <si>
    <t xml:space="preserve">31219141</t>
  </si>
  <si>
    <r>
      <rPr>
        <sz val="10"/>
        <rFont val="FreeSans"/>
        <family val="2"/>
      </rPr>
      <t xml:space="preserve">گیج فشار ایستاده  </t>
    </r>
    <r>
      <rPr>
        <sz val="10"/>
        <rFont val="Vazirmatn"/>
        <family val="0"/>
        <charset val="1"/>
      </rPr>
      <t xml:space="preserve">G 1/4 233 / 50 NS 63mm  bar 0-300</t>
    </r>
  </si>
  <si>
    <t xml:space="preserve">31219142</t>
  </si>
  <si>
    <r>
      <rPr>
        <sz val="10"/>
        <rFont val="FreeSans"/>
        <family val="2"/>
      </rPr>
      <t xml:space="preserve">گیج فشار ویکا </t>
    </r>
    <r>
      <rPr>
        <sz val="10"/>
        <rFont val="Vazirmatn"/>
        <family val="0"/>
        <charset val="1"/>
      </rPr>
      <t xml:space="preserve">160 - 0 mbar -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CL 1/6- 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NS 100</t>
    </r>
  </si>
  <si>
    <t xml:space="preserve">31219144</t>
  </si>
  <si>
    <r>
      <rPr>
        <sz val="10"/>
        <rFont val="FreeSans"/>
        <family val="2"/>
      </rPr>
      <t xml:space="preserve">گیج فشار دیافراگمی همراه با کپیلاری ویکا </t>
    </r>
    <r>
      <rPr>
        <sz val="10"/>
        <rFont val="Vazirmatn"/>
        <family val="0"/>
        <charset val="1"/>
      </rPr>
      <t xml:space="preserve">DN32 0-16bar 1m DSS22F</t>
    </r>
  </si>
  <si>
    <t xml:space="preserve">31219145</t>
  </si>
  <si>
    <r>
      <rPr>
        <sz val="10"/>
        <rFont val="FreeSans"/>
        <family val="2"/>
      </rPr>
      <t xml:space="preserve">گیج فشار  </t>
    </r>
    <r>
      <rPr>
        <sz val="10"/>
        <rFont val="Vazirmatn"/>
        <family val="0"/>
        <charset val="1"/>
      </rPr>
      <t xml:space="preserve">CL 1/6 0-250mbar MC100 PAKKENS  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10Cm </t>
    </r>
    <r>
      <rPr>
        <sz val="10"/>
        <rFont val="FreeSans"/>
        <family val="2"/>
      </rPr>
      <t xml:space="preserve">نصب عمودی </t>
    </r>
    <r>
      <rPr>
        <sz val="10"/>
        <rFont val="Vazirmatn"/>
        <family val="0"/>
        <charset val="1"/>
      </rPr>
      <t xml:space="preserve">"1/2 G</t>
    </r>
  </si>
  <si>
    <t xml:space="preserve">31219147</t>
  </si>
  <si>
    <r>
      <rPr>
        <sz val="10"/>
        <rFont val="FreeSans"/>
        <family val="2"/>
      </rPr>
      <t xml:space="preserve">گیج فشار دیافراگمی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ویکا </t>
    </r>
    <r>
      <rPr>
        <sz val="10"/>
        <rFont val="Vazirmatn"/>
        <family val="0"/>
        <charset val="1"/>
      </rPr>
      <t xml:space="preserve">CL 1/6 0-16bar DSS22F instyuma60 </t>
    </r>
    <r>
      <rPr>
        <sz val="10"/>
        <rFont val="FreeSans"/>
        <family val="2"/>
      </rPr>
      <t xml:space="preserve">دقت </t>
    </r>
    <r>
      <rPr>
        <sz val="10"/>
        <rFont val="Vazirmatn"/>
        <family val="0"/>
        <charset val="1"/>
      </rPr>
      <t xml:space="preserve">0/2 </t>
    </r>
    <r>
      <rPr>
        <sz val="10"/>
        <rFont val="FreeSans"/>
        <family val="2"/>
      </rPr>
      <t xml:space="preserve">دیافراگم کلمپی </t>
    </r>
    <r>
      <rPr>
        <sz val="10"/>
        <rFont val="Vazirmatn"/>
        <family val="0"/>
        <charset val="1"/>
      </rPr>
      <t xml:space="preserve">DN 32</t>
    </r>
  </si>
  <si>
    <t xml:space="preserve">31219148</t>
  </si>
  <si>
    <r>
      <rPr>
        <sz val="10"/>
        <rFont val="FreeSans"/>
        <family val="2"/>
      </rPr>
      <t xml:space="preserve">گیج فشار تابلویی استیل روغنی </t>
    </r>
    <r>
      <rPr>
        <sz val="10"/>
        <rFont val="Vazirmatn"/>
        <family val="0"/>
        <charset val="1"/>
      </rPr>
      <t xml:space="preserve">10-0 </t>
    </r>
    <r>
      <rPr>
        <sz val="10"/>
        <rFont val="FreeSans"/>
        <family val="2"/>
      </rPr>
      <t xml:space="preserve">بار </t>
    </r>
    <r>
      <rPr>
        <sz val="10"/>
        <rFont val="Vazirmatn"/>
        <family val="0"/>
        <charset val="1"/>
      </rPr>
      <t xml:space="preserve">- NS 63 - 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6Cm</t>
    </r>
  </si>
  <si>
    <t xml:space="preserve">31219149</t>
  </si>
  <si>
    <r>
      <rPr>
        <sz val="10"/>
        <rFont val="FreeSans"/>
        <family val="2"/>
      </rPr>
      <t xml:space="preserve">گیج فشار عقربه ای استیل </t>
    </r>
    <r>
      <rPr>
        <sz val="10"/>
        <rFont val="Vazirmatn"/>
        <family val="0"/>
        <charset val="1"/>
      </rPr>
      <t xml:space="preserve">304 bar 0 - 16-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10Cm-</t>
    </r>
    <r>
      <rPr>
        <sz val="10"/>
        <rFont val="FreeSans"/>
        <family val="2"/>
      </rPr>
      <t xml:space="preserve">دقت </t>
    </r>
    <r>
      <rPr>
        <sz val="10"/>
        <rFont val="Vazirmatn"/>
        <family val="0"/>
        <charset val="1"/>
      </rPr>
      <t xml:space="preserve">0/2 bar-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1/6-</t>
    </r>
    <r>
      <rPr>
        <sz val="10"/>
        <rFont val="FreeSans"/>
        <family val="2"/>
      </rPr>
      <t xml:space="preserve">نصب عمود رزوه ای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"1/2</t>
    </r>
  </si>
  <si>
    <t xml:space="preserve">31219150</t>
  </si>
  <si>
    <r>
      <rPr>
        <sz val="10"/>
        <rFont val="FreeSans"/>
        <family val="2"/>
      </rPr>
      <t xml:space="preserve">گیج فشار عقربه ای خشک بوردون استیل </t>
    </r>
    <r>
      <rPr>
        <sz val="10"/>
        <rFont val="Vazirmatn"/>
        <family val="0"/>
        <charset val="1"/>
      </rPr>
      <t xml:space="preserve">304 - bar 0 - 25 - 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"8 - </t>
    </r>
    <r>
      <rPr>
        <sz val="10"/>
        <rFont val="FreeSans"/>
        <family val="2"/>
      </rPr>
      <t xml:space="preserve">زینه بندی </t>
    </r>
    <r>
      <rPr>
        <sz val="10"/>
        <rFont val="Vazirmatn"/>
        <family val="0"/>
        <charset val="1"/>
      </rPr>
      <t xml:space="preserve">0/5 bar - </t>
    </r>
    <r>
      <rPr>
        <sz val="10"/>
        <rFont val="FreeSans"/>
        <family val="2"/>
      </rPr>
      <t xml:space="preserve">دقت کلاس </t>
    </r>
    <r>
      <rPr>
        <sz val="10"/>
        <rFont val="Vazirmatn"/>
        <family val="0"/>
        <charset val="1"/>
      </rPr>
      <t xml:space="preserve">1/6 - </t>
    </r>
    <r>
      <rPr>
        <sz val="10"/>
        <rFont val="FreeSans"/>
        <family val="2"/>
      </rPr>
      <t xml:space="preserve">نصب عمود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"1/2</t>
    </r>
  </si>
  <si>
    <t xml:space="preserve">31219151</t>
  </si>
  <si>
    <r>
      <rPr>
        <sz val="10"/>
        <rFont val="FreeSans"/>
        <family val="2"/>
      </rPr>
      <t xml:space="preserve">گیج فشار روغنی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بوردون تیوپ برنجی </t>
    </r>
    <r>
      <rPr>
        <sz val="10"/>
        <rFont val="Vazirmatn"/>
        <family val="0"/>
        <charset val="1"/>
      </rPr>
      <t xml:space="preserve">- MPA Unit 0 - 1 - 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D = 100mm - </t>
    </r>
    <r>
      <rPr>
        <sz val="10"/>
        <rFont val="FreeSans"/>
        <family val="2"/>
      </rPr>
      <t xml:space="preserve">زینه بندی </t>
    </r>
    <r>
      <rPr>
        <sz val="10"/>
        <rFont val="Vazirmatn"/>
        <family val="0"/>
        <charset val="1"/>
      </rPr>
      <t xml:space="preserve">0/05  - 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2/5 = CL - </t>
    </r>
    <r>
      <rPr>
        <sz val="10"/>
        <rFont val="FreeSans"/>
        <family val="2"/>
      </rPr>
      <t xml:space="preserve">اتصال از پایین </t>
    </r>
    <r>
      <rPr>
        <sz val="10"/>
        <rFont val="Vazirmatn"/>
        <family val="0"/>
        <charset val="1"/>
      </rPr>
      <t xml:space="preserve">LM -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"1/2 = G</t>
    </r>
  </si>
  <si>
    <t xml:space="preserve">31219153</t>
  </si>
  <si>
    <t xml:space="preserve">گیج تنظیم باد</t>
  </si>
  <si>
    <t xml:space="preserve">31219154</t>
  </si>
  <si>
    <r>
      <rPr>
        <sz val="10"/>
        <rFont val="FreeSans"/>
        <family val="2"/>
      </rPr>
      <t xml:space="preserve">گیج فشار عقربه ای خشک استیل </t>
    </r>
    <r>
      <rPr>
        <sz val="10"/>
        <rFont val="Vazirmatn"/>
        <family val="0"/>
        <charset val="1"/>
      </rPr>
      <t xml:space="preserve">316 - bar 0 - 25 -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1/6 ( CL ) - 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300mm - </t>
    </r>
    <r>
      <rPr>
        <sz val="10"/>
        <rFont val="FreeSans"/>
        <family val="2"/>
      </rPr>
      <t xml:space="preserve">اتصال </t>
    </r>
    <r>
      <rPr>
        <sz val="10"/>
        <rFont val="Vazirmatn"/>
        <family val="0"/>
        <charset val="1"/>
      </rPr>
      <t xml:space="preserve">" 1/2 ( NPT ) - </t>
    </r>
    <r>
      <rPr>
        <sz val="10"/>
        <rFont val="FreeSans"/>
        <family val="2"/>
      </rPr>
      <t xml:space="preserve">ریز نگری </t>
    </r>
    <r>
      <rPr>
        <sz val="10"/>
        <rFont val="Vazirmatn"/>
        <family val="0"/>
        <charset val="1"/>
      </rPr>
      <t xml:space="preserve">0/5 bar</t>
    </r>
  </si>
  <si>
    <t xml:space="preserve">31219165</t>
  </si>
  <si>
    <r>
      <rPr>
        <sz val="10"/>
        <rFont val="FreeSans"/>
        <family val="2"/>
      </rPr>
      <t xml:space="preserve">گیج </t>
    </r>
    <r>
      <rPr>
        <sz val="10"/>
        <rFont val="Vazirmatn"/>
        <family val="0"/>
        <charset val="1"/>
      </rPr>
      <t xml:space="preserve">_069060</t>
    </r>
  </si>
  <si>
    <t xml:space="preserve">31219179</t>
  </si>
  <si>
    <r>
      <rPr>
        <sz val="10"/>
        <rFont val="FreeSans"/>
        <family val="2"/>
      </rPr>
      <t xml:space="preserve">گیج </t>
    </r>
    <r>
      <rPr>
        <sz val="10"/>
        <rFont val="Vazirmatn"/>
        <family val="0"/>
        <charset val="1"/>
      </rPr>
      <t xml:space="preserve">_040</t>
    </r>
  </si>
  <si>
    <t xml:space="preserve">31219184</t>
  </si>
  <si>
    <r>
      <rPr>
        <sz val="10"/>
        <rFont val="FreeSans"/>
        <family val="2"/>
      </rPr>
      <t xml:space="preserve">درجه فشارسنج پودری </t>
    </r>
    <r>
      <rPr>
        <sz val="10"/>
        <rFont val="Vazirmatn"/>
        <family val="0"/>
        <charset val="1"/>
      </rPr>
      <t xml:space="preserve">G</t>
    </r>
  </si>
  <si>
    <t xml:space="preserve">31219186</t>
  </si>
  <si>
    <r>
      <rPr>
        <sz val="10"/>
        <rFont val="FreeSans"/>
        <family val="2"/>
      </rPr>
      <t xml:space="preserve">ترمومتر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دماسنج </t>
    </r>
    <r>
      <rPr>
        <sz val="10"/>
        <rFont val="Vazirmatn"/>
        <family val="0"/>
        <charset val="1"/>
      </rPr>
      <t xml:space="preserve">) ( TT )</t>
    </r>
  </si>
  <si>
    <t xml:space="preserve">31219189</t>
  </si>
  <si>
    <r>
      <rPr>
        <sz val="10"/>
        <rFont val="FreeSans"/>
        <family val="2"/>
      </rPr>
      <t xml:space="preserve">ترمومتر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گیج دما </t>
    </r>
    <r>
      <rPr>
        <sz val="10"/>
        <rFont val="Vazirmatn"/>
        <family val="0"/>
        <charset val="1"/>
      </rPr>
      <t xml:space="preserve">) ( 150 - 0 )</t>
    </r>
  </si>
  <si>
    <t xml:space="preserve">31219190</t>
  </si>
  <si>
    <r>
      <rPr>
        <sz val="10"/>
        <rFont val="FreeSans"/>
        <family val="2"/>
      </rPr>
      <t xml:space="preserve">گیج دما  </t>
    </r>
    <r>
      <rPr>
        <sz val="10"/>
        <rFont val="Vazirmatn"/>
        <family val="0"/>
        <charset val="1"/>
      </rPr>
      <t xml:space="preserve">100 - 0 </t>
    </r>
    <r>
      <rPr>
        <sz val="10"/>
        <rFont val="FreeSans"/>
        <family val="2"/>
      </rPr>
      <t xml:space="preserve">دقت 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درجه سانتی گراد قطر صفحه </t>
    </r>
    <r>
      <rPr>
        <sz val="10"/>
        <rFont val="Vazirmatn"/>
        <family val="0"/>
        <charset val="1"/>
      </rPr>
      <t xml:space="preserve">15cm </t>
    </r>
    <r>
      <rPr>
        <sz val="10"/>
        <rFont val="FreeSans"/>
        <family val="2"/>
      </rPr>
      <t xml:space="preserve">طول سنسور</t>
    </r>
    <r>
      <rPr>
        <sz val="10"/>
        <rFont val="Vazirmatn"/>
        <family val="0"/>
        <charset val="1"/>
      </rPr>
      <t xml:space="preserve">5cm</t>
    </r>
  </si>
  <si>
    <t xml:space="preserve">31219191</t>
  </si>
  <si>
    <r>
      <rPr>
        <sz val="10"/>
        <rFont val="FreeSans"/>
        <family val="2"/>
      </rPr>
      <t xml:space="preserve">ترمومتر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گیج دما </t>
    </r>
    <r>
      <rPr>
        <sz val="10"/>
        <rFont val="Vazirmatn"/>
        <family val="0"/>
        <charset val="1"/>
      </rPr>
      <t xml:space="preserve">) ( 60 - 0 )</t>
    </r>
  </si>
  <si>
    <t xml:space="preserve">31219192</t>
  </si>
  <si>
    <r>
      <rPr>
        <sz val="10"/>
        <rFont val="FreeSans"/>
        <family val="2"/>
      </rPr>
      <t xml:space="preserve">ترمومتر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گیج دما </t>
    </r>
    <r>
      <rPr>
        <sz val="10"/>
        <rFont val="Vazirmatn"/>
        <family val="0"/>
        <charset val="1"/>
      </rPr>
      <t xml:space="preserve">) ( 300 - 0 )</t>
    </r>
  </si>
  <si>
    <t xml:space="preserve">31219194</t>
  </si>
  <si>
    <r>
      <rPr>
        <sz val="10"/>
        <rFont val="FreeSans"/>
        <family val="2"/>
      </rPr>
      <t xml:space="preserve">مانومتر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گیج فشار </t>
    </r>
    <r>
      <rPr>
        <sz val="10"/>
        <rFont val="Vazirmatn"/>
        <family val="0"/>
        <charset val="1"/>
      </rPr>
      <t xml:space="preserve">) ( 6 - 0 )</t>
    </r>
  </si>
  <si>
    <t xml:space="preserve">31219196</t>
  </si>
  <si>
    <r>
      <rPr>
        <sz val="10"/>
        <rFont val="FreeSans"/>
        <family val="2"/>
      </rPr>
      <t xml:space="preserve">مانومتر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گیج خلاء </t>
    </r>
    <r>
      <rPr>
        <sz val="10"/>
        <rFont val="Vazirmatn"/>
        <family val="0"/>
        <charset val="1"/>
      </rPr>
      <t xml:space="preserve">) ( 15 - 0 )</t>
    </r>
  </si>
  <si>
    <t xml:space="preserve">31219202</t>
  </si>
  <si>
    <r>
      <rPr>
        <sz val="10"/>
        <rFont val="FreeSans"/>
        <family val="2"/>
      </rPr>
      <t xml:space="preserve">مانومتر کپسول اکسیژن </t>
    </r>
    <r>
      <rPr>
        <sz val="10"/>
        <rFont val="Vazirmatn"/>
        <family val="0"/>
        <charset val="1"/>
      </rPr>
      <t xml:space="preserve">250bar</t>
    </r>
  </si>
  <si>
    <t xml:space="preserve">31219203</t>
  </si>
  <si>
    <r>
      <rPr>
        <sz val="10"/>
        <rFont val="FreeSans"/>
        <family val="2"/>
      </rPr>
      <t xml:space="preserve">گیج فشار پرس   </t>
    </r>
    <r>
      <rPr>
        <sz val="10"/>
        <rFont val="Vazirmatn"/>
        <family val="0"/>
        <charset val="1"/>
      </rPr>
      <t xml:space="preserve">3/8" 60mm- 0-300</t>
    </r>
  </si>
  <si>
    <t xml:space="preserve">31219209</t>
  </si>
  <si>
    <r>
      <rPr>
        <sz val="10"/>
        <rFont val="FreeSans"/>
        <family val="2"/>
      </rPr>
      <t xml:space="preserve">دماسنج جیوه ای مدرج  </t>
    </r>
    <r>
      <rPr>
        <sz val="10"/>
        <rFont val="Vazirmatn"/>
        <family val="0"/>
        <charset val="1"/>
      </rPr>
      <t xml:space="preserve">150 - 0</t>
    </r>
  </si>
  <si>
    <t xml:space="preserve">31219210</t>
  </si>
  <si>
    <r>
      <rPr>
        <sz val="10"/>
        <rFont val="FreeSans"/>
        <family val="2"/>
      </rPr>
      <t xml:space="preserve">ترمومتر عقربه ای </t>
    </r>
    <r>
      <rPr>
        <sz val="10"/>
        <rFont val="Vazirmatn"/>
        <family val="0"/>
        <charset val="1"/>
      </rPr>
      <t xml:space="preserve">40 + ... 40 - </t>
    </r>
    <r>
      <rPr>
        <sz val="10"/>
        <rFont val="FreeSans"/>
        <family val="2"/>
      </rPr>
      <t xml:space="preserve">درجه سانتی گراد کلاس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دنباله </t>
    </r>
    <r>
      <rPr>
        <sz val="10"/>
        <rFont val="Vazirmatn"/>
        <family val="0"/>
        <charset val="1"/>
      </rPr>
      <t xml:space="preserve">2m 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10Cm </t>
    </r>
    <r>
      <rPr>
        <sz val="10"/>
        <rFont val="FreeSans"/>
        <family val="2"/>
      </rPr>
      <t xml:space="preserve">ویکا </t>
    </r>
    <r>
      <rPr>
        <sz val="10"/>
        <rFont val="Vazirmatn"/>
        <family val="0"/>
        <charset val="1"/>
      </rPr>
      <t xml:space="preserve">tM 81.01</t>
    </r>
  </si>
  <si>
    <t xml:space="preserve">31219220</t>
  </si>
  <si>
    <r>
      <rPr>
        <sz val="10"/>
        <rFont val="FreeSans"/>
        <family val="2"/>
      </rPr>
      <t xml:space="preserve">گیج خلاء </t>
    </r>
    <r>
      <rPr>
        <sz val="10"/>
        <rFont val="Vazirmatn"/>
        <family val="0"/>
        <charset val="1"/>
      </rPr>
      <t xml:space="preserve">760 - 0    15cm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-- </t>
    </r>
    <r>
      <rPr>
        <sz val="10"/>
        <rFont val="FreeSans"/>
        <family val="2"/>
      </rPr>
      <t xml:space="preserve">دقت </t>
    </r>
    <r>
      <rPr>
        <sz val="10"/>
        <rFont val="Vazirmatn"/>
        <family val="0"/>
        <charset val="1"/>
      </rPr>
      <t xml:space="preserve">20MMHg</t>
    </r>
  </si>
  <si>
    <t xml:space="preserve">31219221</t>
  </si>
  <si>
    <r>
      <rPr>
        <sz val="10"/>
        <rFont val="FreeSans"/>
        <family val="2"/>
      </rPr>
      <t xml:space="preserve">گیج خلاء  </t>
    </r>
    <r>
      <rPr>
        <sz val="10"/>
        <rFont val="Vazirmatn"/>
        <family val="0"/>
        <charset val="1"/>
      </rPr>
      <t xml:space="preserve">760 - 0 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5cm </t>
    </r>
    <r>
      <rPr>
        <sz val="10"/>
        <rFont val="FreeSans"/>
        <family val="2"/>
      </rPr>
      <t xml:space="preserve">اتصال </t>
    </r>
    <r>
      <rPr>
        <sz val="10"/>
        <rFont val="Vazirmatn"/>
        <family val="0"/>
        <charset val="1"/>
      </rPr>
      <t xml:space="preserve">"3/8 </t>
    </r>
    <r>
      <rPr>
        <sz val="10"/>
        <rFont val="FreeSans"/>
        <family val="2"/>
      </rPr>
      <t xml:space="preserve">اتصال عمودی</t>
    </r>
  </si>
  <si>
    <t xml:space="preserve">31219222</t>
  </si>
  <si>
    <r>
      <rPr>
        <sz val="10"/>
        <rFont val="FreeSans"/>
        <family val="2"/>
      </rPr>
      <t xml:space="preserve">گیج خلاء عقربه ای استیل </t>
    </r>
    <r>
      <rPr>
        <sz val="10"/>
        <rFont val="Vazirmatn"/>
        <family val="0"/>
        <charset val="1"/>
      </rPr>
      <t xml:space="preserve">304 bar 0 - (-1)-</t>
    </r>
    <r>
      <rPr>
        <sz val="10"/>
        <rFont val="FreeSans"/>
        <family val="2"/>
      </rPr>
      <t xml:space="preserve">قطر صفحه </t>
    </r>
    <r>
      <rPr>
        <sz val="10"/>
        <rFont val="Vazirmatn"/>
        <family val="0"/>
        <charset val="1"/>
      </rPr>
      <t xml:space="preserve">15Cm-</t>
    </r>
    <r>
      <rPr>
        <sz val="10"/>
        <rFont val="FreeSans"/>
        <family val="2"/>
      </rPr>
      <t xml:space="preserve">دقت </t>
    </r>
    <r>
      <rPr>
        <sz val="10"/>
        <rFont val="Vazirmatn"/>
        <family val="0"/>
        <charset val="1"/>
      </rPr>
      <t xml:space="preserve">0/02 bar-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1/6-</t>
    </r>
    <r>
      <rPr>
        <sz val="10"/>
        <rFont val="FreeSans"/>
        <family val="2"/>
      </rPr>
      <t xml:space="preserve">نصب عمود رزوه ای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"1/2</t>
    </r>
  </si>
  <si>
    <t xml:space="preserve">31219251</t>
  </si>
  <si>
    <r>
      <rPr>
        <sz val="10"/>
        <rFont val="FreeSans"/>
        <family val="2"/>
      </rPr>
      <t xml:space="preserve">گیج استیل </t>
    </r>
    <r>
      <rPr>
        <sz val="10"/>
        <rFont val="Vazirmatn"/>
        <family val="0"/>
        <charset val="1"/>
      </rPr>
      <t xml:space="preserve">0-20</t>
    </r>
    <r>
      <rPr>
        <sz val="10"/>
        <rFont val="FreeSans"/>
        <family val="2"/>
      </rPr>
      <t xml:space="preserve">صفحه  </t>
    </r>
    <r>
      <rPr>
        <sz val="10"/>
        <rFont val="Vazirmatn"/>
        <family val="0"/>
        <charset val="1"/>
      </rPr>
      <t xml:space="preserve">15 c</t>
    </r>
  </si>
  <si>
    <t xml:space="preserve">31219260</t>
  </si>
  <si>
    <r>
      <rPr>
        <sz val="10"/>
        <rFont val="FreeSans"/>
        <family val="2"/>
      </rPr>
      <t xml:space="preserve">غلاف ترمومتر برنجی طول </t>
    </r>
    <r>
      <rPr>
        <sz val="10"/>
        <rFont val="Vazirmatn"/>
        <family val="0"/>
        <charset val="1"/>
      </rPr>
      <t xml:space="preserve">=15Cm - </t>
    </r>
    <r>
      <rPr>
        <sz val="10"/>
        <rFont val="FreeSans"/>
        <family val="2"/>
      </rPr>
      <t xml:space="preserve">قطر داخل </t>
    </r>
    <r>
      <rPr>
        <sz val="10"/>
        <rFont val="Vazirmatn"/>
        <family val="0"/>
        <charset val="1"/>
      </rPr>
      <t xml:space="preserve">= 10mm</t>
    </r>
  </si>
  <si>
    <t xml:space="preserve">31219261</t>
  </si>
  <si>
    <r>
      <rPr>
        <sz val="10"/>
        <rFont val="FreeSans"/>
        <family val="2"/>
      </rPr>
      <t xml:space="preserve">غلاف ترمومتر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=15Cm - </t>
    </r>
    <r>
      <rPr>
        <sz val="10"/>
        <rFont val="FreeSans"/>
        <family val="2"/>
      </rPr>
      <t xml:space="preserve">قطر داخل </t>
    </r>
    <r>
      <rPr>
        <sz val="10"/>
        <rFont val="Vazirmatn"/>
        <family val="0"/>
        <charset val="1"/>
      </rPr>
      <t xml:space="preserve">= 11mm</t>
    </r>
  </si>
  <si>
    <t xml:space="preserve">31219264</t>
  </si>
  <si>
    <r>
      <rPr>
        <sz val="10"/>
        <rFont val="FreeSans"/>
        <family val="2"/>
      </rPr>
      <t xml:space="preserve">لوپ فولادی </t>
    </r>
    <r>
      <rPr>
        <sz val="10"/>
        <rFont val="Vazirmatn"/>
        <family val="0"/>
        <charset val="1"/>
      </rPr>
      <t xml:space="preserve">180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10mm - </t>
    </r>
    <r>
      <rPr>
        <sz val="10"/>
        <rFont val="FreeSans"/>
        <family val="2"/>
      </rPr>
      <t xml:space="preserve">اتصال </t>
    </r>
    <r>
      <rPr>
        <sz val="10"/>
        <rFont val="Vazirmatn"/>
        <family val="0"/>
        <charset val="1"/>
      </rPr>
      <t xml:space="preserve">"1/2</t>
    </r>
  </si>
  <si>
    <t xml:space="preserve">31219265</t>
  </si>
  <si>
    <r>
      <rPr>
        <sz val="10"/>
        <rFont val="FreeSans"/>
        <family val="2"/>
      </rPr>
      <t xml:space="preserve">لوپ گیج فشار    </t>
    </r>
    <r>
      <rPr>
        <sz val="10"/>
        <rFont val="Vazirmatn"/>
        <family val="0"/>
        <charset val="1"/>
      </rPr>
      <t xml:space="preserve">" 1/2</t>
    </r>
  </si>
  <si>
    <t xml:space="preserve">31219267</t>
  </si>
  <si>
    <r>
      <rPr>
        <sz val="10"/>
        <rFont val="FreeSans"/>
        <family val="2"/>
      </rPr>
      <t xml:space="preserve">لوپ فولادی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10mm - </t>
    </r>
    <r>
      <rPr>
        <sz val="10"/>
        <rFont val="FreeSans"/>
        <family val="2"/>
      </rPr>
      <t xml:space="preserve">اتصال </t>
    </r>
    <r>
      <rPr>
        <sz val="10"/>
        <rFont val="Vazirmatn"/>
        <family val="0"/>
        <charset val="1"/>
      </rPr>
      <t xml:space="preserve">"1/2</t>
    </r>
  </si>
  <si>
    <t xml:space="preserve">31219271</t>
  </si>
  <si>
    <r>
      <rPr>
        <sz val="10"/>
        <rFont val="FreeSans"/>
        <family val="2"/>
      </rPr>
      <t xml:space="preserve">برد </t>
    </r>
    <r>
      <rPr>
        <sz val="10"/>
        <rFont val="Vazirmatn"/>
        <family val="0"/>
        <charset val="1"/>
      </rPr>
      <t xml:space="preserve">LCD  </t>
    </r>
    <r>
      <rPr>
        <sz val="10"/>
        <rFont val="FreeSans"/>
        <family val="2"/>
      </rPr>
      <t xml:space="preserve">پنل 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مترها </t>
    </r>
    <r>
      <rPr>
        <sz val="10"/>
        <rFont val="Vazirmatn"/>
        <family val="0"/>
        <charset val="1"/>
      </rPr>
      <t xml:space="preserve">O.C: 51501081 P.N:51510363</t>
    </r>
  </si>
  <si>
    <t xml:space="preserve">31219272</t>
  </si>
  <si>
    <r>
      <rPr>
        <sz val="10"/>
        <rFont val="FreeSans"/>
        <family val="2"/>
      </rPr>
      <t xml:space="preserve">برد تغذیه فلومترهای مغناطیسی</t>
    </r>
    <r>
      <rPr>
        <sz val="10"/>
        <rFont val="Vazirmatn"/>
        <family val="0"/>
        <charset val="1"/>
      </rPr>
      <t xml:space="preserve">O.C : 50096747</t>
    </r>
  </si>
  <si>
    <t xml:space="preserve">31219273</t>
  </si>
  <si>
    <r>
      <rPr>
        <sz val="10"/>
        <rFont val="FreeSans"/>
        <family val="2"/>
      </rPr>
      <t xml:space="preserve">برد آمپلی فایر فلومترهای مغناطیسی </t>
    </r>
    <r>
      <rPr>
        <sz val="10"/>
        <rFont val="Vazirmatn"/>
        <family val="0"/>
        <charset val="1"/>
      </rPr>
      <t xml:space="preserve">O.C : 50106075</t>
    </r>
  </si>
  <si>
    <t xml:space="preserve">31219274</t>
  </si>
  <si>
    <r>
      <rPr>
        <sz val="10"/>
        <rFont val="FreeSans"/>
        <family val="2"/>
      </rPr>
      <t xml:space="preserve">برد آمپلی فایر  فلومترهای مغناطیسی</t>
    </r>
    <r>
      <rPr>
        <sz val="10"/>
        <rFont val="Vazirmatn"/>
        <family val="0"/>
        <charset val="1"/>
      </rPr>
      <t xml:space="preserve">O.C : 50106073</t>
    </r>
  </si>
  <si>
    <t xml:space="preserve">31219275</t>
  </si>
  <si>
    <r>
      <rPr>
        <sz val="10"/>
        <rFont val="FreeSans"/>
        <family val="2"/>
      </rPr>
      <t xml:space="preserve">برد آمپلی فایر  فلومترهای جرمی</t>
    </r>
    <r>
      <rPr>
        <sz val="10"/>
        <rFont val="Vazirmatn"/>
        <family val="0"/>
        <charset val="1"/>
      </rPr>
      <t xml:space="preserve">O.C : 50106097</t>
    </r>
  </si>
  <si>
    <t xml:space="preserve">31219276</t>
  </si>
  <si>
    <r>
      <rPr>
        <sz val="10"/>
        <rFont val="FreeSans"/>
        <family val="2"/>
      </rPr>
      <t xml:space="preserve">برد  آمپلی فایر فلومترهای جرمی</t>
    </r>
    <r>
      <rPr>
        <sz val="10"/>
        <rFont val="Vazirmatn"/>
        <family val="0"/>
        <charset val="1"/>
      </rPr>
      <t xml:space="preserve">O.C : 50108135</t>
    </r>
  </si>
  <si>
    <t xml:space="preserve">31219277</t>
  </si>
  <si>
    <r>
      <rPr>
        <sz val="10"/>
        <rFont val="FreeSans"/>
        <family val="2"/>
      </rPr>
      <t xml:space="preserve">برد  </t>
    </r>
    <r>
      <rPr>
        <sz val="10"/>
        <rFont val="Vazirmatn"/>
        <family val="0"/>
        <charset val="1"/>
      </rPr>
      <t xml:space="preserve">I / O  </t>
    </r>
    <r>
      <rPr>
        <sz val="10"/>
        <rFont val="FreeSans"/>
        <family val="2"/>
      </rPr>
      <t xml:space="preserve">فلومترهای جرمی</t>
    </r>
    <r>
      <rPr>
        <sz val="10"/>
        <rFont val="Vazirmatn"/>
        <family val="0"/>
        <charset val="1"/>
      </rPr>
      <t xml:space="preserve">O.C : 50096833</t>
    </r>
  </si>
  <si>
    <t xml:space="preserve">31219278</t>
  </si>
  <si>
    <r>
      <rPr>
        <sz val="10"/>
        <rFont val="FreeSans"/>
        <family val="2"/>
      </rPr>
      <t xml:space="preserve">برد  </t>
    </r>
    <r>
      <rPr>
        <sz val="10"/>
        <rFont val="Vazirmatn"/>
        <family val="0"/>
        <charset val="1"/>
      </rPr>
      <t xml:space="preserve">I / O   </t>
    </r>
    <r>
      <rPr>
        <sz val="10"/>
        <rFont val="FreeSans"/>
        <family val="2"/>
      </rPr>
      <t xml:space="preserve">فلومترهای جرمی</t>
    </r>
    <r>
      <rPr>
        <sz val="10"/>
        <rFont val="Vazirmatn"/>
        <family val="0"/>
        <charset val="1"/>
      </rPr>
      <t xml:space="preserve">O.C : 50098301</t>
    </r>
  </si>
  <si>
    <t xml:space="preserve">31219279</t>
  </si>
  <si>
    <r>
      <rPr>
        <sz val="10"/>
        <rFont val="FreeSans"/>
        <family val="2"/>
      </rPr>
      <t xml:space="preserve">برد  </t>
    </r>
    <r>
      <rPr>
        <sz val="10"/>
        <rFont val="Vazirmatn"/>
        <family val="0"/>
        <charset val="1"/>
      </rPr>
      <t xml:space="preserve">I / O  ( </t>
    </r>
    <r>
      <rPr>
        <sz val="10"/>
        <rFont val="FreeSans"/>
        <family val="2"/>
      </rPr>
      <t xml:space="preserve">جریان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فلومترهای جرمی</t>
    </r>
    <r>
      <rPr>
        <sz val="10"/>
        <rFont val="Vazirmatn"/>
        <family val="0"/>
        <charset val="1"/>
      </rPr>
      <t xml:space="preserve">O.C : 50096834</t>
    </r>
  </si>
  <si>
    <t xml:space="preserve">31219280</t>
  </si>
  <si>
    <r>
      <rPr>
        <sz val="10"/>
        <rFont val="FreeSans"/>
        <family val="2"/>
      </rPr>
      <t xml:space="preserve">برد آمپلی فایر فلومترهای  مغناطیسی</t>
    </r>
    <r>
      <rPr>
        <sz val="10"/>
        <rFont val="Vazirmatn"/>
        <family val="0"/>
        <charset val="1"/>
      </rPr>
      <t xml:space="preserve">O.C : 50103475</t>
    </r>
  </si>
  <si>
    <t xml:space="preserve">31219281</t>
  </si>
  <si>
    <r>
      <rPr>
        <sz val="10"/>
        <rFont val="FreeSans"/>
        <family val="2"/>
      </rPr>
      <t xml:space="preserve">برد  آمپلی فایر فلومترهای مغناطیسی</t>
    </r>
    <r>
      <rPr>
        <sz val="10"/>
        <rFont val="Vazirmatn"/>
        <family val="0"/>
        <charset val="1"/>
      </rPr>
      <t xml:space="preserve">O.C : 50106027</t>
    </r>
  </si>
  <si>
    <t xml:space="preserve">31219282</t>
  </si>
  <si>
    <r>
      <rPr>
        <sz val="10"/>
        <rFont val="FreeSans"/>
        <family val="2"/>
      </rPr>
      <t xml:space="preserve">برد  </t>
    </r>
    <r>
      <rPr>
        <sz val="10"/>
        <rFont val="Vazirmatn"/>
        <family val="0"/>
        <charset val="1"/>
      </rPr>
      <t xml:space="preserve">I / O  </t>
    </r>
    <r>
      <rPr>
        <sz val="10"/>
        <rFont val="FreeSans"/>
        <family val="2"/>
      </rPr>
      <t xml:space="preserve">فلومترهای مغناطیسی</t>
    </r>
    <r>
      <rPr>
        <sz val="10"/>
        <rFont val="Vazirmatn"/>
        <family val="0"/>
        <charset val="1"/>
      </rPr>
      <t xml:space="preserve">O.C : 50096757</t>
    </r>
  </si>
  <si>
    <t xml:space="preserve">31219283</t>
  </si>
  <si>
    <r>
      <rPr>
        <sz val="10"/>
        <rFont val="FreeSans"/>
        <family val="2"/>
      </rPr>
      <t xml:space="preserve">برد  </t>
    </r>
    <r>
      <rPr>
        <sz val="10"/>
        <rFont val="Vazirmatn"/>
        <family val="0"/>
        <charset val="1"/>
      </rPr>
      <t xml:space="preserve">I / O   </t>
    </r>
    <r>
      <rPr>
        <sz val="10"/>
        <rFont val="FreeSans"/>
        <family val="2"/>
      </rPr>
      <t xml:space="preserve">فلومترهای مغناطیسی</t>
    </r>
    <r>
      <rPr>
        <sz val="10"/>
        <rFont val="Vazirmatn"/>
        <family val="0"/>
        <charset val="1"/>
      </rPr>
      <t xml:space="preserve">O.C : 50103476</t>
    </r>
  </si>
  <si>
    <t xml:space="preserve">31219284</t>
  </si>
  <si>
    <r>
      <rPr>
        <sz val="10"/>
        <rFont val="FreeSans"/>
        <family val="2"/>
      </rPr>
      <t xml:space="preserve">برد  </t>
    </r>
    <r>
      <rPr>
        <sz val="10"/>
        <rFont val="Vazirmatn"/>
        <family val="0"/>
        <charset val="1"/>
      </rPr>
      <t xml:space="preserve">I / O   </t>
    </r>
    <r>
      <rPr>
        <sz val="10"/>
        <rFont val="FreeSans"/>
        <family val="2"/>
      </rPr>
      <t xml:space="preserve">فلومترهای مغناطیسی</t>
    </r>
    <r>
      <rPr>
        <sz val="10"/>
        <rFont val="Vazirmatn"/>
        <family val="0"/>
        <charset val="1"/>
      </rPr>
      <t xml:space="preserve">O.C : 50103477</t>
    </r>
  </si>
  <si>
    <t xml:space="preserve">31219285</t>
  </si>
  <si>
    <r>
      <rPr>
        <sz val="10"/>
        <rFont val="FreeSans"/>
        <family val="2"/>
      </rPr>
      <t xml:space="preserve">برد تغذیه فلومترهای جرمی</t>
    </r>
    <r>
      <rPr>
        <sz val="10"/>
        <rFont val="Vazirmatn"/>
        <family val="0"/>
        <charset val="1"/>
      </rPr>
      <t xml:space="preserve">O.C : 50098565</t>
    </r>
  </si>
  <si>
    <t xml:space="preserve">31219286</t>
  </si>
  <si>
    <r>
      <rPr>
        <sz val="10"/>
        <rFont val="FreeSans"/>
        <family val="2"/>
      </rPr>
      <t xml:space="preserve">برد آمپلی فایر فلومترهای جرمی</t>
    </r>
    <r>
      <rPr>
        <sz val="10"/>
        <rFont val="Vazirmatn"/>
        <family val="0"/>
        <charset val="1"/>
      </rPr>
      <t xml:space="preserve">O.C : 50106094</t>
    </r>
  </si>
  <si>
    <t xml:space="preserve">31219287</t>
  </si>
  <si>
    <r>
      <rPr>
        <sz val="10"/>
        <rFont val="FreeSans"/>
        <family val="2"/>
      </rPr>
      <t xml:space="preserve">برد آنالیزور کنداکتیویته</t>
    </r>
    <r>
      <rPr>
        <sz val="10"/>
        <rFont val="Vazirmatn"/>
        <family val="0"/>
        <charset val="1"/>
      </rPr>
      <t xml:space="preserve">oc:51501210</t>
    </r>
  </si>
  <si>
    <t xml:space="preserve">31219290</t>
  </si>
  <si>
    <r>
      <rPr>
        <sz val="10"/>
        <rFont val="FreeSans"/>
        <family val="2"/>
      </rPr>
      <t xml:space="preserve">برد منبع تغذیه فلومتر </t>
    </r>
    <r>
      <rPr>
        <sz val="10"/>
        <rFont val="Vazirmatn"/>
        <family val="0"/>
        <charset val="1"/>
      </rPr>
      <t xml:space="preserve">50/51/53   VAC 85 - 260</t>
    </r>
  </si>
  <si>
    <t xml:space="preserve">31219295</t>
  </si>
  <si>
    <r>
      <rPr>
        <sz val="10"/>
        <rFont val="FreeSans"/>
        <family val="2"/>
      </rPr>
      <t xml:space="preserve">آمپلی فایر برد  </t>
    </r>
    <r>
      <rPr>
        <sz val="10"/>
        <rFont val="Vazirmatn"/>
        <family val="0"/>
        <charset val="1"/>
      </rPr>
      <t xml:space="preserve">Endress  50108133</t>
    </r>
  </si>
  <si>
    <t xml:space="preserve">31219296</t>
  </si>
  <si>
    <r>
      <rPr>
        <sz val="10"/>
        <rFont val="FreeSans"/>
        <family val="2"/>
      </rPr>
      <t xml:space="preserve">آمپلی فایر برد  </t>
    </r>
    <r>
      <rPr>
        <sz val="10"/>
        <rFont val="Vazirmatn"/>
        <family val="0"/>
        <charset val="1"/>
      </rPr>
      <t xml:space="preserve">Endress  50106073</t>
    </r>
  </si>
  <si>
    <t xml:space="preserve">31219297</t>
  </si>
  <si>
    <t xml:space="preserve">برد شبکه سافت استارتر</t>
  </si>
  <si>
    <t xml:space="preserve">31219298</t>
  </si>
  <si>
    <t xml:space="preserve">برد فلومتر اواپراتور</t>
  </si>
  <si>
    <t xml:space="preserve">31219304</t>
  </si>
  <si>
    <r>
      <rPr>
        <sz val="10"/>
        <rFont val="FreeSans"/>
        <family val="2"/>
      </rPr>
      <t xml:space="preserve">دیافراگم شیر فشار شکن </t>
    </r>
    <r>
      <rPr>
        <sz val="10"/>
        <rFont val="Vazirmatn"/>
        <family val="0"/>
        <charset val="1"/>
      </rPr>
      <t xml:space="preserve">DN:80 DP:143 Pilot</t>
    </r>
  </si>
  <si>
    <t xml:space="preserve">31219309</t>
  </si>
  <si>
    <r>
      <rPr>
        <sz val="10"/>
        <rFont val="FreeSans"/>
        <family val="2"/>
      </rPr>
      <t xml:space="preserve">دیافراگم لاستیکی </t>
    </r>
    <r>
      <rPr>
        <sz val="10"/>
        <rFont val="Vazirmatn"/>
        <family val="0"/>
        <charset val="1"/>
      </rPr>
      <t xml:space="preserve">1</t>
    </r>
  </si>
  <si>
    <t xml:space="preserve">31219310</t>
  </si>
  <si>
    <r>
      <rPr>
        <sz val="10"/>
        <rFont val="FreeSans"/>
        <family val="2"/>
      </rPr>
      <t xml:space="preserve">دیافراگم داخلی دوزینگ پمپ اتاترون </t>
    </r>
    <r>
      <rPr>
        <sz val="10"/>
        <rFont val="Vazirmatn"/>
        <family val="0"/>
        <charset val="1"/>
      </rPr>
      <t xml:space="preserve">BT-MA/AD PTFE</t>
    </r>
  </si>
  <si>
    <t xml:space="preserve">31219317</t>
  </si>
  <si>
    <r>
      <rPr>
        <sz val="10"/>
        <rFont val="FreeSans"/>
        <family val="2"/>
      </rPr>
      <t xml:space="preserve">دیافراگم لاستیکی والو ساندروز       </t>
    </r>
    <r>
      <rPr>
        <sz val="10"/>
        <rFont val="Vazirmatn"/>
        <family val="0"/>
        <charset val="1"/>
      </rPr>
      <t xml:space="preserve">"2</t>
    </r>
  </si>
  <si>
    <t xml:space="preserve">31219321</t>
  </si>
  <si>
    <r>
      <rPr>
        <sz val="10"/>
        <rFont val="FreeSans"/>
        <family val="2"/>
      </rPr>
      <t xml:space="preserve">دیافراگم برقی   </t>
    </r>
    <r>
      <rPr>
        <sz val="10"/>
        <rFont val="Vazirmatn"/>
        <family val="0"/>
        <charset val="1"/>
      </rPr>
      <t xml:space="preserve">24V / AC</t>
    </r>
  </si>
  <si>
    <t xml:space="preserve">31219322</t>
  </si>
  <si>
    <r>
      <rPr>
        <sz val="10"/>
        <rFont val="FreeSans"/>
        <family val="2"/>
      </rPr>
      <t xml:space="preserve">دیافراگم شیر رگلاتوری </t>
    </r>
    <r>
      <rPr>
        <sz val="10"/>
        <rFont val="Vazirmatn"/>
        <family val="0"/>
        <charset val="1"/>
      </rPr>
      <t xml:space="preserve">(PVC  ( SV 20</t>
    </r>
  </si>
  <si>
    <t xml:space="preserve">31219324</t>
  </si>
  <si>
    <r>
      <rPr>
        <sz val="10"/>
        <rFont val="FreeSans"/>
        <family val="2"/>
      </rPr>
      <t xml:space="preserve">دیافراگم سفینه ای شیر رگلاتوری  </t>
    </r>
    <r>
      <rPr>
        <sz val="10"/>
        <rFont val="Vazirmatn"/>
        <family val="0"/>
        <charset val="1"/>
      </rPr>
      <t xml:space="preserve">" PVC )10bar  3/4 )</t>
    </r>
  </si>
  <si>
    <t xml:space="preserve">31219329</t>
  </si>
  <si>
    <r>
      <rPr>
        <sz val="10"/>
        <rFont val="FreeSans"/>
        <family val="2"/>
      </rPr>
      <t xml:space="preserve">دیافراگم لاستیکی </t>
    </r>
    <r>
      <rPr>
        <sz val="10"/>
        <rFont val="Vazirmatn"/>
        <family val="0"/>
        <charset val="1"/>
      </rPr>
      <t xml:space="preserve">11</t>
    </r>
  </si>
  <si>
    <t xml:space="preserve">31219330</t>
  </si>
  <si>
    <r>
      <rPr>
        <sz val="10"/>
        <rFont val="FreeSans"/>
        <family val="2"/>
      </rPr>
      <t xml:space="preserve">دیافراگم اصلی رگولاتور فشار </t>
    </r>
    <r>
      <rPr>
        <sz val="10"/>
        <rFont val="Vazirmatn"/>
        <family val="0"/>
        <charset val="1"/>
      </rPr>
      <t xml:space="preserve">"2 - DP27</t>
    </r>
  </si>
  <si>
    <t xml:space="preserve">31219332</t>
  </si>
  <si>
    <r>
      <rPr>
        <sz val="10"/>
        <rFont val="FreeSans"/>
        <family val="2"/>
      </rPr>
      <t xml:space="preserve">دیافراگم پایلوت رگولاتور فشار </t>
    </r>
    <r>
      <rPr>
        <sz val="10"/>
        <rFont val="Vazirmatn"/>
        <family val="0"/>
        <charset val="1"/>
      </rPr>
      <t xml:space="preserve">"3 - DP143</t>
    </r>
  </si>
  <si>
    <t xml:space="preserve">31219334</t>
  </si>
  <si>
    <r>
      <rPr>
        <sz val="10"/>
        <rFont val="FreeSans"/>
        <family val="2"/>
      </rPr>
      <t xml:space="preserve">دیافراگم پایلوت رگولاتور فشار </t>
    </r>
    <r>
      <rPr>
        <sz val="10"/>
        <rFont val="Vazirmatn"/>
        <family val="0"/>
        <charset val="1"/>
      </rPr>
      <t xml:space="preserve">"2 - DP27</t>
    </r>
  </si>
  <si>
    <t xml:space="preserve">31219336</t>
  </si>
  <si>
    <r>
      <rPr>
        <sz val="10"/>
        <rFont val="FreeSans"/>
        <family val="2"/>
      </rPr>
      <t xml:space="preserve">دیافراگم شیر کنترلی عیوض   </t>
    </r>
    <r>
      <rPr>
        <sz val="10"/>
        <rFont val="Vazirmatn"/>
        <family val="0"/>
        <charset val="1"/>
      </rPr>
      <t xml:space="preserve">A 700</t>
    </r>
  </si>
  <si>
    <t xml:space="preserve">31219342</t>
  </si>
  <si>
    <r>
      <rPr>
        <sz val="10"/>
        <rFont val="FreeSans"/>
        <family val="2"/>
      </rPr>
      <t xml:space="preserve">دیافراگم دوزینگ پمپ </t>
    </r>
    <r>
      <rPr>
        <sz val="10"/>
        <rFont val="Vazirmatn"/>
        <family val="0"/>
        <charset val="1"/>
      </rPr>
      <t xml:space="preserve">B-250N-75/B-43  DOSEURO</t>
    </r>
  </si>
  <si>
    <t xml:space="preserve">31219345</t>
  </si>
  <si>
    <r>
      <rPr>
        <sz val="10"/>
        <rFont val="FreeSans"/>
        <family val="2"/>
      </rPr>
      <t xml:space="preserve">دیافراگم سیل استیل اتصال کلمپی مدل </t>
    </r>
    <r>
      <rPr>
        <sz val="10"/>
        <rFont val="Vazirmatn"/>
        <family val="0"/>
        <charset val="1"/>
      </rPr>
      <t xml:space="preserve">8213  " 1/2 SS316L NPT</t>
    </r>
  </si>
  <si>
    <t xml:space="preserve">31219355</t>
  </si>
  <si>
    <r>
      <rPr>
        <sz val="10"/>
        <rFont val="FreeSans"/>
        <family val="2"/>
      </rPr>
      <t xml:space="preserve">دیا فراگم استیل 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صفحه </t>
    </r>
    <r>
      <rPr>
        <sz val="10"/>
        <rFont val="Vazirmatn"/>
        <family val="0"/>
        <charset val="1"/>
      </rPr>
      <t xml:space="preserve">) 5  bar</t>
    </r>
  </si>
  <si>
    <t xml:space="preserve">31219357</t>
  </si>
  <si>
    <r>
      <rPr>
        <sz val="10"/>
        <rFont val="FreeSans"/>
        <family val="2"/>
      </rPr>
      <t xml:space="preserve">دیافراگم استیل گیج فشار  </t>
    </r>
    <r>
      <rPr>
        <sz val="10"/>
        <rFont val="Vazirmatn"/>
        <family val="0"/>
        <charset val="1"/>
      </rPr>
      <t xml:space="preserve">1/2</t>
    </r>
  </si>
  <si>
    <t xml:space="preserve">31219362</t>
  </si>
  <si>
    <t xml:space="preserve">دیافراگم استنلس استیل</t>
  </si>
  <si>
    <t xml:space="preserve">31219365</t>
  </si>
  <si>
    <t xml:space="preserve">دیافراگم لاستیکی</t>
  </si>
  <si>
    <t xml:space="preserve">31219372</t>
  </si>
  <si>
    <r>
      <rPr>
        <sz val="10"/>
        <rFont val="FreeSans"/>
        <family val="2"/>
      </rPr>
      <t xml:space="preserve">دیافراگم سفینه ای شیر رگلاتوری  </t>
    </r>
    <r>
      <rPr>
        <sz val="10"/>
        <rFont val="Vazirmatn"/>
        <family val="0"/>
        <charset val="1"/>
      </rPr>
      <t xml:space="preserve">" PVC )10bar  1 )</t>
    </r>
  </si>
  <si>
    <t xml:space="preserve">31219373</t>
  </si>
  <si>
    <r>
      <rPr>
        <sz val="10"/>
        <rFont val="FreeSans"/>
        <family val="2"/>
      </rPr>
      <t xml:space="preserve">دیافراگم سفینه ای شیر رگلاتوری  </t>
    </r>
    <r>
      <rPr>
        <sz val="10"/>
        <rFont val="Vazirmatn"/>
        <family val="0"/>
        <charset val="1"/>
      </rPr>
      <t xml:space="preserve">" PVC )10bar  1/4 )</t>
    </r>
  </si>
  <si>
    <t xml:space="preserve">31219374</t>
  </si>
  <si>
    <r>
      <rPr>
        <sz val="10"/>
        <rFont val="FreeSans"/>
        <family val="2"/>
      </rPr>
      <t xml:space="preserve">دیافراگم سفینه ای شیر رگلاتوری  </t>
    </r>
    <r>
      <rPr>
        <sz val="10"/>
        <rFont val="Vazirmatn"/>
        <family val="0"/>
        <charset val="1"/>
      </rPr>
      <t xml:space="preserve">" PVC )10bar  1/2 )</t>
    </r>
  </si>
  <si>
    <t xml:space="preserve">31219380</t>
  </si>
  <si>
    <r>
      <rPr>
        <sz val="10"/>
        <rFont val="FreeSans"/>
        <family val="2"/>
      </rPr>
      <t xml:space="preserve">دیافراگم برنجی اسپیراکس شیر فشار شکن </t>
    </r>
    <r>
      <rPr>
        <sz val="10"/>
        <rFont val="Vazirmatn"/>
        <family val="0"/>
        <charset val="1"/>
      </rPr>
      <t xml:space="preserve">DN 15-80 / DP 143 / DP 163</t>
    </r>
  </si>
  <si>
    <t xml:space="preserve">31219391</t>
  </si>
  <si>
    <r>
      <rPr>
        <sz val="10"/>
        <rFont val="FreeSans"/>
        <family val="2"/>
      </rPr>
      <t xml:space="preserve">ترانسفورمر جریان </t>
    </r>
    <r>
      <rPr>
        <sz val="10"/>
        <rFont val="Vazirmatn"/>
        <family val="0"/>
        <charset val="1"/>
      </rPr>
      <t xml:space="preserve">( CT )</t>
    </r>
  </si>
  <si>
    <t xml:space="preserve">31219392</t>
  </si>
  <si>
    <t xml:space="preserve">ترنسمیتر دما</t>
  </si>
  <si>
    <t xml:space="preserve">31219397</t>
  </si>
  <si>
    <r>
      <rPr>
        <sz val="10"/>
        <rFont val="FreeSans"/>
        <family val="2"/>
      </rPr>
      <t xml:space="preserve">برد رله کنترلی </t>
    </r>
    <r>
      <rPr>
        <sz val="10"/>
        <rFont val="Vazirmatn"/>
        <family val="0"/>
        <charset val="1"/>
      </rPr>
      <t xml:space="preserve">(8 </t>
    </r>
    <r>
      <rPr>
        <sz val="10"/>
        <rFont val="FreeSans"/>
        <family val="2"/>
      </rPr>
      <t xml:space="preserve">رله</t>
    </r>
    <r>
      <rPr>
        <sz val="10"/>
        <rFont val="Vazirmatn"/>
        <family val="0"/>
        <charset val="1"/>
      </rPr>
      <t xml:space="preserve">) (PULSELECTRONIC )          CZP.403 - 39 ( 8RELAY)</t>
    </r>
  </si>
  <si>
    <t xml:space="preserve">31219418</t>
  </si>
  <si>
    <r>
      <rPr>
        <sz val="10"/>
        <rFont val="FreeSans"/>
        <family val="2"/>
      </rPr>
      <t xml:space="preserve">فشار سنج </t>
    </r>
    <r>
      <rPr>
        <sz val="10"/>
        <rFont val="Vazirmatn"/>
        <family val="0"/>
        <charset val="1"/>
      </rPr>
      <t xml:space="preserve">( PT )</t>
    </r>
  </si>
  <si>
    <t xml:space="preserve">31219462</t>
  </si>
  <si>
    <r>
      <rPr>
        <sz val="10"/>
        <rFont val="FreeSans"/>
        <family val="2"/>
      </rPr>
      <t xml:space="preserve">دماسنج جیوه ای شیشه ای </t>
    </r>
    <r>
      <rPr>
        <sz val="10"/>
        <rFont val="Vazirmatn"/>
        <family val="0"/>
        <charset val="1"/>
      </rPr>
      <t xml:space="preserve">130 - 0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20cm</t>
    </r>
  </si>
  <si>
    <t xml:space="preserve">31219463</t>
  </si>
  <si>
    <r>
      <rPr>
        <sz val="10"/>
        <rFont val="FreeSans"/>
        <family val="2"/>
      </rPr>
      <t xml:space="preserve">دماسنج محیطی آنالوگ ماکزیمم و مینیمم </t>
    </r>
    <r>
      <rPr>
        <sz val="10"/>
        <rFont val="Vazirmatn"/>
        <family val="0"/>
        <charset val="1"/>
      </rPr>
      <t xml:space="preserve">40-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- 50+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( TFA )</t>
    </r>
  </si>
  <si>
    <t xml:space="preserve">31219480</t>
  </si>
  <si>
    <t xml:space="preserve">ولت متر تابلویی</t>
  </si>
  <si>
    <t xml:space="preserve">31219514</t>
  </si>
  <si>
    <r>
      <rPr>
        <sz val="10"/>
        <rFont val="FreeSans"/>
        <family val="2"/>
      </rPr>
      <t xml:space="preserve">سنسور جک پنوماتیک </t>
    </r>
    <r>
      <rPr>
        <sz val="10"/>
        <rFont val="Vazirmatn"/>
        <family val="0"/>
        <charset val="1"/>
      </rPr>
      <t xml:space="preserve">Festo</t>
    </r>
  </si>
  <si>
    <t xml:space="preserve">31219515</t>
  </si>
  <si>
    <r>
      <rPr>
        <sz val="10"/>
        <rFont val="FreeSans"/>
        <family val="2"/>
      </rPr>
      <t xml:space="preserve">سنسور </t>
    </r>
    <r>
      <rPr>
        <sz val="10"/>
        <rFont val="Vazirmatn"/>
        <family val="0"/>
        <charset val="1"/>
      </rPr>
      <t xml:space="preserve">PH  ( </t>
    </r>
    <r>
      <rPr>
        <sz val="10"/>
        <rFont val="FreeSans"/>
        <family val="2"/>
      </rPr>
      <t xml:space="preserve">حسگر </t>
    </r>
    <r>
      <rPr>
        <sz val="10"/>
        <rFont val="Vazirmatn"/>
        <family val="0"/>
        <charset val="1"/>
      </rPr>
      <t xml:space="preserve">) CPS 471 - 2ESB</t>
    </r>
  </si>
  <si>
    <t xml:space="preserve">31219516</t>
  </si>
  <si>
    <t xml:space="preserve">فتو سنسور دستگاه تاریخ زن</t>
  </si>
  <si>
    <t xml:space="preserve">31219517</t>
  </si>
  <si>
    <r>
      <rPr>
        <sz val="10"/>
        <rFont val="FreeSans"/>
        <family val="2"/>
      </rPr>
      <t xml:space="preserve">سنسور کند اکتیویته  </t>
    </r>
    <r>
      <rPr>
        <sz val="10"/>
        <rFont val="Vazirmatn"/>
        <family val="0"/>
        <charset val="1"/>
      </rPr>
      <t xml:space="preserve">CLS 210 - C 1E 4D</t>
    </r>
  </si>
  <si>
    <t xml:space="preserve">31219518</t>
  </si>
  <si>
    <t xml:space="preserve">سنسور آنالیزور کند اکتیویته</t>
  </si>
  <si>
    <t xml:space="preserve">31219522</t>
  </si>
  <si>
    <r>
      <rPr>
        <sz val="10"/>
        <rFont val="FreeSans"/>
        <family val="2"/>
      </rPr>
      <t xml:space="preserve">سنسور لرزش سنج دکانتور  </t>
    </r>
    <r>
      <rPr>
        <sz val="10"/>
        <rFont val="Vazirmatn"/>
        <family val="0"/>
        <charset val="1"/>
      </rPr>
      <t xml:space="preserve">020 - 1848 - 0005</t>
    </r>
  </si>
  <si>
    <t xml:space="preserve">31219527</t>
  </si>
  <si>
    <r>
      <rPr>
        <sz val="10"/>
        <rFont val="FreeSans"/>
        <family val="2"/>
      </rPr>
      <t xml:space="preserve">کنداکتیویته متر پریسماتک </t>
    </r>
    <r>
      <rPr>
        <sz val="10"/>
        <rFont val="Vazirmatn"/>
        <family val="0"/>
        <charset val="1"/>
      </rPr>
      <t xml:space="preserve">DN 65 </t>
    </r>
    <r>
      <rPr>
        <sz val="10"/>
        <rFont val="FreeSans"/>
        <family val="2"/>
      </rPr>
      <t xml:space="preserve">محدوده کالیبره </t>
    </r>
    <r>
      <rPr>
        <sz val="10"/>
        <rFont val="Vazirmatn"/>
        <family val="0"/>
        <charset val="1"/>
      </rPr>
      <t xml:space="preserve">100- 5</t>
    </r>
  </si>
  <si>
    <t xml:space="preserve">31219529</t>
  </si>
  <si>
    <t xml:space="preserve">محاسبه گر سیگنال</t>
  </si>
  <si>
    <t xml:space="preserve">31219586</t>
  </si>
  <si>
    <r>
      <rPr>
        <sz val="10"/>
        <rFont val="FreeSans"/>
        <family val="2"/>
      </rPr>
      <t xml:space="preserve">ترمینال ولو  </t>
    </r>
    <r>
      <rPr>
        <sz val="10"/>
        <rFont val="Vazirmatn"/>
        <family val="0"/>
        <charset val="1"/>
      </rPr>
      <t xml:space="preserve">FESTO VTUG - 8P</t>
    </r>
  </si>
  <si>
    <t xml:space="preserve">31219587</t>
  </si>
  <si>
    <r>
      <rPr>
        <sz val="10"/>
        <rFont val="FreeSans"/>
        <family val="2"/>
      </rPr>
      <t xml:space="preserve">ترمینال ولو  </t>
    </r>
    <r>
      <rPr>
        <sz val="10"/>
        <rFont val="Vazirmatn"/>
        <family val="0"/>
        <charset val="1"/>
      </rPr>
      <t xml:space="preserve">FESTO  VTUG - 24P</t>
    </r>
  </si>
  <si>
    <t xml:space="preserve">31219588</t>
  </si>
  <si>
    <r>
      <rPr>
        <sz val="10"/>
        <rFont val="FreeSans"/>
        <family val="2"/>
      </rPr>
      <t xml:space="preserve">سلونوئید ولو  </t>
    </r>
    <r>
      <rPr>
        <sz val="10"/>
        <rFont val="Vazirmatn"/>
        <family val="0"/>
        <charset val="1"/>
      </rPr>
      <t xml:space="preserve">VUVG - FESTO</t>
    </r>
  </si>
  <si>
    <t xml:space="preserve">31219590</t>
  </si>
  <si>
    <t xml:space="preserve">سطح سنج لیزری دو سنسور آنلاین</t>
  </si>
  <si>
    <t xml:space="preserve">31219591</t>
  </si>
  <si>
    <r>
      <rPr>
        <sz val="10"/>
        <rFont val="FreeSans"/>
        <family val="2"/>
      </rPr>
      <t xml:space="preserve">سطح سنج </t>
    </r>
    <r>
      <rPr>
        <sz val="10"/>
        <rFont val="Vazirmatn"/>
        <family val="0"/>
        <charset val="1"/>
      </rPr>
      <t xml:space="preserve">( LT )</t>
    </r>
  </si>
  <si>
    <t xml:space="preserve">31219594</t>
  </si>
  <si>
    <r>
      <rPr>
        <sz val="10"/>
        <rFont val="FreeSans"/>
        <family val="2"/>
      </rPr>
      <t xml:space="preserve">سنسور جک  </t>
    </r>
    <r>
      <rPr>
        <sz val="10"/>
        <rFont val="Vazirmatn"/>
        <family val="0"/>
        <charset val="1"/>
      </rPr>
      <t xml:space="preserve">CS 1 F 020  Air tac</t>
    </r>
  </si>
  <si>
    <t xml:space="preserve">31219595</t>
  </si>
  <si>
    <r>
      <rPr>
        <sz val="10"/>
        <rFont val="FreeSans"/>
        <family val="2"/>
      </rPr>
      <t xml:space="preserve">سنسور نوری مکعبی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آینه ای امرون </t>
    </r>
    <r>
      <rPr>
        <sz val="10"/>
        <rFont val="Vazirmatn"/>
        <family val="0"/>
        <charset val="1"/>
      </rPr>
      <t xml:space="preserve">( OmRON - E3jK - RR12 )</t>
    </r>
  </si>
  <si>
    <t xml:space="preserve">31219596</t>
  </si>
  <si>
    <r>
      <rPr>
        <sz val="10"/>
        <rFont val="FreeSans"/>
        <family val="2"/>
      </rPr>
      <t xml:space="preserve">سنسور مکعبی نوری آینه دار آتونیکس </t>
    </r>
    <r>
      <rPr>
        <sz val="10"/>
        <rFont val="Vazirmatn"/>
        <family val="0"/>
        <charset val="1"/>
      </rPr>
      <t xml:space="preserve">( BENSM-MFR )</t>
    </r>
  </si>
  <si>
    <t xml:space="preserve">31219597</t>
  </si>
  <si>
    <r>
      <rPr>
        <sz val="10"/>
        <rFont val="FreeSans"/>
        <family val="2"/>
      </rPr>
      <t xml:space="preserve">شمارنده دیجیتال شیوا امواج  </t>
    </r>
    <r>
      <rPr>
        <sz val="10"/>
        <rFont val="Vazirmatn"/>
        <family val="0"/>
        <charset val="1"/>
      </rPr>
      <t xml:space="preserve">SDC - 2M</t>
    </r>
  </si>
  <si>
    <t xml:space="preserve">31219598</t>
  </si>
  <si>
    <r>
      <rPr>
        <sz val="10"/>
        <rFont val="FreeSans"/>
        <family val="2"/>
      </rPr>
      <t xml:space="preserve">سنسور جک پنوماتیک </t>
    </r>
    <r>
      <rPr>
        <sz val="10"/>
        <rFont val="Vazirmatn"/>
        <family val="0"/>
        <charset val="1"/>
      </rPr>
      <t xml:space="preserve">( Air TAC CS1 - J )</t>
    </r>
  </si>
  <si>
    <t xml:space="preserve">31219600</t>
  </si>
  <si>
    <r>
      <rPr>
        <sz val="10"/>
        <rFont val="FreeSans"/>
        <family val="2"/>
      </rPr>
      <t xml:space="preserve">رگلاتور فشار هوای دکانتور  </t>
    </r>
    <r>
      <rPr>
        <sz val="10"/>
        <rFont val="Vazirmatn"/>
        <family val="0"/>
        <charset val="1"/>
      </rPr>
      <t xml:space="preserve">560 - 9516 - 0018</t>
    </r>
  </si>
  <si>
    <t xml:space="preserve">31219604</t>
  </si>
  <si>
    <r>
      <rPr>
        <sz val="10"/>
        <rFont val="FreeSans"/>
        <family val="2"/>
      </rPr>
      <t xml:space="preserve">رگلاتور فشار آب دکانتور  </t>
    </r>
    <r>
      <rPr>
        <sz val="10"/>
        <rFont val="Vazirmatn"/>
        <family val="0"/>
        <charset val="1"/>
      </rPr>
      <t xml:space="preserve">300 - 5228 - 0018</t>
    </r>
  </si>
  <si>
    <t xml:space="preserve">31219605</t>
  </si>
  <si>
    <t xml:space="preserve">رگلاتور</t>
  </si>
  <si>
    <t xml:space="preserve">31219617</t>
  </si>
  <si>
    <r>
      <rPr>
        <sz val="10"/>
        <rFont val="FreeSans"/>
        <family val="2"/>
      </rPr>
      <t xml:space="preserve">رگلاتور گاز  </t>
    </r>
    <r>
      <rPr>
        <sz val="10"/>
        <rFont val="Vazirmatn"/>
        <family val="0"/>
        <charset val="1"/>
      </rPr>
      <t xml:space="preserve">60psi- 15     25 m3/h</t>
    </r>
  </si>
  <si>
    <t xml:space="preserve">31219619</t>
  </si>
  <si>
    <t xml:space="preserve">رگلاتورف شارگاز</t>
  </si>
  <si>
    <t xml:space="preserve">31219622</t>
  </si>
  <si>
    <t xml:space="preserve">رگلاتورنیتروژن</t>
  </si>
  <si>
    <t xml:space="preserve">31219661</t>
  </si>
  <si>
    <r>
      <rPr>
        <sz val="10"/>
        <rFont val="FreeSans"/>
        <family val="2"/>
      </rPr>
      <t xml:space="preserve">رگلاتور کپسول ایران گاز </t>
    </r>
    <r>
      <rPr>
        <sz val="10"/>
        <rFont val="Vazirmatn"/>
        <family val="0"/>
        <charset val="1"/>
      </rPr>
      <t xml:space="preserve">11Kg</t>
    </r>
  </si>
  <si>
    <t xml:space="preserve">31219663</t>
  </si>
  <si>
    <r>
      <rPr>
        <sz val="10"/>
        <rFont val="FreeSans"/>
        <family val="2"/>
      </rPr>
      <t xml:space="preserve">رگلاتور کپسول پرسی گاز </t>
    </r>
    <r>
      <rPr>
        <sz val="10"/>
        <rFont val="Vazirmatn"/>
        <family val="0"/>
        <charset val="1"/>
      </rPr>
      <t xml:space="preserve">11Kg</t>
    </r>
  </si>
  <si>
    <t xml:space="preserve">31219665</t>
  </si>
  <si>
    <r>
      <rPr>
        <sz val="10"/>
        <rFont val="FreeSans"/>
        <family val="2"/>
      </rPr>
      <t xml:space="preserve">رگولاتور بانک خازنی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پله  </t>
    </r>
    <r>
      <rPr>
        <sz val="10"/>
        <rFont val="Vazirmatn"/>
        <family val="0"/>
        <charset val="1"/>
      </rPr>
      <t xml:space="preserve">EMR 1100 S</t>
    </r>
  </si>
  <si>
    <t xml:space="preserve">31219666</t>
  </si>
  <si>
    <r>
      <rPr>
        <sz val="10"/>
        <rFont val="FreeSans"/>
        <family val="2"/>
      </rPr>
      <t xml:space="preserve">رگولاتور میلی باری پنوماتیک </t>
    </r>
    <r>
      <rPr>
        <sz val="10"/>
        <rFont val="Vazirmatn"/>
        <family val="0"/>
        <charset val="1"/>
      </rPr>
      <t xml:space="preserve">( Festo-LRP ) </t>
    </r>
    <r>
      <rPr>
        <sz val="10"/>
        <rFont val="FreeSans"/>
        <family val="2"/>
      </rPr>
      <t xml:space="preserve">محدوده تنظیم فشار </t>
    </r>
    <r>
      <rPr>
        <sz val="10"/>
        <rFont val="Vazirmatn"/>
        <family val="0"/>
        <charset val="1"/>
      </rPr>
      <t xml:space="preserve">2/5-0/05 </t>
    </r>
    <r>
      <rPr>
        <sz val="10"/>
        <rFont val="FreeSans"/>
        <family val="2"/>
      </rPr>
      <t xml:space="preserve">بار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فشار کاری </t>
    </r>
    <r>
      <rPr>
        <sz val="10"/>
        <rFont val="Vazirmatn"/>
        <family val="0"/>
        <charset val="1"/>
      </rPr>
      <t xml:space="preserve">12-1 </t>
    </r>
    <r>
      <rPr>
        <sz val="10"/>
        <rFont val="FreeSans"/>
        <family val="2"/>
      </rPr>
      <t xml:space="preserve">بار</t>
    </r>
  </si>
  <si>
    <t xml:space="preserve">31219667</t>
  </si>
  <si>
    <r>
      <rPr>
        <sz val="10"/>
        <rFont val="FreeSans"/>
        <family val="2"/>
      </rPr>
      <t xml:space="preserve">رگولاتور  </t>
    </r>
    <r>
      <rPr>
        <sz val="10"/>
        <rFont val="Vazirmatn"/>
        <family val="0"/>
        <charset val="1"/>
      </rPr>
      <t xml:space="preserve">LM 7815 CV</t>
    </r>
  </si>
  <si>
    <t xml:space="preserve">31219668</t>
  </si>
  <si>
    <r>
      <rPr>
        <sz val="10"/>
        <rFont val="FreeSans"/>
        <family val="2"/>
      </rPr>
      <t xml:space="preserve">رگولاتور  </t>
    </r>
    <r>
      <rPr>
        <sz val="10"/>
        <rFont val="Vazirmatn"/>
        <family val="0"/>
        <charset val="1"/>
      </rPr>
      <t xml:space="preserve">LM 7915 CV</t>
    </r>
  </si>
  <si>
    <t xml:space="preserve">31219672</t>
  </si>
  <si>
    <t xml:space="preserve">انژکتور اسید تفلونی گلوکوز</t>
  </si>
  <si>
    <t xml:space="preserve">31219675</t>
  </si>
  <si>
    <r>
      <rPr>
        <sz val="10"/>
        <rFont val="FreeSans"/>
        <family val="2"/>
      </rPr>
      <t xml:space="preserve">سنسور مجاورتی دکانتور </t>
    </r>
    <r>
      <rPr>
        <sz val="10"/>
        <rFont val="Vazirmatn"/>
        <family val="0"/>
        <charset val="1"/>
      </rPr>
      <t xml:space="preserve">000 - 4719 - 0005</t>
    </r>
  </si>
  <si>
    <t xml:space="preserve">31219687</t>
  </si>
  <si>
    <r>
      <rPr>
        <sz val="10"/>
        <rFont val="FreeSans"/>
        <family val="2"/>
      </rPr>
      <t xml:space="preserve">درایور        </t>
    </r>
    <r>
      <rPr>
        <sz val="10"/>
        <rFont val="Vazirmatn"/>
        <family val="0"/>
        <charset val="1"/>
      </rPr>
      <t xml:space="preserve">ABB    3KW    ACS 880-01-07 A2-3</t>
    </r>
  </si>
  <si>
    <t xml:space="preserve">31219690</t>
  </si>
  <si>
    <r>
      <rPr>
        <sz val="10"/>
        <rFont val="FreeSans"/>
        <family val="2"/>
      </rPr>
      <t xml:space="preserve">فرکانس کانورتور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راه اندازالکترونیکی </t>
    </r>
    <r>
      <rPr>
        <sz val="10"/>
        <rFont val="Vazirmatn"/>
        <family val="0"/>
        <charset val="1"/>
      </rPr>
      <t xml:space="preserve">)</t>
    </r>
  </si>
  <si>
    <t xml:space="preserve">31219698</t>
  </si>
  <si>
    <t xml:space="preserve">کنترلر سویچ ژنراتور</t>
  </si>
  <si>
    <t xml:space="preserve">31219700</t>
  </si>
  <si>
    <r>
      <rPr>
        <sz val="10"/>
        <rFont val="FreeSans"/>
        <family val="2"/>
      </rPr>
      <t xml:space="preserve">کنترل پنل دستگاه بسته بندی آمیژل </t>
    </r>
    <r>
      <rPr>
        <sz val="10"/>
        <rFont val="Vazirmatn"/>
        <family val="0"/>
        <charset val="1"/>
      </rPr>
      <t xml:space="preserve">( Batch Contoroler )</t>
    </r>
  </si>
  <si>
    <t xml:space="preserve">31219702</t>
  </si>
  <si>
    <r>
      <rPr>
        <sz val="10"/>
        <rFont val="FreeSans"/>
        <family val="2"/>
      </rPr>
      <t xml:space="preserve">کنترل فاز تک چراغی با خروجی </t>
    </r>
    <r>
      <rPr>
        <sz val="10"/>
        <rFont val="Vazirmatn"/>
        <family val="0"/>
        <charset val="1"/>
      </rPr>
      <t xml:space="preserve">NO   NC</t>
    </r>
  </si>
  <si>
    <t xml:space="preserve">31219708</t>
  </si>
  <si>
    <r>
      <rPr>
        <sz val="10"/>
        <rFont val="FreeSans"/>
        <family val="2"/>
      </rPr>
      <t xml:space="preserve">درایو        </t>
    </r>
    <r>
      <rPr>
        <sz val="10"/>
        <rFont val="Vazirmatn"/>
        <family val="0"/>
        <charset val="1"/>
      </rPr>
      <t xml:space="preserve">4KW     ACS 880 - 01 - 09 A 4 - 3</t>
    </r>
  </si>
  <si>
    <t xml:space="preserve">31219709</t>
  </si>
  <si>
    <r>
      <rPr>
        <sz val="10"/>
        <rFont val="FreeSans"/>
        <family val="2"/>
      </rPr>
      <t xml:space="preserve">درایو  </t>
    </r>
    <r>
      <rPr>
        <sz val="10"/>
        <rFont val="Vazirmatn"/>
        <family val="0"/>
        <charset val="1"/>
      </rPr>
      <t xml:space="preserve">MICRO MASTER 440/1.1 KW</t>
    </r>
  </si>
  <si>
    <t xml:space="preserve">31219710</t>
  </si>
  <si>
    <r>
      <rPr>
        <sz val="10"/>
        <rFont val="FreeSans"/>
        <family val="2"/>
      </rPr>
      <t xml:space="preserve">کانتر </t>
    </r>
    <r>
      <rPr>
        <sz val="10"/>
        <rFont val="Vazirmatn"/>
        <family val="0"/>
        <charset val="1"/>
      </rPr>
      <t xml:space="preserve">Autonics  FS 4 A</t>
    </r>
  </si>
  <si>
    <t xml:space="preserve">31219712</t>
  </si>
  <si>
    <t xml:space="preserve">انژکتور اسید</t>
  </si>
  <si>
    <t xml:space="preserve">31219714</t>
  </si>
  <si>
    <r>
      <rPr>
        <sz val="10"/>
        <rFont val="FreeSans"/>
        <family val="2"/>
      </rPr>
      <t xml:space="preserve">واحد مراقبتی فیلتر رگلاتور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رطوبت گیر </t>
    </r>
    <r>
      <rPr>
        <sz val="10"/>
        <rFont val="Vazirmatn"/>
        <family val="0"/>
        <charset val="1"/>
      </rPr>
      <t xml:space="preserve">)  10bar</t>
    </r>
  </si>
  <si>
    <t xml:space="preserve">31219716</t>
  </si>
  <si>
    <r>
      <rPr>
        <sz val="10"/>
        <rFont val="FreeSans"/>
        <family val="2"/>
      </rPr>
      <t xml:space="preserve">کنترلر وزنی </t>
    </r>
    <r>
      <rPr>
        <sz val="10"/>
        <rFont val="Vazirmatn"/>
        <family val="0"/>
        <charset val="1"/>
      </rPr>
      <t xml:space="preserve">801</t>
    </r>
  </si>
  <si>
    <t xml:space="preserve">31219717</t>
  </si>
  <si>
    <r>
      <rPr>
        <sz val="10"/>
        <rFont val="FreeSans"/>
        <family val="2"/>
      </rPr>
      <t xml:space="preserve">پوزیشنر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مکان یاب </t>
    </r>
    <r>
      <rPr>
        <sz val="10"/>
        <rFont val="Vazirmatn"/>
        <family val="0"/>
        <charset val="1"/>
      </rPr>
      <t xml:space="preserve">)</t>
    </r>
  </si>
  <si>
    <t xml:space="preserve">31219718</t>
  </si>
  <si>
    <r>
      <rPr>
        <sz val="10"/>
        <rFont val="FreeSans"/>
        <family val="2"/>
      </rPr>
      <t xml:space="preserve">سنسور حرارتی  </t>
    </r>
    <r>
      <rPr>
        <sz val="10"/>
        <rFont val="Vazirmatn"/>
        <family val="0"/>
        <charset val="1"/>
      </rPr>
      <t xml:space="preserve">PTC</t>
    </r>
  </si>
  <si>
    <t xml:space="preserve">31219725</t>
  </si>
  <si>
    <r>
      <rPr>
        <sz val="10"/>
        <rFont val="FreeSans"/>
        <family val="2"/>
      </rPr>
      <t xml:space="preserve">سنسور القائی دو سیمه  </t>
    </r>
    <r>
      <rPr>
        <sz val="10"/>
        <rFont val="Vazirmatn"/>
        <family val="0"/>
        <charset val="1"/>
      </rPr>
      <t xml:space="preserve">24AC V   NPN</t>
    </r>
  </si>
  <si>
    <t xml:space="preserve">31219726</t>
  </si>
  <si>
    <r>
      <rPr>
        <sz val="10"/>
        <rFont val="FreeSans"/>
        <family val="2"/>
      </rPr>
      <t xml:space="preserve">سنسور القائی دو سیمه  </t>
    </r>
    <r>
      <rPr>
        <sz val="10"/>
        <rFont val="Vazirmatn"/>
        <family val="0"/>
        <charset val="1"/>
      </rPr>
      <t xml:space="preserve">24AC V   PNP</t>
    </r>
  </si>
  <si>
    <t xml:space="preserve">31219742</t>
  </si>
  <si>
    <r>
      <rPr>
        <sz val="10"/>
        <rFont val="FreeSans"/>
        <family val="2"/>
      </rPr>
      <t xml:space="preserve">ترمومتر</t>
    </r>
    <r>
      <rPr>
        <sz val="10"/>
        <rFont val="Vazirmatn"/>
        <family val="0"/>
        <charset val="1"/>
      </rPr>
      <t xml:space="preserve">_0249</t>
    </r>
  </si>
  <si>
    <t xml:space="preserve">31219745</t>
  </si>
  <si>
    <r>
      <rPr>
        <sz val="10"/>
        <rFont val="FreeSans"/>
        <family val="2"/>
      </rPr>
      <t xml:space="preserve">سنسور نوری مکعبی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طرفه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فرستنده و گیرنده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اتونیکس طول اندازه گیری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متر </t>
    </r>
    <r>
      <rPr>
        <sz val="10"/>
        <rFont val="Vazirmatn"/>
        <family val="0"/>
        <charset val="1"/>
      </rPr>
      <t xml:space="preserve">(  BEN 10M-TFR )</t>
    </r>
  </si>
  <si>
    <t xml:space="preserve">31219761</t>
  </si>
  <si>
    <r>
      <rPr>
        <sz val="10"/>
        <rFont val="FreeSans"/>
        <family val="2"/>
      </rPr>
      <t xml:space="preserve">ترموستات </t>
    </r>
    <r>
      <rPr>
        <sz val="10"/>
        <rFont val="Vazirmatn"/>
        <family val="0"/>
        <charset val="1"/>
      </rPr>
      <t xml:space="preserve">3700</t>
    </r>
  </si>
  <si>
    <t xml:space="preserve">31219766</t>
  </si>
  <si>
    <r>
      <rPr>
        <sz val="10"/>
        <rFont val="FreeSans"/>
        <family val="2"/>
      </rPr>
      <t xml:space="preserve">ترموستات </t>
    </r>
    <r>
      <rPr>
        <sz val="10"/>
        <rFont val="Vazirmatn"/>
        <family val="0"/>
        <charset val="1"/>
      </rPr>
      <t xml:space="preserve">Out Door 30 - 90 23 P / 4mm2 / 750 V</t>
    </r>
  </si>
  <si>
    <t xml:space="preserve">31219774</t>
  </si>
  <si>
    <r>
      <rPr>
        <sz val="10"/>
        <rFont val="FreeSans"/>
        <family val="2"/>
      </rPr>
      <t xml:space="preserve">مانومتر فشار  </t>
    </r>
    <r>
      <rPr>
        <sz val="10"/>
        <rFont val="Vazirmatn"/>
        <family val="0"/>
        <charset val="1"/>
      </rPr>
      <t xml:space="preserve">30 - 0     7cm</t>
    </r>
  </si>
  <si>
    <t xml:space="preserve">31219781</t>
  </si>
  <si>
    <r>
      <rPr>
        <sz val="10"/>
        <rFont val="FreeSans"/>
        <family val="2"/>
      </rPr>
      <t xml:space="preserve">درایو دلتا  </t>
    </r>
    <r>
      <rPr>
        <sz val="10"/>
        <rFont val="Vazirmatn"/>
        <family val="0"/>
        <charset val="1"/>
      </rPr>
      <t xml:space="preserve">VFD 004 EL 21 A   0/4 KW</t>
    </r>
  </si>
  <si>
    <t xml:space="preserve">31219783</t>
  </si>
  <si>
    <r>
      <rPr>
        <sz val="10"/>
        <rFont val="FreeSans"/>
        <family val="2"/>
      </rPr>
      <t xml:space="preserve">سنسور القایی دو سیمه  </t>
    </r>
    <r>
      <rPr>
        <sz val="10"/>
        <rFont val="Vazirmatn"/>
        <family val="0"/>
        <charset val="1"/>
      </rPr>
      <t xml:space="preserve">IPS-210-OD-P22</t>
    </r>
  </si>
  <si>
    <t xml:space="preserve">31219785</t>
  </si>
  <si>
    <r>
      <rPr>
        <sz val="10"/>
        <rFont val="FreeSans"/>
        <family val="2"/>
      </rPr>
      <t xml:space="preserve">ترموستات مانیول 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درجه</t>
    </r>
  </si>
  <si>
    <t xml:space="preserve">31219787</t>
  </si>
  <si>
    <t xml:space="preserve">ویبره سنج آسیاب ایمپکت</t>
  </si>
  <si>
    <t xml:space="preserve">31219788</t>
  </si>
  <si>
    <r>
      <rPr>
        <sz val="10"/>
        <rFont val="FreeSans"/>
        <family val="2"/>
      </rPr>
      <t xml:space="preserve">سنسور کنترل سطح تبریز </t>
    </r>
    <r>
      <rPr>
        <sz val="10"/>
        <rFont val="Vazirmatn"/>
        <family val="0"/>
        <charset val="1"/>
      </rPr>
      <t xml:space="preserve">" 1/2</t>
    </r>
  </si>
  <si>
    <t xml:space="preserve">31219794</t>
  </si>
  <si>
    <r>
      <rPr>
        <sz val="10"/>
        <rFont val="FreeSans"/>
        <family val="2"/>
      </rPr>
      <t xml:space="preserve">واحد مراقبتی فیلتر رگلاتور </t>
    </r>
    <r>
      <rPr>
        <sz val="10"/>
        <rFont val="Vazirmatn"/>
        <family val="0"/>
        <charset val="1"/>
      </rPr>
      <t xml:space="preserve">SHAKO - UFR - 03</t>
    </r>
  </si>
  <si>
    <t xml:space="preserve">31219796</t>
  </si>
  <si>
    <r>
      <rPr>
        <sz val="10"/>
        <rFont val="FreeSans"/>
        <family val="2"/>
      </rPr>
      <t xml:space="preserve">سنسور القایی دکانتور </t>
    </r>
    <r>
      <rPr>
        <sz val="10"/>
        <rFont val="Vazirmatn"/>
        <family val="0"/>
        <charset val="1"/>
      </rPr>
      <t xml:space="preserve">040 - 0868 - 0005</t>
    </r>
  </si>
  <si>
    <t xml:space="preserve">31219798</t>
  </si>
  <si>
    <r>
      <rPr>
        <sz val="10"/>
        <rFont val="FreeSans"/>
        <family val="2"/>
      </rPr>
      <t xml:space="preserve">سنسور ارتعاش سنج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ویبرومتر </t>
    </r>
    <r>
      <rPr>
        <sz val="10"/>
        <rFont val="Vazirmatn"/>
        <family val="0"/>
        <charset val="1"/>
      </rPr>
      <t xml:space="preserve">) AC 102 - 1A</t>
    </r>
  </si>
  <si>
    <t xml:space="preserve">31219800</t>
  </si>
  <si>
    <r>
      <rPr>
        <sz val="10"/>
        <rFont val="FreeSans"/>
        <family val="2"/>
      </rPr>
      <t xml:space="preserve">سنسور مجاورتی</t>
    </r>
    <r>
      <rPr>
        <sz val="10"/>
        <rFont val="Vazirmatn"/>
        <family val="0"/>
        <charset val="1"/>
      </rPr>
      <t xml:space="preserve">E2E-X5F1    OMRON</t>
    </r>
  </si>
  <si>
    <t xml:space="preserve">31219804</t>
  </si>
  <si>
    <t xml:space="preserve">تایمر بادی کنتاکتور</t>
  </si>
  <si>
    <t xml:space="preserve">31219805</t>
  </si>
  <si>
    <r>
      <rPr>
        <sz val="10"/>
        <rFont val="FreeSans"/>
        <family val="2"/>
      </rPr>
      <t xml:space="preserve">پایه رله پی ال سی باریک  </t>
    </r>
    <r>
      <rPr>
        <sz val="10"/>
        <rFont val="Vazirmatn"/>
        <family val="0"/>
        <charset val="1"/>
      </rPr>
      <t xml:space="preserve">Finder  34.51.7.060</t>
    </r>
  </si>
  <si>
    <t xml:space="preserve">31219806</t>
  </si>
  <si>
    <t xml:space="preserve">پایه تایمر</t>
  </si>
  <si>
    <t xml:space="preserve">31219810</t>
  </si>
  <si>
    <r>
      <rPr>
        <sz val="10"/>
        <rFont val="FreeSans"/>
        <family val="2"/>
      </rPr>
      <t xml:space="preserve">درایو دانفوس </t>
    </r>
    <r>
      <rPr>
        <sz val="10"/>
        <rFont val="Vazirmatn"/>
        <family val="0"/>
        <charset val="1"/>
      </rPr>
      <t xml:space="preserve">FC - 301P11KT4E20H1 11KW  3Q</t>
    </r>
  </si>
  <si>
    <t xml:space="preserve">31219812</t>
  </si>
  <si>
    <r>
      <rPr>
        <sz val="10"/>
        <rFont val="FreeSans"/>
        <family val="2"/>
      </rPr>
      <t xml:space="preserve">درایو دانفوس </t>
    </r>
    <r>
      <rPr>
        <sz val="10"/>
        <rFont val="Vazirmatn"/>
        <family val="0"/>
        <charset val="1"/>
      </rPr>
      <t xml:space="preserve">FC - 312P45KT5E20H2 45KW  3Q</t>
    </r>
  </si>
  <si>
    <t xml:space="preserve">31219821</t>
  </si>
  <si>
    <r>
      <rPr>
        <sz val="10"/>
        <rFont val="FreeSans"/>
        <family val="2"/>
      </rPr>
      <t xml:space="preserve">تایمر دیجیتال   </t>
    </r>
    <r>
      <rPr>
        <sz val="10"/>
        <rFont val="Vazirmatn"/>
        <family val="0"/>
        <charset val="1"/>
      </rPr>
      <t xml:space="preserve">XY - 3000H       220V 3AMP</t>
    </r>
  </si>
  <si>
    <t xml:space="preserve">31219822</t>
  </si>
  <si>
    <r>
      <rPr>
        <sz val="10"/>
        <rFont val="FreeSans"/>
        <family val="2"/>
      </rPr>
      <t xml:space="preserve">تایمرشیربرقی        </t>
    </r>
    <r>
      <rPr>
        <sz val="10"/>
        <rFont val="Vazirmatn"/>
        <family val="0"/>
        <charset val="1"/>
      </rPr>
      <t xml:space="preserve">27-240V</t>
    </r>
  </si>
  <si>
    <t xml:space="preserve">31219823</t>
  </si>
  <si>
    <r>
      <rPr>
        <sz val="10"/>
        <rFont val="FreeSans"/>
        <family val="2"/>
      </rPr>
      <t xml:space="preserve">تایمر دیجیتال </t>
    </r>
    <r>
      <rPr>
        <sz val="10"/>
        <rFont val="Vazirmatn"/>
        <family val="0"/>
        <charset val="1"/>
      </rPr>
      <t xml:space="preserve">220 </t>
    </r>
    <r>
      <rPr>
        <sz val="10"/>
        <rFont val="FreeSans"/>
        <family val="2"/>
      </rPr>
      <t xml:space="preserve">ولت  </t>
    </r>
    <r>
      <rPr>
        <sz val="10"/>
        <rFont val="Vazirmatn"/>
        <family val="0"/>
        <charset val="1"/>
      </rPr>
      <t xml:space="preserve">XY - 3800H</t>
    </r>
  </si>
  <si>
    <t xml:space="preserve">31219827</t>
  </si>
  <si>
    <r>
      <rPr>
        <sz val="10"/>
        <rFont val="FreeSans"/>
        <family val="2"/>
      </rPr>
      <t xml:space="preserve">تایمر ستاره مثلث </t>
    </r>
    <r>
      <rPr>
        <sz val="10"/>
        <rFont val="Vazirmatn"/>
        <family val="0"/>
        <charset val="1"/>
      </rPr>
      <t xml:space="preserve">SIRIUS 3RP 2576 - 1NW 30</t>
    </r>
  </si>
  <si>
    <t xml:space="preserve">31219829</t>
  </si>
  <si>
    <r>
      <rPr>
        <sz val="10"/>
        <rFont val="FreeSans"/>
        <family val="2"/>
      </rPr>
      <t xml:space="preserve">فرکانس کانورتر </t>
    </r>
    <r>
      <rPr>
        <sz val="10"/>
        <rFont val="Vazirmatn"/>
        <family val="0"/>
        <charset val="1"/>
      </rPr>
      <t xml:space="preserve">KFD2 - UFC - 1.D 231193</t>
    </r>
  </si>
  <si>
    <t xml:space="preserve">31219832</t>
  </si>
  <si>
    <r>
      <rPr>
        <sz val="10"/>
        <rFont val="FreeSans"/>
        <family val="2"/>
      </rPr>
      <t xml:space="preserve">مبدل سیگنال دما  </t>
    </r>
    <r>
      <rPr>
        <sz val="10"/>
        <rFont val="Vazirmatn"/>
        <family val="0"/>
        <charset val="1"/>
      </rPr>
      <t xml:space="preserve">WTS4 PT100 / 3</t>
    </r>
  </si>
  <si>
    <t xml:space="preserve">31219833</t>
  </si>
  <si>
    <r>
      <rPr>
        <sz val="10"/>
        <rFont val="FreeSans"/>
        <family val="2"/>
      </rPr>
      <t xml:space="preserve">درایو دانفوس </t>
    </r>
    <r>
      <rPr>
        <sz val="10"/>
        <rFont val="Vazirmatn"/>
        <family val="0"/>
        <charset val="1"/>
      </rPr>
      <t xml:space="preserve">FC - 322P22KT5E20H1 22KW  3Q</t>
    </r>
  </si>
  <si>
    <t xml:space="preserve">31219834</t>
  </si>
  <si>
    <r>
      <rPr>
        <sz val="10"/>
        <rFont val="FreeSans"/>
        <family val="2"/>
      </rPr>
      <t xml:space="preserve">تایمر بادی  </t>
    </r>
    <r>
      <rPr>
        <sz val="10"/>
        <rFont val="Vazirmatn"/>
        <family val="0"/>
        <charset val="1"/>
      </rPr>
      <t xml:space="preserve">LADT2 on delay 0.1 - 30 S</t>
    </r>
  </si>
  <si>
    <t xml:space="preserve">31219835</t>
  </si>
  <si>
    <r>
      <rPr>
        <sz val="10"/>
        <rFont val="FreeSans"/>
        <family val="2"/>
      </rPr>
      <t xml:space="preserve">تایمر زیمنس </t>
    </r>
    <r>
      <rPr>
        <sz val="10"/>
        <rFont val="Vazirmatn"/>
        <family val="0"/>
        <charset val="1"/>
      </rPr>
      <t xml:space="preserve">SIRIUS 3RP 2505 - 1BW 30</t>
    </r>
  </si>
  <si>
    <t xml:space="preserve">31219837</t>
  </si>
  <si>
    <r>
      <rPr>
        <sz val="10"/>
        <rFont val="FreeSans"/>
        <family val="2"/>
      </rPr>
      <t xml:space="preserve">سنسور </t>
    </r>
    <r>
      <rPr>
        <sz val="10"/>
        <rFont val="Vazirmatn"/>
        <family val="0"/>
        <charset val="1"/>
      </rPr>
      <t xml:space="preserve">PT 100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40cm ( </t>
    </r>
    <r>
      <rPr>
        <sz val="10"/>
        <rFont val="FreeSans"/>
        <family val="2"/>
      </rPr>
      <t xml:space="preserve">غلاف </t>
    </r>
    <r>
      <rPr>
        <sz val="10"/>
        <rFont val="Vazirmatn"/>
        <family val="0"/>
        <charset val="1"/>
      </rPr>
      <t xml:space="preserve">+ </t>
    </r>
    <r>
      <rPr>
        <sz val="10"/>
        <rFont val="FreeSans"/>
        <family val="2"/>
      </rPr>
      <t xml:space="preserve">ترمو ول </t>
    </r>
    <r>
      <rPr>
        <sz val="10"/>
        <rFont val="Vazirmatn"/>
        <family val="0"/>
        <charset val="1"/>
      </rPr>
      <t xml:space="preserve">+ </t>
    </r>
    <r>
      <rPr>
        <sz val="10"/>
        <rFont val="FreeSans"/>
        <family val="2"/>
      </rPr>
      <t xml:space="preserve">ترنسمیتر </t>
    </r>
    <r>
      <rPr>
        <sz val="10"/>
        <rFont val="Vazirmatn"/>
        <family val="0"/>
        <charset val="1"/>
      </rPr>
      <t xml:space="preserve">)</t>
    </r>
  </si>
  <si>
    <t xml:space="preserve">31219839</t>
  </si>
  <si>
    <r>
      <rPr>
        <sz val="10"/>
        <rFont val="FreeSans"/>
        <family val="2"/>
      </rPr>
      <t xml:space="preserve">کنترلر </t>
    </r>
    <r>
      <rPr>
        <sz val="10"/>
        <rFont val="Vazirmatn"/>
        <family val="0"/>
        <charset val="1"/>
      </rPr>
      <t xml:space="preserve">PMA - KS40 - 1     PID</t>
    </r>
  </si>
  <si>
    <t xml:space="preserve">31219840</t>
  </si>
  <si>
    <r>
      <rPr>
        <sz val="10"/>
        <rFont val="FreeSans"/>
        <family val="2"/>
      </rPr>
      <t xml:space="preserve">ولت  متر  </t>
    </r>
    <r>
      <rPr>
        <sz val="10"/>
        <rFont val="Vazirmatn"/>
        <family val="0"/>
        <charset val="1"/>
      </rPr>
      <t xml:space="preserve">0-400</t>
    </r>
  </si>
  <si>
    <t xml:space="preserve">31219842</t>
  </si>
  <si>
    <r>
      <rPr>
        <sz val="10"/>
        <rFont val="FreeSans"/>
        <family val="2"/>
      </rPr>
      <t xml:space="preserve">سنسور سه سیمه </t>
    </r>
    <r>
      <rPr>
        <sz val="10"/>
        <rFont val="Vazirmatn"/>
        <family val="0"/>
        <charset val="1"/>
      </rPr>
      <t xml:space="preserve">PT 100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5cm</t>
    </r>
  </si>
  <si>
    <t xml:space="preserve">31219843</t>
  </si>
  <si>
    <r>
      <rPr>
        <sz val="10"/>
        <rFont val="FreeSans"/>
        <family val="2"/>
      </rPr>
      <t xml:space="preserve">سنسور مجاورتی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سیمه </t>
    </r>
    <r>
      <rPr>
        <sz val="10"/>
        <rFont val="Vazirmatn"/>
        <family val="0"/>
        <charset val="1"/>
      </rPr>
      <t xml:space="preserve">SME-8M-DS-24V-K2,5-DE</t>
    </r>
  </si>
  <si>
    <t xml:space="preserve">31219844</t>
  </si>
  <si>
    <r>
      <rPr>
        <sz val="10"/>
        <rFont val="FreeSans"/>
        <family val="2"/>
      </rPr>
      <t xml:space="preserve">سنسور دما </t>
    </r>
    <r>
      <rPr>
        <sz val="10"/>
        <rFont val="Vazirmatn"/>
        <family val="0"/>
        <charset val="1"/>
      </rPr>
      <t xml:space="preserve">PT 100 ( </t>
    </r>
    <r>
      <rPr>
        <sz val="10"/>
        <rFont val="FreeSans"/>
        <family val="2"/>
      </rPr>
      <t xml:space="preserve">قطر غلاف </t>
    </r>
    <r>
      <rPr>
        <sz val="10"/>
        <rFont val="Vazirmatn"/>
        <family val="0"/>
        <charset val="1"/>
      </rPr>
      <t xml:space="preserve">6mm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10cm)</t>
    </r>
  </si>
  <si>
    <t xml:space="preserve">31219845</t>
  </si>
  <si>
    <r>
      <rPr>
        <sz val="10"/>
        <rFont val="FreeSans"/>
        <family val="2"/>
      </rPr>
      <t xml:space="preserve">سنسور فشار سنج </t>
    </r>
    <r>
      <rPr>
        <sz val="10"/>
        <rFont val="Vazirmatn"/>
        <family val="0"/>
        <charset val="1"/>
      </rPr>
      <t xml:space="preserve">G1 S11 4-20mA  0 - 600 mbar</t>
    </r>
  </si>
  <si>
    <t xml:space="preserve">31219846</t>
  </si>
  <si>
    <r>
      <rPr>
        <sz val="10"/>
        <rFont val="FreeSans"/>
        <family val="2"/>
      </rPr>
      <t xml:space="preserve">درایو  </t>
    </r>
    <r>
      <rPr>
        <sz val="10"/>
        <rFont val="Vazirmatn"/>
        <family val="0"/>
        <charset val="1"/>
      </rPr>
      <t xml:space="preserve">MICRO MASTER 440/15 KW</t>
    </r>
  </si>
  <si>
    <t xml:space="preserve">31219847</t>
  </si>
  <si>
    <r>
      <rPr>
        <sz val="10"/>
        <rFont val="FreeSans"/>
        <family val="2"/>
      </rPr>
      <t xml:space="preserve">درایو  </t>
    </r>
    <r>
      <rPr>
        <sz val="10"/>
        <rFont val="Vazirmatn"/>
        <family val="0"/>
        <charset val="1"/>
      </rPr>
      <t xml:space="preserve">MICRO MASTER 440/18.5 KW</t>
    </r>
  </si>
  <si>
    <t xml:space="preserve">31219848</t>
  </si>
  <si>
    <r>
      <rPr>
        <sz val="10"/>
        <rFont val="FreeSans"/>
        <family val="2"/>
      </rPr>
      <t xml:space="preserve">درایو   </t>
    </r>
    <r>
      <rPr>
        <sz val="10"/>
        <rFont val="Vazirmatn"/>
        <family val="0"/>
        <charset val="1"/>
      </rPr>
      <t xml:space="preserve">MICRO MASTER 440/1.1 KW</t>
    </r>
  </si>
  <si>
    <t xml:space="preserve">31219849</t>
  </si>
  <si>
    <r>
      <rPr>
        <sz val="10"/>
        <rFont val="FreeSans"/>
        <family val="2"/>
      </rPr>
      <t xml:space="preserve">درایو   </t>
    </r>
    <r>
      <rPr>
        <sz val="10"/>
        <rFont val="Vazirmatn"/>
        <family val="0"/>
        <charset val="1"/>
      </rPr>
      <t xml:space="preserve">MICRO MASTER 440/18.5 KW</t>
    </r>
  </si>
  <si>
    <t xml:space="preserve">31219851</t>
  </si>
  <si>
    <r>
      <rPr>
        <sz val="10"/>
        <rFont val="FreeSans"/>
        <family val="2"/>
      </rPr>
      <t xml:space="preserve">آمپرمتر   </t>
    </r>
    <r>
      <rPr>
        <sz val="10"/>
        <rFont val="Vazirmatn"/>
        <family val="0"/>
        <charset val="1"/>
      </rPr>
      <t xml:space="preserve">MT 4W - A4 - 41</t>
    </r>
  </si>
  <si>
    <t xml:space="preserve">31219853</t>
  </si>
  <si>
    <r>
      <rPr>
        <sz val="10"/>
        <rFont val="FreeSans"/>
        <family val="2"/>
      </rPr>
      <t xml:space="preserve">آمپرمتر</t>
    </r>
    <r>
      <rPr>
        <sz val="10"/>
        <rFont val="Vazirmatn"/>
        <family val="0"/>
        <charset val="1"/>
      </rPr>
      <t xml:space="preserve">10-0</t>
    </r>
    <r>
      <rPr>
        <sz val="10"/>
        <rFont val="FreeSans"/>
        <family val="2"/>
      </rPr>
      <t xml:space="preserve">امپر</t>
    </r>
  </si>
  <si>
    <t xml:space="preserve">31219854</t>
  </si>
  <si>
    <r>
      <rPr>
        <sz val="10"/>
        <rFont val="FreeSans"/>
        <family val="2"/>
      </rPr>
      <t xml:space="preserve">تایمر </t>
    </r>
    <r>
      <rPr>
        <sz val="10"/>
        <rFont val="Vazirmatn"/>
        <family val="0"/>
        <charset val="1"/>
      </rPr>
      <t xml:space="preserve">Omron </t>
    </r>
    <r>
      <rPr>
        <sz val="10"/>
        <rFont val="FreeSans"/>
        <family val="2"/>
      </rPr>
      <t xml:space="preserve">با پایه مولتی رنج </t>
    </r>
    <r>
      <rPr>
        <sz val="10"/>
        <rFont val="Vazirmatn"/>
        <family val="0"/>
        <charset val="1"/>
      </rPr>
      <t xml:space="preserve">220V</t>
    </r>
  </si>
  <si>
    <t xml:space="preserve">31219855</t>
  </si>
  <si>
    <r>
      <rPr>
        <sz val="10"/>
        <rFont val="FreeSans"/>
        <family val="2"/>
      </rPr>
      <t xml:space="preserve">آمپرمتر</t>
    </r>
    <r>
      <rPr>
        <sz val="10"/>
        <rFont val="Vazirmatn"/>
        <family val="0"/>
        <charset val="1"/>
      </rPr>
      <t xml:space="preserve">20-0</t>
    </r>
    <r>
      <rPr>
        <sz val="10"/>
        <rFont val="FreeSans"/>
        <family val="2"/>
      </rPr>
      <t xml:space="preserve">امپر</t>
    </r>
  </si>
  <si>
    <t xml:space="preserve">31219856</t>
  </si>
  <si>
    <r>
      <rPr>
        <sz val="10"/>
        <rFont val="FreeSans"/>
        <family val="2"/>
      </rPr>
      <t xml:space="preserve">آمپرمتر  </t>
    </r>
    <r>
      <rPr>
        <sz val="10"/>
        <rFont val="Vazirmatn"/>
        <family val="0"/>
        <charset val="1"/>
      </rPr>
      <t xml:space="preserve">150/5</t>
    </r>
  </si>
  <si>
    <t xml:space="preserve">31219857</t>
  </si>
  <si>
    <r>
      <rPr>
        <sz val="10"/>
        <rFont val="FreeSans"/>
        <family val="2"/>
      </rPr>
      <t xml:space="preserve">مموری کارت درایو </t>
    </r>
    <r>
      <rPr>
        <sz val="10"/>
        <rFont val="Vazirmatn"/>
        <family val="0"/>
        <charset val="1"/>
      </rPr>
      <t xml:space="preserve">ACS880-MU-ZCU-12/14  ABB</t>
    </r>
  </si>
  <si>
    <t xml:space="preserve">31219859</t>
  </si>
  <si>
    <r>
      <rPr>
        <sz val="10"/>
        <rFont val="FreeSans"/>
        <family val="2"/>
      </rPr>
      <t xml:space="preserve">آمپرمتر</t>
    </r>
    <r>
      <rPr>
        <sz val="10"/>
        <rFont val="Vazirmatn"/>
        <family val="0"/>
        <charset val="1"/>
      </rPr>
      <t xml:space="preserve">100-0</t>
    </r>
    <r>
      <rPr>
        <sz val="10"/>
        <rFont val="FreeSans"/>
        <family val="2"/>
      </rPr>
      <t xml:space="preserve">امپر</t>
    </r>
  </si>
  <si>
    <t xml:space="preserve">31219860</t>
  </si>
  <si>
    <r>
      <rPr>
        <sz val="10"/>
        <rFont val="FreeSans"/>
        <family val="2"/>
      </rPr>
      <t xml:space="preserve">سنسور نوری یکطرفه سیلندری </t>
    </r>
    <r>
      <rPr>
        <sz val="10"/>
        <rFont val="Vazirmatn"/>
        <family val="0"/>
        <charset val="1"/>
      </rPr>
      <t xml:space="preserve">BR100-DDT 18mm</t>
    </r>
  </si>
  <si>
    <t xml:space="preserve">31219861</t>
  </si>
  <si>
    <r>
      <rPr>
        <sz val="10"/>
        <rFont val="FreeSans"/>
        <family val="2"/>
      </rPr>
      <t xml:space="preserve">آمپرمتر</t>
    </r>
    <r>
      <rPr>
        <sz val="10"/>
        <rFont val="Vazirmatn"/>
        <family val="0"/>
        <charset val="1"/>
      </rPr>
      <t xml:space="preserve">_0200</t>
    </r>
    <r>
      <rPr>
        <sz val="10"/>
        <rFont val="FreeSans"/>
        <family val="2"/>
      </rPr>
      <t xml:space="preserve">امپر</t>
    </r>
  </si>
  <si>
    <t xml:space="preserve">31219862</t>
  </si>
  <si>
    <r>
      <rPr>
        <sz val="10"/>
        <rFont val="FreeSans"/>
        <family val="2"/>
      </rPr>
      <t xml:space="preserve">ترموستات تابلویی </t>
    </r>
    <r>
      <rPr>
        <sz val="10"/>
        <rFont val="Vazirmatn"/>
        <family val="0"/>
        <charset val="1"/>
      </rPr>
      <t xml:space="preserve">60 - 0 </t>
    </r>
    <r>
      <rPr>
        <sz val="10"/>
        <rFont val="FreeSans"/>
        <family val="2"/>
      </rPr>
      <t xml:space="preserve">درجه سانتی گراد  </t>
    </r>
    <r>
      <rPr>
        <sz val="10"/>
        <rFont val="Vazirmatn"/>
        <family val="0"/>
        <charset val="1"/>
      </rPr>
      <t xml:space="preserve">10A</t>
    </r>
  </si>
  <si>
    <t xml:space="preserve">31219864</t>
  </si>
  <si>
    <r>
      <rPr>
        <sz val="10"/>
        <rFont val="FreeSans"/>
        <family val="2"/>
      </rPr>
      <t xml:space="preserve">سنسور دما </t>
    </r>
    <r>
      <rPr>
        <sz val="10"/>
        <rFont val="Vazirmatn"/>
        <family val="0"/>
        <charset val="1"/>
      </rPr>
      <t xml:space="preserve">PT100 </t>
    </r>
    <r>
      <rPr>
        <sz val="10"/>
        <rFont val="FreeSans"/>
        <family val="2"/>
      </rPr>
      <t xml:space="preserve">هددار ترانسمیتری </t>
    </r>
    <r>
      <rPr>
        <sz val="10"/>
        <rFont val="Vazirmatn"/>
        <family val="0"/>
        <charset val="1"/>
      </rPr>
      <t xml:space="preserve">100-0 30cm</t>
    </r>
  </si>
  <si>
    <t xml:space="preserve">31219865</t>
  </si>
  <si>
    <r>
      <rPr>
        <sz val="10"/>
        <rFont val="FreeSans"/>
        <family val="2"/>
      </rPr>
      <t xml:space="preserve">آمپرمتر</t>
    </r>
    <r>
      <rPr>
        <sz val="10"/>
        <rFont val="Vazirmatn"/>
        <family val="0"/>
        <charset val="1"/>
      </rPr>
      <t xml:space="preserve">_5400</t>
    </r>
  </si>
  <si>
    <t xml:space="preserve">31219866</t>
  </si>
  <si>
    <r>
      <rPr>
        <sz val="10"/>
        <rFont val="FreeSans"/>
        <family val="2"/>
      </rPr>
      <t xml:space="preserve">سنسور دما </t>
    </r>
    <r>
      <rPr>
        <sz val="10"/>
        <rFont val="Vazirmatn"/>
        <family val="0"/>
        <charset val="1"/>
      </rPr>
      <t xml:space="preserve">PT100 </t>
    </r>
    <r>
      <rPr>
        <sz val="10"/>
        <rFont val="FreeSans"/>
        <family val="2"/>
      </rPr>
      <t xml:space="preserve">هددار ترانسمیتری </t>
    </r>
    <r>
      <rPr>
        <sz val="10"/>
        <rFont val="Vazirmatn"/>
        <family val="0"/>
        <charset val="1"/>
      </rPr>
      <t xml:space="preserve">100-0 40cm</t>
    </r>
  </si>
  <si>
    <t xml:space="preserve">31219867</t>
  </si>
  <si>
    <r>
      <rPr>
        <sz val="10"/>
        <rFont val="FreeSans"/>
        <family val="2"/>
      </rPr>
      <t xml:space="preserve">درایو </t>
    </r>
    <r>
      <rPr>
        <sz val="10"/>
        <rFont val="Vazirmatn"/>
        <family val="0"/>
        <charset val="1"/>
      </rPr>
      <t xml:space="preserve">SIEMENS 18/5KW 6SE6440-2UD31-8DB1</t>
    </r>
  </si>
  <si>
    <t xml:space="preserve">31219871</t>
  </si>
  <si>
    <t xml:space="preserve">آمپر متر تابلویی</t>
  </si>
  <si>
    <t xml:space="preserve">31219872</t>
  </si>
  <si>
    <r>
      <rPr>
        <sz val="10"/>
        <rFont val="FreeSans"/>
        <family val="2"/>
      </rPr>
      <t xml:space="preserve">درایور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راه انداز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دکانتور  </t>
    </r>
    <r>
      <rPr>
        <sz val="10"/>
        <rFont val="Vazirmatn"/>
        <family val="0"/>
        <charset val="1"/>
      </rPr>
      <t xml:space="preserve">010 - 6635 - 8417</t>
    </r>
  </si>
  <si>
    <t xml:space="preserve">31219873</t>
  </si>
  <si>
    <r>
      <rPr>
        <sz val="10"/>
        <rFont val="FreeSans"/>
        <family val="2"/>
      </rPr>
      <t xml:space="preserve">سنسور دما </t>
    </r>
    <r>
      <rPr>
        <sz val="10"/>
        <rFont val="Vazirmatn"/>
        <family val="0"/>
        <charset val="1"/>
      </rPr>
      <t xml:space="preserve">PT100  </t>
    </r>
    <r>
      <rPr>
        <sz val="10"/>
        <rFont val="FreeSans"/>
        <family val="2"/>
      </rPr>
      <t xml:space="preserve">ترانسمیتری غلاف دار </t>
    </r>
    <r>
      <rPr>
        <sz val="10"/>
        <rFont val="Vazirmatn"/>
        <family val="0"/>
        <charset val="1"/>
      </rPr>
      <t xml:space="preserve">100-0 10cm </t>
    </r>
    <r>
      <rPr>
        <sz val="10"/>
        <rFont val="FreeSans"/>
        <family val="2"/>
      </rPr>
      <t xml:space="preserve">کانکشن غلاف </t>
    </r>
    <r>
      <rPr>
        <sz val="10"/>
        <rFont val="Vazirmatn"/>
        <family val="0"/>
        <charset val="1"/>
      </rPr>
      <t xml:space="preserve">"1/2</t>
    </r>
  </si>
  <si>
    <t xml:space="preserve">31219875</t>
  </si>
  <si>
    <r>
      <rPr>
        <sz val="10"/>
        <rFont val="FreeSans"/>
        <family val="2"/>
      </rPr>
      <t xml:space="preserve">ترموستات آنالوگ   </t>
    </r>
    <r>
      <rPr>
        <sz val="10"/>
        <rFont val="Vazirmatn"/>
        <family val="0"/>
        <charset val="1"/>
      </rPr>
      <t xml:space="preserve">30+ </t>
    </r>
    <r>
      <rPr>
        <sz val="10"/>
        <rFont val="FreeSans"/>
        <family val="2"/>
      </rPr>
      <t xml:space="preserve">تا  </t>
    </r>
    <r>
      <rPr>
        <sz val="10"/>
        <rFont val="Vazirmatn"/>
        <family val="0"/>
        <charset val="1"/>
      </rPr>
      <t xml:space="preserve">30-</t>
    </r>
  </si>
  <si>
    <t xml:space="preserve">31219876</t>
  </si>
  <si>
    <r>
      <rPr>
        <sz val="10"/>
        <rFont val="FreeSans"/>
        <family val="2"/>
      </rPr>
      <t xml:space="preserve">سنسور مغناطیسی عیوض تیپ   </t>
    </r>
    <r>
      <rPr>
        <sz val="10"/>
        <rFont val="Vazirmatn"/>
        <family val="0"/>
        <charset val="1"/>
      </rPr>
      <t xml:space="preserve">MS 15</t>
    </r>
  </si>
  <si>
    <t xml:space="preserve">31219877</t>
  </si>
  <si>
    <r>
      <rPr>
        <sz val="10"/>
        <rFont val="FreeSans"/>
        <family val="2"/>
      </rPr>
      <t xml:space="preserve">درایو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اینورتر </t>
    </r>
    <r>
      <rPr>
        <sz val="10"/>
        <rFont val="Vazirmatn"/>
        <family val="0"/>
        <charset val="1"/>
      </rPr>
      <t xml:space="preserve">) 5BE24-0CV0 V20 4KW</t>
    </r>
  </si>
  <si>
    <t xml:space="preserve">31219880</t>
  </si>
  <si>
    <r>
      <rPr>
        <sz val="10"/>
        <rFont val="FreeSans"/>
        <family val="2"/>
      </rPr>
      <t xml:space="preserve">درایو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فرکانس اینورتر </t>
    </r>
    <r>
      <rPr>
        <sz val="10"/>
        <rFont val="Vazirmatn"/>
        <family val="0"/>
        <charset val="1"/>
      </rPr>
      <t xml:space="preserve">ABB )  ACS880-01-293A-3</t>
    </r>
  </si>
  <si>
    <t xml:space="preserve">31219881</t>
  </si>
  <si>
    <r>
      <rPr>
        <sz val="10"/>
        <rFont val="FreeSans"/>
        <family val="2"/>
      </rPr>
      <t xml:space="preserve">سنسور القایی  </t>
    </r>
    <r>
      <rPr>
        <sz val="10"/>
        <rFont val="Vazirmatn"/>
        <family val="0"/>
        <charset val="1"/>
      </rPr>
      <t xml:space="preserve">IPS-310-OP-30-HT</t>
    </r>
  </si>
  <si>
    <t xml:space="preserve">31219883</t>
  </si>
  <si>
    <r>
      <rPr>
        <sz val="10"/>
        <rFont val="FreeSans"/>
        <family val="2"/>
      </rPr>
      <t xml:space="preserve">ترموستات ولومی </t>
    </r>
    <r>
      <rPr>
        <sz val="10"/>
        <rFont val="Vazirmatn"/>
        <family val="0"/>
        <charset val="1"/>
      </rPr>
      <t xml:space="preserve">100 - 20 </t>
    </r>
    <r>
      <rPr>
        <sz val="10"/>
        <rFont val="FreeSans"/>
        <family val="2"/>
      </rPr>
      <t xml:space="preserve">درجه</t>
    </r>
  </si>
  <si>
    <t xml:space="preserve">31219890</t>
  </si>
  <si>
    <r>
      <rPr>
        <sz val="10"/>
        <rFont val="FreeSans"/>
        <family val="2"/>
      </rPr>
      <t xml:space="preserve">کنترل پنل اعلام حریق </t>
    </r>
    <r>
      <rPr>
        <sz val="10"/>
        <rFont val="Vazirmatn"/>
        <family val="0"/>
        <charset val="1"/>
      </rPr>
      <t xml:space="preserve">18 </t>
    </r>
    <r>
      <rPr>
        <sz val="10"/>
        <rFont val="FreeSans"/>
        <family val="2"/>
      </rPr>
      <t xml:space="preserve">زون زیتکس  </t>
    </r>
    <r>
      <rPr>
        <sz val="10"/>
        <rFont val="Vazirmatn"/>
        <family val="0"/>
        <charset val="1"/>
      </rPr>
      <t xml:space="preserve">Zitex Pro</t>
    </r>
  </si>
  <si>
    <t xml:space="preserve">31219891</t>
  </si>
  <si>
    <r>
      <rPr>
        <sz val="10"/>
        <rFont val="FreeSans"/>
        <family val="2"/>
      </rPr>
      <t xml:space="preserve">واحد مراقبتی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فیلتر رگلاتور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یک تکه اتصال </t>
    </r>
    <r>
      <rPr>
        <sz val="10"/>
        <rFont val="Vazirmatn"/>
        <family val="0"/>
        <charset val="1"/>
      </rPr>
      <t xml:space="preserve">"3/8  SMC 0.05-0.7 MPa</t>
    </r>
  </si>
  <si>
    <t xml:space="preserve">31219892</t>
  </si>
  <si>
    <r>
      <rPr>
        <sz val="10"/>
        <rFont val="FreeSans"/>
        <family val="2"/>
      </rPr>
      <t xml:space="preserve">سنسور القایی  </t>
    </r>
    <r>
      <rPr>
        <sz val="10"/>
        <rFont val="Vazirmatn"/>
        <family val="0"/>
        <charset val="1"/>
      </rPr>
      <t xml:space="preserve">NJ2-12GK-SN  P+F</t>
    </r>
  </si>
  <si>
    <t xml:space="preserve">31219893</t>
  </si>
  <si>
    <t xml:space="preserve">Positioner SAMSON  3730-1</t>
  </si>
  <si>
    <t xml:space="preserve">31219894</t>
  </si>
  <si>
    <r>
      <rPr>
        <sz val="10"/>
        <rFont val="FreeSans"/>
        <family val="2"/>
      </rPr>
      <t xml:space="preserve">کنترل بار شیوا امواج </t>
    </r>
    <r>
      <rPr>
        <sz val="10"/>
        <rFont val="Vazirmatn"/>
        <family val="0"/>
        <charset val="1"/>
      </rPr>
      <t xml:space="preserve">60 - 1 </t>
    </r>
    <r>
      <rPr>
        <sz val="10"/>
        <rFont val="FreeSans"/>
        <family val="2"/>
      </rPr>
      <t xml:space="preserve">آمپر</t>
    </r>
  </si>
  <si>
    <t xml:space="preserve">31219896</t>
  </si>
  <si>
    <t xml:space="preserve">کنترلر دما</t>
  </si>
  <si>
    <t xml:space="preserve">31219897</t>
  </si>
  <si>
    <t xml:space="preserve">پوزیشنر شیر اواپراتور</t>
  </si>
  <si>
    <t xml:space="preserve">31219898</t>
  </si>
  <si>
    <r>
      <rPr>
        <sz val="10"/>
        <rFont val="FreeSans"/>
        <family val="2"/>
      </rPr>
      <t xml:space="preserve">کنترل بار شیوا امواج  </t>
    </r>
    <r>
      <rPr>
        <sz val="10"/>
        <rFont val="Vazirmatn"/>
        <family val="0"/>
        <charset val="1"/>
      </rPr>
      <t xml:space="preserve">DLF-60A  13F6  1-60A</t>
    </r>
  </si>
  <si>
    <t xml:space="preserve">31219899</t>
  </si>
  <si>
    <t xml:space="preserve">کنترلر  دما</t>
  </si>
  <si>
    <t xml:space="preserve">31219900</t>
  </si>
  <si>
    <t xml:space="preserve">تایمر ستاره مثلث</t>
  </si>
  <si>
    <t xml:space="preserve">31219901</t>
  </si>
  <si>
    <r>
      <rPr>
        <sz val="10"/>
        <rFont val="FreeSans"/>
        <family val="2"/>
      </rPr>
      <t xml:space="preserve">ست کنترل اتوماتیک پمپ آب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اسپینا </t>
    </r>
    <r>
      <rPr>
        <sz val="10"/>
        <rFont val="Vazirmatn"/>
        <family val="0"/>
        <charset val="1"/>
      </rPr>
      <t xml:space="preserve">) LS-8A</t>
    </r>
  </si>
  <si>
    <t xml:space="preserve">31219902</t>
  </si>
  <si>
    <r>
      <rPr>
        <sz val="10"/>
        <rFont val="FreeSans"/>
        <family val="2"/>
      </rPr>
      <t xml:space="preserve">ساعت </t>
    </r>
    <r>
      <rPr>
        <sz val="10"/>
        <rFont val="Vazirmatn"/>
        <family val="0"/>
        <charset val="1"/>
      </rPr>
      <t xml:space="preserve">_110 </t>
    </r>
    <r>
      <rPr>
        <sz val="10"/>
        <rFont val="FreeSans"/>
        <family val="2"/>
      </rPr>
      <t xml:space="preserve">لنگ گیری</t>
    </r>
  </si>
  <si>
    <t xml:space="preserve">31219905</t>
  </si>
  <si>
    <t xml:space="preserve">رابط یاتاقان بسته بندی روغن</t>
  </si>
  <si>
    <t xml:space="preserve">31219906</t>
  </si>
  <si>
    <r>
      <rPr>
        <sz val="10"/>
        <rFont val="FreeSans"/>
        <family val="2"/>
      </rPr>
      <t xml:space="preserve">مولتی متر هیوکی </t>
    </r>
    <r>
      <rPr>
        <sz val="10"/>
        <rFont val="Vazirmatn"/>
        <family val="0"/>
        <charset val="1"/>
      </rPr>
      <t xml:space="preserve">DT 4253 Hioki</t>
    </r>
  </si>
  <si>
    <t xml:space="preserve">31219907</t>
  </si>
  <si>
    <r>
      <rPr>
        <sz val="10"/>
        <rFont val="FreeSans"/>
        <family val="2"/>
      </rPr>
      <t xml:space="preserve">ست کنترل پمپ آب پنتاکس </t>
    </r>
    <r>
      <rPr>
        <sz val="10"/>
        <rFont val="Vazirmatn"/>
        <family val="0"/>
        <charset val="1"/>
      </rPr>
      <t xml:space="preserve">HID ROMATic - H1</t>
    </r>
  </si>
  <si>
    <t xml:space="preserve">31219908</t>
  </si>
  <si>
    <r>
      <rPr>
        <sz val="10"/>
        <rFont val="FreeSans"/>
        <family val="2"/>
      </rPr>
      <t xml:space="preserve">سنسور لیبل نوری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سیمه مکعبی </t>
    </r>
    <r>
      <rPr>
        <sz val="10"/>
        <rFont val="Vazirmatn"/>
        <family val="0"/>
        <charset val="1"/>
      </rPr>
      <t xml:space="preserve">U Sensor ) DC 10-30V ) </t>
    </r>
    <r>
      <rPr>
        <sz val="10"/>
        <rFont val="FreeSans"/>
        <family val="2"/>
      </rPr>
      <t xml:space="preserve">شکاف </t>
    </r>
    <r>
      <rPr>
        <sz val="10"/>
        <rFont val="Vazirmatn"/>
        <family val="0"/>
        <charset val="1"/>
      </rPr>
      <t xml:space="preserve">2mm</t>
    </r>
  </si>
  <si>
    <t xml:space="preserve">31219909</t>
  </si>
  <si>
    <t xml:space="preserve">Sensor Proximity Switch PEPPERL+FUCHS NJ2 - 12GK - SN</t>
  </si>
  <si>
    <t xml:space="preserve">31219911</t>
  </si>
  <si>
    <r>
      <rPr>
        <sz val="10"/>
        <rFont val="FreeSans"/>
        <family val="2"/>
      </rPr>
      <t xml:space="preserve">سنسور فشار اطلس کوپکو </t>
    </r>
    <r>
      <rPr>
        <sz val="10"/>
        <rFont val="Vazirmatn"/>
        <family val="0"/>
        <charset val="1"/>
      </rPr>
      <t xml:space="preserve">( 1089057555 )</t>
    </r>
  </si>
  <si>
    <t xml:space="preserve">31219913</t>
  </si>
  <si>
    <r>
      <rPr>
        <sz val="10"/>
        <rFont val="FreeSans"/>
        <family val="2"/>
      </rPr>
      <t xml:space="preserve">پوزیشنر جورج فیشر </t>
    </r>
    <r>
      <rPr>
        <sz val="10"/>
        <rFont val="Vazirmatn"/>
        <family val="0"/>
        <charset val="1"/>
      </rPr>
      <t xml:space="preserve">( EA25-250 ) 199190603</t>
    </r>
  </si>
  <si>
    <t xml:space="preserve">31219915</t>
  </si>
  <si>
    <r>
      <rPr>
        <sz val="10"/>
        <rFont val="FreeSans"/>
        <family val="2"/>
      </rPr>
      <t xml:space="preserve">ترموستات گرمایشی تکبان </t>
    </r>
    <r>
      <rPr>
        <sz val="10"/>
        <rFont val="Vazirmatn"/>
        <family val="0"/>
        <charset val="1"/>
      </rPr>
      <t xml:space="preserve">-  250V - 20A - VA 90 G22</t>
    </r>
  </si>
  <si>
    <t xml:space="preserve">31219916</t>
  </si>
  <si>
    <r>
      <rPr>
        <sz val="10"/>
        <rFont val="FreeSans"/>
        <family val="2"/>
      </rPr>
      <t xml:space="preserve">ویبره سنج  آسیاب ایمپکت </t>
    </r>
    <r>
      <rPr>
        <sz val="10"/>
        <rFont val="Vazirmatn"/>
        <family val="0"/>
        <charset val="1"/>
      </rPr>
      <t xml:space="preserve">002-005636</t>
    </r>
  </si>
  <si>
    <t xml:space="preserve">31219917</t>
  </si>
  <si>
    <r>
      <rPr>
        <sz val="10"/>
        <rFont val="FreeSans"/>
        <family val="2"/>
      </rPr>
      <t xml:space="preserve">واحد مراقبتی باد یک تیکه  </t>
    </r>
    <r>
      <rPr>
        <sz val="10"/>
        <rFont val="Vazirmatn"/>
        <family val="0"/>
        <charset val="1"/>
      </rPr>
      <t xml:space="preserve">SHAKO - 10bar</t>
    </r>
  </si>
  <si>
    <t xml:space="preserve">31219918</t>
  </si>
  <si>
    <t xml:space="preserve">سوپر کنترل فاز دیجیتال شیوا امواج</t>
  </si>
  <si>
    <t xml:space="preserve">31219919</t>
  </si>
  <si>
    <r>
      <rPr>
        <sz val="10"/>
        <rFont val="FreeSans"/>
        <family val="2"/>
      </rPr>
      <t xml:space="preserve">آمپر متر کلمپی هیوکی  </t>
    </r>
    <r>
      <rPr>
        <sz val="10"/>
        <rFont val="Vazirmatn"/>
        <family val="0"/>
        <charset val="1"/>
      </rPr>
      <t xml:space="preserve">3280 - 10F</t>
    </r>
  </si>
  <si>
    <t xml:space="preserve">31219921</t>
  </si>
  <si>
    <r>
      <rPr>
        <sz val="10"/>
        <rFont val="FreeSans"/>
        <family val="2"/>
      </rPr>
      <t xml:space="preserve">سنسور نوری اتونیکس رفلکتوری  </t>
    </r>
    <r>
      <rPr>
        <sz val="10"/>
        <rFont val="Vazirmatn"/>
        <family val="0"/>
        <charset val="1"/>
      </rPr>
      <t xml:space="preserve">BR3M-MDT-P</t>
    </r>
  </si>
  <si>
    <t xml:space="preserve">31219922</t>
  </si>
  <si>
    <r>
      <rPr>
        <sz val="10"/>
        <rFont val="FreeSans"/>
        <family val="2"/>
      </rPr>
      <t xml:space="preserve">کنترلر دمای شیوا امواج  کد </t>
    </r>
    <r>
      <rPr>
        <sz val="10"/>
        <rFont val="Vazirmatn"/>
        <family val="0"/>
        <charset val="1"/>
      </rPr>
      <t xml:space="preserve">15jN2 - </t>
    </r>
    <r>
      <rPr>
        <sz val="10"/>
        <rFont val="FreeSans"/>
        <family val="2"/>
      </rPr>
      <t xml:space="preserve">مدل </t>
    </r>
    <r>
      <rPr>
        <sz val="10"/>
        <rFont val="Vazirmatn"/>
        <family val="0"/>
        <charset val="1"/>
      </rPr>
      <t xml:space="preserve">900 - </t>
    </r>
    <r>
      <rPr>
        <sz val="10"/>
        <rFont val="FreeSans"/>
        <family val="2"/>
      </rPr>
      <t xml:space="preserve">سری </t>
    </r>
    <r>
      <rPr>
        <sz val="10"/>
        <rFont val="Vazirmatn"/>
        <family val="0"/>
        <charset val="1"/>
      </rPr>
      <t xml:space="preserve">N</t>
    </r>
  </si>
  <si>
    <t xml:space="preserve">31219923</t>
  </si>
  <si>
    <r>
      <rPr>
        <sz val="10"/>
        <rFont val="FreeSans"/>
        <family val="2"/>
      </rPr>
      <t xml:space="preserve">سنسور حرکتی با سیم فایروال </t>
    </r>
    <r>
      <rPr>
        <sz val="10"/>
        <rFont val="Vazirmatn"/>
        <family val="0"/>
        <charset val="1"/>
      </rPr>
      <t xml:space="preserve">H63</t>
    </r>
  </si>
  <si>
    <t xml:space="preserve">31219925</t>
  </si>
  <si>
    <r>
      <rPr>
        <sz val="10"/>
        <rFont val="FreeSans"/>
        <family val="2"/>
      </rPr>
      <t xml:space="preserve">کنترل پنل اعلام حریق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زون متعارف زیتکس </t>
    </r>
    <r>
      <rPr>
        <sz val="10"/>
        <rFont val="Vazirmatn"/>
        <family val="0"/>
        <charset val="1"/>
      </rPr>
      <t xml:space="preserve">ZX - 1800 - 8</t>
    </r>
  </si>
  <si>
    <t xml:space="preserve">31219926</t>
  </si>
  <si>
    <r>
      <rPr>
        <sz val="10"/>
        <rFont val="FreeSans"/>
        <family val="2"/>
      </rPr>
      <t xml:space="preserve">سنسور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سیم بدون ترنسمیتر هرمونت </t>
    </r>
    <r>
      <rPr>
        <sz val="10"/>
        <rFont val="Vazirmatn"/>
        <family val="0"/>
        <charset val="1"/>
      </rPr>
      <t xml:space="preserve">PT100 - RTD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30Cm -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6mm - </t>
    </r>
    <r>
      <rPr>
        <sz val="10"/>
        <rFont val="FreeSans"/>
        <family val="2"/>
      </rPr>
      <t xml:space="preserve">رزوه </t>
    </r>
    <r>
      <rPr>
        <sz val="10"/>
        <rFont val="Vazirmatn"/>
        <family val="0"/>
        <charset val="1"/>
      </rPr>
      <t xml:space="preserve">"1/2</t>
    </r>
  </si>
  <si>
    <t xml:space="preserve">31219928</t>
  </si>
  <si>
    <r>
      <rPr>
        <sz val="10"/>
        <rFont val="FreeSans"/>
        <family val="2"/>
      </rPr>
      <t xml:space="preserve">تایمر شیر تخلیه دیجیتال </t>
    </r>
    <r>
      <rPr>
        <sz val="10"/>
        <rFont val="Vazirmatn"/>
        <family val="0"/>
        <charset val="1"/>
      </rPr>
      <t xml:space="preserve">XY</t>
    </r>
  </si>
  <si>
    <t xml:space="preserve">31219929</t>
  </si>
  <si>
    <t xml:space="preserve">تایمر شیر برقی</t>
  </si>
  <si>
    <t xml:space="preserve">31219930</t>
  </si>
  <si>
    <r>
      <rPr>
        <sz val="10"/>
        <rFont val="FreeSans"/>
        <family val="2"/>
      </rPr>
      <t xml:space="preserve">واحد مراقبتی باد یک تیکه شاکو  </t>
    </r>
    <r>
      <rPr>
        <sz val="10"/>
        <rFont val="Vazirmatn"/>
        <family val="0"/>
        <charset val="1"/>
      </rPr>
      <t xml:space="preserve">UFR-02  0-1 bar</t>
    </r>
  </si>
  <si>
    <t xml:space="preserve">31219931</t>
  </si>
  <si>
    <r>
      <rPr>
        <sz val="10"/>
        <rFont val="FreeSans"/>
        <family val="2"/>
      </rPr>
      <t xml:space="preserve">سنسور نوری یکطرفه </t>
    </r>
    <r>
      <rPr>
        <sz val="10"/>
        <rFont val="Vazirmatn"/>
        <family val="0"/>
        <charset val="1"/>
      </rPr>
      <t xml:space="preserve">E3FA-DN12 - Class 2 - 10-30 VDC omRon</t>
    </r>
  </si>
  <si>
    <t xml:space="preserve">31219932</t>
  </si>
  <si>
    <r>
      <rPr>
        <sz val="10"/>
        <rFont val="Vazirmatn"/>
        <family val="0"/>
        <charset val="1"/>
      </rPr>
      <t xml:space="preserve">LCR </t>
    </r>
    <r>
      <rPr>
        <sz val="10"/>
        <rFont val="FreeSans"/>
        <family val="2"/>
      </rPr>
      <t xml:space="preserve">متر لوترون  </t>
    </r>
    <r>
      <rPr>
        <sz val="10"/>
        <rFont val="Vazirmatn"/>
        <family val="0"/>
        <charset val="1"/>
      </rPr>
      <t xml:space="preserve">LCR - 9184</t>
    </r>
  </si>
  <si>
    <t xml:space="preserve">31219933</t>
  </si>
  <si>
    <r>
      <rPr>
        <sz val="10"/>
        <rFont val="FreeSans"/>
        <family val="2"/>
      </rPr>
      <t xml:space="preserve">اهم متر هیوکی  </t>
    </r>
    <r>
      <rPr>
        <sz val="10"/>
        <rFont val="Vazirmatn"/>
        <family val="0"/>
        <charset val="1"/>
      </rPr>
      <t xml:space="preserve">20-3288</t>
    </r>
  </si>
  <si>
    <t xml:space="preserve">31219937</t>
  </si>
  <si>
    <r>
      <rPr>
        <sz val="10"/>
        <rFont val="FreeSans"/>
        <family val="2"/>
      </rPr>
      <t xml:space="preserve">اهم متر   </t>
    </r>
    <r>
      <rPr>
        <sz val="10"/>
        <rFont val="Vazirmatn"/>
        <family val="0"/>
        <charset val="1"/>
      </rPr>
      <t xml:space="preserve">Huike</t>
    </r>
  </si>
  <si>
    <t xml:space="preserve">31219940</t>
  </si>
  <si>
    <r>
      <rPr>
        <sz val="10"/>
        <rFont val="FreeSans"/>
        <family val="2"/>
      </rPr>
      <t xml:space="preserve">کولیس فک بزرگ معمولی  </t>
    </r>
    <r>
      <rPr>
        <sz val="10"/>
        <rFont val="Vazirmatn"/>
        <family val="0"/>
        <charset val="1"/>
      </rPr>
      <t xml:space="preserve">60cm</t>
    </r>
  </si>
  <si>
    <t xml:space="preserve">31219941</t>
  </si>
  <si>
    <r>
      <rPr>
        <sz val="10"/>
        <rFont val="FreeSans"/>
        <family val="2"/>
      </rPr>
      <t xml:space="preserve">کولیس معمولی </t>
    </r>
    <r>
      <rPr>
        <sz val="10"/>
        <rFont val="Vazirmatn"/>
        <family val="0"/>
        <charset val="1"/>
      </rPr>
      <t xml:space="preserve">30 cm</t>
    </r>
  </si>
  <si>
    <t xml:space="preserve">31219943</t>
  </si>
  <si>
    <r>
      <rPr>
        <sz val="10"/>
        <rFont val="FreeSans"/>
        <family val="2"/>
      </rPr>
      <t xml:space="preserve">کولیس دیجیتال </t>
    </r>
    <r>
      <rPr>
        <sz val="10"/>
        <rFont val="Vazirmatn"/>
        <family val="0"/>
        <charset val="1"/>
      </rPr>
      <t xml:space="preserve">30cm </t>
    </r>
    <r>
      <rPr>
        <sz val="10"/>
        <rFont val="FreeSans"/>
        <family val="2"/>
      </rPr>
      <t xml:space="preserve">میتو تویو </t>
    </r>
    <r>
      <rPr>
        <sz val="10"/>
        <rFont val="Vazirmatn"/>
        <family val="0"/>
        <charset val="1"/>
      </rPr>
      <t xml:space="preserve">10-754-500</t>
    </r>
  </si>
  <si>
    <t xml:space="preserve">31219949</t>
  </si>
  <si>
    <r>
      <rPr>
        <sz val="10"/>
        <rFont val="FreeSans"/>
        <family val="2"/>
      </rPr>
      <t xml:space="preserve">سوپر تایمر شیوا امواج سری </t>
    </r>
    <r>
      <rPr>
        <sz val="10"/>
        <rFont val="Vazirmatn"/>
        <family val="0"/>
        <charset val="1"/>
      </rPr>
      <t xml:space="preserve">DTJN-8M - N</t>
    </r>
  </si>
  <si>
    <t xml:space="preserve">31219951</t>
  </si>
  <si>
    <r>
      <rPr>
        <sz val="10"/>
        <rFont val="FreeSans"/>
        <family val="2"/>
      </rPr>
      <t xml:space="preserve">سنسور خازنی سطح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اندرس هاوزر </t>
    </r>
    <r>
      <rPr>
        <sz val="10"/>
        <rFont val="Vazirmatn"/>
        <family val="0"/>
        <charset val="1"/>
      </rPr>
      <t xml:space="preserve">) FTC 260</t>
    </r>
  </si>
  <si>
    <t xml:space="preserve">31219952</t>
  </si>
  <si>
    <r>
      <rPr>
        <sz val="10"/>
        <rFont val="FreeSans"/>
        <family val="2"/>
      </rPr>
      <t xml:space="preserve">کنترلر دما </t>
    </r>
    <r>
      <rPr>
        <sz val="10"/>
        <rFont val="Vazirmatn"/>
        <family val="0"/>
        <charset val="1"/>
      </rPr>
      <t xml:space="preserve">Ecotec ) SIC 08 H )</t>
    </r>
  </si>
  <si>
    <t xml:space="preserve">31219960</t>
  </si>
  <si>
    <r>
      <rPr>
        <sz val="10"/>
        <rFont val="FreeSans"/>
        <family val="2"/>
      </rPr>
      <t xml:space="preserve">درایو شیر اکسپنشن ولو با </t>
    </r>
    <r>
      <rPr>
        <sz val="10"/>
        <rFont val="Vazirmatn"/>
        <family val="0"/>
        <charset val="1"/>
      </rPr>
      <t xml:space="preserve">Carel : EVD evolution ) Dis Play )</t>
    </r>
  </si>
  <si>
    <t xml:space="preserve">31219961</t>
  </si>
  <si>
    <r>
      <rPr>
        <sz val="10"/>
        <rFont val="FreeSans"/>
        <family val="2"/>
      </rPr>
      <t xml:space="preserve">درایو </t>
    </r>
    <r>
      <rPr>
        <sz val="10"/>
        <rFont val="Vazirmatn"/>
        <family val="0"/>
        <charset val="1"/>
      </rPr>
      <t xml:space="preserve">AC S880-01-293 A-3+P944  ABB</t>
    </r>
  </si>
  <si>
    <t xml:space="preserve">31219962</t>
  </si>
  <si>
    <r>
      <rPr>
        <sz val="10"/>
        <rFont val="FreeSans"/>
        <family val="2"/>
      </rPr>
      <t xml:space="preserve">درایو دانفوس </t>
    </r>
    <r>
      <rPr>
        <sz val="10"/>
        <rFont val="Vazirmatn"/>
        <family val="0"/>
        <charset val="1"/>
      </rPr>
      <t xml:space="preserve">T/C:FC-302 P45K T5E20H1  FC-302-45KW</t>
    </r>
  </si>
  <si>
    <t xml:space="preserve">31219964</t>
  </si>
  <si>
    <r>
      <rPr>
        <sz val="10"/>
        <rFont val="FreeSans"/>
        <family val="2"/>
      </rPr>
      <t xml:space="preserve">سنسور فشار اطلس کوپکو </t>
    </r>
    <r>
      <rPr>
        <sz val="10"/>
        <rFont val="Vazirmatn"/>
        <family val="0"/>
        <charset val="1"/>
      </rPr>
      <t xml:space="preserve">( 1089057558 )</t>
    </r>
  </si>
  <si>
    <t xml:space="preserve">31219965</t>
  </si>
  <si>
    <r>
      <rPr>
        <sz val="10"/>
        <rFont val="FreeSans"/>
        <family val="2"/>
      </rPr>
      <t xml:space="preserve">سنسور فشار اطلس کوپکو </t>
    </r>
    <r>
      <rPr>
        <sz val="10"/>
        <rFont val="Vazirmatn"/>
        <family val="0"/>
        <charset val="1"/>
      </rPr>
      <t xml:space="preserve">( 1089057554 )</t>
    </r>
  </si>
  <si>
    <t xml:space="preserve">31219966</t>
  </si>
  <si>
    <r>
      <rPr>
        <sz val="10"/>
        <rFont val="FreeSans"/>
        <family val="2"/>
      </rPr>
      <t xml:space="preserve">سنسور دمای اطلس کوپکو </t>
    </r>
    <r>
      <rPr>
        <sz val="10"/>
        <rFont val="Vazirmatn"/>
        <family val="0"/>
        <charset val="1"/>
      </rPr>
      <t xml:space="preserve">( 1089057470 )</t>
    </r>
  </si>
  <si>
    <t xml:space="preserve">31219968</t>
  </si>
  <si>
    <r>
      <rPr>
        <sz val="10"/>
        <rFont val="FreeSans"/>
        <family val="2"/>
      </rPr>
      <t xml:space="preserve">درایر یخچالی تک فاز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متر مکعب </t>
    </r>
    <r>
      <rPr>
        <sz val="10"/>
        <rFont val="Vazirmatn"/>
        <family val="0"/>
        <charset val="1"/>
      </rPr>
      <t xml:space="preserve">( 10bar )</t>
    </r>
  </si>
  <si>
    <t xml:space="preserve">31219969</t>
  </si>
  <si>
    <r>
      <rPr>
        <sz val="10"/>
        <rFont val="FreeSans"/>
        <family val="2"/>
      </rPr>
      <t xml:space="preserve">درایر یخچالی تک فاز </t>
    </r>
    <r>
      <rPr>
        <sz val="10"/>
        <rFont val="Vazirmatn"/>
        <family val="0"/>
        <charset val="1"/>
      </rPr>
      <t xml:space="preserve">11 </t>
    </r>
    <r>
      <rPr>
        <sz val="10"/>
        <rFont val="FreeSans"/>
        <family val="2"/>
      </rPr>
      <t xml:space="preserve">متر مکعب </t>
    </r>
    <r>
      <rPr>
        <sz val="10"/>
        <rFont val="Vazirmatn"/>
        <family val="0"/>
        <charset val="1"/>
      </rPr>
      <t xml:space="preserve">( 15bar )</t>
    </r>
  </si>
  <si>
    <t xml:space="preserve">31219970</t>
  </si>
  <si>
    <r>
      <rPr>
        <sz val="10"/>
        <rFont val="FreeSans"/>
        <family val="2"/>
      </rPr>
      <t xml:space="preserve">ترموستات دیجیتال سیگما </t>
    </r>
    <r>
      <rPr>
        <sz val="10"/>
        <rFont val="Vazirmatn"/>
        <family val="0"/>
        <charset val="1"/>
      </rPr>
      <t xml:space="preserve">STC - 100A</t>
    </r>
  </si>
  <si>
    <t xml:space="preserve">31219974</t>
  </si>
  <si>
    <r>
      <rPr>
        <sz val="10"/>
        <rFont val="FreeSans"/>
        <family val="2"/>
      </rPr>
      <t xml:space="preserve">سنسور فشار </t>
    </r>
    <r>
      <rPr>
        <sz val="10"/>
        <rFont val="Vazirmatn"/>
        <family val="0"/>
        <charset val="1"/>
      </rPr>
      <t xml:space="preserve">PTP33B-AA7M1HGBCJ</t>
    </r>
  </si>
  <si>
    <t xml:space="preserve">31219975</t>
  </si>
  <si>
    <r>
      <rPr>
        <sz val="10"/>
        <rFont val="FreeSans"/>
        <family val="2"/>
      </rPr>
      <t xml:space="preserve">درایو </t>
    </r>
    <r>
      <rPr>
        <sz val="10"/>
        <rFont val="Vazirmatn"/>
        <family val="0"/>
        <charset val="1"/>
      </rPr>
      <t xml:space="preserve">ABB-ACS880AC ) 55KW )</t>
    </r>
  </si>
  <si>
    <t xml:space="preserve">31219976</t>
  </si>
  <si>
    <r>
      <rPr>
        <sz val="10"/>
        <rFont val="FreeSans"/>
        <family val="2"/>
      </rPr>
      <t xml:space="preserve">سنسور لیبل  </t>
    </r>
    <r>
      <rPr>
        <sz val="10"/>
        <rFont val="Vazirmatn"/>
        <family val="0"/>
        <charset val="1"/>
      </rPr>
      <t xml:space="preserve">FOTEK - SU-02X</t>
    </r>
  </si>
  <si>
    <t xml:space="preserve">31219977</t>
  </si>
  <si>
    <r>
      <rPr>
        <sz val="10"/>
        <rFont val="FreeSans"/>
        <family val="2"/>
      </rPr>
      <t xml:space="preserve">دیمر دیواری فراز </t>
    </r>
    <r>
      <rPr>
        <sz val="10"/>
        <rFont val="Vazirmatn"/>
        <family val="0"/>
        <charset val="1"/>
      </rPr>
      <t xml:space="preserve">2000W 220V DM16</t>
    </r>
  </si>
  <si>
    <t xml:space="preserve">31219978</t>
  </si>
  <si>
    <r>
      <rPr>
        <sz val="10"/>
        <rFont val="FreeSans"/>
        <family val="2"/>
      </rPr>
      <t xml:space="preserve">دیمر بین راهی قاب دار </t>
    </r>
    <r>
      <rPr>
        <sz val="10"/>
        <rFont val="Vazirmatn"/>
        <family val="0"/>
        <charset val="1"/>
      </rPr>
      <t xml:space="preserve">2000W 220V</t>
    </r>
  </si>
  <si>
    <t xml:space="preserve">31219980</t>
  </si>
  <si>
    <r>
      <rPr>
        <sz val="10"/>
        <rFont val="FreeSans"/>
        <family val="2"/>
      </rPr>
      <t xml:space="preserve">جک پنوماتیک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میل  </t>
    </r>
    <r>
      <rPr>
        <sz val="10"/>
        <rFont val="Vazirmatn"/>
        <family val="0"/>
        <charset val="1"/>
      </rPr>
      <t xml:space="preserve">SC63*50S AirTAC</t>
    </r>
  </si>
  <si>
    <t xml:space="preserve">31219982</t>
  </si>
  <si>
    <r>
      <rPr>
        <sz val="10"/>
        <rFont val="FreeSans"/>
        <family val="2"/>
      </rPr>
      <t xml:space="preserve">جک پنوماتیکی قلمی </t>
    </r>
    <r>
      <rPr>
        <sz val="10"/>
        <rFont val="Vazirmatn"/>
        <family val="0"/>
        <charset val="1"/>
      </rPr>
      <t xml:space="preserve">MA 25*25 - S</t>
    </r>
  </si>
  <si>
    <t xml:space="preserve">31219983</t>
  </si>
  <si>
    <r>
      <rPr>
        <sz val="10"/>
        <rFont val="FreeSans"/>
        <family val="2"/>
      </rPr>
      <t xml:space="preserve">جک پنوماتیک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میل </t>
    </r>
    <r>
      <rPr>
        <sz val="10"/>
        <rFont val="Vazirmatn"/>
        <family val="0"/>
        <charset val="1"/>
      </rPr>
      <t xml:space="preserve">( 4 </t>
    </r>
    <r>
      <rPr>
        <sz val="10"/>
        <rFont val="FreeSans"/>
        <family val="2"/>
      </rPr>
      <t xml:space="preserve">گوش </t>
    </r>
    <r>
      <rPr>
        <sz val="10"/>
        <rFont val="Vazirmatn"/>
        <family val="0"/>
        <charset val="1"/>
      </rPr>
      <t xml:space="preserve">) 32mm*150mm</t>
    </r>
  </si>
  <si>
    <t xml:space="preserve">31219988</t>
  </si>
  <si>
    <r>
      <rPr>
        <sz val="10"/>
        <rFont val="FreeSans"/>
        <family val="2"/>
      </rPr>
      <t xml:space="preserve">کنترل سطح مایعات شیوا امواج       </t>
    </r>
    <r>
      <rPr>
        <sz val="10"/>
        <rFont val="Vazirmatn"/>
        <family val="0"/>
        <charset val="1"/>
      </rPr>
      <t xml:space="preserve">16B1</t>
    </r>
  </si>
  <si>
    <t xml:space="preserve">31219992</t>
  </si>
  <si>
    <r>
      <rPr>
        <sz val="10"/>
        <rFont val="FreeSans"/>
        <family val="2"/>
      </rPr>
      <t xml:space="preserve">کنترولر دما    </t>
    </r>
    <r>
      <rPr>
        <sz val="10"/>
        <rFont val="Vazirmatn"/>
        <family val="0"/>
        <charset val="1"/>
      </rPr>
      <t xml:space="preserve">48 * 96</t>
    </r>
  </si>
  <si>
    <t xml:space="preserve">31219996</t>
  </si>
  <si>
    <r>
      <rPr>
        <sz val="10"/>
        <rFont val="FreeSans"/>
        <family val="2"/>
      </rPr>
      <t xml:space="preserve">جک پنوماتیک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کورس جک </t>
    </r>
    <r>
      <rPr>
        <sz val="10"/>
        <rFont val="Vazirmatn"/>
        <family val="0"/>
        <charset val="1"/>
      </rPr>
      <t xml:space="preserve">400mm - </t>
    </r>
    <r>
      <rPr>
        <sz val="10"/>
        <rFont val="FreeSans"/>
        <family val="2"/>
      </rPr>
      <t xml:space="preserve">قطر جک </t>
    </r>
    <r>
      <rPr>
        <sz val="10"/>
        <rFont val="Vazirmatn"/>
        <family val="0"/>
        <charset val="1"/>
      </rPr>
      <t xml:space="preserve">63mm - </t>
    </r>
    <r>
      <rPr>
        <sz val="10"/>
        <rFont val="FreeSans"/>
        <family val="2"/>
      </rPr>
      <t xml:space="preserve">قطر شفت </t>
    </r>
    <r>
      <rPr>
        <sz val="10"/>
        <rFont val="Vazirmatn"/>
        <family val="0"/>
        <charset val="1"/>
      </rPr>
      <t xml:space="preserve">20mm ) SC 63mm*400mm - S</t>
    </r>
  </si>
  <si>
    <t xml:space="preserve">31221101</t>
  </si>
  <si>
    <r>
      <rPr>
        <sz val="10"/>
        <rFont val="FreeSans"/>
        <family val="2"/>
      </rPr>
      <t xml:space="preserve">رینگ کونیک </t>
    </r>
    <r>
      <rPr>
        <sz val="10"/>
        <rFont val="Vazirmatn"/>
        <family val="0"/>
        <charset val="1"/>
      </rPr>
      <t xml:space="preserve">-  </t>
    </r>
    <r>
      <rPr>
        <sz val="10"/>
        <rFont val="FreeSans"/>
        <family val="2"/>
      </rPr>
      <t xml:space="preserve">پرس روغن بزرگ</t>
    </r>
  </si>
  <si>
    <t xml:space="preserve">31221102</t>
  </si>
  <si>
    <r>
      <rPr>
        <sz val="10"/>
        <rFont val="FreeSans"/>
        <family val="2"/>
      </rPr>
      <t xml:space="preserve">رینگ کاسه جلوی پمپ    </t>
    </r>
    <r>
      <rPr>
        <sz val="10"/>
        <rFont val="Vazirmatn"/>
        <family val="0"/>
        <charset val="1"/>
      </rPr>
      <t xml:space="preserve">315 - 100 - 125</t>
    </r>
  </si>
  <si>
    <t xml:space="preserve">31221104</t>
  </si>
  <si>
    <r>
      <rPr>
        <sz val="10"/>
        <rFont val="FreeSans"/>
        <family val="2"/>
      </rPr>
      <t xml:space="preserve">رینگ کونیک  </t>
    </r>
    <r>
      <rPr>
        <sz val="10"/>
        <rFont val="Vazirmatn"/>
        <family val="0"/>
        <charset val="1"/>
      </rPr>
      <t xml:space="preserve">/   </t>
    </r>
    <r>
      <rPr>
        <sz val="10"/>
        <rFont val="FreeSans"/>
        <family val="2"/>
      </rPr>
      <t xml:space="preserve">پرس روغن کوچک</t>
    </r>
  </si>
  <si>
    <t xml:space="preserve">31221110</t>
  </si>
  <si>
    <t xml:space="preserve">رینگ کونیک دار صفحه متحرک آسیاب ایمپکت</t>
  </si>
  <si>
    <t xml:space="preserve">31221111</t>
  </si>
  <si>
    <r>
      <rPr>
        <sz val="10"/>
        <rFont val="FreeSans"/>
        <family val="2"/>
      </rPr>
      <t xml:space="preserve">رینگ آسیاب      </t>
    </r>
    <r>
      <rPr>
        <sz val="10"/>
        <rFont val="Vazirmatn"/>
        <family val="0"/>
        <charset val="1"/>
      </rPr>
      <t xml:space="preserve">FQ  -  136</t>
    </r>
  </si>
  <si>
    <t xml:space="preserve">31221119</t>
  </si>
  <si>
    <t xml:space="preserve">رینگ آبندی پیستون ترمز رینولد</t>
  </si>
  <si>
    <t xml:space="preserve">31221120</t>
  </si>
  <si>
    <t xml:space="preserve">رینگ سپراتور تغلیظ</t>
  </si>
  <si>
    <t xml:space="preserve">31221121</t>
  </si>
  <si>
    <t xml:space="preserve">رینگ  مرکزی پرس روغن</t>
  </si>
  <si>
    <t xml:space="preserve">31221122</t>
  </si>
  <si>
    <t xml:space="preserve">رینگ  مرکزی  پرس روغن</t>
  </si>
  <si>
    <t xml:space="preserve">31221124</t>
  </si>
  <si>
    <t xml:space="preserve">رینگ لغزشی پرس روغن</t>
  </si>
  <si>
    <t xml:space="preserve">31221125</t>
  </si>
  <si>
    <t xml:space="preserve">رینگ تخلیه پرس روغن</t>
  </si>
  <si>
    <t xml:space="preserve">31221126</t>
  </si>
  <si>
    <t xml:space="preserve">رینگ کالر فشار پرس روغن</t>
  </si>
  <si>
    <t xml:space="preserve">31221127</t>
  </si>
  <si>
    <t xml:space="preserve">رینگ پرس روغن</t>
  </si>
  <si>
    <t xml:space="preserve">31221136</t>
  </si>
  <si>
    <r>
      <rPr>
        <sz val="10"/>
        <rFont val="FreeSans"/>
        <family val="2"/>
      </rPr>
      <t xml:space="preserve">کالر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رینگ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خرد کن پرس روغن گویوم</t>
    </r>
  </si>
  <si>
    <t xml:space="preserve">31221137</t>
  </si>
  <si>
    <r>
      <rPr>
        <sz val="10"/>
        <rFont val="FreeSans"/>
        <family val="2"/>
      </rPr>
      <t xml:space="preserve">کالر مخروطی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رینگ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پرس روغن گویوم</t>
    </r>
  </si>
  <si>
    <t xml:space="preserve">31221138</t>
  </si>
  <si>
    <r>
      <rPr>
        <sz val="10"/>
        <rFont val="FreeSans"/>
        <family val="2"/>
      </rPr>
      <t xml:space="preserve">کالر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رینگ 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پرس روغن گویوم</t>
    </r>
  </si>
  <si>
    <t xml:space="preserve">31221140</t>
  </si>
  <si>
    <r>
      <rPr>
        <sz val="10"/>
        <rFont val="FreeSans"/>
        <family val="2"/>
      </rPr>
      <t xml:space="preserve">رینگ دکانتور  </t>
    </r>
    <r>
      <rPr>
        <sz val="10"/>
        <rFont val="Vazirmatn"/>
        <family val="0"/>
        <charset val="1"/>
      </rPr>
      <t xml:space="preserve">030 - 6698 - 8417</t>
    </r>
  </si>
  <si>
    <t xml:space="preserve">31221141</t>
  </si>
  <si>
    <r>
      <rPr>
        <sz val="10"/>
        <rFont val="FreeSans"/>
        <family val="2"/>
      </rPr>
      <t xml:space="preserve">رینگ دکانتور  </t>
    </r>
    <r>
      <rPr>
        <sz val="10"/>
        <rFont val="Vazirmatn"/>
        <family val="0"/>
        <charset val="1"/>
      </rPr>
      <t xml:space="preserve">160 - 6592 - 8417</t>
    </r>
  </si>
  <si>
    <t xml:space="preserve">31221142</t>
  </si>
  <si>
    <r>
      <rPr>
        <sz val="10"/>
        <rFont val="FreeSans"/>
        <family val="2"/>
      </rPr>
      <t xml:space="preserve">رینگ لاستیکی کلاچ دکانتور  </t>
    </r>
    <r>
      <rPr>
        <sz val="10"/>
        <rFont val="Vazirmatn"/>
        <family val="0"/>
        <charset val="1"/>
      </rPr>
      <t xml:space="preserve">010 - 3396 - 8655</t>
    </r>
  </si>
  <si>
    <t xml:space="preserve">31221143</t>
  </si>
  <si>
    <r>
      <rPr>
        <sz val="10"/>
        <rFont val="FreeSans"/>
        <family val="2"/>
      </rPr>
      <t xml:space="preserve">رینگ دکانتور  </t>
    </r>
    <r>
      <rPr>
        <sz val="10"/>
        <rFont val="Vazirmatn"/>
        <family val="0"/>
        <charset val="1"/>
      </rPr>
      <t xml:space="preserve">000 - 3466 - 0004</t>
    </r>
  </si>
  <si>
    <t xml:space="preserve">31221144</t>
  </si>
  <si>
    <r>
      <rPr>
        <sz val="10"/>
        <rFont val="FreeSans"/>
        <family val="2"/>
      </rPr>
      <t xml:space="preserve">رینگ دکانتور  </t>
    </r>
    <r>
      <rPr>
        <sz val="10"/>
        <rFont val="Vazirmatn"/>
        <family val="0"/>
        <charset val="1"/>
      </rPr>
      <t xml:space="preserve">020 - 6592 - 8417</t>
    </r>
  </si>
  <si>
    <t xml:space="preserve">31221145</t>
  </si>
  <si>
    <r>
      <rPr>
        <sz val="10"/>
        <rFont val="FreeSans"/>
        <family val="2"/>
      </rPr>
      <t xml:space="preserve">رینگ دکانتور  </t>
    </r>
    <r>
      <rPr>
        <sz val="10"/>
        <rFont val="Vazirmatn"/>
        <family val="0"/>
        <charset val="1"/>
      </rPr>
      <t xml:space="preserve">070 - 6592 - 8417</t>
    </r>
  </si>
  <si>
    <t xml:space="preserve">31221146</t>
  </si>
  <si>
    <r>
      <rPr>
        <sz val="10"/>
        <rFont val="FreeSans"/>
        <family val="2"/>
      </rPr>
      <t xml:space="preserve">رینگ دکانتور  </t>
    </r>
    <r>
      <rPr>
        <sz val="10"/>
        <rFont val="Vazirmatn"/>
        <family val="0"/>
        <charset val="1"/>
      </rPr>
      <t xml:space="preserve">000 - 6684 - 8417</t>
    </r>
  </si>
  <si>
    <t xml:space="preserve">31221147</t>
  </si>
  <si>
    <r>
      <rPr>
        <sz val="10"/>
        <rFont val="FreeSans"/>
        <family val="2"/>
      </rPr>
      <t xml:space="preserve">رینگ  دکانتور  </t>
    </r>
    <r>
      <rPr>
        <sz val="10"/>
        <rFont val="Vazirmatn"/>
        <family val="0"/>
        <charset val="1"/>
      </rPr>
      <t xml:space="preserve">050 - 6698 - 8417</t>
    </r>
  </si>
  <si>
    <t xml:space="preserve">31221148</t>
  </si>
  <si>
    <r>
      <rPr>
        <sz val="10"/>
        <rFont val="FreeSans"/>
        <family val="2"/>
      </rPr>
      <t xml:space="preserve">رینگ </t>
    </r>
    <r>
      <rPr>
        <sz val="10"/>
        <rFont val="Vazirmatn"/>
        <family val="0"/>
        <charset val="1"/>
      </rPr>
      <t xml:space="preserve">ADD SHELL RING  LINE WITH RUBBER Q500*H800</t>
    </r>
  </si>
  <si>
    <t xml:space="preserve">31221149</t>
  </si>
  <si>
    <r>
      <rPr>
        <sz val="10"/>
        <rFont val="FreeSans"/>
        <family val="2"/>
      </rPr>
      <t xml:space="preserve">رینگ  دکانتور  </t>
    </r>
    <r>
      <rPr>
        <sz val="10"/>
        <rFont val="Vazirmatn"/>
        <family val="0"/>
        <charset val="1"/>
      </rPr>
      <t xml:space="preserve">170 - 6592 - 8417</t>
    </r>
  </si>
  <si>
    <t xml:space="preserve">31221153</t>
  </si>
  <si>
    <t xml:space="preserve">رینگ استیل تنظیم زیر شفت عمودی سپراتور</t>
  </si>
  <si>
    <t xml:space="preserve">31221154</t>
  </si>
  <si>
    <t xml:space="preserve">رینگ تغذیه آسیاب ایمپکت</t>
  </si>
  <si>
    <t xml:space="preserve">31221155</t>
  </si>
  <si>
    <t xml:space="preserve">رینگ برنجی تنظیم زیر شفت عمودی سپراتور</t>
  </si>
  <si>
    <t xml:space="preserve">31221156</t>
  </si>
  <si>
    <r>
      <rPr>
        <sz val="10"/>
        <rFont val="FreeSans"/>
        <family val="2"/>
      </rPr>
      <t xml:space="preserve">رینگ تنظیم خشک کن پوسته   </t>
    </r>
    <r>
      <rPr>
        <sz val="10"/>
        <rFont val="Vazirmatn"/>
        <family val="0"/>
        <charset val="1"/>
      </rPr>
      <t xml:space="preserve">200A</t>
    </r>
  </si>
  <si>
    <t xml:space="preserve">31221158</t>
  </si>
  <si>
    <r>
      <rPr>
        <sz val="10"/>
        <rFont val="FreeSans"/>
        <family val="2"/>
      </rPr>
      <t xml:space="preserve">رینگ تنظیم خشک کن جرم   </t>
    </r>
    <r>
      <rPr>
        <sz val="10"/>
        <rFont val="Vazirmatn"/>
        <family val="0"/>
        <charset val="1"/>
      </rPr>
      <t xml:space="preserve">180A</t>
    </r>
  </si>
  <si>
    <t xml:space="preserve">31221160</t>
  </si>
  <si>
    <r>
      <rPr>
        <sz val="10"/>
        <rFont val="FreeSans"/>
        <family val="2"/>
      </rPr>
      <t xml:space="preserve">رینگ آب بندی        </t>
    </r>
    <r>
      <rPr>
        <sz val="10"/>
        <rFont val="Vazirmatn"/>
        <family val="0"/>
        <charset val="1"/>
      </rPr>
      <t xml:space="preserve">530*430</t>
    </r>
  </si>
  <si>
    <t xml:space="preserve">31221161</t>
  </si>
  <si>
    <r>
      <rPr>
        <sz val="10"/>
        <rFont val="FreeSans"/>
        <family val="2"/>
      </rPr>
      <t xml:space="preserve">رینگ کاسه جلوی پمپ  </t>
    </r>
    <r>
      <rPr>
        <sz val="10"/>
        <rFont val="Vazirmatn"/>
        <family val="0"/>
        <charset val="1"/>
      </rPr>
      <t xml:space="preserve">250 - 80 - 125</t>
    </r>
  </si>
  <si>
    <t xml:space="preserve">31221165</t>
  </si>
  <si>
    <r>
      <rPr>
        <sz val="10"/>
        <rFont val="FreeSans"/>
        <family val="2"/>
      </rPr>
      <t xml:space="preserve">رینگ کاسه جلوی پمپ  </t>
    </r>
    <r>
      <rPr>
        <sz val="10"/>
        <rFont val="Vazirmatn"/>
        <family val="0"/>
        <charset val="1"/>
      </rPr>
      <t xml:space="preserve">200 - 80 - 125</t>
    </r>
  </si>
  <si>
    <t xml:space="preserve">31221166</t>
  </si>
  <si>
    <r>
      <rPr>
        <sz val="10"/>
        <rFont val="FreeSans"/>
        <family val="2"/>
      </rPr>
      <t xml:space="preserve">رینگ  دکانتور  </t>
    </r>
    <r>
      <rPr>
        <sz val="10"/>
        <rFont val="Vazirmatn"/>
        <family val="0"/>
        <charset val="1"/>
      </rPr>
      <t xml:space="preserve">010 - 6592 - 8417</t>
    </r>
  </si>
  <si>
    <t xml:space="preserve">31221167</t>
  </si>
  <si>
    <r>
      <rPr>
        <sz val="10"/>
        <rFont val="FreeSans"/>
        <family val="2"/>
      </rPr>
      <t xml:space="preserve">رینگ دکانتور  </t>
    </r>
    <r>
      <rPr>
        <sz val="10"/>
        <rFont val="Vazirmatn"/>
        <family val="0"/>
        <charset val="1"/>
      </rPr>
      <t xml:space="preserve">050 - 6592 - 8417</t>
    </r>
  </si>
  <si>
    <t xml:space="preserve">31221168</t>
  </si>
  <si>
    <r>
      <rPr>
        <sz val="10"/>
        <rFont val="FreeSans"/>
        <family val="2"/>
      </rPr>
      <t xml:space="preserve">رینگ دکانتور  </t>
    </r>
    <r>
      <rPr>
        <sz val="10"/>
        <rFont val="Vazirmatn"/>
        <family val="0"/>
        <charset val="1"/>
      </rPr>
      <t xml:space="preserve">030 - 6592 - 8417</t>
    </r>
  </si>
  <si>
    <t xml:space="preserve">31221169</t>
  </si>
  <si>
    <r>
      <rPr>
        <sz val="10"/>
        <rFont val="FreeSans"/>
        <family val="2"/>
      </rPr>
      <t xml:space="preserve">رینگ کاسه جلوی پمپ  </t>
    </r>
    <r>
      <rPr>
        <sz val="10"/>
        <rFont val="Vazirmatn"/>
        <family val="0"/>
        <charset val="1"/>
      </rPr>
      <t xml:space="preserve">200 - 65 - 100</t>
    </r>
  </si>
  <si>
    <t xml:space="preserve">31221170</t>
  </si>
  <si>
    <r>
      <rPr>
        <sz val="10"/>
        <rFont val="FreeSans"/>
        <family val="2"/>
      </rPr>
      <t xml:space="preserve">رینگ دکانتور  </t>
    </r>
    <r>
      <rPr>
        <sz val="10"/>
        <rFont val="Vazirmatn"/>
        <family val="0"/>
        <charset val="1"/>
      </rPr>
      <t xml:space="preserve">090 - 6592 - 8417</t>
    </r>
  </si>
  <si>
    <t xml:space="preserve">31221172</t>
  </si>
  <si>
    <r>
      <rPr>
        <sz val="10"/>
        <rFont val="FreeSans"/>
        <family val="2"/>
      </rPr>
      <t xml:space="preserve">رینگ اسپیسر دکانتور  </t>
    </r>
    <r>
      <rPr>
        <sz val="10"/>
        <rFont val="Vazirmatn"/>
        <family val="0"/>
        <charset val="1"/>
      </rPr>
      <t xml:space="preserve">300 - 2819 - 0026</t>
    </r>
  </si>
  <si>
    <t xml:space="preserve">31221173</t>
  </si>
  <si>
    <t xml:space="preserve">رینگ برنجی زیر کاسه</t>
  </si>
  <si>
    <t xml:space="preserve">31221174</t>
  </si>
  <si>
    <r>
      <rPr>
        <sz val="10"/>
        <rFont val="FreeSans"/>
        <family val="2"/>
      </rPr>
      <t xml:space="preserve">رینگ آهنی شفت خشکن  </t>
    </r>
    <r>
      <rPr>
        <sz val="10"/>
        <rFont val="Vazirmatn"/>
        <family val="0"/>
        <charset val="1"/>
      </rPr>
      <t xml:space="preserve">RK 12</t>
    </r>
  </si>
  <si>
    <t xml:space="preserve">31221175</t>
  </si>
  <si>
    <t xml:space="preserve">رینگ استیل نازل سپراتور</t>
  </si>
  <si>
    <t xml:space="preserve">31221178</t>
  </si>
  <si>
    <r>
      <rPr>
        <sz val="10"/>
        <rFont val="FreeSans"/>
        <family val="2"/>
      </rPr>
      <t xml:space="preserve">رینگ سایشی جک فیلتر پرس پروتئین گیری  </t>
    </r>
    <r>
      <rPr>
        <sz val="10"/>
        <rFont val="Vazirmatn"/>
        <family val="0"/>
        <charset val="1"/>
      </rPr>
      <t xml:space="preserve">2/5 * 20 * 320</t>
    </r>
  </si>
  <si>
    <t xml:space="preserve">31221180</t>
  </si>
  <si>
    <r>
      <rPr>
        <sz val="10"/>
        <rFont val="FreeSans"/>
        <family val="2"/>
      </rPr>
      <t xml:space="preserve">رینگ تفلونی قطر </t>
    </r>
    <r>
      <rPr>
        <sz val="10"/>
        <rFont val="Vazirmatn"/>
        <family val="0"/>
        <charset val="1"/>
      </rPr>
      <t xml:space="preserve">140</t>
    </r>
  </si>
  <si>
    <t xml:space="preserve">31221181</t>
  </si>
  <si>
    <r>
      <rPr>
        <sz val="10"/>
        <rFont val="FreeSans"/>
        <family val="2"/>
      </rPr>
      <t xml:space="preserve">رینگ سایشی تفلونی قطر </t>
    </r>
    <r>
      <rPr>
        <sz val="10"/>
        <rFont val="Vazirmatn"/>
        <family val="0"/>
        <charset val="1"/>
      </rPr>
      <t xml:space="preserve">130</t>
    </r>
  </si>
  <si>
    <t xml:space="preserve">31221182</t>
  </si>
  <si>
    <r>
      <rPr>
        <sz val="10"/>
        <rFont val="FreeSans"/>
        <family val="2"/>
      </rPr>
      <t xml:space="preserve">رینگ عایق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گاز پخش کن </t>
    </r>
    <r>
      <rPr>
        <sz val="10"/>
        <rFont val="Vazirmatn"/>
        <family val="0"/>
        <charset val="1"/>
      </rPr>
      <t xml:space="preserve">) CB 150</t>
    </r>
  </si>
  <si>
    <t xml:space="preserve">31221183</t>
  </si>
  <si>
    <r>
      <rPr>
        <sz val="10"/>
        <rFont val="FreeSans"/>
        <family val="2"/>
      </rPr>
      <t xml:space="preserve">رینگ آب بند آسیاب ایمپکت  </t>
    </r>
    <r>
      <rPr>
        <sz val="10"/>
        <rFont val="Vazirmatn"/>
        <family val="0"/>
        <charset val="1"/>
      </rPr>
      <t xml:space="preserve">008-002392</t>
    </r>
  </si>
  <si>
    <t xml:space="preserve">31221184</t>
  </si>
  <si>
    <r>
      <rPr>
        <sz val="10"/>
        <rFont val="FreeSans"/>
        <family val="2"/>
      </rPr>
      <t xml:space="preserve">رینگ آهنی  </t>
    </r>
    <r>
      <rPr>
        <sz val="10"/>
        <rFont val="Vazirmatn"/>
        <family val="0"/>
        <charset val="1"/>
      </rPr>
      <t xml:space="preserve">"6</t>
    </r>
  </si>
  <si>
    <t xml:space="preserve">31221187</t>
  </si>
  <si>
    <r>
      <rPr>
        <sz val="10"/>
        <rFont val="FreeSans"/>
        <family val="2"/>
      </rPr>
      <t xml:space="preserve">رینگ روغن </t>
    </r>
    <r>
      <rPr>
        <sz val="10"/>
        <rFont val="Vazirmatn"/>
        <family val="0"/>
        <charset val="1"/>
      </rPr>
      <t xml:space="preserve">282AK</t>
    </r>
  </si>
  <si>
    <t xml:space="preserve">31221188</t>
  </si>
  <si>
    <r>
      <rPr>
        <sz val="10"/>
        <rFont val="FreeSans"/>
        <family val="2"/>
      </rPr>
      <t xml:space="preserve">رینگ کمپرس </t>
    </r>
    <r>
      <rPr>
        <sz val="10"/>
        <rFont val="Vazirmatn"/>
        <family val="0"/>
        <charset val="1"/>
      </rPr>
      <t xml:space="preserve">282AK</t>
    </r>
  </si>
  <si>
    <t xml:space="preserve">31221190</t>
  </si>
  <si>
    <r>
      <rPr>
        <sz val="10"/>
        <rFont val="FreeSans"/>
        <family val="2"/>
      </rPr>
      <t xml:space="preserve">رینگ تفلونی </t>
    </r>
    <r>
      <rPr>
        <sz val="10"/>
        <rFont val="Vazirmatn"/>
        <family val="0"/>
        <charset val="1"/>
      </rPr>
      <t xml:space="preserve">25-190-195</t>
    </r>
  </si>
  <si>
    <t xml:space="preserve">31221191</t>
  </si>
  <si>
    <r>
      <rPr>
        <sz val="10"/>
        <rFont val="FreeSans"/>
        <family val="2"/>
      </rPr>
      <t xml:space="preserve">رینگ پلی اورتان کلگی جک  </t>
    </r>
    <r>
      <rPr>
        <sz val="10"/>
        <rFont val="Vazirmatn"/>
        <family val="0"/>
        <charset val="1"/>
      </rPr>
      <t xml:space="preserve">6-197-190</t>
    </r>
  </si>
  <si>
    <t xml:space="preserve">31221195</t>
  </si>
  <si>
    <r>
      <rPr>
        <sz val="10"/>
        <rFont val="FreeSans"/>
        <family val="2"/>
      </rPr>
      <t xml:space="preserve">رینگ سایشی جک فیلتر بیرنگ روغن </t>
    </r>
    <r>
      <rPr>
        <sz val="10"/>
        <rFont val="Vazirmatn"/>
        <family val="0"/>
        <charset val="1"/>
      </rPr>
      <t xml:space="preserve">10*137/25*129/25</t>
    </r>
  </si>
  <si>
    <t xml:space="preserve">31221309</t>
  </si>
  <si>
    <r>
      <rPr>
        <sz val="10"/>
        <rFont val="FreeSans"/>
        <family val="2"/>
      </rPr>
      <t xml:space="preserve">رینگ تفلونی </t>
    </r>
    <r>
      <rPr>
        <sz val="10"/>
        <rFont val="Vazirmatn"/>
        <family val="0"/>
        <charset val="1"/>
      </rPr>
      <t xml:space="preserve">1/4</t>
    </r>
  </si>
  <si>
    <t xml:space="preserve">31221322</t>
  </si>
  <si>
    <t xml:space="preserve">رینگ ذغال خشکن کوچک</t>
  </si>
  <si>
    <t xml:space="preserve">31221324</t>
  </si>
  <si>
    <t xml:space="preserve">رینگ ذغال خشکن متوسط</t>
  </si>
  <si>
    <t xml:space="preserve">31221332</t>
  </si>
  <si>
    <t xml:space="preserve">رینگ لاستیکی ویبره فیلترهای دهگانه</t>
  </si>
  <si>
    <t xml:space="preserve">31221340</t>
  </si>
  <si>
    <r>
      <rPr>
        <sz val="10"/>
        <rFont val="FreeSans"/>
        <family val="2"/>
      </rPr>
      <t xml:space="preserve">رینگ عینکی پمپ ایران  </t>
    </r>
    <r>
      <rPr>
        <sz val="10"/>
        <rFont val="Vazirmatn"/>
        <family val="0"/>
        <charset val="1"/>
      </rPr>
      <t xml:space="preserve">200 - 50</t>
    </r>
  </si>
  <si>
    <t xml:space="preserve">31221341</t>
  </si>
  <si>
    <t xml:space="preserve">رینگ عینکی مونو پمپ بارگیری فروکتوز</t>
  </si>
  <si>
    <t xml:space="preserve">31221342</t>
  </si>
  <si>
    <r>
      <rPr>
        <sz val="10"/>
        <rFont val="FreeSans"/>
        <family val="2"/>
      </rPr>
      <t xml:space="preserve">رینگ عینکی پمپ ایران  </t>
    </r>
    <r>
      <rPr>
        <sz val="10"/>
        <rFont val="Vazirmatn"/>
        <family val="0"/>
        <charset val="1"/>
      </rPr>
      <t xml:space="preserve">250 - 150</t>
    </r>
  </si>
  <si>
    <t xml:space="preserve">31221343</t>
  </si>
  <si>
    <r>
      <rPr>
        <sz val="10"/>
        <rFont val="FreeSans"/>
        <family val="2"/>
      </rPr>
      <t xml:space="preserve">رینگ آسیاب           </t>
    </r>
    <r>
      <rPr>
        <sz val="10"/>
        <rFont val="Vazirmatn"/>
        <family val="0"/>
        <charset val="1"/>
      </rPr>
      <t xml:space="preserve">FQ  -  124</t>
    </r>
  </si>
  <si>
    <t xml:space="preserve">31221350</t>
  </si>
  <si>
    <r>
      <rPr>
        <sz val="10"/>
        <rFont val="FreeSans"/>
        <family val="2"/>
      </rPr>
      <t xml:space="preserve">رینگ سیلیکونی نازل واش باطری </t>
    </r>
    <r>
      <rPr>
        <sz val="10"/>
        <rFont val="Vazirmatn"/>
        <family val="0"/>
        <charset val="1"/>
      </rPr>
      <t xml:space="preserve">6 - 18/7 - 12</t>
    </r>
  </si>
  <si>
    <t xml:space="preserve">31221352</t>
  </si>
  <si>
    <r>
      <rPr>
        <sz val="10"/>
        <rFont val="FreeSans"/>
        <family val="2"/>
      </rPr>
      <t xml:space="preserve">رینگ سیلیکونی نازل واش باطری </t>
    </r>
    <r>
      <rPr>
        <sz val="10"/>
        <rFont val="Vazirmatn"/>
        <family val="0"/>
        <charset val="1"/>
      </rPr>
      <t xml:space="preserve">3/25 - 16 - 8</t>
    </r>
  </si>
  <si>
    <t xml:space="preserve">31221353</t>
  </si>
  <si>
    <r>
      <rPr>
        <sz val="10"/>
        <rFont val="FreeSans"/>
        <family val="2"/>
      </rPr>
      <t xml:space="preserve">رینگ لاستیکی        </t>
    </r>
    <r>
      <rPr>
        <sz val="10"/>
        <rFont val="Vazirmatn"/>
        <family val="0"/>
        <charset val="1"/>
      </rPr>
      <t xml:space="preserve">70*53*12</t>
    </r>
  </si>
  <si>
    <t xml:space="preserve">31221354</t>
  </si>
  <si>
    <r>
      <rPr>
        <sz val="10"/>
        <rFont val="FreeSans"/>
        <family val="2"/>
      </rPr>
      <t xml:space="preserve">رینگ لاستیکی     </t>
    </r>
    <r>
      <rPr>
        <sz val="10"/>
        <rFont val="Vazirmatn"/>
        <family val="0"/>
        <charset val="1"/>
      </rPr>
      <t xml:space="preserve">15-170-200</t>
    </r>
  </si>
  <si>
    <t xml:space="preserve">31221358</t>
  </si>
  <si>
    <r>
      <rPr>
        <sz val="10"/>
        <rFont val="FreeSans"/>
        <family val="2"/>
      </rPr>
      <t xml:space="preserve">رینگ آسیاب            </t>
    </r>
    <r>
      <rPr>
        <sz val="10"/>
        <rFont val="Vazirmatn"/>
        <family val="0"/>
        <charset val="1"/>
      </rPr>
      <t xml:space="preserve">FQ  -  124</t>
    </r>
  </si>
  <si>
    <t xml:space="preserve">31221359</t>
  </si>
  <si>
    <t xml:space="preserve">رینگ  لاستیکی   شیشه  آبنما  سپراتور</t>
  </si>
  <si>
    <t xml:space="preserve">31221361</t>
  </si>
  <si>
    <t xml:space="preserve">رینگ  لاستیکی سپراتور  آلفاد لاوال</t>
  </si>
  <si>
    <t xml:space="preserve">31221363</t>
  </si>
  <si>
    <r>
      <rPr>
        <sz val="10"/>
        <rFont val="FreeSans"/>
        <family val="2"/>
      </rPr>
      <t xml:space="preserve">رینگ لاستیکی والو پنوماتیک   </t>
    </r>
    <r>
      <rPr>
        <sz val="10"/>
        <rFont val="Vazirmatn"/>
        <family val="0"/>
        <charset val="1"/>
      </rPr>
      <t xml:space="preserve">7 * 10 * 120</t>
    </r>
  </si>
  <si>
    <t xml:space="preserve">31221364</t>
  </si>
  <si>
    <t xml:space="preserve">لرزه گیر شفت عمودی سپراتور تغلیظ گلوتن</t>
  </si>
  <si>
    <t xml:space="preserve">31221376</t>
  </si>
  <si>
    <r>
      <rPr>
        <sz val="10"/>
        <rFont val="FreeSans"/>
        <family val="2"/>
      </rPr>
      <t xml:space="preserve">رینگ لاستیکی شیر پروانه ای   </t>
    </r>
    <r>
      <rPr>
        <sz val="10"/>
        <rFont val="Vazirmatn"/>
        <family val="0"/>
        <charset val="1"/>
      </rPr>
      <t xml:space="preserve">" 2</t>
    </r>
  </si>
  <si>
    <t xml:space="preserve">31221377</t>
  </si>
  <si>
    <t xml:space="preserve">رینگ  لاستیکی  هیدروکلون جرم</t>
  </si>
  <si>
    <t xml:space="preserve">31221379</t>
  </si>
  <si>
    <t xml:space="preserve">رینگ ذغال خشکن بزرگ</t>
  </si>
  <si>
    <t xml:space="preserve">31221385</t>
  </si>
  <si>
    <r>
      <rPr>
        <sz val="10"/>
        <rFont val="FreeSans"/>
        <family val="2"/>
      </rPr>
      <t xml:space="preserve">رینگ تیغه تانکر کاسه ای </t>
    </r>
    <r>
      <rPr>
        <sz val="10"/>
        <rFont val="Vazirmatn"/>
        <family val="0"/>
        <charset val="1"/>
      </rPr>
      <t xml:space="preserve">385 ( </t>
    </r>
    <r>
      <rPr>
        <sz val="10"/>
        <rFont val="FreeSans"/>
        <family val="2"/>
      </rPr>
      <t xml:space="preserve">ساج داخل </t>
    </r>
    <r>
      <rPr>
        <sz val="10"/>
        <rFont val="Vazirmatn"/>
        <family val="0"/>
        <charset val="1"/>
      </rPr>
      <t xml:space="preserve">)</t>
    </r>
  </si>
  <si>
    <t xml:space="preserve">31221392</t>
  </si>
  <si>
    <r>
      <rPr>
        <sz val="10"/>
        <rFont val="FreeSans"/>
        <family val="2"/>
      </rPr>
      <t xml:space="preserve">رینگ  لاستیکی پرس گلوتن </t>
    </r>
    <r>
      <rPr>
        <sz val="10"/>
        <rFont val="Vazirmatn"/>
        <family val="0"/>
        <charset val="1"/>
      </rPr>
      <t xml:space="preserve">208 * 210 * 8</t>
    </r>
  </si>
  <si>
    <t xml:space="preserve">31221404</t>
  </si>
  <si>
    <t xml:space="preserve">رینگ  لاستیکی  بزرگ</t>
  </si>
  <si>
    <t xml:space="preserve">31221406</t>
  </si>
  <si>
    <t xml:space="preserve">رینگ لاستیکی آسیاب ایمپکت</t>
  </si>
  <si>
    <t xml:space="preserve">31221415</t>
  </si>
  <si>
    <r>
      <rPr>
        <sz val="10"/>
        <rFont val="FreeSans"/>
        <family val="2"/>
      </rPr>
      <t xml:space="preserve">رینگ ذغالی فیدهاوس        </t>
    </r>
    <r>
      <rPr>
        <sz val="10"/>
        <rFont val="Vazirmatn"/>
        <family val="0"/>
        <charset val="1"/>
      </rPr>
      <t xml:space="preserve">4</t>
    </r>
  </si>
  <si>
    <t xml:space="preserve">31221417</t>
  </si>
  <si>
    <r>
      <rPr>
        <sz val="10"/>
        <rFont val="FreeSans"/>
        <family val="2"/>
      </rPr>
      <t xml:space="preserve">رینگ ذغالی فیدهاوس       </t>
    </r>
    <r>
      <rPr>
        <sz val="10"/>
        <rFont val="Vazirmatn"/>
        <family val="0"/>
        <charset val="1"/>
      </rPr>
      <t xml:space="preserve">4</t>
    </r>
  </si>
  <si>
    <t xml:space="preserve">31221464</t>
  </si>
  <si>
    <r>
      <rPr>
        <sz val="10"/>
        <rFont val="FreeSans"/>
        <family val="2"/>
      </rPr>
      <t xml:space="preserve">رینگ چینی سیل پمپ خلاء  </t>
    </r>
    <r>
      <rPr>
        <sz val="10"/>
        <rFont val="Vazirmatn"/>
        <family val="0"/>
        <charset val="1"/>
      </rPr>
      <t xml:space="preserve">20 * 160 * 130</t>
    </r>
  </si>
  <si>
    <t xml:space="preserve">31221501</t>
  </si>
  <si>
    <r>
      <rPr>
        <sz val="10"/>
        <rFont val="FreeSans"/>
        <family val="2"/>
      </rPr>
      <t xml:space="preserve">رینگ فیبری          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</si>
  <si>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31221607</t>
  </si>
  <si>
    <r>
      <rPr>
        <sz val="10"/>
        <rFont val="FreeSans"/>
        <family val="2"/>
      </rPr>
      <t xml:space="preserve">رینگ  یاطاقان  </t>
    </r>
    <r>
      <rPr>
        <sz val="10"/>
        <rFont val="Vazirmatn"/>
        <family val="0"/>
        <charset val="1"/>
      </rPr>
      <t xml:space="preserve">160 * 12/5    FRB</t>
    </r>
  </si>
  <si>
    <t xml:space="preserve">31221706</t>
  </si>
  <si>
    <r>
      <rPr>
        <sz val="10"/>
        <rFont val="FreeSans"/>
        <family val="2"/>
      </rPr>
      <t xml:space="preserve">رینگ استیل </t>
    </r>
    <r>
      <rPr>
        <sz val="10"/>
        <rFont val="Vazirmatn"/>
        <family val="0"/>
        <charset val="1"/>
      </rPr>
      <t xml:space="preserve">316  </t>
    </r>
    <r>
      <rPr>
        <sz val="10"/>
        <rFont val="FreeSans"/>
        <family val="2"/>
      </rPr>
      <t xml:space="preserve">با ضخامت </t>
    </r>
    <r>
      <rPr>
        <sz val="10"/>
        <rFont val="Vazirmatn"/>
        <family val="0"/>
        <charset val="1"/>
      </rPr>
      <t xml:space="preserve">3mm</t>
    </r>
  </si>
  <si>
    <t xml:space="preserve">31221712</t>
  </si>
  <si>
    <r>
      <rPr>
        <sz val="10"/>
        <rFont val="FreeSans"/>
        <family val="2"/>
      </rPr>
      <t xml:space="preserve">رینگ کمپرسور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دیسکاس کوپلند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</si>
  <si>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31221714</t>
  </si>
  <si>
    <r>
      <rPr>
        <sz val="10"/>
        <rFont val="FreeSans"/>
        <family val="2"/>
      </rPr>
      <t xml:space="preserve">رینگ کمپرسور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اسب کوپلند</t>
    </r>
  </si>
  <si>
    <t xml:space="preserve">31221722</t>
  </si>
  <si>
    <r>
      <rPr>
        <sz val="10"/>
        <rFont val="FreeSans"/>
        <family val="2"/>
      </rPr>
      <t xml:space="preserve">رینگ محافظ     </t>
    </r>
    <r>
      <rPr>
        <sz val="10"/>
        <rFont val="Vazirmatn"/>
        <family val="0"/>
        <charset val="1"/>
      </rPr>
      <t xml:space="preserve">72123</t>
    </r>
  </si>
  <si>
    <t xml:space="preserve">31221745</t>
  </si>
  <si>
    <r>
      <rPr>
        <sz val="10"/>
        <rFont val="FreeSans"/>
        <family val="2"/>
      </rPr>
      <t xml:space="preserve">رینگ اصلی سپراتور </t>
    </r>
    <r>
      <rPr>
        <sz val="10"/>
        <rFont val="Vazirmatn"/>
        <family val="0"/>
        <charset val="1"/>
      </rPr>
      <t xml:space="preserve">72120</t>
    </r>
  </si>
  <si>
    <t xml:space="preserve">31221751</t>
  </si>
  <si>
    <r>
      <rPr>
        <sz val="10"/>
        <rFont val="FreeSans"/>
        <family val="2"/>
      </rPr>
      <t xml:space="preserve">رینگ پولی سپراتور تغلیظ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جمپر</t>
    </r>
    <r>
      <rPr>
        <sz val="10"/>
        <rFont val="Vazirmatn"/>
        <family val="0"/>
        <charset val="1"/>
      </rPr>
      <t xml:space="preserve">)</t>
    </r>
  </si>
  <si>
    <t xml:space="preserve">31221754</t>
  </si>
  <si>
    <r>
      <rPr>
        <sz val="10"/>
        <rFont val="FreeSans"/>
        <family val="2"/>
      </rPr>
      <t xml:space="preserve">جمپر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پولی آسیاب ایمپکت</t>
    </r>
  </si>
  <si>
    <t xml:space="preserve">31221755</t>
  </si>
  <si>
    <t xml:space="preserve">جمپر فولی فن دمنده رینولد</t>
  </si>
  <si>
    <t xml:space="preserve">31221756</t>
  </si>
  <si>
    <t xml:space="preserve">جمپر پولی سمت موتور آسیاب ایمپکت</t>
  </si>
  <si>
    <t xml:space="preserve">31222100</t>
  </si>
  <si>
    <r>
      <rPr>
        <sz val="10"/>
        <rFont val="FreeSans"/>
        <family val="2"/>
      </rPr>
      <t xml:space="preserve">سیل آسیاب                </t>
    </r>
    <r>
      <rPr>
        <sz val="10"/>
        <rFont val="Vazirmatn"/>
        <family val="0"/>
        <charset val="1"/>
      </rPr>
      <t xml:space="preserve">FQ  -  124</t>
    </r>
  </si>
  <si>
    <t xml:space="preserve">31222103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</si>
  <si>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7*17*35</t>
    </r>
  </si>
  <si>
    <t xml:space="preserve">31222104</t>
  </si>
  <si>
    <r>
      <rPr>
        <sz val="10"/>
        <rFont val="FreeSans"/>
        <family val="2"/>
      </rPr>
      <t xml:space="preserve">سیل آسیاب      </t>
    </r>
    <r>
      <rPr>
        <sz val="10"/>
        <rFont val="Vazirmatn"/>
        <family val="0"/>
        <charset val="1"/>
      </rPr>
      <t xml:space="preserve">FQ  -  124</t>
    </r>
  </si>
  <si>
    <t xml:space="preserve">31222105</t>
  </si>
  <si>
    <r>
      <rPr>
        <sz val="10"/>
        <rFont val="FreeSans"/>
        <family val="2"/>
      </rPr>
      <t xml:space="preserve">سیل آسیاب   </t>
    </r>
    <r>
      <rPr>
        <sz val="10"/>
        <rFont val="Vazirmatn"/>
        <family val="0"/>
        <charset val="1"/>
      </rPr>
      <t xml:space="preserve">.  FQ  -  124</t>
    </r>
  </si>
  <si>
    <t xml:space="preserve">31222107</t>
  </si>
  <si>
    <r>
      <rPr>
        <sz val="10"/>
        <rFont val="FreeSans"/>
        <family val="2"/>
      </rPr>
      <t xml:space="preserve">کاسه نمد           </t>
    </r>
    <r>
      <rPr>
        <sz val="10"/>
        <rFont val="Vazirmatn"/>
        <family val="0"/>
        <charset val="1"/>
      </rPr>
      <t xml:space="preserve">10*32*50</t>
    </r>
  </si>
  <si>
    <t xml:space="preserve">31222112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</si>
  <si>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15 * 180 * 215</t>
    </r>
  </si>
  <si>
    <t xml:space="preserve">31222114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</si>
  <si>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95-65-10</t>
    </r>
  </si>
  <si>
    <t xml:space="preserve">31222119</t>
  </si>
  <si>
    <r>
      <rPr>
        <sz val="10"/>
        <rFont val="FreeSans"/>
        <family val="2"/>
      </rPr>
      <t xml:space="preserve">کاسه نمد  </t>
    </r>
    <r>
      <rPr>
        <sz val="10"/>
        <rFont val="Vazirmatn"/>
        <family val="0"/>
        <charset val="1"/>
      </rPr>
      <t xml:space="preserve">28-62-10</t>
    </r>
  </si>
  <si>
    <t xml:space="preserve">31222120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</si>
  <si>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7  *20*30</t>
    </r>
  </si>
  <si>
    <t xml:space="preserve">31222121</t>
  </si>
  <si>
    <r>
      <rPr>
        <sz val="10"/>
        <rFont val="FreeSans"/>
        <family val="2"/>
      </rPr>
      <t xml:space="preserve">کاسه نمد    </t>
    </r>
    <r>
      <rPr>
        <sz val="10"/>
        <rFont val="Vazirmatn"/>
        <family val="0"/>
        <charset val="1"/>
      </rPr>
      <t xml:space="preserve">6*32*25</t>
    </r>
  </si>
  <si>
    <t xml:space="preserve">31222123</t>
  </si>
  <si>
    <r>
      <rPr>
        <sz val="10"/>
        <rFont val="FreeSans"/>
        <family val="2"/>
      </rPr>
      <t xml:space="preserve">کاسه نمد          </t>
    </r>
    <r>
      <rPr>
        <sz val="10"/>
        <rFont val="Vazirmatn"/>
        <family val="0"/>
        <charset val="1"/>
      </rPr>
      <t xml:space="preserve">7 * 47 * 22</t>
    </r>
  </si>
  <si>
    <t xml:space="preserve">31222124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</si>
  <si>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7 * 37 * 25 </t>
    </r>
    <r>
      <rPr>
        <sz val="10"/>
        <rFont val="FreeSans"/>
        <family val="2"/>
      </rPr>
      <t xml:space="preserve">سپراتور تغلیظ گلوتن</t>
    </r>
  </si>
  <si>
    <t xml:space="preserve">31222125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</si>
  <si>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10*35*25</t>
    </r>
  </si>
  <si>
    <t xml:space="preserve">31222128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</si>
  <si>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8 *25*36</t>
    </r>
  </si>
  <si>
    <t xml:space="preserve">31222129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</si>
  <si>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7*27*35</t>
    </r>
  </si>
  <si>
    <t xml:space="preserve">31222130</t>
  </si>
  <si>
    <r>
      <rPr>
        <sz val="10"/>
        <rFont val="FreeSans"/>
        <family val="2"/>
      </rPr>
      <t xml:space="preserve">کاسه نمد               </t>
    </r>
    <r>
      <rPr>
        <sz val="10"/>
        <rFont val="Vazirmatn"/>
        <family val="0"/>
        <charset val="1"/>
      </rPr>
      <t xml:space="preserve">8-25-45</t>
    </r>
  </si>
  <si>
    <t xml:space="preserve">31222132</t>
  </si>
  <si>
    <r>
      <rPr>
        <sz val="10"/>
        <rFont val="FreeSans"/>
        <family val="2"/>
      </rPr>
      <t xml:space="preserve">کاسه  نمد            </t>
    </r>
    <r>
      <rPr>
        <sz val="10"/>
        <rFont val="Vazirmatn"/>
        <family val="0"/>
        <charset val="1"/>
      </rPr>
      <t xml:space="preserve">7* 27*42</t>
    </r>
  </si>
  <si>
    <t xml:space="preserve">31222133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</si>
  <si>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5*47*40</t>
    </r>
  </si>
  <si>
    <t xml:space="preserve">31222134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</si>
  <si>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8*37*26</t>
    </r>
  </si>
  <si>
    <t xml:space="preserve">31222135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</si>
  <si>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5*52*45</t>
    </r>
  </si>
  <si>
    <t xml:space="preserve">31222140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</si>
  <si>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8*52*30</t>
    </r>
  </si>
  <si>
    <t xml:space="preserve">31222141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</si>
  <si>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7*38*55</t>
    </r>
  </si>
  <si>
    <t xml:space="preserve">31222143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</si>
  <si>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10*50*65</t>
    </r>
  </si>
  <si>
    <t xml:space="preserve">31222146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</si>
  <si>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10*85*63</t>
    </r>
  </si>
  <si>
    <t xml:space="preserve">31222149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</si>
  <si>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3*20*30</t>
    </r>
  </si>
  <si>
    <t xml:space="preserve">31222152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</si>
  <si>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8*40*56</t>
    </r>
  </si>
  <si>
    <t xml:space="preserve">31222153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</si>
  <si>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8*42*30</t>
    </r>
  </si>
  <si>
    <t xml:space="preserve">31222155</t>
  </si>
  <si>
    <r>
      <rPr>
        <sz val="10"/>
        <rFont val="FreeSans"/>
        <family val="2"/>
      </rPr>
      <t xml:space="preserve">کاسه نمد           </t>
    </r>
    <r>
      <rPr>
        <sz val="10"/>
        <rFont val="Vazirmatn"/>
        <family val="0"/>
        <charset val="1"/>
      </rPr>
      <t xml:space="preserve">10*100*50</t>
    </r>
  </si>
  <si>
    <t xml:space="preserve">31222160</t>
  </si>
  <si>
    <r>
      <rPr>
        <sz val="10"/>
        <rFont val="FreeSans"/>
        <family val="2"/>
      </rPr>
      <t xml:space="preserve">کاسه نمد          </t>
    </r>
    <r>
      <rPr>
        <sz val="10"/>
        <rFont val="Vazirmatn"/>
        <family val="0"/>
        <charset val="1"/>
      </rPr>
      <t xml:space="preserve">10 - 35- 55</t>
    </r>
  </si>
  <si>
    <t xml:space="preserve">31222168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</si>
  <si>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7*22*35</t>
    </r>
  </si>
  <si>
    <t xml:space="preserve">31222171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</si>
  <si>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8*50*35</t>
    </r>
  </si>
  <si>
    <t xml:space="preserve">31222176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</si>
  <si>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10*85*70</t>
    </r>
  </si>
  <si>
    <t xml:space="preserve">31222180</t>
  </si>
  <si>
    <r>
      <rPr>
        <sz val="10"/>
        <rFont val="FreeSans"/>
        <family val="2"/>
      </rPr>
      <t xml:space="preserve">کاسه نمد کربنی دکانتور </t>
    </r>
    <r>
      <rPr>
        <sz val="10"/>
        <rFont val="Vazirmatn"/>
        <family val="0"/>
        <charset val="1"/>
      </rPr>
      <t xml:space="preserve">850 - 3018 - 0004</t>
    </r>
  </si>
  <si>
    <t xml:space="preserve">31222182</t>
  </si>
  <si>
    <r>
      <rPr>
        <sz val="10"/>
        <rFont val="FreeSans"/>
        <family val="2"/>
      </rPr>
      <t xml:space="preserve">کاسه نمد          </t>
    </r>
    <r>
      <rPr>
        <sz val="10"/>
        <rFont val="Vazirmatn"/>
        <family val="0"/>
        <charset val="1"/>
      </rPr>
      <t xml:space="preserve">10 *30 *60</t>
    </r>
  </si>
  <si>
    <t xml:space="preserve">31222183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</si>
  <si>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11*62*38</t>
    </r>
  </si>
  <si>
    <t xml:space="preserve">31222184</t>
  </si>
  <si>
    <r>
      <rPr>
        <sz val="10"/>
        <rFont val="FreeSans"/>
        <family val="2"/>
      </rPr>
      <t xml:space="preserve">کاسه نمد کربنی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اورینگ و رینگ</t>
    </r>
    <r>
      <rPr>
        <sz val="10"/>
        <rFont val="Vazirmatn"/>
        <family val="0"/>
        <charset val="1"/>
      </rPr>
      <t xml:space="preserve">)</t>
    </r>
    <r>
      <rPr>
        <sz val="10"/>
        <rFont val="FreeSans"/>
        <family val="2"/>
      </rPr>
      <t xml:space="preserve">دکانتور </t>
    </r>
    <r>
      <rPr>
        <sz val="10"/>
        <rFont val="Vazirmatn"/>
        <family val="0"/>
        <charset val="1"/>
      </rPr>
      <t xml:space="preserve">270 - 3369 - 0004</t>
    </r>
  </si>
  <si>
    <t xml:space="preserve">31222187</t>
  </si>
  <si>
    <r>
      <rPr>
        <sz val="10"/>
        <rFont val="FreeSans"/>
        <family val="2"/>
      </rPr>
      <t xml:space="preserve">کاسه نمدگیر بکس دکانتور </t>
    </r>
    <r>
      <rPr>
        <sz val="10"/>
        <rFont val="Vazirmatn"/>
        <family val="0"/>
        <charset val="1"/>
      </rPr>
      <t xml:space="preserve">830 - 3317 - 0004</t>
    </r>
  </si>
  <si>
    <t xml:space="preserve">31222188</t>
  </si>
  <si>
    <r>
      <rPr>
        <sz val="10"/>
        <rFont val="FreeSans"/>
        <family val="2"/>
      </rPr>
      <t xml:space="preserve">کاسه نمد کربنی دکانتور </t>
    </r>
    <r>
      <rPr>
        <sz val="10"/>
        <rFont val="Vazirmatn"/>
        <family val="0"/>
        <charset val="1"/>
      </rPr>
      <t xml:space="preserve">850 - 3012 - 0004</t>
    </r>
  </si>
  <si>
    <t xml:space="preserve">31222189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</si>
  <si>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7* 17*40</t>
    </r>
  </si>
  <si>
    <t xml:space="preserve">31222190</t>
  </si>
  <si>
    <r>
      <rPr>
        <sz val="10"/>
        <rFont val="FreeSans"/>
        <family val="2"/>
      </rPr>
      <t xml:space="preserve">کاسه نمد کربنی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اورینگ و رینگ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دکانتور </t>
    </r>
    <r>
      <rPr>
        <sz val="10"/>
        <rFont val="Vazirmatn"/>
        <family val="0"/>
        <charset val="1"/>
      </rPr>
      <t xml:space="preserve">270 - 3291 - 0004</t>
    </r>
  </si>
  <si>
    <t xml:space="preserve">31222191</t>
  </si>
  <si>
    <r>
      <rPr>
        <sz val="10"/>
        <rFont val="FreeSans"/>
        <family val="2"/>
      </rPr>
      <t xml:space="preserve">کاسه نمد کربنی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اورینگ و رینگ</t>
    </r>
    <r>
      <rPr>
        <sz val="10"/>
        <rFont val="Vazirmatn"/>
        <family val="0"/>
        <charset val="1"/>
      </rPr>
      <t xml:space="preserve">)</t>
    </r>
    <r>
      <rPr>
        <sz val="10"/>
        <rFont val="FreeSans"/>
        <family val="2"/>
      </rPr>
      <t xml:space="preserve">دکانتور </t>
    </r>
    <r>
      <rPr>
        <sz val="10"/>
        <rFont val="Vazirmatn"/>
        <family val="0"/>
        <charset val="1"/>
      </rPr>
      <t xml:space="preserve">270 - 3132 - 0004</t>
    </r>
  </si>
  <si>
    <t xml:space="preserve">31222193</t>
  </si>
  <si>
    <r>
      <rPr>
        <sz val="10"/>
        <rFont val="FreeSans"/>
        <family val="2"/>
      </rPr>
      <t xml:space="preserve">کاسه نمد کربنی دکانتور </t>
    </r>
    <r>
      <rPr>
        <sz val="10"/>
        <rFont val="Vazirmatn"/>
        <family val="0"/>
        <charset val="1"/>
      </rPr>
      <t xml:space="preserve">850 - 3300 - 0004</t>
    </r>
  </si>
  <si>
    <t xml:space="preserve">31222195</t>
  </si>
  <si>
    <r>
      <rPr>
        <sz val="10"/>
        <rFont val="FreeSans"/>
        <family val="2"/>
      </rPr>
      <t xml:space="preserve">کاسه نمد کربنی دکانتور </t>
    </r>
    <r>
      <rPr>
        <sz val="10"/>
        <rFont val="Vazirmatn"/>
        <family val="0"/>
        <charset val="1"/>
      </rPr>
      <t xml:space="preserve">850 - 2693 - 0004</t>
    </r>
  </si>
  <si>
    <t xml:space="preserve">31222198</t>
  </si>
  <si>
    <r>
      <rPr>
        <sz val="10"/>
        <rFont val="FreeSans"/>
        <family val="2"/>
      </rPr>
      <t xml:space="preserve">کاسه نمد فلزی   </t>
    </r>
    <r>
      <rPr>
        <sz val="10"/>
        <rFont val="Vazirmatn"/>
        <family val="0"/>
        <charset val="1"/>
      </rPr>
      <t xml:space="preserve">10*72*52</t>
    </r>
  </si>
  <si>
    <t xml:space="preserve">31222200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</si>
  <si>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10*40*22</t>
    </r>
  </si>
  <si>
    <t xml:space="preserve">31222207</t>
  </si>
  <si>
    <r>
      <rPr>
        <sz val="10"/>
        <rFont val="FreeSans"/>
        <family val="2"/>
      </rPr>
      <t xml:space="preserve">کاسه نمد تبدیلی  </t>
    </r>
    <r>
      <rPr>
        <sz val="10"/>
        <rFont val="Vazirmatn"/>
        <family val="0"/>
        <charset val="1"/>
      </rPr>
      <t xml:space="preserve">75 * 5386</t>
    </r>
  </si>
  <si>
    <t xml:space="preserve">31222208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</si>
  <si>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8-42-25</t>
    </r>
  </si>
  <si>
    <t xml:space="preserve">31222216</t>
  </si>
  <si>
    <r>
      <rPr>
        <sz val="10"/>
        <rFont val="FreeSans"/>
        <family val="2"/>
      </rPr>
      <t xml:space="preserve">کاسه نمدتبدیلی  </t>
    </r>
    <r>
      <rPr>
        <sz val="10"/>
        <rFont val="Vazirmatn"/>
        <family val="0"/>
        <charset val="1"/>
      </rPr>
      <t xml:space="preserve">224410*4</t>
    </r>
  </si>
  <si>
    <t xml:space="preserve">31222220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</si>
  <si>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10*62*38</t>
    </r>
  </si>
  <si>
    <t xml:space="preserve">31222223</t>
  </si>
  <si>
    <r>
      <rPr>
        <sz val="10"/>
        <rFont val="FreeSans"/>
        <family val="2"/>
      </rPr>
      <t xml:space="preserve">کاسه نمد فلزی تک لبه   </t>
    </r>
    <r>
      <rPr>
        <sz val="10"/>
        <rFont val="Vazirmatn"/>
        <family val="0"/>
        <charset val="1"/>
      </rPr>
      <t xml:space="preserve">12*180*150</t>
    </r>
  </si>
  <si>
    <t xml:space="preserve">31222226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</si>
  <si>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8*28*52</t>
    </r>
  </si>
  <si>
    <t xml:space="preserve">31222238</t>
  </si>
  <si>
    <r>
      <rPr>
        <sz val="10"/>
        <rFont val="FreeSans"/>
        <family val="2"/>
      </rPr>
      <t xml:space="preserve">کاسه نمد فلزی       </t>
    </r>
    <r>
      <rPr>
        <sz val="10"/>
        <rFont val="Vazirmatn"/>
        <family val="0"/>
        <charset val="1"/>
      </rPr>
      <t xml:space="preserve">PS - Seal     90-110-10</t>
    </r>
  </si>
  <si>
    <t xml:space="preserve">31222239</t>
  </si>
  <si>
    <r>
      <rPr>
        <sz val="10"/>
        <rFont val="FreeSans"/>
        <family val="2"/>
      </rPr>
      <t xml:space="preserve">کاسه نمد           </t>
    </r>
    <r>
      <rPr>
        <sz val="10"/>
        <rFont val="Vazirmatn"/>
        <family val="0"/>
        <charset val="1"/>
      </rPr>
      <t xml:space="preserve">7*32*47</t>
    </r>
  </si>
  <si>
    <t xml:space="preserve">31222240</t>
  </si>
  <si>
    <r>
      <rPr>
        <sz val="10"/>
        <rFont val="FreeSans"/>
        <family val="2"/>
      </rPr>
      <t xml:space="preserve">کاسه نمد           </t>
    </r>
    <r>
      <rPr>
        <sz val="10"/>
        <rFont val="Vazirmatn"/>
        <family val="0"/>
        <charset val="1"/>
      </rPr>
      <t xml:space="preserve">10*90*110</t>
    </r>
  </si>
  <si>
    <t xml:space="preserve">31222241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</si>
  <si>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8*25*47</t>
    </r>
  </si>
  <si>
    <t xml:space="preserve">31222242</t>
  </si>
  <si>
    <r>
      <rPr>
        <sz val="10"/>
        <rFont val="FreeSans"/>
        <family val="2"/>
      </rPr>
      <t xml:space="preserve">کاسه نمد فلزی   </t>
    </r>
    <r>
      <rPr>
        <sz val="10"/>
        <rFont val="Vazirmatn"/>
        <family val="0"/>
        <charset val="1"/>
      </rPr>
      <t xml:space="preserve">12*180*150</t>
    </r>
  </si>
  <si>
    <t xml:space="preserve">31222245</t>
  </si>
  <si>
    <r>
      <rPr>
        <sz val="10"/>
        <rFont val="FreeSans"/>
        <family val="2"/>
      </rPr>
      <t xml:space="preserve">کاسه نمد فلزی   </t>
    </r>
    <r>
      <rPr>
        <sz val="10"/>
        <rFont val="Vazirmatn"/>
        <family val="0"/>
        <charset val="1"/>
      </rPr>
      <t xml:space="preserve">12*140*110</t>
    </r>
  </si>
  <si>
    <t xml:space="preserve">31222246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</si>
  <si>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10*20*47</t>
    </r>
  </si>
  <si>
    <t xml:space="preserve">31222249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</si>
  <si>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10*90*40</t>
    </r>
  </si>
  <si>
    <t xml:space="preserve">31222253</t>
  </si>
  <si>
    <r>
      <rPr>
        <sz val="10"/>
        <rFont val="FreeSans"/>
        <family val="2"/>
      </rPr>
      <t xml:space="preserve">کاسه نمد           </t>
    </r>
    <r>
      <rPr>
        <sz val="10"/>
        <rFont val="Vazirmatn"/>
        <family val="0"/>
        <charset val="1"/>
      </rPr>
      <t xml:space="preserve">7 - 35 -47</t>
    </r>
  </si>
  <si>
    <t xml:space="preserve">31222254</t>
  </si>
  <si>
    <r>
      <rPr>
        <sz val="10"/>
        <rFont val="FreeSans"/>
        <family val="2"/>
      </rPr>
      <t xml:space="preserve">کاسه نمد    </t>
    </r>
    <r>
      <rPr>
        <sz val="10"/>
        <rFont val="Vazirmatn"/>
        <family val="0"/>
        <charset val="1"/>
      </rPr>
      <t xml:space="preserve">7/5 * 30 * 16</t>
    </r>
  </si>
  <si>
    <t xml:space="preserve">31222255</t>
  </si>
  <si>
    <r>
      <rPr>
        <sz val="10"/>
        <rFont val="FreeSans"/>
        <family val="2"/>
      </rPr>
      <t xml:space="preserve">کاسه نمد    </t>
    </r>
    <r>
      <rPr>
        <sz val="10"/>
        <rFont val="Vazirmatn"/>
        <family val="0"/>
        <charset val="1"/>
      </rPr>
      <t xml:space="preserve">10 * 62 * 85</t>
    </r>
  </si>
  <si>
    <t xml:space="preserve">31222256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</si>
  <si>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10*30*47</t>
    </r>
  </si>
  <si>
    <t xml:space="preserve">31222257</t>
  </si>
  <si>
    <r>
      <rPr>
        <sz val="10"/>
        <rFont val="FreeSans"/>
        <family val="2"/>
      </rPr>
      <t xml:space="preserve">کاسه نمد    </t>
    </r>
    <r>
      <rPr>
        <sz val="10"/>
        <rFont val="Vazirmatn"/>
        <family val="0"/>
        <charset val="1"/>
      </rPr>
      <t xml:space="preserve">13 * 75 * 110</t>
    </r>
  </si>
  <si>
    <t xml:space="preserve">31222259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</si>
  <si>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10*72*48</t>
    </r>
  </si>
  <si>
    <t xml:space="preserve">31222260</t>
  </si>
  <si>
    <r>
      <rPr>
        <sz val="10"/>
        <rFont val="FreeSans"/>
        <family val="2"/>
      </rPr>
      <t xml:space="preserve">کاسه نمد وایتون    </t>
    </r>
    <r>
      <rPr>
        <sz val="10"/>
        <rFont val="Vazirmatn"/>
        <family val="0"/>
        <charset val="1"/>
      </rPr>
      <t xml:space="preserve">7 * 42 * 25</t>
    </r>
  </si>
  <si>
    <t xml:space="preserve">31222262</t>
  </si>
  <si>
    <r>
      <rPr>
        <sz val="10"/>
        <rFont val="FreeSans"/>
        <family val="2"/>
      </rPr>
      <t xml:space="preserve">کاسه نمد وایتون    </t>
    </r>
    <r>
      <rPr>
        <sz val="10"/>
        <rFont val="Vazirmatn"/>
        <family val="0"/>
        <charset val="1"/>
      </rPr>
      <t xml:space="preserve">7 * 60 * 38</t>
    </r>
  </si>
  <si>
    <t xml:space="preserve">31222263</t>
  </si>
  <si>
    <r>
      <rPr>
        <sz val="10"/>
        <rFont val="FreeSans"/>
        <family val="2"/>
      </rPr>
      <t xml:space="preserve">کاسه نمد دکانتور  </t>
    </r>
    <r>
      <rPr>
        <sz val="10"/>
        <rFont val="Vazirmatn"/>
        <family val="0"/>
        <charset val="1"/>
      </rPr>
      <t xml:space="preserve">850 - 3387 - 0004</t>
    </r>
  </si>
  <si>
    <t xml:space="preserve">31222268</t>
  </si>
  <si>
    <r>
      <rPr>
        <sz val="10"/>
        <rFont val="FreeSans"/>
        <family val="2"/>
      </rPr>
      <t xml:space="preserve">کاسه نمد فلزی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آلفا سیل </t>
    </r>
    <r>
      <rPr>
        <sz val="10"/>
        <rFont val="Vazirmatn"/>
        <family val="0"/>
        <charset val="1"/>
      </rPr>
      <t xml:space="preserve">)  ERIKS  RCL35</t>
    </r>
  </si>
  <si>
    <t xml:space="preserve">31222271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</si>
  <si>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13*170*105</t>
    </r>
  </si>
  <si>
    <t xml:space="preserve">31222272</t>
  </si>
  <si>
    <r>
      <rPr>
        <sz val="10"/>
        <rFont val="FreeSans"/>
        <family val="2"/>
      </rPr>
      <t xml:space="preserve">کاسه نمد پمپ  </t>
    </r>
    <r>
      <rPr>
        <sz val="10"/>
        <rFont val="Vazirmatn"/>
        <family val="0"/>
        <charset val="1"/>
      </rPr>
      <t xml:space="preserve">APP23-40</t>
    </r>
  </si>
  <si>
    <t xml:space="preserve">31222273</t>
  </si>
  <si>
    <r>
      <rPr>
        <sz val="10"/>
        <rFont val="FreeSans"/>
        <family val="2"/>
      </rPr>
      <t xml:space="preserve">کاسه نمد پمپ   </t>
    </r>
    <r>
      <rPr>
        <sz val="10"/>
        <rFont val="Vazirmatn"/>
        <family val="0"/>
        <charset val="1"/>
      </rPr>
      <t xml:space="preserve">APP23-40</t>
    </r>
  </si>
  <si>
    <t xml:space="preserve">31222274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</si>
  <si>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7-16-28</t>
    </r>
  </si>
  <si>
    <t xml:space="preserve">31222275</t>
  </si>
  <si>
    <r>
      <rPr>
        <sz val="10"/>
        <rFont val="FreeSans"/>
        <family val="2"/>
      </rPr>
      <t xml:space="preserve">کاسه نمد پمپ </t>
    </r>
    <r>
      <rPr>
        <sz val="10"/>
        <rFont val="Vazirmatn"/>
        <family val="0"/>
        <charset val="1"/>
      </rPr>
      <t xml:space="preserve">APP11-50</t>
    </r>
  </si>
  <si>
    <t xml:space="preserve">31222276</t>
  </si>
  <si>
    <r>
      <rPr>
        <sz val="10"/>
        <rFont val="FreeSans"/>
        <family val="2"/>
      </rPr>
      <t xml:space="preserve">کاسه نمد پمپ  </t>
    </r>
    <r>
      <rPr>
        <sz val="10"/>
        <rFont val="Vazirmatn"/>
        <family val="0"/>
        <charset val="1"/>
      </rPr>
      <t xml:space="preserve">APP11-50</t>
    </r>
  </si>
  <si>
    <t xml:space="preserve">31222277</t>
  </si>
  <si>
    <r>
      <rPr>
        <sz val="10"/>
        <rFont val="FreeSans"/>
        <family val="2"/>
      </rPr>
      <t xml:space="preserve">کاسه نمد پمپ </t>
    </r>
    <r>
      <rPr>
        <sz val="10"/>
        <rFont val="Vazirmatn"/>
        <family val="0"/>
        <charset val="1"/>
      </rPr>
      <t xml:space="preserve">APP22-32</t>
    </r>
  </si>
  <si>
    <t xml:space="preserve">31222278</t>
  </si>
  <si>
    <r>
      <rPr>
        <sz val="10"/>
        <rFont val="FreeSans"/>
        <family val="2"/>
      </rPr>
      <t xml:space="preserve">کاسه نمد پمپ  </t>
    </r>
    <r>
      <rPr>
        <sz val="10"/>
        <rFont val="Vazirmatn"/>
        <family val="0"/>
        <charset val="1"/>
      </rPr>
      <t xml:space="preserve">APP22-32</t>
    </r>
  </si>
  <si>
    <t xml:space="preserve">31222283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</si>
  <si>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7*50*68</t>
    </r>
  </si>
  <si>
    <t xml:space="preserve">31222284</t>
  </si>
  <si>
    <r>
      <rPr>
        <sz val="10"/>
        <rFont val="FreeSans"/>
        <family val="2"/>
      </rPr>
      <t xml:space="preserve">کاسه نمد    </t>
    </r>
    <r>
      <rPr>
        <sz val="10"/>
        <rFont val="Vazirmatn"/>
        <family val="0"/>
        <charset val="1"/>
      </rPr>
      <t xml:space="preserve">10 * 62 * 42</t>
    </r>
  </si>
  <si>
    <t xml:space="preserve">31222288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</si>
  <si>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7*27*47</t>
    </r>
  </si>
  <si>
    <t xml:space="preserve">31222289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</si>
  <si>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12 * 85 * 115</t>
    </r>
  </si>
  <si>
    <t xml:space="preserve">31222290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</si>
  <si>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7-25-32</t>
    </r>
  </si>
  <si>
    <t xml:space="preserve">31222291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</si>
  <si>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10*30*55</t>
    </r>
  </si>
  <si>
    <t xml:space="preserve">31222292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</si>
  <si>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13 * 85 * 105</t>
    </r>
  </si>
  <si>
    <t xml:space="preserve">31222293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</si>
  <si>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12 * 140 * 80</t>
    </r>
  </si>
  <si>
    <t xml:space="preserve">31222295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</si>
  <si>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7 * 80 * 52</t>
    </r>
  </si>
  <si>
    <t xml:space="preserve">31222297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</si>
  <si>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8 * 85 * 52</t>
    </r>
  </si>
  <si>
    <t xml:space="preserve">31222300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</si>
  <si>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10 * 62 * 25</t>
    </r>
  </si>
  <si>
    <t xml:space="preserve">31222301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</si>
  <si>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10 * 80 * 52</t>
    </r>
  </si>
  <si>
    <t xml:space="preserve">31222304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</si>
  <si>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7 * 24 * 47</t>
    </r>
  </si>
  <si>
    <t xml:space="preserve">31222305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</si>
  <si>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8 * 42 * 55</t>
    </r>
  </si>
  <si>
    <t xml:space="preserve">31222308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</si>
  <si>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10 * 90 * 52</t>
    </r>
  </si>
  <si>
    <t xml:space="preserve">31222309</t>
  </si>
  <si>
    <r>
      <rPr>
        <sz val="10"/>
        <rFont val="FreeSans"/>
        <family val="2"/>
      </rPr>
      <t xml:space="preserve">کاسه نمد فلزی   </t>
    </r>
    <r>
      <rPr>
        <sz val="10"/>
        <rFont val="Vazirmatn"/>
        <family val="0"/>
        <charset val="1"/>
      </rPr>
      <t xml:space="preserve">10*72*55</t>
    </r>
  </si>
  <si>
    <t xml:space="preserve">31222310</t>
  </si>
  <si>
    <t xml:space="preserve">کاسه نمد چرخ جلوی لیفتراک</t>
  </si>
  <si>
    <t xml:space="preserve">31222311</t>
  </si>
  <si>
    <r>
      <rPr>
        <sz val="10"/>
        <rFont val="FreeSans"/>
        <family val="2"/>
      </rPr>
      <t xml:space="preserve">کاسه نمد    </t>
    </r>
    <r>
      <rPr>
        <sz val="10"/>
        <rFont val="Vazirmatn"/>
        <family val="0"/>
        <charset val="1"/>
      </rPr>
      <t xml:space="preserve">5*24*32</t>
    </r>
  </si>
  <si>
    <t xml:space="preserve">31222313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</si>
  <si>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8 * 45 * 28</t>
    </r>
  </si>
  <si>
    <t xml:space="preserve">31222314</t>
  </si>
  <si>
    <r>
      <rPr>
        <sz val="10"/>
        <rFont val="FreeSans"/>
        <family val="2"/>
      </rPr>
      <t xml:space="preserve">کاسه نمد  </t>
    </r>
    <r>
      <rPr>
        <sz val="10"/>
        <rFont val="Vazirmatn"/>
        <family val="0"/>
        <charset val="1"/>
      </rPr>
      <t xml:space="preserve">10 * 62 * 90</t>
    </r>
  </si>
  <si>
    <t xml:space="preserve">31222319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</si>
  <si>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10-35-56</t>
    </r>
  </si>
  <si>
    <t xml:space="preserve">31222321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</si>
  <si>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12*45*90</t>
    </r>
  </si>
  <si>
    <t xml:space="preserve">31222322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</si>
  <si>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10*65*80</t>
    </r>
  </si>
  <si>
    <t xml:space="preserve">31222326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</si>
  <si>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10*75*58</t>
    </r>
  </si>
  <si>
    <t xml:space="preserve">31222334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</si>
  <si>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10*60*80</t>
    </r>
  </si>
  <si>
    <t xml:space="preserve">31222339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</si>
  <si>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10*60*75</t>
    </r>
  </si>
  <si>
    <t xml:space="preserve">31222347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</si>
  <si>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10*48*65</t>
    </r>
  </si>
  <si>
    <t xml:space="preserve">31222350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</si>
  <si>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12*60*95</t>
    </r>
  </si>
  <si>
    <t xml:space="preserve">31222351</t>
  </si>
  <si>
    <r>
      <rPr>
        <sz val="10"/>
        <rFont val="FreeSans"/>
        <family val="2"/>
      </rPr>
      <t xml:space="preserve">کاسه نمد       </t>
    </r>
    <r>
      <rPr>
        <sz val="10"/>
        <rFont val="Vazirmatn"/>
        <family val="0"/>
        <charset val="1"/>
      </rPr>
      <t xml:space="preserve">13-170-140</t>
    </r>
  </si>
  <si>
    <t xml:space="preserve">31222353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</si>
  <si>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13*65*90</t>
    </r>
  </si>
  <si>
    <t xml:space="preserve">31222355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</si>
  <si>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10*40 *65</t>
    </r>
  </si>
  <si>
    <t xml:space="preserve">31222357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</si>
  <si>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7*45*62</t>
    </r>
  </si>
  <si>
    <t xml:space="preserve">31222358</t>
  </si>
  <si>
    <r>
      <rPr>
        <sz val="10"/>
        <rFont val="FreeSans"/>
        <family val="2"/>
      </rPr>
      <t xml:space="preserve">کاسه نمد               </t>
    </r>
    <r>
      <rPr>
        <sz val="10"/>
        <rFont val="Vazirmatn"/>
        <family val="0"/>
        <charset val="1"/>
      </rPr>
      <t xml:space="preserve">7-45-56</t>
    </r>
  </si>
  <si>
    <t xml:space="preserve">31222362</t>
  </si>
  <si>
    <r>
      <rPr>
        <sz val="10"/>
        <rFont val="FreeSans"/>
        <family val="2"/>
      </rPr>
      <t xml:space="preserve">کاسه نمد          </t>
    </r>
    <r>
      <rPr>
        <sz val="10"/>
        <rFont val="Vazirmatn"/>
        <family val="0"/>
        <charset val="1"/>
      </rPr>
      <t xml:space="preserve">12 *72 *95</t>
    </r>
  </si>
  <si>
    <t xml:space="preserve">31222366</t>
  </si>
  <si>
    <r>
      <rPr>
        <sz val="10"/>
        <rFont val="FreeSans"/>
        <family val="2"/>
      </rPr>
      <t xml:space="preserve">کاسه نمد        </t>
    </r>
    <r>
      <rPr>
        <sz val="10"/>
        <rFont val="Vazirmatn"/>
        <family val="0"/>
        <charset val="1"/>
      </rPr>
      <t xml:space="preserve">10 * 38 * 72</t>
    </r>
  </si>
  <si>
    <t xml:space="preserve">31222370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</si>
  <si>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10*90*65</t>
    </r>
  </si>
  <si>
    <t xml:space="preserve">31222374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</si>
  <si>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10*42* 65</t>
    </r>
  </si>
  <si>
    <t xml:space="preserve">31222376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</si>
  <si>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10*52*72</t>
    </r>
  </si>
  <si>
    <t xml:space="preserve">31222380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</si>
  <si>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12*45*85</t>
    </r>
  </si>
  <si>
    <t xml:space="preserve">31222386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</si>
  <si>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10 -40-70</t>
    </r>
  </si>
  <si>
    <t xml:space="preserve">31222388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</si>
  <si>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90*68*10</t>
    </r>
  </si>
  <si>
    <t xml:space="preserve">31222403</t>
  </si>
  <si>
    <r>
      <rPr>
        <sz val="10"/>
        <rFont val="FreeSans"/>
        <family val="2"/>
      </rPr>
      <t xml:space="preserve">کاسه نمد          </t>
    </r>
    <r>
      <rPr>
        <sz val="10"/>
        <rFont val="Vazirmatn"/>
        <family val="0"/>
        <charset val="1"/>
      </rPr>
      <t xml:space="preserve">10*72*55</t>
    </r>
  </si>
  <si>
    <t xml:space="preserve">31222406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</si>
  <si>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10*52*30</t>
    </r>
  </si>
  <si>
    <t xml:space="preserve">31222408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</si>
  <si>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10-58-90</t>
    </r>
  </si>
  <si>
    <t xml:space="preserve">31222409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</si>
  <si>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8*60*75</t>
    </r>
  </si>
  <si>
    <t xml:space="preserve">31222414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</si>
  <si>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10*58*76</t>
    </r>
  </si>
  <si>
    <t xml:space="preserve">31222419</t>
  </si>
  <si>
    <r>
      <rPr>
        <sz val="10"/>
        <rFont val="FreeSans"/>
        <family val="2"/>
      </rPr>
      <t xml:space="preserve">کاسه نمد         </t>
    </r>
    <r>
      <rPr>
        <sz val="10"/>
        <rFont val="Vazirmatn"/>
        <family val="0"/>
        <charset val="1"/>
      </rPr>
      <t xml:space="preserve">13 *80*100</t>
    </r>
  </si>
  <si>
    <t xml:space="preserve">31222420</t>
  </si>
  <si>
    <r>
      <rPr>
        <sz val="10"/>
        <rFont val="FreeSans"/>
        <family val="2"/>
      </rPr>
      <t xml:space="preserve">کاسه نمد              </t>
    </r>
    <r>
      <rPr>
        <sz val="10"/>
        <rFont val="Vazirmatn"/>
        <family val="0"/>
        <charset val="1"/>
      </rPr>
      <t xml:space="preserve">8*52*70</t>
    </r>
  </si>
  <si>
    <t xml:space="preserve">31222421</t>
  </si>
  <si>
    <r>
      <rPr>
        <sz val="10"/>
        <rFont val="FreeSans"/>
        <family val="2"/>
      </rPr>
      <t xml:space="preserve">کاسه نمد          </t>
    </r>
    <r>
      <rPr>
        <sz val="10"/>
        <rFont val="Vazirmatn"/>
        <family val="0"/>
        <charset val="1"/>
      </rPr>
      <t xml:space="preserve">12*110*80</t>
    </r>
  </si>
  <si>
    <t xml:space="preserve">31222427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</si>
  <si>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13*55*85</t>
    </r>
  </si>
  <si>
    <t xml:space="preserve">31222430</t>
  </si>
  <si>
    <r>
      <rPr>
        <sz val="10"/>
        <rFont val="FreeSans"/>
        <family val="2"/>
      </rPr>
      <t xml:space="preserve">کاسه نمد دو لبه    </t>
    </r>
    <r>
      <rPr>
        <sz val="10"/>
        <rFont val="Vazirmatn"/>
        <family val="0"/>
        <charset val="1"/>
      </rPr>
      <t xml:space="preserve">12-65-92</t>
    </r>
  </si>
  <si>
    <t xml:space="preserve">31222434</t>
  </si>
  <si>
    <r>
      <rPr>
        <sz val="10"/>
        <rFont val="FreeSans"/>
        <family val="2"/>
      </rPr>
      <t xml:space="preserve">کاسه نمد          </t>
    </r>
    <r>
      <rPr>
        <sz val="10"/>
        <rFont val="Vazirmatn"/>
        <family val="0"/>
        <charset val="1"/>
      </rPr>
      <t xml:space="preserve">10-120- 85</t>
    </r>
  </si>
  <si>
    <t xml:space="preserve">31222436</t>
  </si>
  <si>
    <r>
      <rPr>
        <sz val="10"/>
        <rFont val="FreeSans"/>
        <family val="2"/>
      </rPr>
      <t xml:space="preserve">کاسه نمد          </t>
    </r>
    <r>
      <rPr>
        <sz val="10"/>
        <rFont val="Vazirmatn"/>
        <family val="0"/>
        <charset val="1"/>
      </rPr>
      <t xml:space="preserve">15*90*115</t>
    </r>
  </si>
  <si>
    <t xml:space="preserve">31222441</t>
  </si>
  <si>
    <r>
      <rPr>
        <sz val="10"/>
        <rFont val="FreeSans"/>
        <family val="2"/>
      </rPr>
      <t xml:space="preserve">کاسه نمد         </t>
    </r>
    <r>
      <rPr>
        <sz val="10"/>
        <rFont val="Vazirmatn"/>
        <family val="0"/>
        <charset val="1"/>
      </rPr>
      <t xml:space="preserve">13*120*90</t>
    </r>
  </si>
  <si>
    <t xml:space="preserve">31222443</t>
  </si>
  <si>
    <r>
      <rPr>
        <sz val="10"/>
        <rFont val="FreeSans"/>
        <family val="2"/>
      </rPr>
      <t xml:space="preserve">کاسه نمد             </t>
    </r>
    <r>
      <rPr>
        <sz val="10"/>
        <rFont val="Vazirmatn"/>
        <family val="0"/>
        <charset val="1"/>
      </rPr>
      <t xml:space="preserve">8*55*70</t>
    </r>
  </si>
  <si>
    <t xml:space="preserve">31222450</t>
  </si>
  <si>
    <r>
      <rPr>
        <sz val="10"/>
        <rFont val="FreeSans"/>
        <family val="2"/>
      </rPr>
      <t xml:space="preserve">کاسه نمد          </t>
    </r>
    <r>
      <rPr>
        <sz val="10"/>
        <rFont val="Vazirmatn"/>
        <family val="0"/>
        <charset val="1"/>
      </rPr>
      <t xml:space="preserve">13*100*65</t>
    </r>
  </si>
  <si>
    <t xml:space="preserve">31222453</t>
  </si>
  <si>
    <r>
      <rPr>
        <sz val="10"/>
        <rFont val="FreeSans"/>
        <family val="2"/>
      </rPr>
      <t xml:space="preserve">کاسه   نمد         </t>
    </r>
    <r>
      <rPr>
        <sz val="10"/>
        <rFont val="Vazirmatn"/>
        <family val="0"/>
        <charset val="1"/>
      </rPr>
      <t xml:space="preserve">12*90*120</t>
    </r>
  </si>
  <si>
    <t xml:space="preserve">31222454</t>
  </si>
  <si>
    <r>
      <rPr>
        <sz val="10"/>
        <rFont val="FreeSans"/>
        <family val="2"/>
      </rPr>
      <t xml:space="preserve">کاسه نمد           </t>
    </r>
    <r>
      <rPr>
        <sz val="10"/>
        <rFont val="Vazirmatn"/>
        <family val="0"/>
        <charset val="1"/>
      </rPr>
      <t xml:space="preserve">13*90*120</t>
    </r>
  </si>
  <si>
    <t xml:space="preserve">31222455</t>
  </si>
  <si>
    <r>
      <rPr>
        <sz val="10"/>
        <rFont val="FreeSans"/>
        <family val="2"/>
      </rPr>
      <t xml:space="preserve">کاسه نمد          </t>
    </r>
    <r>
      <rPr>
        <sz val="10"/>
        <rFont val="Vazirmatn"/>
        <family val="0"/>
        <charset val="1"/>
      </rPr>
      <t xml:space="preserve">13*125*95</t>
    </r>
  </si>
  <si>
    <t xml:space="preserve">31222457</t>
  </si>
  <si>
    <r>
      <rPr>
        <sz val="10"/>
        <rFont val="FreeSans"/>
        <family val="2"/>
      </rPr>
      <t xml:space="preserve">کاسه نمد     </t>
    </r>
    <r>
      <rPr>
        <sz val="10"/>
        <rFont val="Vazirmatn"/>
        <family val="0"/>
        <charset val="1"/>
      </rPr>
      <t xml:space="preserve">10*120*90</t>
    </r>
  </si>
  <si>
    <t xml:space="preserve">31222464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</si>
  <si>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10-78-100</t>
    </r>
  </si>
  <si>
    <t xml:space="preserve">31222467</t>
  </si>
  <si>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10-60-32</t>
    </r>
  </si>
  <si>
    <t xml:space="preserve">31222468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</si>
  <si>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10* 35* 57</t>
    </r>
  </si>
  <si>
    <t xml:space="preserve">31222469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</si>
  <si>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10* 38* 65</t>
    </r>
  </si>
  <si>
    <t xml:space="preserve">31222470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</si>
  <si>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12* 75* 48</t>
    </r>
  </si>
  <si>
    <t xml:space="preserve">31222472</t>
  </si>
  <si>
    <r>
      <rPr>
        <sz val="10"/>
        <rFont val="FreeSans"/>
        <family val="2"/>
      </rPr>
      <t xml:space="preserve">کاسه نمد   </t>
    </r>
    <r>
      <rPr>
        <sz val="10"/>
        <rFont val="Vazirmatn"/>
        <family val="0"/>
        <charset val="1"/>
      </rPr>
      <t xml:space="preserve">10* 70* 42</t>
    </r>
  </si>
  <si>
    <t xml:space="preserve">31222477</t>
  </si>
  <si>
    <r>
      <rPr>
        <sz val="10"/>
        <rFont val="FreeSans"/>
        <family val="2"/>
      </rPr>
      <t xml:space="preserve">کاسه نمد            </t>
    </r>
    <r>
      <rPr>
        <sz val="10"/>
        <rFont val="Vazirmatn"/>
        <family val="0"/>
        <charset val="1"/>
      </rPr>
      <t xml:space="preserve">12-60-110</t>
    </r>
  </si>
  <si>
    <t xml:space="preserve">31222480</t>
  </si>
  <si>
    <r>
      <rPr>
        <sz val="10"/>
        <rFont val="FreeSans"/>
        <family val="2"/>
      </rPr>
      <t xml:space="preserve">کاسه نمد           </t>
    </r>
    <r>
      <rPr>
        <sz val="10"/>
        <rFont val="Vazirmatn"/>
        <family val="0"/>
        <charset val="1"/>
      </rPr>
      <t xml:space="preserve">13*90*110</t>
    </r>
  </si>
  <si>
    <t xml:space="preserve">31222503</t>
  </si>
  <si>
    <r>
      <rPr>
        <sz val="10"/>
        <rFont val="FreeSans"/>
        <family val="2"/>
      </rPr>
      <t xml:space="preserve">کاسه نمد         </t>
    </r>
    <r>
      <rPr>
        <sz val="10"/>
        <rFont val="Vazirmatn"/>
        <family val="0"/>
        <charset val="1"/>
      </rPr>
      <t xml:space="preserve">14*150*180</t>
    </r>
  </si>
  <si>
    <t xml:space="preserve">31222506</t>
  </si>
  <si>
    <r>
      <rPr>
        <sz val="10"/>
        <rFont val="FreeSans"/>
        <family val="2"/>
      </rPr>
      <t xml:space="preserve">کاسه نمد         </t>
    </r>
    <r>
      <rPr>
        <sz val="10"/>
        <rFont val="Vazirmatn"/>
        <family val="0"/>
        <charset val="1"/>
      </rPr>
      <t xml:space="preserve">13*160*125</t>
    </r>
  </si>
  <si>
    <t xml:space="preserve">31222509</t>
  </si>
  <si>
    <r>
      <rPr>
        <sz val="10"/>
        <rFont val="FreeSans"/>
        <family val="2"/>
      </rPr>
      <t xml:space="preserve">کاسه نمد لاستیکی    </t>
    </r>
    <r>
      <rPr>
        <sz val="10"/>
        <rFont val="Vazirmatn"/>
        <family val="0"/>
        <charset val="1"/>
      </rPr>
      <t xml:space="preserve">14*150*190</t>
    </r>
  </si>
  <si>
    <t xml:space="preserve">31222510</t>
  </si>
  <si>
    <r>
      <rPr>
        <sz val="10"/>
        <rFont val="FreeSans"/>
        <family val="2"/>
      </rPr>
      <t xml:space="preserve">کاسه نمد      </t>
    </r>
    <r>
      <rPr>
        <sz val="10"/>
        <rFont val="Vazirmatn"/>
        <family val="0"/>
        <charset val="1"/>
      </rPr>
      <t xml:space="preserve">16 - 170 - 215</t>
    </r>
  </si>
  <si>
    <t xml:space="preserve">31222514</t>
  </si>
  <si>
    <r>
      <rPr>
        <sz val="10"/>
        <rFont val="FreeSans"/>
        <family val="2"/>
      </rPr>
      <t xml:space="preserve">کاسه نمد         </t>
    </r>
    <r>
      <rPr>
        <sz val="10"/>
        <rFont val="Vazirmatn"/>
        <family val="0"/>
        <charset val="1"/>
      </rPr>
      <t xml:space="preserve">16*170*216</t>
    </r>
  </si>
  <si>
    <t xml:space="preserve">31222528</t>
  </si>
  <si>
    <r>
      <rPr>
        <sz val="10"/>
        <rFont val="FreeSans"/>
        <family val="2"/>
      </rPr>
      <t xml:space="preserve">کاسه نمد  </t>
    </r>
    <r>
      <rPr>
        <sz val="10"/>
        <rFont val="Vazirmatn"/>
        <family val="0"/>
        <charset val="1"/>
      </rPr>
      <t xml:space="preserve">13 - 95 - 120</t>
    </r>
  </si>
  <si>
    <t xml:space="preserve">31222541</t>
  </si>
  <si>
    <r>
      <rPr>
        <sz val="10"/>
        <rFont val="FreeSans"/>
        <family val="2"/>
      </rPr>
      <t xml:space="preserve">کاسه نمد         </t>
    </r>
    <r>
      <rPr>
        <sz val="10"/>
        <rFont val="Vazirmatn"/>
        <family val="0"/>
        <charset val="1"/>
      </rPr>
      <t xml:space="preserve">14*100*160</t>
    </r>
  </si>
  <si>
    <t xml:space="preserve">31222543</t>
  </si>
  <si>
    <r>
      <rPr>
        <sz val="10"/>
        <rFont val="FreeSans"/>
        <family val="2"/>
      </rPr>
      <t xml:space="preserve">کاسه نمد         </t>
    </r>
    <r>
      <rPr>
        <sz val="10"/>
        <rFont val="Vazirmatn"/>
        <family val="0"/>
        <charset val="1"/>
      </rPr>
      <t xml:space="preserve">13*140*110</t>
    </r>
  </si>
  <si>
    <t xml:space="preserve">31222545</t>
  </si>
  <si>
    <r>
      <rPr>
        <sz val="10"/>
        <rFont val="FreeSans"/>
        <family val="2"/>
      </rPr>
      <t xml:space="preserve">کاسه  نمد       </t>
    </r>
    <r>
      <rPr>
        <sz val="10"/>
        <rFont val="Vazirmatn"/>
        <family val="0"/>
        <charset val="1"/>
      </rPr>
      <t xml:space="preserve">10 - 60 - 38</t>
    </r>
  </si>
  <si>
    <t xml:space="preserve">31222551</t>
  </si>
  <si>
    <r>
      <rPr>
        <sz val="10"/>
        <rFont val="FreeSans"/>
        <family val="2"/>
      </rPr>
      <t xml:space="preserve">کاسه نمد سپراتور  </t>
    </r>
    <r>
      <rPr>
        <sz val="10"/>
        <rFont val="Vazirmatn"/>
        <family val="0"/>
        <charset val="1"/>
      </rPr>
      <t xml:space="preserve">70781</t>
    </r>
  </si>
  <si>
    <t xml:space="preserve">31222555</t>
  </si>
  <si>
    <r>
      <rPr>
        <sz val="10"/>
        <rFont val="FreeSans"/>
        <family val="2"/>
      </rPr>
      <t xml:space="preserve">کاسه نمد فلزی   </t>
    </r>
    <r>
      <rPr>
        <sz val="10"/>
        <rFont val="Vazirmatn"/>
        <family val="0"/>
        <charset val="1"/>
      </rPr>
      <t xml:space="preserve">8*85*110</t>
    </r>
  </si>
  <si>
    <t xml:space="preserve">31223091</t>
  </si>
  <si>
    <r>
      <rPr>
        <sz val="10"/>
        <rFont val="FreeSans"/>
        <family val="2"/>
      </rPr>
      <t xml:space="preserve">اورینگ       </t>
    </r>
    <r>
      <rPr>
        <sz val="10"/>
        <rFont val="Vazirmatn"/>
        <family val="0"/>
        <charset val="1"/>
      </rPr>
      <t xml:space="preserve">164*180*8</t>
    </r>
  </si>
  <si>
    <t xml:space="preserve">31223092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</si>
  <si>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380-4-388</t>
    </r>
  </si>
  <si>
    <t xml:space="preserve">31223093</t>
  </si>
  <si>
    <r>
      <rPr>
        <sz val="10"/>
        <rFont val="FreeSans"/>
        <family val="2"/>
      </rPr>
      <t xml:space="preserve">اورینگ       </t>
    </r>
    <r>
      <rPr>
        <sz val="10"/>
        <rFont val="Vazirmatn"/>
        <family val="0"/>
        <charset val="1"/>
      </rPr>
      <t xml:space="preserve">80 * 5/5 * 69</t>
    </r>
  </si>
  <si>
    <t xml:space="preserve">31223095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</si>
  <si>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11/1 * 1/8 * 7/5</t>
    </r>
  </si>
  <si>
    <t xml:space="preserve">31223096</t>
  </si>
  <si>
    <r>
      <rPr>
        <sz val="10"/>
        <rFont val="FreeSans"/>
        <family val="2"/>
      </rPr>
      <t xml:space="preserve">اورینگ نازل واش باطری       </t>
    </r>
    <r>
      <rPr>
        <sz val="10"/>
        <rFont val="Vazirmatn"/>
        <family val="0"/>
        <charset val="1"/>
      </rPr>
      <t xml:space="preserve">23 * 2/5 * 18</t>
    </r>
  </si>
  <si>
    <t xml:space="preserve">31223099</t>
  </si>
  <si>
    <r>
      <rPr>
        <sz val="10"/>
        <rFont val="FreeSans"/>
        <family val="2"/>
      </rPr>
      <t xml:space="preserve">اورینگ      </t>
    </r>
    <r>
      <rPr>
        <sz val="10"/>
        <rFont val="Vazirmatn"/>
        <family val="0"/>
        <charset val="1"/>
      </rPr>
      <t xml:space="preserve">81/6 * 5/3 * 71</t>
    </r>
  </si>
  <si>
    <t xml:space="preserve">31223100</t>
  </si>
  <si>
    <r>
      <rPr>
        <sz val="10"/>
        <rFont val="FreeSans"/>
        <family val="2"/>
      </rPr>
      <t xml:space="preserve">اورینگ      </t>
    </r>
    <r>
      <rPr>
        <sz val="10"/>
        <rFont val="Vazirmatn"/>
        <family val="0"/>
        <charset val="1"/>
      </rPr>
      <t xml:space="preserve">125 * 3/5 * 118</t>
    </r>
  </si>
  <si>
    <t xml:space="preserve">31223101</t>
  </si>
  <si>
    <r>
      <rPr>
        <sz val="10"/>
        <rFont val="FreeSans"/>
        <family val="2"/>
      </rPr>
      <t xml:space="preserve">اورینگ لاستیکی نازل واش باطری </t>
    </r>
    <r>
      <rPr>
        <sz val="10"/>
        <rFont val="Vazirmatn"/>
        <family val="0"/>
        <charset val="1"/>
      </rPr>
      <t xml:space="preserve">2/5 * 18</t>
    </r>
  </si>
  <si>
    <t xml:space="preserve">31223103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</si>
  <si>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239 * 7 * 225</t>
    </r>
  </si>
  <si>
    <t xml:space="preserve">31223104</t>
  </si>
  <si>
    <r>
      <rPr>
        <sz val="10"/>
        <rFont val="FreeSans"/>
        <family val="2"/>
      </rPr>
      <t xml:space="preserve">اورینگ          </t>
    </r>
    <r>
      <rPr>
        <sz val="10"/>
        <rFont val="Vazirmatn"/>
        <family val="0"/>
        <charset val="1"/>
      </rPr>
      <t xml:space="preserve">50 * 2/5 * 45</t>
    </r>
  </si>
  <si>
    <t xml:space="preserve">31223105</t>
  </si>
  <si>
    <r>
      <rPr>
        <sz val="10"/>
        <rFont val="FreeSans"/>
        <family val="2"/>
      </rPr>
      <t xml:space="preserve">اورینگ دکانتور  </t>
    </r>
    <r>
      <rPr>
        <sz val="10"/>
        <rFont val="Vazirmatn"/>
        <family val="0"/>
        <charset val="1"/>
      </rPr>
      <t xml:space="preserve">830 - 1997 - 0007</t>
    </r>
  </si>
  <si>
    <t xml:space="preserve">31223107</t>
  </si>
  <si>
    <r>
      <rPr>
        <sz val="10"/>
        <rFont val="FreeSans"/>
        <family val="2"/>
      </rPr>
      <t xml:space="preserve">اورینگ             </t>
    </r>
    <r>
      <rPr>
        <sz val="10"/>
        <rFont val="Vazirmatn"/>
        <family val="0"/>
        <charset val="1"/>
      </rPr>
      <t xml:space="preserve">82 * 5 * 72</t>
    </r>
  </si>
  <si>
    <t xml:space="preserve">31223110</t>
  </si>
  <si>
    <r>
      <rPr>
        <sz val="10"/>
        <rFont val="FreeSans"/>
        <family val="2"/>
      </rPr>
      <t xml:space="preserve">اورینگ                </t>
    </r>
    <r>
      <rPr>
        <sz val="10"/>
        <rFont val="Vazirmatn"/>
        <family val="0"/>
        <charset val="1"/>
      </rPr>
      <t xml:space="preserve">35 * 3 * 29</t>
    </r>
  </si>
  <si>
    <t xml:space="preserve">31223114</t>
  </si>
  <si>
    <r>
      <rPr>
        <sz val="10"/>
        <rFont val="FreeSans"/>
        <family val="2"/>
      </rPr>
      <t xml:space="preserve">اورینگ         </t>
    </r>
    <r>
      <rPr>
        <sz val="10"/>
        <rFont val="Vazirmatn"/>
        <family val="0"/>
        <charset val="1"/>
      </rPr>
      <t xml:space="preserve">227 * 4/5 * 218</t>
    </r>
  </si>
  <si>
    <t xml:space="preserve">31223117</t>
  </si>
  <si>
    <r>
      <rPr>
        <sz val="10"/>
        <rFont val="FreeSans"/>
        <family val="2"/>
      </rPr>
      <t xml:space="preserve">اورینگ            </t>
    </r>
    <r>
      <rPr>
        <sz val="10"/>
        <rFont val="Vazirmatn"/>
        <family val="0"/>
        <charset val="1"/>
      </rPr>
      <t xml:space="preserve">116 * 3 * 110</t>
    </r>
  </si>
  <si>
    <t xml:space="preserve">31223119</t>
  </si>
  <si>
    <r>
      <rPr>
        <sz val="10"/>
        <rFont val="FreeSans"/>
        <family val="2"/>
      </rPr>
      <t xml:space="preserve">اورینگ 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سپراتور تغلیظ</t>
    </r>
    <r>
      <rPr>
        <sz val="10"/>
        <rFont val="Vazirmatn"/>
        <family val="0"/>
        <charset val="1"/>
      </rPr>
      <t xml:space="preserve">)        560 * 10 * 540</t>
    </r>
  </si>
  <si>
    <t xml:space="preserve">31223120</t>
  </si>
  <si>
    <r>
      <rPr>
        <sz val="10"/>
        <rFont val="FreeSans"/>
        <family val="2"/>
      </rPr>
      <t xml:space="preserve">اورینگ            </t>
    </r>
    <r>
      <rPr>
        <sz val="10"/>
        <rFont val="Vazirmatn"/>
        <family val="0"/>
        <charset val="1"/>
      </rPr>
      <t xml:space="preserve">256 * 3 * 250</t>
    </r>
  </si>
  <si>
    <t xml:space="preserve">31223121</t>
  </si>
  <si>
    <r>
      <rPr>
        <sz val="10"/>
        <rFont val="FreeSans"/>
        <family val="2"/>
      </rPr>
      <t xml:space="preserve">اورینگ         </t>
    </r>
    <r>
      <rPr>
        <sz val="10"/>
        <rFont val="Vazirmatn"/>
        <family val="0"/>
        <charset val="1"/>
      </rPr>
      <t xml:space="preserve">365-8/5-382</t>
    </r>
  </si>
  <si>
    <t xml:space="preserve">31223123</t>
  </si>
  <si>
    <r>
      <rPr>
        <sz val="10"/>
        <rFont val="FreeSans"/>
        <family val="2"/>
      </rPr>
      <t xml:space="preserve">اورینگ            </t>
    </r>
    <r>
      <rPr>
        <sz val="10"/>
        <rFont val="Vazirmatn"/>
        <family val="0"/>
        <charset val="1"/>
      </rPr>
      <t xml:space="preserve">418 * 4 * 410</t>
    </r>
  </si>
  <si>
    <t xml:space="preserve">31223126</t>
  </si>
  <si>
    <r>
      <rPr>
        <sz val="10"/>
        <rFont val="FreeSans"/>
        <family val="2"/>
      </rPr>
      <t xml:space="preserve">اورینگ                </t>
    </r>
    <r>
      <rPr>
        <sz val="10"/>
        <rFont val="Vazirmatn"/>
        <family val="0"/>
        <charset val="1"/>
      </rPr>
      <t xml:space="preserve">61 * 3 * 55</t>
    </r>
  </si>
  <si>
    <t xml:space="preserve">31223132</t>
  </si>
  <si>
    <r>
      <rPr>
        <sz val="10"/>
        <rFont val="FreeSans"/>
        <family val="2"/>
      </rPr>
      <t xml:space="preserve">گسکت بدنه دکانتور </t>
    </r>
    <r>
      <rPr>
        <sz val="10"/>
        <rFont val="Vazirmatn"/>
        <family val="0"/>
        <charset val="1"/>
      </rPr>
      <t xml:space="preserve">070 - 1005 - 8417</t>
    </r>
  </si>
  <si>
    <t xml:space="preserve">31223134</t>
  </si>
  <si>
    <r>
      <rPr>
        <sz val="10"/>
        <rFont val="FreeSans"/>
        <family val="2"/>
      </rPr>
      <t xml:space="preserve">اورینگ               </t>
    </r>
    <r>
      <rPr>
        <sz val="10"/>
        <rFont val="Vazirmatn"/>
        <family val="0"/>
        <charset val="1"/>
      </rPr>
      <t xml:space="preserve">448 * 8 * 432</t>
    </r>
  </si>
  <si>
    <t xml:space="preserve">31223135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</si>
  <si>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830 - 2168 - 0007</t>
    </r>
  </si>
  <si>
    <t xml:space="preserve">31223136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</si>
  <si>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830 - 2924 - 0007</t>
    </r>
  </si>
  <si>
    <t xml:space="preserve">31223137</t>
  </si>
  <si>
    <r>
      <rPr>
        <sz val="10"/>
        <rFont val="FreeSans"/>
        <family val="2"/>
      </rPr>
      <t xml:space="preserve">اورینگ                   </t>
    </r>
    <r>
      <rPr>
        <sz val="10"/>
        <rFont val="Vazirmatn"/>
        <family val="0"/>
        <charset val="1"/>
      </rPr>
      <t xml:space="preserve">30 * 6 * 18</t>
    </r>
  </si>
  <si>
    <t xml:space="preserve">31223139</t>
  </si>
  <si>
    <r>
      <rPr>
        <sz val="10"/>
        <rFont val="FreeSans"/>
        <family val="2"/>
      </rPr>
      <t xml:space="preserve">اورینگ                           </t>
    </r>
    <r>
      <rPr>
        <sz val="10"/>
        <rFont val="Vazirmatn"/>
        <family val="0"/>
        <charset val="1"/>
      </rPr>
      <t xml:space="preserve">35-3-41</t>
    </r>
  </si>
  <si>
    <t xml:space="preserve">31223140</t>
  </si>
  <si>
    <r>
      <rPr>
        <sz val="10"/>
        <rFont val="FreeSans"/>
        <family val="2"/>
      </rPr>
      <t xml:space="preserve">اورینگ                   </t>
    </r>
    <r>
      <rPr>
        <sz val="10"/>
        <rFont val="Vazirmatn"/>
        <family val="0"/>
        <charset val="1"/>
      </rPr>
      <t xml:space="preserve">24 * 3 * 18</t>
    </r>
  </si>
  <si>
    <t xml:space="preserve">31223142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</si>
  <si>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65-5-75</t>
    </r>
  </si>
  <si>
    <t xml:space="preserve">31223147</t>
  </si>
  <si>
    <r>
      <rPr>
        <sz val="10"/>
        <rFont val="FreeSans"/>
        <family val="2"/>
      </rPr>
      <t xml:space="preserve">گسکت دکانتور </t>
    </r>
    <r>
      <rPr>
        <sz val="10"/>
        <rFont val="Vazirmatn"/>
        <family val="0"/>
        <charset val="1"/>
      </rPr>
      <t xml:space="preserve">768 - 2051 - 0004</t>
    </r>
  </si>
  <si>
    <t xml:space="preserve">31223148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</si>
  <si>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390 - 2392 - 0007</t>
    </r>
  </si>
  <si>
    <t xml:space="preserve">31223152</t>
  </si>
  <si>
    <r>
      <rPr>
        <sz val="10"/>
        <rFont val="FreeSans"/>
        <family val="2"/>
      </rPr>
      <t xml:space="preserve">اورینگ                </t>
    </r>
    <r>
      <rPr>
        <sz val="10"/>
        <rFont val="Vazirmatn"/>
        <family val="0"/>
        <charset val="1"/>
      </rPr>
      <t xml:space="preserve">31 * 3/5 * 24</t>
    </r>
  </si>
  <si>
    <t xml:space="preserve">31223154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</si>
  <si>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390 - 2505 - 0007</t>
    </r>
  </si>
  <si>
    <t xml:space="preserve">31223155</t>
  </si>
  <si>
    <r>
      <rPr>
        <sz val="10"/>
        <rFont val="FreeSans"/>
        <family val="2"/>
      </rPr>
      <t xml:space="preserve">اورینگ                </t>
    </r>
    <r>
      <rPr>
        <sz val="10"/>
        <rFont val="Vazirmatn"/>
        <family val="0"/>
        <charset val="1"/>
      </rPr>
      <t xml:space="preserve">180 * 4 * 172</t>
    </r>
  </si>
  <si>
    <t xml:space="preserve">31223157</t>
  </si>
  <si>
    <r>
      <rPr>
        <sz val="10"/>
        <rFont val="FreeSans"/>
        <family val="2"/>
      </rPr>
      <t xml:space="preserve">اورینگ    </t>
    </r>
    <r>
      <rPr>
        <sz val="10"/>
        <rFont val="Vazirmatn"/>
        <family val="0"/>
        <charset val="1"/>
      </rPr>
      <t xml:space="preserve">TL   22-500</t>
    </r>
  </si>
  <si>
    <t xml:space="preserve">31223159</t>
  </si>
  <si>
    <r>
      <rPr>
        <sz val="10"/>
        <rFont val="FreeSans"/>
        <family val="2"/>
      </rPr>
      <t xml:space="preserve">اورینگ 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کاسه سپراتور</t>
    </r>
    <r>
      <rPr>
        <sz val="10"/>
        <rFont val="Vazirmatn"/>
        <family val="0"/>
        <charset val="1"/>
      </rPr>
      <t xml:space="preserve">)  400 - 10 - 380</t>
    </r>
  </si>
  <si>
    <t xml:space="preserve">31223160</t>
  </si>
  <si>
    <r>
      <rPr>
        <sz val="10"/>
        <rFont val="FreeSans"/>
        <family val="2"/>
      </rPr>
      <t xml:space="preserve">اورینگ    </t>
    </r>
    <r>
      <rPr>
        <sz val="10"/>
        <rFont val="Vazirmatn"/>
        <family val="0"/>
        <charset val="1"/>
      </rPr>
      <t xml:space="preserve">71 - 3 - 65</t>
    </r>
  </si>
  <si>
    <t xml:space="preserve">31223162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</si>
  <si>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390 - 1928 - 0007</t>
    </r>
  </si>
  <si>
    <t xml:space="preserve">31223163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</si>
  <si>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520 - 3659 - 0007</t>
    </r>
  </si>
  <si>
    <t xml:space="preserve">31223164</t>
  </si>
  <si>
    <r>
      <rPr>
        <sz val="10"/>
        <rFont val="FreeSans"/>
        <family val="2"/>
      </rPr>
      <t xml:space="preserve">اورینگ دکانتور  </t>
    </r>
    <r>
      <rPr>
        <sz val="10"/>
        <rFont val="Vazirmatn"/>
        <family val="0"/>
        <charset val="1"/>
      </rPr>
      <t xml:space="preserve">830 - 2170 - 0007</t>
    </r>
  </si>
  <si>
    <t xml:space="preserve">31223165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</si>
  <si>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520 - 3650 - 0007</t>
    </r>
  </si>
  <si>
    <t xml:space="preserve">31223166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</si>
  <si>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750 - 2003 - 0007</t>
    </r>
  </si>
  <si>
    <t xml:space="preserve">31223169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</si>
  <si>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520 - 2003 - 0007</t>
    </r>
  </si>
  <si>
    <t xml:space="preserve">31223170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</si>
  <si>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270 - 3369 - 0004</t>
    </r>
  </si>
  <si>
    <t xml:space="preserve">31223171</t>
  </si>
  <si>
    <r>
      <rPr>
        <sz val="10"/>
        <rFont val="FreeSans"/>
        <family val="2"/>
      </rPr>
      <t xml:space="preserve">گسکت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واشر</t>
    </r>
    <r>
      <rPr>
        <sz val="10"/>
        <rFont val="Vazirmatn"/>
        <family val="0"/>
        <charset val="1"/>
      </rPr>
      <t xml:space="preserve">)</t>
    </r>
    <r>
      <rPr>
        <sz val="10"/>
        <rFont val="FreeSans"/>
        <family val="2"/>
      </rPr>
      <t xml:space="preserve">دکانتور  </t>
    </r>
    <r>
      <rPr>
        <sz val="10"/>
        <rFont val="Vazirmatn"/>
        <family val="0"/>
        <charset val="1"/>
      </rPr>
      <t xml:space="preserve">300 - 3377 - 0004</t>
    </r>
  </si>
  <si>
    <t xml:space="preserve">31223172</t>
  </si>
  <si>
    <r>
      <rPr>
        <sz val="10"/>
        <rFont val="FreeSans"/>
        <family val="2"/>
      </rPr>
      <t xml:space="preserve">گسکت اسکرول دکانتور  </t>
    </r>
    <r>
      <rPr>
        <sz val="10"/>
        <rFont val="Vazirmatn"/>
        <family val="0"/>
        <charset val="1"/>
      </rPr>
      <t xml:space="preserve">040 - 6006 - 8417</t>
    </r>
  </si>
  <si>
    <t xml:space="preserve">31223173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</si>
  <si>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380 - 1722 - 0007</t>
    </r>
  </si>
  <si>
    <t xml:space="preserve">31223175</t>
  </si>
  <si>
    <r>
      <rPr>
        <sz val="10"/>
        <rFont val="FreeSans"/>
        <family val="2"/>
      </rPr>
      <t xml:space="preserve">گسکت خط تغذیه دکانتور  </t>
    </r>
    <r>
      <rPr>
        <sz val="10"/>
        <rFont val="Vazirmatn"/>
        <family val="0"/>
        <charset val="1"/>
      </rPr>
      <t xml:space="preserve">110 - 2030 - 8418</t>
    </r>
  </si>
  <si>
    <t xml:space="preserve">31223176</t>
  </si>
  <si>
    <r>
      <rPr>
        <sz val="10"/>
        <rFont val="FreeSans"/>
        <family val="2"/>
      </rPr>
      <t xml:space="preserve">اورینگ دکانتور  </t>
    </r>
    <r>
      <rPr>
        <sz val="10"/>
        <rFont val="Vazirmatn"/>
        <family val="0"/>
        <charset val="1"/>
      </rPr>
      <t xml:space="preserve">520 - 3572 - 0007</t>
    </r>
  </si>
  <si>
    <t xml:space="preserve">31223177</t>
  </si>
  <si>
    <r>
      <rPr>
        <sz val="10"/>
        <rFont val="FreeSans"/>
        <family val="2"/>
      </rPr>
      <t xml:space="preserve">گسکت تخلیه دکانتور  </t>
    </r>
    <r>
      <rPr>
        <sz val="10"/>
        <rFont val="Vazirmatn"/>
        <family val="0"/>
        <charset val="1"/>
      </rPr>
      <t xml:space="preserve">170 - 2031 - 8418</t>
    </r>
  </si>
  <si>
    <t xml:space="preserve">31223183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</si>
  <si>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2/5 * 100 * 105</t>
    </r>
  </si>
  <si>
    <t xml:space="preserve">31223187</t>
  </si>
  <si>
    <r>
      <rPr>
        <sz val="10"/>
        <rFont val="FreeSans"/>
        <family val="2"/>
      </rPr>
      <t xml:space="preserve">اورینگ          </t>
    </r>
    <r>
      <rPr>
        <sz val="10"/>
        <rFont val="Vazirmatn"/>
        <family val="0"/>
        <charset val="1"/>
      </rPr>
      <t xml:space="preserve">142/6 * 5/3 * 132</t>
    </r>
  </si>
  <si>
    <t xml:space="preserve">31223188</t>
  </si>
  <si>
    <r>
      <rPr>
        <sz val="10"/>
        <rFont val="FreeSans"/>
        <family val="2"/>
      </rPr>
      <t xml:space="preserve">اورینگ          </t>
    </r>
    <r>
      <rPr>
        <sz val="10"/>
        <rFont val="Vazirmatn"/>
        <family val="0"/>
        <charset val="1"/>
      </rPr>
      <t xml:space="preserve">132/6 * 5/3 * 122</t>
    </r>
  </si>
  <si>
    <t xml:space="preserve">31223189</t>
  </si>
  <si>
    <r>
      <rPr>
        <sz val="10"/>
        <rFont val="FreeSans"/>
        <family val="2"/>
      </rPr>
      <t xml:space="preserve">اورینگ              </t>
    </r>
    <r>
      <rPr>
        <sz val="10"/>
        <rFont val="Vazirmatn"/>
        <family val="0"/>
        <charset val="1"/>
      </rPr>
      <t xml:space="preserve">175 * 2/5 * 170</t>
    </r>
  </si>
  <si>
    <t xml:space="preserve">31223190</t>
  </si>
  <si>
    <r>
      <rPr>
        <sz val="10"/>
        <rFont val="FreeSans"/>
        <family val="2"/>
      </rPr>
      <t xml:space="preserve">گردگیر                   </t>
    </r>
    <r>
      <rPr>
        <sz val="10"/>
        <rFont val="Vazirmatn"/>
        <family val="0"/>
        <charset val="1"/>
      </rPr>
      <t xml:space="preserve">85 * 10 * 65</t>
    </r>
  </si>
  <si>
    <t xml:space="preserve">31223191</t>
  </si>
  <si>
    <r>
      <rPr>
        <sz val="10"/>
        <rFont val="FreeSans"/>
        <family val="2"/>
      </rPr>
      <t xml:space="preserve">اورینگ          </t>
    </r>
    <r>
      <rPr>
        <sz val="10"/>
        <rFont val="Vazirmatn"/>
        <family val="0"/>
        <charset val="1"/>
      </rPr>
      <t xml:space="preserve">110/6 * 5/3 * 100</t>
    </r>
  </si>
  <si>
    <t xml:space="preserve">31223192</t>
  </si>
  <si>
    <r>
      <rPr>
        <sz val="10"/>
        <rFont val="FreeSans"/>
        <family val="2"/>
      </rPr>
      <t xml:space="preserve">گردگیر                     </t>
    </r>
    <r>
      <rPr>
        <sz val="10"/>
        <rFont val="Vazirmatn"/>
        <family val="0"/>
        <charset val="1"/>
      </rPr>
      <t xml:space="preserve">30 * 5 * 20</t>
    </r>
  </si>
  <si>
    <t xml:space="preserve">31223193</t>
  </si>
  <si>
    <r>
      <rPr>
        <sz val="10"/>
        <rFont val="FreeSans"/>
        <family val="2"/>
      </rPr>
      <t xml:space="preserve">اورینگ لاستیکی </t>
    </r>
    <r>
      <rPr>
        <sz val="10"/>
        <rFont val="Vazirmatn"/>
        <family val="0"/>
        <charset val="1"/>
      </rPr>
      <t xml:space="preserve">3/55 * 33/5 (</t>
    </r>
    <r>
      <rPr>
        <sz val="10"/>
        <rFont val="FreeSans"/>
        <family val="2"/>
      </rPr>
      <t xml:space="preserve">دستگاه پیلر چینی</t>
    </r>
    <r>
      <rPr>
        <sz val="10"/>
        <rFont val="Vazirmatn"/>
        <family val="0"/>
        <charset val="1"/>
      </rPr>
      <t xml:space="preserve">)</t>
    </r>
  </si>
  <si>
    <t xml:space="preserve">31223196</t>
  </si>
  <si>
    <r>
      <rPr>
        <sz val="10"/>
        <rFont val="FreeSans"/>
        <family val="2"/>
      </rPr>
      <t xml:space="preserve">اورینگ                </t>
    </r>
    <r>
      <rPr>
        <sz val="10"/>
        <rFont val="Vazirmatn"/>
        <family val="0"/>
        <charset val="1"/>
      </rPr>
      <t xml:space="preserve">90 * 3/5 * 83</t>
    </r>
  </si>
  <si>
    <t xml:space="preserve">31223198</t>
  </si>
  <si>
    <r>
      <rPr>
        <sz val="10"/>
        <rFont val="FreeSans"/>
        <family val="2"/>
      </rPr>
      <t xml:space="preserve">اورینگ                 </t>
    </r>
    <r>
      <rPr>
        <sz val="10"/>
        <rFont val="Vazirmatn"/>
        <family val="0"/>
        <charset val="1"/>
      </rPr>
      <t xml:space="preserve">82 * 3/5 * 75</t>
    </r>
  </si>
  <si>
    <t xml:space="preserve">31223199</t>
  </si>
  <si>
    <r>
      <rPr>
        <sz val="10"/>
        <rFont val="FreeSans"/>
        <family val="2"/>
      </rPr>
      <t xml:space="preserve">اورینگ                 </t>
    </r>
    <r>
      <rPr>
        <sz val="10"/>
        <rFont val="Vazirmatn"/>
        <family val="0"/>
        <charset val="1"/>
      </rPr>
      <t xml:space="preserve">330 * 7 * 316</t>
    </r>
  </si>
  <si>
    <t xml:space="preserve">31223203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</si>
  <si>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10 * 168 * 148</t>
    </r>
  </si>
  <si>
    <t xml:space="preserve">31223204</t>
  </si>
  <si>
    <r>
      <rPr>
        <sz val="10"/>
        <rFont val="FreeSans"/>
        <family val="2"/>
      </rPr>
      <t xml:space="preserve">اورینگ      </t>
    </r>
    <r>
      <rPr>
        <sz val="10"/>
        <rFont val="Vazirmatn"/>
        <family val="0"/>
        <charset val="1"/>
      </rPr>
      <t xml:space="preserve">64 * 2 * 60</t>
    </r>
  </si>
  <si>
    <t xml:space="preserve">31223207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</si>
  <si>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293 * 4 * 285</t>
    </r>
  </si>
  <si>
    <t xml:space="preserve">31223213</t>
  </si>
  <si>
    <r>
      <rPr>
        <sz val="10"/>
        <rFont val="FreeSans"/>
        <family val="2"/>
      </rPr>
      <t xml:space="preserve">اورینگ          </t>
    </r>
    <r>
      <rPr>
        <sz val="10"/>
        <rFont val="Vazirmatn"/>
        <family val="0"/>
        <charset val="1"/>
      </rPr>
      <t xml:space="preserve">19 * 2 * 15</t>
    </r>
  </si>
  <si>
    <t xml:space="preserve">31223214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</si>
  <si>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433 * 4 * 425</t>
    </r>
  </si>
  <si>
    <t xml:space="preserve">31223224</t>
  </si>
  <si>
    <r>
      <rPr>
        <sz val="10"/>
        <rFont val="FreeSans"/>
        <family val="2"/>
      </rPr>
      <t xml:space="preserve">اورینگ                     </t>
    </r>
    <r>
      <rPr>
        <sz val="10"/>
        <rFont val="Vazirmatn"/>
        <family val="0"/>
        <charset val="1"/>
      </rPr>
      <t xml:space="preserve">86 * 5 * 76</t>
    </r>
  </si>
  <si>
    <t xml:space="preserve">31223227</t>
  </si>
  <si>
    <r>
      <rPr>
        <sz val="10"/>
        <rFont val="FreeSans"/>
        <family val="2"/>
      </rPr>
      <t xml:space="preserve">اورینگ لاستیکی   </t>
    </r>
    <r>
      <rPr>
        <sz val="10"/>
        <rFont val="Vazirmatn"/>
        <family val="0"/>
        <charset val="1"/>
      </rPr>
      <t xml:space="preserve">74 * 4/5 * 65</t>
    </r>
  </si>
  <si>
    <t xml:space="preserve">31223229</t>
  </si>
  <si>
    <r>
      <rPr>
        <sz val="10"/>
        <rFont val="FreeSans"/>
        <family val="2"/>
      </rPr>
      <t xml:space="preserve">اورینگ                       </t>
    </r>
    <r>
      <rPr>
        <sz val="10"/>
        <rFont val="Vazirmatn"/>
        <family val="0"/>
        <charset val="1"/>
      </rPr>
      <t xml:space="preserve">40 * 3 * 34</t>
    </r>
  </si>
  <si>
    <t xml:space="preserve">31223230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</si>
  <si>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21 * 2 * 17</t>
    </r>
  </si>
  <si>
    <t xml:space="preserve">31223231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</si>
  <si>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7 * 230 * 244</t>
    </r>
  </si>
  <si>
    <t xml:space="preserve">31223232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</si>
  <si>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7 * 300 * 314</t>
    </r>
  </si>
  <si>
    <t xml:space="preserve">31223234</t>
  </si>
  <si>
    <t xml:space="preserve">گردگیر ترمز لنت رینولد</t>
  </si>
  <si>
    <t xml:space="preserve">31223235</t>
  </si>
  <si>
    <r>
      <rPr>
        <sz val="10"/>
        <rFont val="FreeSans"/>
        <family val="2"/>
      </rPr>
      <t xml:space="preserve">گردگیر    </t>
    </r>
    <r>
      <rPr>
        <sz val="10"/>
        <rFont val="Vazirmatn"/>
        <family val="0"/>
        <charset val="1"/>
      </rPr>
      <t xml:space="preserve">4 * 112 * 120</t>
    </r>
  </si>
  <si>
    <t xml:space="preserve">31223237</t>
  </si>
  <si>
    <r>
      <rPr>
        <sz val="10"/>
        <rFont val="FreeSans"/>
        <family val="2"/>
      </rPr>
      <t xml:space="preserve">مجموعه گسکت کاسه دکانتور  </t>
    </r>
    <r>
      <rPr>
        <sz val="10"/>
        <rFont val="Vazirmatn"/>
        <family val="0"/>
        <charset val="1"/>
      </rPr>
      <t xml:space="preserve">210 - 6007 - 8417</t>
    </r>
  </si>
  <si>
    <t xml:space="preserve">31223241</t>
  </si>
  <si>
    <r>
      <rPr>
        <sz val="10"/>
        <rFont val="FreeSans"/>
        <family val="2"/>
      </rPr>
      <t xml:space="preserve">گردگیر    </t>
    </r>
    <r>
      <rPr>
        <sz val="10"/>
        <rFont val="Vazirmatn"/>
        <family val="0"/>
        <charset val="1"/>
      </rPr>
      <t xml:space="preserve">5 * 45 * 52</t>
    </r>
  </si>
  <si>
    <t xml:space="preserve">31223242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</si>
  <si>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520 - 2701 - 0007</t>
    </r>
  </si>
  <si>
    <t xml:space="preserve">31223243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</si>
  <si>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780 - 5283 - 0004</t>
    </r>
  </si>
  <si>
    <t xml:space="preserve">31223244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</si>
  <si>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520 - 2170 - 0007</t>
    </r>
  </si>
  <si>
    <t xml:space="preserve">31223245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</si>
  <si>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750 - 1996 - 0007</t>
    </r>
  </si>
  <si>
    <t xml:space="preserve">31223246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</si>
  <si>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520 - 3600 - 0007</t>
    </r>
  </si>
  <si>
    <t xml:space="preserve">31223247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</si>
  <si>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520 - 1861 - 0007</t>
    </r>
  </si>
  <si>
    <t xml:space="preserve">31223248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</si>
  <si>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520 - 2862 - 0007</t>
    </r>
  </si>
  <si>
    <t xml:space="preserve">31223249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</si>
  <si>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520 - 2597 - 0007</t>
    </r>
  </si>
  <si>
    <t xml:space="preserve">31223254</t>
  </si>
  <si>
    <r>
      <rPr>
        <sz val="10"/>
        <rFont val="FreeSans"/>
        <family val="2"/>
      </rPr>
      <t xml:space="preserve">اورینگ      </t>
    </r>
    <r>
      <rPr>
        <sz val="10"/>
        <rFont val="Vazirmatn"/>
        <family val="0"/>
        <charset val="1"/>
      </rPr>
      <t xml:space="preserve">74 * 2 * 70</t>
    </r>
  </si>
  <si>
    <t xml:space="preserve">31223264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</si>
  <si>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520 - 2646 - 0007</t>
    </r>
  </si>
  <si>
    <t xml:space="preserve">31223265</t>
  </si>
  <si>
    <r>
      <rPr>
        <sz val="10"/>
        <rFont val="FreeSans"/>
        <family val="2"/>
      </rPr>
      <t xml:space="preserve">اورینگ دکانتور  </t>
    </r>
    <r>
      <rPr>
        <sz val="10"/>
        <rFont val="Vazirmatn"/>
        <family val="0"/>
        <charset val="1"/>
      </rPr>
      <t xml:space="preserve">750 - 2942 - 0007</t>
    </r>
  </si>
  <si>
    <t xml:space="preserve">31223266</t>
  </si>
  <si>
    <r>
      <rPr>
        <sz val="10"/>
        <rFont val="FreeSans"/>
        <family val="2"/>
      </rPr>
      <t xml:space="preserve">اورینگ                       </t>
    </r>
    <r>
      <rPr>
        <sz val="10"/>
        <rFont val="Vazirmatn"/>
        <family val="0"/>
        <charset val="1"/>
      </rPr>
      <t xml:space="preserve">192 * 6 * 180</t>
    </r>
  </si>
  <si>
    <t xml:space="preserve">31223267</t>
  </si>
  <si>
    <r>
      <rPr>
        <sz val="10"/>
        <rFont val="FreeSans"/>
        <family val="2"/>
      </rPr>
      <t xml:space="preserve">اورینگ دکانتور  </t>
    </r>
    <r>
      <rPr>
        <sz val="10"/>
        <rFont val="Vazirmatn"/>
        <family val="0"/>
        <charset val="1"/>
      </rPr>
      <t xml:space="preserve">390 - 3875 - 0007</t>
    </r>
  </si>
  <si>
    <t xml:space="preserve">31223268</t>
  </si>
  <si>
    <r>
      <rPr>
        <sz val="10"/>
        <rFont val="FreeSans"/>
        <family val="2"/>
      </rPr>
      <t xml:space="preserve">اورینگ      </t>
    </r>
    <r>
      <rPr>
        <sz val="10"/>
        <rFont val="Vazirmatn"/>
        <family val="0"/>
        <charset val="1"/>
      </rPr>
      <t xml:space="preserve">22 * 3 * 16</t>
    </r>
  </si>
  <si>
    <t xml:space="preserve">31223269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</si>
  <si>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830 - 2578 - 0007</t>
    </r>
  </si>
  <si>
    <t xml:space="preserve">31223270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</si>
  <si>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520 - 2092 - 0007</t>
    </r>
  </si>
  <si>
    <t xml:space="preserve">31223271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</si>
  <si>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520 - 2018 - 0007</t>
    </r>
  </si>
  <si>
    <t xml:space="preserve">31223272</t>
  </si>
  <si>
    <r>
      <rPr>
        <sz val="10"/>
        <rFont val="FreeSans"/>
        <family val="2"/>
      </rPr>
      <t xml:space="preserve">اورینگ                            </t>
    </r>
    <r>
      <rPr>
        <sz val="10"/>
        <rFont val="Vazirmatn"/>
        <family val="0"/>
        <charset val="1"/>
      </rPr>
      <t xml:space="preserve">42 * 2 * 38</t>
    </r>
  </si>
  <si>
    <t xml:space="preserve">31223275</t>
  </si>
  <si>
    <r>
      <rPr>
        <sz val="10"/>
        <rFont val="FreeSans"/>
        <family val="2"/>
      </rPr>
      <t xml:space="preserve">اورینگ داخل چاک دار   </t>
    </r>
    <r>
      <rPr>
        <sz val="10"/>
        <rFont val="Vazirmatn"/>
        <family val="0"/>
        <charset val="1"/>
      </rPr>
      <t xml:space="preserve">50 * 15 * 72</t>
    </r>
  </si>
  <si>
    <t xml:space="preserve">31223276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</si>
  <si>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520 - 2596 - 0007</t>
    </r>
  </si>
  <si>
    <t xml:space="preserve">31223277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</si>
  <si>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520 - 2927 - 0007</t>
    </r>
  </si>
  <si>
    <t xml:space="preserve">31223279</t>
  </si>
  <si>
    <r>
      <rPr>
        <sz val="10"/>
        <rFont val="FreeSans"/>
        <family val="2"/>
      </rPr>
      <t xml:space="preserve">اورینگ                            </t>
    </r>
    <r>
      <rPr>
        <sz val="10"/>
        <rFont val="Vazirmatn"/>
        <family val="0"/>
        <charset val="1"/>
      </rPr>
      <t xml:space="preserve">54 * 3/5 * 47</t>
    </r>
  </si>
  <si>
    <t xml:space="preserve">31223280</t>
  </si>
  <si>
    <r>
      <rPr>
        <sz val="10"/>
        <rFont val="FreeSans"/>
        <family val="2"/>
      </rPr>
      <t xml:space="preserve">اورینگ                              </t>
    </r>
    <r>
      <rPr>
        <sz val="10"/>
        <rFont val="Vazirmatn"/>
        <family val="0"/>
        <charset val="1"/>
      </rPr>
      <t xml:space="preserve">56 * 3 * 50</t>
    </r>
  </si>
  <si>
    <t xml:space="preserve">31223282</t>
  </si>
  <si>
    <r>
      <rPr>
        <sz val="10"/>
        <rFont val="FreeSans"/>
        <family val="2"/>
      </rPr>
      <t xml:space="preserve">اورینگ                             </t>
    </r>
    <r>
      <rPr>
        <sz val="10"/>
        <rFont val="Vazirmatn"/>
        <family val="0"/>
        <charset val="1"/>
      </rPr>
      <t xml:space="preserve">46 * 3 *  40</t>
    </r>
  </si>
  <si>
    <t xml:space="preserve">31223286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</si>
  <si>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520 - 2507 - 0007</t>
    </r>
  </si>
  <si>
    <t xml:space="preserve">31223287</t>
  </si>
  <si>
    <r>
      <rPr>
        <sz val="10"/>
        <rFont val="FreeSans"/>
        <family val="2"/>
      </rPr>
      <t xml:space="preserve">اورینگ                          </t>
    </r>
    <r>
      <rPr>
        <sz val="10"/>
        <rFont val="Vazirmatn"/>
        <family val="0"/>
        <charset val="1"/>
      </rPr>
      <t xml:space="preserve">57 * 3/5 * 50</t>
    </r>
  </si>
  <si>
    <t xml:space="preserve">31223288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</si>
  <si>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520 - 2631 - 0007</t>
    </r>
  </si>
  <si>
    <t xml:space="preserve">31223289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</si>
  <si>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520 - 1722 - 0007</t>
    </r>
  </si>
  <si>
    <t xml:space="preserve">31223290</t>
  </si>
  <si>
    <r>
      <rPr>
        <sz val="10"/>
        <rFont val="FreeSans"/>
        <family val="2"/>
      </rPr>
      <t xml:space="preserve">اورینگ                             </t>
    </r>
    <r>
      <rPr>
        <sz val="10"/>
        <rFont val="Vazirmatn"/>
        <family val="0"/>
        <charset val="1"/>
      </rPr>
      <t xml:space="preserve">62 * 3 * 56</t>
    </r>
  </si>
  <si>
    <t xml:space="preserve">31223291</t>
  </si>
  <si>
    <r>
      <rPr>
        <sz val="10"/>
        <rFont val="FreeSans"/>
        <family val="2"/>
      </rPr>
      <t xml:space="preserve">اورینگ                            </t>
    </r>
    <r>
      <rPr>
        <sz val="10"/>
        <rFont val="Vazirmatn"/>
        <family val="0"/>
        <charset val="1"/>
      </rPr>
      <t xml:space="preserve">56 * 4/5 * 47</t>
    </r>
  </si>
  <si>
    <t xml:space="preserve">31223292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</si>
  <si>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520 - 2560 - 0007</t>
    </r>
  </si>
  <si>
    <t xml:space="preserve">31223296</t>
  </si>
  <si>
    <r>
      <rPr>
        <sz val="10"/>
        <rFont val="FreeSans"/>
        <family val="2"/>
      </rPr>
      <t xml:space="preserve">اورینگ لاستیکی     </t>
    </r>
    <r>
      <rPr>
        <sz val="10"/>
        <rFont val="Vazirmatn"/>
        <family val="0"/>
        <charset val="1"/>
      </rPr>
      <t xml:space="preserve">49*4/5*40</t>
    </r>
  </si>
  <si>
    <t xml:space="preserve">31223297</t>
  </si>
  <si>
    <r>
      <rPr>
        <sz val="10"/>
        <rFont val="FreeSans"/>
        <family val="2"/>
      </rPr>
      <t xml:space="preserve">اورینگ  نازل  واش باطری   </t>
    </r>
    <r>
      <rPr>
        <sz val="10"/>
        <rFont val="Vazirmatn"/>
        <family val="0"/>
        <charset val="1"/>
      </rPr>
      <t xml:space="preserve">7 -400</t>
    </r>
  </si>
  <si>
    <t xml:space="preserve">31223298</t>
  </si>
  <si>
    <r>
      <rPr>
        <sz val="10"/>
        <rFont val="FreeSans"/>
        <family val="2"/>
      </rPr>
      <t xml:space="preserve">اورینگ       </t>
    </r>
    <r>
      <rPr>
        <sz val="10"/>
        <rFont val="Vazirmatn"/>
        <family val="0"/>
        <charset val="1"/>
      </rPr>
      <t xml:space="preserve">235 * 10* 215</t>
    </r>
  </si>
  <si>
    <t xml:space="preserve">31223301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</si>
  <si>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520 - 2624 - 0007</t>
    </r>
  </si>
  <si>
    <t xml:space="preserve">31223302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</si>
  <si>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520 - 2572 - 0007</t>
    </r>
  </si>
  <si>
    <t xml:space="preserve">31223303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</si>
  <si>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520 - 2500 - 0007</t>
    </r>
  </si>
  <si>
    <t xml:space="preserve">31223304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</si>
  <si>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520 - 1834 - 0007</t>
    </r>
  </si>
  <si>
    <t xml:space="preserve">31223305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</si>
  <si>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520 - 2564 - 0007</t>
    </r>
  </si>
  <si>
    <t xml:space="preserve">31223306</t>
  </si>
  <si>
    <r>
      <rPr>
        <sz val="10"/>
        <rFont val="FreeSans"/>
        <family val="2"/>
      </rPr>
      <t xml:space="preserve">اورینگ دکانتور </t>
    </r>
    <r>
      <rPr>
        <sz val="10"/>
        <rFont val="Vazirmatn"/>
        <family val="0"/>
        <charset val="1"/>
      </rPr>
      <t xml:space="preserve">520-1735-0007</t>
    </r>
  </si>
  <si>
    <t xml:space="preserve">31223307</t>
  </si>
  <si>
    <r>
      <rPr>
        <sz val="10"/>
        <rFont val="FreeSans"/>
        <family val="2"/>
      </rPr>
      <t xml:space="preserve">اورینگ دکانتور  </t>
    </r>
    <r>
      <rPr>
        <sz val="10"/>
        <rFont val="Vazirmatn"/>
        <family val="0"/>
        <charset val="1"/>
      </rPr>
      <t xml:space="preserve">830-2508-0007</t>
    </r>
  </si>
  <si>
    <t xml:space="preserve">31223308</t>
  </si>
  <si>
    <r>
      <rPr>
        <sz val="10"/>
        <rFont val="FreeSans"/>
        <family val="2"/>
      </rPr>
      <t xml:space="preserve">اورینگ       </t>
    </r>
    <r>
      <rPr>
        <sz val="10"/>
        <rFont val="Vazirmatn"/>
        <family val="0"/>
        <charset val="1"/>
      </rPr>
      <t xml:space="preserve">64 * 3 * 58</t>
    </r>
  </si>
  <si>
    <t xml:space="preserve">31223309</t>
  </si>
  <si>
    <r>
      <rPr>
        <sz val="10"/>
        <rFont val="FreeSans"/>
        <family val="2"/>
      </rPr>
      <t xml:space="preserve">اورینگ دکانتور </t>
    </r>
    <r>
      <rPr>
        <sz val="10"/>
        <rFont val="Vazirmatn"/>
        <family val="0"/>
        <charset val="1"/>
      </rPr>
      <t xml:space="preserve">830-2701-0007</t>
    </r>
  </si>
  <si>
    <t xml:space="preserve">31223310</t>
  </si>
  <si>
    <r>
      <rPr>
        <sz val="10"/>
        <rFont val="FreeSans"/>
        <family val="2"/>
      </rPr>
      <t xml:space="preserve">اورینگ دکانتور </t>
    </r>
    <r>
      <rPr>
        <sz val="10"/>
        <rFont val="Vazirmatn"/>
        <family val="0"/>
        <charset val="1"/>
      </rPr>
      <t xml:space="preserve">520-2077-0007</t>
    </r>
  </si>
  <si>
    <t xml:space="preserve">31223312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</si>
  <si>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446 * 8 * 430</t>
    </r>
  </si>
  <si>
    <t xml:space="preserve">31223314</t>
  </si>
  <si>
    <r>
      <rPr>
        <sz val="10"/>
        <rFont val="FreeSans"/>
        <family val="2"/>
      </rPr>
      <t xml:space="preserve">اورینگ       </t>
    </r>
    <r>
      <rPr>
        <sz val="10"/>
        <rFont val="Vazirmatn"/>
        <family val="0"/>
        <charset val="1"/>
      </rPr>
      <t xml:space="preserve">76 * 3 * 70</t>
    </r>
  </si>
  <si>
    <t xml:space="preserve">31223318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</si>
  <si>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37 * 3 * 31</t>
    </r>
  </si>
  <si>
    <t xml:space="preserve">31223321</t>
  </si>
  <si>
    <r>
      <rPr>
        <sz val="10"/>
        <rFont val="FreeSans"/>
        <family val="2"/>
      </rPr>
      <t xml:space="preserve">اورینگ  </t>
    </r>
    <r>
      <rPr>
        <sz val="10"/>
        <rFont val="Vazirmatn"/>
        <family val="0"/>
        <charset val="1"/>
      </rPr>
      <t xml:space="preserve">194-5/5-205</t>
    </r>
  </si>
  <si>
    <t xml:space="preserve">31223322</t>
  </si>
  <si>
    <r>
      <rPr>
        <sz val="10"/>
        <rFont val="FreeSans"/>
        <family val="2"/>
      </rPr>
      <t xml:space="preserve">اورینگ وایتون نمره </t>
    </r>
    <r>
      <rPr>
        <sz val="10"/>
        <rFont val="Vazirmatn"/>
        <family val="0"/>
        <charset val="1"/>
      </rPr>
      <t xml:space="preserve">: 6</t>
    </r>
  </si>
  <si>
    <t xml:space="preserve">31223323</t>
  </si>
  <si>
    <r>
      <rPr>
        <sz val="10"/>
        <rFont val="FreeSans"/>
        <family val="2"/>
      </rPr>
      <t xml:space="preserve">اورینگ جک پنوماتیک </t>
    </r>
    <r>
      <rPr>
        <sz val="10"/>
        <rFont val="Vazirmatn"/>
        <family val="0"/>
        <charset val="1"/>
      </rPr>
      <t xml:space="preserve">1/5*63*66</t>
    </r>
  </si>
  <si>
    <t xml:space="preserve">31223326</t>
  </si>
  <si>
    <r>
      <rPr>
        <sz val="10"/>
        <rFont val="FreeSans"/>
        <family val="2"/>
      </rPr>
      <t xml:space="preserve">اورینگ وایتون  </t>
    </r>
    <r>
      <rPr>
        <sz val="10"/>
        <rFont val="Vazirmatn"/>
        <family val="0"/>
        <charset val="1"/>
      </rPr>
      <t xml:space="preserve">208 * 5/5 * 197</t>
    </r>
  </si>
  <si>
    <t xml:space="preserve">31223332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</si>
  <si>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10 * 2/5 * 5</t>
    </r>
  </si>
  <si>
    <t xml:space="preserve">31223339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</si>
  <si>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80/6 * 2/3 * 76</t>
    </r>
  </si>
  <si>
    <t xml:space="preserve">31223343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</si>
  <si>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41 * 3 * 35</t>
    </r>
  </si>
  <si>
    <t xml:space="preserve">31223345</t>
  </si>
  <si>
    <r>
      <rPr>
        <sz val="10"/>
        <rFont val="FreeSans"/>
        <family val="2"/>
      </rPr>
      <t xml:space="preserve">گسکت دکانتور  </t>
    </r>
    <r>
      <rPr>
        <sz val="10"/>
        <rFont val="Vazirmatn"/>
        <family val="0"/>
        <charset val="1"/>
      </rPr>
      <t xml:space="preserve">830 - 1722 - 0007</t>
    </r>
  </si>
  <si>
    <t xml:space="preserve">31223346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</si>
  <si>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97 * 3/5 * 90</t>
    </r>
  </si>
  <si>
    <t xml:space="preserve">31223351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</si>
  <si>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64 * 5 * 74</t>
    </r>
  </si>
  <si>
    <t xml:space="preserve">31223354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</si>
  <si>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228 * 6 * 216</t>
    </r>
  </si>
  <si>
    <t xml:space="preserve">31223355</t>
  </si>
  <si>
    <r>
      <rPr>
        <sz val="10"/>
        <rFont val="FreeSans"/>
        <family val="2"/>
      </rPr>
      <t xml:space="preserve">اورینگ    </t>
    </r>
    <r>
      <rPr>
        <sz val="10"/>
        <rFont val="Vazirmatn"/>
        <family val="0"/>
        <charset val="1"/>
      </rPr>
      <t xml:space="preserve">106 * 3 * 100</t>
    </r>
  </si>
  <si>
    <t xml:space="preserve">31223359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</si>
  <si>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74 * 4 * 66</t>
    </r>
  </si>
  <si>
    <t xml:space="preserve">31223360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</si>
  <si>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73 * 3/5 * 66</t>
    </r>
  </si>
  <si>
    <t xml:space="preserve">31223361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</si>
  <si>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206 * 7 * 220</t>
    </r>
  </si>
  <si>
    <t xml:space="preserve">31223362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</si>
  <si>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26 * 2/5 * 21</t>
    </r>
  </si>
  <si>
    <t xml:space="preserve">31223364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</si>
  <si>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43 * 4 * 35</t>
    </r>
  </si>
  <si>
    <t xml:space="preserve">31223365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</si>
  <si>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55 * 2/3 * 50</t>
    </r>
  </si>
  <si>
    <t xml:space="preserve">31223366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</si>
  <si>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82/6 * 2/3 * 78</t>
    </r>
  </si>
  <si>
    <t xml:space="preserve">31223367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</si>
  <si>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124/6 * 5/3 * 114</t>
    </r>
  </si>
  <si>
    <t xml:space="preserve">31223369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</si>
  <si>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5 * 76 * 81</t>
    </r>
  </si>
  <si>
    <t xml:space="preserve">31223370</t>
  </si>
  <si>
    <r>
      <rPr>
        <sz val="10"/>
        <rFont val="FreeSans"/>
        <family val="2"/>
      </rPr>
      <t xml:space="preserve">اورینگ لاستیکی    </t>
    </r>
    <r>
      <rPr>
        <sz val="10"/>
        <rFont val="Vazirmatn"/>
        <family val="0"/>
        <charset val="1"/>
      </rPr>
      <t xml:space="preserve">3 * 41 * 35</t>
    </r>
  </si>
  <si>
    <t xml:space="preserve">31223371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</si>
  <si>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90 * 2/5 * 85</t>
    </r>
  </si>
  <si>
    <t xml:space="preserve">31223372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</si>
  <si>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82 * 4 * 74</t>
    </r>
  </si>
  <si>
    <t xml:space="preserve">31223388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</si>
  <si>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124 * 5/5 * 113</t>
    </r>
  </si>
  <si>
    <t xml:space="preserve">31223389</t>
  </si>
  <si>
    <r>
      <rPr>
        <sz val="10"/>
        <rFont val="FreeSans"/>
        <family val="2"/>
      </rPr>
      <t xml:space="preserve">اورینگ             </t>
    </r>
    <r>
      <rPr>
        <sz val="10"/>
        <rFont val="Vazirmatn"/>
        <family val="0"/>
        <charset val="1"/>
      </rPr>
      <t xml:space="preserve">44 * 2/5 * 39</t>
    </r>
  </si>
  <si>
    <t xml:space="preserve">31223390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</si>
  <si>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208 * 6 * 196</t>
    </r>
  </si>
  <si>
    <t xml:space="preserve">31223391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</si>
  <si>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22 * 3 * 16</t>
    </r>
  </si>
  <si>
    <t xml:space="preserve">31223393</t>
  </si>
  <si>
    <r>
      <rPr>
        <sz val="10"/>
        <rFont val="FreeSans"/>
        <family val="2"/>
      </rPr>
      <t xml:space="preserve">اورینگ                 </t>
    </r>
    <r>
      <rPr>
        <sz val="10"/>
        <rFont val="Vazirmatn"/>
        <family val="0"/>
        <charset val="1"/>
      </rPr>
      <t xml:space="preserve">86 * 3/5 * 93</t>
    </r>
  </si>
  <si>
    <t xml:space="preserve">31223394</t>
  </si>
  <si>
    <r>
      <rPr>
        <sz val="10"/>
        <rFont val="FreeSans"/>
        <family val="2"/>
      </rPr>
      <t xml:space="preserve">اورینگ                 </t>
    </r>
    <r>
      <rPr>
        <sz val="10"/>
        <rFont val="Vazirmatn"/>
        <family val="0"/>
        <charset val="1"/>
      </rPr>
      <t xml:space="preserve">83 * 3/5 * 76</t>
    </r>
  </si>
  <si>
    <t xml:space="preserve">31223395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</si>
  <si>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82 * 2/5 * 77</t>
    </r>
  </si>
  <si>
    <t xml:space="preserve">31223397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</si>
  <si>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126 * 3 * 120</t>
    </r>
  </si>
  <si>
    <t xml:space="preserve">31223400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</si>
  <si>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96 * 3 * 90</t>
    </r>
  </si>
  <si>
    <t xml:space="preserve">31223401</t>
  </si>
  <si>
    <r>
      <rPr>
        <sz val="10"/>
        <rFont val="FreeSans"/>
        <family val="2"/>
      </rPr>
      <t xml:space="preserve">اورینگ                          </t>
    </r>
    <r>
      <rPr>
        <sz val="10"/>
        <rFont val="Vazirmatn"/>
        <family val="0"/>
        <charset val="1"/>
      </rPr>
      <t xml:space="preserve">205 * 10 * 225</t>
    </r>
  </si>
  <si>
    <t xml:space="preserve">31223402</t>
  </si>
  <si>
    <r>
      <rPr>
        <sz val="10"/>
        <rFont val="FreeSans"/>
        <family val="2"/>
      </rPr>
      <t xml:space="preserve">اورینگ                          </t>
    </r>
    <r>
      <rPr>
        <sz val="10"/>
        <rFont val="Vazirmatn"/>
        <family val="0"/>
        <charset val="1"/>
      </rPr>
      <t xml:space="preserve">212 * 6 * 200</t>
    </r>
  </si>
  <si>
    <t xml:space="preserve">31223404</t>
  </si>
  <si>
    <r>
      <rPr>
        <sz val="10"/>
        <rFont val="FreeSans"/>
        <family val="2"/>
      </rPr>
      <t xml:space="preserve">اورینگ                          </t>
    </r>
    <r>
      <rPr>
        <sz val="10"/>
        <rFont val="Vazirmatn"/>
        <family val="0"/>
        <charset val="1"/>
      </rPr>
      <t xml:space="preserve">214 * 7 * 200</t>
    </r>
  </si>
  <si>
    <t xml:space="preserve">31223414</t>
  </si>
  <si>
    <r>
      <rPr>
        <sz val="10"/>
        <rFont val="FreeSans"/>
        <family val="2"/>
      </rPr>
      <t xml:space="preserve">اورینگ لاستیکی </t>
    </r>
    <r>
      <rPr>
        <sz val="10"/>
        <rFont val="Vazirmatn"/>
        <family val="0"/>
        <charset val="1"/>
      </rPr>
      <t xml:space="preserve">420 * 5 * 410</t>
    </r>
  </si>
  <si>
    <t xml:space="preserve">31223416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</si>
  <si>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107 * 3/5 * 100</t>
    </r>
  </si>
  <si>
    <t xml:space="preserve">31223420</t>
  </si>
  <si>
    <r>
      <rPr>
        <sz val="10"/>
        <rFont val="FreeSans"/>
        <family val="2"/>
      </rPr>
      <t xml:space="preserve">اورینگ پمپ اسید  </t>
    </r>
    <r>
      <rPr>
        <sz val="10"/>
        <rFont val="Vazirmatn"/>
        <family val="0"/>
        <charset val="1"/>
      </rPr>
      <t xml:space="preserve">168 * 6 *180</t>
    </r>
  </si>
  <si>
    <t xml:space="preserve">31223422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</si>
  <si>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51 * 3 * 45</t>
    </r>
  </si>
  <si>
    <t xml:space="preserve">31223426</t>
  </si>
  <si>
    <r>
      <rPr>
        <sz val="10"/>
        <rFont val="FreeSans"/>
        <family val="2"/>
      </rPr>
      <t xml:space="preserve">اورینگ      </t>
    </r>
    <r>
      <rPr>
        <sz val="10"/>
        <rFont val="Vazirmatn"/>
        <family val="0"/>
        <charset val="1"/>
      </rPr>
      <t xml:space="preserve">10 * 170 * 150</t>
    </r>
  </si>
  <si>
    <t xml:space="preserve">31223431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</si>
  <si>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63 * 4 * 55</t>
    </r>
  </si>
  <si>
    <t xml:space="preserve">31223432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</si>
  <si>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53 * 2 * 49</t>
    </r>
  </si>
  <si>
    <t xml:space="preserve">31223433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</si>
  <si>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220 * 5 * 210</t>
    </r>
  </si>
  <si>
    <t xml:space="preserve">31223435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</si>
  <si>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56 * 5 * 46</t>
    </r>
  </si>
  <si>
    <t xml:space="preserve">31223440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</si>
  <si>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44 * 2 * 40</t>
    </r>
  </si>
  <si>
    <t xml:space="preserve">31223443</t>
  </si>
  <si>
    <t xml:space="preserve">گردگیر لاستیکی کمک فنر پیکان</t>
  </si>
  <si>
    <t xml:space="preserve">31223447</t>
  </si>
  <si>
    <r>
      <rPr>
        <sz val="10"/>
        <rFont val="FreeSans"/>
        <family val="2"/>
      </rPr>
      <t xml:space="preserve">اورینگ متری   نمره </t>
    </r>
    <r>
      <rPr>
        <sz val="10"/>
        <rFont val="Vazirmatn"/>
        <family val="0"/>
        <charset val="1"/>
      </rPr>
      <t xml:space="preserve">6</t>
    </r>
  </si>
  <si>
    <t xml:space="preserve">31223451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</si>
  <si>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406 * 3 * 400</t>
    </r>
  </si>
  <si>
    <t xml:space="preserve">31223452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</si>
  <si>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300 * 4 * 292</t>
    </r>
  </si>
  <si>
    <t xml:space="preserve">31223456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</si>
  <si>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44 * 2 * 39</t>
    </r>
  </si>
  <si>
    <t xml:space="preserve">31223459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</si>
  <si>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Q=13MM</t>
    </r>
  </si>
  <si>
    <t xml:space="preserve">31223461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</si>
  <si>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230 * 8 * 214</t>
    </r>
  </si>
  <si>
    <t xml:space="preserve">31223462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</si>
  <si>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71 * 4/5 * 62</t>
    </r>
  </si>
  <si>
    <t xml:space="preserve">31223463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</si>
  <si>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72 * 5 * 62</t>
    </r>
  </si>
  <si>
    <t xml:space="preserve">31223464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</si>
  <si>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84 * 3 * 78</t>
    </r>
  </si>
  <si>
    <t xml:space="preserve">31223465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</si>
  <si>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86 * 3 * 80</t>
    </r>
  </si>
  <si>
    <t xml:space="preserve">31223466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</si>
  <si>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169 * 5/5 * 180</t>
    </r>
  </si>
  <si>
    <t xml:space="preserve">31223468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</si>
  <si>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130 * 5 * 120</t>
    </r>
  </si>
  <si>
    <t xml:space="preserve">31223469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</si>
  <si>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128 * 4 * 120</t>
    </r>
  </si>
  <si>
    <t xml:space="preserve">31223471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</si>
  <si>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321 * 7 * 335</t>
    </r>
  </si>
  <si>
    <t xml:space="preserve">31223475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</si>
  <si>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76 * 4/5 * 85</t>
    </r>
  </si>
  <si>
    <t xml:space="preserve">31223476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</si>
  <si>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257 * 3/5 * 250</t>
    </r>
  </si>
  <si>
    <t xml:space="preserve">31223477</t>
  </si>
  <si>
    <r>
      <rPr>
        <sz val="10"/>
        <rFont val="FreeSans"/>
        <family val="2"/>
      </rPr>
      <t xml:space="preserve">اورینگ وایتون    </t>
    </r>
    <r>
      <rPr>
        <sz val="10"/>
        <rFont val="Vazirmatn"/>
        <family val="0"/>
        <charset val="1"/>
      </rPr>
      <t xml:space="preserve">72 * 3/5 * 65</t>
    </r>
  </si>
  <si>
    <t xml:space="preserve">31223478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</si>
  <si>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77 * 5/5 * 88</t>
    </r>
  </si>
  <si>
    <t xml:space="preserve">31223480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</si>
  <si>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57 * 3/5 * 50</t>
    </r>
  </si>
  <si>
    <t xml:space="preserve">31223481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</si>
  <si>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61 * 3 * 55</t>
    </r>
  </si>
  <si>
    <t xml:space="preserve">31223482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</si>
  <si>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63 * 4 * 55</t>
    </r>
  </si>
  <si>
    <t xml:space="preserve">31223483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</si>
  <si>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71 * 3 * 65</t>
    </r>
  </si>
  <si>
    <t xml:space="preserve">31223491</t>
  </si>
  <si>
    <r>
      <rPr>
        <sz val="10"/>
        <rFont val="FreeSans"/>
        <family val="2"/>
      </rPr>
      <t xml:space="preserve">اورینگ     </t>
    </r>
    <r>
      <rPr>
        <sz val="10"/>
        <rFont val="Vazirmatn"/>
        <family val="0"/>
        <charset val="1"/>
      </rPr>
      <t xml:space="preserve">547 * 8/5 * 530</t>
    </r>
  </si>
  <si>
    <t xml:space="preserve">31223495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</si>
  <si>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47 * 3/5 * 54</t>
    </r>
  </si>
  <si>
    <t xml:space="preserve">31223498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</si>
  <si>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67 * 3/5 * 74</t>
    </r>
  </si>
  <si>
    <t xml:space="preserve">31223500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</si>
  <si>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85 * 3 * 79</t>
    </r>
  </si>
  <si>
    <t xml:space="preserve">31223501</t>
  </si>
  <si>
    <r>
      <rPr>
        <sz val="10"/>
        <rFont val="FreeSans"/>
        <family val="2"/>
      </rPr>
      <t xml:space="preserve">اورینگ فلنج جک پیلر  </t>
    </r>
    <r>
      <rPr>
        <sz val="10"/>
        <rFont val="Vazirmatn"/>
        <family val="0"/>
        <charset val="1"/>
      </rPr>
      <t xml:space="preserve">7 * 425</t>
    </r>
  </si>
  <si>
    <t xml:space="preserve">31223502</t>
  </si>
  <si>
    <r>
      <rPr>
        <sz val="10"/>
        <rFont val="FreeSans"/>
        <family val="2"/>
      </rPr>
      <t xml:space="preserve">اورینگ وایتون    </t>
    </r>
    <r>
      <rPr>
        <sz val="10"/>
        <rFont val="Vazirmatn"/>
        <family val="0"/>
        <charset val="1"/>
      </rPr>
      <t xml:space="preserve">80 * 2/5 * 75</t>
    </r>
  </si>
  <si>
    <t xml:space="preserve">31223503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</si>
  <si>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55 * 2/5 * 50</t>
    </r>
  </si>
  <si>
    <t xml:space="preserve">31223510</t>
  </si>
  <si>
    <r>
      <rPr>
        <sz val="10"/>
        <rFont val="FreeSans"/>
        <family val="2"/>
      </rPr>
      <t xml:space="preserve">اورینگ وایتون  </t>
    </r>
    <r>
      <rPr>
        <sz val="10"/>
        <rFont val="Vazirmatn"/>
        <family val="0"/>
        <charset val="1"/>
      </rPr>
      <t xml:space="preserve">36 * 3 * 30</t>
    </r>
  </si>
  <si>
    <t xml:space="preserve">31223513</t>
  </si>
  <si>
    <r>
      <rPr>
        <sz val="10"/>
        <rFont val="FreeSans"/>
        <family val="2"/>
      </rPr>
      <t xml:space="preserve">اورینگ    </t>
    </r>
    <r>
      <rPr>
        <sz val="10"/>
        <rFont val="Vazirmatn"/>
        <family val="0"/>
        <charset val="1"/>
      </rPr>
      <t xml:space="preserve">3 * 12 * 16</t>
    </r>
  </si>
  <si>
    <t xml:space="preserve">31223514</t>
  </si>
  <si>
    <r>
      <rPr>
        <sz val="10"/>
        <rFont val="FreeSans"/>
        <family val="2"/>
      </rPr>
      <t xml:space="preserve">اورینگ    </t>
    </r>
    <r>
      <rPr>
        <sz val="10"/>
        <rFont val="Vazirmatn"/>
        <family val="0"/>
        <charset val="1"/>
      </rPr>
      <t xml:space="preserve">2 * 11 * 14</t>
    </r>
  </si>
  <si>
    <t xml:space="preserve">31223515</t>
  </si>
  <si>
    <r>
      <rPr>
        <sz val="10"/>
        <rFont val="FreeSans"/>
        <family val="2"/>
      </rPr>
      <t xml:space="preserve">اورینگ    </t>
    </r>
    <r>
      <rPr>
        <sz val="10"/>
        <rFont val="Vazirmatn"/>
        <family val="0"/>
        <charset val="1"/>
      </rPr>
      <t xml:space="preserve">3 * 5 * 8</t>
    </r>
  </si>
  <si>
    <t xml:space="preserve">31223518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</si>
  <si>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83 * 3 * 77</t>
    </r>
  </si>
  <si>
    <t xml:space="preserve">31223519</t>
  </si>
  <si>
    <r>
      <rPr>
        <sz val="10"/>
        <rFont val="FreeSans"/>
        <family val="2"/>
      </rPr>
      <t xml:space="preserve">اورینگ           </t>
    </r>
    <r>
      <rPr>
        <sz val="10"/>
        <rFont val="Vazirmatn"/>
        <family val="0"/>
        <charset val="1"/>
      </rPr>
      <t xml:space="preserve">76-5-86</t>
    </r>
  </si>
  <si>
    <t xml:space="preserve">31223521</t>
  </si>
  <si>
    <r>
      <rPr>
        <sz val="10"/>
        <rFont val="FreeSans"/>
        <family val="2"/>
      </rPr>
      <t xml:space="preserve">اورینگ       </t>
    </r>
    <r>
      <rPr>
        <sz val="10"/>
        <rFont val="Vazirmatn"/>
        <family val="0"/>
        <charset val="1"/>
      </rPr>
      <t xml:space="preserve">224 * 7 * 210</t>
    </r>
  </si>
  <si>
    <t xml:space="preserve">31223522</t>
  </si>
  <si>
    <r>
      <rPr>
        <sz val="10"/>
        <rFont val="FreeSans"/>
        <family val="2"/>
      </rPr>
      <t xml:space="preserve">اورینگ         </t>
    </r>
    <r>
      <rPr>
        <sz val="10"/>
        <rFont val="Vazirmatn"/>
        <family val="0"/>
        <charset val="1"/>
      </rPr>
      <t xml:space="preserve">79 - 4 - 65</t>
    </r>
  </si>
  <si>
    <t xml:space="preserve">31223524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</si>
  <si>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219 * 3 * 225</t>
    </r>
  </si>
  <si>
    <t xml:space="preserve">31223525</t>
  </si>
  <si>
    <r>
      <rPr>
        <sz val="10"/>
        <rFont val="FreeSans"/>
        <family val="2"/>
      </rPr>
      <t xml:space="preserve">اورینگ  </t>
    </r>
    <r>
      <rPr>
        <sz val="10"/>
        <rFont val="Vazirmatn"/>
        <family val="0"/>
        <charset val="1"/>
      </rPr>
      <t xml:space="preserve">NBR  13 * 1/5 * 16</t>
    </r>
  </si>
  <si>
    <t xml:space="preserve">31223527</t>
  </si>
  <si>
    <r>
      <rPr>
        <sz val="10"/>
        <rFont val="FreeSans"/>
        <family val="2"/>
      </rPr>
      <t xml:space="preserve">اورینگ  </t>
    </r>
    <r>
      <rPr>
        <sz val="10"/>
        <rFont val="Vazirmatn"/>
        <family val="0"/>
        <charset val="1"/>
      </rPr>
      <t xml:space="preserve">NBR  14 * 1/5 * 17</t>
    </r>
  </si>
  <si>
    <t xml:space="preserve">31223528</t>
  </si>
  <si>
    <r>
      <rPr>
        <sz val="10"/>
        <rFont val="FreeSans"/>
        <family val="2"/>
      </rPr>
      <t xml:space="preserve">اورینگ  </t>
    </r>
    <r>
      <rPr>
        <sz val="10"/>
        <rFont val="Vazirmatn"/>
        <family val="0"/>
        <charset val="1"/>
      </rPr>
      <t xml:space="preserve">NBR  8 * 2/5 * 13</t>
    </r>
  </si>
  <si>
    <t xml:space="preserve">31223529</t>
  </si>
  <si>
    <r>
      <rPr>
        <sz val="10"/>
        <rFont val="FreeSans"/>
        <family val="2"/>
      </rPr>
      <t xml:space="preserve">اورینگ    </t>
    </r>
    <r>
      <rPr>
        <sz val="10"/>
        <rFont val="Vazirmatn"/>
        <family val="0"/>
        <charset val="1"/>
      </rPr>
      <t xml:space="preserve">1/5 * 4/5 * 8</t>
    </r>
  </si>
  <si>
    <t xml:space="preserve">31223534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</si>
  <si>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90 * 8 * 74</t>
    </r>
  </si>
  <si>
    <t xml:space="preserve">31223535</t>
  </si>
  <si>
    <t xml:space="preserve">Gasket</t>
  </si>
  <si>
    <t xml:space="preserve">31223549</t>
  </si>
  <si>
    <r>
      <rPr>
        <sz val="10"/>
        <rFont val="FreeSans"/>
        <family val="2"/>
      </rPr>
      <t xml:space="preserve">اورینگ            </t>
    </r>
    <r>
      <rPr>
        <sz val="10"/>
        <rFont val="Vazirmatn"/>
        <family val="0"/>
        <charset val="1"/>
      </rPr>
      <t xml:space="preserve">19-3/5-26</t>
    </r>
  </si>
  <si>
    <t xml:space="preserve">31223552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</si>
  <si>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200 - 50 - 65</t>
    </r>
  </si>
  <si>
    <t xml:space="preserve">31223553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</si>
  <si>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125 - 65 - 80</t>
    </r>
  </si>
  <si>
    <t xml:space="preserve">31223554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</si>
  <si>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250 - 65 - 80</t>
    </r>
  </si>
  <si>
    <t xml:space="preserve">31223557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</si>
  <si>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160 - 65 - 80</t>
    </r>
  </si>
  <si>
    <t xml:space="preserve">31223558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</si>
  <si>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315 - 100 - 125 ( 5/7 * 320 )</t>
    </r>
  </si>
  <si>
    <t xml:space="preserve">31223559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</si>
  <si>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450 - 65 - 100 ( 5/5 * 460 )</t>
    </r>
  </si>
  <si>
    <t xml:space="preserve">31223560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</si>
  <si>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400 - 150 - 200 ( 4 * 430 )</t>
    </r>
  </si>
  <si>
    <t xml:space="preserve">31223561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</si>
  <si>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450 - 65 - 100 ( 4 * 430 )</t>
    </r>
  </si>
  <si>
    <t xml:space="preserve">31223571</t>
  </si>
  <si>
    <r>
      <rPr>
        <sz val="10"/>
        <rFont val="FreeSans"/>
        <family val="2"/>
      </rPr>
      <t xml:space="preserve">اورینگ </t>
    </r>
    <r>
      <rPr>
        <sz val="10"/>
        <rFont val="Vazirmatn"/>
        <family val="0"/>
        <charset val="1"/>
      </rPr>
      <t xml:space="preserve">Inspection filter) DL - 1P2S)</t>
    </r>
  </si>
  <si>
    <t xml:space="preserve">31223574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</si>
  <si>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33 - 3/5 - 40</t>
    </r>
  </si>
  <si>
    <t xml:space="preserve">31223578</t>
  </si>
  <si>
    <r>
      <rPr>
        <sz val="10"/>
        <rFont val="FreeSans"/>
        <family val="2"/>
      </rPr>
      <t xml:space="preserve">اورینگ لاستیکی  </t>
    </r>
    <r>
      <rPr>
        <sz val="10"/>
        <rFont val="Vazirmatn"/>
        <family val="0"/>
        <charset val="1"/>
      </rPr>
      <t xml:space="preserve">148 - 10 - 158</t>
    </r>
  </si>
  <si>
    <t xml:space="preserve">31223579</t>
  </si>
  <si>
    <r>
      <rPr>
        <sz val="10"/>
        <rFont val="FreeSans"/>
        <family val="2"/>
      </rPr>
      <t xml:space="preserve">اورینگ    </t>
    </r>
    <r>
      <rPr>
        <sz val="10"/>
        <rFont val="Vazirmatn"/>
        <family val="0"/>
        <charset val="1"/>
      </rPr>
      <t xml:space="preserve">200-3/5-207</t>
    </r>
  </si>
  <si>
    <t xml:space="preserve">31223580</t>
  </si>
  <si>
    <r>
      <rPr>
        <sz val="10"/>
        <rFont val="FreeSans"/>
        <family val="2"/>
      </rPr>
      <t xml:space="preserve">اورینگ        </t>
    </r>
    <r>
      <rPr>
        <sz val="10"/>
        <rFont val="Vazirmatn"/>
        <family val="0"/>
        <charset val="1"/>
      </rPr>
      <t xml:space="preserve">220-3-226</t>
    </r>
  </si>
  <si>
    <t xml:space="preserve">31223581</t>
  </si>
  <si>
    <r>
      <rPr>
        <sz val="10"/>
        <rFont val="FreeSans"/>
        <family val="2"/>
      </rPr>
      <t xml:space="preserve">پک کامل اورینگ جک </t>
    </r>
    <r>
      <rPr>
        <sz val="10"/>
        <rFont val="Vazirmatn"/>
        <family val="0"/>
        <charset val="1"/>
      </rPr>
      <t xml:space="preserve">SC 63*50</t>
    </r>
  </si>
  <si>
    <t xml:space="preserve">31223583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</si>
  <si>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36 * 3 * 30</t>
    </r>
  </si>
  <si>
    <t xml:space="preserve">31223584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</si>
  <si>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84 * 2 * 80</t>
    </r>
  </si>
  <si>
    <t xml:space="preserve">31223585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</si>
  <si>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79 * 2 * 75</t>
    </r>
  </si>
  <si>
    <t xml:space="preserve">31223587</t>
  </si>
  <si>
    <r>
      <rPr>
        <sz val="10"/>
        <rFont val="FreeSans"/>
        <family val="2"/>
      </rPr>
      <t xml:space="preserve">گردگیر کوچک سگ دست </t>
    </r>
    <r>
      <rPr>
        <sz val="10"/>
        <rFont val="Vazirmatn"/>
        <family val="0"/>
        <charset val="1"/>
      </rPr>
      <t xml:space="preserve">9532640</t>
    </r>
  </si>
  <si>
    <t xml:space="preserve">31223588</t>
  </si>
  <si>
    <r>
      <rPr>
        <sz val="10"/>
        <rFont val="FreeSans"/>
        <family val="2"/>
      </rPr>
      <t xml:space="preserve">گردگیر بزرگ سگ دست </t>
    </r>
    <r>
      <rPr>
        <sz val="10"/>
        <rFont val="Vazirmatn"/>
        <family val="0"/>
        <charset val="1"/>
      </rPr>
      <t xml:space="preserve">9532646</t>
    </r>
  </si>
  <si>
    <t xml:space="preserve">31223590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</si>
  <si>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224 * 3 * 218</t>
    </r>
  </si>
  <si>
    <t xml:space="preserve">31223591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</si>
  <si>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131 * 3 * 125</t>
    </r>
  </si>
  <si>
    <t xml:space="preserve">31223592</t>
  </si>
  <si>
    <r>
      <rPr>
        <sz val="10"/>
        <rFont val="FreeSans"/>
        <family val="2"/>
      </rPr>
      <t xml:space="preserve">اورینگ وایتون  </t>
    </r>
    <r>
      <rPr>
        <sz val="10"/>
        <rFont val="Vazirmatn"/>
        <family val="0"/>
        <charset val="1"/>
      </rPr>
      <t xml:space="preserve">35 * 4 * 27</t>
    </r>
  </si>
  <si>
    <t xml:space="preserve">31223593</t>
  </si>
  <si>
    <r>
      <rPr>
        <sz val="10"/>
        <rFont val="FreeSans"/>
        <family val="2"/>
      </rPr>
      <t xml:space="preserve">اورینگ    </t>
    </r>
    <r>
      <rPr>
        <sz val="10"/>
        <rFont val="Vazirmatn"/>
        <family val="0"/>
        <charset val="1"/>
      </rPr>
      <t xml:space="preserve">21 * 2 * 25</t>
    </r>
  </si>
  <si>
    <t xml:space="preserve">31223594</t>
  </si>
  <si>
    <r>
      <rPr>
        <sz val="10"/>
        <rFont val="FreeSans"/>
        <family val="2"/>
      </rPr>
      <t xml:space="preserve">اورینگ وایتون  </t>
    </r>
    <r>
      <rPr>
        <sz val="10"/>
        <rFont val="Vazirmatn"/>
        <family val="0"/>
        <charset val="1"/>
      </rPr>
      <t xml:space="preserve">136 * 3 * 142</t>
    </r>
  </si>
  <si>
    <t xml:space="preserve">31223595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</si>
  <si>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365 * 8/5 * 348</t>
    </r>
  </si>
  <si>
    <t xml:space="preserve">31223596</t>
  </si>
  <si>
    <r>
      <rPr>
        <sz val="10"/>
        <rFont val="FreeSans"/>
        <family val="2"/>
      </rPr>
      <t xml:space="preserve">اورینگ وایتون     </t>
    </r>
    <r>
      <rPr>
        <sz val="10"/>
        <rFont val="Vazirmatn"/>
        <family val="0"/>
        <charset val="1"/>
      </rPr>
      <t xml:space="preserve">77 * 5/5 * 66</t>
    </r>
  </si>
  <si>
    <t xml:space="preserve">31223599</t>
  </si>
  <si>
    <r>
      <rPr>
        <sz val="10"/>
        <rFont val="FreeSans"/>
        <family val="2"/>
      </rPr>
      <t xml:space="preserve">اورینگ وایتون   </t>
    </r>
    <r>
      <rPr>
        <sz val="10"/>
        <rFont val="Vazirmatn"/>
        <family val="0"/>
        <charset val="1"/>
      </rPr>
      <t xml:space="preserve">15/4 * 1/7 * 12</t>
    </r>
  </si>
  <si>
    <t xml:space="preserve">31223602</t>
  </si>
  <si>
    <r>
      <rPr>
        <sz val="10"/>
        <rFont val="FreeSans"/>
        <family val="2"/>
      </rPr>
      <t xml:space="preserve">اورینگ   </t>
    </r>
    <r>
      <rPr>
        <sz val="10"/>
        <rFont val="Vazirmatn"/>
        <family val="0"/>
        <charset val="1"/>
      </rPr>
      <t xml:space="preserve">136 * 3 * 130</t>
    </r>
  </si>
  <si>
    <t xml:space="preserve">31224099</t>
  </si>
  <si>
    <r>
      <rPr>
        <sz val="10"/>
        <rFont val="FreeSans"/>
        <family val="2"/>
      </rPr>
      <t xml:space="preserve">کوپلینگ فنری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سمت پمپ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پمپ  </t>
    </r>
    <r>
      <rPr>
        <sz val="10"/>
        <rFont val="Vazirmatn"/>
        <family val="0"/>
        <charset val="1"/>
      </rPr>
      <t xml:space="preserve">IHD 80 - 65 - 200</t>
    </r>
  </si>
  <si>
    <t xml:space="preserve">31224100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</si>
  <si>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IHD 50 - 32 - 160</t>
    </r>
  </si>
  <si>
    <t xml:space="preserve">31224103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</si>
  <si>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KHZ 50 - 32 - 160</t>
    </r>
  </si>
  <si>
    <t xml:space="preserve">31224105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</si>
  <si>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28 * 4 * 20</t>
    </r>
  </si>
  <si>
    <t xml:space="preserve">31224106</t>
  </si>
  <si>
    <t xml:space="preserve">فنر فشاری دوسر تخت آهنی  ویبره سرند خشکن گلوتن</t>
  </si>
  <si>
    <t xml:space="preserve">31224107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</si>
  <si>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55 * 5 * 45</t>
    </r>
  </si>
  <si>
    <t xml:space="preserve">31224108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</si>
  <si>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IHD 65 - 50 - 160</t>
    </r>
  </si>
  <si>
    <t xml:space="preserve">31224109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</si>
  <si>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KHZ 65 - 50 - 160</t>
    </r>
  </si>
  <si>
    <t xml:space="preserve">31224111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</si>
  <si>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KHZ 65 - 50 - 200</t>
    </r>
  </si>
  <si>
    <t xml:space="preserve">31224112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</si>
  <si>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IHD 65 - 50 - 200</t>
    </r>
  </si>
  <si>
    <t xml:space="preserve">31224113</t>
  </si>
  <si>
    <r>
      <rPr>
        <sz val="10"/>
        <rFont val="FreeSans"/>
        <family val="2"/>
      </rPr>
      <t xml:space="preserve">فنر آهنی خشکن گلوتن    </t>
    </r>
    <r>
      <rPr>
        <sz val="10"/>
        <rFont val="Vazirmatn"/>
        <family val="0"/>
        <charset val="1"/>
      </rPr>
      <t xml:space="preserve">10CM</t>
    </r>
  </si>
  <si>
    <t xml:space="preserve">31224114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</si>
  <si>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IHD 80 - 65 - 160</t>
    </r>
  </si>
  <si>
    <t xml:space="preserve">31224115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</si>
  <si>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IHD 80 - 65 - 200</t>
    </r>
  </si>
  <si>
    <t xml:space="preserve">31224116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</si>
  <si>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KHZ 100 - 65 - 250</t>
    </r>
  </si>
  <si>
    <t xml:space="preserve">31224117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</si>
  <si>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KHZ 80 - 65 - 250</t>
    </r>
  </si>
  <si>
    <t xml:space="preserve">31224118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</si>
  <si>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KHZ 100 - 65 - 315</t>
    </r>
  </si>
  <si>
    <t xml:space="preserve">31224119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</si>
  <si>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IHD 125 - 100 - 315</t>
    </r>
  </si>
  <si>
    <t xml:space="preserve">31224124</t>
  </si>
  <si>
    <r>
      <rPr>
        <sz val="10"/>
        <rFont val="FreeSans"/>
        <family val="2"/>
      </rPr>
      <t xml:space="preserve">فنر 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اسپیسر 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پرس روغن</t>
    </r>
  </si>
  <si>
    <t xml:space="preserve">31224127</t>
  </si>
  <si>
    <r>
      <rPr>
        <sz val="10"/>
        <rFont val="FreeSans"/>
        <family val="2"/>
      </rPr>
      <t xml:space="preserve">فنر  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اسپیسر </t>
    </r>
    <r>
      <rPr>
        <sz val="10"/>
        <rFont val="Vazirmatn"/>
        <family val="0"/>
        <charset val="1"/>
      </rPr>
      <t xml:space="preserve">)   </t>
    </r>
    <r>
      <rPr>
        <sz val="10"/>
        <rFont val="FreeSans"/>
        <family val="2"/>
      </rPr>
      <t xml:space="preserve">پرس روغن</t>
    </r>
  </si>
  <si>
    <t xml:space="preserve">31224128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</si>
  <si>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IHD 125 - 100 - 400</t>
    </r>
  </si>
  <si>
    <t xml:space="preserve">31224129</t>
  </si>
  <si>
    <r>
      <rPr>
        <sz val="10"/>
        <rFont val="FreeSans"/>
        <family val="2"/>
      </rPr>
      <t xml:space="preserve">فنر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اسپیسر 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پرس روغن کشی بزرگ</t>
    </r>
  </si>
  <si>
    <t xml:space="preserve">31224130</t>
  </si>
  <si>
    <r>
      <rPr>
        <sz val="10"/>
        <rFont val="FreeSans"/>
        <family val="2"/>
      </rPr>
      <t xml:space="preserve">فنر کوپلینگ  </t>
    </r>
    <r>
      <rPr>
        <sz val="10"/>
        <rFont val="Vazirmatn"/>
        <family val="0"/>
        <charset val="1"/>
      </rPr>
      <t xml:space="preserve">IHD 100 - 65 - 450</t>
    </r>
  </si>
  <si>
    <t xml:space="preserve">31224137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</si>
  <si>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15 * 5 * 5</t>
    </r>
  </si>
  <si>
    <t xml:space="preserve">31224140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</si>
  <si>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64 * 4 * 56</t>
    </r>
  </si>
  <si>
    <t xml:space="preserve">31224143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</si>
  <si>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63 * 4 * 45</t>
    </r>
  </si>
  <si>
    <t xml:space="preserve">31224150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</si>
  <si>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74 * 4/5 * 65</t>
    </r>
  </si>
  <si>
    <t xml:space="preserve">31224157</t>
  </si>
  <si>
    <r>
      <rPr>
        <sz val="10"/>
        <rFont val="FreeSans"/>
        <family val="2"/>
      </rPr>
      <t xml:space="preserve">فنر کششی دو سر قلاب  </t>
    </r>
    <r>
      <rPr>
        <sz val="10"/>
        <rFont val="Vazirmatn"/>
        <family val="0"/>
        <charset val="1"/>
      </rPr>
      <t xml:space="preserve">62 * 6 * 50</t>
    </r>
  </si>
  <si>
    <t xml:space="preserve">31224159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</si>
  <si>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35 * 10 * 15</t>
    </r>
  </si>
  <si>
    <t xml:space="preserve">31224162</t>
  </si>
  <si>
    <r>
      <rPr>
        <sz val="10"/>
        <rFont val="FreeSans"/>
        <family val="2"/>
      </rPr>
      <t xml:space="preserve">فنر فشاری دو سر تخت    </t>
    </r>
    <r>
      <rPr>
        <sz val="10"/>
        <rFont val="Vazirmatn"/>
        <family val="0"/>
        <charset val="1"/>
      </rPr>
      <t xml:space="preserve">35 * 10 * 15</t>
    </r>
  </si>
  <si>
    <t xml:space="preserve">31224163</t>
  </si>
  <si>
    <r>
      <rPr>
        <sz val="10"/>
        <rFont val="FreeSans"/>
        <family val="2"/>
      </rPr>
      <t xml:space="preserve">پوسته یاتاقان </t>
    </r>
    <r>
      <rPr>
        <sz val="10"/>
        <rFont val="Vazirmatn"/>
        <family val="0"/>
        <charset val="1"/>
      </rPr>
      <t xml:space="preserve">snv   160</t>
    </r>
  </si>
  <si>
    <t xml:space="preserve">31224166</t>
  </si>
  <si>
    <r>
      <rPr>
        <sz val="10"/>
        <rFont val="FreeSans"/>
        <family val="2"/>
      </rPr>
      <t xml:space="preserve">فنر کوپلینگ پمپ </t>
    </r>
    <r>
      <rPr>
        <sz val="10"/>
        <rFont val="Vazirmatn"/>
        <family val="0"/>
        <charset val="1"/>
      </rPr>
      <t xml:space="preserve">315 - 125 - 150 KPW</t>
    </r>
  </si>
  <si>
    <t xml:space="preserve">31224167</t>
  </si>
  <si>
    <r>
      <rPr>
        <sz val="10"/>
        <rFont val="FreeSans"/>
        <family val="2"/>
      </rPr>
      <t xml:space="preserve">فنر کوپلینگ پمپ </t>
    </r>
    <r>
      <rPr>
        <sz val="10"/>
        <rFont val="Vazirmatn"/>
        <family val="0"/>
        <charset val="1"/>
      </rPr>
      <t xml:space="preserve">400 - 125 - 150 KPW</t>
    </r>
  </si>
  <si>
    <t xml:space="preserve">31224169</t>
  </si>
  <si>
    <r>
      <rPr>
        <sz val="10"/>
        <rFont val="FreeSans"/>
        <family val="2"/>
      </rPr>
      <t xml:space="preserve">فنر کوپلینگ پمپ </t>
    </r>
    <r>
      <rPr>
        <sz val="10"/>
        <rFont val="Vazirmatn"/>
        <family val="0"/>
        <charset val="1"/>
      </rPr>
      <t xml:space="preserve">400 - 100 - 125 KPW</t>
    </r>
  </si>
  <si>
    <t xml:space="preserve">31224170</t>
  </si>
  <si>
    <r>
      <rPr>
        <sz val="10"/>
        <rFont val="FreeSans"/>
        <family val="2"/>
      </rPr>
      <t xml:space="preserve">فنر کوپلینگ پمپ </t>
    </r>
    <r>
      <rPr>
        <sz val="10"/>
        <rFont val="Vazirmatn"/>
        <family val="0"/>
        <charset val="1"/>
      </rPr>
      <t xml:space="preserve">315 - 100 - 125 KPW</t>
    </r>
  </si>
  <si>
    <t xml:space="preserve">31224172</t>
  </si>
  <si>
    <r>
      <rPr>
        <sz val="10"/>
        <rFont val="FreeSans"/>
        <family val="2"/>
      </rPr>
      <t xml:space="preserve">فنر کوپلینگ پمپ </t>
    </r>
    <r>
      <rPr>
        <sz val="10"/>
        <rFont val="Vazirmatn"/>
        <family val="0"/>
        <charset val="1"/>
      </rPr>
      <t xml:space="preserve">250 - 100 - 125 KPW</t>
    </r>
  </si>
  <si>
    <t xml:space="preserve">31224173</t>
  </si>
  <si>
    <r>
      <rPr>
        <sz val="10"/>
        <rFont val="FreeSans"/>
        <family val="2"/>
      </rPr>
      <t xml:space="preserve">فنر فشاری دو سر تخت دوبل   </t>
    </r>
    <r>
      <rPr>
        <sz val="10"/>
        <rFont val="Vazirmatn"/>
        <family val="0"/>
        <charset val="1"/>
      </rPr>
      <t xml:space="preserve">65 * 5 * 55</t>
    </r>
  </si>
  <si>
    <t xml:space="preserve">31224174</t>
  </si>
  <si>
    <t xml:space="preserve">فنر سپراتور  تغلیظ</t>
  </si>
  <si>
    <t xml:space="preserve">31224175</t>
  </si>
  <si>
    <r>
      <rPr>
        <sz val="10"/>
        <rFont val="FreeSans"/>
        <family val="2"/>
      </rPr>
      <t xml:space="preserve">فنر کوپلینگ پمپ </t>
    </r>
    <r>
      <rPr>
        <sz val="10"/>
        <rFont val="Vazirmatn"/>
        <family val="0"/>
        <charset val="1"/>
      </rPr>
      <t xml:space="preserve">250 - 100 - 125 IHD</t>
    </r>
  </si>
  <si>
    <t xml:space="preserve">31224176</t>
  </si>
  <si>
    <r>
      <rPr>
        <sz val="10"/>
        <rFont val="FreeSans"/>
        <family val="2"/>
      </rPr>
      <t xml:space="preserve">فنر کوپلینگ پمپ </t>
    </r>
    <r>
      <rPr>
        <sz val="10"/>
        <rFont val="Vazirmatn"/>
        <family val="0"/>
        <charset val="1"/>
      </rPr>
      <t xml:space="preserve">315 - 125 - 150 IHD</t>
    </r>
  </si>
  <si>
    <t xml:space="preserve">31224177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</si>
  <si>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20 * 3/5 * 13</t>
    </r>
  </si>
  <si>
    <t xml:space="preserve">31224178</t>
  </si>
  <si>
    <r>
      <rPr>
        <sz val="10"/>
        <rFont val="FreeSans"/>
        <family val="2"/>
      </rPr>
      <t xml:space="preserve">فنر کوپلینگ پمپ </t>
    </r>
    <r>
      <rPr>
        <sz val="10"/>
        <rFont val="Vazirmatn"/>
        <family val="0"/>
        <charset val="1"/>
      </rPr>
      <t xml:space="preserve">450 - 100 - 125 IHD</t>
    </r>
  </si>
  <si>
    <t xml:space="preserve">31224181</t>
  </si>
  <si>
    <r>
      <rPr>
        <sz val="10"/>
        <rFont val="FreeSans"/>
        <family val="2"/>
      </rPr>
      <t xml:space="preserve">فنر فشاری آهنی دو سر تخت  </t>
    </r>
    <r>
      <rPr>
        <sz val="10"/>
        <rFont val="Vazirmatn"/>
        <family val="0"/>
        <charset val="1"/>
      </rPr>
      <t xml:space="preserve">57 * 5/5 * 46</t>
    </r>
  </si>
  <si>
    <t xml:space="preserve">31224182</t>
  </si>
  <si>
    <r>
      <rPr>
        <sz val="10"/>
        <rFont val="FreeSans"/>
        <family val="2"/>
      </rPr>
      <t xml:space="preserve">فنر فشاری استیل دو سر تخت  </t>
    </r>
    <r>
      <rPr>
        <sz val="10"/>
        <rFont val="Vazirmatn"/>
        <family val="0"/>
        <charset val="1"/>
      </rPr>
      <t xml:space="preserve">75 * 4 * 64</t>
    </r>
  </si>
  <si>
    <t xml:space="preserve">31224183</t>
  </si>
  <si>
    <r>
      <rPr>
        <sz val="10"/>
        <rFont val="FreeSans"/>
        <family val="2"/>
      </rPr>
      <t xml:space="preserve">فنر کششی دو سر قلاب  </t>
    </r>
    <r>
      <rPr>
        <sz val="10"/>
        <rFont val="Vazirmatn"/>
        <family val="0"/>
        <charset val="1"/>
      </rPr>
      <t xml:space="preserve">26 * 4 * 18</t>
    </r>
  </si>
  <si>
    <t xml:space="preserve">31224185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</si>
  <si>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37 * 4/5 * 46</t>
    </r>
  </si>
  <si>
    <t xml:space="preserve">31224186</t>
  </si>
  <si>
    <r>
      <rPr>
        <sz val="10"/>
        <rFont val="FreeSans"/>
        <family val="2"/>
      </rPr>
      <t xml:space="preserve">فنر و شیطانک قلاب جرثقیل </t>
    </r>
    <r>
      <rPr>
        <sz val="10"/>
        <rFont val="Vazirmatn"/>
        <family val="0"/>
        <charset val="1"/>
      </rPr>
      <t xml:space="preserve">1ton</t>
    </r>
  </si>
  <si>
    <t xml:space="preserve">31224187</t>
  </si>
  <si>
    <r>
      <rPr>
        <sz val="10"/>
        <rFont val="FreeSans"/>
        <family val="2"/>
      </rPr>
      <t xml:space="preserve">فنر و شیطانک قلاب جرثقیل </t>
    </r>
    <r>
      <rPr>
        <sz val="10"/>
        <rFont val="Vazirmatn"/>
        <family val="0"/>
        <charset val="1"/>
      </rPr>
      <t xml:space="preserve">2ton</t>
    </r>
  </si>
  <si>
    <t xml:space="preserve">31224188</t>
  </si>
  <si>
    <r>
      <rPr>
        <sz val="10"/>
        <rFont val="FreeSans"/>
        <family val="2"/>
      </rPr>
      <t xml:space="preserve">فنر و شیطانک قلاب جرثقیل </t>
    </r>
    <r>
      <rPr>
        <sz val="10"/>
        <rFont val="Vazirmatn"/>
        <family val="0"/>
        <charset val="1"/>
      </rPr>
      <t xml:space="preserve">3ton</t>
    </r>
  </si>
  <si>
    <t xml:space="preserve">31224189</t>
  </si>
  <si>
    <t xml:space="preserve">فنر سیم کشی برق</t>
  </si>
  <si>
    <t xml:space="preserve">31224190</t>
  </si>
  <si>
    <r>
      <rPr>
        <sz val="10"/>
        <rFont val="FreeSans"/>
        <family val="2"/>
      </rPr>
      <t xml:space="preserve">فنر فشاری دوسر تخت آهنی </t>
    </r>
    <r>
      <rPr>
        <sz val="10"/>
        <rFont val="Vazirmatn"/>
        <family val="0"/>
        <charset val="1"/>
      </rPr>
      <t xml:space="preserve">12cm  </t>
    </r>
    <r>
      <rPr>
        <sz val="10"/>
        <rFont val="FreeSans"/>
        <family val="2"/>
      </rPr>
      <t xml:space="preserve">قطرمفتول</t>
    </r>
    <r>
      <rPr>
        <sz val="10"/>
        <rFont val="Vazirmatn"/>
        <family val="0"/>
        <charset val="1"/>
      </rPr>
      <t xml:space="preserve">6mm  </t>
    </r>
    <r>
      <rPr>
        <sz val="10"/>
        <rFont val="FreeSans"/>
        <family val="2"/>
      </rPr>
      <t xml:space="preserve">گام فنر</t>
    </r>
    <r>
      <rPr>
        <sz val="10"/>
        <rFont val="Vazirmatn"/>
        <family val="0"/>
        <charset val="1"/>
      </rPr>
      <t xml:space="preserve">10mm  </t>
    </r>
    <r>
      <rPr>
        <sz val="10"/>
        <rFont val="FreeSans"/>
        <family val="2"/>
      </rPr>
      <t xml:space="preserve">سوراخ</t>
    </r>
    <r>
      <rPr>
        <sz val="10"/>
        <rFont val="Vazirmatn"/>
        <family val="0"/>
        <charset val="1"/>
      </rPr>
      <t xml:space="preserve">28mm  </t>
    </r>
    <r>
      <rPr>
        <sz val="10"/>
        <rFont val="FreeSans"/>
        <family val="2"/>
      </rPr>
      <t xml:space="preserve">قطرفنر</t>
    </r>
    <r>
      <rPr>
        <sz val="10"/>
        <rFont val="Vazirmatn"/>
        <family val="0"/>
        <charset val="1"/>
      </rPr>
      <t xml:space="preserve">40mm</t>
    </r>
  </si>
  <si>
    <t xml:space="preserve">31224191</t>
  </si>
  <si>
    <r>
      <rPr>
        <sz val="10"/>
        <rFont val="FreeSans"/>
        <family val="2"/>
      </rPr>
      <t xml:space="preserve">فنر آهنی خشکن گلوتن ارتفاع </t>
    </r>
    <r>
      <rPr>
        <sz val="10"/>
        <rFont val="Vazirmatn"/>
        <family val="0"/>
        <charset val="1"/>
      </rPr>
      <t xml:space="preserve">100mm - </t>
    </r>
    <r>
      <rPr>
        <sz val="10"/>
        <rFont val="FreeSans"/>
        <family val="2"/>
      </rPr>
      <t xml:space="preserve">قطر داخل </t>
    </r>
    <r>
      <rPr>
        <sz val="10"/>
        <rFont val="Vazirmatn"/>
        <family val="0"/>
        <charset val="1"/>
      </rPr>
      <t xml:space="preserve">20mm - </t>
    </r>
    <r>
      <rPr>
        <sz val="10"/>
        <rFont val="FreeSans"/>
        <family val="2"/>
      </rPr>
      <t xml:space="preserve">گام </t>
    </r>
    <r>
      <rPr>
        <sz val="10"/>
        <rFont val="Vazirmatn"/>
        <family val="0"/>
        <charset val="1"/>
      </rPr>
      <t xml:space="preserve">16mm - </t>
    </r>
    <r>
      <rPr>
        <sz val="10"/>
        <rFont val="FreeSans"/>
        <family val="2"/>
      </rPr>
      <t xml:space="preserve">قطر خارج </t>
    </r>
    <r>
      <rPr>
        <sz val="10"/>
        <rFont val="Vazirmatn"/>
        <family val="0"/>
        <charset val="1"/>
      </rPr>
      <t xml:space="preserve">36mm - </t>
    </r>
    <r>
      <rPr>
        <sz val="10"/>
        <rFont val="FreeSans"/>
        <family val="2"/>
      </rPr>
      <t xml:space="preserve">قطر مفتول </t>
    </r>
    <r>
      <rPr>
        <sz val="10"/>
        <rFont val="Vazirmatn"/>
        <family val="0"/>
        <charset val="1"/>
      </rPr>
      <t xml:space="preserve">8mm</t>
    </r>
  </si>
  <si>
    <t xml:space="preserve">31224192</t>
  </si>
  <si>
    <r>
      <rPr>
        <sz val="10"/>
        <rFont val="FreeSans"/>
        <family val="2"/>
      </rPr>
      <t xml:space="preserve">فنر آهنی خشکن گلوتن ارتفاع </t>
    </r>
    <r>
      <rPr>
        <sz val="10"/>
        <rFont val="Vazirmatn"/>
        <family val="0"/>
        <charset val="1"/>
      </rPr>
      <t xml:space="preserve">80mm - </t>
    </r>
    <r>
      <rPr>
        <sz val="10"/>
        <rFont val="FreeSans"/>
        <family val="2"/>
      </rPr>
      <t xml:space="preserve">قطر داخل </t>
    </r>
    <r>
      <rPr>
        <sz val="10"/>
        <rFont val="Vazirmatn"/>
        <family val="0"/>
        <charset val="1"/>
      </rPr>
      <t xml:space="preserve">20mm - </t>
    </r>
    <r>
      <rPr>
        <sz val="10"/>
        <rFont val="FreeSans"/>
        <family val="2"/>
      </rPr>
      <t xml:space="preserve">گام </t>
    </r>
    <r>
      <rPr>
        <sz val="10"/>
        <rFont val="Vazirmatn"/>
        <family val="0"/>
        <charset val="1"/>
      </rPr>
      <t xml:space="preserve">16mm - </t>
    </r>
    <r>
      <rPr>
        <sz val="10"/>
        <rFont val="FreeSans"/>
        <family val="2"/>
      </rPr>
      <t xml:space="preserve">قطر خارج </t>
    </r>
    <r>
      <rPr>
        <sz val="10"/>
        <rFont val="Vazirmatn"/>
        <family val="0"/>
        <charset val="1"/>
      </rPr>
      <t xml:space="preserve">36mm - </t>
    </r>
    <r>
      <rPr>
        <sz val="10"/>
        <rFont val="FreeSans"/>
        <family val="2"/>
      </rPr>
      <t xml:space="preserve">قطر مفتول </t>
    </r>
    <r>
      <rPr>
        <sz val="10"/>
        <rFont val="Vazirmatn"/>
        <family val="0"/>
        <charset val="1"/>
      </rPr>
      <t xml:space="preserve">8mm</t>
    </r>
  </si>
  <si>
    <t xml:space="preserve">31224193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</si>
  <si>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85 * 5 * 75</t>
    </r>
  </si>
  <si>
    <t xml:space="preserve">31224194</t>
  </si>
  <si>
    <r>
      <rPr>
        <sz val="10"/>
        <rFont val="FreeSans"/>
        <family val="2"/>
      </rPr>
      <t xml:space="preserve">فنر استیل شیر یکطرفه </t>
    </r>
    <r>
      <rPr>
        <sz val="10"/>
        <rFont val="Vazirmatn"/>
        <family val="0"/>
        <charset val="1"/>
      </rPr>
      <t xml:space="preserve">40 =L - </t>
    </r>
    <r>
      <rPr>
        <sz val="10"/>
        <rFont val="FreeSans"/>
        <family val="2"/>
      </rPr>
      <t xml:space="preserve">قطر داخل </t>
    </r>
    <r>
      <rPr>
        <sz val="10"/>
        <rFont val="Vazirmatn"/>
        <family val="0"/>
        <charset val="1"/>
      </rPr>
      <t xml:space="preserve">32mm - </t>
    </r>
    <r>
      <rPr>
        <sz val="10"/>
        <rFont val="FreeSans"/>
        <family val="2"/>
      </rPr>
      <t xml:space="preserve">گام </t>
    </r>
    <r>
      <rPr>
        <sz val="10"/>
        <rFont val="Vazirmatn"/>
        <family val="0"/>
        <charset val="1"/>
      </rPr>
      <t xml:space="preserve">10mm - </t>
    </r>
    <r>
      <rPr>
        <sz val="10"/>
        <rFont val="FreeSans"/>
        <family val="2"/>
      </rPr>
      <t xml:space="preserve">قطر بیرون </t>
    </r>
    <r>
      <rPr>
        <sz val="10"/>
        <rFont val="Vazirmatn"/>
        <family val="0"/>
        <charset val="1"/>
      </rPr>
      <t xml:space="preserve">34mm - </t>
    </r>
    <r>
      <rPr>
        <sz val="10"/>
        <rFont val="FreeSans"/>
        <family val="2"/>
      </rPr>
      <t xml:space="preserve">قطر مفتول </t>
    </r>
    <r>
      <rPr>
        <sz val="10"/>
        <rFont val="Vazirmatn"/>
        <family val="0"/>
        <charset val="1"/>
      </rPr>
      <t xml:space="preserve">1/12mm</t>
    </r>
  </si>
  <si>
    <t xml:space="preserve">31224196</t>
  </si>
  <si>
    <r>
      <rPr>
        <sz val="10"/>
        <rFont val="FreeSans"/>
        <family val="2"/>
      </rPr>
      <t xml:space="preserve">فنر آهنی ارتفاع </t>
    </r>
    <r>
      <rPr>
        <sz val="10"/>
        <rFont val="Vazirmatn"/>
        <family val="0"/>
        <charset val="1"/>
      </rPr>
      <t xml:space="preserve">83mm -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8mm - </t>
    </r>
    <r>
      <rPr>
        <sz val="10"/>
        <rFont val="FreeSans"/>
        <family val="2"/>
      </rPr>
      <t xml:space="preserve">اندازه داخلی </t>
    </r>
    <r>
      <rPr>
        <sz val="10"/>
        <rFont val="Vazirmatn"/>
        <family val="0"/>
        <charset val="1"/>
      </rPr>
      <t xml:space="preserve">24mm - </t>
    </r>
    <r>
      <rPr>
        <sz val="10"/>
        <rFont val="FreeSans"/>
        <family val="2"/>
      </rPr>
      <t xml:space="preserve">اندازه بیرونی </t>
    </r>
    <r>
      <rPr>
        <sz val="10"/>
        <rFont val="Vazirmatn"/>
        <family val="0"/>
        <charset val="1"/>
      </rPr>
      <t xml:space="preserve">40mm - </t>
    </r>
    <r>
      <rPr>
        <sz val="10"/>
        <rFont val="FreeSans"/>
        <family val="2"/>
      </rPr>
      <t xml:space="preserve">گام </t>
    </r>
    <r>
      <rPr>
        <sz val="10"/>
        <rFont val="Vazirmatn"/>
        <family val="0"/>
        <charset val="1"/>
      </rPr>
      <t xml:space="preserve">12mm</t>
    </r>
  </si>
  <si>
    <t xml:space="preserve">31224197</t>
  </si>
  <si>
    <r>
      <rPr>
        <sz val="10"/>
        <rFont val="FreeSans"/>
        <family val="2"/>
      </rPr>
      <t xml:space="preserve">فنر آهنی طول فنر </t>
    </r>
    <r>
      <rPr>
        <sz val="10"/>
        <rFont val="Vazirmatn"/>
        <family val="0"/>
        <charset val="1"/>
      </rPr>
      <t xml:space="preserve">82mm - </t>
    </r>
    <r>
      <rPr>
        <sz val="10"/>
        <rFont val="FreeSans"/>
        <family val="2"/>
      </rPr>
      <t xml:space="preserve">ضخامت مفتول </t>
    </r>
    <r>
      <rPr>
        <sz val="10"/>
        <rFont val="Vazirmatn"/>
        <family val="0"/>
        <charset val="1"/>
      </rPr>
      <t xml:space="preserve">8mm - </t>
    </r>
    <r>
      <rPr>
        <sz val="10"/>
        <rFont val="FreeSans"/>
        <family val="2"/>
      </rPr>
      <t xml:space="preserve">گام فنر </t>
    </r>
    <r>
      <rPr>
        <sz val="10"/>
        <rFont val="Vazirmatn"/>
        <family val="0"/>
        <charset val="1"/>
      </rPr>
      <t xml:space="preserve">18mm</t>
    </r>
  </si>
  <si>
    <t xml:space="preserve">31224199</t>
  </si>
  <si>
    <r>
      <rPr>
        <sz val="10"/>
        <rFont val="FreeSans"/>
        <family val="2"/>
      </rPr>
      <t xml:space="preserve">اسپیسر  </t>
    </r>
    <r>
      <rPr>
        <sz val="10"/>
        <rFont val="Vazirmatn"/>
        <family val="0"/>
        <charset val="1"/>
      </rPr>
      <t xml:space="preserve">0/7mm</t>
    </r>
  </si>
  <si>
    <t xml:space="preserve">31224200</t>
  </si>
  <si>
    <r>
      <rPr>
        <sz val="10"/>
        <rFont val="FreeSans"/>
        <family val="2"/>
      </rPr>
      <t xml:space="preserve">اسپیسر  </t>
    </r>
    <r>
      <rPr>
        <sz val="10"/>
        <rFont val="Vazirmatn"/>
        <family val="0"/>
        <charset val="1"/>
      </rPr>
      <t xml:space="preserve">0/5mm</t>
    </r>
  </si>
  <si>
    <t xml:space="preserve">31224201</t>
  </si>
  <si>
    <r>
      <rPr>
        <sz val="10"/>
        <rFont val="FreeSans"/>
        <family val="2"/>
      </rPr>
      <t xml:space="preserve">اسپیسر  </t>
    </r>
    <r>
      <rPr>
        <sz val="10"/>
        <rFont val="Vazirmatn"/>
        <family val="0"/>
        <charset val="1"/>
      </rPr>
      <t xml:space="preserve">0/4mm</t>
    </r>
  </si>
  <si>
    <t xml:space="preserve">31224205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</si>
  <si>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24 * 6 * 12</t>
    </r>
  </si>
  <si>
    <t xml:space="preserve">31224207</t>
  </si>
  <si>
    <r>
      <rPr>
        <sz val="10"/>
        <rFont val="FreeSans"/>
        <family val="2"/>
      </rPr>
      <t xml:space="preserve">اسپیسر  </t>
    </r>
    <r>
      <rPr>
        <sz val="10"/>
        <rFont val="Vazirmatn"/>
        <family val="0"/>
        <charset val="1"/>
      </rPr>
      <t xml:space="preserve">0/25mm</t>
    </r>
  </si>
  <si>
    <t xml:space="preserve">31224210</t>
  </si>
  <si>
    <r>
      <rPr>
        <sz val="10"/>
        <rFont val="FreeSans"/>
        <family val="2"/>
      </rPr>
      <t xml:space="preserve">فنر آهنی فشاری دو سر تخت طول </t>
    </r>
    <r>
      <rPr>
        <sz val="10"/>
        <rFont val="Vazirmatn"/>
        <family val="0"/>
        <charset val="1"/>
      </rPr>
      <t xml:space="preserve">82/5mm - </t>
    </r>
    <r>
      <rPr>
        <sz val="10"/>
        <rFont val="FreeSans"/>
        <family val="2"/>
      </rPr>
      <t xml:space="preserve">قطر مفتول </t>
    </r>
    <r>
      <rPr>
        <sz val="10"/>
        <rFont val="Vazirmatn"/>
        <family val="0"/>
        <charset val="1"/>
      </rPr>
      <t xml:space="preserve">8/11mm - </t>
    </r>
    <r>
      <rPr>
        <sz val="10"/>
        <rFont val="FreeSans"/>
        <family val="2"/>
      </rPr>
      <t xml:space="preserve">گام  </t>
    </r>
    <r>
      <rPr>
        <sz val="10"/>
        <rFont val="Vazirmatn"/>
        <family val="0"/>
        <charset val="1"/>
      </rPr>
      <t xml:space="preserve">18mm</t>
    </r>
  </si>
  <si>
    <t xml:space="preserve">31224211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</si>
  <si>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53 * 4 * 45</t>
    </r>
  </si>
  <si>
    <t xml:space="preserve">31224212</t>
  </si>
  <si>
    <r>
      <rPr>
        <sz val="10"/>
        <rFont val="FreeSans"/>
        <family val="2"/>
      </rPr>
      <t xml:space="preserve">فنر سپراتور تغلیظ طول </t>
    </r>
    <r>
      <rPr>
        <sz val="10"/>
        <rFont val="Vazirmatn"/>
        <family val="0"/>
        <charset val="1"/>
      </rPr>
      <t xml:space="preserve">105mm - </t>
    </r>
    <r>
      <rPr>
        <sz val="10"/>
        <rFont val="FreeSans"/>
        <family val="2"/>
      </rPr>
      <t xml:space="preserve">گام </t>
    </r>
    <r>
      <rPr>
        <sz val="10"/>
        <rFont val="Vazirmatn"/>
        <family val="0"/>
        <charset val="1"/>
      </rPr>
      <t xml:space="preserve">25mm - </t>
    </r>
    <r>
      <rPr>
        <sz val="10"/>
        <rFont val="FreeSans"/>
        <family val="2"/>
      </rPr>
      <t xml:space="preserve">مفتول </t>
    </r>
    <r>
      <rPr>
        <sz val="10"/>
        <rFont val="Vazirmatn"/>
        <family val="0"/>
        <charset val="1"/>
      </rPr>
      <t xml:space="preserve">5mm - </t>
    </r>
    <r>
      <rPr>
        <sz val="10"/>
        <rFont val="FreeSans"/>
        <family val="2"/>
      </rPr>
      <t xml:space="preserve">قطر داخل </t>
    </r>
    <r>
      <rPr>
        <sz val="10"/>
        <rFont val="Vazirmatn"/>
        <family val="0"/>
        <charset val="1"/>
      </rPr>
      <t xml:space="preserve">64mm - </t>
    </r>
    <r>
      <rPr>
        <sz val="10"/>
        <rFont val="FreeSans"/>
        <family val="2"/>
      </rPr>
      <t xml:space="preserve">قطر خارج </t>
    </r>
    <r>
      <rPr>
        <sz val="10"/>
        <rFont val="Vazirmatn"/>
        <family val="0"/>
        <charset val="1"/>
      </rPr>
      <t xml:space="preserve">74mm</t>
    </r>
  </si>
  <si>
    <t xml:space="preserve">31224214</t>
  </si>
  <si>
    <t xml:space="preserve">فنر شفت ماکو</t>
  </si>
  <si>
    <t xml:space="preserve">31224215</t>
  </si>
  <si>
    <r>
      <rPr>
        <sz val="10"/>
        <rFont val="FreeSans"/>
        <family val="2"/>
      </rPr>
      <t xml:space="preserve">فنر فشاری دو سر تخت   </t>
    </r>
    <r>
      <rPr>
        <sz val="10"/>
        <rFont val="Vazirmatn"/>
        <family val="0"/>
        <charset val="1"/>
      </rPr>
      <t xml:space="preserve">35 * 10 * 15</t>
    </r>
  </si>
  <si>
    <t xml:space="preserve">31224217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</si>
  <si>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20 * 2/5 * 15</t>
    </r>
  </si>
  <si>
    <t xml:space="preserve">31224219</t>
  </si>
  <si>
    <r>
      <rPr>
        <sz val="10"/>
        <rFont val="FreeSans"/>
        <family val="2"/>
      </rPr>
      <t xml:space="preserve">فنر فولاد فنر  </t>
    </r>
    <r>
      <rPr>
        <sz val="10"/>
        <rFont val="Vazirmatn"/>
        <family val="0"/>
        <charset val="1"/>
      </rPr>
      <t xml:space="preserve">14Cm -  </t>
    </r>
    <r>
      <rPr>
        <sz val="10"/>
        <rFont val="FreeSans"/>
        <family val="2"/>
      </rPr>
      <t xml:space="preserve">گام فنر </t>
    </r>
    <r>
      <rPr>
        <sz val="10"/>
        <rFont val="Vazirmatn"/>
        <family val="0"/>
        <charset val="1"/>
      </rPr>
      <t xml:space="preserve">6mm - </t>
    </r>
    <r>
      <rPr>
        <sz val="10"/>
        <rFont val="FreeSans"/>
        <family val="2"/>
      </rPr>
      <t xml:space="preserve">قطر مفتول </t>
    </r>
    <r>
      <rPr>
        <sz val="10"/>
        <rFont val="Vazirmatn"/>
        <family val="0"/>
        <charset val="1"/>
      </rPr>
      <t xml:space="preserve">6mm  - </t>
    </r>
    <r>
      <rPr>
        <sz val="10"/>
        <rFont val="FreeSans"/>
        <family val="2"/>
      </rPr>
      <t xml:space="preserve">طول</t>
    </r>
    <r>
      <rPr>
        <sz val="10"/>
        <rFont val="Vazirmatn"/>
        <family val="0"/>
        <charset val="1"/>
      </rPr>
      <t xml:space="preserve">14Cm  </t>
    </r>
    <r>
      <rPr>
        <sz val="10"/>
        <rFont val="FreeSans"/>
        <family val="2"/>
      </rPr>
      <t xml:space="preserve">قطرفنر</t>
    </r>
    <r>
      <rPr>
        <sz val="10"/>
        <rFont val="Vazirmatn"/>
        <family val="0"/>
        <charset val="1"/>
      </rPr>
      <t xml:space="preserve">28mm</t>
    </r>
  </si>
  <si>
    <t xml:space="preserve">31224220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</si>
  <si>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20 * 3 * 14</t>
    </r>
  </si>
  <si>
    <t xml:space="preserve">31224225</t>
  </si>
  <si>
    <r>
      <rPr>
        <sz val="10"/>
        <rFont val="FreeSans"/>
        <family val="2"/>
      </rPr>
      <t xml:space="preserve">فنر کششی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سر قلاب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قطر فنر </t>
    </r>
    <r>
      <rPr>
        <sz val="10"/>
        <rFont val="Vazirmatn"/>
        <family val="0"/>
        <charset val="1"/>
      </rPr>
      <t xml:space="preserve">18/5mm - </t>
    </r>
    <r>
      <rPr>
        <sz val="10"/>
        <rFont val="FreeSans"/>
        <family val="2"/>
      </rPr>
      <t xml:space="preserve">قطر مفتول </t>
    </r>
    <r>
      <rPr>
        <sz val="10"/>
        <rFont val="Vazirmatn"/>
        <family val="0"/>
        <charset val="1"/>
      </rPr>
      <t xml:space="preserve">2/5mm - </t>
    </r>
    <r>
      <rPr>
        <sz val="10"/>
        <rFont val="FreeSans"/>
        <family val="2"/>
      </rPr>
      <t xml:space="preserve">طول فنر </t>
    </r>
    <r>
      <rPr>
        <sz val="10"/>
        <rFont val="Vazirmatn"/>
        <family val="0"/>
        <charset val="1"/>
      </rPr>
      <t xml:space="preserve">104mm - </t>
    </r>
    <r>
      <rPr>
        <sz val="10"/>
        <rFont val="FreeSans"/>
        <family val="2"/>
      </rPr>
      <t xml:space="preserve">طول فنر با قلاب </t>
    </r>
    <r>
      <rPr>
        <sz val="10"/>
        <rFont val="Vazirmatn"/>
        <family val="0"/>
        <charset val="1"/>
      </rPr>
      <t xml:space="preserve">138mm - </t>
    </r>
    <r>
      <rPr>
        <sz val="10"/>
        <rFont val="FreeSans"/>
        <family val="2"/>
      </rPr>
      <t xml:space="preserve">گام فنر </t>
    </r>
    <r>
      <rPr>
        <sz val="10"/>
        <rFont val="Vazirmatn"/>
        <family val="0"/>
        <charset val="1"/>
      </rPr>
      <t xml:space="preserve">2/5mm</t>
    </r>
  </si>
  <si>
    <t xml:space="preserve">31224228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</si>
  <si>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19 * 4/5 * 10</t>
    </r>
  </si>
  <si>
    <t xml:space="preserve">31224229</t>
  </si>
  <si>
    <r>
      <rPr>
        <sz val="10"/>
        <rFont val="FreeSans"/>
        <family val="2"/>
      </rPr>
      <t xml:space="preserve">فنر فشاری دو سر تخت   </t>
    </r>
    <r>
      <rPr>
        <sz val="10"/>
        <rFont val="Vazirmatn"/>
        <family val="0"/>
        <charset val="1"/>
      </rPr>
      <t xml:space="preserve">55 * 5 * 45</t>
    </r>
  </si>
  <si>
    <t xml:space="preserve">31224246</t>
  </si>
  <si>
    <r>
      <rPr>
        <sz val="10"/>
        <rFont val="FreeSans"/>
        <family val="2"/>
      </rPr>
      <t xml:space="preserve">فنر فشاری دو سر تخت خار دار  </t>
    </r>
    <r>
      <rPr>
        <sz val="10"/>
        <rFont val="Vazirmatn"/>
        <family val="0"/>
        <charset val="1"/>
      </rPr>
      <t xml:space="preserve">40 * 2/5 * 35</t>
    </r>
  </si>
  <si>
    <t xml:space="preserve">31224247</t>
  </si>
  <si>
    <r>
      <rPr>
        <sz val="10"/>
        <rFont val="FreeSans"/>
        <family val="2"/>
      </rPr>
      <t xml:space="preserve">فنر فشاری دو سر تخت فولادی  ارتفاع </t>
    </r>
    <r>
      <rPr>
        <sz val="10"/>
        <rFont val="Vazirmatn"/>
        <family val="0"/>
        <charset val="1"/>
      </rPr>
      <t xml:space="preserve">320mm - </t>
    </r>
    <r>
      <rPr>
        <sz val="10"/>
        <rFont val="FreeSans"/>
        <family val="2"/>
      </rPr>
      <t xml:space="preserve">قطر مفتول </t>
    </r>
    <r>
      <rPr>
        <sz val="10"/>
        <rFont val="Vazirmatn"/>
        <family val="0"/>
        <charset val="1"/>
      </rPr>
      <t xml:space="preserve">7/5mm - </t>
    </r>
    <r>
      <rPr>
        <sz val="10"/>
        <rFont val="FreeSans"/>
        <family val="2"/>
      </rPr>
      <t xml:space="preserve">قطر داخلی </t>
    </r>
    <r>
      <rPr>
        <sz val="10"/>
        <rFont val="Vazirmatn"/>
        <family val="0"/>
        <charset val="1"/>
      </rPr>
      <t xml:space="preserve">84mm - </t>
    </r>
    <r>
      <rPr>
        <sz val="10"/>
        <rFont val="FreeSans"/>
        <family val="2"/>
      </rPr>
      <t xml:space="preserve">قطر خارجی </t>
    </r>
    <r>
      <rPr>
        <sz val="10"/>
        <rFont val="Vazirmatn"/>
        <family val="0"/>
        <charset val="1"/>
      </rPr>
      <t xml:space="preserve">99mm - </t>
    </r>
    <r>
      <rPr>
        <sz val="10"/>
        <rFont val="FreeSans"/>
        <family val="2"/>
      </rPr>
      <t xml:space="preserve">گام </t>
    </r>
    <r>
      <rPr>
        <sz val="10"/>
        <rFont val="Vazirmatn"/>
        <family val="0"/>
        <charset val="1"/>
      </rPr>
      <t xml:space="preserve">37/5mm</t>
    </r>
  </si>
  <si>
    <t xml:space="preserve">31224248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</si>
  <si>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48 *  3 * 42</t>
    </r>
  </si>
  <si>
    <t xml:space="preserve">31224250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</si>
  <si>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110 * 10 * 90</t>
    </r>
  </si>
  <si>
    <t xml:space="preserve">31224253</t>
  </si>
  <si>
    <r>
      <rPr>
        <sz val="10"/>
        <rFont val="FreeSans"/>
        <family val="2"/>
      </rPr>
      <t xml:space="preserve">فنر فشاری دو سر تخت   </t>
    </r>
    <r>
      <rPr>
        <sz val="10"/>
        <rFont val="Vazirmatn"/>
        <family val="0"/>
        <charset val="1"/>
      </rPr>
      <t xml:space="preserve">19 * 4/5 * 10</t>
    </r>
  </si>
  <si>
    <t xml:space="preserve">31224270</t>
  </si>
  <si>
    <r>
      <rPr>
        <sz val="10"/>
        <rFont val="FreeSans"/>
        <family val="2"/>
      </rPr>
      <t xml:space="preserve">فنر فشاری دو سر تخت خاردار  </t>
    </r>
    <r>
      <rPr>
        <sz val="10"/>
        <rFont val="Vazirmatn"/>
        <family val="0"/>
        <charset val="1"/>
      </rPr>
      <t xml:space="preserve">48 * 3 * 42</t>
    </r>
  </si>
  <si>
    <t xml:space="preserve">31224280</t>
  </si>
  <si>
    <r>
      <rPr>
        <sz val="10"/>
        <rFont val="FreeSans"/>
        <family val="2"/>
      </rPr>
      <t xml:space="preserve">فنر فشاری دو سر تخت  </t>
    </r>
    <r>
      <rPr>
        <sz val="10"/>
        <rFont val="Vazirmatn"/>
        <family val="0"/>
        <charset val="1"/>
      </rPr>
      <t xml:space="preserve">75 * 65 * 5</t>
    </r>
  </si>
  <si>
    <t xml:space="preserve">31225098</t>
  </si>
  <si>
    <r>
      <rPr>
        <sz val="10"/>
        <rFont val="FreeSans"/>
        <family val="2"/>
      </rPr>
      <t xml:space="preserve">المنت کمپرسور اصلی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تا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اسب مدل شیلنگی </t>
    </r>
    <r>
      <rPr>
        <sz val="10"/>
        <rFont val="Vazirmatn"/>
        <family val="0"/>
        <charset val="1"/>
      </rPr>
      <t xml:space="preserve">TZPR B</t>
    </r>
  </si>
  <si>
    <t xml:space="preserve">31225099</t>
  </si>
  <si>
    <r>
      <rPr>
        <sz val="10"/>
        <rFont val="FreeSans"/>
        <family val="2"/>
      </rPr>
      <t xml:space="preserve">فیلتر اسکرین </t>
    </r>
    <r>
      <rPr>
        <sz val="10"/>
        <rFont val="Vazirmatn"/>
        <family val="0"/>
        <charset val="1"/>
      </rPr>
      <t xml:space="preserve">340 * 650 * 4000 (</t>
    </r>
    <r>
      <rPr>
        <sz val="10"/>
        <rFont val="FreeSans"/>
        <family val="2"/>
      </rPr>
      <t xml:space="preserve">دستگاه پیلر چینی </t>
    </r>
    <r>
      <rPr>
        <sz val="10"/>
        <rFont val="Vazirmatn"/>
        <family val="0"/>
        <charset val="1"/>
      </rPr>
      <t xml:space="preserve">)</t>
    </r>
  </si>
  <si>
    <t xml:space="preserve">31225101</t>
  </si>
  <si>
    <r>
      <rPr>
        <sz val="10"/>
        <rFont val="FreeSans"/>
        <family val="2"/>
      </rPr>
      <t xml:space="preserve">المنت فیلتر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فیلتراکس</t>
    </r>
    <r>
      <rPr>
        <sz val="10"/>
        <rFont val="Vazirmatn"/>
        <family val="0"/>
        <charset val="1"/>
      </rPr>
      <t xml:space="preserve">)</t>
    </r>
  </si>
  <si>
    <t xml:space="preserve">31225102</t>
  </si>
  <si>
    <r>
      <rPr>
        <sz val="10"/>
        <rFont val="FreeSans"/>
        <family val="2"/>
      </rPr>
      <t xml:space="preserve">فیلتر المنت اطلس </t>
    </r>
    <r>
      <rPr>
        <sz val="10"/>
        <rFont val="Vazirmatn"/>
        <family val="0"/>
        <charset val="1"/>
      </rPr>
      <t xml:space="preserve">ZT</t>
    </r>
  </si>
  <si>
    <t xml:space="preserve">31225105</t>
  </si>
  <si>
    <r>
      <rPr>
        <sz val="10"/>
        <rFont val="FreeSans"/>
        <family val="2"/>
      </rPr>
      <t xml:space="preserve">المنت فیلتر   </t>
    </r>
    <r>
      <rPr>
        <sz val="10"/>
        <rFont val="Vazirmatn"/>
        <family val="0"/>
        <charset val="1"/>
      </rPr>
      <t xml:space="preserve">l=100 cm    Qi=32mm  Qo=45mm</t>
    </r>
  </si>
  <si>
    <t xml:space="preserve">31225111</t>
  </si>
  <si>
    <r>
      <rPr>
        <sz val="10"/>
        <rFont val="FreeSans"/>
        <family val="2"/>
      </rPr>
      <t xml:space="preserve">فیلتر هیدرولیک </t>
    </r>
    <r>
      <rPr>
        <sz val="10"/>
        <rFont val="Vazirmatn"/>
        <family val="0"/>
        <charset val="1"/>
      </rPr>
      <t xml:space="preserve">" 1 (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6cm </t>
    </r>
    <r>
      <rPr>
        <sz val="10"/>
        <rFont val="FreeSans"/>
        <family val="2"/>
      </rPr>
      <t xml:space="preserve">ارتفاع </t>
    </r>
    <r>
      <rPr>
        <sz val="10"/>
        <rFont val="Vazirmatn"/>
        <family val="0"/>
        <charset val="1"/>
      </rPr>
      <t xml:space="preserve">14cm )</t>
    </r>
  </si>
  <si>
    <t xml:space="preserve">31225119</t>
  </si>
  <si>
    <r>
      <rPr>
        <sz val="10"/>
        <rFont val="FreeSans"/>
        <family val="2"/>
      </rPr>
      <t xml:space="preserve">المنت فیلتر هوا به همراه پوسته اولیه  </t>
    </r>
    <r>
      <rPr>
        <sz val="10"/>
        <rFont val="Vazirmatn"/>
        <family val="0"/>
        <charset val="1"/>
      </rPr>
      <t xml:space="preserve">" 2</t>
    </r>
  </si>
  <si>
    <t xml:space="preserve">31225120</t>
  </si>
  <si>
    <r>
      <rPr>
        <sz val="10"/>
        <rFont val="FreeSans"/>
        <family val="2"/>
      </rPr>
      <t xml:space="preserve">المنت فیلتر هوا بدون پوسته اولیه  </t>
    </r>
    <r>
      <rPr>
        <sz val="10"/>
        <rFont val="Vazirmatn"/>
        <family val="0"/>
        <charset val="1"/>
      </rPr>
      <t xml:space="preserve">" 2</t>
    </r>
  </si>
  <si>
    <t xml:space="preserve">31225121</t>
  </si>
  <si>
    <r>
      <rPr>
        <sz val="10"/>
        <rFont val="FreeSans"/>
        <family val="2"/>
      </rPr>
      <t xml:space="preserve">المنت فیلتر هوا به همراه پوسته ثانویه  </t>
    </r>
    <r>
      <rPr>
        <sz val="10"/>
        <rFont val="Vazirmatn"/>
        <family val="0"/>
        <charset val="1"/>
      </rPr>
      <t xml:space="preserve">" 2</t>
    </r>
  </si>
  <si>
    <t xml:space="preserve">31225122</t>
  </si>
  <si>
    <r>
      <rPr>
        <sz val="10"/>
        <rFont val="FreeSans"/>
        <family val="2"/>
      </rPr>
      <t xml:space="preserve">المنت فیلتر هوا بدون پوسته ثانویه  </t>
    </r>
    <r>
      <rPr>
        <sz val="10"/>
        <rFont val="Vazirmatn"/>
        <family val="0"/>
        <charset val="1"/>
      </rPr>
      <t xml:space="preserve">" 2</t>
    </r>
  </si>
  <si>
    <t xml:space="preserve">31225123</t>
  </si>
  <si>
    <r>
      <rPr>
        <sz val="10"/>
        <rFont val="FreeSans"/>
        <family val="2"/>
      </rPr>
      <t xml:space="preserve">المنت فیلتر هوا به همراه پوسته کربن اکتیو </t>
    </r>
    <r>
      <rPr>
        <sz val="10"/>
        <rFont val="Vazirmatn"/>
        <family val="0"/>
        <charset val="1"/>
      </rPr>
      <t xml:space="preserve">" 2</t>
    </r>
  </si>
  <si>
    <t xml:space="preserve">31225124</t>
  </si>
  <si>
    <r>
      <rPr>
        <sz val="10"/>
        <rFont val="FreeSans"/>
        <family val="2"/>
      </rPr>
      <t xml:space="preserve">المنت فیلتر هوا بدون پوسته کربن اکتیو </t>
    </r>
    <r>
      <rPr>
        <sz val="10"/>
        <rFont val="Vazirmatn"/>
        <family val="0"/>
        <charset val="1"/>
      </rPr>
      <t xml:space="preserve">" 2</t>
    </r>
  </si>
  <si>
    <t xml:space="preserve">31225126</t>
  </si>
  <si>
    <r>
      <rPr>
        <sz val="10"/>
        <rFont val="FreeSans"/>
        <family val="2"/>
      </rPr>
      <t xml:space="preserve">المنت فیلتر هوا بدون پوسته اولیه  </t>
    </r>
    <r>
      <rPr>
        <sz val="10"/>
        <rFont val="Vazirmatn"/>
        <family val="0"/>
        <charset val="1"/>
      </rPr>
      <t xml:space="preserve">" 1</t>
    </r>
  </si>
  <si>
    <t xml:space="preserve">31225127</t>
  </si>
  <si>
    <t xml:space="preserve">فیلتر  هواکش  لودر</t>
  </si>
  <si>
    <t xml:space="preserve">31225128</t>
  </si>
  <si>
    <r>
      <rPr>
        <sz val="10"/>
        <rFont val="FreeSans"/>
        <family val="2"/>
      </rPr>
      <t xml:space="preserve">المنت فیلتر هوا به همراه پوسته ثانویه  </t>
    </r>
    <r>
      <rPr>
        <sz val="10"/>
        <rFont val="Vazirmatn"/>
        <family val="0"/>
        <charset val="1"/>
      </rPr>
      <t xml:space="preserve">" 1</t>
    </r>
  </si>
  <si>
    <t xml:space="preserve">31225129</t>
  </si>
  <si>
    <r>
      <rPr>
        <sz val="10"/>
        <rFont val="FreeSans"/>
        <family val="2"/>
      </rPr>
      <t xml:space="preserve">المنت فیلتر هوا بدون پوسته ثانویه  </t>
    </r>
    <r>
      <rPr>
        <sz val="10"/>
        <rFont val="Vazirmatn"/>
        <family val="0"/>
        <charset val="1"/>
      </rPr>
      <t xml:space="preserve">" 1</t>
    </r>
  </si>
  <si>
    <t xml:space="preserve">31225130</t>
  </si>
  <si>
    <r>
      <rPr>
        <sz val="10"/>
        <rFont val="FreeSans"/>
        <family val="2"/>
      </rPr>
      <t xml:space="preserve">المنت فیلتر هوا بدون پوسته کربن اکتیو </t>
    </r>
    <r>
      <rPr>
        <sz val="10"/>
        <rFont val="Vazirmatn"/>
        <family val="0"/>
        <charset val="1"/>
      </rPr>
      <t xml:space="preserve">" 1</t>
    </r>
  </si>
  <si>
    <t xml:space="preserve">31225131</t>
  </si>
  <si>
    <r>
      <rPr>
        <sz val="10"/>
        <rFont val="FreeSans"/>
        <family val="2"/>
      </rPr>
      <t xml:space="preserve">المنت فیلتر ایتالیایی </t>
    </r>
    <r>
      <rPr>
        <sz val="10"/>
        <rFont val="Vazirmatn"/>
        <family val="0"/>
        <charset val="1"/>
      </rPr>
      <t xml:space="preserve">" 2  FSN</t>
    </r>
  </si>
  <si>
    <t xml:space="preserve">31225132</t>
  </si>
  <si>
    <r>
      <rPr>
        <sz val="10"/>
        <rFont val="FreeSans"/>
        <family val="2"/>
      </rPr>
      <t xml:space="preserve">فیلتر درایر  </t>
    </r>
    <r>
      <rPr>
        <sz val="10"/>
        <rFont val="Vazirmatn"/>
        <family val="0"/>
        <charset val="1"/>
      </rPr>
      <t xml:space="preserve">" 3/4</t>
    </r>
  </si>
  <si>
    <t xml:space="preserve">31225133</t>
  </si>
  <si>
    <r>
      <rPr>
        <sz val="10"/>
        <rFont val="FreeSans"/>
        <family val="2"/>
      </rPr>
      <t xml:space="preserve">فیلتر درایر دانفوس  </t>
    </r>
    <r>
      <rPr>
        <sz val="10"/>
        <rFont val="Vazirmatn"/>
        <family val="0"/>
        <charset val="1"/>
      </rPr>
      <t xml:space="preserve">" 3/8</t>
    </r>
  </si>
  <si>
    <t xml:space="preserve">31225137</t>
  </si>
  <si>
    <r>
      <rPr>
        <sz val="10"/>
        <rFont val="FreeSans"/>
        <family val="2"/>
      </rPr>
      <t xml:space="preserve">المنت فیلتر   </t>
    </r>
    <r>
      <rPr>
        <sz val="10"/>
        <rFont val="Vazirmatn"/>
        <family val="0"/>
        <charset val="1"/>
      </rPr>
      <t xml:space="preserve">M500 X   MIKROPOR</t>
    </r>
  </si>
  <si>
    <t xml:space="preserve">31225138</t>
  </si>
  <si>
    <r>
      <rPr>
        <sz val="10"/>
        <rFont val="FreeSans"/>
        <family val="2"/>
      </rPr>
      <t xml:space="preserve">المنت فیلتر   </t>
    </r>
    <r>
      <rPr>
        <sz val="10"/>
        <rFont val="Vazirmatn"/>
        <family val="0"/>
        <charset val="1"/>
      </rPr>
      <t xml:space="preserve">M500 Y   MIKROPOR</t>
    </r>
  </si>
  <si>
    <t xml:space="preserve">31225139</t>
  </si>
  <si>
    <r>
      <rPr>
        <sz val="10"/>
        <rFont val="FreeSans"/>
        <family val="2"/>
      </rPr>
      <t xml:space="preserve">المنت فیلتر درایر </t>
    </r>
    <r>
      <rPr>
        <sz val="10"/>
        <rFont val="Vazirmatn"/>
        <family val="0"/>
        <charset val="1"/>
      </rPr>
      <t xml:space="preserve">MKE 930  MKO 1210 Y</t>
    </r>
  </si>
  <si>
    <t xml:space="preserve">31225140</t>
  </si>
  <si>
    <r>
      <rPr>
        <sz val="10"/>
        <rFont val="FreeSans"/>
        <family val="2"/>
      </rPr>
      <t xml:space="preserve">المنت فیلتر درایر </t>
    </r>
    <r>
      <rPr>
        <sz val="10"/>
        <rFont val="Vazirmatn"/>
        <family val="0"/>
        <charset val="1"/>
      </rPr>
      <t xml:space="preserve">MKE 930  MKO 1210 X</t>
    </r>
  </si>
  <si>
    <t xml:space="preserve">31225143</t>
  </si>
  <si>
    <r>
      <rPr>
        <sz val="10"/>
        <rFont val="FreeSans"/>
        <family val="2"/>
      </rPr>
      <t xml:space="preserve">فیلتر هوای کوچک لیفتراک سپاهان گاز سوز </t>
    </r>
    <r>
      <rPr>
        <sz val="10"/>
        <rFont val="Vazirmatn"/>
        <family val="0"/>
        <charset val="1"/>
      </rPr>
      <t xml:space="preserve">Sj</t>
    </r>
  </si>
  <si>
    <t xml:space="preserve">31225144</t>
  </si>
  <si>
    <t xml:space="preserve">المنت دستگاه بنماری</t>
  </si>
  <si>
    <t xml:space="preserve">31225145</t>
  </si>
  <si>
    <r>
      <rPr>
        <sz val="10"/>
        <rFont val="FreeSans"/>
        <family val="2"/>
      </rPr>
      <t xml:space="preserve">المنت فیلتر   </t>
    </r>
    <r>
      <rPr>
        <sz val="10"/>
        <rFont val="Vazirmatn"/>
        <family val="0"/>
        <charset val="1"/>
      </rPr>
      <t xml:space="preserve">L=940 mm    Qi=32mm  Qo=45mm</t>
    </r>
  </si>
  <si>
    <t xml:space="preserve">31225146</t>
  </si>
  <si>
    <r>
      <rPr>
        <sz val="10"/>
        <rFont val="FreeSans"/>
        <family val="2"/>
      </rPr>
      <t xml:space="preserve">المنت فیلتر   </t>
    </r>
    <r>
      <rPr>
        <sz val="10"/>
        <rFont val="Vazirmatn"/>
        <family val="0"/>
        <charset val="1"/>
      </rPr>
      <t xml:space="preserve">L=800 mm    Qi=32mm  Qo=45mm</t>
    </r>
  </si>
  <si>
    <t xml:space="preserve">31225147</t>
  </si>
  <si>
    <r>
      <rPr>
        <sz val="10"/>
        <rFont val="FreeSans"/>
        <family val="2"/>
      </rPr>
      <t xml:space="preserve">المنت فیلتر   </t>
    </r>
    <r>
      <rPr>
        <sz val="10"/>
        <rFont val="Vazirmatn"/>
        <family val="0"/>
        <charset val="1"/>
      </rPr>
      <t xml:space="preserve">L=500 mm    Qi=32mm  Qo=45mm</t>
    </r>
  </si>
  <si>
    <t xml:space="preserve">31225148</t>
  </si>
  <si>
    <r>
      <rPr>
        <sz val="10"/>
        <rFont val="FreeSans"/>
        <family val="2"/>
      </rPr>
      <t xml:space="preserve">اویل سپراتور چیلر  </t>
    </r>
    <r>
      <rPr>
        <sz val="10"/>
        <rFont val="Vazirmatn"/>
        <family val="0"/>
        <charset val="1"/>
      </rPr>
      <t xml:space="preserve">1.3/8 </t>
    </r>
    <r>
      <rPr>
        <sz val="10"/>
        <rFont val="FreeSans"/>
        <family val="2"/>
      </rPr>
      <t xml:space="preserve">کستل</t>
    </r>
  </si>
  <si>
    <t xml:space="preserve">31225149</t>
  </si>
  <si>
    <r>
      <rPr>
        <sz val="10"/>
        <rFont val="FreeSans"/>
        <family val="2"/>
      </rPr>
      <t xml:space="preserve">المنت آبگرمکن ایستاده برقی سپهر الکتریک  </t>
    </r>
    <r>
      <rPr>
        <sz val="10"/>
        <rFont val="Vazirmatn"/>
        <family val="0"/>
        <charset val="1"/>
      </rPr>
      <t xml:space="preserve">SE-250</t>
    </r>
  </si>
  <si>
    <t xml:space="preserve">31225151</t>
  </si>
  <si>
    <r>
      <rPr>
        <sz val="10"/>
        <rFont val="FreeSans"/>
        <family val="2"/>
      </rPr>
      <t xml:space="preserve">فیلتر گاز   </t>
    </r>
    <r>
      <rPr>
        <sz val="10"/>
        <rFont val="Vazirmatn"/>
        <family val="0"/>
        <charset val="1"/>
      </rPr>
      <t xml:space="preserve">"3</t>
    </r>
  </si>
  <si>
    <t xml:space="preserve">31225152</t>
  </si>
  <si>
    <r>
      <rPr>
        <sz val="10"/>
        <rFont val="FreeSans"/>
        <family val="2"/>
      </rPr>
      <t xml:space="preserve">فیلتر روغن لودر             </t>
    </r>
    <r>
      <rPr>
        <sz val="10"/>
        <rFont val="Vazirmatn"/>
        <family val="0"/>
        <charset val="1"/>
      </rPr>
      <t xml:space="preserve">OIL FILTER  USO 0065C</t>
    </r>
  </si>
  <si>
    <t xml:space="preserve">31225155</t>
  </si>
  <si>
    <r>
      <rPr>
        <sz val="10"/>
        <rFont val="FreeSans"/>
        <family val="2"/>
      </rPr>
      <t xml:space="preserve">فیلتر گازوئیل لودر              </t>
    </r>
    <r>
      <rPr>
        <sz val="10"/>
        <rFont val="Vazirmatn"/>
        <family val="0"/>
        <charset val="1"/>
      </rPr>
      <t xml:space="preserve">FUIL FILTER USF 0045</t>
    </r>
  </si>
  <si>
    <t xml:space="preserve">31225157</t>
  </si>
  <si>
    <r>
      <rPr>
        <sz val="10"/>
        <rFont val="FreeSans"/>
        <family val="2"/>
      </rPr>
      <t xml:space="preserve">فیلتر پلیت   </t>
    </r>
    <r>
      <rPr>
        <sz val="10"/>
        <rFont val="Vazirmatn"/>
        <family val="0"/>
        <charset val="1"/>
      </rPr>
      <t xml:space="preserve">192*100*52</t>
    </r>
  </si>
  <si>
    <t xml:space="preserve">31225159</t>
  </si>
  <si>
    <r>
      <rPr>
        <sz val="10"/>
        <rFont val="FreeSans"/>
        <family val="2"/>
      </rPr>
      <t xml:space="preserve">فیلتر روغن لیفتراک گاز سوز </t>
    </r>
    <r>
      <rPr>
        <sz val="10"/>
        <rFont val="Vazirmatn"/>
        <family val="0"/>
        <charset val="1"/>
      </rPr>
      <t xml:space="preserve">Sj</t>
    </r>
  </si>
  <si>
    <t xml:space="preserve">31225160</t>
  </si>
  <si>
    <r>
      <rPr>
        <sz val="10"/>
        <rFont val="FreeSans"/>
        <family val="2"/>
      </rPr>
      <t xml:space="preserve">فیلتر درایر مهره ای دانفوس </t>
    </r>
    <r>
      <rPr>
        <sz val="10"/>
        <rFont val="Vazirmatn"/>
        <family val="0"/>
        <charset val="1"/>
      </rPr>
      <t xml:space="preserve">165 DCL</t>
    </r>
  </si>
  <si>
    <t xml:space="preserve">31225161</t>
  </si>
  <si>
    <r>
      <rPr>
        <sz val="10"/>
        <rFont val="FreeSans"/>
        <family val="2"/>
      </rPr>
      <t xml:space="preserve">فیلتر مخازن یونیکس چنج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یون زدایی </t>
    </r>
    <r>
      <rPr>
        <sz val="10"/>
        <rFont val="Vazirmatn"/>
        <family val="0"/>
        <charset val="1"/>
      </rPr>
      <t xml:space="preserve">) 1</t>
    </r>
  </si>
  <si>
    <t xml:space="preserve">31225163</t>
  </si>
  <si>
    <r>
      <rPr>
        <sz val="10"/>
        <rFont val="FreeSans"/>
        <family val="2"/>
      </rPr>
      <t xml:space="preserve">فیلتر مخازن یونیکس چنج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یون زدایی </t>
    </r>
    <r>
      <rPr>
        <sz val="10"/>
        <rFont val="Vazirmatn"/>
        <family val="0"/>
        <charset val="1"/>
      </rPr>
      <t xml:space="preserve">) 3</t>
    </r>
  </si>
  <si>
    <t xml:space="preserve">31225164</t>
  </si>
  <si>
    <r>
      <rPr>
        <sz val="10"/>
        <rFont val="FreeSans"/>
        <family val="2"/>
      </rPr>
      <t xml:space="preserve">فیلتر مخازن یونیکس چنج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یون زدایی </t>
    </r>
    <r>
      <rPr>
        <sz val="10"/>
        <rFont val="Vazirmatn"/>
        <family val="0"/>
        <charset val="1"/>
      </rPr>
      <t xml:space="preserve">) 4</t>
    </r>
  </si>
  <si>
    <t xml:space="preserve">31225165</t>
  </si>
  <si>
    <r>
      <rPr>
        <sz val="10"/>
        <rFont val="FreeSans"/>
        <family val="2"/>
      </rPr>
      <t xml:space="preserve">فیلتر مخازن </t>
    </r>
    <r>
      <rPr>
        <sz val="10"/>
        <rFont val="Vazirmatn"/>
        <family val="0"/>
        <charset val="1"/>
      </rPr>
      <t xml:space="preserve">( RO )</t>
    </r>
  </si>
  <si>
    <t xml:space="preserve">31225169</t>
  </si>
  <si>
    <r>
      <rPr>
        <sz val="10"/>
        <rFont val="FreeSans"/>
        <family val="2"/>
      </rPr>
      <t xml:space="preserve">فیلتر تابلویی       </t>
    </r>
    <r>
      <rPr>
        <sz val="10"/>
        <rFont val="Vazirmatn"/>
        <family val="0"/>
        <charset val="1"/>
      </rPr>
      <t xml:space="preserve">22*22</t>
    </r>
  </si>
  <si>
    <t xml:space="preserve">31225170</t>
  </si>
  <si>
    <r>
      <rPr>
        <sz val="10"/>
        <rFont val="FreeSans"/>
        <family val="2"/>
      </rPr>
      <t xml:space="preserve">فیلتر پلیت </t>
    </r>
    <r>
      <rPr>
        <sz val="10"/>
        <rFont val="Vazirmatn"/>
        <family val="0"/>
        <charset val="1"/>
      </rPr>
      <t xml:space="preserve">NYB - 30</t>
    </r>
  </si>
  <si>
    <t xml:space="preserve">31225171</t>
  </si>
  <si>
    <r>
      <rPr>
        <sz val="10"/>
        <rFont val="FreeSans"/>
        <family val="2"/>
      </rPr>
      <t xml:space="preserve">فیلتر هوا کمپرسور پارس </t>
    </r>
    <r>
      <rPr>
        <sz val="10"/>
        <rFont val="Vazirmatn"/>
        <family val="0"/>
        <charset val="1"/>
      </rPr>
      <t xml:space="preserve">150</t>
    </r>
  </si>
  <si>
    <t xml:space="preserve">31225172</t>
  </si>
  <si>
    <r>
      <rPr>
        <sz val="10"/>
        <rFont val="FreeSans"/>
        <family val="2"/>
      </rPr>
      <t xml:space="preserve">فیلتر مخازن یونیکس چنج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یون زدایی </t>
    </r>
    <r>
      <rPr>
        <sz val="10"/>
        <rFont val="Vazirmatn"/>
        <family val="0"/>
        <charset val="1"/>
      </rPr>
      <t xml:space="preserve">)</t>
    </r>
  </si>
  <si>
    <t xml:space="preserve">31225173</t>
  </si>
  <si>
    <r>
      <rPr>
        <sz val="10"/>
        <rFont val="FreeSans"/>
        <family val="2"/>
      </rPr>
      <t xml:space="preserve">فیلتر رابط مخازن یونیکس چنج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یون زدایی </t>
    </r>
    <r>
      <rPr>
        <sz val="10"/>
        <rFont val="Vazirmatn"/>
        <family val="0"/>
        <charset val="1"/>
      </rPr>
      <t xml:space="preserve">)</t>
    </r>
  </si>
  <si>
    <t xml:space="preserve">31225174</t>
  </si>
  <si>
    <r>
      <rPr>
        <sz val="10"/>
        <rFont val="FreeSans"/>
        <family val="2"/>
      </rPr>
      <t xml:space="preserve">فیلتر بلند مخازن یونیکس چنج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یون زدایی </t>
    </r>
    <r>
      <rPr>
        <sz val="10"/>
        <rFont val="Vazirmatn"/>
        <family val="0"/>
        <charset val="1"/>
      </rPr>
      <t xml:space="preserve">)</t>
    </r>
  </si>
  <si>
    <t xml:space="preserve">31225175</t>
  </si>
  <si>
    <r>
      <rPr>
        <sz val="10"/>
        <rFont val="FreeSans"/>
        <family val="2"/>
      </rPr>
      <t xml:space="preserve">فیلتر پلیت  </t>
    </r>
    <r>
      <rPr>
        <sz val="10"/>
        <rFont val="Vazirmatn"/>
        <family val="0"/>
        <charset val="1"/>
      </rPr>
      <t xml:space="preserve">NYB - 30  145*127*75</t>
    </r>
  </si>
  <si>
    <t xml:space="preserve">31225176</t>
  </si>
  <si>
    <r>
      <rPr>
        <sz val="10"/>
        <rFont val="FreeSans"/>
        <family val="2"/>
      </rPr>
      <t xml:space="preserve">فیلتر پلیت  </t>
    </r>
    <r>
      <rPr>
        <sz val="10"/>
        <rFont val="Vazirmatn"/>
        <family val="0"/>
        <charset val="1"/>
      </rPr>
      <t xml:space="preserve">NYB - 30  141*125*140</t>
    </r>
  </si>
  <si>
    <t xml:space="preserve">31225177</t>
  </si>
  <si>
    <r>
      <rPr>
        <sz val="10"/>
        <rFont val="FreeSans"/>
        <family val="2"/>
      </rPr>
      <t xml:space="preserve">فیلتر پلیت  </t>
    </r>
    <r>
      <rPr>
        <sz val="10"/>
        <rFont val="Vazirmatn"/>
        <family val="0"/>
        <charset val="1"/>
      </rPr>
      <t xml:space="preserve">NYB - 30  143*126*140</t>
    </r>
  </si>
  <si>
    <t xml:space="preserve">31225178</t>
  </si>
  <si>
    <r>
      <rPr>
        <sz val="10"/>
        <rFont val="FreeSans"/>
        <family val="2"/>
      </rPr>
      <t xml:space="preserve">فیلتر پلیت  </t>
    </r>
    <r>
      <rPr>
        <sz val="10"/>
        <rFont val="Vazirmatn"/>
        <family val="0"/>
        <charset val="1"/>
      </rPr>
      <t xml:space="preserve">NYB - 30  143*126*150</t>
    </r>
  </si>
  <si>
    <t xml:space="preserve">31225179</t>
  </si>
  <si>
    <t xml:space="preserve">فیلتر روغن پک روغن سپراتور</t>
  </si>
  <si>
    <t xml:space="preserve">31225183</t>
  </si>
  <si>
    <r>
      <rPr>
        <sz val="10"/>
        <rFont val="FreeSans"/>
        <family val="2"/>
      </rPr>
      <t xml:space="preserve">فیلتر هوا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بسته بندی نشاسته </t>
    </r>
    <r>
      <rPr>
        <sz val="10"/>
        <rFont val="Vazirmatn"/>
        <family val="0"/>
        <charset val="1"/>
      </rPr>
      <t xml:space="preserve">)</t>
    </r>
  </si>
  <si>
    <t xml:space="preserve">31225184</t>
  </si>
  <si>
    <r>
      <rPr>
        <sz val="10"/>
        <rFont val="FreeSans"/>
        <family val="2"/>
      </rPr>
      <t xml:space="preserve">کر فیلتر درایر ساده  </t>
    </r>
    <r>
      <rPr>
        <sz val="10"/>
        <rFont val="Vazirmatn"/>
        <family val="0"/>
        <charset val="1"/>
      </rPr>
      <t xml:space="preserve">48dc</t>
    </r>
  </si>
  <si>
    <t xml:space="preserve">31225187</t>
  </si>
  <si>
    <r>
      <rPr>
        <sz val="10"/>
        <rFont val="FreeSans"/>
        <family val="2"/>
      </rPr>
      <t xml:space="preserve">فیلتر درایر نقره ای </t>
    </r>
    <r>
      <rPr>
        <sz val="10"/>
        <rFont val="Vazirmatn"/>
        <family val="0"/>
        <charset val="1"/>
      </rPr>
      <t xml:space="preserve">165</t>
    </r>
  </si>
  <si>
    <t xml:space="preserve">31225189</t>
  </si>
  <si>
    <r>
      <rPr>
        <sz val="10"/>
        <rFont val="FreeSans"/>
        <family val="2"/>
      </rPr>
      <t xml:space="preserve">فیلتر درایر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گرمی</t>
    </r>
  </si>
  <si>
    <t xml:space="preserve">31225193</t>
  </si>
  <si>
    <r>
      <rPr>
        <sz val="10"/>
        <rFont val="FreeSans"/>
        <family val="2"/>
      </rPr>
      <t xml:space="preserve">فیلتر هوا کمپرسور پارس</t>
    </r>
    <r>
      <rPr>
        <sz val="10"/>
        <rFont val="Vazirmatn"/>
        <family val="0"/>
        <charset val="1"/>
      </rPr>
      <t xml:space="preserve">160</t>
    </r>
  </si>
  <si>
    <t xml:space="preserve">31225196</t>
  </si>
  <si>
    <r>
      <rPr>
        <sz val="10"/>
        <rFont val="FreeSans"/>
        <family val="2"/>
      </rPr>
      <t xml:space="preserve">صافی جوهر جت پرینتر زاناسی </t>
    </r>
    <r>
      <rPr>
        <sz val="10"/>
        <rFont val="Vazirmatn"/>
        <family val="0"/>
        <charset val="1"/>
      </rPr>
      <t xml:space="preserve">Z 402</t>
    </r>
  </si>
  <si>
    <t xml:space="preserve">31225199</t>
  </si>
  <si>
    <t xml:space="preserve">فیلتر سوخت تله آب گیر</t>
  </si>
  <si>
    <t xml:space="preserve">31225200</t>
  </si>
  <si>
    <t xml:space="preserve">فیلتر سوخت شیردار</t>
  </si>
  <si>
    <t xml:space="preserve">31225204</t>
  </si>
  <si>
    <r>
      <rPr>
        <sz val="10"/>
        <rFont val="FreeSans"/>
        <family val="2"/>
      </rPr>
      <t xml:space="preserve">میکرو فیلتر </t>
    </r>
    <r>
      <rPr>
        <sz val="10"/>
        <rFont val="Vazirmatn"/>
        <family val="0"/>
        <charset val="1"/>
      </rPr>
      <t xml:space="preserve">" 2 </t>
    </r>
    <r>
      <rPr>
        <sz val="10"/>
        <rFont val="FreeSans"/>
        <family val="2"/>
      </rPr>
      <t xml:space="preserve">عامل</t>
    </r>
  </si>
  <si>
    <t xml:space="preserve">31225209</t>
  </si>
  <si>
    <t xml:space="preserve">فیلتر هواکش کمپرسور دیگ بخار</t>
  </si>
  <si>
    <t xml:space="preserve">31225211</t>
  </si>
  <si>
    <t xml:space="preserve">فیلتر روغن گیربکس پرس روغن</t>
  </si>
  <si>
    <t xml:space="preserve">31225225</t>
  </si>
  <si>
    <r>
      <rPr>
        <sz val="10"/>
        <rFont val="FreeSans"/>
        <family val="2"/>
      </rPr>
      <t xml:space="preserve">فیلتر سپراتور تورنادو </t>
    </r>
    <r>
      <rPr>
        <sz val="10"/>
        <rFont val="Vazirmatn"/>
        <family val="0"/>
        <charset val="1"/>
      </rPr>
      <t xml:space="preserve">( 100 )</t>
    </r>
  </si>
  <si>
    <t xml:space="preserve">31225226</t>
  </si>
  <si>
    <r>
      <rPr>
        <sz val="10"/>
        <rFont val="FreeSans"/>
        <family val="2"/>
      </rPr>
      <t xml:space="preserve">فیلتر روغن تورنادو </t>
    </r>
    <r>
      <rPr>
        <sz val="10"/>
        <rFont val="Vazirmatn"/>
        <family val="0"/>
        <charset val="1"/>
      </rPr>
      <t xml:space="preserve">( 100 )</t>
    </r>
  </si>
  <si>
    <t xml:space="preserve">31225227</t>
  </si>
  <si>
    <r>
      <rPr>
        <sz val="10"/>
        <rFont val="FreeSans"/>
        <family val="2"/>
      </rPr>
      <t xml:space="preserve">فیلتر هوای تورنادو </t>
    </r>
    <r>
      <rPr>
        <sz val="10"/>
        <rFont val="Vazirmatn"/>
        <family val="0"/>
        <charset val="1"/>
      </rPr>
      <t xml:space="preserve">( 100 )</t>
    </r>
  </si>
  <si>
    <t xml:space="preserve">31225228</t>
  </si>
  <si>
    <r>
      <rPr>
        <sz val="10"/>
        <rFont val="FreeSans"/>
        <family val="2"/>
      </rPr>
      <t xml:space="preserve">جدا کننده گاز روغن داخل کمپرسور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اسب کوپلند</t>
    </r>
  </si>
  <si>
    <t xml:space="preserve">31225230</t>
  </si>
  <si>
    <r>
      <rPr>
        <sz val="10"/>
        <rFont val="FreeSans"/>
        <family val="2"/>
      </rPr>
      <t xml:space="preserve">فیلتر روغن کمپرسور </t>
    </r>
    <r>
      <rPr>
        <sz val="10"/>
        <rFont val="Vazirmatn"/>
        <family val="0"/>
        <charset val="1"/>
      </rPr>
      <t xml:space="preserve">150</t>
    </r>
  </si>
  <si>
    <t xml:space="preserve">31225232</t>
  </si>
  <si>
    <r>
      <rPr>
        <sz val="10"/>
        <rFont val="FreeSans"/>
        <family val="2"/>
      </rPr>
      <t xml:space="preserve">فیلتر سپراتور       </t>
    </r>
    <r>
      <rPr>
        <sz val="10"/>
        <rFont val="Vazirmatn"/>
        <family val="0"/>
        <charset val="1"/>
      </rPr>
      <t xml:space="preserve">150 B</t>
    </r>
  </si>
  <si>
    <t xml:space="preserve">31225237</t>
  </si>
  <si>
    <r>
      <rPr>
        <sz val="10"/>
        <rFont val="FreeSans"/>
        <family val="2"/>
      </rPr>
      <t xml:space="preserve">فیلتر روغن اطلس </t>
    </r>
    <r>
      <rPr>
        <sz val="10"/>
        <rFont val="Vazirmatn"/>
        <family val="0"/>
        <charset val="1"/>
      </rPr>
      <t xml:space="preserve">ZT</t>
    </r>
  </si>
  <si>
    <t xml:space="preserve">31225239</t>
  </si>
  <si>
    <r>
      <rPr>
        <sz val="10"/>
        <rFont val="FreeSans"/>
        <family val="2"/>
      </rPr>
      <t xml:space="preserve">فیلتر هوای اطلس </t>
    </r>
    <r>
      <rPr>
        <sz val="10"/>
        <rFont val="Vazirmatn"/>
        <family val="0"/>
        <charset val="1"/>
      </rPr>
      <t xml:space="preserve">ZT</t>
    </r>
  </si>
  <si>
    <t xml:space="preserve">31225240</t>
  </si>
  <si>
    <t xml:space="preserve">فیلتر استیل ایزومراسیون</t>
  </si>
  <si>
    <t xml:space="preserve">31225241</t>
  </si>
  <si>
    <r>
      <rPr>
        <sz val="10"/>
        <rFont val="FreeSans"/>
        <family val="2"/>
      </rPr>
      <t xml:space="preserve">فیلتر استیل هوای پاک </t>
    </r>
    <r>
      <rPr>
        <sz val="10"/>
        <rFont val="Vazirmatn"/>
        <family val="0"/>
        <charset val="1"/>
      </rPr>
      <t xml:space="preserve">"3</t>
    </r>
  </si>
  <si>
    <t xml:space="preserve">31225245</t>
  </si>
  <si>
    <t xml:space="preserve">( Filter element ( Membrane</t>
  </si>
  <si>
    <t xml:space="preserve">31225247</t>
  </si>
  <si>
    <r>
      <rPr>
        <sz val="10"/>
        <rFont val="FreeSans"/>
        <family val="2"/>
      </rPr>
      <t xml:space="preserve">فیلتر روغن </t>
    </r>
    <r>
      <rPr>
        <sz val="10"/>
        <rFont val="Vazirmatn"/>
        <family val="0"/>
        <charset val="1"/>
      </rPr>
      <t xml:space="preserve">4054  </t>
    </r>
    <r>
      <rPr>
        <sz val="10"/>
        <rFont val="FreeSans"/>
        <family val="2"/>
      </rPr>
      <t xml:space="preserve">یونیک</t>
    </r>
  </si>
  <si>
    <t xml:space="preserve">31225254</t>
  </si>
  <si>
    <r>
      <rPr>
        <sz val="10"/>
        <rFont val="FreeSans"/>
        <family val="2"/>
      </rPr>
      <t xml:space="preserve">فیلتر ماسک شیمیایی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حالته اسپاسیانی </t>
    </r>
    <r>
      <rPr>
        <sz val="10"/>
        <rFont val="Vazirmatn"/>
        <family val="0"/>
        <charset val="1"/>
      </rPr>
      <t xml:space="preserve">A2B2E2K2HG CO 20</t>
    </r>
  </si>
  <si>
    <t xml:space="preserve">31225255</t>
  </si>
  <si>
    <r>
      <rPr>
        <sz val="10"/>
        <rFont val="FreeSans"/>
        <family val="2"/>
      </rPr>
      <t xml:space="preserve">فیلتر   </t>
    </r>
    <r>
      <rPr>
        <sz val="10"/>
        <rFont val="Vazirmatn"/>
        <family val="0"/>
        <charset val="1"/>
      </rPr>
      <t xml:space="preserve">Spaciani   A1B1</t>
    </r>
  </si>
  <si>
    <t xml:space="preserve">31225257</t>
  </si>
  <si>
    <r>
      <rPr>
        <sz val="10"/>
        <rFont val="FreeSans"/>
        <family val="2"/>
      </rPr>
      <t xml:space="preserve">فیلتر ماسک شیمیایی نوار زرد </t>
    </r>
    <r>
      <rPr>
        <sz val="10"/>
        <rFont val="Vazirmatn"/>
        <family val="0"/>
        <charset val="1"/>
      </rPr>
      <t xml:space="preserve">AO SAFTEY R53A</t>
    </r>
  </si>
  <si>
    <t xml:space="preserve">31225411</t>
  </si>
  <si>
    <r>
      <rPr>
        <sz val="10"/>
        <rFont val="FreeSans"/>
        <family val="2"/>
      </rPr>
      <t xml:space="preserve">المنت پمپ </t>
    </r>
    <r>
      <rPr>
        <sz val="10"/>
        <rFont val="Vazirmatn"/>
        <family val="0"/>
        <charset val="1"/>
      </rPr>
      <t xml:space="preserve">282AK</t>
    </r>
  </si>
  <si>
    <t xml:space="preserve">31225412</t>
  </si>
  <si>
    <r>
      <rPr>
        <sz val="10"/>
        <rFont val="FreeSans"/>
        <family val="2"/>
      </rPr>
      <t xml:space="preserve">فیلتر المنت </t>
    </r>
    <r>
      <rPr>
        <sz val="10"/>
        <rFont val="Vazirmatn"/>
        <family val="0"/>
        <charset val="1"/>
      </rPr>
      <t xml:space="preserve">500*22  (Inspection filter) TL (0)</t>
    </r>
  </si>
  <si>
    <t xml:space="preserve">31225413</t>
  </si>
  <si>
    <r>
      <rPr>
        <sz val="10"/>
        <rFont val="FreeSans"/>
        <family val="2"/>
      </rPr>
      <t xml:space="preserve">فیلتر المنت </t>
    </r>
    <r>
      <rPr>
        <sz val="10"/>
        <rFont val="Vazirmatn"/>
        <family val="0"/>
        <charset val="1"/>
      </rPr>
      <t xml:space="preserve">1000*22  (Inspection filter) TL (0)</t>
    </r>
  </si>
  <si>
    <t xml:space="preserve">31225414</t>
  </si>
  <si>
    <r>
      <rPr>
        <sz val="10"/>
        <rFont val="FreeSans"/>
        <family val="2"/>
      </rPr>
      <t xml:space="preserve">فیلتر غشایی        </t>
    </r>
    <r>
      <rPr>
        <sz val="10"/>
        <rFont val="Vazirmatn"/>
        <family val="0"/>
        <charset val="1"/>
      </rPr>
      <t xml:space="preserve">12ZPB4</t>
    </r>
  </si>
  <si>
    <t xml:space="preserve">31225416</t>
  </si>
  <si>
    <r>
      <rPr>
        <sz val="10"/>
        <rFont val="FreeSans"/>
        <family val="2"/>
      </rPr>
      <t xml:space="preserve">فیلتر     </t>
    </r>
    <r>
      <rPr>
        <sz val="10"/>
        <rFont val="Vazirmatn"/>
        <family val="0"/>
        <charset val="1"/>
      </rPr>
      <t xml:space="preserve">Hight efficiency   filter</t>
    </r>
  </si>
  <si>
    <t xml:space="preserve">31225421</t>
  </si>
  <si>
    <r>
      <rPr>
        <sz val="10"/>
        <rFont val="FreeSans"/>
        <family val="2"/>
      </rPr>
      <t xml:space="preserve">بلوور فن کولر گازی    </t>
    </r>
    <r>
      <rPr>
        <sz val="10"/>
        <rFont val="Vazirmatn"/>
        <family val="0"/>
        <charset val="1"/>
      </rPr>
      <t xml:space="preserve">24000</t>
    </r>
  </si>
  <si>
    <t xml:space="preserve">31226102</t>
  </si>
  <si>
    <r>
      <rPr>
        <sz val="10"/>
        <rFont val="FreeSans"/>
        <family val="2"/>
      </rPr>
      <t xml:space="preserve">ذغال سیل آلفا لاوال </t>
    </r>
    <r>
      <rPr>
        <sz val="10"/>
        <rFont val="Vazirmatn"/>
        <family val="0"/>
        <charset val="1"/>
      </rPr>
      <t xml:space="preserve">Sru4 hyclean</t>
    </r>
  </si>
  <si>
    <t xml:space="preserve">31226103</t>
  </si>
  <si>
    <t xml:space="preserve">ذغال سنگ فرز بزرگ</t>
  </si>
  <si>
    <t xml:space="preserve">31226104</t>
  </si>
  <si>
    <t xml:space="preserve">ذغال چرخ دوخت</t>
  </si>
  <si>
    <t xml:space="preserve">31226105</t>
  </si>
  <si>
    <t xml:space="preserve">ذغال سنگ فرز</t>
  </si>
  <si>
    <t xml:space="preserve">31226107</t>
  </si>
  <si>
    <r>
      <rPr>
        <sz val="10"/>
        <rFont val="FreeSans"/>
        <family val="2"/>
      </rPr>
      <t xml:space="preserve">ذغال پمپ   </t>
    </r>
    <r>
      <rPr>
        <sz val="10"/>
        <rFont val="Vazirmatn"/>
        <family val="0"/>
        <charset val="1"/>
      </rPr>
      <t xml:space="preserve">30 * 43/5 * 15/5</t>
    </r>
  </si>
  <si>
    <t xml:space="preserve">31226108</t>
  </si>
  <si>
    <r>
      <rPr>
        <sz val="10"/>
        <rFont val="FreeSans"/>
        <family val="2"/>
      </rPr>
      <t xml:space="preserve">ذغال پمپ   </t>
    </r>
    <r>
      <rPr>
        <sz val="10"/>
        <rFont val="Vazirmatn"/>
        <family val="0"/>
        <charset val="1"/>
      </rPr>
      <t xml:space="preserve">22 * 35 * 16</t>
    </r>
  </si>
  <si>
    <t xml:space="preserve">31226110</t>
  </si>
  <si>
    <r>
      <rPr>
        <sz val="10"/>
        <rFont val="FreeSans"/>
        <family val="2"/>
      </rPr>
      <t xml:space="preserve">ذغال سیل مکانیکی دکانتور فیلتر پرس  </t>
    </r>
    <r>
      <rPr>
        <sz val="10"/>
        <rFont val="Vazirmatn"/>
        <family val="0"/>
        <charset val="1"/>
      </rPr>
      <t xml:space="preserve">000 - 3466 - 0004</t>
    </r>
  </si>
  <si>
    <t xml:space="preserve">31226112</t>
  </si>
  <si>
    <r>
      <rPr>
        <sz val="10"/>
        <rFont val="FreeSans"/>
        <family val="2"/>
      </rPr>
      <t xml:space="preserve">ذغال خشک کن گرند   </t>
    </r>
    <r>
      <rPr>
        <sz val="10"/>
        <rFont val="Vazirmatn"/>
        <family val="0"/>
        <charset val="1"/>
      </rPr>
      <t xml:space="preserve">" 4 (  TYPE:GZG-600D-4</t>
    </r>
    <r>
      <rPr>
        <sz val="10"/>
        <rFont val="FreeSans"/>
        <family val="2"/>
      </rPr>
      <t xml:space="preserve">֞ </t>
    </r>
    <r>
      <rPr>
        <sz val="10"/>
        <rFont val="Vazirmatn"/>
        <family val="0"/>
        <charset val="1"/>
      </rPr>
      <t xml:space="preserve">)</t>
    </r>
  </si>
  <si>
    <t xml:space="preserve">31226114</t>
  </si>
  <si>
    <r>
      <rPr>
        <sz val="10"/>
        <rFont val="FreeSans"/>
        <family val="2"/>
      </rPr>
      <t xml:space="preserve">ذغال خشکن گرند  </t>
    </r>
    <r>
      <rPr>
        <sz val="10"/>
        <rFont val="Vazirmatn"/>
        <family val="0"/>
        <charset val="1"/>
      </rPr>
      <t xml:space="preserve">"3 ( TYPE:GZG-600D-  3</t>
    </r>
    <r>
      <rPr>
        <sz val="10"/>
        <rFont val="FreeSans"/>
        <family val="2"/>
      </rPr>
      <t xml:space="preserve">֕ </t>
    </r>
    <r>
      <rPr>
        <sz val="10"/>
        <rFont val="Vazirmatn"/>
        <family val="0"/>
        <charset val="1"/>
      </rPr>
      <t xml:space="preserve">)</t>
    </r>
  </si>
  <si>
    <t xml:space="preserve">31226115</t>
  </si>
  <si>
    <r>
      <rPr>
        <sz val="10"/>
        <rFont val="FreeSans"/>
        <family val="2"/>
      </rPr>
      <t xml:space="preserve">ذغال پمپ   </t>
    </r>
    <r>
      <rPr>
        <sz val="10"/>
        <rFont val="Vazirmatn"/>
        <family val="0"/>
        <charset val="1"/>
      </rPr>
      <t xml:space="preserve">24 * 35 * 10</t>
    </r>
  </si>
  <si>
    <t xml:space="preserve">31226116</t>
  </si>
  <si>
    <t xml:space="preserve">ذغال مینی سنگ</t>
  </si>
  <si>
    <t xml:space="preserve">31226117</t>
  </si>
  <si>
    <t xml:space="preserve">ذغال سنگ دریل برقی ایستاده</t>
  </si>
  <si>
    <t xml:space="preserve">31226118</t>
  </si>
  <si>
    <r>
      <rPr>
        <sz val="10"/>
        <rFont val="FreeSans"/>
        <family val="2"/>
      </rPr>
      <t xml:space="preserve">ذغال پمپ آلفالاوال </t>
    </r>
    <r>
      <rPr>
        <sz val="10"/>
        <rFont val="Vazirmatn"/>
        <family val="0"/>
        <charset val="1"/>
      </rPr>
      <t xml:space="preserve">LKH10</t>
    </r>
  </si>
  <si>
    <t xml:space="preserve">31226123</t>
  </si>
  <si>
    <t xml:space="preserve">ذغال ژنراتور</t>
  </si>
  <si>
    <t xml:space="preserve">31226139</t>
  </si>
  <si>
    <r>
      <rPr>
        <sz val="10"/>
        <rFont val="FreeSans"/>
        <family val="2"/>
      </rPr>
      <t xml:space="preserve">ذغال پمپ   </t>
    </r>
    <r>
      <rPr>
        <sz val="10"/>
        <rFont val="Vazirmatn"/>
        <family val="0"/>
        <charset val="1"/>
      </rPr>
      <t xml:space="preserve">30 * 44 * 16</t>
    </r>
  </si>
  <si>
    <t xml:space="preserve">31226140</t>
  </si>
  <si>
    <r>
      <rPr>
        <sz val="10"/>
        <rFont val="FreeSans"/>
        <family val="2"/>
      </rPr>
      <t xml:space="preserve">ذغال کاور کلگی ورودی خشکن  </t>
    </r>
    <r>
      <rPr>
        <sz val="10"/>
        <rFont val="Vazirmatn"/>
        <family val="0"/>
        <charset val="1"/>
      </rPr>
      <t xml:space="preserve">DN80, TYPE: HW 180K-400-RK12-42</t>
    </r>
  </si>
  <si>
    <t xml:space="preserve">31226144</t>
  </si>
  <si>
    <r>
      <rPr>
        <sz val="10"/>
        <rFont val="FreeSans"/>
        <family val="2"/>
      </rPr>
      <t xml:space="preserve">ذغال سپراتور  </t>
    </r>
    <r>
      <rPr>
        <sz val="10"/>
        <rFont val="Vazirmatn"/>
        <family val="0"/>
        <charset val="1"/>
      </rPr>
      <t xml:space="preserve">73216</t>
    </r>
  </si>
  <si>
    <t xml:space="preserve">31226154</t>
  </si>
  <si>
    <r>
      <rPr>
        <sz val="10"/>
        <rFont val="FreeSans"/>
        <family val="2"/>
      </rPr>
      <t xml:space="preserve">ذغال پمپ   </t>
    </r>
    <r>
      <rPr>
        <sz val="10"/>
        <rFont val="Vazirmatn"/>
        <family val="0"/>
        <charset val="1"/>
      </rPr>
      <t xml:space="preserve">30 * 44 * 17</t>
    </r>
  </si>
  <si>
    <t xml:space="preserve">31226157</t>
  </si>
  <si>
    <r>
      <rPr>
        <sz val="10"/>
        <rFont val="FreeSans"/>
        <family val="2"/>
      </rPr>
      <t xml:space="preserve">ذغال مخلوط کن  </t>
    </r>
    <r>
      <rPr>
        <sz val="10"/>
        <rFont val="Vazirmatn"/>
        <family val="0"/>
        <charset val="1"/>
      </rPr>
      <t xml:space="preserve">6mm * 6mm</t>
    </r>
  </si>
  <si>
    <t xml:space="preserve">31226158</t>
  </si>
  <si>
    <t xml:space="preserve">ذغال سنگ دستگاه بوش بزرگ</t>
  </si>
  <si>
    <t xml:space="preserve">31226159</t>
  </si>
  <si>
    <t xml:space="preserve">ذغال دستگاه مخلوط کن</t>
  </si>
  <si>
    <t xml:space="preserve">31226160</t>
  </si>
  <si>
    <t xml:space="preserve">ذغال صنعتی</t>
  </si>
  <si>
    <t xml:space="preserve">31226161</t>
  </si>
  <si>
    <t xml:space="preserve">ذغال سنگ دستگاه دیوالت بزرگ</t>
  </si>
  <si>
    <t xml:space="preserve">31226162</t>
  </si>
  <si>
    <t xml:space="preserve">ذغال کلگی پرس گویوم</t>
  </si>
  <si>
    <t xml:space="preserve">31226163</t>
  </si>
  <si>
    <t xml:space="preserve">ذغال سنگ دستگاه مینی سنگ بوش کوچک</t>
  </si>
  <si>
    <t xml:space="preserve">31226164</t>
  </si>
  <si>
    <t xml:space="preserve">ذغال سنگ دستگاه مینی سنگ رونیکس</t>
  </si>
  <si>
    <t xml:space="preserve">31226165</t>
  </si>
  <si>
    <r>
      <rPr>
        <sz val="10"/>
        <rFont val="FreeSans"/>
        <family val="2"/>
      </rPr>
      <t xml:space="preserve">ذغال پمپ سرند  </t>
    </r>
    <r>
      <rPr>
        <sz val="10"/>
        <rFont val="Vazirmatn"/>
        <family val="0"/>
        <charset val="1"/>
      </rPr>
      <t xml:space="preserve">41 * 55 * 20</t>
    </r>
  </si>
  <si>
    <t xml:space="preserve">31226166</t>
  </si>
  <si>
    <r>
      <rPr>
        <sz val="10"/>
        <rFont val="FreeSans"/>
        <family val="2"/>
      </rPr>
      <t xml:space="preserve">ذغال کلگی سمت ورودی بخار خشکن گرند </t>
    </r>
    <r>
      <rPr>
        <sz val="10"/>
        <rFont val="Vazirmatn"/>
        <family val="0"/>
        <charset val="1"/>
      </rPr>
      <t xml:space="preserve">TYPE:GZG-600D TUBE BUNDEL DRYER</t>
    </r>
  </si>
  <si>
    <t xml:space="preserve">31226167</t>
  </si>
  <si>
    <r>
      <rPr>
        <sz val="10"/>
        <rFont val="FreeSans"/>
        <family val="2"/>
      </rPr>
      <t xml:space="preserve">ذغال کلگی سمت خروجی بخار  خشکن گرند  </t>
    </r>
    <r>
      <rPr>
        <sz val="10"/>
        <rFont val="Vazirmatn"/>
        <family val="0"/>
        <charset val="1"/>
      </rPr>
      <t xml:space="preserve">TYPE:GZG-600D TUBE BUNDEL DRYER</t>
    </r>
  </si>
  <si>
    <t xml:space="preserve">31226168</t>
  </si>
  <si>
    <t xml:space="preserve">ذغال کلگی درام پریژل</t>
  </si>
  <si>
    <t xml:space="preserve">31226169</t>
  </si>
  <si>
    <r>
      <rPr>
        <sz val="10"/>
        <rFont val="FreeSans"/>
        <family val="2"/>
      </rPr>
      <t xml:space="preserve">ذغال کلگی خشکن گلوتن   </t>
    </r>
    <r>
      <rPr>
        <sz val="10"/>
        <rFont val="Vazirmatn"/>
        <family val="0"/>
        <charset val="1"/>
      </rPr>
      <t xml:space="preserve">DN:25</t>
    </r>
  </si>
  <si>
    <t xml:space="preserve">31226170</t>
  </si>
  <si>
    <r>
      <rPr>
        <sz val="10"/>
        <rFont val="FreeSans"/>
        <family val="2"/>
      </rPr>
      <t xml:space="preserve">ذغال مخلوط کن آزمایشگاهی </t>
    </r>
    <r>
      <rPr>
        <sz val="10"/>
        <rFont val="Vazirmatn"/>
        <family val="0"/>
        <charset val="1"/>
      </rPr>
      <t xml:space="preserve">R.Bosch Gm6 HD.70049 StgL ) Bosch )</t>
    </r>
  </si>
  <si>
    <t xml:space="preserve">31226171</t>
  </si>
  <si>
    <r>
      <rPr>
        <sz val="10"/>
        <rFont val="FreeSans"/>
        <family val="2"/>
      </rPr>
      <t xml:space="preserve">ذغال پمپ خلاء چینی با اورینگ  </t>
    </r>
    <r>
      <rPr>
        <sz val="10"/>
        <rFont val="Vazirmatn"/>
        <family val="0"/>
        <charset val="1"/>
      </rPr>
      <t xml:space="preserve">130 * 160 * 30</t>
    </r>
  </si>
  <si>
    <t xml:space="preserve">31226172</t>
  </si>
  <si>
    <r>
      <rPr>
        <sz val="10"/>
        <rFont val="FreeSans"/>
        <family val="2"/>
      </rPr>
      <t xml:space="preserve">ذغال کلگی خشکن         </t>
    </r>
    <r>
      <rPr>
        <sz val="10"/>
        <rFont val="Vazirmatn"/>
        <family val="0"/>
        <charset val="1"/>
      </rPr>
      <t xml:space="preserve">DN32</t>
    </r>
  </si>
  <si>
    <t xml:space="preserve">31226174</t>
  </si>
  <si>
    <r>
      <rPr>
        <sz val="10"/>
        <rFont val="FreeSans"/>
        <family val="2"/>
      </rPr>
      <t xml:space="preserve">ذغال پمپ   </t>
    </r>
    <r>
      <rPr>
        <sz val="10"/>
        <rFont val="Vazirmatn"/>
        <family val="0"/>
        <charset val="1"/>
      </rPr>
      <t xml:space="preserve">50 * 65 * 17</t>
    </r>
  </si>
  <si>
    <t xml:space="preserve">31226175</t>
  </si>
  <si>
    <r>
      <rPr>
        <sz val="10"/>
        <rFont val="FreeSans"/>
        <family val="2"/>
      </rPr>
      <t xml:space="preserve">ذغال کلگی خشک کن </t>
    </r>
    <r>
      <rPr>
        <sz val="10"/>
        <rFont val="Vazirmatn"/>
        <family val="0"/>
        <charset val="1"/>
      </rPr>
      <t xml:space="preserve">DN 80</t>
    </r>
  </si>
  <si>
    <t xml:space="preserve">31226176</t>
  </si>
  <si>
    <r>
      <rPr>
        <sz val="10"/>
        <rFont val="FreeSans"/>
        <family val="2"/>
      </rPr>
      <t xml:space="preserve">ذغال کلگی خشک کن   </t>
    </r>
    <r>
      <rPr>
        <sz val="10"/>
        <rFont val="Vazirmatn"/>
        <family val="0"/>
        <charset val="1"/>
      </rPr>
      <t xml:space="preserve">DN 65</t>
    </r>
  </si>
  <si>
    <t xml:space="preserve">31226177</t>
  </si>
  <si>
    <r>
      <rPr>
        <sz val="10"/>
        <rFont val="FreeSans"/>
        <family val="2"/>
      </rPr>
      <t xml:space="preserve">ذغال کلگی خشک کن </t>
    </r>
    <r>
      <rPr>
        <sz val="10"/>
        <rFont val="Vazirmatn"/>
        <family val="0"/>
        <charset val="1"/>
      </rPr>
      <t xml:space="preserve">DN 65</t>
    </r>
  </si>
  <si>
    <t xml:space="preserve">31226180</t>
  </si>
  <si>
    <r>
      <rPr>
        <sz val="10"/>
        <rFont val="FreeSans"/>
        <family val="2"/>
      </rPr>
      <t xml:space="preserve">ذغال کلگی خشک کن </t>
    </r>
    <r>
      <rPr>
        <sz val="10"/>
        <rFont val="Vazirmatn"/>
        <family val="0"/>
        <charset val="1"/>
      </rPr>
      <t xml:space="preserve">DN 50</t>
    </r>
  </si>
  <si>
    <t xml:space="preserve">31226182</t>
  </si>
  <si>
    <r>
      <rPr>
        <sz val="10"/>
        <rFont val="FreeSans"/>
        <family val="2"/>
      </rPr>
      <t xml:space="preserve">ذغال صنعتی   </t>
    </r>
    <r>
      <rPr>
        <sz val="10"/>
        <rFont val="Vazirmatn"/>
        <family val="0"/>
        <charset val="1"/>
      </rPr>
      <t xml:space="preserve">72 * 86 * 10</t>
    </r>
  </si>
  <si>
    <t xml:space="preserve">31226183</t>
  </si>
  <si>
    <t xml:space="preserve">ذغال پمپ نمک</t>
  </si>
  <si>
    <t xml:space="preserve">31226185</t>
  </si>
  <si>
    <t xml:space="preserve">ذغال و کلگی خشکن کامل</t>
  </si>
  <si>
    <t xml:space="preserve">31226186</t>
  </si>
  <si>
    <r>
      <rPr>
        <sz val="10"/>
        <rFont val="FreeSans"/>
        <family val="2"/>
      </rPr>
      <t xml:space="preserve">ذغال مینی سنگ بوش </t>
    </r>
    <r>
      <rPr>
        <sz val="10"/>
        <rFont val="Vazirmatn"/>
        <family val="0"/>
        <charset val="1"/>
      </rPr>
      <t xml:space="preserve">GWS 11-125 1100W</t>
    </r>
  </si>
  <si>
    <t xml:space="preserve">31226187</t>
  </si>
  <si>
    <r>
      <rPr>
        <sz val="10"/>
        <rFont val="FreeSans"/>
        <family val="2"/>
      </rPr>
      <t xml:space="preserve">ذغال مینی سنگ دیوالت </t>
    </r>
    <r>
      <rPr>
        <sz val="10"/>
        <rFont val="Vazirmatn"/>
        <family val="0"/>
        <charset val="1"/>
      </rPr>
      <t xml:space="preserve">DWE 40-10 750W</t>
    </r>
  </si>
  <si>
    <t xml:space="preserve">31226188</t>
  </si>
  <si>
    <r>
      <rPr>
        <sz val="10"/>
        <rFont val="FreeSans"/>
        <family val="2"/>
      </rPr>
      <t xml:space="preserve">ذغال کلگی ورودی خشک کن پوسته </t>
    </r>
    <r>
      <rPr>
        <sz val="10"/>
        <rFont val="Vazirmatn"/>
        <family val="0"/>
        <charset val="1"/>
      </rPr>
      <t xml:space="preserve">( RK 12 - DN 80 )</t>
    </r>
  </si>
  <si>
    <t xml:space="preserve">31226192</t>
  </si>
  <si>
    <r>
      <rPr>
        <sz val="10"/>
        <rFont val="FreeSans"/>
        <family val="2"/>
      </rPr>
      <t xml:space="preserve">ذغال مخلوط کن پاناسونیک </t>
    </r>
    <r>
      <rPr>
        <sz val="10"/>
        <rFont val="Vazirmatn"/>
        <family val="0"/>
        <charset val="1"/>
      </rPr>
      <t xml:space="preserve">6*6*14/5mm</t>
    </r>
  </si>
  <si>
    <t xml:space="preserve">31226196</t>
  </si>
  <si>
    <r>
      <rPr>
        <sz val="10"/>
        <rFont val="FreeSans"/>
        <family val="2"/>
      </rPr>
      <t xml:space="preserve">ذغال پمپ   </t>
    </r>
    <r>
      <rPr>
        <sz val="10"/>
        <rFont val="Vazirmatn"/>
        <family val="0"/>
        <charset val="1"/>
      </rPr>
      <t xml:space="preserve">64 * 85 * 20</t>
    </r>
  </si>
  <si>
    <t xml:space="preserve">31226202</t>
  </si>
  <si>
    <r>
      <rPr>
        <sz val="10"/>
        <rFont val="FreeSans"/>
        <family val="2"/>
      </rPr>
      <t xml:space="preserve">ذغال پمپ   </t>
    </r>
    <r>
      <rPr>
        <sz val="10"/>
        <rFont val="Vazirmatn"/>
        <family val="0"/>
        <charset val="1"/>
      </rPr>
      <t xml:space="preserve">54 * 78 * 18</t>
    </r>
  </si>
  <si>
    <t xml:space="preserve">31226203</t>
  </si>
  <si>
    <r>
      <rPr>
        <sz val="10"/>
        <rFont val="FreeSans"/>
        <family val="2"/>
      </rPr>
      <t xml:space="preserve">ذغال پمپ   </t>
    </r>
    <r>
      <rPr>
        <sz val="10"/>
        <rFont val="Vazirmatn"/>
        <family val="0"/>
        <charset val="1"/>
      </rPr>
      <t xml:space="preserve">54 * 71 * 9</t>
    </r>
  </si>
  <si>
    <t xml:space="preserve">31226298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</si>
  <si>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Roten / Q24</t>
    </r>
  </si>
  <si>
    <t xml:space="preserve">31226299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</si>
  <si>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Calpeda / Q24</t>
    </r>
  </si>
  <si>
    <t xml:space="preserve">31226300</t>
  </si>
  <si>
    <t xml:space="preserve">پکینگ  لاستیکی  جک فیلتر پرس شربت</t>
  </si>
  <si>
    <t xml:space="preserve">31226304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</si>
  <si>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200 - 65 - 100 IHD</t>
    </r>
  </si>
  <si>
    <t xml:space="preserve">31226305</t>
  </si>
  <si>
    <r>
      <rPr>
        <sz val="10"/>
        <rFont val="FreeSans"/>
        <family val="2"/>
      </rPr>
      <t xml:space="preserve">سیل مکانیکی پمپ لوپ اواپراتور   </t>
    </r>
    <r>
      <rPr>
        <sz val="10"/>
        <rFont val="Vazirmatn"/>
        <family val="0"/>
        <charset val="1"/>
      </rPr>
      <t xml:space="preserve">SRU4</t>
    </r>
  </si>
  <si>
    <t xml:space="preserve">31226306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</si>
  <si>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200 - 80 - 125 IHD</t>
    </r>
  </si>
  <si>
    <t xml:space="preserve">31226308</t>
  </si>
  <si>
    <r>
      <rPr>
        <sz val="10"/>
        <rFont val="FreeSans"/>
        <family val="2"/>
      </rPr>
      <t xml:space="preserve">سیل مکانیکی پمپ جت کوکر  </t>
    </r>
    <r>
      <rPr>
        <sz val="10"/>
        <rFont val="Vazirmatn"/>
        <family val="0"/>
        <charset val="1"/>
      </rPr>
      <t xml:space="preserve">40 - 65 - 250</t>
    </r>
  </si>
  <si>
    <t xml:space="preserve">31226309</t>
  </si>
  <si>
    <r>
      <rPr>
        <sz val="10"/>
        <rFont val="FreeSans"/>
        <family val="2"/>
      </rPr>
      <t xml:space="preserve">سیل مکانیکی پمپ شفت       </t>
    </r>
    <r>
      <rPr>
        <sz val="10"/>
        <rFont val="Vazirmatn"/>
        <family val="0"/>
        <charset val="1"/>
      </rPr>
      <t xml:space="preserve">TG120 B-24</t>
    </r>
  </si>
  <si>
    <t xml:space="preserve">31226310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</si>
  <si>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Calpeda / Q15</t>
    </r>
  </si>
  <si>
    <t xml:space="preserve">31226312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</si>
  <si>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250 - 80 - 125 IHD</t>
    </r>
  </si>
  <si>
    <t xml:space="preserve">31226313</t>
  </si>
  <si>
    <r>
      <rPr>
        <sz val="10"/>
        <rFont val="FreeSans"/>
        <family val="2"/>
      </rPr>
      <t xml:space="preserve">سیل روغن پیلر چینی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12 * 100 * 75 )</t>
    </r>
  </si>
  <si>
    <t xml:space="preserve">31226314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</si>
  <si>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سیل مکانیکی پمپهای آلفالاوال</t>
    </r>
  </si>
  <si>
    <t xml:space="preserve">31226316</t>
  </si>
  <si>
    <t xml:space="preserve">سیل پمپ ابارا</t>
  </si>
  <si>
    <t xml:space="preserve">31226318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</si>
  <si>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70</t>
    </r>
  </si>
  <si>
    <t xml:space="preserve">31226319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</si>
  <si>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16</t>
    </r>
  </si>
  <si>
    <t xml:space="preserve">31226320</t>
  </si>
  <si>
    <r>
      <rPr>
        <sz val="10"/>
        <rFont val="FreeSans"/>
        <family val="2"/>
      </rPr>
      <t xml:space="preserve">سیل مکانیکی پمپ کربن </t>
    </r>
    <r>
      <rPr>
        <sz val="10"/>
        <rFont val="Vazirmatn"/>
        <family val="0"/>
        <charset val="1"/>
      </rPr>
      <t xml:space="preserve">22 / </t>
    </r>
    <r>
      <rPr>
        <sz val="10"/>
        <rFont val="FreeSans"/>
        <family val="2"/>
      </rPr>
      <t xml:space="preserve">سیل مکانیکی پمپ </t>
    </r>
    <r>
      <rPr>
        <sz val="10"/>
        <rFont val="Vazirmatn"/>
        <family val="0"/>
        <charset val="1"/>
      </rPr>
      <t xml:space="preserve">24</t>
    </r>
  </si>
  <si>
    <t xml:space="preserve">31226321</t>
  </si>
  <si>
    <r>
      <rPr>
        <sz val="10"/>
        <rFont val="FreeSans"/>
        <family val="2"/>
      </rPr>
      <t xml:space="preserve">سیل مکانیکی پمپ سرند </t>
    </r>
    <r>
      <rPr>
        <sz val="10"/>
        <rFont val="Vazirmatn"/>
        <family val="0"/>
        <charset val="1"/>
      </rPr>
      <t xml:space="preserve">40 mm</t>
    </r>
  </si>
  <si>
    <t xml:space="preserve">31226326</t>
  </si>
  <si>
    <r>
      <rPr>
        <sz val="10"/>
        <rFont val="FreeSans"/>
        <family val="2"/>
      </rPr>
      <t xml:space="preserve">سیل آبندی لاستیکی یاتاقان </t>
    </r>
    <r>
      <rPr>
        <sz val="10"/>
        <rFont val="Vazirmatn"/>
        <family val="0"/>
        <charset val="1"/>
      </rPr>
      <t xml:space="preserve">SN 510</t>
    </r>
  </si>
  <si>
    <t xml:space="preserve">31226327</t>
  </si>
  <si>
    <r>
      <rPr>
        <sz val="10"/>
        <rFont val="FreeSans"/>
        <family val="2"/>
      </rPr>
      <t xml:space="preserve">سیل مکانیکی روغن پیلر چینی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کاسه نمد </t>
    </r>
    <r>
      <rPr>
        <sz val="10"/>
        <rFont val="Vazirmatn"/>
        <family val="0"/>
        <charset val="1"/>
      </rPr>
      <t xml:space="preserve">12 * 120 * 95 )</t>
    </r>
  </si>
  <si>
    <t xml:space="preserve">31226332</t>
  </si>
  <si>
    <r>
      <rPr>
        <sz val="10"/>
        <rFont val="FreeSans"/>
        <family val="2"/>
      </rPr>
      <t xml:space="preserve">سیل پمپ طبقاتی گراندفوس  </t>
    </r>
    <r>
      <rPr>
        <sz val="10"/>
        <rFont val="Vazirmatn"/>
        <family val="0"/>
        <charset val="1"/>
      </rPr>
      <t xml:space="preserve">CR - 15 - 12</t>
    </r>
  </si>
  <si>
    <t xml:space="preserve">31226340</t>
  </si>
  <si>
    <t xml:space="preserve">سیل مکانیکی پمپ خلاء چینی</t>
  </si>
  <si>
    <t xml:space="preserve">31226341</t>
  </si>
  <si>
    <r>
      <rPr>
        <sz val="10"/>
        <rFont val="FreeSans"/>
        <family val="2"/>
      </rPr>
      <t xml:space="preserve">سیل مکانیکی پمپ اسید </t>
    </r>
    <r>
      <rPr>
        <sz val="10"/>
        <rFont val="Vazirmatn"/>
        <family val="0"/>
        <charset val="1"/>
      </rPr>
      <t xml:space="preserve">20 - 12/5 - 50FS</t>
    </r>
  </si>
  <si>
    <t xml:space="preserve">31226342</t>
  </si>
  <si>
    <r>
      <rPr>
        <sz val="10"/>
        <rFont val="FreeSans"/>
        <family val="2"/>
      </rPr>
      <t xml:space="preserve">سیل مکانیکی پمپ سود رقیق </t>
    </r>
    <r>
      <rPr>
        <sz val="10"/>
        <rFont val="Vazirmatn"/>
        <family val="0"/>
        <charset val="1"/>
      </rPr>
      <t xml:space="preserve">125 - 32 - 50</t>
    </r>
  </si>
  <si>
    <t xml:space="preserve">31226343</t>
  </si>
  <si>
    <r>
      <rPr>
        <sz val="10"/>
        <rFont val="FreeSans"/>
        <family val="2"/>
      </rPr>
      <t xml:space="preserve">سیل مکانیکی پمپ   </t>
    </r>
    <r>
      <rPr>
        <sz val="10"/>
        <rFont val="Vazirmatn"/>
        <family val="0"/>
        <charset val="1"/>
      </rPr>
      <t xml:space="preserve">8081</t>
    </r>
  </si>
  <si>
    <t xml:space="preserve">31226346</t>
  </si>
  <si>
    <r>
      <rPr>
        <sz val="10"/>
        <rFont val="FreeSans"/>
        <family val="2"/>
      </rPr>
      <t xml:space="preserve">سیل مکانیکی پمپ خلاء پادوان    </t>
    </r>
    <r>
      <rPr>
        <sz val="10"/>
        <rFont val="Vazirmatn"/>
        <family val="0"/>
        <charset val="1"/>
      </rPr>
      <t xml:space="preserve">MG1 - 55 - SS V</t>
    </r>
  </si>
  <si>
    <t xml:space="preserve">31226349</t>
  </si>
  <si>
    <r>
      <rPr>
        <sz val="10"/>
        <rFont val="FreeSans"/>
        <family val="2"/>
      </rPr>
      <t xml:space="preserve">سیل مکانیکی سپراتورهای جدید      </t>
    </r>
    <r>
      <rPr>
        <sz val="10"/>
        <rFont val="Vazirmatn"/>
        <family val="0"/>
        <charset val="1"/>
      </rPr>
      <t xml:space="preserve">3296-2145-040</t>
    </r>
  </si>
  <si>
    <t xml:space="preserve">31226351</t>
  </si>
  <si>
    <r>
      <rPr>
        <sz val="10"/>
        <rFont val="FreeSans"/>
        <family val="2"/>
      </rPr>
      <t xml:space="preserve">سیل مکانیکی پمپهای آلفالاوال </t>
    </r>
    <r>
      <rPr>
        <sz val="10"/>
        <rFont val="Vazirmatn"/>
        <family val="0"/>
        <charset val="1"/>
      </rPr>
      <t xml:space="preserve">LKH10/112FSS</t>
    </r>
  </si>
  <si>
    <t xml:space="preserve">31226356</t>
  </si>
  <si>
    <r>
      <rPr>
        <sz val="10"/>
        <rFont val="FreeSans"/>
        <family val="2"/>
      </rPr>
      <t xml:space="preserve">سیل مکانیکی دوطرفه </t>
    </r>
    <r>
      <rPr>
        <sz val="10"/>
        <rFont val="Vazirmatn"/>
        <family val="0"/>
        <charset val="1"/>
      </rPr>
      <t xml:space="preserve">A70</t>
    </r>
  </si>
  <si>
    <t xml:space="preserve">31226368</t>
  </si>
  <si>
    <r>
      <rPr>
        <sz val="10"/>
        <rFont val="FreeSans"/>
        <family val="2"/>
      </rPr>
      <t xml:space="preserve">سیل مکانیکی پمپ سولزر   </t>
    </r>
    <r>
      <rPr>
        <sz val="10"/>
        <rFont val="Vazirmatn"/>
        <family val="0"/>
        <charset val="1"/>
      </rPr>
      <t xml:space="preserve">APP11-50</t>
    </r>
  </si>
  <si>
    <t xml:space="preserve">31226369</t>
  </si>
  <si>
    <r>
      <rPr>
        <sz val="10"/>
        <rFont val="FreeSans"/>
        <family val="2"/>
      </rPr>
      <t xml:space="preserve">سیل مکانیکی   </t>
    </r>
    <r>
      <rPr>
        <sz val="10"/>
        <rFont val="Vazirmatn"/>
        <family val="0"/>
        <charset val="1"/>
      </rPr>
      <t xml:space="preserve">APP23-32</t>
    </r>
  </si>
  <si>
    <t xml:space="preserve">31226370</t>
  </si>
  <si>
    <r>
      <rPr>
        <sz val="10"/>
        <rFont val="FreeSans"/>
        <family val="2"/>
      </rPr>
      <t xml:space="preserve">سیل مکانیکی       </t>
    </r>
    <r>
      <rPr>
        <sz val="10"/>
        <rFont val="Vazirmatn"/>
        <family val="0"/>
        <charset val="1"/>
      </rPr>
      <t xml:space="preserve">APP23-40</t>
    </r>
  </si>
  <si>
    <t xml:space="preserve">31226376</t>
  </si>
  <si>
    <r>
      <rPr>
        <sz val="10"/>
        <rFont val="FreeSans"/>
        <family val="2"/>
      </rPr>
      <t xml:space="preserve">سیل مکانیکی پمپ طبقاتی  </t>
    </r>
    <r>
      <rPr>
        <sz val="10"/>
        <rFont val="Vazirmatn"/>
        <family val="0"/>
        <charset val="1"/>
      </rPr>
      <t xml:space="preserve">CDL32-30FSWP</t>
    </r>
  </si>
  <si>
    <t xml:space="preserve">31226377</t>
  </si>
  <si>
    <r>
      <rPr>
        <sz val="10"/>
        <rFont val="FreeSans"/>
        <family val="2"/>
      </rPr>
      <t xml:space="preserve">سیل مکانیکی        </t>
    </r>
    <r>
      <rPr>
        <sz val="10"/>
        <rFont val="Vazirmatn"/>
        <family val="0"/>
        <charset val="1"/>
      </rPr>
      <t xml:space="preserve">CDL20-14FSWP</t>
    </r>
  </si>
  <si>
    <t xml:space="preserve">31226378</t>
  </si>
  <si>
    <r>
      <rPr>
        <sz val="10"/>
        <rFont val="FreeSans"/>
        <family val="2"/>
      </rPr>
      <t xml:space="preserve">سیل مکانیکی پمپ خلاء  </t>
    </r>
    <r>
      <rPr>
        <sz val="10"/>
        <rFont val="Vazirmatn"/>
        <family val="0"/>
        <charset val="1"/>
      </rPr>
      <t xml:space="preserve">10162040, LEMC90AZ</t>
    </r>
  </si>
  <si>
    <t xml:space="preserve">31226381</t>
  </si>
  <si>
    <r>
      <rPr>
        <sz val="10"/>
        <rFont val="FreeSans"/>
        <family val="2"/>
      </rPr>
      <t xml:space="preserve">سیل مکانیکی پمپ خلاء  </t>
    </r>
    <r>
      <rPr>
        <sz val="10"/>
        <rFont val="Vazirmatn"/>
        <family val="0"/>
        <charset val="1"/>
      </rPr>
      <t xml:space="preserve">2BV6111</t>
    </r>
  </si>
  <si>
    <t xml:space="preserve">31226385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</si>
  <si>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160 - 80 - 125 IHD</t>
    </r>
  </si>
  <si>
    <t xml:space="preserve">31226395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</si>
  <si>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125 - 25 - 40 IHD</t>
    </r>
  </si>
  <si>
    <t xml:space="preserve">31226405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</si>
  <si>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32/5 - 30 - 65 FS</t>
    </r>
  </si>
  <si>
    <t xml:space="preserve">31226406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</si>
  <si>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20/3 - 8 - 40 FS</t>
    </r>
  </si>
  <si>
    <t xml:space="preserve">31226407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</si>
  <si>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20/4 - 20 - 50 FS</t>
    </r>
  </si>
  <si>
    <t xml:space="preserve">31226408</t>
  </si>
  <si>
    <r>
      <rPr>
        <sz val="10"/>
        <rFont val="FreeSans"/>
        <family val="2"/>
      </rPr>
      <t xml:space="preserve">سیل مکانیکی   پمپ </t>
    </r>
    <r>
      <rPr>
        <sz val="10"/>
        <rFont val="Vazirmatn"/>
        <family val="0"/>
        <charset val="1"/>
      </rPr>
      <t xml:space="preserve">450 - 65 - 100 IHD</t>
    </r>
  </si>
  <si>
    <t xml:space="preserve">31226411</t>
  </si>
  <si>
    <r>
      <rPr>
        <sz val="10"/>
        <rFont val="FreeSans"/>
        <family val="2"/>
      </rPr>
      <t xml:space="preserve">سیل مکانیکی </t>
    </r>
    <r>
      <rPr>
        <sz val="10"/>
        <rFont val="Vazirmatn"/>
        <family val="0"/>
        <charset val="1"/>
      </rPr>
      <t xml:space="preserve">DTL - 65 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</si>
  <si>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31226413</t>
  </si>
  <si>
    <r>
      <rPr>
        <sz val="10"/>
        <rFont val="FreeSans"/>
        <family val="2"/>
      </rPr>
      <t xml:space="preserve">سیل مکانیکی  پمپ </t>
    </r>
    <r>
      <rPr>
        <sz val="10"/>
        <rFont val="Vazirmatn"/>
        <family val="0"/>
        <charset val="1"/>
      </rPr>
      <t xml:space="preserve">50FS - 20 - 20/4</t>
    </r>
  </si>
  <si>
    <t xml:space="preserve">31226417</t>
  </si>
  <si>
    <r>
      <rPr>
        <sz val="10"/>
        <rFont val="FreeSans"/>
        <family val="2"/>
      </rPr>
      <t xml:space="preserve">سیل مکانیکی  پمپ </t>
    </r>
    <r>
      <rPr>
        <sz val="10"/>
        <rFont val="Vazirmatn"/>
        <family val="0"/>
        <charset val="1"/>
      </rPr>
      <t xml:space="preserve">65FS - 30 - 32/7.5</t>
    </r>
  </si>
  <si>
    <t xml:space="preserve">31226418</t>
  </si>
  <si>
    <r>
      <rPr>
        <sz val="10"/>
        <rFont val="FreeSans"/>
        <family val="2"/>
      </rPr>
      <t xml:space="preserve">سیل مکانیکی  پمپ </t>
    </r>
    <r>
      <rPr>
        <sz val="10"/>
        <rFont val="Vazirmatn"/>
        <family val="0"/>
        <charset val="1"/>
      </rPr>
      <t xml:space="preserve">40FS - 8 - 20/3</t>
    </r>
  </si>
  <si>
    <t xml:space="preserve">31226419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</si>
  <si>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KHZ100-65-315</t>
    </r>
  </si>
  <si>
    <t xml:space="preserve">31226422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</si>
  <si>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18 - CB</t>
    </r>
  </si>
  <si>
    <t xml:space="preserve">31226424</t>
  </si>
  <si>
    <r>
      <rPr>
        <sz val="10"/>
        <rFont val="FreeSans"/>
        <family val="2"/>
      </rPr>
      <t xml:space="preserve">سیل مکانیکی پمپ طبقاتی    </t>
    </r>
    <r>
      <rPr>
        <sz val="10"/>
        <rFont val="Vazirmatn"/>
        <family val="0"/>
        <charset val="1"/>
      </rPr>
      <t xml:space="preserve">CDL     32-20</t>
    </r>
  </si>
  <si>
    <t xml:space="preserve">31226425</t>
  </si>
  <si>
    <r>
      <rPr>
        <sz val="10"/>
        <rFont val="FreeSans"/>
        <family val="2"/>
      </rPr>
      <t xml:space="preserve">سیل مکانیکی   </t>
    </r>
    <r>
      <rPr>
        <sz val="10"/>
        <rFont val="Vazirmatn"/>
        <family val="0"/>
        <charset val="1"/>
      </rPr>
      <t xml:space="preserve">Q22 Roten</t>
    </r>
  </si>
  <si>
    <t xml:space="preserve">31226426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</si>
  <si>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Calpeda / Q23</t>
    </r>
  </si>
  <si>
    <t xml:space="preserve">31226427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</si>
  <si>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MG1 - 35-G60</t>
    </r>
  </si>
  <si>
    <t xml:space="preserve">31226428</t>
  </si>
  <si>
    <r>
      <rPr>
        <sz val="10"/>
        <rFont val="FreeSans"/>
        <family val="2"/>
      </rPr>
      <t xml:space="preserve">سیل مکانیکی دکانتور  </t>
    </r>
    <r>
      <rPr>
        <sz val="10"/>
        <rFont val="Vazirmatn"/>
        <family val="0"/>
        <charset val="1"/>
      </rPr>
      <t xml:space="preserve">000 - 3466 - 0004</t>
    </r>
  </si>
  <si>
    <t xml:space="preserve">31226429</t>
  </si>
  <si>
    <r>
      <rPr>
        <sz val="10"/>
        <rFont val="FreeSans"/>
        <family val="2"/>
      </rPr>
      <t xml:space="preserve">سیل مکانیکی دوبل آلفالاوال </t>
    </r>
    <r>
      <rPr>
        <sz val="10"/>
        <rFont val="Vazirmatn"/>
        <family val="0"/>
        <charset val="1"/>
      </rPr>
      <t xml:space="preserve">LKH-10/163-DMS . 1/5KW</t>
    </r>
  </si>
  <si>
    <t xml:space="preserve">31226431</t>
  </si>
  <si>
    <r>
      <rPr>
        <sz val="10"/>
        <rFont val="FreeSans"/>
        <family val="2"/>
      </rPr>
      <t xml:space="preserve">سیل مکانیکی پمپ لوپ </t>
    </r>
    <r>
      <rPr>
        <sz val="10"/>
        <rFont val="Vazirmatn"/>
        <family val="0"/>
        <charset val="1"/>
      </rPr>
      <t xml:space="preserve">15272</t>
    </r>
  </si>
  <si>
    <t xml:space="preserve">31226434</t>
  </si>
  <si>
    <r>
      <rPr>
        <sz val="10"/>
        <rFont val="FreeSans"/>
        <family val="2"/>
      </rPr>
      <t xml:space="preserve">سیل مکانیکی پمپ طبقاتی سود دکانتور </t>
    </r>
    <r>
      <rPr>
        <sz val="10"/>
        <rFont val="Vazirmatn"/>
        <family val="0"/>
        <charset val="1"/>
      </rPr>
      <t xml:space="preserve">Q1Q1EGGE ) 3SV10 F011 T/D )</t>
    </r>
  </si>
  <si>
    <t xml:space="preserve">31226436</t>
  </si>
  <si>
    <r>
      <rPr>
        <sz val="10"/>
        <rFont val="FreeSans"/>
        <family val="2"/>
      </rPr>
      <t xml:space="preserve">سیل مکانیکی پمپ </t>
    </r>
    <r>
      <rPr>
        <sz val="10"/>
        <rFont val="Vazirmatn"/>
        <family val="0"/>
        <charset val="1"/>
      </rPr>
      <t xml:space="preserve">400 - 125 - 150 KPW</t>
    </r>
  </si>
  <si>
    <t xml:space="preserve">31226442</t>
  </si>
  <si>
    <r>
      <rPr>
        <sz val="10"/>
        <rFont val="FreeSans"/>
        <family val="2"/>
      </rPr>
      <t xml:space="preserve">سیل مکانیکی پمپ </t>
    </r>
    <r>
      <rPr>
        <sz val="10"/>
        <rFont val="Vazirmatn"/>
        <family val="0"/>
        <charset val="1"/>
      </rPr>
      <t xml:space="preserve">450 - 100 - 125 IHD</t>
    </r>
  </si>
  <si>
    <t xml:space="preserve">31226444</t>
  </si>
  <si>
    <t xml:space="preserve">سیل مکانیکی پمپ لوپ کوراکماز</t>
  </si>
  <si>
    <t xml:space="preserve">31226446</t>
  </si>
  <si>
    <r>
      <rPr>
        <sz val="10"/>
        <rFont val="FreeSans"/>
        <family val="2"/>
      </rPr>
      <t xml:space="preserve">سیل مکانیکی پمپ آبتین صنعت </t>
    </r>
    <r>
      <rPr>
        <sz val="10"/>
        <rFont val="Vazirmatn"/>
        <family val="0"/>
        <charset val="1"/>
      </rPr>
      <t xml:space="preserve">MG1-35</t>
    </r>
  </si>
  <si>
    <t xml:space="preserve">31226448</t>
  </si>
  <si>
    <r>
      <rPr>
        <sz val="10"/>
        <rFont val="FreeSans"/>
        <family val="2"/>
      </rPr>
      <t xml:space="preserve">سیل مکانیکی دوطرفه </t>
    </r>
    <r>
      <rPr>
        <sz val="10"/>
        <rFont val="Vazirmatn"/>
        <family val="0"/>
        <charset val="1"/>
      </rPr>
      <t xml:space="preserve">A60</t>
    </r>
  </si>
  <si>
    <t xml:space="preserve">31226455</t>
  </si>
  <si>
    <r>
      <rPr>
        <sz val="10"/>
        <rFont val="FreeSans"/>
        <family val="2"/>
      </rPr>
      <t xml:space="preserve">پکینگ خشک کن گلوتن </t>
    </r>
    <r>
      <rPr>
        <sz val="10"/>
        <rFont val="Vazirmatn"/>
        <family val="0"/>
        <charset val="1"/>
      </rPr>
      <t xml:space="preserve">45.65</t>
    </r>
  </si>
  <si>
    <t xml:space="preserve">31226456</t>
  </si>
  <si>
    <r>
      <rPr>
        <sz val="10"/>
        <rFont val="FreeSans"/>
        <family val="2"/>
      </rPr>
      <t xml:space="preserve">سیل پمپ طبقاتی گران فوس   </t>
    </r>
    <r>
      <rPr>
        <sz val="10"/>
        <rFont val="Vazirmatn"/>
        <family val="0"/>
        <charset val="1"/>
      </rPr>
      <t xml:space="preserve">gf04</t>
    </r>
  </si>
  <si>
    <t xml:space="preserve">31226460</t>
  </si>
  <si>
    <r>
      <rPr>
        <sz val="10"/>
        <rFont val="FreeSans"/>
        <family val="2"/>
      </rPr>
      <t xml:space="preserve">پکینگ     </t>
    </r>
    <r>
      <rPr>
        <sz val="10"/>
        <rFont val="Vazirmatn"/>
        <family val="0"/>
        <charset val="1"/>
      </rPr>
      <t xml:space="preserve">18-125-155</t>
    </r>
  </si>
  <si>
    <t xml:space="preserve">31226461</t>
  </si>
  <si>
    <r>
      <rPr>
        <sz val="10"/>
        <rFont val="FreeSans"/>
        <family val="2"/>
      </rPr>
      <t xml:space="preserve">پکینگ     </t>
    </r>
    <r>
      <rPr>
        <sz val="10"/>
        <rFont val="Vazirmatn"/>
        <family val="0"/>
        <charset val="1"/>
      </rPr>
      <t xml:space="preserve">10-90-75</t>
    </r>
  </si>
  <si>
    <t xml:space="preserve">31226462</t>
  </si>
  <si>
    <r>
      <rPr>
        <sz val="10"/>
        <rFont val="FreeSans"/>
        <family val="2"/>
      </rPr>
      <t xml:space="preserve">سیل پمپ اسید  </t>
    </r>
    <r>
      <rPr>
        <sz val="10"/>
        <rFont val="Vazirmatn"/>
        <family val="0"/>
        <charset val="1"/>
      </rPr>
      <t xml:space="preserve">315 - 65</t>
    </r>
  </si>
  <si>
    <t xml:space="preserve">31226465</t>
  </si>
  <si>
    <r>
      <rPr>
        <sz val="10"/>
        <rFont val="FreeSans"/>
        <family val="2"/>
      </rPr>
      <t xml:space="preserve">پکینگ یاتاقان  </t>
    </r>
    <r>
      <rPr>
        <sz val="10"/>
        <rFont val="Vazirmatn"/>
        <family val="0"/>
        <charset val="1"/>
      </rPr>
      <t xml:space="preserve">FRB )  SN 515 )</t>
    </r>
  </si>
  <si>
    <t xml:space="preserve">31226466</t>
  </si>
  <si>
    <r>
      <rPr>
        <sz val="10"/>
        <rFont val="FreeSans"/>
        <family val="2"/>
      </rPr>
      <t xml:space="preserve">سیل مکانیکی پمپ خلاء اواپراتور </t>
    </r>
    <r>
      <rPr>
        <sz val="10"/>
        <rFont val="Vazirmatn"/>
        <family val="0"/>
        <charset val="1"/>
      </rPr>
      <t xml:space="preserve">LEMA 325 AZ</t>
    </r>
  </si>
  <si>
    <t xml:space="preserve">31226467</t>
  </si>
  <si>
    <r>
      <rPr>
        <sz val="10"/>
        <rFont val="FreeSans"/>
        <family val="2"/>
      </rPr>
      <t xml:space="preserve">سیل پمپ طبقاتی گراندفوس  </t>
    </r>
    <r>
      <rPr>
        <sz val="10"/>
        <rFont val="Vazirmatn"/>
        <family val="0"/>
        <charset val="1"/>
      </rPr>
      <t xml:space="preserve">CR - 32 - 12</t>
    </r>
  </si>
  <si>
    <t xml:space="preserve">31226469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</si>
  <si>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MG 1 - 50</t>
    </r>
  </si>
  <si>
    <t xml:space="preserve">31226470</t>
  </si>
  <si>
    <t xml:space="preserve">سیل پمپ فومینگ تانک هواساز</t>
  </si>
  <si>
    <t xml:space="preserve">31226473</t>
  </si>
  <si>
    <r>
      <rPr>
        <sz val="10"/>
        <rFont val="FreeSans"/>
        <family val="2"/>
      </rPr>
      <t xml:space="preserve">پکینگ گلند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تفلونی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136 - FQ</t>
    </r>
  </si>
  <si>
    <t xml:space="preserve">31226477</t>
  </si>
  <si>
    <r>
      <rPr>
        <sz val="10"/>
        <rFont val="FreeSans"/>
        <family val="2"/>
      </rPr>
      <t xml:space="preserve">سیل مکانیکی پمپ   </t>
    </r>
    <r>
      <rPr>
        <sz val="10"/>
        <rFont val="Vazirmatn"/>
        <family val="0"/>
        <charset val="1"/>
      </rPr>
      <t xml:space="preserve">APP22-32</t>
    </r>
  </si>
  <si>
    <t xml:space="preserve">31226480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</si>
  <si>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A 24</t>
    </r>
  </si>
  <si>
    <t xml:space="preserve">31226482</t>
  </si>
  <si>
    <r>
      <rPr>
        <sz val="10"/>
        <rFont val="FreeSans"/>
        <family val="2"/>
      </rPr>
      <t xml:space="preserve">سیل پمپ روغن داغ  </t>
    </r>
    <r>
      <rPr>
        <sz val="10"/>
        <rFont val="Vazirmatn"/>
        <family val="0"/>
        <charset val="1"/>
      </rPr>
      <t xml:space="preserve">SKY 50 - 200</t>
    </r>
  </si>
  <si>
    <t xml:space="preserve">31226483</t>
  </si>
  <si>
    <r>
      <rPr>
        <sz val="10"/>
        <rFont val="FreeSans"/>
        <family val="2"/>
      </rPr>
      <t xml:space="preserve">سیل مکانیکی  </t>
    </r>
    <r>
      <rPr>
        <sz val="10"/>
        <rFont val="Vazirmatn"/>
        <family val="0"/>
        <charset val="1"/>
      </rPr>
      <t xml:space="preserve">Calpeda / Q22</t>
    </r>
  </si>
  <si>
    <t xml:space="preserve">31226487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</si>
  <si>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IHD250-200-315</t>
    </r>
  </si>
  <si>
    <t xml:space="preserve">31226488</t>
  </si>
  <si>
    <r>
      <rPr>
        <sz val="10"/>
        <rFont val="FreeSans"/>
        <family val="2"/>
      </rPr>
      <t xml:space="preserve">سیل مکانیکی پمپ  </t>
    </r>
    <r>
      <rPr>
        <sz val="10"/>
        <rFont val="Vazirmatn"/>
        <family val="0"/>
        <charset val="1"/>
      </rPr>
      <t xml:space="preserve">IHD250-200-350</t>
    </r>
  </si>
  <si>
    <t xml:space="preserve">31226489</t>
  </si>
  <si>
    <r>
      <rPr>
        <sz val="10"/>
        <rFont val="FreeSans"/>
        <family val="2"/>
      </rPr>
      <t xml:space="preserve">سیل مکانیکی سایر </t>
    </r>
    <r>
      <rPr>
        <sz val="10"/>
        <rFont val="Vazirmatn"/>
        <family val="0"/>
        <charset val="1"/>
      </rPr>
      <t xml:space="preserve">AR 27</t>
    </r>
  </si>
  <si>
    <t xml:space="preserve">31226490</t>
  </si>
  <si>
    <r>
      <rPr>
        <sz val="10"/>
        <rFont val="FreeSans"/>
        <family val="2"/>
      </rPr>
      <t xml:space="preserve">سیل مکانیکی سایر سایر  </t>
    </r>
    <r>
      <rPr>
        <sz val="10"/>
        <rFont val="Vazirmatn"/>
        <family val="0"/>
        <charset val="1"/>
      </rPr>
      <t xml:space="preserve">AR 40</t>
    </r>
  </si>
  <si>
    <t xml:space="preserve">31226494</t>
  </si>
  <si>
    <r>
      <rPr>
        <sz val="10"/>
        <rFont val="FreeSans"/>
        <family val="2"/>
      </rPr>
      <t xml:space="preserve">سیل سر ثابت  </t>
    </r>
    <r>
      <rPr>
        <sz val="10"/>
        <rFont val="Vazirmatn"/>
        <family val="0"/>
        <charset val="1"/>
      </rPr>
      <t xml:space="preserve">MG1-33</t>
    </r>
  </si>
  <si>
    <t xml:space="preserve">31226502</t>
  </si>
  <si>
    <r>
      <rPr>
        <sz val="10"/>
        <rFont val="FreeSans"/>
        <family val="2"/>
      </rPr>
      <t xml:space="preserve">سیل آبندی لاستیکی یاتاقان </t>
    </r>
    <r>
      <rPr>
        <sz val="10"/>
        <rFont val="Vazirmatn"/>
        <family val="0"/>
        <charset val="1"/>
      </rPr>
      <t xml:space="preserve">SN 518</t>
    </r>
  </si>
  <si>
    <t xml:space="preserve">31226503</t>
  </si>
  <si>
    <r>
      <rPr>
        <sz val="10"/>
        <rFont val="FreeSans"/>
        <family val="2"/>
      </rPr>
      <t xml:space="preserve">طناب گرافیتی   </t>
    </r>
    <r>
      <rPr>
        <sz val="10"/>
        <rFont val="Vazirmatn"/>
        <family val="0"/>
        <charset val="1"/>
      </rPr>
      <t xml:space="preserve">6 MM</t>
    </r>
  </si>
  <si>
    <t xml:space="preserve">31226505</t>
  </si>
  <si>
    <r>
      <rPr>
        <sz val="10"/>
        <rFont val="FreeSans"/>
        <family val="2"/>
      </rPr>
      <t xml:space="preserve">طناب گرافیتی  </t>
    </r>
    <r>
      <rPr>
        <sz val="10"/>
        <rFont val="Vazirmatn"/>
        <family val="0"/>
        <charset val="1"/>
      </rPr>
      <t xml:space="preserve">MM 10</t>
    </r>
  </si>
  <si>
    <t xml:space="preserve">31226507</t>
  </si>
  <si>
    <r>
      <rPr>
        <sz val="10"/>
        <rFont val="FreeSans"/>
        <family val="2"/>
      </rPr>
      <t xml:space="preserve">طناب گرافیتی   </t>
    </r>
    <r>
      <rPr>
        <sz val="10"/>
        <rFont val="Vazirmatn"/>
        <family val="0"/>
        <charset val="1"/>
      </rPr>
      <t xml:space="preserve">8  MM</t>
    </r>
  </si>
  <si>
    <t xml:space="preserve">31226512</t>
  </si>
  <si>
    <r>
      <rPr>
        <sz val="10"/>
        <rFont val="FreeSans"/>
        <family val="2"/>
      </rPr>
      <t xml:space="preserve">طناب کنفی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بنائی </t>
    </r>
    <r>
      <rPr>
        <sz val="10"/>
        <rFont val="Vazirmatn"/>
        <family val="0"/>
        <charset val="1"/>
      </rPr>
      <t xml:space="preserve">)</t>
    </r>
  </si>
  <si>
    <t xml:space="preserve">31226514</t>
  </si>
  <si>
    <r>
      <rPr>
        <sz val="10"/>
        <rFont val="FreeSans"/>
        <family val="2"/>
      </rPr>
      <t xml:space="preserve">سیل مکانیکی پمپ طبقاتی گراندفوس </t>
    </r>
    <r>
      <rPr>
        <sz val="10"/>
        <rFont val="Vazirmatn"/>
        <family val="0"/>
        <charset val="1"/>
      </rPr>
      <t xml:space="preserve">CR  32-8 A</t>
    </r>
  </si>
  <si>
    <t xml:space="preserve">31226515</t>
  </si>
  <si>
    <r>
      <rPr>
        <sz val="10"/>
        <rFont val="FreeSans"/>
        <family val="2"/>
      </rPr>
      <t xml:space="preserve">طناب گرافیتی </t>
    </r>
    <r>
      <rPr>
        <sz val="10"/>
        <rFont val="Vazirmatn"/>
        <family val="0"/>
        <charset val="1"/>
      </rPr>
      <t xml:space="preserve">MM  10</t>
    </r>
  </si>
  <si>
    <t xml:space="preserve">31226517</t>
  </si>
  <si>
    <r>
      <rPr>
        <sz val="10"/>
        <rFont val="FreeSans"/>
        <family val="2"/>
      </rPr>
      <t xml:space="preserve">طناب گرافیتی </t>
    </r>
    <r>
      <rPr>
        <sz val="10"/>
        <rFont val="Vazirmatn"/>
        <family val="0"/>
        <charset val="1"/>
      </rPr>
      <t xml:space="preserve">MM  18</t>
    </r>
  </si>
  <si>
    <t xml:space="preserve">31226518</t>
  </si>
  <si>
    <r>
      <rPr>
        <sz val="10"/>
        <rFont val="FreeSans"/>
        <family val="2"/>
      </rPr>
      <t xml:space="preserve">طناب گرافیتی </t>
    </r>
    <r>
      <rPr>
        <sz val="10"/>
        <rFont val="Vazirmatn"/>
        <family val="0"/>
        <charset val="1"/>
      </rPr>
      <t xml:space="preserve">MM  14</t>
    </r>
  </si>
  <si>
    <t xml:space="preserve">31226519</t>
  </si>
  <si>
    <r>
      <rPr>
        <sz val="10"/>
        <rFont val="FreeSans"/>
        <family val="2"/>
      </rPr>
      <t xml:space="preserve">طناب گرافیتی </t>
    </r>
    <r>
      <rPr>
        <sz val="10"/>
        <rFont val="Vazirmatn"/>
        <family val="0"/>
        <charset val="1"/>
      </rPr>
      <t xml:space="preserve">MM  12</t>
    </r>
  </si>
  <si>
    <t xml:space="preserve">31226555</t>
  </si>
  <si>
    <r>
      <rPr>
        <sz val="10"/>
        <rFont val="FreeSans"/>
        <family val="2"/>
      </rPr>
      <t xml:space="preserve">طناب تفلونی   </t>
    </r>
    <r>
      <rPr>
        <sz val="10"/>
        <rFont val="Vazirmatn"/>
        <family val="0"/>
        <charset val="1"/>
      </rPr>
      <t xml:space="preserve">10  MM</t>
    </r>
  </si>
  <si>
    <t xml:space="preserve">31226556</t>
  </si>
  <si>
    <r>
      <rPr>
        <sz val="10"/>
        <rFont val="FreeSans"/>
        <family val="2"/>
      </rPr>
      <t xml:space="preserve">طناب تفلونی   </t>
    </r>
    <r>
      <rPr>
        <sz val="10"/>
        <rFont val="Vazirmatn"/>
        <family val="0"/>
        <charset val="1"/>
      </rPr>
      <t xml:space="preserve">6  MM</t>
    </r>
  </si>
  <si>
    <t xml:space="preserve">31226557</t>
  </si>
  <si>
    <r>
      <rPr>
        <sz val="10"/>
        <rFont val="FreeSans"/>
        <family val="2"/>
      </rPr>
      <t xml:space="preserve">طناب تفلونی   </t>
    </r>
    <r>
      <rPr>
        <sz val="10"/>
        <rFont val="Vazirmatn"/>
        <family val="0"/>
        <charset val="1"/>
      </rPr>
      <t xml:space="preserve">8  MM</t>
    </r>
  </si>
  <si>
    <t xml:space="preserve">31226558</t>
  </si>
  <si>
    <r>
      <rPr>
        <sz val="10"/>
        <rFont val="FreeSans"/>
        <family val="2"/>
      </rPr>
      <t xml:space="preserve">طناب تفلونی   </t>
    </r>
    <r>
      <rPr>
        <sz val="10"/>
        <rFont val="Vazirmatn"/>
        <family val="0"/>
        <charset val="1"/>
      </rPr>
      <t xml:space="preserve">12  MM</t>
    </r>
  </si>
  <si>
    <t xml:space="preserve">31226581</t>
  </si>
  <si>
    <r>
      <rPr>
        <sz val="10"/>
        <rFont val="FreeSans"/>
        <family val="2"/>
      </rPr>
      <t xml:space="preserve">طناب پلاستیکی  </t>
    </r>
    <r>
      <rPr>
        <sz val="10"/>
        <rFont val="Vazirmatn"/>
        <family val="0"/>
        <charset val="1"/>
      </rPr>
      <t xml:space="preserve">16</t>
    </r>
  </si>
  <si>
    <t xml:space="preserve">31226582</t>
  </si>
  <si>
    <t xml:space="preserve">طناب  پلاستیکی</t>
  </si>
  <si>
    <t xml:space="preserve">31227052</t>
  </si>
  <si>
    <r>
      <rPr>
        <sz val="10"/>
        <rFont val="FreeSans"/>
        <family val="2"/>
      </rPr>
      <t xml:space="preserve">درام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طبلک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اصلی نشاسته اکسید  </t>
    </r>
    <r>
      <rPr>
        <sz val="10"/>
        <rFont val="Vazirmatn"/>
        <family val="0"/>
        <charset val="1"/>
      </rPr>
      <t xml:space="preserve">TYPE:Y1530- DIMENSION: ᴓ1500*3000</t>
    </r>
  </si>
  <si>
    <t xml:space="preserve">31227103</t>
  </si>
  <si>
    <r>
      <rPr>
        <sz val="10"/>
        <rFont val="FreeSans"/>
        <family val="2"/>
      </rPr>
      <t xml:space="preserve">نازل  استیل         </t>
    </r>
    <r>
      <rPr>
        <sz val="10"/>
        <rFont val="Vazirmatn"/>
        <family val="0"/>
        <charset val="1"/>
      </rPr>
      <t xml:space="preserve">LECHLER-25-45</t>
    </r>
  </si>
  <si>
    <t xml:space="preserve">31227110</t>
  </si>
  <si>
    <t xml:space="preserve">نازل روغن کشی</t>
  </si>
  <si>
    <t xml:space="preserve">31227111</t>
  </si>
  <si>
    <r>
      <rPr>
        <sz val="10"/>
        <rFont val="FreeSans"/>
        <family val="2"/>
      </rPr>
      <t xml:space="preserve">نازل  سپراتور تغلیظ  </t>
    </r>
    <r>
      <rPr>
        <sz val="10"/>
        <rFont val="Vazirmatn"/>
        <family val="0"/>
        <charset val="1"/>
      </rPr>
      <t xml:space="preserve">west  falia</t>
    </r>
  </si>
  <si>
    <t xml:space="preserve">31227112</t>
  </si>
  <si>
    <r>
      <rPr>
        <sz val="10"/>
        <rFont val="FreeSans"/>
        <family val="2"/>
      </rPr>
      <t xml:space="preserve">نازل سپراتور تغلیظ  </t>
    </r>
    <r>
      <rPr>
        <sz val="10"/>
        <rFont val="Vazirmatn"/>
        <family val="0"/>
        <charset val="1"/>
      </rPr>
      <t xml:space="preserve">west  falia</t>
    </r>
  </si>
  <si>
    <t xml:space="preserve">31227114</t>
  </si>
  <si>
    <r>
      <rPr>
        <sz val="10"/>
        <rFont val="FreeSans"/>
        <family val="2"/>
      </rPr>
      <t xml:space="preserve">نازل جت کوکر   </t>
    </r>
    <r>
      <rPr>
        <sz val="10"/>
        <rFont val="Vazirmatn"/>
        <family val="0"/>
        <charset val="1"/>
      </rPr>
      <t xml:space="preserve">8/20 - HWA</t>
    </r>
  </si>
  <si>
    <t xml:space="preserve">31227120</t>
  </si>
  <si>
    <t xml:space="preserve">نازل استیل داخل مخازن ایزومراسیون</t>
  </si>
  <si>
    <t xml:space="preserve">31227121</t>
  </si>
  <si>
    <t xml:space="preserve">نازل استیل شستشوی فیلتر پرس</t>
  </si>
  <si>
    <t xml:space="preserve">31227123</t>
  </si>
  <si>
    <r>
      <rPr>
        <sz val="10"/>
        <rFont val="FreeSans"/>
        <family val="2"/>
      </rPr>
      <t xml:space="preserve">نازل آبی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  " 1/2</t>
    </r>
  </si>
  <si>
    <t xml:space="preserve">31227125</t>
  </si>
  <si>
    <r>
      <rPr>
        <sz val="10"/>
        <rFont val="FreeSans"/>
        <family val="2"/>
      </rPr>
      <t xml:space="preserve">نازل استیل سرند هفت مرحله ای    </t>
    </r>
    <r>
      <rPr>
        <sz val="10"/>
        <rFont val="Vazirmatn"/>
        <family val="0"/>
        <charset val="1"/>
      </rPr>
      <t xml:space="preserve">" 1</t>
    </r>
  </si>
  <si>
    <t xml:space="preserve">31227126</t>
  </si>
  <si>
    <r>
      <rPr>
        <sz val="10"/>
        <rFont val="FreeSans"/>
        <family val="2"/>
      </rPr>
      <t xml:space="preserve">نازل دکانتور  </t>
    </r>
    <r>
      <rPr>
        <sz val="10"/>
        <rFont val="Vazirmatn"/>
        <family val="0"/>
        <charset val="1"/>
      </rPr>
      <t xml:space="preserve">400 - 8403 - 0018</t>
    </r>
  </si>
  <si>
    <t xml:space="preserve">31227127</t>
  </si>
  <si>
    <r>
      <rPr>
        <sz val="10"/>
        <rFont val="FreeSans"/>
        <family val="2"/>
      </rPr>
      <t xml:space="preserve">نازل دکانتور  </t>
    </r>
    <r>
      <rPr>
        <sz val="10"/>
        <rFont val="Vazirmatn"/>
        <family val="0"/>
        <charset val="1"/>
      </rPr>
      <t xml:space="preserve">400 - 8950 - 0018</t>
    </r>
  </si>
  <si>
    <t xml:space="preserve">31227129</t>
  </si>
  <si>
    <r>
      <rPr>
        <sz val="10"/>
        <rFont val="FreeSans"/>
        <family val="2"/>
      </rPr>
      <t xml:space="preserve">نازل دکانتور  </t>
    </r>
    <r>
      <rPr>
        <sz val="10"/>
        <rFont val="Vazirmatn"/>
        <family val="0"/>
        <charset val="1"/>
      </rPr>
      <t xml:space="preserve">400 - 8956 - 0018</t>
    </r>
  </si>
  <si>
    <t xml:space="preserve">31227131</t>
  </si>
  <si>
    <r>
      <rPr>
        <sz val="10"/>
        <rFont val="FreeSans"/>
        <family val="2"/>
      </rPr>
      <t xml:space="preserve">نازل  دستگاه  تصفیه    </t>
    </r>
    <r>
      <rPr>
        <sz val="10"/>
        <rFont val="Vazirmatn"/>
        <family val="0"/>
        <charset val="1"/>
      </rPr>
      <t xml:space="preserve">~225</t>
    </r>
  </si>
  <si>
    <t xml:space="preserve">31227133</t>
  </si>
  <si>
    <r>
      <rPr>
        <sz val="10"/>
        <rFont val="FreeSans"/>
        <family val="2"/>
      </rPr>
      <t xml:space="preserve">نازل </t>
    </r>
    <r>
      <rPr>
        <sz val="10"/>
        <rFont val="Vazirmatn"/>
        <family val="0"/>
        <charset val="1"/>
      </rPr>
      <t xml:space="preserve">256     160mm</t>
    </r>
  </si>
  <si>
    <t xml:space="preserve">31227140</t>
  </si>
  <si>
    <r>
      <rPr>
        <sz val="10"/>
        <rFont val="FreeSans"/>
        <family val="2"/>
      </rPr>
      <t xml:space="preserve">نازل  </t>
    </r>
    <r>
      <rPr>
        <sz val="10"/>
        <rFont val="Vazirmatn"/>
        <family val="0"/>
        <charset val="1"/>
      </rPr>
      <t xml:space="preserve">200</t>
    </r>
  </si>
  <si>
    <t xml:space="preserve">31227148</t>
  </si>
  <si>
    <r>
      <rPr>
        <sz val="10"/>
        <rFont val="FreeSans"/>
        <family val="2"/>
      </rPr>
      <t xml:space="preserve">نازل برش پلاسما  </t>
    </r>
    <r>
      <rPr>
        <sz val="10"/>
        <rFont val="Vazirmatn"/>
        <family val="0"/>
        <charset val="1"/>
      </rPr>
      <t xml:space="preserve">1/3   CB 150</t>
    </r>
  </si>
  <si>
    <t xml:space="preserve">31227150</t>
  </si>
  <si>
    <r>
      <rPr>
        <sz val="10"/>
        <rFont val="FreeSans"/>
        <family val="2"/>
      </rPr>
      <t xml:space="preserve">نازل استیل سرند پوسته   </t>
    </r>
    <r>
      <rPr>
        <sz val="10"/>
        <rFont val="Vazirmatn"/>
        <family val="0"/>
        <charset val="1"/>
      </rPr>
      <t xml:space="preserve">" 1</t>
    </r>
  </si>
  <si>
    <t xml:space="preserve">31227154</t>
  </si>
  <si>
    <r>
      <rPr>
        <sz val="10"/>
        <rFont val="FreeSans"/>
        <family val="2"/>
      </rPr>
      <t xml:space="preserve">نازل برش پلاسما  </t>
    </r>
    <r>
      <rPr>
        <sz val="10"/>
        <rFont val="Vazirmatn"/>
        <family val="0"/>
        <charset val="1"/>
      </rPr>
      <t xml:space="preserve">1/8   CB 150</t>
    </r>
  </si>
  <si>
    <t xml:space="preserve">31227155</t>
  </si>
  <si>
    <t xml:space="preserve">نازل آب پاش مخصوص جعبه آتش نشانی</t>
  </si>
  <si>
    <t xml:space="preserve">31227157</t>
  </si>
  <si>
    <r>
      <rPr>
        <sz val="10"/>
        <rFont val="FreeSans"/>
        <family val="2"/>
      </rPr>
      <t xml:space="preserve">نازل مه پاش   </t>
    </r>
    <r>
      <rPr>
        <sz val="10"/>
        <rFont val="Vazirmatn"/>
        <family val="0"/>
        <charset val="1"/>
      </rPr>
      <t xml:space="preserve">" 3/8</t>
    </r>
  </si>
  <si>
    <t xml:space="preserve">31227163</t>
  </si>
  <si>
    <r>
      <rPr>
        <sz val="10"/>
        <rFont val="FreeSans"/>
        <family val="2"/>
      </rPr>
      <t xml:space="preserve">نازل درام گلوتن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چینی </t>
    </r>
    <r>
      <rPr>
        <sz val="10"/>
        <rFont val="Vazirmatn"/>
        <family val="0"/>
        <charset val="1"/>
      </rPr>
      <t xml:space="preserve">)</t>
    </r>
  </si>
  <si>
    <t xml:space="preserve">31227164</t>
  </si>
  <si>
    <r>
      <rPr>
        <sz val="10"/>
        <rFont val="FreeSans"/>
        <family val="2"/>
      </rPr>
      <t xml:space="preserve">نازل </t>
    </r>
    <r>
      <rPr>
        <sz val="10"/>
        <rFont val="Vazirmatn"/>
        <family val="0"/>
        <charset val="1"/>
      </rPr>
      <t xml:space="preserve">1/0 CO2</t>
    </r>
  </si>
  <si>
    <t xml:space="preserve">31227176</t>
  </si>
  <si>
    <r>
      <rPr>
        <sz val="10"/>
        <rFont val="FreeSans"/>
        <family val="2"/>
      </rPr>
      <t xml:space="preserve">نازل  </t>
    </r>
    <r>
      <rPr>
        <sz val="10"/>
        <rFont val="Vazirmatn"/>
        <family val="0"/>
        <charset val="1"/>
      </rPr>
      <t xml:space="preserve">1/3mm </t>
    </r>
    <r>
      <rPr>
        <sz val="10"/>
        <rFont val="FreeSans"/>
        <family val="2"/>
      </rPr>
      <t xml:space="preserve">سپراتور تغلیظ گلوتن</t>
    </r>
  </si>
  <si>
    <t xml:space="preserve">31227179</t>
  </si>
  <si>
    <r>
      <rPr>
        <sz val="10"/>
        <rFont val="FreeSans"/>
        <family val="2"/>
      </rPr>
      <t xml:space="preserve">نازل تفلونی واش باطری  </t>
    </r>
    <r>
      <rPr>
        <sz val="10"/>
        <rFont val="Vazirmatn"/>
        <family val="0"/>
        <charset val="1"/>
      </rPr>
      <t xml:space="preserve">A</t>
    </r>
  </si>
  <si>
    <t xml:space="preserve">31227186</t>
  </si>
  <si>
    <r>
      <rPr>
        <sz val="10"/>
        <rFont val="FreeSans"/>
        <family val="2"/>
      </rPr>
      <t xml:space="preserve">نازل تفلونی  کوتاه  </t>
    </r>
    <r>
      <rPr>
        <sz val="10"/>
        <rFont val="Vazirmatn"/>
        <family val="0"/>
        <charset val="1"/>
      </rPr>
      <t xml:space="preserve">-   10B</t>
    </r>
  </si>
  <si>
    <t xml:space="preserve">31227187</t>
  </si>
  <si>
    <r>
      <rPr>
        <sz val="10"/>
        <rFont val="FreeSans"/>
        <family val="2"/>
      </rPr>
      <t xml:space="preserve">نازل سپراتور نشاسته </t>
    </r>
    <r>
      <rPr>
        <sz val="10"/>
        <rFont val="Vazirmatn"/>
        <family val="0"/>
        <charset val="1"/>
      </rPr>
      <t xml:space="preserve">1/80    257 75</t>
    </r>
  </si>
  <si>
    <t xml:space="preserve">31227197</t>
  </si>
  <si>
    <r>
      <rPr>
        <sz val="10"/>
        <rFont val="FreeSans"/>
        <family val="2"/>
      </rPr>
      <t xml:space="preserve">نازل واش باطری </t>
    </r>
    <r>
      <rPr>
        <sz val="10"/>
        <rFont val="Vazirmatn"/>
        <family val="0"/>
        <charset val="1"/>
      </rPr>
      <t xml:space="preserve">( A ( TYPE:A-XDX450</t>
    </r>
  </si>
  <si>
    <t xml:space="preserve">31227198</t>
  </si>
  <si>
    <r>
      <rPr>
        <sz val="10"/>
        <rFont val="FreeSans"/>
        <family val="2"/>
      </rPr>
      <t xml:space="preserve">نازل واش باطری </t>
    </r>
    <r>
      <rPr>
        <sz val="10"/>
        <rFont val="Vazirmatn"/>
        <family val="0"/>
        <charset val="1"/>
      </rPr>
      <t xml:space="preserve">( B ( TYPE:B-XDX450</t>
    </r>
  </si>
  <si>
    <t xml:space="preserve">31227199</t>
  </si>
  <si>
    <r>
      <rPr>
        <sz val="10"/>
        <rFont val="FreeSans"/>
        <family val="2"/>
      </rPr>
      <t xml:space="preserve">نازل کور واش باطری </t>
    </r>
    <r>
      <rPr>
        <sz val="10"/>
        <rFont val="Vazirmatn"/>
        <family val="0"/>
        <charset val="1"/>
      </rPr>
      <t xml:space="preserve">( TYPE:BLIND-XDX450 )</t>
    </r>
  </si>
  <si>
    <t xml:space="preserve">31227201</t>
  </si>
  <si>
    <r>
      <rPr>
        <sz val="10"/>
        <rFont val="FreeSans"/>
        <family val="2"/>
      </rPr>
      <t xml:space="preserve">پکینگ                        </t>
    </r>
    <r>
      <rPr>
        <sz val="10"/>
        <rFont val="Vazirmatn"/>
        <family val="0"/>
        <charset val="1"/>
      </rPr>
      <t xml:space="preserve">225 * 6 * 213</t>
    </r>
  </si>
  <si>
    <t xml:space="preserve">31227202</t>
  </si>
  <si>
    <r>
      <rPr>
        <sz val="10"/>
        <rFont val="FreeSans"/>
        <family val="2"/>
      </rPr>
      <t xml:space="preserve">پکینگ  آسیاب   </t>
    </r>
    <r>
      <rPr>
        <sz val="10"/>
        <rFont val="Vazirmatn"/>
        <family val="0"/>
        <charset val="1"/>
      </rPr>
      <t xml:space="preserve">FQ  -  124</t>
    </r>
  </si>
  <si>
    <t xml:space="preserve">31227205</t>
  </si>
  <si>
    <r>
      <rPr>
        <sz val="10"/>
        <rFont val="FreeSans"/>
        <family val="2"/>
      </rPr>
      <t xml:space="preserve">پکینگ    </t>
    </r>
    <r>
      <rPr>
        <sz val="10"/>
        <rFont val="Vazirmatn"/>
        <family val="0"/>
        <charset val="1"/>
      </rPr>
      <t xml:space="preserve">3/5 * 22 * 30</t>
    </r>
  </si>
  <si>
    <t xml:space="preserve">31227247</t>
  </si>
  <si>
    <r>
      <rPr>
        <sz val="10"/>
        <rFont val="FreeSans"/>
        <family val="2"/>
      </rPr>
      <t xml:space="preserve">پکینگ جک درب رینولد  </t>
    </r>
    <r>
      <rPr>
        <sz val="10"/>
        <rFont val="Vazirmatn"/>
        <family val="0"/>
        <charset val="1"/>
      </rPr>
      <t xml:space="preserve">5 - 28 - 20</t>
    </r>
  </si>
  <si>
    <t xml:space="preserve">31227255</t>
  </si>
  <si>
    <r>
      <rPr>
        <sz val="10"/>
        <rFont val="FreeSans"/>
        <family val="2"/>
      </rPr>
      <t xml:space="preserve">پکینگ  </t>
    </r>
    <r>
      <rPr>
        <sz val="10"/>
        <rFont val="Vazirmatn"/>
        <family val="0"/>
        <charset val="1"/>
      </rPr>
      <t xml:space="preserve">16 - 180 - 150</t>
    </r>
  </si>
  <si>
    <t xml:space="preserve">31227257</t>
  </si>
  <si>
    <r>
      <rPr>
        <sz val="10"/>
        <rFont val="FreeSans"/>
        <family val="2"/>
      </rPr>
      <t xml:space="preserve">پکینگ </t>
    </r>
    <r>
      <rPr>
        <sz val="10"/>
        <rFont val="Vazirmatn"/>
        <family val="0"/>
        <charset val="1"/>
      </rPr>
      <t xml:space="preserve">V </t>
    </r>
    <r>
      <rPr>
        <sz val="10"/>
        <rFont val="FreeSans"/>
        <family val="2"/>
      </rPr>
      <t xml:space="preserve">شکل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ردیفه هیدرولیکی جک </t>
    </r>
    <r>
      <rPr>
        <sz val="10"/>
        <rFont val="Vazirmatn"/>
        <family val="0"/>
        <charset val="1"/>
      </rPr>
      <t xml:space="preserve">30 * 20</t>
    </r>
  </si>
  <si>
    <t xml:space="preserve">31227260</t>
  </si>
  <si>
    <t xml:space="preserve">پکینگ</t>
  </si>
  <si>
    <t xml:space="preserve">31227261</t>
  </si>
  <si>
    <r>
      <rPr>
        <sz val="10"/>
        <rFont val="FreeSans"/>
        <family val="2"/>
      </rPr>
      <t xml:space="preserve">پکینگ   </t>
    </r>
    <r>
      <rPr>
        <sz val="10"/>
        <rFont val="Vazirmatn"/>
        <family val="0"/>
        <charset val="1"/>
      </rPr>
      <t xml:space="preserve">10 - 26 - 16</t>
    </r>
  </si>
  <si>
    <t xml:space="preserve">31227282</t>
  </si>
  <si>
    <r>
      <rPr>
        <sz val="10"/>
        <rFont val="FreeSans"/>
        <family val="2"/>
      </rPr>
      <t xml:space="preserve">پکینگ </t>
    </r>
    <r>
      <rPr>
        <sz val="10"/>
        <rFont val="Vazirmatn"/>
        <family val="0"/>
        <charset val="1"/>
      </rPr>
      <t xml:space="preserve">P.P   </t>
    </r>
    <r>
      <rPr>
        <sz val="10"/>
        <rFont val="FreeSans"/>
        <family val="2"/>
      </rPr>
      <t xml:space="preserve">گام </t>
    </r>
    <r>
      <rPr>
        <sz val="10"/>
        <rFont val="Vazirmatn"/>
        <family val="0"/>
        <charset val="1"/>
      </rPr>
      <t xml:space="preserve">19   MB 450</t>
    </r>
  </si>
  <si>
    <t xml:space="preserve">31227283</t>
  </si>
  <si>
    <t xml:space="preserve">31227284</t>
  </si>
  <si>
    <r>
      <rPr>
        <sz val="10"/>
        <rFont val="FreeSans"/>
        <family val="2"/>
      </rPr>
      <t xml:space="preserve">پکینگ کولینگ تاور </t>
    </r>
    <r>
      <rPr>
        <sz val="10"/>
        <rFont val="Vazirmatn"/>
        <family val="0"/>
        <charset val="1"/>
      </rPr>
      <t xml:space="preserve">P.P ) 30Cm*30Cm*100Cm )</t>
    </r>
  </si>
  <si>
    <t xml:space="preserve">مترمکعب</t>
  </si>
  <si>
    <t xml:space="preserve">31227285</t>
  </si>
  <si>
    <r>
      <rPr>
        <sz val="10"/>
        <rFont val="FreeSans"/>
        <family val="2"/>
      </rPr>
      <t xml:space="preserve">پکینگ جک سینی فیلتر پرس فروکتوز </t>
    </r>
    <r>
      <rPr>
        <sz val="10"/>
        <rFont val="Vazirmatn"/>
        <family val="0"/>
        <charset val="1"/>
      </rPr>
      <t xml:space="preserve">5*74*90</t>
    </r>
  </si>
  <si>
    <t xml:space="preserve">31227286</t>
  </si>
  <si>
    <r>
      <rPr>
        <sz val="10"/>
        <rFont val="FreeSans"/>
        <family val="2"/>
      </rPr>
      <t xml:space="preserve">پکینگ کلگی جک فیلتر پرس فروکتوز </t>
    </r>
    <r>
      <rPr>
        <sz val="10"/>
        <rFont val="Vazirmatn"/>
        <family val="0"/>
        <charset val="1"/>
      </rPr>
      <t xml:space="preserve">11-190-205</t>
    </r>
  </si>
  <si>
    <t xml:space="preserve">31227287</t>
  </si>
  <si>
    <r>
      <rPr>
        <sz val="10"/>
        <rFont val="FreeSans"/>
        <family val="2"/>
      </rPr>
      <t xml:space="preserve">پکینگ   </t>
    </r>
    <r>
      <rPr>
        <sz val="10"/>
        <rFont val="Vazirmatn"/>
        <family val="0"/>
        <charset val="1"/>
      </rPr>
      <t xml:space="preserve">13 - 85 - 102</t>
    </r>
  </si>
  <si>
    <t xml:space="preserve">31227288</t>
  </si>
  <si>
    <r>
      <rPr>
        <sz val="10"/>
        <rFont val="FreeSans"/>
        <family val="2"/>
      </rPr>
      <t xml:space="preserve">پکینگ   </t>
    </r>
    <r>
      <rPr>
        <sz val="10"/>
        <rFont val="Vazirmatn"/>
        <family val="0"/>
        <charset val="1"/>
      </rPr>
      <t xml:space="preserve">7 - 45 - 55</t>
    </r>
  </si>
  <si>
    <t xml:space="preserve">31227289</t>
  </si>
  <si>
    <r>
      <rPr>
        <sz val="10"/>
        <rFont val="FreeSans"/>
        <family val="2"/>
      </rPr>
      <t xml:space="preserve">پکینگ جک پنوماتیک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پیستونی </t>
    </r>
    <r>
      <rPr>
        <sz val="10"/>
        <rFont val="Vazirmatn"/>
        <family val="0"/>
        <charset val="1"/>
      </rPr>
      <t xml:space="preserve">- A 102 ) 53*63*6</t>
    </r>
  </si>
  <si>
    <t xml:space="preserve">31227290</t>
  </si>
  <si>
    <r>
      <rPr>
        <sz val="10"/>
        <rFont val="FreeSans"/>
        <family val="2"/>
      </rPr>
      <t xml:space="preserve">پکینگ جک پنوماتیک </t>
    </r>
    <r>
      <rPr>
        <sz val="10"/>
        <rFont val="Vazirmatn"/>
        <family val="0"/>
        <charset val="1"/>
      </rPr>
      <t xml:space="preserve">7*30*20</t>
    </r>
  </si>
  <si>
    <t xml:space="preserve">31227291</t>
  </si>
  <si>
    <r>
      <rPr>
        <sz val="10"/>
        <rFont val="FreeSans"/>
        <family val="2"/>
      </rPr>
      <t xml:space="preserve">پکینگ جک پنوماتیک </t>
    </r>
    <r>
      <rPr>
        <sz val="10"/>
        <rFont val="Vazirmatn"/>
        <family val="0"/>
        <charset val="1"/>
      </rPr>
      <t xml:space="preserve">4/5*53*63</t>
    </r>
  </si>
  <si>
    <t xml:space="preserve">31227292</t>
  </si>
  <si>
    <r>
      <rPr>
        <sz val="10"/>
        <rFont val="FreeSans"/>
        <family val="2"/>
      </rPr>
      <t xml:space="preserve">پکینگ جک پنوماتیک </t>
    </r>
    <r>
      <rPr>
        <sz val="10"/>
        <rFont val="Vazirmatn"/>
        <family val="0"/>
        <charset val="1"/>
      </rPr>
      <t xml:space="preserve">4/25*16*22</t>
    </r>
  </si>
  <si>
    <t xml:space="preserve">31227306</t>
  </si>
  <si>
    <r>
      <rPr>
        <sz val="10"/>
        <rFont val="FreeSans"/>
        <family val="2"/>
      </rPr>
      <t xml:space="preserve">پکینگ   </t>
    </r>
    <r>
      <rPr>
        <sz val="10"/>
        <rFont val="Vazirmatn"/>
        <family val="0"/>
        <charset val="1"/>
      </rPr>
      <t xml:space="preserve">30 * 20</t>
    </r>
  </si>
  <si>
    <t xml:space="preserve">31227312</t>
  </si>
  <si>
    <r>
      <rPr>
        <sz val="10"/>
        <rFont val="FreeSans"/>
        <family val="2"/>
      </rPr>
      <t xml:space="preserve">پکینگ    </t>
    </r>
    <r>
      <rPr>
        <sz val="10"/>
        <rFont val="Vazirmatn"/>
        <family val="0"/>
        <charset val="1"/>
      </rPr>
      <t xml:space="preserve">10 - 90 - 75</t>
    </r>
  </si>
  <si>
    <t xml:space="preserve">31227322</t>
  </si>
  <si>
    <r>
      <rPr>
        <sz val="10"/>
        <rFont val="FreeSans"/>
        <family val="2"/>
      </rPr>
      <t xml:space="preserve">پکینگ  </t>
    </r>
    <r>
      <rPr>
        <sz val="10"/>
        <rFont val="Vazirmatn"/>
        <family val="0"/>
        <charset val="1"/>
      </rPr>
      <t xml:space="preserve">8 * 10 * 20</t>
    </r>
  </si>
  <si>
    <t xml:space="preserve">31227323</t>
  </si>
  <si>
    <r>
      <rPr>
        <sz val="10"/>
        <rFont val="FreeSans"/>
        <family val="2"/>
      </rPr>
      <t xml:space="preserve">پکینگ طنابی دکانتور  </t>
    </r>
    <r>
      <rPr>
        <sz val="10"/>
        <rFont val="Vazirmatn"/>
        <family val="0"/>
        <charset val="1"/>
      </rPr>
      <t xml:space="preserve">328 - 1576 - 0004</t>
    </r>
  </si>
  <si>
    <t xml:space="preserve">31227325</t>
  </si>
  <si>
    <r>
      <rPr>
        <sz val="10"/>
        <rFont val="FreeSans"/>
        <family val="2"/>
      </rPr>
      <t xml:space="preserve">پکینگ جک فیلترپرس پروتئین گیری </t>
    </r>
    <r>
      <rPr>
        <sz val="10"/>
        <rFont val="Vazirmatn"/>
        <family val="0"/>
        <charset val="1"/>
      </rPr>
      <t xml:space="preserve">18*296*320</t>
    </r>
  </si>
  <si>
    <t xml:space="preserve">31227327</t>
  </si>
  <si>
    <r>
      <rPr>
        <sz val="10"/>
        <rFont val="FreeSans"/>
        <family val="2"/>
      </rPr>
      <t xml:space="preserve">ست پکینگ پمپ کارواش برتولینی </t>
    </r>
    <r>
      <rPr>
        <sz val="10"/>
        <rFont val="Vazirmatn"/>
        <family val="0"/>
        <charset val="1"/>
      </rPr>
      <t xml:space="preserve">150 </t>
    </r>
    <r>
      <rPr>
        <sz val="10"/>
        <rFont val="FreeSans"/>
        <family val="2"/>
      </rPr>
      <t xml:space="preserve">بار</t>
    </r>
  </si>
  <si>
    <t xml:space="preserve">31227328</t>
  </si>
  <si>
    <r>
      <rPr>
        <sz val="10"/>
        <rFont val="FreeSans"/>
        <family val="2"/>
      </rPr>
      <t xml:space="preserve">ست پکینگ پمپ کارواش اینتر </t>
    </r>
    <r>
      <rPr>
        <sz val="10"/>
        <rFont val="Vazirmatn"/>
        <family val="0"/>
        <charset val="1"/>
      </rPr>
      <t xml:space="preserve">200 </t>
    </r>
    <r>
      <rPr>
        <sz val="10"/>
        <rFont val="FreeSans"/>
        <family val="2"/>
      </rPr>
      <t xml:space="preserve">بار</t>
    </r>
  </si>
  <si>
    <t xml:space="preserve">31227329</t>
  </si>
  <si>
    <r>
      <rPr>
        <sz val="10"/>
        <rFont val="FreeSans"/>
        <family val="2"/>
      </rPr>
      <t xml:space="preserve">پکینگ دوزینگ پمپ کمیکال  </t>
    </r>
    <r>
      <rPr>
        <sz val="10"/>
        <rFont val="Vazirmatn"/>
        <family val="0"/>
        <charset val="1"/>
      </rPr>
      <t xml:space="preserve">10 - 110 - 94</t>
    </r>
  </si>
  <si>
    <t xml:space="preserve">31227330</t>
  </si>
  <si>
    <r>
      <rPr>
        <sz val="10"/>
        <rFont val="FreeSans"/>
        <family val="2"/>
      </rPr>
      <t xml:space="preserve">پکینگ   </t>
    </r>
    <r>
      <rPr>
        <sz val="10"/>
        <rFont val="Vazirmatn"/>
        <family val="0"/>
        <charset val="1"/>
      </rPr>
      <t xml:space="preserve">8 - 24 - 16</t>
    </r>
  </si>
  <si>
    <t xml:space="preserve">31227331</t>
  </si>
  <si>
    <r>
      <rPr>
        <sz val="10"/>
        <rFont val="FreeSans"/>
        <family val="2"/>
      </rPr>
      <t xml:space="preserve">پکینگ   </t>
    </r>
    <r>
      <rPr>
        <sz val="10"/>
        <rFont val="Vazirmatn"/>
        <family val="0"/>
        <charset val="1"/>
      </rPr>
      <t xml:space="preserve">3 - 32 - 24</t>
    </r>
  </si>
  <si>
    <t xml:space="preserve">31227332</t>
  </si>
  <si>
    <r>
      <rPr>
        <sz val="10"/>
        <rFont val="FreeSans"/>
        <family val="2"/>
      </rPr>
      <t xml:space="preserve">پکینگ   </t>
    </r>
    <r>
      <rPr>
        <sz val="10"/>
        <rFont val="Vazirmatn"/>
        <family val="0"/>
        <charset val="1"/>
      </rPr>
      <t xml:space="preserve">7 - 30 - 22</t>
    </r>
  </si>
  <si>
    <t xml:space="preserve">31227333</t>
  </si>
  <si>
    <r>
      <rPr>
        <sz val="10"/>
        <rFont val="FreeSans"/>
        <family val="2"/>
      </rPr>
      <t xml:space="preserve">پکینگ   </t>
    </r>
    <r>
      <rPr>
        <sz val="10"/>
        <rFont val="Vazirmatn"/>
        <family val="0"/>
        <charset val="1"/>
      </rPr>
      <t xml:space="preserve">7 - 28 - 20</t>
    </r>
  </si>
  <si>
    <t xml:space="preserve">31227336</t>
  </si>
  <si>
    <r>
      <rPr>
        <sz val="10"/>
        <rFont val="FreeSans"/>
        <family val="2"/>
      </rPr>
      <t xml:space="preserve">پکینگ   </t>
    </r>
    <r>
      <rPr>
        <sz val="10"/>
        <rFont val="Vazirmatn"/>
        <family val="0"/>
        <charset val="1"/>
      </rPr>
      <t xml:space="preserve">8 - 6 - 16</t>
    </r>
  </si>
  <si>
    <t xml:space="preserve">31227337</t>
  </si>
  <si>
    <t xml:space="preserve">پکینگ جک فیلتر ویست کربن</t>
  </si>
  <si>
    <t xml:space="preserve">31227338</t>
  </si>
  <si>
    <r>
      <rPr>
        <sz val="10"/>
        <rFont val="FreeSans"/>
        <family val="2"/>
      </rPr>
      <t xml:space="preserve">پکینگ جک فیلتر بیرنگ روغن </t>
    </r>
    <r>
      <rPr>
        <sz val="10"/>
        <rFont val="Vazirmatn"/>
        <family val="0"/>
        <charset val="1"/>
      </rPr>
      <t xml:space="preserve">15*137/25*115</t>
    </r>
  </si>
  <si>
    <t xml:space="preserve">31228102</t>
  </si>
  <si>
    <r>
      <rPr>
        <sz val="10"/>
        <rFont val="FreeSans"/>
        <family val="2"/>
      </rPr>
      <t xml:space="preserve">چسب مایع           </t>
    </r>
    <r>
      <rPr>
        <sz val="10"/>
        <rFont val="Vazirmatn"/>
        <family val="0"/>
        <charset val="1"/>
      </rPr>
      <t xml:space="preserve">HIGH TEMP RTV SILICONE GREY GLUE Mazda</t>
    </r>
  </si>
  <si>
    <t xml:space="preserve">31228104</t>
  </si>
  <si>
    <r>
      <rPr>
        <sz val="10"/>
        <rFont val="FreeSans"/>
        <family val="2"/>
      </rPr>
      <t xml:space="preserve">چسب  دکانتور  </t>
    </r>
    <r>
      <rPr>
        <sz val="10"/>
        <rFont val="Vazirmatn"/>
        <family val="0"/>
        <charset val="1"/>
      </rPr>
      <t xml:space="preserve">050 - 0605 - 6985</t>
    </r>
  </si>
  <si>
    <t xml:space="preserve">31228105</t>
  </si>
  <si>
    <r>
      <rPr>
        <sz val="10"/>
        <rFont val="FreeSans"/>
        <family val="2"/>
      </rPr>
      <t xml:space="preserve">چسب لاستیک خارجی </t>
    </r>
    <r>
      <rPr>
        <sz val="10"/>
        <rFont val="Vazirmatn"/>
        <family val="0"/>
        <charset val="1"/>
      </rPr>
      <t xml:space="preserve">GI 200</t>
    </r>
  </si>
  <si>
    <t xml:space="preserve">31228106</t>
  </si>
  <si>
    <r>
      <rPr>
        <sz val="10"/>
        <rFont val="FreeSans"/>
        <family val="2"/>
      </rPr>
      <t xml:space="preserve">چسب دکانتور  </t>
    </r>
    <r>
      <rPr>
        <sz val="10"/>
        <rFont val="Vazirmatn"/>
        <family val="0"/>
        <charset val="1"/>
      </rPr>
      <t xml:space="preserve">200 - 0605 - 6985</t>
    </r>
  </si>
  <si>
    <t xml:space="preserve">31228107</t>
  </si>
  <si>
    <r>
      <rPr>
        <sz val="10"/>
        <rFont val="FreeSans"/>
        <family val="2"/>
      </rPr>
      <t xml:space="preserve">چسب دکانتور  </t>
    </r>
    <r>
      <rPr>
        <sz val="10"/>
        <rFont val="Vazirmatn"/>
        <family val="0"/>
        <charset val="1"/>
      </rPr>
      <t xml:space="preserve">050 - 0605 - 6985</t>
    </r>
  </si>
  <si>
    <t xml:space="preserve">31228113</t>
  </si>
  <si>
    <t xml:space="preserve">چسب دو قلو</t>
  </si>
  <si>
    <t xml:space="preserve">31228120</t>
  </si>
  <si>
    <r>
      <rPr>
        <sz val="10"/>
        <rFont val="FreeSans"/>
        <family val="2"/>
      </rPr>
      <t xml:space="preserve">چسب آکواریوم  </t>
    </r>
    <r>
      <rPr>
        <sz val="10"/>
        <rFont val="Vazirmatn"/>
        <family val="0"/>
        <charset val="1"/>
      </rPr>
      <t xml:space="preserve">GI 2400</t>
    </r>
  </si>
  <si>
    <t xml:space="preserve">31228125</t>
  </si>
  <si>
    <r>
      <rPr>
        <sz val="10"/>
        <rFont val="FreeSans"/>
        <family val="2"/>
      </rPr>
      <t xml:space="preserve">حلال  </t>
    </r>
    <r>
      <rPr>
        <sz val="10"/>
        <rFont val="Vazirmatn"/>
        <family val="0"/>
        <charset val="1"/>
      </rPr>
      <t xml:space="preserve">( PRE GLUE )</t>
    </r>
  </si>
  <si>
    <t xml:space="preserve">31228136</t>
  </si>
  <si>
    <t xml:space="preserve">چسب بلبرینگ</t>
  </si>
  <si>
    <t xml:space="preserve">31228140</t>
  </si>
  <si>
    <r>
      <rPr>
        <sz val="10"/>
        <rFont val="FreeSans"/>
        <family val="2"/>
      </rPr>
      <t xml:space="preserve">چسب  </t>
    </r>
    <r>
      <rPr>
        <sz val="10"/>
        <rFont val="Vazirmatn"/>
        <family val="0"/>
        <charset val="1"/>
      </rPr>
      <t xml:space="preserve">( UPVC GLUE )</t>
    </r>
  </si>
  <si>
    <t xml:space="preserve">31228144</t>
  </si>
  <si>
    <r>
      <rPr>
        <sz val="10"/>
        <rFont val="FreeSans"/>
        <family val="2"/>
      </rPr>
      <t xml:space="preserve">چسب آبندی دما بالای مشکی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سر سیلندر </t>
    </r>
    <r>
      <rPr>
        <sz val="10"/>
        <rFont val="Vazirmatn"/>
        <family val="0"/>
        <charset val="1"/>
      </rPr>
      <t xml:space="preserve">)</t>
    </r>
  </si>
  <si>
    <t xml:space="preserve">31228148</t>
  </si>
  <si>
    <t xml:space="preserve">چسب  بل</t>
  </si>
  <si>
    <t xml:space="preserve">31228149</t>
  </si>
  <si>
    <r>
      <rPr>
        <sz val="10"/>
        <rFont val="FreeSans"/>
        <family val="2"/>
      </rPr>
      <t xml:space="preserve">چسب    </t>
    </r>
    <r>
      <rPr>
        <sz val="10"/>
        <rFont val="Vazirmatn"/>
        <family val="0"/>
        <charset val="1"/>
      </rPr>
      <t xml:space="preserve">3 - 2 - 1</t>
    </r>
  </si>
  <si>
    <t xml:space="preserve">31228150</t>
  </si>
  <si>
    <t xml:space="preserve">چسب آپارات نوار لاستیکی</t>
  </si>
  <si>
    <t xml:space="preserve">31228152</t>
  </si>
  <si>
    <t xml:space="preserve">چسب دوقلوی فولاد</t>
  </si>
  <si>
    <t xml:space="preserve">31228153</t>
  </si>
  <si>
    <t xml:space="preserve">چسب اورینگ</t>
  </si>
  <si>
    <t xml:space="preserve">31228154</t>
  </si>
  <si>
    <r>
      <rPr>
        <sz val="10"/>
        <rFont val="FreeSans"/>
        <family val="2"/>
      </rPr>
      <t xml:space="preserve">چسب بلبرینگ  </t>
    </r>
    <r>
      <rPr>
        <sz val="10"/>
        <rFont val="Vazirmatn"/>
        <family val="0"/>
        <charset val="1"/>
      </rPr>
      <t xml:space="preserve">Loctite 641</t>
    </r>
  </si>
  <si>
    <t xml:space="preserve">31228155</t>
  </si>
  <si>
    <t xml:space="preserve">چسب آکواریوم پمادی</t>
  </si>
  <si>
    <t xml:space="preserve">31228157</t>
  </si>
  <si>
    <r>
      <rPr>
        <sz val="10"/>
        <rFont val="FreeSans"/>
        <family val="2"/>
      </rPr>
      <t xml:space="preserve">چسب آپارات نوار نقاله </t>
    </r>
    <r>
      <rPr>
        <sz val="10"/>
        <rFont val="Vazirmatn"/>
        <family val="0"/>
        <charset val="1"/>
      </rPr>
      <t xml:space="preserve">SC 4000 ( </t>
    </r>
    <r>
      <rPr>
        <sz val="10"/>
        <rFont val="FreeSans"/>
        <family val="2"/>
      </rPr>
      <t xml:space="preserve">به همراه </t>
    </r>
    <r>
      <rPr>
        <sz val="10"/>
        <rFont val="Vazirmatn"/>
        <family val="0"/>
        <charset val="1"/>
      </rPr>
      <t xml:space="preserve">HARDNER E-40 )</t>
    </r>
  </si>
  <si>
    <t xml:space="preserve">31228158</t>
  </si>
  <si>
    <t xml:space="preserve">چسب سفید سیلکس</t>
  </si>
  <si>
    <t xml:space="preserve">31228299</t>
  </si>
  <si>
    <r>
      <rPr>
        <sz val="10"/>
        <rFont val="FreeSans"/>
        <family val="2"/>
      </rPr>
      <t xml:space="preserve">قاب توری فلزی کشویی </t>
    </r>
    <r>
      <rPr>
        <sz val="10"/>
        <rFont val="Vazirmatn"/>
        <family val="0"/>
        <charset val="1"/>
      </rPr>
      <t xml:space="preserve">145Cm*75Cm</t>
    </r>
  </si>
  <si>
    <t xml:space="preserve">31228304</t>
  </si>
  <si>
    <r>
      <rPr>
        <sz val="10"/>
        <rFont val="FreeSans"/>
        <family val="2"/>
      </rPr>
      <t xml:space="preserve">توری بافتنی استیل عرض</t>
    </r>
    <r>
      <rPr>
        <sz val="10"/>
        <rFont val="Vazirmatn"/>
        <family val="0"/>
        <charset val="1"/>
      </rPr>
      <t xml:space="preserve">2m</t>
    </r>
    <r>
      <rPr>
        <sz val="10"/>
        <rFont val="FreeSans"/>
        <family val="2"/>
      </rPr>
      <t xml:space="preserve">مش</t>
    </r>
    <r>
      <rPr>
        <sz val="10"/>
        <rFont val="Vazirmatn"/>
        <family val="0"/>
        <charset val="1"/>
      </rPr>
      <t xml:space="preserve">2/5mm </t>
    </r>
    <r>
      <rPr>
        <sz val="10"/>
        <rFont val="FreeSans"/>
        <family val="2"/>
      </rPr>
      <t xml:space="preserve">مفتول </t>
    </r>
    <r>
      <rPr>
        <sz val="10"/>
        <rFont val="Vazirmatn"/>
        <family val="0"/>
        <charset val="1"/>
      </rPr>
      <t xml:space="preserve">0/8mm</t>
    </r>
  </si>
  <si>
    <t xml:space="preserve">31228306</t>
  </si>
  <si>
    <r>
      <rPr>
        <sz val="10"/>
        <rFont val="FreeSans"/>
        <family val="2"/>
      </rPr>
      <t xml:space="preserve">توری بافتنی استیل </t>
    </r>
    <r>
      <rPr>
        <sz val="10"/>
        <rFont val="Vazirmatn"/>
        <family val="0"/>
        <charset val="1"/>
      </rPr>
      <t xml:space="preserve">304  </t>
    </r>
    <r>
      <rPr>
        <sz val="10"/>
        <rFont val="FreeSans"/>
        <family val="2"/>
      </rPr>
      <t xml:space="preserve">عرض</t>
    </r>
    <r>
      <rPr>
        <sz val="10"/>
        <rFont val="Vazirmatn"/>
        <family val="0"/>
        <charset val="1"/>
      </rPr>
      <t xml:space="preserve">1m  </t>
    </r>
    <r>
      <rPr>
        <sz val="10"/>
        <rFont val="FreeSans"/>
        <family val="2"/>
      </rPr>
      <t xml:space="preserve">مش</t>
    </r>
    <r>
      <rPr>
        <sz val="10"/>
        <rFont val="Vazirmatn"/>
        <family val="0"/>
        <charset val="1"/>
      </rPr>
      <t xml:space="preserve">3mm</t>
    </r>
  </si>
  <si>
    <t xml:space="preserve">31228311</t>
  </si>
  <si>
    <r>
      <rPr>
        <sz val="10"/>
        <rFont val="FreeSans"/>
        <family val="2"/>
      </rPr>
      <t xml:space="preserve">توری بافتنی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150cm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60  270 </t>
    </r>
    <r>
      <rPr>
        <sz val="10"/>
        <rFont val="FreeSans"/>
        <family val="2"/>
      </rPr>
      <t xml:space="preserve">میکرون</t>
    </r>
  </si>
  <si>
    <t xml:space="preserve">31228312</t>
  </si>
  <si>
    <r>
      <rPr>
        <sz val="10"/>
        <rFont val="FreeSans"/>
        <family val="2"/>
      </rPr>
      <t xml:space="preserve">توری بافتنی استیل </t>
    </r>
    <r>
      <rPr>
        <sz val="10"/>
        <rFont val="Vazirmatn"/>
        <family val="0"/>
        <charset val="1"/>
      </rPr>
      <t xml:space="preserve">304 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150CM    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80    </t>
    </r>
    <r>
      <rPr>
        <sz val="10"/>
        <rFont val="FreeSans"/>
        <family val="2"/>
      </rPr>
      <t xml:space="preserve">میکرون </t>
    </r>
    <r>
      <rPr>
        <sz val="10"/>
        <rFont val="Vazirmatn"/>
        <family val="0"/>
        <charset val="1"/>
      </rPr>
      <t xml:space="preserve">180</t>
    </r>
  </si>
  <si>
    <t xml:space="preserve">31228314</t>
  </si>
  <si>
    <r>
      <rPr>
        <sz val="10"/>
        <rFont val="FreeSans"/>
        <family val="2"/>
      </rPr>
      <t xml:space="preserve">توری بافتنی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عرض</t>
    </r>
    <r>
      <rPr>
        <sz val="10"/>
        <rFont val="Vazirmatn"/>
        <family val="0"/>
        <charset val="1"/>
      </rPr>
      <t xml:space="preserve">575mm</t>
    </r>
    <r>
      <rPr>
        <sz val="10"/>
        <rFont val="FreeSans"/>
        <family val="2"/>
      </rPr>
      <t xml:space="preserve">مش</t>
    </r>
    <r>
      <rPr>
        <sz val="10"/>
        <rFont val="Vazirmatn"/>
        <family val="0"/>
        <charset val="1"/>
      </rPr>
      <t xml:space="preserve">3/5mm </t>
    </r>
    <r>
      <rPr>
        <sz val="10"/>
        <rFont val="FreeSans"/>
        <family val="2"/>
      </rPr>
      <t xml:space="preserve">مفتول </t>
    </r>
    <r>
      <rPr>
        <sz val="10"/>
        <rFont val="Vazirmatn"/>
        <family val="0"/>
        <charset val="1"/>
      </rPr>
      <t xml:space="preserve">1/25mm</t>
    </r>
  </si>
  <si>
    <t xml:space="preserve">31228315</t>
  </si>
  <si>
    <r>
      <rPr>
        <sz val="10"/>
        <rFont val="FreeSans"/>
        <family val="2"/>
      </rPr>
      <t xml:space="preserve">توری گالوانیزه بافتی </t>
    </r>
    <r>
      <rPr>
        <sz val="10"/>
        <rFont val="Vazirmatn"/>
        <family val="0"/>
        <charset val="1"/>
      </rPr>
      <t xml:space="preserve">200 * 100 </t>
    </r>
    <r>
      <rPr>
        <sz val="10"/>
        <rFont val="FreeSans"/>
        <family val="2"/>
      </rPr>
      <t xml:space="preserve">با مش </t>
    </r>
    <r>
      <rPr>
        <sz val="10"/>
        <rFont val="Vazirmatn"/>
        <family val="0"/>
        <charset val="1"/>
      </rPr>
      <t xml:space="preserve">5  </t>
    </r>
    <r>
      <rPr>
        <sz val="10"/>
        <rFont val="FreeSans"/>
        <family val="2"/>
      </rPr>
      <t xml:space="preserve">میلگرد </t>
    </r>
    <r>
      <rPr>
        <sz val="10"/>
        <rFont val="Vazirmatn"/>
        <family val="0"/>
        <charset val="1"/>
      </rPr>
      <t xml:space="preserve">3</t>
    </r>
  </si>
  <si>
    <t xml:space="preserve">31228316</t>
  </si>
  <si>
    <r>
      <rPr>
        <sz val="10"/>
        <rFont val="FreeSans"/>
        <family val="2"/>
      </rPr>
      <t xml:space="preserve">توری بافتنی استیل </t>
    </r>
    <r>
      <rPr>
        <sz val="10"/>
        <rFont val="Vazirmatn"/>
        <family val="0"/>
        <charset val="1"/>
      </rPr>
      <t xml:space="preserve">2m *1m 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30mm*30mm </t>
    </r>
    <r>
      <rPr>
        <sz val="10"/>
        <rFont val="FreeSans"/>
        <family val="2"/>
      </rPr>
      <t xml:space="preserve">مفتول </t>
    </r>
    <r>
      <rPr>
        <sz val="10"/>
        <rFont val="Vazirmatn"/>
        <family val="0"/>
        <charset val="1"/>
      </rPr>
      <t xml:space="preserve">5mm</t>
    </r>
  </si>
  <si>
    <t xml:space="preserve">31228317</t>
  </si>
  <si>
    <r>
      <rPr>
        <sz val="10"/>
        <rFont val="FreeSans"/>
        <family val="2"/>
      </rPr>
      <t xml:space="preserve">توری آلومینیوم مش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میل</t>
    </r>
  </si>
  <si>
    <t xml:space="preserve">31228318</t>
  </si>
  <si>
    <r>
      <rPr>
        <sz val="10"/>
        <rFont val="FreeSans"/>
        <family val="2"/>
      </rPr>
      <t xml:space="preserve">توری استیل جوشی </t>
    </r>
    <r>
      <rPr>
        <sz val="10"/>
        <rFont val="Vazirmatn"/>
        <family val="0"/>
        <charset val="1"/>
      </rPr>
      <t xml:space="preserve">1m *1m 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20mm*20mm </t>
    </r>
    <r>
      <rPr>
        <sz val="10"/>
        <rFont val="FreeSans"/>
        <family val="2"/>
      </rPr>
      <t xml:space="preserve">مفتول </t>
    </r>
    <r>
      <rPr>
        <sz val="10"/>
        <rFont val="Vazirmatn"/>
        <family val="0"/>
        <charset val="1"/>
      </rPr>
      <t xml:space="preserve">2/5mm</t>
    </r>
  </si>
  <si>
    <t xml:space="preserve">31228325</t>
  </si>
  <si>
    <r>
      <rPr>
        <sz val="10"/>
        <rFont val="FreeSans"/>
        <family val="2"/>
      </rPr>
      <t xml:space="preserve">توری بافتنی استیل عرض </t>
    </r>
    <r>
      <rPr>
        <sz val="10"/>
        <rFont val="Vazirmatn"/>
        <family val="0"/>
        <charset val="1"/>
      </rPr>
      <t xml:space="preserve">1/5m </t>
    </r>
    <r>
      <rPr>
        <sz val="10"/>
        <rFont val="FreeSans"/>
        <family val="2"/>
      </rPr>
      <t xml:space="preserve">مش</t>
    </r>
    <r>
      <rPr>
        <sz val="10"/>
        <rFont val="Vazirmatn"/>
        <family val="0"/>
        <charset val="1"/>
      </rPr>
      <t xml:space="preserve">2/5mm </t>
    </r>
    <r>
      <rPr>
        <sz val="10"/>
        <rFont val="FreeSans"/>
        <family val="2"/>
      </rPr>
      <t xml:space="preserve">مفتول </t>
    </r>
    <r>
      <rPr>
        <sz val="10"/>
        <rFont val="Vazirmatn"/>
        <family val="0"/>
        <charset val="1"/>
      </rPr>
      <t xml:space="preserve">0/8mm</t>
    </r>
  </si>
  <si>
    <t xml:space="preserve">31228326</t>
  </si>
  <si>
    <r>
      <rPr>
        <sz val="10"/>
        <rFont val="FreeSans"/>
        <family val="2"/>
      </rPr>
      <t xml:space="preserve">توری سرند </t>
    </r>
    <r>
      <rPr>
        <sz val="10"/>
        <rFont val="Vazirmatn"/>
        <family val="0"/>
        <charset val="1"/>
      </rPr>
      <t xml:space="preserve">0/7mm*1200*1200</t>
    </r>
  </si>
  <si>
    <t xml:space="preserve">31228327</t>
  </si>
  <si>
    <r>
      <rPr>
        <sz val="10"/>
        <rFont val="FreeSans"/>
        <family val="2"/>
      </rPr>
      <t xml:space="preserve">توری بافتنی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2/5*2/5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150</t>
    </r>
  </si>
  <si>
    <t xml:space="preserve">31228328</t>
  </si>
  <si>
    <r>
      <rPr>
        <sz val="10"/>
        <rFont val="FreeSans"/>
        <family val="2"/>
      </rPr>
      <t xml:space="preserve">توری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بافتی </t>
    </r>
    <r>
      <rPr>
        <sz val="10"/>
        <rFont val="Vazirmatn"/>
        <family val="0"/>
        <charset val="1"/>
      </rPr>
      <t xml:space="preserve">1*2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5mm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50*50</t>
    </r>
  </si>
  <si>
    <t xml:space="preserve">31228329</t>
  </si>
  <si>
    <r>
      <rPr>
        <sz val="10"/>
        <rFont val="FreeSans"/>
        <family val="2"/>
      </rPr>
      <t xml:space="preserve">توری پلی استر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60 ) 250 </t>
    </r>
    <r>
      <rPr>
        <sz val="10"/>
        <rFont val="FreeSans"/>
        <family val="2"/>
      </rPr>
      <t xml:space="preserve">میکرون</t>
    </r>
  </si>
  <si>
    <t xml:space="preserve">31228334</t>
  </si>
  <si>
    <r>
      <rPr>
        <sz val="10"/>
        <rFont val="FreeSans"/>
        <family val="2"/>
      </rPr>
      <t xml:space="preserve">توری گالوانیزه عرض </t>
    </r>
    <r>
      <rPr>
        <sz val="10"/>
        <rFont val="Vazirmatn"/>
        <family val="0"/>
        <charset val="1"/>
      </rPr>
      <t xml:space="preserve">150Cm</t>
    </r>
  </si>
  <si>
    <t xml:space="preserve">31228335</t>
  </si>
  <si>
    <r>
      <rPr>
        <sz val="10"/>
        <rFont val="FreeSans"/>
        <family val="2"/>
      </rPr>
      <t xml:space="preserve">توری بافتنی گالوانیزه </t>
    </r>
    <r>
      <rPr>
        <sz val="10"/>
        <rFont val="Vazirmatn"/>
        <family val="0"/>
        <charset val="1"/>
      </rPr>
      <t xml:space="preserve">5Cm*5Cm (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5mm ) 100Cm*200Cm</t>
    </r>
  </si>
  <si>
    <t xml:space="preserve">31228336</t>
  </si>
  <si>
    <r>
      <rPr>
        <sz val="10"/>
        <rFont val="FreeSans"/>
        <family val="2"/>
      </rPr>
      <t xml:space="preserve">توری فلزی </t>
    </r>
    <r>
      <rPr>
        <sz val="10"/>
        <rFont val="Vazirmatn"/>
        <family val="0"/>
        <charset val="1"/>
      </rPr>
      <t xml:space="preserve">UPVC ) 82Cm*190Cm )</t>
    </r>
  </si>
  <si>
    <t xml:space="preserve">31228337</t>
  </si>
  <si>
    <r>
      <rPr>
        <sz val="10"/>
        <rFont val="FreeSans"/>
        <family val="2"/>
      </rPr>
      <t xml:space="preserve">توری فلزی </t>
    </r>
    <r>
      <rPr>
        <sz val="10"/>
        <rFont val="Vazirmatn"/>
        <family val="0"/>
        <charset val="1"/>
      </rPr>
      <t xml:space="preserve">UPVC ) 79Cm*212Cm )</t>
    </r>
  </si>
  <si>
    <t xml:space="preserve">31228338</t>
  </si>
  <si>
    <r>
      <rPr>
        <sz val="10"/>
        <rFont val="FreeSans"/>
        <family val="2"/>
      </rPr>
      <t xml:space="preserve">توری فلزی </t>
    </r>
    <r>
      <rPr>
        <sz val="10"/>
        <rFont val="Vazirmatn"/>
        <family val="0"/>
        <charset val="1"/>
      </rPr>
      <t xml:space="preserve">UPVC ) 262Cm*144Cm )</t>
    </r>
  </si>
  <si>
    <t xml:space="preserve">31228339</t>
  </si>
  <si>
    <r>
      <rPr>
        <sz val="10"/>
        <rFont val="FreeSans"/>
        <family val="2"/>
      </rPr>
      <t xml:space="preserve">توری فلزی </t>
    </r>
    <r>
      <rPr>
        <sz val="10"/>
        <rFont val="Vazirmatn"/>
        <family val="0"/>
        <charset val="1"/>
      </rPr>
      <t xml:space="preserve">UPVC ) 84Cm*190Cm )</t>
    </r>
  </si>
  <si>
    <t xml:space="preserve">31228340</t>
  </si>
  <si>
    <r>
      <rPr>
        <sz val="10"/>
        <rFont val="FreeSans"/>
        <family val="2"/>
      </rPr>
      <t xml:space="preserve">توری بافتنی استیل </t>
    </r>
    <r>
      <rPr>
        <sz val="10"/>
        <rFont val="Vazirmatn"/>
        <family val="0"/>
        <charset val="1"/>
      </rPr>
      <t xml:space="preserve">304 100Cm*400Cm </t>
    </r>
    <r>
      <rPr>
        <sz val="10"/>
        <rFont val="FreeSans"/>
        <family val="2"/>
      </rPr>
      <t xml:space="preserve">قطر میلگرد </t>
    </r>
    <r>
      <rPr>
        <sz val="10"/>
        <rFont val="Vazirmatn"/>
        <family val="0"/>
        <charset val="1"/>
      </rPr>
      <t xml:space="preserve">1/5mm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3mm*3mm</t>
    </r>
  </si>
  <si>
    <t xml:space="preserve">31228341</t>
  </si>
  <si>
    <r>
      <rPr>
        <sz val="10"/>
        <rFont val="FreeSans"/>
        <family val="2"/>
      </rPr>
      <t xml:space="preserve">توری بافتنی استیل </t>
    </r>
    <r>
      <rPr>
        <sz val="10"/>
        <rFont val="Vazirmatn"/>
        <family val="0"/>
        <charset val="1"/>
      </rPr>
      <t xml:space="preserve">304 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696mm  </t>
    </r>
    <r>
      <rPr>
        <sz val="10"/>
        <rFont val="FreeSans"/>
        <family val="2"/>
      </rPr>
      <t xml:space="preserve">چشمه </t>
    </r>
    <r>
      <rPr>
        <sz val="10"/>
        <rFont val="Vazirmatn"/>
        <family val="0"/>
        <charset val="1"/>
      </rPr>
      <t xml:space="preserve">2mm*2mm  </t>
    </r>
    <r>
      <rPr>
        <sz val="10"/>
        <rFont val="FreeSans"/>
        <family val="2"/>
      </rPr>
      <t xml:space="preserve">مفتول </t>
    </r>
    <r>
      <rPr>
        <sz val="10"/>
        <rFont val="Vazirmatn"/>
        <family val="0"/>
        <charset val="1"/>
      </rPr>
      <t xml:space="preserve">1mm</t>
    </r>
  </si>
  <si>
    <t xml:space="preserve">31228342</t>
  </si>
  <si>
    <r>
      <rPr>
        <sz val="10"/>
        <rFont val="FreeSans"/>
        <family val="2"/>
      </rPr>
      <t xml:space="preserve">توری بافتنی استیل </t>
    </r>
    <r>
      <rPr>
        <sz val="10"/>
        <rFont val="Vazirmatn"/>
        <family val="0"/>
        <charset val="1"/>
      </rPr>
      <t xml:space="preserve">100Cm*400Cm </t>
    </r>
    <r>
      <rPr>
        <sz val="10"/>
        <rFont val="FreeSans"/>
        <family val="2"/>
      </rPr>
      <t xml:space="preserve">مفتول </t>
    </r>
    <r>
      <rPr>
        <sz val="10"/>
        <rFont val="Vazirmatn"/>
        <family val="0"/>
        <charset val="1"/>
      </rPr>
      <t xml:space="preserve">0/75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2/5mm</t>
    </r>
  </si>
  <si>
    <t xml:space="preserve">31228343</t>
  </si>
  <si>
    <r>
      <rPr>
        <sz val="10"/>
        <rFont val="FreeSans"/>
        <family val="2"/>
      </rPr>
      <t xml:space="preserve">توری گالوانیزه آشغال گیر کولینگ تاور </t>
    </r>
    <r>
      <rPr>
        <sz val="10"/>
        <rFont val="Vazirmatn"/>
        <family val="0"/>
        <charset val="1"/>
      </rPr>
      <t xml:space="preserve">MB 450 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</si>
  <si>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31228344</t>
  </si>
  <si>
    <r>
      <rPr>
        <sz val="10"/>
        <rFont val="FreeSans"/>
        <family val="2"/>
      </rPr>
      <t xml:space="preserve">توری ساکشن کمپرسور </t>
    </r>
    <r>
      <rPr>
        <sz val="10"/>
        <rFont val="Vazirmatn"/>
        <family val="0"/>
        <charset val="1"/>
      </rPr>
      <t xml:space="preserve">15 </t>
    </r>
    <r>
      <rPr>
        <sz val="10"/>
        <rFont val="FreeSans"/>
        <family val="2"/>
      </rPr>
      <t xml:space="preserve">اسب</t>
    </r>
  </si>
  <si>
    <t xml:space="preserve">31228360</t>
  </si>
  <si>
    <r>
      <rPr>
        <sz val="10"/>
        <rFont val="FreeSans"/>
        <family val="2"/>
      </rPr>
      <t xml:space="preserve">توری استارکوزا   عرض </t>
    </r>
    <r>
      <rPr>
        <sz val="10"/>
        <rFont val="Vazirmatn"/>
        <family val="0"/>
        <charset val="1"/>
      </rPr>
      <t xml:space="preserve">100 CM</t>
    </r>
  </si>
  <si>
    <t xml:space="preserve">31228361</t>
  </si>
  <si>
    <r>
      <rPr>
        <sz val="10"/>
        <rFont val="FreeSans"/>
        <family val="2"/>
      </rPr>
      <t xml:space="preserve">توری پلاستیکی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پلی آمید</t>
    </r>
    <r>
      <rPr>
        <sz val="10"/>
        <rFont val="Vazirmatn"/>
        <family val="0"/>
        <charset val="1"/>
      </rPr>
      <t xml:space="preserve">) (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60 )(250 </t>
    </r>
    <r>
      <rPr>
        <sz val="10"/>
        <rFont val="FreeSans"/>
        <family val="2"/>
      </rPr>
      <t xml:space="preserve">میکرون</t>
    </r>
    <r>
      <rPr>
        <sz val="10"/>
        <rFont val="Vazirmatn"/>
        <family val="0"/>
        <charset val="1"/>
      </rPr>
      <t xml:space="preserve">)</t>
    </r>
  </si>
  <si>
    <t xml:space="preserve">31228362</t>
  </si>
  <si>
    <r>
      <rPr>
        <sz val="10"/>
        <rFont val="FreeSans"/>
        <family val="2"/>
      </rPr>
      <t xml:space="preserve">توری استیل  </t>
    </r>
    <r>
      <rPr>
        <sz val="10"/>
        <rFont val="Vazirmatn"/>
        <family val="0"/>
        <charset val="1"/>
      </rPr>
      <t xml:space="preserve">GL</t>
    </r>
  </si>
  <si>
    <t xml:space="preserve">31228363</t>
  </si>
  <si>
    <r>
      <rPr>
        <sz val="10"/>
        <rFont val="FreeSans"/>
        <family val="2"/>
      </rPr>
      <t xml:space="preserve">توری سرند   </t>
    </r>
    <r>
      <rPr>
        <sz val="10"/>
        <rFont val="Vazirmatn"/>
        <family val="0"/>
        <charset val="1"/>
      </rPr>
      <t xml:space="preserve">" MK757 183* 113 *1650</t>
    </r>
  </si>
  <si>
    <t xml:space="preserve">31228372</t>
  </si>
  <si>
    <r>
      <rPr>
        <sz val="10"/>
        <rFont val="FreeSans"/>
        <family val="2"/>
      </rPr>
      <t xml:space="preserve">توری استیل  </t>
    </r>
    <r>
      <rPr>
        <sz val="10"/>
        <rFont val="Vazirmatn"/>
        <family val="0"/>
        <charset val="1"/>
      </rPr>
      <t xml:space="preserve">304        12mm          1*2</t>
    </r>
  </si>
  <si>
    <t xml:space="preserve">31228378</t>
  </si>
  <si>
    <r>
      <rPr>
        <sz val="10"/>
        <rFont val="FreeSans"/>
        <family val="2"/>
      </rPr>
      <t xml:space="preserve">توری سرند بوجاری قطر سوراخ  </t>
    </r>
    <r>
      <rPr>
        <sz val="10"/>
        <rFont val="Vazirmatn"/>
        <family val="0"/>
        <charset val="1"/>
      </rPr>
      <t xml:space="preserve">12MM</t>
    </r>
  </si>
  <si>
    <t xml:space="preserve">31228379</t>
  </si>
  <si>
    <r>
      <rPr>
        <sz val="10"/>
        <rFont val="FreeSans"/>
        <family val="2"/>
      </rPr>
      <t xml:space="preserve">توری  پائین سرند بوجاری قطر سوراخ </t>
    </r>
    <r>
      <rPr>
        <sz val="10"/>
        <rFont val="Vazirmatn"/>
        <family val="0"/>
        <charset val="1"/>
      </rPr>
      <t xml:space="preserve">4MM</t>
    </r>
  </si>
  <si>
    <t xml:space="preserve">31228380</t>
  </si>
  <si>
    <r>
      <rPr>
        <sz val="10"/>
        <rFont val="FreeSans"/>
        <family val="2"/>
      </rPr>
      <t xml:space="preserve">توری  بوجاری      </t>
    </r>
    <r>
      <rPr>
        <sz val="10"/>
        <rFont val="Vazirmatn"/>
        <family val="0"/>
        <charset val="1"/>
      </rPr>
      <t xml:space="preserve">14MM</t>
    </r>
  </si>
  <si>
    <t xml:space="preserve">31228381</t>
  </si>
  <si>
    <r>
      <rPr>
        <sz val="10"/>
        <rFont val="FreeSans"/>
        <family val="2"/>
      </rPr>
      <t xml:space="preserve">توری  بوجاری      </t>
    </r>
    <r>
      <rPr>
        <sz val="10"/>
        <rFont val="Vazirmatn"/>
        <family val="0"/>
        <charset val="1"/>
      </rPr>
      <t xml:space="preserve">16MM</t>
    </r>
  </si>
  <si>
    <t xml:space="preserve">31228382</t>
  </si>
  <si>
    <r>
      <rPr>
        <sz val="10"/>
        <rFont val="FreeSans"/>
        <family val="2"/>
      </rPr>
      <t xml:space="preserve">توری سرند بوجاری    </t>
    </r>
    <r>
      <rPr>
        <sz val="10"/>
        <rFont val="Vazirmatn"/>
        <family val="0"/>
        <charset val="1"/>
      </rPr>
      <t xml:space="preserve">MM13         700175</t>
    </r>
  </si>
  <si>
    <t xml:space="preserve">31228383</t>
  </si>
  <si>
    <r>
      <rPr>
        <sz val="10"/>
        <rFont val="FreeSans"/>
        <family val="2"/>
      </rPr>
      <t xml:space="preserve">توری کوچک شن گیر           </t>
    </r>
    <r>
      <rPr>
        <sz val="10"/>
        <rFont val="Vazirmatn"/>
        <family val="0"/>
        <charset val="1"/>
      </rPr>
      <t xml:space="preserve">700205</t>
    </r>
  </si>
  <si>
    <t xml:space="preserve">31228384</t>
  </si>
  <si>
    <r>
      <rPr>
        <sz val="10"/>
        <rFont val="FreeSans"/>
        <family val="2"/>
      </rPr>
      <t xml:space="preserve">توری سیمی استیل </t>
    </r>
    <r>
      <rPr>
        <sz val="10"/>
        <rFont val="Vazirmatn"/>
        <family val="0"/>
        <charset val="1"/>
      </rPr>
      <t xml:space="preserve">304 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1000mm</t>
    </r>
  </si>
  <si>
    <t xml:space="preserve">31228385</t>
  </si>
  <si>
    <r>
      <rPr>
        <sz val="10"/>
        <rFont val="FreeSans"/>
        <family val="2"/>
      </rPr>
      <t xml:space="preserve">توری سرند  </t>
    </r>
    <r>
      <rPr>
        <sz val="10"/>
        <rFont val="Vazirmatn"/>
        <family val="0"/>
        <charset val="1"/>
      </rPr>
      <t xml:space="preserve">75mM   MM585*1592</t>
    </r>
  </si>
  <si>
    <t xml:space="preserve">31228393</t>
  </si>
  <si>
    <t xml:space="preserve">توری استوانه ای پرس پوسته</t>
  </si>
  <si>
    <t xml:space="preserve">31228394</t>
  </si>
  <si>
    <t xml:space="preserve">توری استوانه ای  پرس پوسته</t>
  </si>
  <si>
    <t xml:space="preserve">31228395</t>
  </si>
  <si>
    <r>
      <rPr>
        <sz val="10"/>
        <rFont val="FreeSans"/>
        <family val="2"/>
      </rPr>
      <t xml:space="preserve">توری سرند </t>
    </r>
    <r>
      <rPr>
        <sz val="10"/>
        <rFont val="Vazirmatn"/>
        <family val="0"/>
        <charset val="1"/>
      </rPr>
      <t xml:space="preserve">100   MK7</t>
    </r>
    <r>
      <rPr>
        <sz val="10"/>
        <rFont val="FreeSans"/>
        <family val="2"/>
      </rPr>
      <t xml:space="preserve">اینچ   </t>
    </r>
    <r>
      <rPr>
        <sz val="10"/>
        <rFont val="Vazirmatn"/>
        <family val="0"/>
        <charset val="1"/>
      </rPr>
      <t xml:space="preserve">183*1650</t>
    </r>
  </si>
  <si>
    <t xml:space="preserve">31228397</t>
  </si>
  <si>
    <r>
      <rPr>
        <sz val="10"/>
        <rFont val="FreeSans"/>
        <family val="2"/>
      </rPr>
      <t xml:space="preserve">توری سرند ذرت بر آسیاب اول    </t>
    </r>
    <r>
      <rPr>
        <sz val="10"/>
        <rFont val="Vazirmatn"/>
        <family val="0"/>
        <charset val="1"/>
      </rPr>
      <t xml:space="preserve">3mm</t>
    </r>
  </si>
  <si>
    <t xml:space="preserve">31228404</t>
  </si>
  <si>
    <r>
      <rPr>
        <sz val="10"/>
        <rFont val="FreeSans"/>
        <family val="2"/>
      </rPr>
      <t xml:space="preserve">توری جوشی مشبک استیل </t>
    </r>
    <r>
      <rPr>
        <sz val="10"/>
        <rFont val="Vazirmatn"/>
        <family val="0"/>
        <charset val="1"/>
      </rPr>
      <t xml:space="preserve">( 980mm*990mm )  - </t>
    </r>
    <r>
      <rPr>
        <sz val="10"/>
        <rFont val="FreeSans"/>
        <family val="2"/>
      </rPr>
      <t xml:space="preserve">مش  </t>
    </r>
    <r>
      <rPr>
        <sz val="10"/>
        <rFont val="Vazirmatn"/>
        <family val="0"/>
        <charset val="1"/>
      </rPr>
      <t xml:space="preserve">20mm*20mm - </t>
    </r>
    <r>
      <rPr>
        <sz val="10"/>
        <rFont val="FreeSans"/>
        <family val="2"/>
      </rPr>
      <t xml:space="preserve">مفتول </t>
    </r>
    <r>
      <rPr>
        <sz val="10"/>
        <rFont val="Vazirmatn"/>
        <family val="0"/>
        <charset val="1"/>
      </rPr>
      <t xml:space="preserve">2/5mm</t>
    </r>
  </si>
  <si>
    <t xml:space="preserve">31228407</t>
  </si>
  <si>
    <r>
      <rPr>
        <sz val="10"/>
        <rFont val="FreeSans"/>
        <family val="2"/>
      </rPr>
      <t xml:space="preserve">توری سرند پوسته چینی  </t>
    </r>
    <r>
      <rPr>
        <sz val="10"/>
        <rFont val="Vazirmatn"/>
        <family val="0"/>
        <charset val="1"/>
      </rPr>
      <t xml:space="preserve">585 * 1592   50MK</t>
    </r>
  </si>
  <si>
    <t xml:space="preserve">31228411</t>
  </si>
  <si>
    <r>
      <rPr>
        <sz val="10"/>
        <rFont val="FreeSans"/>
        <family val="2"/>
      </rPr>
      <t xml:space="preserve">توری استیل مش </t>
    </r>
    <r>
      <rPr>
        <sz val="10"/>
        <rFont val="Vazirmatn"/>
        <family val="0"/>
        <charset val="1"/>
      </rPr>
      <t xml:space="preserve">100  150 </t>
    </r>
    <r>
      <rPr>
        <sz val="10"/>
        <rFont val="FreeSans"/>
        <family val="2"/>
      </rPr>
      <t xml:space="preserve">میکرون </t>
    </r>
    <r>
      <rPr>
        <sz val="10"/>
        <rFont val="Vazirmatn"/>
        <family val="0"/>
        <charset val="1"/>
      </rPr>
      <t xml:space="preserve">1/5m * 1/5m</t>
    </r>
  </si>
  <si>
    <t xml:space="preserve">31228412</t>
  </si>
  <si>
    <r>
      <rPr>
        <sz val="10"/>
        <rFont val="FreeSans"/>
        <family val="2"/>
      </rPr>
      <t xml:space="preserve">توری استیل مش </t>
    </r>
    <r>
      <rPr>
        <sz val="10"/>
        <rFont val="Vazirmatn"/>
        <family val="0"/>
        <charset val="1"/>
      </rPr>
      <t xml:space="preserve">120 125 </t>
    </r>
    <r>
      <rPr>
        <sz val="10"/>
        <rFont val="FreeSans"/>
        <family val="2"/>
      </rPr>
      <t xml:space="preserve">میکرون </t>
    </r>
    <r>
      <rPr>
        <sz val="10"/>
        <rFont val="Vazirmatn"/>
        <family val="0"/>
        <charset val="1"/>
      </rPr>
      <t xml:space="preserve">1/5m * 1/5m</t>
    </r>
  </si>
  <si>
    <t xml:space="preserve">31228416</t>
  </si>
  <si>
    <r>
      <rPr>
        <sz val="10"/>
        <rFont val="FreeSans"/>
        <family val="2"/>
      </rPr>
      <t xml:space="preserve">توری بافتنی آهنی قطر </t>
    </r>
    <r>
      <rPr>
        <sz val="10"/>
        <rFont val="Vazirmatn"/>
        <family val="0"/>
        <charset val="1"/>
      </rPr>
      <t xml:space="preserve">5mm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4*4  1 * 2</t>
    </r>
  </si>
  <si>
    <t xml:space="preserve">31228419</t>
  </si>
  <si>
    <r>
      <rPr>
        <sz val="10"/>
        <rFont val="FreeSans"/>
        <family val="2"/>
      </rPr>
      <t xml:space="preserve">توری استیل مش </t>
    </r>
    <r>
      <rPr>
        <sz val="10"/>
        <rFont val="Vazirmatn"/>
        <family val="0"/>
        <charset val="1"/>
      </rPr>
      <t xml:space="preserve">60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1/5m</t>
    </r>
  </si>
  <si>
    <t xml:space="preserve">31228422</t>
  </si>
  <si>
    <r>
      <rPr>
        <sz val="10"/>
        <rFont val="FreeSans"/>
        <family val="2"/>
      </rPr>
      <t xml:space="preserve">توری بافتنی آهنی قطر </t>
    </r>
    <r>
      <rPr>
        <sz val="10"/>
        <rFont val="Vazirmatn"/>
        <family val="0"/>
        <charset val="1"/>
      </rPr>
      <t xml:space="preserve">3mm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5*5  1 * 2</t>
    </r>
  </si>
  <si>
    <t xml:space="preserve">31228424</t>
  </si>
  <si>
    <r>
      <rPr>
        <sz val="10"/>
        <rFont val="FreeSans"/>
        <family val="2"/>
      </rPr>
      <t xml:space="preserve">توری آهنی مش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میل با ضخامت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میلی متر</t>
    </r>
  </si>
  <si>
    <t xml:space="preserve">31228427</t>
  </si>
  <si>
    <r>
      <rPr>
        <sz val="10"/>
        <rFont val="FreeSans"/>
        <family val="2"/>
      </rPr>
      <t xml:space="preserve">توری آهنی استرچ  </t>
    </r>
    <r>
      <rPr>
        <sz val="10"/>
        <rFont val="Vazirmatn"/>
        <family val="0"/>
        <charset val="1"/>
      </rPr>
      <t xml:space="preserve">1 * 2</t>
    </r>
  </si>
  <si>
    <t xml:space="preserve">31228429</t>
  </si>
  <si>
    <r>
      <rPr>
        <sz val="10"/>
        <rFont val="FreeSans"/>
        <family val="2"/>
      </rPr>
      <t xml:space="preserve">توری بافتنی آهنی قطر مفتول </t>
    </r>
    <r>
      <rPr>
        <sz val="10"/>
        <rFont val="Vazirmatn"/>
        <family val="0"/>
        <charset val="1"/>
      </rPr>
      <t xml:space="preserve">5mm (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5Cm*5Cm ) 100Cm*200Cm</t>
    </r>
  </si>
  <si>
    <t xml:space="preserve">31228432</t>
  </si>
  <si>
    <r>
      <rPr>
        <sz val="10"/>
        <rFont val="FreeSans"/>
        <family val="2"/>
      </rPr>
      <t xml:space="preserve">توری سیمی استیل </t>
    </r>
    <r>
      <rPr>
        <sz val="10"/>
        <rFont val="Vazirmatn"/>
        <family val="0"/>
        <charset val="1"/>
      </rPr>
      <t xml:space="preserve">1.5*4.5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60</t>
    </r>
  </si>
  <si>
    <t xml:space="preserve">31228444</t>
  </si>
  <si>
    <r>
      <rPr>
        <sz val="10"/>
        <rFont val="FreeSans"/>
        <family val="2"/>
      </rPr>
      <t xml:space="preserve">صافی فلنجدار  استیل </t>
    </r>
    <r>
      <rPr>
        <sz val="10"/>
        <rFont val="Vazirmatn"/>
        <family val="0"/>
        <charset val="1"/>
      </rPr>
      <t xml:space="preserve">3/4</t>
    </r>
  </si>
  <si>
    <t xml:space="preserve">31228451</t>
  </si>
  <si>
    <r>
      <rPr>
        <sz val="10"/>
        <rFont val="FreeSans"/>
        <family val="2"/>
      </rPr>
      <t xml:space="preserve">صافی چدنی فلنجدار    </t>
    </r>
    <r>
      <rPr>
        <sz val="10"/>
        <rFont val="Vazirmatn"/>
        <family val="0"/>
        <charset val="1"/>
      </rPr>
      <t xml:space="preserve">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</si>
  <si>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31228452</t>
  </si>
  <si>
    <r>
      <rPr>
        <sz val="10"/>
        <rFont val="FreeSans"/>
        <family val="2"/>
      </rPr>
      <t xml:space="preserve">صافی چدنی بخار فلنجدار  </t>
    </r>
    <r>
      <rPr>
        <sz val="10"/>
        <rFont val="Vazirmatn"/>
        <family val="0"/>
        <charset val="1"/>
      </rPr>
      <t xml:space="preserve">" 1/2 2   PN 16</t>
    </r>
  </si>
  <si>
    <t xml:space="preserve">31228453</t>
  </si>
  <si>
    <r>
      <rPr>
        <sz val="10"/>
        <rFont val="FreeSans"/>
        <family val="2"/>
      </rPr>
      <t xml:space="preserve">صاقی دنده ای استیل </t>
    </r>
    <r>
      <rPr>
        <sz val="10"/>
        <rFont val="Vazirmatn"/>
        <family val="0"/>
        <charset val="1"/>
      </rPr>
      <t xml:space="preserve">316    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</si>
  <si>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31228464</t>
  </si>
  <si>
    <r>
      <rPr>
        <sz val="10"/>
        <rFont val="FreeSans"/>
        <family val="2"/>
      </rPr>
      <t xml:space="preserve">صافی دنده ای استیل   </t>
    </r>
    <r>
      <rPr>
        <sz val="10"/>
        <rFont val="Vazirmatn"/>
        <family val="0"/>
        <charset val="1"/>
      </rPr>
      <t xml:space="preserve">316        " 3/4</t>
    </r>
  </si>
  <si>
    <t xml:space="preserve">31228469</t>
  </si>
  <si>
    <r>
      <rPr>
        <sz val="10"/>
        <rFont val="FreeSans"/>
        <family val="2"/>
      </rPr>
      <t xml:space="preserve">صافی دنده ای استیل      </t>
    </r>
    <r>
      <rPr>
        <sz val="10"/>
        <rFont val="Vazirmatn"/>
        <family val="0"/>
        <charset val="1"/>
      </rPr>
      <t xml:space="preserve">" 1/2</t>
    </r>
  </si>
  <si>
    <t xml:space="preserve">31228471</t>
  </si>
  <si>
    <r>
      <rPr>
        <sz val="10"/>
        <rFont val="FreeSans"/>
        <family val="2"/>
      </rPr>
      <t xml:space="preserve">صافی آهنی فلنجدار        </t>
    </r>
    <r>
      <rPr>
        <sz val="10"/>
        <rFont val="Vazirmatn"/>
        <family val="0"/>
        <charset val="1"/>
      </rPr>
      <t xml:space="preserve">" 3/4</t>
    </r>
  </si>
  <si>
    <t xml:space="preserve">31228481</t>
  </si>
  <si>
    <r>
      <rPr>
        <sz val="10"/>
        <rFont val="FreeSans"/>
        <family val="2"/>
      </rPr>
      <t xml:space="preserve">صافی آهنی فلنجدار    </t>
    </r>
    <r>
      <rPr>
        <sz val="10"/>
        <rFont val="Vazirmatn"/>
        <family val="0"/>
        <charset val="1"/>
      </rPr>
      <t xml:space="preserve">" 4</t>
    </r>
  </si>
  <si>
    <t xml:space="preserve">31228488</t>
  </si>
  <si>
    <t xml:space="preserve">صافی آلومینیومی بنزین انژکتور</t>
  </si>
  <si>
    <t xml:space="preserve">31228489</t>
  </si>
  <si>
    <r>
      <rPr>
        <sz val="10"/>
        <rFont val="FreeSans"/>
        <family val="2"/>
      </rPr>
      <t xml:space="preserve">صافی مخصوص شیر هواگیری دو طرف دنده </t>
    </r>
    <r>
      <rPr>
        <sz val="10"/>
        <rFont val="Vazirmatn"/>
        <family val="0"/>
        <charset val="1"/>
      </rPr>
      <t xml:space="preserve">" 3/4</t>
    </r>
  </si>
  <si>
    <t xml:space="preserve">31228490</t>
  </si>
  <si>
    <r>
      <rPr>
        <sz val="10"/>
        <rFont val="FreeSans"/>
        <family val="2"/>
      </rPr>
      <t xml:space="preserve">صافی نازل بارگیری گلوکوز مش </t>
    </r>
    <r>
      <rPr>
        <sz val="10"/>
        <rFont val="Vazirmatn"/>
        <family val="0"/>
        <charset val="1"/>
      </rPr>
      <t xml:space="preserve">60 - 250 </t>
    </r>
    <r>
      <rPr>
        <sz val="10"/>
        <rFont val="FreeSans"/>
        <family val="2"/>
      </rPr>
      <t xml:space="preserve">میکرون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سایز غلاف داخلی </t>
    </r>
    <r>
      <rPr>
        <sz val="10"/>
        <rFont val="Vazirmatn"/>
        <family val="0"/>
        <charset val="1"/>
      </rPr>
      <t xml:space="preserve">"4 - </t>
    </r>
    <r>
      <rPr>
        <sz val="10"/>
        <rFont val="FreeSans"/>
        <family val="2"/>
      </rPr>
      <t xml:space="preserve">سایز غلاف خارجی </t>
    </r>
    <r>
      <rPr>
        <sz val="10"/>
        <rFont val="Vazirmatn"/>
        <family val="0"/>
        <charset val="1"/>
      </rPr>
      <t xml:space="preserve">"5 - </t>
    </r>
    <r>
      <rPr>
        <sz val="10"/>
        <rFont val="FreeSans"/>
        <family val="2"/>
      </rPr>
      <t xml:space="preserve">سردنده </t>
    </r>
    <r>
      <rPr>
        <sz val="10"/>
        <rFont val="Vazirmatn"/>
        <family val="0"/>
        <charset val="1"/>
      </rPr>
      <t xml:space="preserve">"3 </t>
    </r>
    <r>
      <rPr>
        <sz val="10"/>
        <rFont val="FreeSans"/>
        <family val="2"/>
      </rPr>
      <t xml:space="preserve">اتصال به شیر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ارتفاع صافی </t>
    </r>
    <r>
      <rPr>
        <sz val="10"/>
        <rFont val="Vazirmatn"/>
        <family val="0"/>
        <charset val="1"/>
      </rPr>
      <t xml:space="preserve">60Cm</t>
    </r>
  </si>
  <si>
    <t xml:space="preserve">31228492</t>
  </si>
  <si>
    <r>
      <rPr>
        <sz val="10"/>
        <rFont val="FreeSans"/>
        <family val="2"/>
      </rPr>
      <t xml:space="preserve">صافی مگنتی مخصوص پکیج </t>
    </r>
    <r>
      <rPr>
        <sz val="10"/>
        <rFont val="Vazirmatn"/>
        <family val="0"/>
        <charset val="1"/>
      </rPr>
      <t xml:space="preserve">" 3/4</t>
    </r>
  </si>
  <si>
    <t xml:space="preserve">31228504</t>
  </si>
  <si>
    <r>
      <rPr>
        <sz val="10"/>
        <rFont val="FreeSans"/>
        <family val="2"/>
      </rPr>
      <t xml:space="preserve">گریتینگ گالوانیزه  </t>
    </r>
    <r>
      <rPr>
        <sz val="10"/>
        <rFont val="Vazirmatn"/>
        <family val="0"/>
        <charset val="1"/>
      </rPr>
      <t xml:space="preserve">100Cm*31Cm</t>
    </r>
  </si>
  <si>
    <t xml:space="preserve">31228505</t>
  </si>
  <si>
    <r>
      <rPr>
        <sz val="10"/>
        <rFont val="FreeSans"/>
        <family val="2"/>
      </rPr>
      <t xml:space="preserve">گریتینگ پله تسمه در تسمه </t>
    </r>
    <r>
      <rPr>
        <sz val="10"/>
        <rFont val="Vazirmatn"/>
        <family val="0"/>
        <charset val="1"/>
      </rPr>
      <t xml:space="preserve">5mm 90Cm*25Cm   </t>
    </r>
    <r>
      <rPr>
        <sz val="10"/>
        <rFont val="FreeSans"/>
        <family val="2"/>
      </rPr>
      <t xml:space="preserve">چشمه </t>
    </r>
    <r>
      <rPr>
        <sz val="10"/>
        <rFont val="Vazirmatn"/>
        <family val="0"/>
        <charset val="1"/>
      </rPr>
      <t xml:space="preserve">5*5 </t>
    </r>
    <r>
      <rPr>
        <sz val="10"/>
        <rFont val="FreeSans"/>
        <family val="2"/>
      </rPr>
      <t xml:space="preserve">تسمه </t>
    </r>
    <r>
      <rPr>
        <sz val="10"/>
        <rFont val="Vazirmatn"/>
        <family val="0"/>
        <charset val="1"/>
      </rPr>
      <t xml:space="preserve">4cm</t>
    </r>
  </si>
  <si>
    <t xml:space="preserve">31229100</t>
  </si>
  <si>
    <r>
      <rPr>
        <sz val="10"/>
        <rFont val="FreeSans"/>
        <family val="2"/>
      </rPr>
      <t xml:space="preserve">پارچه پرلون  عرض </t>
    </r>
    <r>
      <rPr>
        <sz val="10"/>
        <rFont val="Vazirmatn"/>
        <family val="0"/>
        <charset val="1"/>
      </rPr>
      <t xml:space="preserve">150</t>
    </r>
  </si>
  <si>
    <t xml:space="preserve">31229107</t>
  </si>
  <si>
    <r>
      <rPr>
        <sz val="10"/>
        <rFont val="FreeSans"/>
        <family val="2"/>
      </rPr>
      <t xml:space="preserve">پارچه درام گلوتن   </t>
    </r>
    <r>
      <rPr>
        <sz val="10"/>
        <rFont val="Vazirmatn"/>
        <family val="0"/>
        <charset val="1"/>
      </rPr>
      <t xml:space="preserve">PO0394</t>
    </r>
  </si>
  <si>
    <t xml:space="preserve">31229109</t>
  </si>
  <si>
    <t xml:space="preserve">پارچه درام گلوتن درام جدید</t>
  </si>
  <si>
    <t xml:space="preserve">قطعه</t>
  </si>
  <si>
    <t xml:space="preserve">31229115</t>
  </si>
  <si>
    <r>
      <rPr>
        <sz val="10"/>
        <rFont val="FreeSans"/>
        <family val="2"/>
      </rPr>
      <t xml:space="preserve">برزنت اتصال کانال به کولر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رابط </t>
    </r>
    <r>
      <rPr>
        <sz val="10"/>
        <rFont val="Vazirmatn"/>
        <family val="0"/>
        <charset val="1"/>
      </rPr>
      <t xml:space="preserve">)</t>
    </r>
  </si>
  <si>
    <t xml:space="preserve">31229118</t>
  </si>
  <si>
    <r>
      <rPr>
        <sz val="10"/>
        <rFont val="FreeSans"/>
        <family val="2"/>
      </rPr>
      <t xml:space="preserve">پارچه برزنت عرض </t>
    </r>
    <r>
      <rPr>
        <sz val="10"/>
        <rFont val="Vazirmatn"/>
        <family val="0"/>
        <charset val="1"/>
      </rPr>
      <t xml:space="preserve">50cm</t>
    </r>
  </si>
  <si>
    <t xml:space="preserve">31229120</t>
  </si>
  <si>
    <r>
      <rPr>
        <sz val="10"/>
        <rFont val="FreeSans"/>
        <family val="2"/>
      </rPr>
      <t xml:space="preserve">پارچه درام گلوتن </t>
    </r>
    <r>
      <rPr>
        <sz val="10"/>
        <rFont val="Vazirmatn"/>
        <family val="0"/>
        <charset val="1"/>
      </rPr>
      <t xml:space="preserve">(  SIZE:11650*3400   TYPE:DJG-30M2 )</t>
    </r>
  </si>
  <si>
    <t xml:space="preserve">31229128</t>
  </si>
  <si>
    <r>
      <rPr>
        <sz val="10"/>
        <rFont val="FreeSans"/>
        <family val="2"/>
      </rPr>
      <t xml:space="preserve">پارچه فیلتر زمستانه روغن  </t>
    </r>
    <r>
      <rPr>
        <sz val="10"/>
        <rFont val="Vazirmatn"/>
        <family val="0"/>
        <charset val="1"/>
      </rPr>
      <t xml:space="preserve">104 * 110</t>
    </r>
  </si>
  <si>
    <t xml:space="preserve">31229130</t>
  </si>
  <si>
    <r>
      <rPr>
        <sz val="10"/>
        <rFont val="FreeSans"/>
        <family val="2"/>
      </rPr>
      <t xml:space="preserve">پارچه فیلتر بی رنگ روغن  </t>
    </r>
    <r>
      <rPr>
        <sz val="10"/>
        <rFont val="Vazirmatn"/>
        <family val="0"/>
        <charset val="1"/>
      </rPr>
      <t xml:space="preserve">74 * 70</t>
    </r>
  </si>
  <si>
    <t xml:space="preserve">31229133</t>
  </si>
  <si>
    <t xml:space="preserve">پارچه پرلون دوخته شده</t>
  </si>
  <si>
    <t xml:space="preserve">31229142</t>
  </si>
  <si>
    <r>
      <rPr>
        <sz val="10"/>
        <rFont val="FreeSans"/>
        <family val="2"/>
      </rPr>
      <t xml:space="preserve">پارچه اخشان برزنتی   </t>
    </r>
    <r>
      <rPr>
        <sz val="10"/>
        <rFont val="Vazirmatn"/>
        <family val="0"/>
        <charset val="1"/>
      </rPr>
      <t xml:space="preserve">105</t>
    </r>
  </si>
  <si>
    <t xml:space="preserve">31229143</t>
  </si>
  <si>
    <r>
      <rPr>
        <sz val="10"/>
        <rFont val="FreeSans"/>
        <family val="2"/>
      </rPr>
      <t xml:space="preserve">پارچه اخشان  عرض  </t>
    </r>
    <r>
      <rPr>
        <sz val="10"/>
        <rFont val="Vazirmatn"/>
        <family val="0"/>
        <charset val="1"/>
      </rPr>
      <t xml:space="preserve">110</t>
    </r>
  </si>
  <si>
    <t xml:space="preserve">31229145</t>
  </si>
  <si>
    <r>
      <rPr>
        <sz val="10"/>
        <rFont val="FreeSans"/>
        <family val="2"/>
      </rPr>
      <t xml:space="preserve">پارچه اخشان برزنتی   </t>
    </r>
    <r>
      <rPr>
        <sz val="10"/>
        <rFont val="Vazirmatn"/>
        <family val="0"/>
        <charset val="1"/>
      </rPr>
      <t xml:space="preserve">130</t>
    </r>
  </si>
  <si>
    <t xml:space="preserve">31229149</t>
  </si>
  <si>
    <r>
      <rPr>
        <sz val="10"/>
        <rFont val="FreeSans"/>
        <family val="2"/>
      </rPr>
      <t xml:space="preserve">پارچه برزنتی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چادر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ضد آب   </t>
    </r>
    <r>
      <rPr>
        <sz val="10"/>
        <rFont val="Vazirmatn"/>
        <family val="0"/>
        <charset val="1"/>
      </rPr>
      <t xml:space="preserve">10 * 20</t>
    </r>
  </si>
  <si>
    <t xml:space="preserve">31229153</t>
  </si>
  <si>
    <r>
      <rPr>
        <sz val="10"/>
        <rFont val="FreeSans"/>
        <family val="2"/>
      </rPr>
      <t xml:space="preserve">فیلتر پارچه ای استوانه ای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بگ فیلتر </t>
    </r>
    <r>
      <rPr>
        <sz val="10"/>
        <rFont val="Vazirmatn"/>
        <family val="0"/>
        <charset val="1"/>
      </rPr>
      <t xml:space="preserve">) 5 </t>
    </r>
    <r>
      <rPr>
        <sz val="10"/>
        <rFont val="FreeSans"/>
        <family val="2"/>
      </rPr>
      <t xml:space="preserve">میکرو متر</t>
    </r>
  </si>
  <si>
    <t xml:space="preserve">31229154</t>
  </si>
  <si>
    <r>
      <rPr>
        <sz val="10"/>
        <rFont val="FreeSans"/>
        <family val="2"/>
      </rPr>
      <t xml:space="preserve">فیلتر صافی استوانه ای</t>
    </r>
    <r>
      <rPr>
        <sz val="10"/>
        <rFont val="Vazirmatn"/>
        <family val="0"/>
        <charset val="1"/>
      </rPr>
      <t xml:space="preserve">FILTER BAG 2000 * 130</t>
    </r>
  </si>
  <si>
    <t xml:space="preserve">31229155</t>
  </si>
  <si>
    <r>
      <rPr>
        <sz val="10"/>
        <rFont val="FreeSans"/>
        <family val="2"/>
      </rPr>
      <t xml:space="preserve">پارچه بزرگ فیلتر پرس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سوراخه  </t>
    </r>
    <r>
      <rPr>
        <sz val="10"/>
        <rFont val="Vazirmatn"/>
        <family val="0"/>
        <charset val="1"/>
      </rPr>
      <t xml:space="preserve">1250TYPE POLYPROPYLEN FIBER 750B PROTEIN FILTRATION</t>
    </r>
  </si>
  <si>
    <t xml:space="preserve">31229156</t>
  </si>
  <si>
    <r>
      <rPr>
        <sz val="10"/>
        <rFont val="FreeSans"/>
        <family val="2"/>
      </rPr>
      <t xml:space="preserve">پارچه کوچک فیلتر پرس </t>
    </r>
    <r>
      <rPr>
        <sz val="10"/>
        <rFont val="Vazirmatn"/>
        <family val="0"/>
        <charset val="1"/>
      </rPr>
      <t xml:space="preserve">1000TYPE POLYPROPYLEN FIBER 3927 38 DOUBLE</t>
    </r>
  </si>
  <si>
    <t xml:space="preserve">31229157</t>
  </si>
  <si>
    <r>
      <rPr>
        <sz val="10"/>
        <rFont val="FreeSans"/>
        <family val="2"/>
      </rPr>
      <t xml:space="preserve">پارچه بک فیلتر    </t>
    </r>
    <r>
      <rPr>
        <sz val="10"/>
        <rFont val="Vazirmatn"/>
        <family val="0"/>
        <charset val="1"/>
      </rPr>
      <t xml:space="preserve">10M</t>
    </r>
  </si>
  <si>
    <t xml:space="preserve">31229159</t>
  </si>
  <si>
    <r>
      <rPr>
        <sz val="10"/>
        <rFont val="FreeSans"/>
        <family val="2"/>
      </rPr>
      <t xml:space="preserve">پارچه بک فیلتر  </t>
    </r>
    <r>
      <rPr>
        <sz val="10"/>
        <rFont val="Vazirmatn"/>
        <family val="0"/>
        <charset val="1"/>
      </rPr>
      <t xml:space="preserve">1M</t>
    </r>
  </si>
  <si>
    <t xml:space="preserve">31229160</t>
  </si>
  <si>
    <r>
      <rPr>
        <sz val="10"/>
        <rFont val="FreeSans"/>
        <family val="2"/>
      </rPr>
      <t xml:space="preserve">پارچه اخشان  عرض </t>
    </r>
    <r>
      <rPr>
        <sz val="10"/>
        <rFont val="Vazirmatn"/>
        <family val="0"/>
        <charset val="1"/>
      </rPr>
      <t xml:space="preserve">70</t>
    </r>
  </si>
  <si>
    <t xml:space="preserve">31229163</t>
  </si>
  <si>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میکرو متر</t>
    </r>
    <r>
      <rPr>
        <sz val="10"/>
        <rFont val="Vazirmatn"/>
        <family val="0"/>
        <charset val="1"/>
      </rPr>
      <t xml:space="preserve">( Filter element ( P.P Filter</t>
    </r>
  </si>
  <si>
    <t xml:space="preserve">31229164</t>
  </si>
  <si>
    <t xml:space="preserve">" 8  ( Filter element ( Membrane</t>
  </si>
  <si>
    <t xml:space="preserve">31229165</t>
  </si>
  <si>
    <r>
      <rPr>
        <sz val="10"/>
        <rFont val="FreeSans"/>
        <family val="2"/>
      </rPr>
      <t xml:space="preserve">فیلتر گردگیر نمدی  </t>
    </r>
    <r>
      <rPr>
        <sz val="10"/>
        <rFont val="Vazirmatn"/>
        <family val="0"/>
        <charset val="1"/>
      </rPr>
      <t xml:space="preserve">1 * 2</t>
    </r>
  </si>
  <si>
    <t xml:space="preserve">31229168</t>
  </si>
  <si>
    <t xml:space="preserve">پارچه دستگاه بسته بندی</t>
  </si>
  <si>
    <t xml:space="preserve">31229169</t>
  </si>
  <si>
    <t xml:space="preserve">Filter bag SSMB</t>
  </si>
  <si>
    <t xml:space="preserve">31229171</t>
  </si>
  <si>
    <r>
      <rPr>
        <sz val="10"/>
        <rFont val="FreeSans"/>
        <family val="2"/>
      </rPr>
      <t xml:space="preserve">پارچه بک فیلتر اکسید  </t>
    </r>
    <r>
      <rPr>
        <sz val="10"/>
        <rFont val="Vazirmatn"/>
        <family val="0"/>
        <charset val="1"/>
      </rPr>
      <t xml:space="preserve">Q125mm - L2000mm</t>
    </r>
  </si>
  <si>
    <t xml:space="preserve">31229173</t>
  </si>
  <si>
    <r>
      <rPr>
        <sz val="10"/>
        <rFont val="FreeSans"/>
        <family val="2"/>
      </rPr>
      <t xml:space="preserve">پارچه فیلتر روغن پولیش فیلتر سرد کن نهایی </t>
    </r>
    <r>
      <rPr>
        <sz val="10"/>
        <rFont val="Vazirmatn"/>
        <family val="0"/>
        <charset val="1"/>
      </rPr>
      <t xml:space="preserve">Q22*60cm</t>
    </r>
  </si>
  <si>
    <t xml:space="preserve">31229174</t>
  </si>
  <si>
    <t xml:space="preserve">پارچه بک فیلتر مکعبی بسته بندی نشاسته</t>
  </si>
  <si>
    <t xml:space="preserve">31229175</t>
  </si>
  <si>
    <r>
      <rPr>
        <sz val="10"/>
        <rFont val="FreeSans"/>
        <family val="2"/>
      </rPr>
      <t xml:space="preserve">کیسه بک فیلتر </t>
    </r>
    <r>
      <rPr>
        <sz val="10"/>
        <rFont val="Vazirmatn"/>
        <family val="0"/>
        <charset val="1"/>
      </rPr>
      <t xml:space="preserve">|AMPF 9/A S.NO:208531 MFD:2011</t>
    </r>
  </si>
  <si>
    <t xml:space="preserve">31229176</t>
  </si>
  <si>
    <r>
      <rPr>
        <sz val="10"/>
        <rFont val="FreeSans"/>
        <family val="2"/>
      </rPr>
      <t xml:space="preserve">مخمل رومیزی ریشه دوزی شده طوسی  </t>
    </r>
    <r>
      <rPr>
        <sz val="10"/>
        <rFont val="Vazirmatn"/>
        <family val="0"/>
        <charset val="1"/>
      </rPr>
      <t xml:space="preserve">6m*2m</t>
    </r>
  </si>
  <si>
    <t xml:space="preserve">31229177</t>
  </si>
  <si>
    <r>
      <rPr>
        <sz val="10"/>
        <rFont val="FreeSans"/>
        <family val="2"/>
      </rPr>
      <t xml:space="preserve">بگ فیلتر </t>
    </r>
    <r>
      <rPr>
        <sz val="10"/>
        <rFont val="Vazirmatn"/>
        <family val="0"/>
        <charset val="1"/>
      </rPr>
      <t xml:space="preserve">WC(F) 120-200A,ᴓ 120*2000*120PCS, F=90M2,Q=9500M3/H</t>
    </r>
  </si>
  <si>
    <t xml:space="preserve">31229187</t>
  </si>
  <si>
    <r>
      <rPr>
        <sz val="10"/>
        <rFont val="FreeSans"/>
        <family val="2"/>
      </rPr>
      <t xml:space="preserve">نمد آب بندی یاتاقان </t>
    </r>
    <r>
      <rPr>
        <sz val="10"/>
        <rFont val="Vazirmatn"/>
        <family val="0"/>
        <charset val="1"/>
      </rPr>
      <t xml:space="preserve">12mm*12mm</t>
    </r>
  </si>
  <si>
    <t xml:space="preserve">31229188</t>
  </si>
  <si>
    <r>
      <rPr>
        <sz val="10"/>
        <rFont val="FreeSans"/>
        <family val="2"/>
      </rPr>
      <t xml:space="preserve">نمد فیلتری  </t>
    </r>
    <r>
      <rPr>
        <sz val="10"/>
        <rFont val="Vazirmatn"/>
        <family val="0"/>
        <charset val="1"/>
      </rPr>
      <t xml:space="preserve">Filter Felt</t>
    </r>
  </si>
  <si>
    <t xml:space="preserve">31229189</t>
  </si>
  <si>
    <r>
      <rPr>
        <sz val="10"/>
        <rFont val="FreeSans"/>
        <family val="2"/>
      </rPr>
      <t xml:space="preserve">پارچه کوچک فیلتر پرس  </t>
    </r>
    <r>
      <rPr>
        <sz val="10"/>
        <rFont val="Vazirmatn"/>
        <family val="0"/>
        <charset val="1"/>
      </rPr>
      <t xml:space="preserve">1000TYPE POLYPROPYLEN FIBER 3927 38 DOUBLE</t>
    </r>
  </si>
  <si>
    <t xml:space="preserve">31229190</t>
  </si>
  <si>
    <t xml:space="preserve">پارچه بدون پرز</t>
  </si>
  <si>
    <t xml:space="preserve">31229196</t>
  </si>
  <si>
    <r>
      <rPr>
        <sz val="10"/>
        <rFont val="FreeSans"/>
        <family val="2"/>
      </rPr>
      <t xml:space="preserve">برزنت با روکش پلاستیک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کولری </t>
    </r>
    <r>
      <rPr>
        <sz val="10"/>
        <rFont val="Vazirmatn"/>
        <family val="0"/>
        <charset val="1"/>
      </rPr>
      <t xml:space="preserve">) 600Cm*100Cm</t>
    </r>
  </si>
  <si>
    <t xml:space="preserve">31229197</t>
  </si>
  <si>
    <r>
      <rPr>
        <sz val="10"/>
        <rFont val="FreeSans"/>
        <family val="2"/>
      </rPr>
      <t xml:space="preserve">پارچه اخشان عرض </t>
    </r>
    <r>
      <rPr>
        <sz val="10"/>
        <rFont val="Vazirmatn"/>
        <family val="0"/>
        <charset val="1"/>
      </rPr>
      <t xml:space="preserve">110</t>
    </r>
  </si>
  <si>
    <t xml:space="preserve">31229198</t>
  </si>
  <si>
    <t xml:space="preserve">پارچه روکش دار کولر</t>
  </si>
  <si>
    <t xml:space="preserve">31230167</t>
  </si>
  <si>
    <r>
      <rPr>
        <sz val="10"/>
        <rFont val="FreeSans"/>
        <family val="2"/>
      </rPr>
      <t xml:space="preserve">فیلتر المنت استیل </t>
    </r>
    <r>
      <rPr>
        <sz val="10"/>
        <rFont val="Vazirmatn"/>
        <family val="0"/>
        <charset val="1"/>
      </rPr>
      <t xml:space="preserve">"20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400</t>
    </r>
  </si>
  <si>
    <t xml:space="preserve">31230168</t>
  </si>
  <si>
    <r>
      <rPr>
        <sz val="10"/>
        <rFont val="FreeSans"/>
        <family val="2"/>
      </rPr>
      <t xml:space="preserve">فیلتر المنت استیل </t>
    </r>
    <r>
      <rPr>
        <sz val="10"/>
        <rFont val="Vazirmatn"/>
        <family val="0"/>
        <charset val="1"/>
      </rPr>
      <t xml:space="preserve">"40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400</t>
    </r>
  </si>
  <si>
    <t xml:space="preserve">31231001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</si>
  <si>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6001    ZZ</t>
    </r>
  </si>
  <si>
    <t xml:space="preserve">31231002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</si>
  <si>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30203         JR</t>
    </r>
  </si>
  <si>
    <t xml:space="preserve">31231003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</si>
  <si>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32005         JR</t>
    </r>
  </si>
  <si>
    <t xml:space="preserve">31231004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</si>
  <si>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30305</t>
    </r>
  </si>
  <si>
    <t xml:space="preserve">31231006</t>
  </si>
  <si>
    <r>
      <rPr>
        <sz val="10"/>
        <rFont val="FreeSans"/>
        <family val="2"/>
      </rPr>
      <t xml:space="preserve">رول برینگ ورودی خشکن </t>
    </r>
    <r>
      <rPr>
        <sz val="10"/>
        <rFont val="Vazirmatn"/>
        <family val="0"/>
        <charset val="1"/>
      </rPr>
      <t xml:space="preserve">SL 06036E C5 S1B-RK8</t>
    </r>
  </si>
  <si>
    <t xml:space="preserve">31231009</t>
  </si>
  <si>
    <r>
      <rPr>
        <sz val="10"/>
        <rFont val="FreeSans"/>
        <family val="2"/>
      </rPr>
      <t xml:space="preserve">رول برینگ خشکن </t>
    </r>
    <r>
      <rPr>
        <sz val="10"/>
        <rFont val="Vazirmatn"/>
        <family val="0"/>
        <charset val="1"/>
      </rPr>
      <t xml:space="preserve">SL 06040E C5 S1B-RK12-42</t>
    </r>
  </si>
  <si>
    <t xml:space="preserve">31231011</t>
  </si>
  <si>
    <r>
      <rPr>
        <sz val="10"/>
        <rFont val="FreeSans"/>
        <family val="2"/>
      </rPr>
      <t xml:space="preserve">رول برینگ  </t>
    </r>
    <r>
      <rPr>
        <sz val="10"/>
        <rFont val="Vazirmatn"/>
        <family val="0"/>
        <charset val="1"/>
      </rPr>
      <t xml:space="preserve">SL 05040E  C5 S1B</t>
    </r>
  </si>
  <si>
    <t xml:space="preserve">31231014</t>
  </si>
  <si>
    <r>
      <rPr>
        <sz val="10"/>
        <rFont val="FreeSans"/>
        <family val="2"/>
      </rPr>
      <t xml:space="preserve">رولبرینگ پرس روغن </t>
    </r>
    <r>
      <rPr>
        <sz val="10"/>
        <rFont val="Vazirmatn"/>
        <family val="0"/>
        <charset val="1"/>
      </rPr>
      <t xml:space="preserve">23240  1526-GOYUM-1500</t>
    </r>
  </si>
  <si>
    <t xml:space="preserve">31231017</t>
  </si>
  <si>
    <r>
      <rPr>
        <sz val="10"/>
        <rFont val="FreeSans"/>
        <family val="2"/>
      </rPr>
      <t xml:space="preserve">رولبرینگ            </t>
    </r>
    <r>
      <rPr>
        <sz val="10"/>
        <rFont val="Vazirmatn"/>
        <family val="0"/>
        <charset val="1"/>
      </rPr>
      <t xml:space="preserve">NU      214</t>
    </r>
  </si>
  <si>
    <t xml:space="preserve">31231018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</si>
  <si>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NU      207</t>
    </r>
  </si>
  <si>
    <t xml:space="preserve">31231020</t>
  </si>
  <si>
    <r>
      <rPr>
        <sz val="10"/>
        <rFont val="FreeSans"/>
        <family val="2"/>
      </rPr>
      <t xml:space="preserve">بلبرینگ             </t>
    </r>
    <r>
      <rPr>
        <sz val="10"/>
        <rFont val="Vazirmatn"/>
        <family val="0"/>
        <charset val="1"/>
      </rPr>
      <t xml:space="preserve">208        NJ</t>
    </r>
  </si>
  <si>
    <t xml:space="preserve">31231021</t>
  </si>
  <si>
    <r>
      <rPr>
        <sz val="10"/>
        <rFont val="FreeSans"/>
        <family val="2"/>
      </rPr>
      <t xml:space="preserve">بلبرینگ             </t>
    </r>
    <r>
      <rPr>
        <sz val="10"/>
        <rFont val="Vazirmatn"/>
        <family val="0"/>
        <charset val="1"/>
      </rPr>
      <t xml:space="preserve">NU       208</t>
    </r>
  </si>
  <si>
    <t xml:space="preserve">31231025</t>
  </si>
  <si>
    <r>
      <rPr>
        <sz val="10"/>
        <rFont val="FreeSans"/>
        <family val="2"/>
      </rPr>
      <t xml:space="preserve">بلبرینگ             </t>
    </r>
    <r>
      <rPr>
        <sz val="10"/>
        <rFont val="Vazirmatn"/>
        <family val="0"/>
        <charset val="1"/>
      </rPr>
      <t xml:space="preserve">210       NU</t>
    </r>
  </si>
  <si>
    <t xml:space="preserve">31231027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</si>
  <si>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NU      309</t>
    </r>
  </si>
  <si>
    <t xml:space="preserve">31231031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</si>
  <si>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105    NUL</t>
    </r>
  </si>
  <si>
    <t xml:space="preserve">31231033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</si>
  <si>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B 6 - 63 Z</t>
    </r>
  </si>
  <si>
    <t xml:space="preserve">31231034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</si>
  <si>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NU      211</t>
    </r>
  </si>
  <si>
    <t xml:space="preserve">31231035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</si>
  <si>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NJ    2310</t>
    </r>
  </si>
  <si>
    <t xml:space="preserve">31231036</t>
  </si>
  <si>
    <r>
      <rPr>
        <sz val="10"/>
        <rFont val="FreeSans"/>
        <family val="2"/>
      </rPr>
      <t xml:space="preserve">رولبرینگ    </t>
    </r>
    <r>
      <rPr>
        <sz val="10"/>
        <rFont val="Vazirmatn"/>
        <family val="0"/>
        <charset val="1"/>
      </rPr>
      <t xml:space="preserve">NJ     217</t>
    </r>
  </si>
  <si>
    <t xml:space="preserve">31231041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</si>
  <si>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31309</t>
    </r>
  </si>
  <si>
    <t xml:space="preserve">31231044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</si>
  <si>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33109</t>
    </r>
  </si>
  <si>
    <t xml:space="preserve">31231047</t>
  </si>
  <si>
    <r>
      <rPr>
        <sz val="10"/>
        <rFont val="FreeSans"/>
        <family val="2"/>
      </rPr>
      <t xml:space="preserve">بلبرینگ لینک اکسل لیفتراک </t>
    </r>
    <r>
      <rPr>
        <sz val="10"/>
        <rFont val="Vazirmatn"/>
        <family val="0"/>
        <charset val="1"/>
      </rPr>
      <t xml:space="preserve">( 9532649 )</t>
    </r>
  </si>
  <si>
    <t xml:space="preserve">31231049</t>
  </si>
  <si>
    <r>
      <rPr>
        <sz val="10"/>
        <rFont val="FreeSans"/>
        <family val="2"/>
      </rPr>
      <t xml:space="preserve">بلبرینگ             </t>
    </r>
    <r>
      <rPr>
        <sz val="10"/>
        <rFont val="Vazirmatn"/>
        <family val="0"/>
        <charset val="1"/>
      </rPr>
      <t xml:space="preserve">222        NJ</t>
    </r>
  </si>
  <si>
    <t xml:space="preserve">31231051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</si>
  <si>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7214 BEC BM</t>
    </r>
  </si>
  <si>
    <t xml:space="preserve">31231052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</si>
  <si>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51112</t>
    </r>
  </si>
  <si>
    <t xml:space="preserve">31231054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</si>
  <si>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2RS  6305</t>
    </r>
  </si>
  <si>
    <t xml:space="preserve">31231055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</si>
  <si>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C         22308</t>
    </r>
  </si>
  <si>
    <t xml:space="preserve">31231056</t>
  </si>
  <si>
    <r>
      <rPr>
        <sz val="10"/>
        <rFont val="FreeSans"/>
        <family val="2"/>
      </rPr>
      <t xml:space="preserve">بلبرینگ موتور آسیاب ایمپکت </t>
    </r>
    <r>
      <rPr>
        <sz val="10"/>
        <rFont val="Vazirmatn"/>
        <family val="0"/>
        <charset val="1"/>
      </rPr>
      <t xml:space="preserve">6217/C3</t>
    </r>
  </si>
  <si>
    <t xml:space="preserve">31231057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</si>
  <si>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Z         226</t>
    </r>
  </si>
  <si>
    <t xml:space="preserve">31231058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</si>
  <si>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226       NU</t>
    </r>
  </si>
  <si>
    <t xml:space="preserve">31231059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</si>
  <si>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314     NU</t>
    </r>
  </si>
  <si>
    <t xml:space="preserve">31231060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</si>
  <si>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1312         K</t>
    </r>
  </si>
  <si>
    <t xml:space="preserve">31231062</t>
  </si>
  <si>
    <r>
      <rPr>
        <sz val="10"/>
        <rFont val="FreeSans"/>
        <family val="2"/>
      </rPr>
      <t xml:space="preserve">بلبرینگ موتور آسیاب ایمپکت </t>
    </r>
    <r>
      <rPr>
        <sz val="10"/>
        <rFont val="Vazirmatn"/>
        <family val="0"/>
        <charset val="1"/>
      </rPr>
      <t xml:space="preserve">6219/C3</t>
    </r>
  </si>
  <si>
    <t xml:space="preserve">31231063</t>
  </si>
  <si>
    <r>
      <rPr>
        <sz val="10"/>
        <rFont val="FreeSans"/>
        <family val="2"/>
      </rPr>
      <t xml:space="preserve">بلبرینگ موتور آسیاب ایمپکت جدید </t>
    </r>
    <r>
      <rPr>
        <sz val="10"/>
        <rFont val="Vazirmatn"/>
        <family val="0"/>
        <charset val="1"/>
      </rPr>
      <t xml:space="preserve">6319/C3</t>
    </r>
  </si>
  <si>
    <t xml:space="preserve">31231065</t>
  </si>
  <si>
    <r>
      <rPr>
        <sz val="10"/>
        <rFont val="FreeSans"/>
        <family val="2"/>
      </rPr>
      <t xml:space="preserve">بلبرینگ    </t>
    </r>
    <r>
      <rPr>
        <sz val="10"/>
        <rFont val="Vazirmatn"/>
        <family val="0"/>
        <charset val="1"/>
      </rPr>
      <t xml:space="preserve">NG       310      EC</t>
    </r>
  </si>
  <si>
    <t xml:space="preserve">31231069</t>
  </si>
  <si>
    <r>
      <rPr>
        <sz val="10"/>
        <rFont val="FreeSans"/>
        <family val="2"/>
      </rPr>
      <t xml:space="preserve">بلبرینگ موتور آسیاب ایمپکت جدید </t>
    </r>
    <r>
      <rPr>
        <sz val="10"/>
        <rFont val="Vazirmatn"/>
        <family val="0"/>
        <charset val="1"/>
      </rPr>
      <t xml:space="preserve">6316M/C3VL241</t>
    </r>
  </si>
  <si>
    <t xml:space="preserve">31231070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</si>
  <si>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316       NU</t>
    </r>
  </si>
  <si>
    <t xml:space="preserve">31231071</t>
  </si>
  <si>
    <r>
      <rPr>
        <sz val="10"/>
        <rFont val="FreeSans"/>
        <family val="2"/>
      </rPr>
      <t xml:space="preserve">بلبرینگ موتور آسیاب ایمپکت قدیم </t>
    </r>
    <r>
      <rPr>
        <sz val="10"/>
        <rFont val="Vazirmatn"/>
        <family val="0"/>
        <charset val="1"/>
      </rPr>
      <t xml:space="preserve">6316/C3</t>
    </r>
  </si>
  <si>
    <t xml:space="preserve">31231072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</si>
  <si>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217       NU</t>
    </r>
  </si>
  <si>
    <t xml:space="preserve">31231073</t>
  </si>
  <si>
    <r>
      <rPr>
        <sz val="10"/>
        <rFont val="FreeSans"/>
        <family val="2"/>
      </rPr>
      <t xml:space="preserve">رولبرینگ موتور آسیاب ایمپکت قدیم </t>
    </r>
    <r>
      <rPr>
        <sz val="10"/>
        <rFont val="Vazirmatn"/>
        <family val="0"/>
        <charset val="1"/>
      </rPr>
      <t xml:space="preserve">NU319/C3</t>
    </r>
  </si>
  <si>
    <t xml:space="preserve">31231075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</si>
  <si>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319       NU</t>
    </r>
  </si>
  <si>
    <t xml:space="preserve">31231077</t>
  </si>
  <si>
    <r>
      <rPr>
        <sz val="10"/>
        <rFont val="FreeSans"/>
        <family val="2"/>
      </rPr>
      <t xml:space="preserve">رولبرینگ کف گرد   </t>
    </r>
    <r>
      <rPr>
        <sz val="10"/>
        <rFont val="Vazirmatn"/>
        <family val="0"/>
        <charset val="1"/>
      </rPr>
      <t xml:space="preserve">51113  KG</t>
    </r>
  </si>
  <si>
    <t xml:space="preserve">31231080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</si>
  <si>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NU      1008</t>
    </r>
  </si>
  <si>
    <t xml:space="preserve">31231083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</si>
  <si>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NJ   204     EC</t>
    </r>
  </si>
  <si>
    <t xml:space="preserve">31231084</t>
  </si>
  <si>
    <r>
      <rPr>
        <sz val="10"/>
        <rFont val="FreeSans"/>
        <family val="2"/>
      </rPr>
      <t xml:space="preserve">رولبرینگ     </t>
    </r>
    <r>
      <rPr>
        <sz val="10"/>
        <rFont val="Vazirmatn"/>
        <family val="0"/>
        <charset val="1"/>
      </rPr>
      <t xml:space="preserve">NU 238  M</t>
    </r>
  </si>
  <si>
    <t xml:space="preserve">31231086</t>
  </si>
  <si>
    <r>
      <rPr>
        <sz val="10"/>
        <rFont val="FreeSans"/>
        <family val="2"/>
      </rPr>
      <t xml:space="preserve">رولبرینگ کف گرد مخروطی    </t>
    </r>
    <r>
      <rPr>
        <sz val="10"/>
        <rFont val="Vazirmatn"/>
        <family val="0"/>
        <charset val="1"/>
      </rPr>
      <t xml:space="preserve">29440M</t>
    </r>
  </si>
  <si>
    <t xml:space="preserve">31231087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</si>
  <si>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33207</t>
    </r>
  </si>
  <si>
    <t xml:space="preserve">31231089</t>
  </si>
  <si>
    <r>
      <rPr>
        <sz val="10"/>
        <rFont val="FreeSans"/>
        <family val="2"/>
      </rPr>
      <t xml:space="preserve">بلبرینگ کف گرد          </t>
    </r>
    <r>
      <rPr>
        <sz val="10"/>
        <rFont val="Vazirmatn"/>
        <family val="0"/>
        <charset val="1"/>
      </rPr>
      <t xml:space="preserve">51105</t>
    </r>
  </si>
  <si>
    <t xml:space="preserve">31231091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</si>
  <si>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32307</t>
    </r>
  </si>
  <si>
    <t xml:space="preserve">31231092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</si>
  <si>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W33 22313 EXQ</t>
    </r>
  </si>
  <si>
    <t xml:space="preserve">31231093</t>
  </si>
  <si>
    <r>
      <rPr>
        <sz val="10"/>
        <rFont val="FreeSans"/>
        <family val="2"/>
      </rPr>
      <t xml:space="preserve">رولبرینگ    </t>
    </r>
    <r>
      <rPr>
        <sz val="10"/>
        <rFont val="Vazirmatn"/>
        <family val="0"/>
        <charset val="1"/>
      </rPr>
      <t xml:space="preserve">22208</t>
    </r>
  </si>
  <si>
    <t xml:space="preserve">31231094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</si>
  <si>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1210         K</t>
    </r>
  </si>
  <si>
    <t xml:space="preserve">31231096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</si>
  <si>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1212         K</t>
    </r>
  </si>
  <si>
    <t xml:space="preserve">31231097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</si>
  <si>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1213         K</t>
    </r>
  </si>
  <si>
    <t xml:space="preserve">31231101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</si>
  <si>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6219 </t>
    </r>
    <r>
      <rPr>
        <sz val="10"/>
        <rFont val="FreeSans"/>
        <family val="2"/>
      </rPr>
      <t xml:space="preserve">دکانتور </t>
    </r>
    <r>
      <rPr>
        <sz val="10"/>
        <rFont val="Vazirmatn"/>
        <family val="0"/>
        <charset val="1"/>
      </rPr>
      <t xml:space="preserve">950 - 6219 - 0011</t>
    </r>
  </si>
  <si>
    <t xml:space="preserve">31231102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</si>
  <si>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7221 </t>
    </r>
    <r>
      <rPr>
        <sz val="10"/>
        <rFont val="FreeSans"/>
        <family val="2"/>
      </rPr>
      <t xml:space="preserve">دکانتور </t>
    </r>
    <r>
      <rPr>
        <sz val="10"/>
        <rFont val="Vazirmatn"/>
        <family val="0"/>
        <charset val="1"/>
      </rPr>
      <t xml:space="preserve">970 - 7221 - 0011</t>
    </r>
  </si>
  <si>
    <t xml:space="preserve">31231104</t>
  </si>
  <si>
    <r>
      <rPr>
        <sz val="10"/>
        <rFont val="FreeSans"/>
        <family val="2"/>
      </rPr>
      <t xml:space="preserve">رولبرینگ </t>
    </r>
    <r>
      <rPr>
        <sz val="10"/>
        <rFont val="Vazirmatn"/>
        <family val="0"/>
        <charset val="1"/>
      </rPr>
      <t xml:space="preserve">1026 </t>
    </r>
    <r>
      <rPr>
        <sz val="10"/>
        <rFont val="FreeSans"/>
        <family val="2"/>
      </rPr>
      <t xml:space="preserve">دکانتور  </t>
    </r>
    <r>
      <rPr>
        <sz val="10"/>
        <rFont val="Vazirmatn"/>
        <family val="0"/>
        <charset val="1"/>
      </rPr>
      <t xml:space="preserve">880 - 1026 - 0011</t>
    </r>
  </si>
  <si>
    <t xml:space="preserve">31231105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</si>
  <si>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61816 </t>
    </r>
    <r>
      <rPr>
        <sz val="10"/>
        <rFont val="FreeSans"/>
        <family val="2"/>
      </rPr>
      <t xml:space="preserve">دکانتور  </t>
    </r>
    <r>
      <rPr>
        <sz val="10"/>
        <rFont val="Vazirmatn"/>
        <family val="0"/>
        <charset val="1"/>
      </rPr>
      <t xml:space="preserve">890 - 6116 - 0011</t>
    </r>
  </si>
  <si>
    <t xml:space="preserve">31231109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</si>
  <si>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FAG     16008</t>
    </r>
  </si>
  <si>
    <t xml:space="preserve">31231110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</si>
  <si>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NU       2306</t>
    </r>
  </si>
  <si>
    <t xml:space="preserve">31231112</t>
  </si>
  <si>
    <r>
      <rPr>
        <sz val="10"/>
        <rFont val="FreeSans"/>
        <family val="2"/>
      </rPr>
      <t xml:space="preserve">رولبرینگ   </t>
    </r>
    <r>
      <rPr>
        <sz val="10"/>
        <rFont val="Vazirmatn"/>
        <family val="0"/>
        <charset val="1"/>
      </rPr>
      <t xml:space="preserve">NJ 2219</t>
    </r>
  </si>
  <si>
    <t xml:space="preserve">31231113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</si>
  <si>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2207</t>
    </r>
  </si>
  <si>
    <t xml:space="preserve">31231115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</si>
  <si>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2209     C 3 K</t>
    </r>
  </si>
  <si>
    <t xml:space="preserve">31231116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</si>
  <si>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NU        2209</t>
    </r>
  </si>
  <si>
    <t xml:space="preserve">31231117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</si>
  <si>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NU        2304</t>
    </r>
  </si>
  <si>
    <t xml:space="preserve">31231118</t>
  </si>
  <si>
    <r>
      <rPr>
        <sz val="10"/>
        <rFont val="FreeSans"/>
        <family val="2"/>
      </rPr>
      <t xml:space="preserve">بلبرینگ             </t>
    </r>
    <r>
      <rPr>
        <sz val="10"/>
        <rFont val="Vazirmatn"/>
        <family val="0"/>
        <charset val="1"/>
      </rPr>
      <t xml:space="preserve">607         ZZ</t>
    </r>
  </si>
  <si>
    <t xml:space="preserve">31231119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</si>
  <si>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NU        2305</t>
    </r>
  </si>
  <si>
    <t xml:space="preserve">31231120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</si>
  <si>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2314        NU</t>
    </r>
  </si>
  <si>
    <t xml:space="preserve">31231122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</si>
  <si>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2211</t>
    </r>
  </si>
  <si>
    <t xml:space="preserve">31231123</t>
  </si>
  <si>
    <r>
      <rPr>
        <sz val="10"/>
        <rFont val="FreeSans"/>
        <family val="2"/>
      </rPr>
      <t xml:space="preserve">بلبرینگ             </t>
    </r>
    <r>
      <rPr>
        <sz val="10"/>
        <rFont val="Vazirmatn"/>
        <family val="0"/>
        <charset val="1"/>
      </rPr>
      <t xml:space="preserve">2210</t>
    </r>
  </si>
  <si>
    <t xml:space="preserve">31231126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</si>
  <si>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22228</t>
    </r>
  </si>
  <si>
    <t xml:space="preserve">31231127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</si>
  <si>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22220          C</t>
    </r>
  </si>
  <si>
    <t xml:space="preserve">31231128</t>
  </si>
  <si>
    <r>
      <rPr>
        <sz val="10"/>
        <rFont val="FreeSans"/>
        <family val="2"/>
      </rPr>
      <t xml:space="preserve">بلبرینگ             </t>
    </r>
    <r>
      <rPr>
        <sz val="10"/>
        <rFont val="Vazirmatn"/>
        <family val="0"/>
        <charset val="1"/>
      </rPr>
      <t xml:space="preserve">317        NU</t>
    </r>
  </si>
  <si>
    <t xml:space="preserve">31231131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</si>
  <si>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2307        NG</t>
    </r>
  </si>
  <si>
    <t xml:space="preserve">31231133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</si>
  <si>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2308         M</t>
    </r>
  </si>
  <si>
    <t xml:space="preserve">31231134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</si>
  <si>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NJ  2208  ECP C3</t>
    </r>
  </si>
  <si>
    <t xml:space="preserve">31231135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</si>
  <si>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BEGM/P6 - 7214</t>
    </r>
  </si>
  <si>
    <t xml:space="preserve">31231136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</si>
  <si>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2309       NU</t>
    </r>
  </si>
  <si>
    <t xml:space="preserve">31231139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</si>
  <si>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22312         C</t>
    </r>
  </si>
  <si>
    <t xml:space="preserve">31231140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</si>
  <si>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2305</t>
    </r>
  </si>
  <si>
    <t xml:space="preserve">31231141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</si>
  <si>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6406 - 2RS  C3</t>
    </r>
  </si>
  <si>
    <t xml:space="preserve">31231142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</si>
  <si>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315      NJ2</t>
    </r>
  </si>
  <si>
    <t xml:space="preserve">31231143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</si>
  <si>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2205       NU</t>
    </r>
  </si>
  <si>
    <t xml:space="preserve">31231144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</si>
  <si>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1310</t>
    </r>
  </si>
  <si>
    <t xml:space="preserve">31231145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</si>
  <si>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2315</t>
    </r>
  </si>
  <si>
    <t xml:space="preserve">31231148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</si>
  <si>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ZZ        2203</t>
    </r>
  </si>
  <si>
    <t xml:space="preserve">31231151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</si>
  <si>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3306</t>
    </r>
  </si>
  <si>
    <t xml:space="preserve">31231153</t>
  </si>
  <si>
    <r>
      <rPr>
        <sz val="10"/>
        <rFont val="FreeSans"/>
        <family val="2"/>
      </rPr>
      <t xml:space="preserve">بلبرینگ چنگ برنجی    </t>
    </r>
    <r>
      <rPr>
        <sz val="10"/>
        <rFont val="Vazirmatn"/>
        <family val="0"/>
        <charset val="1"/>
      </rPr>
      <t xml:space="preserve">c3    2309</t>
    </r>
  </si>
  <si>
    <t xml:space="preserve">31231154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</si>
  <si>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5208         U</t>
    </r>
  </si>
  <si>
    <t xml:space="preserve">31231156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</si>
  <si>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3202</t>
    </r>
  </si>
  <si>
    <t xml:space="preserve">31231157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</si>
  <si>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URC    3209</t>
    </r>
  </si>
  <si>
    <t xml:space="preserve">31231158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</si>
  <si>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ZZ        5308</t>
    </r>
  </si>
  <si>
    <t xml:space="preserve">31231159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</si>
  <si>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6016</t>
    </r>
  </si>
  <si>
    <t xml:space="preserve">31231160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</si>
  <si>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5309 / 3309</t>
    </r>
  </si>
  <si>
    <t xml:space="preserve">31231161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</si>
  <si>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ZZ        6016</t>
    </r>
  </si>
  <si>
    <t xml:space="preserve">31231166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</si>
  <si>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3304</t>
    </r>
  </si>
  <si>
    <t xml:space="preserve">31231170</t>
  </si>
  <si>
    <r>
      <rPr>
        <sz val="10"/>
        <rFont val="FreeSans"/>
        <family val="2"/>
      </rPr>
      <t xml:space="preserve">بلبرینگ   </t>
    </r>
    <r>
      <rPr>
        <sz val="10"/>
        <rFont val="Vazirmatn"/>
        <family val="0"/>
        <charset val="1"/>
      </rPr>
      <t xml:space="preserve">2220 K</t>
    </r>
  </si>
  <si>
    <t xml:space="preserve">31231172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</si>
  <si>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3306</t>
    </r>
  </si>
  <si>
    <t xml:space="preserve">31231173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</si>
  <si>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3307</t>
    </r>
  </si>
  <si>
    <t xml:space="preserve">31231174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</si>
  <si>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3311         B</t>
    </r>
  </si>
  <si>
    <t xml:space="preserve">31231176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</si>
  <si>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3310</t>
    </r>
  </si>
  <si>
    <t xml:space="preserve">31231177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</si>
  <si>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3315    FAG</t>
    </r>
  </si>
  <si>
    <t xml:space="preserve">31231178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</si>
  <si>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/8314  51314    </t>
    </r>
    <r>
      <rPr>
        <sz val="10"/>
        <rFont val="FreeSans"/>
        <family val="2"/>
      </rPr>
      <t xml:space="preserve">کف گرد</t>
    </r>
  </si>
  <si>
    <t xml:space="preserve">31231180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</si>
  <si>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3316</t>
    </r>
  </si>
  <si>
    <t xml:space="preserve">31231181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</si>
  <si>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6316M/C3VL241</t>
    </r>
  </si>
  <si>
    <t xml:space="preserve">31231185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</si>
  <si>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330201 / Q</t>
    </r>
  </si>
  <si>
    <t xml:space="preserve">31231196</t>
  </si>
  <si>
    <r>
      <rPr>
        <sz val="10"/>
        <rFont val="FreeSans"/>
        <family val="2"/>
      </rPr>
      <t xml:space="preserve">رولبرینگ         </t>
    </r>
    <r>
      <rPr>
        <sz val="10"/>
        <rFont val="Vazirmatn"/>
        <family val="0"/>
        <charset val="1"/>
      </rPr>
      <t xml:space="preserve">4918</t>
    </r>
  </si>
  <si>
    <t xml:space="preserve">31231199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</si>
  <si>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4924         N</t>
    </r>
  </si>
  <si>
    <t xml:space="preserve">31231203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</si>
  <si>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5203       ZZ</t>
    </r>
  </si>
  <si>
    <t xml:space="preserve">31231204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</si>
  <si>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5210       ZZ</t>
    </r>
  </si>
  <si>
    <t xml:space="preserve">31231205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</si>
  <si>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6001       ZZ</t>
    </r>
  </si>
  <si>
    <t xml:space="preserve">31231208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</si>
  <si>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6002       ZZ</t>
    </r>
  </si>
  <si>
    <t xml:space="preserve">31231211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</si>
  <si>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6003       ZZ</t>
    </r>
  </si>
  <si>
    <t xml:space="preserve">31231219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</si>
  <si>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6005       ZZ</t>
    </r>
  </si>
  <si>
    <t xml:space="preserve">31231220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</si>
  <si>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6006       ZZ</t>
    </r>
  </si>
  <si>
    <t xml:space="preserve">31231223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</si>
  <si>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6007</t>
    </r>
  </si>
  <si>
    <t xml:space="preserve">31231229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</si>
  <si>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6008        ZZ</t>
    </r>
  </si>
  <si>
    <t xml:space="preserve">31231230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</si>
  <si>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6004        ZZ</t>
    </r>
  </si>
  <si>
    <t xml:space="preserve">31231231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</si>
  <si>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6000        ZZ</t>
    </r>
  </si>
  <si>
    <t xml:space="preserve">31231232</t>
  </si>
  <si>
    <r>
      <rPr>
        <sz val="10"/>
        <rFont val="FreeSans"/>
        <family val="2"/>
      </rPr>
      <t xml:space="preserve">رولبرینگ     </t>
    </r>
    <r>
      <rPr>
        <sz val="10"/>
        <rFont val="Vazirmatn"/>
        <family val="0"/>
        <charset val="1"/>
      </rPr>
      <t xml:space="preserve">N         324   C3</t>
    </r>
  </si>
  <si>
    <t xml:space="preserve">31231233</t>
  </si>
  <si>
    <r>
      <rPr>
        <sz val="10"/>
        <rFont val="FreeSans"/>
        <family val="2"/>
      </rPr>
      <t xml:space="preserve">بلبرینگ      </t>
    </r>
    <r>
      <rPr>
        <sz val="10"/>
        <rFont val="Vazirmatn"/>
        <family val="0"/>
        <charset val="1"/>
      </rPr>
      <t xml:space="preserve">.     6009    ZZ</t>
    </r>
  </si>
  <si>
    <t xml:space="preserve">31231238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</si>
  <si>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6011         Z</t>
    </r>
  </si>
  <si>
    <t xml:space="preserve">31231253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</si>
  <si>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6015       ZZ</t>
    </r>
  </si>
  <si>
    <t xml:space="preserve">31231256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</si>
  <si>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6017       ZZ</t>
    </r>
  </si>
  <si>
    <t xml:space="preserve">31231257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</si>
  <si>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6018       ZZ</t>
    </r>
  </si>
  <si>
    <t xml:space="preserve">31231263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</si>
  <si>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6200         ZZ</t>
    </r>
  </si>
  <si>
    <t xml:space="preserve">31231265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</si>
  <si>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6200       ZZ</t>
    </r>
  </si>
  <si>
    <t xml:space="preserve">31231274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</si>
  <si>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6202       ZZ</t>
    </r>
  </si>
  <si>
    <t xml:space="preserve">31231289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</si>
  <si>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6204       ZZ</t>
    </r>
  </si>
  <si>
    <t xml:space="preserve">31231307</t>
  </si>
  <si>
    <r>
      <rPr>
        <sz val="10"/>
        <rFont val="FreeSans"/>
        <family val="2"/>
      </rPr>
      <t xml:space="preserve">بلبرینگ    </t>
    </r>
    <r>
      <rPr>
        <sz val="10"/>
        <rFont val="Vazirmatn"/>
        <family val="0"/>
        <charset val="1"/>
      </rPr>
      <t xml:space="preserve">62305</t>
    </r>
  </si>
  <si>
    <t xml:space="preserve">31231309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</si>
  <si>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6021 ZWZ</t>
    </r>
  </si>
  <si>
    <t xml:space="preserve">31231310</t>
  </si>
  <si>
    <r>
      <rPr>
        <sz val="10"/>
        <rFont val="FreeSans"/>
        <family val="2"/>
      </rPr>
      <t xml:space="preserve">بلبرینگ       </t>
    </r>
    <r>
      <rPr>
        <sz val="10"/>
        <rFont val="Vazirmatn"/>
        <family val="0"/>
        <charset val="1"/>
      </rPr>
      <t xml:space="preserve">6219 C3</t>
    </r>
  </si>
  <si>
    <t xml:space="preserve">31231311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</si>
  <si>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NMB  R3HH</t>
    </r>
  </si>
  <si>
    <t xml:space="preserve">31231312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</si>
  <si>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22215 CK</t>
    </r>
  </si>
  <si>
    <t xml:space="preserve">31231314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</si>
  <si>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GE 45 ES</t>
    </r>
  </si>
  <si>
    <t xml:space="preserve">31231315</t>
  </si>
  <si>
    <r>
      <rPr>
        <sz val="10"/>
        <rFont val="FreeSans"/>
        <family val="2"/>
      </rPr>
      <t xml:space="preserve">رولبرینگ  </t>
    </r>
    <r>
      <rPr>
        <sz val="10"/>
        <rFont val="Vazirmatn"/>
        <family val="0"/>
        <charset val="1"/>
      </rPr>
      <t xml:space="preserve">U   12981</t>
    </r>
  </si>
  <si>
    <t xml:space="preserve">31231317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</si>
  <si>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SKF 6319 - C3 - 2RS1</t>
    </r>
  </si>
  <si>
    <t xml:space="preserve">31231318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</si>
  <si>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6319  M - C3 - VL0241</t>
    </r>
  </si>
  <si>
    <t xml:space="preserve">31231327</t>
  </si>
  <si>
    <r>
      <rPr>
        <sz val="10"/>
        <rFont val="FreeSans"/>
        <family val="2"/>
      </rPr>
      <t xml:space="preserve">رولبرینگ   </t>
    </r>
    <r>
      <rPr>
        <sz val="10"/>
        <rFont val="Vazirmatn"/>
        <family val="0"/>
        <charset val="1"/>
      </rPr>
      <t xml:space="preserve">22310E</t>
    </r>
  </si>
  <si>
    <t xml:space="preserve">31231329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</si>
  <si>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22209 K</t>
    </r>
  </si>
  <si>
    <t xml:space="preserve">31231330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</si>
  <si>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61820SKF FR 18279 M</t>
    </r>
  </si>
  <si>
    <t xml:space="preserve">31231335</t>
  </si>
  <si>
    <r>
      <rPr>
        <sz val="10"/>
        <rFont val="FreeSans"/>
        <family val="2"/>
      </rPr>
      <t xml:space="preserve">رولبرینگ لیفتراک </t>
    </r>
    <r>
      <rPr>
        <sz val="10"/>
        <rFont val="Vazirmatn"/>
        <family val="0"/>
        <charset val="1"/>
      </rPr>
      <t xml:space="preserve">LM 102949  / 10</t>
    </r>
  </si>
  <si>
    <t xml:space="preserve">31231336</t>
  </si>
  <si>
    <r>
      <rPr>
        <sz val="10"/>
        <rFont val="FreeSans"/>
        <family val="2"/>
      </rPr>
      <t xml:space="preserve">رولبرینگ لیفتراک </t>
    </r>
    <r>
      <rPr>
        <sz val="10"/>
        <rFont val="Vazirmatn"/>
        <family val="0"/>
        <charset val="1"/>
      </rPr>
      <t xml:space="preserve">LM 48548  / 10</t>
    </r>
  </si>
  <si>
    <t xml:space="preserve">31231361</t>
  </si>
  <si>
    <r>
      <rPr>
        <sz val="10"/>
        <rFont val="FreeSans"/>
        <family val="2"/>
      </rPr>
      <t xml:space="preserve">بلبرینگ                </t>
    </r>
    <r>
      <rPr>
        <sz val="10"/>
        <rFont val="Vazirmatn"/>
        <family val="0"/>
        <charset val="1"/>
      </rPr>
      <t xml:space="preserve">ZZ    6214</t>
    </r>
  </si>
  <si>
    <t xml:space="preserve">31231365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</si>
  <si>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6226       ZZ</t>
    </r>
  </si>
  <si>
    <t xml:space="preserve">31231372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</si>
  <si>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6224</t>
    </r>
  </si>
  <si>
    <t xml:space="preserve">31231375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</si>
  <si>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6300        ZZ</t>
    </r>
  </si>
  <si>
    <t xml:space="preserve">31231388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</si>
  <si>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6305       ZZ</t>
    </r>
  </si>
  <si>
    <t xml:space="preserve">31231391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</si>
  <si>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4208</t>
    </r>
  </si>
  <si>
    <t xml:space="preserve">31231394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</si>
  <si>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4305</t>
    </r>
  </si>
  <si>
    <t xml:space="preserve">31231395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</si>
  <si>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3210      C3</t>
    </r>
  </si>
  <si>
    <t xml:space="preserve">31231398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</si>
  <si>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32207</t>
    </r>
  </si>
  <si>
    <t xml:space="preserve">31231424</t>
  </si>
  <si>
    <r>
      <rPr>
        <sz val="10"/>
        <rFont val="FreeSans"/>
        <family val="2"/>
      </rPr>
      <t xml:space="preserve">بلبرینگ کف گرد          </t>
    </r>
    <r>
      <rPr>
        <sz val="10"/>
        <rFont val="Vazirmatn"/>
        <family val="0"/>
        <charset val="1"/>
      </rPr>
      <t xml:space="preserve">11949</t>
    </r>
  </si>
  <si>
    <t xml:space="preserve">31231426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</si>
  <si>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CC/    4217    22217</t>
    </r>
  </si>
  <si>
    <t xml:space="preserve">31231428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</si>
  <si>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21313         E</t>
    </r>
  </si>
  <si>
    <t xml:space="preserve">31231430</t>
  </si>
  <si>
    <r>
      <rPr>
        <sz val="10"/>
        <rFont val="FreeSans"/>
        <family val="2"/>
      </rPr>
      <t xml:space="preserve">بلبرینگ کف گرد         </t>
    </r>
    <r>
      <rPr>
        <sz val="10"/>
        <rFont val="Vazirmatn"/>
        <family val="0"/>
        <charset val="1"/>
      </rPr>
      <t xml:space="preserve">44649</t>
    </r>
  </si>
  <si>
    <t xml:space="preserve">31231442</t>
  </si>
  <si>
    <r>
      <rPr>
        <sz val="10"/>
        <rFont val="FreeSans"/>
        <family val="2"/>
      </rPr>
      <t xml:space="preserve">بیرینگ عقب آسیاب دوم </t>
    </r>
    <r>
      <rPr>
        <sz val="10"/>
        <rFont val="Vazirmatn"/>
        <family val="0"/>
        <charset val="1"/>
      </rPr>
      <t xml:space="preserve">( FQ-124 )(  002121-009 )</t>
    </r>
  </si>
  <si>
    <t xml:space="preserve">31231443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</si>
  <si>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2017          NU     E</t>
    </r>
  </si>
  <si>
    <t xml:space="preserve">31231444</t>
  </si>
  <si>
    <r>
      <rPr>
        <sz val="10"/>
        <rFont val="FreeSans"/>
        <family val="2"/>
      </rPr>
      <t xml:space="preserve">رولبرینگ          </t>
    </r>
    <r>
      <rPr>
        <sz val="10"/>
        <rFont val="Vazirmatn"/>
        <family val="0"/>
        <charset val="1"/>
      </rPr>
      <t xml:space="preserve">2018        NU</t>
    </r>
  </si>
  <si>
    <t xml:space="preserve">31231445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</si>
  <si>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6404</t>
    </r>
  </si>
  <si>
    <t xml:space="preserve">31231457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</si>
  <si>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6908        ZZ</t>
    </r>
  </si>
  <si>
    <t xml:space="preserve">31231458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</si>
  <si>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ZZ        6918</t>
    </r>
  </si>
  <si>
    <t xml:space="preserve">31231459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</si>
  <si>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6410        ZZ</t>
    </r>
  </si>
  <si>
    <t xml:space="preserve">31231460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</si>
  <si>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22310          K</t>
    </r>
  </si>
  <si>
    <t xml:space="preserve">31231461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</si>
  <si>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7210       SKF</t>
    </r>
  </si>
  <si>
    <t xml:space="preserve">31231463</t>
  </si>
  <si>
    <r>
      <rPr>
        <sz val="10"/>
        <rFont val="FreeSans"/>
        <family val="2"/>
      </rPr>
      <t xml:space="preserve">بلبرینگ   چنگ برنجی        </t>
    </r>
    <r>
      <rPr>
        <sz val="10"/>
        <rFont val="Vazirmatn"/>
        <family val="0"/>
        <charset val="1"/>
      </rPr>
      <t xml:space="preserve">7214       SKF  C3</t>
    </r>
  </si>
  <si>
    <t xml:space="preserve">31231468</t>
  </si>
  <si>
    <r>
      <rPr>
        <sz val="10"/>
        <rFont val="FreeSans"/>
        <family val="2"/>
      </rPr>
      <t xml:space="preserve">بلبرینگ     </t>
    </r>
    <r>
      <rPr>
        <sz val="10"/>
        <rFont val="Vazirmatn"/>
        <family val="0"/>
        <charset val="1"/>
      </rPr>
      <t xml:space="preserve">7306 BM</t>
    </r>
  </si>
  <si>
    <t xml:space="preserve">31231469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</si>
  <si>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6801          ZZ</t>
    </r>
  </si>
  <si>
    <t xml:space="preserve">31231472</t>
  </si>
  <si>
    <r>
      <rPr>
        <sz val="10"/>
        <rFont val="FreeSans"/>
        <family val="2"/>
      </rPr>
      <t xml:space="preserve">بلبرینگ سوزنی                    </t>
    </r>
    <r>
      <rPr>
        <sz val="10"/>
        <rFont val="Vazirmatn"/>
        <family val="0"/>
        <charset val="1"/>
      </rPr>
      <t xml:space="preserve">6905    NA</t>
    </r>
  </si>
  <si>
    <t xml:space="preserve">31231481</t>
  </si>
  <si>
    <r>
      <rPr>
        <sz val="10"/>
        <rFont val="FreeSans"/>
        <family val="2"/>
      </rPr>
      <t xml:space="preserve">بلبرینگ   چنگ برنجی         </t>
    </r>
    <r>
      <rPr>
        <sz val="10"/>
        <rFont val="Vazirmatn"/>
        <family val="0"/>
        <charset val="1"/>
      </rPr>
      <t xml:space="preserve">7314          BM</t>
    </r>
  </si>
  <si>
    <t xml:space="preserve">31231482</t>
  </si>
  <si>
    <r>
      <rPr>
        <sz val="10"/>
        <rFont val="FreeSans"/>
        <family val="2"/>
      </rPr>
      <t xml:space="preserve">بلبرینگ            </t>
    </r>
    <r>
      <rPr>
        <sz val="10"/>
        <rFont val="Vazirmatn"/>
        <family val="0"/>
        <charset val="1"/>
      </rPr>
      <t xml:space="preserve">7315   SKF</t>
    </r>
  </si>
  <si>
    <t xml:space="preserve">31231483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</si>
  <si>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7414    BGM C SKF</t>
    </r>
  </si>
  <si>
    <t xml:space="preserve">31231486</t>
  </si>
  <si>
    <r>
      <rPr>
        <sz val="10"/>
        <rFont val="FreeSans"/>
        <family val="2"/>
      </rPr>
      <t xml:space="preserve">رولبرینگ       </t>
    </r>
    <r>
      <rPr>
        <sz val="10"/>
        <rFont val="Vazirmatn"/>
        <family val="0"/>
        <charset val="1"/>
      </rPr>
      <t xml:space="preserve">88043</t>
    </r>
  </si>
  <si>
    <t xml:space="preserve">31231490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</si>
  <si>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16004</t>
    </r>
  </si>
  <si>
    <t xml:space="preserve">31231491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</si>
  <si>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16006M  C3</t>
    </r>
  </si>
  <si>
    <t xml:space="preserve">31231492</t>
  </si>
  <si>
    <r>
      <rPr>
        <sz val="10"/>
        <rFont val="FreeSans"/>
        <family val="2"/>
      </rPr>
      <t xml:space="preserve">رولبرینگ سوزنی  </t>
    </r>
    <r>
      <rPr>
        <sz val="10"/>
        <rFont val="Vazirmatn"/>
        <family val="0"/>
        <charset val="1"/>
      </rPr>
      <t xml:space="preserve">RK 182213</t>
    </r>
  </si>
  <si>
    <t xml:space="preserve">31231494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</si>
  <si>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7202 B</t>
    </r>
  </si>
  <si>
    <t xml:space="preserve">31231495</t>
  </si>
  <si>
    <r>
      <rPr>
        <sz val="10"/>
        <rFont val="FreeSans"/>
        <family val="2"/>
      </rPr>
      <t xml:space="preserve">بلبرینگ       </t>
    </r>
    <r>
      <rPr>
        <sz val="10"/>
        <rFont val="Vazirmatn"/>
        <family val="0"/>
        <charset val="1"/>
      </rPr>
      <t xml:space="preserve">ZZ 61907   C3</t>
    </r>
  </si>
  <si>
    <t xml:space="preserve">31231497</t>
  </si>
  <si>
    <r>
      <rPr>
        <sz val="10"/>
        <rFont val="FreeSans"/>
        <family val="2"/>
      </rPr>
      <t xml:space="preserve">رولبرینگ   </t>
    </r>
    <r>
      <rPr>
        <sz val="10"/>
        <rFont val="Vazirmatn"/>
        <family val="0"/>
        <charset val="1"/>
      </rPr>
      <t xml:space="preserve">NUP 1007 M C3</t>
    </r>
  </si>
  <si>
    <t xml:space="preserve">31231498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</si>
  <si>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16012    ZZ</t>
    </r>
  </si>
  <si>
    <t xml:space="preserve">31231501</t>
  </si>
  <si>
    <r>
      <rPr>
        <sz val="10"/>
        <rFont val="FreeSans"/>
        <family val="2"/>
      </rPr>
      <t xml:space="preserve">بلبرینگ       </t>
    </r>
    <r>
      <rPr>
        <sz val="10"/>
        <rFont val="Vazirmatn"/>
        <family val="0"/>
        <charset val="1"/>
      </rPr>
      <t xml:space="preserve">7412 BM</t>
    </r>
  </si>
  <si>
    <t xml:space="preserve">31231503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</si>
  <si>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2210  M K</t>
    </r>
  </si>
  <si>
    <t xml:space="preserve">31231505</t>
  </si>
  <si>
    <r>
      <rPr>
        <sz val="10"/>
        <rFont val="FreeSans"/>
        <family val="2"/>
      </rPr>
      <t xml:space="preserve">رولبرینگ ثابت    </t>
    </r>
    <r>
      <rPr>
        <sz val="10"/>
        <rFont val="Vazirmatn"/>
        <family val="0"/>
        <charset val="1"/>
      </rPr>
      <t xml:space="preserve">SL 05036  EC  5S 1B</t>
    </r>
  </si>
  <si>
    <t xml:space="preserve">31231506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</si>
  <si>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23044     SKF</t>
    </r>
  </si>
  <si>
    <t xml:space="preserve">31231507</t>
  </si>
  <si>
    <r>
      <rPr>
        <sz val="10"/>
        <rFont val="FreeSans"/>
        <family val="2"/>
      </rPr>
      <t xml:space="preserve">بلبرینگ        </t>
    </r>
    <r>
      <rPr>
        <sz val="10"/>
        <rFont val="Vazirmatn"/>
        <family val="0"/>
        <charset val="1"/>
      </rPr>
      <t xml:space="preserve">c3  22218   KM</t>
    </r>
  </si>
  <si>
    <t xml:space="preserve">31231511</t>
  </si>
  <si>
    <r>
      <rPr>
        <sz val="10"/>
        <rFont val="FreeSans"/>
        <family val="2"/>
      </rPr>
      <t xml:space="preserve">بلبرینگ کف گرد    </t>
    </r>
    <r>
      <rPr>
        <sz val="10"/>
        <rFont val="Vazirmatn"/>
        <family val="0"/>
        <charset val="1"/>
      </rPr>
      <t xml:space="preserve">51328</t>
    </r>
  </si>
  <si>
    <t xml:space="preserve">31231514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</si>
  <si>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22208K C3</t>
    </r>
  </si>
  <si>
    <t xml:space="preserve">31231517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</si>
  <si>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22209          E</t>
    </r>
  </si>
  <si>
    <t xml:space="preserve">31231520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</si>
  <si>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CK        22211</t>
    </r>
  </si>
  <si>
    <t xml:space="preserve">31231527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</si>
  <si>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22217         E</t>
    </r>
  </si>
  <si>
    <t xml:space="preserve">31231529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</si>
  <si>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22218</t>
    </r>
  </si>
  <si>
    <t xml:space="preserve">31231532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</si>
  <si>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22220      </t>
    </r>
    <r>
      <rPr>
        <sz val="10"/>
        <rFont val="FreeSans"/>
        <family val="2"/>
      </rPr>
      <t xml:space="preserve">دوبله</t>
    </r>
  </si>
  <si>
    <t xml:space="preserve">31231533</t>
  </si>
  <si>
    <r>
      <rPr>
        <sz val="10"/>
        <rFont val="FreeSans"/>
        <family val="2"/>
      </rPr>
      <t xml:space="preserve">رولبرینگ     </t>
    </r>
    <r>
      <rPr>
        <sz val="10"/>
        <rFont val="Vazirmatn"/>
        <family val="0"/>
        <charset val="1"/>
      </rPr>
      <t xml:space="preserve">22214E</t>
    </r>
  </si>
  <si>
    <t xml:space="preserve">31231535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</si>
  <si>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22310       K</t>
    </r>
  </si>
  <si>
    <t xml:space="preserve">31231536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</si>
  <si>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22210  EK</t>
    </r>
  </si>
  <si>
    <t xml:space="preserve">31231537</t>
  </si>
  <si>
    <r>
      <rPr>
        <sz val="10"/>
        <rFont val="FreeSans"/>
        <family val="2"/>
      </rPr>
      <t xml:space="preserve">رولبرینگ     </t>
    </r>
    <r>
      <rPr>
        <sz val="10"/>
        <rFont val="Vazirmatn"/>
        <family val="0"/>
        <charset val="1"/>
      </rPr>
      <t xml:space="preserve">SKF   22207 K</t>
    </r>
  </si>
  <si>
    <t xml:space="preserve">31231538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</si>
  <si>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313 22         K</t>
    </r>
  </si>
  <si>
    <t xml:space="preserve">31231539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</si>
  <si>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CC      2 2313</t>
    </r>
  </si>
  <si>
    <t xml:space="preserve">31231540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</si>
  <si>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22312        JB</t>
    </r>
  </si>
  <si>
    <t xml:space="preserve">31231541</t>
  </si>
  <si>
    <r>
      <rPr>
        <sz val="10"/>
        <rFont val="FreeSans"/>
        <family val="2"/>
      </rPr>
      <t xml:space="preserve">رولبرینگ قفس برنجی  </t>
    </r>
    <r>
      <rPr>
        <sz val="10"/>
        <rFont val="Vazirmatn"/>
        <family val="0"/>
        <charset val="1"/>
      </rPr>
      <t xml:space="preserve">22320CA  C3</t>
    </r>
  </si>
  <si>
    <t xml:space="preserve">31231542</t>
  </si>
  <si>
    <r>
      <rPr>
        <sz val="10"/>
        <rFont val="FreeSans"/>
        <family val="2"/>
      </rPr>
      <t xml:space="preserve">بلرینگ           </t>
    </r>
    <r>
      <rPr>
        <sz val="10"/>
        <rFont val="Vazirmatn"/>
        <family val="0"/>
        <charset val="1"/>
      </rPr>
      <t xml:space="preserve">22320CA - C3</t>
    </r>
  </si>
  <si>
    <t xml:space="preserve">31231544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</si>
  <si>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22317       </t>
    </r>
    <r>
      <rPr>
        <sz val="10"/>
        <rFont val="FreeSans"/>
        <family val="2"/>
      </rPr>
      <t xml:space="preserve">دوبله</t>
    </r>
  </si>
  <si>
    <t xml:space="preserve">31231547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</si>
  <si>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30211</t>
    </r>
  </si>
  <si>
    <t xml:space="preserve">31231548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</si>
  <si>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23030       CC</t>
    </r>
  </si>
  <si>
    <t xml:space="preserve">31231557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</si>
  <si>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30215        ZZ</t>
    </r>
  </si>
  <si>
    <t xml:space="preserve">31231565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</si>
  <si>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30304</t>
    </r>
  </si>
  <si>
    <t xml:space="preserve">31231566</t>
  </si>
  <si>
    <r>
      <rPr>
        <sz val="10"/>
        <rFont val="FreeSans"/>
        <family val="2"/>
      </rPr>
      <t xml:space="preserve">رولبرینگ       </t>
    </r>
    <r>
      <rPr>
        <sz val="10"/>
        <rFont val="Vazirmatn"/>
        <family val="0"/>
        <charset val="1"/>
      </rPr>
      <t xml:space="preserve">NU     316       E</t>
    </r>
  </si>
  <si>
    <t xml:space="preserve">31231571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</si>
  <si>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30204</t>
    </r>
  </si>
  <si>
    <t xml:space="preserve">31231572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</si>
  <si>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30205</t>
    </r>
  </si>
  <si>
    <t xml:space="preserve">31231574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</si>
  <si>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30308</t>
    </r>
  </si>
  <si>
    <t xml:space="preserve">31231582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</si>
  <si>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32008</t>
    </r>
  </si>
  <si>
    <t xml:space="preserve">31231583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</si>
  <si>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32208</t>
    </r>
  </si>
  <si>
    <t xml:space="preserve">31231586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</si>
  <si>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32213</t>
    </r>
  </si>
  <si>
    <t xml:space="preserve">31231588</t>
  </si>
  <si>
    <r>
      <rPr>
        <sz val="10"/>
        <rFont val="FreeSans"/>
        <family val="2"/>
      </rPr>
      <t xml:space="preserve">رولبرینگ          </t>
    </r>
    <r>
      <rPr>
        <sz val="10"/>
        <rFont val="Vazirmatn"/>
        <family val="0"/>
        <charset val="1"/>
      </rPr>
      <t xml:space="preserve">32010X    skf</t>
    </r>
  </si>
  <si>
    <t xml:space="preserve">31231589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</si>
  <si>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32024         J</t>
    </r>
  </si>
  <si>
    <t xml:space="preserve">31231590</t>
  </si>
  <si>
    <r>
      <rPr>
        <sz val="10"/>
        <rFont val="FreeSans"/>
        <family val="2"/>
      </rPr>
      <t xml:space="preserve">رولبرینگ    </t>
    </r>
    <r>
      <rPr>
        <sz val="10"/>
        <rFont val="Vazirmatn"/>
        <family val="0"/>
        <charset val="1"/>
      </rPr>
      <t xml:space="preserve">32309</t>
    </r>
  </si>
  <si>
    <t xml:space="preserve">31231592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</si>
  <si>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32211     </t>
    </r>
    <r>
      <rPr>
        <sz val="10"/>
        <rFont val="FreeSans"/>
        <family val="2"/>
      </rPr>
      <t xml:space="preserve">کف گرد</t>
    </r>
  </si>
  <si>
    <t xml:space="preserve">31231593</t>
  </si>
  <si>
    <r>
      <rPr>
        <sz val="10"/>
        <rFont val="FreeSans"/>
        <family val="2"/>
      </rPr>
      <t xml:space="preserve">رولبرینگ مخروطی پرس روغن </t>
    </r>
    <r>
      <rPr>
        <sz val="10"/>
        <rFont val="Vazirmatn"/>
        <family val="0"/>
        <charset val="1"/>
      </rPr>
      <t xml:space="preserve">32220  1527-GOYUM-1500</t>
    </r>
  </si>
  <si>
    <t xml:space="preserve">31231596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</si>
  <si>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30310</t>
    </r>
  </si>
  <si>
    <t xml:space="preserve">31231597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</si>
  <si>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30306          J</t>
    </r>
  </si>
  <si>
    <t xml:space="preserve">31231600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</si>
  <si>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32313         A</t>
    </r>
  </si>
  <si>
    <t xml:space="preserve">31231601</t>
  </si>
  <si>
    <r>
      <rPr>
        <sz val="10"/>
        <rFont val="FreeSans"/>
        <family val="2"/>
      </rPr>
      <t xml:space="preserve">بلبرینگ           </t>
    </r>
    <r>
      <rPr>
        <sz val="10"/>
        <rFont val="Vazirmatn"/>
        <family val="0"/>
        <charset val="1"/>
      </rPr>
      <t xml:space="preserve">3316          A</t>
    </r>
  </si>
  <si>
    <t xml:space="preserve">31231602</t>
  </si>
  <si>
    <r>
      <rPr>
        <sz val="10"/>
        <rFont val="FreeSans"/>
        <family val="2"/>
      </rPr>
      <t xml:space="preserve">بلبرینگ مخروطی      </t>
    </r>
    <r>
      <rPr>
        <sz val="10"/>
        <rFont val="Vazirmatn"/>
        <family val="0"/>
        <charset val="1"/>
      </rPr>
      <t xml:space="preserve">32312</t>
    </r>
  </si>
  <si>
    <t xml:space="preserve">31231605</t>
  </si>
  <si>
    <r>
      <rPr>
        <sz val="10"/>
        <rFont val="FreeSans"/>
        <family val="2"/>
      </rPr>
      <t xml:space="preserve">رولبرینگ پرس روغن </t>
    </r>
    <r>
      <rPr>
        <sz val="10"/>
        <rFont val="Vazirmatn"/>
        <family val="0"/>
        <charset val="1"/>
      </rPr>
      <t xml:space="preserve">2219  1530-GOYUM-1500</t>
    </r>
  </si>
  <si>
    <t xml:space="preserve">31231607</t>
  </si>
  <si>
    <r>
      <rPr>
        <sz val="10"/>
        <rFont val="FreeSans"/>
        <family val="2"/>
      </rPr>
      <t xml:space="preserve">رولبرینگ       </t>
    </r>
    <r>
      <rPr>
        <sz val="10"/>
        <rFont val="Vazirmatn"/>
        <family val="0"/>
        <charset val="1"/>
      </rPr>
      <t xml:space="preserve">21312          C</t>
    </r>
  </si>
  <si>
    <t xml:space="preserve">31231614</t>
  </si>
  <si>
    <r>
      <rPr>
        <sz val="10"/>
        <rFont val="FreeSans"/>
        <family val="2"/>
      </rPr>
      <t xml:space="preserve">کف گرد      </t>
    </r>
    <r>
      <rPr>
        <sz val="10"/>
        <rFont val="Vazirmatn"/>
        <family val="0"/>
        <charset val="1"/>
      </rPr>
      <t xml:space="preserve">53230</t>
    </r>
  </si>
  <si>
    <t xml:space="preserve">31231616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</si>
  <si>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51118      </t>
    </r>
    <r>
      <rPr>
        <sz val="10"/>
        <rFont val="FreeSans"/>
        <family val="2"/>
      </rPr>
      <t xml:space="preserve">کف گرد</t>
    </r>
  </si>
  <si>
    <t xml:space="preserve">31231619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</si>
  <si>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51212          A     </t>
    </r>
    <r>
      <rPr>
        <sz val="10"/>
        <rFont val="FreeSans"/>
        <family val="2"/>
      </rPr>
      <t xml:space="preserve">کف گرد</t>
    </r>
  </si>
  <si>
    <t xml:space="preserve">31231621</t>
  </si>
  <si>
    <r>
      <rPr>
        <sz val="10"/>
        <rFont val="FreeSans"/>
        <family val="2"/>
      </rPr>
      <t xml:space="preserve">بلبرینگ کف گرد      </t>
    </r>
    <r>
      <rPr>
        <sz val="10"/>
        <rFont val="Vazirmatn"/>
        <family val="0"/>
        <charset val="1"/>
      </rPr>
      <t xml:space="preserve">51226</t>
    </r>
  </si>
  <si>
    <t xml:space="preserve">31231622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</si>
  <si>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51313      </t>
    </r>
    <r>
      <rPr>
        <sz val="10"/>
        <rFont val="FreeSans"/>
        <family val="2"/>
      </rPr>
      <t xml:space="preserve">کف گرد</t>
    </r>
  </si>
  <si>
    <t xml:space="preserve">31231625</t>
  </si>
  <si>
    <r>
      <rPr>
        <sz val="10"/>
        <rFont val="FreeSans"/>
        <family val="2"/>
      </rPr>
      <t xml:space="preserve">رولبرینگ      </t>
    </r>
    <r>
      <rPr>
        <sz val="10"/>
        <rFont val="Vazirmatn"/>
        <family val="0"/>
        <charset val="1"/>
      </rPr>
      <t xml:space="preserve">222110</t>
    </r>
  </si>
  <si>
    <t xml:space="preserve">31231634</t>
  </si>
  <si>
    <r>
      <rPr>
        <sz val="10"/>
        <rFont val="FreeSans"/>
        <family val="2"/>
      </rPr>
      <t xml:space="preserve">رولبرینگ     </t>
    </r>
    <r>
      <rPr>
        <sz val="10"/>
        <rFont val="Vazirmatn"/>
        <family val="0"/>
        <charset val="1"/>
      </rPr>
      <t xml:space="preserve">22240K - W33X</t>
    </r>
  </si>
  <si>
    <t xml:space="preserve">31231637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</si>
  <si>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61909</t>
    </r>
  </si>
  <si>
    <t xml:space="preserve">31231640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</si>
  <si>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K         22215</t>
    </r>
  </si>
  <si>
    <t xml:space="preserve">31231661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</si>
  <si>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53611</t>
    </r>
  </si>
  <si>
    <t xml:space="preserve">31231664</t>
  </si>
  <si>
    <r>
      <rPr>
        <sz val="10"/>
        <rFont val="FreeSans"/>
        <family val="2"/>
      </rPr>
      <t xml:space="preserve">بلبرینگ دوبل پایین آسیاب ایمپکت </t>
    </r>
    <r>
      <rPr>
        <sz val="10"/>
        <rFont val="Vazirmatn"/>
        <family val="0"/>
        <charset val="1"/>
      </rPr>
      <t xml:space="preserve">8315 ( 002121-021 )</t>
    </r>
  </si>
  <si>
    <t xml:space="preserve">31231672</t>
  </si>
  <si>
    <r>
      <rPr>
        <sz val="10"/>
        <rFont val="FreeSans"/>
        <family val="2"/>
      </rPr>
      <t xml:space="preserve">بلبرینگ             </t>
    </r>
    <r>
      <rPr>
        <sz val="10"/>
        <rFont val="Vazirmatn"/>
        <family val="0"/>
        <charset val="1"/>
      </rPr>
      <t xml:space="preserve">NU        414</t>
    </r>
  </si>
  <si>
    <t xml:space="preserve">31231673</t>
  </si>
  <si>
    <r>
      <rPr>
        <sz val="10"/>
        <rFont val="FreeSans"/>
        <family val="2"/>
      </rPr>
      <t xml:space="preserve">بلیرینگ          </t>
    </r>
    <r>
      <rPr>
        <sz val="10"/>
        <rFont val="Vazirmatn"/>
        <family val="0"/>
        <charset val="1"/>
      </rPr>
      <t xml:space="preserve">62306</t>
    </r>
  </si>
  <si>
    <t xml:space="preserve">31231674</t>
  </si>
  <si>
    <r>
      <rPr>
        <sz val="10"/>
        <rFont val="FreeSans"/>
        <family val="2"/>
      </rPr>
      <t xml:space="preserve">بلبرینگ         </t>
    </r>
    <r>
      <rPr>
        <sz val="10"/>
        <rFont val="Vazirmatn"/>
        <family val="0"/>
        <charset val="1"/>
      </rPr>
      <t xml:space="preserve">62308        RS</t>
    </r>
  </si>
  <si>
    <t xml:space="preserve">31231677</t>
  </si>
  <si>
    <r>
      <rPr>
        <sz val="10"/>
        <rFont val="FreeSans"/>
        <family val="2"/>
      </rPr>
      <t xml:space="preserve">بلبرینگ   شفت  مرکزی  درام  شربت   </t>
    </r>
    <r>
      <rPr>
        <sz val="10"/>
        <rFont val="Vazirmatn"/>
        <family val="0"/>
        <charset val="1"/>
      </rPr>
      <t xml:space="preserve">1056</t>
    </r>
  </si>
  <si>
    <t xml:space="preserve">31231679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</si>
  <si>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21322</t>
    </r>
  </si>
  <si>
    <t xml:space="preserve">31231680</t>
  </si>
  <si>
    <r>
      <rPr>
        <sz val="10"/>
        <rFont val="FreeSans"/>
        <family val="2"/>
      </rPr>
      <t xml:space="preserve">رولبرینگ          </t>
    </r>
    <r>
      <rPr>
        <sz val="10"/>
        <rFont val="Vazirmatn"/>
        <family val="0"/>
        <charset val="1"/>
      </rPr>
      <t xml:space="preserve">1211          k</t>
    </r>
  </si>
  <si>
    <t xml:space="preserve">31231681</t>
  </si>
  <si>
    <r>
      <rPr>
        <sz val="10"/>
        <rFont val="FreeSans"/>
        <family val="2"/>
      </rPr>
      <t xml:space="preserve">رولبرینگ     </t>
    </r>
    <r>
      <rPr>
        <sz val="10"/>
        <rFont val="Vazirmatn"/>
        <family val="0"/>
        <charset val="1"/>
      </rPr>
      <t xml:space="preserve">22219</t>
    </r>
  </si>
  <si>
    <t xml:space="preserve">31231687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</si>
  <si>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29418</t>
    </r>
  </si>
  <si>
    <t xml:space="preserve">31231689</t>
  </si>
  <si>
    <r>
      <rPr>
        <sz val="10"/>
        <rFont val="FreeSans"/>
        <family val="2"/>
      </rPr>
      <t xml:space="preserve">بلبرینگ             </t>
    </r>
    <r>
      <rPr>
        <sz val="10"/>
        <rFont val="Vazirmatn"/>
        <family val="0"/>
        <charset val="1"/>
      </rPr>
      <t xml:space="preserve">200        UE</t>
    </r>
  </si>
  <si>
    <t xml:space="preserve">31231691</t>
  </si>
  <si>
    <r>
      <rPr>
        <sz val="10"/>
        <rFont val="FreeSans"/>
        <family val="2"/>
      </rPr>
      <t xml:space="preserve">بلبرینگ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کف گرد </t>
    </r>
    <r>
      <rPr>
        <sz val="10"/>
        <rFont val="Vazirmatn"/>
        <family val="0"/>
        <charset val="1"/>
      </rPr>
      <t xml:space="preserve">)  51206X</t>
    </r>
  </si>
  <si>
    <t xml:space="preserve">31231692</t>
  </si>
  <si>
    <r>
      <rPr>
        <sz val="10"/>
        <rFont val="FreeSans"/>
        <family val="2"/>
      </rPr>
      <t xml:space="preserve">بلبرینگ       یاطاقان         </t>
    </r>
    <r>
      <rPr>
        <sz val="10"/>
        <rFont val="Vazirmatn"/>
        <family val="0"/>
        <charset val="1"/>
      </rPr>
      <t xml:space="preserve">29414</t>
    </r>
  </si>
  <si>
    <t xml:space="preserve">31231694</t>
  </si>
  <si>
    <r>
      <rPr>
        <sz val="10"/>
        <rFont val="FreeSans"/>
        <family val="2"/>
      </rPr>
      <t xml:space="preserve">بلبرینگ        </t>
    </r>
    <r>
      <rPr>
        <sz val="10"/>
        <rFont val="Vazirmatn"/>
        <family val="0"/>
        <charset val="1"/>
      </rPr>
      <t xml:space="preserve">231308</t>
    </r>
  </si>
  <si>
    <t xml:space="preserve">31231695</t>
  </si>
  <si>
    <r>
      <rPr>
        <sz val="10"/>
        <rFont val="FreeSans"/>
        <family val="2"/>
      </rPr>
      <t xml:space="preserve">بلبرینگ      </t>
    </r>
    <r>
      <rPr>
        <sz val="10"/>
        <rFont val="Vazirmatn"/>
        <family val="0"/>
        <charset val="1"/>
      </rPr>
      <t xml:space="preserve">NU 216  E</t>
    </r>
  </si>
  <si>
    <t xml:space="preserve">31231697</t>
  </si>
  <si>
    <r>
      <rPr>
        <sz val="10"/>
        <rFont val="FreeSans"/>
        <family val="2"/>
      </rPr>
      <t xml:space="preserve">بلبرینگ          </t>
    </r>
    <r>
      <rPr>
        <sz val="10"/>
        <rFont val="Vazirmatn"/>
        <family val="0"/>
        <charset val="1"/>
      </rPr>
      <t xml:space="preserve">33134     FAG</t>
    </r>
  </si>
  <si>
    <t xml:space="preserve">31231698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</si>
  <si>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22210       CC</t>
    </r>
  </si>
  <si>
    <t xml:space="preserve">31231700</t>
  </si>
  <si>
    <r>
      <rPr>
        <sz val="10"/>
        <rFont val="FreeSans"/>
        <family val="2"/>
      </rPr>
      <t xml:space="preserve">رولبرینگ        </t>
    </r>
    <r>
      <rPr>
        <sz val="10"/>
        <rFont val="Vazirmatn"/>
        <family val="0"/>
        <charset val="1"/>
      </rPr>
      <t xml:space="preserve">22222        EX     </t>
    </r>
    <r>
      <rPr>
        <sz val="10"/>
        <rFont val="FreeSans"/>
        <family val="2"/>
      </rPr>
      <t xml:space="preserve">دوطرفه</t>
    </r>
  </si>
  <si>
    <t xml:space="preserve">31231726</t>
  </si>
  <si>
    <r>
      <rPr>
        <sz val="10"/>
        <rFont val="FreeSans"/>
        <family val="2"/>
      </rPr>
      <t xml:space="preserve">بلبرینگ      یاطاقان      </t>
    </r>
    <r>
      <rPr>
        <sz val="10"/>
        <rFont val="Vazirmatn"/>
        <family val="0"/>
        <charset val="1"/>
      </rPr>
      <t xml:space="preserve">22222</t>
    </r>
  </si>
  <si>
    <t xml:space="preserve">31231770</t>
  </si>
  <si>
    <r>
      <rPr>
        <sz val="10"/>
        <rFont val="FreeSans"/>
        <family val="2"/>
      </rPr>
      <t xml:space="preserve">بلبرینگ  </t>
    </r>
    <r>
      <rPr>
        <sz val="10"/>
        <rFont val="Vazirmatn"/>
        <family val="0"/>
        <charset val="1"/>
      </rPr>
      <t xml:space="preserve">2305     *</t>
    </r>
  </si>
  <si>
    <t xml:space="preserve">31231800</t>
  </si>
  <si>
    <r>
      <rPr>
        <sz val="10"/>
        <rFont val="FreeSans"/>
        <family val="2"/>
      </rPr>
      <t xml:space="preserve">رولبرینگ          </t>
    </r>
    <r>
      <rPr>
        <sz val="10"/>
        <rFont val="Vazirmatn"/>
        <family val="0"/>
        <charset val="1"/>
      </rPr>
      <t xml:space="preserve">2308        </t>
    </r>
    <r>
      <rPr>
        <sz val="10"/>
        <rFont val="FreeSans"/>
        <family val="2"/>
      </rPr>
      <t xml:space="preserve">ساچمه ای</t>
    </r>
  </si>
  <si>
    <t xml:space="preserve">31231801</t>
  </si>
  <si>
    <r>
      <rPr>
        <sz val="10"/>
        <rFont val="FreeSans"/>
        <family val="2"/>
      </rPr>
      <t xml:space="preserve">رولبرینگ          </t>
    </r>
    <r>
      <rPr>
        <sz val="10"/>
        <rFont val="Vazirmatn"/>
        <family val="0"/>
        <charset val="1"/>
      </rPr>
      <t xml:space="preserve">K         1210   </t>
    </r>
    <r>
      <rPr>
        <sz val="10"/>
        <rFont val="FreeSans"/>
        <family val="2"/>
      </rPr>
      <t xml:space="preserve">ساچمه ای</t>
    </r>
  </si>
  <si>
    <t xml:space="preserve">31231805</t>
  </si>
  <si>
    <r>
      <rPr>
        <sz val="10"/>
        <rFont val="FreeSans"/>
        <family val="2"/>
      </rPr>
      <t xml:space="preserve">رولبرینگ   </t>
    </r>
    <r>
      <rPr>
        <sz val="10"/>
        <rFont val="Vazirmatn"/>
        <family val="0"/>
        <charset val="1"/>
      </rPr>
      <t xml:space="preserve">RHRW33  22313  C3</t>
    </r>
  </si>
  <si>
    <t xml:space="preserve">31231870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</si>
  <si>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215       UC</t>
    </r>
  </si>
  <si>
    <t xml:space="preserve">31231871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</si>
  <si>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208       UC</t>
    </r>
  </si>
  <si>
    <t xml:space="preserve">31231872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</si>
  <si>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209        uc</t>
    </r>
  </si>
  <si>
    <t xml:space="preserve">31231873</t>
  </si>
  <si>
    <r>
      <rPr>
        <sz val="10"/>
        <rFont val="FreeSans"/>
        <family val="2"/>
      </rPr>
      <t xml:space="preserve">بلبرینگ              </t>
    </r>
    <r>
      <rPr>
        <sz val="10"/>
        <rFont val="Vazirmatn"/>
        <family val="0"/>
        <charset val="1"/>
      </rPr>
      <t xml:space="preserve">206         C</t>
    </r>
  </si>
  <si>
    <t xml:space="preserve">31231902</t>
  </si>
  <si>
    <r>
      <rPr>
        <sz val="10"/>
        <rFont val="FreeSans"/>
        <family val="2"/>
      </rPr>
      <t xml:space="preserve">بلبرینگ یاتاقان دکانتور  </t>
    </r>
    <r>
      <rPr>
        <sz val="10"/>
        <rFont val="Vazirmatn"/>
        <family val="0"/>
        <charset val="1"/>
      </rPr>
      <t xml:space="preserve">080 - 6131 - 8417</t>
    </r>
  </si>
  <si>
    <t xml:space="preserve">31231903</t>
  </si>
  <si>
    <r>
      <rPr>
        <sz val="10"/>
        <rFont val="FreeSans"/>
        <family val="2"/>
      </rPr>
      <t xml:space="preserve">بلبرینگ شیاردار دکانتور  </t>
    </r>
    <r>
      <rPr>
        <sz val="10"/>
        <rFont val="Vazirmatn"/>
        <family val="0"/>
        <charset val="1"/>
      </rPr>
      <t xml:space="preserve">870 - 6226 - 0011</t>
    </r>
  </si>
  <si>
    <t xml:space="preserve">31231904</t>
  </si>
  <si>
    <r>
      <rPr>
        <sz val="10"/>
        <rFont val="FreeSans"/>
        <family val="2"/>
      </rPr>
      <t xml:space="preserve">بلبرینگ یاتاقان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هوزینگ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دکانتور  </t>
    </r>
    <r>
      <rPr>
        <sz val="10"/>
        <rFont val="Vazirmatn"/>
        <family val="0"/>
        <charset val="1"/>
      </rPr>
      <t xml:space="preserve">040 - 6131 - 8417</t>
    </r>
  </si>
  <si>
    <t xml:space="preserve">31232005</t>
  </si>
  <si>
    <r>
      <rPr>
        <sz val="10"/>
        <rFont val="FreeSans"/>
        <family val="2"/>
      </rPr>
      <t xml:space="preserve">بوشن استیل دنده ای     </t>
    </r>
    <r>
      <rPr>
        <sz val="10"/>
        <rFont val="Vazirmatn"/>
        <family val="0"/>
        <charset val="1"/>
      </rPr>
      <t xml:space="preserve">"4</t>
    </r>
  </si>
  <si>
    <t xml:space="preserve">31232017</t>
  </si>
  <si>
    <r>
      <rPr>
        <sz val="10"/>
        <rFont val="FreeSans"/>
        <family val="2"/>
      </rPr>
      <t xml:space="preserve">بوشن پلیکا  </t>
    </r>
    <r>
      <rPr>
        <sz val="10"/>
        <rFont val="Vazirmatn"/>
        <family val="0"/>
        <charset val="1"/>
      </rPr>
      <t xml:space="preserve">"2</t>
    </r>
  </si>
  <si>
    <t xml:space="preserve">31232018</t>
  </si>
  <si>
    <r>
      <rPr>
        <sz val="10"/>
        <rFont val="FreeSans"/>
        <family val="2"/>
      </rPr>
      <t xml:space="preserve">بوشن </t>
    </r>
    <r>
      <rPr>
        <sz val="10"/>
        <rFont val="Vazirmatn"/>
        <family val="0"/>
        <charset val="1"/>
      </rPr>
      <t xml:space="preserve">"  1   CPVC</t>
    </r>
  </si>
  <si>
    <t xml:space="preserve">31232019</t>
  </si>
  <si>
    <t xml:space="preserve">بوش لنگ گیربکس لغزشی متوسط نشاسته اکسید</t>
  </si>
  <si>
    <t xml:space="preserve">31232021</t>
  </si>
  <si>
    <r>
      <rPr>
        <sz val="10"/>
        <rFont val="FreeSans"/>
        <family val="2"/>
      </rPr>
      <t xml:space="preserve">بوشن </t>
    </r>
    <r>
      <rPr>
        <sz val="10"/>
        <rFont val="Vazirmatn"/>
        <family val="0"/>
        <charset val="1"/>
      </rPr>
      <t xml:space="preserve">" 3/4   ( ABS )</t>
    </r>
  </si>
  <si>
    <t xml:space="preserve">31232022</t>
  </si>
  <si>
    <r>
      <rPr>
        <sz val="10"/>
        <rFont val="FreeSans"/>
        <family val="2"/>
      </rPr>
      <t xml:space="preserve">بوشن </t>
    </r>
    <r>
      <rPr>
        <sz val="10"/>
        <rFont val="Vazirmatn"/>
        <family val="0"/>
        <charset val="1"/>
      </rPr>
      <t xml:space="preserve">" 1    ( ABS )</t>
    </r>
  </si>
  <si>
    <t xml:space="preserve">31232023</t>
  </si>
  <si>
    <r>
      <rPr>
        <sz val="10"/>
        <rFont val="FreeSans"/>
        <family val="2"/>
      </rPr>
      <t xml:space="preserve">بوشن </t>
    </r>
    <r>
      <rPr>
        <sz val="10"/>
        <rFont val="Vazirmatn"/>
        <family val="0"/>
        <charset val="1"/>
      </rPr>
      <t xml:space="preserve">" 2    ( ABS )</t>
    </r>
  </si>
  <si>
    <t xml:space="preserve">31232024</t>
  </si>
  <si>
    <r>
      <rPr>
        <sz val="10"/>
        <rFont val="FreeSans"/>
        <family val="2"/>
      </rPr>
      <t xml:space="preserve">بوشن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   ( ABS )</t>
    </r>
  </si>
  <si>
    <t xml:space="preserve">31232025</t>
  </si>
  <si>
    <r>
      <rPr>
        <sz val="10"/>
        <rFont val="FreeSans"/>
        <family val="2"/>
      </rPr>
      <t xml:space="preserve">بوشن </t>
    </r>
    <r>
      <rPr>
        <sz val="10"/>
        <rFont val="Vazirmatn"/>
        <family val="0"/>
        <charset val="1"/>
      </rPr>
      <t xml:space="preserve">" 3    ( ABS )</t>
    </r>
  </si>
  <si>
    <t xml:space="preserve">31232026</t>
  </si>
  <si>
    <r>
      <rPr>
        <sz val="10"/>
        <rFont val="FreeSans"/>
        <family val="2"/>
      </rPr>
      <t xml:space="preserve">بوشن </t>
    </r>
    <r>
      <rPr>
        <sz val="10"/>
        <rFont val="Vazirmatn"/>
        <family val="0"/>
        <charset val="1"/>
      </rPr>
      <t xml:space="preserve">" 4    ( ABS )</t>
    </r>
  </si>
  <si>
    <t xml:space="preserve">31232028</t>
  </si>
  <si>
    <r>
      <rPr>
        <sz val="10"/>
        <rFont val="FreeSans"/>
        <family val="2"/>
      </rPr>
      <t xml:space="preserve">بوشن </t>
    </r>
    <r>
      <rPr>
        <sz val="10"/>
        <rFont val="Vazirmatn"/>
        <family val="0"/>
        <charset val="1"/>
      </rPr>
      <t xml:space="preserve">" 1/2    ( ABS )</t>
    </r>
  </si>
  <si>
    <t xml:space="preserve">31232037</t>
  </si>
  <si>
    <r>
      <rPr>
        <sz val="10"/>
        <rFont val="FreeSans"/>
        <family val="2"/>
      </rPr>
      <t xml:space="preserve">بوشن آذین ساده          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</si>
  <si>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31232044</t>
  </si>
  <si>
    <t xml:space="preserve">بوش اسلیو استیل کلگی پرس جرم</t>
  </si>
  <si>
    <t xml:space="preserve">31232045</t>
  </si>
  <si>
    <r>
      <rPr>
        <sz val="10"/>
        <rFont val="FreeSans"/>
        <family val="2"/>
      </rPr>
      <t xml:space="preserve">بوش  گالوانیزه دنده ای                </t>
    </r>
    <r>
      <rPr>
        <sz val="10"/>
        <rFont val="Vazirmatn"/>
        <family val="0"/>
        <charset val="1"/>
      </rPr>
      <t xml:space="preserve">" 1/2</t>
    </r>
  </si>
  <si>
    <t xml:space="preserve">31232048</t>
  </si>
  <si>
    <r>
      <rPr>
        <sz val="10"/>
        <rFont val="FreeSans"/>
        <family val="2"/>
      </rPr>
      <t xml:space="preserve">بوش دنده ای سیاه                </t>
    </r>
    <r>
      <rPr>
        <sz val="10"/>
        <rFont val="Vazirmatn"/>
        <family val="0"/>
        <charset val="1"/>
      </rPr>
      <t xml:space="preserve">" 2</t>
    </r>
  </si>
  <si>
    <t xml:space="preserve">31232049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</si>
  <si>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IHD 80- 50- 400</t>
    </r>
  </si>
  <si>
    <t xml:space="preserve">31232050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</si>
  <si>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IHD125-80-250</t>
    </r>
  </si>
  <si>
    <t xml:space="preserve">31232051</t>
  </si>
  <si>
    <r>
      <rPr>
        <sz val="10"/>
        <rFont val="FreeSans"/>
        <family val="2"/>
      </rPr>
      <t xml:space="preserve">بوشن ساده آذین           </t>
    </r>
    <r>
      <rPr>
        <sz val="10"/>
        <rFont val="Vazirmatn"/>
        <family val="0"/>
        <charset val="1"/>
      </rPr>
      <t xml:space="preserve">"3/4</t>
    </r>
  </si>
  <si>
    <t xml:space="preserve">31232052</t>
  </si>
  <si>
    <r>
      <rPr>
        <sz val="10"/>
        <rFont val="FreeSans"/>
        <family val="2"/>
      </rPr>
      <t xml:space="preserve">بوشن ساده آذین                   </t>
    </r>
    <r>
      <rPr>
        <sz val="10"/>
        <rFont val="Vazirmatn"/>
        <family val="0"/>
        <charset val="1"/>
      </rPr>
      <t xml:space="preserve">" 1</t>
    </r>
  </si>
  <si>
    <t xml:space="preserve">31232056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</si>
  <si>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250 - 65 - IHD:100</t>
    </r>
  </si>
  <si>
    <t xml:space="preserve">31232059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</si>
  <si>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IHD 125 - 80 - 200</t>
    </r>
  </si>
  <si>
    <t xml:space="preserve">31232060</t>
  </si>
  <si>
    <r>
      <rPr>
        <sz val="10"/>
        <rFont val="FreeSans"/>
        <family val="2"/>
      </rPr>
      <t xml:space="preserve">بوش اسلیو      </t>
    </r>
    <r>
      <rPr>
        <sz val="10"/>
        <rFont val="Vazirmatn"/>
        <family val="0"/>
        <charset val="1"/>
      </rPr>
      <t xml:space="preserve">250 * 40 * 65</t>
    </r>
  </si>
  <si>
    <t xml:space="preserve">31232061</t>
  </si>
  <si>
    <r>
      <rPr>
        <sz val="10"/>
        <rFont val="FreeSans"/>
        <family val="2"/>
      </rPr>
      <t xml:space="preserve">بوش اسلیو پمپ </t>
    </r>
    <r>
      <rPr>
        <sz val="10"/>
        <rFont val="Vazirmatn"/>
        <family val="0"/>
        <charset val="1"/>
      </rPr>
      <t xml:space="preserve">200 * 65 * 80</t>
    </r>
  </si>
  <si>
    <t xml:space="preserve">31232062</t>
  </si>
  <si>
    <r>
      <rPr>
        <sz val="10"/>
        <rFont val="FreeSans"/>
        <family val="2"/>
      </rPr>
      <t xml:space="preserve">بوش کونیک </t>
    </r>
    <r>
      <rPr>
        <sz val="10"/>
        <rFont val="Vazirmatn"/>
        <family val="0"/>
        <charset val="1"/>
      </rPr>
      <t xml:space="preserve">-  </t>
    </r>
    <r>
      <rPr>
        <sz val="10"/>
        <rFont val="FreeSans"/>
        <family val="2"/>
      </rPr>
      <t xml:space="preserve">پرس روغن کوچک</t>
    </r>
  </si>
  <si>
    <t xml:space="preserve">31232063</t>
  </si>
  <si>
    <r>
      <rPr>
        <sz val="10"/>
        <rFont val="FreeSans"/>
        <family val="2"/>
      </rPr>
      <t xml:space="preserve">بوش کونیک </t>
    </r>
    <r>
      <rPr>
        <sz val="10"/>
        <rFont val="Vazirmatn"/>
        <family val="0"/>
        <charset val="1"/>
      </rPr>
      <t xml:space="preserve">-  </t>
    </r>
    <r>
      <rPr>
        <sz val="10"/>
        <rFont val="FreeSans"/>
        <family val="2"/>
      </rPr>
      <t xml:space="preserve">پرس روغن بزرگ</t>
    </r>
  </si>
  <si>
    <t xml:space="preserve">31232065</t>
  </si>
  <si>
    <r>
      <rPr>
        <sz val="10"/>
        <rFont val="FreeSans"/>
        <family val="2"/>
      </rPr>
      <t xml:space="preserve">بوش کونیک </t>
    </r>
    <r>
      <rPr>
        <sz val="10"/>
        <rFont val="Vazirmatn"/>
        <family val="0"/>
        <charset val="1"/>
      </rPr>
      <t xml:space="preserve">-   </t>
    </r>
    <r>
      <rPr>
        <sz val="10"/>
        <rFont val="FreeSans"/>
        <family val="2"/>
      </rPr>
      <t xml:space="preserve">پرس روغن کوچک</t>
    </r>
  </si>
  <si>
    <t xml:space="preserve">31232068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</si>
  <si>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200 - 65 - 100 IHD</t>
    </r>
  </si>
  <si>
    <t xml:space="preserve">31232071</t>
  </si>
  <si>
    <r>
      <rPr>
        <sz val="10"/>
        <rFont val="FreeSans"/>
        <family val="2"/>
      </rPr>
      <t xml:space="preserve">بوش اسلیو </t>
    </r>
    <r>
      <rPr>
        <sz val="10"/>
        <rFont val="Vazirmatn"/>
        <family val="0"/>
        <charset val="1"/>
      </rPr>
      <t xml:space="preserve">	IHD100-65-450</t>
    </r>
  </si>
  <si>
    <t xml:space="preserve">31232073</t>
  </si>
  <si>
    <r>
      <rPr>
        <sz val="10"/>
        <rFont val="FreeSans"/>
        <family val="2"/>
      </rPr>
      <t xml:space="preserve">بوش اسلیو </t>
    </r>
    <r>
      <rPr>
        <sz val="10"/>
        <rFont val="Vazirmatn"/>
        <family val="0"/>
        <charset val="1"/>
      </rPr>
      <t xml:space="preserve">IHD125-100-400</t>
    </r>
  </si>
  <si>
    <t xml:space="preserve">31232074</t>
  </si>
  <si>
    <r>
      <rPr>
        <sz val="10"/>
        <rFont val="FreeSans"/>
        <family val="2"/>
      </rPr>
      <t xml:space="preserve">بوش اسلیو </t>
    </r>
    <r>
      <rPr>
        <sz val="10"/>
        <rFont val="Vazirmatn"/>
        <family val="0"/>
        <charset val="1"/>
      </rPr>
      <t xml:space="preserve">IHD50-32-200</t>
    </r>
  </si>
  <si>
    <t xml:space="preserve">31232076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</si>
  <si>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IHF80-65-160</t>
    </r>
  </si>
  <si>
    <t xml:space="preserve">31232077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</si>
  <si>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KHZ100-65-250</t>
    </r>
  </si>
  <si>
    <t xml:space="preserve">31232078</t>
  </si>
  <si>
    <r>
      <rPr>
        <sz val="10"/>
        <rFont val="FreeSans"/>
        <family val="2"/>
      </rPr>
      <t xml:space="preserve">بوش اسلیو پمپ </t>
    </r>
    <r>
      <rPr>
        <sz val="10"/>
        <rFont val="Vazirmatn"/>
        <family val="0"/>
        <charset val="1"/>
      </rPr>
      <t xml:space="preserve">KHZ65-50-160</t>
    </r>
  </si>
  <si>
    <t xml:space="preserve">31232080</t>
  </si>
  <si>
    <r>
      <rPr>
        <sz val="10"/>
        <rFont val="FreeSans"/>
        <family val="2"/>
      </rPr>
      <t xml:space="preserve">بوش اسلیو </t>
    </r>
    <r>
      <rPr>
        <sz val="10"/>
        <rFont val="Vazirmatn"/>
        <family val="0"/>
        <charset val="1"/>
      </rPr>
      <t xml:space="preserve">KHZ65-50-200</t>
    </r>
  </si>
  <si>
    <t xml:space="preserve">31232081</t>
  </si>
  <si>
    <r>
      <rPr>
        <sz val="10"/>
        <rFont val="FreeSans"/>
        <family val="2"/>
      </rPr>
      <t xml:space="preserve">بوش اسلیو </t>
    </r>
    <r>
      <rPr>
        <sz val="10"/>
        <rFont val="Vazirmatn"/>
        <family val="0"/>
        <charset val="1"/>
      </rPr>
      <t xml:space="preserve">KHZ80-65-200</t>
    </r>
  </si>
  <si>
    <t xml:space="preserve">31232082</t>
  </si>
  <si>
    <r>
      <rPr>
        <sz val="10"/>
        <rFont val="FreeSans"/>
        <family val="2"/>
      </rPr>
      <t xml:space="preserve">بوش اسلیو </t>
    </r>
    <r>
      <rPr>
        <sz val="10"/>
        <rFont val="Vazirmatn"/>
        <family val="0"/>
        <charset val="1"/>
      </rPr>
      <t xml:space="preserve">KHZ80-65-250</t>
    </r>
  </si>
  <si>
    <t xml:space="preserve">31232083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</si>
  <si>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KHZ100-65-315</t>
    </r>
  </si>
  <si>
    <t xml:space="preserve">31232084</t>
  </si>
  <si>
    <r>
      <rPr>
        <sz val="10"/>
        <rFont val="FreeSans"/>
        <family val="2"/>
      </rPr>
      <t xml:space="preserve">بوش   اسلیو         </t>
    </r>
    <r>
      <rPr>
        <sz val="10"/>
        <rFont val="Vazirmatn"/>
        <family val="0"/>
        <charset val="1"/>
      </rPr>
      <t xml:space="preserve">CDL20-14FSWP</t>
    </r>
  </si>
  <si>
    <t xml:space="preserve">31232085</t>
  </si>
  <si>
    <r>
      <rPr>
        <sz val="10"/>
        <rFont val="FreeSans"/>
        <family val="2"/>
      </rPr>
      <t xml:space="preserve">بوش اسلیو پمپ طبقاتی  </t>
    </r>
    <r>
      <rPr>
        <sz val="10"/>
        <rFont val="Vazirmatn"/>
        <family val="0"/>
        <charset val="1"/>
      </rPr>
      <t xml:space="preserve">CDL32-30FSWP</t>
    </r>
  </si>
  <si>
    <t xml:space="preserve">31232088</t>
  </si>
  <si>
    <r>
      <rPr>
        <sz val="10"/>
        <rFont val="FreeSans"/>
        <family val="2"/>
      </rPr>
      <t xml:space="preserve">بوش اسلیو استیل  </t>
    </r>
    <r>
      <rPr>
        <sz val="10"/>
        <rFont val="Vazirmatn"/>
        <family val="0"/>
        <charset val="1"/>
      </rPr>
      <t xml:space="preserve">250 - 65 - 80 IHD</t>
    </r>
  </si>
  <si>
    <t xml:space="preserve">31232089</t>
  </si>
  <si>
    <r>
      <rPr>
        <sz val="10"/>
        <rFont val="FreeSans"/>
        <family val="2"/>
      </rPr>
      <t xml:space="preserve">بوش اسلیو استیل  </t>
    </r>
    <r>
      <rPr>
        <sz val="10"/>
        <rFont val="Vazirmatn"/>
        <family val="0"/>
        <charset val="1"/>
      </rPr>
      <t xml:space="preserve">250 - 50 - 65 :IHD</t>
    </r>
  </si>
  <si>
    <t xml:space="preserve">31232090</t>
  </si>
  <si>
    <r>
      <rPr>
        <sz val="10"/>
        <rFont val="FreeSans"/>
        <family val="2"/>
      </rPr>
      <t xml:space="preserve">بوش اسلیو استیل  </t>
    </r>
    <r>
      <rPr>
        <sz val="10"/>
        <rFont val="Vazirmatn"/>
        <family val="0"/>
        <charset val="1"/>
      </rPr>
      <t xml:space="preserve">200 - 65 - 80 IHD</t>
    </r>
  </si>
  <si>
    <t xml:space="preserve">31232091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</si>
  <si>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125 - 65 - 80 IHD</t>
    </r>
  </si>
  <si>
    <t xml:space="preserve">31232092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</si>
  <si>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200 - 50 - 65 IHD</t>
    </r>
  </si>
  <si>
    <t xml:space="preserve">31232093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</si>
  <si>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160 - 50 - 65 IHD</t>
    </r>
  </si>
  <si>
    <t xml:space="preserve">31232094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</si>
  <si>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125 - 50 - 65 IHD</t>
    </r>
  </si>
  <si>
    <t xml:space="preserve">31232095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</si>
  <si>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125 - 32 - 50 IHD</t>
    </r>
  </si>
  <si>
    <t xml:space="preserve">31232096</t>
  </si>
  <si>
    <r>
      <rPr>
        <sz val="10"/>
        <rFont val="FreeSans"/>
        <family val="2"/>
      </rPr>
      <t xml:space="preserve">بوش اسلیو پمپ ایران      </t>
    </r>
    <r>
      <rPr>
        <sz val="10"/>
        <rFont val="Vazirmatn"/>
        <family val="0"/>
        <charset val="1"/>
      </rPr>
      <t xml:space="preserve">200-50</t>
    </r>
  </si>
  <si>
    <t xml:space="preserve">31232097</t>
  </si>
  <si>
    <r>
      <rPr>
        <sz val="10"/>
        <rFont val="FreeSans"/>
        <family val="2"/>
      </rPr>
      <t xml:space="preserve">بوش اسلیو پمپ ایران         </t>
    </r>
    <r>
      <rPr>
        <sz val="10"/>
        <rFont val="Vazirmatn"/>
        <family val="0"/>
        <charset val="1"/>
      </rPr>
      <t xml:space="preserve">315-65</t>
    </r>
  </si>
  <si>
    <t xml:space="preserve">31232098</t>
  </si>
  <si>
    <r>
      <rPr>
        <sz val="10"/>
        <rFont val="FreeSans"/>
        <family val="2"/>
      </rPr>
      <t xml:space="preserve">بوش اسلیو پمپ ایران      </t>
    </r>
    <r>
      <rPr>
        <sz val="10"/>
        <rFont val="Vazirmatn"/>
        <family val="0"/>
        <charset val="1"/>
      </rPr>
      <t xml:space="preserve">160-50</t>
    </r>
  </si>
  <si>
    <t xml:space="preserve">31232099</t>
  </si>
  <si>
    <r>
      <rPr>
        <sz val="10"/>
        <rFont val="FreeSans"/>
        <family val="2"/>
      </rPr>
      <t xml:space="preserve">بوش اسلیو استیل شفت پمپ ایران  </t>
    </r>
    <r>
      <rPr>
        <sz val="10"/>
        <rFont val="Vazirmatn"/>
        <family val="0"/>
        <charset val="1"/>
      </rPr>
      <t xml:space="preserve">200 - 65</t>
    </r>
  </si>
  <si>
    <t xml:space="preserve">31232100</t>
  </si>
  <si>
    <r>
      <rPr>
        <sz val="10"/>
        <rFont val="FreeSans"/>
        <family val="2"/>
      </rPr>
      <t xml:space="preserve">بوشن برنجی    </t>
    </r>
    <r>
      <rPr>
        <sz val="10"/>
        <rFont val="Vazirmatn"/>
        <family val="0"/>
        <charset val="1"/>
      </rPr>
      <t xml:space="preserve">" 1/4</t>
    </r>
  </si>
  <si>
    <t xml:space="preserve">31232101</t>
  </si>
  <si>
    <r>
      <rPr>
        <sz val="10"/>
        <rFont val="FreeSans"/>
        <family val="2"/>
      </rPr>
      <t xml:space="preserve">بوش کونیک آسیاب     </t>
    </r>
    <r>
      <rPr>
        <sz val="10"/>
        <rFont val="Vazirmatn"/>
        <family val="0"/>
        <charset val="1"/>
      </rPr>
      <t xml:space="preserve">FQ  -  124</t>
    </r>
  </si>
  <si>
    <t xml:space="preserve">31232102</t>
  </si>
  <si>
    <r>
      <rPr>
        <sz val="10"/>
        <rFont val="FreeSans"/>
        <family val="2"/>
      </rPr>
      <t xml:space="preserve">بوش شفت  آسیاب    </t>
    </r>
    <r>
      <rPr>
        <sz val="10"/>
        <rFont val="Vazirmatn"/>
        <family val="0"/>
        <charset val="1"/>
      </rPr>
      <t xml:space="preserve">FQ  -  124</t>
    </r>
  </si>
  <si>
    <t xml:space="preserve">31232103</t>
  </si>
  <si>
    <r>
      <rPr>
        <sz val="10"/>
        <rFont val="FreeSans"/>
        <family val="2"/>
      </rPr>
      <t xml:space="preserve">بوش دیسک کونیک  آسیاب   </t>
    </r>
    <r>
      <rPr>
        <sz val="10"/>
        <rFont val="Vazirmatn"/>
        <family val="0"/>
        <charset val="1"/>
      </rPr>
      <t xml:space="preserve">FQ  -  136</t>
    </r>
  </si>
  <si>
    <t xml:space="preserve">31232105</t>
  </si>
  <si>
    <r>
      <rPr>
        <sz val="10"/>
        <rFont val="FreeSans"/>
        <family val="2"/>
      </rPr>
      <t xml:space="preserve">بوش شفت آسیاب   </t>
    </r>
    <r>
      <rPr>
        <sz val="10"/>
        <rFont val="Vazirmatn"/>
        <family val="0"/>
        <charset val="1"/>
      </rPr>
      <t xml:space="preserve">FQ  -  136</t>
    </r>
  </si>
  <si>
    <t xml:space="preserve">31232106</t>
  </si>
  <si>
    <t xml:space="preserve">بوش شفت عمودی سپراتور</t>
  </si>
  <si>
    <t xml:space="preserve">31232107</t>
  </si>
  <si>
    <r>
      <rPr>
        <sz val="10"/>
        <rFont val="FreeSans"/>
        <family val="2"/>
      </rPr>
      <t xml:space="preserve">بوش فولی شفت آسیاب ایمپکت  </t>
    </r>
    <r>
      <rPr>
        <sz val="10"/>
        <rFont val="Vazirmatn"/>
        <family val="0"/>
        <charset val="1"/>
      </rPr>
      <t xml:space="preserve">80mm</t>
    </r>
  </si>
  <si>
    <t xml:space="preserve">31232108</t>
  </si>
  <si>
    <r>
      <rPr>
        <sz val="10"/>
        <rFont val="FreeSans"/>
        <family val="2"/>
      </rPr>
      <t xml:space="preserve">بوش اسلیو     </t>
    </r>
    <r>
      <rPr>
        <sz val="10"/>
        <rFont val="Vazirmatn"/>
        <family val="0"/>
        <charset val="1"/>
      </rPr>
      <t xml:space="preserve">250-50</t>
    </r>
  </si>
  <si>
    <t xml:space="preserve">31232109</t>
  </si>
  <si>
    <r>
      <rPr>
        <sz val="10"/>
        <rFont val="FreeSans"/>
        <family val="2"/>
      </rPr>
      <t xml:space="preserve">بوش اسلیو    </t>
    </r>
    <r>
      <rPr>
        <sz val="10"/>
        <rFont val="Vazirmatn"/>
        <family val="0"/>
        <charset val="1"/>
      </rPr>
      <t xml:space="preserve">250-150</t>
    </r>
  </si>
  <si>
    <t xml:space="preserve">31232110</t>
  </si>
  <si>
    <r>
      <rPr>
        <sz val="10"/>
        <rFont val="FreeSans"/>
        <family val="2"/>
      </rPr>
      <t xml:space="preserve">بوش خشکه آسیاب چکشی گلوتن  </t>
    </r>
    <r>
      <rPr>
        <sz val="10"/>
        <rFont val="Vazirmatn"/>
        <family val="0"/>
        <charset val="1"/>
      </rPr>
      <t xml:space="preserve">10 * 20 * 30</t>
    </r>
  </si>
  <si>
    <t xml:space="preserve">31232111</t>
  </si>
  <si>
    <r>
      <rPr>
        <sz val="10"/>
        <rFont val="FreeSans"/>
        <family val="2"/>
      </rPr>
      <t xml:space="preserve">بوش خشکه آسیاب چکشی گلوتن  </t>
    </r>
    <r>
      <rPr>
        <sz val="10"/>
        <rFont val="Vazirmatn"/>
        <family val="0"/>
        <charset val="1"/>
      </rPr>
      <t xml:space="preserve">10 * 10 * 30</t>
    </r>
  </si>
  <si>
    <t xml:space="preserve">31232113</t>
  </si>
  <si>
    <r>
      <rPr>
        <sz val="10"/>
        <rFont val="FreeSans"/>
        <family val="2"/>
      </rPr>
      <t xml:space="preserve">بوش کالر سطح پرس روغن </t>
    </r>
    <r>
      <rPr>
        <sz val="10"/>
        <rFont val="Vazirmatn"/>
        <family val="0"/>
        <charset val="1"/>
      </rPr>
      <t xml:space="preserve">1623-GOYUM-1500</t>
    </r>
  </si>
  <si>
    <t xml:space="preserve">31232114</t>
  </si>
  <si>
    <t xml:space="preserve">بوش کالر مخروطی پرس روغن</t>
  </si>
  <si>
    <t xml:space="preserve">31232115</t>
  </si>
  <si>
    <t xml:space="preserve">بوش اسلیو پرس روغن</t>
  </si>
  <si>
    <t xml:space="preserve">31232116</t>
  </si>
  <si>
    <t xml:space="preserve">خرد کن پرس روغن</t>
  </si>
  <si>
    <t xml:space="preserve">31232117</t>
  </si>
  <si>
    <t xml:space="preserve">بوش کالر  مخروطی  پرس روغن</t>
  </si>
  <si>
    <t xml:space="preserve">31232118</t>
  </si>
  <si>
    <t xml:space="preserve">بوش کالر مخروطی  پرس  روغن</t>
  </si>
  <si>
    <t xml:space="preserve">31232120</t>
  </si>
  <si>
    <t xml:space="preserve">بوش کالر صاف و سطح پرس روغن</t>
  </si>
  <si>
    <t xml:space="preserve">31232121</t>
  </si>
  <si>
    <t xml:space="preserve">بوش مخروطی  پرس روغن</t>
  </si>
  <si>
    <t xml:space="preserve">31232122</t>
  </si>
  <si>
    <t xml:space="preserve">بوش کالر مخروطی  پرس روغن</t>
  </si>
  <si>
    <t xml:space="preserve">31232123</t>
  </si>
  <si>
    <t xml:space="preserve">بوش کالر صاف و سطح  پرس روغن</t>
  </si>
  <si>
    <t xml:space="preserve">31232125</t>
  </si>
  <si>
    <t xml:space="preserve">بوش رابط چهار شاخ پمپ واش باطری</t>
  </si>
  <si>
    <t xml:space="preserve">31232127</t>
  </si>
  <si>
    <t xml:space="preserve">بوش فید تیوپ دکانتور</t>
  </si>
  <si>
    <t xml:space="preserve">31232129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</si>
  <si>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125 - 25 - 40 IHD</t>
    </r>
  </si>
  <si>
    <t xml:space="preserve">31232130</t>
  </si>
  <si>
    <r>
      <rPr>
        <sz val="10"/>
        <rFont val="FreeSans"/>
        <family val="2"/>
      </rPr>
      <t xml:space="preserve">بوش  استیل  </t>
    </r>
    <r>
      <rPr>
        <sz val="10"/>
        <rFont val="Vazirmatn"/>
        <family val="0"/>
        <charset val="1"/>
      </rPr>
      <t xml:space="preserve">160 - 65 - 80 HF</t>
    </r>
  </si>
  <si>
    <t xml:space="preserve">31232132</t>
  </si>
  <si>
    <r>
      <rPr>
        <sz val="10"/>
        <rFont val="FreeSans"/>
        <family val="2"/>
      </rPr>
      <t xml:space="preserve">بوش اسلیو      </t>
    </r>
    <r>
      <rPr>
        <sz val="10"/>
        <rFont val="Vazirmatn"/>
        <family val="0"/>
        <charset val="1"/>
      </rPr>
      <t xml:space="preserve">315 - 150</t>
    </r>
  </si>
  <si>
    <t xml:space="preserve">31232133</t>
  </si>
  <si>
    <r>
      <rPr>
        <sz val="10"/>
        <rFont val="FreeSans"/>
        <family val="2"/>
      </rPr>
      <t xml:space="preserve">بوش پلیکا        </t>
    </r>
    <r>
      <rPr>
        <sz val="10"/>
        <rFont val="Vazirmatn"/>
        <family val="0"/>
        <charset val="1"/>
      </rPr>
      <t xml:space="preserve">4</t>
    </r>
  </si>
  <si>
    <t xml:space="preserve">31232134</t>
  </si>
  <si>
    <t xml:space="preserve">بوش اسلیو پمپ لوپ</t>
  </si>
  <si>
    <t xml:space="preserve">31232136</t>
  </si>
  <si>
    <r>
      <rPr>
        <sz val="10"/>
        <rFont val="FreeSans"/>
        <family val="2"/>
      </rPr>
      <t xml:space="preserve">بوش اتصال پلیکا </t>
    </r>
    <r>
      <rPr>
        <sz val="10"/>
        <rFont val="Vazirmatn"/>
        <family val="0"/>
        <charset val="1"/>
      </rPr>
      <t xml:space="preserve">110</t>
    </r>
  </si>
  <si>
    <t xml:space="preserve">31232137</t>
  </si>
  <si>
    <r>
      <rPr>
        <sz val="10"/>
        <rFont val="FreeSans"/>
        <family val="2"/>
      </rPr>
      <t xml:space="preserve">بوش آسیاب ایمپکت              </t>
    </r>
    <r>
      <rPr>
        <sz val="10"/>
        <rFont val="Vazirmatn"/>
        <family val="0"/>
        <charset val="1"/>
      </rPr>
      <t xml:space="preserve">"  3</t>
    </r>
  </si>
  <si>
    <t xml:space="preserve">31232145</t>
  </si>
  <si>
    <r>
      <rPr>
        <sz val="10"/>
        <rFont val="FreeSans"/>
        <family val="2"/>
      </rPr>
      <t xml:space="preserve">بوش آذین جوشی            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</si>
  <si>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31232147</t>
  </si>
  <si>
    <r>
      <rPr>
        <sz val="10"/>
        <rFont val="FreeSans"/>
        <family val="2"/>
      </rPr>
      <t xml:space="preserve">بوش آذین ساده جوشی                   </t>
    </r>
    <r>
      <rPr>
        <sz val="10"/>
        <rFont val="Vazirmatn"/>
        <family val="0"/>
        <charset val="1"/>
      </rPr>
      <t xml:space="preserve">"2</t>
    </r>
  </si>
  <si>
    <t xml:space="preserve">31232148</t>
  </si>
  <si>
    <r>
      <rPr>
        <sz val="10"/>
        <rFont val="FreeSans"/>
        <family val="2"/>
      </rPr>
      <t xml:space="preserve">بوشن آذین یکسر دنده            </t>
    </r>
    <r>
      <rPr>
        <sz val="10"/>
        <rFont val="Vazirmatn"/>
        <family val="0"/>
        <charset val="1"/>
      </rPr>
      <t xml:space="preserve">" 2</t>
    </r>
  </si>
  <si>
    <t xml:space="preserve">31232149</t>
  </si>
  <si>
    <r>
      <rPr>
        <sz val="10"/>
        <rFont val="FreeSans"/>
        <family val="2"/>
      </rPr>
      <t xml:space="preserve">بوش اسلیو دکانتور  </t>
    </r>
    <r>
      <rPr>
        <sz val="10"/>
        <rFont val="Vazirmatn"/>
        <family val="0"/>
        <charset val="1"/>
      </rPr>
      <t xml:space="preserve">190 - 6526 - 8418</t>
    </r>
  </si>
  <si>
    <t xml:space="preserve">31232150</t>
  </si>
  <si>
    <r>
      <rPr>
        <sz val="10"/>
        <rFont val="FreeSans"/>
        <family val="2"/>
      </rPr>
      <t xml:space="preserve">بوش اسلیو پمپ </t>
    </r>
    <r>
      <rPr>
        <sz val="10"/>
        <rFont val="Vazirmatn"/>
        <family val="0"/>
        <charset val="1"/>
      </rPr>
      <t xml:space="preserve">315 - 125 - 150 KPW</t>
    </r>
  </si>
  <si>
    <t xml:space="preserve">31232151</t>
  </si>
  <si>
    <r>
      <rPr>
        <sz val="10"/>
        <rFont val="FreeSans"/>
        <family val="2"/>
      </rPr>
      <t xml:space="preserve">بوش اسلیو پمپ </t>
    </r>
    <r>
      <rPr>
        <sz val="10"/>
        <rFont val="Vazirmatn"/>
        <family val="0"/>
        <charset val="1"/>
      </rPr>
      <t xml:space="preserve">400 - 125 - 150 KPW</t>
    </r>
  </si>
  <si>
    <t xml:space="preserve">31232152</t>
  </si>
  <si>
    <r>
      <rPr>
        <sz val="10"/>
        <rFont val="FreeSans"/>
        <family val="2"/>
      </rPr>
      <t xml:space="preserve">بوش اسلیو پمپ </t>
    </r>
    <r>
      <rPr>
        <sz val="10"/>
        <rFont val="Vazirmatn"/>
        <family val="0"/>
        <charset val="1"/>
      </rPr>
      <t xml:space="preserve">400 - 100 - 125 KPW</t>
    </r>
  </si>
  <si>
    <t xml:space="preserve">31232153</t>
  </si>
  <si>
    <r>
      <rPr>
        <sz val="10"/>
        <rFont val="FreeSans"/>
        <family val="2"/>
      </rPr>
      <t xml:space="preserve">بوش اسلیو پمپ </t>
    </r>
    <r>
      <rPr>
        <sz val="10"/>
        <rFont val="Vazirmatn"/>
        <family val="0"/>
        <charset val="1"/>
      </rPr>
      <t xml:space="preserve">315 - 100 - 125 KPW</t>
    </r>
  </si>
  <si>
    <t xml:space="preserve">31232154</t>
  </si>
  <si>
    <r>
      <rPr>
        <sz val="10"/>
        <rFont val="FreeSans"/>
        <family val="2"/>
      </rPr>
      <t xml:space="preserve">بوش اسلیو پمپ </t>
    </r>
    <r>
      <rPr>
        <sz val="10"/>
        <rFont val="Vazirmatn"/>
        <family val="0"/>
        <charset val="1"/>
      </rPr>
      <t xml:space="preserve">250 - 100 - 125 KPW</t>
    </r>
  </si>
  <si>
    <t xml:space="preserve">31232155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</si>
  <si>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250 - 100 - 125 IHD</t>
    </r>
  </si>
  <si>
    <t xml:space="preserve">31232156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</si>
  <si>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315 - 125 - 150 IHD</t>
    </r>
  </si>
  <si>
    <t xml:space="preserve">31232157</t>
  </si>
  <si>
    <r>
      <rPr>
        <sz val="10"/>
        <rFont val="FreeSans"/>
        <family val="2"/>
      </rPr>
      <t xml:space="preserve">بوش اسلیو پمپ </t>
    </r>
    <r>
      <rPr>
        <sz val="10"/>
        <rFont val="Vazirmatn"/>
        <family val="0"/>
        <charset val="1"/>
      </rPr>
      <t xml:space="preserve">450 - 100 - 125 IHD</t>
    </r>
  </si>
  <si>
    <t xml:space="preserve">31232164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</si>
  <si>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UPVC "1</t>
    </r>
  </si>
  <si>
    <t xml:space="preserve">31232169</t>
  </si>
  <si>
    <r>
      <rPr>
        <sz val="10"/>
        <rFont val="FreeSans"/>
        <family val="2"/>
      </rPr>
      <t xml:space="preserve">استاتور  </t>
    </r>
    <r>
      <rPr>
        <sz val="10"/>
        <rFont val="Vazirmatn"/>
        <family val="0"/>
        <charset val="1"/>
      </rPr>
      <t xml:space="preserve">P60  </t>
    </r>
    <r>
      <rPr>
        <sz val="10"/>
        <rFont val="FreeSans"/>
        <family val="2"/>
      </rPr>
      <t xml:space="preserve">بهلول  مشهد</t>
    </r>
  </si>
  <si>
    <t xml:space="preserve">31232170</t>
  </si>
  <si>
    <r>
      <rPr>
        <sz val="10"/>
        <rFont val="FreeSans"/>
        <family val="2"/>
      </rPr>
      <t xml:space="preserve">استاتور منو پمپ روکش فلز   </t>
    </r>
    <r>
      <rPr>
        <sz val="10"/>
        <rFont val="Vazirmatn"/>
        <family val="0"/>
        <charset val="1"/>
      </rPr>
      <t xml:space="preserve">A 70</t>
    </r>
  </si>
  <si>
    <t xml:space="preserve">31232172</t>
  </si>
  <si>
    <r>
      <rPr>
        <sz val="10"/>
        <rFont val="FreeSans"/>
        <family val="2"/>
      </rPr>
      <t xml:space="preserve">استاتور منو پمپ </t>
    </r>
    <r>
      <rPr>
        <sz val="10"/>
        <rFont val="Vazirmatn"/>
        <family val="0"/>
        <charset val="1"/>
      </rPr>
      <t xml:space="preserve">A 50</t>
    </r>
  </si>
  <si>
    <t xml:space="preserve">31232173</t>
  </si>
  <si>
    <r>
      <rPr>
        <sz val="10"/>
        <rFont val="FreeSans"/>
        <family val="2"/>
      </rPr>
      <t xml:space="preserve">استاتور منو پمپ </t>
    </r>
    <r>
      <rPr>
        <sz val="10"/>
        <rFont val="Vazirmatn"/>
        <family val="0"/>
        <charset val="1"/>
      </rPr>
      <t xml:space="preserve">GF85 - 1DN</t>
    </r>
  </si>
  <si>
    <t xml:space="preserve">31232174</t>
  </si>
  <si>
    <r>
      <rPr>
        <sz val="10"/>
        <rFont val="FreeSans"/>
        <family val="2"/>
      </rPr>
      <t xml:space="preserve">استاتور منوپمپ </t>
    </r>
    <r>
      <rPr>
        <sz val="10"/>
        <rFont val="Vazirmatn"/>
        <family val="0"/>
        <charset val="1"/>
      </rPr>
      <t xml:space="preserve">GF65 - 1DN</t>
    </r>
  </si>
  <si>
    <t xml:space="preserve">31232175</t>
  </si>
  <si>
    <r>
      <rPr>
        <sz val="10"/>
        <rFont val="FreeSans"/>
        <family val="2"/>
      </rPr>
      <t xml:space="preserve">استاتور مونو پمپ  </t>
    </r>
    <r>
      <rPr>
        <sz val="10"/>
        <rFont val="Vazirmatn"/>
        <family val="0"/>
        <charset val="1"/>
      </rPr>
      <t xml:space="preserve">NM 063 BY   6bar</t>
    </r>
  </si>
  <si>
    <t xml:space="preserve">31232176</t>
  </si>
  <si>
    <t xml:space="preserve">استاتور مونو پمپ ساکاری</t>
  </si>
  <si>
    <t xml:space="preserve">31232177</t>
  </si>
  <si>
    <t xml:space="preserve">بوش کاسه نمد دکانتور</t>
  </si>
  <si>
    <t xml:space="preserve">31232178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</si>
  <si>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"  1/2 2   UPVC</t>
    </r>
  </si>
  <si>
    <t xml:space="preserve">31232179</t>
  </si>
  <si>
    <r>
      <rPr>
        <sz val="10"/>
        <rFont val="FreeSans"/>
        <family val="2"/>
      </rPr>
      <t xml:space="preserve">بوش  </t>
    </r>
    <r>
      <rPr>
        <sz val="10"/>
        <rFont val="Vazirmatn"/>
        <family val="0"/>
        <charset val="1"/>
      </rPr>
      <t xml:space="preserve">" 2   UPVC</t>
    </r>
  </si>
  <si>
    <t xml:space="preserve">31232180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</si>
  <si>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400 - 150 - 200 IHD</t>
    </r>
  </si>
  <si>
    <t xml:space="preserve">31232181</t>
  </si>
  <si>
    <r>
      <rPr>
        <sz val="10"/>
        <rFont val="FreeSans"/>
        <family val="2"/>
      </rPr>
      <t xml:space="preserve">بوش آهنی کلگی ورودی بخار خشک کن گرند </t>
    </r>
    <r>
      <rPr>
        <sz val="10"/>
        <rFont val="Vazirmatn"/>
        <family val="0"/>
        <charset val="1"/>
      </rPr>
      <t xml:space="preserve">4"</t>
    </r>
  </si>
  <si>
    <t xml:space="preserve">31232182</t>
  </si>
  <si>
    <r>
      <rPr>
        <sz val="10"/>
        <rFont val="FreeSans"/>
        <family val="2"/>
      </rPr>
      <t xml:space="preserve">بوش کلگی خشک کن گرند </t>
    </r>
    <r>
      <rPr>
        <sz val="10"/>
        <rFont val="Vazirmatn"/>
        <family val="0"/>
        <charset val="1"/>
      </rPr>
      <t xml:space="preserve">3"</t>
    </r>
  </si>
  <si>
    <t xml:space="preserve">31232191</t>
  </si>
  <si>
    <r>
      <rPr>
        <sz val="10"/>
        <rFont val="FreeSans"/>
        <family val="2"/>
      </rPr>
      <t xml:space="preserve">بوش  تفلونی  </t>
    </r>
    <r>
      <rPr>
        <sz val="10"/>
        <rFont val="Vazirmatn"/>
        <family val="0"/>
        <charset val="1"/>
      </rPr>
      <t xml:space="preserve">20/4 - 20 - 50 FS</t>
    </r>
  </si>
  <si>
    <t xml:space="preserve">31232192</t>
  </si>
  <si>
    <r>
      <rPr>
        <sz val="10"/>
        <rFont val="FreeSans"/>
        <family val="2"/>
      </rPr>
      <t xml:space="preserve">بوش  تفلونی  </t>
    </r>
    <r>
      <rPr>
        <sz val="10"/>
        <rFont val="Vazirmatn"/>
        <family val="0"/>
        <charset val="1"/>
      </rPr>
      <t xml:space="preserve">20/3 - 8 - 40 FS</t>
    </r>
  </si>
  <si>
    <t xml:space="preserve">31232193</t>
  </si>
  <si>
    <r>
      <rPr>
        <sz val="10"/>
        <rFont val="FreeSans"/>
        <family val="2"/>
      </rPr>
      <t xml:space="preserve">بوش  تفلونی  </t>
    </r>
    <r>
      <rPr>
        <sz val="10"/>
        <rFont val="Vazirmatn"/>
        <family val="0"/>
        <charset val="1"/>
      </rPr>
      <t xml:space="preserve">32/5.5 - 30 - 65 FS</t>
    </r>
  </si>
  <si>
    <t xml:space="preserve">31232194</t>
  </si>
  <si>
    <r>
      <rPr>
        <sz val="10"/>
        <rFont val="FreeSans"/>
        <family val="2"/>
      </rPr>
      <t xml:space="preserve">بوش  سرامیکی  </t>
    </r>
    <r>
      <rPr>
        <sz val="10"/>
        <rFont val="Vazirmatn"/>
        <family val="0"/>
        <charset val="1"/>
      </rPr>
      <t xml:space="preserve">35 - 100 - 100 UB - ZK</t>
    </r>
  </si>
  <si>
    <t xml:space="preserve">31232201</t>
  </si>
  <si>
    <t xml:space="preserve">بوش فسفر برنز  پرس روغن</t>
  </si>
  <si>
    <t xml:space="preserve">31232203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</si>
  <si>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BUSHING CPVC )  DN100*DN80 )</t>
    </r>
  </si>
  <si>
    <t xml:space="preserve">31232204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</si>
  <si>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BUSHING CPVC )  DN32*DN25 )</t>
    </r>
  </si>
  <si>
    <t xml:space="preserve">31232205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</si>
  <si>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BUSHING CPVC )  DN40*DN32 )</t>
    </r>
  </si>
  <si>
    <t xml:space="preserve">31232206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</si>
  <si>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BUSHING CPVC )  DN50*DN40 )</t>
    </r>
  </si>
  <si>
    <t xml:space="preserve">31232207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</si>
  <si>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BUSHING CPVC )  DN65*DN50 )</t>
    </r>
  </si>
  <si>
    <t xml:space="preserve">31232208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</si>
  <si>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BUSHING CPVC )  DN80*DN65 )</t>
    </r>
  </si>
  <si>
    <t xml:space="preserve">31232209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</si>
  <si>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BUSHING UPVC )  DN125*DN100 )</t>
    </r>
  </si>
  <si>
    <t xml:space="preserve">31232210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</si>
  <si>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BUSHING UPVC )  DN100*DN80 )</t>
    </r>
  </si>
  <si>
    <t xml:space="preserve">31232211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</si>
  <si>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BUSHING UPVC )  DN80*DN65 )</t>
    </r>
  </si>
  <si>
    <t xml:space="preserve">31232212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</si>
  <si>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BUSHING UPVC )  DN65*DN50 )</t>
    </r>
  </si>
  <si>
    <t xml:space="preserve">31232213</t>
  </si>
  <si>
    <r>
      <rPr>
        <sz val="10"/>
        <rFont val="FreeSans"/>
        <family val="2"/>
      </rPr>
      <t xml:space="preserve">استاتور منو پمپ اواپراتور </t>
    </r>
    <r>
      <rPr>
        <sz val="10"/>
        <rFont val="Vazirmatn"/>
        <family val="0"/>
        <charset val="1"/>
      </rPr>
      <t xml:space="preserve">30 </t>
    </r>
    <r>
      <rPr>
        <sz val="10"/>
        <rFont val="FreeSans"/>
        <family val="2"/>
      </rPr>
      <t xml:space="preserve">تنی</t>
    </r>
  </si>
  <si>
    <t xml:space="preserve">31232214</t>
  </si>
  <si>
    <r>
      <rPr>
        <sz val="10"/>
        <rFont val="FreeSans"/>
        <family val="2"/>
      </rPr>
      <t xml:space="preserve">استاتور منوپمپ  </t>
    </r>
    <r>
      <rPr>
        <sz val="10"/>
        <rFont val="Vazirmatn"/>
        <family val="0"/>
        <charset val="1"/>
      </rPr>
      <t xml:space="preserve">GF60</t>
    </r>
  </si>
  <si>
    <t xml:space="preserve">31232229</t>
  </si>
  <si>
    <r>
      <rPr>
        <sz val="10"/>
        <rFont val="FreeSans"/>
        <family val="2"/>
      </rPr>
      <t xml:space="preserve">بوش ورودی بخار خشک کن پوسته </t>
    </r>
    <r>
      <rPr>
        <sz val="10"/>
        <rFont val="Vazirmatn"/>
        <family val="0"/>
        <charset val="1"/>
      </rPr>
      <t xml:space="preserve">( RK 12 - DN 80 )</t>
    </r>
  </si>
  <si>
    <t xml:space="preserve">31232230</t>
  </si>
  <si>
    <r>
      <rPr>
        <sz val="10"/>
        <rFont val="FreeSans"/>
        <family val="2"/>
      </rPr>
      <t xml:space="preserve">بوشن آذین  </t>
    </r>
    <r>
      <rPr>
        <sz val="10"/>
        <rFont val="Vazirmatn"/>
        <family val="0"/>
        <charset val="1"/>
      </rPr>
      <t xml:space="preserve">"1/2*25</t>
    </r>
  </si>
  <si>
    <t xml:space="preserve">31232232</t>
  </si>
  <si>
    <t xml:space="preserve">بوش برنجی پمپ تخلیه گلوکوز</t>
  </si>
  <si>
    <t xml:space="preserve">31232233</t>
  </si>
  <si>
    <t xml:space="preserve">بوش برنجی شفت سپراتور</t>
  </si>
  <si>
    <t xml:space="preserve">31232234</t>
  </si>
  <si>
    <t xml:space="preserve">بوش برنجی یاتاقان درام</t>
  </si>
  <si>
    <t xml:space="preserve">31232236</t>
  </si>
  <si>
    <r>
      <rPr>
        <sz val="10"/>
        <rFont val="FreeSans"/>
        <family val="2"/>
      </rPr>
      <t xml:space="preserve">بوش یکسر دنده  </t>
    </r>
    <r>
      <rPr>
        <sz val="10"/>
        <rFont val="Vazirmatn"/>
        <family val="0"/>
        <charset val="1"/>
      </rPr>
      <t xml:space="preserve">" 3   CPVC</t>
    </r>
  </si>
  <si>
    <t xml:space="preserve">31232237</t>
  </si>
  <si>
    <r>
      <rPr>
        <sz val="10"/>
        <rFont val="FreeSans"/>
        <family val="2"/>
      </rPr>
      <t xml:space="preserve">بوش یکسر دنده  </t>
    </r>
    <r>
      <rPr>
        <sz val="10"/>
        <rFont val="Vazirmatn"/>
        <family val="0"/>
        <charset val="1"/>
      </rPr>
      <t xml:space="preserve">" 1/2   CPVC</t>
    </r>
  </si>
  <si>
    <t xml:space="preserve">31232238</t>
  </si>
  <si>
    <t xml:space="preserve">بوش استیل جک تیغه پیلر</t>
  </si>
  <si>
    <t xml:space="preserve">31232239</t>
  </si>
  <si>
    <t xml:space="preserve">بوش برنجی جک تیغه پیلر</t>
  </si>
  <si>
    <t xml:space="preserve">31232240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</si>
  <si>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250 - 65 - 80 IHD</t>
    </r>
  </si>
  <si>
    <t xml:space="preserve">31232242</t>
  </si>
  <si>
    <t xml:space="preserve">بوش برنجی مکانیزم جک پیلر</t>
  </si>
  <si>
    <t xml:space="preserve">31232243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</si>
  <si>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160 - 80 - 125 IHD</t>
    </r>
  </si>
  <si>
    <t xml:space="preserve">31232244</t>
  </si>
  <si>
    <t xml:space="preserve">بوش فلنج شش پایه گیربکس دکانتور</t>
  </si>
  <si>
    <t xml:space="preserve">31232245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</si>
  <si>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IHD100-65-315</t>
    </r>
  </si>
  <si>
    <t xml:space="preserve">31232246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</si>
  <si>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IHD150-125-250</t>
    </r>
  </si>
  <si>
    <t xml:space="preserve">31232247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</si>
  <si>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IHD200-150-315</t>
    </r>
  </si>
  <si>
    <t xml:space="preserve">31232248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</si>
  <si>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IHD250-200-315</t>
    </r>
  </si>
  <si>
    <t xml:space="preserve">31232249</t>
  </si>
  <si>
    <r>
      <rPr>
        <sz val="10"/>
        <rFont val="FreeSans"/>
        <family val="2"/>
      </rPr>
      <t xml:space="preserve">بوش اسلیو پمپ  </t>
    </r>
    <r>
      <rPr>
        <sz val="10"/>
        <rFont val="Vazirmatn"/>
        <family val="0"/>
        <charset val="1"/>
      </rPr>
      <t xml:space="preserve">IHD250-200-350</t>
    </r>
  </si>
  <si>
    <t xml:space="preserve">31232250</t>
  </si>
  <si>
    <t xml:space="preserve">بوش میله سوزن چرخ دوخت</t>
  </si>
  <si>
    <t xml:space="preserve">31232251</t>
  </si>
  <si>
    <r>
      <rPr>
        <sz val="10"/>
        <rFont val="FreeSans"/>
        <family val="2"/>
      </rPr>
      <t xml:space="preserve">بوش اسلیو پیلر </t>
    </r>
    <r>
      <rPr>
        <sz val="10"/>
        <rFont val="Vazirmatn"/>
        <family val="0"/>
        <charset val="1"/>
      </rPr>
      <t xml:space="preserve">GKH1250D(1-33,1-34)</t>
    </r>
  </si>
  <si>
    <t xml:space="preserve">31232254</t>
  </si>
  <si>
    <t xml:space="preserve">بوش چرخ دوخت</t>
  </si>
  <si>
    <t xml:space="preserve">31232255</t>
  </si>
  <si>
    <r>
      <rPr>
        <sz val="10"/>
        <rFont val="FreeSans"/>
        <family val="2"/>
      </rPr>
      <t xml:space="preserve">بوش اسلیو پمپ ایران  </t>
    </r>
    <r>
      <rPr>
        <sz val="10"/>
        <rFont val="Vazirmatn"/>
        <family val="0"/>
        <charset val="1"/>
      </rPr>
      <t xml:space="preserve">160 - 32</t>
    </r>
  </si>
  <si>
    <t xml:space="preserve">31232256</t>
  </si>
  <si>
    <r>
      <rPr>
        <sz val="10"/>
        <rFont val="FreeSans"/>
        <family val="2"/>
      </rPr>
      <t xml:space="preserve">بوش پمپ اسید  </t>
    </r>
    <r>
      <rPr>
        <sz val="10"/>
        <rFont val="Vazirmatn"/>
        <family val="0"/>
        <charset val="1"/>
      </rPr>
      <t xml:space="preserve">315 - 65</t>
    </r>
  </si>
  <si>
    <t xml:space="preserve">31232261</t>
  </si>
  <si>
    <r>
      <rPr>
        <sz val="10"/>
        <rFont val="FreeSans"/>
        <family val="2"/>
      </rPr>
      <t xml:space="preserve">بوش مسی  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</si>
  <si>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31232301</t>
  </si>
  <si>
    <r>
      <rPr>
        <sz val="10"/>
        <rFont val="FreeSans"/>
        <family val="2"/>
      </rPr>
      <t xml:space="preserve">بوش بلبرینگ   </t>
    </r>
    <r>
      <rPr>
        <sz val="10"/>
        <rFont val="Vazirmatn"/>
        <family val="0"/>
        <charset val="1"/>
      </rPr>
      <t xml:space="preserve">1209</t>
    </r>
  </si>
  <si>
    <t xml:space="preserve">31232302</t>
  </si>
  <si>
    <r>
      <rPr>
        <sz val="10"/>
        <rFont val="FreeSans"/>
        <family val="2"/>
      </rPr>
      <t xml:space="preserve">بوشن بلبرینگ   </t>
    </r>
    <r>
      <rPr>
        <sz val="10"/>
        <rFont val="Vazirmatn"/>
        <family val="0"/>
        <charset val="1"/>
      </rPr>
      <t xml:space="preserve">315</t>
    </r>
  </si>
  <si>
    <t xml:space="preserve">31232303</t>
  </si>
  <si>
    <r>
      <rPr>
        <sz val="10"/>
        <rFont val="FreeSans"/>
        <family val="2"/>
      </rPr>
      <t xml:space="preserve">بوش بلبرینگ       </t>
    </r>
    <r>
      <rPr>
        <sz val="10"/>
        <rFont val="Vazirmatn"/>
        <family val="0"/>
        <charset val="1"/>
      </rPr>
      <t xml:space="preserve">H   315</t>
    </r>
  </si>
  <si>
    <t xml:space="preserve">31232304</t>
  </si>
  <si>
    <r>
      <rPr>
        <sz val="10"/>
        <rFont val="FreeSans"/>
        <family val="2"/>
      </rPr>
      <t xml:space="preserve">بوش بلبرینگ       </t>
    </r>
    <r>
      <rPr>
        <sz val="10"/>
        <rFont val="Vazirmatn"/>
        <family val="0"/>
        <charset val="1"/>
      </rPr>
      <t xml:space="preserve">H 2313</t>
    </r>
  </si>
  <si>
    <t xml:space="preserve">31232309</t>
  </si>
  <si>
    <r>
      <rPr>
        <sz val="10"/>
        <rFont val="FreeSans"/>
        <family val="2"/>
      </rPr>
      <t xml:space="preserve">بوش بلبرینگ         </t>
    </r>
    <r>
      <rPr>
        <sz val="10"/>
        <rFont val="Vazirmatn"/>
        <family val="0"/>
        <charset val="1"/>
      </rPr>
      <t xml:space="preserve">13 NK</t>
    </r>
  </si>
  <si>
    <t xml:space="preserve">31232311</t>
  </si>
  <si>
    <r>
      <rPr>
        <sz val="10"/>
        <rFont val="FreeSans"/>
        <family val="2"/>
      </rPr>
      <t xml:space="preserve">بوش بلبرینگ         </t>
    </r>
    <r>
      <rPr>
        <sz val="10"/>
        <rFont val="Vazirmatn"/>
        <family val="0"/>
        <charset val="1"/>
      </rPr>
      <t xml:space="preserve">h 316</t>
    </r>
  </si>
  <si>
    <t xml:space="preserve">31232314</t>
  </si>
  <si>
    <r>
      <rPr>
        <sz val="10"/>
        <rFont val="FreeSans"/>
        <family val="2"/>
      </rPr>
      <t xml:space="preserve">بوش بلبرینگ     </t>
    </r>
    <r>
      <rPr>
        <sz val="10"/>
        <rFont val="Vazirmatn"/>
        <family val="0"/>
        <charset val="1"/>
      </rPr>
      <t xml:space="preserve">H    308</t>
    </r>
  </si>
  <si>
    <t xml:space="preserve">31232315</t>
  </si>
  <si>
    <r>
      <rPr>
        <sz val="10"/>
        <rFont val="FreeSans"/>
        <family val="2"/>
      </rPr>
      <t xml:space="preserve">بوش بلبرینگ         </t>
    </r>
    <r>
      <rPr>
        <sz val="10"/>
        <rFont val="Vazirmatn"/>
        <family val="0"/>
        <charset val="1"/>
      </rPr>
      <t xml:space="preserve">306 D</t>
    </r>
  </si>
  <si>
    <t xml:space="preserve">31232316</t>
  </si>
  <si>
    <r>
      <rPr>
        <sz val="10"/>
        <rFont val="FreeSans"/>
        <family val="2"/>
      </rPr>
      <t xml:space="preserve">بوش بلبرینگ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بوش چاکنت </t>
    </r>
    <r>
      <rPr>
        <sz val="10"/>
        <rFont val="Vazirmatn"/>
        <family val="0"/>
        <charset val="1"/>
      </rPr>
      <t xml:space="preserve">)  215 H</t>
    </r>
  </si>
  <si>
    <t xml:space="preserve">31232317</t>
  </si>
  <si>
    <r>
      <rPr>
        <sz val="10"/>
        <rFont val="FreeSans"/>
        <family val="2"/>
      </rPr>
      <t xml:space="preserve">بوش بلبرینگ      </t>
    </r>
    <r>
      <rPr>
        <sz val="10"/>
        <rFont val="Vazirmatn"/>
        <family val="0"/>
        <charset val="1"/>
      </rPr>
      <t xml:space="preserve">XV 20 D</t>
    </r>
  </si>
  <si>
    <t xml:space="preserve">31232318</t>
  </si>
  <si>
    <r>
      <rPr>
        <sz val="10"/>
        <rFont val="FreeSans"/>
        <family val="2"/>
      </rPr>
      <t xml:space="preserve">بوش بلبرینگ     </t>
    </r>
    <r>
      <rPr>
        <sz val="10"/>
        <rFont val="Vazirmatn"/>
        <family val="0"/>
        <charset val="1"/>
      </rPr>
      <t xml:space="preserve">H    309</t>
    </r>
  </si>
  <si>
    <t xml:space="preserve">31232319</t>
  </si>
  <si>
    <r>
      <rPr>
        <sz val="10"/>
        <rFont val="FreeSans"/>
        <family val="2"/>
      </rPr>
      <t xml:space="preserve">بوش بلبرینگ        </t>
    </r>
    <r>
      <rPr>
        <sz val="10"/>
        <rFont val="Vazirmatn"/>
        <family val="0"/>
        <charset val="1"/>
      </rPr>
      <t xml:space="preserve">H2308</t>
    </r>
  </si>
  <si>
    <t xml:space="preserve">31232320</t>
  </si>
  <si>
    <r>
      <rPr>
        <sz val="10"/>
        <rFont val="FreeSans"/>
        <family val="2"/>
      </rPr>
      <t xml:space="preserve">بوش  بلبرینگ       </t>
    </r>
    <r>
      <rPr>
        <sz val="10"/>
        <rFont val="Vazirmatn"/>
        <family val="0"/>
        <charset val="1"/>
      </rPr>
      <t xml:space="preserve">310 - H</t>
    </r>
  </si>
  <si>
    <t xml:space="preserve">31232321</t>
  </si>
  <si>
    <r>
      <rPr>
        <sz val="10"/>
        <rFont val="FreeSans"/>
        <family val="2"/>
      </rPr>
      <t xml:space="preserve">بوش بلبرینگ         </t>
    </r>
    <r>
      <rPr>
        <sz val="10"/>
        <rFont val="Vazirmatn"/>
        <family val="0"/>
        <charset val="1"/>
      </rPr>
      <t xml:space="preserve">210 H</t>
    </r>
  </si>
  <si>
    <t xml:space="preserve">31232322</t>
  </si>
  <si>
    <r>
      <rPr>
        <sz val="10"/>
        <rFont val="FreeSans"/>
        <family val="2"/>
      </rPr>
      <t xml:space="preserve">بوش رولبرینگ  </t>
    </r>
    <r>
      <rPr>
        <sz val="10"/>
        <rFont val="Vazirmatn"/>
        <family val="0"/>
        <charset val="1"/>
      </rPr>
      <t xml:space="preserve">H 307   SKF</t>
    </r>
  </si>
  <si>
    <t xml:space="preserve">31232323</t>
  </si>
  <si>
    <r>
      <rPr>
        <sz val="10"/>
        <rFont val="FreeSans"/>
        <family val="2"/>
      </rPr>
      <t xml:space="preserve">بوش بلبرینگ         </t>
    </r>
    <r>
      <rPr>
        <sz val="10"/>
        <rFont val="Vazirmatn"/>
        <family val="0"/>
        <charset val="1"/>
      </rPr>
      <t xml:space="preserve">209 H</t>
    </r>
  </si>
  <si>
    <t xml:space="preserve">31232325</t>
  </si>
  <si>
    <r>
      <rPr>
        <sz val="10"/>
        <rFont val="FreeSans"/>
        <family val="2"/>
      </rPr>
      <t xml:space="preserve">بوش بلبرینگ         </t>
    </r>
    <r>
      <rPr>
        <sz val="10"/>
        <rFont val="Vazirmatn"/>
        <family val="0"/>
        <charset val="1"/>
      </rPr>
      <t xml:space="preserve">213 D</t>
    </r>
  </si>
  <si>
    <t xml:space="preserve">31232326</t>
  </si>
  <si>
    <r>
      <rPr>
        <sz val="10"/>
        <rFont val="FreeSans"/>
        <family val="2"/>
      </rPr>
      <t xml:space="preserve">بوش بلبرینگ  </t>
    </r>
    <r>
      <rPr>
        <sz val="10"/>
        <rFont val="Vazirmatn"/>
        <family val="0"/>
        <charset val="1"/>
      </rPr>
      <t xml:space="preserve">H 206</t>
    </r>
  </si>
  <si>
    <t xml:space="preserve">31232328</t>
  </si>
  <si>
    <r>
      <rPr>
        <sz val="10"/>
        <rFont val="FreeSans"/>
        <family val="2"/>
      </rPr>
      <t xml:space="preserve">بوش بلبرینگ کامل  </t>
    </r>
    <r>
      <rPr>
        <sz val="10"/>
        <rFont val="Vazirmatn"/>
        <family val="0"/>
        <charset val="1"/>
      </rPr>
      <t xml:space="preserve">3134</t>
    </r>
  </si>
  <si>
    <t xml:space="preserve">31232329</t>
  </si>
  <si>
    <r>
      <rPr>
        <sz val="10"/>
        <rFont val="FreeSans"/>
        <family val="2"/>
      </rPr>
      <t xml:space="preserve">بوش بلبرینگ      </t>
    </r>
    <r>
      <rPr>
        <sz val="10"/>
        <rFont val="Vazirmatn"/>
        <family val="0"/>
        <charset val="1"/>
      </rPr>
      <t xml:space="preserve">H 216</t>
    </r>
  </si>
  <si>
    <t xml:space="preserve">31232330</t>
  </si>
  <si>
    <r>
      <rPr>
        <sz val="10"/>
        <rFont val="FreeSans"/>
        <family val="2"/>
      </rPr>
      <t xml:space="preserve">بوش بلبرینگ      </t>
    </r>
    <r>
      <rPr>
        <sz val="10"/>
        <rFont val="Vazirmatn"/>
        <family val="0"/>
        <charset val="1"/>
      </rPr>
      <t xml:space="preserve">3044.H</t>
    </r>
  </si>
  <si>
    <t xml:space="preserve">31232331</t>
  </si>
  <si>
    <r>
      <rPr>
        <sz val="10"/>
        <rFont val="FreeSans"/>
        <family val="2"/>
      </rPr>
      <t xml:space="preserve">بوش بلبرینگ        </t>
    </r>
    <r>
      <rPr>
        <sz val="10"/>
        <rFont val="Vazirmatn"/>
        <family val="0"/>
        <charset val="1"/>
      </rPr>
      <t xml:space="preserve">317 H</t>
    </r>
  </si>
  <si>
    <t xml:space="preserve">31232333</t>
  </si>
  <si>
    <r>
      <rPr>
        <sz val="10"/>
        <rFont val="FreeSans"/>
        <family val="2"/>
      </rPr>
      <t xml:space="preserve">بوش بلبرینگ        </t>
    </r>
    <r>
      <rPr>
        <sz val="10"/>
        <rFont val="Vazirmatn"/>
        <family val="0"/>
        <charset val="1"/>
      </rPr>
      <t xml:space="preserve">211 H</t>
    </r>
  </si>
  <si>
    <t xml:space="preserve">31232334</t>
  </si>
  <si>
    <r>
      <rPr>
        <sz val="10"/>
        <rFont val="FreeSans"/>
        <family val="2"/>
      </rPr>
      <t xml:space="preserve">بوش  بلبرینگ   </t>
    </r>
    <r>
      <rPr>
        <sz val="10"/>
        <rFont val="Vazirmatn"/>
        <family val="0"/>
        <charset val="1"/>
      </rPr>
      <t xml:space="preserve">2313   H</t>
    </r>
  </si>
  <si>
    <t xml:space="preserve">31232337</t>
  </si>
  <si>
    <r>
      <rPr>
        <sz val="10"/>
        <rFont val="FreeSans"/>
        <family val="2"/>
      </rPr>
      <t xml:space="preserve">بوش بلبرینگ        </t>
    </r>
    <r>
      <rPr>
        <sz val="10"/>
        <rFont val="Vazirmatn"/>
        <family val="0"/>
        <charset val="1"/>
      </rPr>
      <t xml:space="preserve">H 318</t>
    </r>
  </si>
  <si>
    <t xml:space="preserve">31232339</t>
  </si>
  <si>
    <r>
      <rPr>
        <sz val="10"/>
        <rFont val="FreeSans"/>
        <family val="2"/>
      </rPr>
      <t xml:space="preserve">بوش بلبرینگ        </t>
    </r>
    <r>
      <rPr>
        <sz val="10"/>
        <rFont val="Vazirmatn"/>
        <family val="0"/>
        <charset val="1"/>
      </rPr>
      <t xml:space="preserve">311 D</t>
    </r>
  </si>
  <si>
    <t xml:space="preserve">31232340</t>
  </si>
  <si>
    <r>
      <rPr>
        <sz val="10"/>
        <rFont val="FreeSans"/>
        <family val="2"/>
      </rPr>
      <t xml:space="preserve">بوش رولبرینگ    </t>
    </r>
    <r>
      <rPr>
        <sz val="10"/>
        <rFont val="Vazirmatn"/>
        <family val="0"/>
        <charset val="1"/>
      </rPr>
      <t xml:space="preserve">22240K</t>
    </r>
  </si>
  <si>
    <t xml:space="preserve">31232341</t>
  </si>
  <si>
    <t xml:space="preserve">بوش بلبرینگ</t>
  </si>
  <si>
    <t xml:space="preserve">31232343</t>
  </si>
  <si>
    <r>
      <rPr>
        <sz val="10"/>
        <rFont val="FreeSans"/>
        <family val="2"/>
      </rPr>
      <t xml:space="preserve">بوش بلبرینگ   </t>
    </r>
    <r>
      <rPr>
        <sz val="10"/>
        <rFont val="Vazirmatn"/>
        <family val="0"/>
        <charset val="1"/>
      </rPr>
      <t xml:space="preserve">2310  H</t>
    </r>
  </si>
  <si>
    <t xml:space="preserve">31232355</t>
  </si>
  <si>
    <r>
      <rPr>
        <sz val="10"/>
        <rFont val="FreeSans"/>
        <family val="2"/>
      </rPr>
      <t xml:space="preserve">بوش آهنی  </t>
    </r>
    <r>
      <rPr>
        <sz val="10"/>
        <rFont val="Vazirmatn"/>
        <family val="0"/>
        <charset val="1"/>
      </rPr>
      <t xml:space="preserve">3/4</t>
    </r>
  </si>
  <si>
    <t xml:space="preserve">31232357</t>
  </si>
  <si>
    <r>
      <rPr>
        <sz val="10"/>
        <rFont val="FreeSans"/>
        <family val="2"/>
      </rPr>
      <t xml:space="preserve">بوشن آهنی           </t>
    </r>
    <r>
      <rPr>
        <sz val="10"/>
        <rFont val="Vazirmatn"/>
        <family val="0"/>
        <charset val="1"/>
      </rPr>
      <t xml:space="preserve">" 1/2</t>
    </r>
  </si>
  <si>
    <t xml:space="preserve">31232358</t>
  </si>
  <si>
    <r>
      <rPr>
        <sz val="10"/>
        <rFont val="FreeSans"/>
        <family val="2"/>
      </rPr>
      <t xml:space="preserve">بوشن برنجی  </t>
    </r>
    <r>
      <rPr>
        <sz val="10"/>
        <rFont val="Vazirmatn"/>
        <family val="0"/>
        <charset val="1"/>
      </rPr>
      <t xml:space="preserve">" 3/8</t>
    </r>
  </si>
  <si>
    <t xml:space="preserve">31232359</t>
  </si>
  <si>
    <r>
      <rPr>
        <sz val="10"/>
        <rFont val="FreeSans"/>
        <family val="2"/>
      </rPr>
      <t xml:space="preserve">بوش جای طنابی پمپ روغن کشی </t>
    </r>
    <r>
      <rPr>
        <sz val="10"/>
        <rFont val="Vazirmatn"/>
        <family val="0"/>
        <charset val="1"/>
      </rPr>
      <t xml:space="preserve">64 * 70</t>
    </r>
  </si>
  <si>
    <t xml:space="preserve">31232361</t>
  </si>
  <si>
    <r>
      <rPr>
        <sz val="10"/>
        <rFont val="FreeSans"/>
        <family val="2"/>
      </rPr>
      <t xml:space="preserve">بوش آهنی دنده گیربکس همزن گلوکوز </t>
    </r>
    <r>
      <rPr>
        <sz val="10"/>
        <rFont val="Vazirmatn"/>
        <family val="0"/>
        <charset val="1"/>
      </rPr>
      <t xml:space="preserve">126 * 55  MM</t>
    </r>
  </si>
  <si>
    <t xml:space="preserve">31232362</t>
  </si>
  <si>
    <r>
      <rPr>
        <sz val="10"/>
        <rFont val="FreeSans"/>
        <family val="2"/>
      </rPr>
      <t xml:space="preserve">بوش  کالر صاف و سطح پرس روغن </t>
    </r>
    <r>
      <rPr>
        <sz val="10"/>
        <rFont val="Vazirmatn"/>
        <family val="0"/>
        <charset val="1"/>
      </rPr>
      <t xml:space="preserve">1643-GOYUM-1500</t>
    </r>
  </si>
  <si>
    <t xml:space="preserve">31232363</t>
  </si>
  <si>
    <r>
      <rPr>
        <sz val="10"/>
        <rFont val="FreeSans"/>
        <family val="2"/>
      </rPr>
      <t xml:space="preserve">بوش کالر صاف و سطح پرس روغن </t>
    </r>
    <r>
      <rPr>
        <sz val="10"/>
        <rFont val="Vazirmatn"/>
        <family val="0"/>
        <charset val="1"/>
      </rPr>
      <t xml:space="preserve">1644-GOYUM-1500</t>
    </r>
  </si>
  <si>
    <t xml:space="preserve">31232365</t>
  </si>
  <si>
    <r>
      <rPr>
        <sz val="10"/>
        <rFont val="FreeSans"/>
        <family val="2"/>
      </rPr>
      <t xml:space="preserve">بوش فسفر برنز پمپ گلوکوز </t>
    </r>
    <r>
      <rPr>
        <sz val="10"/>
        <rFont val="Vazirmatn"/>
        <family val="0"/>
        <charset val="1"/>
      </rPr>
      <t xml:space="preserve">53 * 67  MM</t>
    </r>
  </si>
  <si>
    <t xml:space="preserve">31232372</t>
  </si>
  <si>
    <r>
      <rPr>
        <sz val="10"/>
        <rFont val="FreeSans"/>
        <family val="2"/>
      </rPr>
      <t xml:space="preserve">بوش جا طنابی پمپ ایران    </t>
    </r>
    <r>
      <rPr>
        <sz val="10"/>
        <rFont val="Vazirmatn"/>
        <family val="0"/>
        <charset val="1"/>
      </rPr>
      <t xml:space="preserve">25 * 30 * 75</t>
    </r>
  </si>
  <si>
    <t xml:space="preserve">31232373</t>
  </si>
  <si>
    <r>
      <rPr>
        <sz val="10"/>
        <rFont val="FreeSans"/>
        <family val="2"/>
      </rPr>
      <t xml:space="preserve">بوش ورودی بخار خشکن جرم  </t>
    </r>
    <r>
      <rPr>
        <sz val="10"/>
        <rFont val="Vazirmatn"/>
        <family val="0"/>
        <charset val="1"/>
      </rPr>
      <t xml:space="preserve">DN 32</t>
    </r>
  </si>
  <si>
    <t xml:space="preserve">31232374</t>
  </si>
  <si>
    <t xml:space="preserve">بوش همزن گلوکز آهنی</t>
  </si>
  <si>
    <t xml:space="preserve">31232375</t>
  </si>
  <si>
    <r>
      <rPr>
        <sz val="10"/>
        <rFont val="FreeSans"/>
        <family val="2"/>
      </rPr>
      <t xml:space="preserve">بوش استیل  منو پمپ </t>
    </r>
    <r>
      <rPr>
        <sz val="10"/>
        <rFont val="Vazirmatn"/>
        <family val="0"/>
        <charset val="1"/>
      </rPr>
      <t xml:space="preserve">86 * 96  MM</t>
    </r>
  </si>
  <si>
    <t xml:space="preserve">31232376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</si>
  <si>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کلگی خشکن    </t>
    </r>
    <r>
      <rPr>
        <sz val="10"/>
        <rFont val="Vazirmatn"/>
        <family val="0"/>
        <charset val="1"/>
      </rPr>
      <t xml:space="preserve">" 2</t>
    </r>
  </si>
  <si>
    <t xml:space="preserve">31232379</t>
  </si>
  <si>
    <t xml:space="preserve">بوش رابط سیلندر و سرسیلندر</t>
  </si>
  <si>
    <t xml:space="preserve">31232380</t>
  </si>
  <si>
    <r>
      <rPr>
        <sz val="10"/>
        <rFont val="FreeSans"/>
        <family val="2"/>
      </rPr>
      <t xml:space="preserve">بوشن لوله برق </t>
    </r>
    <r>
      <rPr>
        <sz val="10"/>
        <rFont val="Vazirmatn"/>
        <family val="0"/>
        <charset val="1"/>
      </rPr>
      <t xml:space="preserve">16</t>
    </r>
  </si>
  <si>
    <t xml:space="preserve">31232382</t>
  </si>
  <si>
    <r>
      <rPr>
        <sz val="10"/>
        <rFont val="FreeSans"/>
        <family val="2"/>
      </rPr>
      <t xml:space="preserve">بوشن لوله  برق </t>
    </r>
    <r>
      <rPr>
        <sz val="10"/>
        <rFont val="Vazirmatn"/>
        <family val="0"/>
        <charset val="1"/>
      </rPr>
      <t xml:space="preserve">13</t>
    </r>
  </si>
  <si>
    <t xml:space="preserve">31232383</t>
  </si>
  <si>
    <r>
      <rPr>
        <sz val="10"/>
        <rFont val="FreeSans"/>
        <family val="2"/>
      </rPr>
      <t xml:space="preserve">بوشن لوله  برق </t>
    </r>
    <r>
      <rPr>
        <sz val="10"/>
        <rFont val="Vazirmatn"/>
        <family val="0"/>
        <charset val="1"/>
      </rPr>
      <t xml:space="preserve">21</t>
    </r>
  </si>
  <si>
    <t xml:space="preserve">31232385</t>
  </si>
  <si>
    <r>
      <rPr>
        <sz val="10"/>
        <rFont val="FreeSans"/>
        <family val="2"/>
      </rPr>
      <t xml:space="preserve">بوشن دو سر دنده آهنی رده </t>
    </r>
    <r>
      <rPr>
        <sz val="10"/>
        <rFont val="Vazirmatn"/>
        <family val="0"/>
        <charset val="1"/>
      </rPr>
      <t xml:space="preserve">80 " 2</t>
    </r>
  </si>
  <si>
    <t xml:space="preserve">31232386</t>
  </si>
  <si>
    <r>
      <rPr>
        <sz val="10"/>
        <rFont val="FreeSans"/>
        <family val="2"/>
      </rPr>
      <t xml:space="preserve">بوشن  </t>
    </r>
    <r>
      <rPr>
        <sz val="10"/>
        <rFont val="Vazirmatn"/>
        <family val="0"/>
        <charset val="1"/>
      </rPr>
      <t xml:space="preserve">" UPVC   5</t>
    </r>
  </si>
  <si>
    <t xml:space="preserve">31232387</t>
  </si>
  <si>
    <r>
      <rPr>
        <sz val="10"/>
        <rFont val="FreeSans"/>
        <family val="2"/>
      </rPr>
      <t xml:space="preserve">بوش پایینی بیرینگ پایین آسیاب ایمپکت  </t>
    </r>
    <r>
      <rPr>
        <sz val="10"/>
        <rFont val="Vazirmatn"/>
        <family val="0"/>
        <charset val="1"/>
      </rPr>
      <t xml:space="preserve">006667</t>
    </r>
  </si>
  <si>
    <t xml:space="preserve">31232388</t>
  </si>
  <si>
    <r>
      <rPr>
        <sz val="10"/>
        <rFont val="FreeSans"/>
        <family val="2"/>
      </rPr>
      <t xml:space="preserve">بوش بلبرینگ پایین آسیاب ایمپکت  </t>
    </r>
    <r>
      <rPr>
        <sz val="10"/>
        <rFont val="Vazirmatn"/>
        <family val="0"/>
        <charset val="1"/>
      </rPr>
      <t xml:space="preserve">006662</t>
    </r>
  </si>
  <si>
    <t xml:space="preserve">31232389</t>
  </si>
  <si>
    <r>
      <rPr>
        <sz val="10"/>
        <rFont val="FreeSans"/>
        <family val="2"/>
      </rPr>
      <t xml:space="preserve">بوش جمپری پولی آسیاب ایمپکت  </t>
    </r>
    <r>
      <rPr>
        <sz val="10"/>
        <rFont val="Vazirmatn"/>
        <family val="0"/>
        <charset val="1"/>
      </rPr>
      <t xml:space="preserve">003-004319</t>
    </r>
  </si>
  <si>
    <t xml:space="preserve">31232390</t>
  </si>
  <si>
    <t xml:space="preserve">بوش کلگی پرس گویوم</t>
  </si>
  <si>
    <t xml:space="preserve">31232391</t>
  </si>
  <si>
    <t xml:space="preserve">بوش فولادی سپراتور تغلیظ</t>
  </si>
  <si>
    <t xml:space="preserve">31232392</t>
  </si>
  <si>
    <r>
      <rPr>
        <sz val="10"/>
        <rFont val="FreeSans"/>
        <family val="2"/>
      </rPr>
      <t xml:space="preserve">بوش فولادی سپراتور تغلیظ </t>
    </r>
    <r>
      <rPr>
        <sz val="10"/>
        <rFont val="Vazirmatn"/>
        <family val="0"/>
        <charset val="1"/>
      </rPr>
      <t xml:space="preserve">.</t>
    </r>
  </si>
  <si>
    <t xml:space="preserve">31232399</t>
  </si>
  <si>
    <r>
      <rPr>
        <sz val="10"/>
        <rFont val="FreeSans"/>
        <family val="2"/>
      </rPr>
      <t xml:space="preserve">بوش اسلیو دکانتور  </t>
    </r>
    <r>
      <rPr>
        <sz val="10"/>
        <rFont val="Vazirmatn"/>
        <family val="0"/>
        <charset val="1"/>
      </rPr>
      <t xml:space="preserve">090 - 6526 - 8417</t>
    </r>
  </si>
  <si>
    <t xml:space="preserve">31232400</t>
  </si>
  <si>
    <r>
      <rPr>
        <sz val="10"/>
        <rFont val="FreeSans"/>
        <family val="2"/>
      </rPr>
      <t xml:space="preserve">بوش اسلیو دکانتور  </t>
    </r>
    <r>
      <rPr>
        <sz val="10"/>
        <rFont val="Vazirmatn"/>
        <family val="0"/>
        <charset val="1"/>
      </rPr>
      <t xml:space="preserve">070 - 6526 - 8417</t>
    </r>
  </si>
  <si>
    <t xml:space="preserve">31232402</t>
  </si>
  <si>
    <r>
      <rPr>
        <sz val="10"/>
        <rFont val="FreeSans"/>
        <family val="2"/>
      </rPr>
      <t xml:space="preserve">بوش اسلیو دکانتور  </t>
    </r>
    <r>
      <rPr>
        <sz val="10"/>
        <rFont val="Vazirmatn"/>
        <family val="0"/>
        <charset val="1"/>
      </rPr>
      <t xml:space="preserve">100 - 6526 - 8417</t>
    </r>
  </si>
  <si>
    <t xml:space="preserve">31232404</t>
  </si>
  <si>
    <t xml:space="preserve">بوش سه پره سپراتور چینی</t>
  </si>
  <si>
    <t xml:space="preserve">31232409</t>
  </si>
  <si>
    <r>
      <rPr>
        <sz val="10"/>
        <rFont val="FreeSans"/>
        <family val="2"/>
      </rPr>
      <t xml:space="preserve">بوش استیل  </t>
    </r>
    <r>
      <rPr>
        <sz val="10"/>
        <rFont val="Vazirmatn"/>
        <family val="0"/>
        <charset val="1"/>
      </rPr>
      <t xml:space="preserve">4/3 2*2 </t>
    </r>
    <r>
      <rPr>
        <sz val="10"/>
        <rFont val="FreeSans"/>
        <family val="2"/>
      </rPr>
      <t xml:space="preserve">اینچ</t>
    </r>
  </si>
  <si>
    <t xml:space="preserve">31232414</t>
  </si>
  <si>
    <r>
      <rPr>
        <sz val="10"/>
        <rFont val="FreeSans"/>
        <family val="2"/>
      </rPr>
      <t xml:space="preserve">بوش استیل پمپ </t>
    </r>
    <r>
      <rPr>
        <sz val="10"/>
        <rFont val="Vazirmatn"/>
        <family val="0"/>
        <charset val="1"/>
      </rPr>
      <t xml:space="preserve">3161</t>
    </r>
  </si>
  <si>
    <t xml:space="preserve">31232416</t>
  </si>
  <si>
    <t xml:space="preserve">بوشن آهنی خشکن گلوتن</t>
  </si>
  <si>
    <t xml:space="preserve">31232417</t>
  </si>
  <si>
    <r>
      <rPr>
        <sz val="10"/>
        <rFont val="FreeSans"/>
        <family val="2"/>
      </rPr>
      <t xml:space="preserve">بوش خروجی بخار خشکن جرم </t>
    </r>
    <r>
      <rPr>
        <sz val="10"/>
        <rFont val="Vazirmatn"/>
        <family val="0"/>
        <charset val="1"/>
      </rPr>
      <t xml:space="preserve">260 * 110</t>
    </r>
  </si>
  <si>
    <t xml:space="preserve">31232418</t>
  </si>
  <si>
    <r>
      <rPr>
        <sz val="10"/>
        <rFont val="FreeSans"/>
        <family val="2"/>
      </rPr>
      <t xml:space="preserve">بوش خروجی بخار خشکن پوسته </t>
    </r>
    <r>
      <rPr>
        <sz val="10"/>
        <rFont val="Vazirmatn"/>
        <family val="0"/>
        <charset val="1"/>
      </rPr>
      <t xml:space="preserve">195 * 80</t>
    </r>
  </si>
  <si>
    <t xml:space="preserve">31232419</t>
  </si>
  <si>
    <t xml:space="preserve">بوش جا طنابی مینی پمپ</t>
  </si>
  <si>
    <t xml:space="preserve">31232420</t>
  </si>
  <si>
    <r>
      <rPr>
        <sz val="10"/>
        <rFont val="FreeSans"/>
        <family val="2"/>
      </rPr>
      <t xml:space="preserve">بوش ورودی بخار خشکن جرم </t>
    </r>
    <r>
      <rPr>
        <sz val="10"/>
        <rFont val="Vazirmatn"/>
        <family val="0"/>
        <charset val="1"/>
      </rPr>
      <t xml:space="preserve">290 * 120</t>
    </r>
  </si>
  <si>
    <t xml:space="preserve">31232421</t>
  </si>
  <si>
    <t xml:space="preserve">بوش شافت</t>
  </si>
  <si>
    <t xml:space="preserve">31232425</t>
  </si>
  <si>
    <r>
      <rPr>
        <sz val="10"/>
        <rFont val="FreeSans"/>
        <family val="2"/>
      </rPr>
      <t xml:space="preserve">بوش استیل دو لبه پمپ </t>
    </r>
    <r>
      <rPr>
        <sz val="10"/>
        <rFont val="Vazirmatn"/>
        <family val="0"/>
        <charset val="1"/>
      </rPr>
      <t xml:space="preserve">140* 53    3141 - 3161</t>
    </r>
  </si>
  <si>
    <t xml:space="preserve">31232427</t>
  </si>
  <si>
    <r>
      <rPr>
        <sz val="10"/>
        <rFont val="FreeSans"/>
        <family val="2"/>
      </rPr>
      <t xml:space="preserve">بوش استیل دنده ای  </t>
    </r>
    <r>
      <rPr>
        <sz val="10"/>
        <rFont val="Vazirmatn"/>
        <family val="0"/>
        <charset val="1"/>
      </rPr>
      <t xml:space="preserve">" 1/8</t>
    </r>
  </si>
  <si>
    <t xml:space="preserve">31232438</t>
  </si>
  <si>
    <r>
      <rPr>
        <sz val="10"/>
        <rFont val="FreeSans"/>
        <family val="2"/>
      </rPr>
      <t xml:space="preserve">بوش رابط گیربکس منو پمپ دکانتور </t>
    </r>
    <r>
      <rPr>
        <sz val="10"/>
        <rFont val="Vazirmatn"/>
        <family val="0"/>
        <charset val="1"/>
      </rPr>
      <t xml:space="preserve">GEA</t>
    </r>
  </si>
  <si>
    <t xml:space="preserve">31232442</t>
  </si>
  <si>
    <t xml:space="preserve">بوش اسلیو آسیاب ایمپکت</t>
  </si>
  <si>
    <t xml:space="preserve">31232448</t>
  </si>
  <si>
    <r>
      <rPr>
        <sz val="10"/>
        <rFont val="FreeSans"/>
        <family val="2"/>
      </rPr>
      <t xml:space="preserve">بوش سیلندر </t>
    </r>
    <r>
      <rPr>
        <sz val="10"/>
        <rFont val="Vazirmatn"/>
        <family val="0"/>
        <charset val="1"/>
      </rPr>
      <t xml:space="preserve">282AK</t>
    </r>
  </si>
  <si>
    <t xml:space="preserve">31232449</t>
  </si>
  <si>
    <r>
      <rPr>
        <sz val="10"/>
        <rFont val="FreeSans"/>
        <family val="2"/>
      </rPr>
      <t xml:space="preserve">بوش گژنپین </t>
    </r>
    <r>
      <rPr>
        <sz val="10"/>
        <rFont val="Vazirmatn"/>
        <family val="0"/>
        <charset val="1"/>
      </rPr>
      <t xml:space="preserve">282AK</t>
    </r>
  </si>
  <si>
    <t xml:space="preserve">31232452</t>
  </si>
  <si>
    <r>
      <rPr>
        <sz val="10"/>
        <rFont val="FreeSans"/>
        <family val="2"/>
      </rPr>
      <t xml:space="preserve">بوشن تبدیلی دنده ای برنجی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مخصوص دسته کارواش </t>
    </r>
    <r>
      <rPr>
        <sz val="10"/>
        <rFont val="Vazirmatn"/>
        <family val="0"/>
        <charset val="1"/>
      </rPr>
      <t xml:space="preserve">) " 3/8 * " 1/4</t>
    </r>
  </si>
  <si>
    <t xml:space="preserve">31232454</t>
  </si>
  <si>
    <r>
      <rPr>
        <sz val="10"/>
        <rFont val="FreeSans"/>
        <family val="2"/>
      </rPr>
      <t xml:space="preserve">بوشن پرسی نیوپایپ  </t>
    </r>
    <r>
      <rPr>
        <sz val="10"/>
        <rFont val="Vazirmatn"/>
        <family val="0"/>
        <charset val="1"/>
      </rPr>
      <t xml:space="preserve">20*16</t>
    </r>
  </si>
  <si>
    <t xml:space="preserve">31232455</t>
  </si>
  <si>
    <r>
      <rPr>
        <sz val="10"/>
        <rFont val="FreeSans"/>
        <family val="2"/>
      </rPr>
      <t xml:space="preserve">بوشن پرسی نیوپایپ  </t>
    </r>
    <r>
      <rPr>
        <sz val="10"/>
        <rFont val="Vazirmatn"/>
        <family val="0"/>
        <charset val="1"/>
      </rPr>
      <t xml:space="preserve">20*25</t>
    </r>
  </si>
  <si>
    <t xml:space="preserve">31232456</t>
  </si>
  <si>
    <r>
      <rPr>
        <sz val="10"/>
        <rFont val="FreeSans"/>
        <family val="2"/>
      </rPr>
      <t xml:space="preserve">بوشن پرسی نیوپایپ  </t>
    </r>
    <r>
      <rPr>
        <sz val="10"/>
        <rFont val="Vazirmatn"/>
        <family val="0"/>
        <charset val="1"/>
      </rPr>
      <t xml:space="preserve">25*16</t>
    </r>
  </si>
  <si>
    <t xml:space="preserve">31232531</t>
  </si>
  <si>
    <t xml:space="preserve">بوش گریس پخش کن واش باطری</t>
  </si>
  <si>
    <t xml:space="preserve">31232561</t>
  </si>
  <si>
    <t xml:space="preserve">بوش برنجی پمپ استخر</t>
  </si>
  <si>
    <t xml:space="preserve">31232562</t>
  </si>
  <si>
    <r>
      <rPr>
        <sz val="10"/>
        <rFont val="FreeSans"/>
        <family val="2"/>
      </rPr>
      <t xml:space="preserve">گلوئی برنجی شفت سپراتور  </t>
    </r>
    <r>
      <rPr>
        <sz val="10"/>
        <rFont val="Vazirmatn"/>
        <family val="0"/>
        <charset val="1"/>
      </rPr>
      <t xml:space="preserve">70352</t>
    </r>
  </si>
  <si>
    <t xml:space="preserve">31232581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</si>
  <si>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" 1/2   CPVC</t>
    </r>
  </si>
  <si>
    <t xml:space="preserve">31232582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</si>
  <si>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" 1/4 1   CPVC</t>
    </r>
  </si>
  <si>
    <t xml:space="preserve">31232583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</si>
  <si>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" 1/2 1   CPVC</t>
    </r>
  </si>
  <si>
    <t xml:space="preserve">31232584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</si>
  <si>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"  2   CPVC</t>
    </r>
  </si>
  <si>
    <t xml:space="preserve">31232585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</si>
  <si>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" 1/2 2   CPVC</t>
    </r>
  </si>
  <si>
    <t xml:space="preserve">31232586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</si>
  <si>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"  3   CPVC</t>
    </r>
  </si>
  <si>
    <t xml:space="preserve">31232587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</si>
  <si>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"  4   CPVC</t>
    </r>
  </si>
  <si>
    <t xml:space="preserve">31232588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</si>
  <si>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"  5   CPVC</t>
    </r>
  </si>
  <si>
    <t xml:space="preserve">31232589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</si>
  <si>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" 3/4    CPVC</t>
    </r>
  </si>
  <si>
    <t xml:space="preserve">31232590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</si>
  <si>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"  1   CPVC</t>
    </r>
  </si>
  <si>
    <t xml:space="preserve">31232591</t>
  </si>
  <si>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"  6   CPVC</t>
    </r>
  </si>
  <si>
    <t xml:space="preserve">31232601</t>
  </si>
  <si>
    <r>
      <rPr>
        <sz val="10"/>
        <rFont val="FreeSans"/>
        <family val="2"/>
      </rPr>
      <t xml:space="preserve">واشر خاردار  بوش بلبرینگ </t>
    </r>
    <r>
      <rPr>
        <sz val="10"/>
        <rFont val="Vazirmatn"/>
        <family val="0"/>
        <charset val="1"/>
      </rPr>
      <t xml:space="preserve">"</t>
    </r>
  </si>
  <si>
    <t xml:space="preserve">31232603</t>
  </si>
  <si>
    <r>
      <rPr>
        <sz val="10"/>
        <rFont val="FreeSans"/>
        <family val="2"/>
      </rPr>
      <t xml:space="preserve">واشرخاردار  بوش بلبرینگ </t>
    </r>
    <r>
      <rPr>
        <sz val="10"/>
        <rFont val="Vazirmatn"/>
        <family val="0"/>
        <charset val="1"/>
      </rPr>
      <t xml:space="preserve">35</t>
    </r>
  </si>
  <si>
    <t xml:space="preserve">31232605</t>
  </si>
  <si>
    <t xml:space="preserve">واشر خار دار  بوش  بلبرینگ</t>
  </si>
  <si>
    <t xml:space="preserve">31232606</t>
  </si>
  <si>
    <r>
      <rPr>
        <sz val="10"/>
        <rFont val="FreeSans"/>
        <family val="2"/>
      </rPr>
      <t xml:space="preserve">واشرخاردار  بوش بلبرینگ              </t>
    </r>
    <r>
      <rPr>
        <sz val="10"/>
        <rFont val="Vazirmatn"/>
        <family val="0"/>
        <charset val="1"/>
      </rPr>
      <t xml:space="preserve">MB  70</t>
    </r>
  </si>
  <si>
    <t xml:space="preserve">31232607</t>
  </si>
  <si>
    <t xml:space="preserve">واشر خاردار  بوش بلبرینگ</t>
  </si>
  <si>
    <t xml:space="preserve">31232608</t>
  </si>
  <si>
    <t xml:space="preserve">واشرخاردار بوش بلبرینگ</t>
  </si>
  <si>
    <t xml:space="preserve">31232609</t>
  </si>
  <si>
    <r>
      <rPr>
        <sz val="10"/>
        <rFont val="FreeSans"/>
        <family val="2"/>
      </rPr>
      <t xml:space="preserve">واشر خاردار  </t>
    </r>
    <r>
      <rPr>
        <sz val="10"/>
        <rFont val="Vazirmatn"/>
        <family val="0"/>
        <charset val="1"/>
      </rPr>
      <t xml:space="preserve">30</t>
    </r>
  </si>
  <si>
    <t xml:space="preserve">31232610</t>
  </si>
  <si>
    <r>
      <rPr>
        <sz val="10"/>
        <rFont val="FreeSans"/>
        <family val="2"/>
      </rPr>
      <t xml:space="preserve">واشر خورشیدی قطر </t>
    </r>
    <r>
      <rPr>
        <sz val="10"/>
        <rFont val="Vazirmatn"/>
        <family val="0"/>
        <charset val="1"/>
      </rPr>
      <t xml:space="preserve">75</t>
    </r>
  </si>
  <si>
    <t xml:space="preserve">31232611</t>
  </si>
  <si>
    <r>
      <rPr>
        <sz val="10"/>
        <rFont val="FreeSans"/>
        <family val="2"/>
      </rPr>
      <t xml:space="preserve">واشر خاردار  بوش بلبرینگ </t>
    </r>
    <r>
      <rPr>
        <sz val="10"/>
        <rFont val="Vazirmatn"/>
        <family val="0"/>
        <charset val="1"/>
      </rPr>
      <t xml:space="preserve">.</t>
    </r>
  </si>
  <si>
    <t xml:space="preserve">31232612</t>
  </si>
  <si>
    <r>
      <rPr>
        <sz val="10"/>
        <rFont val="FreeSans"/>
        <family val="2"/>
      </rPr>
      <t xml:space="preserve">واشر خورشیدی قطر </t>
    </r>
    <r>
      <rPr>
        <sz val="10"/>
        <rFont val="Vazirmatn"/>
        <family val="0"/>
        <charset val="1"/>
      </rPr>
      <t xml:space="preserve">190  MB 38</t>
    </r>
  </si>
  <si>
    <t xml:space="preserve">31232613</t>
  </si>
  <si>
    <r>
      <rPr>
        <sz val="10"/>
        <rFont val="FreeSans"/>
        <family val="2"/>
      </rPr>
      <t xml:space="preserve">واشر خاردار  بوش بلبرینگ </t>
    </r>
    <r>
      <rPr>
        <sz val="10"/>
        <rFont val="Vazirmatn"/>
        <family val="0"/>
        <charset val="1"/>
      </rPr>
      <t xml:space="preserve">50</t>
    </r>
  </si>
  <si>
    <t xml:space="preserve">31232615</t>
  </si>
  <si>
    <r>
      <rPr>
        <sz val="10"/>
        <rFont val="FreeSans"/>
        <family val="2"/>
      </rPr>
      <t xml:space="preserve">واشر خاردار بوش بلبرینگ   </t>
    </r>
    <r>
      <rPr>
        <sz val="10"/>
        <rFont val="Vazirmatn"/>
        <family val="0"/>
        <charset val="1"/>
      </rPr>
      <t xml:space="preserve">22240</t>
    </r>
  </si>
  <si>
    <t xml:space="preserve">31232697</t>
  </si>
  <si>
    <r>
      <rPr>
        <sz val="10"/>
        <rFont val="FreeSans"/>
        <family val="2"/>
      </rPr>
      <t xml:space="preserve">مهره چاکنت  </t>
    </r>
    <r>
      <rPr>
        <sz val="10"/>
        <rFont val="Vazirmatn"/>
        <family val="0"/>
        <charset val="1"/>
      </rPr>
      <t xml:space="preserve">KM 12</t>
    </r>
  </si>
  <si>
    <t xml:space="preserve">31232698</t>
  </si>
  <si>
    <r>
      <rPr>
        <sz val="10"/>
        <rFont val="FreeSans"/>
        <family val="2"/>
      </rPr>
      <t xml:space="preserve">مهره چاکنت  </t>
    </r>
    <r>
      <rPr>
        <sz val="10"/>
        <rFont val="Vazirmatn"/>
        <family val="0"/>
        <charset val="1"/>
      </rPr>
      <t xml:space="preserve">KM 14</t>
    </r>
  </si>
  <si>
    <t xml:space="preserve">31232699</t>
  </si>
  <si>
    <r>
      <rPr>
        <sz val="10"/>
        <rFont val="FreeSans"/>
        <family val="2"/>
      </rPr>
      <t xml:space="preserve">مهره چاکنت  </t>
    </r>
    <r>
      <rPr>
        <sz val="10"/>
        <rFont val="Vazirmatn"/>
        <family val="0"/>
        <charset val="1"/>
      </rPr>
      <t xml:space="preserve">KM 10</t>
    </r>
  </si>
  <si>
    <t xml:space="preserve">31232700</t>
  </si>
  <si>
    <r>
      <rPr>
        <sz val="10"/>
        <rFont val="FreeSans"/>
        <family val="2"/>
      </rPr>
      <t xml:space="preserve">مهره چاکنت  </t>
    </r>
    <r>
      <rPr>
        <sz val="10"/>
        <rFont val="Vazirmatn"/>
        <family val="0"/>
        <charset val="1"/>
      </rPr>
      <t xml:space="preserve">KM 07</t>
    </r>
  </si>
  <si>
    <t xml:space="preserve">31232701</t>
  </si>
  <si>
    <r>
      <rPr>
        <sz val="10"/>
        <rFont val="FreeSans"/>
        <family val="2"/>
      </rPr>
      <t xml:space="preserve">مهره چاکنت  </t>
    </r>
    <r>
      <rPr>
        <sz val="10"/>
        <rFont val="Vazirmatn"/>
        <family val="0"/>
        <charset val="1"/>
      </rPr>
      <t xml:space="preserve">KM 08</t>
    </r>
  </si>
  <si>
    <t xml:space="preserve">31232704</t>
  </si>
  <si>
    <r>
      <rPr>
        <sz val="10"/>
        <rFont val="FreeSans"/>
        <family val="2"/>
      </rPr>
      <t xml:space="preserve">مهره چاکنت  </t>
    </r>
    <r>
      <rPr>
        <sz val="10"/>
        <rFont val="Vazirmatn"/>
        <family val="0"/>
        <charset val="1"/>
      </rPr>
      <t xml:space="preserve">AN 09 </t>
    </r>
    <r>
      <rPr>
        <sz val="10"/>
        <rFont val="FreeSans"/>
        <family val="2"/>
      </rPr>
      <t xml:space="preserve">گام </t>
    </r>
    <r>
      <rPr>
        <sz val="10"/>
        <rFont val="Vazirmatn"/>
        <family val="0"/>
        <charset val="1"/>
      </rPr>
      <t xml:space="preserve">1/5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45</t>
    </r>
  </si>
  <si>
    <t xml:space="preserve">31232705</t>
  </si>
  <si>
    <r>
      <rPr>
        <sz val="10"/>
        <rFont val="FreeSans"/>
        <family val="2"/>
      </rPr>
      <t xml:space="preserve">مهره  شفت شربت </t>
    </r>
    <r>
      <rPr>
        <sz val="10"/>
        <rFont val="Vazirmatn"/>
        <family val="0"/>
        <charset val="1"/>
      </rPr>
      <t xml:space="preserve">KM  05</t>
    </r>
  </si>
  <si>
    <t xml:space="preserve">31232706</t>
  </si>
  <si>
    <r>
      <rPr>
        <sz val="10"/>
        <rFont val="FreeSans"/>
        <family val="2"/>
      </rPr>
      <t xml:space="preserve">مهره چاکنت  </t>
    </r>
    <r>
      <rPr>
        <sz val="10"/>
        <rFont val="Vazirmatn"/>
        <family val="0"/>
        <charset val="1"/>
      </rPr>
      <t xml:space="preserve">AN 11  </t>
    </r>
    <r>
      <rPr>
        <sz val="10"/>
        <rFont val="FreeSans"/>
        <family val="2"/>
      </rPr>
      <t xml:space="preserve">گام </t>
    </r>
    <r>
      <rPr>
        <sz val="10"/>
        <rFont val="Vazirmatn"/>
        <family val="0"/>
        <charset val="1"/>
      </rPr>
      <t xml:space="preserve">2 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55</t>
    </r>
  </si>
  <si>
    <t xml:space="preserve">31232713</t>
  </si>
  <si>
    <r>
      <rPr>
        <sz val="10"/>
        <rFont val="FreeSans"/>
        <family val="2"/>
      </rPr>
      <t xml:space="preserve">مهره شفت پمپ سرند </t>
    </r>
    <r>
      <rPr>
        <sz val="10"/>
        <rFont val="Vazirmatn"/>
        <family val="0"/>
        <charset val="1"/>
      </rPr>
      <t xml:space="preserve">06 KM</t>
    </r>
  </si>
  <si>
    <t xml:space="preserve">31232714</t>
  </si>
  <si>
    <r>
      <rPr>
        <sz val="10"/>
        <rFont val="FreeSans"/>
        <family val="2"/>
      </rPr>
      <t xml:space="preserve">مهره بوش بلبرینگ  </t>
    </r>
    <r>
      <rPr>
        <sz val="10"/>
        <rFont val="Vazirmatn"/>
        <family val="0"/>
        <charset val="1"/>
      </rPr>
      <t xml:space="preserve">KM08</t>
    </r>
  </si>
  <si>
    <t xml:space="preserve">31232715</t>
  </si>
  <si>
    <r>
      <rPr>
        <sz val="10"/>
        <rFont val="FreeSans"/>
        <family val="2"/>
      </rPr>
      <t xml:space="preserve">مهره بوش بلبرینگ   </t>
    </r>
    <r>
      <rPr>
        <sz val="10"/>
        <rFont val="Vazirmatn"/>
        <family val="0"/>
        <charset val="1"/>
      </rPr>
      <t xml:space="preserve">22240</t>
    </r>
  </si>
  <si>
    <t xml:space="preserve">31232716</t>
  </si>
  <si>
    <r>
      <rPr>
        <sz val="10"/>
        <rFont val="FreeSans"/>
        <family val="2"/>
      </rPr>
      <t xml:space="preserve">مهره چاکنت  </t>
    </r>
    <r>
      <rPr>
        <sz val="10"/>
        <rFont val="Vazirmatn"/>
        <family val="0"/>
        <charset val="1"/>
      </rPr>
      <t xml:space="preserve">KM 17</t>
    </r>
  </si>
  <si>
    <t xml:space="preserve">31232717</t>
  </si>
  <si>
    <t xml:space="preserve">مهره بوش  بلبرینگ</t>
  </si>
  <si>
    <t xml:space="preserve">31232718</t>
  </si>
  <si>
    <t xml:space="preserve">مهره آهنی شفت</t>
  </si>
  <si>
    <t xml:space="preserve">31232801</t>
  </si>
  <si>
    <t xml:space="preserve">مهره برنجی بوش بلبرینگ</t>
  </si>
  <si>
    <t xml:space="preserve">31234101</t>
  </si>
  <si>
    <r>
      <rPr>
        <sz val="10"/>
        <rFont val="FreeSans"/>
        <family val="2"/>
      </rPr>
      <t xml:space="preserve">یاطاقان بلبرینگ   </t>
    </r>
    <r>
      <rPr>
        <sz val="10"/>
        <rFont val="Vazirmatn"/>
        <family val="0"/>
        <charset val="1"/>
      </rPr>
      <t xml:space="preserve">209 P</t>
    </r>
  </si>
  <si>
    <t xml:space="preserve">31234102</t>
  </si>
  <si>
    <r>
      <rPr>
        <sz val="10"/>
        <rFont val="FreeSans"/>
        <family val="2"/>
      </rPr>
      <t xml:space="preserve">یاطاقان ژنراتور  </t>
    </r>
    <r>
      <rPr>
        <sz val="10"/>
        <rFont val="Vazirmatn"/>
        <family val="0"/>
        <charset val="1"/>
      </rPr>
      <t xml:space="preserve">223123008</t>
    </r>
  </si>
  <si>
    <t xml:space="preserve">31234103</t>
  </si>
  <si>
    <r>
      <rPr>
        <sz val="10"/>
        <rFont val="FreeSans"/>
        <family val="2"/>
      </rPr>
      <t xml:space="preserve">یاتاقان خشک کن پوسته  </t>
    </r>
    <r>
      <rPr>
        <sz val="10"/>
        <rFont val="Vazirmatn"/>
        <family val="0"/>
        <charset val="1"/>
      </rPr>
      <t xml:space="preserve">GG  51310</t>
    </r>
  </si>
  <si>
    <t xml:space="preserve">31234104</t>
  </si>
  <si>
    <r>
      <rPr>
        <sz val="10"/>
        <rFont val="FreeSans"/>
        <family val="2"/>
      </rPr>
      <t xml:space="preserve">یاطاقان              </t>
    </r>
    <r>
      <rPr>
        <sz val="10"/>
        <rFont val="Vazirmatn"/>
        <family val="0"/>
        <charset val="1"/>
      </rPr>
      <t xml:space="preserve">SL 205</t>
    </r>
  </si>
  <si>
    <t xml:space="preserve">31234105</t>
  </si>
  <si>
    <r>
      <rPr>
        <sz val="10"/>
        <rFont val="FreeSans"/>
        <family val="2"/>
      </rPr>
      <t xml:space="preserve">یاتاقان هوزینگ پایین خشکن </t>
    </r>
    <r>
      <rPr>
        <sz val="10"/>
        <rFont val="Vazirmatn"/>
        <family val="0"/>
        <charset val="1"/>
      </rPr>
      <t xml:space="preserve">GG 51 280-RK8</t>
    </r>
  </si>
  <si>
    <t xml:space="preserve">31234107</t>
  </si>
  <si>
    <r>
      <rPr>
        <sz val="10"/>
        <rFont val="FreeSans"/>
        <family val="2"/>
      </rPr>
      <t xml:space="preserve">یاطاقان                </t>
    </r>
    <r>
      <rPr>
        <sz val="10"/>
        <rFont val="Vazirmatn"/>
        <family val="0"/>
        <charset val="1"/>
      </rPr>
      <t xml:space="preserve">516 SN</t>
    </r>
  </si>
  <si>
    <t xml:space="preserve">31234108</t>
  </si>
  <si>
    <t xml:space="preserve">یاتاقان پدل میکسر</t>
  </si>
  <si>
    <t xml:space="preserve">31234110</t>
  </si>
  <si>
    <r>
      <rPr>
        <sz val="10"/>
        <rFont val="FreeSans"/>
        <family val="2"/>
      </rPr>
      <t xml:space="preserve">یاطاقان بلبرینگ      </t>
    </r>
    <r>
      <rPr>
        <sz val="10"/>
        <rFont val="Vazirmatn"/>
        <family val="0"/>
        <charset val="1"/>
      </rPr>
      <t xml:space="preserve">208 P</t>
    </r>
  </si>
  <si>
    <t xml:space="preserve">31234111</t>
  </si>
  <si>
    <t xml:space="preserve">یاتاقان  همزن درام کربن</t>
  </si>
  <si>
    <t xml:space="preserve">31234113</t>
  </si>
  <si>
    <r>
      <rPr>
        <sz val="10"/>
        <rFont val="FreeSans"/>
        <family val="2"/>
      </rPr>
      <t xml:space="preserve">پوسته یاتاقان پمپ ایران </t>
    </r>
    <r>
      <rPr>
        <sz val="10"/>
        <rFont val="Vazirmatn"/>
        <family val="0"/>
        <charset val="1"/>
      </rPr>
      <t xml:space="preserve">200 - 65</t>
    </r>
  </si>
  <si>
    <t xml:space="preserve">31234115</t>
  </si>
  <si>
    <r>
      <rPr>
        <sz val="10"/>
        <rFont val="FreeSans"/>
        <family val="2"/>
      </rPr>
      <t xml:space="preserve">یاطاقان با بلبرینگ   </t>
    </r>
    <r>
      <rPr>
        <sz val="10"/>
        <rFont val="Vazirmatn"/>
        <family val="0"/>
        <charset val="1"/>
      </rPr>
      <t xml:space="preserve">204 F</t>
    </r>
  </si>
  <si>
    <t xml:space="preserve">31234116</t>
  </si>
  <si>
    <r>
      <rPr>
        <sz val="10"/>
        <rFont val="FreeSans"/>
        <family val="2"/>
      </rPr>
      <t xml:space="preserve">یاطاقان بلبرینگ   </t>
    </r>
    <r>
      <rPr>
        <sz val="10"/>
        <rFont val="Vazirmatn"/>
        <family val="0"/>
        <charset val="1"/>
      </rPr>
      <t xml:space="preserve">205 F</t>
    </r>
  </si>
  <si>
    <t xml:space="preserve">31234118</t>
  </si>
  <si>
    <r>
      <rPr>
        <sz val="10"/>
        <rFont val="FreeSans"/>
        <family val="2"/>
      </rPr>
      <t xml:space="preserve">یاتاقان خشک کن پوسته  </t>
    </r>
    <r>
      <rPr>
        <sz val="10"/>
        <rFont val="Vazirmatn"/>
        <family val="0"/>
        <charset val="1"/>
      </rPr>
      <t xml:space="preserve">GG 51280 RK8</t>
    </r>
  </si>
  <si>
    <t xml:space="preserve">31234119</t>
  </si>
  <si>
    <r>
      <rPr>
        <sz val="10"/>
        <rFont val="FreeSans"/>
        <family val="2"/>
      </rPr>
      <t xml:space="preserve">یاطاقان بلبرینگ   </t>
    </r>
    <r>
      <rPr>
        <sz val="10"/>
        <rFont val="Vazirmatn"/>
        <family val="0"/>
        <charset val="1"/>
      </rPr>
      <t xml:space="preserve">P 205</t>
    </r>
  </si>
  <si>
    <t xml:space="preserve">31234120</t>
  </si>
  <si>
    <r>
      <rPr>
        <sz val="10"/>
        <rFont val="FreeSans"/>
        <family val="2"/>
      </rPr>
      <t xml:space="preserve">پوسته یاتاقان پمپ ایران </t>
    </r>
    <r>
      <rPr>
        <sz val="10"/>
        <rFont val="Vazirmatn"/>
        <family val="0"/>
        <charset val="1"/>
      </rPr>
      <t xml:space="preserve">200 - 50</t>
    </r>
  </si>
  <si>
    <t xml:space="preserve">31234121</t>
  </si>
  <si>
    <r>
      <rPr>
        <sz val="10"/>
        <rFont val="FreeSans"/>
        <family val="2"/>
      </rPr>
      <t xml:space="preserve">پوسته یاتاقان پمپ  </t>
    </r>
    <r>
      <rPr>
        <sz val="10"/>
        <rFont val="Vazirmatn"/>
        <family val="0"/>
        <charset val="1"/>
      </rPr>
      <t xml:space="preserve">IHD100-65-315</t>
    </r>
  </si>
  <si>
    <t xml:space="preserve">31234123</t>
  </si>
  <si>
    <r>
      <rPr>
        <sz val="10"/>
        <rFont val="FreeSans"/>
        <family val="2"/>
      </rPr>
      <t xml:space="preserve">پوسته یاتاقان پمپ  </t>
    </r>
    <r>
      <rPr>
        <sz val="10"/>
        <rFont val="Vazirmatn"/>
        <family val="0"/>
        <charset val="1"/>
      </rPr>
      <t xml:space="preserve">IHD250-200-315</t>
    </r>
  </si>
  <si>
    <t xml:space="preserve">31234127</t>
  </si>
  <si>
    <r>
      <rPr>
        <sz val="10"/>
        <rFont val="FreeSans"/>
        <family val="2"/>
      </rPr>
      <t xml:space="preserve">پوسته یاتاقان پمپ ایران </t>
    </r>
    <r>
      <rPr>
        <sz val="10"/>
        <rFont val="Vazirmatn"/>
        <family val="0"/>
        <charset val="1"/>
      </rPr>
      <t xml:space="preserve">315 - 65</t>
    </r>
  </si>
  <si>
    <t xml:space="preserve">31234129</t>
  </si>
  <si>
    <r>
      <rPr>
        <sz val="10"/>
        <rFont val="FreeSans"/>
        <family val="2"/>
      </rPr>
      <t xml:space="preserve">یاطاقان بلبرینگ  </t>
    </r>
    <r>
      <rPr>
        <sz val="10"/>
        <rFont val="Vazirmatn"/>
        <family val="0"/>
        <charset val="1"/>
      </rPr>
      <t xml:space="preserve">210 F</t>
    </r>
  </si>
  <si>
    <t xml:space="preserve">31234131</t>
  </si>
  <si>
    <r>
      <rPr>
        <sz val="10"/>
        <rFont val="FreeSans"/>
        <family val="2"/>
      </rPr>
      <t xml:space="preserve">یاطاقان بلبرینگ   </t>
    </r>
    <r>
      <rPr>
        <sz val="10"/>
        <rFont val="Vazirmatn"/>
        <family val="0"/>
        <charset val="1"/>
      </rPr>
      <t xml:space="preserve">210 P</t>
    </r>
  </si>
  <si>
    <t xml:space="preserve">31234136</t>
  </si>
  <si>
    <r>
      <rPr>
        <sz val="10"/>
        <rFont val="FreeSans"/>
        <family val="2"/>
      </rPr>
      <t xml:space="preserve">یاطاقان بلبرینگ        </t>
    </r>
    <r>
      <rPr>
        <sz val="10"/>
        <rFont val="Vazirmatn"/>
        <family val="0"/>
        <charset val="1"/>
      </rPr>
      <t xml:space="preserve">212 F</t>
    </r>
  </si>
  <si>
    <t xml:space="preserve">31234137</t>
  </si>
  <si>
    <r>
      <rPr>
        <sz val="10"/>
        <rFont val="FreeSans"/>
        <family val="2"/>
      </rPr>
      <t xml:space="preserve">یاطاقان بلبرینگ       </t>
    </r>
    <r>
      <rPr>
        <sz val="10"/>
        <rFont val="Vazirmatn"/>
        <family val="0"/>
        <charset val="1"/>
      </rPr>
      <t xml:space="preserve">213 F</t>
    </r>
  </si>
  <si>
    <t xml:space="preserve">31234141</t>
  </si>
  <si>
    <r>
      <rPr>
        <sz val="10"/>
        <rFont val="FreeSans"/>
        <family val="2"/>
      </rPr>
      <t xml:space="preserve">یاطاقان بلبرینگ    </t>
    </r>
    <r>
      <rPr>
        <sz val="10"/>
        <rFont val="Vazirmatn"/>
        <family val="0"/>
        <charset val="1"/>
      </rPr>
      <t xml:space="preserve">F 209</t>
    </r>
  </si>
  <si>
    <t xml:space="preserve">31234142</t>
  </si>
  <si>
    <r>
      <rPr>
        <sz val="10"/>
        <rFont val="FreeSans"/>
        <family val="2"/>
      </rPr>
      <t xml:space="preserve">یاطاقان بلبرینگ کامل  </t>
    </r>
    <r>
      <rPr>
        <sz val="10"/>
        <rFont val="Vazirmatn"/>
        <family val="0"/>
        <charset val="1"/>
      </rPr>
      <t xml:space="preserve">FC  205</t>
    </r>
  </si>
  <si>
    <t xml:space="preserve">31234143</t>
  </si>
  <si>
    <r>
      <rPr>
        <sz val="10"/>
        <rFont val="FreeSans"/>
        <family val="2"/>
      </rPr>
      <t xml:space="preserve">یاطاقان بلبرینگ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گوش  </t>
    </r>
    <r>
      <rPr>
        <sz val="10"/>
        <rFont val="Vazirmatn"/>
        <family val="0"/>
        <charset val="1"/>
      </rPr>
      <t xml:space="preserve">513 U</t>
    </r>
  </si>
  <si>
    <t xml:space="preserve">31234149</t>
  </si>
  <si>
    <r>
      <rPr>
        <sz val="10"/>
        <rFont val="FreeSans"/>
        <family val="2"/>
      </rPr>
      <t xml:space="preserve">یاطاقان با بلبرینگ      </t>
    </r>
    <r>
      <rPr>
        <sz val="10"/>
        <rFont val="Vazirmatn"/>
        <family val="0"/>
        <charset val="1"/>
      </rPr>
      <t xml:space="preserve">722510</t>
    </r>
  </si>
  <si>
    <t xml:space="preserve">31234159</t>
  </si>
  <si>
    <r>
      <rPr>
        <sz val="10"/>
        <rFont val="FreeSans"/>
        <family val="2"/>
      </rPr>
      <t xml:space="preserve">بلبرینگ  یاطاقان       </t>
    </r>
    <r>
      <rPr>
        <sz val="10"/>
        <rFont val="Vazirmatn"/>
        <family val="0"/>
        <charset val="1"/>
      </rPr>
      <t xml:space="preserve">312</t>
    </r>
  </si>
  <si>
    <t xml:space="preserve">31234161</t>
  </si>
  <si>
    <r>
      <rPr>
        <sz val="10"/>
        <rFont val="FreeSans"/>
        <family val="2"/>
      </rPr>
      <t xml:space="preserve">یاطاقان با بلبرینگ     </t>
    </r>
    <r>
      <rPr>
        <sz val="10"/>
        <rFont val="Vazirmatn"/>
        <family val="0"/>
        <charset val="1"/>
      </rPr>
      <t xml:space="preserve">208 F</t>
    </r>
  </si>
  <si>
    <t xml:space="preserve">31234165</t>
  </si>
  <si>
    <r>
      <rPr>
        <sz val="10"/>
        <rFont val="FreeSans"/>
        <family val="2"/>
      </rPr>
      <t xml:space="preserve">پوسته یاطاقان       </t>
    </r>
    <r>
      <rPr>
        <sz val="10"/>
        <rFont val="Vazirmatn"/>
        <family val="0"/>
        <charset val="1"/>
      </rPr>
      <t xml:space="preserve">610  SN</t>
    </r>
  </si>
  <si>
    <t xml:space="preserve">31234167</t>
  </si>
  <si>
    <t xml:space="preserve">یاطاقان تفلونی هلیس</t>
  </si>
  <si>
    <t xml:space="preserve">31234168</t>
  </si>
  <si>
    <t xml:space="preserve">یاطاقان تفلو نی</t>
  </si>
  <si>
    <t xml:space="preserve">31234169</t>
  </si>
  <si>
    <t xml:space="preserve">یاتاقان تفلونی پلی آمید</t>
  </si>
  <si>
    <t xml:space="preserve">31234170</t>
  </si>
  <si>
    <t xml:space="preserve">یاتاقان تفلونی هلیس</t>
  </si>
  <si>
    <t xml:space="preserve">31234171</t>
  </si>
  <si>
    <r>
      <rPr>
        <sz val="10"/>
        <rFont val="FreeSans"/>
        <family val="2"/>
      </rPr>
      <t xml:space="preserve">یاتاقان تفلونی هلیس </t>
    </r>
    <r>
      <rPr>
        <sz val="10"/>
        <rFont val="Vazirmatn"/>
        <family val="0"/>
        <charset val="1"/>
      </rPr>
      <t xml:space="preserve">" 1/2 2</t>
    </r>
  </si>
  <si>
    <t xml:space="preserve">31234176</t>
  </si>
  <si>
    <r>
      <rPr>
        <sz val="10"/>
        <rFont val="FreeSans"/>
        <family val="2"/>
      </rPr>
      <t xml:space="preserve">یاتاقان برنجی هلیس </t>
    </r>
    <r>
      <rPr>
        <sz val="10"/>
        <rFont val="Vazirmatn"/>
        <family val="0"/>
        <charset val="1"/>
      </rPr>
      <t xml:space="preserve">"4</t>
    </r>
  </si>
  <si>
    <t xml:space="preserve">31234177</t>
  </si>
  <si>
    <r>
      <rPr>
        <sz val="10"/>
        <rFont val="FreeSans"/>
        <family val="2"/>
      </rPr>
      <t xml:space="preserve">یاتاقان کارواش برتولینی </t>
    </r>
    <r>
      <rPr>
        <sz val="10"/>
        <rFont val="Vazirmatn"/>
        <family val="0"/>
        <charset val="1"/>
      </rPr>
      <t xml:space="preserve">150bar</t>
    </r>
  </si>
  <si>
    <t xml:space="preserve">31234178</t>
  </si>
  <si>
    <r>
      <rPr>
        <sz val="10"/>
        <rFont val="FreeSans"/>
        <family val="2"/>
      </rPr>
      <t xml:space="preserve">یاتاقان کولر آبی  </t>
    </r>
    <r>
      <rPr>
        <sz val="10"/>
        <rFont val="Vazirmatn"/>
        <family val="0"/>
        <charset val="1"/>
      </rPr>
      <t xml:space="preserve">6500</t>
    </r>
  </si>
  <si>
    <t xml:space="preserve">31234180</t>
  </si>
  <si>
    <r>
      <rPr>
        <sz val="10"/>
        <rFont val="FreeSans"/>
        <family val="2"/>
      </rPr>
      <t xml:space="preserve">یاتاقان ورودی مواد دکانتور  </t>
    </r>
    <r>
      <rPr>
        <sz val="10"/>
        <rFont val="Vazirmatn"/>
        <family val="0"/>
        <charset val="1"/>
      </rPr>
      <t xml:space="preserve">080-6131-8417</t>
    </r>
  </si>
  <si>
    <t xml:space="preserve">31234181</t>
  </si>
  <si>
    <r>
      <rPr>
        <sz val="10"/>
        <rFont val="FreeSans"/>
        <family val="2"/>
      </rPr>
      <t xml:space="preserve">یاتاقان متحرک </t>
    </r>
    <r>
      <rPr>
        <sz val="10"/>
        <rFont val="Vazirmatn"/>
        <family val="0"/>
        <charset val="1"/>
      </rPr>
      <t xml:space="preserve">282AK</t>
    </r>
  </si>
  <si>
    <t xml:space="preserve">31234182</t>
  </si>
  <si>
    <r>
      <rPr>
        <sz val="10"/>
        <rFont val="FreeSans"/>
        <family val="2"/>
      </rPr>
      <t xml:space="preserve">یاتاقان ثابت </t>
    </r>
    <r>
      <rPr>
        <sz val="10"/>
        <rFont val="Vazirmatn"/>
        <family val="0"/>
        <charset val="1"/>
      </rPr>
      <t xml:space="preserve">282AK</t>
    </r>
  </si>
  <si>
    <t xml:space="preserve">31234300</t>
  </si>
  <si>
    <r>
      <rPr>
        <sz val="10"/>
        <rFont val="FreeSans"/>
        <family val="2"/>
      </rPr>
      <t xml:space="preserve">یاطاقان بابلبرینگ        </t>
    </r>
    <r>
      <rPr>
        <sz val="10"/>
        <rFont val="Vazirmatn"/>
        <family val="0"/>
        <charset val="1"/>
      </rPr>
      <t xml:space="preserve">207 P</t>
    </r>
  </si>
  <si>
    <t xml:space="preserve">31234301</t>
  </si>
  <si>
    <r>
      <rPr>
        <sz val="10"/>
        <rFont val="FreeSans"/>
        <family val="2"/>
      </rPr>
      <t xml:space="preserve">یاطاقان         </t>
    </r>
    <r>
      <rPr>
        <sz val="10"/>
        <rFont val="Vazirmatn"/>
        <family val="0"/>
        <charset val="1"/>
      </rPr>
      <t xml:space="preserve">SN610</t>
    </r>
  </si>
  <si>
    <t xml:space="preserve">31234303</t>
  </si>
  <si>
    <r>
      <rPr>
        <sz val="10"/>
        <rFont val="FreeSans"/>
        <family val="2"/>
      </rPr>
      <t xml:space="preserve">یاطاقان با بلبرینگ     </t>
    </r>
    <r>
      <rPr>
        <sz val="10"/>
        <rFont val="Vazirmatn"/>
        <family val="0"/>
        <charset val="1"/>
      </rPr>
      <t xml:space="preserve">207 F</t>
    </r>
  </si>
  <si>
    <t xml:space="preserve">31234306</t>
  </si>
  <si>
    <r>
      <rPr>
        <sz val="10"/>
        <rFont val="FreeSans"/>
        <family val="2"/>
      </rPr>
      <t xml:space="preserve">یاطاقان با بلبرینگ  </t>
    </r>
    <r>
      <rPr>
        <sz val="10"/>
        <rFont val="Vazirmatn"/>
        <family val="0"/>
        <charset val="1"/>
      </rPr>
      <t xml:space="preserve">206  CF</t>
    </r>
  </si>
  <si>
    <t xml:space="preserve">31234307</t>
  </si>
  <si>
    <r>
      <rPr>
        <sz val="10"/>
        <rFont val="FreeSans"/>
        <family val="2"/>
      </rPr>
      <t xml:space="preserve">یاطاقان با بلبرینگ     </t>
    </r>
    <r>
      <rPr>
        <sz val="10"/>
        <rFont val="Vazirmatn"/>
        <family val="0"/>
        <charset val="1"/>
      </rPr>
      <t xml:space="preserve">206 P</t>
    </r>
  </si>
  <si>
    <t xml:space="preserve">31234309</t>
  </si>
  <si>
    <r>
      <rPr>
        <sz val="10"/>
        <rFont val="FreeSans"/>
        <family val="2"/>
      </rPr>
      <t xml:space="preserve">یاطاقان  تفلونی استیل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پره</t>
    </r>
  </si>
  <si>
    <t xml:space="preserve">31234313</t>
  </si>
  <si>
    <r>
      <rPr>
        <sz val="10"/>
        <rFont val="FreeSans"/>
        <family val="2"/>
      </rPr>
      <t xml:space="preserve">یاطاقان بلبرینگ     </t>
    </r>
    <r>
      <rPr>
        <sz val="10"/>
        <rFont val="Vazirmatn"/>
        <family val="0"/>
        <charset val="1"/>
      </rPr>
      <t xml:space="preserve">F 215</t>
    </r>
  </si>
  <si>
    <t xml:space="preserve">31234314</t>
  </si>
  <si>
    <r>
      <rPr>
        <sz val="10"/>
        <rFont val="FreeSans"/>
        <family val="2"/>
      </rPr>
      <t xml:space="preserve">یاطاقان               </t>
    </r>
    <r>
      <rPr>
        <sz val="10"/>
        <rFont val="Vazirmatn"/>
        <family val="0"/>
        <charset val="1"/>
      </rPr>
      <t xml:space="preserve">705 606</t>
    </r>
  </si>
  <si>
    <t xml:space="preserve">31234315</t>
  </si>
  <si>
    <r>
      <rPr>
        <sz val="10"/>
        <rFont val="FreeSans"/>
        <family val="2"/>
      </rPr>
      <t xml:space="preserve">پوسته  یاطاقان    </t>
    </r>
    <r>
      <rPr>
        <sz val="10"/>
        <rFont val="Vazirmatn"/>
        <family val="0"/>
        <charset val="1"/>
      </rPr>
      <t xml:space="preserve">SN  518</t>
    </r>
  </si>
  <si>
    <t xml:space="preserve">31234316</t>
  </si>
  <si>
    <r>
      <rPr>
        <sz val="10"/>
        <rFont val="FreeSans"/>
        <family val="2"/>
      </rPr>
      <t xml:space="preserve">یاطاقان بلبرینگ               </t>
    </r>
    <r>
      <rPr>
        <sz val="10"/>
        <rFont val="Vazirmatn"/>
        <family val="0"/>
        <charset val="1"/>
      </rPr>
      <t xml:space="preserve">515 SN</t>
    </r>
  </si>
  <si>
    <t xml:space="preserve">31234320</t>
  </si>
  <si>
    <r>
      <rPr>
        <sz val="10"/>
        <rFont val="FreeSans"/>
        <family val="2"/>
      </rPr>
      <t xml:space="preserve">یاطاقان               </t>
    </r>
    <r>
      <rPr>
        <sz val="10"/>
        <rFont val="Vazirmatn"/>
        <family val="0"/>
        <charset val="1"/>
      </rPr>
      <t xml:space="preserve">510  SNA</t>
    </r>
  </si>
  <si>
    <t xml:space="preserve">31234323</t>
  </si>
  <si>
    <t xml:space="preserve">یاتاقان فن کولینگ تاور</t>
  </si>
  <si>
    <t xml:space="preserve">31234327</t>
  </si>
  <si>
    <r>
      <rPr>
        <sz val="10"/>
        <rFont val="FreeSans"/>
        <family val="2"/>
      </rPr>
      <t xml:space="preserve">یاطاقان کامل ایستاده  </t>
    </r>
    <r>
      <rPr>
        <sz val="10"/>
        <rFont val="Vazirmatn"/>
        <family val="0"/>
        <charset val="1"/>
      </rPr>
      <t xml:space="preserve">517  NA</t>
    </r>
  </si>
  <si>
    <t xml:space="preserve">31234341</t>
  </si>
  <si>
    <r>
      <rPr>
        <sz val="10"/>
        <rFont val="FreeSans"/>
        <family val="2"/>
      </rPr>
      <t xml:space="preserve">یاطاقان بلبرینگ  </t>
    </r>
    <r>
      <rPr>
        <sz val="10"/>
        <rFont val="Vazirmatn"/>
        <family val="0"/>
        <charset val="1"/>
      </rPr>
      <t xml:space="preserve">17 15    CKS</t>
    </r>
  </si>
  <si>
    <t xml:space="preserve">31234342</t>
  </si>
  <si>
    <r>
      <rPr>
        <sz val="10"/>
        <rFont val="FreeSans"/>
        <family val="2"/>
      </rPr>
      <t xml:space="preserve">یاطاقان پوسته          </t>
    </r>
    <r>
      <rPr>
        <sz val="10"/>
        <rFont val="Vazirmatn"/>
        <family val="0"/>
        <charset val="1"/>
      </rPr>
      <t xml:space="preserve">F510</t>
    </r>
  </si>
  <si>
    <t xml:space="preserve">31234350</t>
  </si>
  <si>
    <r>
      <rPr>
        <sz val="10"/>
        <rFont val="FreeSans"/>
        <family val="2"/>
      </rPr>
      <t xml:space="preserve">یاطاقان                    </t>
    </r>
    <r>
      <rPr>
        <sz val="10"/>
        <rFont val="Vazirmatn"/>
        <family val="0"/>
        <charset val="1"/>
      </rPr>
      <t xml:space="preserve">11 SL</t>
    </r>
  </si>
  <si>
    <t xml:space="preserve">31234367</t>
  </si>
  <si>
    <r>
      <rPr>
        <sz val="10"/>
        <rFont val="FreeSans"/>
        <family val="2"/>
      </rPr>
      <t xml:space="preserve">یاطاقان   </t>
    </r>
    <r>
      <rPr>
        <sz val="10"/>
        <rFont val="Vazirmatn"/>
        <family val="0"/>
        <charset val="1"/>
      </rPr>
      <t xml:space="preserve">FL204</t>
    </r>
  </si>
  <si>
    <t xml:space="preserve">31234372</t>
  </si>
  <si>
    <r>
      <rPr>
        <sz val="10"/>
        <rFont val="FreeSans"/>
        <family val="2"/>
      </rPr>
      <t xml:space="preserve">یاتاقان کامل       </t>
    </r>
    <r>
      <rPr>
        <sz val="10"/>
        <rFont val="Vazirmatn"/>
        <family val="0"/>
        <charset val="1"/>
      </rPr>
      <t xml:space="preserve">SN 508</t>
    </r>
  </si>
  <si>
    <t xml:space="preserve">31234500</t>
  </si>
  <si>
    <t xml:space="preserve">پوسته یاطاقان بلبرینگ</t>
  </si>
  <si>
    <t xml:space="preserve">31234503</t>
  </si>
  <si>
    <r>
      <rPr>
        <sz val="10"/>
        <rFont val="FreeSans"/>
        <family val="2"/>
      </rPr>
      <t xml:space="preserve">پوسته یاطاقان       </t>
    </r>
    <r>
      <rPr>
        <sz val="10"/>
        <rFont val="Vazirmatn"/>
        <family val="0"/>
        <charset val="1"/>
      </rPr>
      <t xml:space="preserve">607</t>
    </r>
  </si>
  <si>
    <t xml:space="preserve">31234510</t>
  </si>
  <si>
    <r>
      <rPr>
        <sz val="10"/>
        <rFont val="FreeSans"/>
        <family val="2"/>
      </rPr>
      <t xml:space="preserve">یاطاقان بلبرینگ  </t>
    </r>
    <r>
      <rPr>
        <sz val="10"/>
        <rFont val="Vazirmatn"/>
        <family val="0"/>
        <charset val="1"/>
      </rPr>
      <t xml:space="preserve">T 208</t>
    </r>
  </si>
  <si>
    <t xml:space="preserve">31234512</t>
  </si>
  <si>
    <r>
      <rPr>
        <sz val="10"/>
        <rFont val="FreeSans"/>
        <family val="2"/>
      </rPr>
      <t xml:space="preserve">بلبرینگ یاتاقان کامل   </t>
    </r>
    <r>
      <rPr>
        <sz val="10"/>
        <rFont val="Vazirmatn"/>
        <family val="0"/>
        <charset val="1"/>
      </rPr>
      <t xml:space="preserve">212 -  522</t>
    </r>
  </si>
  <si>
    <t xml:space="preserve">31234513</t>
  </si>
  <si>
    <r>
      <rPr>
        <sz val="10"/>
        <rFont val="FreeSans"/>
        <family val="2"/>
      </rPr>
      <t xml:space="preserve">پوسته یاتاقان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هوزینگ 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136 - FQ</t>
    </r>
  </si>
  <si>
    <t xml:space="preserve">31234514</t>
  </si>
  <si>
    <r>
      <rPr>
        <sz val="10"/>
        <rFont val="FreeSans"/>
        <family val="2"/>
      </rPr>
      <t xml:space="preserve">پوسته یاتاقان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هوزینگ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کولینگ تاور</t>
    </r>
  </si>
  <si>
    <t xml:space="preserve">31236115</t>
  </si>
  <si>
    <r>
      <rPr>
        <sz val="10"/>
        <rFont val="FreeSans"/>
        <family val="2"/>
      </rPr>
      <t xml:space="preserve">بوش  برنجی                           </t>
    </r>
    <r>
      <rPr>
        <sz val="10"/>
        <rFont val="Vazirmatn"/>
        <family val="0"/>
        <charset val="1"/>
      </rPr>
      <t xml:space="preserve">"3/4</t>
    </r>
  </si>
  <si>
    <t xml:space="preserve">31236127</t>
  </si>
  <si>
    <t xml:space="preserve">پوشش استیل</t>
  </si>
  <si>
    <t xml:space="preserve">31236129</t>
  </si>
  <si>
    <r>
      <rPr>
        <sz val="10"/>
        <rFont val="FreeSans"/>
        <family val="2"/>
      </rPr>
      <t xml:space="preserve">بوش استیل دو لبه پمپ ایران </t>
    </r>
    <r>
      <rPr>
        <sz val="10"/>
        <rFont val="Vazirmatn"/>
        <family val="0"/>
        <charset val="1"/>
      </rPr>
      <t xml:space="preserve">80 * 30</t>
    </r>
  </si>
  <si>
    <t xml:space="preserve">31236136</t>
  </si>
  <si>
    <r>
      <rPr>
        <sz val="10"/>
        <rFont val="FreeSans"/>
        <family val="2"/>
      </rPr>
      <t xml:space="preserve">بوش استیلن استیل  </t>
    </r>
    <r>
      <rPr>
        <sz val="10"/>
        <rFont val="Vazirmatn"/>
        <family val="0"/>
        <charset val="1"/>
      </rPr>
      <t xml:space="preserve">3</t>
    </r>
  </si>
  <si>
    <t xml:space="preserve">31236137</t>
  </si>
  <si>
    <t xml:space="preserve">بوش استیل پروانه  پمپ شربت</t>
  </si>
  <si>
    <t xml:space="preserve">31236142</t>
  </si>
  <si>
    <r>
      <rPr>
        <sz val="10"/>
        <rFont val="FreeSans"/>
        <family val="2"/>
      </rPr>
      <t xml:space="preserve">بوش استیل منو پمپ </t>
    </r>
    <r>
      <rPr>
        <sz val="10"/>
        <rFont val="Vazirmatn"/>
        <family val="0"/>
        <charset val="1"/>
      </rPr>
      <t xml:space="preserve">95 * 50</t>
    </r>
  </si>
  <si>
    <t xml:space="preserve">31237103</t>
  </si>
  <si>
    <t xml:space="preserve">روغن سی ال پی</t>
  </si>
  <si>
    <t xml:space="preserve">31237104</t>
  </si>
  <si>
    <t xml:space="preserve">Oil Freezer Lubricating</t>
  </si>
  <si>
    <t xml:space="preserve">31237107</t>
  </si>
  <si>
    <r>
      <rPr>
        <sz val="10"/>
        <rFont val="FreeSans"/>
        <family val="2"/>
      </rPr>
      <t xml:space="preserve">روغن کمپرسور   </t>
    </r>
    <r>
      <rPr>
        <sz val="10"/>
        <rFont val="Vazirmatn"/>
        <family val="0"/>
        <charset val="1"/>
      </rPr>
      <t xml:space="preserve">3GS</t>
    </r>
  </si>
  <si>
    <t xml:space="preserve">31237109</t>
  </si>
  <si>
    <t xml:space="preserve">روغن گیربکس لیفتراک</t>
  </si>
  <si>
    <t xml:space="preserve">31237115</t>
  </si>
  <si>
    <r>
      <rPr>
        <sz val="10"/>
        <rFont val="FreeSans"/>
        <family val="2"/>
      </rPr>
      <t xml:space="preserve">روغن بهران درفش </t>
    </r>
    <r>
      <rPr>
        <sz val="10"/>
        <rFont val="Vazirmatn"/>
        <family val="0"/>
        <charset val="1"/>
      </rPr>
      <t xml:space="preserve">32</t>
    </r>
  </si>
  <si>
    <t xml:space="preserve">31237117</t>
  </si>
  <si>
    <r>
      <rPr>
        <sz val="10"/>
        <rFont val="FreeSans"/>
        <family val="2"/>
      </rPr>
      <t xml:space="preserve">روغن بتیزر  </t>
    </r>
    <r>
      <rPr>
        <sz val="10"/>
        <rFont val="Vazirmatn"/>
        <family val="0"/>
        <charset val="1"/>
      </rPr>
      <t xml:space="preserve">B52</t>
    </r>
  </si>
  <si>
    <t xml:space="preserve">31237121</t>
  </si>
  <si>
    <r>
      <rPr>
        <sz val="10"/>
        <rFont val="FreeSans"/>
        <family val="2"/>
      </rPr>
      <t xml:space="preserve">روغن ترمز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آبی رنگ </t>
    </r>
    <r>
      <rPr>
        <sz val="10"/>
        <rFont val="Vazirmatn"/>
        <family val="0"/>
        <charset val="1"/>
      </rPr>
      <t xml:space="preserve">)</t>
    </r>
  </si>
  <si>
    <t xml:space="preserve">31237123</t>
  </si>
  <si>
    <r>
      <rPr>
        <sz val="10"/>
        <rFont val="FreeSans"/>
        <family val="2"/>
      </rPr>
      <t xml:space="preserve">روغن         </t>
    </r>
    <r>
      <rPr>
        <sz val="10"/>
        <rFont val="Vazirmatn"/>
        <family val="0"/>
        <charset val="1"/>
      </rPr>
      <t xml:space="preserve">50</t>
    </r>
  </si>
  <si>
    <t xml:space="preserve">31237124</t>
  </si>
  <si>
    <r>
      <rPr>
        <sz val="10"/>
        <rFont val="FreeSans"/>
        <family val="2"/>
      </rPr>
      <t xml:space="preserve">روغن بهران بردبار    </t>
    </r>
    <r>
      <rPr>
        <sz val="10"/>
        <rFont val="Vazirmatn"/>
        <family val="0"/>
        <charset val="1"/>
      </rPr>
      <t xml:space="preserve">1000</t>
    </r>
  </si>
  <si>
    <t xml:space="preserve">31237125</t>
  </si>
  <si>
    <r>
      <rPr>
        <sz val="10"/>
        <rFont val="FreeSans"/>
        <family val="2"/>
      </rPr>
      <t xml:space="preserve">روغن    </t>
    </r>
    <r>
      <rPr>
        <sz val="10"/>
        <rFont val="Vazirmatn"/>
        <family val="0"/>
        <charset val="1"/>
      </rPr>
      <t xml:space="preserve">W 20 - 50</t>
    </r>
  </si>
  <si>
    <t xml:space="preserve">31237127</t>
  </si>
  <si>
    <r>
      <rPr>
        <sz val="10"/>
        <rFont val="FreeSans"/>
        <family val="2"/>
      </rPr>
      <t xml:space="preserve">روغن کمپرسور مخصوص صنایع غذایی </t>
    </r>
    <r>
      <rPr>
        <sz val="10"/>
        <rFont val="Vazirmatn"/>
        <family val="0"/>
        <charset val="1"/>
      </rPr>
      <t xml:space="preserve">Kluber Summit FG 250</t>
    </r>
  </si>
  <si>
    <t xml:space="preserve">31237130</t>
  </si>
  <si>
    <r>
      <rPr>
        <sz val="10"/>
        <rFont val="FreeSans"/>
        <family val="2"/>
      </rPr>
      <t xml:space="preserve">روغن دنده پارس مدوس </t>
    </r>
    <r>
      <rPr>
        <sz val="10"/>
        <rFont val="Vazirmatn"/>
        <family val="0"/>
        <charset val="1"/>
      </rPr>
      <t xml:space="preserve">( 85W90 - GL5 )</t>
    </r>
  </si>
  <si>
    <t xml:space="preserve">31237132</t>
  </si>
  <si>
    <r>
      <rPr>
        <sz val="10"/>
        <rFont val="FreeSans"/>
        <family val="2"/>
      </rPr>
      <t xml:space="preserve">روغن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شل </t>
    </r>
    <r>
      <rPr>
        <sz val="10"/>
        <rFont val="Vazirmatn"/>
        <family val="0"/>
        <charset val="1"/>
      </rPr>
      <t xml:space="preserve">)  68  Shell corena</t>
    </r>
  </si>
  <si>
    <t xml:space="preserve">31237143</t>
  </si>
  <si>
    <r>
      <rPr>
        <sz val="10"/>
        <rFont val="FreeSans"/>
        <family val="2"/>
      </rPr>
      <t xml:space="preserve">روغن بهران کلاس  </t>
    </r>
    <r>
      <rPr>
        <sz val="10"/>
        <rFont val="Vazirmatn"/>
        <family val="0"/>
        <charset val="1"/>
      </rPr>
      <t xml:space="preserve">150</t>
    </r>
  </si>
  <si>
    <t xml:space="preserve">31237145</t>
  </si>
  <si>
    <r>
      <rPr>
        <sz val="10"/>
        <rFont val="FreeSans"/>
        <family val="2"/>
      </rPr>
      <t xml:space="preserve">پودر آب تراش  </t>
    </r>
    <r>
      <rPr>
        <sz val="10"/>
        <rFont val="Vazirmatn"/>
        <family val="0"/>
        <charset val="1"/>
      </rPr>
      <t xml:space="preserve">BN ( </t>
    </r>
    <r>
      <rPr>
        <sz val="10"/>
        <rFont val="FreeSans"/>
        <family val="2"/>
      </rPr>
      <t xml:space="preserve">پودر آب صابون </t>
    </r>
    <r>
      <rPr>
        <sz val="10"/>
        <rFont val="Vazirmatn"/>
        <family val="0"/>
        <charset val="1"/>
      </rPr>
      <t xml:space="preserve">)</t>
    </r>
  </si>
  <si>
    <t xml:space="preserve">31237153</t>
  </si>
  <si>
    <r>
      <rPr>
        <sz val="10"/>
        <rFont val="FreeSans"/>
        <family val="2"/>
      </rPr>
      <t xml:space="preserve">روغن روتو </t>
    </r>
    <r>
      <rPr>
        <sz val="10"/>
        <rFont val="Vazirmatn"/>
        <family val="0"/>
        <charset val="1"/>
      </rPr>
      <t xml:space="preserve">Z</t>
    </r>
  </si>
  <si>
    <t xml:space="preserve">31237154</t>
  </si>
  <si>
    <r>
      <rPr>
        <sz val="10"/>
        <rFont val="FreeSans"/>
        <family val="2"/>
      </rPr>
      <t xml:space="preserve">روغن کمپرسور   </t>
    </r>
    <r>
      <rPr>
        <sz val="10"/>
        <rFont val="Vazirmatn"/>
        <family val="0"/>
        <charset val="1"/>
      </rPr>
      <t xml:space="preserve">ZT - 18 Oil free rotoz</t>
    </r>
  </si>
  <si>
    <t xml:space="preserve">31237156</t>
  </si>
  <si>
    <r>
      <rPr>
        <sz val="10"/>
        <rFont val="FreeSans"/>
        <family val="2"/>
      </rPr>
      <t xml:space="preserve">روغن </t>
    </r>
    <r>
      <rPr>
        <sz val="10"/>
        <rFont val="Vazirmatn"/>
        <family val="0"/>
        <charset val="1"/>
      </rPr>
      <t xml:space="preserve">68 </t>
    </r>
    <r>
      <rPr>
        <sz val="10"/>
        <rFont val="FreeSans"/>
        <family val="2"/>
      </rPr>
      <t xml:space="preserve">فوق تصفیه دکانتور </t>
    </r>
    <r>
      <rPr>
        <sz val="10"/>
        <rFont val="Vazirmatn"/>
        <family val="0"/>
        <charset val="1"/>
      </rPr>
      <t xml:space="preserve">000 - 0036 - 0015</t>
    </r>
  </si>
  <si>
    <t xml:space="preserve">31237158</t>
  </si>
  <si>
    <t xml:space="preserve">روغن بهران حرارت</t>
  </si>
  <si>
    <t xml:space="preserve">31237160</t>
  </si>
  <si>
    <r>
      <rPr>
        <sz val="10"/>
        <rFont val="FreeSans"/>
        <family val="2"/>
      </rPr>
      <t xml:space="preserve">روغن کالیبراسیون ویسکومتر  </t>
    </r>
    <r>
      <rPr>
        <sz val="10"/>
        <rFont val="Vazirmatn"/>
        <family val="0"/>
        <charset val="1"/>
      </rPr>
      <t xml:space="preserve">Fann</t>
    </r>
  </si>
  <si>
    <t xml:space="preserve">31237166</t>
  </si>
  <si>
    <r>
      <rPr>
        <sz val="10"/>
        <rFont val="FreeSans"/>
        <family val="2"/>
      </rPr>
      <t xml:space="preserve">روغن دکانتور  </t>
    </r>
    <r>
      <rPr>
        <sz val="10"/>
        <rFont val="Vazirmatn"/>
        <family val="0"/>
        <charset val="1"/>
      </rPr>
      <t xml:space="preserve">000 - 0038 - 0015 ( CF 5000 )</t>
    </r>
  </si>
  <si>
    <t xml:space="preserve">31237168</t>
  </si>
  <si>
    <r>
      <rPr>
        <sz val="10"/>
        <rFont val="FreeSans"/>
        <family val="2"/>
      </rPr>
      <t xml:space="preserve">روغن </t>
    </r>
    <r>
      <rPr>
        <sz val="10"/>
        <rFont val="Vazirmatn"/>
        <family val="0"/>
        <charset val="1"/>
      </rPr>
      <t xml:space="preserve">30 </t>
    </r>
    <r>
      <rPr>
        <sz val="10"/>
        <rFont val="FreeSans"/>
        <family val="2"/>
      </rPr>
      <t xml:space="preserve">گیربکس لودر</t>
    </r>
  </si>
  <si>
    <t xml:space="preserve">31237194</t>
  </si>
  <si>
    <t xml:space="preserve">روغن   گلیسیرین</t>
  </si>
  <si>
    <t xml:space="preserve">31237350</t>
  </si>
  <si>
    <t xml:space="preserve">ضد یخ خودرو</t>
  </si>
  <si>
    <t xml:space="preserve">31237351</t>
  </si>
  <si>
    <r>
      <rPr>
        <sz val="10"/>
        <rFont val="FreeSans"/>
        <family val="2"/>
      </rPr>
      <t xml:space="preserve">ضد یخ گلیکول پروپیلن  </t>
    </r>
    <r>
      <rPr>
        <sz val="10"/>
        <rFont val="Vazirmatn"/>
        <family val="0"/>
        <charset val="1"/>
      </rPr>
      <t xml:space="preserve">% 50 - 40</t>
    </r>
  </si>
  <si>
    <t xml:space="preserve">31237400</t>
  </si>
  <si>
    <r>
      <rPr>
        <sz val="10"/>
        <rFont val="FreeSans"/>
        <family val="2"/>
      </rPr>
      <t xml:space="preserve">گریس موبیلوکس      </t>
    </r>
    <r>
      <rPr>
        <sz val="10"/>
        <rFont val="Vazirmatn"/>
        <family val="0"/>
        <charset val="1"/>
      </rPr>
      <t xml:space="preserve">EP2</t>
    </r>
  </si>
  <si>
    <t xml:space="preserve">31237409</t>
  </si>
  <si>
    <r>
      <rPr>
        <sz val="10"/>
        <rFont val="FreeSans"/>
        <family val="2"/>
      </rPr>
      <t xml:space="preserve">گریس معمولی   </t>
    </r>
    <r>
      <rPr>
        <sz val="10"/>
        <rFont val="Vazirmatn"/>
        <family val="0"/>
        <charset val="1"/>
      </rPr>
      <t xml:space="preserve">total</t>
    </r>
  </si>
  <si>
    <t xml:space="preserve">31237410</t>
  </si>
  <si>
    <r>
      <rPr>
        <sz val="10"/>
        <rFont val="FreeSans"/>
        <family val="2"/>
      </rPr>
      <t xml:space="preserve">گریس   </t>
    </r>
    <r>
      <rPr>
        <sz val="10"/>
        <rFont val="Vazirmatn"/>
        <family val="0"/>
        <charset val="1"/>
      </rPr>
      <t xml:space="preserve">Esso  unRixn 3</t>
    </r>
  </si>
  <si>
    <t xml:space="preserve">31237412</t>
  </si>
  <si>
    <r>
      <rPr>
        <sz val="10"/>
        <rFont val="FreeSans"/>
        <family val="2"/>
      </rPr>
      <t xml:space="preserve">گریس دکانتور  </t>
    </r>
    <r>
      <rPr>
        <sz val="10"/>
        <rFont val="Vazirmatn"/>
        <family val="0"/>
        <charset val="1"/>
      </rPr>
      <t xml:space="preserve">030 - 0122 - 0015</t>
    </r>
  </si>
  <si>
    <t xml:space="preserve">31237415</t>
  </si>
  <si>
    <r>
      <rPr>
        <sz val="10"/>
        <rFont val="FreeSans"/>
        <family val="2"/>
      </rPr>
      <t xml:space="preserve">گریس  </t>
    </r>
    <r>
      <rPr>
        <sz val="10"/>
        <rFont val="Vazirmatn"/>
        <family val="0"/>
        <charset val="1"/>
      </rPr>
      <t xml:space="preserve">BARRIERTA L 55/2</t>
    </r>
  </si>
  <si>
    <t xml:space="preserve">31237416</t>
  </si>
  <si>
    <r>
      <rPr>
        <sz val="10"/>
        <rFont val="FreeSans"/>
        <family val="2"/>
      </rPr>
      <t xml:space="preserve">گریس نسوز </t>
    </r>
    <r>
      <rPr>
        <sz val="10"/>
        <rFont val="Vazirmatn"/>
        <family val="0"/>
        <charset val="1"/>
      </rPr>
      <t xml:space="preserve">arcanol Multi 3 - E 25 B FAG</t>
    </r>
  </si>
  <si>
    <t xml:space="preserve">31237417</t>
  </si>
  <si>
    <t xml:space="preserve">گریس کلسیم</t>
  </si>
  <si>
    <t xml:space="preserve">31237418</t>
  </si>
  <si>
    <r>
      <rPr>
        <sz val="10"/>
        <rFont val="FreeSans"/>
        <family val="2"/>
      </rPr>
      <t xml:space="preserve">گریس بهران یاقوت </t>
    </r>
    <r>
      <rPr>
        <sz val="10"/>
        <rFont val="Vazirmatn"/>
        <family val="0"/>
        <charset val="1"/>
      </rPr>
      <t xml:space="preserve">EP3</t>
    </r>
  </si>
  <si>
    <t xml:space="preserve">31237500</t>
  </si>
  <si>
    <r>
      <rPr>
        <sz val="10"/>
        <rFont val="FreeSans"/>
        <family val="2"/>
      </rPr>
      <t xml:space="preserve">اسید دیسکلر ویژه با اینهیبیتور </t>
    </r>
    <r>
      <rPr>
        <sz val="10"/>
        <rFont val="Vazirmatn"/>
        <family val="0"/>
        <charset val="1"/>
      </rPr>
      <t xml:space="preserve">33%</t>
    </r>
  </si>
  <si>
    <t xml:space="preserve">31237501</t>
  </si>
  <si>
    <t xml:space="preserve">رسوب گیر آبگرمکن دیواری</t>
  </si>
  <si>
    <t xml:space="preserve">31237600</t>
  </si>
  <si>
    <r>
      <rPr>
        <sz val="10"/>
        <rFont val="FreeSans"/>
        <family val="2"/>
      </rPr>
      <t xml:space="preserve">تینر روغنی </t>
    </r>
    <r>
      <rPr>
        <sz val="10"/>
        <rFont val="Vazirmatn"/>
        <family val="0"/>
        <charset val="1"/>
      </rPr>
      <t xml:space="preserve">2000</t>
    </r>
  </si>
  <si>
    <t xml:space="preserve">31239101</t>
  </si>
  <si>
    <r>
      <rPr>
        <sz val="10"/>
        <rFont val="FreeSans"/>
        <family val="2"/>
      </rPr>
      <t xml:space="preserve">گریس خور سرکج </t>
    </r>
    <r>
      <rPr>
        <sz val="10"/>
        <rFont val="Vazirmatn"/>
        <family val="0"/>
        <charset val="1"/>
      </rPr>
      <t xml:space="preserve">45   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12</t>
    </r>
  </si>
  <si>
    <t xml:space="preserve">31239106</t>
  </si>
  <si>
    <r>
      <rPr>
        <sz val="10"/>
        <rFont val="FreeSans"/>
        <family val="2"/>
      </rPr>
      <t xml:space="preserve">گریس خور سرکج </t>
    </r>
    <r>
      <rPr>
        <sz val="10"/>
        <rFont val="Vazirmatn"/>
        <family val="0"/>
        <charset val="1"/>
      </rPr>
      <t xml:space="preserve">45    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8</t>
    </r>
  </si>
  <si>
    <t xml:space="preserve">31239109</t>
  </si>
  <si>
    <r>
      <rPr>
        <sz val="10"/>
        <rFont val="FreeSans"/>
        <family val="2"/>
      </rPr>
      <t xml:space="preserve">گریس خور </t>
    </r>
    <r>
      <rPr>
        <sz val="10"/>
        <rFont val="Vazirmatn"/>
        <family val="0"/>
        <charset val="1"/>
      </rPr>
      <t xml:space="preserve">120 </t>
    </r>
    <r>
      <rPr>
        <sz val="10"/>
        <rFont val="FreeSans"/>
        <family val="2"/>
      </rPr>
      <t xml:space="preserve">درجه    نمره </t>
    </r>
    <r>
      <rPr>
        <sz val="10"/>
        <rFont val="Vazirmatn"/>
        <family val="0"/>
        <charset val="1"/>
      </rPr>
      <t xml:space="preserve">14</t>
    </r>
  </si>
  <si>
    <t xml:space="preserve">31239113</t>
  </si>
  <si>
    <r>
      <rPr>
        <sz val="10"/>
        <rFont val="FreeSans"/>
        <family val="2"/>
      </rPr>
      <t xml:space="preserve">گریس خور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پخش کننده گریس </t>
    </r>
    <r>
      <rPr>
        <sz val="10"/>
        <rFont val="Vazirmatn"/>
        <family val="0"/>
        <charset val="1"/>
      </rPr>
      <t xml:space="preserve">) " 1/4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136 - FQ</t>
    </r>
  </si>
  <si>
    <t xml:space="preserve">31239114</t>
  </si>
  <si>
    <r>
      <rPr>
        <sz val="10"/>
        <rFont val="FreeSans"/>
        <family val="2"/>
      </rPr>
      <t xml:space="preserve">گریس خور خشکنهای پوسته و گلوتن   </t>
    </r>
    <r>
      <rPr>
        <sz val="10"/>
        <rFont val="Vazirmatn"/>
        <family val="0"/>
        <charset val="1"/>
      </rPr>
      <t xml:space="preserve">16mm</t>
    </r>
  </si>
  <si>
    <t xml:space="preserve">31239115</t>
  </si>
  <si>
    <r>
      <rPr>
        <sz val="10"/>
        <rFont val="FreeSans"/>
        <family val="2"/>
      </rPr>
      <t xml:space="preserve">توزیع کننده گریس  آسیاب   </t>
    </r>
    <r>
      <rPr>
        <sz val="10"/>
        <rFont val="Vazirmatn"/>
        <family val="0"/>
        <charset val="1"/>
      </rPr>
      <t xml:space="preserve">FQ  -  136</t>
    </r>
  </si>
  <si>
    <t xml:space="preserve">31239116</t>
  </si>
  <si>
    <r>
      <rPr>
        <sz val="10"/>
        <rFont val="FreeSans"/>
        <family val="2"/>
      </rPr>
      <t xml:space="preserve">توزیع کننده دکانتور  </t>
    </r>
    <r>
      <rPr>
        <sz val="10"/>
        <rFont val="Vazirmatn"/>
        <family val="0"/>
        <charset val="1"/>
      </rPr>
      <t xml:space="preserve">300 - 8493 - 0018</t>
    </r>
  </si>
  <si>
    <t xml:space="preserve">31239123</t>
  </si>
  <si>
    <t xml:space="preserve">سر گریس خور کشوئی</t>
  </si>
  <si>
    <t xml:space="preserve">31239124</t>
  </si>
  <si>
    <t xml:space="preserve">سر گریس خور سوزنی</t>
  </si>
  <si>
    <t xml:space="preserve">31239126</t>
  </si>
  <si>
    <r>
      <rPr>
        <sz val="10"/>
        <rFont val="FreeSans"/>
        <family val="2"/>
      </rPr>
      <t xml:space="preserve">ساچمه روغن خور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دستگاه تراش </t>
    </r>
    <r>
      <rPr>
        <sz val="10"/>
        <rFont val="Vazirmatn"/>
        <family val="0"/>
        <charset val="1"/>
      </rPr>
      <t xml:space="preserve">TN71 ) Q 6</t>
    </r>
  </si>
  <si>
    <t xml:space="preserve">31239127</t>
  </si>
  <si>
    <r>
      <rPr>
        <sz val="10"/>
        <rFont val="FreeSans"/>
        <family val="2"/>
      </rPr>
      <t xml:space="preserve">ساچمه روغن خور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دستگاه تراش </t>
    </r>
    <r>
      <rPr>
        <sz val="10"/>
        <rFont val="Vazirmatn"/>
        <family val="0"/>
        <charset val="1"/>
      </rPr>
      <t xml:space="preserve">TN71 ) Q 8</t>
    </r>
  </si>
  <si>
    <t xml:space="preserve">31239128</t>
  </si>
  <si>
    <r>
      <rPr>
        <sz val="10"/>
        <rFont val="FreeSans"/>
        <family val="2"/>
      </rPr>
      <t xml:space="preserve">ساچمه روغن خور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دستگاه تراش </t>
    </r>
    <r>
      <rPr>
        <sz val="10"/>
        <rFont val="Vazirmatn"/>
        <family val="0"/>
        <charset val="1"/>
      </rPr>
      <t xml:space="preserve">TN71 ) Q 10</t>
    </r>
  </si>
  <si>
    <t xml:space="preserve">31239180</t>
  </si>
  <si>
    <r>
      <rPr>
        <sz val="10"/>
        <rFont val="FreeSans"/>
        <family val="2"/>
      </rPr>
      <t xml:space="preserve">سرگریس پمپ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خاری</t>
    </r>
  </si>
  <si>
    <t xml:space="preserve">31239181</t>
  </si>
  <si>
    <r>
      <rPr>
        <sz val="10"/>
        <rFont val="FreeSans"/>
        <family val="2"/>
      </rPr>
      <t xml:space="preserve">گریس پمپ بلبرینگ خشکن گرند   </t>
    </r>
    <r>
      <rPr>
        <sz val="10"/>
        <rFont val="Vazirmatn"/>
        <family val="0"/>
        <charset val="1"/>
      </rPr>
      <t xml:space="preserve">TYPE:GZG-600D TUBE BUNDEL DRYER</t>
    </r>
  </si>
  <si>
    <t xml:space="preserve">31240177</t>
  </si>
  <si>
    <r>
      <rPr>
        <sz val="10"/>
        <rFont val="FreeSans"/>
        <family val="2"/>
      </rPr>
      <t xml:space="preserve">لیمیت سوئیچ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فیلتر های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گانه </t>
    </r>
    <r>
      <rPr>
        <sz val="10"/>
        <rFont val="Vazirmatn"/>
        <family val="0"/>
        <charset val="1"/>
      </rPr>
      <t xml:space="preserve">)</t>
    </r>
  </si>
  <si>
    <t xml:space="preserve">31241100</t>
  </si>
  <si>
    <r>
      <rPr>
        <sz val="10"/>
        <rFont val="FreeSans"/>
        <family val="2"/>
      </rPr>
      <t xml:space="preserve">تسمه  پروانه         </t>
    </r>
    <r>
      <rPr>
        <sz val="10"/>
        <rFont val="Vazirmatn"/>
        <family val="0"/>
        <charset val="1"/>
      </rPr>
      <t xml:space="preserve">9/5*1420</t>
    </r>
  </si>
  <si>
    <t xml:space="preserve">31241105</t>
  </si>
  <si>
    <r>
      <rPr>
        <sz val="10"/>
        <rFont val="FreeSans"/>
        <family val="2"/>
      </rPr>
      <t xml:space="preserve">تسمه پروانه                  </t>
    </r>
    <r>
      <rPr>
        <sz val="10"/>
        <rFont val="Vazirmatn"/>
        <family val="0"/>
        <charset val="1"/>
      </rPr>
      <t xml:space="preserve">1287    SPZ</t>
    </r>
  </si>
  <si>
    <t xml:space="preserve">31241107</t>
  </si>
  <si>
    <r>
      <rPr>
        <sz val="10"/>
        <rFont val="FreeSans"/>
        <family val="2"/>
      </rPr>
      <t xml:space="preserve">تسمه  پروانه                    </t>
    </r>
    <r>
      <rPr>
        <sz val="10"/>
        <rFont val="Vazirmatn"/>
        <family val="0"/>
        <charset val="1"/>
      </rPr>
      <t xml:space="preserve">A        36</t>
    </r>
  </si>
  <si>
    <t xml:space="preserve">31241108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</si>
  <si>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49      CX</t>
    </r>
  </si>
  <si>
    <t xml:space="preserve">31241109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</si>
  <si>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33        A</t>
    </r>
  </si>
  <si>
    <t xml:space="preserve">31241110</t>
  </si>
  <si>
    <r>
      <rPr>
        <sz val="10"/>
        <rFont val="FreeSans"/>
        <family val="2"/>
      </rPr>
      <t xml:space="preserve">تسمه پروانه آجدار         </t>
    </r>
    <r>
      <rPr>
        <sz val="10"/>
        <rFont val="Vazirmatn"/>
        <family val="0"/>
        <charset val="1"/>
      </rPr>
      <t xml:space="preserve">14M    1120</t>
    </r>
  </si>
  <si>
    <t xml:space="preserve">31241111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</si>
  <si>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34        A</t>
    </r>
  </si>
  <si>
    <t xml:space="preserve">31241115</t>
  </si>
  <si>
    <r>
      <rPr>
        <sz val="10"/>
        <rFont val="FreeSans"/>
        <family val="2"/>
      </rPr>
      <t xml:space="preserve">تسمه پروانه دکانتور </t>
    </r>
    <r>
      <rPr>
        <sz val="10"/>
        <rFont val="Vazirmatn"/>
        <family val="0"/>
        <charset val="1"/>
      </rPr>
      <t xml:space="preserve">810 - 3442 - 0021 (XSPB2650)</t>
    </r>
  </si>
  <si>
    <t xml:space="preserve">31241116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</si>
  <si>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37        B</t>
    </r>
  </si>
  <si>
    <t xml:space="preserve">31241119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</si>
  <si>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37        A</t>
    </r>
  </si>
  <si>
    <t xml:space="preserve">31241120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</si>
  <si>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61       BX</t>
    </r>
  </si>
  <si>
    <t xml:space="preserve">31241122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</si>
  <si>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63       BX</t>
    </r>
  </si>
  <si>
    <t xml:space="preserve">31241123</t>
  </si>
  <si>
    <r>
      <rPr>
        <sz val="10"/>
        <rFont val="FreeSans"/>
        <family val="2"/>
      </rPr>
      <t xml:space="preserve">تسمه پروانه   </t>
    </r>
    <r>
      <rPr>
        <sz val="10"/>
        <rFont val="Vazirmatn"/>
        <family val="0"/>
        <charset val="1"/>
      </rPr>
      <t xml:space="preserve">5V  1580</t>
    </r>
  </si>
  <si>
    <t xml:space="preserve">31241124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</si>
  <si>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38       A</t>
    </r>
  </si>
  <si>
    <t xml:space="preserve">31241133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</si>
  <si>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39      AX</t>
    </r>
  </si>
  <si>
    <t xml:space="preserve">31241135</t>
  </si>
  <si>
    <r>
      <rPr>
        <sz val="10"/>
        <rFont val="FreeSans"/>
        <family val="2"/>
      </rPr>
      <t xml:space="preserve">تسمه پروانه                   </t>
    </r>
    <r>
      <rPr>
        <sz val="10"/>
        <rFont val="Vazirmatn"/>
        <family val="0"/>
        <charset val="1"/>
      </rPr>
      <t xml:space="preserve">180        E</t>
    </r>
  </si>
  <si>
    <t xml:space="preserve">31241139</t>
  </si>
  <si>
    <r>
      <rPr>
        <sz val="10"/>
        <rFont val="FreeSans"/>
        <family val="2"/>
      </rPr>
      <t xml:space="preserve">تسمه پروانه                  </t>
    </r>
    <r>
      <rPr>
        <sz val="10"/>
        <rFont val="Vazirmatn"/>
        <family val="0"/>
        <charset val="1"/>
      </rPr>
      <t xml:space="preserve">1413     SPZ</t>
    </r>
  </si>
  <si>
    <t xml:space="preserve">31241141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</si>
  <si>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40       AX</t>
    </r>
  </si>
  <si>
    <t xml:space="preserve">31241144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</si>
  <si>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41     AX</t>
    </r>
  </si>
  <si>
    <t xml:space="preserve">31241147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</si>
  <si>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42       BX</t>
    </r>
  </si>
  <si>
    <t xml:space="preserve">31241150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</si>
  <si>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42     AX</t>
    </r>
  </si>
  <si>
    <t xml:space="preserve">31241153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</si>
  <si>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43       AX</t>
    </r>
  </si>
  <si>
    <t xml:space="preserve">31241156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</si>
  <si>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43       BX</t>
    </r>
  </si>
  <si>
    <t xml:space="preserve">31241159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</si>
  <si>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44       A</t>
    </r>
  </si>
  <si>
    <t xml:space="preserve">31241162</t>
  </si>
  <si>
    <r>
      <rPr>
        <sz val="10"/>
        <rFont val="FreeSans"/>
        <family val="2"/>
      </rPr>
      <t xml:space="preserve">تسمه پروانه                  </t>
    </r>
    <r>
      <rPr>
        <sz val="10"/>
        <rFont val="Vazirmatn"/>
        <family val="0"/>
        <charset val="1"/>
      </rPr>
      <t xml:space="preserve">1225 * 9/5</t>
    </r>
  </si>
  <si>
    <t xml:space="preserve">31241165</t>
  </si>
  <si>
    <r>
      <rPr>
        <sz val="10"/>
        <rFont val="FreeSans"/>
        <family val="2"/>
      </rPr>
      <t xml:space="preserve">تسمه  پروانه  آجدار            </t>
    </r>
    <r>
      <rPr>
        <sz val="10"/>
        <rFont val="Vazirmatn"/>
        <family val="0"/>
        <charset val="1"/>
      </rPr>
      <t xml:space="preserve">B X     45</t>
    </r>
  </si>
  <si>
    <t xml:space="preserve">31241166</t>
  </si>
  <si>
    <r>
      <rPr>
        <sz val="10"/>
        <rFont val="FreeSans"/>
        <family val="2"/>
      </rPr>
      <t xml:space="preserve">تسمه  پروانه  آجدار            </t>
    </r>
    <r>
      <rPr>
        <sz val="10"/>
        <rFont val="Vazirmatn"/>
        <family val="0"/>
        <charset val="1"/>
      </rPr>
      <t xml:space="preserve">B X     46</t>
    </r>
  </si>
  <si>
    <t xml:space="preserve">31241169</t>
  </si>
  <si>
    <r>
      <rPr>
        <sz val="10"/>
        <rFont val="FreeSans"/>
        <family val="2"/>
      </rPr>
      <t xml:space="preserve">تسمه  پروانه                    </t>
    </r>
    <r>
      <rPr>
        <sz val="10"/>
        <rFont val="Vazirmatn"/>
        <family val="0"/>
        <charset val="1"/>
      </rPr>
      <t xml:space="preserve">B - 48 - L</t>
    </r>
  </si>
  <si>
    <t xml:space="preserve">31241170</t>
  </si>
  <si>
    <r>
      <rPr>
        <sz val="10"/>
        <rFont val="FreeSans"/>
        <family val="2"/>
      </rPr>
      <t xml:space="preserve">تسمه  پروانه                     </t>
    </r>
    <r>
      <rPr>
        <sz val="10"/>
        <rFont val="Vazirmatn"/>
        <family val="0"/>
        <charset val="1"/>
      </rPr>
      <t xml:space="preserve">BX      89</t>
    </r>
  </si>
  <si>
    <t xml:space="preserve">31241171</t>
  </si>
  <si>
    <r>
      <rPr>
        <sz val="10"/>
        <rFont val="FreeSans"/>
        <family val="2"/>
      </rPr>
      <t xml:space="preserve">تسمه پروانه     </t>
    </r>
    <r>
      <rPr>
        <sz val="10"/>
        <rFont val="Vazirmatn"/>
        <family val="0"/>
        <charset val="1"/>
      </rPr>
      <t xml:space="preserve">A 52</t>
    </r>
  </si>
  <si>
    <t xml:space="preserve">31241172</t>
  </si>
  <si>
    <r>
      <rPr>
        <sz val="10"/>
        <rFont val="FreeSans"/>
        <family val="2"/>
      </rPr>
      <t xml:space="preserve">تسمه پروانه                          </t>
    </r>
    <r>
      <rPr>
        <sz val="10"/>
        <rFont val="Vazirmatn"/>
        <family val="0"/>
        <charset val="1"/>
      </rPr>
      <t xml:space="preserve">Bx 52</t>
    </r>
  </si>
  <si>
    <t xml:space="preserve">31241173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</si>
  <si>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BX      53</t>
    </r>
  </si>
  <si>
    <t xml:space="preserve">31241174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</si>
  <si>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54      B</t>
    </r>
  </si>
  <si>
    <t xml:space="preserve">31241182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</si>
  <si>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48      A</t>
    </r>
  </si>
  <si>
    <t xml:space="preserve">31241188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</si>
  <si>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50    AX</t>
    </r>
  </si>
  <si>
    <t xml:space="preserve">31241192</t>
  </si>
  <si>
    <r>
      <rPr>
        <sz val="10"/>
        <rFont val="FreeSans"/>
        <family val="2"/>
      </rPr>
      <t xml:space="preserve">تسمه پروانه                    </t>
    </r>
    <r>
      <rPr>
        <sz val="10"/>
        <rFont val="Vazirmatn"/>
        <family val="0"/>
        <charset val="1"/>
      </rPr>
      <t xml:space="preserve">SPB 2 800</t>
    </r>
  </si>
  <si>
    <t xml:space="preserve">31241195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</si>
  <si>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51      BX</t>
    </r>
  </si>
  <si>
    <t xml:space="preserve">31241196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</si>
  <si>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BX    52</t>
    </r>
  </si>
  <si>
    <t xml:space="preserve">31241197</t>
  </si>
  <si>
    <r>
      <rPr>
        <sz val="10"/>
        <rFont val="FreeSans"/>
        <family val="2"/>
      </rPr>
      <t xml:space="preserve">تسمه پروانه  </t>
    </r>
    <r>
      <rPr>
        <sz val="10"/>
        <rFont val="Vazirmatn"/>
        <family val="0"/>
        <charset val="1"/>
      </rPr>
      <t xml:space="preserve">671 * 9/5</t>
    </r>
  </si>
  <si>
    <t xml:space="preserve">31241198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</si>
  <si>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53      A</t>
    </r>
  </si>
  <si>
    <t xml:space="preserve">31241199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</si>
  <si>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750 * 9/5</t>
    </r>
  </si>
  <si>
    <t xml:space="preserve">31241200</t>
  </si>
  <si>
    <r>
      <rPr>
        <sz val="10"/>
        <rFont val="FreeSans"/>
        <family val="2"/>
      </rPr>
      <t xml:space="preserve">تسمه  پروانه آجدار             </t>
    </r>
    <r>
      <rPr>
        <sz val="10"/>
        <rFont val="Vazirmatn"/>
        <family val="0"/>
        <charset val="1"/>
      </rPr>
      <t xml:space="preserve">B X     57</t>
    </r>
  </si>
  <si>
    <t xml:space="preserve">31241201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</si>
  <si>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B X     59</t>
    </r>
  </si>
  <si>
    <t xml:space="preserve">31241202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</si>
  <si>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55     AX</t>
    </r>
  </si>
  <si>
    <t xml:space="preserve">31241203</t>
  </si>
  <si>
    <r>
      <rPr>
        <sz val="10"/>
        <rFont val="FreeSans"/>
        <family val="2"/>
      </rPr>
      <t xml:space="preserve">تسمه پروانه                        </t>
    </r>
    <r>
      <rPr>
        <sz val="10"/>
        <rFont val="Vazirmatn"/>
        <family val="0"/>
        <charset val="1"/>
      </rPr>
      <t xml:space="preserve">62     A</t>
    </r>
  </si>
  <si>
    <t xml:space="preserve">31241204</t>
  </si>
  <si>
    <r>
      <rPr>
        <sz val="10"/>
        <rFont val="FreeSans"/>
        <family val="2"/>
      </rPr>
      <t xml:space="preserve">تسمه پروانه                        </t>
    </r>
    <r>
      <rPr>
        <sz val="10"/>
        <rFont val="Vazirmatn"/>
        <family val="0"/>
        <charset val="1"/>
      </rPr>
      <t xml:space="preserve">AX     61</t>
    </r>
  </si>
  <si>
    <t xml:space="preserve">31241205</t>
  </si>
  <si>
    <r>
      <rPr>
        <sz val="10"/>
        <rFont val="FreeSans"/>
        <family val="2"/>
      </rPr>
      <t xml:space="preserve">تسمه پروانه                        </t>
    </r>
    <r>
      <rPr>
        <sz val="10"/>
        <rFont val="Vazirmatn"/>
        <family val="0"/>
        <charset val="1"/>
      </rPr>
      <t xml:space="preserve">72     B</t>
    </r>
  </si>
  <si>
    <t xml:space="preserve">31241206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</si>
  <si>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138    BX</t>
    </r>
  </si>
  <si>
    <t xml:space="preserve">31241207</t>
  </si>
  <si>
    <r>
      <rPr>
        <sz val="10"/>
        <rFont val="FreeSans"/>
        <family val="2"/>
      </rPr>
      <t xml:space="preserve">تسمه پروانه                         </t>
    </r>
    <r>
      <rPr>
        <sz val="10"/>
        <rFont val="Vazirmatn"/>
        <family val="0"/>
        <charset val="1"/>
      </rPr>
      <t xml:space="preserve">57    B</t>
    </r>
  </si>
  <si>
    <t xml:space="preserve">31241208</t>
  </si>
  <si>
    <r>
      <rPr>
        <sz val="10"/>
        <rFont val="FreeSans"/>
        <family val="2"/>
      </rPr>
      <t xml:space="preserve">تسمه پروانه                         </t>
    </r>
    <r>
      <rPr>
        <sz val="10"/>
        <rFont val="Vazirmatn"/>
        <family val="0"/>
        <charset val="1"/>
      </rPr>
      <t xml:space="preserve">58    B</t>
    </r>
  </si>
  <si>
    <t xml:space="preserve">31241209</t>
  </si>
  <si>
    <r>
      <rPr>
        <sz val="10"/>
        <rFont val="FreeSans"/>
        <family val="2"/>
      </rPr>
      <t xml:space="preserve">تسمه پروانه                         </t>
    </r>
    <r>
      <rPr>
        <sz val="10"/>
        <rFont val="Vazirmatn"/>
        <family val="0"/>
        <charset val="1"/>
      </rPr>
      <t xml:space="preserve">88    CX</t>
    </r>
  </si>
  <si>
    <t xml:space="preserve">31241210</t>
  </si>
  <si>
    <r>
      <rPr>
        <sz val="10"/>
        <rFont val="FreeSans"/>
        <family val="2"/>
      </rPr>
      <t xml:space="preserve">تسمه پروانه                         </t>
    </r>
    <r>
      <rPr>
        <sz val="10"/>
        <rFont val="Vazirmatn"/>
        <family val="0"/>
        <charset val="1"/>
      </rPr>
      <t xml:space="preserve">62    B</t>
    </r>
  </si>
  <si>
    <t xml:space="preserve">31241211</t>
  </si>
  <si>
    <r>
      <rPr>
        <sz val="10"/>
        <rFont val="FreeSans"/>
        <family val="2"/>
      </rPr>
      <t xml:space="preserve">تسمه پروانه                         </t>
    </r>
    <r>
      <rPr>
        <sz val="10"/>
        <rFont val="Vazirmatn"/>
        <family val="0"/>
        <charset val="1"/>
      </rPr>
      <t xml:space="preserve">53    CX</t>
    </r>
  </si>
  <si>
    <t xml:space="preserve">31241212</t>
  </si>
  <si>
    <r>
      <rPr>
        <sz val="10"/>
        <rFont val="FreeSans"/>
        <family val="2"/>
      </rPr>
      <t xml:space="preserve">تسمه  پروانه آجدار                </t>
    </r>
    <r>
      <rPr>
        <sz val="10"/>
        <rFont val="Vazirmatn"/>
        <family val="0"/>
        <charset val="1"/>
      </rPr>
      <t xml:space="preserve">62     BX</t>
    </r>
  </si>
  <si>
    <t xml:space="preserve">31241213</t>
  </si>
  <si>
    <r>
      <rPr>
        <sz val="10"/>
        <rFont val="FreeSans"/>
        <family val="2"/>
      </rPr>
      <t xml:space="preserve">تسمه پروانه                          </t>
    </r>
    <r>
      <rPr>
        <sz val="10"/>
        <rFont val="Vazirmatn"/>
        <family val="0"/>
        <charset val="1"/>
      </rPr>
      <t xml:space="preserve">69  BX</t>
    </r>
  </si>
  <si>
    <t xml:space="preserve">31241215</t>
  </si>
  <si>
    <r>
      <rPr>
        <sz val="10"/>
        <rFont val="FreeSans"/>
        <family val="2"/>
      </rPr>
      <t xml:space="preserve">تسمه پروانه                         </t>
    </r>
    <r>
      <rPr>
        <sz val="10"/>
        <rFont val="Vazirmatn"/>
        <family val="0"/>
        <charset val="1"/>
      </rPr>
      <t xml:space="preserve">D  158</t>
    </r>
  </si>
  <si>
    <t xml:space="preserve">31241217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</si>
  <si>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A X     49</t>
    </r>
  </si>
  <si>
    <t xml:space="preserve">31241218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</si>
  <si>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64     AX</t>
    </r>
  </si>
  <si>
    <t xml:space="preserve">31241220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</si>
  <si>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CX      51</t>
    </r>
  </si>
  <si>
    <t xml:space="preserve">31241221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</si>
  <si>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67      AX</t>
    </r>
  </si>
  <si>
    <t xml:space="preserve">31241222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</si>
  <si>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SPZLW  1212</t>
    </r>
  </si>
  <si>
    <t xml:space="preserve">31241223</t>
  </si>
  <si>
    <r>
      <rPr>
        <sz val="10"/>
        <rFont val="FreeSans"/>
        <family val="2"/>
      </rPr>
      <t xml:space="preserve">تسمه  پروانه                       </t>
    </r>
    <r>
      <rPr>
        <sz val="10"/>
        <rFont val="Vazirmatn"/>
        <family val="0"/>
        <charset val="1"/>
      </rPr>
      <t xml:space="preserve">BX     65</t>
    </r>
  </si>
  <si>
    <t xml:space="preserve">31241224</t>
  </si>
  <si>
    <r>
      <rPr>
        <sz val="10"/>
        <rFont val="FreeSans"/>
        <family val="2"/>
      </rPr>
      <t xml:space="preserve">تسمه پروانه                        </t>
    </r>
    <r>
      <rPr>
        <sz val="10"/>
        <rFont val="Vazirmatn"/>
        <family val="0"/>
        <charset val="1"/>
      </rPr>
      <t xml:space="preserve">65     AX</t>
    </r>
  </si>
  <si>
    <t xml:space="preserve">31241225</t>
  </si>
  <si>
    <r>
      <rPr>
        <sz val="10"/>
        <rFont val="FreeSans"/>
        <family val="2"/>
      </rPr>
      <t xml:space="preserve">تسمه پروانه                           </t>
    </r>
    <r>
      <rPr>
        <sz val="10"/>
        <rFont val="Vazirmatn"/>
        <family val="0"/>
        <charset val="1"/>
      </rPr>
      <t xml:space="preserve">76    C</t>
    </r>
  </si>
  <si>
    <t xml:space="preserve">31241226</t>
  </si>
  <si>
    <r>
      <rPr>
        <sz val="10"/>
        <rFont val="FreeSans"/>
        <family val="2"/>
      </rPr>
      <t xml:space="preserve">تسمه پروانه                        </t>
    </r>
    <r>
      <rPr>
        <sz val="10"/>
        <rFont val="Vazirmatn"/>
        <family val="0"/>
        <charset val="1"/>
      </rPr>
      <t xml:space="preserve">A X    68</t>
    </r>
  </si>
  <si>
    <t xml:space="preserve">31241228</t>
  </si>
  <si>
    <r>
      <rPr>
        <sz val="10"/>
        <rFont val="FreeSans"/>
        <family val="2"/>
      </rPr>
      <t xml:space="preserve">تسمه  پروانه                       </t>
    </r>
    <r>
      <rPr>
        <sz val="10"/>
        <rFont val="Vazirmatn"/>
        <family val="0"/>
        <charset val="1"/>
      </rPr>
      <t xml:space="preserve">BX     71</t>
    </r>
  </si>
  <si>
    <t xml:space="preserve">31241232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</si>
  <si>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110    B</t>
    </r>
  </si>
  <si>
    <t xml:space="preserve">31241233</t>
  </si>
  <si>
    <r>
      <rPr>
        <sz val="10"/>
        <rFont val="FreeSans"/>
        <family val="2"/>
      </rPr>
      <t xml:space="preserve">تسمه پروانه                        </t>
    </r>
    <r>
      <rPr>
        <sz val="10"/>
        <rFont val="Vazirmatn"/>
        <family val="0"/>
        <charset val="1"/>
      </rPr>
      <t xml:space="preserve">82     CX</t>
    </r>
  </si>
  <si>
    <t xml:space="preserve">31241234</t>
  </si>
  <si>
    <r>
      <rPr>
        <sz val="10"/>
        <rFont val="FreeSans"/>
        <family val="2"/>
      </rPr>
      <t xml:space="preserve">تسمه  پروانه                       </t>
    </r>
    <r>
      <rPr>
        <sz val="10"/>
        <rFont val="Vazirmatn"/>
        <family val="0"/>
        <charset val="1"/>
      </rPr>
      <t xml:space="preserve">B     70</t>
    </r>
  </si>
  <si>
    <t xml:space="preserve">31241236</t>
  </si>
  <si>
    <r>
      <rPr>
        <sz val="10"/>
        <rFont val="FreeSans"/>
        <family val="2"/>
      </rPr>
      <t xml:space="preserve">تسمه پروانه                        </t>
    </r>
    <r>
      <rPr>
        <sz val="10"/>
        <rFont val="Vazirmatn"/>
        <family val="0"/>
        <charset val="1"/>
      </rPr>
      <t xml:space="preserve">AX   70</t>
    </r>
  </si>
  <si>
    <t xml:space="preserve">31241237</t>
  </si>
  <si>
    <r>
      <rPr>
        <sz val="10"/>
        <rFont val="FreeSans"/>
        <family val="2"/>
      </rPr>
      <t xml:space="preserve">تسمه پروانه                        </t>
    </r>
    <r>
      <rPr>
        <sz val="10"/>
        <rFont val="Vazirmatn"/>
        <family val="0"/>
        <charset val="1"/>
      </rPr>
      <t xml:space="preserve">1500    VL</t>
    </r>
  </si>
  <si>
    <t xml:space="preserve">31241238</t>
  </si>
  <si>
    <r>
      <rPr>
        <sz val="10"/>
        <rFont val="FreeSans"/>
        <family val="2"/>
      </rPr>
      <t xml:space="preserve">تسمه پروانه                        </t>
    </r>
    <r>
      <rPr>
        <sz val="10"/>
        <rFont val="Vazirmatn"/>
        <family val="0"/>
        <charset val="1"/>
      </rPr>
      <t xml:space="preserve">72   AX</t>
    </r>
  </si>
  <si>
    <t xml:space="preserve">31241239</t>
  </si>
  <si>
    <r>
      <rPr>
        <sz val="10"/>
        <rFont val="FreeSans"/>
        <family val="2"/>
      </rPr>
      <t xml:space="preserve">تسمه پروانه       </t>
    </r>
    <r>
      <rPr>
        <sz val="10"/>
        <rFont val="Vazirmatn"/>
        <family val="0"/>
        <charset val="1"/>
      </rPr>
      <t xml:space="preserve">C 106</t>
    </r>
  </si>
  <si>
    <t xml:space="preserve">31241240</t>
  </si>
  <si>
    <r>
      <rPr>
        <sz val="10"/>
        <rFont val="FreeSans"/>
        <family val="2"/>
      </rPr>
      <t xml:space="preserve">تسمه پروانه                        </t>
    </r>
    <r>
      <rPr>
        <sz val="10"/>
        <rFont val="Vazirmatn"/>
        <family val="0"/>
        <charset val="1"/>
      </rPr>
      <t xml:space="preserve">AX   89</t>
    </r>
  </si>
  <si>
    <t xml:space="preserve">31241241</t>
  </si>
  <si>
    <r>
      <rPr>
        <sz val="10"/>
        <rFont val="FreeSans"/>
        <family val="2"/>
      </rPr>
      <t xml:space="preserve">تسمه پروانه                        </t>
    </r>
    <r>
      <rPr>
        <sz val="10"/>
        <rFont val="Vazirmatn"/>
        <family val="0"/>
        <charset val="1"/>
      </rPr>
      <t xml:space="preserve">74     AX</t>
    </r>
  </si>
  <si>
    <t xml:space="preserve">31241244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</si>
  <si>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CX     60</t>
    </r>
  </si>
  <si>
    <t xml:space="preserve">31241245</t>
  </si>
  <si>
    <r>
      <rPr>
        <sz val="10"/>
        <rFont val="FreeSans"/>
        <family val="2"/>
      </rPr>
      <t xml:space="preserve">تسمه پروانه            </t>
    </r>
    <r>
      <rPr>
        <sz val="10"/>
        <rFont val="Vazirmatn"/>
        <family val="0"/>
        <charset val="1"/>
      </rPr>
      <t xml:space="preserve">57       AX</t>
    </r>
  </si>
  <si>
    <t xml:space="preserve">31241248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</si>
  <si>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58      A</t>
    </r>
  </si>
  <si>
    <t xml:space="preserve">31241249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</si>
  <si>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75    BX</t>
    </r>
  </si>
  <si>
    <t xml:space="preserve">31241251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</si>
  <si>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B  X      78</t>
    </r>
  </si>
  <si>
    <t xml:space="preserve">31241252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</si>
  <si>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85        BX</t>
    </r>
  </si>
  <si>
    <t xml:space="preserve">31241253</t>
  </si>
  <si>
    <r>
      <rPr>
        <sz val="10"/>
        <rFont val="FreeSans"/>
        <family val="2"/>
      </rPr>
      <t xml:space="preserve">تسمه پروانه آجدار            </t>
    </r>
    <r>
      <rPr>
        <sz val="10"/>
        <rFont val="Vazirmatn"/>
        <family val="0"/>
        <charset val="1"/>
      </rPr>
      <t xml:space="preserve">AX        85</t>
    </r>
  </si>
  <si>
    <t xml:space="preserve">31241258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</si>
  <si>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90        A</t>
    </r>
  </si>
  <si>
    <t xml:space="preserve">31241259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</si>
  <si>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89      AX</t>
    </r>
  </si>
  <si>
    <t xml:space="preserve">31241260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</si>
  <si>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B        76</t>
    </r>
  </si>
  <si>
    <t xml:space="preserve">31241261</t>
  </si>
  <si>
    <r>
      <rPr>
        <sz val="10"/>
        <rFont val="FreeSans"/>
        <family val="2"/>
      </rPr>
      <t xml:space="preserve">تسمه پروانه                   </t>
    </r>
    <r>
      <rPr>
        <sz val="10"/>
        <rFont val="Vazirmatn"/>
        <family val="0"/>
        <charset val="1"/>
      </rPr>
      <t xml:space="preserve">BX        88</t>
    </r>
  </si>
  <si>
    <t xml:space="preserve">31241262</t>
  </si>
  <si>
    <r>
      <rPr>
        <sz val="10"/>
        <rFont val="FreeSans"/>
        <family val="2"/>
      </rPr>
      <t xml:space="preserve">تسمه پروانه آجدار            </t>
    </r>
    <r>
      <rPr>
        <sz val="10"/>
        <rFont val="Vazirmatn"/>
        <family val="0"/>
        <charset val="1"/>
      </rPr>
      <t xml:space="preserve">87      BX</t>
    </r>
  </si>
  <si>
    <t xml:space="preserve">31241263</t>
  </si>
  <si>
    <r>
      <rPr>
        <sz val="10"/>
        <rFont val="FreeSans"/>
        <family val="2"/>
      </rPr>
      <t xml:space="preserve">تسمه پروانه  </t>
    </r>
    <r>
      <rPr>
        <sz val="10"/>
        <rFont val="Vazirmatn"/>
        <family val="0"/>
        <charset val="1"/>
      </rPr>
      <t xml:space="preserve">SPB 112 </t>
    </r>
    <r>
      <rPr>
        <sz val="10"/>
        <rFont val="FreeSans"/>
        <family val="2"/>
      </rPr>
      <t xml:space="preserve">کولینگ تاور</t>
    </r>
  </si>
  <si>
    <t xml:space="preserve">31241264</t>
  </si>
  <si>
    <r>
      <rPr>
        <sz val="10"/>
        <rFont val="FreeSans"/>
        <family val="2"/>
      </rPr>
      <t xml:space="preserve">تسمه پروانه   </t>
    </r>
    <r>
      <rPr>
        <sz val="10"/>
        <rFont val="Vazirmatn"/>
        <family val="0"/>
        <charset val="1"/>
      </rPr>
      <t xml:space="preserve">SPZ 1250</t>
    </r>
  </si>
  <si>
    <t xml:space="preserve">31241266</t>
  </si>
  <si>
    <r>
      <rPr>
        <sz val="10"/>
        <rFont val="FreeSans"/>
        <family val="2"/>
      </rPr>
      <t xml:space="preserve">تسمه پروانه    </t>
    </r>
    <r>
      <rPr>
        <sz val="10"/>
        <rFont val="Vazirmatn"/>
        <family val="0"/>
        <charset val="1"/>
      </rPr>
      <t xml:space="preserve">102 C</t>
    </r>
  </si>
  <si>
    <t xml:space="preserve">31241267</t>
  </si>
  <si>
    <r>
      <rPr>
        <sz val="10"/>
        <rFont val="FreeSans"/>
        <family val="2"/>
      </rPr>
      <t xml:space="preserve">تسمه پروانه </t>
    </r>
    <r>
      <rPr>
        <sz val="10"/>
        <rFont val="Vazirmatn"/>
        <family val="0"/>
        <charset val="1"/>
      </rPr>
      <t xml:space="preserve">930 5V</t>
    </r>
  </si>
  <si>
    <t xml:space="preserve">31241268</t>
  </si>
  <si>
    <r>
      <rPr>
        <sz val="10"/>
        <rFont val="FreeSans"/>
        <family val="2"/>
      </rPr>
      <t xml:space="preserve">تسمه پروانه  آجدار          </t>
    </r>
    <r>
      <rPr>
        <sz val="10"/>
        <rFont val="Vazirmatn"/>
        <family val="0"/>
        <charset val="1"/>
      </rPr>
      <t xml:space="preserve">BX       77</t>
    </r>
  </si>
  <si>
    <t xml:space="preserve">31241269</t>
  </si>
  <si>
    <r>
      <rPr>
        <sz val="10"/>
        <rFont val="FreeSans"/>
        <family val="2"/>
      </rPr>
      <t xml:space="preserve">تسمه پروانه      </t>
    </r>
    <r>
      <rPr>
        <sz val="10"/>
        <rFont val="Vazirmatn"/>
        <family val="0"/>
        <charset val="1"/>
      </rPr>
      <t xml:space="preserve">B93</t>
    </r>
  </si>
  <si>
    <t xml:space="preserve">31241270</t>
  </si>
  <si>
    <r>
      <rPr>
        <sz val="10"/>
        <rFont val="FreeSans"/>
        <family val="2"/>
      </rPr>
      <t xml:space="preserve">تسمه پروانه آجدار           </t>
    </r>
    <r>
      <rPr>
        <sz val="10"/>
        <rFont val="Vazirmatn"/>
        <family val="0"/>
        <charset val="1"/>
      </rPr>
      <t xml:space="preserve">94       BX</t>
    </r>
  </si>
  <si>
    <t xml:space="preserve">31241272</t>
  </si>
  <si>
    <r>
      <rPr>
        <sz val="10"/>
        <rFont val="FreeSans"/>
        <family val="2"/>
      </rPr>
      <t xml:space="preserve">تسمه پروانه                    </t>
    </r>
    <r>
      <rPr>
        <sz val="10"/>
        <rFont val="Vazirmatn"/>
        <family val="0"/>
        <charset val="1"/>
      </rPr>
      <t xml:space="preserve">79       CX</t>
    </r>
  </si>
  <si>
    <t xml:space="preserve">31241273</t>
  </si>
  <si>
    <r>
      <rPr>
        <sz val="10"/>
        <rFont val="FreeSans"/>
        <family val="2"/>
      </rPr>
      <t xml:space="preserve">تسمه پروانه                    </t>
    </r>
    <r>
      <rPr>
        <sz val="10"/>
        <rFont val="Vazirmatn"/>
        <family val="0"/>
        <charset val="1"/>
      </rPr>
      <t xml:space="preserve">96       BX</t>
    </r>
  </si>
  <si>
    <t xml:space="preserve">31241276</t>
  </si>
  <si>
    <r>
      <rPr>
        <sz val="10"/>
        <rFont val="FreeSans"/>
        <family val="2"/>
      </rPr>
      <t xml:space="preserve">تسمه پروانه                    </t>
    </r>
    <r>
      <rPr>
        <sz val="10"/>
        <rFont val="Vazirmatn"/>
        <family val="0"/>
        <charset val="1"/>
      </rPr>
      <t xml:space="preserve">B        97</t>
    </r>
  </si>
  <si>
    <t xml:space="preserve">31241277</t>
  </si>
  <si>
    <r>
      <rPr>
        <sz val="10"/>
        <rFont val="FreeSans"/>
        <family val="2"/>
      </rPr>
      <t xml:space="preserve">تسمه پروانه                  </t>
    </r>
    <r>
      <rPr>
        <sz val="10"/>
        <rFont val="Vazirmatn"/>
        <family val="0"/>
        <charset val="1"/>
      </rPr>
      <t xml:space="preserve">108        CX</t>
    </r>
  </si>
  <si>
    <t xml:space="preserve">31241278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</si>
  <si>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C  104</t>
    </r>
  </si>
  <si>
    <t xml:space="preserve">31241279</t>
  </si>
  <si>
    <r>
      <rPr>
        <sz val="10"/>
        <rFont val="FreeSans"/>
        <family val="2"/>
      </rPr>
      <t xml:space="preserve">تسمه پروانه   </t>
    </r>
    <r>
      <rPr>
        <sz val="10"/>
        <rFont val="Vazirmatn"/>
        <family val="0"/>
        <charset val="1"/>
      </rPr>
      <t xml:space="preserve">120 AX</t>
    </r>
  </si>
  <si>
    <t xml:space="preserve">31241280</t>
  </si>
  <si>
    <r>
      <rPr>
        <sz val="10"/>
        <rFont val="FreeSans"/>
        <family val="2"/>
      </rPr>
      <t xml:space="preserve">تسمه پروانه                  </t>
    </r>
    <r>
      <rPr>
        <sz val="10"/>
        <rFont val="Vazirmatn"/>
        <family val="0"/>
        <charset val="1"/>
      </rPr>
      <t xml:space="preserve">112       BX</t>
    </r>
  </si>
  <si>
    <t xml:space="preserve">31241281</t>
  </si>
  <si>
    <r>
      <rPr>
        <sz val="10"/>
        <rFont val="FreeSans"/>
        <family val="2"/>
      </rPr>
      <t xml:space="preserve">تسمه پروانه  </t>
    </r>
    <r>
      <rPr>
        <sz val="10"/>
        <rFont val="Vazirmatn"/>
        <family val="0"/>
        <charset val="1"/>
      </rPr>
      <t xml:space="preserve">SPA  2300</t>
    </r>
  </si>
  <si>
    <t xml:space="preserve">31241282</t>
  </si>
  <si>
    <r>
      <rPr>
        <sz val="10"/>
        <rFont val="FreeSans"/>
        <family val="2"/>
      </rPr>
      <t xml:space="preserve">تسمه پروانه  </t>
    </r>
    <r>
      <rPr>
        <sz val="10"/>
        <rFont val="Vazirmatn"/>
        <family val="0"/>
        <charset val="1"/>
      </rPr>
      <t xml:space="preserve">SPA  3000</t>
    </r>
  </si>
  <si>
    <t xml:space="preserve">31241284</t>
  </si>
  <si>
    <r>
      <rPr>
        <sz val="10"/>
        <rFont val="FreeSans"/>
        <family val="2"/>
      </rPr>
      <t xml:space="preserve">تسمه پروانه                  </t>
    </r>
    <r>
      <rPr>
        <sz val="10"/>
        <rFont val="Vazirmatn"/>
        <family val="0"/>
        <charset val="1"/>
      </rPr>
      <t xml:space="preserve">C X       158</t>
    </r>
  </si>
  <si>
    <t xml:space="preserve">31241285</t>
  </si>
  <si>
    <r>
      <rPr>
        <sz val="10"/>
        <rFont val="FreeSans"/>
        <family val="2"/>
      </rPr>
      <t xml:space="preserve">تسمه پروانه     </t>
    </r>
    <r>
      <rPr>
        <sz val="10"/>
        <rFont val="Vazirmatn"/>
        <family val="0"/>
        <charset val="1"/>
      </rPr>
      <t xml:space="preserve">118 A</t>
    </r>
  </si>
  <si>
    <t xml:space="preserve">31241287</t>
  </si>
  <si>
    <r>
      <rPr>
        <sz val="10"/>
        <rFont val="FreeSans"/>
        <family val="2"/>
      </rPr>
      <t xml:space="preserve">تسمه پروانه                  </t>
    </r>
    <r>
      <rPr>
        <sz val="10"/>
        <rFont val="Vazirmatn"/>
        <family val="0"/>
        <charset val="1"/>
      </rPr>
      <t xml:space="preserve">116       AX</t>
    </r>
  </si>
  <si>
    <t xml:space="preserve">31241289</t>
  </si>
  <si>
    <r>
      <rPr>
        <sz val="10"/>
        <rFont val="FreeSans"/>
        <family val="2"/>
      </rPr>
      <t xml:space="preserve">تسمه پروانه                 </t>
    </r>
    <r>
      <rPr>
        <sz val="10"/>
        <rFont val="Vazirmatn"/>
        <family val="0"/>
        <charset val="1"/>
      </rPr>
      <t xml:space="preserve">1175 *  9/5</t>
    </r>
  </si>
  <si>
    <t xml:space="preserve">31241290</t>
  </si>
  <si>
    <r>
      <rPr>
        <sz val="10"/>
        <rFont val="FreeSans"/>
        <family val="2"/>
      </rPr>
      <t xml:space="preserve">تسمه پروانه                  </t>
    </r>
    <r>
      <rPr>
        <sz val="10"/>
        <rFont val="Vazirmatn"/>
        <family val="0"/>
        <charset val="1"/>
      </rPr>
      <t xml:space="preserve">122       CX</t>
    </r>
  </si>
  <si>
    <t xml:space="preserve">31241292</t>
  </si>
  <si>
    <r>
      <rPr>
        <sz val="10"/>
        <rFont val="FreeSans"/>
        <family val="2"/>
      </rPr>
      <t xml:space="preserve">تسمه پروانه                  </t>
    </r>
    <r>
      <rPr>
        <sz val="10"/>
        <rFont val="Vazirmatn"/>
        <family val="0"/>
        <charset val="1"/>
      </rPr>
      <t xml:space="preserve">A         112</t>
    </r>
  </si>
  <si>
    <t xml:space="preserve">31241294</t>
  </si>
  <si>
    <r>
      <rPr>
        <sz val="10"/>
        <rFont val="FreeSans"/>
        <family val="2"/>
      </rPr>
      <t xml:space="preserve">تسمه پروانه                  </t>
    </r>
    <r>
      <rPr>
        <sz val="10"/>
        <rFont val="Vazirmatn"/>
        <family val="0"/>
        <charset val="1"/>
      </rPr>
      <t xml:space="preserve">118         AX</t>
    </r>
  </si>
  <si>
    <t xml:space="preserve">31241295</t>
  </si>
  <si>
    <r>
      <rPr>
        <sz val="10"/>
        <rFont val="FreeSans"/>
        <family val="2"/>
      </rPr>
      <t xml:space="preserve">تسمه پروانه آجدار     </t>
    </r>
    <r>
      <rPr>
        <sz val="10"/>
        <rFont val="Vazirmatn"/>
        <family val="0"/>
        <charset val="1"/>
      </rPr>
      <t xml:space="preserve">5vx          860</t>
    </r>
  </si>
  <si>
    <t xml:space="preserve">31241296</t>
  </si>
  <si>
    <r>
      <rPr>
        <sz val="10"/>
        <rFont val="FreeSans"/>
        <family val="2"/>
      </rPr>
      <t xml:space="preserve">تسمه پروانه                </t>
    </r>
    <r>
      <rPr>
        <sz val="10"/>
        <rFont val="Vazirmatn"/>
        <family val="0"/>
        <charset val="1"/>
      </rPr>
      <t xml:space="preserve">SPA       1650</t>
    </r>
  </si>
  <si>
    <t xml:space="preserve">31241297</t>
  </si>
  <si>
    <r>
      <rPr>
        <sz val="10"/>
        <rFont val="FreeSans"/>
        <family val="2"/>
      </rPr>
      <t xml:space="preserve">تسمه پروانه                    </t>
    </r>
    <r>
      <rPr>
        <sz val="10"/>
        <rFont val="Vazirmatn"/>
        <family val="0"/>
        <charset val="1"/>
      </rPr>
      <t xml:space="preserve">C X        86</t>
    </r>
  </si>
  <si>
    <t xml:space="preserve">31241299</t>
  </si>
  <si>
    <r>
      <rPr>
        <sz val="10"/>
        <rFont val="FreeSans"/>
        <family val="2"/>
      </rPr>
      <t xml:space="preserve">تسمه پروانه      </t>
    </r>
    <r>
      <rPr>
        <sz val="10"/>
        <rFont val="Vazirmatn"/>
        <family val="0"/>
        <charset val="1"/>
      </rPr>
      <t xml:space="preserve">90 AX</t>
    </r>
  </si>
  <si>
    <t xml:space="preserve">31241300</t>
  </si>
  <si>
    <r>
      <rPr>
        <sz val="10"/>
        <rFont val="FreeSans"/>
        <family val="2"/>
      </rPr>
      <t xml:space="preserve">تسمه پروانه                   </t>
    </r>
    <r>
      <rPr>
        <sz val="10"/>
        <rFont val="Vazirmatn"/>
        <family val="0"/>
        <charset val="1"/>
      </rPr>
      <t xml:space="preserve">140        AX</t>
    </r>
  </si>
  <si>
    <t xml:space="preserve">31241302</t>
  </si>
  <si>
    <r>
      <rPr>
        <sz val="10"/>
        <rFont val="FreeSans"/>
        <family val="2"/>
      </rPr>
      <t xml:space="preserve">تسمه پروانه   </t>
    </r>
    <r>
      <rPr>
        <sz val="10"/>
        <rFont val="Vazirmatn"/>
        <family val="0"/>
        <charset val="1"/>
      </rPr>
      <t xml:space="preserve">SPZX      1412</t>
    </r>
  </si>
  <si>
    <t xml:space="preserve">31241305</t>
  </si>
  <si>
    <r>
      <rPr>
        <sz val="10"/>
        <rFont val="FreeSans"/>
        <family val="2"/>
      </rPr>
      <t xml:space="preserve">تسمه پروانه                       </t>
    </r>
    <r>
      <rPr>
        <sz val="10"/>
        <rFont val="Vazirmatn"/>
        <family val="0"/>
        <charset val="1"/>
      </rPr>
      <t xml:space="preserve">AX     101</t>
    </r>
  </si>
  <si>
    <t xml:space="preserve">31241309</t>
  </si>
  <si>
    <r>
      <rPr>
        <sz val="10"/>
        <rFont val="FreeSans"/>
        <family val="2"/>
      </rPr>
      <t xml:space="preserve">تسمه پروانه                </t>
    </r>
    <r>
      <rPr>
        <sz val="10"/>
        <rFont val="Vazirmatn"/>
        <family val="0"/>
        <charset val="1"/>
      </rPr>
      <t xml:space="preserve">4000  SPCK</t>
    </r>
  </si>
  <si>
    <t xml:space="preserve">31241310</t>
  </si>
  <si>
    <r>
      <rPr>
        <sz val="10"/>
        <rFont val="FreeSans"/>
        <family val="2"/>
      </rPr>
      <t xml:space="preserve">تسمه پروانه       </t>
    </r>
    <r>
      <rPr>
        <sz val="10"/>
        <rFont val="Vazirmatn"/>
        <family val="0"/>
        <charset val="1"/>
      </rPr>
      <t xml:space="preserve">C 132</t>
    </r>
  </si>
  <si>
    <t xml:space="preserve">31241311</t>
  </si>
  <si>
    <r>
      <rPr>
        <sz val="10"/>
        <rFont val="FreeSans"/>
        <family val="2"/>
      </rPr>
      <t xml:space="preserve">تسمه پروانه                   </t>
    </r>
    <r>
      <rPr>
        <sz val="10"/>
        <rFont val="Vazirmatn"/>
        <family val="0"/>
        <charset val="1"/>
      </rPr>
      <t xml:space="preserve">C        215</t>
    </r>
  </si>
  <si>
    <t xml:space="preserve">31241313</t>
  </si>
  <si>
    <r>
      <rPr>
        <sz val="10"/>
        <rFont val="FreeSans"/>
        <family val="2"/>
      </rPr>
      <t xml:space="preserve">تسمه پروانه       </t>
    </r>
    <r>
      <rPr>
        <sz val="10"/>
        <rFont val="Vazirmatn"/>
        <family val="0"/>
        <charset val="1"/>
      </rPr>
      <t xml:space="preserve">C 105</t>
    </r>
  </si>
  <si>
    <t xml:space="preserve">31241314</t>
  </si>
  <si>
    <r>
      <rPr>
        <sz val="10"/>
        <rFont val="FreeSans"/>
        <family val="2"/>
      </rPr>
      <t xml:space="preserve">تسمه پروانه     </t>
    </r>
    <r>
      <rPr>
        <sz val="10"/>
        <rFont val="Vazirmatn"/>
        <family val="0"/>
        <charset val="1"/>
      </rPr>
      <t xml:space="preserve">140 CX</t>
    </r>
  </si>
  <si>
    <t xml:space="preserve">31241324</t>
  </si>
  <si>
    <r>
      <rPr>
        <sz val="10"/>
        <rFont val="FreeSans"/>
        <family val="2"/>
      </rPr>
      <t xml:space="preserve">تسمه  پروانه آجدار   </t>
    </r>
    <r>
      <rPr>
        <sz val="10"/>
        <rFont val="Vazirmatn"/>
        <family val="0"/>
        <charset val="1"/>
      </rPr>
      <t xml:space="preserve">1000*9/5</t>
    </r>
  </si>
  <si>
    <t xml:space="preserve">31241325</t>
  </si>
  <si>
    <r>
      <rPr>
        <sz val="10"/>
        <rFont val="FreeSans"/>
        <family val="2"/>
      </rPr>
      <t xml:space="preserve">تسمه پروانه                   </t>
    </r>
    <r>
      <rPr>
        <sz val="10"/>
        <rFont val="Vazirmatn"/>
        <family val="0"/>
        <charset val="1"/>
      </rPr>
      <t xml:space="preserve">PJ      965</t>
    </r>
  </si>
  <si>
    <t xml:space="preserve">31241327</t>
  </si>
  <si>
    <r>
      <rPr>
        <sz val="10"/>
        <rFont val="FreeSans"/>
        <family val="2"/>
      </rPr>
      <t xml:space="preserve">تسمه پروانه                   </t>
    </r>
    <r>
      <rPr>
        <sz val="10"/>
        <rFont val="Vazirmatn"/>
        <family val="0"/>
        <charset val="1"/>
      </rPr>
      <t xml:space="preserve">B X       101</t>
    </r>
  </si>
  <si>
    <t xml:space="preserve">31241331</t>
  </si>
  <si>
    <r>
      <rPr>
        <sz val="10"/>
        <rFont val="FreeSans"/>
        <family val="2"/>
      </rPr>
      <t xml:space="preserve">تسمه پروانه                   </t>
    </r>
    <r>
      <rPr>
        <sz val="10"/>
        <rFont val="Vazirmatn"/>
        <family val="0"/>
        <charset val="1"/>
      </rPr>
      <t xml:space="preserve">D        235</t>
    </r>
  </si>
  <si>
    <t xml:space="preserve">31241332</t>
  </si>
  <si>
    <r>
      <rPr>
        <sz val="10"/>
        <rFont val="FreeSans"/>
        <family val="2"/>
      </rPr>
      <t xml:space="preserve">تسمه  پروانه آجدار           </t>
    </r>
    <r>
      <rPr>
        <sz val="10"/>
        <rFont val="Vazirmatn"/>
        <family val="0"/>
        <charset val="1"/>
      </rPr>
      <t xml:space="preserve">B X        74</t>
    </r>
  </si>
  <si>
    <t xml:space="preserve">31241333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</si>
  <si>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94        A</t>
    </r>
  </si>
  <si>
    <t xml:space="preserve">31241335</t>
  </si>
  <si>
    <r>
      <rPr>
        <sz val="10"/>
        <rFont val="FreeSans"/>
        <family val="2"/>
      </rPr>
      <t xml:space="preserve">تسمه پروانه           </t>
    </r>
    <r>
      <rPr>
        <sz val="10"/>
        <rFont val="Vazirmatn"/>
        <family val="0"/>
        <charset val="1"/>
      </rPr>
      <t xml:space="preserve">1350*9/5</t>
    </r>
  </si>
  <si>
    <t xml:space="preserve">31241336</t>
  </si>
  <si>
    <r>
      <rPr>
        <sz val="10"/>
        <rFont val="FreeSans"/>
        <family val="2"/>
      </rPr>
      <t xml:space="preserve">تسمه پروانه        </t>
    </r>
    <r>
      <rPr>
        <sz val="10"/>
        <rFont val="Vazirmatn"/>
        <family val="0"/>
        <charset val="1"/>
      </rPr>
      <t xml:space="preserve">1750*9/5</t>
    </r>
  </si>
  <si>
    <t xml:space="preserve">31241337</t>
  </si>
  <si>
    <r>
      <rPr>
        <sz val="10"/>
        <rFont val="FreeSans"/>
        <family val="2"/>
      </rPr>
      <t xml:space="preserve">تسمه پروانه       </t>
    </r>
    <r>
      <rPr>
        <sz val="10"/>
        <rFont val="Vazirmatn"/>
        <family val="0"/>
        <charset val="1"/>
      </rPr>
      <t xml:space="preserve">1160 * 9/5</t>
    </r>
  </si>
  <si>
    <t xml:space="preserve">31241340</t>
  </si>
  <si>
    <r>
      <rPr>
        <sz val="10"/>
        <rFont val="FreeSans"/>
        <family val="2"/>
      </rPr>
      <t xml:space="preserve">تسمه پروانه                   </t>
    </r>
    <r>
      <rPr>
        <sz val="10"/>
        <rFont val="Vazirmatn"/>
        <family val="0"/>
        <charset val="1"/>
      </rPr>
      <t xml:space="preserve">PJ       711</t>
    </r>
  </si>
  <si>
    <t xml:space="preserve">31241342</t>
  </si>
  <si>
    <r>
      <rPr>
        <sz val="10"/>
        <rFont val="FreeSans"/>
        <family val="2"/>
      </rPr>
      <t xml:space="preserve">تسمه پروانه                     </t>
    </r>
    <r>
      <rPr>
        <sz val="10"/>
        <rFont val="Vazirmatn"/>
        <family val="0"/>
        <charset val="1"/>
      </rPr>
      <t xml:space="preserve">79        BX</t>
    </r>
  </si>
  <si>
    <t xml:space="preserve">31241344</t>
  </si>
  <si>
    <r>
      <rPr>
        <sz val="10"/>
        <rFont val="FreeSans"/>
        <family val="2"/>
      </rPr>
      <t xml:space="preserve">تسمه پروانه                      </t>
    </r>
    <r>
      <rPr>
        <sz val="10"/>
        <rFont val="Vazirmatn"/>
        <family val="0"/>
        <charset val="1"/>
      </rPr>
      <t xml:space="preserve">68       BX</t>
    </r>
  </si>
  <si>
    <t xml:space="preserve">31241345</t>
  </si>
  <si>
    <r>
      <rPr>
        <sz val="10"/>
        <rFont val="FreeSans"/>
        <family val="2"/>
      </rPr>
      <t xml:space="preserve">تسمه پروانه                    </t>
    </r>
    <r>
      <rPr>
        <sz val="10"/>
        <rFont val="Vazirmatn"/>
        <family val="0"/>
        <charset val="1"/>
      </rPr>
      <t xml:space="preserve">200       B</t>
    </r>
  </si>
  <si>
    <t xml:space="preserve">31241348</t>
  </si>
  <si>
    <r>
      <rPr>
        <sz val="10"/>
        <rFont val="FreeSans"/>
        <family val="2"/>
      </rPr>
      <t xml:space="preserve">تسمه پروانه آسیاب ایمپکت </t>
    </r>
    <r>
      <rPr>
        <sz val="10"/>
        <rFont val="Vazirmatn"/>
        <family val="0"/>
        <charset val="1"/>
      </rPr>
      <t xml:space="preserve">5VX 1230  ( 002595 - 024 )</t>
    </r>
  </si>
  <si>
    <t xml:space="preserve">31241349</t>
  </si>
  <si>
    <r>
      <rPr>
        <sz val="10"/>
        <rFont val="FreeSans"/>
        <family val="2"/>
      </rPr>
      <t xml:space="preserve">تسمه  پروانه   </t>
    </r>
    <r>
      <rPr>
        <sz val="10"/>
        <rFont val="Vazirmatn"/>
        <family val="0"/>
        <charset val="1"/>
      </rPr>
      <t xml:space="preserve">5VX1150  (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136 - FQ )</t>
    </r>
  </si>
  <si>
    <t xml:space="preserve">31241360</t>
  </si>
  <si>
    <r>
      <rPr>
        <sz val="10"/>
        <rFont val="FreeSans"/>
        <family val="2"/>
      </rPr>
      <t xml:space="preserve">تسمه پروانه             </t>
    </r>
    <r>
      <rPr>
        <sz val="10"/>
        <rFont val="Vazirmatn"/>
        <family val="0"/>
        <charset val="1"/>
      </rPr>
      <t xml:space="preserve">29   SPZ</t>
    </r>
  </si>
  <si>
    <t xml:space="preserve">31241363</t>
  </si>
  <si>
    <r>
      <rPr>
        <sz val="10"/>
        <rFont val="FreeSans"/>
        <family val="2"/>
      </rPr>
      <t xml:space="preserve">تسمه رفراندوم  </t>
    </r>
    <r>
      <rPr>
        <sz val="10"/>
        <rFont val="Vazirmatn"/>
        <family val="0"/>
        <charset val="1"/>
      </rPr>
      <t xml:space="preserve">8Cm</t>
    </r>
  </si>
  <si>
    <t xml:space="preserve">31241364</t>
  </si>
  <si>
    <t xml:space="preserve">تسمه تایم ریل بالا</t>
  </si>
  <si>
    <t xml:space="preserve">31241402</t>
  </si>
  <si>
    <r>
      <rPr>
        <sz val="10"/>
        <rFont val="FreeSans"/>
        <family val="2"/>
      </rPr>
      <t xml:space="preserve">تسمه پولی لاستیکی </t>
    </r>
    <r>
      <rPr>
        <sz val="10"/>
        <rFont val="Vazirmatn"/>
        <family val="0"/>
        <charset val="1"/>
      </rPr>
      <t xml:space="preserve">SPB - 2800 LA</t>
    </r>
  </si>
  <si>
    <t xml:space="preserve">31241403</t>
  </si>
  <si>
    <r>
      <rPr>
        <sz val="10"/>
        <rFont val="FreeSans"/>
        <family val="2"/>
      </rPr>
      <t xml:space="preserve">تسمه پولی لاستیکی </t>
    </r>
    <r>
      <rPr>
        <sz val="10"/>
        <rFont val="Vazirmatn"/>
        <family val="0"/>
        <charset val="1"/>
      </rPr>
      <t xml:space="preserve">B - 2388 - Li</t>
    </r>
  </si>
  <si>
    <t xml:space="preserve">31241498</t>
  </si>
  <si>
    <r>
      <rPr>
        <sz val="10"/>
        <rFont val="FreeSans"/>
        <family val="2"/>
      </rPr>
      <t xml:space="preserve">تسمه پروانه         </t>
    </r>
    <r>
      <rPr>
        <sz val="10"/>
        <rFont val="Vazirmatn"/>
        <family val="0"/>
        <charset val="1"/>
      </rPr>
      <t xml:space="preserve">600 * 9/5</t>
    </r>
  </si>
  <si>
    <t xml:space="preserve">31241499</t>
  </si>
  <si>
    <r>
      <rPr>
        <sz val="10"/>
        <rFont val="FreeSans"/>
        <family val="2"/>
      </rPr>
      <t xml:space="preserve">تسمه پروانه         </t>
    </r>
    <r>
      <rPr>
        <sz val="10"/>
        <rFont val="Vazirmatn"/>
        <family val="0"/>
        <charset val="1"/>
      </rPr>
      <t xml:space="preserve">625 * 9/5</t>
    </r>
  </si>
  <si>
    <t xml:space="preserve">31241500</t>
  </si>
  <si>
    <r>
      <rPr>
        <sz val="10"/>
        <rFont val="FreeSans"/>
        <family val="2"/>
      </rPr>
      <t xml:space="preserve">تسمه پروانه         </t>
    </r>
    <r>
      <rPr>
        <sz val="10"/>
        <rFont val="Vazirmatn"/>
        <family val="0"/>
        <charset val="1"/>
      </rPr>
      <t xml:space="preserve">825  *9/5</t>
    </r>
  </si>
  <si>
    <t xml:space="preserve">31241502</t>
  </si>
  <si>
    <r>
      <rPr>
        <sz val="10"/>
        <rFont val="FreeSans"/>
        <family val="2"/>
      </rPr>
      <t xml:space="preserve">تسمه  پروانه     </t>
    </r>
    <r>
      <rPr>
        <sz val="10"/>
        <rFont val="Vazirmatn"/>
        <family val="0"/>
        <charset val="1"/>
      </rPr>
      <t xml:space="preserve">1450  *  9/5</t>
    </r>
  </si>
  <si>
    <t xml:space="preserve">31241503</t>
  </si>
  <si>
    <r>
      <rPr>
        <sz val="10"/>
        <rFont val="FreeSans"/>
        <family val="2"/>
      </rPr>
      <t xml:space="preserve">تسمه پروانه                   </t>
    </r>
    <r>
      <rPr>
        <sz val="10"/>
        <rFont val="Vazirmatn"/>
        <family val="0"/>
        <charset val="1"/>
      </rPr>
      <t xml:space="preserve">C        162</t>
    </r>
  </si>
  <si>
    <t xml:space="preserve">31241504</t>
  </si>
  <si>
    <r>
      <rPr>
        <sz val="10"/>
        <rFont val="FreeSans"/>
        <family val="2"/>
      </rPr>
      <t xml:space="preserve">تسمه پروانه ساده          </t>
    </r>
    <r>
      <rPr>
        <sz val="10"/>
        <rFont val="Vazirmatn"/>
        <family val="0"/>
        <charset val="1"/>
      </rPr>
      <t xml:space="preserve">B        133</t>
    </r>
  </si>
  <si>
    <t xml:space="preserve">31241513</t>
  </si>
  <si>
    <t xml:space="preserve">تسمه استپ موتور لیبل زن روغن</t>
  </si>
  <si>
    <t xml:space="preserve">31242103</t>
  </si>
  <si>
    <t xml:space="preserve">خارفنری</t>
  </si>
  <si>
    <t xml:space="preserve">31242104</t>
  </si>
  <si>
    <t xml:space="preserve">31242105</t>
  </si>
  <si>
    <r>
      <rPr>
        <sz val="10"/>
        <rFont val="FreeSans"/>
        <family val="2"/>
      </rPr>
      <t xml:space="preserve">خارفنری بسته   </t>
    </r>
    <r>
      <rPr>
        <sz val="10"/>
        <rFont val="Vazirmatn"/>
        <family val="0"/>
        <charset val="1"/>
      </rPr>
      <t xml:space="preserve">31*1/5</t>
    </r>
  </si>
  <si>
    <t xml:space="preserve">31242106</t>
  </si>
  <si>
    <t xml:space="preserve">31242108</t>
  </si>
  <si>
    <t xml:space="preserve">خارفنری باز</t>
  </si>
  <si>
    <t xml:space="preserve">31242112</t>
  </si>
  <si>
    <t xml:space="preserve">خار فنری</t>
  </si>
  <si>
    <t xml:space="preserve">31242121</t>
  </si>
  <si>
    <r>
      <rPr>
        <sz val="10"/>
        <rFont val="FreeSans"/>
        <family val="2"/>
      </rPr>
      <t xml:space="preserve">خارفنری قطر بیرون  </t>
    </r>
    <r>
      <rPr>
        <sz val="10"/>
        <rFont val="Vazirmatn"/>
        <family val="0"/>
        <charset val="1"/>
      </rPr>
      <t xml:space="preserve">56mm</t>
    </r>
  </si>
  <si>
    <t xml:space="preserve">31242139</t>
  </si>
  <si>
    <r>
      <rPr>
        <sz val="10"/>
        <rFont val="FreeSans"/>
        <family val="2"/>
      </rPr>
      <t xml:space="preserve">خارفنری  </t>
    </r>
    <r>
      <rPr>
        <sz val="10"/>
        <rFont val="Vazirmatn"/>
        <family val="0"/>
        <charset val="1"/>
      </rPr>
      <t xml:space="preserve">2</t>
    </r>
    <r>
      <rPr>
        <sz val="10"/>
        <rFont val="FreeSans"/>
        <family val="2"/>
      </rPr>
      <t xml:space="preserve">سانتیمتر</t>
    </r>
  </si>
  <si>
    <t xml:space="preserve">31242148</t>
  </si>
  <si>
    <r>
      <rPr>
        <sz val="10"/>
        <rFont val="FreeSans"/>
        <family val="2"/>
      </rPr>
      <t xml:space="preserve">خارفنری </t>
    </r>
    <r>
      <rPr>
        <sz val="10"/>
        <rFont val="Vazirmatn"/>
        <family val="0"/>
        <charset val="1"/>
      </rPr>
      <t xml:space="preserve">2/5</t>
    </r>
    <r>
      <rPr>
        <sz val="10"/>
        <rFont val="FreeSans"/>
        <family val="2"/>
      </rPr>
      <t xml:space="preserve">سانتیمتر</t>
    </r>
  </si>
  <si>
    <t xml:space="preserve">31242158</t>
  </si>
  <si>
    <r>
      <rPr>
        <sz val="10"/>
        <rFont val="FreeSans"/>
        <family val="2"/>
      </rPr>
      <t xml:space="preserve">خارفنری  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سانتیمتر</t>
    </r>
  </si>
  <si>
    <t xml:space="preserve">31242159</t>
  </si>
  <si>
    <t xml:space="preserve">31242160</t>
  </si>
  <si>
    <r>
      <rPr>
        <sz val="10"/>
        <rFont val="FreeSans"/>
        <family val="2"/>
      </rPr>
      <t xml:space="preserve">خارفنری  باز         </t>
    </r>
    <r>
      <rPr>
        <sz val="10"/>
        <rFont val="Vazirmatn"/>
        <family val="0"/>
        <charset val="1"/>
      </rPr>
      <t xml:space="preserve">126/2mm</t>
    </r>
  </si>
  <si>
    <t xml:space="preserve">31242161</t>
  </si>
  <si>
    <t xml:space="preserve">31242167</t>
  </si>
  <si>
    <r>
      <rPr>
        <sz val="10"/>
        <rFont val="FreeSans"/>
        <family val="2"/>
      </rPr>
      <t xml:space="preserve">خارفنری بسته         </t>
    </r>
    <r>
      <rPr>
        <sz val="10"/>
        <rFont val="Vazirmatn"/>
        <family val="0"/>
        <charset val="1"/>
      </rPr>
      <t xml:space="preserve">MM 74</t>
    </r>
  </si>
  <si>
    <t xml:space="preserve">31242182</t>
  </si>
  <si>
    <r>
      <rPr>
        <sz val="10"/>
        <rFont val="FreeSans"/>
        <family val="2"/>
      </rPr>
      <t xml:space="preserve">خارفنری </t>
    </r>
    <r>
      <rPr>
        <sz val="10"/>
        <rFont val="Vazirmatn"/>
        <family val="0"/>
        <charset val="1"/>
      </rPr>
      <t xml:space="preserve">38</t>
    </r>
  </si>
  <si>
    <t xml:space="preserve">31242191</t>
  </si>
  <si>
    <t xml:space="preserve">31242199</t>
  </si>
  <si>
    <t xml:space="preserve">31242205</t>
  </si>
  <si>
    <t xml:space="preserve">31242208</t>
  </si>
  <si>
    <t xml:space="preserve">31242213</t>
  </si>
  <si>
    <t xml:space="preserve">31242216</t>
  </si>
  <si>
    <t xml:space="preserve">31242221</t>
  </si>
  <si>
    <t xml:space="preserve">31242224</t>
  </si>
  <si>
    <r>
      <rPr>
        <sz val="10"/>
        <rFont val="FreeSans"/>
        <family val="2"/>
      </rPr>
      <t xml:space="preserve">خارفنری بسته     </t>
    </r>
    <r>
      <rPr>
        <sz val="10"/>
        <rFont val="Vazirmatn"/>
        <family val="0"/>
        <charset val="1"/>
      </rPr>
      <t xml:space="preserve">7/4  MM</t>
    </r>
  </si>
  <si>
    <t xml:space="preserve">31242227</t>
  </si>
  <si>
    <r>
      <rPr>
        <sz val="10"/>
        <rFont val="FreeSans"/>
        <family val="2"/>
      </rPr>
      <t xml:space="preserve">خار چهار پهلو آسیاب        </t>
    </r>
    <r>
      <rPr>
        <sz val="10"/>
        <rFont val="Vazirmatn"/>
        <family val="0"/>
        <charset val="1"/>
      </rPr>
      <t xml:space="preserve">FQ  -  124</t>
    </r>
  </si>
  <si>
    <t xml:space="preserve">31242231</t>
  </si>
  <si>
    <t xml:space="preserve">31242232</t>
  </si>
  <si>
    <t xml:space="preserve">31242236</t>
  </si>
  <si>
    <r>
      <rPr>
        <sz val="10"/>
        <rFont val="FreeSans"/>
        <family val="2"/>
      </rPr>
      <t xml:space="preserve">خار فنری باز  داخل       </t>
    </r>
    <r>
      <rPr>
        <sz val="10"/>
        <rFont val="Vazirmatn"/>
        <family val="0"/>
        <charset val="1"/>
      </rPr>
      <t xml:space="preserve">170</t>
    </r>
  </si>
  <si>
    <t xml:space="preserve">31242240</t>
  </si>
  <si>
    <r>
      <rPr>
        <sz val="10"/>
        <rFont val="FreeSans"/>
        <family val="2"/>
      </rPr>
      <t xml:space="preserve">خارفنری ژنراتور </t>
    </r>
    <r>
      <rPr>
        <sz val="10"/>
        <rFont val="Vazirmatn"/>
        <family val="0"/>
        <charset val="1"/>
      </rPr>
      <t xml:space="preserve">223260002</t>
    </r>
  </si>
  <si>
    <t xml:space="preserve">31242243</t>
  </si>
  <si>
    <r>
      <rPr>
        <sz val="10"/>
        <rFont val="FreeSans"/>
        <family val="2"/>
      </rPr>
      <t xml:space="preserve">خارفنری استیل منو پمپ </t>
    </r>
    <r>
      <rPr>
        <sz val="10"/>
        <rFont val="Vazirmatn"/>
        <family val="0"/>
        <charset val="1"/>
      </rPr>
      <t xml:space="preserve">70 * 76 * 3</t>
    </r>
  </si>
  <si>
    <t xml:space="preserve">31242246</t>
  </si>
  <si>
    <t xml:space="preserve">31242278</t>
  </si>
  <si>
    <t xml:space="preserve">خار شفت آسیاب ایمپکت</t>
  </si>
  <si>
    <t xml:space="preserve">31242317</t>
  </si>
  <si>
    <r>
      <rPr>
        <sz val="10"/>
        <rFont val="FreeSans"/>
        <family val="2"/>
      </rPr>
      <t xml:space="preserve">خار خورشیدی قطر </t>
    </r>
    <r>
      <rPr>
        <sz val="10"/>
        <rFont val="Vazirmatn"/>
        <family val="0"/>
        <charset val="1"/>
      </rPr>
      <t xml:space="preserve">40</t>
    </r>
  </si>
  <si>
    <t xml:space="preserve">31242319</t>
  </si>
  <si>
    <r>
      <rPr>
        <sz val="10"/>
        <rFont val="FreeSans"/>
        <family val="2"/>
      </rPr>
      <t xml:space="preserve">خار مجمه ای  </t>
    </r>
    <r>
      <rPr>
        <sz val="10"/>
        <rFont val="Vazirmatn"/>
        <family val="0"/>
        <charset val="1"/>
      </rPr>
      <t xml:space="preserve">50mm</t>
    </r>
  </si>
  <si>
    <t xml:space="preserve">31242321</t>
  </si>
  <si>
    <t xml:space="preserve">خار</t>
  </si>
  <si>
    <t xml:space="preserve">31242323</t>
  </si>
  <si>
    <r>
      <rPr>
        <sz val="10"/>
        <rFont val="FreeSans"/>
        <family val="2"/>
      </rPr>
      <t xml:space="preserve">خار خورشیدی قطر </t>
    </r>
    <r>
      <rPr>
        <sz val="10"/>
        <rFont val="Vazirmatn"/>
        <family val="0"/>
        <charset val="1"/>
      </rPr>
      <t xml:space="preserve">45</t>
    </r>
  </si>
  <si>
    <t xml:space="preserve">31242327</t>
  </si>
  <si>
    <r>
      <rPr>
        <sz val="10"/>
        <rFont val="FreeSans"/>
        <family val="2"/>
      </rPr>
      <t xml:space="preserve">خار چشمی </t>
    </r>
    <r>
      <rPr>
        <sz val="10"/>
        <rFont val="Vazirmatn"/>
        <family val="0"/>
        <charset val="1"/>
      </rPr>
      <t xml:space="preserve">130</t>
    </r>
  </si>
  <si>
    <t xml:space="preserve">31242328</t>
  </si>
  <si>
    <r>
      <rPr>
        <sz val="10"/>
        <rFont val="FreeSans"/>
        <family val="2"/>
      </rPr>
      <t xml:space="preserve">خار چشمی قطر </t>
    </r>
    <r>
      <rPr>
        <sz val="10"/>
        <rFont val="Vazirmatn"/>
        <family val="0"/>
        <charset val="1"/>
      </rPr>
      <t xml:space="preserve">44</t>
    </r>
  </si>
  <si>
    <t xml:space="preserve">31242329</t>
  </si>
  <si>
    <r>
      <rPr>
        <sz val="10"/>
        <rFont val="FreeSans"/>
        <family val="2"/>
      </rPr>
      <t xml:space="preserve">خار چشمی قطر </t>
    </r>
    <r>
      <rPr>
        <sz val="10"/>
        <rFont val="Vazirmatn"/>
        <family val="0"/>
        <charset val="1"/>
      </rPr>
      <t xml:space="preserve">40</t>
    </r>
  </si>
  <si>
    <t xml:space="preserve">31242330</t>
  </si>
  <si>
    <t xml:space="preserve">خارشفت منو پمپ</t>
  </si>
  <si>
    <t xml:space="preserve">31242331</t>
  </si>
  <si>
    <r>
      <rPr>
        <sz val="10"/>
        <rFont val="FreeSans"/>
        <family val="2"/>
      </rPr>
      <t xml:space="preserve">خار چشمی قطر </t>
    </r>
    <r>
      <rPr>
        <sz val="10"/>
        <rFont val="Vazirmatn"/>
        <family val="0"/>
        <charset val="1"/>
      </rPr>
      <t xml:space="preserve">15</t>
    </r>
  </si>
  <si>
    <t xml:space="preserve">31242338</t>
  </si>
  <si>
    <r>
      <rPr>
        <sz val="10"/>
        <rFont val="FreeSans"/>
        <family val="2"/>
      </rPr>
      <t xml:space="preserve">خار چشمی قطر </t>
    </r>
    <r>
      <rPr>
        <sz val="10"/>
        <rFont val="Vazirmatn"/>
        <family val="0"/>
        <charset val="1"/>
      </rPr>
      <t xml:space="preserve">45</t>
    </r>
  </si>
  <si>
    <t xml:space="preserve">31242340</t>
  </si>
  <si>
    <r>
      <rPr>
        <sz val="10"/>
        <rFont val="FreeSans"/>
        <family val="2"/>
      </rPr>
      <t xml:space="preserve">خار چشمی قطر </t>
    </r>
    <r>
      <rPr>
        <sz val="10"/>
        <rFont val="Vazirmatn"/>
        <family val="0"/>
        <charset val="1"/>
      </rPr>
      <t xml:space="preserve">30</t>
    </r>
  </si>
  <si>
    <t xml:space="preserve">31242341</t>
  </si>
  <si>
    <r>
      <rPr>
        <sz val="10"/>
        <rFont val="FreeSans"/>
        <family val="2"/>
      </rPr>
      <t xml:space="preserve">خار چهار پهلوی آهنی </t>
    </r>
    <r>
      <rPr>
        <sz val="10"/>
        <rFont val="Vazirmatn"/>
        <family val="0"/>
        <charset val="1"/>
      </rPr>
      <t xml:space="preserve">20mm*20mm 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25Cm</t>
    </r>
  </si>
  <si>
    <t xml:space="preserve">31242343</t>
  </si>
  <si>
    <r>
      <rPr>
        <sz val="10"/>
        <rFont val="FreeSans"/>
        <family val="2"/>
      </rPr>
      <t xml:space="preserve">خار چشمی شفت </t>
    </r>
    <r>
      <rPr>
        <sz val="10"/>
        <rFont val="Vazirmatn"/>
        <family val="0"/>
        <charset val="1"/>
      </rPr>
      <t xml:space="preserve">22</t>
    </r>
  </si>
  <si>
    <t xml:space="preserve">31242344</t>
  </si>
  <si>
    <r>
      <rPr>
        <sz val="10"/>
        <rFont val="FreeSans"/>
        <family val="2"/>
      </rPr>
      <t xml:space="preserve">خار چشمی شفت </t>
    </r>
    <r>
      <rPr>
        <sz val="10"/>
        <rFont val="Vazirmatn"/>
        <family val="0"/>
        <charset val="1"/>
      </rPr>
      <t xml:space="preserve">24</t>
    </r>
  </si>
  <si>
    <t xml:space="preserve">31242346</t>
  </si>
  <si>
    <r>
      <rPr>
        <sz val="10"/>
        <rFont val="FreeSans"/>
        <family val="2"/>
      </rPr>
      <t xml:space="preserve">خار چشمی قطر </t>
    </r>
    <r>
      <rPr>
        <sz val="10"/>
        <rFont val="Vazirmatn"/>
        <family val="0"/>
        <charset val="1"/>
      </rPr>
      <t xml:space="preserve">35</t>
    </r>
  </si>
  <si>
    <t xml:space="preserve">31242347</t>
  </si>
  <si>
    <r>
      <rPr>
        <sz val="10"/>
        <rFont val="FreeSans"/>
        <family val="2"/>
      </rPr>
      <t xml:space="preserve">خار گیژن پین کمپرسور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دیسکاس کوپلند</t>
    </r>
  </si>
  <si>
    <t xml:space="preserve">31242349</t>
  </si>
  <si>
    <r>
      <rPr>
        <sz val="10"/>
        <rFont val="FreeSans"/>
        <family val="2"/>
      </rPr>
      <t xml:space="preserve">خار چشمی قطر شفت </t>
    </r>
    <r>
      <rPr>
        <sz val="10"/>
        <rFont val="Vazirmatn"/>
        <family val="0"/>
        <charset val="1"/>
      </rPr>
      <t xml:space="preserve">60mm</t>
    </r>
  </si>
  <si>
    <t xml:space="preserve">31242351</t>
  </si>
  <si>
    <r>
      <rPr>
        <sz val="10"/>
        <rFont val="FreeSans"/>
        <family val="2"/>
      </rPr>
      <t xml:space="preserve">خار چشمی پیستون کمپرسور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اسب کوپلند</t>
    </r>
  </si>
  <si>
    <t xml:space="preserve">31242402</t>
  </si>
  <si>
    <t xml:space="preserve">پین کلاج پرس گویوم روغن</t>
  </si>
  <si>
    <t xml:space="preserve">31242403</t>
  </si>
  <si>
    <t xml:space="preserve">پین زنجیر دکانتور روغنکشی</t>
  </si>
  <si>
    <t xml:space="preserve">31242411</t>
  </si>
  <si>
    <r>
      <rPr>
        <sz val="10"/>
        <rFont val="FreeSans"/>
        <family val="2"/>
      </rPr>
      <t xml:space="preserve">پین چاک دار   </t>
    </r>
    <r>
      <rPr>
        <sz val="10"/>
        <rFont val="Vazirmatn"/>
        <family val="0"/>
        <charset val="1"/>
      </rPr>
      <t xml:space="preserve">5mm * 4cm</t>
    </r>
  </si>
  <si>
    <t xml:space="preserve">31242416</t>
  </si>
  <si>
    <r>
      <rPr>
        <sz val="10"/>
        <rFont val="FreeSans"/>
        <family val="2"/>
      </rPr>
      <t xml:space="preserve">پین خشکه  آسیاب چکشی گلوتن  </t>
    </r>
    <r>
      <rPr>
        <sz val="10"/>
        <rFont val="Vazirmatn"/>
        <family val="0"/>
        <charset val="1"/>
      </rPr>
      <t xml:space="preserve">20 * 23</t>
    </r>
  </si>
  <si>
    <t xml:space="preserve">31242417</t>
  </si>
  <si>
    <t xml:space="preserve">پین</t>
  </si>
  <si>
    <t xml:space="preserve">31242418</t>
  </si>
  <si>
    <r>
      <rPr>
        <sz val="10"/>
        <rFont val="FreeSans"/>
        <family val="2"/>
      </rPr>
      <t xml:space="preserve">پین لبه دار زنجیر </t>
    </r>
    <r>
      <rPr>
        <sz val="10"/>
        <rFont val="Vazirmatn"/>
        <family val="0"/>
        <charset val="1"/>
      </rPr>
      <t xml:space="preserve">16mm (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77/5mm  )</t>
    </r>
  </si>
  <si>
    <t xml:space="preserve">31242419</t>
  </si>
  <si>
    <r>
      <rPr>
        <sz val="10"/>
        <rFont val="FreeSans"/>
        <family val="2"/>
      </rPr>
      <t xml:space="preserve">پین شکافدار   </t>
    </r>
    <r>
      <rPr>
        <sz val="10"/>
        <rFont val="Vazirmatn"/>
        <family val="0"/>
        <charset val="1"/>
      </rPr>
      <t xml:space="preserve">8</t>
    </r>
  </si>
  <si>
    <t xml:space="preserve">31242420</t>
  </si>
  <si>
    <t xml:space="preserve">31242426</t>
  </si>
  <si>
    <r>
      <rPr>
        <sz val="10"/>
        <rFont val="FreeSans"/>
        <family val="2"/>
      </rPr>
      <t xml:space="preserve">پین  شکافدار  </t>
    </r>
    <r>
      <rPr>
        <sz val="10"/>
        <rFont val="Vazirmatn"/>
        <family val="0"/>
        <charset val="1"/>
      </rPr>
      <t xml:space="preserve">10</t>
    </r>
  </si>
  <si>
    <t xml:space="preserve">31242430</t>
  </si>
  <si>
    <r>
      <rPr>
        <sz val="10"/>
        <rFont val="FreeSans"/>
        <family val="2"/>
      </rPr>
      <t xml:space="preserve">پین آسیاب چکشی  </t>
    </r>
    <r>
      <rPr>
        <sz val="10"/>
        <rFont val="Vazirmatn"/>
        <family val="0"/>
        <charset val="1"/>
      </rPr>
      <t xml:space="preserve">MJSA 60/18</t>
    </r>
  </si>
  <si>
    <t xml:space="preserve">31242435</t>
  </si>
  <si>
    <r>
      <rPr>
        <sz val="10"/>
        <rFont val="FreeSans"/>
        <family val="2"/>
      </rPr>
      <t xml:space="preserve">پین رزوه دار دکانتور  </t>
    </r>
    <r>
      <rPr>
        <sz val="10"/>
        <rFont val="Vazirmatn"/>
        <family val="0"/>
        <charset val="1"/>
      </rPr>
      <t xml:space="preserve">400 - 6318 - 0019</t>
    </r>
  </si>
  <si>
    <t xml:space="preserve">31242438</t>
  </si>
  <si>
    <r>
      <rPr>
        <sz val="10"/>
        <rFont val="FreeSans"/>
        <family val="2"/>
      </rPr>
      <t xml:space="preserve">پین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درپوش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اسبک چرخ دوخت</t>
    </r>
  </si>
  <si>
    <t xml:space="preserve">31242439</t>
  </si>
  <si>
    <r>
      <rPr>
        <sz val="10"/>
        <rFont val="FreeSans"/>
        <family val="2"/>
      </rPr>
      <t xml:space="preserve">پین شاتون کارواش برتولینی </t>
    </r>
    <r>
      <rPr>
        <sz val="10"/>
        <rFont val="Vazirmatn"/>
        <family val="0"/>
        <charset val="1"/>
      </rPr>
      <t xml:space="preserve">( 150bar ) 25mm*8mm</t>
    </r>
  </si>
  <si>
    <t xml:space="preserve">31242440</t>
  </si>
  <si>
    <r>
      <rPr>
        <sz val="10"/>
        <rFont val="FreeSans"/>
        <family val="2"/>
      </rPr>
      <t xml:space="preserve">پین ثابت کننده شافت سگ دست </t>
    </r>
    <r>
      <rPr>
        <sz val="10"/>
        <rFont val="Vazirmatn"/>
        <family val="0"/>
        <charset val="1"/>
      </rPr>
      <t xml:space="preserve">9532647</t>
    </r>
  </si>
  <si>
    <t xml:space="preserve">31242441</t>
  </si>
  <si>
    <t xml:space="preserve">پین درب رینولد</t>
  </si>
  <si>
    <t xml:space="preserve">31242449</t>
  </si>
  <si>
    <t xml:space="preserve">پین صفحه ثابت آسیاب ایمپکت</t>
  </si>
  <si>
    <t xml:space="preserve">31242450</t>
  </si>
  <si>
    <t xml:space="preserve">پین صفحه متحرک آسیاب ایمپکت</t>
  </si>
  <si>
    <t xml:space="preserve">31242452</t>
  </si>
  <si>
    <r>
      <rPr>
        <sz val="10"/>
        <rFont val="FreeSans"/>
        <family val="2"/>
      </rPr>
      <t xml:space="preserve">پین چاکدار استیل  </t>
    </r>
    <r>
      <rPr>
        <sz val="10"/>
        <rFont val="Vazirmatn"/>
        <family val="0"/>
        <charset val="1"/>
      </rPr>
      <t xml:space="preserve">Q=4 - 2Cm</t>
    </r>
  </si>
  <si>
    <t xml:space="preserve">31242453</t>
  </si>
  <si>
    <r>
      <rPr>
        <sz val="10"/>
        <rFont val="FreeSans"/>
        <family val="2"/>
      </rPr>
      <t xml:space="preserve">پین چاکدار آهنی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سانتی متری  </t>
    </r>
    <r>
      <rPr>
        <sz val="10"/>
        <rFont val="Vazirmatn"/>
        <family val="0"/>
        <charset val="1"/>
      </rPr>
      <t xml:space="preserve">2mm</t>
    </r>
  </si>
  <si>
    <t xml:space="preserve">31242454</t>
  </si>
  <si>
    <r>
      <rPr>
        <sz val="10"/>
        <rFont val="FreeSans"/>
        <family val="2"/>
      </rPr>
      <t xml:space="preserve">گیژن پین کمپرسور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دیسکاس کوپلند</t>
    </r>
  </si>
  <si>
    <t xml:space="preserve">31242455</t>
  </si>
  <si>
    <r>
      <rPr>
        <sz val="10"/>
        <rFont val="FreeSans"/>
        <family val="2"/>
      </rPr>
      <t xml:space="preserve">گژ پین کمپرسور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اسب کوپلند</t>
    </r>
  </si>
  <si>
    <t xml:space="preserve">31242472</t>
  </si>
  <si>
    <r>
      <rPr>
        <sz val="10"/>
        <rFont val="FreeSans"/>
        <family val="2"/>
      </rPr>
      <t xml:space="preserve">اشپیل استیل           نمره   </t>
    </r>
    <r>
      <rPr>
        <sz val="10"/>
        <rFont val="Vazirmatn"/>
        <family val="0"/>
        <charset val="1"/>
      </rPr>
      <t xml:space="preserve">3</t>
    </r>
  </si>
  <si>
    <t xml:space="preserve">31242474</t>
  </si>
  <si>
    <r>
      <rPr>
        <sz val="10"/>
        <rFont val="FreeSans"/>
        <family val="2"/>
      </rPr>
      <t xml:space="preserve">اشپیل قمیشی نمره </t>
    </r>
    <r>
      <rPr>
        <sz val="10"/>
        <rFont val="Vazirmatn"/>
        <family val="0"/>
        <charset val="1"/>
      </rPr>
      <t xml:space="preserve">: 5</t>
    </r>
  </si>
  <si>
    <t xml:space="preserve">31242475</t>
  </si>
  <si>
    <t xml:space="preserve">اشپیل</t>
  </si>
  <si>
    <t xml:space="preserve">31242476</t>
  </si>
  <si>
    <r>
      <rPr>
        <sz val="10"/>
        <rFont val="FreeSans"/>
        <family val="2"/>
      </rPr>
      <t xml:space="preserve">اشپیل لینک اکسل لیفتراک </t>
    </r>
    <r>
      <rPr>
        <sz val="10"/>
        <rFont val="Vazirmatn"/>
        <family val="0"/>
        <charset val="1"/>
      </rPr>
      <t xml:space="preserve">( 9539444 )</t>
    </r>
  </si>
  <si>
    <t xml:space="preserve">31242479</t>
  </si>
  <si>
    <r>
      <rPr>
        <sz val="10"/>
        <rFont val="FreeSans"/>
        <family val="2"/>
      </rPr>
      <t xml:space="preserve">اشپیل </t>
    </r>
    <r>
      <rPr>
        <sz val="10"/>
        <rFont val="Vazirmatn"/>
        <family val="0"/>
        <charset val="1"/>
      </rPr>
      <t xml:space="preserve">" 5/32 </t>
    </r>
    <r>
      <rPr>
        <sz val="10"/>
        <rFont val="FreeSans"/>
        <family val="2"/>
      </rPr>
      <t xml:space="preserve">شفت آسیاب ایمپکت</t>
    </r>
  </si>
  <si>
    <t xml:space="preserve">31242482</t>
  </si>
  <si>
    <t xml:space="preserve">اشپیل جور</t>
  </si>
  <si>
    <t xml:space="preserve">31242483</t>
  </si>
  <si>
    <t xml:space="preserve">اشپیل فلزی پلمپ</t>
  </si>
  <si>
    <t xml:space="preserve">31243102</t>
  </si>
  <si>
    <r>
      <rPr>
        <sz val="10"/>
        <rFont val="FreeSans"/>
        <family val="2"/>
      </rPr>
      <t xml:space="preserve">دنده گیربکس فولادی </t>
    </r>
    <r>
      <rPr>
        <sz val="10"/>
        <rFont val="Vazirmatn"/>
        <family val="0"/>
        <charset val="1"/>
      </rPr>
      <t xml:space="preserve">19</t>
    </r>
    <r>
      <rPr>
        <sz val="10"/>
        <rFont val="FreeSans"/>
        <family val="2"/>
      </rPr>
      <t xml:space="preserve">دنده  </t>
    </r>
    <r>
      <rPr>
        <sz val="10"/>
        <rFont val="Vazirmatn"/>
        <family val="0"/>
        <charset val="1"/>
      </rPr>
      <t xml:space="preserve">160mm * 210mm</t>
    </r>
  </si>
  <si>
    <t xml:space="preserve">31243106</t>
  </si>
  <si>
    <t xml:space="preserve">دنده گیربکس منو پمپ</t>
  </si>
  <si>
    <t xml:space="preserve">31243107</t>
  </si>
  <si>
    <r>
      <rPr>
        <sz val="10"/>
        <rFont val="FreeSans"/>
        <family val="2"/>
      </rPr>
      <t xml:space="preserve">دنده زنجیر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دنده  نمره </t>
    </r>
    <r>
      <rPr>
        <sz val="10"/>
        <rFont val="Vazirmatn"/>
        <family val="0"/>
        <charset val="1"/>
      </rPr>
      <t xml:space="preserve">: 100</t>
    </r>
  </si>
  <si>
    <t xml:space="preserve">31243109</t>
  </si>
  <si>
    <r>
      <rPr>
        <sz val="10"/>
        <rFont val="FreeSans"/>
        <family val="2"/>
      </rPr>
      <t xml:space="preserve">چرخ زنجیر     </t>
    </r>
    <r>
      <rPr>
        <sz val="10"/>
        <rFont val="Vazirmatn"/>
        <family val="0"/>
        <charset val="1"/>
      </rPr>
      <t xml:space="preserve">11 </t>
    </r>
    <r>
      <rPr>
        <sz val="10"/>
        <rFont val="FreeSans"/>
        <family val="2"/>
      </rPr>
      <t xml:space="preserve">دندانه    نمره </t>
    </r>
    <r>
      <rPr>
        <sz val="10"/>
        <rFont val="Vazirmatn"/>
        <family val="0"/>
        <charset val="1"/>
      </rPr>
      <t xml:space="preserve">60</t>
    </r>
  </si>
  <si>
    <t xml:space="preserve">31243112</t>
  </si>
  <si>
    <r>
      <rPr>
        <sz val="10"/>
        <rFont val="FreeSans"/>
        <family val="2"/>
      </rPr>
      <t xml:space="preserve">چرخ دنده چدنی حلزونی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دنده</t>
    </r>
  </si>
  <si>
    <t xml:space="preserve">31243114</t>
  </si>
  <si>
    <r>
      <rPr>
        <sz val="10"/>
        <rFont val="FreeSans"/>
        <family val="2"/>
      </rPr>
      <t xml:space="preserve">چرخ زنجیر دوبل  </t>
    </r>
    <r>
      <rPr>
        <sz val="10"/>
        <rFont val="Vazirmatn"/>
        <family val="0"/>
        <charset val="1"/>
      </rPr>
      <t xml:space="preserve">OCM 100 - 20 T</t>
    </r>
  </si>
  <si>
    <t xml:space="preserve">31243115</t>
  </si>
  <si>
    <r>
      <rPr>
        <sz val="10"/>
        <rFont val="FreeSans"/>
        <family val="2"/>
      </rPr>
      <t xml:space="preserve">چرخ دنده عمودی        سپراتور </t>
    </r>
    <r>
      <rPr>
        <sz val="10"/>
        <rFont val="Vazirmatn"/>
        <family val="0"/>
        <charset val="1"/>
      </rPr>
      <t xml:space="preserve">4</t>
    </r>
  </si>
  <si>
    <t xml:space="preserve">31243117</t>
  </si>
  <si>
    <r>
      <rPr>
        <sz val="10"/>
        <rFont val="FreeSans"/>
        <family val="2"/>
      </rPr>
      <t xml:space="preserve">چرخ دنده زنجیر  </t>
    </r>
    <r>
      <rPr>
        <sz val="10"/>
        <rFont val="Vazirmatn"/>
        <family val="0"/>
        <charset val="1"/>
      </rPr>
      <t xml:space="preserve">30 </t>
    </r>
    <r>
      <rPr>
        <sz val="10"/>
        <rFont val="FreeSans"/>
        <family val="2"/>
      </rPr>
      <t xml:space="preserve">دندانه  نمره </t>
    </r>
    <r>
      <rPr>
        <sz val="10"/>
        <rFont val="Vazirmatn"/>
        <family val="0"/>
        <charset val="1"/>
      </rPr>
      <t xml:space="preserve">100</t>
    </r>
  </si>
  <si>
    <t xml:space="preserve">31243118</t>
  </si>
  <si>
    <r>
      <rPr>
        <sz val="10"/>
        <rFont val="FreeSans"/>
        <family val="2"/>
      </rPr>
      <t xml:space="preserve">چرخ دنده زنجیر خشکن گلوتن   </t>
    </r>
    <r>
      <rPr>
        <sz val="10"/>
        <rFont val="Vazirmatn"/>
        <family val="0"/>
        <charset val="1"/>
      </rPr>
      <t xml:space="preserve">60 </t>
    </r>
    <r>
      <rPr>
        <sz val="10"/>
        <rFont val="FreeSans"/>
        <family val="2"/>
      </rPr>
      <t xml:space="preserve">دنده </t>
    </r>
    <r>
      <rPr>
        <sz val="10"/>
        <rFont val="Vazirmatn"/>
        <family val="0"/>
        <charset val="1"/>
      </rPr>
      <t xml:space="preserve">- 3 - St 52</t>
    </r>
  </si>
  <si>
    <t xml:space="preserve">31243119</t>
  </si>
  <si>
    <t xml:space="preserve">چرخ دنده خشک کن گلوتن</t>
  </si>
  <si>
    <t xml:space="preserve">31243121</t>
  </si>
  <si>
    <r>
      <rPr>
        <sz val="10"/>
        <rFont val="FreeSans"/>
        <family val="2"/>
      </rPr>
      <t xml:space="preserve">دنده شانه ای ساده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مقطع </t>
    </r>
    <r>
      <rPr>
        <sz val="10"/>
        <rFont val="Vazirmatn"/>
        <family val="0"/>
        <charset val="1"/>
      </rPr>
      <t xml:space="preserve">30mm*30mm )</t>
    </r>
  </si>
  <si>
    <t xml:space="preserve">31243122</t>
  </si>
  <si>
    <r>
      <rPr>
        <sz val="10"/>
        <rFont val="FreeSans"/>
        <family val="2"/>
      </rPr>
      <t xml:space="preserve">چرخ دنده زنجیر خشکن گلوتن   </t>
    </r>
    <r>
      <rPr>
        <sz val="10"/>
        <rFont val="Vazirmatn"/>
        <family val="0"/>
        <charset val="1"/>
      </rPr>
      <t xml:space="preserve">75 </t>
    </r>
    <r>
      <rPr>
        <sz val="10"/>
        <rFont val="FreeSans"/>
        <family val="2"/>
      </rPr>
      <t xml:space="preserve">دنده </t>
    </r>
    <r>
      <rPr>
        <sz val="10"/>
        <rFont val="Vazirmatn"/>
        <family val="0"/>
        <charset val="1"/>
      </rPr>
      <t xml:space="preserve">- 3 - St 52</t>
    </r>
  </si>
  <si>
    <t xml:space="preserve">31243123</t>
  </si>
  <si>
    <r>
      <rPr>
        <sz val="10"/>
        <rFont val="FreeSans"/>
        <family val="2"/>
      </rPr>
      <t xml:space="preserve">چرخ زنجیر آهنی    </t>
    </r>
    <r>
      <rPr>
        <sz val="10"/>
        <rFont val="Vazirmatn"/>
        <family val="0"/>
        <charset val="1"/>
      </rPr>
      <t xml:space="preserve">18 </t>
    </r>
    <r>
      <rPr>
        <sz val="10"/>
        <rFont val="FreeSans"/>
        <family val="2"/>
      </rPr>
      <t xml:space="preserve">دنده</t>
    </r>
  </si>
  <si>
    <t xml:space="preserve">31243124</t>
  </si>
  <si>
    <r>
      <rPr>
        <sz val="10"/>
        <rFont val="FreeSans"/>
        <family val="2"/>
      </rPr>
      <t xml:space="preserve">دنده  برنجی سپراتور </t>
    </r>
    <r>
      <rPr>
        <sz val="10"/>
        <rFont val="Vazirmatn"/>
        <family val="0"/>
        <charset val="1"/>
      </rPr>
      <t xml:space="preserve">82 </t>
    </r>
    <r>
      <rPr>
        <sz val="10"/>
        <rFont val="FreeSans"/>
        <family val="2"/>
      </rPr>
      <t xml:space="preserve">دنده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چینی </t>
    </r>
    <r>
      <rPr>
        <sz val="10"/>
        <rFont val="Vazirmatn"/>
        <family val="0"/>
        <charset val="1"/>
      </rPr>
      <t xml:space="preserve">)</t>
    </r>
  </si>
  <si>
    <t xml:space="preserve">31243125</t>
  </si>
  <si>
    <r>
      <rPr>
        <sz val="10"/>
        <rFont val="FreeSans"/>
        <family val="2"/>
      </rPr>
      <t xml:space="preserve">چرخ دنده پنیون گیربکس </t>
    </r>
    <r>
      <rPr>
        <sz val="10"/>
        <rFont val="Vazirmatn"/>
        <family val="0"/>
        <charset val="1"/>
      </rPr>
      <t xml:space="preserve">23 </t>
    </r>
    <r>
      <rPr>
        <sz val="10"/>
        <rFont val="FreeSans"/>
        <family val="2"/>
      </rPr>
      <t xml:space="preserve">دندانه</t>
    </r>
  </si>
  <si>
    <t xml:space="preserve">31243126</t>
  </si>
  <si>
    <r>
      <rPr>
        <sz val="10"/>
        <rFont val="FreeSans"/>
        <family val="2"/>
      </rPr>
      <t xml:space="preserve">چرخ زنجیر      نمره </t>
    </r>
    <r>
      <rPr>
        <sz val="10"/>
        <rFont val="Vazirmatn"/>
        <family val="0"/>
        <charset val="1"/>
      </rPr>
      <t xml:space="preserve">80    19 </t>
    </r>
    <r>
      <rPr>
        <sz val="10"/>
        <rFont val="FreeSans"/>
        <family val="2"/>
      </rPr>
      <t xml:space="preserve">دندانه</t>
    </r>
  </si>
  <si>
    <t xml:space="preserve">31243128</t>
  </si>
  <si>
    <r>
      <rPr>
        <sz val="10"/>
        <rFont val="FreeSans"/>
        <family val="2"/>
      </rPr>
      <t xml:space="preserve">چرخ دنده پینیون مخروطی پرس روغن  </t>
    </r>
    <r>
      <rPr>
        <sz val="10"/>
        <rFont val="Vazirmatn"/>
        <family val="0"/>
        <charset val="1"/>
      </rPr>
      <t xml:space="preserve">1552-GOYUM-1500</t>
    </r>
  </si>
  <si>
    <t xml:space="preserve">31243129</t>
  </si>
  <si>
    <r>
      <rPr>
        <sz val="10"/>
        <rFont val="FreeSans"/>
        <family val="2"/>
      </rPr>
      <t xml:space="preserve">چرخ دنده مخروطی پرس روغن  </t>
    </r>
    <r>
      <rPr>
        <sz val="10"/>
        <rFont val="Vazirmatn"/>
        <family val="0"/>
        <charset val="1"/>
      </rPr>
      <t xml:space="preserve">1553-GOYUM-1500</t>
    </r>
  </si>
  <si>
    <t xml:space="preserve">31243130</t>
  </si>
  <si>
    <t xml:space="preserve">چرخ دنده فولادی گیربکس</t>
  </si>
  <si>
    <t xml:space="preserve">31243131</t>
  </si>
  <si>
    <t xml:space="preserve">دنده مخروطی اصلی پرس روغن</t>
  </si>
  <si>
    <t xml:space="preserve">31243132</t>
  </si>
  <si>
    <t xml:space="preserve">چرخ دنده پینیون فولادی</t>
  </si>
  <si>
    <t xml:space="preserve">31243134</t>
  </si>
  <si>
    <t xml:space="preserve">چرخ دنده کرانویل فولادی</t>
  </si>
  <si>
    <t xml:space="preserve">31243135</t>
  </si>
  <si>
    <r>
      <rPr>
        <sz val="10"/>
        <rFont val="FreeSans"/>
        <family val="2"/>
      </rPr>
      <t xml:space="preserve">چرخ دنده فولادی مارپیچ </t>
    </r>
    <r>
      <rPr>
        <sz val="10"/>
        <rFont val="Vazirmatn"/>
        <family val="0"/>
        <charset val="1"/>
      </rPr>
      <t xml:space="preserve">23 </t>
    </r>
    <r>
      <rPr>
        <sz val="10"/>
        <rFont val="FreeSans"/>
        <family val="2"/>
      </rPr>
      <t xml:space="preserve">دندانه</t>
    </r>
  </si>
  <si>
    <t xml:space="preserve">31243136</t>
  </si>
  <si>
    <r>
      <rPr>
        <sz val="10"/>
        <rFont val="FreeSans"/>
        <family val="2"/>
      </rPr>
      <t xml:space="preserve">چرخ دنده فولادی گیربکس </t>
    </r>
    <r>
      <rPr>
        <sz val="10"/>
        <rFont val="Vazirmatn"/>
        <family val="0"/>
        <charset val="1"/>
      </rPr>
      <t xml:space="preserve">0</t>
    </r>
  </si>
  <si>
    <t xml:space="preserve">31243139</t>
  </si>
  <si>
    <r>
      <rPr>
        <sz val="10"/>
        <rFont val="FreeSans"/>
        <family val="2"/>
      </rPr>
      <t xml:space="preserve">دنده اصلی پرس روغن </t>
    </r>
    <r>
      <rPr>
        <sz val="10"/>
        <rFont val="Vazirmatn"/>
        <family val="0"/>
        <charset val="1"/>
      </rPr>
      <t xml:space="preserve">1510-GOYUM-1500</t>
    </r>
  </si>
  <si>
    <t xml:space="preserve">31243140</t>
  </si>
  <si>
    <r>
      <rPr>
        <sz val="10"/>
        <rFont val="FreeSans"/>
        <family val="2"/>
      </rPr>
      <t xml:space="preserve">دنده میانی پرس روغن  </t>
    </r>
    <r>
      <rPr>
        <sz val="10"/>
        <rFont val="Vazirmatn"/>
        <family val="0"/>
        <charset val="1"/>
      </rPr>
      <t xml:space="preserve">1511-GOYUM-1500</t>
    </r>
  </si>
  <si>
    <t xml:space="preserve">31243141</t>
  </si>
  <si>
    <r>
      <rPr>
        <sz val="10"/>
        <rFont val="FreeSans"/>
        <family val="2"/>
      </rPr>
      <t xml:space="preserve">دنده محرک پرس روغن  </t>
    </r>
    <r>
      <rPr>
        <sz val="10"/>
        <rFont val="Vazirmatn"/>
        <family val="0"/>
        <charset val="1"/>
      </rPr>
      <t xml:space="preserve">1512-GOYUM-1500</t>
    </r>
  </si>
  <si>
    <t xml:space="preserve">31243151</t>
  </si>
  <si>
    <t xml:space="preserve">چرخ دنده مخروطی پرس روغن</t>
  </si>
  <si>
    <t xml:space="preserve">31243152</t>
  </si>
  <si>
    <r>
      <rPr>
        <sz val="10"/>
        <rFont val="FreeSans"/>
        <family val="2"/>
      </rPr>
      <t xml:space="preserve">چرخ دنده برنجی گیربکس </t>
    </r>
    <r>
      <rPr>
        <sz val="10"/>
        <rFont val="Vazirmatn"/>
        <family val="0"/>
        <charset val="1"/>
      </rPr>
      <t xml:space="preserve">EN 12500 A 10</t>
    </r>
  </si>
  <si>
    <t xml:space="preserve">31243153</t>
  </si>
  <si>
    <r>
      <rPr>
        <sz val="10"/>
        <rFont val="FreeSans"/>
        <family val="2"/>
      </rPr>
      <t xml:space="preserve">مار پیچ تنظیم </t>
    </r>
    <r>
      <rPr>
        <sz val="10"/>
        <rFont val="Vazirmatn"/>
        <family val="0"/>
        <charset val="1"/>
      </rPr>
      <t xml:space="preserve">(  </t>
    </r>
    <r>
      <rPr>
        <sz val="10"/>
        <rFont val="FreeSans"/>
        <family val="2"/>
      </rPr>
      <t xml:space="preserve">پرس روغن کوچک </t>
    </r>
    <r>
      <rPr>
        <sz val="10"/>
        <rFont val="Vazirmatn"/>
        <family val="0"/>
        <charset val="1"/>
      </rPr>
      <t xml:space="preserve">)</t>
    </r>
  </si>
  <si>
    <t xml:space="preserve">31243155</t>
  </si>
  <si>
    <t xml:space="preserve">چرخ دنده گیربکس همزن کربن</t>
  </si>
  <si>
    <t xml:space="preserve">31243160</t>
  </si>
  <si>
    <r>
      <rPr>
        <sz val="10"/>
        <rFont val="FreeSans"/>
        <family val="2"/>
      </rPr>
      <t xml:space="preserve">چرخ دنده </t>
    </r>
    <r>
      <rPr>
        <sz val="10"/>
        <rFont val="Vazirmatn"/>
        <family val="0"/>
        <charset val="1"/>
      </rPr>
      <t xml:space="preserve">139  (  106 </t>
    </r>
    <r>
      <rPr>
        <sz val="10"/>
        <rFont val="FreeSans"/>
        <family val="2"/>
      </rPr>
      <t xml:space="preserve">دنده </t>
    </r>
    <r>
      <rPr>
        <sz val="10"/>
        <rFont val="Vazirmatn"/>
        <family val="0"/>
        <charset val="1"/>
      </rPr>
      <t xml:space="preserve">)</t>
    </r>
  </si>
  <si>
    <t xml:space="preserve">31243163</t>
  </si>
  <si>
    <t xml:space="preserve">دنده مارپیچ گیربکس درام اکسید</t>
  </si>
  <si>
    <t xml:space="preserve">31243168</t>
  </si>
  <si>
    <r>
      <rPr>
        <sz val="10"/>
        <rFont val="FreeSans"/>
        <family val="2"/>
      </rPr>
      <t xml:space="preserve">چرخ  دنده  مورب   </t>
    </r>
    <r>
      <rPr>
        <sz val="10"/>
        <rFont val="Vazirmatn"/>
        <family val="0"/>
        <charset val="1"/>
      </rPr>
      <t xml:space="preserve">25  </t>
    </r>
    <r>
      <rPr>
        <sz val="10"/>
        <rFont val="FreeSans"/>
        <family val="2"/>
      </rPr>
      <t xml:space="preserve">دنده</t>
    </r>
  </si>
  <si>
    <t xml:space="preserve">31243169</t>
  </si>
  <si>
    <r>
      <rPr>
        <sz val="10"/>
        <rFont val="FreeSans"/>
        <family val="2"/>
      </rPr>
      <t xml:space="preserve">چرخ دنده  پینیون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جهت گرمکن </t>
    </r>
    <r>
      <rPr>
        <sz val="10"/>
        <rFont val="Vazirmatn"/>
        <family val="0"/>
        <charset val="1"/>
      </rPr>
      <t xml:space="preserve">)  -  </t>
    </r>
    <r>
      <rPr>
        <sz val="10"/>
        <rFont val="FreeSans"/>
        <family val="2"/>
      </rPr>
      <t xml:space="preserve">پرس روغن کوچک</t>
    </r>
  </si>
  <si>
    <t xml:space="preserve">31243171</t>
  </si>
  <si>
    <t xml:space="preserve">چرخ دنده منوپمپ</t>
  </si>
  <si>
    <t xml:space="preserve">31243172</t>
  </si>
  <si>
    <r>
      <rPr>
        <sz val="10"/>
        <rFont val="FreeSans"/>
        <family val="2"/>
      </rPr>
      <t xml:space="preserve">چرخ دنده چدنی درام اکسید  </t>
    </r>
    <r>
      <rPr>
        <sz val="10"/>
        <rFont val="Vazirmatn"/>
        <family val="0"/>
        <charset val="1"/>
      </rPr>
      <t xml:space="preserve">29CM * 15CM</t>
    </r>
  </si>
  <si>
    <t xml:space="preserve">31243174</t>
  </si>
  <si>
    <r>
      <rPr>
        <sz val="10"/>
        <rFont val="FreeSans"/>
        <family val="2"/>
      </rPr>
      <t xml:space="preserve">چرخ  دنده  مورب   </t>
    </r>
    <r>
      <rPr>
        <sz val="10"/>
        <rFont val="Vazirmatn"/>
        <family val="0"/>
        <charset val="1"/>
      </rPr>
      <t xml:space="preserve">65  </t>
    </r>
    <r>
      <rPr>
        <sz val="10"/>
        <rFont val="FreeSans"/>
        <family val="2"/>
      </rPr>
      <t xml:space="preserve">دنده</t>
    </r>
  </si>
  <si>
    <t xml:space="preserve">31243175</t>
  </si>
  <si>
    <t xml:space="preserve">چرخ دنده حلزون آلومینیومی</t>
  </si>
  <si>
    <t xml:space="preserve">31243176</t>
  </si>
  <si>
    <r>
      <rPr>
        <sz val="10"/>
        <rFont val="FreeSans"/>
        <family val="2"/>
      </rPr>
      <t xml:space="preserve">چرخ زنجیر </t>
    </r>
    <r>
      <rPr>
        <sz val="10"/>
        <rFont val="Vazirmatn"/>
        <family val="0"/>
        <charset val="1"/>
      </rPr>
      <t xml:space="preserve">18 </t>
    </r>
    <r>
      <rPr>
        <sz val="10"/>
        <rFont val="FreeSans"/>
        <family val="2"/>
      </rPr>
      <t xml:space="preserve">دنده نمره </t>
    </r>
    <r>
      <rPr>
        <sz val="10"/>
        <rFont val="Vazirmatn"/>
        <family val="0"/>
        <charset val="1"/>
      </rPr>
      <t xml:space="preserve">100</t>
    </r>
  </si>
  <si>
    <t xml:space="preserve">31243177</t>
  </si>
  <si>
    <r>
      <rPr>
        <sz val="10"/>
        <rFont val="FreeSans"/>
        <family val="2"/>
      </rPr>
      <t xml:space="preserve">چرخ دنده زنجیر </t>
    </r>
    <r>
      <rPr>
        <sz val="10"/>
        <rFont val="Vazirmatn"/>
        <family val="0"/>
        <charset val="1"/>
      </rPr>
      <t xml:space="preserve">21 </t>
    </r>
    <r>
      <rPr>
        <sz val="10"/>
        <rFont val="FreeSans"/>
        <family val="2"/>
      </rPr>
      <t xml:space="preserve">دندانه   </t>
    </r>
    <r>
      <rPr>
        <sz val="10"/>
        <rFont val="Vazirmatn"/>
        <family val="0"/>
        <charset val="1"/>
      </rPr>
      <t xml:space="preserve">80</t>
    </r>
  </si>
  <si>
    <t xml:space="preserve">31243179</t>
  </si>
  <si>
    <r>
      <rPr>
        <sz val="10"/>
        <rFont val="FreeSans"/>
        <family val="2"/>
      </rPr>
      <t xml:space="preserve">چرخ دنده زنجیر نمره </t>
    </r>
    <r>
      <rPr>
        <sz val="10"/>
        <rFont val="Vazirmatn"/>
        <family val="0"/>
        <charset val="1"/>
      </rPr>
      <t xml:space="preserve">60       11 </t>
    </r>
    <r>
      <rPr>
        <sz val="10"/>
        <rFont val="FreeSans"/>
        <family val="2"/>
      </rPr>
      <t xml:space="preserve">دندانه</t>
    </r>
  </si>
  <si>
    <t xml:space="preserve">31243186</t>
  </si>
  <si>
    <r>
      <rPr>
        <sz val="10"/>
        <rFont val="FreeSans"/>
        <family val="2"/>
      </rPr>
      <t xml:space="preserve">مارپیچ تنظیم کولینگ تاور  </t>
    </r>
    <r>
      <rPr>
        <sz val="10"/>
        <rFont val="Vazirmatn"/>
        <family val="0"/>
        <charset val="1"/>
      </rPr>
      <t xml:space="preserve">8</t>
    </r>
  </si>
  <si>
    <t xml:space="preserve">31243187</t>
  </si>
  <si>
    <t xml:space="preserve">چرخ دنده کامل برنجی گیربکس</t>
  </si>
  <si>
    <t xml:space="preserve">31243188</t>
  </si>
  <si>
    <r>
      <rPr>
        <sz val="10"/>
        <rFont val="FreeSans"/>
        <family val="2"/>
      </rPr>
      <t xml:space="preserve">چرخ دنده برنجی گیربکس   </t>
    </r>
    <r>
      <rPr>
        <sz val="10"/>
        <rFont val="Vazirmatn"/>
        <family val="0"/>
        <charset val="1"/>
      </rPr>
      <t xml:space="preserve">NMRV 050</t>
    </r>
  </si>
  <si>
    <t xml:space="preserve">31243189</t>
  </si>
  <si>
    <r>
      <rPr>
        <sz val="10"/>
        <rFont val="FreeSans"/>
        <family val="2"/>
      </rPr>
      <t xml:space="preserve">چرخ دنده گیربکس الواتور 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بزرگ</t>
    </r>
    <r>
      <rPr>
        <sz val="10"/>
        <rFont val="Vazirmatn"/>
        <family val="0"/>
        <charset val="1"/>
      </rPr>
      <t xml:space="preserve">)</t>
    </r>
  </si>
  <si>
    <t xml:space="preserve">31243190</t>
  </si>
  <si>
    <t xml:space="preserve">دنده حلزونی کوچک گیربکس همزن نشاسته</t>
  </si>
  <si>
    <t xml:space="preserve">31243191</t>
  </si>
  <si>
    <r>
      <rPr>
        <sz val="10"/>
        <rFont val="FreeSans"/>
        <family val="2"/>
      </rPr>
      <t xml:space="preserve">چرخ زنجیر </t>
    </r>
    <r>
      <rPr>
        <sz val="10"/>
        <rFont val="Vazirmatn"/>
        <family val="0"/>
        <charset val="1"/>
      </rPr>
      <t xml:space="preserve">16 </t>
    </r>
    <r>
      <rPr>
        <sz val="10"/>
        <rFont val="FreeSans"/>
        <family val="2"/>
      </rPr>
      <t xml:space="preserve">دنده نمره </t>
    </r>
    <r>
      <rPr>
        <sz val="10"/>
        <rFont val="Vazirmatn"/>
        <family val="0"/>
        <charset val="1"/>
      </rPr>
      <t xml:space="preserve">100</t>
    </r>
  </si>
  <si>
    <t xml:space="preserve">31243192</t>
  </si>
  <si>
    <r>
      <rPr>
        <sz val="10"/>
        <rFont val="FreeSans"/>
        <family val="2"/>
      </rPr>
      <t xml:space="preserve">چرخ زنجیر یک ردیفه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دنده نمره </t>
    </r>
    <r>
      <rPr>
        <sz val="10"/>
        <rFont val="Vazirmatn"/>
        <family val="0"/>
        <charset val="1"/>
      </rPr>
      <t xml:space="preserve">80</t>
    </r>
  </si>
  <si>
    <t xml:space="preserve">31243193</t>
  </si>
  <si>
    <t xml:space="preserve">چرخ حلزون فولادی</t>
  </si>
  <si>
    <t xml:space="preserve">31243194</t>
  </si>
  <si>
    <r>
      <rPr>
        <sz val="10"/>
        <rFont val="FreeSans"/>
        <family val="2"/>
      </rPr>
      <t xml:space="preserve">چرخ زنجیر      نمره </t>
    </r>
    <r>
      <rPr>
        <sz val="10"/>
        <rFont val="Vazirmatn"/>
        <family val="0"/>
        <charset val="1"/>
      </rPr>
      <t xml:space="preserve">80    18 </t>
    </r>
    <r>
      <rPr>
        <sz val="10"/>
        <rFont val="FreeSans"/>
        <family val="2"/>
      </rPr>
      <t xml:space="preserve">دندانه</t>
    </r>
  </si>
  <si>
    <t xml:space="preserve">31243196</t>
  </si>
  <si>
    <t xml:space="preserve">چرخ دنده و شافت</t>
  </si>
  <si>
    <t xml:space="preserve">31243197</t>
  </si>
  <si>
    <r>
      <rPr>
        <sz val="10"/>
        <rFont val="FreeSans"/>
        <family val="2"/>
      </rPr>
      <t xml:space="preserve">چرخ زنجیر یک ردیفه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دنده نمره </t>
    </r>
    <r>
      <rPr>
        <sz val="10"/>
        <rFont val="Vazirmatn"/>
        <family val="0"/>
        <charset val="1"/>
      </rPr>
      <t xml:space="preserve">80</t>
    </r>
  </si>
  <si>
    <t xml:space="preserve">31243200</t>
  </si>
  <si>
    <t xml:space="preserve">دنده مارپیچ خشککن</t>
  </si>
  <si>
    <t xml:space="preserve">31243201</t>
  </si>
  <si>
    <r>
      <rPr>
        <sz val="10"/>
        <rFont val="FreeSans"/>
        <family val="2"/>
      </rPr>
      <t xml:space="preserve">چرخ دنده فولادی مارپیچ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دندانه</t>
    </r>
  </si>
  <si>
    <t xml:space="preserve">31243205</t>
  </si>
  <si>
    <t xml:space="preserve">دنده برنجی سپراتور آلفا لاوال</t>
  </si>
  <si>
    <t xml:space="preserve">31243208</t>
  </si>
  <si>
    <r>
      <rPr>
        <sz val="10"/>
        <rFont val="FreeSans"/>
        <family val="2"/>
      </rPr>
      <t xml:space="preserve">دنده فولادی  </t>
    </r>
    <r>
      <rPr>
        <sz val="10"/>
        <rFont val="Vazirmatn"/>
        <family val="0"/>
        <charset val="1"/>
      </rPr>
      <t xml:space="preserve">71970</t>
    </r>
  </si>
  <si>
    <t xml:space="preserve">31243210</t>
  </si>
  <si>
    <r>
      <rPr>
        <sz val="10"/>
        <rFont val="FreeSans"/>
        <family val="2"/>
      </rPr>
      <t xml:space="preserve">چرخ دنده فولادی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پینیون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حلزونی گیربکس </t>
    </r>
    <r>
      <rPr>
        <sz val="10"/>
        <rFont val="Vazirmatn"/>
        <family val="0"/>
        <charset val="1"/>
      </rPr>
      <t xml:space="preserve">102 </t>
    </r>
    <r>
      <rPr>
        <sz val="10"/>
        <rFont val="FreeSans"/>
        <family val="2"/>
      </rPr>
      <t xml:space="preserve">دندانه</t>
    </r>
  </si>
  <si>
    <t xml:space="preserve">31243215</t>
  </si>
  <si>
    <r>
      <rPr>
        <sz val="10"/>
        <rFont val="FreeSans"/>
        <family val="2"/>
      </rPr>
      <t xml:space="preserve">چرخ دنده شفت گیربکس درام  </t>
    </r>
    <r>
      <rPr>
        <sz val="10"/>
        <rFont val="Vazirmatn"/>
        <family val="0"/>
        <charset val="1"/>
      </rPr>
      <t xml:space="preserve">MAS 35 / P</t>
    </r>
  </si>
  <si>
    <t xml:space="preserve">31243219</t>
  </si>
  <si>
    <t xml:space="preserve">چرخ دنده هزار خاری مادگی</t>
  </si>
  <si>
    <t xml:space="preserve">31243222</t>
  </si>
  <si>
    <t xml:space="preserve">چرخ دنده حلزونی فسفر برنز</t>
  </si>
  <si>
    <t xml:space="preserve">31243224</t>
  </si>
  <si>
    <r>
      <rPr>
        <sz val="10"/>
        <rFont val="FreeSans"/>
        <family val="2"/>
      </rPr>
      <t xml:space="preserve">چرخ دنده اصلی </t>
    </r>
    <r>
      <rPr>
        <sz val="10"/>
        <rFont val="Vazirmatn"/>
        <family val="0"/>
        <charset val="1"/>
      </rPr>
      <t xml:space="preserve">(  </t>
    </r>
    <r>
      <rPr>
        <sz val="10"/>
        <rFont val="FreeSans"/>
        <family val="2"/>
      </rPr>
      <t xml:space="preserve">پرس روغن کوچک </t>
    </r>
    <r>
      <rPr>
        <sz val="10"/>
        <rFont val="Vazirmatn"/>
        <family val="0"/>
        <charset val="1"/>
      </rPr>
      <t xml:space="preserve">)</t>
    </r>
  </si>
  <si>
    <t xml:space="preserve">31243225</t>
  </si>
  <si>
    <r>
      <rPr>
        <sz val="10"/>
        <rFont val="FreeSans"/>
        <family val="2"/>
      </rPr>
      <t xml:space="preserve">چرخ دنده عمودی        </t>
    </r>
    <r>
      <rPr>
        <sz val="10"/>
        <rFont val="Vazirmatn"/>
        <family val="0"/>
        <charset val="1"/>
      </rPr>
      <t xml:space="preserve">75 - 25</t>
    </r>
  </si>
  <si>
    <t xml:space="preserve">31243226</t>
  </si>
  <si>
    <r>
      <rPr>
        <sz val="10"/>
        <rFont val="FreeSans"/>
        <family val="2"/>
      </rPr>
      <t xml:space="preserve">چرخ دنده مورب کناری </t>
    </r>
    <r>
      <rPr>
        <sz val="10"/>
        <rFont val="Vazirmatn"/>
        <family val="0"/>
        <charset val="1"/>
      </rPr>
      <t xml:space="preserve">(  </t>
    </r>
    <r>
      <rPr>
        <sz val="10"/>
        <rFont val="FreeSans"/>
        <family val="2"/>
      </rPr>
      <t xml:space="preserve">پرس روغن کوچک </t>
    </r>
    <r>
      <rPr>
        <sz val="10"/>
        <rFont val="Vazirmatn"/>
        <family val="0"/>
        <charset val="1"/>
      </rPr>
      <t xml:space="preserve">)</t>
    </r>
  </si>
  <si>
    <t xml:space="preserve">31243232</t>
  </si>
  <si>
    <r>
      <rPr>
        <sz val="10"/>
        <rFont val="FreeSans"/>
        <family val="2"/>
      </rPr>
      <t xml:space="preserve">چرخ دنده فولادی گیربکس    </t>
    </r>
    <r>
      <rPr>
        <sz val="10"/>
        <rFont val="Vazirmatn"/>
        <family val="0"/>
        <charset val="1"/>
      </rPr>
      <t xml:space="preserve">150 * 30</t>
    </r>
  </si>
  <si>
    <t xml:space="preserve">31243235</t>
  </si>
  <si>
    <r>
      <rPr>
        <sz val="10"/>
        <rFont val="FreeSans"/>
        <family val="2"/>
      </rPr>
      <t xml:space="preserve">چرخ دنده اصلی </t>
    </r>
    <r>
      <rPr>
        <sz val="10"/>
        <rFont val="Vazirmatn"/>
        <family val="0"/>
        <charset val="1"/>
      </rPr>
      <t xml:space="preserve">(  </t>
    </r>
    <r>
      <rPr>
        <sz val="10"/>
        <rFont val="FreeSans"/>
        <family val="2"/>
      </rPr>
      <t xml:space="preserve">پرس روغن بزرگ </t>
    </r>
    <r>
      <rPr>
        <sz val="10"/>
        <rFont val="Vazirmatn"/>
        <family val="0"/>
        <charset val="1"/>
      </rPr>
      <t xml:space="preserve">)</t>
    </r>
  </si>
  <si>
    <t xml:space="preserve">31243237</t>
  </si>
  <si>
    <r>
      <rPr>
        <sz val="10"/>
        <rFont val="FreeSans"/>
        <family val="2"/>
      </rPr>
      <t xml:space="preserve">چرخ زنجیر </t>
    </r>
    <r>
      <rPr>
        <sz val="10"/>
        <rFont val="Vazirmatn"/>
        <family val="0"/>
        <charset val="1"/>
      </rPr>
      <t xml:space="preserve">18 </t>
    </r>
    <r>
      <rPr>
        <sz val="10"/>
        <rFont val="FreeSans"/>
        <family val="2"/>
      </rPr>
      <t xml:space="preserve">دنده نمره </t>
    </r>
    <r>
      <rPr>
        <sz val="10"/>
        <rFont val="Vazirmatn"/>
        <family val="0"/>
        <charset val="1"/>
      </rPr>
      <t xml:space="preserve">60 </t>
    </r>
    <r>
      <rPr>
        <sz val="10"/>
        <rFont val="FreeSans"/>
        <family val="2"/>
      </rPr>
      <t xml:space="preserve">یک ردیفه</t>
    </r>
  </si>
  <si>
    <t xml:space="preserve">31243238</t>
  </si>
  <si>
    <t xml:space="preserve">چرخ دنده برنجی</t>
  </si>
  <si>
    <t xml:space="preserve">31243241</t>
  </si>
  <si>
    <r>
      <rPr>
        <sz val="10"/>
        <rFont val="FreeSans"/>
        <family val="2"/>
      </rPr>
      <t xml:space="preserve">چرخ دنده پینیون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پرس روغن بزرگ </t>
    </r>
    <r>
      <rPr>
        <sz val="10"/>
        <rFont val="Vazirmatn"/>
        <family val="0"/>
        <charset val="1"/>
      </rPr>
      <t xml:space="preserve">)</t>
    </r>
  </si>
  <si>
    <t xml:space="preserve">31243244</t>
  </si>
  <si>
    <t xml:space="preserve">31243248</t>
  </si>
  <si>
    <t xml:space="preserve">دنده مارپیچ منو پمپ</t>
  </si>
  <si>
    <t xml:space="preserve">31243249</t>
  </si>
  <si>
    <t xml:space="preserve">چرخ دنده پینیون خشک کن گرند</t>
  </si>
  <si>
    <t xml:space="preserve">31243250</t>
  </si>
  <si>
    <t xml:space="preserve">چرخ دنده بزرگ خشک کن گرند</t>
  </si>
  <si>
    <t xml:space="preserve">31243256</t>
  </si>
  <si>
    <r>
      <rPr>
        <sz val="10"/>
        <rFont val="FreeSans"/>
        <family val="2"/>
      </rPr>
      <t xml:space="preserve">چرخ زنجیر دوبل </t>
    </r>
    <r>
      <rPr>
        <sz val="10"/>
        <rFont val="Vazirmatn"/>
        <family val="0"/>
        <charset val="1"/>
      </rPr>
      <t xml:space="preserve">16 </t>
    </r>
    <r>
      <rPr>
        <sz val="10"/>
        <rFont val="FreeSans"/>
        <family val="2"/>
      </rPr>
      <t xml:space="preserve">دنده نمره </t>
    </r>
    <r>
      <rPr>
        <sz val="10"/>
        <rFont val="Vazirmatn"/>
        <family val="0"/>
        <charset val="1"/>
      </rPr>
      <t xml:space="preserve">100</t>
    </r>
  </si>
  <si>
    <t xml:space="preserve">31243259</t>
  </si>
  <si>
    <r>
      <rPr>
        <sz val="10"/>
        <rFont val="FreeSans"/>
        <family val="2"/>
      </rPr>
      <t xml:space="preserve">چرخ دنده پرس گویوم </t>
    </r>
    <r>
      <rPr>
        <sz val="10"/>
        <rFont val="Vazirmatn"/>
        <family val="0"/>
        <charset val="1"/>
      </rPr>
      <t xml:space="preserve">1505</t>
    </r>
  </si>
  <si>
    <t xml:space="preserve">31243260</t>
  </si>
  <si>
    <r>
      <rPr>
        <sz val="10"/>
        <rFont val="FreeSans"/>
        <family val="2"/>
      </rPr>
      <t xml:space="preserve">چرخ دنده زنجیر </t>
    </r>
    <r>
      <rPr>
        <sz val="10"/>
        <rFont val="Vazirmatn"/>
        <family val="0"/>
        <charset val="1"/>
      </rPr>
      <t xml:space="preserve">14 </t>
    </r>
    <r>
      <rPr>
        <sz val="10"/>
        <rFont val="FreeSans"/>
        <family val="2"/>
      </rPr>
      <t xml:space="preserve">دنده نمره </t>
    </r>
    <r>
      <rPr>
        <sz val="10"/>
        <rFont val="Vazirmatn"/>
        <family val="0"/>
        <charset val="1"/>
      </rPr>
      <t xml:space="preserve">100</t>
    </r>
  </si>
  <si>
    <t xml:space="preserve">31243262</t>
  </si>
  <si>
    <r>
      <rPr>
        <sz val="10"/>
        <rFont val="FreeSans"/>
        <family val="2"/>
      </rPr>
      <t xml:space="preserve">چرخ دنده زنجیر تک ردیفه </t>
    </r>
    <r>
      <rPr>
        <sz val="10"/>
        <rFont val="Vazirmatn"/>
        <family val="0"/>
        <charset val="1"/>
      </rPr>
      <t xml:space="preserve">80    13 </t>
    </r>
    <r>
      <rPr>
        <sz val="10"/>
        <rFont val="FreeSans"/>
        <family val="2"/>
      </rPr>
      <t xml:space="preserve">دندانه</t>
    </r>
  </si>
  <si>
    <t xml:space="preserve">31243264</t>
  </si>
  <si>
    <r>
      <rPr>
        <sz val="10"/>
        <rFont val="FreeSans"/>
        <family val="2"/>
      </rPr>
      <t xml:space="preserve">چرخ دنده گیربکس شاکرین  </t>
    </r>
    <r>
      <rPr>
        <sz val="10"/>
        <rFont val="Vazirmatn"/>
        <family val="0"/>
        <charset val="1"/>
      </rPr>
      <t xml:space="preserve">VF 150</t>
    </r>
  </si>
  <si>
    <t xml:space="preserve">31243266</t>
  </si>
  <si>
    <r>
      <rPr>
        <sz val="10"/>
        <rFont val="FreeSans"/>
        <family val="2"/>
      </rPr>
      <t xml:space="preserve">چرخ دنده برنجی گیربکس ایلماز  </t>
    </r>
    <r>
      <rPr>
        <sz val="10"/>
        <rFont val="Vazirmatn"/>
        <family val="0"/>
        <charset val="1"/>
      </rPr>
      <t xml:space="preserve">EN 080 Ratio 100</t>
    </r>
  </si>
  <si>
    <t xml:space="preserve">31243267</t>
  </si>
  <si>
    <t xml:space="preserve">دنده کرانویل مخروطی گیربکس پرس روغن آناد</t>
  </si>
  <si>
    <t xml:space="preserve">31243268</t>
  </si>
  <si>
    <r>
      <rPr>
        <sz val="10"/>
        <rFont val="FreeSans"/>
        <family val="2"/>
      </rPr>
      <t xml:space="preserve">چرخ زنجیر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دندانه  </t>
    </r>
    <r>
      <rPr>
        <sz val="10"/>
        <rFont val="Vazirmatn"/>
        <family val="0"/>
        <charset val="1"/>
      </rPr>
      <t xml:space="preserve">24A</t>
    </r>
  </si>
  <si>
    <t xml:space="preserve">31243269</t>
  </si>
  <si>
    <r>
      <rPr>
        <sz val="10"/>
        <rFont val="FreeSans"/>
        <family val="2"/>
      </rPr>
      <t xml:space="preserve">چرخ زنجیر </t>
    </r>
    <r>
      <rPr>
        <sz val="10"/>
        <rFont val="Vazirmatn"/>
        <family val="0"/>
        <charset val="1"/>
      </rPr>
      <t xml:space="preserve">18 </t>
    </r>
    <r>
      <rPr>
        <sz val="10"/>
        <rFont val="FreeSans"/>
        <family val="2"/>
      </rPr>
      <t xml:space="preserve">دندانه  </t>
    </r>
    <r>
      <rPr>
        <sz val="10"/>
        <rFont val="Vazirmatn"/>
        <family val="0"/>
        <charset val="1"/>
      </rPr>
      <t xml:space="preserve">24A</t>
    </r>
  </si>
  <si>
    <t xml:space="preserve">31243270</t>
  </si>
  <si>
    <t xml:space="preserve">چرخ دنده مارپیچ گیربکس پمپ انبار گلوکوز</t>
  </si>
  <si>
    <t xml:space="preserve">31243271</t>
  </si>
  <si>
    <t xml:space="preserve">چرخ دنده مارپیچ گیربکس پمپ انبار  گلوکوز</t>
  </si>
  <si>
    <t xml:space="preserve">31243272</t>
  </si>
  <si>
    <r>
      <rPr>
        <sz val="10"/>
        <rFont val="FreeSans"/>
        <family val="2"/>
      </rPr>
      <t xml:space="preserve">شفت دنده میانی گیربکس خشکن </t>
    </r>
    <r>
      <rPr>
        <sz val="10"/>
        <rFont val="Vazirmatn"/>
        <family val="0"/>
        <charset val="1"/>
      </rPr>
      <t xml:space="preserve">( RK8EF )</t>
    </r>
  </si>
  <si>
    <t xml:space="preserve">31243273</t>
  </si>
  <si>
    <r>
      <rPr>
        <sz val="10"/>
        <rFont val="FreeSans"/>
        <family val="2"/>
      </rPr>
      <t xml:space="preserve">چرخ دنده نهایی گیربکس خشکن </t>
    </r>
    <r>
      <rPr>
        <sz val="10"/>
        <rFont val="Vazirmatn"/>
        <family val="0"/>
        <charset val="1"/>
      </rPr>
      <t xml:space="preserve">( RK8EF )</t>
    </r>
  </si>
  <si>
    <t xml:space="preserve">31243274</t>
  </si>
  <si>
    <r>
      <rPr>
        <sz val="10"/>
        <rFont val="FreeSans"/>
        <family val="2"/>
      </rPr>
      <t xml:space="preserve">چرخ دنده گیربکس خورشیدی دکانتور </t>
    </r>
    <r>
      <rPr>
        <sz val="10"/>
        <rFont val="Vazirmatn"/>
        <family val="0"/>
        <charset val="1"/>
      </rPr>
      <t xml:space="preserve">020-3483-8655</t>
    </r>
  </si>
  <si>
    <t xml:space="preserve">31243275</t>
  </si>
  <si>
    <t xml:space="preserve">چرخ دنده همزن گیربکس نشاسته سازی</t>
  </si>
  <si>
    <t xml:space="preserve">31243277</t>
  </si>
  <si>
    <r>
      <rPr>
        <sz val="10"/>
        <rFont val="FreeSans"/>
        <family val="2"/>
      </rPr>
      <t xml:space="preserve">چرخ دنده پینیون رولر درام اکسید </t>
    </r>
    <r>
      <rPr>
        <sz val="10"/>
        <rFont val="Vazirmatn"/>
        <family val="0"/>
        <charset val="1"/>
      </rPr>
      <t xml:space="preserve">TYPE:Y1530   M10/27Z</t>
    </r>
  </si>
  <si>
    <t xml:space="preserve">31243278</t>
  </si>
  <si>
    <r>
      <rPr>
        <sz val="10"/>
        <rFont val="FreeSans"/>
        <family val="2"/>
      </rPr>
      <t xml:space="preserve">چرخ دنده مخروطی </t>
    </r>
    <r>
      <rPr>
        <sz val="10"/>
        <rFont val="Vazirmatn"/>
        <family val="0"/>
        <charset val="1"/>
      </rPr>
      <t xml:space="preserve">15 </t>
    </r>
    <r>
      <rPr>
        <sz val="10"/>
        <rFont val="FreeSans"/>
        <family val="2"/>
      </rPr>
      <t xml:space="preserve">دندانه خم کن</t>
    </r>
  </si>
  <si>
    <t xml:space="preserve">31243280</t>
  </si>
  <si>
    <t xml:space="preserve">کوبل سر موتور مخلوط کن</t>
  </si>
  <si>
    <t xml:space="preserve">31243281</t>
  </si>
  <si>
    <t xml:space="preserve">کوبل پارچ مخلوط کن</t>
  </si>
  <si>
    <t xml:space="preserve">31243282</t>
  </si>
  <si>
    <r>
      <rPr>
        <sz val="10"/>
        <rFont val="FreeSans"/>
        <family val="2"/>
      </rPr>
      <t xml:space="preserve">چرخ دنده اصلی گیربکس خشک کن </t>
    </r>
    <r>
      <rPr>
        <sz val="10"/>
        <rFont val="Vazirmatn"/>
        <family val="0"/>
        <charset val="1"/>
      </rPr>
      <t xml:space="preserve">RK 8</t>
    </r>
  </si>
  <si>
    <t xml:space="preserve">31243283</t>
  </si>
  <si>
    <r>
      <rPr>
        <sz val="10"/>
        <rFont val="FreeSans"/>
        <family val="2"/>
      </rPr>
      <t xml:space="preserve">چرخ دنده برنجی گیربکس همزن فروکتوز </t>
    </r>
    <r>
      <rPr>
        <sz val="10"/>
        <rFont val="Vazirmatn"/>
        <family val="0"/>
        <charset val="1"/>
      </rPr>
      <t xml:space="preserve">( FCD WKO 155 - Ratio=25 )</t>
    </r>
  </si>
  <si>
    <t xml:space="preserve">31243285</t>
  </si>
  <si>
    <r>
      <rPr>
        <sz val="10"/>
        <rFont val="FreeSans"/>
        <family val="2"/>
      </rPr>
      <t xml:space="preserve">چرخ دنده مقابل ساده نافی دار </t>
    </r>
    <r>
      <rPr>
        <sz val="10"/>
        <rFont val="Vazirmatn"/>
        <family val="0"/>
        <charset val="1"/>
      </rPr>
      <t xml:space="preserve">21 </t>
    </r>
    <r>
      <rPr>
        <sz val="10"/>
        <rFont val="FreeSans"/>
        <family val="2"/>
      </rPr>
      <t xml:space="preserve">دندانه</t>
    </r>
  </si>
  <si>
    <t xml:space="preserve">31243286</t>
  </si>
  <si>
    <r>
      <rPr>
        <sz val="10"/>
        <rFont val="FreeSans"/>
        <family val="2"/>
      </rPr>
      <t xml:space="preserve">مهار کش </t>
    </r>
    <r>
      <rPr>
        <sz val="10"/>
        <rFont val="Vazirmatn"/>
        <family val="0"/>
        <charset val="1"/>
      </rPr>
      <t xml:space="preserve">12</t>
    </r>
  </si>
  <si>
    <t xml:space="preserve">31243287</t>
  </si>
  <si>
    <r>
      <rPr>
        <sz val="10"/>
        <rFont val="FreeSans"/>
        <family val="2"/>
      </rPr>
      <t xml:space="preserve">چرخ دنده فولادی گیربکس همزن فروکتوز </t>
    </r>
    <r>
      <rPr>
        <sz val="10"/>
        <rFont val="Vazirmatn"/>
        <family val="0"/>
        <charset val="1"/>
      </rPr>
      <t xml:space="preserve">( FCD WKO 155 - Ratio=25 )</t>
    </r>
  </si>
  <si>
    <t xml:space="preserve">31243343</t>
  </si>
  <si>
    <r>
      <rPr>
        <sz val="10"/>
        <rFont val="FreeSans"/>
        <family val="2"/>
      </rPr>
      <t xml:space="preserve">چرخ دنده فولادی گیربکس </t>
    </r>
    <r>
      <rPr>
        <sz val="10"/>
        <rFont val="Vazirmatn"/>
        <family val="0"/>
        <charset val="1"/>
      </rPr>
      <t xml:space="preserve">19 </t>
    </r>
    <r>
      <rPr>
        <sz val="10"/>
        <rFont val="FreeSans"/>
        <family val="2"/>
      </rPr>
      <t xml:space="preserve">دندانه درام اکسید</t>
    </r>
  </si>
  <si>
    <t xml:space="preserve">31244004</t>
  </si>
  <si>
    <t xml:space="preserve">نافی گوپلینگ</t>
  </si>
  <si>
    <t xml:space="preserve">31244010</t>
  </si>
  <si>
    <t xml:space="preserve">نافی پمپ استخر</t>
  </si>
  <si>
    <t xml:space="preserve">31244031</t>
  </si>
  <si>
    <r>
      <rPr>
        <sz val="10"/>
        <rFont val="FreeSans"/>
        <family val="2"/>
      </rPr>
      <t xml:space="preserve">قالب لاستیک کوپلینگ          </t>
    </r>
    <r>
      <rPr>
        <sz val="10"/>
        <rFont val="Vazirmatn"/>
        <family val="0"/>
        <charset val="1"/>
      </rPr>
      <t xml:space="preserve">85</t>
    </r>
  </si>
  <si>
    <t xml:space="preserve">31244032</t>
  </si>
  <si>
    <r>
      <rPr>
        <sz val="10"/>
        <rFont val="FreeSans"/>
        <family val="2"/>
      </rPr>
      <t xml:space="preserve">قالب لاستیک کوپلینگ         </t>
    </r>
    <r>
      <rPr>
        <sz val="10"/>
        <rFont val="Vazirmatn"/>
        <family val="0"/>
        <charset val="1"/>
      </rPr>
      <t xml:space="preserve">105</t>
    </r>
  </si>
  <si>
    <t xml:space="preserve">31244042</t>
  </si>
  <si>
    <r>
      <rPr>
        <sz val="10"/>
        <rFont val="FreeSans"/>
        <family val="2"/>
      </rPr>
      <t xml:space="preserve">قالب لاستیک کوپلینگ   </t>
    </r>
    <r>
      <rPr>
        <sz val="10"/>
        <rFont val="Vazirmatn"/>
        <family val="0"/>
        <charset val="1"/>
      </rPr>
      <t xml:space="preserve">125</t>
    </r>
  </si>
  <si>
    <t xml:space="preserve">31244043</t>
  </si>
  <si>
    <r>
      <rPr>
        <sz val="10"/>
        <rFont val="FreeSans"/>
        <family val="2"/>
      </rPr>
      <t xml:space="preserve">قالب لاستیک کوپلینگ    </t>
    </r>
    <r>
      <rPr>
        <sz val="10"/>
        <rFont val="Vazirmatn"/>
        <family val="0"/>
        <charset val="1"/>
      </rPr>
      <t xml:space="preserve">175</t>
    </r>
  </si>
  <si>
    <t xml:space="preserve">31244053</t>
  </si>
  <si>
    <t xml:space="preserve">قالب آلومینیومی کلگی پمپ خلاء</t>
  </si>
  <si>
    <t xml:space="preserve">31244056</t>
  </si>
  <si>
    <t xml:space="preserve">قالب گردگیر چهار شاخ مونو پمپ فروکتوز</t>
  </si>
  <si>
    <t xml:space="preserve">31244063</t>
  </si>
  <si>
    <r>
      <rPr>
        <sz val="10"/>
        <rFont val="FreeSans"/>
        <family val="2"/>
      </rPr>
      <t xml:space="preserve">قالب پولی بلوئر بسته بندی نشاسته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سمت پمپ </t>
    </r>
    <r>
      <rPr>
        <sz val="10"/>
        <rFont val="Vazirmatn"/>
        <family val="0"/>
        <charset val="1"/>
      </rPr>
      <t xml:space="preserve">)</t>
    </r>
  </si>
  <si>
    <t xml:space="preserve">31244064</t>
  </si>
  <si>
    <r>
      <rPr>
        <sz val="10"/>
        <rFont val="FreeSans"/>
        <family val="2"/>
      </rPr>
      <t xml:space="preserve">قالب پولی بلوئر بسته بندی نشاسته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سمت موتور </t>
    </r>
    <r>
      <rPr>
        <sz val="10"/>
        <rFont val="Vazirmatn"/>
        <family val="0"/>
        <charset val="1"/>
      </rPr>
      <t xml:space="preserve">)</t>
    </r>
  </si>
  <si>
    <t xml:space="preserve">31244065</t>
  </si>
  <si>
    <r>
      <rPr>
        <sz val="10"/>
        <rFont val="FreeSans"/>
        <family val="2"/>
      </rPr>
      <t xml:space="preserve">قالب بطری روغن </t>
    </r>
    <r>
      <rPr>
        <sz val="10"/>
        <rFont val="Vazirmatn"/>
        <family val="0"/>
        <charset val="1"/>
      </rPr>
      <t xml:space="preserve">1/8 </t>
    </r>
    <r>
      <rPr>
        <sz val="10"/>
        <rFont val="FreeSans"/>
        <family val="2"/>
      </rPr>
      <t xml:space="preserve">لیتری گلدن کورن</t>
    </r>
  </si>
  <si>
    <t xml:space="preserve">31244101</t>
  </si>
  <si>
    <t xml:space="preserve">کوپلینگ پمپ ایمپکت</t>
  </si>
  <si>
    <t xml:space="preserve">31244103</t>
  </si>
  <si>
    <r>
      <rPr>
        <sz val="10"/>
        <rFont val="FreeSans"/>
        <family val="2"/>
      </rPr>
      <t xml:space="preserve">کوپلینگ پمپ  </t>
    </r>
    <r>
      <rPr>
        <sz val="10"/>
        <rFont val="Vazirmatn"/>
        <family val="0"/>
        <charset val="1"/>
      </rPr>
      <t xml:space="preserve">200 - 65 - 80</t>
    </r>
  </si>
  <si>
    <t xml:space="preserve">31244104</t>
  </si>
  <si>
    <r>
      <rPr>
        <sz val="10"/>
        <rFont val="FreeSans"/>
        <family val="2"/>
      </rPr>
      <t xml:space="preserve">کوپلینگ دکانتور </t>
    </r>
    <r>
      <rPr>
        <sz val="10"/>
        <rFont val="Vazirmatn"/>
        <family val="0"/>
        <charset val="1"/>
      </rPr>
      <t xml:space="preserve">080 - 3390 - 8655</t>
    </r>
  </si>
  <si>
    <t xml:space="preserve">31244105</t>
  </si>
  <si>
    <r>
      <rPr>
        <sz val="10"/>
        <rFont val="FreeSans"/>
        <family val="2"/>
      </rPr>
      <t xml:space="preserve">کوپلینگ پیچی دکانتور  </t>
    </r>
    <r>
      <rPr>
        <sz val="10"/>
        <rFont val="Vazirmatn"/>
        <family val="0"/>
        <charset val="1"/>
      </rPr>
      <t xml:space="preserve">900 - 0202 - 0005</t>
    </r>
  </si>
  <si>
    <t xml:space="preserve">31244106</t>
  </si>
  <si>
    <r>
      <rPr>
        <sz val="10"/>
        <rFont val="FreeSans"/>
        <family val="2"/>
      </rPr>
      <t xml:space="preserve">کوپلینگ لقمه ای نمره </t>
    </r>
    <r>
      <rPr>
        <sz val="10"/>
        <rFont val="Vazirmatn"/>
        <family val="0"/>
        <charset val="1"/>
      </rPr>
      <t xml:space="preserve">: 200</t>
    </r>
  </si>
  <si>
    <t xml:space="preserve">31244108</t>
  </si>
  <si>
    <r>
      <rPr>
        <sz val="10"/>
        <rFont val="FreeSans"/>
        <family val="2"/>
      </rPr>
      <t xml:space="preserve">کوپلینگ لقمه ای نمره </t>
    </r>
    <r>
      <rPr>
        <sz val="10"/>
        <rFont val="Vazirmatn"/>
        <family val="0"/>
        <charset val="1"/>
      </rPr>
      <t xml:space="preserve">: 95</t>
    </r>
  </si>
  <si>
    <t xml:space="preserve">31244110</t>
  </si>
  <si>
    <r>
      <rPr>
        <sz val="10"/>
        <rFont val="FreeSans"/>
        <family val="2"/>
      </rPr>
      <t xml:space="preserve">کوپلینگ پریفلکس </t>
    </r>
    <r>
      <rPr>
        <sz val="10"/>
        <rFont val="Vazirmatn"/>
        <family val="0"/>
        <charset val="1"/>
      </rPr>
      <t xml:space="preserve">214 </t>
    </r>
    <r>
      <rPr>
        <sz val="10"/>
        <rFont val="FreeSans"/>
        <family val="2"/>
      </rPr>
      <t xml:space="preserve">قطر موتور </t>
    </r>
    <r>
      <rPr>
        <sz val="10"/>
        <rFont val="Vazirmatn"/>
        <family val="0"/>
        <charset val="1"/>
      </rPr>
      <t xml:space="preserve">42 </t>
    </r>
    <r>
      <rPr>
        <sz val="10"/>
        <rFont val="FreeSans"/>
        <family val="2"/>
      </rPr>
      <t xml:space="preserve">قطر پمپ </t>
    </r>
    <r>
      <rPr>
        <sz val="10"/>
        <rFont val="Vazirmatn"/>
        <family val="0"/>
        <charset val="1"/>
      </rPr>
      <t xml:space="preserve">30</t>
    </r>
  </si>
  <si>
    <t xml:space="preserve">31244113</t>
  </si>
  <si>
    <r>
      <rPr>
        <sz val="10"/>
        <rFont val="FreeSans"/>
        <family val="2"/>
      </rPr>
      <t xml:space="preserve">کوپلینگ پمپ </t>
    </r>
    <r>
      <rPr>
        <sz val="10"/>
        <rFont val="Vazirmatn"/>
        <family val="0"/>
        <charset val="1"/>
      </rPr>
      <t xml:space="preserve">160 - 50 - 65 IHD</t>
    </r>
  </si>
  <si>
    <t xml:space="preserve">31244116</t>
  </si>
  <si>
    <t xml:space="preserve">کوپلینگ پمپ چینی</t>
  </si>
  <si>
    <t xml:space="preserve">31244118</t>
  </si>
  <si>
    <r>
      <rPr>
        <sz val="10"/>
        <rFont val="FreeSans"/>
        <family val="2"/>
      </rPr>
      <t xml:space="preserve">کوپلینگ  آهنی     </t>
    </r>
    <r>
      <rPr>
        <sz val="10"/>
        <rFont val="Vazirmatn"/>
        <family val="0"/>
        <charset val="1"/>
      </rPr>
      <t xml:space="preserve">230MM</t>
    </r>
  </si>
  <si>
    <t xml:space="preserve">31244119</t>
  </si>
  <si>
    <r>
      <rPr>
        <sz val="10"/>
        <rFont val="FreeSans"/>
        <family val="2"/>
      </rPr>
      <t xml:space="preserve">کوپلینگ چدنی  </t>
    </r>
    <r>
      <rPr>
        <sz val="10"/>
        <rFont val="Vazirmatn"/>
        <family val="0"/>
        <charset val="1"/>
      </rPr>
      <t xml:space="preserve">225</t>
    </r>
  </si>
  <si>
    <t xml:space="preserve">31244120</t>
  </si>
  <si>
    <r>
      <rPr>
        <sz val="10"/>
        <rFont val="FreeSans"/>
        <family val="2"/>
      </rPr>
      <t xml:space="preserve">کوپلینگ چدنی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شاخ  </t>
    </r>
    <r>
      <rPr>
        <sz val="10"/>
        <rFont val="Vazirmatn"/>
        <family val="0"/>
        <charset val="1"/>
      </rPr>
      <t xml:space="preserve">200</t>
    </r>
  </si>
  <si>
    <t xml:space="preserve">31244123</t>
  </si>
  <si>
    <t xml:space="preserve">31244124</t>
  </si>
  <si>
    <r>
      <rPr>
        <sz val="10"/>
        <rFont val="FreeSans"/>
        <family val="2"/>
      </rPr>
      <t xml:space="preserve">کوپلینگ پمپ  </t>
    </r>
    <r>
      <rPr>
        <sz val="10"/>
        <rFont val="Vazirmatn"/>
        <family val="0"/>
        <charset val="1"/>
      </rPr>
      <t xml:space="preserve">IHD100-65-315</t>
    </r>
  </si>
  <si>
    <t xml:space="preserve">31244125</t>
  </si>
  <si>
    <r>
      <rPr>
        <sz val="10"/>
        <rFont val="FreeSans"/>
        <family val="2"/>
      </rPr>
      <t xml:space="preserve">کوپلینگ پمپ  </t>
    </r>
    <r>
      <rPr>
        <sz val="10"/>
        <rFont val="Vazirmatn"/>
        <family val="0"/>
        <charset val="1"/>
      </rPr>
      <t xml:space="preserve">IHD150-125-315</t>
    </r>
  </si>
  <si>
    <t xml:space="preserve">31244127</t>
  </si>
  <si>
    <r>
      <rPr>
        <sz val="10"/>
        <rFont val="FreeSans"/>
        <family val="2"/>
      </rPr>
      <t xml:space="preserve">کوپلینگ پمپ  </t>
    </r>
    <r>
      <rPr>
        <sz val="10"/>
        <rFont val="Vazirmatn"/>
        <family val="0"/>
        <charset val="1"/>
      </rPr>
      <t xml:space="preserve">IHD250-200-315</t>
    </r>
  </si>
  <si>
    <t xml:space="preserve">31244128</t>
  </si>
  <si>
    <r>
      <rPr>
        <sz val="10"/>
        <rFont val="FreeSans"/>
        <family val="2"/>
      </rPr>
      <t xml:space="preserve">کوپلینگ پمپ  </t>
    </r>
    <r>
      <rPr>
        <sz val="10"/>
        <rFont val="Vazirmatn"/>
        <family val="0"/>
        <charset val="1"/>
      </rPr>
      <t xml:space="preserve">IHD250-200-350</t>
    </r>
  </si>
  <si>
    <t xml:space="preserve">31244129</t>
  </si>
  <si>
    <r>
      <rPr>
        <sz val="10"/>
        <rFont val="FreeSans"/>
        <family val="2"/>
      </rPr>
      <t xml:space="preserve">کوپلینگ پمپ خلاء درام پادوان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کاناله</t>
    </r>
  </si>
  <si>
    <t xml:space="preserve">31244130</t>
  </si>
  <si>
    <r>
      <rPr>
        <sz val="10"/>
        <rFont val="FreeSans"/>
        <family val="2"/>
      </rPr>
      <t xml:space="preserve">کوپلینگ چدنی </t>
    </r>
    <r>
      <rPr>
        <sz val="10"/>
        <rFont val="Vazirmatn"/>
        <family val="0"/>
        <charset val="1"/>
      </rPr>
      <t xml:space="preserve">105 </t>
    </r>
    <r>
      <rPr>
        <sz val="10"/>
        <rFont val="FreeSans"/>
        <family val="2"/>
      </rPr>
      <t xml:space="preserve">پمپ </t>
    </r>
    <r>
      <rPr>
        <sz val="10"/>
        <rFont val="Vazirmatn"/>
        <family val="0"/>
        <charset val="1"/>
      </rPr>
      <t xml:space="preserve">IHD 50-32-125</t>
    </r>
  </si>
  <si>
    <t xml:space="preserve">31244132</t>
  </si>
  <si>
    <r>
      <rPr>
        <sz val="10"/>
        <rFont val="FreeSans"/>
        <family val="2"/>
      </rPr>
      <t xml:space="preserve">کوپلینگ پروانه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نافی </t>
    </r>
    <r>
      <rPr>
        <sz val="10"/>
        <rFont val="Vazirmatn"/>
        <family val="0"/>
        <charset val="1"/>
      </rPr>
      <t xml:space="preserve">)</t>
    </r>
  </si>
  <si>
    <t xml:space="preserve">31244133</t>
  </si>
  <si>
    <r>
      <rPr>
        <sz val="10"/>
        <rFont val="FreeSans"/>
        <family val="2"/>
      </rPr>
      <t xml:space="preserve">کوپلینگ آتشنشانی </t>
    </r>
    <r>
      <rPr>
        <sz val="10"/>
        <rFont val="Vazirmatn"/>
        <family val="0"/>
        <charset val="1"/>
      </rPr>
      <t xml:space="preserve">"4</t>
    </r>
  </si>
  <si>
    <t xml:space="preserve">31244134</t>
  </si>
  <si>
    <r>
      <rPr>
        <sz val="10"/>
        <rFont val="FreeSans"/>
        <family val="2"/>
      </rPr>
      <t xml:space="preserve">کوپلینگ پمپ خلاء درام پادوان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کاناله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سمت پمپ </t>
    </r>
    <r>
      <rPr>
        <sz val="10"/>
        <rFont val="Vazirmatn"/>
        <family val="0"/>
        <charset val="1"/>
      </rPr>
      <t xml:space="preserve">)</t>
    </r>
  </si>
  <si>
    <t xml:space="preserve">31244135</t>
  </si>
  <si>
    <r>
      <rPr>
        <sz val="10"/>
        <rFont val="FreeSans"/>
        <family val="2"/>
      </rPr>
      <t xml:space="preserve">کوپلینگ فنری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سمت پمپ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پمپ  </t>
    </r>
    <r>
      <rPr>
        <sz val="10"/>
        <rFont val="Vazirmatn"/>
        <family val="0"/>
        <charset val="1"/>
      </rPr>
      <t xml:space="preserve">IHD 80 - 65 - 160</t>
    </r>
  </si>
  <si>
    <t xml:space="preserve">31244142</t>
  </si>
  <si>
    <r>
      <rPr>
        <sz val="10"/>
        <rFont val="FreeSans"/>
        <family val="2"/>
      </rPr>
      <t xml:space="preserve">کوپلینگ چدنی </t>
    </r>
    <r>
      <rPr>
        <sz val="10"/>
        <rFont val="Vazirmatn"/>
        <family val="0"/>
        <charset val="1"/>
      </rPr>
      <t xml:space="preserve">105</t>
    </r>
  </si>
  <si>
    <t xml:space="preserve">31244146</t>
  </si>
  <si>
    <t xml:space="preserve">کوپلینگ پمپ سرند سمت پمپ</t>
  </si>
  <si>
    <t xml:space="preserve">31244149</t>
  </si>
  <si>
    <r>
      <rPr>
        <sz val="10"/>
        <rFont val="FreeSans"/>
        <family val="2"/>
      </rPr>
      <t xml:space="preserve">کوپلینگ آهنی     </t>
    </r>
    <r>
      <rPr>
        <sz val="10"/>
        <rFont val="Vazirmatn"/>
        <family val="0"/>
        <charset val="1"/>
      </rPr>
      <t xml:space="preserve">82   CM</t>
    </r>
  </si>
  <si>
    <t xml:space="preserve">31244150</t>
  </si>
  <si>
    <t xml:space="preserve">کوپلینگ چدنی پمپ جت کوکر</t>
  </si>
  <si>
    <t xml:space="preserve">31244151</t>
  </si>
  <si>
    <r>
      <rPr>
        <sz val="10"/>
        <rFont val="FreeSans"/>
        <family val="2"/>
      </rPr>
      <t xml:space="preserve">کوپلینگ چدنی سه شاخ   </t>
    </r>
    <r>
      <rPr>
        <sz val="10"/>
        <rFont val="Vazirmatn"/>
        <family val="0"/>
        <charset val="1"/>
      </rPr>
      <t xml:space="preserve">175</t>
    </r>
  </si>
  <si>
    <t xml:space="preserve">31244152</t>
  </si>
  <si>
    <r>
      <rPr>
        <sz val="10"/>
        <rFont val="FreeSans"/>
        <family val="2"/>
      </rPr>
      <t xml:space="preserve">کوپلینگ چدنی   </t>
    </r>
    <r>
      <rPr>
        <sz val="10"/>
        <rFont val="Vazirmatn"/>
        <family val="0"/>
        <charset val="1"/>
      </rPr>
      <t xml:space="preserve">85</t>
    </r>
  </si>
  <si>
    <t xml:space="preserve">31244157</t>
  </si>
  <si>
    <t xml:space="preserve">کوپلینگ پمپ چاله</t>
  </si>
  <si>
    <t xml:space="preserve">31244158</t>
  </si>
  <si>
    <r>
      <rPr>
        <sz val="10"/>
        <rFont val="FreeSans"/>
        <family val="2"/>
      </rPr>
      <t xml:space="preserve">کوپلینگ آهنی    </t>
    </r>
    <r>
      <rPr>
        <sz val="10"/>
        <rFont val="Vazirmatn"/>
        <family val="0"/>
        <charset val="1"/>
      </rPr>
      <t xml:space="preserve">8/5cm</t>
    </r>
  </si>
  <si>
    <t xml:space="preserve">31244159</t>
  </si>
  <si>
    <r>
      <rPr>
        <sz val="10"/>
        <rFont val="FreeSans"/>
        <family val="2"/>
      </rPr>
      <t xml:space="preserve">کوپلینگ                </t>
    </r>
    <r>
      <rPr>
        <sz val="10"/>
        <rFont val="Vazirmatn"/>
        <family val="0"/>
        <charset val="1"/>
      </rPr>
      <t xml:space="preserve">12cm</t>
    </r>
  </si>
  <si>
    <t xml:space="preserve">31244160</t>
  </si>
  <si>
    <t xml:space="preserve">کوپلینگ چدنی پمپ سرند  استیپ و نشاسته سازی</t>
  </si>
  <si>
    <t xml:space="preserve">31244161</t>
  </si>
  <si>
    <r>
      <rPr>
        <sz val="10"/>
        <rFont val="FreeSans"/>
        <family val="2"/>
      </rPr>
      <t xml:space="preserve">کوپلینگ آهنی     </t>
    </r>
    <r>
      <rPr>
        <sz val="10"/>
        <rFont val="Vazirmatn"/>
        <family val="0"/>
        <charset val="1"/>
      </rPr>
      <t xml:space="preserve">105</t>
    </r>
  </si>
  <si>
    <t xml:space="preserve">31244163</t>
  </si>
  <si>
    <r>
      <rPr>
        <sz val="10"/>
        <rFont val="FreeSans"/>
        <family val="2"/>
      </rPr>
      <t xml:space="preserve">کوپلینگ چدنی     </t>
    </r>
    <r>
      <rPr>
        <sz val="10"/>
        <rFont val="Vazirmatn"/>
        <family val="0"/>
        <charset val="1"/>
      </rPr>
      <t xml:space="preserve">125</t>
    </r>
  </si>
  <si>
    <t xml:space="preserve">31244164</t>
  </si>
  <si>
    <t xml:space="preserve">کوپلینگ  کامل   آهنی</t>
  </si>
  <si>
    <t xml:space="preserve">31244165</t>
  </si>
  <si>
    <t xml:space="preserve">کوپلینگ تفلونی تیغه درام کربن</t>
  </si>
  <si>
    <t xml:space="preserve">31244168</t>
  </si>
  <si>
    <t xml:space="preserve">کوپلینگ پمپ خلاء</t>
  </si>
  <si>
    <t xml:space="preserve">31244169</t>
  </si>
  <si>
    <r>
      <rPr>
        <sz val="10"/>
        <rFont val="FreeSans"/>
        <family val="2"/>
      </rPr>
      <t xml:space="preserve">کوپلینگ چدنی </t>
    </r>
    <r>
      <rPr>
        <sz val="10"/>
        <rFont val="Vazirmatn"/>
        <family val="0"/>
        <charset val="1"/>
      </rPr>
      <t xml:space="preserve">115 </t>
    </r>
    <r>
      <rPr>
        <sz val="10"/>
        <rFont val="FreeSans"/>
        <family val="2"/>
      </rPr>
      <t xml:space="preserve">پمپ شربت</t>
    </r>
  </si>
  <si>
    <t xml:space="preserve">31244170</t>
  </si>
  <si>
    <t xml:space="preserve">کوپلینگ پشت الکتروموتور</t>
  </si>
  <si>
    <t xml:space="preserve">31244171</t>
  </si>
  <si>
    <r>
      <rPr>
        <sz val="10"/>
        <rFont val="FreeSans"/>
        <family val="2"/>
      </rPr>
      <t xml:space="preserve">کوپلینگ چدنی   </t>
    </r>
    <r>
      <rPr>
        <sz val="10"/>
        <rFont val="Vazirmatn"/>
        <family val="0"/>
        <charset val="1"/>
      </rPr>
      <t xml:space="preserve">145</t>
    </r>
  </si>
  <si>
    <t xml:space="preserve">31244172</t>
  </si>
  <si>
    <t xml:space="preserve">کوپلینگ پمپ سرند سمت موتور</t>
  </si>
  <si>
    <t xml:space="preserve">31244173</t>
  </si>
  <si>
    <r>
      <rPr>
        <sz val="10"/>
        <rFont val="FreeSans"/>
        <family val="2"/>
      </rPr>
      <t xml:space="preserve">کوپلیگ آهنی         </t>
    </r>
    <r>
      <rPr>
        <sz val="10"/>
        <rFont val="Vazirmatn"/>
        <family val="0"/>
        <charset val="1"/>
      </rPr>
      <t xml:space="preserve">220</t>
    </r>
  </si>
  <si>
    <t xml:space="preserve">31244174</t>
  </si>
  <si>
    <r>
      <rPr>
        <sz val="10"/>
        <rFont val="FreeSans"/>
        <family val="2"/>
      </rPr>
      <t xml:space="preserve">کوپلینگ با لاستیک  </t>
    </r>
    <r>
      <rPr>
        <sz val="10"/>
        <rFont val="Vazirmatn"/>
        <family val="0"/>
        <charset val="1"/>
      </rPr>
      <t xml:space="preserve">200</t>
    </r>
  </si>
  <si>
    <t xml:space="preserve">31244176</t>
  </si>
  <si>
    <r>
      <rPr>
        <sz val="10"/>
        <rFont val="FreeSans"/>
        <family val="2"/>
      </rPr>
      <t xml:space="preserve">کوپلینگ چدنی پمپ واش باطری </t>
    </r>
    <r>
      <rPr>
        <sz val="10"/>
        <rFont val="Vazirmatn"/>
        <family val="0"/>
        <charset val="1"/>
      </rPr>
      <t xml:space="preserve">160 * 224/5</t>
    </r>
  </si>
  <si>
    <t xml:space="preserve">31244177</t>
  </si>
  <si>
    <t xml:space="preserve">کوپلینگ پمپ پوسته سمت پمپ</t>
  </si>
  <si>
    <t xml:space="preserve">31244178</t>
  </si>
  <si>
    <t xml:space="preserve">کوپلینگ پمپ چینی نافی بلند سمت پمپ</t>
  </si>
  <si>
    <t xml:space="preserve">31244179</t>
  </si>
  <si>
    <r>
      <rPr>
        <sz val="10"/>
        <rFont val="FreeSans"/>
        <family val="2"/>
      </rPr>
      <t xml:space="preserve">کوپلینگ چدنی پمپ پوسته  </t>
    </r>
    <r>
      <rPr>
        <sz val="10"/>
        <rFont val="Vazirmatn"/>
        <family val="0"/>
        <charset val="1"/>
      </rPr>
      <t xml:space="preserve">122 * 198/5</t>
    </r>
  </si>
  <si>
    <t xml:space="preserve">31244180</t>
  </si>
  <si>
    <t xml:space="preserve">کوپلینگ پمپ پوسته</t>
  </si>
  <si>
    <t xml:space="preserve">31244181</t>
  </si>
  <si>
    <r>
      <rPr>
        <sz val="10"/>
        <rFont val="FreeSans"/>
        <family val="2"/>
      </rPr>
      <t xml:space="preserve">کوپلینگ میل پیچی </t>
    </r>
    <r>
      <rPr>
        <sz val="10"/>
        <rFont val="Vazirmatn"/>
        <family val="0"/>
        <charset val="1"/>
      </rPr>
      <t xml:space="preserve">200 * 350</t>
    </r>
  </si>
  <si>
    <t xml:space="preserve">31244182</t>
  </si>
  <si>
    <t xml:space="preserve">کوپلینگ پمپ چینی نافی بلند سمت موتور</t>
  </si>
  <si>
    <t xml:space="preserve">31244183</t>
  </si>
  <si>
    <r>
      <rPr>
        <sz val="10"/>
        <rFont val="FreeSans"/>
        <family val="2"/>
      </rPr>
      <t xml:space="preserve">کوپلینگ                        </t>
    </r>
    <r>
      <rPr>
        <sz val="10"/>
        <rFont val="Vazirmatn"/>
        <family val="0"/>
        <charset val="1"/>
      </rPr>
      <t xml:space="preserve">CM18</t>
    </r>
  </si>
  <si>
    <t xml:space="preserve">31244184</t>
  </si>
  <si>
    <r>
      <rPr>
        <sz val="10"/>
        <rFont val="FreeSans"/>
        <family val="2"/>
      </rPr>
      <t xml:space="preserve">کوپلینگ پین دار چدنی سمت پمپ قطر </t>
    </r>
    <r>
      <rPr>
        <sz val="10"/>
        <rFont val="Vazirmatn"/>
        <family val="0"/>
        <charset val="1"/>
      </rPr>
      <t xml:space="preserve">200</t>
    </r>
  </si>
  <si>
    <t xml:space="preserve">31244185</t>
  </si>
  <si>
    <r>
      <rPr>
        <sz val="10"/>
        <rFont val="FreeSans"/>
        <family val="2"/>
      </rPr>
      <t xml:space="preserve">کوپلینگ پین دار چدنی سمت موتور قطر </t>
    </r>
    <r>
      <rPr>
        <sz val="10"/>
        <rFont val="Vazirmatn"/>
        <family val="0"/>
        <charset val="1"/>
      </rPr>
      <t xml:space="preserve">200</t>
    </r>
  </si>
  <si>
    <t xml:space="preserve">31244187</t>
  </si>
  <si>
    <t xml:space="preserve">کوپلینگ آهنی چهار سوراخه کوچک</t>
  </si>
  <si>
    <t xml:space="preserve">31244188</t>
  </si>
  <si>
    <t xml:space="preserve">کوپلینگ چدنی  پمپ سرند استیپ و نشاسته سازی</t>
  </si>
  <si>
    <t xml:space="preserve">31244190</t>
  </si>
  <si>
    <r>
      <rPr>
        <sz val="10"/>
        <rFont val="FreeSans"/>
        <family val="2"/>
      </rPr>
      <t xml:space="preserve">کوپلینگ چدنی پمپهای سرند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سمت موتور</t>
    </r>
    <r>
      <rPr>
        <sz val="10"/>
        <rFont val="Vazirmatn"/>
        <family val="0"/>
        <charset val="1"/>
      </rPr>
      <t xml:space="preserve">)</t>
    </r>
  </si>
  <si>
    <t xml:space="preserve">31244194</t>
  </si>
  <si>
    <r>
      <rPr>
        <sz val="10"/>
        <rFont val="FreeSans"/>
        <family val="2"/>
      </rPr>
      <t xml:space="preserve">کوپلینگ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قفل رابط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مینی پمپ</t>
    </r>
  </si>
  <si>
    <t xml:space="preserve">31244195</t>
  </si>
  <si>
    <r>
      <rPr>
        <sz val="10"/>
        <rFont val="FreeSans"/>
        <family val="2"/>
      </rPr>
      <t xml:space="preserve">کوپلینگ         </t>
    </r>
    <r>
      <rPr>
        <sz val="10"/>
        <rFont val="Vazirmatn"/>
        <family val="0"/>
        <charset val="1"/>
      </rPr>
      <t xml:space="preserve">CM55</t>
    </r>
  </si>
  <si>
    <t xml:space="preserve">31244197</t>
  </si>
  <si>
    <r>
      <rPr>
        <sz val="10"/>
        <rFont val="FreeSans"/>
        <family val="2"/>
      </rPr>
      <t xml:space="preserve">کوپلینگ پمپ </t>
    </r>
    <r>
      <rPr>
        <sz val="10"/>
        <rFont val="Vazirmatn"/>
        <family val="0"/>
        <charset val="1"/>
      </rPr>
      <t xml:space="preserve">80-65-200</t>
    </r>
  </si>
  <si>
    <t xml:space="preserve">31244199</t>
  </si>
  <si>
    <r>
      <rPr>
        <sz val="10"/>
        <rFont val="FreeSans"/>
        <family val="2"/>
      </rPr>
      <t xml:space="preserve">لاستیک کوپلینگ مکعبی </t>
    </r>
    <r>
      <rPr>
        <sz val="10"/>
        <rFont val="Vazirmatn"/>
        <family val="0"/>
        <charset val="1"/>
      </rPr>
      <t xml:space="preserve">105</t>
    </r>
  </si>
  <si>
    <t xml:space="preserve">31244200</t>
  </si>
  <si>
    <r>
      <rPr>
        <sz val="10"/>
        <rFont val="FreeSans"/>
        <family val="2"/>
      </rPr>
      <t xml:space="preserve">لاستیک کوپلینگ پلی اورتان </t>
    </r>
    <r>
      <rPr>
        <sz val="10"/>
        <rFont val="Vazirmatn"/>
        <family val="0"/>
        <charset val="1"/>
      </rPr>
      <t xml:space="preserve">Rotex - 200</t>
    </r>
  </si>
  <si>
    <t xml:space="preserve">31244203</t>
  </si>
  <si>
    <r>
      <rPr>
        <sz val="10"/>
        <rFont val="FreeSans"/>
        <family val="2"/>
      </rPr>
      <t xml:space="preserve">لاستیک کوپلینگ مکعبی    </t>
    </r>
    <r>
      <rPr>
        <sz val="10"/>
        <rFont val="Vazirmatn"/>
        <family val="0"/>
        <charset val="1"/>
      </rPr>
      <t xml:space="preserve">145</t>
    </r>
  </si>
  <si>
    <t xml:space="preserve">31244208</t>
  </si>
  <si>
    <r>
      <rPr>
        <sz val="10"/>
        <rFont val="FreeSans"/>
        <family val="2"/>
      </rPr>
      <t xml:space="preserve">لاستیک کوپلینگ    </t>
    </r>
    <r>
      <rPr>
        <sz val="10"/>
        <rFont val="Vazirmatn"/>
        <family val="0"/>
        <charset val="1"/>
      </rPr>
      <t xml:space="preserve">225   H</t>
    </r>
  </si>
  <si>
    <t xml:space="preserve">31244210</t>
  </si>
  <si>
    <r>
      <rPr>
        <sz val="10"/>
        <rFont val="FreeSans"/>
        <family val="2"/>
      </rPr>
      <t xml:space="preserve">لاستیک کوپلینگ      </t>
    </r>
    <r>
      <rPr>
        <sz val="10"/>
        <rFont val="Vazirmatn"/>
        <family val="0"/>
        <charset val="1"/>
      </rPr>
      <t xml:space="preserve">85</t>
    </r>
  </si>
  <si>
    <t xml:space="preserve">31244212</t>
  </si>
  <si>
    <r>
      <rPr>
        <sz val="10"/>
        <rFont val="FreeSans"/>
        <family val="2"/>
      </rPr>
      <t xml:space="preserve">لاستیک کوپلینگ 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سانتیمتر</t>
    </r>
  </si>
  <si>
    <t xml:space="preserve">31244214</t>
  </si>
  <si>
    <t xml:space="preserve">لاستیک کوپلینگ دوقلو</t>
  </si>
  <si>
    <t xml:space="preserve">31244215</t>
  </si>
  <si>
    <r>
      <rPr>
        <sz val="10"/>
        <rFont val="FreeSans"/>
        <family val="2"/>
      </rPr>
      <t xml:space="preserve">لاستیک کوپلینگ رینگی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پمپ خلاء</t>
    </r>
    <r>
      <rPr>
        <sz val="10"/>
        <rFont val="Vazirmatn"/>
        <family val="0"/>
        <charset val="1"/>
      </rPr>
      <t xml:space="preserve">)</t>
    </r>
  </si>
  <si>
    <t xml:space="preserve">31244216</t>
  </si>
  <si>
    <r>
      <rPr>
        <sz val="10"/>
        <rFont val="FreeSans"/>
        <family val="2"/>
      </rPr>
      <t xml:space="preserve">لاستیک کوپلینگ خورشدی    </t>
    </r>
    <r>
      <rPr>
        <sz val="10"/>
        <rFont val="Vazirmatn"/>
        <family val="0"/>
        <charset val="1"/>
      </rPr>
      <t xml:space="preserve">115</t>
    </r>
  </si>
  <si>
    <t xml:space="preserve">31244220</t>
  </si>
  <si>
    <r>
      <rPr>
        <sz val="10"/>
        <rFont val="FreeSans"/>
        <family val="2"/>
      </rPr>
      <t xml:space="preserve">لاستیک کوپلینگ نمره </t>
    </r>
    <r>
      <rPr>
        <sz val="10"/>
        <rFont val="Vazirmatn"/>
        <family val="0"/>
        <charset val="1"/>
      </rPr>
      <t xml:space="preserve">200</t>
    </r>
  </si>
  <si>
    <t xml:space="preserve">31244221</t>
  </si>
  <si>
    <r>
      <rPr>
        <sz val="10"/>
        <rFont val="FreeSans"/>
        <family val="2"/>
      </rPr>
      <t xml:space="preserve">لاستیک کوپلینگ مکعبی   </t>
    </r>
    <r>
      <rPr>
        <sz val="10"/>
        <rFont val="Vazirmatn"/>
        <family val="0"/>
        <charset val="1"/>
      </rPr>
      <t xml:space="preserve">175</t>
    </r>
  </si>
  <si>
    <t xml:space="preserve">31244222</t>
  </si>
  <si>
    <r>
      <rPr>
        <sz val="10"/>
        <rFont val="FreeSans"/>
        <family val="2"/>
      </rPr>
      <t xml:space="preserve">لاستیک کوپلینگ         </t>
    </r>
    <r>
      <rPr>
        <sz val="10"/>
        <rFont val="Vazirmatn"/>
        <family val="0"/>
        <charset val="1"/>
      </rPr>
      <t xml:space="preserve">275</t>
    </r>
  </si>
  <si>
    <t xml:space="preserve">31244227</t>
  </si>
  <si>
    <t xml:space="preserve">لاستیک کوپلینگ منو پمپ ذخایر فرکتوز</t>
  </si>
  <si>
    <t xml:space="preserve">31244235</t>
  </si>
  <si>
    <r>
      <rPr>
        <sz val="10"/>
        <rFont val="FreeSans"/>
        <family val="2"/>
      </rPr>
      <t xml:space="preserve">لاستیک کوپلینگ خورشیدی   </t>
    </r>
    <r>
      <rPr>
        <sz val="10"/>
        <rFont val="Vazirmatn"/>
        <family val="0"/>
        <charset val="1"/>
      </rPr>
      <t xml:space="preserve">105</t>
    </r>
  </si>
  <si>
    <t xml:space="preserve">31244239</t>
  </si>
  <si>
    <r>
      <rPr>
        <sz val="10"/>
        <rFont val="FreeSans"/>
        <family val="2"/>
      </rPr>
      <t xml:space="preserve">لاستیک کوپلینگ خورشیدی           </t>
    </r>
    <r>
      <rPr>
        <sz val="10"/>
        <rFont val="Vazirmatn"/>
        <family val="0"/>
        <charset val="1"/>
      </rPr>
      <t xml:space="preserve">145</t>
    </r>
  </si>
  <si>
    <t xml:space="preserve">31244241</t>
  </si>
  <si>
    <r>
      <rPr>
        <sz val="10"/>
        <rFont val="FreeSans"/>
        <family val="2"/>
      </rPr>
      <t xml:space="preserve">لاستیک کوپلینگ لقمه ای   </t>
    </r>
    <r>
      <rPr>
        <sz val="10"/>
        <rFont val="Vazirmatn"/>
        <family val="0"/>
        <charset val="1"/>
      </rPr>
      <t xml:space="preserve">KB 315</t>
    </r>
  </si>
  <si>
    <t xml:space="preserve">31244242</t>
  </si>
  <si>
    <r>
      <rPr>
        <sz val="10"/>
        <rFont val="FreeSans"/>
        <family val="2"/>
      </rPr>
      <t xml:space="preserve">لاستیک کوپلینگ  لقمه ای     </t>
    </r>
    <r>
      <rPr>
        <sz val="10"/>
        <rFont val="Vazirmatn"/>
        <family val="0"/>
        <charset val="1"/>
      </rPr>
      <t xml:space="preserve">KB 140</t>
    </r>
  </si>
  <si>
    <t xml:space="preserve">31244243</t>
  </si>
  <si>
    <r>
      <rPr>
        <sz val="10"/>
        <rFont val="FreeSans"/>
        <family val="2"/>
      </rPr>
      <t xml:space="preserve">لاستیک کوپلینگ خورشیدی  </t>
    </r>
    <r>
      <rPr>
        <sz val="10"/>
        <rFont val="Vazirmatn"/>
        <family val="0"/>
        <charset val="1"/>
      </rPr>
      <t xml:space="preserve">175</t>
    </r>
  </si>
  <si>
    <t xml:space="preserve">31244247</t>
  </si>
  <si>
    <r>
      <rPr>
        <sz val="10"/>
        <rFont val="FreeSans"/>
        <family val="2"/>
      </rPr>
      <t xml:space="preserve">لاستیک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تفلون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کوپلینگ  </t>
    </r>
    <r>
      <rPr>
        <sz val="10"/>
        <rFont val="Vazirmatn"/>
        <family val="0"/>
        <charset val="1"/>
      </rPr>
      <t xml:space="preserve">44 * 38 * 17</t>
    </r>
  </si>
  <si>
    <t xml:space="preserve">31244248</t>
  </si>
  <si>
    <r>
      <rPr>
        <sz val="10"/>
        <rFont val="FreeSans"/>
        <family val="2"/>
      </rPr>
      <t xml:space="preserve">لاستیک کوپلینگ پمپ خلاء   </t>
    </r>
    <r>
      <rPr>
        <sz val="10"/>
        <rFont val="Vazirmatn"/>
        <family val="0"/>
        <charset val="1"/>
      </rPr>
      <t xml:space="preserve">A - 4</t>
    </r>
  </si>
  <si>
    <t xml:space="preserve">31244250</t>
  </si>
  <si>
    <t xml:space="preserve">لاستیک کوپلینگ ژنراتور</t>
  </si>
  <si>
    <t xml:space="preserve">31244252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</si>
  <si>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C ( </t>
    </r>
    <r>
      <rPr>
        <sz val="10"/>
        <rFont val="FreeSans"/>
        <family val="2"/>
      </rPr>
      <t xml:space="preserve">پرس جرم </t>
    </r>
    <r>
      <rPr>
        <sz val="10"/>
        <rFont val="Vazirmatn"/>
        <family val="0"/>
        <charset val="1"/>
      </rPr>
      <t xml:space="preserve">) 205 * 75</t>
    </r>
  </si>
  <si>
    <t xml:space="preserve">31244253</t>
  </si>
  <si>
    <t xml:space="preserve">فولی چرخ دوخت</t>
  </si>
  <si>
    <t xml:space="preserve">31244255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</si>
  <si>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ردیفه  </t>
    </r>
    <r>
      <rPr>
        <sz val="10"/>
        <rFont val="Vazirmatn"/>
        <family val="0"/>
        <charset val="1"/>
      </rPr>
      <t xml:space="preserve">SPZ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70mm</t>
    </r>
  </si>
  <si>
    <t xml:space="preserve">31244256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</si>
  <si>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ردیفه  </t>
    </r>
    <r>
      <rPr>
        <sz val="10"/>
        <rFont val="Vazirmatn"/>
        <family val="0"/>
        <charset val="1"/>
      </rPr>
      <t xml:space="preserve">SPZ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100mm</t>
    </r>
  </si>
  <si>
    <t xml:space="preserve">31244258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</si>
  <si>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A  ( 79 * 17 )</t>
    </r>
  </si>
  <si>
    <t xml:space="preserve">31244260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</si>
  <si>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B  ( 157 * 48 )</t>
    </r>
  </si>
  <si>
    <t xml:space="preserve">31244261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</si>
  <si>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A  ( 228 * 65 )</t>
    </r>
  </si>
  <si>
    <t xml:space="preserve">31244264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</si>
  <si>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B  ( 130 * 55 )</t>
    </r>
  </si>
  <si>
    <t xml:space="preserve">31244267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</si>
  <si>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A (  </t>
    </r>
    <r>
      <rPr>
        <sz val="10"/>
        <rFont val="FreeSans"/>
        <family val="2"/>
      </rPr>
      <t xml:space="preserve">کولر </t>
    </r>
    <r>
      <rPr>
        <sz val="10"/>
        <rFont val="Vazirmatn"/>
        <family val="0"/>
        <charset val="1"/>
      </rPr>
      <t xml:space="preserve">)  95 * 32</t>
    </r>
  </si>
  <si>
    <t xml:space="preserve">31244269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</si>
  <si>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B ( 120 * 28 )</t>
    </r>
  </si>
  <si>
    <t xml:space="preserve">31244270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</si>
  <si>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A ( </t>
    </r>
    <r>
      <rPr>
        <sz val="10"/>
        <rFont val="FreeSans"/>
        <family val="2"/>
      </rPr>
      <t xml:space="preserve">سپراتور تغلیظ </t>
    </r>
    <r>
      <rPr>
        <sz val="10"/>
        <rFont val="Vazirmatn"/>
        <family val="0"/>
        <charset val="1"/>
      </rPr>
      <t xml:space="preserve">) 202 * 65</t>
    </r>
  </si>
  <si>
    <t xml:space="preserve">31244272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</si>
  <si>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A  </t>
    </r>
    <r>
      <rPr>
        <sz val="10"/>
        <rFont val="FreeSans"/>
        <family val="2"/>
      </rPr>
      <t xml:space="preserve">سپراتور تغلیظ</t>
    </r>
  </si>
  <si>
    <t xml:space="preserve">31244273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</si>
  <si>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A ( 158 * 38 )</t>
    </r>
  </si>
  <si>
    <t xml:space="preserve">31244275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</si>
  <si>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ردیفه    </t>
    </r>
    <r>
      <rPr>
        <sz val="10"/>
        <rFont val="Vazirmatn"/>
        <family val="0"/>
        <charset val="1"/>
      </rPr>
      <t xml:space="preserve">Q=180    B</t>
    </r>
  </si>
  <si>
    <t xml:space="preserve">31244277</t>
  </si>
  <si>
    <r>
      <rPr>
        <sz val="10"/>
        <rFont val="FreeSans"/>
        <family val="2"/>
      </rPr>
      <t xml:space="preserve">فولی  دو تسمه        </t>
    </r>
    <r>
      <rPr>
        <sz val="10"/>
        <rFont val="Vazirmatn"/>
        <family val="0"/>
        <charset val="1"/>
      </rPr>
      <t xml:space="preserve">40-2--A    10</t>
    </r>
  </si>
  <si>
    <t xml:space="preserve">31244279</t>
  </si>
  <si>
    <r>
      <rPr>
        <sz val="10"/>
        <rFont val="FreeSans"/>
        <family val="2"/>
      </rPr>
      <t xml:space="preserve">فولی آهنی سه تسمه   </t>
    </r>
    <r>
      <rPr>
        <sz val="10"/>
        <rFont val="Vazirmatn"/>
        <family val="0"/>
        <charset val="1"/>
      </rPr>
      <t xml:space="preserve">55 - 3 - 18    A</t>
    </r>
  </si>
  <si>
    <t xml:space="preserve">31244280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</si>
  <si>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C ( 206 * 65 )</t>
    </r>
  </si>
  <si>
    <t xml:space="preserve">31244281</t>
  </si>
  <si>
    <r>
      <rPr>
        <sz val="10"/>
        <rFont val="FreeSans"/>
        <family val="2"/>
      </rPr>
      <t xml:space="preserve">فولی آهنی  سه تسمه    </t>
    </r>
    <r>
      <rPr>
        <sz val="10"/>
        <rFont val="Vazirmatn"/>
        <family val="0"/>
        <charset val="1"/>
      </rPr>
      <t xml:space="preserve">55-3--A     10</t>
    </r>
  </si>
  <si>
    <t xml:space="preserve">31244282</t>
  </si>
  <si>
    <r>
      <rPr>
        <sz val="10"/>
        <rFont val="FreeSans"/>
        <family val="2"/>
      </rPr>
      <t xml:space="preserve">پولی 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ردیفه       </t>
    </r>
    <r>
      <rPr>
        <sz val="10"/>
        <rFont val="Vazirmatn"/>
        <family val="0"/>
        <charset val="1"/>
      </rPr>
      <t xml:space="preserve">Q=130      B</t>
    </r>
  </si>
  <si>
    <t xml:space="preserve">31244284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</si>
  <si>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B ( 140 * 28 )</t>
    </r>
  </si>
  <si>
    <t xml:space="preserve">31244285</t>
  </si>
  <si>
    <r>
      <rPr>
        <sz val="10"/>
        <rFont val="FreeSans"/>
        <family val="2"/>
      </rPr>
      <t xml:space="preserve">فولی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تسمه  </t>
    </r>
    <r>
      <rPr>
        <sz val="10"/>
        <rFont val="Vazirmatn"/>
        <family val="0"/>
        <charset val="1"/>
      </rPr>
      <t xml:space="preserve">Q=130      B </t>
    </r>
    <r>
      <rPr>
        <sz val="10"/>
        <rFont val="FreeSans"/>
        <family val="2"/>
      </rPr>
      <t xml:space="preserve">نافی دار</t>
    </r>
  </si>
  <si>
    <t xml:space="preserve">31244288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</si>
  <si>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B ( 162 * 42 )</t>
    </r>
  </si>
  <si>
    <t xml:space="preserve">31244289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</si>
  <si>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B ( 217 * 50 )</t>
    </r>
  </si>
  <si>
    <t xml:space="preserve">31244293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</si>
  <si>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B</t>
    </r>
  </si>
  <si>
    <t xml:space="preserve">31244294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</si>
  <si>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A ( 154 * 38 )</t>
    </r>
  </si>
  <si>
    <t xml:space="preserve">31244297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</si>
  <si>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A ( </t>
    </r>
    <r>
      <rPr>
        <sz val="10"/>
        <rFont val="FreeSans"/>
        <family val="2"/>
      </rPr>
      <t xml:space="preserve">کولر </t>
    </r>
    <r>
      <rPr>
        <sz val="10"/>
        <rFont val="Vazirmatn"/>
        <family val="0"/>
        <charset val="1"/>
      </rPr>
      <t xml:space="preserve">) 257 * 25</t>
    </r>
  </si>
  <si>
    <t xml:space="preserve">31244300</t>
  </si>
  <si>
    <r>
      <rPr>
        <sz val="10"/>
        <rFont val="FreeSans"/>
        <family val="2"/>
      </rPr>
      <t xml:space="preserve">فولی چدنی </t>
    </r>
    <r>
      <rPr>
        <sz val="10"/>
        <rFont val="Vazirmatn"/>
        <family val="0"/>
        <charset val="1"/>
      </rPr>
      <t xml:space="preserve">70mm  </t>
    </r>
    <r>
      <rPr>
        <sz val="10"/>
        <rFont val="FreeSans"/>
        <family val="2"/>
      </rPr>
      <t xml:space="preserve">نوع </t>
    </r>
    <r>
      <rPr>
        <sz val="10"/>
        <rFont val="Vazirmatn"/>
        <family val="0"/>
        <charset val="1"/>
      </rPr>
      <t xml:space="preserve">A</t>
    </r>
  </si>
  <si>
    <t xml:space="preserve">31244303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</si>
  <si>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A ( 189 * 35 )</t>
    </r>
  </si>
  <si>
    <t xml:space="preserve">31244305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</si>
  <si>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ردیفه  </t>
    </r>
    <r>
      <rPr>
        <sz val="10"/>
        <rFont val="Vazirmatn"/>
        <family val="0"/>
        <charset val="1"/>
      </rPr>
      <t xml:space="preserve">B</t>
    </r>
  </si>
  <si>
    <t xml:space="preserve">31244307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</si>
  <si>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ردیفه  </t>
    </r>
    <r>
      <rPr>
        <sz val="10"/>
        <rFont val="Vazirmatn"/>
        <family val="0"/>
        <charset val="1"/>
      </rPr>
      <t xml:space="preserve">A</t>
    </r>
  </si>
  <si>
    <t xml:space="preserve">31244313</t>
  </si>
  <si>
    <r>
      <rPr>
        <sz val="10"/>
        <rFont val="FreeSans"/>
        <family val="2"/>
      </rPr>
      <t xml:space="preserve">پولی چدنی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تسمه  </t>
    </r>
    <r>
      <rPr>
        <sz val="10"/>
        <rFont val="Vazirmatn"/>
        <family val="0"/>
        <charset val="1"/>
      </rPr>
      <t xml:space="preserve">B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200mm </t>
    </r>
    <r>
      <rPr>
        <sz val="10"/>
        <rFont val="FreeSans"/>
        <family val="2"/>
      </rPr>
      <t xml:space="preserve">جای خار </t>
    </r>
    <r>
      <rPr>
        <sz val="10"/>
        <rFont val="Vazirmatn"/>
        <family val="0"/>
        <charset val="1"/>
      </rPr>
      <t xml:space="preserve">4 * 12mm</t>
    </r>
  </si>
  <si>
    <t xml:space="preserve">31244314</t>
  </si>
  <si>
    <r>
      <rPr>
        <sz val="10"/>
        <rFont val="FreeSans"/>
        <family val="2"/>
      </rPr>
      <t xml:space="preserve">پولی آلومینیومی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تسمه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10 - </t>
    </r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42 -  </t>
    </r>
    <r>
      <rPr>
        <sz val="10"/>
        <rFont val="FreeSans"/>
        <family val="2"/>
      </rPr>
      <t xml:space="preserve">الکترو موتور کولینگ تاور</t>
    </r>
  </si>
  <si>
    <t xml:space="preserve">31244316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</si>
  <si>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C ( 240 * 48 )</t>
    </r>
  </si>
  <si>
    <t xml:space="preserve">31244317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</si>
  <si>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C ( 240 * 55 )</t>
    </r>
  </si>
  <si>
    <t xml:space="preserve">31244318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</si>
  <si>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B ( 180 * 55 )</t>
    </r>
  </si>
  <si>
    <t xml:space="preserve">31244319</t>
  </si>
  <si>
    <r>
      <rPr>
        <sz val="10"/>
        <rFont val="FreeSans"/>
        <family val="2"/>
      </rPr>
      <t xml:space="preserve">فولی چدنی 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تسمه     </t>
    </r>
    <r>
      <rPr>
        <sz val="10"/>
        <rFont val="Vazirmatn"/>
        <family val="0"/>
        <charset val="1"/>
      </rPr>
      <t xml:space="preserve">C</t>
    </r>
  </si>
  <si>
    <t xml:space="preserve">31244322</t>
  </si>
  <si>
    <t xml:space="preserve">پولی سمت شفت آسیاب ایمپکت</t>
  </si>
  <si>
    <t xml:space="preserve">31244324</t>
  </si>
  <si>
    <r>
      <rPr>
        <sz val="10"/>
        <rFont val="FreeSans"/>
        <family val="2"/>
      </rPr>
      <t xml:space="preserve">فولی آسیاب ایمپکت   </t>
    </r>
    <r>
      <rPr>
        <sz val="10"/>
        <rFont val="Vazirmatn"/>
        <family val="0"/>
        <charset val="1"/>
      </rPr>
      <t xml:space="preserve">5V - 20G - "7/1 D</t>
    </r>
  </si>
  <si>
    <t xml:space="preserve">31244325</t>
  </si>
  <si>
    <r>
      <rPr>
        <sz val="10"/>
        <rFont val="FreeSans"/>
        <family val="2"/>
      </rPr>
      <t xml:space="preserve">فولی تسمه دکانتور  </t>
    </r>
    <r>
      <rPr>
        <sz val="10"/>
        <rFont val="Vazirmatn"/>
        <family val="0"/>
        <charset val="1"/>
      </rPr>
      <t xml:space="preserve">210 - 3888 - 0021</t>
    </r>
  </si>
  <si>
    <t xml:space="preserve">31244326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</si>
  <si>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ردیفه        </t>
    </r>
    <r>
      <rPr>
        <sz val="10"/>
        <rFont val="Vazirmatn"/>
        <family val="0"/>
        <charset val="1"/>
      </rPr>
      <t xml:space="preserve">Q=130             B</t>
    </r>
  </si>
  <si>
    <t xml:space="preserve">31244331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</si>
  <si>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ردیفه نافی دار   </t>
    </r>
    <r>
      <rPr>
        <sz val="10"/>
        <rFont val="Vazirmatn"/>
        <family val="0"/>
        <charset val="1"/>
      </rPr>
      <t xml:space="preserve">Q=200    B</t>
    </r>
  </si>
  <si>
    <t xml:space="preserve">31244334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</si>
  <si>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C </t>
    </r>
    <r>
      <rPr>
        <sz val="10"/>
        <rFont val="FreeSans"/>
        <family val="2"/>
      </rPr>
      <t xml:space="preserve">فن مکنده رینولد سمت فن</t>
    </r>
  </si>
  <si>
    <t xml:space="preserve">31244335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</si>
  <si>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C </t>
    </r>
    <r>
      <rPr>
        <sz val="10"/>
        <rFont val="FreeSans"/>
        <family val="2"/>
      </rPr>
      <t xml:space="preserve">فن مکنده رینولد سمت موتور</t>
    </r>
  </si>
  <si>
    <t xml:space="preserve">31244336</t>
  </si>
  <si>
    <r>
      <rPr>
        <sz val="10"/>
        <rFont val="FreeSans"/>
        <family val="2"/>
      </rPr>
      <t xml:space="preserve">پولی جمپردار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B </t>
    </r>
    <r>
      <rPr>
        <sz val="10"/>
        <rFont val="FreeSans"/>
        <family val="2"/>
      </rPr>
      <t xml:space="preserve">خشک کن گلوتن گرند</t>
    </r>
  </si>
  <si>
    <t xml:space="preserve">31244337</t>
  </si>
  <si>
    <r>
      <rPr>
        <sz val="10"/>
        <rFont val="FreeSans"/>
        <family val="2"/>
      </rPr>
      <t xml:space="preserve">فولی دنده زنجیری قطر بیرونی </t>
    </r>
    <r>
      <rPr>
        <sz val="10"/>
        <rFont val="Vazirmatn"/>
        <family val="0"/>
        <charset val="1"/>
      </rPr>
      <t xml:space="preserve">250mm </t>
    </r>
    <r>
      <rPr>
        <sz val="10"/>
        <rFont val="FreeSans"/>
        <family val="2"/>
      </rPr>
      <t xml:space="preserve">قطر داخلی شفت </t>
    </r>
    <r>
      <rPr>
        <sz val="10"/>
        <rFont val="Vazirmatn"/>
        <family val="0"/>
        <charset val="1"/>
      </rPr>
      <t xml:space="preserve">44mm </t>
    </r>
    <r>
      <rPr>
        <sz val="10"/>
        <rFont val="FreeSans"/>
        <family val="2"/>
      </rPr>
      <t xml:space="preserve">جای خار </t>
    </r>
    <r>
      <rPr>
        <sz val="10"/>
        <rFont val="Vazirmatn"/>
        <family val="0"/>
        <charset val="1"/>
      </rPr>
      <t xml:space="preserve">14*7mm</t>
    </r>
  </si>
  <si>
    <t xml:space="preserve">31244338</t>
  </si>
  <si>
    <r>
      <rPr>
        <sz val="10"/>
        <rFont val="FreeSans"/>
        <family val="2"/>
      </rPr>
      <t xml:space="preserve">فولی دنده زنجیری قطر بیرونی </t>
    </r>
    <r>
      <rPr>
        <sz val="10"/>
        <rFont val="Vazirmatn"/>
        <family val="0"/>
        <charset val="1"/>
      </rPr>
      <t xml:space="preserve">200mm </t>
    </r>
    <r>
      <rPr>
        <sz val="10"/>
        <rFont val="FreeSans"/>
        <family val="2"/>
      </rPr>
      <t xml:space="preserve">قطر داخلی شفت </t>
    </r>
    <r>
      <rPr>
        <sz val="10"/>
        <rFont val="Vazirmatn"/>
        <family val="0"/>
        <charset val="1"/>
      </rPr>
      <t xml:space="preserve">44mm </t>
    </r>
    <r>
      <rPr>
        <sz val="10"/>
        <rFont val="FreeSans"/>
        <family val="2"/>
      </rPr>
      <t xml:space="preserve">جای خار </t>
    </r>
    <r>
      <rPr>
        <sz val="10"/>
        <rFont val="Vazirmatn"/>
        <family val="0"/>
        <charset val="1"/>
      </rPr>
      <t xml:space="preserve">14*7mm</t>
    </r>
  </si>
  <si>
    <t xml:space="preserve">31244339</t>
  </si>
  <si>
    <r>
      <rPr>
        <sz val="10"/>
        <rFont val="FreeSans"/>
        <family val="2"/>
      </rPr>
      <t xml:space="preserve">فولی دنده زنجیری نافی دار قطر بیرونی </t>
    </r>
    <r>
      <rPr>
        <sz val="10"/>
        <rFont val="Vazirmatn"/>
        <family val="0"/>
        <charset val="1"/>
      </rPr>
      <t xml:space="preserve">120mm </t>
    </r>
    <r>
      <rPr>
        <sz val="10"/>
        <rFont val="FreeSans"/>
        <family val="2"/>
      </rPr>
      <t xml:space="preserve">قطر داخلی شفت </t>
    </r>
    <r>
      <rPr>
        <sz val="10"/>
        <rFont val="Vazirmatn"/>
        <family val="0"/>
        <charset val="1"/>
      </rPr>
      <t xml:space="preserve">38mm </t>
    </r>
    <r>
      <rPr>
        <sz val="10"/>
        <rFont val="FreeSans"/>
        <family val="2"/>
      </rPr>
      <t xml:space="preserve">جای خار </t>
    </r>
    <r>
      <rPr>
        <sz val="10"/>
        <rFont val="Vazirmatn"/>
        <family val="0"/>
        <charset val="1"/>
      </rPr>
      <t xml:space="preserve">50*10 </t>
    </r>
    <r>
      <rPr>
        <sz val="10"/>
        <rFont val="FreeSans"/>
        <family val="2"/>
      </rPr>
      <t xml:space="preserve">میلی متر</t>
    </r>
  </si>
  <si>
    <t xml:space="preserve">31244340</t>
  </si>
  <si>
    <r>
      <rPr>
        <sz val="10"/>
        <rFont val="FreeSans"/>
        <family val="2"/>
      </rPr>
      <t xml:space="preserve">فولی چدنی قطر بیرونی </t>
    </r>
    <r>
      <rPr>
        <sz val="10"/>
        <rFont val="Vazirmatn"/>
        <family val="0"/>
        <charset val="1"/>
      </rPr>
      <t xml:space="preserve">108mm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52mm </t>
    </r>
    <r>
      <rPr>
        <sz val="10"/>
        <rFont val="FreeSans"/>
        <family val="2"/>
      </rPr>
      <t xml:space="preserve">قطر شفت </t>
    </r>
    <r>
      <rPr>
        <sz val="10"/>
        <rFont val="Vazirmatn"/>
        <family val="0"/>
        <charset val="1"/>
      </rPr>
      <t xml:space="preserve">19mm </t>
    </r>
    <r>
      <rPr>
        <sz val="10"/>
        <rFont val="FreeSans"/>
        <family val="2"/>
      </rPr>
      <t xml:space="preserve">تسمه تخت </t>
    </r>
    <r>
      <rPr>
        <sz val="10"/>
        <rFont val="Vazirmatn"/>
        <family val="0"/>
        <charset val="1"/>
      </rPr>
      <t xml:space="preserve">4cm</t>
    </r>
  </si>
  <si>
    <t xml:space="preserve">31244343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</si>
  <si>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SPA </t>
    </r>
    <r>
      <rPr>
        <sz val="10"/>
        <rFont val="FreeSans"/>
        <family val="2"/>
      </rPr>
      <t xml:space="preserve">بلوئر سمت موتور</t>
    </r>
  </si>
  <si>
    <t xml:space="preserve">31244344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</si>
  <si>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SPA </t>
    </r>
    <r>
      <rPr>
        <sz val="10"/>
        <rFont val="FreeSans"/>
        <family val="2"/>
      </rPr>
      <t xml:space="preserve">بلوئر سمت بلوئر</t>
    </r>
  </si>
  <si>
    <t xml:space="preserve">31244346</t>
  </si>
  <si>
    <t xml:space="preserve">فولی الکتروموتور</t>
  </si>
  <si>
    <t xml:space="preserve">31244347</t>
  </si>
  <si>
    <t xml:space="preserve">پولی سمت موتور آسیاب نشاسته اکسید</t>
  </si>
  <si>
    <t xml:space="preserve">31244348</t>
  </si>
  <si>
    <t xml:space="preserve">پولی سمت آسیاب نشاسته اکسید</t>
  </si>
  <si>
    <t xml:space="preserve">31244349</t>
  </si>
  <si>
    <r>
      <rPr>
        <sz val="10"/>
        <rFont val="FreeSans"/>
        <family val="2"/>
      </rPr>
      <t xml:space="preserve">پولی آلومینیومی دینام کولر آبی </t>
    </r>
    <r>
      <rPr>
        <sz val="10"/>
        <rFont val="Vazirmatn"/>
        <family val="0"/>
        <charset val="1"/>
      </rPr>
      <t xml:space="preserve">Q=89mm</t>
    </r>
  </si>
  <si>
    <t xml:space="preserve">31244350</t>
  </si>
  <si>
    <r>
      <rPr>
        <sz val="10"/>
        <rFont val="FreeSans"/>
        <family val="2"/>
      </rPr>
      <t xml:space="preserve">پولی جمپردار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C </t>
    </r>
    <r>
      <rPr>
        <sz val="10"/>
        <rFont val="FreeSans"/>
        <family val="2"/>
      </rPr>
      <t xml:space="preserve">پرس گویوم </t>
    </r>
    <r>
      <rPr>
        <sz val="10"/>
        <rFont val="Vazirmatn"/>
        <family val="0"/>
        <charset val="1"/>
      </rPr>
      <t xml:space="preserve">( Q=220 - h=225 )</t>
    </r>
  </si>
  <si>
    <t xml:space="preserve">31244351</t>
  </si>
  <si>
    <r>
      <rPr>
        <sz val="10"/>
        <rFont val="FreeSans"/>
        <family val="2"/>
      </rPr>
      <t xml:space="preserve">پولی سمت گیربکس دکانتور  </t>
    </r>
    <r>
      <rPr>
        <sz val="10"/>
        <rFont val="Vazirmatn"/>
        <family val="0"/>
        <charset val="1"/>
      </rPr>
      <t xml:space="preserve">080-3352-8655</t>
    </r>
  </si>
  <si>
    <t xml:space="preserve">31244352</t>
  </si>
  <si>
    <r>
      <rPr>
        <sz val="10"/>
        <rFont val="FreeSans"/>
        <family val="2"/>
      </rPr>
      <t xml:space="preserve">پولی آلومینیومی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تسمه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10 - </t>
    </r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38 -  </t>
    </r>
    <r>
      <rPr>
        <sz val="10"/>
        <rFont val="FreeSans"/>
        <family val="2"/>
      </rPr>
      <t xml:space="preserve">الکترو موتور کولینگ تاور</t>
    </r>
  </si>
  <si>
    <t xml:space="preserve">31244353</t>
  </si>
  <si>
    <r>
      <rPr>
        <sz val="10"/>
        <rFont val="FreeSans"/>
        <family val="2"/>
      </rPr>
      <t xml:space="preserve">پولی موتور سپراتور </t>
    </r>
    <r>
      <rPr>
        <sz val="10"/>
        <rFont val="Vazirmatn"/>
        <family val="0"/>
        <charset val="1"/>
      </rPr>
      <t xml:space="preserve">GT2</t>
    </r>
  </si>
  <si>
    <t xml:space="preserve">31244354</t>
  </si>
  <si>
    <r>
      <rPr>
        <sz val="10"/>
        <rFont val="FreeSans"/>
        <family val="2"/>
      </rPr>
      <t xml:space="preserve">پولی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ردیفه </t>
    </r>
    <r>
      <rPr>
        <sz val="10"/>
        <rFont val="Vazirmatn"/>
        <family val="0"/>
        <charset val="1"/>
      </rPr>
      <t xml:space="preserve">B</t>
    </r>
  </si>
  <si>
    <t xml:space="preserve">31244355</t>
  </si>
  <si>
    <r>
      <rPr>
        <sz val="10"/>
        <rFont val="FreeSans"/>
        <family val="2"/>
      </rPr>
      <t xml:space="preserve">فولی پروانه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بزرگ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کولر </t>
    </r>
    <r>
      <rPr>
        <sz val="10"/>
        <rFont val="Vazirmatn"/>
        <family val="0"/>
        <charset val="1"/>
      </rPr>
      <t xml:space="preserve">3500</t>
    </r>
  </si>
  <si>
    <t xml:space="preserve">31244356</t>
  </si>
  <si>
    <r>
      <rPr>
        <sz val="10"/>
        <rFont val="FreeSans"/>
        <family val="2"/>
      </rPr>
      <t xml:space="preserve">فولی موتور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کوچک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کولر </t>
    </r>
    <r>
      <rPr>
        <sz val="10"/>
        <rFont val="Vazirmatn"/>
        <family val="0"/>
        <charset val="1"/>
      </rPr>
      <t xml:space="preserve">3500</t>
    </r>
  </si>
  <si>
    <t xml:space="preserve">31244403</t>
  </si>
  <si>
    <r>
      <rPr>
        <sz val="10"/>
        <rFont val="FreeSans"/>
        <family val="2"/>
      </rPr>
      <t xml:space="preserve">دنده زنجیر    </t>
    </r>
    <r>
      <rPr>
        <sz val="10"/>
        <rFont val="Vazirmatn"/>
        <family val="0"/>
        <charset val="1"/>
      </rPr>
      <t xml:space="preserve">50</t>
    </r>
  </si>
  <si>
    <t xml:space="preserve">31244404</t>
  </si>
  <si>
    <r>
      <rPr>
        <sz val="10"/>
        <rFont val="FreeSans"/>
        <family val="2"/>
      </rPr>
      <t xml:space="preserve">چرخ دنده مارپیچ    </t>
    </r>
    <r>
      <rPr>
        <sz val="10"/>
        <rFont val="Vazirmatn"/>
        <family val="0"/>
        <charset val="1"/>
      </rPr>
      <t xml:space="preserve">61 </t>
    </r>
    <r>
      <rPr>
        <sz val="10"/>
        <rFont val="FreeSans"/>
        <family val="2"/>
      </rPr>
      <t xml:space="preserve">دنده</t>
    </r>
  </si>
  <si>
    <t xml:space="preserve">31244405</t>
  </si>
  <si>
    <r>
      <rPr>
        <sz val="10"/>
        <rFont val="FreeSans"/>
        <family val="2"/>
      </rPr>
      <t xml:space="preserve">چرخ دنده زنجیر </t>
    </r>
    <r>
      <rPr>
        <sz val="10"/>
        <rFont val="Vazirmatn"/>
        <family val="0"/>
        <charset val="1"/>
      </rPr>
      <t xml:space="preserve">11 </t>
    </r>
    <r>
      <rPr>
        <sz val="10"/>
        <rFont val="FreeSans"/>
        <family val="2"/>
      </rPr>
      <t xml:space="preserve">دندانه  نمره </t>
    </r>
    <r>
      <rPr>
        <sz val="10"/>
        <rFont val="Vazirmatn"/>
        <family val="0"/>
        <charset val="1"/>
      </rPr>
      <t xml:space="preserve">80</t>
    </r>
  </si>
  <si>
    <t xml:space="preserve">31244406</t>
  </si>
  <si>
    <r>
      <rPr>
        <sz val="10"/>
        <rFont val="FreeSans"/>
        <family val="2"/>
      </rPr>
      <t xml:space="preserve">چرخ دنده زنجیر  نمره </t>
    </r>
    <r>
      <rPr>
        <sz val="10"/>
        <rFont val="Vazirmatn"/>
        <family val="0"/>
        <charset val="1"/>
      </rPr>
      <t xml:space="preserve">100   26 </t>
    </r>
    <r>
      <rPr>
        <sz val="10"/>
        <rFont val="FreeSans"/>
        <family val="2"/>
      </rPr>
      <t xml:space="preserve">پره</t>
    </r>
  </si>
  <si>
    <t xml:space="preserve">31244407</t>
  </si>
  <si>
    <r>
      <rPr>
        <sz val="10"/>
        <rFont val="FreeSans"/>
        <family val="2"/>
      </rPr>
      <t xml:space="preserve">دنده زنجیر   </t>
    </r>
    <r>
      <rPr>
        <sz val="10"/>
        <rFont val="Vazirmatn"/>
        <family val="0"/>
        <charset val="1"/>
      </rPr>
      <t xml:space="preserve">50</t>
    </r>
  </si>
  <si>
    <t xml:space="preserve">31244408</t>
  </si>
  <si>
    <r>
      <rPr>
        <sz val="10"/>
        <rFont val="FreeSans"/>
        <family val="2"/>
      </rPr>
      <t xml:space="preserve">چرخ دنده زنجیر دوبل نمره </t>
    </r>
    <r>
      <rPr>
        <sz val="10"/>
        <rFont val="Vazirmatn"/>
        <family val="0"/>
        <charset val="1"/>
      </rPr>
      <t xml:space="preserve">80   22 </t>
    </r>
    <r>
      <rPr>
        <sz val="10"/>
        <rFont val="FreeSans"/>
        <family val="2"/>
      </rPr>
      <t xml:space="preserve">پره</t>
    </r>
  </si>
  <si>
    <t xml:space="preserve">31244409</t>
  </si>
  <si>
    <t xml:space="preserve">دنده زنجیر</t>
  </si>
  <si>
    <t xml:space="preserve">31244411</t>
  </si>
  <si>
    <r>
      <rPr>
        <sz val="10"/>
        <rFont val="FreeSans"/>
        <family val="2"/>
      </rPr>
      <t xml:space="preserve">دنده زنجیر  </t>
    </r>
    <r>
      <rPr>
        <sz val="10"/>
        <rFont val="Vazirmatn"/>
        <family val="0"/>
        <charset val="1"/>
      </rPr>
      <t xml:space="preserve">46 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80</t>
    </r>
  </si>
  <si>
    <t xml:space="preserve">31244412</t>
  </si>
  <si>
    <t xml:space="preserve">31244414</t>
  </si>
  <si>
    <r>
      <rPr>
        <sz val="10"/>
        <rFont val="FreeSans"/>
        <family val="2"/>
      </rPr>
      <t xml:space="preserve">چرخ دنده زنجیر  نمره </t>
    </r>
    <r>
      <rPr>
        <sz val="10"/>
        <rFont val="Vazirmatn"/>
        <family val="0"/>
        <charset val="1"/>
      </rPr>
      <t xml:space="preserve">100   24 </t>
    </r>
    <r>
      <rPr>
        <sz val="10"/>
        <rFont val="FreeSans"/>
        <family val="2"/>
      </rPr>
      <t xml:space="preserve">دندانه</t>
    </r>
  </si>
  <si>
    <t xml:space="preserve">31244415</t>
  </si>
  <si>
    <r>
      <rPr>
        <sz val="10"/>
        <rFont val="FreeSans"/>
        <family val="2"/>
      </rPr>
      <t xml:space="preserve">دنده زنجیر  </t>
    </r>
    <r>
      <rPr>
        <sz val="10"/>
        <rFont val="Vazirmatn"/>
        <family val="0"/>
        <charset val="1"/>
      </rPr>
      <t xml:space="preserve">50  28   34 </t>
    </r>
    <r>
      <rPr>
        <sz val="10"/>
        <rFont val="FreeSans"/>
        <family val="2"/>
      </rPr>
      <t xml:space="preserve">خار</t>
    </r>
  </si>
  <si>
    <t xml:space="preserve">31244416</t>
  </si>
  <si>
    <r>
      <rPr>
        <sz val="10"/>
        <rFont val="FreeSans"/>
        <family val="2"/>
      </rPr>
      <t xml:space="preserve">دنده زنجیر نمره   </t>
    </r>
    <r>
      <rPr>
        <sz val="10"/>
        <rFont val="Vazirmatn"/>
        <family val="0"/>
        <charset val="1"/>
      </rPr>
      <t xml:space="preserve">50/20</t>
    </r>
  </si>
  <si>
    <t xml:space="preserve">31244417</t>
  </si>
  <si>
    <r>
      <rPr>
        <sz val="10"/>
        <rFont val="FreeSans"/>
        <family val="2"/>
      </rPr>
      <t xml:space="preserve">چرخ دنده زنجیر  نمره </t>
    </r>
    <r>
      <rPr>
        <sz val="10"/>
        <rFont val="Vazirmatn"/>
        <family val="0"/>
        <charset val="1"/>
      </rPr>
      <t xml:space="preserve">80   20 </t>
    </r>
    <r>
      <rPr>
        <sz val="10"/>
        <rFont val="FreeSans"/>
        <family val="2"/>
      </rPr>
      <t xml:space="preserve">دندانه</t>
    </r>
  </si>
  <si>
    <t xml:space="preserve">31244418</t>
  </si>
  <si>
    <r>
      <rPr>
        <sz val="10"/>
        <rFont val="FreeSans"/>
        <family val="2"/>
      </rPr>
      <t xml:space="preserve">چرخ دنده زنجیر تک ردیفه خشکن </t>
    </r>
    <r>
      <rPr>
        <sz val="10"/>
        <rFont val="Vazirmatn"/>
        <family val="0"/>
        <charset val="1"/>
      </rPr>
      <t xml:space="preserve">17 </t>
    </r>
    <r>
      <rPr>
        <sz val="10"/>
        <rFont val="FreeSans"/>
        <family val="2"/>
      </rPr>
      <t xml:space="preserve">دندانه </t>
    </r>
    <r>
      <rPr>
        <sz val="10"/>
        <rFont val="Vazirmatn"/>
        <family val="0"/>
        <charset val="1"/>
      </rPr>
      <t xml:space="preserve">B 28</t>
    </r>
  </si>
  <si>
    <t xml:space="preserve">31244420</t>
  </si>
  <si>
    <r>
      <rPr>
        <sz val="10"/>
        <rFont val="FreeSans"/>
        <family val="2"/>
      </rPr>
      <t xml:space="preserve">دنده زنجیر    </t>
    </r>
    <r>
      <rPr>
        <sz val="10"/>
        <rFont val="Vazirmatn"/>
        <family val="0"/>
        <charset val="1"/>
      </rPr>
      <t xml:space="preserve">15140 19 M 26 M</t>
    </r>
  </si>
  <si>
    <t xml:space="preserve">31244425</t>
  </si>
  <si>
    <r>
      <rPr>
        <sz val="10"/>
        <rFont val="FreeSans"/>
        <family val="2"/>
      </rPr>
      <t xml:space="preserve">چرخ دنده زنجیر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ردیفه خشکن </t>
    </r>
    <r>
      <rPr>
        <sz val="10"/>
        <rFont val="Vazirmatn"/>
        <family val="0"/>
        <charset val="1"/>
      </rPr>
      <t xml:space="preserve">17 </t>
    </r>
    <r>
      <rPr>
        <sz val="10"/>
        <rFont val="FreeSans"/>
        <family val="2"/>
      </rPr>
      <t xml:space="preserve">دندانه</t>
    </r>
  </si>
  <si>
    <t xml:space="preserve">31244459</t>
  </si>
  <si>
    <r>
      <rPr>
        <sz val="10"/>
        <rFont val="FreeSans"/>
        <family val="2"/>
      </rPr>
      <t xml:space="preserve">زنجیر فولادی یک سر قلاب دار </t>
    </r>
    <r>
      <rPr>
        <sz val="10"/>
        <rFont val="Vazirmatn"/>
        <family val="0"/>
        <charset val="1"/>
      </rPr>
      <t xml:space="preserve">( 5 </t>
    </r>
    <r>
      <rPr>
        <sz val="10"/>
        <rFont val="FreeSans"/>
        <family val="2"/>
      </rPr>
      <t xml:space="preserve">تن </t>
    </r>
    <r>
      <rPr>
        <sz val="10"/>
        <rFont val="Vazirmatn"/>
        <family val="0"/>
        <charset val="1"/>
      </rPr>
      <t xml:space="preserve">) 6 </t>
    </r>
    <r>
      <rPr>
        <sz val="10"/>
        <rFont val="FreeSans"/>
        <family val="2"/>
      </rPr>
      <t xml:space="preserve">متری</t>
    </r>
  </si>
  <si>
    <t xml:space="preserve">31244461</t>
  </si>
  <si>
    <r>
      <rPr>
        <sz val="10"/>
        <rFont val="FreeSans"/>
        <family val="2"/>
      </rPr>
      <t xml:space="preserve">زنجیر  نمره </t>
    </r>
    <r>
      <rPr>
        <sz val="10"/>
        <rFont val="Vazirmatn"/>
        <family val="0"/>
        <charset val="1"/>
      </rPr>
      <t xml:space="preserve">120</t>
    </r>
  </si>
  <si>
    <t xml:space="preserve">31244462</t>
  </si>
  <si>
    <t xml:space="preserve">زنجیر کاسه الواتور روغن کشی جدید</t>
  </si>
  <si>
    <t xml:space="preserve">31244463</t>
  </si>
  <si>
    <r>
      <rPr>
        <sz val="10"/>
        <rFont val="FreeSans"/>
        <family val="2"/>
      </rPr>
      <t xml:space="preserve">زنجیرنمره </t>
    </r>
    <r>
      <rPr>
        <sz val="10"/>
        <rFont val="Vazirmatn"/>
        <family val="0"/>
        <charset val="1"/>
      </rPr>
      <t xml:space="preserve">60</t>
    </r>
  </si>
  <si>
    <t xml:space="preserve">31244464</t>
  </si>
  <si>
    <r>
      <rPr>
        <sz val="10"/>
        <rFont val="FreeSans"/>
        <family val="2"/>
      </rPr>
      <t xml:space="preserve">زنجیر    </t>
    </r>
    <r>
      <rPr>
        <sz val="10"/>
        <rFont val="Vazirmatn"/>
        <family val="0"/>
        <charset val="1"/>
      </rPr>
      <t xml:space="preserve">80</t>
    </r>
  </si>
  <si>
    <t xml:space="preserve">31244465</t>
  </si>
  <si>
    <t xml:space="preserve">زنجیر قسمت بار خشکن پوسته</t>
  </si>
  <si>
    <t xml:space="preserve">31244467</t>
  </si>
  <si>
    <r>
      <rPr>
        <sz val="10"/>
        <rFont val="FreeSans"/>
        <family val="2"/>
      </rPr>
      <t xml:space="preserve">زنجیر دوبل  نمره  </t>
    </r>
    <r>
      <rPr>
        <sz val="10"/>
        <rFont val="Vazirmatn"/>
        <family val="0"/>
        <charset val="1"/>
      </rPr>
      <t xml:space="preserve">100</t>
    </r>
  </si>
  <si>
    <t xml:space="preserve">31244470</t>
  </si>
  <si>
    <r>
      <rPr>
        <sz val="10"/>
        <rFont val="FreeSans"/>
        <family val="2"/>
      </rPr>
      <t xml:space="preserve">زنجیرتک ردیفه نمره  </t>
    </r>
    <r>
      <rPr>
        <sz val="10"/>
        <rFont val="Vazirmatn"/>
        <family val="0"/>
        <charset val="1"/>
      </rPr>
      <t xml:space="preserve">40      Roller   chain     40-1R-3M</t>
    </r>
  </si>
  <si>
    <t xml:space="preserve">31244471</t>
  </si>
  <si>
    <t xml:space="preserve">زنجیر خشکن پوسته جدید</t>
  </si>
  <si>
    <t xml:space="preserve">31244474</t>
  </si>
  <si>
    <r>
      <rPr>
        <sz val="10"/>
        <rFont val="FreeSans"/>
        <family val="2"/>
      </rPr>
      <t xml:space="preserve">زنجیر دوبل  نمره  </t>
    </r>
    <r>
      <rPr>
        <sz val="10"/>
        <rFont val="Vazirmatn"/>
        <family val="0"/>
        <charset val="1"/>
      </rPr>
      <t xml:space="preserve">60</t>
    </r>
  </si>
  <si>
    <t xml:space="preserve">31244475</t>
  </si>
  <si>
    <t xml:space="preserve">زنجیرخشک کن گلوتن</t>
  </si>
  <si>
    <t xml:space="preserve">31244476</t>
  </si>
  <si>
    <t xml:space="preserve">زنجیر قلاب دار فولادی</t>
  </si>
  <si>
    <t xml:space="preserve">31244480</t>
  </si>
  <si>
    <t xml:space="preserve">زنجیردستگاه خشک کن</t>
  </si>
  <si>
    <t xml:space="preserve">31244483</t>
  </si>
  <si>
    <r>
      <rPr>
        <sz val="10"/>
        <rFont val="FreeSans"/>
        <family val="2"/>
      </rPr>
      <t xml:space="preserve">زنجیر تک ردیفه  نمره  </t>
    </r>
    <r>
      <rPr>
        <sz val="10"/>
        <rFont val="Vazirmatn"/>
        <family val="0"/>
        <charset val="1"/>
      </rPr>
      <t xml:space="preserve">24A</t>
    </r>
  </si>
  <si>
    <t xml:space="preserve">31244484</t>
  </si>
  <si>
    <r>
      <rPr>
        <sz val="10"/>
        <rFont val="FreeSans"/>
        <family val="2"/>
      </rPr>
      <t xml:space="preserve">زنجیر دوبل نمره </t>
    </r>
    <r>
      <rPr>
        <sz val="10"/>
        <rFont val="Vazirmatn"/>
        <family val="0"/>
        <charset val="1"/>
      </rPr>
      <t xml:space="preserve">: 80</t>
    </r>
  </si>
  <si>
    <t xml:space="preserve">31244485</t>
  </si>
  <si>
    <r>
      <rPr>
        <sz val="10"/>
        <rFont val="FreeSans"/>
        <family val="2"/>
      </rPr>
      <t xml:space="preserve">زنجیر آهنی جرثقیل </t>
    </r>
    <r>
      <rPr>
        <sz val="10"/>
        <rFont val="Vazirmatn"/>
        <family val="0"/>
        <charset val="1"/>
      </rPr>
      <t xml:space="preserve">31/5mm*17mm  </t>
    </r>
    <r>
      <rPr>
        <sz val="10"/>
        <rFont val="FreeSans"/>
        <family val="2"/>
      </rPr>
      <t xml:space="preserve">مفتول </t>
    </r>
    <r>
      <rPr>
        <sz val="10"/>
        <rFont val="Vazirmatn"/>
        <family val="0"/>
        <charset val="1"/>
      </rPr>
      <t xml:space="preserve">Q=5mm</t>
    </r>
  </si>
  <si>
    <t xml:space="preserve">31244486</t>
  </si>
  <si>
    <r>
      <rPr>
        <sz val="10"/>
        <rFont val="FreeSans"/>
        <family val="2"/>
      </rPr>
      <t xml:space="preserve">اسلینگ  </t>
    </r>
    <r>
      <rPr>
        <sz val="10"/>
        <rFont val="Vazirmatn"/>
        <family val="0"/>
        <charset val="1"/>
      </rPr>
      <t xml:space="preserve">D=850,N=800RPM</t>
    </r>
  </si>
  <si>
    <t xml:space="preserve">31244491</t>
  </si>
  <si>
    <t xml:space="preserve">زنجیر پلاستیکی قرمز</t>
  </si>
  <si>
    <t xml:space="preserve">31244492</t>
  </si>
  <si>
    <r>
      <rPr>
        <sz val="10"/>
        <rFont val="FreeSans"/>
        <family val="2"/>
      </rPr>
      <t xml:space="preserve">زنجیر گالوانیزه جوشی </t>
    </r>
    <r>
      <rPr>
        <sz val="10"/>
        <rFont val="Vazirmatn"/>
        <family val="0"/>
        <charset val="1"/>
      </rPr>
      <t xml:space="preserve">5mm</t>
    </r>
  </si>
  <si>
    <t xml:space="preserve">31244494</t>
  </si>
  <si>
    <r>
      <rPr>
        <sz val="10"/>
        <rFont val="FreeSans"/>
        <family val="2"/>
      </rPr>
      <t xml:space="preserve">زنجیر دوبل      </t>
    </r>
    <r>
      <rPr>
        <sz val="10"/>
        <rFont val="Vazirmatn"/>
        <family val="0"/>
        <charset val="1"/>
      </rPr>
      <t xml:space="preserve">B 28</t>
    </r>
  </si>
  <si>
    <t xml:space="preserve">31244496</t>
  </si>
  <si>
    <r>
      <rPr>
        <sz val="10"/>
        <rFont val="FreeSans"/>
        <family val="2"/>
      </rPr>
      <t xml:space="preserve">زنجیر    </t>
    </r>
    <r>
      <rPr>
        <sz val="10"/>
        <rFont val="Vazirmatn"/>
        <family val="0"/>
        <charset val="1"/>
      </rPr>
      <t xml:space="preserve">B12</t>
    </r>
  </si>
  <si>
    <t xml:space="preserve">31244497</t>
  </si>
  <si>
    <t xml:space="preserve">زنجیر  فلزی گالوانیزه</t>
  </si>
  <si>
    <t xml:space="preserve">31244498</t>
  </si>
  <si>
    <r>
      <rPr>
        <sz val="10"/>
        <rFont val="FreeSans"/>
        <family val="2"/>
      </rPr>
      <t xml:space="preserve">زنجیر </t>
    </r>
    <r>
      <rPr>
        <sz val="10"/>
        <rFont val="Vazirmatn"/>
        <family val="0"/>
        <charset val="1"/>
      </rPr>
      <t xml:space="preserve">B28 </t>
    </r>
    <r>
      <rPr>
        <sz val="10"/>
        <rFont val="FreeSans"/>
        <family val="2"/>
      </rPr>
      <t xml:space="preserve">خشکن </t>
    </r>
    <r>
      <rPr>
        <sz val="10"/>
        <rFont val="Vazirmatn"/>
        <family val="0"/>
        <charset val="1"/>
      </rPr>
      <t xml:space="preserve">RK8-SN24451-RK8</t>
    </r>
  </si>
  <si>
    <t xml:space="preserve">31244501</t>
  </si>
  <si>
    <r>
      <rPr>
        <sz val="10"/>
        <rFont val="FreeSans"/>
        <family val="2"/>
      </rPr>
      <t xml:space="preserve">قفل زنجیر  </t>
    </r>
    <r>
      <rPr>
        <sz val="10"/>
        <rFont val="Vazirmatn"/>
        <family val="0"/>
        <charset val="1"/>
      </rPr>
      <t xml:space="preserve">140</t>
    </r>
  </si>
  <si>
    <t xml:space="preserve">31244503</t>
  </si>
  <si>
    <r>
      <rPr>
        <sz val="10"/>
        <rFont val="FreeSans"/>
        <family val="2"/>
      </rPr>
      <t xml:space="preserve">قفل زنجیرکامل یک ردیفه </t>
    </r>
    <r>
      <rPr>
        <sz val="10"/>
        <rFont val="Vazirmatn"/>
        <family val="0"/>
        <charset val="1"/>
      </rPr>
      <t xml:space="preserve">B 28</t>
    </r>
  </si>
  <si>
    <t xml:space="preserve">31244508</t>
  </si>
  <si>
    <t xml:space="preserve">بست زنجیر</t>
  </si>
  <si>
    <t xml:space="preserve">31244510</t>
  </si>
  <si>
    <t xml:space="preserve">31244511</t>
  </si>
  <si>
    <t xml:space="preserve">31244512</t>
  </si>
  <si>
    <r>
      <rPr>
        <sz val="10"/>
        <rFont val="FreeSans"/>
        <family val="2"/>
      </rPr>
      <t xml:space="preserve">قفل زنجیر دوبل کامل نمره </t>
    </r>
    <r>
      <rPr>
        <sz val="10"/>
        <rFont val="Vazirmatn"/>
        <family val="0"/>
        <charset val="1"/>
      </rPr>
      <t xml:space="preserve">80</t>
    </r>
  </si>
  <si>
    <t xml:space="preserve">31244514</t>
  </si>
  <si>
    <r>
      <rPr>
        <sz val="10"/>
        <rFont val="FreeSans"/>
        <family val="2"/>
      </rPr>
      <t xml:space="preserve">قفل زنجیر نیمه    نمره </t>
    </r>
    <r>
      <rPr>
        <sz val="10"/>
        <rFont val="Vazirmatn"/>
        <family val="0"/>
        <charset val="1"/>
      </rPr>
      <t xml:space="preserve">40</t>
    </r>
  </si>
  <si>
    <t xml:space="preserve">31244515</t>
  </si>
  <si>
    <r>
      <rPr>
        <sz val="10"/>
        <rFont val="FreeSans"/>
        <family val="2"/>
      </rPr>
      <t xml:space="preserve">قفل زنجیر نیمه   نمره  </t>
    </r>
    <r>
      <rPr>
        <sz val="10"/>
        <rFont val="Vazirmatn"/>
        <family val="0"/>
        <charset val="1"/>
      </rPr>
      <t xml:space="preserve">28</t>
    </r>
  </si>
  <si>
    <t xml:space="preserve">31244516</t>
  </si>
  <si>
    <r>
      <rPr>
        <sz val="10"/>
        <rFont val="FreeSans"/>
        <family val="2"/>
      </rPr>
      <t xml:space="preserve">قفل زنجیر نیمه    نمره </t>
    </r>
    <r>
      <rPr>
        <sz val="10"/>
        <rFont val="Vazirmatn"/>
        <family val="0"/>
        <charset val="1"/>
      </rPr>
      <t xml:space="preserve">60</t>
    </r>
  </si>
  <si>
    <t xml:space="preserve">31244518</t>
  </si>
  <si>
    <r>
      <rPr>
        <sz val="10"/>
        <rFont val="FreeSans"/>
        <family val="2"/>
      </rPr>
      <t xml:space="preserve">قفل زنجیر نیمه   نمره </t>
    </r>
    <r>
      <rPr>
        <sz val="10"/>
        <rFont val="Vazirmatn"/>
        <family val="0"/>
        <charset val="1"/>
      </rPr>
      <t xml:space="preserve">100</t>
    </r>
  </si>
  <si>
    <t xml:space="preserve">31244519</t>
  </si>
  <si>
    <r>
      <rPr>
        <sz val="10"/>
        <rFont val="FreeSans"/>
        <family val="2"/>
      </rPr>
      <t xml:space="preserve">قفل زنجیر دوبل کامل   </t>
    </r>
    <r>
      <rPr>
        <sz val="10"/>
        <rFont val="Vazirmatn"/>
        <family val="0"/>
        <charset val="1"/>
      </rPr>
      <t xml:space="preserve">B 28</t>
    </r>
  </si>
  <si>
    <t xml:space="preserve">31244520</t>
  </si>
  <si>
    <r>
      <rPr>
        <sz val="10"/>
        <rFont val="FreeSans"/>
        <family val="2"/>
      </rPr>
      <t xml:space="preserve">قفل نیم زنجیر دوبل        </t>
    </r>
    <r>
      <rPr>
        <sz val="10"/>
        <rFont val="Vazirmatn"/>
        <family val="0"/>
        <charset val="1"/>
      </rPr>
      <t xml:space="preserve">B 28</t>
    </r>
  </si>
  <si>
    <t xml:space="preserve">31244523</t>
  </si>
  <si>
    <r>
      <rPr>
        <sz val="10"/>
        <rFont val="FreeSans"/>
        <family val="2"/>
      </rPr>
      <t xml:space="preserve">قفل نیم  زنجیر تک ردیفه   </t>
    </r>
    <r>
      <rPr>
        <sz val="10"/>
        <rFont val="Vazirmatn"/>
        <family val="0"/>
        <charset val="1"/>
      </rPr>
      <t xml:space="preserve">B  28</t>
    </r>
  </si>
  <si>
    <t xml:space="preserve">31244526</t>
  </si>
  <si>
    <r>
      <rPr>
        <sz val="10"/>
        <rFont val="FreeSans"/>
        <family val="2"/>
      </rPr>
      <t xml:space="preserve">نیم قفل زنجیر دوبل کامل نمره </t>
    </r>
    <r>
      <rPr>
        <sz val="10"/>
        <rFont val="Vazirmatn"/>
        <family val="0"/>
        <charset val="1"/>
      </rPr>
      <t xml:space="preserve">80</t>
    </r>
  </si>
  <si>
    <t xml:space="preserve">31244527</t>
  </si>
  <si>
    <r>
      <rPr>
        <sz val="10"/>
        <rFont val="FreeSans"/>
        <family val="2"/>
      </rPr>
      <t xml:space="preserve">قفل زنجیر دوبل کامل نمره </t>
    </r>
    <r>
      <rPr>
        <sz val="10"/>
        <rFont val="Vazirmatn"/>
        <family val="0"/>
        <charset val="1"/>
      </rPr>
      <t xml:space="preserve">100</t>
    </r>
  </si>
  <si>
    <t xml:space="preserve">31244549</t>
  </si>
  <si>
    <r>
      <rPr>
        <sz val="10"/>
        <rFont val="FreeSans"/>
        <family val="2"/>
      </rPr>
      <t xml:space="preserve">قفل زنجیر                  </t>
    </r>
    <r>
      <rPr>
        <sz val="10"/>
        <rFont val="Vazirmatn"/>
        <family val="0"/>
        <charset val="1"/>
      </rPr>
      <t xml:space="preserve">100</t>
    </r>
  </si>
  <si>
    <t xml:space="preserve">31247102</t>
  </si>
  <si>
    <t xml:space="preserve">پایه نازل اواپراتور</t>
  </si>
  <si>
    <t xml:space="preserve">31247103</t>
  </si>
  <si>
    <t xml:space="preserve">پایه قلاب برش فلزی نخ</t>
  </si>
  <si>
    <t xml:space="preserve">31247106</t>
  </si>
  <si>
    <t xml:space="preserve">پایه نازل درام</t>
  </si>
  <si>
    <t xml:space="preserve">31247107</t>
  </si>
  <si>
    <t xml:space="preserve">پایه موتور لرزه گیرلاستیکی</t>
  </si>
  <si>
    <t xml:space="preserve">31247112</t>
  </si>
  <si>
    <r>
      <rPr>
        <sz val="10"/>
        <rFont val="FreeSans"/>
        <family val="2"/>
      </rPr>
      <t xml:space="preserve">پایه موتور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لرزه گیر لاستیکی </t>
    </r>
    <r>
      <rPr>
        <sz val="10"/>
        <rFont val="Vazirmatn"/>
        <family val="0"/>
        <charset val="1"/>
      </rPr>
      <t xml:space="preserve">)   mm16</t>
    </r>
  </si>
  <si>
    <t xml:space="preserve">31247115</t>
  </si>
  <si>
    <r>
      <rPr>
        <sz val="10"/>
        <rFont val="FreeSans"/>
        <family val="2"/>
      </rPr>
      <t xml:space="preserve">پایه چپ الکتروموتور  </t>
    </r>
    <r>
      <rPr>
        <sz val="10"/>
        <rFont val="Vazirmatn"/>
        <family val="0"/>
        <charset val="1"/>
      </rPr>
      <t xml:space="preserve">30KW 3000RPM</t>
    </r>
  </si>
  <si>
    <t xml:space="preserve">31247116</t>
  </si>
  <si>
    <r>
      <rPr>
        <sz val="10"/>
        <rFont val="FreeSans"/>
        <family val="2"/>
      </rPr>
      <t xml:space="preserve">پایه راست الکتروموتور  </t>
    </r>
    <r>
      <rPr>
        <sz val="10"/>
        <rFont val="Vazirmatn"/>
        <family val="0"/>
        <charset val="1"/>
      </rPr>
      <t xml:space="preserve">30KW 3000RPM</t>
    </r>
  </si>
  <si>
    <t xml:space="preserve">31247117</t>
  </si>
  <si>
    <r>
      <rPr>
        <sz val="10"/>
        <rFont val="FreeSans"/>
        <family val="2"/>
      </rPr>
      <t xml:space="preserve">پایه نازل  </t>
    </r>
    <r>
      <rPr>
        <sz val="10"/>
        <rFont val="Vazirmatn"/>
        <family val="0"/>
        <charset val="1"/>
      </rPr>
      <t xml:space="preserve">ME 0366</t>
    </r>
  </si>
  <si>
    <t xml:space="preserve">31247119</t>
  </si>
  <si>
    <r>
      <rPr>
        <sz val="10"/>
        <rFont val="FreeSans"/>
        <family val="2"/>
      </rPr>
      <t xml:space="preserve">نگهدارنده لوله اگزوز  </t>
    </r>
    <r>
      <rPr>
        <sz val="10"/>
        <rFont val="Vazirmatn"/>
        <family val="0"/>
        <charset val="1"/>
      </rPr>
      <t xml:space="preserve">9430221</t>
    </r>
  </si>
  <si>
    <t xml:space="preserve">31247120</t>
  </si>
  <si>
    <t xml:space="preserve">پایه موتور مینی بوس</t>
  </si>
  <si>
    <t xml:space="preserve">31247121</t>
  </si>
  <si>
    <t xml:space="preserve">پایه موتور لاستیکی</t>
  </si>
  <si>
    <t xml:space="preserve">31247123</t>
  </si>
  <si>
    <r>
      <rPr>
        <sz val="10"/>
        <rFont val="FreeSans"/>
        <family val="2"/>
      </rPr>
      <t xml:space="preserve">لاستیک قطع و وصل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رابط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بسته بندی نشاسته</t>
    </r>
  </si>
  <si>
    <t xml:space="preserve">31247124</t>
  </si>
  <si>
    <t xml:space="preserve">لاستیک رابط چهار شاخ مونو پمپ</t>
  </si>
  <si>
    <t xml:space="preserve">31247127</t>
  </si>
  <si>
    <t xml:space="preserve">پایه قلاب ماکو</t>
  </si>
  <si>
    <t xml:space="preserve">31247128</t>
  </si>
  <si>
    <r>
      <rPr>
        <sz val="10"/>
        <rFont val="FreeSans"/>
        <family val="2"/>
      </rPr>
      <t xml:space="preserve">پایه نگهدارنده گل پخش کن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</si>
  <si>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31247130</t>
  </si>
  <si>
    <r>
      <rPr>
        <sz val="10"/>
        <rFont val="FreeSans"/>
        <family val="2"/>
      </rPr>
      <t xml:space="preserve">پایه اکسپنشن ولو مهره ای دانفوس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به </t>
    </r>
    <r>
      <rPr>
        <sz val="10"/>
        <rFont val="Vazirmatn"/>
        <family val="0"/>
        <charset val="1"/>
      </rPr>
      <t xml:space="preserve">" 5/8 ( TE 5 )</t>
    </r>
  </si>
  <si>
    <t xml:space="preserve">31247151</t>
  </si>
  <si>
    <r>
      <rPr>
        <sz val="10"/>
        <rFont val="FreeSans"/>
        <family val="2"/>
      </rPr>
      <t xml:space="preserve">پایه الکترو موتور       </t>
    </r>
    <r>
      <rPr>
        <sz val="10"/>
        <rFont val="Vazirmatn"/>
        <family val="0"/>
        <charset val="1"/>
      </rPr>
      <t xml:space="preserve">45KW</t>
    </r>
  </si>
  <si>
    <t xml:space="preserve">31247200</t>
  </si>
  <si>
    <t xml:space="preserve">لینت ثابت دستگاه تراش</t>
  </si>
  <si>
    <t xml:space="preserve">31247201</t>
  </si>
  <si>
    <t xml:space="preserve">لینت متحرک دستگاه تراش</t>
  </si>
  <si>
    <t xml:space="preserve">31247252</t>
  </si>
  <si>
    <t xml:space="preserve">قرقره ریلی درب کشوئی</t>
  </si>
  <si>
    <t xml:space="preserve">31247254</t>
  </si>
  <si>
    <t xml:space="preserve">قرقره  آهنی</t>
  </si>
  <si>
    <t xml:space="preserve">31247256</t>
  </si>
  <si>
    <t xml:space="preserve">قرقره استیل</t>
  </si>
  <si>
    <t xml:space="preserve">31247257</t>
  </si>
  <si>
    <t xml:space="preserve">قرقره آهنی</t>
  </si>
  <si>
    <t xml:space="preserve">31247302</t>
  </si>
  <si>
    <r>
      <rPr>
        <sz val="10"/>
        <rFont val="FreeSans"/>
        <family val="2"/>
      </rPr>
      <t xml:space="preserve">غلطک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رولیک</t>
    </r>
    <r>
      <rPr>
        <sz val="10"/>
        <rFont val="Vazirmatn"/>
        <family val="0"/>
        <charset val="1"/>
      </rPr>
      <t xml:space="preserve">)       50cm</t>
    </r>
  </si>
  <si>
    <t xml:space="preserve">31247303</t>
  </si>
  <si>
    <r>
      <rPr>
        <sz val="10"/>
        <rFont val="FreeSans"/>
        <family val="2"/>
      </rPr>
      <t xml:space="preserve">غلطک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رولیک</t>
    </r>
    <r>
      <rPr>
        <sz val="10"/>
        <rFont val="Vazirmatn"/>
        <family val="0"/>
        <charset val="1"/>
      </rPr>
      <t xml:space="preserve">)       20cm</t>
    </r>
  </si>
  <si>
    <t xml:space="preserve">31247304</t>
  </si>
  <si>
    <r>
      <rPr>
        <sz val="10"/>
        <rFont val="FreeSans"/>
        <family val="2"/>
      </rPr>
      <t xml:space="preserve">غلطک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رولیک</t>
    </r>
    <r>
      <rPr>
        <sz val="10"/>
        <rFont val="Vazirmatn"/>
        <family val="0"/>
        <charset val="1"/>
      </rPr>
      <t xml:space="preserve">)      25cm</t>
    </r>
  </si>
  <si>
    <t xml:space="preserve">31247307</t>
  </si>
  <si>
    <t xml:space="preserve">غلطک  بزرگ</t>
  </si>
  <si>
    <t xml:space="preserve">31247308</t>
  </si>
  <si>
    <r>
      <rPr>
        <sz val="10"/>
        <rFont val="FreeSans"/>
        <family val="2"/>
      </rPr>
      <t xml:space="preserve">غلطک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رولیک </t>
    </r>
    <r>
      <rPr>
        <sz val="10"/>
        <rFont val="Vazirmatn"/>
        <family val="0"/>
        <charset val="1"/>
      </rPr>
      <t xml:space="preserve">)  60cm</t>
    </r>
  </si>
  <si>
    <t xml:space="preserve">31247310</t>
  </si>
  <si>
    <r>
      <rPr>
        <sz val="10"/>
        <rFont val="FreeSans"/>
        <family val="2"/>
      </rPr>
      <t xml:space="preserve">غلطک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رولیک</t>
    </r>
    <r>
      <rPr>
        <sz val="10"/>
        <rFont val="Vazirmatn"/>
        <family val="0"/>
        <charset val="1"/>
      </rPr>
      <t xml:space="preserve">)        100CMM</t>
    </r>
  </si>
  <si>
    <t xml:space="preserve">31247314</t>
  </si>
  <si>
    <r>
      <rPr>
        <sz val="10"/>
        <rFont val="FreeSans"/>
        <family val="2"/>
      </rPr>
      <t xml:space="preserve">غلطک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رولیک</t>
    </r>
    <r>
      <rPr>
        <sz val="10"/>
        <rFont val="Vazirmatn"/>
        <family val="0"/>
        <charset val="1"/>
      </rPr>
      <t xml:space="preserve">) 70cm</t>
    </r>
  </si>
  <si>
    <t xml:space="preserve">31247319</t>
  </si>
  <si>
    <r>
      <rPr>
        <sz val="10"/>
        <rFont val="FreeSans"/>
        <family val="2"/>
      </rPr>
      <t xml:space="preserve">غلطک  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رولیک</t>
    </r>
    <r>
      <rPr>
        <sz val="10"/>
        <rFont val="Vazirmatn"/>
        <family val="0"/>
        <charset val="1"/>
      </rPr>
      <t xml:space="preserve">)    30cm</t>
    </r>
  </si>
  <si>
    <t xml:space="preserve">31247323</t>
  </si>
  <si>
    <t xml:space="preserve">غلطک کانوایر سیلو</t>
  </si>
  <si>
    <t xml:space="preserve">31247324</t>
  </si>
  <si>
    <t xml:space="preserve">طبلک نوار نقاله زیر اتاقک سیلو</t>
  </si>
  <si>
    <t xml:space="preserve">31247325</t>
  </si>
  <si>
    <t xml:space="preserve">غلطک نوار نقاله زیر اتاقک سیلو</t>
  </si>
  <si>
    <t xml:space="preserve">31247326</t>
  </si>
  <si>
    <t xml:space="preserve">غلطک بالابر</t>
  </si>
  <si>
    <t xml:space="preserve">31247328</t>
  </si>
  <si>
    <r>
      <rPr>
        <sz val="10"/>
        <rFont val="FreeSans"/>
        <family val="2"/>
      </rPr>
      <t xml:space="preserve">غلطک درب ریلی آهنی </t>
    </r>
    <r>
      <rPr>
        <sz val="10"/>
        <rFont val="Vazirmatn"/>
        <family val="0"/>
        <charset val="1"/>
      </rPr>
      <t xml:space="preserve">10*3</t>
    </r>
  </si>
  <si>
    <t xml:space="preserve">31247400</t>
  </si>
  <si>
    <t xml:space="preserve">هلیس دنده حلزونی</t>
  </si>
  <si>
    <t xml:space="preserve">31247411</t>
  </si>
  <si>
    <t xml:space="preserve">هلیس استیل گلوتن</t>
  </si>
  <si>
    <t xml:space="preserve">31247415</t>
  </si>
  <si>
    <r>
      <rPr>
        <sz val="10"/>
        <rFont val="FreeSans"/>
        <family val="2"/>
      </rPr>
      <t xml:space="preserve">هلیس تغذیه هاپر  </t>
    </r>
    <r>
      <rPr>
        <sz val="10"/>
        <rFont val="Vazirmatn"/>
        <family val="0"/>
        <charset val="1"/>
      </rPr>
      <t xml:space="preserve">D300*2000,N=60RPM</t>
    </r>
  </si>
  <si>
    <t xml:space="preserve">31247827</t>
  </si>
  <si>
    <r>
      <rPr>
        <sz val="10"/>
        <rFont val="FreeSans"/>
        <family val="2"/>
      </rPr>
      <t xml:space="preserve">رابط چهار شاخ گاردان منو پمپ فرکتوز     </t>
    </r>
    <r>
      <rPr>
        <sz val="10"/>
        <rFont val="Vazirmatn"/>
        <family val="0"/>
        <charset val="1"/>
      </rPr>
      <t xml:space="preserve">GF 85</t>
    </r>
  </si>
  <si>
    <t xml:space="preserve">31247828</t>
  </si>
  <si>
    <r>
      <rPr>
        <sz val="10"/>
        <rFont val="FreeSans"/>
        <family val="2"/>
      </rPr>
      <t xml:space="preserve">لاستیک رابط منو پمپ </t>
    </r>
    <r>
      <rPr>
        <sz val="10"/>
        <rFont val="Vazirmatn"/>
        <family val="0"/>
        <charset val="1"/>
      </rPr>
      <t xml:space="preserve">QC </t>
    </r>
    <r>
      <rPr>
        <sz val="10"/>
        <rFont val="FreeSans"/>
        <family val="2"/>
      </rPr>
      <t xml:space="preserve">فروکتوز</t>
    </r>
  </si>
  <si>
    <t xml:space="preserve">31247830</t>
  </si>
  <si>
    <r>
      <rPr>
        <sz val="10"/>
        <rFont val="FreeSans"/>
        <family val="2"/>
      </rPr>
      <t xml:space="preserve">رابط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آداپتور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اتصال اکچویتور به شیر پروانه ای</t>
    </r>
  </si>
  <si>
    <t xml:space="preserve">31247831</t>
  </si>
  <si>
    <r>
      <rPr>
        <sz val="10"/>
        <rFont val="FreeSans"/>
        <family val="2"/>
      </rPr>
      <t xml:space="preserve">رابط اکچویتر به شیر توپی </t>
    </r>
    <r>
      <rPr>
        <sz val="10"/>
        <rFont val="Vazirmatn"/>
        <family val="0"/>
        <charset val="1"/>
      </rPr>
      <t xml:space="preserve">Kitz</t>
    </r>
  </si>
  <si>
    <t xml:space="preserve">31247834</t>
  </si>
  <si>
    <r>
      <rPr>
        <sz val="10"/>
        <rFont val="FreeSans"/>
        <family val="2"/>
      </rPr>
      <t xml:space="preserve">رابط نیپل فنری گالوانیزه رادیاتور </t>
    </r>
    <r>
      <rPr>
        <sz val="10"/>
        <rFont val="Vazirmatn"/>
        <family val="0"/>
        <charset val="1"/>
      </rPr>
      <t xml:space="preserve">" 1/2 ( 6Cm )</t>
    </r>
  </si>
  <si>
    <t xml:space="preserve">31247835</t>
  </si>
  <si>
    <t xml:space="preserve">رابط شیر توپی جورج فیشر</t>
  </si>
  <si>
    <t xml:space="preserve">31250001</t>
  </si>
  <si>
    <t xml:space="preserve">GASKET    0007 - 2643 - 630</t>
  </si>
  <si>
    <t xml:space="preserve">31250002</t>
  </si>
  <si>
    <t xml:space="preserve">GASKET    0007 - 2868 - 390</t>
  </si>
  <si>
    <t xml:space="preserve">31250004</t>
  </si>
  <si>
    <t xml:space="preserve">GASKET    0007 - 2929 - 600</t>
  </si>
  <si>
    <t xml:space="preserve">31250005</t>
  </si>
  <si>
    <t xml:space="preserve">GASKET    0007 - 2617 - 600</t>
  </si>
  <si>
    <t xml:space="preserve">31250006</t>
  </si>
  <si>
    <t xml:space="preserve">GASKET    3296 - 1277 - 000</t>
  </si>
  <si>
    <t xml:space="preserve">31250008</t>
  </si>
  <si>
    <t xml:space="preserve">GASKET   0004 -1918 - 550</t>
  </si>
  <si>
    <t xml:space="preserve">31250009</t>
  </si>
  <si>
    <t xml:space="preserve">GASKET   0004 -2108 - 760</t>
  </si>
  <si>
    <t xml:space="preserve">31250010</t>
  </si>
  <si>
    <t xml:space="preserve">GASKET   0007 -2508 - 750</t>
  </si>
  <si>
    <t xml:space="preserve">31250011</t>
  </si>
  <si>
    <t xml:space="preserve">GASKET   0004 -5266 - 550</t>
  </si>
  <si>
    <t xml:space="preserve">31250012</t>
  </si>
  <si>
    <t xml:space="preserve">GASKET   0007 - 2099 -850</t>
  </si>
  <si>
    <t xml:space="preserve">31250013</t>
  </si>
  <si>
    <t xml:space="preserve">GASKET   0007 - 3286 - 390</t>
  </si>
  <si>
    <t xml:space="preserve">31250014</t>
  </si>
  <si>
    <t xml:space="preserve">GASKET   0007 - 2575 - 390</t>
  </si>
  <si>
    <t xml:space="preserve">31250015</t>
  </si>
  <si>
    <t xml:space="preserve">GASKET   0007 - 2608 - 750</t>
  </si>
  <si>
    <t xml:space="preserve">31250016</t>
  </si>
  <si>
    <t xml:space="preserve">GASKET  3296 - 3265 - 000</t>
  </si>
  <si>
    <t xml:space="preserve">31250017</t>
  </si>
  <si>
    <t xml:space="preserve">GASKET  0007 - 2987 - 750</t>
  </si>
  <si>
    <t xml:space="preserve">31250018</t>
  </si>
  <si>
    <t xml:space="preserve">GASKET  0007 - 1929- 750</t>
  </si>
  <si>
    <t xml:space="preserve">31250020</t>
  </si>
  <si>
    <t xml:space="preserve">GASKET  0007 - 2613 - 390</t>
  </si>
  <si>
    <t xml:space="preserve">31250021</t>
  </si>
  <si>
    <t xml:space="preserve">GASKET  0004 - 2232 - 780</t>
  </si>
  <si>
    <t xml:space="preserve">31250022</t>
  </si>
  <si>
    <t xml:space="preserve">GASKET   0007 - 2987 - 750</t>
  </si>
  <si>
    <t xml:space="preserve">31250023</t>
  </si>
  <si>
    <t xml:space="preserve">GASKET   0007 - 2566 - 600</t>
  </si>
  <si>
    <t xml:space="preserve">31250024</t>
  </si>
  <si>
    <t xml:space="preserve">GASKET   0004 -2485 -780</t>
  </si>
  <si>
    <t xml:space="preserve">31250025</t>
  </si>
  <si>
    <t xml:space="preserve">GASKET   0007 - 1693 - 390</t>
  </si>
  <si>
    <t xml:space="preserve">31250027</t>
  </si>
  <si>
    <t xml:space="preserve">GASKET   0007 - 1914 - 390</t>
  </si>
  <si>
    <t xml:space="preserve">31250028</t>
  </si>
  <si>
    <t xml:space="preserve">GASKET   0004 - 2842 - 780</t>
  </si>
  <si>
    <t xml:space="preserve">31250029</t>
  </si>
  <si>
    <t xml:space="preserve">GASKET   0007 - 1997 - 390</t>
  </si>
  <si>
    <t xml:space="preserve">31250030</t>
  </si>
  <si>
    <t xml:space="preserve">GASKET   0007 - 1860 - 390</t>
  </si>
  <si>
    <t xml:space="preserve">31250031</t>
  </si>
  <si>
    <t xml:space="preserve">GASKET   0007 - 1958 - 390</t>
  </si>
  <si>
    <t xml:space="preserve">31250032</t>
  </si>
  <si>
    <t xml:space="preserve">GASKET   0007 - 3029 - 390</t>
  </si>
  <si>
    <t xml:space="preserve">31250033</t>
  </si>
  <si>
    <t xml:space="preserve">GASKET   0007 - 2872 - 600</t>
  </si>
  <si>
    <t xml:space="preserve">31250034</t>
  </si>
  <si>
    <t xml:space="preserve">GASKET   0007 - 1988 - 390</t>
  </si>
  <si>
    <t xml:space="preserve">31250035</t>
  </si>
  <si>
    <t xml:space="preserve">GASKET   0007 - 2035 - 390</t>
  </si>
  <si>
    <t xml:space="preserve">31250036</t>
  </si>
  <si>
    <t xml:space="preserve">GASKET   0007 - 3590 - 600</t>
  </si>
  <si>
    <t xml:space="preserve">31250037</t>
  </si>
  <si>
    <t xml:space="preserve">GASKET   0007 -3544 - 390</t>
  </si>
  <si>
    <t xml:space="preserve">31250038</t>
  </si>
  <si>
    <t xml:space="preserve">GASKET   0007 - 2993 - 600</t>
  </si>
  <si>
    <t xml:space="preserve">31250039</t>
  </si>
  <si>
    <t xml:space="preserve">GASKET   0007 -1861 - 390</t>
  </si>
  <si>
    <t xml:space="preserve">31250040</t>
  </si>
  <si>
    <t xml:space="preserve">GASKET   0007 -1974 - 390</t>
  </si>
  <si>
    <t xml:space="preserve">31250041</t>
  </si>
  <si>
    <t xml:space="preserve">GASKET   0007 - 3652 - 390</t>
  </si>
  <si>
    <t xml:space="preserve">31250042</t>
  </si>
  <si>
    <t xml:space="preserve">GASKET   0007 - 1943 - 390</t>
  </si>
  <si>
    <t xml:space="preserve">31250043</t>
  </si>
  <si>
    <t xml:space="preserve">GASKET   0007 - 2940 - 390</t>
  </si>
  <si>
    <t xml:space="preserve">31250044</t>
  </si>
  <si>
    <t xml:space="preserve">NOZZLE , COMPL ( size : 2.1 mm ) 3298 - 6710 - 060</t>
  </si>
  <si>
    <t xml:space="preserve">31250045</t>
  </si>
  <si>
    <t xml:space="preserve">NOZZLE , COMPL ( size : 2.3 mm ) 3298 - 6710 - 080</t>
  </si>
  <si>
    <t xml:space="preserve">31250046</t>
  </si>
  <si>
    <r>
      <rPr>
        <sz val="10"/>
        <rFont val="FreeSans"/>
        <family val="2"/>
      </rPr>
      <t xml:space="preserve">شیلنگ فشار قوی سپراتور  </t>
    </r>
    <r>
      <rPr>
        <sz val="10"/>
        <rFont val="Vazirmatn"/>
        <family val="0"/>
        <charset val="1"/>
      </rPr>
      <t xml:space="preserve">000 - 6627 - 0018</t>
    </r>
  </si>
  <si>
    <t xml:space="preserve">31250047</t>
  </si>
  <si>
    <r>
      <rPr>
        <sz val="10"/>
        <rFont val="FreeSans"/>
        <family val="2"/>
      </rPr>
      <t xml:space="preserve">شیلنگ فشار قوی سپراتور  </t>
    </r>
    <r>
      <rPr>
        <sz val="10"/>
        <rFont val="Vazirmatn"/>
        <family val="0"/>
        <charset val="1"/>
      </rPr>
      <t xml:space="preserve">000 - 5594 - 0018</t>
    </r>
  </si>
  <si>
    <t xml:space="preserve">31250048</t>
  </si>
  <si>
    <t xml:space="preserve">HIGH - PRESSURE HOSE , COMPL 0018 - 6939 - 000</t>
  </si>
  <si>
    <t xml:space="preserve">31250049</t>
  </si>
  <si>
    <r>
      <rPr>
        <sz val="10"/>
        <rFont val="FreeSans"/>
        <family val="2"/>
      </rPr>
      <t xml:space="preserve">شیلنگ فشار قوی سپراتور  </t>
    </r>
    <r>
      <rPr>
        <sz val="10"/>
        <rFont val="Vazirmatn"/>
        <family val="0"/>
        <charset val="1"/>
      </rPr>
      <t xml:space="preserve">000 - 6938 - 0018</t>
    </r>
  </si>
  <si>
    <t xml:space="preserve">31250050</t>
  </si>
  <si>
    <t xml:space="preserve">PACKING CORD  0004 - 2364 - 608</t>
  </si>
  <si>
    <t xml:space="preserve">31250051</t>
  </si>
  <si>
    <t xml:space="preserve">PACKING CORD  0004 - 2368 - 608</t>
  </si>
  <si>
    <t xml:space="preserve">31250052</t>
  </si>
  <si>
    <t xml:space="preserve">SLIDE - RING PAKING , COMPL 3296 - 2145 - 040</t>
  </si>
  <si>
    <t xml:space="preserve">31250053</t>
  </si>
  <si>
    <t xml:space="preserve">PRESSURE GAUGE   0001 - 0277 - 600</t>
  </si>
  <si>
    <t xml:space="preserve">31250055</t>
  </si>
  <si>
    <t xml:space="preserve">USIT RING 0004 - 2891 - 300</t>
  </si>
  <si>
    <t xml:space="preserve">31250056</t>
  </si>
  <si>
    <t xml:space="preserve">FLOW SWITCH 0005 - 1642 - 600</t>
  </si>
  <si>
    <t xml:space="preserve">31250057</t>
  </si>
  <si>
    <t xml:space="preserve">LOW - PRESSURE FILTER 0018 - 6030 - 000</t>
  </si>
  <si>
    <t xml:space="preserve">31250058</t>
  </si>
  <si>
    <t xml:space="preserve">TANGENTAL  BELT 0021 - 2687 - 900</t>
  </si>
  <si>
    <t xml:space="preserve">31250059</t>
  </si>
  <si>
    <t xml:space="preserve">PROXIMITY  SENSOR 0005 -3634 - 000</t>
  </si>
  <si>
    <t xml:space="preserve">31250060</t>
  </si>
  <si>
    <t xml:space="preserve">RUBBER - METAL  BUSH  0021 - 3372 - 750</t>
  </si>
  <si>
    <t xml:space="preserve">31250061</t>
  </si>
  <si>
    <t xml:space="preserve">RUBBER - METAL  CUSHION  0021 -3147 - 770</t>
  </si>
  <si>
    <t xml:space="preserve">31250062</t>
  </si>
  <si>
    <t xml:space="preserve">ANGULAR CONTACT BALL BERING 0011 - 7312 - 100</t>
  </si>
  <si>
    <t xml:space="preserve">31250063</t>
  </si>
  <si>
    <t xml:space="preserve">CYLINDRICAL ROLLER BERING 0011 - 2311 - 360</t>
  </si>
  <si>
    <t xml:space="preserve">31250065</t>
  </si>
  <si>
    <t xml:space="preserve">0018 - 4861 - 828  HOSE</t>
  </si>
  <si>
    <t xml:space="preserve">31250067</t>
  </si>
  <si>
    <t xml:space="preserve">SPEED MEASURING DEVISE  0005 - 1487 - 010</t>
  </si>
  <si>
    <t xml:space="preserve">31250069</t>
  </si>
  <si>
    <t xml:space="preserve">CENTRAL ASSEMBLY  0005 - 4050 - 820</t>
  </si>
  <si>
    <t xml:space="preserve">31250070</t>
  </si>
  <si>
    <t xml:space="preserve">RELAY  0005 - 4388 - 090</t>
  </si>
  <si>
    <t xml:space="preserve">31250071</t>
  </si>
  <si>
    <t xml:space="preserve">ANALOGUE INPUT MODULE  0005 - 4281 - 030</t>
  </si>
  <si>
    <t xml:space="preserve">31250073</t>
  </si>
  <si>
    <t xml:space="preserve">SET OF GASKETS  9990 - 0268 - 621</t>
  </si>
  <si>
    <t xml:space="preserve">31250074</t>
  </si>
  <si>
    <t xml:space="preserve">3/2WAY SOLENOID VALVE  0018 - 7664 - 410</t>
  </si>
  <si>
    <t xml:space="preserve">31250075</t>
  </si>
  <si>
    <t xml:space="preserve">VALVE ACTUATOR  9990 - 0268 - 633</t>
  </si>
  <si>
    <t xml:space="preserve">31250076</t>
  </si>
  <si>
    <t xml:space="preserve">PRESSURE GAUGE  9990 - 0239 - 085</t>
  </si>
  <si>
    <t xml:space="preserve">31250077</t>
  </si>
  <si>
    <t xml:space="preserve">SHUT OFF FLAP  9990 - 0257 - 905</t>
  </si>
  <si>
    <t xml:space="preserve">31250078</t>
  </si>
  <si>
    <t xml:space="preserve">SEAL  9990 - 0268 - 634</t>
  </si>
  <si>
    <t xml:space="preserve">31250079</t>
  </si>
  <si>
    <t xml:space="preserve">SET OF WEAR PARTS  9990 - 0204 - 672</t>
  </si>
  <si>
    <t xml:space="preserve">31250080</t>
  </si>
  <si>
    <t xml:space="preserve">POSITIONER  9990 - 0268 - 555</t>
  </si>
  <si>
    <t xml:space="preserve">31250081</t>
  </si>
  <si>
    <t xml:space="preserve">SHUT OF FLAP  9990 - 0257 - 817</t>
  </si>
  <si>
    <t xml:space="preserve">31250082</t>
  </si>
  <si>
    <t xml:space="preserve">SEAL  9990 - 0268 - 636</t>
  </si>
  <si>
    <t xml:space="preserve">31250083</t>
  </si>
  <si>
    <t xml:space="preserve">SET OF WEAR PARTS  9990 - 0204 - 677</t>
  </si>
  <si>
    <t xml:space="preserve">31250084</t>
  </si>
  <si>
    <t xml:space="preserve">LIMIT SWITCH  9990 - 0038 - 781</t>
  </si>
  <si>
    <t xml:space="preserve">31250085</t>
  </si>
  <si>
    <t xml:space="preserve">SEAL  9990 - 0268 -642</t>
  </si>
  <si>
    <t xml:space="preserve">31250086</t>
  </si>
  <si>
    <t xml:space="preserve">SEAL  9990 - 0268 -671</t>
  </si>
  <si>
    <t xml:space="preserve">31250087</t>
  </si>
  <si>
    <t xml:space="preserve">SET OF WEAR PART  9990 - 0204 -669</t>
  </si>
  <si>
    <t xml:space="preserve">31250088</t>
  </si>
  <si>
    <t xml:space="preserve">SHUT OFF FLAP  9990 - 0257- 906</t>
  </si>
  <si>
    <t xml:space="preserve">31250089</t>
  </si>
  <si>
    <t xml:space="preserve">VALVE ACTUATOR  9990 - 0268 - 693</t>
  </si>
  <si>
    <t xml:space="preserve">31250090</t>
  </si>
  <si>
    <t xml:space="preserve">SHUT OFF FLAP  9990 - 0257 - 911</t>
  </si>
  <si>
    <t xml:space="preserve">31250091</t>
  </si>
  <si>
    <t xml:space="preserve">SEAL  9990 - 0268 - 696</t>
  </si>
  <si>
    <t xml:space="preserve">31250092</t>
  </si>
  <si>
    <t xml:space="preserve">PRESSURE REDUCER  9990 - 0254 - 909</t>
  </si>
  <si>
    <t xml:space="preserve">31250095</t>
  </si>
  <si>
    <t xml:space="preserve">BRUSH SHAFT , WELDED  8009 - 7620 - 000</t>
  </si>
  <si>
    <t xml:space="preserve">31250096</t>
  </si>
  <si>
    <t xml:space="preserve">PACKING CORD  0004 - 3327 - 310</t>
  </si>
  <si>
    <t xml:space="preserve">31250097</t>
  </si>
  <si>
    <t xml:space="preserve">GEAR MOTOR  5988 - 4015 - 109</t>
  </si>
  <si>
    <t xml:space="preserve">31250098</t>
  </si>
  <si>
    <t xml:space="preserve">BRUSH COMPL  8009 - 7895 - 100</t>
  </si>
  <si>
    <t xml:space="preserve">31250099</t>
  </si>
  <si>
    <t xml:space="preserve">SPRING DOWL SLEEVE  0026 - 0303 - 300</t>
  </si>
  <si>
    <t xml:space="preserve">31250100</t>
  </si>
  <si>
    <t xml:space="preserve">SPRING DOWL SLEEVE  0026 - 0302 - 300</t>
  </si>
  <si>
    <t xml:space="preserve">31250101</t>
  </si>
  <si>
    <t xml:space="preserve">GASKET  0007 - 3399 - 600</t>
  </si>
  <si>
    <t xml:space="preserve">31250102</t>
  </si>
  <si>
    <t xml:space="preserve">WEAR INSERT  8002 - 7453 - 030</t>
  </si>
  <si>
    <t xml:space="preserve">31250103</t>
  </si>
  <si>
    <t xml:space="preserve">MAGNETIC INDUCTIVE FLOWMETER  0001 - 1500 - 000</t>
  </si>
  <si>
    <t xml:space="preserve">31250104</t>
  </si>
  <si>
    <t xml:space="preserve">MAGNETIC INDUCTIVE FLOWMETER  0001 - 1496 - 000</t>
  </si>
  <si>
    <t xml:space="preserve">31250105</t>
  </si>
  <si>
    <t xml:space="preserve">MAGNETIC INDUCTIVE FLOWMETER  0001 - 1499 - 000</t>
  </si>
  <si>
    <t xml:space="preserve">31250106</t>
  </si>
  <si>
    <t xml:space="preserve">PRESSURE MONHTOR COMPL  9990 - 0254 - 877</t>
  </si>
  <si>
    <t xml:space="preserve">31250107</t>
  </si>
  <si>
    <t xml:space="preserve">GEAR PUMP UNIT WITH OIL TANK , CPL  3296 - 3248 - 000</t>
  </si>
  <si>
    <t xml:space="preserve">31250108</t>
  </si>
  <si>
    <t xml:space="preserve">THREE - PHASE AC MOTOR  5890 - 5503 -739</t>
  </si>
  <si>
    <t xml:space="preserve">31250109</t>
  </si>
  <si>
    <t xml:space="preserve">FLOAT SWITCH 0005 - 4183 - 000</t>
  </si>
  <si>
    <t xml:space="preserve">31250110</t>
  </si>
  <si>
    <t xml:space="preserve">COUPLING SLEEVE 3257 - 3424- 000</t>
  </si>
  <si>
    <t xml:space="preserve">31250113</t>
  </si>
  <si>
    <t xml:space="preserve">COVER 3296 - 1457 - 000</t>
  </si>
  <si>
    <t xml:space="preserve">31250114</t>
  </si>
  <si>
    <t xml:space="preserve">HOUSING 3296 - 1460 - 020</t>
  </si>
  <si>
    <t xml:space="preserve">31250115</t>
  </si>
  <si>
    <t xml:space="preserve">SCREW 3296 - 1161 - 000</t>
  </si>
  <si>
    <t xml:space="preserve">31250116</t>
  </si>
  <si>
    <t xml:space="preserve">INLET TUBE , WELDED 3298 - 2246 - 030</t>
  </si>
  <si>
    <t xml:space="preserve">31250122</t>
  </si>
  <si>
    <r>
      <rPr>
        <sz val="10"/>
        <rFont val="FreeSans"/>
        <family val="2"/>
      </rPr>
      <t xml:space="preserve">فلومتر مکانیکی روغن سپراتور   </t>
    </r>
    <r>
      <rPr>
        <sz val="10"/>
        <rFont val="Vazirmatn"/>
        <family val="0"/>
        <charset val="1"/>
      </rPr>
      <t xml:space="preserve">100 - 1702 - 0001</t>
    </r>
  </si>
  <si>
    <t xml:space="preserve">31250123</t>
  </si>
  <si>
    <t xml:space="preserve">SPINDEL   3296 - 3410 - 020</t>
  </si>
  <si>
    <t xml:space="preserve">31250124</t>
  </si>
  <si>
    <t xml:space="preserve">NOZZLE , COMPL  3384 - 6710 - 110</t>
  </si>
  <si>
    <t xml:space="preserve">31250126</t>
  </si>
  <si>
    <t xml:space="preserve">USIT RING  0004 - 3372 - 520</t>
  </si>
  <si>
    <t xml:space="preserve">31250128</t>
  </si>
  <si>
    <t xml:space="preserve">SHRINKAGE DISK SPLIT   0026 - 2396 - 008</t>
  </si>
  <si>
    <t xml:space="preserve">31250133</t>
  </si>
  <si>
    <r>
      <rPr>
        <sz val="10"/>
        <rFont val="FreeSans"/>
        <family val="2"/>
      </rPr>
      <t xml:space="preserve">شیلنگ هیدرولیک روغن </t>
    </r>
    <r>
      <rPr>
        <sz val="10"/>
        <rFont val="Vazirmatn"/>
        <family val="0"/>
        <charset val="1"/>
      </rPr>
      <t xml:space="preserve">"1/2  000 - 6941 - 0018</t>
    </r>
  </si>
  <si>
    <t xml:space="preserve">31250134</t>
  </si>
  <si>
    <t xml:space="preserve">NECK BEARING COVER   0008 - 7517 - 420</t>
  </si>
  <si>
    <t xml:space="preserve">31250137</t>
  </si>
  <si>
    <t xml:space="preserve">SPACER SLEEVE  3296 - 3356 - 020</t>
  </si>
  <si>
    <t xml:space="preserve">31250138</t>
  </si>
  <si>
    <r>
      <rPr>
        <sz val="10"/>
        <rFont val="FreeSans"/>
        <family val="2"/>
      </rPr>
      <t xml:space="preserve">رینگ سپراتور  </t>
    </r>
    <r>
      <rPr>
        <sz val="10"/>
        <rFont val="Vazirmatn"/>
        <family val="0"/>
        <charset val="1"/>
      </rPr>
      <t xml:space="preserve">020 - 3419 - 3391</t>
    </r>
  </si>
  <si>
    <t xml:space="preserve">31250141</t>
  </si>
  <si>
    <t xml:space="preserve">GEAR PUMP UNIT WITH OIL TANK   3296 - 3248 - 020</t>
  </si>
  <si>
    <t xml:space="preserve">31250142</t>
  </si>
  <si>
    <r>
      <rPr>
        <sz val="10"/>
        <rFont val="FreeSans"/>
        <family val="2"/>
      </rPr>
      <t xml:space="preserve">پیچ شفت اصلی سپراتور   </t>
    </r>
    <r>
      <rPr>
        <sz val="10"/>
        <rFont val="Vazirmatn"/>
        <family val="0"/>
        <charset val="1"/>
      </rPr>
      <t xml:space="preserve">360 - 1813 - 0019</t>
    </r>
  </si>
  <si>
    <t xml:space="preserve">31250143</t>
  </si>
  <si>
    <r>
      <rPr>
        <sz val="10"/>
        <rFont val="FreeSans"/>
        <family val="2"/>
      </rPr>
      <t xml:space="preserve">شیلنگ  سپراتور  </t>
    </r>
    <r>
      <rPr>
        <sz val="10"/>
        <rFont val="Vazirmatn"/>
        <family val="0"/>
        <charset val="1"/>
      </rPr>
      <t xml:space="preserve">828-4861-0018</t>
    </r>
  </si>
  <si>
    <t xml:space="preserve">31250145</t>
  </si>
  <si>
    <r>
      <rPr>
        <sz val="10"/>
        <rFont val="FreeSans"/>
        <family val="2"/>
      </rPr>
      <t xml:space="preserve">مهره سپراتور  </t>
    </r>
    <r>
      <rPr>
        <sz val="10"/>
        <rFont val="Vazirmatn"/>
        <family val="0"/>
        <charset val="1"/>
      </rPr>
      <t xml:space="preserve">400-0007-0013</t>
    </r>
  </si>
  <si>
    <t xml:space="preserve">31250146</t>
  </si>
  <si>
    <r>
      <rPr>
        <sz val="10"/>
        <rFont val="FreeSans"/>
        <family val="2"/>
      </rPr>
      <t xml:space="preserve">لوله سپراتور  </t>
    </r>
    <r>
      <rPr>
        <sz val="10"/>
        <rFont val="Vazirmatn"/>
        <family val="0"/>
        <charset val="1"/>
      </rPr>
      <t xml:space="preserve">010-6700-3391</t>
    </r>
  </si>
  <si>
    <t xml:space="preserve">31250147</t>
  </si>
  <si>
    <r>
      <rPr>
        <sz val="10"/>
        <rFont val="FreeSans"/>
        <family val="2"/>
      </rPr>
      <t xml:space="preserve">بوشن سپراتور  </t>
    </r>
    <r>
      <rPr>
        <sz val="10"/>
        <rFont val="Vazirmatn"/>
        <family val="0"/>
        <charset val="1"/>
      </rPr>
      <t xml:space="preserve">400-7029-0018</t>
    </r>
  </si>
  <si>
    <t xml:space="preserve">31250148</t>
  </si>
  <si>
    <r>
      <rPr>
        <sz val="10"/>
        <rFont val="FreeSans"/>
        <family val="2"/>
      </rPr>
      <t xml:space="preserve">اورینگ سپراتور  </t>
    </r>
    <r>
      <rPr>
        <sz val="10"/>
        <rFont val="Vazirmatn"/>
        <family val="0"/>
        <charset val="1"/>
      </rPr>
      <t xml:space="preserve">600-2643-0007</t>
    </r>
  </si>
  <si>
    <t xml:space="preserve">31250149</t>
  </si>
  <si>
    <r>
      <rPr>
        <sz val="10"/>
        <rFont val="FreeSans"/>
        <family val="2"/>
      </rPr>
      <t xml:space="preserve">رینگ سپراتور  </t>
    </r>
    <r>
      <rPr>
        <sz val="10"/>
        <rFont val="Vazirmatn"/>
        <family val="0"/>
        <charset val="1"/>
      </rPr>
      <t xml:space="preserve">050-1157-3296</t>
    </r>
  </si>
  <si>
    <t xml:space="preserve">31250151</t>
  </si>
  <si>
    <t xml:space="preserve">GASKET   0007 - 2608- 750</t>
  </si>
  <si>
    <t xml:space="preserve">31250152</t>
  </si>
  <si>
    <t xml:space="preserve">GASKET    0007 - 2052 - 750</t>
  </si>
  <si>
    <t xml:space="preserve">31250153</t>
  </si>
  <si>
    <t xml:space="preserve">GASKET   0004 - 1918 - 550</t>
  </si>
  <si>
    <t xml:space="preserve">31250154</t>
  </si>
  <si>
    <t xml:space="preserve">GASKET   0004 - 2108 - 760</t>
  </si>
  <si>
    <t xml:space="preserve">31250155</t>
  </si>
  <si>
    <t xml:space="preserve">GASKET   0007 - 2508 - 750</t>
  </si>
  <si>
    <t xml:space="preserve">31250156</t>
  </si>
  <si>
    <t xml:space="preserve">GASKET   0004 - 5266 - 550</t>
  </si>
  <si>
    <t xml:space="preserve">31250157</t>
  </si>
  <si>
    <t xml:space="preserve">GASKET   0007 -2099 - 850</t>
  </si>
  <si>
    <t xml:space="preserve">31250158</t>
  </si>
  <si>
    <t xml:space="preserve">GASKET   0004 -2485 - 780</t>
  </si>
  <si>
    <t xml:space="preserve">31250159</t>
  </si>
  <si>
    <r>
      <rPr>
        <sz val="10"/>
        <rFont val="FreeSans"/>
        <family val="2"/>
      </rPr>
      <t xml:space="preserve">اورینگ سپراتور  </t>
    </r>
    <r>
      <rPr>
        <sz val="10"/>
        <rFont val="Vazirmatn"/>
        <family val="0"/>
        <charset val="1"/>
      </rPr>
      <t xml:space="preserve">600 - 1693 -0007</t>
    </r>
  </si>
  <si>
    <t xml:space="preserve">31250161</t>
  </si>
  <si>
    <t xml:space="preserve">GASKET   0007 -1914 - 390</t>
  </si>
  <si>
    <t xml:space="preserve">31250162</t>
  </si>
  <si>
    <t xml:space="preserve">GASKET   0007 - 1974 - 390</t>
  </si>
  <si>
    <t xml:space="preserve">31250163</t>
  </si>
  <si>
    <t xml:space="preserve">GASKET    0007 - 3652 - 390</t>
  </si>
  <si>
    <t xml:space="preserve">31250164</t>
  </si>
  <si>
    <t xml:space="preserve">GASKET   0007 -1943 - 390</t>
  </si>
  <si>
    <t xml:space="preserve">31250165</t>
  </si>
  <si>
    <t xml:space="preserve">GASKET    0007 - 2940 - 390</t>
  </si>
  <si>
    <t xml:space="preserve">31250166</t>
  </si>
  <si>
    <t xml:space="preserve">GASKET    0007 - 3286 - 390</t>
  </si>
  <si>
    <t xml:space="preserve">31250167</t>
  </si>
  <si>
    <t xml:space="preserve">GASKET   0007 -2575 - 390</t>
  </si>
  <si>
    <t xml:space="preserve">31250168</t>
  </si>
  <si>
    <t xml:space="preserve">GASKET   3296 - 3265 -000</t>
  </si>
  <si>
    <t xml:space="preserve">31250169</t>
  </si>
  <si>
    <t xml:space="preserve">GASKET    0007 - 2987 - 750</t>
  </si>
  <si>
    <t xml:space="preserve">31250170</t>
  </si>
  <si>
    <t xml:space="preserve">GASKET   0007 - 1929 - 750</t>
  </si>
  <si>
    <t xml:space="preserve">31250171</t>
  </si>
  <si>
    <t xml:space="preserve">GASKET   0004 -2842 - 780</t>
  </si>
  <si>
    <t xml:space="preserve">31250172</t>
  </si>
  <si>
    <t xml:space="preserve">GASKET   0007 -1997 - 390</t>
  </si>
  <si>
    <t xml:space="preserve">31250173</t>
  </si>
  <si>
    <t xml:space="preserve">GASKET      0007 -2868 - 390</t>
  </si>
  <si>
    <t xml:space="preserve">31250174</t>
  </si>
  <si>
    <t xml:space="preserve">GASKET   0007 - 2613 - 390</t>
  </si>
  <si>
    <t xml:space="preserve">31250175</t>
  </si>
  <si>
    <t xml:space="preserve">GASKET   0004 -2232 - 780</t>
  </si>
  <si>
    <t xml:space="preserve">31250176</t>
  </si>
  <si>
    <t xml:space="preserve">GASKET     0007 - 2987 - 750</t>
  </si>
  <si>
    <t xml:space="preserve">31250177</t>
  </si>
  <si>
    <t xml:space="preserve">GASKET   0007 -2566 - 600</t>
  </si>
  <si>
    <t xml:space="preserve">31250178</t>
  </si>
  <si>
    <t xml:space="preserve">GASKET    0007 - 1860 - 390</t>
  </si>
  <si>
    <t xml:space="preserve">31250179</t>
  </si>
  <si>
    <t xml:space="preserve">GASKET    0007 - 1958 - 390</t>
  </si>
  <si>
    <t xml:space="preserve">31250180</t>
  </si>
  <si>
    <t xml:space="preserve">GASKET    0007 - 3029 - 390</t>
  </si>
  <si>
    <t xml:space="preserve">31250181</t>
  </si>
  <si>
    <t xml:space="preserve">GASKET    0007 - 2872 - 390</t>
  </si>
  <si>
    <t xml:space="preserve">31250182</t>
  </si>
  <si>
    <t xml:space="preserve">GASKET    0007 - 1988 - 390</t>
  </si>
  <si>
    <t xml:space="preserve">31250183</t>
  </si>
  <si>
    <t xml:space="preserve">GASKET   0007 - 2035 - 600</t>
  </si>
  <si>
    <t xml:space="preserve">31250184</t>
  </si>
  <si>
    <t xml:space="preserve">GASKET   0007 - 3544 -390</t>
  </si>
  <si>
    <t xml:space="preserve">31250185</t>
  </si>
  <si>
    <t xml:space="preserve">GASKET    0007 -1861 - 390</t>
  </si>
  <si>
    <t xml:space="preserve">31250186</t>
  </si>
  <si>
    <t xml:space="preserve">GASKET   0007 - 2643 - 630</t>
  </si>
  <si>
    <t xml:space="preserve">31250188</t>
  </si>
  <si>
    <t xml:space="preserve">GASKET   0007 - 2485 - 600</t>
  </si>
  <si>
    <t xml:space="preserve">31250189</t>
  </si>
  <si>
    <t xml:space="preserve">GASKET   0007 - 2929 - 600</t>
  </si>
  <si>
    <t xml:space="preserve">31250190</t>
  </si>
  <si>
    <t xml:space="preserve">GASKET   0007 - 2617 - 600</t>
  </si>
  <si>
    <t xml:space="preserve">31250191</t>
  </si>
  <si>
    <t xml:space="preserve">GASKET   3296 - 1277 - 000</t>
  </si>
  <si>
    <t xml:space="preserve">31250192</t>
  </si>
  <si>
    <t xml:space="preserve">NOZZLE , COMPL ( size : 1.6 mm ) 3384 - 6710 - 060</t>
  </si>
  <si>
    <t xml:space="preserve">31250193</t>
  </si>
  <si>
    <t xml:space="preserve">PACKING CORD   0004 - 2364 - 608</t>
  </si>
  <si>
    <t xml:space="preserve">31250194</t>
  </si>
  <si>
    <t xml:space="preserve">PACKING CORD   0004 - 2368 - 608</t>
  </si>
  <si>
    <t xml:space="preserve">31250195</t>
  </si>
  <si>
    <t xml:space="preserve">PACKING CORD  0004 - 3352 - 398</t>
  </si>
  <si>
    <t xml:space="preserve">31250196</t>
  </si>
  <si>
    <t xml:space="preserve">SLIDE - RING PAKING , COMPL  3296 - 2145 - 040</t>
  </si>
  <si>
    <t xml:space="preserve">31250197</t>
  </si>
  <si>
    <t xml:space="preserve">RUBBER - METAL  BUSH   0021 - 3372 - 750</t>
  </si>
  <si>
    <t xml:space="preserve">31250198</t>
  </si>
  <si>
    <t xml:space="preserve">RUBBER - METAL  CUSHION   0021 -3147 - 770</t>
  </si>
  <si>
    <t xml:space="preserve">31250199</t>
  </si>
  <si>
    <t xml:space="preserve">USIT RING  0004 - 2508 - 420</t>
  </si>
  <si>
    <t xml:space="preserve">31250201</t>
  </si>
  <si>
    <t xml:space="preserve">PROXIMITY  SENSOR  0005 -3634 - 000</t>
  </si>
  <si>
    <t xml:space="preserve">31250202</t>
  </si>
  <si>
    <t xml:space="preserve">PRESSURE GAUGE    0001 - 0277 - 600</t>
  </si>
  <si>
    <t xml:space="preserve">31250203</t>
  </si>
  <si>
    <t xml:space="preserve">USIT RING  0004 - 2891 - 300</t>
  </si>
  <si>
    <t xml:space="preserve">31250204</t>
  </si>
  <si>
    <t xml:space="preserve">FLOW SWITCH  0005 - 1642 - 600</t>
  </si>
  <si>
    <t xml:space="preserve">31250205</t>
  </si>
  <si>
    <t xml:space="preserve">LOW - PRESSURE FILTER  0018 - 6030 - 000</t>
  </si>
  <si>
    <t xml:space="preserve">31250206</t>
  </si>
  <si>
    <t xml:space="preserve">CYLINDRICAL ROLLER BERING  0011 - 2311 - 360</t>
  </si>
  <si>
    <t xml:space="preserve">31250208</t>
  </si>
  <si>
    <t xml:space="preserve">TANGENTAL  BELT 0021 - 2721 - 900</t>
  </si>
  <si>
    <t xml:space="preserve">31250210</t>
  </si>
  <si>
    <t xml:space="preserve">RING  3296 - 1157 - 090</t>
  </si>
  <si>
    <t xml:space="preserve">31250213</t>
  </si>
  <si>
    <t xml:space="preserve">Brush holder welded   8002-7213-000</t>
  </si>
  <si>
    <t xml:space="preserve">31250214</t>
  </si>
  <si>
    <t xml:space="preserve">Bush     8009-7462-050</t>
  </si>
  <si>
    <t xml:space="preserve">31250215</t>
  </si>
  <si>
    <t xml:space="preserve">Stud bolt 0019-7669-400</t>
  </si>
  <si>
    <t xml:space="preserve">31250216</t>
  </si>
  <si>
    <t xml:space="preserve">Hydrulic unit compl    1235-9770-000</t>
  </si>
  <si>
    <t xml:space="preserve">31250217</t>
  </si>
  <si>
    <t xml:space="preserve">Nozzle lifter  0003-0598-000</t>
  </si>
  <si>
    <t xml:space="preserve">31250221</t>
  </si>
  <si>
    <t xml:space="preserve">gear pump   3411-3251-000</t>
  </si>
  <si>
    <t xml:space="preserve">31250222</t>
  </si>
  <si>
    <t xml:space="preserve">TANGENTAL  BELT 0021 - 4158 - 890</t>
  </si>
  <si>
    <t xml:space="preserve">31250223</t>
  </si>
  <si>
    <t xml:space="preserve">OIL GUID RING  3287 - 3526 - 010</t>
  </si>
  <si>
    <t xml:space="preserve">31250224</t>
  </si>
  <si>
    <r>
      <rPr>
        <sz val="10"/>
        <rFont val="FreeSans"/>
        <family val="2"/>
      </rPr>
      <t xml:space="preserve">پیچ تنظیم سپراتور  </t>
    </r>
    <r>
      <rPr>
        <sz val="10"/>
        <rFont val="Vazirmatn"/>
        <family val="0"/>
        <charset val="1"/>
      </rPr>
      <t xml:space="preserve">000-1161-3287</t>
    </r>
  </si>
  <si>
    <t xml:space="preserve">31250226</t>
  </si>
  <si>
    <r>
      <rPr>
        <sz val="10"/>
        <rFont val="FreeSans"/>
        <family val="2"/>
      </rPr>
      <t xml:space="preserve">شیلنگ فشار قوی سپراتور  </t>
    </r>
    <r>
      <rPr>
        <sz val="10"/>
        <rFont val="Vazirmatn"/>
        <family val="0"/>
        <charset val="1"/>
      </rPr>
      <t xml:space="preserve">400-6940-0018</t>
    </r>
  </si>
  <si>
    <t xml:space="preserve">31250227</t>
  </si>
  <si>
    <r>
      <rPr>
        <sz val="10"/>
        <rFont val="FreeSans"/>
        <family val="2"/>
      </rPr>
      <t xml:space="preserve">بادامی روغن سپراتور  </t>
    </r>
    <r>
      <rPr>
        <sz val="10"/>
        <rFont val="Vazirmatn"/>
        <family val="0"/>
        <charset val="1"/>
      </rPr>
      <t xml:space="preserve">010-1465-3296</t>
    </r>
  </si>
  <si>
    <t xml:space="preserve">31250229</t>
  </si>
  <si>
    <r>
      <rPr>
        <sz val="10"/>
        <rFont val="FreeSans"/>
        <family val="2"/>
      </rPr>
      <t xml:space="preserve">کاور بیرینگ سپراتور </t>
    </r>
    <r>
      <rPr>
        <sz val="10"/>
        <rFont val="Vazirmatn"/>
        <family val="0"/>
        <charset val="1"/>
      </rPr>
      <t xml:space="preserve">000-3375-3818</t>
    </r>
  </si>
  <si>
    <t xml:space="preserve">31250230</t>
  </si>
  <si>
    <r>
      <rPr>
        <sz val="10"/>
        <rFont val="FreeSans"/>
        <family val="2"/>
      </rPr>
      <t xml:space="preserve">رینگ سپراتور  </t>
    </r>
    <r>
      <rPr>
        <sz val="10"/>
        <rFont val="Vazirmatn"/>
        <family val="0"/>
        <charset val="1"/>
      </rPr>
      <t xml:space="preserve">030-3419-3391</t>
    </r>
  </si>
  <si>
    <t xml:space="preserve">31250231</t>
  </si>
  <si>
    <r>
      <rPr>
        <sz val="10"/>
        <rFont val="FreeSans"/>
        <family val="2"/>
      </rPr>
      <t xml:space="preserve">روغن روانکاری سپراتور </t>
    </r>
    <r>
      <rPr>
        <sz val="10"/>
        <rFont val="Vazirmatn"/>
        <family val="0"/>
        <charset val="1"/>
      </rPr>
      <t xml:space="preserve">080-0001-0015</t>
    </r>
  </si>
  <si>
    <t xml:space="preserve">31250232</t>
  </si>
  <si>
    <r>
      <rPr>
        <sz val="10"/>
        <rFont val="FreeSans"/>
        <family val="2"/>
      </rPr>
      <t xml:space="preserve">روغن روانکاری سپراتور </t>
    </r>
    <r>
      <rPr>
        <sz val="10"/>
        <rFont val="Vazirmatn"/>
        <family val="0"/>
        <charset val="1"/>
      </rPr>
      <t xml:space="preserve">000-0036-0015</t>
    </r>
  </si>
  <si>
    <t xml:space="preserve">31250233</t>
  </si>
  <si>
    <r>
      <rPr>
        <sz val="10"/>
        <rFont val="FreeSans"/>
        <family val="2"/>
      </rPr>
      <t xml:space="preserve">روغن روانکاری سپراتور </t>
    </r>
    <r>
      <rPr>
        <sz val="10"/>
        <rFont val="Vazirmatn"/>
        <family val="0"/>
        <charset val="1"/>
      </rPr>
      <t xml:space="preserve">000-0038-0015</t>
    </r>
  </si>
  <si>
    <t xml:space="preserve">31250308</t>
  </si>
  <si>
    <t xml:space="preserve">NH - FUSE GR 0 1/250 A   990 - 0268 - 570</t>
  </si>
  <si>
    <t xml:space="preserve">31250311</t>
  </si>
  <si>
    <t xml:space="preserve">ANALOGUE OUPUT MODULE  0005 - 4281 - 020</t>
  </si>
  <si>
    <t xml:space="preserve">31250354</t>
  </si>
  <si>
    <t xml:space="preserve">Strainer insert</t>
  </si>
  <si>
    <t xml:space="preserve">31250355</t>
  </si>
  <si>
    <t xml:space="preserve">کاسه نازل سپراتور</t>
  </si>
  <si>
    <t xml:space="preserve">31251100</t>
  </si>
  <si>
    <t xml:space="preserve">شفت استیل پمپ تغذیه جت کوکر</t>
  </si>
  <si>
    <t xml:space="preserve">31251102</t>
  </si>
  <si>
    <r>
      <rPr>
        <sz val="10"/>
        <rFont val="FreeSans"/>
        <family val="2"/>
      </rPr>
      <t xml:space="preserve">شفت استیل مینی پمپ   </t>
    </r>
    <r>
      <rPr>
        <sz val="10"/>
        <rFont val="Vazirmatn"/>
        <family val="0"/>
        <charset val="1"/>
      </rPr>
      <t xml:space="preserve">A 60</t>
    </r>
  </si>
  <si>
    <t xml:space="preserve">31251103</t>
  </si>
  <si>
    <r>
      <rPr>
        <sz val="10"/>
        <rFont val="FreeSans"/>
        <family val="2"/>
      </rPr>
      <t xml:space="preserve">شفت استیل رابط منو پمپ  </t>
    </r>
    <r>
      <rPr>
        <sz val="10"/>
        <rFont val="Vazirmatn"/>
        <family val="0"/>
        <charset val="1"/>
      </rPr>
      <t xml:space="preserve">465 * 45  MM</t>
    </r>
  </si>
  <si>
    <t xml:space="preserve">31251104</t>
  </si>
  <si>
    <t xml:space="preserve">شفت گیربکس منو پمپ</t>
  </si>
  <si>
    <t xml:space="preserve">31251105</t>
  </si>
  <si>
    <t xml:space="preserve">شفت دنده پایین پمپ تخلیه گلوکوز</t>
  </si>
  <si>
    <t xml:space="preserve">31251109</t>
  </si>
  <si>
    <t xml:space="preserve">شفت ماردون حلزونی</t>
  </si>
  <si>
    <t xml:space="preserve">31251111</t>
  </si>
  <si>
    <r>
      <rPr>
        <sz val="10"/>
        <rFont val="FreeSans"/>
        <family val="2"/>
      </rPr>
      <t xml:space="preserve">شفت فولادی فن رینولد بزرگ   </t>
    </r>
    <r>
      <rPr>
        <sz val="10"/>
        <rFont val="Vazirmatn"/>
        <family val="0"/>
        <charset val="1"/>
      </rPr>
      <t xml:space="preserve">1400 * 120</t>
    </r>
  </si>
  <si>
    <t xml:space="preserve">31251112</t>
  </si>
  <si>
    <r>
      <rPr>
        <sz val="10"/>
        <rFont val="FreeSans"/>
        <family val="2"/>
      </rPr>
      <t xml:space="preserve">شفت پمپ تخلیه جت کوکر    </t>
    </r>
    <r>
      <rPr>
        <sz val="10"/>
        <rFont val="Vazirmatn"/>
        <family val="0"/>
        <charset val="1"/>
      </rPr>
      <t xml:space="preserve">XA 50</t>
    </r>
  </si>
  <si>
    <t xml:space="preserve">31251114</t>
  </si>
  <si>
    <r>
      <rPr>
        <sz val="10"/>
        <rFont val="FreeSans"/>
        <family val="2"/>
      </rPr>
      <t xml:space="preserve">شفت دنده ماردون </t>
    </r>
    <r>
      <rPr>
        <sz val="10"/>
        <rFont val="Vazirmatn"/>
        <family val="0"/>
        <charset val="1"/>
      </rPr>
      <t xml:space="preserve">EN 100 . 00 . A10</t>
    </r>
  </si>
  <si>
    <t xml:space="preserve">31251116</t>
  </si>
  <si>
    <r>
      <rPr>
        <sz val="10"/>
        <rFont val="FreeSans"/>
        <family val="2"/>
      </rPr>
      <t xml:space="preserve">شفت شن گیر نشاسته سازی </t>
    </r>
    <r>
      <rPr>
        <sz val="10"/>
        <rFont val="Vazirmatn"/>
        <family val="0"/>
        <charset val="1"/>
      </rPr>
      <t xml:space="preserve">40cm * 35mm</t>
    </r>
  </si>
  <si>
    <t xml:space="preserve">31251117</t>
  </si>
  <si>
    <t xml:space="preserve">شفت استیل جت کوکر</t>
  </si>
  <si>
    <t xml:space="preserve">31251118</t>
  </si>
  <si>
    <t xml:space="preserve">شفت پمپ خلاء درام پادوان</t>
  </si>
  <si>
    <t xml:space="preserve">31251126</t>
  </si>
  <si>
    <r>
      <rPr>
        <sz val="10"/>
        <rFont val="FreeSans"/>
        <family val="2"/>
      </rPr>
      <t xml:space="preserve">شفت پمپ ایران   </t>
    </r>
    <r>
      <rPr>
        <sz val="10"/>
        <rFont val="Vazirmatn"/>
        <family val="0"/>
        <charset val="1"/>
      </rPr>
      <t xml:space="preserve">200 - 65</t>
    </r>
  </si>
  <si>
    <t xml:space="preserve">31251129</t>
  </si>
  <si>
    <r>
      <rPr>
        <sz val="10"/>
        <rFont val="FreeSans"/>
        <family val="2"/>
      </rPr>
      <t xml:space="preserve">شفت سپراتور تغلیظ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چینی </t>
    </r>
    <r>
      <rPr>
        <sz val="10"/>
        <rFont val="Vazirmatn"/>
        <family val="0"/>
        <charset val="1"/>
      </rPr>
      <t xml:space="preserve">)</t>
    </r>
  </si>
  <si>
    <t xml:space="preserve">31251130</t>
  </si>
  <si>
    <r>
      <rPr>
        <sz val="10"/>
        <rFont val="FreeSans"/>
        <family val="2"/>
      </rPr>
      <t xml:space="preserve">شفت فولادی فن هواکش خشکن جرم </t>
    </r>
    <r>
      <rPr>
        <sz val="10"/>
        <rFont val="Vazirmatn"/>
        <family val="0"/>
        <charset val="1"/>
      </rPr>
      <t xml:space="preserve">578MM * 40MM</t>
    </r>
  </si>
  <si>
    <t xml:space="preserve">31251132</t>
  </si>
  <si>
    <t xml:space="preserve">شفت شن گیر</t>
  </si>
  <si>
    <t xml:space="preserve">31251133</t>
  </si>
  <si>
    <t xml:space="preserve">شفت استیل پمپ جت کوکر</t>
  </si>
  <si>
    <t xml:space="preserve">31251135</t>
  </si>
  <si>
    <r>
      <rPr>
        <sz val="10"/>
        <rFont val="FreeSans"/>
        <family val="2"/>
      </rPr>
      <t xml:space="preserve">شفت روتور مونو پمپ </t>
    </r>
    <r>
      <rPr>
        <sz val="10"/>
        <rFont val="Vazirmatn"/>
        <family val="0"/>
        <charset val="1"/>
      </rPr>
      <t xml:space="preserve">AX 50</t>
    </r>
  </si>
  <si>
    <t xml:space="preserve">31251136</t>
  </si>
  <si>
    <r>
      <rPr>
        <sz val="10"/>
        <rFont val="FreeSans"/>
        <family val="2"/>
      </rPr>
      <t xml:space="preserve">شفت پمپ ایران </t>
    </r>
    <r>
      <rPr>
        <sz val="10"/>
        <rFont val="Vazirmatn"/>
        <family val="0"/>
        <charset val="1"/>
      </rPr>
      <t xml:space="preserve">315 - 150</t>
    </r>
  </si>
  <si>
    <t xml:space="preserve">31251137</t>
  </si>
  <si>
    <t xml:space="preserve">شفت پمپ خلاء درام  پادوان</t>
  </si>
  <si>
    <t xml:space="preserve">31251141</t>
  </si>
  <si>
    <r>
      <rPr>
        <sz val="10"/>
        <rFont val="FreeSans"/>
        <family val="2"/>
      </rPr>
      <t xml:space="preserve">شفت پینیون میانی پرس روغن </t>
    </r>
    <r>
      <rPr>
        <sz val="10"/>
        <rFont val="Vazirmatn"/>
        <family val="0"/>
        <charset val="1"/>
      </rPr>
      <t xml:space="preserve">1507-GOYUM-1500</t>
    </r>
  </si>
  <si>
    <t xml:space="preserve">31251143</t>
  </si>
  <si>
    <r>
      <rPr>
        <sz val="10"/>
        <rFont val="FreeSans"/>
        <family val="2"/>
      </rPr>
      <t xml:space="preserve">شفت استیل پمپ روغنکشی </t>
    </r>
    <r>
      <rPr>
        <sz val="10"/>
        <rFont val="Vazirmatn"/>
        <family val="0"/>
        <charset val="1"/>
      </rPr>
      <t xml:space="preserve">22MM * 308</t>
    </r>
  </si>
  <si>
    <t xml:space="preserve">31251146</t>
  </si>
  <si>
    <t xml:space="preserve">شفت بسته بندی نشاسته اکسید</t>
  </si>
  <si>
    <t xml:space="preserve">31251150</t>
  </si>
  <si>
    <t xml:space="preserve">شفت فن خرده ذرت</t>
  </si>
  <si>
    <t xml:space="preserve">31251152</t>
  </si>
  <si>
    <r>
      <rPr>
        <sz val="10"/>
        <rFont val="FreeSans"/>
        <family val="2"/>
      </rPr>
      <t xml:space="preserve">شفت عمودی سپراتور تغلیظ گلوتن  </t>
    </r>
    <r>
      <rPr>
        <sz val="10"/>
        <rFont val="Vazirmatn"/>
        <family val="0"/>
        <charset val="1"/>
      </rPr>
      <t xml:space="preserve">000-3410-3212</t>
    </r>
  </si>
  <si>
    <t xml:space="preserve">31251158</t>
  </si>
  <si>
    <t xml:space="preserve">شفت دنده مارپیچ گیربکس پرس پوسته</t>
  </si>
  <si>
    <t xml:space="preserve">31251161</t>
  </si>
  <si>
    <r>
      <rPr>
        <sz val="10"/>
        <rFont val="FreeSans"/>
        <family val="2"/>
      </rPr>
      <t xml:space="preserve">شفت پمپ  </t>
    </r>
    <r>
      <rPr>
        <sz val="10"/>
        <rFont val="Vazirmatn"/>
        <family val="0"/>
        <charset val="1"/>
      </rPr>
      <t xml:space="preserve">IHD 100-65-200</t>
    </r>
  </si>
  <si>
    <t xml:space="preserve">31251162</t>
  </si>
  <si>
    <r>
      <rPr>
        <sz val="10"/>
        <rFont val="FreeSans"/>
        <family val="2"/>
      </rPr>
      <t xml:space="preserve">شفت پمپ  </t>
    </r>
    <r>
      <rPr>
        <sz val="10"/>
        <rFont val="Vazirmatn"/>
        <family val="0"/>
        <charset val="1"/>
      </rPr>
      <t xml:space="preserve">IHD 125-80-200</t>
    </r>
  </si>
  <si>
    <t xml:space="preserve">31251163</t>
  </si>
  <si>
    <r>
      <rPr>
        <sz val="10"/>
        <rFont val="FreeSans"/>
        <family val="2"/>
      </rPr>
      <t xml:space="preserve">شفت پمپ  </t>
    </r>
    <r>
      <rPr>
        <sz val="10"/>
        <rFont val="Vazirmatn"/>
        <family val="0"/>
        <charset val="1"/>
      </rPr>
      <t xml:space="preserve">250 - 80 - 125 IHD</t>
    </r>
  </si>
  <si>
    <t xml:space="preserve">31251165</t>
  </si>
  <si>
    <r>
      <rPr>
        <sz val="10"/>
        <rFont val="FreeSans"/>
        <family val="2"/>
      </rPr>
      <t xml:space="preserve">شفت پمپ اسید </t>
    </r>
    <r>
      <rPr>
        <sz val="10"/>
        <rFont val="Vazirmatn"/>
        <family val="0"/>
        <charset val="1"/>
      </rPr>
      <t xml:space="preserve">50FS - 12/5 - 20/4</t>
    </r>
  </si>
  <si>
    <t xml:space="preserve">31251167</t>
  </si>
  <si>
    <r>
      <rPr>
        <sz val="10"/>
        <rFont val="FreeSans"/>
        <family val="2"/>
      </rPr>
      <t xml:space="preserve">شفت پمپ     </t>
    </r>
    <r>
      <rPr>
        <sz val="10"/>
        <rFont val="Vazirmatn"/>
        <family val="0"/>
        <charset val="1"/>
      </rPr>
      <t xml:space="preserve">IHD   65-50-250</t>
    </r>
  </si>
  <si>
    <t xml:space="preserve">31251169</t>
  </si>
  <si>
    <t xml:space="preserve">شفت جک هیدرولیکی درب رینولد</t>
  </si>
  <si>
    <t xml:space="preserve">31251170</t>
  </si>
  <si>
    <r>
      <rPr>
        <sz val="10"/>
        <rFont val="FreeSans"/>
        <family val="2"/>
      </rPr>
      <t xml:space="preserve">شفت دکانتور  </t>
    </r>
    <r>
      <rPr>
        <sz val="10"/>
        <rFont val="Vazirmatn"/>
        <family val="0"/>
        <charset val="1"/>
      </rPr>
      <t xml:space="preserve">030 - 3415 - 8655</t>
    </r>
  </si>
  <si>
    <t xml:space="preserve">31251174</t>
  </si>
  <si>
    <r>
      <rPr>
        <sz val="10"/>
        <rFont val="FreeSans"/>
        <family val="2"/>
      </rPr>
      <t xml:space="preserve">شفت رابط هلیس      </t>
    </r>
    <r>
      <rPr>
        <sz val="10"/>
        <rFont val="Vazirmatn"/>
        <family val="0"/>
        <charset val="1"/>
      </rPr>
      <t xml:space="preserve">MD:345</t>
    </r>
  </si>
  <si>
    <t xml:space="preserve">31251175</t>
  </si>
  <si>
    <r>
      <rPr>
        <sz val="10"/>
        <rFont val="FreeSans"/>
        <family val="2"/>
      </rPr>
      <t xml:space="preserve">شفت سر هلیس سمت یاتاقان    </t>
    </r>
    <r>
      <rPr>
        <sz val="10"/>
        <rFont val="Vazirmatn"/>
        <family val="0"/>
        <charset val="1"/>
      </rPr>
      <t xml:space="preserve">mD:346</t>
    </r>
  </si>
  <si>
    <t xml:space="preserve">31251176</t>
  </si>
  <si>
    <r>
      <rPr>
        <sz val="10"/>
        <rFont val="FreeSans"/>
        <family val="2"/>
      </rPr>
      <t xml:space="preserve">شفت سر هلیس سمت گیر بکس     </t>
    </r>
    <r>
      <rPr>
        <sz val="10"/>
        <rFont val="Vazirmatn"/>
        <family val="0"/>
        <charset val="1"/>
      </rPr>
      <t xml:space="preserve">MD:347</t>
    </r>
  </si>
  <si>
    <t xml:space="preserve">31251180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</si>
  <si>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میلگرد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تفلونی</t>
    </r>
  </si>
  <si>
    <t xml:space="preserve">31251192</t>
  </si>
  <si>
    <r>
      <rPr>
        <sz val="10"/>
        <rFont val="FreeSans"/>
        <family val="2"/>
      </rPr>
      <t xml:space="preserve">میله تنظیم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شفت</t>
    </r>
    <r>
      <rPr>
        <sz val="10"/>
        <rFont val="Vazirmatn"/>
        <family val="0"/>
        <charset val="1"/>
      </rPr>
      <t xml:space="preserve">) -  </t>
    </r>
    <r>
      <rPr>
        <sz val="10"/>
        <rFont val="FreeSans"/>
        <family val="2"/>
      </rPr>
      <t xml:space="preserve">پرس روغن بزرگ</t>
    </r>
  </si>
  <si>
    <t xml:space="preserve">31251198</t>
  </si>
  <si>
    <r>
      <rPr>
        <sz val="10"/>
        <rFont val="FreeSans"/>
        <family val="2"/>
      </rPr>
      <t xml:space="preserve">شفت فولادی گیربکس منو پمپ </t>
    </r>
    <r>
      <rPr>
        <sz val="10"/>
        <rFont val="Vazirmatn"/>
        <family val="0"/>
        <charset val="1"/>
      </rPr>
      <t xml:space="preserve">A 50</t>
    </r>
  </si>
  <si>
    <t xml:space="preserve">31251201</t>
  </si>
  <si>
    <t xml:space="preserve">شفت دفومینگ پمپ سپراتور چینی</t>
  </si>
  <si>
    <t xml:space="preserve">31251203</t>
  </si>
  <si>
    <t xml:space="preserve">شفت استیل پمپ برگشتی سپراتور تغلیظ</t>
  </si>
  <si>
    <t xml:space="preserve">31251204</t>
  </si>
  <si>
    <r>
      <rPr>
        <sz val="10"/>
        <rFont val="FreeSans"/>
        <family val="2"/>
      </rPr>
      <t xml:space="preserve">شفت پمپ ایران </t>
    </r>
    <r>
      <rPr>
        <sz val="10"/>
        <rFont val="Vazirmatn"/>
        <family val="0"/>
        <charset val="1"/>
      </rPr>
      <t xml:space="preserve">250-50</t>
    </r>
  </si>
  <si>
    <t xml:space="preserve">31251205</t>
  </si>
  <si>
    <t xml:space="preserve">شفت پمپ لوپ گلوکوز</t>
  </si>
  <si>
    <t xml:space="preserve">31251206</t>
  </si>
  <si>
    <t xml:space="preserve">شفت پمپ هوا کش اسید</t>
  </si>
  <si>
    <t xml:space="preserve">31251210</t>
  </si>
  <si>
    <r>
      <rPr>
        <sz val="10"/>
        <rFont val="FreeSans"/>
        <family val="2"/>
      </rPr>
      <t xml:space="preserve">شفت پمپ </t>
    </r>
    <r>
      <rPr>
        <sz val="10"/>
        <rFont val="Vazirmatn"/>
        <family val="0"/>
        <charset val="1"/>
      </rPr>
      <t xml:space="preserve">400 - 125 - 150 KPW</t>
    </r>
  </si>
  <si>
    <t xml:space="preserve">31251211</t>
  </si>
  <si>
    <r>
      <rPr>
        <sz val="10"/>
        <rFont val="FreeSans"/>
        <family val="2"/>
      </rPr>
      <t xml:space="preserve">شفت پمپ </t>
    </r>
    <r>
      <rPr>
        <sz val="10"/>
        <rFont val="Vazirmatn"/>
        <family val="0"/>
        <charset val="1"/>
      </rPr>
      <t xml:space="preserve">400 - 100 - 125 KPW</t>
    </r>
  </si>
  <si>
    <t xml:space="preserve">31251213</t>
  </si>
  <si>
    <t xml:space="preserve">شفت پمپ کندانس</t>
  </si>
  <si>
    <t xml:space="preserve">31251215</t>
  </si>
  <si>
    <r>
      <rPr>
        <sz val="10"/>
        <rFont val="FreeSans"/>
        <family val="2"/>
      </rPr>
      <t xml:space="preserve">شفت فسفر برنز مینی پمپ گلوکوز  </t>
    </r>
    <r>
      <rPr>
        <sz val="10"/>
        <rFont val="Vazirmatn"/>
        <family val="0"/>
        <charset val="1"/>
      </rPr>
      <t xml:space="preserve">A - 60</t>
    </r>
  </si>
  <si>
    <t xml:space="preserve">31251216</t>
  </si>
  <si>
    <r>
      <rPr>
        <sz val="10"/>
        <rFont val="FreeSans"/>
        <family val="2"/>
      </rPr>
      <t xml:space="preserve">شفت پمپ </t>
    </r>
    <r>
      <rPr>
        <sz val="10"/>
        <rFont val="Vazirmatn"/>
        <family val="0"/>
        <charset val="1"/>
      </rPr>
      <t xml:space="preserve">250 - 100 - 125 KPW</t>
    </r>
  </si>
  <si>
    <t xml:space="preserve">31251218</t>
  </si>
  <si>
    <t xml:space="preserve">شفت استیل بزرگ</t>
  </si>
  <si>
    <t xml:space="preserve">31251221</t>
  </si>
  <si>
    <r>
      <rPr>
        <sz val="10"/>
        <rFont val="FreeSans"/>
        <family val="2"/>
      </rPr>
      <t xml:space="preserve">شفت استیل شنگیر سپراتور </t>
    </r>
    <r>
      <rPr>
        <sz val="10"/>
        <rFont val="Vazirmatn"/>
        <family val="0"/>
        <charset val="1"/>
      </rPr>
      <t xml:space="preserve">40cm * 40mm</t>
    </r>
  </si>
  <si>
    <t xml:space="preserve">31251222</t>
  </si>
  <si>
    <r>
      <rPr>
        <sz val="10"/>
        <rFont val="FreeSans"/>
        <family val="2"/>
      </rPr>
      <t xml:space="preserve">شفت پمپ </t>
    </r>
    <r>
      <rPr>
        <sz val="10"/>
        <rFont val="Vazirmatn"/>
        <family val="0"/>
        <charset val="1"/>
      </rPr>
      <t xml:space="preserve">450 - 100 - 125 IHD</t>
    </r>
  </si>
  <si>
    <t xml:space="preserve">31251223</t>
  </si>
  <si>
    <r>
      <rPr>
        <sz val="10"/>
        <rFont val="FreeSans"/>
        <family val="2"/>
      </rPr>
      <t xml:space="preserve">شفت رابط منو پمپ دکانتور </t>
    </r>
    <r>
      <rPr>
        <sz val="10"/>
        <rFont val="Vazirmatn"/>
        <family val="0"/>
        <charset val="1"/>
      </rPr>
      <t xml:space="preserve">NM063BY</t>
    </r>
  </si>
  <si>
    <t xml:space="preserve">31251229</t>
  </si>
  <si>
    <r>
      <rPr>
        <sz val="10"/>
        <rFont val="FreeSans"/>
        <family val="2"/>
      </rPr>
      <t xml:space="preserve">شفت دنده ای پرس روغن  </t>
    </r>
    <r>
      <rPr>
        <sz val="10"/>
        <rFont val="Vazirmatn"/>
        <family val="0"/>
        <charset val="1"/>
      </rPr>
      <t xml:space="preserve">1554-GOYUM-1500</t>
    </r>
  </si>
  <si>
    <t xml:space="preserve">31251236</t>
  </si>
  <si>
    <t xml:space="preserve">شفت ، پین آسیاب ایمپکت</t>
  </si>
  <si>
    <t xml:space="preserve">31251237</t>
  </si>
  <si>
    <r>
      <rPr>
        <sz val="10"/>
        <rFont val="FreeSans"/>
        <family val="2"/>
      </rPr>
      <t xml:space="preserve">شفت آسیاب ایمپکت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جدید </t>
    </r>
    <r>
      <rPr>
        <sz val="10"/>
        <rFont val="Vazirmatn"/>
        <family val="0"/>
        <charset val="1"/>
      </rPr>
      <t xml:space="preserve">)  005149</t>
    </r>
  </si>
  <si>
    <t xml:space="preserve">31251245</t>
  </si>
  <si>
    <r>
      <rPr>
        <sz val="10"/>
        <rFont val="FreeSans"/>
        <family val="2"/>
      </rPr>
      <t xml:space="preserve">میله چاقو ئی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شفت</t>
    </r>
    <r>
      <rPr>
        <sz val="10"/>
        <rFont val="Vazirmatn"/>
        <family val="0"/>
        <charset val="1"/>
      </rPr>
      <t xml:space="preserve">) -  </t>
    </r>
    <r>
      <rPr>
        <sz val="10"/>
        <rFont val="FreeSans"/>
        <family val="2"/>
      </rPr>
      <t xml:space="preserve">پرس روغن بزرگ</t>
    </r>
  </si>
  <si>
    <t xml:space="preserve">31251251</t>
  </si>
  <si>
    <r>
      <rPr>
        <sz val="10"/>
        <rFont val="FreeSans"/>
        <family val="2"/>
      </rPr>
      <t xml:space="preserve">شفت همزن گرمکن پرس روغن  </t>
    </r>
    <r>
      <rPr>
        <sz val="10"/>
        <rFont val="Vazirmatn"/>
        <family val="0"/>
        <charset val="1"/>
      </rPr>
      <t xml:space="preserve">1004MM * 65</t>
    </r>
  </si>
  <si>
    <t xml:space="preserve">31251259</t>
  </si>
  <si>
    <t xml:space="preserve">شفت استیل هلیس پرس پوسته</t>
  </si>
  <si>
    <t xml:space="preserve">31251260</t>
  </si>
  <si>
    <t xml:space="preserve">شفت فولادی درام الواتور بزرگ گلوتن</t>
  </si>
  <si>
    <t xml:space="preserve">31251261</t>
  </si>
  <si>
    <t xml:space="preserve">شفت همزن حل خاک</t>
  </si>
  <si>
    <t xml:space="preserve">31251263</t>
  </si>
  <si>
    <t xml:space="preserve">شفت پمپ دیگ بخار مستعمل</t>
  </si>
  <si>
    <t xml:space="preserve">31251264</t>
  </si>
  <si>
    <r>
      <rPr>
        <sz val="10"/>
        <rFont val="FreeSans"/>
        <family val="2"/>
      </rPr>
      <t xml:space="preserve">شفت استیل پمپ آلفالاوال </t>
    </r>
    <r>
      <rPr>
        <sz val="10"/>
        <rFont val="Vazirmatn"/>
        <family val="0"/>
        <charset val="1"/>
      </rPr>
      <t xml:space="preserve">LKH</t>
    </r>
  </si>
  <si>
    <t xml:space="preserve">31251266</t>
  </si>
  <si>
    <r>
      <rPr>
        <sz val="10"/>
        <rFont val="FreeSans"/>
        <family val="2"/>
      </rPr>
      <t xml:space="preserve">شفت فولادی فن هواکش پیلر   </t>
    </r>
    <r>
      <rPr>
        <sz val="10"/>
        <rFont val="Vazirmatn"/>
        <family val="0"/>
        <charset val="1"/>
      </rPr>
      <t xml:space="preserve">75 * 70</t>
    </r>
  </si>
  <si>
    <t xml:space="preserve">31251270</t>
  </si>
  <si>
    <t xml:space="preserve">شفت استیل پمپ سرند</t>
  </si>
  <si>
    <t xml:space="preserve">31251271</t>
  </si>
  <si>
    <r>
      <rPr>
        <sz val="10"/>
        <rFont val="FreeSans"/>
        <family val="2"/>
      </rPr>
      <t xml:space="preserve">شفت پمپ اسید </t>
    </r>
    <r>
      <rPr>
        <sz val="10"/>
        <rFont val="Vazirmatn"/>
        <family val="0"/>
        <charset val="1"/>
      </rPr>
      <t xml:space="preserve">Am P4</t>
    </r>
  </si>
  <si>
    <t xml:space="preserve">31251272</t>
  </si>
  <si>
    <t xml:space="preserve">شفت  استیل  پمپ  نمک</t>
  </si>
  <si>
    <t xml:space="preserve">31251273</t>
  </si>
  <si>
    <t xml:space="preserve">شفت پمپ آب کولینگ تاور</t>
  </si>
  <si>
    <t xml:space="preserve">31251274</t>
  </si>
  <si>
    <t xml:space="preserve">شفت  استیل  پمپ شربت</t>
  </si>
  <si>
    <t xml:space="preserve">31251275</t>
  </si>
  <si>
    <t xml:space="preserve">شفت فید تیوپ دکانتور</t>
  </si>
  <si>
    <t xml:space="preserve">31251277</t>
  </si>
  <si>
    <t xml:space="preserve">شفت استیل ویبره رنگبری</t>
  </si>
  <si>
    <t xml:space="preserve">31251281</t>
  </si>
  <si>
    <t xml:space="preserve">شفت</t>
  </si>
  <si>
    <t xml:space="preserve">31251283</t>
  </si>
  <si>
    <r>
      <rPr>
        <sz val="10"/>
        <rFont val="FreeSans"/>
        <family val="2"/>
      </rPr>
      <t xml:space="preserve">شفت با پوسته کامل مشعل همورتی </t>
    </r>
    <r>
      <rPr>
        <sz val="10"/>
        <rFont val="Vazirmatn"/>
        <family val="0"/>
        <charset val="1"/>
      </rPr>
      <t xml:space="preserve">AWD 22 </t>
    </r>
    <r>
      <rPr>
        <sz val="10"/>
        <rFont val="FreeSans"/>
        <family val="2"/>
      </rPr>
      <t xml:space="preserve">سری قدیم</t>
    </r>
  </si>
  <si>
    <t xml:space="preserve">31251287</t>
  </si>
  <si>
    <r>
      <rPr>
        <sz val="10"/>
        <rFont val="FreeSans"/>
        <family val="2"/>
      </rPr>
      <t xml:space="preserve">شفت فولادی افقی سپراتور  </t>
    </r>
    <r>
      <rPr>
        <sz val="10"/>
        <rFont val="Vazirmatn"/>
        <family val="0"/>
        <charset val="1"/>
      </rPr>
      <t xml:space="preserve">550 * 40</t>
    </r>
  </si>
  <si>
    <t xml:space="preserve">31251290</t>
  </si>
  <si>
    <t xml:space="preserve">شفت پمپ ایران</t>
  </si>
  <si>
    <t xml:space="preserve">31251296</t>
  </si>
  <si>
    <t xml:space="preserve">شفت استیل شن گیر نشاسته سازی</t>
  </si>
  <si>
    <t xml:space="preserve">31251300</t>
  </si>
  <si>
    <t xml:space="preserve">شفت پمپ دیگ بخار</t>
  </si>
  <si>
    <t xml:space="preserve">31251303</t>
  </si>
  <si>
    <t xml:space="preserve">شفت همزن درام کربن</t>
  </si>
  <si>
    <t xml:space="preserve">31251308</t>
  </si>
  <si>
    <t xml:space="preserve">شفت استیل پمپ سیکلون درام گلوتن</t>
  </si>
  <si>
    <t xml:space="preserve">31251309</t>
  </si>
  <si>
    <t xml:space="preserve">شفت استیل پمپ سیکلون درام گلوکوز</t>
  </si>
  <si>
    <t xml:space="preserve">31251310</t>
  </si>
  <si>
    <r>
      <rPr>
        <sz val="10"/>
        <rFont val="FreeSans"/>
        <family val="2"/>
      </rPr>
      <t xml:space="preserve">شفت روتور منو پمپ فرکتوز          </t>
    </r>
    <r>
      <rPr>
        <sz val="10"/>
        <rFont val="Vazirmatn"/>
        <family val="0"/>
        <charset val="1"/>
      </rPr>
      <t xml:space="preserve">GF 85</t>
    </r>
  </si>
  <si>
    <t xml:space="preserve">31251311</t>
  </si>
  <si>
    <t xml:space="preserve">شفت آسیاب نشاسته اکسید</t>
  </si>
  <si>
    <t xml:space="preserve">31251312</t>
  </si>
  <si>
    <t xml:space="preserve">شفت همزن گرمکن پرس روغن آناد</t>
  </si>
  <si>
    <t xml:space="preserve">31251314</t>
  </si>
  <si>
    <t xml:space="preserve">شفت استیل شنگیر واش باطری</t>
  </si>
  <si>
    <t xml:space="preserve">31251317</t>
  </si>
  <si>
    <r>
      <rPr>
        <sz val="10"/>
        <rFont val="FreeSans"/>
        <family val="2"/>
      </rPr>
      <t xml:space="preserve">شفت فولادی آسیاب چکشی </t>
    </r>
    <r>
      <rPr>
        <sz val="10"/>
        <rFont val="Vazirmatn"/>
        <family val="0"/>
        <charset val="1"/>
      </rPr>
      <t xml:space="preserve">735 * 60</t>
    </r>
  </si>
  <si>
    <t xml:space="preserve">31251318</t>
  </si>
  <si>
    <r>
      <rPr>
        <sz val="10"/>
        <rFont val="FreeSans"/>
        <family val="2"/>
      </rPr>
      <t xml:space="preserve">شفت رابط منو پمپ فرکتوز        </t>
    </r>
    <r>
      <rPr>
        <sz val="10"/>
        <rFont val="Vazirmatn"/>
        <family val="0"/>
        <charset val="1"/>
      </rPr>
      <t xml:space="preserve">GF 85</t>
    </r>
  </si>
  <si>
    <t xml:space="preserve">31251319</t>
  </si>
  <si>
    <t xml:space="preserve">شفت رابط سمت یاتاقان</t>
  </si>
  <si>
    <t xml:space="preserve">31251320</t>
  </si>
  <si>
    <t xml:space="preserve">شفت رابط سمت گیربکس</t>
  </si>
  <si>
    <t xml:space="preserve">31251321</t>
  </si>
  <si>
    <r>
      <rPr>
        <sz val="10"/>
        <rFont val="FreeSans"/>
        <family val="2"/>
      </rPr>
      <t xml:space="preserve">شفت رابط هلیس محور  </t>
    </r>
    <r>
      <rPr>
        <sz val="10"/>
        <rFont val="Vazirmatn"/>
        <family val="0"/>
        <charset val="1"/>
      </rPr>
      <t xml:space="preserve">" 4</t>
    </r>
  </si>
  <si>
    <t xml:space="preserve">31251322</t>
  </si>
  <si>
    <r>
      <rPr>
        <sz val="10"/>
        <rFont val="FreeSans"/>
        <family val="2"/>
      </rPr>
      <t xml:space="preserve">شفت درایو دکانتور  </t>
    </r>
    <r>
      <rPr>
        <sz val="10"/>
        <rFont val="Vazirmatn"/>
        <family val="0"/>
        <charset val="1"/>
      </rPr>
      <t xml:space="preserve">010 - 3400 - 8417</t>
    </r>
  </si>
  <si>
    <t xml:space="preserve">31251324</t>
  </si>
  <si>
    <t xml:space="preserve">شفت وسط فیلترهای ویبره ای</t>
  </si>
  <si>
    <t xml:space="preserve">31251325</t>
  </si>
  <si>
    <t xml:space="preserve">شفت رابط سمت گیربکس همزن فومینگ تانک</t>
  </si>
  <si>
    <t xml:space="preserve">31251326</t>
  </si>
  <si>
    <t xml:space="preserve">شفت رابط سمت یاتاقان همزن فومینگ تانک</t>
  </si>
  <si>
    <t xml:space="preserve">31251327</t>
  </si>
  <si>
    <t xml:space="preserve">شفت رابط وسط شفت همزن فومینگ تانک</t>
  </si>
  <si>
    <t xml:space="preserve">31251328</t>
  </si>
  <si>
    <t xml:space="preserve">شفت فن دمنده رینولد</t>
  </si>
  <si>
    <t xml:space="preserve">31251329</t>
  </si>
  <si>
    <t xml:space="preserve">شفت فن کولینگ تاور</t>
  </si>
  <si>
    <t xml:space="preserve">31251330</t>
  </si>
  <si>
    <r>
      <rPr>
        <sz val="10"/>
        <rFont val="FreeSans"/>
        <family val="2"/>
      </rPr>
      <t xml:space="preserve">شفت فن کوره </t>
    </r>
    <r>
      <rPr>
        <sz val="10"/>
        <rFont val="Vazirmatn"/>
        <family val="0"/>
        <charset val="1"/>
      </rPr>
      <t xml:space="preserve">SO2</t>
    </r>
  </si>
  <si>
    <t xml:space="preserve">31251333</t>
  </si>
  <si>
    <r>
      <rPr>
        <sz val="10"/>
        <rFont val="FreeSans"/>
        <family val="2"/>
      </rPr>
      <t xml:space="preserve">شفت پمپ تغذیه سپراتور </t>
    </r>
    <r>
      <rPr>
        <sz val="10"/>
        <rFont val="Vazirmatn"/>
        <family val="0"/>
        <charset val="1"/>
      </rPr>
      <t xml:space="preserve">610 * 65</t>
    </r>
  </si>
  <si>
    <t xml:space="preserve">31251336</t>
  </si>
  <si>
    <r>
      <rPr>
        <sz val="10"/>
        <rFont val="FreeSans"/>
        <family val="2"/>
      </rPr>
      <t xml:space="preserve">شفت 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کارخانه </t>
    </r>
    <r>
      <rPr>
        <sz val="10"/>
        <rFont val="Vazirmatn"/>
        <family val="0"/>
        <charset val="1"/>
      </rPr>
      <t xml:space="preserve">)</t>
    </r>
  </si>
  <si>
    <t xml:space="preserve">31251337</t>
  </si>
  <si>
    <t xml:space="preserve">شفت فن بزرگ پیلر</t>
  </si>
  <si>
    <t xml:space="preserve">31251342</t>
  </si>
  <si>
    <r>
      <rPr>
        <sz val="10"/>
        <rFont val="FreeSans"/>
        <family val="2"/>
      </rPr>
      <t xml:space="preserve">شفت کولینگ تاور 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کارخانه </t>
    </r>
    <r>
      <rPr>
        <sz val="10"/>
        <rFont val="Vazirmatn"/>
        <family val="0"/>
        <charset val="1"/>
      </rPr>
      <t xml:space="preserve">)</t>
    </r>
  </si>
  <si>
    <t xml:space="preserve">31251344</t>
  </si>
  <si>
    <t xml:space="preserve">شفت دنده میانی گیربکس درام اکسید</t>
  </si>
  <si>
    <t xml:space="preserve">31251345</t>
  </si>
  <si>
    <t xml:space="preserve">شفت گیربکس ورودی پرس کوچک روغنکشی</t>
  </si>
  <si>
    <t xml:space="preserve">31251346</t>
  </si>
  <si>
    <r>
      <rPr>
        <sz val="10"/>
        <rFont val="FreeSans"/>
        <family val="2"/>
      </rPr>
      <t xml:space="preserve">شفت اصلی آسیاب دوم  </t>
    </r>
    <r>
      <rPr>
        <sz val="10"/>
        <rFont val="Vazirmatn"/>
        <family val="0"/>
        <charset val="1"/>
      </rPr>
      <t xml:space="preserve">124 - FQ</t>
    </r>
  </si>
  <si>
    <t xml:space="preserve">31251347</t>
  </si>
  <si>
    <r>
      <rPr>
        <sz val="10"/>
        <rFont val="FreeSans"/>
        <family val="2"/>
      </rPr>
      <t xml:space="preserve">شفت اصلی آسیاب </t>
    </r>
    <r>
      <rPr>
        <sz val="10"/>
        <rFont val="Vazirmatn"/>
        <family val="0"/>
        <charset val="1"/>
      </rPr>
      <t xml:space="preserve">136 - FQ</t>
    </r>
  </si>
  <si>
    <t xml:space="preserve">31251349</t>
  </si>
  <si>
    <t xml:space="preserve">شفت استیل پمپ  واش اکسید نشاسته</t>
  </si>
  <si>
    <t xml:space="preserve">31251350</t>
  </si>
  <si>
    <t xml:space="preserve">شفت استیل سپراتور  تغلیظ</t>
  </si>
  <si>
    <t xml:space="preserve">31251352</t>
  </si>
  <si>
    <t xml:space="preserve">شفت پمپ فیلتر شمعی</t>
  </si>
  <si>
    <t xml:space="preserve">31251354</t>
  </si>
  <si>
    <t xml:space="preserve">شفت آهنی پمپ جی ال</t>
  </si>
  <si>
    <t xml:space="preserve">31251355</t>
  </si>
  <si>
    <t xml:space="preserve">شفت استیل پمپ چاله</t>
  </si>
  <si>
    <t xml:space="preserve">31251358</t>
  </si>
  <si>
    <r>
      <rPr>
        <sz val="10"/>
        <rFont val="FreeSans"/>
        <family val="2"/>
      </rPr>
      <t xml:space="preserve">شفت پمپ ایران </t>
    </r>
    <r>
      <rPr>
        <sz val="10"/>
        <rFont val="Vazirmatn"/>
        <family val="0"/>
        <charset val="1"/>
      </rPr>
      <t xml:space="preserve">200-50</t>
    </r>
  </si>
  <si>
    <t xml:space="preserve">31251359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</si>
  <si>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فن کوره </t>
    </r>
    <r>
      <rPr>
        <sz val="10"/>
        <rFont val="Vazirmatn"/>
        <family val="0"/>
        <charset val="1"/>
      </rPr>
      <t xml:space="preserve">SO2 </t>
    </r>
    <r>
      <rPr>
        <sz val="10"/>
        <rFont val="FreeSans"/>
        <family val="2"/>
      </rPr>
      <t xml:space="preserve">جدید</t>
    </r>
  </si>
  <si>
    <t xml:space="preserve">31251361</t>
  </si>
  <si>
    <r>
      <rPr>
        <sz val="10"/>
        <rFont val="FreeSans"/>
        <family val="2"/>
      </rPr>
      <t xml:space="preserve">محور شفت ماردوم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رابط وسط </t>
    </r>
    <r>
      <rPr>
        <sz val="10"/>
        <rFont val="Vazirmatn"/>
        <family val="0"/>
        <charset val="1"/>
      </rPr>
      <t xml:space="preserve">)</t>
    </r>
  </si>
  <si>
    <t xml:space="preserve">31251362</t>
  </si>
  <si>
    <r>
      <rPr>
        <sz val="10"/>
        <rFont val="FreeSans"/>
        <family val="2"/>
      </rPr>
      <t xml:space="preserve">محور شفت ماردوم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سمت کوپلینگ </t>
    </r>
    <r>
      <rPr>
        <sz val="10"/>
        <rFont val="Vazirmatn"/>
        <family val="0"/>
        <charset val="1"/>
      </rPr>
      <t xml:space="preserve">)</t>
    </r>
  </si>
  <si>
    <t xml:space="preserve">31251363</t>
  </si>
  <si>
    <r>
      <rPr>
        <sz val="10"/>
        <rFont val="FreeSans"/>
        <family val="2"/>
      </rPr>
      <t xml:space="preserve">شفت یمپ ایران </t>
    </r>
    <r>
      <rPr>
        <sz val="10"/>
        <rFont val="Vazirmatn"/>
        <family val="0"/>
        <charset val="1"/>
      </rPr>
      <t xml:space="preserve">315 - 65</t>
    </r>
  </si>
  <si>
    <t xml:space="preserve">31251364</t>
  </si>
  <si>
    <r>
      <rPr>
        <sz val="10"/>
        <rFont val="FreeSans"/>
        <family val="2"/>
      </rPr>
      <t xml:space="preserve">شفت پمپ  </t>
    </r>
    <r>
      <rPr>
        <sz val="10"/>
        <rFont val="Vazirmatn"/>
        <family val="0"/>
        <charset val="1"/>
      </rPr>
      <t xml:space="preserve">IHD250-200-315</t>
    </r>
  </si>
  <si>
    <t xml:space="preserve">31251365</t>
  </si>
  <si>
    <t xml:space="preserve">شفت پمپ تخلیه تانکر گلوکوز</t>
  </si>
  <si>
    <t xml:space="preserve">31251366</t>
  </si>
  <si>
    <r>
      <rPr>
        <sz val="10"/>
        <rFont val="FreeSans"/>
        <family val="2"/>
      </rPr>
      <t xml:space="preserve">شفت فولادی هواکش گلوتن </t>
    </r>
    <r>
      <rPr>
        <sz val="10"/>
        <rFont val="Vazirmatn"/>
        <family val="0"/>
        <charset val="1"/>
      </rPr>
      <t xml:space="preserve">58cm * 40mm</t>
    </r>
  </si>
  <si>
    <t xml:space="preserve">31251367</t>
  </si>
  <si>
    <r>
      <rPr>
        <sz val="10"/>
        <rFont val="FreeSans"/>
        <family val="2"/>
      </rPr>
      <t xml:space="preserve">شفت پمپ  </t>
    </r>
    <r>
      <rPr>
        <sz val="10"/>
        <rFont val="Vazirmatn"/>
        <family val="0"/>
        <charset val="1"/>
      </rPr>
      <t xml:space="preserve">IHD250-200-350</t>
    </r>
  </si>
  <si>
    <t xml:space="preserve">31251368</t>
  </si>
  <si>
    <r>
      <rPr>
        <sz val="10"/>
        <rFont val="FreeSans"/>
        <family val="2"/>
      </rPr>
      <t xml:space="preserve">شفت فولادی سپراتور  تغلیظ   </t>
    </r>
    <r>
      <rPr>
        <sz val="10"/>
        <rFont val="Vazirmatn"/>
        <family val="0"/>
        <charset val="1"/>
      </rPr>
      <t xml:space="preserve">728 * 80</t>
    </r>
  </si>
  <si>
    <t xml:space="preserve">31251369</t>
  </si>
  <si>
    <r>
      <rPr>
        <sz val="10"/>
        <rFont val="FreeSans"/>
        <family val="2"/>
      </rPr>
      <t xml:space="preserve">شافت سگ دست مدل </t>
    </r>
    <r>
      <rPr>
        <sz val="10"/>
        <rFont val="Vazirmatn"/>
        <family val="0"/>
        <charset val="1"/>
      </rPr>
      <t xml:space="preserve">( SL,SG ) 9432601</t>
    </r>
  </si>
  <si>
    <t xml:space="preserve">31251371</t>
  </si>
  <si>
    <r>
      <rPr>
        <sz val="10"/>
        <rFont val="FreeSans"/>
        <family val="2"/>
      </rPr>
      <t xml:space="preserve">شفت  پمپ ایران   </t>
    </r>
    <r>
      <rPr>
        <sz val="10"/>
        <rFont val="Vazirmatn"/>
        <family val="0"/>
        <charset val="1"/>
      </rPr>
      <t xml:space="preserve">250 - 150</t>
    </r>
  </si>
  <si>
    <t xml:space="preserve">31251373</t>
  </si>
  <si>
    <r>
      <rPr>
        <sz val="10"/>
        <rFont val="FreeSans"/>
        <family val="2"/>
      </rPr>
      <t xml:space="preserve">شفت دنده میانی گیربکس خشک کن </t>
    </r>
    <r>
      <rPr>
        <sz val="10"/>
        <rFont val="Vazirmatn"/>
        <family val="0"/>
        <charset val="1"/>
      </rPr>
      <t xml:space="preserve">RK 8</t>
    </r>
  </si>
  <si>
    <t xml:space="preserve">31251374</t>
  </si>
  <si>
    <t xml:space="preserve">شفت نهایی گیربکس درام اکسید</t>
  </si>
  <si>
    <t xml:space="preserve">31251375</t>
  </si>
  <si>
    <t xml:space="preserve">شفت رابط شیر پروانه ای به اکچویتور</t>
  </si>
  <si>
    <t xml:space="preserve">31251376</t>
  </si>
  <si>
    <t xml:space="preserve">شفت فن کوچک پیلر</t>
  </si>
  <si>
    <t xml:space="preserve">31251377</t>
  </si>
  <si>
    <r>
      <rPr>
        <sz val="10"/>
        <rFont val="FreeSans"/>
        <family val="2"/>
      </rPr>
      <t xml:space="preserve">شفت شیر پروانه ای </t>
    </r>
    <r>
      <rPr>
        <sz val="10"/>
        <rFont val="Vazirmatn"/>
        <family val="0"/>
        <charset val="1"/>
      </rPr>
      <t xml:space="preserve">" 2</t>
    </r>
  </si>
  <si>
    <t xml:space="preserve">31251378</t>
  </si>
  <si>
    <r>
      <rPr>
        <sz val="10"/>
        <rFont val="FreeSans"/>
        <family val="2"/>
      </rPr>
      <t xml:space="preserve">شفت پمپ ایران  </t>
    </r>
    <r>
      <rPr>
        <sz val="10"/>
        <rFont val="Vazirmatn"/>
        <family val="0"/>
        <charset val="1"/>
      </rPr>
      <t xml:space="preserve">160 - 32</t>
    </r>
  </si>
  <si>
    <t xml:space="preserve">31251380</t>
  </si>
  <si>
    <r>
      <rPr>
        <sz val="10"/>
        <rFont val="FreeSans"/>
        <family val="2"/>
      </rPr>
      <t xml:space="preserve">شفت استیل سپراتور  </t>
    </r>
    <r>
      <rPr>
        <sz val="10"/>
        <rFont val="Vazirmatn"/>
        <family val="0"/>
        <charset val="1"/>
      </rPr>
      <t xml:space="preserve">TX</t>
    </r>
  </si>
  <si>
    <t xml:space="preserve">31251381</t>
  </si>
  <si>
    <r>
      <rPr>
        <sz val="10"/>
        <rFont val="FreeSans"/>
        <family val="2"/>
      </rPr>
      <t xml:space="preserve">شفت استیل پمپ </t>
    </r>
    <r>
      <rPr>
        <sz val="10"/>
        <rFont val="Vazirmatn"/>
        <family val="0"/>
        <charset val="1"/>
      </rPr>
      <t xml:space="preserve">3141   590MM * 60MM</t>
    </r>
  </si>
  <si>
    <t xml:space="preserve">31251383</t>
  </si>
  <si>
    <r>
      <rPr>
        <sz val="10"/>
        <rFont val="FreeSans"/>
        <family val="2"/>
      </rPr>
      <t xml:space="preserve">شفت استیل پمپ خلاء گلوکوز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کارخانه </t>
    </r>
    <r>
      <rPr>
        <sz val="10"/>
        <rFont val="Vazirmatn"/>
        <family val="0"/>
        <charset val="1"/>
      </rPr>
      <t xml:space="preserve">)</t>
    </r>
  </si>
  <si>
    <t xml:space="preserve">31251384</t>
  </si>
  <si>
    <r>
      <rPr>
        <sz val="10"/>
        <rFont val="FreeSans"/>
        <family val="2"/>
      </rPr>
      <t xml:space="preserve">شفت کامل مشعل دیگ بخار  </t>
    </r>
    <r>
      <rPr>
        <sz val="10"/>
        <rFont val="Vazirmatn"/>
        <family val="0"/>
        <charset val="1"/>
      </rPr>
      <t xml:space="preserve">AW D22</t>
    </r>
  </si>
  <si>
    <t xml:space="preserve">31251386</t>
  </si>
  <si>
    <t xml:space="preserve">شفت پمپ روغن خلاء</t>
  </si>
  <si>
    <t xml:space="preserve">31251387</t>
  </si>
  <si>
    <t xml:space="preserve">شفت دنده گیر بکس تیغه درام شربت</t>
  </si>
  <si>
    <t xml:space="preserve">31251388</t>
  </si>
  <si>
    <r>
      <rPr>
        <sz val="10"/>
        <rFont val="FreeSans"/>
        <family val="2"/>
      </rPr>
      <t xml:space="preserve">شفت استیل پمپ خلاء </t>
    </r>
    <r>
      <rPr>
        <sz val="10"/>
        <rFont val="Vazirmatn"/>
        <family val="0"/>
        <charset val="1"/>
      </rPr>
      <t xml:space="preserve">1306 * 90</t>
    </r>
  </si>
  <si>
    <t xml:space="preserve">31251389</t>
  </si>
  <si>
    <t xml:space="preserve">شفت رابط هلیس</t>
  </si>
  <si>
    <t xml:space="preserve">31251392</t>
  </si>
  <si>
    <r>
      <rPr>
        <sz val="10"/>
        <rFont val="FreeSans"/>
        <family val="2"/>
      </rPr>
      <t xml:space="preserve">شفت رابط وسط هلیس </t>
    </r>
    <r>
      <rPr>
        <sz val="10"/>
        <rFont val="Vazirmatn"/>
        <family val="0"/>
        <charset val="1"/>
      </rPr>
      <t xml:space="preserve">" 1/2 2</t>
    </r>
  </si>
  <si>
    <t xml:space="preserve">31251393</t>
  </si>
  <si>
    <r>
      <rPr>
        <sz val="10"/>
        <rFont val="FreeSans"/>
        <family val="2"/>
      </rPr>
      <t xml:space="preserve">شفت رابط سمت گیربکس هلیس </t>
    </r>
    <r>
      <rPr>
        <sz val="10"/>
        <rFont val="Vazirmatn"/>
        <family val="0"/>
        <charset val="1"/>
      </rPr>
      <t xml:space="preserve">" 1/2 2</t>
    </r>
  </si>
  <si>
    <t xml:space="preserve">31251394</t>
  </si>
  <si>
    <r>
      <rPr>
        <sz val="10"/>
        <rFont val="FreeSans"/>
        <family val="2"/>
      </rPr>
      <t xml:space="preserve">شفت رابط سمت یاتاقان هلیس </t>
    </r>
    <r>
      <rPr>
        <sz val="10"/>
        <rFont val="Vazirmatn"/>
        <family val="0"/>
        <charset val="1"/>
      </rPr>
      <t xml:space="preserve">" 1/2 2</t>
    </r>
  </si>
  <si>
    <t xml:space="preserve">31251395</t>
  </si>
  <si>
    <t xml:space="preserve">شفت گیربکس چینی نشاسته اکسید</t>
  </si>
  <si>
    <t xml:space="preserve">31251397</t>
  </si>
  <si>
    <r>
      <rPr>
        <sz val="10"/>
        <rFont val="FreeSans"/>
        <family val="2"/>
      </rPr>
      <t xml:space="preserve">شفت لوله ای فید تیوپ دکانتور </t>
    </r>
    <r>
      <rPr>
        <sz val="10"/>
        <rFont val="Vazirmatn"/>
        <family val="0"/>
        <charset val="1"/>
      </rPr>
      <t xml:space="preserve">010 - 6245 - 8417</t>
    </r>
  </si>
  <si>
    <t xml:space="preserve">31251398</t>
  </si>
  <si>
    <r>
      <rPr>
        <sz val="10"/>
        <rFont val="FreeSans"/>
        <family val="2"/>
      </rPr>
      <t xml:space="preserve">شفت فید تیوپ دکانتر </t>
    </r>
    <r>
      <rPr>
        <sz val="10"/>
        <rFont val="Vazirmatn"/>
        <family val="0"/>
        <charset val="1"/>
      </rPr>
      <t xml:space="preserve">INLET TUBE .COMPEL  8417-6245-050</t>
    </r>
  </si>
  <si>
    <t xml:space="preserve">31251401</t>
  </si>
  <si>
    <r>
      <rPr>
        <sz val="10"/>
        <rFont val="FreeSans"/>
        <family val="2"/>
      </rPr>
      <t xml:space="preserve">شفت     </t>
    </r>
    <r>
      <rPr>
        <sz val="10"/>
        <rFont val="Vazirmatn"/>
        <family val="0"/>
        <charset val="1"/>
      </rPr>
      <t xml:space="preserve">APP23-40</t>
    </r>
  </si>
  <si>
    <t xml:space="preserve">31251402</t>
  </si>
  <si>
    <r>
      <rPr>
        <sz val="10"/>
        <rFont val="FreeSans"/>
        <family val="2"/>
      </rPr>
      <t xml:space="preserve">شفت پمپ سولزر </t>
    </r>
    <r>
      <rPr>
        <sz val="10"/>
        <rFont val="Vazirmatn"/>
        <family val="0"/>
        <charset val="1"/>
      </rPr>
      <t xml:space="preserve">( APP11-50 )</t>
    </r>
  </si>
  <si>
    <t xml:space="preserve">31251404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</si>
  <si>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IHD125-100-400</t>
    </r>
  </si>
  <si>
    <t xml:space="preserve">31251406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</si>
  <si>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KHZ100-65-315</t>
    </r>
  </si>
  <si>
    <t xml:space="preserve">31251409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</si>
  <si>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KHZ50-32-160</t>
    </r>
  </si>
  <si>
    <t xml:space="preserve">31251412</t>
  </si>
  <si>
    <r>
      <rPr>
        <sz val="10"/>
        <rFont val="FreeSans"/>
        <family val="2"/>
      </rPr>
      <t xml:space="preserve">شفت </t>
    </r>
    <r>
      <rPr>
        <sz val="10"/>
        <rFont val="Vazirmatn"/>
        <family val="0"/>
        <charset val="1"/>
      </rPr>
      <t xml:space="preserve">KHZ80-65-250</t>
    </r>
  </si>
  <si>
    <t xml:space="preserve">31251413</t>
  </si>
  <si>
    <r>
      <rPr>
        <sz val="10"/>
        <rFont val="FreeSans"/>
        <family val="2"/>
      </rPr>
      <t xml:space="preserve">شفت پمپ           </t>
    </r>
    <r>
      <rPr>
        <sz val="10"/>
        <rFont val="Vazirmatn"/>
        <family val="0"/>
        <charset val="1"/>
      </rPr>
      <t xml:space="preserve">CDL 30 -20FSWP</t>
    </r>
  </si>
  <si>
    <t xml:space="preserve">31251414</t>
  </si>
  <si>
    <r>
      <rPr>
        <sz val="10"/>
        <rFont val="FreeSans"/>
        <family val="2"/>
      </rPr>
      <t xml:space="preserve">شفت پمپ طبقاتی  </t>
    </r>
    <r>
      <rPr>
        <sz val="10"/>
        <rFont val="Vazirmatn"/>
        <family val="0"/>
        <charset val="1"/>
      </rPr>
      <t xml:space="preserve">CDL32-30FSWP</t>
    </r>
  </si>
  <si>
    <t xml:space="preserve">31251415</t>
  </si>
  <si>
    <r>
      <rPr>
        <sz val="10"/>
        <rFont val="FreeSans"/>
        <family val="2"/>
      </rPr>
      <t xml:space="preserve">شفت پمپ       </t>
    </r>
    <r>
      <rPr>
        <sz val="10"/>
        <rFont val="Vazirmatn"/>
        <family val="0"/>
        <charset val="1"/>
      </rPr>
      <t xml:space="preserve">CDL20-14FSWP</t>
    </r>
  </si>
  <si>
    <t xml:space="preserve">31251416</t>
  </si>
  <si>
    <r>
      <rPr>
        <sz val="10"/>
        <rFont val="FreeSans"/>
        <family val="2"/>
      </rPr>
      <t xml:space="preserve">شفت پمپ     </t>
    </r>
    <r>
      <rPr>
        <sz val="10"/>
        <rFont val="Vazirmatn"/>
        <family val="0"/>
        <charset val="1"/>
      </rPr>
      <t xml:space="preserve">CDL32-90 FSWP</t>
    </r>
  </si>
  <si>
    <t xml:space="preserve">31251417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</si>
  <si>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400 - 150 - 200 IS</t>
    </r>
  </si>
  <si>
    <t xml:space="preserve">31251418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</si>
  <si>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20/4 - 20 - 50FS</t>
    </r>
  </si>
  <si>
    <t xml:space="preserve">31251419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</si>
  <si>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20/5.5 - 30 - 65FS</t>
    </r>
  </si>
  <si>
    <t xml:space="preserve">31251420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</si>
  <si>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315 - 100 - 125 IHD</t>
    </r>
  </si>
  <si>
    <t xml:space="preserve">31251422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</si>
  <si>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20/3 - 8 - 40FS</t>
    </r>
  </si>
  <si>
    <t xml:space="preserve">31251424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</si>
  <si>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125 - 50 -  65 IHD</t>
    </r>
  </si>
  <si>
    <t xml:space="preserve">31251425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</si>
  <si>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200 - 65 -  80 IHD</t>
    </r>
  </si>
  <si>
    <t xml:space="preserve">31251426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</si>
  <si>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160 - 32 - 50 IHD</t>
    </r>
  </si>
  <si>
    <t xml:space="preserve">31251429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</si>
  <si>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400 - 50 - 80 IHD</t>
    </r>
  </si>
  <si>
    <t xml:space="preserve">31251430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</si>
  <si>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450 - 65 - 100 IHD</t>
    </r>
  </si>
  <si>
    <t xml:space="preserve">31251431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</si>
  <si>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125 - 32 - 50 IHD</t>
    </r>
  </si>
  <si>
    <t xml:space="preserve">31251432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</si>
  <si>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125 - 25 - 40 IHD</t>
    </r>
  </si>
  <si>
    <t xml:space="preserve">31251433</t>
  </si>
  <si>
    <r>
      <rPr>
        <sz val="10"/>
        <rFont val="FreeSans"/>
        <family val="2"/>
      </rPr>
      <t xml:space="preserve">شفت استیل  </t>
    </r>
    <r>
      <rPr>
        <sz val="10"/>
        <rFont val="Vazirmatn"/>
        <family val="0"/>
        <charset val="1"/>
      </rPr>
      <t xml:space="preserve">400 - 150 - 200 IHD</t>
    </r>
  </si>
  <si>
    <t xml:space="preserve">31251434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</si>
  <si>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200 - 50 - 65 IHD</t>
    </r>
  </si>
  <si>
    <t xml:space="preserve">31251436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</si>
  <si>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200 - 32 - 50 IHD</t>
    </r>
  </si>
  <si>
    <t xml:space="preserve">31251437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</si>
  <si>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160 - 50 - 65 IHD</t>
    </r>
  </si>
  <si>
    <t xml:space="preserve">31251438</t>
  </si>
  <si>
    <r>
      <rPr>
        <sz val="10"/>
        <rFont val="FreeSans"/>
        <family val="2"/>
      </rPr>
      <t xml:space="preserve">شفت استیل </t>
    </r>
    <r>
      <rPr>
        <sz val="10"/>
        <rFont val="Vazirmatn"/>
        <family val="0"/>
        <charset val="1"/>
      </rPr>
      <t xml:space="preserve">250 - 50 - 65 IHD</t>
    </r>
  </si>
  <si>
    <t xml:space="preserve">31251440</t>
  </si>
  <si>
    <r>
      <rPr>
        <sz val="10"/>
        <rFont val="FreeSans"/>
        <family val="2"/>
      </rPr>
      <t xml:space="preserve">شفت پمپ     </t>
    </r>
    <r>
      <rPr>
        <sz val="10"/>
        <rFont val="Vazirmatn"/>
        <family val="0"/>
        <charset val="1"/>
      </rPr>
      <t xml:space="preserve">APP22-32</t>
    </r>
  </si>
  <si>
    <t xml:space="preserve">31251441</t>
  </si>
  <si>
    <t xml:space="preserve">شفت دنده ورودی پرس گویوم روغن</t>
  </si>
  <si>
    <t xml:space="preserve">31251443</t>
  </si>
  <si>
    <r>
      <rPr>
        <sz val="10"/>
        <rFont val="FreeSans"/>
        <family val="2"/>
      </rPr>
      <t xml:space="preserve">شفت مار پیچ اسکرول دکانتور  </t>
    </r>
    <r>
      <rPr>
        <sz val="10"/>
        <rFont val="Vazirmatn"/>
        <family val="0"/>
        <charset val="1"/>
      </rPr>
      <t xml:space="preserve">258-0520-9987</t>
    </r>
  </si>
  <si>
    <t xml:space="preserve">31251444</t>
  </si>
  <si>
    <r>
      <rPr>
        <sz val="10"/>
        <rFont val="FreeSans"/>
        <family val="2"/>
      </rPr>
      <t xml:space="preserve">شفت همزن تانک </t>
    </r>
    <r>
      <rPr>
        <sz val="10"/>
        <rFont val="Vazirmatn"/>
        <family val="0"/>
        <charset val="1"/>
      </rPr>
      <t xml:space="preserve">CSL</t>
    </r>
  </si>
  <si>
    <t xml:space="preserve">31251445</t>
  </si>
  <si>
    <r>
      <rPr>
        <sz val="10"/>
        <rFont val="FreeSans"/>
        <family val="2"/>
      </rPr>
      <t xml:space="preserve">فلنج گیربکس سهند  </t>
    </r>
    <r>
      <rPr>
        <sz val="10"/>
        <rFont val="Vazirmatn"/>
        <family val="0"/>
        <charset val="1"/>
      </rPr>
      <t xml:space="preserve">VF 150</t>
    </r>
  </si>
  <si>
    <t xml:space="preserve">31251446</t>
  </si>
  <si>
    <t xml:space="preserve">شفت دنده گیربکس پرس روغن آناد</t>
  </si>
  <si>
    <t xml:space="preserve">31251447</t>
  </si>
  <si>
    <t xml:space="preserve">شفت همزن فومینگ تانک</t>
  </si>
  <si>
    <t xml:space="preserve">تجهيزات آزمايشگاهي</t>
  </si>
  <si>
    <t xml:space="preserve">31251449</t>
  </si>
  <si>
    <t xml:space="preserve">شفت دنده ورودی گیربکس درام اکسید</t>
  </si>
  <si>
    <t xml:space="preserve">31251451</t>
  </si>
  <si>
    <r>
      <rPr>
        <sz val="10"/>
        <rFont val="FreeSans"/>
        <family val="2"/>
      </rPr>
      <t xml:space="preserve">شفت پروانه کولر </t>
    </r>
    <r>
      <rPr>
        <sz val="10"/>
        <rFont val="Vazirmatn"/>
        <family val="0"/>
        <charset val="1"/>
      </rPr>
      <t xml:space="preserve">3500</t>
    </r>
  </si>
  <si>
    <t xml:space="preserve">31252106</t>
  </si>
  <si>
    <r>
      <rPr>
        <sz val="10"/>
        <rFont val="FreeSans"/>
        <family val="2"/>
      </rPr>
      <t xml:space="preserve">پروانه فن کمپرسور پارس         </t>
    </r>
    <r>
      <rPr>
        <sz val="10"/>
        <rFont val="Vazirmatn"/>
        <family val="0"/>
        <charset val="1"/>
      </rPr>
      <t xml:space="preserve">B 160</t>
    </r>
  </si>
  <si>
    <t xml:space="preserve">31252107</t>
  </si>
  <si>
    <r>
      <rPr>
        <sz val="10"/>
        <rFont val="FreeSans"/>
        <family val="2"/>
      </rPr>
      <t xml:space="preserve">پروانه پلاستیکی الکتروموتور          </t>
    </r>
    <r>
      <rPr>
        <sz val="10"/>
        <rFont val="Vazirmatn"/>
        <family val="0"/>
        <charset val="1"/>
      </rPr>
      <t xml:space="preserve">46mm</t>
    </r>
  </si>
  <si>
    <t xml:space="preserve">31252111</t>
  </si>
  <si>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پروانه پمپ اسید</t>
    </r>
  </si>
  <si>
    <t xml:space="preserve">31252113</t>
  </si>
  <si>
    <t xml:space="preserve">پروانه استیل شفت سپراتور تغلیظ</t>
  </si>
  <si>
    <t xml:space="preserve">31252115</t>
  </si>
  <si>
    <r>
      <rPr>
        <sz val="10"/>
        <rFont val="FreeSans"/>
        <family val="2"/>
      </rPr>
      <t xml:space="preserve">پروانه پلاستیکی الکتروموتور         </t>
    </r>
    <r>
      <rPr>
        <sz val="10"/>
        <rFont val="Vazirmatn"/>
        <family val="0"/>
        <charset val="1"/>
      </rPr>
      <t xml:space="preserve">22mm</t>
    </r>
  </si>
  <si>
    <t xml:space="preserve">31252116</t>
  </si>
  <si>
    <r>
      <rPr>
        <sz val="10"/>
        <rFont val="FreeSans"/>
        <family val="2"/>
      </rPr>
      <t xml:space="preserve">پروانه کمکی پمپ </t>
    </r>
    <r>
      <rPr>
        <sz val="10"/>
        <rFont val="Vazirmatn"/>
        <family val="0"/>
        <charset val="1"/>
      </rPr>
      <t xml:space="preserve">200 - 50 - 65 IHD</t>
    </r>
  </si>
  <si>
    <t xml:space="preserve">31252121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</si>
  <si>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IHD 80 - 65 - 250</t>
    </r>
  </si>
  <si>
    <t xml:space="preserve">31252124</t>
  </si>
  <si>
    <r>
      <rPr>
        <sz val="10"/>
        <rFont val="FreeSans"/>
        <family val="2"/>
      </rPr>
      <t xml:space="preserve">پروانه پلاستیکی فن مکنده دیواری قطر </t>
    </r>
    <r>
      <rPr>
        <sz val="10"/>
        <rFont val="Vazirmatn"/>
        <family val="0"/>
        <charset val="1"/>
      </rPr>
      <t xml:space="preserve">50cm</t>
    </r>
  </si>
  <si>
    <t xml:space="preserve">31252127</t>
  </si>
  <si>
    <r>
      <rPr>
        <sz val="10"/>
        <rFont val="FreeSans"/>
        <family val="2"/>
      </rPr>
      <t xml:space="preserve">پروانه پمپ پوسته  </t>
    </r>
    <r>
      <rPr>
        <sz val="10"/>
        <rFont val="Vazirmatn"/>
        <family val="0"/>
        <charset val="1"/>
      </rPr>
      <t xml:space="preserve">200 - 80- 125</t>
    </r>
  </si>
  <si>
    <t xml:space="preserve">31252131</t>
  </si>
  <si>
    <t xml:space="preserve">پروانه</t>
  </si>
  <si>
    <t xml:space="preserve">31252134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</si>
  <si>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200 - 80 - 125</t>
    </r>
  </si>
  <si>
    <t xml:space="preserve">31252135</t>
  </si>
  <si>
    <r>
      <rPr>
        <sz val="10"/>
        <rFont val="FreeSans"/>
        <family val="2"/>
      </rPr>
      <t xml:space="preserve">پروانه جلو بسته  پمپ    </t>
    </r>
    <r>
      <rPr>
        <sz val="10"/>
        <rFont val="Vazirmatn"/>
        <family val="0"/>
        <charset val="1"/>
      </rPr>
      <t xml:space="preserve">200 - 80 - 125 IHD</t>
    </r>
  </si>
  <si>
    <t xml:space="preserve">31252136</t>
  </si>
  <si>
    <r>
      <rPr>
        <sz val="10"/>
        <rFont val="FreeSans"/>
        <family val="2"/>
      </rPr>
      <t xml:space="preserve">پروانه جلو بسته پمپ </t>
    </r>
    <r>
      <rPr>
        <sz val="10"/>
        <rFont val="Vazirmatn"/>
        <family val="0"/>
        <charset val="1"/>
      </rPr>
      <t xml:space="preserve">IHD 100-65-200</t>
    </r>
  </si>
  <si>
    <t xml:space="preserve">31252140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</si>
  <si>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250 - 80 - 125</t>
    </r>
  </si>
  <si>
    <t xml:space="preserve">31252143</t>
  </si>
  <si>
    <r>
      <rPr>
        <sz val="10"/>
        <rFont val="FreeSans"/>
        <family val="2"/>
      </rPr>
      <t xml:space="preserve">پروانه کولر آبی   </t>
    </r>
    <r>
      <rPr>
        <sz val="10"/>
        <rFont val="Vazirmatn"/>
        <family val="0"/>
        <charset val="1"/>
      </rPr>
      <t xml:space="preserve">7000</t>
    </r>
  </si>
  <si>
    <t xml:space="preserve">31252147</t>
  </si>
  <si>
    <r>
      <rPr>
        <sz val="10"/>
        <rFont val="FreeSans"/>
        <family val="2"/>
      </rPr>
      <t xml:space="preserve">قطره گیر  </t>
    </r>
    <r>
      <rPr>
        <sz val="10"/>
        <rFont val="Vazirmatn"/>
        <family val="0"/>
        <charset val="1"/>
      </rPr>
      <t xml:space="preserve">Tap 180cm</t>
    </r>
  </si>
  <si>
    <t xml:space="preserve">31252148</t>
  </si>
  <si>
    <r>
      <rPr>
        <sz val="10"/>
        <rFont val="FreeSans"/>
        <family val="2"/>
      </rPr>
      <t xml:space="preserve">گیره فاصله پرکن  </t>
    </r>
    <r>
      <rPr>
        <sz val="10"/>
        <rFont val="Vazirmatn"/>
        <family val="0"/>
        <charset val="1"/>
      </rPr>
      <t xml:space="preserve">TAS 033</t>
    </r>
  </si>
  <si>
    <t xml:space="preserve">31252149</t>
  </si>
  <si>
    <r>
      <rPr>
        <sz val="10"/>
        <rFont val="FreeSans"/>
        <family val="2"/>
      </rPr>
      <t xml:space="preserve">پروانه پمپ ایران چدنی  </t>
    </r>
    <r>
      <rPr>
        <sz val="10"/>
        <rFont val="Vazirmatn"/>
        <family val="0"/>
        <charset val="1"/>
      </rPr>
      <t xml:space="preserve">50 - 100</t>
    </r>
  </si>
  <si>
    <t xml:space="preserve">31252151</t>
  </si>
  <si>
    <r>
      <rPr>
        <sz val="10"/>
        <rFont val="FreeSans"/>
        <family val="2"/>
      </rPr>
      <t xml:space="preserve">پروانه الکتروموتور </t>
    </r>
    <r>
      <rPr>
        <sz val="10"/>
        <rFont val="Vazirmatn"/>
        <family val="0"/>
        <charset val="1"/>
      </rPr>
      <t xml:space="preserve">75KW </t>
    </r>
    <r>
      <rPr>
        <sz val="10"/>
        <rFont val="FreeSans"/>
        <family val="2"/>
      </rPr>
      <t xml:space="preserve">آلومینیومی  </t>
    </r>
    <r>
      <rPr>
        <sz val="10"/>
        <rFont val="Vazirmatn"/>
        <family val="0"/>
        <charset val="1"/>
      </rPr>
      <t xml:space="preserve">65mm</t>
    </r>
  </si>
  <si>
    <t xml:space="preserve">31252155</t>
  </si>
  <si>
    <r>
      <rPr>
        <sz val="10"/>
        <rFont val="FreeSans"/>
        <family val="2"/>
      </rPr>
      <t xml:space="preserve">پروانه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آسیاب نشاسته اکسید</t>
    </r>
  </si>
  <si>
    <t xml:space="preserve">31252158</t>
  </si>
  <si>
    <t xml:space="preserve">پروانه استیل</t>
  </si>
  <si>
    <t xml:space="preserve">31252159</t>
  </si>
  <si>
    <t xml:space="preserve">پروانه پمپ آب</t>
  </si>
  <si>
    <t xml:space="preserve">31252160</t>
  </si>
  <si>
    <r>
      <rPr>
        <sz val="10"/>
        <rFont val="FreeSans"/>
        <family val="2"/>
      </rPr>
      <t xml:space="preserve">پروانه پمپ ایران  </t>
    </r>
    <r>
      <rPr>
        <sz val="10"/>
        <rFont val="Vazirmatn"/>
        <family val="0"/>
        <charset val="1"/>
      </rPr>
      <t xml:space="preserve">250 - 40</t>
    </r>
  </si>
  <si>
    <t xml:space="preserve">31252161</t>
  </si>
  <si>
    <r>
      <rPr>
        <sz val="10"/>
        <rFont val="FreeSans"/>
        <family val="2"/>
      </rPr>
      <t xml:space="preserve">پروانه استیل پمپ سپراتور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پره   </t>
    </r>
    <r>
      <rPr>
        <sz val="10"/>
        <rFont val="Vazirmatn"/>
        <family val="0"/>
        <charset val="1"/>
      </rPr>
      <t xml:space="preserve">200 * 10</t>
    </r>
  </si>
  <si>
    <t xml:space="preserve">31252164</t>
  </si>
  <si>
    <t xml:space="preserve">پروانه مستعمل</t>
  </si>
  <si>
    <t xml:space="preserve">31252165</t>
  </si>
  <si>
    <r>
      <rPr>
        <sz val="10"/>
        <rFont val="FreeSans"/>
        <family val="2"/>
      </rPr>
      <t xml:space="preserve">پروانه چدنی پمپ ایران   </t>
    </r>
    <r>
      <rPr>
        <sz val="10"/>
        <rFont val="Vazirmatn"/>
        <family val="0"/>
        <charset val="1"/>
      </rPr>
      <t xml:space="preserve">100 - 250</t>
    </r>
  </si>
  <si>
    <t xml:space="preserve">31252167</t>
  </si>
  <si>
    <t xml:space="preserve">پروانه استیل سپراتور</t>
  </si>
  <si>
    <t xml:space="preserve">31252169</t>
  </si>
  <si>
    <r>
      <rPr>
        <sz val="10"/>
        <rFont val="FreeSans"/>
        <family val="2"/>
      </rPr>
      <t xml:space="preserve">پروانه پمپ ایران               </t>
    </r>
    <r>
      <rPr>
        <sz val="10"/>
        <rFont val="Vazirmatn"/>
        <family val="0"/>
        <charset val="1"/>
      </rPr>
      <t xml:space="preserve">315 - 65</t>
    </r>
  </si>
  <si>
    <t xml:space="preserve">31252170</t>
  </si>
  <si>
    <r>
      <rPr>
        <sz val="10"/>
        <rFont val="FreeSans"/>
        <family val="2"/>
      </rPr>
      <t xml:space="preserve">پروانه  چدنی دیگ بخار     </t>
    </r>
    <r>
      <rPr>
        <sz val="10"/>
        <rFont val="Vazirmatn"/>
        <family val="0"/>
        <charset val="1"/>
      </rPr>
      <t xml:space="preserve">38 * 185</t>
    </r>
  </si>
  <si>
    <t xml:space="preserve">31252171</t>
  </si>
  <si>
    <t xml:space="preserve">پروانه استیل پمپ سودا</t>
  </si>
  <si>
    <t xml:space="preserve">31252173</t>
  </si>
  <si>
    <t xml:space="preserve">31252174</t>
  </si>
  <si>
    <t xml:space="preserve">پروانه پمپ دیگ  بخار</t>
  </si>
  <si>
    <t xml:space="preserve">31252175</t>
  </si>
  <si>
    <r>
      <rPr>
        <sz val="10"/>
        <rFont val="FreeSans"/>
        <family val="2"/>
      </rPr>
      <t xml:space="preserve">پروانه پمپ اسید  </t>
    </r>
    <r>
      <rPr>
        <sz val="10"/>
        <rFont val="Vazirmatn"/>
        <family val="0"/>
        <charset val="1"/>
      </rPr>
      <t xml:space="preserve">AMP.N.40-150</t>
    </r>
  </si>
  <si>
    <t xml:space="preserve">31252176</t>
  </si>
  <si>
    <t xml:space="preserve">31252179</t>
  </si>
  <si>
    <t xml:space="preserve">پروانه استیل  پمپ ذرت بر</t>
  </si>
  <si>
    <t xml:space="preserve">31252180</t>
  </si>
  <si>
    <t xml:space="preserve">پروانه استیل متوسط</t>
  </si>
  <si>
    <t xml:space="preserve">31252182</t>
  </si>
  <si>
    <r>
      <rPr>
        <sz val="10"/>
        <rFont val="FreeSans"/>
        <family val="2"/>
      </rPr>
      <t xml:space="preserve">پروانه الکتروموتور آلومینیومی  </t>
    </r>
    <r>
      <rPr>
        <sz val="10"/>
        <rFont val="Vazirmatn"/>
        <family val="0"/>
        <charset val="1"/>
      </rPr>
      <t xml:space="preserve">69</t>
    </r>
  </si>
  <si>
    <t xml:space="preserve">31252183</t>
  </si>
  <si>
    <r>
      <rPr>
        <sz val="10"/>
        <rFont val="FreeSans"/>
        <family val="2"/>
      </rPr>
      <t xml:space="preserve">پروانه الکتروموتور آلومینیومی  </t>
    </r>
    <r>
      <rPr>
        <sz val="10"/>
        <rFont val="Vazirmatn"/>
        <family val="0"/>
        <charset val="1"/>
      </rPr>
      <t xml:space="preserve">55</t>
    </r>
  </si>
  <si>
    <t xml:space="preserve">31252184</t>
  </si>
  <si>
    <r>
      <rPr>
        <sz val="10"/>
        <rFont val="FreeSans"/>
        <family val="2"/>
      </rPr>
      <t xml:space="preserve">پروانه الکتروموتور موتوژن   </t>
    </r>
    <r>
      <rPr>
        <sz val="10"/>
        <rFont val="Vazirmatn"/>
        <family val="0"/>
        <charset val="1"/>
      </rPr>
      <t xml:space="preserve">11KW</t>
    </r>
  </si>
  <si>
    <t xml:space="preserve">31252185</t>
  </si>
  <si>
    <t xml:space="preserve">پروانه استیل پمپ سرند استیپ</t>
  </si>
  <si>
    <t xml:space="preserve">31252186</t>
  </si>
  <si>
    <t xml:space="preserve">پروانه کمکی استیل پمپ واش باطری  اکسید</t>
  </si>
  <si>
    <t xml:space="preserve">31252188</t>
  </si>
  <si>
    <r>
      <rPr>
        <sz val="10"/>
        <rFont val="FreeSans"/>
        <family val="2"/>
      </rPr>
      <t xml:space="preserve">پروانه آلومینیومی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پره فن کانالی درام اکسید</t>
    </r>
  </si>
  <si>
    <t xml:space="preserve">31252190</t>
  </si>
  <si>
    <r>
      <rPr>
        <sz val="10"/>
        <rFont val="FreeSans"/>
        <family val="2"/>
      </rPr>
      <t xml:space="preserve">پروانه برنجی پخش کننده روغن سپراتور   </t>
    </r>
    <r>
      <rPr>
        <sz val="10"/>
        <rFont val="Vazirmatn"/>
        <family val="0"/>
        <charset val="1"/>
      </rPr>
      <t xml:space="preserve">70343</t>
    </r>
  </si>
  <si>
    <t xml:space="preserve">31252193</t>
  </si>
  <si>
    <r>
      <rPr>
        <sz val="10"/>
        <rFont val="FreeSans"/>
        <family val="2"/>
      </rPr>
      <t xml:space="preserve">پروانه کمکی پمپ </t>
    </r>
    <r>
      <rPr>
        <sz val="10"/>
        <rFont val="Vazirmatn"/>
        <family val="0"/>
        <charset val="1"/>
      </rPr>
      <t xml:space="preserve">160 - 80 - 125 IHD</t>
    </r>
  </si>
  <si>
    <t xml:space="preserve">31252208</t>
  </si>
  <si>
    <r>
      <rPr>
        <sz val="10"/>
        <rFont val="FreeSans"/>
        <family val="2"/>
      </rPr>
      <t xml:space="preserve">پروانه </t>
    </r>
    <r>
      <rPr>
        <sz val="10"/>
        <rFont val="Vazirmatn"/>
        <family val="0"/>
        <charset val="1"/>
      </rPr>
      <t xml:space="preserve">IHD50-32-200</t>
    </r>
  </si>
  <si>
    <t xml:space="preserve">31252209</t>
  </si>
  <si>
    <r>
      <rPr>
        <sz val="10"/>
        <rFont val="FreeSans"/>
        <family val="2"/>
      </rPr>
      <t xml:space="preserve">پروانه </t>
    </r>
    <r>
      <rPr>
        <sz val="10"/>
        <rFont val="Vazirmatn"/>
        <family val="0"/>
        <charset val="1"/>
      </rPr>
      <t xml:space="preserve">IHD125-100-400</t>
    </r>
  </si>
  <si>
    <t xml:space="preserve">31252210</t>
  </si>
  <si>
    <r>
      <rPr>
        <sz val="10"/>
        <rFont val="FreeSans"/>
        <family val="2"/>
      </rPr>
      <t xml:space="preserve">پروانه </t>
    </r>
    <r>
      <rPr>
        <sz val="10"/>
        <rFont val="Vazirmatn"/>
        <family val="0"/>
        <charset val="1"/>
      </rPr>
      <t xml:space="preserve">IHD40-25-125</t>
    </r>
  </si>
  <si>
    <t xml:space="preserve">31252213</t>
  </si>
  <si>
    <r>
      <rPr>
        <sz val="10"/>
        <rFont val="FreeSans"/>
        <family val="2"/>
      </rPr>
      <t xml:space="preserve">پروانه پمپ      </t>
    </r>
    <r>
      <rPr>
        <sz val="10"/>
        <rFont val="Vazirmatn"/>
        <family val="0"/>
        <charset val="1"/>
      </rPr>
      <t xml:space="preserve">APP23-40</t>
    </r>
  </si>
  <si>
    <t xml:space="preserve">31252214</t>
  </si>
  <si>
    <r>
      <rPr>
        <sz val="10"/>
        <rFont val="FreeSans"/>
        <family val="2"/>
      </rPr>
      <t xml:space="preserve">پروانه پمپ طبقاطی             </t>
    </r>
    <r>
      <rPr>
        <sz val="10"/>
        <rFont val="Vazirmatn"/>
        <family val="0"/>
        <charset val="1"/>
      </rPr>
      <t xml:space="preserve">CDL20-14FSWP</t>
    </r>
  </si>
  <si>
    <t xml:space="preserve">31252215</t>
  </si>
  <si>
    <r>
      <rPr>
        <sz val="10"/>
        <rFont val="FreeSans"/>
        <family val="2"/>
      </rPr>
      <t xml:space="preserve">پروانه پمپ طبقاتی  </t>
    </r>
    <r>
      <rPr>
        <sz val="10"/>
        <rFont val="Vazirmatn"/>
        <family val="0"/>
        <charset val="1"/>
      </rPr>
      <t xml:space="preserve">CDL32-30FSWP</t>
    </r>
  </si>
  <si>
    <t xml:space="preserve">31252222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</si>
  <si>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450 - 65 - 100 IHD</t>
    </r>
  </si>
  <si>
    <t xml:space="preserve">31252225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</si>
  <si>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400 - 150 - 200 ( Q350 H40 ) IHD</t>
    </r>
  </si>
  <si>
    <t xml:space="preserve">31252227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</si>
  <si>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250 - 65 - 80 IHD</t>
    </r>
  </si>
  <si>
    <t xml:space="preserve">31252231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</si>
  <si>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160 - 65 - 80 ( Q40 H30 ) IHD</t>
    </r>
  </si>
  <si>
    <t xml:space="preserve">31252232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</si>
  <si>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160 - 65 - 80 ( Q55 H30 ) IHD</t>
    </r>
  </si>
  <si>
    <t xml:space="preserve">31252235</t>
  </si>
  <si>
    <r>
      <rPr>
        <sz val="10"/>
        <rFont val="FreeSans"/>
        <family val="2"/>
      </rPr>
      <t xml:space="preserve">پروانه استیل جلو باز  </t>
    </r>
    <r>
      <rPr>
        <sz val="10"/>
        <rFont val="Vazirmatn"/>
        <family val="0"/>
        <charset val="1"/>
      </rPr>
      <t xml:space="preserve">200 - 65 - IHD100</t>
    </r>
  </si>
  <si>
    <t xml:space="preserve">31252237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</si>
  <si>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125 - 25 - 40 IHD</t>
    </r>
  </si>
  <si>
    <t xml:space="preserve">31252238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</si>
  <si>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125 - 50 - 65 IHD</t>
    </r>
  </si>
  <si>
    <t xml:space="preserve">31252239</t>
  </si>
  <si>
    <r>
      <rPr>
        <sz val="10"/>
        <rFont val="FreeSans"/>
        <family val="2"/>
      </rPr>
      <t xml:space="preserve">پروانه استیل پمپ  </t>
    </r>
    <r>
      <rPr>
        <sz val="10"/>
        <rFont val="Vazirmatn"/>
        <family val="0"/>
        <charset val="1"/>
      </rPr>
      <t xml:space="preserve">200 - 50 - 65 IHD</t>
    </r>
  </si>
  <si>
    <t xml:space="preserve">31252240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</si>
  <si>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160 - 80 - 125 IHD</t>
    </r>
  </si>
  <si>
    <t xml:space="preserve">31252241</t>
  </si>
  <si>
    <r>
      <rPr>
        <sz val="10"/>
        <rFont val="FreeSans"/>
        <family val="2"/>
      </rPr>
      <t xml:space="preserve">پروانه استیل  </t>
    </r>
    <r>
      <rPr>
        <sz val="10"/>
        <rFont val="Vazirmatn"/>
        <family val="0"/>
        <charset val="1"/>
      </rPr>
      <t xml:space="preserve">125 - 65 - 80 IHD</t>
    </r>
  </si>
  <si>
    <t xml:space="preserve">31252243</t>
  </si>
  <si>
    <r>
      <rPr>
        <sz val="10"/>
        <rFont val="FreeSans"/>
        <family val="2"/>
      </rPr>
      <t xml:space="preserve">پروانه آهنی  </t>
    </r>
    <r>
      <rPr>
        <sz val="10"/>
        <rFont val="Vazirmatn"/>
        <family val="0"/>
        <charset val="1"/>
      </rPr>
      <t xml:space="preserve">400 - 150 - 200 UB - ZK</t>
    </r>
  </si>
  <si>
    <t xml:space="preserve">31252244</t>
  </si>
  <si>
    <r>
      <rPr>
        <sz val="10"/>
        <rFont val="FreeSans"/>
        <family val="2"/>
      </rPr>
      <t xml:space="preserve">پروانه تفلونی  </t>
    </r>
    <r>
      <rPr>
        <sz val="10"/>
        <rFont val="Vazirmatn"/>
        <family val="0"/>
        <charset val="1"/>
      </rPr>
      <t xml:space="preserve">35 - 100 - 100 FS</t>
    </r>
  </si>
  <si>
    <t xml:space="preserve">31252245</t>
  </si>
  <si>
    <r>
      <rPr>
        <sz val="10"/>
        <rFont val="FreeSans"/>
        <family val="2"/>
      </rPr>
      <t xml:space="preserve">پروانه تفلونی  </t>
    </r>
    <r>
      <rPr>
        <sz val="10"/>
        <rFont val="Vazirmatn"/>
        <family val="0"/>
        <charset val="1"/>
      </rPr>
      <t xml:space="preserve">32/5.5 - 30 - 65 FS</t>
    </r>
  </si>
  <si>
    <t xml:space="preserve">31252246</t>
  </si>
  <si>
    <r>
      <rPr>
        <sz val="10"/>
        <rFont val="FreeSans"/>
        <family val="2"/>
      </rPr>
      <t xml:space="preserve">پروانه تفلونی  </t>
    </r>
    <r>
      <rPr>
        <sz val="10"/>
        <rFont val="Vazirmatn"/>
        <family val="0"/>
        <charset val="1"/>
      </rPr>
      <t xml:space="preserve">20/3 - 8 - 40 FS</t>
    </r>
  </si>
  <si>
    <t xml:space="preserve">31252247</t>
  </si>
  <si>
    <r>
      <rPr>
        <sz val="10"/>
        <rFont val="FreeSans"/>
        <family val="2"/>
      </rPr>
      <t xml:space="preserve">پروانه تفلونی  </t>
    </r>
    <r>
      <rPr>
        <sz val="10"/>
        <rFont val="Vazirmatn"/>
        <family val="0"/>
        <charset val="1"/>
      </rPr>
      <t xml:space="preserve">20/4 - 20 - 50 FS</t>
    </r>
  </si>
  <si>
    <t xml:space="preserve">31252249</t>
  </si>
  <si>
    <r>
      <rPr>
        <sz val="10"/>
        <rFont val="FreeSans"/>
        <family val="2"/>
      </rPr>
      <t xml:space="preserve">پروانه تفلونی  </t>
    </r>
    <r>
      <rPr>
        <sz val="10"/>
        <rFont val="Vazirmatn"/>
        <family val="0"/>
        <charset val="1"/>
      </rPr>
      <t xml:space="preserve">160 - 65 - 80 ( Q40 H30 ) IHF</t>
    </r>
  </si>
  <si>
    <t xml:space="preserve">31252250</t>
  </si>
  <si>
    <r>
      <rPr>
        <sz val="10"/>
        <rFont val="FreeSans"/>
        <family val="2"/>
      </rPr>
      <t xml:space="preserve">پروانه استیل جلو باز  </t>
    </r>
    <r>
      <rPr>
        <sz val="10"/>
        <rFont val="Vazirmatn"/>
        <family val="0"/>
        <charset val="1"/>
      </rPr>
      <t xml:space="preserve">200 - 80 - 125 IHD</t>
    </r>
  </si>
  <si>
    <t xml:space="preserve">31252252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</si>
  <si>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315 - 125 - 150 KPW</t>
    </r>
  </si>
  <si>
    <t xml:space="preserve">31252254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</si>
  <si>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400 - 125 - 150 KPW</t>
    </r>
  </si>
  <si>
    <t xml:space="preserve">31252255</t>
  </si>
  <si>
    <r>
      <rPr>
        <sz val="10"/>
        <rFont val="FreeSans"/>
        <family val="2"/>
      </rPr>
      <t xml:space="preserve">پروانه کمکی پمپ </t>
    </r>
    <r>
      <rPr>
        <sz val="10"/>
        <rFont val="Vazirmatn"/>
        <family val="0"/>
        <charset val="1"/>
      </rPr>
      <t xml:space="preserve">400 - 125 - 150 KPW</t>
    </r>
  </si>
  <si>
    <t xml:space="preserve">31252256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</si>
  <si>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400 - 100 - 125 KPW</t>
    </r>
  </si>
  <si>
    <t xml:space="preserve">31252257</t>
  </si>
  <si>
    <r>
      <rPr>
        <sz val="10"/>
        <rFont val="FreeSans"/>
        <family val="2"/>
      </rPr>
      <t xml:space="preserve">پروانه کمکی پمپ </t>
    </r>
    <r>
      <rPr>
        <sz val="10"/>
        <rFont val="Vazirmatn"/>
        <family val="0"/>
        <charset val="1"/>
      </rPr>
      <t xml:space="preserve">400 - 100 - 125 KPW</t>
    </r>
  </si>
  <si>
    <t xml:space="preserve">31252265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</si>
  <si>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315 - 125 - 150 IHD</t>
    </r>
  </si>
  <si>
    <t xml:space="preserve">31252267</t>
  </si>
  <si>
    <r>
      <rPr>
        <sz val="10"/>
        <rFont val="FreeSans"/>
        <family val="2"/>
      </rPr>
      <t xml:space="preserve">پروانه پمپ </t>
    </r>
    <r>
      <rPr>
        <sz val="10"/>
        <rFont val="Vazirmatn"/>
        <family val="0"/>
        <charset val="1"/>
      </rPr>
      <t xml:space="preserve">450 - 100 - 125 IHD</t>
    </r>
  </si>
  <si>
    <t xml:space="preserve">31252268</t>
  </si>
  <si>
    <r>
      <rPr>
        <sz val="10"/>
        <rFont val="FreeSans"/>
        <family val="2"/>
      </rPr>
      <t xml:space="preserve">پروانه کمکی پمپ </t>
    </r>
    <r>
      <rPr>
        <sz val="10"/>
        <rFont val="Vazirmatn"/>
        <family val="0"/>
        <charset val="1"/>
      </rPr>
      <t xml:space="preserve">450 - 100 - 125 IHD</t>
    </r>
  </si>
  <si>
    <t xml:space="preserve">31252271</t>
  </si>
  <si>
    <r>
      <rPr>
        <sz val="10"/>
        <rFont val="FreeSans"/>
        <family val="2"/>
      </rPr>
      <t xml:space="preserve">پروانه پمپ      </t>
    </r>
    <r>
      <rPr>
        <sz val="10"/>
        <rFont val="Vazirmatn"/>
        <family val="0"/>
        <charset val="1"/>
      </rPr>
      <t xml:space="preserve">APP22-32</t>
    </r>
  </si>
  <si>
    <t xml:space="preserve">31252273</t>
  </si>
  <si>
    <r>
      <rPr>
        <sz val="10"/>
        <rFont val="FreeSans"/>
        <family val="2"/>
      </rPr>
      <t xml:space="preserve">پروانه فن مشعل دیگ روغن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قطر خارجی </t>
    </r>
    <r>
      <rPr>
        <sz val="10"/>
        <rFont val="Vazirmatn"/>
        <family val="0"/>
        <charset val="1"/>
      </rPr>
      <t xml:space="preserve">25Cm - </t>
    </r>
    <r>
      <rPr>
        <sz val="10"/>
        <rFont val="FreeSans"/>
        <family val="2"/>
      </rPr>
      <t xml:space="preserve">موتور </t>
    </r>
    <r>
      <rPr>
        <sz val="10"/>
        <rFont val="Vazirmatn"/>
        <family val="0"/>
        <charset val="1"/>
      </rPr>
      <t xml:space="preserve">2/2KW )</t>
    </r>
  </si>
  <si>
    <t xml:space="preserve">31252280</t>
  </si>
  <si>
    <t xml:space="preserve">پروانه پمپ آپارتمان یک اسب جتی</t>
  </si>
  <si>
    <t xml:space="preserve">31252281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</si>
  <si>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200 - 65 - 100  IHD</t>
    </r>
  </si>
  <si>
    <t xml:space="preserve">31252283</t>
  </si>
  <si>
    <r>
      <rPr>
        <sz val="10"/>
        <rFont val="FreeSans"/>
        <family val="2"/>
      </rPr>
      <t xml:space="preserve">پروانه استیل پمپ خلاء  </t>
    </r>
    <r>
      <rPr>
        <sz val="10"/>
        <rFont val="Vazirmatn"/>
        <family val="0"/>
        <charset val="1"/>
      </rPr>
      <t xml:space="preserve">PVI - T382</t>
    </r>
  </si>
  <si>
    <t xml:space="preserve">31252284</t>
  </si>
  <si>
    <r>
      <rPr>
        <sz val="10"/>
        <rFont val="FreeSans"/>
        <family val="2"/>
      </rPr>
      <t xml:space="preserve">پروانه فن هیتر کویلی </t>
    </r>
    <r>
      <rPr>
        <sz val="10"/>
        <rFont val="Vazirmatn"/>
        <family val="0"/>
        <charset val="1"/>
      </rPr>
      <t xml:space="preserve">UHB 300 - 2900 Cfm - 301600 BTU/hr - 3/4 hp - 1390 rpm - 380V - 3ph</t>
    </r>
  </si>
  <si>
    <t xml:space="preserve">31252286</t>
  </si>
  <si>
    <r>
      <rPr>
        <sz val="10"/>
        <rFont val="FreeSans"/>
        <family val="2"/>
      </rPr>
      <t xml:space="preserve">پروانه فن رادیاتور کمپرسور تورنادو </t>
    </r>
    <r>
      <rPr>
        <sz val="10"/>
        <rFont val="Vazirmatn"/>
        <family val="0"/>
        <charset val="1"/>
      </rPr>
      <t xml:space="preserve">100 ( </t>
    </r>
    <r>
      <rPr>
        <sz val="10"/>
        <rFont val="FreeSans"/>
        <family val="2"/>
      </rPr>
      <t xml:space="preserve">تبریز </t>
    </r>
    <r>
      <rPr>
        <sz val="10"/>
        <rFont val="Vazirmatn"/>
        <family val="0"/>
        <charset val="1"/>
      </rPr>
      <t xml:space="preserve">)</t>
    </r>
  </si>
  <si>
    <t xml:space="preserve">31252287</t>
  </si>
  <si>
    <r>
      <rPr>
        <sz val="10"/>
        <rFont val="FreeSans"/>
        <family val="2"/>
      </rPr>
      <t xml:space="preserve">پروانه فن فلزی  </t>
    </r>
    <r>
      <rPr>
        <sz val="10"/>
        <rFont val="Vazirmatn"/>
        <family val="0"/>
        <charset val="1"/>
      </rPr>
      <t xml:space="preserve">16</t>
    </r>
  </si>
  <si>
    <t xml:space="preserve">31252303</t>
  </si>
  <si>
    <t xml:space="preserve">پروانه کوپلینگ سپراتور</t>
  </si>
  <si>
    <t xml:space="preserve">31252312</t>
  </si>
  <si>
    <r>
      <rPr>
        <sz val="10"/>
        <rFont val="FreeSans"/>
        <family val="2"/>
      </rPr>
      <t xml:space="preserve">پروانه کمکی پمپ  </t>
    </r>
    <r>
      <rPr>
        <sz val="10"/>
        <rFont val="Vazirmatn"/>
        <family val="0"/>
        <charset val="1"/>
      </rPr>
      <t xml:space="preserve">200 - 65 - 100  IHD</t>
    </r>
  </si>
  <si>
    <t xml:space="preserve">31252315</t>
  </si>
  <si>
    <r>
      <rPr>
        <sz val="10"/>
        <rFont val="FreeSans"/>
        <family val="2"/>
      </rPr>
      <t xml:space="preserve">پروانه کمکی پمپ  </t>
    </r>
    <r>
      <rPr>
        <sz val="10"/>
        <rFont val="Vazirmatn"/>
        <family val="0"/>
        <charset val="1"/>
      </rPr>
      <t xml:space="preserve">IHD 125 - 80 - 200</t>
    </r>
  </si>
  <si>
    <t xml:space="preserve">31252318</t>
  </si>
  <si>
    <r>
      <rPr>
        <sz val="10"/>
        <rFont val="FreeSans"/>
        <family val="2"/>
      </rPr>
      <t xml:space="preserve">پروانه استیل پمپ درام شربت جدید  </t>
    </r>
    <r>
      <rPr>
        <sz val="10"/>
        <rFont val="Vazirmatn"/>
        <family val="0"/>
        <charset val="1"/>
      </rPr>
      <t xml:space="preserve">150MM</t>
    </r>
  </si>
  <si>
    <t xml:space="preserve">31252319</t>
  </si>
  <si>
    <r>
      <rPr>
        <sz val="10"/>
        <rFont val="FreeSans"/>
        <family val="2"/>
      </rPr>
      <t xml:space="preserve">پروانه پمپ اسید </t>
    </r>
    <r>
      <rPr>
        <sz val="10"/>
        <rFont val="Vazirmatn"/>
        <family val="0"/>
        <charset val="1"/>
      </rPr>
      <t xml:space="preserve">50FS - 12/5 - 20/4</t>
    </r>
  </si>
  <si>
    <t xml:space="preserve">31252324</t>
  </si>
  <si>
    <r>
      <rPr>
        <sz val="10"/>
        <rFont val="FreeSans"/>
        <family val="2"/>
      </rPr>
      <t xml:space="preserve">پروانه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پره استیل  پمپ کربن</t>
    </r>
  </si>
  <si>
    <t xml:space="preserve">31252330</t>
  </si>
  <si>
    <t xml:space="preserve">پروانه استیل پمپ سپراتور</t>
  </si>
  <si>
    <t xml:space="preserve">31252338</t>
  </si>
  <si>
    <r>
      <rPr>
        <sz val="10"/>
        <rFont val="FreeSans"/>
        <family val="2"/>
      </rPr>
      <t xml:space="preserve">پروانه استیل </t>
    </r>
    <r>
      <rPr>
        <sz val="10"/>
        <rFont val="Vazirmatn"/>
        <family val="0"/>
        <charset val="1"/>
      </rPr>
      <t xml:space="preserve">2  </t>
    </r>
    <r>
      <rPr>
        <sz val="10"/>
        <rFont val="FreeSans"/>
        <family val="2"/>
      </rPr>
      <t xml:space="preserve">پره  پمپ شربت</t>
    </r>
  </si>
  <si>
    <t xml:space="preserve">31252339</t>
  </si>
  <si>
    <r>
      <rPr>
        <sz val="10"/>
        <rFont val="FreeSans"/>
        <family val="2"/>
      </rPr>
      <t xml:space="preserve">پروانه استیل </t>
    </r>
    <r>
      <rPr>
        <sz val="10"/>
        <rFont val="Vazirmatn"/>
        <family val="0"/>
        <charset val="1"/>
      </rPr>
      <t xml:space="preserve">4  </t>
    </r>
    <r>
      <rPr>
        <sz val="10"/>
        <rFont val="FreeSans"/>
        <family val="2"/>
      </rPr>
      <t xml:space="preserve">پره  پمپ شربت </t>
    </r>
    <r>
      <rPr>
        <sz val="10"/>
        <rFont val="Vazirmatn"/>
        <family val="0"/>
        <charset val="1"/>
      </rPr>
      <t xml:space="preserve">138MM</t>
    </r>
  </si>
  <si>
    <t xml:space="preserve">31252340</t>
  </si>
  <si>
    <t xml:space="preserve">پروانه  اهنی</t>
  </si>
  <si>
    <t xml:space="preserve">31252347</t>
  </si>
  <si>
    <r>
      <rPr>
        <sz val="10"/>
        <rFont val="FreeSans"/>
        <family val="2"/>
      </rPr>
      <t xml:space="preserve">پروانه پلاستیکی الکتروموتور        </t>
    </r>
    <r>
      <rPr>
        <sz val="10"/>
        <rFont val="Vazirmatn"/>
        <family val="0"/>
        <charset val="1"/>
      </rPr>
      <t xml:space="preserve">58mm</t>
    </r>
  </si>
  <si>
    <t xml:space="preserve">31252348</t>
  </si>
  <si>
    <r>
      <rPr>
        <sz val="10"/>
        <rFont val="FreeSans"/>
        <family val="2"/>
      </rPr>
      <t xml:space="preserve">پروانه کمکی پمپ  </t>
    </r>
    <r>
      <rPr>
        <sz val="10"/>
        <rFont val="Vazirmatn"/>
        <family val="0"/>
        <charset val="1"/>
      </rPr>
      <t xml:space="preserve">250 - 80 - 125</t>
    </r>
  </si>
  <si>
    <t xml:space="preserve">31252351</t>
  </si>
  <si>
    <r>
      <rPr>
        <sz val="10"/>
        <rFont val="FreeSans"/>
        <family val="2"/>
      </rPr>
      <t xml:space="preserve">پروانه پلاستیکی الکتروموتور         </t>
    </r>
    <r>
      <rPr>
        <sz val="10"/>
        <rFont val="Vazirmatn"/>
        <family val="0"/>
        <charset val="1"/>
      </rPr>
      <t xml:space="preserve">34mm</t>
    </r>
  </si>
  <si>
    <t xml:space="preserve">31252354</t>
  </si>
  <si>
    <r>
      <rPr>
        <sz val="10"/>
        <rFont val="FreeSans"/>
        <family val="2"/>
      </rPr>
      <t xml:space="preserve">پروانه پلاستیکی الکتروموتور         </t>
    </r>
    <r>
      <rPr>
        <sz val="10"/>
        <rFont val="Vazirmatn"/>
        <family val="0"/>
        <charset val="1"/>
      </rPr>
      <t xml:space="preserve">68mm</t>
    </r>
  </si>
  <si>
    <t xml:space="preserve">31252355</t>
  </si>
  <si>
    <r>
      <rPr>
        <sz val="10"/>
        <rFont val="FreeSans"/>
        <family val="2"/>
      </rPr>
      <t xml:space="preserve">پروانه پلاستیکی الکتروموتور         </t>
    </r>
    <r>
      <rPr>
        <sz val="10"/>
        <rFont val="Vazirmatn"/>
        <family val="0"/>
        <charset val="1"/>
      </rPr>
      <t xml:space="preserve">70mm</t>
    </r>
  </si>
  <si>
    <t xml:space="preserve">31252356</t>
  </si>
  <si>
    <r>
      <rPr>
        <sz val="10"/>
        <rFont val="FreeSans"/>
        <family val="2"/>
      </rPr>
      <t xml:space="preserve">پروانه استیل بزرگ       </t>
    </r>
    <r>
      <rPr>
        <sz val="10"/>
        <rFont val="Vazirmatn"/>
        <family val="0"/>
        <charset val="1"/>
      </rPr>
      <t xml:space="preserve">3141</t>
    </r>
  </si>
  <si>
    <t xml:space="preserve">31252358</t>
  </si>
  <si>
    <r>
      <rPr>
        <sz val="10"/>
        <rFont val="FreeSans"/>
        <family val="2"/>
      </rPr>
      <t xml:space="preserve">پروانه پلاستیکی الکتروموتور        </t>
    </r>
    <r>
      <rPr>
        <sz val="10"/>
        <rFont val="Vazirmatn"/>
        <family val="0"/>
        <charset val="1"/>
      </rPr>
      <t xml:space="preserve">54mm</t>
    </r>
  </si>
  <si>
    <t xml:space="preserve">31252359</t>
  </si>
  <si>
    <r>
      <rPr>
        <sz val="10"/>
        <rFont val="FreeSans"/>
        <family val="2"/>
      </rPr>
      <t xml:space="preserve">پروانه پلاستیکی الکتروموتور        </t>
    </r>
    <r>
      <rPr>
        <sz val="10"/>
        <rFont val="Vazirmatn"/>
        <family val="0"/>
        <charset val="1"/>
      </rPr>
      <t xml:space="preserve">50mm</t>
    </r>
  </si>
  <si>
    <t xml:space="preserve">31252361</t>
  </si>
  <si>
    <r>
      <rPr>
        <sz val="10"/>
        <rFont val="FreeSans"/>
        <family val="2"/>
      </rPr>
      <t xml:space="preserve">پروانه تیغه ای فن کولینگ تاور  ضخامت </t>
    </r>
    <r>
      <rPr>
        <sz val="10"/>
        <rFont val="Vazirmatn"/>
        <family val="0"/>
        <charset val="1"/>
      </rPr>
      <t xml:space="preserve">5mm</t>
    </r>
  </si>
  <si>
    <t xml:space="preserve">31252362</t>
  </si>
  <si>
    <r>
      <rPr>
        <sz val="10"/>
        <rFont val="FreeSans"/>
        <family val="2"/>
      </rPr>
      <t xml:space="preserve">پروانه پلاستیکی الکتروموتور       </t>
    </r>
    <r>
      <rPr>
        <sz val="10"/>
        <rFont val="Vazirmatn"/>
        <family val="0"/>
        <charset val="1"/>
      </rPr>
      <t xml:space="preserve">75KW</t>
    </r>
  </si>
  <si>
    <t xml:space="preserve">31252363</t>
  </si>
  <si>
    <r>
      <rPr>
        <sz val="10"/>
        <rFont val="FreeSans"/>
        <family val="2"/>
      </rPr>
      <t xml:space="preserve">پروانه پلاستیکی الکتروموتور         </t>
    </r>
    <r>
      <rPr>
        <sz val="10"/>
        <rFont val="Vazirmatn"/>
        <family val="0"/>
        <charset val="1"/>
      </rPr>
      <t xml:space="preserve">12mm</t>
    </r>
  </si>
  <si>
    <t xml:space="preserve">31252366</t>
  </si>
  <si>
    <t xml:space="preserve">پروانه چهار پره پمپ چاله</t>
  </si>
  <si>
    <t xml:space="preserve">31252368</t>
  </si>
  <si>
    <r>
      <rPr>
        <sz val="10"/>
        <rFont val="FreeSans"/>
        <family val="2"/>
      </rPr>
      <t xml:space="preserve">پروانه پلاستیکی الکتروموتور  </t>
    </r>
    <r>
      <rPr>
        <sz val="10"/>
        <rFont val="Vazirmatn"/>
        <family val="0"/>
        <charset val="1"/>
      </rPr>
      <t xml:space="preserve">69mm</t>
    </r>
  </si>
  <si>
    <t xml:space="preserve">31252371</t>
  </si>
  <si>
    <r>
      <rPr>
        <sz val="10"/>
        <rFont val="FreeSans"/>
        <family val="2"/>
      </rPr>
      <t xml:space="preserve">پروانه کولینگ تاور آبگردان  </t>
    </r>
    <r>
      <rPr>
        <sz val="10"/>
        <rFont val="Vazirmatn"/>
        <family val="0"/>
        <charset val="1"/>
      </rPr>
      <t xml:space="preserve">MB 500</t>
    </r>
  </si>
  <si>
    <t xml:space="preserve">31252376</t>
  </si>
  <si>
    <r>
      <rPr>
        <sz val="10"/>
        <rFont val="FreeSans"/>
        <family val="2"/>
      </rPr>
      <t xml:space="preserve">پروانه فن سانترفیوژ </t>
    </r>
    <r>
      <rPr>
        <sz val="10"/>
        <rFont val="Vazirmatn"/>
        <family val="0"/>
        <charset val="1"/>
      </rPr>
      <t xml:space="preserve">18/5KW  2937 RPM</t>
    </r>
  </si>
  <si>
    <t xml:space="preserve">31252382</t>
  </si>
  <si>
    <r>
      <rPr>
        <sz val="10"/>
        <rFont val="FreeSans"/>
        <family val="2"/>
      </rPr>
      <t xml:space="preserve">پروانه پلاستیکی الکتروموتور        </t>
    </r>
    <r>
      <rPr>
        <sz val="10"/>
        <rFont val="Vazirmatn"/>
        <family val="0"/>
        <charset val="1"/>
      </rPr>
      <t xml:space="preserve">62mm</t>
    </r>
  </si>
  <si>
    <t xml:space="preserve">31252386</t>
  </si>
  <si>
    <r>
      <rPr>
        <sz val="10"/>
        <rFont val="FreeSans"/>
        <family val="2"/>
      </rPr>
      <t xml:space="preserve">پروانه فن خرده ذرت  </t>
    </r>
    <r>
      <rPr>
        <sz val="10"/>
        <rFont val="Vazirmatn"/>
        <family val="0"/>
        <charset val="1"/>
      </rPr>
      <t xml:space="preserve">IF HV 54 H</t>
    </r>
  </si>
  <si>
    <t xml:space="preserve">31252387</t>
  </si>
  <si>
    <r>
      <rPr>
        <sz val="10"/>
        <rFont val="FreeSans"/>
        <family val="2"/>
      </rPr>
      <t xml:space="preserve">پروانه فن آسیاب چکشی  </t>
    </r>
    <r>
      <rPr>
        <sz val="10"/>
        <rFont val="Vazirmatn"/>
        <family val="0"/>
        <charset val="1"/>
      </rPr>
      <t xml:space="preserve">IF HV 44 H</t>
    </r>
  </si>
  <si>
    <t xml:space="preserve">31252388</t>
  </si>
  <si>
    <r>
      <rPr>
        <sz val="10"/>
        <rFont val="FreeSans"/>
        <family val="2"/>
      </rPr>
      <t xml:space="preserve">پروانه فن خشکن پوسته  </t>
    </r>
    <r>
      <rPr>
        <sz val="10"/>
        <rFont val="Vazirmatn"/>
        <family val="0"/>
        <charset val="1"/>
      </rPr>
      <t xml:space="preserve">IF HV 65 J</t>
    </r>
  </si>
  <si>
    <t xml:space="preserve">31252389</t>
  </si>
  <si>
    <r>
      <rPr>
        <sz val="10"/>
        <rFont val="FreeSans"/>
        <family val="2"/>
      </rPr>
      <t xml:space="preserve">پروانه فن کنجاله  </t>
    </r>
    <r>
      <rPr>
        <sz val="10"/>
        <rFont val="Vazirmatn"/>
        <family val="0"/>
        <charset val="1"/>
      </rPr>
      <t xml:space="preserve">HD  46 K</t>
    </r>
  </si>
  <si>
    <t xml:space="preserve">31252392</t>
  </si>
  <si>
    <r>
      <rPr>
        <sz val="10"/>
        <rFont val="FreeSans"/>
        <family val="2"/>
      </rPr>
      <t xml:space="preserve">پروانه پلاستیکی الکتروموتور  </t>
    </r>
    <r>
      <rPr>
        <sz val="10"/>
        <rFont val="Vazirmatn"/>
        <family val="0"/>
        <charset val="1"/>
      </rPr>
      <t xml:space="preserve">10mm</t>
    </r>
  </si>
  <si>
    <t xml:space="preserve">31252393</t>
  </si>
  <si>
    <r>
      <rPr>
        <sz val="10"/>
        <rFont val="FreeSans"/>
        <family val="2"/>
      </rPr>
      <t xml:space="preserve">پروانه پلاستیکی الکتروموتور  </t>
    </r>
    <r>
      <rPr>
        <sz val="10"/>
        <rFont val="Vazirmatn"/>
        <family val="0"/>
        <charset val="1"/>
      </rPr>
      <t xml:space="preserve">15mm</t>
    </r>
  </si>
  <si>
    <t xml:space="preserve">31252394</t>
  </si>
  <si>
    <r>
      <rPr>
        <sz val="10"/>
        <rFont val="FreeSans"/>
        <family val="2"/>
      </rPr>
      <t xml:space="preserve">پروانه پلاستیکی الکتروموتور  </t>
    </r>
    <r>
      <rPr>
        <sz val="10"/>
        <rFont val="Vazirmatn"/>
        <family val="0"/>
        <charset val="1"/>
      </rPr>
      <t xml:space="preserve">17mm</t>
    </r>
  </si>
  <si>
    <t xml:space="preserve">31252400</t>
  </si>
  <si>
    <t xml:space="preserve">پروانه استیل پمپ پوسته پرس</t>
  </si>
  <si>
    <t xml:space="preserve">31252402</t>
  </si>
  <si>
    <r>
      <rPr>
        <sz val="10"/>
        <rFont val="FreeSans"/>
        <family val="2"/>
      </rPr>
      <t xml:space="preserve">پروانه فلزی الکتروموتور      </t>
    </r>
    <r>
      <rPr>
        <sz val="10"/>
        <rFont val="Vazirmatn"/>
        <family val="0"/>
        <charset val="1"/>
      </rPr>
      <t xml:space="preserve">58mm</t>
    </r>
  </si>
  <si>
    <t xml:space="preserve">31252409</t>
  </si>
  <si>
    <r>
      <rPr>
        <sz val="10"/>
        <rFont val="FreeSans"/>
        <family val="2"/>
      </rPr>
      <t xml:space="preserve">پروانه پلاستیکی الکتروموتور  </t>
    </r>
    <r>
      <rPr>
        <sz val="10"/>
        <rFont val="Vazirmatn"/>
        <family val="0"/>
        <charset val="1"/>
      </rPr>
      <t xml:space="preserve">52mm</t>
    </r>
  </si>
  <si>
    <t xml:space="preserve">31252410</t>
  </si>
  <si>
    <r>
      <rPr>
        <sz val="10"/>
        <rFont val="FreeSans"/>
        <family val="2"/>
      </rPr>
      <t xml:space="preserve">پروانه الکتروموتور موتوژن فرم </t>
    </r>
    <r>
      <rPr>
        <sz val="10"/>
        <rFont val="Vazirmatn"/>
        <family val="0"/>
        <charset val="1"/>
      </rPr>
      <t xml:space="preserve">71</t>
    </r>
  </si>
  <si>
    <t xml:space="preserve">31252412</t>
  </si>
  <si>
    <r>
      <rPr>
        <sz val="10"/>
        <rFont val="FreeSans"/>
        <family val="2"/>
      </rPr>
      <t xml:space="preserve">پروانه الکتروموتور موتوژن فرم </t>
    </r>
    <r>
      <rPr>
        <sz val="10"/>
        <rFont val="Vazirmatn"/>
        <family val="0"/>
        <charset val="1"/>
      </rPr>
      <t xml:space="preserve">80</t>
    </r>
  </si>
  <si>
    <t xml:space="preserve">31252413</t>
  </si>
  <si>
    <r>
      <rPr>
        <sz val="10"/>
        <rFont val="FreeSans"/>
        <family val="2"/>
      </rPr>
      <t xml:space="preserve">پروانه الکتروموتور موتوژن فرم </t>
    </r>
    <r>
      <rPr>
        <sz val="10"/>
        <rFont val="Vazirmatn"/>
        <family val="0"/>
        <charset val="1"/>
      </rPr>
      <t xml:space="preserve">90</t>
    </r>
  </si>
  <si>
    <t xml:space="preserve">31252414</t>
  </si>
  <si>
    <r>
      <rPr>
        <sz val="10"/>
        <rFont val="FreeSans"/>
        <family val="2"/>
      </rPr>
      <t xml:space="preserve">پروانه الکتروموتور موتوژن فرم </t>
    </r>
    <r>
      <rPr>
        <sz val="10"/>
        <rFont val="Vazirmatn"/>
        <family val="0"/>
        <charset val="1"/>
      </rPr>
      <t xml:space="preserve">100</t>
    </r>
  </si>
  <si>
    <t xml:space="preserve">31252416</t>
  </si>
  <si>
    <r>
      <rPr>
        <sz val="10"/>
        <rFont val="FreeSans"/>
        <family val="2"/>
      </rPr>
      <t xml:space="preserve">پروانه الکتروموتور موتوژن فرم </t>
    </r>
    <r>
      <rPr>
        <sz val="10"/>
        <rFont val="Vazirmatn"/>
        <family val="0"/>
        <charset val="1"/>
      </rPr>
      <t xml:space="preserve">112</t>
    </r>
  </si>
  <si>
    <t xml:space="preserve">31252417</t>
  </si>
  <si>
    <r>
      <rPr>
        <sz val="10"/>
        <rFont val="FreeSans"/>
        <family val="2"/>
      </rPr>
      <t xml:space="preserve">پروانه الکتروموتور موتوژن فرم </t>
    </r>
    <r>
      <rPr>
        <sz val="10"/>
        <rFont val="Vazirmatn"/>
        <family val="0"/>
        <charset val="1"/>
      </rPr>
      <t xml:space="preserve">132</t>
    </r>
  </si>
  <si>
    <t xml:space="preserve">31252418</t>
  </si>
  <si>
    <r>
      <rPr>
        <sz val="10"/>
        <rFont val="FreeSans"/>
        <family val="2"/>
      </rPr>
      <t xml:space="preserve">پروانه الکتروموتور موتوژن فرم </t>
    </r>
    <r>
      <rPr>
        <sz val="10"/>
        <rFont val="Vazirmatn"/>
        <family val="0"/>
        <charset val="1"/>
      </rPr>
      <t xml:space="preserve">160</t>
    </r>
  </si>
  <si>
    <t xml:space="preserve">31252420</t>
  </si>
  <si>
    <t xml:space="preserve">پروانه فن مکنده پرس روغن کشی</t>
  </si>
  <si>
    <t xml:space="preserve">31252422</t>
  </si>
  <si>
    <t xml:space="preserve">پروانه پمپ فومینگ تانک</t>
  </si>
  <si>
    <t xml:space="preserve">31252425</t>
  </si>
  <si>
    <r>
      <rPr>
        <sz val="10"/>
        <rFont val="FreeSans"/>
        <family val="2"/>
      </rPr>
      <t xml:space="preserve">پروانه پمپ   </t>
    </r>
    <r>
      <rPr>
        <sz val="10"/>
        <rFont val="Vazirmatn"/>
        <family val="0"/>
        <charset val="1"/>
      </rPr>
      <t xml:space="preserve">IHD100-65-315   motor15kw</t>
    </r>
  </si>
  <si>
    <t xml:space="preserve">31252428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</si>
  <si>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IHD250-200-315</t>
    </r>
  </si>
  <si>
    <t xml:space="preserve">31252429</t>
  </si>
  <si>
    <r>
      <rPr>
        <sz val="10"/>
        <rFont val="FreeSans"/>
        <family val="2"/>
      </rPr>
      <t xml:space="preserve">پروانه پمپ  </t>
    </r>
    <r>
      <rPr>
        <sz val="10"/>
        <rFont val="Vazirmatn"/>
        <family val="0"/>
        <charset val="1"/>
      </rPr>
      <t xml:space="preserve">IHD250-200-350</t>
    </r>
  </si>
  <si>
    <t xml:space="preserve">31252502</t>
  </si>
  <si>
    <r>
      <rPr>
        <sz val="10"/>
        <rFont val="FreeSans"/>
        <family val="2"/>
      </rPr>
      <t xml:space="preserve">پروانه خنک کن الکتروموتور  </t>
    </r>
    <r>
      <rPr>
        <sz val="10"/>
        <rFont val="Vazirmatn"/>
        <family val="0"/>
        <charset val="1"/>
      </rPr>
      <t xml:space="preserve">PEM-58-16-250</t>
    </r>
  </si>
  <si>
    <t xml:space="preserve">31252503</t>
  </si>
  <si>
    <r>
      <rPr>
        <sz val="10"/>
        <rFont val="FreeSans"/>
        <family val="2"/>
      </rPr>
      <t xml:space="preserve">پروانه پلاستیکی خنک کن الکتروموتور </t>
    </r>
    <r>
      <rPr>
        <sz val="10"/>
        <rFont val="Vazirmatn"/>
        <family val="0"/>
        <charset val="1"/>
      </rPr>
      <t xml:space="preserve">79mm  </t>
    </r>
    <r>
      <rPr>
        <sz val="10"/>
        <rFont val="FreeSans"/>
        <family val="2"/>
      </rPr>
      <t xml:space="preserve">جای خار </t>
    </r>
    <r>
      <rPr>
        <sz val="10"/>
        <rFont val="Vazirmatn"/>
        <family val="0"/>
        <charset val="1"/>
      </rPr>
      <t xml:space="preserve">18mm</t>
    </r>
  </si>
  <si>
    <t xml:space="preserve">31252510</t>
  </si>
  <si>
    <t xml:space="preserve">پروانه استیل پمپ سرند</t>
  </si>
  <si>
    <t xml:space="preserve">31252513</t>
  </si>
  <si>
    <t xml:space="preserve">پروانه پمپ جرم واشرها</t>
  </si>
  <si>
    <t xml:space="preserve">31252514</t>
  </si>
  <si>
    <t xml:space="preserve">پروانه فن پرس روغن کشی</t>
  </si>
  <si>
    <t xml:space="preserve">31252553</t>
  </si>
  <si>
    <r>
      <rPr>
        <sz val="10"/>
        <rFont val="FreeSans"/>
        <family val="2"/>
      </rPr>
      <t xml:space="preserve">پروانه آلومینیومی سرد خانه   </t>
    </r>
    <r>
      <rPr>
        <sz val="10"/>
        <rFont val="Vazirmatn"/>
        <family val="0"/>
        <charset val="1"/>
      </rPr>
      <t xml:space="preserve">39/5</t>
    </r>
  </si>
  <si>
    <t xml:space="preserve">31253100</t>
  </si>
  <si>
    <r>
      <rPr>
        <sz val="10"/>
        <rFont val="FreeSans"/>
        <family val="2"/>
      </rPr>
      <t xml:space="preserve">صفحه مبدل حرارتی  </t>
    </r>
    <r>
      <rPr>
        <sz val="10"/>
        <rFont val="Vazirmatn"/>
        <family val="0"/>
        <charset val="1"/>
      </rPr>
      <t xml:space="preserve">Start Plate</t>
    </r>
  </si>
  <si>
    <t xml:space="preserve">31253103</t>
  </si>
  <si>
    <r>
      <rPr>
        <sz val="10"/>
        <rFont val="FreeSans"/>
        <family val="2"/>
      </rPr>
      <t xml:space="preserve">صفحه مبدل حرارتی  </t>
    </r>
    <r>
      <rPr>
        <sz val="10"/>
        <rFont val="Vazirmatn"/>
        <family val="0"/>
        <charset val="1"/>
      </rPr>
      <t xml:space="preserve">Flow Plate</t>
    </r>
  </si>
  <si>
    <t xml:space="preserve">31253104</t>
  </si>
  <si>
    <r>
      <rPr>
        <sz val="10"/>
        <rFont val="FreeSans"/>
        <family val="2"/>
      </rPr>
      <t xml:space="preserve">صفحه مبدل حرارتی  </t>
    </r>
    <r>
      <rPr>
        <sz val="10"/>
        <rFont val="Vazirmatn"/>
        <family val="0"/>
        <charset val="1"/>
      </rPr>
      <t xml:space="preserve">Special Plate</t>
    </r>
  </si>
  <si>
    <t xml:space="preserve">31253105</t>
  </si>
  <si>
    <t xml:space="preserve">صفحه نگهدارنده فنر لرزه گیر سپراتور</t>
  </si>
  <si>
    <t xml:space="preserve">31253106</t>
  </si>
  <si>
    <t xml:space="preserve">صفحه نگهدارنده فنر لرزه گیر سپراتور چینی</t>
  </si>
  <si>
    <t xml:space="preserve">31253109</t>
  </si>
  <si>
    <t xml:space="preserve">صفحه راهنمای بسته بندی رینولد</t>
  </si>
  <si>
    <t xml:space="preserve">31253111</t>
  </si>
  <si>
    <r>
      <rPr>
        <sz val="10"/>
        <rFont val="FreeSans"/>
        <family val="2"/>
      </rPr>
      <t xml:space="preserve">صفحه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کاور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سایشی پمپ </t>
    </r>
    <r>
      <rPr>
        <sz val="10"/>
        <rFont val="Vazirmatn"/>
        <family val="0"/>
        <charset val="1"/>
      </rPr>
      <t xml:space="preserve">200 - 50 - 65 IHD</t>
    </r>
  </si>
  <si>
    <t xml:space="preserve">31253115</t>
  </si>
  <si>
    <r>
      <rPr>
        <sz val="10"/>
        <rFont val="FreeSans"/>
        <family val="2"/>
      </rPr>
      <t xml:space="preserve">صفحه ابتدای  مبدل حرارتی </t>
    </r>
    <r>
      <rPr>
        <sz val="10"/>
        <rFont val="Vazirmatn"/>
        <family val="0"/>
        <charset val="1"/>
      </rPr>
      <t xml:space="preserve">Start  Plate  FBB 045m</t>
    </r>
  </si>
  <si>
    <t xml:space="preserve">31253116</t>
  </si>
  <si>
    <r>
      <rPr>
        <sz val="10"/>
        <rFont val="FreeSans"/>
        <family val="2"/>
      </rPr>
      <t xml:space="preserve">صفحه میانی مبدل حرارتی   </t>
    </r>
    <r>
      <rPr>
        <sz val="10"/>
        <rFont val="Vazirmatn"/>
        <family val="0"/>
        <charset val="1"/>
      </rPr>
      <t xml:space="preserve">Flow Plate  FBB045m</t>
    </r>
  </si>
  <si>
    <t xml:space="preserve">31253117</t>
  </si>
  <si>
    <r>
      <rPr>
        <sz val="10"/>
        <rFont val="FreeSans"/>
        <family val="2"/>
      </rPr>
      <t xml:space="preserve">صفحه انتهای مبدل حرارتی  </t>
    </r>
    <r>
      <rPr>
        <sz val="10"/>
        <rFont val="Vazirmatn"/>
        <family val="0"/>
        <charset val="1"/>
      </rPr>
      <t xml:space="preserve">End Plate  FBB045m</t>
    </r>
  </si>
  <si>
    <t xml:space="preserve">31253118</t>
  </si>
  <si>
    <t xml:space="preserve">صفحه ریل چرخ دوخت</t>
  </si>
  <si>
    <t xml:space="preserve">31253119</t>
  </si>
  <si>
    <r>
      <rPr>
        <sz val="10"/>
        <rFont val="FreeSans"/>
        <family val="2"/>
      </rPr>
      <t xml:space="preserve">کاور بیرینگ دکانتور  </t>
    </r>
    <r>
      <rPr>
        <sz val="10"/>
        <rFont val="Vazirmatn"/>
        <family val="0"/>
        <charset val="1"/>
      </rPr>
      <t xml:space="preserve">010 - 6375 - 8417</t>
    </r>
  </si>
  <si>
    <t xml:space="preserve">31253129</t>
  </si>
  <si>
    <t xml:space="preserve">صفحه ثابت آسیاب</t>
  </si>
  <si>
    <t xml:space="preserve">31253131</t>
  </si>
  <si>
    <t xml:space="preserve">صفحه متحرک آسیاب</t>
  </si>
  <si>
    <t xml:space="preserve">31253135</t>
  </si>
  <si>
    <t xml:space="preserve">صفحه پاروئی خشک کن</t>
  </si>
  <si>
    <t xml:space="preserve">31253138</t>
  </si>
  <si>
    <r>
      <rPr>
        <sz val="10"/>
        <rFont val="FreeSans"/>
        <family val="2"/>
      </rPr>
      <t xml:space="preserve">صفحه نازل واش باطری با نازل           </t>
    </r>
    <r>
      <rPr>
        <sz val="10"/>
        <rFont val="Vazirmatn"/>
        <family val="0"/>
        <charset val="1"/>
      </rPr>
      <t xml:space="preserve">Hydrocolon   wash</t>
    </r>
  </si>
  <si>
    <t xml:space="preserve">31253139</t>
  </si>
  <si>
    <r>
      <rPr>
        <sz val="10"/>
        <rFont val="FreeSans"/>
        <family val="2"/>
      </rPr>
      <t xml:space="preserve">صفحه نازل واش باطری با نازل </t>
    </r>
    <r>
      <rPr>
        <sz val="10"/>
        <rFont val="Vazirmatn"/>
        <family val="0"/>
        <charset val="1"/>
      </rPr>
      <t xml:space="preserve">.          Hydrocolon   wash</t>
    </r>
  </si>
  <si>
    <t xml:space="preserve">31253144</t>
  </si>
  <si>
    <t xml:space="preserve">31253146</t>
  </si>
  <si>
    <t xml:space="preserve">صفحه مبدل حرارتی کور</t>
  </si>
  <si>
    <t xml:space="preserve">31253149</t>
  </si>
  <si>
    <t xml:space="preserve">صفحه جلو  پروانه</t>
  </si>
  <si>
    <t xml:space="preserve">31253150</t>
  </si>
  <si>
    <r>
      <rPr>
        <sz val="10"/>
        <rFont val="FreeSans"/>
        <family val="2"/>
      </rPr>
      <t xml:space="preserve">صفحه آسیاب ، آسیاب دوم </t>
    </r>
    <r>
      <rPr>
        <sz val="10"/>
        <rFont val="Vazirmatn"/>
        <family val="0"/>
        <charset val="1"/>
      </rPr>
      <t xml:space="preserve">( FQ-124 )</t>
    </r>
  </si>
  <si>
    <t xml:space="preserve">31253153</t>
  </si>
  <si>
    <r>
      <rPr>
        <sz val="10"/>
        <rFont val="FreeSans"/>
        <family val="2"/>
      </rPr>
      <t xml:space="preserve">کاور سایشی پمپ  </t>
    </r>
    <r>
      <rPr>
        <sz val="10"/>
        <rFont val="Vazirmatn"/>
        <family val="0"/>
        <charset val="1"/>
      </rPr>
      <t xml:space="preserve">IHD100-65-315</t>
    </r>
  </si>
  <si>
    <t xml:space="preserve">31253154</t>
  </si>
  <si>
    <r>
      <rPr>
        <sz val="10"/>
        <rFont val="FreeSans"/>
        <family val="2"/>
      </rPr>
      <t xml:space="preserve">کاور سایشی پمپ  </t>
    </r>
    <r>
      <rPr>
        <sz val="10"/>
        <rFont val="Vazirmatn"/>
        <family val="0"/>
        <charset val="1"/>
      </rPr>
      <t xml:space="preserve">IHD125-100-250</t>
    </r>
  </si>
  <si>
    <t xml:space="preserve">31253156</t>
  </si>
  <si>
    <t xml:space="preserve">درپوش برنجی پوسته اصلی شفت عمودی سپراتور</t>
  </si>
  <si>
    <t xml:space="preserve">31253157</t>
  </si>
  <si>
    <r>
      <rPr>
        <sz val="10"/>
        <rFont val="FreeSans"/>
        <family val="2"/>
      </rPr>
      <t xml:space="preserve">کاور سایشی پمپ  </t>
    </r>
    <r>
      <rPr>
        <sz val="10"/>
        <rFont val="Vazirmatn"/>
        <family val="0"/>
        <charset val="1"/>
      </rPr>
      <t xml:space="preserve">IHD250-200-315</t>
    </r>
  </si>
  <si>
    <t xml:space="preserve">31253162</t>
  </si>
  <si>
    <r>
      <rPr>
        <sz val="10"/>
        <rFont val="FreeSans"/>
        <family val="2"/>
      </rPr>
      <t xml:space="preserve">کاور سایشی پمپ  </t>
    </r>
    <r>
      <rPr>
        <sz val="10"/>
        <rFont val="Vazirmatn"/>
        <family val="0"/>
        <charset val="1"/>
      </rPr>
      <t xml:space="preserve">IHD250-200-350</t>
    </r>
  </si>
  <si>
    <t xml:space="preserve">31253163</t>
  </si>
  <si>
    <r>
      <rPr>
        <sz val="10"/>
        <rFont val="FreeSans"/>
        <family val="2"/>
      </rPr>
      <t xml:space="preserve">پوشش سایشی پشت پروانه پمپ ایران  </t>
    </r>
    <r>
      <rPr>
        <sz val="10"/>
        <rFont val="Vazirmatn"/>
        <family val="0"/>
        <charset val="1"/>
      </rPr>
      <t xml:space="preserve">HDS 50 - 300</t>
    </r>
  </si>
  <si>
    <t xml:space="preserve">31253165</t>
  </si>
  <si>
    <t xml:space="preserve">صفحه راهنمای پرس روغن</t>
  </si>
  <si>
    <t xml:space="preserve">31253166</t>
  </si>
  <si>
    <r>
      <rPr>
        <sz val="10"/>
        <rFont val="FreeSans"/>
        <family val="2"/>
      </rPr>
      <t xml:space="preserve">صفحه خرد کننده پرس روغن </t>
    </r>
    <r>
      <rPr>
        <sz val="10"/>
        <rFont val="Vazirmatn"/>
        <family val="0"/>
        <charset val="1"/>
      </rPr>
      <t xml:space="preserve">1612-GOYUM-1500</t>
    </r>
  </si>
  <si>
    <t xml:space="preserve">31253167</t>
  </si>
  <si>
    <r>
      <rPr>
        <sz val="10"/>
        <rFont val="FreeSans"/>
        <family val="2"/>
      </rPr>
      <t xml:space="preserve">صفحه گرد آهنی </t>
    </r>
    <r>
      <rPr>
        <sz val="10"/>
        <rFont val="Vazirmatn"/>
        <family val="0"/>
        <charset val="1"/>
      </rPr>
      <t xml:space="preserve">CK45 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D205mm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L30mm</t>
    </r>
  </si>
  <si>
    <t xml:space="preserve">31253168</t>
  </si>
  <si>
    <r>
      <rPr>
        <sz val="10"/>
        <rFont val="FreeSans"/>
        <family val="2"/>
      </rPr>
      <t xml:space="preserve">صفحه گرد آهنی </t>
    </r>
    <r>
      <rPr>
        <sz val="10"/>
        <rFont val="Vazirmatn"/>
        <family val="0"/>
        <charset val="1"/>
      </rPr>
      <t xml:space="preserve">CK45 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D145mm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L30mm</t>
    </r>
  </si>
  <si>
    <t xml:space="preserve">31253170</t>
  </si>
  <si>
    <t xml:space="preserve">صفحه تفلونی</t>
  </si>
  <si>
    <t xml:space="preserve">31253172</t>
  </si>
  <si>
    <r>
      <rPr>
        <sz val="10"/>
        <rFont val="FreeSans"/>
        <family val="2"/>
      </rPr>
      <t xml:space="preserve">صفحه بزرگ فیلتر پرس فروکتوز </t>
    </r>
    <r>
      <rPr>
        <sz val="10"/>
        <rFont val="Vazirmatn"/>
        <family val="0"/>
        <charset val="1"/>
      </rPr>
      <t xml:space="preserve">MODEL:XAZGF150/1250U    FILTRATION AREA:150M2  ANCHOR HOLE:6200MM</t>
    </r>
  </si>
  <si>
    <t xml:space="preserve">31253175</t>
  </si>
  <si>
    <r>
      <rPr>
        <sz val="10"/>
        <rFont val="FreeSans"/>
        <family val="2"/>
      </rPr>
      <t xml:space="preserve">صفحه مسی باهنر </t>
    </r>
    <r>
      <rPr>
        <sz val="10"/>
        <rFont val="Vazirmatn"/>
        <family val="0"/>
        <charset val="1"/>
      </rPr>
      <t xml:space="preserve">66Cm*66Cm*5mm</t>
    </r>
  </si>
  <si>
    <t xml:space="preserve">31253177</t>
  </si>
  <si>
    <r>
      <rPr>
        <sz val="10"/>
        <rFont val="FreeSans"/>
        <family val="2"/>
      </rPr>
      <t xml:space="preserve">صفحه تفلونی فیلتر پرس روغن </t>
    </r>
    <r>
      <rPr>
        <sz val="10"/>
        <rFont val="Vazirmatn"/>
        <family val="0"/>
        <charset val="1"/>
      </rPr>
      <t xml:space="preserve">63Cm*63Cm</t>
    </r>
  </si>
  <si>
    <t xml:space="preserve">31253185</t>
  </si>
  <si>
    <t xml:space="preserve">صفحه استیل پمپ خلاء</t>
  </si>
  <si>
    <t xml:space="preserve">31253190</t>
  </si>
  <si>
    <t xml:space="preserve">صفحه  استیل  پمپ خلاء</t>
  </si>
  <si>
    <t xml:space="preserve">31253191</t>
  </si>
  <si>
    <r>
      <rPr>
        <sz val="10"/>
        <rFont val="FreeSans"/>
        <family val="2"/>
      </rPr>
      <t xml:space="preserve">صفحه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کاور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محفظه سیل پمپ </t>
    </r>
    <r>
      <rPr>
        <sz val="10"/>
        <rFont val="Vazirmatn"/>
        <family val="0"/>
        <charset val="1"/>
      </rPr>
      <t xml:space="preserve">250 - 50 - 65 IHD</t>
    </r>
  </si>
  <si>
    <t xml:space="preserve">31253194</t>
  </si>
  <si>
    <r>
      <rPr>
        <sz val="10"/>
        <rFont val="FreeSans"/>
        <family val="2"/>
      </rPr>
      <t xml:space="preserve">صفحه سایشی آب بندی پمپ </t>
    </r>
    <r>
      <rPr>
        <sz val="10"/>
        <rFont val="Vazirmatn"/>
        <family val="0"/>
        <charset val="1"/>
      </rPr>
      <t xml:space="preserve">IHD 100-65-200</t>
    </r>
  </si>
  <si>
    <t xml:space="preserve">31253195</t>
  </si>
  <si>
    <r>
      <rPr>
        <sz val="10"/>
        <rFont val="FreeSans"/>
        <family val="2"/>
      </rPr>
      <t xml:space="preserve">صفحه سایشی آب بندی پمپ </t>
    </r>
    <r>
      <rPr>
        <sz val="10"/>
        <rFont val="Vazirmatn"/>
        <family val="0"/>
        <charset val="1"/>
      </rPr>
      <t xml:space="preserve">IHD 125-80-200</t>
    </r>
  </si>
  <si>
    <t xml:space="preserve">31253196</t>
  </si>
  <si>
    <r>
      <rPr>
        <sz val="10"/>
        <rFont val="FreeSans"/>
        <family val="2"/>
      </rPr>
      <t xml:space="preserve">صفحه سایشی یمپ </t>
    </r>
    <r>
      <rPr>
        <sz val="10"/>
        <rFont val="Vazirmatn"/>
        <family val="0"/>
        <charset val="1"/>
      </rPr>
      <t xml:space="preserve">250-50-65</t>
    </r>
  </si>
  <si>
    <t xml:space="preserve">31253197</t>
  </si>
  <si>
    <r>
      <rPr>
        <sz val="10"/>
        <rFont val="FreeSans"/>
        <family val="2"/>
      </rPr>
      <t xml:space="preserve">صفحه سایشی  پمپ </t>
    </r>
    <r>
      <rPr>
        <sz val="10"/>
        <rFont val="Vazirmatn"/>
        <family val="0"/>
        <charset val="1"/>
      </rPr>
      <t xml:space="preserve">250 - 50 - 65 IHD</t>
    </r>
  </si>
  <si>
    <t xml:space="preserve">31253198</t>
  </si>
  <si>
    <r>
      <rPr>
        <sz val="10"/>
        <rFont val="FreeSans"/>
        <family val="2"/>
      </rPr>
      <t xml:space="preserve">صفحه سایشی عقب پمپ  </t>
    </r>
    <r>
      <rPr>
        <sz val="10"/>
        <rFont val="Vazirmatn"/>
        <family val="0"/>
        <charset val="1"/>
      </rPr>
      <t xml:space="preserve">200 - 65 - 80 IHD</t>
    </r>
  </si>
  <si>
    <t xml:space="preserve">31253199</t>
  </si>
  <si>
    <r>
      <rPr>
        <sz val="10"/>
        <rFont val="FreeSans"/>
        <family val="2"/>
      </rPr>
      <t xml:space="preserve">صفحه سایشی عقب پمپ </t>
    </r>
    <r>
      <rPr>
        <sz val="10"/>
        <rFont val="Vazirmatn"/>
        <family val="0"/>
        <charset val="1"/>
      </rPr>
      <t xml:space="preserve">200 - 65 - 80 IHD</t>
    </r>
  </si>
  <si>
    <t xml:space="preserve">31253200</t>
  </si>
  <si>
    <r>
      <rPr>
        <sz val="10"/>
        <rFont val="FreeSans"/>
        <family val="2"/>
      </rPr>
      <t xml:space="preserve">صفحه مبدل اواپراتور افکت </t>
    </r>
    <r>
      <rPr>
        <sz val="10"/>
        <rFont val="Vazirmatn"/>
        <family val="0"/>
        <charset val="1"/>
      </rPr>
      <t xml:space="preserve">( 1 )</t>
    </r>
  </si>
  <si>
    <t xml:space="preserve">31253208</t>
  </si>
  <si>
    <r>
      <rPr>
        <sz val="10"/>
        <rFont val="FreeSans"/>
        <family val="2"/>
      </rPr>
      <t xml:space="preserve">صفحه استیل کوچک مبدل حرارتی </t>
    </r>
    <r>
      <rPr>
        <sz val="10"/>
        <rFont val="Vazirmatn"/>
        <family val="0"/>
        <charset val="1"/>
      </rPr>
      <t xml:space="preserve">FBB 045 M</t>
    </r>
  </si>
  <si>
    <t xml:space="preserve">31253209</t>
  </si>
  <si>
    <r>
      <rPr>
        <sz val="10"/>
        <rFont val="FreeSans"/>
        <family val="2"/>
      </rPr>
      <t xml:space="preserve">صفحه استیل مبدل حرارتی </t>
    </r>
    <r>
      <rPr>
        <sz val="10"/>
        <rFont val="Vazirmatn"/>
        <family val="0"/>
        <charset val="1"/>
      </rPr>
      <t xml:space="preserve">AS 20</t>
    </r>
  </si>
  <si>
    <t xml:space="preserve">31253212</t>
  </si>
  <si>
    <r>
      <rPr>
        <sz val="10"/>
        <rFont val="FreeSans"/>
        <family val="2"/>
      </rPr>
      <t xml:space="preserve">صفحه دوقلوی اواپراتور افکت </t>
    </r>
    <r>
      <rPr>
        <sz val="10"/>
        <rFont val="Vazirmatn"/>
        <family val="0"/>
        <charset val="1"/>
      </rPr>
      <t xml:space="preserve">( 2 )</t>
    </r>
  </si>
  <si>
    <t xml:space="preserve">31253215</t>
  </si>
  <si>
    <r>
      <rPr>
        <sz val="10"/>
        <rFont val="FreeSans"/>
        <family val="2"/>
      </rPr>
      <t xml:space="preserve">صفحه استیل مبدل حرارتی </t>
    </r>
    <r>
      <rPr>
        <sz val="10"/>
        <rFont val="Vazirmatn"/>
        <family val="0"/>
        <charset val="1"/>
      </rPr>
      <t xml:space="preserve">AU10 L1 / 316 L</t>
    </r>
  </si>
  <si>
    <t xml:space="preserve">31253216</t>
  </si>
  <si>
    <r>
      <rPr>
        <sz val="10"/>
        <rFont val="FreeSans"/>
        <family val="2"/>
      </rPr>
      <t xml:space="preserve">صفحه استیل مبدل حرارتی </t>
    </r>
    <r>
      <rPr>
        <sz val="10"/>
        <rFont val="Vazirmatn"/>
        <family val="0"/>
        <charset val="1"/>
      </rPr>
      <t xml:space="preserve">AU10 L2 / 316 L</t>
    </r>
  </si>
  <si>
    <t xml:space="preserve">31253217</t>
  </si>
  <si>
    <r>
      <rPr>
        <sz val="10"/>
        <rFont val="FreeSans"/>
        <family val="2"/>
      </rPr>
      <t xml:space="preserve">صفحه استیل بزرگ مبدل حرارتی </t>
    </r>
    <r>
      <rPr>
        <sz val="10"/>
        <rFont val="Vazirmatn"/>
        <family val="0"/>
        <charset val="1"/>
      </rPr>
      <t xml:space="preserve">FBB 045 M</t>
    </r>
  </si>
  <si>
    <t xml:space="preserve">31253219</t>
  </si>
  <si>
    <t xml:space="preserve">صفحه سایشی پمپ خلاء پادوان</t>
  </si>
  <si>
    <t xml:space="preserve">31253224</t>
  </si>
  <si>
    <t xml:space="preserve">صفحه پلکسی رول لیبل</t>
  </si>
  <si>
    <t xml:space="preserve">31253225</t>
  </si>
  <si>
    <t xml:space="preserve">صفحه پلکسی رول جمع کن</t>
  </si>
  <si>
    <t xml:space="preserve">31253226</t>
  </si>
  <si>
    <r>
      <rPr>
        <sz val="10"/>
        <rFont val="FreeSans"/>
        <family val="2"/>
      </rPr>
      <t xml:space="preserve">صفحه نصب </t>
    </r>
    <r>
      <rPr>
        <sz val="10"/>
        <rFont val="Vazirmatn"/>
        <family val="0"/>
        <charset val="1"/>
      </rPr>
      <t xml:space="preserve">50Cm</t>
    </r>
  </si>
  <si>
    <t xml:space="preserve">31253227</t>
  </si>
  <si>
    <r>
      <rPr>
        <sz val="10"/>
        <rFont val="FreeSans"/>
        <family val="2"/>
      </rPr>
      <t xml:space="preserve">صفحه نصب </t>
    </r>
    <r>
      <rPr>
        <sz val="10"/>
        <rFont val="Vazirmatn"/>
        <family val="0"/>
        <charset val="1"/>
      </rPr>
      <t xml:space="preserve">28Cm</t>
    </r>
  </si>
  <si>
    <t xml:space="preserve">31253228</t>
  </si>
  <si>
    <r>
      <rPr>
        <sz val="10"/>
        <rFont val="FreeSans"/>
        <family val="2"/>
      </rPr>
      <t xml:space="preserve">صفحه نصب </t>
    </r>
    <r>
      <rPr>
        <sz val="10"/>
        <rFont val="Vazirmatn"/>
        <family val="0"/>
        <charset val="1"/>
      </rPr>
      <t xml:space="preserve">16Cm</t>
    </r>
  </si>
  <si>
    <t xml:space="preserve">31253229</t>
  </si>
  <si>
    <r>
      <rPr>
        <sz val="10"/>
        <rFont val="FreeSans"/>
        <family val="2"/>
      </rPr>
      <t xml:space="preserve">اتصال گالوانیزه </t>
    </r>
    <r>
      <rPr>
        <sz val="10"/>
        <rFont val="Vazirmatn"/>
        <family val="0"/>
        <charset val="1"/>
      </rPr>
      <t xml:space="preserve">( HT 90  ( +K</t>
    </r>
  </si>
  <si>
    <t xml:space="preserve">31253230</t>
  </si>
  <si>
    <r>
      <rPr>
        <sz val="10"/>
        <rFont val="FreeSans"/>
        <family val="2"/>
      </rPr>
      <t xml:space="preserve">اتصال گالوانیزه </t>
    </r>
    <r>
      <rPr>
        <sz val="10"/>
        <rFont val="Vazirmatn"/>
        <family val="0"/>
        <charset val="1"/>
      </rPr>
      <t xml:space="preserve">( W  ( +K</t>
    </r>
  </si>
  <si>
    <t xml:space="preserve">31253252</t>
  </si>
  <si>
    <r>
      <rPr>
        <sz val="10"/>
        <rFont val="FreeSans"/>
        <family val="2"/>
      </rPr>
      <t xml:space="preserve">صفحه مسی باهنر </t>
    </r>
    <r>
      <rPr>
        <sz val="10"/>
        <rFont val="Vazirmatn"/>
        <family val="0"/>
        <charset val="1"/>
      </rPr>
      <t xml:space="preserve">5*630*630</t>
    </r>
  </si>
  <si>
    <t xml:space="preserve">31254103</t>
  </si>
  <si>
    <r>
      <rPr>
        <sz val="10"/>
        <rFont val="FreeSans"/>
        <family val="2"/>
      </rPr>
      <t xml:space="preserve">سوپاپ ورودی و خروجی آب کارواش برتولینی </t>
    </r>
    <r>
      <rPr>
        <sz val="10"/>
        <rFont val="Vazirmatn"/>
        <family val="0"/>
        <charset val="1"/>
      </rPr>
      <t xml:space="preserve">150bar</t>
    </r>
  </si>
  <si>
    <t xml:space="preserve">31254104</t>
  </si>
  <si>
    <t xml:space="preserve">سوپاپ</t>
  </si>
  <si>
    <t xml:space="preserve">31254106</t>
  </si>
  <si>
    <r>
      <rPr>
        <sz val="10"/>
        <rFont val="FreeSans"/>
        <family val="2"/>
      </rPr>
      <t xml:space="preserve">سوپاپ ساکشن مخصوص کمپرسور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اسب کوپلند</t>
    </r>
  </si>
  <si>
    <t xml:space="preserve">31254108</t>
  </si>
  <si>
    <r>
      <rPr>
        <sz val="10"/>
        <rFont val="FreeSans"/>
        <family val="2"/>
      </rPr>
      <t xml:space="preserve">سوپاپ دیس شارژ مخصوص کمپرسور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اسب کوپلند</t>
    </r>
  </si>
  <si>
    <t xml:space="preserve">31254109</t>
  </si>
  <si>
    <r>
      <rPr>
        <sz val="10"/>
        <rFont val="FreeSans"/>
        <family val="2"/>
      </rPr>
      <t xml:space="preserve">زیر سوپاپی مخصوص کمپرسور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اسب کوپلند</t>
    </r>
  </si>
  <si>
    <t xml:space="preserve">31254111</t>
  </si>
  <si>
    <r>
      <rPr>
        <sz val="10"/>
        <rFont val="FreeSans"/>
        <family val="2"/>
      </rPr>
      <t xml:space="preserve">سوپاپ اطمینان هوای فشرده  </t>
    </r>
    <r>
      <rPr>
        <sz val="10"/>
        <rFont val="Vazirmatn"/>
        <family val="0"/>
        <charset val="1"/>
      </rPr>
      <t xml:space="preserve">" 1</t>
    </r>
  </si>
  <si>
    <t xml:space="preserve">31254114</t>
  </si>
  <si>
    <r>
      <rPr>
        <sz val="10"/>
        <rFont val="FreeSans"/>
        <family val="2"/>
      </rPr>
      <t xml:space="preserve">سوپاپ اطمینان هوای فشرده  </t>
    </r>
    <r>
      <rPr>
        <sz val="10"/>
        <rFont val="Vazirmatn"/>
        <family val="0"/>
        <charset val="1"/>
      </rPr>
      <t xml:space="preserve">" 1/2</t>
    </r>
  </si>
  <si>
    <t xml:space="preserve">31254119</t>
  </si>
  <si>
    <r>
      <rPr>
        <sz val="10"/>
        <rFont val="FreeSans"/>
        <family val="2"/>
      </rPr>
      <t xml:space="preserve">سوپاپ اطمینان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رلیف والو </t>
    </r>
    <r>
      <rPr>
        <sz val="10"/>
        <rFont val="Vazirmatn"/>
        <family val="0"/>
        <charset val="1"/>
      </rPr>
      <t xml:space="preserve">)    " 1</t>
    </r>
  </si>
  <si>
    <t xml:space="preserve">31254120</t>
  </si>
  <si>
    <r>
      <rPr>
        <sz val="10"/>
        <rFont val="FreeSans"/>
        <family val="2"/>
      </rPr>
      <t xml:space="preserve">سوپاپ دود </t>
    </r>
    <r>
      <rPr>
        <sz val="10"/>
        <rFont val="Vazirmatn"/>
        <family val="0"/>
        <charset val="1"/>
      </rPr>
      <t xml:space="preserve">282AK</t>
    </r>
  </si>
  <si>
    <t xml:space="preserve">31254122</t>
  </si>
  <si>
    <r>
      <rPr>
        <sz val="10"/>
        <rFont val="FreeSans"/>
        <family val="2"/>
      </rPr>
      <t xml:space="preserve">سوپاپ هوا </t>
    </r>
    <r>
      <rPr>
        <sz val="10"/>
        <rFont val="Vazirmatn"/>
        <family val="0"/>
        <charset val="1"/>
      </rPr>
      <t xml:space="preserve">282AK</t>
    </r>
  </si>
  <si>
    <t xml:space="preserve">31254123</t>
  </si>
  <si>
    <r>
      <rPr>
        <sz val="10"/>
        <rFont val="FreeSans"/>
        <family val="2"/>
      </rPr>
      <t xml:space="preserve">سوپاپ ساکشن کمپرسور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اسب کوپلند</t>
    </r>
  </si>
  <si>
    <t xml:space="preserve">31254126</t>
  </si>
  <si>
    <r>
      <rPr>
        <sz val="10"/>
        <rFont val="FreeSans"/>
        <family val="2"/>
      </rPr>
      <t xml:space="preserve">سوپاپ دیس شارژ کمپرسور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اسب کوپلند</t>
    </r>
  </si>
  <si>
    <t xml:space="preserve">31254127</t>
  </si>
  <si>
    <r>
      <rPr>
        <sz val="10"/>
        <rFont val="FreeSans"/>
        <family val="2"/>
      </rPr>
      <t xml:space="preserve">سوپاپ دیس شارژ کمپرسور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دیسکاس کوپلند</t>
    </r>
  </si>
  <si>
    <t xml:space="preserve">31254138</t>
  </si>
  <si>
    <r>
      <rPr>
        <sz val="10"/>
        <rFont val="FreeSans"/>
        <family val="2"/>
      </rPr>
      <t xml:space="preserve">سوپاپ دوزینگ پمپ </t>
    </r>
    <r>
      <rPr>
        <sz val="10"/>
        <rFont val="Vazirmatn"/>
        <family val="0"/>
        <charset val="1"/>
      </rPr>
      <t xml:space="preserve">" 1</t>
    </r>
  </si>
  <si>
    <t xml:space="preserve">31254140</t>
  </si>
  <si>
    <r>
      <rPr>
        <sz val="10"/>
        <rFont val="FreeSans"/>
        <family val="2"/>
      </rPr>
      <t xml:space="preserve">سوپاپ دوزینگ پمپ دو سردنده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شیر یکطرفه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تایی</t>
    </r>
    <r>
      <rPr>
        <sz val="10"/>
        <rFont val="Vazirmatn"/>
        <family val="0"/>
        <charset val="1"/>
      </rPr>
      <t xml:space="preserve">) "1 * "1/4 1</t>
    </r>
  </si>
  <si>
    <t xml:space="preserve">31254182</t>
  </si>
  <si>
    <r>
      <rPr>
        <sz val="10"/>
        <rFont val="FreeSans"/>
        <family val="2"/>
      </rPr>
      <t xml:space="preserve">شاتون کارواش برتولینی </t>
    </r>
    <r>
      <rPr>
        <sz val="10"/>
        <rFont val="Vazirmatn"/>
        <family val="0"/>
        <charset val="1"/>
      </rPr>
      <t xml:space="preserve">150bar</t>
    </r>
  </si>
  <si>
    <t xml:space="preserve">31254183</t>
  </si>
  <si>
    <r>
      <rPr>
        <sz val="10"/>
        <rFont val="FreeSans"/>
        <family val="2"/>
      </rPr>
      <t xml:space="preserve">دسته شاتون پمپ کارواش برتولینی </t>
    </r>
    <r>
      <rPr>
        <sz val="10"/>
        <rFont val="Vazirmatn"/>
        <family val="0"/>
        <charset val="1"/>
      </rPr>
      <t xml:space="preserve">150bar</t>
    </r>
  </si>
  <si>
    <t xml:space="preserve">31254184</t>
  </si>
  <si>
    <r>
      <rPr>
        <sz val="10"/>
        <rFont val="FreeSans"/>
        <family val="2"/>
      </rPr>
      <t xml:space="preserve">شاتون کمپرسور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دیسکاس کوپلند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</si>
  <si>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31254186</t>
  </si>
  <si>
    <r>
      <rPr>
        <sz val="10"/>
        <rFont val="Vazirmatn"/>
        <family val="0"/>
        <charset val="1"/>
      </rPr>
      <t xml:space="preserve">Flexi Tank   </t>
    </r>
    <r>
      <rPr>
        <sz val="10"/>
        <rFont val="FreeSans"/>
        <family val="2"/>
      </rPr>
      <t xml:space="preserve">مشخصه</t>
    </r>
    <r>
      <rPr>
        <sz val="10"/>
        <rFont val="Vazirmatn"/>
        <family val="0"/>
        <charset val="1"/>
      </rPr>
      <t xml:space="preserve">: 40</t>
    </r>
    <r>
      <rPr>
        <sz val="10"/>
        <rFont val="FreeSans"/>
        <family val="2"/>
      </rPr>
      <t xml:space="preserve">فوت کانتینری </t>
    </r>
    <r>
      <rPr>
        <sz val="10"/>
        <rFont val="Vazirmatn"/>
        <family val="0"/>
        <charset val="1"/>
      </rPr>
      <t xml:space="preserve">(20 </t>
    </r>
    <r>
      <rPr>
        <sz val="10"/>
        <rFont val="FreeSans"/>
        <family val="2"/>
      </rPr>
      <t xml:space="preserve">تنی</t>
    </r>
    <r>
      <rPr>
        <sz val="10"/>
        <rFont val="Vazirmatn"/>
        <family val="0"/>
        <charset val="1"/>
      </rPr>
      <t xml:space="preserve">)</t>
    </r>
  </si>
  <si>
    <t xml:space="preserve">31254187</t>
  </si>
  <si>
    <r>
      <rPr>
        <sz val="10"/>
        <rFont val="FreeSans"/>
        <family val="2"/>
      </rPr>
      <t xml:space="preserve">شاتون کمپرسور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اسب کوپلند</t>
    </r>
  </si>
  <si>
    <t xml:space="preserve">31254204</t>
  </si>
  <si>
    <r>
      <rPr>
        <sz val="10"/>
        <rFont val="FreeSans"/>
        <family val="2"/>
      </rPr>
      <t xml:space="preserve">پیستون </t>
    </r>
    <r>
      <rPr>
        <sz val="10"/>
        <rFont val="Vazirmatn"/>
        <family val="0"/>
        <charset val="1"/>
      </rPr>
      <t xml:space="preserve">282AK</t>
    </r>
  </si>
  <si>
    <t xml:space="preserve">31254205</t>
  </si>
  <si>
    <r>
      <rPr>
        <sz val="10"/>
        <rFont val="FreeSans"/>
        <family val="2"/>
      </rPr>
      <t xml:space="preserve">سرامیکی پمپ کارواش اینتر </t>
    </r>
    <r>
      <rPr>
        <sz val="10"/>
        <rFont val="Vazirmatn"/>
        <family val="0"/>
        <charset val="1"/>
      </rPr>
      <t xml:space="preserve">200bar</t>
    </r>
  </si>
  <si>
    <t xml:space="preserve">31254206</t>
  </si>
  <si>
    <r>
      <rPr>
        <sz val="10"/>
        <rFont val="FreeSans"/>
        <family val="2"/>
      </rPr>
      <t xml:space="preserve">پیستون کمپرسور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دیسکاس کوپلند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</si>
  <si>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31254209</t>
  </si>
  <si>
    <r>
      <rPr>
        <sz val="10"/>
        <rFont val="FreeSans"/>
        <family val="2"/>
      </rPr>
      <t xml:space="preserve">پیستون کمپرسور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اسب کوپلند</t>
    </r>
  </si>
  <si>
    <t xml:space="preserve">31254211</t>
  </si>
  <si>
    <t xml:space="preserve">پیستون پمپ دکانتور روغن</t>
  </si>
  <si>
    <t xml:space="preserve">31254256</t>
  </si>
  <si>
    <r>
      <rPr>
        <sz val="10"/>
        <rFont val="FreeSans"/>
        <family val="2"/>
      </rPr>
      <t xml:space="preserve">سیلندر کامل ترمز لیفتراک </t>
    </r>
    <r>
      <rPr>
        <sz val="10"/>
        <rFont val="Vazirmatn"/>
        <family val="0"/>
        <charset val="1"/>
      </rPr>
      <t xml:space="preserve">( 9432315 )</t>
    </r>
  </si>
  <si>
    <t xml:space="preserve">31254270</t>
  </si>
  <si>
    <t xml:space="preserve">جک تیغه درام پرژل</t>
  </si>
  <si>
    <t xml:space="preserve">31254400</t>
  </si>
  <si>
    <t xml:space="preserve">دسته سوپاپ اطمینان دیگ بخار</t>
  </si>
  <si>
    <t xml:space="preserve">31254500</t>
  </si>
  <si>
    <t xml:space="preserve">کاربراتور کامل آبی لیفتراک</t>
  </si>
  <si>
    <t xml:space="preserve">31258041</t>
  </si>
  <si>
    <r>
      <rPr>
        <sz val="10"/>
        <rFont val="FreeSans"/>
        <family val="2"/>
      </rPr>
      <t xml:space="preserve">کله آب پخش کن استیل  </t>
    </r>
    <r>
      <rPr>
        <sz val="10"/>
        <rFont val="Vazirmatn"/>
        <family val="0"/>
        <charset val="1"/>
      </rPr>
      <t xml:space="preserve">DN 50</t>
    </r>
  </si>
  <si>
    <t xml:space="preserve">31258042</t>
  </si>
  <si>
    <t xml:space="preserve">آب پخش کن استیل</t>
  </si>
  <si>
    <t xml:space="preserve">31258043</t>
  </si>
  <si>
    <t xml:space="preserve">آب پخش کن کولینگ تاور</t>
  </si>
  <si>
    <t xml:space="preserve">31258044</t>
  </si>
  <si>
    <t xml:space="preserve">آب پخش کن برنجی پمپ خلاء</t>
  </si>
  <si>
    <t xml:space="preserve">31258047</t>
  </si>
  <si>
    <r>
      <rPr>
        <sz val="10"/>
        <rFont val="FreeSans"/>
        <family val="2"/>
      </rPr>
      <t xml:space="preserve">آب پخش کن استیل  </t>
    </r>
    <r>
      <rPr>
        <sz val="10"/>
        <rFont val="Vazirmatn"/>
        <family val="0"/>
        <charset val="1"/>
      </rPr>
      <t xml:space="preserve">DN 25</t>
    </r>
  </si>
  <si>
    <t xml:space="preserve">31258048</t>
  </si>
  <si>
    <r>
      <rPr>
        <sz val="10"/>
        <rFont val="FreeSans"/>
        <family val="2"/>
      </rPr>
      <t xml:space="preserve">آب پخش کن استیل  </t>
    </r>
    <r>
      <rPr>
        <sz val="10"/>
        <rFont val="Vazirmatn"/>
        <family val="0"/>
        <charset val="1"/>
      </rPr>
      <t xml:space="preserve">DN 50</t>
    </r>
  </si>
  <si>
    <t xml:space="preserve">31258051</t>
  </si>
  <si>
    <r>
      <rPr>
        <sz val="10"/>
        <rFont val="FreeSans"/>
        <family val="2"/>
      </rPr>
      <t xml:space="preserve">آب پخش کن استیل صنایع شیری </t>
    </r>
    <r>
      <rPr>
        <sz val="10"/>
        <rFont val="Vazirmatn"/>
        <family val="0"/>
        <charset val="1"/>
      </rPr>
      <t xml:space="preserve">63mm</t>
    </r>
  </si>
  <si>
    <t xml:space="preserve">31258055</t>
  </si>
  <si>
    <r>
      <rPr>
        <sz val="10"/>
        <rFont val="FreeSans"/>
        <family val="2"/>
      </rPr>
      <t xml:space="preserve">آب پخش کن  </t>
    </r>
    <r>
      <rPr>
        <sz val="10"/>
        <rFont val="Vazirmatn"/>
        <family val="0"/>
        <charset val="1"/>
      </rPr>
      <t xml:space="preserve">DISTRIBUTHNG	 ABS</t>
    </r>
  </si>
  <si>
    <t xml:space="preserve">31261099</t>
  </si>
  <si>
    <r>
      <rPr>
        <sz val="10"/>
        <rFont val="FreeSans"/>
        <family val="2"/>
      </rPr>
      <t xml:space="preserve">واشر لاستیکی مبدل صفحه ای ساکاری </t>
    </r>
    <r>
      <rPr>
        <sz val="10"/>
        <rFont val="Vazirmatn"/>
        <family val="0"/>
        <charset val="1"/>
      </rPr>
      <t xml:space="preserve">"6</t>
    </r>
  </si>
  <si>
    <t xml:space="preserve">31261100</t>
  </si>
  <si>
    <r>
      <rPr>
        <sz val="10"/>
        <rFont val="FreeSans"/>
        <family val="2"/>
      </rPr>
      <t xml:space="preserve">واشر لاستیکی مبدل صفحه ای ساکاری </t>
    </r>
    <r>
      <rPr>
        <sz val="10"/>
        <rFont val="Vazirmatn"/>
        <family val="0"/>
        <charset val="1"/>
      </rPr>
      <t xml:space="preserve">"5</t>
    </r>
  </si>
  <si>
    <t xml:space="preserve">31261102</t>
  </si>
  <si>
    <r>
      <rPr>
        <sz val="10"/>
        <rFont val="FreeSans"/>
        <family val="2"/>
      </rPr>
      <t xml:space="preserve">واشر تنظیم فنر سپراتور </t>
    </r>
    <r>
      <rPr>
        <sz val="10"/>
        <rFont val="Vazirmatn"/>
        <family val="0"/>
        <charset val="1"/>
      </rPr>
      <t xml:space="preserve">lamina 6*24*5</t>
    </r>
  </si>
  <si>
    <t xml:space="preserve">31261104</t>
  </si>
  <si>
    <r>
      <rPr>
        <sz val="10"/>
        <rFont val="FreeSans"/>
        <family val="2"/>
      </rPr>
      <t xml:space="preserve">واشر دکانتور  </t>
    </r>
    <r>
      <rPr>
        <sz val="10"/>
        <rFont val="Vazirmatn"/>
        <family val="0"/>
        <charset val="1"/>
      </rPr>
      <t xml:space="preserve">250 - 6473 - 8418</t>
    </r>
  </si>
  <si>
    <t xml:space="preserve">31261105</t>
  </si>
  <si>
    <r>
      <rPr>
        <sz val="10"/>
        <rFont val="FreeSans"/>
        <family val="2"/>
      </rPr>
      <t xml:space="preserve">واشر </t>
    </r>
    <r>
      <rPr>
        <sz val="10"/>
        <rFont val="Vazirmatn"/>
        <family val="0"/>
        <charset val="1"/>
      </rPr>
      <t xml:space="preserve">" 3/4  EPDM</t>
    </r>
  </si>
  <si>
    <t xml:space="preserve">31261106</t>
  </si>
  <si>
    <r>
      <rPr>
        <sz val="10"/>
        <rFont val="FreeSans"/>
        <family val="2"/>
      </rPr>
      <t xml:space="preserve">واشر </t>
    </r>
    <r>
      <rPr>
        <sz val="10"/>
        <rFont val="Vazirmatn"/>
        <family val="0"/>
        <charset val="1"/>
      </rPr>
      <t xml:space="preserve">" 1  EPDM</t>
    </r>
  </si>
  <si>
    <t xml:space="preserve">31261115</t>
  </si>
  <si>
    <t xml:space="preserve">واشر شفت اصلی پرس روغن</t>
  </si>
  <si>
    <t xml:space="preserve">31261116</t>
  </si>
  <si>
    <t xml:space="preserve">واشر قوقوری سپراتور  تغلیظ گلوتن</t>
  </si>
  <si>
    <t xml:space="preserve">31261119</t>
  </si>
  <si>
    <r>
      <rPr>
        <sz val="10"/>
        <rFont val="FreeSans"/>
        <family val="2"/>
      </rPr>
      <t xml:space="preserve">واشر گلویی                   </t>
    </r>
    <r>
      <rPr>
        <sz val="10"/>
        <rFont val="Vazirmatn"/>
        <family val="0"/>
        <charset val="1"/>
      </rPr>
      <t xml:space="preserve">FQ  -  124</t>
    </r>
  </si>
  <si>
    <t xml:space="preserve">31261120</t>
  </si>
  <si>
    <r>
      <rPr>
        <sz val="10"/>
        <rFont val="FreeSans"/>
        <family val="2"/>
      </rPr>
      <t xml:space="preserve">واشر  آسیاب                 </t>
    </r>
    <r>
      <rPr>
        <sz val="10"/>
        <rFont val="Vazirmatn"/>
        <family val="0"/>
        <charset val="1"/>
      </rPr>
      <t xml:space="preserve">FQ  -  136</t>
    </r>
  </si>
  <si>
    <t xml:space="preserve">31261127</t>
  </si>
  <si>
    <r>
      <rPr>
        <sz val="10"/>
        <rFont val="FreeSans"/>
        <family val="2"/>
      </rPr>
      <t xml:space="preserve">واشر  آسیاب </t>
    </r>
    <r>
      <rPr>
        <sz val="10"/>
        <rFont val="Vazirmatn"/>
        <family val="0"/>
        <charset val="1"/>
      </rPr>
      <t xml:space="preserve">FQ  -  124</t>
    </r>
  </si>
  <si>
    <t xml:space="preserve">31261129</t>
  </si>
  <si>
    <r>
      <rPr>
        <sz val="10"/>
        <rFont val="FreeSans"/>
        <family val="2"/>
      </rPr>
      <t xml:space="preserve">واشر آسیاب  </t>
    </r>
    <r>
      <rPr>
        <sz val="10"/>
        <rFont val="Vazirmatn"/>
        <family val="0"/>
        <charset val="1"/>
      </rPr>
      <t xml:space="preserve">FQ  -  124</t>
    </r>
  </si>
  <si>
    <t xml:space="preserve">31261131</t>
  </si>
  <si>
    <r>
      <rPr>
        <sz val="10"/>
        <rFont val="FreeSans"/>
        <family val="2"/>
      </rPr>
      <t xml:space="preserve">واشر قفل بلبرینگ آسیاب </t>
    </r>
    <r>
      <rPr>
        <sz val="10"/>
        <rFont val="Vazirmatn"/>
        <family val="0"/>
        <charset val="1"/>
      </rPr>
      <t xml:space="preserve">FQ  -  124</t>
    </r>
  </si>
  <si>
    <t xml:space="preserve">31261140</t>
  </si>
  <si>
    <r>
      <rPr>
        <sz val="10"/>
        <rFont val="FreeSans"/>
        <family val="2"/>
      </rPr>
      <t xml:space="preserve">واشر </t>
    </r>
    <r>
      <rPr>
        <sz val="10"/>
        <rFont val="Vazirmatn"/>
        <family val="0"/>
        <charset val="1"/>
      </rPr>
      <t xml:space="preserve">" 4  EPDM</t>
    </r>
  </si>
  <si>
    <t xml:space="preserve">31261141</t>
  </si>
  <si>
    <r>
      <rPr>
        <sz val="10"/>
        <rFont val="FreeSans"/>
        <family val="2"/>
      </rPr>
      <t xml:space="preserve">واشر </t>
    </r>
    <r>
      <rPr>
        <sz val="10"/>
        <rFont val="Vazirmatn"/>
        <family val="0"/>
        <charset val="1"/>
      </rPr>
      <t xml:space="preserve">" 5  EPDM</t>
    </r>
  </si>
  <si>
    <t xml:space="preserve">31261150</t>
  </si>
  <si>
    <r>
      <rPr>
        <sz val="10"/>
        <rFont val="FreeSans"/>
        <family val="2"/>
      </rPr>
      <t xml:space="preserve">واشر </t>
    </r>
    <r>
      <rPr>
        <sz val="10"/>
        <rFont val="Vazirmatn"/>
        <family val="0"/>
        <charset val="1"/>
      </rPr>
      <t xml:space="preserve">" 6  EPDM</t>
    </r>
  </si>
  <si>
    <t xml:space="preserve">31261157</t>
  </si>
  <si>
    <r>
      <rPr>
        <sz val="10"/>
        <rFont val="FreeSans"/>
        <family val="2"/>
      </rPr>
      <t xml:space="preserve">واشر دکانتور  </t>
    </r>
    <r>
      <rPr>
        <sz val="10"/>
        <rFont val="Vazirmatn"/>
        <family val="0"/>
        <charset val="1"/>
      </rPr>
      <t xml:space="preserve">010 - 6473 - 8417</t>
    </r>
  </si>
  <si>
    <t xml:space="preserve">31261180</t>
  </si>
  <si>
    <r>
      <rPr>
        <sz val="10"/>
        <rFont val="FreeSans"/>
        <family val="2"/>
      </rPr>
      <t xml:space="preserve">واشر تخت گالوانیزه             </t>
    </r>
    <r>
      <rPr>
        <sz val="10"/>
        <rFont val="Vazirmatn"/>
        <family val="0"/>
        <charset val="1"/>
      </rPr>
      <t xml:space="preserve">MM  8</t>
    </r>
  </si>
  <si>
    <t xml:space="preserve">31261181</t>
  </si>
  <si>
    <r>
      <rPr>
        <sz val="10"/>
        <rFont val="FreeSans"/>
        <family val="2"/>
      </rPr>
      <t xml:space="preserve">واشر تخت گالوانیزه           </t>
    </r>
    <r>
      <rPr>
        <sz val="10"/>
        <rFont val="Vazirmatn"/>
        <family val="0"/>
        <charset val="1"/>
      </rPr>
      <t xml:space="preserve">MM  10</t>
    </r>
  </si>
  <si>
    <t xml:space="preserve">31261182</t>
  </si>
  <si>
    <r>
      <rPr>
        <sz val="10"/>
        <rFont val="FreeSans"/>
        <family val="2"/>
      </rPr>
      <t xml:space="preserve">واشر تخت گالوانیزه </t>
    </r>
    <r>
      <rPr>
        <sz val="10"/>
        <rFont val="Vazirmatn"/>
        <family val="0"/>
        <charset val="1"/>
      </rPr>
      <t xml:space="preserve">8  </t>
    </r>
    <r>
      <rPr>
        <sz val="10"/>
        <rFont val="FreeSans"/>
        <family val="2"/>
      </rPr>
      <t xml:space="preserve">دور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میل</t>
    </r>
  </si>
  <si>
    <t xml:space="preserve">31261204</t>
  </si>
  <si>
    <r>
      <rPr>
        <sz val="10"/>
        <rFont val="FreeSans"/>
        <family val="2"/>
      </rPr>
      <t xml:space="preserve">واشر تخت زیر اهرم سپراتور  </t>
    </r>
    <r>
      <rPr>
        <sz val="10"/>
        <rFont val="Vazirmatn"/>
        <family val="0"/>
        <charset val="1"/>
      </rPr>
      <t xml:space="preserve">70796</t>
    </r>
  </si>
  <si>
    <t xml:space="preserve">31261206</t>
  </si>
  <si>
    <r>
      <rPr>
        <sz val="10"/>
        <rFont val="FreeSans"/>
        <family val="2"/>
      </rPr>
      <t xml:space="preserve">واشر سپراتور  </t>
    </r>
    <r>
      <rPr>
        <sz val="10"/>
        <rFont val="Vazirmatn"/>
        <family val="0"/>
        <charset val="1"/>
      </rPr>
      <t xml:space="preserve">4 - 223537</t>
    </r>
  </si>
  <si>
    <t xml:space="preserve">31261216</t>
  </si>
  <si>
    <r>
      <rPr>
        <sz val="10"/>
        <rFont val="FreeSans"/>
        <family val="2"/>
      </rPr>
      <t xml:space="preserve">واشرتخت استیل              </t>
    </r>
    <r>
      <rPr>
        <sz val="10"/>
        <rFont val="Vazirmatn"/>
        <family val="0"/>
        <charset val="1"/>
      </rPr>
      <t xml:space="preserve">MM  12</t>
    </r>
  </si>
  <si>
    <t xml:space="preserve">31261218</t>
  </si>
  <si>
    <r>
      <rPr>
        <sz val="10"/>
        <rFont val="FreeSans"/>
        <family val="2"/>
      </rPr>
      <t xml:space="preserve">واشرتخت استیل              </t>
    </r>
    <r>
      <rPr>
        <sz val="10"/>
        <rFont val="Vazirmatn"/>
        <family val="0"/>
        <charset val="1"/>
      </rPr>
      <t xml:space="preserve">18  MM</t>
    </r>
  </si>
  <si>
    <t xml:space="preserve">31261219</t>
  </si>
  <si>
    <r>
      <rPr>
        <sz val="10"/>
        <rFont val="FreeSans"/>
        <family val="2"/>
      </rPr>
      <t xml:space="preserve">واشرتخت استیل              </t>
    </r>
    <r>
      <rPr>
        <sz val="10"/>
        <rFont val="Vazirmatn"/>
        <family val="0"/>
        <charset val="1"/>
      </rPr>
      <t xml:space="preserve">16  MM</t>
    </r>
  </si>
  <si>
    <t xml:space="preserve">31261221</t>
  </si>
  <si>
    <r>
      <rPr>
        <sz val="10"/>
        <rFont val="FreeSans"/>
        <family val="2"/>
      </rPr>
      <t xml:space="preserve">واشر تخت استیل             </t>
    </r>
    <r>
      <rPr>
        <sz val="10"/>
        <rFont val="Vazirmatn"/>
        <family val="0"/>
        <charset val="1"/>
      </rPr>
      <t xml:space="preserve">MM  27</t>
    </r>
  </si>
  <si>
    <t xml:space="preserve">31261226</t>
  </si>
  <si>
    <r>
      <rPr>
        <sz val="10"/>
        <rFont val="FreeSans"/>
        <family val="2"/>
      </rPr>
      <t xml:space="preserve">واشر شیر مخلوط  </t>
    </r>
    <r>
      <rPr>
        <sz val="10"/>
        <rFont val="Vazirmatn"/>
        <family val="0"/>
        <charset val="1"/>
      </rPr>
      <t xml:space="preserve">" 1/2</t>
    </r>
  </si>
  <si>
    <t xml:space="preserve">31261243</t>
  </si>
  <si>
    <r>
      <rPr>
        <sz val="10"/>
        <rFont val="FreeSans"/>
        <family val="2"/>
      </rPr>
      <t xml:space="preserve">واشر برنجی                     </t>
    </r>
    <r>
      <rPr>
        <sz val="10"/>
        <rFont val="Vazirmatn"/>
        <family val="0"/>
        <charset val="1"/>
      </rPr>
      <t xml:space="preserve">12  MM</t>
    </r>
  </si>
  <si>
    <t xml:space="preserve">31261250</t>
  </si>
  <si>
    <r>
      <rPr>
        <sz val="10"/>
        <rFont val="FreeSans"/>
        <family val="2"/>
      </rPr>
      <t xml:space="preserve">واشر لاستیکی کوچک صفحات مبدل </t>
    </r>
    <r>
      <rPr>
        <sz val="10"/>
        <rFont val="Vazirmatn"/>
        <family val="0"/>
        <charset val="1"/>
      </rPr>
      <t xml:space="preserve">FBB 045M</t>
    </r>
  </si>
  <si>
    <t xml:space="preserve">31261251</t>
  </si>
  <si>
    <r>
      <rPr>
        <sz val="10"/>
        <rFont val="FreeSans"/>
        <family val="2"/>
      </rPr>
      <t xml:space="preserve">واشر لاستیکی صفحات مبدل </t>
    </r>
    <r>
      <rPr>
        <sz val="10"/>
        <rFont val="Vazirmatn"/>
        <family val="0"/>
        <charset val="1"/>
      </rPr>
      <t xml:space="preserve">AU10L2/EPDM</t>
    </r>
  </si>
  <si>
    <t xml:space="preserve">31261252</t>
  </si>
  <si>
    <r>
      <rPr>
        <sz val="10"/>
        <rFont val="FreeSans"/>
        <family val="2"/>
      </rPr>
      <t xml:space="preserve">واشر لاستیکی صفحات مبدل </t>
    </r>
    <r>
      <rPr>
        <sz val="10"/>
        <rFont val="Vazirmatn"/>
        <family val="0"/>
        <charset val="1"/>
      </rPr>
      <t xml:space="preserve">AS 20</t>
    </r>
  </si>
  <si>
    <t xml:space="preserve">31261253</t>
  </si>
  <si>
    <r>
      <rPr>
        <sz val="10"/>
        <rFont val="FreeSans"/>
        <family val="2"/>
      </rPr>
      <t xml:space="preserve">واشر لاستیکی بزرگ صفحات مبدل </t>
    </r>
    <r>
      <rPr>
        <sz val="10"/>
        <rFont val="Vazirmatn"/>
        <family val="0"/>
        <charset val="1"/>
      </rPr>
      <t xml:space="preserve">FBB 045 M</t>
    </r>
  </si>
  <si>
    <t xml:space="preserve">31261254</t>
  </si>
  <si>
    <r>
      <rPr>
        <sz val="10"/>
        <rFont val="FreeSans"/>
        <family val="2"/>
      </rPr>
      <t xml:space="preserve">واشر لاستیکی صفحات مبدل </t>
    </r>
    <r>
      <rPr>
        <sz val="10"/>
        <rFont val="Vazirmatn"/>
        <family val="0"/>
        <charset val="1"/>
      </rPr>
      <t xml:space="preserve">AU10 L2 / HEPDM</t>
    </r>
  </si>
  <si>
    <t xml:space="preserve">31261256</t>
  </si>
  <si>
    <r>
      <rPr>
        <sz val="10"/>
        <rFont val="FreeSans"/>
        <family val="2"/>
      </rPr>
      <t xml:space="preserve">واشر لاستیکی صفحات مبدل </t>
    </r>
    <r>
      <rPr>
        <sz val="10"/>
        <rFont val="Vazirmatn"/>
        <family val="0"/>
        <charset val="1"/>
      </rPr>
      <t xml:space="preserve">AU10 L1 / EPDM</t>
    </r>
  </si>
  <si>
    <t xml:space="preserve">31261257</t>
  </si>
  <si>
    <r>
      <rPr>
        <sz val="10"/>
        <rFont val="FreeSans"/>
        <family val="2"/>
      </rPr>
      <t xml:space="preserve">واشر لاستیکی صفحات مبدل  </t>
    </r>
    <r>
      <rPr>
        <sz val="10"/>
        <rFont val="Vazirmatn"/>
        <family val="0"/>
        <charset val="1"/>
      </rPr>
      <t xml:space="preserve">AU8/HEPDM</t>
    </r>
  </si>
  <si>
    <t xml:space="preserve">31261279</t>
  </si>
  <si>
    <t xml:space="preserve">Fild Gasket For EC 350 WTFE EPDM</t>
  </si>
  <si>
    <t xml:space="preserve">31261282</t>
  </si>
  <si>
    <r>
      <rPr>
        <sz val="10"/>
        <rFont val="FreeSans"/>
        <family val="2"/>
      </rPr>
      <t xml:space="preserve">گسکت صفحه مبدل حرارتی  </t>
    </r>
    <r>
      <rPr>
        <sz val="10"/>
        <rFont val="Vazirmatn"/>
        <family val="0"/>
        <charset val="1"/>
      </rPr>
      <t xml:space="preserve">AU10L2/81/316L/E</t>
    </r>
  </si>
  <si>
    <t xml:space="preserve">31261283</t>
  </si>
  <si>
    <r>
      <rPr>
        <sz val="10"/>
        <rFont val="FreeSans"/>
        <family val="2"/>
      </rPr>
      <t xml:space="preserve">واشر مبدل حرارتی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طرفه کور </t>
    </r>
    <r>
      <rPr>
        <sz val="10"/>
        <rFont val="Vazirmatn"/>
        <family val="0"/>
        <charset val="1"/>
      </rPr>
      <t xml:space="preserve">E 18 DFP</t>
    </r>
  </si>
  <si>
    <t xml:space="preserve">31261284</t>
  </si>
  <si>
    <r>
      <rPr>
        <sz val="10"/>
        <rFont val="FreeSans"/>
        <family val="2"/>
      </rPr>
      <t xml:space="preserve">گسکت صفحه مبدل حرارتی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طرف بسته</t>
    </r>
  </si>
  <si>
    <t xml:space="preserve">31261287</t>
  </si>
  <si>
    <r>
      <rPr>
        <sz val="10"/>
        <rFont val="FreeSans"/>
        <family val="2"/>
      </rPr>
      <t xml:space="preserve">گسکت ابتدایی مبدل صفحه ای  </t>
    </r>
    <r>
      <rPr>
        <sz val="10"/>
        <rFont val="Vazirmatn"/>
        <family val="0"/>
        <charset val="1"/>
      </rPr>
      <t xml:space="preserve">HOT side / COLD side - PROSESS COMBINATION : 1X44 / 1X44 - MODEL: FBB045M-1.0-40.5-E</t>
    </r>
  </si>
  <si>
    <t xml:space="preserve">31261288</t>
  </si>
  <si>
    <r>
      <rPr>
        <sz val="10"/>
        <rFont val="FreeSans"/>
        <family val="2"/>
      </rPr>
      <t xml:space="preserve">گسکت میانی مبدل صفحه ای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سرد </t>
    </r>
    <r>
      <rPr>
        <sz val="10"/>
        <rFont val="Vazirmatn"/>
        <family val="0"/>
        <charset val="1"/>
      </rPr>
      <t xml:space="preserve">)  HOT side / COLD side - PROSESS COMBINATION : 1X44 / 1X44 - MODEL: FBB045M-1.0-40.5-E</t>
    </r>
  </si>
  <si>
    <t xml:space="preserve">31261289</t>
  </si>
  <si>
    <r>
      <rPr>
        <sz val="10"/>
        <rFont val="FreeSans"/>
        <family val="2"/>
      </rPr>
      <t xml:space="preserve">گسکت میانی مبدل صفحه ای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گرم </t>
    </r>
    <r>
      <rPr>
        <sz val="10"/>
        <rFont val="Vazirmatn"/>
        <family val="0"/>
        <charset val="1"/>
      </rPr>
      <t xml:space="preserve">)  HOT side / COLD side - PROCESS COMBINATION : 1X44 / 1X44 - MODEL: FBB045M-1.0-40.5-E</t>
    </r>
  </si>
  <si>
    <t xml:space="preserve">31261290</t>
  </si>
  <si>
    <r>
      <rPr>
        <sz val="10"/>
        <rFont val="FreeSans"/>
        <family val="2"/>
      </rPr>
      <t xml:space="preserve">گسکت انتهایی مبدل صفحه ای </t>
    </r>
    <r>
      <rPr>
        <sz val="10"/>
        <rFont val="Vazirmatn"/>
        <family val="0"/>
        <charset val="1"/>
      </rPr>
      <t xml:space="preserve">HOT side / COLD side - PROSESS COMBINATION : 1X44 / 1X44 - MODEL: FBB045M-1.0-40.5-E</t>
    </r>
  </si>
  <si>
    <t xml:space="preserve">31261295</t>
  </si>
  <si>
    <r>
      <rPr>
        <sz val="10"/>
        <rFont val="FreeSans"/>
        <family val="2"/>
      </rPr>
      <t xml:space="preserve">گسکت مبدل </t>
    </r>
    <r>
      <rPr>
        <sz val="10"/>
        <rFont val="Vazirmatn"/>
        <family val="0"/>
        <charset val="1"/>
      </rPr>
      <t xml:space="preserve">EC 350 - WTFF</t>
    </r>
  </si>
  <si>
    <t xml:space="preserve">31261296</t>
  </si>
  <si>
    <t xml:space="preserve">31261297</t>
  </si>
  <si>
    <r>
      <rPr>
        <sz val="10"/>
        <rFont val="FreeSans"/>
        <family val="2"/>
      </rPr>
      <t xml:space="preserve">گسکت گرد مبدل  </t>
    </r>
    <r>
      <rPr>
        <sz val="10"/>
        <rFont val="Vazirmatn"/>
        <family val="0"/>
        <charset val="1"/>
      </rPr>
      <t xml:space="preserve">EC 350 - WTFF</t>
    </r>
  </si>
  <si>
    <t xml:space="preserve">31261303</t>
  </si>
  <si>
    <t xml:space="preserve">واشر تفلونی نسوز سوپاپ دیگ بخار</t>
  </si>
  <si>
    <t xml:space="preserve">31261305</t>
  </si>
  <si>
    <t xml:space="preserve">واشر گلوئی روغن نمای سپراتور تغلیظ گلوتن</t>
  </si>
  <si>
    <t xml:space="preserve">31261309</t>
  </si>
  <si>
    <t xml:space="preserve">واشر شیشه روغن نمای سپراتور تغلیظ گلوتن</t>
  </si>
  <si>
    <t xml:space="preserve">31261311</t>
  </si>
  <si>
    <t xml:space="preserve">واشر لوله برگشتی روغن سپراتور تغلیظ گلوتن</t>
  </si>
  <si>
    <t xml:space="preserve">31261313</t>
  </si>
  <si>
    <t xml:space="preserve">واشر لوله رابط روغن نمای سپراتور تغلیظ گلوتن</t>
  </si>
  <si>
    <t xml:space="preserve">31261315</t>
  </si>
  <si>
    <t xml:space="preserve">واشر تخلیه روغن سپراتور تغلیظ گلوتن</t>
  </si>
  <si>
    <t xml:space="preserve">31261317</t>
  </si>
  <si>
    <t xml:space="preserve">واشر هوا گیری روغن سپراتور تغلیظ گلوتن</t>
  </si>
  <si>
    <t xml:space="preserve">31261319</t>
  </si>
  <si>
    <t xml:space="preserve">واشر فلنج زیر پوسته اصلی سپراتور تغلیظ گلوتن</t>
  </si>
  <si>
    <t xml:space="preserve">31261321</t>
  </si>
  <si>
    <t xml:space="preserve">واشر زیر صفحه برنجی سپراتور تغلیظ گلوتن</t>
  </si>
  <si>
    <t xml:space="preserve">31261323</t>
  </si>
  <si>
    <t xml:space="preserve">واشر درب روغن سپراتور تغلیظ گلوتن</t>
  </si>
  <si>
    <t xml:space="preserve">31261325</t>
  </si>
  <si>
    <t xml:space="preserve">واشر مهره نگهدارنده سپراتور تلیظ گلوتن</t>
  </si>
  <si>
    <t xml:space="preserve">31261326</t>
  </si>
  <si>
    <t xml:space="preserve">واشر کلینگریت زیر هونگی سپراتور تغلیظ گلوتن</t>
  </si>
  <si>
    <t xml:space="preserve">31261327</t>
  </si>
  <si>
    <t xml:space="preserve">واشر تنظیم فنر سپراتور تغلیظ گلوتن</t>
  </si>
  <si>
    <t xml:space="preserve">31261328</t>
  </si>
  <si>
    <t xml:space="preserve">واشر بالای فنر سپراتور تغلیظ گلوتن</t>
  </si>
  <si>
    <t xml:space="preserve">31261329</t>
  </si>
  <si>
    <t xml:space="preserve">واشر پائین دیسک سپراتور تغلیظ گلوتن</t>
  </si>
  <si>
    <t xml:space="preserve">31261330</t>
  </si>
  <si>
    <t xml:space="preserve">واشر گلوئی کاسه بالای سپراتور تغلیظ گلوتن</t>
  </si>
  <si>
    <t xml:space="preserve">31261331</t>
  </si>
  <si>
    <t xml:space="preserve">واشر پیچ های هونگی سپراتور تغلیظ گلوتن</t>
  </si>
  <si>
    <t xml:space="preserve">31261352</t>
  </si>
  <si>
    <r>
      <rPr>
        <sz val="10"/>
        <rFont val="FreeSans"/>
        <family val="2"/>
      </rPr>
      <t xml:space="preserve">واشر لاستیکی صفحات مبدل آلفا لاوال </t>
    </r>
    <r>
      <rPr>
        <sz val="10"/>
        <rFont val="Vazirmatn"/>
        <family val="0"/>
        <charset val="1"/>
      </rPr>
      <t xml:space="preserve">7758</t>
    </r>
  </si>
  <si>
    <t xml:space="preserve">31261353</t>
  </si>
  <si>
    <r>
      <rPr>
        <sz val="10"/>
        <rFont val="FreeSans"/>
        <family val="2"/>
      </rPr>
      <t xml:space="preserve">واشر لاستیکی کندانسور اواپراتور  </t>
    </r>
    <r>
      <rPr>
        <sz val="10"/>
        <rFont val="Vazirmatn"/>
        <family val="0"/>
        <charset val="1"/>
      </rPr>
      <t xml:space="preserve">MA30M</t>
    </r>
  </si>
  <si>
    <t xml:space="preserve">31261354</t>
  </si>
  <si>
    <r>
      <rPr>
        <sz val="10"/>
        <rFont val="FreeSans"/>
        <family val="2"/>
      </rPr>
      <t xml:space="preserve">واشر لاستیکی کندانسور اواپراتور  </t>
    </r>
    <r>
      <rPr>
        <sz val="10"/>
        <rFont val="Vazirmatn"/>
        <family val="0"/>
        <charset val="1"/>
      </rPr>
      <t xml:space="preserve">MA30S</t>
    </r>
  </si>
  <si>
    <t xml:space="preserve">31261355</t>
  </si>
  <si>
    <r>
      <rPr>
        <sz val="10"/>
        <rFont val="FreeSans"/>
        <family val="2"/>
      </rPr>
      <t xml:space="preserve">واشر لاستیکی افکت اواپراتور  </t>
    </r>
    <r>
      <rPr>
        <sz val="10"/>
        <rFont val="Vazirmatn"/>
        <family val="0"/>
        <charset val="1"/>
      </rPr>
      <t xml:space="preserve">EC350</t>
    </r>
  </si>
  <si>
    <t xml:space="preserve">31261356</t>
  </si>
  <si>
    <r>
      <rPr>
        <sz val="10"/>
        <rFont val="FreeSans"/>
        <family val="2"/>
      </rPr>
      <t xml:space="preserve">واشر لاستیکی مبدل  </t>
    </r>
    <r>
      <rPr>
        <sz val="10"/>
        <rFont val="Vazirmatn"/>
        <family val="0"/>
        <charset val="1"/>
      </rPr>
      <t xml:space="preserve">VT 10</t>
    </r>
  </si>
  <si>
    <t xml:space="preserve">31261359</t>
  </si>
  <si>
    <r>
      <rPr>
        <sz val="10"/>
        <rFont val="FreeSans"/>
        <family val="2"/>
      </rPr>
      <t xml:space="preserve">واشر لاستیکی آبندی شیرپروانه ای صنایع شیری </t>
    </r>
    <r>
      <rPr>
        <sz val="10"/>
        <rFont val="Vazirmatn"/>
        <family val="0"/>
        <charset val="1"/>
      </rPr>
      <t xml:space="preserve">63</t>
    </r>
  </si>
  <si>
    <t xml:space="preserve">31261360</t>
  </si>
  <si>
    <r>
      <rPr>
        <sz val="10"/>
        <rFont val="FreeSans"/>
        <family val="2"/>
      </rPr>
      <t xml:space="preserve">واشر تفلونی کلمپی صنایع شیری </t>
    </r>
    <r>
      <rPr>
        <sz val="10"/>
        <rFont val="Vazirmatn"/>
        <family val="0"/>
        <charset val="1"/>
      </rPr>
      <t xml:space="preserve">50 mm</t>
    </r>
  </si>
  <si>
    <t xml:space="preserve">31261365</t>
  </si>
  <si>
    <r>
      <rPr>
        <sz val="10"/>
        <rFont val="FreeSans"/>
        <family val="2"/>
      </rPr>
      <t xml:space="preserve">واشر لاستیکی اسفنجی  </t>
    </r>
    <r>
      <rPr>
        <sz val="10"/>
        <rFont val="Vazirmatn"/>
        <family val="0"/>
        <charset val="1"/>
      </rPr>
      <t xml:space="preserve">17mm*17mm</t>
    </r>
  </si>
  <si>
    <t xml:space="preserve">31261366</t>
  </si>
  <si>
    <r>
      <rPr>
        <sz val="10"/>
        <rFont val="FreeSans"/>
        <family val="2"/>
      </rPr>
      <t xml:space="preserve">خورشیدی </t>
    </r>
    <r>
      <rPr>
        <sz val="10"/>
        <rFont val="Vazirmatn"/>
        <family val="0"/>
        <charset val="1"/>
      </rPr>
      <t xml:space="preserve">" 8</t>
    </r>
  </si>
  <si>
    <t xml:space="preserve">31261367</t>
  </si>
  <si>
    <r>
      <rPr>
        <sz val="10"/>
        <rFont val="FreeSans"/>
        <family val="2"/>
      </rPr>
      <t xml:space="preserve">واشر کاغذی </t>
    </r>
    <r>
      <rPr>
        <sz val="10"/>
        <rFont val="Vazirmatn"/>
        <family val="0"/>
        <charset val="1"/>
      </rPr>
      <t xml:space="preserve">100 </t>
    </r>
    <r>
      <rPr>
        <sz val="10"/>
        <rFont val="FreeSans"/>
        <family val="2"/>
      </rPr>
      <t xml:space="preserve">میکرون  </t>
    </r>
    <r>
      <rPr>
        <sz val="10"/>
        <rFont val="Vazirmatn"/>
        <family val="0"/>
        <charset val="1"/>
      </rPr>
      <t xml:space="preserve">2m*1m</t>
    </r>
  </si>
  <si>
    <t xml:space="preserve">31261368</t>
  </si>
  <si>
    <r>
      <rPr>
        <sz val="10"/>
        <rFont val="FreeSans"/>
        <family val="2"/>
      </rPr>
      <t xml:space="preserve">واشر سر سیلندر </t>
    </r>
    <r>
      <rPr>
        <sz val="10"/>
        <rFont val="Vazirmatn"/>
        <family val="0"/>
        <charset val="1"/>
      </rPr>
      <t xml:space="preserve">282AK</t>
    </r>
  </si>
  <si>
    <t xml:space="preserve">31261369</t>
  </si>
  <si>
    <r>
      <rPr>
        <sz val="10"/>
        <rFont val="FreeSans"/>
        <family val="2"/>
      </rPr>
      <t xml:space="preserve">واشر </t>
    </r>
    <r>
      <rPr>
        <sz val="10"/>
        <rFont val="Vazirmatn"/>
        <family val="0"/>
        <charset val="1"/>
      </rPr>
      <t xml:space="preserve">200mm </t>
    </r>
    <r>
      <rPr>
        <sz val="10"/>
        <rFont val="FreeSans"/>
        <family val="2"/>
      </rPr>
      <t xml:space="preserve">ممبران </t>
    </r>
    <r>
      <rPr>
        <sz val="10"/>
        <rFont val="Vazirmatn"/>
        <family val="0"/>
        <charset val="1"/>
      </rPr>
      <t xml:space="preserve">RO ( </t>
    </r>
    <r>
      <rPr>
        <sz val="10"/>
        <rFont val="FreeSans"/>
        <family val="2"/>
      </rPr>
      <t xml:space="preserve">پشت به پشت </t>
    </r>
    <r>
      <rPr>
        <sz val="10"/>
        <rFont val="Vazirmatn"/>
        <family val="0"/>
        <charset val="1"/>
      </rPr>
      <t xml:space="preserve">)</t>
    </r>
  </si>
  <si>
    <t xml:space="preserve">31261370</t>
  </si>
  <si>
    <r>
      <rPr>
        <sz val="10"/>
        <rFont val="FreeSans"/>
        <family val="2"/>
      </rPr>
      <t xml:space="preserve">واشر اتصال ورودی آب </t>
    </r>
    <r>
      <rPr>
        <sz val="10"/>
        <rFont val="Vazirmatn"/>
        <family val="0"/>
        <charset val="1"/>
      </rPr>
      <t xml:space="preserve">RO 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 DN 40</t>
    </r>
  </si>
  <si>
    <t xml:space="preserve">31261396</t>
  </si>
  <si>
    <r>
      <rPr>
        <sz val="10"/>
        <rFont val="FreeSans"/>
        <family val="2"/>
      </rPr>
      <t xml:space="preserve">واشر لاستیکی مهره ماسوره استیل صنایع شیری </t>
    </r>
    <r>
      <rPr>
        <sz val="10"/>
        <rFont val="Vazirmatn"/>
        <family val="0"/>
        <charset val="1"/>
      </rPr>
      <t xml:space="preserve">25mm</t>
    </r>
  </si>
  <si>
    <t xml:space="preserve">31261397</t>
  </si>
  <si>
    <r>
      <rPr>
        <sz val="10"/>
        <rFont val="FreeSans"/>
        <family val="2"/>
      </rPr>
      <t xml:space="preserve">واشر لاستیکی مهره ماسوره استیل صنایع شیری </t>
    </r>
    <r>
      <rPr>
        <sz val="10"/>
        <rFont val="Vazirmatn"/>
        <family val="0"/>
        <charset val="1"/>
      </rPr>
      <t xml:space="preserve">76mm</t>
    </r>
  </si>
  <si>
    <t xml:space="preserve">31261398</t>
  </si>
  <si>
    <r>
      <rPr>
        <sz val="10"/>
        <rFont val="FreeSans"/>
        <family val="2"/>
      </rPr>
      <t xml:space="preserve">واشر لاستیکی مهره ماسوره استیل صنایع شیری </t>
    </r>
    <r>
      <rPr>
        <sz val="10"/>
        <rFont val="Vazirmatn"/>
        <family val="0"/>
        <charset val="1"/>
      </rPr>
      <t xml:space="preserve">63mm</t>
    </r>
  </si>
  <si>
    <t xml:space="preserve">31261399</t>
  </si>
  <si>
    <r>
      <rPr>
        <sz val="10"/>
        <rFont val="FreeSans"/>
        <family val="2"/>
      </rPr>
      <t xml:space="preserve">واشر لاستیکی مهره ماسوره استیل صنایع شیری </t>
    </r>
    <r>
      <rPr>
        <sz val="10"/>
        <rFont val="Vazirmatn"/>
        <family val="0"/>
        <charset val="1"/>
      </rPr>
      <t xml:space="preserve">51mm</t>
    </r>
  </si>
  <si>
    <t xml:space="preserve">31261400</t>
  </si>
  <si>
    <r>
      <rPr>
        <sz val="10"/>
        <rFont val="FreeSans"/>
        <family val="2"/>
      </rPr>
      <t xml:space="preserve">واشر لاستیکی مهره ماسوره استیل صنایع شیری </t>
    </r>
    <r>
      <rPr>
        <sz val="10"/>
        <rFont val="Vazirmatn"/>
        <family val="0"/>
        <charset val="1"/>
      </rPr>
      <t xml:space="preserve">38mm</t>
    </r>
  </si>
  <si>
    <t xml:space="preserve">31261403</t>
  </si>
  <si>
    <r>
      <rPr>
        <sz val="10"/>
        <rFont val="FreeSans"/>
        <family val="2"/>
      </rPr>
      <t xml:space="preserve">واشر کامل دیزل  </t>
    </r>
    <r>
      <rPr>
        <sz val="10"/>
        <rFont val="Vazirmatn"/>
        <family val="0"/>
        <charset val="1"/>
      </rPr>
      <t xml:space="preserve">MAK - 282</t>
    </r>
  </si>
  <si>
    <t xml:space="preserve">31261405</t>
  </si>
  <si>
    <r>
      <rPr>
        <sz val="10"/>
        <rFont val="FreeSans"/>
        <family val="2"/>
      </rPr>
      <t xml:space="preserve">واشر نسوز  </t>
    </r>
    <r>
      <rPr>
        <sz val="10"/>
        <rFont val="Vazirmatn"/>
        <family val="0"/>
        <charset val="1"/>
      </rPr>
      <t xml:space="preserve">1/5m*1/5m*2mm</t>
    </r>
  </si>
  <si>
    <t xml:space="preserve">31261407</t>
  </si>
  <si>
    <r>
      <rPr>
        <sz val="10"/>
        <rFont val="FreeSans"/>
        <family val="2"/>
      </rPr>
      <t xml:space="preserve">نوار اسفنجی به ضخامت </t>
    </r>
    <r>
      <rPr>
        <sz val="10"/>
        <rFont val="Vazirmatn"/>
        <family val="0"/>
        <charset val="1"/>
      </rPr>
      <t xml:space="preserve">10mm </t>
    </r>
    <r>
      <rPr>
        <sz val="10"/>
        <rFont val="FreeSans"/>
        <family val="2"/>
      </rPr>
      <t xml:space="preserve">وعرض </t>
    </r>
    <r>
      <rPr>
        <sz val="10"/>
        <rFont val="Vazirmatn"/>
        <family val="0"/>
        <charset val="1"/>
      </rPr>
      <t xml:space="preserve">8Cm</t>
    </r>
  </si>
  <si>
    <t xml:space="preserve">31261408</t>
  </si>
  <si>
    <r>
      <rPr>
        <sz val="10"/>
        <rFont val="FreeSans"/>
        <family val="2"/>
      </rPr>
      <t xml:space="preserve">واشر لاستیکی آببندی اواپراتور  </t>
    </r>
    <r>
      <rPr>
        <sz val="10"/>
        <rFont val="Vazirmatn"/>
        <family val="0"/>
        <charset val="1"/>
      </rPr>
      <t xml:space="preserve">12mm  -  600</t>
    </r>
  </si>
  <si>
    <t xml:space="preserve">31261410</t>
  </si>
  <si>
    <t xml:space="preserve">واشر لاستیکی آببندی  پرکن  روغن</t>
  </si>
  <si>
    <t xml:space="preserve">31261413</t>
  </si>
  <si>
    <r>
      <rPr>
        <sz val="10"/>
        <rFont val="FreeSans"/>
        <family val="2"/>
      </rPr>
      <t xml:space="preserve">واشر لاستیکی نرم   </t>
    </r>
    <r>
      <rPr>
        <sz val="10"/>
        <rFont val="Vazirmatn"/>
        <family val="0"/>
        <charset val="1"/>
      </rPr>
      <t xml:space="preserve">1/7 * 2/2 * 2/2</t>
    </r>
  </si>
  <si>
    <t xml:space="preserve">31261446</t>
  </si>
  <si>
    <t xml:space="preserve">واشر رینگ لاستیکی</t>
  </si>
  <si>
    <t xml:space="preserve">31261448</t>
  </si>
  <si>
    <r>
      <rPr>
        <sz val="10"/>
        <rFont val="FreeSans"/>
        <family val="2"/>
      </rPr>
      <t xml:space="preserve">واشرلاستیکی                 </t>
    </r>
    <r>
      <rPr>
        <sz val="10"/>
        <rFont val="Vazirmatn"/>
        <family val="0"/>
        <charset val="1"/>
      </rPr>
      <t xml:space="preserve">10  MM</t>
    </r>
  </si>
  <si>
    <t xml:space="preserve">31261456</t>
  </si>
  <si>
    <t xml:space="preserve">واشر لاستیکی بست ریتالیک</t>
  </si>
  <si>
    <t xml:space="preserve">31261468</t>
  </si>
  <si>
    <t xml:space="preserve">واشر لاستیکی آبندی دور درب درام</t>
  </si>
  <si>
    <t xml:space="preserve">31261470</t>
  </si>
  <si>
    <r>
      <rPr>
        <sz val="10"/>
        <rFont val="FreeSans"/>
        <family val="2"/>
      </rPr>
      <t xml:space="preserve">واشر لاستیکی سیلیکونی </t>
    </r>
    <r>
      <rPr>
        <sz val="10"/>
        <rFont val="Vazirmatn"/>
        <family val="0"/>
        <charset val="1"/>
      </rPr>
      <t xml:space="preserve">1 * 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3mm</t>
    </r>
  </si>
  <si>
    <t xml:space="preserve">31261472</t>
  </si>
  <si>
    <r>
      <rPr>
        <sz val="10"/>
        <rFont val="FreeSans"/>
        <family val="2"/>
      </rPr>
      <t xml:space="preserve">واشر سلیکونی        </t>
    </r>
    <r>
      <rPr>
        <sz val="10"/>
        <rFont val="Vazirmatn"/>
        <family val="0"/>
        <charset val="1"/>
      </rPr>
      <t xml:space="preserve">16.5-17.8-8</t>
    </r>
  </si>
  <si>
    <t xml:space="preserve">31261475</t>
  </si>
  <si>
    <r>
      <rPr>
        <sz val="10"/>
        <rFont val="FreeSans"/>
        <family val="2"/>
      </rPr>
      <t xml:space="preserve">واشرلاستیکی شیر پروانه ای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1/4 </t>
    </r>
    <r>
      <rPr>
        <sz val="10"/>
        <rFont val="FreeSans"/>
        <family val="2"/>
      </rPr>
      <t xml:space="preserve">اینچ</t>
    </r>
  </si>
  <si>
    <t xml:space="preserve">31261479</t>
  </si>
  <si>
    <r>
      <rPr>
        <sz val="10"/>
        <rFont val="FreeSans"/>
        <family val="2"/>
      </rPr>
      <t xml:space="preserve">واشرلاستیکی            </t>
    </r>
    <r>
      <rPr>
        <sz val="10"/>
        <rFont val="Vazirmatn"/>
        <family val="0"/>
        <charset val="1"/>
      </rPr>
      <t xml:space="preserve">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   </t>
    </r>
    <r>
      <rPr>
        <sz val="10"/>
        <rFont val="FreeSans"/>
        <family val="2"/>
      </rPr>
      <t xml:space="preserve">اینچ</t>
    </r>
  </si>
  <si>
    <t xml:space="preserve">31261484</t>
  </si>
  <si>
    <r>
      <rPr>
        <sz val="10"/>
        <rFont val="FreeSans"/>
        <family val="2"/>
      </rPr>
      <t xml:space="preserve">واشر سیلیکونی نسوز </t>
    </r>
    <r>
      <rPr>
        <sz val="10"/>
        <rFont val="Vazirmatn"/>
        <family val="0"/>
        <charset val="1"/>
      </rPr>
      <t xml:space="preserve">1/25m*2/5m  10mm</t>
    </r>
  </si>
  <si>
    <t xml:space="preserve">31261487</t>
  </si>
  <si>
    <t xml:space="preserve">واشرصفحات فیلتر</t>
  </si>
  <si>
    <t xml:space="preserve">31261488</t>
  </si>
  <si>
    <r>
      <rPr>
        <sz val="10"/>
        <rFont val="FreeSans"/>
        <family val="2"/>
      </rPr>
      <t xml:space="preserve">واشر شماره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ویبرواسکرین اکسید</t>
    </r>
  </si>
  <si>
    <t xml:space="preserve">31261490</t>
  </si>
  <si>
    <r>
      <rPr>
        <sz val="10"/>
        <rFont val="FreeSans"/>
        <family val="2"/>
      </rPr>
      <t xml:space="preserve">واشر شماره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ویبرواسکرین اکسید</t>
    </r>
  </si>
  <si>
    <t xml:space="preserve">31261492</t>
  </si>
  <si>
    <t xml:space="preserve">واشر لاستیکی منهول تانکها</t>
  </si>
  <si>
    <t xml:space="preserve">31261496</t>
  </si>
  <si>
    <r>
      <rPr>
        <sz val="10"/>
        <rFont val="FreeSans"/>
        <family val="2"/>
      </rPr>
      <t xml:space="preserve">واشر تفلونی نسوز  </t>
    </r>
    <r>
      <rPr>
        <sz val="10"/>
        <rFont val="Vazirmatn"/>
        <family val="0"/>
        <charset val="1"/>
      </rPr>
      <t xml:space="preserve">PTFE  2 * 1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3mm</t>
    </r>
  </si>
  <si>
    <t xml:space="preserve">31261499</t>
  </si>
  <si>
    <r>
      <rPr>
        <sz val="10"/>
        <rFont val="FreeSans"/>
        <family val="2"/>
      </rPr>
      <t xml:space="preserve">واشرپلیت مبدل حرارتی </t>
    </r>
    <r>
      <rPr>
        <sz val="10"/>
        <rFont val="Vazirmatn"/>
        <family val="0"/>
        <charset val="1"/>
      </rPr>
      <t xml:space="preserve">E 18 dfp</t>
    </r>
  </si>
  <si>
    <t xml:space="preserve">31261503</t>
  </si>
  <si>
    <r>
      <rPr>
        <sz val="10"/>
        <rFont val="FreeSans"/>
        <family val="2"/>
      </rPr>
      <t xml:space="preserve">واشر کلینگریت  نمره </t>
    </r>
    <r>
      <rPr>
        <sz val="10"/>
        <rFont val="Vazirmatn"/>
        <family val="0"/>
        <charset val="1"/>
      </rPr>
      <t xml:space="preserve">100</t>
    </r>
  </si>
  <si>
    <t xml:space="preserve">31261505</t>
  </si>
  <si>
    <r>
      <rPr>
        <sz val="10"/>
        <rFont val="FreeSans"/>
        <family val="2"/>
      </rPr>
      <t xml:space="preserve">واشر کلینگریت   </t>
    </r>
    <r>
      <rPr>
        <sz val="10"/>
        <rFont val="Vazirmatn"/>
        <family val="0"/>
        <charset val="1"/>
      </rPr>
      <t xml:space="preserve">70 - 85</t>
    </r>
  </si>
  <si>
    <t xml:space="preserve">31261507</t>
  </si>
  <si>
    <r>
      <rPr>
        <sz val="10"/>
        <rFont val="FreeSans"/>
        <family val="2"/>
      </rPr>
      <t xml:space="preserve">واشر کلینگریت   </t>
    </r>
    <r>
      <rPr>
        <sz val="10"/>
        <rFont val="Vazirmatn"/>
        <family val="0"/>
        <charset val="1"/>
      </rPr>
      <t xml:space="preserve">35 - 45</t>
    </r>
  </si>
  <si>
    <t xml:space="preserve">31261515</t>
  </si>
  <si>
    <r>
      <rPr>
        <sz val="10"/>
        <rFont val="FreeSans"/>
        <family val="2"/>
      </rPr>
      <t xml:space="preserve">واشر کلینگریت سیم دار   </t>
    </r>
    <r>
      <rPr>
        <sz val="10"/>
        <rFont val="Vazirmatn"/>
        <family val="0"/>
        <charset val="1"/>
      </rPr>
      <t xml:space="preserve">" 24</t>
    </r>
  </si>
  <si>
    <t xml:space="preserve">31261518</t>
  </si>
  <si>
    <r>
      <rPr>
        <sz val="10"/>
        <rFont val="FreeSans"/>
        <family val="2"/>
      </rPr>
      <t xml:space="preserve">واشر کلینگریت     </t>
    </r>
    <r>
      <rPr>
        <sz val="10"/>
        <rFont val="Vazirmatn"/>
        <family val="0"/>
        <charset val="1"/>
      </rPr>
      <t xml:space="preserve">49</t>
    </r>
  </si>
  <si>
    <t xml:space="preserve">31261525</t>
  </si>
  <si>
    <r>
      <rPr>
        <sz val="10"/>
        <rFont val="FreeSans"/>
        <family val="2"/>
      </rPr>
      <t xml:space="preserve">واشر کلینگریت سیم دار   </t>
    </r>
    <r>
      <rPr>
        <sz val="10"/>
        <rFont val="Vazirmatn"/>
        <family val="0"/>
        <charset val="1"/>
      </rPr>
      <t xml:space="preserve">" 2</t>
    </r>
  </si>
  <si>
    <t xml:space="preserve">31261530</t>
  </si>
  <si>
    <r>
      <rPr>
        <sz val="10"/>
        <rFont val="FreeSans"/>
        <family val="2"/>
      </rPr>
      <t xml:space="preserve">واشر کلینگریت آسیاب </t>
    </r>
    <r>
      <rPr>
        <sz val="10"/>
        <rFont val="Vazirmatn"/>
        <family val="0"/>
        <charset val="1"/>
      </rPr>
      <t xml:space="preserve">136 - FQ</t>
    </r>
  </si>
  <si>
    <t xml:space="preserve">31261538</t>
  </si>
  <si>
    <r>
      <rPr>
        <sz val="10"/>
        <rFont val="FreeSans"/>
        <family val="2"/>
      </rPr>
      <t xml:space="preserve">واشر کلمپ صنایع شیری  </t>
    </r>
    <r>
      <rPr>
        <sz val="10"/>
        <rFont val="Vazirmatn"/>
        <family val="0"/>
        <charset val="1"/>
      </rPr>
      <t xml:space="preserve">Di=40  DO=45</t>
    </r>
  </si>
  <si>
    <t xml:space="preserve">31261541</t>
  </si>
  <si>
    <r>
      <rPr>
        <sz val="10"/>
        <rFont val="FreeSans"/>
        <family val="2"/>
      </rPr>
      <t xml:space="preserve">واشر کلینگریت               </t>
    </r>
    <r>
      <rPr>
        <sz val="10"/>
        <rFont val="Vazirmatn"/>
        <family val="0"/>
        <charset val="1"/>
      </rPr>
      <t xml:space="preserve">" 18</t>
    </r>
  </si>
  <si>
    <t xml:space="preserve">31261544</t>
  </si>
  <si>
    <r>
      <rPr>
        <sz val="10"/>
        <rFont val="FreeSans"/>
        <family val="2"/>
      </rPr>
      <t xml:space="preserve">واشر سر سیلندرکمپرسور کوپلند   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اسب</t>
    </r>
  </si>
  <si>
    <t xml:space="preserve">31261546</t>
  </si>
  <si>
    <r>
      <rPr>
        <sz val="10"/>
        <rFont val="FreeSans"/>
        <family val="2"/>
      </rPr>
      <t xml:space="preserve">واشر کلینگریت آسیاب  </t>
    </r>
    <r>
      <rPr>
        <sz val="10"/>
        <rFont val="Vazirmatn"/>
        <family val="0"/>
        <charset val="1"/>
      </rPr>
      <t xml:space="preserve">136 - FQ</t>
    </r>
  </si>
  <si>
    <t xml:space="preserve">31261547</t>
  </si>
  <si>
    <r>
      <rPr>
        <sz val="10"/>
        <rFont val="FreeSans"/>
        <family val="2"/>
      </rPr>
      <t xml:space="preserve">واشرکلینگریت بالا شفت عمودی سپراتور  </t>
    </r>
    <r>
      <rPr>
        <sz val="10"/>
        <rFont val="Vazirmatn"/>
        <family val="0"/>
        <charset val="1"/>
      </rPr>
      <t xml:space="preserve">250 * 175</t>
    </r>
  </si>
  <si>
    <t xml:space="preserve">31261565</t>
  </si>
  <si>
    <r>
      <rPr>
        <sz val="10"/>
        <rFont val="FreeSans"/>
        <family val="2"/>
      </rPr>
      <t xml:space="preserve">واشر کلینگریت خشکن  </t>
    </r>
    <r>
      <rPr>
        <sz val="10"/>
        <rFont val="Vazirmatn"/>
        <family val="0"/>
        <charset val="1"/>
      </rPr>
      <t xml:space="preserve">85 * 105</t>
    </r>
  </si>
  <si>
    <t xml:space="preserve">31261573</t>
  </si>
  <si>
    <r>
      <rPr>
        <sz val="10"/>
        <rFont val="FreeSans"/>
        <family val="2"/>
      </rPr>
      <t xml:space="preserve">واشر کلینگریت </t>
    </r>
    <r>
      <rPr>
        <sz val="10"/>
        <rFont val="Vazirmatn"/>
        <family val="0"/>
        <charset val="1"/>
      </rPr>
      <t xml:space="preserve">( 2 * 1/5 )    200</t>
    </r>
  </si>
  <si>
    <t xml:space="preserve">31261575</t>
  </si>
  <si>
    <r>
      <rPr>
        <sz val="10"/>
        <rFont val="FreeSans"/>
        <family val="2"/>
      </rPr>
      <t xml:space="preserve">واشر کلینگریت خشکن  </t>
    </r>
    <r>
      <rPr>
        <sz val="10"/>
        <rFont val="Vazirmatn"/>
        <family val="0"/>
        <charset val="1"/>
      </rPr>
      <t xml:space="preserve">25 * 35</t>
    </r>
  </si>
  <si>
    <t xml:space="preserve">31261579</t>
  </si>
  <si>
    <r>
      <rPr>
        <sz val="10"/>
        <rFont val="FreeSans"/>
        <family val="2"/>
      </rPr>
      <t xml:space="preserve">واشر کلینگریت پمپ خلاء   </t>
    </r>
    <r>
      <rPr>
        <sz val="10"/>
        <rFont val="Vazirmatn"/>
        <family val="0"/>
        <charset val="1"/>
      </rPr>
      <t xml:space="preserve">49CM * 46/5CM</t>
    </r>
  </si>
  <si>
    <t xml:space="preserve">31261580</t>
  </si>
  <si>
    <r>
      <rPr>
        <sz val="10"/>
        <rFont val="FreeSans"/>
        <family val="2"/>
      </rPr>
      <t xml:space="preserve">واشر کامل کمپرسور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اسب کوپلند</t>
    </r>
  </si>
  <si>
    <t xml:space="preserve">31261581</t>
  </si>
  <si>
    <r>
      <rPr>
        <sz val="10"/>
        <rFont val="FreeSans"/>
        <family val="2"/>
      </rPr>
      <t xml:space="preserve">واشر کلینگریت گلوئی پمپ سرند  </t>
    </r>
    <r>
      <rPr>
        <sz val="10"/>
        <rFont val="Vazirmatn"/>
        <family val="0"/>
        <charset val="1"/>
      </rPr>
      <t xml:space="preserve">18 * 23/5</t>
    </r>
  </si>
  <si>
    <t xml:space="preserve">31261582</t>
  </si>
  <si>
    <r>
      <rPr>
        <sz val="10"/>
        <rFont val="FreeSans"/>
        <family val="2"/>
      </rPr>
      <t xml:space="preserve">واشر کلمپی صنایع شیری </t>
    </r>
    <r>
      <rPr>
        <sz val="10"/>
        <rFont val="Vazirmatn"/>
        <family val="0"/>
        <charset val="1"/>
      </rPr>
      <t xml:space="preserve">63</t>
    </r>
  </si>
  <si>
    <t xml:space="preserve">31261583</t>
  </si>
  <si>
    <t xml:space="preserve">واشر کلینگریت کاسه جلویی پمپ سرندی</t>
  </si>
  <si>
    <t xml:space="preserve">31261584</t>
  </si>
  <si>
    <r>
      <rPr>
        <sz val="10"/>
        <rFont val="FreeSans"/>
        <family val="2"/>
      </rPr>
      <t xml:space="preserve">واشر کمپرسور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دیسکاس کوپلند</t>
    </r>
  </si>
  <si>
    <t xml:space="preserve">31261586</t>
  </si>
  <si>
    <t xml:space="preserve">واشر کلینگریت درپوش عقبی پمپ سرندی</t>
  </si>
  <si>
    <t xml:space="preserve">31261606</t>
  </si>
  <si>
    <r>
      <rPr>
        <sz val="10"/>
        <rFont val="FreeSans"/>
        <family val="2"/>
      </rPr>
      <t xml:space="preserve">واشرمسی تخت              </t>
    </r>
    <r>
      <rPr>
        <sz val="10"/>
        <rFont val="Vazirmatn"/>
        <family val="0"/>
        <charset val="1"/>
      </rPr>
      <t xml:space="preserve">MM   10</t>
    </r>
  </si>
  <si>
    <t xml:space="preserve">31261609</t>
  </si>
  <si>
    <t xml:space="preserve">واشر  مسی</t>
  </si>
  <si>
    <t xml:space="preserve">31261611</t>
  </si>
  <si>
    <r>
      <rPr>
        <sz val="10"/>
        <rFont val="FreeSans"/>
        <family val="2"/>
      </rPr>
      <t xml:space="preserve">واشر مسی                       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</si>
  <si>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31261613</t>
  </si>
  <si>
    <r>
      <rPr>
        <sz val="10"/>
        <rFont val="FreeSans"/>
        <family val="2"/>
      </rPr>
      <t xml:space="preserve">واشر مسی                       </t>
    </r>
    <r>
      <rPr>
        <sz val="10"/>
        <rFont val="Vazirmatn"/>
        <family val="0"/>
        <charset val="1"/>
      </rPr>
      <t xml:space="preserve">1   </t>
    </r>
    <r>
      <rPr>
        <sz val="10"/>
        <rFont val="FreeSans"/>
        <family val="2"/>
      </rPr>
      <t xml:space="preserve">اینچ</t>
    </r>
  </si>
  <si>
    <t xml:space="preserve">31261614</t>
  </si>
  <si>
    <r>
      <rPr>
        <sz val="10"/>
        <rFont val="FreeSans"/>
        <family val="2"/>
      </rPr>
      <t xml:space="preserve">واشرتخت برنجی               </t>
    </r>
    <r>
      <rPr>
        <sz val="10"/>
        <rFont val="Vazirmatn"/>
        <family val="0"/>
        <charset val="1"/>
      </rPr>
      <t xml:space="preserve">MM   24</t>
    </r>
  </si>
  <si>
    <t xml:space="preserve">31261617</t>
  </si>
  <si>
    <r>
      <rPr>
        <sz val="10"/>
        <rFont val="FreeSans"/>
        <family val="2"/>
      </rPr>
      <t xml:space="preserve">واشر مسی                        </t>
    </r>
    <r>
      <rPr>
        <sz val="10"/>
        <rFont val="Vazirmatn"/>
        <family val="0"/>
        <charset val="1"/>
      </rPr>
      <t xml:space="preserve">1  </t>
    </r>
    <r>
      <rPr>
        <sz val="10"/>
        <rFont val="FreeSans"/>
        <family val="2"/>
      </rPr>
      <t xml:space="preserve">اینچ</t>
    </r>
  </si>
  <si>
    <t xml:space="preserve">31261618</t>
  </si>
  <si>
    <r>
      <rPr>
        <sz val="10"/>
        <rFont val="FreeSans"/>
        <family val="2"/>
      </rPr>
      <t xml:space="preserve">واشر مسی         </t>
    </r>
    <r>
      <rPr>
        <sz val="10"/>
        <rFont val="Vazirmatn"/>
        <family val="0"/>
        <charset val="1"/>
      </rPr>
      <t xml:space="preserve">22 * 8 * 3</t>
    </r>
  </si>
  <si>
    <t xml:space="preserve">31261620</t>
  </si>
  <si>
    <t xml:space="preserve">واشر مسی پیچ تخلیه روغن بزرگ</t>
  </si>
  <si>
    <t xml:space="preserve">31261621</t>
  </si>
  <si>
    <r>
      <rPr>
        <sz val="10"/>
        <rFont val="FreeSans"/>
        <family val="2"/>
      </rPr>
      <t xml:space="preserve">واشر منبع اگزوز  </t>
    </r>
    <r>
      <rPr>
        <sz val="10"/>
        <rFont val="Vazirmatn"/>
        <family val="0"/>
        <charset val="1"/>
      </rPr>
      <t xml:space="preserve">9430109</t>
    </r>
  </si>
  <si>
    <t xml:space="preserve">31261622</t>
  </si>
  <si>
    <r>
      <rPr>
        <sz val="10"/>
        <rFont val="FreeSans"/>
        <family val="2"/>
      </rPr>
      <t xml:space="preserve">واشر  </t>
    </r>
    <r>
      <rPr>
        <sz val="10"/>
        <rFont val="Vazirmatn"/>
        <family val="0"/>
        <charset val="1"/>
      </rPr>
      <t xml:space="preserve">6EM 1704</t>
    </r>
  </si>
  <si>
    <t xml:space="preserve">31261624</t>
  </si>
  <si>
    <r>
      <rPr>
        <sz val="10"/>
        <rFont val="FreeSans"/>
        <family val="2"/>
      </rPr>
      <t xml:space="preserve">واشر فنری  </t>
    </r>
    <r>
      <rPr>
        <sz val="10"/>
        <rFont val="Vazirmatn"/>
        <family val="0"/>
        <charset val="1"/>
      </rPr>
      <t xml:space="preserve">9439037</t>
    </r>
  </si>
  <si>
    <t xml:space="preserve">31261625</t>
  </si>
  <si>
    <r>
      <rPr>
        <sz val="10"/>
        <rFont val="FreeSans"/>
        <family val="2"/>
      </rPr>
      <t xml:space="preserve">واشر  </t>
    </r>
    <r>
      <rPr>
        <sz val="10"/>
        <rFont val="Vazirmatn"/>
        <family val="0"/>
        <charset val="1"/>
      </rPr>
      <t xml:space="preserve">9439039</t>
    </r>
  </si>
  <si>
    <t xml:space="preserve">31261627</t>
  </si>
  <si>
    <r>
      <rPr>
        <sz val="10"/>
        <rFont val="FreeSans"/>
        <family val="2"/>
      </rPr>
      <t xml:space="preserve">واشر تخت استیل   </t>
    </r>
    <r>
      <rPr>
        <sz val="10"/>
        <rFont val="Vazirmatn"/>
        <family val="0"/>
        <charset val="1"/>
      </rPr>
      <t xml:space="preserve">25  MM</t>
    </r>
  </si>
  <si>
    <t xml:space="preserve">31261629</t>
  </si>
  <si>
    <r>
      <rPr>
        <sz val="10"/>
        <rFont val="FreeSans"/>
        <family val="2"/>
      </rPr>
      <t xml:space="preserve">واشر مسی </t>
    </r>
    <r>
      <rPr>
        <sz val="10"/>
        <rFont val="Vazirmatn"/>
        <family val="0"/>
        <charset val="1"/>
      </rPr>
      <t xml:space="preserve">8 (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16mm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4mm )</t>
    </r>
  </si>
  <si>
    <t xml:space="preserve">31261630</t>
  </si>
  <si>
    <r>
      <rPr>
        <sz val="10"/>
        <rFont val="FreeSans"/>
        <family val="2"/>
      </rPr>
      <t xml:space="preserve">واشر کونیک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اورینگ</t>
    </r>
  </si>
  <si>
    <t xml:space="preserve">31261652</t>
  </si>
  <si>
    <r>
      <rPr>
        <sz val="10"/>
        <rFont val="FreeSans"/>
        <family val="2"/>
      </rPr>
      <t xml:space="preserve">واشر فنری آهنی             </t>
    </r>
    <r>
      <rPr>
        <sz val="10"/>
        <rFont val="Vazirmatn"/>
        <family val="0"/>
        <charset val="1"/>
      </rPr>
      <t xml:space="preserve">38   MM</t>
    </r>
  </si>
  <si>
    <t xml:space="preserve">31261666</t>
  </si>
  <si>
    <r>
      <rPr>
        <sz val="10"/>
        <rFont val="FreeSans"/>
        <family val="2"/>
      </rPr>
      <t xml:space="preserve">واشر فنری گالوانیزه          </t>
    </r>
    <r>
      <rPr>
        <sz val="10"/>
        <rFont val="Vazirmatn"/>
        <family val="0"/>
        <charset val="1"/>
      </rPr>
      <t xml:space="preserve">10  MM</t>
    </r>
  </si>
  <si>
    <t xml:space="preserve">31261670</t>
  </si>
  <si>
    <r>
      <rPr>
        <sz val="10"/>
        <rFont val="FreeSans"/>
        <family val="2"/>
      </rPr>
      <t xml:space="preserve">واشر فنری استیل            </t>
    </r>
    <r>
      <rPr>
        <sz val="10"/>
        <rFont val="Vazirmatn"/>
        <family val="0"/>
        <charset val="1"/>
      </rPr>
      <t xml:space="preserve">20  MM</t>
    </r>
  </si>
  <si>
    <t xml:space="preserve">31261672</t>
  </si>
  <si>
    <r>
      <rPr>
        <sz val="10"/>
        <rFont val="FreeSans"/>
        <family val="2"/>
      </rPr>
      <t xml:space="preserve">واشر فنری گالوانیزه            </t>
    </r>
    <r>
      <rPr>
        <sz val="10"/>
        <rFont val="Vazirmatn"/>
        <family val="0"/>
        <charset val="1"/>
      </rPr>
      <t xml:space="preserve">8  MM</t>
    </r>
  </si>
  <si>
    <t xml:space="preserve">31261675</t>
  </si>
  <si>
    <r>
      <rPr>
        <sz val="10"/>
        <rFont val="FreeSans"/>
        <family val="2"/>
      </rPr>
      <t xml:space="preserve">واشر فنری استیل            </t>
    </r>
    <r>
      <rPr>
        <sz val="10"/>
        <rFont val="Vazirmatn"/>
        <family val="0"/>
        <charset val="1"/>
      </rPr>
      <t xml:space="preserve">14 MM</t>
    </r>
  </si>
  <si>
    <t xml:space="preserve">31261680</t>
  </si>
  <si>
    <r>
      <rPr>
        <sz val="10"/>
        <rFont val="FreeSans"/>
        <family val="2"/>
      </rPr>
      <t xml:space="preserve">واشر فنری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آسیاب  </t>
    </r>
    <r>
      <rPr>
        <sz val="10"/>
        <rFont val="Vazirmatn"/>
        <family val="0"/>
        <charset val="1"/>
      </rPr>
      <t xml:space="preserve">FQ - 124</t>
    </r>
  </si>
  <si>
    <t xml:space="preserve">31261682</t>
  </si>
  <si>
    <r>
      <rPr>
        <sz val="10"/>
        <rFont val="FreeSans"/>
        <family val="2"/>
      </rPr>
      <t xml:space="preserve">واشر فنری استیل   </t>
    </r>
    <r>
      <rPr>
        <sz val="10"/>
        <rFont val="Vazirmatn"/>
        <family val="0"/>
        <charset val="1"/>
      </rPr>
      <t xml:space="preserve">mm4</t>
    </r>
  </si>
  <si>
    <t xml:space="preserve">31261817</t>
  </si>
  <si>
    <r>
      <rPr>
        <sz val="10"/>
        <rFont val="FreeSans"/>
        <family val="2"/>
      </rPr>
      <t xml:space="preserve">واشر منهول دیگ بخار   </t>
    </r>
    <r>
      <rPr>
        <sz val="10"/>
        <rFont val="Vazirmatn"/>
        <family val="0"/>
        <charset val="1"/>
      </rPr>
      <t xml:space="preserve">38CM*28CM</t>
    </r>
  </si>
  <si>
    <t xml:space="preserve">31261818</t>
  </si>
  <si>
    <r>
      <rPr>
        <sz val="10"/>
        <rFont val="FreeSans"/>
        <family val="2"/>
      </rPr>
      <t xml:space="preserve">واشر هندهول نسوز دیگ بخار   </t>
    </r>
    <r>
      <rPr>
        <sz val="10"/>
        <rFont val="Vazirmatn"/>
        <family val="0"/>
        <charset val="1"/>
      </rPr>
      <t xml:space="preserve">12 * 10</t>
    </r>
  </si>
  <si>
    <t xml:space="preserve">31261819</t>
  </si>
  <si>
    <r>
      <rPr>
        <sz val="10"/>
        <rFont val="FreeSans"/>
        <family val="2"/>
      </rPr>
      <t xml:space="preserve">واشر هندهول    </t>
    </r>
    <r>
      <rPr>
        <sz val="10"/>
        <rFont val="Vazirmatn"/>
        <family val="0"/>
        <charset val="1"/>
      </rPr>
      <t xml:space="preserve">12 * 8</t>
    </r>
  </si>
  <si>
    <t xml:space="preserve">31261825</t>
  </si>
  <si>
    <r>
      <rPr>
        <sz val="10"/>
        <rFont val="FreeSans"/>
        <family val="2"/>
      </rPr>
      <t xml:space="preserve">واشر منهول دیگ بخار   </t>
    </r>
    <r>
      <rPr>
        <sz val="10"/>
        <rFont val="Vazirmatn"/>
        <family val="0"/>
        <charset val="1"/>
      </rPr>
      <t xml:space="preserve">42 * 32</t>
    </r>
  </si>
  <si>
    <t xml:space="preserve">31261827</t>
  </si>
  <si>
    <r>
      <rPr>
        <sz val="10"/>
        <rFont val="FreeSans"/>
        <family val="2"/>
      </rPr>
      <t xml:space="preserve">واشر منهول دیگ بخار   </t>
    </r>
    <r>
      <rPr>
        <sz val="10"/>
        <rFont val="Vazirmatn"/>
        <family val="0"/>
        <charset val="1"/>
      </rPr>
      <t xml:space="preserve">40 * 30</t>
    </r>
  </si>
  <si>
    <t xml:space="preserve">31261971</t>
  </si>
  <si>
    <r>
      <rPr>
        <sz val="10"/>
        <rFont val="FreeSans"/>
        <family val="2"/>
      </rPr>
      <t xml:space="preserve">واشر درب منهول </t>
    </r>
    <r>
      <rPr>
        <sz val="10"/>
        <rFont val="Vazirmatn"/>
        <family val="0"/>
        <charset val="1"/>
      </rPr>
      <t xml:space="preserve">mm 430 * 480mm  </t>
    </r>
    <r>
      <rPr>
        <sz val="10"/>
        <rFont val="FreeSans"/>
        <family val="2"/>
      </rPr>
      <t xml:space="preserve">تانکر و مخزن استیل</t>
    </r>
  </si>
  <si>
    <t xml:space="preserve">31261983</t>
  </si>
  <si>
    <r>
      <rPr>
        <sz val="10"/>
        <rFont val="FreeSans"/>
        <family val="2"/>
      </rPr>
      <t xml:space="preserve">واشر تنظیم فلزی </t>
    </r>
    <r>
      <rPr>
        <sz val="10"/>
        <rFont val="Vazirmatn"/>
        <family val="0"/>
        <charset val="1"/>
      </rPr>
      <t xml:space="preserve">Q200 - 1mm</t>
    </r>
  </si>
  <si>
    <t xml:space="preserve">31261986</t>
  </si>
  <si>
    <r>
      <rPr>
        <sz val="10"/>
        <rFont val="FreeSans"/>
        <family val="2"/>
      </rPr>
      <t xml:space="preserve">واشر درب منهول </t>
    </r>
    <r>
      <rPr>
        <sz val="10"/>
        <rFont val="Vazirmatn"/>
        <family val="0"/>
        <charset val="1"/>
      </rPr>
      <t xml:space="preserve">53*43cm</t>
    </r>
  </si>
  <si>
    <t xml:space="preserve">31261988</t>
  </si>
  <si>
    <r>
      <rPr>
        <sz val="10"/>
        <rFont val="FreeSans"/>
        <family val="2"/>
      </rPr>
      <t xml:space="preserve">واشر برنجی پیستون پمپ کارواش اینتر </t>
    </r>
    <r>
      <rPr>
        <sz val="10"/>
        <rFont val="Vazirmatn"/>
        <family val="0"/>
        <charset val="1"/>
      </rPr>
      <t xml:space="preserve">200bar</t>
    </r>
  </si>
  <si>
    <t xml:space="preserve">31262051</t>
  </si>
  <si>
    <r>
      <rPr>
        <sz val="10"/>
        <rFont val="FreeSans"/>
        <family val="2"/>
      </rPr>
      <t xml:space="preserve">پیچ گالوانیزه تمام رزوه آچار خور    </t>
    </r>
    <r>
      <rPr>
        <sz val="10"/>
        <rFont val="Vazirmatn"/>
        <family val="0"/>
        <charset val="1"/>
      </rPr>
      <t xml:space="preserve">m8*30mm</t>
    </r>
  </si>
  <si>
    <t xml:space="preserve">31262052</t>
  </si>
  <si>
    <r>
      <rPr>
        <sz val="10"/>
        <rFont val="FreeSans"/>
        <family val="2"/>
      </rPr>
      <t xml:space="preserve">پیچ گالوانیزه تمام رزوه آچار خور     </t>
    </r>
    <r>
      <rPr>
        <sz val="10"/>
        <rFont val="Vazirmatn"/>
        <family val="0"/>
        <charset val="1"/>
      </rPr>
      <t xml:space="preserve">m10*30mm</t>
    </r>
  </si>
  <si>
    <t xml:space="preserve">31262053</t>
  </si>
  <si>
    <r>
      <rPr>
        <sz val="10"/>
        <rFont val="FreeSans"/>
        <family val="2"/>
      </rPr>
      <t xml:space="preserve">پیچ ومهره گالوانیزه سینی برق </t>
    </r>
    <r>
      <rPr>
        <sz val="10"/>
        <rFont val="Vazirmatn"/>
        <family val="0"/>
        <charset val="1"/>
      </rPr>
      <t xml:space="preserve">m8*20mm</t>
    </r>
  </si>
  <si>
    <t xml:space="preserve">31262100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</si>
  <si>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6mm * 2cm</t>
    </r>
  </si>
  <si>
    <t xml:space="preserve">31262101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</si>
  <si>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6mm * 3cm</t>
    </r>
  </si>
  <si>
    <t xml:space="preserve">31262102</t>
  </si>
  <si>
    <r>
      <rPr>
        <sz val="10"/>
        <rFont val="FreeSans"/>
        <family val="2"/>
      </rPr>
      <t xml:space="preserve">پیچ آهنی خودروی تمام رزوه  </t>
    </r>
    <r>
      <rPr>
        <sz val="10"/>
        <rFont val="Vazirmatn"/>
        <family val="0"/>
        <charset val="1"/>
      </rPr>
      <t xml:space="preserve">5mm * 5cm</t>
    </r>
  </si>
  <si>
    <t xml:space="preserve">31262104</t>
  </si>
  <si>
    <r>
      <rPr>
        <sz val="10"/>
        <rFont val="FreeSans"/>
        <family val="2"/>
      </rPr>
      <t xml:space="preserve">پیچ آهنی آلنی مغزی خور   </t>
    </r>
    <r>
      <rPr>
        <sz val="10"/>
        <rFont val="Vazirmatn"/>
        <family val="0"/>
        <charset val="1"/>
      </rPr>
      <t xml:space="preserve">12mm*12cm</t>
    </r>
  </si>
  <si>
    <t xml:space="preserve">31262106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</si>
  <si>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6mm * 5cm</t>
    </r>
  </si>
  <si>
    <t xml:space="preserve">31262108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</si>
  <si>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8mm * 3cm</t>
    </r>
  </si>
  <si>
    <t xml:space="preserve">31262109</t>
  </si>
  <si>
    <r>
      <rPr>
        <sz val="10"/>
        <rFont val="FreeSans"/>
        <family val="2"/>
      </rPr>
      <t xml:space="preserve">پیچ آهنی چهار گوش تمام رزوه  </t>
    </r>
    <r>
      <rPr>
        <sz val="10"/>
        <rFont val="Vazirmatn"/>
        <family val="0"/>
        <charset val="1"/>
      </rPr>
      <t xml:space="preserve">8mm * 5cm</t>
    </r>
  </si>
  <si>
    <t xml:space="preserve">31262110</t>
  </si>
  <si>
    <r>
      <rPr>
        <sz val="10"/>
        <rFont val="FreeSans"/>
        <family val="2"/>
      </rPr>
      <t xml:space="preserve">پیچ آهنی شش گوش نیم رزوه  </t>
    </r>
    <r>
      <rPr>
        <sz val="10"/>
        <rFont val="Vazirmatn"/>
        <family val="0"/>
        <charset val="1"/>
      </rPr>
      <t xml:space="preserve">8mm * 7cm</t>
    </r>
  </si>
  <si>
    <t xml:space="preserve">31262111</t>
  </si>
  <si>
    <r>
      <rPr>
        <sz val="10"/>
        <rFont val="FreeSans"/>
        <family val="2"/>
      </rPr>
      <t xml:space="preserve">پیچ استیل آلنی سر خزینه ای   </t>
    </r>
    <r>
      <rPr>
        <sz val="10"/>
        <rFont val="Vazirmatn"/>
        <family val="0"/>
        <charset val="1"/>
      </rPr>
      <t xml:space="preserve">6mm*2/5cm</t>
    </r>
  </si>
  <si>
    <t xml:space="preserve">31262112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</si>
  <si>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10mm * 3cm</t>
    </r>
  </si>
  <si>
    <t xml:space="preserve">31262113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</si>
  <si>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10mm * 7cm</t>
    </r>
  </si>
  <si>
    <t xml:space="preserve">31262114</t>
  </si>
  <si>
    <r>
      <rPr>
        <sz val="10"/>
        <rFont val="FreeSans"/>
        <family val="2"/>
      </rPr>
      <t xml:space="preserve">پیچ آهنی شش گوش نیم رزوه  </t>
    </r>
    <r>
      <rPr>
        <sz val="10"/>
        <rFont val="Vazirmatn"/>
        <family val="0"/>
        <charset val="1"/>
      </rPr>
      <t xml:space="preserve">10mm * 12cm</t>
    </r>
  </si>
  <si>
    <t xml:space="preserve">31262115</t>
  </si>
  <si>
    <r>
      <rPr>
        <sz val="10"/>
        <rFont val="FreeSans"/>
        <family val="2"/>
      </rPr>
      <t xml:space="preserve">پیچ نوک مته ای   </t>
    </r>
    <r>
      <rPr>
        <sz val="10"/>
        <rFont val="Vazirmatn"/>
        <family val="0"/>
        <charset val="1"/>
      </rPr>
      <t xml:space="preserve">12Cm</t>
    </r>
  </si>
  <si>
    <t xml:space="preserve">31262116</t>
  </si>
  <si>
    <r>
      <rPr>
        <sz val="10"/>
        <rFont val="FreeSans"/>
        <family val="2"/>
      </rPr>
      <t xml:space="preserve">پیچ آهنی تمام رزوه یک متری </t>
    </r>
    <r>
      <rPr>
        <sz val="10"/>
        <rFont val="Vazirmatn"/>
        <family val="0"/>
        <charset val="1"/>
      </rPr>
      <t xml:space="preserve">20mm</t>
    </r>
  </si>
  <si>
    <t xml:space="preserve">31262121</t>
  </si>
  <si>
    <r>
      <rPr>
        <sz val="10"/>
        <rFont val="FreeSans"/>
        <family val="2"/>
      </rPr>
      <t xml:space="preserve">پیچ استیل شش گوش تمام رزوه  </t>
    </r>
    <r>
      <rPr>
        <sz val="10"/>
        <rFont val="Vazirmatn"/>
        <family val="0"/>
        <charset val="1"/>
      </rPr>
      <t xml:space="preserve">5mm * 5cm</t>
    </r>
  </si>
  <si>
    <t xml:space="preserve">31262124</t>
  </si>
  <si>
    <r>
      <rPr>
        <sz val="10"/>
        <rFont val="FreeSans"/>
        <family val="2"/>
      </rPr>
      <t xml:space="preserve">پیچ آهنی دو سر دنده   </t>
    </r>
    <r>
      <rPr>
        <sz val="10"/>
        <rFont val="Vazirmatn"/>
        <family val="0"/>
        <charset val="1"/>
      </rPr>
      <t xml:space="preserve">10mm</t>
    </r>
  </si>
  <si>
    <t xml:space="preserve">31262125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</si>
  <si>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14mm * 5cm</t>
    </r>
  </si>
  <si>
    <t xml:space="preserve">31262127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</si>
  <si>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12mm * 7cm</t>
    </r>
  </si>
  <si>
    <t xml:space="preserve">31262128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</si>
  <si>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12mm * 5cm</t>
    </r>
  </si>
  <si>
    <t xml:space="preserve">31262129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</si>
  <si>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12mm * 3cm</t>
    </r>
  </si>
  <si>
    <t xml:space="preserve">31262131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</si>
  <si>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14mm * 7cm</t>
    </r>
  </si>
  <si>
    <t xml:space="preserve">31262132</t>
  </si>
  <si>
    <r>
      <rPr>
        <sz val="10"/>
        <rFont val="FreeSans"/>
        <family val="2"/>
      </rPr>
      <t xml:space="preserve">پیچ استیل آلنی مغزی خور </t>
    </r>
    <r>
      <rPr>
        <sz val="10"/>
        <rFont val="Vazirmatn"/>
        <family val="0"/>
        <charset val="1"/>
      </rPr>
      <t xml:space="preserve">12mm * 5cm</t>
    </r>
  </si>
  <si>
    <t xml:space="preserve">31262133</t>
  </si>
  <si>
    <r>
      <rPr>
        <sz val="10"/>
        <rFont val="FreeSans"/>
        <family val="2"/>
      </rPr>
      <t xml:space="preserve">پیچ آهنی تمام رزوه یک متری </t>
    </r>
    <r>
      <rPr>
        <sz val="10"/>
        <rFont val="Vazirmatn"/>
        <family val="0"/>
        <charset val="1"/>
      </rPr>
      <t xml:space="preserve">14mm</t>
    </r>
  </si>
  <si>
    <t xml:space="preserve">31262137</t>
  </si>
  <si>
    <r>
      <rPr>
        <sz val="10"/>
        <rFont val="FreeSans"/>
        <family val="2"/>
      </rPr>
      <t xml:space="preserve">پیچ آهنی آلنی تمام رزوه  </t>
    </r>
    <r>
      <rPr>
        <sz val="10"/>
        <rFont val="Vazirmatn"/>
        <family val="0"/>
        <charset val="1"/>
      </rPr>
      <t xml:space="preserve">14mm * 4cm</t>
    </r>
  </si>
  <si>
    <t xml:space="preserve">31262138</t>
  </si>
  <si>
    <r>
      <rPr>
        <sz val="10"/>
        <rFont val="FreeSans"/>
        <family val="2"/>
      </rPr>
      <t xml:space="preserve">پیچ آهنی دو سر رزوه یک متری </t>
    </r>
    <r>
      <rPr>
        <sz val="10"/>
        <rFont val="Vazirmatn"/>
        <family val="0"/>
        <charset val="1"/>
      </rPr>
      <t xml:space="preserve">20mm</t>
    </r>
  </si>
  <si>
    <t xml:space="preserve">31262139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</si>
  <si>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16mm * 10cm</t>
    </r>
  </si>
  <si>
    <t xml:space="preserve">31262140</t>
  </si>
  <si>
    <r>
      <rPr>
        <sz val="10"/>
        <rFont val="FreeSans"/>
        <family val="2"/>
      </rPr>
      <t xml:space="preserve">پیچ آهنی شش گوش نیم رزوه  </t>
    </r>
    <r>
      <rPr>
        <sz val="10"/>
        <rFont val="Vazirmatn"/>
        <family val="0"/>
        <charset val="1"/>
      </rPr>
      <t xml:space="preserve">20mm * 8cm</t>
    </r>
  </si>
  <si>
    <t xml:space="preserve">31262141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</si>
  <si>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16mm * 5cm</t>
    </r>
  </si>
  <si>
    <t xml:space="preserve">31262142</t>
  </si>
  <si>
    <r>
      <rPr>
        <sz val="10"/>
        <rFont val="FreeSans"/>
        <family val="2"/>
      </rPr>
      <t xml:space="preserve">پیچ آهنی شش گوش نیم رزوه  </t>
    </r>
    <r>
      <rPr>
        <sz val="10"/>
        <rFont val="Vazirmatn"/>
        <family val="0"/>
        <charset val="1"/>
      </rPr>
      <t xml:space="preserve">20mm * 18cm</t>
    </r>
  </si>
  <si>
    <t xml:space="preserve">31262143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</si>
  <si>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18mm * 10cm</t>
    </r>
  </si>
  <si>
    <t xml:space="preserve">31262144</t>
  </si>
  <si>
    <r>
      <rPr>
        <sz val="10"/>
        <rFont val="FreeSans"/>
        <family val="2"/>
      </rPr>
      <t xml:space="preserve">پیچ آهنی شش گوش نیم رزوه  </t>
    </r>
    <r>
      <rPr>
        <sz val="10"/>
        <rFont val="Vazirmatn"/>
        <family val="0"/>
        <charset val="1"/>
      </rPr>
      <t xml:space="preserve">24mm * 12cm</t>
    </r>
  </si>
  <si>
    <t xml:space="preserve">31262145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</si>
  <si>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16mm * 7cm</t>
    </r>
  </si>
  <si>
    <t xml:space="preserve">31262146</t>
  </si>
  <si>
    <r>
      <rPr>
        <sz val="10"/>
        <rFont val="FreeSans"/>
        <family val="2"/>
      </rPr>
      <t xml:space="preserve">پیچ آهنی شش گوش نیم رزوه  </t>
    </r>
    <r>
      <rPr>
        <sz val="10"/>
        <rFont val="Vazirmatn"/>
        <family val="0"/>
        <charset val="1"/>
      </rPr>
      <t xml:space="preserve">18mm * 7cm</t>
    </r>
  </si>
  <si>
    <t xml:space="preserve">31262148</t>
  </si>
  <si>
    <r>
      <rPr>
        <sz val="10"/>
        <rFont val="FreeSans"/>
        <family val="2"/>
      </rPr>
      <t xml:space="preserve">پیچ آهنی شش گوش نیم رزوه  </t>
    </r>
    <r>
      <rPr>
        <sz val="10"/>
        <rFont val="Vazirmatn"/>
        <family val="0"/>
        <charset val="1"/>
      </rPr>
      <t xml:space="preserve">26mm * 10cm</t>
    </r>
  </si>
  <si>
    <t xml:space="preserve">31262149</t>
  </si>
  <si>
    <r>
      <rPr>
        <sz val="10"/>
        <rFont val="FreeSans"/>
        <family val="2"/>
      </rPr>
      <t xml:space="preserve">پیچ آهنی شش گوش نیم  رزوه  </t>
    </r>
    <r>
      <rPr>
        <sz val="10"/>
        <rFont val="Vazirmatn"/>
        <family val="0"/>
        <charset val="1"/>
      </rPr>
      <t xml:space="preserve">20mm * 18cm</t>
    </r>
  </si>
  <si>
    <t xml:space="preserve">31262151</t>
  </si>
  <si>
    <r>
      <rPr>
        <sz val="10"/>
        <rFont val="FreeSans"/>
        <family val="2"/>
      </rPr>
      <t xml:space="preserve">پیچ آهنی اینچی شش گوش نیم رزوه  </t>
    </r>
    <r>
      <rPr>
        <sz val="10"/>
        <rFont val="Vazirmatn"/>
        <family val="0"/>
        <charset val="1"/>
      </rPr>
      <t xml:space="preserve">" 3/8</t>
    </r>
  </si>
  <si>
    <t xml:space="preserve">31262152</t>
  </si>
  <si>
    <r>
      <rPr>
        <sz val="10"/>
        <rFont val="FreeSans"/>
        <family val="2"/>
      </rPr>
      <t xml:space="preserve">پیچ آهنی شش گوش نیم رزوه  </t>
    </r>
    <r>
      <rPr>
        <sz val="10"/>
        <rFont val="Vazirmatn"/>
        <family val="0"/>
        <charset val="1"/>
      </rPr>
      <t xml:space="preserve">16mm * 20cm</t>
    </r>
  </si>
  <si>
    <t xml:space="preserve">31262155</t>
  </si>
  <si>
    <r>
      <rPr>
        <sz val="10"/>
        <rFont val="FreeSans"/>
        <family val="2"/>
      </rPr>
      <t xml:space="preserve">پیچ آلنی آهنی    </t>
    </r>
    <r>
      <rPr>
        <sz val="10"/>
        <rFont val="Vazirmatn"/>
        <family val="0"/>
        <charset val="1"/>
      </rPr>
      <t xml:space="preserve">30 * 6</t>
    </r>
  </si>
  <si>
    <t xml:space="preserve">31262161</t>
  </si>
  <si>
    <r>
      <rPr>
        <sz val="10"/>
        <rFont val="FreeSans"/>
        <family val="2"/>
      </rPr>
      <t xml:space="preserve">پیچ آهنی تمام رزوه یک متری </t>
    </r>
    <r>
      <rPr>
        <sz val="10"/>
        <rFont val="Vazirmatn"/>
        <family val="0"/>
        <charset val="1"/>
      </rPr>
      <t xml:space="preserve">24mm</t>
    </r>
  </si>
  <si>
    <t xml:space="preserve">31262162</t>
  </si>
  <si>
    <r>
      <rPr>
        <sz val="10"/>
        <rFont val="FreeSans"/>
        <family val="2"/>
      </rPr>
      <t xml:space="preserve">پیچ آهنی آچار خور نیم رزوه  </t>
    </r>
    <r>
      <rPr>
        <sz val="10"/>
        <rFont val="Vazirmatn"/>
        <family val="0"/>
        <charset val="1"/>
      </rPr>
      <t xml:space="preserve">12mm * 15cm</t>
    </r>
  </si>
  <si>
    <t xml:space="preserve">31262164</t>
  </si>
  <si>
    <r>
      <rPr>
        <sz val="10"/>
        <rFont val="FreeSans"/>
        <family val="2"/>
      </rPr>
      <t xml:space="preserve">پیچ آهنی اینچی شش گوش تمام رزوه  </t>
    </r>
    <r>
      <rPr>
        <sz val="10"/>
        <rFont val="Vazirmatn"/>
        <family val="0"/>
        <charset val="1"/>
      </rPr>
      <t xml:space="preserve">" 1/2</t>
    </r>
  </si>
  <si>
    <t xml:space="preserve">31262165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</si>
  <si>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10mm * 4cm</t>
    </r>
  </si>
  <si>
    <t xml:space="preserve">31262166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</si>
  <si>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12mm * 4cm</t>
    </r>
  </si>
  <si>
    <t xml:space="preserve">31262167</t>
  </si>
  <si>
    <r>
      <rPr>
        <sz val="10"/>
        <rFont val="FreeSans"/>
        <family val="2"/>
      </rPr>
      <t xml:space="preserve">پیچ آهنی شش گوش نیم رزوه  </t>
    </r>
    <r>
      <rPr>
        <sz val="10"/>
        <rFont val="Vazirmatn"/>
        <family val="0"/>
        <charset val="1"/>
      </rPr>
      <t xml:space="preserve">20mm * 14cm</t>
    </r>
  </si>
  <si>
    <t xml:space="preserve">31262168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</si>
  <si>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24mm * 7cm</t>
    </r>
  </si>
  <si>
    <t xml:space="preserve">31262170</t>
  </si>
  <si>
    <r>
      <rPr>
        <sz val="10"/>
        <rFont val="FreeSans"/>
        <family val="2"/>
      </rPr>
      <t xml:space="preserve">پیچ آهنی تمام رزوه یک متری </t>
    </r>
    <r>
      <rPr>
        <sz val="10"/>
        <rFont val="Vazirmatn"/>
        <family val="0"/>
        <charset val="1"/>
      </rPr>
      <t xml:space="preserve">22mm</t>
    </r>
  </si>
  <si>
    <t xml:space="preserve">31262171</t>
  </si>
  <si>
    <r>
      <rPr>
        <sz val="10"/>
        <rFont val="FreeSans"/>
        <family val="2"/>
      </rPr>
      <t xml:space="preserve">پیچ آهنی تمام رزوه یک متری </t>
    </r>
    <r>
      <rPr>
        <sz val="10"/>
        <rFont val="Vazirmatn"/>
        <family val="0"/>
        <charset val="1"/>
      </rPr>
      <t xml:space="preserve">12mm</t>
    </r>
  </si>
  <si>
    <t xml:space="preserve">31262172</t>
  </si>
  <si>
    <r>
      <rPr>
        <sz val="10"/>
        <rFont val="FreeSans"/>
        <family val="2"/>
      </rPr>
      <t xml:space="preserve">پیچ  آسیاب                     </t>
    </r>
    <r>
      <rPr>
        <sz val="10"/>
        <rFont val="Vazirmatn"/>
        <family val="0"/>
        <charset val="1"/>
      </rPr>
      <t xml:space="preserve">FQ   - 136</t>
    </r>
  </si>
  <si>
    <t xml:space="preserve">31262174</t>
  </si>
  <si>
    <r>
      <rPr>
        <sz val="10"/>
        <rFont val="FreeSans"/>
        <family val="2"/>
      </rPr>
      <t xml:space="preserve">پیچ دو سر رزوه        </t>
    </r>
    <r>
      <rPr>
        <sz val="10"/>
        <rFont val="Vazirmatn"/>
        <family val="0"/>
        <charset val="1"/>
      </rPr>
      <t xml:space="preserve">20*65cm</t>
    </r>
  </si>
  <si>
    <t xml:space="preserve">31262176</t>
  </si>
  <si>
    <r>
      <rPr>
        <sz val="10"/>
        <rFont val="FreeSans"/>
        <family val="2"/>
      </rPr>
      <t xml:space="preserve">پیچ  استیل دیسک واش باطری </t>
    </r>
    <r>
      <rPr>
        <sz val="10"/>
        <rFont val="Vazirmatn"/>
        <family val="0"/>
        <charset val="1"/>
      </rPr>
      <t xml:space="preserve">16mm</t>
    </r>
  </si>
  <si>
    <t xml:space="preserve">31262177</t>
  </si>
  <si>
    <r>
      <rPr>
        <sz val="10"/>
        <rFont val="FreeSans"/>
        <family val="2"/>
      </rPr>
      <t xml:space="preserve">پیچ  آهنی  ریز                  </t>
    </r>
    <r>
      <rPr>
        <sz val="10"/>
        <rFont val="Vazirmatn"/>
        <family val="0"/>
        <charset val="1"/>
      </rPr>
      <t xml:space="preserve">30    MM</t>
    </r>
  </si>
  <si>
    <t xml:space="preserve">31262179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</si>
  <si>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16mm * 8cm</t>
    </r>
  </si>
  <si>
    <t xml:space="preserve">31262180</t>
  </si>
  <si>
    <r>
      <rPr>
        <sz val="10"/>
        <rFont val="FreeSans"/>
        <family val="2"/>
      </rPr>
      <t xml:space="preserve">پیچ آهنی آلنی نیم رزوه  </t>
    </r>
    <r>
      <rPr>
        <sz val="10"/>
        <rFont val="Vazirmatn"/>
        <family val="0"/>
        <charset val="1"/>
      </rPr>
      <t xml:space="preserve">16mm * 7cm</t>
    </r>
  </si>
  <si>
    <t xml:space="preserve">31262186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</si>
  <si>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16mm * 2cm</t>
    </r>
  </si>
  <si>
    <t xml:space="preserve">31262188</t>
  </si>
  <si>
    <r>
      <rPr>
        <sz val="10"/>
        <rFont val="FreeSans"/>
        <family val="2"/>
      </rPr>
      <t xml:space="preserve">پیچ آهنی شش گوش تمام رزوه  </t>
    </r>
    <r>
      <rPr>
        <sz val="10"/>
        <rFont val="Vazirmatn"/>
        <family val="0"/>
        <charset val="1"/>
      </rPr>
      <t xml:space="preserve">12mm * 12cm</t>
    </r>
  </si>
  <si>
    <t xml:space="preserve">31262195</t>
  </si>
  <si>
    <r>
      <rPr>
        <sz val="10"/>
        <rFont val="FreeSans"/>
        <family val="2"/>
      </rPr>
      <t xml:space="preserve">پیچ استیل آلنی سر خزینه ای   </t>
    </r>
    <r>
      <rPr>
        <sz val="10"/>
        <rFont val="Vazirmatn"/>
        <family val="0"/>
        <charset val="1"/>
      </rPr>
      <t xml:space="preserve">4mm*2cm</t>
    </r>
  </si>
  <si>
    <t xml:space="preserve">31262196</t>
  </si>
  <si>
    <r>
      <rPr>
        <sz val="10"/>
        <rFont val="FreeSans"/>
        <family val="2"/>
      </rPr>
      <t xml:space="preserve">پیچ نوک مته ای   </t>
    </r>
    <r>
      <rPr>
        <sz val="10"/>
        <rFont val="Vazirmatn"/>
        <family val="0"/>
        <charset val="1"/>
      </rPr>
      <t xml:space="preserve">8cm</t>
    </r>
  </si>
  <si>
    <t xml:space="preserve">31262201</t>
  </si>
  <si>
    <r>
      <rPr>
        <sz val="10"/>
        <rFont val="FreeSans"/>
        <family val="2"/>
      </rPr>
      <t xml:space="preserve">پیچ استیل آلنی                 </t>
    </r>
    <r>
      <rPr>
        <sz val="10"/>
        <rFont val="Vazirmatn"/>
        <family val="0"/>
        <charset val="1"/>
      </rPr>
      <t xml:space="preserve">5     MM</t>
    </r>
  </si>
  <si>
    <t xml:space="preserve">31262202</t>
  </si>
  <si>
    <r>
      <rPr>
        <sz val="10"/>
        <rFont val="FreeSans"/>
        <family val="2"/>
      </rPr>
      <t xml:space="preserve">پیچ استیل آلنی کونیک دار سر تخت </t>
    </r>
    <r>
      <rPr>
        <sz val="10"/>
        <rFont val="Vazirmatn"/>
        <family val="0"/>
        <charset val="1"/>
      </rPr>
      <t xml:space="preserve">6 * 1cm</t>
    </r>
  </si>
  <si>
    <t xml:space="preserve">31262203</t>
  </si>
  <si>
    <r>
      <rPr>
        <sz val="10"/>
        <rFont val="FreeSans"/>
        <family val="2"/>
      </rPr>
      <t xml:space="preserve">پیچ آهنی سرخزینه ای          </t>
    </r>
    <r>
      <rPr>
        <sz val="10"/>
        <rFont val="Vazirmatn"/>
        <family val="0"/>
        <charset val="1"/>
      </rPr>
      <t xml:space="preserve">m5 * 10mm</t>
    </r>
  </si>
  <si>
    <t xml:space="preserve">31262205</t>
  </si>
  <si>
    <r>
      <rPr>
        <sz val="10"/>
        <rFont val="FreeSans"/>
        <family val="2"/>
      </rPr>
      <t xml:space="preserve">پیچ استیل</t>
    </r>
    <r>
      <rPr>
        <sz val="10"/>
        <rFont val="Vazirmatn"/>
        <family val="0"/>
        <charset val="1"/>
      </rPr>
      <t xml:space="preserve">" 1/2  ( 7 </t>
    </r>
    <r>
      <rPr>
        <sz val="10"/>
        <rFont val="FreeSans"/>
        <family val="2"/>
      </rPr>
      <t xml:space="preserve">سانتی متری 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آسیاب ایمپکت</t>
    </r>
  </si>
  <si>
    <t xml:space="preserve">31262206</t>
  </si>
  <si>
    <r>
      <rPr>
        <sz val="10"/>
        <rFont val="FreeSans"/>
        <family val="2"/>
      </rPr>
      <t xml:space="preserve">پیچ  آلنی مغزی خور        </t>
    </r>
    <r>
      <rPr>
        <sz val="10"/>
        <rFont val="Vazirmatn"/>
        <family val="0"/>
        <charset val="1"/>
      </rPr>
      <t xml:space="preserve">1/2</t>
    </r>
  </si>
  <si>
    <t xml:space="preserve">31262207</t>
  </si>
  <si>
    <r>
      <rPr>
        <sz val="10"/>
        <rFont val="FreeSans"/>
        <family val="2"/>
      </rPr>
      <t xml:space="preserve">پیچ آهنی آلن       </t>
    </r>
    <r>
      <rPr>
        <sz val="10"/>
        <rFont val="Vazirmatn"/>
        <family val="0"/>
        <charset val="1"/>
      </rPr>
      <t xml:space="preserve">8mm*5Cm</t>
    </r>
  </si>
  <si>
    <t xml:space="preserve">31262208</t>
  </si>
  <si>
    <r>
      <rPr>
        <sz val="10"/>
        <rFont val="FreeSans"/>
        <family val="2"/>
      </rPr>
      <t xml:space="preserve">پیچ آهنی سرخزینه ای     </t>
    </r>
    <r>
      <rPr>
        <sz val="10"/>
        <rFont val="Vazirmatn"/>
        <family val="0"/>
        <charset val="1"/>
      </rPr>
      <t xml:space="preserve">m4 * 10mm</t>
    </r>
  </si>
  <si>
    <t xml:space="preserve">31262209</t>
  </si>
  <si>
    <r>
      <rPr>
        <sz val="10"/>
        <rFont val="FreeSans"/>
        <family val="2"/>
      </rPr>
      <t xml:space="preserve">پیچ آهنی آلن                     </t>
    </r>
    <r>
      <rPr>
        <sz val="10"/>
        <rFont val="Vazirmatn"/>
        <family val="0"/>
        <charset val="1"/>
      </rPr>
      <t xml:space="preserve">MM     6</t>
    </r>
  </si>
  <si>
    <t xml:space="preserve">31262211</t>
  </si>
  <si>
    <r>
      <rPr>
        <sz val="10"/>
        <rFont val="FreeSans"/>
        <family val="2"/>
      </rPr>
      <t xml:space="preserve">پیچ استیل</t>
    </r>
    <r>
      <rPr>
        <sz val="10"/>
        <rFont val="Vazirmatn"/>
        <family val="0"/>
        <charset val="1"/>
      </rPr>
      <t xml:space="preserve">" 3/8  ( 6 </t>
    </r>
    <r>
      <rPr>
        <sz val="10"/>
        <rFont val="FreeSans"/>
        <family val="2"/>
      </rPr>
      <t xml:space="preserve">سانتی متری 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آسیاب ایمپکت</t>
    </r>
  </si>
  <si>
    <t xml:space="preserve">31262214</t>
  </si>
  <si>
    <r>
      <rPr>
        <sz val="10"/>
        <rFont val="FreeSans"/>
        <family val="2"/>
      </rPr>
      <t xml:space="preserve">پیچ آلنی مغزی خور آهنی          </t>
    </r>
    <r>
      <rPr>
        <sz val="10"/>
        <rFont val="Vazirmatn"/>
        <family val="0"/>
        <charset val="1"/>
      </rPr>
      <t xml:space="preserve">30*6</t>
    </r>
  </si>
  <si>
    <t xml:space="preserve">31262216</t>
  </si>
  <si>
    <r>
      <rPr>
        <sz val="10"/>
        <rFont val="FreeSans"/>
        <family val="2"/>
      </rPr>
      <t xml:space="preserve">پیچ آهنی آچار خور نیم رزوه    </t>
    </r>
    <r>
      <rPr>
        <sz val="10"/>
        <rFont val="Vazirmatn"/>
        <family val="0"/>
        <charset val="1"/>
      </rPr>
      <t xml:space="preserve">150*14</t>
    </r>
  </si>
  <si>
    <t xml:space="preserve">31262218</t>
  </si>
  <si>
    <r>
      <rPr>
        <sz val="10"/>
        <rFont val="FreeSans"/>
        <family val="2"/>
      </rPr>
      <t xml:space="preserve">پیچ آلنی مغزی خور آهنی      </t>
    </r>
    <r>
      <rPr>
        <sz val="10"/>
        <rFont val="Vazirmatn"/>
        <family val="0"/>
        <charset val="1"/>
      </rPr>
      <t xml:space="preserve">30*10</t>
    </r>
  </si>
  <si>
    <t xml:space="preserve">31262221</t>
  </si>
  <si>
    <r>
      <rPr>
        <sz val="10"/>
        <rFont val="FreeSans"/>
        <family val="2"/>
      </rPr>
      <t xml:space="preserve">پیچ آلن نمره                        </t>
    </r>
    <r>
      <rPr>
        <sz val="10"/>
        <rFont val="Vazirmatn"/>
        <family val="0"/>
        <charset val="1"/>
      </rPr>
      <t xml:space="preserve">MM    5</t>
    </r>
  </si>
  <si>
    <t xml:space="preserve">31262222</t>
  </si>
  <si>
    <r>
      <rPr>
        <sz val="10"/>
        <rFont val="FreeSans"/>
        <family val="2"/>
      </rPr>
      <t xml:space="preserve">پیچ آهنی آلنی  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سانتی      </t>
    </r>
    <r>
      <rPr>
        <sz val="10"/>
        <rFont val="Vazirmatn"/>
        <family val="0"/>
        <charset val="1"/>
      </rPr>
      <t xml:space="preserve">8  MM</t>
    </r>
  </si>
  <si>
    <t xml:space="preserve">31262223</t>
  </si>
  <si>
    <r>
      <rPr>
        <sz val="10"/>
        <rFont val="FreeSans"/>
        <family val="2"/>
      </rPr>
      <t xml:space="preserve">پیچ آهنی آلنی  </t>
    </r>
    <r>
      <rPr>
        <sz val="10"/>
        <rFont val="Vazirmatn"/>
        <family val="0"/>
        <charset val="1"/>
      </rPr>
      <t xml:space="preserve">7</t>
    </r>
    <r>
      <rPr>
        <sz val="10"/>
        <rFont val="FreeSans"/>
        <family val="2"/>
      </rPr>
      <t xml:space="preserve">سانتی      </t>
    </r>
    <r>
      <rPr>
        <sz val="10"/>
        <rFont val="Vazirmatn"/>
        <family val="0"/>
        <charset val="1"/>
      </rPr>
      <t xml:space="preserve">5  MM</t>
    </r>
  </si>
  <si>
    <t xml:space="preserve">31262224</t>
  </si>
  <si>
    <r>
      <rPr>
        <sz val="10"/>
        <rFont val="FreeSans"/>
        <family val="2"/>
      </rPr>
      <t xml:space="preserve">پیچ آلنی مغزی خور آهنی              </t>
    </r>
    <r>
      <rPr>
        <sz val="10"/>
        <rFont val="Vazirmatn"/>
        <family val="0"/>
        <charset val="1"/>
      </rPr>
      <t xml:space="preserve">30*8</t>
    </r>
  </si>
  <si>
    <t xml:space="preserve">31262230</t>
  </si>
  <si>
    <r>
      <rPr>
        <sz val="10"/>
        <rFont val="FreeSans"/>
        <family val="2"/>
      </rPr>
      <t xml:space="preserve">پیچ استیل تمام رزوه آجارخور       </t>
    </r>
    <r>
      <rPr>
        <sz val="10"/>
        <rFont val="Vazirmatn"/>
        <family val="0"/>
        <charset val="1"/>
      </rPr>
      <t xml:space="preserve">14          3 </t>
    </r>
    <r>
      <rPr>
        <sz val="10"/>
        <rFont val="FreeSans"/>
        <family val="2"/>
      </rPr>
      <t xml:space="preserve">سانتی</t>
    </r>
  </si>
  <si>
    <t xml:space="preserve">31262231</t>
  </si>
  <si>
    <r>
      <rPr>
        <sz val="10"/>
        <rFont val="FreeSans"/>
        <family val="2"/>
      </rPr>
      <t xml:space="preserve">پیچ  آسیاب        </t>
    </r>
    <r>
      <rPr>
        <sz val="10"/>
        <rFont val="Vazirmatn"/>
        <family val="0"/>
        <charset val="1"/>
      </rPr>
      <t xml:space="preserve">.            FQ  -  136</t>
    </r>
  </si>
  <si>
    <t xml:space="preserve">31262234</t>
  </si>
  <si>
    <r>
      <rPr>
        <sz val="10"/>
        <rFont val="FreeSans"/>
        <family val="2"/>
      </rPr>
      <t xml:space="preserve">پیچ آهنی آلنی  </t>
    </r>
    <r>
      <rPr>
        <sz val="10"/>
        <rFont val="Vazirmatn"/>
        <family val="0"/>
        <charset val="1"/>
      </rPr>
      <t xml:space="preserve">13 </t>
    </r>
    <r>
      <rPr>
        <sz val="10"/>
        <rFont val="FreeSans"/>
        <family val="2"/>
      </rPr>
      <t xml:space="preserve">سانتی    </t>
    </r>
    <r>
      <rPr>
        <sz val="10"/>
        <rFont val="Vazirmatn"/>
        <family val="0"/>
        <charset val="1"/>
      </rPr>
      <t xml:space="preserve">20  MM</t>
    </r>
  </si>
  <si>
    <t xml:space="preserve">31262236</t>
  </si>
  <si>
    <r>
      <rPr>
        <sz val="10"/>
        <rFont val="FreeSans"/>
        <family val="2"/>
      </rPr>
      <t xml:space="preserve">پیچ آلنی مغزی خور استیل              </t>
    </r>
    <r>
      <rPr>
        <sz val="10"/>
        <rFont val="Vazirmatn"/>
        <family val="0"/>
        <charset val="1"/>
      </rPr>
      <t xml:space="preserve">30*8</t>
    </r>
  </si>
  <si>
    <t xml:space="preserve">31262237</t>
  </si>
  <si>
    <r>
      <rPr>
        <sz val="10"/>
        <rFont val="FreeSans"/>
        <family val="2"/>
      </rPr>
      <t xml:space="preserve">پیچ  آلن                            </t>
    </r>
    <r>
      <rPr>
        <sz val="10"/>
        <rFont val="Vazirmatn"/>
        <family val="0"/>
        <charset val="1"/>
      </rPr>
      <t xml:space="preserve">18     MM</t>
    </r>
  </si>
  <si>
    <t xml:space="preserve">31262239</t>
  </si>
  <si>
    <r>
      <rPr>
        <sz val="10"/>
        <rFont val="FreeSans"/>
        <family val="2"/>
      </rPr>
      <t xml:space="preserve">پیچ آلن آهنی 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سانتی      </t>
    </r>
    <r>
      <rPr>
        <sz val="10"/>
        <rFont val="Vazirmatn"/>
        <family val="0"/>
        <charset val="1"/>
      </rPr>
      <t xml:space="preserve">12mm</t>
    </r>
  </si>
  <si>
    <t xml:space="preserve">31262240</t>
  </si>
  <si>
    <r>
      <rPr>
        <sz val="10"/>
        <rFont val="FreeSans"/>
        <family val="2"/>
      </rPr>
      <t xml:space="preserve">پیچ آهنی آلنی                 </t>
    </r>
    <r>
      <rPr>
        <sz val="10"/>
        <rFont val="Vazirmatn"/>
        <family val="0"/>
        <charset val="1"/>
      </rPr>
      <t xml:space="preserve">MM     24</t>
    </r>
  </si>
  <si>
    <t xml:space="preserve">31262241</t>
  </si>
  <si>
    <r>
      <rPr>
        <sz val="10"/>
        <rFont val="FreeSans"/>
        <family val="2"/>
      </rPr>
      <t xml:space="preserve">پیچ آلنی                           </t>
    </r>
    <r>
      <rPr>
        <sz val="10"/>
        <rFont val="Vazirmatn"/>
        <family val="0"/>
        <charset val="1"/>
      </rPr>
      <t xml:space="preserve">16     MM</t>
    </r>
  </si>
  <si>
    <t xml:space="preserve">31262242</t>
  </si>
  <si>
    <r>
      <rPr>
        <sz val="10"/>
        <rFont val="FreeSans"/>
        <family val="2"/>
      </rPr>
      <t xml:space="preserve">پیچ آهنی آلنی </t>
    </r>
    <r>
      <rPr>
        <sz val="10"/>
        <rFont val="Vazirmatn"/>
        <family val="0"/>
        <charset val="1"/>
      </rPr>
      <t xml:space="preserve">12</t>
    </r>
    <r>
      <rPr>
        <sz val="10"/>
        <rFont val="FreeSans"/>
        <family val="2"/>
      </rPr>
      <t xml:space="preserve">سانتی   </t>
    </r>
    <r>
      <rPr>
        <sz val="10"/>
        <rFont val="Vazirmatn"/>
        <family val="0"/>
        <charset val="1"/>
      </rPr>
      <t xml:space="preserve">MM    16</t>
    </r>
  </si>
  <si>
    <t xml:space="preserve">31262246</t>
  </si>
  <si>
    <r>
      <rPr>
        <sz val="10"/>
        <rFont val="FreeSans"/>
        <family val="2"/>
      </rPr>
      <t xml:space="preserve">پیچ آهنی آلنی مغزی خور        </t>
    </r>
    <r>
      <rPr>
        <sz val="10"/>
        <rFont val="Vazirmatn"/>
        <family val="0"/>
        <charset val="1"/>
      </rPr>
      <t xml:space="preserve">12mm</t>
    </r>
  </si>
  <si>
    <t xml:space="preserve">31262247</t>
  </si>
  <si>
    <r>
      <rPr>
        <sz val="10"/>
        <rFont val="FreeSans"/>
        <family val="2"/>
      </rPr>
      <t xml:space="preserve">پیچ آلن مغزی آهنی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سانتی  </t>
    </r>
    <r>
      <rPr>
        <sz val="10"/>
        <rFont val="Vazirmatn"/>
        <family val="0"/>
        <charset val="1"/>
      </rPr>
      <t xml:space="preserve">14  MM</t>
    </r>
  </si>
  <si>
    <t xml:space="preserve">31262251</t>
  </si>
  <si>
    <r>
      <rPr>
        <sz val="10"/>
        <rFont val="FreeSans"/>
        <family val="2"/>
      </rPr>
      <t xml:space="preserve">پیچ  استیل  آلن 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سانتی                  </t>
    </r>
    <r>
      <rPr>
        <sz val="10"/>
        <rFont val="Vazirmatn"/>
        <family val="0"/>
        <charset val="1"/>
      </rPr>
      <t xml:space="preserve">MM      8</t>
    </r>
  </si>
  <si>
    <t xml:space="preserve">31262252</t>
  </si>
  <si>
    <r>
      <rPr>
        <sz val="10"/>
        <rFont val="FreeSans"/>
        <family val="2"/>
      </rPr>
      <t xml:space="preserve">پیچ  استیل سر تخت ا سانتی    </t>
    </r>
    <r>
      <rPr>
        <sz val="10"/>
        <rFont val="Vazirmatn"/>
        <family val="0"/>
        <charset val="1"/>
      </rPr>
      <t xml:space="preserve">6MM</t>
    </r>
  </si>
  <si>
    <t xml:space="preserve">31262253</t>
  </si>
  <si>
    <r>
      <rPr>
        <sz val="10"/>
        <rFont val="FreeSans"/>
        <family val="2"/>
      </rPr>
      <t xml:space="preserve">پیچ استیل آلنی سر تخت </t>
    </r>
    <r>
      <rPr>
        <sz val="10"/>
        <rFont val="Vazirmatn"/>
        <family val="0"/>
        <charset val="1"/>
      </rPr>
      <t xml:space="preserve">1/5*8  MM</t>
    </r>
  </si>
  <si>
    <t xml:space="preserve">31262254</t>
  </si>
  <si>
    <r>
      <rPr>
        <sz val="10"/>
        <rFont val="FreeSans"/>
        <family val="2"/>
      </rPr>
      <t xml:space="preserve">پیچ متحرک آسیاب            </t>
    </r>
    <r>
      <rPr>
        <sz val="10"/>
        <rFont val="Vazirmatn"/>
        <family val="0"/>
        <charset val="1"/>
      </rPr>
      <t xml:space="preserve">FQ  -  124</t>
    </r>
  </si>
  <si>
    <t xml:space="preserve">31262256</t>
  </si>
  <si>
    <r>
      <rPr>
        <sz val="10"/>
        <rFont val="FreeSans"/>
        <family val="2"/>
      </rPr>
      <t xml:space="preserve">پیچ استیل</t>
    </r>
    <r>
      <rPr>
        <sz val="10"/>
        <rFont val="Vazirmatn"/>
        <family val="0"/>
        <charset val="1"/>
      </rPr>
      <t xml:space="preserve">" 3/8  ( 4 </t>
    </r>
    <r>
      <rPr>
        <sz val="10"/>
        <rFont val="FreeSans"/>
        <family val="2"/>
      </rPr>
      <t xml:space="preserve">سانتی متری 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آسیاب ایمپکت</t>
    </r>
  </si>
  <si>
    <t xml:space="preserve">31262257</t>
  </si>
  <si>
    <r>
      <rPr>
        <sz val="10"/>
        <rFont val="FreeSans"/>
        <family val="2"/>
      </rPr>
      <t xml:space="preserve">پیچ استیل آلنی سرتخت  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سانتی       </t>
    </r>
    <r>
      <rPr>
        <sz val="10"/>
        <rFont val="Vazirmatn"/>
        <family val="0"/>
        <charset val="1"/>
      </rPr>
      <t xml:space="preserve">6 MM</t>
    </r>
  </si>
  <si>
    <t xml:space="preserve">31262258</t>
  </si>
  <si>
    <r>
      <rPr>
        <sz val="10"/>
        <rFont val="FreeSans"/>
        <family val="2"/>
      </rPr>
      <t xml:space="preserve">پیچ استیل آلنی سرتخت </t>
    </r>
    <r>
      <rPr>
        <sz val="10"/>
        <rFont val="Vazirmatn"/>
        <family val="0"/>
        <charset val="1"/>
      </rPr>
      <t xml:space="preserve">2</t>
    </r>
    <r>
      <rPr>
        <sz val="10"/>
        <rFont val="FreeSans"/>
        <family val="2"/>
      </rPr>
      <t xml:space="preserve">سانتی    </t>
    </r>
    <r>
      <rPr>
        <sz val="10"/>
        <rFont val="Vazirmatn"/>
        <family val="0"/>
        <charset val="1"/>
      </rPr>
      <t xml:space="preserve">6 MM</t>
    </r>
  </si>
  <si>
    <t xml:space="preserve">31262260</t>
  </si>
  <si>
    <r>
      <rPr>
        <sz val="10"/>
        <rFont val="FreeSans"/>
        <family val="2"/>
      </rPr>
      <t xml:space="preserve">پیچ استیل آلنی سر تخت خزینه ای  </t>
    </r>
    <r>
      <rPr>
        <sz val="10"/>
        <rFont val="Vazirmatn"/>
        <family val="0"/>
        <charset val="1"/>
      </rPr>
      <t xml:space="preserve">30 * 10</t>
    </r>
  </si>
  <si>
    <t xml:space="preserve">31262261</t>
  </si>
  <si>
    <r>
      <rPr>
        <sz val="10"/>
        <rFont val="FreeSans"/>
        <family val="2"/>
      </rPr>
      <t xml:space="preserve">پیچ استیل آلنی سرگرد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سانتی    </t>
    </r>
    <r>
      <rPr>
        <sz val="10"/>
        <rFont val="Vazirmatn"/>
        <family val="0"/>
        <charset val="1"/>
      </rPr>
      <t xml:space="preserve">6 MM</t>
    </r>
  </si>
  <si>
    <t xml:space="preserve">31262267</t>
  </si>
  <si>
    <r>
      <rPr>
        <sz val="10"/>
        <rFont val="FreeSans"/>
        <family val="2"/>
      </rPr>
      <t xml:space="preserve">پیچ استیل آچار خور تمام رزوه   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سانتی          </t>
    </r>
    <r>
      <rPr>
        <sz val="10"/>
        <rFont val="Vazirmatn"/>
        <family val="0"/>
        <charset val="1"/>
      </rPr>
      <t xml:space="preserve">5</t>
    </r>
  </si>
  <si>
    <t xml:space="preserve">31262270</t>
  </si>
  <si>
    <r>
      <rPr>
        <sz val="10"/>
        <rFont val="FreeSans"/>
        <family val="2"/>
      </rPr>
      <t xml:space="preserve">پیچ استیل تمام رزوه آچار خور </t>
    </r>
    <r>
      <rPr>
        <sz val="10"/>
        <rFont val="Vazirmatn"/>
        <family val="0"/>
        <charset val="1"/>
      </rPr>
      <t xml:space="preserve">20</t>
    </r>
    <r>
      <rPr>
        <sz val="10"/>
        <rFont val="FreeSans"/>
        <family val="2"/>
      </rPr>
      <t xml:space="preserve">سانتی متر      </t>
    </r>
    <r>
      <rPr>
        <sz val="10"/>
        <rFont val="Vazirmatn"/>
        <family val="0"/>
        <charset val="1"/>
      </rPr>
      <t xml:space="preserve">18</t>
    </r>
  </si>
  <si>
    <t xml:space="preserve">31262276</t>
  </si>
  <si>
    <r>
      <rPr>
        <sz val="10"/>
        <rFont val="FreeSans"/>
        <family val="2"/>
      </rPr>
      <t xml:space="preserve">پیچ استیل آچار خور تمام رزوه         </t>
    </r>
    <r>
      <rPr>
        <sz val="10"/>
        <rFont val="Vazirmatn"/>
        <family val="0"/>
        <charset val="1"/>
      </rPr>
      <t xml:space="preserve">70*12</t>
    </r>
  </si>
  <si>
    <t xml:space="preserve">31262277</t>
  </si>
  <si>
    <r>
      <rPr>
        <sz val="10"/>
        <rFont val="FreeSans"/>
        <family val="2"/>
      </rPr>
      <t xml:space="preserve">پیچ آلنی  آهنی       </t>
    </r>
    <r>
      <rPr>
        <sz val="10"/>
        <rFont val="Vazirmatn"/>
        <family val="0"/>
        <charset val="1"/>
      </rPr>
      <t xml:space="preserve">50*6</t>
    </r>
  </si>
  <si>
    <t xml:space="preserve">31262285</t>
  </si>
  <si>
    <r>
      <rPr>
        <sz val="10"/>
        <rFont val="FreeSans"/>
        <family val="2"/>
      </rPr>
      <t xml:space="preserve">پیچ آلنی مغزی خور آهنی          </t>
    </r>
    <r>
      <rPr>
        <sz val="10"/>
        <rFont val="Vazirmatn"/>
        <family val="0"/>
        <charset val="1"/>
      </rPr>
      <t xml:space="preserve">20*10</t>
    </r>
  </si>
  <si>
    <t xml:space="preserve">31262287</t>
  </si>
  <si>
    <r>
      <rPr>
        <sz val="10"/>
        <rFont val="FreeSans"/>
        <family val="2"/>
      </rPr>
      <t xml:space="preserve">پیچ آلنی مغزی خور آهنی          </t>
    </r>
    <r>
      <rPr>
        <sz val="10"/>
        <rFont val="Vazirmatn"/>
        <family val="0"/>
        <charset val="1"/>
      </rPr>
      <t xml:space="preserve">20*12</t>
    </r>
  </si>
  <si>
    <t xml:space="preserve">31262288</t>
  </si>
  <si>
    <r>
      <rPr>
        <sz val="10"/>
        <rFont val="FreeSans"/>
        <family val="2"/>
      </rPr>
      <t xml:space="preserve">پیچ آلنی مغزی خور آهنی          </t>
    </r>
    <r>
      <rPr>
        <sz val="10"/>
        <rFont val="Vazirmatn"/>
        <family val="0"/>
        <charset val="1"/>
      </rPr>
      <t xml:space="preserve">3*14</t>
    </r>
  </si>
  <si>
    <t xml:space="preserve">31262290</t>
  </si>
  <si>
    <r>
      <rPr>
        <sz val="10"/>
        <rFont val="FreeSans"/>
        <family val="2"/>
      </rPr>
      <t xml:space="preserve">پیچ آهنی تمام رزوه آچار خور </t>
    </r>
    <r>
      <rPr>
        <sz val="10"/>
        <rFont val="Vazirmatn"/>
        <family val="0"/>
        <charset val="1"/>
      </rPr>
      <t xml:space="preserve">3  </t>
    </r>
    <r>
      <rPr>
        <sz val="10"/>
        <rFont val="FreeSans"/>
        <family val="2"/>
      </rPr>
      <t xml:space="preserve">سانتی            </t>
    </r>
    <r>
      <rPr>
        <sz val="10"/>
        <rFont val="Vazirmatn"/>
        <family val="0"/>
        <charset val="1"/>
      </rPr>
      <t xml:space="preserve">MM  5</t>
    </r>
  </si>
  <si>
    <t xml:space="preserve">31262291</t>
  </si>
  <si>
    <t xml:space="preserve">پیچ تخلیه آب کولر</t>
  </si>
  <si>
    <t xml:space="preserve">31262293</t>
  </si>
  <si>
    <r>
      <rPr>
        <sz val="10"/>
        <rFont val="FreeSans"/>
        <family val="2"/>
      </rPr>
      <t xml:space="preserve">پیچ استیل نیم رزوه آچار خور   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سانتی  </t>
    </r>
    <r>
      <rPr>
        <sz val="10"/>
        <rFont val="Vazirmatn"/>
        <family val="0"/>
        <charset val="1"/>
      </rPr>
      <t xml:space="preserve">12 MM</t>
    </r>
  </si>
  <si>
    <t xml:space="preserve">31262295</t>
  </si>
  <si>
    <r>
      <rPr>
        <sz val="10"/>
        <rFont val="FreeSans"/>
        <family val="2"/>
      </rPr>
      <t xml:space="preserve">پیچ استیل تمام رزوه آچار خور       </t>
    </r>
    <r>
      <rPr>
        <sz val="10"/>
        <rFont val="Vazirmatn"/>
        <family val="0"/>
        <charset val="1"/>
      </rPr>
      <t xml:space="preserve">4*12</t>
    </r>
  </si>
  <si>
    <t xml:space="preserve">31262302</t>
  </si>
  <si>
    <r>
      <rPr>
        <sz val="10"/>
        <rFont val="FreeSans"/>
        <family val="2"/>
      </rPr>
      <t xml:space="preserve">پیچ استیل تمام رزوه آچار خور  </t>
    </r>
    <r>
      <rPr>
        <sz val="10"/>
        <rFont val="Vazirmatn"/>
        <family val="0"/>
        <charset val="1"/>
      </rPr>
      <t xml:space="preserve">6mm * 5cm</t>
    </r>
  </si>
  <si>
    <t xml:space="preserve">31262303</t>
  </si>
  <si>
    <r>
      <rPr>
        <sz val="10"/>
        <rFont val="FreeSans"/>
        <family val="2"/>
      </rPr>
      <t xml:space="preserve">پیچ استیل شش گوش تمام رزوه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سانتی          </t>
    </r>
    <r>
      <rPr>
        <sz val="10"/>
        <rFont val="Vazirmatn"/>
        <family val="0"/>
        <charset val="1"/>
      </rPr>
      <t xml:space="preserve">6       MM</t>
    </r>
  </si>
  <si>
    <t xml:space="preserve">31262304</t>
  </si>
  <si>
    <t xml:space="preserve">پیچ پوشش نگهدارنده لوله آب سپراتور تغلیظ گلوتن</t>
  </si>
  <si>
    <t xml:space="preserve">31262305</t>
  </si>
  <si>
    <r>
      <rPr>
        <sz val="10"/>
        <rFont val="FreeSans"/>
        <family val="2"/>
      </rPr>
      <t xml:space="preserve">پیچ استیل تمام رزوه آچار خور  </t>
    </r>
    <r>
      <rPr>
        <sz val="10"/>
        <rFont val="Vazirmatn"/>
        <family val="0"/>
        <charset val="1"/>
      </rPr>
      <t xml:space="preserve">6mm * 7cm</t>
    </r>
  </si>
  <si>
    <t xml:space="preserve">31262306</t>
  </si>
  <si>
    <r>
      <rPr>
        <sz val="10"/>
        <rFont val="FreeSans"/>
        <family val="2"/>
      </rPr>
      <t xml:space="preserve">پیچ استیل تمام رزوه آچار خور   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سانتی            </t>
    </r>
    <r>
      <rPr>
        <sz val="10"/>
        <rFont val="Vazirmatn"/>
        <family val="0"/>
        <charset val="1"/>
      </rPr>
      <t xml:space="preserve">14 MM</t>
    </r>
  </si>
  <si>
    <t xml:space="preserve">31262307</t>
  </si>
  <si>
    <r>
      <rPr>
        <sz val="10"/>
        <rFont val="FreeSans"/>
        <family val="2"/>
      </rPr>
      <t xml:space="preserve">پیچ استیل آلنی سر تخت تمام رزوه  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سانتی       </t>
    </r>
    <r>
      <rPr>
        <sz val="10"/>
        <rFont val="Vazirmatn"/>
        <family val="0"/>
        <charset val="1"/>
      </rPr>
      <t xml:space="preserve">8 MM</t>
    </r>
  </si>
  <si>
    <t xml:space="preserve">31262311</t>
  </si>
  <si>
    <r>
      <rPr>
        <sz val="10"/>
        <rFont val="FreeSans"/>
        <family val="2"/>
      </rPr>
      <t xml:space="preserve">پیچ استیل آلن  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سانتی      </t>
    </r>
    <r>
      <rPr>
        <sz val="10"/>
        <rFont val="Vazirmatn"/>
        <family val="0"/>
        <charset val="1"/>
      </rPr>
      <t xml:space="preserve">10      MM</t>
    </r>
  </si>
  <si>
    <t xml:space="preserve">31262313</t>
  </si>
  <si>
    <r>
      <rPr>
        <sz val="10"/>
        <rFont val="FreeSans"/>
        <family val="2"/>
      </rPr>
      <t xml:space="preserve">پیچ استیل شش گوش تمام رزوه   </t>
    </r>
    <r>
      <rPr>
        <sz val="10"/>
        <rFont val="Vazirmatn"/>
        <family val="0"/>
        <charset val="1"/>
      </rPr>
      <t xml:space="preserve">14</t>
    </r>
    <r>
      <rPr>
        <sz val="10"/>
        <rFont val="FreeSans"/>
        <family val="2"/>
      </rPr>
      <t xml:space="preserve">سانتی         </t>
    </r>
    <r>
      <rPr>
        <sz val="10"/>
        <rFont val="Vazirmatn"/>
        <family val="0"/>
        <charset val="1"/>
      </rPr>
      <t xml:space="preserve">MM16</t>
    </r>
  </si>
  <si>
    <t xml:space="preserve">31262314</t>
  </si>
  <si>
    <r>
      <rPr>
        <sz val="10"/>
        <rFont val="FreeSans"/>
        <family val="2"/>
      </rPr>
      <t xml:space="preserve">پیچ  آسیاب    </t>
    </r>
    <r>
      <rPr>
        <sz val="10"/>
        <rFont val="Vazirmatn"/>
        <family val="0"/>
        <charset val="1"/>
      </rPr>
      <t xml:space="preserve">FQ  -  136</t>
    </r>
  </si>
  <si>
    <t xml:space="preserve">31262315</t>
  </si>
  <si>
    <t xml:space="preserve">پیچ استیل دو سر دنده مخصوص  واش</t>
  </si>
  <si>
    <t xml:space="preserve">31262316</t>
  </si>
  <si>
    <r>
      <rPr>
        <sz val="10"/>
        <rFont val="FreeSans"/>
        <family val="2"/>
      </rPr>
      <t xml:space="preserve">پیچ  استیل تمام رزوه یک متری             </t>
    </r>
    <r>
      <rPr>
        <sz val="10"/>
        <rFont val="Vazirmatn"/>
        <family val="0"/>
        <charset val="1"/>
      </rPr>
      <t xml:space="preserve">16    MM</t>
    </r>
  </si>
  <si>
    <t xml:space="preserve">31262317</t>
  </si>
  <si>
    <r>
      <rPr>
        <sz val="10"/>
        <rFont val="FreeSans"/>
        <family val="2"/>
      </rPr>
      <t xml:space="preserve">پیچ استیل  آچارخور تمام رزوه  </t>
    </r>
    <r>
      <rPr>
        <sz val="10"/>
        <rFont val="Vazirmatn"/>
        <family val="0"/>
        <charset val="1"/>
      </rPr>
      <t xml:space="preserve">5  </t>
    </r>
    <r>
      <rPr>
        <sz val="10"/>
        <rFont val="FreeSans"/>
        <family val="2"/>
      </rPr>
      <t xml:space="preserve">سانتی          </t>
    </r>
    <r>
      <rPr>
        <sz val="10"/>
        <rFont val="Vazirmatn"/>
        <family val="0"/>
        <charset val="1"/>
      </rPr>
      <t xml:space="preserve">8     MM</t>
    </r>
  </si>
  <si>
    <t xml:space="preserve">31262318</t>
  </si>
  <si>
    <r>
      <rPr>
        <sz val="10"/>
        <rFont val="FreeSans"/>
        <family val="2"/>
      </rPr>
      <t xml:space="preserve">پیچ استیل آچار خور تمام رزوه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سانتی           </t>
    </r>
    <r>
      <rPr>
        <sz val="10"/>
        <rFont val="Vazirmatn"/>
        <family val="0"/>
        <charset val="1"/>
      </rPr>
      <t xml:space="preserve">8     MM</t>
    </r>
  </si>
  <si>
    <t xml:space="preserve">31262319</t>
  </si>
  <si>
    <r>
      <rPr>
        <sz val="10"/>
        <rFont val="FreeSans"/>
        <family val="2"/>
      </rPr>
      <t xml:space="preserve">پیچ استیل آچارخور تمام رزوه 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سانتی           </t>
    </r>
    <r>
      <rPr>
        <sz val="10"/>
        <rFont val="Vazirmatn"/>
        <family val="0"/>
        <charset val="1"/>
      </rPr>
      <t xml:space="preserve">8     MM</t>
    </r>
  </si>
  <si>
    <t xml:space="preserve">31262321</t>
  </si>
  <si>
    <r>
      <rPr>
        <sz val="10"/>
        <rFont val="FreeSans"/>
        <family val="2"/>
      </rPr>
      <t xml:space="preserve">پیچ  استیل آلن خور تمام رزوه </t>
    </r>
    <r>
      <rPr>
        <sz val="10"/>
        <rFont val="Vazirmatn"/>
        <family val="0"/>
        <charset val="1"/>
      </rPr>
      <t xml:space="preserve">304         M 8 *4  CM</t>
    </r>
  </si>
  <si>
    <t xml:space="preserve">31262324</t>
  </si>
  <si>
    <r>
      <rPr>
        <sz val="10"/>
        <rFont val="FreeSans"/>
        <family val="2"/>
      </rPr>
      <t xml:space="preserve">پیچ استیل </t>
    </r>
    <r>
      <rPr>
        <sz val="10"/>
        <rFont val="Vazirmatn"/>
        <family val="0"/>
        <charset val="1"/>
      </rPr>
      <t xml:space="preserve">" 5/8  ( 7 </t>
    </r>
    <r>
      <rPr>
        <sz val="10"/>
        <rFont val="FreeSans"/>
        <family val="2"/>
      </rPr>
      <t xml:space="preserve">سانتی متری 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آسیاب ایمپکت</t>
    </r>
  </si>
  <si>
    <t xml:space="preserve">31262325</t>
  </si>
  <si>
    <r>
      <rPr>
        <sz val="10"/>
        <rFont val="FreeSans"/>
        <family val="2"/>
      </rPr>
      <t xml:space="preserve">پیچ استیل آچار خور تمام رزوه     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سانتی       </t>
    </r>
    <r>
      <rPr>
        <sz val="10"/>
        <rFont val="Vazirmatn"/>
        <family val="0"/>
        <charset val="1"/>
      </rPr>
      <t xml:space="preserve">MM     16</t>
    </r>
  </si>
  <si>
    <t xml:space="preserve">31262328</t>
  </si>
  <si>
    <r>
      <rPr>
        <sz val="10"/>
        <rFont val="FreeSans"/>
        <family val="2"/>
      </rPr>
      <t xml:space="preserve">پیچ استیل تمام رزوه شش گوش   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سانتی         </t>
    </r>
    <r>
      <rPr>
        <sz val="10"/>
        <rFont val="Vazirmatn"/>
        <family val="0"/>
        <charset val="1"/>
      </rPr>
      <t xml:space="preserve">14     MM</t>
    </r>
  </si>
  <si>
    <t xml:space="preserve">31262329</t>
  </si>
  <si>
    <r>
      <rPr>
        <sz val="10"/>
        <rFont val="FreeSans"/>
        <family val="2"/>
      </rPr>
      <t xml:space="preserve">پیچ  استیل تمام رزوه آچارخور 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سانتی        </t>
    </r>
    <r>
      <rPr>
        <sz val="10"/>
        <rFont val="Vazirmatn"/>
        <family val="0"/>
        <charset val="1"/>
      </rPr>
      <t xml:space="preserve">14     MM</t>
    </r>
  </si>
  <si>
    <t xml:space="preserve">31262332</t>
  </si>
  <si>
    <t xml:space="preserve">پیچ استیل اینچی کمر تخت پین متحرک</t>
  </si>
  <si>
    <t xml:space="preserve">31262334</t>
  </si>
  <si>
    <r>
      <rPr>
        <sz val="10"/>
        <rFont val="FreeSans"/>
        <family val="2"/>
      </rPr>
      <t xml:space="preserve">پیچ ثابت استیل اینچی آلنی </t>
    </r>
    <r>
      <rPr>
        <sz val="10"/>
        <rFont val="Vazirmatn"/>
        <family val="0"/>
        <charset val="1"/>
      </rPr>
      <t xml:space="preserve">13 - " 1/2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FQ - 124</t>
    </r>
  </si>
  <si>
    <t xml:space="preserve">31262336</t>
  </si>
  <si>
    <r>
      <rPr>
        <sz val="10"/>
        <rFont val="FreeSans"/>
        <family val="2"/>
      </rPr>
      <t xml:space="preserve">پیچ استیل  شش گوش تمام رزوه   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سانتی         </t>
    </r>
    <r>
      <rPr>
        <sz val="10"/>
        <rFont val="Vazirmatn"/>
        <family val="0"/>
        <charset val="1"/>
      </rPr>
      <t xml:space="preserve">16      MM</t>
    </r>
  </si>
  <si>
    <t xml:space="preserve">31262338</t>
  </si>
  <si>
    <r>
      <rPr>
        <sz val="10"/>
        <rFont val="FreeSans"/>
        <family val="2"/>
      </rPr>
      <t xml:space="preserve">پیچ استیل آچارخور تمام رزوه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سانتی       </t>
    </r>
    <r>
      <rPr>
        <sz val="10"/>
        <rFont val="Vazirmatn"/>
        <family val="0"/>
        <charset val="1"/>
      </rPr>
      <t xml:space="preserve">M  18</t>
    </r>
  </si>
  <si>
    <t xml:space="preserve">31262339</t>
  </si>
  <si>
    <r>
      <rPr>
        <sz val="10"/>
        <rFont val="FreeSans"/>
        <family val="2"/>
      </rPr>
      <t xml:space="preserve">پیچ استیل تمام رزوه آچار خور        </t>
    </r>
    <r>
      <rPr>
        <sz val="10"/>
        <rFont val="Vazirmatn"/>
        <family val="0"/>
        <charset val="1"/>
      </rPr>
      <t xml:space="preserve">14</t>
    </r>
    <r>
      <rPr>
        <sz val="10"/>
        <rFont val="FreeSans"/>
        <family val="2"/>
      </rPr>
      <t xml:space="preserve">سانتی         </t>
    </r>
    <r>
      <rPr>
        <sz val="10"/>
        <rFont val="Vazirmatn"/>
        <family val="0"/>
        <charset val="1"/>
      </rPr>
      <t xml:space="preserve">16</t>
    </r>
  </si>
  <si>
    <t xml:space="preserve">31262340</t>
  </si>
  <si>
    <r>
      <rPr>
        <sz val="10"/>
        <rFont val="FreeSans"/>
        <family val="2"/>
      </rPr>
      <t xml:space="preserve">پیچ  استیل  آلن  </t>
    </r>
    <r>
      <rPr>
        <sz val="10"/>
        <rFont val="Vazirmatn"/>
        <family val="0"/>
        <charset val="1"/>
      </rPr>
      <t xml:space="preserve">2/5   </t>
    </r>
    <r>
      <rPr>
        <sz val="10"/>
        <rFont val="FreeSans"/>
        <family val="2"/>
      </rPr>
      <t xml:space="preserve">سانتی</t>
    </r>
    <r>
      <rPr>
        <sz val="10"/>
        <rFont val="Vazirmatn"/>
        <family val="0"/>
        <charset val="1"/>
      </rPr>
      <t xml:space="preserve">2 1       MM</t>
    </r>
  </si>
  <si>
    <t xml:space="preserve">31262345</t>
  </si>
  <si>
    <r>
      <rPr>
        <sz val="10"/>
        <rFont val="FreeSans"/>
        <family val="2"/>
      </rPr>
      <t xml:space="preserve">پیچ استیل آچار خور     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سانتی       </t>
    </r>
    <r>
      <rPr>
        <sz val="10"/>
        <rFont val="Vazirmatn"/>
        <family val="0"/>
        <charset val="1"/>
      </rPr>
      <t xml:space="preserve">10     MM</t>
    </r>
  </si>
  <si>
    <t xml:space="preserve">31262349</t>
  </si>
  <si>
    <r>
      <rPr>
        <sz val="10"/>
        <rFont val="FreeSans"/>
        <family val="2"/>
      </rPr>
      <t xml:space="preserve">پیچ استیل تمام رزوه آچار خور </t>
    </r>
    <r>
      <rPr>
        <sz val="10"/>
        <rFont val="Vazirmatn"/>
        <family val="0"/>
        <charset val="1"/>
      </rPr>
      <t xml:space="preserve">304 3 </t>
    </r>
    <r>
      <rPr>
        <sz val="10"/>
        <rFont val="FreeSans"/>
        <family val="2"/>
      </rPr>
      <t xml:space="preserve">سانتی         </t>
    </r>
    <r>
      <rPr>
        <sz val="10"/>
        <rFont val="Vazirmatn"/>
        <family val="0"/>
        <charset val="1"/>
      </rPr>
      <t xml:space="preserve">12  MM</t>
    </r>
  </si>
  <si>
    <t xml:space="preserve">31262351</t>
  </si>
  <si>
    <r>
      <rPr>
        <sz val="10"/>
        <rFont val="FreeSans"/>
        <family val="2"/>
      </rPr>
      <t xml:space="preserve">پیچ استیل آچار خور تمام رزوه      </t>
    </r>
    <r>
      <rPr>
        <sz val="10"/>
        <rFont val="Vazirmatn"/>
        <family val="0"/>
        <charset val="1"/>
      </rPr>
      <t xml:space="preserve">5</t>
    </r>
    <r>
      <rPr>
        <sz val="10"/>
        <rFont val="FreeSans"/>
        <family val="2"/>
      </rPr>
      <t xml:space="preserve">سانتی    </t>
    </r>
    <r>
      <rPr>
        <sz val="10"/>
        <rFont val="Vazirmatn"/>
        <family val="0"/>
        <charset val="1"/>
      </rPr>
      <t xml:space="preserve">12</t>
    </r>
  </si>
  <si>
    <t xml:space="preserve">31262352</t>
  </si>
  <si>
    <r>
      <rPr>
        <sz val="10"/>
        <rFont val="FreeSans"/>
        <family val="2"/>
      </rPr>
      <t xml:space="preserve">پیچ استیل تمام رزوه آچار خور   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سانتی       </t>
    </r>
    <r>
      <rPr>
        <sz val="10"/>
        <rFont val="Vazirmatn"/>
        <family val="0"/>
        <charset val="1"/>
      </rPr>
      <t xml:space="preserve">12  MM</t>
    </r>
  </si>
  <si>
    <t xml:space="preserve">31262354</t>
  </si>
  <si>
    <r>
      <rPr>
        <sz val="10"/>
        <rFont val="FreeSans"/>
        <family val="2"/>
      </rPr>
      <t xml:space="preserve">پیچ استیل سرخزینه ای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سانتی   </t>
    </r>
    <r>
      <rPr>
        <sz val="10"/>
        <rFont val="Vazirmatn"/>
        <family val="0"/>
        <charset val="1"/>
      </rPr>
      <t xml:space="preserve">8 MM</t>
    </r>
  </si>
  <si>
    <t xml:space="preserve">31262356</t>
  </si>
  <si>
    <r>
      <rPr>
        <sz val="10"/>
        <rFont val="FreeSans"/>
        <family val="2"/>
      </rPr>
      <t xml:space="preserve">پیچ  خودرو                          </t>
    </r>
    <r>
      <rPr>
        <sz val="10"/>
        <rFont val="Vazirmatn"/>
        <family val="0"/>
        <charset val="1"/>
      </rPr>
      <t xml:space="preserve">5</t>
    </r>
  </si>
  <si>
    <t xml:space="preserve">31262357</t>
  </si>
  <si>
    <r>
      <rPr>
        <sz val="10"/>
        <rFont val="FreeSans"/>
        <family val="2"/>
      </rPr>
      <t xml:space="preserve">پیچ  خودرو                           </t>
    </r>
    <r>
      <rPr>
        <sz val="10"/>
        <rFont val="Vazirmatn"/>
        <family val="0"/>
        <charset val="1"/>
      </rPr>
      <t xml:space="preserve">2</t>
    </r>
  </si>
  <si>
    <t xml:space="preserve">31262359</t>
  </si>
  <si>
    <r>
      <rPr>
        <sz val="10"/>
        <rFont val="FreeSans"/>
        <family val="2"/>
      </rPr>
      <t xml:space="preserve">پیچ نوک مته ای   </t>
    </r>
    <r>
      <rPr>
        <sz val="10"/>
        <rFont val="Vazirmatn"/>
        <family val="0"/>
        <charset val="1"/>
      </rPr>
      <t xml:space="preserve">3Cm</t>
    </r>
  </si>
  <si>
    <t xml:space="preserve">31262360</t>
  </si>
  <si>
    <r>
      <rPr>
        <sz val="10"/>
        <rFont val="FreeSans"/>
        <family val="2"/>
      </rPr>
      <t xml:space="preserve">پیچ نوک مته ای گالوانیزه      </t>
    </r>
    <r>
      <rPr>
        <sz val="10"/>
        <rFont val="Vazirmatn"/>
        <family val="0"/>
        <charset val="1"/>
      </rPr>
      <t xml:space="preserve">3/4 * 8</t>
    </r>
  </si>
  <si>
    <t xml:space="preserve">31262365</t>
  </si>
  <si>
    <r>
      <rPr>
        <sz val="10"/>
        <rFont val="FreeSans"/>
        <family val="2"/>
      </rPr>
      <t xml:space="preserve">پیچ نوک مته ای نمره </t>
    </r>
    <r>
      <rPr>
        <sz val="10"/>
        <rFont val="Vazirmatn"/>
        <family val="0"/>
        <charset val="1"/>
      </rPr>
      <t xml:space="preserve">2              2cm</t>
    </r>
  </si>
  <si>
    <t xml:space="preserve">31262370</t>
  </si>
  <si>
    <r>
      <rPr>
        <sz val="10"/>
        <rFont val="FreeSans"/>
        <family val="2"/>
      </rPr>
      <t xml:space="preserve">پیچ نوک مته ای   </t>
    </r>
    <r>
      <rPr>
        <sz val="10"/>
        <rFont val="Vazirmatn"/>
        <family val="0"/>
        <charset val="1"/>
      </rPr>
      <t xml:space="preserve">7Cm</t>
    </r>
  </si>
  <si>
    <t xml:space="preserve">31262371</t>
  </si>
  <si>
    <r>
      <rPr>
        <sz val="10"/>
        <rFont val="FreeSans"/>
        <family val="2"/>
      </rPr>
      <t xml:space="preserve">پیچ استیل </t>
    </r>
    <r>
      <rPr>
        <sz val="10"/>
        <rFont val="Vazirmatn"/>
        <family val="0"/>
        <charset val="1"/>
      </rPr>
      <t xml:space="preserve">" 5/8  ( 4 </t>
    </r>
    <r>
      <rPr>
        <sz val="10"/>
        <rFont val="FreeSans"/>
        <family val="2"/>
      </rPr>
      <t xml:space="preserve">سانتی متری 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آسیاب ایمپکت</t>
    </r>
  </si>
  <si>
    <t xml:space="preserve">31262375</t>
  </si>
  <si>
    <r>
      <rPr>
        <sz val="10"/>
        <rFont val="FreeSans"/>
        <family val="2"/>
      </rPr>
      <t xml:space="preserve">پیچ رولپلاک  </t>
    </r>
    <r>
      <rPr>
        <sz val="10"/>
        <rFont val="Vazirmatn"/>
        <family val="0"/>
        <charset val="1"/>
      </rPr>
      <t xml:space="preserve">5mm</t>
    </r>
  </si>
  <si>
    <t xml:space="preserve">31262380</t>
  </si>
  <si>
    <r>
      <rPr>
        <sz val="10"/>
        <rFont val="FreeSans"/>
        <family val="2"/>
      </rPr>
      <t xml:space="preserve">پیچ  تلگرافی چوبی          </t>
    </r>
    <r>
      <rPr>
        <sz val="10"/>
        <rFont val="Vazirmatn"/>
        <family val="0"/>
        <charset val="1"/>
      </rPr>
      <t xml:space="preserve">10</t>
    </r>
  </si>
  <si>
    <t xml:space="preserve">31262383</t>
  </si>
  <si>
    <r>
      <rPr>
        <sz val="10"/>
        <rFont val="FreeSans"/>
        <family val="2"/>
      </rPr>
      <t xml:space="preserve">پیچ استیل رگلاژ تسمه سپراتور </t>
    </r>
    <r>
      <rPr>
        <sz val="10"/>
        <rFont val="Vazirmatn"/>
        <family val="0"/>
        <charset val="1"/>
      </rPr>
      <t xml:space="preserve">GT</t>
    </r>
  </si>
  <si>
    <t xml:space="preserve">31262384</t>
  </si>
  <si>
    <r>
      <rPr>
        <sz val="10"/>
        <rFont val="FreeSans"/>
        <family val="2"/>
      </rPr>
      <t xml:space="preserve">پیچ استیل </t>
    </r>
    <r>
      <rPr>
        <sz val="10"/>
        <rFont val="Vazirmatn"/>
        <family val="0"/>
        <charset val="1"/>
      </rPr>
      <t xml:space="preserve">15  </t>
    </r>
    <r>
      <rPr>
        <sz val="10"/>
        <rFont val="FreeSans"/>
        <family val="2"/>
      </rPr>
      <t xml:space="preserve">سانتی          </t>
    </r>
    <r>
      <rPr>
        <sz val="10"/>
        <rFont val="Vazirmatn"/>
        <family val="0"/>
        <charset val="1"/>
      </rPr>
      <t xml:space="preserve">8     MM</t>
    </r>
  </si>
  <si>
    <t xml:space="preserve">31262385</t>
  </si>
  <si>
    <t xml:space="preserve">پیچ جمع کننده بوش پولی شفت آسیاب ایمپکت</t>
  </si>
  <si>
    <t xml:space="preserve">31262389</t>
  </si>
  <si>
    <r>
      <rPr>
        <sz val="10"/>
        <rFont val="FreeSans"/>
        <family val="2"/>
      </rPr>
      <t xml:space="preserve">پیچ آهنی سیلندر پرس گویوم روغن کشی </t>
    </r>
    <r>
      <rPr>
        <sz val="10"/>
        <rFont val="Vazirmatn"/>
        <family val="0"/>
        <charset val="1"/>
      </rPr>
      <t xml:space="preserve">M45*450mm  - </t>
    </r>
    <r>
      <rPr>
        <sz val="10"/>
        <rFont val="FreeSans"/>
        <family val="2"/>
      </rPr>
      <t xml:space="preserve">گام</t>
    </r>
    <r>
      <rPr>
        <sz val="10"/>
        <rFont val="Vazirmatn"/>
        <family val="0"/>
        <charset val="1"/>
      </rPr>
      <t xml:space="preserve">4mm</t>
    </r>
  </si>
  <si>
    <t xml:space="preserve">31262391</t>
  </si>
  <si>
    <r>
      <rPr>
        <sz val="10"/>
        <rFont val="FreeSans"/>
        <family val="2"/>
      </rPr>
      <t xml:space="preserve">پیچ آهنی آلنی سر تخت خزینه ای  </t>
    </r>
    <r>
      <rPr>
        <sz val="10"/>
        <rFont val="Vazirmatn"/>
        <family val="0"/>
        <charset val="1"/>
      </rPr>
      <t xml:space="preserve">30 * 12</t>
    </r>
  </si>
  <si>
    <t xml:space="preserve">31262392</t>
  </si>
  <si>
    <r>
      <rPr>
        <sz val="10"/>
        <rFont val="FreeSans"/>
        <family val="2"/>
      </rPr>
      <t xml:space="preserve">پیچ آهنی تمام رزوه آچار خور      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سانتی      </t>
    </r>
    <r>
      <rPr>
        <sz val="10"/>
        <rFont val="Vazirmatn"/>
        <family val="0"/>
        <charset val="1"/>
      </rPr>
      <t xml:space="preserve">8</t>
    </r>
  </si>
  <si>
    <t xml:space="preserve">31262394</t>
  </si>
  <si>
    <t xml:space="preserve">پیچ ریگلاژ تیغه درام اکسید</t>
  </si>
  <si>
    <t xml:space="preserve">31262395</t>
  </si>
  <si>
    <r>
      <rPr>
        <sz val="10"/>
        <rFont val="FreeSans"/>
        <family val="2"/>
      </rPr>
      <t xml:space="preserve">پیچ خشکه متری  </t>
    </r>
    <r>
      <rPr>
        <sz val="10"/>
        <rFont val="Vazirmatn"/>
        <family val="0"/>
        <charset val="1"/>
      </rPr>
      <t xml:space="preserve">1200mm * 38/8</t>
    </r>
  </si>
  <si>
    <t xml:space="preserve">31262396</t>
  </si>
  <si>
    <r>
      <rPr>
        <sz val="10"/>
        <rFont val="FreeSans"/>
        <family val="2"/>
      </rPr>
      <t xml:space="preserve">پیچ فولادی تیغه گیر  </t>
    </r>
    <r>
      <rPr>
        <sz val="10"/>
        <rFont val="Vazirmatn"/>
        <family val="0"/>
        <charset val="1"/>
      </rPr>
      <t xml:space="preserve">50 * 8</t>
    </r>
  </si>
  <si>
    <t xml:space="preserve">31262397</t>
  </si>
  <si>
    <r>
      <rPr>
        <sz val="10"/>
        <rFont val="FreeSans"/>
        <family val="2"/>
      </rPr>
      <t xml:space="preserve">پیچ آهنی آلنی سر تخت خزینه ای  </t>
    </r>
    <r>
      <rPr>
        <sz val="10"/>
        <rFont val="Vazirmatn"/>
        <family val="0"/>
        <charset val="1"/>
      </rPr>
      <t xml:space="preserve">40 * 12</t>
    </r>
  </si>
  <si>
    <t xml:space="preserve">31262406</t>
  </si>
  <si>
    <r>
      <rPr>
        <sz val="10"/>
        <rFont val="FreeSans"/>
        <family val="2"/>
      </rPr>
      <t xml:space="preserve">پیچ آهنی </t>
    </r>
    <r>
      <rPr>
        <sz val="10"/>
        <rFont val="Vazirmatn"/>
        <family val="0"/>
        <charset val="1"/>
      </rPr>
      <t xml:space="preserve">3  </t>
    </r>
    <r>
      <rPr>
        <sz val="10"/>
        <rFont val="FreeSans"/>
        <family val="2"/>
      </rPr>
      <t xml:space="preserve">سانتی    </t>
    </r>
    <r>
      <rPr>
        <sz val="10"/>
        <rFont val="Vazirmatn"/>
        <family val="0"/>
        <charset val="1"/>
      </rPr>
      <t xml:space="preserve">MM  4</t>
    </r>
  </si>
  <si>
    <t xml:space="preserve">31262407</t>
  </si>
  <si>
    <r>
      <rPr>
        <sz val="10"/>
        <rFont val="FreeSans"/>
        <family val="2"/>
      </rPr>
      <t xml:space="preserve">پیچ استیل آچار خور نیم رزوه 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سانتی  </t>
    </r>
    <r>
      <rPr>
        <sz val="10"/>
        <rFont val="Vazirmatn"/>
        <family val="0"/>
        <charset val="1"/>
      </rPr>
      <t xml:space="preserve">14 MM</t>
    </r>
  </si>
  <si>
    <t xml:space="preserve">31262409</t>
  </si>
  <si>
    <t xml:space="preserve">پیچ پروانه پمپ کوراکماز</t>
  </si>
  <si>
    <t xml:space="preserve">31262415</t>
  </si>
  <si>
    <r>
      <rPr>
        <sz val="10"/>
        <rFont val="FreeSans"/>
        <family val="2"/>
      </rPr>
      <t xml:space="preserve">پیچ استیل آچارخور تمام رزوه  </t>
    </r>
    <r>
      <rPr>
        <sz val="10"/>
        <rFont val="Vazirmatn"/>
        <family val="0"/>
        <charset val="1"/>
      </rPr>
      <t xml:space="preserve">18 </t>
    </r>
    <r>
      <rPr>
        <sz val="10"/>
        <rFont val="FreeSans"/>
        <family val="2"/>
      </rPr>
      <t xml:space="preserve">سانتی   </t>
    </r>
    <r>
      <rPr>
        <sz val="10"/>
        <rFont val="Vazirmatn"/>
        <family val="0"/>
        <charset val="1"/>
      </rPr>
      <t xml:space="preserve">20 MM</t>
    </r>
  </si>
  <si>
    <t xml:space="preserve">31262416</t>
  </si>
  <si>
    <r>
      <rPr>
        <sz val="10"/>
        <rFont val="FreeSans"/>
        <family val="2"/>
      </rPr>
      <t xml:space="preserve">پیچ آهنی شش گوش نیم رزوه  </t>
    </r>
    <r>
      <rPr>
        <sz val="10"/>
        <rFont val="Vazirmatn"/>
        <family val="0"/>
        <charset val="1"/>
      </rPr>
      <t xml:space="preserve">16mm * 13cm</t>
    </r>
  </si>
  <si>
    <t xml:space="preserve">31262417</t>
  </si>
  <si>
    <r>
      <rPr>
        <sz val="10"/>
        <rFont val="FreeSans"/>
        <family val="2"/>
      </rPr>
      <t xml:space="preserve">پیچ آهنی تمام رزوه آچار خور  </t>
    </r>
    <r>
      <rPr>
        <sz val="10"/>
        <rFont val="Vazirmatn"/>
        <family val="0"/>
        <charset val="1"/>
      </rPr>
      <t xml:space="preserve">14mm * 10cm</t>
    </r>
  </si>
  <si>
    <t xml:space="preserve">31262418</t>
  </si>
  <si>
    <r>
      <rPr>
        <sz val="10"/>
        <rFont val="FreeSans"/>
        <family val="2"/>
      </rPr>
      <t xml:space="preserve">پیچ و مهره گالوانیزه  </t>
    </r>
    <r>
      <rPr>
        <sz val="10"/>
        <rFont val="Vazirmatn"/>
        <family val="0"/>
        <charset val="1"/>
      </rPr>
      <t xml:space="preserve">10mm * 3/5cm</t>
    </r>
  </si>
  <si>
    <t xml:space="preserve">31262419</t>
  </si>
  <si>
    <r>
      <rPr>
        <sz val="10"/>
        <rFont val="FreeSans"/>
        <family val="2"/>
      </rPr>
      <t xml:space="preserve">پیچ و مهره گالوانیزه  </t>
    </r>
    <r>
      <rPr>
        <sz val="10"/>
        <rFont val="Vazirmatn"/>
        <family val="0"/>
        <charset val="1"/>
      </rPr>
      <t xml:space="preserve">10mm * 4/5cm</t>
    </r>
  </si>
  <si>
    <t xml:space="preserve">31262420</t>
  </si>
  <si>
    <r>
      <rPr>
        <sz val="10"/>
        <rFont val="FreeSans"/>
        <family val="2"/>
      </rPr>
      <t xml:space="preserve">پیچ و مهره گالوانیزه  </t>
    </r>
    <r>
      <rPr>
        <sz val="10"/>
        <rFont val="Vazirmatn"/>
        <family val="0"/>
        <charset val="1"/>
      </rPr>
      <t xml:space="preserve">8mm * 4/5cm</t>
    </r>
  </si>
  <si>
    <t xml:space="preserve">31262421</t>
  </si>
  <si>
    <r>
      <rPr>
        <sz val="10"/>
        <rFont val="FreeSans"/>
        <family val="2"/>
      </rPr>
      <t xml:space="preserve">پیچ و مهره گالوانیزه  </t>
    </r>
    <r>
      <rPr>
        <sz val="10"/>
        <rFont val="Vazirmatn"/>
        <family val="0"/>
        <charset val="1"/>
      </rPr>
      <t xml:space="preserve">8mm * 3/5cm</t>
    </r>
  </si>
  <si>
    <t xml:space="preserve">31262423</t>
  </si>
  <si>
    <t xml:space="preserve">پیچ و مهره نگهدارنده شیر مخلوط</t>
  </si>
  <si>
    <t xml:space="preserve">31262424</t>
  </si>
  <si>
    <r>
      <rPr>
        <sz val="10"/>
        <rFont val="FreeSans"/>
        <family val="2"/>
      </rPr>
      <t xml:space="preserve">پیچ خودرو   </t>
    </r>
    <r>
      <rPr>
        <sz val="10"/>
        <rFont val="Vazirmatn"/>
        <family val="0"/>
        <charset val="1"/>
      </rPr>
      <t xml:space="preserve">2cm</t>
    </r>
  </si>
  <si>
    <t xml:space="preserve">31262425</t>
  </si>
  <si>
    <r>
      <rPr>
        <sz val="10"/>
        <rFont val="FreeSans"/>
        <family val="2"/>
      </rPr>
      <t xml:space="preserve">پیچ خودرو   </t>
    </r>
    <r>
      <rPr>
        <sz val="10"/>
        <rFont val="Vazirmatn"/>
        <family val="0"/>
        <charset val="1"/>
      </rPr>
      <t xml:space="preserve">3cm</t>
    </r>
  </si>
  <si>
    <t xml:space="preserve">31262427</t>
  </si>
  <si>
    <r>
      <rPr>
        <sz val="10"/>
        <rFont val="FreeSans"/>
        <family val="2"/>
      </rPr>
      <t xml:space="preserve">پیچ خودرو واشر دار آچار خور  </t>
    </r>
    <r>
      <rPr>
        <sz val="10"/>
        <rFont val="Vazirmatn"/>
        <family val="0"/>
        <charset val="1"/>
      </rPr>
      <t xml:space="preserve">40 * 6</t>
    </r>
  </si>
  <si>
    <t xml:space="preserve">31262430</t>
  </si>
  <si>
    <r>
      <rPr>
        <sz val="10"/>
        <rFont val="FreeSans"/>
        <family val="2"/>
      </rPr>
      <t xml:space="preserve">پیچ مغزی فولادی   </t>
    </r>
    <r>
      <rPr>
        <sz val="10"/>
        <rFont val="Vazirmatn"/>
        <family val="0"/>
        <charset val="1"/>
      </rPr>
      <t xml:space="preserve">M24 * 20</t>
    </r>
  </si>
  <si>
    <t xml:space="preserve">31262431</t>
  </si>
  <si>
    <r>
      <rPr>
        <sz val="10"/>
        <rFont val="FreeSans"/>
        <family val="2"/>
      </rPr>
      <t xml:space="preserve">پیچ نوک مته ای   </t>
    </r>
    <r>
      <rPr>
        <sz val="10"/>
        <rFont val="Vazirmatn"/>
        <family val="0"/>
        <charset val="1"/>
      </rPr>
      <t xml:space="preserve">10cm</t>
    </r>
  </si>
  <si>
    <t xml:space="preserve">31262433</t>
  </si>
  <si>
    <t xml:space="preserve">پیچ فولی کش لوازم دکانتور</t>
  </si>
  <si>
    <t xml:space="preserve">31262434</t>
  </si>
  <si>
    <r>
      <rPr>
        <sz val="10"/>
        <rFont val="FreeSans"/>
        <family val="2"/>
      </rPr>
      <t xml:space="preserve">پیچ نوک مته ای   </t>
    </r>
    <r>
      <rPr>
        <sz val="10"/>
        <rFont val="Vazirmatn"/>
        <family val="0"/>
        <charset val="1"/>
      </rPr>
      <t xml:space="preserve">2/5cm</t>
    </r>
  </si>
  <si>
    <t xml:space="preserve">31262435</t>
  </si>
  <si>
    <r>
      <rPr>
        <sz val="10"/>
        <rFont val="FreeSans"/>
        <family val="2"/>
      </rPr>
      <t xml:space="preserve">پیچ استیل شش گوش نیم رزوه  </t>
    </r>
    <r>
      <rPr>
        <sz val="10"/>
        <rFont val="Vazirmatn"/>
        <family val="0"/>
        <charset val="1"/>
      </rPr>
      <t xml:space="preserve">8mm * 50cm</t>
    </r>
  </si>
  <si>
    <t xml:space="preserve">31262436</t>
  </si>
  <si>
    <r>
      <rPr>
        <sz val="10"/>
        <rFont val="FreeSans"/>
        <family val="2"/>
      </rPr>
      <t xml:space="preserve">پیچ آهنی خشکه   </t>
    </r>
    <r>
      <rPr>
        <sz val="10"/>
        <rFont val="Vazirmatn"/>
        <family val="0"/>
        <charset val="1"/>
      </rPr>
      <t xml:space="preserve">M27 * 130</t>
    </r>
  </si>
  <si>
    <t xml:space="preserve">31262437</t>
  </si>
  <si>
    <r>
      <rPr>
        <sz val="10"/>
        <rFont val="FreeSans"/>
        <family val="2"/>
      </rPr>
      <t xml:space="preserve">پیچ چشمی فولادی </t>
    </r>
    <r>
      <rPr>
        <sz val="10"/>
        <rFont val="Vazirmatn"/>
        <family val="0"/>
        <charset val="1"/>
      </rPr>
      <t xml:space="preserve">20</t>
    </r>
  </si>
  <si>
    <t xml:space="preserve">31262439</t>
  </si>
  <si>
    <r>
      <rPr>
        <sz val="10"/>
        <rFont val="FreeSans"/>
        <family val="2"/>
      </rPr>
      <t xml:space="preserve">پیچ فولادی نیم رزوه  </t>
    </r>
    <r>
      <rPr>
        <sz val="10"/>
        <rFont val="Vazirmatn"/>
        <family val="0"/>
        <charset val="1"/>
      </rPr>
      <t xml:space="preserve">12mm * 15cm</t>
    </r>
  </si>
  <si>
    <t xml:space="preserve">31262440</t>
  </si>
  <si>
    <r>
      <rPr>
        <sz val="10"/>
        <rFont val="FreeSans"/>
        <family val="2"/>
      </rPr>
      <t xml:space="preserve">پیچ استیل شش گوش تمام رزوه  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سانتی  </t>
    </r>
    <r>
      <rPr>
        <sz val="10"/>
        <rFont val="Vazirmatn"/>
        <family val="0"/>
        <charset val="1"/>
      </rPr>
      <t xml:space="preserve">16 MM</t>
    </r>
  </si>
  <si>
    <t xml:space="preserve">31262441</t>
  </si>
  <si>
    <r>
      <rPr>
        <sz val="10"/>
        <rFont val="FreeSans"/>
        <family val="2"/>
      </rPr>
      <t xml:space="preserve">پیچ استیل شش گوش تمام رزوه   </t>
    </r>
    <r>
      <rPr>
        <sz val="10"/>
        <rFont val="Vazirmatn"/>
        <family val="0"/>
        <charset val="1"/>
      </rPr>
      <t xml:space="preserve">15 </t>
    </r>
    <r>
      <rPr>
        <sz val="10"/>
        <rFont val="FreeSans"/>
        <family val="2"/>
      </rPr>
      <t xml:space="preserve">سانتی  </t>
    </r>
    <r>
      <rPr>
        <sz val="10"/>
        <rFont val="Vazirmatn"/>
        <family val="0"/>
        <charset val="1"/>
      </rPr>
      <t xml:space="preserve">16 MM</t>
    </r>
  </si>
  <si>
    <t xml:space="preserve">31262443</t>
  </si>
  <si>
    <r>
      <rPr>
        <sz val="10"/>
        <rFont val="FreeSans"/>
        <family val="2"/>
      </rPr>
      <t xml:space="preserve">پیچ خشکه واشر سر خود     </t>
    </r>
    <r>
      <rPr>
        <sz val="10"/>
        <rFont val="Vazirmatn"/>
        <family val="0"/>
        <charset val="1"/>
      </rPr>
      <t xml:space="preserve">14*4mm</t>
    </r>
  </si>
  <si>
    <t xml:space="preserve">31262444</t>
  </si>
  <si>
    <r>
      <rPr>
        <sz val="10"/>
        <rFont val="FreeSans"/>
        <family val="2"/>
      </rPr>
      <t xml:space="preserve">پیچ گالوانیزه بلند نمره </t>
    </r>
    <r>
      <rPr>
        <sz val="10"/>
        <rFont val="Vazirmatn"/>
        <family val="0"/>
        <charset val="1"/>
      </rPr>
      <t xml:space="preserve">8    8cm</t>
    </r>
  </si>
  <si>
    <t xml:space="preserve">31262445</t>
  </si>
  <si>
    <t xml:space="preserve">پیچ پین شفت لنگ چرخ دوخت</t>
  </si>
  <si>
    <t xml:space="preserve">31262446</t>
  </si>
  <si>
    <r>
      <rPr>
        <sz val="10"/>
        <rFont val="FreeSans"/>
        <family val="2"/>
      </rPr>
      <t xml:space="preserve">پیچ تلگرافی گالوانیزه  </t>
    </r>
    <r>
      <rPr>
        <sz val="10"/>
        <rFont val="Vazirmatn"/>
        <family val="0"/>
        <charset val="1"/>
      </rPr>
      <t xml:space="preserve">12</t>
    </r>
  </si>
  <si>
    <t xml:space="preserve">31262447</t>
  </si>
  <si>
    <r>
      <rPr>
        <sz val="10"/>
        <rFont val="FreeSans"/>
        <family val="2"/>
      </rPr>
      <t xml:space="preserve">پیچ استیل آلنی سر خزینه ای   </t>
    </r>
    <r>
      <rPr>
        <sz val="10"/>
        <rFont val="Vazirmatn"/>
        <family val="0"/>
        <charset val="1"/>
      </rPr>
      <t xml:space="preserve">5mm*5cm</t>
    </r>
  </si>
  <si>
    <t xml:space="preserve">31262448</t>
  </si>
  <si>
    <r>
      <rPr>
        <sz val="10"/>
        <rFont val="FreeSans"/>
        <family val="2"/>
      </rPr>
      <t xml:space="preserve">پیچ سر مته ای کونیک دار  </t>
    </r>
    <r>
      <rPr>
        <sz val="10"/>
        <rFont val="Vazirmatn"/>
        <family val="0"/>
        <charset val="1"/>
      </rPr>
      <t xml:space="preserve">70mm * 7</t>
    </r>
  </si>
  <si>
    <t xml:space="preserve">31262449</t>
  </si>
  <si>
    <r>
      <rPr>
        <sz val="10"/>
        <rFont val="FreeSans"/>
        <family val="2"/>
      </rPr>
      <t xml:space="preserve">پیچ استیل تمام رزوه  </t>
    </r>
    <r>
      <rPr>
        <sz val="10"/>
        <rFont val="Vazirmatn"/>
        <family val="0"/>
        <charset val="1"/>
      </rPr>
      <t xml:space="preserve">M22*70mm</t>
    </r>
  </si>
  <si>
    <t xml:space="preserve">31262450</t>
  </si>
  <si>
    <r>
      <rPr>
        <sz val="10"/>
        <rFont val="FreeSans"/>
        <family val="2"/>
      </rPr>
      <t xml:space="preserve">پیچ و مهره و واشر آهنی  نمره </t>
    </r>
    <r>
      <rPr>
        <sz val="10"/>
        <rFont val="Vazirmatn"/>
        <family val="0"/>
        <charset val="1"/>
      </rPr>
      <t xml:space="preserve">10</t>
    </r>
  </si>
  <si>
    <t xml:space="preserve">31262451</t>
  </si>
  <si>
    <r>
      <rPr>
        <sz val="10"/>
        <rFont val="FreeSans"/>
        <family val="2"/>
      </rPr>
      <t xml:space="preserve">پیچ  برنجی لنت سپراتور  </t>
    </r>
    <r>
      <rPr>
        <sz val="10"/>
        <rFont val="Vazirmatn"/>
        <family val="0"/>
        <charset val="1"/>
      </rPr>
      <t xml:space="preserve">8341</t>
    </r>
  </si>
  <si>
    <t xml:space="preserve">31262453</t>
  </si>
  <si>
    <r>
      <rPr>
        <sz val="10"/>
        <rFont val="FreeSans"/>
        <family val="2"/>
      </rPr>
      <t xml:space="preserve">پیچ و مهره مخصوص کاسه الواتور  </t>
    </r>
    <r>
      <rPr>
        <sz val="10"/>
        <rFont val="Vazirmatn"/>
        <family val="0"/>
        <charset val="1"/>
      </rPr>
      <t xml:space="preserve">8mm</t>
    </r>
  </si>
  <si>
    <t xml:space="preserve">31262456</t>
  </si>
  <si>
    <r>
      <rPr>
        <sz val="10"/>
        <rFont val="FreeSans"/>
        <family val="2"/>
      </rPr>
      <t xml:space="preserve">پیچ نوک مته ای   </t>
    </r>
    <r>
      <rPr>
        <sz val="10"/>
        <rFont val="Vazirmatn"/>
        <family val="0"/>
        <charset val="1"/>
      </rPr>
      <t xml:space="preserve">5Cm</t>
    </r>
  </si>
  <si>
    <t xml:space="preserve">31262457</t>
  </si>
  <si>
    <r>
      <rPr>
        <sz val="10"/>
        <rFont val="FreeSans"/>
        <family val="2"/>
      </rPr>
      <t xml:space="preserve">پیچ استیل آلن خورتمام رزوه </t>
    </r>
    <r>
      <rPr>
        <sz val="10"/>
        <rFont val="Vazirmatn"/>
        <family val="0"/>
        <charset val="1"/>
      </rPr>
      <t xml:space="preserve">304        m 8 * 2 CM</t>
    </r>
  </si>
  <si>
    <t xml:space="preserve">31262459</t>
  </si>
  <si>
    <r>
      <rPr>
        <sz val="10"/>
        <rFont val="FreeSans"/>
        <family val="2"/>
      </rPr>
      <t xml:space="preserve">پیچ نوک مته ای گالوانیزه نمره </t>
    </r>
    <r>
      <rPr>
        <sz val="10"/>
        <rFont val="Vazirmatn"/>
        <family val="0"/>
        <charset val="1"/>
      </rPr>
      <t xml:space="preserve">5    3cm</t>
    </r>
  </si>
  <si>
    <t xml:space="preserve">31262460</t>
  </si>
  <si>
    <r>
      <rPr>
        <sz val="10"/>
        <rFont val="FreeSans"/>
        <family val="2"/>
      </rPr>
      <t xml:space="preserve">پیچ نوک مته ای سر آچار خور  نمره </t>
    </r>
    <r>
      <rPr>
        <sz val="10"/>
        <rFont val="Vazirmatn"/>
        <family val="0"/>
        <charset val="1"/>
      </rPr>
      <t xml:space="preserve">10  *  5cm</t>
    </r>
  </si>
  <si>
    <t xml:space="preserve">31262466</t>
  </si>
  <si>
    <r>
      <rPr>
        <sz val="10"/>
        <rFont val="FreeSans"/>
        <family val="2"/>
      </rPr>
      <t xml:space="preserve">پیچ چشمی فولادی </t>
    </r>
    <r>
      <rPr>
        <sz val="10"/>
        <rFont val="Vazirmatn"/>
        <family val="0"/>
        <charset val="1"/>
      </rPr>
      <t xml:space="preserve">20Cm*20</t>
    </r>
  </si>
  <si>
    <t xml:space="preserve">31262469</t>
  </si>
  <si>
    <r>
      <rPr>
        <sz val="10"/>
        <rFont val="FreeSans"/>
        <family val="2"/>
      </rPr>
      <t xml:space="preserve">پیچ آلنی آهنی    </t>
    </r>
    <r>
      <rPr>
        <sz val="10"/>
        <rFont val="Vazirmatn"/>
        <family val="0"/>
        <charset val="1"/>
      </rPr>
      <t xml:space="preserve">20 * 8</t>
    </r>
  </si>
  <si>
    <t xml:space="preserve">31262471</t>
  </si>
  <si>
    <r>
      <rPr>
        <sz val="10"/>
        <rFont val="FreeSans"/>
        <family val="2"/>
      </rPr>
      <t xml:space="preserve">پیچ خودرو         </t>
    </r>
    <r>
      <rPr>
        <sz val="10"/>
        <rFont val="Vazirmatn"/>
        <family val="0"/>
        <charset val="1"/>
      </rPr>
      <t xml:space="preserve">6</t>
    </r>
  </si>
  <si>
    <t xml:space="preserve">31262473</t>
  </si>
  <si>
    <r>
      <rPr>
        <sz val="10"/>
        <rFont val="FreeSans"/>
        <family val="2"/>
      </rPr>
      <t xml:space="preserve">پیچ رولپلاک  </t>
    </r>
    <r>
      <rPr>
        <sz val="10"/>
        <rFont val="Vazirmatn"/>
        <family val="0"/>
        <charset val="1"/>
      </rPr>
      <t xml:space="preserve">3Cm</t>
    </r>
  </si>
  <si>
    <t xml:space="preserve">31262474</t>
  </si>
  <si>
    <t xml:space="preserve">پیچ چرخ عقب لیفتراک سپاهان</t>
  </si>
  <si>
    <t xml:space="preserve">31262476</t>
  </si>
  <si>
    <r>
      <rPr>
        <sz val="10"/>
        <rFont val="FreeSans"/>
        <family val="2"/>
      </rPr>
      <t xml:space="preserve">پیچ چرخ جلو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بزرگ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لیفتراک سپاهان</t>
    </r>
  </si>
  <si>
    <t xml:space="preserve">31262477</t>
  </si>
  <si>
    <r>
      <rPr>
        <sz val="10"/>
        <rFont val="FreeSans"/>
        <family val="2"/>
      </rPr>
      <t xml:space="preserve">پیچ پیستون پمپ کارواش اینتر </t>
    </r>
    <r>
      <rPr>
        <sz val="10"/>
        <rFont val="Vazirmatn"/>
        <family val="0"/>
        <charset val="1"/>
      </rPr>
      <t xml:space="preserve">200bar</t>
    </r>
  </si>
  <si>
    <t xml:space="preserve">31262490</t>
  </si>
  <si>
    <r>
      <rPr>
        <sz val="10"/>
        <rFont val="FreeSans"/>
        <family val="2"/>
      </rPr>
      <t xml:space="preserve">پیچ  آهنی گالوانیزه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سانتی     </t>
    </r>
    <r>
      <rPr>
        <sz val="10"/>
        <rFont val="Vazirmatn"/>
        <family val="0"/>
        <charset val="1"/>
      </rPr>
      <t xml:space="preserve">30</t>
    </r>
  </si>
  <si>
    <t xml:space="preserve">31262525</t>
  </si>
  <si>
    <r>
      <rPr>
        <sz val="10"/>
        <rFont val="FreeSans"/>
        <family val="2"/>
      </rPr>
      <t xml:space="preserve">پیچ آهنی </t>
    </r>
    <r>
      <rPr>
        <sz val="10"/>
        <rFont val="Vazirmatn"/>
        <family val="0"/>
        <charset val="1"/>
      </rPr>
      <t xml:space="preserve">2  </t>
    </r>
    <r>
      <rPr>
        <sz val="10"/>
        <rFont val="FreeSans"/>
        <family val="2"/>
      </rPr>
      <t xml:space="preserve">سانتی  </t>
    </r>
    <r>
      <rPr>
        <sz val="10"/>
        <rFont val="Vazirmatn"/>
        <family val="0"/>
        <charset val="1"/>
      </rPr>
      <t xml:space="preserve">MM 8</t>
    </r>
  </si>
  <si>
    <t xml:space="preserve">31262526</t>
  </si>
  <si>
    <r>
      <rPr>
        <sz val="10"/>
        <rFont val="FreeSans"/>
        <family val="2"/>
      </rPr>
      <t xml:space="preserve">پیچ فولادی رابط کوپلینگ  </t>
    </r>
    <r>
      <rPr>
        <sz val="10"/>
        <rFont val="Vazirmatn"/>
        <family val="0"/>
        <charset val="1"/>
      </rPr>
      <t xml:space="preserve">2  * 100</t>
    </r>
  </si>
  <si>
    <t xml:space="preserve">31262541</t>
  </si>
  <si>
    <r>
      <rPr>
        <sz val="10"/>
        <rFont val="FreeSans"/>
        <family val="2"/>
      </rPr>
      <t xml:space="preserve">پیچ تفلونی دستگیره سپراتور   </t>
    </r>
    <r>
      <rPr>
        <sz val="10"/>
        <rFont val="Vazirmatn"/>
        <family val="0"/>
        <charset val="1"/>
      </rPr>
      <t xml:space="preserve">69630</t>
    </r>
  </si>
  <si>
    <t xml:space="preserve">31262544</t>
  </si>
  <si>
    <r>
      <rPr>
        <sz val="10"/>
        <rFont val="FreeSans"/>
        <family val="2"/>
      </rPr>
      <t xml:space="preserve">پیچ تفلونی  </t>
    </r>
    <r>
      <rPr>
        <sz val="10"/>
        <rFont val="Vazirmatn"/>
        <family val="0"/>
        <charset val="1"/>
      </rPr>
      <t xml:space="preserve">69mm</t>
    </r>
  </si>
  <si>
    <t xml:space="preserve">31262551</t>
  </si>
  <si>
    <r>
      <rPr>
        <sz val="10"/>
        <rFont val="FreeSans"/>
        <family val="2"/>
      </rPr>
      <t xml:space="preserve">پیچ رابط چپ گرد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راست گرد   </t>
    </r>
    <r>
      <rPr>
        <sz val="10"/>
        <rFont val="Vazirmatn"/>
        <family val="0"/>
        <charset val="1"/>
      </rPr>
      <t xml:space="preserve">10</t>
    </r>
  </si>
  <si>
    <t xml:space="preserve">31262553</t>
  </si>
  <si>
    <r>
      <rPr>
        <sz val="10"/>
        <rFont val="FreeSans"/>
        <family val="2"/>
      </rPr>
      <t xml:space="preserve">پیچ گالوانیزه چهارسو           </t>
    </r>
    <r>
      <rPr>
        <sz val="10"/>
        <rFont val="Vazirmatn"/>
        <family val="0"/>
        <charset val="1"/>
      </rPr>
      <t xml:space="preserve">8       MM</t>
    </r>
  </si>
  <si>
    <t xml:space="preserve">31262557</t>
  </si>
  <si>
    <r>
      <rPr>
        <sz val="10"/>
        <rFont val="FreeSans"/>
        <family val="2"/>
      </rPr>
      <t xml:space="preserve">پیچ گالوانیزه    </t>
    </r>
    <r>
      <rPr>
        <sz val="10"/>
        <rFont val="Vazirmatn"/>
        <family val="0"/>
        <charset val="1"/>
      </rPr>
      <t xml:space="preserve">80  *10</t>
    </r>
  </si>
  <si>
    <t xml:space="preserve">31262560</t>
  </si>
  <si>
    <r>
      <rPr>
        <sz val="10"/>
        <rFont val="FreeSans"/>
        <family val="2"/>
      </rPr>
      <t xml:space="preserve">پیچ گالوانیزه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سانتی        </t>
    </r>
    <r>
      <rPr>
        <sz val="10"/>
        <rFont val="Vazirmatn"/>
        <family val="0"/>
        <charset val="1"/>
      </rPr>
      <t xml:space="preserve">14      MM</t>
    </r>
  </si>
  <si>
    <t xml:space="preserve">31262561</t>
  </si>
  <si>
    <r>
      <rPr>
        <sz val="10"/>
        <rFont val="FreeSans"/>
        <family val="2"/>
      </rPr>
      <t xml:space="preserve">پیچ آهنی آچار خور تمام رزوه      </t>
    </r>
    <r>
      <rPr>
        <sz val="10"/>
        <rFont val="Vazirmatn"/>
        <family val="0"/>
        <charset val="1"/>
      </rPr>
      <t xml:space="preserve">10</t>
    </r>
    <r>
      <rPr>
        <sz val="10"/>
        <rFont val="FreeSans"/>
        <family val="2"/>
      </rPr>
      <t xml:space="preserve">سانتی        </t>
    </r>
    <r>
      <rPr>
        <sz val="10"/>
        <rFont val="Vazirmatn"/>
        <family val="0"/>
        <charset val="1"/>
      </rPr>
      <t xml:space="preserve">16</t>
    </r>
  </si>
  <si>
    <t xml:space="preserve">31262565</t>
  </si>
  <si>
    <r>
      <rPr>
        <sz val="10"/>
        <rFont val="FreeSans"/>
        <family val="2"/>
      </rPr>
      <t xml:space="preserve">پیچ آلنی اینچی </t>
    </r>
    <r>
      <rPr>
        <sz val="10"/>
        <rFont val="Vazirmatn"/>
        <family val="0"/>
        <charset val="1"/>
      </rPr>
      <t xml:space="preserve">" 1/2  (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: 12 )</t>
    </r>
  </si>
  <si>
    <t xml:space="preserve">31262567</t>
  </si>
  <si>
    <r>
      <rPr>
        <sz val="10"/>
        <rFont val="FreeSans"/>
        <family val="2"/>
      </rPr>
      <t xml:space="preserve">پیچ آهنی  </t>
    </r>
    <r>
      <rPr>
        <sz val="10"/>
        <rFont val="Vazirmatn"/>
        <family val="0"/>
        <charset val="1"/>
      </rPr>
      <t xml:space="preserve">15</t>
    </r>
    <r>
      <rPr>
        <sz val="10"/>
        <rFont val="FreeSans"/>
        <family val="2"/>
      </rPr>
      <t xml:space="preserve">سانتی         </t>
    </r>
    <r>
      <rPr>
        <sz val="10"/>
        <rFont val="Vazirmatn"/>
        <family val="0"/>
        <charset val="1"/>
      </rPr>
      <t xml:space="preserve">16  mm</t>
    </r>
  </si>
  <si>
    <t xml:space="preserve">31262568</t>
  </si>
  <si>
    <r>
      <rPr>
        <sz val="10"/>
        <rFont val="FreeSans"/>
        <family val="2"/>
      </rPr>
      <t xml:space="preserve">پیچ روغن دکانتور  </t>
    </r>
    <r>
      <rPr>
        <sz val="10"/>
        <rFont val="Vazirmatn"/>
        <family val="0"/>
        <charset val="1"/>
      </rPr>
      <t xml:space="preserve">030 - 8920 - 0019</t>
    </r>
  </si>
  <si>
    <t xml:space="preserve">31262570</t>
  </si>
  <si>
    <r>
      <rPr>
        <sz val="10"/>
        <rFont val="FreeSans"/>
        <family val="2"/>
      </rPr>
      <t xml:space="preserve">پیچ خشکه    </t>
    </r>
    <r>
      <rPr>
        <sz val="10"/>
        <rFont val="Vazirmatn"/>
        <family val="0"/>
        <charset val="1"/>
      </rPr>
      <t xml:space="preserve">m24    *150mm</t>
    </r>
  </si>
  <si>
    <t xml:space="preserve">31262572</t>
  </si>
  <si>
    <r>
      <rPr>
        <sz val="10"/>
        <rFont val="FreeSans"/>
        <family val="2"/>
      </rPr>
      <t xml:space="preserve">پیچ  دکانتور  </t>
    </r>
    <r>
      <rPr>
        <sz val="10"/>
        <rFont val="Vazirmatn"/>
        <family val="0"/>
        <charset val="1"/>
      </rPr>
      <t xml:space="preserve">400 - 6131 - 0019</t>
    </r>
  </si>
  <si>
    <t xml:space="preserve">31262573</t>
  </si>
  <si>
    <r>
      <rPr>
        <sz val="10"/>
        <rFont val="FreeSans"/>
        <family val="2"/>
      </rPr>
      <t xml:space="preserve">پیچ  دکانتور  </t>
    </r>
    <r>
      <rPr>
        <sz val="10"/>
        <rFont val="Vazirmatn"/>
        <family val="0"/>
        <charset val="1"/>
      </rPr>
      <t xml:space="preserve">400 - 6209 - 0019</t>
    </r>
  </si>
  <si>
    <t xml:space="preserve">31262574</t>
  </si>
  <si>
    <r>
      <rPr>
        <sz val="10"/>
        <rFont val="FreeSans"/>
        <family val="2"/>
      </rPr>
      <t xml:space="preserve">پیچ  دکانتور  </t>
    </r>
    <r>
      <rPr>
        <sz val="10"/>
        <rFont val="Vazirmatn"/>
        <family val="0"/>
        <charset val="1"/>
      </rPr>
      <t xml:space="preserve">400 - 6106 - 0019</t>
    </r>
  </si>
  <si>
    <t xml:space="preserve">31262575</t>
  </si>
  <si>
    <r>
      <rPr>
        <sz val="10"/>
        <rFont val="FreeSans"/>
        <family val="2"/>
      </rPr>
      <t xml:space="preserve">پیچ  دکانتور  </t>
    </r>
    <r>
      <rPr>
        <sz val="10"/>
        <rFont val="Vazirmatn"/>
        <family val="0"/>
        <charset val="1"/>
      </rPr>
      <t xml:space="preserve">400 - 6497 - 0019</t>
    </r>
  </si>
  <si>
    <t xml:space="preserve">31262576</t>
  </si>
  <si>
    <r>
      <rPr>
        <sz val="10"/>
        <rFont val="FreeSans"/>
        <family val="2"/>
      </rPr>
      <t xml:space="preserve">پیچ  دکانتور  </t>
    </r>
    <r>
      <rPr>
        <sz val="10"/>
        <rFont val="Vazirmatn"/>
        <family val="0"/>
        <charset val="1"/>
      </rPr>
      <t xml:space="preserve">400 - 6937 - 0019</t>
    </r>
  </si>
  <si>
    <t xml:space="preserve">31262577</t>
  </si>
  <si>
    <r>
      <rPr>
        <sz val="10"/>
        <rFont val="FreeSans"/>
        <family val="2"/>
      </rPr>
      <t xml:space="preserve">پیچ  دکانتور  </t>
    </r>
    <r>
      <rPr>
        <sz val="10"/>
        <rFont val="Vazirmatn"/>
        <family val="0"/>
        <charset val="1"/>
      </rPr>
      <t xml:space="preserve">050 - 1161 - 8416</t>
    </r>
  </si>
  <si>
    <t xml:space="preserve">31262578</t>
  </si>
  <si>
    <r>
      <rPr>
        <sz val="10"/>
        <rFont val="FreeSans"/>
        <family val="2"/>
      </rPr>
      <t xml:space="preserve">پیچ تنظیم دکانتور  </t>
    </r>
    <r>
      <rPr>
        <sz val="10"/>
        <rFont val="Vazirmatn"/>
        <family val="0"/>
        <charset val="1"/>
      </rPr>
      <t xml:space="preserve">000 - 1161 - 3287</t>
    </r>
  </si>
  <si>
    <t xml:space="preserve">31262581</t>
  </si>
  <si>
    <r>
      <rPr>
        <sz val="10"/>
        <rFont val="FreeSans"/>
        <family val="2"/>
      </rPr>
      <t xml:space="preserve">پیچ و رول پلاک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سو    </t>
    </r>
    <r>
      <rPr>
        <sz val="10"/>
        <rFont val="Vazirmatn"/>
        <family val="0"/>
        <charset val="1"/>
      </rPr>
      <t xml:space="preserve">4Cm</t>
    </r>
  </si>
  <si>
    <t xml:space="preserve">31262616</t>
  </si>
  <si>
    <r>
      <rPr>
        <sz val="10"/>
        <rFont val="FreeSans"/>
        <family val="2"/>
      </rPr>
      <t xml:space="preserve">پیچ  فولادی                      </t>
    </r>
    <r>
      <rPr>
        <sz val="10"/>
        <rFont val="Vazirmatn"/>
        <family val="0"/>
        <charset val="1"/>
      </rPr>
      <t xml:space="preserve">16</t>
    </r>
  </si>
  <si>
    <t xml:space="preserve">31262617</t>
  </si>
  <si>
    <r>
      <rPr>
        <sz val="10"/>
        <rFont val="FreeSans"/>
        <family val="2"/>
      </rPr>
      <t xml:space="preserve">پیچ خشکه نیم رزوه شش گوش        </t>
    </r>
    <r>
      <rPr>
        <sz val="10"/>
        <rFont val="Vazirmatn"/>
        <family val="0"/>
        <charset val="1"/>
      </rPr>
      <t xml:space="preserve">m12 *100mm</t>
    </r>
  </si>
  <si>
    <t xml:space="preserve">31262618</t>
  </si>
  <si>
    <t xml:space="preserve">پیچ پنل</t>
  </si>
  <si>
    <t xml:space="preserve">31262619</t>
  </si>
  <si>
    <t xml:space="preserve">پیچ سازه سرمته</t>
  </si>
  <si>
    <t xml:space="preserve">31262622</t>
  </si>
  <si>
    <r>
      <rPr>
        <sz val="10"/>
        <rFont val="FreeSans"/>
        <family val="2"/>
      </rPr>
      <t xml:space="preserve">پیچ </t>
    </r>
    <r>
      <rPr>
        <sz val="10"/>
        <rFont val="Vazirmatn"/>
        <family val="0"/>
        <charset val="1"/>
      </rPr>
      <t xml:space="preserve">bolt)       NVB-30)</t>
    </r>
  </si>
  <si>
    <t xml:space="preserve">31262623</t>
  </si>
  <si>
    <r>
      <rPr>
        <sz val="10"/>
        <rFont val="FreeSans"/>
        <family val="2"/>
      </rPr>
      <t xml:space="preserve">پیچ آهنی آلنی نیم رزوه خشکه  </t>
    </r>
    <r>
      <rPr>
        <sz val="10"/>
        <rFont val="Vazirmatn"/>
        <family val="0"/>
        <charset val="1"/>
      </rPr>
      <t xml:space="preserve">M6*80mm</t>
    </r>
  </si>
  <si>
    <t xml:space="preserve">31262624</t>
  </si>
  <si>
    <r>
      <rPr>
        <sz val="10"/>
        <rFont val="FreeSans"/>
        <family val="2"/>
      </rPr>
      <t xml:space="preserve">پیچ آهنی آلنی نیم رزوه خشکه  </t>
    </r>
    <r>
      <rPr>
        <sz val="10"/>
        <rFont val="Vazirmatn"/>
        <family val="0"/>
        <charset val="1"/>
      </rPr>
      <t xml:space="preserve">M5*100mm</t>
    </r>
  </si>
  <si>
    <t xml:space="preserve">31262626</t>
  </si>
  <si>
    <r>
      <rPr>
        <sz val="10"/>
        <rFont val="FreeSans"/>
        <family val="2"/>
      </rPr>
      <t xml:space="preserve">پیچ  </t>
    </r>
    <r>
      <rPr>
        <sz val="10"/>
        <rFont val="Vazirmatn"/>
        <family val="0"/>
        <charset val="1"/>
      </rPr>
      <t xml:space="preserve">80 * 18    ( ABS )</t>
    </r>
  </si>
  <si>
    <t xml:space="preserve">31262627</t>
  </si>
  <si>
    <r>
      <rPr>
        <sz val="10"/>
        <rFont val="FreeSans"/>
        <family val="2"/>
      </rPr>
      <t xml:space="preserve">پیچ آچار خور گالوانیزه نمره </t>
    </r>
    <r>
      <rPr>
        <sz val="10"/>
        <rFont val="Vazirmatn"/>
        <family val="0"/>
        <charset val="1"/>
      </rPr>
      <t xml:space="preserve">8   1/5Cm</t>
    </r>
  </si>
  <si>
    <t xml:space="preserve">31262628</t>
  </si>
  <si>
    <r>
      <rPr>
        <sz val="10"/>
        <rFont val="FreeSans"/>
        <family val="2"/>
      </rPr>
      <t xml:space="preserve">پیچ آلنی خشکه   </t>
    </r>
    <r>
      <rPr>
        <sz val="10"/>
        <rFont val="Vazirmatn"/>
        <family val="0"/>
        <charset val="1"/>
      </rPr>
      <t xml:space="preserve">50*12</t>
    </r>
  </si>
  <si>
    <t xml:space="preserve">31262629</t>
  </si>
  <si>
    <r>
      <rPr>
        <sz val="10"/>
        <rFont val="FreeSans"/>
        <family val="2"/>
      </rPr>
      <t xml:space="preserve">پیچ گالوانیزه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سانتی  </t>
    </r>
    <r>
      <rPr>
        <sz val="10"/>
        <rFont val="Vazirmatn"/>
        <family val="0"/>
        <charset val="1"/>
      </rPr>
      <t xml:space="preserve">16  MM</t>
    </r>
  </si>
  <si>
    <t xml:space="preserve">31262630</t>
  </si>
  <si>
    <r>
      <rPr>
        <sz val="10"/>
        <rFont val="FreeSans"/>
        <family val="2"/>
      </rPr>
      <t xml:space="preserve">پیچ گالوانیزه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سانتی  </t>
    </r>
    <r>
      <rPr>
        <sz val="10"/>
        <rFont val="Vazirmatn"/>
        <family val="0"/>
        <charset val="1"/>
      </rPr>
      <t xml:space="preserve">16  MM</t>
    </r>
  </si>
  <si>
    <t xml:space="preserve">31262631</t>
  </si>
  <si>
    <t xml:space="preserve">پیچ کاور اسبک</t>
  </si>
  <si>
    <t xml:space="preserve">31262632</t>
  </si>
  <si>
    <r>
      <rPr>
        <sz val="10"/>
        <rFont val="FreeSans"/>
        <family val="2"/>
      </rPr>
      <t xml:space="preserve">پیچ منبع اگزوز  </t>
    </r>
    <r>
      <rPr>
        <sz val="10"/>
        <rFont val="Vazirmatn"/>
        <family val="0"/>
        <charset val="1"/>
      </rPr>
      <t xml:space="preserve">9430219</t>
    </r>
  </si>
  <si>
    <t xml:space="preserve">31262633</t>
  </si>
  <si>
    <r>
      <rPr>
        <sz val="10"/>
        <rFont val="FreeSans"/>
        <family val="2"/>
      </rPr>
      <t xml:space="preserve">پیچ  </t>
    </r>
    <r>
      <rPr>
        <sz val="10"/>
        <rFont val="Vazirmatn"/>
        <family val="0"/>
        <charset val="1"/>
      </rPr>
      <t xml:space="preserve">6CM 2915</t>
    </r>
  </si>
  <si>
    <t xml:space="preserve">31262634</t>
  </si>
  <si>
    <r>
      <rPr>
        <sz val="10"/>
        <rFont val="FreeSans"/>
        <family val="2"/>
      </rPr>
      <t xml:space="preserve">پیچ خشکه سر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گوش نیم رزوه  </t>
    </r>
    <r>
      <rPr>
        <sz val="10"/>
        <rFont val="Vazirmatn"/>
        <family val="0"/>
        <charset val="1"/>
      </rPr>
      <t xml:space="preserve">M8*80  10/9</t>
    </r>
  </si>
  <si>
    <t xml:space="preserve">31262635</t>
  </si>
  <si>
    <t xml:space="preserve">پیچ نگهدارنده اینسرت</t>
  </si>
  <si>
    <t xml:space="preserve">31262637</t>
  </si>
  <si>
    <r>
      <rPr>
        <sz val="10"/>
        <rFont val="FreeSans"/>
        <family val="2"/>
      </rPr>
      <t xml:space="preserve">پیچ آهنی آلنی نیم رزوه  </t>
    </r>
    <r>
      <rPr>
        <sz val="10"/>
        <rFont val="Vazirmatn"/>
        <family val="0"/>
        <charset val="1"/>
      </rPr>
      <t xml:space="preserve">M5*30</t>
    </r>
  </si>
  <si>
    <t xml:space="preserve">31262638</t>
  </si>
  <si>
    <r>
      <rPr>
        <sz val="10"/>
        <rFont val="FreeSans"/>
        <family val="2"/>
      </rPr>
      <t xml:space="preserve">پیچ خشکه نیم رزوه </t>
    </r>
    <r>
      <rPr>
        <sz val="10"/>
        <rFont val="Vazirmatn"/>
        <family val="0"/>
        <charset val="1"/>
      </rPr>
      <t xml:space="preserve">( M 20 * 22 Cm )</t>
    </r>
  </si>
  <si>
    <t xml:space="preserve">31262639</t>
  </si>
  <si>
    <r>
      <rPr>
        <sz val="10"/>
        <rFont val="FreeSans"/>
        <family val="2"/>
      </rPr>
      <t xml:space="preserve">پیچ نوک مته ای گالوانیزه </t>
    </r>
    <r>
      <rPr>
        <sz val="10"/>
        <rFont val="Vazirmatn"/>
        <family val="0"/>
        <charset val="1"/>
      </rPr>
      <t xml:space="preserve">12/5Cm</t>
    </r>
  </si>
  <si>
    <t xml:space="preserve">31262640</t>
  </si>
  <si>
    <t xml:space="preserve">پیچ پایه قلاب ماکو</t>
  </si>
  <si>
    <t xml:space="preserve">31262641</t>
  </si>
  <si>
    <t xml:space="preserve">پیچ مجموعه راهنمای نخ</t>
  </si>
  <si>
    <t xml:space="preserve">31262642</t>
  </si>
  <si>
    <r>
      <rPr>
        <sz val="10"/>
        <rFont val="FreeSans"/>
        <family val="2"/>
      </rPr>
      <t xml:space="preserve">پیچ کمک محور شاهنگی </t>
    </r>
    <r>
      <rPr>
        <sz val="10"/>
        <rFont val="Vazirmatn"/>
        <family val="0"/>
        <charset val="1"/>
      </rPr>
      <t xml:space="preserve">130Cm*1/5</t>
    </r>
  </si>
  <si>
    <t xml:space="preserve">31262643</t>
  </si>
  <si>
    <r>
      <rPr>
        <sz val="10"/>
        <rFont val="FreeSans"/>
        <family val="2"/>
      </rPr>
      <t xml:space="preserve">پیچ کمک محور شاهنگی </t>
    </r>
    <r>
      <rPr>
        <sz val="10"/>
        <rFont val="Vazirmatn"/>
        <family val="0"/>
        <charset val="1"/>
      </rPr>
      <t xml:space="preserve">170*1/5*20</t>
    </r>
  </si>
  <si>
    <t xml:space="preserve">31262644</t>
  </si>
  <si>
    <r>
      <rPr>
        <sz val="10"/>
        <rFont val="FreeSans"/>
        <family val="2"/>
      </rPr>
      <t xml:space="preserve">پیچ چشمی فولادی </t>
    </r>
    <r>
      <rPr>
        <sz val="10"/>
        <rFont val="Vazirmatn"/>
        <family val="0"/>
        <charset val="1"/>
      </rPr>
      <t xml:space="preserve">18</t>
    </r>
  </si>
  <si>
    <t xml:space="preserve">31262646</t>
  </si>
  <si>
    <r>
      <rPr>
        <sz val="10"/>
        <rFont val="FreeSans"/>
        <family val="2"/>
      </rPr>
      <t xml:space="preserve">پیچ آهنی آلنی سر خزینه ای  </t>
    </r>
    <r>
      <rPr>
        <sz val="10"/>
        <rFont val="Vazirmatn"/>
        <family val="0"/>
        <charset val="1"/>
      </rPr>
      <t xml:space="preserve">70 * 12</t>
    </r>
  </si>
  <si>
    <t xml:space="preserve">31262647</t>
  </si>
  <si>
    <r>
      <rPr>
        <sz val="10"/>
        <rFont val="FreeSans"/>
        <family val="2"/>
      </rPr>
      <t xml:space="preserve">پیچ فولادی نیم رزوه  </t>
    </r>
    <r>
      <rPr>
        <sz val="10"/>
        <rFont val="Vazirmatn"/>
        <family val="0"/>
        <charset val="1"/>
      </rPr>
      <t xml:space="preserve">M12*120</t>
    </r>
  </si>
  <si>
    <t xml:space="preserve">31262648</t>
  </si>
  <si>
    <r>
      <rPr>
        <sz val="10"/>
        <rFont val="FreeSans"/>
        <family val="2"/>
      </rPr>
      <t xml:space="preserve">پیچ شاتون کمپرسور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دیسکاس کوپلند</t>
    </r>
  </si>
  <si>
    <t xml:space="preserve">31262649</t>
  </si>
  <si>
    <r>
      <rPr>
        <sz val="10"/>
        <rFont val="FreeSans"/>
        <family val="2"/>
      </rPr>
      <t xml:space="preserve">پیچ هولدر  </t>
    </r>
    <r>
      <rPr>
        <sz val="10"/>
        <rFont val="Vazirmatn"/>
        <family val="0"/>
        <charset val="1"/>
      </rPr>
      <t xml:space="preserve">TH 6134 A m6</t>
    </r>
  </si>
  <si>
    <t xml:space="preserve">31262650</t>
  </si>
  <si>
    <r>
      <rPr>
        <sz val="10"/>
        <rFont val="FreeSans"/>
        <family val="2"/>
      </rPr>
      <t xml:space="preserve">پیچ آهنی آلنی تمام رزوه  </t>
    </r>
    <r>
      <rPr>
        <sz val="10"/>
        <rFont val="Vazirmatn"/>
        <family val="0"/>
        <charset val="1"/>
      </rPr>
      <t xml:space="preserve">100 * 14</t>
    </r>
  </si>
  <si>
    <t xml:space="preserve">31262651</t>
  </si>
  <si>
    <r>
      <rPr>
        <sz val="10"/>
        <rFont val="FreeSans"/>
        <family val="2"/>
      </rPr>
      <t xml:space="preserve">پیچ فولادی آلنی سرخزینه  </t>
    </r>
    <r>
      <rPr>
        <sz val="10"/>
        <rFont val="Vazirmatn"/>
        <family val="0"/>
        <charset val="1"/>
      </rPr>
      <t xml:space="preserve">M16*40</t>
    </r>
  </si>
  <si>
    <t xml:space="preserve">31262652</t>
  </si>
  <si>
    <r>
      <rPr>
        <sz val="10"/>
        <rFont val="FreeSans"/>
        <family val="2"/>
      </rPr>
      <t xml:space="preserve">پیچ آهنی آلنی نیم رزوه   </t>
    </r>
    <r>
      <rPr>
        <sz val="10"/>
        <rFont val="Vazirmatn"/>
        <family val="0"/>
        <charset val="1"/>
      </rPr>
      <t xml:space="preserve">M8*130mm</t>
    </r>
  </si>
  <si>
    <t xml:space="preserve">31262654</t>
  </si>
  <si>
    <r>
      <rPr>
        <sz val="10"/>
        <rFont val="FreeSans"/>
        <family val="2"/>
      </rPr>
      <t xml:space="preserve">پیچ نوک مته ای واشر دار   </t>
    </r>
    <r>
      <rPr>
        <sz val="10"/>
        <rFont val="Vazirmatn"/>
        <family val="0"/>
        <charset val="1"/>
      </rPr>
      <t xml:space="preserve">15Cm</t>
    </r>
  </si>
  <si>
    <t xml:space="preserve">31262655</t>
  </si>
  <si>
    <r>
      <rPr>
        <sz val="10"/>
        <rFont val="FreeSans"/>
        <family val="2"/>
      </rPr>
      <t xml:space="preserve">پیچ شیروانی نوک مته ای واشر دار   </t>
    </r>
    <r>
      <rPr>
        <sz val="10"/>
        <rFont val="Vazirmatn"/>
        <family val="0"/>
        <charset val="1"/>
      </rPr>
      <t xml:space="preserve">2Cm</t>
    </r>
  </si>
  <si>
    <t xml:space="preserve">31262659</t>
  </si>
  <si>
    <r>
      <rPr>
        <sz val="10"/>
        <rFont val="FreeSans"/>
        <family val="2"/>
      </rPr>
      <t xml:space="preserve">پیچ سر مته ای واشر دار   </t>
    </r>
    <r>
      <rPr>
        <sz val="10"/>
        <rFont val="Vazirmatn"/>
        <family val="0"/>
        <charset val="1"/>
      </rPr>
      <t xml:space="preserve">2Cm</t>
    </r>
  </si>
  <si>
    <t xml:space="preserve">31262660</t>
  </si>
  <si>
    <r>
      <rPr>
        <sz val="10"/>
        <rFont val="FreeSans"/>
        <family val="2"/>
      </rPr>
      <t xml:space="preserve">پیچ عدسی </t>
    </r>
    <r>
      <rPr>
        <sz val="10"/>
        <rFont val="Vazirmatn"/>
        <family val="0"/>
        <charset val="1"/>
      </rPr>
      <t xml:space="preserve">2Cm ( </t>
    </r>
    <r>
      <rPr>
        <sz val="10"/>
        <rFont val="FreeSans"/>
        <family val="2"/>
      </rPr>
      <t xml:space="preserve">با قطر </t>
    </r>
    <r>
      <rPr>
        <sz val="10"/>
        <rFont val="Vazirmatn"/>
        <family val="0"/>
        <charset val="1"/>
      </rPr>
      <t xml:space="preserve">4/2mm )</t>
    </r>
  </si>
  <si>
    <t xml:space="preserve">31263032</t>
  </si>
  <si>
    <r>
      <rPr>
        <sz val="10"/>
        <rFont val="FreeSans"/>
        <family val="2"/>
      </rPr>
      <t xml:space="preserve">مهره سر شفت استیل  </t>
    </r>
    <r>
      <rPr>
        <sz val="10"/>
        <rFont val="Vazirmatn"/>
        <family val="0"/>
        <charset val="1"/>
      </rPr>
      <t xml:space="preserve">400 - 150 - 200 IHD</t>
    </r>
  </si>
  <si>
    <t xml:space="preserve">31263104</t>
  </si>
  <si>
    <r>
      <rPr>
        <sz val="10"/>
        <rFont val="FreeSans"/>
        <family val="2"/>
      </rPr>
      <t xml:space="preserve">مهره  آهنی                        </t>
    </r>
    <r>
      <rPr>
        <sz val="10"/>
        <rFont val="Vazirmatn"/>
        <family val="0"/>
        <charset val="1"/>
      </rPr>
      <t xml:space="preserve">5    mm</t>
    </r>
  </si>
  <si>
    <t xml:space="preserve">31263106</t>
  </si>
  <si>
    <r>
      <rPr>
        <sz val="10"/>
        <rFont val="FreeSans"/>
        <family val="2"/>
      </rPr>
      <t xml:space="preserve">مهره پروانه پمپ </t>
    </r>
    <r>
      <rPr>
        <sz val="10"/>
        <rFont val="Vazirmatn"/>
        <family val="0"/>
        <charset val="1"/>
      </rPr>
      <t xml:space="preserve">450 - 100 - 125 IHD</t>
    </r>
  </si>
  <si>
    <t xml:space="preserve">31263109</t>
  </si>
  <si>
    <r>
      <rPr>
        <sz val="10"/>
        <rFont val="FreeSans"/>
        <family val="2"/>
      </rPr>
      <t xml:space="preserve">مهره آهنی                  </t>
    </r>
    <r>
      <rPr>
        <sz val="10"/>
        <rFont val="Vazirmatn"/>
        <family val="0"/>
        <charset val="1"/>
      </rPr>
      <t xml:space="preserve">24mm</t>
    </r>
  </si>
  <si>
    <t xml:space="preserve">31263111</t>
  </si>
  <si>
    <r>
      <rPr>
        <sz val="10"/>
        <rFont val="FreeSans"/>
        <family val="2"/>
      </rPr>
      <t xml:space="preserve">مهره آهنی                      </t>
    </r>
    <r>
      <rPr>
        <sz val="10"/>
        <rFont val="Vazirmatn"/>
        <family val="0"/>
        <charset val="1"/>
      </rPr>
      <t xml:space="preserve">20     MM</t>
    </r>
  </si>
  <si>
    <t xml:space="preserve">31263112</t>
  </si>
  <si>
    <r>
      <rPr>
        <sz val="10"/>
        <rFont val="FreeSans"/>
        <family val="2"/>
      </rPr>
      <t xml:space="preserve">مهره  آهنی                      </t>
    </r>
    <r>
      <rPr>
        <sz val="10"/>
        <rFont val="Vazirmatn"/>
        <family val="0"/>
        <charset val="1"/>
      </rPr>
      <t xml:space="preserve">28    MM</t>
    </r>
  </si>
  <si>
    <t xml:space="preserve">31263115</t>
  </si>
  <si>
    <r>
      <rPr>
        <sz val="10"/>
        <rFont val="FreeSans"/>
        <family val="2"/>
      </rPr>
      <t xml:space="preserve">مهره آهنی گالوانیزه          </t>
    </r>
    <r>
      <rPr>
        <sz val="10"/>
        <rFont val="Vazirmatn"/>
        <family val="0"/>
        <charset val="1"/>
      </rPr>
      <t xml:space="preserve">30    MM</t>
    </r>
  </si>
  <si>
    <t xml:space="preserve">31263118</t>
  </si>
  <si>
    <r>
      <rPr>
        <sz val="10"/>
        <rFont val="FreeSans"/>
        <family val="2"/>
      </rPr>
      <t xml:space="preserve">مهره  آهنی                      </t>
    </r>
    <r>
      <rPr>
        <sz val="10"/>
        <rFont val="Vazirmatn"/>
        <family val="0"/>
        <charset val="1"/>
      </rPr>
      <t xml:space="preserve">30    MM</t>
    </r>
  </si>
  <si>
    <t xml:space="preserve">31263119</t>
  </si>
  <si>
    <r>
      <rPr>
        <sz val="10"/>
        <rFont val="FreeSans"/>
        <family val="2"/>
      </rPr>
      <t xml:space="preserve">مهره آهنی                         </t>
    </r>
    <r>
      <rPr>
        <sz val="10"/>
        <rFont val="Vazirmatn"/>
        <family val="0"/>
        <charset val="1"/>
      </rPr>
      <t xml:space="preserve">6    MM</t>
    </r>
  </si>
  <si>
    <t xml:space="preserve">31263124</t>
  </si>
  <si>
    <t xml:space="preserve">مهره رابط شفت پمپ اسید</t>
  </si>
  <si>
    <t xml:space="preserve">31263125</t>
  </si>
  <si>
    <r>
      <rPr>
        <sz val="10"/>
        <rFont val="FreeSans"/>
        <family val="2"/>
      </rPr>
      <t xml:space="preserve">مهره پروانه پمپ ایران </t>
    </r>
    <r>
      <rPr>
        <sz val="10"/>
        <rFont val="Vazirmatn"/>
        <family val="0"/>
        <charset val="1"/>
      </rPr>
      <t xml:space="preserve">250 - 150</t>
    </r>
  </si>
  <si>
    <t xml:space="preserve">31263128</t>
  </si>
  <si>
    <r>
      <rPr>
        <sz val="10"/>
        <rFont val="FreeSans"/>
        <family val="2"/>
      </rPr>
      <t xml:space="preserve">مهره   آهنی                     </t>
    </r>
    <r>
      <rPr>
        <sz val="10"/>
        <rFont val="Vazirmatn"/>
        <family val="0"/>
        <charset val="1"/>
      </rPr>
      <t xml:space="preserve">3/8</t>
    </r>
  </si>
  <si>
    <t xml:space="preserve">31263131</t>
  </si>
  <si>
    <r>
      <rPr>
        <sz val="10"/>
        <rFont val="FreeSans"/>
        <family val="2"/>
      </rPr>
      <t xml:space="preserve">مهره آهنی سیلندر پرس گویوم روغن کشی </t>
    </r>
    <r>
      <rPr>
        <sz val="10"/>
        <rFont val="Vazirmatn"/>
        <family val="0"/>
        <charset val="1"/>
      </rPr>
      <t xml:space="preserve">M45</t>
    </r>
  </si>
  <si>
    <t xml:space="preserve">31263132</t>
  </si>
  <si>
    <r>
      <rPr>
        <sz val="10"/>
        <rFont val="FreeSans"/>
        <family val="2"/>
      </rPr>
      <t xml:space="preserve">مهره پروانه پمپ  </t>
    </r>
    <r>
      <rPr>
        <sz val="10"/>
        <rFont val="Vazirmatn"/>
        <family val="0"/>
        <charset val="1"/>
      </rPr>
      <t xml:space="preserve">IHD100-65-315</t>
    </r>
  </si>
  <si>
    <t xml:space="preserve">31263134</t>
  </si>
  <si>
    <r>
      <rPr>
        <sz val="10"/>
        <rFont val="FreeSans"/>
        <family val="2"/>
      </rPr>
      <t xml:space="preserve">مهره پروانه پمپ  </t>
    </r>
    <r>
      <rPr>
        <sz val="10"/>
        <rFont val="Vazirmatn"/>
        <family val="0"/>
        <charset val="1"/>
      </rPr>
      <t xml:space="preserve">IHD250-200-315</t>
    </r>
  </si>
  <si>
    <t xml:space="preserve">31263135</t>
  </si>
  <si>
    <r>
      <rPr>
        <sz val="10"/>
        <rFont val="FreeSans"/>
        <family val="2"/>
      </rPr>
      <t xml:space="preserve">مهره  آسیاب                  </t>
    </r>
    <r>
      <rPr>
        <sz val="10"/>
        <rFont val="Vazirmatn"/>
        <family val="0"/>
        <charset val="1"/>
      </rPr>
      <t xml:space="preserve">FQ  -  136</t>
    </r>
  </si>
  <si>
    <t xml:space="preserve">31263137</t>
  </si>
  <si>
    <r>
      <rPr>
        <sz val="10"/>
        <rFont val="FreeSans"/>
        <family val="2"/>
      </rPr>
      <t xml:space="preserve">مهره آهنی                        </t>
    </r>
    <r>
      <rPr>
        <sz val="10"/>
        <rFont val="Vazirmatn"/>
        <family val="0"/>
        <charset val="1"/>
      </rPr>
      <t xml:space="preserve">8      MM</t>
    </r>
  </si>
  <si>
    <t xml:space="preserve">31263138</t>
  </si>
  <si>
    <r>
      <rPr>
        <sz val="10"/>
        <rFont val="FreeSans"/>
        <family val="2"/>
      </rPr>
      <t xml:space="preserve">مهره پروانه پمپ  </t>
    </r>
    <r>
      <rPr>
        <sz val="10"/>
        <rFont val="Vazirmatn"/>
        <family val="0"/>
        <charset val="1"/>
      </rPr>
      <t xml:space="preserve">IHD250-200-350</t>
    </r>
  </si>
  <si>
    <t xml:space="preserve">31263139</t>
  </si>
  <si>
    <r>
      <rPr>
        <sz val="10"/>
        <rFont val="FreeSans"/>
        <family val="2"/>
      </rPr>
      <t xml:space="preserve">مهره آهنی                    </t>
    </r>
    <r>
      <rPr>
        <sz val="10"/>
        <rFont val="Vazirmatn"/>
        <family val="0"/>
        <charset val="1"/>
      </rPr>
      <t xml:space="preserve">" 1/2</t>
    </r>
  </si>
  <si>
    <t xml:space="preserve">31263140</t>
  </si>
  <si>
    <r>
      <rPr>
        <sz val="10"/>
        <rFont val="FreeSans"/>
        <family val="2"/>
      </rPr>
      <t xml:space="preserve">مهره  </t>
    </r>
    <r>
      <rPr>
        <sz val="10"/>
        <rFont val="Vazirmatn"/>
        <family val="0"/>
        <charset val="1"/>
      </rPr>
      <t xml:space="preserve">9439040</t>
    </r>
  </si>
  <si>
    <t xml:space="preserve">31263141</t>
  </si>
  <si>
    <r>
      <rPr>
        <sz val="10"/>
        <rFont val="FreeSans"/>
        <family val="2"/>
      </rPr>
      <t xml:space="preserve">مهره آهنی                       </t>
    </r>
    <r>
      <rPr>
        <sz val="10"/>
        <rFont val="Vazirmatn"/>
        <family val="0"/>
        <charset val="1"/>
      </rPr>
      <t xml:space="preserve">10  mm</t>
    </r>
  </si>
  <si>
    <t xml:space="preserve">31263142</t>
  </si>
  <si>
    <r>
      <rPr>
        <sz val="10"/>
        <rFont val="FreeSans"/>
        <family val="2"/>
      </rPr>
      <t xml:space="preserve">مهره  </t>
    </r>
    <r>
      <rPr>
        <sz val="10"/>
        <rFont val="Vazirmatn"/>
        <family val="0"/>
        <charset val="1"/>
      </rPr>
      <t xml:space="preserve">9439048</t>
    </r>
  </si>
  <si>
    <t xml:space="preserve">31263143</t>
  </si>
  <si>
    <r>
      <rPr>
        <sz val="10"/>
        <rFont val="FreeSans"/>
        <family val="2"/>
      </rPr>
      <t xml:space="preserve">مهره  آهنی                      </t>
    </r>
    <r>
      <rPr>
        <sz val="10"/>
        <rFont val="Vazirmatn"/>
        <family val="0"/>
        <charset val="1"/>
      </rPr>
      <t xml:space="preserve">12     MM</t>
    </r>
  </si>
  <si>
    <t xml:space="preserve">31263144</t>
  </si>
  <si>
    <r>
      <rPr>
        <sz val="10"/>
        <rFont val="FreeSans"/>
        <family val="2"/>
      </rPr>
      <t xml:space="preserve">مهره استیل قفل دار </t>
    </r>
    <r>
      <rPr>
        <sz val="10"/>
        <rFont val="Vazirmatn"/>
        <family val="0"/>
        <charset val="1"/>
      </rPr>
      <t xml:space="preserve">10</t>
    </r>
  </si>
  <si>
    <t xml:space="preserve">31263146</t>
  </si>
  <si>
    <r>
      <rPr>
        <sz val="10"/>
        <rFont val="FreeSans"/>
        <family val="2"/>
      </rPr>
      <t xml:space="preserve">مهره آهنی                       </t>
    </r>
    <r>
      <rPr>
        <sz val="10"/>
        <rFont val="Vazirmatn"/>
        <family val="0"/>
        <charset val="1"/>
      </rPr>
      <t xml:space="preserve">4       MM</t>
    </r>
  </si>
  <si>
    <t xml:space="preserve">31263149</t>
  </si>
  <si>
    <r>
      <rPr>
        <sz val="10"/>
        <rFont val="FreeSans"/>
        <family val="2"/>
      </rPr>
      <t xml:space="preserve">مهره کاسه نمد دار </t>
    </r>
    <r>
      <rPr>
        <sz val="10"/>
        <rFont val="Vazirmatn"/>
        <family val="0"/>
        <charset val="1"/>
      </rPr>
      <t xml:space="preserve">" 3/8 </t>
    </r>
    <r>
      <rPr>
        <sz val="10"/>
        <rFont val="FreeSans"/>
        <family val="2"/>
      </rPr>
      <t xml:space="preserve">آسیاب                    </t>
    </r>
    <r>
      <rPr>
        <sz val="10"/>
        <rFont val="Vazirmatn"/>
        <family val="0"/>
        <charset val="1"/>
      </rPr>
      <t xml:space="preserve">FQ  -  124</t>
    </r>
  </si>
  <si>
    <t xml:space="preserve">31263153</t>
  </si>
  <si>
    <r>
      <rPr>
        <sz val="10"/>
        <rFont val="FreeSans"/>
        <family val="2"/>
      </rPr>
      <t xml:space="preserve">مهره  چاکنت  آسیاب      </t>
    </r>
    <r>
      <rPr>
        <sz val="10"/>
        <rFont val="Vazirmatn"/>
        <family val="0"/>
        <charset val="1"/>
      </rPr>
      <t xml:space="preserve">FQ  -  124</t>
    </r>
  </si>
  <si>
    <t xml:space="preserve">31263156</t>
  </si>
  <si>
    <t xml:space="preserve">مهره رابط شفت جت کوکر</t>
  </si>
  <si>
    <t xml:space="preserve">31263157</t>
  </si>
  <si>
    <r>
      <rPr>
        <sz val="10"/>
        <rFont val="FreeSans"/>
        <family val="2"/>
      </rPr>
      <t xml:space="preserve">مهره استیل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شفت آسیاب ایمپکت</t>
    </r>
  </si>
  <si>
    <t xml:space="preserve">31263158</t>
  </si>
  <si>
    <r>
      <rPr>
        <sz val="10"/>
        <rFont val="FreeSans"/>
        <family val="2"/>
      </rPr>
      <t xml:space="preserve">مهره استیل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شفت آسیاب ایمپکت</t>
    </r>
  </si>
  <si>
    <t xml:space="preserve">31263162</t>
  </si>
  <si>
    <r>
      <rPr>
        <sz val="10"/>
        <rFont val="FreeSans"/>
        <family val="2"/>
      </rPr>
      <t xml:space="preserve">مهره آهنی                      </t>
    </r>
    <r>
      <rPr>
        <sz val="10"/>
        <rFont val="Vazirmatn"/>
        <family val="0"/>
        <charset val="1"/>
      </rPr>
      <t xml:space="preserve">14       MM</t>
    </r>
  </si>
  <si>
    <t xml:space="preserve">31263167</t>
  </si>
  <si>
    <r>
      <rPr>
        <sz val="10"/>
        <rFont val="FreeSans"/>
        <family val="2"/>
      </rPr>
      <t xml:space="preserve">مهره گالوانیزه                   </t>
    </r>
    <r>
      <rPr>
        <sz val="10"/>
        <rFont val="Vazirmatn"/>
        <family val="0"/>
        <charset val="1"/>
      </rPr>
      <t xml:space="preserve">14  MM</t>
    </r>
  </si>
  <si>
    <t xml:space="preserve">31263168</t>
  </si>
  <si>
    <r>
      <rPr>
        <sz val="10"/>
        <rFont val="FreeSans"/>
        <family val="2"/>
      </rPr>
      <t xml:space="preserve">مهره گالوانیزه                     </t>
    </r>
    <r>
      <rPr>
        <sz val="10"/>
        <rFont val="Vazirmatn"/>
        <family val="0"/>
        <charset val="1"/>
      </rPr>
      <t xml:space="preserve">8  MM</t>
    </r>
  </si>
  <si>
    <t xml:space="preserve">31263169</t>
  </si>
  <si>
    <r>
      <rPr>
        <sz val="10"/>
        <rFont val="FreeSans"/>
        <family val="2"/>
      </rPr>
      <t xml:space="preserve">مهره گالوانیزه                   </t>
    </r>
    <r>
      <rPr>
        <sz val="10"/>
        <rFont val="Vazirmatn"/>
        <family val="0"/>
        <charset val="1"/>
      </rPr>
      <t xml:space="preserve">16  MM</t>
    </r>
  </si>
  <si>
    <t xml:space="preserve">31263172</t>
  </si>
  <si>
    <r>
      <rPr>
        <sz val="10"/>
        <rFont val="FreeSans"/>
        <family val="2"/>
      </rPr>
      <t xml:space="preserve">مهره گالوانیزه                   </t>
    </r>
    <r>
      <rPr>
        <sz val="10"/>
        <rFont val="Vazirmatn"/>
        <family val="0"/>
        <charset val="1"/>
      </rPr>
      <t xml:space="preserve">18  MM</t>
    </r>
  </si>
  <si>
    <t xml:space="preserve">31263185</t>
  </si>
  <si>
    <r>
      <rPr>
        <sz val="10"/>
        <rFont val="FreeSans"/>
        <family val="2"/>
      </rPr>
      <t xml:space="preserve">مهره آهنی                      </t>
    </r>
    <r>
      <rPr>
        <sz val="10"/>
        <rFont val="Vazirmatn"/>
        <family val="0"/>
        <charset val="1"/>
      </rPr>
      <t xml:space="preserve">18       MM</t>
    </r>
  </si>
  <si>
    <t xml:space="preserve">31263194</t>
  </si>
  <si>
    <r>
      <rPr>
        <sz val="10"/>
        <rFont val="FreeSans"/>
        <family val="2"/>
      </rPr>
      <t xml:space="preserve">مهره آهنی                      </t>
    </r>
    <r>
      <rPr>
        <sz val="10"/>
        <rFont val="Vazirmatn"/>
        <family val="0"/>
        <charset val="1"/>
      </rPr>
      <t xml:space="preserve">22mm</t>
    </r>
  </si>
  <si>
    <t xml:space="preserve">31263199</t>
  </si>
  <si>
    <r>
      <rPr>
        <sz val="10"/>
        <rFont val="FreeSans"/>
        <family val="2"/>
      </rPr>
      <t xml:space="preserve">مهره آهنی                      </t>
    </r>
    <r>
      <rPr>
        <sz val="10"/>
        <rFont val="Vazirmatn"/>
        <family val="0"/>
        <charset val="1"/>
      </rPr>
      <t xml:space="preserve">16       MM</t>
    </r>
  </si>
  <si>
    <t xml:space="preserve">31263201</t>
  </si>
  <si>
    <r>
      <rPr>
        <sz val="10"/>
        <rFont val="FreeSans"/>
        <family val="2"/>
      </rPr>
      <t xml:space="preserve">مهره استیل مخصوص     </t>
    </r>
    <r>
      <rPr>
        <sz val="10"/>
        <rFont val="Vazirmatn"/>
        <family val="0"/>
        <charset val="1"/>
      </rPr>
      <t xml:space="preserve">3/8</t>
    </r>
  </si>
  <si>
    <t xml:space="preserve">31263211</t>
  </si>
  <si>
    <r>
      <rPr>
        <sz val="10"/>
        <rFont val="FreeSans"/>
        <family val="2"/>
      </rPr>
      <t xml:space="preserve">مهره پروانه پمپ </t>
    </r>
    <r>
      <rPr>
        <sz val="10"/>
        <rFont val="Vazirmatn"/>
        <family val="0"/>
        <charset val="1"/>
      </rPr>
      <t xml:space="preserve">IHD  125-80-200</t>
    </r>
  </si>
  <si>
    <t xml:space="preserve">31263221</t>
  </si>
  <si>
    <r>
      <rPr>
        <sz val="10"/>
        <rFont val="FreeSans"/>
        <family val="2"/>
      </rPr>
      <t xml:space="preserve">مهره پروانه پمپ  </t>
    </r>
    <r>
      <rPr>
        <sz val="10"/>
        <rFont val="Vazirmatn"/>
        <family val="0"/>
        <charset val="1"/>
      </rPr>
      <t xml:space="preserve">200 - 65 -100 IHD</t>
    </r>
  </si>
  <si>
    <t xml:space="preserve">31263222</t>
  </si>
  <si>
    <r>
      <rPr>
        <sz val="10"/>
        <rFont val="FreeSans"/>
        <family val="2"/>
      </rPr>
      <t xml:space="preserve">مهره شفت پمپ  </t>
    </r>
    <r>
      <rPr>
        <sz val="10"/>
        <rFont val="Vazirmatn"/>
        <family val="0"/>
        <charset val="1"/>
      </rPr>
      <t xml:space="preserve">IHD   65 - 50 - 250</t>
    </r>
  </si>
  <si>
    <t xml:space="preserve">31263224</t>
  </si>
  <si>
    <r>
      <rPr>
        <sz val="10"/>
        <rFont val="FreeSans"/>
        <family val="2"/>
      </rPr>
      <t xml:space="preserve">مهره شفت پنیون پرس گویوم  </t>
    </r>
    <r>
      <rPr>
        <sz val="10"/>
        <rFont val="Vazirmatn"/>
        <family val="0"/>
        <charset val="1"/>
      </rPr>
      <t xml:space="preserve">1505</t>
    </r>
  </si>
  <si>
    <t xml:space="preserve">31263228</t>
  </si>
  <si>
    <r>
      <rPr>
        <sz val="10"/>
        <rFont val="FreeSans"/>
        <family val="2"/>
      </rPr>
      <t xml:space="preserve">مهره کلاج پرس گویوم روغن   </t>
    </r>
    <r>
      <rPr>
        <sz val="10"/>
        <rFont val="Vazirmatn"/>
        <family val="0"/>
        <charset val="1"/>
      </rPr>
      <t xml:space="preserve">1557-GOYUM1500</t>
    </r>
  </si>
  <si>
    <t xml:space="preserve">31263233</t>
  </si>
  <si>
    <r>
      <rPr>
        <sz val="10"/>
        <rFont val="FreeSans"/>
        <family val="2"/>
      </rPr>
      <t xml:space="preserve">مهره استیل                     </t>
    </r>
    <r>
      <rPr>
        <sz val="10"/>
        <rFont val="Vazirmatn"/>
        <family val="0"/>
        <charset val="1"/>
      </rPr>
      <t xml:space="preserve">25      MM</t>
    </r>
  </si>
  <si>
    <t xml:space="preserve">31263235</t>
  </si>
  <si>
    <r>
      <rPr>
        <sz val="10"/>
        <rFont val="FreeSans"/>
        <family val="2"/>
      </rPr>
      <t xml:space="preserve">مهره پروانه   پمپ  </t>
    </r>
    <r>
      <rPr>
        <sz val="10"/>
        <rFont val="Vazirmatn"/>
        <family val="0"/>
        <charset val="1"/>
      </rPr>
      <t xml:space="preserve">250 - 80 - 125</t>
    </r>
  </si>
  <si>
    <t xml:space="preserve">31263237</t>
  </si>
  <si>
    <r>
      <rPr>
        <sz val="10"/>
        <rFont val="FreeSans"/>
        <family val="2"/>
      </rPr>
      <t xml:space="preserve">مهره  استیل شفت          </t>
    </r>
    <r>
      <rPr>
        <sz val="10"/>
        <rFont val="Vazirmatn"/>
        <family val="0"/>
        <charset val="1"/>
      </rPr>
      <t xml:space="preserve">41</t>
    </r>
  </si>
  <si>
    <t xml:space="preserve">31263239</t>
  </si>
  <si>
    <r>
      <rPr>
        <sz val="10"/>
        <rFont val="FreeSans"/>
        <family val="2"/>
      </rPr>
      <t xml:space="preserve">مهره قفل پایه جای ذغالی سپراتور </t>
    </r>
    <r>
      <rPr>
        <sz val="10"/>
        <rFont val="Vazirmatn"/>
        <family val="0"/>
        <charset val="1"/>
      </rPr>
      <t xml:space="preserve">70776</t>
    </r>
  </si>
  <si>
    <t xml:space="preserve">31263240</t>
  </si>
  <si>
    <r>
      <rPr>
        <sz val="10"/>
        <rFont val="FreeSans"/>
        <family val="2"/>
      </rPr>
      <t xml:space="preserve">مهره جای ذغال سپراتور  </t>
    </r>
    <r>
      <rPr>
        <sz val="10"/>
        <rFont val="Vazirmatn"/>
        <family val="0"/>
        <charset val="1"/>
      </rPr>
      <t xml:space="preserve">73434</t>
    </r>
  </si>
  <si>
    <t xml:space="preserve">31263242</t>
  </si>
  <si>
    <r>
      <rPr>
        <sz val="10"/>
        <rFont val="FreeSans"/>
        <family val="2"/>
      </rPr>
      <t xml:space="preserve">مهره آهنی کاسه نمد دار  </t>
    </r>
    <r>
      <rPr>
        <sz val="10"/>
        <rFont val="Vazirmatn"/>
        <family val="0"/>
        <charset val="1"/>
      </rPr>
      <t xml:space="preserve">16    MM</t>
    </r>
  </si>
  <si>
    <t xml:space="preserve">31263243</t>
  </si>
  <si>
    <r>
      <rPr>
        <sz val="10"/>
        <rFont val="FreeSans"/>
        <family val="2"/>
      </rPr>
      <t xml:space="preserve">مهره  استیل  پمپ  روغنکشی  </t>
    </r>
    <r>
      <rPr>
        <sz val="10"/>
        <rFont val="Vazirmatn"/>
        <family val="0"/>
        <charset val="1"/>
      </rPr>
      <t xml:space="preserve">35*62</t>
    </r>
  </si>
  <si>
    <t xml:space="preserve">31263244</t>
  </si>
  <si>
    <t xml:space="preserve">مهره استیل روتور آسیاب ایمپکت</t>
  </si>
  <si>
    <t xml:space="preserve">31263245</t>
  </si>
  <si>
    <t xml:space="preserve">مهره انتها شفت سپراتور تغلیظ</t>
  </si>
  <si>
    <t xml:space="preserve">31263246</t>
  </si>
  <si>
    <r>
      <rPr>
        <sz val="10"/>
        <rFont val="FreeSans"/>
        <family val="2"/>
      </rPr>
      <t xml:space="preserve">مهره دکانتور  </t>
    </r>
    <r>
      <rPr>
        <sz val="10"/>
        <rFont val="Vazirmatn"/>
        <family val="0"/>
        <charset val="1"/>
      </rPr>
      <t xml:space="preserve">400 - 0279 - 0013</t>
    </r>
  </si>
  <si>
    <t xml:space="preserve">31263251</t>
  </si>
  <si>
    <r>
      <rPr>
        <sz val="10"/>
        <rFont val="FreeSans"/>
        <family val="2"/>
      </rPr>
      <t xml:space="preserve">مهره استیل                     </t>
    </r>
    <r>
      <rPr>
        <sz val="10"/>
        <rFont val="Vazirmatn"/>
        <family val="0"/>
        <charset val="1"/>
      </rPr>
      <t xml:space="preserve">32      MM</t>
    </r>
  </si>
  <si>
    <t xml:space="preserve">31263252</t>
  </si>
  <si>
    <t xml:space="preserve">مهره راست گرد پرس روغن</t>
  </si>
  <si>
    <t xml:space="preserve">31263254</t>
  </si>
  <si>
    <t xml:space="preserve">مهره چپ گرد پرس روغن</t>
  </si>
  <si>
    <t xml:space="preserve">31263255</t>
  </si>
  <si>
    <r>
      <rPr>
        <sz val="10"/>
        <rFont val="FreeSans"/>
        <family val="2"/>
      </rPr>
      <t xml:space="preserve">مهره استیل شفت اصلی آسیاب ایمپک </t>
    </r>
    <r>
      <rPr>
        <sz val="10"/>
        <rFont val="Vazirmatn"/>
        <family val="0"/>
        <charset val="1"/>
      </rPr>
      <t xml:space="preserve">72mm</t>
    </r>
  </si>
  <si>
    <t xml:space="preserve">31263259</t>
  </si>
  <si>
    <r>
      <rPr>
        <sz val="10"/>
        <rFont val="FreeSans"/>
        <family val="2"/>
      </rPr>
      <t xml:space="preserve">مهره استیل سرشفت  سپراتور </t>
    </r>
    <r>
      <rPr>
        <sz val="10"/>
        <rFont val="Vazirmatn"/>
        <family val="0"/>
        <charset val="1"/>
      </rPr>
      <t xml:space="preserve">70789</t>
    </r>
  </si>
  <si>
    <t xml:space="preserve">31263261</t>
  </si>
  <si>
    <r>
      <rPr>
        <sz val="10"/>
        <rFont val="FreeSans"/>
        <family val="2"/>
      </rPr>
      <t xml:space="preserve">مهره استیل سرشفت منو پمپ </t>
    </r>
    <r>
      <rPr>
        <sz val="10"/>
        <rFont val="Vazirmatn"/>
        <family val="0"/>
        <charset val="1"/>
      </rPr>
      <t xml:space="preserve">A60</t>
    </r>
  </si>
  <si>
    <t xml:space="preserve">31263263</t>
  </si>
  <si>
    <r>
      <rPr>
        <sz val="10"/>
        <rFont val="FreeSans"/>
        <family val="2"/>
      </rPr>
      <t xml:space="preserve">مهره استیل                       </t>
    </r>
    <r>
      <rPr>
        <sz val="10"/>
        <rFont val="Vazirmatn"/>
        <family val="0"/>
        <charset val="1"/>
      </rPr>
      <t xml:space="preserve">3       </t>
    </r>
    <r>
      <rPr>
        <sz val="10"/>
        <rFont val="FreeSans"/>
        <family val="2"/>
      </rPr>
      <t xml:space="preserve">اینچ</t>
    </r>
  </si>
  <si>
    <t xml:space="preserve">31263264</t>
  </si>
  <si>
    <t xml:space="preserve">مهره شفت سپراتور</t>
  </si>
  <si>
    <t xml:space="preserve">31263265</t>
  </si>
  <si>
    <r>
      <rPr>
        <sz val="10"/>
        <rFont val="FreeSans"/>
        <family val="2"/>
      </rPr>
      <t xml:space="preserve">مهره سر شفت پرس روغن کشی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نری </t>
    </r>
    <r>
      <rPr>
        <sz val="10"/>
        <rFont val="Vazirmatn"/>
        <family val="0"/>
        <charset val="1"/>
      </rPr>
      <t xml:space="preserve">)</t>
    </r>
  </si>
  <si>
    <t xml:space="preserve">31263266</t>
  </si>
  <si>
    <r>
      <rPr>
        <sz val="10"/>
        <rFont val="FreeSans"/>
        <family val="2"/>
      </rPr>
      <t xml:space="preserve">مهره سر شفت پرس روغنکشی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مادگی </t>
    </r>
    <r>
      <rPr>
        <sz val="10"/>
        <rFont val="Vazirmatn"/>
        <family val="0"/>
        <charset val="1"/>
      </rPr>
      <t xml:space="preserve">)</t>
    </r>
  </si>
  <si>
    <t xml:space="preserve">31263267</t>
  </si>
  <si>
    <r>
      <rPr>
        <sz val="10"/>
        <rFont val="FreeSans"/>
        <family val="2"/>
      </rPr>
      <t xml:space="preserve">مهره  تفلونی  </t>
    </r>
    <r>
      <rPr>
        <sz val="10"/>
        <rFont val="Vazirmatn"/>
        <family val="0"/>
        <charset val="1"/>
      </rPr>
      <t xml:space="preserve">80mm</t>
    </r>
  </si>
  <si>
    <t xml:space="preserve">31263272</t>
  </si>
  <si>
    <r>
      <rPr>
        <sz val="10"/>
        <rFont val="FreeSans"/>
        <family val="2"/>
      </rPr>
      <t xml:space="preserve">مهره پروانه پمپ  </t>
    </r>
    <r>
      <rPr>
        <sz val="10"/>
        <rFont val="Vazirmatn"/>
        <family val="0"/>
        <charset val="1"/>
      </rPr>
      <t xml:space="preserve">315 - 100 - 125</t>
    </r>
  </si>
  <si>
    <t xml:space="preserve">31263275</t>
  </si>
  <si>
    <r>
      <rPr>
        <sz val="10"/>
        <rFont val="FreeSans"/>
        <family val="2"/>
      </rPr>
      <t xml:space="preserve">مهره سر شفت پمپ </t>
    </r>
    <r>
      <rPr>
        <sz val="10"/>
        <rFont val="Vazirmatn"/>
        <family val="0"/>
        <charset val="1"/>
      </rPr>
      <t xml:space="preserve">200 * 65 * 80</t>
    </r>
  </si>
  <si>
    <t xml:space="preserve">31263277</t>
  </si>
  <si>
    <r>
      <rPr>
        <sz val="10"/>
        <rFont val="FreeSans"/>
        <family val="2"/>
      </rPr>
      <t xml:space="preserve">مهره داخل کاسه اصلی سپراتور </t>
    </r>
    <r>
      <rPr>
        <sz val="10"/>
        <rFont val="Vazirmatn"/>
        <family val="0"/>
        <charset val="1"/>
      </rPr>
      <t xml:space="preserve">70783</t>
    </r>
  </si>
  <si>
    <t xml:space="preserve">31263278</t>
  </si>
  <si>
    <t xml:space="preserve">مهره گریس پخش کن  واش باطری</t>
  </si>
  <si>
    <t xml:space="preserve">31263279</t>
  </si>
  <si>
    <t xml:space="preserve">مهره چپگرد استیل</t>
  </si>
  <si>
    <t xml:space="preserve">31263280</t>
  </si>
  <si>
    <r>
      <rPr>
        <sz val="10"/>
        <rFont val="FreeSans"/>
        <family val="2"/>
      </rPr>
      <t xml:space="preserve">مهره پروانه </t>
    </r>
    <r>
      <rPr>
        <sz val="10"/>
        <rFont val="Vazirmatn"/>
        <family val="0"/>
        <charset val="1"/>
      </rPr>
      <t xml:space="preserve">IHD 80 - 50- 400</t>
    </r>
  </si>
  <si>
    <t xml:space="preserve">31263281</t>
  </si>
  <si>
    <r>
      <rPr>
        <sz val="10"/>
        <rFont val="FreeSans"/>
        <family val="2"/>
      </rPr>
      <t xml:space="preserve">مهره پروانه پمپ  </t>
    </r>
    <r>
      <rPr>
        <sz val="10"/>
        <rFont val="Vazirmatn"/>
        <family val="0"/>
        <charset val="1"/>
      </rPr>
      <t xml:space="preserve">250 - 65 - 100</t>
    </r>
  </si>
  <si>
    <t xml:space="preserve">31263283</t>
  </si>
  <si>
    <r>
      <rPr>
        <sz val="10"/>
        <rFont val="FreeSans"/>
        <family val="2"/>
      </rPr>
      <t xml:space="preserve">مهره سرشفت پمپ    </t>
    </r>
    <r>
      <rPr>
        <sz val="10"/>
        <rFont val="Vazirmatn"/>
        <family val="0"/>
        <charset val="1"/>
      </rPr>
      <t xml:space="preserve">200 * 65 * 80</t>
    </r>
  </si>
  <si>
    <t xml:space="preserve">31263284</t>
  </si>
  <si>
    <r>
      <rPr>
        <sz val="10"/>
        <rFont val="FreeSans"/>
        <family val="2"/>
      </rPr>
      <t xml:space="preserve">مهره سرشفت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پروانه </t>
    </r>
    <r>
      <rPr>
        <sz val="10"/>
        <rFont val="Vazirmatn"/>
        <family val="0"/>
        <charset val="1"/>
      </rPr>
      <t xml:space="preserve">) IHD125-100-400</t>
    </r>
  </si>
  <si>
    <t xml:space="preserve">31263285</t>
  </si>
  <si>
    <r>
      <rPr>
        <sz val="10"/>
        <rFont val="FreeSans"/>
        <family val="2"/>
      </rPr>
      <t xml:space="preserve">مهره سرشفت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پروانه </t>
    </r>
    <r>
      <rPr>
        <sz val="10"/>
        <rFont val="Vazirmatn"/>
        <family val="0"/>
        <charset val="1"/>
      </rPr>
      <t xml:space="preserve">) IHD40-25-125</t>
    </r>
  </si>
  <si>
    <t xml:space="preserve">31263287</t>
  </si>
  <si>
    <r>
      <rPr>
        <sz val="10"/>
        <rFont val="FreeSans"/>
        <family val="2"/>
      </rPr>
      <t xml:space="preserve">مهره پروانه </t>
    </r>
    <r>
      <rPr>
        <sz val="10"/>
        <rFont val="Vazirmatn"/>
        <family val="0"/>
        <charset val="1"/>
      </rPr>
      <t xml:space="preserve">IHD50-32-200</t>
    </r>
  </si>
  <si>
    <t xml:space="preserve">31263289</t>
  </si>
  <si>
    <r>
      <rPr>
        <sz val="10"/>
        <rFont val="FreeSans"/>
        <family val="2"/>
      </rPr>
      <t xml:space="preserve">مهره پروانه </t>
    </r>
    <r>
      <rPr>
        <sz val="10"/>
        <rFont val="Vazirmatn"/>
        <family val="0"/>
        <charset val="1"/>
      </rPr>
      <t xml:space="preserve">IHD65-50-125</t>
    </r>
  </si>
  <si>
    <t xml:space="preserve">31263291</t>
  </si>
  <si>
    <r>
      <rPr>
        <sz val="10"/>
        <rFont val="FreeSans"/>
        <family val="2"/>
      </rPr>
      <t xml:space="preserve">مهره پروانه </t>
    </r>
    <r>
      <rPr>
        <sz val="10"/>
        <rFont val="Vazirmatn"/>
        <family val="0"/>
        <charset val="1"/>
      </rPr>
      <t xml:space="preserve">IHD65-50-250</t>
    </r>
  </si>
  <si>
    <t xml:space="preserve">31263293</t>
  </si>
  <si>
    <r>
      <rPr>
        <sz val="10"/>
        <rFont val="FreeSans"/>
        <family val="2"/>
      </rPr>
      <t xml:space="preserve">مهره پروانه </t>
    </r>
    <r>
      <rPr>
        <sz val="10"/>
        <rFont val="Vazirmatn"/>
        <family val="0"/>
        <charset val="1"/>
      </rPr>
      <t xml:space="preserve">KHZ100-65-315</t>
    </r>
  </si>
  <si>
    <t xml:space="preserve">31263294</t>
  </si>
  <si>
    <r>
      <rPr>
        <sz val="10"/>
        <rFont val="FreeSans"/>
        <family val="2"/>
      </rPr>
      <t xml:space="preserve">مهره پروانه </t>
    </r>
    <r>
      <rPr>
        <sz val="10"/>
        <rFont val="Vazirmatn"/>
        <family val="0"/>
        <charset val="1"/>
      </rPr>
      <t xml:space="preserve">KHZ100-65-250</t>
    </r>
  </si>
  <si>
    <t xml:space="preserve">31263295</t>
  </si>
  <si>
    <r>
      <rPr>
        <sz val="10"/>
        <rFont val="FreeSans"/>
        <family val="2"/>
      </rPr>
      <t xml:space="preserve">مهره پروانه </t>
    </r>
    <r>
      <rPr>
        <sz val="10"/>
        <rFont val="Vazirmatn"/>
        <family val="0"/>
        <charset val="1"/>
      </rPr>
      <t xml:space="preserve">KHZ65-50-160</t>
    </r>
  </si>
  <si>
    <t xml:space="preserve">31263296</t>
  </si>
  <si>
    <r>
      <rPr>
        <sz val="10"/>
        <rFont val="FreeSans"/>
        <family val="2"/>
      </rPr>
      <t xml:space="preserve">مهره پروانه </t>
    </r>
    <r>
      <rPr>
        <sz val="10"/>
        <rFont val="Vazirmatn"/>
        <family val="0"/>
        <charset val="1"/>
      </rPr>
      <t xml:space="preserve">KHZ50-32-160</t>
    </r>
  </si>
  <si>
    <t xml:space="preserve">31263297</t>
  </si>
  <si>
    <r>
      <rPr>
        <sz val="10"/>
        <rFont val="FreeSans"/>
        <family val="2"/>
      </rPr>
      <t xml:space="preserve">مهره پروانه </t>
    </r>
    <r>
      <rPr>
        <sz val="10"/>
        <rFont val="Vazirmatn"/>
        <family val="0"/>
        <charset val="1"/>
      </rPr>
      <t xml:space="preserve">KHZ65-50-200</t>
    </r>
  </si>
  <si>
    <t xml:space="preserve">31263299</t>
  </si>
  <si>
    <r>
      <rPr>
        <sz val="10"/>
        <rFont val="FreeSans"/>
        <family val="2"/>
      </rPr>
      <t xml:space="preserve">مهره پروانه </t>
    </r>
    <r>
      <rPr>
        <sz val="10"/>
        <rFont val="Vazirmatn"/>
        <family val="0"/>
        <charset val="1"/>
      </rPr>
      <t xml:space="preserve">KHZ80-65-250</t>
    </r>
  </si>
  <si>
    <t xml:space="preserve">31263300</t>
  </si>
  <si>
    <r>
      <rPr>
        <sz val="10"/>
        <rFont val="FreeSans"/>
        <family val="2"/>
      </rPr>
      <t xml:space="preserve">مهره سر شفت استیل  </t>
    </r>
    <r>
      <rPr>
        <sz val="10"/>
        <rFont val="Vazirmatn"/>
        <family val="0"/>
        <charset val="1"/>
      </rPr>
      <t xml:space="preserve">400 - 50 - 80 IHD</t>
    </r>
  </si>
  <si>
    <t xml:space="preserve">31263302</t>
  </si>
  <si>
    <r>
      <rPr>
        <sz val="10"/>
        <rFont val="FreeSans"/>
        <family val="2"/>
      </rPr>
      <t xml:space="preserve">مهره سر شفت استیل  </t>
    </r>
    <r>
      <rPr>
        <sz val="10"/>
        <rFont val="Vazirmatn"/>
        <family val="0"/>
        <charset val="1"/>
      </rPr>
      <t xml:space="preserve">315 - 100 - 125 IHD</t>
    </r>
  </si>
  <si>
    <t xml:space="preserve">31263303</t>
  </si>
  <si>
    <r>
      <rPr>
        <sz val="10"/>
        <rFont val="FreeSans"/>
        <family val="2"/>
      </rPr>
      <t xml:space="preserve">مهره سر شفت استیل  </t>
    </r>
    <r>
      <rPr>
        <sz val="10"/>
        <rFont val="Vazirmatn"/>
        <family val="0"/>
        <charset val="1"/>
      </rPr>
      <t xml:space="preserve">400 - 150 - 200 IS</t>
    </r>
  </si>
  <si>
    <t xml:space="preserve">31263304</t>
  </si>
  <si>
    <r>
      <rPr>
        <sz val="10"/>
        <rFont val="FreeSans"/>
        <family val="2"/>
      </rPr>
      <t xml:space="preserve">مهره سر شفت استیل  </t>
    </r>
    <r>
      <rPr>
        <sz val="10"/>
        <rFont val="Vazirmatn"/>
        <family val="0"/>
        <charset val="1"/>
      </rPr>
      <t xml:space="preserve">200 - 65 - 80 IHD</t>
    </r>
  </si>
  <si>
    <t xml:space="preserve">31263305</t>
  </si>
  <si>
    <r>
      <rPr>
        <sz val="10"/>
        <rFont val="FreeSans"/>
        <family val="2"/>
      </rPr>
      <t xml:space="preserve">مهره سر شفت استیل  </t>
    </r>
    <r>
      <rPr>
        <sz val="10"/>
        <rFont val="Vazirmatn"/>
        <family val="0"/>
        <charset val="1"/>
      </rPr>
      <t xml:space="preserve">450 - 65 - 100 IHD</t>
    </r>
  </si>
  <si>
    <t xml:space="preserve">31263306</t>
  </si>
  <si>
    <r>
      <rPr>
        <sz val="10"/>
        <rFont val="FreeSans"/>
        <family val="2"/>
      </rPr>
      <t xml:space="preserve">مهره سر شفت استیل  </t>
    </r>
    <r>
      <rPr>
        <sz val="10"/>
        <rFont val="Vazirmatn"/>
        <family val="0"/>
        <charset val="1"/>
      </rPr>
      <t xml:space="preserve">125 - 32 - 50 IHD</t>
    </r>
  </si>
  <si>
    <t xml:space="preserve">31263308</t>
  </si>
  <si>
    <r>
      <rPr>
        <sz val="10"/>
        <rFont val="FreeSans"/>
        <family val="2"/>
      </rPr>
      <t xml:space="preserve">مهره سر شفت تفلونی  </t>
    </r>
    <r>
      <rPr>
        <sz val="10"/>
        <rFont val="Vazirmatn"/>
        <family val="0"/>
        <charset val="1"/>
      </rPr>
      <t xml:space="preserve">35 - 100 - 100 UB - ZK</t>
    </r>
  </si>
  <si>
    <t xml:space="preserve">31263310</t>
  </si>
  <si>
    <r>
      <rPr>
        <sz val="10"/>
        <rFont val="FreeSans"/>
        <family val="2"/>
      </rPr>
      <t xml:space="preserve">مهره سر شفت تفلونی  </t>
    </r>
    <r>
      <rPr>
        <sz val="10"/>
        <rFont val="Vazirmatn"/>
        <family val="0"/>
        <charset val="1"/>
      </rPr>
      <t xml:space="preserve">20/3 - 8 - 40 FS</t>
    </r>
  </si>
  <si>
    <t xml:space="preserve">31263311</t>
  </si>
  <si>
    <t xml:space="preserve">مهره آهنی خروسکی</t>
  </si>
  <si>
    <t xml:space="preserve">31263312</t>
  </si>
  <si>
    <t xml:space="preserve">مهره دنده فولادی</t>
  </si>
  <si>
    <t xml:space="preserve">31263314</t>
  </si>
  <si>
    <r>
      <rPr>
        <sz val="10"/>
        <rFont val="FreeSans"/>
        <family val="2"/>
      </rPr>
      <t xml:space="preserve">مهره سر شفت تفلونی  </t>
    </r>
    <r>
      <rPr>
        <sz val="10"/>
        <rFont val="Vazirmatn"/>
        <family val="0"/>
        <charset val="1"/>
      </rPr>
      <t xml:space="preserve">32/5.5 - 30 - 65 FS</t>
    </r>
  </si>
  <si>
    <t xml:space="preserve">31263320</t>
  </si>
  <si>
    <r>
      <rPr>
        <sz val="10"/>
        <rFont val="FreeSans"/>
        <family val="2"/>
      </rPr>
      <t xml:space="preserve">مهره سر شفت پمپ ایران </t>
    </r>
    <r>
      <rPr>
        <sz val="10"/>
        <rFont val="Vazirmatn"/>
        <family val="0"/>
        <charset val="1"/>
      </rPr>
      <t xml:space="preserve">200 - 50</t>
    </r>
  </si>
  <si>
    <t xml:space="preserve">31263321</t>
  </si>
  <si>
    <r>
      <rPr>
        <sz val="10"/>
        <rFont val="FreeSans"/>
        <family val="2"/>
      </rPr>
      <t xml:space="preserve">مهره برنجی بالای سپراتور ها چپگرد   </t>
    </r>
    <r>
      <rPr>
        <sz val="10"/>
        <rFont val="Vazirmatn"/>
        <family val="0"/>
        <charset val="1"/>
      </rPr>
      <t xml:space="preserve">68  MM</t>
    </r>
  </si>
  <si>
    <t xml:space="preserve">31263322</t>
  </si>
  <si>
    <r>
      <rPr>
        <sz val="10"/>
        <rFont val="FreeSans"/>
        <family val="2"/>
      </rPr>
      <t xml:space="preserve">مهره سر شفت پمپ ایران </t>
    </r>
    <r>
      <rPr>
        <sz val="10"/>
        <rFont val="Vazirmatn"/>
        <family val="0"/>
        <charset val="1"/>
      </rPr>
      <t xml:space="preserve">200 - 65</t>
    </r>
  </si>
  <si>
    <t xml:space="preserve">31263323</t>
  </si>
  <si>
    <r>
      <rPr>
        <sz val="10"/>
        <rFont val="FreeSans"/>
        <family val="2"/>
      </rPr>
      <t xml:space="preserve">مهره سر شفت پمپ ایران </t>
    </r>
    <r>
      <rPr>
        <sz val="10"/>
        <rFont val="Vazirmatn"/>
        <family val="0"/>
        <charset val="1"/>
      </rPr>
      <t xml:space="preserve">160 - 50</t>
    </r>
  </si>
  <si>
    <t xml:space="preserve">31263324</t>
  </si>
  <si>
    <r>
      <rPr>
        <sz val="10"/>
        <rFont val="FreeSans"/>
        <family val="2"/>
      </rPr>
      <t xml:space="preserve">مهره سر شفت پمپ ایران </t>
    </r>
    <r>
      <rPr>
        <sz val="10"/>
        <rFont val="Vazirmatn"/>
        <family val="0"/>
        <charset val="1"/>
      </rPr>
      <t xml:space="preserve">315 - 150</t>
    </r>
  </si>
  <si>
    <t xml:space="preserve">31263325</t>
  </si>
  <si>
    <r>
      <rPr>
        <sz val="10"/>
        <rFont val="FreeSans"/>
        <family val="2"/>
      </rPr>
      <t xml:space="preserve">مهره ماسوره تنظیم  </t>
    </r>
    <r>
      <rPr>
        <sz val="10"/>
        <rFont val="Vazirmatn"/>
        <family val="0"/>
        <charset val="1"/>
      </rPr>
      <t xml:space="preserve">/  </t>
    </r>
    <r>
      <rPr>
        <sz val="10"/>
        <rFont val="FreeSans"/>
        <family val="2"/>
      </rPr>
      <t xml:space="preserve">پرس روغن کوچک</t>
    </r>
  </si>
  <si>
    <t xml:space="preserve">31263327</t>
  </si>
  <si>
    <r>
      <rPr>
        <sz val="10"/>
        <rFont val="FreeSans"/>
        <family val="2"/>
      </rPr>
      <t xml:space="preserve">مهره خشکه  </t>
    </r>
    <r>
      <rPr>
        <sz val="10"/>
        <rFont val="Vazirmatn"/>
        <family val="0"/>
        <charset val="1"/>
      </rPr>
      <t xml:space="preserve">38/8mm</t>
    </r>
  </si>
  <si>
    <t xml:space="preserve">31263328</t>
  </si>
  <si>
    <r>
      <rPr>
        <sz val="10"/>
        <rFont val="FreeSans"/>
        <family val="2"/>
      </rPr>
      <t xml:space="preserve">مهره آهنی  </t>
    </r>
    <r>
      <rPr>
        <sz val="10"/>
        <rFont val="Vazirmatn"/>
        <family val="0"/>
        <charset val="1"/>
      </rPr>
      <t xml:space="preserve">25  MM</t>
    </r>
  </si>
  <si>
    <t xml:space="preserve">31263329</t>
  </si>
  <si>
    <r>
      <rPr>
        <sz val="10"/>
        <rFont val="FreeSans"/>
        <family val="2"/>
      </rPr>
      <t xml:space="preserve">مهره فولادی سپراتور نشاسته </t>
    </r>
    <r>
      <rPr>
        <sz val="10"/>
        <rFont val="Vazirmatn"/>
        <family val="0"/>
        <charset val="1"/>
      </rPr>
      <t xml:space="preserve">44</t>
    </r>
  </si>
  <si>
    <t xml:space="preserve">31263333</t>
  </si>
  <si>
    <t xml:space="preserve">مهره چاکنت چپ گرد شفت آسیاب نشاسته اکسید</t>
  </si>
  <si>
    <t xml:space="preserve">31263334</t>
  </si>
  <si>
    <t xml:space="preserve">مهره سرشفت آسیاب نشاسته اکسید</t>
  </si>
  <si>
    <t xml:space="preserve">31263335</t>
  </si>
  <si>
    <r>
      <rPr>
        <sz val="10"/>
        <rFont val="FreeSans"/>
        <family val="2"/>
      </rPr>
      <t xml:space="preserve">مهره شفت پمپ ایران </t>
    </r>
    <r>
      <rPr>
        <sz val="10"/>
        <rFont val="Vazirmatn"/>
        <family val="0"/>
        <charset val="1"/>
      </rPr>
      <t xml:space="preserve">250 - 50</t>
    </r>
  </si>
  <si>
    <t xml:space="preserve">31263336</t>
  </si>
  <si>
    <t xml:space="preserve">مهره چرخ دوخت</t>
  </si>
  <si>
    <t xml:space="preserve">31263337</t>
  </si>
  <si>
    <r>
      <rPr>
        <sz val="10"/>
        <rFont val="FreeSans"/>
        <family val="2"/>
      </rPr>
      <t xml:space="preserve">مهره چشمی فولادی </t>
    </r>
    <r>
      <rPr>
        <sz val="10"/>
        <rFont val="Vazirmatn"/>
        <family val="0"/>
        <charset val="1"/>
      </rPr>
      <t xml:space="preserve">18</t>
    </r>
  </si>
  <si>
    <t xml:space="preserve">31263338</t>
  </si>
  <si>
    <r>
      <rPr>
        <sz val="10"/>
        <rFont val="FreeSans"/>
        <family val="2"/>
      </rPr>
      <t xml:space="preserve">مهره گلویی کولت فرز </t>
    </r>
    <r>
      <rPr>
        <sz val="10"/>
        <rFont val="Vazirmatn"/>
        <family val="0"/>
        <charset val="1"/>
      </rPr>
      <t xml:space="preserve">( Colet ) Q=60  M48*2</t>
    </r>
  </si>
  <si>
    <t xml:space="preserve">31263339</t>
  </si>
  <si>
    <r>
      <rPr>
        <sz val="10"/>
        <rFont val="FreeSans"/>
        <family val="2"/>
      </rPr>
      <t xml:space="preserve">مهره چشمی فولادی </t>
    </r>
    <r>
      <rPr>
        <sz val="10"/>
        <rFont val="Vazirmatn"/>
        <family val="0"/>
        <charset val="1"/>
      </rPr>
      <t xml:space="preserve">20</t>
    </r>
  </si>
  <si>
    <t xml:space="preserve">31263442</t>
  </si>
  <si>
    <r>
      <rPr>
        <sz val="10"/>
        <rFont val="FreeSans"/>
        <family val="2"/>
      </rPr>
      <t xml:space="preserve">مهره فولادی                     </t>
    </r>
    <r>
      <rPr>
        <sz val="10"/>
        <rFont val="Vazirmatn"/>
        <family val="0"/>
        <charset val="1"/>
      </rPr>
      <t xml:space="preserve">16</t>
    </r>
  </si>
  <si>
    <t xml:space="preserve">31263443</t>
  </si>
  <si>
    <r>
      <rPr>
        <sz val="10"/>
        <rFont val="FreeSans"/>
        <family val="2"/>
      </rPr>
      <t xml:space="preserve">مهره فولادی   </t>
    </r>
    <r>
      <rPr>
        <sz val="10"/>
        <rFont val="Vazirmatn"/>
        <family val="0"/>
        <charset val="1"/>
      </rPr>
      <t xml:space="preserve">12</t>
    </r>
  </si>
  <si>
    <t xml:space="preserve">31263444</t>
  </si>
  <si>
    <t xml:space="preserve">مهره سوزن گیر چرخ دوخت</t>
  </si>
  <si>
    <t xml:space="preserve">31263445</t>
  </si>
  <si>
    <r>
      <rPr>
        <sz val="10"/>
        <rFont val="FreeSans"/>
        <family val="2"/>
      </rPr>
      <t xml:space="preserve">مهره آهنی چپگرد  </t>
    </r>
    <r>
      <rPr>
        <sz val="10"/>
        <rFont val="Vazirmatn"/>
        <family val="0"/>
        <charset val="1"/>
      </rPr>
      <t xml:space="preserve">M7*P1  </t>
    </r>
    <r>
      <rPr>
        <sz val="10"/>
        <rFont val="FreeSans"/>
        <family val="2"/>
      </rPr>
      <t xml:space="preserve">گام </t>
    </r>
    <r>
      <rPr>
        <sz val="10"/>
        <rFont val="Vazirmatn"/>
        <family val="0"/>
        <charset val="1"/>
      </rPr>
      <t xml:space="preserve">1mm</t>
    </r>
  </si>
  <si>
    <t xml:space="preserve">31263446</t>
  </si>
  <si>
    <t xml:space="preserve">مهره چرخ عقب لیفتراک سپاهان</t>
  </si>
  <si>
    <t xml:space="preserve">31263447</t>
  </si>
  <si>
    <r>
      <rPr>
        <sz val="10"/>
        <rFont val="FreeSans"/>
        <family val="2"/>
      </rPr>
      <t xml:space="preserve">مهره فولادی </t>
    </r>
    <r>
      <rPr>
        <sz val="10"/>
        <rFont val="Vazirmatn"/>
        <family val="0"/>
        <charset val="1"/>
      </rPr>
      <t xml:space="preserve">18 ( </t>
    </r>
    <r>
      <rPr>
        <sz val="10"/>
        <rFont val="FreeSans"/>
        <family val="2"/>
      </rPr>
      <t xml:space="preserve">گام </t>
    </r>
    <r>
      <rPr>
        <sz val="10"/>
        <rFont val="Vazirmatn"/>
        <family val="0"/>
        <charset val="1"/>
      </rPr>
      <t xml:space="preserve">1/5 )</t>
    </r>
  </si>
  <si>
    <t xml:space="preserve">31263448</t>
  </si>
  <si>
    <r>
      <rPr>
        <sz val="10"/>
        <rFont val="FreeSans"/>
        <family val="2"/>
      </rPr>
      <t xml:space="preserve">مهره چرخ جلو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بزرگ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لیفتراک سپاهان</t>
    </r>
  </si>
  <si>
    <t xml:space="preserve">31263617</t>
  </si>
  <si>
    <r>
      <rPr>
        <sz val="10"/>
        <rFont val="FreeSans"/>
        <family val="2"/>
      </rPr>
      <t xml:space="preserve">مهره دفومینگ پمپ سپراتور     </t>
    </r>
    <r>
      <rPr>
        <sz val="10"/>
        <rFont val="Vazirmatn"/>
        <family val="0"/>
        <charset val="1"/>
      </rPr>
      <t xml:space="preserve">MD:854</t>
    </r>
  </si>
  <si>
    <t xml:space="preserve">31263620</t>
  </si>
  <si>
    <r>
      <rPr>
        <sz val="10"/>
        <rFont val="FreeSans"/>
        <family val="2"/>
      </rPr>
      <t xml:space="preserve">مهره فولادی                    </t>
    </r>
    <r>
      <rPr>
        <sz val="10"/>
        <rFont val="Vazirmatn"/>
        <family val="0"/>
        <charset val="1"/>
      </rPr>
      <t xml:space="preserve">20</t>
    </r>
  </si>
  <si>
    <t xml:space="preserve">31263621</t>
  </si>
  <si>
    <r>
      <rPr>
        <sz val="10"/>
        <rFont val="FreeSans"/>
        <family val="2"/>
      </rPr>
      <t xml:space="preserve">مهره فولادی            نمره </t>
    </r>
    <r>
      <rPr>
        <sz val="10"/>
        <rFont val="Vazirmatn"/>
        <family val="0"/>
        <charset val="1"/>
      </rPr>
      <t xml:space="preserve">25</t>
    </r>
  </si>
  <si>
    <t xml:space="preserve">31263622</t>
  </si>
  <si>
    <r>
      <rPr>
        <sz val="10"/>
        <rFont val="FreeSans"/>
        <family val="2"/>
      </rPr>
      <t xml:space="preserve">مهره  </t>
    </r>
    <r>
      <rPr>
        <sz val="10"/>
        <rFont val="Vazirmatn"/>
        <family val="0"/>
        <charset val="1"/>
      </rPr>
      <t xml:space="preserve">18   ( ABS )</t>
    </r>
  </si>
  <si>
    <t xml:space="preserve">31263623</t>
  </si>
  <si>
    <r>
      <rPr>
        <sz val="10"/>
        <rFont val="FreeSans"/>
        <family val="2"/>
      </rPr>
      <t xml:space="preserve">مهره گلند پمپ تانکر حمل گلوکوز       </t>
    </r>
    <r>
      <rPr>
        <sz val="10"/>
        <rFont val="Vazirmatn"/>
        <family val="0"/>
        <charset val="1"/>
      </rPr>
      <t xml:space="preserve">jk9</t>
    </r>
  </si>
  <si>
    <t xml:space="preserve">31264001</t>
  </si>
  <si>
    <t xml:space="preserve">کشوی مغزی درب آلومینیومی</t>
  </si>
  <si>
    <t xml:space="preserve">31264007</t>
  </si>
  <si>
    <t xml:space="preserve">محفظه پمپ</t>
  </si>
  <si>
    <t xml:space="preserve">31264015</t>
  </si>
  <si>
    <r>
      <rPr>
        <sz val="10"/>
        <rFont val="FreeSans"/>
        <family val="2"/>
      </rPr>
      <t xml:space="preserve">جای طنابی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محفظه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پمپ ایران </t>
    </r>
    <r>
      <rPr>
        <sz val="10"/>
        <rFont val="Vazirmatn"/>
        <family val="0"/>
        <charset val="1"/>
      </rPr>
      <t xml:space="preserve">250 - 150</t>
    </r>
  </si>
  <si>
    <t xml:space="preserve">31264016</t>
  </si>
  <si>
    <r>
      <rPr>
        <sz val="10"/>
        <rFont val="FreeSans"/>
        <family val="2"/>
      </rPr>
      <t xml:space="preserve">محفظه سیل مکانیکی پمپ  </t>
    </r>
    <r>
      <rPr>
        <sz val="10"/>
        <rFont val="Vazirmatn"/>
        <family val="0"/>
        <charset val="1"/>
      </rPr>
      <t xml:space="preserve">315 - 100 - 125</t>
    </r>
  </si>
  <si>
    <t xml:space="preserve">31264017</t>
  </si>
  <si>
    <r>
      <rPr>
        <sz val="10"/>
        <rFont val="FreeSans"/>
        <family val="2"/>
      </rPr>
      <t xml:space="preserve">محفظه سیل مکانیکی پمپ  </t>
    </r>
    <r>
      <rPr>
        <sz val="10"/>
        <rFont val="Vazirmatn"/>
        <family val="0"/>
        <charset val="1"/>
      </rPr>
      <t xml:space="preserve">250 - 80 - 125</t>
    </r>
  </si>
  <si>
    <t xml:space="preserve">31264018</t>
  </si>
  <si>
    <r>
      <rPr>
        <sz val="10"/>
        <rFont val="FreeSans"/>
        <family val="2"/>
      </rPr>
      <t xml:space="preserve">محفظه سیل مکانیکی پمپ </t>
    </r>
    <r>
      <rPr>
        <sz val="10"/>
        <rFont val="Vazirmatn"/>
        <family val="0"/>
        <charset val="1"/>
      </rPr>
      <t xml:space="preserve">IHD 125-80-200</t>
    </r>
  </si>
  <si>
    <t xml:space="preserve">31264019</t>
  </si>
  <si>
    <r>
      <rPr>
        <sz val="10"/>
        <rFont val="FreeSans"/>
        <family val="2"/>
      </rPr>
      <t xml:space="preserve">محفظه سیل مکانیکی پمپ  </t>
    </r>
    <r>
      <rPr>
        <sz val="10"/>
        <rFont val="Vazirmatn"/>
        <family val="0"/>
        <charset val="1"/>
      </rPr>
      <t xml:space="preserve">250 - 65 - 100 IHD</t>
    </r>
  </si>
  <si>
    <t xml:space="preserve">31264020</t>
  </si>
  <si>
    <r>
      <rPr>
        <sz val="10"/>
        <rFont val="FreeSans"/>
        <family val="2"/>
      </rPr>
      <t xml:space="preserve">محفظه سیل مکانیکی پمپ جت کوکر  </t>
    </r>
    <r>
      <rPr>
        <sz val="10"/>
        <rFont val="Vazirmatn"/>
        <family val="0"/>
        <charset val="1"/>
      </rPr>
      <t xml:space="preserve">250 - 40 - 65</t>
    </r>
  </si>
  <si>
    <t xml:space="preserve">31264022</t>
  </si>
  <si>
    <r>
      <rPr>
        <sz val="10"/>
        <rFont val="FreeSans"/>
        <family val="2"/>
      </rPr>
      <t xml:space="preserve">محفظه سیل پمپ </t>
    </r>
    <r>
      <rPr>
        <sz val="10"/>
        <rFont val="Vazirmatn"/>
        <family val="0"/>
        <charset val="1"/>
      </rPr>
      <t xml:space="preserve">250 - 100 - 125 IHD</t>
    </r>
  </si>
  <si>
    <t xml:space="preserve">31264023</t>
  </si>
  <si>
    <r>
      <rPr>
        <sz val="10"/>
        <rFont val="FreeSans"/>
        <family val="2"/>
      </rPr>
      <t xml:space="preserve">محفظه سیل پمپ </t>
    </r>
    <r>
      <rPr>
        <sz val="10"/>
        <rFont val="Vazirmatn"/>
        <family val="0"/>
        <charset val="1"/>
      </rPr>
      <t xml:space="preserve">450 - 100 - 125 IHD</t>
    </r>
  </si>
  <si>
    <t xml:space="preserve">31264024</t>
  </si>
  <si>
    <r>
      <rPr>
        <sz val="10"/>
        <rFont val="FreeSans"/>
        <family val="2"/>
      </rPr>
      <t xml:space="preserve">محفظه سیل پمپ </t>
    </r>
    <r>
      <rPr>
        <sz val="10"/>
        <rFont val="Vazirmatn"/>
        <family val="0"/>
        <charset val="1"/>
      </rPr>
      <t xml:space="preserve">200 - 65 - 80 IHD</t>
    </r>
  </si>
  <si>
    <t xml:space="preserve">31264025</t>
  </si>
  <si>
    <r>
      <rPr>
        <sz val="10"/>
        <rFont val="FreeSans"/>
        <family val="2"/>
      </rPr>
      <t xml:space="preserve">محفظه سیل پمپ  </t>
    </r>
    <r>
      <rPr>
        <sz val="10"/>
        <rFont val="Vazirmatn"/>
        <family val="0"/>
        <charset val="1"/>
      </rPr>
      <t xml:space="preserve">200 - 65 - 80 IHD</t>
    </r>
  </si>
  <si>
    <t xml:space="preserve">31264026</t>
  </si>
  <si>
    <r>
      <rPr>
        <sz val="10"/>
        <rFont val="FreeSans"/>
        <family val="2"/>
      </rPr>
      <t xml:space="preserve">محفظه سیل پمپ  </t>
    </r>
    <r>
      <rPr>
        <sz val="10"/>
        <rFont val="Vazirmatn"/>
        <family val="0"/>
        <charset val="1"/>
      </rPr>
      <t xml:space="preserve">250 - 50 - 65 IHD</t>
    </r>
  </si>
  <si>
    <t xml:space="preserve">31264031</t>
  </si>
  <si>
    <r>
      <rPr>
        <sz val="10"/>
        <rFont val="FreeSans"/>
        <family val="2"/>
      </rPr>
      <t xml:space="preserve">کلگی دوزینگ پمپ </t>
    </r>
    <r>
      <rPr>
        <sz val="10"/>
        <rFont val="Vazirmatn"/>
        <family val="0"/>
        <charset val="1"/>
      </rPr>
      <t xml:space="preserve">B-250N-75/B-43  DOSEURO</t>
    </r>
  </si>
  <si>
    <t xml:space="preserve">31264033</t>
  </si>
  <si>
    <t xml:space="preserve">محفظه طنابی مونو پمپ بارگیری فروکتوز</t>
  </si>
  <si>
    <t xml:space="preserve">31264034</t>
  </si>
  <si>
    <r>
      <rPr>
        <sz val="10"/>
        <rFont val="FreeSans"/>
        <family val="2"/>
      </rPr>
      <t xml:space="preserve">محفظه سیل پمپ  </t>
    </r>
    <r>
      <rPr>
        <sz val="10"/>
        <rFont val="Vazirmatn"/>
        <family val="0"/>
        <charset val="1"/>
      </rPr>
      <t xml:space="preserve">IHD100-65-315</t>
    </r>
  </si>
  <si>
    <t xml:space="preserve">31264035</t>
  </si>
  <si>
    <r>
      <rPr>
        <sz val="10"/>
        <rFont val="FreeSans"/>
        <family val="2"/>
      </rPr>
      <t xml:space="preserve">محفظه سیل پمپ  </t>
    </r>
    <r>
      <rPr>
        <sz val="10"/>
        <rFont val="Vazirmatn"/>
        <family val="0"/>
        <charset val="1"/>
      </rPr>
      <t xml:space="preserve">IHD250-200-315</t>
    </r>
  </si>
  <si>
    <t xml:space="preserve">31264036</t>
  </si>
  <si>
    <r>
      <rPr>
        <sz val="10"/>
        <rFont val="FreeSans"/>
        <family val="2"/>
      </rPr>
      <t xml:space="preserve">محفظه سیل پمپ  </t>
    </r>
    <r>
      <rPr>
        <sz val="10"/>
        <rFont val="Vazirmatn"/>
        <family val="0"/>
        <charset val="1"/>
      </rPr>
      <t xml:space="preserve">IHD250-200-350</t>
    </r>
  </si>
  <si>
    <t xml:space="preserve">31264037</t>
  </si>
  <si>
    <r>
      <rPr>
        <sz val="10"/>
        <rFont val="FreeSans"/>
        <family val="2"/>
      </rPr>
      <t xml:space="preserve">کلگی بخار ورودی به خشکن گرند  </t>
    </r>
    <r>
      <rPr>
        <sz val="10"/>
        <rFont val="Vazirmatn"/>
        <family val="0"/>
        <charset val="1"/>
      </rPr>
      <t xml:space="preserve">TYPE:GZG-600D TUBE BUNDEL DRYER</t>
    </r>
  </si>
  <si>
    <t xml:space="preserve">31264038</t>
  </si>
  <si>
    <r>
      <rPr>
        <sz val="10"/>
        <rFont val="FreeSans"/>
        <family val="2"/>
      </rPr>
      <t xml:space="preserve">کلگی بخار خروجی از خشکن گرند  </t>
    </r>
    <r>
      <rPr>
        <sz val="10"/>
        <rFont val="Vazirmatn"/>
        <family val="0"/>
        <charset val="1"/>
      </rPr>
      <t xml:space="preserve">TYPE:GZG-600D TUBE BUNDEL DRYER</t>
    </r>
  </si>
  <si>
    <t xml:space="preserve">31264100</t>
  </si>
  <si>
    <r>
      <rPr>
        <sz val="10"/>
        <rFont val="FreeSans"/>
        <family val="2"/>
      </rPr>
      <t xml:space="preserve">توپی کاسه دکانتور </t>
    </r>
    <r>
      <rPr>
        <sz val="10"/>
        <rFont val="Vazirmatn"/>
        <family val="0"/>
        <charset val="1"/>
      </rPr>
      <t xml:space="preserve">010 - 6602 - 8417</t>
    </r>
  </si>
  <si>
    <t xml:space="preserve">31264101</t>
  </si>
  <si>
    <r>
      <rPr>
        <sz val="10"/>
        <rFont val="FreeSans"/>
        <family val="2"/>
      </rPr>
      <t xml:space="preserve">گلدانی رابط گیربکس و بول دکانتور </t>
    </r>
    <r>
      <rPr>
        <sz val="10"/>
        <rFont val="Vazirmatn"/>
        <family val="0"/>
        <charset val="1"/>
      </rPr>
      <t xml:space="preserve">048 - 3358 - 8417</t>
    </r>
  </si>
  <si>
    <t xml:space="preserve">31264107</t>
  </si>
  <si>
    <t xml:space="preserve">درپوش سیل  استیل پمپ شربت</t>
  </si>
  <si>
    <t xml:space="preserve">31264111</t>
  </si>
  <si>
    <r>
      <rPr>
        <sz val="10"/>
        <rFont val="FreeSans"/>
        <family val="2"/>
      </rPr>
      <t xml:space="preserve">درپوش استیل </t>
    </r>
    <r>
      <rPr>
        <sz val="10"/>
        <rFont val="Vazirmatn"/>
        <family val="0"/>
        <charset val="1"/>
      </rPr>
      <t xml:space="preserve">.              1/4</t>
    </r>
    <r>
      <rPr>
        <sz val="10"/>
        <rFont val="FreeSans"/>
        <family val="2"/>
      </rPr>
      <t xml:space="preserve">اینچ</t>
    </r>
  </si>
  <si>
    <t xml:space="preserve">31264127</t>
  </si>
  <si>
    <t xml:space="preserve">درپوش استیل   بلبرینگ شفت سپراتور</t>
  </si>
  <si>
    <t xml:space="preserve">31264129</t>
  </si>
  <si>
    <t xml:space="preserve">درپوش سپراتور</t>
  </si>
  <si>
    <t xml:space="preserve">31264133</t>
  </si>
  <si>
    <r>
      <rPr>
        <sz val="10"/>
        <rFont val="FreeSans"/>
        <family val="2"/>
      </rPr>
      <t xml:space="preserve">درپوش چدنی پمپ کولینگ تاور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نری </t>
    </r>
    <r>
      <rPr>
        <sz val="10"/>
        <rFont val="Vazirmatn"/>
        <family val="0"/>
        <charset val="1"/>
      </rPr>
      <t xml:space="preserve">) 30 * 140</t>
    </r>
  </si>
  <si>
    <t xml:space="preserve">31264149</t>
  </si>
  <si>
    <r>
      <rPr>
        <sz val="10"/>
        <rFont val="FreeSans"/>
        <family val="2"/>
      </rPr>
      <t xml:space="preserve">درپوش جای کاسه نمد پمپ  </t>
    </r>
    <r>
      <rPr>
        <sz val="10"/>
        <rFont val="Vazirmatn"/>
        <family val="0"/>
        <charset val="1"/>
      </rPr>
      <t xml:space="preserve">250 * 80 * 125</t>
    </r>
  </si>
  <si>
    <t xml:space="preserve">31264150</t>
  </si>
  <si>
    <t xml:space="preserve">درپوش عینکی جای ذغالی</t>
  </si>
  <si>
    <t xml:space="preserve">31264151</t>
  </si>
  <si>
    <r>
      <rPr>
        <sz val="10"/>
        <rFont val="FreeSans"/>
        <family val="2"/>
      </rPr>
      <t xml:space="preserve">درپوش آهنی               </t>
    </r>
    <r>
      <rPr>
        <sz val="10"/>
        <rFont val="Vazirmatn"/>
        <family val="0"/>
        <charset val="1"/>
      </rPr>
      <t xml:space="preserve">" 3/4</t>
    </r>
  </si>
  <si>
    <t xml:space="preserve">31264153</t>
  </si>
  <si>
    <r>
      <rPr>
        <sz val="10"/>
        <rFont val="FreeSans"/>
        <family val="2"/>
      </rPr>
      <t xml:space="preserve">در پوش روغن پوسته گیربکس </t>
    </r>
    <r>
      <rPr>
        <sz val="10"/>
        <rFont val="Vazirmatn"/>
        <family val="0"/>
        <charset val="1"/>
      </rPr>
      <t xml:space="preserve">EN 100 . 00 . A 10</t>
    </r>
  </si>
  <si>
    <t xml:space="preserve">31264157</t>
  </si>
  <si>
    <t xml:space="preserve">درپوش بلبرینگ فید تیوپ دکانتور</t>
  </si>
  <si>
    <t xml:space="preserve">31264160</t>
  </si>
  <si>
    <r>
      <rPr>
        <sz val="10"/>
        <rFont val="FreeSans"/>
        <family val="2"/>
      </rPr>
      <t xml:space="preserve">درپوش چدنی عقب پمپ </t>
    </r>
    <r>
      <rPr>
        <sz val="10"/>
        <rFont val="Vazirmatn"/>
        <family val="0"/>
        <charset val="1"/>
      </rPr>
      <t xml:space="preserve">IHD 100-65-200</t>
    </r>
  </si>
  <si>
    <t xml:space="preserve">31264161</t>
  </si>
  <si>
    <t xml:space="preserve">درپوش چدنی آب پخش کن سرند</t>
  </si>
  <si>
    <t xml:space="preserve">31264167</t>
  </si>
  <si>
    <r>
      <rPr>
        <sz val="10"/>
        <rFont val="FreeSans"/>
        <family val="2"/>
      </rPr>
      <t xml:space="preserve">درپوش گیر بکس       </t>
    </r>
    <r>
      <rPr>
        <sz val="10"/>
        <rFont val="Vazirmatn"/>
        <family val="0"/>
        <charset val="1"/>
      </rPr>
      <t xml:space="preserve">40mm   sew   </t>
    </r>
    <r>
      <rPr>
        <sz val="10"/>
        <rFont val="FreeSans"/>
        <family val="2"/>
      </rPr>
      <t xml:space="preserve">قطر</t>
    </r>
  </si>
  <si>
    <t xml:space="preserve">31264175</t>
  </si>
  <si>
    <r>
      <rPr>
        <sz val="10"/>
        <rFont val="FreeSans"/>
        <family val="2"/>
      </rPr>
      <t xml:space="preserve">درپوش چدنی پمپ کولینگ تاور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مادگی </t>
    </r>
    <r>
      <rPr>
        <sz val="10"/>
        <rFont val="Vazirmatn"/>
        <family val="0"/>
        <charset val="1"/>
      </rPr>
      <t xml:space="preserve">) 25 * 140</t>
    </r>
  </si>
  <si>
    <t xml:space="preserve">31264183</t>
  </si>
  <si>
    <r>
      <rPr>
        <sz val="10"/>
        <rFont val="FreeSans"/>
        <family val="2"/>
      </rPr>
      <t xml:space="preserve">درپوش جلو و عقب الکتروموتور    </t>
    </r>
    <r>
      <rPr>
        <sz val="10"/>
        <rFont val="Vazirmatn"/>
        <family val="0"/>
        <charset val="1"/>
      </rPr>
      <t xml:space="preserve">22KW</t>
    </r>
  </si>
  <si>
    <t xml:space="preserve">31264184</t>
  </si>
  <si>
    <r>
      <rPr>
        <sz val="10"/>
        <rFont val="FreeSans"/>
        <family val="2"/>
      </rPr>
      <t xml:space="preserve">درپوش گیر بکس ایلماز    </t>
    </r>
    <r>
      <rPr>
        <sz val="10"/>
        <rFont val="Vazirmatn"/>
        <family val="0"/>
        <charset val="1"/>
      </rPr>
      <t xml:space="preserve">80mm </t>
    </r>
    <r>
      <rPr>
        <sz val="10"/>
        <rFont val="FreeSans"/>
        <family val="2"/>
      </rPr>
      <t xml:space="preserve">قطر</t>
    </r>
  </si>
  <si>
    <t xml:space="preserve">31264185</t>
  </si>
  <si>
    <r>
      <rPr>
        <sz val="10"/>
        <rFont val="FreeSans"/>
        <family val="2"/>
      </rPr>
      <t xml:space="preserve">درپوش گیربکس   </t>
    </r>
    <r>
      <rPr>
        <sz val="10"/>
        <rFont val="Vazirmatn"/>
        <family val="0"/>
        <charset val="1"/>
      </rPr>
      <t xml:space="preserve">90mm   sew   </t>
    </r>
    <r>
      <rPr>
        <sz val="10"/>
        <rFont val="FreeSans"/>
        <family val="2"/>
      </rPr>
      <t xml:space="preserve">قطر</t>
    </r>
  </si>
  <si>
    <t xml:space="preserve">31264188</t>
  </si>
  <si>
    <t xml:space="preserve">درپوش یاتاقان پدل میکسر</t>
  </si>
  <si>
    <t xml:space="preserve">31264189</t>
  </si>
  <si>
    <r>
      <rPr>
        <sz val="10"/>
        <rFont val="FreeSans"/>
        <family val="2"/>
      </rPr>
      <t xml:space="preserve">درپوش کاسه نمد    </t>
    </r>
    <r>
      <rPr>
        <sz val="10"/>
        <rFont val="Vazirmatn"/>
        <family val="0"/>
        <charset val="1"/>
      </rPr>
      <t xml:space="preserve">3161</t>
    </r>
  </si>
  <si>
    <t xml:space="preserve">31264190</t>
  </si>
  <si>
    <r>
      <rPr>
        <sz val="10"/>
        <rFont val="FreeSans"/>
        <family val="2"/>
      </rPr>
      <t xml:space="preserve">درپوش کاسه نمد    </t>
    </r>
    <r>
      <rPr>
        <sz val="10"/>
        <rFont val="Vazirmatn"/>
        <family val="0"/>
        <charset val="1"/>
      </rPr>
      <t xml:space="preserve">3141</t>
    </r>
  </si>
  <si>
    <t xml:space="preserve">31264191</t>
  </si>
  <si>
    <r>
      <rPr>
        <sz val="10"/>
        <rFont val="FreeSans"/>
        <family val="2"/>
      </rPr>
      <t xml:space="preserve">درپوش یاتاقان بوشی پمپ دنده ای تهران تولید </t>
    </r>
    <r>
      <rPr>
        <sz val="10"/>
        <rFont val="Vazirmatn"/>
        <family val="0"/>
        <charset val="1"/>
      </rPr>
      <t xml:space="preserve">jk9</t>
    </r>
  </si>
  <si>
    <t xml:space="preserve">31264192</t>
  </si>
  <si>
    <r>
      <rPr>
        <sz val="10"/>
        <rFont val="FreeSans"/>
        <family val="2"/>
      </rPr>
      <t xml:space="preserve">درپوش یاتاقان بوشی پمپ دنده ای تهران تولید </t>
    </r>
    <r>
      <rPr>
        <sz val="10"/>
        <rFont val="Vazirmatn"/>
        <family val="0"/>
        <charset val="1"/>
      </rPr>
      <t xml:space="preserve">jk9 </t>
    </r>
    <r>
      <rPr>
        <sz val="10"/>
        <rFont val="FreeSans"/>
        <family val="2"/>
      </rPr>
      <t xml:space="preserve">سمت موتور</t>
    </r>
  </si>
  <si>
    <t xml:space="preserve">31264193</t>
  </si>
  <si>
    <t xml:space="preserve">درپوش تنظیم فشار نخ چرخ دوخت</t>
  </si>
  <si>
    <t xml:space="preserve">31264194</t>
  </si>
  <si>
    <r>
      <rPr>
        <sz val="10"/>
        <rFont val="FreeSans"/>
        <family val="2"/>
      </rPr>
      <t xml:space="preserve">درپوش گیربکس  </t>
    </r>
    <r>
      <rPr>
        <sz val="10"/>
        <rFont val="Vazirmatn"/>
        <family val="0"/>
        <charset val="1"/>
      </rPr>
      <t xml:space="preserve">Q110</t>
    </r>
  </si>
  <si>
    <t xml:space="preserve">31264195</t>
  </si>
  <si>
    <t xml:space="preserve">درپوش بزرگ گیربکس درام اکسید</t>
  </si>
  <si>
    <t xml:space="preserve">31264207</t>
  </si>
  <si>
    <t xml:space="preserve">درپوش جلوی یاتاقان همزن نشاسته سازی</t>
  </si>
  <si>
    <t xml:space="preserve">31264209</t>
  </si>
  <si>
    <t xml:space="preserve">درپوش عقب یاتاقان همزن نشاسته سازی</t>
  </si>
  <si>
    <t xml:space="preserve">31264211</t>
  </si>
  <si>
    <t xml:space="preserve">درپوش چدنی شیر دیافراگمی</t>
  </si>
  <si>
    <t xml:space="preserve">31264216</t>
  </si>
  <si>
    <r>
      <rPr>
        <sz val="10"/>
        <rFont val="FreeSans"/>
        <family val="2"/>
      </rPr>
      <t xml:space="preserve">پوسته یاتاقان پمپ ایران  </t>
    </r>
    <r>
      <rPr>
        <sz val="10"/>
        <rFont val="Vazirmatn"/>
        <family val="0"/>
        <charset val="1"/>
      </rPr>
      <t xml:space="preserve">315 - 150</t>
    </r>
  </si>
  <si>
    <t xml:space="preserve">31264217</t>
  </si>
  <si>
    <r>
      <rPr>
        <sz val="10"/>
        <rFont val="FreeSans"/>
        <family val="2"/>
      </rPr>
      <t xml:space="preserve">درپوش دوزینگ پمپ  </t>
    </r>
    <r>
      <rPr>
        <sz val="10"/>
        <rFont val="Vazirmatn"/>
        <family val="0"/>
        <charset val="1"/>
      </rPr>
      <t xml:space="preserve">"1</t>
    </r>
  </si>
  <si>
    <t xml:space="preserve">31264219</t>
  </si>
  <si>
    <r>
      <rPr>
        <sz val="10"/>
        <rFont val="FreeSans"/>
        <family val="2"/>
      </rPr>
      <t xml:space="preserve">پوسته یاتاقان پمپ ایران  </t>
    </r>
    <r>
      <rPr>
        <sz val="10"/>
        <rFont val="Vazirmatn"/>
        <family val="0"/>
        <charset val="1"/>
      </rPr>
      <t xml:space="preserve">160 - 50</t>
    </r>
  </si>
  <si>
    <t xml:space="preserve">31264220</t>
  </si>
  <si>
    <r>
      <rPr>
        <sz val="10"/>
        <rFont val="FreeSans"/>
        <family val="2"/>
      </rPr>
      <t xml:space="preserve">پوسته حلزونی پمپ ایران  </t>
    </r>
    <r>
      <rPr>
        <sz val="10"/>
        <rFont val="Vazirmatn"/>
        <family val="0"/>
        <charset val="1"/>
      </rPr>
      <t xml:space="preserve">160 - 32</t>
    </r>
  </si>
  <si>
    <t xml:space="preserve">31264235</t>
  </si>
  <si>
    <r>
      <rPr>
        <sz val="10"/>
        <rFont val="FreeSans"/>
        <family val="2"/>
      </rPr>
      <t xml:space="preserve">درپوش پلاستیکی رزوه پیچ گوشتی خور    نمره </t>
    </r>
    <r>
      <rPr>
        <sz val="10"/>
        <rFont val="Vazirmatn"/>
        <family val="0"/>
        <charset val="1"/>
      </rPr>
      <t xml:space="preserve">16</t>
    </r>
  </si>
  <si>
    <t xml:space="preserve">31264236</t>
  </si>
  <si>
    <r>
      <rPr>
        <sz val="10"/>
        <rFont val="FreeSans"/>
        <family val="2"/>
      </rPr>
      <t xml:space="preserve">درپوش پلاستیکی رزوه پیچ گوشتی خور    نمره </t>
    </r>
    <r>
      <rPr>
        <sz val="10"/>
        <rFont val="Vazirmatn"/>
        <family val="0"/>
        <charset val="1"/>
      </rPr>
      <t xml:space="preserve">21</t>
    </r>
  </si>
  <si>
    <t xml:space="preserve">31264237</t>
  </si>
  <si>
    <r>
      <rPr>
        <sz val="10"/>
        <rFont val="FreeSans"/>
        <family val="2"/>
      </rPr>
      <t xml:space="preserve">درپوش پلاستیکی رزوه پیچ گوشتی خور    نمره </t>
    </r>
    <r>
      <rPr>
        <sz val="10"/>
        <rFont val="Vazirmatn"/>
        <family val="0"/>
        <charset val="1"/>
      </rPr>
      <t xml:space="preserve">13/5</t>
    </r>
  </si>
  <si>
    <t xml:space="preserve">31264238</t>
  </si>
  <si>
    <t xml:space="preserve">ته بند ترنچ پلاستیکی</t>
  </si>
  <si>
    <t xml:space="preserve">31264239</t>
  </si>
  <si>
    <r>
      <rPr>
        <sz val="10"/>
        <rFont val="FreeSans"/>
        <family val="2"/>
      </rPr>
      <t xml:space="preserve">ته بند گاتر  </t>
    </r>
    <r>
      <rPr>
        <sz val="10"/>
        <rFont val="Vazirmatn"/>
        <family val="0"/>
        <charset val="1"/>
      </rPr>
      <t xml:space="preserve">200mm*140mm</t>
    </r>
  </si>
  <si>
    <t xml:space="preserve">31264240</t>
  </si>
  <si>
    <r>
      <rPr>
        <sz val="10"/>
        <rFont val="FreeSans"/>
        <family val="2"/>
      </rPr>
      <t xml:space="preserve">ته بند گاتر  </t>
    </r>
    <r>
      <rPr>
        <sz val="10"/>
        <rFont val="Vazirmatn"/>
        <family val="0"/>
        <charset val="1"/>
      </rPr>
      <t xml:space="preserve">100mm*50mm</t>
    </r>
  </si>
  <si>
    <t xml:space="preserve">31264248</t>
  </si>
  <si>
    <r>
      <rPr>
        <sz val="10"/>
        <rFont val="FreeSans"/>
        <family val="2"/>
      </rPr>
      <t xml:space="preserve">کورکن آذین جوشی </t>
    </r>
    <r>
      <rPr>
        <sz val="10"/>
        <rFont val="Vazirmatn"/>
        <family val="0"/>
        <charset val="1"/>
      </rPr>
      <t xml:space="preserve">" 1/2</t>
    </r>
  </si>
  <si>
    <t xml:space="preserve">31264250</t>
  </si>
  <si>
    <r>
      <rPr>
        <sz val="10"/>
        <rFont val="FreeSans"/>
        <family val="2"/>
      </rPr>
      <t xml:space="preserve">درپوش چدنی عقبی پمپ سرندی   </t>
    </r>
    <r>
      <rPr>
        <sz val="10"/>
        <rFont val="Vazirmatn"/>
        <family val="0"/>
        <charset val="1"/>
      </rPr>
      <t xml:space="preserve">120</t>
    </r>
  </si>
  <si>
    <t xml:space="preserve">31264252</t>
  </si>
  <si>
    <r>
      <rPr>
        <sz val="10"/>
        <rFont val="FreeSans"/>
        <family val="2"/>
      </rPr>
      <t xml:space="preserve">کورکن آذین جوشی </t>
    </r>
    <r>
      <rPr>
        <sz val="10"/>
        <rFont val="Vazirmatn"/>
        <family val="0"/>
        <charset val="1"/>
      </rPr>
      <t xml:space="preserve">" 3/4</t>
    </r>
  </si>
  <si>
    <t xml:space="preserve">31264253</t>
  </si>
  <si>
    <t xml:space="preserve">درپوش پایه یاتاقان پمپ واش باطری</t>
  </si>
  <si>
    <t xml:space="preserve">31264259</t>
  </si>
  <si>
    <r>
      <rPr>
        <sz val="10"/>
        <rFont val="FreeSans"/>
        <family val="2"/>
      </rPr>
      <t xml:space="preserve">در پوش یاتاقان پمپ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پمپ ایران </t>
    </r>
    <r>
      <rPr>
        <sz val="10"/>
        <rFont val="Vazirmatn"/>
        <family val="0"/>
        <charset val="1"/>
      </rPr>
      <t xml:space="preserve">) 250 - 150</t>
    </r>
  </si>
  <si>
    <t xml:space="preserve">31264260</t>
  </si>
  <si>
    <r>
      <rPr>
        <sz val="10"/>
        <rFont val="FreeSans"/>
        <family val="2"/>
      </rPr>
      <t xml:space="preserve">درپوش یاتاقان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پمپ ایران </t>
    </r>
    <r>
      <rPr>
        <sz val="10"/>
        <rFont val="Vazirmatn"/>
        <family val="0"/>
        <charset val="1"/>
      </rPr>
      <t xml:space="preserve">) EN 65 - 200</t>
    </r>
  </si>
  <si>
    <t xml:space="preserve">31264261</t>
  </si>
  <si>
    <r>
      <rPr>
        <sz val="10"/>
        <rFont val="FreeSans"/>
        <family val="2"/>
      </rPr>
      <t xml:space="preserve">درپوش پمپ ایران    </t>
    </r>
    <r>
      <rPr>
        <sz val="10"/>
        <rFont val="Vazirmatn"/>
        <family val="0"/>
        <charset val="1"/>
      </rPr>
      <t xml:space="preserve">315 - 150</t>
    </r>
  </si>
  <si>
    <t xml:space="preserve">31264262</t>
  </si>
  <si>
    <r>
      <rPr>
        <sz val="10"/>
        <rFont val="FreeSans"/>
        <family val="2"/>
      </rPr>
      <t xml:space="preserve">درپوش عقب پمپ ایران  </t>
    </r>
    <r>
      <rPr>
        <sz val="10"/>
        <rFont val="Vazirmatn"/>
        <family val="0"/>
        <charset val="1"/>
      </rPr>
      <t xml:space="preserve">300 * 50</t>
    </r>
  </si>
  <si>
    <t xml:space="preserve">31264263</t>
  </si>
  <si>
    <r>
      <rPr>
        <sz val="10"/>
        <rFont val="FreeSans"/>
        <family val="2"/>
      </rPr>
      <t xml:space="preserve">درپوش جلوی پمپ ایران  </t>
    </r>
    <r>
      <rPr>
        <sz val="10"/>
        <rFont val="Vazirmatn"/>
        <family val="0"/>
        <charset val="1"/>
      </rPr>
      <t xml:space="preserve">300 * 50</t>
    </r>
  </si>
  <si>
    <t xml:space="preserve">31264265</t>
  </si>
  <si>
    <r>
      <rPr>
        <sz val="10"/>
        <rFont val="FreeSans"/>
        <family val="2"/>
      </rPr>
      <t xml:space="preserve">درپوش عقب پمپ </t>
    </r>
    <r>
      <rPr>
        <sz val="10"/>
        <rFont val="Vazirmatn"/>
        <family val="0"/>
        <charset val="1"/>
      </rPr>
      <t xml:space="preserve">250 - 100 - 125 IHD</t>
    </r>
  </si>
  <si>
    <t xml:space="preserve">31264266</t>
  </si>
  <si>
    <r>
      <rPr>
        <sz val="10"/>
        <rFont val="FreeSans"/>
        <family val="2"/>
      </rPr>
      <t xml:space="preserve">درپوش جلوی پمپ </t>
    </r>
    <r>
      <rPr>
        <sz val="10"/>
        <rFont val="Vazirmatn"/>
        <family val="0"/>
        <charset val="1"/>
      </rPr>
      <t xml:space="preserve">250 - 100 - 125 IHD</t>
    </r>
  </si>
  <si>
    <t xml:space="preserve">31264267</t>
  </si>
  <si>
    <r>
      <rPr>
        <sz val="10"/>
        <rFont val="FreeSans"/>
        <family val="2"/>
      </rPr>
      <t xml:space="preserve">درپوش عقب پمپ </t>
    </r>
    <r>
      <rPr>
        <sz val="10"/>
        <rFont val="Vazirmatn"/>
        <family val="0"/>
        <charset val="1"/>
      </rPr>
      <t xml:space="preserve">450 - 100 - 125 IHD</t>
    </r>
  </si>
  <si>
    <t xml:space="preserve">31264268</t>
  </si>
  <si>
    <t xml:space="preserve">درپوش جلویی پمپ سرندی</t>
  </si>
  <si>
    <t xml:space="preserve">31264269</t>
  </si>
  <si>
    <t xml:space="preserve">درپوش بلبرینگ پمپ خلاء درام پادوان</t>
  </si>
  <si>
    <t xml:space="preserve">31264272</t>
  </si>
  <si>
    <t xml:space="preserve">درپوش بلبرینگ جلو پمپ دفومینگ</t>
  </si>
  <si>
    <t xml:space="preserve">31264273</t>
  </si>
  <si>
    <r>
      <rPr>
        <sz val="10"/>
        <rFont val="FreeSans"/>
        <family val="2"/>
      </rPr>
      <t xml:space="preserve">درپوش جلوی پمپ </t>
    </r>
    <r>
      <rPr>
        <sz val="10"/>
        <rFont val="Vazirmatn"/>
        <family val="0"/>
        <charset val="1"/>
      </rPr>
      <t xml:space="preserve">450 - 100 - 125 IHD</t>
    </r>
  </si>
  <si>
    <t xml:space="preserve">31264274</t>
  </si>
  <si>
    <t xml:space="preserve">درپوش بلبرینگ عقب پمپ دفو مینگ</t>
  </si>
  <si>
    <t xml:space="preserve">31264278</t>
  </si>
  <si>
    <r>
      <rPr>
        <sz val="10"/>
        <rFont val="FreeSans"/>
        <family val="2"/>
      </rPr>
      <t xml:space="preserve">درپوش سیل پمپ  </t>
    </r>
    <r>
      <rPr>
        <sz val="10"/>
        <rFont val="Vazirmatn"/>
        <family val="0"/>
        <charset val="1"/>
      </rPr>
      <t xml:space="preserve">250 - 50 - 65 IHD</t>
    </r>
  </si>
  <si>
    <t xml:space="preserve">31264279</t>
  </si>
  <si>
    <r>
      <rPr>
        <sz val="10"/>
        <rFont val="FreeSans"/>
        <family val="2"/>
      </rPr>
      <t xml:space="preserve">درپوش یاتاقان عقب  پمپ  </t>
    </r>
    <r>
      <rPr>
        <sz val="10"/>
        <rFont val="Vazirmatn"/>
        <family val="0"/>
        <charset val="1"/>
      </rPr>
      <t xml:space="preserve">250 - 50 - 65 IHD</t>
    </r>
  </si>
  <si>
    <t xml:space="preserve">31264280</t>
  </si>
  <si>
    <r>
      <rPr>
        <sz val="10"/>
        <rFont val="FreeSans"/>
        <family val="2"/>
      </rPr>
      <t xml:space="preserve">درپوش یاتاقان جلوی  پمپ  </t>
    </r>
    <r>
      <rPr>
        <sz val="10"/>
        <rFont val="Vazirmatn"/>
        <family val="0"/>
        <charset val="1"/>
      </rPr>
      <t xml:space="preserve">250 - 50 - 65 IHD</t>
    </r>
  </si>
  <si>
    <t xml:space="preserve">31264281</t>
  </si>
  <si>
    <r>
      <rPr>
        <sz val="10"/>
        <rFont val="FreeSans"/>
        <family val="2"/>
      </rPr>
      <t xml:space="preserve">درپوش پروانه پمپ تغذیه سپراتور </t>
    </r>
    <r>
      <rPr>
        <sz val="10"/>
        <rFont val="Vazirmatn"/>
        <family val="0"/>
        <charset val="1"/>
      </rPr>
      <t xml:space="preserve">200 *60 *125</t>
    </r>
  </si>
  <si>
    <t xml:space="preserve">31264282</t>
  </si>
  <si>
    <t xml:space="preserve">درپوش نگهدارنده فنر سپراتور تغلیظ گلوتن</t>
  </si>
  <si>
    <t xml:space="preserve">31264283</t>
  </si>
  <si>
    <t xml:space="preserve">درپوش هوزینگ سپراتور تغلیظ</t>
  </si>
  <si>
    <t xml:space="preserve">31264285</t>
  </si>
  <si>
    <r>
      <rPr>
        <sz val="10"/>
        <rFont val="FreeSans"/>
        <family val="2"/>
      </rPr>
      <t xml:space="preserve">در پوش پمپ   </t>
    </r>
    <r>
      <rPr>
        <sz val="10"/>
        <rFont val="Vazirmatn"/>
        <family val="0"/>
        <charset val="1"/>
      </rPr>
      <t xml:space="preserve">200 - 80 - 125</t>
    </r>
  </si>
  <si>
    <t xml:space="preserve">31264286</t>
  </si>
  <si>
    <r>
      <rPr>
        <sz val="10"/>
        <rFont val="FreeSans"/>
        <family val="2"/>
      </rPr>
      <t xml:space="preserve">در پوش پمپ   </t>
    </r>
    <r>
      <rPr>
        <sz val="10"/>
        <rFont val="Vazirmatn"/>
        <family val="0"/>
        <charset val="1"/>
      </rPr>
      <t xml:space="preserve">250 - 80 - 125</t>
    </r>
  </si>
  <si>
    <t xml:space="preserve">31264288</t>
  </si>
  <si>
    <r>
      <rPr>
        <sz val="10"/>
        <rFont val="FreeSans"/>
        <family val="2"/>
      </rPr>
      <t xml:space="preserve">در پوش پمپ   </t>
    </r>
    <r>
      <rPr>
        <sz val="10"/>
        <rFont val="Vazirmatn"/>
        <family val="0"/>
        <charset val="1"/>
      </rPr>
      <t xml:space="preserve">200 - 65 - 100</t>
    </r>
  </si>
  <si>
    <t xml:space="preserve">31264289</t>
  </si>
  <si>
    <r>
      <rPr>
        <sz val="10"/>
        <rFont val="FreeSans"/>
        <family val="2"/>
      </rPr>
      <t xml:space="preserve">در پوش پمپ   </t>
    </r>
    <r>
      <rPr>
        <sz val="10"/>
        <rFont val="Vazirmatn"/>
        <family val="0"/>
        <charset val="1"/>
      </rPr>
      <t xml:space="preserve">250 - 65 - 100</t>
    </r>
  </si>
  <si>
    <t xml:space="preserve">31264292</t>
  </si>
  <si>
    <r>
      <rPr>
        <sz val="10"/>
        <rFont val="FreeSans"/>
        <family val="2"/>
      </rPr>
      <t xml:space="preserve">درپوش پوسته حلزونی پمپ ایران </t>
    </r>
    <r>
      <rPr>
        <sz val="10"/>
        <rFont val="Vazirmatn"/>
        <family val="0"/>
        <charset val="1"/>
      </rPr>
      <t xml:space="preserve">200 - 50</t>
    </r>
  </si>
  <si>
    <t xml:space="preserve">31264295</t>
  </si>
  <si>
    <r>
      <rPr>
        <sz val="10"/>
        <rFont val="FreeSans"/>
        <family val="2"/>
      </rPr>
      <t xml:space="preserve">درپوش بلبرینگ     </t>
    </r>
    <r>
      <rPr>
        <sz val="10"/>
        <rFont val="Vazirmatn"/>
        <family val="0"/>
        <charset val="1"/>
      </rPr>
      <t xml:space="preserve">160-50</t>
    </r>
  </si>
  <si>
    <t xml:space="preserve">31264296</t>
  </si>
  <si>
    <r>
      <rPr>
        <sz val="10"/>
        <rFont val="FreeSans"/>
        <family val="2"/>
      </rPr>
      <t xml:space="preserve">درپوش بلبرینگ     </t>
    </r>
    <r>
      <rPr>
        <sz val="10"/>
        <rFont val="Vazirmatn"/>
        <family val="0"/>
        <charset val="1"/>
      </rPr>
      <t xml:space="preserve">200-50</t>
    </r>
  </si>
  <si>
    <t xml:space="preserve">31264297</t>
  </si>
  <si>
    <r>
      <rPr>
        <sz val="10"/>
        <rFont val="FreeSans"/>
        <family val="2"/>
      </rPr>
      <t xml:space="preserve">درپوش بلبرینگ   </t>
    </r>
    <r>
      <rPr>
        <sz val="10"/>
        <rFont val="Vazirmatn"/>
        <family val="0"/>
        <charset val="1"/>
      </rPr>
      <t xml:space="preserve">315-65</t>
    </r>
  </si>
  <si>
    <t xml:space="preserve">31264298</t>
  </si>
  <si>
    <r>
      <rPr>
        <sz val="10"/>
        <rFont val="FreeSans"/>
        <family val="2"/>
      </rPr>
      <t xml:space="preserve">درپوش بلبرینگ    </t>
    </r>
    <r>
      <rPr>
        <sz val="10"/>
        <rFont val="Vazirmatn"/>
        <family val="0"/>
        <charset val="1"/>
      </rPr>
      <t xml:space="preserve">250-50</t>
    </r>
  </si>
  <si>
    <t xml:space="preserve">31264299</t>
  </si>
  <si>
    <r>
      <rPr>
        <sz val="10"/>
        <rFont val="FreeSans"/>
        <family val="2"/>
      </rPr>
      <t xml:space="preserve">درپوش بلبرینگ جلوی </t>
    </r>
    <r>
      <rPr>
        <sz val="10"/>
        <rFont val="Vazirmatn"/>
        <family val="0"/>
        <charset val="1"/>
      </rPr>
      <t xml:space="preserve">200 - 65 - 100</t>
    </r>
  </si>
  <si>
    <t xml:space="preserve">31264301</t>
  </si>
  <si>
    <t xml:space="preserve">درپوش روغن</t>
  </si>
  <si>
    <t xml:space="preserve">31264304</t>
  </si>
  <si>
    <r>
      <rPr>
        <sz val="10"/>
        <rFont val="FreeSans"/>
        <family val="2"/>
      </rPr>
      <t xml:space="preserve">درپوش محفظه سیل پمپ </t>
    </r>
    <r>
      <rPr>
        <sz val="10"/>
        <rFont val="Vazirmatn"/>
        <family val="0"/>
        <charset val="1"/>
      </rPr>
      <t xml:space="preserve">250 - 100 - 125 IHD</t>
    </r>
  </si>
  <si>
    <t xml:space="preserve">31264305</t>
  </si>
  <si>
    <r>
      <rPr>
        <sz val="10"/>
        <rFont val="FreeSans"/>
        <family val="2"/>
      </rPr>
      <t xml:space="preserve">درپوش محفظه سیل پمپ </t>
    </r>
    <r>
      <rPr>
        <sz val="10"/>
        <rFont val="Vazirmatn"/>
        <family val="0"/>
        <charset val="1"/>
      </rPr>
      <t xml:space="preserve">450 - 100 - 125 IHD</t>
    </r>
  </si>
  <si>
    <t xml:space="preserve">31264306</t>
  </si>
  <si>
    <r>
      <rPr>
        <sz val="10"/>
        <rFont val="FreeSans"/>
        <family val="2"/>
      </rPr>
      <t xml:space="preserve">درپوش محفظه سیل پمپ </t>
    </r>
    <r>
      <rPr>
        <sz val="10"/>
        <rFont val="Vazirmatn"/>
        <family val="0"/>
        <charset val="1"/>
      </rPr>
      <t xml:space="preserve">200 - 65 - 80 IHD</t>
    </r>
  </si>
  <si>
    <t xml:space="preserve">31264307</t>
  </si>
  <si>
    <r>
      <rPr>
        <sz val="10"/>
        <rFont val="FreeSans"/>
        <family val="2"/>
      </rPr>
      <t xml:space="preserve">درپوش محفظه سیل پمپ  </t>
    </r>
    <r>
      <rPr>
        <sz val="10"/>
        <rFont val="Vazirmatn"/>
        <family val="0"/>
        <charset val="1"/>
      </rPr>
      <t xml:space="preserve">200 - 65 - 80 IHD</t>
    </r>
  </si>
  <si>
    <t xml:space="preserve">31264309</t>
  </si>
  <si>
    <r>
      <rPr>
        <sz val="10"/>
        <rFont val="FreeSans"/>
        <family val="2"/>
      </rPr>
      <t xml:space="preserve">درپوش عقب پمپ    </t>
    </r>
    <r>
      <rPr>
        <sz val="10"/>
        <rFont val="Vazirmatn"/>
        <family val="0"/>
        <charset val="1"/>
      </rPr>
      <t xml:space="preserve">IHD:125-80-200</t>
    </r>
  </si>
  <si>
    <t xml:space="preserve">31264310</t>
  </si>
  <si>
    <r>
      <rPr>
        <sz val="10"/>
        <rFont val="FreeSans"/>
        <family val="2"/>
      </rPr>
      <t xml:space="preserve">درپوش جلو پمپ      </t>
    </r>
    <r>
      <rPr>
        <sz val="10"/>
        <rFont val="Vazirmatn"/>
        <family val="0"/>
        <charset val="1"/>
      </rPr>
      <t xml:space="preserve">IHD:   125-80-200</t>
    </r>
  </si>
  <si>
    <t xml:space="preserve">31264312</t>
  </si>
  <si>
    <r>
      <rPr>
        <sz val="10"/>
        <rFont val="FreeSans"/>
        <family val="2"/>
      </rPr>
      <t xml:space="preserve">درپوش عقب پمپ    </t>
    </r>
    <r>
      <rPr>
        <sz val="10"/>
        <rFont val="Vazirmatn"/>
        <family val="0"/>
        <charset val="1"/>
      </rPr>
      <t xml:space="preserve">KHZ 80-65-200</t>
    </r>
  </si>
  <si>
    <t xml:space="preserve">31264316</t>
  </si>
  <si>
    <r>
      <rPr>
        <sz val="10"/>
        <rFont val="FreeSans"/>
        <family val="2"/>
      </rPr>
      <t xml:space="preserve">هوزینگ بلبرینگ پایین آسیاب ایمپکت </t>
    </r>
    <r>
      <rPr>
        <sz val="10"/>
        <rFont val="Vazirmatn"/>
        <family val="0"/>
        <charset val="1"/>
      </rPr>
      <t xml:space="preserve">( 002-005155 )</t>
    </r>
  </si>
  <si>
    <t xml:space="preserve">31264375</t>
  </si>
  <si>
    <r>
      <rPr>
        <sz val="10"/>
        <rFont val="FreeSans"/>
        <family val="2"/>
      </rPr>
      <t xml:space="preserve">عدسی استیل             </t>
    </r>
    <r>
      <rPr>
        <sz val="10"/>
        <rFont val="Vazirmatn"/>
        <family val="0"/>
        <charset val="1"/>
      </rPr>
      <t xml:space="preserve">"10</t>
    </r>
  </si>
  <si>
    <t xml:space="preserve">31264377</t>
  </si>
  <si>
    <r>
      <rPr>
        <sz val="10"/>
        <rFont val="FreeSans"/>
        <family val="2"/>
      </rPr>
      <t xml:space="preserve">گپ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" 24</t>
    </r>
  </si>
  <si>
    <t xml:space="preserve">31264400</t>
  </si>
  <si>
    <r>
      <rPr>
        <sz val="10"/>
        <rFont val="FreeSans"/>
        <family val="2"/>
      </rPr>
      <t xml:space="preserve">عدسی استیل              </t>
    </r>
    <r>
      <rPr>
        <sz val="10"/>
        <rFont val="Vazirmatn"/>
        <family val="0"/>
        <charset val="1"/>
      </rPr>
      <t xml:space="preserve">" 4</t>
    </r>
  </si>
  <si>
    <t xml:space="preserve">31264401</t>
  </si>
  <si>
    <r>
      <rPr>
        <sz val="10"/>
        <rFont val="FreeSans"/>
        <family val="2"/>
      </rPr>
      <t xml:space="preserve">عدسی استیل              </t>
    </r>
    <r>
      <rPr>
        <sz val="10"/>
        <rFont val="Vazirmatn"/>
        <family val="0"/>
        <charset val="1"/>
      </rPr>
      <t xml:space="preserve">" 3</t>
    </r>
  </si>
  <si>
    <t xml:space="preserve">31264407</t>
  </si>
  <si>
    <r>
      <rPr>
        <sz val="10"/>
        <rFont val="FreeSans"/>
        <family val="2"/>
      </rPr>
      <t xml:space="preserve">عدسی استیل             </t>
    </r>
    <r>
      <rPr>
        <sz val="10"/>
        <rFont val="Vazirmatn"/>
        <family val="0"/>
        <charset val="1"/>
      </rPr>
      <t xml:space="preserve">"1</t>
    </r>
  </si>
  <si>
    <t xml:space="preserve">31264411</t>
  </si>
  <si>
    <r>
      <rPr>
        <sz val="10"/>
        <rFont val="FreeSans"/>
        <family val="2"/>
      </rPr>
      <t xml:space="preserve">عدسی آهنی رده </t>
    </r>
    <r>
      <rPr>
        <sz val="10"/>
        <rFont val="Vazirmatn"/>
        <family val="0"/>
        <charset val="1"/>
      </rPr>
      <t xml:space="preserve">40     "4</t>
    </r>
  </si>
  <si>
    <t xml:space="preserve">31264412</t>
  </si>
  <si>
    <r>
      <rPr>
        <sz val="10"/>
        <rFont val="FreeSans"/>
        <family val="2"/>
      </rPr>
      <t xml:space="preserve">عدسی آهنی              </t>
    </r>
    <r>
      <rPr>
        <sz val="10"/>
        <rFont val="Vazirmatn"/>
        <family val="0"/>
        <charset val="1"/>
      </rPr>
      <t xml:space="preserve">"5</t>
    </r>
  </si>
  <si>
    <t xml:space="preserve">31264414</t>
  </si>
  <si>
    <t xml:space="preserve">عدسی شیشه ای بازدید سپراتور</t>
  </si>
  <si>
    <t xml:space="preserve">31264415</t>
  </si>
  <si>
    <r>
      <rPr>
        <sz val="10"/>
        <rFont val="FreeSans"/>
        <family val="2"/>
      </rPr>
      <t xml:space="preserve">عدسی آهنی      اینچ </t>
    </r>
    <r>
      <rPr>
        <sz val="10"/>
        <rFont val="Vazirmatn"/>
        <family val="0"/>
        <charset val="1"/>
      </rPr>
      <t xml:space="preserve">12</t>
    </r>
  </si>
  <si>
    <t xml:space="preserve">31264416</t>
  </si>
  <si>
    <r>
      <rPr>
        <sz val="10"/>
        <rFont val="FreeSans"/>
        <family val="2"/>
      </rPr>
      <t xml:space="preserve">عدسی آهنی رده </t>
    </r>
    <r>
      <rPr>
        <sz val="10"/>
        <rFont val="Vazirmatn"/>
        <family val="0"/>
        <charset val="1"/>
      </rPr>
      <t xml:space="preserve">40         "6</t>
    </r>
  </si>
  <si>
    <t xml:space="preserve">31264417</t>
  </si>
  <si>
    <r>
      <rPr>
        <sz val="10"/>
        <rFont val="FreeSans"/>
        <family val="2"/>
      </rPr>
      <t xml:space="preserve">عدسی آهنی             </t>
    </r>
    <r>
      <rPr>
        <sz val="10"/>
        <rFont val="Vazirmatn"/>
        <family val="0"/>
        <charset val="1"/>
      </rPr>
      <t xml:space="preserve">"1</t>
    </r>
  </si>
  <si>
    <t xml:space="preserve">31264418</t>
  </si>
  <si>
    <r>
      <rPr>
        <sz val="10"/>
        <rFont val="FreeSans"/>
        <family val="2"/>
      </rPr>
      <t xml:space="preserve">عدسی آهنی      </t>
    </r>
    <r>
      <rPr>
        <sz val="10"/>
        <rFont val="Vazirmatn"/>
        <family val="0"/>
        <charset val="1"/>
      </rPr>
      <t xml:space="preserve">"2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</si>
  <si>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31264419</t>
  </si>
  <si>
    <r>
      <rPr>
        <sz val="10"/>
        <rFont val="FreeSans"/>
        <family val="2"/>
      </rPr>
      <t xml:space="preserve">عدسی آهنی رده </t>
    </r>
    <r>
      <rPr>
        <sz val="10"/>
        <rFont val="Vazirmatn"/>
        <family val="0"/>
        <charset val="1"/>
      </rPr>
      <t xml:space="preserve">40          " 3</t>
    </r>
  </si>
  <si>
    <t xml:space="preserve">31264420</t>
  </si>
  <si>
    <r>
      <rPr>
        <sz val="10"/>
        <rFont val="FreeSans"/>
        <family val="2"/>
      </rPr>
      <t xml:space="preserve">عدسی آهنی             </t>
    </r>
    <r>
      <rPr>
        <sz val="10"/>
        <rFont val="Vazirmatn"/>
        <family val="0"/>
        <charset val="1"/>
      </rPr>
      <t xml:space="preserve">"10</t>
    </r>
  </si>
  <si>
    <t xml:space="preserve">31264422</t>
  </si>
  <si>
    <r>
      <rPr>
        <sz val="10"/>
        <rFont val="FreeSans"/>
        <family val="2"/>
      </rPr>
      <t xml:space="preserve">گپ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عدسی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بالای بلبرینگ شفت آسیاب ایمپکت</t>
    </r>
  </si>
  <si>
    <t xml:space="preserve">31264423</t>
  </si>
  <si>
    <t xml:space="preserve">گپ روغن برگردان بیرینگ بالای شفت آسیاب ایمپکت</t>
  </si>
  <si>
    <t xml:space="preserve">31264424</t>
  </si>
  <si>
    <t xml:space="preserve">درپوش بلبرینگ یاتاقان آسیاب ایمپکت</t>
  </si>
  <si>
    <t xml:space="preserve">31264425</t>
  </si>
  <si>
    <r>
      <rPr>
        <sz val="10"/>
        <rFont val="FreeSans"/>
        <family val="2"/>
      </rPr>
      <t xml:space="preserve">درپوش کاسه نازل   </t>
    </r>
    <r>
      <rPr>
        <sz val="10"/>
        <rFont val="Vazirmatn"/>
        <family val="0"/>
        <charset val="1"/>
      </rPr>
      <t xml:space="preserve">2223  .26</t>
    </r>
  </si>
  <si>
    <t xml:space="preserve">31264428</t>
  </si>
  <si>
    <r>
      <rPr>
        <sz val="10"/>
        <rFont val="FreeSans"/>
        <family val="2"/>
      </rPr>
      <t xml:space="preserve">درپوش بلبرینگ عقب پمپ  </t>
    </r>
    <r>
      <rPr>
        <sz val="10"/>
        <rFont val="Vazirmatn"/>
        <family val="0"/>
        <charset val="1"/>
      </rPr>
      <t xml:space="preserve">IHD100-65-315</t>
    </r>
  </si>
  <si>
    <t xml:space="preserve">31264429</t>
  </si>
  <si>
    <r>
      <rPr>
        <sz val="10"/>
        <rFont val="FreeSans"/>
        <family val="2"/>
      </rPr>
      <t xml:space="preserve">درپوش بلبرینگ جلوی پمپ  </t>
    </r>
    <r>
      <rPr>
        <sz val="10"/>
        <rFont val="Vazirmatn"/>
        <family val="0"/>
        <charset val="1"/>
      </rPr>
      <t xml:space="preserve">IHD100-65-315</t>
    </r>
  </si>
  <si>
    <t xml:space="preserve">31264433</t>
  </si>
  <si>
    <r>
      <rPr>
        <sz val="10"/>
        <rFont val="FreeSans"/>
        <family val="2"/>
      </rPr>
      <t xml:space="preserve">درپوش بلبرینگ عقب پمپ  </t>
    </r>
    <r>
      <rPr>
        <sz val="10"/>
        <rFont val="Vazirmatn"/>
        <family val="0"/>
        <charset val="1"/>
      </rPr>
      <t xml:space="preserve">IHD250-200-315</t>
    </r>
  </si>
  <si>
    <t xml:space="preserve">31264434</t>
  </si>
  <si>
    <r>
      <rPr>
        <sz val="10"/>
        <rFont val="FreeSans"/>
        <family val="2"/>
      </rPr>
      <t xml:space="preserve">کلاهک ضربه گیر فنر توپی سپراتور </t>
    </r>
    <r>
      <rPr>
        <sz val="10"/>
        <rFont val="Vazirmatn"/>
        <family val="0"/>
        <charset val="1"/>
      </rPr>
      <t xml:space="preserve">70346</t>
    </r>
  </si>
  <si>
    <t xml:space="preserve">31264435</t>
  </si>
  <si>
    <r>
      <rPr>
        <sz val="10"/>
        <rFont val="FreeSans"/>
        <family val="2"/>
      </rPr>
      <t xml:space="preserve">درپوش بلبرینگ جلوی پمپ  </t>
    </r>
    <r>
      <rPr>
        <sz val="10"/>
        <rFont val="Vazirmatn"/>
        <family val="0"/>
        <charset val="1"/>
      </rPr>
      <t xml:space="preserve">IHD250-200-315</t>
    </r>
  </si>
  <si>
    <t xml:space="preserve">31264436</t>
  </si>
  <si>
    <r>
      <rPr>
        <sz val="10"/>
        <rFont val="FreeSans"/>
        <family val="2"/>
      </rPr>
      <t xml:space="preserve">کلاهک دستگاه سپراتور  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4/1 </t>
    </r>
    <r>
      <rPr>
        <sz val="10"/>
        <rFont val="FreeSans"/>
        <family val="2"/>
      </rPr>
      <t xml:space="preserve">اینچ</t>
    </r>
  </si>
  <si>
    <t xml:space="preserve">31264437</t>
  </si>
  <si>
    <r>
      <rPr>
        <sz val="10"/>
        <rFont val="FreeSans"/>
        <family val="2"/>
      </rPr>
      <t xml:space="preserve">درپوش بلبرینگ عقب پمپ   </t>
    </r>
    <r>
      <rPr>
        <sz val="10"/>
        <rFont val="Vazirmatn"/>
        <family val="0"/>
        <charset val="1"/>
      </rPr>
      <t xml:space="preserve">IHD250-200-350</t>
    </r>
  </si>
  <si>
    <t xml:space="preserve">31264438</t>
  </si>
  <si>
    <t xml:space="preserve">کلاهک استیل</t>
  </si>
  <si>
    <t xml:space="preserve">31264439</t>
  </si>
  <si>
    <r>
      <rPr>
        <sz val="10"/>
        <rFont val="FreeSans"/>
        <family val="2"/>
      </rPr>
      <t xml:space="preserve">درپوش بلبرینگ جلوی پمپ  </t>
    </r>
    <r>
      <rPr>
        <sz val="10"/>
        <rFont val="Vazirmatn"/>
        <family val="0"/>
        <charset val="1"/>
      </rPr>
      <t xml:space="preserve">IHD250-200-350</t>
    </r>
  </si>
  <si>
    <t xml:space="preserve">31264440</t>
  </si>
  <si>
    <r>
      <rPr>
        <sz val="10"/>
        <rFont val="FreeSans"/>
        <family val="2"/>
      </rPr>
      <t xml:space="preserve">درپوش کورکن گیربکس </t>
    </r>
    <r>
      <rPr>
        <sz val="10"/>
        <rFont val="Vazirmatn"/>
        <family val="0"/>
        <charset val="1"/>
      </rPr>
      <t xml:space="preserve">Q=120mm</t>
    </r>
  </si>
  <si>
    <t xml:space="preserve">31264441</t>
  </si>
  <si>
    <r>
      <rPr>
        <sz val="10"/>
        <rFont val="FreeSans"/>
        <family val="2"/>
      </rPr>
      <t xml:space="preserve">درپوش کورکن گیربکس </t>
    </r>
    <r>
      <rPr>
        <sz val="10"/>
        <rFont val="Vazirmatn"/>
        <family val="0"/>
        <charset val="1"/>
      </rPr>
      <t xml:space="preserve">Q=100mm</t>
    </r>
  </si>
  <si>
    <t xml:space="preserve">31264442</t>
  </si>
  <si>
    <r>
      <rPr>
        <sz val="10"/>
        <rFont val="FreeSans"/>
        <family val="2"/>
      </rPr>
      <t xml:space="preserve">درپوش کورکن گیربکس </t>
    </r>
    <r>
      <rPr>
        <sz val="10"/>
        <rFont val="Vazirmatn"/>
        <family val="0"/>
        <charset val="1"/>
      </rPr>
      <t xml:space="preserve">Q=110mm</t>
    </r>
  </si>
  <si>
    <t xml:space="preserve">31264443</t>
  </si>
  <si>
    <r>
      <rPr>
        <sz val="10"/>
        <rFont val="FreeSans"/>
        <family val="2"/>
      </rPr>
      <t xml:space="preserve">درپوش لوله بخاری </t>
    </r>
    <r>
      <rPr>
        <sz val="10"/>
        <rFont val="Vazirmatn"/>
        <family val="0"/>
        <charset val="1"/>
      </rPr>
      <t xml:space="preserve">15</t>
    </r>
  </si>
  <si>
    <t xml:space="preserve">31264444</t>
  </si>
  <si>
    <r>
      <rPr>
        <sz val="10"/>
        <rFont val="FreeSans"/>
        <family val="2"/>
      </rPr>
      <t xml:space="preserve">درپوش لوله بخاری </t>
    </r>
    <r>
      <rPr>
        <sz val="10"/>
        <rFont val="Vazirmatn"/>
        <family val="0"/>
        <charset val="1"/>
      </rPr>
      <t xml:space="preserve">10</t>
    </r>
  </si>
  <si>
    <t xml:space="preserve">31264451</t>
  </si>
  <si>
    <r>
      <rPr>
        <sz val="10"/>
        <rFont val="FreeSans"/>
        <family val="2"/>
      </rPr>
      <t xml:space="preserve">کلاهک گالوانیزه </t>
    </r>
    <r>
      <rPr>
        <sz val="10"/>
        <rFont val="Vazirmatn"/>
        <family val="0"/>
        <charset val="1"/>
      </rPr>
      <t xml:space="preserve">( H )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10Cm</t>
    </r>
  </si>
  <si>
    <t xml:space="preserve">31264452</t>
  </si>
  <si>
    <r>
      <rPr>
        <sz val="10"/>
        <rFont val="FreeSans"/>
        <family val="2"/>
      </rPr>
      <t xml:space="preserve">کلاهک گالوانیزه لوله بخاری </t>
    </r>
    <r>
      <rPr>
        <sz val="10"/>
        <rFont val="Vazirmatn"/>
        <family val="0"/>
        <charset val="1"/>
      </rPr>
      <t xml:space="preserve">15</t>
    </r>
  </si>
  <si>
    <t xml:space="preserve">31264499</t>
  </si>
  <si>
    <r>
      <rPr>
        <sz val="10"/>
        <rFont val="FreeSans"/>
        <family val="2"/>
      </rPr>
      <t xml:space="preserve">کاسه عقب موتوژن </t>
    </r>
    <r>
      <rPr>
        <sz val="10"/>
        <rFont val="Vazirmatn"/>
        <family val="0"/>
        <charset val="1"/>
      </rPr>
      <t xml:space="preserve">0/75KW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80</t>
    </r>
  </si>
  <si>
    <t xml:space="preserve">31264500</t>
  </si>
  <si>
    <r>
      <rPr>
        <sz val="10"/>
        <rFont val="FreeSans"/>
        <family val="2"/>
      </rPr>
      <t xml:space="preserve">کاسه جلوی موتوژن </t>
    </r>
    <r>
      <rPr>
        <sz val="10"/>
        <rFont val="Vazirmatn"/>
        <family val="0"/>
        <charset val="1"/>
      </rPr>
      <t xml:space="preserve">0/75KW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80</t>
    </r>
  </si>
  <si>
    <t xml:space="preserve">31264501</t>
  </si>
  <si>
    <r>
      <rPr>
        <sz val="10"/>
        <rFont val="FreeSans"/>
        <family val="2"/>
      </rPr>
      <t xml:space="preserve">کاسه جلوی الکترو موتور   </t>
    </r>
    <r>
      <rPr>
        <sz val="10"/>
        <rFont val="Vazirmatn"/>
        <family val="0"/>
        <charset val="1"/>
      </rPr>
      <t xml:space="preserve">3000-7/5</t>
    </r>
  </si>
  <si>
    <t xml:space="preserve">31264502</t>
  </si>
  <si>
    <t xml:space="preserve">کاسه بلبرینگ پمپ خلاء درام پادوان</t>
  </si>
  <si>
    <t xml:space="preserve">31264503</t>
  </si>
  <si>
    <r>
      <rPr>
        <sz val="10"/>
        <rFont val="FreeSans"/>
        <family val="2"/>
      </rPr>
      <t xml:space="preserve">کاسه عقب الکترو موتور         </t>
    </r>
    <r>
      <rPr>
        <sz val="10"/>
        <rFont val="Vazirmatn"/>
        <family val="0"/>
        <charset val="1"/>
      </rPr>
      <t xml:space="preserve">3000-7/5</t>
    </r>
  </si>
  <si>
    <t xml:space="preserve">31264505</t>
  </si>
  <si>
    <r>
      <rPr>
        <sz val="10"/>
        <rFont val="FreeSans"/>
        <family val="2"/>
      </rPr>
      <t xml:space="preserve">کاسه عقب الکترو موتور  </t>
    </r>
    <r>
      <rPr>
        <sz val="10"/>
        <rFont val="Vazirmatn"/>
        <family val="0"/>
        <charset val="1"/>
      </rPr>
      <t xml:space="preserve">3000-11kw</t>
    </r>
  </si>
  <si>
    <t xml:space="preserve">31264509</t>
  </si>
  <si>
    <t xml:space="preserve">پوشش بلبرینگ گیربکس همزن کارخانه</t>
  </si>
  <si>
    <t xml:space="preserve">31264513</t>
  </si>
  <si>
    <r>
      <rPr>
        <sz val="10"/>
        <rFont val="FreeSans"/>
        <family val="2"/>
      </rPr>
      <t xml:space="preserve">پوشش جای کاسه نمد      </t>
    </r>
    <r>
      <rPr>
        <sz val="10"/>
        <rFont val="Vazirmatn"/>
        <family val="0"/>
        <charset val="1"/>
      </rPr>
      <t xml:space="preserve">3141-3161</t>
    </r>
  </si>
  <si>
    <t xml:space="preserve">31264514</t>
  </si>
  <si>
    <r>
      <rPr>
        <sz val="10"/>
        <rFont val="FreeSans"/>
        <family val="2"/>
      </rPr>
      <t xml:space="preserve">کاسه جلوی موتور کولر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موتوژن </t>
    </r>
    <r>
      <rPr>
        <sz val="10"/>
        <rFont val="Vazirmatn"/>
        <family val="0"/>
        <charset val="1"/>
      </rPr>
      <t xml:space="preserve">)  " 3/4  HP</t>
    </r>
  </si>
  <si>
    <t xml:space="preserve">31264515</t>
  </si>
  <si>
    <r>
      <rPr>
        <sz val="10"/>
        <rFont val="FreeSans"/>
        <family val="2"/>
      </rPr>
      <t xml:space="preserve">پوشش کاسه نمد سپراتور   </t>
    </r>
    <r>
      <rPr>
        <sz val="10"/>
        <rFont val="Vazirmatn"/>
        <family val="0"/>
        <charset val="1"/>
      </rPr>
      <t xml:space="preserve">70782</t>
    </r>
  </si>
  <si>
    <t xml:space="preserve">31264516</t>
  </si>
  <si>
    <r>
      <rPr>
        <sz val="10"/>
        <rFont val="FreeSans"/>
        <family val="2"/>
      </rPr>
      <t xml:space="preserve">پوشش جای ذغالی سپراتور  </t>
    </r>
    <r>
      <rPr>
        <sz val="10"/>
        <rFont val="Vazirmatn"/>
        <family val="0"/>
        <charset val="1"/>
      </rPr>
      <t xml:space="preserve">73211</t>
    </r>
  </si>
  <si>
    <t xml:space="preserve">31264518</t>
  </si>
  <si>
    <r>
      <rPr>
        <sz val="10"/>
        <rFont val="FreeSans"/>
        <family val="2"/>
      </rPr>
      <t xml:space="preserve">کاسه عقب موتور کولر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موتوژن </t>
    </r>
    <r>
      <rPr>
        <sz val="10"/>
        <rFont val="Vazirmatn"/>
        <family val="0"/>
        <charset val="1"/>
      </rPr>
      <t xml:space="preserve">)  " 3/4  HP</t>
    </r>
  </si>
  <si>
    <t xml:space="preserve">31264522</t>
  </si>
  <si>
    <r>
      <rPr>
        <sz val="10"/>
        <rFont val="FreeSans"/>
        <family val="2"/>
      </rPr>
      <t xml:space="preserve">پوشش ذغالی پمپ  </t>
    </r>
    <r>
      <rPr>
        <sz val="10"/>
        <rFont val="Vazirmatn"/>
        <family val="0"/>
        <charset val="1"/>
      </rPr>
      <t xml:space="preserve">315  - 100 -  125</t>
    </r>
  </si>
  <si>
    <t xml:space="preserve">31264523</t>
  </si>
  <si>
    <r>
      <rPr>
        <sz val="10"/>
        <rFont val="FreeSans"/>
        <family val="2"/>
      </rPr>
      <t xml:space="preserve">پوشش ذغال پمپ  </t>
    </r>
    <r>
      <rPr>
        <sz val="10"/>
        <rFont val="Vazirmatn"/>
        <family val="0"/>
        <charset val="1"/>
      </rPr>
      <t xml:space="preserve">250 - 65 - 100</t>
    </r>
  </si>
  <si>
    <t xml:space="preserve">31264524</t>
  </si>
  <si>
    <r>
      <rPr>
        <sz val="10"/>
        <rFont val="FreeSans"/>
        <family val="2"/>
      </rPr>
      <t xml:space="preserve">پوشش ذغال  پمپ  </t>
    </r>
    <r>
      <rPr>
        <sz val="10"/>
        <rFont val="Vazirmatn"/>
        <family val="0"/>
        <charset val="1"/>
      </rPr>
      <t xml:space="preserve">200 - 65 - 100</t>
    </r>
  </si>
  <si>
    <t xml:space="preserve">31264525</t>
  </si>
  <si>
    <r>
      <rPr>
        <sz val="10"/>
        <rFont val="FreeSans"/>
        <family val="2"/>
      </rPr>
      <t xml:space="preserve">پوشش ذغال پمپ  </t>
    </r>
    <r>
      <rPr>
        <sz val="10"/>
        <rFont val="Vazirmatn"/>
        <family val="0"/>
        <charset val="1"/>
      </rPr>
      <t xml:space="preserve">200 - 80 - 125</t>
    </r>
  </si>
  <si>
    <t xml:space="preserve">31264526</t>
  </si>
  <si>
    <r>
      <rPr>
        <sz val="10"/>
        <rFont val="FreeSans"/>
        <family val="2"/>
      </rPr>
      <t xml:space="preserve">پوشش ذغال پمپ  </t>
    </r>
    <r>
      <rPr>
        <sz val="10"/>
        <rFont val="Vazirmatn"/>
        <family val="0"/>
        <charset val="1"/>
      </rPr>
      <t xml:space="preserve">250 - 80 - 125</t>
    </r>
  </si>
  <si>
    <t xml:space="preserve">31264527</t>
  </si>
  <si>
    <r>
      <rPr>
        <sz val="10"/>
        <rFont val="FreeSans"/>
        <family val="2"/>
      </rPr>
      <t xml:space="preserve">پوشش ذغال پمپ جت کوکر  </t>
    </r>
    <r>
      <rPr>
        <sz val="10"/>
        <rFont val="Vazirmatn"/>
        <family val="0"/>
        <charset val="1"/>
      </rPr>
      <t xml:space="preserve">250 - 40 - 65</t>
    </r>
  </si>
  <si>
    <t xml:space="preserve">31264529</t>
  </si>
  <si>
    <r>
      <rPr>
        <sz val="10"/>
        <rFont val="FreeSans"/>
        <family val="2"/>
      </rPr>
      <t xml:space="preserve">پوشش جلویی پمپ   </t>
    </r>
    <r>
      <rPr>
        <sz val="10"/>
        <rFont val="Vazirmatn"/>
        <family val="0"/>
        <charset val="1"/>
      </rPr>
      <t xml:space="preserve">250 * 40 * 65</t>
    </r>
  </si>
  <si>
    <t xml:space="preserve">31264531</t>
  </si>
  <si>
    <r>
      <rPr>
        <sz val="10"/>
        <rFont val="FreeSans"/>
        <family val="2"/>
      </rPr>
      <t xml:space="preserve">پوشش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قطعه عینکی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پمپ ایران </t>
    </r>
    <r>
      <rPr>
        <sz val="10"/>
        <rFont val="Vazirmatn"/>
        <family val="0"/>
        <charset val="1"/>
      </rPr>
      <t xml:space="preserve">250 - 150</t>
    </r>
  </si>
  <si>
    <t xml:space="preserve">31264532</t>
  </si>
  <si>
    <r>
      <rPr>
        <sz val="10"/>
        <rFont val="FreeSans"/>
        <family val="2"/>
      </rPr>
      <t xml:space="preserve">پوشش آهنی                      اینچ </t>
    </r>
    <r>
      <rPr>
        <sz val="10"/>
        <rFont val="Vazirmatn"/>
        <family val="0"/>
        <charset val="1"/>
      </rPr>
      <t xml:space="preserve">2</t>
    </r>
  </si>
  <si>
    <t xml:space="preserve">31264533</t>
  </si>
  <si>
    <r>
      <rPr>
        <sz val="10"/>
        <rFont val="FreeSans"/>
        <family val="2"/>
      </rPr>
      <t xml:space="preserve">پوشش لرزه گیر لاستیکی   </t>
    </r>
    <r>
      <rPr>
        <sz val="10"/>
        <rFont val="Vazirmatn"/>
        <family val="0"/>
        <charset val="1"/>
      </rPr>
      <t xml:space="preserve">65237</t>
    </r>
  </si>
  <si>
    <t xml:space="preserve">31264534</t>
  </si>
  <si>
    <r>
      <rPr>
        <sz val="10"/>
        <rFont val="FreeSans"/>
        <family val="2"/>
      </rPr>
      <t xml:space="preserve">پوشش لرزه گیر لاستیکی   </t>
    </r>
    <r>
      <rPr>
        <sz val="10"/>
        <rFont val="Vazirmatn"/>
        <family val="0"/>
        <charset val="1"/>
      </rPr>
      <t xml:space="preserve">65236</t>
    </r>
  </si>
  <si>
    <t xml:space="preserve">31264535</t>
  </si>
  <si>
    <r>
      <rPr>
        <sz val="10"/>
        <rFont val="FreeSans"/>
        <family val="2"/>
      </rPr>
      <t xml:space="preserve">پوشش لرزه گیر لاستیکی   </t>
    </r>
    <r>
      <rPr>
        <sz val="10"/>
        <rFont val="Vazirmatn"/>
        <family val="0"/>
        <charset val="1"/>
      </rPr>
      <t xml:space="preserve">65234</t>
    </r>
  </si>
  <si>
    <t xml:space="preserve">31264536</t>
  </si>
  <si>
    <r>
      <rPr>
        <sz val="10"/>
        <rFont val="FreeSans"/>
        <family val="2"/>
      </rPr>
      <t xml:space="preserve">پوشش لرزه گیر لاستیکی   </t>
    </r>
    <r>
      <rPr>
        <sz val="10"/>
        <rFont val="Vazirmatn"/>
        <family val="0"/>
        <charset val="1"/>
      </rPr>
      <t xml:space="preserve">65233</t>
    </r>
  </si>
  <si>
    <t xml:space="preserve">31264537</t>
  </si>
  <si>
    <r>
      <rPr>
        <sz val="10"/>
        <rFont val="FreeSans"/>
        <family val="2"/>
      </rPr>
      <t xml:space="preserve">پوشش استیل                    </t>
    </r>
    <r>
      <rPr>
        <sz val="10"/>
        <rFont val="Vazirmatn"/>
        <family val="0"/>
        <charset val="1"/>
      </rPr>
      <t xml:space="preserve">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2</t>
    </r>
  </si>
  <si>
    <t xml:space="preserve">31264540</t>
  </si>
  <si>
    <r>
      <rPr>
        <sz val="10"/>
        <rFont val="FreeSans"/>
        <family val="2"/>
      </rPr>
      <t xml:space="preserve">پوشش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قطعه عینکی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پمپ ایران </t>
    </r>
    <r>
      <rPr>
        <sz val="10"/>
        <rFont val="Vazirmatn"/>
        <family val="0"/>
        <charset val="1"/>
      </rPr>
      <t xml:space="preserve">200 - 65</t>
    </r>
  </si>
  <si>
    <t xml:space="preserve">31264541</t>
  </si>
  <si>
    <t xml:space="preserve">پوشش استیل پروانه پمپ شربت</t>
  </si>
  <si>
    <t xml:space="preserve">31264543</t>
  </si>
  <si>
    <r>
      <rPr>
        <sz val="10"/>
        <rFont val="FreeSans"/>
        <family val="2"/>
      </rPr>
      <t xml:space="preserve">پوشش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بادامی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جای طنابی منو پمپ </t>
    </r>
    <r>
      <rPr>
        <sz val="10"/>
        <rFont val="Vazirmatn"/>
        <family val="0"/>
        <charset val="1"/>
      </rPr>
      <t xml:space="preserve">A - 50</t>
    </r>
  </si>
  <si>
    <t xml:space="preserve">31264544</t>
  </si>
  <si>
    <r>
      <rPr>
        <sz val="10"/>
        <rFont val="FreeSans"/>
        <family val="2"/>
      </rPr>
      <t xml:space="preserve">پوشش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قطعه عینکی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پمپ ایران </t>
    </r>
    <r>
      <rPr>
        <sz val="10"/>
        <rFont val="Vazirmatn"/>
        <family val="0"/>
        <charset val="1"/>
      </rPr>
      <t xml:space="preserve">160 - 50</t>
    </r>
  </si>
  <si>
    <t xml:space="preserve">31264545</t>
  </si>
  <si>
    <r>
      <rPr>
        <sz val="10"/>
        <rFont val="FreeSans"/>
        <family val="2"/>
      </rPr>
      <t xml:space="preserve">پوشش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بادامی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جای طنابی منو پمپ</t>
    </r>
  </si>
  <si>
    <t xml:space="preserve">31264546</t>
  </si>
  <si>
    <r>
      <rPr>
        <sz val="10"/>
        <rFont val="FreeSans"/>
        <family val="2"/>
      </rPr>
      <t xml:space="preserve">پوشش استیل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قطعه عینکی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پمپ سودا</t>
    </r>
  </si>
  <si>
    <t xml:space="preserve">31264547</t>
  </si>
  <si>
    <t xml:space="preserve">پوشش استیل پروانه پمپ سرند</t>
  </si>
  <si>
    <t xml:space="preserve">31264548</t>
  </si>
  <si>
    <r>
      <rPr>
        <sz val="10"/>
        <rFont val="FreeSans"/>
        <family val="2"/>
      </rPr>
      <t xml:space="preserve">پوشش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گلند جا طنابی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آسیاب  </t>
    </r>
    <r>
      <rPr>
        <sz val="10"/>
        <rFont val="Vazirmatn"/>
        <family val="0"/>
        <charset val="1"/>
      </rPr>
      <t xml:space="preserve">124 - FQ</t>
    </r>
  </si>
  <si>
    <t xml:space="preserve">31264549</t>
  </si>
  <si>
    <r>
      <rPr>
        <sz val="10"/>
        <rFont val="FreeSans"/>
        <family val="2"/>
      </rPr>
      <t xml:space="preserve">کاسه جلوی الکترو موتور   </t>
    </r>
    <r>
      <rPr>
        <sz val="10"/>
        <rFont val="Vazirmatn"/>
        <family val="0"/>
        <charset val="1"/>
      </rPr>
      <t xml:space="preserve">3000- 11KW</t>
    </r>
  </si>
  <si>
    <t xml:space="preserve">31264550</t>
  </si>
  <si>
    <r>
      <rPr>
        <sz val="10"/>
        <rFont val="FreeSans"/>
        <family val="2"/>
      </rPr>
      <t xml:space="preserve">پوشش استیل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قطعه عینکی </t>
    </r>
    <r>
      <rPr>
        <sz val="10"/>
        <rFont val="Vazirmatn"/>
        <family val="0"/>
        <charset val="1"/>
      </rPr>
      <t xml:space="preserve">)  XA 50 - 16 S</t>
    </r>
  </si>
  <si>
    <t xml:space="preserve">31264551</t>
  </si>
  <si>
    <t xml:space="preserve">پوشش آهنی کاسه نمد عقب پمپ شربت</t>
  </si>
  <si>
    <t xml:space="preserve">31264553</t>
  </si>
  <si>
    <t xml:space="preserve">پوشش آهنی کاسه نمد جلوی پمپ شربت</t>
  </si>
  <si>
    <t xml:space="preserve">31264554</t>
  </si>
  <si>
    <t xml:space="preserve">کاسه ذغالی پمپ سرند</t>
  </si>
  <si>
    <t xml:space="preserve">31264556</t>
  </si>
  <si>
    <r>
      <rPr>
        <sz val="10"/>
        <rFont val="FreeSans"/>
        <family val="2"/>
      </rPr>
      <t xml:space="preserve">پوشش پمپ   </t>
    </r>
    <r>
      <rPr>
        <sz val="10"/>
        <rFont val="Vazirmatn"/>
        <family val="0"/>
        <charset val="1"/>
      </rPr>
      <t xml:space="preserve">200 - 65 - 100</t>
    </r>
  </si>
  <si>
    <t xml:space="preserve">31264558</t>
  </si>
  <si>
    <r>
      <rPr>
        <sz val="10"/>
        <rFont val="FreeSans"/>
        <family val="2"/>
      </rPr>
      <t xml:space="preserve">پوشش پمپ   </t>
    </r>
    <r>
      <rPr>
        <sz val="10"/>
        <rFont val="Vazirmatn"/>
        <family val="0"/>
        <charset val="1"/>
      </rPr>
      <t xml:space="preserve">250 - 65 - 100</t>
    </r>
  </si>
  <si>
    <t xml:space="preserve">31264559</t>
  </si>
  <si>
    <r>
      <rPr>
        <sz val="10"/>
        <rFont val="FreeSans"/>
        <family val="2"/>
      </rPr>
      <t xml:space="preserve">پوشش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قطعه عینکی</t>
    </r>
    <r>
      <rPr>
        <sz val="10"/>
        <rFont val="Vazirmatn"/>
        <family val="0"/>
        <charset val="1"/>
      </rPr>
      <t xml:space="preserve">)       315-150</t>
    </r>
  </si>
  <si>
    <t xml:space="preserve">31264560</t>
  </si>
  <si>
    <r>
      <rPr>
        <sz val="10"/>
        <rFont val="FreeSans"/>
        <family val="2"/>
      </rPr>
      <t xml:space="preserve">پوشش پمپ   </t>
    </r>
    <r>
      <rPr>
        <sz val="10"/>
        <rFont val="Vazirmatn"/>
        <family val="0"/>
        <charset val="1"/>
      </rPr>
      <t xml:space="preserve">200 - 80 - 125</t>
    </r>
  </si>
  <si>
    <t xml:space="preserve">31264561</t>
  </si>
  <si>
    <r>
      <rPr>
        <sz val="10"/>
        <rFont val="FreeSans"/>
        <family val="2"/>
      </rPr>
      <t xml:space="preserve">پوشش پمپ   </t>
    </r>
    <r>
      <rPr>
        <sz val="10"/>
        <rFont val="Vazirmatn"/>
        <family val="0"/>
        <charset val="1"/>
      </rPr>
      <t xml:space="preserve">315 - 100 - 125</t>
    </r>
  </si>
  <si>
    <t xml:space="preserve">31264562</t>
  </si>
  <si>
    <r>
      <rPr>
        <sz val="10"/>
        <rFont val="FreeSans"/>
        <family val="2"/>
      </rPr>
      <t xml:space="preserve">پوشش پمپ   </t>
    </r>
    <r>
      <rPr>
        <sz val="10"/>
        <rFont val="Vazirmatn"/>
        <family val="0"/>
        <charset val="1"/>
      </rPr>
      <t xml:space="preserve">250 - 80 - 125</t>
    </r>
  </si>
  <si>
    <t xml:space="preserve">31264566</t>
  </si>
  <si>
    <r>
      <rPr>
        <sz val="10"/>
        <rFont val="FreeSans"/>
        <family val="2"/>
      </rPr>
      <t xml:space="preserve">عینکی پمپ ایران  </t>
    </r>
    <r>
      <rPr>
        <sz val="10"/>
        <rFont val="Vazirmatn"/>
        <family val="0"/>
        <charset val="1"/>
      </rPr>
      <t xml:space="preserve">200 - 50</t>
    </r>
  </si>
  <si>
    <t xml:space="preserve">31264567</t>
  </si>
  <si>
    <t xml:space="preserve">پوشش پشت بلبرینگ پمپ خلاء</t>
  </si>
  <si>
    <t xml:space="preserve">31264568</t>
  </si>
  <si>
    <r>
      <rPr>
        <sz val="10"/>
        <rFont val="FreeSans"/>
        <family val="2"/>
      </rPr>
      <t xml:space="preserve">عینکی پمپ ایران  </t>
    </r>
    <r>
      <rPr>
        <sz val="10"/>
        <rFont val="Vazirmatn"/>
        <family val="0"/>
        <charset val="1"/>
      </rPr>
      <t xml:space="preserve">315 - 65</t>
    </r>
  </si>
  <si>
    <t xml:space="preserve">31264569</t>
  </si>
  <si>
    <r>
      <rPr>
        <sz val="10"/>
        <rFont val="FreeSans"/>
        <family val="2"/>
      </rPr>
      <t xml:space="preserve">کاسه جلوی الکترو موتور  </t>
    </r>
    <r>
      <rPr>
        <sz val="10"/>
        <rFont val="Vazirmatn"/>
        <family val="0"/>
        <charset val="1"/>
      </rPr>
      <t xml:space="preserve">3000-3kw</t>
    </r>
  </si>
  <si>
    <t xml:space="preserve">31264571</t>
  </si>
  <si>
    <r>
      <rPr>
        <sz val="10"/>
        <rFont val="FreeSans"/>
        <family val="2"/>
      </rPr>
      <t xml:space="preserve">کاسه عقب الکترو موتور  </t>
    </r>
    <r>
      <rPr>
        <sz val="10"/>
        <rFont val="Vazirmatn"/>
        <family val="0"/>
        <charset val="1"/>
      </rPr>
      <t xml:space="preserve">3000-3kw</t>
    </r>
  </si>
  <si>
    <t xml:space="preserve">31264572</t>
  </si>
  <si>
    <t xml:space="preserve">عینکی پمپ چاله</t>
  </si>
  <si>
    <t xml:space="preserve">31264574</t>
  </si>
  <si>
    <t xml:space="preserve">پوشش کوچک کلگی پمپ سرند</t>
  </si>
  <si>
    <t xml:space="preserve">31264576</t>
  </si>
  <si>
    <r>
      <rPr>
        <sz val="10"/>
        <rFont val="FreeSans"/>
        <family val="2"/>
      </rPr>
      <t xml:space="preserve">پوشش استیل شفت پمپ سرند </t>
    </r>
    <r>
      <rPr>
        <sz val="10"/>
        <rFont val="Vazirmatn"/>
        <family val="0"/>
        <charset val="1"/>
      </rPr>
      <t xml:space="preserve">20 * 115 MM</t>
    </r>
  </si>
  <si>
    <t xml:space="preserve">31264578</t>
  </si>
  <si>
    <t xml:space="preserve">پوشش سیل استیل پمپ شربت</t>
  </si>
  <si>
    <t xml:space="preserve">31264582</t>
  </si>
  <si>
    <r>
      <rPr>
        <sz val="10"/>
        <rFont val="FreeSans"/>
        <family val="2"/>
      </rPr>
      <t xml:space="preserve">پوشش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قطعه عینکی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پمپ لجن کش </t>
    </r>
    <r>
      <rPr>
        <sz val="10"/>
        <rFont val="Vazirmatn"/>
        <family val="0"/>
        <charset val="1"/>
      </rPr>
      <t xml:space="preserve">300 - 50</t>
    </r>
  </si>
  <si>
    <t xml:space="preserve">31264585</t>
  </si>
  <si>
    <t xml:space="preserve">پوشش آلومینیومی</t>
  </si>
  <si>
    <t xml:space="preserve">31264587</t>
  </si>
  <si>
    <t xml:space="preserve">عینکی مونو پمپ بارگیری فروکتوز</t>
  </si>
  <si>
    <t xml:space="preserve">31264589</t>
  </si>
  <si>
    <t xml:space="preserve">پوشش بلبرینگ آهنی گیربکس همزن گلوکوز</t>
  </si>
  <si>
    <t xml:space="preserve">31264590</t>
  </si>
  <si>
    <r>
      <rPr>
        <sz val="10"/>
        <rFont val="FreeSans"/>
        <family val="2"/>
      </rPr>
      <t xml:space="preserve">پوشش کاسه های سپراتور       کد </t>
    </r>
    <r>
      <rPr>
        <sz val="10"/>
        <rFont val="Vazirmatn"/>
        <family val="0"/>
        <charset val="1"/>
      </rPr>
      <t xml:space="preserve">72132</t>
    </r>
  </si>
  <si>
    <t xml:space="preserve">31264598</t>
  </si>
  <si>
    <t xml:space="preserve">عینکی راهنمای نخ چرخ دوخت</t>
  </si>
  <si>
    <t xml:space="preserve">31264599</t>
  </si>
  <si>
    <t xml:space="preserve">عینکی چرخ جک پالت دستی</t>
  </si>
  <si>
    <t xml:space="preserve">31264600</t>
  </si>
  <si>
    <r>
      <rPr>
        <sz val="10"/>
        <rFont val="FreeSans"/>
        <family val="2"/>
      </rPr>
      <t xml:space="preserve">عینکی پلی اتیلن  </t>
    </r>
    <r>
      <rPr>
        <sz val="10"/>
        <rFont val="Vazirmatn"/>
        <family val="0"/>
        <charset val="1"/>
      </rPr>
      <t xml:space="preserve">16mm</t>
    </r>
  </si>
  <si>
    <t xml:space="preserve">31264672</t>
  </si>
  <si>
    <t xml:space="preserve">کفشک دو شاخه چرخ جک پالت دستی</t>
  </si>
  <si>
    <t xml:space="preserve">31264673</t>
  </si>
  <si>
    <r>
      <rPr>
        <sz val="10"/>
        <rFont val="FreeSans"/>
        <family val="2"/>
      </rPr>
      <t xml:space="preserve">کفشک سپراتور</t>
    </r>
    <r>
      <rPr>
        <sz val="10"/>
        <rFont val="Vazirmatn"/>
        <family val="0"/>
        <charset val="1"/>
      </rPr>
      <t xml:space="preserve">.  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3</t>
    </r>
  </si>
  <si>
    <t xml:space="preserve">31264701</t>
  </si>
  <si>
    <r>
      <rPr>
        <sz val="10"/>
        <rFont val="FreeSans"/>
        <family val="2"/>
      </rPr>
      <t xml:space="preserve">کاسه بلبرینگ پرس روغن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کو چک</t>
    </r>
    <r>
      <rPr>
        <sz val="10"/>
        <rFont val="Vazirmatn"/>
        <family val="0"/>
        <charset val="1"/>
      </rPr>
      <t xml:space="preserve">) 70 * 245</t>
    </r>
  </si>
  <si>
    <t xml:space="preserve">31264712</t>
  </si>
  <si>
    <t xml:space="preserve">کاسه بلبرینگ چدنی</t>
  </si>
  <si>
    <t xml:space="preserve">31264714</t>
  </si>
  <si>
    <r>
      <rPr>
        <sz val="10"/>
        <rFont val="FreeSans"/>
        <family val="2"/>
      </rPr>
      <t xml:space="preserve">جای کاسه نمد    </t>
    </r>
    <r>
      <rPr>
        <sz val="10"/>
        <rFont val="Vazirmatn"/>
        <family val="0"/>
        <charset val="1"/>
      </rPr>
      <t xml:space="preserve">250 - 80 - 125</t>
    </r>
  </si>
  <si>
    <t xml:space="preserve">31264715</t>
  </si>
  <si>
    <t xml:space="preserve">کاسه پمپ واش باطری کارخانه</t>
  </si>
  <si>
    <t xml:space="preserve">31264716</t>
  </si>
  <si>
    <r>
      <rPr>
        <sz val="10"/>
        <rFont val="FreeSans"/>
        <family val="2"/>
      </rPr>
      <t xml:space="preserve">کاسه لرزه گیر سپراتور</t>
    </r>
    <r>
      <rPr>
        <sz val="10"/>
        <rFont val="Vazirmatn"/>
        <family val="0"/>
        <charset val="1"/>
      </rPr>
      <t xml:space="preserve">*</t>
    </r>
  </si>
  <si>
    <t xml:space="preserve">31264717</t>
  </si>
  <si>
    <r>
      <rPr>
        <sz val="10"/>
        <rFont val="FreeSans"/>
        <family val="2"/>
      </rPr>
      <t xml:space="preserve">کاسه بلبرینگ سپراتور   </t>
    </r>
    <r>
      <rPr>
        <sz val="10"/>
        <rFont val="Vazirmatn"/>
        <family val="0"/>
        <charset val="1"/>
      </rPr>
      <t xml:space="preserve">TX</t>
    </r>
  </si>
  <si>
    <t xml:space="preserve">31264721</t>
  </si>
  <si>
    <t xml:space="preserve">کاسه بلبرینگ جلوی پمپ سرند</t>
  </si>
  <si>
    <t xml:space="preserve">31264722</t>
  </si>
  <si>
    <r>
      <rPr>
        <sz val="10"/>
        <rFont val="FreeSans"/>
        <family val="2"/>
      </rPr>
      <t xml:space="preserve">کاسه بلبرینگ عقب پمپ سرندها چدنی قطر </t>
    </r>
    <r>
      <rPr>
        <sz val="10"/>
        <rFont val="Vazirmatn"/>
        <family val="0"/>
        <charset val="1"/>
      </rPr>
      <t xml:space="preserve">120mm</t>
    </r>
  </si>
  <si>
    <t xml:space="preserve">31264725</t>
  </si>
  <si>
    <r>
      <rPr>
        <sz val="10"/>
        <rFont val="FreeSans"/>
        <family val="2"/>
      </rPr>
      <t xml:space="preserve">کاسه بلبرینگ سپراتور تغلیظ </t>
    </r>
    <r>
      <rPr>
        <sz val="10"/>
        <rFont val="Vazirmatn"/>
        <family val="0"/>
        <charset val="1"/>
      </rPr>
      <t xml:space="preserve">145mm</t>
    </r>
  </si>
  <si>
    <t xml:space="preserve">31264729</t>
  </si>
  <si>
    <t xml:space="preserve">کاسه بلبرینگ پمپ خلاء</t>
  </si>
  <si>
    <t xml:space="preserve">31264730</t>
  </si>
  <si>
    <r>
      <rPr>
        <sz val="10"/>
        <rFont val="FreeSans"/>
        <family val="2"/>
      </rPr>
      <t xml:space="preserve">کاسه عقب بلبرینگ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برینگ </t>
    </r>
    <r>
      <rPr>
        <sz val="10"/>
        <rFont val="Vazirmatn"/>
        <family val="0"/>
        <charset val="1"/>
      </rPr>
      <t xml:space="preserve">)   </t>
    </r>
    <r>
      <rPr>
        <sz val="10"/>
        <rFont val="FreeSans"/>
        <family val="2"/>
      </rPr>
      <t xml:space="preserve">آسیاب </t>
    </r>
    <r>
      <rPr>
        <sz val="10"/>
        <rFont val="Vazirmatn"/>
        <family val="0"/>
        <charset val="1"/>
      </rPr>
      <t xml:space="preserve">136 - FQ</t>
    </r>
  </si>
  <si>
    <t xml:space="preserve">31264732</t>
  </si>
  <si>
    <t xml:space="preserve">کلگی بخار درام اکسید</t>
  </si>
  <si>
    <t xml:space="preserve">31264745</t>
  </si>
  <si>
    <r>
      <rPr>
        <sz val="10"/>
        <rFont val="FreeSans"/>
        <family val="2"/>
      </rPr>
      <t xml:space="preserve">کاسه جای طنابی منو پمپ </t>
    </r>
    <r>
      <rPr>
        <sz val="10"/>
        <rFont val="Vazirmatn"/>
        <family val="0"/>
        <charset val="1"/>
      </rPr>
      <t xml:space="preserve">160 * 54</t>
    </r>
  </si>
  <si>
    <t xml:space="preserve">31264746</t>
  </si>
  <si>
    <r>
      <rPr>
        <sz val="10"/>
        <rFont val="FreeSans"/>
        <family val="2"/>
      </rPr>
      <t xml:space="preserve">کاسه استیل جا طنابی مینی پمپ </t>
    </r>
    <r>
      <rPr>
        <sz val="10"/>
        <rFont val="Vazirmatn"/>
        <family val="0"/>
        <charset val="1"/>
      </rPr>
      <t xml:space="preserve">A60</t>
    </r>
  </si>
  <si>
    <t xml:space="preserve">31264747</t>
  </si>
  <si>
    <t xml:space="preserve">کاسه جا طنابی فلنجی شن گیر</t>
  </si>
  <si>
    <t xml:space="preserve">31264748</t>
  </si>
  <si>
    <r>
      <rPr>
        <sz val="10"/>
        <rFont val="FreeSans"/>
        <family val="2"/>
      </rPr>
      <t xml:space="preserve">کاسه ذغال زیر سپراتور   </t>
    </r>
    <r>
      <rPr>
        <sz val="10"/>
        <rFont val="Vazirmatn"/>
        <family val="0"/>
        <charset val="1"/>
      </rPr>
      <t xml:space="preserve">TX</t>
    </r>
  </si>
  <si>
    <t xml:space="preserve">31264750</t>
  </si>
  <si>
    <t xml:space="preserve">کاسه لنت سپراتور  چهارم</t>
  </si>
  <si>
    <t xml:space="preserve">31264757</t>
  </si>
  <si>
    <r>
      <rPr>
        <sz val="10"/>
        <rFont val="FreeSans"/>
        <family val="2"/>
      </rPr>
      <t xml:space="preserve">کاسه استیل طناب پمپ فیلتر شمعی </t>
    </r>
    <r>
      <rPr>
        <sz val="10"/>
        <rFont val="Vazirmatn"/>
        <family val="0"/>
        <charset val="1"/>
      </rPr>
      <t xml:space="preserve">316</t>
    </r>
  </si>
  <si>
    <t xml:space="preserve">31264758</t>
  </si>
  <si>
    <r>
      <rPr>
        <sz val="10"/>
        <rFont val="FreeSans"/>
        <family val="2"/>
      </rPr>
      <t xml:space="preserve">کاسه کاسه نمد پمپ   </t>
    </r>
    <r>
      <rPr>
        <sz val="10"/>
        <rFont val="Vazirmatn"/>
        <family val="0"/>
        <charset val="1"/>
      </rPr>
      <t xml:space="preserve">3141-3161</t>
    </r>
  </si>
  <si>
    <t xml:space="preserve">31264760</t>
  </si>
  <si>
    <t xml:space="preserve">کاسه لنت سپراتور</t>
  </si>
  <si>
    <t xml:space="preserve">31264762</t>
  </si>
  <si>
    <t xml:space="preserve">کاسه استیل پمپ شربت</t>
  </si>
  <si>
    <t xml:space="preserve">31264766</t>
  </si>
  <si>
    <r>
      <rPr>
        <sz val="10"/>
        <rFont val="FreeSans"/>
        <family val="2"/>
      </rPr>
      <t xml:space="preserve">کاسه جلوی الکتروموتوژن           </t>
    </r>
    <r>
      <rPr>
        <sz val="10"/>
        <rFont val="Vazirmatn"/>
        <family val="0"/>
        <charset val="1"/>
      </rPr>
      <t xml:space="preserve">7/5 kw</t>
    </r>
  </si>
  <si>
    <t xml:space="preserve">31264768</t>
  </si>
  <si>
    <r>
      <rPr>
        <sz val="10"/>
        <rFont val="FreeSans"/>
        <family val="2"/>
      </rPr>
      <t xml:space="preserve">کاسه الکتروموتور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موتوژن  </t>
    </r>
    <r>
      <rPr>
        <sz val="10"/>
        <rFont val="Vazirmatn"/>
        <family val="0"/>
        <charset val="1"/>
      </rPr>
      <t xml:space="preserve">1/5KW</t>
    </r>
  </si>
  <si>
    <t xml:space="preserve">31264769</t>
  </si>
  <si>
    <r>
      <rPr>
        <sz val="10"/>
        <rFont val="FreeSans"/>
        <family val="2"/>
      </rPr>
      <t xml:space="preserve">محفظه کونیک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کاسه</t>
    </r>
    <r>
      <rPr>
        <sz val="10"/>
        <rFont val="Vazirmatn"/>
        <family val="0"/>
        <charset val="1"/>
      </rPr>
      <t xml:space="preserve">)   -  </t>
    </r>
    <r>
      <rPr>
        <sz val="10"/>
        <rFont val="FreeSans"/>
        <family val="2"/>
      </rPr>
      <t xml:space="preserve">پرس روغن کوچک</t>
    </r>
  </si>
  <si>
    <t xml:space="preserve">31264770</t>
  </si>
  <si>
    <r>
      <rPr>
        <sz val="10"/>
        <rFont val="FreeSans"/>
        <family val="2"/>
      </rPr>
      <t xml:space="preserve">محفظه کونیک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کاسه</t>
    </r>
    <r>
      <rPr>
        <sz val="10"/>
        <rFont val="Vazirmatn"/>
        <family val="0"/>
        <charset val="1"/>
      </rPr>
      <t xml:space="preserve">)   -    </t>
    </r>
    <r>
      <rPr>
        <sz val="10"/>
        <rFont val="FreeSans"/>
        <family val="2"/>
      </rPr>
      <t xml:space="preserve">پرس روغن بزرگ</t>
    </r>
  </si>
  <si>
    <t xml:space="preserve">31264772</t>
  </si>
  <si>
    <t xml:space="preserve">کاسه  استیل  گلویی پمپ سرند</t>
  </si>
  <si>
    <t xml:space="preserve">31264775</t>
  </si>
  <si>
    <t xml:space="preserve">کاسه الواتور ذرت</t>
  </si>
  <si>
    <t xml:space="preserve">31264776</t>
  </si>
  <si>
    <t xml:space="preserve">کاسه الواتور جرم روغن کشی</t>
  </si>
  <si>
    <t xml:space="preserve">31264777</t>
  </si>
  <si>
    <r>
      <rPr>
        <sz val="10"/>
        <rFont val="FreeSans"/>
        <family val="2"/>
      </rPr>
      <t xml:space="preserve">کاسه الکتروموتور جلو موتوژن </t>
    </r>
    <r>
      <rPr>
        <sz val="10"/>
        <rFont val="Vazirmatn"/>
        <family val="0"/>
        <charset val="1"/>
      </rPr>
      <t xml:space="preserve">4KW  3000RPM</t>
    </r>
  </si>
  <si>
    <t xml:space="preserve">31264778</t>
  </si>
  <si>
    <r>
      <rPr>
        <sz val="10"/>
        <rFont val="FreeSans"/>
        <family val="2"/>
      </rPr>
      <t xml:space="preserve">کاسه الکتروموتور عقب موتوژن </t>
    </r>
    <r>
      <rPr>
        <sz val="10"/>
        <rFont val="Vazirmatn"/>
        <family val="0"/>
        <charset val="1"/>
      </rPr>
      <t xml:space="preserve">4KW  3000RPM</t>
    </r>
  </si>
  <si>
    <t xml:space="preserve">31264780</t>
  </si>
  <si>
    <r>
      <rPr>
        <sz val="10"/>
        <rFont val="FreeSans"/>
        <family val="2"/>
      </rPr>
      <t xml:space="preserve">محافظ پروانه موتوژن   </t>
    </r>
    <r>
      <rPr>
        <sz val="10"/>
        <rFont val="Vazirmatn"/>
        <family val="0"/>
        <charset val="1"/>
      </rPr>
      <t xml:space="preserve">3KW</t>
    </r>
  </si>
  <si>
    <t xml:space="preserve">31264782</t>
  </si>
  <si>
    <r>
      <rPr>
        <sz val="10"/>
        <rFont val="FreeSans"/>
        <family val="2"/>
      </rPr>
      <t xml:space="preserve">کاسه عقب الکتروموتور   </t>
    </r>
    <r>
      <rPr>
        <sz val="10"/>
        <rFont val="Vazirmatn"/>
        <family val="0"/>
        <charset val="1"/>
      </rPr>
      <t xml:space="preserve">1/5KW</t>
    </r>
  </si>
  <si>
    <t xml:space="preserve">31264788</t>
  </si>
  <si>
    <r>
      <rPr>
        <sz val="10"/>
        <rFont val="FreeSans"/>
        <family val="2"/>
      </rPr>
      <t xml:space="preserve">جای طنابی پمپ ایران </t>
    </r>
    <r>
      <rPr>
        <sz val="10"/>
        <rFont val="Vazirmatn"/>
        <family val="0"/>
        <charset val="1"/>
      </rPr>
      <t xml:space="preserve">315 - 150</t>
    </r>
  </si>
  <si>
    <t xml:space="preserve">31264789</t>
  </si>
  <si>
    <r>
      <rPr>
        <sz val="10"/>
        <rFont val="FreeSans"/>
        <family val="2"/>
      </rPr>
      <t xml:space="preserve">جای طنابی پمپ ایران </t>
    </r>
    <r>
      <rPr>
        <sz val="10"/>
        <rFont val="Vazirmatn"/>
        <family val="0"/>
        <charset val="1"/>
      </rPr>
      <t xml:space="preserve">200 - 50</t>
    </r>
  </si>
  <si>
    <t xml:space="preserve">31264795</t>
  </si>
  <si>
    <r>
      <rPr>
        <sz val="10"/>
        <rFont val="FreeSans"/>
        <family val="2"/>
      </rPr>
      <t xml:space="preserve">گلدانی پمپ  </t>
    </r>
    <r>
      <rPr>
        <sz val="10"/>
        <rFont val="Vazirmatn"/>
        <family val="0"/>
        <charset val="1"/>
      </rPr>
      <t xml:space="preserve">250 - 65 - 80 KHZ</t>
    </r>
  </si>
  <si>
    <t xml:space="preserve">31264796</t>
  </si>
  <si>
    <r>
      <rPr>
        <sz val="10"/>
        <rFont val="FreeSans"/>
        <family val="2"/>
      </rPr>
      <t xml:space="preserve">جای طنابی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محفظه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پمپ ایران </t>
    </r>
    <r>
      <rPr>
        <sz val="10"/>
        <rFont val="Vazirmatn"/>
        <family val="0"/>
        <charset val="1"/>
      </rPr>
      <t xml:space="preserve">200 - 65</t>
    </r>
  </si>
  <si>
    <t xml:space="preserve">31264797</t>
  </si>
  <si>
    <r>
      <rPr>
        <sz val="10"/>
        <rFont val="FreeSans"/>
        <family val="2"/>
      </rPr>
      <t xml:space="preserve">جای طنابی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محفظه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پمپ ایران </t>
    </r>
    <r>
      <rPr>
        <sz val="10"/>
        <rFont val="Vazirmatn"/>
        <family val="0"/>
        <charset val="1"/>
      </rPr>
      <t xml:space="preserve">160 - 50</t>
    </r>
  </si>
  <si>
    <t xml:space="preserve">31264799</t>
  </si>
  <si>
    <r>
      <rPr>
        <sz val="10"/>
        <rFont val="FreeSans"/>
        <family val="2"/>
      </rPr>
      <t xml:space="preserve">کاسه الواتور پلاستیکی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سوراخه عرض </t>
    </r>
    <r>
      <rPr>
        <sz val="10"/>
        <rFont val="Vazirmatn"/>
        <family val="0"/>
        <charset val="1"/>
      </rPr>
      <t xml:space="preserve">15cm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19cm </t>
    </r>
    <r>
      <rPr>
        <sz val="10"/>
        <rFont val="FreeSans"/>
        <family val="2"/>
      </rPr>
      <t xml:space="preserve">عمق </t>
    </r>
    <r>
      <rPr>
        <sz val="10"/>
        <rFont val="Vazirmatn"/>
        <family val="0"/>
        <charset val="1"/>
      </rPr>
      <t xml:space="preserve">11cm</t>
    </r>
  </si>
  <si>
    <t xml:space="preserve">31264800</t>
  </si>
  <si>
    <r>
      <rPr>
        <sz val="10"/>
        <rFont val="FreeSans"/>
        <family val="2"/>
      </rPr>
      <t xml:space="preserve">کاسه سیل پمپ  </t>
    </r>
    <r>
      <rPr>
        <sz val="10"/>
        <rFont val="Vazirmatn"/>
        <family val="0"/>
        <charset val="1"/>
      </rPr>
      <t xml:space="preserve">IHD100-65-315</t>
    </r>
  </si>
  <si>
    <t xml:space="preserve">31264801</t>
  </si>
  <si>
    <r>
      <rPr>
        <sz val="10"/>
        <rFont val="FreeSans"/>
        <family val="2"/>
      </rPr>
      <t xml:space="preserve">کاسه سیل پمپ  </t>
    </r>
    <r>
      <rPr>
        <sz val="10"/>
        <rFont val="Vazirmatn"/>
        <family val="0"/>
        <charset val="1"/>
      </rPr>
      <t xml:space="preserve">IHD250-200-315</t>
    </r>
  </si>
  <si>
    <t xml:space="preserve">31264802</t>
  </si>
  <si>
    <r>
      <rPr>
        <sz val="10"/>
        <rFont val="FreeSans"/>
        <family val="2"/>
      </rPr>
      <t xml:space="preserve">کاسه سیل پمپ  </t>
    </r>
    <r>
      <rPr>
        <sz val="10"/>
        <rFont val="Vazirmatn"/>
        <family val="0"/>
        <charset val="1"/>
      </rPr>
      <t xml:space="preserve">IHD250-200-350</t>
    </r>
  </si>
  <si>
    <t xml:space="preserve">31264804</t>
  </si>
  <si>
    <r>
      <rPr>
        <sz val="10"/>
        <rFont val="FreeSans"/>
        <family val="2"/>
      </rPr>
      <t xml:space="preserve">کاسه عقب الکتروموتور موتوژن </t>
    </r>
    <r>
      <rPr>
        <sz val="10"/>
        <rFont val="Vazirmatn"/>
        <family val="0"/>
        <charset val="1"/>
      </rPr>
      <t xml:space="preserve">2/2KW  1400RPM</t>
    </r>
  </si>
  <si>
    <t xml:space="preserve">31264805</t>
  </si>
  <si>
    <r>
      <rPr>
        <sz val="10"/>
        <rFont val="FreeSans"/>
        <family val="2"/>
      </rPr>
      <t xml:space="preserve">کاسه الواتور پلاستیکی  طول </t>
    </r>
    <r>
      <rPr>
        <sz val="10"/>
        <rFont val="Vazirmatn"/>
        <family val="0"/>
        <charset val="1"/>
      </rPr>
      <t xml:space="preserve">18Cm - </t>
    </r>
    <r>
      <rPr>
        <sz val="10"/>
        <rFont val="FreeSans"/>
        <family val="2"/>
      </rPr>
      <t xml:space="preserve">ارتفاع </t>
    </r>
    <r>
      <rPr>
        <sz val="10"/>
        <rFont val="Vazirmatn"/>
        <family val="0"/>
        <charset val="1"/>
      </rPr>
      <t xml:space="preserve">13Cm - </t>
    </r>
    <r>
      <rPr>
        <sz val="10"/>
        <rFont val="FreeSans"/>
        <family val="2"/>
      </rPr>
      <t xml:space="preserve">عمق </t>
    </r>
    <r>
      <rPr>
        <sz val="10"/>
        <rFont val="Vazirmatn"/>
        <family val="0"/>
        <charset val="1"/>
      </rPr>
      <t xml:space="preserve">14Cm</t>
    </r>
  </si>
  <si>
    <t xml:space="preserve">31264806</t>
  </si>
  <si>
    <r>
      <rPr>
        <sz val="10"/>
        <rFont val="FreeSans"/>
        <family val="2"/>
      </rPr>
      <t xml:space="preserve">درب جلوی موتور کولر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موتوژن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بلبرینگی </t>
    </r>
    <r>
      <rPr>
        <sz val="10"/>
        <rFont val="Vazirmatn"/>
        <family val="0"/>
        <charset val="1"/>
      </rPr>
      <t xml:space="preserve">( 3/4 )</t>
    </r>
  </si>
  <si>
    <t xml:space="preserve">31264807</t>
  </si>
  <si>
    <r>
      <rPr>
        <sz val="10"/>
        <rFont val="FreeSans"/>
        <family val="2"/>
      </rPr>
      <t xml:space="preserve">درب جلوی موتور کولر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موتوژن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بوشی </t>
    </r>
    <r>
      <rPr>
        <sz val="10"/>
        <rFont val="Vazirmatn"/>
        <family val="0"/>
        <charset val="1"/>
      </rPr>
      <t xml:space="preserve">( 3/4 )</t>
    </r>
  </si>
  <si>
    <t xml:space="preserve">31264808</t>
  </si>
  <si>
    <r>
      <rPr>
        <sz val="10"/>
        <rFont val="FreeSans"/>
        <family val="2"/>
      </rPr>
      <t xml:space="preserve">درب عقب موتور کولر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موتوژن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بلبرینگی </t>
    </r>
    <r>
      <rPr>
        <sz val="10"/>
        <rFont val="Vazirmatn"/>
        <family val="0"/>
        <charset val="1"/>
      </rPr>
      <t xml:space="preserve">( 3/4 )</t>
    </r>
  </si>
  <si>
    <t xml:space="preserve">31264809</t>
  </si>
  <si>
    <r>
      <rPr>
        <sz val="10"/>
        <rFont val="FreeSans"/>
        <family val="2"/>
      </rPr>
      <t xml:space="preserve">درب عقب موتور کولر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موتوژن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بوشی </t>
    </r>
    <r>
      <rPr>
        <sz val="10"/>
        <rFont val="Vazirmatn"/>
        <family val="0"/>
        <charset val="1"/>
      </rPr>
      <t xml:space="preserve">( 3/4 )</t>
    </r>
  </si>
  <si>
    <t xml:space="preserve">31264898</t>
  </si>
  <si>
    <r>
      <rPr>
        <sz val="10"/>
        <rFont val="FreeSans"/>
        <family val="2"/>
      </rPr>
      <t xml:space="preserve">پوسته پمپ ایران </t>
    </r>
    <r>
      <rPr>
        <sz val="10"/>
        <rFont val="Vazirmatn"/>
        <family val="0"/>
        <charset val="1"/>
      </rPr>
      <t xml:space="preserve">200 - 50</t>
    </r>
  </si>
  <si>
    <t xml:space="preserve">31264901</t>
  </si>
  <si>
    <t xml:space="preserve">پوسته حلزونی استیل بزرگ</t>
  </si>
  <si>
    <t xml:space="preserve">31264902</t>
  </si>
  <si>
    <t xml:space="preserve">پوسته  پمپ شربت</t>
  </si>
  <si>
    <t xml:space="preserve">31264903</t>
  </si>
  <si>
    <t xml:space="preserve">پوسته حلزونی استیل پمپ شربت</t>
  </si>
  <si>
    <t xml:space="preserve">31264904</t>
  </si>
  <si>
    <t xml:space="preserve">پوسته پمپ سرند</t>
  </si>
  <si>
    <t xml:space="preserve">31264905</t>
  </si>
  <si>
    <t xml:space="preserve">پوسته پمپ دکالت</t>
  </si>
  <si>
    <t xml:space="preserve">31264906</t>
  </si>
  <si>
    <t xml:space="preserve">پوسته منو پمپ</t>
  </si>
  <si>
    <t xml:space="preserve">31264909</t>
  </si>
  <si>
    <t xml:space="preserve">پوسته کامل گیربکس جی ال</t>
  </si>
  <si>
    <t xml:space="preserve">31264910</t>
  </si>
  <si>
    <t xml:space="preserve">پوسته گلوئی پمپ کربن</t>
  </si>
  <si>
    <t xml:space="preserve">31264911</t>
  </si>
  <si>
    <t xml:space="preserve">پوسته اصلی شفت عمودی سپراتور تغلیظ  گلوتن</t>
  </si>
  <si>
    <t xml:space="preserve">31264912</t>
  </si>
  <si>
    <t xml:space="preserve">گلوئی پمپ واش باطری</t>
  </si>
  <si>
    <t xml:space="preserve">31264914</t>
  </si>
  <si>
    <r>
      <rPr>
        <sz val="10"/>
        <rFont val="FreeSans"/>
        <family val="2"/>
      </rPr>
      <t xml:space="preserve">پوسته چدنی   </t>
    </r>
    <r>
      <rPr>
        <sz val="10"/>
        <rFont val="Vazirmatn"/>
        <family val="0"/>
        <charset val="1"/>
      </rPr>
      <t xml:space="preserve">250 - 150</t>
    </r>
  </si>
  <si>
    <t xml:space="preserve">31264920</t>
  </si>
  <si>
    <t xml:space="preserve">کلگی پمپ سرند</t>
  </si>
  <si>
    <t xml:space="preserve">31264922</t>
  </si>
  <si>
    <r>
      <rPr>
        <sz val="10"/>
        <rFont val="FreeSans"/>
        <family val="2"/>
      </rPr>
      <t xml:space="preserve">پوسته گیربکس پمپ  </t>
    </r>
    <r>
      <rPr>
        <sz val="10"/>
        <rFont val="Vazirmatn"/>
        <family val="0"/>
        <charset val="1"/>
      </rPr>
      <t xml:space="preserve">315 - 100 - 125</t>
    </r>
  </si>
  <si>
    <t xml:space="preserve">31264923</t>
  </si>
  <si>
    <r>
      <rPr>
        <sz val="10"/>
        <rFont val="FreeSans"/>
        <family val="2"/>
      </rPr>
      <t xml:space="preserve">پوسته گیربکس پمپ  </t>
    </r>
    <r>
      <rPr>
        <sz val="10"/>
        <rFont val="Vazirmatn"/>
        <family val="0"/>
        <charset val="1"/>
      </rPr>
      <t xml:space="preserve">250 - 65 - 100</t>
    </r>
  </si>
  <si>
    <t xml:space="preserve">31264924</t>
  </si>
  <si>
    <r>
      <rPr>
        <sz val="10"/>
        <rFont val="FreeSans"/>
        <family val="2"/>
      </rPr>
      <t xml:space="preserve">پوسته گیربکس پمپ  </t>
    </r>
    <r>
      <rPr>
        <sz val="10"/>
        <rFont val="Vazirmatn"/>
        <family val="0"/>
        <charset val="1"/>
      </rPr>
      <t xml:space="preserve">200 - 65 - 100</t>
    </r>
  </si>
  <si>
    <t xml:space="preserve">31264925</t>
  </si>
  <si>
    <r>
      <rPr>
        <sz val="10"/>
        <rFont val="FreeSans"/>
        <family val="2"/>
      </rPr>
      <t xml:space="preserve">پوسته گیربکس پمپ  </t>
    </r>
    <r>
      <rPr>
        <sz val="10"/>
        <rFont val="Vazirmatn"/>
        <family val="0"/>
        <charset val="1"/>
      </rPr>
      <t xml:space="preserve">200 - 80 - 125</t>
    </r>
  </si>
  <si>
    <t xml:space="preserve">31264926</t>
  </si>
  <si>
    <r>
      <rPr>
        <sz val="10"/>
        <rFont val="FreeSans"/>
        <family val="2"/>
      </rPr>
      <t xml:space="preserve">پوسته گیربکس پمپ  </t>
    </r>
    <r>
      <rPr>
        <sz val="10"/>
        <rFont val="Vazirmatn"/>
        <family val="0"/>
        <charset val="1"/>
      </rPr>
      <t xml:space="preserve">250 - 80 - 125</t>
    </r>
  </si>
  <si>
    <t xml:space="preserve">31264932</t>
  </si>
  <si>
    <r>
      <rPr>
        <sz val="10"/>
        <rFont val="FreeSans"/>
        <family val="2"/>
      </rPr>
      <t xml:space="preserve">پوسته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میانی پمپ خلاء چینی</t>
    </r>
  </si>
  <si>
    <t xml:space="preserve">31264935</t>
  </si>
  <si>
    <r>
      <rPr>
        <sz val="10"/>
        <rFont val="FreeSans"/>
        <family val="2"/>
      </rPr>
      <t xml:space="preserve">گلگی بخار خشکن گلوتن   </t>
    </r>
    <r>
      <rPr>
        <sz val="10"/>
        <rFont val="Vazirmatn"/>
        <family val="0"/>
        <charset val="1"/>
      </rPr>
      <t xml:space="preserve">" 1</t>
    </r>
  </si>
  <si>
    <t xml:space="preserve">31264936</t>
  </si>
  <si>
    <r>
      <rPr>
        <sz val="10"/>
        <rFont val="FreeSans"/>
        <family val="2"/>
      </rPr>
      <t xml:space="preserve">کلگی بخار خشک کن پوسته   </t>
    </r>
    <r>
      <rPr>
        <sz val="10"/>
        <rFont val="Vazirmatn"/>
        <family val="0"/>
        <charset val="1"/>
      </rPr>
      <t xml:space="preserve">HW 180</t>
    </r>
  </si>
  <si>
    <t xml:space="preserve">31264937</t>
  </si>
  <si>
    <t xml:space="preserve">کلگی پمپ سودا</t>
  </si>
  <si>
    <t xml:space="preserve">31264941</t>
  </si>
  <si>
    <r>
      <rPr>
        <sz val="10"/>
        <rFont val="FreeSans"/>
        <family val="2"/>
      </rPr>
      <t xml:space="preserve">پوسته حلزونی  </t>
    </r>
    <r>
      <rPr>
        <sz val="10"/>
        <rFont val="Vazirmatn"/>
        <family val="0"/>
        <charset val="1"/>
      </rPr>
      <t xml:space="preserve">200 - 50 - 65 IHD</t>
    </r>
  </si>
  <si>
    <t xml:space="preserve">31264942</t>
  </si>
  <si>
    <r>
      <rPr>
        <sz val="10"/>
        <rFont val="FreeSans"/>
        <family val="2"/>
      </rPr>
      <t xml:space="preserve">پوسته حلزونی پمپ ایران </t>
    </r>
    <r>
      <rPr>
        <sz val="10"/>
        <rFont val="Vazirmatn"/>
        <family val="0"/>
        <charset val="1"/>
      </rPr>
      <t xml:space="preserve">200 - 65</t>
    </r>
  </si>
  <si>
    <t xml:space="preserve">31264943</t>
  </si>
  <si>
    <r>
      <rPr>
        <sz val="10"/>
        <rFont val="FreeSans"/>
        <family val="2"/>
      </rPr>
      <t xml:space="preserve">پوسته حلزونی پمپ </t>
    </r>
    <r>
      <rPr>
        <sz val="10"/>
        <rFont val="Vazirmatn"/>
        <family val="0"/>
        <charset val="1"/>
      </rPr>
      <t xml:space="preserve">250 - 50 - 65 IHD</t>
    </r>
  </si>
  <si>
    <t xml:space="preserve">31264944</t>
  </si>
  <si>
    <r>
      <rPr>
        <sz val="10"/>
        <rFont val="FreeSans"/>
        <family val="2"/>
      </rPr>
      <t xml:space="preserve">پوسته حلزونی پمپ </t>
    </r>
    <r>
      <rPr>
        <sz val="10"/>
        <rFont val="Vazirmatn"/>
        <family val="0"/>
        <charset val="1"/>
      </rPr>
      <t xml:space="preserve">200 - 65 - 80 IHD</t>
    </r>
  </si>
  <si>
    <t xml:space="preserve">31264945</t>
  </si>
  <si>
    <r>
      <rPr>
        <sz val="10"/>
        <rFont val="FreeSans"/>
        <family val="2"/>
      </rPr>
      <t xml:space="preserve">پوسته حلزونی پمپ  </t>
    </r>
    <r>
      <rPr>
        <sz val="10"/>
        <rFont val="Vazirmatn"/>
        <family val="0"/>
        <charset val="1"/>
      </rPr>
      <t xml:space="preserve">200 - 65 - 80 IHD</t>
    </r>
  </si>
  <si>
    <t xml:space="preserve">31264949</t>
  </si>
  <si>
    <r>
      <rPr>
        <sz val="10"/>
        <rFont val="FreeSans"/>
        <family val="2"/>
      </rPr>
      <t xml:space="preserve">پوسته استیل پمپ خلاء  </t>
    </r>
    <r>
      <rPr>
        <sz val="10"/>
        <rFont val="Vazirmatn"/>
        <family val="0"/>
        <charset val="1"/>
      </rPr>
      <t xml:space="preserve">KPV 120 120m3/hg 33mbar 4KW</t>
    </r>
  </si>
  <si>
    <t xml:space="preserve">31264953</t>
  </si>
  <si>
    <r>
      <rPr>
        <sz val="10"/>
        <rFont val="FreeSans"/>
        <family val="2"/>
      </rPr>
      <t xml:space="preserve">پوسته حلزونی پمپ ایران  </t>
    </r>
    <r>
      <rPr>
        <sz val="10"/>
        <rFont val="Vazirmatn"/>
        <family val="0"/>
        <charset val="1"/>
      </rPr>
      <t xml:space="preserve">160 - 50</t>
    </r>
  </si>
  <si>
    <t xml:space="preserve">31264954</t>
  </si>
  <si>
    <r>
      <rPr>
        <sz val="10"/>
        <rFont val="FreeSans"/>
        <family val="2"/>
      </rPr>
      <t xml:space="preserve">پوسته حلزونی پمپ ایران  </t>
    </r>
    <r>
      <rPr>
        <sz val="10"/>
        <rFont val="Vazirmatn"/>
        <family val="0"/>
        <charset val="1"/>
      </rPr>
      <t xml:space="preserve">200 - 50</t>
    </r>
  </si>
  <si>
    <t xml:space="preserve">31264956</t>
  </si>
  <si>
    <r>
      <rPr>
        <sz val="10"/>
        <rFont val="FreeSans"/>
        <family val="2"/>
      </rPr>
      <t xml:space="preserve">پوسته استیل پمپ خلاء اواپراتور </t>
    </r>
    <r>
      <rPr>
        <sz val="10"/>
        <rFont val="Vazirmatn"/>
        <family val="0"/>
        <charset val="1"/>
      </rPr>
      <t xml:space="preserve">PVI-AT382 380m3/h 30mmhg</t>
    </r>
  </si>
  <si>
    <t xml:space="preserve">31264966</t>
  </si>
  <si>
    <r>
      <rPr>
        <sz val="10"/>
        <rFont val="FreeSans"/>
        <family val="2"/>
      </rPr>
      <t xml:space="preserve">پوسته حلزونی پمپ ایران </t>
    </r>
    <r>
      <rPr>
        <sz val="10"/>
        <rFont val="Vazirmatn"/>
        <family val="0"/>
        <charset val="1"/>
      </rPr>
      <t xml:space="preserve">250 - 65</t>
    </r>
  </si>
  <si>
    <t xml:space="preserve">31264967</t>
  </si>
  <si>
    <r>
      <rPr>
        <sz val="10"/>
        <rFont val="FreeSans"/>
        <family val="2"/>
      </rPr>
      <t xml:space="preserve">پوسته رابط گیربکس دکانتور  </t>
    </r>
    <r>
      <rPr>
        <sz val="10"/>
        <rFont val="Vazirmatn"/>
        <family val="0"/>
        <charset val="1"/>
      </rPr>
      <t xml:space="preserve">220-3358-8417</t>
    </r>
  </si>
  <si>
    <t xml:space="preserve">31265088</t>
  </si>
  <si>
    <r>
      <rPr>
        <sz val="10"/>
        <rFont val="FreeSans"/>
        <family val="2"/>
      </rPr>
      <t xml:space="preserve">الکترود دستگاه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 </t>
    </r>
    <r>
      <rPr>
        <sz val="10"/>
        <rFont val="Vazirmatn"/>
        <family val="0"/>
        <charset val="1"/>
      </rPr>
      <t xml:space="preserve">(  </t>
    </r>
    <r>
      <rPr>
        <sz val="10"/>
        <rFont val="FreeSans"/>
        <family val="2"/>
      </rPr>
      <t xml:space="preserve">درجه سانتی گراد </t>
    </r>
    <r>
      <rPr>
        <sz val="10"/>
        <rFont val="Vazirmatn"/>
        <family val="0"/>
        <charset val="1"/>
      </rPr>
      <t xml:space="preserve">IJ 40A ( IONODE - PH : 0-14 - T : 0-60</t>
    </r>
  </si>
  <si>
    <t xml:space="preserve">31265089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</si>
  <si>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  </t>
    </r>
    <r>
      <rPr>
        <sz val="10"/>
        <rFont val="Vazirmatn"/>
        <family val="0"/>
        <charset val="1"/>
      </rPr>
      <t xml:space="preserve">CPS71E-AA7BTB2</t>
    </r>
  </si>
  <si>
    <t xml:space="preserve">31265090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</si>
  <si>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  </t>
    </r>
    <r>
      <rPr>
        <sz val="10"/>
        <rFont val="Vazirmatn"/>
        <family val="0"/>
        <charset val="1"/>
      </rPr>
      <t xml:space="preserve">CPS91E-AA7BHH2</t>
    </r>
  </si>
  <si>
    <t xml:space="preserve">31265091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</si>
  <si>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 </t>
    </r>
    <r>
      <rPr>
        <sz val="10"/>
        <rFont val="Vazirmatn"/>
        <family val="0"/>
        <charset val="1"/>
      </rPr>
      <t xml:space="preserve">( endress+ hauser ) CPS71-7TB21</t>
    </r>
  </si>
  <si>
    <t xml:space="preserve">31265092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</si>
  <si>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  </t>
    </r>
    <r>
      <rPr>
        <sz val="10"/>
        <rFont val="Vazirmatn"/>
        <family val="0"/>
        <charset val="1"/>
      </rPr>
      <t xml:space="preserve">CPS41E-AA7BSC2</t>
    </r>
  </si>
  <si>
    <t xml:space="preserve">31265096</t>
  </si>
  <si>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 </t>
    </r>
    <r>
      <rPr>
        <sz val="10"/>
        <rFont val="Vazirmatn"/>
        <family val="0"/>
        <charset val="1"/>
      </rPr>
      <t xml:space="preserve">ENDERS HAUSER-O.C:CPS41D-7BB2B1</t>
    </r>
  </si>
  <si>
    <t xml:space="preserve">31265097</t>
  </si>
  <si>
    <r>
      <rPr>
        <sz val="10"/>
        <rFont val="FreeSans"/>
        <family val="2"/>
      </rPr>
      <t xml:space="preserve">الکترود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مخصوص نمونه های آبی </t>
    </r>
    <r>
      <rPr>
        <sz val="10"/>
        <rFont val="Vazirmatn"/>
        <family val="0"/>
        <charset val="1"/>
      </rPr>
      <t xml:space="preserve">LL Solitrode Pt 1000 PP Shaft</t>
    </r>
  </si>
  <si>
    <t xml:space="preserve">31265100</t>
  </si>
  <si>
    <r>
      <rPr>
        <sz val="10"/>
        <rFont val="FreeSans"/>
        <family val="2"/>
      </rPr>
      <t xml:space="preserve">الکترود 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</t>
    </r>
    <r>
      <rPr>
        <sz val="10"/>
        <rFont val="Vazirmatn"/>
        <family val="0"/>
        <charset val="1"/>
      </rPr>
      <t xml:space="preserve">Endress+Hauser  ORDER COD:Cps91D-7BO21</t>
    </r>
  </si>
  <si>
    <t xml:space="preserve">31265107</t>
  </si>
  <si>
    <r>
      <rPr>
        <sz val="10"/>
        <rFont val="FreeSans"/>
        <family val="2"/>
      </rPr>
      <t xml:space="preserve">الکترود استیل         </t>
    </r>
    <r>
      <rPr>
        <sz val="10"/>
        <rFont val="Vazirmatn"/>
        <family val="0"/>
        <charset val="1"/>
      </rPr>
      <t xml:space="preserve">GB1460     3/25</t>
    </r>
  </si>
  <si>
    <t xml:space="preserve">31265108</t>
  </si>
  <si>
    <r>
      <rPr>
        <sz val="10"/>
        <rFont val="FreeSans"/>
        <family val="2"/>
      </rPr>
      <t xml:space="preserve">الکترود پلاستیکی     </t>
    </r>
    <r>
      <rPr>
        <sz val="10"/>
        <rFont val="Vazirmatn"/>
        <family val="0"/>
        <charset val="1"/>
      </rPr>
      <t xml:space="preserve">( ABS )</t>
    </r>
  </si>
  <si>
    <t xml:space="preserve">31265112</t>
  </si>
  <si>
    <r>
      <rPr>
        <sz val="10"/>
        <rFont val="FreeSans"/>
        <family val="2"/>
      </rPr>
      <t xml:space="preserve">الکترود قلیائی           </t>
    </r>
    <r>
      <rPr>
        <sz val="10"/>
        <rFont val="Vazirmatn"/>
        <family val="0"/>
        <charset val="1"/>
      </rPr>
      <t xml:space="preserve">2/5</t>
    </r>
  </si>
  <si>
    <t xml:space="preserve">31265115</t>
  </si>
  <si>
    <r>
      <rPr>
        <sz val="10"/>
        <rFont val="FreeSans"/>
        <family val="2"/>
      </rPr>
      <t xml:space="preserve">الکترود استیل </t>
    </r>
    <r>
      <rPr>
        <sz val="10"/>
        <rFont val="Vazirmatn"/>
        <family val="0"/>
        <charset val="1"/>
      </rPr>
      <t xml:space="preserve">308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: 3/25</t>
    </r>
  </si>
  <si>
    <t xml:space="preserve">31265122</t>
  </si>
  <si>
    <r>
      <rPr>
        <sz val="10"/>
        <rFont val="FreeSans"/>
        <family val="2"/>
      </rPr>
      <t xml:space="preserve">مفتول آرگون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304   1000 * 2.40</t>
    </r>
  </si>
  <si>
    <t xml:space="preserve">31265126</t>
  </si>
  <si>
    <r>
      <rPr>
        <sz val="10"/>
        <rFont val="FreeSans"/>
        <family val="2"/>
      </rPr>
      <t xml:space="preserve">الکترود کربن    </t>
    </r>
    <r>
      <rPr>
        <sz val="10"/>
        <rFont val="Vazirmatn"/>
        <family val="0"/>
        <charset val="1"/>
      </rPr>
      <t xml:space="preserve">7018 - 2/4</t>
    </r>
  </si>
  <si>
    <t xml:space="preserve">31265132</t>
  </si>
  <si>
    <r>
      <rPr>
        <sz val="10"/>
        <rFont val="FreeSans"/>
        <family val="2"/>
      </rPr>
      <t xml:space="preserve">الکترود کربن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فیلر </t>
    </r>
    <r>
      <rPr>
        <sz val="10"/>
        <rFont val="Vazirmatn"/>
        <family val="0"/>
        <charset val="1"/>
      </rPr>
      <t xml:space="preserve">)  6010 - 2/4</t>
    </r>
  </si>
  <si>
    <t xml:space="preserve">31265133</t>
  </si>
  <si>
    <r>
      <rPr>
        <sz val="10"/>
        <rFont val="FreeSans"/>
        <family val="2"/>
      </rPr>
      <t xml:space="preserve">مفتول آرگون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308   1000 * 2.40</t>
    </r>
  </si>
  <si>
    <t xml:space="preserve">31265134</t>
  </si>
  <si>
    <r>
      <rPr>
        <sz val="10"/>
        <rFont val="FreeSans"/>
        <family val="2"/>
      </rPr>
      <t xml:space="preserve">سیم مفتول آرگون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کربن</t>
    </r>
  </si>
  <si>
    <t xml:space="preserve">31265135</t>
  </si>
  <si>
    <r>
      <rPr>
        <sz val="10"/>
        <rFont val="FreeSans"/>
        <family val="2"/>
      </rPr>
      <t xml:space="preserve">مفتول آرگون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فیلر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309           2/4</t>
    </r>
  </si>
  <si>
    <t xml:space="preserve">31265139</t>
  </si>
  <si>
    <r>
      <rPr>
        <sz val="10"/>
        <rFont val="FreeSans"/>
        <family val="2"/>
      </rPr>
      <t xml:space="preserve">الکترود تنگستن </t>
    </r>
    <r>
      <rPr>
        <sz val="10"/>
        <rFont val="Vazirmatn"/>
        <family val="0"/>
        <charset val="1"/>
      </rPr>
      <t xml:space="preserve">2/4</t>
    </r>
  </si>
  <si>
    <t xml:space="preserve">31265144</t>
  </si>
  <si>
    <r>
      <rPr>
        <sz val="10"/>
        <rFont val="FreeSans"/>
        <family val="2"/>
      </rPr>
      <t xml:space="preserve">مفتول آرگون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316      1000*2.40</t>
    </r>
  </si>
  <si>
    <t xml:space="preserve">31265146</t>
  </si>
  <si>
    <r>
      <rPr>
        <sz val="10"/>
        <rFont val="FreeSans"/>
        <family val="2"/>
      </rPr>
      <t xml:space="preserve">مفتول آرگون استیل </t>
    </r>
    <r>
      <rPr>
        <sz val="10"/>
        <rFont val="Vazirmatn"/>
        <family val="0"/>
        <charset val="1"/>
      </rPr>
      <t xml:space="preserve">316        1.6 - 316</t>
    </r>
  </si>
  <si>
    <t xml:space="preserve">31265156</t>
  </si>
  <si>
    <r>
      <rPr>
        <sz val="10"/>
        <rFont val="FreeSans"/>
        <family val="2"/>
      </rPr>
      <t xml:space="preserve">سیم آرماتوربندی نمره    </t>
    </r>
    <r>
      <rPr>
        <sz val="10"/>
        <rFont val="Vazirmatn"/>
        <family val="0"/>
        <charset val="1"/>
      </rPr>
      <t xml:space="preserve">2/5</t>
    </r>
  </si>
  <si>
    <t xml:space="preserve">31265157</t>
  </si>
  <si>
    <r>
      <rPr>
        <sz val="10"/>
        <rFont val="FreeSans"/>
        <family val="2"/>
      </rPr>
      <t xml:space="preserve">سیم آرماتوربندی نمره    </t>
    </r>
    <r>
      <rPr>
        <sz val="10"/>
        <rFont val="Vazirmatn"/>
        <family val="0"/>
        <charset val="1"/>
      </rPr>
      <t xml:space="preserve">1/5</t>
    </r>
  </si>
  <si>
    <t xml:space="preserve">31265158</t>
  </si>
  <si>
    <r>
      <rPr>
        <sz val="10"/>
        <rFont val="FreeSans"/>
        <family val="2"/>
      </rPr>
      <t xml:space="preserve">الکترود آهنی  </t>
    </r>
    <r>
      <rPr>
        <sz val="10"/>
        <rFont val="Vazirmatn"/>
        <family val="0"/>
        <charset val="1"/>
      </rPr>
      <t xml:space="preserve">E7018    </t>
    </r>
    <r>
      <rPr>
        <sz val="10"/>
        <rFont val="FreeSans"/>
        <family val="2"/>
      </rPr>
      <t xml:space="preserve">نمره   </t>
    </r>
    <r>
      <rPr>
        <sz val="10"/>
        <rFont val="Vazirmatn"/>
        <family val="0"/>
        <charset val="1"/>
      </rPr>
      <t xml:space="preserve">3</t>
    </r>
  </si>
  <si>
    <t xml:space="preserve">31265159</t>
  </si>
  <si>
    <r>
      <rPr>
        <sz val="10"/>
        <rFont val="FreeSans"/>
        <family val="2"/>
      </rPr>
      <t xml:space="preserve">سیم مفتولی گالوانیزه </t>
    </r>
    <r>
      <rPr>
        <sz val="10"/>
        <rFont val="Vazirmatn"/>
        <family val="0"/>
        <charset val="1"/>
      </rPr>
      <t xml:space="preserve">0/8mm</t>
    </r>
  </si>
  <si>
    <t xml:space="preserve">31265160</t>
  </si>
  <si>
    <r>
      <rPr>
        <sz val="10"/>
        <rFont val="FreeSans"/>
        <family val="2"/>
      </rPr>
      <t xml:space="preserve">سیم مفتولی گالوانیزه </t>
    </r>
    <r>
      <rPr>
        <sz val="10"/>
        <rFont val="Vazirmatn"/>
        <family val="0"/>
        <charset val="1"/>
      </rPr>
      <t xml:space="preserve">0/5</t>
    </r>
  </si>
  <si>
    <t xml:space="preserve">31265162</t>
  </si>
  <si>
    <r>
      <rPr>
        <sz val="10"/>
        <rFont val="FreeSans"/>
        <family val="2"/>
      </rPr>
      <t xml:space="preserve">سیم مفتول آهنی </t>
    </r>
    <r>
      <rPr>
        <sz val="10"/>
        <rFont val="Vazirmatn"/>
        <family val="0"/>
        <charset val="1"/>
      </rPr>
      <t xml:space="preserve">0/7mm</t>
    </r>
  </si>
  <si>
    <t xml:space="preserve">31265165</t>
  </si>
  <si>
    <t xml:space="preserve">سیم  پلمپ</t>
  </si>
  <si>
    <t xml:space="preserve">31265166</t>
  </si>
  <si>
    <r>
      <rPr>
        <sz val="10"/>
        <rFont val="FreeSans"/>
        <family val="2"/>
      </rPr>
      <t xml:space="preserve">مفتول آرگون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316    3.2</t>
    </r>
  </si>
  <si>
    <t xml:space="preserve">31265167</t>
  </si>
  <si>
    <r>
      <rPr>
        <sz val="10"/>
        <rFont val="FreeSans"/>
        <family val="2"/>
      </rPr>
      <t xml:space="preserve">مفتول آرگون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304    3.2</t>
    </r>
  </si>
  <si>
    <t xml:space="preserve">31265170</t>
  </si>
  <si>
    <r>
      <rPr>
        <sz val="10"/>
        <rFont val="FreeSans"/>
        <family val="2"/>
      </rPr>
      <t xml:space="preserve">مفتول آرگون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309    3.2</t>
    </r>
  </si>
  <si>
    <t xml:space="preserve">31265173</t>
  </si>
  <si>
    <r>
      <rPr>
        <sz val="10"/>
        <rFont val="FreeSans"/>
        <family val="2"/>
      </rPr>
      <t xml:space="preserve">مفتول آرگون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308    1.6</t>
    </r>
  </si>
  <si>
    <t xml:space="preserve">31265174</t>
  </si>
  <si>
    <r>
      <rPr>
        <sz val="10"/>
        <rFont val="FreeSans"/>
        <family val="2"/>
      </rPr>
      <t xml:space="preserve">سیم جوش نقره </t>
    </r>
    <r>
      <rPr>
        <sz val="10"/>
        <rFont val="Vazirmatn"/>
        <family val="0"/>
        <charset val="1"/>
      </rPr>
      <t xml:space="preserve">30 </t>
    </r>
    <r>
      <rPr>
        <sz val="10"/>
        <rFont val="FreeSans"/>
        <family val="2"/>
      </rPr>
      <t xml:space="preserve">درصد با روکش</t>
    </r>
  </si>
  <si>
    <t xml:space="preserve">31265175</t>
  </si>
  <si>
    <r>
      <rPr>
        <sz val="10"/>
        <rFont val="FreeSans"/>
        <family val="2"/>
      </rPr>
      <t xml:space="preserve">الکترود آلومینیومی   </t>
    </r>
    <r>
      <rPr>
        <sz val="10"/>
        <rFont val="Vazirmatn"/>
        <family val="0"/>
        <charset val="1"/>
      </rPr>
      <t xml:space="preserve">2/5</t>
    </r>
  </si>
  <si>
    <t xml:space="preserve">31265177</t>
  </si>
  <si>
    <r>
      <rPr>
        <sz val="10"/>
        <rFont val="FreeSans"/>
        <family val="2"/>
      </rPr>
      <t xml:space="preserve">فیلر برنجی  </t>
    </r>
    <r>
      <rPr>
        <sz val="10"/>
        <rFont val="Vazirmatn"/>
        <family val="0"/>
        <charset val="1"/>
      </rPr>
      <t xml:space="preserve">1/5</t>
    </r>
  </si>
  <si>
    <t xml:space="preserve">31265179</t>
  </si>
  <si>
    <t xml:space="preserve">الکترود نازل</t>
  </si>
  <si>
    <t xml:space="preserve">31265181</t>
  </si>
  <si>
    <r>
      <rPr>
        <sz val="10"/>
        <rFont val="FreeSans"/>
        <family val="2"/>
      </rPr>
      <t xml:space="preserve">سیم جوش استیل </t>
    </r>
    <r>
      <rPr>
        <sz val="10"/>
        <rFont val="Vazirmatn"/>
        <family val="0"/>
        <charset val="1"/>
      </rPr>
      <t xml:space="preserve">0/8  CO2</t>
    </r>
  </si>
  <si>
    <t xml:space="preserve">31265182</t>
  </si>
  <si>
    <r>
      <rPr>
        <sz val="10"/>
        <rFont val="FreeSans"/>
        <family val="2"/>
      </rPr>
      <t xml:space="preserve">سیم جوش آهنی </t>
    </r>
    <r>
      <rPr>
        <sz val="10"/>
        <rFont val="Vazirmatn"/>
        <family val="0"/>
        <charset val="1"/>
      </rPr>
      <t xml:space="preserve">0/8  CO2</t>
    </r>
  </si>
  <si>
    <t xml:space="preserve">31265183</t>
  </si>
  <si>
    <r>
      <rPr>
        <sz val="10"/>
        <rFont val="FreeSans"/>
        <family val="2"/>
      </rPr>
      <t xml:space="preserve">الکترود گوجینگ ذغالی سایز </t>
    </r>
    <r>
      <rPr>
        <sz val="10"/>
        <rFont val="Vazirmatn"/>
        <family val="0"/>
        <charset val="1"/>
      </rPr>
      <t xml:space="preserve">6</t>
    </r>
  </si>
  <si>
    <t xml:space="preserve">31265184</t>
  </si>
  <si>
    <r>
      <rPr>
        <sz val="10"/>
        <rFont val="FreeSans"/>
        <family val="2"/>
      </rPr>
      <t xml:space="preserve">الکترود گوجینگ ذغالی سایز </t>
    </r>
    <r>
      <rPr>
        <sz val="10"/>
        <rFont val="Vazirmatn"/>
        <family val="0"/>
        <charset val="1"/>
      </rPr>
      <t xml:space="preserve">8</t>
    </r>
  </si>
  <si>
    <t xml:space="preserve">31265185</t>
  </si>
  <si>
    <r>
      <rPr>
        <sz val="10"/>
        <rFont val="FreeSans"/>
        <family val="2"/>
      </rPr>
      <t xml:space="preserve">مفتول آرگون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316    1.6</t>
    </r>
  </si>
  <si>
    <t xml:space="preserve">31265186</t>
  </si>
  <si>
    <r>
      <rPr>
        <sz val="10"/>
        <rFont val="FreeSans"/>
        <family val="2"/>
      </rPr>
      <t xml:space="preserve">الکترود برش پلاسما  </t>
    </r>
    <r>
      <rPr>
        <sz val="10"/>
        <rFont val="Vazirmatn"/>
        <family val="0"/>
        <charset val="1"/>
      </rPr>
      <t xml:space="preserve">CB 150</t>
    </r>
  </si>
  <si>
    <t xml:space="preserve">31265189</t>
  </si>
  <si>
    <r>
      <rPr>
        <sz val="10"/>
        <rFont val="FreeSans"/>
        <family val="2"/>
      </rPr>
      <t xml:space="preserve">مفتول آرگون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آهن </t>
    </r>
    <r>
      <rPr>
        <sz val="10"/>
        <rFont val="Vazirmatn"/>
        <family val="0"/>
        <charset val="1"/>
      </rPr>
      <t xml:space="preserve">S70    2.4</t>
    </r>
  </si>
  <si>
    <t xml:space="preserve">31265191</t>
  </si>
  <si>
    <r>
      <rPr>
        <sz val="10"/>
        <rFont val="FreeSans"/>
        <family val="2"/>
      </rPr>
      <t xml:space="preserve">مفتول آرگون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309    1.6</t>
    </r>
  </si>
  <si>
    <t xml:space="preserve">31265193</t>
  </si>
  <si>
    <r>
      <rPr>
        <sz val="10"/>
        <rFont val="FreeSans"/>
        <family val="2"/>
      </rPr>
      <t xml:space="preserve">مفتول آرگون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فیلر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فولادی  </t>
    </r>
    <r>
      <rPr>
        <sz val="10"/>
        <rFont val="Vazirmatn"/>
        <family val="0"/>
        <charset val="1"/>
      </rPr>
      <t xml:space="preserve">1.6</t>
    </r>
  </si>
  <si>
    <t xml:space="preserve">31265194</t>
  </si>
  <si>
    <r>
      <rPr>
        <sz val="10"/>
        <rFont val="FreeSans"/>
        <family val="2"/>
      </rPr>
      <t xml:space="preserve">تنگستن توریوم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ته زرد </t>
    </r>
    <r>
      <rPr>
        <sz val="10"/>
        <rFont val="Vazirmatn"/>
        <family val="0"/>
        <charset val="1"/>
      </rPr>
      <t xml:space="preserve">)</t>
    </r>
  </si>
  <si>
    <t xml:space="preserve">31265203</t>
  </si>
  <si>
    <r>
      <rPr>
        <sz val="10"/>
        <rFont val="FreeSans"/>
        <family val="2"/>
      </rPr>
      <t xml:space="preserve">مهره پرچ </t>
    </r>
    <r>
      <rPr>
        <sz val="10"/>
        <rFont val="Vazirmatn"/>
        <family val="0"/>
        <charset val="1"/>
      </rPr>
      <t xml:space="preserve">6mm</t>
    </r>
  </si>
  <si>
    <t xml:space="preserve">31265204</t>
  </si>
  <si>
    <r>
      <rPr>
        <sz val="10"/>
        <rFont val="FreeSans"/>
        <family val="2"/>
      </rPr>
      <t xml:space="preserve">مهره پرچ </t>
    </r>
    <r>
      <rPr>
        <sz val="10"/>
        <rFont val="Vazirmatn"/>
        <family val="0"/>
        <charset val="1"/>
      </rPr>
      <t xml:space="preserve">8mm</t>
    </r>
  </si>
  <si>
    <t xml:space="preserve">31265206</t>
  </si>
  <si>
    <r>
      <rPr>
        <sz val="10"/>
        <rFont val="FreeSans"/>
        <family val="2"/>
      </rPr>
      <t xml:space="preserve">میخ پرچ         نمره   </t>
    </r>
    <r>
      <rPr>
        <sz val="10"/>
        <rFont val="Vazirmatn"/>
        <family val="0"/>
        <charset val="1"/>
      </rPr>
      <t xml:space="preserve">6</t>
    </r>
  </si>
  <si>
    <t xml:space="preserve">31265209</t>
  </si>
  <si>
    <r>
      <rPr>
        <sz val="10"/>
        <rFont val="FreeSans"/>
        <family val="2"/>
      </rPr>
      <t xml:space="preserve">مهره پرچ </t>
    </r>
    <r>
      <rPr>
        <sz val="10"/>
        <rFont val="Vazirmatn"/>
        <family val="0"/>
        <charset val="1"/>
      </rPr>
      <t xml:space="preserve">10mm</t>
    </r>
  </si>
  <si>
    <t xml:space="preserve">31265210</t>
  </si>
  <si>
    <r>
      <rPr>
        <sz val="10"/>
        <rFont val="FreeSans"/>
        <family val="2"/>
      </rPr>
      <t xml:space="preserve">میخ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پا</t>
    </r>
  </si>
  <si>
    <t xml:space="preserve">31266101</t>
  </si>
  <si>
    <t xml:space="preserve">قفل آویز متوسط</t>
  </si>
  <si>
    <t xml:space="preserve">31266106</t>
  </si>
  <si>
    <r>
      <rPr>
        <sz val="10"/>
        <rFont val="FreeSans"/>
        <family val="2"/>
      </rPr>
      <t xml:space="preserve">قفل عمودی سرتاسری  </t>
    </r>
    <r>
      <rPr>
        <sz val="10"/>
        <rFont val="Vazirmatn"/>
        <family val="0"/>
        <charset val="1"/>
      </rPr>
      <t xml:space="preserve">Rittal</t>
    </r>
  </si>
  <si>
    <t xml:space="preserve">31266111</t>
  </si>
  <si>
    <t xml:space="preserve">قفل تابلوی برق</t>
  </si>
  <si>
    <t xml:space="preserve">31266112</t>
  </si>
  <si>
    <r>
      <rPr>
        <sz val="10"/>
        <rFont val="FreeSans"/>
        <family val="2"/>
      </rPr>
      <t xml:space="preserve">قفل </t>
    </r>
    <r>
      <rPr>
        <sz val="10"/>
        <rFont val="Vazirmatn"/>
        <family val="0"/>
        <charset val="1"/>
      </rPr>
      <t xml:space="preserve">303</t>
    </r>
  </si>
  <si>
    <t xml:space="preserve">31266116</t>
  </si>
  <si>
    <t xml:space="preserve">قفل و دستگیره کامل سوئیچی</t>
  </si>
  <si>
    <t xml:space="preserve">31266117</t>
  </si>
  <si>
    <t xml:space="preserve">قفل سوئیچی کامل با دستگیره</t>
  </si>
  <si>
    <t xml:space="preserve">31266118</t>
  </si>
  <si>
    <t xml:space="preserve">قفل و دستگیره سرویس</t>
  </si>
  <si>
    <t xml:space="preserve">31266120</t>
  </si>
  <si>
    <t xml:space="preserve">مغزی درب</t>
  </si>
  <si>
    <t xml:space="preserve">31266122</t>
  </si>
  <si>
    <r>
      <rPr>
        <sz val="10"/>
        <rFont val="FreeSans"/>
        <family val="2"/>
      </rPr>
      <t xml:space="preserve">قفل تابلویی رز ایران  </t>
    </r>
    <r>
      <rPr>
        <sz val="10"/>
        <rFont val="Vazirmatn"/>
        <family val="0"/>
        <charset val="1"/>
      </rPr>
      <t xml:space="preserve">072MD</t>
    </r>
  </si>
  <si>
    <t xml:space="preserve">31266125</t>
  </si>
  <si>
    <r>
      <rPr>
        <sz val="10"/>
        <rFont val="FreeSans"/>
        <family val="2"/>
      </rPr>
      <t xml:space="preserve">قفل درب </t>
    </r>
    <r>
      <rPr>
        <sz val="10"/>
        <rFont val="Vazirmatn"/>
        <family val="0"/>
        <charset val="1"/>
      </rPr>
      <t xml:space="preserve">UPVC</t>
    </r>
  </si>
  <si>
    <t xml:space="preserve">31266126</t>
  </si>
  <si>
    <t xml:space="preserve">قفل کتابی ضد سرقت</t>
  </si>
  <si>
    <t xml:space="preserve">31266127</t>
  </si>
  <si>
    <t xml:space="preserve">قفل کابینتی</t>
  </si>
  <si>
    <t xml:space="preserve">31266128</t>
  </si>
  <si>
    <t xml:space="preserve">قفل کتابی بزرگ</t>
  </si>
  <si>
    <t xml:space="preserve">31266130</t>
  </si>
  <si>
    <t xml:space="preserve">سیلندر کامپیوتری</t>
  </si>
  <si>
    <t xml:space="preserve">31266131</t>
  </si>
  <si>
    <r>
      <rPr>
        <sz val="10"/>
        <rFont val="FreeSans"/>
        <family val="2"/>
      </rPr>
      <t xml:space="preserve">دستگیره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تیکه سوئیچی</t>
    </r>
  </si>
  <si>
    <t xml:space="preserve">31266132</t>
  </si>
  <si>
    <t xml:space="preserve">کشو مغزی</t>
  </si>
  <si>
    <t xml:space="preserve">31266133</t>
  </si>
  <si>
    <r>
      <rPr>
        <sz val="10"/>
        <rFont val="FreeSans"/>
        <family val="2"/>
      </rPr>
      <t xml:space="preserve">قفل کشوی </t>
    </r>
    <r>
      <rPr>
        <sz val="10"/>
        <rFont val="Vazirmatn"/>
        <family val="0"/>
        <charset val="1"/>
      </rPr>
      <t xml:space="preserve">MDF</t>
    </r>
  </si>
  <si>
    <t xml:space="preserve">31266137</t>
  </si>
  <si>
    <t xml:space="preserve">مغزی قفل</t>
  </si>
  <si>
    <t xml:space="preserve">31266139</t>
  </si>
  <si>
    <t xml:space="preserve">قفل درب آهنی</t>
  </si>
  <si>
    <t xml:space="preserve">31266141</t>
  </si>
  <si>
    <r>
      <rPr>
        <sz val="10"/>
        <rFont val="FreeSans"/>
        <family val="2"/>
      </rPr>
      <t xml:space="preserve">قفل کتابی </t>
    </r>
    <r>
      <rPr>
        <sz val="10"/>
        <rFont val="Vazirmatn"/>
        <family val="0"/>
        <charset val="1"/>
      </rPr>
      <t xml:space="preserve">75</t>
    </r>
  </si>
  <si>
    <t xml:space="preserve">31266142</t>
  </si>
  <si>
    <r>
      <rPr>
        <sz val="10"/>
        <rFont val="FreeSans"/>
        <family val="2"/>
      </rPr>
      <t xml:space="preserve">قفل کتابی </t>
    </r>
    <r>
      <rPr>
        <sz val="10"/>
        <rFont val="Vazirmatn"/>
        <family val="0"/>
        <charset val="1"/>
      </rPr>
      <t xml:space="preserve">50</t>
    </r>
  </si>
  <si>
    <t xml:space="preserve">31266145</t>
  </si>
  <si>
    <t xml:space="preserve">قفل کمری درب شیشه سکوریت</t>
  </si>
  <si>
    <t xml:space="preserve">31266146</t>
  </si>
  <si>
    <r>
      <rPr>
        <sz val="10"/>
        <rFont val="FreeSans"/>
        <family val="2"/>
      </rPr>
      <t xml:space="preserve">قفل آویز </t>
    </r>
    <r>
      <rPr>
        <sz val="10"/>
        <rFont val="Vazirmatn"/>
        <family val="0"/>
        <charset val="1"/>
      </rPr>
      <t xml:space="preserve">80</t>
    </r>
  </si>
  <si>
    <t xml:space="preserve">31266147</t>
  </si>
  <si>
    <r>
      <rPr>
        <sz val="10"/>
        <rFont val="FreeSans"/>
        <family val="2"/>
      </rPr>
      <t xml:space="preserve">قفل کتابی  </t>
    </r>
    <r>
      <rPr>
        <sz val="10"/>
        <rFont val="Vazirmatn"/>
        <family val="0"/>
        <charset val="1"/>
      </rPr>
      <t xml:space="preserve">100</t>
    </r>
  </si>
  <si>
    <t xml:space="preserve">31266148</t>
  </si>
  <si>
    <r>
      <rPr>
        <sz val="10"/>
        <rFont val="FreeSans"/>
        <family val="2"/>
      </rPr>
      <t xml:space="preserve">قفل درب کله گاوی یوتاب </t>
    </r>
    <r>
      <rPr>
        <sz val="10"/>
        <rFont val="Vazirmatn"/>
        <family val="0"/>
        <charset val="1"/>
      </rPr>
      <t xml:space="preserve">1093 - </t>
    </r>
    <r>
      <rPr>
        <sz val="10"/>
        <rFont val="FreeSans"/>
        <family val="2"/>
      </rPr>
      <t xml:space="preserve">ریموت دار </t>
    </r>
    <r>
      <rPr>
        <sz val="10"/>
        <rFont val="Vazirmatn"/>
        <family val="0"/>
        <charset val="1"/>
      </rPr>
      <t xml:space="preserve">- 6 </t>
    </r>
    <r>
      <rPr>
        <sz val="10"/>
        <rFont val="FreeSans"/>
        <family val="2"/>
      </rPr>
      <t xml:space="preserve">ریموته</t>
    </r>
  </si>
  <si>
    <t xml:space="preserve">31266151</t>
  </si>
  <si>
    <r>
      <rPr>
        <sz val="10"/>
        <rFont val="FreeSans"/>
        <family val="2"/>
      </rPr>
      <t xml:space="preserve">قفل آویز </t>
    </r>
    <r>
      <rPr>
        <sz val="10"/>
        <rFont val="Vazirmatn"/>
        <family val="0"/>
        <charset val="1"/>
      </rPr>
      <t xml:space="preserve">75</t>
    </r>
  </si>
  <si>
    <t xml:space="preserve">31266197</t>
  </si>
  <si>
    <r>
      <rPr>
        <sz val="10"/>
        <rFont val="FreeSans"/>
        <family val="2"/>
      </rPr>
      <t xml:space="preserve">لولای           نمره    </t>
    </r>
    <r>
      <rPr>
        <sz val="10"/>
        <rFont val="Vazirmatn"/>
        <family val="0"/>
        <charset val="1"/>
      </rPr>
      <t xml:space="preserve">10</t>
    </r>
  </si>
  <si>
    <t xml:space="preserve">31266199</t>
  </si>
  <si>
    <r>
      <rPr>
        <sz val="10"/>
        <rFont val="FreeSans"/>
        <family val="2"/>
      </rPr>
      <t xml:space="preserve">لولای آهنی            </t>
    </r>
    <r>
      <rPr>
        <sz val="10"/>
        <rFont val="Vazirmatn"/>
        <family val="0"/>
        <charset val="1"/>
      </rPr>
      <t xml:space="preserve">16</t>
    </r>
  </si>
  <si>
    <t xml:space="preserve">31266203</t>
  </si>
  <si>
    <r>
      <rPr>
        <sz val="10"/>
        <rFont val="FreeSans"/>
        <family val="2"/>
      </rPr>
      <t xml:space="preserve">لولا آهنی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سه پارچه</t>
    </r>
  </si>
  <si>
    <t xml:space="preserve">31266205</t>
  </si>
  <si>
    <r>
      <rPr>
        <sz val="10"/>
        <rFont val="FreeSans"/>
        <family val="2"/>
      </rPr>
      <t xml:space="preserve">لولای آهنی نمره   </t>
    </r>
    <r>
      <rPr>
        <sz val="10"/>
        <rFont val="Vazirmatn"/>
        <family val="0"/>
        <charset val="1"/>
      </rPr>
      <t xml:space="preserve">20</t>
    </r>
  </si>
  <si>
    <t xml:space="preserve">31266209</t>
  </si>
  <si>
    <t xml:space="preserve">لولای کابینتی</t>
  </si>
  <si>
    <t xml:space="preserve">31266213</t>
  </si>
  <si>
    <r>
      <rPr>
        <sz val="10"/>
        <rFont val="FreeSans"/>
        <family val="2"/>
      </rPr>
      <t xml:space="preserve">لولا آهنی       نمره </t>
    </r>
    <r>
      <rPr>
        <sz val="10"/>
        <rFont val="Vazirmatn"/>
        <family val="0"/>
        <charset val="1"/>
      </rPr>
      <t xml:space="preserve">8</t>
    </r>
  </si>
  <si>
    <t xml:space="preserve">31266215</t>
  </si>
  <si>
    <r>
      <rPr>
        <sz val="10"/>
        <rFont val="FreeSans"/>
        <family val="2"/>
      </rPr>
      <t xml:space="preserve">لولای آهنی نمره   </t>
    </r>
    <r>
      <rPr>
        <sz val="10"/>
        <rFont val="Vazirmatn"/>
        <family val="0"/>
        <charset val="1"/>
      </rPr>
      <t xml:space="preserve">18</t>
    </r>
  </si>
  <si>
    <t xml:space="preserve">31266216</t>
  </si>
  <si>
    <r>
      <rPr>
        <sz val="10"/>
        <rFont val="FreeSans"/>
        <family val="2"/>
      </rPr>
      <t xml:space="preserve">لولای آهنی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تیکه</t>
    </r>
  </si>
  <si>
    <t xml:space="preserve">31266217</t>
  </si>
  <si>
    <r>
      <rPr>
        <sz val="10"/>
        <rFont val="FreeSans"/>
        <family val="2"/>
      </rPr>
      <t xml:space="preserve">لولای درب تخت استیل </t>
    </r>
    <r>
      <rPr>
        <sz val="10"/>
        <rFont val="Vazirmatn"/>
        <family val="0"/>
        <charset val="1"/>
      </rPr>
      <t xml:space="preserve">5*5</t>
    </r>
  </si>
  <si>
    <t xml:space="preserve">31266218</t>
  </si>
  <si>
    <r>
      <rPr>
        <sz val="10"/>
        <rFont val="FreeSans"/>
        <family val="2"/>
      </rPr>
      <t xml:space="preserve">لولای فلزی بلبرینگی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فانتزی </t>
    </r>
    <r>
      <rPr>
        <sz val="10"/>
        <rFont val="Vazirmatn"/>
        <family val="0"/>
        <charset val="1"/>
      </rPr>
      <t xml:space="preserve">)</t>
    </r>
  </si>
  <si>
    <t xml:space="preserve">31266219</t>
  </si>
  <si>
    <r>
      <rPr>
        <sz val="10"/>
        <rFont val="FreeSans"/>
        <family val="2"/>
      </rPr>
      <t xml:space="preserve">لولای درب کابینت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گازور </t>
    </r>
    <r>
      <rPr>
        <sz val="10"/>
        <rFont val="Vazirmatn"/>
        <family val="0"/>
        <charset val="1"/>
      </rPr>
      <t xml:space="preserve">)</t>
    </r>
  </si>
  <si>
    <t xml:space="preserve">31266223</t>
  </si>
  <si>
    <r>
      <rPr>
        <sz val="10"/>
        <rFont val="FreeSans"/>
        <family val="2"/>
      </rPr>
      <t xml:space="preserve">لولای درب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</t>
    </r>
  </si>
  <si>
    <t xml:space="preserve">31267109</t>
  </si>
  <si>
    <r>
      <rPr>
        <sz val="10"/>
        <rFont val="FreeSans"/>
        <family val="2"/>
      </rPr>
      <t xml:space="preserve">رول پلاک          </t>
    </r>
    <r>
      <rPr>
        <sz val="10"/>
        <rFont val="Vazirmatn"/>
        <family val="0"/>
        <charset val="1"/>
      </rPr>
      <t xml:space="preserve">10mm</t>
    </r>
  </si>
  <si>
    <t xml:space="preserve">31267112</t>
  </si>
  <si>
    <r>
      <rPr>
        <sz val="10"/>
        <rFont val="FreeSans"/>
        <family val="2"/>
      </rPr>
      <t xml:space="preserve">رول پلاک  </t>
    </r>
    <r>
      <rPr>
        <sz val="10"/>
        <rFont val="Vazirmatn"/>
        <family val="0"/>
        <charset val="1"/>
      </rPr>
      <t xml:space="preserve">7mm</t>
    </r>
  </si>
  <si>
    <t xml:space="preserve">31267113</t>
  </si>
  <si>
    <r>
      <rPr>
        <sz val="10"/>
        <rFont val="FreeSans"/>
        <family val="2"/>
      </rPr>
      <t xml:space="preserve">رولپلاک  </t>
    </r>
    <r>
      <rPr>
        <sz val="10"/>
        <rFont val="Vazirmatn"/>
        <family val="0"/>
        <charset val="1"/>
      </rPr>
      <t xml:space="preserve">3Cm</t>
    </r>
  </si>
  <si>
    <t xml:space="preserve">31267114</t>
  </si>
  <si>
    <r>
      <rPr>
        <sz val="10"/>
        <rFont val="FreeSans"/>
        <family val="2"/>
      </rPr>
      <t xml:space="preserve">رولپلاک            </t>
    </r>
    <r>
      <rPr>
        <sz val="10"/>
        <rFont val="Vazirmatn"/>
        <family val="0"/>
        <charset val="1"/>
      </rPr>
      <t xml:space="preserve">4mm</t>
    </r>
  </si>
  <si>
    <t xml:space="preserve">31267118</t>
  </si>
  <si>
    <r>
      <rPr>
        <sz val="10"/>
        <rFont val="FreeSans"/>
        <family val="2"/>
      </rPr>
      <t xml:space="preserve">رول بولت </t>
    </r>
    <r>
      <rPr>
        <sz val="10"/>
        <rFont val="Vazirmatn"/>
        <family val="0"/>
        <charset val="1"/>
      </rPr>
      <t xml:space="preserve">15Cm  )  16 )</t>
    </r>
  </si>
  <si>
    <t xml:space="preserve">31267119</t>
  </si>
  <si>
    <r>
      <rPr>
        <sz val="10"/>
        <rFont val="FreeSans"/>
        <family val="2"/>
      </rPr>
      <t xml:space="preserve">رول بولت </t>
    </r>
    <r>
      <rPr>
        <sz val="10"/>
        <rFont val="Vazirmatn"/>
        <family val="0"/>
        <charset val="1"/>
      </rPr>
      <t xml:space="preserve">8Cm  )  8 )</t>
    </r>
  </si>
  <si>
    <t xml:space="preserve">31267125</t>
  </si>
  <si>
    <r>
      <rPr>
        <sz val="10"/>
        <rFont val="FreeSans"/>
        <family val="2"/>
      </rPr>
      <t xml:space="preserve">رول بولت فلزی             </t>
    </r>
    <r>
      <rPr>
        <sz val="10"/>
        <rFont val="Vazirmatn"/>
        <family val="0"/>
        <charset val="1"/>
      </rPr>
      <t xml:space="preserve">M16</t>
    </r>
  </si>
  <si>
    <t xml:space="preserve">31267134</t>
  </si>
  <si>
    <r>
      <rPr>
        <sz val="10"/>
        <rFont val="FreeSans"/>
        <family val="2"/>
      </rPr>
      <t xml:space="preserve">بولت آهنی </t>
    </r>
    <r>
      <rPr>
        <sz val="10"/>
        <rFont val="Vazirmatn"/>
        <family val="0"/>
        <charset val="1"/>
      </rPr>
      <t xml:space="preserve">24</t>
    </r>
  </si>
  <si>
    <t xml:space="preserve">31267135</t>
  </si>
  <si>
    <r>
      <rPr>
        <sz val="10"/>
        <rFont val="FreeSans"/>
        <family val="2"/>
      </rPr>
      <t xml:space="preserve">بولت آهنی </t>
    </r>
    <r>
      <rPr>
        <sz val="10"/>
        <rFont val="Vazirmatn"/>
        <family val="0"/>
        <charset val="1"/>
      </rPr>
      <t xml:space="preserve">25</t>
    </r>
  </si>
  <si>
    <t xml:space="preserve">31267136</t>
  </si>
  <si>
    <r>
      <rPr>
        <sz val="10"/>
        <rFont val="FreeSans"/>
        <family val="2"/>
      </rPr>
      <t xml:space="preserve">انکر بولت </t>
    </r>
    <r>
      <rPr>
        <sz val="10"/>
        <rFont val="Vazirmatn"/>
        <family val="0"/>
        <charset val="1"/>
      </rPr>
      <t xml:space="preserve">20</t>
    </r>
  </si>
  <si>
    <t xml:space="preserve">31267140</t>
  </si>
  <si>
    <r>
      <rPr>
        <sz val="10"/>
        <rFont val="FreeSans"/>
        <family val="2"/>
      </rPr>
      <t xml:space="preserve">یو بولت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کامل   </t>
    </r>
    <r>
      <rPr>
        <sz val="10"/>
        <rFont val="Vazirmatn"/>
        <family val="0"/>
        <charset val="1"/>
      </rPr>
      <t xml:space="preserve">" 1/2</t>
    </r>
  </si>
  <si>
    <t xml:space="preserve">31267141</t>
  </si>
  <si>
    <r>
      <rPr>
        <sz val="10"/>
        <rFont val="FreeSans"/>
        <family val="2"/>
      </rPr>
      <t xml:space="preserve">یو بولت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کامل   </t>
    </r>
    <r>
      <rPr>
        <sz val="10"/>
        <rFont val="Vazirmatn"/>
        <family val="0"/>
        <charset val="1"/>
      </rPr>
      <t xml:space="preserve">" 3/4</t>
    </r>
  </si>
  <si>
    <t xml:space="preserve">31267142</t>
  </si>
  <si>
    <r>
      <rPr>
        <sz val="10"/>
        <rFont val="FreeSans"/>
        <family val="2"/>
      </rPr>
      <t xml:space="preserve">یو بولت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کامل   </t>
    </r>
    <r>
      <rPr>
        <sz val="10"/>
        <rFont val="Vazirmatn"/>
        <family val="0"/>
        <charset val="1"/>
      </rPr>
      <t xml:space="preserve">" 1</t>
    </r>
  </si>
  <si>
    <t xml:space="preserve">31267143</t>
  </si>
  <si>
    <r>
      <rPr>
        <sz val="10"/>
        <rFont val="FreeSans"/>
        <family val="2"/>
      </rPr>
      <t xml:space="preserve">یو بولت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کامل   </t>
    </r>
    <r>
      <rPr>
        <sz val="10"/>
        <rFont val="Vazirmatn"/>
        <family val="0"/>
        <charset val="1"/>
      </rPr>
      <t xml:space="preserve">" 1/2 1</t>
    </r>
  </si>
  <si>
    <t xml:space="preserve">31267144</t>
  </si>
  <si>
    <r>
      <rPr>
        <sz val="10"/>
        <rFont val="FreeSans"/>
        <family val="2"/>
      </rPr>
      <t xml:space="preserve">یو بولت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کامل   </t>
    </r>
    <r>
      <rPr>
        <sz val="10"/>
        <rFont val="Vazirmatn"/>
        <family val="0"/>
        <charset val="1"/>
      </rPr>
      <t xml:space="preserve">" 2</t>
    </r>
  </si>
  <si>
    <t xml:space="preserve">31267145</t>
  </si>
  <si>
    <r>
      <rPr>
        <sz val="10"/>
        <rFont val="FreeSans"/>
        <family val="2"/>
      </rPr>
      <t xml:space="preserve">یو بولت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کامل   </t>
    </r>
    <r>
      <rPr>
        <sz val="10"/>
        <rFont val="Vazirmatn"/>
        <family val="0"/>
        <charset val="1"/>
      </rPr>
      <t xml:space="preserve">" 3</t>
    </r>
  </si>
  <si>
    <t xml:space="preserve">31267146</t>
  </si>
  <si>
    <r>
      <rPr>
        <sz val="10"/>
        <rFont val="FreeSans"/>
        <family val="2"/>
      </rPr>
      <t xml:space="preserve">یو بولت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کامل   </t>
    </r>
    <r>
      <rPr>
        <sz val="10"/>
        <rFont val="Vazirmatn"/>
        <family val="0"/>
        <charset val="1"/>
      </rPr>
      <t xml:space="preserve">" 4</t>
    </r>
  </si>
  <si>
    <t xml:space="preserve">31267147</t>
  </si>
  <si>
    <r>
      <rPr>
        <sz val="10"/>
        <rFont val="FreeSans"/>
        <family val="2"/>
      </rPr>
      <t xml:space="preserve">یو بولت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کامل   </t>
    </r>
    <r>
      <rPr>
        <sz val="10"/>
        <rFont val="Vazirmatn"/>
        <family val="0"/>
        <charset val="1"/>
      </rPr>
      <t xml:space="preserve">" 5</t>
    </r>
  </si>
  <si>
    <t xml:space="preserve">31267149</t>
  </si>
  <si>
    <r>
      <rPr>
        <sz val="10"/>
        <rFont val="FreeSans"/>
        <family val="2"/>
      </rPr>
      <t xml:space="preserve">یو بولت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کامل   </t>
    </r>
    <r>
      <rPr>
        <sz val="10"/>
        <rFont val="Vazirmatn"/>
        <family val="0"/>
        <charset val="1"/>
      </rPr>
      <t xml:space="preserve">" 1/2 2</t>
    </r>
  </si>
  <si>
    <t xml:space="preserve">31269101</t>
  </si>
  <si>
    <t xml:space="preserve">سرب پلمپ</t>
  </si>
  <si>
    <t xml:space="preserve">31269106</t>
  </si>
  <si>
    <r>
      <rPr>
        <sz val="10"/>
        <rFont val="FreeSans"/>
        <family val="2"/>
      </rPr>
      <t xml:space="preserve">مته الماسه </t>
    </r>
    <r>
      <rPr>
        <sz val="10"/>
        <rFont val="Vazirmatn"/>
        <family val="0"/>
        <charset val="1"/>
      </rPr>
      <t xml:space="preserve">15</t>
    </r>
  </si>
  <si>
    <t xml:space="preserve">31269201</t>
  </si>
  <si>
    <r>
      <rPr>
        <sz val="10"/>
        <rFont val="FreeSans"/>
        <family val="2"/>
      </rPr>
      <t xml:space="preserve">سرامیک آرگون </t>
    </r>
    <r>
      <rPr>
        <sz val="10"/>
        <rFont val="Vazirmatn"/>
        <family val="0"/>
        <charset val="1"/>
      </rPr>
      <t xml:space="preserve">7</t>
    </r>
  </si>
  <si>
    <t xml:space="preserve">31269203</t>
  </si>
  <si>
    <t xml:space="preserve">دنباله آرگون بلند</t>
  </si>
  <si>
    <t xml:space="preserve">31269205</t>
  </si>
  <si>
    <t xml:space="preserve">دنباله آرگون متوسط</t>
  </si>
  <si>
    <t xml:space="preserve">31269206</t>
  </si>
  <si>
    <t xml:space="preserve">شعله پرچ کن تورچ</t>
  </si>
  <si>
    <t xml:space="preserve">31269207</t>
  </si>
  <si>
    <r>
      <rPr>
        <sz val="10"/>
        <rFont val="FreeSans"/>
        <family val="2"/>
      </rPr>
      <t xml:space="preserve">گاز پخش کن برش پلاسما  </t>
    </r>
    <r>
      <rPr>
        <sz val="10"/>
        <rFont val="Vazirmatn"/>
        <family val="0"/>
        <charset val="1"/>
      </rPr>
      <t xml:space="preserve">CB 150</t>
    </r>
  </si>
  <si>
    <t xml:space="preserve">31269208</t>
  </si>
  <si>
    <r>
      <rPr>
        <sz val="10"/>
        <rFont val="FreeSans"/>
        <family val="2"/>
      </rPr>
      <t xml:space="preserve">ایزولاتور تورچ برش پلاسما  </t>
    </r>
    <r>
      <rPr>
        <sz val="10"/>
        <rFont val="Vazirmatn"/>
        <family val="0"/>
        <charset val="1"/>
      </rPr>
      <t xml:space="preserve">CB 150</t>
    </r>
  </si>
  <si>
    <t xml:space="preserve">31269211</t>
  </si>
  <si>
    <t xml:space="preserve">گاز پخش کن آرگون برنجی</t>
  </si>
  <si>
    <t xml:space="preserve">31269212</t>
  </si>
  <si>
    <r>
      <rPr>
        <sz val="10"/>
        <rFont val="FreeSans"/>
        <family val="2"/>
      </rPr>
      <t xml:space="preserve">تورچ میگ مگ هوا خنک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CO2 ( </t>
    </r>
    <r>
      <rPr>
        <sz val="10"/>
        <rFont val="FreeSans"/>
        <family val="2"/>
      </rPr>
      <t xml:space="preserve">تک فاز گام  </t>
    </r>
    <r>
      <rPr>
        <sz val="10"/>
        <rFont val="Vazirmatn"/>
        <family val="0"/>
        <charset val="1"/>
      </rPr>
      <t xml:space="preserve">)</t>
    </r>
  </si>
  <si>
    <t xml:space="preserve">31269213</t>
  </si>
  <si>
    <r>
      <rPr>
        <sz val="10"/>
        <rFont val="FreeSans"/>
        <family val="2"/>
      </rPr>
      <t xml:space="preserve">قرقره پرگار پلاسما  </t>
    </r>
    <r>
      <rPr>
        <sz val="10"/>
        <rFont val="Vazirmatn"/>
        <family val="0"/>
        <charset val="1"/>
      </rPr>
      <t xml:space="preserve">CB 150</t>
    </r>
  </si>
  <si>
    <t xml:space="preserve">31269216</t>
  </si>
  <si>
    <t xml:space="preserve">حفاظ بلبرینگ سپراتور گلوتن</t>
  </si>
  <si>
    <t xml:space="preserve">31269227</t>
  </si>
  <si>
    <r>
      <rPr>
        <sz val="10"/>
        <rFont val="FreeSans"/>
        <family val="2"/>
      </rPr>
      <t xml:space="preserve">قلاب جرثقیل زنجیری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تنی</t>
    </r>
  </si>
  <si>
    <t xml:space="preserve">31269228</t>
  </si>
  <si>
    <r>
      <rPr>
        <sz val="10"/>
        <rFont val="FreeSans"/>
        <family val="2"/>
      </rPr>
      <t xml:space="preserve">قلاب جرثقیل برقی تک زنجیر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تنی</t>
    </r>
  </si>
  <si>
    <t xml:space="preserve">31269229</t>
  </si>
  <si>
    <r>
      <rPr>
        <sz val="10"/>
        <rFont val="FreeSans"/>
        <family val="2"/>
      </rPr>
      <t xml:space="preserve">شگل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تنی جرثقیل</t>
    </r>
  </si>
  <si>
    <t xml:space="preserve">31269230</t>
  </si>
  <si>
    <r>
      <rPr>
        <sz val="10"/>
        <rFont val="FreeSans"/>
        <family val="2"/>
      </rPr>
      <t xml:space="preserve">شگل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تنی متحرک</t>
    </r>
  </si>
  <si>
    <t xml:space="preserve">31269231</t>
  </si>
  <si>
    <r>
      <rPr>
        <sz val="10"/>
        <rFont val="FreeSans"/>
        <family val="2"/>
      </rPr>
      <t xml:space="preserve">شگل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تنی ثابت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اشپیل دار </t>
    </r>
    <r>
      <rPr>
        <sz val="10"/>
        <rFont val="Vazirmatn"/>
        <family val="0"/>
        <charset val="1"/>
      </rPr>
      <t xml:space="preserve">)</t>
    </r>
  </si>
  <si>
    <t xml:space="preserve">31269278</t>
  </si>
  <si>
    <r>
      <rPr>
        <sz val="10"/>
        <rFont val="FreeSans"/>
        <family val="2"/>
      </rPr>
      <t xml:space="preserve">قلاب      </t>
    </r>
    <r>
      <rPr>
        <sz val="10"/>
        <rFont val="Vazirmatn"/>
        <family val="0"/>
        <charset val="1"/>
      </rPr>
      <t xml:space="preserve">M27</t>
    </r>
  </si>
  <si>
    <t xml:space="preserve">31269287</t>
  </si>
  <si>
    <t xml:space="preserve">قلاب سیم بکسل</t>
  </si>
  <si>
    <t xml:space="preserve">31269308</t>
  </si>
  <si>
    <t xml:space="preserve">چفت آهنی</t>
  </si>
  <si>
    <t xml:space="preserve">31269311</t>
  </si>
  <si>
    <t xml:space="preserve">کش موتوری</t>
  </si>
  <si>
    <t xml:space="preserve">31269325</t>
  </si>
  <si>
    <t xml:space="preserve">قلاب ماکو چرخ دوخت</t>
  </si>
  <si>
    <t xml:space="preserve">31269354</t>
  </si>
  <si>
    <r>
      <rPr>
        <sz val="10"/>
        <rFont val="FreeSans"/>
        <family val="2"/>
      </rPr>
      <t xml:space="preserve">لقمه اتو  </t>
    </r>
    <r>
      <rPr>
        <sz val="10"/>
        <rFont val="Vazirmatn"/>
        <family val="0"/>
        <charset val="1"/>
      </rPr>
      <t xml:space="preserve">63</t>
    </r>
  </si>
  <si>
    <t xml:space="preserve">31269355</t>
  </si>
  <si>
    <r>
      <rPr>
        <sz val="10"/>
        <rFont val="FreeSans"/>
        <family val="2"/>
      </rPr>
      <t xml:space="preserve">لقمه اتو  </t>
    </r>
    <r>
      <rPr>
        <sz val="10"/>
        <rFont val="Vazirmatn"/>
        <family val="0"/>
        <charset val="1"/>
      </rPr>
      <t xml:space="preserve">90</t>
    </r>
  </si>
  <si>
    <t xml:space="preserve">31269440</t>
  </si>
  <si>
    <r>
      <rPr>
        <sz val="10"/>
        <rFont val="FreeSans"/>
        <family val="2"/>
      </rPr>
      <t xml:space="preserve">قلاویز گام </t>
    </r>
    <r>
      <rPr>
        <sz val="10"/>
        <rFont val="Vazirmatn"/>
        <family val="0"/>
        <charset val="1"/>
      </rPr>
      <t xml:space="preserve">M11   *     1</t>
    </r>
  </si>
  <si>
    <t xml:space="preserve">31269459</t>
  </si>
  <si>
    <r>
      <rPr>
        <sz val="10"/>
        <rFont val="FreeSans"/>
        <family val="2"/>
      </rPr>
      <t xml:space="preserve">قلاویز    </t>
    </r>
    <r>
      <rPr>
        <sz val="10"/>
        <rFont val="Vazirmatn"/>
        <family val="0"/>
        <charset val="1"/>
      </rPr>
      <t xml:space="preserve">*2 26 M</t>
    </r>
  </si>
  <si>
    <t xml:space="preserve">31269469</t>
  </si>
  <si>
    <r>
      <rPr>
        <sz val="10"/>
        <rFont val="FreeSans"/>
        <family val="2"/>
      </rPr>
      <t xml:space="preserve">قلاویز  </t>
    </r>
    <r>
      <rPr>
        <sz val="10"/>
        <rFont val="Vazirmatn"/>
        <family val="0"/>
        <charset val="1"/>
      </rPr>
      <t xml:space="preserve">m18*15</t>
    </r>
  </si>
  <si>
    <t xml:space="preserve">31269470</t>
  </si>
  <si>
    <r>
      <rPr>
        <sz val="10"/>
        <rFont val="FreeSans"/>
        <family val="2"/>
      </rPr>
      <t xml:space="preserve">قلاویز   </t>
    </r>
    <r>
      <rPr>
        <sz val="10"/>
        <rFont val="Vazirmatn"/>
        <family val="0"/>
        <charset val="1"/>
      </rPr>
      <t xml:space="preserve">m18</t>
    </r>
  </si>
  <si>
    <t xml:space="preserve">31269472</t>
  </si>
  <si>
    <r>
      <rPr>
        <sz val="10"/>
        <rFont val="FreeSans"/>
        <family val="2"/>
      </rPr>
      <t xml:space="preserve">قلاویز چپگرد </t>
    </r>
    <r>
      <rPr>
        <sz val="10"/>
        <rFont val="Vazirmatn"/>
        <family val="0"/>
        <charset val="1"/>
      </rPr>
      <t xml:space="preserve">( m10*1/5 ( L</t>
    </r>
  </si>
  <si>
    <t xml:space="preserve">31269473</t>
  </si>
  <si>
    <r>
      <rPr>
        <sz val="10"/>
        <rFont val="FreeSans"/>
        <family val="2"/>
      </rPr>
      <t xml:space="preserve">قلاویز چپگرد  </t>
    </r>
    <r>
      <rPr>
        <sz val="10"/>
        <rFont val="Vazirmatn"/>
        <family val="0"/>
        <charset val="1"/>
      </rPr>
      <t xml:space="preserve">m12*1/75 L</t>
    </r>
  </si>
  <si>
    <t xml:space="preserve">31269475</t>
  </si>
  <si>
    <r>
      <rPr>
        <sz val="10"/>
        <rFont val="FreeSans"/>
        <family val="2"/>
      </rPr>
      <t xml:space="preserve">قلاویز  </t>
    </r>
    <r>
      <rPr>
        <sz val="10"/>
        <rFont val="Vazirmatn"/>
        <family val="0"/>
        <charset val="1"/>
      </rPr>
      <t xml:space="preserve">M11*1/5</t>
    </r>
  </si>
  <si>
    <t xml:space="preserve">31269478</t>
  </si>
  <si>
    <r>
      <rPr>
        <sz val="10"/>
        <rFont val="FreeSans"/>
        <family val="2"/>
      </rPr>
      <t xml:space="preserve">دسته قلاویز  </t>
    </r>
    <r>
      <rPr>
        <sz val="10"/>
        <rFont val="Vazirmatn"/>
        <family val="0"/>
        <charset val="1"/>
      </rPr>
      <t xml:space="preserve">12 - 4</t>
    </r>
  </si>
  <si>
    <t xml:space="preserve">31269479</t>
  </si>
  <si>
    <r>
      <rPr>
        <sz val="10"/>
        <rFont val="FreeSans"/>
        <family val="2"/>
      </rPr>
      <t xml:space="preserve">هلی کویل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میلی متر </t>
    </r>
    <r>
      <rPr>
        <sz val="10"/>
        <rFont val="Vazirmatn"/>
        <family val="0"/>
        <charset val="1"/>
      </rPr>
      <t xml:space="preserve">) Q M10</t>
    </r>
  </si>
  <si>
    <t xml:space="preserve">31269481</t>
  </si>
  <si>
    <r>
      <rPr>
        <sz val="10"/>
        <rFont val="FreeSans"/>
        <family val="2"/>
      </rPr>
      <t xml:space="preserve">هلی کویل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میلی متر </t>
    </r>
    <r>
      <rPr>
        <sz val="10"/>
        <rFont val="Vazirmatn"/>
        <family val="0"/>
        <charset val="1"/>
      </rPr>
      <t xml:space="preserve">) Q M12</t>
    </r>
  </si>
  <si>
    <t xml:space="preserve">31269482</t>
  </si>
  <si>
    <r>
      <rPr>
        <sz val="10"/>
        <rFont val="FreeSans"/>
        <family val="2"/>
      </rPr>
      <t xml:space="preserve">دسته قلاویز  </t>
    </r>
    <r>
      <rPr>
        <sz val="10"/>
        <rFont val="Vazirmatn"/>
        <family val="0"/>
        <charset val="1"/>
      </rPr>
      <t xml:space="preserve">20 - 6</t>
    </r>
  </si>
  <si>
    <t xml:space="preserve">31269565</t>
  </si>
  <si>
    <r>
      <rPr>
        <sz val="10"/>
        <rFont val="FreeSans"/>
        <family val="2"/>
      </rPr>
      <t xml:space="preserve">تیغچه تراشکاری      </t>
    </r>
    <r>
      <rPr>
        <sz val="10"/>
        <rFont val="Vazirmatn"/>
        <family val="0"/>
        <charset val="1"/>
      </rPr>
      <t xml:space="preserve">6* 6</t>
    </r>
  </si>
  <si>
    <t xml:space="preserve">31269572</t>
  </si>
  <si>
    <t xml:space="preserve">دستگاه حدیده دستی</t>
  </si>
  <si>
    <t xml:space="preserve">31269579</t>
  </si>
  <si>
    <r>
      <rPr>
        <sz val="10"/>
        <rFont val="FreeSans"/>
        <family val="2"/>
      </rPr>
      <t xml:space="preserve">حدیده                        </t>
    </r>
    <r>
      <rPr>
        <sz val="10"/>
        <rFont val="Vazirmatn"/>
        <family val="0"/>
        <charset val="1"/>
      </rPr>
      <t xml:space="preserve">13 MM</t>
    </r>
  </si>
  <si>
    <t xml:space="preserve">31269585</t>
  </si>
  <si>
    <r>
      <rPr>
        <sz val="10"/>
        <rFont val="FreeSans"/>
        <family val="2"/>
      </rPr>
      <t xml:space="preserve">حدیده      </t>
    </r>
    <r>
      <rPr>
        <sz val="10"/>
        <rFont val="Vazirmatn"/>
        <family val="0"/>
        <charset val="1"/>
      </rPr>
      <t xml:space="preserve">MM21</t>
    </r>
  </si>
  <si>
    <t xml:space="preserve">31269589</t>
  </si>
  <si>
    <r>
      <rPr>
        <sz val="10"/>
        <rFont val="FreeSans"/>
        <family val="2"/>
      </rPr>
      <t xml:space="preserve">حدیده         </t>
    </r>
    <r>
      <rPr>
        <sz val="10"/>
        <rFont val="Vazirmatn"/>
        <family val="0"/>
        <charset val="1"/>
      </rPr>
      <t xml:space="preserve">HSS-E      M24 * 3</t>
    </r>
  </si>
  <si>
    <t xml:space="preserve">31269590</t>
  </si>
  <si>
    <r>
      <rPr>
        <sz val="10"/>
        <rFont val="FreeSans"/>
        <family val="2"/>
      </rPr>
      <t xml:space="preserve">حدیده         </t>
    </r>
    <r>
      <rPr>
        <sz val="10"/>
        <rFont val="Vazirmatn"/>
        <family val="0"/>
        <charset val="1"/>
      </rPr>
      <t xml:space="preserve">M 26*2</t>
    </r>
  </si>
  <si>
    <t xml:space="preserve">31269600</t>
  </si>
  <si>
    <r>
      <rPr>
        <sz val="10"/>
        <rFont val="FreeSans"/>
        <family val="2"/>
      </rPr>
      <t xml:space="preserve">تیغچه استیل </t>
    </r>
    <r>
      <rPr>
        <sz val="10"/>
        <rFont val="Vazirmatn"/>
        <family val="0"/>
        <charset val="1"/>
      </rPr>
      <t xml:space="preserve">HSSE CO %5 ) 5 * 20 * 200mm )</t>
    </r>
  </si>
  <si>
    <t xml:space="preserve">31269602</t>
  </si>
  <si>
    <r>
      <rPr>
        <sz val="10"/>
        <rFont val="FreeSans"/>
        <family val="2"/>
      </rPr>
      <t xml:space="preserve">تیغچه داخل تراش </t>
    </r>
    <r>
      <rPr>
        <sz val="10"/>
        <rFont val="Vazirmatn"/>
        <family val="0"/>
        <charset val="1"/>
      </rPr>
      <t xml:space="preserve">( 3 </t>
    </r>
    <r>
      <rPr>
        <sz val="10"/>
        <rFont val="FreeSans"/>
        <family val="2"/>
      </rPr>
      <t xml:space="preserve">گوش </t>
    </r>
    <r>
      <rPr>
        <sz val="10"/>
        <rFont val="Vazirmatn"/>
        <family val="0"/>
        <charset val="1"/>
      </rPr>
      <t xml:space="preserve">) TcmT 16T 304</t>
    </r>
  </si>
  <si>
    <t xml:space="preserve">31269604</t>
  </si>
  <si>
    <r>
      <rPr>
        <sz val="10"/>
        <rFont val="FreeSans"/>
        <family val="2"/>
      </rPr>
      <t xml:space="preserve">تیغچه داخل تراش </t>
    </r>
    <r>
      <rPr>
        <sz val="10"/>
        <rFont val="Vazirmatn"/>
        <family val="0"/>
        <charset val="1"/>
      </rPr>
      <t xml:space="preserve">( 3 </t>
    </r>
    <r>
      <rPr>
        <sz val="10"/>
        <rFont val="FreeSans"/>
        <family val="2"/>
      </rPr>
      <t xml:space="preserve">گوش </t>
    </r>
    <r>
      <rPr>
        <sz val="10"/>
        <rFont val="Vazirmatn"/>
        <family val="0"/>
        <charset val="1"/>
      </rPr>
      <t xml:space="preserve">) TTm 08</t>
    </r>
  </si>
  <si>
    <t xml:space="preserve">31269605</t>
  </si>
  <si>
    <r>
      <rPr>
        <sz val="10"/>
        <rFont val="FreeSans"/>
        <family val="2"/>
      </rPr>
      <t xml:space="preserve">تیغچه داخل تراش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استیل تراش </t>
    </r>
    <r>
      <rPr>
        <sz val="10"/>
        <rFont val="Vazirmatn"/>
        <family val="0"/>
        <charset val="1"/>
      </rPr>
      <t xml:space="preserve">) AG 60 IR</t>
    </r>
  </si>
  <si>
    <t xml:space="preserve">31269607</t>
  </si>
  <si>
    <r>
      <rPr>
        <sz val="10"/>
        <rFont val="FreeSans"/>
        <family val="2"/>
      </rPr>
      <t xml:space="preserve">تیغچه فرز  </t>
    </r>
    <r>
      <rPr>
        <sz val="10"/>
        <rFont val="Vazirmatn"/>
        <family val="0"/>
        <charset val="1"/>
      </rPr>
      <t xml:space="preserve">HSSE  Q=5mm</t>
    </r>
  </si>
  <si>
    <t xml:space="preserve">31269608</t>
  </si>
  <si>
    <r>
      <rPr>
        <sz val="10"/>
        <rFont val="FreeSans"/>
        <family val="2"/>
      </rPr>
      <t xml:space="preserve">تیغچه فرز   </t>
    </r>
    <r>
      <rPr>
        <sz val="10"/>
        <rFont val="Vazirmatn"/>
        <family val="0"/>
        <charset val="1"/>
      </rPr>
      <t xml:space="preserve">Q=6mm</t>
    </r>
  </si>
  <si>
    <t xml:space="preserve">31269609</t>
  </si>
  <si>
    <r>
      <rPr>
        <sz val="10"/>
        <rFont val="FreeSans"/>
        <family val="2"/>
      </rPr>
      <t xml:space="preserve">فرز  انگشتی  </t>
    </r>
    <r>
      <rPr>
        <sz val="10"/>
        <rFont val="Vazirmatn"/>
        <family val="0"/>
        <charset val="1"/>
      </rPr>
      <t xml:space="preserve">6mm</t>
    </r>
  </si>
  <si>
    <t xml:space="preserve">31269610</t>
  </si>
  <si>
    <r>
      <rPr>
        <sz val="10"/>
        <rFont val="FreeSans"/>
        <family val="2"/>
      </rPr>
      <t xml:space="preserve">تیغچه فرز   </t>
    </r>
    <r>
      <rPr>
        <sz val="10"/>
        <rFont val="Vazirmatn"/>
        <family val="0"/>
        <charset val="1"/>
      </rPr>
      <t xml:space="preserve">Q=8mm</t>
    </r>
  </si>
  <si>
    <t xml:space="preserve">31269611</t>
  </si>
  <si>
    <r>
      <rPr>
        <sz val="10"/>
        <rFont val="FreeSans"/>
        <family val="2"/>
      </rPr>
      <t xml:space="preserve">تیغچه فرز   </t>
    </r>
    <r>
      <rPr>
        <sz val="10"/>
        <rFont val="Vazirmatn"/>
        <family val="0"/>
        <charset val="1"/>
      </rPr>
      <t xml:space="preserve">Q=10mm</t>
    </r>
  </si>
  <si>
    <t xml:space="preserve">31269612</t>
  </si>
  <si>
    <r>
      <rPr>
        <sz val="10"/>
        <rFont val="FreeSans"/>
        <family val="2"/>
      </rPr>
      <t xml:space="preserve">مورس فرز  </t>
    </r>
    <r>
      <rPr>
        <sz val="10"/>
        <rFont val="Vazirmatn"/>
        <family val="0"/>
        <charset val="1"/>
      </rPr>
      <t xml:space="preserve">Q10</t>
    </r>
  </si>
  <si>
    <t xml:space="preserve">31269613</t>
  </si>
  <si>
    <r>
      <rPr>
        <sz val="10"/>
        <rFont val="FreeSans"/>
        <family val="2"/>
      </rPr>
      <t xml:space="preserve">تیغچه داخل تراش </t>
    </r>
    <r>
      <rPr>
        <sz val="10"/>
        <rFont val="Vazirmatn"/>
        <family val="0"/>
        <charset val="1"/>
      </rPr>
      <t xml:space="preserve">( 3 </t>
    </r>
    <r>
      <rPr>
        <sz val="10"/>
        <rFont val="FreeSans"/>
        <family val="2"/>
      </rPr>
      <t xml:space="preserve">گوش </t>
    </r>
    <r>
      <rPr>
        <sz val="10"/>
        <rFont val="Vazirmatn"/>
        <family val="0"/>
        <charset val="1"/>
      </rPr>
      <t xml:space="preserve">)</t>
    </r>
  </si>
  <si>
    <t xml:space="preserve">31269615</t>
  </si>
  <si>
    <r>
      <rPr>
        <sz val="10"/>
        <rFont val="FreeSans"/>
        <family val="2"/>
      </rPr>
      <t xml:space="preserve">تیغچه رزوه تراشی داخل تراش </t>
    </r>
    <r>
      <rPr>
        <sz val="10"/>
        <rFont val="Vazirmatn"/>
        <family val="0"/>
        <charset val="1"/>
      </rPr>
      <t xml:space="preserve">( 3 </t>
    </r>
    <r>
      <rPr>
        <sz val="10"/>
        <rFont val="FreeSans"/>
        <family val="2"/>
      </rPr>
      <t xml:space="preserve">گوش </t>
    </r>
    <r>
      <rPr>
        <sz val="10"/>
        <rFont val="Vazirmatn"/>
        <family val="0"/>
        <charset val="1"/>
      </rPr>
      <t xml:space="preserve">)</t>
    </r>
  </si>
  <si>
    <t xml:space="preserve">31269616</t>
  </si>
  <si>
    <t xml:space="preserve">تیغچه داخل تراش</t>
  </si>
  <si>
    <t xml:space="preserve">31269618</t>
  </si>
  <si>
    <r>
      <rPr>
        <sz val="10"/>
        <rFont val="FreeSans"/>
        <family val="2"/>
      </rPr>
      <t xml:space="preserve">فرز  انگشتی  </t>
    </r>
    <r>
      <rPr>
        <sz val="10"/>
        <rFont val="Vazirmatn"/>
        <family val="0"/>
        <charset val="1"/>
      </rPr>
      <t xml:space="preserve">8mm</t>
    </r>
  </si>
  <si>
    <t xml:space="preserve">31269619</t>
  </si>
  <si>
    <r>
      <rPr>
        <sz val="10"/>
        <rFont val="FreeSans"/>
        <family val="2"/>
      </rPr>
      <t xml:space="preserve">مورس  </t>
    </r>
    <r>
      <rPr>
        <sz val="10"/>
        <rFont val="Vazirmatn"/>
        <family val="0"/>
        <charset val="1"/>
      </rPr>
      <t xml:space="preserve">3/2</t>
    </r>
  </si>
  <si>
    <t xml:space="preserve">31269620</t>
  </si>
  <si>
    <r>
      <rPr>
        <sz val="10"/>
        <rFont val="FreeSans"/>
        <family val="2"/>
      </rPr>
      <t xml:space="preserve">مورس  </t>
    </r>
    <r>
      <rPr>
        <sz val="10"/>
        <rFont val="Vazirmatn"/>
        <family val="0"/>
        <charset val="1"/>
      </rPr>
      <t xml:space="preserve">4/3</t>
    </r>
  </si>
  <si>
    <t xml:space="preserve">31269622</t>
  </si>
  <si>
    <r>
      <rPr>
        <sz val="10"/>
        <rFont val="FreeSans"/>
        <family val="2"/>
      </rPr>
      <t xml:space="preserve">مورس  </t>
    </r>
    <r>
      <rPr>
        <sz val="10"/>
        <rFont val="Vazirmatn"/>
        <family val="0"/>
        <charset val="1"/>
      </rPr>
      <t xml:space="preserve">5</t>
    </r>
  </si>
  <si>
    <t xml:space="preserve">31269659</t>
  </si>
  <si>
    <r>
      <rPr>
        <sz val="10"/>
        <rFont val="FreeSans"/>
        <family val="2"/>
      </rPr>
      <t xml:space="preserve">سنگ فلاپ انگشتی  </t>
    </r>
    <r>
      <rPr>
        <sz val="10"/>
        <rFont val="Vazirmatn"/>
        <family val="0"/>
        <charset val="1"/>
      </rPr>
      <t xml:space="preserve">6 * 30 * 50</t>
    </r>
  </si>
  <si>
    <t xml:space="preserve">31269660</t>
  </si>
  <si>
    <r>
      <rPr>
        <sz val="10"/>
        <rFont val="FreeSans"/>
        <family val="2"/>
      </rPr>
      <t xml:space="preserve">سنگ فلاپ انگشتی  </t>
    </r>
    <r>
      <rPr>
        <sz val="10"/>
        <rFont val="Vazirmatn"/>
        <family val="0"/>
        <charset val="1"/>
      </rPr>
      <t xml:space="preserve">6 * 30 * 20</t>
    </r>
  </si>
  <si>
    <t xml:space="preserve">31269661</t>
  </si>
  <si>
    <r>
      <rPr>
        <sz val="10"/>
        <rFont val="FreeSans"/>
        <family val="2"/>
      </rPr>
      <t xml:space="preserve">فرز انگشتی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استوانه </t>
    </r>
    <r>
      <rPr>
        <sz val="10"/>
        <rFont val="Vazirmatn"/>
        <family val="0"/>
        <charset val="1"/>
      </rPr>
      <t xml:space="preserve">) ( </t>
    </r>
    <r>
      <rPr>
        <sz val="10"/>
        <rFont val="FreeSans"/>
        <family val="2"/>
      </rPr>
      <t xml:space="preserve">الماسه </t>
    </r>
    <r>
      <rPr>
        <sz val="10"/>
        <rFont val="Vazirmatn"/>
        <family val="0"/>
        <charset val="1"/>
      </rPr>
      <t xml:space="preserve">) d=8mm</t>
    </r>
  </si>
  <si>
    <t xml:space="preserve">31269662</t>
  </si>
  <si>
    <r>
      <rPr>
        <sz val="10"/>
        <rFont val="FreeSans"/>
        <family val="2"/>
      </rPr>
      <t xml:space="preserve">فرز انگشتی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مخروطی </t>
    </r>
    <r>
      <rPr>
        <sz val="10"/>
        <rFont val="Vazirmatn"/>
        <family val="0"/>
        <charset val="1"/>
      </rPr>
      <t xml:space="preserve">) ( </t>
    </r>
    <r>
      <rPr>
        <sz val="10"/>
        <rFont val="FreeSans"/>
        <family val="2"/>
      </rPr>
      <t xml:space="preserve">الماسه </t>
    </r>
    <r>
      <rPr>
        <sz val="10"/>
        <rFont val="Vazirmatn"/>
        <family val="0"/>
        <charset val="1"/>
      </rPr>
      <t xml:space="preserve">) d=8mm</t>
    </r>
  </si>
  <si>
    <t xml:space="preserve">31269663</t>
  </si>
  <si>
    <r>
      <rPr>
        <sz val="10"/>
        <rFont val="FreeSans"/>
        <family val="2"/>
      </rPr>
      <t xml:space="preserve">فرز الماسه سنگ انگشتی </t>
    </r>
    <r>
      <rPr>
        <sz val="10"/>
        <rFont val="Vazirmatn"/>
        <family val="0"/>
        <charset val="1"/>
      </rPr>
      <t xml:space="preserve">( RBA )</t>
    </r>
  </si>
  <si>
    <t xml:space="preserve">31269664</t>
  </si>
  <si>
    <r>
      <rPr>
        <sz val="10"/>
        <rFont val="FreeSans"/>
        <family val="2"/>
      </rPr>
      <t xml:space="preserve">فرز الماسه سنگ انگشتی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مخروطی</t>
    </r>
    <r>
      <rPr>
        <sz val="10"/>
        <rFont val="Vazirmatn"/>
        <family val="0"/>
        <charset val="1"/>
      </rPr>
      <t xml:space="preserve">)</t>
    </r>
  </si>
  <si>
    <t xml:space="preserve">31269699</t>
  </si>
  <si>
    <r>
      <rPr>
        <sz val="10"/>
        <rFont val="FreeSans"/>
        <family val="2"/>
      </rPr>
      <t xml:space="preserve">تخته تفلونی فیلتر پرس گلوتن   </t>
    </r>
    <r>
      <rPr>
        <sz val="10"/>
        <rFont val="Vazirmatn"/>
        <family val="0"/>
        <charset val="1"/>
      </rPr>
      <t xml:space="preserve">100 * 100</t>
    </r>
  </si>
  <si>
    <t xml:space="preserve">31269706</t>
  </si>
  <si>
    <r>
      <rPr>
        <sz val="10"/>
        <rFont val="FreeSans"/>
        <family val="2"/>
      </rPr>
      <t xml:space="preserve">مته خشکه   میلیمتر </t>
    </r>
    <r>
      <rPr>
        <sz val="10"/>
        <rFont val="Vazirmatn"/>
        <family val="0"/>
        <charset val="1"/>
      </rPr>
      <t xml:space="preserve">2</t>
    </r>
  </si>
  <si>
    <t xml:space="preserve">31269758</t>
  </si>
  <si>
    <r>
      <rPr>
        <sz val="10"/>
        <rFont val="FreeSans"/>
        <family val="2"/>
      </rPr>
      <t xml:space="preserve">مته خشکه    میلیمتر </t>
    </r>
    <r>
      <rPr>
        <sz val="10"/>
        <rFont val="Vazirmatn"/>
        <family val="0"/>
        <charset val="1"/>
      </rPr>
      <t xml:space="preserve">10</t>
    </r>
  </si>
  <si>
    <t xml:space="preserve">31269759</t>
  </si>
  <si>
    <r>
      <rPr>
        <sz val="10"/>
        <rFont val="FreeSans"/>
        <family val="2"/>
      </rPr>
      <t xml:space="preserve">مته خشکه  میلیمتر</t>
    </r>
    <r>
      <rPr>
        <sz val="10"/>
        <rFont val="Vazirmatn"/>
        <family val="0"/>
        <charset val="1"/>
      </rPr>
      <t xml:space="preserve">10/5</t>
    </r>
  </si>
  <si>
    <t xml:space="preserve">31269767</t>
  </si>
  <si>
    <r>
      <rPr>
        <sz val="10"/>
        <rFont val="FreeSans"/>
        <family val="2"/>
      </rPr>
      <t xml:space="preserve">مته خشکه میلیمتر</t>
    </r>
    <r>
      <rPr>
        <sz val="10"/>
        <rFont val="Vazirmatn"/>
        <family val="0"/>
        <charset val="1"/>
      </rPr>
      <t xml:space="preserve">12/5</t>
    </r>
  </si>
  <si>
    <t xml:space="preserve">31269768</t>
  </si>
  <si>
    <r>
      <rPr>
        <sz val="10"/>
        <rFont val="FreeSans"/>
        <family val="2"/>
      </rPr>
      <t xml:space="preserve">مته خشکه   میلیمتر </t>
    </r>
    <r>
      <rPr>
        <sz val="10"/>
        <rFont val="Vazirmatn"/>
        <family val="0"/>
        <charset val="1"/>
      </rPr>
      <t xml:space="preserve">12</t>
    </r>
  </si>
  <si>
    <t xml:space="preserve">31269772</t>
  </si>
  <si>
    <r>
      <rPr>
        <sz val="10"/>
        <rFont val="FreeSans"/>
        <family val="2"/>
      </rPr>
      <t xml:space="preserve">مته خشکه   میلیمتر </t>
    </r>
    <r>
      <rPr>
        <sz val="10"/>
        <rFont val="Vazirmatn"/>
        <family val="0"/>
        <charset val="1"/>
      </rPr>
      <t xml:space="preserve">13</t>
    </r>
  </si>
  <si>
    <t xml:space="preserve">31269773</t>
  </si>
  <si>
    <r>
      <rPr>
        <sz val="10"/>
        <rFont val="FreeSans"/>
        <family val="2"/>
      </rPr>
      <t xml:space="preserve">مته خشکه            </t>
    </r>
    <r>
      <rPr>
        <sz val="10"/>
        <rFont val="Vazirmatn"/>
        <family val="0"/>
        <charset val="1"/>
      </rPr>
      <t xml:space="preserve">13/5</t>
    </r>
  </si>
  <si>
    <t xml:space="preserve">31269774</t>
  </si>
  <si>
    <r>
      <rPr>
        <sz val="10"/>
        <rFont val="FreeSans"/>
        <family val="2"/>
      </rPr>
      <t xml:space="preserve">مته خشکه            </t>
    </r>
    <r>
      <rPr>
        <sz val="10"/>
        <rFont val="Vazirmatn"/>
        <family val="0"/>
        <charset val="1"/>
      </rPr>
      <t xml:space="preserve">14/5</t>
    </r>
  </si>
  <si>
    <t xml:space="preserve">31269775</t>
  </si>
  <si>
    <r>
      <rPr>
        <sz val="10"/>
        <rFont val="FreeSans"/>
        <family val="2"/>
      </rPr>
      <t xml:space="preserve">مته خشکه   میلیمتر </t>
    </r>
    <r>
      <rPr>
        <sz val="10"/>
        <rFont val="Vazirmatn"/>
        <family val="0"/>
        <charset val="1"/>
      </rPr>
      <t xml:space="preserve">14</t>
    </r>
  </si>
  <si>
    <t xml:space="preserve">31269776</t>
  </si>
  <si>
    <r>
      <rPr>
        <sz val="10"/>
        <rFont val="FreeSans"/>
        <family val="2"/>
      </rPr>
      <t xml:space="preserve">مته خشکه  میلیمتر </t>
    </r>
    <r>
      <rPr>
        <sz val="10"/>
        <rFont val="Vazirmatn"/>
        <family val="0"/>
        <charset val="1"/>
      </rPr>
      <t xml:space="preserve">52</t>
    </r>
  </si>
  <si>
    <t xml:space="preserve">31269785</t>
  </si>
  <si>
    <r>
      <rPr>
        <sz val="10"/>
        <rFont val="FreeSans"/>
        <family val="2"/>
      </rPr>
      <t xml:space="preserve">مته خشکه   میلیمتر </t>
    </r>
    <r>
      <rPr>
        <sz val="10"/>
        <rFont val="Vazirmatn"/>
        <family val="0"/>
        <charset val="1"/>
      </rPr>
      <t xml:space="preserve">17</t>
    </r>
  </si>
  <si>
    <t xml:space="preserve">31269800</t>
  </si>
  <si>
    <r>
      <rPr>
        <sz val="10"/>
        <rFont val="FreeSans"/>
        <family val="2"/>
      </rPr>
      <t xml:space="preserve">مته استیل        </t>
    </r>
    <r>
      <rPr>
        <sz val="10"/>
        <rFont val="Vazirmatn"/>
        <family val="0"/>
        <charset val="1"/>
      </rPr>
      <t xml:space="preserve">4/75</t>
    </r>
  </si>
  <si>
    <t xml:space="preserve">31269813</t>
  </si>
  <si>
    <r>
      <rPr>
        <sz val="10"/>
        <rFont val="FreeSans"/>
        <family val="2"/>
      </rPr>
      <t xml:space="preserve">مته استیل     </t>
    </r>
    <r>
      <rPr>
        <sz val="10"/>
        <rFont val="Vazirmatn"/>
        <family val="0"/>
        <charset val="1"/>
      </rPr>
      <t xml:space="preserve">HSSE  C0  5%    3/2mm</t>
    </r>
  </si>
  <si>
    <t xml:space="preserve">31269816</t>
  </si>
  <si>
    <r>
      <rPr>
        <sz val="10"/>
        <rFont val="FreeSans"/>
        <family val="2"/>
      </rPr>
      <t xml:space="preserve">مته استیل  </t>
    </r>
    <r>
      <rPr>
        <sz val="10"/>
        <rFont val="Vazirmatn"/>
        <family val="0"/>
        <charset val="1"/>
      </rPr>
      <t xml:space="preserve">HSSE  C0  5%    10/5 mm</t>
    </r>
  </si>
  <si>
    <t xml:space="preserve">31269826</t>
  </si>
  <si>
    <r>
      <rPr>
        <sz val="10"/>
        <rFont val="FreeSans"/>
        <family val="2"/>
      </rPr>
      <t xml:space="preserve">مته استیل  </t>
    </r>
    <r>
      <rPr>
        <sz val="10"/>
        <rFont val="Vazirmatn"/>
        <family val="0"/>
        <charset val="1"/>
      </rPr>
      <t xml:space="preserve">12/5     HSSE  C0  5%</t>
    </r>
  </si>
  <si>
    <t xml:space="preserve">31269839</t>
  </si>
  <si>
    <r>
      <rPr>
        <sz val="10"/>
        <rFont val="FreeSans"/>
        <family val="2"/>
      </rPr>
      <t xml:space="preserve">مته مرغک                </t>
    </r>
    <r>
      <rPr>
        <sz val="10"/>
        <rFont val="Vazirmatn"/>
        <family val="0"/>
        <charset val="1"/>
      </rPr>
      <t xml:space="preserve">1/5</t>
    </r>
  </si>
  <si>
    <t xml:space="preserve">31269845</t>
  </si>
  <si>
    <r>
      <rPr>
        <sz val="10"/>
        <rFont val="FreeSans"/>
        <family val="2"/>
      </rPr>
      <t xml:space="preserve">مته مرغک        میلیمتر </t>
    </r>
    <r>
      <rPr>
        <sz val="10"/>
        <rFont val="Vazirmatn"/>
        <family val="0"/>
        <charset val="1"/>
      </rPr>
      <t xml:space="preserve">4</t>
    </r>
  </si>
  <si>
    <t xml:space="preserve">31269848</t>
  </si>
  <si>
    <r>
      <rPr>
        <sz val="10"/>
        <rFont val="FreeSans"/>
        <family val="2"/>
      </rPr>
      <t xml:space="preserve">مته استیل     </t>
    </r>
    <r>
      <rPr>
        <sz val="10"/>
        <rFont val="Vazirmatn"/>
        <family val="0"/>
        <charset val="1"/>
      </rPr>
      <t xml:space="preserve">HSSE  C0  5%     8/5mm</t>
    </r>
  </si>
  <si>
    <t xml:space="preserve">31269850</t>
  </si>
  <si>
    <t xml:space="preserve">مته نوک پهن هیلتی</t>
  </si>
  <si>
    <t xml:space="preserve">31269856</t>
  </si>
  <si>
    <r>
      <rPr>
        <sz val="10"/>
        <rFont val="FreeSans"/>
        <family val="2"/>
      </rPr>
      <t xml:space="preserve">مته استیل     </t>
    </r>
    <r>
      <rPr>
        <sz val="10"/>
        <rFont val="Vazirmatn"/>
        <family val="0"/>
        <charset val="1"/>
      </rPr>
      <t xml:space="preserve">HSSE  C0  5%    22/5mm</t>
    </r>
  </si>
  <si>
    <t xml:space="preserve">31269857</t>
  </si>
  <si>
    <r>
      <rPr>
        <sz val="10"/>
        <rFont val="FreeSans"/>
        <family val="2"/>
      </rPr>
      <t xml:space="preserve">مته کبالت  </t>
    </r>
    <r>
      <rPr>
        <sz val="10"/>
        <rFont val="Vazirmatn"/>
        <family val="0"/>
        <charset val="1"/>
      </rPr>
      <t xml:space="preserve">HSS 5%    3</t>
    </r>
  </si>
  <si>
    <t xml:space="preserve">31269859</t>
  </si>
  <si>
    <r>
      <rPr>
        <sz val="10"/>
        <rFont val="FreeSans"/>
        <family val="2"/>
      </rPr>
      <t xml:space="preserve">مته گرد بر الماسه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شیار  </t>
    </r>
    <r>
      <rPr>
        <sz val="10"/>
        <rFont val="Vazirmatn"/>
        <family val="0"/>
        <charset val="1"/>
      </rPr>
      <t xml:space="preserve">Q=100mm</t>
    </r>
  </si>
  <si>
    <t xml:space="preserve">31269860</t>
  </si>
  <si>
    <r>
      <rPr>
        <sz val="10"/>
        <rFont val="FreeSans"/>
        <family val="2"/>
      </rPr>
      <t xml:space="preserve">مته گرد بر الماسه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شیار  </t>
    </r>
    <r>
      <rPr>
        <sz val="10"/>
        <rFont val="Vazirmatn"/>
        <family val="0"/>
        <charset val="1"/>
      </rPr>
      <t xml:space="preserve">Q=60mm</t>
    </r>
  </si>
  <si>
    <t xml:space="preserve">31269862</t>
  </si>
  <si>
    <r>
      <rPr>
        <sz val="10"/>
        <rFont val="FreeSans"/>
        <family val="2"/>
      </rPr>
      <t xml:space="preserve">مرغک گردان مورس </t>
    </r>
    <r>
      <rPr>
        <sz val="10"/>
        <rFont val="Vazirmatn"/>
        <family val="0"/>
        <charset val="1"/>
      </rPr>
      <t xml:space="preserve">5</t>
    </r>
  </si>
  <si>
    <t xml:space="preserve">31269863</t>
  </si>
  <si>
    <t xml:space="preserve">الماسه مثلثی رو تراش</t>
  </si>
  <si>
    <t xml:space="preserve">31269864</t>
  </si>
  <si>
    <r>
      <rPr>
        <sz val="10"/>
        <rFont val="FreeSans"/>
        <family val="2"/>
      </rPr>
      <t xml:space="preserve">اینسرت الماس </t>
    </r>
    <r>
      <rPr>
        <sz val="10"/>
        <rFont val="Vazirmatn"/>
        <family val="0"/>
        <charset val="1"/>
      </rPr>
      <t xml:space="preserve">DNm 1506</t>
    </r>
  </si>
  <si>
    <t xml:space="preserve">31269865</t>
  </si>
  <si>
    <r>
      <rPr>
        <sz val="10"/>
        <rFont val="FreeSans"/>
        <family val="2"/>
      </rPr>
      <t xml:space="preserve">اینسرت الماس </t>
    </r>
    <r>
      <rPr>
        <sz val="10"/>
        <rFont val="Vazirmatn"/>
        <family val="0"/>
        <charset val="1"/>
      </rPr>
      <t xml:space="preserve">DcmT</t>
    </r>
  </si>
  <si>
    <t xml:space="preserve">31269866</t>
  </si>
  <si>
    <t xml:space="preserve">الماسه سه گوش</t>
  </si>
  <si>
    <t xml:space="preserve">31269867</t>
  </si>
  <si>
    <t xml:space="preserve">الماسه لوزی</t>
  </si>
  <si>
    <t xml:space="preserve">31269868</t>
  </si>
  <si>
    <t xml:space="preserve">الماسه داخل تراش مثلثی</t>
  </si>
  <si>
    <t xml:space="preserve">31269869</t>
  </si>
  <si>
    <r>
      <rPr>
        <sz val="10"/>
        <rFont val="FreeSans"/>
        <family val="2"/>
      </rPr>
      <t xml:space="preserve">مته </t>
    </r>
    <r>
      <rPr>
        <sz val="10"/>
        <rFont val="Vazirmatn"/>
        <family val="0"/>
        <charset val="1"/>
      </rPr>
      <t xml:space="preserve">( HSSE ) Q=35</t>
    </r>
  </si>
  <si>
    <t xml:space="preserve">31269870</t>
  </si>
  <si>
    <r>
      <rPr>
        <sz val="10"/>
        <rFont val="FreeSans"/>
        <family val="2"/>
      </rPr>
      <t xml:space="preserve">مته </t>
    </r>
    <r>
      <rPr>
        <sz val="10"/>
        <rFont val="Vazirmatn"/>
        <family val="0"/>
        <charset val="1"/>
      </rPr>
      <t xml:space="preserve">( HSSE ) Q=40</t>
    </r>
  </si>
  <si>
    <t xml:space="preserve">31269871</t>
  </si>
  <si>
    <r>
      <rPr>
        <sz val="10"/>
        <rFont val="FreeSans"/>
        <family val="2"/>
      </rPr>
      <t xml:space="preserve">مته </t>
    </r>
    <r>
      <rPr>
        <sz val="10"/>
        <rFont val="Vazirmatn"/>
        <family val="0"/>
        <charset val="1"/>
      </rPr>
      <t xml:space="preserve">( HSSE ) Q=45</t>
    </r>
  </si>
  <si>
    <t xml:space="preserve">31269872</t>
  </si>
  <si>
    <t xml:space="preserve">الماسه رو تراش</t>
  </si>
  <si>
    <t xml:space="preserve">31269873</t>
  </si>
  <si>
    <t xml:space="preserve">الماسه  رو تراش</t>
  </si>
  <si>
    <t xml:space="preserve">31269874</t>
  </si>
  <si>
    <r>
      <rPr>
        <sz val="10"/>
        <rFont val="FreeSans"/>
        <family val="2"/>
      </rPr>
      <t xml:space="preserve">الماسه هولدر مربوطه  </t>
    </r>
    <r>
      <rPr>
        <sz val="10"/>
        <rFont val="Vazirmatn"/>
        <family val="0"/>
        <charset val="1"/>
      </rPr>
      <t xml:space="preserve">WN mG 0804</t>
    </r>
  </si>
  <si>
    <t xml:space="preserve">31269875</t>
  </si>
  <si>
    <r>
      <rPr>
        <sz val="10"/>
        <rFont val="FreeSans"/>
        <family val="2"/>
      </rPr>
      <t xml:space="preserve">الماسه هولدر مربوطه  </t>
    </r>
    <r>
      <rPr>
        <sz val="10"/>
        <rFont val="Vazirmatn"/>
        <family val="0"/>
        <charset val="1"/>
      </rPr>
      <t xml:space="preserve">DN mG 1506</t>
    </r>
  </si>
  <si>
    <t xml:space="preserve">31269879</t>
  </si>
  <si>
    <r>
      <rPr>
        <sz val="10"/>
        <rFont val="FreeSans"/>
        <family val="2"/>
      </rPr>
      <t xml:space="preserve">زیر الماس  </t>
    </r>
    <r>
      <rPr>
        <sz val="10"/>
        <rFont val="Vazirmatn"/>
        <family val="0"/>
        <charset val="1"/>
      </rPr>
      <t xml:space="preserve">Wnmg</t>
    </r>
  </si>
  <si>
    <t xml:space="preserve">31269883</t>
  </si>
  <si>
    <t xml:space="preserve">الماسه رزوه</t>
  </si>
  <si>
    <t xml:space="preserve">31269884</t>
  </si>
  <si>
    <t xml:space="preserve">31269885</t>
  </si>
  <si>
    <r>
      <rPr>
        <sz val="10"/>
        <rFont val="FreeSans"/>
        <family val="2"/>
      </rPr>
      <t xml:space="preserve">مته استیل کبالت  </t>
    </r>
    <r>
      <rPr>
        <sz val="10"/>
        <rFont val="Vazirmatn"/>
        <family val="0"/>
        <charset val="1"/>
      </rPr>
      <t xml:space="preserve">HSS 8%    12/5</t>
    </r>
  </si>
  <si>
    <t xml:space="preserve">31269889</t>
  </si>
  <si>
    <r>
      <rPr>
        <sz val="10"/>
        <rFont val="FreeSans"/>
        <family val="2"/>
      </rPr>
      <t xml:space="preserve">مته استیل کبالت دار نمره </t>
    </r>
    <r>
      <rPr>
        <sz val="10"/>
        <rFont val="Vazirmatn"/>
        <family val="0"/>
        <charset val="1"/>
      </rPr>
      <t xml:space="preserve">3</t>
    </r>
  </si>
  <si>
    <t xml:space="preserve">31269890</t>
  </si>
  <si>
    <r>
      <rPr>
        <sz val="10"/>
        <rFont val="FreeSans"/>
        <family val="2"/>
      </rPr>
      <t xml:space="preserve">مته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شیار </t>
    </r>
    <r>
      <rPr>
        <sz val="10"/>
        <rFont val="Vazirmatn"/>
        <family val="0"/>
        <charset val="1"/>
      </rPr>
      <t xml:space="preserve">16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30Cm</t>
    </r>
  </si>
  <si>
    <t xml:space="preserve">31269891</t>
  </si>
  <si>
    <r>
      <rPr>
        <sz val="10"/>
        <rFont val="FreeSans"/>
        <family val="2"/>
      </rPr>
      <t xml:space="preserve">هولدر داخل تراش </t>
    </r>
    <r>
      <rPr>
        <sz val="10"/>
        <rFont val="Vazirmatn"/>
        <family val="0"/>
        <charset val="1"/>
      </rPr>
      <t xml:space="preserve">A16 PW LN L06 ( AP 388 )</t>
    </r>
  </si>
  <si>
    <t xml:space="preserve">31269892</t>
  </si>
  <si>
    <r>
      <rPr>
        <sz val="10"/>
        <rFont val="FreeSans"/>
        <family val="2"/>
      </rPr>
      <t xml:space="preserve">هولدر داخل تراش </t>
    </r>
    <r>
      <rPr>
        <sz val="10"/>
        <rFont val="Vazirmatn"/>
        <family val="0"/>
        <charset val="1"/>
      </rPr>
      <t xml:space="preserve">A20 RP WL NL06 ( AP 390 )</t>
    </r>
  </si>
  <si>
    <t xml:space="preserve">31269893</t>
  </si>
  <si>
    <r>
      <rPr>
        <sz val="10"/>
        <rFont val="FreeSans"/>
        <family val="2"/>
      </rPr>
      <t xml:space="preserve">الماسه  </t>
    </r>
    <r>
      <rPr>
        <sz val="10"/>
        <rFont val="Vazirmatn"/>
        <family val="0"/>
        <charset val="1"/>
      </rPr>
      <t xml:space="preserve">WN mG 0604</t>
    </r>
  </si>
  <si>
    <t xml:space="preserve">31269894</t>
  </si>
  <si>
    <r>
      <rPr>
        <sz val="10"/>
        <rFont val="FreeSans"/>
        <family val="2"/>
      </rPr>
      <t xml:space="preserve">الماسه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کف تراش </t>
    </r>
    <r>
      <rPr>
        <sz val="10"/>
        <rFont val="Vazirmatn"/>
        <family val="0"/>
        <charset val="1"/>
      </rPr>
      <t xml:space="preserve">)</t>
    </r>
  </si>
  <si>
    <t xml:space="preserve">31269897</t>
  </si>
  <si>
    <r>
      <rPr>
        <sz val="10"/>
        <rFont val="FreeSans"/>
        <family val="2"/>
      </rPr>
      <t xml:space="preserve">اینسرت </t>
    </r>
    <r>
      <rPr>
        <sz val="10"/>
        <rFont val="Vazirmatn"/>
        <family val="0"/>
        <charset val="1"/>
      </rPr>
      <t xml:space="preserve">DNMG 150608</t>
    </r>
  </si>
  <si>
    <t xml:space="preserve">31269898</t>
  </si>
  <si>
    <r>
      <rPr>
        <sz val="10"/>
        <rFont val="FreeSans"/>
        <family val="2"/>
      </rPr>
      <t xml:space="preserve">اینسرت </t>
    </r>
    <r>
      <rPr>
        <sz val="10"/>
        <rFont val="Vazirmatn"/>
        <family val="0"/>
        <charset val="1"/>
      </rPr>
      <t xml:space="preserve">WNMG 0804</t>
    </r>
  </si>
  <si>
    <t xml:space="preserve">31269899</t>
  </si>
  <si>
    <r>
      <rPr>
        <sz val="10"/>
        <rFont val="FreeSans"/>
        <family val="2"/>
      </rPr>
      <t xml:space="preserve">اینسرت  </t>
    </r>
    <r>
      <rPr>
        <sz val="10"/>
        <rFont val="Vazirmatn"/>
        <family val="0"/>
        <charset val="1"/>
      </rPr>
      <t xml:space="preserve">CCMT 09</t>
    </r>
  </si>
  <si>
    <t xml:space="preserve">31269901</t>
  </si>
  <si>
    <r>
      <rPr>
        <sz val="10"/>
        <rFont val="FreeSans"/>
        <family val="2"/>
      </rPr>
      <t xml:space="preserve">الماس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گوش نا منظم راست </t>
    </r>
    <r>
      <rPr>
        <sz val="10"/>
        <rFont val="Vazirmatn"/>
        <family val="0"/>
        <charset val="1"/>
      </rPr>
      <t xml:space="preserve">8</t>
    </r>
  </si>
  <si>
    <t xml:space="preserve">31269903</t>
  </si>
  <si>
    <r>
      <rPr>
        <sz val="10"/>
        <rFont val="FreeSans"/>
        <family val="2"/>
      </rPr>
      <t xml:space="preserve">الماس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گوش نا منظم چپ </t>
    </r>
    <r>
      <rPr>
        <sz val="10"/>
        <rFont val="Vazirmatn"/>
        <family val="0"/>
        <charset val="1"/>
      </rPr>
      <t xml:space="preserve">8</t>
    </r>
  </si>
  <si>
    <t xml:space="preserve">31269904</t>
  </si>
  <si>
    <t xml:space="preserve">پراپ ساعت اندیکاتور</t>
  </si>
  <si>
    <t xml:space="preserve">31269920</t>
  </si>
  <si>
    <t xml:space="preserve">برش دهنده تفلونی سپراتور</t>
  </si>
  <si>
    <t xml:space="preserve">31269921</t>
  </si>
  <si>
    <t xml:space="preserve">صابونی سپراتور تغلیظ قدیم</t>
  </si>
  <si>
    <t xml:space="preserve">31269922</t>
  </si>
  <si>
    <r>
      <rPr>
        <sz val="10"/>
        <rFont val="FreeSans"/>
        <family val="2"/>
      </rPr>
      <t xml:space="preserve">تفلونی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صابونی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سپراتور تغلیظ گلوتن</t>
    </r>
  </si>
  <si>
    <t xml:space="preserve">31269930</t>
  </si>
  <si>
    <r>
      <rPr>
        <sz val="10"/>
        <rFont val="FreeSans"/>
        <family val="2"/>
      </rPr>
      <t xml:space="preserve">هولدر رو تراش راست </t>
    </r>
    <r>
      <rPr>
        <sz val="10"/>
        <rFont val="Vazirmatn"/>
        <family val="0"/>
        <charset val="1"/>
      </rPr>
      <t xml:space="preserve">TDJN-R 40*40 S15</t>
    </r>
  </si>
  <si>
    <t xml:space="preserve">31269931</t>
  </si>
  <si>
    <r>
      <rPr>
        <sz val="10"/>
        <rFont val="FreeSans"/>
        <family val="2"/>
      </rPr>
      <t xml:space="preserve">هولدر رو تراش چپ </t>
    </r>
    <r>
      <rPr>
        <sz val="10"/>
        <rFont val="Vazirmatn"/>
        <family val="0"/>
        <charset val="1"/>
      </rPr>
      <t xml:space="preserve">TDJN-L 40*40 S15</t>
    </r>
  </si>
  <si>
    <t xml:space="preserve">31269932</t>
  </si>
  <si>
    <r>
      <rPr>
        <sz val="10"/>
        <rFont val="FreeSans"/>
        <family val="2"/>
      </rPr>
      <t xml:space="preserve">هولدر رو تراش لوزی </t>
    </r>
    <r>
      <rPr>
        <sz val="10"/>
        <rFont val="Vazirmatn"/>
        <family val="0"/>
        <charset val="1"/>
      </rPr>
      <t xml:space="preserve">SDNCN 20*20 K11</t>
    </r>
  </si>
  <si>
    <t xml:space="preserve">31269933</t>
  </si>
  <si>
    <r>
      <rPr>
        <sz val="10"/>
        <rFont val="FreeSans"/>
        <family val="2"/>
      </rPr>
      <t xml:space="preserve">هولدر داخل تراش </t>
    </r>
    <r>
      <rPr>
        <sz val="10"/>
        <rFont val="Vazirmatn"/>
        <family val="0"/>
        <charset val="1"/>
      </rPr>
      <t xml:space="preserve">S32T PW Ln R 08</t>
    </r>
  </si>
  <si>
    <t xml:space="preserve">31269934</t>
  </si>
  <si>
    <r>
      <rPr>
        <sz val="10"/>
        <rFont val="FreeSans"/>
        <family val="2"/>
      </rPr>
      <t xml:space="preserve">هولدر داخل تراش </t>
    </r>
    <r>
      <rPr>
        <sz val="10"/>
        <rFont val="Vazirmatn"/>
        <family val="0"/>
        <charset val="1"/>
      </rPr>
      <t xml:space="preserve">S40T PD Un R 15</t>
    </r>
  </si>
  <si>
    <t xml:space="preserve">31269935</t>
  </si>
  <si>
    <r>
      <rPr>
        <sz val="10"/>
        <rFont val="FreeSans"/>
        <family val="2"/>
      </rPr>
      <t xml:space="preserve">هولدر رو تراش راست </t>
    </r>
    <r>
      <rPr>
        <sz val="10"/>
        <rFont val="Vazirmatn"/>
        <family val="0"/>
        <charset val="1"/>
      </rPr>
      <t xml:space="preserve">DDJNR 2525 m15</t>
    </r>
  </si>
  <si>
    <t xml:space="preserve">31269936</t>
  </si>
  <si>
    <r>
      <rPr>
        <sz val="10"/>
        <rFont val="FreeSans"/>
        <family val="2"/>
      </rPr>
      <t xml:space="preserve">هولدر رو تراش چپ </t>
    </r>
    <r>
      <rPr>
        <sz val="10"/>
        <rFont val="Vazirmatn"/>
        <family val="0"/>
        <charset val="1"/>
      </rPr>
      <t xml:space="preserve">DDJNR 2525 m15</t>
    </r>
  </si>
  <si>
    <t xml:space="preserve">31269982</t>
  </si>
  <si>
    <r>
      <rPr>
        <sz val="10"/>
        <rFont val="FreeSans"/>
        <family val="2"/>
      </rPr>
      <t xml:space="preserve">هد دوزینگ پمپ اتاترون پلی پروپیلن </t>
    </r>
    <r>
      <rPr>
        <sz val="10"/>
        <rFont val="Vazirmatn"/>
        <family val="0"/>
        <charset val="1"/>
      </rPr>
      <t xml:space="preserve">( PP )</t>
    </r>
  </si>
  <si>
    <t xml:space="preserve">31271001</t>
  </si>
  <si>
    <t xml:space="preserve">شیر هیدرولیک کنترل سرعت</t>
  </si>
  <si>
    <t xml:space="preserve">31271002</t>
  </si>
  <si>
    <r>
      <rPr>
        <sz val="10"/>
        <rFont val="FreeSans"/>
        <family val="2"/>
      </rPr>
      <t xml:space="preserve">شیرهیدرولیک برقی بابوبین </t>
    </r>
    <r>
      <rPr>
        <sz val="10"/>
        <rFont val="Vazirmatn"/>
        <family val="0"/>
        <charset val="1"/>
      </rPr>
      <t xml:space="preserve">4/2</t>
    </r>
  </si>
  <si>
    <t xml:space="preserve">31271004</t>
  </si>
  <si>
    <t xml:space="preserve">شیر تنظیم فشار</t>
  </si>
  <si>
    <t xml:space="preserve">31271006</t>
  </si>
  <si>
    <t xml:space="preserve">شیر  تنظیم فشار</t>
  </si>
  <si>
    <t xml:space="preserve">31271008</t>
  </si>
  <si>
    <r>
      <rPr>
        <sz val="10"/>
        <rFont val="FreeSans"/>
        <family val="2"/>
      </rPr>
      <t xml:space="preserve">شیر برقی نرمال باز و بسته     </t>
    </r>
    <r>
      <rPr>
        <sz val="10"/>
        <rFont val="Vazirmatn"/>
        <family val="0"/>
        <charset val="1"/>
      </rPr>
      <t xml:space="preserve">" 3/4</t>
    </r>
  </si>
  <si>
    <t xml:space="preserve">31271011</t>
  </si>
  <si>
    <r>
      <rPr>
        <sz val="10"/>
        <rFont val="FreeSans"/>
        <family val="2"/>
      </rPr>
      <t xml:space="preserve">شیر پروانه ای </t>
    </r>
    <r>
      <rPr>
        <sz val="10"/>
        <rFont val="Vazirmatn"/>
        <family val="0"/>
        <charset val="1"/>
      </rPr>
      <t xml:space="preserve">"1/2 2  (BUTTERFLY VALVE CPVC	DN 76)</t>
    </r>
  </si>
  <si>
    <t xml:space="preserve">31271012</t>
  </si>
  <si>
    <r>
      <rPr>
        <sz val="10"/>
        <rFont val="FreeSans"/>
        <family val="2"/>
      </rPr>
      <t xml:space="preserve">شیر توپی استیل                  </t>
    </r>
    <r>
      <rPr>
        <sz val="10"/>
        <rFont val="Vazirmatn"/>
        <family val="0"/>
        <charset val="1"/>
      </rPr>
      <t xml:space="preserve">0/8</t>
    </r>
  </si>
  <si>
    <t xml:space="preserve">31271016</t>
  </si>
  <si>
    <r>
      <rPr>
        <sz val="10"/>
        <rFont val="FreeSans"/>
        <family val="2"/>
      </rPr>
      <t xml:space="preserve">شیر پیلوت تدریجی گازی برقی کروم شولدر </t>
    </r>
    <r>
      <rPr>
        <sz val="10"/>
        <rFont val="Vazirmatn"/>
        <family val="0"/>
        <charset val="1"/>
      </rPr>
      <t xml:space="preserve">1/2"         220V     200Mbar</t>
    </r>
  </si>
  <si>
    <t xml:space="preserve">31271023</t>
  </si>
  <si>
    <t xml:space="preserve">شیر برقی</t>
  </si>
  <si>
    <t xml:space="preserve">31271025</t>
  </si>
  <si>
    <r>
      <rPr>
        <sz val="10"/>
        <rFont val="FreeSans"/>
        <family val="2"/>
      </rPr>
      <t xml:space="preserve">شیر برقی              </t>
    </r>
    <r>
      <rPr>
        <sz val="10"/>
        <rFont val="Vazirmatn"/>
        <family val="0"/>
        <charset val="1"/>
      </rPr>
      <t xml:space="preserve">Bau</t>
    </r>
  </si>
  <si>
    <t xml:space="preserve">31271026</t>
  </si>
  <si>
    <r>
      <rPr>
        <sz val="10"/>
        <rFont val="FreeSans"/>
        <family val="2"/>
      </rPr>
      <t xml:space="preserve">شیر برقی    </t>
    </r>
    <r>
      <rPr>
        <sz val="10"/>
        <rFont val="Vazirmatn"/>
        <family val="0"/>
        <charset val="1"/>
      </rPr>
      <t xml:space="preserve">Batter  fly</t>
    </r>
  </si>
  <si>
    <t xml:space="preserve">31271029</t>
  </si>
  <si>
    <r>
      <rPr>
        <sz val="10"/>
        <rFont val="FreeSans"/>
        <family val="2"/>
      </rPr>
      <t xml:space="preserve">شیر پروانه ای زبانه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گیربکس دار </t>
    </r>
    <r>
      <rPr>
        <sz val="10"/>
        <rFont val="Vazirmatn"/>
        <family val="0"/>
        <charset val="1"/>
      </rPr>
      <t xml:space="preserve">"3</t>
    </r>
  </si>
  <si>
    <t xml:space="preserve">31271030</t>
  </si>
  <si>
    <r>
      <rPr>
        <sz val="10"/>
        <rFont val="FreeSans"/>
        <family val="2"/>
      </rPr>
      <t xml:space="preserve">ولو جت کوکر   </t>
    </r>
    <r>
      <rPr>
        <sz val="10"/>
        <rFont val="Vazirmatn"/>
        <family val="0"/>
        <charset val="1"/>
      </rPr>
      <t xml:space="preserve">8/20 - HWA</t>
    </r>
  </si>
  <si>
    <t xml:space="preserve">31271033</t>
  </si>
  <si>
    <r>
      <rPr>
        <sz val="10"/>
        <rFont val="FreeSans"/>
        <family val="2"/>
      </rPr>
      <t xml:space="preserve">شیر یکضرب فلنج دار مهره ماسوره ای  </t>
    </r>
    <r>
      <rPr>
        <sz val="10"/>
        <rFont val="Vazirmatn"/>
        <family val="0"/>
        <charset val="1"/>
      </rPr>
      <t xml:space="preserve">"4  UPVC</t>
    </r>
  </si>
  <si>
    <t xml:space="preserve">31271037</t>
  </si>
  <si>
    <r>
      <rPr>
        <sz val="10"/>
        <rFont val="FreeSans"/>
        <family val="2"/>
      </rPr>
      <t xml:space="preserve">شیر چدنی بشقابی </t>
    </r>
    <r>
      <rPr>
        <sz val="10"/>
        <rFont val="Vazirmatn"/>
        <family val="0"/>
        <charset val="1"/>
      </rPr>
      <t xml:space="preserve">"6</t>
    </r>
  </si>
  <si>
    <t xml:space="preserve">31271042</t>
  </si>
  <si>
    <r>
      <rPr>
        <sz val="10"/>
        <rFont val="FreeSans"/>
        <family val="2"/>
      </rPr>
      <t xml:space="preserve">شیر برقی گازی دانکس </t>
    </r>
    <r>
      <rPr>
        <sz val="10"/>
        <rFont val="Vazirmatn"/>
        <family val="0"/>
        <charset val="1"/>
      </rPr>
      <t xml:space="preserve">" 3</t>
    </r>
  </si>
  <si>
    <t xml:space="preserve">31271045</t>
  </si>
  <si>
    <r>
      <rPr>
        <sz val="10"/>
        <rFont val="FreeSans"/>
        <family val="2"/>
      </rPr>
      <t xml:space="preserve">کلکتور استیل هوا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</si>
  <si>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31271047</t>
  </si>
  <si>
    <r>
      <rPr>
        <sz val="10"/>
        <rFont val="FreeSans"/>
        <family val="2"/>
      </rPr>
      <t xml:space="preserve">شیر برقی هیدرولیکی </t>
    </r>
    <r>
      <rPr>
        <sz val="10"/>
        <rFont val="Vazirmatn"/>
        <family val="0"/>
        <charset val="1"/>
      </rPr>
      <t xml:space="preserve">DSG - 3C60 - 01- AC220</t>
    </r>
  </si>
  <si>
    <t xml:space="preserve">31271057</t>
  </si>
  <si>
    <r>
      <rPr>
        <sz val="10"/>
        <rFont val="FreeSans"/>
        <family val="2"/>
      </rPr>
      <t xml:space="preserve">فلومتر </t>
    </r>
    <r>
      <rPr>
        <sz val="10"/>
        <rFont val="Vazirmatn"/>
        <family val="0"/>
        <charset val="1"/>
      </rPr>
      <t xml:space="preserve">" 2  ( FLOWMETER	DN 50 )</t>
    </r>
  </si>
  <si>
    <t xml:space="preserve">31271058</t>
  </si>
  <si>
    <r>
      <rPr>
        <sz val="10"/>
        <rFont val="FreeSans"/>
        <family val="2"/>
      </rPr>
      <t xml:space="preserve">شیر یکطرفه صنایع شیری </t>
    </r>
    <r>
      <rPr>
        <sz val="10"/>
        <rFont val="Vazirmatn"/>
        <family val="0"/>
        <charset val="1"/>
      </rPr>
      <t xml:space="preserve">51</t>
    </r>
  </si>
  <si>
    <t xml:space="preserve">31271061</t>
  </si>
  <si>
    <r>
      <rPr>
        <sz val="10"/>
        <rFont val="FreeSans"/>
        <family val="2"/>
      </rPr>
      <t xml:space="preserve">شیر برقی فلنج دار استیل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  " 4</t>
    </r>
  </si>
  <si>
    <t xml:space="preserve">31271062</t>
  </si>
  <si>
    <r>
      <rPr>
        <sz val="10"/>
        <rFont val="FreeSans"/>
        <family val="2"/>
      </rPr>
      <t xml:space="preserve">شیر برقی فلنج دار استیل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  " 3</t>
    </r>
  </si>
  <si>
    <t xml:space="preserve">31271064</t>
  </si>
  <si>
    <r>
      <rPr>
        <sz val="10"/>
        <rFont val="FreeSans"/>
        <family val="2"/>
      </rPr>
      <t xml:space="preserve">شیر برقی پروانه ای استیل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  " 6</t>
    </r>
  </si>
  <si>
    <t xml:space="preserve">31271076</t>
  </si>
  <si>
    <r>
      <rPr>
        <sz val="10"/>
        <rFont val="FreeSans"/>
        <family val="2"/>
      </rPr>
      <t xml:space="preserve">شیر برقی توپی استیل پوزیشن دار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  " 2</t>
    </r>
  </si>
  <si>
    <t xml:space="preserve">31271077</t>
  </si>
  <si>
    <r>
      <rPr>
        <sz val="10"/>
        <rFont val="FreeSans"/>
        <family val="2"/>
      </rPr>
      <t xml:space="preserve">شیر کنترلی بخار استیل فلنج دار پوزیشن دار   </t>
    </r>
    <r>
      <rPr>
        <sz val="10"/>
        <rFont val="Vazirmatn"/>
        <family val="0"/>
        <charset val="1"/>
      </rPr>
      <t xml:space="preserve">" 1/2</t>
    </r>
  </si>
  <si>
    <t xml:space="preserve">31271078</t>
  </si>
  <si>
    <r>
      <rPr>
        <sz val="10"/>
        <rFont val="FreeSans"/>
        <family val="2"/>
      </rPr>
      <t xml:space="preserve">شیر کنترلی بخار استیل فلنج دار پوزیشن دار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  " 2</t>
    </r>
  </si>
  <si>
    <t xml:space="preserve">31271079</t>
  </si>
  <si>
    <r>
      <rPr>
        <sz val="10"/>
        <rFont val="FreeSans"/>
        <family val="2"/>
      </rPr>
      <t xml:space="preserve">شیر کنترل بخار </t>
    </r>
    <r>
      <rPr>
        <sz val="10"/>
        <rFont val="Vazirmatn"/>
        <family val="0"/>
        <charset val="1"/>
      </rPr>
      <t xml:space="preserve">( mode:LN8500/DN65/TRAVEL 40MM-AM83B-106/CL150-trim:316+ST/0.4MP/TEMP:-17-200 Ċ )</t>
    </r>
  </si>
  <si>
    <t xml:space="preserve">31271080</t>
  </si>
  <si>
    <r>
      <rPr>
        <sz val="10"/>
        <rFont val="FreeSans"/>
        <family val="2"/>
      </rPr>
      <t xml:space="preserve">شیر برقی سلونوئیدی زبانه استیل  </t>
    </r>
    <r>
      <rPr>
        <sz val="10"/>
        <rFont val="Vazirmatn"/>
        <family val="0"/>
        <charset val="1"/>
      </rPr>
      <t xml:space="preserve">" 3  ( ON - OFF )</t>
    </r>
  </si>
  <si>
    <t xml:space="preserve">31271081</t>
  </si>
  <si>
    <r>
      <rPr>
        <sz val="10"/>
        <rFont val="FreeSans"/>
        <family val="2"/>
      </rPr>
      <t xml:space="preserve">شیر برقی پروانه ای استیل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</si>
  <si>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31271086</t>
  </si>
  <si>
    <r>
      <rPr>
        <sz val="10"/>
        <rFont val="FreeSans"/>
        <family val="2"/>
      </rPr>
      <t xml:space="preserve">شیر سلونوئیدی دکانتور  </t>
    </r>
    <r>
      <rPr>
        <sz val="10"/>
        <rFont val="Vazirmatn"/>
        <family val="0"/>
        <charset val="1"/>
      </rPr>
      <t xml:space="preserve">300 - 9503 - 0018</t>
    </r>
  </si>
  <si>
    <t xml:space="preserve">31271087</t>
  </si>
  <si>
    <r>
      <rPr>
        <sz val="10"/>
        <rFont val="FreeSans"/>
        <family val="2"/>
      </rPr>
      <t xml:space="preserve">شیر سلونوئیدی </t>
    </r>
    <r>
      <rPr>
        <sz val="10"/>
        <rFont val="Vazirmatn"/>
        <family val="0"/>
        <charset val="1"/>
      </rPr>
      <t xml:space="preserve">2/2 </t>
    </r>
    <r>
      <rPr>
        <sz val="10"/>
        <rFont val="FreeSans"/>
        <family val="2"/>
      </rPr>
      <t xml:space="preserve">دکانتور  </t>
    </r>
    <r>
      <rPr>
        <sz val="10"/>
        <rFont val="Vazirmatn"/>
        <family val="0"/>
        <charset val="1"/>
      </rPr>
      <t xml:space="preserve">400 - 8113 - 0018</t>
    </r>
  </si>
  <si>
    <t xml:space="preserve">31271088</t>
  </si>
  <si>
    <r>
      <rPr>
        <sz val="10"/>
        <rFont val="FreeSans"/>
        <family val="2"/>
      </rPr>
      <t xml:space="preserve">شیر برقی سلونوئیدی </t>
    </r>
    <r>
      <rPr>
        <sz val="10"/>
        <rFont val="Vazirmatn"/>
        <family val="0"/>
        <charset val="1"/>
      </rPr>
      <t xml:space="preserve">XV 195 - 01</t>
    </r>
  </si>
  <si>
    <t xml:space="preserve">31271095</t>
  </si>
  <si>
    <r>
      <rPr>
        <sz val="10"/>
        <rFont val="FreeSans"/>
        <family val="2"/>
      </rPr>
      <t xml:space="preserve">شیر یکطرفه بین فلنجی استیل </t>
    </r>
    <r>
      <rPr>
        <sz val="10"/>
        <rFont val="Vazirmatn"/>
        <family val="0"/>
        <charset val="1"/>
      </rPr>
      <t xml:space="preserve">304       "8</t>
    </r>
  </si>
  <si>
    <t xml:space="preserve">31271098</t>
  </si>
  <si>
    <r>
      <rPr>
        <sz val="10"/>
        <rFont val="FreeSans"/>
        <family val="2"/>
      </rPr>
      <t xml:space="preserve">شیر توپی استیل فلنج دار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</t>
    </r>
  </si>
  <si>
    <t xml:space="preserve">31271099</t>
  </si>
  <si>
    <r>
      <rPr>
        <sz val="10"/>
        <rFont val="FreeSans"/>
        <family val="2"/>
      </rPr>
      <t xml:space="preserve">شیر توپی استیل فلنج دار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</si>
  <si>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31271113</t>
  </si>
  <si>
    <r>
      <rPr>
        <sz val="10"/>
        <rFont val="FreeSans"/>
        <family val="2"/>
      </rPr>
      <t xml:space="preserve">شیر یکضرب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     </t>
    </r>
    <r>
      <rPr>
        <sz val="10"/>
        <rFont val="Vazirmatn"/>
        <family val="0"/>
        <charset val="1"/>
      </rPr>
      <t xml:space="preserve">" 3</t>
    </r>
  </si>
  <si>
    <t xml:space="preserve">31271115</t>
  </si>
  <si>
    <t xml:space="preserve">فلومیتر</t>
  </si>
  <si>
    <t xml:space="preserve">31271116</t>
  </si>
  <si>
    <r>
      <rPr>
        <sz val="10"/>
        <rFont val="FreeSans"/>
        <family val="2"/>
      </rPr>
      <t xml:space="preserve">شیر سوزنی بخار چدنی  فلنجدار         </t>
    </r>
    <r>
      <rPr>
        <sz val="10"/>
        <rFont val="Vazirmatn"/>
        <family val="0"/>
        <charset val="1"/>
      </rPr>
      <t xml:space="preserve">" 3/4</t>
    </r>
  </si>
  <si>
    <t xml:space="preserve">31271122</t>
  </si>
  <si>
    <t xml:space="preserve">والو  کنترل پمپ ها</t>
  </si>
  <si>
    <t xml:space="preserve">31271129</t>
  </si>
  <si>
    <r>
      <rPr>
        <sz val="10"/>
        <rFont val="FreeSans"/>
        <family val="2"/>
      </rPr>
      <t xml:space="preserve">شیر کنترل فلنجدار استیل تدریجی پنوماتیک </t>
    </r>
    <r>
      <rPr>
        <sz val="10"/>
        <rFont val="Vazirmatn"/>
        <family val="0"/>
        <charset val="1"/>
      </rPr>
      <t xml:space="preserve">" 3</t>
    </r>
  </si>
  <si>
    <t xml:space="preserve">31271133</t>
  </si>
  <si>
    <r>
      <rPr>
        <sz val="10"/>
        <rFont val="FreeSans"/>
        <family val="2"/>
      </rPr>
      <t xml:space="preserve">شیریکطرفه بخار  چدنی         </t>
    </r>
    <r>
      <rPr>
        <sz val="10"/>
        <rFont val="Vazirmatn"/>
        <family val="0"/>
        <charset val="1"/>
      </rPr>
      <t xml:space="preserve">"  6</t>
    </r>
  </si>
  <si>
    <t xml:space="preserve">31271134</t>
  </si>
  <si>
    <r>
      <rPr>
        <sz val="10"/>
        <rFont val="FreeSans"/>
        <family val="2"/>
      </rPr>
      <t xml:space="preserve">فشار شکن بخار فلنجدار        </t>
    </r>
    <r>
      <rPr>
        <sz val="10"/>
        <rFont val="Vazirmatn"/>
        <family val="0"/>
        <charset val="1"/>
      </rPr>
      <t xml:space="preserve">" 2</t>
    </r>
  </si>
  <si>
    <t xml:space="preserve">31271135</t>
  </si>
  <si>
    <r>
      <rPr>
        <sz val="10"/>
        <rFont val="FreeSans"/>
        <family val="2"/>
      </rPr>
      <t xml:space="preserve">شیر سوزنی بخار فلنجدار  </t>
    </r>
    <r>
      <rPr>
        <sz val="10"/>
        <rFont val="Vazirmatn"/>
        <family val="0"/>
        <charset val="1"/>
      </rPr>
      <t xml:space="preserve">" 3</t>
    </r>
  </si>
  <si>
    <t xml:space="preserve">31271137</t>
  </si>
  <si>
    <r>
      <rPr>
        <sz val="10"/>
        <rFont val="FreeSans"/>
        <family val="2"/>
      </rPr>
      <t xml:space="preserve">شیر فلکه چاقویی  استیل بین فلنجی</t>
    </r>
    <r>
      <rPr>
        <sz val="10"/>
        <rFont val="Vazirmatn"/>
        <family val="0"/>
        <charset val="1"/>
      </rPr>
      <t xml:space="preserve">" 6</t>
    </r>
  </si>
  <si>
    <t xml:space="preserve">31271142</t>
  </si>
  <si>
    <r>
      <rPr>
        <sz val="10"/>
        <rFont val="FreeSans"/>
        <family val="2"/>
      </rPr>
      <t xml:space="preserve">شیر فلکه چاقویی استیل بین فلنجی    </t>
    </r>
    <r>
      <rPr>
        <sz val="10"/>
        <rFont val="Vazirmatn"/>
        <family val="0"/>
        <charset val="1"/>
      </rPr>
      <t xml:space="preserve">" 3</t>
    </r>
  </si>
  <si>
    <t xml:space="preserve">31271143</t>
  </si>
  <si>
    <r>
      <rPr>
        <sz val="10"/>
        <rFont val="FreeSans"/>
        <family val="2"/>
      </rPr>
      <t xml:space="preserve">شیر فلکه چاقویی  استیل بین فلنجی   </t>
    </r>
    <r>
      <rPr>
        <sz val="10"/>
        <rFont val="Vazirmatn"/>
        <family val="0"/>
        <charset val="1"/>
      </rPr>
      <t xml:space="preserve">" 4</t>
    </r>
  </si>
  <si>
    <t xml:space="preserve">31271145</t>
  </si>
  <si>
    <r>
      <rPr>
        <sz val="10"/>
        <rFont val="FreeSans"/>
        <family val="2"/>
      </rPr>
      <t xml:space="preserve">شیر فلکه چاقویی استیل بین فلنجی    </t>
    </r>
    <r>
      <rPr>
        <sz val="10"/>
        <rFont val="Vazirmatn"/>
        <family val="0"/>
        <charset val="1"/>
      </rPr>
      <t xml:space="preserve">" 5</t>
    </r>
  </si>
  <si>
    <t xml:space="preserve">31271147</t>
  </si>
  <si>
    <r>
      <rPr>
        <sz val="10"/>
        <rFont val="FreeSans"/>
        <family val="2"/>
      </rPr>
      <t xml:space="preserve">شیر فشار شکن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اطمینان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آهنی  </t>
    </r>
    <r>
      <rPr>
        <sz val="10"/>
        <rFont val="Vazirmatn"/>
        <family val="0"/>
        <charset val="1"/>
      </rPr>
      <t xml:space="preserve">" 3</t>
    </r>
  </si>
  <si>
    <t xml:space="preserve">31271158</t>
  </si>
  <si>
    <r>
      <rPr>
        <sz val="10"/>
        <rFont val="FreeSans"/>
        <family val="2"/>
      </rPr>
      <t xml:space="preserve">شیر برقی نیمه صنعتی </t>
    </r>
    <r>
      <rPr>
        <sz val="10"/>
        <rFont val="Vazirmatn"/>
        <family val="0"/>
        <charset val="1"/>
      </rPr>
      <t xml:space="preserve">220V</t>
    </r>
  </si>
  <si>
    <t xml:space="preserve">31271176</t>
  </si>
  <si>
    <r>
      <rPr>
        <sz val="10"/>
        <rFont val="FreeSans"/>
        <family val="2"/>
      </rPr>
      <t xml:space="preserve">شیر یکضرب استیل </t>
    </r>
    <r>
      <rPr>
        <sz val="10"/>
        <rFont val="Vazirmatn"/>
        <family val="0"/>
        <charset val="1"/>
      </rPr>
      <t xml:space="preserve">304 "1 ( </t>
    </r>
    <r>
      <rPr>
        <sz val="10"/>
        <rFont val="FreeSans"/>
        <family val="2"/>
      </rPr>
      <t xml:space="preserve">طول شیر </t>
    </r>
    <r>
      <rPr>
        <sz val="10"/>
        <rFont val="Vazirmatn"/>
        <family val="0"/>
        <charset val="1"/>
      </rPr>
      <t xml:space="preserve">7Cm  )</t>
    </r>
  </si>
  <si>
    <t xml:space="preserve">31271181</t>
  </si>
  <si>
    <r>
      <rPr>
        <sz val="10"/>
        <rFont val="FreeSans"/>
        <family val="2"/>
      </rPr>
      <t xml:space="preserve">شیر چراغ دار                </t>
    </r>
    <r>
      <rPr>
        <sz val="10"/>
        <rFont val="Vazirmatn"/>
        <family val="0"/>
        <charset val="1"/>
      </rPr>
      <t xml:space="preserve">15   -  SKP</t>
    </r>
  </si>
  <si>
    <t xml:space="preserve">31271183</t>
  </si>
  <si>
    <r>
      <rPr>
        <sz val="10"/>
        <rFont val="FreeSans"/>
        <family val="2"/>
      </rPr>
      <t xml:space="preserve">شیر پروانه ای صنایع شیری </t>
    </r>
    <r>
      <rPr>
        <sz val="10"/>
        <rFont val="Vazirmatn"/>
        <family val="0"/>
        <charset val="1"/>
      </rPr>
      <t xml:space="preserve">51mm</t>
    </r>
  </si>
  <si>
    <t xml:space="preserve">31271195</t>
  </si>
  <si>
    <r>
      <rPr>
        <sz val="10"/>
        <rFont val="FreeSans"/>
        <family val="2"/>
      </rPr>
      <t xml:space="preserve">شیر برقی نئوماتیک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راه دهنده</t>
    </r>
    <r>
      <rPr>
        <sz val="10"/>
        <rFont val="Vazirmatn"/>
        <family val="0"/>
        <charset val="1"/>
      </rPr>
      <t xml:space="preserve">) 4V 210 - 08 0/15 ~ 0/8Mpa</t>
    </r>
  </si>
  <si>
    <t xml:space="preserve">31271200</t>
  </si>
  <si>
    <r>
      <rPr>
        <sz val="10"/>
        <rFont val="FreeSans"/>
        <family val="2"/>
      </rPr>
      <t xml:space="preserve">شیر دو طرفه کنترلر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مبری </t>
    </r>
    <r>
      <rPr>
        <sz val="10"/>
        <rFont val="Vazirmatn"/>
        <family val="0"/>
        <charset val="1"/>
      </rPr>
      <t xml:space="preserve">)</t>
    </r>
  </si>
  <si>
    <t xml:space="preserve">31271201</t>
  </si>
  <si>
    <r>
      <rPr>
        <sz val="10"/>
        <rFont val="FreeSans"/>
        <family val="2"/>
      </rPr>
      <t xml:space="preserve">شیر کنترلر بخار </t>
    </r>
    <r>
      <rPr>
        <sz val="10"/>
        <rFont val="Vazirmatn"/>
        <family val="0"/>
        <charset val="1"/>
      </rPr>
      <t xml:space="preserve">"6</t>
    </r>
  </si>
  <si>
    <t xml:space="preserve">31271204</t>
  </si>
  <si>
    <r>
      <rPr>
        <sz val="10"/>
        <rFont val="FreeSans"/>
        <family val="2"/>
      </rPr>
      <t xml:space="preserve">شیر رابط پلی اتیلن قطره ای </t>
    </r>
    <r>
      <rPr>
        <sz val="10"/>
        <rFont val="Vazirmatn"/>
        <family val="0"/>
        <charset val="1"/>
      </rPr>
      <t xml:space="preserve">16mm</t>
    </r>
  </si>
  <si>
    <t xml:space="preserve">31271205</t>
  </si>
  <si>
    <r>
      <rPr>
        <sz val="10"/>
        <rFont val="FreeSans"/>
        <family val="2"/>
      </rPr>
      <t xml:space="preserve">شیر یکطرفه بین فلنجی استیل </t>
    </r>
    <r>
      <rPr>
        <sz val="10"/>
        <rFont val="Vazirmatn"/>
        <family val="0"/>
        <charset val="1"/>
      </rPr>
      <t xml:space="preserve">304  "1</t>
    </r>
  </si>
  <si>
    <t xml:space="preserve">31271210</t>
  </si>
  <si>
    <t xml:space="preserve">شیر سرویس بهداشتی</t>
  </si>
  <si>
    <t xml:space="preserve">31271211</t>
  </si>
  <si>
    <r>
      <rPr>
        <sz val="10"/>
        <rFont val="FreeSans"/>
        <family val="2"/>
      </rPr>
      <t xml:space="preserve">شیر کپسول آتش نشانی بالن بغل </t>
    </r>
    <r>
      <rPr>
        <sz val="10"/>
        <rFont val="Vazirmatn"/>
        <family val="0"/>
        <charset val="1"/>
      </rPr>
      <t xml:space="preserve">CO2</t>
    </r>
  </si>
  <si>
    <t xml:space="preserve">31271214</t>
  </si>
  <si>
    <r>
      <rPr>
        <sz val="10"/>
        <rFont val="FreeSans"/>
        <family val="2"/>
      </rPr>
      <t xml:space="preserve">شیر برقی بخار پارکر نرمالی کلوز دیافراگمی </t>
    </r>
    <r>
      <rPr>
        <sz val="10"/>
        <rFont val="Vazirmatn"/>
        <family val="0"/>
        <charset val="1"/>
      </rPr>
      <t xml:space="preserve">" 7321BDHOO - 24V  1</t>
    </r>
  </si>
  <si>
    <t xml:space="preserve">31271215</t>
  </si>
  <si>
    <r>
      <rPr>
        <sz val="10"/>
        <rFont val="FreeSans"/>
        <family val="2"/>
      </rPr>
      <t xml:space="preserve">شیر برقی سلونوئیدی پارکر </t>
    </r>
    <r>
      <rPr>
        <sz val="10"/>
        <rFont val="Vazirmatn"/>
        <family val="0"/>
        <charset val="1"/>
      </rPr>
      <t xml:space="preserve">139FV - G = 1/4 - 3/2 Way</t>
    </r>
  </si>
  <si>
    <t xml:space="preserve">31271219</t>
  </si>
  <si>
    <r>
      <rPr>
        <sz val="10"/>
        <rFont val="FreeSans"/>
        <family val="2"/>
      </rPr>
      <t xml:space="preserve">والو استیپ                   </t>
    </r>
    <r>
      <rPr>
        <sz val="10"/>
        <rFont val="Vazirmatn"/>
        <family val="0"/>
        <charset val="1"/>
      </rPr>
      <t xml:space="preserve">1  </t>
    </r>
    <r>
      <rPr>
        <sz val="10"/>
        <rFont val="FreeSans"/>
        <family val="2"/>
      </rPr>
      <t xml:space="preserve">اینچ</t>
    </r>
  </si>
  <si>
    <t xml:space="preserve">31271220</t>
  </si>
  <si>
    <t xml:space="preserve">شیر کپسول ایران گاز</t>
  </si>
  <si>
    <t xml:space="preserve">31271221</t>
  </si>
  <si>
    <r>
      <rPr>
        <sz val="10"/>
        <rFont val="FreeSans"/>
        <family val="2"/>
      </rPr>
      <t xml:space="preserve">شیر چاقویی تمام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بین فلنجی </t>
    </r>
    <r>
      <rPr>
        <sz val="10"/>
        <rFont val="Vazirmatn"/>
        <family val="0"/>
        <charset val="1"/>
      </rPr>
      <t xml:space="preserve">" 5</t>
    </r>
  </si>
  <si>
    <t xml:space="preserve">31271223</t>
  </si>
  <si>
    <r>
      <rPr>
        <sz val="10"/>
        <rFont val="FreeSans"/>
        <family val="2"/>
      </rPr>
      <t xml:space="preserve">شیر کپسول آتش نشانی </t>
    </r>
    <r>
      <rPr>
        <sz val="10"/>
        <rFont val="Vazirmatn"/>
        <family val="0"/>
        <charset val="1"/>
      </rPr>
      <t xml:space="preserve">CO2</t>
    </r>
  </si>
  <si>
    <t xml:space="preserve">31271227</t>
  </si>
  <si>
    <r>
      <rPr>
        <sz val="10"/>
        <rFont val="FreeSans"/>
        <family val="2"/>
      </rPr>
      <t xml:space="preserve">شیر اکسپنشن ولو  </t>
    </r>
    <r>
      <rPr>
        <sz val="10"/>
        <rFont val="Vazirmatn"/>
        <family val="0"/>
        <charset val="1"/>
      </rPr>
      <t xml:space="preserve">Carel : E 3V 45</t>
    </r>
  </si>
  <si>
    <t xml:space="preserve">31271228</t>
  </si>
  <si>
    <r>
      <rPr>
        <sz val="10"/>
        <rFont val="FreeSans"/>
        <family val="2"/>
      </rPr>
      <t xml:space="preserve">شیر آبسرد کن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رنگ قرمز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آب داغ </t>
    </r>
    <r>
      <rPr>
        <sz val="10"/>
        <rFont val="Vazirmatn"/>
        <family val="0"/>
        <charset val="1"/>
      </rPr>
      <t xml:space="preserve">)</t>
    </r>
  </si>
  <si>
    <t xml:space="preserve">31271229</t>
  </si>
  <si>
    <r>
      <rPr>
        <sz val="10"/>
        <rFont val="FreeSans"/>
        <family val="2"/>
      </rPr>
      <t xml:space="preserve">شیر برقی سلونوئیدی </t>
    </r>
    <r>
      <rPr>
        <sz val="10"/>
        <rFont val="Vazirmatn"/>
        <family val="0"/>
        <charset val="1"/>
      </rPr>
      <t xml:space="preserve">ASCO - 551 ( </t>
    </r>
    <r>
      <rPr>
        <sz val="10"/>
        <rFont val="FreeSans"/>
        <family val="2"/>
      </rPr>
      <t xml:space="preserve">بوبین </t>
    </r>
    <r>
      <rPr>
        <sz val="10"/>
        <rFont val="Vazirmatn"/>
        <family val="0"/>
        <charset val="1"/>
      </rPr>
      <t xml:space="preserve">24V - DC )</t>
    </r>
  </si>
  <si>
    <t xml:space="preserve">31271230</t>
  </si>
  <si>
    <r>
      <rPr>
        <sz val="10"/>
        <rFont val="FreeSans"/>
        <family val="2"/>
      </rPr>
      <t xml:space="preserve">فشارشکن                    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</si>
  <si>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31271233</t>
  </si>
  <si>
    <r>
      <rPr>
        <sz val="10"/>
        <rFont val="FreeSans"/>
        <family val="2"/>
      </rPr>
      <t xml:space="preserve">شیر سوزنی بخار کلاس </t>
    </r>
    <r>
      <rPr>
        <sz val="10"/>
        <rFont val="Vazirmatn"/>
        <family val="0"/>
        <charset val="1"/>
      </rPr>
      <t xml:space="preserve">800  " 3/4</t>
    </r>
  </si>
  <si>
    <t xml:space="preserve">31271234</t>
  </si>
  <si>
    <r>
      <rPr>
        <sz val="10"/>
        <rFont val="FreeSans"/>
        <family val="2"/>
      </rPr>
      <t xml:space="preserve">شیر پروانه ای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صنایع غذایی کلمپی </t>
    </r>
    <r>
      <rPr>
        <sz val="10"/>
        <rFont val="Vazirmatn"/>
        <family val="0"/>
        <charset val="1"/>
      </rPr>
      <t xml:space="preserve">63</t>
    </r>
  </si>
  <si>
    <t xml:space="preserve">31271235</t>
  </si>
  <si>
    <t xml:space="preserve">والو بافنر قطع کننده</t>
  </si>
  <si>
    <t xml:space="preserve">31271236</t>
  </si>
  <si>
    <r>
      <rPr>
        <sz val="10"/>
        <rFont val="FreeSans"/>
        <family val="2"/>
      </rPr>
      <t xml:space="preserve">اکسپنشن ولو </t>
    </r>
    <r>
      <rPr>
        <sz val="10"/>
        <rFont val="Vazirmatn"/>
        <family val="0"/>
        <charset val="1"/>
      </rPr>
      <t xml:space="preserve">03TE5</t>
    </r>
  </si>
  <si>
    <t xml:space="preserve">31271242</t>
  </si>
  <si>
    <r>
      <rPr>
        <sz val="10"/>
        <rFont val="FreeSans"/>
        <family val="2"/>
      </rPr>
      <t xml:space="preserve">شیر آلات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تیکه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ست کامل </t>
    </r>
    <r>
      <rPr>
        <sz val="10"/>
        <rFont val="Vazirmatn"/>
        <family val="0"/>
        <charset val="1"/>
      </rPr>
      <t xml:space="preserve">)</t>
    </r>
  </si>
  <si>
    <t xml:space="preserve">31271244</t>
  </si>
  <si>
    <r>
      <rPr>
        <sz val="10"/>
        <rFont val="FreeSans"/>
        <family val="2"/>
      </rPr>
      <t xml:space="preserve">دوش حمام تمام استیل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کاره</t>
    </r>
  </si>
  <si>
    <t xml:space="preserve">31271245</t>
  </si>
  <si>
    <r>
      <rPr>
        <sz val="10"/>
        <rFont val="FreeSans"/>
        <family val="2"/>
      </rPr>
      <t xml:space="preserve">شیر فشار شکن فلنج دار </t>
    </r>
    <r>
      <rPr>
        <sz val="10"/>
        <rFont val="Vazirmatn"/>
        <family val="0"/>
        <charset val="1"/>
      </rPr>
      <t xml:space="preserve">" 3/4 - </t>
    </r>
    <r>
      <rPr>
        <sz val="10"/>
        <rFont val="FreeSans"/>
        <family val="2"/>
      </rPr>
      <t xml:space="preserve">فشار ورودی </t>
    </r>
    <r>
      <rPr>
        <sz val="10"/>
        <rFont val="Vazirmatn"/>
        <family val="0"/>
        <charset val="1"/>
      </rPr>
      <t xml:space="preserve">10 - 8 bar - </t>
    </r>
    <r>
      <rPr>
        <sz val="10"/>
        <rFont val="FreeSans"/>
        <family val="2"/>
      </rPr>
      <t xml:space="preserve">فشار خروجی </t>
    </r>
    <r>
      <rPr>
        <sz val="10"/>
        <rFont val="Vazirmatn"/>
        <family val="0"/>
        <charset val="1"/>
      </rPr>
      <t xml:space="preserve">5 - 3 bar</t>
    </r>
  </si>
  <si>
    <t xml:space="preserve">31271247</t>
  </si>
  <si>
    <r>
      <rPr>
        <sz val="10"/>
        <rFont val="FreeSans"/>
        <family val="2"/>
      </rPr>
      <t xml:space="preserve">شیر اطمینان بخار فلنج دار </t>
    </r>
    <r>
      <rPr>
        <sz val="10"/>
        <rFont val="Vazirmatn"/>
        <family val="0"/>
        <charset val="1"/>
      </rPr>
      <t xml:space="preserve">"1 ( </t>
    </r>
    <r>
      <rPr>
        <sz val="10"/>
        <rFont val="FreeSans"/>
        <family val="2"/>
      </rPr>
      <t xml:space="preserve">تنظیم روی </t>
    </r>
    <r>
      <rPr>
        <sz val="10"/>
        <rFont val="Vazirmatn"/>
        <family val="0"/>
        <charset val="1"/>
      </rPr>
      <t xml:space="preserve">5 bar )</t>
    </r>
  </si>
  <si>
    <t xml:space="preserve">31271248</t>
  </si>
  <si>
    <r>
      <rPr>
        <sz val="10"/>
        <rFont val="FreeSans"/>
        <family val="2"/>
      </rPr>
      <t xml:space="preserve">شیر تخلیه اتوماتیک    </t>
    </r>
    <r>
      <rPr>
        <sz val="10"/>
        <rFont val="Vazirmatn"/>
        <family val="0"/>
        <charset val="1"/>
      </rPr>
      <t xml:space="preserve">" 1/2</t>
    </r>
  </si>
  <si>
    <t xml:space="preserve">31271251</t>
  </si>
  <si>
    <t xml:space="preserve">شیر تخلیه آب کولر آبی</t>
  </si>
  <si>
    <t xml:space="preserve">31271253</t>
  </si>
  <si>
    <r>
      <rPr>
        <sz val="10"/>
        <rFont val="FreeSans"/>
        <family val="2"/>
      </rPr>
      <t xml:space="preserve">شیر سوزنی بخار طنابی فلنجدار کلاس </t>
    </r>
    <r>
      <rPr>
        <sz val="10"/>
        <rFont val="Vazirmatn"/>
        <family val="0"/>
        <charset val="1"/>
      </rPr>
      <t xml:space="preserve">150  " 4</t>
    </r>
  </si>
  <si>
    <t xml:space="preserve">31271254</t>
  </si>
  <si>
    <r>
      <rPr>
        <sz val="10"/>
        <rFont val="FreeSans"/>
        <family val="2"/>
      </rPr>
      <t xml:space="preserve">شیر سوزنی بخار طنابی فلنجدار کلاس </t>
    </r>
    <r>
      <rPr>
        <sz val="10"/>
        <rFont val="Vazirmatn"/>
        <family val="0"/>
        <charset val="1"/>
      </rPr>
      <t xml:space="preserve">150  " 3</t>
    </r>
  </si>
  <si>
    <t xml:space="preserve">31271255</t>
  </si>
  <si>
    <r>
      <rPr>
        <sz val="10"/>
        <rFont val="FreeSans"/>
        <family val="2"/>
      </rPr>
      <t xml:space="preserve">شیر سوزنی بخار طنابی فلنجدار کلاس </t>
    </r>
    <r>
      <rPr>
        <sz val="10"/>
        <rFont val="Vazirmatn"/>
        <family val="0"/>
        <charset val="1"/>
      </rPr>
      <t xml:space="preserve">150  " 1/2 2</t>
    </r>
  </si>
  <si>
    <t xml:space="preserve">31271256</t>
  </si>
  <si>
    <r>
      <rPr>
        <sz val="10"/>
        <rFont val="FreeSans"/>
        <family val="2"/>
      </rPr>
      <t xml:space="preserve">شیر سوزنی بخار طنابی فلنجدار کلاس </t>
    </r>
    <r>
      <rPr>
        <sz val="10"/>
        <rFont val="Vazirmatn"/>
        <family val="0"/>
        <charset val="1"/>
      </rPr>
      <t xml:space="preserve">150  " 2</t>
    </r>
  </si>
  <si>
    <t xml:space="preserve">31271257</t>
  </si>
  <si>
    <r>
      <rPr>
        <sz val="10"/>
        <rFont val="FreeSans"/>
        <family val="2"/>
      </rPr>
      <t xml:space="preserve">شیر سوزنی بخار طنابی فلنجدار کلاس </t>
    </r>
    <r>
      <rPr>
        <sz val="10"/>
        <rFont val="Vazirmatn"/>
        <family val="0"/>
        <charset val="1"/>
      </rPr>
      <t xml:space="preserve">150  " 1</t>
    </r>
  </si>
  <si>
    <t xml:space="preserve">31271259</t>
  </si>
  <si>
    <r>
      <rPr>
        <sz val="10"/>
        <rFont val="FreeSans"/>
        <family val="2"/>
      </rPr>
      <t xml:space="preserve">شیر توپی استیل فلنجدار کلاس </t>
    </r>
    <r>
      <rPr>
        <sz val="10"/>
        <rFont val="Vazirmatn"/>
        <family val="0"/>
        <charset val="1"/>
      </rPr>
      <t xml:space="preserve">150 316   "1 (</t>
    </r>
    <r>
      <rPr>
        <sz val="10"/>
        <rFont val="FreeSans"/>
        <family val="2"/>
      </rPr>
      <t xml:space="preserve">مخصوص اکچویتر</t>
    </r>
    <r>
      <rPr>
        <sz val="10"/>
        <rFont val="Vazirmatn"/>
        <family val="0"/>
        <charset val="1"/>
      </rPr>
      <t xml:space="preserve">)</t>
    </r>
  </si>
  <si>
    <t xml:space="preserve">31271260</t>
  </si>
  <si>
    <r>
      <rPr>
        <sz val="10"/>
        <rFont val="FreeSans"/>
        <family val="2"/>
      </rPr>
      <t xml:space="preserve">شیر برقی هیدرولیکی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به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دو بوبین </t>
    </r>
    <r>
      <rPr>
        <sz val="10"/>
        <rFont val="Vazirmatn"/>
        <family val="0"/>
        <charset val="1"/>
      </rPr>
      <t xml:space="preserve">220V </t>
    </r>
    <r>
      <rPr>
        <sz val="10"/>
        <rFont val="FreeSans"/>
        <family val="2"/>
      </rPr>
      <t xml:space="preserve">برگشت فنر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پورت </t>
    </r>
    <r>
      <rPr>
        <sz val="10"/>
        <rFont val="Vazirmatn"/>
        <family val="0"/>
        <charset val="1"/>
      </rPr>
      <t xml:space="preserve">- 3 </t>
    </r>
    <r>
      <rPr>
        <sz val="10"/>
        <rFont val="FreeSans"/>
        <family val="2"/>
      </rPr>
      <t xml:space="preserve">موضع سوئیچی وسط بسته  </t>
    </r>
    <r>
      <rPr>
        <sz val="10"/>
        <rFont val="Vazirmatn"/>
        <family val="0"/>
        <charset val="1"/>
      </rPr>
      <t xml:space="preserve">4WE6 E6X / EW 220RN Z5L SHLiXiN</t>
    </r>
  </si>
  <si>
    <t xml:space="preserve">31271261</t>
  </si>
  <si>
    <r>
      <rPr>
        <sz val="10"/>
        <rFont val="FreeSans"/>
        <family val="2"/>
      </rPr>
      <t xml:space="preserve">شیر استیل نمونه گیری  </t>
    </r>
    <r>
      <rPr>
        <sz val="10"/>
        <rFont val="Vazirmatn"/>
        <family val="0"/>
        <charset val="1"/>
      </rPr>
      <t xml:space="preserve">" 1/2</t>
    </r>
  </si>
  <si>
    <t xml:space="preserve">31271262</t>
  </si>
  <si>
    <r>
      <rPr>
        <sz val="10"/>
        <rFont val="FreeSans"/>
        <family val="2"/>
      </rPr>
      <t xml:space="preserve">شیر برقی هیدرولیکی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به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تک بوبین </t>
    </r>
    <r>
      <rPr>
        <sz val="10"/>
        <rFont val="Vazirmatn"/>
        <family val="0"/>
        <charset val="1"/>
      </rPr>
      <t xml:space="preserve">220V </t>
    </r>
    <r>
      <rPr>
        <sz val="10"/>
        <rFont val="FreeSans"/>
        <family val="2"/>
      </rPr>
      <t xml:space="preserve">برگشت فنر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پورت </t>
    </r>
    <r>
      <rPr>
        <sz val="10"/>
        <rFont val="Vazirmatn"/>
        <family val="0"/>
        <charset val="1"/>
      </rPr>
      <t xml:space="preserve">- 2 </t>
    </r>
    <r>
      <rPr>
        <sz val="10"/>
        <rFont val="FreeSans"/>
        <family val="2"/>
      </rPr>
      <t xml:space="preserve">موضع سوئیچی   </t>
    </r>
    <r>
      <rPr>
        <sz val="10"/>
        <rFont val="Vazirmatn"/>
        <family val="0"/>
        <charset val="1"/>
      </rPr>
      <t xml:space="preserve">4WE6D - L6X / EW 220RN Z5L SHLiXiN</t>
    </r>
  </si>
  <si>
    <t xml:space="preserve">31271263</t>
  </si>
  <si>
    <r>
      <rPr>
        <sz val="10"/>
        <rFont val="FreeSans"/>
        <family val="2"/>
      </rPr>
      <t xml:space="preserve">فلو کنترل یکطرفه هیدرولیکی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زیر شیری </t>
    </r>
    <r>
      <rPr>
        <sz val="10"/>
        <rFont val="Vazirmatn"/>
        <family val="0"/>
        <charset val="1"/>
      </rPr>
      <t xml:space="preserve">) Z2FS 6B2 - L4X / 2Q SHLiXiN</t>
    </r>
  </si>
  <si>
    <t xml:space="preserve">31271265</t>
  </si>
  <si>
    <r>
      <rPr>
        <sz val="10"/>
        <rFont val="FreeSans"/>
        <family val="2"/>
      </rPr>
      <t xml:space="preserve">فلو کنترل دو طرفه هیدرولیکی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زیر شیری </t>
    </r>
    <r>
      <rPr>
        <sz val="10"/>
        <rFont val="Vazirmatn"/>
        <family val="0"/>
        <charset val="1"/>
      </rPr>
      <t xml:space="preserve">) DVP6  - 1 - 10  SHLiXiN</t>
    </r>
  </si>
  <si>
    <t xml:space="preserve">31271266</t>
  </si>
  <si>
    <r>
      <rPr>
        <sz val="10"/>
        <rFont val="FreeSans"/>
        <family val="2"/>
      </rPr>
      <t xml:space="preserve">شیر فشار شکن هیدرولیکی  </t>
    </r>
    <r>
      <rPr>
        <sz val="10"/>
        <rFont val="Vazirmatn"/>
        <family val="0"/>
        <charset val="1"/>
      </rPr>
      <t xml:space="preserve">j - D6B</t>
    </r>
  </si>
  <si>
    <t xml:space="preserve">31271269</t>
  </si>
  <si>
    <r>
      <rPr>
        <sz val="10"/>
        <rFont val="FreeSans"/>
        <family val="2"/>
      </rPr>
      <t xml:space="preserve">شیر توپی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جورج فیشر </t>
    </r>
    <r>
      <rPr>
        <sz val="10"/>
        <rFont val="Vazirmatn"/>
        <family val="0"/>
        <charset val="1"/>
      </rPr>
      <t xml:space="preserve">) " 1/2    UPVC</t>
    </r>
  </si>
  <si>
    <t xml:space="preserve">31271271</t>
  </si>
  <si>
    <r>
      <rPr>
        <sz val="10"/>
        <rFont val="FreeSans"/>
        <family val="2"/>
      </rPr>
      <t xml:space="preserve">شیر فشار شکن فلنجدار </t>
    </r>
    <r>
      <rPr>
        <sz val="10"/>
        <rFont val="Vazirmatn"/>
        <family val="0"/>
        <charset val="1"/>
      </rPr>
      <t xml:space="preserve">" 3 - PN 16 -  </t>
    </r>
    <r>
      <rPr>
        <sz val="10"/>
        <rFont val="FreeSans"/>
        <family val="2"/>
      </rPr>
      <t xml:space="preserve">فشار ورودی </t>
    </r>
    <r>
      <rPr>
        <sz val="10"/>
        <rFont val="Vazirmatn"/>
        <family val="0"/>
        <charset val="1"/>
      </rPr>
      <t xml:space="preserve">10bar - </t>
    </r>
    <r>
      <rPr>
        <sz val="10"/>
        <rFont val="FreeSans"/>
        <family val="2"/>
      </rPr>
      <t xml:space="preserve">فشار خروجی </t>
    </r>
    <r>
      <rPr>
        <sz val="10"/>
        <rFont val="Vazirmatn"/>
        <family val="0"/>
        <charset val="1"/>
      </rPr>
      <t xml:space="preserve">7 - 0/2 bar</t>
    </r>
  </si>
  <si>
    <t xml:space="preserve">31271274</t>
  </si>
  <si>
    <r>
      <rPr>
        <sz val="10"/>
        <rFont val="FreeSans"/>
        <family val="2"/>
      </rPr>
      <t xml:space="preserve">شیر هواگیری اتوماتیک استیل </t>
    </r>
    <r>
      <rPr>
        <sz val="10"/>
        <rFont val="Vazirmatn"/>
        <family val="0"/>
        <charset val="1"/>
      </rPr>
      <t xml:space="preserve">" 1/2</t>
    </r>
  </si>
  <si>
    <t xml:space="preserve">31271275</t>
  </si>
  <si>
    <r>
      <rPr>
        <sz val="10"/>
        <rFont val="FreeSans"/>
        <family val="2"/>
      </rPr>
      <t xml:space="preserve">شیر برقی سلونوئیدی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پنوماتیک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آسکو </t>
    </r>
    <r>
      <rPr>
        <sz val="10"/>
        <rFont val="Vazirmatn"/>
        <family val="0"/>
        <charset val="1"/>
      </rPr>
      <t xml:space="preserve">531 - G531C017MS - 3/2 (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G1/4 )</t>
    </r>
  </si>
  <si>
    <t xml:space="preserve">31271278</t>
  </si>
  <si>
    <r>
      <rPr>
        <sz val="10"/>
        <rFont val="FreeSans"/>
        <family val="2"/>
      </rPr>
      <t xml:space="preserve">شیر فشار شکن آهنی </t>
    </r>
    <r>
      <rPr>
        <sz val="10"/>
        <rFont val="Vazirmatn"/>
        <family val="0"/>
        <charset val="1"/>
      </rPr>
      <t xml:space="preserve">"  3</t>
    </r>
  </si>
  <si>
    <t xml:space="preserve">31271280</t>
  </si>
  <si>
    <r>
      <rPr>
        <sz val="10"/>
        <rFont val="FreeSans"/>
        <family val="2"/>
      </rPr>
      <t xml:space="preserve">شیر فشارشکن کارواش   </t>
    </r>
    <r>
      <rPr>
        <sz val="10"/>
        <rFont val="Vazirmatn"/>
        <family val="0"/>
        <charset val="1"/>
      </rPr>
      <t xml:space="preserve">" 3/8         150Bar</t>
    </r>
  </si>
  <si>
    <t xml:space="preserve">31271281</t>
  </si>
  <si>
    <r>
      <rPr>
        <sz val="10"/>
        <rFont val="FreeSans"/>
        <family val="2"/>
      </rPr>
      <t xml:space="preserve">شیر فشار شکن کارواش     </t>
    </r>
    <r>
      <rPr>
        <sz val="10"/>
        <rFont val="Vazirmatn"/>
        <family val="0"/>
        <charset val="1"/>
      </rPr>
      <t xml:space="preserve">3/8"         200Bar</t>
    </r>
  </si>
  <si>
    <t xml:space="preserve">31271283</t>
  </si>
  <si>
    <r>
      <rPr>
        <sz val="10"/>
        <rFont val="FreeSans"/>
        <family val="2"/>
      </rPr>
      <t xml:space="preserve">شیر فلکه سوزنی فولادی دنده ای کلاس </t>
    </r>
    <r>
      <rPr>
        <sz val="10"/>
        <rFont val="Vazirmatn"/>
        <family val="0"/>
        <charset val="1"/>
      </rPr>
      <t xml:space="preserve">800 "1/2</t>
    </r>
  </si>
  <si>
    <t xml:space="preserve">31271285</t>
  </si>
  <si>
    <r>
      <rPr>
        <sz val="10"/>
        <rFont val="FreeSans"/>
        <family val="2"/>
      </rPr>
      <t xml:space="preserve">فلومتر مغناطیسی پرومگ </t>
    </r>
    <r>
      <rPr>
        <sz val="10"/>
        <rFont val="Vazirmatn"/>
        <family val="0"/>
        <charset val="1"/>
      </rPr>
      <t xml:space="preserve">" 6    ( L DN 150  )</t>
    </r>
  </si>
  <si>
    <t xml:space="preserve">31271289</t>
  </si>
  <si>
    <r>
      <rPr>
        <sz val="10"/>
        <rFont val="FreeSans"/>
        <family val="2"/>
      </rPr>
      <t xml:space="preserve">فلومتر مغناطیسی  </t>
    </r>
    <r>
      <rPr>
        <sz val="10"/>
        <rFont val="Vazirmatn"/>
        <family val="0"/>
        <charset val="1"/>
      </rPr>
      <t xml:space="preserve">" 2 - 50 DNO.C : 50L50-jL0a1aa0abaa</t>
    </r>
  </si>
  <si>
    <t xml:space="preserve">31271290</t>
  </si>
  <si>
    <r>
      <rPr>
        <sz val="10"/>
        <rFont val="FreeSans"/>
        <family val="2"/>
      </rPr>
      <t xml:space="preserve">فلومتر مغناطیسی </t>
    </r>
    <r>
      <rPr>
        <sz val="10"/>
        <rFont val="Vazirmatn"/>
        <family val="0"/>
        <charset val="1"/>
      </rPr>
      <t xml:space="preserve">O.C : 50L50-jL0a1aa0adaa  " 2 - 50 DN</t>
    </r>
  </si>
  <si>
    <t xml:space="preserve">31271291</t>
  </si>
  <si>
    <r>
      <rPr>
        <sz val="10"/>
        <rFont val="FreeSans"/>
        <family val="2"/>
      </rPr>
      <t xml:space="preserve">فلومتر مغناطیسی </t>
    </r>
    <r>
      <rPr>
        <sz val="10"/>
        <rFont val="Vazirmatn"/>
        <family val="0"/>
        <charset val="1"/>
      </rPr>
      <t xml:space="preserve">O.C : 50L80-jL0a1aa0abaa " 3 - 80 DN</t>
    </r>
  </si>
  <si>
    <t xml:space="preserve">31271292</t>
  </si>
  <si>
    <r>
      <rPr>
        <sz val="10"/>
        <rFont val="FreeSans"/>
        <family val="2"/>
      </rPr>
      <t xml:space="preserve">فلومتر مغناطیسی  </t>
    </r>
    <r>
      <rPr>
        <sz val="10"/>
        <rFont val="Vazirmatn"/>
        <family val="0"/>
        <charset val="1"/>
      </rPr>
      <t xml:space="preserve">" 4 - 100 DNO.C : 50p1h-ecda1aa0abaa</t>
    </r>
  </si>
  <si>
    <t xml:space="preserve">31271293</t>
  </si>
  <si>
    <r>
      <rPr>
        <sz val="10"/>
        <rFont val="FreeSans"/>
        <family val="2"/>
      </rPr>
      <t xml:space="preserve">فلومتر مغناطیسی  </t>
    </r>
    <r>
      <rPr>
        <sz val="10"/>
        <rFont val="Vazirmatn"/>
        <family val="0"/>
        <charset val="1"/>
      </rPr>
      <t xml:space="preserve">O.C : 50p25-2L0a1aa0adaa   " 1 - 25 DN</t>
    </r>
  </si>
  <si>
    <t xml:space="preserve">31271295</t>
  </si>
  <si>
    <r>
      <rPr>
        <sz val="10"/>
        <rFont val="FreeSans"/>
        <family val="2"/>
      </rPr>
      <t xml:space="preserve">فلومتر مغناطیسی  </t>
    </r>
    <r>
      <rPr>
        <sz val="10"/>
        <rFont val="Vazirmatn"/>
        <family val="0"/>
        <charset val="1"/>
      </rPr>
      <t xml:space="preserve">O.C : 50P80-ER0 A1 AA0 AAAW" 3 -  80 DN</t>
    </r>
  </si>
  <si>
    <t xml:space="preserve">31271297</t>
  </si>
  <si>
    <r>
      <rPr>
        <sz val="10"/>
        <rFont val="FreeSans"/>
        <family val="2"/>
      </rPr>
      <t xml:space="preserve">فلومتر جرمی</t>
    </r>
    <r>
      <rPr>
        <sz val="10"/>
        <rFont val="Vazirmatn"/>
        <family val="0"/>
        <charset val="1"/>
      </rPr>
      <t xml:space="preserve">DN15-1/2"      O.C : 80E15-5F34/0</t>
    </r>
  </si>
  <si>
    <t xml:space="preserve">31271298</t>
  </si>
  <si>
    <r>
      <rPr>
        <sz val="10"/>
        <rFont val="FreeSans"/>
        <family val="2"/>
      </rPr>
      <t xml:space="preserve">فلومتر جرمی </t>
    </r>
    <r>
      <rPr>
        <sz val="10"/>
        <rFont val="Vazirmatn"/>
        <family val="0"/>
        <charset val="1"/>
      </rPr>
      <t xml:space="preserve">O.C : 83e40-2c47/0  DN:40-1.1/2</t>
    </r>
  </si>
  <si>
    <t xml:space="preserve">31271299</t>
  </si>
  <si>
    <r>
      <rPr>
        <sz val="10"/>
        <rFont val="FreeSans"/>
        <family val="2"/>
      </rPr>
      <t xml:space="preserve">فلومتر جرمی  </t>
    </r>
    <r>
      <rPr>
        <sz val="10"/>
        <rFont val="Vazirmatn"/>
        <family val="0"/>
        <charset val="1"/>
      </rPr>
      <t xml:space="preserve">O.C : 83E40-3WJ4/0   DN: 40-1.1/2</t>
    </r>
  </si>
  <si>
    <t xml:space="preserve">31271300</t>
  </si>
  <si>
    <r>
      <rPr>
        <sz val="10"/>
        <rFont val="FreeSans"/>
        <family val="2"/>
      </rPr>
      <t xml:space="preserve">فلومتر جرمی </t>
    </r>
    <r>
      <rPr>
        <sz val="10"/>
        <rFont val="Vazirmatn"/>
        <family val="0"/>
        <charset val="1"/>
      </rPr>
      <t xml:space="preserve">"O.C : 83E50-4LM6/0 DN:50  -2</t>
    </r>
  </si>
  <si>
    <t xml:space="preserve">31271304</t>
  </si>
  <si>
    <r>
      <rPr>
        <sz val="10"/>
        <rFont val="FreeSans"/>
        <family val="2"/>
      </rPr>
      <t xml:space="preserve">شیر پنوماتیک  </t>
    </r>
    <r>
      <rPr>
        <sz val="10"/>
        <rFont val="Vazirmatn"/>
        <family val="0"/>
        <charset val="1"/>
      </rPr>
      <t xml:space="preserve">01 . 20 44 5315 - 3277</t>
    </r>
  </si>
  <si>
    <t xml:space="preserve">31271310</t>
  </si>
  <si>
    <r>
      <rPr>
        <sz val="10"/>
        <rFont val="FreeSans"/>
        <family val="2"/>
      </rPr>
      <t xml:space="preserve">شیرتحریک هوا برقی               </t>
    </r>
    <r>
      <rPr>
        <sz val="10"/>
        <rFont val="Vazirmatn"/>
        <family val="0"/>
        <charset val="1"/>
      </rPr>
      <t xml:space="preserve">2 - 3</t>
    </r>
  </si>
  <si>
    <t xml:space="preserve">31271311</t>
  </si>
  <si>
    <r>
      <rPr>
        <sz val="10"/>
        <rFont val="FreeSans"/>
        <family val="2"/>
      </rPr>
      <t xml:space="preserve">شیرفشارشکن پنوماتیک              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اینچ</t>
    </r>
  </si>
  <si>
    <t xml:space="preserve">31271319</t>
  </si>
  <si>
    <r>
      <rPr>
        <sz val="10"/>
        <rFont val="FreeSans"/>
        <family val="2"/>
      </rPr>
      <t xml:space="preserve">شیر کاهنده فشار </t>
    </r>
    <r>
      <rPr>
        <sz val="10"/>
        <rFont val="Vazirmatn"/>
        <family val="0"/>
        <charset val="1"/>
      </rPr>
      <t xml:space="preserve">"1/2  D06 FI </t>
    </r>
    <r>
      <rPr>
        <sz val="10"/>
        <rFont val="FreeSans"/>
        <family val="2"/>
      </rPr>
      <t xml:space="preserve">فشار </t>
    </r>
    <r>
      <rPr>
        <sz val="10"/>
        <rFont val="Vazirmatn"/>
        <family val="0"/>
        <charset val="1"/>
      </rPr>
      <t xml:space="preserve">bar3-0</t>
    </r>
  </si>
  <si>
    <t xml:space="preserve">31271329</t>
  </si>
  <si>
    <r>
      <rPr>
        <sz val="10"/>
        <rFont val="FreeSans"/>
        <family val="2"/>
      </rPr>
      <t xml:space="preserve">شیر چاقویی زبانه استیل  </t>
    </r>
    <r>
      <rPr>
        <sz val="10"/>
        <rFont val="Vazirmatn"/>
        <family val="0"/>
        <charset val="1"/>
      </rPr>
      <t xml:space="preserve">"6</t>
    </r>
  </si>
  <si>
    <t xml:space="preserve">31271334</t>
  </si>
  <si>
    <r>
      <rPr>
        <sz val="10"/>
        <rFont val="FreeSans"/>
        <family val="2"/>
      </rPr>
      <t xml:space="preserve">شیر سوزنی فولادی فلنجدار </t>
    </r>
    <r>
      <rPr>
        <sz val="10"/>
        <rFont val="Vazirmatn"/>
        <family val="0"/>
        <charset val="1"/>
      </rPr>
      <t xml:space="preserve">"1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1/4</t>
    </r>
  </si>
  <si>
    <t xml:space="preserve">31271337</t>
  </si>
  <si>
    <r>
      <rPr>
        <sz val="10"/>
        <rFont val="FreeSans"/>
        <family val="2"/>
      </rPr>
      <t xml:space="preserve">شیر یکطرفه دکانتور  </t>
    </r>
    <r>
      <rPr>
        <sz val="10"/>
        <rFont val="Vazirmatn"/>
        <family val="0"/>
        <charset val="1"/>
      </rPr>
      <t xml:space="preserve">300 - 7324 - 0018</t>
    </r>
  </si>
  <si>
    <t xml:space="preserve">31271339</t>
  </si>
  <si>
    <r>
      <rPr>
        <sz val="10"/>
        <rFont val="FreeSans"/>
        <family val="2"/>
      </rPr>
      <t xml:space="preserve">شیر یکضرب  استیل مخصوص گلو کوز   </t>
    </r>
    <r>
      <rPr>
        <sz val="10"/>
        <rFont val="Vazirmatn"/>
        <family val="0"/>
        <charset val="1"/>
      </rPr>
      <t xml:space="preserve">" 2</t>
    </r>
  </si>
  <si>
    <t xml:space="preserve">31271342</t>
  </si>
  <si>
    <r>
      <rPr>
        <sz val="10"/>
        <rFont val="FreeSans"/>
        <family val="2"/>
      </rPr>
      <t xml:space="preserve">شیر یکضرب استیل مخصوص گلوکوز  </t>
    </r>
    <r>
      <rPr>
        <sz val="10"/>
        <rFont val="Vazirmatn"/>
        <family val="0"/>
        <charset val="1"/>
      </rPr>
      <t xml:space="preserve">"  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</si>
  <si>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31271350</t>
  </si>
  <si>
    <r>
      <rPr>
        <sz val="10"/>
        <rFont val="FreeSans"/>
        <family val="2"/>
      </rPr>
      <t xml:space="preserve">ساید گلاس آهنی فلنجدار   </t>
    </r>
    <r>
      <rPr>
        <sz val="10"/>
        <rFont val="Vazirmatn"/>
        <family val="0"/>
        <charset val="1"/>
      </rPr>
      <t xml:space="preserve">" 1</t>
    </r>
  </si>
  <si>
    <t xml:space="preserve">31271351</t>
  </si>
  <si>
    <r>
      <rPr>
        <sz val="10"/>
        <rFont val="FreeSans"/>
        <family val="2"/>
      </rPr>
      <t xml:space="preserve">ساید گلاس </t>
    </r>
    <r>
      <rPr>
        <sz val="10"/>
        <rFont val="Vazirmatn"/>
        <family val="0"/>
        <charset val="1"/>
      </rPr>
      <t xml:space="preserve">" 3    ( ABS )</t>
    </r>
  </si>
  <si>
    <t xml:space="preserve">31271352</t>
  </si>
  <si>
    <r>
      <rPr>
        <sz val="10"/>
        <rFont val="FreeSans"/>
        <family val="2"/>
      </rPr>
      <t xml:space="preserve">شیر پروانه ای زبانه استیل          </t>
    </r>
    <r>
      <rPr>
        <sz val="10"/>
        <rFont val="Vazirmatn"/>
        <family val="0"/>
        <charset val="1"/>
      </rPr>
      <t xml:space="preserve">" 10</t>
    </r>
  </si>
  <si>
    <t xml:space="preserve">31271353</t>
  </si>
  <si>
    <r>
      <rPr>
        <sz val="10"/>
        <rFont val="FreeSans"/>
        <family val="2"/>
      </rPr>
      <t xml:space="preserve">سایدگلاس  فلنجدار     </t>
    </r>
    <r>
      <rPr>
        <sz val="10"/>
        <rFont val="Vazirmatn"/>
        <family val="0"/>
        <charset val="1"/>
      </rPr>
      <t xml:space="preserve">"1/2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    PN16</t>
    </r>
  </si>
  <si>
    <t xml:space="preserve">31271354</t>
  </si>
  <si>
    <r>
      <rPr>
        <sz val="10"/>
        <rFont val="FreeSans"/>
        <family val="2"/>
      </rPr>
      <t xml:space="preserve">سایدگلاس               </t>
    </r>
    <r>
      <rPr>
        <sz val="10"/>
        <rFont val="Vazirmatn"/>
        <family val="0"/>
        <charset val="1"/>
      </rPr>
      <t xml:space="preserve">"4</t>
    </r>
  </si>
  <si>
    <t xml:space="preserve">31271355</t>
  </si>
  <si>
    <r>
      <rPr>
        <sz val="10"/>
        <rFont val="FreeSans"/>
        <family val="2"/>
      </rPr>
      <t xml:space="preserve">سایدگلاس استیل فلنجدار           </t>
    </r>
    <r>
      <rPr>
        <sz val="10"/>
        <rFont val="Vazirmatn"/>
        <family val="0"/>
        <charset val="1"/>
      </rPr>
      <t xml:space="preserve">4"</t>
    </r>
  </si>
  <si>
    <t xml:space="preserve">31271357</t>
  </si>
  <si>
    <r>
      <rPr>
        <sz val="10"/>
        <rFont val="FreeSans"/>
        <family val="2"/>
      </rPr>
      <t xml:space="preserve">ساید گلاس آهنی فلنجدار   </t>
    </r>
    <r>
      <rPr>
        <sz val="10"/>
        <rFont val="Vazirmatn"/>
        <family val="0"/>
        <charset val="1"/>
      </rPr>
      <t xml:space="preserve">" 4</t>
    </r>
  </si>
  <si>
    <t xml:space="preserve">31271358</t>
  </si>
  <si>
    <r>
      <rPr>
        <sz val="10"/>
        <rFont val="FreeSans"/>
        <family val="2"/>
      </rPr>
      <t xml:space="preserve">سایدگلاس  استیل فلنجدار        </t>
    </r>
    <r>
      <rPr>
        <sz val="10"/>
        <rFont val="Vazirmatn"/>
        <family val="0"/>
        <charset val="1"/>
      </rPr>
      <t xml:space="preserve">" 2</t>
    </r>
  </si>
  <si>
    <t xml:space="preserve">31271359</t>
  </si>
  <si>
    <r>
      <rPr>
        <sz val="10"/>
        <rFont val="FreeSans"/>
        <family val="2"/>
      </rPr>
      <t xml:space="preserve">سایدگلاس آلمانی              </t>
    </r>
    <r>
      <rPr>
        <sz val="10"/>
        <rFont val="Vazirmatn"/>
        <family val="0"/>
        <charset val="1"/>
      </rPr>
      <t xml:space="preserve">" 1/4* " 1</t>
    </r>
  </si>
  <si>
    <t xml:space="preserve">31271360</t>
  </si>
  <si>
    <r>
      <rPr>
        <sz val="10"/>
        <rFont val="FreeSans"/>
        <family val="2"/>
      </rPr>
      <t xml:space="preserve">سایدگلاس فلنجدار                     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</si>
  <si>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31271362</t>
  </si>
  <si>
    <r>
      <rPr>
        <sz val="10"/>
        <rFont val="FreeSans"/>
        <family val="2"/>
      </rPr>
      <t xml:space="preserve">سایدگلاس فولادی فلنجدار بخار   </t>
    </r>
    <r>
      <rPr>
        <sz val="10"/>
        <rFont val="Vazirmatn"/>
        <family val="0"/>
        <charset val="1"/>
      </rPr>
      <t xml:space="preserve">" 2</t>
    </r>
  </si>
  <si>
    <t xml:space="preserve">31271363</t>
  </si>
  <si>
    <r>
      <rPr>
        <sz val="10"/>
        <rFont val="FreeSans"/>
        <family val="2"/>
      </rPr>
      <t xml:space="preserve">والو بخار سوزنی فلنج دار      </t>
    </r>
    <r>
      <rPr>
        <sz val="10"/>
        <rFont val="Vazirmatn"/>
        <family val="0"/>
        <charset val="1"/>
      </rPr>
      <t xml:space="preserve">" 3</t>
    </r>
  </si>
  <si>
    <t xml:space="preserve">31271364</t>
  </si>
  <si>
    <r>
      <rPr>
        <sz val="10"/>
        <rFont val="FreeSans"/>
        <family val="2"/>
      </rPr>
      <t xml:space="preserve">شیر  پروانه ای  زبانه استیل           </t>
    </r>
    <r>
      <rPr>
        <sz val="10"/>
        <rFont val="Vazirmatn"/>
        <family val="0"/>
        <charset val="1"/>
      </rPr>
      <t xml:space="preserve">" 6</t>
    </r>
  </si>
  <si>
    <t xml:space="preserve">31271368</t>
  </si>
  <si>
    <r>
      <rPr>
        <sz val="10"/>
        <rFont val="FreeSans"/>
        <family val="2"/>
      </rPr>
      <t xml:space="preserve">شیر  پروانه ای زبانه استیل          </t>
    </r>
    <r>
      <rPr>
        <sz val="10"/>
        <rFont val="Vazirmatn"/>
        <family val="0"/>
        <charset val="1"/>
      </rPr>
      <t xml:space="preserve">" 4</t>
    </r>
  </si>
  <si>
    <t xml:space="preserve">31271369</t>
  </si>
  <si>
    <r>
      <rPr>
        <sz val="10"/>
        <rFont val="FreeSans"/>
        <family val="2"/>
      </rPr>
      <t xml:space="preserve">سایدگلاس فولادی فلنجدار   </t>
    </r>
    <r>
      <rPr>
        <sz val="10"/>
        <rFont val="Vazirmatn"/>
        <family val="0"/>
        <charset val="1"/>
      </rPr>
      <t xml:space="preserve">" 6</t>
    </r>
  </si>
  <si>
    <t xml:space="preserve">31271373</t>
  </si>
  <si>
    <r>
      <rPr>
        <sz val="10"/>
        <rFont val="FreeSans"/>
        <family val="2"/>
      </rPr>
      <t xml:space="preserve">شیر چاقوئی                  </t>
    </r>
    <r>
      <rPr>
        <sz val="10"/>
        <rFont val="Vazirmatn"/>
        <family val="0"/>
        <charset val="1"/>
      </rPr>
      <t xml:space="preserve">"  1/2 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2</t>
    </r>
  </si>
  <si>
    <t xml:space="preserve">31271374</t>
  </si>
  <si>
    <r>
      <rPr>
        <sz val="10"/>
        <rFont val="FreeSans"/>
        <family val="2"/>
      </rPr>
      <t xml:space="preserve">شیر  چدنی خودکار                 </t>
    </r>
    <r>
      <rPr>
        <sz val="10"/>
        <rFont val="Vazirmatn"/>
        <family val="0"/>
        <charset val="1"/>
      </rPr>
      <t xml:space="preserve">" 4</t>
    </r>
  </si>
  <si>
    <t xml:space="preserve">31271375</t>
  </si>
  <si>
    <r>
      <rPr>
        <sz val="10"/>
        <rFont val="FreeSans"/>
        <family val="2"/>
      </rPr>
      <t xml:space="preserve">شیر  پروانه ای زبانه   استیل            </t>
    </r>
    <r>
      <rPr>
        <sz val="10"/>
        <rFont val="Vazirmatn"/>
        <family val="0"/>
        <charset val="1"/>
      </rPr>
      <t xml:space="preserve">"5</t>
    </r>
  </si>
  <si>
    <t xml:space="preserve">31271377</t>
  </si>
  <si>
    <r>
      <rPr>
        <sz val="10"/>
        <rFont val="FreeSans"/>
        <family val="2"/>
      </rPr>
      <t xml:space="preserve">شیر  پروانه ای  زبانه استیل           </t>
    </r>
    <r>
      <rPr>
        <sz val="10"/>
        <rFont val="Vazirmatn"/>
        <family val="0"/>
        <charset val="1"/>
      </rPr>
      <t xml:space="preserve">" 2</t>
    </r>
  </si>
  <si>
    <t xml:space="preserve">31271384</t>
  </si>
  <si>
    <r>
      <rPr>
        <sz val="10"/>
        <rFont val="FreeSans"/>
        <family val="2"/>
      </rPr>
      <t xml:space="preserve">شیر پروانه استیل صنایع شیری   </t>
    </r>
    <r>
      <rPr>
        <sz val="10"/>
        <rFont val="Vazirmatn"/>
        <family val="0"/>
        <charset val="1"/>
      </rPr>
      <t xml:space="preserve">38mm</t>
    </r>
  </si>
  <si>
    <t xml:space="preserve">31271385</t>
  </si>
  <si>
    <r>
      <rPr>
        <sz val="10"/>
        <rFont val="FreeSans"/>
        <family val="2"/>
      </rPr>
      <t xml:space="preserve">شیر سوزنی بخار فلنجدار چدنی     </t>
    </r>
    <r>
      <rPr>
        <sz val="10"/>
        <rFont val="Vazirmatn"/>
        <family val="0"/>
        <charset val="1"/>
      </rPr>
      <t xml:space="preserve">" 4</t>
    </r>
  </si>
  <si>
    <t xml:space="preserve">31271386</t>
  </si>
  <si>
    <r>
      <rPr>
        <sz val="10"/>
        <rFont val="FreeSans"/>
        <family val="2"/>
      </rPr>
      <t xml:space="preserve">شیر پروانه ای زبانه  استیل       </t>
    </r>
    <r>
      <rPr>
        <sz val="10"/>
        <rFont val="Vazirmatn"/>
        <family val="0"/>
        <charset val="1"/>
      </rPr>
      <t xml:space="preserve">1.1/2</t>
    </r>
  </si>
  <si>
    <t xml:space="preserve">31271389</t>
  </si>
  <si>
    <r>
      <rPr>
        <sz val="10"/>
        <rFont val="FreeSans"/>
        <family val="2"/>
      </rPr>
      <t xml:space="preserve">شیر پروانه ای آهنی گیربکس دار  </t>
    </r>
    <r>
      <rPr>
        <sz val="10"/>
        <rFont val="Vazirmatn"/>
        <family val="0"/>
        <charset val="1"/>
      </rPr>
      <t xml:space="preserve">" 6</t>
    </r>
  </si>
  <si>
    <t xml:space="preserve">31271390</t>
  </si>
  <si>
    <r>
      <rPr>
        <sz val="10"/>
        <rFont val="FreeSans"/>
        <family val="2"/>
      </rPr>
      <t xml:space="preserve">شیر پروانه ای زبانه تفلون  گیربکس دار  </t>
    </r>
    <r>
      <rPr>
        <sz val="10"/>
        <rFont val="Vazirmatn"/>
        <family val="0"/>
        <charset val="1"/>
      </rPr>
      <t xml:space="preserve">" 3</t>
    </r>
  </si>
  <si>
    <t xml:space="preserve">31271392</t>
  </si>
  <si>
    <r>
      <rPr>
        <sz val="10"/>
        <rFont val="FreeSans"/>
        <family val="2"/>
      </rPr>
      <t xml:space="preserve">سایدگلاس   </t>
    </r>
    <r>
      <rPr>
        <sz val="10"/>
        <rFont val="Vazirmatn"/>
        <family val="0"/>
        <charset val="1"/>
      </rPr>
      <t xml:space="preserve">" 5</t>
    </r>
  </si>
  <si>
    <t xml:space="preserve">31271395</t>
  </si>
  <si>
    <r>
      <rPr>
        <sz val="10"/>
        <rFont val="FreeSans"/>
        <family val="2"/>
      </rPr>
      <t xml:space="preserve">شیر پروانه ای پنوماتیک </t>
    </r>
    <r>
      <rPr>
        <sz val="10"/>
        <rFont val="Vazirmatn"/>
        <family val="0"/>
        <charset val="1"/>
      </rPr>
      <t xml:space="preserve">"6</t>
    </r>
  </si>
  <si>
    <t xml:space="preserve">31271399</t>
  </si>
  <si>
    <t xml:space="preserve">شیر پروانه ای گاز بویلر</t>
  </si>
  <si>
    <t xml:space="preserve">31271405</t>
  </si>
  <si>
    <r>
      <rPr>
        <sz val="10"/>
        <rFont val="FreeSans"/>
        <family val="2"/>
      </rPr>
      <t xml:space="preserve">شیر فلکه کشوئی چدنی فلنجدار   </t>
    </r>
    <r>
      <rPr>
        <sz val="10"/>
        <rFont val="Vazirmatn"/>
        <family val="0"/>
        <charset val="1"/>
      </rPr>
      <t xml:space="preserve">" 6</t>
    </r>
  </si>
  <si>
    <t xml:space="preserve">31271406</t>
  </si>
  <si>
    <r>
      <rPr>
        <sz val="10"/>
        <rFont val="FreeSans"/>
        <family val="2"/>
      </rPr>
      <t xml:space="preserve">شیر سوزنی   فلنجدار         </t>
    </r>
    <r>
      <rPr>
        <sz val="10"/>
        <rFont val="Vazirmatn"/>
        <family val="0"/>
        <charset val="1"/>
      </rPr>
      <t xml:space="preserve">" 5</t>
    </r>
  </si>
  <si>
    <t xml:space="preserve">31271409</t>
  </si>
  <si>
    <r>
      <rPr>
        <sz val="10"/>
        <rFont val="FreeSans"/>
        <family val="2"/>
      </rPr>
      <t xml:space="preserve">شیر چاقوئی                  </t>
    </r>
    <r>
      <rPr>
        <sz val="10"/>
        <rFont val="Vazirmatn"/>
        <family val="0"/>
        <charset val="1"/>
      </rPr>
      <t xml:space="preserve">" 3</t>
    </r>
  </si>
  <si>
    <t xml:space="preserve">31271420</t>
  </si>
  <si>
    <r>
      <rPr>
        <sz val="10"/>
        <rFont val="FreeSans"/>
        <family val="2"/>
      </rPr>
      <t xml:space="preserve">شیر صافی </t>
    </r>
    <r>
      <rPr>
        <sz val="10"/>
        <rFont val="Vazirmatn"/>
        <family val="0"/>
        <charset val="1"/>
      </rPr>
      <t xml:space="preserve">" 1  CPVC</t>
    </r>
  </si>
  <si>
    <t xml:space="preserve">31271427</t>
  </si>
  <si>
    <r>
      <rPr>
        <sz val="10"/>
        <rFont val="FreeSans"/>
        <family val="2"/>
      </rPr>
      <t xml:space="preserve">شیر صافی فلنجدار استیل   </t>
    </r>
    <r>
      <rPr>
        <sz val="10"/>
        <rFont val="Vazirmatn"/>
        <family val="0"/>
        <charset val="1"/>
      </rPr>
      <t xml:space="preserve">" 2</t>
    </r>
  </si>
  <si>
    <t xml:space="preserve">31271428</t>
  </si>
  <si>
    <r>
      <rPr>
        <sz val="10"/>
        <rFont val="FreeSans"/>
        <family val="2"/>
      </rPr>
      <t xml:space="preserve">شیر صافی فلنجدار استیل </t>
    </r>
    <r>
      <rPr>
        <sz val="10"/>
        <rFont val="Vazirmatn"/>
        <family val="0"/>
        <charset val="1"/>
      </rPr>
      <t xml:space="preserve">316   " 4</t>
    </r>
  </si>
  <si>
    <t xml:space="preserve">31271435</t>
  </si>
  <si>
    <t xml:space="preserve">کاسه دیسک</t>
  </si>
  <si>
    <t xml:space="preserve">31271437</t>
  </si>
  <si>
    <t xml:space="preserve">31271441</t>
  </si>
  <si>
    <r>
      <rPr>
        <sz val="10"/>
        <rFont val="FreeSans"/>
        <family val="2"/>
      </rPr>
      <t xml:space="preserve">شیر صافی چدنی فلنجدار  </t>
    </r>
    <r>
      <rPr>
        <sz val="10"/>
        <rFont val="Vazirmatn"/>
        <family val="0"/>
        <charset val="1"/>
      </rPr>
      <t xml:space="preserve">" 2</t>
    </r>
  </si>
  <si>
    <t xml:space="preserve">31271443</t>
  </si>
  <si>
    <r>
      <rPr>
        <sz val="10"/>
        <rFont val="FreeSans"/>
        <family val="2"/>
      </rPr>
      <t xml:space="preserve">شیر صافی آهنی فلنجدار  </t>
    </r>
    <r>
      <rPr>
        <sz val="10"/>
        <rFont val="Vazirmatn"/>
        <family val="0"/>
        <charset val="1"/>
      </rPr>
      <t xml:space="preserve">" 4</t>
    </r>
  </si>
  <si>
    <t xml:space="preserve">31271444</t>
  </si>
  <si>
    <r>
      <rPr>
        <sz val="10"/>
        <rFont val="FreeSans"/>
        <family val="2"/>
      </rPr>
      <t xml:space="preserve">شیر صافی چدنی فلنجدار  </t>
    </r>
    <r>
      <rPr>
        <sz val="10"/>
        <rFont val="Vazirmatn"/>
        <family val="0"/>
        <charset val="1"/>
      </rPr>
      <t xml:space="preserve">" 5</t>
    </r>
  </si>
  <si>
    <t xml:space="preserve">31271446</t>
  </si>
  <si>
    <r>
      <rPr>
        <sz val="10"/>
        <rFont val="FreeSans"/>
        <family val="2"/>
      </rPr>
      <t xml:space="preserve">شیر صافی </t>
    </r>
    <r>
      <rPr>
        <sz val="10"/>
        <rFont val="Vazirmatn"/>
        <family val="0"/>
        <charset val="1"/>
      </rPr>
      <t xml:space="preserve">" 3/4  CPVC</t>
    </r>
  </si>
  <si>
    <t xml:space="preserve">31271447</t>
  </si>
  <si>
    <r>
      <rPr>
        <sz val="10"/>
        <rFont val="FreeSans"/>
        <family val="2"/>
      </rPr>
      <t xml:space="preserve">صافی فلنجدار </t>
    </r>
    <r>
      <rPr>
        <sz val="10"/>
        <rFont val="Vazirmatn"/>
        <family val="0"/>
        <charset val="1"/>
      </rPr>
      <t xml:space="preserve">"8</t>
    </r>
  </si>
  <si>
    <t xml:space="preserve">31271451</t>
  </si>
  <si>
    <r>
      <rPr>
        <sz val="10"/>
        <rFont val="FreeSans"/>
        <family val="2"/>
      </rPr>
      <t xml:space="preserve">شیر دیسکی پمپ خلاء   </t>
    </r>
    <r>
      <rPr>
        <sz val="10"/>
        <rFont val="Vazirmatn"/>
        <family val="0"/>
        <charset val="1"/>
      </rPr>
      <t xml:space="preserve">2BV6131</t>
    </r>
  </si>
  <si>
    <t xml:space="preserve">31271452</t>
  </si>
  <si>
    <r>
      <rPr>
        <sz val="10"/>
        <rFont val="FreeSans"/>
        <family val="2"/>
      </rPr>
      <t xml:space="preserve">شیر دیسکی پمپ خلاء  </t>
    </r>
    <r>
      <rPr>
        <sz val="10"/>
        <rFont val="Vazirmatn"/>
        <family val="0"/>
        <charset val="1"/>
      </rPr>
      <t xml:space="preserve">10162040, LEMC90AZ</t>
    </r>
  </si>
  <si>
    <t xml:space="preserve">31271453</t>
  </si>
  <si>
    <r>
      <rPr>
        <sz val="10"/>
        <rFont val="FreeSans"/>
        <family val="2"/>
      </rPr>
      <t xml:space="preserve">شیر دیسکی پمپ خلاء  </t>
    </r>
    <r>
      <rPr>
        <sz val="10"/>
        <rFont val="Vazirmatn"/>
        <family val="0"/>
        <charset val="1"/>
      </rPr>
      <t xml:space="preserve">2BE1202</t>
    </r>
  </si>
  <si>
    <t xml:space="preserve">31271454</t>
  </si>
  <si>
    <r>
      <rPr>
        <sz val="10"/>
        <rFont val="FreeSans"/>
        <family val="2"/>
      </rPr>
      <t xml:space="preserve">شیر دیسکی  </t>
    </r>
    <r>
      <rPr>
        <sz val="10"/>
        <rFont val="Vazirmatn"/>
        <family val="0"/>
        <charset val="1"/>
      </rPr>
      <t xml:space="preserve">2BV6161</t>
    </r>
  </si>
  <si>
    <t xml:space="preserve">31271457</t>
  </si>
  <si>
    <r>
      <rPr>
        <sz val="10"/>
        <rFont val="FreeSans"/>
        <family val="2"/>
      </rPr>
      <t xml:space="preserve">شیر سوزنی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فلنج دار     </t>
    </r>
    <r>
      <rPr>
        <sz val="10"/>
        <rFont val="Vazirmatn"/>
        <family val="0"/>
        <charset val="1"/>
      </rPr>
      <t xml:space="preserve">"2</t>
    </r>
  </si>
  <si>
    <t xml:space="preserve">31271460</t>
  </si>
  <si>
    <r>
      <rPr>
        <sz val="10"/>
        <rFont val="FreeSans"/>
        <family val="2"/>
      </rPr>
      <t xml:space="preserve">شیریکطرفه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بین فلنجی       </t>
    </r>
    <r>
      <rPr>
        <sz val="10"/>
        <rFont val="Vazirmatn"/>
        <family val="0"/>
        <charset val="1"/>
      </rPr>
      <t xml:space="preserve">"4        Chek Valve  S.S 304</t>
    </r>
  </si>
  <si>
    <t xml:space="preserve">31271466</t>
  </si>
  <si>
    <r>
      <rPr>
        <sz val="10"/>
        <rFont val="FreeSans"/>
        <family val="2"/>
      </rPr>
      <t xml:space="preserve">شیر توپی استیل فلنجدار      </t>
    </r>
    <r>
      <rPr>
        <sz val="10"/>
        <rFont val="Vazirmatn"/>
        <family val="0"/>
        <charset val="1"/>
      </rPr>
      <t xml:space="preserve">" 4</t>
    </r>
  </si>
  <si>
    <t xml:space="preserve">31271467</t>
  </si>
  <si>
    <r>
      <rPr>
        <sz val="10"/>
        <rFont val="FreeSans"/>
        <family val="2"/>
      </rPr>
      <t xml:space="preserve">شیر بین فلنجی استیل      </t>
    </r>
    <r>
      <rPr>
        <sz val="10"/>
        <rFont val="Vazirmatn"/>
        <family val="0"/>
        <charset val="1"/>
      </rPr>
      <t xml:space="preserve">" 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2</t>
    </r>
  </si>
  <si>
    <t xml:space="preserve">31271474</t>
  </si>
  <si>
    <r>
      <rPr>
        <sz val="10"/>
        <rFont val="FreeSans"/>
        <family val="2"/>
      </rPr>
      <t xml:space="preserve">شیر توپی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فلنجدار کلاس </t>
    </r>
    <r>
      <rPr>
        <sz val="10"/>
        <rFont val="Vazirmatn"/>
        <family val="0"/>
        <charset val="1"/>
      </rPr>
      <t xml:space="preserve">150  " 2</t>
    </r>
  </si>
  <si>
    <t xml:space="preserve">31271486</t>
  </si>
  <si>
    <r>
      <rPr>
        <sz val="10"/>
        <rFont val="FreeSans"/>
        <family val="2"/>
      </rPr>
      <t xml:space="preserve">شیر استیل فنر دار آبسرد کن </t>
    </r>
    <r>
      <rPr>
        <sz val="10"/>
        <rFont val="Vazirmatn"/>
        <family val="0"/>
        <charset val="1"/>
      </rPr>
      <t xml:space="preserve">" 1/4</t>
    </r>
  </si>
  <si>
    <t xml:space="preserve">31271488</t>
  </si>
  <si>
    <r>
      <rPr>
        <sz val="10"/>
        <rFont val="FreeSans"/>
        <family val="2"/>
      </rPr>
      <t xml:space="preserve">روتامتر </t>
    </r>
    <r>
      <rPr>
        <sz val="10"/>
        <rFont val="Vazirmatn"/>
        <family val="0"/>
        <charset val="1"/>
      </rPr>
      <t xml:space="preserve">60 </t>
    </r>
    <r>
      <rPr>
        <sz val="10"/>
        <rFont val="FreeSans"/>
        <family val="2"/>
      </rPr>
      <t xml:space="preserve">متر مکعب </t>
    </r>
    <r>
      <rPr>
        <sz val="10"/>
        <rFont val="Vazirmatn"/>
        <family val="0"/>
        <charset val="1"/>
      </rPr>
      <t xml:space="preserve">U PVC </t>
    </r>
    <r>
      <rPr>
        <sz val="10"/>
        <rFont val="FreeSans"/>
        <family val="2"/>
      </rPr>
      <t xml:space="preserve">با فلومتر </t>
    </r>
    <r>
      <rPr>
        <sz val="10"/>
        <rFont val="Vazirmatn"/>
        <family val="0"/>
        <charset val="1"/>
      </rPr>
      <t xml:space="preserve">"1/2 2 </t>
    </r>
    <r>
      <rPr>
        <sz val="10"/>
        <rFont val="FreeSans"/>
        <family val="2"/>
      </rPr>
      <t xml:space="preserve">و فلنج </t>
    </r>
    <r>
      <rPr>
        <sz val="10"/>
        <rFont val="Vazirmatn"/>
        <family val="0"/>
        <charset val="1"/>
      </rPr>
      <t xml:space="preserve">"3</t>
    </r>
  </si>
  <si>
    <t xml:space="preserve">31271490</t>
  </si>
  <si>
    <r>
      <rPr>
        <sz val="10"/>
        <rFont val="FreeSans"/>
        <family val="2"/>
      </rPr>
      <t xml:space="preserve">شیر پیسوار   </t>
    </r>
    <r>
      <rPr>
        <sz val="10"/>
        <rFont val="Vazirmatn"/>
        <family val="0"/>
        <charset val="1"/>
      </rPr>
      <t xml:space="preserve">"3/4</t>
    </r>
  </si>
  <si>
    <t xml:space="preserve">31271499</t>
  </si>
  <si>
    <r>
      <rPr>
        <sz val="10"/>
        <rFont val="FreeSans"/>
        <family val="2"/>
      </rPr>
      <t xml:space="preserve">شیر پیسوار   </t>
    </r>
    <r>
      <rPr>
        <sz val="10"/>
        <rFont val="Vazirmatn"/>
        <family val="0"/>
        <charset val="1"/>
      </rPr>
      <t xml:space="preserve">"1/2</t>
    </r>
  </si>
  <si>
    <t xml:space="preserve">31271501</t>
  </si>
  <si>
    <r>
      <rPr>
        <sz val="10"/>
        <rFont val="FreeSans"/>
        <family val="2"/>
      </rPr>
      <t xml:space="preserve">شیر فلکه سوزنی آهنی  </t>
    </r>
    <r>
      <rPr>
        <sz val="10"/>
        <rFont val="Vazirmatn"/>
        <family val="0"/>
        <charset val="1"/>
      </rPr>
      <t xml:space="preserve">" 10</t>
    </r>
  </si>
  <si>
    <t xml:space="preserve">31271502</t>
  </si>
  <si>
    <r>
      <rPr>
        <sz val="10"/>
        <rFont val="FreeSans"/>
        <family val="2"/>
      </rPr>
      <t xml:space="preserve">شیر صافی آهنی بخار فلنج دار کلاس </t>
    </r>
    <r>
      <rPr>
        <sz val="10"/>
        <rFont val="Vazirmatn"/>
        <family val="0"/>
        <charset val="1"/>
      </rPr>
      <t xml:space="preserve">150  "6</t>
    </r>
  </si>
  <si>
    <t xml:space="preserve">31271503</t>
  </si>
  <si>
    <r>
      <rPr>
        <sz val="10"/>
        <rFont val="FreeSans"/>
        <family val="2"/>
      </rPr>
      <t xml:space="preserve">شیر تخلیه پنوماتیک دیگ بخار </t>
    </r>
    <r>
      <rPr>
        <sz val="10"/>
        <rFont val="Vazirmatn"/>
        <family val="0"/>
        <charset val="1"/>
      </rPr>
      <t xml:space="preserve">" 2</t>
    </r>
  </si>
  <si>
    <t xml:space="preserve">31271504</t>
  </si>
  <si>
    <r>
      <rPr>
        <sz val="10"/>
        <rFont val="FreeSans"/>
        <family val="2"/>
      </rPr>
      <t xml:space="preserve">شیر آچاری فلنج دار               </t>
    </r>
    <r>
      <rPr>
        <sz val="10"/>
        <rFont val="Vazirmatn"/>
        <family val="0"/>
        <charset val="1"/>
      </rPr>
      <t xml:space="preserve">"1</t>
    </r>
  </si>
  <si>
    <t xml:space="preserve">31271506</t>
  </si>
  <si>
    <r>
      <rPr>
        <sz val="10"/>
        <rFont val="FreeSans"/>
        <family val="2"/>
      </rPr>
      <t xml:space="preserve">شیر فلکه سوزنی  فولادی فلنجدار   </t>
    </r>
    <r>
      <rPr>
        <sz val="10"/>
        <rFont val="Vazirmatn"/>
        <family val="0"/>
        <charset val="1"/>
      </rPr>
      <t xml:space="preserve">"3/4</t>
    </r>
  </si>
  <si>
    <t xml:space="preserve">31271510</t>
  </si>
  <si>
    <t xml:space="preserve">شیر مخلوط  دیواری دست شوئی</t>
  </si>
  <si>
    <t xml:space="preserve">31271512</t>
  </si>
  <si>
    <r>
      <rPr>
        <sz val="10"/>
        <rFont val="FreeSans"/>
        <family val="2"/>
      </rPr>
      <t xml:space="preserve">شیر استیل سه راهی گاز      </t>
    </r>
    <r>
      <rPr>
        <sz val="10"/>
        <rFont val="Vazirmatn"/>
        <family val="0"/>
        <charset val="1"/>
      </rPr>
      <t xml:space="preserve">"1/2</t>
    </r>
  </si>
  <si>
    <t xml:space="preserve">31271513</t>
  </si>
  <si>
    <t xml:space="preserve">شیر مخلوط  کاسه ای دست شویی</t>
  </si>
  <si>
    <t xml:space="preserve">31271517</t>
  </si>
  <si>
    <t xml:space="preserve">شیر تکی تو کاسه ای</t>
  </si>
  <si>
    <t xml:space="preserve">31271519</t>
  </si>
  <si>
    <r>
      <rPr>
        <sz val="10"/>
        <rFont val="FreeSans"/>
        <family val="2"/>
      </rPr>
      <t xml:space="preserve">فلومتر  </t>
    </r>
    <r>
      <rPr>
        <sz val="10"/>
        <rFont val="Vazirmatn"/>
        <family val="0"/>
        <charset val="1"/>
      </rPr>
      <t xml:space="preserve">" 1  Krohne - NL - 3313LC  DN 25</t>
    </r>
  </si>
  <si>
    <t xml:space="preserve">31271522</t>
  </si>
  <si>
    <t xml:space="preserve">کپسول آرگون</t>
  </si>
  <si>
    <t xml:space="preserve">31271524</t>
  </si>
  <si>
    <r>
      <rPr>
        <sz val="10"/>
        <rFont val="FreeSans"/>
        <family val="2"/>
      </rPr>
      <t xml:space="preserve">شیر فلکه کشوئی برنجی  دنده ای   </t>
    </r>
    <r>
      <rPr>
        <sz val="10"/>
        <rFont val="Vazirmatn"/>
        <family val="0"/>
        <charset val="1"/>
      </rPr>
      <t xml:space="preserve">" 1</t>
    </r>
  </si>
  <si>
    <t xml:space="preserve">31271526</t>
  </si>
  <si>
    <r>
      <rPr>
        <sz val="10"/>
        <rFont val="FreeSans"/>
        <family val="2"/>
      </rPr>
      <t xml:space="preserve">فلومتر پرسی مانک </t>
    </r>
    <r>
      <rPr>
        <sz val="10"/>
        <rFont val="Vazirmatn"/>
        <family val="0"/>
        <charset val="1"/>
      </rPr>
      <t xml:space="preserve">" 1/2 2  </t>
    </r>
    <r>
      <rPr>
        <sz val="10"/>
        <rFont val="FreeSans"/>
        <family val="2"/>
      </rPr>
      <t xml:space="preserve">تغذیه  </t>
    </r>
    <r>
      <rPr>
        <sz val="10"/>
        <rFont val="Vazirmatn"/>
        <family val="0"/>
        <charset val="1"/>
      </rPr>
      <t xml:space="preserve">24V DC</t>
    </r>
  </si>
  <si>
    <t xml:space="preserve">31271531</t>
  </si>
  <si>
    <r>
      <rPr>
        <sz val="10"/>
        <rFont val="FreeSans"/>
        <family val="2"/>
      </rPr>
      <t xml:space="preserve">شیر یکضرب استیل ملخ دار           </t>
    </r>
    <r>
      <rPr>
        <sz val="10"/>
        <rFont val="Vazirmatn"/>
        <family val="0"/>
        <charset val="1"/>
      </rPr>
      <t xml:space="preserve">" 4</t>
    </r>
  </si>
  <si>
    <t xml:space="preserve">31271532</t>
  </si>
  <si>
    <r>
      <rPr>
        <sz val="10"/>
        <rFont val="FreeSans"/>
        <family val="2"/>
      </rPr>
      <t xml:space="preserve">شیر توپی  استیل فنج دار </t>
    </r>
    <r>
      <rPr>
        <sz val="10"/>
        <rFont val="Vazirmatn"/>
        <family val="0"/>
        <charset val="1"/>
      </rPr>
      <t xml:space="preserve">"6</t>
    </r>
  </si>
  <si>
    <t xml:space="preserve">31271534</t>
  </si>
  <si>
    <r>
      <rPr>
        <sz val="10"/>
        <rFont val="FreeSans"/>
        <family val="2"/>
      </rPr>
      <t xml:space="preserve">شیر توپی استیل  فلنجدار   </t>
    </r>
    <r>
      <rPr>
        <sz val="10"/>
        <rFont val="Vazirmatn"/>
        <family val="0"/>
        <charset val="1"/>
      </rPr>
      <t xml:space="preserve">"3/4</t>
    </r>
  </si>
  <si>
    <t xml:space="preserve">31271562</t>
  </si>
  <si>
    <r>
      <rPr>
        <sz val="10"/>
        <rFont val="FreeSans"/>
        <family val="2"/>
      </rPr>
      <t xml:space="preserve">شیر آذین مهره ماسوره دار        </t>
    </r>
    <r>
      <rPr>
        <sz val="10"/>
        <rFont val="Vazirmatn"/>
        <family val="0"/>
        <charset val="1"/>
      </rPr>
      <t xml:space="preserve">" 3/4</t>
    </r>
  </si>
  <si>
    <t xml:space="preserve">31271567</t>
  </si>
  <si>
    <r>
      <rPr>
        <sz val="10"/>
        <rFont val="FreeSans"/>
        <family val="2"/>
      </rPr>
      <t xml:space="preserve">شیر آذین           </t>
    </r>
    <r>
      <rPr>
        <sz val="10"/>
        <rFont val="Vazirmatn"/>
        <family val="0"/>
        <charset val="1"/>
      </rPr>
      <t xml:space="preserve">32</t>
    </r>
  </si>
  <si>
    <t xml:space="preserve">31271568</t>
  </si>
  <si>
    <r>
      <rPr>
        <sz val="10"/>
        <rFont val="FreeSans"/>
        <family val="2"/>
      </rPr>
      <t xml:space="preserve">شیر آذین                             </t>
    </r>
    <r>
      <rPr>
        <sz val="10"/>
        <rFont val="Vazirmatn"/>
        <family val="0"/>
        <charset val="1"/>
      </rPr>
      <t xml:space="preserve">"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</si>
  <si>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31271569</t>
  </si>
  <si>
    <r>
      <rPr>
        <sz val="10"/>
        <rFont val="FreeSans"/>
        <family val="2"/>
      </rPr>
      <t xml:space="preserve">شیر آذین مهره ماسوره دار         </t>
    </r>
    <r>
      <rPr>
        <sz val="10"/>
        <rFont val="Vazirmatn"/>
        <family val="0"/>
        <charset val="1"/>
      </rPr>
      <t xml:space="preserve">" 1/2</t>
    </r>
  </si>
  <si>
    <t xml:space="preserve">31271571</t>
  </si>
  <si>
    <r>
      <rPr>
        <sz val="10"/>
        <rFont val="FreeSans"/>
        <family val="2"/>
      </rPr>
      <t xml:space="preserve">شیر یکضرب برنجی  دنده ای     </t>
    </r>
    <r>
      <rPr>
        <sz val="10"/>
        <rFont val="Vazirmatn"/>
        <family val="0"/>
        <charset val="1"/>
      </rPr>
      <t xml:space="preserve">" 1</t>
    </r>
  </si>
  <si>
    <t xml:space="preserve">31271573</t>
  </si>
  <si>
    <r>
      <rPr>
        <sz val="10"/>
        <rFont val="FreeSans"/>
        <family val="2"/>
      </rPr>
      <t xml:space="preserve">شیر یکضرب برنجی  دنده ای    </t>
    </r>
    <r>
      <rPr>
        <sz val="10"/>
        <rFont val="Vazirmatn"/>
        <family val="0"/>
        <charset val="1"/>
      </rPr>
      <t xml:space="preserve">" 3</t>
    </r>
  </si>
  <si>
    <t xml:space="preserve">31271581</t>
  </si>
  <si>
    <r>
      <rPr>
        <sz val="10"/>
        <rFont val="FreeSans"/>
        <family val="2"/>
      </rPr>
      <t xml:space="preserve">شیر آذین مهره ماسوره دار   </t>
    </r>
    <r>
      <rPr>
        <sz val="10"/>
        <rFont val="Vazirmatn"/>
        <family val="0"/>
        <charset val="1"/>
      </rPr>
      <t xml:space="preserve">"1/2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</t>
    </r>
  </si>
  <si>
    <t xml:space="preserve">31271583</t>
  </si>
  <si>
    <r>
      <rPr>
        <sz val="10"/>
        <rFont val="FreeSans"/>
        <family val="2"/>
      </rPr>
      <t xml:space="preserve">شیرفلکه  کشوئی  برنجی              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</si>
  <si>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31271584</t>
  </si>
  <si>
    <r>
      <rPr>
        <sz val="10"/>
        <rFont val="FreeSans"/>
        <family val="2"/>
      </rPr>
      <t xml:space="preserve">شیر آذین مهره ماسوره دار جوشی   </t>
    </r>
    <r>
      <rPr>
        <sz val="10"/>
        <rFont val="Vazirmatn"/>
        <family val="0"/>
        <charset val="1"/>
      </rPr>
      <t xml:space="preserve">" 2</t>
    </r>
  </si>
  <si>
    <t xml:space="preserve">31271590</t>
  </si>
  <si>
    <r>
      <rPr>
        <sz val="10"/>
        <rFont val="FreeSans"/>
        <family val="2"/>
      </rPr>
      <t xml:space="preserve">شیر یکضرب استیل فلنجدار         </t>
    </r>
    <r>
      <rPr>
        <sz val="10"/>
        <rFont val="Vazirmatn"/>
        <family val="0"/>
        <charset val="1"/>
      </rPr>
      <t xml:space="preserve">" 6</t>
    </r>
  </si>
  <si>
    <t xml:space="preserve">31271591</t>
  </si>
  <si>
    <r>
      <rPr>
        <sz val="10"/>
        <rFont val="FreeSans"/>
        <family val="2"/>
      </rPr>
      <t xml:space="preserve">شیر توپی استیل فلنجدار کلاس </t>
    </r>
    <r>
      <rPr>
        <sz val="10"/>
        <rFont val="Vazirmatn"/>
        <family val="0"/>
        <charset val="1"/>
      </rPr>
      <t xml:space="preserve">150  " 1</t>
    </r>
  </si>
  <si>
    <t xml:space="preserve">31271592</t>
  </si>
  <si>
    <r>
      <rPr>
        <sz val="10"/>
        <rFont val="FreeSans"/>
        <family val="2"/>
      </rPr>
      <t xml:space="preserve">شیر یکضرب استیل  دنده ای     </t>
    </r>
    <r>
      <rPr>
        <sz val="10"/>
        <rFont val="Vazirmatn"/>
        <family val="0"/>
        <charset val="1"/>
      </rPr>
      <t xml:space="preserve">" 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</si>
  <si>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31271596</t>
  </si>
  <si>
    <r>
      <rPr>
        <sz val="10"/>
        <rFont val="FreeSans"/>
        <family val="2"/>
      </rPr>
      <t xml:space="preserve">شیر توپی استیل فلنجدار  کلاس </t>
    </r>
    <r>
      <rPr>
        <sz val="10"/>
        <rFont val="Vazirmatn"/>
        <family val="0"/>
        <charset val="1"/>
      </rPr>
      <t xml:space="preserve">150                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</si>
  <si>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31271599</t>
  </si>
  <si>
    <r>
      <rPr>
        <sz val="10"/>
        <rFont val="FreeSans"/>
        <family val="2"/>
      </rPr>
      <t xml:space="preserve">شیر یکضرب  </t>
    </r>
    <r>
      <rPr>
        <sz val="10"/>
        <rFont val="Vazirmatn"/>
        <family val="0"/>
        <charset val="1"/>
      </rPr>
      <t xml:space="preserve">UPVC  1/2</t>
    </r>
  </si>
  <si>
    <t xml:space="preserve">31271600</t>
  </si>
  <si>
    <r>
      <rPr>
        <sz val="10"/>
        <rFont val="FreeSans"/>
        <family val="2"/>
      </rPr>
      <t xml:space="preserve">شیریکطرفه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بین فلنجی      </t>
    </r>
    <r>
      <rPr>
        <sz val="10"/>
        <rFont val="Vazirmatn"/>
        <family val="0"/>
        <charset val="1"/>
      </rPr>
      <t xml:space="preserve">"1.1/4       Chek Valve  S.S 304</t>
    </r>
  </si>
  <si>
    <t xml:space="preserve">31271601</t>
  </si>
  <si>
    <t xml:space="preserve">دسته شیر مخلوط</t>
  </si>
  <si>
    <t xml:space="preserve">31271602</t>
  </si>
  <si>
    <r>
      <rPr>
        <sz val="10"/>
        <rFont val="FreeSans"/>
        <family val="2"/>
      </rPr>
      <t xml:space="preserve">دسته شیر اهرمی حمام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کارتریج </t>
    </r>
    <r>
      <rPr>
        <sz val="10"/>
        <rFont val="Vazirmatn"/>
        <family val="0"/>
        <charset val="1"/>
      </rPr>
      <t xml:space="preserve">40 )</t>
    </r>
  </si>
  <si>
    <t xml:space="preserve">31271604</t>
  </si>
  <si>
    <r>
      <rPr>
        <sz val="10"/>
        <rFont val="FreeSans"/>
        <family val="2"/>
      </rPr>
      <t xml:space="preserve">دسته شیر اهرمی حمام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کارتریج </t>
    </r>
    <r>
      <rPr>
        <sz val="10"/>
        <rFont val="Vazirmatn"/>
        <family val="0"/>
        <charset val="1"/>
      </rPr>
      <t xml:space="preserve">35 )</t>
    </r>
  </si>
  <si>
    <t xml:space="preserve">31271605</t>
  </si>
  <si>
    <r>
      <rPr>
        <sz val="10"/>
        <rFont val="FreeSans"/>
        <family val="2"/>
      </rPr>
      <t xml:space="preserve">دسته شیر اهرمی حمام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کارتریج </t>
    </r>
    <r>
      <rPr>
        <sz val="10"/>
        <rFont val="Vazirmatn"/>
        <family val="0"/>
        <charset val="1"/>
      </rPr>
      <t xml:space="preserve">25 )</t>
    </r>
  </si>
  <si>
    <t xml:space="preserve">31271608</t>
  </si>
  <si>
    <r>
      <rPr>
        <sz val="10"/>
        <rFont val="FreeSans"/>
        <family val="2"/>
      </rPr>
      <t xml:space="preserve">شیر یکطرفه فلنجدار آهنی  </t>
    </r>
    <r>
      <rPr>
        <sz val="10"/>
        <rFont val="Vazirmatn"/>
        <family val="0"/>
        <charset val="1"/>
      </rPr>
      <t xml:space="preserve">" 3</t>
    </r>
  </si>
  <si>
    <t xml:space="preserve">31271610</t>
  </si>
  <si>
    <r>
      <rPr>
        <sz val="10"/>
        <rFont val="FreeSans"/>
        <family val="2"/>
      </rPr>
      <t xml:space="preserve">شیر یکطرفه فلنجدار آهنی  </t>
    </r>
    <r>
      <rPr>
        <sz val="10"/>
        <rFont val="Vazirmatn"/>
        <family val="0"/>
        <charset val="1"/>
      </rPr>
      <t xml:space="preserve">" 4</t>
    </r>
  </si>
  <si>
    <t xml:space="preserve">31271622</t>
  </si>
  <si>
    <r>
      <rPr>
        <sz val="10"/>
        <rFont val="FreeSans"/>
        <family val="2"/>
      </rPr>
      <t xml:space="preserve">شیر فلکه کشویی فلنجدار آهنی  </t>
    </r>
    <r>
      <rPr>
        <sz val="10"/>
        <rFont val="Vazirmatn"/>
        <family val="0"/>
        <charset val="1"/>
      </rPr>
      <t xml:space="preserve">" 12</t>
    </r>
  </si>
  <si>
    <t xml:space="preserve">31271627</t>
  </si>
  <si>
    <r>
      <rPr>
        <sz val="10"/>
        <rFont val="FreeSans"/>
        <family val="2"/>
      </rPr>
      <t xml:space="preserve">شیر یکضرب استیل  دنده ای     </t>
    </r>
    <r>
      <rPr>
        <sz val="10"/>
        <rFont val="Vazirmatn"/>
        <family val="0"/>
        <charset val="1"/>
      </rPr>
      <t xml:space="preserve">" 1/2 2</t>
    </r>
  </si>
  <si>
    <t xml:space="preserve">31271630</t>
  </si>
  <si>
    <r>
      <rPr>
        <sz val="10"/>
        <rFont val="FreeSans"/>
        <family val="2"/>
      </rPr>
      <t xml:space="preserve">شیر یکضرب دنده ای استیل </t>
    </r>
    <r>
      <rPr>
        <sz val="10"/>
        <rFont val="Vazirmatn"/>
        <family val="0"/>
        <charset val="1"/>
      </rPr>
      <t xml:space="preserve">304       " 2</t>
    </r>
  </si>
  <si>
    <t xml:space="preserve">31271631</t>
  </si>
  <si>
    <r>
      <rPr>
        <sz val="10"/>
        <rFont val="FreeSans"/>
        <family val="2"/>
      </rPr>
      <t xml:space="preserve">شیریکطرفه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بین فلنجی      </t>
    </r>
    <r>
      <rPr>
        <sz val="10"/>
        <rFont val="Vazirmatn"/>
        <family val="0"/>
        <charset val="1"/>
      </rPr>
      <t xml:space="preserve">"6       Chek Valve  S.S 304</t>
    </r>
  </si>
  <si>
    <t xml:space="preserve">31271635</t>
  </si>
  <si>
    <r>
      <rPr>
        <sz val="10"/>
        <rFont val="FreeSans"/>
        <family val="2"/>
      </rPr>
      <t xml:space="preserve">شیر فلکه کشوئی برنجی  دنده ای     </t>
    </r>
    <r>
      <rPr>
        <sz val="10"/>
        <rFont val="Vazirmatn"/>
        <family val="0"/>
        <charset val="1"/>
      </rPr>
      <t xml:space="preserve">" 3</t>
    </r>
  </si>
  <si>
    <t xml:space="preserve">31271644</t>
  </si>
  <si>
    <r>
      <rPr>
        <sz val="10"/>
        <rFont val="FreeSans"/>
        <family val="2"/>
      </rPr>
      <t xml:space="preserve">شیر فلکه کشوی فولادی فلنجدار     </t>
    </r>
    <r>
      <rPr>
        <sz val="10"/>
        <rFont val="Vazirmatn"/>
        <family val="0"/>
        <charset val="1"/>
      </rPr>
      <t xml:space="preserve">" 2</t>
    </r>
  </si>
  <si>
    <t xml:space="preserve">31271645</t>
  </si>
  <si>
    <r>
      <rPr>
        <sz val="10"/>
        <rFont val="FreeSans"/>
        <family val="2"/>
      </rPr>
      <t xml:space="preserve">والو  سه راهی دیگ بخار              </t>
    </r>
    <r>
      <rPr>
        <sz val="10"/>
        <rFont val="Vazirmatn"/>
        <family val="0"/>
        <charset val="1"/>
      </rPr>
      <t xml:space="preserve">" 2</t>
    </r>
  </si>
  <si>
    <t xml:space="preserve">31271648</t>
  </si>
  <si>
    <r>
      <rPr>
        <sz val="10"/>
        <rFont val="FreeSans"/>
        <family val="2"/>
      </rPr>
      <t xml:space="preserve">شیر یکطرفه سوزنی آهنی فلنجدار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</si>
  <si>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31271649</t>
  </si>
  <si>
    <r>
      <rPr>
        <sz val="10"/>
        <rFont val="FreeSans"/>
        <family val="2"/>
      </rPr>
      <t xml:space="preserve">شیر یکضرب فلنج دار مهره ماسوره ای  </t>
    </r>
    <r>
      <rPr>
        <sz val="10"/>
        <rFont val="Vazirmatn"/>
        <family val="0"/>
        <charset val="1"/>
      </rPr>
      <t xml:space="preserve">"1/2 1  UPVC</t>
    </r>
  </si>
  <si>
    <t xml:space="preserve">31271650</t>
  </si>
  <si>
    <r>
      <rPr>
        <sz val="10"/>
        <rFont val="FreeSans"/>
        <family val="2"/>
      </rPr>
      <t xml:space="preserve">شیر یکضرب فلنج دار مهره ماسوره ای  </t>
    </r>
    <r>
      <rPr>
        <sz val="10"/>
        <rFont val="Vazirmatn"/>
        <family val="0"/>
        <charset val="1"/>
      </rPr>
      <t xml:space="preserve">" 1  UPVC</t>
    </r>
  </si>
  <si>
    <t xml:space="preserve">31271653</t>
  </si>
  <si>
    <r>
      <rPr>
        <sz val="10"/>
        <rFont val="FreeSans"/>
        <family val="2"/>
      </rPr>
      <t xml:space="preserve">شیریکطرفه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بین فلنجی       </t>
    </r>
    <r>
      <rPr>
        <sz val="10"/>
        <rFont val="Vazirmatn"/>
        <family val="0"/>
        <charset val="1"/>
      </rPr>
      <t xml:space="preserve">"2        Chek Valve  S.S 304</t>
    </r>
  </si>
  <si>
    <t xml:space="preserve">31271654</t>
  </si>
  <si>
    <r>
      <rPr>
        <sz val="10"/>
        <rFont val="FreeSans"/>
        <family val="2"/>
      </rPr>
      <t xml:space="preserve">شیر کشویی آهنی  </t>
    </r>
    <r>
      <rPr>
        <sz val="10"/>
        <rFont val="Vazirmatn"/>
        <family val="0"/>
        <charset val="1"/>
      </rPr>
      <t xml:space="preserve">"3</t>
    </r>
  </si>
  <si>
    <t xml:space="preserve">31271659</t>
  </si>
  <si>
    <r>
      <rPr>
        <sz val="10"/>
        <rFont val="FreeSans"/>
        <family val="2"/>
      </rPr>
      <t xml:space="preserve">شیر مهره ماسوره ای پلی اتیلن </t>
    </r>
    <r>
      <rPr>
        <sz val="10"/>
        <rFont val="Vazirmatn"/>
        <family val="0"/>
        <charset val="1"/>
      </rPr>
      <t xml:space="preserve">" 1 ( </t>
    </r>
    <r>
      <rPr>
        <sz val="10"/>
        <rFont val="FreeSans"/>
        <family val="2"/>
      </rPr>
      <t xml:space="preserve">مخصوص آبیاری </t>
    </r>
    <r>
      <rPr>
        <sz val="10"/>
        <rFont val="Vazirmatn"/>
        <family val="0"/>
        <charset val="1"/>
      </rPr>
      <t xml:space="preserve">)</t>
    </r>
  </si>
  <si>
    <t xml:space="preserve">31271663</t>
  </si>
  <si>
    <r>
      <rPr>
        <sz val="10"/>
        <rFont val="FreeSans"/>
        <family val="2"/>
      </rPr>
      <t xml:space="preserve">شیر یکضرب پلی اتیلن      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</si>
  <si>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31271665</t>
  </si>
  <si>
    <r>
      <rPr>
        <sz val="10"/>
        <rFont val="FreeSans"/>
        <family val="2"/>
      </rPr>
      <t xml:space="preserve">شیر یکضرب برنجی   </t>
    </r>
    <r>
      <rPr>
        <sz val="10"/>
        <rFont val="Vazirmatn"/>
        <family val="0"/>
        <charset val="1"/>
      </rPr>
      <t xml:space="preserve">" 3/8</t>
    </r>
  </si>
  <si>
    <t xml:space="preserve">31271668</t>
  </si>
  <si>
    <r>
      <rPr>
        <sz val="10"/>
        <rFont val="FreeSans"/>
        <family val="2"/>
      </rPr>
      <t xml:space="preserve">شیر سوزنی آهنی  فلنجدار       </t>
    </r>
    <r>
      <rPr>
        <sz val="10"/>
        <rFont val="Vazirmatn"/>
        <family val="0"/>
        <charset val="1"/>
      </rPr>
      <t xml:space="preserve">" 1</t>
    </r>
  </si>
  <si>
    <t xml:space="preserve">31271669</t>
  </si>
  <si>
    <r>
      <rPr>
        <sz val="10"/>
        <rFont val="FreeSans"/>
        <family val="2"/>
      </rPr>
      <t xml:space="preserve">شیر یکضرب </t>
    </r>
    <r>
      <rPr>
        <sz val="10"/>
        <rFont val="Vazirmatn"/>
        <family val="0"/>
        <charset val="1"/>
      </rPr>
      <t xml:space="preserve">" 3/4    ( ABS )</t>
    </r>
  </si>
  <si>
    <t xml:space="preserve">31271670</t>
  </si>
  <si>
    <r>
      <rPr>
        <sz val="10"/>
        <rFont val="FreeSans"/>
        <family val="2"/>
      </rPr>
      <t xml:space="preserve">شیر یکضرب </t>
    </r>
    <r>
      <rPr>
        <sz val="10"/>
        <rFont val="Vazirmatn"/>
        <family val="0"/>
        <charset val="1"/>
      </rPr>
      <t xml:space="preserve">" 1/2    ( ABS )</t>
    </r>
  </si>
  <si>
    <t xml:space="preserve">31271671</t>
  </si>
  <si>
    <r>
      <rPr>
        <sz val="10"/>
        <rFont val="FreeSans"/>
        <family val="2"/>
      </rPr>
      <t xml:space="preserve">شیر یکضرب </t>
    </r>
    <r>
      <rPr>
        <sz val="10"/>
        <rFont val="Vazirmatn"/>
        <family val="0"/>
        <charset val="1"/>
      </rPr>
      <t xml:space="preserve">" 1        ( ABS )</t>
    </r>
  </si>
  <si>
    <t xml:space="preserve">31271678</t>
  </si>
  <si>
    <r>
      <rPr>
        <sz val="10"/>
        <rFont val="FreeSans"/>
        <family val="2"/>
      </rPr>
      <t xml:space="preserve">شیر یکضرب کشوئی </t>
    </r>
    <r>
      <rPr>
        <sz val="10"/>
        <rFont val="Vazirmatn"/>
        <family val="0"/>
        <charset val="1"/>
      </rPr>
      <t xml:space="preserve">" 1/2    ( ABS )</t>
    </r>
  </si>
  <si>
    <t xml:space="preserve">31271680</t>
  </si>
  <si>
    <r>
      <rPr>
        <sz val="10"/>
        <rFont val="FreeSans"/>
        <family val="2"/>
      </rPr>
      <t xml:space="preserve">والو چدنی بخارفلنجدار                   </t>
    </r>
    <r>
      <rPr>
        <sz val="10"/>
        <rFont val="Vazirmatn"/>
        <family val="0"/>
        <charset val="1"/>
      </rPr>
      <t xml:space="preserve">"6</t>
    </r>
  </si>
  <si>
    <t xml:space="preserve">31271682</t>
  </si>
  <si>
    <r>
      <rPr>
        <sz val="10"/>
        <rFont val="FreeSans"/>
        <family val="2"/>
      </rPr>
      <t xml:space="preserve">شیر یکطرفه </t>
    </r>
    <r>
      <rPr>
        <sz val="10"/>
        <rFont val="Vazirmatn"/>
        <family val="0"/>
        <charset val="1"/>
      </rPr>
      <t xml:space="preserve">" 3 ( CHECK VALVE  CPVC DN 80 )</t>
    </r>
  </si>
  <si>
    <t xml:space="preserve">31271683</t>
  </si>
  <si>
    <r>
      <rPr>
        <sz val="10"/>
        <rFont val="FreeSans"/>
        <family val="2"/>
      </rPr>
      <t xml:space="preserve">شیر یکطرفه </t>
    </r>
    <r>
      <rPr>
        <sz val="10"/>
        <rFont val="Vazirmatn"/>
        <family val="0"/>
        <charset val="1"/>
      </rPr>
      <t xml:space="preserve">" 2 ( CHECK VALVE  CPVC DN 50 )</t>
    </r>
  </si>
  <si>
    <t xml:space="preserve">31271684</t>
  </si>
  <si>
    <r>
      <rPr>
        <sz val="10"/>
        <rFont val="FreeSans"/>
        <family val="2"/>
      </rPr>
      <t xml:space="preserve">شیر فلکه </t>
    </r>
    <r>
      <rPr>
        <sz val="10"/>
        <rFont val="Vazirmatn"/>
        <family val="0"/>
        <charset val="1"/>
      </rPr>
      <t xml:space="preserve">" C PVC           1</t>
    </r>
  </si>
  <si>
    <t xml:space="preserve">31271687</t>
  </si>
  <si>
    <r>
      <rPr>
        <sz val="10"/>
        <rFont val="FreeSans"/>
        <family val="2"/>
      </rPr>
      <t xml:space="preserve">شیر پروانه ای</t>
    </r>
    <r>
      <rPr>
        <sz val="10"/>
        <rFont val="Vazirmatn"/>
        <family val="0"/>
        <charset val="1"/>
      </rPr>
      <t xml:space="preserve">" C PVC          5</t>
    </r>
  </si>
  <si>
    <t xml:space="preserve">31271689</t>
  </si>
  <si>
    <r>
      <rPr>
        <sz val="10"/>
        <rFont val="FreeSans"/>
        <family val="2"/>
      </rPr>
      <t xml:space="preserve">شیر پروانه ای </t>
    </r>
    <r>
      <rPr>
        <sz val="10"/>
        <rFont val="Vazirmatn"/>
        <family val="0"/>
        <charset val="1"/>
      </rPr>
      <t xml:space="preserve">"3  (BUTTERFLY VALVE CPVC	DN 80)</t>
    </r>
  </si>
  <si>
    <t xml:space="preserve">31271694</t>
  </si>
  <si>
    <r>
      <rPr>
        <sz val="10"/>
        <rFont val="FreeSans"/>
        <family val="2"/>
      </rPr>
      <t xml:space="preserve">شیر توپی  </t>
    </r>
    <r>
      <rPr>
        <sz val="10"/>
        <rFont val="Vazirmatn"/>
        <family val="0"/>
        <charset val="1"/>
      </rPr>
      <t xml:space="preserve">" C PVC        2 , 1/2</t>
    </r>
  </si>
  <si>
    <t xml:space="preserve">31271695</t>
  </si>
  <si>
    <r>
      <rPr>
        <sz val="10"/>
        <rFont val="FreeSans"/>
        <family val="2"/>
      </rPr>
      <t xml:space="preserve">شیر توپی  </t>
    </r>
    <r>
      <rPr>
        <sz val="10"/>
        <rFont val="Vazirmatn"/>
        <family val="0"/>
        <charset val="1"/>
      </rPr>
      <t xml:space="preserve">" C PVC                2</t>
    </r>
  </si>
  <si>
    <t xml:space="preserve">31271696</t>
  </si>
  <si>
    <r>
      <rPr>
        <sz val="10"/>
        <rFont val="FreeSans"/>
        <family val="2"/>
      </rPr>
      <t xml:space="preserve">شیر توپی  </t>
    </r>
    <r>
      <rPr>
        <sz val="10"/>
        <rFont val="Vazirmatn"/>
        <family val="0"/>
        <charset val="1"/>
      </rPr>
      <t xml:space="preserve">" C PVC        1 , 1/4</t>
    </r>
  </si>
  <si>
    <t xml:space="preserve">31271697</t>
  </si>
  <si>
    <r>
      <rPr>
        <sz val="10"/>
        <rFont val="FreeSans"/>
        <family val="2"/>
      </rPr>
      <t xml:space="preserve">شیر توپی  </t>
    </r>
    <r>
      <rPr>
        <sz val="10"/>
        <rFont val="Vazirmatn"/>
        <family val="0"/>
        <charset val="1"/>
      </rPr>
      <t xml:space="preserve">" C PVC                 1</t>
    </r>
  </si>
  <si>
    <t xml:space="preserve">31271712</t>
  </si>
  <si>
    <r>
      <rPr>
        <sz val="10"/>
        <rFont val="FreeSans"/>
        <family val="2"/>
      </rPr>
      <t xml:space="preserve">شیر صافی آهنی بخار فلنج دار کلاس </t>
    </r>
    <r>
      <rPr>
        <sz val="10"/>
        <rFont val="Vazirmatn"/>
        <family val="0"/>
        <charset val="1"/>
      </rPr>
      <t xml:space="preserve">150  "1</t>
    </r>
  </si>
  <si>
    <t xml:space="preserve">31271713</t>
  </si>
  <si>
    <r>
      <rPr>
        <sz val="10"/>
        <rFont val="FreeSans"/>
        <family val="2"/>
      </rPr>
      <t xml:space="preserve">شیر صافی آهنی فلنج دار   </t>
    </r>
    <r>
      <rPr>
        <sz val="10"/>
        <rFont val="Vazirmatn"/>
        <family val="0"/>
        <charset val="1"/>
      </rPr>
      <t xml:space="preserve">"3/4</t>
    </r>
  </si>
  <si>
    <t xml:space="preserve">31271716</t>
  </si>
  <si>
    <r>
      <rPr>
        <sz val="10"/>
        <rFont val="FreeSans"/>
        <family val="2"/>
      </rPr>
      <t xml:space="preserve">شیر آذین جوشی </t>
    </r>
    <r>
      <rPr>
        <sz val="10"/>
        <rFont val="Vazirmatn"/>
        <family val="0"/>
        <charset val="1"/>
      </rPr>
      <t xml:space="preserve">" 3/4</t>
    </r>
  </si>
  <si>
    <t xml:space="preserve">31271718</t>
  </si>
  <si>
    <r>
      <rPr>
        <sz val="10"/>
        <rFont val="FreeSans"/>
        <family val="2"/>
      </rPr>
      <t xml:space="preserve">شیر چاقویی تمام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بین فلنجی   </t>
    </r>
    <r>
      <rPr>
        <sz val="10"/>
        <rFont val="Vazirmatn"/>
        <family val="0"/>
        <charset val="1"/>
      </rPr>
      <t xml:space="preserve">"6</t>
    </r>
  </si>
  <si>
    <t xml:space="preserve">31271719</t>
  </si>
  <si>
    <r>
      <rPr>
        <sz val="10"/>
        <rFont val="FreeSans"/>
        <family val="2"/>
      </rPr>
      <t xml:space="preserve">شیر چاقویی تمام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بین فلنجی   </t>
    </r>
    <r>
      <rPr>
        <sz val="10"/>
        <rFont val="Vazirmatn"/>
        <family val="0"/>
        <charset val="1"/>
      </rPr>
      <t xml:space="preserve">"4</t>
    </r>
  </si>
  <si>
    <t xml:space="preserve">31271720</t>
  </si>
  <si>
    <r>
      <rPr>
        <sz val="10"/>
        <rFont val="FreeSans"/>
        <family val="2"/>
      </rPr>
      <t xml:space="preserve">سای گلس روغن پمپ کارواش </t>
    </r>
    <r>
      <rPr>
        <sz val="10"/>
        <rFont val="Vazirmatn"/>
        <family val="0"/>
        <charset val="1"/>
      </rPr>
      <t xml:space="preserve">" 3/4</t>
    </r>
  </si>
  <si>
    <t xml:space="preserve">31271721</t>
  </si>
  <si>
    <r>
      <rPr>
        <sz val="10"/>
        <rFont val="FreeSans"/>
        <family val="2"/>
      </rPr>
      <t xml:space="preserve">سای گلس روغن پمپ کارواش </t>
    </r>
    <r>
      <rPr>
        <sz val="10"/>
        <rFont val="Vazirmatn"/>
        <family val="0"/>
        <charset val="1"/>
      </rPr>
      <t xml:space="preserve">" 1/2</t>
    </r>
  </si>
  <si>
    <t xml:space="preserve">31271722</t>
  </si>
  <si>
    <r>
      <rPr>
        <sz val="10"/>
        <rFont val="FreeSans"/>
        <family val="2"/>
      </rPr>
      <t xml:space="preserve">سای گلس روغن پمپ کارواش </t>
    </r>
    <r>
      <rPr>
        <sz val="10"/>
        <rFont val="Vazirmatn"/>
        <family val="0"/>
        <charset val="1"/>
      </rPr>
      <t xml:space="preserve">" 1</t>
    </r>
  </si>
  <si>
    <t xml:space="preserve">31271723</t>
  </si>
  <si>
    <r>
      <rPr>
        <sz val="10"/>
        <rFont val="FreeSans"/>
        <family val="2"/>
      </rPr>
      <t xml:space="preserve">شیر فلکه سوزنی فولادی دنده ای کلاس </t>
    </r>
    <r>
      <rPr>
        <sz val="10"/>
        <rFont val="Vazirmatn"/>
        <family val="0"/>
        <charset val="1"/>
      </rPr>
      <t xml:space="preserve">800 "1</t>
    </r>
  </si>
  <si>
    <t xml:space="preserve">31271724</t>
  </si>
  <si>
    <r>
      <rPr>
        <sz val="10"/>
        <rFont val="FreeSans"/>
        <family val="2"/>
      </rPr>
      <t xml:space="preserve">شیر توپی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اکچویتور خور فلنجدار کلاس </t>
    </r>
    <r>
      <rPr>
        <sz val="10"/>
        <rFont val="Vazirmatn"/>
        <family val="0"/>
        <charset val="1"/>
      </rPr>
      <t xml:space="preserve">150 "2</t>
    </r>
  </si>
  <si>
    <t xml:space="preserve">31271725</t>
  </si>
  <si>
    <r>
      <rPr>
        <sz val="10"/>
        <rFont val="FreeSans"/>
        <family val="2"/>
      </rPr>
      <t xml:space="preserve">شیر برقی برنجی دو راهه بخار </t>
    </r>
    <r>
      <rPr>
        <sz val="10"/>
        <rFont val="Vazirmatn"/>
        <family val="0"/>
        <charset val="1"/>
      </rPr>
      <t xml:space="preserve">"1 ( US-25 ) </t>
    </r>
    <r>
      <rPr>
        <sz val="10"/>
        <rFont val="FreeSans"/>
        <family val="2"/>
      </rPr>
      <t xml:space="preserve">ولتاژ </t>
    </r>
    <r>
      <rPr>
        <sz val="10"/>
        <rFont val="Vazirmatn"/>
        <family val="0"/>
        <charset val="1"/>
      </rPr>
      <t xml:space="preserve">: 220V - </t>
    </r>
    <r>
      <rPr>
        <sz val="10"/>
        <rFont val="FreeSans"/>
        <family val="2"/>
      </rPr>
      <t xml:space="preserve">دمای سیال </t>
    </r>
    <r>
      <rPr>
        <sz val="10"/>
        <rFont val="Vazirmatn"/>
        <family val="0"/>
        <charset val="1"/>
      </rPr>
      <t xml:space="preserve">185</t>
    </r>
    <r>
      <rPr>
        <sz val="10"/>
        <rFont val="FreeSans"/>
        <family val="2"/>
      </rPr>
      <t xml:space="preserve">درجه سانتی گراد</t>
    </r>
  </si>
  <si>
    <t xml:space="preserve">31271726</t>
  </si>
  <si>
    <r>
      <rPr>
        <sz val="10"/>
        <rFont val="FreeSans"/>
        <family val="2"/>
      </rPr>
      <t xml:space="preserve">شیر آذین مهره ماسوره ای </t>
    </r>
    <r>
      <rPr>
        <sz val="10"/>
        <rFont val="Vazirmatn"/>
        <family val="0"/>
        <charset val="1"/>
      </rPr>
      <t xml:space="preserve">"1</t>
    </r>
  </si>
  <si>
    <t xml:space="preserve">31271728</t>
  </si>
  <si>
    <t xml:space="preserve">شیر فشاری جای مایع</t>
  </si>
  <si>
    <t xml:space="preserve">31271732</t>
  </si>
  <si>
    <r>
      <rPr>
        <sz val="10"/>
        <rFont val="FreeSans"/>
        <family val="2"/>
      </rPr>
      <t xml:space="preserve">کنتور آب مکانیکی چدنی </t>
    </r>
    <r>
      <rPr>
        <sz val="10"/>
        <rFont val="Vazirmatn"/>
        <family val="0"/>
        <charset val="1"/>
      </rPr>
      <t xml:space="preserve">" 1/2 2</t>
    </r>
  </si>
  <si>
    <t xml:space="preserve">31271733</t>
  </si>
  <si>
    <r>
      <rPr>
        <sz val="10"/>
        <rFont val="FreeSans"/>
        <family val="2"/>
      </rPr>
      <t xml:space="preserve">فلومتر پنلی </t>
    </r>
    <r>
      <rPr>
        <sz val="10"/>
        <rFont val="Vazirmatn"/>
        <family val="0"/>
        <charset val="1"/>
      </rPr>
      <t xml:space="preserve">" LZM GMP5 ) 1/2 )</t>
    </r>
  </si>
  <si>
    <t xml:space="preserve">31271736</t>
  </si>
  <si>
    <r>
      <rPr>
        <sz val="10"/>
        <rFont val="FreeSans"/>
        <family val="2"/>
      </rPr>
      <t xml:space="preserve">فلومتر اندرس هاوزر </t>
    </r>
    <r>
      <rPr>
        <sz val="10"/>
        <rFont val="Vazirmatn"/>
        <family val="0"/>
        <charset val="1"/>
      </rPr>
      <t xml:space="preserve">"1 5P3B25-AAI Promag P300</t>
    </r>
  </si>
  <si>
    <t xml:space="preserve">31271737</t>
  </si>
  <si>
    <r>
      <rPr>
        <sz val="10"/>
        <rFont val="FreeSans"/>
        <family val="2"/>
      </rPr>
      <t xml:space="preserve">روتامتر دنده ای جورج فیشر </t>
    </r>
    <r>
      <rPr>
        <sz val="10"/>
        <rFont val="Vazirmatn"/>
        <family val="0"/>
        <charset val="1"/>
      </rPr>
      <t xml:space="preserve">" 1/2 2</t>
    </r>
  </si>
  <si>
    <t xml:space="preserve">31271739</t>
  </si>
  <si>
    <r>
      <rPr>
        <sz val="10"/>
        <rFont val="FreeSans"/>
        <family val="2"/>
      </rPr>
      <t xml:space="preserve">شیر یکضرب فلنج دار مهره ماسوره ای  </t>
    </r>
    <r>
      <rPr>
        <sz val="10"/>
        <rFont val="Vazirmatn"/>
        <family val="0"/>
        <charset val="1"/>
      </rPr>
      <t xml:space="preserve">" 2  UPVC</t>
    </r>
  </si>
  <si>
    <t xml:space="preserve">31271740</t>
  </si>
  <si>
    <r>
      <rPr>
        <sz val="10"/>
        <rFont val="FreeSans"/>
        <family val="2"/>
      </rPr>
      <t xml:space="preserve">شیر یکضرب فلنج دار مهره ماسوره ای  </t>
    </r>
    <r>
      <rPr>
        <sz val="10"/>
        <rFont val="Vazirmatn"/>
        <family val="0"/>
        <charset val="1"/>
      </rPr>
      <t xml:space="preserve">" 1/2 2  UPVC</t>
    </r>
  </si>
  <si>
    <t xml:space="preserve">31271746</t>
  </si>
  <si>
    <r>
      <rPr>
        <sz val="10"/>
        <rFont val="FreeSans"/>
        <family val="2"/>
      </rPr>
      <t xml:space="preserve">شیر یکضرب فلنج دار مهره ماسوره ای  </t>
    </r>
    <r>
      <rPr>
        <sz val="10"/>
        <rFont val="Vazirmatn"/>
        <family val="0"/>
        <charset val="1"/>
      </rPr>
      <t xml:space="preserve">" 3  UPVC</t>
    </r>
  </si>
  <si>
    <t xml:space="preserve">31271753</t>
  </si>
  <si>
    <t xml:space="preserve">کلگی شیر دوزینگ پمپ گلوکوز</t>
  </si>
  <si>
    <t xml:space="preserve">31271755</t>
  </si>
  <si>
    <r>
      <rPr>
        <sz val="10"/>
        <rFont val="FreeSans"/>
        <family val="2"/>
      </rPr>
      <t xml:space="preserve">شیر اهرمی پاورپک هیدرولیک تک کاره </t>
    </r>
    <r>
      <rPr>
        <sz val="10"/>
        <rFont val="Vazirmatn"/>
        <family val="0"/>
        <charset val="1"/>
      </rPr>
      <t xml:space="preserve">200bar </t>
    </r>
    <r>
      <rPr>
        <sz val="10"/>
        <rFont val="FreeSans"/>
        <family val="2"/>
      </rPr>
      <t xml:space="preserve">ورودی و خروجی </t>
    </r>
    <r>
      <rPr>
        <sz val="10"/>
        <rFont val="Vazirmatn"/>
        <family val="0"/>
        <charset val="1"/>
      </rPr>
      <t xml:space="preserve">"1/2</t>
    </r>
  </si>
  <si>
    <t xml:space="preserve">31271756</t>
  </si>
  <si>
    <r>
      <rPr>
        <sz val="10"/>
        <rFont val="FreeSans"/>
        <family val="2"/>
      </rPr>
      <t xml:space="preserve">شیر توپی فلنج دار استیل </t>
    </r>
    <r>
      <rPr>
        <sz val="10"/>
        <rFont val="Vazirmatn"/>
        <family val="0"/>
        <charset val="1"/>
      </rPr>
      <t xml:space="preserve">304 DN 80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</t>
    </r>
    <r>
      <rPr>
        <sz val="10"/>
        <rFont val="FreeSans"/>
        <family val="2"/>
      </rPr>
      <t xml:space="preserve">آلفا حرارتی  </t>
    </r>
    <r>
      <rPr>
        <sz val="10"/>
        <rFont val="Vazirmatn"/>
        <family val="0"/>
        <charset val="1"/>
      </rPr>
      <t xml:space="preserve">"3</t>
    </r>
  </si>
  <si>
    <t xml:space="preserve">31271759</t>
  </si>
  <si>
    <r>
      <rPr>
        <sz val="10"/>
        <rFont val="FreeSans"/>
        <family val="2"/>
      </rPr>
      <t xml:space="preserve">شیر یکطرفه فلنج دار آهنی سوپاپ دار  </t>
    </r>
    <r>
      <rPr>
        <sz val="10"/>
        <rFont val="Vazirmatn"/>
        <family val="0"/>
        <charset val="1"/>
      </rPr>
      <t xml:space="preserve">" 2</t>
    </r>
  </si>
  <si>
    <t xml:space="preserve">31271760</t>
  </si>
  <si>
    <r>
      <rPr>
        <sz val="10"/>
        <rFont val="FreeSans"/>
        <family val="2"/>
      </rPr>
      <t xml:space="preserve">سایکلاس فلنجدار                    </t>
    </r>
    <r>
      <rPr>
        <sz val="10"/>
        <rFont val="Vazirmatn"/>
        <family val="0"/>
        <charset val="1"/>
      </rPr>
      <t xml:space="preserve">" 1/2</t>
    </r>
  </si>
  <si>
    <t xml:space="preserve">31271761</t>
  </si>
  <si>
    <r>
      <rPr>
        <sz val="10"/>
        <rFont val="FreeSans"/>
        <family val="2"/>
      </rPr>
      <t xml:space="preserve">شیر یکطرفه فلنج دار آهنی سوپاپ دار  </t>
    </r>
    <r>
      <rPr>
        <sz val="10"/>
        <rFont val="Vazirmatn"/>
        <family val="0"/>
        <charset val="1"/>
      </rPr>
      <t xml:space="preserve">" 3/4</t>
    </r>
  </si>
  <si>
    <t xml:space="preserve">31271767</t>
  </si>
  <si>
    <r>
      <rPr>
        <sz val="10"/>
        <rFont val="FreeSans"/>
        <family val="2"/>
      </rPr>
      <t xml:space="preserve">شیر سوزنی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فلنج دار    </t>
    </r>
    <r>
      <rPr>
        <sz val="10"/>
        <rFont val="Vazirmatn"/>
        <family val="0"/>
        <charset val="1"/>
      </rPr>
      <t xml:space="preserve">"1/2 1</t>
    </r>
  </si>
  <si>
    <t xml:space="preserve">31271769</t>
  </si>
  <si>
    <r>
      <rPr>
        <sz val="10"/>
        <rFont val="FreeSans"/>
        <family val="2"/>
      </rPr>
      <t xml:space="preserve">شیر توپی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فلنجدار کلاس </t>
    </r>
    <r>
      <rPr>
        <sz val="10"/>
        <rFont val="Vazirmatn"/>
        <family val="0"/>
        <charset val="1"/>
      </rPr>
      <t xml:space="preserve">150  " 2</t>
    </r>
  </si>
  <si>
    <t xml:space="preserve">31271811</t>
  </si>
  <si>
    <r>
      <rPr>
        <sz val="10"/>
        <rFont val="FreeSans"/>
        <family val="2"/>
      </rPr>
      <t xml:space="preserve">شیر پروانه ای استیل صنایع شیری  </t>
    </r>
    <r>
      <rPr>
        <sz val="10"/>
        <rFont val="Vazirmatn"/>
        <family val="0"/>
        <charset val="1"/>
      </rPr>
      <t xml:space="preserve">102</t>
    </r>
  </si>
  <si>
    <t xml:space="preserve">31271812</t>
  </si>
  <si>
    <r>
      <rPr>
        <sz val="10"/>
        <rFont val="FreeSans"/>
        <family val="2"/>
      </rPr>
      <t xml:space="preserve">شیر پروانه ای استیل صنایع شیری</t>
    </r>
    <r>
      <rPr>
        <sz val="10"/>
        <rFont val="Vazirmatn"/>
        <family val="0"/>
        <charset val="1"/>
      </rPr>
      <t xml:space="preserve">76</t>
    </r>
  </si>
  <si>
    <t xml:space="preserve">31271817</t>
  </si>
  <si>
    <r>
      <rPr>
        <sz val="10"/>
        <rFont val="FreeSans"/>
        <family val="2"/>
      </rPr>
      <t xml:space="preserve">شیر پروانه ای پنوماتیک </t>
    </r>
    <r>
      <rPr>
        <sz val="10"/>
        <rFont val="Vazirmatn"/>
        <family val="0"/>
        <charset val="1"/>
      </rPr>
      <t xml:space="preserve">"1/2 1 NO </t>
    </r>
    <r>
      <rPr>
        <sz val="10"/>
        <rFont val="FreeSans"/>
        <family val="2"/>
      </rPr>
      <t xml:space="preserve">بوبین </t>
    </r>
    <r>
      <rPr>
        <sz val="10"/>
        <rFont val="Vazirmatn"/>
        <family val="0"/>
        <charset val="1"/>
      </rPr>
      <t xml:space="preserve">220V</t>
    </r>
  </si>
  <si>
    <t xml:space="preserve">31271823</t>
  </si>
  <si>
    <r>
      <rPr>
        <sz val="10"/>
        <rFont val="FreeSans"/>
        <family val="2"/>
      </rPr>
      <t xml:space="preserve">شیر برقی فستو </t>
    </r>
    <r>
      <rPr>
        <sz val="10"/>
        <rFont val="Vazirmatn"/>
        <family val="0"/>
        <charset val="1"/>
      </rPr>
      <t xml:space="preserve">MFH - 5 - 1/8 - B    5/2</t>
    </r>
  </si>
  <si>
    <t xml:space="preserve">31271827</t>
  </si>
  <si>
    <r>
      <rPr>
        <sz val="10"/>
        <rFont val="FreeSans"/>
        <family val="2"/>
      </rPr>
      <t xml:space="preserve">شیر پروانه ای زبانه آهنی  </t>
    </r>
    <r>
      <rPr>
        <sz val="10"/>
        <rFont val="Vazirmatn"/>
        <family val="0"/>
        <charset val="1"/>
      </rPr>
      <t xml:space="preserve">" 2</t>
    </r>
  </si>
  <si>
    <t xml:space="preserve">31271828</t>
  </si>
  <si>
    <r>
      <rPr>
        <sz val="10"/>
        <rFont val="FreeSans"/>
        <family val="2"/>
      </rPr>
      <t xml:space="preserve">شیر پروانه ای زبانه آهنی  </t>
    </r>
    <r>
      <rPr>
        <sz val="10"/>
        <rFont val="Vazirmatn"/>
        <family val="0"/>
        <charset val="1"/>
      </rPr>
      <t xml:space="preserve">" 5</t>
    </r>
  </si>
  <si>
    <t xml:space="preserve">31271830</t>
  </si>
  <si>
    <r>
      <rPr>
        <sz val="10"/>
        <rFont val="FreeSans"/>
        <family val="2"/>
      </rPr>
      <t xml:space="preserve">شیر پروانه ای </t>
    </r>
    <r>
      <rPr>
        <sz val="10"/>
        <rFont val="Vazirmatn"/>
        <family val="0"/>
        <charset val="1"/>
      </rPr>
      <t xml:space="preserve">"5  (BUTTERFLY VALVE UPVC	DN 125)</t>
    </r>
  </si>
  <si>
    <t xml:space="preserve">31271834</t>
  </si>
  <si>
    <r>
      <rPr>
        <sz val="10"/>
        <rFont val="FreeSans"/>
        <family val="2"/>
      </rPr>
      <t xml:space="preserve">شیر برقی سلونوئید </t>
    </r>
    <r>
      <rPr>
        <sz val="10"/>
        <rFont val="Vazirmatn"/>
        <family val="0"/>
        <charset val="1"/>
      </rPr>
      <t xml:space="preserve">5/2   110V AC  50HZ</t>
    </r>
  </si>
  <si>
    <t xml:space="preserve">31271837</t>
  </si>
  <si>
    <r>
      <rPr>
        <sz val="10"/>
        <rFont val="FreeSans"/>
        <family val="2"/>
      </rPr>
      <t xml:space="preserve">شیر یکطرفه استیل فلنجدار </t>
    </r>
    <r>
      <rPr>
        <sz val="10"/>
        <rFont val="Vazirmatn"/>
        <family val="0"/>
        <charset val="1"/>
      </rPr>
      <t xml:space="preserve">"2 ( </t>
    </r>
    <r>
      <rPr>
        <sz val="10"/>
        <rFont val="FreeSans"/>
        <family val="2"/>
      </rPr>
      <t xml:space="preserve">فشار </t>
    </r>
    <r>
      <rPr>
        <sz val="10"/>
        <rFont val="Vazirmatn"/>
        <family val="0"/>
        <charset val="1"/>
      </rPr>
      <t xml:space="preserve">10bar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20cm)</t>
    </r>
  </si>
  <si>
    <t xml:space="preserve">31271838</t>
  </si>
  <si>
    <r>
      <rPr>
        <sz val="10"/>
        <rFont val="FreeSans"/>
        <family val="2"/>
      </rPr>
      <t xml:space="preserve">شیر پروانه ای زبانه آهنی  </t>
    </r>
    <r>
      <rPr>
        <sz val="10"/>
        <rFont val="Vazirmatn"/>
        <family val="0"/>
        <charset val="1"/>
      </rPr>
      <t xml:space="preserve">" 6</t>
    </r>
  </si>
  <si>
    <t xml:space="preserve">31271839</t>
  </si>
  <si>
    <r>
      <rPr>
        <sz val="10"/>
        <rFont val="FreeSans"/>
        <family val="2"/>
      </rPr>
      <t xml:space="preserve">شیر یکطرفه سلونوئیدی </t>
    </r>
    <r>
      <rPr>
        <sz val="10"/>
        <rFont val="Vazirmatn"/>
        <family val="0"/>
        <charset val="1"/>
      </rPr>
      <t xml:space="preserve">3V 310-10-NC Air TAC</t>
    </r>
  </si>
  <si>
    <t xml:space="preserve">31271840</t>
  </si>
  <si>
    <r>
      <rPr>
        <sz val="10"/>
        <rFont val="FreeSans"/>
        <family val="2"/>
      </rPr>
      <t xml:space="preserve">شیر پیسوار    </t>
    </r>
    <r>
      <rPr>
        <sz val="10"/>
        <rFont val="Vazirmatn"/>
        <family val="0"/>
        <charset val="1"/>
      </rPr>
      <t xml:space="preserve">"3/8 * "1/2</t>
    </r>
  </si>
  <si>
    <t xml:space="preserve">31271843</t>
  </si>
  <si>
    <t xml:space="preserve">کنتور فهام ثانویه</t>
  </si>
  <si>
    <t xml:space="preserve">31271851</t>
  </si>
  <si>
    <r>
      <rPr>
        <sz val="10"/>
        <rFont val="FreeSans"/>
        <family val="2"/>
      </rPr>
      <t xml:space="preserve">شیر پروانه ای زبانه استیل </t>
    </r>
    <r>
      <rPr>
        <sz val="10"/>
        <rFont val="Vazirmatn"/>
        <family val="0"/>
        <charset val="1"/>
      </rPr>
      <t xml:space="preserve">304   "6        </t>
    </r>
    <r>
      <rPr>
        <sz val="10"/>
        <rFont val="FreeSans"/>
        <family val="2"/>
      </rPr>
      <t xml:space="preserve">برند </t>
    </r>
    <r>
      <rPr>
        <sz val="10"/>
        <rFont val="Vazirmatn"/>
        <family val="0"/>
        <charset val="1"/>
      </rPr>
      <t xml:space="preserve">BRAY</t>
    </r>
  </si>
  <si>
    <t xml:space="preserve">31271852</t>
  </si>
  <si>
    <r>
      <rPr>
        <sz val="10"/>
        <rFont val="FreeSans"/>
        <family val="2"/>
      </rPr>
      <t xml:space="preserve">شیر پروانه ای زبانه استیل </t>
    </r>
    <r>
      <rPr>
        <sz val="10"/>
        <rFont val="Vazirmatn"/>
        <family val="0"/>
        <charset val="1"/>
      </rPr>
      <t xml:space="preserve">304     "5         </t>
    </r>
    <r>
      <rPr>
        <sz val="10"/>
        <rFont val="FreeSans"/>
        <family val="2"/>
      </rPr>
      <t xml:space="preserve">برند </t>
    </r>
    <r>
      <rPr>
        <sz val="10"/>
        <rFont val="Vazirmatn"/>
        <family val="0"/>
        <charset val="1"/>
      </rPr>
      <t xml:space="preserve">Bray</t>
    </r>
  </si>
  <si>
    <t xml:space="preserve">31271856</t>
  </si>
  <si>
    <r>
      <rPr>
        <sz val="10"/>
        <rFont val="FreeSans"/>
        <family val="2"/>
      </rPr>
      <t xml:space="preserve">شیر پروانه ای </t>
    </r>
    <r>
      <rPr>
        <sz val="10"/>
        <rFont val="Vazirmatn"/>
        <family val="0"/>
        <charset val="1"/>
      </rPr>
      <t xml:space="preserve">"2  (BUTTERFLY VALVE CPVC	DN 50)</t>
    </r>
  </si>
  <si>
    <t xml:space="preserve">31271857</t>
  </si>
  <si>
    <r>
      <rPr>
        <sz val="10"/>
        <rFont val="FreeSans"/>
        <family val="2"/>
      </rPr>
      <t xml:space="preserve">شیر توپی </t>
    </r>
    <r>
      <rPr>
        <sz val="10"/>
        <rFont val="Vazirmatn"/>
        <family val="0"/>
        <charset val="1"/>
      </rPr>
      <t xml:space="preserve">" 2 ( BALL VALVE  UPVC DN 50 )</t>
    </r>
  </si>
  <si>
    <t xml:space="preserve">31271862</t>
  </si>
  <si>
    <r>
      <rPr>
        <sz val="10"/>
        <rFont val="FreeSans"/>
        <family val="2"/>
      </rPr>
      <t xml:space="preserve">شیر دروازه ای چدنی فلنج دار </t>
    </r>
    <r>
      <rPr>
        <sz val="10"/>
        <rFont val="Vazirmatn"/>
        <family val="0"/>
        <charset val="1"/>
      </rPr>
      <t xml:space="preserve">" 3   PN 16</t>
    </r>
  </si>
  <si>
    <t xml:space="preserve">31271863</t>
  </si>
  <si>
    <r>
      <rPr>
        <sz val="10"/>
        <rFont val="FreeSans"/>
        <family val="2"/>
      </rPr>
      <t xml:space="preserve">شیر کشویی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دروازه ای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فلنج دار آهنی کلاس </t>
    </r>
    <r>
      <rPr>
        <sz val="10"/>
        <rFont val="Vazirmatn"/>
        <family val="0"/>
        <charset val="1"/>
      </rPr>
      <t xml:space="preserve">150 " 4</t>
    </r>
  </si>
  <si>
    <t xml:space="preserve">31271869</t>
  </si>
  <si>
    <r>
      <rPr>
        <sz val="10"/>
        <rFont val="FreeSans"/>
        <family val="2"/>
      </rPr>
      <t xml:space="preserve">شیر پروانه ای زبانه استیل </t>
    </r>
    <r>
      <rPr>
        <sz val="10"/>
        <rFont val="Vazirmatn"/>
        <family val="0"/>
        <charset val="1"/>
      </rPr>
      <t xml:space="preserve">304     "4         </t>
    </r>
    <r>
      <rPr>
        <sz val="10"/>
        <rFont val="FreeSans"/>
        <family val="2"/>
      </rPr>
      <t xml:space="preserve">برند </t>
    </r>
    <r>
      <rPr>
        <sz val="10"/>
        <rFont val="Vazirmatn"/>
        <family val="0"/>
        <charset val="1"/>
      </rPr>
      <t xml:space="preserve">Bray</t>
    </r>
  </si>
  <si>
    <t xml:space="preserve">31271875</t>
  </si>
  <si>
    <r>
      <rPr>
        <sz val="10"/>
        <rFont val="FreeSans"/>
        <family val="2"/>
      </rPr>
      <t xml:space="preserve">شیر مهره ماسوره ای دنده ای </t>
    </r>
    <r>
      <rPr>
        <sz val="10"/>
        <rFont val="Vazirmatn"/>
        <family val="0"/>
        <charset val="1"/>
      </rPr>
      <t xml:space="preserve">" 1/2 UPVC</t>
    </r>
  </si>
  <si>
    <t xml:space="preserve">31271876</t>
  </si>
  <si>
    <r>
      <rPr>
        <sz val="10"/>
        <rFont val="FreeSans"/>
        <family val="2"/>
      </rPr>
      <t xml:space="preserve">شیر مهره ماسوره ای چسبی </t>
    </r>
    <r>
      <rPr>
        <sz val="10"/>
        <rFont val="Vazirmatn"/>
        <family val="0"/>
        <charset val="1"/>
      </rPr>
      <t xml:space="preserve">" 1/2 UPVC</t>
    </r>
  </si>
  <si>
    <t xml:space="preserve">31271878</t>
  </si>
  <si>
    <r>
      <rPr>
        <sz val="10"/>
        <rFont val="FreeSans"/>
        <family val="2"/>
      </rPr>
      <t xml:space="preserve">دایورتر ولو  </t>
    </r>
    <r>
      <rPr>
        <sz val="10"/>
        <rFont val="Vazirmatn"/>
        <family val="0"/>
        <charset val="1"/>
      </rPr>
      <t xml:space="preserve">" 4</t>
    </r>
  </si>
  <si>
    <t xml:space="preserve">31271879</t>
  </si>
  <si>
    <r>
      <rPr>
        <sz val="10"/>
        <rFont val="FreeSans"/>
        <family val="2"/>
      </rPr>
      <t xml:space="preserve">شیر توپی جورج فیشر </t>
    </r>
    <r>
      <rPr>
        <sz val="10"/>
        <rFont val="Vazirmatn"/>
        <family val="0"/>
        <charset val="1"/>
      </rPr>
      <t xml:space="preserve">( UPVC ) 161546064</t>
    </r>
  </si>
  <si>
    <t xml:space="preserve">31271880</t>
  </si>
  <si>
    <r>
      <rPr>
        <sz val="10"/>
        <rFont val="FreeSans"/>
        <family val="2"/>
      </rPr>
      <t xml:space="preserve">اکچویتور جورج فیشر </t>
    </r>
    <r>
      <rPr>
        <sz val="10"/>
        <rFont val="Vazirmatn"/>
        <family val="0"/>
        <charset val="1"/>
      </rPr>
      <t xml:space="preserve">( 179PVC-U /EPDM) 199179005</t>
    </r>
  </si>
  <si>
    <t xml:space="preserve">31271884</t>
  </si>
  <si>
    <r>
      <rPr>
        <sz val="10"/>
        <rFont val="FreeSans"/>
        <family val="2"/>
      </rPr>
      <t xml:space="preserve">شیر توپی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فلنجدار کلاس </t>
    </r>
    <r>
      <rPr>
        <sz val="10"/>
        <rFont val="Vazirmatn"/>
        <family val="0"/>
        <charset val="1"/>
      </rPr>
      <t xml:space="preserve">150  " 3</t>
    </r>
  </si>
  <si>
    <t xml:space="preserve">31271886</t>
  </si>
  <si>
    <r>
      <rPr>
        <sz val="10"/>
        <rFont val="FreeSans"/>
        <family val="2"/>
      </rPr>
      <t xml:space="preserve">شیر برقی تدریجی گاز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آلمانی </t>
    </r>
    <r>
      <rPr>
        <sz val="10"/>
        <rFont val="Vazirmatn"/>
        <family val="0"/>
        <charset val="1"/>
      </rPr>
      <t xml:space="preserve">) "MVDLE 210/5 360mbar DUNGS 1</t>
    </r>
  </si>
  <si>
    <t xml:space="preserve">31271887</t>
  </si>
  <si>
    <r>
      <rPr>
        <sz val="10"/>
        <rFont val="FreeSans"/>
        <family val="2"/>
      </rPr>
      <t xml:space="preserve">والو سوزنی بخار فلنجدار چدنی </t>
    </r>
    <r>
      <rPr>
        <sz val="10"/>
        <rFont val="Vazirmatn"/>
        <family val="0"/>
        <charset val="1"/>
      </rPr>
      <t xml:space="preserve">" 8 - PN 16 - </t>
    </r>
    <r>
      <rPr>
        <sz val="10"/>
        <rFont val="FreeSans"/>
        <family val="2"/>
      </rPr>
      <t xml:space="preserve">ارتفاع شیر </t>
    </r>
    <r>
      <rPr>
        <sz val="10"/>
        <rFont val="Vazirmatn"/>
        <family val="0"/>
        <charset val="1"/>
      </rPr>
      <t xml:space="preserve">593mm - </t>
    </r>
    <r>
      <rPr>
        <sz val="10"/>
        <rFont val="FreeSans"/>
        <family val="2"/>
      </rPr>
      <t xml:space="preserve">فاصله هر پیچ </t>
    </r>
    <r>
      <rPr>
        <sz val="10"/>
        <rFont val="Vazirmatn"/>
        <family val="0"/>
        <charset val="1"/>
      </rPr>
      <t xml:space="preserve">115mm - </t>
    </r>
    <r>
      <rPr>
        <sz val="10"/>
        <rFont val="FreeSans"/>
        <family val="2"/>
      </rPr>
      <t xml:space="preserve">متریال </t>
    </r>
    <r>
      <rPr>
        <sz val="10"/>
        <rFont val="Vazirmatn"/>
        <family val="0"/>
        <charset val="1"/>
      </rPr>
      <t xml:space="preserve">ENJL 1040</t>
    </r>
  </si>
  <si>
    <t xml:space="preserve">31271889</t>
  </si>
  <si>
    <r>
      <rPr>
        <sz val="10"/>
        <rFont val="FreeSans"/>
        <family val="2"/>
      </rPr>
      <t xml:space="preserve">شیر یکضرب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مخصوص هیدروکلون   </t>
    </r>
    <r>
      <rPr>
        <sz val="10"/>
        <rFont val="Vazirmatn"/>
        <family val="0"/>
        <charset val="1"/>
      </rPr>
      <t xml:space="preserve">" 2</t>
    </r>
  </si>
  <si>
    <t xml:space="preserve">31271891</t>
  </si>
  <si>
    <r>
      <rPr>
        <sz val="10"/>
        <rFont val="FreeSans"/>
        <family val="2"/>
      </rPr>
      <t xml:space="preserve">اکچویتر بدون شیر پروانه ای </t>
    </r>
    <r>
      <rPr>
        <sz val="10"/>
        <rFont val="Vazirmatn"/>
        <family val="0"/>
        <charset val="1"/>
      </rPr>
      <t xml:space="preserve">SIZE:6"- MATERIAL SEAT : EPDM  DISC:NDI  SER:30  STEM:S/S316  VLAS150    BODY  A536</t>
    </r>
  </si>
  <si>
    <t xml:space="preserve">31271892</t>
  </si>
  <si>
    <r>
      <rPr>
        <sz val="10"/>
        <rFont val="FreeSans"/>
        <family val="2"/>
      </rPr>
      <t xml:space="preserve">اکچویتر بدون شیر پروانه ای </t>
    </r>
    <r>
      <rPr>
        <sz val="10"/>
        <rFont val="Vazirmatn"/>
        <family val="0"/>
        <charset val="1"/>
      </rPr>
      <t xml:space="preserve">SIZE:5"- MATERIAL SEAT : EPDM  DISC:NDI  SER:30  STEM:S/S316  VLAS150    BODY  A536</t>
    </r>
  </si>
  <si>
    <t xml:space="preserve">31271893</t>
  </si>
  <si>
    <r>
      <rPr>
        <sz val="10"/>
        <rFont val="FreeSans"/>
        <family val="2"/>
      </rPr>
      <t xml:space="preserve">اکچویتر بدون شیر پروانه ای </t>
    </r>
    <r>
      <rPr>
        <sz val="10"/>
        <rFont val="Vazirmatn"/>
        <family val="0"/>
        <charset val="1"/>
      </rPr>
      <t xml:space="preserve">SIZE:4"- MATERIAL SEAT : EPDM  DISC:NDI  SER:30  STEM:S/S316  VLAS150    BODY  A536</t>
    </r>
  </si>
  <si>
    <t xml:space="preserve">31271894</t>
  </si>
  <si>
    <r>
      <rPr>
        <sz val="10"/>
        <rFont val="FreeSans"/>
        <family val="2"/>
      </rPr>
      <t xml:space="preserve">اکچویتر بدون شیر پروانه ای </t>
    </r>
    <r>
      <rPr>
        <sz val="10"/>
        <rFont val="Vazirmatn"/>
        <family val="0"/>
        <charset val="1"/>
      </rPr>
      <t xml:space="preserve">SIZE:3"- MATERIAL SEAT : EPDM  DISC:NDI  SER:30  STEM:S/S316  VLAS150    BODY  A536</t>
    </r>
  </si>
  <si>
    <t xml:space="preserve">31271895</t>
  </si>
  <si>
    <r>
      <rPr>
        <sz val="10"/>
        <rFont val="FreeSans"/>
        <family val="2"/>
      </rPr>
      <t xml:space="preserve">اکچویتر بدون شیر پروانه ای </t>
    </r>
    <r>
      <rPr>
        <sz val="10"/>
        <rFont val="Vazirmatn"/>
        <family val="0"/>
        <charset val="1"/>
      </rPr>
      <t xml:space="preserve">SIZE:2"- MATERIAL SEAT : EPDM  DISC:NDI  SER:30  STEM:S/S316  VLAS150    BODY  A536</t>
    </r>
  </si>
  <si>
    <t xml:space="preserve">31271896</t>
  </si>
  <si>
    <t xml:space="preserve">دمپر پروانه ای هوای فن</t>
  </si>
  <si>
    <t xml:space="preserve">31271898</t>
  </si>
  <si>
    <t xml:space="preserve">2 " CiP HORN SS316L ( Type Tank Cleaner )</t>
  </si>
  <si>
    <t xml:space="preserve">31271899</t>
  </si>
  <si>
    <t xml:space="preserve">شیرآلات کامل پنل رادیاتور</t>
  </si>
  <si>
    <t xml:space="preserve">31271901</t>
  </si>
  <si>
    <t xml:space="preserve">شیر کپسول پودری پایه بلند</t>
  </si>
  <si>
    <t xml:space="preserve">31271902</t>
  </si>
  <si>
    <r>
      <rPr>
        <sz val="10"/>
        <rFont val="FreeSans"/>
        <family val="2"/>
      </rPr>
      <t xml:space="preserve">شیر پودری </t>
    </r>
    <r>
      <rPr>
        <sz val="10"/>
        <rFont val="Vazirmatn"/>
        <family val="0"/>
        <charset val="1"/>
      </rPr>
      <t xml:space="preserve">SR</t>
    </r>
  </si>
  <si>
    <t xml:space="preserve">31271903</t>
  </si>
  <si>
    <r>
      <rPr>
        <sz val="10"/>
        <rFont val="FreeSans"/>
        <family val="2"/>
      </rPr>
      <t xml:space="preserve">شیر فلکه کشویی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دنده ای کلاس </t>
    </r>
    <r>
      <rPr>
        <sz val="10"/>
        <rFont val="Vazirmatn"/>
        <family val="0"/>
        <charset val="1"/>
      </rPr>
      <t xml:space="preserve">800 "3/4</t>
    </r>
  </si>
  <si>
    <t xml:space="preserve">31271904</t>
  </si>
  <si>
    <r>
      <rPr>
        <sz val="10"/>
        <rFont val="FreeSans"/>
        <family val="2"/>
      </rPr>
      <t xml:space="preserve">شیر سلونوئیدی برنجی </t>
    </r>
    <r>
      <rPr>
        <sz val="10"/>
        <rFont val="Vazirmatn"/>
        <family val="0"/>
        <charset val="1"/>
      </rPr>
      <t xml:space="preserve">185 </t>
    </r>
    <r>
      <rPr>
        <sz val="10"/>
        <rFont val="FreeSans"/>
        <family val="2"/>
      </rPr>
      <t xml:space="preserve">درجه سانتی گراد </t>
    </r>
    <r>
      <rPr>
        <sz val="10"/>
        <rFont val="Vazirmatn"/>
        <family val="0"/>
        <charset val="1"/>
      </rPr>
      <t xml:space="preserve">( 230VAC ) "1/2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</si>
  <si>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31271905</t>
  </si>
  <si>
    <r>
      <rPr>
        <sz val="10"/>
        <rFont val="FreeSans"/>
        <family val="2"/>
      </rPr>
      <t xml:space="preserve">شیر مخصوص آب پکیج </t>
    </r>
    <r>
      <rPr>
        <sz val="10"/>
        <rFont val="Vazirmatn"/>
        <family val="0"/>
        <charset val="1"/>
      </rPr>
      <t xml:space="preserve">" 3/4</t>
    </r>
  </si>
  <si>
    <t xml:space="preserve">31271906</t>
  </si>
  <si>
    <r>
      <rPr>
        <sz val="10"/>
        <rFont val="FreeSans"/>
        <family val="2"/>
      </rPr>
      <t xml:space="preserve">شیر مخصوص آب پکیج </t>
    </r>
    <r>
      <rPr>
        <sz val="10"/>
        <rFont val="Vazirmatn"/>
        <family val="0"/>
        <charset val="1"/>
      </rPr>
      <t xml:space="preserve">" 1/2</t>
    </r>
  </si>
  <si>
    <t xml:space="preserve">31271910</t>
  </si>
  <si>
    <r>
      <rPr>
        <sz val="10"/>
        <rFont val="FreeSans"/>
        <family val="2"/>
      </rPr>
      <t xml:space="preserve">شیر پروانه ای زبانه آهنی به همراه اکچویتر </t>
    </r>
    <r>
      <rPr>
        <sz val="10"/>
        <rFont val="Vazirmatn"/>
        <family val="0"/>
        <charset val="1"/>
      </rPr>
      <t xml:space="preserve">" 12</t>
    </r>
  </si>
  <si>
    <t xml:space="preserve">31271911</t>
  </si>
  <si>
    <r>
      <rPr>
        <sz val="10"/>
        <rFont val="FreeSans"/>
        <family val="2"/>
      </rPr>
      <t xml:space="preserve">روتامتر دنده ای </t>
    </r>
    <r>
      <rPr>
        <sz val="10"/>
        <rFont val="Vazirmatn"/>
        <family val="0"/>
        <charset val="1"/>
      </rPr>
      <t xml:space="preserve">50 - 5 </t>
    </r>
    <r>
      <rPr>
        <sz val="10"/>
        <rFont val="FreeSans"/>
        <family val="2"/>
      </rPr>
      <t xml:space="preserve">لیتر در ساعت </t>
    </r>
    <r>
      <rPr>
        <sz val="10"/>
        <rFont val="Vazirmatn"/>
        <family val="0"/>
        <charset val="1"/>
      </rPr>
      <t xml:space="preserve">" 1/2</t>
    </r>
  </si>
  <si>
    <t xml:space="preserve">31271912</t>
  </si>
  <si>
    <r>
      <rPr>
        <sz val="10"/>
        <rFont val="FreeSans"/>
        <family val="2"/>
      </rPr>
      <t xml:space="preserve">شیر پنوماتیک بخار فلنجدار آهنی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تیپ </t>
    </r>
    <r>
      <rPr>
        <sz val="10"/>
        <rFont val="Vazirmatn"/>
        <family val="0"/>
        <charset val="1"/>
      </rPr>
      <t xml:space="preserve">51C ) DN25 - PN16 ( </t>
    </r>
    <r>
      <rPr>
        <sz val="10"/>
        <rFont val="FreeSans"/>
        <family val="2"/>
      </rPr>
      <t xml:space="preserve">بصورت </t>
    </r>
    <r>
      <rPr>
        <sz val="10"/>
        <rFont val="Vazirmatn"/>
        <family val="0"/>
        <charset val="1"/>
      </rPr>
      <t xml:space="preserve">ON - OFF )</t>
    </r>
  </si>
  <si>
    <t xml:space="preserve">31271913</t>
  </si>
  <si>
    <r>
      <rPr>
        <sz val="10"/>
        <rFont val="Vazirmatn"/>
        <family val="0"/>
        <charset val="1"/>
      </rPr>
      <t xml:space="preserve">ALFALAVAL Angle Valve 3347-NC Hygienic - </t>
    </r>
    <r>
      <rPr>
        <sz val="10"/>
        <rFont val="FreeSans"/>
        <family val="2"/>
      </rPr>
      <t xml:space="preserve">صنایع شیری </t>
    </r>
    <r>
      <rPr>
        <sz val="10"/>
        <rFont val="Vazirmatn"/>
        <family val="0"/>
        <charset val="1"/>
      </rPr>
      <t xml:space="preserve">DN 63 - </t>
    </r>
    <r>
      <rPr>
        <sz val="10"/>
        <rFont val="FreeSans"/>
        <family val="2"/>
      </rPr>
      <t xml:space="preserve">اکچویتور و پوزیشنر سامسون </t>
    </r>
    <r>
      <rPr>
        <sz val="10"/>
        <rFont val="Vazirmatn"/>
        <family val="0"/>
        <charset val="1"/>
      </rPr>
      <t xml:space="preserve">- 3725</t>
    </r>
  </si>
  <si>
    <t xml:space="preserve">31271914</t>
  </si>
  <si>
    <r>
      <rPr>
        <sz val="10"/>
        <rFont val="FreeSans"/>
        <family val="2"/>
      </rPr>
      <t xml:space="preserve">شیر آذین مهره ماسوره دار   </t>
    </r>
    <r>
      <rPr>
        <sz val="10"/>
        <rFont val="Vazirmatn"/>
        <family val="0"/>
        <charset val="1"/>
      </rPr>
      <t xml:space="preserve">" 1/4 1</t>
    </r>
  </si>
  <si>
    <t xml:space="preserve">31271915</t>
  </si>
  <si>
    <r>
      <rPr>
        <sz val="10"/>
        <rFont val="FreeSans"/>
        <family val="2"/>
      </rPr>
      <t xml:space="preserve">شیر ویفری زبانه آهنی به همراه اکچویتر </t>
    </r>
    <r>
      <rPr>
        <sz val="10"/>
        <rFont val="Vazirmatn"/>
        <family val="0"/>
        <charset val="1"/>
      </rPr>
      <t xml:space="preserve">" 12</t>
    </r>
  </si>
  <si>
    <t xml:space="preserve">31271916</t>
  </si>
  <si>
    <r>
      <rPr>
        <sz val="10"/>
        <rFont val="FreeSans"/>
        <family val="2"/>
      </rPr>
      <t xml:space="preserve">شیر کشویی آب فلج دار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زبانه لاستیکی چدنی </t>
    </r>
    <r>
      <rPr>
        <sz val="10"/>
        <rFont val="Vazirmatn"/>
        <family val="0"/>
        <charset val="1"/>
      </rPr>
      <t xml:space="preserve">) " 4</t>
    </r>
  </si>
  <si>
    <t xml:space="preserve">31271917</t>
  </si>
  <si>
    <r>
      <rPr>
        <sz val="10"/>
        <rFont val="FreeSans"/>
        <family val="2"/>
      </rPr>
      <t xml:space="preserve">شیر اطمینان فلنج دار </t>
    </r>
    <r>
      <rPr>
        <sz val="10"/>
        <rFont val="Vazirmatn"/>
        <family val="0"/>
        <charset val="1"/>
      </rPr>
      <t xml:space="preserve">" 1/2 1 * " 2 ( </t>
    </r>
    <r>
      <rPr>
        <sz val="10"/>
        <rFont val="FreeSans"/>
        <family val="2"/>
      </rPr>
      <t xml:space="preserve">تنظیم فشار بخار </t>
    </r>
    <r>
      <rPr>
        <sz val="10"/>
        <rFont val="Vazirmatn"/>
        <family val="0"/>
        <charset val="1"/>
      </rPr>
      <t xml:space="preserve">10 - 3 </t>
    </r>
    <r>
      <rPr>
        <sz val="10"/>
        <rFont val="FreeSans"/>
        <family val="2"/>
      </rPr>
      <t xml:space="preserve">بار </t>
    </r>
    <r>
      <rPr>
        <sz val="10"/>
        <rFont val="Vazirmatn"/>
        <family val="0"/>
        <charset val="1"/>
      </rPr>
      <t xml:space="preserve">)</t>
    </r>
  </si>
  <si>
    <t xml:space="preserve">31271918</t>
  </si>
  <si>
    <r>
      <rPr>
        <sz val="10"/>
        <rFont val="FreeSans"/>
        <family val="2"/>
      </rPr>
      <t xml:space="preserve">شیر فشارشکن فلنجدار </t>
    </r>
    <r>
      <rPr>
        <sz val="10"/>
        <rFont val="Vazirmatn"/>
        <family val="0"/>
        <charset val="1"/>
      </rPr>
      <t xml:space="preserve">PN 16 - DN 80 ( </t>
    </r>
    <r>
      <rPr>
        <sz val="10"/>
        <rFont val="FreeSans"/>
        <family val="2"/>
      </rPr>
      <t xml:space="preserve">تنظیم فشار </t>
    </r>
    <r>
      <rPr>
        <sz val="10"/>
        <rFont val="Vazirmatn"/>
        <family val="0"/>
        <charset val="1"/>
      </rPr>
      <t xml:space="preserve">6-2 </t>
    </r>
    <r>
      <rPr>
        <sz val="10"/>
        <rFont val="FreeSans"/>
        <family val="2"/>
      </rPr>
      <t xml:space="preserve">بار </t>
    </r>
    <r>
      <rPr>
        <sz val="10"/>
        <rFont val="Vazirmatn"/>
        <family val="0"/>
        <charset val="1"/>
      </rPr>
      <t xml:space="preserve">)</t>
    </r>
  </si>
  <si>
    <t xml:space="preserve">31271919</t>
  </si>
  <si>
    <r>
      <rPr>
        <sz val="10"/>
        <rFont val="FreeSans"/>
        <family val="2"/>
      </rPr>
      <t xml:space="preserve">شیر سلونوئیدی </t>
    </r>
    <r>
      <rPr>
        <sz val="10"/>
        <rFont val="Vazirmatn"/>
        <family val="0"/>
        <charset val="1"/>
      </rPr>
      <t xml:space="preserve">( Air TAC 4V 210 - 08 )</t>
    </r>
  </si>
  <si>
    <t xml:space="preserve">31271920</t>
  </si>
  <si>
    <r>
      <rPr>
        <sz val="10"/>
        <rFont val="FreeSans"/>
        <family val="2"/>
      </rPr>
      <t xml:space="preserve">شیر پودری </t>
    </r>
    <r>
      <rPr>
        <sz val="10"/>
        <rFont val="Vazirmatn"/>
        <family val="0"/>
        <charset val="1"/>
      </rPr>
      <t xml:space="preserve">( SR )</t>
    </r>
  </si>
  <si>
    <t xml:space="preserve">31272106</t>
  </si>
  <si>
    <r>
      <rPr>
        <sz val="10"/>
        <rFont val="FreeSans"/>
        <family val="2"/>
      </rPr>
      <t xml:space="preserve">زانویی آهنی مانیسمان رده </t>
    </r>
    <r>
      <rPr>
        <sz val="10"/>
        <rFont val="Vazirmatn"/>
        <family val="0"/>
        <charset val="1"/>
      </rPr>
      <t xml:space="preserve">10 -  45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"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</si>
  <si>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31272122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</si>
  <si>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    " 2</t>
    </r>
  </si>
  <si>
    <t xml:space="preserve">31272123</t>
  </si>
  <si>
    <r>
      <rPr>
        <sz val="10"/>
        <rFont val="FreeSans"/>
        <family val="2"/>
      </rPr>
      <t xml:space="preserve">زانویی آهنی دنده ای          </t>
    </r>
    <r>
      <rPr>
        <sz val="10"/>
        <rFont val="Vazirmatn"/>
        <family val="0"/>
        <charset val="1"/>
      </rPr>
      <t xml:space="preserve">" 4</t>
    </r>
  </si>
  <si>
    <t xml:space="preserve">31272126</t>
  </si>
  <si>
    <r>
      <rPr>
        <sz val="10"/>
        <rFont val="FreeSans"/>
        <family val="2"/>
      </rPr>
      <t xml:space="preserve">زانویی آهنی مانیسمان جوشی </t>
    </r>
    <r>
      <rPr>
        <sz val="10"/>
        <rFont val="Vazirmatn"/>
        <family val="0"/>
        <charset val="1"/>
      </rPr>
      <t xml:space="preserve">90 -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20  " 5</t>
    </r>
  </si>
  <si>
    <t xml:space="preserve">31272127</t>
  </si>
  <si>
    <r>
      <rPr>
        <sz val="10"/>
        <rFont val="FreeSans"/>
        <family val="2"/>
      </rPr>
      <t xml:space="preserve">زانویی آهنی جوشی          </t>
    </r>
    <r>
      <rPr>
        <sz val="10"/>
        <rFont val="Vazirmatn"/>
        <family val="0"/>
        <charset val="1"/>
      </rPr>
      <t xml:space="preserve">" 6</t>
    </r>
  </si>
  <si>
    <t xml:space="preserve">31272140</t>
  </si>
  <si>
    <r>
      <rPr>
        <sz val="10"/>
        <rFont val="FreeSans"/>
        <family val="2"/>
      </rPr>
      <t xml:space="preserve">زانویی آهنی مانیسمان رده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جوشی   </t>
    </r>
    <r>
      <rPr>
        <sz val="10"/>
        <rFont val="Vazirmatn"/>
        <family val="0"/>
        <charset val="1"/>
      </rPr>
      <t xml:space="preserve">" 1/2</t>
    </r>
  </si>
  <si>
    <t xml:space="preserve">31272141</t>
  </si>
  <si>
    <r>
      <rPr>
        <sz val="10"/>
        <rFont val="FreeSans"/>
        <family val="2"/>
      </rPr>
      <t xml:space="preserve">زانویی آهنی جوشی   </t>
    </r>
    <r>
      <rPr>
        <sz val="10"/>
        <rFont val="Vazirmatn"/>
        <family val="0"/>
        <charset val="1"/>
      </rPr>
      <t xml:space="preserve">" 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</si>
  <si>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31272145</t>
  </si>
  <si>
    <r>
      <rPr>
        <sz val="10"/>
        <rFont val="FreeSans"/>
        <family val="2"/>
      </rPr>
      <t xml:space="preserve">زانویی استیل مانیسمان رده </t>
    </r>
    <r>
      <rPr>
        <sz val="10"/>
        <rFont val="Vazirmatn"/>
        <family val="0"/>
        <charset val="1"/>
      </rPr>
      <t xml:space="preserve">40      304         "1</t>
    </r>
  </si>
  <si>
    <t xml:space="preserve">31272146</t>
  </si>
  <si>
    <r>
      <rPr>
        <sz val="10"/>
        <rFont val="FreeSans"/>
        <family val="2"/>
      </rPr>
      <t xml:space="preserve">زانویی آهنی مانیسمان       </t>
    </r>
    <r>
      <rPr>
        <sz val="10"/>
        <rFont val="Vazirmatn"/>
        <family val="0"/>
        <charset val="1"/>
      </rPr>
      <t xml:space="preserve">" 4</t>
    </r>
  </si>
  <si>
    <t xml:space="preserve">31272176</t>
  </si>
  <si>
    <r>
      <rPr>
        <sz val="10"/>
        <rFont val="FreeSans"/>
        <family val="2"/>
      </rPr>
      <t xml:space="preserve">زانویی آهنی جوشی       </t>
    </r>
    <r>
      <rPr>
        <sz val="10"/>
        <rFont val="Vazirmatn"/>
        <family val="0"/>
        <charset val="1"/>
      </rPr>
      <t xml:space="preserve">"1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1/4</t>
    </r>
  </si>
  <si>
    <t xml:space="preserve">31272180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</si>
  <si>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"1/2 2</t>
    </r>
  </si>
  <si>
    <t xml:space="preserve">31272198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</si>
  <si>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 رده </t>
    </r>
    <r>
      <rPr>
        <sz val="10"/>
        <rFont val="Vazirmatn"/>
        <family val="0"/>
        <charset val="1"/>
      </rPr>
      <t xml:space="preserve">10           "3</t>
    </r>
  </si>
  <si>
    <t xml:space="preserve">31272199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</si>
  <si>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      "2.1/2</t>
    </r>
  </si>
  <si>
    <t xml:space="preserve">31272203</t>
  </si>
  <si>
    <r>
      <rPr>
        <sz val="10"/>
        <rFont val="FreeSans"/>
        <family val="2"/>
      </rPr>
      <t xml:space="preserve">زانویی استیل جوشی        </t>
    </r>
    <r>
      <rPr>
        <sz val="10"/>
        <rFont val="Vazirmatn"/>
        <family val="0"/>
        <charset val="1"/>
      </rPr>
      <t xml:space="preserve">" 3/4</t>
    </r>
  </si>
  <si>
    <t xml:space="preserve">31272204</t>
  </si>
  <si>
    <r>
      <rPr>
        <sz val="10"/>
        <rFont val="FreeSans"/>
        <family val="2"/>
      </rPr>
      <t xml:space="preserve">زانوی استیل فشار قوی نمره   </t>
    </r>
    <r>
      <rPr>
        <sz val="10"/>
        <rFont val="Vazirmatn"/>
        <family val="0"/>
        <charset val="1"/>
      </rPr>
      <t xml:space="preserve">"3/8</t>
    </r>
  </si>
  <si>
    <t xml:space="preserve">31272206</t>
  </si>
  <si>
    <r>
      <rPr>
        <sz val="10"/>
        <rFont val="FreeSans"/>
        <family val="2"/>
      </rPr>
      <t xml:space="preserve">زانویی استیل دنده ای رده </t>
    </r>
    <r>
      <rPr>
        <sz val="10"/>
        <rFont val="Vazirmatn"/>
        <family val="0"/>
        <charset val="1"/>
      </rPr>
      <t xml:space="preserve">40   316  " 3</t>
    </r>
  </si>
  <si>
    <t xml:space="preserve">31272209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</si>
  <si>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" 2</t>
    </r>
  </si>
  <si>
    <t xml:space="preserve">31272210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</si>
  <si>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    "1.1/2</t>
    </r>
  </si>
  <si>
    <t xml:space="preserve">31272211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</si>
  <si>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10 - " 6</t>
    </r>
  </si>
  <si>
    <t xml:space="preserve">31272212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</si>
  <si>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         " 4</t>
    </r>
  </si>
  <si>
    <t xml:space="preserve">31272221</t>
  </si>
  <si>
    <r>
      <rPr>
        <sz val="10"/>
        <rFont val="FreeSans"/>
        <family val="2"/>
      </rPr>
      <t xml:space="preserve">زانویی استیل جوشی </t>
    </r>
    <r>
      <rPr>
        <sz val="10"/>
        <rFont val="Vazirmatn"/>
        <family val="0"/>
        <charset val="1"/>
      </rPr>
      <t xml:space="preserve">45             " 3</t>
    </r>
  </si>
  <si>
    <t xml:space="preserve">31272223</t>
  </si>
  <si>
    <r>
      <rPr>
        <sz val="10"/>
        <rFont val="FreeSans"/>
        <family val="2"/>
      </rPr>
      <t xml:space="preserve">زانویی  استیل </t>
    </r>
    <r>
      <rPr>
        <sz val="10"/>
        <rFont val="Vazirmatn"/>
        <family val="0"/>
        <charset val="1"/>
      </rPr>
      <t xml:space="preserve">90                        " 6</t>
    </r>
  </si>
  <si>
    <t xml:space="preserve">31272225</t>
  </si>
  <si>
    <r>
      <rPr>
        <sz val="10"/>
        <rFont val="FreeSans"/>
        <family val="2"/>
      </rPr>
      <t xml:space="preserve">زانویی استیل صنایع شیری </t>
    </r>
    <r>
      <rPr>
        <sz val="10"/>
        <rFont val="Vazirmatn"/>
        <family val="0"/>
        <charset val="1"/>
      </rPr>
      <t xml:space="preserve">51mm</t>
    </r>
  </si>
  <si>
    <t xml:space="preserve">31272226</t>
  </si>
  <si>
    <r>
      <rPr>
        <sz val="10"/>
        <rFont val="FreeSans"/>
        <family val="2"/>
      </rPr>
      <t xml:space="preserve">زانویی استیل صنایع شیری </t>
    </r>
    <r>
      <rPr>
        <sz val="10"/>
        <rFont val="Vazirmatn"/>
        <family val="0"/>
        <charset val="1"/>
      </rPr>
      <t xml:space="preserve">38mm</t>
    </r>
  </si>
  <si>
    <t xml:space="preserve">31272229</t>
  </si>
  <si>
    <r>
      <rPr>
        <sz val="10"/>
        <rFont val="FreeSans"/>
        <family val="2"/>
      </rPr>
      <t xml:space="preserve">زانویی استیل صنایع شیری    </t>
    </r>
    <r>
      <rPr>
        <sz val="10"/>
        <rFont val="Vazirmatn"/>
        <family val="0"/>
        <charset val="1"/>
      </rPr>
      <t xml:space="preserve">25mm</t>
    </r>
  </si>
  <si>
    <t xml:space="preserve">31272231</t>
  </si>
  <si>
    <r>
      <rPr>
        <sz val="10"/>
        <rFont val="FreeSans"/>
        <family val="2"/>
      </rPr>
      <t xml:space="preserve">زانویی استیل صنایع شیری </t>
    </r>
    <r>
      <rPr>
        <sz val="10"/>
        <rFont val="Vazirmatn"/>
        <family val="0"/>
        <charset val="1"/>
      </rPr>
      <t xml:space="preserve">63mm</t>
    </r>
  </si>
  <si>
    <t xml:space="preserve">31272233</t>
  </si>
  <si>
    <r>
      <rPr>
        <sz val="10"/>
        <rFont val="FreeSans"/>
        <family val="2"/>
      </rPr>
      <t xml:space="preserve">زانویی استیل صنایع شیری   </t>
    </r>
    <r>
      <rPr>
        <sz val="10"/>
        <rFont val="Vazirmatn"/>
        <family val="0"/>
        <charset val="1"/>
      </rPr>
      <t xml:space="preserve">76    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</t>
    </r>
  </si>
  <si>
    <t xml:space="preserve">31272237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</si>
  <si>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 رده </t>
    </r>
    <r>
      <rPr>
        <sz val="10"/>
        <rFont val="Vazirmatn"/>
        <family val="0"/>
        <charset val="1"/>
      </rPr>
      <t xml:space="preserve">10   " 1/4 1</t>
    </r>
  </si>
  <si>
    <t xml:space="preserve">31272238</t>
  </si>
  <si>
    <r>
      <rPr>
        <sz val="10"/>
        <rFont val="FreeSans"/>
        <family val="2"/>
      </rPr>
      <t xml:space="preserve">زانویی آهنی مانیسمان رده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جوشی   </t>
    </r>
    <r>
      <rPr>
        <sz val="10"/>
        <rFont val="Vazirmatn"/>
        <family val="0"/>
        <charset val="1"/>
      </rPr>
      <t xml:space="preserve">" 2</t>
    </r>
  </si>
  <si>
    <t xml:space="preserve">31272239</t>
  </si>
  <si>
    <r>
      <rPr>
        <sz val="10"/>
        <rFont val="FreeSans"/>
        <family val="2"/>
      </rPr>
      <t xml:space="preserve">زانویی استیل چپقی            </t>
    </r>
    <r>
      <rPr>
        <sz val="10"/>
        <rFont val="Vazirmatn"/>
        <family val="0"/>
        <charset val="1"/>
      </rPr>
      <t xml:space="preserve">" 3/4</t>
    </r>
  </si>
  <si>
    <t xml:space="preserve">31272240</t>
  </si>
  <si>
    <r>
      <rPr>
        <sz val="10"/>
        <rFont val="FreeSans"/>
        <family val="2"/>
      </rPr>
      <t xml:space="preserve">زانویی استیل جوشی                  </t>
    </r>
    <r>
      <rPr>
        <sz val="10"/>
        <rFont val="Vazirmatn"/>
        <family val="0"/>
        <charset val="1"/>
      </rPr>
      <t xml:space="preserve">" 5</t>
    </r>
  </si>
  <si>
    <t xml:space="preserve">31272242</t>
  </si>
  <si>
    <r>
      <rPr>
        <sz val="10"/>
        <rFont val="FreeSans"/>
        <family val="2"/>
      </rPr>
      <t xml:space="preserve">زانویی استیل جوشی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</si>
  <si>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31272243</t>
  </si>
  <si>
    <r>
      <rPr>
        <sz val="10"/>
        <rFont val="FreeSans"/>
        <family val="2"/>
      </rPr>
      <t xml:space="preserve">زانویی جوشی استیل </t>
    </r>
    <r>
      <rPr>
        <sz val="10"/>
        <rFont val="Vazirmatn"/>
        <family val="0"/>
        <charset val="1"/>
      </rPr>
      <t xml:space="preserve">45             " 4</t>
    </r>
  </si>
  <si>
    <t xml:space="preserve">31272249</t>
  </si>
  <si>
    <r>
      <rPr>
        <sz val="10"/>
        <rFont val="FreeSans"/>
        <family val="2"/>
      </rPr>
      <t xml:space="preserve">زانویی استیل مانیسمان  رده </t>
    </r>
    <r>
      <rPr>
        <sz val="10"/>
        <rFont val="Vazirmatn"/>
        <family val="0"/>
        <charset val="1"/>
      </rPr>
      <t xml:space="preserve">10     316    "10</t>
    </r>
  </si>
  <si>
    <t xml:space="preserve">31272254</t>
  </si>
  <si>
    <t xml:space="preserve">زانویی پلاستیکی ترنچ</t>
  </si>
  <si>
    <t xml:space="preserve">31272256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</si>
  <si>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" 5</t>
    </r>
  </si>
  <si>
    <t xml:space="preserve">31272257</t>
  </si>
  <si>
    <r>
      <rPr>
        <sz val="10"/>
        <rFont val="FreeSans"/>
        <family val="2"/>
      </rPr>
      <t xml:space="preserve">زانویی استیل مانیسمان رده </t>
    </r>
    <r>
      <rPr>
        <sz val="10"/>
        <rFont val="Vazirmatn"/>
        <family val="0"/>
        <charset val="1"/>
      </rPr>
      <t xml:space="preserve">10   " 1/2 1</t>
    </r>
  </si>
  <si>
    <t xml:space="preserve">31272260</t>
  </si>
  <si>
    <r>
      <rPr>
        <sz val="10"/>
        <rFont val="FreeSans"/>
        <family val="2"/>
      </rPr>
      <t xml:space="preserve">زانویی استیل مانیسمان رده </t>
    </r>
    <r>
      <rPr>
        <sz val="10"/>
        <rFont val="Vazirmatn"/>
        <family val="0"/>
        <charset val="1"/>
      </rPr>
      <t xml:space="preserve">10    304    "1.1/4</t>
    </r>
  </si>
  <si>
    <t xml:space="preserve">31272262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</si>
  <si>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</t>
    </r>
    <r>
      <rPr>
        <sz val="10"/>
        <rFont val="Vazirmatn"/>
        <family val="0"/>
        <charset val="1"/>
      </rPr>
      <t xml:space="preserve">90  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 "3/8</t>
    </r>
  </si>
  <si>
    <t xml:space="preserve">31272264</t>
  </si>
  <si>
    <r>
      <rPr>
        <sz val="10"/>
        <rFont val="FreeSans"/>
        <family val="2"/>
      </rPr>
      <t xml:space="preserve">زانویی آهنی مانیسمان </t>
    </r>
    <r>
      <rPr>
        <sz val="10"/>
        <rFont val="Vazirmatn"/>
        <family val="0"/>
        <charset val="1"/>
      </rPr>
      <t xml:space="preserve">90 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  " 12</t>
    </r>
  </si>
  <si>
    <t xml:space="preserve">31272266</t>
  </si>
  <si>
    <r>
      <rPr>
        <sz val="10"/>
        <rFont val="FreeSans"/>
        <family val="2"/>
      </rPr>
      <t xml:space="preserve">زانویی استیل صنایع شیری  </t>
    </r>
    <r>
      <rPr>
        <sz val="10"/>
        <rFont val="Vazirmatn"/>
        <family val="0"/>
        <charset val="1"/>
      </rPr>
      <t xml:space="preserve">101mm</t>
    </r>
  </si>
  <si>
    <t xml:space="preserve">31272268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</si>
  <si>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" 3/8</t>
    </r>
  </si>
  <si>
    <t xml:space="preserve">31272270</t>
  </si>
  <si>
    <r>
      <rPr>
        <sz val="10"/>
        <rFont val="FreeSans"/>
        <family val="2"/>
      </rPr>
      <t xml:space="preserve">زانویی استیل دنده ای </t>
    </r>
    <r>
      <rPr>
        <sz val="10"/>
        <rFont val="Vazirmatn"/>
        <family val="0"/>
        <charset val="1"/>
      </rPr>
      <t xml:space="preserve">" 1/2 2</t>
    </r>
  </si>
  <si>
    <t xml:space="preserve">31272274</t>
  </si>
  <si>
    <r>
      <rPr>
        <sz val="10"/>
        <rFont val="FreeSans"/>
        <family val="2"/>
      </rPr>
      <t xml:space="preserve">زانویی آهنی مانیسمان رده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جوشی   </t>
    </r>
    <r>
      <rPr>
        <sz val="10"/>
        <rFont val="Vazirmatn"/>
        <family val="0"/>
        <charset val="1"/>
      </rPr>
      <t xml:space="preserve">" 3</t>
    </r>
  </si>
  <si>
    <t xml:space="preserve">31272275</t>
  </si>
  <si>
    <r>
      <rPr>
        <sz val="10"/>
        <rFont val="FreeSans"/>
        <family val="2"/>
      </rPr>
      <t xml:space="preserve">زانویی استیل مانیسمان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جوشی </t>
    </r>
    <r>
      <rPr>
        <sz val="10"/>
        <rFont val="Vazirmatn"/>
        <family val="0"/>
        <charset val="1"/>
      </rPr>
      <t xml:space="preserve">" 8</t>
    </r>
  </si>
  <si>
    <t xml:space="preserve">31272278</t>
  </si>
  <si>
    <r>
      <rPr>
        <sz val="10"/>
        <rFont val="FreeSans"/>
        <family val="2"/>
      </rPr>
      <t xml:space="preserve">زانویی نیوپایپ دیواری  </t>
    </r>
    <r>
      <rPr>
        <sz val="10"/>
        <rFont val="Vazirmatn"/>
        <family val="0"/>
        <charset val="1"/>
      </rPr>
      <t xml:space="preserve">3/4*25</t>
    </r>
  </si>
  <si>
    <t xml:space="preserve">31272280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</si>
  <si>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 1/4 1</t>
    </r>
  </si>
  <si>
    <t xml:space="preserve">31272306</t>
  </si>
  <si>
    <r>
      <rPr>
        <sz val="10"/>
        <rFont val="FreeSans"/>
        <family val="2"/>
      </rPr>
      <t xml:space="preserve">زانویی آذین         </t>
    </r>
    <r>
      <rPr>
        <sz val="10"/>
        <rFont val="Vazirmatn"/>
        <family val="0"/>
        <charset val="1"/>
      </rPr>
      <t xml:space="preserve">" 2</t>
    </r>
  </si>
  <si>
    <t xml:space="preserve">31272307</t>
  </si>
  <si>
    <r>
      <rPr>
        <sz val="10"/>
        <rFont val="FreeSans"/>
        <family val="2"/>
      </rPr>
      <t xml:space="preserve">زانویی پلیکا             </t>
    </r>
    <r>
      <rPr>
        <sz val="10"/>
        <rFont val="Vazirmatn"/>
        <family val="0"/>
        <charset val="1"/>
      </rPr>
      <t xml:space="preserve">1</t>
    </r>
  </si>
  <si>
    <t xml:space="preserve">31272308</t>
  </si>
  <si>
    <r>
      <rPr>
        <sz val="10"/>
        <rFont val="FreeSans"/>
        <family val="2"/>
      </rPr>
      <t xml:space="preserve">زانویی آذین یکسر دنده   </t>
    </r>
    <r>
      <rPr>
        <sz val="10"/>
        <rFont val="Vazirmatn"/>
        <family val="0"/>
        <charset val="1"/>
      </rPr>
      <t xml:space="preserve">" 1/2</t>
    </r>
  </si>
  <si>
    <t xml:space="preserve">31272309</t>
  </si>
  <si>
    <r>
      <rPr>
        <sz val="10"/>
        <rFont val="FreeSans"/>
        <family val="2"/>
      </rPr>
      <t xml:space="preserve">زانویی آذین ساده   </t>
    </r>
    <r>
      <rPr>
        <sz val="10"/>
        <rFont val="Vazirmatn"/>
        <family val="0"/>
        <charset val="1"/>
      </rPr>
      <t xml:space="preserve">" 1/2</t>
    </r>
  </si>
  <si>
    <t xml:space="preserve">31272310</t>
  </si>
  <si>
    <r>
      <rPr>
        <sz val="10"/>
        <rFont val="FreeSans"/>
        <family val="2"/>
      </rPr>
      <t xml:space="preserve">زانویی آذین ساده  </t>
    </r>
    <r>
      <rPr>
        <sz val="10"/>
        <rFont val="Vazirmatn"/>
        <family val="0"/>
        <charset val="1"/>
      </rPr>
      <t xml:space="preserve">"1</t>
    </r>
  </si>
  <si>
    <t xml:space="preserve">31272311</t>
  </si>
  <si>
    <r>
      <rPr>
        <sz val="10"/>
        <rFont val="FreeSans"/>
        <family val="2"/>
      </rPr>
      <t xml:space="preserve">زانویی آذین ساده       </t>
    </r>
    <r>
      <rPr>
        <sz val="10"/>
        <rFont val="Vazirmatn"/>
        <family val="0"/>
        <charset val="1"/>
      </rPr>
      <t xml:space="preserve">" 3/4</t>
    </r>
  </si>
  <si>
    <t xml:space="preserve">31272312</t>
  </si>
  <si>
    <r>
      <rPr>
        <sz val="10"/>
        <rFont val="FreeSans"/>
        <family val="2"/>
      </rPr>
      <t xml:space="preserve">زانویی آذین یکسر دنده     </t>
    </r>
    <r>
      <rPr>
        <sz val="10"/>
        <rFont val="Vazirmatn"/>
        <family val="0"/>
        <charset val="1"/>
      </rPr>
      <t xml:space="preserve">"1</t>
    </r>
  </si>
  <si>
    <t xml:space="preserve">31272313</t>
  </si>
  <si>
    <r>
      <rPr>
        <sz val="10"/>
        <rFont val="FreeSans"/>
        <family val="2"/>
      </rPr>
      <t xml:space="preserve">زانویی پلیکا  </t>
    </r>
    <r>
      <rPr>
        <sz val="10"/>
        <rFont val="Vazirmatn"/>
        <family val="0"/>
        <charset val="1"/>
      </rPr>
      <t xml:space="preserve">90  </t>
    </r>
    <r>
      <rPr>
        <sz val="10"/>
        <rFont val="FreeSans"/>
        <family val="2"/>
      </rPr>
      <t xml:space="preserve">درجه       </t>
    </r>
    <r>
      <rPr>
        <sz val="10"/>
        <rFont val="Vazirmatn"/>
        <family val="0"/>
        <charset val="1"/>
      </rPr>
      <t xml:space="preserve">90</t>
    </r>
  </si>
  <si>
    <t xml:space="preserve">31272314</t>
  </si>
  <si>
    <r>
      <rPr>
        <sz val="10"/>
        <rFont val="FreeSans"/>
        <family val="2"/>
      </rPr>
      <t xml:space="preserve">زانویی پلیکا </t>
    </r>
    <r>
      <rPr>
        <sz val="10"/>
        <rFont val="Vazirmatn"/>
        <family val="0"/>
        <charset val="1"/>
      </rPr>
      <t xml:space="preserve">45    90</t>
    </r>
  </si>
  <si>
    <t xml:space="preserve">31272315</t>
  </si>
  <si>
    <r>
      <rPr>
        <sz val="10"/>
        <rFont val="FreeSans"/>
        <family val="2"/>
      </rPr>
      <t xml:space="preserve">زانویی پلیکا </t>
    </r>
    <r>
      <rPr>
        <sz val="10"/>
        <rFont val="Vazirmatn"/>
        <family val="0"/>
        <charset val="1"/>
      </rPr>
      <t xml:space="preserve">90            5</t>
    </r>
  </si>
  <si>
    <t xml:space="preserve">31272316</t>
  </si>
  <si>
    <r>
      <rPr>
        <sz val="10"/>
        <rFont val="FreeSans"/>
        <family val="2"/>
      </rPr>
      <t xml:space="preserve">زانویی پلیکا </t>
    </r>
    <r>
      <rPr>
        <sz val="10"/>
        <rFont val="Vazirmatn"/>
        <family val="0"/>
        <charset val="1"/>
      </rPr>
      <t xml:space="preserve">45          "6</t>
    </r>
  </si>
  <si>
    <t xml:space="preserve">31272317</t>
  </si>
  <si>
    <r>
      <rPr>
        <sz val="10"/>
        <rFont val="FreeSans"/>
        <family val="2"/>
      </rPr>
      <t xml:space="preserve">زانویی پلیکا </t>
    </r>
    <r>
      <rPr>
        <sz val="10"/>
        <rFont val="Vazirmatn"/>
        <family val="0"/>
        <charset val="1"/>
      </rPr>
      <t xml:space="preserve">45             4</t>
    </r>
  </si>
  <si>
    <t xml:space="preserve">31272321</t>
  </si>
  <si>
    <r>
      <rPr>
        <sz val="10"/>
        <rFont val="FreeSans"/>
        <family val="2"/>
      </rPr>
      <t xml:space="preserve">زانویی پلیکا </t>
    </r>
    <r>
      <rPr>
        <sz val="10"/>
        <rFont val="Vazirmatn"/>
        <family val="0"/>
        <charset val="1"/>
      </rPr>
      <t xml:space="preserve">90              6</t>
    </r>
  </si>
  <si>
    <t xml:space="preserve">31272322</t>
  </si>
  <si>
    <r>
      <rPr>
        <sz val="10"/>
        <rFont val="FreeSans"/>
        <family val="2"/>
      </rPr>
      <t xml:space="preserve">زانویی پلیکا </t>
    </r>
    <r>
      <rPr>
        <sz val="10"/>
        <rFont val="Vazirmatn"/>
        <family val="0"/>
        <charset val="1"/>
      </rPr>
      <t xml:space="preserve">45              4</t>
    </r>
  </si>
  <si>
    <t xml:space="preserve">31272329</t>
  </si>
  <si>
    <r>
      <rPr>
        <sz val="10"/>
        <rFont val="FreeSans"/>
        <family val="2"/>
      </rPr>
      <t xml:space="preserve">زانویی پلیکا </t>
    </r>
    <r>
      <rPr>
        <sz val="10"/>
        <rFont val="Vazirmatn"/>
        <family val="0"/>
        <charset val="1"/>
      </rPr>
      <t xml:space="preserve">90    63</t>
    </r>
  </si>
  <si>
    <t xml:space="preserve">31272338</t>
  </si>
  <si>
    <r>
      <rPr>
        <sz val="10"/>
        <rFont val="FreeSans"/>
        <family val="2"/>
      </rPr>
      <t xml:space="preserve">زانویی آذین ساده   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</si>
  <si>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31272339</t>
  </si>
  <si>
    <r>
      <rPr>
        <sz val="10"/>
        <rFont val="FreeSans"/>
        <family val="2"/>
      </rPr>
      <t xml:space="preserve">زانویی پلی اتیلن </t>
    </r>
    <r>
      <rPr>
        <sz val="10"/>
        <rFont val="Vazirmatn"/>
        <family val="0"/>
        <charset val="1"/>
      </rPr>
      <t xml:space="preserve">90  " 4</t>
    </r>
  </si>
  <si>
    <t xml:space="preserve">31272340</t>
  </si>
  <si>
    <r>
      <rPr>
        <sz val="10"/>
        <rFont val="FreeSans"/>
        <family val="2"/>
      </rPr>
      <t xml:space="preserve">زانویی آذین ساده   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</si>
  <si>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31272349</t>
  </si>
  <si>
    <r>
      <rPr>
        <sz val="10"/>
        <rFont val="FreeSans"/>
        <family val="2"/>
      </rPr>
      <t xml:space="preserve">زانویی   </t>
    </r>
    <r>
      <rPr>
        <sz val="10"/>
        <rFont val="Vazirmatn"/>
        <family val="0"/>
        <charset val="1"/>
      </rPr>
      <t xml:space="preserve">Upvc     "2.1/2</t>
    </r>
  </si>
  <si>
    <t xml:space="preserve">31272350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</si>
  <si>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"2 (ELBOW UPVC	DN 50)</t>
    </r>
  </si>
  <si>
    <t xml:space="preserve">31272351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</si>
  <si>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" 6      UPVC</t>
    </r>
  </si>
  <si>
    <t xml:space="preserve">31272356</t>
  </si>
  <si>
    <r>
      <rPr>
        <sz val="10"/>
        <rFont val="FreeSans"/>
        <family val="2"/>
      </rPr>
      <t xml:space="preserve">زانویی پلی اتیلن </t>
    </r>
    <r>
      <rPr>
        <sz val="10"/>
        <rFont val="Vazirmatn"/>
        <family val="0"/>
        <charset val="1"/>
      </rPr>
      <t xml:space="preserve">45  " 5</t>
    </r>
  </si>
  <si>
    <t xml:space="preserve">31272360</t>
  </si>
  <si>
    <r>
      <rPr>
        <sz val="10"/>
        <rFont val="FreeSans"/>
        <family val="2"/>
      </rPr>
      <t xml:space="preserve">زانویی پلی اتیلن </t>
    </r>
    <r>
      <rPr>
        <sz val="10"/>
        <rFont val="Vazirmatn"/>
        <family val="0"/>
        <charset val="1"/>
      </rPr>
      <t xml:space="preserve">90  " 5</t>
    </r>
  </si>
  <si>
    <t xml:space="preserve">31272370</t>
  </si>
  <si>
    <r>
      <rPr>
        <sz val="10"/>
        <rFont val="FreeSans"/>
        <family val="2"/>
      </rPr>
      <t xml:space="preserve">زانویی اتصال سریع    </t>
    </r>
    <r>
      <rPr>
        <sz val="10"/>
        <rFont val="Vazirmatn"/>
        <family val="0"/>
        <charset val="1"/>
      </rPr>
      <t xml:space="preserve">" 3/8 * 8mm</t>
    </r>
  </si>
  <si>
    <t xml:space="preserve">31272372</t>
  </si>
  <si>
    <r>
      <rPr>
        <sz val="10"/>
        <rFont val="FreeSans"/>
        <family val="2"/>
      </rPr>
      <t xml:space="preserve">زانویی اتصال سریع    </t>
    </r>
    <r>
      <rPr>
        <sz val="10"/>
        <rFont val="Vazirmatn"/>
        <family val="0"/>
        <charset val="1"/>
      </rPr>
      <t xml:space="preserve">" 3/8 * 4mm</t>
    </r>
  </si>
  <si>
    <t xml:space="preserve">31272377</t>
  </si>
  <si>
    <r>
      <rPr>
        <sz val="10"/>
        <rFont val="FreeSans"/>
        <family val="2"/>
      </rPr>
      <t xml:space="preserve">زانویی اتصال سریع    </t>
    </r>
    <r>
      <rPr>
        <sz val="10"/>
        <rFont val="Vazirmatn"/>
        <family val="0"/>
        <charset val="1"/>
      </rPr>
      <t xml:space="preserve">" 1/2 * 6mm</t>
    </r>
  </si>
  <si>
    <t xml:space="preserve">31272379</t>
  </si>
  <si>
    <r>
      <rPr>
        <sz val="10"/>
        <rFont val="FreeSans"/>
        <family val="2"/>
      </rPr>
      <t xml:space="preserve">زانویی اتصال سریع    </t>
    </r>
    <r>
      <rPr>
        <sz val="10"/>
        <rFont val="Vazirmatn"/>
        <family val="0"/>
        <charset val="1"/>
      </rPr>
      <t xml:space="preserve">" 1/2 * 8mm</t>
    </r>
  </si>
  <si>
    <t xml:space="preserve">31272383</t>
  </si>
  <si>
    <r>
      <rPr>
        <sz val="10"/>
        <rFont val="FreeSans"/>
        <family val="2"/>
      </rPr>
      <t xml:space="preserve">زانویی اتصال سریع               </t>
    </r>
    <r>
      <rPr>
        <sz val="10"/>
        <rFont val="Vazirmatn"/>
        <family val="0"/>
        <charset val="1"/>
      </rPr>
      <t xml:space="preserve">" 3/8</t>
    </r>
  </si>
  <si>
    <t xml:space="preserve">31272384</t>
  </si>
  <si>
    <r>
      <rPr>
        <sz val="10"/>
        <rFont val="FreeSans"/>
        <family val="2"/>
      </rPr>
      <t xml:space="preserve">زانویی اتصال سریع    </t>
    </r>
    <r>
      <rPr>
        <sz val="10"/>
        <rFont val="Vazirmatn"/>
        <family val="0"/>
        <charset val="1"/>
      </rPr>
      <t xml:space="preserve">" 1/4 * 8mm</t>
    </r>
  </si>
  <si>
    <t xml:space="preserve">31272385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</si>
  <si>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" 1/2    ( ABS )</t>
    </r>
  </si>
  <si>
    <t xml:space="preserve">31272386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</si>
  <si>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" 3/4    ( ABS )</t>
    </r>
  </si>
  <si>
    <t xml:space="preserve">31272387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</si>
  <si>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" 1    ( ABS )</t>
    </r>
  </si>
  <si>
    <t xml:space="preserve">31272388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</si>
  <si>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   ( ABS )</t>
    </r>
  </si>
  <si>
    <t xml:space="preserve">31272389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</si>
  <si>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" 2    ( ABS )</t>
    </r>
  </si>
  <si>
    <t xml:space="preserve">31272391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</si>
  <si>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" 4    ( ABS )</t>
    </r>
  </si>
  <si>
    <t xml:space="preserve">31272392</t>
  </si>
  <si>
    <r>
      <rPr>
        <sz val="10"/>
        <rFont val="FreeSans"/>
        <family val="2"/>
      </rPr>
      <t xml:space="preserve">زانویی برنجی اتصال سریع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فیتینگ </t>
    </r>
    <r>
      <rPr>
        <sz val="10"/>
        <rFont val="Vazirmatn"/>
        <family val="0"/>
        <charset val="1"/>
      </rPr>
      <t xml:space="preserve">90 )  " 1/8</t>
    </r>
  </si>
  <si>
    <t xml:space="preserve">31272396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</si>
  <si>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" C PVC           3/4</t>
    </r>
  </si>
  <si>
    <t xml:space="preserve">31272397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</si>
  <si>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" C PVC           1</t>
    </r>
  </si>
  <si>
    <t xml:space="preserve">31272401</t>
  </si>
  <si>
    <r>
      <rPr>
        <sz val="10"/>
        <rFont val="FreeSans"/>
        <family val="2"/>
      </rPr>
      <t xml:space="preserve">زانویی اتصال سریع پنوماتیک  </t>
    </r>
    <r>
      <rPr>
        <sz val="10"/>
        <rFont val="Vazirmatn"/>
        <family val="0"/>
        <charset val="1"/>
      </rPr>
      <t xml:space="preserve">4mm * 1/8</t>
    </r>
  </si>
  <si>
    <t xml:space="preserve">31272407</t>
  </si>
  <si>
    <r>
      <rPr>
        <sz val="10"/>
        <rFont val="FreeSans"/>
        <family val="2"/>
      </rPr>
      <t xml:space="preserve">زانویی اتصال سریع پنوماتیک  </t>
    </r>
    <r>
      <rPr>
        <sz val="10"/>
        <rFont val="Vazirmatn"/>
        <family val="0"/>
        <charset val="1"/>
      </rPr>
      <t xml:space="preserve">" 4mm * 1/4</t>
    </r>
  </si>
  <si>
    <t xml:space="preserve">31272408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</si>
  <si>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20       " 2</t>
    </r>
  </si>
  <si>
    <t xml:space="preserve">31272409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</si>
  <si>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درزدار رده </t>
    </r>
    <r>
      <rPr>
        <sz val="10"/>
        <rFont val="Vazirmatn"/>
        <family val="0"/>
        <charset val="1"/>
      </rPr>
      <t xml:space="preserve">10   "1</t>
    </r>
  </si>
  <si>
    <t xml:space="preserve">31272413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</si>
  <si>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upvc     "5</t>
    </r>
  </si>
  <si>
    <t xml:space="preserve">31272414</t>
  </si>
  <si>
    <r>
      <rPr>
        <sz val="10"/>
        <rFont val="FreeSans"/>
        <family val="2"/>
      </rPr>
      <t xml:space="preserve">زانویی گالوانیزه جوشی </t>
    </r>
    <r>
      <rPr>
        <sz val="10"/>
        <rFont val="Vazirmatn"/>
        <family val="0"/>
        <charset val="1"/>
      </rPr>
      <t xml:space="preserve">"1</t>
    </r>
  </si>
  <si>
    <t xml:space="preserve">31272415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</si>
  <si>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" 3/4    U PVC</t>
    </r>
  </si>
  <si>
    <t xml:space="preserve">31272416</t>
  </si>
  <si>
    <r>
      <rPr>
        <sz val="10"/>
        <rFont val="FreeSans"/>
        <family val="2"/>
      </rPr>
      <t xml:space="preserve">زانویی استیل دنده ای  </t>
    </r>
    <r>
      <rPr>
        <sz val="10"/>
        <rFont val="Vazirmatn"/>
        <family val="0"/>
        <charset val="1"/>
      </rPr>
      <t xml:space="preserve">" 1/4 1</t>
    </r>
  </si>
  <si>
    <t xml:space="preserve">31272417</t>
  </si>
  <si>
    <r>
      <rPr>
        <sz val="10"/>
        <rFont val="FreeSans"/>
        <family val="2"/>
      </rPr>
      <t xml:space="preserve">زانویی استیل صنایع شیری   </t>
    </r>
    <r>
      <rPr>
        <sz val="10"/>
        <rFont val="Vazirmatn"/>
        <family val="0"/>
        <charset val="1"/>
      </rPr>
      <t xml:space="preserve">90     " 3</t>
    </r>
  </si>
  <si>
    <t xml:space="preserve">31272418</t>
  </si>
  <si>
    <r>
      <rPr>
        <sz val="10"/>
        <rFont val="FreeSans"/>
        <family val="2"/>
      </rPr>
      <t xml:space="preserve">زانویی استیل چپقی  </t>
    </r>
    <r>
      <rPr>
        <sz val="10"/>
        <rFont val="Vazirmatn"/>
        <family val="0"/>
        <charset val="1"/>
      </rPr>
      <t xml:space="preserve">" 1/4 1</t>
    </r>
  </si>
  <si>
    <t xml:space="preserve">31272419</t>
  </si>
  <si>
    <r>
      <rPr>
        <sz val="10"/>
        <rFont val="FreeSans"/>
        <family val="2"/>
      </rPr>
      <t xml:space="preserve">زانویی استیل جوشی </t>
    </r>
    <r>
      <rPr>
        <sz val="10"/>
        <rFont val="Vazirmatn"/>
        <family val="0"/>
        <charset val="1"/>
      </rPr>
      <t xml:space="preserve">45   " 8</t>
    </r>
  </si>
  <si>
    <t xml:space="preserve">31272420</t>
  </si>
  <si>
    <r>
      <rPr>
        <sz val="10"/>
        <rFont val="FreeSans"/>
        <family val="2"/>
      </rPr>
      <t xml:space="preserve">زانویی گالوانیزه تبدیلی </t>
    </r>
    <r>
      <rPr>
        <sz val="10"/>
        <rFont val="Vazirmatn"/>
        <family val="0"/>
        <charset val="1"/>
      </rPr>
      <t xml:space="preserve">" 1/4 1 * " 1/2 1</t>
    </r>
  </si>
  <si>
    <t xml:space="preserve">31272425</t>
  </si>
  <si>
    <r>
      <rPr>
        <sz val="10"/>
        <rFont val="FreeSans"/>
        <family val="2"/>
      </rPr>
      <t xml:space="preserve">زانویی پلیکا </t>
    </r>
    <r>
      <rPr>
        <sz val="10"/>
        <rFont val="Vazirmatn"/>
        <family val="0"/>
        <charset val="1"/>
      </rPr>
      <t xml:space="preserve">45    6</t>
    </r>
  </si>
  <si>
    <t xml:space="preserve">31272426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</si>
  <si>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" 3</t>
    </r>
  </si>
  <si>
    <t xml:space="preserve">31272427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</si>
  <si>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" 1</t>
    </r>
  </si>
  <si>
    <t xml:space="preserve">31272428</t>
  </si>
  <si>
    <r>
      <rPr>
        <sz val="10"/>
        <rFont val="FreeSans"/>
        <family val="2"/>
      </rPr>
      <t xml:space="preserve">زانویی مسی </t>
    </r>
    <r>
      <rPr>
        <sz val="10"/>
        <rFont val="Vazirmatn"/>
        <family val="0"/>
        <charset val="1"/>
      </rPr>
      <t xml:space="preserve">90    32</t>
    </r>
  </si>
  <si>
    <t xml:space="preserve">31272429</t>
  </si>
  <si>
    <r>
      <rPr>
        <sz val="10"/>
        <rFont val="FreeSans"/>
        <family val="2"/>
      </rPr>
      <t xml:space="preserve">زانویی استیل مانیسمان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40  180 </t>
    </r>
    <r>
      <rPr>
        <sz val="10"/>
        <rFont val="FreeSans"/>
        <family val="2"/>
      </rPr>
      <t xml:space="preserve">درجه  </t>
    </r>
    <r>
      <rPr>
        <sz val="10"/>
        <rFont val="Vazirmatn"/>
        <family val="0"/>
        <charset val="1"/>
      </rPr>
      <t xml:space="preserve">" 1/2 1</t>
    </r>
  </si>
  <si>
    <t xml:space="preserve">31272430</t>
  </si>
  <si>
    <r>
      <rPr>
        <sz val="10"/>
        <rFont val="FreeSans"/>
        <family val="2"/>
      </rPr>
      <t xml:space="preserve">زانویی </t>
    </r>
    <r>
      <rPr>
        <sz val="10"/>
        <rFont val="Vazirmatn"/>
        <family val="0"/>
        <charset val="1"/>
      </rPr>
      <t xml:space="preserve">PVC </t>
    </r>
    <r>
      <rPr>
        <sz val="10"/>
        <rFont val="FreeSans"/>
        <family val="2"/>
      </rPr>
      <t xml:space="preserve">فشار قوی </t>
    </r>
    <r>
      <rPr>
        <sz val="10"/>
        <rFont val="Vazirmatn"/>
        <family val="0"/>
        <charset val="1"/>
      </rPr>
      <t xml:space="preserve">"8</t>
    </r>
  </si>
  <si>
    <t xml:space="preserve">31272434</t>
  </si>
  <si>
    <r>
      <rPr>
        <sz val="10"/>
        <rFont val="FreeSans"/>
        <family val="2"/>
      </rPr>
      <t xml:space="preserve">زانو گالوانیزه داخلی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   </t>
    </r>
    <r>
      <rPr>
        <sz val="10"/>
        <rFont val="Vazirmatn"/>
        <family val="0"/>
        <charset val="1"/>
      </rPr>
      <t xml:space="preserve">20</t>
    </r>
  </si>
  <si>
    <t xml:space="preserve">31272435</t>
  </si>
  <si>
    <r>
      <rPr>
        <sz val="10"/>
        <rFont val="FreeSans"/>
        <family val="2"/>
      </rPr>
      <t xml:space="preserve">زانو گالوانیزه خارجی 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  </t>
    </r>
    <r>
      <rPr>
        <sz val="10"/>
        <rFont val="Vazirmatn"/>
        <family val="0"/>
        <charset val="1"/>
      </rPr>
      <t xml:space="preserve">20</t>
    </r>
  </si>
  <si>
    <t xml:space="preserve">31272436</t>
  </si>
  <si>
    <r>
      <rPr>
        <sz val="10"/>
        <rFont val="FreeSans"/>
        <family val="2"/>
      </rPr>
      <t xml:space="preserve">زانو گالوانیزه افقی </t>
    </r>
    <r>
      <rPr>
        <sz val="10"/>
        <rFont val="Vazirmatn"/>
        <family val="0"/>
        <charset val="1"/>
      </rPr>
      <t xml:space="preserve">90 </t>
    </r>
    <r>
      <rPr>
        <sz val="10"/>
        <rFont val="FreeSans"/>
        <family val="2"/>
      </rPr>
      <t xml:space="preserve">درجه     </t>
    </r>
    <r>
      <rPr>
        <sz val="10"/>
        <rFont val="Vazirmatn"/>
        <family val="0"/>
        <charset val="1"/>
      </rPr>
      <t xml:space="preserve">20</t>
    </r>
  </si>
  <si>
    <t xml:space="preserve">31272437</t>
  </si>
  <si>
    <r>
      <rPr>
        <sz val="10"/>
        <rFont val="FreeSans"/>
        <family val="2"/>
      </rPr>
      <t xml:space="preserve">زانویی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"1/2</t>
    </r>
  </si>
  <si>
    <t xml:space="preserve">31272490</t>
  </si>
  <si>
    <r>
      <rPr>
        <sz val="10"/>
        <rFont val="FreeSans"/>
        <family val="2"/>
      </rPr>
      <t xml:space="preserve">سه راهی آذین ساده   </t>
    </r>
    <r>
      <rPr>
        <sz val="10"/>
        <rFont val="Vazirmatn"/>
        <family val="0"/>
        <charset val="1"/>
      </rPr>
      <t xml:space="preserve">" 3/4</t>
    </r>
  </si>
  <si>
    <t xml:space="preserve">31272491</t>
  </si>
  <si>
    <r>
      <rPr>
        <sz val="10"/>
        <rFont val="FreeSans"/>
        <family val="2"/>
      </rPr>
      <t xml:space="preserve">سه راهی آذین    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</si>
  <si>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31272493</t>
  </si>
  <si>
    <r>
      <rPr>
        <sz val="10"/>
        <rFont val="FreeSans"/>
        <family val="2"/>
      </rPr>
      <t xml:space="preserve">سه راهی آذین    </t>
    </r>
    <r>
      <rPr>
        <sz val="10"/>
        <rFont val="Vazirmatn"/>
        <family val="0"/>
        <charset val="1"/>
      </rPr>
      <t xml:space="preserve">" 1/2</t>
    </r>
  </si>
  <si>
    <t xml:space="preserve">31272494</t>
  </si>
  <si>
    <r>
      <rPr>
        <sz val="10"/>
        <rFont val="FreeSans"/>
        <family val="2"/>
      </rPr>
      <t xml:space="preserve">سه راهی اتصال سریع  نمره </t>
    </r>
    <r>
      <rPr>
        <sz val="10"/>
        <rFont val="Vazirmatn"/>
        <family val="0"/>
        <charset val="1"/>
      </rPr>
      <t xml:space="preserve">: 4</t>
    </r>
  </si>
  <si>
    <t xml:space="preserve">31272506</t>
  </si>
  <si>
    <r>
      <rPr>
        <sz val="10"/>
        <rFont val="FreeSans"/>
        <family val="2"/>
      </rPr>
      <t xml:space="preserve">سه راهی آهنی مانسیمان رده </t>
    </r>
    <r>
      <rPr>
        <sz val="10"/>
        <rFont val="Vazirmatn"/>
        <family val="0"/>
        <charset val="1"/>
      </rPr>
      <t xml:space="preserve">20    " 1/2 2</t>
    </r>
  </si>
  <si>
    <t xml:space="preserve">31272516</t>
  </si>
  <si>
    <r>
      <rPr>
        <sz val="10"/>
        <rFont val="FreeSans"/>
        <family val="2"/>
      </rPr>
      <t xml:space="preserve">سه راهی پلی اتیلن جوشی با نافی   </t>
    </r>
    <r>
      <rPr>
        <sz val="10"/>
        <rFont val="Vazirmatn"/>
        <family val="0"/>
        <charset val="1"/>
      </rPr>
      <t xml:space="preserve">" 1/2 1 *   " 4</t>
    </r>
  </si>
  <si>
    <t xml:space="preserve">31272525</t>
  </si>
  <si>
    <r>
      <rPr>
        <sz val="10"/>
        <rFont val="FreeSans"/>
        <family val="2"/>
      </rPr>
      <t xml:space="preserve">سه راهی آهنی جوشی     </t>
    </r>
    <r>
      <rPr>
        <sz val="10"/>
        <rFont val="Vazirmatn"/>
        <family val="0"/>
        <charset val="1"/>
      </rPr>
      <t xml:space="preserve">" 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1/4</t>
    </r>
  </si>
  <si>
    <t xml:space="preserve">31272532</t>
  </si>
  <si>
    <r>
      <rPr>
        <sz val="10"/>
        <rFont val="FreeSans"/>
        <family val="2"/>
      </rPr>
      <t xml:space="preserve">سه راهی آهنی جوشی        </t>
    </r>
    <r>
      <rPr>
        <sz val="10"/>
        <rFont val="Vazirmatn"/>
        <family val="0"/>
        <charset val="1"/>
      </rPr>
      <t xml:space="preserve">" 1/2</t>
    </r>
  </si>
  <si>
    <t xml:space="preserve">31272534</t>
  </si>
  <si>
    <r>
      <rPr>
        <sz val="10"/>
        <rFont val="FreeSans"/>
        <family val="2"/>
      </rPr>
      <t xml:space="preserve">سه راهی آهنی جوشی          </t>
    </r>
    <r>
      <rPr>
        <sz val="10"/>
        <rFont val="Vazirmatn"/>
        <family val="0"/>
        <charset val="1"/>
      </rPr>
      <t xml:space="preserve">" 2</t>
    </r>
  </si>
  <si>
    <t xml:space="preserve">31272537</t>
  </si>
  <si>
    <r>
      <rPr>
        <sz val="10"/>
        <rFont val="FreeSans"/>
        <family val="2"/>
      </rPr>
      <t xml:space="preserve">سه راهی آهنی مانیسمان جوشی           </t>
    </r>
    <r>
      <rPr>
        <sz val="10"/>
        <rFont val="Vazirmatn"/>
        <family val="0"/>
        <charset val="1"/>
      </rPr>
      <t xml:space="preserve">" 6</t>
    </r>
  </si>
  <si>
    <t xml:space="preserve">31272538</t>
  </si>
  <si>
    <r>
      <rPr>
        <sz val="10"/>
        <rFont val="FreeSans"/>
        <family val="2"/>
      </rPr>
      <t xml:space="preserve">سه راهی آهنی  جوشی          </t>
    </r>
    <r>
      <rPr>
        <sz val="10"/>
        <rFont val="Vazirmatn"/>
        <family val="0"/>
        <charset val="1"/>
      </rPr>
      <t xml:space="preserve">" 8</t>
    </r>
  </si>
  <si>
    <t xml:space="preserve">31272539</t>
  </si>
  <si>
    <r>
      <rPr>
        <sz val="10"/>
        <rFont val="FreeSans"/>
        <family val="2"/>
      </rPr>
      <t xml:space="preserve">سه راهی آهنی جوشی       </t>
    </r>
    <r>
      <rPr>
        <sz val="10"/>
        <rFont val="Vazirmatn"/>
        <family val="0"/>
        <charset val="1"/>
      </rPr>
      <t xml:space="preserve">"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</si>
  <si>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31272545</t>
  </si>
  <si>
    <r>
      <rPr>
        <sz val="10"/>
        <rFont val="FreeSans"/>
        <family val="2"/>
      </rPr>
      <t xml:space="preserve">سه راهی  آهنی جوشی            </t>
    </r>
    <r>
      <rPr>
        <sz val="10"/>
        <rFont val="Vazirmatn"/>
        <family val="0"/>
        <charset val="1"/>
      </rPr>
      <t xml:space="preserve">" 2</t>
    </r>
  </si>
  <si>
    <t xml:space="preserve">31272552</t>
  </si>
  <si>
    <r>
      <rPr>
        <sz val="10"/>
        <rFont val="FreeSans"/>
        <family val="2"/>
      </rPr>
      <t xml:space="preserve">سه راهی جوشی استیل     </t>
    </r>
    <r>
      <rPr>
        <sz val="10"/>
        <rFont val="Vazirmatn"/>
        <family val="0"/>
        <charset val="1"/>
      </rPr>
      <t xml:space="preserve">" 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</t>
    </r>
  </si>
  <si>
    <t xml:space="preserve">31272554</t>
  </si>
  <si>
    <r>
      <rPr>
        <sz val="10"/>
        <rFont val="FreeSans"/>
        <family val="2"/>
      </rPr>
      <t xml:space="preserve">سه راهی جوشی استیل     </t>
    </r>
    <r>
      <rPr>
        <sz val="10"/>
        <rFont val="Vazirmatn"/>
        <family val="0"/>
        <charset val="1"/>
      </rPr>
      <t xml:space="preserve">" 1/4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</t>
    </r>
  </si>
  <si>
    <t xml:space="preserve">31272558</t>
  </si>
  <si>
    <r>
      <rPr>
        <sz val="10"/>
        <rFont val="FreeSans"/>
        <family val="2"/>
      </rPr>
      <t xml:space="preserve">سه راهی استیل فشارقوی       </t>
    </r>
    <r>
      <rPr>
        <sz val="10"/>
        <rFont val="Vazirmatn"/>
        <family val="0"/>
        <charset val="1"/>
      </rPr>
      <t xml:space="preserve">"3/8</t>
    </r>
  </si>
  <si>
    <t xml:space="preserve">31272560</t>
  </si>
  <si>
    <r>
      <rPr>
        <sz val="10"/>
        <rFont val="FreeSans"/>
        <family val="2"/>
      </rPr>
      <t xml:space="preserve">سه راهی استیل درزدار               </t>
    </r>
    <r>
      <rPr>
        <sz val="10"/>
        <rFont val="Vazirmatn"/>
        <family val="0"/>
        <charset val="1"/>
      </rPr>
      <t xml:space="preserve">" 8</t>
    </r>
  </si>
  <si>
    <t xml:space="preserve">31272562</t>
  </si>
  <si>
    <r>
      <rPr>
        <sz val="10"/>
        <rFont val="FreeSans"/>
        <family val="2"/>
      </rPr>
      <t xml:space="preserve">سه راهی اتصال سریع  نمره </t>
    </r>
    <r>
      <rPr>
        <sz val="10"/>
        <rFont val="Vazirmatn"/>
        <family val="0"/>
        <charset val="1"/>
      </rPr>
      <t xml:space="preserve">: 8</t>
    </r>
  </si>
  <si>
    <t xml:space="preserve">31272568</t>
  </si>
  <si>
    <r>
      <rPr>
        <sz val="10"/>
        <rFont val="FreeSans"/>
        <family val="2"/>
      </rPr>
      <t xml:space="preserve">سه راهی تبدیلی استیل جوشی</t>
    </r>
    <r>
      <rPr>
        <sz val="10"/>
        <rFont val="Vazirmatn"/>
        <family val="0"/>
        <charset val="1"/>
      </rPr>
      <t xml:space="preserve">" 4 * " 8</t>
    </r>
  </si>
  <si>
    <t xml:space="preserve">31272575</t>
  </si>
  <si>
    <r>
      <rPr>
        <sz val="10"/>
        <rFont val="FreeSans"/>
        <family val="2"/>
      </rPr>
      <t xml:space="preserve">سه راهی تبدیلی استیل جوشی</t>
    </r>
    <r>
      <rPr>
        <sz val="10"/>
        <rFont val="Vazirmatn"/>
        <family val="0"/>
        <charset val="1"/>
      </rPr>
      <t xml:space="preserve">" 1/2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</t>
    </r>
  </si>
  <si>
    <t xml:space="preserve">31272576</t>
  </si>
  <si>
    <r>
      <rPr>
        <sz val="10"/>
        <rFont val="FreeSans"/>
        <family val="2"/>
      </rPr>
      <t xml:space="preserve">سه راهی تبدیلی استیل جوشی</t>
    </r>
    <r>
      <rPr>
        <sz val="10"/>
        <rFont val="Vazirmatn"/>
        <family val="0"/>
        <charset val="1"/>
      </rPr>
      <t xml:space="preserve">" 2 *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</t>
    </r>
  </si>
  <si>
    <t xml:space="preserve">31272587</t>
  </si>
  <si>
    <r>
      <rPr>
        <sz val="10"/>
        <rFont val="FreeSans"/>
        <family val="2"/>
      </rPr>
      <t xml:space="preserve">سه راهی تبدیلی استیل جوشی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3</t>
    </r>
  </si>
  <si>
    <t xml:space="preserve">31272588</t>
  </si>
  <si>
    <r>
      <rPr>
        <sz val="10"/>
        <rFont val="FreeSans"/>
        <family val="2"/>
      </rPr>
      <t xml:space="preserve">سه راهی تبدیلی استیل جوشی         </t>
    </r>
    <r>
      <rPr>
        <sz val="10"/>
        <rFont val="Vazirmatn"/>
        <family val="0"/>
        <charset val="1"/>
      </rPr>
      <t xml:space="preserve">" 2 * " 3</t>
    </r>
  </si>
  <si>
    <t xml:space="preserve">31272589</t>
  </si>
  <si>
    <r>
      <rPr>
        <sz val="10"/>
        <rFont val="FreeSans"/>
        <family val="2"/>
      </rPr>
      <t xml:space="preserve">سه راهی تبدیلی استیل جوشی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4</t>
    </r>
  </si>
  <si>
    <t xml:space="preserve">31272592</t>
  </si>
  <si>
    <r>
      <rPr>
        <sz val="10"/>
        <rFont val="FreeSans"/>
        <family val="2"/>
      </rPr>
      <t xml:space="preserve">سه راهی تبدیلی استیل جوشی</t>
    </r>
    <r>
      <rPr>
        <sz val="10"/>
        <rFont val="Vazirmatn"/>
        <family val="0"/>
        <charset val="1"/>
      </rPr>
      <t xml:space="preserve">" 1 * " 3</t>
    </r>
  </si>
  <si>
    <t xml:space="preserve">31272593</t>
  </si>
  <si>
    <r>
      <rPr>
        <sz val="10"/>
        <rFont val="FreeSans"/>
        <family val="2"/>
      </rPr>
      <t xml:space="preserve">سه راهی تبدیلی استیل جوشی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* " 3</t>
    </r>
  </si>
  <si>
    <t xml:space="preserve">31272598</t>
  </si>
  <si>
    <r>
      <rPr>
        <sz val="10"/>
        <rFont val="FreeSans"/>
        <family val="2"/>
      </rPr>
      <t xml:space="preserve">سه راهی تبدیلی استیل جوشی</t>
    </r>
    <r>
      <rPr>
        <sz val="10"/>
        <rFont val="Vazirmatn"/>
        <family val="0"/>
        <charset val="1"/>
      </rPr>
      <t xml:space="preserve">" 4 * " 6</t>
    </r>
  </si>
  <si>
    <t xml:space="preserve">31272600</t>
  </si>
  <si>
    <r>
      <rPr>
        <sz val="10"/>
        <rFont val="FreeSans"/>
        <family val="2"/>
      </rPr>
      <t xml:space="preserve">زانویی بوش بامهره                    </t>
    </r>
    <r>
      <rPr>
        <sz val="10"/>
        <rFont val="Vazirmatn"/>
        <family val="0"/>
        <charset val="1"/>
      </rPr>
      <t xml:space="preserve">1/8</t>
    </r>
  </si>
  <si>
    <t xml:space="preserve">31272603</t>
  </si>
  <si>
    <r>
      <rPr>
        <sz val="10"/>
        <rFont val="FreeSans"/>
        <family val="2"/>
      </rPr>
      <t xml:space="preserve">سه راهی تبدیلی استیل مانیسمان     </t>
    </r>
    <r>
      <rPr>
        <sz val="10"/>
        <rFont val="Vazirmatn"/>
        <family val="0"/>
        <charset val="1"/>
      </rPr>
      <t xml:space="preserve">"2 * 1/2"</t>
    </r>
  </si>
  <si>
    <t xml:space="preserve">31272605</t>
  </si>
  <si>
    <t xml:space="preserve">سه راهی برنجی ابزار دقیق</t>
  </si>
  <si>
    <t xml:space="preserve">31272641</t>
  </si>
  <si>
    <r>
      <rPr>
        <sz val="10"/>
        <rFont val="FreeSans"/>
        <family val="2"/>
      </rPr>
      <t xml:space="preserve">سه راهی استیل صنایع شیری  </t>
    </r>
    <r>
      <rPr>
        <sz val="10"/>
        <rFont val="Vazirmatn"/>
        <family val="0"/>
        <charset val="1"/>
      </rPr>
      <t xml:space="preserve">"3</t>
    </r>
  </si>
  <si>
    <t xml:space="preserve">31272642</t>
  </si>
  <si>
    <r>
      <rPr>
        <sz val="10"/>
        <rFont val="FreeSans"/>
        <family val="2"/>
      </rPr>
      <t xml:space="preserve">سه راهی استیل صنایع شیری  </t>
    </r>
    <r>
      <rPr>
        <sz val="10"/>
        <rFont val="Vazirmatn"/>
        <family val="0"/>
        <charset val="1"/>
      </rPr>
      <t xml:space="preserve">"1/2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</t>
    </r>
  </si>
  <si>
    <t xml:space="preserve">31272643</t>
  </si>
  <si>
    <r>
      <rPr>
        <sz val="10"/>
        <rFont val="FreeSans"/>
        <family val="2"/>
      </rPr>
      <t xml:space="preserve">سه راهی استیل صنایع شیری </t>
    </r>
    <r>
      <rPr>
        <sz val="10"/>
        <rFont val="Vazirmatn"/>
        <family val="0"/>
        <charset val="1"/>
      </rPr>
      <t xml:space="preserve">51mm</t>
    </r>
  </si>
  <si>
    <t xml:space="preserve">31272666</t>
  </si>
  <si>
    <r>
      <rPr>
        <sz val="10"/>
        <rFont val="FreeSans"/>
        <family val="2"/>
      </rPr>
      <t xml:space="preserve">سه راهی مهره ماسوره ای پلی اتیلن </t>
    </r>
    <r>
      <rPr>
        <sz val="10"/>
        <rFont val="Vazirmatn"/>
        <family val="0"/>
        <charset val="1"/>
      </rPr>
      <t xml:space="preserve">" 1 ( </t>
    </r>
    <r>
      <rPr>
        <sz val="10"/>
        <rFont val="FreeSans"/>
        <family val="2"/>
      </rPr>
      <t xml:space="preserve">مخصوص آبیاری </t>
    </r>
    <r>
      <rPr>
        <sz val="10"/>
        <rFont val="Vazirmatn"/>
        <family val="0"/>
        <charset val="1"/>
      </rPr>
      <t xml:space="preserve">)</t>
    </r>
  </si>
  <si>
    <t xml:space="preserve">31272672</t>
  </si>
  <si>
    <r>
      <rPr>
        <sz val="10"/>
        <rFont val="FreeSans"/>
        <family val="2"/>
      </rPr>
      <t xml:space="preserve">سه راهی آهنی تبدیلی جوشی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4</t>
    </r>
  </si>
  <si>
    <t xml:space="preserve">31272681</t>
  </si>
  <si>
    <r>
      <rPr>
        <sz val="10"/>
        <rFont val="FreeSans"/>
        <family val="2"/>
      </rPr>
      <t xml:space="preserve">سه راهی آهنی تبدیلی جوشی  </t>
    </r>
    <r>
      <rPr>
        <sz val="10"/>
        <rFont val="Vazirmatn"/>
        <family val="0"/>
        <charset val="1"/>
      </rPr>
      <t xml:space="preserve">40     " 3 * 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</si>
  <si>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31272699</t>
  </si>
  <si>
    <r>
      <rPr>
        <sz val="10"/>
        <rFont val="FreeSans"/>
        <family val="2"/>
      </rPr>
      <t xml:space="preserve">سه راهی پنوماتیک نمره </t>
    </r>
    <r>
      <rPr>
        <sz val="10"/>
        <rFont val="Vazirmatn"/>
        <family val="0"/>
        <charset val="1"/>
      </rPr>
      <t xml:space="preserve">8</t>
    </r>
  </si>
  <si>
    <t xml:space="preserve">31272700</t>
  </si>
  <si>
    <r>
      <rPr>
        <sz val="10"/>
        <rFont val="FreeSans"/>
        <family val="2"/>
      </rPr>
      <t xml:space="preserve">سه راهی پلی اتیلن  </t>
    </r>
    <r>
      <rPr>
        <sz val="10"/>
        <rFont val="Vazirmatn"/>
        <family val="0"/>
        <charset val="1"/>
      </rPr>
      <t xml:space="preserve">" 4</t>
    </r>
  </si>
  <si>
    <t xml:space="preserve">31272707</t>
  </si>
  <si>
    <r>
      <rPr>
        <sz val="10"/>
        <rFont val="FreeSans"/>
        <family val="2"/>
      </rPr>
      <t xml:space="preserve">سه راهی آذین      </t>
    </r>
    <r>
      <rPr>
        <sz val="10"/>
        <rFont val="Vazirmatn"/>
        <family val="0"/>
        <charset val="1"/>
      </rPr>
      <t xml:space="preserve">" 1</t>
    </r>
  </si>
  <si>
    <t xml:space="preserve">31272709</t>
  </si>
  <si>
    <r>
      <rPr>
        <sz val="10"/>
        <rFont val="FreeSans"/>
        <family val="2"/>
      </rPr>
      <t xml:space="preserve">سه راهی آذین      </t>
    </r>
    <r>
      <rPr>
        <sz val="10"/>
        <rFont val="Vazirmatn"/>
        <family val="0"/>
        <charset val="1"/>
      </rPr>
      <t xml:space="preserve">" 2</t>
    </r>
  </si>
  <si>
    <t xml:space="preserve">31272719</t>
  </si>
  <si>
    <r>
      <rPr>
        <sz val="10"/>
        <rFont val="FreeSans"/>
        <family val="2"/>
      </rPr>
      <t xml:space="preserve">سه راهی  پلیکا                        </t>
    </r>
    <r>
      <rPr>
        <sz val="10"/>
        <rFont val="Vazirmatn"/>
        <family val="0"/>
        <charset val="1"/>
      </rPr>
      <t xml:space="preserve">" 3</t>
    </r>
  </si>
  <si>
    <t xml:space="preserve">31272720</t>
  </si>
  <si>
    <r>
      <rPr>
        <sz val="10"/>
        <rFont val="FreeSans"/>
        <family val="2"/>
      </rPr>
      <t xml:space="preserve">سه راهی پلیکا </t>
    </r>
    <r>
      <rPr>
        <sz val="10"/>
        <rFont val="Vazirmatn"/>
        <family val="0"/>
        <charset val="1"/>
      </rPr>
      <t xml:space="preserve">45                   4</t>
    </r>
  </si>
  <si>
    <t xml:space="preserve">31272721</t>
  </si>
  <si>
    <r>
      <rPr>
        <sz val="10"/>
        <rFont val="FreeSans"/>
        <family val="2"/>
      </rPr>
      <t xml:space="preserve">سه راهی پلیکا                         </t>
    </r>
    <r>
      <rPr>
        <sz val="10"/>
        <rFont val="Vazirmatn"/>
        <family val="0"/>
        <charset val="1"/>
      </rPr>
      <t xml:space="preserve">2 *  3</t>
    </r>
  </si>
  <si>
    <t xml:space="preserve">31272725</t>
  </si>
  <si>
    <r>
      <rPr>
        <sz val="10"/>
        <rFont val="FreeSans"/>
        <family val="2"/>
      </rPr>
      <t xml:space="preserve">سه راهی پلیکا </t>
    </r>
    <r>
      <rPr>
        <sz val="10"/>
        <rFont val="Vazirmatn"/>
        <family val="0"/>
        <charset val="1"/>
      </rPr>
      <t xml:space="preserve">45                    6</t>
    </r>
  </si>
  <si>
    <t xml:space="preserve">31272728</t>
  </si>
  <si>
    <r>
      <rPr>
        <sz val="10"/>
        <rFont val="FreeSans"/>
        <family val="2"/>
      </rPr>
      <t xml:space="preserve">سه راهی دنده ای برنجی </t>
    </r>
    <r>
      <rPr>
        <sz val="10"/>
        <rFont val="Vazirmatn"/>
        <family val="0"/>
        <charset val="1"/>
      </rPr>
      <t xml:space="preserve">" 3/8</t>
    </r>
  </si>
  <si>
    <t xml:space="preserve">31272731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</si>
  <si>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3 ( TEE CPVC	DN 80 )</t>
    </r>
  </si>
  <si>
    <t xml:space="preserve">31272748</t>
  </si>
  <si>
    <r>
      <rPr>
        <sz val="10"/>
        <rFont val="FreeSans"/>
        <family val="2"/>
      </rPr>
      <t xml:space="preserve">سه راهی آذین ساده                 </t>
    </r>
    <r>
      <rPr>
        <sz val="10"/>
        <rFont val="Vazirmatn"/>
        <family val="0"/>
        <charset val="1"/>
      </rPr>
      <t xml:space="preserve">"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</si>
  <si>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31272751</t>
  </si>
  <si>
    <r>
      <rPr>
        <sz val="10"/>
        <rFont val="FreeSans"/>
        <family val="2"/>
      </rPr>
      <t xml:space="preserve">سه راهی پنوماتیک نمره </t>
    </r>
    <r>
      <rPr>
        <sz val="10"/>
        <rFont val="Vazirmatn"/>
        <family val="0"/>
        <charset val="1"/>
      </rPr>
      <t xml:space="preserve">12</t>
    </r>
  </si>
  <si>
    <t xml:space="preserve">31272753</t>
  </si>
  <si>
    <r>
      <rPr>
        <sz val="10"/>
        <rFont val="FreeSans"/>
        <family val="2"/>
      </rPr>
      <t xml:space="preserve">سه راهی پنوماتیک     </t>
    </r>
    <r>
      <rPr>
        <sz val="10"/>
        <rFont val="Vazirmatn"/>
        <family val="0"/>
        <charset val="1"/>
      </rPr>
      <t xml:space="preserve">10mm</t>
    </r>
  </si>
  <si>
    <t xml:space="preserve">31272765</t>
  </si>
  <si>
    <r>
      <rPr>
        <sz val="10"/>
        <rFont val="FreeSans"/>
        <family val="2"/>
      </rPr>
      <t xml:space="preserve">سه راهی پنوماتیک     </t>
    </r>
    <r>
      <rPr>
        <sz val="10"/>
        <rFont val="Vazirmatn"/>
        <family val="0"/>
        <charset val="1"/>
      </rPr>
      <t xml:space="preserve">4mm</t>
    </r>
  </si>
  <si>
    <t xml:space="preserve">31272772</t>
  </si>
  <si>
    <t xml:space="preserve">سه راهی ترنچ پلاستیکی</t>
  </si>
  <si>
    <t xml:space="preserve">31272780</t>
  </si>
  <si>
    <r>
      <rPr>
        <sz val="10"/>
        <rFont val="FreeSans"/>
        <family val="2"/>
      </rPr>
      <t xml:space="preserve">سه راهی آهنی مانسیمان رده </t>
    </r>
    <r>
      <rPr>
        <sz val="10"/>
        <rFont val="Vazirmatn"/>
        <family val="0"/>
        <charset val="1"/>
      </rPr>
      <t xml:space="preserve">20    " 5</t>
    </r>
  </si>
  <si>
    <t xml:space="preserve">31272781</t>
  </si>
  <si>
    <r>
      <rPr>
        <sz val="10"/>
        <rFont val="FreeSans"/>
        <family val="2"/>
      </rPr>
      <t xml:space="preserve">سه راهی آهنی مانسیمان رده </t>
    </r>
    <r>
      <rPr>
        <sz val="10"/>
        <rFont val="Vazirmatn"/>
        <family val="0"/>
        <charset val="1"/>
      </rPr>
      <t xml:space="preserve">40     " 1</t>
    </r>
  </si>
  <si>
    <t xml:space="preserve">31272783</t>
  </si>
  <si>
    <r>
      <rPr>
        <sz val="10"/>
        <rFont val="FreeSans"/>
        <family val="2"/>
      </rPr>
      <t xml:space="preserve">سه راهی آهنی مانسیمان رده </t>
    </r>
    <r>
      <rPr>
        <sz val="10"/>
        <rFont val="Vazirmatn"/>
        <family val="0"/>
        <charset val="1"/>
      </rPr>
      <t xml:space="preserve">20    " 3</t>
    </r>
  </si>
  <si>
    <t xml:space="preserve">31272791</t>
  </si>
  <si>
    <r>
      <rPr>
        <sz val="10"/>
        <rFont val="FreeSans"/>
        <family val="2"/>
      </rPr>
      <t xml:space="preserve">سه راهی اتصال سریع          </t>
    </r>
    <r>
      <rPr>
        <sz val="10"/>
        <rFont val="Vazirmatn"/>
        <family val="0"/>
        <charset val="1"/>
      </rPr>
      <t xml:space="preserve">" 1/4</t>
    </r>
  </si>
  <si>
    <t xml:space="preserve">31272792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</si>
  <si>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3/4    ( ABS )</t>
    </r>
  </si>
  <si>
    <t xml:space="preserve">31272793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</si>
  <si>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1    ( ABS )</t>
    </r>
  </si>
  <si>
    <t xml:space="preserve">31272794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</si>
  <si>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2    ( ABS )</t>
    </r>
  </si>
  <si>
    <t xml:space="preserve">31272795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</si>
  <si>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   ( ABS )</t>
    </r>
  </si>
  <si>
    <t xml:space="preserve">31272796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</si>
  <si>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3    ( ABS )</t>
    </r>
  </si>
  <si>
    <t xml:space="preserve">31272797</t>
  </si>
  <si>
    <r>
      <rPr>
        <sz val="10"/>
        <rFont val="FreeSans"/>
        <family val="2"/>
      </rPr>
      <t xml:space="preserve">سه راهی </t>
    </r>
    <r>
      <rPr>
        <sz val="10"/>
        <rFont val="Vazirmatn"/>
        <family val="0"/>
        <charset val="1"/>
      </rPr>
      <t xml:space="preserve">" 4    ( ABS )</t>
    </r>
  </si>
  <si>
    <t xml:space="preserve">31272798</t>
  </si>
  <si>
    <r>
      <rPr>
        <sz val="10"/>
        <rFont val="FreeSans"/>
        <family val="2"/>
      </rPr>
      <t xml:space="preserve">سه راهی تبدیلی </t>
    </r>
    <r>
      <rPr>
        <sz val="10"/>
        <rFont val="Vazirmatn"/>
        <family val="0"/>
        <charset val="1"/>
      </rPr>
      <t xml:space="preserve">" 3 * " 2   ( ABS )</t>
    </r>
  </si>
  <si>
    <t xml:space="preserve">31272799</t>
  </si>
  <si>
    <r>
      <rPr>
        <sz val="10"/>
        <rFont val="FreeSans"/>
        <family val="2"/>
      </rPr>
      <t xml:space="preserve">سه راهی تبدیلی آهنی مانیسمان رده </t>
    </r>
    <r>
      <rPr>
        <sz val="10"/>
        <rFont val="Vazirmatn"/>
        <family val="0"/>
        <charset val="1"/>
      </rPr>
      <t xml:space="preserve">20 " 2 * " 3</t>
    </r>
  </si>
  <si>
    <t xml:space="preserve">31272804</t>
  </si>
  <si>
    <r>
      <rPr>
        <sz val="10"/>
        <rFont val="FreeSans"/>
        <family val="2"/>
      </rPr>
      <t xml:space="preserve">تبدیل آهنی مانیسمان غیر همرکز رده </t>
    </r>
    <r>
      <rPr>
        <sz val="10"/>
        <rFont val="Vazirmatn"/>
        <family val="0"/>
        <charset val="1"/>
      </rPr>
      <t xml:space="preserve">20  " 1/2 2 * " 3</t>
    </r>
  </si>
  <si>
    <t xml:space="preserve">31272805</t>
  </si>
  <si>
    <r>
      <rPr>
        <sz val="10"/>
        <rFont val="FreeSans"/>
        <family val="2"/>
      </rPr>
      <t xml:space="preserve">تبدیل آهنی مانیسمان همرکز رده </t>
    </r>
    <r>
      <rPr>
        <sz val="10"/>
        <rFont val="Vazirmatn"/>
        <family val="0"/>
        <charset val="1"/>
      </rPr>
      <t xml:space="preserve">20  " 1/2 2 * " 3</t>
    </r>
  </si>
  <si>
    <t xml:space="preserve">31272810</t>
  </si>
  <si>
    <r>
      <rPr>
        <sz val="10"/>
        <rFont val="FreeSans"/>
        <family val="2"/>
      </rPr>
      <t xml:space="preserve">چهار راهی استیل                    </t>
    </r>
    <r>
      <rPr>
        <sz val="10"/>
        <rFont val="Vazirmatn"/>
        <family val="0"/>
        <charset val="1"/>
      </rPr>
      <t xml:space="preserve">" 6</t>
    </r>
  </si>
  <si>
    <t xml:space="preserve">31272812</t>
  </si>
  <si>
    <r>
      <rPr>
        <sz val="10"/>
        <rFont val="FreeSans"/>
        <family val="2"/>
      </rPr>
      <t xml:space="preserve">چهار راهی </t>
    </r>
    <r>
      <rPr>
        <sz val="10"/>
        <rFont val="Vazirmatn"/>
        <family val="0"/>
        <charset val="1"/>
      </rPr>
      <t xml:space="preserve">" 3    ( ABS )</t>
    </r>
  </si>
  <si>
    <t xml:space="preserve">31272813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</si>
  <si>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" 10 * " 8</t>
    </r>
  </si>
  <si>
    <t xml:space="preserve">31272814</t>
  </si>
  <si>
    <r>
      <rPr>
        <sz val="10"/>
        <rFont val="FreeSans"/>
        <family val="2"/>
      </rPr>
      <t xml:space="preserve">تبدیل آهنی جوشی درزدار رده </t>
    </r>
    <r>
      <rPr>
        <sz val="10"/>
        <rFont val="Vazirmatn"/>
        <family val="0"/>
        <charset val="1"/>
      </rPr>
      <t xml:space="preserve">10   "1 * "2</t>
    </r>
  </si>
  <si>
    <t xml:space="preserve">31272815</t>
  </si>
  <si>
    <r>
      <rPr>
        <sz val="10"/>
        <rFont val="FreeSans"/>
        <family val="2"/>
      </rPr>
      <t xml:space="preserve">تبدیل بوشن آذین   </t>
    </r>
    <r>
      <rPr>
        <sz val="10"/>
        <rFont val="Vazirmatn"/>
        <family val="0"/>
        <charset val="1"/>
      </rPr>
      <t xml:space="preserve">" 1/2 * "1</t>
    </r>
  </si>
  <si>
    <t xml:space="preserve">31272816</t>
  </si>
  <si>
    <r>
      <rPr>
        <sz val="10"/>
        <rFont val="FreeSans"/>
        <family val="2"/>
      </rPr>
      <t xml:space="preserve">تبدیل بوشن آذین  </t>
    </r>
    <r>
      <rPr>
        <sz val="10"/>
        <rFont val="Vazirmatn"/>
        <family val="0"/>
        <charset val="1"/>
      </rPr>
      <t xml:space="preserve">3/4 * "1</t>
    </r>
  </si>
  <si>
    <t xml:space="preserve">31272819</t>
  </si>
  <si>
    <r>
      <rPr>
        <sz val="10"/>
        <rFont val="FreeSans"/>
        <family val="2"/>
      </rPr>
      <t xml:space="preserve">تبدیل آذین    </t>
    </r>
    <r>
      <rPr>
        <sz val="10"/>
        <rFont val="Vazirmatn"/>
        <family val="0"/>
        <charset val="1"/>
      </rPr>
      <t xml:space="preserve">" 1/4 1 * " 3/4</t>
    </r>
  </si>
  <si>
    <t xml:space="preserve">31272821</t>
  </si>
  <si>
    <r>
      <rPr>
        <sz val="10"/>
        <rFont val="FreeSans"/>
        <family val="2"/>
      </rPr>
      <t xml:space="preserve">سه راهی تبدیلی آهنی مانیسمان  </t>
    </r>
    <r>
      <rPr>
        <sz val="10"/>
        <rFont val="Vazirmatn"/>
        <family val="0"/>
        <charset val="1"/>
      </rPr>
      <t xml:space="preserve">"1/2 2 * "6</t>
    </r>
  </si>
  <si>
    <t xml:space="preserve">31272822</t>
  </si>
  <si>
    <r>
      <rPr>
        <sz val="10"/>
        <rFont val="FreeSans"/>
        <family val="2"/>
      </rPr>
      <t xml:space="preserve">سه راهی تبدیلی آهنی مانیسمان </t>
    </r>
    <r>
      <rPr>
        <sz val="10"/>
        <rFont val="Vazirmatn"/>
        <family val="0"/>
        <charset val="1"/>
      </rPr>
      <t xml:space="preserve">" 4 * " 6</t>
    </r>
  </si>
  <si>
    <t xml:space="preserve">31272823</t>
  </si>
  <si>
    <r>
      <rPr>
        <sz val="10"/>
        <rFont val="FreeSans"/>
        <family val="2"/>
      </rPr>
      <t xml:space="preserve">سه راهی آهنی جوشی تبدیلی  </t>
    </r>
    <r>
      <rPr>
        <sz val="10"/>
        <rFont val="Vazirmatn"/>
        <family val="0"/>
        <charset val="1"/>
      </rPr>
      <t xml:space="preserve">" 5 * " 6</t>
    </r>
  </si>
  <si>
    <t xml:space="preserve">31272832</t>
  </si>
  <si>
    <r>
      <rPr>
        <sz val="10"/>
        <rFont val="FreeSans"/>
        <family val="2"/>
      </rPr>
      <t xml:space="preserve">سه راهی تبدیلی استیل صنایع شیری کلمپی </t>
    </r>
    <r>
      <rPr>
        <sz val="10"/>
        <rFont val="Vazirmatn"/>
        <family val="0"/>
        <charset val="1"/>
      </rPr>
      <t xml:space="preserve">" 2 * " 1/2 2</t>
    </r>
  </si>
  <si>
    <t xml:space="preserve">31272836</t>
  </si>
  <si>
    <r>
      <rPr>
        <sz val="10"/>
        <rFont val="FreeSans"/>
        <family val="2"/>
      </rPr>
      <t xml:space="preserve">سه راهی پلی اتیلن </t>
    </r>
    <r>
      <rPr>
        <sz val="10"/>
        <rFont val="Vazirmatn"/>
        <family val="0"/>
        <charset val="1"/>
      </rPr>
      <t xml:space="preserve">"1</t>
    </r>
  </si>
  <si>
    <t xml:space="preserve">31272837</t>
  </si>
  <si>
    <r>
      <rPr>
        <sz val="10"/>
        <rFont val="FreeSans"/>
        <family val="2"/>
      </rPr>
      <t xml:space="preserve">سه راهی پلی اتیلن یکسر رزوه </t>
    </r>
    <r>
      <rPr>
        <sz val="10"/>
        <rFont val="Vazirmatn"/>
        <family val="0"/>
        <charset val="1"/>
      </rPr>
      <t xml:space="preserve">"1</t>
    </r>
  </si>
  <si>
    <t xml:space="preserve">31272843</t>
  </si>
  <si>
    <r>
      <rPr>
        <sz val="10"/>
        <rFont val="FreeSans"/>
        <family val="2"/>
      </rPr>
      <t xml:space="preserve">سه راهی تقسیم آب پمپ کولر </t>
    </r>
    <r>
      <rPr>
        <sz val="10"/>
        <rFont val="Vazirmatn"/>
        <family val="0"/>
        <charset val="1"/>
      </rPr>
      <t xml:space="preserve">3500 </t>
    </r>
    <r>
      <rPr>
        <sz val="10"/>
        <rFont val="FreeSans"/>
        <family val="2"/>
      </rPr>
      <t xml:space="preserve">با متعلقات</t>
    </r>
  </si>
  <si>
    <t xml:space="preserve">31272850</t>
  </si>
  <si>
    <r>
      <rPr>
        <sz val="10"/>
        <rFont val="FreeSans"/>
        <family val="2"/>
      </rPr>
      <t xml:space="preserve">سه راهی دیواری نیوپایپ </t>
    </r>
    <r>
      <rPr>
        <sz val="10"/>
        <rFont val="Vazirmatn"/>
        <family val="0"/>
        <charset val="1"/>
      </rPr>
      <t xml:space="preserve">90  16*1/2*16</t>
    </r>
  </si>
  <si>
    <t xml:space="preserve">31272852</t>
  </si>
  <si>
    <r>
      <rPr>
        <sz val="10"/>
        <rFont val="FreeSans"/>
        <family val="2"/>
      </rPr>
      <t xml:space="preserve">تبدیل شیلنگ پیسوار </t>
    </r>
    <r>
      <rPr>
        <sz val="10"/>
        <rFont val="Vazirmatn"/>
        <family val="0"/>
        <charset val="1"/>
      </rPr>
      <t xml:space="preserve">" 1/2 * " 3/4</t>
    </r>
  </si>
  <si>
    <t xml:space="preserve">31272857</t>
  </si>
  <si>
    <r>
      <rPr>
        <sz val="10"/>
        <rFont val="FreeSans"/>
        <family val="2"/>
      </rPr>
      <t xml:space="preserve">تبدیل نیوپایپ  </t>
    </r>
    <r>
      <rPr>
        <sz val="10"/>
        <rFont val="Vazirmatn"/>
        <family val="0"/>
        <charset val="1"/>
      </rPr>
      <t xml:space="preserve">25 * 20</t>
    </r>
  </si>
  <si>
    <t xml:space="preserve">31272864</t>
  </si>
  <si>
    <r>
      <rPr>
        <sz val="10"/>
        <rFont val="FreeSans"/>
        <family val="2"/>
      </rPr>
      <t xml:space="preserve">تبدیل روپیچ توپیچ گالوانیزه </t>
    </r>
    <r>
      <rPr>
        <sz val="10"/>
        <rFont val="Vazirmatn"/>
        <family val="0"/>
        <charset val="1"/>
      </rPr>
      <t xml:space="preserve">" 3/4 * " 1/2</t>
    </r>
  </si>
  <si>
    <t xml:space="preserve">31272900</t>
  </si>
  <si>
    <r>
      <rPr>
        <sz val="10"/>
        <rFont val="FreeSans"/>
        <family val="2"/>
      </rPr>
      <t xml:space="preserve">زانویی آهنی جوشی           </t>
    </r>
    <r>
      <rPr>
        <sz val="10"/>
        <rFont val="Vazirmatn"/>
        <family val="0"/>
        <charset val="1"/>
      </rPr>
      <t xml:space="preserve">" 2</t>
    </r>
  </si>
  <si>
    <t xml:space="preserve">31273001</t>
  </si>
  <si>
    <t xml:space="preserve">کلگی پمپ خلاء</t>
  </si>
  <si>
    <t xml:space="preserve">31273008</t>
  </si>
  <si>
    <t xml:space="preserve">فلنج زیر یاتاقان سپراتور تغلیظ قدیم</t>
  </si>
  <si>
    <t xml:space="preserve">31273009</t>
  </si>
  <si>
    <r>
      <rPr>
        <sz val="10"/>
        <rFont val="FreeSans"/>
        <family val="2"/>
      </rPr>
      <t xml:space="preserve">فلنج آهنی تخت کلاس </t>
    </r>
    <r>
      <rPr>
        <sz val="10"/>
        <rFont val="Vazirmatn"/>
        <family val="0"/>
        <charset val="1"/>
      </rPr>
      <t xml:space="preserve">150      " Slip -On Flange    1.1/4</t>
    </r>
  </si>
  <si>
    <t xml:space="preserve">31273011</t>
  </si>
  <si>
    <r>
      <rPr>
        <sz val="10"/>
        <rFont val="FreeSans"/>
        <family val="2"/>
      </rPr>
      <t xml:space="preserve">فلنج آهنی تخت کلاس </t>
    </r>
    <r>
      <rPr>
        <sz val="10"/>
        <rFont val="Vazirmatn"/>
        <family val="0"/>
        <charset val="1"/>
      </rPr>
      <t xml:space="preserve">150     Slip -On Flange         "1</t>
    </r>
  </si>
  <si>
    <t xml:space="preserve">31273012</t>
  </si>
  <si>
    <r>
      <rPr>
        <sz val="10"/>
        <rFont val="FreeSans"/>
        <family val="2"/>
      </rPr>
      <t xml:space="preserve">فلنج آهنی تخت  کلاس </t>
    </r>
    <r>
      <rPr>
        <sz val="10"/>
        <rFont val="Vazirmatn"/>
        <family val="0"/>
        <charset val="1"/>
      </rPr>
      <t xml:space="preserve">150      Slip -On Flange "3</t>
    </r>
  </si>
  <si>
    <t xml:space="preserve">31273014</t>
  </si>
  <si>
    <r>
      <rPr>
        <sz val="10"/>
        <rFont val="FreeSans"/>
        <family val="2"/>
      </rPr>
      <t xml:space="preserve">فلنج  آهنی   گلودار     </t>
    </r>
    <r>
      <rPr>
        <sz val="10"/>
        <rFont val="Vazirmatn"/>
        <family val="0"/>
        <charset val="1"/>
      </rPr>
      <t xml:space="preserve">"1/2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    Welding Neck Flang</t>
    </r>
  </si>
  <si>
    <t xml:space="preserve">31273017</t>
  </si>
  <si>
    <r>
      <rPr>
        <sz val="10"/>
        <rFont val="FreeSans"/>
        <family val="2"/>
      </rPr>
      <t xml:space="preserve">فلنج آهنی    گلودار         </t>
    </r>
    <r>
      <rPr>
        <sz val="10"/>
        <rFont val="Vazirmatn"/>
        <family val="0"/>
        <charset val="1"/>
      </rPr>
      <t xml:space="preserve">"1/2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2      Welding Neck Flang</t>
    </r>
  </si>
  <si>
    <t xml:space="preserve">31273018</t>
  </si>
  <si>
    <r>
      <rPr>
        <sz val="10"/>
        <rFont val="FreeSans"/>
        <family val="2"/>
      </rPr>
      <t xml:space="preserve">فلنج آهنی تخت کلاس </t>
    </r>
    <r>
      <rPr>
        <sz val="10"/>
        <rFont val="Vazirmatn"/>
        <family val="0"/>
        <charset val="1"/>
      </rPr>
      <t xml:space="preserve">150   Slip -On Flange   "2</t>
    </r>
  </si>
  <si>
    <t xml:space="preserve">31273019</t>
  </si>
  <si>
    <r>
      <rPr>
        <sz val="10"/>
        <rFont val="FreeSans"/>
        <family val="2"/>
      </rPr>
      <t xml:space="preserve">فلنج آهنی گلودار           </t>
    </r>
    <r>
      <rPr>
        <sz val="10"/>
        <rFont val="Vazirmatn"/>
        <family val="0"/>
        <charset val="1"/>
      </rPr>
      <t xml:space="preserve">" 3     Welding Neck Flang</t>
    </r>
  </si>
  <si>
    <t xml:space="preserve">31273022</t>
  </si>
  <si>
    <r>
      <rPr>
        <sz val="10"/>
        <rFont val="FreeSans"/>
        <family val="2"/>
      </rPr>
      <t xml:space="preserve">فلنج آهنی گلودار کلاس </t>
    </r>
    <r>
      <rPr>
        <sz val="10"/>
        <rFont val="Vazirmatn"/>
        <family val="0"/>
        <charset val="1"/>
      </rPr>
      <t xml:space="preserve">150          "4   Welding Neck Flang</t>
    </r>
  </si>
  <si>
    <t xml:space="preserve">31273030</t>
  </si>
  <si>
    <t xml:space="preserve">فلنج هوزینگ سپراتور تغلیظ</t>
  </si>
  <si>
    <t xml:space="preserve">31273032</t>
  </si>
  <si>
    <r>
      <rPr>
        <sz val="10"/>
        <rFont val="FreeSans"/>
        <family val="2"/>
      </rPr>
      <t xml:space="preserve">فلنج آهنی گلودارکلاس </t>
    </r>
    <r>
      <rPr>
        <sz val="10"/>
        <rFont val="Vazirmatn"/>
        <family val="0"/>
        <charset val="1"/>
      </rPr>
      <t xml:space="preserve">150    Welding Neck Flang     "5</t>
    </r>
  </si>
  <si>
    <t xml:space="preserve">31273034</t>
  </si>
  <si>
    <r>
      <rPr>
        <sz val="10"/>
        <rFont val="FreeSans"/>
        <family val="2"/>
      </rPr>
      <t xml:space="preserve">فلنج آهنی تخت کلاس </t>
    </r>
    <r>
      <rPr>
        <sz val="10"/>
        <rFont val="Vazirmatn"/>
        <family val="0"/>
        <charset val="1"/>
      </rPr>
      <t xml:space="preserve">150       Slip -On Flange   "4</t>
    </r>
  </si>
  <si>
    <t xml:space="preserve">31273037</t>
  </si>
  <si>
    <r>
      <rPr>
        <sz val="10"/>
        <rFont val="FreeSans"/>
        <family val="2"/>
      </rPr>
      <t xml:space="preserve">فلنج آهنی تخت کلاس </t>
    </r>
    <r>
      <rPr>
        <sz val="10"/>
        <rFont val="Vazirmatn"/>
        <family val="0"/>
        <charset val="1"/>
      </rPr>
      <t xml:space="preserve">150      Slip -On Flange    "2.1/2</t>
    </r>
  </si>
  <si>
    <t xml:space="preserve">31273039</t>
  </si>
  <si>
    <r>
      <rPr>
        <sz val="10"/>
        <rFont val="FreeSans"/>
        <family val="2"/>
      </rPr>
      <t xml:space="preserve">فلنج آهنی تخت کلاس </t>
    </r>
    <r>
      <rPr>
        <sz val="10"/>
        <rFont val="Vazirmatn"/>
        <family val="0"/>
        <charset val="1"/>
      </rPr>
      <t xml:space="preserve">150      Slip -On Flange    "3/4</t>
    </r>
  </si>
  <si>
    <t xml:space="preserve">31273041</t>
  </si>
  <si>
    <r>
      <rPr>
        <sz val="10"/>
        <rFont val="FreeSans"/>
        <family val="2"/>
      </rPr>
      <t xml:space="preserve">فلنج آهنی تخت کلاس </t>
    </r>
    <r>
      <rPr>
        <sz val="10"/>
        <rFont val="Vazirmatn"/>
        <family val="0"/>
        <charset val="1"/>
      </rPr>
      <t xml:space="preserve">150       "1/2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   Slip -On Flange</t>
    </r>
  </si>
  <si>
    <t xml:space="preserve">31273042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</si>
  <si>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پایه دنده پنیون گیربکس دکانتور  </t>
    </r>
    <r>
      <rPr>
        <sz val="10"/>
        <rFont val="Vazirmatn"/>
        <family val="0"/>
        <charset val="1"/>
      </rPr>
      <t xml:space="preserve">040-3513-8655</t>
    </r>
  </si>
  <si>
    <t xml:space="preserve">31273049</t>
  </si>
  <si>
    <r>
      <rPr>
        <sz val="10"/>
        <rFont val="FreeSans"/>
        <family val="2"/>
      </rPr>
      <t xml:space="preserve">فلنج آهنی کور        </t>
    </r>
    <r>
      <rPr>
        <sz val="10"/>
        <rFont val="Vazirmatn"/>
        <family val="0"/>
        <charset val="1"/>
      </rPr>
      <t xml:space="preserve">"3    Bland flange</t>
    </r>
  </si>
  <si>
    <t xml:space="preserve">31273052</t>
  </si>
  <si>
    <r>
      <rPr>
        <sz val="10"/>
        <rFont val="FreeSans"/>
        <family val="2"/>
      </rPr>
      <t xml:space="preserve">فلنج آهنی تخت  </t>
    </r>
    <r>
      <rPr>
        <sz val="10"/>
        <rFont val="Vazirmatn"/>
        <family val="0"/>
        <charset val="1"/>
      </rPr>
      <t xml:space="preserve">"6    Slip -On Flange</t>
    </r>
  </si>
  <si>
    <t xml:space="preserve">31273053</t>
  </si>
  <si>
    <r>
      <rPr>
        <sz val="10"/>
        <rFont val="FreeSans"/>
        <family val="2"/>
      </rPr>
      <t xml:space="preserve">فلنج آهنی تخت کلاس </t>
    </r>
    <r>
      <rPr>
        <sz val="10"/>
        <rFont val="Vazirmatn"/>
        <family val="0"/>
        <charset val="1"/>
      </rPr>
      <t xml:space="preserve">150    " 5      Slip -On Flange</t>
    </r>
  </si>
  <si>
    <t xml:space="preserve">31273057</t>
  </si>
  <si>
    <r>
      <rPr>
        <sz val="10"/>
        <rFont val="FreeSans"/>
        <family val="2"/>
      </rPr>
      <t xml:space="preserve">فلنج آهنی تخت                </t>
    </r>
    <r>
      <rPr>
        <sz val="10"/>
        <rFont val="Vazirmatn"/>
        <family val="0"/>
        <charset val="1"/>
      </rPr>
      <t xml:space="preserve">"1/2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3</t>
    </r>
  </si>
  <si>
    <t xml:space="preserve">31273064</t>
  </si>
  <si>
    <r>
      <rPr>
        <sz val="10"/>
        <rFont val="FreeSans"/>
        <family val="2"/>
      </rPr>
      <t xml:space="preserve">فلنج آهنی تخت کلاس </t>
    </r>
    <r>
      <rPr>
        <sz val="10"/>
        <rFont val="Vazirmatn"/>
        <family val="0"/>
        <charset val="1"/>
      </rPr>
      <t xml:space="preserve">150    " 12      Slip -On Flange</t>
    </r>
  </si>
  <si>
    <t xml:space="preserve">31273066</t>
  </si>
  <si>
    <r>
      <rPr>
        <sz val="10"/>
        <rFont val="FreeSans"/>
        <family val="2"/>
      </rPr>
      <t xml:space="preserve">فلنج آهنی تخت کلاس </t>
    </r>
    <r>
      <rPr>
        <sz val="10"/>
        <rFont val="Vazirmatn"/>
        <family val="0"/>
        <charset val="1"/>
      </rPr>
      <t xml:space="preserve">150   " 24</t>
    </r>
  </si>
  <si>
    <t xml:space="preserve">31273068</t>
  </si>
  <si>
    <r>
      <rPr>
        <sz val="10"/>
        <rFont val="FreeSans"/>
        <family val="2"/>
      </rPr>
      <t xml:space="preserve">فلنج آهنی کور تخت کلاس </t>
    </r>
    <r>
      <rPr>
        <sz val="10"/>
        <rFont val="Vazirmatn"/>
        <family val="0"/>
        <charset val="1"/>
      </rPr>
      <t xml:space="preserve">150   " 24</t>
    </r>
  </si>
  <si>
    <t xml:space="preserve">31273070</t>
  </si>
  <si>
    <r>
      <rPr>
        <sz val="10"/>
        <rFont val="FreeSans"/>
        <family val="2"/>
      </rPr>
      <t xml:space="preserve">فلنج کونیک دار کلگی خشکن  </t>
    </r>
    <r>
      <rPr>
        <sz val="10"/>
        <rFont val="Vazirmatn"/>
        <family val="0"/>
        <charset val="1"/>
      </rPr>
      <t xml:space="preserve">DN 25</t>
    </r>
  </si>
  <si>
    <t xml:space="preserve">31273071</t>
  </si>
  <si>
    <r>
      <rPr>
        <sz val="10"/>
        <rFont val="FreeSans"/>
        <family val="2"/>
      </rPr>
      <t xml:space="preserve">فلنج فولادی جای ذغالی خشکن گلوتن  </t>
    </r>
    <r>
      <rPr>
        <sz val="10"/>
        <rFont val="Vazirmatn"/>
        <family val="0"/>
        <charset val="1"/>
      </rPr>
      <t xml:space="preserve">DN 32</t>
    </r>
  </si>
  <si>
    <t xml:space="preserve">31273072</t>
  </si>
  <si>
    <r>
      <rPr>
        <sz val="10"/>
        <rFont val="FreeSans"/>
        <family val="2"/>
      </rPr>
      <t xml:space="preserve">فلنج فولادی جای ذغالی خشکن جرم  </t>
    </r>
    <r>
      <rPr>
        <sz val="10"/>
        <rFont val="Vazirmatn"/>
        <family val="0"/>
        <charset val="1"/>
      </rPr>
      <t xml:space="preserve">DN 65</t>
    </r>
  </si>
  <si>
    <t xml:space="preserve">31273073</t>
  </si>
  <si>
    <r>
      <rPr>
        <sz val="10"/>
        <rFont val="FreeSans"/>
        <family val="2"/>
      </rPr>
      <t xml:space="preserve">فلنج آهنی تخت کلاس </t>
    </r>
    <r>
      <rPr>
        <sz val="10"/>
        <rFont val="Vazirmatn"/>
        <family val="0"/>
        <charset val="1"/>
      </rPr>
      <t xml:space="preserve">150                   "8</t>
    </r>
  </si>
  <si>
    <t xml:space="preserve">31273075</t>
  </si>
  <si>
    <r>
      <rPr>
        <sz val="10"/>
        <rFont val="FreeSans"/>
        <family val="2"/>
      </rPr>
      <t xml:space="preserve">فلنج استیل تخت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 "3      Slip -On Flange</t>
    </r>
  </si>
  <si>
    <t xml:space="preserve">31273078</t>
  </si>
  <si>
    <r>
      <rPr>
        <sz val="10"/>
        <rFont val="FreeSans"/>
        <family val="2"/>
      </rPr>
      <t xml:space="preserve">فلنج آلومینیومی الکتروموتور </t>
    </r>
    <r>
      <rPr>
        <sz val="10"/>
        <rFont val="Vazirmatn"/>
        <family val="0"/>
        <charset val="1"/>
      </rPr>
      <t xml:space="preserve">2/2KW 3000RPM</t>
    </r>
  </si>
  <si>
    <t xml:space="preserve">31273080</t>
  </si>
  <si>
    <r>
      <rPr>
        <sz val="10"/>
        <rFont val="FreeSans"/>
        <family val="2"/>
      </rPr>
      <t xml:space="preserve">فلنج آهنی کونیک دار کلگی ورودی بخار خشک کن گرند </t>
    </r>
    <r>
      <rPr>
        <sz val="10"/>
        <rFont val="Vazirmatn"/>
        <family val="0"/>
        <charset val="1"/>
      </rPr>
      <t xml:space="preserve">4"</t>
    </r>
  </si>
  <si>
    <t xml:space="preserve">31273081</t>
  </si>
  <si>
    <r>
      <rPr>
        <sz val="10"/>
        <rFont val="FreeSans"/>
        <family val="2"/>
      </rPr>
      <t xml:space="preserve">فلنج کونیک دار خشک کن گرند </t>
    </r>
    <r>
      <rPr>
        <sz val="10"/>
        <rFont val="Vazirmatn"/>
        <family val="0"/>
        <charset val="1"/>
      </rPr>
      <t xml:space="preserve">3"</t>
    </r>
  </si>
  <si>
    <t xml:space="preserve">31273082</t>
  </si>
  <si>
    <r>
      <rPr>
        <sz val="10"/>
        <rFont val="FreeSans"/>
        <family val="2"/>
      </rPr>
      <t xml:space="preserve">فلنج آهنی تخت کلگی ورودی بخار خشک کن گرند </t>
    </r>
    <r>
      <rPr>
        <sz val="10"/>
        <rFont val="Vazirmatn"/>
        <family val="0"/>
        <charset val="1"/>
      </rPr>
      <t xml:space="preserve">4"</t>
    </r>
  </si>
  <si>
    <t xml:space="preserve">31273083</t>
  </si>
  <si>
    <r>
      <rPr>
        <sz val="10"/>
        <rFont val="FreeSans"/>
        <family val="2"/>
      </rPr>
      <t xml:space="preserve">فلنج ساده خشک کن گرند </t>
    </r>
    <r>
      <rPr>
        <sz val="10"/>
        <rFont val="Vazirmatn"/>
        <family val="0"/>
        <charset val="1"/>
      </rPr>
      <t xml:space="preserve">3"</t>
    </r>
  </si>
  <si>
    <t xml:space="preserve">31273084</t>
  </si>
  <si>
    <r>
      <rPr>
        <sz val="10"/>
        <rFont val="FreeSans"/>
        <family val="2"/>
      </rPr>
      <t xml:space="preserve">فلنج آلومینیومی الکتروموتور موتوژن </t>
    </r>
    <r>
      <rPr>
        <sz val="10"/>
        <rFont val="Vazirmatn"/>
        <family val="0"/>
        <charset val="1"/>
      </rPr>
      <t xml:space="preserve">1/5KW</t>
    </r>
  </si>
  <si>
    <t xml:space="preserve">31273085</t>
  </si>
  <si>
    <r>
      <rPr>
        <sz val="10"/>
        <rFont val="FreeSans"/>
        <family val="2"/>
      </rPr>
      <t xml:space="preserve">فلنج آلومینیومی موتوژن </t>
    </r>
    <r>
      <rPr>
        <sz val="10"/>
        <rFont val="Vazirmatn"/>
        <family val="0"/>
        <charset val="1"/>
      </rPr>
      <t xml:space="preserve">2/2KW 1500RPM</t>
    </r>
  </si>
  <si>
    <t xml:space="preserve">31273101</t>
  </si>
  <si>
    <r>
      <rPr>
        <sz val="10"/>
        <rFont val="FreeSans"/>
        <family val="2"/>
      </rPr>
      <t xml:space="preserve">فلنج استیل تخت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    2.1/2"    Slip -On Flange</t>
    </r>
  </si>
  <si>
    <t xml:space="preserve">31273105</t>
  </si>
  <si>
    <r>
      <rPr>
        <sz val="10"/>
        <rFont val="FreeSans"/>
        <family val="2"/>
      </rPr>
      <t xml:space="preserve">فلنج استیل همزن تانک نشاسته </t>
    </r>
    <r>
      <rPr>
        <sz val="10"/>
        <rFont val="Vazirmatn"/>
        <family val="0"/>
        <charset val="1"/>
      </rPr>
      <t xml:space="preserve">15 * 125MM</t>
    </r>
  </si>
  <si>
    <t xml:space="preserve">31273107</t>
  </si>
  <si>
    <r>
      <rPr>
        <sz val="10"/>
        <rFont val="FreeSans"/>
        <family val="2"/>
      </rPr>
      <t xml:space="preserve">فلنج استیل تخت کلاس </t>
    </r>
    <r>
      <rPr>
        <sz val="10"/>
        <rFont val="Vazirmatn"/>
        <family val="0"/>
        <charset val="1"/>
      </rPr>
      <t xml:space="preserve">150          " 1/4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  Slip -On Flange</t>
    </r>
  </si>
  <si>
    <t xml:space="preserve">31273109</t>
  </si>
  <si>
    <r>
      <rPr>
        <sz val="10"/>
        <rFont val="FreeSans"/>
        <family val="2"/>
      </rPr>
      <t xml:space="preserve">فلنج استیل  تخت کلاس</t>
    </r>
    <r>
      <rPr>
        <sz val="10"/>
        <rFont val="Vazirmatn"/>
        <family val="0"/>
        <charset val="1"/>
      </rPr>
      <t xml:space="preserve">150  316    "2      Slip -On Flange</t>
    </r>
  </si>
  <si>
    <t xml:space="preserve">31273110</t>
  </si>
  <si>
    <r>
      <rPr>
        <sz val="10"/>
        <rFont val="FreeSans"/>
        <family val="2"/>
      </rPr>
      <t xml:space="preserve">فلنج استیل تخت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     "6       Slip -On Flange</t>
    </r>
  </si>
  <si>
    <t xml:space="preserve">31273112</t>
  </si>
  <si>
    <r>
      <rPr>
        <sz val="10"/>
        <rFont val="FreeSans"/>
        <family val="2"/>
      </rPr>
      <t xml:space="preserve">فلنج  استیل  تخت </t>
    </r>
    <r>
      <rPr>
        <sz val="10"/>
        <rFont val="Vazirmatn"/>
        <family val="0"/>
        <charset val="1"/>
      </rPr>
      <t xml:space="preserve">304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        "1       Slip -On Flange</t>
    </r>
  </si>
  <si>
    <t xml:space="preserve">31273113</t>
  </si>
  <si>
    <r>
      <rPr>
        <sz val="10"/>
        <rFont val="FreeSans"/>
        <family val="2"/>
      </rPr>
      <t xml:space="preserve">فلنج استیل 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جوشی گلودار     </t>
    </r>
    <r>
      <rPr>
        <sz val="10"/>
        <rFont val="Vazirmatn"/>
        <family val="0"/>
        <charset val="1"/>
      </rPr>
      <t xml:space="preserve">"2</t>
    </r>
  </si>
  <si>
    <t xml:space="preserve">31273114</t>
  </si>
  <si>
    <r>
      <rPr>
        <sz val="10"/>
        <rFont val="FreeSans"/>
        <family val="2"/>
      </rPr>
      <t xml:space="preserve">فلنج استیل تخت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    "1.1/2    Slip -On Flange</t>
    </r>
  </si>
  <si>
    <t xml:space="preserve">31273115</t>
  </si>
  <si>
    <r>
      <rPr>
        <sz val="10"/>
        <rFont val="FreeSans"/>
        <family val="2"/>
      </rPr>
      <t xml:space="preserve">فلنج استیل تخت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   Slip -On Flange        "1/2</t>
    </r>
  </si>
  <si>
    <t xml:space="preserve">31273116</t>
  </si>
  <si>
    <r>
      <rPr>
        <sz val="10"/>
        <rFont val="FreeSans"/>
        <family val="2"/>
      </rPr>
      <t xml:space="preserve">فلنج استیل تخت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  2.1/2"     Slip -On Flange</t>
    </r>
  </si>
  <si>
    <t xml:space="preserve">31273117</t>
  </si>
  <si>
    <r>
      <rPr>
        <sz val="10"/>
        <rFont val="FreeSans"/>
        <family val="2"/>
      </rPr>
      <t xml:space="preserve">فلنج استیل تخت                 </t>
    </r>
    <r>
      <rPr>
        <sz val="10"/>
        <rFont val="Vazirmatn"/>
        <family val="0"/>
        <charset val="1"/>
      </rPr>
      <t xml:space="preserve">" 3/4     Slip -On Flange</t>
    </r>
  </si>
  <si>
    <t xml:space="preserve">31273122</t>
  </si>
  <si>
    <r>
      <rPr>
        <sz val="10"/>
        <rFont val="FreeSans"/>
        <family val="2"/>
      </rPr>
      <t xml:space="preserve">فلنج استیل خشک کن جرم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</si>
  <si>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31273125</t>
  </si>
  <si>
    <r>
      <rPr>
        <sz val="10"/>
        <rFont val="FreeSans"/>
        <family val="2"/>
      </rPr>
      <t xml:space="preserve">فلنج استیل تخت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" 4    Slip -On Flange</t>
    </r>
  </si>
  <si>
    <t xml:space="preserve">31273126</t>
  </si>
  <si>
    <r>
      <rPr>
        <sz val="10"/>
        <rFont val="FreeSans"/>
        <family val="2"/>
      </rPr>
      <t xml:space="preserve">فلنج استیل                         </t>
    </r>
    <r>
      <rPr>
        <sz val="10"/>
        <rFont val="Vazirmatn"/>
        <family val="0"/>
        <charset val="1"/>
      </rPr>
      <t xml:space="preserve">" 14</t>
    </r>
  </si>
  <si>
    <t xml:space="preserve">31273133</t>
  </si>
  <si>
    <r>
      <rPr>
        <sz val="10"/>
        <rFont val="FreeSans"/>
        <family val="2"/>
      </rPr>
      <t xml:space="preserve">فلنج استیل تخت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     "4     Slip -On Flange</t>
    </r>
  </si>
  <si>
    <t xml:space="preserve">31273135</t>
  </si>
  <si>
    <r>
      <rPr>
        <sz val="10"/>
        <rFont val="FreeSans"/>
        <family val="2"/>
      </rPr>
      <t xml:space="preserve">فلنج استیل تخت کلاس </t>
    </r>
    <r>
      <rPr>
        <sz val="10"/>
        <rFont val="Vazirmatn"/>
        <family val="0"/>
        <charset val="1"/>
      </rPr>
      <t xml:space="preserve">150   304     "5         Slip -On Flange</t>
    </r>
  </si>
  <si>
    <t xml:space="preserve">31273137</t>
  </si>
  <si>
    <r>
      <rPr>
        <sz val="10"/>
        <rFont val="FreeSans"/>
        <family val="2"/>
      </rPr>
      <t xml:space="preserve">فلنج استیل تخت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   Slip -On Flange        "1</t>
    </r>
  </si>
  <si>
    <t xml:space="preserve">31273139</t>
  </si>
  <si>
    <r>
      <rPr>
        <sz val="10"/>
        <rFont val="FreeSans"/>
        <family val="2"/>
      </rPr>
      <t xml:space="preserve">فلنج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تخت کلاس </t>
    </r>
    <r>
      <rPr>
        <sz val="10"/>
        <rFont val="Vazirmatn"/>
        <family val="0"/>
        <charset val="1"/>
      </rPr>
      <t xml:space="preserve">150   Slip -On Flange   "2</t>
    </r>
  </si>
  <si>
    <t xml:space="preserve">31273140</t>
  </si>
  <si>
    <r>
      <rPr>
        <sz val="10"/>
        <rFont val="FreeSans"/>
        <family val="2"/>
      </rPr>
      <t xml:space="preserve">فلنج استیل تخت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      "8      Slip -On Flange</t>
    </r>
  </si>
  <si>
    <t xml:space="preserve">31273143</t>
  </si>
  <si>
    <r>
      <rPr>
        <sz val="10"/>
        <rFont val="FreeSans"/>
        <family val="2"/>
      </rPr>
      <t xml:space="preserve">فلنج استیل تخت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   Slip -On Flange        "8</t>
    </r>
  </si>
  <si>
    <t xml:space="preserve">31273146</t>
  </si>
  <si>
    <r>
      <rPr>
        <sz val="10"/>
        <rFont val="FreeSans"/>
        <family val="2"/>
      </rPr>
      <t xml:space="preserve">فلنج استیل تخت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150    Slip -On Flange        "3</t>
    </r>
  </si>
  <si>
    <t xml:space="preserve">31273148</t>
  </si>
  <si>
    <r>
      <rPr>
        <sz val="10"/>
        <rFont val="FreeSans"/>
        <family val="2"/>
      </rPr>
      <t xml:space="preserve">فلنج استیل کور             </t>
    </r>
    <r>
      <rPr>
        <sz val="10"/>
        <rFont val="Vazirmatn"/>
        <family val="0"/>
        <charset val="1"/>
      </rPr>
      <t xml:space="preserve">" 3</t>
    </r>
  </si>
  <si>
    <t xml:space="preserve">31273151</t>
  </si>
  <si>
    <r>
      <rPr>
        <sz val="10"/>
        <rFont val="FreeSans"/>
        <family val="2"/>
      </rPr>
      <t xml:space="preserve">فلنج  استیل  تخت  کلاس </t>
    </r>
    <r>
      <rPr>
        <sz val="10"/>
        <rFont val="Vazirmatn"/>
        <family val="0"/>
        <charset val="1"/>
      </rPr>
      <t xml:space="preserve">150   316      "10    Slip -On Flange</t>
    </r>
  </si>
  <si>
    <t xml:space="preserve">31273152</t>
  </si>
  <si>
    <r>
      <rPr>
        <sz val="10"/>
        <rFont val="FreeSans"/>
        <family val="2"/>
      </rPr>
      <t xml:space="preserve">فلنج  استیل تخت  کلاس </t>
    </r>
    <r>
      <rPr>
        <sz val="10"/>
        <rFont val="Vazirmatn"/>
        <family val="0"/>
        <charset val="1"/>
      </rPr>
      <t xml:space="preserve">150       " 16      Slip -On Flange</t>
    </r>
  </si>
  <si>
    <t xml:space="preserve">31273153</t>
  </si>
  <si>
    <r>
      <rPr>
        <sz val="10"/>
        <rFont val="FreeSans"/>
        <family val="2"/>
      </rPr>
      <t xml:space="preserve">فلنج آهنی تخت کلاس </t>
    </r>
    <r>
      <rPr>
        <sz val="10"/>
        <rFont val="Vazirmatn"/>
        <family val="0"/>
        <charset val="1"/>
      </rPr>
      <t xml:space="preserve">150      Slip -On Flange   "2</t>
    </r>
  </si>
  <si>
    <t xml:space="preserve">31273156</t>
  </si>
  <si>
    <r>
      <rPr>
        <sz val="10"/>
        <rFont val="FreeSans"/>
        <family val="2"/>
      </rPr>
      <t xml:space="preserve">فلنج  استیل  تخت               </t>
    </r>
    <r>
      <rPr>
        <sz val="10"/>
        <rFont val="Vazirmatn"/>
        <family val="0"/>
        <charset val="1"/>
      </rPr>
      <t xml:space="preserve">" 12</t>
    </r>
  </si>
  <si>
    <t xml:space="preserve">31273159</t>
  </si>
  <si>
    <r>
      <rPr>
        <sz val="10"/>
        <rFont val="FreeSans"/>
        <family val="2"/>
      </rPr>
      <t xml:space="preserve">فلنج استیل کور    </t>
    </r>
    <r>
      <rPr>
        <sz val="10"/>
        <rFont val="Vazirmatn"/>
        <family val="0"/>
        <charset val="1"/>
      </rPr>
      <t xml:space="preserve">"1/1/2</t>
    </r>
  </si>
  <si>
    <t xml:space="preserve">31273168</t>
  </si>
  <si>
    <r>
      <rPr>
        <sz val="10"/>
        <rFont val="FreeSans"/>
        <family val="2"/>
      </rPr>
      <t xml:space="preserve">فلنج جوشی دکانتور  </t>
    </r>
    <r>
      <rPr>
        <sz val="10"/>
        <rFont val="Vazirmatn"/>
        <family val="0"/>
        <charset val="1"/>
      </rPr>
      <t xml:space="preserve">010 - 6022 - 8417</t>
    </r>
  </si>
  <si>
    <t xml:space="preserve">31273169</t>
  </si>
  <si>
    <r>
      <rPr>
        <sz val="10"/>
        <rFont val="FreeSans"/>
        <family val="2"/>
      </rPr>
      <t xml:space="preserve">فلنج گیربکس ایلماز ورودی  </t>
    </r>
    <r>
      <rPr>
        <sz val="10"/>
        <rFont val="Vazirmatn"/>
        <family val="0"/>
        <charset val="1"/>
      </rPr>
      <t xml:space="preserve">EN125 - 00 - A13</t>
    </r>
  </si>
  <si>
    <t xml:space="preserve">31273170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</si>
  <si>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"5 (FLANGE UPVC	DN 125 )</t>
    </r>
  </si>
  <si>
    <t xml:space="preserve">31273172</t>
  </si>
  <si>
    <r>
      <rPr>
        <sz val="10"/>
        <rFont val="FreeSans"/>
        <family val="2"/>
      </rPr>
      <t xml:space="preserve">فلنج گیربکس ایلماز  </t>
    </r>
    <r>
      <rPr>
        <sz val="10"/>
        <rFont val="Vazirmatn"/>
        <family val="0"/>
        <charset val="1"/>
      </rPr>
      <t xml:space="preserve">EN100.00.A10</t>
    </r>
  </si>
  <si>
    <t xml:space="preserve">31273176</t>
  </si>
  <si>
    <r>
      <rPr>
        <sz val="10"/>
        <rFont val="FreeSans"/>
        <family val="2"/>
      </rPr>
      <t xml:space="preserve">فلنج استیل تخت کلاس </t>
    </r>
    <r>
      <rPr>
        <sz val="10"/>
        <rFont val="Vazirmatn"/>
        <family val="0"/>
        <charset val="1"/>
      </rPr>
      <t xml:space="preserve">150 "3/8</t>
    </r>
  </si>
  <si>
    <t xml:space="preserve">31273178</t>
  </si>
  <si>
    <r>
      <rPr>
        <sz val="10"/>
        <rFont val="FreeSans"/>
        <family val="2"/>
      </rPr>
      <t xml:space="preserve">فلنچ چدنی فرم </t>
    </r>
    <r>
      <rPr>
        <sz val="10"/>
        <rFont val="Vazirmatn"/>
        <family val="0"/>
        <charset val="1"/>
      </rPr>
      <t xml:space="preserve">160 </t>
    </r>
    <r>
      <rPr>
        <sz val="10"/>
        <rFont val="FreeSans"/>
        <family val="2"/>
      </rPr>
      <t xml:space="preserve">الکتروموتور </t>
    </r>
    <r>
      <rPr>
        <sz val="10"/>
        <rFont val="Vazirmatn"/>
        <family val="0"/>
        <charset val="1"/>
      </rPr>
      <t xml:space="preserve">18/5KW 3000RPM</t>
    </r>
  </si>
  <si>
    <t xml:space="preserve">31273179</t>
  </si>
  <si>
    <r>
      <rPr>
        <sz val="10"/>
        <rFont val="FreeSans"/>
        <family val="2"/>
      </rPr>
      <t xml:space="preserve">فلنج خروجی سمت همزن گیربکس ایلماز </t>
    </r>
    <r>
      <rPr>
        <sz val="10"/>
        <rFont val="Vazirmatn"/>
        <family val="0"/>
        <charset val="1"/>
      </rPr>
      <t xml:space="preserve">EN 125</t>
    </r>
  </si>
  <si>
    <t xml:space="preserve">31273180</t>
  </si>
  <si>
    <r>
      <rPr>
        <sz val="10"/>
        <rFont val="FreeSans"/>
        <family val="2"/>
      </rPr>
      <t xml:space="preserve">فلنج چدنی موتوژن فریم </t>
    </r>
    <r>
      <rPr>
        <sz val="10"/>
        <rFont val="Vazirmatn"/>
        <family val="0"/>
        <charset val="1"/>
      </rPr>
      <t xml:space="preserve">160</t>
    </r>
  </si>
  <si>
    <t xml:space="preserve">31273181</t>
  </si>
  <si>
    <r>
      <rPr>
        <sz val="10"/>
        <rFont val="FreeSans"/>
        <family val="2"/>
      </rPr>
      <t xml:space="preserve">فلنج کونیک دار خشک کن پوسته </t>
    </r>
    <r>
      <rPr>
        <sz val="10"/>
        <rFont val="Vazirmatn"/>
        <family val="0"/>
        <charset val="1"/>
      </rPr>
      <t xml:space="preserve">( RK 12 - DN 80 )</t>
    </r>
  </si>
  <si>
    <t xml:space="preserve">31273182</t>
  </si>
  <si>
    <r>
      <rPr>
        <sz val="10"/>
        <rFont val="FreeSans"/>
        <family val="2"/>
      </rPr>
      <t xml:space="preserve">فلنج کونیک دار و رینگ دو تیکه خشک کن پوسته </t>
    </r>
    <r>
      <rPr>
        <sz val="10"/>
        <rFont val="Vazirmatn"/>
        <family val="0"/>
        <charset val="1"/>
      </rPr>
      <t xml:space="preserve">( RK 12 - DN 80 )</t>
    </r>
  </si>
  <si>
    <t xml:space="preserve">31273183</t>
  </si>
  <si>
    <r>
      <rPr>
        <sz val="10"/>
        <rFont val="FreeSans"/>
        <family val="2"/>
      </rPr>
      <t xml:space="preserve">فلنج چدنی موتوژن </t>
    </r>
    <r>
      <rPr>
        <sz val="10"/>
        <rFont val="Vazirmatn"/>
        <family val="0"/>
        <charset val="1"/>
      </rPr>
      <t xml:space="preserve">22KW - 1500RPM ( </t>
    </r>
    <r>
      <rPr>
        <sz val="10"/>
        <rFont val="FreeSans"/>
        <family val="2"/>
      </rPr>
      <t xml:space="preserve">فریم </t>
    </r>
    <r>
      <rPr>
        <sz val="10"/>
        <rFont val="Vazirmatn"/>
        <family val="0"/>
        <charset val="1"/>
      </rPr>
      <t xml:space="preserve">180L )</t>
    </r>
  </si>
  <si>
    <t xml:space="preserve">31273209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</si>
  <si>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"3 ( FLANGE UPVC  DN 80 )</t>
    </r>
  </si>
  <si>
    <t xml:space="preserve">31273220</t>
  </si>
  <si>
    <r>
      <rPr>
        <sz val="10"/>
        <rFont val="FreeSans"/>
        <family val="2"/>
      </rPr>
      <t xml:space="preserve">فلنج ورودی پمپ تانکر حمل گلوکوز       </t>
    </r>
    <r>
      <rPr>
        <sz val="10"/>
        <rFont val="Vazirmatn"/>
        <family val="0"/>
        <charset val="1"/>
      </rPr>
      <t xml:space="preserve">jk9</t>
    </r>
  </si>
  <si>
    <t xml:space="preserve">31273221</t>
  </si>
  <si>
    <r>
      <rPr>
        <sz val="10"/>
        <rFont val="FreeSans"/>
        <family val="2"/>
      </rPr>
      <t xml:space="preserve">فلنج آتش نشانی  </t>
    </r>
    <r>
      <rPr>
        <sz val="10"/>
        <rFont val="Vazirmatn"/>
        <family val="0"/>
        <charset val="1"/>
      </rPr>
      <t xml:space="preserve">"4</t>
    </r>
  </si>
  <si>
    <t xml:space="preserve">31273235</t>
  </si>
  <si>
    <r>
      <rPr>
        <sz val="10"/>
        <rFont val="FreeSans"/>
        <family val="2"/>
      </rPr>
      <t xml:space="preserve">فلنج    </t>
    </r>
    <r>
      <rPr>
        <sz val="10"/>
        <rFont val="Vazirmatn"/>
        <family val="0"/>
        <charset val="1"/>
      </rPr>
      <t xml:space="preserve">" UPVC     4</t>
    </r>
  </si>
  <si>
    <t xml:space="preserve">31273249</t>
  </si>
  <si>
    <r>
      <rPr>
        <sz val="10"/>
        <rFont val="FreeSans"/>
        <family val="2"/>
      </rPr>
      <t xml:space="preserve">فلنج تفلونی گلودار </t>
    </r>
    <r>
      <rPr>
        <sz val="10"/>
        <rFont val="Vazirmatn"/>
        <family val="0"/>
        <charset val="1"/>
      </rPr>
      <t xml:space="preserve">" 2</t>
    </r>
  </si>
  <si>
    <t xml:space="preserve">31273252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</si>
  <si>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 3/4    ( ABS )</t>
    </r>
  </si>
  <si>
    <t xml:space="preserve">31273253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</si>
  <si>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 1    ( ABS )</t>
    </r>
  </si>
  <si>
    <t xml:space="preserve">31273254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</si>
  <si>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 2    ( ABS )</t>
    </r>
  </si>
  <si>
    <t xml:space="preserve">31273255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</si>
  <si>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  ( ABS )</t>
    </r>
  </si>
  <si>
    <t xml:space="preserve">31273257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</si>
  <si>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 4  ( ABS )</t>
    </r>
  </si>
  <si>
    <t xml:space="preserve">31273258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</si>
  <si>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 ( ABS )</t>
    </r>
  </si>
  <si>
    <t xml:space="preserve">31273259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</si>
  <si>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 1/2   ( ABS )</t>
    </r>
  </si>
  <si>
    <t xml:space="preserve">31273277</t>
  </si>
  <si>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"3 (FLANGE CPVC	DN 80 )</t>
    </r>
  </si>
  <si>
    <t xml:space="preserve">31273367</t>
  </si>
  <si>
    <r>
      <rPr>
        <sz val="10"/>
        <rFont val="FreeSans"/>
        <family val="2"/>
      </rPr>
      <t xml:space="preserve">سر فلنج  </t>
    </r>
    <r>
      <rPr>
        <sz val="10"/>
        <rFont val="Vazirmatn"/>
        <family val="0"/>
        <charset val="1"/>
      </rPr>
      <t xml:space="preserve">" 1   UPVC</t>
    </r>
  </si>
  <si>
    <t xml:space="preserve">31273368</t>
  </si>
  <si>
    <r>
      <rPr>
        <sz val="10"/>
        <rFont val="FreeSans"/>
        <family val="2"/>
      </rPr>
      <t xml:space="preserve">سرفلنج پلی اتیلن بارینگ آهنی کلاس </t>
    </r>
    <r>
      <rPr>
        <sz val="10"/>
        <rFont val="Vazirmatn"/>
        <family val="0"/>
        <charset val="1"/>
      </rPr>
      <t xml:space="preserve">100      2.1/2</t>
    </r>
  </si>
  <si>
    <t xml:space="preserve">31273369</t>
  </si>
  <si>
    <r>
      <rPr>
        <sz val="10"/>
        <rFont val="FreeSans"/>
        <family val="2"/>
      </rPr>
      <t xml:space="preserve">سر فلنج    </t>
    </r>
    <r>
      <rPr>
        <sz val="10"/>
        <rFont val="Vazirmatn"/>
        <family val="0"/>
        <charset val="1"/>
      </rPr>
      <t xml:space="preserve">UPVC       10bar        1.1/2</t>
    </r>
  </si>
  <si>
    <t xml:space="preserve">31273371</t>
  </si>
  <si>
    <r>
      <rPr>
        <sz val="10"/>
        <rFont val="FreeSans"/>
        <family val="2"/>
      </rPr>
      <t xml:space="preserve">سر فلنج استیل مانیسمان  رده </t>
    </r>
    <r>
      <rPr>
        <sz val="10"/>
        <rFont val="Vazirmatn"/>
        <family val="0"/>
        <charset val="1"/>
      </rPr>
      <t xml:space="preserve">10     304       "3</t>
    </r>
  </si>
  <si>
    <t xml:space="preserve">31273372</t>
  </si>
  <si>
    <r>
      <rPr>
        <sz val="10"/>
        <rFont val="FreeSans"/>
        <family val="2"/>
      </rPr>
      <t xml:space="preserve">سر فلنج </t>
    </r>
    <r>
      <rPr>
        <sz val="10"/>
        <rFont val="Vazirmatn"/>
        <family val="0"/>
        <charset val="1"/>
      </rPr>
      <t xml:space="preserve">"  4   UPVC</t>
    </r>
  </si>
  <si>
    <t xml:space="preserve">31273373</t>
  </si>
  <si>
    <r>
      <rPr>
        <sz val="10"/>
        <rFont val="FreeSans"/>
        <family val="2"/>
      </rPr>
      <t xml:space="preserve">سر فلنج </t>
    </r>
    <r>
      <rPr>
        <sz val="10"/>
        <rFont val="Vazirmatn"/>
        <family val="0"/>
        <charset val="1"/>
      </rPr>
      <t xml:space="preserve">"  1/2 2   UPVC</t>
    </r>
  </si>
  <si>
    <t xml:space="preserve">31273374</t>
  </si>
  <si>
    <r>
      <rPr>
        <sz val="10"/>
        <rFont val="FreeSans"/>
        <family val="2"/>
      </rPr>
      <t xml:space="preserve">سر فلنج پلی اتیلن  </t>
    </r>
    <r>
      <rPr>
        <sz val="10"/>
        <rFont val="Vazirmatn"/>
        <family val="0"/>
        <charset val="1"/>
      </rPr>
      <t xml:space="preserve">" 3</t>
    </r>
  </si>
  <si>
    <t xml:space="preserve">31273375</t>
  </si>
  <si>
    <r>
      <rPr>
        <sz val="10"/>
        <rFont val="FreeSans"/>
        <family val="2"/>
      </rPr>
      <t xml:space="preserve">سر فلنج پلی اتیلن  </t>
    </r>
    <r>
      <rPr>
        <sz val="10"/>
        <rFont val="Vazirmatn"/>
        <family val="0"/>
        <charset val="1"/>
      </rPr>
      <t xml:space="preserve">" 5</t>
    </r>
  </si>
  <si>
    <t xml:space="preserve">31273376</t>
  </si>
  <si>
    <r>
      <rPr>
        <sz val="10"/>
        <rFont val="FreeSans"/>
        <family val="2"/>
      </rPr>
      <t xml:space="preserve">سر فلنج پلی اتیلن  </t>
    </r>
    <r>
      <rPr>
        <sz val="10"/>
        <rFont val="Vazirmatn"/>
        <family val="0"/>
        <charset val="1"/>
      </rPr>
      <t xml:space="preserve">" 4</t>
    </r>
  </si>
  <si>
    <t xml:space="preserve">31273377</t>
  </si>
  <si>
    <r>
      <rPr>
        <sz val="10"/>
        <rFont val="FreeSans"/>
        <family val="2"/>
      </rPr>
      <t xml:space="preserve">سر فلنج پلی اتیلن  </t>
    </r>
    <r>
      <rPr>
        <sz val="10"/>
        <rFont val="Vazirmatn"/>
        <family val="0"/>
        <charset val="1"/>
      </rPr>
      <t xml:space="preserve">" 6</t>
    </r>
  </si>
  <si>
    <t xml:space="preserve">31273378</t>
  </si>
  <si>
    <r>
      <rPr>
        <sz val="10"/>
        <rFont val="FreeSans"/>
        <family val="2"/>
      </rPr>
      <t xml:space="preserve">سرفلنج  استیل                </t>
    </r>
    <r>
      <rPr>
        <sz val="10"/>
        <rFont val="Vazirmatn"/>
        <family val="0"/>
        <charset val="1"/>
      </rPr>
      <t xml:space="preserve">"1/2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2</t>
    </r>
  </si>
  <si>
    <t xml:space="preserve">31273379</t>
  </si>
  <si>
    <r>
      <rPr>
        <sz val="10"/>
        <rFont val="FreeSans"/>
        <family val="2"/>
      </rPr>
      <t xml:space="preserve">سرفلنج استیل                  </t>
    </r>
    <r>
      <rPr>
        <sz val="10"/>
        <rFont val="Vazirmatn"/>
        <family val="0"/>
        <charset val="1"/>
      </rPr>
      <t xml:space="preserve">"3/4</t>
    </r>
  </si>
  <si>
    <t xml:space="preserve">31273380</t>
  </si>
  <si>
    <r>
      <rPr>
        <sz val="10"/>
        <rFont val="FreeSans"/>
        <family val="2"/>
      </rPr>
      <t xml:space="preserve">سرفلنچ استیل                     </t>
    </r>
    <r>
      <rPr>
        <sz val="10"/>
        <rFont val="Vazirmatn"/>
        <family val="0"/>
        <charset val="1"/>
      </rPr>
      <t xml:space="preserve">" 2</t>
    </r>
  </si>
  <si>
    <t xml:space="preserve">31273383</t>
  </si>
  <si>
    <r>
      <rPr>
        <sz val="10"/>
        <rFont val="FreeSans"/>
        <family val="2"/>
      </rPr>
      <t xml:space="preserve">سر فلنج استیل                      </t>
    </r>
    <r>
      <rPr>
        <sz val="10"/>
        <rFont val="Vazirmatn"/>
        <family val="0"/>
        <charset val="1"/>
      </rPr>
      <t xml:space="preserve">"5</t>
    </r>
  </si>
  <si>
    <t xml:space="preserve">31273385</t>
  </si>
  <si>
    <r>
      <rPr>
        <sz val="10"/>
        <rFont val="FreeSans"/>
        <family val="2"/>
      </rPr>
      <t xml:space="preserve">سرفلنج استیل               </t>
    </r>
    <r>
      <rPr>
        <sz val="10"/>
        <rFont val="Vazirmatn"/>
        <family val="0"/>
        <charset val="1"/>
      </rPr>
      <t xml:space="preserve">"6</t>
    </r>
  </si>
  <si>
    <t xml:space="preserve">31273387</t>
  </si>
  <si>
    <r>
      <rPr>
        <sz val="10"/>
        <rFont val="FreeSans"/>
        <family val="2"/>
      </rPr>
      <t xml:space="preserve">سرفلنج استیل                 </t>
    </r>
    <r>
      <rPr>
        <sz val="10"/>
        <rFont val="Vazirmatn"/>
        <family val="0"/>
        <charset val="1"/>
      </rPr>
      <t xml:space="preserve">"1/2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</t>
    </r>
  </si>
  <si>
    <t xml:space="preserve">31273388</t>
  </si>
  <si>
    <r>
      <rPr>
        <sz val="10"/>
        <rFont val="FreeSans"/>
        <family val="2"/>
      </rPr>
      <t xml:space="preserve">سرفلنج استیل                     </t>
    </r>
    <r>
      <rPr>
        <sz val="10"/>
        <rFont val="Vazirmatn"/>
        <family val="0"/>
        <charset val="1"/>
      </rPr>
      <t xml:space="preserve">"10</t>
    </r>
  </si>
  <si>
    <t xml:space="preserve">31273389</t>
  </si>
  <si>
    <r>
      <rPr>
        <sz val="10"/>
        <rFont val="FreeSans"/>
        <family val="2"/>
      </rPr>
      <t xml:space="preserve">سرفلنج استیل                  </t>
    </r>
    <r>
      <rPr>
        <sz val="10"/>
        <rFont val="Vazirmatn"/>
        <family val="0"/>
        <charset val="1"/>
      </rPr>
      <t xml:space="preserve">"1/2</t>
    </r>
  </si>
  <si>
    <t xml:space="preserve">31273390</t>
  </si>
  <si>
    <r>
      <rPr>
        <sz val="10"/>
        <rFont val="FreeSans"/>
        <family val="2"/>
      </rPr>
      <t xml:space="preserve">سرفلنچ استیل </t>
    </r>
    <r>
      <rPr>
        <sz val="10"/>
        <rFont val="Vazirmatn"/>
        <family val="0"/>
        <charset val="1"/>
      </rPr>
      <t xml:space="preserve">304   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                   "1</t>
    </r>
  </si>
  <si>
    <t xml:space="preserve">31273391</t>
  </si>
  <si>
    <r>
      <rPr>
        <sz val="10"/>
        <rFont val="FreeSans"/>
        <family val="2"/>
      </rPr>
      <t xml:space="preserve">سر فلنج استیل                   </t>
    </r>
    <r>
      <rPr>
        <sz val="10"/>
        <rFont val="Vazirmatn"/>
        <family val="0"/>
        <charset val="1"/>
      </rPr>
      <t xml:space="preserve">"8</t>
    </r>
  </si>
  <si>
    <t xml:space="preserve">31273392</t>
  </si>
  <si>
    <r>
      <rPr>
        <sz val="10"/>
        <rFont val="FreeSans"/>
        <family val="2"/>
      </rPr>
      <t xml:space="preserve">سر فلنج استیل </t>
    </r>
    <r>
      <rPr>
        <sz val="10"/>
        <rFont val="Vazirmatn"/>
        <family val="0"/>
        <charset val="1"/>
      </rPr>
      <t xml:space="preserve">304  </t>
    </r>
    <r>
      <rPr>
        <sz val="10"/>
        <rFont val="FreeSans"/>
        <family val="2"/>
      </rPr>
      <t xml:space="preserve">رده </t>
    </r>
    <r>
      <rPr>
        <sz val="10"/>
        <rFont val="Vazirmatn"/>
        <family val="0"/>
        <charset val="1"/>
      </rPr>
      <t xml:space="preserve">10                   " 3</t>
    </r>
  </si>
  <si>
    <t xml:space="preserve">31273394</t>
  </si>
  <si>
    <r>
      <rPr>
        <sz val="10"/>
        <rFont val="FreeSans"/>
        <family val="2"/>
      </rPr>
      <t xml:space="preserve">سرفلنچ  استیل                    </t>
    </r>
    <r>
      <rPr>
        <sz val="10"/>
        <rFont val="Vazirmatn"/>
        <family val="0"/>
        <charset val="1"/>
      </rPr>
      <t xml:space="preserve">"12</t>
    </r>
  </si>
  <si>
    <t xml:space="preserve">31273397</t>
  </si>
  <si>
    <r>
      <rPr>
        <sz val="10"/>
        <rFont val="FreeSans"/>
        <family val="2"/>
      </rPr>
      <t xml:space="preserve">سر فلنج استیل     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</si>
  <si>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31273399</t>
  </si>
  <si>
    <r>
      <rPr>
        <sz val="10"/>
        <rFont val="FreeSans"/>
        <family val="2"/>
      </rPr>
      <t xml:space="preserve">سر فلنج </t>
    </r>
    <r>
      <rPr>
        <sz val="10"/>
        <rFont val="Vazirmatn"/>
        <family val="0"/>
        <charset val="1"/>
      </rPr>
      <t xml:space="preserve">"  3   UPVC</t>
    </r>
  </si>
  <si>
    <t xml:space="preserve">31273423</t>
  </si>
  <si>
    <r>
      <rPr>
        <sz val="10"/>
        <rFont val="FreeSans"/>
        <family val="2"/>
      </rPr>
      <t xml:space="preserve">تبدیل آهنی مانیسمان رده </t>
    </r>
    <r>
      <rPr>
        <sz val="10"/>
        <rFont val="Vazirmatn"/>
        <family val="0"/>
        <charset val="1"/>
      </rPr>
      <t xml:space="preserve">40    "2 * "2.1/2</t>
    </r>
  </si>
  <si>
    <t xml:space="preserve">31273429</t>
  </si>
  <si>
    <r>
      <rPr>
        <sz val="10"/>
        <rFont val="FreeSans"/>
        <family val="2"/>
      </rPr>
      <t xml:space="preserve">تبدیل آهنی جوشی </t>
    </r>
    <r>
      <rPr>
        <sz val="10"/>
        <rFont val="Vazirmatn"/>
        <family val="0"/>
        <charset val="1"/>
      </rPr>
      <t xml:space="preserve">"12 *"8</t>
    </r>
  </si>
  <si>
    <t xml:space="preserve">31273438</t>
  </si>
  <si>
    <r>
      <rPr>
        <sz val="10"/>
        <rFont val="FreeSans"/>
        <family val="2"/>
      </rPr>
      <t xml:space="preserve">تبدیل جوشی آهنی          </t>
    </r>
    <r>
      <rPr>
        <sz val="10"/>
        <rFont val="Vazirmatn"/>
        <family val="0"/>
        <charset val="1"/>
      </rPr>
      <t xml:space="preserve">1/4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1*  1/2 2</t>
    </r>
  </si>
  <si>
    <t xml:space="preserve">31273451</t>
  </si>
  <si>
    <r>
      <rPr>
        <sz val="10"/>
        <rFont val="FreeSans"/>
        <family val="2"/>
      </rPr>
      <t xml:space="preserve">تبدیل جوشی آهنی </t>
    </r>
    <r>
      <rPr>
        <sz val="10"/>
        <rFont val="Vazirmatn"/>
        <family val="0"/>
        <charset val="1"/>
      </rPr>
      <t xml:space="preserve">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2 *2</t>
    </r>
  </si>
  <si>
    <t xml:space="preserve">31273452</t>
  </si>
  <si>
    <r>
      <rPr>
        <sz val="10"/>
        <rFont val="FreeSans"/>
        <family val="2"/>
      </rPr>
      <t xml:space="preserve">تبدیل آهنی  جوشی مانیسمان رده </t>
    </r>
    <r>
      <rPr>
        <sz val="10"/>
        <rFont val="Vazirmatn"/>
        <family val="0"/>
        <charset val="1"/>
      </rPr>
      <t xml:space="preserve">40     "1*"2</t>
    </r>
  </si>
  <si>
    <t xml:space="preserve">31273453</t>
  </si>
  <si>
    <r>
      <rPr>
        <sz val="10"/>
        <rFont val="FreeSans"/>
        <family val="2"/>
      </rPr>
      <t xml:space="preserve">تبدیل جوشی آهنی    </t>
    </r>
    <r>
      <rPr>
        <sz val="10"/>
        <rFont val="Vazirmatn"/>
        <family val="0"/>
        <charset val="1"/>
      </rPr>
      <t xml:space="preserve">" 6 * " 8</t>
    </r>
  </si>
  <si>
    <t xml:space="preserve">31273459</t>
  </si>
  <si>
    <r>
      <rPr>
        <sz val="10"/>
        <rFont val="FreeSans"/>
        <family val="2"/>
      </rPr>
      <t xml:space="preserve">تبدیل جوشی اینچ </t>
    </r>
    <r>
      <rPr>
        <sz val="10"/>
        <rFont val="Vazirmatn"/>
        <family val="0"/>
        <charset val="1"/>
      </rPr>
      <t xml:space="preserve">1/2*1 3/4</t>
    </r>
  </si>
  <si>
    <t xml:space="preserve">31273463</t>
  </si>
  <si>
    <r>
      <rPr>
        <sz val="10"/>
        <rFont val="FreeSans"/>
        <family val="2"/>
      </rPr>
      <t xml:space="preserve">تبدیل استیل پمپ تغذیه سپراتور </t>
    </r>
    <r>
      <rPr>
        <sz val="10"/>
        <rFont val="Vazirmatn"/>
        <family val="0"/>
        <charset val="1"/>
      </rPr>
      <t xml:space="preserve">65 * 28</t>
    </r>
  </si>
  <si>
    <t xml:space="preserve">31273465</t>
  </si>
  <si>
    <t xml:space="preserve">تبدیل استیل پمپ شربت یک لبه</t>
  </si>
  <si>
    <t xml:space="preserve">31273466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</si>
  <si>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"1 * "2</t>
    </r>
  </si>
  <si>
    <t xml:space="preserve">31273467</t>
  </si>
  <si>
    <r>
      <rPr>
        <sz val="10"/>
        <rFont val="FreeSans"/>
        <family val="2"/>
      </rPr>
      <t xml:space="preserve">تبدیل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"3 * "4</t>
    </r>
  </si>
  <si>
    <t xml:space="preserve">31273471</t>
  </si>
  <si>
    <t xml:space="preserve">تبدیل استیل</t>
  </si>
  <si>
    <t xml:space="preserve">31273473</t>
  </si>
  <si>
    <r>
      <rPr>
        <sz val="10"/>
        <rFont val="FreeSans"/>
        <family val="2"/>
      </rPr>
      <t xml:space="preserve">تبدیل استیل دنده ای </t>
    </r>
    <r>
      <rPr>
        <sz val="10"/>
        <rFont val="Vazirmatn"/>
        <family val="0"/>
        <charset val="1"/>
      </rPr>
      <t xml:space="preserve">"1*"1/4   1</t>
    </r>
  </si>
  <si>
    <t xml:space="preserve">31273474</t>
  </si>
  <si>
    <t xml:space="preserve">تبدیل دو لبه استیل پروانه پمپ سرند اورینگ دار</t>
  </si>
  <si>
    <t xml:space="preserve">31273477</t>
  </si>
  <si>
    <t xml:space="preserve">تبدیل دو لبه استیل پروانه پمپ سرند سوراخ دار</t>
  </si>
  <si>
    <t xml:space="preserve">31273486</t>
  </si>
  <si>
    <r>
      <rPr>
        <sz val="10"/>
        <rFont val="FreeSans"/>
        <family val="2"/>
      </rPr>
      <t xml:space="preserve">تبدیل استیل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 هم مرکز رده </t>
    </r>
    <r>
      <rPr>
        <sz val="10"/>
        <rFont val="Vazirmatn"/>
        <family val="0"/>
        <charset val="1"/>
      </rPr>
      <t xml:space="preserve">10     " 2 * " 3</t>
    </r>
  </si>
  <si>
    <t xml:space="preserve">31273487</t>
  </si>
  <si>
    <r>
      <rPr>
        <sz val="10"/>
        <rFont val="FreeSans"/>
        <family val="2"/>
      </rPr>
      <t xml:space="preserve">تبدیل استیل جوشی    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2</t>
    </r>
  </si>
  <si>
    <t xml:space="preserve">31273490</t>
  </si>
  <si>
    <r>
      <rPr>
        <sz val="10"/>
        <rFont val="FreeSans"/>
        <family val="2"/>
      </rPr>
      <t xml:space="preserve">تبدیل استیل جوشی      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* " 2</t>
    </r>
  </si>
  <si>
    <t xml:space="preserve">31273491</t>
  </si>
  <si>
    <r>
      <rPr>
        <sz val="10"/>
        <rFont val="FreeSans"/>
        <family val="2"/>
      </rPr>
      <t xml:space="preserve">تبدیل  جوشی  استیل            </t>
    </r>
    <r>
      <rPr>
        <sz val="10"/>
        <rFont val="Vazirmatn"/>
        <family val="0"/>
        <charset val="1"/>
      </rPr>
      <t xml:space="preserve">2*1</t>
    </r>
  </si>
  <si>
    <t xml:space="preserve">31273493</t>
  </si>
  <si>
    <r>
      <rPr>
        <sz val="10"/>
        <rFont val="FreeSans"/>
        <family val="2"/>
      </rPr>
      <t xml:space="preserve">تبدیل جوشی استیل           </t>
    </r>
    <r>
      <rPr>
        <sz val="10"/>
        <rFont val="Vazirmatn"/>
        <family val="0"/>
        <charset val="1"/>
      </rPr>
      <t xml:space="preserve">" 6  * " 3</t>
    </r>
  </si>
  <si>
    <t xml:space="preserve">31273494</t>
  </si>
  <si>
    <r>
      <rPr>
        <sz val="10"/>
        <rFont val="FreeSans"/>
        <family val="2"/>
      </rPr>
      <t xml:space="preserve">تبدیل استیل جوشی           </t>
    </r>
    <r>
      <rPr>
        <sz val="10"/>
        <rFont val="Vazirmatn"/>
        <family val="0"/>
        <charset val="1"/>
      </rPr>
      <t xml:space="preserve">" 4 * " 5</t>
    </r>
  </si>
  <si>
    <t xml:space="preserve">31273495</t>
  </si>
  <si>
    <r>
      <rPr>
        <sz val="10"/>
        <rFont val="FreeSans"/>
        <family val="2"/>
      </rPr>
      <t xml:space="preserve">تبدیل استیل جوشی           </t>
    </r>
    <r>
      <rPr>
        <sz val="10"/>
        <rFont val="Vazirmatn"/>
        <family val="0"/>
        <charset val="1"/>
      </rPr>
      <t xml:space="preserve">" 3  *  " 5</t>
    </r>
  </si>
  <si>
    <t xml:space="preserve">31273502</t>
  </si>
  <si>
    <r>
      <rPr>
        <sz val="10"/>
        <rFont val="FreeSans"/>
        <family val="2"/>
      </rPr>
      <t xml:space="preserve">تبدیل آهنی مانیسمان رده </t>
    </r>
    <r>
      <rPr>
        <sz val="10"/>
        <rFont val="Vazirmatn"/>
        <family val="0"/>
        <charset val="1"/>
      </rPr>
      <t xml:space="preserve">40  " 8 * " 5</t>
    </r>
  </si>
  <si>
    <t xml:space="preserve">31273503</t>
  </si>
  <si>
    <r>
      <rPr>
        <sz val="10"/>
        <rFont val="FreeSans"/>
        <family val="2"/>
      </rPr>
      <t xml:space="preserve">تبدیل استیل جوشی       </t>
    </r>
    <r>
      <rPr>
        <sz val="10"/>
        <rFont val="Vazirmatn"/>
        <family val="0"/>
        <charset val="1"/>
      </rPr>
      <t xml:space="preserve">"5 * "6</t>
    </r>
  </si>
  <si>
    <t xml:space="preserve">31273506</t>
  </si>
  <si>
    <r>
      <rPr>
        <sz val="10"/>
        <rFont val="FreeSans"/>
        <family val="2"/>
      </rPr>
      <t xml:space="preserve">تبدیل جوشی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    " 4 * " 8</t>
    </r>
  </si>
  <si>
    <t xml:space="preserve">31273508</t>
  </si>
  <si>
    <r>
      <rPr>
        <sz val="10"/>
        <rFont val="FreeSans"/>
        <family val="2"/>
      </rPr>
      <t xml:space="preserve">تبدیل استیل مانیسمان رده </t>
    </r>
    <r>
      <rPr>
        <sz val="10"/>
        <rFont val="Vazirmatn"/>
        <family val="0"/>
        <charset val="1"/>
      </rPr>
      <t xml:space="preserve">10     " 8 * " 10</t>
    </r>
  </si>
  <si>
    <t xml:space="preserve">31273521</t>
  </si>
  <si>
    <r>
      <rPr>
        <sz val="10"/>
        <rFont val="FreeSans"/>
        <family val="2"/>
      </rPr>
      <t xml:space="preserve">تبدیل استیل جوشی   </t>
    </r>
    <r>
      <rPr>
        <sz val="10"/>
        <rFont val="Vazirmatn"/>
        <family val="0"/>
        <charset val="1"/>
      </rPr>
      <t xml:space="preserve">" 3/4 * 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</si>
  <si>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31273525</t>
  </si>
  <si>
    <r>
      <rPr>
        <sz val="10"/>
        <rFont val="FreeSans"/>
        <family val="2"/>
      </rPr>
      <t xml:space="preserve">تبدیل آهنی مانیسمان همرکز رده </t>
    </r>
    <r>
      <rPr>
        <sz val="10"/>
        <rFont val="Vazirmatn"/>
        <family val="0"/>
        <charset val="1"/>
      </rPr>
      <t xml:space="preserve">20  " 2 * " 5</t>
    </r>
  </si>
  <si>
    <t xml:space="preserve">31273529</t>
  </si>
  <si>
    <r>
      <rPr>
        <sz val="10"/>
        <rFont val="FreeSans"/>
        <family val="2"/>
      </rPr>
      <t xml:space="preserve">تبدیل استیل                 </t>
    </r>
    <r>
      <rPr>
        <sz val="10"/>
        <rFont val="Vazirmatn"/>
        <family val="0"/>
        <charset val="1"/>
      </rPr>
      <t xml:space="preserve">" 1 * " 3</t>
    </r>
  </si>
  <si>
    <t xml:space="preserve">31273535</t>
  </si>
  <si>
    <r>
      <rPr>
        <sz val="10"/>
        <rFont val="FreeSans"/>
        <family val="2"/>
      </rPr>
      <t xml:space="preserve">تبدیل استیل صنایع شیری  </t>
    </r>
    <r>
      <rPr>
        <sz val="10"/>
        <rFont val="Vazirmatn"/>
        <family val="0"/>
        <charset val="1"/>
      </rPr>
      <t xml:space="preserve">15 * 38</t>
    </r>
  </si>
  <si>
    <t xml:space="preserve">31273536</t>
  </si>
  <si>
    <r>
      <rPr>
        <sz val="10"/>
        <rFont val="FreeSans"/>
        <family val="2"/>
      </rPr>
      <t xml:space="preserve">تبدیل استیل صنایع شیری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4</t>
    </r>
  </si>
  <si>
    <t xml:space="preserve">31273538</t>
  </si>
  <si>
    <r>
      <rPr>
        <sz val="10"/>
        <rFont val="FreeSans"/>
        <family val="2"/>
      </rPr>
      <t xml:space="preserve">تبدیل استیل صنایع شیری </t>
    </r>
    <r>
      <rPr>
        <sz val="10"/>
        <rFont val="Vazirmatn"/>
        <family val="0"/>
        <charset val="1"/>
      </rPr>
      <t xml:space="preserve">" 3 * " 4</t>
    </r>
  </si>
  <si>
    <t xml:space="preserve">31273539</t>
  </si>
  <si>
    <r>
      <rPr>
        <sz val="10"/>
        <rFont val="FreeSans"/>
        <family val="2"/>
      </rPr>
      <t xml:space="preserve">تبدیل استیل صنایع شیری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* " 3</t>
    </r>
  </si>
  <si>
    <t xml:space="preserve">31273546</t>
  </si>
  <si>
    <r>
      <rPr>
        <sz val="10"/>
        <rFont val="FreeSans"/>
        <family val="2"/>
      </rPr>
      <t xml:space="preserve">تبدیل غیر هم مرکز آهنی جوشی </t>
    </r>
    <r>
      <rPr>
        <sz val="10"/>
        <rFont val="Vazirmatn"/>
        <family val="0"/>
        <charset val="1"/>
      </rPr>
      <t xml:space="preserve">" 1/2 * " 1/4 1</t>
    </r>
  </si>
  <si>
    <t xml:space="preserve">31273553</t>
  </si>
  <si>
    <r>
      <rPr>
        <sz val="10"/>
        <rFont val="FreeSans"/>
        <family val="2"/>
      </rPr>
      <t xml:space="preserve">تبدیل آهنی جوشی همرکز مانیسمان رده </t>
    </r>
    <r>
      <rPr>
        <sz val="10"/>
        <rFont val="Vazirmatn"/>
        <family val="0"/>
        <charset val="1"/>
      </rPr>
      <t xml:space="preserve">20  " 2 * " 3</t>
    </r>
  </si>
  <si>
    <t xml:space="preserve">31273555</t>
  </si>
  <si>
    <r>
      <rPr>
        <sz val="10"/>
        <rFont val="FreeSans"/>
        <family val="2"/>
      </rPr>
      <t xml:space="preserve">تبدیل  پلیکا     </t>
    </r>
    <r>
      <rPr>
        <sz val="10"/>
        <rFont val="Vazirmatn"/>
        <family val="0"/>
        <charset val="1"/>
      </rPr>
      <t xml:space="preserve">" 4 * " 5</t>
    </r>
  </si>
  <si>
    <t xml:space="preserve">31273561</t>
  </si>
  <si>
    <r>
      <rPr>
        <sz val="10"/>
        <rFont val="FreeSans"/>
        <family val="2"/>
      </rPr>
      <t xml:space="preserve">تبدیل آذین ساده   </t>
    </r>
    <r>
      <rPr>
        <sz val="10"/>
        <rFont val="Vazirmatn"/>
        <family val="0"/>
        <charset val="1"/>
      </rPr>
      <t xml:space="preserve">" 1 * " 3/4</t>
    </r>
  </si>
  <si>
    <t xml:space="preserve">31273562</t>
  </si>
  <si>
    <r>
      <rPr>
        <sz val="10"/>
        <rFont val="FreeSans"/>
        <family val="2"/>
      </rPr>
      <t xml:space="preserve">تبدیل آذین      </t>
    </r>
    <r>
      <rPr>
        <sz val="10"/>
        <rFont val="Vazirmatn"/>
        <family val="0"/>
        <charset val="1"/>
      </rPr>
      <t xml:space="preserve">32 * 20</t>
    </r>
  </si>
  <si>
    <t xml:space="preserve">31273563</t>
  </si>
  <si>
    <r>
      <rPr>
        <sz val="10"/>
        <rFont val="FreeSans"/>
        <family val="2"/>
      </rPr>
      <t xml:space="preserve">تبدیل آذین         </t>
    </r>
    <r>
      <rPr>
        <sz val="10"/>
        <rFont val="Vazirmatn"/>
        <family val="0"/>
        <charset val="1"/>
      </rPr>
      <t xml:space="preserve">" 2 * " 1</t>
    </r>
  </si>
  <si>
    <t xml:space="preserve">31273570</t>
  </si>
  <si>
    <r>
      <rPr>
        <sz val="10"/>
        <rFont val="FreeSans"/>
        <family val="2"/>
      </rPr>
      <t xml:space="preserve">تبدیل پلیکا    </t>
    </r>
    <r>
      <rPr>
        <sz val="10"/>
        <rFont val="Vazirmatn"/>
        <family val="0"/>
        <charset val="1"/>
      </rPr>
      <t xml:space="preserve">90 * 125</t>
    </r>
  </si>
  <si>
    <t xml:space="preserve">31273577</t>
  </si>
  <si>
    <r>
      <rPr>
        <sz val="10"/>
        <rFont val="FreeSans"/>
        <family val="2"/>
      </rPr>
      <t xml:space="preserve">تبدیل آهنی جوشی غیر همرکز مانیسمان رده </t>
    </r>
    <r>
      <rPr>
        <sz val="10"/>
        <rFont val="Vazirmatn"/>
        <family val="0"/>
        <charset val="1"/>
      </rPr>
      <t xml:space="preserve">40  " 10 * " 12</t>
    </r>
  </si>
  <si>
    <t xml:space="preserve">31273580</t>
  </si>
  <si>
    <r>
      <rPr>
        <sz val="10"/>
        <rFont val="FreeSans"/>
        <family val="2"/>
      </rPr>
      <t xml:space="preserve">تبدیل آهنی مانیسمان همرکز رده </t>
    </r>
    <r>
      <rPr>
        <sz val="10"/>
        <rFont val="Vazirmatn"/>
        <family val="0"/>
        <charset val="1"/>
      </rPr>
      <t xml:space="preserve">40  " 1/2 1 * " 4</t>
    </r>
  </si>
  <si>
    <t xml:space="preserve">31273588</t>
  </si>
  <si>
    <r>
      <rPr>
        <sz val="10"/>
        <rFont val="FreeSans"/>
        <family val="2"/>
      </rPr>
      <t xml:space="preserve">تبدیل بوشن آذین   </t>
    </r>
    <r>
      <rPr>
        <sz val="10"/>
        <rFont val="Vazirmatn"/>
        <family val="0"/>
        <charset val="1"/>
      </rPr>
      <t xml:space="preserve">" 1/2 * " 3/4</t>
    </r>
  </si>
  <si>
    <t xml:space="preserve">31273593</t>
  </si>
  <si>
    <r>
      <rPr>
        <sz val="10"/>
        <rFont val="FreeSans"/>
        <family val="2"/>
      </rPr>
      <t xml:space="preserve">تبدیل آهنی جوشی همرکز مانیسمان رده </t>
    </r>
    <r>
      <rPr>
        <sz val="10"/>
        <rFont val="Vazirmatn"/>
        <family val="0"/>
        <charset val="1"/>
      </rPr>
      <t xml:space="preserve">40  " 12 * " 16</t>
    </r>
  </si>
  <si>
    <t xml:space="preserve">31273600</t>
  </si>
  <si>
    <r>
      <rPr>
        <sz val="10"/>
        <rFont val="FreeSans"/>
        <family val="2"/>
      </rPr>
      <t xml:space="preserve">تبدیل لوله بخاری   </t>
    </r>
    <r>
      <rPr>
        <sz val="10"/>
        <rFont val="Vazirmatn"/>
        <family val="0"/>
        <charset val="1"/>
      </rPr>
      <t xml:space="preserve">10 * 15</t>
    </r>
  </si>
  <si>
    <t xml:space="preserve">31273601</t>
  </si>
  <si>
    <r>
      <rPr>
        <sz val="10"/>
        <rFont val="FreeSans"/>
        <family val="2"/>
      </rPr>
      <t xml:space="preserve">تبدیل استیل جوشی غیر هم مرکز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4</t>
    </r>
  </si>
  <si>
    <t xml:space="preserve">31273602</t>
  </si>
  <si>
    <r>
      <rPr>
        <sz val="10"/>
        <rFont val="FreeSans"/>
        <family val="2"/>
      </rPr>
      <t xml:space="preserve">تبدیل استیل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غیر هم مرکزمانیسمان رده </t>
    </r>
    <r>
      <rPr>
        <sz val="10"/>
        <rFont val="Vazirmatn"/>
        <family val="0"/>
        <charset val="1"/>
      </rPr>
      <t xml:space="preserve">10        " 2 * " 3</t>
    </r>
  </si>
  <si>
    <t xml:space="preserve">31273603</t>
  </si>
  <si>
    <r>
      <rPr>
        <sz val="10"/>
        <rFont val="FreeSans"/>
        <family val="2"/>
      </rPr>
      <t xml:space="preserve">تبدیل استیل جوشی غیر هم مرکز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 * " 3</t>
    </r>
  </si>
  <si>
    <t xml:space="preserve">31273605</t>
  </si>
  <si>
    <r>
      <rPr>
        <sz val="10"/>
        <rFont val="FreeSans"/>
        <family val="2"/>
      </rPr>
      <t xml:space="preserve">تبدیل استیل جوشی غیر هم مرکز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* 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</si>
  <si>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31273611</t>
  </si>
  <si>
    <r>
      <rPr>
        <sz val="10"/>
        <rFont val="FreeSans"/>
        <family val="2"/>
      </rPr>
      <t xml:space="preserve">تبدیل استیل جوشی غیر هم مرکز </t>
    </r>
    <r>
      <rPr>
        <sz val="10"/>
        <rFont val="Vazirmatn"/>
        <family val="0"/>
        <charset val="1"/>
      </rPr>
      <t xml:space="preserve">" 3 * " 4</t>
    </r>
  </si>
  <si>
    <t xml:space="preserve">31273613</t>
  </si>
  <si>
    <r>
      <rPr>
        <sz val="10"/>
        <rFont val="FreeSans"/>
        <family val="2"/>
      </rPr>
      <t xml:space="preserve">تبدیل استیل جوشی غیر هم مرکز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* " 4</t>
    </r>
  </si>
  <si>
    <t xml:space="preserve">31273614</t>
  </si>
  <si>
    <r>
      <rPr>
        <sz val="10"/>
        <rFont val="FreeSans"/>
        <family val="2"/>
      </rPr>
      <t xml:space="preserve">تبدیل استیل جوشی غیر هم مرکز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* " 5</t>
    </r>
  </si>
  <si>
    <t xml:space="preserve">31273623</t>
  </si>
  <si>
    <r>
      <rPr>
        <sz val="10"/>
        <rFont val="FreeSans"/>
        <family val="2"/>
      </rPr>
      <t xml:space="preserve">تبدیل پلی اتیلن   </t>
    </r>
    <r>
      <rPr>
        <sz val="10"/>
        <rFont val="Vazirmatn"/>
        <family val="0"/>
        <charset val="1"/>
      </rPr>
      <t xml:space="preserve">" 4 * " 5</t>
    </r>
  </si>
  <si>
    <t xml:space="preserve">31273625</t>
  </si>
  <si>
    <r>
      <rPr>
        <sz val="10"/>
        <rFont val="FreeSans"/>
        <family val="2"/>
      </rPr>
      <t xml:space="preserve">تبدیل پلی اتیلن   </t>
    </r>
    <r>
      <rPr>
        <sz val="10"/>
        <rFont val="Vazirmatn"/>
        <family val="0"/>
        <charset val="1"/>
      </rPr>
      <t xml:space="preserve">" 3 * " 4</t>
    </r>
  </si>
  <si>
    <t xml:space="preserve">31273630</t>
  </si>
  <si>
    <r>
      <rPr>
        <sz val="10"/>
        <rFont val="FreeSans"/>
        <family val="2"/>
      </rPr>
      <t xml:space="preserve">تبدیل پلیکا        </t>
    </r>
    <r>
      <rPr>
        <sz val="10"/>
        <rFont val="Vazirmatn"/>
        <family val="0"/>
        <charset val="1"/>
      </rPr>
      <t xml:space="preserve">3 * 4</t>
    </r>
  </si>
  <si>
    <t xml:space="preserve">31273638</t>
  </si>
  <si>
    <r>
      <rPr>
        <sz val="10"/>
        <rFont val="FreeSans"/>
        <family val="2"/>
      </rPr>
      <t xml:space="preserve">تبدیل  </t>
    </r>
    <r>
      <rPr>
        <sz val="10"/>
        <rFont val="Vazirmatn"/>
        <family val="0"/>
        <charset val="1"/>
      </rPr>
      <t xml:space="preserve">" 4 * " 2     UPVC</t>
    </r>
  </si>
  <si>
    <t xml:space="preserve">31273639</t>
  </si>
  <si>
    <r>
      <rPr>
        <sz val="10"/>
        <rFont val="FreeSans"/>
        <family val="2"/>
      </rPr>
      <t xml:space="preserve">تبدیل  </t>
    </r>
    <r>
      <rPr>
        <sz val="10"/>
        <rFont val="Vazirmatn"/>
        <family val="0"/>
        <charset val="1"/>
      </rPr>
      <t xml:space="preserve">" 3 * " 2     UPVC</t>
    </r>
  </si>
  <si>
    <t xml:space="preserve">31273644</t>
  </si>
  <si>
    <r>
      <rPr>
        <sz val="10"/>
        <rFont val="FreeSans"/>
        <family val="2"/>
      </rPr>
      <t xml:space="preserve">تبدیل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رابط </t>
    </r>
    <r>
      <rPr>
        <sz val="10"/>
        <rFont val="Vazirmatn"/>
        <family val="0"/>
        <charset val="1"/>
      </rPr>
      <t xml:space="preserve">)   32 * 63 UPVC</t>
    </r>
  </si>
  <si>
    <t xml:space="preserve">31273658</t>
  </si>
  <si>
    <r>
      <rPr>
        <sz val="10"/>
        <rFont val="FreeSans"/>
        <family val="2"/>
      </rPr>
      <t xml:space="preserve">تبدیل تلسکوپی </t>
    </r>
    <r>
      <rPr>
        <sz val="10"/>
        <rFont val="Vazirmatn"/>
        <family val="0"/>
        <charset val="1"/>
      </rPr>
      <t xml:space="preserve">" 4 * " 2    ( ABS )</t>
    </r>
  </si>
  <si>
    <t xml:space="preserve">31273659</t>
  </si>
  <si>
    <r>
      <rPr>
        <sz val="10"/>
        <rFont val="FreeSans"/>
        <family val="2"/>
      </rPr>
      <t xml:space="preserve">تبدیل آهنی جوشی همرکز مانیسمان رده </t>
    </r>
    <r>
      <rPr>
        <sz val="10"/>
        <rFont val="Vazirmatn"/>
        <family val="0"/>
        <charset val="1"/>
      </rPr>
      <t xml:space="preserve">40  " 8 * " 12</t>
    </r>
  </si>
  <si>
    <t xml:space="preserve">31273660</t>
  </si>
  <si>
    <r>
      <rPr>
        <sz val="10"/>
        <rFont val="FreeSans"/>
        <family val="2"/>
      </rPr>
      <t xml:space="preserve">تبدیل تلسکوپی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* " 3    ( ABS )</t>
    </r>
  </si>
  <si>
    <t xml:space="preserve">31273661</t>
  </si>
  <si>
    <r>
      <rPr>
        <sz val="10"/>
        <rFont val="FreeSans"/>
        <family val="2"/>
      </rPr>
      <t xml:space="preserve">تبدیل تلسکوپی </t>
    </r>
    <r>
      <rPr>
        <sz val="10"/>
        <rFont val="Vazirmatn"/>
        <family val="0"/>
        <charset val="1"/>
      </rPr>
      <t xml:space="preserve">" 1 * " 4    ( ABS )</t>
    </r>
  </si>
  <si>
    <t xml:space="preserve">31273662</t>
  </si>
  <si>
    <r>
      <rPr>
        <sz val="10"/>
        <rFont val="FreeSans"/>
        <family val="2"/>
      </rPr>
      <t xml:space="preserve">تبدیل تلسکوپی </t>
    </r>
    <r>
      <rPr>
        <sz val="10"/>
        <rFont val="Vazirmatn"/>
        <family val="0"/>
        <charset val="1"/>
      </rPr>
      <t xml:space="preserve">" 3 * " 4    ( ABS )</t>
    </r>
  </si>
  <si>
    <t xml:space="preserve">31273663</t>
  </si>
  <si>
    <r>
      <rPr>
        <sz val="10"/>
        <rFont val="FreeSans"/>
        <family val="2"/>
      </rPr>
      <t xml:space="preserve">رابط اتصال سریع پنوماتیک  </t>
    </r>
    <r>
      <rPr>
        <sz val="10"/>
        <rFont val="Vazirmatn"/>
        <family val="0"/>
        <charset val="1"/>
      </rPr>
      <t xml:space="preserve">12mm * 8mm</t>
    </r>
  </si>
  <si>
    <t xml:space="preserve">31273664</t>
  </si>
  <si>
    <r>
      <rPr>
        <sz val="10"/>
        <rFont val="FreeSans"/>
        <family val="2"/>
      </rPr>
      <t xml:space="preserve">رابط اتصال سریع پنوماتیک  </t>
    </r>
    <r>
      <rPr>
        <sz val="10"/>
        <rFont val="Vazirmatn"/>
        <family val="0"/>
        <charset val="1"/>
      </rPr>
      <t xml:space="preserve">" 1/2*12mm</t>
    </r>
  </si>
  <si>
    <t xml:space="preserve">31273684</t>
  </si>
  <si>
    <r>
      <rPr>
        <sz val="10"/>
        <rFont val="FreeSans"/>
        <family val="2"/>
      </rPr>
      <t xml:space="preserve">تبدیل آهنی مانیسمان  رده </t>
    </r>
    <r>
      <rPr>
        <sz val="10"/>
        <rFont val="Vazirmatn"/>
        <family val="0"/>
        <charset val="1"/>
      </rPr>
      <t xml:space="preserve">40       " 1 * " 2</t>
    </r>
  </si>
  <si>
    <t xml:space="preserve">31273685</t>
  </si>
  <si>
    <r>
      <rPr>
        <sz val="10"/>
        <rFont val="FreeSans"/>
        <family val="2"/>
      </rPr>
      <t xml:space="preserve">رابط اتصال سریع پنوماتیک  </t>
    </r>
    <r>
      <rPr>
        <sz val="10"/>
        <rFont val="Vazirmatn"/>
        <family val="0"/>
        <charset val="1"/>
      </rPr>
      <t xml:space="preserve">12mm * 12mm</t>
    </r>
  </si>
  <si>
    <t xml:space="preserve">31273686</t>
  </si>
  <si>
    <r>
      <rPr>
        <sz val="10"/>
        <rFont val="FreeSans"/>
        <family val="2"/>
      </rPr>
      <t xml:space="preserve">رابط اتصال سریع پنوماتیک  </t>
    </r>
    <r>
      <rPr>
        <sz val="10"/>
        <rFont val="Vazirmatn"/>
        <family val="0"/>
        <charset val="1"/>
      </rPr>
      <t xml:space="preserve">8mm * 6mm</t>
    </r>
  </si>
  <si>
    <t xml:space="preserve">31273687</t>
  </si>
  <si>
    <r>
      <rPr>
        <sz val="10"/>
        <rFont val="FreeSans"/>
        <family val="2"/>
      </rPr>
      <t xml:space="preserve">رابط اتصال سریع پنوماتیک  </t>
    </r>
    <r>
      <rPr>
        <sz val="10"/>
        <rFont val="Vazirmatn"/>
        <family val="0"/>
        <charset val="1"/>
      </rPr>
      <t xml:space="preserve">12mm * 10mm</t>
    </r>
  </si>
  <si>
    <t xml:space="preserve">31273688</t>
  </si>
  <si>
    <r>
      <rPr>
        <sz val="10"/>
        <rFont val="FreeSans"/>
        <family val="2"/>
      </rPr>
      <t xml:space="preserve">رابط اتصال سریع پنوماتیک  </t>
    </r>
    <r>
      <rPr>
        <sz val="10"/>
        <rFont val="Vazirmatn"/>
        <family val="0"/>
        <charset val="1"/>
      </rPr>
      <t xml:space="preserve">8mm * 8mm</t>
    </r>
  </si>
  <si>
    <t xml:space="preserve">31273689</t>
  </si>
  <si>
    <r>
      <rPr>
        <sz val="10"/>
        <rFont val="FreeSans"/>
        <family val="2"/>
      </rPr>
      <t xml:space="preserve">رابط اتصال سریع پنوماتیک  </t>
    </r>
    <r>
      <rPr>
        <sz val="10"/>
        <rFont val="Vazirmatn"/>
        <family val="0"/>
        <charset val="1"/>
      </rPr>
      <t xml:space="preserve">6mm * 6mm</t>
    </r>
  </si>
  <si>
    <t xml:space="preserve">31273698</t>
  </si>
  <si>
    <r>
      <rPr>
        <sz val="10"/>
        <rFont val="FreeSans"/>
        <family val="2"/>
      </rPr>
      <t xml:space="preserve">تبدیل آهنی جوشی همرکز رده </t>
    </r>
    <r>
      <rPr>
        <sz val="10"/>
        <rFont val="Vazirmatn"/>
        <family val="0"/>
        <charset val="1"/>
      </rPr>
      <t xml:space="preserve">40  " 3 * " 5</t>
    </r>
  </si>
  <si>
    <t xml:space="preserve">31273700</t>
  </si>
  <si>
    <r>
      <rPr>
        <sz val="10"/>
        <rFont val="FreeSans"/>
        <family val="2"/>
      </rPr>
      <t xml:space="preserve">مغزی استیل کونیک دار  </t>
    </r>
    <r>
      <rPr>
        <sz val="10"/>
        <rFont val="Vazirmatn"/>
        <family val="0"/>
        <charset val="1"/>
      </rPr>
      <t xml:space="preserve">" 1/4 * " 3/8</t>
    </r>
  </si>
  <si>
    <t xml:space="preserve">31273701</t>
  </si>
  <si>
    <r>
      <rPr>
        <sz val="10"/>
        <rFont val="FreeSans"/>
        <family val="2"/>
      </rPr>
      <t xml:space="preserve">مغزی استیل کونیک دار  </t>
    </r>
    <r>
      <rPr>
        <sz val="10"/>
        <rFont val="Vazirmatn"/>
        <family val="0"/>
        <charset val="1"/>
      </rPr>
      <t xml:space="preserve">" 1/2 * " 3/8</t>
    </r>
  </si>
  <si>
    <t xml:space="preserve">31273706</t>
  </si>
  <si>
    <r>
      <rPr>
        <sz val="10"/>
        <rFont val="FreeSans"/>
        <family val="2"/>
      </rPr>
      <t xml:space="preserve">مغزی آهنی                </t>
    </r>
    <r>
      <rPr>
        <sz val="10"/>
        <rFont val="Vazirmatn"/>
        <family val="0"/>
        <charset val="1"/>
      </rPr>
      <t xml:space="preserve">" 3/8</t>
    </r>
  </si>
  <si>
    <t xml:space="preserve">31273707</t>
  </si>
  <si>
    <r>
      <rPr>
        <sz val="10"/>
        <rFont val="FreeSans"/>
        <family val="2"/>
      </rPr>
      <t xml:space="preserve">مغزی  گالوانیزه دنده ای </t>
    </r>
    <r>
      <rPr>
        <sz val="10"/>
        <rFont val="Vazirmatn"/>
        <family val="0"/>
        <charset val="1"/>
      </rPr>
      <t xml:space="preserve">" 1/2</t>
    </r>
  </si>
  <si>
    <t xml:space="preserve">31273708</t>
  </si>
  <si>
    <r>
      <rPr>
        <sz val="10"/>
        <rFont val="FreeSans"/>
        <family val="2"/>
      </rPr>
      <t xml:space="preserve">مغزی آهنی </t>
    </r>
    <r>
      <rPr>
        <sz val="10"/>
        <rFont val="Vazirmatn"/>
        <family val="0"/>
        <charset val="1"/>
      </rPr>
      <t xml:space="preserve">" 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</si>
  <si>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31273711</t>
  </si>
  <si>
    <r>
      <rPr>
        <sz val="10"/>
        <rFont val="FreeSans"/>
        <family val="2"/>
      </rPr>
      <t xml:space="preserve">مغزی آهنی 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1/4</t>
    </r>
    <r>
      <rPr>
        <sz val="10"/>
        <rFont val="FreeSans"/>
        <family val="2"/>
      </rPr>
      <t xml:space="preserve">اینچ</t>
    </r>
  </si>
  <si>
    <t xml:space="preserve">31273714</t>
  </si>
  <si>
    <r>
      <rPr>
        <sz val="10"/>
        <rFont val="FreeSans"/>
        <family val="2"/>
      </rPr>
      <t xml:space="preserve">کارتریج شیر اهرمی </t>
    </r>
    <r>
      <rPr>
        <sz val="10"/>
        <rFont val="Vazirmatn"/>
        <family val="0"/>
        <charset val="1"/>
      </rPr>
      <t xml:space="preserve">( 40 )</t>
    </r>
  </si>
  <si>
    <t xml:space="preserve">31273716</t>
  </si>
  <si>
    <r>
      <rPr>
        <sz val="10"/>
        <rFont val="FreeSans"/>
        <family val="2"/>
      </rPr>
      <t xml:space="preserve">کارتریج شیر اهرمی </t>
    </r>
    <r>
      <rPr>
        <sz val="10"/>
        <rFont val="Vazirmatn"/>
        <family val="0"/>
        <charset val="1"/>
      </rPr>
      <t xml:space="preserve">( 25 )</t>
    </r>
  </si>
  <si>
    <t xml:space="preserve">31273717</t>
  </si>
  <si>
    <r>
      <rPr>
        <sz val="10"/>
        <rFont val="FreeSans"/>
        <family val="2"/>
      </rPr>
      <t xml:space="preserve">مغزی آهنی  </t>
    </r>
    <r>
      <rPr>
        <sz val="10"/>
        <rFont val="Vazirmatn"/>
        <family val="0"/>
        <charset val="1"/>
      </rPr>
      <t xml:space="preserve">" 2 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</si>
  <si>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31273724</t>
  </si>
  <si>
    <r>
      <rPr>
        <sz val="10"/>
        <rFont val="FreeSans"/>
        <family val="2"/>
      </rPr>
      <t xml:space="preserve">کارتریج شیر اهرمی </t>
    </r>
    <r>
      <rPr>
        <sz val="10"/>
        <rFont val="Vazirmatn"/>
        <family val="0"/>
        <charset val="1"/>
      </rPr>
      <t xml:space="preserve">( 35 )</t>
    </r>
  </si>
  <si>
    <t xml:space="preserve">31273727</t>
  </si>
  <si>
    <r>
      <rPr>
        <sz val="10"/>
        <rFont val="FreeSans"/>
        <family val="2"/>
      </rPr>
      <t xml:space="preserve">اتصال دو سر دنده گالوانیزه </t>
    </r>
    <r>
      <rPr>
        <sz val="10"/>
        <rFont val="Vazirmatn"/>
        <family val="0"/>
        <charset val="1"/>
      </rPr>
      <t xml:space="preserve">" 6Cm ) 1/2 )</t>
    </r>
  </si>
  <si>
    <t xml:space="preserve">31273728</t>
  </si>
  <si>
    <r>
      <rPr>
        <sz val="10"/>
        <rFont val="FreeSans"/>
        <family val="2"/>
      </rPr>
      <t xml:space="preserve">مغزی تبدیلی فشار قوی هیدرولیک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گام </t>
    </r>
    <r>
      <rPr>
        <sz val="10"/>
        <rFont val="Vazirmatn"/>
        <family val="0"/>
        <charset val="1"/>
      </rPr>
      <t xml:space="preserve">1/5 )  13/5*16</t>
    </r>
  </si>
  <si>
    <t xml:space="preserve">31273729</t>
  </si>
  <si>
    <r>
      <rPr>
        <sz val="10"/>
        <rFont val="FreeSans"/>
        <family val="2"/>
      </rPr>
      <t xml:space="preserve">مغزی تبدیلی برنجی  </t>
    </r>
    <r>
      <rPr>
        <sz val="10"/>
        <rFont val="Vazirmatn"/>
        <family val="0"/>
        <charset val="1"/>
      </rPr>
      <t xml:space="preserve">" 1/8 * " 1/4</t>
    </r>
  </si>
  <si>
    <t xml:space="preserve">31273731</t>
  </si>
  <si>
    <r>
      <rPr>
        <sz val="10"/>
        <rFont val="FreeSans"/>
        <family val="2"/>
      </rPr>
      <t xml:space="preserve">مغزی استیل </t>
    </r>
    <r>
      <rPr>
        <sz val="10"/>
        <rFont val="Vazirmatn"/>
        <family val="0"/>
        <charset val="1"/>
      </rPr>
      <t xml:space="preserve">1/4*4/3 </t>
    </r>
    <r>
      <rPr>
        <sz val="10"/>
        <rFont val="FreeSans"/>
        <family val="2"/>
      </rPr>
      <t xml:space="preserve">پمپ آب</t>
    </r>
  </si>
  <si>
    <t xml:space="preserve">31273734</t>
  </si>
  <si>
    <r>
      <rPr>
        <sz val="10"/>
        <rFont val="FreeSans"/>
        <family val="2"/>
      </rPr>
      <t xml:space="preserve">مغزی استیل       </t>
    </r>
    <r>
      <rPr>
        <sz val="10"/>
        <rFont val="Vazirmatn"/>
        <family val="0"/>
        <charset val="1"/>
      </rPr>
      <t xml:space="preserve">"1.1/2</t>
    </r>
  </si>
  <si>
    <t xml:space="preserve">31273735</t>
  </si>
  <si>
    <r>
      <rPr>
        <sz val="10"/>
        <rFont val="FreeSans"/>
        <family val="2"/>
      </rPr>
      <t xml:space="preserve">مغزی استیل    </t>
    </r>
    <r>
      <rPr>
        <sz val="10"/>
        <rFont val="Vazirmatn"/>
        <family val="0"/>
        <charset val="1"/>
      </rPr>
      <t xml:space="preserve">" 3/4</t>
    </r>
  </si>
  <si>
    <t xml:space="preserve">31273736</t>
  </si>
  <si>
    <r>
      <rPr>
        <sz val="10"/>
        <rFont val="FreeSans"/>
        <family val="2"/>
      </rPr>
      <t xml:space="preserve">مغزی گالوانیزه دنده ای   </t>
    </r>
    <r>
      <rPr>
        <sz val="10"/>
        <rFont val="Vazirmatn"/>
        <family val="0"/>
        <charset val="1"/>
      </rPr>
      <t xml:space="preserve">" 3</t>
    </r>
  </si>
  <si>
    <t xml:space="preserve">31273739</t>
  </si>
  <si>
    <r>
      <rPr>
        <sz val="10"/>
        <rFont val="FreeSans"/>
        <family val="2"/>
      </rPr>
      <t xml:space="preserve">مغزی استیل    </t>
    </r>
    <r>
      <rPr>
        <sz val="10"/>
        <rFont val="Vazirmatn"/>
        <family val="0"/>
        <charset val="1"/>
      </rPr>
      <t xml:space="preserve">" 1/2</t>
    </r>
  </si>
  <si>
    <t xml:space="preserve">31273741</t>
  </si>
  <si>
    <r>
      <rPr>
        <sz val="10"/>
        <rFont val="FreeSans"/>
        <family val="2"/>
      </rPr>
      <t xml:space="preserve">مغزی استیل  </t>
    </r>
    <r>
      <rPr>
        <sz val="10"/>
        <rFont val="Vazirmatn"/>
        <family val="0"/>
        <charset val="1"/>
      </rPr>
      <t xml:space="preserve">304    " 2</t>
    </r>
  </si>
  <si>
    <t xml:space="preserve">31273746</t>
  </si>
  <si>
    <r>
      <rPr>
        <sz val="10"/>
        <rFont val="FreeSans"/>
        <family val="2"/>
      </rPr>
      <t xml:space="preserve">مغزی تبدیلی برنجی  </t>
    </r>
    <r>
      <rPr>
        <sz val="10"/>
        <rFont val="Vazirmatn"/>
        <family val="0"/>
        <charset val="1"/>
      </rPr>
      <t xml:space="preserve">" 1/4 * " 1/2</t>
    </r>
  </si>
  <si>
    <t xml:space="preserve">31273748</t>
  </si>
  <si>
    <r>
      <rPr>
        <sz val="10"/>
        <rFont val="FreeSans"/>
        <family val="2"/>
      </rPr>
      <t xml:space="preserve">مغزی تبدیلی برنجی  </t>
    </r>
    <r>
      <rPr>
        <sz val="10"/>
        <rFont val="Vazirmatn"/>
        <family val="0"/>
        <charset val="1"/>
      </rPr>
      <t xml:space="preserve">" 3/8 * " 1/2</t>
    </r>
  </si>
  <si>
    <t xml:space="preserve">31273750</t>
  </si>
  <si>
    <r>
      <rPr>
        <sz val="10"/>
        <rFont val="FreeSans"/>
        <family val="2"/>
      </rPr>
      <t xml:space="preserve">مغزی آهنی  </t>
    </r>
    <r>
      <rPr>
        <sz val="10"/>
        <rFont val="Vazirmatn"/>
        <family val="0"/>
        <charset val="1"/>
      </rPr>
      <t xml:space="preserve">" 1</t>
    </r>
  </si>
  <si>
    <t xml:space="preserve">31273751</t>
  </si>
  <si>
    <r>
      <rPr>
        <sz val="10"/>
        <rFont val="FreeSans"/>
        <family val="2"/>
      </rPr>
      <t xml:space="preserve">مغزی برنجی </t>
    </r>
    <r>
      <rPr>
        <sz val="10"/>
        <rFont val="Vazirmatn"/>
        <family val="0"/>
        <charset val="1"/>
      </rPr>
      <t xml:space="preserve">1/8</t>
    </r>
    <r>
      <rPr>
        <sz val="10"/>
        <rFont val="FreeSans"/>
        <family val="2"/>
      </rPr>
      <t xml:space="preserve">اینچ</t>
    </r>
  </si>
  <si>
    <t xml:space="preserve">31273756</t>
  </si>
  <si>
    <t xml:space="preserve">رابط تفلونی پمپ اسید</t>
  </si>
  <si>
    <t xml:space="preserve">31273757</t>
  </si>
  <si>
    <r>
      <rPr>
        <sz val="10"/>
        <rFont val="FreeSans"/>
        <family val="2"/>
      </rPr>
      <t xml:space="preserve">مغزی تبدیلی  برنجی </t>
    </r>
    <r>
      <rPr>
        <sz val="10"/>
        <rFont val="Vazirmatn"/>
        <family val="0"/>
        <charset val="1"/>
      </rPr>
      <t xml:space="preserve">"1/4  *   "1/2</t>
    </r>
  </si>
  <si>
    <t xml:space="preserve">31273760</t>
  </si>
  <si>
    <t xml:space="preserve">رابط سوزنی هوا</t>
  </si>
  <si>
    <t xml:space="preserve">31273761</t>
  </si>
  <si>
    <r>
      <rPr>
        <sz val="10"/>
        <rFont val="FreeSans"/>
        <family val="2"/>
      </rPr>
      <t xml:space="preserve">مغزی برنجی بامهره </t>
    </r>
    <r>
      <rPr>
        <sz val="10"/>
        <rFont val="Vazirmatn"/>
        <family val="0"/>
        <charset val="1"/>
      </rPr>
      <t xml:space="preserve">1/4</t>
    </r>
    <r>
      <rPr>
        <sz val="10"/>
        <rFont val="FreeSans"/>
        <family val="2"/>
      </rPr>
      <t xml:space="preserve">اینچ</t>
    </r>
  </si>
  <si>
    <t xml:space="preserve">31273767</t>
  </si>
  <si>
    <r>
      <rPr>
        <sz val="10"/>
        <rFont val="FreeSans"/>
        <family val="2"/>
      </rPr>
      <t xml:space="preserve">اتصال سریع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فیتینگ </t>
    </r>
    <r>
      <rPr>
        <sz val="10"/>
        <rFont val="Vazirmatn"/>
        <family val="0"/>
        <charset val="1"/>
      </rPr>
      <t xml:space="preserve">)    8mm</t>
    </r>
  </si>
  <si>
    <t xml:space="preserve">31273770</t>
  </si>
  <si>
    <r>
      <rPr>
        <sz val="10"/>
        <rFont val="FreeSans"/>
        <family val="2"/>
      </rPr>
      <t xml:space="preserve">رابط دنده ای اتصال سریع   </t>
    </r>
    <r>
      <rPr>
        <sz val="10"/>
        <rFont val="Vazirmatn"/>
        <family val="0"/>
        <charset val="1"/>
      </rPr>
      <t xml:space="preserve">" 1/2 * 10mm</t>
    </r>
  </si>
  <si>
    <t xml:space="preserve">31273771</t>
  </si>
  <si>
    <r>
      <rPr>
        <sz val="10"/>
        <rFont val="FreeSans"/>
        <family val="2"/>
      </rPr>
      <t xml:space="preserve">رابط اتصال سریع  </t>
    </r>
    <r>
      <rPr>
        <sz val="10"/>
        <rFont val="Vazirmatn"/>
        <family val="0"/>
        <charset val="1"/>
      </rPr>
      <t xml:space="preserve">8mm * 10mm</t>
    </r>
  </si>
  <si>
    <t xml:space="preserve">31273772</t>
  </si>
  <si>
    <r>
      <rPr>
        <sz val="10"/>
        <rFont val="FreeSans"/>
        <family val="2"/>
      </rPr>
      <t xml:space="preserve">مغزی گالوانیزه دنده ای   </t>
    </r>
    <r>
      <rPr>
        <sz val="10"/>
        <rFont val="Vazirmatn"/>
        <family val="0"/>
        <charset val="1"/>
      </rPr>
      <t xml:space="preserve">" 2</t>
    </r>
  </si>
  <si>
    <t xml:space="preserve">31273773</t>
  </si>
  <si>
    <t xml:space="preserve">رابط کوپلینگ دنده ای</t>
  </si>
  <si>
    <t xml:space="preserve">31273775</t>
  </si>
  <si>
    <r>
      <rPr>
        <sz val="10"/>
        <rFont val="FreeSans"/>
        <family val="2"/>
      </rPr>
      <t xml:space="preserve">رابط  </t>
    </r>
    <r>
      <rPr>
        <sz val="10"/>
        <rFont val="Vazirmatn"/>
        <family val="0"/>
        <charset val="1"/>
      </rPr>
      <t xml:space="preserve">" 2      UPVC</t>
    </r>
  </si>
  <si>
    <t xml:space="preserve">31273776</t>
  </si>
  <si>
    <r>
      <rPr>
        <sz val="10"/>
        <rFont val="FreeSans"/>
        <family val="2"/>
      </rPr>
      <t xml:space="preserve">رابط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     UPVC</t>
    </r>
  </si>
  <si>
    <t xml:space="preserve">31273785</t>
  </si>
  <si>
    <r>
      <rPr>
        <sz val="10"/>
        <rFont val="FreeSans"/>
        <family val="2"/>
      </rPr>
      <t xml:space="preserve">اتصال پنوماتیک مستقیم آلن خور </t>
    </r>
    <r>
      <rPr>
        <sz val="10"/>
        <rFont val="Vazirmatn"/>
        <family val="0"/>
        <charset val="1"/>
      </rPr>
      <t xml:space="preserve">( Festo ) 1/16" * 6mm</t>
    </r>
  </si>
  <si>
    <t xml:space="preserve">31273788</t>
  </si>
  <si>
    <t xml:space="preserve">رابط تفلونی کولینگ تاور</t>
  </si>
  <si>
    <t xml:space="preserve">31273790</t>
  </si>
  <si>
    <t xml:space="preserve">رابط  لوله</t>
  </si>
  <si>
    <t xml:space="preserve">31273791</t>
  </si>
  <si>
    <r>
      <rPr>
        <sz val="10"/>
        <rFont val="FreeSans"/>
        <family val="2"/>
      </rPr>
      <t xml:space="preserve">رابط دنده ای اتصال سریع   </t>
    </r>
    <r>
      <rPr>
        <sz val="10"/>
        <rFont val="Vazirmatn"/>
        <family val="0"/>
        <charset val="1"/>
      </rPr>
      <t xml:space="preserve">" 1/4 * 8mm</t>
    </r>
  </si>
  <si>
    <t xml:space="preserve">31273792</t>
  </si>
  <si>
    <r>
      <rPr>
        <sz val="10"/>
        <rFont val="FreeSans"/>
        <family val="2"/>
      </rPr>
      <t xml:space="preserve">اتصال پنوماتیک مستقیم آلن خور </t>
    </r>
    <r>
      <rPr>
        <sz val="10"/>
        <rFont val="Vazirmatn"/>
        <family val="0"/>
        <charset val="1"/>
      </rPr>
      <t xml:space="preserve">( Festo ) 1/8" * 10mm</t>
    </r>
  </si>
  <si>
    <t xml:space="preserve">31273793</t>
  </si>
  <si>
    <r>
      <rPr>
        <sz val="10"/>
        <rFont val="FreeSans"/>
        <family val="2"/>
      </rPr>
      <t xml:space="preserve">رابط دنده ای اتصال سریع  </t>
    </r>
    <r>
      <rPr>
        <sz val="10"/>
        <rFont val="Vazirmatn"/>
        <family val="0"/>
        <charset val="1"/>
      </rPr>
      <t xml:space="preserve">" 3/8 * 8mm</t>
    </r>
  </si>
  <si>
    <t xml:space="preserve">31273797</t>
  </si>
  <si>
    <r>
      <rPr>
        <sz val="10"/>
        <rFont val="FreeSans"/>
        <family val="2"/>
      </rPr>
      <t xml:space="preserve">فیتینگی اتصال سریع  </t>
    </r>
    <r>
      <rPr>
        <sz val="10"/>
        <rFont val="Vazirmatn"/>
        <family val="0"/>
        <charset val="1"/>
      </rPr>
      <t xml:space="preserve">" 1/4*12mm</t>
    </r>
  </si>
  <si>
    <t xml:space="preserve">31273798</t>
  </si>
  <si>
    <t xml:space="preserve">رابط لاستیکی دستگاه بسته بندی نشاسته</t>
  </si>
  <si>
    <t xml:space="preserve">31273799</t>
  </si>
  <si>
    <r>
      <rPr>
        <sz val="10"/>
        <rFont val="FreeSans"/>
        <family val="2"/>
      </rPr>
      <t xml:space="preserve">رابط  دنده ای اتصال سریع  </t>
    </r>
    <r>
      <rPr>
        <sz val="10"/>
        <rFont val="Vazirmatn"/>
        <family val="0"/>
        <charset val="1"/>
      </rPr>
      <t xml:space="preserve">" 1/2 *  8mm</t>
    </r>
  </si>
  <si>
    <t xml:space="preserve">31273800</t>
  </si>
  <si>
    <r>
      <rPr>
        <sz val="10"/>
        <rFont val="FreeSans"/>
        <family val="2"/>
      </rPr>
      <t xml:space="preserve">رابط پلی اتیلنی       </t>
    </r>
    <r>
      <rPr>
        <sz val="10"/>
        <rFont val="Vazirmatn"/>
        <family val="0"/>
        <charset val="1"/>
      </rPr>
      <t xml:space="preserve">" 3/4</t>
    </r>
  </si>
  <si>
    <t xml:space="preserve">31273801</t>
  </si>
  <si>
    <r>
      <rPr>
        <sz val="10"/>
        <rFont val="FreeSans"/>
        <family val="2"/>
      </rPr>
      <t xml:space="preserve">اتصال سریع پنوماتیک  </t>
    </r>
    <r>
      <rPr>
        <sz val="10"/>
        <rFont val="Vazirmatn"/>
        <family val="0"/>
        <charset val="1"/>
      </rPr>
      <t xml:space="preserve">" 1/8 * 4mm</t>
    </r>
  </si>
  <si>
    <t xml:space="preserve">31273802</t>
  </si>
  <si>
    <r>
      <rPr>
        <sz val="10"/>
        <rFont val="FreeSans"/>
        <family val="2"/>
      </rPr>
      <t xml:space="preserve">رابط پلی اتیلن  </t>
    </r>
    <r>
      <rPr>
        <sz val="10"/>
        <rFont val="Vazirmatn"/>
        <family val="0"/>
        <charset val="1"/>
      </rPr>
      <t xml:space="preserve">" 4</t>
    </r>
  </si>
  <si>
    <t xml:space="preserve">31273804</t>
  </si>
  <si>
    <r>
      <rPr>
        <sz val="10"/>
        <rFont val="FreeSans"/>
        <family val="2"/>
      </rPr>
      <t xml:space="preserve">تبدیل سه راهی پنوماتیک  </t>
    </r>
    <r>
      <rPr>
        <sz val="10"/>
        <rFont val="Vazirmatn"/>
        <family val="0"/>
        <charset val="1"/>
      </rPr>
      <t xml:space="preserve">" 8 * " 10</t>
    </r>
  </si>
  <si>
    <t xml:space="preserve">31273808</t>
  </si>
  <si>
    <r>
      <rPr>
        <sz val="10"/>
        <rFont val="FreeSans"/>
        <family val="2"/>
      </rPr>
      <t xml:space="preserve">مهره ماسوره  استیل دنده ای </t>
    </r>
    <r>
      <rPr>
        <sz val="10"/>
        <rFont val="Vazirmatn"/>
        <family val="0"/>
        <charset val="1"/>
      </rPr>
      <t xml:space="preserve">" 4</t>
    </r>
  </si>
  <si>
    <t xml:space="preserve">31273810</t>
  </si>
  <si>
    <r>
      <rPr>
        <sz val="10"/>
        <rFont val="FreeSans"/>
        <family val="2"/>
      </rPr>
      <t xml:space="preserve">مهره ماسوره  صنایع شیری      </t>
    </r>
    <r>
      <rPr>
        <sz val="10"/>
        <rFont val="Vazirmatn"/>
        <family val="0"/>
        <charset val="1"/>
      </rPr>
      <t xml:space="preserve">mm  101.6    SS  304</t>
    </r>
  </si>
  <si>
    <t xml:space="preserve">31273817</t>
  </si>
  <si>
    <r>
      <rPr>
        <sz val="10"/>
        <rFont val="FreeSans"/>
        <family val="2"/>
      </rPr>
      <t xml:space="preserve">رابط پنوماتیک بین تابلویی </t>
    </r>
    <r>
      <rPr>
        <sz val="10"/>
        <rFont val="Vazirmatn"/>
        <family val="0"/>
        <charset val="1"/>
      </rPr>
      <t xml:space="preserve">6mm</t>
    </r>
  </si>
  <si>
    <t xml:space="preserve">31273818</t>
  </si>
  <si>
    <r>
      <rPr>
        <sz val="10"/>
        <rFont val="FreeSans"/>
        <family val="2"/>
      </rPr>
      <t xml:space="preserve">اتصال سریع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فیتینگ </t>
    </r>
    <r>
      <rPr>
        <sz val="10"/>
        <rFont val="Vazirmatn"/>
        <family val="0"/>
        <charset val="1"/>
      </rPr>
      <t xml:space="preserve">)    10mm</t>
    </r>
  </si>
  <si>
    <t xml:space="preserve">31273819</t>
  </si>
  <si>
    <r>
      <rPr>
        <sz val="10"/>
        <rFont val="FreeSans"/>
        <family val="2"/>
      </rPr>
      <t xml:space="preserve">اتصال سریع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فیتینگ </t>
    </r>
    <r>
      <rPr>
        <sz val="10"/>
        <rFont val="Vazirmatn"/>
        <family val="0"/>
        <charset val="1"/>
      </rPr>
      <t xml:space="preserve">)    12mm</t>
    </r>
  </si>
  <si>
    <t xml:space="preserve">31273820</t>
  </si>
  <si>
    <r>
      <rPr>
        <sz val="10"/>
        <rFont val="FreeSans"/>
        <family val="2"/>
      </rPr>
      <t xml:space="preserve">اتصال سریع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فیتینگ </t>
    </r>
    <r>
      <rPr>
        <sz val="10"/>
        <rFont val="Vazirmatn"/>
        <family val="0"/>
        <charset val="1"/>
      </rPr>
      <t xml:space="preserve">)    6mm</t>
    </r>
  </si>
  <si>
    <t xml:space="preserve">31273822</t>
  </si>
  <si>
    <r>
      <rPr>
        <sz val="10"/>
        <rFont val="FreeSans"/>
        <family val="2"/>
      </rPr>
      <t xml:space="preserve">اتصال سریع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فیتینگ </t>
    </r>
    <r>
      <rPr>
        <sz val="10"/>
        <rFont val="Vazirmatn"/>
        <family val="0"/>
        <charset val="1"/>
      </rPr>
      <t xml:space="preserve">)    4mm</t>
    </r>
  </si>
  <si>
    <t xml:space="preserve">31273837</t>
  </si>
  <si>
    <r>
      <rPr>
        <sz val="10"/>
        <rFont val="FreeSans"/>
        <family val="2"/>
      </rPr>
      <t xml:space="preserve">مهره ماسوره استیل تبدیلی   </t>
    </r>
    <r>
      <rPr>
        <sz val="10"/>
        <rFont val="Vazirmatn"/>
        <family val="0"/>
        <charset val="1"/>
      </rPr>
      <t xml:space="preserve">51 * 76</t>
    </r>
  </si>
  <si>
    <t xml:space="preserve">31273844</t>
  </si>
  <si>
    <r>
      <rPr>
        <sz val="10"/>
        <rFont val="FreeSans"/>
        <family val="2"/>
      </rPr>
      <t xml:space="preserve">ارتالون با اورینگ 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اینچ</t>
    </r>
  </si>
  <si>
    <t xml:space="preserve">31273850</t>
  </si>
  <si>
    <r>
      <rPr>
        <sz val="10"/>
        <rFont val="FreeSans"/>
        <family val="2"/>
      </rPr>
      <t xml:space="preserve">مهره ماسوره استیل صنایع شیری </t>
    </r>
    <r>
      <rPr>
        <sz val="10"/>
        <rFont val="Vazirmatn"/>
        <family val="0"/>
        <charset val="1"/>
      </rPr>
      <t xml:space="preserve">51mm</t>
    </r>
  </si>
  <si>
    <t xml:space="preserve">31273863</t>
  </si>
  <si>
    <r>
      <rPr>
        <sz val="10"/>
        <rFont val="FreeSans"/>
        <family val="2"/>
      </rPr>
      <t xml:space="preserve">مهره ماسوره استیل صنایع شیری </t>
    </r>
    <r>
      <rPr>
        <sz val="10"/>
        <rFont val="Vazirmatn"/>
        <family val="0"/>
        <charset val="1"/>
      </rPr>
      <t xml:space="preserve">38mm</t>
    </r>
  </si>
  <si>
    <t xml:space="preserve">31273864</t>
  </si>
  <si>
    <r>
      <rPr>
        <sz val="10"/>
        <rFont val="FreeSans"/>
        <family val="2"/>
      </rPr>
      <t xml:space="preserve">رابط اتصال لوله دکانتور  </t>
    </r>
    <r>
      <rPr>
        <sz val="10"/>
        <rFont val="Vazirmatn"/>
        <family val="0"/>
        <charset val="1"/>
      </rPr>
      <t xml:space="preserve">600 - 8980 - 0018</t>
    </r>
  </si>
  <si>
    <t xml:space="preserve">31273865</t>
  </si>
  <si>
    <r>
      <rPr>
        <sz val="10"/>
        <rFont val="FreeSans"/>
        <family val="2"/>
      </rPr>
      <t xml:space="preserve">رابط  دکانتور  </t>
    </r>
    <r>
      <rPr>
        <sz val="10"/>
        <rFont val="Vazirmatn"/>
        <family val="0"/>
        <charset val="1"/>
      </rPr>
      <t xml:space="preserve">400 - 9494 - 0018</t>
    </r>
  </si>
  <si>
    <t xml:space="preserve">31273866</t>
  </si>
  <si>
    <r>
      <rPr>
        <sz val="10"/>
        <rFont val="FreeSans"/>
        <family val="2"/>
      </rPr>
      <t xml:space="preserve">رابط کوپلینگ </t>
    </r>
    <r>
      <rPr>
        <sz val="10"/>
        <rFont val="Vazirmatn"/>
        <family val="0"/>
        <charset val="1"/>
      </rPr>
      <t xml:space="preserve">" 3  (  COUPLING CPVC DN 80 )</t>
    </r>
  </si>
  <si>
    <t xml:space="preserve">31273867</t>
  </si>
  <si>
    <r>
      <rPr>
        <sz val="10"/>
        <rFont val="FreeSans"/>
        <family val="2"/>
      </rPr>
      <t xml:space="preserve">مهره ماسوره استیل صنایع شیری </t>
    </r>
    <r>
      <rPr>
        <sz val="10"/>
        <rFont val="Vazirmatn"/>
        <family val="0"/>
        <charset val="1"/>
      </rPr>
      <t xml:space="preserve">76mm</t>
    </r>
  </si>
  <si>
    <t xml:space="preserve">31273872</t>
  </si>
  <si>
    <r>
      <rPr>
        <sz val="10"/>
        <rFont val="FreeSans"/>
        <family val="2"/>
      </rPr>
      <t xml:space="preserve">مهره ماسوره برنجی یکسر آذین </t>
    </r>
    <r>
      <rPr>
        <sz val="10"/>
        <rFont val="Vazirmatn"/>
        <family val="0"/>
        <charset val="1"/>
      </rPr>
      <t xml:space="preserve">"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</si>
  <si>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31273902</t>
  </si>
  <si>
    <t xml:space="preserve">زیرآب دستشوئی</t>
  </si>
  <si>
    <t xml:space="preserve">31273903</t>
  </si>
  <si>
    <t xml:space="preserve">سیفون دستشوئی</t>
  </si>
  <si>
    <t xml:space="preserve">31273910</t>
  </si>
  <si>
    <r>
      <rPr>
        <sz val="10"/>
        <rFont val="FreeSans"/>
        <family val="2"/>
      </rPr>
      <t xml:space="preserve">سیفون زیر سینک ظرفشویی سیفون دار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</si>
  <si>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31273971</t>
  </si>
  <si>
    <r>
      <rPr>
        <sz val="10"/>
        <rFont val="FreeSans"/>
        <family val="2"/>
      </rPr>
      <t xml:space="preserve">سرشیلنگی استیل        </t>
    </r>
    <r>
      <rPr>
        <sz val="10"/>
        <rFont val="Vazirmatn"/>
        <family val="0"/>
        <charset val="1"/>
      </rPr>
      <t xml:space="preserve">" 2</t>
    </r>
  </si>
  <si>
    <t xml:space="preserve">31273984</t>
  </si>
  <si>
    <t xml:space="preserve">سر شیلنگی باد لودر</t>
  </si>
  <si>
    <t xml:space="preserve">31273985</t>
  </si>
  <si>
    <r>
      <rPr>
        <sz val="10"/>
        <rFont val="FreeSans"/>
        <family val="2"/>
      </rPr>
      <t xml:space="preserve">سرشیلنگ  استیل  </t>
    </r>
    <r>
      <rPr>
        <sz val="10"/>
        <rFont val="Vazirmatn"/>
        <family val="0"/>
        <charset val="1"/>
      </rPr>
      <t xml:space="preserve">1/8</t>
    </r>
  </si>
  <si>
    <t xml:space="preserve">31273989</t>
  </si>
  <si>
    <r>
      <rPr>
        <sz val="10"/>
        <rFont val="FreeSans"/>
        <family val="2"/>
      </rPr>
      <t xml:space="preserve">سرشیلنگی آتش نشانی </t>
    </r>
    <r>
      <rPr>
        <sz val="10"/>
        <rFont val="Vazirmatn"/>
        <family val="0"/>
        <charset val="1"/>
      </rPr>
      <t xml:space="preserve">"4</t>
    </r>
  </si>
  <si>
    <t xml:space="preserve">31273990</t>
  </si>
  <si>
    <r>
      <rPr>
        <sz val="10"/>
        <rFont val="FreeSans"/>
        <family val="2"/>
      </rPr>
      <t xml:space="preserve">سرشیلنگ استیل        </t>
    </r>
    <r>
      <rPr>
        <sz val="10"/>
        <rFont val="Vazirmatn"/>
        <family val="0"/>
        <charset val="1"/>
      </rPr>
      <t xml:space="preserve">"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</si>
  <si>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31273991</t>
  </si>
  <si>
    <r>
      <rPr>
        <sz val="10"/>
        <rFont val="FreeSans"/>
        <family val="2"/>
      </rPr>
      <t xml:space="preserve">سرشیلنگی استیل       </t>
    </r>
    <r>
      <rPr>
        <sz val="10"/>
        <rFont val="Vazirmatn"/>
        <family val="0"/>
        <charset val="1"/>
      </rPr>
      <t xml:space="preserve">" 3/4</t>
    </r>
  </si>
  <si>
    <t xml:space="preserve">31273992</t>
  </si>
  <si>
    <r>
      <rPr>
        <sz val="10"/>
        <rFont val="FreeSans"/>
        <family val="2"/>
      </rPr>
      <t xml:space="preserve">سرشیلنگی برنجی       </t>
    </r>
    <r>
      <rPr>
        <sz val="10"/>
        <rFont val="Vazirmatn"/>
        <family val="0"/>
        <charset val="1"/>
      </rPr>
      <t xml:space="preserve">1/2</t>
    </r>
  </si>
  <si>
    <t xml:space="preserve">31273999</t>
  </si>
  <si>
    <r>
      <rPr>
        <sz val="10"/>
        <rFont val="FreeSans"/>
        <family val="2"/>
      </rPr>
      <t xml:space="preserve">سردوش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آب پخش کن</t>
    </r>
    <r>
      <rPr>
        <sz val="10"/>
        <rFont val="Vazirmatn"/>
        <family val="0"/>
        <charset val="1"/>
      </rPr>
      <t xml:space="preserve">)</t>
    </r>
  </si>
  <si>
    <t xml:space="preserve">31274000</t>
  </si>
  <si>
    <t xml:space="preserve">سرگریس پمپ</t>
  </si>
  <si>
    <t xml:space="preserve">31274006</t>
  </si>
  <si>
    <r>
      <rPr>
        <sz val="10"/>
        <rFont val="FreeSans"/>
        <family val="2"/>
      </rPr>
      <t xml:space="preserve">بست آذین           </t>
    </r>
    <r>
      <rPr>
        <sz val="10"/>
        <rFont val="Vazirmatn"/>
        <family val="0"/>
        <charset val="1"/>
      </rPr>
      <t xml:space="preserve">" 2</t>
    </r>
  </si>
  <si>
    <t xml:space="preserve">31274008</t>
  </si>
  <si>
    <r>
      <rPr>
        <sz val="10"/>
        <rFont val="FreeSans"/>
        <family val="2"/>
      </rPr>
      <t xml:space="preserve">بست لوله آذین        </t>
    </r>
    <r>
      <rPr>
        <sz val="10"/>
        <rFont val="Vazirmatn"/>
        <family val="0"/>
        <charset val="1"/>
      </rPr>
      <t xml:space="preserve">20</t>
    </r>
  </si>
  <si>
    <t xml:space="preserve">31274012</t>
  </si>
  <si>
    <r>
      <rPr>
        <sz val="10"/>
        <rFont val="FreeSans"/>
        <family val="2"/>
      </rPr>
      <t xml:space="preserve">بست لوله آذین        </t>
    </r>
    <r>
      <rPr>
        <sz val="10"/>
        <rFont val="Vazirmatn"/>
        <family val="0"/>
        <charset val="1"/>
      </rPr>
      <t xml:space="preserve">16</t>
    </r>
  </si>
  <si>
    <t xml:space="preserve">31274015</t>
  </si>
  <si>
    <r>
      <rPr>
        <sz val="10"/>
        <rFont val="FreeSans"/>
        <family val="2"/>
      </rPr>
      <t xml:space="preserve">بست تک پایه </t>
    </r>
    <r>
      <rPr>
        <sz val="10"/>
        <rFont val="Vazirmatn"/>
        <family val="0"/>
        <charset val="1"/>
      </rPr>
      <t xml:space="preserve">25</t>
    </r>
  </si>
  <si>
    <t xml:space="preserve">31274016</t>
  </si>
  <si>
    <r>
      <rPr>
        <sz val="10"/>
        <rFont val="FreeSans"/>
        <family val="2"/>
      </rPr>
      <t xml:space="preserve">بست تک پایه </t>
    </r>
    <r>
      <rPr>
        <sz val="10"/>
        <rFont val="Vazirmatn"/>
        <family val="0"/>
        <charset val="1"/>
      </rPr>
      <t xml:space="preserve">20</t>
    </r>
  </si>
  <si>
    <t xml:space="preserve">31274017</t>
  </si>
  <si>
    <r>
      <rPr>
        <sz val="10"/>
        <rFont val="FreeSans"/>
        <family val="2"/>
      </rPr>
      <t xml:space="preserve">بست تک پایه </t>
    </r>
    <r>
      <rPr>
        <sz val="10"/>
        <rFont val="Vazirmatn"/>
        <family val="0"/>
        <charset val="1"/>
      </rPr>
      <t xml:space="preserve">16</t>
    </r>
  </si>
  <si>
    <t xml:space="preserve">31274026</t>
  </si>
  <si>
    <r>
      <rPr>
        <sz val="10"/>
        <rFont val="FreeSans"/>
        <family val="2"/>
      </rPr>
      <t xml:space="preserve">بست گالوانیزه    </t>
    </r>
    <r>
      <rPr>
        <sz val="10"/>
        <rFont val="Vazirmatn"/>
        <family val="0"/>
        <charset val="1"/>
      </rPr>
      <t xml:space="preserve">150</t>
    </r>
  </si>
  <si>
    <t xml:space="preserve">31274027</t>
  </si>
  <si>
    <t xml:space="preserve">بست گالوانیزه گریتینگ</t>
  </si>
  <si>
    <t xml:space="preserve">31274035</t>
  </si>
  <si>
    <r>
      <rPr>
        <sz val="10"/>
        <rFont val="FreeSans"/>
        <family val="2"/>
      </rPr>
      <t xml:space="preserve">بست کمپرسوری    </t>
    </r>
    <r>
      <rPr>
        <sz val="10"/>
        <rFont val="Vazirmatn"/>
        <family val="0"/>
        <charset val="1"/>
      </rPr>
      <t xml:space="preserve">1.1/2</t>
    </r>
  </si>
  <si>
    <t xml:space="preserve">31274050</t>
  </si>
  <si>
    <r>
      <rPr>
        <sz val="10"/>
        <rFont val="FreeSans"/>
        <family val="2"/>
      </rPr>
      <t xml:space="preserve">بست فلزی شیلنگ     </t>
    </r>
    <r>
      <rPr>
        <sz val="10"/>
        <rFont val="Vazirmatn"/>
        <family val="0"/>
        <charset val="1"/>
      </rPr>
      <t xml:space="preserve">1.1/2</t>
    </r>
  </si>
  <si>
    <t xml:space="preserve">31274051</t>
  </si>
  <si>
    <r>
      <rPr>
        <sz val="10"/>
        <rFont val="FreeSans"/>
        <family val="2"/>
      </rPr>
      <t xml:space="preserve">بست شیلنگ   </t>
    </r>
    <r>
      <rPr>
        <sz val="10"/>
        <rFont val="Vazirmatn"/>
        <family val="0"/>
        <charset val="1"/>
      </rPr>
      <t xml:space="preserve">" 5</t>
    </r>
  </si>
  <si>
    <t xml:space="preserve">31274059</t>
  </si>
  <si>
    <r>
      <rPr>
        <sz val="10"/>
        <rFont val="FreeSans"/>
        <family val="2"/>
      </rPr>
      <t xml:space="preserve">بست آچار خور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هندلی</t>
    </r>
    <r>
      <rPr>
        <sz val="10"/>
        <rFont val="Vazirmatn"/>
        <family val="0"/>
        <charset val="1"/>
      </rPr>
      <t xml:space="preserve">)   " 2</t>
    </r>
  </si>
  <si>
    <t xml:space="preserve">31274063</t>
  </si>
  <si>
    <r>
      <rPr>
        <sz val="10"/>
        <rFont val="FreeSans"/>
        <family val="2"/>
      </rPr>
      <t xml:space="preserve">بست شیلنگ   </t>
    </r>
    <r>
      <rPr>
        <sz val="10"/>
        <rFont val="Vazirmatn"/>
        <family val="0"/>
        <charset val="1"/>
      </rPr>
      <t xml:space="preserve">" 8</t>
    </r>
  </si>
  <si>
    <t xml:space="preserve">31274071</t>
  </si>
  <si>
    <r>
      <rPr>
        <sz val="10"/>
        <rFont val="FreeSans"/>
        <family val="2"/>
      </rPr>
      <t xml:space="preserve">بست هندلی گالوانیزه   </t>
    </r>
    <r>
      <rPr>
        <sz val="10"/>
        <rFont val="Vazirmatn"/>
        <family val="0"/>
        <charset val="1"/>
      </rPr>
      <t xml:space="preserve">" 4</t>
    </r>
  </si>
  <si>
    <t xml:space="preserve">31274072</t>
  </si>
  <si>
    <r>
      <rPr>
        <sz val="10"/>
        <rFont val="FreeSans"/>
        <family val="2"/>
      </rPr>
      <t xml:space="preserve">بست آچار خور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هندلی</t>
    </r>
    <r>
      <rPr>
        <sz val="10"/>
        <rFont val="Vazirmatn"/>
        <family val="0"/>
        <charset val="1"/>
      </rPr>
      <t xml:space="preserve">)   " 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</si>
  <si>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31274078</t>
  </si>
  <si>
    <r>
      <rPr>
        <sz val="10"/>
        <rFont val="FreeSans"/>
        <family val="2"/>
      </rPr>
      <t xml:space="preserve">بست هندلی آچار خور استیل صنایع شیری </t>
    </r>
    <r>
      <rPr>
        <sz val="10"/>
        <rFont val="Vazirmatn"/>
        <family val="0"/>
        <charset val="1"/>
      </rPr>
      <t xml:space="preserve">112-104</t>
    </r>
  </si>
  <si>
    <t xml:space="preserve">31274079</t>
  </si>
  <si>
    <r>
      <rPr>
        <sz val="10"/>
        <rFont val="FreeSans"/>
        <family val="2"/>
      </rPr>
      <t xml:space="preserve">بست هندلی آچار خور استیل صنایع شیری </t>
    </r>
    <r>
      <rPr>
        <sz val="10"/>
        <rFont val="Vazirmatn"/>
        <family val="0"/>
        <charset val="1"/>
      </rPr>
      <t xml:space="preserve">91-84</t>
    </r>
  </si>
  <si>
    <t xml:space="preserve">31274080</t>
  </si>
  <si>
    <r>
      <rPr>
        <sz val="10"/>
        <rFont val="FreeSans"/>
        <family val="2"/>
      </rPr>
      <t xml:space="preserve">بست کلمپی استیل کامل  صنایع شیری  </t>
    </r>
    <r>
      <rPr>
        <sz val="10"/>
        <rFont val="Vazirmatn"/>
        <family val="0"/>
        <charset val="1"/>
      </rPr>
      <t xml:space="preserve">38mm</t>
    </r>
  </si>
  <si>
    <t xml:space="preserve">31274081</t>
  </si>
  <si>
    <t xml:space="preserve">بست نری شکل نیوپایپ</t>
  </si>
  <si>
    <t xml:space="preserve">31274082</t>
  </si>
  <si>
    <t xml:space="preserve">بست تخت گالوانیزه</t>
  </si>
  <si>
    <t xml:space="preserve">31274083</t>
  </si>
  <si>
    <r>
      <rPr>
        <sz val="10"/>
        <rFont val="FreeSans"/>
        <family val="2"/>
      </rPr>
      <t xml:space="preserve">اتصال گالوانیزه  </t>
    </r>
    <r>
      <rPr>
        <sz val="10"/>
        <rFont val="Vazirmatn"/>
        <family val="0"/>
        <charset val="1"/>
      </rPr>
      <t xml:space="preserve">HT 90</t>
    </r>
  </si>
  <si>
    <t xml:space="preserve">31274084</t>
  </si>
  <si>
    <r>
      <rPr>
        <sz val="10"/>
        <rFont val="FreeSans"/>
        <family val="2"/>
      </rPr>
      <t xml:space="preserve">بست آهنی لوب رزوه دار         </t>
    </r>
    <r>
      <rPr>
        <sz val="10"/>
        <rFont val="Vazirmatn"/>
        <family val="0"/>
        <charset val="1"/>
      </rPr>
      <t xml:space="preserve">" 3</t>
    </r>
  </si>
  <si>
    <t xml:space="preserve">31274086</t>
  </si>
  <si>
    <r>
      <rPr>
        <sz val="10"/>
        <rFont val="FreeSans"/>
        <family val="2"/>
      </rPr>
      <t xml:space="preserve">بست سیم بکسل        </t>
    </r>
    <r>
      <rPr>
        <sz val="10"/>
        <rFont val="Vazirmatn"/>
        <family val="0"/>
        <charset val="1"/>
      </rPr>
      <t xml:space="preserve">14</t>
    </r>
  </si>
  <si>
    <t xml:space="preserve">31274092</t>
  </si>
  <si>
    <r>
      <rPr>
        <sz val="10"/>
        <rFont val="FreeSans"/>
        <family val="2"/>
      </rPr>
      <t xml:space="preserve">اتصال کلیپس گالوانیزه </t>
    </r>
    <r>
      <rPr>
        <sz val="10"/>
        <rFont val="Vazirmatn"/>
        <family val="0"/>
        <charset val="1"/>
      </rPr>
      <t xml:space="preserve">( +K )</t>
    </r>
  </si>
  <si>
    <t xml:space="preserve">31274093</t>
  </si>
  <si>
    <r>
      <rPr>
        <sz val="10"/>
        <rFont val="FreeSans"/>
        <family val="2"/>
      </rPr>
      <t xml:space="preserve">اتصال براکت گالوانیزه </t>
    </r>
    <r>
      <rPr>
        <sz val="10"/>
        <rFont val="Vazirmatn"/>
        <family val="0"/>
        <charset val="1"/>
      </rPr>
      <t xml:space="preserve">( +K )</t>
    </r>
  </si>
  <si>
    <t xml:space="preserve">31274094</t>
  </si>
  <si>
    <r>
      <rPr>
        <sz val="10"/>
        <rFont val="FreeSans"/>
        <family val="2"/>
      </rPr>
      <t xml:space="preserve">بست استیل پایه دار </t>
    </r>
    <r>
      <rPr>
        <sz val="10"/>
        <rFont val="Vazirmatn"/>
        <family val="0"/>
        <charset val="1"/>
      </rPr>
      <t xml:space="preserve">"8</t>
    </r>
  </si>
  <si>
    <t xml:space="preserve">31274095</t>
  </si>
  <si>
    <r>
      <rPr>
        <sz val="10"/>
        <rFont val="FreeSans"/>
        <family val="2"/>
      </rPr>
      <t xml:space="preserve">بست استیل پایه دار   </t>
    </r>
    <r>
      <rPr>
        <sz val="10"/>
        <rFont val="Vazirmatn"/>
        <family val="0"/>
        <charset val="1"/>
      </rPr>
      <t xml:space="preserve">" 10</t>
    </r>
  </si>
  <si>
    <t xml:space="preserve">31274101</t>
  </si>
  <si>
    <r>
      <rPr>
        <sz val="10"/>
        <rFont val="FreeSans"/>
        <family val="2"/>
      </rPr>
      <t xml:space="preserve">بست آهنی دوقلو  الواتور </t>
    </r>
    <r>
      <rPr>
        <sz val="10"/>
        <rFont val="Vazirmatn"/>
        <family val="0"/>
        <charset val="1"/>
      </rPr>
      <t xml:space="preserve">no2</t>
    </r>
  </si>
  <si>
    <t xml:space="preserve">31274102</t>
  </si>
  <si>
    <r>
      <rPr>
        <sz val="10"/>
        <rFont val="FreeSans"/>
        <family val="2"/>
      </rPr>
      <t xml:space="preserve">بست فلزی شیلنگ      </t>
    </r>
    <r>
      <rPr>
        <sz val="10"/>
        <rFont val="Vazirmatn"/>
        <family val="0"/>
        <charset val="1"/>
      </rPr>
      <t xml:space="preserve">"4</t>
    </r>
  </si>
  <si>
    <t xml:space="preserve">31274108</t>
  </si>
  <si>
    <t xml:space="preserve">اتصال فنر دوبل</t>
  </si>
  <si>
    <t xml:space="preserve">31274109</t>
  </si>
  <si>
    <r>
      <rPr>
        <sz val="10"/>
        <rFont val="FreeSans"/>
        <family val="2"/>
      </rPr>
      <t xml:space="preserve">بست آهنی پایه دار             </t>
    </r>
    <r>
      <rPr>
        <sz val="10"/>
        <rFont val="Vazirmatn"/>
        <family val="0"/>
        <charset val="1"/>
      </rPr>
      <t xml:space="preserve">" 6</t>
    </r>
  </si>
  <si>
    <t xml:space="preserve">31274113</t>
  </si>
  <si>
    <r>
      <rPr>
        <sz val="10"/>
        <rFont val="FreeSans"/>
        <family val="2"/>
      </rPr>
      <t xml:space="preserve">بست آهنی پایه دار            </t>
    </r>
    <r>
      <rPr>
        <sz val="10"/>
        <rFont val="Vazirmatn"/>
        <family val="0"/>
        <charset val="1"/>
      </rPr>
      <t xml:space="preserve">" 4</t>
    </r>
  </si>
  <si>
    <t xml:space="preserve">31274114</t>
  </si>
  <si>
    <r>
      <rPr>
        <sz val="10"/>
        <rFont val="FreeSans"/>
        <family val="2"/>
      </rPr>
      <t xml:space="preserve">بست آهنی پایه دار       </t>
    </r>
    <r>
      <rPr>
        <sz val="10"/>
        <rFont val="Vazirmatn"/>
        <family val="0"/>
        <charset val="1"/>
      </rPr>
      <t xml:space="preserve">" 2</t>
    </r>
  </si>
  <si>
    <t xml:space="preserve">31274115</t>
  </si>
  <si>
    <r>
      <rPr>
        <sz val="10"/>
        <rFont val="FreeSans"/>
        <family val="2"/>
      </rPr>
      <t xml:space="preserve">بست آهنی پایه دار فشار قوی           </t>
    </r>
    <r>
      <rPr>
        <sz val="10"/>
        <rFont val="Vazirmatn"/>
        <family val="0"/>
        <charset val="1"/>
      </rPr>
      <t xml:space="preserve">" 1</t>
    </r>
  </si>
  <si>
    <t xml:space="preserve">31274117</t>
  </si>
  <si>
    <r>
      <rPr>
        <sz val="10"/>
        <rFont val="FreeSans"/>
        <family val="2"/>
      </rPr>
      <t xml:space="preserve">بست  آهنی پایه دار     </t>
    </r>
    <r>
      <rPr>
        <sz val="10"/>
        <rFont val="Vazirmatn"/>
        <family val="0"/>
        <charset val="1"/>
      </rPr>
      <t xml:space="preserve">" 5</t>
    </r>
  </si>
  <si>
    <t xml:space="preserve">31274124</t>
  </si>
  <si>
    <r>
      <rPr>
        <sz val="10"/>
        <rFont val="FreeSans"/>
        <family val="2"/>
      </rPr>
      <t xml:space="preserve">بست استیل پایه دار   </t>
    </r>
    <r>
      <rPr>
        <sz val="10"/>
        <rFont val="Vazirmatn"/>
        <family val="0"/>
        <charset val="1"/>
      </rPr>
      <t xml:space="preserve">" 3</t>
    </r>
  </si>
  <si>
    <t xml:space="preserve">31274126</t>
  </si>
  <si>
    <r>
      <rPr>
        <sz val="10"/>
        <rFont val="FreeSans"/>
        <family val="2"/>
      </rPr>
      <t xml:space="preserve">بست استیل فشار قوی پایه دار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سانتی </t>
    </r>
    <r>
      <rPr>
        <sz val="10"/>
        <rFont val="Vazirmatn"/>
        <family val="0"/>
        <charset val="1"/>
      </rPr>
      <t xml:space="preserve">"4</t>
    </r>
  </si>
  <si>
    <t xml:space="preserve">31274127</t>
  </si>
  <si>
    <r>
      <rPr>
        <sz val="10"/>
        <rFont val="FreeSans"/>
        <family val="2"/>
      </rPr>
      <t xml:space="preserve">بست آهنی پایه دار       </t>
    </r>
    <r>
      <rPr>
        <sz val="10"/>
        <rFont val="Vazirmatn"/>
        <family val="0"/>
        <charset val="1"/>
      </rPr>
      <t xml:space="preserve">" 3</t>
    </r>
  </si>
  <si>
    <t xml:space="preserve">31274131</t>
  </si>
  <si>
    <r>
      <rPr>
        <sz val="10"/>
        <rFont val="FreeSans"/>
        <family val="2"/>
      </rPr>
      <t xml:space="preserve">بست شیلنگ </t>
    </r>
    <r>
      <rPr>
        <sz val="10"/>
        <rFont val="Vazirmatn"/>
        <family val="0"/>
        <charset val="1"/>
      </rPr>
      <t xml:space="preserve">5"</t>
    </r>
  </si>
  <si>
    <t xml:space="preserve">31274133</t>
  </si>
  <si>
    <r>
      <rPr>
        <sz val="10"/>
        <rFont val="FreeSans"/>
        <family val="2"/>
      </rPr>
      <t xml:space="preserve">بست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کلیپس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پارچه میانی پرس</t>
    </r>
  </si>
  <si>
    <t xml:space="preserve">31274144</t>
  </si>
  <si>
    <r>
      <rPr>
        <sz val="10"/>
        <rFont val="FreeSans"/>
        <family val="2"/>
      </rPr>
      <t xml:space="preserve">بست استیل پایه دار   </t>
    </r>
    <r>
      <rPr>
        <sz val="10"/>
        <rFont val="Vazirmatn"/>
        <family val="0"/>
        <charset val="1"/>
      </rPr>
      <t xml:space="preserve">" 5</t>
    </r>
  </si>
  <si>
    <t xml:space="preserve">31274149</t>
  </si>
  <si>
    <t xml:space="preserve">بست کلمپی هیدروکلن ها</t>
  </si>
  <si>
    <t xml:space="preserve">31274155</t>
  </si>
  <si>
    <r>
      <rPr>
        <sz val="10"/>
        <rFont val="FreeSans"/>
        <family val="2"/>
      </rPr>
      <t xml:space="preserve">بست     هندلی     </t>
    </r>
    <r>
      <rPr>
        <sz val="10"/>
        <rFont val="Vazirmatn"/>
        <family val="0"/>
        <charset val="1"/>
      </rPr>
      <t xml:space="preserve">" 1</t>
    </r>
  </si>
  <si>
    <t xml:space="preserve">31274157</t>
  </si>
  <si>
    <r>
      <rPr>
        <sz val="10"/>
        <rFont val="FreeSans"/>
        <family val="2"/>
      </rPr>
      <t xml:space="preserve">بست پایه دار استیل   </t>
    </r>
    <r>
      <rPr>
        <sz val="10"/>
        <rFont val="Vazirmatn"/>
        <family val="0"/>
        <charset val="1"/>
      </rPr>
      <t xml:space="preserve">" 2</t>
    </r>
  </si>
  <si>
    <t xml:space="preserve">31274158</t>
  </si>
  <si>
    <r>
      <rPr>
        <sz val="10"/>
        <rFont val="FreeSans"/>
        <family val="2"/>
      </rPr>
      <t xml:space="preserve">بست پایه دار استیل   </t>
    </r>
    <r>
      <rPr>
        <sz val="10"/>
        <rFont val="Vazirmatn"/>
        <family val="0"/>
        <charset val="1"/>
      </rPr>
      <t xml:space="preserve">" 1/2 2</t>
    </r>
  </si>
  <si>
    <t xml:space="preserve">31274159</t>
  </si>
  <si>
    <r>
      <rPr>
        <sz val="10"/>
        <rFont val="FreeSans"/>
        <family val="2"/>
      </rPr>
      <t xml:space="preserve">بست استیل پایه دار    </t>
    </r>
    <r>
      <rPr>
        <sz val="10"/>
        <rFont val="Vazirmatn"/>
        <family val="0"/>
        <charset val="1"/>
      </rPr>
      <t xml:space="preserve">" 6</t>
    </r>
  </si>
  <si>
    <t xml:space="preserve">31274161</t>
  </si>
  <si>
    <r>
      <rPr>
        <sz val="10"/>
        <rFont val="FreeSans"/>
        <family val="2"/>
      </rPr>
      <t xml:space="preserve">بست استیل صنایع شیری  </t>
    </r>
    <r>
      <rPr>
        <sz val="10"/>
        <rFont val="Vazirmatn"/>
        <family val="0"/>
        <charset val="1"/>
      </rPr>
      <t xml:space="preserve">63/5mm</t>
    </r>
  </si>
  <si>
    <t xml:space="preserve">31274164</t>
  </si>
  <si>
    <r>
      <rPr>
        <sz val="10"/>
        <rFont val="FreeSans"/>
        <family val="2"/>
      </rPr>
      <t xml:space="preserve">بست استیل پایه دار    </t>
    </r>
    <r>
      <rPr>
        <sz val="10"/>
        <rFont val="Vazirmatn"/>
        <family val="0"/>
        <charset val="1"/>
      </rPr>
      <t xml:space="preserve">" 4</t>
    </r>
  </si>
  <si>
    <t xml:space="preserve">31274165</t>
  </si>
  <si>
    <r>
      <rPr>
        <sz val="10"/>
        <rFont val="FreeSans"/>
        <family val="2"/>
      </rPr>
      <t xml:space="preserve">بست استیل صنایع شیری   </t>
    </r>
    <r>
      <rPr>
        <sz val="10"/>
        <rFont val="Vazirmatn"/>
        <family val="0"/>
        <charset val="1"/>
      </rPr>
      <t xml:space="preserve">76mm</t>
    </r>
  </si>
  <si>
    <t xml:space="preserve">31274170</t>
  </si>
  <si>
    <r>
      <rPr>
        <sz val="10"/>
        <rFont val="FreeSans"/>
        <family val="2"/>
      </rPr>
      <t xml:space="preserve">بست  استیل   صنایع شیری پایه  دار  </t>
    </r>
    <r>
      <rPr>
        <sz val="10"/>
        <rFont val="Vazirmatn"/>
        <family val="0"/>
        <charset val="1"/>
      </rPr>
      <t xml:space="preserve">25</t>
    </r>
  </si>
  <si>
    <t xml:space="preserve">31274175</t>
  </si>
  <si>
    <r>
      <rPr>
        <sz val="10"/>
        <rFont val="FreeSans"/>
        <family val="2"/>
      </rPr>
      <t xml:space="preserve">بست </t>
    </r>
    <r>
      <rPr>
        <sz val="10"/>
        <rFont val="Vazirmatn"/>
        <family val="0"/>
        <charset val="1"/>
      </rPr>
      <t xml:space="preserve">" 1    ( ABS )</t>
    </r>
  </si>
  <si>
    <t xml:space="preserve">31274176</t>
  </si>
  <si>
    <r>
      <rPr>
        <sz val="10"/>
        <rFont val="FreeSans"/>
        <family val="2"/>
      </rPr>
      <t xml:space="preserve">بست </t>
    </r>
    <r>
      <rPr>
        <sz val="10"/>
        <rFont val="Vazirmatn"/>
        <family val="0"/>
        <charset val="1"/>
      </rPr>
      <t xml:space="preserve">" 2    ( ABS )</t>
    </r>
  </si>
  <si>
    <t xml:space="preserve">31274177</t>
  </si>
  <si>
    <r>
      <rPr>
        <sz val="10"/>
        <rFont val="FreeSans"/>
        <family val="2"/>
      </rPr>
      <t xml:space="preserve">بست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   ( ABS )</t>
    </r>
  </si>
  <si>
    <t xml:space="preserve">31274178</t>
  </si>
  <si>
    <r>
      <rPr>
        <sz val="10"/>
        <rFont val="FreeSans"/>
        <family val="2"/>
      </rPr>
      <t xml:space="preserve">بست </t>
    </r>
    <r>
      <rPr>
        <sz val="10"/>
        <rFont val="Vazirmatn"/>
        <family val="0"/>
        <charset val="1"/>
      </rPr>
      <t xml:space="preserve">" 3    ( ABS )</t>
    </r>
  </si>
  <si>
    <t xml:space="preserve">31274179</t>
  </si>
  <si>
    <r>
      <rPr>
        <sz val="10"/>
        <rFont val="FreeSans"/>
        <family val="2"/>
      </rPr>
      <t xml:space="preserve">بست </t>
    </r>
    <r>
      <rPr>
        <sz val="10"/>
        <rFont val="Vazirmatn"/>
        <family val="0"/>
        <charset val="1"/>
      </rPr>
      <t xml:space="preserve">" 4    ( ABS )</t>
    </r>
  </si>
  <si>
    <t xml:space="preserve">31274180</t>
  </si>
  <si>
    <r>
      <rPr>
        <sz val="10"/>
        <rFont val="FreeSans"/>
        <family val="2"/>
      </rPr>
      <t xml:space="preserve">بست </t>
    </r>
    <r>
      <rPr>
        <sz val="10"/>
        <rFont val="Vazirmatn"/>
        <family val="0"/>
        <charset val="1"/>
      </rPr>
      <t xml:space="preserve">" 3/4    ( ABS )</t>
    </r>
  </si>
  <si>
    <t xml:space="preserve">31274182</t>
  </si>
  <si>
    <r>
      <rPr>
        <sz val="10"/>
        <rFont val="FreeSans"/>
        <family val="2"/>
      </rPr>
      <t xml:space="preserve">بست استیل پایه دار صنایع شیری   </t>
    </r>
    <r>
      <rPr>
        <sz val="10"/>
        <rFont val="Vazirmatn"/>
        <family val="0"/>
        <charset val="1"/>
      </rPr>
      <t xml:space="preserve">20mm</t>
    </r>
  </si>
  <si>
    <t xml:space="preserve">31274183</t>
  </si>
  <si>
    <r>
      <rPr>
        <sz val="10"/>
        <rFont val="FreeSans"/>
        <family val="2"/>
      </rPr>
      <t xml:space="preserve">بست استیل صنایع شیری پایه دار   </t>
    </r>
    <r>
      <rPr>
        <sz val="10"/>
        <rFont val="Vazirmatn"/>
        <family val="0"/>
        <charset val="1"/>
      </rPr>
      <t xml:space="preserve">38mm</t>
    </r>
  </si>
  <si>
    <t xml:space="preserve">31274184</t>
  </si>
  <si>
    <r>
      <rPr>
        <sz val="10"/>
        <rFont val="FreeSans"/>
        <family val="2"/>
      </rPr>
      <t xml:space="preserve">بست استیل پایه دار صنایع شیری   </t>
    </r>
    <r>
      <rPr>
        <sz val="10"/>
        <rFont val="Vazirmatn"/>
        <family val="0"/>
        <charset val="1"/>
      </rPr>
      <t xml:space="preserve">15mm</t>
    </r>
  </si>
  <si>
    <t xml:space="preserve">31274186</t>
  </si>
  <si>
    <r>
      <rPr>
        <sz val="10"/>
        <rFont val="FreeSans"/>
        <family val="2"/>
      </rPr>
      <t xml:space="preserve">بست استیل </t>
    </r>
    <r>
      <rPr>
        <sz val="10"/>
        <rFont val="Vazirmatn"/>
        <family val="0"/>
        <charset val="1"/>
      </rPr>
      <t xml:space="preserve">" 3</t>
    </r>
  </si>
  <si>
    <t xml:space="preserve">31274189</t>
  </si>
  <si>
    <r>
      <rPr>
        <sz val="10"/>
        <rFont val="FreeSans"/>
        <family val="2"/>
      </rPr>
      <t xml:space="preserve">بست استیل صنایع شیری  </t>
    </r>
    <r>
      <rPr>
        <sz val="10"/>
        <rFont val="Vazirmatn"/>
        <family val="0"/>
        <charset val="1"/>
      </rPr>
      <t xml:space="preserve">51mm</t>
    </r>
  </si>
  <si>
    <t xml:space="preserve">31274190</t>
  </si>
  <si>
    <r>
      <rPr>
        <sz val="10"/>
        <rFont val="FreeSans"/>
        <family val="2"/>
      </rPr>
      <t xml:space="preserve">بست استیل صنایع شیری </t>
    </r>
    <r>
      <rPr>
        <sz val="10"/>
        <rFont val="Vazirmatn"/>
        <family val="0"/>
        <charset val="1"/>
      </rPr>
      <t xml:space="preserve">DN:102</t>
    </r>
  </si>
  <si>
    <t xml:space="preserve">31274192</t>
  </si>
  <si>
    <r>
      <rPr>
        <sz val="10"/>
        <rFont val="FreeSans"/>
        <family val="2"/>
      </rPr>
      <t xml:space="preserve">بست پایه چسب </t>
    </r>
    <r>
      <rPr>
        <sz val="10"/>
        <rFont val="Vazirmatn"/>
        <family val="0"/>
        <charset val="1"/>
      </rPr>
      <t xml:space="preserve">2cm</t>
    </r>
  </si>
  <si>
    <t xml:space="preserve">31274193</t>
  </si>
  <si>
    <r>
      <rPr>
        <sz val="10"/>
        <rFont val="FreeSans"/>
        <family val="2"/>
      </rPr>
      <t xml:space="preserve">بست پایه چسب </t>
    </r>
    <r>
      <rPr>
        <sz val="10"/>
        <rFont val="Vazirmatn"/>
        <family val="0"/>
        <charset val="1"/>
      </rPr>
      <t xml:space="preserve">6cm</t>
    </r>
  </si>
  <si>
    <t xml:space="preserve">31274196</t>
  </si>
  <si>
    <r>
      <rPr>
        <sz val="10"/>
        <rFont val="FreeSans"/>
        <family val="2"/>
      </rPr>
      <t xml:space="preserve">بست کمربندی پلی اتیلن </t>
    </r>
    <r>
      <rPr>
        <sz val="10"/>
        <rFont val="Vazirmatn"/>
        <family val="0"/>
        <charset val="1"/>
      </rPr>
      <t xml:space="preserve">" 2 * " 4</t>
    </r>
  </si>
  <si>
    <t xml:space="preserve">31274201</t>
  </si>
  <si>
    <r>
      <rPr>
        <sz val="10"/>
        <rFont val="FreeSans"/>
        <family val="2"/>
      </rPr>
      <t xml:space="preserve">پایه بست کمربندی چسب دار  </t>
    </r>
    <r>
      <rPr>
        <sz val="10"/>
        <rFont val="Vazirmatn"/>
        <family val="0"/>
        <charset val="1"/>
      </rPr>
      <t xml:space="preserve">28mm * 28mm</t>
    </r>
  </si>
  <si>
    <t xml:space="preserve">31274202</t>
  </si>
  <si>
    <r>
      <rPr>
        <sz val="10"/>
        <rFont val="FreeSans"/>
        <family val="2"/>
      </rPr>
      <t xml:space="preserve">بست کمربندی پلی اتیلن </t>
    </r>
    <r>
      <rPr>
        <sz val="10"/>
        <rFont val="Vazirmatn"/>
        <family val="0"/>
        <charset val="1"/>
      </rPr>
      <t xml:space="preserve">" 1 * " 1/2 2</t>
    </r>
  </si>
  <si>
    <t xml:space="preserve">31274203</t>
  </si>
  <si>
    <r>
      <rPr>
        <sz val="10"/>
        <rFont val="FreeSans"/>
        <family val="2"/>
      </rPr>
      <t xml:space="preserve">بست لوله برق   </t>
    </r>
    <r>
      <rPr>
        <sz val="10"/>
        <rFont val="Vazirmatn"/>
        <family val="0"/>
        <charset val="1"/>
      </rPr>
      <t xml:space="preserve">36</t>
    </r>
  </si>
  <si>
    <t xml:space="preserve">31274205</t>
  </si>
  <si>
    <r>
      <rPr>
        <sz val="10"/>
        <rFont val="FreeSans"/>
        <family val="2"/>
      </rPr>
      <t xml:space="preserve">پایه بست کمربندی چسب دار  </t>
    </r>
    <r>
      <rPr>
        <sz val="10"/>
        <rFont val="Vazirmatn"/>
        <family val="0"/>
        <charset val="1"/>
      </rPr>
      <t xml:space="preserve">19mm * 19mm</t>
    </r>
  </si>
  <si>
    <t xml:space="preserve">31274208</t>
  </si>
  <si>
    <r>
      <rPr>
        <sz val="10"/>
        <rFont val="FreeSans"/>
        <family val="2"/>
      </rPr>
      <t xml:space="preserve">بست لوله فولادی برق      </t>
    </r>
    <r>
      <rPr>
        <sz val="10"/>
        <rFont val="Vazirmatn"/>
        <family val="0"/>
        <charset val="1"/>
      </rPr>
      <t xml:space="preserve">16</t>
    </r>
  </si>
  <si>
    <t xml:space="preserve">31274210</t>
  </si>
  <si>
    <t xml:space="preserve">بست مهار لوله های کولینگ تاور</t>
  </si>
  <si>
    <t xml:space="preserve">31274211</t>
  </si>
  <si>
    <r>
      <rPr>
        <sz val="10"/>
        <rFont val="FreeSans"/>
        <family val="2"/>
      </rPr>
      <t xml:space="preserve">بست برنجی </t>
    </r>
    <r>
      <rPr>
        <sz val="10"/>
        <rFont val="Vazirmatn"/>
        <family val="0"/>
        <charset val="1"/>
      </rPr>
      <t xml:space="preserve">2</t>
    </r>
    <r>
      <rPr>
        <sz val="10"/>
        <rFont val="FreeSans"/>
        <family val="2"/>
      </rPr>
      <t xml:space="preserve">اینچ</t>
    </r>
  </si>
  <si>
    <t xml:space="preserve">31274213</t>
  </si>
  <si>
    <r>
      <rPr>
        <sz val="10"/>
        <rFont val="FreeSans"/>
        <family val="2"/>
      </rPr>
      <t xml:space="preserve">بست لوله فولادی برق       </t>
    </r>
    <r>
      <rPr>
        <sz val="10"/>
        <rFont val="Vazirmatn"/>
        <family val="0"/>
        <charset val="1"/>
      </rPr>
      <t xml:space="preserve">13</t>
    </r>
  </si>
  <si>
    <t xml:space="preserve">31274214</t>
  </si>
  <si>
    <r>
      <rPr>
        <sz val="10"/>
        <rFont val="FreeSans"/>
        <family val="2"/>
      </rPr>
      <t xml:space="preserve">بست لوله فولادی برق       </t>
    </r>
    <r>
      <rPr>
        <sz val="10"/>
        <rFont val="Vazirmatn"/>
        <family val="0"/>
        <charset val="1"/>
      </rPr>
      <t xml:space="preserve">11</t>
    </r>
  </si>
  <si>
    <t xml:space="preserve">31274215</t>
  </si>
  <si>
    <r>
      <rPr>
        <sz val="10"/>
        <rFont val="FreeSans"/>
        <family val="2"/>
      </rPr>
      <t xml:space="preserve">بست و پایه نگهدارنده </t>
    </r>
    <r>
      <rPr>
        <sz val="10"/>
        <rFont val="Vazirmatn"/>
        <family val="0"/>
        <charset val="1"/>
      </rPr>
      <t xml:space="preserve">Look Strip </t>
    </r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Heat trace</t>
    </r>
  </si>
  <si>
    <t xml:space="preserve">31274218</t>
  </si>
  <si>
    <r>
      <rPr>
        <sz val="10"/>
        <rFont val="FreeSans"/>
        <family val="2"/>
      </rPr>
      <t xml:space="preserve">بست کمربندی پلی اتیلن </t>
    </r>
    <r>
      <rPr>
        <sz val="10"/>
        <rFont val="Vazirmatn"/>
        <family val="0"/>
        <charset val="1"/>
      </rPr>
      <t xml:space="preserve">" 1 * " 3</t>
    </r>
  </si>
  <si>
    <t xml:space="preserve">31274219</t>
  </si>
  <si>
    <r>
      <rPr>
        <sz val="10"/>
        <rFont val="FreeSans"/>
        <family val="2"/>
      </rPr>
      <t xml:space="preserve">بست کمربندی پلی اتیلن </t>
    </r>
    <r>
      <rPr>
        <sz val="10"/>
        <rFont val="Vazirmatn"/>
        <family val="0"/>
        <charset val="1"/>
      </rPr>
      <t xml:space="preserve">" 1/2  * " 3</t>
    </r>
  </si>
  <si>
    <t xml:space="preserve">31274221</t>
  </si>
  <si>
    <r>
      <rPr>
        <sz val="10"/>
        <rFont val="FreeSans"/>
        <family val="2"/>
      </rPr>
      <t xml:space="preserve">بست کمربندی پلی اتیلن </t>
    </r>
    <r>
      <rPr>
        <sz val="10"/>
        <rFont val="Vazirmatn"/>
        <family val="0"/>
        <charset val="1"/>
      </rPr>
      <t xml:space="preserve">" 1/2  * " 1/2 1</t>
    </r>
  </si>
  <si>
    <t xml:space="preserve">31274223</t>
  </si>
  <si>
    <r>
      <rPr>
        <sz val="10"/>
        <rFont val="FreeSans"/>
        <family val="2"/>
      </rPr>
      <t xml:space="preserve">بست هندلی استیل </t>
    </r>
    <r>
      <rPr>
        <sz val="10"/>
        <rFont val="Vazirmatn"/>
        <family val="0"/>
        <charset val="1"/>
      </rPr>
      <t xml:space="preserve">"3</t>
    </r>
  </si>
  <si>
    <t xml:space="preserve">31274224</t>
  </si>
  <si>
    <r>
      <rPr>
        <sz val="10"/>
        <rFont val="FreeSans"/>
        <family val="2"/>
      </rPr>
      <t xml:space="preserve">بست فلکسی روکشدار  </t>
    </r>
    <r>
      <rPr>
        <sz val="10"/>
        <rFont val="Vazirmatn"/>
        <family val="0"/>
        <charset val="1"/>
      </rPr>
      <t xml:space="preserve">11</t>
    </r>
  </si>
  <si>
    <t xml:space="preserve">31274225</t>
  </si>
  <si>
    <r>
      <rPr>
        <sz val="10"/>
        <rFont val="FreeSans"/>
        <family val="2"/>
      </rPr>
      <t xml:space="preserve">بست فلکسی روکشدار  </t>
    </r>
    <r>
      <rPr>
        <sz val="10"/>
        <rFont val="Vazirmatn"/>
        <family val="0"/>
        <charset val="1"/>
      </rPr>
      <t xml:space="preserve">13</t>
    </r>
  </si>
  <si>
    <t xml:space="preserve">31274226</t>
  </si>
  <si>
    <r>
      <rPr>
        <sz val="10"/>
        <rFont val="FreeSans"/>
        <family val="2"/>
      </rPr>
      <t xml:space="preserve">بست فلکسی روکشدار  </t>
    </r>
    <r>
      <rPr>
        <sz val="10"/>
        <rFont val="Vazirmatn"/>
        <family val="0"/>
        <charset val="1"/>
      </rPr>
      <t xml:space="preserve">16</t>
    </r>
  </si>
  <si>
    <t xml:space="preserve">31274227</t>
  </si>
  <si>
    <r>
      <rPr>
        <sz val="10"/>
        <rFont val="FreeSans"/>
        <family val="2"/>
      </rPr>
      <t xml:space="preserve">بست فلکسی روکشدار  </t>
    </r>
    <r>
      <rPr>
        <sz val="10"/>
        <rFont val="Vazirmatn"/>
        <family val="0"/>
        <charset val="1"/>
      </rPr>
      <t xml:space="preserve">21</t>
    </r>
  </si>
  <si>
    <t xml:space="preserve">31274228</t>
  </si>
  <si>
    <r>
      <rPr>
        <sz val="10"/>
        <rFont val="FreeSans"/>
        <family val="2"/>
      </rPr>
      <t xml:space="preserve">بست فلکسی روکشدار  </t>
    </r>
    <r>
      <rPr>
        <sz val="10"/>
        <rFont val="Vazirmatn"/>
        <family val="0"/>
        <charset val="1"/>
      </rPr>
      <t xml:space="preserve">29</t>
    </r>
  </si>
  <si>
    <t xml:space="preserve">31274230</t>
  </si>
  <si>
    <r>
      <rPr>
        <sz val="10"/>
        <rFont val="FreeSans"/>
        <family val="2"/>
      </rPr>
      <t xml:space="preserve">بست کلمپی استیل  صنایع شیری        </t>
    </r>
    <r>
      <rPr>
        <sz val="10"/>
        <rFont val="Vazirmatn"/>
        <family val="0"/>
        <charset val="1"/>
      </rPr>
      <t xml:space="preserve">50.5mm</t>
    </r>
  </si>
  <si>
    <t xml:space="preserve">31274231</t>
  </si>
  <si>
    <r>
      <rPr>
        <sz val="10"/>
        <rFont val="FreeSans"/>
        <family val="2"/>
      </rPr>
      <t xml:space="preserve">بست کلمپی فشار قوی آتش نشانی </t>
    </r>
    <r>
      <rPr>
        <sz val="10"/>
        <rFont val="Vazirmatn"/>
        <family val="0"/>
        <charset val="1"/>
      </rPr>
      <t xml:space="preserve">"3</t>
    </r>
  </si>
  <si>
    <t xml:space="preserve">31274232</t>
  </si>
  <si>
    <r>
      <rPr>
        <sz val="10"/>
        <rFont val="FreeSans"/>
        <family val="2"/>
      </rPr>
      <t xml:space="preserve">بست لوله کلمپی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قفلی سریع </t>
    </r>
    <r>
      <rPr>
        <sz val="10"/>
        <rFont val="Vazirmatn"/>
        <family val="0"/>
        <charset val="1"/>
      </rPr>
      <t xml:space="preserve">) "2</t>
    </r>
  </si>
  <si>
    <t xml:space="preserve">31274233</t>
  </si>
  <si>
    <r>
      <rPr>
        <sz val="10"/>
        <rFont val="FreeSans"/>
        <family val="2"/>
      </rPr>
      <t xml:space="preserve">بست کلمپی فشار قوی  </t>
    </r>
    <r>
      <rPr>
        <sz val="10"/>
        <rFont val="Vazirmatn"/>
        <family val="0"/>
        <charset val="1"/>
      </rPr>
      <t xml:space="preserve">"4</t>
    </r>
  </si>
  <si>
    <t xml:space="preserve">31274234</t>
  </si>
  <si>
    <r>
      <rPr>
        <sz val="10"/>
        <rFont val="FreeSans"/>
        <family val="2"/>
      </rPr>
      <t xml:space="preserve">نگهدارنده یاتاقان برنجی هلیس </t>
    </r>
    <r>
      <rPr>
        <sz val="10"/>
        <rFont val="Vazirmatn"/>
        <family val="0"/>
        <charset val="1"/>
      </rPr>
      <t xml:space="preserve">"4</t>
    </r>
  </si>
  <si>
    <t xml:space="preserve">31274236</t>
  </si>
  <si>
    <r>
      <rPr>
        <sz val="10"/>
        <rFont val="FreeSans"/>
        <family val="2"/>
      </rPr>
      <t xml:space="preserve">بست کمربندی پلی اتیلن </t>
    </r>
    <r>
      <rPr>
        <sz val="10"/>
        <rFont val="Vazirmatn"/>
        <family val="0"/>
        <charset val="1"/>
      </rPr>
      <t xml:space="preserve">" 1 * 110</t>
    </r>
  </si>
  <si>
    <t xml:space="preserve">31274237</t>
  </si>
  <si>
    <r>
      <rPr>
        <sz val="10"/>
        <rFont val="FreeSans"/>
        <family val="2"/>
      </rPr>
      <t xml:space="preserve">بست لوله داربست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پیچ</t>
    </r>
  </si>
  <si>
    <t xml:space="preserve">31274238</t>
  </si>
  <si>
    <r>
      <rPr>
        <sz val="10"/>
        <rFont val="FreeSans"/>
        <family val="2"/>
      </rPr>
      <t xml:space="preserve">رابط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اتصال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لوله داربست </t>
    </r>
    <r>
      <rPr>
        <sz val="10"/>
        <rFont val="Vazirmatn"/>
        <family val="0"/>
        <charset val="1"/>
      </rPr>
      <t xml:space="preserve">20cm</t>
    </r>
  </si>
  <si>
    <t xml:space="preserve">31274239</t>
  </si>
  <si>
    <r>
      <rPr>
        <sz val="10"/>
        <rFont val="FreeSans"/>
        <family val="2"/>
      </rPr>
      <t xml:space="preserve">بست فشار قوی استیل بدون پایه </t>
    </r>
    <r>
      <rPr>
        <sz val="10"/>
        <rFont val="Vazirmatn"/>
        <family val="0"/>
        <charset val="1"/>
      </rPr>
      <t xml:space="preserve">" 2</t>
    </r>
  </si>
  <si>
    <t xml:space="preserve">31274240</t>
  </si>
  <si>
    <r>
      <rPr>
        <sz val="10"/>
        <rFont val="FreeSans"/>
        <family val="2"/>
      </rPr>
      <t xml:space="preserve">بست فشار قوی استیل بدون پایه </t>
    </r>
    <r>
      <rPr>
        <sz val="10"/>
        <rFont val="Vazirmatn"/>
        <family val="0"/>
        <charset val="1"/>
      </rPr>
      <t xml:space="preserve">" 3</t>
    </r>
  </si>
  <si>
    <t xml:space="preserve">31274241</t>
  </si>
  <si>
    <r>
      <rPr>
        <sz val="10"/>
        <rFont val="FreeSans"/>
        <family val="2"/>
      </rPr>
      <t xml:space="preserve">بست  استیل پیچ گوشتی خور </t>
    </r>
    <r>
      <rPr>
        <sz val="10"/>
        <rFont val="Vazirmatn"/>
        <family val="0"/>
        <charset val="1"/>
      </rPr>
      <t xml:space="preserve">90</t>
    </r>
  </si>
  <si>
    <t xml:space="preserve">31274245</t>
  </si>
  <si>
    <r>
      <rPr>
        <sz val="10"/>
        <rFont val="FreeSans"/>
        <family val="2"/>
      </rPr>
      <t xml:space="preserve">بست پیچ گوشتی خور استیل </t>
    </r>
    <r>
      <rPr>
        <sz val="10"/>
        <rFont val="Vazirmatn"/>
        <family val="0"/>
        <charset val="1"/>
      </rPr>
      <t xml:space="preserve">" 4</t>
    </r>
  </si>
  <si>
    <t xml:space="preserve">31274246</t>
  </si>
  <si>
    <r>
      <rPr>
        <sz val="10"/>
        <rFont val="FreeSans"/>
        <family val="2"/>
      </rPr>
      <t xml:space="preserve">بست هندلی استیل  </t>
    </r>
    <r>
      <rPr>
        <sz val="10"/>
        <rFont val="Vazirmatn"/>
        <family val="0"/>
        <charset val="1"/>
      </rPr>
      <t xml:space="preserve">" 2</t>
    </r>
  </si>
  <si>
    <t xml:space="preserve">31274247</t>
  </si>
  <si>
    <r>
      <rPr>
        <sz val="10"/>
        <rFont val="FreeSans"/>
        <family val="2"/>
      </rPr>
      <t xml:space="preserve">بست هندلی استیل  </t>
    </r>
    <r>
      <rPr>
        <sz val="10"/>
        <rFont val="Vazirmatn"/>
        <family val="0"/>
        <charset val="1"/>
      </rPr>
      <t xml:space="preserve">" 4</t>
    </r>
  </si>
  <si>
    <t xml:space="preserve">31274248</t>
  </si>
  <si>
    <r>
      <rPr>
        <sz val="10"/>
        <rFont val="FreeSans"/>
        <family val="2"/>
      </rPr>
      <t xml:space="preserve">کلمپ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صنایع شیری </t>
    </r>
    <r>
      <rPr>
        <sz val="10"/>
        <rFont val="Vazirmatn"/>
        <family val="0"/>
        <charset val="1"/>
      </rPr>
      <t xml:space="preserve">25/4mm</t>
    </r>
  </si>
  <si>
    <t xml:space="preserve">31274249</t>
  </si>
  <si>
    <r>
      <rPr>
        <sz val="10"/>
        <rFont val="FreeSans"/>
        <family val="2"/>
      </rPr>
      <t xml:space="preserve">بست کلمپی صنایع شیری  </t>
    </r>
    <r>
      <rPr>
        <sz val="10"/>
        <rFont val="Vazirmatn"/>
        <family val="0"/>
        <charset val="1"/>
      </rPr>
      <t xml:space="preserve">50 mm</t>
    </r>
  </si>
  <si>
    <t xml:space="preserve">31274250</t>
  </si>
  <si>
    <r>
      <rPr>
        <sz val="10"/>
        <rFont val="FreeSans"/>
        <family val="2"/>
      </rPr>
      <t xml:space="preserve">اتصال صنایع غذایی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کلمپی کامل </t>
    </r>
    <r>
      <rPr>
        <sz val="10"/>
        <rFont val="Vazirmatn"/>
        <family val="0"/>
        <charset val="1"/>
      </rPr>
      <t xml:space="preserve">K50/5 Q=25mm</t>
    </r>
  </si>
  <si>
    <t xml:space="preserve">31274251</t>
  </si>
  <si>
    <r>
      <rPr>
        <sz val="10"/>
        <rFont val="FreeSans"/>
        <family val="2"/>
      </rPr>
      <t xml:space="preserve">کنسول افقی </t>
    </r>
    <r>
      <rPr>
        <sz val="10"/>
        <rFont val="Vazirmatn"/>
        <family val="0"/>
        <charset val="1"/>
      </rPr>
      <t xml:space="preserve">2/44 </t>
    </r>
    <r>
      <rPr>
        <sz val="10"/>
        <rFont val="FreeSans"/>
        <family val="2"/>
      </rPr>
      <t xml:space="preserve">گالوانیزه کرم</t>
    </r>
  </si>
  <si>
    <t xml:space="preserve">31274252</t>
  </si>
  <si>
    <t xml:space="preserve">تسمه حایل</t>
  </si>
  <si>
    <t xml:space="preserve">31274253</t>
  </si>
  <si>
    <r>
      <rPr>
        <sz val="10"/>
        <rFont val="FreeSans"/>
        <family val="2"/>
      </rPr>
      <t xml:space="preserve">بست کلمپی استیل صنایع شیری  </t>
    </r>
    <r>
      <rPr>
        <sz val="10"/>
        <rFont val="Vazirmatn"/>
        <family val="0"/>
        <charset val="1"/>
      </rPr>
      <t xml:space="preserve">63mm</t>
    </r>
  </si>
  <si>
    <t xml:space="preserve">31274254</t>
  </si>
  <si>
    <r>
      <rPr>
        <sz val="10"/>
        <rFont val="FreeSans"/>
        <family val="2"/>
      </rPr>
      <t xml:space="preserve">بست اگزوز  </t>
    </r>
    <r>
      <rPr>
        <sz val="10"/>
        <rFont val="Vazirmatn"/>
        <family val="0"/>
        <charset val="1"/>
      </rPr>
      <t xml:space="preserve">9430121</t>
    </r>
  </si>
  <si>
    <t xml:space="preserve">31274387</t>
  </si>
  <si>
    <r>
      <rPr>
        <sz val="10"/>
        <rFont val="FreeSans"/>
        <family val="2"/>
      </rPr>
      <t xml:space="preserve">بست کمربندی پلاستیکی </t>
    </r>
    <r>
      <rPr>
        <sz val="10"/>
        <rFont val="Vazirmatn"/>
        <family val="0"/>
        <charset val="1"/>
      </rPr>
      <t xml:space="preserve">10cm</t>
    </r>
  </si>
  <si>
    <t xml:space="preserve">31274392</t>
  </si>
  <si>
    <r>
      <rPr>
        <sz val="10"/>
        <rFont val="FreeSans"/>
        <family val="2"/>
      </rPr>
      <t xml:space="preserve">بست کمر بندی  </t>
    </r>
    <r>
      <rPr>
        <sz val="10"/>
        <rFont val="Vazirmatn"/>
        <family val="0"/>
        <charset val="1"/>
      </rPr>
      <t xml:space="preserve">20</t>
    </r>
  </si>
  <si>
    <t xml:space="preserve">31274393</t>
  </si>
  <si>
    <r>
      <rPr>
        <sz val="10"/>
        <rFont val="FreeSans"/>
        <family val="2"/>
      </rPr>
      <t xml:space="preserve">بست کمر بندی  پلاستیکی </t>
    </r>
    <r>
      <rPr>
        <sz val="10"/>
        <rFont val="Vazirmatn"/>
        <family val="0"/>
        <charset val="1"/>
      </rPr>
      <t xml:space="preserve">10cm</t>
    </r>
  </si>
  <si>
    <t xml:space="preserve">31274397</t>
  </si>
  <si>
    <r>
      <rPr>
        <sz val="10"/>
        <rFont val="FreeSans"/>
        <family val="2"/>
      </rPr>
      <t xml:space="preserve">بست کمربندی پلاستیکی </t>
    </r>
    <r>
      <rPr>
        <sz val="10"/>
        <rFont val="Vazirmatn"/>
        <family val="0"/>
        <charset val="1"/>
      </rPr>
      <t xml:space="preserve">30cm</t>
    </r>
  </si>
  <si>
    <t xml:space="preserve">31274398</t>
  </si>
  <si>
    <r>
      <rPr>
        <sz val="10"/>
        <rFont val="FreeSans"/>
        <family val="2"/>
      </rPr>
      <t xml:space="preserve">بست کمربندی پلاستیکی </t>
    </r>
    <r>
      <rPr>
        <sz val="10"/>
        <rFont val="Vazirmatn"/>
        <family val="0"/>
        <charset val="1"/>
      </rPr>
      <t xml:space="preserve">50cm</t>
    </r>
  </si>
  <si>
    <t xml:space="preserve">31274399</t>
  </si>
  <si>
    <r>
      <rPr>
        <sz val="10"/>
        <rFont val="FreeSans"/>
        <family val="2"/>
      </rPr>
      <t xml:space="preserve">بست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صلیب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بند کشی</t>
    </r>
  </si>
  <si>
    <t xml:space="preserve">31274405</t>
  </si>
  <si>
    <r>
      <rPr>
        <sz val="10"/>
        <rFont val="FreeSans"/>
        <family val="2"/>
      </rPr>
      <t xml:space="preserve">شیلنگ هیدرولیک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سر پرس </t>
    </r>
    <r>
      <rPr>
        <sz val="10"/>
        <rFont val="Vazirmatn"/>
        <family val="0"/>
        <charset val="1"/>
      </rPr>
      <t xml:space="preserve">100 </t>
    </r>
    <r>
      <rPr>
        <sz val="10"/>
        <rFont val="FreeSans"/>
        <family val="2"/>
      </rPr>
      <t xml:space="preserve">بار </t>
    </r>
    <r>
      <rPr>
        <sz val="10"/>
        <rFont val="Vazirmatn"/>
        <family val="0"/>
        <charset val="1"/>
      </rPr>
      <t xml:space="preserve">60 </t>
    </r>
    <r>
      <rPr>
        <sz val="10"/>
        <rFont val="FreeSans"/>
        <family val="2"/>
      </rPr>
      <t xml:space="preserve">سانتی  </t>
    </r>
    <r>
      <rPr>
        <sz val="10"/>
        <rFont val="Vazirmatn"/>
        <family val="0"/>
        <charset val="1"/>
      </rPr>
      <t xml:space="preserve">" 1/2 2</t>
    </r>
  </si>
  <si>
    <t xml:space="preserve">31274412</t>
  </si>
  <si>
    <r>
      <rPr>
        <sz val="10"/>
        <rFont val="FreeSans"/>
        <family val="2"/>
      </rPr>
      <t xml:space="preserve">شیلنگ سیم دار 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سر پرس  </t>
    </r>
    <r>
      <rPr>
        <sz val="10"/>
        <rFont val="Vazirmatn"/>
        <family val="0"/>
        <charset val="1"/>
      </rPr>
      <t xml:space="preserve">60</t>
    </r>
    <r>
      <rPr>
        <sz val="10"/>
        <rFont val="FreeSans"/>
        <family val="2"/>
      </rPr>
      <t xml:space="preserve">سانتی  </t>
    </r>
    <r>
      <rPr>
        <sz val="10"/>
        <rFont val="Vazirmatn"/>
        <family val="0"/>
        <charset val="1"/>
      </rPr>
      <t xml:space="preserve">" 1/2</t>
    </r>
  </si>
  <si>
    <t xml:space="preserve">31274415</t>
  </si>
  <si>
    <r>
      <rPr>
        <sz val="10"/>
        <rFont val="FreeSans"/>
        <family val="2"/>
      </rPr>
      <t xml:space="preserve">شیلنگ مخصوص بخار 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سر مغزی پرس عایق دار 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متری  </t>
    </r>
    <r>
      <rPr>
        <sz val="10"/>
        <rFont val="Vazirmatn"/>
        <family val="0"/>
        <charset val="1"/>
      </rPr>
      <t xml:space="preserve">" 1/2 1</t>
    </r>
  </si>
  <si>
    <t xml:space="preserve">31274418</t>
  </si>
  <si>
    <r>
      <rPr>
        <sz val="10"/>
        <rFont val="FreeSans"/>
        <family val="2"/>
      </rPr>
      <t xml:space="preserve">شیلنگ آب کولر     </t>
    </r>
    <r>
      <rPr>
        <sz val="10"/>
        <rFont val="Vazirmatn"/>
        <family val="0"/>
        <charset val="1"/>
      </rPr>
      <t xml:space="preserve">7mm</t>
    </r>
  </si>
  <si>
    <t xml:space="preserve">31274419</t>
  </si>
  <si>
    <r>
      <rPr>
        <sz val="10"/>
        <rFont val="FreeSans"/>
        <family val="2"/>
      </rPr>
      <t xml:space="preserve">شیلنگ منجید دار باد   نمره </t>
    </r>
    <r>
      <rPr>
        <sz val="10"/>
        <rFont val="Vazirmatn"/>
        <family val="0"/>
        <charset val="1"/>
      </rPr>
      <t xml:space="preserve">10</t>
    </r>
  </si>
  <si>
    <t xml:space="preserve">31274422</t>
  </si>
  <si>
    <r>
      <rPr>
        <sz val="10"/>
        <rFont val="FreeSans"/>
        <family val="2"/>
      </rPr>
      <t xml:space="preserve">شیلنگ  هوا     </t>
    </r>
    <r>
      <rPr>
        <sz val="10"/>
        <rFont val="Vazirmatn"/>
        <family val="0"/>
        <charset val="1"/>
      </rPr>
      <t xml:space="preserve">8</t>
    </r>
  </si>
  <si>
    <t xml:space="preserve">31274430</t>
  </si>
  <si>
    <t xml:space="preserve">شیلنگ جک روغن فیلتر پرس</t>
  </si>
  <si>
    <t xml:space="preserve">31274433</t>
  </si>
  <si>
    <r>
      <rPr>
        <sz val="10"/>
        <rFont val="FreeSans"/>
        <family val="2"/>
      </rPr>
      <t xml:space="preserve">شیلنگ منجید دار   </t>
    </r>
    <r>
      <rPr>
        <sz val="10"/>
        <rFont val="Vazirmatn"/>
        <family val="0"/>
        <charset val="1"/>
      </rPr>
      <t xml:space="preserve">" 1</t>
    </r>
  </si>
  <si>
    <t xml:space="preserve">31274435</t>
  </si>
  <si>
    <r>
      <rPr>
        <sz val="10"/>
        <rFont val="FreeSans"/>
        <family val="2"/>
      </rPr>
      <t xml:space="preserve">شیلنگ آب   </t>
    </r>
    <r>
      <rPr>
        <sz val="10"/>
        <rFont val="Vazirmatn"/>
        <family val="0"/>
        <charset val="1"/>
      </rPr>
      <t xml:space="preserve">" 3/4</t>
    </r>
  </si>
  <si>
    <t xml:space="preserve">31274438</t>
  </si>
  <si>
    <r>
      <rPr>
        <sz val="10"/>
        <rFont val="FreeSans"/>
        <family val="2"/>
      </rPr>
      <t xml:space="preserve">شیلنگ  آب </t>
    </r>
    <r>
      <rPr>
        <sz val="10"/>
        <rFont val="Vazirmatn"/>
        <family val="0"/>
        <charset val="1"/>
      </rPr>
      <t xml:space="preserve">1/2</t>
    </r>
  </si>
  <si>
    <t xml:space="preserve">31274441</t>
  </si>
  <si>
    <t xml:space="preserve">شیلنگ پمپ روغن</t>
  </si>
  <si>
    <t xml:space="preserve">31274449</t>
  </si>
  <si>
    <r>
      <rPr>
        <sz val="10"/>
        <rFont val="FreeSans"/>
        <family val="2"/>
      </rPr>
      <t xml:space="preserve">شیلنگ پیسوار </t>
    </r>
    <r>
      <rPr>
        <sz val="10"/>
        <rFont val="Vazirmatn"/>
        <family val="0"/>
        <charset val="1"/>
      </rPr>
      <t xml:space="preserve">50Cm </t>
    </r>
    <r>
      <rPr>
        <sz val="10"/>
        <rFont val="FreeSans"/>
        <family val="2"/>
      </rPr>
      <t xml:space="preserve">با مهره </t>
    </r>
    <r>
      <rPr>
        <sz val="10"/>
        <rFont val="Vazirmatn"/>
        <family val="0"/>
        <charset val="1"/>
      </rPr>
      <t xml:space="preserve">" 1/2</t>
    </r>
  </si>
  <si>
    <t xml:space="preserve">31274450</t>
  </si>
  <si>
    <r>
      <rPr>
        <sz val="10"/>
        <rFont val="FreeSans"/>
        <family val="2"/>
      </rPr>
      <t xml:space="preserve">شیلنگ منجیددار فشار قوی دو سر مهره </t>
    </r>
    <r>
      <rPr>
        <sz val="10"/>
        <rFont val="Vazirmatn"/>
        <family val="0"/>
        <charset val="1"/>
      </rPr>
      <t xml:space="preserve">1/5</t>
    </r>
    <r>
      <rPr>
        <sz val="10"/>
        <rFont val="FreeSans"/>
        <family val="2"/>
      </rPr>
      <t xml:space="preserve">متری  </t>
    </r>
    <r>
      <rPr>
        <sz val="10"/>
        <rFont val="Vazirmatn"/>
        <family val="0"/>
        <charset val="1"/>
      </rPr>
      <t xml:space="preserve">" 1/2 20bar</t>
    </r>
  </si>
  <si>
    <t xml:space="preserve">31274451</t>
  </si>
  <si>
    <r>
      <rPr>
        <sz val="10"/>
        <rFont val="FreeSans"/>
        <family val="2"/>
      </rPr>
      <t xml:space="preserve">شیلنگ فشارقوی دو سر مهره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سانتی  </t>
    </r>
    <r>
      <rPr>
        <sz val="10"/>
        <rFont val="Vazirmatn"/>
        <family val="0"/>
        <charset val="1"/>
      </rPr>
      <t xml:space="preserve">"3/8</t>
    </r>
  </si>
  <si>
    <t xml:space="preserve">31274455</t>
  </si>
  <si>
    <r>
      <rPr>
        <sz val="10"/>
        <rFont val="FreeSans"/>
        <family val="2"/>
      </rPr>
      <t xml:space="preserve">شیلنگ روغن دکانتور  </t>
    </r>
    <r>
      <rPr>
        <sz val="10"/>
        <rFont val="Vazirmatn"/>
        <family val="0"/>
        <charset val="1"/>
      </rPr>
      <t xml:space="preserve">758 - 8183 - 0018</t>
    </r>
  </si>
  <si>
    <t xml:space="preserve">31274458</t>
  </si>
  <si>
    <r>
      <rPr>
        <sz val="10"/>
        <rFont val="FreeSans"/>
        <family val="2"/>
      </rPr>
      <t xml:space="preserve">شیلنگ خرطومی هواکش سبک  </t>
    </r>
    <r>
      <rPr>
        <sz val="10"/>
        <rFont val="Vazirmatn"/>
        <family val="0"/>
        <charset val="1"/>
      </rPr>
      <t xml:space="preserve">" 1/2 1</t>
    </r>
  </si>
  <si>
    <t xml:space="preserve">31274459</t>
  </si>
  <si>
    <r>
      <rPr>
        <sz val="10"/>
        <rFont val="FreeSans"/>
        <family val="2"/>
      </rPr>
      <t xml:space="preserve">شیلنگ هیدرولیک روغن پیلر </t>
    </r>
    <r>
      <rPr>
        <sz val="10"/>
        <rFont val="Vazirmatn"/>
        <family val="0"/>
        <charset val="1"/>
      </rPr>
      <t xml:space="preserve">" 400bar  3/8</t>
    </r>
  </si>
  <si>
    <t xml:space="preserve">31274460</t>
  </si>
  <si>
    <r>
      <rPr>
        <sz val="10"/>
        <rFont val="FreeSans"/>
        <family val="2"/>
      </rPr>
      <t xml:space="preserve">شیلنگ شفاف   </t>
    </r>
    <r>
      <rPr>
        <sz val="10"/>
        <rFont val="Vazirmatn"/>
        <family val="0"/>
        <charset val="1"/>
      </rPr>
      <t xml:space="preserve">"1/2</t>
    </r>
  </si>
  <si>
    <t xml:space="preserve">31274463</t>
  </si>
  <si>
    <r>
      <rPr>
        <sz val="10"/>
        <rFont val="FreeSans"/>
        <family val="2"/>
      </rPr>
      <t xml:space="preserve">شیلنگ باد فنری   </t>
    </r>
    <r>
      <rPr>
        <sz val="10"/>
        <rFont val="Vazirmatn"/>
        <family val="0"/>
        <charset val="1"/>
      </rPr>
      <t xml:space="preserve">mm 8*12</t>
    </r>
  </si>
  <si>
    <t xml:space="preserve">31274465</t>
  </si>
  <si>
    <r>
      <rPr>
        <sz val="10"/>
        <rFont val="FreeSans"/>
        <family val="2"/>
      </rPr>
      <t xml:space="preserve">شیلنگ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متری فشار قوی </t>
    </r>
    <r>
      <rPr>
        <sz val="10"/>
        <rFont val="Vazirmatn"/>
        <family val="0"/>
        <charset val="1"/>
      </rPr>
      <t xml:space="preserve">" 1  165bar </t>
    </r>
    <r>
      <rPr>
        <sz val="10"/>
        <rFont val="FreeSans"/>
        <family val="2"/>
      </rPr>
      <t xml:space="preserve">یک سر زانو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یک سر پرس ساده مهره کوپلی</t>
    </r>
  </si>
  <si>
    <t xml:space="preserve">31274466</t>
  </si>
  <si>
    <r>
      <rPr>
        <sz val="10"/>
        <rFont val="FreeSans"/>
        <family val="2"/>
      </rPr>
      <t xml:space="preserve">شیلنگ دو سر مهره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فن کویل </t>
    </r>
    <r>
      <rPr>
        <sz val="10"/>
        <rFont val="Vazirmatn"/>
        <family val="0"/>
        <charset val="1"/>
      </rPr>
      <t xml:space="preserve">8Cm</t>
    </r>
  </si>
  <si>
    <t xml:space="preserve">31274467</t>
  </si>
  <si>
    <r>
      <rPr>
        <sz val="10"/>
        <rFont val="FreeSans"/>
        <family val="2"/>
      </rPr>
      <t xml:space="preserve">شیلنگ دو قلو سایت شیفت </t>
    </r>
    <r>
      <rPr>
        <sz val="10"/>
        <rFont val="Vazirmatn"/>
        <family val="0"/>
        <charset val="1"/>
      </rPr>
      <t xml:space="preserve">2/41 </t>
    </r>
    <r>
      <rPr>
        <sz val="10"/>
        <rFont val="FreeSans"/>
        <family val="2"/>
      </rPr>
      <t xml:space="preserve">متری</t>
    </r>
  </si>
  <si>
    <t xml:space="preserve">31274468</t>
  </si>
  <si>
    <r>
      <rPr>
        <sz val="10"/>
        <rFont val="FreeSans"/>
        <family val="2"/>
      </rPr>
      <t xml:space="preserve">شیلنگ آب منجیددار  </t>
    </r>
    <r>
      <rPr>
        <sz val="10"/>
        <rFont val="Vazirmatn"/>
        <family val="0"/>
        <charset val="1"/>
      </rPr>
      <t xml:space="preserve">" 3/4</t>
    </r>
  </si>
  <si>
    <t xml:space="preserve">31274469</t>
  </si>
  <si>
    <r>
      <rPr>
        <sz val="10"/>
        <rFont val="FreeSans"/>
        <family val="2"/>
      </rPr>
      <t xml:space="preserve">شیلنگ کارواش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سر پرس مهره دار </t>
    </r>
    <r>
      <rPr>
        <sz val="10"/>
        <rFont val="Vazirmatn"/>
        <family val="0"/>
        <charset val="1"/>
      </rPr>
      <t xml:space="preserve">( 400bar ) " 1/4</t>
    </r>
  </si>
  <si>
    <t xml:space="preserve">31274475</t>
  </si>
  <si>
    <r>
      <rPr>
        <sz val="10"/>
        <rFont val="FreeSans"/>
        <family val="2"/>
      </rPr>
      <t xml:space="preserve">شیلنگ لجن کش </t>
    </r>
    <r>
      <rPr>
        <sz val="10"/>
        <rFont val="Vazirmatn"/>
        <family val="0"/>
        <charset val="1"/>
      </rPr>
      <t xml:space="preserve">"2</t>
    </r>
  </si>
  <si>
    <t xml:space="preserve">31274476</t>
  </si>
  <si>
    <t xml:space="preserve">شیلنگ هیدرولیک ورودی جک اصلی فیلتر پرس فروکتوز</t>
  </si>
  <si>
    <t xml:space="preserve">31274481</t>
  </si>
  <si>
    <t xml:space="preserve">شیلنگ هیدرولیک ورودی جک سینی فیلتر پرس فروکتوز</t>
  </si>
  <si>
    <t xml:space="preserve">31274482</t>
  </si>
  <si>
    <t xml:space="preserve">شیلنگ هیدرولیک خروجی جک سینی فیلتر پرس فروکتوز</t>
  </si>
  <si>
    <t xml:space="preserve">31274484</t>
  </si>
  <si>
    <t xml:space="preserve">شیلنگ هیدرولیک خروجی جک اصلی فیلتر پرس فروکتوز</t>
  </si>
  <si>
    <t xml:space="preserve">31274485</t>
  </si>
  <si>
    <r>
      <rPr>
        <sz val="10"/>
        <rFont val="FreeSans"/>
        <family val="2"/>
      </rPr>
      <t xml:space="preserve">شیلنگ خرطومی فاضلاب زیر روشویی   </t>
    </r>
    <r>
      <rPr>
        <sz val="10"/>
        <rFont val="Vazirmatn"/>
        <family val="0"/>
        <charset val="1"/>
      </rPr>
      <t xml:space="preserve">100Cm</t>
    </r>
  </si>
  <si>
    <t xml:space="preserve">31274486</t>
  </si>
  <si>
    <r>
      <rPr>
        <sz val="10"/>
        <rFont val="FreeSans"/>
        <family val="2"/>
      </rPr>
      <t xml:space="preserve">شیلنگ هیدرولیک یک سر زانو و یک سر تخت </t>
    </r>
    <r>
      <rPr>
        <sz val="10"/>
        <rFont val="Vazirmatn"/>
        <family val="0"/>
        <charset val="1"/>
      </rPr>
      <t xml:space="preserve">" 165bar ) 1 )</t>
    </r>
  </si>
  <si>
    <t xml:space="preserve">31274487</t>
  </si>
  <si>
    <r>
      <rPr>
        <sz val="10"/>
        <rFont val="FreeSans"/>
        <family val="2"/>
      </rPr>
      <t xml:space="preserve">شیلنگ پیسوار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با دو سر مهره </t>
    </r>
    <r>
      <rPr>
        <sz val="10"/>
        <rFont val="Vazirmatn"/>
        <family val="0"/>
        <charset val="1"/>
      </rPr>
      <t xml:space="preserve">" 1/2</t>
    </r>
  </si>
  <si>
    <t xml:space="preserve">31274488</t>
  </si>
  <si>
    <r>
      <rPr>
        <sz val="10"/>
        <rFont val="FreeSans"/>
        <family val="2"/>
      </rPr>
      <t xml:space="preserve">شیلنگ فشار قوی کارواش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سر پرس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بار </t>
    </r>
    <r>
      <rPr>
        <sz val="10"/>
        <rFont val="Vazirmatn"/>
        <family val="0"/>
        <charset val="1"/>
      </rPr>
      <t xml:space="preserve">" 3/8</t>
    </r>
  </si>
  <si>
    <t xml:space="preserve">31274490</t>
  </si>
  <si>
    <r>
      <rPr>
        <sz val="10"/>
        <rFont val="FreeSans"/>
        <family val="2"/>
      </rPr>
      <t xml:space="preserve">شیلنگ خرطومی            </t>
    </r>
    <r>
      <rPr>
        <sz val="10"/>
        <rFont val="Vazirmatn"/>
        <family val="0"/>
        <charset val="1"/>
      </rPr>
      <t xml:space="preserve">" 3</t>
    </r>
  </si>
  <si>
    <t xml:space="preserve">31274504</t>
  </si>
  <si>
    <r>
      <rPr>
        <sz val="10"/>
        <rFont val="FreeSans"/>
        <family val="2"/>
      </rPr>
      <t xml:space="preserve">شیلنگ سیم دار شفاف     </t>
    </r>
    <r>
      <rPr>
        <sz val="10"/>
        <rFont val="Vazirmatn"/>
        <family val="0"/>
        <charset val="1"/>
      </rPr>
      <t xml:space="preserve">" 3</t>
    </r>
  </si>
  <si>
    <t xml:space="preserve">31274509</t>
  </si>
  <si>
    <t xml:space="preserve">شیلنگ رابط روشویی</t>
  </si>
  <si>
    <t xml:space="preserve">31274514</t>
  </si>
  <si>
    <r>
      <rPr>
        <sz val="10"/>
        <rFont val="FreeSans"/>
        <family val="2"/>
      </rPr>
      <t xml:space="preserve">شیلنگ هیدرولیک   </t>
    </r>
    <r>
      <rPr>
        <sz val="10"/>
        <rFont val="Vazirmatn"/>
        <family val="0"/>
        <charset val="1"/>
      </rPr>
      <t xml:space="preserve">276 bar</t>
    </r>
  </si>
  <si>
    <t xml:space="preserve">31274518</t>
  </si>
  <si>
    <r>
      <rPr>
        <sz val="10"/>
        <rFont val="FreeSans"/>
        <family val="2"/>
      </rPr>
      <t xml:space="preserve">شیلنگ فشار قوی منجید دار   </t>
    </r>
    <r>
      <rPr>
        <sz val="10"/>
        <rFont val="Vazirmatn"/>
        <family val="0"/>
        <charset val="1"/>
      </rPr>
      <t xml:space="preserve">" 3</t>
    </r>
  </si>
  <si>
    <t xml:space="preserve">31274537</t>
  </si>
  <si>
    <r>
      <rPr>
        <sz val="10"/>
        <rFont val="FreeSans"/>
        <family val="2"/>
      </rPr>
      <t xml:space="preserve">شیلنگ شفاف سیم دار دو سر پرس استیل </t>
    </r>
    <r>
      <rPr>
        <sz val="10"/>
        <rFont val="Vazirmatn"/>
        <family val="0"/>
        <charset val="1"/>
      </rPr>
      <t xml:space="preserve">316  4</t>
    </r>
    <r>
      <rPr>
        <sz val="10"/>
        <rFont val="FreeSans"/>
        <family val="2"/>
      </rPr>
      <t xml:space="preserve">متری   </t>
    </r>
    <r>
      <rPr>
        <sz val="10"/>
        <rFont val="Vazirmatn"/>
        <family val="0"/>
        <charset val="1"/>
      </rPr>
      <t xml:space="preserve">"2</t>
    </r>
  </si>
  <si>
    <t xml:space="preserve">31274539</t>
  </si>
  <si>
    <r>
      <rPr>
        <sz val="10"/>
        <rFont val="FreeSans"/>
        <family val="2"/>
      </rPr>
      <t xml:space="preserve">شیلنگ منجیدار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نخ دار </t>
    </r>
    <r>
      <rPr>
        <sz val="10"/>
        <rFont val="Vazirmatn"/>
        <family val="0"/>
        <charset val="1"/>
      </rPr>
      <t xml:space="preserve">) "5</t>
    </r>
  </si>
  <si>
    <t xml:space="preserve">31274540</t>
  </si>
  <si>
    <r>
      <rPr>
        <sz val="10"/>
        <rFont val="FreeSans"/>
        <family val="2"/>
      </rPr>
      <t xml:space="preserve">شیلنگ سیلیکونی </t>
    </r>
    <r>
      <rPr>
        <sz val="10"/>
        <rFont val="Vazirmatn"/>
        <family val="0"/>
        <charset val="1"/>
      </rPr>
      <t xml:space="preserve">"5</t>
    </r>
  </si>
  <si>
    <t xml:space="preserve">31274541</t>
  </si>
  <si>
    <r>
      <rPr>
        <sz val="10"/>
        <rFont val="FreeSans"/>
        <family val="2"/>
      </rPr>
      <t xml:space="preserve">شیلنگ فشار قوی </t>
    </r>
    <r>
      <rPr>
        <sz val="10"/>
        <rFont val="Vazirmatn"/>
        <family val="0"/>
        <charset val="1"/>
      </rPr>
      <t xml:space="preserve">1/50 </t>
    </r>
    <r>
      <rPr>
        <sz val="10"/>
        <rFont val="FreeSans"/>
        <family val="2"/>
      </rPr>
      <t xml:space="preserve">متری یکطرف مغزی </t>
    </r>
    <r>
      <rPr>
        <sz val="10"/>
        <rFont val="Vazirmatn"/>
        <family val="0"/>
        <charset val="1"/>
      </rPr>
      <t xml:space="preserve">"1/2 </t>
    </r>
    <r>
      <rPr>
        <sz val="10"/>
        <rFont val="FreeSans"/>
        <family val="2"/>
      </rPr>
      <t xml:space="preserve">و یکطرف دنباله و مهره گردان </t>
    </r>
    <r>
      <rPr>
        <sz val="10"/>
        <rFont val="Vazirmatn"/>
        <family val="0"/>
        <charset val="1"/>
      </rPr>
      <t xml:space="preserve">"1/2</t>
    </r>
  </si>
  <si>
    <t xml:space="preserve">31274542</t>
  </si>
  <si>
    <r>
      <rPr>
        <sz val="10"/>
        <rFont val="FreeSans"/>
        <family val="2"/>
      </rPr>
      <t xml:space="preserve">شیلنگ حصیری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مخصوص پکیج </t>
    </r>
    <r>
      <rPr>
        <sz val="10"/>
        <rFont val="Vazirmatn"/>
        <family val="0"/>
        <charset val="1"/>
      </rPr>
      <t xml:space="preserve">) " 1/2</t>
    </r>
  </si>
  <si>
    <t xml:space="preserve">31274545</t>
  </si>
  <si>
    <r>
      <rPr>
        <sz val="10"/>
        <rFont val="FreeSans"/>
        <family val="2"/>
      </rPr>
      <t xml:space="preserve">شیلنگ منجیدار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نخ دار </t>
    </r>
    <r>
      <rPr>
        <sz val="10"/>
        <rFont val="Vazirmatn"/>
        <family val="0"/>
        <charset val="1"/>
      </rPr>
      <t xml:space="preserve">) "1</t>
    </r>
  </si>
  <si>
    <t xml:space="preserve">31274546</t>
  </si>
  <si>
    <r>
      <rPr>
        <sz val="10"/>
        <rFont val="FreeSans"/>
        <family val="2"/>
      </rPr>
      <t xml:space="preserve">شیلنگ دوقلو ساید شیفت </t>
    </r>
    <r>
      <rPr>
        <sz val="10"/>
        <rFont val="Vazirmatn"/>
        <family val="0"/>
        <charset val="1"/>
      </rPr>
      <t xml:space="preserve">2/63Cm</t>
    </r>
  </si>
  <si>
    <t xml:space="preserve">31274547</t>
  </si>
  <si>
    <r>
      <rPr>
        <sz val="10"/>
        <rFont val="FreeSans"/>
        <family val="2"/>
      </rPr>
      <t xml:space="preserve">شیلنگ خرطومی شفاف سیمی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فنری </t>
    </r>
    <r>
      <rPr>
        <sz val="10"/>
        <rFont val="Vazirmatn"/>
        <family val="0"/>
        <charset val="1"/>
      </rPr>
      <t xml:space="preserve">) "3</t>
    </r>
  </si>
  <si>
    <t xml:space="preserve">31274549</t>
  </si>
  <si>
    <t xml:space="preserve">شیلنگ کپسول آتش نشانی پودری</t>
  </si>
  <si>
    <t xml:space="preserve">31274550</t>
  </si>
  <si>
    <r>
      <rPr>
        <sz val="10"/>
        <rFont val="FreeSans"/>
        <family val="2"/>
      </rPr>
      <t xml:space="preserve">شیلنگ پیسوار تبدیلی دو سر مهره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مادگی </t>
    </r>
    <r>
      <rPr>
        <sz val="10"/>
        <rFont val="Vazirmatn"/>
        <family val="0"/>
        <charset val="1"/>
      </rPr>
      <t xml:space="preserve">) "1/4 * "1/2</t>
    </r>
  </si>
  <si>
    <t xml:space="preserve">31274552</t>
  </si>
  <si>
    <r>
      <rPr>
        <sz val="10"/>
        <rFont val="FreeSans"/>
        <family val="2"/>
      </rPr>
      <t xml:space="preserve">شیلنگ منجیددار لاستیکی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لایه نخ فشار ضعیف </t>
    </r>
    <r>
      <rPr>
        <sz val="10"/>
        <rFont val="Vazirmatn"/>
        <family val="0"/>
        <charset val="1"/>
      </rPr>
      <t xml:space="preserve">"2</t>
    </r>
  </si>
  <si>
    <t xml:space="preserve">31274553</t>
  </si>
  <si>
    <r>
      <rPr>
        <sz val="10"/>
        <rFont val="FreeSans"/>
        <family val="2"/>
      </rPr>
      <t xml:space="preserve">شیلنگ </t>
    </r>
    <r>
      <rPr>
        <sz val="10"/>
        <rFont val="Vazirmatn"/>
        <family val="0"/>
        <charset val="1"/>
      </rPr>
      <t xml:space="preserve">50Cm </t>
    </r>
    <r>
      <rPr>
        <sz val="10"/>
        <rFont val="FreeSans"/>
        <family val="2"/>
      </rPr>
      <t xml:space="preserve">آب پکیج </t>
    </r>
    <r>
      <rPr>
        <sz val="10"/>
        <rFont val="Vazirmatn"/>
        <family val="0"/>
        <charset val="1"/>
      </rPr>
      <t xml:space="preserve">" 3/4</t>
    </r>
  </si>
  <si>
    <t xml:space="preserve">31274554</t>
  </si>
  <si>
    <r>
      <rPr>
        <sz val="10"/>
        <rFont val="FreeSans"/>
        <family val="2"/>
      </rPr>
      <t xml:space="preserve">شیلنگ </t>
    </r>
    <r>
      <rPr>
        <sz val="10"/>
        <rFont val="Vazirmatn"/>
        <family val="0"/>
        <charset val="1"/>
      </rPr>
      <t xml:space="preserve">50Cm </t>
    </r>
    <r>
      <rPr>
        <sz val="10"/>
        <rFont val="FreeSans"/>
        <family val="2"/>
      </rPr>
      <t xml:space="preserve">آب پکیج </t>
    </r>
    <r>
      <rPr>
        <sz val="10"/>
        <rFont val="Vazirmatn"/>
        <family val="0"/>
        <charset val="1"/>
      </rPr>
      <t xml:space="preserve">" 1/2</t>
    </r>
  </si>
  <si>
    <t xml:space="preserve">31274555</t>
  </si>
  <si>
    <r>
      <rPr>
        <sz val="10"/>
        <rFont val="FreeSans"/>
        <family val="2"/>
      </rPr>
      <t xml:space="preserve">شیلنگ باد فشار قوی پنوماتیک </t>
    </r>
    <r>
      <rPr>
        <sz val="10"/>
        <rFont val="Vazirmatn"/>
        <family val="0"/>
        <charset val="1"/>
      </rPr>
      <t xml:space="preserve">"3/8</t>
    </r>
  </si>
  <si>
    <t xml:space="preserve">31274556</t>
  </si>
  <si>
    <r>
      <rPr>
        <sz val="10"/>
        <rFont val="FreeSans"/>
        <family val="2"/>
      </rPr>
      <t xml:space="preserve">شیلنگ پیسوار مخصوص شیر مخروطی  </t>
    </r>
    <r>
      <rPr>
        <sz val="10"/>
        <rFont val="Vazirmatn"/>
        <family val="0"/>
        <charset val="1"/>
      </rPr>
      <t xml:space="preserve">"1/2</t>
    </r>
  </si>
  <si>
    <t xml:space="preserve">31274557</t>
  </si>
  <si>
    <r>
      <rPr>
        <sz val="10"/>
        <rFont val="FreeSans"/>
        <family val="2"/>
      </rPr>
      <t xml:space="preserve">شیلنگ شفاف   </t>
    </r>
    <r>
      <rPr>
        <sz val="10"/>
        <rFont val="Vazirmatn"/>
        <family val="0"/>
        <charset val="1"/>
      </rPr>
      <t xml:space="preserve">"1</t>
    </r>
  </si>
  <si>
    <t xml:space="preserve">31274600</t>
  </si>
  <si>
    <r>
      <rPr>
        <sz val="10"/>
        <rFont val="FreeSans"/>
        <family val="2"/>
      </rPr>
      <t xml:space="preserve">کیت ایمنی آویز مازی نور اپتیلر </t>
    </r>
    <r>
      <rPr>
        <sz val="10"/>
        <rFont val="Vazirmatn"/>
        <family val="0"/>
        <charset val="1"/>
      </rPr>
      <t xml:space="preserve">120*30</t>
    </r>
  </si>
  <si>
    <t xml:space="preserve">31274610</t>
  </si>
  <si>
    <r>
      <rPr>
        <sz val="10"/>
        <rFont val="FreeSans"/>
        <family val="2"/>
      </rPr>
      <t xml:space="preserve">سیم بکسل   نمره  </t>
    </r>
    <r>
      <rPr>
        <sz val="10"/>
        <rFont val="Vazirmatn"/>
        <family val="0"/>
        <charset val="1"/>
      </rPr>
      <t xml:space="preserve">14</t>
    </r>
  </si>
  <si>
    <t xml:space="preserve">31274611</t>
  </si>
  <si>
    <r>
      <rPr>
        <sz val="10"/>
        <rFont val="FreeSans"/>
        <family val="2"/>
      </rPr>
      <t xml:space="preserve">سیم بکسل   نمره  </t>
    </r>
    <r>
      <rPr>
        <sz val="10"/>
        <rFont val="Vazirmatn"/>
        <family val="0"/>
        <charset val="1"/>
      </rPr>
      <t xml:space="preserve">12</t>
    </r>
  </si>
  <si>
    <t xml:space="preserve">31275101</t>
  </si>
  <si>
    <r>
      <rPr>
        <sz val="10"/>
        <rFont val="FreeSans"/>
        <family val="2"/>
      </rPr>
      <t xml:space="preserve">سردنده آهنی مانسمان 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</si>
  <si>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31275105</t>
  </si>
  <si>
    <r>
      <rPr>
        <sz val="10"/>
        <rFont val="FreeSans"/>
        <family val="2"/>
      </rPr>
      <t xml:space="preserve">سر دنده مانسمان     </t>
    </r>
    <r>
      <rPr>
        <sz val="10"/>
        <rFont val="Vazirmatn"/>
        <family val="0"/>
        <charset val="1"/>
      </rPr>
      <t xml:space="preserve">" 5</t>
    </r>
  </si>
  <si>
    <t xml:space="preserve">31275106</t>
  </si>
  <si>
    <r>
      <rPr>
        <sz val="10"/>
        <rFont val="FreeSans"/>
        <family val="2"/>
      </rPr>
      <t xml:space="preserve">سر دنده مانسمان     </t>
    </r>
    <r>
      <rPr>
        <sz val="10"/>
        <rFont val="Vazirmatn"/>
        <family val="0"/>
        <charset val="1"/>
      </rPr>
      <t xml:space="preserve">" 6</t>
    </r>
  </si>
  <si>
    <t xml:space="preserve">31275107</t>
  </si>
  <si>
    <r>
      <rPr>
        <sz val="10"/>
        <rFont val="FreeSans"/>
        <family val="2"/>
      </rPr>
      <t xml:space="preserve">سردنده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 رده </t>
    </r>
    <r>
      <rPr>
        <sz val="10"/>
        <rFont val="Vazirmatn"/>
        <family val="0"/>
        <charset val="1"/>
      </rPr>
      <t xml:space="preserve">40  " 2</t>
    </r>
  </si>
  <si>
    <t xml:space="preserve">31275108</t>
  </si>
  <si>
    <r>
      <rPr>
        <sz val="10"/>
        <rFont val="FreeSans"/>
        <family val="2"/>
      </rPr>
      <t xml:space="preserve">سردنده آهنی مانیسمان  رده </t>
    </r>
    <r>
      <rPr>
        <sz val="10"/>
        <rFont val="Vazirmatn"/>
        <family val="0"/>
        <charset val="1"/>
      </rPr>
      <t xml:space="preserve">40  " 2</t>
    </r>
  </si>
  <si>
    <t xml:space="preserve">31275109</t>
  </si>
  <si>
    <r>
      <rPr>
        <sz val="10"/>
        <rFont val="FreeSans"/>
        <family val="2"/>
      </rPr>
      <t xml:space="preserve">سر دنده استیل مانیسمان  رده </t>
    </r>
    <r>
      <rPr>
        <sz val="10"/>
        <rFont val="Vazirmatn"/>
        <family val="0"/>
        <charset val="1"/>
      </rPr>
      <t xml:space="preserve">20   " 1/4 1</t>
    </r>
  </si>
  <si>
    <t xml:space="preserve">31275111</t>
  </si>
  <si>
    <r>
      <rPr>
        <sz val="10"/>
        <rFont val="FreeSans"/>
        <family val="2"/>
      </rPr>
      <t xml:space="preserve">سردنده آهنی مانیسمان جوشی  رده </t>
    </r>
    <r>
      <rPr>
        <sz val="10"/>
        <rFont val="Vazirmatn"/>
        <family val="0"/>
        <charset val="1"/>
      </rPr>
      <t xml:space="preserve">40  " 3/4</t>
    </r>
  </si>
  <si>
    <t xml:space="preserve">31275113</t>
  </si>
  <si>
    <r>
      <rPr>
        <sz val="10"/>
        <rFont val="FreeSans"/>
        <family val="2"/>
      </rPr>
      <t xml:space="preserve">سردنده استیل </t>
    </r>
    <r>
      <rPr>
        <sz val="10"/>
        <rFont val="Vazirmatn"/>
        <family val="0"/>
        <charset val="1"/>
      </rPr>
      <t xml:space="preserve">304  " 1 ( </t>
    </r>
    <r>
      <rPr>
        <sz val="10"/>
        <rFont val="FreeSans"/>
        <family val="2"/>
      </rPr>
      <t xml:space="preserve">طول سردنده </t>
    </r>
    <r>
      <rPr>
        <sz val="10"/>
        <rFont val="Vazirmatn"/>
        <family val="0"/>
        <charset val="1"/>
      </rPr>
      <t xml:space="preserve">10Cm - </t>
    </r>
    <r>
      <rPr>
        <sz val="10"/>
        <rFont val="FreeSans"/>
        <family val="2"/>
      </rPr>
      <t xml:space="preserve">طول رزوه </t>
    </r>
    <r>
      <rPr>
        <sz val="10"/>
        <rFont val="Vazirmatn"/>
        <family val="0"/>
        <charset val="1"/>
      </rPr>
      <t xml:space="preserve">25mm  )</t>
    </r>
  </si>
  <si>
    <t xml:space="preserve">31276001</t>
  </si>
  <si>
    <r>
      <rPr>
        <sz val="10"/>
        <rFont val="FreeSans"/>
        <family val="2"/>
      </rPr>
      <t xml:space="preserve">اتصال سریع   نمره </t>
    </r>
    <r>
      <rPr>
        <sz val="10"/>
        <rFont val="Vazirmatn"/>
        <family val="0"/>
        <charset val="1"/>
      </rPr>
      <t xml:space="preserve">10 * 3/8</t>
    </r>
  </si>
  <si>
    <t xml:space="preserve">31276003</t>
  </si>
  <si>
    <r>
      <rPr>
        <sz val="10"/>
        <rFont val="FreeSans"/>
        <family val="2"/>
      </rPr>
      <t xml:space="preserve">اتصال سریع پنوماتیک  </t>
    </r>
    <r>
      <rPr>
        <sz val="10"/>
        <rFont val="Vazirmatn"/>
        <family val="0"/>
        <charset val="1"/>
      </rPr>
      <t xml:space="preserve">" 1/4 * 4mm</t>
    </r>
  </si>
  <si>
    <t xml:space="preserve">31276007</t>
  </si>
  <si>
    <r>
      <rPr>
        <sz val="10"/>
        <rFont val="FreeSans"/>
        <family val="2"/>
      </rPr>
      <t xml:space="preserve">اتصال سریع پنو ماتیک </t>
    </r>
    <r>
      <rPr>
        <sz val="10"/>
        <rFont val="Vazirmatn"/>
        <family val="0"/>
        <charset val="1"/>
      </rPr>
      <t xml:space="preserve">12MM*10MM</t>
    </r>
  </si>
  <si>
    <t xml:space="preserve">31276009</t>
  </si>
  <si>
    <t xml:space="preserve">فیتینگ روغن آسیاب ایمپکت</t>
  </si>
  <si>
    <t xml:space="preserve">31276010</t>
  </si>
  <si>
    <r>
      <rPr>
        <sz val="10"/>
        <rFont val="FreeSans"/>
        <family val="2"/>
      </rPr>
      <t xml:space="preserve">اتصال سریع پنوماتیک      </t>
    </r>
    <r>
      <rPr>
        <sz val="10"/>
        <rFont val="Vazirmatn"/>
        <family val="0"/>
        <charset val="1"/>
      </rPr>
      <t xml:space="preserve">" 1/2 * 12mm</t>
    </r>
  </si>
  <si>
    <t xml:space="preserve">31276011</t>
  </si>
  <si>
    <r>
      <rPr>
        <sz val="10"/>
        <rFont val="FreeSans"/>
        <family val="2"/>
      </rPr>
      <t xml:space="preserve">اتصال سریع پنوماتیک      </t>
    </r>
    <r>
      <rPr>
        <sz val="10"/>
        <rFont val="Vazirmatn"/>
        <family val="0"/>
        <charset val="1"/>
      </rPr>
      <t xml:space="preserve">" 1/2 * 8mm</t>
    </r>
  </si>
  <si>
    <t xml:space="preserve">31276013</t>
  </si>
  <si>
    <t xml:space="preserve">فیتینگ روانکاری بلبرینگ پایین شفت آسیاب ایمپکت</t>
  </si>
  <si>
    <t xml:space="preserve">31276015</t>
  </si>
  <si>
    <r>
      <rPr>
        <sz val="10"/>
        <rFont val="FreeSans"/>
        <family val="2"/>
      </rPr>
      <t xml:space="preserve">اتصال سریع پنوماتیک    </t>
    </r>
    <r>
      <rPr>
        <sz val="10"/>
        <rFont val="Vazirmatn"/>
        <family val="0"/>
        <charset val="1"/>
      </rPr>
      <t xml:space="preserve">" 1/4 * 6mm</t>
    </r>
  </si>
  <si>
    <t xml:space="preserve">31276021</t>
  </si>
  <si>
    <r>
      <rPr>
        <sz val="10"/>
        <rFont val="FreeSans"/>
        <family val="2"/>
      </rPr>
      <t xml:space="preserve">اتصال سریع پنوماتیک    </t>
    </r>
    <r>
      <rPr>
        <sz val="10"/>
        <rFont val="Vazirmatn"/>
        <family val="0"/>
        <charset val="1"/>
      </rPr>
      <t xml:space="preserve">" 3/8 * 10mm</t>
    </r>
  </si>
  <si>
    <t xml:space="preserve">31276022</t>
  </si>
  <si>
    <r>
      <rPr>
        <sz val="10"/>
        <rFont val="FreeSans"/>
        <family val="2"/>
      </rPr>
      <t xml:space="preserve">اتصال سریع پنوماتیک    </t>
    </r>
    <r>
      <rPr>
        <sz val="10"/>
        <rFont val="Vazirmatn"/>
        <family val="0"/>
        <charset val="1"/>
      </rPr>
      <t xml:space="preserve">" 1/2 * 10mm</t>
    </r>
  </si>
  <si>
    <t xml:space="preserve">31276023</t>
  </si>
  <si>
    <r>
      <rPr>
        <sz val="10"/>
        <rFont val="FreeSans"/>
        <family val="2"/>
      </rPr>
      <t xml:space="preserve">اتصال سریع پنوماتیک    </t>
    </r>
    <r>
      <rPr>
        <sz val="10"/>
        <rFont val="Vazirmatn"/>
        <family val="0"/>
        <charset val="1"/>
      </rPr>
      <t xml:space="preserve">" 1/4 * 10mm</t>
    </r>
  </si>
  <si>
    <t xml:space="preserve">31276024</t>
  </si>
  <si>
    <r>
      <rPr>
        <sz val="10"/>
        <rFont val="FreeSans"/>
        <family val="2"/>
      </rPr>
      <t xml:space="preserve">اتصال سریع پنوماتیکی   </t>
    </r>
    <r>
      <rPr>
        <sz val="10"/>
        <rFont val="Vazirmatn"/>
        <family val="0"/>
        <charset val="1"/>
      </rPr>
      <t xml:space="preserve">4mm * 1/2</t>
    </r>
  </si>
  <si>
    <t xml:space="preserve">31276025</t>
  </si>
  <si>
    <r>
      <rPr>
        <sz val="10"/>
        <rFont val="FreeSans"/>
        <family val="2"/>
      </rPr>
      <t xml:space="preserve">اتصال سریع پنوماتیکی   </t>
    </r>
    <r>
      <rPr>
        <sz val="10"/>
        <rFont val="Vazirmatn"/>
        <family val="0"/>
        <charset val="1"/>
      </rPr>
      <t xml:space="preserve">12mm * 3/8</t>
    </r>
  </si>
  <si>
    <t xml:space="preserve">31276026</t>
  </si>
  <si>
    <r>
      <rPr>
        <sz val="10"/>
        <rFont val="FreeSans"/>
        <family val="2"/>
      </rPr>
      <t xml:space="preserve">اتصال سریع پنوماتیکی  </t>
    </r>
    <r>
      <rPr>
        <sz val="10"/>
        <rFont val="Vazirmatn"/>
        <family val="0"/>
        <charset val="1"/>
      </rPr>
      <t xml:space="preserve">6 * 5</t>
    </r>
  </si>
  <si>
    <t xml:space="preserve">31276027</t>
  </si>
  <si>
    <r>
      <rPr>
        <sz val="10"/>
        <rFont val="FreeSans"/>
        <family val="2"/>
      </rPr>
      <t xml:space="preserve">اتصال سریع پنوماتیکی   </t>
    </r>
    <r>
      <rPr>
        <sz val="10"/>
        <rFont val="Vazirmatn"/>
        <family val="0"/>
        <charset val="1"/>
      </rPr>
      <t xml:space="preserve">8mm * 1/8</t>
    </r>
  </si>
  <si>
    <t xml:space="preserve">31276080</t>
  </si>
  <si>
    <r>
      <rPr>
        <sz val="10"/>
        <rFont val="FreeSans"/>
        <family val="2"/>
      </rPr>
      <t xml:space="preserve">سر دنده آهنی مانیسمان  رده </t>
    </r>
    <r>
      <rPr>
        <sz val="10"/>
        <rFont val="Vazirmatn"/>
        <family val="0"/>
        <charset val="1"/>
      </rPr>
      <t xml:space="preserve">20      "1/2</t>
    </r>
  </si>
  <si>
    <t xml:space="preserve">31276085</t>
  </si>
  <si>
    <r>
      <rPr>
        <sz val="10"/>
        <rFont val="FreeSans"/>
        <family val="2"/>
      </rPr>
      <t xml:space="preserve">سر دنده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10   " 2</t>
    </r>
  </si>
  <si>
    <t xml:space="preserve">31276087</t>
  </si>
  <si>
    <r>
      <rPr>
        <sz val="10"/>
        <rFont val="FreeSans"/>
        <family val="2"/>
      </rPr>
      <t xml:space="preserve">سردنده استیل هیدروکلون  </t>
    </r>
    <r>
      <rPr>
        <sz val="10"/>
        <rFont val="Vazirmatn"/>
        <family val="0"/>
        <charset val="1"/>
      </rPr>
      <t xml:space="preserve">"2</t>
    </r>
  </si>
  <si>
    <t xml:space="preserve">31276089</t>
  </si>
  <si>
    <r>
      <rPr>
        <sz val="10"/>
        <rFont val="FreeSans"/>
        <family val="2"/>
      </rPr>
      <t xml:space="preserve">لوله فلاکسیبل        </t>
    </r>
    <r>
      <rPr>
        <sz val="10"/>
        <rFont val="Vazirmatn"/>
        <family val="0"/>
        <charset val="1"/>
      </rPr>
      <t xml:space="preserve">25mm</t>
    </r>
  </si>
  <si>
    <t xml:space="preserve">31276090</t>
  </si>
  <si>
    <r>
      <rPr>
        <sz val="10"/>
        <rFont val="FreeSans"/>
        <family val="2"/>
      </rPr>
      <t xml:space="preserve">لوله فلاکسیبل   </t>
    </r>
    <r>
      <rPr>
        <sz val="10"/>
        <rFont val="Vazirmatn"/>
        <family val="0"/>
        <charset val="1"/>
      </rPr>
      <t xml:space="preserve">11mm</t>
    </r>
  </si>
  <si>
    <t xml:space="preserve">31276091</t>
  </si>
  <si>
    <r>
      <rPr>
        <sz val="10"/>
        <rFont val="FreeSans"/>
        <family val="2"/>
      </rPr>
      <t xml:space="preserve">لوله فلاکسیبل                     </t>
    </r>
    <r>
      <rPr>
        <sz val="10"/>
        <rFont val="Vazirmatn"/>
        <family val="0"/>
        <charset val="1"/>
      </rPr>
      <t xml:space="preserve">21mm</t>
    </r>
  </si>
  <si>
    <t xml:space="preserve">31276092</t>
  </si>
  <si>
    <r>
      <rPr>
        <sz val="10"/>
        <rFont val="FreeSans"/>
        <family val="2"/>
      </rPr>
      <t xml:space="preserve">لوله فلاکسیبل                     </t>
    </r>
    <r>
      <rPr>
        <sz val="10"/>
        <rFont val="Vazirmatn"/>
        <family val="0"/>
        <charset val="1"/>
      </rPr>
      <t xml:space="preserve">13mm</t>
    </r>
  </si>
  <si>
    <t xml:space="preserve">31276094</t>
  </si>
  <si>
    <r>
      <rPr>
        <sz val="10"/>
        <rFont val="FreeSans"/>
        <family val="2"/>
      </rPr>
      <t xml:space="preserve">لوله برق </t>
    </r>
    <r>
      <rPr>
        <sz val="10"/>
        <rFont val="Vazirmatn"/>
        <family val="0"/>
        <charset val="1"/>
      </rPr>
      <t xml:space="preserve">pvc    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21</t>
    </r>
  </si>
  <si>
    <t xml:space="preserve">31276095</t>
  </si>
  <si>
    <r>
      <rPr>
        <sz val="10"/>
        <rFont val="FreeSans"/>
        <family val="2"/>
      </rPr>
      <t xml:space="preserve">لوله خرطومی </t>
    </r>
    <r>
      <rPr>
        <sz val="10"/>
        <rFont val="Vazirmatn"/>
        <family val="0"/>
        <charset val="1"/>
      </rPr>
      <t xml:space="preserve">20</t>
    </r>
  </si>
  <si>
    <t xml:space="preserve">31276099</t>
  </si>
  <si>
    <r>
      <rPr>
        <sz val="10"/>
        <rFont val="FreeSans"/>
        <family val="2"/>
      </rPr>
      <t xml:space="preserve">لوله فلاکسیبل        </t>
    </r>
    <r>
      <rPr>
        <sz val="10"/>
        <rFont val="Vazirmatn"/>
        <family val="0"/>
        <charset val="1"/>
      </rPr>
      <t xml:space="preserve">16mm</t>
    </r>
  </si>
  <si>
    <t xml:space="preserve">31276100</t>
  </si>
  <si>
    <r>
      <rPr>
        <sz val="10"/>
        <rFont val="FreeSans"/>
        <family val="2"/>
      </rPr>
      <t xml:space="preserve">لوله پلی اتیلن </t>
    </r>
    <r>
      <rPr>
        <sz val="10"/>
        <rFont val="Vazirmatn"/>
        <family val="0"/>
        <charset val="1"/>
      </rPr>
      <t xml:space="preserve">( 16 </t>
    </r>
    <r>
      <rPr>
        <sz val="10"/>
        <rFont val="FreeSans"/>
        <family val="2"/>
      </rPr>
      <t xml:space="preserve">بار </t>
    </r>
    <r>
      <rPr>
        <sz val="10"/>
        <rFont val="Vazirmatn"/>
        <family val="0"/>
        <charset val="1"/>
      </rPr>
      <t xml:space="preserve">)  "1</t>
    </r>
  </si>
  <si>
    <t xml:space="preserve">31276111</t>
  </si>
  <si>
    <r>
      <rPr>
        <sz val="10"/>
        <rFont val="FreeSans"/>
        <family val="2"/>
      </rPr>
      <t xml:space="preserve">لوله آهنی                             </t>
    </r>
    <r>
      <rPr>
        <sz val="10"/>
        <rFont val="Vazirmatn"/>
        <family val="0"/>
        <charset val="1"/>
      </rPr>
      <t xml:space="preserve">10 mm</t>
    </r>
  </si>
  <si>
    <t xml:space="preserve">31276112</t>
  </si>
  <si>
    <r>
      <rPr>
        <sz val="10"/>
        <rFont val="FreeSans"/>
        <family val="2"/>
      </rPr>
      <t xml:space="preserve">لوله آهنی درزدار رده </t>
    </r>
    <r>
      <rPr>
        <sz val="10"/>
        <rFont val="Vazirmatn"/>
        <family val="0"/>
        <charset val="1"/>
      </rPr>
      <t xml:space="preserve">10      " 6</t>
    </r>
  </si>
  <si>
    <t xml:space="preserve">31276117</t>
  </si>
  <si>
    <r>
      <rPr>
        <sz val="10"/>
        <rFont val="FreeSans"/>
        <family val="2"/>
      </rPr>
      <t xml:space="preserve">لوله آهنی گوشت دار قطر داخل </t>
    </r>
    <r>
      <rPr>
        <sz val="10"/>
        <rFont val="Vazirmatn"/>
        <family val="0"/>
        <charset val="1"/>
      </rPr>
      <t xml:space="preserve">190mm - </t>
    </r>
    <r>
      <rPr>
        <sz val="10"/>
        <rFont val="FreeSans"/>
        <family val="2"/>
      </rPr>
      <t xml:space="preserve">قطر خارج </t>
    </r>
    <r>
      <rPr>
        <sz val="10"/>
        <rFont val="Vazirmatn"/>
        <family val="0"/>
        <charset val="1"/>
      </rPr>
      <t xml:space="preserve">250mm</t>
    </r>
  </si>
  <si>
    <t xml:space="preserve">31276121</t>
  </si>
  <si>
    <r>
      <rPr>
        <sz val="10"/>
        <rFont val="FreeSans"/>
        <family val="2"/>
      </rPr>
      <t xml:space="preserve">لوله خرطومی </t>
    </r>
    <r>
      <rPr>
        <sz val="10"/>
        <rFont val="Vazirmatn"/>
        <family val="0"/>
        <charset val="1"/>
      </rPr>
      <t xml:space="preserve">21</t>
    </r>
  </si>
  <si>
    <t xml:space="preserve">31276122</t>
  </si>
  <si>
    <r>
      <rPr>
        <sz val="10"/>
        <rFont val="FreeSans"/>
        <family val="2"/>
      </rPr>
      <t xml:space="preserve">لوله برق </t>
    </r>
    <r>
      <rPr>
        <sz val="10"/>
        <rFont val="Vazirmatn"/>
        <family val="0"/>
        <charset val="1"/>
      </rPr>
      <t xml:space="preserve">PVC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16</t>
    </r>
  </si>
  <si>
    <t xml:space="preserve">31276124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</si>
  <si>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 1/4 1</t>
    </r>
  </si>
  <si>
    <t xml:space="preserve">31276125</t>
  </si>
  <si>
    <r>
      <rPr>
        <sz val="10"/>
        <rFont val="FreeSans"/>
        <family val="2"/>
      </rPr>
      <t xml:space="preserve">لوله آهنی                               </t>
    </r>
    <r>
      <rPr>
        <sz val="10"/>
        <rFont val="Vazirmatn"/>
        <family val="0"/>
        <charset val="1"/>
      </rPr>
      <t xml:space="preserve">" 12</t>
    </r>
  </si>
  <si>
    <t xml:space="preserve">31276126</t>
  </si>
  <si>
    <r>
      <rPr>
        <sz val="10"/>
        <rFont val="FreeSans"/>
        <family val="2"/>
      </rPr>
      <t xml:space="preserve">لوله افقی </t>
    </r>
    <r>
      <rPr>
        <sz val="10"/>
        <rFont val="Vazirmatn"/>
        <family val="0"/>
        <charset val="1"/>
      </rPr>
      <t xml:space="preserve">PVC </t>
    </r>
    <r>
      <rPr>
        <sz val="10"/>
        <rFont val="FreeSans"/>
        <family val="2"/>
      </rPr>
      <t xml:space="preserve">فشار قوی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8mm ) T450</t>
    </r>
  </si>
  <si>
    <t xml:space="preserve">31276133</t>
  </si>
  <si>
    <r>
      <rPr>
        <sz val="10"/>
        <rFont val="FreeSans"/>
        <family val="2"/>
      </rPr>
      <t xml:space="preserve">سر دنده استیل                    </t>
    </r>
    <r>
      <rPr>
        <sz val="10"/>
        <rFont val="Vazirmatn"/>
        <family val="0"/>
        <charset val="1"/>
      </rPr>
      <t xml:space="preserve">" 3/4</t>
    </r>
  </si>
  <si>
    <t xml:space="preserve">31276135</t>
  </si>
  <si>
    <r>
      <rPr>
        <sz val="10"/>
        <rFont val="FreeSans"/>
        <family val="2"/>
      </rPr>
      <t xml:space="preserve">لوله استیل ریکلاسیون نازل      </t>
    </r>
    <r>
      <rPr>
        <sz val="10"/>
        <rFont val="Vazirmatn"/>
        <family val="0"/>
        <charset val="1"/>
      </rPr>
      <t xml:space="preserve">"1/8</t>
    </r>
  </si>
  <si>
    <t xml:space="preserve">31276136</t>
  </si>
  <si>
    <r>
      <rPr>
        <sz val="10"/>
        <rFont val="FreeSans"/>
        <family val="2"/>
      </rPr>
      <t xml:space="preserve">لوله فسفر برنز قطربیرون </t>
    </r>
    <r>
      <rPr>
        <sz val="10"/>
        <rFont val="Vazirmatn"/>
        <family val="0"/>
        <charset val="1"/>
      </rPr>
      <t xml:space="preserve">80mm </t>
    </r>
    <r>
      <rPr>
        <sz val="10"/>
        <rFont val="FreeSans"/>
        <family val="2"/>
      </rPr>
      <t xml:space="preserve">قطرداخل </t>
    </r>
    <r>
      <rPr>
        <sz val="10"/>
        <rFont val="Vazirmatn"/>
        <family val="0"/>
        <charset val="1"/>
      </rPr>
      <t xml:space="preserve">50mm</t>
    </r>
  </si>
  <si>
    <t xml:space="preserve">31276142</t>
  </si>
  <si>
    <r>
      <rPr>
        <sz val="10"/>
        <rFont val="FreeSans"/>
        <family val="2"/>
      </rPr>
      <t xml:space="preserve">لوله بخاری گالوانیزه </t>
    </r>
    <r>
      <rPr>
        <sz val="10"/>
        <rFont val="Vazirmatn"/>
        <family val="0"/>
        <charset val="1"/>
      </rPr>
      <t xml:space="preserve">10</t>
    </r>
  </si>
  <si>
    <t xml:space="preserve">31276144</t>
  </si>
  <si>
    <r>
      <rPr>
        <sz val="10"/>
        <rFont val="FreeSans"/>
        <family val="2"/>
      </rPr>
      <t xml:space="preserve">سر دنده استیل                      </t>
    </r>
    <r>
      <rPr>
        <sz val="10"/>
        <rFont val="Vazirmatn"/>
        <family val="0"/>
        <charset val="1"/>
      </rPr>
      <t xml:space="preserve">" 3/8</t>
    </r>
  </si>
  <si>
    <t xml:space="preserve">31276145</t>
  </si>
  <si>
    <r>
      <rPr>
        <sz val="10"/>
        <rFont val="FreeSans"/>
        <family val="2"/>
      </rPr>
      <t xml:space="preserve">سر دنده استیل                 </t>
    </r>
    <r>
      <rPr>
        <sz val="10"/>
        <rFont val="Vazirmatn"/>
        <family val="0"/>
        <charset val="1"/>
      </rPr>
      <t xml:space="preserve">" 1/4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</si>
  <si>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31276147</t>
  </si>
  <si>
    <r>
      <rPr>
        <sz val="10"/>
        <rFont val="FreeSans"/>
        <family val="2"/>
      </rPr>
      <t xml:space="preserve">سر دنده استیل                    </t>
    </r>
    <r>
      <rPr>
        <sz val="10"/>
        <rFont val="Vazirmatn"/>
        <family val="0"/>
        <charset val="1"/>
      </rPr>
      <t xml:space="preserve">"1/2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2</t>
    </r>
  </si>
  <si>
    <t xml:space="preserve">31276150</t>
  </si>
  <si>
    <r>
      <rPr>
        <sz val="10"/>
        <rFont val="FreeSans"/>
        <family val="2"/>
      </rPr>
      <t xml:space="preserve">سر دنده استیل         </t>
    </r>
    <r>
      <rPr>
        <sz val="10"/>
        <rFont val="Vazirmatn"/>
        <family val="0"/>
        <charset val="1"/>
      </rPr>
      <t xml:space="preserve">304             " 3</t>
    </r>
  </si>
  <si>
    <t xml:space="preserve">31276152</t>
  </si>
  <si>
    <t xml:space="preserve">لوله آب ورودی سپراتور تغلیظ گلوتن</t>
  </si>
  <si>
    <t xml:space="preserve">31276154</t>
  </si>
  <si>
    <r>
      <rPr>
        <sz val="10"/>
        <rFont val="FreeSans"/>
        <family val="2"/>
      </rPr>
      <t xml:space="preserve">سردنده استیل </t>
    </r>
    <r>
      <rPr>
        <sz val="10"/>
        <rFont val="Vazirmatn"/>
        <family val="0"/>
        <charset val="1"/>
      </rPr>
      <t xml:space="preserve">304        " 4</t>
    </r>
  </si>
  <si>
    <t xml:space="preserve">31276156</t>
  </si>
  <si>
    <r>
      <rPr>
        <sz val="10"/>
        <rFont val="FreeSans"/>
        <family val="2"/>
      </rPr>
      <t xml:space="preserve">لوله فسفر برنز قطربیرون </t>
    </r>
    <r>
      <rPr>
        <sz val="10"/>
        <rFont val="Vazirmatn"/>
        <family val="0"/>
        <charset val="1"/>
      </rPr>
      <t xml:space="preserve">100mm </t>
    </r>
    <r>
      <rPr>
        <sz val="10"/>
        <rFont val="FreeSans"/>
        <family val="2"/>
      </rPr>
      <t xml:space="preserve">قطرداخل </t>
    </r>
    <r>
      <rPr>
        <sz val="10"/>
        <rFont val="Vazirmatn"/>
        <family val="0"/>
        <charset val="1"/>
      </rPr>
      <t xml:space="preserve">80mm</t>
    </r>
  </si>
  <si>
    <t xml:space="preserve">31276157</t>
  </si>
  <si>
    <r>
      <rPr>
        <sz val="10"/>
        <rFont val="FreeSans"/>
        <family val="2"/>
      </rPr>
      <t xml:space="preserve">لوله فسفر برنز قطربیرون </t>
    </r>
    <r>
      <rPr>
        <sz val="10"/>
        <rFont val="Vazirmatn"/>
        <family val="0"/>
        <charset val="1"/>
      </rPr>
      <t xml:space="preserve">120mm </t>
    </r>
    <r>
      <rPr>
        <sz val="10"/>
        <rFont val="FreeSans"/>
        <family val="2"/>
      </rPr>
      <t xml:space="preserve">قطرداخل </t>
    </r>
    <r>
      <rPr>
        <sz val="10"/>
        <rFont val="Vazirmatn"/>
        <family val="0"/>
        <charset val="1"/>
      </rPr>
      <t xml:space="preserve">90mm</t>
    </r>
  </si>
  <si>
    <t xml:space="preserve">31276158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</si>
  <si>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20   " 1/4 1</t>
    </r>
  </si>
  <si>
    <t xml:space="preserve">31276161</t>
  </si>
  <si>
    <r>
      <rPr>
        <sz val="10"/>
        <rFont val="FreeSans"/>
        <family val="2"/>
      </rPr>
      <t xml:space="preserve">لوله فسفر برنز قطربیرون </t>
    </r>
    <r>
      <rPr>
        <sz val="10"/>
        <rFont val="Vazirmatn"/>
        <family val="0"/>
        <charset val="1"/>
      </rPr>
      <t xml:space="preserve">130mm </t>
    </r>
    <r>
      <rPr>
        <sz val="10"/>
        <rFont val="FreeSans"/>
        <family val="2"/>
      </rPr>
      <t xml:space="preserve">قطرداخل </t>
    </r>
    <r>
      <rPr>
        <sz val="10"/>
        <rFont val="Vazirmatn"/>
        <family val="0"/>
        <charset val="1"/>
      </rPr>
      <t xml:space="preserve">100mm</t>
    </r>
  </si>
  <si>
    <t xml:space="preserve">31276175</t>
  </si>
  <si>
    <r>
      <rPr>
        <sz val="10"/>
        <rFont val="FreeSans"/>
        <family val="2"/>
      </rPr>
      <t xml:space="preserve">لوله استیل گوشت دار  داخل </t>
    </r>
    <r>
      <rPr>
        <sz val="10"/>
        <rFont val="Vazirmatn"/>
        <family val="0"/>
        <charset val="1"/>
      </rPr>
      <t xml:space="preserve">305mm - </t>
    </r>
    <r>
      <rPr>
        <sz val="10"/>
        <rFont val="FreeSans"/>
        <family val="2"/>
      </rPr>
      <t xml:space="preserve">خارج </t>
    </r>
    <r>
      <rPr>
        <sz val="10"/>
        <rFont val="Vazirmatn"/>
        <family val="0"/>
        <charset val="1"/>
      </rPr>
      <t xml:space="preserve">335mm</t>
    </r>
  </si>
  <si>
    <t xml:space="preserve">31276179</t>
  </si>
  <si>
    <r>
      <rPr>
        <sz val="10"/>
        <rFont val="FreeSans"/>
        <family val="2"/>
      </rPr>
      <t xml:space="preserve">لوله فسفر برنز قطربزرگ </t>
    </r>
    <r>
      <rPr>
        <sz val="10"/>
        <rFont val="Vazirmatn"/>
        <family val="0"/>
        <charset val="1"/>
      </rPr>
      <t xml:space="preserve">65mm </t>
    </r>
    <r>
      <rPr>
        <sz val="10"/>
        <rFont val="FreeSans"/>
        <family val="2"/>
      </rPr>
      <t xml:space="preserve">قطرکوچک </t>
    </r>
    <r>
      <rPr>
        <sz val="10"/>
        <rFont val="Vazirmatn"/>
        <family val="0"/>
        <charset val="1"/>
      </rPr>
      <t xml:space="preserve">30mm</t>
    </r>
  </si>
  <si>
    <t xml:space="preserve">31276180</t>
  </si>
  <si>
    <r>
      <rPr>
        <sz val="10"/>
        <rFont val="FreeSans"/>
        <family val="2"/>
      </rPr>
      <t xml:space="preserve">لوله عمودی </t>
    </r>
    <r>
      <rPr>
        <sz val="10"/>
        <rFont val="Vazirmatn"/>
        <family val="0"/>
        <charset val="1"/>
      </rPr>
      <t xml:space="preserve">PVC </t>
    </r>
    <r>
      <rPr>
        <sz val="10"/>
        <rFont val="FreeSans"/>
        <family val="2"/>
      </rPr>
      <t xml:space="preserve">فشار قوی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8mm ) T450</t>
    </r>
  </si>
  <si>
    <t xml:space="preserve">31276182</t>
  </si>
  <si>
    <r>
      <rPr>
        <sz val="10"/>
        <rFont val="FreeSans"/>
        <family val="2"/>
      </rPr>
      <t xml:space="preserve">لوله استیل درز دار </t>
    </r>
    <r>
      <rPr>
        <sz val="10"/>
        <rFont val="Vazirmatn"/>
        <family val="0"/>
        <charset val="1"/>
      </rPr>
      <t xml:space="preserve">316</t>
    </r>
  </si>
  <si>
    <t xml:space="preserve">31276186</t>
  </si>
  <si>
    <r>
      <rPr>
        <sz val="10"/>
        <rFont val="FreeSans"/>
        <family val="2"/>
      </rPr>
      <t xml:space="preserve">لوله نیوپایپ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لایه  </t>
    </r>
    <r>
      <rPr>
        <sz val="10"/>
        <rFont val="Vazirmatn"/>
        <family val="0"/>
        <charset val="1"/>
      </rPr>
      <t xml:space="preserve">16</t>
    </r>
  </si>
  <si>
    <t xml:space="preserve">31276187</t>
  </si>
  <si>
    <r>
      <rPr>
        <sz val="10"/>
        <rFont val="FreeSans"/>
        <family val="2"/>
      </rPr>
      <t xml:space="preserve">لوله استیل صنایع شیری </t>
    </r>
    <r>
      <rPr>
        <sz val="10"/>
        <rFont val="Vazirmatn"/>
        <family val="0"/>
        <charset val="1"/>
      </rPr>
      <t xml:space="preserve">304</t>
    </r>
  </si>
  <si>
    <t xml:space="preserve">31276188</t>
  </si>
  <si>
    <r>
      <rPr>
        <sz val="10"/>
        <rFont val="FreeSans"/>
        <family val="2"/>
      </rPr>
      <t xml:space="preserve">فلکسی بل  </t>
    </r>
    <r>
      <rPr>
        <sz val="10"/>
        <rFont val="Vazirmatn"/>
        <family val="0"/>
        <charset val="1"/>
      </rPr>
      <t xml:space="preserve">PG 36</t>
    </r>
  </si>
  <si>
    <t xml:space="preserve">31276190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</si>
  <si>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 3/4</t>
    </r>
  </si>
  <si>
    <t xml:space="preserve">31276191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</si>
  <si>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 1/2 1</t>
    </r>
  </si>
  <si>
    <t xml:space="preserve">31276192</t>
  </si>
  <si>
    <r>
      <rPr>
        <sz val="10"/>
        <rFont val="FreeSans"/>
        <family val="2"/>
      </rPr>
      <t xml:space="preserve">لوله آهنی مانیسمان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10 )  "1/8</t>
    </r>
  </si>
  <si>
    <t xml:space="preserve">31276193</t>
  </si>
  <si>
    <r>
      <rPr>
        <sz val="10"/>
        <rFont val="FreeSans"/>
        <family val="2"/>
      </rPr>
      <t xml:space="preserve">لوله فسفر برنز قطربیرون </t>
    </r>
    <r>
      <rPr>
        <sz val="10"/>
        <rFont val="Vazirmatn"/>
        <family val="0"/>
        <charset val="1"/>
      </rPr>
      <t xml:space="preserve">115mm </t>
    </r>
    <r>
      <rPr>
        <sz val="10"/>
        <rFont val="FreeSans"/>
        <family val="2"/>
      </rPr>
      <t xml:space="preserve">قطرداخل </t>
    </r>
    <r>
      <rPr>
        <sz val="10"/>
        <rFont val="Vazirmatn"/>
        <family val="0"/>
        <charset val="1"/>
      </rPr>
      <t xml:space="preserve">85mm</t>
    </r>
  </si>
  <si>
    <t xml:space="preserve">31276194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</si>
  <si>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 1/2</t>
    </r>
  </si>
  <si>
    <t xml:space="preserve">31276196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</si>
  <si>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 24</t>
    </r>
  </si>
  <si>
    <t xml:space="preserve">31276197</t>
  </si>
  <si>
    <r>
      <rPr>
        <sz val="10"/>
        <rFont val="FreeSans"/>
        <family val="2"/>
      </rPr>
      <t xml:space="preserve">لوله پمپ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سوزن انژکتور </t>
    </r>
    <r>
      <rPr>
        <sz val="10"/>
        <rFont val="Vazirmatn"/>
        <family val="0"/>
        <charset val="1"/>
      </rPr>
      <t xml:space="preserve">282AK</t>
    </r>
  </si>
  <si>
    <t xml:space="preserve">31276198</t>
  </si>
  <si>
    <r>
      <rPr>
        <sz val="10"/>
        <rFont val="FreeSans"/>
        <family val="2"/>
      </rPr>
      <t xml:space="preserve">لوله پمپ به سر سیلندر </t>
    </r>
    <r>
      <rPr>
        <sz val="10"/>
        <rFont val="Vazirmatn"/>
        <family val="0"/>
        <charset val="1"/>
      </rPr>
      <t xml:space="preserve">282AK</t>
    </r>
  </si>
  <si>
    <t xml:space="preserve">31276199</t>
  </si>
  <si>
    <r>
      <rPr>
        <sz val="10"/>
        <rFont val="FreeSans"/>
        <family val="2"/>
      </rPr>
      <t xml:space="preserve">لوله مویی </t>
    </r>
    <r>
      <rPr>
        <sz val="10"/>
        <rFont val="Vazirmatn"/>
        <family val="0"/>
        <charset val="1"/>
      </rPr>
      <t xml:space="preserve">090</t>
    </r>
  </si>
  <si>
    <t xml:space="preserve">31276200</t>
  </si>
  <si>
    <r>
      <rPr>
        <sz val="10"/>
        <rFont val="FreeSans"/>
        <family val="2"/>
      </rPr>
      <t xml:space="preserve">لوله مسی </t>
    </r>
    <r>
      <rPr>
        <sz val="10"/>
        <rFont val="Vazirmatn"/>
        <family val="0"/>
        <charset val="1"/>
      </rPr>
      <t xml:space="preserve">32</t>
    </r>
  </si>
  <si>
    <t xml:space="preserve">31276205</t>
  </si>
  <si>
    <r>
      <rPr>
        <sz val="10"/>
        <rFont val="FreeSans"/>
        <family val="2"/>
      </rPr>
      <t xml:space="preserve">لوله پلی اتیلن  </t>
    </r>
    <r>
      <rPr>
        <sz val="10"/>
        <rFont val="Vazirmatn"/>
        <family val="0"/>
        <charset val="1"/>
      </rPr>
      <t xml:space="preserve">" 4</t>
    </r>
  </si>
  <si>
    <t xml:space="preserve">31276212</t>
  </si>
  <si>
    <r>
      <rPr>
        <sz val="10"/>
        <rFont val="FreeSans"/>
        <family val="2"/>
      </rPr>
      <t xml:space="preserve">لوله   </t>
    </r>
    <r>
      <rPr>
        <sz val="10"/>
        <rFont val="Vazirmatn"/>
        <family val="0"/>
        <charset val="1"/>
      </rPr>
      <t xml:space="preserve">upvc  "2.1/2</t>
    </r>
  </si>
  <si>
    <t xml:space="preserve">31276214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</si>
  <si>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"PIPE UPVC  DN 50 ) 2 )</t>
    </r>
  </si>
  <si>
    <t xml:space="preserve">31276216</t>
  </si>
  <si>
    <r>
      <rPr>
        <sz val="10"/>
        <rFont val="FreeSans"/>
        <family val="2"/>
      </rPr>
      <t xml:space="preserve">لوله </t>
    </r>
    <r>
      <rPr>
        <sz val="10"/>
        <rFont val="Vazirmatn"/>
        <family val="0"/>
        <charset val="1"/>
      </rPr>
      <t xml:space="preserve">" 6      UPVC</t>
    </r>
  </si>
  <si>
    <t xml:space="preserve">31276217</t>
  </si>
  <si>
    <r>
      <rPr>
        <sz val="10"/>
        <rFont val="FreeSans"/>
        <family val="2"/>
      </rPr>
      <t xml:space="preserve">لوله     </t>
    </r>
    <r>
      <rPr>
        <sz val="10"/>
        <rFont val="Vazirmatn"/>
        <family val="0"/>
        <charset val="1"/>
      </rPr>
      <t xml:space="preserve">UPVC            "1.1/2</t>
    </r>
  </si>
  <si>
    <t xml:space="preserve">31276218</t>
  </si>
  <si>
    <r>
      <rPr>
        <sz val="10"/>
        <rFont val="FreeSans"/>
        <family val="2"/>
      </rPr>
      <t xml:space="preserve">لوله فسفر برنز قطربیرون </t>
    </r>
    <r>
      <rPr>
        <sz val="10"/>
        <rFont val="Vazirmatn"/>
        <family val="0"/>
        <charset val="1"/>
      </rPr>
      <t xml:space="preserve">130mm </t>
    </r>
    <r>
      <rPr>
        <sz val="10"/>
        <rFont val="FreeSans"/>
        <family val="2"/>
      </rPr>
      <t xml:space="preserve">قطرداخل </t>
    </r>
    <r>
      <rPr>
        <sz val="10"/>
        <rFont val="Vazirmatn"/>
        <family val="0"/>
        <charset val="1"/>
      </rPr>
      <t xml:space="preserve">90mm</t>
    </r>
  </si>
  <si>
    <t xml:space="preserve">31276219</t>
  </si>
  <si>
    <r>
      <rPr>
        <sz val="10"/>
        <rFont val="FreeSans"/>
        <family val="2"/>
      </rPr>
      <t xml:space="preserve">لوله هوا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روغن دکانتور  </t>
    </r>
    <r>
      <rPr>
        <sz val="10"/>
        <rFont val="Vazirmatn"/>
        <family val="0"/>
        <charset val="1"/>
      </rPr>
      <t xml:space="preserve">848 - 6203 - 0018</t>
    </r>
  </si>
  <si>
    <t xml:space="preserve">31276221</t>
  </si>
  <si>
    <r>
      <rPr>
        <sz val="10"/>
        <rFont val="FreeSans"/>
        <family val="2"/>
      </rPr>
      <t xml:space="preserve">لوله آهنی گوشت دار قطر داخل </t>
    </r>
    <r>
      <rPr>
        <sz val="10"/>
        <rFont val="Vazirmatn"/>
        <family val="0"/>
        <charset val="1"/>
      </rPr>
      <t xml:space="preserve">133mm - </t>
    </r>
    <r>
      <rPr>
        <sz val="10"/>
        <rFont val="FreeSans"/>
        <family val="2"/>
      </rPr>
      <t xml:space="preserve">قطر خارج </t>
    </r>
    <r>
      <rPr>
        <sz val="10"/>
        <rFont val="Vazirmatn"/>
        <family val="0"/>
        <charset val="1"/>
      </rPr>
      <t xml:space="preserve">200mm</t>
    </r>
  </si>
  <si>
    <t xml:space="preserve">31276222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</si>
  <si>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" C PVC          1 , 1/4</t>
    </r>
  </si>
  <si>
    <t xml:space="preserve">31276224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</si>
  <si>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" C PVC          1 , 1/2</t>
    </r>
  </si>
  <si>
    <t xml:space="preserve">31276225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</si>
  <si>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"PIPE CPVC  DN 50 ) 2 )</t>
    </r>
  </si>
  <si>
    <t xml:space="preserve">31276226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</si>
  <si>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" C PVC            1</t>
    </r>
  </si>
  <si>
    <t xml:space="preserve">31276228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</si>
  <si>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"PIPE UPVC  DN 125 ) 5 )</t>
    </r>
  </si>
  <si>
    <t xml:space="preserve">31276230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</si>
  <si>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" C PVC     2 , 1/2</t>
    </r>
  </si>
  <si>
    <t xml:space="preserve">31276231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</si>
  <si>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"PIPE CPVC  DN 80 ) 3 )</t>
    </r>
  </si>
  <si>
    <t xml:space="preserve">31276232</t>
  </si>
  <si>
    <r>
      <rPr>
        <sz val="10"/>
        <rFont val="FreeSans"/>
        <family val="2"/>
      </rPr>
      <t xml:space="preserve">لوله  </t>
    </r>
    <r>
      <rPr>
        <sz val="10"/>
        <rFont val="Vazirmatn"/>
        <family val="0"/>
        <charset val="1"/>
      </rPr>
      <t xml:space="preserve">" C PVC          5</t>
    </r>
  </si>
  <si>
    <t xml:space="preserve">31276234</t>
  </si>
  <si>
    <r>
      <rPr>
        <sz val="10"/>
        <rFont val="FreeSans"/>
        <family val="2"/>
      </rPr>
      <t xml:space="preserve">لوله فسفر برنز قطربزرگ </t>
    </r>
    <r>
      <rPr>
        <sz val="10"/>
        <rFont val="Vazirmatn"/>
        <family val="0"/>
        <charset val="1"/>
      </rPr>
      <t xml:space="preserve">150mm </t>
    </r>
    <r>
      <rPr>
        <sz val="10"/>
        <rFont val="FreeSans"/>
        <family val="2"/>
      </rPr>
      <t xml:space="preserve">قطرکوچک </t>
    </r>
    <r>
      <rPr>
        <sz val="10"/>
        <rFont val="Vazirmatn"/>
        <family val="0"/>
        <charset val="1"/>
      </rPr>
      <t xml:space="preserve">120mm</t>
    </r>
  </si>
  <si>
    <t xml:space="preserve">31276246</t>
  </si>
  <si>
    <r>
      <rPr>
        <sz val="10"/>
        <rFont val="FreeSans"/>
        <family val="2"/>
      </rPr>
      <t xml:space="preserve">لوله فسفر برنز    قطر بیرون </t>
    </r>
    <r>
      <rPr>
        <sz val="10"/>
        <rFont val="Vazirmatn"/>
        <family val="0"/>
        <charset val="1"/>
      </rPr>
      <t xml:space="preserve">70MM    </t>
    </r>
    <r>
      <rPr>
        <sz val="10"/>
        <rFont val="FreeSans"/>
        <family val="2"/>
      </rPr>
      <t xml:space="preserve">قطر داخل </t>
    </r>
    <r>
      <rPr>
        <sz val="10"/>
        <rFont val="Vazirmatn"/>
        <family val="0"/>
        <charset val="1"/>
      </rPr>
      <t xml:space="preserve">30MM</t>
    </r>
  </si>
  <si>
    <t xml:space="preserve">31276249</t>
  </si>
  <si>
    <r>
      <rPr>
        <sz val="10"/>
        <rFont val="FreeSans"/>
        <family val="2"/>
      </rPr>
      <t xml:space="preserve">لوله آهنی  مانیسمان درزدار        </t>
    </r>
    <r>
      <rPr>
        <sz val="10"/>
        <rFont val="Vazirmatn"/>
        <family val="0"/>
        <charset val="1"/>
      </rPr>
      <t xml:space="preserve">"5</t>
    </r>
  </si>
  <si>
    <t xml:space="preserve">31276253</t>
  </si>
  <si>
    <r>
      <rPr>
        <sz val="10"/>
        <rFont val="FreeSans"/>
        <family val="2"/>
      </rPr>
      <t xml:space="preserve">لوله فولادی برق    </t>
    </r>
    <r>
      <rPr>
        <sz val="10"/>
        <rFont val="Vazirmatn"/>
        <family val="0"/>
        <charset val="1"/>
      </rPr>
      <t xml:space="preserve">13</t>
    </r>
  </si>
  <si>
    <t xml:space="preserve">31276256</t>
  </si>
  <si>
    <r>
      <rPr>
        <sz val="10"/>
        <rFont val="FreeSans"/>
        <family val="2"/>
      </rPr>
      <t xml:space="preserve">لوله  فولادی برق   </t>
    </r>
    <r>
      <rPr>
        <sz val="10"/>
        <rFont val="Vazirmatn"/>
        <family val="0"/>
        <charset val="1"/>
      </rPr>
      <t xml:space="preserve">29</t>
    </r>
  </si>
  <si>
    <t xml:space="preserve">31276259</t>
  </si>
  <si>
    <r>
      <rPr>
        <sz val="10"/>
        <rFont val="FreeSans"/>
        <family val="2"/>
      </rPr>
      <t xml:space="preserve">لوله پلی اتیلن دو جداره فاضلاب   </t>
    </r>
    <r>
      <rPr>
        <sz val="10"/>
        <rFont val="Vazirmatn"/>
        <family val="0"/>
        <charset val="1"/>
      </rPr>
      <t xml:space="preserve">" 10</t>
    </r>
  </si>
  <si>
    <t xml:space="preserve">31276260</t>
  </si>
  <si>
    <r>
      <rPr>
        <sz val="10"/>
        <rFont val="FreeSans"/>
        <family val="2"/>
      </rPr>
      <t xml:space="preserve">لوله پلیکا              </t>
    </r>
    <r>
      <rPr>
        <sz val="10"/>
        <rFont val="Vazirmatn"/>
        <family val="0"/>
        <charset val="1"/>
      </rPr>
      <t xml:space="preserve">6</t>
    </r>
  </si>
  <si>
    <t xml:space="preserve">31276261</t>
  </si>
  <si>
    <r>
      <rPr>
        <sz val="10"/>
        <rFont val="FreeSans"/>
        <family val="2"/>
      </rPr>
      <t xml:space="preserve">لوله نیوپایپ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لایه  </t>
    </r>
    <r>
      <rPr>
        <sz val="10"/>
        <rFont val="Vazirmatn"/>
        <family val="0"/>
        <charset val="1"/>
      </rPr>
      <t xml:space="preserve">20</t>
    </r>
  </si>
  <si>
    <t xml:space="preserve">31276264</t>
  </si>
  <si>
    <r>
      <rPr>
        <sz val="10"/>
        <rFont val="FreeSans"/>
        <family val="2"/>
      </rPr>
      <t xml:space="preserve">لوله پلی اتیلن  </t>
    </r>
    <r>
      <rPr>
        <sz val="10"/>
        <rFont val="Vazirmatn"/>
        <family val="0"/>
        <charset val="1"/>
      </rPr>
      <t xml:space="preserve">" 3/4</t>
    </r>
  </si>
  <si>
    <t xml:space="preserve">31276265</t>
  </si>
  <si>
    <r>
      <rPr>
        <sz val="10"/>
        <rFont val="FreeSans"/>
        <family val="2"/>
      </rPr>
      <t xml:space="preserve">لوله پلیکا      </t>
    </r>
    <r>
      <rPr>
        <sz val="10"/>
        <rFont val="Vazirmatn"/>
        <family val="0"/>
        <charset val="1"/>
      </rPr>
      <t xml:space="preserve">90</t>
    </r>
  </si>
  <si>
    <t xml:space="preserve">31276266</t>
  </si>
  <si>
    <r>
      <rPr>
        <sz val="10"/>
        <rFont val="FreeSans"/>
        <family val="2"/>
      </rPr>
      <t xml:space="preserve">لوله آذین    </t>
    </r>
    <r>
      <rPr>
        <sz val="10"/>
        <rFont val="Vazirmatn"/>
        <family val="0"/>
        <charset val="1"/>
      </rPr>
      <t xml:space="preserve">32</t>
    </r>
  </si>
  <si>
    <t xml:space="preserve">31276268</t>
  </si>
  <si>
    <r>
      <rPr>
        <sz val="10"/>
        <rFont val="FreeSans"/>
        <family val="2"/>
      </rPr>
      <t xml:space="preserve">لوله نیوپایپ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لایه  </t>
    </r>
    <r>
      <rPr>
        <sz val="10"/>
        <rFont val="Vazirmatn"/>
        <family val="0"/>
        <charset val="1"/>
      </rPr>
      <t xml:space="preserve">25</t>
    </r>
  </si>
  <si>
    <t xml:space="preserve">31276276</t>
  </si>
  <si>
    <r>
      <rPr>
        <sz val="10"/>
        <rFont val="FreeSans"/>
        <family val="2"/>
      </rPr>
      <t xml:space="preserve">لوله آذین           </t>
    </r>
    <r>
      <rPr>
        <sz val="10"/>
        <rFont val="Vazirmatn"/>
        <family val="0"/>
        <charset val="1"/>
      </rPr>
      <t xml:space="preserve">" 1/2</t>
    </r>
  </si>
  <si>
    <t xml:space="preserve">31276277</t>
  </si>
  <si>
    <r>
      <rPr>
        <sz val="10"/>
        <rFont val="FreeSans"/>
        <family val="2"/>
      </rPr>
      <t xml:space="preserve">لوله آذین    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</si>
  <si>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31276278</t>
  </si>
  <si>
    <r>
      <rPr>
        <sz val="10"/>
        <rFont val="FreeSans"/>
        <family val="2"/>
      </rPr>
      <t xml:space="preserve">لوله آذین ساده   </t>
    </r>
    <r>
      <rPr>
        <sz val="10"/>
        <rFont val="Vazirmatn"/>
        <family val="0"/>
        <charset val="1"/>
      </rPr>
      <t xml:space="preserve">" 1/4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</t>
    </r>
  </si>
  <si>
    <t xml:space="preserve">31276282</t>
  </si>
  <si>
    <r>
      <rPr>
        <sz val="10"/>
        <rFont val="FreeSans"/>
        <family val="2"/>
      </rPr>
      <t xml:space="preserve">لوله آذین    </t>
    </r>
    <r>
      <rPr>
        <sz val="10"/>
        <rFont val="Vazirmatn"/>
        <family val="0"/>
        <charset val="1"/>
      </rPr>
      <t xml:space="preserve">" 3/4</t>
    </r>
  </si>
  <si>
    <t xml:space="preserve">31276284</t>
  </si>
  <si>
    <r>
      <rPr>
        <sz val="10"/>
        <rFont val="FreeSans"/>
        <family val="2"/>
      </rPr>
      <t xml:space="preserve">لوله </t>
    </r>
    <r>
      <rPr>
        <sz val="10"/>
        <rFont val="Vazirmatn"/>
        <family val="0"/>
        <charset val="1"/>
      </rPr>
      <t xml:space="preserve">" 3/4    ( ABS )</t>
    </r>
  </si>
  <si>
    <t xml:space="preserve">31276286</t>
  </si>
  <si>
    <r>
      <rPr>
        <sz val="10"/>
        <rFont val="FreeSans"/>
        <family val="2"/>
      </rPr>
      <t xml:space="preserve">لوله </t>
    </r>
    <r>
      <rPr>
        <sz val="10"/>
        <rFont val="Vazirmatn"/>
        <family val="0"/>
        <charset val="1"/>
      </rPr>
      <t xml:space="preserve">" 2    ( ABS )</t>
    </r>
  </si>
  <si>
    <t xml:space="preserve">31276287</t>
  </si>
  <si>
    <r>
      <rPr>
        <sz val="10"/>
        <rFont val="FreeSans"/>
        <family val="2"/>
      </rPr>
      <t xml:space="preserve">لوله </t>
    </r>
    <r>
      <rPr>
        <sz val="10"/>
        <rFont val="Vazirmatn"/>
        <family val="0"/>
        <charset val="1"/>
      </rPr>
      <t xml:space="preserve">" 1/2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   ( ABS )</t>
    </r>
  </si>
  <si>
    <t xml:space="preserve">31276291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</si>
  <si>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" 3</t>
    </r>
  </si>
  <si>
    <t xml:space="preserve">31276301</t>
  </si>
  <si>
    <r>
      <rPr>
        <sz val="10"/>
        <rFont val="FreeSans"/>
        <family val="2"/>
      </rPr>
      <t xml:space="preserve">لوله فسفر برنز     قطر بیرون </t>
    </r>
    <r>
      <rPr>
        <sz val="10"/>
        <rFont val="Vazirmatn"/>
        <family val="0"/>
        <charset val="1"/>
      </rPr>
      <t xml:space="preserve">160MM   </t>
    </r>
    <r>
      <rPr>
        <sz val="10"/>
        <rFont val="FreeSans"/>
        <family val="2"/>
      </rPr>
      <t xml:space="preserve">قطر داخل </t>
    </r>
    <r>
      <rPr>
        <sz val="10"/>
        <rFont val="Vazirmatn"/>
        <family val="0"/>
        <charset val="1"/>
      </rPr>
      <t xml:space="preserve">120MM</t>
    </r>
  </si>
  <si>
    <t xml:space="preserve">31276302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</si>
  <si>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40   " 3</t>
    </r>
  </si>
  <si>
    <t xml:space="preserve">31276308</t>
  </si>
  <si>
    <r>
      <rPr>
        <sz val="10"/>
        <rFont val="FreeSans"/>
        <family val="2"/>
      </rPr>
      <t xml:space="preserve">لوله گالوانیزه    </t>
    </r>
    <r>
      <rPr>
        <sz val="10"/>
        <rFont val="Vazirmatn"/>
        <family val="0"/>
        <charset val="1"/>
      </rPr>
      <t xml:space="preserve">" 1</t>
    </r>
  </si>
  <si>
    <t xml:space="preserve">31276315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</si>
  <si>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20  "1/4 1</t>
    </r>
  </si>
  <si>
    <t xml:space="preserve">31276327</t>
  </si>
  <si>
    <t xml:space="preserve">لوله روغن برنجی سپراتور تغلیظ قدیم</t>
  </si>
  <si>
    <t xml:space="preserve">31276328</t>
  </si>
  <si>
    <r>
      <rPr>
        <sz val="10"/>
        <rFont val="FreeSans"/>
        <family val="2"/>
      </rPr>
      <t xml:space="preserve">لوله آهنی گوشت دار قطر داخل </t>
    </r>
    <r>
      <rPr>
        <sz val="10"/>
        <rFont val="Vazirmatn"/>
        <family val="0"/>
        <charset val="1"/>
      </rPr>
      <t xml:space="preserve">133mm - </t>
    </r>
    <r>
      <rPr>
        <sz val="10"/>
        <rFont val="FreeSans"/>
        <family val="2"/>
      </rPr>
      <t xml:space="preserve">قطر خارج </t>
    </r>
    <r>
      <rPr>
        <sz val="10"/>
        <rFont val="Vazirmatn"/>
        <family val="0"/>
        <charset val="1"/>
      </rPr>
      <t xml:space="preserve">194mm</t>
    </r>
  </si>
  <si>
    <t xml:space="preserve">31276329</t>
  </si>
  <si>
    <r>
      <rPr>
        <sz val="10"/>
        <rFont val="FreeSans"/>
        <family val="2"/>
      </rPr>
      <t xml:space="preserve">لوله فسفر برنز قطربیرون </t>
    </r>
    <r>
      <rPr>
        <sz val="10"/>
        <rFont val="Vazirmatn"/>
        <family val="0"/>
        <charset val="1"/>
      </rPr>
      <t xml:space="preserve">105mm </t>
    </r>
    <r>
      <rPr>
        <sz val="10"/>
        <rFont val="FreeSans"/>
        <family val="2"/>
      </rPr>
      <t xml:space="preserve">قطرداخل </t>
    </r>
    <r>
      <rPr>
        <sz val="10"/>
        <rFont val="Vazirmatn"/>
        <family val="0"/>
        <charset val="1"/>
      </rPr>
      <t xml:space="preserve">40mm</t>
    </r>
  </si>
  <si>
    <t xml:space="preserve">31276330</t>
  </si>
  <si>
    <r>
      <rPr>
        <sz val="10"/>
        <rFont val="FreeSans"/>
        <family val="2"/>
      </rPr>
      <t xml:space="preserve">لوله آهنی داربست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" 1/2 1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2/5mm</t>
    </r>
  </si>
  <si>
    <t xml:space="preserve">31276332</t>
  </si>
  <si>
    <r>
      <rPr>
        <sz val="10"/>
        <rFont val="FreeSans"/>
        <family val="2"/>
      </rPr>
      <t xml:space="preserve">لوله فسفر برنز قطربزرگ </t>
    </r>
    <r>
      <rPr>
        <sz val="10"/>
        <rFont val="Vazirmatn"/>
        <family val="0"/>
        <charset val="1"/>
      </rPr>
      <t xml:space="preserve">55mm </t>
    </r>
    <r>
      <rPr>
        <sz val="10"/>
        <rFont val="FreeSans"/>
        <family val="2"/>
      </rPr>
      <t xml:space="preserve">قطرکوچک </t>
    </r>
    <r>
      <rPr>
        <sz val="10"/>
        <rFont val="Vazirmatn"/>
        <family val="0"/>
        <charset val="1"/>
      </rPr>
      <t xml:space="preserve">30mm</t>
    </r>
  </si>
  <si>
    <t xml:space="preserve">31276333</t>
  </si>
  <si>
    <r>
      <rPr>
        <sz val="10"/>
        <rFont val="FreeSans"/>
        <family val="2"/>
      </rPr>
      <t xml:space="preserve">لوله فسفر برنز قطربزرگ </t>
    </r>
    <r>
      <rPr>
        <sz val="10"/>
        <rFont val="Vazirmatn"/>
        <family val="0"/>
        <charset val="1"/>
      </rPr>
      <t xml:space="preserve">170mm </t>
    </r>
    <r>
      <rPr>
        <sz val="10"/>
        <rFont val="FreeSans"/>
        <family val="2"/>
      </rPr>
      <t xml:space="preserve">قطرکوچک </t>
    </r>
    <r>
      <rPr>
        <sz val="10"/>
        <rFont val="Vazirmatn"/>
        <family val="0"/>
        <charset val="1"/>
      </rPr>
      <t xml:space="preserve">145mm</t>
    </r>
  </si>
  <si>
    <t xml:space="preserve">31276334</t>
  </si>
  <si>
    <r>
      <rPr>
        <sz val="10"/>
        <rFont val="FreeSans"/>
        <family val="2"/>
      </rPr>
      <t xml:space="preserve">لوله فسفر برنز قطربزرگ </t>
    </r>
    <r>
      <rPr>
        <sz val="10"/>
        <rFont val="Vazirmatn"/>
        <family val="0"/>
        <charset val="1"/>
      </rPr>
      <t xml:space="preserve">80mm </t>
    </r>
    <r>
      <rPr>
        <sz val="10"/>
        <rFont val="FreeSans"/>
        <family val="2"/>
      </rPr>
      <t xml:space="preserve">قطرکوچک </t>
    </r>
    <r>
      <rPr>
        <sz val="10"/>
        <rFont val="Vazirmatn"/>
        <family val="0"/>
        <charset val="1"/>
      </rPr>
      <t xml:space="preserve">45mm</t>
    </r>
  </si>
  <si>
    <t xml:space="preserve">31276335</t>
  </si>
  <si>
    <r>
      <rPr>
        <sz val="10"/>
        <rFont val="FreeSans"/>
        <family val="2"/>
      </rPr>
      <t xml:space="preserve">لاستیک ورودی  </t>
    </r>
    <r>
      <rPr>
        <sz val="10"/>
        <rFont val="Vazirmatn"/>
        <family val="0"/>
        <charset val="1"/>
      </rPr>
      <t xml:space="preserve">MTSc-83006-81</t>
    </r>
  </si>
  <si>
    <t xml:space="preserve">31276336</t>
  </si>
  <si>
    <r>
      <rPr>
        <sz val="10"/>
        <rFont val="FreeSans"/>
        <family val="2"/>
      </rPr>
      <t xml:space="preserve">لاستیک خروجی </t>
    </r>
    <r>
      <rPr>
        <sz val="10"/>
        <rFont val="Vazirmatn"/>
        <family val="0"/>
        <charset val="1"/>
      </rPr>
      <t xml:space="preserve">MTSC-83044-81</t>
    </r>
  </si>
  <si>
    <t xml:space="preserve">31276337</t>
  </si>
  <si>
    <r>
      <rPr>
        <sz val="10"/>
        <rFont val="FreeSans"/>
        <family val="2"/>
      </rPr>
      <t xml:space="preserve">لاستیک ورودی </t>
    </r>
    <r>
      <rPr>
        <sz val="10"/>
        <rFont val="Vazirmatn"/>
        <family val="0"/>
        <charset val="1"/>
      </rPr>
      <t xml:space="preserve">MTSC-83044</t>
    </r>
  </si>
  <si>
    <t xml:space="preserve">31276338</t>
  </si>
  <si>
    <r>
      <rPr>
        <sz val="10"/>
        <rFont val="FreeSans"/>
        <family val="2"/>
      </rPr>
      <t xml:space="preserve">لاستیک خروجی </t>
    </r>
    <r>
      <rPr>
        <sz val="10"/>
        <rFont val="Vazirmatn"/>
        <family val="0"/>
        <charset val="1"/>
      </rPr>
      <t xml:space="preserve">MTSC-A4014</t>
    </r>
  </si>
  <si>
    <t xml:space="preserve">31276340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</si>
  <si>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80  " 1/4 1</t>
    </r>
  </si>
  <si>
    <t xml:space="preserve">31276347</t>
  </si>
  <si>
    <r>
      <rPr>
        <sz val="10"/>
        <rFont val="FreeSans"/>
        <family val="2"/>
      </rPr>
      <t xml:space="preserve">لوله فسفر برنز قطربیرون </t>
    </r>
    <r>
      <rPr>
        <sz val="10"/>
        <rFont val="Vazirmatn"/>
        <family val="0"/>
        <charset val="1"/>
      </rPr>
      <t xml:space="preserve">65mm </t>
    </r>
    <r>
      <rPr>
        <sz val="10"/>
        <rFont val="FreeSans"/>
        <family val="2"/>
      </rPr>
      <t xml:space="preserve">قطرداخل </t>
    </r>
    <r>
      <rPr>
        <sz val="10"/>
        <rFont val="Vazirmatn"/>
        <family val="0"/>
        <charset val="1"/>
      </rPr>
      <t xml:space="preserve">55mm</t>
    </r>
  </si>
  <si>
    <t xml:space="preserve">31276352</t>
  </si>
  <si>
    <r>
      <rPr>
        <sz val="10"/>
        <rFont val="FreeSans"/>
        <family val="2"/>
      </rPr>
      <t xml:space="preserve">لوله برنجی روغن سپراتور</t>
    </r>
    <r>
      <rPr>
        <sz val="10"/>
        <rFont val="Vazirmatn"/>
        <family val="0"/>
        <charset val="1"/>
      </rPr>
      <t xml:space="preserve">0</t>
    </r>
  </si>
  <si>
    <t xml:space="preserve">31276353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</si>
  <si>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20   " 3/4</t>
    </r>
  </si>
  <si>
    <t xml:space="preserve">31276355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</si>
  <si>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20   " 1/4 1</t>
    </r>
  </si>
  <si>
    <t xml:space="preserve">31276364</t>
  </si>
  <si>
    <r>
      <rPr>
        <sz val="10"/>
        <rFont val="FreeSans"/>
        <family val="2"/>
      </rPr>
      <t xml:space="preserve">لوله آهنی مانیسمان رده </t>
    </r>
    <r>
      <rPr>
        <sz val="10"/>
        <rFont val="Vazirmatn"/>
        <family val="0"/>
        <charset val="1"/>
      </rPr>
      <t xml:space="preserve">80  " 2</t>
    </r>
  </si>
  <si>
    <t xml:space="preserve">31276367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</si>
  <si>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20   "2</t>
    </r>
  </si>
  <si>
    <t xml:space="preserve">31276369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</si>
  <si>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"3</t>
    </r>
  </si>
  <si>
    <t xml:space="preserve">31276370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</si>
  <si>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"1</t>
    </r>
  </si>
  <si>
    <t xml:space="preserve">31276372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</si>
  <si>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80   "3</t>
    </r>
  </si>
  <si>
    <t xml:space="preserve">31276377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</si>
  <si>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مانیسمان رده </t>
    </r>
    <r>
      <rPr>
        <sz val="10"/>
        <rFont val="Vazirmatn"/>
        <family val="0"/>
        <charset val="1"/>
      </rPr>
      <t xml:space="preserve">40   "2</t>
    </r>
  </si>
  <si>
    <t xml:space="preserve">31276380</t>
  </si>
  <si>
    <t xml:space="preserve">لوله مخصوص روغن آسیاب ایمپکت</t>
  </si>
  <si>
    <t xml:space="preserve">31276382</t>
  </si>
  <si>
    <r>
      <rPr>
        <sz val="10"/>
        <rFont val="FreeSans"/>
        <family val="2"/>
      </rPr>
      <t xml:space="preserve">لوله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قطر داخل </t>
    </r>
    <r>
      <rPr>
        <sz val="10"/>
        <rFont val="Vazirmatn"/>
        <family val="0"/>
        <charset val="1"/>
      </rPr>
      <t xml:space="preserve">75mm </t>
    </r>
    <r>
      <rPr>
        <sz val="10"/>
        <rFont val="FreeSans"/>
        <family val="2"/>
      </rPr>
      <t xml:space="preserve">به پایین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قطر خارج </t>
    </r>
    <r>
      <rPr>
        <sz val="10"/>
        <rFont val="Vazirmatn"/>
        <family val="0"/>
        <charset val="1"/>
      </rPr>
      <t xml:space="preserve">98mm </t>
    </r>
    <r>
      <rPr>
        <sz val="10"/>
        <rFont val="FreeSans"/>
        <family val="2"/>
      </rPr>
      <t xml:space="preserve">به بالا</t>
    </r>
  </si>
  <si>
    <t xml:space="preserve">31276385</t>
  </si>
  <si>
    <r>
      <rPr>
        <sz val="10"/>
        <rFont val="FreeSans"/>
        <family val="2"/>
      </rPr>
      <t xml:space="preserve">لوله رابط کوپلینگ دکانتور  </t>
    </r>
    <r>
      <rPr>
        <sz val="10"/>
        <rFont val="Vazirmatn"/>
        <family val="0"/>
        <charset val="1"/>
      </rPr>
      <t xml:space="preserve">020 - 3448 - 8655</t>
    </r>
  </si>
  <si>
    <t xml:space="preserve">31276386</t>
  </si>
  <si>
    <t xml:space="preserve">لوله گریس پمپ معمولی</t>
  </si>
  <si>
    <t xml:space="preserve">31276388</t>
  </si>
  <si>
    <r>
      <rPr>
        <sz val="10"/>
        <rFont val="FreeSans"/>
        <family val="2"/>
      </rPr>
      <t xml:space="preserve">لوله آهنی درزدار رده </t>
    </r>
    <r>
      <rPr>
        <sz val="10"/>
        <rFont val="Vazirmatn"/>
        <family val="0"/>
        <charset val="1"/>
      </rPr>
      <t xml:space="preserve">10  " 6</t>
    </r>
  </si>
  <si>
    <t xml:space="preserve">31276392</t>
  </si>
  <si>
    <r>
      <rPr>
        <sz val="10"/>
        <rFont val="FreeSans"/>
        <family val="2"/>
      </rPr>
      <t xml:space="preserve">لوله پلیکا  </t>
    </r>
    <r>
      <rPr>
        <sz val="10"/>
        <rFont val="Vazirmatn"/>
        <family val="0"/>
        <charset val="1"/>
      </rPr>
      <t xml:space="preserve">25</t>
    </r>
  </si>
  <si>
    <t xml:space="preserve">31276393</t>
  </si>
  <si>
    <r>
      <rPr>
        <sz val="10"/>
        <rFont val="FreeSans"/>
        <family val="2"/>
      </rPr>
      <t xml:space="preserve">لوله بخاری گالوانیزه </t>
    </r>
    <r>
      <rPr>
        <sz val="10"/>
        <rFont val="Vazirmatn"/>
        <family val="0"/>
        <charset val="1"/>
      </rPr>
      <t xml:space="preserve">15</t>
    </r>
  </si>
  <si>
    <t xml:space="preserve">31276394</t>
  </si>
  <si>
    <r>
      <rPr>
        <sz val="10"/>
        <rFont val="FreeSans"/>
        <family val="2"/>
      </rPr>
      <t xml:space="preserve">لوله داربست </t>
    </r>
    <r>
      <rPr>
        <sz val="10"/>
        <rFont val="Vazirmatn"/>
        <family val="0"/>
        <charset val="1"/>
      </rPr>
      <t xml:space="preserve">" 1/2 1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3mm</t>
    </r>
  </si>
  <si>
    <t xml:space="preserve">31276395</t>
  </si>
  <si>
    <r>
      <rPr>
        <sz val="10"/>
        <rFont val="FreeSans"/>
        <family val="2"/>
      </rPr>
      <t xml:space="preserve">لوله فسفر برنز داخل </t>
    </r>
    <r>
      <rPr>
        <sz val="10"/>
        <rFont val="Vazirmatn"/>
        <family val="0"/>
        <charset val="1"/>
      </rPr>
      <t xml:space="preserve">115mm </t>
    </r>
    <r>
      <rPr>
        <sz val="10"/>
        <rFont val="FreeSans"/>
        <family val="2"/>
      </rPr>
      <t xml:space="preserve">سوراخ </t>
    </r>
    <r>
      <rPr>
        <sz val="10"/>
        <rFont val="Vazirmatn"/>
        <family val="0"/>
        <charset val="1"/>
      </rPr>
      <t xml:space="preserve">85mm</t>
    </r>
  </si>
  <si>
    <t xml:space="preserve">31276397</t>
  </si>
  <si>
    <t xml:space="preserve">تله آبگیر اطلس</t>
  </si>
  <si>
    <t xml:space="preserve">31276398</t>
  </si>
  <si>
    <r>
      <rPr>
        <sz val="10"/>
        <rFont val="FreeSans"/>
        <family val="2"/>
      </rPr>
      <t xml:space="preserve">لوله </t>
    </r>
    <r>
      <rPr>
        <sz val="10"/>
        <rFont val="Vazirmatn"/>
        <family val="0"/>
        <charset val="1"/>
      </rPr>
      <t xml:space="preserve">PTFE </t>
    </r>
    <r>
      <rPr>
        <sz val="10"/>
        <rFont val="FreeSans"/>
        <family val="2"/>
      </rPr>
      <t xml:space="preserve">کربن گرافیت آلمانی قطر بیرون </t>
    </r>
    <r>
      <rPr>
        <sz val="10"/>
        <rFont val="Vazirmatn"/>
        <family val="0"/>
        <charset val="1"/>
      </rPr>
      <t xml:space="preserve">140mm - </t>
    </r>
    <r>
      <rPr>
        <sz val="10"/>
        <rFont val="FreeSans"/>
        <family val="2"/>
      </rPr>
      <t xml:space="preserve">قطر داخل </t>
    </r>
    <r>
      <rPr>
        <sz val="10"/>
        <rFont val="Vazirmatn"/>
        <family val="0"/>
        <charset val="1"/>
      </rPr>
      <t xml:space="preserve">70mm ( </t>
    </r>
    <r>
      <rPr>
        <sz val="10"/>
        <rFont val="FreeSans"/>
        <family val="2"/>
      </rPr>
      <t xml:space="preserve">درصد کربن </t>
    </r>
    <r>
      <rPr>
        <sz val="10"/>
        <rFont val="Vazirmatn"/>
        <family val="0"/>
        <charset val="1"/>
      </rPr>
      <t xml:space="preserve">25% </t>
    </r>
    <r>
      <rPr>
        <sz val="10"/>
        <rFont val="FreeSans"/>
        <family val="2"/>
      </rPr>
      <t xml:space="preserve">الی </t>
    </r>
    <r>
      <rPr>
        <sz val="10"/>
        <rFont val="Vazirmatn"/>
        <family val="0"/>
        <charset val="1"/>
      </rPr>
      <t xml:space="preserve">30% )</t>
    </r>
  </si>
  <si>
    <t xml:space="preserve">31276399</t>
  </si>
  <si>
    <r>
      <rPr>
        <sz val="10"/>
        <rFont val="FreeSans"/>
        <family val="2"/>
      </rPr>
      <t xml:space="preserve">لوله رابط استیل </t>
    </r>
    <r>
      <rPr>
        <sz val="10"/>
        <rFont val="Vazirmatn"/>
        <family val="0"/>
        <charset val="1"/>
      </rPr>
      <t xml:space="preserve">" 1/2 2</t>
    </r>
  </si>
  <si>
    <t xml:space="preserve">31276400</t>
  </si>
  <si>
    <r>
      <rPr>
        <sz val="10"/>
        <rFont val="FreeSans"/>
        <family val="2"/>
      </rPr>
      <t xml:space="preserve">لوله خرطومی آلومینیومی هوا </t>
    </r>
    <r>
      <rPr>
        <sz val="10"/>
        <rFont val="Vazirmatn"/>
        <family val="0"/>
        <charset val="1"/>
      </rPr>
      <t xml:space="preserve">20Cm</t>
    </r>
  </si>
  <si>
    <t xml:space="preserve">31276402</t>
  </si>
  <si>
    <r>
      <rPr>
        <sz val="10"/>
        <rFont val="FreeSans"/>
        <family val="2"/>
      </rPr>
      <t xml:space="preserve">استیم تراپ فلنجدار </t>
    </r>
    <r>
      <rPr>
        <sz val="10"/>
        <rFont val="Vazirmatn"/>
        <family val="0"/>
        <charset val="1"/>
      </rPr>
      <t xml:space="preserve">" 3/4</t>
    </r>
  </si>
  <si>
    <t xml:space="preserve">31276404</t>
  </si>
  <si>
    <r>
      <rPr>
        <sz val="10"/>
        <rFont val="FreeSans"/>
        <family val="2"/>
      </rPr>
      <t xml:space="preserve">باکدتراپ هوا هفت تیری          </t>
    </r>
    <r>
      <rPr>
        <sz val="10"/>
        <rFont val="Vazirmatn"/>
        <family val="0"/>
        <charset val="1"/>
      </rPr>
      <t xml:space="preserve">1/2</t>
    </r>
  </si>
  <si>
    <t xml:space="preserve">31276405</t>
  </si>
  <si>
    <r>
      <rPr>
        <sz val="10"/>
        <rFont val="FreeSans"/>
        <family val="2"/>
      </rPr>
      <t xml:space="preserve">استیم تراپ  فلنج دار </t>
    </r>
    <r>
      <rPr>
        <sz val="10"/>
        <rFont val="Vazirmatn"/>
        <family val="0"/>
        <charset val="1"/>
      </rPr>
      <t xml:space="preserve">" 1</t>
    </r>
  </si>
  <si>
    <t xml:space="preserve">31276407</t>
  </si>
  <si>
    <r>
      <rPr>
        <sz val="10"/>
        <rFont val="FreeSans"/>
        <family val="2"/>
      </rPr>
      <t xml:space="preserve">استیم تراپ سارکو   </t>
    </r>
    <r>
      <rPr>
        <sz val="10"/>
        <rFont val="Vazirmatn"/>
        <family val="0"/>
        <charset val="1"/>
      </rPr>
      <t xml:space="preserve">" 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</si>
  <si>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31276409</t>
  </si>
  <si>
    <r>
      <rPr>
        <sz val="10"/>
        <rFont val="FreeSans"/>
        <family val="2"/>
      </rPr>
      <t xml:space="preserve">استیم تراپ دو سر رزوه </t>
    </r>
    <r>
      <rPr>
        <sz val="10"/>
        <rFont val="Vazirmatn"/>
        <family val="0"/>
        <charset val="1"/>
      </rPr>
      <t xml:space="preserve">" 2</t>
    </r>
  </si>
  <si>
    <t xml:space="preserve">31276410</t>
  </si>
  <si>
    <r>
      <rPr>
        <sz val="10"/>
        <rFont val="FreeSans"/>
        <family val="2"/>
      </rPr>
      <t xml:space="preserve">استیم تراپ فلنجدار</t>
    </r>
    <r>
      <rPr>
        <sz val="10"/>
        <rFont val="Vazirmatn"/>
        <family val="0"/>
        <charset val="1"/>
      </rPr>
      <t xml:space="preserve">1/2</t>
    </r>
  </si>
  <si>
    <t xml:space="preserve">31276412</t>
  </si>
  <si>
    <r>
      <rPr>
        <sz val="10"/>
        <rFont val="FreeSans"/>
        <family val="2"/>
      </rPr>
      <t xml:space="preserve">استیم تراپ   </t>
    </r>
    <r>
      <rPr>
        <sz val="10"/>
        <rFont val="Vazirmatn"/>
        <family val="0"/>
        <charset val="1"/>
      </rPr>
      <t xml:space="preserve">" 1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1/2</t>
    </r>
  </si>
  <si>
    <t xml:space="preserve">31276413</t>
  </si>
  <si>
    <r>
      <rPr>
        <sz val="10"/>
        <rFont val="FreeSans"/>
        <family val="2"/>
      </rPr>
      <t xml:space="preserve">استیم تراپ فلنجدار               </t>
    </r>
    <r>
      <rPr>
        <sz val="10"/>
        <rFont val="Vazirmatn"/>
        <family val="0"/>
        <charset val="1"/>
      </rPr>
      <t xml:space="preserve">"1</t>
    </r>
  </si>
  <si>
    <t xml:space="preserve">31276416</t>
  </si>
  <si>
    <r>
      <rPr>
        <sz val="10"/>
        <rFont val="FreeSans"/>
        <family val="2"/>
      </rPr>
      <t xml:space="preserve">استیم تراپ فلوتر دار فلنج دار  </t>
    </r>
    <r>
      <rPr>
        <sz val="10"/>
        <rFont val="Vazirmatn"/>
        <family val="0"/>
        <charset val="1"/>
      </rPr>
      <t xml:space="preserve">" 1/4 1</t>
    </r>
  </si>
  <si>
    <t xml:space="preserve">31276423</t>
  </si>
  <si>
    <r>
      <rPr>
        <sz val="10"/>
        <rFont val="FreeSans"/>
        <family val="2"/>
      </rPr>
      <t xml:space="preserve">تراپ بخار خشکن  </t>
    </r>
    <r>
      <rPr>
        <sz val="10"/>
        <rFont val="Vazirmatn"/>
        <family val="0"/>
        <charset val="1"/>
      </rPr>
      <t xml:space="preserve">DN50 PN16 UNA 45H</t>
    </r>
  </si>
  <si>
    <t xml:space="preserve">31276424</t>
  </si>
  <si>
    <r>
      <rPr>
        <sz val="10"/>
        <rFont val="FreeSans"/>
        <family val="2"/>
      </rPr>
      <t xml:space="preserve">تراپ بخار خشکن  </t>
    </r>
    <r>
      <rPr>
        <sz val="10"/>
        <rFont val="Vazirmatn"/>
        <family val="0"/>
        <charset val="1"/>
      </rPr>
      <t xml:space="preserve">DN25 PN40 UNA 45H</t>
    </r>
  </si>
  <si>
    <t xml:space="preserve">31276425</t>
  </si>
  <si>
    <r>
      <rPr>
        <sz val="10"/>
        <rFont val="FreeSans"/>
        <family val="2"/>
      </rPr>
      <t xml:space="preserve">تراپ بخار خشکن  </t>
    </r>
    <r>
      <rPr>
        <sz val="10"/>
        <rFont val="Vazirmatn"/>
        <family val="0"/>
        <charset val="1"/>
      </rPr>
      <t xml:space="preserve">DN40 PN16 UNA 45H</t>
    </r>
  </si>
  <si>
    <t xml:space="preserve">31276426</t>
  </si>
  <si>
    <r>
      <rPr>
        <sz val="10"/>
        <rFont val="FreeSans"/>
        <family val="2"/>
      </rPr>
      <t xml:space="preserve">تله بخار صافی دار ترمودینامیکی دنده ای </t>
    </r>
    <r>
      <rPr>
        <sz val="10"/>
        <rFont val="Vazirmatn"/>
        <family val="0"/>
        <charset val="1"/>
      </rPr>
      <t xml:space="preserve">"3/4</t>
    </r>
  </si>
  <si>
    <t xml:space="preserve">31276427</t>
  </si>
  <si>
    <r>
      <rPr>
        <sz val="10"/>
        <rFont val="FreeSans"/>
        <family val="2"/>
      </rPr>
      <t xml:space="preserve">تله بخار اسپیراکس </t>
    </r>
    <r>
      <rPr>
        <sz val="10"/>
        <rFont val="Vazirmatn"/>
        <family val="0"/>
        <charset val="1"/>
      </rPr>
      <t xml:space="preserve">" 2 </t>
    </r>
    <r>
      <rPr>
        <sz val="10"/>
        <rFont val="FreeSans"/>
        <family val="2"/>
      </rPr>
      <t xml:space="preserve">رزوه ای </t>
    </r>
    <r>
      <rPr>
        <sz val="10"/>
        <rFont val="Vazirmatn"/>
        <family val="0"/>
        <charset val="1"/>
      </rPr>
      <t xml:space="preserve">220 </t>
    </r>
    <r>
      <rPr>
        <sz val="10"/>
        <rFont val="FreeSans"/>
        <family val="2"/>
      </rPr>
      <t xml:space="preserve">درجه سانتی گراد </t>
    </r>
    <r>
      <rPr>
        <sz val="10"/>
        <rFont val="Vazirmatn"/>
        <family val="0"/>
        <charset val="1"/>
      </rPr>
      <t xml:space="preserve">16</t>
    </r>
    <r>
      <rPr>
        <sz val="10"/>
        <rFont val="FreeSans"/>
        <family val="2"/>
      </rPr>
      <t xml:space="preserve">بار </t>
    </r>
    <r>
      <rPr>
        <sz val="10"/>
        <rFont val="Vazirmatn"/>
        <family val="0"/>
        <charset val="1"/>
      </rPr>
      <t xml:space="preserve">PM0 = 4/5bar ^PMAX=4/5bar FT 10</t>
    </r>
  </si>
  <si>
    <t xml:space="preserve">31276428</t>
  </si>
  <si>
    <r>
      <rPr>
        <sz val="10"/>
        <rFont val="FreeSans"/>
        <family val="2"/>
      </rPr>
      <t xml:space="preserve">تراپ بخار دینامیکی دنده ای </t>
    </r>
    <r>
      <rPr>
        <sz val="10"/>
        <rFont val="Vazirmatn"/>
        <family val="0"/>
        <charset val="1"/>
      </rPr>
      <t xml:space="preserve">" 3/4</t>
    </r>
  </si>
  <si>
    <t xml:space="preserve">31276429</t>
  </si>
  <si>
    <r>
      <rPr>
        <sz val="10"/>
        <rFont val="FreeSans"/>
        <family val="2"/>
      </rPr>
      <t xml:space="preserve">تراپ بخار دینامیکی دنده ای </t>
    </r>
    <r>
      <rPr>
        <sz val="10"/>
        <rFont val="Vazirmatn"/>
        <family val="0"/>
        <charset val="1"/>
      </rPr>
      <t xml:space="preserve">" 1/2</t>
    </r>
  </si>
  <si>
    <t xml:space="preserve">31276430</t>
  </si>
  <si>
    <r>
      <rPr>
        <sz val="10"/>
        <rFont val="FreeSans"/>
        <family val="2"/>
      </rPr>
      <t xml:space="preserve">تراپ بای متالیک دنده ای آدکا </t>
    </r>
    <r>
      <rPr>
        <sz val="10"/>
        <rFont val="Vazirmatn"/>
        <family val="0"/>
        <charset val="1"/>
      </rPr>
      <t xml:space="preserve">" PN16 BM 20 R ) 3/4 )</t>
    </r>
  </si>
  <si>
    <t xml:space="preserve">31276431</t>
  </si>
  <si>
    <r>
      <rPr>
        <sz val="10"/>
        <rFont val="FreeSans"/>
        <family val="2"/>
      </rPr>
      <t xml:space="preserve">تراپ فلوتردار فلنجدار آدکا </t>
    </r>
    <r>
      <rPr>
        <sz val="10"/>
        <rFont val="Vazirmatn"/>
        <family val="0"/>
        <charset val="1"/>
      </rPr>
      <t xml:space="preserve">" PN16 FLT 27 ) 1 1/2 )</t>
    </r>
  </si>
  <si>
    <t xml:space="preserve">31276432</t>
  </si>
  <si>
    <r>
      <rPr>
        <sz val="10"/>
        <rFont val="FreeSans"/>
        <family val="2"/>
      </rPr>
      <t xml:space="preserve">استیم تراپ فلوتر دار فلنج دار  </t>
    </r>
    <r>
      <rPr>
        <sz val="10"/>
        <rFont val="Vazirmatn"/>
        <family val="0"/>
        <charset val="1"/>
      </rPr>
      <t xml:space="preserve">" 1/2 ( 200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- PN 16 )</t>
    </r>
  </si>
  <si>
    <t xml:space="preserve">31276433</t>
  </si>
  <si>
    <r>
      <rPr>
        <sz val="10"/>
        <rFont val="FreeSans"/>
        <family val="2"/>
      </rPr>
      <t xml:space="preserve">استیم تراپ فلوتر دار فلنج دار  </t>
    </r>
    <r>
      <rPr>
        <sz val="10"/>
        <rFont val="Vazirmatn"/>
        <family val="0"/>
        <charset val="1"/>
      </rPr>
      <t xml:space="preserve">" 3/4 ( 200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- PN 16 )</t>
    </r>
  </si>
  <si>
    <t xml:space="preserve">31276434</t>
  </si>
  <si>
    <r>
      <rPr>
        <sz val="10"/>
        <rFont val="FreeSans"/>
        <family val="2"/>
      </rPr>
      <t xml:space="preserve">استیم تراپ فلوتر دار فلنج دار  </t>
    </r>
    <r>
      <rPr>
        <sz val="10"/>
        <rFont val="Vazirmatn"/>
        <family val="0"/>
        <charset val="1"/>
      </rPr>
      <t xml:space="preserve">" 1 ( 220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- PN 16 )</t>
    </r>
  </si>
  <si>
    <t xml:space="preserve">31276435</t>
  </si>
  <si>
    <r>
      <rPr>
        <sz val="10"/>
        <rFont val="FreeSans"/>
        <family val="2"/>
      </rPr>
      <t xml:space="preserve">استیم تراپ فلوتر دار رزوه ای  </t>
    </r>
    <r>
      <rPr>
        <sz val="10"/>
        <rFont val="Vazirmatn"/>
        <family val="0"/>
        <charset val="1"/>
      </rPr>
      <t xml:space="preserve">" 3/4 ( 200 </t>
    </r>
    <r>
      <rPr>
        <sz val="10"/>
        <rFont val="FreeSans"/>
        <family val="2"/>
      </rPr>
      <t xml:space="preserve">درجه </t>
    </r>
    <r>
      <rPr>
        <sz val="10"/>
        <rFont val="Vazirmatn"/>
        <family val="0"/>
        <charset val="1"/>
      </rPr>
      <t xml:space="preserve">- PN 16 )</t>
    </r>
  </si>
  <si>
    <t xml:space="preserve">31276503</t>
  </si>
  <si>
    <r>
      <rPr>
        <sz val="10"/>
        <rFont val="FreeSans"/>
        <family val="2"/>
      </rPr>
      <t xml:space="preserve">لرزه گیر آکاردئونی استیل   </t>
    </r>
    <r>
      <rPr>
        <sz val="10"/>
        <rFont val="Vazirmatn"/>
        <family val="0"/>
        <charset val="1"/>
      </rPr>
      <t xml:space="preserve">"3</t>
    </r>
  </si>
  <si>
    <t xml:space="preserve">31276504</t>
  </si>
  <si>
    <r>
      <rPr>
        <sz val="10"/>
        <rFont val="FreeSans"/>
        <family val="2"/>
      </rPr>
      <t xml:space="preserve">لرزه گیر آکاردئونی       </t>
    </r>
    <r>
      <rPr>
        <sz val="10"/>
        <rFont val="Vazirmatn"/>
        <family val="0"/>
        <charset val="1"/>
      </rPr>
      <t xml:space="preserve">" 2</t>
    </r>
  </si>
  <si>
    <t xml:space="preserve">31276510</t>
  </si>
  <si>
    <r>
      <rPr>
        <sz val="10"/>
        <rFont val="FreeSans"/>
        <family val="2"/>
      </rPr>
      <t xml:space="preserve">لرزه گیر  آکاردئونی آهنی فلنجدار </t>
    </r>
    <r>
      <rPr>
        <sz val="10"/>
        <rFont val="Vazirmatn"/>
        <family val="0"/>
        <charset val="1"/>
      </rPr>
      <t xml:space="preserve">" 5</t>
    </r>
  </si>
  <si>
    <t xml:space="preserve">31276515</t>
  </si>
  <si>
    <r>
      <rPr>
        <sz val="10"/>
        <rFont val="FreeSans"/>
        <family val="2"/>
      </rPr>
      <t xml:space="preserve">لرزه گیر آکاردئونی استیل  </t>
    </r>
    <r>
      <rPr>
        <sz val="10"/>
        <rFont val="Vazirmatn"/>
        <family val="0"/>
        <charset val="1"/>
      </rPr>
      <t xml:space="preserve">"12</t>
    </r>
  </si>
  <si>
    <t xml:space="preserve">31276516</t>
  </si>
  <si>
    <r>
      <rPr>
        <sz val="10"/>
        <rFont val="FreeSans"/>
        <family val="2"/>
      </rPr>
      <t xml:space="preserve">لرزه گیر آکاردئونی  استیل </t>
    </r>
    <r>
      <rPr>
        <sz val="10"/>
        <rFont val="Vazirmatn"/>
        <family val="0"/>
        <charset val="1"/>
      </rPr>
      <t xml:space="preserve">21/2</t>
    </r>
  </si>
  <si>
    <t xml:space="preserve">31276520</t>
  </si>
  <si>
    <r>
      <rPr>
        <sz val="10"/>
        <rFont val="FreeSans"/>
        <family val="2"/>
      </rPr>
      <t xml:space="preserve">لرزه گیر حصیری استیل دو سر فلنج گردان  کلاس </t>
    </r>
    <r>
      <rPr>
        <sz val="10"/>
        <rFont val="Vazirmatn"/>
        <family val="0"/>
        <charset val="1"/>
      </rPr>
      <t xml:space="preserve">150    " 2</t>
    </r>
  </si>
  <si>
    <t xml:space="preserve">31276521</t>
  </si>
  <si>
    <r>
      <rPr>
        <sz val="10"/>
        <rFont val="FreeSans"/>
        <family val="2"/>
      </rPr>
      <t xml:space="preserve">لرزه گیرلاستیکی فلنجدار     </t>
    </r>
    <r>
      <rPr>
        <sz val="10"/>
        <rFont val="Vazirmatn"/>
        <family val="0"/>
        <charset val="1"/>
      </rPr>
      <t xml:space="preserve">" 8</t>
    </r>
  </si>
  <si>
    <t xml:space="preserve">31276522</t>
  </si>
  <si>
    <r>
      <rPr>
        <sz val="10"/>
        <rFont val="FreeSans"/>
        <family val="2"/>
      </rPr>
      <t xml:space="preserve">لرزه گیر حصیری استیل   </t>
    </r>
    <r>
      <rPr>
        <sz val="10"/>
        <rFont val="Vazirmatn"/>
        <family val="0"/>
        <charset val="1"/>
      </rPr>
      <t xml:space="preserve">" 3</t>
    </r>
  </si>
  <si>
    <t xml:space="preserve">31276527</t>
  </si>
  <si>
    <r>
      <rPr>
        <sz val="10"/>
        <rFont val="FreeSans"/>
        <family val="2"/>
      </rPr>
      <t xml:space="preserve">لرزه گیرلاستیکی فلنجدار     </t>
    </r>
    <r>
      <rPr>
        <sz val="10"/>
        <rFont val="Vazirmatn"/>
        <family val="0"/>
        <charset val="1"/>
      </rPr>
      <t xml:space="preserve">1"</t>
    </r>
  </si>
  <si>
    <t xml:space="preserve">31276543</t>
  </si>
  <si>
    <r>
      <rPr>
        <sz val="10"/>
        <rFont val="FreeSans"/>
        <family val="2"/>
      </rPr>
      <t xml:space="preserve">پلیت لغزنده جت کوکر   </t>
    </r>
    <r>
      <rPr>
        <sz val="10"/>
        <rFont val="Vazirmatn"/>
        <family val="0"/>
        <charset val="1"/>
      </rPr>
      <t xml:space="preserve">8/20 - HWA</t>
    </r>
  </si>
  <si>
    <t xml:space="preserve">31276549</t>
  </si>
  <si>
    <r>
      <rPr>
        <sz val="10"/>
        <rFont val="FreeSans"/>
        <family val="2"/>
      </rPr>
      <t xml:space="preserve">لرزه گیر  لاستیکی       سوراخ داخل </t>
    </r>
    <r>
      <rPr>
        <sz val="10"/>
        <rFont val="Vazirmatn"/>
        <family val="0"/>
        <charset val="1"/>
      </rPr>
      <t xml:space="preserve">33mm  </t>
    </r>
    <r>
      <rPr>
        <sz val="10"/>
        <rFont val="FreeSans"/>
        <family val="2"/>
      </rPr>
      <t xml:space="preserve">قطر بیرون </t>
    </r>
    <r>
      <rPr>
        <sz val="10"/>
        <rFont val="Vazirmatn"/>
        <family val="0"/>
        <charset val="1"/>
      </rPr>
      <t xml:space="preserve">77mm  </t>
    </r>
    <r>
      <rPr>
        <sz val="10"/>
        <rFont val="FreeSans"/>
        <family val="2"/>
      </rPr>
      <t xml:space="preserve">ارتفاع </t>
    </r>
    <r>
      <rPr>
        <sz val="10"/>
        <rFont val="Vazirmatn"/>
        <family val="0"/>
        <charset val="1"/>
      </rPr>
      <t xml:space="preserve">30mm</t>
    </r>
  </si>
  <si>
    <t xml:space="preserve">31276565</t>
  </si>
  <si>
    <r>
      <rPr>
        <sz val="10"/>
        <rFont val="FreeSans"/>
        <family val="2"/>
      </rPr>
      <t xml:space="preserve">لرزه گیر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دمپر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دکانتور  </t>
    </r>
    <r>
      <rPr>
        <sz val="10"/>
        <rFont val="Vazirmatn"/>
        <family val="0"/>
        <charset val="1"/>
      </rPr>
      <t xml:space="preserve">010 - 1780 - 8690</t>
    </r>
  </si>
  <si>
    <t xml:space="preserve">31276570</t>
  </si>
  <si>
    <r>
      <rPr>
        <sz val="10"/>
        <rFont val="FreeSans"/>
        <family val="2"/>
      </rPr>
      <t xml:space="preserve">آکاردئونی فلنج دار </t>
    </r>
    <r>
      <rPr>
        <sz val="10"/>
        <rFont val="Vazirmatn"/>
        <family val="0"/>
        <charset val="1"/>
      </rPr>
      <t xml:space="preserve">" 8 </t>
    </r>
    <r>
      <rPr>
        <sz val="10"/>
        <rFont val="FreeSans"/>
        <family val="2"/>
      </rPr>
      <t xml:space="preserve">با طول آکاردئونی </t>
    </r>
    <r>
      <rPr>
        <sz val="10"/>
        <rFont val="Vazirmatn"/>
        <family val="0"/>
        <charset val="1"/>
      </rPr>
      <t xml:space="preserve">35cm</t>
    </r>
  </si>
  <si>
    <t xml:space="preserve">31276571</t>
  </si>
  <si>
    <r>
      <rPr>
        <sz val="10"/>
        <rFont val="FreeSans"/>
        <family val="2"/>
      </rPr>
      <t xml:space="preserve">لاستیک فشرده ضخامت </t>
    </r>
    <r>
      <rPr>
        <sz val="10"/>
        <rFont val="Vazirmatn"/>
        <family val="0"/>
        <charset val="1"/>
      </rPr>
      <t xml:space="preserve">10mm </t>
    </r>
    <r>
      <rPr>
        <sz val="10"/>
        <rFont val="FreeSans"/>
        <family val="2"/>
      </rPr>
      <t xml:space="preserve">قطر بیرونی </t>
    </r>
    <r>
      <rPr>
        <sz val="10"/>
        <rFont val="Vazirmatn"/>
        <family val="0"/>
        <charset val="1"/>
      </rPr>
      <t xml:space="preserve">85mm </t>
    </r>
    <r>
      <rPr>
        <sz val="10"/>
        <rFont val="FreeSans"/>
        <family val="2"/>
      </rPr>
      <t xml:space="preserve">قطر داخلی </t>
    </r>
    <r>
      <rPr>
        <sz val="10"/>
        <rFont val="Vazirmatn"/>
        <family val="0"/>
        <charset val="1"/>
      </rPr>
      <t xml:space="preserve">45mm</t>
    </r>
  </si>
  <si>
    <t xml:space="preserve">31276572</t>
  </si>
  <si>
    <r>
      <rPr>
        <sz val="10"/>
        <rFont val="FreeSans"/>
        <family val="2"/>
      </rPr>
      <t xml:space="preserve">لرزه گیر لاستیکی دو سر رزوه </t>
    </r>
    <r>
      <rPr>
        <sz val="10"/>
        <rFont val="Vazirmatn"/>
        <family val="0"/>
        <charset val="1"/>
      </rPr>
      <t xml:space="preserve">M 10  </t>
    </r>
    <r>
      <rPr>
        <sz val="10"/>
        <rFont val="FreeSans"/>
        <family val="2"/>
      </rPr>
      <t xml:space="preserve">قطر لاستیک </t>
    </r>
    <r>
      <rPr>
        <sz val="10"/>
        <rFont val="Vazirmatn"/>
        <family val="0"/>
        <charset val="1"/>
      </rPr>
      <t xml:space="preserve">4Cm </t>
    </r>
    <r>
      <rPr>
        <sz val="10"/>
        <rFont val="FreeSans"/>
        <family val="2"/>
      </rPr>
      <t xml:space="preserve">طول لاستیک </t>
    </r>
    <r>
      <rPr>
        <sz val="10"/>
        <rFont val="Vazirmatn"/>
        <family val="0"/>
        <charset val="1"/>
      </rPr>
      <t xml:space="preserve">4Cm</t>
    </r>
  </si>
  <si>
    <t xml:space="preserve">31276573</t>
  </si>
  <si>
    <r>
      <rPr>
        <sz val="10"/>
        <rFont val="FreeSans"/>
        <family val="2"/>
      </rPr>
      <t xml:space="preserve">لرزه گیر آکاردئونی سردنده دو جداره استیل </t>
    </r>
    <r>
      <rPr>
        <sz val="10"/>
        <rFont val="Vazirmatn"/>
        <family val="0"/>
        <charset val="1"/>
      </rPr>
      <t xml:space="preserve">" 10bar) 1/2)</t>
    </r>
  </si>
  <si>
    <t xml:space="preserve">31276576</t>
  </si>
  <si>
    <r>
      <rPr>
        <sz val="10"/>
        <rFont val="FreeSans"/>
        <family val="2"/>
      </rPr>
      <t xml:space="preserve">لرزه گیر منبع  </t>
    </r>
    <r>
      <rPr>
        <sz val="10"/>
        <rFont val="Vazirmatn"/>
        <family val="0"/>
        <charset val="1"/>
      </rPr>
      <t xml:space="preserve">9430218</t>
    </r>
  </si>
  <si>
    <t xml:space="preserve">31276577</t>
  </si>
  <si>
    <r>
      <rPr>
        <sz val="10"/>
        <rFont val="FreeSans"/>
        <family val="2"/>
      </rPr>
      <t xml:space="preserve">لرزه گیر  آکاردئونی آهنی فلنجدار </t>
    </r>
    <r>
      <rPr>
        <sz val="10"/>
        <rFont val="Vazirmatn"/>
        <family val="0"/>
        <charset val="1"/>
      </rPr>
      <t xml:space="preserve">" 8</t>
    </r>
  </si>
  <si>
    <t xml:space="preserve">31277100</t>
  </si>
  <si>
    <r>
      <rPr>
        <sz val="10"/>
        <rFont val="FreeSans"/>
        <family val="2"/>
      </rPr>
      <t xml:space="preserve">میله آویز فنر </t>
    </r>
    <r>
      <rPr>
        <sz val="10"/>
        <rFont val="Vazirmatn"/>
        <family val="0"/>
        <charset val="1"/>
      </rPr>
      <t xml:space="preserve">( 50Cm )</t>
    </r>
  </si>
  <si>
    <t xml:space="preserve">31277115</t>
  </si>
  <si>
    <r>
      <rPr>
        <sz val="10"/>
        <rFont val="FreeSans"/>
        <family val="2"/>
      </rPr>
      <t xml:space="preserve">میله والو اصلی شیر فشارشکن بخار </t>
    </r>
    <r>
      <rPr>
        <sz val="10"/>
        <rFont val="Vazirmatn"/>
        <family val="0"/>
        <charset val="1"/>
      </rPr>
      <t xml:space="preserve">"3    DP 143</t>
    </r>
  </si>
  <si>
    <t xml:space="preserve">31277116</t>
  </si>
  <si>
    <t xml:space="preserve">میله فشار دهنده چرخ دوخت</t>
  </si>
  <si>
    <t xml:space="preserve">31277117</t>
  </si>
  <si>
    <t xml:space="preserve">میله سوزن چرخ دوخت</t>
  </si>
  <si>
    <t xml:space="preserve">31277118</t>
  </si>
  <si>
    <t xml:space="preserve">میلاب کپسول آتش نشانی پودری</t>
  </si>
  <si>
    <t xml:space="preserve">31277119</t>
  </si>
  <si>
    <r>
      <rPr>
        <sz val="10"/>
        <rFont val="FreeSans"/>
        <family val="2"/>
      </rPr>
      <t xml:space="preserve">میلاب کپسول پودری </t>
    </r>
    <r>
      <rPr>
        <sz val="10"/>
        <rFont val="Vazirmatn"/>
        <family val="0"/>
        <charset val="1"/>
      </rPr>
      <t xml:space="preserve">12Kg</t>
    </r>
  </si>
  <si>
    <t xml:space="preserve">31277120</t>
  </si>
  <si>
    <r>
      <rPr>
        <sz val="10"/>
        <rFont val="FreeSans"/>
        <family val="2"/>
      </rPr>
      <t xml:space="preserve">لوله میلوپ پودری </t>
    </r>
    <r>
      <rPr>
        <sz val="10"/>
        <rFont val="Vazirmatn"/>
        <family val="0"/>
        <charset val="1"/>
      </rPr>
      <t xml:space="preserve">50Kg</t>
    </r>
  </si>
  <si>
    <t xml:space="preserve">31277121</t>
  </si>
  <si>
    <r>
      <rPr>
        <sz val="10"/>
        <rFont val="FreeSans"/>
        <family val="2"/>
      </rPr>
      <t xml:space="preserve">میلاب کپسول پودری </t>
    </r>
    <r>
      <rPr>
        <sz val="10"/>
        <rFont val="Vazirmatn"/>
        <family val="0"/>
        <charset val="1"/>
      </rPr>
      <t xml:space="preserve">6Kg</t>
    </r>
  </si>
  <si>
    <t xml:space="preserve">31277163</t>
  </si>
  <si>
    <r>
      <rPr>
        <sz val="10"/>
        <rFont val="FreeSans"/>
        <family val="2"/>
      </rPr>
      <t xml:space="preserve">چرخ  چدنی گردان نمره  </t>
    </r>
    <r>
      <rPr>
        <sz val="10"/>
        <rFont val="Vazirmatn"/>
        <family val="0"/>
        <charset val="1"/>
      </rPr>
      <t xml:space="preserve">20</t>
    </r>
  </si>
  <si>
    <t xml:space="preserve">31277164</t>
  </si>
  <si>
    <r>
      <rPr>
        <sz val="10"/>
        <rFont val="FreeSans"/>
        <family val="2"/>
      </rPr>
      <t xml:space="preserve">لاستیک چرخ  </t>
    </r>
    <r>
      <rPr>
        <sz val="10"/>
        <rFont val="Vazirmatn"/>
        <family val="0"/>
        <charset val="1"/>
      </rPr>
      <t xml:space="preserve">15</t>
    </r>
  </si>
  <si>
    <t xml:space="preserve">31277165</t>
  </si>
  <si>
    <r>
      <rPr>
        <sz val="10"/>
        <rFont val="FreeSans"/>
        <family val="2"/>
      </rPr>
      <t xml:space="preserve">لاستیک چرخ  </t>
    </r>
    <r>
      <rPr>
        <sz val="10"/>
        <rFont val="Vazirmatn"/>
        <family val="0"/>
        <charset val="1"/>
      </rPr>
      <t xml:space="preserve">20</t>
    </r>
  </si>
  <si>
    <t xml:space="preserve">31277166</t>
  </si>
  <si>
    <r>
      <rPr>
        <sz val="10"/>
        <rFont val="FreeSans"/>
        <family val="2"/>
      </rPr>
      <t xml:space="preserve">چرخ لاستیکی ثابت نمره  </t>
    </r>
    <r>
      <rPr>
        <sz val="10"/>
        <rFont val="Vazirmatn"/>
        <family val="0"/>
        <charset val="1"/>
      </rPr>
      <t xml:space="preserve">15</t>
    </r>
  </si>
  <si>
    <t xml:space="preserve">31277167</t>
  </si>
  <si>
    <r>
      <rPr>
        <sz val="10"/>
        <rFont val="FreeSans"/>
        <family val="2"/>
      </rPr>
      <t xml:space="preserve">چرخ لاستیکی ثابت نمره </t>
    </r>
    <r>
      <rPr>
        <sz val="10"/>
        <rFont val="Vazirmatn"/>
        <family val="0"/>
        <charset val="1"/>
      </rPr>
      <t xml:space="preserve">20</t>
    </r>
  </si>
  <si>
    <t xml:space="preserve">31277170</t>
  </si>
  <si>
    <r>
      <rPr>
        <sz val="10"/>
        <rFont val="FreeSans"/>
        <family val="2"/>
      </rPr>
      <t xml:space="preserve">چرخ  لاستیکی گردان نمره </t>
    </r>
    <r>
      <rPr>
        <sz val="10"/>
        <rFont val="Vazirmatn"/>
        <family val="0"/>
        <charset val="1"/>
      </rPr>
      <t xml:space="preserve">16</t>
    </r>
  </si>
  <si>
    <t xml:space="preserve">31277171</t>
  </si>
  <si>
    <r>
      <rPr>
        <sz val="10"/>
        <rFont val="FreeSans"/>
        <family val="2"/>
      </rPr>
      <t xml:space="preserve">چرخ لاستیکی گردان  نمره </t>
    </r>
    <r>
      <rPr>
        <sz val="10"/>
        <rFont val="Vazirmatn"/>
        <family val="0"/>
        <charset val="1"/>
      </rPr>
      <t xml:space="preserve">20</t>
    </r>
  </si>
  <si>
    <t xml:space="preserve">31277174</t>
  </si>
  <si>
    <r>
      <rPr>
        <sz val="10"/>
        <rFont val="FreeSans"/>
        <family val="2"/>
      </rPr>
      <t xml:space="preserve">میله نگهدارنده دکانتور  </t>
    </r>
    <r>
      <rPr>
        <sz val="10"/>
        <rFont val="Vazirmatn"/>
        <family val="0"/>
        <charset val="1"/>
      </rPr>
      <t xml:space="preserve">000 - 6453 - 8417</t>
    </r>
  </si>
  <si>
    <t xml:space="preserve">31277177</t>
  </si>
  <si>
    <r>
      <rPr>
        <sz val="10"/>
        <rFont val="FreeSans"/>
        <family val="2"/>
      </rPr>
      <t xml:space="preserve">چرخ گردان چدنی بادی </t>
    </r>
    <r>
      <rPr>
        <sz val="10"/>
        <rFont val="Vazirmatn"/>
        <family val="0"/>
        <charset val="1"/>
      </rPr>
      <t xml:space="preserve">30</t>
    </r>
  </si>
  <si>
    <t xml:space="preserve">31277178</t>
  </si>
  <si>
    <r>
      <rPr>
        <sz val="10"/>
        <rFont val="FreeSans"/>
        <family val="2"/>
      </rPr>
      <t xml:space="preserve">چرخ ثابت چدنی بادی </t>
    </r>
    <r>
      <rPr>
        <sz val="10"/>
        <rFont val="Vazirmatn"/>
        <family val="0"/>
        <charset val="1"/>
      </rPr>
      <t xml:space="preserve">30</t>
    </r>
  </si>
  <si>
    <t xml:space="preserve">31277179</t>
  </si>
  <si>
    <r>
      <rPr>
        <sz val="10"/>
        <rFont val="FreeSans"/>
        <family val="2"/>
      </rPr>
      <t xml:space="preserve">چرخ  چدنی ثابت نمره  </t>
    </r>
    <r>
      <rPr>
        <sz val="10"/>
        <rFont val="Vazirmatn"/>
        <family val="0"/>
        <charset val="1"/>
      </rPr>
      <t xml:space="preserve">20</t>
    </r>
  </si>
  <si>
    <t xml:space="preserve">31277180</t>
  </si>
  <si>
    <r>
      <rPr>
        <sz val="10"/>
        <rFont val="FreeSans"/>
        <family val="2"/>
      </rPr>
      <t xml:space="preserve">چرخ جلو پلی اورتان    </t>
    </r>
    <r>
      <rPr>
        <sz val="10"/>
        <rFont val="Vazirmatn"/>
        <family val="0"/>
        <charset val="1"/>
      </rPr>
      <t xml:space="preserve">q=80    xl70mm</t>
    </r>
  </si>
  <si>
    <t xml:space="preserve">31277181</t>
  </si>
  <si>
    <r>
      <rPr>
        <sz val="10"/>
        <rFont val="FreeSans"/>
        <family val="2"/>
      </rPr>
      <t xml:space="preserve">چرخ فرمان جک پالت قطر خارج چرخ </t>
    </r>
    <r>
      <rPr>
        <sz val="10"/>
        <rFont val="Vazirmatn"/>
        <family val="0"/>
        <charset val="1"/>
      </rPr>
      <t xml:space="preserve">200mm - </t>
    </r>
    <r>
      <rPr>
        <sz val="10"/>
        <rFont val="FreeSans"/>
        <family val="2"/>
      </rPr>
      <t xml:space="preserve">عرض چرخ </t>
    </r>
    <r>
      <rPr>
        <sz val="10"/>
        <rFont val="Vazirmatn"/>
        <family val="0"/>
        <charset val="1"/>
      </rPr>
      <t xml:space="preserve">50mm - </t>
    </r>
    <r>
      <rPr>
        <sz val="10"/>
        <rFont val="FreeSans"/>
        <family val="2"/>
      </rPr>
      <t xml:space="preserve">قطر سوراخ </t>
    </r>
    <r>
      <rPr>
        <sz val="10"/>
        <rFont val="Vazirmatn"/>
        <family val="0"/>
        <charset val="1"/>
      </rPr>
      <t xml:space="preserve">47mm</t>
    </r>
  </si>
  <si>
    <t xml:space="preserve">31277182</t>
  </si>
  <si>
    <r>
      <rPr>
        <sz val="10"/>
        <rFont val="FreeSans"/>
        <family val="2"/>
      </rPr>
      <t xml:space="preserve">چرخ کپسول آتش نشانی پودری </t>
    </r>
    <r>
      <rPr>
        <sz val="10"/>
        <rFont val="Vazirmatn"/>
        <family val="0"/>
        <charset val="1"/>
      </rPr>
      <t xml:space="preserve">50Kg</t>
    </r>
  </si>
  <si>
    <t xml:space="preserve">31277183</t>
  </si>
  <si>
    <r>
      <rPr>
        <sz val="10"/>
        <rFont val="FreeSans"/>
        <family val="2"/>
      </rPr>
      <t xml:space="preserve">چرخ فرمان جک پالت دستی </t>
    </r>
    <r>
      <rPr>
        <sz val="10"/>
        <rFont val="Vazirmatn"/>
        <family val="0"/>
        <charset val="1"/>
      </rPr>
      <t xml:space="preserve">180mm -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50mm ( </t>
    </r>
    <r>
      <rPr>
        <sz val="10"/>
        <rFont val="FreeSans"/>
        <family val="2"/>
      </rPr>
      <t xml:space="preserve">پلی اورتان </t>
    </r>
    <r>
      <rPr>
        <sz val="10"/>
        <rFont val="Vazirmatn"/>
        <family val="0"/>
        <charset val="1"/>
      </rPr>
      <t xml:space="preserve">)</t>
    </r>
  </si>
  <si>
    <t xml:space="preserve">31277184</t>
  </si>
  <si>
    <r>
      <rPr>
        <sz val="10"/>
        <rFont val="FreeSans"/>
        <family val="2"/>
      </rPr>
      <t xml:space="preserve">چرخ شاخک جک پالت دستی </t>
    </r>
    <r>
      <rPr>
        <sz val="10"/>
        <rFont val="Vazirmatn"/>
        <family val="0"/>
        <charset val="1"/>
      </rPr>
      <t xml:space="preserve">80mm -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70mm ( </t>
    </r>
    <r>
      <rPr>
        <sz val="10"/>
        <rFont val="FreeSans"/>
        <family val="2"/>
      </rPr>
      <t xml:space="preserve">پلی اورتان </t>
    </r>
    <r>
      <rPr>
        <sz val="10"/>
        <rFont val="Vazirmatn"/>
        <family val="0"/>
        <charset val="1"/>
      </rPr>
      <t xml:space="preserve">)</t>
    </r>
  </si>
  <si>
    <t xml:space="preserve">31277204</t>
  </si>
  <si>
    <r>
      <rPr>
        <sz val="10"/>
        <rFont val="FreeSans"/>
        <family val="2"/>
      </rPr>
      <t xml:space="preserve">پایه لرزه گیر </t>
    </r>
    <r>
      <rPr>
        <sz val="10"/>
        <rFont val="Vazirmatn"/>
        <family val="0"/>
        <charset val="1"/>
      </rPr>
      <t xml:space="preserve">" 1 * " 4    ( ABS )</t>
    </r>
  </si>
  <si>
    <t xml:space="preserve">31277205</t>
  </si>
  <si>
    <r>
      <rPr>
        <sz val="10"/>
        <rFont val="FreeSans"/>
        <family val="2"/>
      </rPr>
      <t xml:space="preserve">پایه ضربگیر لاستیکی 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اینچ</t>
    </r>
  </si>
  <si>
    <t xml:space="preserve">31277206</t>
  </si>
  <si>
    <r>
      <rPr>
        <sz val="10"/>
        <rFont val="FreeSans"/>
        <family val="2"/>
      </rPr>
      <t xml:space="preserve">پایه ضربه گیر لاستیکی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زیر شاسی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سپراتور تغلیظ گلوتن</t>
    </r>
  </si>
  <si>
    <t xml:space="preserve">31277211</t>
  </si>
  <si>
    <r>
      <rPr>
        <sz val="10"/>
        <rFont val="FreeSans"/>
        <family val="2"/>
      </rPr>
      <t xml:space="preserve">ضربه گیر لاستیکی جرثقیل </t>
    </r>
    <r>
      <rPr>
        <sz val="10"/>
        <rFont val="Vazirmatn"/>
        <family val="0"/>
        <charset val="1"/>
      </rPr>
      <t xml:space="preserve">( M12-Q70-L70 )</t>
    </r>
  </si>
  <si>
    <t xml:space="preserve">31277213</t>
  </si>
  <si>
    <t xml:space="preserve">پایه نگهدارنده جای ذغال سپراتور</t>
  </si>
  <si>
    <t xml:space="preserve">31277215</t>
  </si>
  <si>
    <t xml:space="preserve">پایه دوک چرخ دوخت</t>
  </si>
  <si>
    <t xml:space="preserve">31277216</t>
  </si>
  <si>
    <t xml:space="preserve">پایه غلطکی متحرک</t>
  </si>
  <si>
    <t xml:space="preserve">31277223</t>
  </si>
  <si>
    <t xml:space="preserve">پایه اهرم تنظیم ذغال سپراتور</t>
  </si>
  <si>
    <t xml:space="preserve">31278118</t>
  </si>
  <si>
    <r>
      <rPr>
        <sz val="10"/>
        <rFont val="FreeSans"/>
        <family val="2"/>
      </rPr>
      <t xml:space="preserve">فلوتر سوئیچ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شناور مکانیکی </t>
    </r>
    <r>
      <rPr>
        <sz val="10"/>
        <rFont val="Vazirmatn"/>
        <family val="0"/>
        <charset val="1"/>
      </rPr>
      <t xml:space="preserve">)  250V 16A    FloAt  SwitcH</t>
    </r>
  </si>
  <si>
    <t xml:space="preserve">31278123</t>
  </si>
  <si>
    <t xml:space="preserve">فلوتراستیل کولینگ تاور</t>
  </si>
  <si>
    <t xml:space="preserve">31278125</t>
  </si>
  <si>
    <t xml:space="preserve">فلوتر کولر آبی</t>
  </si>
  <si>
    <t xml:space="preserve">31278130</t>
  </si>
  <si>
    <t xml:space="preserve">فلوتر آب دیگ بخار اراک</t>
  </si>
  <si>
    <t xml:space="preserve">31278131</t>
  </si>
  <si>
    <r>
      <rPr>
        <sz val="10"/>
        <rFont val="FreeSans"/>
        <family val="2"/>
      </rPr>
      <t xml:space="preserve">فلوتر استیل دنده ای   </t>
    </r>
    <r>
      <rPr>
        <sz val="10"/>
        <rFont val="Vazirmatn"/>
        <family val="0"/>
        <charset val="1"/>
      </rPr>
      <t xml:space="preserve">"2.1/2</t>
    </r>
  </si>
  <si>
    <t xml:space="preserve">31278133</t>
  </si>
  <si>
    <r>
      <rPr>
        <sz val="10"/>
        <rFont val="FreeSans"/>
        <family val="2"/>
      </rPr>
      <t xml:space="preserve">فلوتر آب استیل دنده ای کامل به همراه شناور  </t>
    </r>
    <r>
      <rPr>
        <sz val="10"/>
        <rFont val="Vazirmatn"/>
        <family val="0"/>
        <charset val="1"/>
      </rPr>
      <t xml:space="preserve">" 1/2 1</t>
    </r>
  </si>
  <si>
    <t xml:space="preserve">31278136</t>
  </si>
  <si>
    <r>
      <rPr>
        <sz val="10"/>
        <rFont val="FreeSans"/>
        <family val="2"/>
      </rPr>
      <t xml:space="preserve">فلوتر مغناطیسی آب نما   </t>
    </r>
    <r>
      <rPr>
        <sz val="10"/>
        <rFont val="Vazirmatn"/>
        <family val="0"/>
        <charset val="1"/>
      </rPr>
      <t xml:space="preserve">" 1</t>
    </r>
  </si>
  <si>
    <t xml:space="preserve">31278137</t>
  </si>
  <si>
    <r>
      <rPr>
        <sz val="10"/>
        <rFont val="FreeSans"/>
        <family val="2"/>
      </rPr>
      <t xml:space="preserve">فلوتر مغناطیسی آب نما   </t>
    </r>
    <r>
      <rPr>
        <sz val="10"/>
        <rFont val="Vazirmatn"/>
        <family val="0"/>
        <charset val="1"/>
      </rPr>
      <t xml:space="preserve">" 3/4</t>
    </r>
  </si>
  <si>
    <t xml:space="preserve">31278139</t>
  </si>
  <si>
    <r>
      <rPr>
        <sz val="10"/>
        <rFont val="FreeSans"/>
        <family val="2"/>
      </rPr>
      <t xml:space="preserve">فلومتر الکترو مغناطیسی فلنجی  </t>
    </r>
    <r>
      <rPr>
        <sz val="10"/>
        <rFont val="Vazirmatn"/>
        <family val="0"/>
        <charset val="1"/>
      </rPr>
      <t xml:space="preserve">220VAC   DN:100   "4   PN":16</t>
    </r>
  </si>
  <si>
    <t xml:space="preserve">31278140</t>
  </si>
  <si>
    <r>
      <rPr>
        <sz val="10"/>
        <rFont val="FreeSans"/>
        <family val="2"/>
      </rPr>
      <t xml:space="preserve">فلوتر استیل یکسر دنده </t>
    </r>
    <r>
      <rPr>
        <sz val="10"/>
        <rFont val="Vazirmatn"/>
        <family val="0"/>
        <charset val="1"/>
      </rPr>
      <t xml:space="preserve">" 3</t>
    </r>
  </si>
  <si>
    <t xml:space="preserve">31278141</t>
  </si>
  <si>
    <r>
      <rPr>
        <sz val="10"/>
        <rFont val="FreeSans"/>
        <family val="2"/>
      </rPr>
      <t xml:space="preserve">فلوتر سوئیچ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شناور </t>
    </r>
    <r>
      <rPr>
        <sz val="10"/>
        <rFont val="Vazirmatn"/>
        <family val="0"/>
        <charset val="1"/>
      </rPr>
      <t xml:space="preserve">) 4 </t>
    </r>
    <r>
      <rPr>
        <sz val="10"/>
        <rFont val="FreeSans"/>
        <family val="2"/>
      </rPr>
      <t xml:space="preserve">متری</t>
    </r>
  </si>
  <si>
    <t xml:space="preserve">31278505</t>
  </si>
  <si>
    <r>
      <rPr>
        <sz val="10"/>
        <rFont val="FreeSans"/>
        <family val="2"/>
      </rPr>
      <t xml:space="preserve">فلوتر برنجی کامل            </t>
    </r>
    <r>
      <rPr>
        <sz val="10"/>
        <rFont val="Vazirmatn"/>
        <family val="0"/>
        <charset val="1"/>
      </rPr>
      <t xml:space="preserve">" 3</t>
    </r>
  </si>
  <si>
    <t xml:space="preserve">31278508</t>
  </si>
  <si>
    <t xml:space="preserve">شناور فلوتر فلاش تانک</t>
  </si>
  <si>
    <t xml:space="preserve">31278529</t>
  </si>
  <si>
    <t xml:space="preserve">مجموعه تفلونی هلیس</t>
  </si>
  <si>
    <t xml:space="preserve">31278530</t>
  </si>
  <si>
    <t xml:space="preserve">فلوتر مکانیکی</t>
  </si>
  <si>
    <t xml:space="preserve">31278536</t>
  </si>
  <si>
    <r>
      <rPr>
        <sz val="10"/>
        <rFont val="FreeSans"/>
        <family val="2"/>
      </rPr>
      <t xml:space="preserve">توپی استیم تراپ استلنس استیل </t>
    </r>
    <r>
      <rPr>
        <sz val="10"/>
        <rFont val="Vazirmatn"/>
        <family val="0"/>
        <charset val="1"/>
      </rPr>
      <t xml:space="preserve">316</t>
    </r>
  </si>
  <si>
    <t xml:space="preserve">31278537</t>
  </si>
  <si>
    <r>
      <rPr>
        <sz val="10"/>
        <rFont val="FreeSans"/>
        <family val="2"/>
      </rPr>
      <t xml:space="preserve">توپی فلوتر استیل  </t>
    </r>
    <r>
      <rPr>
        <sz val="10"/>
        <rFont val="Vazirmatn"/>
        <family val="0"/>
        <charset val="1"/>
      </rPr>
      <t xml:space="preserve">30*30</t>
    </r>
  </si>
  <si>
    <t xml:space="preserve">31278538</t>
  </si>
  <si>
    <r>
      <rPr>
        <sz val="10"/>
        <rFont val="FreeSans"/>
        <family val="2"/>
      </rPr>
      <t xml:space="preserve">فلوتر فلنج دار چدنی آب   </t>
    </r>
    <r>
      <rPr>
        <sz val="10"/>
        <rFont val="Vazirmatn"/>
        <family val="0"/>
        <charset val="1"/>
      </rPr>
      <t xml:space="preserve">" 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</si>
  <si>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31279106</t>
  </si>
  <si>
    <r>
      <rPr>
        <sz val="10"/>
        <rFont val="FreeSans"/>
        <family val="2"/>
      </rPr>
      <t xml:space="preserve">شیشه استوانه ای </t>
    </r>
    <r>
      <rPr>
        <sz val="10"/>
        <rFont val="Vazirmatn"/>
        <family val="0"/>
        <charset val="1"/>
      </rPr>
      <t xml:space="preserve">1/2</t>
    </r>
    <r>
      <rPr>
        <sz val="10"/>
        <rFont val="FreeSans"/>
        <family val="2"/>
      </rPr>
      <t xml:space="preserve">و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اینچ</t>
    </r>
  </si>
  <si>
    <t xml:space="preserve">31279109</t>
  </si>
  <si>
    <t xml:space="preserve">شیشه استوانه ای روی روتوری</t>
  </si>
  <si>
    <t xml:space="preserve">31279116</t>
  </si>
  <si>
    <r>
      <rPr>
        <sz val="10"/>
        <rFont val="FreeSans"/>
        <family val="2"/>
      </rPr>
      <t xml:space="preserve">طلق ماسک اتوماتیک </t>
    </r>
    <r>
      <rPr>
        <sz val="10"/>
        <rFont val="Vazirmatn"/>
        <family val="0"/>
        <charset val="1"/>
      </rPr>
      <t xml:space="preserve">110mm*90mm*1.05mm</t>
    </r>
  </si>
  <si>
    <t xml:space="preserve">31279122</t>
  </si>
  <si>
    <r>
      <rPr>
        <sz val="10"/>
        <rFont val="FreeSans"/>
        <family val="2"/>
      </rPr>
      <t xml:space="preserve">شیشه سایدگلاس   </t>
    </r>
    <r>
      <rPr>
        <sz val="10"/>
        <rFont val="Vazirmatn"/>
        <family val="0"/>
        <charset val="1"/>
      </rPr>
      <t xml:space="preserve">" 4</t>
    </r>
  </si>
  <si>
    <t xml:space="preserve">31279126</t>
  </si>
  <si>
    <r>
      <rPr>
        <sz val="10"/>
        <rFont val="FreeSans"/>
        <family val="2"/>
      </rPr>
      <t xml:space="preserve">شیشه آبنمای سایدگلاس حرارتی    </t>
    </r>
    <r>
      <rPr>
        <sz val="10"/>
        <rFont val="Vazirmatn"/>
        <family val="0"/>
        <charset val="1"/>
      </rPr>
      <t xml:space="preserve">10 * 161</t>
    </r>
  </si>
  <si>
    <t xml:space="preserve">31279135</t>
  </si>
  <si>
    <r>
      <rPr>
        <sz val="10"/>
        <rFont val="FreeSans"/>
        <family val="2"/>
      </rPr>
      <t xml:space="preserve">شیشه سای گلاس </t>
    </r>
    <r>
      <rPr>
        <sz val="10"/>
        <rFont val="Vazirmatn"/>
        <family val="0"/>
        <charset val="1"/>
      </rPr>
      <t xml:space="preserve">Q:149MM      10 MM</t>
    </r>
  </si>
  <si>
    <t xml:space="preserve">31279138</t>
  </si>
  <si>
    <r>
      <rPr>
        <sz val="10"/>
        <rFont val="FreeSans"/>
        <family val="2"/>
      </rPr>
      <t xml:space="preserve">شیشه سای گلاس  </t>
    </r>
    <r>
      <rPr>
        <sz val="10"/>
        <rFont val="Vazirmatn"/>
        <family val="0"/>
        <charset val="1"/>
      </rPr>
      <t xml:space="preserve">D : 170mm t = 15mm</t>
    </r>
  </si>
  <si>
    <t xml:space="preserve">31279140</t>
  </si>
  <si>
    <r>
      <rPr>
        <sz val="10"/>
        <rFont val="FreeSans"/>
        <family val="2"/>
      </rPr>
      <t xml:space="preserve">شیشه سای گلاس کمپرسور کوپلند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اسب</t>
    </r>
  </si>
  <si>
    <t xml:space="preserve">31279143</t>
  </si>
  <si>
    <r>
      <rPr>
        <sz val="10"/>
        <rFont val="FreeSans"/>
        <family val="2"/>
      </rPr>
      <t xml:space="preserve">شیشه معمولی سفید شفاف </t>
    </r>
    <r>
      <rPr>
        <sz val="10"/>
        <rFont val="Vazirmatn"/>
        <family val="0"/>
        <charset val="1"/>
      </rPr>
      <t xml:space="preserve">4mm 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100mm</t>
    </r>
  </si>
  <si>
    <t xml:space="preserve">31279144</t>
  </si>
  <si>
    <r>
      <rPr>
        <sz val="10"/>
        <rFont val="FreeSans"/>
        <family val="2"/>
      </rPr>
      <t xml:space="preserve">شیشه معمولی سفید شفاف </t>
    </r>
    <r>
      <rPr>
        <sz val="10"/>
        <rFont val="Vazirmatn"/>
        <family val="0"/>
        <charset val="1"/>
      </rPr>
      <t xml:space="preserve">3mm 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160mm</t>
    </r>
  </si>
  <si>
    <t xml:space="preserve">31279145</t>
  </si>
  <si>
    <r>
      <rPr>
        <sz val="10"/>
        <rFont val="FreeSans"/>
        <family val="2"/>
      </rPr>
      <t xml:space="preserve">شیشه معمولی سفید شفاف </t>
    </r>
    <r>
      <rPr>
        <sz val="10"/>
        <rFont val="Vazirmatn"/>
        <family val="0"/>
        <charset val="1"/>
      </rPr>
      <t xml:space="preserve">3mm 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200mm</t>
    </r>
  </si>
  <si>
    <t xml:space="preserve">31279146</t>
  </si>
  <si>
    <r>
      <rPr>
        <sz val="10"/>
        <rFont val="FreeSans"/>
        <family val="2"/>
      </rPr>
      <t xml:space="preserve">شیشه معمولی سفید شفاف </t>
    </r>
    <r>
      <rPr>
        <sz val="10"/>
        <rFont val="Vazirmatn"/>
        <family val="0"/>
        <charset val="1"/>
      </rPr>
      <t xml:space="preserve">3mm 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260mm</t>
    </r>
  </si>
  <si>
    <t xml:space="preserve">31279148</t>
  </si>
  <si>
    <t xml:space="preserve">شیشه ابنما</t>
  </si>
  <si>
    <t xml:space="preserve">31279153</t>
  </si>
  <si>
    <r>
      <rPr>
        <sz val="10"/>
        <rFont val="FreeSans"/>
        <family val="2"/>
      </rPr>
      <t xml:space="preserve">شیشه دو جداره  </t>
    </r>
    <r>
      <rPr>
        <sz val="10"/>
        <rFont val="Vazirmatn"/>
        <family val="0"/>
        <charset val="1"/>
      </rPr>
      <t xml:space="preserve">1375*675</t>
    </r>
  </si>
  <si>
    <t xml:space="preserve">31279154</t>
  </si>
  <si>
    <r>
      <rPr>
        <sz val="10"/>
        <rFont val="FreeSans"/>
        <family val="2"/>
      </rPr>
      <t xml:space="preserve">شیشه دو جداره  </t>
    </r>
    <r>
      <rPr>
        <sz val="10"/>
        <rFont val="Vazirmatn"/>
        <family val="0"/>
        <charset val="1"/>
      </rPr>
      <t xml:space="preserve">1277*415</t>
    </r>
  </si>
  <si>
    <t xml:space="preserve">31279155</t>
  </si>
  <si>
    <r>
      <rPr>
        <sz val="10"/>
        <rFont val="FreeSans"/>
        <family val="2"/>
      </rPr>
      <t xml:space="preserve">شیشه دو جداره  </t>
    </r>
    <r>
      <rPr>
        <sz val="10"/>
        <rFont val="Vazirmatn"/>
        <family val="0"/>
        <charset val="1"/>
      </rPr>
      <t xml:space="preserve">584*715</t>
    </r>
  </si>
  <si>
    <t xml:space="preserve">31279156</t>
  </si>
  <si>
    <r>
      <rPr>
        <sz val="10"/>
        <rFont val="FreeSans"/>
        <family val="2"/>
      </rPr>
      <t xml:space="preserve">شیشه دو جداره  </t>
    </r>
    <r>
      <rPr>
        <sz val="10"/>
        <rFont val="Vazirmatn"/>
        <family val="0"/>
        <charset val="1"/>
      </rPr>
      <t xml:space="preserve">720*685</t>
    </r>
  </si>
  <si>
    <t xml:space="preserve">31279157</t>
  </si>
  <si>
    <r>
      <rPr>
        <sz val="10"/>
        <rFont val="FreeSans"/>
        <family val="2"/>
      </rPr>
      <t xml:space="preserve">شیشه داخل بخاری گازی  </t>
    </r>
    <r>
      <rPr>
        <sz val="10"/>
        <rFont val="Vazirmatn"/>
        <family val="0"/>
        <charset val="1"/>
      </rPr>
      <t xml:space="preserve">16Cm*52Cm</t>
    </r>
  </si>
  <si>
    <t xml:space="preserve">31279159</t>
  </si>
  <si>
    <r>
      <rPr>
        <sz val="10"/>
        <rFont val="FreeSans"/>
        <family val="2"/>
      </rPr>
      <t xml:space="preserve">شیشه بیرون بخاری گازی  </t>
    </r>
    <r>
      <rPr>
        <sz val="10"/>
        <rFont val="Vazirmatn"/>
        <family val="0"/>
        <charset val="1"/>
      </rPr>
      <t xml:space="preserve">16/5Cm*77Cm</t>
    </r>
  </si>
  <si>
    <t xml:space="preserve">31279161</t>
  </si>
  <si>
    <r>
      <rPr>
        <sz val="10"/>
        <rFont val="FreeSans"/>
        <family val="2"/>
      </rPr>
      <t xml:space="preserve">شیشه بیرون بخاری گازی  </t>
    </r>
    <r>
      <rPr>
        <sz val="10"/>
        <rFont val="Vazirmatn"/>
        <family val="0"/>
        <charset val="1"/>
      </rPr>
      <t xml:space="preserve">16Cm*51Cm</t>
    </r>
  </si>
  <si>
    <t xml:space="preserve">31279163</t>
  </si>
  <si>
    <r>
      <rPr>
        <sz val="10"/>
        <rFont val="FreeSans"/>
        <family val="2"/>
      </rPr>
      <t xml:space="preserve">شیشه داخل بخاری گازی  </t>
    </r>
    <r>
      <rPr>
        <sz val="10"/>
        <rFont val="Vazirmatn"/>
        <family val="0"/>
        <charset val="1"/>
      </rPr>
      <t xml:space="preserve">16Cm*44/5Cm</t>
    </r>
  </si>
  <si>
    <t xml:space="preserve">31279164</t>
  </si>
  <si>
    <r>
      <rPr>
        <sz val="10"/>
        <rFont val="FreeSans"/>
        <family val="2"/>
      </rPr>
      <t xml:space="preserve">شیشه بیرون بخاری گازی  </t>
    </r>
    <r>
      <rPr>
        <sz val="10"/>
        <rFont val="Vazirmatn"/>
        <family val="0"/>
        <charset val="1"/>
      </rPr>
      <t xml:space="preserve">15Cm*61Cm</t>
    </r>
  </si>
  <si>
    <t xml:space="preserve">31279166</t>
  </si>
  <si>
    <r>
      <rPr>
        <sz val="10"/>
        <rFont val="FreeSans"/>
        <family val="2"/>
      </rPr>
      <t xml:space="preserve">شیشه دو جداره برنز  </t>
    </r>
    <r>
      <rPr>
        <sz val="10"/>
        <rFont val="Vazirmatn"/>
        <family val="0"/>
        <charset val="1"/>
      </rPr>
      <t xml:space="preserve">125*91</t>
    </r>
  </si>
  <si>
    <t xml:space="preserve">31279167</t>
  </si>
  <si>
    <r>
      <rPr>
        <sz val="10"/>
        <rFont val="FreeSans"/>
        <family val="2"/>
      </rPr>
      <t xml:space="preserve">شیشه رفلکس </t>
    </r>
    <r>
      <rPr>
        <sz val="10"/>
        <rFont val="Vazirmatn"/>
        <family val="0"/>
        <charset val="1"/>
      </rPr>
      <t xml:space="preserve">80cm*80cm</t>
    </r>
  </si>
  <si>
    <t xml:space="preserve">31279168</t>
  </si>
  <si>
    <r>
      <rPr>
        <sz val="10"/>
        <rFont val="FreeSans"/>
        <family val="2"/>
      </rPr>
      <t xml:space="preserve">شیشه استوانه ای 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اینچ</t>
    </r>
  </si>
  <si>
    <t xml:space="preserve">31279170</t>
  </si>
  <si>
    <t xml:space="preserve">شیشه  ابنما  سپراتور</t>
  </si>
  <si>
    <t xml:space="preserve">31279171</t>
  </si>
  <si>
    <r>
      <rPr>
        <sz val="10"/>
        <rFont val="FreeSans"/>
        <family val="2"/>
      </rPr>
      <t xml:space="preserve">شیشه دو جداره  </t>
    </r>
    <r>
      <rPr>
        <sz val="10"/>
        <rFont val="Vazirmatn"/>
        <family val="0"/>
        <charset val="1"/>
      </rPr>
      <t xml:space="preserve">87/5*111/5</t>
    </r>
  </si>
  <si>
    <t xml:space="preserve">31279173</t>
  </si>
  <si>
    <r>
      <rPr>
        <sz val="10"/>
        <rFont val="FreeSans"/>
        <family val="2"/>
      </rPr>
      <t xml:space="preserve">شیشه دو جداره  </t>
    </r>
    <r>
      <rPr>
        <sz val="10"/>
        <rFont val="Vazirmatn"/>
        <family val="0"/>
        <charset val="1"/>
      </rPr>
      <t xml:space="preserve">94/5*98/5</t>
    </r>
  </si>
  <si>
    <t xml:space="preserve">31279174</t>
  </si>
  <si>
    <r>
      <rPr>
        <sz val="10"/>
        <rFont val="FreeSans"/>
        <family val="2"/>
      </rPr>
      <t xml:space="preserve">شیشه سکوریت برنز ضخامت </t>
    </r>
    <r>
      <rPr>
        <sz val="10"/>
        <rFont val="Vazirmatn"/>
        <family val="0"/>
        <charset val="1"/>
      </rPr>
      <t xml:space="preserve">10mm </t>
    </r>
    <r>
      <rPr>
        <sz val="10"/>
        <rFont val="FreeSans"/>
        <family val="2"/>
      </rPr>
      <t xml:space="preserve">به همراه متعلقات</t>
    </r>
  </si>
  <si>
    <t xml:space="preserve">31279176</t>
  </si>
  <si>
    <r>
      <rPr>
        <sz val="10"/>
        <rFont val="FreeSans"/>
        <family val="2"/>
      </rPr>
      <t xml:space="preserve">شیشه سکوریت </t>
    </r>
    <r>
      <rPr>
        <sz val="10"/>
        <rFont val="Vazirmatn"/>
        <family val="0"/>
        <charset val="1"/>
      </rPr>
      <t xml:space="preserve">115Cm*132Cm ( </t>
    </r>
    <r>
      <rPr>
        <sz val="10"/>
        <rFont val="FreeSans"/>
        <family val="2"/>
      </rPr>
      <t xml:space="preserve">دریچه </t>
    </r>
    <r>
      <rPr>
        <sz val="10"/>
        <rFont val="Vazirmatn"/>
        <family val="0"/>
        <charset val="1"/>
      </rPr>
      <t xml:space="preserve">35*35 )</t>
    </r>
  </si>
  <si>
    <t xml:space="preserve">31279177</t>
  </si>
  <si>
    <r>
      <rPr>
        <sz val="10"/>
        <rFont val="FreeSans"/>
        <family val="2"/>
      </rPr>
      <t xml:space="preserve">شیشه ساده </t>
    </r>
    <r>
      <rPr>
        <sz val="10"/>
        <rFont val="Vazirmatn"/>
        <family val="0"/>
        <charset val="1"/>
      </rPr>
      <t xml:space="preserve">0/5mm  60*65Cm</t>
    </r>
  </si>
  <si>
    <t xml:space="preserve">31279179</t>
  </si>
  <si>
    <r>
      <rPr>
        <sz val="10"/>
        <rFont val="FreeSans"/>
        <family val="2"/>
      </rPr>
      <t xml:space="preserve">شیشه دو جداره برفی </t>
    </r>
    <r>
      <rPr>
        <sz val="10"/>
        <rFont val="Vazirmatn"/>
        <family val="0"/>
        <charset val="1"/>
      </rPr>
      <t xml:space="preserve">45/8Cm*62Cm</t>
    </r>
  </si>
  <si>
    <t xml:space="preserve">31279180</t>
  </si>
  <si>
    <r>
      <rPr>
        <sz val="10"/>
        <rFont val="FreeSans"/>
        <family val="2"/>
      </rPr>
      <t xml:space="preserve">شیشه دو جداره برفی </t>
    </r>
    <r>
      <rPr>
        <sz val="10"/>
        <rFont val="Vazirmatn"/>
        <family val="0"/>
        <charset val="1"/>
      </rPr>
      <t xml:space="preserve">45/8Cm*56/2Cm</t>
    </r>
  </si>
  <si>
    <t xml:space="preserve">31279182</t>
  </si>
  <si>
    <r>
      <rPr>
        <sz val="10"/>
        <rFont val="FreeSans"/>
        <family val="2"/>
      </rPr>
      <t xml:space="preserve">شیشه دو جداره برفی </t>
    </r>
    <r>
      <rPr>
        <sz val="10"/>
        <rFont val="Vazirmatn"/>
        <family val="0"/>
        <charset val="1"/>
      </rPr>
      <t xml:space="preserve">45/8Cm*57/5Cm</t>
    </r>
  </si>
  <si>
    <t xml:space="preserve">31279184</t>
  </si>
  <si>
    <r>
      <rPr>
        <sz val="10"/>
        <rFont val="FreeSans"/>
        <family val="2"/>
      </rPr>
      <t xml:space="preserve">شیشه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 </t>
    </r>
    <r>
      <rPr>
        <sz val="10"/>
        <rFont val="Vazirmatn"/>
        <family val="0"/>
        <charset val="1"/>
      </rPr>
      <t xml:space="preserve">135Cm*103Cm</t>
    </r>
  </si>
  <si>
    <t xml:space="preserve">31279185</t>
  </si>
  <si>
    <r>
      <rPr>
        <sz val="10"/>
        <rFont val="FreeSans"/>
        <family val="2"/>
      </rPr>
      <t xml:space="preserve">شیشه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 </t>
    </r>
    <r>
      <rPr>
        <sz val="10"/>
        <rFont val="Vazirmatn"/>
        <family val="0"/>
        <charset val="1"/>
      </rPr>
      <t xml:space="preserve">84Cm*190Cm</t>
    </r>
  </si>
  <si>
    <t xml:space="preserve">31279190</t>
  </si>
  <si>
    <r>
      <rPr>
        <sz val="10"/>
        <rFont val="FreeSans"/>
        <family val="2"/>
      </rPr>
      <t xml:space="preserve">شیشه نسوز بزرگ دریچه بازدید دیگ بخار </t>
    </r>
    <r>
      <rPr>
        <sz val="10"/>
        <rFont val="Vazirmatn"/>
        <family val="0"/>
        <charset val="1"/>
      </rPr>
      <t xml:space="preserve">6cm * 6cm</t>
    </r>
  </si>
  <si>
    <t xml:space="preserve">31279191</t>
  </si>
  <si>
    <r>
      <rPr>
        <sz val="10"/>
        <rFont val="FreeSans"/>
        <family val="2"/>
      </rPr>
      <t xml:space="preserve">شیشه نسوز کوچک دریچه بازدید دیگ بخار </t>
    </r>
    <r>
      <rPr>
        <sz val="10"/>
        <rFont val="Vazirmatn"/>
        <family val="0"/>
        <charset val="1"/>
      </rPr>
      <t xml:space="preserve">5cm * 5cm</t>
    </r>
  </si>
  <si>
    <t xml:space="preserve">31279192</t>
  </si>
  <si>
    <r>
      <rPr>
        <sz val="10"/>
        <rFont val="FreeSans"/>
        <family val="2"/>
      </rPr>
      <t xml:space="preserve">شیشه  آبنمای لوله ای  </t>
    </r>
    <r>
      <rPr>
        <sz val="10"/>
        <rFont val="Vazirmatn"/>
        <family val="0"/>
        <charset val="1"/>
      </rPr>
      <t xml:space="preserve">38cm</t>
    </r>
  </si>
  <si>
    <t xml:space="preserve">31279193</t>
  </si>
  <si>
    <r>
      <rPr>
        <sz val="10"/>
        <rFont val="FreeSans"/>
        <family val="2"/>
      </rPr>
      <t xml:space="preserve">شیشه نسوز بازدید دیگ بخار </t>
    </r>
    <r>
      <rPr>
        <sz val="10"/>
        <rFont val="Vazirmatn"/>
        <family val="0"/>
        <charset val="1"/>
      </rPr>
      <t xml:space="preserve">4cm * 4cm</t>
    </r>
  </si>
  <si>
    <t xml:space="preserve">31279194</t>
  </si>
  <si>
    <r>
      <rPr>
        <sz val="10"/>
        <rFont val="FreeSans"/>
        <family val="2"/>
      </rPr>
      <t xml:space="preserve">شیشه ساده  </t>
    </r>
    <r>
      <rPr>
        <sz val="10"/>
        <rFont val="Vazirmatn"/>
        <family val="0"/>
        <charset val="1"/>
      </rPr>
      <t xml:space="preserve">76/5Cm*161Cm*6mm</t>
    </r>
  </si>
  <si>
    <t xml:space="preserve">31279195</t>
  </si>
  <si>
    <r>
      <rPr>
        <sz val="10"/>
        <rFont val="FreeSans"/>
        <family val="2"/>
      </rPr>
      <t xml:space="preserve">شیشه لوله ای آبنما       </t>
    </r>
    <r>
      <rPr>
        <sz val="10"/>
        <rFont val="Vazirmatn"/>
        <family val="0"/>
        <charset val="1"/>
      </rPr>
      <t xml:space="preserve">40cm</t>
    </r>
  </si>
  <si>
    <t xml:space="preserve">31279196</t>
  </si>
  <si>
    <r>
      <rPr>
        <sz val="10"/>
        <rFont val="FreeSans"/>
        <family val="2"/>
      </rPr>
      <t xml:space="preserve">شیشه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 رفلکس </t>
    </r>
    <r>
      <rPr>
        <sz val="10"/>
        <rFont val="Vazirmatn"/>
        <family val="0"/>
        <charset val="1"/>
      </rPr>
      <t xml:space="preserve">125*91</t>
    </r>
  </si>
  <si>
    <t xml:space="preserve">31279197</t>
  </si>
  <si>
    <r>
      <rPr>
        <sz val="10"/>
        <rFont val="FreeSans"/>
        <family val="2"/>
      </rPr>
      <t xml:space="preserve">شیشه روشن  </t>
    </r>
    <r>
      <rPr>
        <sz val="10"/>
        <rFont val="Vazirmatn"/>
        <family val="0"/>
        <charset val="1"/>
      </rPr>
      <t xml:space="preserve">163Cm*34/5Cm*6mm</t>
    </r>
  </si>
  <si>
    <t xml:space="preserve">31279201</t>
  </si>
  <si>
    <r>
      <rPr>
        <sz val="10"/>
        <rFont val="FreeSans"/>
        <family val="2"/>
      </rPr>
      <t xml:space="preserve">آینه دیواری با قاب </t>
    </r>
    <r>
      <rPr>
        <sz val="10"/>
        <rFont val="Vazirmatn"/>
        <family val="0"/>
        <charset val="1"/>
      </rPr>
      <t xml:space="preserve">( 45*60 )</t>
    </r>
  </si>
  <si>
    <t xml:space="preserve">31279203</t>
  </si>
  <si>
    <r>
      <rPr>
        <sz val="10"/>
        <rFont val="FreeSans"/>
        <family val="2"/>
      </rPr>
      <t xml:space="preserve">شیشه استوانه ای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اینچ</t>
    </r>
  </si>
  <si>
    <t xml:space="preserve">31279205</t>
  </si>
  <si>
    <r>
      <rPr>
        <sz val="10"/>
        <rFont val="FreeSans"/>
        <family val="2"/>
      </rPr>
      <t xml:space="preserve">شیشه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 </t>
    </r>
    <r>
      <rPr>
        <sz val="10"/>
        <rFont val="Vazirmatn"/>
        <family val="0"/>
        <charset val="1"/>
      </rPr>
      <t xml:space="preserve">135Cm*102Cm</t>
    </r>
  </si>
  <si>
    <t xml:space="preserve">31279206</t>
  </si>
  <si>
    <r>
      <rPr>
        <sz val="10"/>
        <rFont val="FreeSans"/>
        <family val="2"/>
      </rPr>
      <t xml:space="preserve">شیشه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 </t>
    </r>
    <r>
      <rPr>
        <sz val="10"/>
        <rFont val="Vazirmatn"/>
        <family val="0"/>
        <charset val="1"/>
      </rPr>
      <t xml:space="preserve">99/5Cm*63Cm</t>
    </r>
  </si>
  <si>
    <t xml:space="preserve">31279209</t>
  </si>
  <si>
    <r>
      <rPr>
        <sz val="10"/>
        <rFont val="FreeSans"/>
        <family val="2"/>
      </rPr>
      <t xml:space="preserve">شیشه ساده  </t>
    </r>
    <r>
      <rPr>
        <sz val="10"/>
        <rFont val="Vazirmatn"/>
        <family val="0"/>
        <charset val="1"/>
      </rPr>
      <t xml:space="preserve">124Cm*47/5Cm*4mm</t>
    </r>
  </si>
  <si>
    <t xml:space="preserve">31279230</t>
  </si>
  <si>
    <t xml:space="preserve">شیشه روغن نمای آسیاب ایمپکت</t>
  </si>
  <si>
    <t xml:space="preserve">31279236</t>
  </si>
  <si>
    <t xml:space="preserve">شیشه روغن نمای سپراتور تغلیظ گلوتن</t>
  </si>
  <si>
    <t xml:space="preserve">31279241</t>
  </si>
  <si>
    <r>
      <rPr>
        <sz val="10"/>
        <rFont val="FreeSans"/>
        <family val="2"/>
      </rPr>
      <t xml:space="preserve">طلق شیشه ای </t>
    </r>
    <r>
      <rPr>
        <sz val="10"/>
        <rFont val="Vazirmatn"/>
        <family val="0"/>
        <charset val="1"/>
      </rPr>
      <t xml:space="preserve">5mm ( 100Cm*50Cm )</t>
    </r>
  </si>
  <si>
    <t xml:space="preserve">31279244</t>
  </si>
  <si>
    <r>
      <rPr>
        <sz val="10"/>
        <rFont val="FreeSans"/>
        <family val="2"/>
      </rPr>
      <t xml:space="preserve">طلق شفاف </t>
    </r>
    <r>
      <rPr>
        <sz val="10"/>
        <rFont val="Vazirmatn"/>
        <family val="0"/>
        <charset val="1"/>
      </rPr>
      <t xml:space="preserve">5mm ( 320mm*620mm )</t>
    </r>
  </si>
  <si>
    <t xml:space="preserve">31279246</t>
  </si>
  <si>
    <r>
      <rPr>
        <sz val="10"/>
        <rFont val="FreeSans"/>
        <family val="2"/>
      </rPr>
      <t xml:space="preserve">شیشه سایدگلاس  با واشر   </t>
    </r>
    <r>
      <rPr>
        <sz val="10"/>
        <rFont val="Vazirmatn"/>
        <family val="0"/>
        <charset val="1"/>
      </rPr>
      <t xml:space="preserve">150 - " 6</t>
    </r>
  </si>
  <si>
    <t xml:space="preserve">31279248</t>
  </si>
  <si>
    <r>
      <rPr>
        <sz val="10"/>
        <rFont val="FreeSans"/>
        <family val="2"/>
      </rPr>
      <t xml:space="preserve">طلق شیشه ای شفاف </t>
    </r>
    <r>
      <rPr>
        <sz val="10"/>
        <rFont val="Vazirmatn"/>
        <family val="0"/>
        <charset val="1"/>
      </rPr>
      <t xml:space="preserve">5mm</t>
    </r>
  </si>
  <si>
    <t xml:space="preserve">31279250</t>
  </si>
  <si>
    <r>
      <rPr>
        <sz val="10"/>
        <rFont val="FreeSans"/>
        <family val="2"/>
      </rPr>
      <t xml:space="preserve">طلق شیشه ای دو جداره شفاف </t>
    </r>
    <r>
      <rPr>
        <sz val="10"/>
        <rFont val="Vazirmatn"/>
        <family val="0"/>
        <charset val="1"/>
      </rPr>
      <t xml:space="preserve">5mm</t>
    </r>
  </si>
  <si>
    <t xml:space="preserve">31279255</t>
  </si>
  <si>
    <r>
      <rPr>
        <sz val="10"/>
        <rFont val="FreeSans"/>
        <family val="2"/>
      </rPr>
      <t xml:space="preserve">طلق شیشه ای شفاف </t>
    </r>
    <r>
      <rPr>
        <sz val="10"/>
        <rFont val="Vazirmatn"/>
        <family val="0"/>
        <charset val="1"/>
      </rPr>
      <t xml:space="preserve">4mm</t>
    </r>
  </si>
  <si>
    <t xml:space="preserve">31279256</t>
  </si>
  <si>
    <r>
      <rPr>
        <sz val="10"/>
        <rFont val="FreeSans"/>
        <family val="2"/>
      </rPr>
      <t xml:space="preserve">طلق شفاف </t>
    </r>
    <r>
      <rPr>
        <sz val="10"/>
        <rFont val="Vazirmatn"/>
        <family val="0"/>
        <charset val="1"/>
      </rPr>
      <t xml:space="preserve">4mm ( 64/5Cm*115Cm )</t>
    </r>
  </si>
  <si>
    <t xml:space="preserve">31279257</t>
  </si>
  <si>
    <r>
      <rPr>
        <sz val="10"/>
        <rFont val="FreeSans"/>
        <family val="2"/>
      </rPr>
      <t xml:space="preserve">طلق شفاف </t>
    </r>
    <r>
      <rPr>
        <sz val="10"/>
        <rFont val="Vazirmatn"/>
        <family val="0"/>
        <charset val="1"/>
      </rPr>
      <t xml:space="preserve">4mm ( 31/5Cm*123Cm)</t>
    </r>
  </si>
  <si>
    <t xml:space="preserve">31279258</t>
  </si>
  <si>
    <r>
      <rPr>
        <sz val="10"/>
        <rFont val="FreeSans"/>
        <family val="2"/>
      </rPr>
      <t xml:space="preserve">طلق شفاف </t>
    </r>
    <r>
      <rPr>
        <sz val="10"/>
        <rFont val="Vazirmatn"/>
        <family val="0"/>
        <charset val="1"/>
      </rPr>
      <t xml:space="preserve">4mm ( 47Cm*115Cm )</t>
    </r>
  </si>
  <si>
    <t xml:space="preserve">31279259</t>
  </si>
  <si>
    <r>
      <rPr>
        <sz val="10"/>
        <rFont val="FreeSans"/>
        <family val="2"/>
      </rPr>
      <t xml:space="preserve">طلق شفاف </t>
    </r>
    <r>
      <rPr>
        <sz val="10"/>
        <rFont val="Vazirmatn"/>
        <family val="0"/>
        <charset val="1"/>
      </rPr>
      <t xml:space="preserve">4mm ( 85Cm*123Cm )</t>
    </r>
  </si>
  <si>
    <t xml:space="preserve">31279260</t>
  </si>
  <si>
    <r>
      <rPr>
        <sz val="10"/>
        <rFont val="FreeSans"/>
        <family val="2"/>
      </rPr>
      <t xml:space="preserve">طلق شفاف </t>
    </r>
    <r>
      <rPr>
        <sz val="10"/>
        <rFont val="Vazirmatn"/>
        <family val="0"/>
        <charset val="1"/>
      </rPr>
      <t xml:space="preserve">4mm ( 42Cm*115Cm )</t>
    </r>
  </si>
  <si>
    <t xml:space="preserve">31279261</t>
  </si>
  <si>
    <r>
      <rPr>
        <sz val="10"/>
        <rFont val="FreeSans"/>
        <family val="2"/>
      </rPr>
      <t xml:space="preserve">طلق شفاف </t>
    </r>
    <r>
      <rPr>
        <sz val="10"/>
        <rFont val="Vazirmatn"/>
        <family val="0"/>
        <charset val="1"/>
      </rPr>
      <t xml:space="preserve">4mm ( 81Cm*113Cm )</t>
    </r>
  </si>
  <si>
    <t xml:space="preserve">31279262</t>
  </si>
  <si>
    <r>
      <rPr>
        <sz val="10"/>
        <rFont val="FreeSans"/>
        <family val="2"/>
      </rPr>
      <t xml:space="preserve">طلق شفاف </t>
    </r>
    <r>
      <rPr>
        <sz val="10"/>
        <rFont val="Vazirmatn"/>
        <family val="0"/>
        <charset val="1"/>
      </rPr>
      <t xml:space="preserve">4mm ( 78Cm*113Cm )</t>
    </r>
  </si>
  <si>
    <t xml:space="preserve">31279263</t>
  </si>
  <si>
    <r>
      <rPr>
        <sz val="10"/>
        <rFont val="FreeSans"/>
        <family val="2"/>
      </rPr>
      <t xml:space="preserve">طلق شفاف </t>
    </r>
    <r>
      <rPr>
        <sz val="10"/>
        <rFont val="Vazirmatn"/>
        <family val="0"/>
        <charset val="1"/>
      </rPr>
      <t xml:space="preserve">5mm ( 100Cm*50Cm )</t>
    </r>
  </si>
  <si>
    <t xml:space="preserve">31279264</t>
  </si>
  <si>
    <r>
      <rPr>
        <sz val="10"/>
        <rFont val="FreeSans"/>
        <family val="2"/>
      </rPr>
      <t xml:space="preserve">طلق پلی کربنات </t>
    </r>
    <r>
      <rPr>
        <sz val="10"/>
        <rFont val="Vazirmatn"/>
        <family val="0"/>
        <charset val="1"/>
      </rPr>
      <t xml:space="preserve">1/10m*0/5m*6mm</t>
    </r>
  </si>
  <si>
    <t xml:space="preserve">31279265</t>
  </si>
  <si>
    <r>
      <rPr>
        <sz val="10"/>
        <rFont val="FreeSans"/>
        <family val="2"/>
      </rPr>
      <t xml:space="preserve">طلق پلی کربنات </t>
    </r>
    <r>
      <rPr>
        <sz val="10"/>
        <rFont val="Vazirmatn"/>
        <family val="0"/>
        <charset val="1"/>
      </rPr>
      <t xml:space="preserve">1/20m*0/65m*6mm</t>
    </r>
  </si>
  <si>
    <t xml:space="preserve">31279270</t>
  </si>
  <si>
    <t xml:space="preserve">محافظ لاستیکی شیشه ابنما</t>
  </si>
  <si>
    <t xml:space="preserve">31279271</t>
  </si>
  <si>
    <r>
      <rPr>
        <sz val="10"/>
        <rFont val="FreeSans"/>
        <family val="2"/>
      </rPr>
      <t xml:space="preserve">دریچه بازدید پشت دیگ بخار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</si>
  <si>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31279328</t>
  </si>
  <si>
    <r>
      <rPr>
        <sz val="10"/>
        <rFont val="FreeSans"/>
        <family val="2"/>
      </rPr>
      <t xml:space="preserve">آبنما مغناطیسی   </t>
    </r>
    <r>
      <rPr>
        <sz val="10"/>
        <rFont val="Vazirmatn"/>
        <family val="0"/>
        <charset val="1"/>
      </rPr>
      <t xml:space="preserve">dn:25</t>
    </r>
  </si>
  <si>
    <t xml:space="preserve">31280001</t>
  </si>
  <si>
    <t xml:space="preserve">قیفی روغن پخش کن سپراتور تغلیظ گلوتن</t>
  </si>
  <si>
    <t xml:space="preserve">31280003</t>
  </si>
  <si>
    <t xml:space="preserve">قیفی روغن برگردان سپراتور تغلیظ گلوتن</t>
  </si>
  <si>
    <t xml:space="preserve">31280005</t>
  </si>
  <si>
    <r>
      <rPr>
        <sz val="10"/>
        <rFont val="FreeSans"/>
        <family val="2"/>
      </rPr>
      <t xml:space="preserve">قیفی هیدروسیکلون نوع  </t>
    </r>
    <r>
      <rPr>
        <sz val="10"/>
        <rFont val="Vazirmatn"/>
        <family val="0"/>
        <charset val="1"/>
      </rPr>
      <t xml:space="preserve">A</t>
    </r>
  </si>
  <si>
    <t xml:space="preserve">31280006</t>
  </si>
  <si>
    <r>
      <rPr>
        <sz val="10"/>
        <rFont val="FreeSans"/>
        <family val="2"/>
      </rPr>
      <t xml:space="preserve">قیفی هیدروسیکلون نوع  </t>
    </r>
    <r>
      <rPr>
        <sz val="10"/>
        <rFont val="Vazirmatn"/>
        <family val="0"/>
        <charset val="1"/>
      </rPr>
      <t xml:space="preserve">B</t>
    </r>
  </si>
  <si>
    <t xml:space="preserve">31282100</t>
  </si>
  <si>
    <r>
      <rPr>
        <sz val="10"/>
        <rFont val="FreeSans"/>
        <family val="2"/>
      </rPr>
      <t xml:space="preserve">تیغه قیچی ماشین چرخ دوخت </t>
    </r>
    <r>
      <rPr>
        <sz val="10"/>
        <rFont val="Vazirmatn"/>
        <family val="0"/>
        <charset val="1"/>
      </rPr>
      <t xml:space="preserve">246071</t>
    </r>
  </si>
  <si>
    <t xml:space="preserve">31282102</t>
  </si>
  <si>
    <t xml:space="preserve">ورم  پرس روغن کشی بزرگ</t>
  </si>
  <si>
    <t xml:space="preserve">31282103</t>
  </si>
  <si>
    <t xml:space="preserve">تیغه همزن گرمکن پرس روغنکشی</t>
  </si>
  <si>
    <t xml:space="preserve">31282106</t>
  </si>
  <si>
    <r>
      <rPr>
        <sz val="10"/>
        <rFont val="FreeSans"/>
        <family val="2"/>
      </rPr>
      <t xml:space="preserve">ورم  فشار  پرس روغن </t>
    </r>
    <r>
      <rPr>
        <sz val="10"/>
        <rFont val="Vazirmatn"/>
        <family val="0"/>
        <charset val="1"/>
      </rPr>
      <t xml:space="preserve">1638-GOYUM-1500</t>
    </r>
  </si>
  <si>
    <t xml:space="preserve">31282110</t>
  </si>
  <si>
    <r>
      <rPr>
        <sz val="10"/>
        <rFont val="FreeSans"/>
        <family val="2"/>
      </rPr>
      <t xml:space="preserve">ورم فشار پرس روغن </t>
    </r>
    <r>
      <rPr>
        <sz val="10"/>
        <rFont val="Vazirmatn"/>
        <family val="0"/>
        <charset val="1"/>
      </rPr>
      <t xml:space="preserve">1624-GOYUM-1500</t>
    </r>
  </si>
  <si>
    <t xml:space="preserve">31282111</t>
  </si>
  <si>
    <r>
      <rPr>
        <sz val="10"/>
        <rFont val="FreeSans"/>
        <family val="2"/>
      </rPr>
      <t xml:space="preserve">ورم مخروطی پرس روغن </t>
    </r>
    <r>
      <rPr>
        <sz val="10"/>
        <rFont val="Vazirmatn"/>
        <family val="0"/>
        <charset val="1"/>
      </rPr>
      <t xml:space="preserve">1626-GOYUM-1500</t>
    </r>
  </si>
  <si>
    <t xml:space="preserve">31282112</t>
  </si>
  <si>
    <r>
      <rPr>
        <sz val="10"/>
        <rFont val="FreeSans"/>
        <family val="2"/>
      </rPr>
      <t xml:space="preserve">ورم فشار  پرس روغن </t>
    </r>
    <r>
      <rPr>
        <sz val="10"/>
        <rFont val="Vazirmatn"/>
        <family val="0"/>
        <charset val="1"/>
      </rPr>
      <t xml:space="preserve">1628-GOYUM-1500</t>
    </r>
  </si>
  <si>
    <t xml:space="preserve">31282114</t>
  </si>
  <si>
    <r>
      <rPr>
        <sz val="10"/>
        <rFont val="FreeSans"/>
        <family val="2"/>
      </rPr>
      <t xml:space="preserve">ورم  فشار پرس روغن </t>
    </r>
    <r>
      <rPr>
        <sz val="10"/>
        <rFont val="Vazirmatn"/>
        <family val="0"/>
        <charset val="1"/>
      </rPr>
      <t xml:space="preserve">1630-GOYUM-1500</t>
    </r>
  </si>
  <si>
    <t xml:space="preserve">31282115</t>
  </si>
  <si>
    <r>
      <rPr>
        <sz val="10"/>
        <rFont val="FreeSans"/>
        <family val="2"/>
      </rPr>
      <t xml:space="preserve">ورم فشار  پرس  روغن </t>
    </r>
    <r>
      <rPr>
        <sz val="10"/>
        <rFont val="Vazirmatn"/>
        <family val="0"/>
        <charset val="1"/>
      </rPr>
      <t xml:space="preserve">1632-GOYUM-1500</t>
    </r>
  </si>
  <si>
    <t xml:space="preserve">31282117</t>
  </si>
  <si>
    <r>
      <rPr>
        <sz val="10"/>
        <rFont val="FreeSans"/>
        <family val="2"/>
      </rPr>
      <t xml:space="preserve">ورم مخروطی پرس روغن </t>
    </r>
    <r>
      <rPr>
        <sz val="10"/>
        <rFont val="Vazirmatn"/>
        <family val="0"/>
        <charset val="1"/>
      </rPr>
      <t xml:space="preserve">1634-GOYUM-1500</t>
    </r>
  </si>
  <si>
    <t xml:space="preserve">31282118</t>
  </si>
  <si>
    <r>
      <rPr>
        <sz val="10"/>
        <rFont val="FreeSans"/>
        <family val="2"/>
      </rPr>
      <t xml:space="preserve">ورم  فشار  پرس  روغن </t>
    </r>
    <r>
      <rPr>
        <sz val="10"/>
        <rFont val="Vazirmatn"/>
        <family val="0"/>
        <charset val="1"/>
      </rPr>
      <t xml:space="preserve">1636-GOYUM-1500</t>
    </r>
  </si>
  <si>
    <t xml:space="preserve">31282119</t>
  </si>
  <si>
    <r>
      <rPr>
        <sz val="10"/>
        <rFont val="FreeSans"/>
        <family val="2"/>
      </rPr>
      <t xml:space="preserve">ورم  فشار   پرس  روغن </t>
    </r>
    <r>
      <rPr>
        <sz val="10"/>
        <rFont val="Vazirmatn"/>
        <family val="0"/>
        <charset val="1"/>
      </rPr>
      <t xml:space="preserve">1640-GOYUM-1500</t>
    </r>
  </si>
  <si>
    <t xml:space="preserve">31282120</t>
  </si>
  <si>
    <r>
      <rPr>
        <sz val="10"/>
        <rFont val="FreeSans"/>
        <family val="2"/>
      </rPr>
      <t xml:space="preserve">ورم   فشار   پرس  روغن </t>
    </r>
    <r>
      <rPr>
        <sz val="10"/>
        <rFont val="Vazirmatn"/>
        <family val="0"/>
        <charset val="1"/>
      </rPr>
      <t xml:space="preserve">1642-GOYUM-1500</t>
    </r>
  </si>
  <si>
    <t xml:space="preserve">31282123</t>
  </si>
  <si>
    <r>
      <rPr>
        <sz val="10"/>
        <rFont val="FreeSans"/>
        <family val="2"/>
      </rPr>
      <t xml:space="preserve">تیغه برش درام درایر 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چینی </t>
    </r>
    <r>
      <rPr>
        <sz val="10"/>
        <rFont val="Vazirmatn"/>
        <family val="0"/>
        <charset val="1"/>
      </rPr>
      <t xml:space="preserve">)  TYPE:Y1530  3070*150*2MM</t>
    </r>
  </si>
  <si>
    <t xml:space="preserve">31282125</t>
  </si>
  <si>
    <t xml:space="preserve">ورم پرس روغن گویوم</t>
  </si>
  <si>
    <t xml:space="preserve">31282127</t>
  </si>
  <si>
    <t xml:space="preserve">خرد کن پرس روغن گویوم</t>
  </si>
  <si>
    <t xml:space="preserve">31282130</t>
  </si>
  <si>
    <r>
      <rPr>
        <sz val="10"/>
        <rFont val="FreeSans"/>
        <family val="2"/>
      </rPr>
      <t xml:space="preserve">اهرم تنظیم کننده پرس روغن  </t>
    </r>
    <r>
      <rPr>
        <sz val="10"/>
        <rFont val="Vazirmatn"/>
        <family val="0"/>
        <charset val="1"/>
      </rPr>
      <t xml:space="preserve">1559-GOYUM-1500</t>
    </r>
  </si>
  <si>
    <t xml:space="preserve">31282133</t>
  </si>
  <si>
    <t xml:space="preserve">تیغه دستگاه بسته بندی نشاسته اکسید</t>
  </si>
  <si>
    <t xml:space="preserve">31282136</t>
  </si>
  <si>
    <t xml:space="preserve">تیغه اره آهن بر</t>
  </si>
  <si>
    <t xml:space="preserve">31282137</t>
  </si>
  <si>
    <t xml:space="preserve">تیغه اره آتشی دستگاه آهن بری</t>
  </si>
  <si>
    <t xml:space="preserve">31282141</t>
  </si>
  <si>
    <t xml:space="preserve">اهرم بالا بر چرخ دوخت</t>
  </si>
  <si>
    <t xml:space="preserve">31282142</t>
  </si>
  <si>
    <t xml:space="preserve">تیغه استیل</t>
  </si>
  <si>
    <t xml:space="preserve">31282143</t>
  </si>
  <si>
    <t xml:space="preserve">اهرم پایه فشار</t>
  </si>
  <si>
    <t xml:space="preserve">31282148</t>
  </si>
  <si>
    <r>
      <rPr>
        <sz val="10"/>
        <rFont val="FreeSans"/>
        <family val="2"/>
      </rPr>
      <t xml:space="preserve">تیغه جدا کننده پرس روغن بزرگ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اسپیسر</t>
    </r>
    <r>
      <rPr>
        <sz val="10"/>
        <rFont val="Vazirmatn"/>
        <family val="0"/>
        <charset val="1"/>
      </rPr>
      <t xml:space="preserve">)</t>
    </r>
  </si>
  <si>
    <t xml:space="preserve">31282150</t>
  </si>
  <si>
    <r>
      <rPr>
        <sz val="10"/>
        <rFont val="FreeSans"/>
        <family val="2"/>
      </rPr>
      <t xml:space="preserve">تیغه پرس روغن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شمشیری ناحیه </t>
    </r>
    <r>
      <rPr>
        <sz val="10"/>
        <rFont val="Vazirmatn"/>
        <family val="0"/>
        <charset val="1"/>
      </rPr>
      <t xml:space="preserve">" 12 ) 1604A-GOYUM-1500</t>
    </r>
  </si>
  <si>
    <t xml:space="preserve">31282151</t>
  </si>
  <si>
    <r>
      <rPr>
        <sz val="10"/>
        <rFont val="FreeSans"/>
        <family val="2"/>
      </rPr>
      <t xml:space="preserve">تیغه پرس روغن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شمشیری ناحیه </t>
    </r>
    <r>
      <rPr>
        <sz val="10"/>
        <rFont val="Vazirmatn"/>
        <family val="0"/>
        <charset val="1"/>
      </rPr>
      <t xml:space="preserve">" 11 ) 1604B-GOYUM-1500</t>
    </r>
  </si>
  <si>
    <t xml:space="preserve">31282152</t>
  </si>
  <si>
    <r>
      <rPr>
        <sz val="10"/>
        <rFont val="FreeSans"/>
        <family val="2"/>
      </rPr>
      <t xml:space="preserve">تیغه پرس روغن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شمشیری ناحیه </t>
    </r>
    <r>
      <rPr>
        <sz val="10"/>
        <rFont val="Vazirmatn"/>
        <family val="0"/>
        <charset val="1"/>
      </rPr>
      <t xml:space="preserve">" 10 ) 1604C-GOYUM-1500</t>
    </r>
  </si>
  <si>
    <t xml:space="preserve">31282153</t>
  </si>
  <si>
    <r>
      <rPr>
        <sz val="10"/>
        <rFont val="FreeSans"/>
        <family val="2"/>
      </rPr>
      <t xml:space="preserve">تیغه پرس روغن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شمش ناحیه </t>
    </r>
    <r>
      <rPr>
        <sz val="10"/>
        <rFont val="Vazirmatn"/>
        <family val="0"/>
        <charset val="1"/>
      </rPr>
      <t xml:space="preserve">" 12 )  1595-GOYUM-1500</t>
    </r>
  </si>
  <si>
    <t xml:space="preserve">31282154</t>
  </si>
  <si>
    <r>
      <rPr>
        <sz val="10"/>
        <rFont val="FreeSans"/>
        <family val="2"/>
      </rPr>
      <t xml:space="preserve">تیغه پرس روغن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شمش ناحیه </t>
    </r>
    <r>
      <rPr>
        <sz val="10"/>
        <rFont val="Vazirmatn"/>
        <family val="0"/>
        <charset val="1"/>
      </rPr>
      <t xml:space="preserve">" 11 ) 1596-GOYUM-1500</t>
    </r>
  </si>
  <si>
    <t xml:space="preserve">31282156</t>
  </si>
  <si>
    <r>
      <rPr>
        <sz val="10"/>
        <rFont val="FreeSans"/>
        <family val="2"/>
      </rPr>
      <t xml:space="preserve">تیغه پرس روغن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شمش ناحیه </t>
    </r>
    <r>
      <rPr>
        <sz val="10"/>
        <rFont val="Vazirmatn"/>
        <family val="0"/>
        <charset val="1"/>
      </rPr>
      <t xml:space="preserve">" 10 ) 1597-GOYUM-1500</t>
    </r>
  </si>
  <si>
    <t xml:space="preserve">31282157</t>
  </si>
  <si>
    <r>
      <rPr>
        <sz val="10"/>
        <rFont val="FreeSans"/>
        <family val="2"/>
      </rPr>
      <t xml:space="preserve">تیغه پرس گویوم  </t>
    </r>
    <r>
      <rPr>
        <sz val="10"/>
        <rFont val="Vazirmatn"/>
        <family val="0"/>
        <charset val="1"/>
      </rPr>
      <t xml:space="preserve">1595</t>
    </r>
  </si>
  <si>
    <t xml:space="preserve">31282159</t>
  </si>
  <si>
    <r>
      <rPr>
        <sz val="10"/>
        <rFont val="FreeSans"/>
        <family val="2"/>
      </rPr>
      <t xml:space="preserve">تیغه قیچی  </t>
    </r>
    <r>
      <rPr>
        <sz val="10"/>
        <rFont val="Vazirmatn"/>
        <family val="0"/>
        <charset val="1"/>
      </rPr>
      <t xml:space="preserve">246061</t>
    </r>
  </si>
  <si>
    <t xml:space="preserve">31282161</t>
  </si>
  <si>
    <t xml:space="preserve">ورم  پرس روغن کشی کوچک</t>
  </si>
  <si>
    <t xml:space="preserve">31282179</t>
  </si>
  <si>
    <r>
      <rPr>
        <sz val="10"/>
        <rFont val="FreeSans"/>
        <family val="2"/>
      </rPr>
      <t xml:space="preserve">تیغه استیل   </t>
    </r>
    <r>
      <rPr>
        <sz val="10"/>
        <rFont val="Vazirmatn"/>
        <family val="0"/>
        <charset val="1"/>
      </rPr>
      <t xml:space="preserve">35Cm*5Cm</t>
    </r>
  </si>
  <si>
    <t xml:space="preserve">31282180</t>
  </si>
  <si>
    <t xml:space="preserve">تیغه رینولد</t>
  </si>
  <si>
    <t xml:space="preserve">31282181</t>
  </si>
  <si>
    <t xml:space="preserve">تیغه فولادی درام پریژل</t>
  </si>
  <si>
    <t xml:space="preserve">31282182</t>
  </si>
  <si>
    <r>
      <rPr>
        <sz val="10"/>
        <rFont val="FreeSans"/>
        <family val="2"/>
      </rPr>
      <t xml:space="preserve">تیغه پیلر چینی  </t>
    </r>
    <r>
      <rPr>
        <sz val="10"/>
        <rFont val="Vazirmatn"/>
        <family val="0"/>
        <charset val="1"/>
      </rPr>
      <t xml:space="preserve">Scraper blade</t>
    </r>
  </si>
  <si>
    <t xml:space="preserve">31282183</t>
  </si>
  <si>
    <t xml:space="preserve">تیغه درام شربت</t>
  </si>
  <si>
    <t xml:space="preserve">31282188</t>
  </si>
  <si>
    <t xml:space="preserve">تیغه استیل درام کربن گلوکوز</t>
  </si>
  <si>
    <t xml:space="preserve">31282204</t>
  </si>
  <si>
    <t xml:space="preserve">تیغه رینولد قدیم</t>
  </si>
  <si>
    <t xml:space="preserve">31282209</t>
  </si>
  <si>
    <t xml:space="preserve">تیغه  فولادی جدا کننده  پرس روغن کشی</t>
  </si>
  <si>
    <t xml:space="preserve">31282210</t>
  </si>
  <si>
    <r>
      <rPr>
        <sz val="10"/>
        <rFont val="FreeSans"/>
        <family val="2"/>
      </rPr>
      <t xml:space="preserve">تیغه آسیاب چکشی    </t>
    </r>
    <r>
      <rPr>
        <sz val="10"/>
        <rFont val="Vazirmatn"/>
        <family val="0"/>
        <charset val="1"/>
      </rPr>
      <t xml:space="preserve">5/5 * 50 * 165</t>
    </r>
  </si>
  <si>
    <t xml:space="preserve">31282211</t>
  </si>
  <si>
    <r>
      <rPr>
        <sz val="10"/>
        <rFont val="FreeSans"/>
        <family val="2"/>
      </rPr>
      <t xml:space="preserve">تیغه آسیاب چکشی  </t>
    </r>
    <r>
      <rPr>
        <sz val="10"/>
        <rFont val="Vazirmatn"/>
        <family val="0"/>
        <charset val="1"/>
      </rPr>
      <t xml:space="preserve">MJSA 60/18</t>
    </r>
  </si>
  <si>
    <t xml:space="preserve">31283102</t>
  </si>
  <si>
    <r>
      <rPr>
        <sz val="10"/>
        <rFont val="FreeSans"/>
        <family val="2"/>
      </rPr>
      <t xml:space="preserve">برس سیمی استوانه ای </t>
    </r>
    <r>
      <rPr>
        <sz val="10"/>
        <rFont val="Vazirmatn"/>
        <family val="0"/>
        <charset val="1"/>
      </rPr>
      <t xml:space="preserve">61</t>
    </r>
  </si>
  <si>
    <t xml:space="preserve">31283125</t>
  </si>
  <si>
    <t xml:space="preserve">برس سیم دسته پلاستیکی</t>
  </si>
  <si>
    <t xml:space="preserve">31283128</t>
  </si>
  <si>
    <r>
      <rPr>
        <sz val="10"/>
        <rFont val="FreeSans"/>
        <family val="2"/>
      </rPr>
      <t xml:space="preserve">برس نایلونی  </t>
    </r>
    <r>
      <rPr>
        <sz val="10"/>
        <rFont val="Vazirmatn"/>
        <family val="0"/>
        <charset val="1"/>
      </rPr>
      <t xml:space="preserve">30 cm</t>
    </r>
  </si>
  <si>
    <t xml:space="preserve">31283146</t>
  </si>
  <si>
    <r>
      <rPr>
        <sz val="10"/>
        <rFont val="FreeSans"/>
        <family val="2"/>
      </rPr>
      <t xml:space="preserve">برس آهنی کاسه ای بافته </t>
    </r>
    <r>
      <rPr>
        <sz val="10"/>
        <rFont val="Vazirmatn"/>
        <family val="0"/>
        <charset val="1"/>
      </rPr>
      <t xml:space="preserve">70</t>
    </r>
  </si>
  <si>
    <t xml:space="preserve">31283148</t>
  </si>
  <si>
    <r>
      <rPr>
        <sz val="10"/>
        <rFont val="FreeSans"/>
        <family val="2"/>
      </rPr>
      <t xml:space="preserve">برس آهنی کاسه ای افشان </t>
    </r>
    <r>
      <rPr>
        <sz val="10"/>
        <rFont val="Vazirmatn"/>
        <family val="0"/>
        <charset val="1"/>
      </rPr>
      <t xml:space="preserve">70</t>
    </r>
  </si>
  <si>
    <t xml:space="preserve">31283149</t>
  </si>
  <si>
    <r>
      <rPr>
        <sz val="10"/>
        <rFont val="FreeSans"/>
        <family val="2"/>
      </rPr>
      <t xml:space="preserve">فرچه سیمی حلزونی </t>
    </r>
    <r>
      <rPr>
        <sz val="10"/>
        <rFont val="Vazirmatn"/>
        <family val="0"/>
        <charset val="1"/>
      </rPr>
      <t xml:space="preserve">42</t>
    </r>
  </si>
  <si>
    <t xml:space="preserve">31283151</t>
  </si>
  <si>
    <r>
      <rPr>
        <sz val="10"/>
        <rFont val="FreeSans"/>
        <family val="2"/>
      </rPr>
      <t xml:space="preserve">فرچه سیمی نمره </t>
    </r>
    <r>
      <rPr>
        <sz val="10"/>
        <rFont val="Vazirmatn"/>
        <family val="0"/>
        <charset val="1"/>
      </rPr>
      <t xml:space="preserve">35</t>
    </r>
  </si>
  <si>
    <t xml:space="preserve">31283152</t>
  </si>
  <si>
    <r>
      <rPr>
        <sz val="10"/>
        <rFont val="FreeSans"/>
        <family val="2"/>
      </rPr>
      <t xml:space="preserve">فرچه استوانه ای سیمی   </t>
    </r>
    <r>
      <rPr>
        <sz val="10"/>
        <rFont val="Vazirmatn"/>
        <family val="0"/>
        <charset val="1"/>
      </rPr>
      <t xml:space="preserve">30</t>
    </r>
  </si>
  <si>
    <t xml:space="preserve">31283153</t>
  </si>
  <si>
    <t xml:space="preserve">فرچه سنگ رومیزی</t>
  </si>
  <si>
    <t xml:space="preserve">31283154</t>
  </si>
  <si>
    <t xml:space="preserve">فرچه دستگاه واکس زنی</t>
  </si>
  <si>
    <t xml:space="preserve">31283155</t>
  </si>
  <si>
    <t xml:space="preserve">فرچه یلاستیکی دستکاه واکس زنی</t>
  </si>
  <si>
    <t xml:space="preserve">31283156</t>
  </si>
  <si>
    <r>
      <rPr>
        <sz val="10"/>
        <rFont val="FreeSans"/>
        <family val="2"/>
      </rPr>
      <t xml:space="preserve">برس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وایر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استیل کاسه ای افشان </t>
    </r>
    <r>
      <rPr>
        <sz val="10"/>
        <rFont val="Vazirmatn"/>
        <family val="0"/>
        <charset val="1"/>
      </rPr>
      <t xml:space="preserve">70</t>
    </r>
  </si>
  <si>
    <t xml:space="preserve">31283158</t>
  </si>
  <si>
    <t xml:space="preserve">فرچه سنگ خورشیدی</t>
  </si>
  <si>
    <t xml:space="preserve">31283159</t>
  </si>
  <si>
    <r>
      <rPr>
        <sz val="10"/>
        <rFont val="FreeSans"/>
        <family val="2"/>
      </rPr>
      <t xml:space="preserve">فرچه سیمی استوانه ای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لوله شور </t>
    </r>
    <r>
      <rPr>
        <sz val="10"/>
        <rFont val="Vazirmatn"/>
        <family val="0"/>
        <charset val="1"/>
      </rPr>
      <t xml:space="preserve">)</t>
    </r>
  </si>
  <si>
    <t xml:space="preserve">31284102</t>
  </si>
  <si>
    <r>
      <rPr>
        <sz val="10"/>
        <rFont val="FreeSans"/>
        <family val="2"/>
      </rPr>
      <t xml:space="preserve">پوشال کولر آبی    </t>
    </r>
    <r>
      <rPr>
        <sz val="10"/>
        <rFont val="Vazirmatn"/>
        <family val="0"/>
        <charset val="1"/>
      </rPr>
      <t xml:space="preserve">6000</t>
    </r>
  </si>
  <si>
    <t xml:space="preserve">31284104</t>
  </si>
  <si>
    <r>
      <rPr>
        <sz val="10"/>
        <rFont val="FreeSans"/>
        <family val="2"/>
      </rPr>
      <t xml:space="preserve">پوشال کولر آبی  </t>
    </r>
    <r>
      <rPr>
        <sz val="10"/>
        <rFont val="Vazirmatn"/>
        <family val="0"/>
        <charset val="1"/>
      </rPr>
      <t xml:space="preserve">5000</t>
    </r>
  </si>
  <si>
    <t xml:space="preserve">31284106</t>
  </si>
  <si>
    <r>
      <rPr>
        <sz val="10"/>
        <rFont val="FreeSans"/>
        <family val="2"/>
      </rPr>
      <t xml:space="preserve">پوشال کولر آبی  </t>
    </r>
    <r>
      <rPr>
        <sz val="10"/>
        <rFont val="Vazirmatn"/>
        <family val="0"/>
        <charset val="1"/>
      </rPr>
      <t xml:space="preserve">7000</t>
    </r>
  </si>
  <si>
    <t xml:space="preserve">31285016</t>
  </si>
  <si>
    <t xml:space="preserve">پره آلومینیومی فن چیلر</t>
  </si>
  <si>
    <t xml:space="preserve">31285103</t>
  </si>
  <si>
    <t xml:space="preserve">صفحه سنگ برش آهنی</t>
  </si>
  <si>
    <t xml:space="preserve">31285109</t>
  </si>
  <si>
    <t xml:space="preserve">سنگ چخماخ هوا برش</t>
  </si>
  <si>
    <t xml:space="preserve">31285113</t>
  </si>
  <si>
    <r>
      <rPr>
        <sz val="10"/>
        <rFont val="FreeSans"/>
        <family val="2"/>
      </rPr>
      <t xml:space="preserve">صفحه فلاپ بزرگ   </t>
    </r>
    <r>
      <rPr>
        <sz val="10"/>
        <rFont val="Vazirmatn"/>
        <family val="0"/>
        <charset val="1"/>
      </rPr>
      <t xml:space="preserve">Grit:100</t>
    </r>
  </si>
  <si>
    <t xml:space="preserve">31285119</t>
  </si>
  <si>
    <r>
      <rPr>
        <sz val="10"/>
        <rFont val="FreeSans"/>
        <family val="2"/>
      </rPr>
      <t xml:space="preserve">صفحه ساب مینی سنگ </t>
    </r>
    <r>
      <rPr>
        <sz val="10"/>
        <rFont val="Vazirmatn"/>
        <family val="0"/>
        <charset val="1"/>
      </rPr>
      <t xml:space="preserve">Size: 115 * 3 * 22.23 mm</t>
    </r>
  </si>
  <si>
    <t xml:space="preserve">31285123</t>
  </si>
  <si>
    <r>
      <rPr>
        <sz val="10"/>
        <rFont val="FreeSans"/>
        <family val="2"/>
      </rPr>
      <t xml:space="preserve">صفحه فلاپ بزرگ   </t>
    </r>
    <r>
      <rPr>
        <sz val="10"/>
        <rFont val="Vazirmatn"/>
        <family val="0"/>
        <charset val="1"/>
      </rPr>
      <t xml:space="preserve">Grit:80</t>
    </r>
  </si>
  <si>
    <t xml:space="preserve">31285124</t>
  </si>
  <si>
    <t xml:space="preserve">سنگ رومیزی نرم</t>
  </si>
  <si>
    <t xml:space="preserve">31285125</t>
  </si>
  <si>
    <r>
      <rPr>
        <sz val="10"/>
        <rFont val="FreeSans"/>
        <family val="2"/>
      </rPr>
      <t xml:space="preserve">سنباده آهن نمره </t>
    </r>
    <r>
      <rPr>
        <sz val="10"/>
        <rFont val="Vazirmatn"/>
        <family val="0"/>
        <charset val="1"/>
      </rPr>
      <t xml:space="preserve">: 40</t>
    </r>
  </si>
  <si>
    <t xml:space="preserve">31285127</t>
  </si>
  <si>
    <r>
      <rPr>
        <sz val="10"/>
        <rFont val="FreeSans"/>
        <family val="2"/>
      </rPr>
      <t xml:space="preserve">صفحه فلاپ مینی     </t>
    </r>
    <r>
      <rPr>
        <sz val="10"/>
        <rFont val="Vazirmatn"/>
        <family val="0"/>
        <charset val="1"/>
      </rPr>
      <t xml:space="preserve">Grit:80    115-22mm</t>
    </r>
  </si>
  <si>
    <t xml:space="preserve">31285128</t>
  </si>
  <si>
    <r>
      <rPr>
        <sz val="10"/>
        <rFont val="FreeSans"/>
        <family val="2"/>
      </rPr>
      <t xml:space="preserve">صفحه فلاپ مینی   </t>
    </r>
    <r>
      <rPr>
        <sz val="10"/>
        <rFont val="Vazirmatn"/>
        <family val="0"/>
        <charset val="1"/>
      </rPr>
      <t xml:space="preserve">Grit:100    115-22mm</t>
    </r>
  </si>
  <si>
    <t xml:space="preserve">31285129</t>
  </si>
  <si>
    <t xml:space="preserve">صفحه سمباده</t>
  </si>
  <si>
    <t xml:space="preserve">31285133</t>
  </si>
  <si>
    <r>
      <rPr>
        <sz val="10"/>
        <rFont val="FreeSans"/>
        <family val="2"/>
      </rPr>
      <t xml:space="preserve">سنباده پلاستیک نمره </t>
    </r>
    <r>
      <rPr>
        <sz val="10"/>
        <rFont val="Vazirmatn"/>
        <family val="0"/>
        <charset val="1"/>
      </rPr>
      <t xml:space="preserve">: 80</t>
    </r>
  </si>
  <si>
    <t xml:space="preserve">31285134</t>
  </si>
  <si>
    <r>
      <rPr>
        <sz val="10"/>
        <rFont val="FreeSans"/>
        <family val="2"/>
      </rPr>
      <t xml:space="preserve">سنباده پلاستیک نمره </t>
    </r>
    <r>
      <rPr>
        <sz val="10"/>
        <rFont val="Vazirmatn"/>
        <family val="0"/>
        <charset val="1"/>
      </rPr>
      <t xml:space="preserve">: 120</t>
    </r>
  </si>
  <si>
    <t xml:space="preserve">31285135</t>
  </si>
  <si>
    <t xml:space="preserve">صفحه پروفیل بر</t>
  </si>
  <si>
    <t xml:space="preserve">31285138</t>
  </si>
  <si>
    <r>
      <rPr>
        <sz val="10"/>
        <rFont val="FreeSans"/>
        <family val="2"/>
      </rPr>
      <t xml:space="preserve">سنباده </t>
    </r>
    <r>
      <rPr>
        <sz val="10"/>
        <rFont val="Vazirmatn"/>
        <family val="0"/>
        <charset val="1"/>
      </rPr>
      <t xml:space="preserve">P 40</t>
    </r>
  </si>
  <si>
    <t xml:space="preserve">31285141</t>
  </si>
  <si>
    <r>
      <rPr>
        <sz val="10"/>
        <rFont val="FreeSans"/>
        <family val="2"/>
      </rPr>
      <t xml:space="preserve">سمباده کاغذی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پوستاب </t>
    </r>
    <r>
      <rPr>
        <sz val="10"/>
        <rFont val="Vazirmatn"/>
        <family val="0"/>
        <charset val="1"/>
      </rPr>
      <t xml:space="preserve">) P 800</t>
    </r>
  </si>
  <si>
    <t xml:space="preserve">31285142</t>
  </si>
  <si>
    <r>
      <rPr>
        <sz val="10"/>
        <rFont val="FreeSans"/>
        <family val="2"/>
      </rPr>
      <t xml:space="preserve">سمباده کاغذی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پوستاب </t>
    </r>
    <r>
      <rPr>
        <sz val="10"/>
        <rFont val="Vazirmatn"/>
        <family val="0"/>
        <charset val="1"/>
      </rPr>
      <t xml:space="preserve">) P 1200</t>
    </r>
  </si>
  <si>
    <t xml:space="preserve">31285143</t>
  </si>
  <si>
    <r>
      <rPr>
        <sz val="10"/>
        <rFont val="FreeSans"/>
        <family val="2"/>
      </rPr>
      <t xml:space="preserve">سمباده کاغذی </t>
    </r>
    <r>
      <rPr>
        <sz val="10"/>
        <rFont val="Vazirmatn"/>
        <family val="0"/>
        <charset val="1"/>
      </rPr>
      <t xml:space="preserve">400</t>
    </r>
  </si>
  <si>
    <t xml:space="preserve">31285144</t>
  </si>
  <si>
    <r>
      <rPr>
        <sz val="10"/>
        <rFont val="FreeSans"/>
        <family val="2"/>
      </rPr>
      <t xml:space="preserve">سمباده کاغذی </t>
    </r>
    <r>
      <rPr>
        <sz val="10"/>
        <rFont val="Vazirmatn"/>
        <family val="0"/>
        <charset val="1"/>
      </rPr>
      <t xml:space="preserve">1000</t>
    </r>
  </si>
  <si>
    <t xml:space="preserve">31285145</t>
  </si>
  <si>
    <r>
      <rPr>
        <sz val="10"/>
        <rFont val="FreeSans"/>
        <family val="2"/>
      </rPr>
      <t xml:space="preserve">سمباده پوستاب </t>
    </r>
    <r>
      <rPr>
        <sz val="10"/>
        <rFont val="Vazirmatn"/>
        <family val="0"/>
        <charset val="1"/>
      </rPr>
      <t xml:space="preserve">80</t>
    </r>
  </si>
  <si>
    <t xml:space="preserve">31285146</t>
  </si>
  <si>
    <r>
      <rPr>
        <sz val="10"/>
        <rFont val="FreeSans"/>
        <family val="2"/>
      </rPr>
      <t xml:space="preserve">سمباده پوستاب </t>
    </r>
    <r>
      <rPr>
        <sz val="10"/>
        <rFont val="Vazirmatn"/>
        <family val="0"/>
        <charset val="1"/>
      </rPr>
      <t xml:space="preserve">120</t>
    </r>
  </si>
  <si>
    <t xml:space="preserve">31285147</t>
  </si>
  <si>
    <r>
      <rPr>
        <sz val="10"/>
        <rFont val="FreeSans"/>
        <family val="2"/>
      </rPr>
      <t xml:space="preserve">سمباده پوستاب </t>
    </r>
    <r>
      <rPr>
        <sz val="10"/>
        <rFont val="Vazirmatn"/>
        <family val="0"/>
        <charset val="1"/>
      </rPr>
      <t xml:space="preserve">40</t>
    </r>
  </si>
  <si>
    <t xml:space="preserve">31286100</t>
  </si>
  <si>
    <r>
      <rPr>
        <sz val="10"/>
        <rFont val="FreeSans"/>
        <family val="2"/>
      </rPr>
      <t xml:space="preserve">آچار یک سر تخت یک سر رینگی </t>
    </r>
    <r>
      <rPr>
        <sz val="10"/>
        <rFont val="Vazirmatn"/>
        <family val="0"/>
        <charset val="1"/>
      </rPr>
      <t xml:space="preserve">10</t>
    </r>
  </si>
  <si>
    <t xml:space="preserve">31286101</t>
  </si>
  <si>
    <r>
      <rPr>
        <sz val="10"/>
        <rFont val="FreeSans"/>
        <family val="2"/>
      </rPr>
      <t xml:space="preserve">بکس تکی شش پر </t>
    </r>
    <r>
      <rPr>
        <sz val="10"/>
        <rFont val="Vazirmatn"/>
        <family val="0"/>
        <charset val="1"/>
      </rPr>
      <t xml:space="preserve">10</t>
    </r>
  </si>
  <si>
    <t xml:space="preserve">31286102</t>
  </si>
  <si>
    <t xml:space="preserve">دسته نازل کارواش</t>
  </si>
  <si>
    <t xml:space="preserve">31286107</t>
  </si>
  <si>
    <r>
      <rPr>
        <sz val="10"/>
        <rFont val="FreeSans"/>
        <family val="2"/>
      </rPr>
      <t xml:space="preserve">اتصال مادگی    </t>
    </r>
    <r>
      <rPr>
        <sz val="10"/>
        <rFont val="Vazirmatn"/>
        <family val="0"/>
        <charset val="1"/>
      </rPr>
      <t xml:space="preserve">" 2</t>
    </r>
  </si>
  <si>
    <t xml:space="preserve">31286113</t>
  </si>
  <si>
    <r>
      <rPr>
        <sz val="10"/>
        <rFont val="FreeSans"/>
        <family val="2"/>
      </rPr>
      <t xml:space="preserve">آچار جغجغه ای </t>
    </r>
    <r>
      <rPr>
        <sz val="10"/>
        <rFont val="Vazirmatn"/>
        <family val="0"/>
        <charset val="1"/>
      </rPr>
      <t xml:space="preserve">80</t>
    </r>
  </si>
  <si>
    <t xml:space="preserve">31286125</t>
  </si>
  <si>
    <r>
      <rPr>
        <sz val="10"/>
        <rFont val="FreeSans"/>
        <family val="2"/>
      </rPr>
      <t xml:space="preserve">آلن تکی بلند سر گرد </t>
    </r>
    <r>
      <rPr>
        <sz val="10"/>
        <rFont val="Vazirmatn"/>
        <family val="0"/>
        <charset val="1"/>
      </rPr>
      <t xml:space="preserve">3</t>
    </r>
  </si>
  <si>
    <t xml:space="preserve">31286126</t>
  </si>
  <si>
    <r>
      <rPr>
        <sz val="10"/>
        <rFont val="FreeSans"/>
        <family val="2"/>
      </rPr>
      <t xml:space="preserve">آچار رینگی  </t>
    </r>
    <r>
      <rPr>
        <sz val="10"/>
        <rFont val="Vazirmatn"/>
        <family val="0"/>
        <charset val="1"/>
      </rPr>
      <t xml:space="preserve">21 - 19</t>
    </r>
  </si>
  <si>
    <t xml:space="preserve">31286131</t>
  </si>
  <si>
    <t xml:space="preserve">جعبه آچار آلات بزرگ</t>
  </si>
  <si>
    <t xml:space="preserve">31286132</t>
  </si>
  <si>
    <r>
      <rPr>
        <sz val="10"/>
        <rFont val="FreeSans"/>
        <family val="2"/>
      </rPr>
      <t xml:space="preserve">کاتر دسته عایق  </t>
    </r>
    <r>
      <rPr>
        <sz val="10"/>
        <rFont val="Vazirmatn"/>
        <family val="0"/>
        <charset val="1"/>
      </rPr>
      <t xml:space="preserve">KDS</t>
    </r>
  </si>
  <si>
    <t xml:space="preserve">31286133</t>
  </si>
  <si>
    <r>
      <rPr>
        <sz val="10"/>
        <rFont val="FreeSans"/>
        <family val="2"/>
      </rPr>
      <t xml:space="preserve">خار جمع کن سر کج متوسط </t>
    </r>
    <r>
      <rPr>
        <sz val="10"/>
        <rFont val="Vazirmatn"/>
        <family val="0"/>
        <charset val="1"/>
      </rPr>
      <t xml:space="preserve">"8</t>
    </r>
  </si>
  <si>
    <t xml:space="preserve">31286134</t>
  </si>
  <si>
    <r>
      <rPr>
        <sz val="10"/>
        <rFont val="FreeSans"/>
        <family val="2"/>
      </rPr>
      <t xml:space="preserve">خار باز کن سر کج متوسط </t>
    </r>
    <r>
      <rPr>
        <sz val="10"/>
        <rFont val="Vazirmatn"/>
        <family val="0"/>
        <charset val="1"/>
      </rPr>
      <t xml:space="preserve">"8</t>
    </r>
  </si>
  <si>
    <t xml:space="preserve">31286136</t>
  </si>
  <si>
    <r>
      <rPr>
        <sz val="10"/>
        <rFont val="FreeSans"/>
        <family val="2"/>
      </rPr>
      <t xml:space="preserve">خار باز کن سر راست کوچک </t>
    </r>
    <r>
      <rPr>
        <sz val="10"/>
        <rFont val="Vazirmatn"/>
        <family val="0"/>
        <charset val="1"/>
      </rPr>
      <t xml:space="preserve">"5</t>
    </r>
  </si>
  <si>
    <t xml:space="preserve">31286137</t>
  </si>
  <si>
    <r>
      <rPr>
        <sz val="10"/>
        <rFont val="FreeSans"/>
        <family val="2"/>
      </rPr>
      <t xml:space="preserve">آچار چاکنت قابل تنظیم </t>
    </r>
    <r>
      <rPr>
        <sz val="10"/>
        <rFont val="Vazirmatn"/>
        <family val="0"/>
        <charset val="1"/>
      </rPr>
      <t xml:space="preserve">" 2 - " 3/4</t>
    </r>
  </si>
  <si>
    <t xml:space="preserve">31286138</t>
  </si>
  <si>
    <r>
      <rPr>
        <sz val="10"/>
        <rFont val="FreeSans"/>
        <family val="2"/>
      </rPr>
      <t xml:space="preserve">آچار سر مته و پیچ شیروانی </t>
    </r>
    <r>
      <rPr>
        <sz val="10"/>
        <rFont val="Vazirmatn"/>
        <family val="0"/>
        <charset val="1"/>
      </rPr>
      <t xml:space="preserve">3/8</t>
    </r>
  </si>
  <si>
    <t xml:space="preserve">31286139</t>
  </si>
  <si>
    <r>
      <rPr>
        <sz val="10"/>
        <rFont val="FreeSans"/>
        <family val="2"/>
      </rPr>
      <t xml:space="preserve">خار باز کن </t>
    </r>
    <r>
      <rPr>
        <sz val="10"/>
        <rFont val="Vazirmatn"/>
        <family val="0"/>
        <charset val="1"/>
      </rPr>
      <t xml:space="preserve">"8</t>
    </r>
  </si>
  <si>
    <t xml:space="preserve">31286146</t>
  </si>
  <si>
    <t xml:space="preserve">زاویه سنج دیجیتال</t>
  </si>
  <si>
    <t xml:space="preserve">31286148</t>
  </si>
  <si>
    <r>
      <rPr>
        <sz val="10"/>
        <rFont val="FreeSans"/>
        <family val="2"/>
      </rPr>
      <t xml:space="preserve">شعاع سنج   </t>
    </r>
    <r>
      <rPr>
        <sz val="10"/>
        <rFont val="Vazirmatn"/>
        <family val="0"/>
        <charset val="1"/>
      </rPr>
      <t xml:space="preserve">15 - 7/5</t>
    </r>
  </si>
  <si>
    <t xml:space="preserve">31286149</t>
  </si>
  <si>
    <r>
      <rPr>
        <sz val="10"/>
        <rFont val="FreeSans"/>
        <family val="2"/>
      </rPr>
      <t xml:space="preserve">شعاع سنج   </t>
    </r>
    <r>
      <rPr>
        <sz val="10"/>
        <rFont val="Vazirmatn"/>
        <family val="0"/>
        <charset val="1"/>
      </rPr>
      <t xml:space="preserve">7/5 - 1</t>
    </r>
  </si>
  <si>
    <t xml:space="preserve">31286150</t>
  </si>
  <si>
    <t xml:space="preserve">پرگار داخل سنج زبانه بلند</t>
  </si>
  <si>
    <t xml:space="preserve">31286151</t>
  </si>
  <si>
    <r>
      <rPr>
        <sz val="10"/>
        <rFont val="FreeSans"/>
        <family val="2"/>
      </rPr>
      <t xml:space="preserve">تستر باطری دیجیتال  </t>
    </r>
    <r>
      <rPr>
        <sz val="10"/>
        <rFont val="Vazirmatn"/>
        <family val="0"/>
        <charset val="1"/>
      </rPr>
      <t xml:space="preserve">12/24V DC - 200AH</t>
    </r>
  </si>
  <si>
    <t xml:space="preserve">31286154</t>
  </si>
  <si>
    <r>
      <rPr>
        <sz val="10"/>
        <rFont val="FreeSans"/>
        <family val="2"/>
      </rPr>
      <t xml:space="preserve">زاویه سنج فلزی  </t>
    </r>
    <r>
      <rPr>
        <sz val="10"/>
        <rFont val="Vazirmatn"/>
        <family val="0"/>
        <charset val="1"/>
      </rPr>
      <t xml:space="preserve">KWS 20</t>
    </r>
  </si>
  <si>
    <t xml:space="preserve">31286156</t>
  </si>
  <si>
    <r>
      <rPr>
        <sz val="10"/>
        <rFont val="FreeSans"/>
        <family val="2"/>
      </rPr>
      <t xml:space="preserve">دسته بکس کشویی  </t>
    </r>
    <r>
      <rPr>
        <sz val="10"/>
        <rFont val="Vazirmatn"/>
        <family val="0"/>
        <charset val="1"/>
      </rPr>
      <t xml:space="preserve">"1/2</t>
    </r>
  </si>
  <si>
    <t xml:space="preserve">31286158</t>
  </si>
  <si>
    <t xml:space="preserve">آچار مهره اصلی شفت سپراتور تغلیظ گلوتن</t>
  </si>
  <si>
    <t xml:space="preserve">31286159</t>
  </si>
  <si>
    <r>
      <rPr>
        <sz val="10"/>
        <rFont val="FreeSans"/>
        <family val="2"/>
      </rPr>
      <t xml:space="preserve">رابط بکس </t>
    </r>
    <r>
      <rPr>
        <sz val="10"/>
        <rFont val="Vazirmatn"/>
        <family val="0"/>
        <charset val="1"/>
      </rPr>
      <t xml:space="preserve">" 25Cm  1/2</t>
    </r>
  </si>
  <si>
    <t xml:space="preserve">31286160</t>
  </si>
  <si>
    <r>
      <rPr>
        <sz val="10"/>
        <rFont val="FreeSans"/>
        <family val="2"/>
      </rPr>
      <t xml:space="preserve">رابط بکس کوتاه  </t>
    </r>
    <r>
      <rPr>
        <sz val="10"/>
        <rFont val="Vazirmatn"/>
        <family val="0"/>
        <charset val="1"/>
      </rPr>
      <t xml:space="preserve">"1/2</t>
    </r>
  </si>
  <si>
    <t xml:space="preserve">31286161</t>
  </si>
  <si>
    <r>
      <rPr>
        <sz val="10"/>
        <rFont val="FreeSans"/>
        <family val="2"/>
      </rPr>
      <t xml:space="preserve">تست گیج دیجیتال ویکا </t>
    </r>
    <r>
      <rPr>
        <sz val="10"/>
        <rFont val="Vazirmatn"/>
        <family val="0"/>
        <charset val="1"/>
      </rPr>
      <t xml:space="preserve">- 30 </t>
    </r>
    <r>
      <rPr>
        <sz val="10"/>
        <rFont val="FreeSans"/>
        <family val="2"/>
      </rPr>
      <t xml:space="preserve">الی </t>
    </r>
    <r>
      <rPr>
        <sz val="10"/>
        <rFont val="Vazirmatn"/>
        <family val="0"/>
        <charset val="1"/>
      </rPr>
      <t xml:space="preserve">1- Bar - </t>
    </r>
    <r>
      <rPr>
        <sz val="10"/>
        <rFont val="FreeSans"/>
        <family val="2"/>
      </rPr>
      <t xml:space="preserve">دقت </t>
    </r>
    <r>
      <rPr>
        <sz val="10"/>
        <rFont val="Vazirmatn"/>
        <family val="0"/>
        <charset val="1"/>
      </rPr>
      <t xml:space="preserve">%0/25 accurcy - </t>
    </r>
    <r>
      <rPr>
        <sz val="10"/>
        <rFont val="FreeSans"/>
        <family val="2"/>
      </rPr>
      <t xml:space="preserve">ریزنگری </t>
    </r>
    <r>
      <rPr>
        <sz val="10"/>
        <rFont val="Vazirmatn"/>
        <family val="0"/>
        <charset val="1"/>
      </rPr>
      <t xml:space="preserve">0/01 - </t>
    </r>
    <r>
      <rPr>
        <sz val="10"/>
        <rFont val="FreeSans"/>
        <family val="2"/>
      </rPr>
      <t xml:space="preserve">مدل </t>
    </r>
    <r>
      <rPr>
        <sz val="10"/>
        <rFont val="Vazirmatn"/>
        <family val="0"/>
        <charset val="1"/>
      </rPr>
      <t xml:space="preserve">CPG 500</t>
    </r>
  </si>
  <si>
    <t xml:space="preserve">31286162</t>
  </si>
  <si>
    <r>
      <rPr>
        <sz val="10"/>
        <rFont val="FreeSans"/>
        <family val="2"/>
      </rPr>
      <t xml:space="preserve">کولیس دیجیتالی </t>
    </r>
    <r>
      <rPr>
        <sz val="10"/>
        <rFont val="Vazirmatn"/>
        <family val="0"/>
        <charset val="1"/>
      </rPr>
      <t xml:space="preserve">Mitutoyo 500-197-30  200mm</t>
    </r>
  </si>
  <si>
    <t xml:space="preserve">31286163</t>
  </si>
  <si>
    <r>
      <rPr>
        <sz val="10"/>
        <rFont val="FreeSans"/>
        <family val="2"/>
      </rPr>
      <t xml:space="preserve">میکرومتر  </t>
    </r>
    <r>
      <rPr>
        <sz val="10"/>
        <rFont val="Vazirmatn"/>
        <family val="0"/>
        <charset val="1"/>
      </rPr>
      <t xml:space="preserve">Mitutoyo 103 - 137  0-25mm</t>
    </r>
  </si>
  <si>
    <t xml:space="preserve">31286164</t>
  </si>
  <si>
    <r>
      <rPr>
        <sz val="10"/>
        <rFont val="FreeSans"/>
        <family val="2"/>
      </rPr>
      <t xml:space="preserve">میکرومتر  </t>
    </r>
    <r>
      <rPr>
        <sz val="10"/>
        <rFont val="Vazirmatn"/>
        <family val="0"/>
        <charset val="1"/>
      </rPr>
      <t xml:space="preserve">Mitutoyo 103 - 139  50-75mm</t>
    </r>
  </si>
  <si>
    <t xml:space="preserve">31286165</t>
  </si>
  <si>
    <r>
      <rPr>
        <sz val="10"/>
        <rFont val="FreeSans"/>
        <family val="2"/>
      </rPr>
      <t xml:space="preserve">رابط گردبر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شیار سایز اتصال </t>
    </r>
    <r>
      <rPr>
        <sz val="10"/>
        <rFont val="Vazirmatn"/>
        <family val="0"/>
        <charset val="1"/>
      </rPr>
      <t xml:space="preserve">20mm </t>
    </r>
    <r>
      <rPr>
        <sz val="10"/>
        <rFont val="FreeSans"/>
        <family val="2"/>
      </rPr>
      <t xml:space="preserve">به گردبر</t>
    </r>
  </si>
  <si>
    <t xml:space="preserve">31286167</t>
  </si>
  <si>
    <r>
      <rPr>
        <sz val="10"/>
        <rFont val="FreeSans"/>
        <family val="2"/>
      </rPr>
      <t xml:space="preserve">خار جمع کن سر کج </t>
    </r>
    <r>
      <rPr>
        <sz val="10"/>
        <rFont val="Vazirmatn"/>
        <family val="0"/>
        <charset val="1"/>
      </rPr>
      <t xml:space="preserve">"8</t>
    </r>
  </si>
  <si>
    <t xml:space="preserve">31286168</t>
  </si>
  <si>
    <r>
      <rPr>
        <sz val="10"/>
        <rFont val="FreeSans"/>
        <family val="2"/>
      </rPr>
      <t xml:space="preserve">کاتر ایمنی اولفا </t>
    </r>
    <r>
      <rPr>
        <sz val="10"/>
        <rFont val="Vazirmatn"/>
        <family val="0"/>
        <charset val="1"/>
      </rPr>
      <t xml:space="preserve">( SK 10 - OLFA )</t>
    </r>
  </si>
  <si>
    <t xml:space="preserve">31286169</t>
  </si>
  <si>
    <r>
      <rPr>
        <sz val="10"/>
        <rFont val="FreeSans"/>
        <family val="2"/>
      </rPr>
      <t xml:space="preserve">کاتر ایمنی اولفا </t>
    </r>
    <r>
      <rPr>
        <sz val="10"/>
        <rFont val="Vazirmatn"/>
        <family val="0"/>
        <charset val="1"/>
      </rPr>
      <t xml:space="preserve">( PK 1 - OLFA )</t>
    </r>
  </si>
  <si>
    <t xml:space="preserve">31286170</t>
  </si>
  <si>
    <r>
      <rPr>
        <sz val="10"/>
        <rFont val="FreeSans"/>
        <family val="2"/>
      </rPr>
      <t xml:space="preserve">کاتر ایمنی اولفا </t>
    </r>
    <r>
      <rPr>
        <sz val="10"/>
        <rFont val="Vazirmatn"/>
        <family val="0"/>
        <charset val="1"/>
      </rPr>
      <t xml:space="preserve">( HOK 1 - OLFA )</t>
    </r>
  </si>
  <si>
    <t xml:space="preserve">31286173</t>
  </si>
  <si>
    <t xml:space="preserve">گونیای فلزی کوتاه</t>
  </si>
  <si>
    <t xml:space="preserve">31286176</t>
  </si>
  <si>
    <r>
      <rPr>
        <sz val="10"/>
        <rFont val="FreeSans"/>
        <family val="2"/>
      </rPr>
      <t xml:space="preserve">گونیای آهنی </t>
    </r>
    <r>
      <rPr>
        <sz val="10"/>
        <rFont val="Vazirmatn"/>
        <family val="0"/>
        <charset val="1"/>
      </rPr>
      <t xml:space="preserve">30Cm</t>
    </r>
  </si>
  <si>
    <t xml:space="preserve">31286185</t>
  </si>
  <si>
    <r>
      <rPr>
        <sz val="10"/>
        <rFont val="FreeSans"/>
        <family val="2"/>
      </rPr>
      <t xml:space="preserve">تراز  </t>
    </r>
    <r>
      <rPr>
        <sz val="10"/>
        <rFont val="Vazirmatn"/>
        <family val="0"/>
        <charset val="1"/>
      </rPr>
      <t xml:space="preserve">30Cm</t>
    </r>
  </si>
  <si>
    <t xml:space="preserve">31286186</t>
  </si>
  <si>
    <r>
      <rPr>
        <sz val="10"/>
        <rFont val="FreeSans"/>
        <family val="2"/>
      </rPr>
      <t xml:space="preserve">تراز لیزری کنزاکس </t>
    </r>
    <r>
      <rPr>
        <sz val="10"/>
        <rFont val="Vazirmatn"/>
        <family val="0"/>
        <charset val="1"/>
      </rPr>
      <t xml:space="preserve">380 </t>
    </r>
    <r>
      <rPr>
        <sz val="10"/>
        <rFont val="FreeSans"/>
        <family val="2"/>
      </rPr>
      <t xml:space="preserve">درجه</t>
    </r>
  </si>
  <si>
    <t xml:space="preserve">31286189</t>
  </si>
  <si>
    <r>
      <rPr>
        <sz val="10"/>
        <rFont val="FreeSans"/>
        <family val="2"/>
      </rPr>
      <t xml:space="preserve">تراز  </t>
    </r>
    <r>
      <rPr>
        <sz val="10"/>
        <rFont val="Vazirmatn"/>
        <family val="0"/>
        <charset val="1"/>
      </rPr>
      <t xml:space="preserve">20Cm</t>
    </r>
  </si>
  <si>
    <t xml:space="preserve">31286197</t>
  </si>
  <si>
    <r>
      <rPr>
        <sz val="10"/>
        <rFont val="FreeSans"/>
        <family val="2"/>
      </rPr>
      <t xml:space="preserve">تایلیور سر کج </t>
    </r>
    <r>
      <rPr>
        <sz val="10"/>
        <rFont val="Vazirmatn"/>
        <family val="0"/>
        <charset val="1"/>
      </rPr>
      <t xml:space="preserve">60Cm</t>
    </r>
  </si>
  <si>
    <t xml:space="preserve">31286199</t>
  </si>
  <si>
    <t xml:space="preserve">انبردست</t>
  </si>
  <si>
    <t xml:space="preserve">31286201</t>
  </si>
  <si>
    <r>
      <rPr>
        <sz val="10"/>
        <rFont val="FreeSans"/>
        <family val="2"/>
      </rPr>
      <t xml:space="preserve">انبر قفلی تاپ تول </t>
    </r>
    <r>
      <rPr>
        <sz val="10"/>
        <rFont val="Vazirmatn"/>
        <family val="0"/>
        <charset val="1"/>
      </rPr>
      <t xml:space="preserve">"8</t>
    </r>
  </si>
  <si>
    <t xml:space="preserve">31286202</t>
  </si>
  <si>
    <r>
      <rPr>
        <sz val="10"/>
        <rFont val="FreeSans"/>
        <family val="2"/>
      </rPr>
      <t xml:space="preserve">دسته آلن خشابی  </t>
    </r>
    <r>
      <rPr>
        <sz val="10"/>
        <rFont val="Vazirmatn"/>
        <family val="0"/>
        <charset val="1"/>
      </rPr>
      <t xml:space="preserve">12 - 3</t>
    </r>
  </si>
  <si>
    <t xml:space="preserve">31286208</t>
  </si>
  <si>
    <t xml:space="preserve">سنبه سوراخ زن</t>
  </si>
  <si>
    <t xml:space="preserve">31286209</t>
  </si>
  <si>
    <r>
      <rPr>
        <sz val="10"/>
        <rFont val="FreeSans"/>
        <family val="2"/>
      </rPr>
      <t xml:space="preserve">تراز </t>
    </r>
    <r>
      <rPr>
        <sz val="10"/>
        <rFont val="Vazirmatn"/>
        <family val="0"/>
        <charset val="1"/>
      </rPr>
      <t xml:space="preserve">50Cm </t>
    </r>
    <r>
      <rPr>
        <sz val="10"/>
        <rFont val="FreeSans"/>
        <family val="2"/>
      </rPr>
      <t xml:space="preserve">اسلوونی </t>
    </r>
    <r>
      <rPr>
        <sz val="10"/>
        <rFont val="Vazirmatn"/>
        <family val="0"/>
        <charset val="1"/>
      </rPr>
      <t xml:space="preserve">mtc</t>
    </r>
  </si>
  <si>
    <t xml:space="preserve">31286216</t>
  </si>
  <si>
    <r>
      <rPr>
        <sz val="10"/>
        <rFont val="FreeSans"/>
        <family val="2"/>
      </rPr>
      <t xml:space="preserve">آلن </t>
    </r>
    <r>
      <rPr>
        <sz val="10"/>
        <rFont val="Vazirmatn"/>
        <family val="0"/>
        <charset val="1"/>
      </rPr>
      <t xml:space="preserve">4</t>
    </r>
  </si>
  <si>
    <t xml:space="preserve">31286217</t>
  </si>
  <si>
    <r>
      <rPr>
        <sz val="10"/>
        <rFont val="FreeSans"/>
        <family val="2"/>
      </rPr>
      <t xml:space="preserve">دسته آلن خشابی </t>
    </r>
    <r>
      <rPr>
        <sz val="10"/>
        <rFont val="Vazirmatn"/>
        <family val="0"/>
        <charset val="1"/>
      </rPr>
      <t xml:space="preserve">10 - 2</t>
    </r>
  </si>
  <si>
    <t xml:space="preserve">31286220</t>
  </si>
  <si>
    <t xml:space="preserve">انبر آرماتور بندی</t>
  </si>
  <si>
    <t xml:space="preserve">31286221</t>
  </si>
  <si>
    <t xml:space="preserve">کاشی بر بلند</t>
  </si>
  <si>
    <t xml:space="preserve">31286222</t>
  </si>
  <si>
    <r>
      <rPr>
        <sz val="10"/>
        <rFont val="FreeSans"/>
        <family val="2"/>
      </rPr>
      <t xml:space="preserve">متر  </t>
    </r>
    <r>
      <rPr>
        <sz val="10"/>
        <rFont val="Vazirmatn"/>
        <family val="0"/>
        <charset val="1"/>
      </rPr>
      <t xml:space="preserve">5m</t>
    </r>
  </si>
  <si>
    <t xml:space="preserve">31286223</t>
  </si>
  <si>
    <r>
      <rPr>
        <sz val="10"/>
        <rFont val="FreeSans"/>
        <family val="2"/>
      </rPr>
      <t xml:space="preserve">متر  </t>
    </r>
    <r>
      <rPr>
        <sz val="10"/>
        <rFont val="Vazirmatn"/>
        <family val="0"/>
        <charset val="1"/>
      </rPr>
      <t xml:space="preserve">10m</t>
    </r>
  </si>
  <si>
    <t xml:space="preserve">31286227</t>
  </si>
  <si>
    <r>
      <rPr>
        <sz val="10"/>
        <rFont val="FreeSans"/>
        <family val="2"/>
      </rPr>
      <t xml:space="preserve">آلن  </t>
    </r>
    <r>
      <rPr>
        <sz val="10"/>
        <rFont val="Vazirmatn"/>
        <family val="0"/>
        <charset val="1"/>
      </rPr>
      <t xml:space="preserve">8</t>
    </r>
  </si>
  <si>
    <t xml:space="preserve">31286229</t>
  </si>
  <si>
    <r>
      <rPr>
        <sz val="10"/>
        <rFont val="FreeSans"/>
        <family val="2"/>
      </rPr>
      <t xml:space="preserve">گاز انبر  </t>
    </r>
    <r>
      <rPr>
        <sz val="10"/>
        <rFont val="Vazirmatn"/>
        <family val="0"/>
        <charset val="1"/>
      </rPr>
      <t xml:space="preserve">" 10</t>
    </r>
  </si>
  <si>
    <t xml:space="preserve">31286230</t>
  </si>
  <si>
    <r>
      <rPr>
        <sz val="10"/>
        <rFont val="FreeSans"/>
        <family val="2"/>
      </rPr>
      <t xml:space="preserve">ورق گیر  </t>
    </r>
    <r>
      <rPr>
        <sz val="10"/>
        <rFont val="Vazirmatn"/>
        <family val="0"/>
        <charset val="1"/>
      </rPr>
      <t xml:space="preserve">( 2 </t>
    </r>
    <r>
      <rPr>
        <sz val="10"/>
        <rFont val="FreeSans"/>
        <family val="2"/>
      </rPr>
      <t xml:space="preserve">تن </t>
    </r>
    <r>
      <rPr>
        <sz val="10"/>
        <rFont val="Vazirmatn"/>
        <family val="0"/>
        <charset val="1"/>
      </rPr>
      <t xml:space="preserve">)</t>
    </r>
  </si>
  <si>
    <t xml:space="preserve">31286231</t>
  </si>
  <si>
    <r>
      <rPr>
        <sz val="10"/>
        <rFont val="FreeSans"/>
        <family val="2"/>
      </rPr>
      <t xml:space="preserve">ست آچار آلن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اینچی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بلند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سرگرد</t>
    </r>
    <r>
      <rPr>
        <sz val="10"/>
        <rFont val="Vazirmatn"/>
        <family val="0"/>
        <charset val="1"/>
      </rPr>
      <t xml:space="preserve">-9</t>
    </r>
    <r>
      <rPr>
        <sz val="10"/>
        <rFont val="FreeSans"/>
        <family val="2"/>
      </rPr>
      <t xml:space="preserve">عددی </t>
    </r>
    <r>
      <rPr>
        <sz val="10"/>
        <rFont val="Vazirmatn"/>
        <family val="0"/>
        <charset val="1"/>
      </rPr>
      <t xml:space="preserve">)</t>
    </r>
  </si>
  <si>
    <t xml:space="preserve">31286232</t>
  </si>
  <si>
    <r>
      <rPr>
        <sz val="10"/>
        <rFont val="FreeSans"/>
        <family val="2"/>
      </rPr>
      <t xml:space="preserve">سر پیچ گوشتی یکسر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دو و یکسر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سو </t>
    </r>
    <r>
      <rPr>
        <sz val="10"/>
        <rFont val="Vazirmatn"/>
        <family val="0"/>
        <charset val="1"/>
      </rPr>
      <t xml:space="preserve">( 6/5Cm )</t>
    </r>
  </si>
  <si>
    <t xml:space="preserve">31286233</t>
  </si>
  <si>
    <r>
      <rPr>
        <sz val="10"/>
        <rFont val="FreeSans"/>
        <family val="2"/>
      </rPr>
      <t xml:space="preserve">متر  </t>
    </r>
    <r>
      <rPr>
        <sz val="10"/>
        <rFont val="Vazirmatn"/>
        <family val="0"/>
        <charset val="1"/>
      </rPr>
      <t xml:space="preserve">3m</t>
    </r>
  </si>
  <si>
    <t xml:space="preserve">31286234</t>
  </si>
  <si>
    <r>
      <rPr>
        <sz val="10"/>
        <rFont val="FreeSans"/>
        <family val="2"/>
      </rPr>
      <t xml:space="preserve">سری پیچ گوشتی دو سر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سو </t>
    </r>
    <r>
      <rPr>
        <sz val="10"/>
        <rFont val="Vazirmatn"/>
        <family val="0"/>
        <charset val="1"/>
      </rPr>
      <t xml:space="preserve">( 10Cm )</t>
    </r>
  </si>
  <si>
    <t xml:space="preserve">31286235</t>
  </si>
  <si>
    <r>
      <rPr>
        <sz val="10"/>
        <rFont val="FreeSans"/>
        <family val="2"/>
      </rPr>
      <t xml:space="preserve">انبرقفلی  </t>
    </r>
    <r>
      <rPr>
        <sz val="10"/>
        <rFont val="Vazirmatn"/>
        <family val="0"/>
        <charset val="1"/>
      </rPr>
      <t xml:space="preserve">"15</t>
    </r>
  </si>
  <si>
    <t xml:space="preserve">31286243</t>
  </si>
  <si>
    <t xml:space="preserve">فولی کش سه شاخ متوسط</t>
  </si>
  <si>
    <t xml:space="preserve">31286246</t>
  </si>
  <si>
    <r>
      <rPr>
        <sz val="10"/>
        <rFont val="FreeSans"/>
        <family val="2"/>
      </rPr>
      <t xml:space="preserve">انبرقفلی  </t>
    </r>
    <r>
      <rPr>
        <sz val="10"/>
        <rFont val="Vazirmatn"/>
        <family val="0"/>
        <charset val="1"/>
      </rPr>
      <t xml:space="preserve">"10</t>
    </r>
  </si>
  <si>
    <t xml:space="preserve">31286248</t>
  </si>
  <si>
    <r>
      <rPr>
        <sz val="10"/>
        <rFont val="FreeSans"/>
        <family val="2"/>
      </rPr>
      <t xml:space="preserve">انبرقفلی  </t>
    </r>
    <r>
      <rPr>
        <sz val="10"/>
        <rFont val="Vazirmatn"/>
        <family val="0"/>
        <charset val="1"/>
      </rPr>
      <t xml:space="preserve">"8</t>
    </r>
  </si>
  <si>
    <t xml:space="preserve">31286249</t>
  </si>
  <si>
    <r>
      <rPr>
        <sz val="10"/>
        <rFont val="FreeSans"/>
        <family val="2"/>
      </rPr>
      <t xml:space="preserve">آلن </t>
    </r>
    <r>
      <rPr>
        <sz val="10"/>
        <rFont val="Vazirmatn"/>
        <family val="0"/>
        <charset val="1"/>
      </rPr>
      <t xml:space="preserve">3</t>
    </r>
  </si>
  <si>
    <t xml:space="preserve">31286250</t>
  </si>
  <si>
    <r>
      <rPr>
        <sz val="10"/>
        <rFont val="FreeSans"/>
        <family val="2"/>
      </rPr>
      <t xml:space="preserve">پیچ گوشتی ساعتی </t>
    </r>
    <r>
      <rPr>
        <sz val="10"/>
        <rFont val="Vazirmatn"/>
        <family val="0"/>
        <charset val="1"/>
      </rPr>
      <t xml:space="preserve">32 </t>
    </r>
    <r>
      <rPr>
        <sz val="10"/>
        <rFont val="FreeSans"/>
        <family val="2"/>
      </rPr>
      <t xml:space="preserve">عددی</t>
    </r>
  </si>
  <si>
    <t xml:space="preserve">31286251</t>
  </si>
  <si>
    <r>
      <rPr>
        <sz val="10"/>
        <rFont val="FreeSans"/>
        <family val="2"/>
      </rPr>
      <t xml:space="preserve">دسته آلن </t>
    </r>
    <r>
      <rPr>
        <sz val="10"/>
        <rFont val="Vazirmatn"/>
        <family val="0"/>
        <charset val="1"/>
      </rPr>
      <t xml:space="preserve">TOP TUL</t>
    </r>
  </si>
  <si>
    <t xml:space="preserve">31286253</t>
  </si>
  <si>
    <r>
      <rPr>
        <sz val="10"/>
        <rFont val="FreeSans"/>
        <family val="2"/>
      </rPr>
      <t xml:space="preserve">مجموعه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عدد آچار آلن </t>
    </r>
    <r>
      <rPr>
        <sz val="10"/>
        <rFont val="Vazirmatn"/>
        <family val="0"/>
        <charset val="1"/>
      </rPr>
      <t xml:space="preserve">( Top tul )</t>
    </r>
  </si>
  <si>
    <t xml:space="preserve">31286256</t>
  </si>
  <si>
    <r>
      <rPr>
        <sz val="10"/>
        <rFont val="FreeSans"/>
        <family val="2"/>
      </rPr>
      <t xml:space="preserve">آچار یکسر رینگ یکسر تخت </t>
    </r>
    <r>
      <rPr>
        <sz val="10"/>
        <rFont val="Vazirmatn"/>
        <family val="0"/>
        <charset val="1"/>
      </rPr>
      <t xml:space="preserve">12</t>
    </r>
  </si>
  <si>
    <t xml:space="preserve">31286258</t>
  </si>
  <si>
    <r>
      <rPr>
        <sz val="10"/>
        <rFont val="FreeSans"/>
        <family val="2"/>
      </rPr>
      <t xml:space="preserve">دسته آلن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عددی </t>
    </r>
    <r>
      <rPr>
        <sz val="10"/>
        <rFont val="Vazirmatn"/>
        <family val="0"/>
        <charset val="1"/>
      </rPr>
      <t xml:space="preserve">( Eight )</t>
    </r>
  </si>
  <si>
    <t xml:space="preserve">31286267</t>
  </si>
  <si>
    <r>
      <rPr>
        <sz val="10"/>
        <rFont val="FreeSans"/>
        <family val="2"/>
      </rPr>
      <t xml:space="preserve">بکس بادی </t>
    </r>
    <r>
      <rPr>
        <sz val="10"/>
        <rFont val="Vazirmatn"/>
        <family val="0"/>
        <charset val="1"/>
      </rPr>
      <t xml:space="preserve">( Max Tork : 75 ) 1/2" DR Air</t>
    </r>
  </si>
  <si>
    <t xml:space="preserve">31286272</t>
  </si>
  <si>
    <r>
      <rPr>
        <sz val="10"/>
        <rFont val="FreeSans"/>
        <family val="2"/>
      </rPr>
      <t xml:space="preserve">فنر برق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متری</t>
    </r>
  </si>
  <si>
    <t xml:space="preserve">31286274</t>
  </si>
  <si>
    <r>
      <rPr>
        <sz val="10"/>
        <rFont val="FreeSans"/>
        <family val="2"/>
      </rPr>
      <t xml:space="preserve">سری پیچ گوشتی شارژی دو سر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سو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بلند </t>
    </r>
    <r>
      <rPr>
        <sz val="10"/>
        <rFont val="Vazirmatn"/>
        <family val="0"/>
        <charset val="1"/>
      </rPr>
      <t xml:space="preserve">)</t>
    </r>
  </si>
  <si>
    <t xml:space="preserve">31286275</t>
  </si>
  <si>
    <r>
      <rPr>
        <sz val="10"/>
        <rFont val="FreeSans"/>
        <family val="2"/>
      </rPr>
      <t xml:space="preserve">سری پیچ گوشتی شارژی دو سر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سو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کوتاه </t>
    </r>
    <r>
      <rPr>
        <sz val="10"/>
        <rFont val="Vazirmatn"/>
        <family val="0"/>
        <charset val="1"/>
      </rPr>
      <t xml:space="preserve">)</t>
    </r>
  </si>
  <si>
    <t xml:space="preserve">31286276</t>
  </si>
  <si>
    <r>
      <rPr>
        <sz val="10"/>
        <rFont val="FreeSans"/>
        <family val="2"/>
      </rPr>
      <t xml:space="preserve">آچار مهره چاکنت  </t>
    </r>
    <r>
      <rPr>
        <sz val="10"/>
        <rFont val="Vazirmatn"/>
        <family val="0"/>
        <charset val="1"/>
      </rPr>
      <t xml:space="preserve">"1</t>
    </r>
  </si>
  <si>
    <t xml:space="preserve">31286277</t>
  </si>
  <si>
    <r>
      <rPr>
        <sz val="10"/>
        <rFont val="FreeSans"/>
        <family val="2"/>
      </rPr>
      <t xml:space="preserve">آچار مهره چاکنت  </t>
    </r>
    <r>
      <rPr>
        <sz val="10"/>
        <rFont val="Vazirmatn"/>
        <family val="0"/>
        <charset val="1"/>
      </rPr>
      <t xml:space="preserve">"2</t>
    </r>
  </si>
  <si>
    <t xml:space="preserve">31286278</t>
  </si>
  <si>
    <r>
      <rPr>
        <sz val="10"/>
        <rFont val="FreeSans"/>
        <family val="2"/>
      </rPr>
      <t xml:space="preserve">سنبه پانچ واشر سازی </t>
    </r>
    <r>
      <rPr>
        <sz val="10"/>
        <rFont val="Vazirmatn"/>
        <family val="0"/>
        <charset val="1"/>
      </rPr>
      <t xml:space="preserve">8</t>
    </r>
  </si>
  <si>
    <t xml:space="preserve">31286279</t>
  </si>
  <si>
    <r>
      <rPr>
        <sz val="10"/>
        <rFont val="FreeSans"/>
        <family val="2"/>
      </rPr>
      <t xml:space="preserve">سنبه پانچ واشر سازی </t>
    </r>
    <r>
      <rPr>
        <sz val="10"/>
        <rFont val="Vazirmatn"/>
        <family val="0"/>
        <charset val="1"/>
      </rPr>
      <t xml:space="preserve">10</t>
    </r>
  </si>
  <si>
    <t xml:space="preserve">31286292</t>
  </si>
  <si>
    <t xml:space="preserve">آچار کاسه اصلی سپراتور تغلیظ گلوتن</t>
  </si>
  <si>
    <t xml:space="preserve">31286295</t>
  </si>
  <si>
    <t xml:space="preserve">آچار نازل سپراتور</t>
  </si>
  <si>
    <t xml:space="preserve">31286298</t>
  </si>
  <si>
    <r>
      <rPr>
        <sz val="10"/>
        <rFont val="FreeSans"/>
        <family val="2"/>
      </rPr>
      <t xml:space="preserve">متر لیزری رونیکس </t>
    </r>
    <r>
      <rPr>
        <sz val="10"/>
        <rFont val="Vazirmatn"/>
        <family val="0"/>
        <charset val="1"/>
      </rPr>
      <t xml:space="preserve">RH - 9150 T</t>
    </r>
  </si>
  <si>
    <t xml:space="preserve">31286299</t>
  </si>
  <si>
    <r>
      <rPr>
        <sz val="10"/>
        <rFont val="FreeSans"/>
        <family val="2"/>
      </rPr>
      <t xml:space="preserve">متر لیزری بوش </t>
    </r>
    <r>
      <rPr>
        <sz val="10"/>
        <rFont val="Vazirmatn"/>
        <family val="0"/>
        <charset val="1"/>
      </rPr>
      <t xml:space="preserve">GLm 120Cm</t>
    </r>
  </si>
  <si>
    <t xml:space="preserve">31286302</t>
  </si>
  <si>
    <r>
      <rPr>
        <sz val="10"/>
        <rFont val="FreeSans"/>
        <family val="2"/>
      </rPr>
      <t xml:space="preserve">اتصال جوشکاری </t>
    </r>
    <r>
      <rPr>
        <sz val="10"/>
        <rFont val="Vazirmatn"/>
        <family val="0"/>
        <charset val="1"/>
      </rPr>
      <t xml:space="preserve">M18</t>
    </r>
  </si>
  <si>
    <t xml:space="preserve">31286304</t>
  </si>
  <si>
    <r>
      <rPr>
        <sz val="10"/>
        <rFont val="FreeSans"/>
        <family val="2"/>
      </rPr>
      <t xml:space="preserve">انبر جوشکاری </t>
    </r>
    <r>
      <rPr>
        <sz val="10"/>
        <rFont val="Vazirmatn"/>
        <family val="0"/>
        <charset val="1"/>
      </rPr>
      <t xml:space="preserve">550A</t>
    </r>
  </si>
  <si>
    <t xml:space="preserve">31286306</t>
  </si>
  <si>
    <r>
      <rPr>
        <sz val="10"/>
        <rFont val="FreeSans"/>
        <family val="2"/>
      </rPr>
      <t xml:space="preserve">انبر جوشکاری </t>
    </r>
    <r>
      <rPr>
        <sz val="10"/>
        <rFont val="Vazirmatn"/>
        <family val="0"/>
        <charset val="1"/>
      </rPr>
      <t xml:space="preserve">250A</t>
    </r>
  </si>
  <si>
    <t xml:space="preserve">31286307</t>
  </si>
  <si>
    <r>
      <rPr>
        <sz val="10"/>
        <rFont val="FreeSans"/>
        <family val="2"/>
      </rPr>
      <t xml:space="preserve">اتصال دستگاه جوش </t>
    </r>
    <r>
      <rPr>
        <sz val="10"/>
        <rFont val="Vazirmatn"/>
        <family val="0"/>
        <charset val="1"/>
      </rPr>
      <t xml:space="preserve">250A</t>
    </r>
  </si>
  <si>
    <t xml:space="preserve">31286308</t>
  </si>
  <si>
    <t xml:space="preserve">فلاش بک هوابرش اکسیژن دو سر شیلنگ خور</t>
  </si>
  <si>
    <t xml:space="preserve">31286309</t>
  </si>
  <si>
    <t xml:space="preserve">فلاش بک هوابرش گاز دو سر شیلنگ خور</t>
  </si>
  <si>
    <t xml:space="preserve">31286310</t>
  </si>
  <si>
    <r>
      <rPr>
        <sz val="10"/>
        <rFont val="FreeSans"/>
        <family val="2"/>
      </rPr>
      <t xml:space="preserve">فیش اتصال دستگاه جوش </t>
    </r>
    <r>
      <rPr>
        <sz val="10"/>
        <rFont val="Vazirmatn"/>
        <family val="0"/>
        <charset val="1"/>
      </rPr>
      <t xml:space="preserve">250A</t>
    </r>
  </si>
  <si>
    <t xml:space="preserve">31286313</t>
  </si>
  <si>
    <t xml:space="preserve">فنر سیم کشی فلزی</t>
  </si>
  <si>
    <t xml:space="preserve">31286314</t>
  </si>
  <si>
    <r>
      <rPr>
        <sz val="10"/>
        <rFont val="FreeSans"/>
        <family val="2"/>
      </rPr>
      <t xml:space="preserve">پک فرز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تیغه </t>
    </r>
    <r>
      <rPr>
        <sz val="10"/>
        <rFont val="Vazirmatn"/>
        <family val="0"/>
        <charset val="1"/>
      </rPr>
      <t xml:space="preserve">) HSS </t>
    </r>
    <r>
      <rPr>
        <sz val="10"/>
        <rFont val="FreeSans"/>
        <family val="2"/>
      </rPr>
      <t xml:space="preserve">برش صفحات</t>
    </r>
  </si>
  <si>
    <t xml:space="preserve">31286315</t>
  </si>
  <si>
    <t xml:space="preserve">اسکنه جوش</t>
  </si>
  <si>
    <t xml:space="preserve">31286316</t>
  </si>
  <si>
    <t xml:space="preserve">فشارسنج باد لاستیک</t>
  </si>
  <si>
    <t xml:space="preserve">31286317</t>
  </si>
  <si>
    <r>
      <rPr>
        <sz val="10"/>
        <rFont val="FreeSans"/>
        <family val="2"/>
      </rPr>
      <t xml:space="preserve">کولت  </t>
    </r>
    <r>
      <rPr>
        <sz val="10"/>
        <rFont val="Vazirmatn"/>
        <family val="0"/>
        <charset val="1"/>
      </rPr>
      <t xml:space="preserve">2/4</t>
    </r>
  </si>
  <si>
    <t xml:space="preserve">31286318</t>
  </si>
  <si>
    <r>
      <rPr>
        <sz val="10"/>
        <rFont val="FreeSans"/>
        <family val="2"/>
      </rPr>
      <t xml:space="preserve">کولت بادی  </t>
    </r>
    <r>
      <rPr>
        <sz val="10"/>
        <rFont val="Vazirmatn"/>
        <family val="0"/>
        <charset val="1"/>
      </rPr>
      <t xml:space="preserve">2/4</t>
    </r>
  </si>
  <si>
    <t xml:space="preserve">31286319</t>
  </si>
  <si>
    <t xml:space="preserve">کانکتور نری دستگاه جوش</t>
  </si>
  <si>
    <t xml:space="preserve">31286320</t>
  </si>
  <si>
    <t xml:space="preserve">کانکتور مادگی دستگاه جوش</t>
  </si>
  <si>
    <t xml:space="preserve">31286321</t>
  </si>
  <si>
    <r>
      <rPr>
        <sz val="10"/>
        <rFont val="FreeSans"/>
        <family val="2"/>
      </rPr>
      <t xml:space="preserve">فشنگی فنری کولت </t>
    </r>
    <r>
      <rPr>
        <sz val="10"/>
        <rFont val="Vazirmatn"/>
        <family val="0"/>
        <charset val="1"/>
      </rPr>
      <t xml:space="preserve">Q10</t>
    </r>
  </si>
  <si>
    <t xml:space="preserve">31286322</t>
  </si>
  <si>
    <t xml:space="preserve">فشنگی گاز لیفتراک سپاهان</t>
  </si>
  <si>
    <t xml:space="preserve">31286323</t>
  </si>
  <si>
    <r>
      <rPr>
        <sz val="10"/>
        <rFont val="FreeSans"/>
        <family val="2"/>
      </rPr>
      <t xml:space="preserve">دم باریک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تاپ تول </t>
    </r>
    <r>
      <rPr>
        <sz val="10"/>
        <rFont val="Vazirmatn"/>
        <family val="0"/>
        <charset val="1"/>
      </rPr>
      <t xml:space="preserve">)  " 8</t>
    </r>
  </si>
  <si>
    <t xml:space="preserve">31286324</t>
  </si>
  <si>
    <r>
      <rPr>
        <sz val="10"/>
        <rFont val="FreeSans"/>
        <family val="2"/>
      </rPr>
      <t xml:space="preserve">سیم چین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تاپ تول </t>
    </r>
    <r>
      <rPr>
        <sz val="10"/>
        <rFont val="Vazirmatn"/>
        <family val="0"/>
        <charset val="1"/>
      </rPr>
      <t xml:space="preserve">)  " 8</t>
    </r>
  </si>
  <si>
    <t xml:space="preserve">31286400</t>
  </si>
  <si>
    <t xml:space="preserve">کاردک همزن رنگ</t>
  </si>
  <si>
    <t xml:space="preserve">31286403</t>
  </si>
  <si>
    <t xml:space="preserve">کاردک پلاستیکی بزرگ</t>
  </si>
  <si>
    <t xml:space="preserve">31286404</t>
  </si>
  <si>
    <t xml:space="preserve">کاردک پلاستیکی کوچک</t>
  </si>
  <si>
    <t xml:space="preserve">31286405</t>
  </si>
  <si>
    <r>
      <rPr>
        <sz val="10"/>
        <rFont val="FreeSans"/>
        <family val="2"/>
      </rPr>
      <t xml:space="preserve">سینی رنگ آمیزی </t>
    </r>
    <r>
      <rPr>
        <sz val="10"/>
        <rFont val="Vazirmatn"/>
        <family val="0"/>
        <charset val="1"/>
      </rPr>
      <t xml:space="preserve">30Cm</t>
    </r>
  </si>
  <si>
    <t xml:space="preserve">31286406</t>
  </si>
  <si>
    <t xml:space="preserve">مل</t>
  </si>
  <si>
    <t xml:space="preserve">31286407</t>
  </si>
  <si>
    <r>
      <rPr>
        <sz val="10"/>
        <rFont val="FreeSans"/>
        <family val="2"/>
      </rPr>
      <t xml:space="preserve">غلطک رنگ آمیزی </t>
    </r>
    <r>
      <rPr>
        <sz val="10"/>
        <rFont val="Vazirmatn"/>
        <family val="0"/>
        <charset val="1"/>
      </rPr>
      <t xml:space="preserve">5Cm</t>
    </r>
  </si>
  <si>
    <t xml:space="preserve">31286408</t>
  </si>
  <si>
    <r>
      <rPr>
        <sz val="10"/>
        <rFont val="FreeSans"/>
        <family val="2"/>
      </rPr>
      <t xml:space="preserve">غلطک رنگ آمیزی </t>
    </r>
    <r>
      <rPr>
        <sz val="10"/>
        <rFont val="Vazirmatn"/>
        <family val="0"/>
        <charset val="1"/>
      </rPr>
      <t xml:space="preserve">10Cm</t>
    </r>
  </si>
  <si>
    <t xml:space="preserve">31286409</t>
  </si>
  <si>
    <r>
      <rPr>
        <sz val="10"/>
        <rFont val="FreeSans"/>
        <family val="2"/>
      </rPr>
      <t xml:space="preserve">غلطک رنگ آمیزی </t>
    </r>
    <r>
      <rPr>
        <sz val="10"/>
        <rFont val="Vazirmatn"/>
        <family val="0"/>
        <charset val="1"/>
      </rPr>
      <t xml:space="preserve">20Cm</t>
    </r>
  </si>
  <si>
    <t xml:space="preserve">31286410</t>
  </si>
  <si>
    <r>
      <rPr>
        <sz val="10"/>
        <rFont val="FreeSans"/>
        <family val="2"/>
      </rPr>
      <t xml:space="preserve">غلطک رنگ آمیزی </t>
    </r>
    <r>
      <rPr>
        <sz val="10"/>
        <rFont val="Vazirmatn"/>
        <family val="0"/>
        <charset val="1"/>
      </rPr>
      <t xml:space="preserve">30Cm</t>
    </r>
  </si>
  <si>
    <t xml:space="preserve">31286411</t>
  </si>
  <si>
    <r>
      <rPr>
        <sz val="10"/>
        <rFont val="FreeSans"/>
        <family val="2"/>
      </rPr>
      <t xml:space="preserve">سینی رنگ آمیزی </t>
    </r>
    <r>
      <rPr>
        <sz val="10"/>
        <rFont val="Vazirmatn"/>
        <family val="0"/>
        <charset val="1"/>
      </rPr>
      <t xml:space="preserve">10Cm</t>
    </r>
  </si>
  <si>
    <t xml:space="preserve">31286412</t>
  </si>
  <si>
    <r>
      <rPr>
        <sz val="10"/>
        <rFont val="FreeSans"/>
        <family val="2"/>
      </rPr>
      <t xml:space="preserve">سینی رنگ آمیزی </t>
    </r>
    <r>
      <rPr>
        <sz val="10"/>
        <rFont val="Vazirmatn"/>
        <family val="0"/>
        <charset val="1"/>
      </rPr>
      <t xml:space="preserve">20Cm</t>
    </r>
  </si>
  <si>
    <t xml:space="preserve">31286414</t>
  </si>
  <si>
    <r>
      <rPr>
        <sz val="10"/>
        <rFont val="FreeSans"/>
        <family val="2"/>
      </rPr>
      <t xml:space="preserve">پیستوله رنگ پاشی </t>
    </r>
    <r>
      <rPr>
        <sz val="10"/>
        <rFont val="Vazirmatn"/>
        <family val="0"/>
        <charset val="1"/>
      </rPr>
      <t xml:space="preserve">2/2 </t>
    </r>
    <r>
      <rPr>
        <sz val="10"/>
        <rFont val="FreeSans"/>
        <family val="2"/>
      </rPr>
      <t xml:space="preserve">با متعلقات</t>
    </r>
  </si>
  <si>
    <t xml:space="preserve">31286415</t>
  </si>
  <si>
    <r>
      <rPr>
        <sz val="10"/>
        <rFont val="FreeSans"/>
        <family val="2"/>
      </rPr>
      <t xml:space="preserve">پیستوله تفنگی باد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سرتفنگی شیلنگ باد </t>
    </r>
    <r>
      <rPr>
        <sz val="10"/>
        <rFont val="Vazirmatn"/>
        <family val="0"/>
        <charset val="1"/>
      </rPr>
      <t xml:space="preserve">)</t>
    </r>
  </si>
  <si>
    <t xml:space="preserve">31286416</t>
  </si>
  <si>
    <r>
      <rPr>
        <sz val="10"/>
        <rFont val="FreeSans"/>
        <family val="2"/>
      </rPr>
      <t xml:space="preserve">کاردک فلزی </t>
    </r>
    <r>
      <rPr>
        <sz val="10"/>
        <rFont val="Vazirmatn"/>
        <family val="0"/>
        <charset val="1"/>
      </rPr>
      <t xml:space="preserve">5Cm</t>
    </r>
  </si>
  <si>
    <t xml:space="preserve">31286417</t>
  </si>
  <si>
    <r>
      <rPr>
        <sz val="10"/>
        <rFont val="FreeSans"/>
        <family val="2"/>
      </rPr>
      <t xml:space="preserve">کاردک فلزی </t>
    </r>
    <r>
      <rPr>
        <sz val="10"/>
        <rFont val="Vazirmatn"/>
        <family val="0"/>
        <charset val="1"/>
      </rPr>
      <t xml:space="preserve">10Cm</t>
    </r>
  </si>
  <si>
    <t xml:space="preserve">31286418</t>
  </si>
  <si>
    <r>
      <rPr>
        <sz val="10"/>
        <rFont val="FreeSans"/>
        <family val="2"/>
      </rPr>
      <t xml:space="preserve">کاردک فلزی </t>
    </r>
    <r>
      <rPr>
        <sz val="10"/>
        <rFont val="Vazirmatn"/>
        <family val="0"/>
        <charset val="1"/>
      </rPr>
      <t xml:space="preserve">15Cm</t>
    </r>
  </si>
  <si>
    <t xml:space="preserve">31286419</t>
  </si>
  <si>
    <r>
      <rPr>
        <sz val="10"/>
        <rFont val="FreeSans"/>
        <family val="2"/>
      </rPr>
      <t xml:space="preserve">ظرف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لیتری تعویض روغن</t>
    </r>
  </si>
  <si>
    <t xml:space="preserve">31286420</t>
  </si>
  <si>
    <t xml:space="preserve">قیف متوسط</t>
  </si>
  <si>
    <t xml:space="preserve">31286422</t>
  </si>
  <si>
    <r>
      <rPr>
        <sz val="10"/>
        <rFont val="FreeSans"/>
        <family val="2"/>
      </rPr>
      <t xml:space="preserve">غلتک نقاشی با دسته </t>
    </r>
    <r>
      <rPr>
        <sz val="10"/>
        <rFont val="Vazirmatn"/>
        <family val="0"/>
        <charset val="1"/>
      </rPr>
      <t xml:space="preserve">10Cm</t>
    </r>
  </si>
  <si>
    <t xml:space="preserve">31286423</t>
  </si>
  <si>
    <r>
      <rPr>
        <sz val="10"/>
        <rFont val="FreeSans"/>
        <family val="2"/>
      </rPr>
      <t xml:space="preserve">غلتک نقاشی با دسته </t>
    </r>
    <r>
      <rPr>
        <sz val="10"/>
        <rFont val="Vazirmatn"/>
        <family val="0"/>
        <charset val="1"/>
      </rPr>
      <t xml:space="preserve">15Cm</t>
    </r>
  </si>
  <si>
    <t xml:space="preserve">31286424</t>
  </si>
  <si>
    <r>
      <rPr>
        <sz val="10"/>
        <rFont val="FreeSans"/>
        <family val="2"/>
      </rPr>
      <t xml:space="preserve">غلتک نقاشی با دسته </t>
    </r>
    <r>
      <rPr>
        <sz val="10"/>
        <rFont val="Vazirmatn"/>
        <family val="0"/>
        <charset val="1"/>
      </rPr>
      <t xml:space="preserve">25Cm</t>
    </r>
  </si>
  <si>
    <t xml:space="preserve">31286425</t>
  </si>
  <si>
    <r>
      <rPr>
        <sz val="10"/>
        <rFont val="FreeSans"/>
        <family val="2"/>
      </rPr>
      <t xml:space="preserve">چهارپایه پلاستیکی پله دار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متری</t>
    </r>
  </si>
  <si>
    <t xml:space="preserve">31286426</t>
  </si>
  <si>
    <r>
      <rPr>
        <sz val="10"/>
        <rFont val="FreeSans"/>
        <family val="2"/>
      </rPr>
      <t xml:space="preserve">کاردک فلزی </t>
    </r>
    <r>
      <rPr>
        <sz val="10"/>
        <rFont val="Vazirmatn"/>
        <family val="0"/>
        <charset val="1"/>
      </rPr>
      <t xml:space="preserve">20Cm</t>
    </r>
  </si>
  <si>
    <t xml:space="preserve">31286427</t>
  </si>
  <si>
    <t xml:space="preserve">چای صاف کن دسته دار کوچک</t>
  </si>
  <si>
    <t xml:space="preserve">31286428</t>
  </si>
  <si>
    <t xml:space="preserve">چای صاف کن دسته دار بزرگ</t>
  </si>
  <si>
    <t xml:space="preserve">31286429</t>
  </si>
  <si>
    <r>
      <rPr>
        <sz val="10"/>
        <rFont val="FreeSans"/>
        <family val="2"/>
      </rPr>
      <t xml:space="preserve">قلم موی نقاشی </t>
    </r>
    <r>
      <rPr>
        <sz val="10"/>
        <rFont val="Vazirmatn"/>
        <family val="0"/>
        <charset val="1"/>
      </rPr>
      <t xml:space="preserve">2Cm</t>
    </r>
  </si>
  <si>
    <t xml:space="preserve">31286430</t>
  </si>
  <si>
    <r>
      <rPr>
        <sz val="10"/>
        <rFont val="FreeSans"/>
        <family val="2"/>
      </rPr>
      <t xml:space="preserve">قلم موی نقاشی </t>
    </r>
    <r>
      <rPr>
        <sz val="10"/>
        <rFont val="Vazirmatn"/>
        <family val="0"/>
        <charset val="1"/>
      </rPr>
      <t xml:space="preserve">3/5Cm</t>
    </r>
  </si>
  <si>
    <t xml:space="preserve">31286432</t>
  </si>
  <si>
    <r>
      <rPr>
        <sz val="10"/>
        <rFont val="FreeSans"/>
        <family val="2"/>
      </rPr>
      <t xml:space="preserve">ریسمان </t>
    </r>
    <r>
      <rPr>
        <sz val="10"/>
        <rFont val="Vazirmatn"/>
        <family val="0"/>
        <charset val="1"/>
      </rPr>
      <t xml:space="preserve">50m</t>
    </r>
  </si>
  <si>
    <t xml:space="preserve">31286433</t>
  </si>
  <si>
    <t xml:space="preserve">تیشه با دسته</t>
  </si>
  <si>
    <t xml:space="preserve">31286434</t>
  </si>
  <si>
    <t xml:space="preserve">تخته ماله آجدار</t>
  </si>
  <si>
    <t xml:space="preserve">31286435</t>
  </si>
  <si>
    <t xml:space="preserve">قیف فلزی متوسط</t>
  </si>
  <si>
    <t xml:space="preserve">31286436</t>
  </si>
  <si>
    <t xml:space="preserve">قیف فلزی کوچک</t>
  </si>
  <si>
    <t xml:space="preserve">31286438</t>
  </si>
  <si>
    <t xml:space="preserve">دست تاس گالوانیزه بزرگ</t>
  </si>
  <si>
    <t xml:space="preserve">31286439</t>
  </si>
  <si>
    <r>
      <rPr>
        <sz val="10"/>
        <rFont val="FreeSans"/>
        <family val="2"/>
      </rPr>
      <t xml:space="preserve">ملاقه سیمان کاری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پرچ</t>
    </r>
  </si>
  <si>
    <t xml:space="preserve">31286440</t>
  </si>
  <si>
    <t xml:space="preserve">کمچه</t>
  </si>
  <si>
    <t xml:space="preserve">31286443</t>
  </si>
  <si>
    <r>
      <rPr>
        <sz val="10"/>
        <rFont val="FreeSans"/>
        <family val="2"/>
      </rPr>
      <t xml:space="preserve">لیسه کاردک کناف </t>
    </r>
    <r>
      <rPr>
        <sz val="10"/>
        <rFont val="Vazirmatn"/>
        <family val="0"/>
        <charset val="1"/>
      </rPr>
      <t xml:space="preserve">50Cm</t>
    </r>
  </si>
  <si>
    <t xml:space="preserve">31286446</t>
  </si>
  <si>
    <t xml:space="preserve">کاردک زاویه</t>
  </si>
  <si>
    <t xml:space="preserve">31286447</t>
  </si>
  <si>
    <t xml:space="preserve">کاردک ژله ای</t>
  </si>
  <si>
    <t xml:space="preserve">31286448</t>
  </si>
  <si>
    <t xml:space="preserve">کاردک استیل</t>
  </si>
  <si>
    <t xml:space="preserve">31286449</t>
  </si>
  <si>
    <t xml:space="preserve">لیسه گچ کاری</t>
  </si>
  <si>
    <t xml:space="preserve">31286450</t>
  </si>
  <si>
    <r>
      <rPr>
        <sz val="10"/>
        <rFont val="FreeSans"/>
        <family val="2"/>
      </rPr>
      <t xml:space="preserve">کاردک موج گیر </t>
    </r>
    <r>
      <rPr>
        <sz val="10"/>
        <rFont val="Vazirmatn"/>
        <family val="0"/>
        <charset val="1"/>
      </rPr>
      <t xml:space="preserve">30Cm</t>
    </r>
  </si>
  <si>
    <t xml:space="preserve">31286453</t>
  </si>
  <si>
    <r>
      <rPr>
        <sz val="10"/>
        <rFont val="FreeSans"/>
        <family val="2"/>
      </rPr>
      <t xml:space="preserve">پیستوله </t>
    </r>
    <r>
      <rPr>
        <sz val="10"/>
        <rFont val="Vazirmatn"/>
        <family val="0"/>
        <charset val="1"/>
      </rPr>
      <t xml:space="preserve">1/8 ( </t>
    </r>
    <r>
      <rPr>
        <sz val="10"/>
        <rFont val="FreeSans"/>
        <family val="2"/>
      </rPr>
      <t xml:space="preserve">طرح ساتا </t>
    </r>
    <r>
      <rPr>
        <sz val="10"/>
        <rFont val="Vazirmatn"/>
        <family val="0"/>
        <charset val="1"/>
      </rPr>
      <t xml:space="preserve">)</t>
    </r>
  </si>
  <si>
    <t xml:space="preserve">31286454</t>
  </si>
  <si>
    <r>
      <rPr>
        <sz val="10"/>
        <rFont val="FreeSans"/>
        <family val="2"/>
      </rPr>
      <t xml:space="preserve">غلتک نقاشی با دسته </t>
    </r>
    <r>
      <rPr>
        <sz val="10"/>
        <rFont val="Vazirmatn"/>
        <family val="0"/>
        <charset val="1"/>
      </rPr>
      <t xml:space="preserve">5Cm</t>
    </r>
  </si>
  <si>
    <t xml:space="preserve">31286455</t>
  </si>
  <si>
    <r>
      <rPr>
        <sz val="10"/>
        <rFont val="FreeSans"/>
        <family val="2"/>
      </rPr>
      <t xml:space="preserve">غلتک نقاشی با دسته </t>
    </r>
    <r>
      <rPr>
        <sz val="10"/>
        <rFont val="Vazirmatn"/>
        <family val="0"/>
        <charset val="1"/>
      </rPr>
      <t xml:space="preserve">30Cm</t>
    </r>
  </si>
  <si>
    <t xml:space="preserve">31286456</t>
  </si>
  <si>
    <t xml:space="preserve">پیستوله پودر پاشی</t>
  </si>
  <si>
    <t xml:space="preserve">31286458</t>
  </si>
  <si>
    <r>
      <rPr>
        <sz val="10"/>
        <rFont val="FreeSans"/>
        <family val="2"/>
      </rPr>
      <t xml:space="preserve">قلم موی نقاشی </t>
    </r>
    <r>
      <rPr>
        <sz val="10"/>
        <rFont val="Vazirmatn"/>
        <family val="0"/>
        <charset val="1"/>
      </rPr>
      <t xml:space="preserve">1Cm</t>
    </r>
  </si>
  <si>
    <t xml:space="preserve">31286459</t>
  </si>
  <si>
    <r>
      <rPr>
        <sz val="10"/>
        <rFont val="FreeSans"/>
        <family val="2"/>
      </rPr>
      <t xml:space="preserve">قلم موی طراحی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نازک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در سایزهای مختلف</t>
    </r>
  </si>
  <si>
    <t xml:space="preserve">31286461</t>
  </si>
  <si>
    <r>
      <rPr>
        <sz val="10"/>
        <rFont val="FreeSans"/>
        <family val="2"/>
      </rPr>
      <t xml:space="preserve">ظرف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لیتری فلزی تعویض روغن</t>
    </r>
  </si>
  <si>
    <t xml:space="preserve">31286462</t>
  </si>
  <si>
    <r>
      <rPr>
        <sz val="10"/>
        <rFont val="FreeSans"/>
        <family val="2"/>
      </rPr>
      <t xml:space="preserve">ظرف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لیتری فلزی تعویض روغن</t>
    </r>
  </si>
  <si>
    <t xml:space="preserve">31286501</t>
  </si>
  <si>
    <r>
      <rPr>
        <sz val="10"/>
        <rFont val="FreeSans"/>
        <family val="2"/>
      </rPr>
      <t xml:space="preserve">چکش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میخ کش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نجاری</t>
    </r>
  </si>
  <si>
    <t xml:space="preserve">31286502</t>
  </si>
  <si>
    <t xml:space="preserve">الک ریز</t>
  </si>
  <si>
    <t xml:space="preserve">31286503</t>
  </si>
  <si>
    <t xml:space="preserve">الک درشت</t>
  </si>
  <si>
    <t xml:space="preserve">31286505</t>
  </si>
  <si>
    <r>
      <rPr>
        <sz val="10"/>
        <rFont val="FreeSans"/>
        <family val="2"/>
      </rPr>
      <t xml:space="preserve">دسته چوبی چکش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کیلویی</t>
    </r>
  </si>
  <si>
    <t xml:space="preserve">31286506</t>
  </si>
  <si>
    <r>
      <rPr>
        <sz val="10"/>
        <rFont val="FreeSans"/>
        <family val="2"/>
      </rPr>
      <t xml:space="preserve">چکش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کیلویی</t>
    </r>
  </si>
  <si>
    <t xml:space="preserve">31286602</t>
  </si>
  <si>
    <r>
      <rPr>
        <sz val="10"/>
        <rFont val="FreeSans"/>
        <family val="2"/>
      </rPr>
      <t xml:space="preserve">جرثقیل دستی زنجیری   </t>
    </r>
    <r>
      <rPr>
        <sz val="10"/>
        <rFont val="Vazirmatn"/>
        <family val="0"/>
        <charset val="1"/>
      </rPr>
      <t xml:space="preserve">15ton</t>
    </r>
  </si>
  <si>
    <t xml:space="preserve">31286603</t>
  </si>
  <si>
    <r>
      <rPr>
        <sz val="10"/>
        <rFont val="FreeSans"/>
        <family val="2"/>
      </rPr>
      <t xml:space="preserve">منوریل جرثقیل زنجیری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تنی</t>
    </r>
  </si>
  <si>
    <t xml:space="preserve">31286604</t>
  </si>
  <si>
    <r>
      <rPr>
        <sz val="10"/>
        <rFont val="FreeSans"/>
        <family val="2"/>
      </rPr>
      <t xml:space="preserve">جرثقیل دستی زنجیری  </t>
    </r>
    <r>
      <rPr>
        <sz val="10"/>
        <rFont val="Vazirmatn"/>
        <family val="0"/>
        <charset val="1"/>
      </rPr>
      <t xml:space="preserve">VITAL 500Kg</t>
    </r>
  </si>
  <si>
    <t xml:space="preserve">31286605</t>
  </si>
  <si>
    <r>
      <rPr>
        <sz val="10"/>
        <rFont val="FreeSans"/>
        <family val="2"/>
      </rPr>
      <t xml:space="preserve">جرثقیل زنجیری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تن</t>
    </r>
  </si>
  <si>
    <t xml:space="preserve">31286610</t>
  </si>
  <si>
    <t xml:space="preserve">فازمتربزرگ</t>
  </si>
  <si>
    <t xml:space="preserve">31286611</t>
  </si>
  <si>
    <t xml:space="preserve">فازمترکوچک</t>
  </si>
  <si>
    <t xml:space="preserve">31286700</t>
  </si>
  <si>
    <r>
      <rPr>
        <sz val="10"/>
        <rFont val="FreeSans"/>
        <family val="2"/>
      </rPr>
      <t xml:space="preserve">قلم تخریب نوک تیز هیلتی </t>
    </r>
    <r>
      <rPr>
        <sz val="10"/>
        <rFont val="Vazirmatn"/>
        <family val="0"/>
        <charset val="1"/>
      </rPr>
      <t xml:space="preserve">15Kg</t>
    </r>
  </si>
  <si>
    <t xml:space="preserve">31286701</t>
  </si>
  <si>
    <r>
      <rPr>
        <sz val="10"/>
        <rFont val="FreeSans"/>
        <family val="2"/>
      </rPr>
      <t xml:space="preserve">قلم تخریب نوک تخت هیلتی </t>
    </r>
    <r>
      <rPr>
        <sz val="10"/>
        <rFont val="Vazirmatn"/>
        <family val="0"/>
        <charset val="1"/>
      </rPr>
      <t xml:space="preserve">15Kg</t>
    </r>
  </si>
  <si>
    <t xml:space="preserve">31286702</t>
  </si>
  <si>
    <r>
      <rPr>
        <sz val="10"/>
        <rFont val="FreeSans"/>
        <family val="2"/>
      </rPr>
      <t xml:space="preserve">قلم هیلتی نوک تیز </t>
    </r>
    <r>
      <rPr>
        <sz val="10"/>
        <rFont val="Vazirmatn"/>
        <family val="0"/>
        <charset val="1"/>
      </rPr>
      <t xml:space="preserve">810 ( 25*400*14 )</t>
    </r>
  </si>
  <si>
    <t xml:space="preserve">31286703</t>
  </si>
  <si>
    <r>
      <rPr>
        <sz val="10"/>
        <rFont val="FreeSans"/>
        <family val="2"/>
      </rPr>
      <t xml:space="preserve">قلم هیلتی نوک تخت </t>
    </r>
    <r>
      <rPr>
        <sz val="10"/>
        <rFont val="Vazirmatn"/>
        <family val="0"/>
        <charset val="1"/>
      </rPr>
      <t xml:space="preserve">810 ( 25*400*14 )</t>
    </r>
  </si>
  <si>
    <t xml:space="preserve">31286704</t>
  </si>
  <si>
    <r>
      <rPr>
        <sz val="10"/>
        <rFont val="FreeSans"/>
        <family val="2"/>
      </rPr>
      <t xml:space="preserve">قلم هیلتی سر تخت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شیار </t>
    </r>
    <r>
      <rPr>
        <sz val="10"/>
        <rFont val="Vazirmatn"/>
        <family val="0"/>
        <charset val="1"/>
      </rPr>
      <t xml:space="preserve">7Kg</t>
    </r>
  </si>
  <si>
    <t xml:space="preserve">31286705</t>
  </si>
  <si>
    <r>
      <rPr>
        <sz val="10"/>
        <rFont val="FreeSans"/>
        <family val="2"/>
      </rPr>
      <t xml:space="preserve">قلم هیلتی نوک تیز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شیار </t>
    </r>
    <r>
      <rPr>
        <sz val="10"/>
        <rFont val="Vazirmatn"/>
        <family val="0"/>
        <charset val="1"/>
      </rPr>
      <t xml:space="preserve">7Kg</t>
    </r>
  </si>
  <si>
    <t xml:space="preserve">31286706</t>
  </si>
  <si>
    <r>
      <rPr>
        <sz val="10"/>
        <rFont val="FreeSans"/>
        <family val="2"/>
      </rPr>
      <t xml:space="preserve">قلم هیلتی نوک پهن کوچک </t>
    </r>
    <r>
      <rPr>
        <sz val="10"/>
        <rFont val="Vazirmatn"/>
        <family val="0"/>
        <charset val="1"/>
      </rPr>
      <t xml:space="preserve">7Kg</t>
    </r>
  </si>
  <si>
    <t xml:space="preserve">31286707</t>
  </si>
  <si>
    <r>
      <rPr>
        <sz val="10"/>
        <rFont val="FreeSans"/>
        <family val="2"/>
      </rPr>
      <t xml:space="preserve">قلم هیلتی نوک تخت </t>
    </r>
    <r>
      <rPr>
        <sz val="10"/>
        <rFont val="Vazirmatn"/>
        <family val="0"/>
        <charset val="1"/>
      </rPr>
      <t xml:space="preserve">3Kg</t>
    </r>
  </si>
  <si>
    <t xml:space="preserve">31286708</t>
  </si>
  <si>
    <r>
      <rPr>
        <sz val="10"/>
        <rFont val="FreeSans"/>
        <family val="2"/>
      </rPr>
      <t xml:space="preserve">قلم هیلتی نوک تیز </t>
    </r>
    <r>
      <rPr>
        <sz val="10"/>
        <rFont val="Vazirmatn"/>
        <family val="0"/>
        <charset val="1"/>
      </rPr>
      <t xml:space="preserve">3Kg</t>
    </r>
  </si>
  <si>
    <t xml:space="preserve">31287001</t>
  </si>
  <si>
    <t xml:space="preserve">مینی سنگ  برقی</t>
  </si>
  <si>
    <t xml:space="preserve">31287002</t>
  </si>
  <si>
    <t xml:space="preserve">سنگ فرز</t>
  </si>
  <si>
    <t xml:space="preserve">31287008</t>
  </si>
  <si>
    <r>
      <rPr>
        <sz val="10"/>
        <rFont val="FreeSans"/>
        <family val="2"/>
      </rPr>
      <t xml:space="preserve">مینی فرز دیوالت  </t>
    </r>
    <r>
      <rPr>
        <sz val="10"/>
        <rFont val="Vazirmatn"/>
        <family val="0"/>
        <charset val="1"/>
      </rPr>
      <t xml:space="preserve">DWE 4010</t>
    </r>
  </si>
  <si>
    <t xml:space="preserve">31287009</t>
  </si>
  <si>
    <t xml:space="preserve">مینی سنگ فرز دیوالت</t>
  </si>
  <si>
    <t xml:space="preserve">31287011</t>
  </si>
  <si>
    <t xml:space="preserve">مینی سنگ دیمردار</t>
  </si>
  <si>
    <t xml:space="preserve">31287012</t>
  </si>
  <si>
    <t xml:space="preserve">سر پیک برش زینسر آلمان</t>
  </si>
  <si>
    <t xml:space="preserve">31287013</t>
  </si>
  <si>
    <r>
      <rPr>
        <sz val="10"/>
        <rFont val="FreeSans"/>
        <family val="2"/>
      </rPr>
      <t xml:space="preserve">مینی وینچ برقی  </t>
    </r>
    <r>
      <rPr>
        <sz val="10"/>
        <rFont val="Vazirmatn"/>
        <family val="0"/>
        <charset val="1"/>
      </rPr>
      <t xml:space="preserve">500kg</t>
    </r>
  </si>
  <si>
    <t xml:space="preserve">31287014</t>
  </si>
  <si>
    <r>
      <rPr>
        <sz val="10"/>
        <rFont val="FreeSans"/>
        <family val="2"/>
      </rPr>
      <t xml:space="preserve">مینی سنگ بوش </t>
    </r>
    <r>
      <rPr>
        <sz val="10"/>
        <rFont val="Vazirmatn"/>
        <family val="0"/>
        <charset val="1"/>
      </rPr>
      <t xml:space="preserve">GWS 19 - 125</t>
    </r>
  </si>
  <si>
    <t xml:space="preserve">31287015</t>
  </si>
  <si>
    <r>
      <rPr>
        <sz val="10"/>
        <rFont val="FreeSans"/>
        <family val="2"/>
      </rPr>
      <t xml:space="preserve">گرم کن الکترود  مدل </t>
    </r>
    <r>
      <rPr>
        <sz val="10"/>
        <rFont val="Vazirmatn"/>
        <family val="0"/>
        <charset val="1"/>
      </rPr>
      <t xml:space="preserve">110</t>
    </r>
  </si>
  <si>
    <t xml:space="preserve">31287016</t>
  </si>
  <si>
    <t xml:space="preserve">مانومتر هوابرش</t>
  </si>
  <si>
    <t xml:space="preserve">31287017</t>
  </si>
  <si>
    <t xml:space="preserve">دستگاه بلاور</t>
  </si>
  <si>
    <t xml:space="preserve">31287018</t>
  </si>
  <si>
    <r>
      <rPr>
        <sz val="10"/>
        <rFont val="FreeSans"/>
        <family val="2"/>
      </rPr>
      <t xml:space="preserve">سنگ محک نرم  </t>
    </r>
    <r>
      <rPr>
        <sz val="10"/>
        <rFont val="Vazirmatn"/>
        <family val="0"/>
        <charset val="1"/>
      </rPr>
      <t xml:space="preserve">32*25*200 GK 80</t>
    </r>
  </si>
  <si>
    <t xml:space="preserve">31287019</t>
  </si>
  <si>
    <t xml:space="preserve">قرقره سنگ صاف کن</t>
  </si>
  <si>
    <t xml:space="preserve">31287020</t>
  </si>
  <si>
    <r>
      <rPr>
        <sz val="10"/>
        <rFont val="FreeSans"/>
        <family val="2"/>
      </rPr>
      <t xml:space="preserve">مینی سنگ  </t>
    </r>
    <r>
      <rPr>
        <sz val="10"/>
        <rFont val="Vazirmatn"/>
        <family val="0"/>
        <charset val="1"/>
      </rPr>
      <t xml:space="preserve">1400 </t>
    </r>
    <r>
      <rPr>
        <sz val="10"/>
        <rFont val="FreeSans"/>
        <family val="2"/>
      </rPr>
      <t xml:space="preserve">وات</t>
    </r>
  </si>
  <si>
    <t xml:space="preserve">31287021</t>
  </si>
  <si>
    <r>
      <rPr>
        <sz val="10"/>
        <rFont val="FreeSans"/>
        <family val="2"/>
      </rPr>
      <t xml:space="preserve">دریل بتون کن ماکیتا </t>
    </r>
    <r>
      <rPr>
        <sz val="10"/>
        <rFont val="Vazirmatn"/>
        <family val="0"/>
        <charset val="1"/>
      </rPr>
      <t xml:space="preserve">HR 2630 X7  3Kg</t>
    </r>
  </si>
  <si>
    <t xml:space="preserve">31287022</t>
  </si>
  <si>
    <r>
      <rPr>
        <sz val="10"/>
        <rFont val="FreeSans"/>
        <family val="2"/>
      </rPr>
      <t xml:space="preserve">مینی سنگ شارژی بوش </t>
    </r>
    <r>
      <rPr>
        <sz val="10"/>
        <rFont val="Vazirmatn"/>
        <family val="0"/>
        <charset val="1"/>
      </rPr>
      <t xml:space="preserve">GWS 180-LI</t>
    </r>
  </si>
  <si>
    <t xml:space="preserve">31287024</t>
  </si>
  <si>
    <t xml:space="preserve">سنگ فرز آهنگری بزرگ</t>
  </si>
  <si>
    <t xml:space="preserve">31287026</t>
  </si>
  <si>
    <r>
      <rPr>
        <sz val="10"/>
        <rFont val="FreeSans"/>
        <family val="2"/>
      </rPr>
      <t xml:space="preserve">سر پیک مشعل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متوسط </t>
    </r>
    <r>
      <rPr>
        <sz val="10"/>
        <rFont val="Vazirmatn"/>
        <family val="0"/>
        <charset val="1"/>
      </rPr>
      <t xml:space="preserve">)</t>
    </r>
  </si>
  <si>
    <t xml:space="preserve">31287027</t>
  </si>
  <si>
    <r>
      <rPr>
        <sz val="10"/>
        <rFont val="FreeSans"/>
        <family val="2"/>
      </rPr>
      <t xml:space="preserve">دستگاه مینی سنگ فرز بوش </t>
    </r>
    <r>
      <rPr>
        <sz val="10"/>
        <rFont val="Vazirmatn"/>
        <family val="0"/>
        <charset val="1"/>
      </rPr>
      <t xml:space="preserve">MiNi ANGLEGRiNDER ) 1200W )</t>
    </r>
  </si>
  <si>
    <t xml:space="preserve">31287028</t>
  </si>
  <si>
    <t xml:space="preserve">سر پیک هوا برش دسته بلند</t>
  </si>
  <si>
    <t xml:space="preserve">31287029</t>
  </si>
  <si>
    <r>
      <rPr>
        <sz val="10"/>
        <rFont val="FreeSans"/>
        <family val="2"/>
      </rPr>
      <t xml:space="preserve">هیلتی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کیلو گرمی با متعلقات</t>
    </r>
  </si>
  <si>
    <t xml:space="preserve">31287031</t>
  </si>
  <si>
    <r>
      <rPr>
        <sz val="10"/>
        <rFont val="FreeSans"/>
        <family val="2"/>
      </rPr>
      <t xml:space="preserve">سنگ فرز مینی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بوش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اصلی</t>
    </r>
  </si>
  <si>
    <t xml:space="preserve">31287032</t>
  </si>
  <si>
    <r>
      <rPr>
        <sz val="10"/>
        <rFont val="FreeSans"/>
        <family val="2"/>
      </rPr>
      <t xml:space="preserve">دریل بتون کن رونیکس </t>
    </r>
    <r>
      <rPr>
        <sz val="10"/>
        <rFont val="Vazirmatn"/>
        <family val="0"/>
        <charset val="1"/>
      </rPr>
      <t xml:space="preserve">( 2726 )</t>
    </r>
  </si>
  <si>
    <t xml:space="preserve">31287033</t>
  </si>
  <si>
    <r>
      <rPr>
        <sz val="10"/>
        <rFont val="FreeSans"/>
        <family val="2"/>
      </rPr>
      <t xml:space="preserve">ترمومتر لیزری فلوک </t>
    </r>
    <r>
      <rPr>
        <sz val="10"/>
        <rFont val="Vazirmatn"/>
        <family val="0"/>
        <charset val="1"/>
      </rPr>
      <t xml:space="preserve">( FLUKE 62 MAX PLUS )</t>
    </r>
  </si>
  <si>
    <t xml:space="preserve">31287037</t>
  </si>
  <si>
    <r>
      <rPr>
        <sz val="10"/>
        <rFont val="FreeSans"/>
        <family val="2"/>
      </rPr>
      <t xml:space="preserve">دریل میلواکی  </t>
    </r>
    <r>
      <rPr>
        <sz val="10"/>
        <rFont val="Vazirmatn"/>
        <family val="0"/>
        <charset val="1"/>
      </rPr>
      <t xml:space="preserve">B4 - 32</t>
    </r>
  </si>
  <si>
    <t xml:space="preserve">31287038</t>
  </si>
  <si>
    <t xml:space="preserve">پایه مگنت دریل میلواکی</t>
  </si>
  <si>
    <t xml:space="preserve">31289101</t>
  </si>
  <si>
    <t xml:space="preserve">ماسک  دهنی  پارچه  ای</t>
  </si>
  <si>
    <t xml:space="preserve">31289107</t>
  </si>
  <si>
    <t xml:space="preserve">ماسک شیمیایی تمام صورت</t>
  </si>
  <si>
    <t xml:space="preserve">31289108</t>
  </si>
  <si>
    <t xml:space="preserve">ماسک جوش دستی</t>
  </si>
  <si>
    <t xml:space="preserve">31289112</t>
  </si>
  <si>
    <t xml:space="preserve">شیلد شفاف</t>
  </si>
  <si>
    <t xml:space="preserve">31289121</t>
  </si>
  <si>
    <t xml:space="preserve">دستکش پشمی</t>
  </si>
  <si>
    <t xml:space="preserve">31289122</t>
  </si>
  <si>
    <t xml:space="preserve">ماسک سوپاپ دار</t>
  </si>
  <si>
    <t xml:space="preserve">31289131</t>
  </si>
  <si>
    <t xml:space="preserve">دستکش نیتریل</t>
  </si>
  <si>
    <t xml:space="preserve">31289133</t>
  </si>
  <si>
    <t xml:space="preserve">بند ماسک شیمیایی</t>
  </si>
  <si>
    <t xml:space="preserve">31289134</t>
  </si>
  <si>
    <t xml:space="preserve">دستکش لاتکس</t>
  </si>
  <si>
    <t xml:space="preserve">31289136</t>
  </si>
  <si>
    <t xml:space="preserve">دستکش  لاتکس</t>
  </si>
  <si>
    <t xml:space="preserve">31289137</t>
  </si>
  <si>
    <r>
      <rPr>
        <sz val="10"/>
        <rFont val="FreeSans"/>
        <family val="2"/>
      </rPr>
      <t xml:space="preserve">دستکش کف لاتکس کات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ضد برش</t>
    </r>
  </si>
  <si>
    <t xml:space="preserve">31289138</t>
  </si>
  <si>
    <t xml:space="preserve">دستکش صنعتی کار با روکش نیتریل</t>
  </si>
  <si>
    <t xml:space="preserve">31289140</t>
  </si>
  <si>
    <r>
      <rPr>
        <sz val="10"/>
        <rFont val="FreeSans"/>
        <family val="2"/>
      </rPr>
      <t xml:space="preserve">گوشی اسفنجی    </t>
    </r>
    <r>
      <rPr>
        <sz val="10"/>
        <rFont val="Vazirmatn"/>
        <family val="0"/>
        <charset val="1"/>
      </rPr>
      <t xml:space="preserve">q=5-12mm</t>
    </r>
  </si>
  <si>
    <t xml:space="preserve">31289145</t>
  </si>
  <si>
    <r>
      <rPr>
        <sz val="10"/>
        <rFont val="FreeSans"/>
        <family val="2"/>
      </rPr>
      <t xml:space="preserve">کلاه لبه دار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پشت پارچه دوخت </t>
    </r>
    <r>
      <rPr>
        <sz val="10"/>
        <rFont val="Vazirmatn"/>
        <family val="0"/>
        <charset val="1"/>
      </rPr>
      <t xml:space="preserve">)</t>
    </r>
  </si>
  <si>
    <t xml:space="preserve">31289146</t>
  </si>
  <si>
    <r>
      <rPr>
        <sz val="10"/>
        <rFont val="FreeSans"/>
        <family val="2"/>
      </rPr>
      <t xml:space="preserve">گوشی خلبانی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ریندر </t>
    </r>
    <r>
      <rPr>
        <sz val="10"/>
        <rFont val="Vazirmatn"/>
        <family val="0"/>
        <charset val="1"/>
      </rPr>
      <t xml:space="preserve">8004 )</t>
    </r>
  </si>
  <si>
    <t xml:space="preserve">31289158</t>
  </si>
  <si>
    <t xml:space="preserve">عینک سفید پلاستیکی ضدغبار</t>
  </si>
  <si>
    <t xml:space="preserve">31289159</t>
  </si>
  <si>
    <r>
      <rPr>
        <sz val="10"/>
        <rFont val="FreeSans"/>
        <family val="2"/>
      </rPr>
      <t xml:space="preserve">عینک بغل توری دار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سفید</t>
    </r>
    <r>
      <rPr>
        <sz val="10"/>
        <rFont val="Vazirmatn"/>
        <family val="0"/>
        <charset val="1"/>
      </rPr>
      <t xml:space="preserve">)</t>
    </r>
  </si>
  <si>
    <t xml:space="preserve">31289161</t>
  </si>
  <si>
    <t xml:space="preserve">عینک برش کاری دودی ضد خش هوا گاز</t>
  </si>
  <si>
    <t xml:space="preserve">31289190</t>
  </si>
  <si>
    <r>
      <rPr>
        <sz val="10"/>
        <rFont val="FreeSans"/>
        <family val="2"/>
      </rPr>
      <t xml:space="preserve">جک درب شیشه سکوریت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کوچک </t>
    </r>
    <r>
      <rPr>
        <sz val="10"/>
        <rFont val="Vazirmatn"/>
        <family val="0"/>
        <charset val="1"/>
      </rPr>
      <t xml:space="preserve">)</t>
    </r>
  </si>
  <si>
    <t xml:space="preserve">31289191</t>
  </si>
  <si>
    <t xml:space="preserve">جک درب سکوریت</t>
  </si>
  <si>
    <t xml:space="preserve">31289273</t>
  </si>
  <si>
    <r>
      <rPr>
        <sz val="10"/>
        <rFont val="FreeSans"/>
        <family val="2"/>
      </rPr>
      <t xml:space="preserve">سه نظام دریل دستی </t>
    </r>
    <r>
      <rPr>
        <sz val="10"/>
        <rFont val="Vazirmatn"/>
        <family val="0"/>
        <charset val="1"/>
      </rPr>
      <t xml:space="preserve">1-13mm</t>
    </r>
  </si>
  <si>
    <t xml:space="preserve">31289278</t>
  </si>
  <si>
    <r>
      <rPr>
        <sz val="10"/>
        <rFont val="FreeSans"/>
        <family val="2"/>
      </rPr>
      <t xml:space="preserve">سه نظام منظم دستگاه تراش  سایز </t>
    </r>
    <r>
      <rPr>
        <sz val="10"/>
        <rFont val="Vazirmatn"/>
        <family val="0"/>
        <charset val="1"/>
      </rPr>
      <t xml:space="preserve">300</t>
    </r>
  </si>
  <si>
    <t xml:space="preserve">31289281</t>
  </si>
  <si>
    <r>
      <rPr>
        <sz val="10"/>
        <rFont val="FreeSans"/>
        <family val="2"/>
      </rPr>
      <t xml:space="preserve">سه نظام دریل ایستاده اتومات </t>
    </r>
    <r>
      <rPr>
        <sz val="10"/>
        <rFont val="Vazirmatn"/>
        <family val="0"/>
        <charset val="1"/>
      </rPr>
      <t xml:space="preserve">MO-20mm</t>
    </r>
  </si>
  <si>
    <t xml:space="preserve">31289282</t>
  </si>
  <si>
    <r>
      <rPr>
        <sz val="10"/>
        <rFont val="FreeSans"/>
        <family val="2"/>
      </rPr>
      <t xml:space="preserve">سه نظام دستگاه تراش </t>
    </r>
    <r>
      <rPr>
        <sz val="10"/>
        <rFont val="Vazirmatn"/>
        <family val="0"/>
        <charset val="1"/>
      </rPr>
      <t xml:space="preserve">Q=100</t>
    </r>
  </si>
  <si>
    <t xml:space="preserve">31289283</t>
  </si>
  <si>
    <r>
      <rPr>
        <sz val="10"/>
        <rFont val="FreeSans"/>
        <family val="2"/>
      </rPr>
      <t xml:space="preserve">سه نظام دریل اتوماتیک </t>
    </r>
    <r>
      <rPr>
        <sz val="10"/>
        <rFont val="Vazirmatn"/>
        <family val="0"/>
        <charset val="1"/>
      </rPr>
      <t xml:space="preserve">Q1-13mm</t>
    </r>
  </si>
  <si>
    <t xml:space="preserve">31289342</t>
  </si>
  <si>
    <r>
      <rPr>
        <sz val="10"/>
        <rFont val="FreeSans"/>
        <family val="2"/>
      </rPr>
      <t xml:space="preserve">کمر بند ایمنی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کار در ارتفاع </t>
    </r>
    <r>
      <rPr>
        <sz val="10"/>
        <rFont val="Vazirmatn"/>
        <family val="0"/>
        <charset val="1"/>
      </rPr>
      <t xml:space="preserve">)</t>
    </r>
  </si>
  <si>
    <t xml:space="preserve">31289344</t>
  </si>
  <si>
    <r>
      <rPr>
        <sz val="10"/>
        <rFont val="FreeSans"/>
        <family val="2"/>
      </rPr>
      <t xml:space="preserve">تخته روسی </t>
    </r>
    <r>
      <rPr>
        <sz val="10"/>
        <rFont val="Vazirmatn"/>
        <family val="0"/>
        <charset val="1"/>
      </rPr>
      <t xml:space="preserve">4m</t>
    </r>
  </si>
  <si>
    <t xml:space="preserve">31289431</t>
  </si>
  <si>
    <t xml:space="preserve">سنگ گرانیت</t>
  </si>
  <si>
    <t xml:space="preserve">31291000</t>
  </si>
  <si>
    <r>
      <rPr>
        <sz val="10"/>
        <rFont val="FreeSans"/>
        <family val="2"/>
      </rPr>
      <t xml:space="preserve">پلیت  آسیاب  </t>
    </r>
    <r>
      <rPr>
        <sz val="10"/>
        <rFont val="Vazirmatn"/>
        <family val="0"/>
        <charset val="1"/>
      </rPr>
      <t xml:space="preserve">FQ  -  136</t>
    </r>
  </si>
  <si>
    <t xml:space="preserve">31291002</t>
  </si>
  <si>
    <r>
      <rPr>
        <sz val="10"/>
        <rFont val="FreeSans"/>
        <family val="2"/>
      </rPr>
      <t xml:space="preserve">پلیت مسی </t>
    </r>
    <r>
      <rPr>
        <sz val="10"/>
        <rFont val="Vazirmatn"/>
        <family val="0"/>
        <charset val="1"/>
      </rPr>
      <t xml:space="preserve">60*60</t>
    </r>
  </si>
  <si>
    <t xml:space="preserve">31291003</t>
  </si>
  <si>
    <r>
      <rPr>
        <sz val="10"/>
        <rFont val="FreeSans"/>
        <family val="2"/>
      </rPr>
      <t xml:space="preserve">پلیت متحرک سایشی  آسیاب     </t>
    </r>
    <r>
      <rPr>
        <sz val="10"/>
        <rFont val="Vazirmatn"/>
        <family val="0"/>
        <charset val="1"/>
      </rPr>
      <t xml:space="preserve">FQ  -  136</t>
    </r>
  </si>
  <si>
    <t xml:space="preserve">31291008</t>
  </si>
  <si>
    <r>
      <rPr>
        <sz val="10"/>
        <rFont val="FreeSans"/>
        <family val="2"/>
      </rPr>
      <t xml:space="preserve">پلیت سایشی آسیاب   </t>
    </r>
    <r>
      <rPr>
        <sz val="10"/>
        <rFont val="Vazirmatn"/>
        <family val="0"/>
        <charset val="1"/>
      </rPr>
      <t xml:space="preserve">FQ  -  124</t>
    </r>
  </si>
  <si>
    <t xml:space="preserve">31291013</t>
  </si>
  <si>
    <r>
      <rPr>
        <sz val="10"/>
        <rFont val="FreeSans"/>
        <family val="2"/>
      </rPr>
      <t xml:space="preserve">پلیت آسیاب                     </t>
    </r>
    <r>
      <rPr>
        <sz val="10"/>
        <rFont val="Vazirmatn"/>
        <family val="0"/>
        <charset val="1"/>
      </rPr>
      <t xml:space="preserve">FQ  -  136</t>
    </r>
  </si>
  <si>
    <t xml:space="preserve">31291101</t>
  </si>
  <si>
    <r>
      <rPr>
        <sz val="10"/>
        <rFont val="FreeSans"/>
        <family val="2"/>
      </rPr>
      <t xml:space="preserve">ناودانی آهنی  نمره </t>
    </r>
    <r>
      <rPr>
        <sz val="10"/>
        <rFont val="Vazirmatn"/>
        <family val="0"/>
        <charset val="1"/>
      </rPr>
      <t xml:space="preserve">: 8</t>
    </r>
  </si>
  <si>
    <t xml:space="preserve">31291135</t>
  </si>
  <si>
    <r>
      <rPr>
        <sz val="10"/>
        <rFont val="FreeSans"/>
        <family val="2"/>
      </rPr>
      <t xml:space="preserve">ورق مشبک آهنی 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میل      </t>
    </r>
    <r>
      <rPr>
        <sz val="10"/>
        <rFont val="Vazirmatn"/>
        <family val="0"/>
        <charset val="1"/>
      </rPr>
      <t xml:space="preserve">(1* 2 )</t>
    </r>
  </si>
  <si>
    <t xml:space="preserve">31291158</t>
  </si>
  <si>
    <r>
      <rPr>
        <sz val="10"/>
        <rFont val="FreeSans"/>
        <family val="2"/>
      </rPr>
      <t xml:space="preserve">ساندویچ پانل دیواری </t>
    </r>
    <r>
      <rPr>
        <sz val="10"/>
        <rFont val="Vazirmatn"/>
        <family val="0"/>
        <charset val="1"/>
      </rPr>
      <t xml:space="preserve">4m*1/14m*4Cm</t>
    </r>
  </si>
  <si>
    <t xml:space="preserve">31291161</t>
  </si>
  <si>
    <r>
      <rPr>
        <sz val="10"/>
        <rFont val="FreeSans"/>
        <family val="2"/>
      </rPr>
      <t xml:space="preserve">ساندویچ پنل دیواری </t>
    </r>
    <r>
      <rPr>
        <sz val="10"/>
        <rFont val="Vazirmatn"/>
        <family val="0"/>
        <charset val="1"/>
      </rPr>
      <t xml:space="preserve">3/5m*1/16m*6Cm</t>
    </r>
  </si>
  <si>
    <t xml:space="preserve">31291162</t>
  </si>
  <si>
    <r>
      <rPr>
        <sz val="10"/>
        <rFont val="FreeSans"/>
        <family val="2"/>
      </rPr>
      <t xml:space="preserve">ساندویچ پنل دیواری </t>
    </r>
    <r>
      <rPr>
        <sz val="10"/>
        <rFont val="Vazirmatn"/>
        <family val="0"/>
        <charset val="1"/>
      </rPr>
      <t xml:space="preserve">3m*1/16m*6Cm</t>
    </r>
  </si>
  <si>
    <t xml:space="preserve">31291171</t>
  </si>
  <si>
    <r>
      <rPr>
        <sz val="10"/>
        <rFont val="FreeSans"/>
        <family val="2"/>
      </rPr>
      <t xml:space="preserve">ورق پانچ آهنی </t>
    </r>
    <r>
      <rPr>
        <sz val="10"/>
        <rFont val="Vazirmatn"/>
        <family val="0"/>
        <charset val="1"/>
      </rPr>
      <t xml:space="preserve">1*2 -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3mm -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6mm</t>
    </r>
  </si>
  <si>
    <t xml:space="preserve">31291172</t>
  </si>
  <si>
    <r>
      <rPr>
        <sz val="10"/>
        <rFont val="FreeSans"/>
        <family val="2"/>
      </rPr>
      <t xml:space="preserve">ورق پانچ آهنی </t>
    </r>
    <r>
      <rPr>
        <sz val="10"/>
        <rFont val="Vazirmatn"/>
        <family val="0"/>
        <charset val="1"/>
      </rPr>
      <t xml:space="preserve">1*2 -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3mm -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5mm</t>
    </r>
  </si>
  <si>
    <t xml:space="preserve">31291174</t>
  </si>
  <si>
    <r>
      <rPr>
        <sz val="10"/>
        <rFont val="FreeSans"/>
        <family val="2"/>
      </rPr>
      <t xml:space="preserve">ورق پانچ آهنی </t>
    </r>
    <r>
      <rPr>
        <sz val="10"/>
        <rFont val="Vazirmatn"/>
        <family val="0"/>
        <charset val="1"/>
      </rPr>
      <t xml:space="preserve">1*2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6mm</t>
    </r>
  </si>
  <si>
    <t xml:space="preserve">31291176</t>
  </si>
  <si>
    <r>
      <rPr>
        <sz val="10"/>
        <rFont val="FreeSans"/>
        <family val="2"/>
      </rPr>
      <t xml:space="preserve">ورق پانچ استیل </t>
    </r>
    <r>
      <rPr>
        <sz val="10"/>
        <rFont val="Vazirmatn"/>
        <family val="0"/>
        <charset val="1"/>
      </rPr>
      <t xml:space="preserve">304 1*2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3mm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2/5mm</t>
    </r>
  </si>
  <si>
    <t xml:space="preserve">31291184</t>
  </si>
  <si>
    <r>
      <rPr>
        <sz val="10"/>
        <rFont val="FreeSans"/>
        <family val="2"/>
      </rPr>
      <t xml:space="preserve">توری پانچ آهنی  ضخامت </t>
    </r>
    <r>
      <rPr>
        <sz val="10"/>
        <rFont val="Vazirmatn"/>
        <family val="0"/>
        <charset val="1"/>
      </rPr>
      <t xml:space="preserve">4mm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4mm</t>
    </r>
  </si>
  <si>
    <t xml:space="preserve">31291189</t>
  </si>
  <si>
    <r>
      <rPr>
        <sz val="10"/>
        <rFont val="FreeSans"/>
        <family val="2"/>
      </rPr>
      <t xml:space="preserve">توری پانچ استیل </t>
    </r>
    <r>
      <rPr>
        <sz val="10"/>
        <rFont val="Vazirmatn"/>
        <family val="0"/>
        <charset val="1"/>
      </rPr>
      <t xml:space="preserve">1*2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4mm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10mm</t>
    </r>
  </si>
  <si>
    <t xml:space="preserve">31291190</t>
  </si>
  <si>
    <r>
      <rPr>
        <sz val="10"/>
        <rFont val="FreeSans"/>
        <family val="2"/>
      </rPr>
      <t xml:space="preserve">توری پانچ آهنی </t>
    </r>
    <r>
      <rPr>
        <sz val="10"/>
        <rFont val="Vazirmatn"/>
        <family val="0"/>
        <charset val="1"/>
      </rPr>
      <t xml:space="preserve">1*2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4mm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5mm</t>
    </r>
  </si>
  <si>
    <t xml:space="preserve">31291196</t>
  </si>
  <si>
    <r>
      <rPr>
        <sz val="10"/>
        <rFont val="FreeSans"/>
        <family val="2"/>
      </rPr>
      <t xml:space="preserve">توری پانچ آهنی </t>
    </r>
    <r>
      <rPr>
        <sz val="10"/>
        <rFont val="Vazirmatn"/>
        <family val="0"/>
        <charset val="1"/>
      </rPr>
      <t xml:space="preserve">1*2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4mm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10mm</t>
    </r>
  </si>
  <si>
    <t xml:space="preserve">31291198</t>
  </si>
  <si>
    <r>
      <rPr>
        <sz val="10"/>
        <rFont val="FreeSans"/>
        <family val="2"/>
      </rPr>
      <t xml:space="preserve">توری پانچ آهنی </t>
    </r>
    <r>
      <rPr>
        <sz val="10"/>
        <rFont val="Vazirmatn"/>
        <family val="0"/>
        <charset val="1"/>
      </rPr>
      <t xml:space="preserve">1*2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3mm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5mm</t>
    </r>
  </si>
  <si>
    <t xml:space="preserve">31291199</t>
  </si>
  <si>
    <r>
      <rPr>
        <sz val="10"/>
        <rFont val="FreeSans"/>
        <family val="2"/>
      </rPr>
      <t xml:space="preserve">توری پانچ آهنی </t>
    </r>
    <r>
      <rPr>
        <sz val="10"/>
        <rFont val="Vazirmatn"/>
        <family val="0"/>
        <charset val="1"/>
      </rPr>
      <t xml:space="preserve">1*2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4mm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6mm</t>
    </r>
  </si>
  <si>
    <t xml:space="preserve">31291203</t>
  </si>
  <si>
    <r>
      <rPr>
        <sz val="10"/>
        <rFont val="FreeSans"/>
        <family val="2"/>
      </rPr>
      <t xml:space="preserve">ورق پانچ استیل </t>
    </r>
    <r>
      <rPr>
        <sz val="10"/>
        <rFont val="Vazirmatn"/>
        <family val="0"/>
        <charset val="1"/>
      </rPr>
      <t xml:space="preserve">304 198/5mm*211mm </t>
    </r>
    <r>
      <rPr>
        <sz val="10"/>
        <rFont val="FreeSans"/>
        <family val="2"/>
      </rPr>
      <t xml:space="preserve">با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عدد سوراخ در </t>
    </r>
    <r>
      <rPr>
        <sz val="10"/>
        <rFont val="Vazirmatn"/>
        <family val="0"/>
        <charset val="1"/>
      </rPr>
      <t xml:space="preserve">1Cm2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1mm </t>
    </r>
    <r>
      <rPr>
        <sz val="10"/>
        <rFont val="FreeSans"/>
        <family val="2"/>
      </rPr>
      <t xml:space="preserve">چشمه </t>
    </r>
    <r>
      <rPr>
        <sz val="10"/>
        <rFont val="Vazirmatn"/>
        <family val="0"/>
        <charset val="1"/>
      </rPr>
      <t xml:space="preserve">1mm</t>
    </r>
  </si>
  <si>
    <t xml:space="preserve">31291210</t>
  </si>
  <si>
    <r>
      <rPr>
        <sz val="10"/>
        <rFont val="FreeSans"/>
        <family val="2"/>
      </rPr>
      <t xml:space="preserve">ورق مشبک گالوانیزه </t>
    </r>
    <r>
      <rPr>
        <sz val="10"/>
        <rFont val="Vazirmatn"/>
        <family val="0"/>
        <charset val="1"/>
      </rPr>
      <t xml:space="preserve">2*1</t>
    </r>
  </si>
  <si>
    <t xml:space="preserve">31291215</t>
  </si>
  <si>
    <r>
      <rPr>
        <sz val="10"/>
        <rFont val="FreeSans"/>
        <family val="2"/>
      </rPr>
      <t xml:space="preserve">ورق گالوانیزه رنگی ضخامت </t>
    </r>
    <r>
      <rPr>
        <sz val="10"/>
        <rFont val="Vazirmatn"/>
        <family val="0"/>
        <charset val="1"/>
      </rPr>
      <t xml:space="preserve">0/5</t>
    </r>
  </si>
  <si>
    <t xml:space="preserve">31291218</t>
  </si>
  <si>
    <r>
      <rPr>
        <sz val="10"/>
        <rFont val="FreeSans"/>
        <family val="2"/>
      </rPr>
      <t xml:space="preserve">ورق پانچ استیل </t>
    </r>
    <r>
      <rPr>
        <sz val="10"/>
        <rFont val="Vazirmatn"/>
        <family val="0"/>
        <charset val="1"/>
      </rPr>
      <t xml:space="preserve">304 1*2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1mm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1mm</t>
    </r>
  </si>
  <si>
    <t xml:space="preserve">31291220</t>
  </si>
  <si>
    <r>
      <rPr>
        <sz val="10"/>
        <rFont val="FreeSans"/>
        <family val="2"/>
      </rPr>
      <t xml:space="preserve">ورق نسوز سیلیکونی </t>
    </r>
    <r>
      <rPr>
        <sz val="10"/>
        <rFont val="Vazirmatn"/>
        <family val="0"/>
        <charset val="1"/>
      </rPr>
      <t xml:space="preserve">1*2 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5mm</t>
    </r>
  </si>
  <si>
    <t xml:space="preserve">31291221</t>
  </si>
  <si>
    <r>
      <rPr>
        <sz val="10"/>
        <rFont val="FreeSans"/>
        <family val="2"/>
      </rPr>
      <t xml:space="preserve">ورق پانچ استیل </t>
    </r>
    <r>
      <rPr>
        <sz val="10"/>
        <rFont val="Vazirmatn"/>
        <family val="0"/>
        <charset val="1"/>
      </rPr>
      <t xml:space="preserve">304 1*2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 </t>
    </r>
    <r>
      <rPr>
        <sz val="10"/>
        <rFont val="FreeSans"/>
        <family val="2"/>
      </rPr>
      <t xml:space="preserve">پانچ </t>
    </r>
    <r>
      <rPr>
        <sz val="10"/>
        <rFont val="Vazirmatn"/>
        <family val="0"/>
        <charset val="1"/>
      </rPr>
      <t xml:space="preserve">3mm</t>
    </r>
  </si>
  <si>
    <t xml:space="preserve">31291222</t>
  </si>
  <si>
    <r>
      <rPr>
        <sz val="10"/>
        <rFont val="FreeSans"/>
        <family val="2"/>
      </rPr>
      <t xml:space="preserve">ورق پانچ استیل </t>
    </r>
    <r>
      <rPr>
        <sz val="10"/>
        <rFont val="Vazirmatn"/>
        <family val="0"/>
        <charset val="1"/>
      </rPr>
      <t xml:space="preserve">304 1*2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 </t>
    </r>
    <r>
      <rPr>
        <sz val="10"/>
        <rFont val="FreeSans"/>
        <family val="2"/>
      </rPr>
      <t xml:space="preserve">پانچ </t>
    </r>
    <r>
      <rPr>
        <sz val="10"/>
        <rFont val="Vazirmatn"/>
        <family val="0"/>
        <charset val="1"/>
      </rPr>
      <t xml:space="preserve">6mm</t>
    </r>
  </si>
  <si>
    <t xml:space="preserve">31291223</t>
  </si>
  <si>
    <r>
      <rPr>
        <sz val="10"/>
        <rFont val="FreeSans"/>
        <family val="2"/>
      </rPr>
      <t xml:space="preserve">ورق دامپا ضخامت </t>
    </r>
    <r>
      <rPr>
        <sz val="10"/>
        <rFont val="Vazirmatn"/>
        <family val="0"/>
        <charset val="1"/>
      </rPr>
      <t xml:space="preserve">0/5mm -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50Cm</t>
    </r>
  </si>
  <si>
    <t xml:space="preserve">31291224</t>
  </si>
  <si>
    <r>
      <rPr>
        <sz val="10"/>
        <rFont val="FreeSans"/>
        <family val="2"/>
      </rPr>
      <t xml:space="preserve">ورق فلاشینگ گالوانیزه خم کاری شده عرض </t>
    </r>
    <r>
      <rPr>
        <sz val="10"/>
        <rFont val="Vazirmatn"/>
        <family val="0"/>
        <charset val="1"/>
      </rPr>
      <t xml:space="preserve">50Cm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0/5mm</t>
    </r>
  </si>
  <si>
    <t xml:space="preserve">31291225</t>
  </si>
  <si>
    <r>
      <rPr>
        <sz val="10"/>
        <rFont val="FreeSans"/>
        <family val="2"/>
      </rPr>
      <t xml:space="preserve">ورق فلاشینگ خم خورده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پله ضخامت </t>
    </r>
    <r>
      <rPr>
        <sz val="10"/>
        <rFont val="Vazirmatn"/>
        <family val="0"/>
        <charset val="1"/>
      </rPr>
      <t xml:space="preserve">0/5mm</t>
    </r>
  </si>
  <si>
    <t xml:space="preserve">31291226</t>
  </si>
  <si>
    <r>
      <rPr>
        <sz val="10"/>
        <rFont val="FreeSans"/>
        <family val="2"/>
      </rPr>
      <t xml:space="preserve">ورق دامپا ضخامت </t>
    </r>
    <r>
      <rPr>
        <sz val="10"/>
        <rFont val="Vazirmatn"/>
        <family val="0"/>
        <charset val="1"/>
      </rPr>
      <t xml:space="preserve">0/5mm -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60Cm</t>
    </r>
  </si>
  <si>
    <t xml:space="preserve">31291227</t>
  </si>
  <si>
    <r>
      <rPr>
        <sz val="10"/>
        <rFont val="FreeSans"/>
        <family val="2"/>
      </rPr>
      <t xml:space="preserve">ورق نسوز سیلیکونی </t>
    </r>
    <r>
      <rPr>
        <sz val="10"/>
        <rFont val="Vazirmatn"/>
        <family val="0"/>
        <charset val="1"/>
      </rPr>
      <t xml:space="preserve">1/5*1/5 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5mm</t>
    </r>
  </si>
  <si>
    <t xml:space="preserve">31291228</t>
  </si>
  <si>
    <r>
      <rPr>
        <sz val="10"/>
        <rFont val="FreeSans"/>
        <family val="2"/>
      </rPr>
      <t xml:space="preserve">ورق گچی کناف </t>
    </r>
    <r>
      <rPr>
        <sz val="10"/>
        <rFont val="Vazirmatn"/>
        <family val="0"/>
        <charset val="1"/>
      </rPr>
      <t xml:space="preserve">( 120Cm*250Cm) ( RG 12/5  ( +K</t>
    </r>
  </si>
  <si>
    <t xml:space="preserve">31291229</t>
  </si>
  <si>
    <r>
      <rPr>
        <sz val="10"/>
        <rFont val="FreeSans"/>
        <family val="2"/>
      </rPr>
      <t xml:space="preserve">ورق فلاشینگ خم خورده </t>
    </r>
    <r>
      <rPr>
        <sz val="10"/>
        <rFont val="Vazirmatn"/>
        <family val="0"/>
        <charset val="1"/>
      </rPr>
      <t xml:space="preserve">( 14Cm*165Cm )</t>
    </r>
  </si>
  <si>
    <t xml:space="preserve">31291231</t>
  </si>
  <si>
    <r>
      <rPr>
        <sz val="10"/>
        <rFont val="FreeSans"/>
        <family val="2"/>
      </rPr>
      <t xml:space="preserve">ورق فلاشینگ خم خورده </t>
    </r>
    <r>
      <rPr>
        <sz val="10"/>
        <rFont val="Vazirmatn"/>
        <family val="0"/>
        <charset val="1"/>
      </rPr>
      <t xml:space="preserve">( 15Cm*220Cm )</t>
    </r>
  </si>
  <si>
    <t xml:space="preserve">31291232</t>
  </si>
  <si>
    <r>
      <rPr>
        <sz val="10"/>
        <rFont val="FreeSans"/>
        <family val="2"/>
      </rPr>
      <t xml:space="preserve">ورق فلاشینگ خم خورده </t>
    </r>
    <r>
      <rPr>
        <sz val="10"/>
        <rFont val="Vazirmatn"/>
        <family val="0"/>
        <charset val="1"/>
      </rPr>
      <t xml:space="preserve">( 15Cm*165Cm )</t>
    </r>
  </si>
  <si>
    <t xml:space="preserve">31291233</t>
  </si>
  <si>
    <r>
      <rPr>
        <sz val="10"/>
        <rFont val="FreeSans"/>
        <family val="2"/>
      </rPr>
      <t xml:space="preserve">ورق فلاشینگ خم خورده </t>
    </r>
    <r>
      <rPr>
        <sz val="10"/>
        <rFont val="Vazirmatn"/>
        <family val="0"/>
        <charset val="1"/>
      </rPr>
      <t xml:space="preserve">( 15Cm*105Cm )</t>
    </r>
  </si>
  <si>
    <t xml:space="preserve">31291234</t>
  </si>
  <si>
    <r>
      <rPr>
        <sz val="10"/>
        <rFont val="FreeSans"/>
        <family val="2"/>
      </rPr>
      <t xml:space="preserve">ورق فلاشینگ گالوانیزه خم کاری شده عرض </t>
    </r>
    <r>
      <rPr>
        <sz val="10"/>
        <rFont val="Vazirmatn"/>
        <family val="0"/>
        <charset val="1"/>
      </rPr>
      <t xml:space="preserve">62/5Cm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0/5mm</t>
    </r>
  </si>
  <si>
    <t xml:space="preserve">31291235</t>
  </si>
  <si>
    <r>
      <rPr>
        <sz val="10"/>
        <rFont val="FreeSans"/>
        <family val="2"/>
      </rPr>
      <t xml:space="preserve">ورق فلاشینگ گالوانیزه بدون خم عرض </t>
    </r>
    <r>
      <rPr>
        <sz val="10"/>
        <rFont val="Vazirmatn"/>
        <family val="0"/>
        <charset val="1"/>
      </rPr>
      <t xml:space="preserve">30Cm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0/5mm</t>
    </r>
  </si>
  <si>
    <t xml:space="preserve">31291236</t>
  </si>
  <si>
    <r>
      <rPr>
        <sz val="10"/>
        <rFont val="FreeSans"/>
        <family val="2"/>
      </rPr>
      <t xml:space="preserve">ورق فلاشینگ گالوانیزه بدون خم عرض </t>
    </r>
    <r>
      <rPr>
        <sz val="10"/>
        <rFont val="Vazirmatn"/>
        <family val="0"/>
        <charset val="1"/>
      </rPr>
      <t xml:space="preserve">1m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0/5mm</t>
    </r>
  </si>
  <si>
    <t xml:space="preserve">31291237</t>
  </si>
  <si>
    <r>
      <rPr>
        <sz val="10"/>
        <rFont val="FreeSans"/>
        <family val="2"/>
      </rPr>
      <t xml:space="preserve">ورق فلاشینگ گالوانیزه پالانی روی دیوار خم کاری شده عرض </t>
    </r>
    <r>
      <rPr>
        <sz val="10"/>
        <rFont val="Vazirmatn"/>
        <family val="0"/>
        <charset val="1"/>
      </rPr>
      <t xml:space="preserve">1m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0/5mm</t>
    </r>
  </si>
  <si>
    <t xml:space="preserve">31291238</t>
  </si>
  <si>
    <r>
      <rPr>
        <sz val="10"/>
        <rFont val="FreeSans"/>
        <family val="2"/>
      </rPr>
      <t xml:space="preserve">ورق پانچ استیل </t>
    </r>
    <r>
      <rPr>
        <sz val="10"/>
        <rFont val="Vazirmatn"/>
        <family val="0"/>
        <charset val="1"/>
      </rPr>
      <t xml:space="preserve">304 1*2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 - </t>
    </r>
    <r>
      <rPr>
        <sz val="10"/>
        <rFont val="FreeSans"/>
        <family val="2"/>
      </rPr>
      <t xml:space="preserve">مش </t>
    </r>
    <r>
      <rPr>
        <sz val="10"/>
        <rFont val="Vazirmatn"/>
        <family val="0"/>
        <charset val="1"/>
      </rPr>
      <t xml:space="preserve">2mm</t>
    </r>
  </si>
  <si>
    <t xml:space="preserve">31291251</t>
  </si>
  <si>
    <r>
      <rPr>
        <sz val="10"/>
        <rFont val="FreeSans"/>
        <family val="2"/>
      </rPr>
      <t xml:space="preserve">ورق موجدار  ایرانیت </t>
    </r>
    <r>
      <rPr>
        <sz val="10"/>
        <rFont val="Vazirmatn"/>
        <family val="0"/>
        <charset val="1"/>
      </rPr>
      <t xml:space="preserve">110*200</t>
    </r>
  </si>
  <si>
    <t xml:space="preserve">31291261</t>
  </si>
  <si>
    <t xml:space="preserve">ورق مسی</t>
  </si>
  <si>
    <t xml:space="preserve">31291275</t>
  </si>
  <si>
    <r>
      <rPr>
        <sz val="10"/>
        <rFont val="FreeSans"/>
        <family val="2"/>
      </rPr>
      <t xml:space="preserve">ورق آلومینیوم ضخامت </t>
    </r>
    <r>
      <rPr>
        <sz val="10"/>
        <rFont val="Vazirmatn"/>
        <family val="0"/>
        <charset val="1"/>
      </rPr>
      <t xml:space="preserve">0/6mm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1m</t>
    </r>
  </si>
  <si>
    <t xml:space="preserve">31291276</t>
  </si>
  <si>
    <r>
      <rPr>
        <sz val="10"/>
        <rFont val="FreeSans"/>
        <family val="2"/>
      </rPr>
      <t xml:space="preserve">ورق آلومینیوم ضخامت </t>
    </r>
    <r>
      <rPr>
        <sz val="10"/>
        <rFont val="Vazirmatn"/>
        <family val="0"/>
        <charset val="1"/>
      </rPr>
      <t xml:space="preserve">1mm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1m</t>
    </r>
  </si>
  <si>
    <t xml:space="preserve">31291277</t>
  </si>
  <si>
    <r>
      <rPr>
        <sz val="10"/>
        <rFont val="FreeSans"/>
        <family val="2"/>
      </rPr>
      <t xml:space="preserve">ورق آلومینیوم ضخامت </t>
    </r>
    <r>
      <rPr>
        <sz val="10"/>
        <rFont val="Vazirmatn"/>
        <family val="0"/>
        <charset val="1"/>
      </rPr>
      <t xml:space="preserve">0/8mm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1m</t>
    </r>
  </si>
  <si>
    <t xml:space="preserve">31291284</t>
  </si>
  <si>
    <r>
      <rPr>
        <sz val="10"/>
        <rFont val="FreeSans"/>
        <family val="2"/>
      </rPr>
      <t xml:space="preserve">ورق کلینگریت سیم دار  </t>
    </r>
    <r>
      <rPr>
        <sz val="10"/>
        <rFont val="Vazirmatn"/>
        <family val="0"/>
        <charset val="1"/>
      </rPr>
      <t xml:space="preserve">2 * 1     300</t>
    </r>
  </si>
  <si>
    <t xml:space="preserve">31291286</t>
  </si>
  <si>
    <r>
      <rPr>
        <sz val="10"/>
        <rFont val="FreeSans"/>
        <family val="2"/>
      </rPr>
      <t xml:space="preserve">ورق کاغذی  </t>
    </r>
    <r>
      <rPr>
        <sz val="10"/>
        <rFont val="Vazirmatn"/>
        <family val="0"/>
        <charset val="1"/>
      </rPr>
      <t xml:space="preserve">1 * 2     100 </t>
    </r>
    <r>
      <rPr>
        <sz val="10"/>
        <rFont val="FreeSans"/>
        <family val="2"/>
      </rPr>
      <t xml:space="preserve">میکرون</t>
    </r>
  </si>
  <si>
    <t xml:space="preserve">31291287</t>
  </si>
  <si>
    <r>
      <rPr>
        <sz val="10"/>
        <rFont val="FreeSans"/>
        <family val="2"/>
      </rPr>
      <t xml:space="preserve">ورق کاغذی  </t>
    </r>
    <r>
      <rPr>
        <sz val="10"/>
        <rFont val="Vazirmatn"/>
        <family val="0"/>
        <charset val="1"/>
      </rPr>
      <t xml:space="preserve">1 * 2     50 </t>
    </r>
    <r>
      <rPr>
        <sz val="10"/>
        <rFont val="FreeSans"/>
        <family val="2"/>
      </rPr>
      <t xml:space="preserve">میکرون</t>
    </r>
  </si>
  <si>
    <t xml:space="preserve">31291288</t>
  </si>
  <si>
    <r>
      <rPr>
        <sz val="10"/>
        <rFont val="FreeSans"/>
        <family val="2"/>
      </rPr>
      <t xml:space="preserve">ورق کاغذی  </t>
    </r>
    <r>
      <rPr>
        <sz val="10"/>
        <rFont val="Vazirmatn"/>
        <family val="0"/>
        <charset val="1"/>
      </rPr>
      <t xml:space="preserve">1 * 2     150 </t>
    </r>
    <r>
      <rPr>
        <sz val="10"/>
        <rFont val="FreeSans"/>
        <family val="2"/>
      </rPr>
      <t xml:space="preserve">میکرون</t>
    </r>
  </si>
  <si>
    <t xml:space="preserve">31291306</t>
  </si>
  <si>
    <r>
      <rPr>
        <sz val="10"/>
        <rFont val="FreeSans"/>
        <family val="2"/>
      </rPr>
      <t xml:space="preserve">نبشی آهنی نمره</t>
    </r>
    <r>
      <rPr>
        <sz val="10"/>
        <rFont val="Vazirmatn"/>
        <family val="0"/>
        <charset val="1"/>
      </rPr>
      <t xml:space="preserve">:10          Angle  iron</t>
    </r>
  </si>
  <si>
    <t xml:space="preserve">31291310</t>
  </si>
  <si>
    <r>
      <rPr>
        <sz val="10"/>
        <rFont val="FreeSans"/>
        <family val="2"/>
      </rPr>
      <t xml:space="preserve">نبشی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: 7             Angle   Steel</t>
    </r>
  </si>
  <si>
    <t xml:space="preserve">31291312</t>
  </si>
  <si>
    <r>
      <rPr>
        <sz val="10"/>
        <rFont val="FreeSans"/>
        <family val="2"/>
      </rPr>
      <t xml:space="preserve">نبشی آهنی نمره </t>
    </r>
    <r>
      <rPr>
        <sz val="10"/>
        <rFont val="Vazirmatn"/>
        <family val="0"/>
        <charset val="1"/>
      </rPr>
      <t xml:space="preserve">: 4         Angle iron</t>
    </r>
  </si>
  <si>
    <t xml:space="preserve">31291314</t>
  </si>
  <si>
    <r>
      <rPr>
        <sz val="10"/>
        <rFont val="FreeSans"/>
        <family val="2"/>
      </rPr>
      <t xml:space="preserve">نبشی آهنی  نمره </t>
    </r>
    <r>
      <rPr>
        <sz val="10"/>
        <rFont val="Vazirmatn"/>
        <family val="0"/>
        <charset val="1"/>
      </rPr>
      <t xml:space="preserve">: 6      Angle iron</t>
    </r>
  </si>
  <si>
    <t xml:space="preserve">31291315</t>
  </si>
  <si>
    <r>
      <rPr>
        <sz val="10"/>
        <rFont val="FreeSans"/>
        <family val="2"/>
      </rPr>
      <t xml:space="preserve">نبشی آهنی  نمره </t>
    </r>
    <r>
      <rPr>
        <sz val="10"/>
        <rFont val="Vazirmatn"/>
        <family val="0"/>
        <charset val="1"/>
      </rPr>
      <t xml:space="preserve">: 5    Angle iron</t>
    </r>
  </si>
  <si>
    <t xml:space="preserve">31291316</t>
  </si>
  <si>
    <r>
      <rPr>
        <sz val="10"/>
        <rFont val="FreeSans"/>
        <family val="2"/>
      </rPr>
      <t xml:space="preserve">تسمه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7      Flat Steel</t>
    </r>
  </si>
  <si>
    <t xml:space="preserve">31291317</t>
  </si>
  <si>
    <r>
      <rPr>
        <sz val="10"/>
        <rFont val="FreeSans"/>
        <family val="2"/>
      </rPr>
      <t xml:space="preserve">نبشی آهنی  نمره </t>
    </r>
    <r>
      <rPr>
        <sz val="10"/>
        <rFont val="Vazirmatn"/>
        <family val="0"/>
        <charset val="1"/>
      </rPr>
      <t xml:space="preserve">: 8    Angle iron</t>
    </r>
  </si>
  <si>
    <t xml:space="preserve">31291319</t>
  </si>
  <si>
    <r>
      <rPr>
        <sz val="10"/>
        <rFont val="FreeSans"/>
        <family val="2"/>
      </rPr>
      <t xml:space="preserve">نبشی گالوانیزه  </t>
    </r>
    <r>
      <rPr>
        <sz val="10"/>
        <rFont val="Vazirmatn"/>
        <family val="0"/>
        <charset val="1"/>
      </rPr>
      <t xml:space="preserve">L 25*25*0/7mm</t>
    </r>
  </si>
  <si>
    <t xml:space="preserve">31291320</t>
  </si>
  <si>
    <r>
      <rPr>
        <sz val="10"/>
        <rFont val="FreeSans"/>
        <family val="2"/>
      </rPr>
      <t xml:space="preserve">تسمه استیل </t>
    </r>
    <r>
      <rPr>
        <sz val="10"/>
        <rFont val="Vazirmatn"/>
        <family val="0"/>
        <charset val="1"/>
      </rPr>
      <t xml:space="preserve">304    Flat Steel      13cm*3mm</t>
    </r>
  </si>
  <si>
    <t xml:space="preserve">31291325</t>
  </si>
  <si>
    <r>
      <rPr>
        <sz val="10"/>
        <rFont val="FreeSans"/>
        <family val="2"/>
      </rPr>
      <t xml:space="preserve">شینه مسی  </t>
    </r>
    <r>
      <rPr>
        <sz val="10"/>
        <rFont val="Vazirmatn"/>
        <family val="0"/>
        <charset val="1"/>
      </rPr>
      <t xml:space="preserve">30mm * 10mm</t>
    </r>
  </si>
  <si>
    <t xml:space="preserve">31291327</t>
  </si>
  <si>
    <r>
      <rPr>
        <sz val="10"/>
        <rFont val="FreeSans"/>
        <family val="2"/>
      </rPr>
      <t xml:space="preserve">شینه مسی  </t>
    </r>
    <r>
      <rPr>
        <sz val="10"/>
        <rFont val="Vazirmatn"/>
        <family val="0"/>
        <charset val="1"/>
      </rPr>
      <t xml:space="preserve">40mm * 10mm</t>
    </r>
  </si>
  <si>
    <t xml:space="preserve">31291328</t>
  </si>
  <si>
    <r>
      <rPr>
        <sz val="10"/>
        <rFont val="FreeSans"/>
        <family val="2"/>
      </rPr>
      <t xml:space="preserve">شینه مسی  </t>
    </r>
    <r>
      <rPr>
        <sz val="10"/>
        <rFont val="Vazirmatn"/>
        <family val="0"/>
        <charset val="1"/>
      </rPr>
      <t xml:space="preserve">15mm * 3mm</t>
    </r>
  </si>
  <si>
    <t xml:space="preserve">31291331</t>
  </si>
  <si>
    <r>
      <rPr>
        <sz val="10"/>
        <rFont val="FreeSans"/>
        <family val="2"/>
      </rPr>
      <t xml:space="preserve">شینه مسی  </t>
    </r>
    <r>
      <rPr>
        <sz val="10"/>
        <rFont val="Vazirmatn"/>
        <family val="0"/>
        <charset val="1"/>
      </rPr>
      <t xml:space="preserve">20mm * 5mm</t>
    </r>
  </si>
  <si>
    <t xml:space="preserve">31291332</t>
  </si>
  <si>
    <r>
      <rPr>
        <sz val="10"/>
        <rFont val="FreeSans"/>
        <family val="2"/>
      </rPr>
      <t xml:space="preserve">شینه برق باهنر   </t>
    </r>
    <r>
      <rPr>
        <sz val="10"/>
        <rFont val="Vazirmatn"/>
        <family val="0"/>
        <charset val="1"/>
      </rPr>
      <t xml:space="preserve">60mm * 10mm</t>
    </r>
  </si>
  <si>
    <t xml:space="preserve">31291333</t>
  </si>
  <si>
    <r>
      <rPr>
        <sz val="10"/>
        <rFont val="FreeSans"/>
        <family val="2"/>
      </rPr>
      <t xml:space="preserve">شینه نول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پیچ</t>
    </r>
  </si>
  <si>
    <t xml:space="preserve">31291335</t>
  </si>
  <si>
    <r>
      <rPr>
        <sz val="10"/>
        <rFont val="FreeSans"/>
        <family val="2"/>
      </rPr>
      <t xml:space="preserve">تسمه آهنی  نمره </t>
    </r>
    <r>
      <rPr>
        <sz val="10"/>
        <rFont val="Vazirmatn"/>
        <family val="0"/>
        <charset val="1"/>
      </rPr>
      <t xml:space="preserve">: 2/5</t>
    </r>
  </si>
  <si>
    <t xml:space="preserve">31291359</t>
  </si>
  <si>
    <r>
      <rPr>
        <sz val="10"/>
        <rFont val="FreeSans"/>
        <family val="2"/>
      </rPr>
      <t xml:space="preserve">قوطی آهنی    </t>
    </r>
    <r>
      <rPr>
        <sz val="10"/>
        <rFont val="Vazirmatn"/>
        <family val="0"/>
        <charset val="1"/>
      </rPr>
      <t xml:space="preserve">80 * 40</t>
    </r>
  </si>
  <si>
    <t xml:space="preserve">31291365</t>
  </si>
  <si>
    <r>
      <rPr>
        <sz val="10"/>
        <rFont val="FreeSans"/>
        <family val="2"/>
      </rPr>
      <t xml:space="preserve">قوطی آهنی          </t>
    </r>
    <r>
      <rPr>
        <sz val="10"/>
        <rFont val="Vazirmatn"/>
        <family val="0"/>
        <charset val="1"/>
      </rPr>
      <t xml:space="preserve">30 *30</t>
    </r>
  </si>
  <si>
    <t xml:space="preserve">31291370</t>
  </si>
  <si>
    <r>
      <rPr>
        <sz val="10"/>
        <rFont val="FreeSans"/>
        <family val="2"/>
      </rPr>
      <t xml:space="preserve">قوطی استیل </t>
    </r>
    <r>
      <rPr>
        <sz val="10"/>
        <rFont val="Vazirmatn"/>
        <family val="0"/>
        <charset val="1"/>
      </rPr>
      <t xml:space="preserve">2mm    20 * 30</t>
    </r>
  </si>
  <si>
    <t xml:space="preserve">31291377</t>
  </si>
  <si>
    <r>
      <rPr>
        <sz val="10"/>
        <rFont val="FreeSans"/>
        <family val="2"/>
      </rPr>
      <t xml:space="preserve">قوطی آهنی    </t>
    </r>
    <r>
      <rPr>
        <sz val="10"/>
        <rFont val="Vazirmatn"/>
        <family val="0"/>
        <charset val="1"/>
      </rPr>
      <t xml:space="preserve">140 * 140</t>
    </r>
  </si>
  <si>
    <t xml:space="preserve">31291380</t>
  </si>
  <si>
    <r>
      <rPr>
        <sz val="10"/>
        <rFont val="FreeSans"/>
        <family val="2"/>
      </rPr>
      <t xml:space="preserve">قوطی استیل           </t>
    </r>
    <r>
      <rPr>
        <sz val="10"/>
        <rFont val="Vazirmatn"/>
        <family val="0"/>
        <charset val="1"/>
      </rPr>
      <t xml:space="preserve">40 *40</t>
    </r>
  </si>
  <si>
    <t xml:space="preserve">31291381</t>
  </si>
  <si>
    <r>
      <rPr>
        <sz val="10"/>
        <rFont val="FreeSans"/>
        <family val="2"/>
      </rPr>
      <t xml:space="preserve">قوطی استیل           </t>
    </r>
    <r>
      <rPr>
        <sz val="10"/>
        <rFont val="Vazirmatn"/>
        <family val="0"/>
        <charset val="1"/>
      </rPr>
      <t xml:space="preserve">60*60</t>
    </r>
  </si>
  <si>
    <t xml:space="preserve">31291383</t>
  </si>
  <si>
    <r>
      <rPr>
        <sz val="10"/>
        <rFont val="FreeSans"/>
        <family val="2"/>
      </rPr>
      <t xml:space="preserve">قوطی آهنی          </t>
    </r>
    <r>
      <rPr>
        <sz val="10"/>
        <rFont val="Vazirmatn"/>
        <family val="0"/>
        <charset val="1"/>
      </rPr>
      <t xml:space="preserve">150*150</t>
    </r>
  </si>
  <si>
    <t xml:space="preserve">31291386</t>
  </si>
  <si>
    <r>
      <rPr>
        <sz val="10"/>
        <rFont val="FreeSans"/>
        <family val="2"/>
      </rPr>
      <t xml:space="preserve">قوطی آهنی         </t>
    </r>
    <r>
      <rPr>
        <sz val="10"/>
        <rFont val="Vazirmatn"/>
        <family val="0"/>
        <charset val="1"/>
      </rPr>
      <t xml:space="preserve">80*140</t>
    </r>
  </si>
  <si>
    <t xml:space="preserve">31291397</t>
  </si>
  <si>
    <t xml:space="preserve">دریچه منهول استیل</t>
  </si>
  <si>
    <t xml:space="preserve">31291399</t>
  </si>
  <si>
    <r>
      <rPr>
        <sz val="10"/>
        <rFont val="FreeSans"/>
        <family val="2"/>
      </rPr>
      <t xml:space="preserve">قوطی آهنی             </t>
    </r>
    <r>
      <rPr>
        <sz val="10"/>
        <rFont val="Vazirmatn"/>
        <family val="0"/>
        <charset val="1"/>
      </rPr>
      <t xml:space="preserve">100 * 100</t>
    </r>
  </si>
  <si>
    <t xml:space="preserve">31291400</t>
  </si>
  <si>
    <r>
      <rPr>
        <sz val="10"/>
        <rFont val="FreeSans"/>
        <family val="2"/>
      </rPr>
      <t xml:space="preserve">درب منهول پلاستیکی فاضلابی با رینگ قطر </t>
    </r>
    <r>
      <rPr>
        <sz val="10"/>
        <rFont val="Vazirmatn"/>
        <family val="0"/>
        <charset val="1"/>
      </rPr>
      <t xml:space="preserve">80cm</t>
    </r>
  </si>
  <si>
    <t xml:space="preserve">31291404</t>
  </si>
  <si>
    <r>
      <rPr>
        <sz val="10"/>
        <rFont val="FreeSans"/>
        <family val="2"/>
      </rPr>
      <t xml:space="preserve">تیر آهن  نمره       </t>
    </r>
    <r>
      <rPr>
        <sz val="10"/>
        <rFont val="Vazirmatn"/>
        <family val="0"/>
        <charset val="1"/>
      </rPr>
      <t xml:space="preserve">20</t>
    </r>
  </si>
  <si>
    <t xml:space="preserve">31291405</t>
  </si>
  <si>
    <r>
      <rPr>
        <sz val="10"/>
        <rFont val="FreeSans"/>
        <family val="2"/>
      </rPr>
      <t xml:space="preserve">تیر آهن                </t>
    </r>
    <r>
      <rPr>
        <sz val="10"/>
        <rFont val="Vazirmatn"/>
        <family val="0"/>
        <charset val="1"/>
      </rPr>
      <t xml:space="preserve">30</t>
    </r>
  </si>
  <si>
    <t xml:space="preserve">31291406</t>
  </si>
  <si>
    <r>
      <rPr>
        <sz val="10"/>
        <rFont val="FreeSans"/>
        <family val="2"/>
      </rPr>
      <t xml:space="preserve">تیرآهن نمره   </t>
    </r>
    <r>
      <rPr>
        <sz val="10"/>
        <rFont val="Vazirmatn"/>
        <family val="0"/>
        <charset val="1"/>
      </rPr>
      <t xml:space="preserve">24</t>
    </r>
  </si>
  <si>
    <t xml:space="preserve">31291408</t>
  </si>
  <si>
    <r>
      <rPr>
        <sz val="10"/>
        <rFont val="FreeSans"/>
        <family val="2"/>
      </rPr>
      <t xml:space="preserve">زد آهنی </t>
    </r>
    <r>
      <rPr>
        <sz val="10"/>
        <rFont val="Vazirmatn"/>
        <family val="0"/>
        <charset val="1"/>
      </rPr>
      <t xml:space="preserve">22 ( 12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3mm</t>
    </r>
  </si>
  <si>
    <t xml:space="preserve">31291409</t>
  </si>
  <si>
    <r>
      <rPr>
        <sz val="10"/>
        <rFont val="FreeSans"/>
        <family val="2"/>
      </rPr>
      <t xml:space="preserve">زد آهنی </t>
    </r>
    <r>
      <rPr>
        <sz val="10"/>
        <rFont val="Vazirmatn"/>
        <family val="0"/>
        <charset val="1"/>
      </rPr>
      <t xml:space="preserve">18 ( 2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)</t>
    </r>
  </si>
  <si>
    <t xml:space="preserve">31291413</t>
  </si>
  <si>
    <r>
      <rPr>
        <sz val="10"/>
        <rFont val="FreeSans"/>
        <family val="2"/>
      </rPr>
      <t xml:space="preserve">تیر آهن   </t>
    </r>
    <r>
      <rPr>
        <sz val="10"/>
        <rFont val="Vazirmatn"/>
        <family val="0"/>
        <charset val="1"/>
      </rPr>
      <t xml:space="preserve">16  ( 12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)</t>
    </r>
  </si>
  <si>
    <t xml:space="preserve">31291414</t>
  </si>
  <si>
    <r>
      <rPr>
        <sz val="10"/>
        <rFont val="FreeSans"/>
        <family val="2"/>
      </rPr>
      <t xml:space="preserve">تیر آهن   </t>
    </r>
    <r>
      <rPr>
        <sz val="10"/>
        <rFont val="Vazirmatn"/>
        <family val="0"/>
        <charset val="1"/>
      </rPr>
      <t xml:space="preserve">14  ( 12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)</t>
    </r>
  </si>
  <si>
    <t xml:space="preserve">31291420</t>
  </si>
  <si>
    <r>
      <rPr>
        <sz val="10"/>
        <rFont val="FreeSans"/>
        <family val="2"/>
      </rPr>
      <t xml:space="preserve">تیر آهن نمره      </t>
    </r>
    <r>
      <rPr>
        <sz val="10"/>
        <rFont val="Vazirmatn"/>
        <family val="0"/>
        <charset val="1"/>
      </rPr>
      <t xml:space="preserve">18</t>
    </r>
  </si>
  <si>
    <t xml:space="preserve">31291487</t>
  </si>
  <si>
    <r>
      <rPr>
        <sz val="10"/>
        <rFont val="FreeSans"/>
        <family val="2"/>
      </rPr>
      <t xml:space="preserve">کپسول آتشنشانی پودری </t>
    </r>
    <r>
      <rPr>
        <sz val="10"/>
        <rFont val="Vazirmatn"/>
        <family val="0"/>
        <charset val="1"/>
      </rPr>
      <t xml:space="preserve">12Kg</t>
    </r>
  </si>
  <si>
    <t xml:space="preserve">31291488</t>
  </si>
  <si>
    <r>
      <rPr>
        <sz val="10"/>
        <rFont val="FreeSans"/>
        <family val="2"/>
      </rPr>
      <t xml:space="preserve">کپسول آتشنشانی آب و گاز </t>
    </r>
    <r>
      <rPr>
        <sz val="10"/>
        <rFont val="Vazirmatn"/>
        <family val="0"/>
        <charset val="1"/>
      </rPr>
      <t xml:space="preserve">6Kg</t>
    </r>
  </si>
  <si>
    <t xml:space="preserve">31291489</t>
  </si>
  <si>
    <r>
      <rPr>
        <sz val="10"/>
        <rFont val="FreeSans"/>
        <family val="2"/>
      </rPr>
      <t xml:space="preserve">کپسول آتشنشانی پودری </t>
    </r>
    <r>
      <rPr>
        <sz val="10"/>
        <rFont val="Vazirmatn"/>
        <family val="0"/>
        <charset val="1"/>
      </rPr>
      <t xml:space="preserve">6Kg</t>
    </r>
  </si>
  <si>
    <t xml:space="preserve">31291492</t>
  </si>
  <si>
    <r>
      <rPr>
        <sz val="10"/>
        <rFont val="FreeSans"/>
        <family val="2"/>
      </rPr>
      <t xml:space="preserve">کپسول آرگون  </t>
    </r>
    <r>
      <rPr>
        <sz val="10"/>
        <rFont val="Vazirmatn"/>
        <family val="0"/>
        <charset val="1"/>
      </rPr>
      <t xml:space="preserve">10Kg</t>
    </r>
  </si>
  <si>
    <t xml:space="preserve">31291498</t>
  </si>
  <si>
    <r>
      <rPr>
        <sz val="10"/>
        <rFont val="FreeSans"/>
        <family val="2"/>
      </rPr>
      <t xml:space="preserve">کپسول گاز پیک نیکی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مسافرتی </t>
    </r>
    <r>
      <rPr>
        <sz val="10"/>
        <rFont val="Vazirmatn"/>
        <family val="0"/>
        <charset val="1"/>
      </rPr>
      <t xml:space="preserve">)</t>
    </r>
  </si>
  <si>
    <t xml:space="preserve">31291505</t>
  </si>
  <si>
    <r>
      <rPr>
        <sz val="10"/>
        <rFont val="FreeSans"/>
        <family val="2"/>
      </rPr>
      <t xml:space="preserve">تسمه استیل         </t>
    </r>
    <r>
      <rPr>
        <sz val="10"/>
        <rFont val="Vazirmatn"/>
        <family val="0"/>
        <charset val="1"/>
      </rPr>
      <t xml:space="preserve">100*700</t>
    </r>
  </si>
  <si>
    <t xml:space="preserve">31291507</t>
  </si>
  <si>
    <r>
      <rPr>
        <sz val="10"/>
        <rFont val="FreeSans"/>
        <family val="2"/>
      </rPr>
      <t xml:space="preserve">شمش چهار پهلوی استیل </t>
    </r>
    <r>
      <rPr>
        <sz val="10"/>
        <rFont val="Vazirmatn"/>
        <family val="0"/>
        <charset val="1"/>
      </rPr>
      <t xml:space="preserve">12 * 12</t>
    </r>
  </si>
  <si>
    <t xml:space="preserve">31291510</t>
  </si>
  <si>
    <r>
      <rPr>
        <sz val="10"/>
        <rFont val="FreeSans"/>
        <family val="2"/>
      </rPr>
      <t xml:space="preserve">شمش چهار پهلوی استیل </t>
    </r>
    <r>
      <rPr>
        <sz val="10"/>
        <rFont val="Vazirmatn"/>
        <family val="0"/>
        <charset val="1"/>
      </rPr>
      <t xml:space="preserve">6*6</t>
    </r>
  </si>
  <si>
    <t xml:space="preserve">31291516</t>
  </si>
  <si>
    <r>
      <rPr>
        <sz val="10"/>
        <rFont val="FreeSans"/>
        <family val="2"/>
      </rPr>
      <t xml:space="preserve">شمش چهار گوش  </t>
    </r>
    <r>
      <rPr>
        <sz val="10"/>
        <rFont val="Vazirmatn"/>
        <family val="0"/>
        <charset val="1"/>
      </rPr>
      <t xml:space="preserve">30*30</t>
    </r>
  </si>
  <si>
    <t xml:space="preserve">31291521</t>
  </si>
  <si>
    <t xml:space="preserve">میلگرد تفلونی</t>
  </si>
  <si>
    <t xml:space="preserve">31291525</t>
  </si>
  <si>
    <r>
      <rPr>
        <sz val="10"/>
        <rFont val="FreeSans"/>
        <family val="2"/>
      </rPr>
      <t xml:space="preserve">شمش چهار پهلو استیل </t>
    </r>
    <r>
      <rPr>
        <sz val="10"/>
        <rFont val="Vazirmatn"/>
        <family val="0"/>
        <charset val="1"/>
      </rPr>
      <t xml:space="preserve">4 * 4</t>
    </r>
  </si>
  <si>
    <t xml:space="preserve">31291526</t>
  </si>
  <si>
    <r>
      <rPr>
        <sz val="10"/>
        <rFont val="FreeSans"/>
        <family val="2"/>
      </rPr>
      <t xml:space="preserve">شمش چهار پهلو آهنی </t>
    </r>
    <r>
      <rPr>
        <sz val="10"/>
        <rFont val="Vazirmatn"/>
        <family val="0"/>
        <charset val="1"/>
      </rPr>
      <t xml:space="preserve">3 * 3</t>
    </r>
  </si>
  <si>
    <t xml:space="preserve">31291528</t>
  </si>
  <si>
    <r>
      <rPr>
        <sz val="10"/>
        <rFont val="FreeSans"/>
        <family val="2"/>
      </rPr>
      <t xml:space="preserve">شمش چهار پهلوی استیل </t>
    </r>
    <r>
      <rPr>
        <sz val="10"/>
        <rFont val="Vazirmatn"/>
        <family val="0"/>
        <charset val="1"/>
      </rPr>
      <t xml:space="preserve">14 * 14</t>
    </r>
  </si>
  <si>
    <t xml:space="preserve">31291529</t>
  </si>
  <si>
    <r>
      <rPr>
        <sz val="10"/>
        <rFont val="FreeSans"/>
        <family val="2"/>
      </rPr>
      <t xml:space="preserve">میلگرد آهنی       </t>
    </r>
    <r>
      <rPr>
        <sz val="10"/>
        <rFont val="Vazirmatn"/>
        <family val="0"/>
        <charset val="1"/>
      </rPr>
      <t xml:space="preserve">MM10</t>
    </r>
  </si>
  <si>
    <t xml:space="preserve">31291533</t>
  </si>
  <si>
    <r>
      <rPr>
        <sz val="10"/>
        <rFont val="FreeSans"/>
        <family val="2"/>
      </rPr>
      <t xml:space="preserve">میلگرد آهنی نمره </t>
    </r>
    <r>
      <rPr>
        <sz val="10"/>
        <rFont val="Vazirmatn"/>
        <family val="0"/>
        <charset val="1"/>
      </rPr>
      <t xml:space="preserve">4</t>
    </r>
  </si>
  <si>
    <t xml:space="preserve">31291537</t>
  </si>
  <si>
    <r>
      <rPr>
        <sz val="10"/>
        <rFont val="FreeSans"/>
        <family val="2"/>
      </rPr>
      <t xml:space="preserve">میلگرد آهنی       </t>
    </r>
    <r>
      <rPr>
        <sz val="10"/>
        <rFont val="Vazirmatn"/>
        <family val="0"/>
        <charset val="1"/>
      </rPr>
      <t xml:space="preserve">MM22</t>
    </r>
  </si>
  <si>
    <t xml:space="preserve">31291538</t>
  </si>
  <si>
    <r>
      <rPr>
        <sz val="10"/>
        <rFont val="FreeSans"/>
        <family val="2"/>
      </rPr>
      <t xml:space="preserve">میلگرد آهنی       </t>
    </r>
    <r>
      <rPr>
        <sz val="10"/>
        <rFont val="Vazirmatn"/>
        <family val="0"/>
        <charset val="1"/>
      </rPr>
      <t xml:space="preserve">MM20</t>
    </r>
  </si>
  <si>
    <t xml:space="preserve">31291544</t>
  </si>
  <si>
    <r>
      <rPr>
        <sz val="10"/>
        <rFont val="FreeSans"/>
        <family val="2"/>
      </rPr>
      <t xml:space="preserve">میلگرد آهنی       </t>
    </r>
    <r>
      <rPr>
        <sz val="10"/>
        <rFont val="Vazirmatn"/>
        <family val="0"/>
        <charset val="1"/>
      </rPr>
      <t xml:space="preserve">MM32</t>
    </r>
  </si>
  <si>
    <t xml:space="preserve">31291547</t>
  </si>
  <si>
    <r>
      <rPr>
        <sz val="10"/>
        <rFont val="FreeSans"/>
        <family val="2"/>
      </rPr>
      <t xml:space="preserve">میلگرد </t>
    </r>
    <r>
      <rPr>
        <sz val="10"/>
        <rFont val="Vazirmatn"/>
        <family val="0"/>
        <charset val="1"/>
      </rPr>
      <t xml:space="preserve">UPVC 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30mm</t>
    </r>
  </si>
  <si>
    <t xml:space="preserve">31291548</t>
  </si>
  <si>
    <r>
      <rPr>
        <sz val="10"/>
        <rFont val="FreeSans"/>
        <family val="2"/>
      </rPr>
      <t xml:space="preserve">شمش استیل چهار گوش </t>
    </r>
    <r>
      <rPr>
        <sz val="10"/>
        <rFont val="Vazirmatn"/>
        <family val="0"/>
        <charset val="1"/>
      </rPr>
      <t xml:space="preserve">6mm*6mm</t>
    </r>
  </si>
  <si>
    <t xml:space="preserve">31291549</t>
  </si>
  <si>
    <r>
      <rPr>
        <sz val="10"/>
        <rFont val="FreeSans"/>
        <family val="2"/>
      </rPr>
      <t xml:space="preserve">شمش استیل چهار گوش </t>
    </r>
    <r>
      <rPr>
        <sz val="10"/>
        <rFont val="Vazirmatn"/>
        <family val="0"/>
        <charset val="1"/>
      </rPr>
      <t xml:space="preserve">8mm*8mm</t>
    </r>
  </si>
  <si>
    <t xml:space="preserve">31291551</t>
  </si>
  <si>
    <r>
      <rPr>
        <sz val="10"/>
        <rFont val="FreeSans"/>
        <family val="2"/>
      </rPr>
      <t xml:space="preserve">میلگرد استیل </t>
    </r>
    <r>
      <rPr>
        <sz val="10"/>
        <rFont val="Vazirmatn"/>
        <family val="0"/>
        <charset val="1"/>
      </rPr>
      <t xml:space="preserve">304  Q=450mm</t>
    </r>
  </si>
  <si>
    <t xml:space="preserve">31291560</t>
  </si>
  <si>
    <r>
      <rPr>
        <sz val="10"/>
        <rFont val="FreeSans"/>
        <family val="2"/>
      </rPr>
      <t xml:space="preserve">شمش چهار پهلوی استیل </t>
    </r>
    <r>
      <rPr>
        <sz val="10"/>
        <rFont val="Vazirmatn"/>
        <family val="0"/>
        <charset val="1"/>
      </rPr>
      <t xml:space="preserve">10*10</t>
    </r>
  </si>
  <si>
    <t xml:space="preserve">31291561</t>
  </si>
  <si>
    <r>
      <rPr>
        <sz val="10"/>
        <rFont val="FreeSans"/>
        <family val="2"/>
      </rPr>
      <t xml:space="preserve">شمش چهارپهلوی استیل </t>
    </r>
    <r>
      <rPr>
        <sz val="10"/>
        <rFont val="Vazirmatn"/>
        <family val="0"/>
        <charset val="1"/>
      </rPr>
      <t xml:space="preserve">8*8</t>
    </r>
  </si>
  <si>
    <t xml:space="preserve">31291568</t>
  </si>
  <si>
    <r>
      <rPr>
        <sz val="10"/>
        <rFont val="FreeSans"/>
        <family val="2"/>
      </rPr>
      <t xml:space="preserve">شمش استیل چهار گوش </t>
    </r>
    <r>
      <rPr>
        <sz val="10"/>
        <rFont val="Vazirmatn"/>
        <family val="0"/>
        <charset val="1"/>
      </rPr>
      <t xml:space="preserve">10mm*10mm</t>
    </r>
  </si>
  <si>
    <t xml:space="preserve">31291569</t>
  </si>
  <si>
    <r>
      <rPr>
        <sz val="10"/>
        <rFont val="FreeSans"/>
        <family val="2"/>
      </rPr>
      <t xml:space="preserve">شمش استیل چهار پهلو </t>
    </r>
    <r>
      <rPr>
        <sz val="10"/>
        <rFont val="Vazirmatn"/>
        <family val="0"/>
        <charset val="1"/>
      </rPr>
      <t xml:space="preserve">16mm*16mm</t>
    </r>
  </si>
  <si>
    <t xml:space="preserve">31291575</t>
  </si>
  <si>
    <r>
      <rPr>
        <sz val="10"/>
        <rFont val="FreeSans"/>
        <family val="2"/>
      </rPr>
      <t xml:space="preserve">شمش آهنی چهار پهلو </t>
    </r>
    <r>
      <rPr>
        <sz val="10"/>
        <rFont val="Vazirmatn"/>
        <family val="0"/>
        <charset val="1"/>
      </rPr>
      <t xml:space="preserve">36mm*20mm</t>
    </r>
  </si>
  <si>
    <t xml:space="preserve">31291578</t>
  </si>
  <si>
    <r>
      <rPr>
        <sz val="10"/>
        <rFont val="FreeSans"/>
        <family val="2"/>
      </rPr>
      <t xml:space="preserve">میلگرد استیل </t>
    </r>
    <r>
      <rPr>
        <sz val="10"/>
        <rFont val="Vazirmatn"/>
        <family val="0"/>
        <charset val="1"/>
      </rPr>
      <t xml:space="preserve">316  Q=20mm</t>
    </r>
  </si>
  <si>
    <t xml:space="preserve">31291579</t>
  </si>
  <si>
    <r>
      <rPr>
        <sz val="10"/>
        <rFont val="FreeSans"/>
        <family val="2"/>
      </rPr>
      <t xml:space="preserve">میلگرد استیل </t>
    </r>
    <r>
      <rPr>
        <sz val="10"/>
        <rFont val="Vazirmatn"/>
        <family val="0"/>
        <charset val="1"/>
      </rPr>
      <t xml:space="preserve">304  Q=50mm</t>
    </r>
  </si>
  <si>
    <t xml:space="preserve">31291580</t>
  </si>
  <si>
    <r>
      <rPr>
        <sz val="10"/>
        <rFont val="FreeSans"/>
        <family val="2"/>
      </rPr>
      <t xml:space="preserve">میلگرد استیل </t>
    </r>
    <r>
      <rPr>
        <sz val="10"/>
        <rFont val="Vazirmatn"/>
        <family val="0"/>
        <charset val="1"/>
      </rPr>
      <t xml:space="preserve">304  Q=55mm</t>
    </r>
  </si>
  <si>
    <t xml:space="preserve">31291581</t>
  </si>
  <si>
    <r>
      <rPr>
        <sz val="10"/>
        <rFont val="FreeSans"/>
        <family val="2"/>
      </rPr>
      <t xml:space="preserve">میلگرد استیل </t>
    </r>
    <r>
      <rPr>
        <sz val="10"/>
        <rFont val="Vazirmatn"/>
        <family val="0"/>
        <charset val="1"/>
      </rPr>
      <t xml:space="preserve">304  Q=80mm</t>
    </r>
  </si>
  <si>
    <t xml:space="preserve">31291582</t>
  </si>
  <si>
    <r>
      <rPr>
        <sz val="10"/>
        <rFont val="FreeSans"/>
        <family val="2"/>
      </rPr>
      <t xml:space="preserve">میلگرد استیل </t>
    </r>
    <r>
      <rPr>
        <sz val="10"/>
        <rFont val="Vazirmatn"/>
        <family val="0"/>
        <charset val="1"/>
      </rPr>
      <t xml:space="preserve">304  Q=60mm</t>
    </r>
  </si>
  <si>
    <t xml:space="preserve">31291585</t>
  </si>
  <si>
    <r>
      <rPr>
        <sz val="10"/>
        <rFont val="FreeSans"/>
        <family val="2"/>
      </rPr>
      <t xml:space="preserve">میلگرد استیل </t>
    </r>
    <r>
      <rPr>
        <sz val="10"/>
        <rFont val="Vazirmatn"/>
        <family val="0"/>
        <charset val="1"/>
      </rPr>
      <t xml:space="preserve">304  Q=70mm</t>
    </r>
  </si>
  <si>
    <t xml:space="preserve">31291589</t>
  </si>
  <si>
    <r>
      <rPr>
        <sz val="10"/>
        <rFont val="FreeSans"/>
        <family val="2"/>
      </rPr>
      <t xml:space="preserve">میلگرد استیل </t>
    </r>
    <r>
      <rPr>
        <sz val="10"/>
        <rFont val="Vazirmatn"/>
        <family val="0"/>
        <charset val="1"/>
      </rPr>
      <t xml:space="preserve">304  Q=45mm</t>
    </r>
  </si>
  <si>
    <t xml:space="preserve">31291590</t>
  </si>
  <si>
    <r>
      <rPr>
        <sz val="10"/>
        <rFont val="FreeSans"/>
        <family val="2"/>
      </rPr>
      <t xml:space="preserve">میلگرد تفلونی پلیمر فلوئوردار </t>
    </r>
    <r>
      <rPr>
        <sz val="10"/>
        <rFont val="Vazirmatn"/>
        <family val="0"/>
        <charset val="1"/>
      </rPr>
      <t xml:space="preserve">Q=60 50cm</t>
    </r>
  </si>
  <si>
    <t xml:space="preserve">31291591</t>
  </si>
  <si>
    <r>
      <rPr>
        <sz val="10"/>
        <rFont val="FreeSans"/>
        <family val="2"/>
      </rPr>
      <t xml:space="preserve">میلگرد تفلونی پلیمر فلوئوردار </t>
    </r>
    <r>
      <rPr>
        <sz val="10"/>
        <rFont val="Vazirmatn"/>
        <family val="0"/>
        <charset val="1"/>
      </rPr>
      <t xml:space="preserve">Q=90 50cm</t>
    </r>
  </si>
  <si>
    <t xml:space="preserve">31291593</t>
  </si>
  <si>
    <r>
      <rPr>
        <sz val="10"/>
        <rFont val="FreeSans"/>
        <family val="2"/>
      </rPr>
      <t xml:space="preserve">میلگرد تفلونی پلی آمید    </t>
    </r>
    <r>
      <rPr>
        <sz val="10"/>
        <rFont val="Vazirmatn"/>
        <family val="0"/>
        <charset val="1"/>
      </rPr>
      <t xml:space="preserve">Q=30</t>
    </r>
  </si>
  <si>
    <t xml:space="preserve">31291594</t>
  </si>
  <si>
    <r>
      <rPr>
        <sz val="10"/>
        <rFont val="FreeSans"/>
        <family val="2"/>
      </rPr>
      <t xml:space="preserve">میلگرد تفلونی پلی آمید    </t>
    </r>
    <r>
      <rPr>
        <sz val="10"/>
        <rFont val="Vazirmatn"/>
        <family val="0"/>
        <charset val="1"/>
      </rPr>
      <t xml:space="preserve">Q=50</t>
    </r>
  </si>
  <si>
    <t xml:space="preserve">31291596</t>
  </si>
  <si>
    <r>
      <rPr>
        <sz val="10"/>
        <rFont val="FreeSans"/>
        <family val="2"/>
      </rPr>
      <t xml:space="preserve">میلگرد تفلونی </t>
    </r>
    <r>
      <rPr>
        <sz val="10"/>
        <rFont val="Vazirmatn"/>
        <family val="0"/>
        <charset val="1"/>
      </rPr>
      <t xml:space="preserve">Q=35mm</t>
    </r>
  </si>
  <si>
    <t xml:space="preserve">31291598</t>
  </si>
  <si>
    <r>
      <rPr>
        <sz val="10"/>
        <rFont val="FreeSans"/>
        <family val="2"/>
      </rPr>
      <t xml:space="preserve">میلگرد استیل </t>
    </r>
    <r>
      <rPr>
        <sz val="10"/>
        <rFont val="Vazirmatn"/>
        <family val="0"/>
        <charset val="1"/>
      </rPr>
      <t xml:space="preserve">304  Q=250mm</t>
    </r>
  </si>
  <si>
    <t xml:space="preserve">31291599</t>
  </si>
  <si>
    <r>
      <rPr>
        <sz val="10"/>
        <rFont val="FreeSans"/>
        <family val="2"/>
      </rPr>
      <t xml:space="preserve">میلگرد استیل </t>
    </r>
    <r>
      <rPr>
        <sz val="10"/>
        <rFont val="Vazirmatn"/>
        <family val="0"/>
        <charset val="1"/>
      </rPr>
      <t xml:space="preserve">304  Q=3mm</t>
    </r>
  </si>
  <si>
    <t xml:space="preserve">31291600</t>
  </si>
  <si>
    <r>
      <rPr>
        <sz val="10"/>
        <rFont val="FreeSans"/>
        <family val="2"/>
      </rPr>
      <t xml:space="preserve">ورق آبروی گالوانیزه عرض </t>
    </r>
    <r>
      <rPr>
        <sz val="10"/>
        <rFont val="Vazirmatn"/>
        <family val="0"/>
        <charset val="1"/>
      </rPr>
      <t xml:space="preserve">42cm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</t>
    </r>
  </si>
  <si>
    <t xml:space="preserve">31291601</t>
  </si>
  <si>
    <r>
      <rPr>
        <sz val="10"/>
        <rFont val="FreeSans"/>
        <family val="2"/>
      </rPr>
      <t xml:space="preserve">ورق آبروی گالوانیزه عرض </t>
    </r>
    <r>
      <rPr>
        <sz val="10"/>
        <rFont val="Vazirmatn"/>
        <family val="0"/>
        <charset val="1"/>
      </rPr>
      <t xml:space="preserve">62/5cm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</t>
    </r>
  </si>
  <si>
    <t xml:space="preserve">31291602</t>
  </si>
  <si>
    <r>
      <rPr>
        <sz val="10"/>
        <rFont val="FreeSans"/>
        <family val="2"/>
      </rPr>
      <t xml:space="preserve">ورق آبروی گالوانیزه عرض </t>
    </r>
    <r>
      <rPr>
        <sz val="10"/>
        <rFont val="Vazirmatn"/>
        <family val="0"/>
        <charset val="1"/>
      </rPr>
      <t xml:space="preserve">83cm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</t>
    </r>
  </si>
  <si>
    <t xml:space="preserve">31291603</t>
  </si>
  <si>
    <r>
      <rPr>
        <sz val="10"/>
        <rFont val="FreeSans"/>
        <family val="2"/>
      </rPr>
      <t xml:space="preserve">ورق آبروی خم خورده گالوانیزه ضخامت </t>
    </r>
    <r>
      <rPr>
        <sz val="10"/>
        <rFont val="Vazirmatn"/>
        <family val="0"/>
        <charset val="1"/>
      </rPr>
      <t xml:space="preserve">2mm</t>
    </r>
  </si>
  <si>
    <t xml:space="preserve">31291604</t>
  </si>
  <si>
    <r>
      <rPr>
        <sz val="10"/>
        <rFont val="FreeSans"/>
        <family val="2"/>
      </rPr>
      <t xml:space="preserve">ورق آبروی گالوانیزه خم کاری </t>
    </r>
    <r>
      <rPr>
        <sz val="10"/>
        <rFont val="Vazirmatn"/>
        <family val="0"/>
        <charset val="1"/>
      </rPr>
      <t xml:space="preserve">1/75*1/25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</t>
    </r>
  </si>
  <si>
    <t xml:space="preserve">31291605</t>
  </si>
  <si>
    <r>
      <rPr>
        <sz val="10"/>
        <rFont val="FreeSans"/>
        <family val="2"/>
      </rPr>
      <t xml:space="preserve">ورق آبروی گالوانیزه خم کاری </t>
    </r>
    <r>
      <rPr>
        <sz val="10"/>
        <rFont val="Vazirmatn"/>
        <family val="0"/>
        <charset val="1"/>
      </rPr>
      <t xml:space="preserve">1*1/25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</t>
    </r>
  </si>
  <si>
    <t xml:space="preserve">31291606</t>
  </si>
  <si>
    <r>
      <rPr>
        <sz val="10"/>
        <rFont val="FreeSans"/>
        <family val="2"/>
      </rPr>
      <t xml:space="preserve">ورق آبروی گالوانیزه خم کاری </t>
    </r>
    <r>
      <rPr>
        <sz val="10"/>
        <rFont val="Vazirmatn"/>
        <family val="0"/>
        <charset val="1"/>
      </rPr>
      <t xml:space="preserve">1*0/5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</t>
    </r>
  </si>
  <si>
    <t xml:space="preserve">31291607</t>
  </si>
  <si>
    <r>
      <rPr>
        <sz val="10"/>
        <rFont val="FreeSans"/>
        <family val="2"/>
      </rPr>
      <t xml:space="preserve">ورق شیروانی گالوانیزه سینوسی رنگی </t>
    </r>
    <r>
      <rPr>
        <sz val="10"/>
        <rFont val="Vazirmatn"/>
        <family val="0"/>
        <charset val="1"/>
      </rPr>
      <t xml:space="preserve">1/25m*5/8m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0/5mm</t>
    </r>
  </si>
  <si>
    <t xml:space="preserve">31291609</t>
  </si>
  <si>
    <r>
      <rPr>
        <sz val="10"/>
        <rFont val="FreeSans"/>
        <family val="2"/>
      </rPr>
      <t xml:space="preserve">ورق آبروی گالوانیزه خم کاری شده </t>
    </r>
    <r>
      <rPr>
        <sz val="10"/>
        <rFont val="Vazirmatn"/>
        <family val="0"/>
        <charset val="1"/>
      </rPr>
      <t xml:space="preserve">35m*150Cm*2mm</t>
    </r>
  </si>
  <si>
    <t xml:space="preserve">31291610</t>
  </si>
  <si>
    <r>
      <rPr>
        <sz val="10"/>
        <rFont val="FreeSans"/>
        <family val="2"/>
      </rPr>
      <t xml:space="preserve">ورق آبروی گالوانیزه خم کاری شده </t>
    </r>
    <r>
      <rPr>
        <sz val="10"/>
        <rFont val="Vazirmatn"/>
        <family val="0"/>
        <charset val="1"/>
      </rPr>
      <t xml:space="preserve">7m*150Cm*2mm</t>
    </r>
  </si>
  <si>
    <t xml:space="preserve">31291611</t>
  </si>
  <si>
    <r>
      <rPr>
        <sz val="10"/>
        <rFont val="FreeSans"/>
        <family val="2"/>
      </rPr>
      <t xml:space="preserve">ورق آبروی گالوانیزه  </t>
    </r>
    <r>
      <rPr>
        <sz val="10"/>
        <rFont val="Vazirmatn"/>
        <family val="0"/>
        <charset val="1"/>
      </rPr>
      <t xml:space="preserve">2m*1m*2mm</t>
    </r>
  </si>
  <si>
    <t xml:space="preserve">31291613</t>
  </si>
  <si>
    <r>
      <rPr>
        <sz val="10"/>
        <rFont val="FreeSans"/>
        <family val="2"/>
      </rPr>
      <t xml:space="preserve">ورق آبروی گالوانیزه خم کاری شده </t>
    </r>
    <r>
      <rPr>
        <sz val="10"/>
        <rFont val="Vazirmatn"/>
        <family val="0"/>
        <charset val="1"/>
      </rPr>
      <t xml:space="preserve">34m*150Cm*2mm</t>
    </r>
  </si>
  <si>
    <t xml:space="preserve">31291614</t>
  </si>
  <si>
    <r>
      <rPr>
        <sz val="10"/>
        <rFont val="FreeSans"/>
        <family val="2"/>
      </rPr>
      <t xml:space="preserve">ورق گالوانیزه رنگی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رو سفید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0/5mm )</t>
    </r>
  </si>
  <si>
    <t xml:space="preserve">31291615</t>
  </si>
  <si>
    <r>
      <rPr>
        <sz val="10"/>
        <rFont val="FreeSans"/>
        <family val="2"/>
      </rPr>
      <t xml:space="preserve">ورق گالوانیزه رنگی  </t>
    </r>
    <r>
      <rPr>
        <sz val="10"/>
        <rFont val="Vazirmatn"/>
        <family val="0"/>
        <charset val="1"/>
      </rPr>
      <t xml:space="preserve">4m*1m*0/5mm</t>
    </r>
  </si>
  <si>
    <t xml:space="preserve">31291644</t>
  </si>
  <si>
    <r>
      <rPr>
        <sz val="10"/>
        <rFont val="FreeSans"/>
        <family val="2"/>
      </rPr>
      <t xml:space="preserve">میلگرد فولادی </t>
    </r>
    <r>
      <rPr>
        <sz val="10"/>
        <rFont val="Vazirmatn"/>
        <family val="0"/>
        <charset val="1"/>
      </rPr>
      <t xml:space="preserve">( CK 45 ) Q=20</t>
    </r>
  </si>
  <si>
    <t xml:space="preserve">31291656</t>
  </si>
  <si>
    <r>
      <rPr>
        <sz val="10"/>
        <rFont val="FreeSans"/>
        <family val="2"/>
      </rPr>
      <t xml:space="preserve">میلگرد ساده فولادی  </t>
    </r>
    <r>
      <rPr>
        <sz val="10"/>
        <rFont val="Vazirmatn"/>
        <family val="0"/>
        <charset val="1"/>
      </rPr>
      <t xml:space="preserve">Q=22mm</t>
    </r>
  </si>
  <si>
    <t xml:space="preserve">31291658</t>
  </si>
  <si>
    <r>
      <rPr>
        <sz val="10"/>
        <rFont val="FreeSans"/>
        <family val="2"/>
      </rPr>
      <t xml:space="preserve">میلگرد ساده فولادی </t>
    </r>
    <r>
      <rPr>
        <sz val="10"/>
        <rFont val="Vazirmatn"/>
        <family val="0"/>
        <charset val="1"/>
      </rPr>
      <t xml:space="preserve">( CK 45 ) Q=70mm</t>
    </r>
  </si>
  <si>
    <t xml:space="preserve">31291659</t>
  </si>
  <si>
    <r>
      <rPr>
        <sz val="10"/>
        <rFont val="FreeSans"/>
        <family val="2"/>
      </rPr>
      <t xml:space="preserve">میلگرد ساده </t>
    </r>
    <r>
      <rPr>
        <sz val="10"/>
        <rFont val="Vazirmatn"/>
        <family val="0"/>
        <charset val="1"/>
      </rPr>
      <t xml:space="preserve">( CK 45 ) Q=45mm</t>
    </r>
  </si>
  <si>
    <t xml:space="preserve">31291661</t>
  </si>
  <si>
    <r>
      <rPr>
        <sz val="10"/>
        <rFont val="FreeSans"/>
        <family val="2"/>
      </rPr>
      <t xml:space="preserve">میلگرد فولادی </t>
    </r>
    <r>
      <rPr>
        <sz val="10"/>
        <rFont val="Vazirmatn"/>
        <family val="0"/>
        <charset val="1"/>
      </rPr>
      <t xml:space="preserve">( CK 45 ) Q=30mm</t>
    </r>
  </si>
  <si>
    <t xml:space="preserve">31291662</t>
  </si>
  <si>
    <r>
      <rPr>
        <sz val="10"/>
        <rFont val="FreeSans"/>
        <family val="2"/>
      </rPr>
      <t xml:space="preserve">میلگرد فولادی </t>
    </r>
    <r>
      <rPr>
        <sz val="10"/>
        <rFont val="Vazirmatn"/>
        <family val="0"/>
        <charset val="1"/>
      </rPr>
      <t xml:space="preserve">( CK 45 ) Q=50mm</t>
    </r>
  </si>
  <si>
    <t xml:space="preserve">31291665</t>
  </si>
  <si>
    <r>
      <rPr>
        <sz val="10"/>
        <rFont val="FreeSans"/>
        <family val="2"/>
      </rPr>
      <t xml:space="preserve">میلگرد فسفر برنز  قطر  </t>
    </r>
    <r>
      <rPr>
        <sz val="10"/>
        <rFont val="Vazirmatn"/>
        <family val="0"/>
        <charset val="1"/>
      </rPr>
      <t xml:space="preserve">55mm</t>
    </r>
  </si>
  <si>
    <t xml:space="preserve">31291667</t>
  </si>
  <si>
    <r>
      <rPr>
        <sz val="10"/>
        <rFont val="FreeSans"/>
        <family val="2"/>
      </rPr>
      <t xml:space="preserve">میلگرد فسفر برنز  قطر  </t>
    </r>
    <r>
      <rPr>
        <sz val="10"/>
        <rFont val="Vazirmatn"/>
        <family val="0"/>
        <charset val="1"/>
      </rPr>
      <t xml:space="preserve">100mm</t>
    </r>
  </si>
  <si>
    <t xml:space="preserve">31291668</t>
  </si>
  <si>
    <r>
      <rPr>
        <sz val="10"/>
        <rFont val="FreeSans"/>
        <family val="2"/>
      </rPr>
      <t xml:space="preserve">میلگرد فسفر برنز  </t>
    </r>
    <r>
      <rPr>
        <sz val="10"/>
        <rFont val="Vazirmatn"/>
        <family val="0"/>
        <charset val="1"/>
      </rPr>
      <t xml:space="preserve">Q=25</t>
    </r>
  </si>
  <si>
    <t xml:space="preserve">31291670</t>
  </si>
  <si>
    <r>
      <rPr>
        <sz val="10"/>
        <rFont val="FreeSans"/>
        <family val="2"/>
      </rPr>
      <t xml:space="preserve">میلگرد </t>
    </r>
    <r>
      <rPr>
        <sz val="10"/>
        <rFont val="Vazirmatn"/>
        <family val="0"/>
        <charset val="1"/>
      </rPr>
      <t xml:space="preserve">( CK 45 ) Q=65</t>
    </r>
  </si>
  <si>
    <t xml:space="preserve">31291671</t>
  </si>
  <si>
    <r>
      <rPr>
        <sz val="10"/>
        <rFont val="FreeSans"/>
        <family val="2"/>
      </rPr>
      <t xml:space="preserve">فولاد </t>
    </r>
    <r>
      <rPr>
        <sz val="10"/>
        <rFont val="Vazirmatn"/>
        <family val="0"/>
        <charset val="1"/>
      </rPr>
      <t xml:space="preserve">( CK 45 ) Q=95mm</t>
    </r>
  </si>
  <si>
    <t xml:space="preserve">31291673</t>
  </si>
  <si>
    <r>
      <rPr>
        <sz val="10"/>
        <rFont val="FreeSans"/>
        <family val="2"/>
      </rPr>
      <t xml:space="preserve">فولاد </t>
    </r>
    <r>
      <rPr>
        <sz val="10"/>
        <rFont val="Vazirmatn"/>
        <family val="0"/>
        <charset val="1"/>
      </rPr>
      <t xml:space="preserve">( CK 45 ) Q=25mm</t>
    </r>
  </si>
  <si>
    <t xml:space="preserve">31291700</t>
  </si>
  <si>
    <r>
      <rPr>
        <sz val="10"/>
        <rFont val="FreeSans"/>
        <family val="2"/>
      </rPr>
      <t xml:space="preserve">ورق آهنی   </t>
    </r>
    <r>
      <rPr>
        <sz val="10"/>
        <rFont val="Vazirmatn"/>
        <family val="0"/>
        <charset val="1"/>
      </rPr>
      <t xml:space="preserve">2mm   2 * 1</t>
    </r>
  </si>
  <si>
    <t xml:space="preserve">31291701</t>
  </si>
  <si>
    <r>
      <rPr>
        <sz val="10"/>
        <rFont val="FreeSans"/>
        <family val="2"/>
      </rPr>
      <t xml:space="preserve">ورق آهنی آجدار   </t>
    </r>
    <r>
      <rPr>
        <sz val="10"/>
        <rFont val="Vazirmatn"/>
        <family val="0"/>
        <charset val="1"/>
      </rPr>
      <t xml:space="preserve">4mm   6 * 1/5</t>
    </r>
  </si>
  <si>
    <t xml:space="preserve">31291703</t>
  </si>
  <si>
    <r>
      <rPr>
        <sz val="10"/>
        <rFont val="FreeSans"/>
        <family val="2"/>
      </rPr>
      <t xml:space="preserve">ورق آهنی   </t>
    </r>
    <r>
      <rPr>
        <sz val="10"/>
        <rFont val="Vazirmatn"/>
        <family val="0"/>
        <charset val="1"/>
      </rPr>
      <t xml:space="preserve">3mm   2 * 1</t>
    </r>
  </si>
  <si>
    <t xml:space="preserve">31291704</t>
  </si>
  <si>
    <r>
      <rPr>
        <sz val="10"/>
        <rFont val="FreeSans"/>
        <family val="2"/>
      </rPr>
      <t xml:space="preserve">ورق آهنی   </t>
    </r>
    <r>
      <rPr>
        <sz val="10"/>
        <rFont val="Vazirmatn"/>
        <family val="0"/>
        <charset val="1"/>
      </rPr>
      <t xml:space="preserve">2/5mm   2 * 1</t>
    </r>
  </si>
  <si>
    <t xml:space="preserve">31291705</t>
  </si>
  <si>
    <r>
      <rPr>
        <sz val="10"/>
        <rFont val="FreeSans"/>
        <family val="2"/>
      </rPr>
      <t xml:space="preserve">ورق آهنی   </t>
    </r>
    <r>
      <rPr>
        <sz val="10"/>
        <rFont val="Vazirmatn"/>
        <family val="0"/>
        <charset val="1"/>
      </rPr>
      <t xml:space="preserve">10mm   6 * 1/5</t>
    </r>
  </si>
  <si>
    <t xml:space="preserve">31291706</t>
  </si>
  <si>
    <r>
      <rPr>
        <sz val="10"/>
        <rFont val="FreeSans"/>
        <family val="2"/>
      </rPr>
      <t xml:space="preserve">ورق آهنی   </t>
    </r>
    <r>
      <rPr>
        <sz val="10"/>
        <rFont val="Vazirmatn"/>
        <family val="0"/>
        <charset val="1"/>
      </rPr>
      <t xml:space="preserve">8mm   6 * 1/5</t>
    </r>
  </si>
  <si>
    <t xml:space="preserve">31291707</t>
  </si>
  <si>
    <r>
      <rPr>
        <sz val="10"/>
        <rFont val="FreeSans"/>
        <family val="2"/>
      </rPr>
      <t xml:space="preserve">ورق آهنی   </t>
    </r>
    <r>
      <rPr>
        <sz val="10"/>
        <rFont val="Vazirmatn"/>
        <family val="0"/>
        <charset val="1"/>
      </rPr>
      <t xml:space="preserve">6mm   6 * 1/5</t>
    </r>
  </si>
  <si>
    <t xml:space="preserve">31291708</t>
  </si>
  <si>
    <r>
      <rPr>
        <sz val="10"/>
        <rFont val="FreeSans"/>
        <family val="2"/>
      </rPr>
      <t xml:space="preserve">ورق آهنی آجدار   </t>
    </r>
    <r>
      <rPr>
        <sz val="10"/>
        <rFont val="Vazirmatn"/>
        <family val="0"/>
        <charset val="1"/>
      </rPr>
      <t xml:space="preserve">3mm   100 * 200</t>
    </r>
  </si>
  <si>
    <t xml:space="preserve">31291709</t>
  </si>
  <si>
    <r>
      <rPr>
        <sz val="10"/>
        <rFont val="FreeSans"/>
        <family val="2"/>
      </rPr>
      <t xml:space="preserve">ورق آهنی   </t>
    </r>
    <r>
      <rPr>
        <sz val="10"/>
        <rFont val="Vazirmatn"/>
        <family val="0"/>
        <charset val="1"/>
      </rPr>
      <t xml:space="preserve">12mm   6 * 1/5</t>
    </r>
  </si>
  <si>
    <t xml:space="preserve">31291711</t>
  </si>
  <si>
    <r>
      <rPr>
        <sz val="10"/>
        <rFont val="FreeSans"/>
        <family val="2"/>
      </rPr>
      <t xml:space="preserve">ورق آهنی   </t>
    </r>
    <r>
      <rPr>
        <sz val="10"/>
        <rFont val="Vazirmatn"/>
        <family val="0"/>
        <charset val="1"/>
      </rPr>
      <t xml:space="preserve">1/5mm   2 * 1</t>
    </r>
  </si>
  <si>
    <t xml:space="preserve">31291712</t>
  </si>
  <si>
    <r>
      <rPr>
        <sz val="10"/>
        <rFont val="FreeSans"/>
        <family val="2"/>
      </rPr>
      <t xml:space="preserve">ورق آهنی گرید </t>
    </r>
    <r>
      <rPr>
        <sz val="10"/>
        <rFont val="Vazirmatn"/>
        <family val="0"/>
        <charset val="1"/>
      </rPr>
      <t xml:space="preserve">70   A516  1/5 * 6  * 8 mm</t>
    </r>
  </si>
  <si>
    <t xml:space="preserve">31291714</t>
  </si>
  <si>
    <r>
      <rPr>
        <sz val="10"/>
        <rFont val="FreeSans"/>
        <family val="2"/>
      </rPr>
      <t xml:space="preserve">پلیت آهنی </t>
    </r>
    <r>
      <rPr>
        <sz val="10"/>
        <rFont val="Vazirmatn"/>
        <family val="0"/>
        <charset val="1"/>
      </rPr>
      <t xml:space="preserve">PL 150*100*10mm</t>
    </r>
  </si>
  <si>
    <t xml:space="preserve">31291715</t>
  </si>
  <si>
    <r>
      <rPr>
        <sz val="10"/>
        <rFont val="FreeSans"/>
        <family val="2"/>
      </rPr>
      <t xml:space="preserve">پلیت آهنی </t>
    </r>
    <r>
      <rPr>
        <sz val="10"/>
        <rFont val="Vazirmatn"/>
        <family val="0"/>
        <charset val="1"/>
      </rPr>
      <t xml:space="preserve">PL 500*500*10mm</t>
    </r>
  </si>
  <si>
    <t xml:space="preserve">31291716</t>
  </si>
  <si>
    <r>
      <rPr>
        <sz val="10"/>
        <rFont val="FreeSans"/>
        <family val="2"/>
      </rPr>
      <t xml:space="preserve">پلیت آهنی </t>
    </r>
    <r>
      <rPr>
        <sz val="10"/>
        <rFont val="Vazirmatn"/>
        <family val="0"/>
        <charset val="1"/>
      </rPr>
      <t xml:space="preserve">PL 800*250*10mm</t>
    </r>
  </si>
  <si>
    <t xml:space="preserve">31291717</t>
  </si>
  <si>
    <r>
      <rPr>
        <sz val="10"/>
        <rFont val="FreeSans"/>
        <family val="2"/>
      </rPr>
      <t xml:space="preserve">ورق آهنی بیس پلیت </t>
    </r>
    <r>
      <rPr>
        <sz val="10"/>
        <rFont val="Vazirmatn"/>
        <family val="0"/>
        <charset val="1"/>
      </rPr>
      <t xml:space="preserve">BP 400*400*15mm</t>
    </r>
  </si>
  <si>
    <t xml:space="preserve">31291720</t>
  </si>
  <si>
    <r>
      <rPr>
        <sz val="10"/>
        <rFont val="FreeSans"/>
        <family val="2"/>
      </rPr>
      <t xml:space="preserve">پلیت  </t>
    </r>
    <r>
      <rPr>
        <sz val="10"/>
        <rFont val="Vazirmatn"/>
        <family val="0"/>
        <charset val="1"/>
      </rPr>
      <t xml:space="preserve">400mm*150mm*10mm</t>
    </r>
  </si>
  <si>
    <t xml:space="preserve">31291721</t>
  </si>
  <si>
    <r>
      <rPr>
        <sz val="10"/>
        <rFont val="FreeSans"/>
        <family val="2"/>
      </rPr>
      <t xml:space="preserve">پلیت  </t>
    </r>
    <r>
      <rPr>
        <sz val="10"/>
        <rFont val="Vazirmatn"/>
        <family val="0"/>
        <charset val="1"/>
      </rPr>
      <t xml:space="preserve">150mm*117mm*10mm</t>
    </r>
  </si>
  <si>
    <t xml:space="preserve">31291722</t>
  </si>
  <si>
    <r>
      <rPr>
        <sz val="10"/>
        <rFont val="FreeSans"/>
        <family val="2"/>
      </rPr>
      <t xml:space="preserve">ورق آهنی آجدار   </t>
    </r>
    <r>
      <rPr>
        <sz val="10"/>
        <rFont val="Vazirmatn"/>
        <family val="0"/>
        <charset val="1"/>
      </rPr>
      <t xml:space="preserve">2mm   100 * 200</t>
    </r>
  </si>
  <si>
    <t xml:space="preserve">31291723</t>
  </si>
  <si>
    <r>
      <rPr>
        <sz val="10"/>
        <rFont val="FreeSans"/>
        <family val="2"/>
      </rPr>
      <t xml:space="preserve">ورق پلیت آهنی  </t>
    </r>
    <r>
      <rPr>
        <sz val="10"/>
        <rFont val="Vazirmatn"/>
        <family val="0"/>
        <charset val="1"/>
      </rPr>
      <t xml:space="preserve">40Cm*40Cm*10mm</t>
    </r>
  </si>
  <si>
    <t xml:space="preserve">31291724</t>
  </si>
  <si>
    <r>
      <rPr>
        <sz val="10"/>
        <rFont val="FreeSans"/>
        <family val="2"/>
      </rPr>
      <t xml:space="preserve">صفحه پلیت آهنی </t>
    </r>
    <r>
      <rPr>
        <sz val="10"/>
        <rFont val="Vazirmatn"/>
        <family val="0"/>
        <charset val="1"/>
      </rPr>
      <t xml:space="preserve">( 4 </t>
    </r>
    <r>
      <rPr>
        <sz val="10"/>
        <rFont val="FreeSans"/>
        <family val="2"/>
      </rPr>
      <t xml:space="preserve">سوراخ </t>
    </r>
    <r>
      <rPr>
        <sz val="10"/>
        <rFont val="Vazirmatn"/>
        <family val="0"/>
        <charset val="1"/>
      </rPr>
      <t xml:space="preserve">- 18 )  40Cm*40Cm*10mm</t>
    </r>
  </si>
  <si>
    <t xml:space="preserve">31291725</t>
  </si>
  <si>
    <r>
      <rPr>
        <sz val="10"/>
        <rFont val="FreeSans"/>
        <family val="2"/>
      </rPr>
      <t xml:space="preserve">پلیت آهنی  </t>
    </r>
    <r>
      <rPr>
        <sz val="10"/>
        <rFont val="Vazirmatn"/>
        <family val="0"/>
        <charset val="1"/>
      </rPr>
      <t xml:space="preserve">10Cm*20Cm*10mm</t>
    </r>
  </si>
  <si>
    <t xml:space="preserve">31291726</t>
  </si>
  <si>
    <r>
      <rPr>
        <sz val="10"/>
        <rFont val="FreeSans"/>
        <family val="2"/>
      </rPr>
      <t xml:space="preserve">پلیت آهنی  </t>
    </r>
    <r>
      <rPr>
        <sz val="10"/>
        <rFont val="Vazirmatn"/>
        <family val="0"/>
        <charset val="1"/>
      </rPr>
      <t xml:space="preserve">25Cm*25Cm*10mm</t>
    </r>
  </si>
  <si>
    <t xml:space="preserve">31291727</t>
  </si>
  <si>
    <r>
      <rPr>
        <sz val="10"/>
        <rFont val="FreeSans"/>
        <family val="2"/>
      </rPr>
      <t xml:space="preserve">ورق آهنی آجدار   </t>
    </r>
    <r>
      <rPr>
        <sz val="10"/>
        <rFont val="Vazirmatn"/>
        <family val="0"/>
        <charset val="1"/>
      </rPr>
      <t xml:space="preserve">2/5mm   100 * 200</t>
    </r>
  </si>
  <si>
    <t xml:space="preserve">31291728</t>
  </si>
  <si>
    <r>
      <rPr>
        <sz val="10"/>
        <rFont val="FreeSans"/>
        <family val="2"/>
      </rPr>
      <t xml:space="preserve">ورق آهنی   </t>
    </r>
    <r>
      <rPr>
        <sz val="10"/>
        <rFont val="Vazirmatn"/>
        <family val="0"/>
        <charset val="1"/>
      </rPr>
      <t xml:space="preserve">20mm   2 * 1</t>
    </r>
  </si>
  <si>
    <t xml:space="preserve">31291729</t>
  </si>
  <si>
    <r>
      <rPr>
        <sz val="10"/>
        <rFont val="FreeSans"/>
        <family val="2"/>
      </rPr>
      <t xml:space="preserve">ورق آهنی گرید </t>
    </r>
    <r>
      <rPr>
        <sz val="10"/>
        <rFont val="Vazirmatn"/>
        <family val="0"/>
        <charset val="1"/>
      </rPr>
      <t xml:space="preserve">70       100Cm*200Cm*8mm</t>
    </r>
  </si>
  <si>
    <t xml:space="preserve">31291730</t>
  </si>
  <si>
    <r>
      <rPr>
        <sz val="10"/>
        <rFont val="FreeSans"/>
        <family val="2"/>
      </rPr>
      <t xml:space="preserve">ورق ضد سایش  </t>
    </r>
    <r>
      <rPr>
        <sz val="10"/>
        <rFont val="Vazirmatn"/>
        <family val="0"/>
        <charset val="1"/>
      </rPr>
      <t xml:space="preserve">240Cm*40Cm*12mm</t>
    </r>
  </si>
  <si>
    <t xml:space="preserve">31291747</t>
  </si>
  <si>
    <r>
      <rPr>
        <sz val="10"/>
        <rFont val="FreeSans"/>
        <family val="2"/>
      </rPr>
      <t xml:space="preserve">ورق استیل </t>
    </r>
    <r>
      <rPr>
        <sz val="10"/>
        <rFont val="Vazirmatn"/>
        <family val="0"/>
        <charset val="1"/>
      </rPr>
      <t xml:space="preserve">304  200Cm*200Cm*1/5mm</t>
    </r>
  </si>
  <si>
    <t xml:space="preserve">31291749</t>
  </si>
  <si>
    <r>
      <rPr>
        <sz val="10"/>
        <rFont val="FreeSans"/>
        <family val="2"/>
      </rPr>
      <t xml:space="preserve">ورق استیل </t>
    </r>
    <r>
      <rPr>
        <sz val="10"/>
        <rFont val="Vazirmatn"/>
        <family val="0"/>
        <charset val="1"/>
      </rPr>
      <t xml:space="preserve">304                100CM*200CM*6MM</t>
    </r>
  </si>
  <si>
    <t xml:space="preserve">31291756</t>
  </si>
  <si>
    <r>
      <rPr>
        <sz val="10"/>
        <rFont val="FreeSans"/>
        <family val="2"/>
      </rPr>
      <t xml:space="preserve">ورق استیل </t>
    </r>
    <r>
      <rPr>
        <sz val="10"/>
        <rFont val="Vazirmatn"/>
        <family val="0"/>
        <charset val="1"/>
      </rPr>
      <t xml:space="preserve">316  6m * 1/5m * 6mm</t>
    </r>
  </si>
  <si>
    <t xml:space="preserve">31291789</t>
  </si>
  <si>
    <t xml:space="preserve">پروفیل چهار چوب مدل فرانسه</t>
  </si>
  <si>
    <t xml:space="preserve">31291790</t>
  </si>
  <si>
    <r>
      <rPr>
        <sz val="10"/>
        <rFont val="FreeSans"/>
        <family val="2"/>
      </rPr>
      <t xml:space="preserve">پروفیل لنگه دری آهنی </t>
    </r>
    <r>
      <rPr>
        <sz val="10"/>
        <rFont val="Vazirmatn"/>
        <family val="0"/>
        <charset val="1"/>
      </rPr>
      <t xml:space="preserve">( 508 )</t>
    </r>
  </si>
  <si>
    <t xml:space="preserve">31291794</t>
  </si>
  <si>
    <r>
      <rPr>
        <sz val="10"/>
        <rFont val="FreeSans"/>
        <family val="2"/>
      </rPr>
      <t xml:space="preserve">سپری آهنی  </t>
    </r>
    <r>
      <rPr>
        <sz val="10"/>
        <rFont val="Vazirmatn"/>
        <family val="0"/>
        <charset val="1"/>
      </rPr>
      <t xml:space="preserve">8Cm*8Cm</t>
    </r>
  </si>
  <si>
    <t xml:space="preserve">31291796</t>
  </si>
  <si>
    <t xml:space="preserve">پروفیل چهار چوب فلزی درب اتاق</t>
  </si>
  <si>
    <t xml:space="preserve">31291797</t>
  </si>
  <si>
    <r>
      <rPr>
        <sz val="10"/>
        <rFont val="FreeSans"/>
        <family val="2"/>
      </rPr>
      <t xml:space="preserve">پروفیل کلافی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چهار چوبی </t>
    </r>
    <r>
      <rPr>
        <sz val="10"/>
        <rFont val="Vazirmatn"/>
        <family val="0"/>
        <charset val="1"/>
      </rPr>
      <t xml:space="preserve">) 2mm</t>
    </r>
  </si>
  <si>
    <t xml:space="preserve">31291798</t>
  </si>
  <si>
    <r>
      <rPr>
        <sz val="10"/>
        <rFont val="FreeSans"/>
        <family val="2"/>
      </rPr>
      <t xml:space="preserve">پروفیل سپری  </t>
    </r>
    <r>
      <rPr>
        <sz val="10"/>
        <rFont val="Vazirmatn"/>
        <family val="0"/>
        <charset val="1"/>
      </rPr>
      <t xml:space="preserve">2mm</t>
    </r>
  </si>
  <si>
    <t xml:space="preserve">31291802</t>
  </si>
  <si>
    <r>
      <rPr>
        <sz val="10"/>
        <rFont val="FreeSans"/>
        <family val="2"/>
      </rPr>
      <t xml:space="preserve">نبشی آهنی </t>
    </r>
    <r>
      <rPr>
        <sz val="10"/>
        <rFont val="Vazirmatn"/>
        <family val="0"/>
        <charset val="1"/>
      </rPr>
      <t xml:space="preserve">7mm   80 * 80</t>
    </r>
  </si>
  <si>
    <t xml:space="preserve">31291807</t>
  </si>
  <si>
    <r>
      <rPr>
        <sz val="10"/>
        <rFont val="FreeSans"/>
        <family val="2"/>
      </rPr>
      <t xml:space="preserve">نبشی آهنی  </t>
    </r>
    <r>
      <rPr>
        <sz val="10"/>
        <rFont val="Vazirmatn"/>
        <family val="0"/>
        <charset val="1"/>
      </rPr>
      <t xml:space="preserve">5Cm*5Cm*4mm</t>
    </r>
  </si>
  <si>
    <t xml:space="preserve">31291808</t>
  </si>
  <si>
    <r>
      <rPr>
        <sz val="10"/>
        <rFont val="FreeSans"/>
        <family val="2"/>
      </rPr>
      <t xml:space="preserve">نبشی رنگی ورق فلاشینگ </t>
    </r>
    <r>
      <rPr>
        <sz val="10"/>
        <rFont val="Vazirmatn"/>
        <family val="0"/>
        <charset val="1"/>
      </rPr>
      <t xml:space="preserve">10Cm*10Cm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0/5mm</t>
    </r>
  </si>
  <si>
    <t xml:space="preserve">31291830</t>
  </si>
  <si>
    <r>
      <rPr>
        <sz val="10"/>
        <rFont val="FreeSans"/>
        <family val="2"/>
      </rPr>
      <t xml:space="preserve">سپری آهنی </t>
    </r>
    <r>
      <rPr>
        <sz val="10"/>
        <rFont val="Vazirmatn"/>
        <family val="0"/>
        <charset val="1"/>
      </rPr>
      <t xml:space="preserve">4mm   40 * 40</t>
    </r>
  </si>
  <si>
    <t xml:space="preserve">31291831</t>
  </si>
  <si>
    <r>
      <rPr>
        <sz val="10"/>
        <rFont val="FreeSans"/>
        <family val="2"/>
      </rPr>
      <t xml:space="preserve">سپری </t>
    </r>
    <r>
      <rPr>
        <sz val="10"/>
        <rFont val="Vazirmatn"/>
        <family val="0"/>
        <charset val="1"/>
      </rPr>
      <t xml:space="preserve">( 3/6m )  T 360</t>
    </r>
  </si>
  <si>
    <t xml:space="preserve">31291832</t>
  </si>
  <si>
    <r>
      <rPr>
        <sz val="10"/>
        <rFont val="FreeSans"/>
        <family val="2"/>
      </rPr>
      <t xml:space="preserve">سپری </t>
    </r>
    <r>
      <rPr>
        <sz val="10"/>
        <rFont val="Vazirmatn"/>
        <family val="0"/>
        <charset val="1"/>
      </rPr>
      <t xml:space="preserve">( 1/20m )  T 120</t>
    </r>
  </si>
  <si>
    <t xml:space="preserve">31291833</t>
  </si>
  <si>
    <r>
      <rPr>
        <sz val="10"/>
        <rFont val="FreeSans"/>
        <family val="2"/>
      </rPr>
      <t xml:space="preserve">سپری </t>
    </r>
    <r>
      <rPr>
        <sz val="10"/>
        <rFont val="Vazirmatn"/>
        <family val="0"/>
        <charset val="1"/>
      </rPr>
      <t xml:space="preserve">( 60Cm )  T 60</t>
    </r>
  </si>
  <si>
    <t xml:space="preserve">31291849</t>
  </si>
  <si>
    <r>
      <rPr>
        <sz val="10"/>
        <rFont val="FreeSans"/>
        <family val="2"/>
      </rPr>
      <t xml:space="preserve">نبشی استیل </t>
    </r>
    <r>
      <rPr>
        <sz val="10"/>
        <rFont val="Vazirmatn"/>
        <family val="0"/>
        <charset val="1"/>
      </rPr>
      <t xml:space="preserve">7mm   70 * 70</t>
    </r>
  </si>
  <si>
    <t xml:space="preserve">31291850</t>
  </si>
  <si>
    <r>
      <rPr>
        <sz val="10"/>
        <rFont val="FreeSans"/>
        <family val="2"/>
      </rPr>
      <t xml:space="preserve">تسمه آهنی  </t>
    </r>
    <r>
      <rPr>
        <sz val="10"/>
        <rFont val="Vazirmatn"/>
        <family val="0"/>
        <charset val="1"/>
      </rPr>
      <t xml:space="preserve">5cm * 2mm</t>
    </r>
  </si>
  <si>
    <t xml:space="preserve">31291851</t>
  </si>
  <si>
    <r>
      <rPr>
        <sz val="10"/>
        <rFont val="FreeSans"/>
        <family val="2"/>
      </rPr>
      <t xml:space="preserve">تسمه آهنی  </t>
    </r>
    <r>
      <rPr>
        <sz val="10"/>
        <rFont val="Vazirmatn"/>
        <family val="0"/>
        <charset val="1"/>
      </rPr>
      <t xml:space="preserve">5cm * 5mm</t>
    </r>
  </si>
  <si>
    <t xml:space="preserve">31291852</t>
  </si>
  <si>
    <r>
      <rPr>
        <sz val="10"/>
        <rFont val="FreeSans"/>
        <family val="2"/>
      </rPr>
      <t xml:space="preserve">تسمه آهنی  </t>
    </r>
    <r>
      <rPr>
        <sz val="10"/>
        <rFont val="Vazirmatn"/>
        <family val="0"/>
        <charset val="1"/>
      </rPr>
      <t xml:space="preserve">3cm * 5mm</t>
    </r>
  </si>
  <si>
    <t xml:space="preserve">31291853</t>
  </si>
  <si>
    <r>
      <rPr>
        <sz val="10"/>
        <rFont val="FreeSans"/>
        <family val="2"/>
      </rPr>
      <t xml:space="preserve">تسمه آهنی  </t>
    </r>
    <r>
      <rPr>
        <sz val="10"/>
        <rFont val="Vazirmatn"/>
        <family val="0"/>
        <charset val="1"/>
      </rPr>
      <t xml:space="preserve">5cm * 3mm</t>
    </r>
  </si>
  <si>
    <t xml:space="preserve">31291855</t>
  </si>
  <si>
    <r>
      <rPr>
        <sz val="10"/>
        <rFont val="FreeSans"/>
        <family val="2"/>
      </rPr>
      <t xml:space="preserve">تسمه آهنی  </t>
    </r>
    <r>
      <rPr>
        <sz val="10"/>
        <rFont val="Vazirmatn"/>
        <family val="0"/>
        <charset val="1"/>
      </rPr>
      <t xml:space="preserve">2/5Cm * 5mm</t>
    </r>
  </si>
  <si>
    <t xml:space="preserve">31291858</t>
  </si>
  <si>
    <r>
      <rPr>
        <sz val="10"/>
        <rFont val="FreeSans"/>
        <family val="2"/>
      </rPr>
      <t xml:space="preserve">نبشی گالوانیزه طول </t>
    </r>
    <r>
      <rPr>
        <sz val="10"/>
        <rFont val="Vazirmatn"/>
        <family val="0"/>
        <charset val="1"/>
      </rPr>
      <t xml:space="preserve">4m - </t>
    </r>
    <r>
      <rPr>
        <sz val="10"/>
        <rFont val="FreeSans"/>
        <family val="2"/>
      </rPr>
      <t xml:space="preserve">عرض هر بال </t>
    </r>
    <r>
      <rPr>
        <sz val="10"/>
        <rFont val="Vazirmatn"/>
        <family val="0"/>
        <charset val="1"/>
      </rPr>
      <t xml:space="preserve">25mm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1mm</t>
    </r>
  </si>
  <si>
    <t xml:space="preserve">31291859</t>
  </si>
  <si>
    <r>
      <rPr>
        <sz val="10"/>
        <rFont val="FreeSans"/>
        <family val="2"/>
      </rPr>
      <t xml:space="preserve">والپست وادار انتهایی رنگ شده طول </t>
    </r>
    <r>
      <rPr>
        <sz val="10"/>
        <rFont val="Vazirmatn"/>
        <family val="0"/>
        <charset val="1"/>
      </rPr>
      <t xml:space="preserve">3m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 - </t>
    </r>
    <r>
      <rPr>
        <sz val="10"/>
        <rFont val="FreeSans"/>
        <family val="2"/>
      </rPr>
      <t xml:space="preserve">کف </t>
    </r>
    <r>
      <rPr>
        <sz val="10"/>
        <rFont val="Vazirmatn"/>
        <family val="0"/>
        <charset val="1"/>
      </rPr>
      <t xml:space="preserve">10/5Cm</t>
    </r>
  </si>
  <si>
    <t xml:space="preserve">31291860</t>
  </si>
  <si>
    <r>
      <rPr>
        <sz val="10"/>
        <rFont val="FreeSans"/>
        <family val="2"/>
      </rPr>
      <t xml:space="preserve">نبشی سفید </t>
    </r>
    <r>
      <rPr>
        <sz val="10"/>
        <rFont val="Vazirmatn"/>
        <family val="0"/>
        <charset val="1"/>
      </rPr>
      <t xml:space="preserve">( 3m )   L 24</t>
    </r>
  </si>
  <si>
    <t xml:space="preserve">31291861</t>
  </si>
  <si>
    <r>
      <rPr>
        <sz val="10"/>
        <rFont val="FreeSans"/>
        <family val="2"/>
      </rPr>
      <t xml:space="preserve">تسمه آهنی  </t>
    </r>
    <r>
      <rPr>
        <sz val="10"/>
        <rFont val="Vazirmatn"/>
        <family val="0"/>
        <charset val="1"/>
      </rPr>
      <t xml:space="preserve">10cm * 10mm</t>
    </r>
  </si>
  <si>
    <t xml:space="preserve">31291863</t>
  </si>
  <si>
    <r>
      <rPr>
        <sz val="10"/>
        <rFont val="FreeSans"/>
        <family val="2"/>
      </rPr>
      <t xml:space="preserve">نبشی گالوانبزه </t>
    </r>
    <r>
      <rPr>
        <sz val="10"/>
        <rFont val="Vazirmatn"/>
        <family val="0"/>
        <charset val="1"/>
      </rPr>
      <t xml:space="preserve">( 4m) ( L 25  ( +K</t>
    </r>
  </si>
  <si>
    <t xml:space="preserve">31291865</t>
  </si>
  <si>
    <r>
      <rPr>
        <sz val="10"/>
        <rFont val="FreeSans"/>
        <family val="2"/>
      </rPr>
      <t xml:space="preserve">والپست وادار انتهایی رنگ شده طول </t>
    </r>
    <r>
      <rPr>
        <sz val="10"/>
        <rFont val="Vazirmatn"/>
        <family val="0"/>
        <charset val="1"/>
      </rPr>
      <t xml:space="preserve">3m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 - </t>
    </r>
    <r>
      <rPr>
        <sz val="10"/>
        <rFont val="FreeSans"/>
        <family val="2"/>
      </rPr>
      <t xml:space="preserve">کف </t>
    </r>
    <r>
      <rPr>
        <sz val="10"/>
        <rFont val="Vazirmatn"/>
        <family val="0"/>
        <charset val="1"/>
      </rPr>
      <t xml:space="preserve">22/5Cm</t>
    </r>
  </si>
  <si>
    <t xml:space="preserve">31291866</t>
  </si>
  <si>
    <r>
      <rPr>
        <sz val="10"/>
        <rFont val="FreeSans"/>
        <family val="2"/>
      </rPr>
      <t xml:space="preserve">والپست ناودانی منقطع رنگ شده طول </t>
    </r>
    <r>
      <rPr>
        <sz val="10"/>
        <rFont val="Vazirmatn"/>
        <family val="0"/>
        <charset val="1"/>
      </rPr>
      <t xml:space="preserve">30Cm -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 - </t>
    </r>
    <r>
      <rPr>
        <sz val="10"/>
        <rFont val="FreeSans"/>
        <family val="2"/>
      </rPr>
      <t xml:space="preserve">کف </t>
    </r>
    <r>
      <rPr>
        <sz val="10"/>
        <rFont val="Vazirmatn"/>
        <family val="0"/>
        <charset val="1"/>
      </rPr>
      <t xml:space="preserve">22/5Cm</t>
    </r>
  </si>
  <si>
    <t xml:space="preserve">31291897</t>
  </si>
  <si>
    <r>
      <rPr>
        <sz val="10"/>
        <rFont val="FreeSans"/>
        <family val="2"/>
      </rPr>
      <t xml:space="preserve">تسمه استیل </t>
    </r>
    <r>
      <rPr>
        <sz val="10"/>
        <rFont val="Vazirmatn"/>
        <family val="0"/>
        <charset val="1"/>
      </rPr>
      <t xml:space="preserve">304  2/5cm * 1mm</t>
    </r>
  </si>
  <si>
    <t xml:space="preserve">31291898</t>
  </si>
  <si>
    <r>
      <rPr>
        <sz val="10"/>
        <rFont val="FreeSans"/>
        <family val="2"/>
      </rPr>
      <t xml:space="preserve">تسمه استیل </t>
    </r>
    <r>
      <rPr>
        <sz val="10"/>
        <rFont val="Vazirmatn"/>
        <family val="0"/>
        <charset val="1"/>
      </rPr>
      <t xml:space="preserve">304  10cm * 10mm</t>
    </r>
  </si>
  <si>
    <t xml:space="preserve">31291900</t>
  </si>
  <si>
    <r>
      <rPr>
        <sz val="10"/>
        <rFont val="FreeSans"/>
        <family val="2"/>
      </rPr>
      <t xml:space="preserve">ناودانی آهنی نمره </t>
    </r>
    <r>
      <rPr>
        <sz val="10"/>
        <rFont val="Vazirmatn"/>
        <family val="0"/>
        <charset val="1"/>
      </rPr>
      <t xml:space="preserve">8</t>
    </r>
  </si>
  <si>
    <t xml:space="preserve">31291903</t>
  </si>
  <si>
    <r>
      <rPr>
        <sz val="10"/>
        <rFont val="FreeSans"/>
        <family val="2"/>
      </rPr>
      <t xml:space="preserve">ناودانی آهنی  نمره </t>
    </r>
    <r>
      <rPr>
        <sz val="10"/>
        <rFont val="Vazirmatn"/>
        <family val="0"/>
        <charset val="1"/>
      </rPr>
      <t xml:space="preserve">20</t>
    </r>
  </si>
  <si>
    <t xml:space="preserve">31291904</t>
  </si>
  <si>
    <r>
      <rPr>
        <sz val="10"/>
        <rFont val="FreeSans"/>
        <family val="2"/>
      </rPr>
      <t xml:space="preserve">ناودانی آهنی   نمره </t>
    </r>
    <r>
      <rPr>
        <sz val="10"/>
        <rFont val="Vazirmatn"/>
        <family val="0"/>
        <charset val="1"/>
      </rPr>
      <t xml:space="preserve">20</t>
    </r>
  </si>
  <si>
    <t xml:space="preserve">31291905</t>
  </si>
  <si>
    <r>
      <rPr>
        <sz val="10"/>
        <rFont val="FreeSans"/>
        <family val="2"/>
      </rPr>
      <t xml:space="preserve">ناودانی آهنی   نمره </t>
    </r>
    <r>
      <rPr>
        <sz val="10"/>
        <rFont val="Vazirmatn"/>
        <family val="0"/>
        <charset val="1"/>
      </rPr>
      <t xml:space="preserve">18</t>
    </r>
  </si>
  <si>
    <t xml:space="preserve">31291906</t>
  </si>
  <si>
    <r>
      <rPr>
        <sz val="10"/>
        <rFont val="FreeSans"/>
        <family val="2"/>
      </rPr>
      <t xml:space="preserve">ناودانی آهنی  نمره </t>
    </r>
    <r>
      <rPr>
        <sz val="10"/>
        <rFont val="Vazirmatn"/>
        <family val="0"/>
        <charset val="1"/>
      </rPr>
      <t xml:space="preserve">18</t>
    </r>
  </si>
  <si>
    <t xml:space="preserve">31291907</t>
  </si>
  <si>
    <r>
      <rPr>
        <sz val="10"/>
        <rFont val="FreeSans"/>
        <family val="2"/>
      </rPr>
      <t xml:space="preserve">ناودانی گالوانیزه شبکه زیر پکینگ </t>
    </r>
    <r>
      <rPr>
        <sz val="10"/>
        <rFont val="Vazirmatn"/>
        <family val="0"/>
        <charset val="1"/>
      </rPr>
      <t xml:space="preserve">T-500</t>
    </r>
  </si>
  <si>
    <t xml:space="preserve">31291908</t>
  </si>
  <si>
    <r>
      <rPr>
        <sz val="10"/>
        <rFont val="FreeSans"/>
        <family val="2"/>
      </rPr>
      <t xml:space="preserve">سازه گالوانبزه </t>
    </r>
    <r>
      <rPr>
        <sz val="10"/>
        <rFont val="Vazirmatn"/>
        <family val="0"/>
        <charset val="1"/>
      </rPr>
      <t xml:space="preserve">( 4m) ( F 47  ( +K</t>
    </r>
  </si>
  <si>
    <t xml:space="preserve">31291909</t>
  </si>
  <si>
    <r>
      <rPr>
        <sz val="10"/>
        <rFont val="FreeSans"/>
        <family val="2"/>
      </rPr>
      <t xml:space="preserve">سازه گالوانبزه </t>
    </r>
    <r>
      <rPr>
        <sz val="10"/>
        <rFont val="Vazirmatn"/>
        <family val="0"/>
        <charset val="1"/>
      </rPr>
      <t xml:space="preserve">( 4m) ( U 36  ( +K</t>
    </r>
  </si>
  <si>
    <t xml:space="preserve">31291910</t>
  </si>
  <si>
    <r>
      <rPr>
        <sz val="10"/>
        <rFont val="FreeSans"/>
        <family val="2"/>
      </rPr>
      <t xml:space="preserve">سازه گالوانبزه </t>
    </r>
    <r>
      <rPr>
        <sz val="10"/>
        <rFont val="Vazirmatn"/>
        <family val="0"/>
        <charset val="1"/>
      </rPr>
      <t xml:space="preserve">( 4m) ( L 25  ( +K</t>
    </r>
  </si>
  <si>
    <t xml:space="preserve">31291912</t>
  </si>
  <si>
    <r>
      <rPr>
        <sz val="10"/>
        <rFont val="FreeSans"/>
        <family val="2"/>
      </rPr>
      <t xml:space="preserve">ناودانی گالوانیزه  </t>
    </r>
    <r>
      <rPr>
        <sz val="10"/>
        <rFont val="Vazirmatn"/>
        <family val="0"/>
        <charset val="1"/>
      </rPr>
      <t xml:space="preserve">10Cm*1mm</t>
    </r>
  </si>
  <si>
    <t xml:space="preserve">31291931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</si>
  <si>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30 * 30   3mm</t>
    </r>
  </si>
  <si>
    <t xml:space="preserve">31291932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</si>
  <si>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40 * 40   3mm</t>
    </r>
  </si>
  <si>
    <t xml:space="preserve">31291933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</si>
  <si>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60 * 60   3mm</t>
    </r>
  </si>
  <si>
    <t xml:space="preserve">31291934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</si>
  <si>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60 * 60   4mm</t>
    </r>
  </si>
  <si>
    <t xml:space="preserve">31291935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</si>
  <si>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40 * 40   2mm</t>
    </r>
  </si>
  <si>
    <t xml:space="preserve">31291936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</si>
  <si>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60 * 40   3mm</t>
    </r>
  </si>
  <si>
    <t xml:space="preserve">31291937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</si>
  <si>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20 * 40   3mm</t>
    </r>
  </si>
  <si>
    <t xml:space="preserve">31291938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</si>
  <si>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50 * 50   3mm</t>
    </r>
  </si>
  <si>
    <t xml:space="preserve">31291939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</si>
  <si>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80 * 40   2mm</t>
    </r>
  </si>
  <si>
    <t xml:space="preserve">31291940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</si>
  <si>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30 * 20   2mm</t>
    </r>
  </si>
  <si>
    <t xml:space="preserve">31291941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</si>
  <si>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20 * 20   2mm</t>
    </r>
  </si>
  <si>
    <t xml:space="preserve">31291942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</si>
  <si>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20 * 30   3mm</t>
    </r>
  </si>
  <si>
    <t xml:space="preserve">31291943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</si>
  <si>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80 * 40   3mm</t>
    </r>
  </si>
  <si>
    <t xml:space="preserve">31291944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</si>
  <si>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30 * 30   2mm</t>
    </r>
  </si>
  <si>
    <t xml:space="preserve">31291945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</si>
  <si>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50 * 100   2mm</t>
    </r>
  </si>
  <si>
    <t xml:space="preserve">31291946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</si>
  <si>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50 * 50   5mm</t>
    </r>
  </si>
  <si>
    <t xml:space="preserve">31291947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</si>
  <si>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30 * 20   2/5mm</t>
    </r>
  </si>
  <si>
    <t xml:space="preserve">31291948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</si>
  <si>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40 * 40   4mm</t>
    </r>
  </si>
  <si>
    <t xml:space="preserve">31291949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</si>
  <si>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60 * 30   3mm</t>
    </r>
  </si>
  <si>
    <t xml:space="preserve">31291950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</si>
  <si>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60 * 30   2/5mm</t>
    </r>
  </si>
  <si>
    <t xml:space="preserve">31291953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</si>
  <si>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50 * 50   2mm</t>
    </r>
  </si>
  <si>
    <t xml:space="preserve">31291954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</si>
  <si>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60 * 30   2mm</t>
    </r>
  </si>
  <si>
    <t xml:space="preserve">31291955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</si>
  <si>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20 * 20   2/5mm</t>
    </r>
  </si>
  <si>
    <t xml:space="preserve">31291956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</si>
  <si>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40 * 20   2/5mm</t>
    </r>
  </si>
  <si>
    <t xml:space="preserve">31291957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</si>
  <si>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60 * 40   2mm</t>
    </r>
  </si>
  <si>
    <t xml:space="preserve">31291958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</si>
  <si>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100 * 100   2/5mm</t>
    </r>
  </si>
  <si>
    <t xml:space="preserve">31291959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</si>
  <si>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80 * 40   4mm</t>
    </r>
  </si>
  <si>
    <t xml:space="preserve">31291960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</si>
  <si>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10 * 10   5mm</t>
    </r>
  </si>
  <si>
    <t xml:space="preserve">31291961</t>
  </si>
  <si>
    <r>
      <rPr>
        <sz val="10"/>
        <rFont val="FreeSans"/>
        <family val="2"/>
      </rPr>
      <t xml:space="preserve">قوطی آهنی   </t>
    </r>
    <r>
      <rPr>
        <sz val="10"/>
        <rFont val="Vazirmatn"/>
        <family val="0"/>
        <charset val="1"/>
      </rPr>
      <t xml:space="preserve">100 * 100   4mm</t>
    </r>
  </si>
  <si>
    <t xml:space="preserve">31291993</t>
  </si>
  <si>
    <r>
      <rPr>
        <sz val="10"/>
        <rFont val="FreeSans"/>
        <family val="2"/>
      </rPr>
      <t xml:space="preserve">قوطی استیل </t>
    </r>
    <r>
      <rPr>
        <sz val="10"/>
        <rFont val="Vazirmatn"/>
        <family val="0"/>
        <charset val="1"/>
      </rPr>
      <t xml:space="preserve">2mm   50 * 50</t>
    </r>
  </si>
  <si>
    <t xml:space="preserve">31291994</t>
  </si>
  <si>
    <r>
      <rPr>
        <sz val="10"/>
        <rFont val="FreeSans"/>
        <family val="2"/>
      </rPr>
      <t xml:space="preserve">قوطی استیل </t>
    </r>
    <r>
      <rPr>
        <sz val="10"/>
        <rFont val="Vazirmatn"/>
        <family val="0"/>
        <charset val="1"/>
      </rPr>
      <t xml:space="preserve">2mm   20 * 30</t>
    </r>
  </si>
  <si>
    <t xml:space="preserve">31291995</t>
  </si>
  <si>
    <r>
      <rPr>
        <sz val="10"/>
        <rFont val="FreeSans"/>
        <family val="2"/>
      </rPr>
      <t xml:space="preserve">قوطی استیل </t>
    </r>
    <r>
      <rPr>
        <sz val="10"/>
        <rFont val="Vazirmatn"/>
        <family val="0"/>
        <charset val="1"/>
      </rPr>
      <t xml:space="preserve">2mm   80 * 80</t>
    </r>
  </si>
  <si>
    <t xml:space="preserve">31291996</t>
  </si>
  <si>
    <r>
      <rPr>
        <sz val="10"/>
        <rFont val="FreeSans"/>
        <family val="2"/>
      </rPr>
      <t xml:space="preserve">قوطی استیل </t>
    </r>
    <r>
      <rPr>
        <sz val="10"/>
        <rFont val="Vazirmatn"/>
        <family val="0"/>
        <charset val="1"/>
      </rPr>
      <t xml:space="preserve">2mm   30 * 30</t>
    </r>
  </si>
  <si>
    <t xml:space="preserve">31291997</t>
  </si>
  <si>
    <r>
      <rPr>
        <sz val="10"/>
        <rFont val="FreeSans"/>
        <family val="2"/>
      </rPr>
      <t xml:space="preserve">قوطی استیل </t>
    </r>
    <r>
      <rPr>
        <sz val="10"/>
        <rFont val="Vazirmatn"/>
        <family val="0"/>
        <charset val="1"/>
      </rPr>
      <t xml:space="preserve">2mm   40 * 40</t>
    </r>
  </si>
  <si>
    <t xml:space="preserve">31292103</t>
  </si>
  <si>
    <r>
      <rPr>
        <sz val="10"/>
        <rFont val="FreeSans"/>
        <family val="2"/>
      </rPr>
      <t xml:space="preserve">شبرنگ تانکر قطر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متر</t>
    </r>
  </si>
  <si>
    <t xml:space="preserve">31292104</t>
  </si>
  <si>
    <r>
      <rPr>
        <sz val="10"/>
        <rFont val="FreeSans"/>
        <family val="2"/>
      </rPr>
      <t xml:space="preserve">شبرنگ تانکر قطر </t>
    </r>
    <r>
      <rPr>
        <sz val="10"/>
        <rFont val="Vazirmatn"/>
        <family val="0"/>
        <charset val="1"/>
      </rPr>
      <t xml:space="preserve">0/5 </t>
    </r>
    <r>
      <rPr>
        <sz val="10"/>
        <rFont val="FreeSans"/>
        <family val="2"/>
      </rPr>
      <t xml:space="preserve">متر</t>
    </r>
  </si>
  <si>
    <t xml:space="preserve">31292128</t>
  </si>
  <si>
    <t xml:space="preserve">اسپری کنتاکتور شور ناهید</t>
  </si>
  <si>
    <t xml:space="preserve">31292129</t>
  </si>
  <si>
    <r>
      <rPr>
        <sz val="10"/>
        <rFont val="FreeSans"/>
        <family val="2"/>
      </rPr>
      <t xml:space="preserve">اسپری </t>
    </r>
    <r>
      <rPr>
        <sz val="10"/>
        <rFont val="Vazirmatn"/>
        <family val="0"/>
        <charset val="1"/>
      </rPr>
      <t xml:space="preserve">PT </t>
    </r>
    <r>
      <rPr>
        <sz val="10"/>
        <rFont val="FreeSans"/>
        <family val="2"/>
      </rPr>
      <t xml:space="preserve">قابل شستشو با آب</t>
    </r>
  </si>
  <si>
    <t xml:space="preserve">31292132</t>
  </si>
  <si>
    <r>
      <rPr>
        <sz val="10"/>
        <rFont val="FreeSans"/>
        <family val="2"/>
      </rPr>
      <t xml:space="preserve">اسپری دودزا </t>
    </r>
    <r>
      <rPr>
        <sz val="10"/>
        <rFont val="Vazirmatn"/>
        <family val="0"/>
        <charset val="1"/>
      </rPr>
      <t xml:space="preserve">Zitex</t>
    </r>
  </si>
  <si>
    <t xml:space="preserve">31292133</t>
  </si>
  <si>
    <r>
      <rPr>
        <sz val="10"/>
        <rFont val="FreeSans"/>
        <family val="2"/>
      </rPr>
      <t xml:space="preserve">اسپری جوشکاری </t>
    </r>
    <r>
      <rPr>
        <sz val="10"/>
        <rFont val="Vazirmatn"/>
        <family val="0"/>
        <charset val="1"/>
      </rPr>
      <t xml:space="preserve">CO2</t>
    </r>
  </si>
  <si>
    <t xml:space="preserve">31292135</t>
  </si>
  <si>
    <r>
      <rPr>
        <sz val="10"/>
        <rFont val="FreeSans"/>
        <family val="2"/>
      </rPr>
      <t xml:space="preserve">اسپری پلاستیک </t>
    </r>
    <r>
      <rPr>
        <sz val="10"/>
        <rFont val="Vazirmatn"/>
        <family val="0"/>
        <charset val="1"/>
      </rPr>
      <t xml:space="preserve">200mL</t>
    </r>
  </si>
  <si>
    <t xml:space="preserve">31292140</t>
  </si>
  <si>
    <r>
      <rPr>
        <sz val="10"/>
        <rFont val="FreeSans"/>
        <family val="2"/>
      </rPr>
      <t xml:space="preserve">رول کارت  </t>
    </r>
    <r>
      <rPr>
        <sz val="10"/>
        <rFont val="Vazirmatn"/>
        <family val="0"/>
        <charset val="1"/>
      </rPr>
      <t xml:space="preserve">220v-  8input   -80 output</t>
    </r>
  </si>
  <si>
    <t xml:space="preserve">31292200</t>
  </si>
  <si>
    <r>
      <rPr>
        <sz val="10"/>
        <rFont val="FreeSans"/>
        <family val="2"/>
      </rPr>
      <t xml:space="preserve">هد جت پرینتر زاناسی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نقطه </t>
    </r>
    <r>
      <rPr>
        <sz val="10"/>
        <rFont val="Vazirmatn"/>
        <family val="0"/>
        <charset val="1"/>
      </rPr>
      <t xml:space="preserve">230mm*80mm*45mm</t>
    </r>
  </si>
  <si>
    <t xml:space="preserve">31293131</t>
  </si>
  <si>
    <t xml:space="preserve">دریچه   آهنی</t>
  </si>
  <si>
    <t xml:space="preserve">31293135</t>
  </si>
  <si>
    <t xml:space="preserve">دریچه خشک کن</t>
  </si>
  <si>
    <t xml:space="preserve">31293139</t>
  </si>
  <si>
    <r>
      <rPr>
        <sz val="10"/>
        <rFont val="FreeSans"/>
        <family val="2"/>
      </rPr>
      <t xml:space="preserve">دریچه لوله بخاری  </t>
    </r>
    <r>
      <rPr>
        <sz val="10"/>
        <rFont val="Vazirmatn"/>
        <family val="0"/>
        <charset val="1"/>
      </rPr>
      <t xml:space="preserve">Q6</t>
    </r>
  </si>
  <si>
    <t xml:space="preserve">31293140</t>
  </si>
  <si>
    <t xml:space="preserve">دریچه آلومینیومی نمای ساختمان مخصوص هود</t>
  </si>
  <si>
    <t xml:space="preserve">31293142</t>
  </si>
  <si>
    <t xml:space="preserve">قاب توکار کولر گازی</t>
  </si>
  <si>
    <t xml:space="preserve">31293143</t>
  </si>
  <si>
    <r>
      <rPr>
        <sz val="10"/>
        <rFont val="FreeSans"/>
        <family val="2"/>
      </rPr>
      <t xml:space="preserve">دریچه ورودی هوا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لوور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کولینگ تاور توچال تهویه </t>
    </r>
    <r>
      <rPr>
        <sz val="10"/>
        <rFont val="Vazirmatn"/>
        <family val="0"/>
        <charset val="1"/>
      </rPr>
      <t xml:space="preserve">( MB 650 )</t>
    </r>
  </si>
  <si>
    <t xml:space="preserve">31294007</t>
  </si>
  <si>
    <r>
      <rPr>
        <sz val="10"/>
        <rFont val="FreeSans"/>
        <family val="2"/>
      </rPr>
      <t xml:space="preserve">لاستیک درزگیر عایق  عرض </t>
    </r>
    <r>
      <rPr>
        <sz val="10"/>
        <rFont val="Vazirmatn"/>
        <family val="0"/>
        <charset val="1"/>
      </rPr>
      <t xml:space="preserve">8</t>
    </r>
  </si>
  <si>
    <t xml:space="preserve">31294104</t>
  </si>
  <si>
    <r>
      <rPr>
        <sz val="10"/>
        <rFont val="FreeSans"/>
        <family val="2"/>
      </rPr>
      <t xml:space="preserve">لاستیک لیفتراک سپاهان  </t>
    </r>
    <r>
      <rPr>
        <sz val="10"/>
        <rFont val="Vazirmatn"/>
        <family val="0"/>
        <charset val="1"/>
      </rPr>
      <t xml:space="preserve">10 - 50 - 6</t>
    </r>
  </si>
  <si>
    <t xml:space="preserve">31294107</t>
  </si>
  <si>
    <r>
      <rPr>
        <sz val="10"/>
        <rFont val="FreeSans"/>
        <family val="2"/>
      </rPr>
      <t xml:space="preserve">لاستیک لودر </t>
    </r>
    <r>
      <rPr>
        <sz val="10"/>
        <rFont val="Vazirmatn"/>
        <family val="0"/>
        <charset val="1"/>
      </rPr>
      <t xml:space="preserve">930 </t>
    </r>
    <r>
      <rPr>
        <sz val="10"/>
        <rFont val="FreeSans"/>
        <family val="2"/>
      </rPr>
      <t xml:space="preserve">البرز </t>
    </r>
    <r>
      <rPr>
        <sz val="10"/>
        <rFont val="Vazirmatn"/>
        <family val="0"/>
        <charset val="1"/>
      </rPr>
      <t xml:space="preserve">25 - 17/5 ( A920 )</t>
    </r>
  </si>
  <si>
    <t xml:space="preserve">31294108</t>
  </si>
  <si>
    <r>
      <rPr>
        <sz val="10"/>
        <rFont val="FreeSans"/>
        <family val="2"/>
      </rPr>
      <t xml:space="preserve">تیوپ لاستیک لودر </t>
    </r>
    <r>
      <rPr>
        <sz val="10"/>
        <rFont val="Vazirmatn"/>
        <family val="0"/>
        <charset val="1"/>
      </rPr>
      <t xml:space="preserve">930</t>
    </r>
  </si>
  <si>
    <t xml:space="preserve">31294113</t>
  </si>
  <si>
    <r>
      <rPr>
        <sz val="10"/>
        <rFont val="FreeSans"/>
        <family val="2"/>
      </rPr>
      <t xml:space="preserve">لاستیک مزدا وانت  </t>
    </r>
    <r>
      <rPr>
        <sz val="10"/>
        <rFont val="Vazirmatn"/>
        <family val="0"/>
        <charset val="1"/>
      </rPr>
      <t xml:space="preserve">P 205 / 75 R14</t>
    </r>
  </si>
  <si>
    <t xml:space="preserve">31294114</t>
  </si>
  <si>
    <r>
      <rPr>
        <sz val="10"/>
        <rFont val="FreeSans"/>
        <family val="2"/>
      </rPr>
      <t xml:space="preserve">نوار لاستیک لودر </t>
    </r>
    <r>
      <rPr>
        <sz val="10"/>
        <rFont val="Vazirmatn"/>
        <family val="0"/>
        <charset val="1"/>
      </rPr>
      <t xml:space="preserve">930</t>
    </r>
  </si>
  <si>
    <t xml:space="preserve">31294115</t>
  </si>
  <si>
    <r>
      <rPr>
        <sz val="10"/>
        <rFont val="FreeSans"/>
        <family val="2"/>
      </rPr>
      <t xml:space="preserve">لاستیک  </t>
    </r>
    <r>
      <rPr>
        <sz val="10"/>
        <rFont val="Vazirmatn"/>
        <family val="0"/>
        <charset val="1"/>
      </rPr>
      <t xml:space="preserve">( R14 ) 195*75</t>
    </r>
  </si>
  <si>
    <t xml:space="preserve">31294116</t>
  </si>
  <si>
    <r>
      <rPr>
        <sz val="10"/>
        <rFont val="FreeSans"/>
        <family val="2"/>
      </rPr>
      <t xml:space="preserve">لاستیک لیفتراک سپاهان  </t>
    </r>
    <r>
      <rPr>
        <sz val="10"/>
        <rFont val="Vazirmatn"/>
        <family val="0"/>
        <charset val="1"/>
      </rPr>
      <t xml:space="preserve">15 - 15 - 8</t>
    </r>
  </si>
  <si>
    <t xml:space="preserve">31294117</t>
  </si>
  <si>
    <r>
      <rPr>
        <sz val="10"/>
        <rFont val="FreeSans"/>
        <family val="2"/>
      </rPr>
      <t xml:space="preserve">لاستیک  </t>
    </r>
    <r>
      <rPr>
        <sz val="10"/>
        <rFont val="Vazirmatn"/>
        <family val="0"/>
        <charset val="1"/>
      </rPr>
      <t xml:space="preserve">C - 195/14</t>
    </r>
  </si>
  <si>
    <t xml:space="preserve">31294118</t>
  </si>
  <si>
    <r>
      <rPr>
        <sz val="10"/>
        <rFont val="FreeSans"/>
        <family val="2"/>
      </rPr>
      <t xml:space="preserve">تیوپ لاستیک لودر  </t>
    </r>
    <r>
      <rPr>
        <sz val="10"/>
        <rFont val="Vazirmatn"/>
        <family val="0"/>
        <charset val="1"/>
      </rPr>
      <t xml:space="preserve">25-17/5</t>
    </r>
  </si>
  <si>
    <t xml:space="preserve">31294119</t>
  </si>
  <si>
    <r>
      <rPr>
        <sz val="10"/>
        <rFont val="FreeSans"/>
        <family val="2"/>
      </rPr>
      <t xml:space="preserve">لاستیک لیفتراک تو پر  </t>
    </r>
    <r>
      <rPr>
        <sz val="10"/>
        <rFont val="Vazirmatn"/>
        <family val="0"/>
        <charset val="1"/>
      </rPr>
      <t xml:space="preserve">10 - 50 - 6</t>
    </r>
  </si>
  <si>
    <t xml:space="preserve">31295001</t>
  </si>
  <si>
    <r>
      <rPr>
        <sz val="10"/>
        <rFont val="FreeSans"/>
        <family val="2"/>
      </rPr>
      <t xml:space="preserve">فویل آلومینیومی  </t>
    </r>
    <r>
      <rPr>
        <sz val="10"/>
        <rFont val="Vazirmatn"/>
        <family val="0"/>
        <charset val="1"/>
      </rPr>
      <t xml:space="preserve">Aluminium foil  Thickness: 14-16 Micron 30CM</t>
    </r>
  </si>
  <si>
    <t xml:space="preserve">31295100</t>
  </si>
  <si>
    <r>
      <rPr>
        <sz val="10"/>
        <rFont val="FreeSans"/>
        <family val="2"/>
      </rPr>
      <t xml:space="preserve">مشعل </t>
    </r>
    <r>
      <rPr>
        <sz val="10"/>
        <rFont val="Vazirmatn"/>
        <family val="0"/>
        <charset val="1"/>
      </rPr>
      <t xml:space="preserve">ERD 25 </t>
    </r>
    <r>
      <rPr>
        <sz val="10"/>
        <rFont val="FreeSans"/>
        <family val="2"/>
      </rPr>
      <t xml:space="preserve">اشتعال اراک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به صورت چپ و راست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دیگ </t>
    </r>
    <r>
      <rPr>
        <sz val="10"/>
        <rFont val="Vazirmatn"/>
        <family val="0"/>
        <charset val="1"/>
      </rPr>
      <t xml:space="preserve">50000LB/HR</t>
    </r>
  </si>
  <si>
    <t xml:space="preserve">31295106</t>
  </si>
  <si>
    <t xml:space="preserve">لنت ترمزرینولد</t>
  </si>
  <si>
    <t xml:space="preserve">31295110</t>
  </si>
  <si>
    <t xml:space="preserve">جک ماشین وانت مزدا گیربکس دار</t>
  </si>
  <si>
    <t xml:space="preserve">31295127</t>
  </si>
  <si>
    <t xml:space="preserve">لاستیک ترمز لیبل زن</t>
  </si>
  <si>
    <t xml:space="preserve">31295200</t>
  </si>
  <si>
    <t xml:space="preserve">لوله های فارسونگاه گازوئیل لودر</t>
  </si>
  <si>
    <t xml:space="preserve">31295201</t>
  </si>
  <si>
    <r>
      <rPr>
        <sz val="10"/>
        <rFont val="FreeSans"/>
        <family val="2"/>
      </rPr>
      <t xml:space="preserve">لوله ترمز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چپ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لیفتراک </t>
    </r>
    <r>
      <rPr>
        <sz val="10"/>
        <rFont val="Vazirmatn"/>
        <family val="0"/>
        <charset val="1"/>
      </rPr>
      <t xml:space="preserve">( 9432305 )</t>
    </r>
  </si>
  <si>
    <t xml:space="preserve">31295202</t>
  </si>
  <si>
    <r>
      <rPr>
        <sz val="10"/>
        <rFont val="FreeSans"/>
        <family val="2"/>
      </rPr>
      <t xml:space="preserve">پمپ ترمز لیفتراک سپاهان </t>
    </r>
    <r>
      <rPr>
        <sz val="10"/>
        <rFont val="Vazirmatn"/>
        <family val="0"/>
        <charset val="1"/>
      </rPr>
      <t xml:space="preserve">9432309  SG</t>
    </r>
  </si>
  <si>
    <t xml:space="preserve">31295203</t>
  </si>
  <si>
    <r>
      <rPr>
        <sz val="10"/>
        <rFont val="FreeSans"/>
        <family val="2"/>
      </rPr>
      <t xml:space="preserve">کوئل سلونوئید شیر هیدرولیک لیفتراک سپاهان </t>
    </r>
    <r>
      <rPr>
        <sz val="10"/>
        <rFont val="Vazirmatn"/>
        <family val="0"/>
        <charset val="1"/>
      </rPr>
      <t xml:space="preserve">9433036</t>
    </r>
  </si>
  <si>
    <t xml:space="preserve">31295204</t>
  </si>
  <si>
    <r>
      <rPr>
        <sz val="10"/>
        <rFont val="FreeSans"/>
        <family val="2"/>
      </rPr>
      <t xml:space="preserve">سلونوئید سوخت ورودی گاز لیفتراک سپاهان </t>
    </r>
    <r>
      <rPr>
        <sz val="10"/>
        <rFont val="Vazirmatn"/>
        <family val="0"/>
        <charset val="1"/>
      </rPr>
      <t xml:space="preserve">9630268</t>
    </r>
  </si>
  <si>
    <t xml:space="preserve">31295205</t>
  </si>
  <si>
    <r>
      <rPr>
        <sz val="10"/>
        <rFont val="FreeSans"/>
        <family val="2"/>
      </rPr>
      <t xml:space="preserve">سوئیچ استارت کامل لیفتراک </t>
    </r>
    <r>
      <rPr>
        <sz val="10"/>
        <rFont val="Vazirmatn"/>
        <family val="0"/>
        <charset val="1"/>
      </rPr>
      <t xml:space="preserve">( 9431217 )</t>
    </r>
  </si>
  <si>
    <t xml:space="preserve">31295206</t>
  </si>
  <si>
    <t xml:space="preserve">شیلنگ جک فرمان به اوربیتال فرمان لیفتراک</t>
  </si>
  <si>
    <t xml:space="preserve">31295207</t>
  </si>
  <si>
    <r>
      <rPr>
        <sz val="10"/>
        <rFont val="FreeSans"/>
        <family val="2"/>
      </rPr>
      <t xml:space="preserve">بوق دنده عقب لیفتراک </t>
    </r>
    <r>
      <rPr>
        <sz val="10"/>
        <rFont val="Vazirmatn"/>
        <family val="0"/>
        <charset val="1"/>
      </rPr>
      <t xml:space="preserve">( 9431214 )</t>
    </r>
  </si>
  <si>
    <t xml:space="preserve">31295208</t>
  </si>
  <si>
    <r>
      <rPr>
        <sz val="10"/>
        <rFont val="FreeSans"/>
        <family val="2"/>
      </rPr>
      <t xml:space="preserve">پین لینک اکسل به سگدست لیفتراک </t>
    </r>
    <r>
      <rPr>
        <sz val="10"/>
        <rFont val="Vazirmatn"/>
        <family val="0"/>
        <charset val="1"/>
      </rPr>
      <t xml:space="preserve">( 9575325 )</t>
    </r>
  </si>
  <si>
    <t xml:space="preserve">31295209</t>
  </si>
  <si>
    <r>
      <rPr>
        <sz val="10"/>
        <rFont val="FreeSans"/>
        <family val="2"/>
      </rPr>
      <t xml:space="preserve">لینک اکسل فرمان لیفتراک </t>
    </r>
    <r>
      <rPr>
        <sz val="10"/>
        <rFont val="Vazirmatn"/>
        <family val="0"/>
        <charset val="1"/>
      </rPr>
      <t xml:space="preserve">( 9432602 )</t>
    </r>
  </si>
  <si>
    <t xml:space="preserve">31295210</t>
  </si>
  <si>
    <r>
      <rPr>
        <sz val="10"/>
        <rFont val="FreeSans"/>
        <family val="2"/>
      </rPr>
      <t xml:space="preserve">لنت ترمز لیفتراک سپاهان </t>
    </r>
    <r>
      <rPr>
        <sz val="10"/>
        <rFont val="Vazirmatn"/>
        <family val="0"/>
        <charset val="1"/>
      </rPr>
      <t xml:space="preserve">( 9432322 )</t>
    </r>
  </si>
  <si>
    <t xml:space="preserve">31295211</t>
  </si>
  <si>
    <r>
      <rPr>
        <sz val="10"/>
        <rFont val="FreeSans"/>
        <family val="2"/>
      </rPr>
      <t xml:space="preserve">سیم گاز لیفتراک </t>
    </r>
    <r>
      <rPr>
        <sz val="10"/>
        <rFont val="Vazirmatn"/>
        <family val="0"/>
        <charset val="1"/>
      </rPr>
      <t xml:space="preserve">( 9430204 )</t>
    </r>
  </si>
  <si>
    <t xml:space="preserve">31295212</t>
  </si>
  <si>
    <t xml:space="preserve">لنت ترمز لیفتراک</t>
  </si>
  <si>
    <t xml:space="preserve">31295213</t>
  </si>
  <si>
    <r>
      <rPr>
        <sz val="10"/>
        <rFont val="FreeSans"/>
        <family val="2"/>
      </rPr>
      <t xml:space="preserve">سیم ترمز دستی چپ لیفتراک </t>
    </r>
    <r>
      <rPr>
        <sz val="10"/>
        <rFont val="Vazirmatn"/>
        <family val="0"/>
        <charset val="1"/>
      </rPr>
      <t xml:space="preserve">( 9432344 )</t>
    </r>
  </si>
  <si>
    <t xml:space="preserve">31295214</t>
  </si>
  <si>
    <r>
      <rPr>
        <sz val="10"/>
        <rFont val="FreeSans"/>
        <family val="2"/>
      </rPr>
      <t xml:space="preserve">سیم ترمز دستی راست لیفتراک </t>
    </r>
    <r>
      <rPr>
        <sz val="10"/>
        <rFont val="Vazirmatn"/>
        <family val="0"/>
        <charset val="1"/>
      </rPr>
      <t xml:space="preserve">( 9432345 )</t>
    </r>
  </si>
  <si>
    <t xml:space="preserve">31295215</t>
  </si>
  <si>
    <t xml:space="preserve">31295216</t>
  </si>
  <si>
    <t xml:space="preserve">شیلنگ بالابر جک وسط لیفتراک</t>
  </si>
  <si>
    <t xml:space="preserve">31295217</t>
  </si>
  <si>
    <r>
      <rPr>
        <sz val="10"/>
        <rFont val="FreeSans"/>
        <family val="2"/>
      </rPr>
      <t xml:space="preserve">لوله ترمز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راست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لیفتراک </t>
    </r>
    <r>
      <rPr>
        <sz val="10"/>
        <rFont val="Vazirmatn"/>
        <family val="0"/>
        <charset val="1"/>
      </rPr>
      <t xml:space="preserve">( 9432385 )</t>
    </r>
  </si>
  <si>
    <t xml:space="preserve">31295302</t>
  </si>
  <si>
    <r>
      <rPr>
        <sz val="10"/>
        <rFont val="FreeSans"/>
        <family val="2"/>
      </rPr>
      <t xml:space="preserve">لوازم توربو شارژ </t>
    </r>
    <r>
      <rPr>
        <sz val="10"/>
        <rFont val="Vazirmatn"/>
        <family val="0"/>
        <charset val="1"/>
      </rPr>
      <t xml:space="preserve">282AK</t>
    </r>
  </si>
  <si>
    <t xml:space="preserve">31295303</t>
  </si>
  <si>
    <r>
      <rPr>
        <sz val="10"/>
        <rFont val="FreeSans"/>
        <family val="2"/>
      </rPr>
      <t xml:space="preserve">سوزن انژکتور </t>
    </r>
    <r>
      <rPr>
        <sz val="10"/>
        <rFont val="Vazirmatn"/>
        <family val="0"/>
        <charset val="1"/>
      </rPr>
      <t xml:space="preserve">282AK</t>
    </r>
  </si>
  <si>
    <t xml:space="preserve">31296002</t>
  </si>
  <si>
    <r>
      <rPr>
        <sz val="10"/>
        <rFont val="FreeSans"/>
        <family val="2"/>
      </rPr>
      <t xml:space="preserve">رینگ کامل چرخ جلو بزرگ لیفتراک سپاهان </t>
    </r>
    <r>
      <rPr>
        <sz val="10"/>
        <rFont val="Vazirmatn"/>
        <family val="0"/>
        <charset val="1"/>
      </rPr>
      <t xml:space="preserve">( SG 30 G )</t>
    </r>
  </si>
  <si>
    <t xml:space="preserve">31297000</t>
  </si>
  <si>
    <r>
      <rPr>
        <sz val="10"/>
        <rFont val="FreeSans"/>
        <family val="2"/>
      </rPr>
      <t xml:space="preserve">دودکش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 بیتا مخصوص پکیج بوتان</t>
    </r>
  </si>
  <si>
    <t xml:space="preserve">31297001</t>
  </si>
  <si>
    <r>
      <rPr>
        <sz val="10"/>
        <rFont val="FreeSans"/>
        <family val="2"/>
      </rPr>
      <t xml:space="preserve">صفحه پکیج  </t>
    </r>
    <r>
      <rPr>
        <sz val="10"/>
        <rFont val="Vazirmatn"/>
        <family val="0"/>
        <charset val="1"/>
      </rPr>
      <t xml:space="preserve">30Cm</t>
    </r>
  </si>
  <si>
    <t xml:space="preserve">31298100</t>
  </si>
  <si>
    <r>
      <rPr>
        <sz val="10"/>
        <rFont val="FreeSans"/>
        <family val="2"/>
      </rPr>
      <t xml:space="preserve">کفشور استیل   </t>
    </r>
    <r>
      <rPr>
        <sz val="10"/>
        <rFont val="Vazirmatn"/>
        <family val="0"/>
        <charset val="1"/>
      </rPr>
      <t xml:space="preserve">10 * 10</t>
    </r>
  </si>
  <si>
    <t xml:space="preserve">31298103</t>
  </si>
  <si>
    <r>
      <rPr>
        <sz val="10"/>
        <rFont val="FreeSans"/>
        <family val="2"/>
      </rPr>
      <t xml:space="preserve">خروجی کف </t>
    </r>
    <r>
      <rPr>
        <sz val="10"/>
        <rFont val="Vazirmatn"/>
        <family val="0"/>
        <charset val="1"/>
      </rPr>
      <t xml:space="preserve">80</t>
    </r>
  </si>
  <si>
    <t xml:space="preserve">31298104</t>
  </si>
  <si>
    <r>
      <rPr>
        <sz val="10"/>
        <rFont val="FreeSans"/>
        <family val="2"/>
      </rPr>
      <t xml:space="preserve">خروجی کف </t>
    </r>
    <r>
      <rPr>
        <sz val="10"/>
        <rFont val="Vazirmatn"/>
        <family val="0"/>
        <charset val="1"/>
      </rPr>
      <t xml:space="preserve">100</t>
    </r>
  </si>
  <si>
    <t xml:space="preserve">31298291</t>
  </si>
  <si>
    <r>
      <rPr>
        <sz val="10"/>
        <rFont val="FreeSans"/>
        <family val="2"/>
      </rPr>
      <t xml:space="preserve">حفاظ پروانه الکتروموتور   </t>
    </r>
    <r>
      <rPr>
        <sz val="10"/>
        <rFont val="Vazirmatn"/>
        <family val="0"/>
        <charset val="1"/>
      </rPr>
      <t xml:space="preserve">7/5KW</t>
    </r>
  </si>
  <si>
    <t xml:space="preserve">31298292</t>
  </si>
  <si>
    <r>
      <rPr>
        <sz val="10"/>
        <rFont val="FreeSans"/>
        <family val="2"/>
      </rPr>
      <t xml:space="preserve">حفاظ پروانه الکتروموتور   </t>
    </r>
    <r>
      <rPr>
        <sz val="10"/>
        <rFont val="Vazirmatn"/>
        <family val="0"/>
        <charset val="1"/>
      </rPr>
      <t xml:space="preserve">1/5KW</t>
    </r>
  </si>
  <si>
    <t xml:space="preserve">31298293</t>
  </si>
  <si>
    <t xml:space="preserve">حفاظ پروانه سلولزی روبروزن</t>
  </si>
  <si>
    <t xml:space="preserve">31298400</t>
  </si>
  <si>
    <r>
      <rPr>
        <sz val="10"/>
        <rFont val="FreeSans"/>
        <family val="2"/>
      </rPr>
      <t xml:space="preserve">موریس کیبل </t>
    </r>
    <r>
      <rPr>
        <sz val="10"/>
        <rFont val="Vazirmatn"/>
        <family val="0"/>
        <charset val="1"/>
      </rPr>
      <t xml:space="preserve">360mm</t>
    </r>
  </si>
  <si>
    <t xml:space="preserve">31298495</t>
  </si>
  <si>
    <r>
      <rPr>
        <sz val="10"/>
        <rFont val="FreeSans"/>
        <family val="2"/>
      </rPr>
      <t xml:space="preserve">سیبک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قورقوری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راست گرد</t>
    </r>
  </si>
  <si>
    <t xml:space="preserve">31298500</t>
  </si>
  <si>
    <r>
      <rPr>
        <sz val="10"/>
        <rFont val="FreeSans"/>
        <family val="2"/>
      </rPr>
      <t xml:space="preserve">میل ریش  </t>
    </r>
    <r>
      <rPr>
        <sz val="10"/>
        <rFont val="Vazirmatn"/>
        <family val="0"/>
        <charset val="1"/>
      </rPr>
      <t xml:space="preserve">SAF</t>
    </r>
  </si>
  <si>
    <t xml:space="preserve">31298501</t>
  </si>
  <si>
    <t xml:space="preserve">گل پخش کن تیغه تانکر</t>
  </si>
  <si>
    <t xml:space="preserve">31298547</t>
  </si>
  <si>
    <r>
      <rPr>
        <sz val="10"/>
        <rFont val="FreeSans"/>
        <family val="2"/>
      </rPr>
      <t xml:space="preserve">چهارشاخ گاردان </t>
    </r>
    <r>
      <rPr>
        <sz val="10"/>
        <rFont val="Vazirmatn"/>
        <family val="0"/>
        <charset val="1"/>
      </rPr>
      <t xml:space="preserve">35mm*98mm</t>
    </r>
  </si>
  <si>
    <t xml:space="preserve">31298548</t>
  </si>
  <si>
    <r>
      <rPr>
        <sz val="10"/>
        <rFont val="FreeSans"/>
        <family val="2"/>
      </rPr>
      <t xml:space="preserve">چهار شاخ پروانه کولینگ تاور آبگردان  </t>
    </r>
    <r>
      <rPr>
        <sz val="10"/>
        <rFont val="Vazirmatn"/>
        <family val="0"/>
        <charset val="1"/>
      </rPr>
      <t xml:space="preserve">MB 500</t>
    </r>
  </si>
  <si>
    <t xml:space="preserve">31298549</t>
  </si>
  <si>
    <r>
      <rPr>
        <sz val="10"/>
        <rFont val="FreeSans"/>
        <family val="2"/>
      </rPr>
      <t xml:space="preserve">چهار شاخ فن کولینگ تاور آبگردان  </t>
    </r>
    <r>
      <rPr>
        <sz val="10"/>
        <rFont val="Vazirmatn"/>
        <family val="0"/>
        <charset val="1"/>
      </rPr>
      <t xml:space="preserve">MB 450</t>
    </r>
  </si>
  <si>
    <t xml:space="preserve">31298570</t>
  </si>
  <si>
    <t xml:space="preserve">بازوی سرو موتور</t>
  </si>
  <si>
    <t xml:space="preserve">31298571</t>
  </si>
  <si>
    <t xml:space="preserve">بازویی همزن درام</t>
  </si>
  <si>
    <t xml:space="preserve">31298572</t>
  </si>
  <si>
    <t xml:space="preserve">بازوی سرو موتور دیگ بخار هانی ول</t>
  </si>
  <si>
    <t xml:space="preserve">31298577</t>
  </si>
  <si>
    <r>
      <rPr>
        <sz val="10"/>
        <rFont val="FreeSans"/>
        <family val="2"/>
      </rPr>
      <t xml:space="preserve">بازویی شفت چرخ دوخت </t>
    </r>
    <r>
      <rPr>
        <sz val="10"/>
        <rFont val="Vazirmatn"/>
        <family val="0"/>
        <charset val="1"/>
      </rPr>
      <t xml:space="preserve">243081</t>
    </r>
  </si>
  <si>
    <t xml:space="preserve">31298578</t>
  </si>
  <si>
    <r>
      <rPr>
        <sz val="10"/>
        <rFont val="FreeSans"/>
        <family val="2"/>
      </rPr>
      <t xml:space="preserve">بازویی شفت چرخ دوخت </t>
    </r>
    <r>
      <rPr>
        <sz val="10"/>
        <rFont val="Vazirmatn"/>
        <family val="0"/>
        <charset val="1"/>
      </rPr>
      <t xml:space="preserve">243071</t>
    </r>
  </si>
  <si>
    <t xml:space="preserve">31298579</t>
  </si>
  <si>
    <t xml:space="preserve">بازویی استیل نگهدارنده همزن درام رنگ بری گلوکوز سازی</t>
  </si>
  <si>
    <t xml:space="preserve">31298580</t>
  </si>
  <si>
    <t xml:space="preserve">بازوئی جک فرمان لودر</t>
  </si>
  <si>
    <t xml:space="preserve">31298585</t>
  </si>
  <si>
    <t xml:space="preserve">لانس و دسته سمپاش</t>
  </si>
  <si>
    <t xml:space="preserve">31298586</t>
  </si>
  <si>
    <r>
      <rPr>
        <sz val="10"/>
        <rFont val="FreeSans"/>
        <family val="2"/>
      </rPr>
      <t xml:space="preserve">نوک هویه  </t>
    </r>
    <r>
      <rPr>
        <sz val="10"/>
        <rFont val="Vazirmatn"/>
        <family val="0"/>
        <charset val="1"/>
      </rPr>
      <t xml:space="preserve">Proskit  60W</t>
    </r>
  </si>
  <si>
    <t xml:space="preserve">31298587</t>
  </si>
  <si>
    <r>
      <rPr>
        <sz val="10"/>
        <rFont val="FreeSans"/>
        <family val="2"/>
      </rPr>
      <t xml:space="preserve">میله چسب حرارتی شفاف شماره </t>
    </r>
    <r>
      <rPr>
        <sz val="10"/>
        <rFont val="Vazirmatn"/>
        <family val="0"/>
        <charset val="1"/>
      </rPr>
      <t xml:space="preserve">12</t>
    </r>
  </si>
  <si>
    <t xml:space="preserve">31298588</t>
  </si>
  <si>
    <r>
      <rPr>
        <sz val="10"/>
        <rFont val="FreeSans"/>
        <family val="2"/>
      </rPr>
      <t xml:space="preserve">هویه پروسکیت </t>
    </r>
    <r>
      <rPr>
        <sz val="10"/>
        <rFont val="Vazirmatn"/>
        <family val="0"/>
        <charset val="1"/>
      </rPr>
      <t xml:space="preserve">40W</t>
    </r>
  </si>
  <si>
    <t xml:space="preserve">31298589</t>
  </si>
  <si>
    <r>
      <rPr>
        <sz val="10"/>
        <rFont val="FreeSans"/>
        <family val="2"/>
      </rPr>
      <t xml:space="preserve">هویه پروسکیت </t>
    </r>
    <r>
      <rPr>
        <sz val="10"/>
        <rFont val="Vazirmatn"/>
        <family val="0"/>
        <charset val="1"/>
      </rPr>
      <t xml:space="preserve">60W</t>
    </r>
  </si>
  <si>
    <t xml:space="preserve">31298613</t>
  </si>
  <si>
    <t xml:space="preserve">رادیاتورخشکن نشاسته</t>
  </si>
  <si>
    <t xml:space="preserve">31298614</t>
  </si>
  <si>
    <r>
      <rPr>
        <sz val="10"/>
        <rFont val="FreeSans"/>
        <family val="2"/>
      </rPr>
      <t xml:space="preserve">رادیاتور پیلر چینی </t>
    </r>
    <r>
      <rPr>
        <sz val="10"/>
        <rFont val="Vazirmatn"/>
        <family val="0"/>
        <charset val="1"/>
      </rPr>
      <t xml:space="preserve">2600mm*3000mm*200mm </t>
    </r>
    <r>
      <rPr>
        <sz val="10"/>
        <rFont val="FreeSans"/>
        <family val="2"/>
      </rPr>
      <t xml:space="preserve">فلنج </t>
    </r>
    <r>
      <rPr>
        <sz val="10"/>
        <rFont val="Vazirmatn"/>
        <family val="0"/>
        <charset val="1"/>
      </rPr>
      <t xml:space="preserve">"3 </t>
    </r>
    <r>
      <rPr>
        <sz val="10"/>
        <rFont val="FreeSans"/>
        <family val="2"/>
      </rPr>
      <t xml:space="preserve">فشار کاری </t>
    </r>
    <r>
      <rPr>
        <sz val="10"/>
        <rFont val="Vazirmatn"/>
        <family val="0"/>
        <charset val="1"/>
      </rPr>
      <t xml:space="preserve">8</t>
    </r>
    <r>
      <rPr>
        <sz val="10"/>
        <rFont val="FreeSans"/>
        <family val="2"/>
      </rPr>
      <t xml:space="preserve">تا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بار سه ردیف </t>
    </r>
    <r>
      <rPr>
        <sz val="10"/>
        <rFont val="Vazirmatn"/>
        <family val="0"/>
        <charset val="1"/>
      </rPr>
      <t xml:space="preserve">42 </t>
    </r>
    <r>
      <rPr>
        <sz val="10"/>
        <rFont val="FreeSans"/>
        <family val="2"/>
      </rPr>
      <t xml:space="preserve">تایی مجموع لوله </t>
    </r>
    <r>
      <rPr>
        <sz val="10"/>
        <rFont val="Vazirmatn"/>
        <family val="0"/>
        <charset val="1"/>
      </rPr>
      <t xml:space="preserve">146 </t>
    </r>
    <r>
      <rPr>
        <sz val="10"/>
        <rFont val="FreeSans"/>
        <family val="2"/>
      </rPr>
      <t xml:space="preserve">عدد سایز </t>
    </r>
    <r>
      <rPr>
        <sz val="10"/>
        <rFont val="Vazirmatn"/>
        <family val="0"/>
        <charset val="1"/>
      </rPr>
      <t xml:space="preserve">"3/4 </t>
    </r>
    <r>
      <rPr>
        <sz val="10"/>
        <rFont val="FreeSans"/>
        <family val="2"/>
      </rPr>
      <t xml:space="preserve">جنس لوله فولادی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جنس فین آلومینیومی و جنس شاستی گالوانیزه</t>
    </r>
  </si>
  <si>
    <t xml:space="preserve">31298616</t>
  </si>
  <si>
    <r>
      <rPr>
        <sz val="10"/>
        <rFont val="FreeSans"/>
        <family val="2"/>
      </rPr>
      <t xml:space="preserve">رادیاتور هوا خنک روغن گیربکس </t>
    </r>
    <r>
      <rPr>
        <sz val="10"/>
        <rFont val="Vazirmatn"/>
        <family val="0"/>
        <charset val="1"/>
      </rPr>
      <t xml:space="preserve">RXP3/816/C1/40.8/ECE/C/M1</t>
    </r>
  </si>
  <si>
    <t xml:space="preserve">31298617</t>
  </si>
  <si>
    <r>
      <rPr>
        <sz val="10"/>
        <rFont val="FreeSans"/>
        <family val="2"/>
      </rPr>
      <t xml:space="preserve">رادیاتور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مبدل هوا </t>
    </r>
    <r>
      <rPr>
        <sz val="10"/>
        <rFont val="Vazirmatn"/>
        <family val="0"/>
        <charset val="1"/>
      </rPr>
      <t xml:space="preserve">) KSRL 400M2, INLET SECTION  SIZE:W*H=1776*2500MM</t>
    </r>
  </si>
  <si>
    <t xml:space="preserve">31298619</t>
  </si>
  <si>
    <r>
      <rPr>
        <sz val="10"/>
        <rFont val="FreeSans"/>
        <family val="2"/>
      </rPr>
      <t xml:space="preserve">پنل رادیاتور </t>
    </r>
    <r>
      <rPr>
        <sz val="10"/>
        <rFont val="Vazirmatn"/>
        <family val="0"/>
        <charset val="1"/>
      </rPr>
      <t xml:space="preserve">140Cm</t>
    </r>
  </si>
  <si>
    <t xml:space="preserve">31298620</t>
  </si>
  <si>
    <r>
      <rPr>
        <sz val="10"/>
        <rFont val="FreeSans"/>
        <family val="2"/>
      </rPr>
      <t xml:space="preserve">پنل رادیاتور </t>
    </r>
    <r>
      <rPr>
        <sz val="10"/>
        <rFont val="Vazirmatn"/>
        <family val="0"/>
        <charset val="1"/>
      </rPr>
      <t xml:space="preserve">100Cm</t>
    </r>
  </si>
  <si>
    <t xml:space="preserve">31298720</t>
  </si>
  <si>
    <r>
      <rPr>
        <sz val="10"/>
        <rFont val="FreeSans"/>
        <family val="2"/>
      </rPr>
      <t xml:space="preserve">پک دزد گیر اماکن فایروال سیم کارتی </t>
    </r>
    <r>
      <rPr>
        <sz val="10"/>
        <rFont val="Vazirmatn"/>
        <family val="0"/>
        <charset val="1"/>
      </rPr>
      <t xml:space="preserve">F9</t>
    </r>
  </si>
  <si>
    <t xml:space="preserve">31299101</t>
  </si>
  <si>
    <r>
      <rPr>
        <sz val="10"/>
        <rFont val="FreeSans"/>
        <family val="2"/>
      </rPr>
      <t xml:space="preserve">باتری   </t>
    </r>
    <r>
      <rPr>
        <sz val="10"/>
        <rFont val="Vazirmatn"/>
        <family val="0"/>
        <charset val="1"/>
      </rPr>
      <t xml:space="preserve">12V 150Ah C10 UPS 6-GFM-150</t>
    </r>
  </si>
  <si>
    <t xml:space="preserve">31299200</t>
  </si>
  <si>
    <t xml:space="preserve">مخروط کله قندی ترافیکی زنجیر دار</t>
  </si>
  <si>
    <t xml:space="preserve">31299201</t>
  </si>
  <si>
    <r>
      <rPr>
        <sz val="10"/>
        <rFont val="FreeSans"/>
        <family val="2"/>
      </rPr>
      <t xml:space="preserve">استوانه ترافیکی پلاستیکی ارتفاع </t>
    </r>
    <r>
      <rPr>
        <sz val="10"/>
        <rFont val="Vazirmatn"/>
        <family val="0"/>
        <charset val="1"/>
      </rPr>
      <t xml:space="preserve">75Cm</t>
    </r>
  </si>
  <si>
    <t xml:space="preserve">31299203</t>
  </si>
  <si>
    <r>
      <rPr>
        <sz val="10"/>
        <rFont val="FreeSans"/>
        <family val="2"/>
      </rPr>
      <t xml:space="preserve">مخروط ترافیکی دارای حلقه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کله قندی متحرک پایه دار </t>
    </r>
    <r>
      <rPr>
        <sz val="10"/>
        <rFont val="Vazirmatn"/>
        <family val="0"/>
        <charset val="1"/>
      </rPr>
      <t xml:space="preserve">)</t>
    </r>
  </si>
  <si>
    <t xml:space="preserve">31299204</t>
  </si>
  <si>
    <r>
      <rPr>
        <sz val="10"/>
        <rFont val="FreeSans"/>
        <family val="2"/>
      </rPr>
      <t xml:space="preserve">بوم راهبند فک </t>
    </r>
    <r>
      <rPr>
        <sz val="10"/>
        <rFont val="Vazirmatn"/>
        <family val="0"/>
        <charset val="1"/>
      </rPr>
      <t xml:space="preserve">5/5m  B680</t>
    </r>
  </si>
  <si>
    <t xml:space="preserve">31299272</t>
  </si>
  <si>
    <t xml:space="preserve">پدال</t>
  </si>
  <si>
    <t xml:space="preserve">31299300</t>
  </si>
  <si>
    <r>
      <rPr>
        <sz val="10"/>
        <rFont val="FreeSans"/>
        <family val="2"/>
      </rPr>
      <t xml:space="preserve">سگ دست راست و چپ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تن مدل </t>
    </r>
    <r>
      <rPr>
        <sz val="10"/>
        <rFont val="Vazirmatn"/>
        <family val="0"/>
        <charset val="1"/>
      </rPr>
      <t xml:space="preserve">( SL,SG ) 9432605</t>
    </r>
  </si>
  <si>
    <t xml:space="preserve">31299301</t>
  </si>
  <si>
    <r>
      <rPr>
        <sz val="10"/>
        <rFont val="FreeSans"/>
        <family val="2"/>
      </rPr>
      <t xml:space="preserve">کنس و بیرینگ سگ دست اکسل فرمان </t>
    </r>
    <r>
      <rPr>
        <sz val="10"/>
        <rFont val="Vazirmatn"/>
        <family val="0"/>
        <charset val="1"/>
      </rPr>
      <t xml:space="preserve">9532625</t>
    </r>
  </si>
  <si>
    <t xml:space="preserve">31299302</t>
  </si>
  <si>
    <r>
      <rPr>
        <sz val="10"/>
        <rFont val="FreeSans"/>
        <family val="2"/>
      </rPr>
      <t xml:space="preserve">قطع کن برقی گاز مربوط به موتور دوگانه سوز </t>
    </r>
    <r>
      <rPr>
        <sz val="10"/>
        <rFont val="Vazirmatn"/>
        <family val="0"/>
        <charset val="1"/>
      </rPr>
      <t xml:space="preserve">( Nissan K25 ) 9435407</t>
    </r>
  </si>
  <si>
    <t xml:space="preserve">31299303</t>
  </si>
  <si>
    <r>
      <rPr>
        <sz val="10"/>
        <rFont val="FreeSans"/>
        <family val="2"/>
      </rPr>
      <t xml:space="preserve">لوازم ریگلاتور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واپور لیزر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لیفتراک سپاهان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تن دوگانه سوز</t>
    </r>
  </si>
  <si>
    <t xml:space="preserve">31299304</t>
  </si>
  <si>
    <r>
      <rPr>
        <sz val="10"/>
        <rFont val="FreeSans"/>
        <family val="2"/>
      </rPr>
      <t xml:space="preserve">منبع اگزوز  </t>
    </r>
    <r>
      <rPr>
        <sz val="10"/>
        <rFont val="Vazirmatn"/>
        <family val="0"/>
        <charset val="1"/>
      </rPr>
      <t xml:space="preserve">9430220</t>
    </r>
  </si>
  <si>
    <t xml:space="preserve">31299308</t>
  </si>
  <si>
    <r>
      <rPr>
        <sz val="10"/>
        <rFont val="FreeSans"/>
        <family val="2"/>
      </rPr>
      <t xml:space="preserve">جک وسط لیفتراک کامل </t>
    </r>
    <r>
      <rPr>
        <sz val="10"/>
        <rFont val="Vazirmatn"/>
        <family val="0"/>
        <charset val="1"/>
      </rPr>
      <t xml:space="preserve">( 4320 )</t>
    </r>
  </si>
  <si>
    <t xml:space="preserve">31299309</t>
  </si>
  <si>
    <r>
      <rPr>
        <sz val="10"/>
        <rFont val="FreeSans"/>
        <family val="2"/>
      </rPr>
      <t xml:space="preserve">دلکو کامل لیفتراک </t>
    </r>
    <r>
      <rPr>
        <sz val="10"/>
        <rFont val="Vazirmatn"/>
        <family val="0"/>
        <charset val="1"/>
      </rPr>
      <t xml:space="preserve">K - 25</t>
    </r>
  </si>
  <si>
    <t xml:space="preserve">31299310</t>
  </si>
  <si>
    <t xml:space="preserve">کلید سوئیچ لیفتراک سپاهان</t>
  </si>
  <si>
    <t xml:space="preserve">31299400</t>
  </si>
  <si>
    <r>
      <rPr>
        <sz val="10"/>
        <rFont val="FreeSans"/>
        <family val="2"/>
      </rPr>
      <t xml:space="preserve">فشار سنج جیوه ای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بازویی </t>
    </r>
    <r>
      <rPr>
        <sz val="10"/>
        <rFont val="Vazirmatn"/>
        <family val="0"/>
        <charset val="1"/>
      </rPr>
      <t xml:space="preserve">)</t>
    </r>
  </si>
  <si>
    <t xml:space="preserve">31299401</t>
  </si>
  <si>
    <t xml:space="preserve">تگ دستگاه گشت و نگهبانی</t>
  </si>
  <si>
    <t xml:space="preserve">31299500</t>
  </si>
  <si>
    <r>
      <rPr>
        <sz val="10"/>
        <rFont val="FreeSans"/>
        <family val="2"/>
      </rPr>
      <t xml:space="preserve">بگ فیلتر </t>
    </r>
    <r>
      <rPr>
        <sz val="10"/>
        <rFont val="Vazirmatn"/>
        <family val="0"/>
        <charset val="1"/>
      </rPr>
      <t xml:space="preserve">BAG FILTER -SAFTY FENCE</t>
    </r>
  </si>
  <si>
    <t xml:space="preserve">31299501</t>
  </si>
  <si>
    <r>
      <rPr>
        <sz val="10"/>
        <rFont val="FreeSans"/>
        <family val="2"/>
      </rPr>
      <t xml:space="preserve">دستگاه پیلر </t>
    </r>
    <r>
      <rPr>
        <sz val="10"/>
        <rFont val="Vazirmatn"/>
        <family val="0"/>
        <charset val="1"/>
      </rPr>
      <t xml:space="preserve">TYPE:GKH1600D</t>
    </r>
  </si>
  <si>
    <t xml:space="preserve">31299502</t>
  </si>
  <si>
    <r>
      <rPr>
        <sz val="10"/>
        <rFont val="FreeSans"/>
        <family val="2"/>
      </rPr>
      <t xml:space="preserve">دستگاه سرند پیلر </t>
    </r>
    <r>
      <rPr>
        <sz val="10"/>
        <rFont val="Vazirmatn"/>
        <family val="0"/>
        <charset val="1"/>
      </rPr>
      <t xml:space="preserve">YBS-1.8M-2Fᴓ  1800,2LAYER:50/50MESCH,4KW</t>
    </r>
  </si>
  <si>
    <t xml:space="preserve">31299505</t>
  </si>
  <si>
    <r>
      <rPr>
        <sz val="10"/>
        <rFont val="FreeSans"/>
        <family val="2"/>
      </rPr>
      <t xml:space="preserve">میکروفن بی سیم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چیر من </t>
    </r>
    <r>
      <rPr>
        <sz val="10"/>
        <rFont val="Vazirmatn"/>
        <family val="0"/>
        <charset val="1"/>
      </rPr>
      <t xml:space="preserve">- 2 </t>
    </r>
    <r>
      <rPr>
        <sz val="10"/>
        <rFont val="FreeSans"/>
        <family val="2"/>
      </rPr>
      <t xml:space="preserve">عددی </t>
    </r>
    <r>
      <rPr>
        <sz val="10"/>
        <rFont val="Vazirmatn"/>
        <family val="0"/>
        <charset val="1"/>
      </rPr>
      <t xml:space="preserve">) SU-3hh</t>
    </r>
  </si>
  <si>
    <t xml:space="preserve">31299506</t>
  </si>
  <si>
    <r>
      <rPr>
        <sz val="10"/>
        <rFont val="FreeSans"/>
        <family val="2"/>
      </rPr>
      <t xml:space="preserve">اسپیکر دکوراتیو اکتیو </t>
    </r>
    <r>
      <rPr>
        <sz val="10"/>
        <rFont val="Vazirmatn"/>
        <family val="0"/>
        <charset val="1"/>
      </rPr>
      <t xml:space="preserve">JTRJM-5050A</t>
    </r>
  </si>
  <si>
    <t xml:space="preserve">31299507</t>
  </si>
  <si>
    <r>
      <rPr>
        <sz val="10"/>
        <rFont val="FreeSans"/>
        <family val="2"/>
      </rPr>
      <t xml:space="preserve">صافی مگنت سپراتور  </t>
    </r>
    <r>
      <rPr>
        <sz val="10"/>
        <rFont val="Vazirmatn"/>
        <family val="0"/>
        <charset val="1"/>
      </rPr>
      <t xml:space="preserve">LINE SIZE:5" FLOW CAPACITY:100-130 M3/H</t>
    </r>
  </si>
  <si>
    <t xml:space="preserve">31299509</t>
  </si>
  <si>
    <t xml:space="preserve">ترموکوپل</t>
  </si>
  <si>
    <t xml:space="preserve">31299510</t>
  </si>
  <si>
    <t xml:space="preserve">ترمو کوپل جت کوکر</t>
  </si>
  <si>
    <t xml:space="preserve">31299513</t>
  </si>
  <si>
    <r>
      <rPr>
        <sz val="10"/>
        <rFont val="FreeSans"/>
        <family val="2"/>
      </rPr>
      <t xml:space="preserve">ترموکوپل </t>
    </r>
    <r>
      <rPr>
        <sz val="10"/>
        <rFont val="Vazirmatn"/>
        <family val="0"/>
        <charset val="1"/>
      </rPr>
      <t xml:space="preserve">( K ) </t>
    </r>
    <r>
      <rPr>
        <sz val="10"/>
        <rFont val="FreeSans"/>
        <family val="2"/>
      </rPr>
      <t xml:space="preserve">غلاف دار پیچ و مهره ای </t>
    </r>
    <r>
      <rPr>
        <sz val="10"/>
        <rFont val="Vazirmatn"/>
        <family val="0"/>
        <charset val="1"/>
      </rPr>
      <t xml:space="preserve">M8</t>
    </r>
  </si>
  <si>
    <t xml:space="preserve">31299600</t>
  </si>
  <si>
    <r>
      <rPr>
        <sz val="10"/>
        <rFont val="FreeSans"/>
        <family val="2"/>
      </rPr>
      <t xml:space="preserve">مجموعه ابزار های سرند  </t>
    </r>
    <r>
      <rPr>
        <sz val="10"/>
        <rFont val="Vazirmatn"/>
        <family val="0"/>
        <charset val="1"/>
      </rPr>
      <t xml:space="preserve">ᴓ 1800</t>
    </r>
  </si>
  <si>
    <t xml:space="preserve">31299601</t>
  </si>
  <si>
    <t xml:space="preserve">مجموعه کشش نخ چرخ دوخت</t>
  </si>
  <si>
    <t xml:space="preserve">31299602</t>
  </si>
  <si>
    <t xml:space="preserve">مجموعه اتصالات بازویی میله سوزن چرخ دوخت</t>
  </si>
  <si>
    <t xml:space="preserve">31299603</t>
  </si>
  <si>
    <r>
      <rPr>
        <sz val="10"/>
        <rFont val="FreeSans"/>
        <family val="2"/>
      </rPr>
      <t xml:space="preserve">ساپورت زیر پکینگ  </t>
    </r>
    <r>
      <rPr>
        <sz val="10"/>
        <rFont val="Vazirmatn"/>
        <family val="0"/>
        <charset val="1"/>
      </rPr>
      <t xml:space="preserve">3*3</t>
    </r>
  </si>
  <si>
    <t xml:space="preserve">31299604</t>
  </si>
  <si>
    <r>
      <rPr>
        <sz val="10"/>
        <rFont val="FreeSans"/>
        <family val="2"/>
      </rPr>
      <t xml:space="preserve">ساپورت محوری بزرگ  </t>
    </r>
    <r>
      <rPr>
        <sz val="10"/>
        <rFont val="Vazirmatn"/>
        <family val="0"/>
        <charset val="1"/>
      </rPr>
      <t xml:space="preserve">T-500</t>
    </r>
  </si>
  <si>
    <t xml:space="preserve">31299605</t>
  </si>
  <si>
    <r>
      <rPr>
        <sz val="10"/>
        <rFont val="FreeSans"/>
        <family val="2"/>
      </rPr>
      <t xml:space="preserve">ساپورت محوری کوچک  </t>
    </r>
    <r>
      <rPr>
        <sz val="10"/>
        <rFont val="Vazirmatn"/>
        <family val="0"/>
        <charset val="1"/>
      </rPr>
      <t xml:space="preserve">T-500</t>
    </r>
  </si>
  <si>
    <t xml:space="preserve">31299606</t>
  </si>
  <si>
    <r>
      <rPr>
        <sz val="10"/>
        <rFont val="FreeSans"/>
        <family val="2"/>
      </rPr>
      <t xml:space="preserve">ساپورت شعاعی  </t>
    </r>
    <r>
      <rPr>
        <sz val="10"/>
        <rFont val="Vazirmatn"/>
        <family val="0"/>
        <charset val="1"/>
      </rPr>
      <t xml:space="preserve">T-500</t>
    </r>
  </si>
  <si>
    <t xml:space="preserve">31299607</t>
  </si>
  <si>
    <t xml:space="preserve">مجموعه راهنما</t>
  </si>
  <si>
    <t xml:space="preserve">31299685</t>
  </si>
  <si>
    <r>
      <rPr>
        <sz val="10"/>
        <rFont val="FreeSans"/>
        <family val="2"/>
      </rPr>
      <t xml:space="preserve">باتری لیتیومی چراغ قوه </t>
    </r>
    <r>
      <rPr>
        <sz val="10"/>
        <rFont val="Vazirmatn"/>
        <family val="0"/>
        <charset val="1"/>
      </rPr>
      <t xml:space="preserve">AX18650 - 4800 mAh - 3/7 Vli - ion</t>
    </r>
  </si>
  <si>
    <t xml:space="preserve">31299698</t>
  </si>
  <si>
    <r>
      <rPr>
        <sz val="10"/>
        <rFont val="FreeSans"/>
        <family val="2"/>
      </rPr>
      <t xml:space="preserve">قاب سفید </t>
    </r>
    <r>
      <rPr>
        <sz val="10"/>
        <rFont val="Vazirmatn"/>
        <family val="0"/>
        <charset val="1"/>
      </rPr>
      <t xml:space="preserve">PVC 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3Cm</t>
    </r>
  </si>
  <si>
    <t xml:space="preserve">31299699</t>
  </si>
  <si>
    <r>
      <rPr>
        <sz val="10"/>
        <rFont val="FreeSans"/>
        <family val="2"/>
      </rPr>
      <t xml:space="preserve">تخته داربست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متری عرض </t>
    </r>
    <r>
      <rPr>
        <sz val="10"/>
        <rFont val="Vazirmatn"/>
        <family val="0"/>
        <charset val="1"/>
      </rPr>
      <t xml:space="preserve">30</t>
    </r>
  </si>
  <si>
    <t xml:space="preserve">31299701</t>
  </si>
  <si>
    <t xml:space="preserve">صفحه فیلتر پرس روغن کشی</t>
  </si>
  <si>
    <t xml:space="preserve">31299704</t>
  </si>
  <si>
    <r>
      <rPr>
        <sz val="10"/>
        <rFont val="FreeSans"/>
        <family val="2"/>
      </rPr>
      <t xml:space="preserve">محافظ فن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رابط فن </t>
    </r>
    <r>
      <rPr>
        <sz val="10"/>
        <rFont val="Vazirmatn"/>
        <family val="0"/>
        <charset val="1"/>
      </rPr>
      <t xml:space="preserve">)  12 * 12</t>
    </r>
  </si>
  <si>
    <t xml:space="preserve">31299705</t>
  </si>
  <si>
    <r>
      <rPr>
        <sz val="10"/>
        <rFont val="FreeSans"/>
        <family val="2"/>
      </rPr>
      <t xml:space="preserve">کفی کولر آبی   </t>
    </r>
    <r>
      <rPr>
        <sz val="10"/>
        <rFont val="Vazirmatn"/>
        <family val="0"/>
        <charset val="1"/>
      </rPr>
      <t xml:space="preserve">3500</t>
    </r>
  </si>
  <si>
    <t xml:space="preserve">31299706</t>
  </si>
  <si>
    <r>
      <rPr>
        <sz val="10"/>
        <rFont val="FreeSans"/>
        <family val="2"/>
      </rPr>
      <t xml:space="preserve">قاب طرح چوب </t>
    </r>
    <r>
      <rPr>
        <sz val="10"/>
        <rFont val="Vazirmatn"/>
        <family val="0"/>
        <charset val="1"/>
      </rPr>
      <t xml:space="preserve">PVC</t>
    </r>
  </si>
  <si>
    <t xml:space="preserve">31299707</t>
  </si>
  <si>
    <r>
      <rPr>
        <sz val="10"/>
        <rFont val="FreeSans"/>
        <family val="2"/>
      </rPr>
      <t xml:space="preserve">کفی کولر آبی   </t>
    </r>
    <r>
      <rPr>
        <sz val="10"/>
        <rFont val="Vazirmatn"/>
        <family val="0"/>
        <charset val="1"/>
      </rPr>
      <t xml:space="preserve">7000</t>
    </r>
  </si>
  <si>
    <t xml:space="preserve">31299708</t>
  </si>
  <si>
    <r>
      <rPr>
        <sz val="10"/>
        <rFont val="FreeSans"/>
        <family val="2"/>
      </rPr>
      <t xml:space="preserve">کفی کولر سلولزی انرژی </t>
    </r>
    <r>
      <rPr>
        <sz val="10"/>
        <rFont val="Vazirmatn"/>
        <family val="0"/>
        <charset val="1"/>
      </rPr>
      <t xml:space="preserve">ECO 350  35000</t>
    </r>
  </si>
  <si>
    <t xml:space="preserve">31299709</t>
  </si>
  <si>
    <r>
      <rPr>
        <sz val="10"/>
        <rFont val="FreeSans"/>
        <family val="2"/>
      </rPr>
      <t xml:space="preserve">ریل دامپا ضخامت </t>
    </r>
    <r>
      <rPr>
        <sz val="10"/>
        <rFont val="Vazirmatn"/>
        <family val="0"/>
        <charset val="1"/>
      </rPr>
      <t xml:space="preserve">0/5mm</t>
    </r>
  </si>
  <si>
    <t xml:space="preserve">31299710</t>
  </si>
  <si>
    <r>
      <rPr>
        <sz val="10"/>
        <rFont val="FreeSans"/>
        <family val="2"/>
      </rPr>
      <t xml:space="preserve">کفی کولر سلولزی انرژی </t>
    </r>
    <r>
      <rPr>
        <sz val="10"/>
        <rFont val="Vazirmatn"/>
        <family val="0"/>
        <charset val="1"/>
      </rPr>
      <t xml:space="preserve">( 75*75 ) 3500</t>
    </r>
  </si>
  <si>
    <t xml:space="preserve">31299714</t>
  </si>
  <si>
    <r>
      <rPr>
        <sz val="10"/>
        <rFont val="FreeSans"/>
        <family val="2"/>
      </rPr>
      <t xml:space="preserve">چهار چوب چوبی   </t>
    </r>
    <r>
      <rPr>
        <sz val="10"/>
        <rFont val="Vazirmatn"/>
        <family val="0"/>
        <charset val="1"/>
      </rPr>
      <t xml:space="preserve">612Cm*12Cm*6Cm</t>
    </r>
  </si>
  <si>
    <t xml:space="preserve">31299715</t>
  </si>
  <si>
    <r>
      <rPr>
        <sz val="10"/>
        <rFont val="FreeSans"/>
        <family val="2"/>
      </rPr>
      <t xml:space="preserve">کلاف چوبی   </t>
    </r>
    <r>
      <rPr>
        <sz val="10"/>
        <rFont val="Vazirmatn"/>
        <family val="0"/>
        <charset val="1"/>
      </rPr>
      <t xml:space="preserve">680Cm*40Cm*12Cm</t>
    </r>
  </si>
  <si>
    <t xml:space="preserve">31299716</t>
  </si>
  <si>
    <r>
      <rPr>
        <sz val="10"/>
        <rFont val="FreeSans"/>
        <family val="2"/>
      </rPr>
      <t xml:space="preserve">گاتر پلی آمید تقویت شده مشکی طرح آلمانی </t>
    </r>
    <r>
      <rPr>
        <sz val="10"/>
        <rFont val="Vazirmatn"/>
        <family val="0"/>
        <charset val="1"/>
      </rPr>
      <t xml:space="preserve">200mm*140mm</t>
    </r>
  </si>
  <si>
    <t xml:space="preserve">31299717</t>
  </si>
  <si>
    <r>
      <rPr>
        <sz val="10"/>
        <rFont val="FreeSans"/>
        <family val="2"/>
      </rPr>
      <t xml:space="preserve">گاتر استنلس 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لیزری پیانو  </t>
    </r>
    <r>
      <rPr>
        <sz val="10"/>
        <rFont val="Vazirmatn"/>
        <family val="0"/>
        <charset val="1"/>
      </rPr>
      <t xml:space="preserve">100mm*50mm*2mm</t>
    </r>
  </si>
  <si>
    <t xml:space="preserve">31299799</t>
  </si>
  <si>
    <r>
      <rPr>
        <sz val="10"/>
        <rFont val="FreeSans"/>
        <family val="2"/>
      </rPr>
      <t xml:space="preserve">باتری   </t>
    </r>
    <r>
      <rPr>
        <sz val="10"/>
        <rFont val="Vazirmatn"/>
        <family val="0"/>
        <charset val="1"/>
      </rPr>
      <t xml:space="preserve">12V - 4/5AH</t>
    </r>
  </si>
  <si>
    <t xml:space="preserve">31299800</t>
  </si>
  <si>
    <r>
      <rPr>
        <sz val="10"/>
        <rFont val="FreeSans"/>
        <family val="2"/>
      </rPr>
      <t xml:space="preserve">عایق دما الاستومری روی پشت چسب دار با روکش طول </t>
    </r>
    <r>
      <rPr>
        <sz val="10"/>
        <rFont val="Vazirmatn"/>
        <family val="0"/>
        <charset val="1"/>
      </rPr>
      <t xml:space="preserve">9m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120cm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19mm</t>
    </r>
  </si>
  <si>
    <t xml:space="preserve">31299802</t>
  </si>
  <si>
    <r>
      <rPr>
        <sz val="10"/>
        <rFont val="FreeSans"/>
        <family val="2"/>
      </rPr>
      <t xml:space="preserve">سرامیک آلومینا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لوله ای شکل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طول سرامیک </t>
    </r>
    <r>
      <rPr>
        <sz val="10"/>
        <rFont val="Vazirmatn"/>
        <family val="0"/>
        <charset val="1"/>
      </rPr>
      <t xml:space="preserve">17mm </t>
    </r>
    <r>
      <rPr>
        <sz val="10"/>
        <rFont val="FreeSans"/>
        <family val="2"/>
      </rPr>
      <t xml:space="preserve">قطر خارجی سرامیک </t>
    </r>
    <r>
      <rPr>
        <sz val="10"/>
        <rFont val="Vazirmatn"/>
        <family val="0"/>
        <charset val="1"/>
      </rPr>
      <t xml:space="preserve">17mm </t>
    </r>
    <r>
      <rPr>
        <sz val="10"/>
        <rFont val="FreeSans"/>
        <family val="2"/>
      </rPr>
      <t xml:space="preserve">قطر داخلی سرامیک </t>
    </r>
    <r>
      <rPr>
        <sz val="10"/>
        <rFont val="Vazirmatn"/>
        <family val="0"/>
        <charset val="1"/>
      </rPr>
      <t xml:space="preserve">10mm</t>
    </r>
  </si>
  <si>
    <t xml:space="preserve">31299803</t>
  </si>
  <si>
    <r>
      <rPr>
        <sz val="10"/>
        <rFont val="FreeSans"/>
        <family val="2"/>
      </rPr>
      <t xml:space="preserve">آینه لیفتراک  </t>
    </r>
    <r>
      <rPr>
        <sz val="10"/>
        <rFont val="Vazirmatn"/>
        <family val="0"/>
        <charset val="1"/>
      </rPr>
      <t xml:space="preserve">9433930</t>
    </r>
  </si>
  <si>
    <t xml:space="preserve">31299804</t>
  </si>
  <si>
    <r>
      <rPr>
        <sz val="10"/>
        <rFont val="FreeSans"/>
        <family val="2"/>
      </rPr>
      <t xml:space="preserve">عایق </t>
    </r>
    <r>
      <rPr>
        <sz val="10"/>
        <rFont val="Vazirmatn"/>
        <family val="0"/>
        <charset val="1"/>
      </rPr>
      <t xml:space="preserve">3/4</t>
    </r>
  </si>
  <si>
    <t xml:space="preserve">31299805</t>
  </si>
  <si>
    <r>
      <rPr>
        <sz val="10"/>
        <rFont val="FreeSans"/>
        <family val="2"/>
      </rPr>
      <t xml:space="preserve">عایق  </t>
    </r>
    <r>
      <rPr>
        <sz val="10"/>
        <rFont val="Vazirmatn"/>
        <family val="0"/>
        <charset val="1"/>
      </rPr>
      <t xml:space="preserve">1/2</t>
    </r>
  </si>
  <si>
    <t xml:space="preserve">31299807</t>
  </si>
  <si>
    <t xml:space="preserve">کفپوش عایق برق فشار ضعیف</t>
  </si>
  <si>
    <t xml:space="preserve">31299820</t>
  </si>
  <si>
    <r>
      <rPr>
        <sz val="10"/>
        <rFont val="FreeSans"/>
        <family val="2"/>
      </rPr>
      <t xml:space="preserve">تایل </t>
    </r>
    <r>
      <rPr>
        <sz val="10"/>
        <rFont val="Vazirmatn"/>
        <family val="0"/>
        <charset val="1"/>
      </rPr>
      <t xml:space="preserve">PVC </t>
    </r>
    <r>
      <rPr>
        <sz val="10"/>
        <rFont val="FreeSans"/>
        <family val="2"/>
      </rPr>
      <t xml:space="preserve">آذران کوبوآ  </t>
    </r>
    <r>
      <rPr>
        <sz val="10"/>
        <rFont val="Vazirmatn"/>
        <family val="0"/>
        <charset val="1"/>
      </rPr>
      <t xml:space="preserve">60Cm*60Cm</t>
    </r>
  </si>
  <si>
    <t xml:space="preserve">31299850</t>
  </si>
  <si>
    <r>
      <rPr>
        <sz val="10"/>
        <rFont val="FreeSans"/>
        <family val="2"/>
      </rPr>
      <t xml:space="preserve">کلاچ هیدرولیکی خشکن گرند  </t>
    </r>
    <r>
      <rPr>
        <sz val="10"/>
        <rFont val="Vazirmatn"/>
        <family val="0"/>
        <charset val="1"/>
      </rPr>
      <t xml:space="preserve">TYPE:GZG-600D TUBE BUNDEL DRYER</t>
    </r>
  </si>
  <si>
    <t xml:space="preserve">31299865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</si>
  <si>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Lithium eell CR 2032 , 3V</t>
    </r>
  </si>
  <si>
    <t xml:space="preserve">31299866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</si>
  <si>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12V - 28AH     UPS</t>
    </r>
  </si>
  <si>
    <t xml:space="preserve">31299867</t>
  </si>
  <si>
    <r>
      <rPr>
        <sz val="10"/>
        <rFont val="FreeSans"/>
        <family val="2"/>
      </rPr>
      <t xml:space="preserve">باتری دریل شارژی ماکیتا </t>
    </r>
    <r>
      <rPr>
        <sz val="10"/>
        <rFont val="Vazirmatn"/>
        <family val="0"/>
        <charset val="1"/>
      </rPr>
      <t xml:space="preserve">Ni - Cd ) 12V - 1/3 AH 1220 )</t>
    </r>
  </si>
  <si>
    <t xml:space="preserve">31299868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</si>
  <si>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( 9*10 / DJW 12-5 ) 12V 5Ah</t>
    </r>
  </si>
  <si>
    <t xml:space="preserve">31299869</t>
  </si>
  <si>
    <r>
      <rPr>
        <sz val="10"/>
        <rFont val="FreeSans"/>
        <family val="2"/>
      </rPr>
      <t xml:space="preserve">باتری سیلد اسید  </t>
    </r>
    <r>
      <rPr>
        <sz val="10"/>
        <rFont val="Vazirmatn"/>
        <family val="0"/>
        <charset val="1"/>
      </rPr>
      <t xml:space="preserve">12V - 9 AH</t>
    </r>
  </si>
  <si>
    <t xml:space="preserve">31299871</t>
  </si>
  <si>
    <r>
      <rPr>
        <sz val="10"/>
        <rFont val="FreeSans"/>
        <family val="2"/>
      </rPr>
      <t xml:space="preserve">باتری لپ تاپ </t>
    </r>
    <r>
      <rPr>
        <sz val="10"/>
        <rFont val="Vazirmatn"/>
        <family val="0"/>
        <charset val="1"/>
      </rPr>
      <t xml:space="preserve">14/8 </t>
    </r>
    <r>
      <rPr>
        <sz val="10"/>
        <rFont val="FreeSans"/>
        <family val="2"/>
      </rPr>
      <t xml:space="preserve">ولت </t>
    </r>
    <r>
      <rPr>
        <sz val="10"/>
        <rFont val="Vazirmatn"/>
        <family val="0"/>
        <charset val="1"/>
      </rPr>
      <t xml:space="preserve">- 3840 </t>
    </r>
    <r>
      <rPr>
        <sz val="10"/>
        <rFont val="FreeSans"/>
        <family val="2"/>
      </rPr>
      <t xml:space="preserve">میلی آمپر ساعت </t>
    </r>
    <r>
      <rPr>
        <sz val="10"/>
        <rFont val="Vazirmatn"/>
        <family val="0"/>
        <charset val="1"/>
      </rPr>
      <t xml:space="preserve">( ASUS N550 J )</t>
    </r>
  </si>
  <si>
    <t xml:space="preserve">31299872</t>
  </si>
  <si>
    <r>
      <rPr>
        <sz val="10"/>
        <rFont val="FreeSans"/>
        <family val="2"/>
      </rPr>
      <t xml:space="preserve">باتری اتمی اوربیتال </t>
    </r>
    <r>
      <rPr>
        <sz val="10"/>
        <rFont val="Vazirmatn"/>
        <family val="0"/>
        <charset val="1"/>
      </rPr>
      <t xml:space="preserve">55AH-VL ( Class : A ) 12V</t>
    </r>
  </si>
  <si>
    <t xml:space="preserve">31299873</t>
  </si>
  <si>
    <r>
      <rPr>
        <sz val="10"/>
        <rFont val="FreeSans"/>
        <family val="2"/>
      </rPr>
      <t xml:space="preserve">باتری بک آپ زیمنس </t>
    </r>
    <r>
      <rPr>
        <sz val="10"/>
        <rFont val="Vazirmatn"/>
        <family val="0"/>
        <charset val="1"/>
      </rPr>
      <t xml:space="preserve">6ES 7971 - 0BA00   S7400</t>
    </r>
  </si>
  <si>
    <t xml:space="preserve">31299874</t>
  </si>
  <si>
    <r>
      <rPr>
        <sz val="10"/>
        <rFont val="FreeSans"/>
        <family val="2"/>
      </rPr>
      <t xml:space="preserve">باتری لپ تاپ </t>
    </r>
    <r>
      <rPr>
        <sz val="10"/>
        <rFont val="Vazirmatn"/>
        <family val="0"/>
        <charset val="1"/>
      </rPr>
      <t xml:space="preserve">Dell Inspiron 5520 - 48 Wh - 11/1 V</t>
    </r>
  </si>
  <si>
    <t xml:space="preserve">31299875</t>
  </si>
  <si>
    <r>
      <rPr>
        <sz val="10"/>
        <rFont val="FreeSans"/>
        <family val="2"/>
      </rPr>
      <t xml:space="preserve">باتری  </t>
    </r>
    <r>
      <rPr>
        <sz val="10"/>
        <rFont val="Vazirmatn"/>
        <family val="0"/>
        <charset val="1"/>
      </rPr>
      <t xml:space="preserve">DURACELL CR2 3V</t>
    </r>
  </si>
  <si>
    <t xml:space="preserve">31299879</t>
  </si>
  <si>
    <r>
      <rPr>
        <sz val="10"/>
        <rFont val="FreeSans"/>
        <family val="2"/>
      </rPr>
      <t xml:space="preserve">باطری شارژی دریل </t>
    </r>
    <r>
      <rPr>
        <sz val="10"/>
        <rFont val="Vazirmatn"/>
        <family val="0"/>
        <charset val="1"/>
      </rPr>
      <t xml:space="preserve">Makita 6271D</t>
    </r>
  </si>
  <si>
    <t xml:space="preserve">31299880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</si>
  <si>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12V - 12AH     UPS</t>
    </r>
  </si>
  <si>
    <t xml:space="preserve">31299881</t>
  </si>
  <si>
    <r>
      <rPr>
        <sz val="10"/>
        <rFont val="FreeSans"/>
        <family val="2"/>
      </rPr>
      <t xml:space="preserve">باطری  </t>
    </r>
    <r>
      <rPr>
        <sz val="10"/>
        <rFont val="Vazirmatn"/>
        <family val="0"/>
        <charset val="1"/>
      </rPr>
      <t xml:space="preserve">12V DC  7A</t>
    </r>
  </si>
  <si>
    <t xml:space="preserve">31299883</t>
  </si>
  <si>
    <r>
      <rPr>
        <sz val="10"/>
        <rFont val="FreeSans"/>
        <family val="2"/>
      </rPr>
      <t xml:space="preserve">باتری نیم قلم شارژی  </t>
    </r>
    <r>
      <rPr>
        <sz val="10"/>
        <rFont val="Vazirmatn"/>
        <family val="0"/>
        <charset val="1"/>
      </rPr>
      <t xml:space="preserve">HHR - SSAAAB  1/2V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AAA</t>
    </r>
  </si>
  <si>
    <t xml:space="preserve">31299885</t>
  </si>
  <si>
    <t xml:space="preserve">دستگاه سرند آبگیر پوسته</t>
  </si>
  <si>
    <t xml:space="preserve">31299889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</si>
  <si>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12V - 7/2AH     UPS</t>
    </r>
  </si>
  <si>
    <t xml:space="preserve">31299890</t>
  </si>
  <si>
    <r>
      <rPr>
        <sz val="10"/>
        <rFont val="FreeSans"/>
        <family val="2"/>
      </rPr>
      <t xml:space="preserve">هیتر کارتل روغن کمپرسور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اسب کوپلن</t>
    </r>
  </si>
  <si>
    <t xml:space="preserve">31299893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</si>
  <si>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12V - 20AH     UPS</t>
    </r>
  </si>
  <si>
    <t xml:space="preserve">31299896</t>
  </si>
  <si>
    <r>
      <rPr>
        <sz val="10"/>
        <rFont val="FreeSans"/>
        <family val="2"/>
      </rPr>
      <t xml:space="preserve">باطری قلمی </t>
    </r>
    <r>
      <rPr>
        <sz val="10"/>
        <rFont val="Vazirmatn"/>
        <family val="0"/>
        <charset val="1"/>
      </rPr>
      <t xml:space="preserve">1/5V Nickel-metal hydride batteries HR6</t>
    </r>
  </si>
  <si>
    <t xml:space="preserve">31299901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</si>
  <si>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12V 9AH  151*65*93  6 - FM - 9 SEALED-ACID</t>
    </r>
  </si>
  <si>
    <t xml:space="preserve">31299902</t>
  </si>
  <si>
    <r>
      <rPr>
        <sz val="10"/>
        <rFont val="FreeSans"/>
        <family val="2"/>
      </rPr>
      <t xml:space="preserve">کلاچ دکانتور  </t>
    </r>
    <r>
      <rPr>
        <sz val="10"/>
        <rFont val="Vazirmatn"/>
        <family val="0"/>
        <charset val="1"/>
      </rPr>
      <t xml:space="preserve">110 - 3388 - 8655</t>
    </r>
  </si>
  <si>
    <t xml:space="preserve">31299903</t>
  </si>
  <si>
    <r>
      <rPr>
        <sz val="10"/>
        <rFont val="FreeSans"/>
        <family val="2"/>
      </rPr>
      <t xml:space="preserve">کلاچ دکانتور  </t>
    </r>
    <r>
      <rPr>
        <sz val="10"/>
        <rFont val="Vazirmatn"/>
        <family val="0"/>
        <charset val="1"/>
      </rPr>
      <t xml:space="preserve">100 - 3388 - 8655</t>
    </r>
  </si>
  <si>
    <t xml:space="preserve">31299904</t>
  </si>
  <si>
    <r>
      <rPr>
        <sz val="10"/>
        <rFont val="FreeSans"/>
        <family val="2"/>
      </rPr>
      <t xml:space="preserve">نایلون پلاستیکی عرض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متر</t>
    </r>
  </si>
  <si>
    <t xml:space="preserve">31299905</t>
  </si>
  <si>
    <t xml:space="preserve">نایلون تبلیغاتی</t>
  </si>
  <si>
    <t xml:space="preserve">31299906</t>
  </si>
  <si>
    <r>
      <rPr>
        <sz val="10"/>
        <rFont val="FreeSans"/>
        <family val="2"/>
      </rPr>
      <t xml:space="preserve">نایلون حباب دار ضربه گیر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لایه عرض </t>
    </r>
    <r>
      <rPr>
        <sz val="10"/>
        <rFont val="Vazirmatn"/>
        <family val="0"/>
        <charset val="1"/>
      </rPr>
      <t xml:space="preserve">50cm</t>
    </r>
  </si>
  <si>
    <t xml:space="preserve">31299908</t>
  </si>
  <si>
    <r>
      <rPr>
        <sz val="10"/>
        <rFont val="FreeSans"/>
        <family val="2"/>
      </rPr>
      <t xml:space="preserve">پلاستیک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نایلون </t>
    </r>
    <r>
      <rPr>
        <sz val="10"/>
        <rFont val="Vazirmatn"/>
        <family val="0"/>
        <charset val="1"/>
      </rPr>
      <t xml:space="preserve">)</t>
    </r>
  </si>
  <si>
    <t xml:space="preserve">31299909</t>
  </si>
  <si>
    <r>
      <rPr>
        <sz val="10"/>
        <rFont val="FreeSans"/>
        <family val="2"/>
      </rPr>
      <t xml:space="preserve">نایلون کاور کفش مکانیکی مدل تی </t>
    </r>
    <r>
      <rPr>
        <sz val="10"/>
        <rFont val="Vazirmatn"/>
        <family val="0"/>
        <charset val="1"/>
      </rPr>
      <t xml:space="preserve">T</t>
    </r>
  </si>
  <si>
    <t xml:space="preserve">31299919</t>
  </si>
  <si>
    <t xml:space="preserve">لنت  سپراتور</t>
  </si>
  <si>
    <t xml:space="preserve">31299926</t>
  </si>
  <si>
    <r>
      <rPr>
        <sz val="10"/>
        <rFont val="FreeSans"/>
        <family val="2"/>
      </rPr>
      <t xml:space="preserve">جرثقیل دستی زنجیری  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تن</t>
    </r>
  </si>
  <si>
    <t xml:space="preserve">31299929</t>
  </si>
  <si>
    <r>
      <rPr>
        <sz val="10"/>
        <rFont val="FreeSans"/>
        <family val="2"/>
      </rPr>
      <t xml:space="preserve">پلاستیک دسته دار سفید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شفاف </t>
    </r>
    <r>
      <rPr>
        <sz val="10"/>
        <rFont val="Vazirmatn"/>
        <family val="0"/>
        <charset val="1"/>
      </rPr>
      <t xml:space="preserve">)</t>
    </r>
  </si>
  <si>
    <t xml:space="preserve">31299931</t>
  </si>
  <si>
    <r>
      <rPr>
        <sz val="10"/>
        <rFont val="FreeSans"/>
        <family val="2"/>
      </rPr>
      <t xml:space="preserve">ساپورت زیر پکینگ  </t>
    </r>
    <r>
      <rPr>
        <sz val="10"/>
        <rFont val="Vazirmatn"/>
        <family val="0"/>
        <charset val="1"/>
      </rPr>
      <t xml:space="preserve">MB 450</t>
    </r>
  </si>
  <si>
    <t xml:space="preserve">31299932</t>
  </si>
  <si>
    <r>
      <rPr>
        <sz val="10"/>
        <rFont val="FreeSans"/>
        <family val="2"/>
      </rPr>
      <t xml:space="preserve">بازویی فشار قوی </t>
    </r>
    <r>
      <rPr>
        <sz val="10"/>
        <rFont val="Vazirmatn"/>
        <family val="0"/>
        <charset val="1"/>
      </rPr>
      <t xml:space="preserve">9</t>
    </r>
  </si>
  <si>
    <t xml:space="preserve">31299936</t>
  </si>
  <si>
    <r>
      <rPr>
        <sz val="10"/>
        <rFont val="FreeSans"/>
        <family val="2"/>
      </rPr>
      <t xml:space="preserve">سوزن چرخ دوخت  </t>
    </r>
    <r>
      <rPr>
        <sz val="10"/>
        <rFont val="Vazirmatn"/>
        <family val="0"/>
        <charset val="1"/>
      </rPr>
      <t xml:space="preserve">DN*1 92*1 25/200</t>
    </r>
  </si>
  <si>
    <t xml:space="preserve">31299942</t>
  </si>
  <si>
    <r>
      <rPr>
        <sz val="10"/>
        <rFont val="FreeSans"/>
        <family val="2"/>
      </rPr>
      <t xml:space="preserve">کارتل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مخزن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روغن دکانتور  </t>
    </r>
    <r>
      <rPr>
        <sz val="10"/>
        <rFont val="Vazirmatn"/>
        <family val="0"/>
        <charset val="1"/>
      </rPr>
      <t xml:space="preserve">000 - 3311 - 8199</t>
    </r>
  </si>
  <si>
    <t xml:space="preserve">31299949</t>
  </si>
  <si>
    <r>
      <rPr>
        <sz val="10"/>
        <rFont val="FreeSans"/>
        <family val="2"/>
      </rPr>
      <t xml:space="preserve">کارتل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مخزن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روغن آسیاب ایمپکت</t>
    </r>
  </si>
  <si>
    <t xml:space="preserve">31299965</t>
  </si>
  <si>
    <r>
      <rPr>
        <sz val="10"/>
        <rFont val="FreeSans"/>
        <family val="2"/>
      </rPr>
      <t xml:space="preserve">یونیت هیتر بخار   </t>
    </r>
    <r>
      <rPr>
        <sz val="10"/>
        <rFont val="Vazirmatn"/>
        <family val="0"/>
        <charset val="1"/>
      </rPr>
      <t xml:space="preserve">85*85*35</t>
    </r>
  </si>
  <si>
    <t xml:space="preserve">31299974</t>
  </si>
  <si>
    <r>
      <rPr>
        <sz val="10"/>
        <rFont val="FreeSans"/>
        <family val="2"/>
      </rPr>
      <t xml:space="preserve">باطری    </t>
    </r>
    <r>
      <rPr>
        <sz val="10"/>
        <rFont val="Vazirmatn"/>
        <family val="0"/>
        <charset val="1"/>
      </rPr>
      <t xml:space="preserve">12V - 42AH     UPS</t>
    </r>
  </si>
  <si>
    <t xml:space="preserve">31299976</t>
  </si>
  <si>
    <r>
      <rPr>
        <sz val="10"/>
        <rFont val="FreeSans"/>
        <family val="2"/>
      </rPr>
      <t xml:space="preserve">باطری  </t>
    </r>
    <r>
      <rPr>
        <sz val="10"/>
        <rFont val="Vazirmatn"/>
        <family val="0"/>
        <charset val="1"/>
      </rPr>
      <t xml:space="preserve">12V - 200Ah</t>
    </r>
  </si>
  <si>
    <t xml:space="preserve">31299983</t>
  </si>
  <si>
    <r>
      <rPr>
        <sz val="10"/>
        <rFont val="FreeSans"/>
        <family val="2"/>
      </rPr>
      <t xml:space="preserve">باطری </t>
    </r>
    <r>
      <rPr>
        <sz val="10"/>
        <rFont val="Vazirmatn"/>
        <family val="0"/>
        <charset val="1"/>
      </rPr>
      <t xml:space="preserve">12V 9Ah  15*9/5*6/5  UPS</t>
    </r>
  </si>
  <si>
    <t xml:space="preserve">31299984</t>
  </si>
  <si>
    <t xml:space="preserve">کیس کامپیوتر</t>
  </si>
  <si>
    <t xml:space="preserve">31299985</t>
  </si>
  <si>
    <r>
      <rPr>
        <sz val="10"/>
        <rFont val="FreeSans"/>
        <family val="2"/>
      </rPr>
      <t xml:space="preserve">نوارنقاله عرض </t>
    </r>
    <r>
      <rPr>
        <sz val="10"/>
        <rFont val="Vazirmatn"/>
        <family val="0"/>
        <charset val="1"/>
      </rPr>
      <t xml:space="preserve">14</t>
    </r>
  </si>
  <si>
    <t xml:space="preserve">31299989</t>
  </si>
  <si>
    <t xml:space="preserve">دستگاه کامل روغن هیدرولیک</t>
  </si>
  <si>
    <t xml:space="preserve">31299996</t>
  </si>
  <si>
    <r>
      <rPr>
        <sz val="10"/>
        <rFont val="FreeSans"/>
        <family val="2"/>
      </rPr>
      <t xml:space="preserve">پد ماوس </t>
    </r>
    <r>
      <rPr>
        <sz val="10"/>
        <rFont val="Vazirmatn"/>
        <family val="0"/>
        <charset val="1"/>
      </rPr>
      <t xml:space="preserve">(  </t>
    </r>
    <r>
      <rPr>
        <sz val="10"/>
        <rFont val="FreeSans"/>
        <family val="2"/>
      </rPr>
      <t xml:space="preserve">زیر ماوس </t>
    </r>
    <r>
      <rPr>
        <sz val="10"/>
        <rFont val="Vazirmatn"/>
        <family val="0"/>
        <charset val="1"/>
      </rPr>
      <t xml:space="preserve">)</t>
    </r>
  </si>
  <si>
    <t xml:space="preserve">31299997</t>
  </si>
  <si>
    <t xml:space="preserve">کامپیوتر شامل کیس کامل</t>
  </si>
  <si>
    <t xml:space="preserve">31299999</t>
  </si>
  <si>
    <t xml:space="preserve">پرینتر</t>
  </si>
  <si>
    <t xml:space="preserve">33299620</t>
  </si>
  <si>
    <t xml:space="preserve">آسفالت</t>
  </si>
  <si>
    <t xml:space="preserve">33299622</t>
  </si>
  <si>
    <t xml:space="preserve">قیر شل و مخلوط</t>
  </si>
  <si>
    <t xml:space="preserve">333900190</t>
  </si>
  <si>
    <t xml:space="preserve">ملاقه سیمان کاری</t>
  </si>
  <si>
    <r>
      <rPr>
        <sz val="10"/>
        <rFont val="Vazirmatn"/>
        <family val="0"/>
        <charset val="1"/>
      </rPr>
      <t xml:space="preserve">3339 (</t>
    </r>
    <r>
      <rPr>
        <sz val="10"/>
        <rFont val="FreeSans"/>
        <family val="2"/>
      </rPr>
      <t xml:space="preserve">ملاقه</t>
    </r>
    <r>
      <rPr>
        <sz val="10"/>
        <rFont val="Vazirmatn"/>
        <family val="0"/>
        <charset val="1"/>
      </rPr>
      <t xml:space="preserve">)</t>
    </r>
  </si>
  <si>
    <t xml:space="preserve">33900002</t>
  </si>
  <si>
    <t xml:space="preserve">آجر سفالی</t>
  </si>
  <si>
    <t xml:space="preserve">قالب</t>
  </si>
  <si>
    <t xml:space="preserve">33900010</t>
  </si>
  <si>
    <r>
      <rPr>
        <sz val="10"/>
        <rFont val="FreeSans"/>
        <family val="2"/>
      </rPr>
      <t xml:space="preserve">گونی کنفی    عرض </t>
    </r>
    <r>
      <rPr>
        <sz val="10"/>
        <rFont val="Vazirmatn"/>
        <family val="0"/>
        <charset val="1"/>
      </rPr>
      <t xml:space="preserve">1m</t>
    </r>
  </si>
  <si>
    <t xml:space="preserve">33900015</t>
  </si>
  <si>
    <t xml:space="preserve">سنگ قرنیز</t>
  </si>
  <si>
    <t xml:space="preserve">33900022</t>
  </si>
  <si>
    <r>
      <rPr>
        <sz val="10"/>
        <rFont val="FreeSans"/>
        <family val="2"/>
      </rPr>
      <t xml:space="preserve">کاشی   </t>
    </r>
    <r>
      <rPr>
        <sz val="10"/>
        <rFont val="Vazirmatn"/>
        <family val="0"/>
        <charset val="1"/>
      </rPr>
      <t xml:space="preserve">100 * 33</t>
    </r>
  </si>
  <si>
    <t xml:space="preserve">33900023</t>
  </si>
  <si>
    <t xml:space="preserve">گچ  و خاک</t>
  </si>
  <si>
    <t xml:space="preserve">33900033</t>
  </si>
  <si>
    <t xml:space="preserve">کمچه لب تخت</t>
  </si>
  <si>
    <t xml:space="preserve">33900041</t>
  </si>
  <si>
    <r>
      <rPr>
        <sz val="10"/>
        <rFont val="FreeSans"/>
        <family val="2"/>
      </rPr>
      <t xml:space="preserve">بتون آماده عیار  </t>
    </r>
    <r>
      <rPr>
        <sz val="10"/>
        <rFont val="Vazirmatn"/>
        <family val="0"/>
        <charset val="1"/>
      </rPr>
      <t xml:space="preserve">300*450</t>
    </r>
  </si>
  <si>
    <t xml:space="preserve">33900043</t>
  </si>
  <si>
    <t xml:space="preserve">آجر نمای کامل لب تخت ده سوراخه</t>
  </si>
  <si>
    <t xml:space="preserve">33900065</t>
  </si>
  <si>
    <t xml:space="preserve">رابیتس</t>
  </si>
  <si>
    <t xml:space="preserve">33900068</t>
  </si>
  <si>
    <r>
      <rPr>
        <sz val="10"/>
        <rFont val="FreeSans"/>
        <family val="2"/>
      </rPr>
      <t xml:space="preserve">نردبان طنابی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خلبانی </t>
    </r>
    <r>
      <rPr>
        <sz val="10"/>
        <rFont val="Vazirmatn"/>
        <family val="0"/>
        <charset val="1"/>
      </rPr>
      <t xml:space="preserve">)</t>
    </r>
  </si>
  <si>
    <t xml:space="preserve">33900103</t>
  </si>
  <si>
    <t xml:space="preserve">پودر حریر</t>
  </si>
  <si>
    <t xml:space="preserve">33900111</t>
  </si>
  <si>
    <t xml:space="preserve">نردبان دو لنگه دو طرفه</t>
  </si>
  <si>
    <t xml:space="preserve">33900129</t>
  </si>
  <si>
    <r>
      <rPr>
        <sz val="10"/>
        <rFont val="FreeSans"/>
        <family val="2"/>
      </rPr>
      <t xml:space="preserve">بتون آماده عیار </t>
    </r>
    <r>
      <rPr>
        <sz val="10"/>
        <rFont val="Vazirmatn"/>
        <family val="0"/>
        <charset val="1"/>
      </rPr>
      <t xml:space="preserve">350</t>
    </r>
  </si>
  <si>
    <t xml:space="preserve">33900138</t>
  </si>
  <si>
    <t xml:space="preserve">پنل گچی</t>
  </si>
  <si>
    <t xml:space="preserve">33900143</t>
  </si>
  <si>
    <r>
      <rPr>
        <sz val="10"/>
        <rFont val="FreeSans"/>
        <family val="2"/>
      </rPr>
      <t xml:space="preserve">سنگ گرانیت گل پنبه ای </t>
    </r>
    <r>
      <rPr>
        <sz val="10"/>
        <rFont val="Vazirmatn"/>
        <family val="0"/>
        <charset val="1"/>
      </rPr>
      <t xml:space="preserve">40 * 40 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2cm</t>
    </r>
  </si>
  <si>
    <t xml:space="preserve">33900144</t>
  </si>
  <si>
    <r>
      <rPr>
        <sz val="10"/>
        <rFont val="FreeSans"/>
        <family val="2"/>
      </rPr>
      <t xml:space="preserve">سنگ گوهره عرض </t>
    </r>
    <r>
      <rPr>
        <sz val="10"/>
        <rFont val="Vazirmatn"/>
        <family val="0"/>
        <charset val="1"/>
      </rPr>
      <t xml:space="preserve">35cm</t>
    </r>
  </si>
  <si>
    <t xml:space="preserve">33900147</t>
  </si>
  <si>
    <r>
      <rPr>
        <sz val="10"/>
        <rFont val="FreeSans"/>
        <family val="2"/>
      </rPr>
      <t xml:space="preserve">کفپوش عایق برق </t>
    </r>
    <r>
      <rPr>
        <sz val="10"/>
        <rFont val="Vazirmatn"/>
        <family val="0"/>
        <charset val="1"/>
      </rPr>
      <t xml:space="preserve">20KV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4mm</t>
    </r>
  </si>
  <si>
    <t xml:space="preserve">33900148</t>
  </si>
  <si>
    <t xml:space="preserve">شن و ماسه مخلوط</t>
  </si>
  <si>
    <t xml:space="preserve">33900160</t>
  </si>
  <si>
    <r>
      <rPr>
        <sz val="10"/>
        <rFont val="FreeSans"/>
        <family val="2"/>
      </rPr>
      <t xml:space="preserve">سرامیک   </t>
    </r>
    <r>
      <rPr>
        <sz val="10"/>
        <rFont val="Vazirmatn"/>
        <family val="0"/>
        <charset val="1"/>
      </rPr>
      <t xml:space="preserve">120 * 40</t>
    </r>
  </si>
  <si>
    <t xml:space="preserve">33900162</t>
  </si>
  <si>
    <r>
      <rPr>
        <sz val="10"/>
        <rFont val="FreeSans"/>
        <family val="2"/>
      </rPr>
      <t xml:space="preserve">کف کاذب فولادی طوسی رنگ با متعلقات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پایه فولادی</t>
    </r>
    <r>
      <rPr>
        <sz val="10"/>
        <rFont val="Vazirmatn"/>
        <family val="0"/>
        <charset val="1"/>
      </rPr>
      <t xml:space="preserve">+</t>
    </r>
    <r>
      <rPr>
        <sz val="10"/>
        <rFont val="FreeSans"/>
        <family val="2"/>
      </rPr>
      <t xml:space="preserve">استرینگر فولادی</t>
    </r>
    <r>
      <rPr>
        <sz val="10"/>
        <rFont val="Vazirmatn"/>
        <family val="0"/>
        <charset val="1"/>
      </rPr>
      <t xml:space="preserve">+</t>
    </r>
    <r>
      <rPr>
        <sz val="10"/>
        <rFont val="FreeSans"/>
        <family val="2"/>
      </rPr>
      <t xml:space="preserve">پیچ اتصال</t>
    </r>
    <r>
      <rPr>
        <sz val="10"/>
        <rFont val="Vazirmatn"/>
        <family val="0"/>
        <charset val="1"/>
      </rPr>
      <t xml:space="preserve">)</t>
    </r>
  </si>
  <si>
    <t xml:space="preserve">33900163</t>
  </si>
  <si>
    <r>
      <rPr>
        <sz val="10"/>
        <rFont val="FreeSans"/>
        <family val="2"/>
      </rPr>
      <t xml:space="preserve">الیاف سوزنی  </t>
    </r>
    <r>
      <rPr>
        <sz val="10"/>
        <rFont val="Vazirmatn"/>
        <family val="0"/>
        <charset val="1"/>
      </rPr>
      <t xml:space="preserve">20 * 120</t>
    </r>
  </si>
  <si>
    <t xml:space="preserve">33900164</t>
  </si>
  <si>
    <r>
      <rPr>
        <sz val="10"/>
        <rFont val="FreeSans"/>
        <family val="2"/>
      </rPr>
      <t xml:space="preserve">ایرانیت سیمانی  </t>
    </r>
    <r>
      <rPr>
        <sz val="10"/>
        <rFont val="Vazirmatn"/>
        <family val="0"/>
        <charset val="1"/>
      </rPr>
      <t xml:space="preserve">2m*1/10m</t>
    </r>
  </si>
  <si>
    <t xml:space="preserve">33900167</t>
  </si>
  <si>
    <r>
      <rPr>
        <sz val="10"/>
        <rFont val="FreeSans"/>
        <family val="2"/>
      </rPr>
      <t xml:space="preserve">بتون مگر آماده عیار  </t>
    </r>
    <r>
      <rPr>
        <sz val="10"/>
        <rFont val="Vazirmatn"/>
        <family val="0"/>
        <charset val="1"/>
      </rPr>
      <t xml:space="preserve">150</t>
    </r>
  </si>
  <si>
    <t xml:space="preserve">33900168</t>
  </si>
  <si>
    <r>
      <rPr>
        <sz val="10"/>
        <rFont val="FreeSans"/>
        <family val="2"/>
      </rPr>
      <t xml:space="preserve">بلوک زیر و روی دیگ  </t>
    </r>
    <r>
      <rPr>
        <sz val="10"/>
        <rFont val="Vazirmatn"/>
        <family val="0"/>
        <charset val="1"/>
      </rPr>
      <t xml:space="preserve">10ton  </t>
    </r>
    <r>
      <rPr>
        <sz val="10"/>
        <rFont val="FreeSans"/>
        <family val="2"/>
      </rPr>
      <t xml:space="preserve">سری </t>
    </r>
    <r>
      <rPr>
        <sz val="10"/>
        <rFont val="Vazirmatn"/>
        <family val="0"/>
        <charset val="1"/>
      </rPr>
      <t xml:space="preserve">C</t>
    </r>
  </si>
  <si>
    <t xml:space="preserve">33900169</t>
  </si>
  <si>
    <r>
      <rPr>
        <sz val="10"/>
        <rFont val="FreeSans"/>
        <family val="2"/>
      </rPr>
      <t xml:space="preserve">فوق روان کننده بتون زود سخت کننده </t>
    </r>
    <r>
      <rPr>
        <sz val="10"/>
        <rFont val="Vazirmatn"/>
        <family val="0"/>
        <charset val="1"/>
      </rPr>
      <t xml:space="preserve">Super Plasticizer  HE 200</t>
    </r>
  </si>
  <si>
    <t xml:space="preserve">33900170</t>
  </si>
  <si>
    <r>
      <rPr>
        <sz val="10"/>
        <rFont val="FreeSans"/>
        <family val="2"/>
      </rPr>
      <t xml:space="preserve">پنل دیوارکوب  </t>
    </r>
    <r>
      <rPr>
        <sz val="10"/>
        <rFont val="Vazirmatn"/>
        <family val="0"/>
        <charset val="1"/>
      </rPr>
      <t xml:space="preserve">PVC  6m*0/2m</t>
    </r>
  </si>
  <si>
    <t xml:space="preserve">33900172</t>
  </si>
  <si>
    <r>
      <rPr>
        <sz val="10"/>
        <rFont val="FreeSans"/>
        <family val="2"/>
      </rPr>
      <t xml:space="preserve">بتون آماده عیار </t>
    </r>
    <r>
      <rPr>
        <sz val="10"/>
        <rFont val="Vazirmatn"/>
        <family val="0"/>
        <charset val="1"/>
      </rPr>
      <t xml:space="preserve">300</t>
    </r>
  </si>
  <si>
    <t xml:space="preserve">33900174</t>
  </si>
  <si>
    <t xml:space="preserve">مواد آبندی پلیمری مخصوص</t>
  </si>
  <si>
    <t xml:space="preserve">33900175</t>
  </si>
  <si>
    <t xml:space="preserve">پودر ساختمانی چند منظوره مخصوص</t>
  </si>
  <si>
    <t xml:space="preserve">33900176</t>
  </si>
  <si>
    <t xml:space="preserve">مش الیاف پلیمری</t>
  </si>
  <si>
    <t xml:space="preserve">33900178</t>
  </si>
  <si>
    <t xml:space="preserve">ماسه ملاتی</t>
  </si>
  <si>
    <t xml:space="preserve">33900179</t>
  </si>
  <si>
    <t xml:space="preserve">گروت اپوکسی</t>
  </si>
  <si>
    <t xml:space="preserve">33900181</t>
  </si>
  <si>
    <t xml:space="preserve">ماسه سبز</t>
  </si>
  <si>
    <t xml:space="preserve">33900182</t>
  </si>
  <si>
    <r>
      <rPr>
        <sz val="10"/>
        <rFont val="FreeSans"/>
        <family val="2"/>
      </rPr>
      <t xml:space="preserve">ایرانیت فایبر گلاس  </t>
    </r>
    <r>
      <rPr>
        <sz val="10"/>
        <rFont val="Vazirmatn"/>
        <family val="0"/>
        <charset val="1"/>
      </rPr>
      <t xml:space="preserve">600cm*150cm*3mm</t>
    </r>
  </si>
  <si>
    <t xml:space="preserve">33900183</t>
  </si>
  <si>
    <r>
      <rPr>
        <sz val="10"/>
        <rFont val="FreeSans"/>
        <family val="2"/>
      </rPr>
      <t xml:space="preserve">ایرانیت فلزی  </t>
    </r>
    <r>
      <rPr>
        <sz val="10"/>
        <rFont val="Vazirmatn"/>
        <family val="0"/>
        <charset val="1"/>
      </rPr>
      <t xml:space="preserve">120cm*400cm</t>
    </r>
  </si>
  <si>
    <t xml:space="preserve">33900185</t>
  </si>
  <si>
    <r>
      <rPr>
        <sz val="10"/>
        <rFont val="FreeSans"/>
        <family val="2"/>
      </rPr>
      <t xml:space="preserve">بتون آماده عیار </t>
    </r>
    <r>
      <rPr>
        <sz val="10"/>
        <rFont val="Vazirmatn"/>
        <family val="0"/>
        <charset val="1"/>
      </rPr>
      <t xml:space="preserve">400</t>
    </r>
  </si>
  <si>
    <t xml:space="preserve">33900186</t>
  </si>
  <si>
    <r>
      <rPr>
        <sz val="10"/>
        <rFont val="FreeSans"/>
        <family val="2"/>
      </rPr>
      <t xml:space="preserve">ایرانیت سیمانی     </t>
    </r>
    <r>
      <rPr>
        <sz val="10"/>
        <rFont val="Vazirmatn"/>
        <family val="0"/>
        <charset val="1"/>
      </rPr>
      <t xml:space="preserve">2/20*1/10</t>
    </r>
  </si>
  <si>
    <t xml:space="preserve">33900187</t>
  </si>
  <si>
    <t xml:space="preserve">خاک بنتونیت</t>
  </si>
  <si>
    <t xml:space="preserve">33900188</t>
  </si>
  <si>
    <r>
      <rPr>
        <sz val="10"/>
        <rFont val="FreeSans"/>
        <family val="2"/>
      </rPr>
      <t xml:space="preserve">سنگ پله سفید یک طرف ابزار خورده  </t>
    </r>
    <r>
      <rPr>
        <sz val="10"/>
        <rFont val="Vazirmatn"/>
        <family val="0"/>
        <charset val="1"/>
      </rPr>
      <t xml:space="preserve">125Cm*35Cm*4Cm</t>
    </r>
  </si>
  <si>
    <t xml:space="preserve">33900189</t>
  </si>
  <si>
    <r>
      <rPr>
        <sz val="10"/>
        <rFont val="FreeSans"/>
        <family val="2"/>
      </rPr>
      <t xml:space="preserve">سنگ گرانیت عرض </t>
    </r>
    <r>
      <rPr>
        <sz val="10"/>
        <rFont val="Vazirmatn"/>
        <family val="0"/>
        <charset val="1"/>
      </rPr>
      <t xml:space="preserve">50Cm</t>
    </r>
  </si>
  <si>
    <t xml:space="preserve">33900192</t>
  </si>
  <si>
    <r>
      <rPr>
        <sz val="10"/>
        <rFont val="FreeSans"/>
        <family val="2"/>
      </rPr>
      <t xml:space="preserve">دیوار یو پی وی سی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شیشه دوجداره و پنل و یراق آلات </t>
    </r>
    <r>
      <rPr>
        <sz val="10"/>
        <rFont val="Vazirmatn"/>
        <family val="0"/>
        <charset val="1"/>
      </rPr>
      <t xml:space="preserve">)</t>
    </r>
  </si>
  <si>
    <t xml:space="preserve">33900193</t>
  </si>
  <si>
    <r>
      <rPr>
        <sz val="10"/>
        <rFont val="FreeSans"/>
        <family val="2"/>
      </rPr>
      <t xml:space="preserve">دیوار  یو پی وی سی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شیشه دوجداره و پنل و یراق آلات </t>
    </r>
    <r>
      <rPr>
        <sz val="10"/>
        <rFont val="Vazirmatn"/>
        <family val="0"/>
        <charset val="1"/>
      </rPr>
      <t xml:space="preserve">)</t>
    </r>
  </si>
  <si>
    <t xml:space="preserve">33900194</t>
  </si>
  <si>
    <r>
      <rPr>
        <sz val="10"/>
        <rFont val="FreeSans"/>
        <family val="2"/>
      </rPr>
      <t xml:space="preserve">دیوار یو پی وی سی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شیشه دوجداره و پنل و در و یراق آلات </t>
    </r>
    <r>
      <rPr>
        <sz val="10"/>
        <rFont val="Vazirmatn"/>
        <family val="0"/>
        <charset val="1"/>
      </rPr>
      <t xml:space="preserve">)</t>
    </r>
  </si>
  <si>
    <t xml:space="preserve">33900196</t>
  </si>
  <si>
    <r>
      <rPr>
        <sz val="10"/>
        <rFont val="FreeSans"/>
        <family val="2"/>
      </rPr>
      <t xml:space="preserve">سنگ پلاک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طرف ابزار خورده ضخامت </t>
    </r>
    <r>
      <rPr>
        <sz val="10"/>
        <rFont val="Vazirmatn"/>
        <family val="0"/>
        <charset val="1"/>
      </rPr>
      <t xml:space="preserve">3Cm -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30Cm</t>
    </r>
  </si>
  <si>
    <t xml:space="preserve">33900198</t>
  </si>
  <si>
    <r>
      <rPr>
        <sz val="10"/>
        <rFont val="FreeSans"/>
        <family val="2"/>
      </rPr>
      <t xml:space="preserve">ایرانیت پلاستیکی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فایبرگلاس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300Cm</t>
    </r>
  </si>
  <si>
    <t xml:space="preserve">33900199</t>
  </si>
  <si>
    <r>
      <rPr>
        <sz val="10"/>
        <rFont val="FreeSans"/>
        <family val="2"/>
      </rPr>
      <t xml:space="preserve">بلوک سبک دیواری سیلکس </t>
    </r>
    <r>
      <rPr>
        <sz val="10"/>
        <rFont val="Vazirmatn"/>
        <family val="0"/>
        <charset val="1"/>
      </rPr>
      <t xml:space="preserve">10Cm</t>
    </r>
  </si>
  <si>
    <t xml:space="preserve">33900201</t>
  </si>
  <si>
    <r>
      <rPr>
        <sz val="10"/>
        <rFont val="FreeSans"/>
        <family val="2"/>
      </rPr>
      <t xml:space="preserve">سرامیک سفید پرسلان  </t>
    </r>
    <r>
      <rPr>
        <sz val="10"/>
        <rFont val="Vazirmatn"/>
        <family val="0"/>
        <charset val="1"/>
      </rPr>
      <t xml:space="preserve">80Cm*80Cm</t>
    </r>
  </si>
  <si>
    <t xml:space="preserve">33900204</t>
  </si>
  <si>
    <r>
      <rPr>
        <sz val="10"/>
        <rFont val="FreeSans"/>
        <family val="2"/>
      </rPr>
      <t xml:space="preserve">سرامیک کف  </t>
    </r>
    <r>
      <rPr>
        <sz val="10"/>
        <rFont val="Vazirmatn"/>
        <family val="0"/>
        <charset val="1"/>
      </rPr>
      <t xml:space="preserve">30Cm*30Cm</t>
    </r>
  </si>
  <si>
    <t xml:space="preserve">33900205</t>
  </si>
  <si>
    <r>
      <rPr>
        <sz val="10"/>
        <rFont val="FreeSans"/>
        <family val="2"/>
      </rPr>
      <t xml:space="preserve">قرنیز پارکت </t>
    </r>
    <r>
      <rPr>
        <sz val="10"/>
        <rFont val="Vazirmatn"/>
        <family val="0"/>
        <charset val="1"/>
      </rPr>
      <t xml:space="preserve">7Cm</t>
    </r>
  </si>
  <si>
    <t xml:space="preserve">33900207</t>
  </si>
  <si>
    <r>
      <rPr>
        <sz val="10"/>
        <rFont val="FreeSans"/>
        <family val="2"/>
      </rPr>
      <t xml:space="preserve">سنگ ابری عرض </t>
    </r>
    <r>
      <rPr>
        <sz val="10"/>
        <rFont val="Vazirmatn"/>
        <family val="0"/>
        <charset val="1"/>
      </rPr>
      <t xml:space="preserve">40Cm</t>
    </r>
  </si>
  <si>
    <t xml:space="preserve">33900208</t>
  </si>
  <si>
    <r>
      <rPr>
        <sz val="10"/>
        <rFont val="FreeSans"/>
        <family val="2"/>
      </rPr>
      <t xml:space="preserve">سنگ پله کرم رنگ یک طرف ابزار خورده  </t>
    </r>
    <r>
      <rPr>
        <sz val="10"/>
        <rFont val="Vazirmatn"/>
        <family val="0"/>
        <charset val="1"/>
      </rPr>
      <t xml:space="preserve">105Cm*35Cm</t>
    </r>
  </si>
  <si>
    <t xml:space="preserve">33900209</t>
  </si>
  <si>
    <r>
      <rPr>
        <sz val="10"/>
        <rFont val="FreeSans"/>
        <family val="2"/>
      </rPr>
      <t xml:space="preserve">سنگ پله کرم رنگ یک طرف ابزار خورده  </t>
    </r>
    <r>
      <rPr>
        <sz val="10"/>
        <rFont val="Vazirmatn"/>
        <family val="0"/>
        <charset val="1"/>
      </rPr>
      <t xml:space="preserve">100Cm*35Cm</t>
    </r>
  </si>
  <si>
    <t xml:space="preserve">33900210</t>
  </si>
  <si>
    <r>
      <rPr>
        <sz val="10"/>
        <rFont val="FreeSans"/>
        <family val="2"/>
      </rPr>
      <t xml:space="preserve">سنگ زیر پله کرم رنگ  </t>
    </r>
    <r>
      <rPr>
        <sz val="10"/>
        <rFont val="Vazirmatn"/>
        <family val="0"/>
        <charset val="1"/>
      </rPr>
      <t xml:space="preserve">105Cm*15Cm</t>
    </r>
  </si>
  <si>
    <t xml:space="preserve">33900211</t>
  </si>
  <si>
    <r>
      <rPr>
        <sz val="10"/>
        <rFont val="FreeSans"/>
        <family val="2"/>
      </rPr>
      <t xml:space="preserve">سنگ زیر پله کرم رنگ  </t>
    </r>
    <r>
      <rPr>
        <sz val="10"/>
        <rFont val="Vazirmatn"/>
        <family val="0"/>
        <charset val="1"/>
      </rPr>
      <t xml:space="preserve">100Cm*15Cm</t>
    </r>
  </si>
  <si>
    <t xml:space="preserve">33900214</t>
  </si>
  <si>
    <r>
      <rPr>
        <sz val="10"/>
        <rFont val="FreeSans"/>
        <family val="2"/>
      </rPr>
      <t xml:space="preserve">سنگ ابری </t>
    </r>
    <r>
      <rPr>
        <sz val="10"/>
        <rFont val="Vazirmatn"/>
        <family val="0"/>
        <charset val="1"/>
      </rPr>
      <t xml:space="preserve">( 3m*35Cm )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3Cm</t>
    </r>
  </si>
  <si>
    <t xml:space="preserve">35101963</t>
  </si>
  <si>
    <t xml:space="preserve">برد ورودی و خروجی</t>
  </si>
  <si>
    <t xml:space="preserve">35101964</t>
  </si>
  <si>
    <t xml:space="preserve">برد تغذیه</t>
  </si>
  <si>
    <t xml:space="preserve">35101965</t>
  </si>
  <si>
    <t xml:space="preserve">تقویت کننده آمپلی فایر برد</t>
  </si>
  <si>
    <t xml:space="preserve">35101975</t>
  </si>
  <si>
    <r>
      <rPr>
        <sz val="10"/>
        <rFont val="FreeSans"/>
        <family val="2"/>
      </rPr>
      <t xml:space="preserve">اتصالات دستگاه بسته بندی نشاسته وارلیک </t>
    </r>
    <r>
      <rPr>
        <sz val="10"/>
        <rFont val="Vazirmatn"/>
        <family val="0"/>
        <charset val="1"/>
      </rPr>
      <t xml:space="preserve">10   1/4</t>
    </r>
  </si>
  <si>
    <t xml:space="preserve">35101981</t>
  </si>
  <si>
    <t xml:space="preserve">سیلندر پیستون دستگاه بسته بندی نشاسته وارلیک</t>
  </si>
  <si>
    <t xml:space="preserve">35101989</t>
  </si>
  <si>
    <t xml:space="preserve">اتصالات سیلندر پیستون دستگاه بسته بندی نشاسته وارلیک</t>
  </si>
  <si>
    <t xml:space="preserve">35101990</t>
  </si>
  <si>
    <t xml:space="preserve">باند پنوماتیک دستگاه بسته بندی نشاسته وارلیک</t>
  </si>
  <si>
    <t xml:space="preserve">35101991</t>
  </si>
  <si>
    <r>
      <rPr>
        <sz val="10"/>
        <rFont val="FreeSans"/>
        <family val="2"/>
      </rPr>
      <t xml:space="preserve">شلنگ دستگاه بسته بندی نشاسته وارلیک </t>
    </r>
    <r>
      <rPr>
        <sz val="10"/>
        <rFont val="Vazirmatn"/>
        <family val="0"/>
        <charset val="1"/>
      </rPr>
      <t xml:space="preserve">" 2</t>
    </r>
  </si>
  <si>
    <t xml:space="preserve">35101994</t>
  </si>
  <si>
    <t xml:space="preserve">مانومتر دستگاه بسته بندی نشاسته وارلیک</t>
  </si>
  <si>
    <t xml:space="preserve">35102001</t>
  </si>
  <si>
    <r>
      <rPr>
        <sz val="10"/>
        <rFont val="FreeSans"/>
        <family val="2"/>
      </rPr>
      <t xml:space="preserve">رم کامپیوتر </t>
    </r>
    <r>
      <rPr>
        <sz val="10"/>
        <rFont val="Vazirmatn"/>
        <family val="0"/>
        <charset val="1"/>
      </rPr>
      <t xml:space="preserve">4G - DDR2</t>
    </r>
  </si>
  <si>
    <t xml:space="preserve">35102003</t>
  </si>
  <si>
    <r>
      <rPr>
        <sz val="10"/>
        <rFont val="FreeSans"/>
        <family val="2"/>
      </rPr>
      <t xml:space="preserve">رم </t>
    </r>
    <r>
      <rPr>
        <sz val="10"/>
        <rFont val="Vazirmatn"/>
        <family val="0"/>
        <charset val="1"/>
      </rPr>
      <t xml:space="preserve">SD Card mini  4GB</t>
    </r>
  </si>
  <si>
    <t xml:space="preserve">35102006</t>
  </si>
  <si>
    <r>
      <rPr>
        <sz val="10"/>
        <rFont val="FreeSans"/>
        <family val="2"/>
      </rPr>
      <t xml:space="preserve">رم کامپیوتر     </t>
    </r>
    <r>
      <rPr>
        <sz val="10"/>
        <rFont val="Vazirmatn"/>
        <family val="0"/>
        <charset val="1"/>
      </rPr>
      <t xml:space="preserve">King ston   DDR3 1600Mhz         GiGABYTE 4</t>
    </r>
  </si>
  <si>
    <t xml:space="preserve">35102007</t>
  </si>
  <si>
    <r>
      <rPr>
        <sz val="10"/>
        <rFont val="FreeSans"/>
        <family val="2"/>
      </rPr>
      <t xml:space="preserve">رم کامپیوتر     </t>
    </r>
    <r>
      <rPr>
        <sz val="10"/>
        <rFont val="Vazirmatn"/>
        <family val="0"/>
        <charset val="1"/>
      </rPr>
      <t xml:space="preserve">King ston   DDR2 800Mhz         GiGABYTE 2</t>
    </r>
  </si>
  <si>
    <t xml:space="preserve">35110004</t>
  </si>
  <si>
    <t xml:space="preserve">دسته چکش مختلف</t>
  </si>
  <si>
    <t xml:space="preserve">35110013</t>
  </si>
  <si>
    <t xml:space="preserve">نمایشگر الکترونیک</t>
  </si>
  <si>
    <t xml:space="preserve">35110014</t>
  </si>
  <si>
    <t xml:space="preserve">کارت حافظه</t>
  </si>
  <si>
    <t xml:space="preserve">35110019</t>
  </si>
  <si>
    <t xml:space="preserve">35110023</t>
  </si>
  <si>
    <t xml:space="preserve">تریبون سخنرانی</t>
  </si>
  <si>
    <t xml:space="preserve">35110025</t>
  </si>
  <si>
    <r>
      <rPr>
        <sz val="10"/>
        <rFont val="FreeSans"/>
        <family val="2"/>
      </rPr>
      <t xml:space="preserve">کارت حافظه </t>
    </r>
    <r>
      <rPr>
        <sz val="10"/>
        <rFont val="Vazirmatn"/>
        <family val="0"/>
        <charset val="1"/>
      </rPr>
      <t xml:space="preserve">MMC</t>
    </r>
  </si>
  <si>
    <t xml:space="preserve">35110027</t>
  </si>
  <si>
    <r>
      <rPr>
        <sz val="10"/>
        <rFont val="FreeSans"/>
        <family val="2"/>
      </rPr>
      <t xml:space="preserve">کارت شبکه درایو   </t>
    </r>
    <r>
      <rPr>
        <sz val="10"/>
        <rFont val="Vazirmatn"/>
        <family val="0"/>
        <charset val="1"/>
      </rPr>
      <t xml:space="preserve">PB  MM4x</t>
    </r>
  </si>
  <si>
    <t xml:space="preserve">35110029</t>
  </si>
  <si>
    <r>
      <rPr>
        <sz val="10"/>
        <rFont val="FreeSans"/>
        <family val="2"/>
      </rPr>
      <t xml:space="preserve">آژیر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مولتی سوند</t>
    </r>
    <r>
      <rPr>
        <sz val="10"/>
        <rFont val="Vazirmatn"/>
        <family val="0"/>
        <charset val="1"/>
      </rPr>
      <t xml:space="preserve">)</t>
    </r>
  </si>
  <si>
    <t xml:space="preserve">35110036</t>
  </si>
  <si>
    <r>
      <rPr>
        <sz val="10"/>
        <rFont val="FreeSans"/>
        <family val="2"/>
      </rPr>
      <t xml:space="preserve">ولوم  کنترل  </t>
    </r>
    <r>
      <rPr>
        <sz val="10"/>
        <rFont val="Vazirmatn"/>
        <family val="0"/>
        <charset val="1"/>
      </rPr>
      <t xml:space="preserve">30 </t>
    </r>
    <r>
      <rPr>
        <sz val="10"/>
        <rFont val="FreeSans"/>
        <family val="2"/>
      </rPr>
      <t xml:space="preserve">وات  روکار</t>
    </r>
  </si>
  <si>
    <t xml:space="preserve">35110037</t>
  </si>
  <si>
    <t xml:space="preserve">بلندگوی  سقفی  گرد توری دار باقاب</t>
  </si>
  <si>
    <t xml:space="preserve">35110039</t>
  </si>
  <si>
    <r>
      <rPr>
        <sz val="10"/>
        <rFont val="FreeSans"/>
        <family val="2"/>
      </rPr>
      <t xml:space="preserve">دتکتور  حرارتی  ثابت </t>
    </r>
    <r>
      <rPr>
        <sz val="10"/>
        <rFont val="Vazirmatn"/>
        <family val="0"/>
        <charset val="1"/>
      </rPr>
      <t xml:space="preserve">57 </t>
    </r>
    <r>
      <rPr>
        <sz val="10"/>
        <rFont val="FreeSans"/>
        <family val="2"/>
      </rPr>
      <t xml:space="preserve">درجه</t>
    </r>
  </si>
  <si>
    <t xml:space="preserve">35110053</t>
  </si>
  <si>
    <t xml:space="preserve">کارت ورودی دیجیتال</t>
  </si>
  <si>
    <t xml:space="preserve">35110054</t>
  </si>
  <si>
    <t xml:space="preserve">کارت خروجی دیجیتال</t>
  </si>
  <si>
    <t xml:space="preserve">35110063</t>
  </si>
  <si>
    <t xml:space="preserve">کارت پروفیباس</t>
  </si>
  <si>
    <t xml:space="preserve">35110064</t>
  </si>
  <si>
    <t xml:space="preserve">کارت ارتباطی</t>
  </si>
  <si>
    <t xml:space="preserve">35110068</t>
  </si>
  <si>
    <t xml:space="preserve">صاعقه گیر</t>
  </si>
  <si>
    <t xml:space="preserve">35110080</t>
  </si>
  <si>
    <r>
      <rPr>
        <sz val="10"/>
        <rFont val="FreeSans"/>
        <family val="2"/>
      </rPr>
      <t xml:space="preserve">رله  باریک </t>
    </r>
    <r>
      <rPr>
        <sz val="10"/>
        <rFont val="Vazirmatn"/>
        <family val="0"/>
        <charset val="1"/>
      </rPr>
      <t xml:space="preserve">230  </t>
    </r>
    <r>
      <rPr>
        <sz val="10"/>
        <rFont val="FreeSans"/>
        <family val="2"/>
      </rPr>
      <t xml:space="preserve">ولتی با پایه</t>
    </r>
  </si>
  <si>
    <t xml:space="preserve">35110082</t>
  </si>
  <si>
    <r>
      <rPr>
        <sz val="10"/>
        <rFont val="FreeSans"/>
        <family val="2"/>
      </rPr>
      <t xml:space="preserve">رله  باریک </t>
    </r>
    <r>
      <rPr>
        <sz val="10"/>
        <rFont val="Vazirmatn"/>
        <family val="0"/>
        <charset val="1"/>
      </rPr>
      <t xml:space="preserve">24  </t>
    </r>
    <r>
      <rPr>
        <sz val="10"/>
        <rFont val="FreeSans"/>
        <family val="2"/>
      </rPr>
      <t xml:space="preserve">ولتی با پایه </t>
    </r>
    <r>
      <rPr>
        <sz val="10"/>
        <rFont val="Vazirmatn"/>
        <family val="0"/>
        <charset val="1"/>
      </rPr>
      <t xml:space="preserve">P+C</t>
    </r>
  </si>
  <si>
    <t xml:space="preserve">35110083</t>
  </si>
  <si>
    <t xml:space="preserve">جامپر  رله</t>
  </si>
  <si>
    <t xml:space="preserve">35110106</t>
  </si>
  <si>
    <t xml:space="preserve">جامپر فیوز مینیاتوری</t>
  </si>
  <si>
    <t xml:space="preserve">35110111</t>
  </si>
  <si>
    <r>
      <rPr>
        <sz val="10"/>
        <rFont val="FreeSans"/>
        <family val="2"/>
      </rPr>
      <t xml:space="preserve">کاپ مشعل دیگ بخار  </t>
    </r>
    <r>
      <rPr>
        <sz val="10"/>
        <rFont val="Vazirmatn"/>
        <family val="0"/>
        <charset val="1"/>
      </rPr>
      <t xml:space="preserve">AW D22</t>
    </r>
  </si>
  <si>
    <t xml:space="preserve">35110115</t>
  </si>
  <si>
    <t xml:space="preserve">سوکت</t>
  </si>
  <si>
    <t xml:space="preserve">35110120</t>
  </si>
  <si>
    <r>
      <rPr>
        <sz val="10"/>
        <rFont val="FreeSans"/>
        <family val="2"/>
      </rPr>
      <t xml:space="preserve">برد میمیک دستگاه پرکن </t>
    </r>
    <r>
      <rPr>
        <sz val="10"/>
        <rFont val="Vazirmatn"/>
        <family val="0"/>
        <charset val="1"/>
      </rPr>
      <t xml:space="preserve">M 250</t>
    </r>
  </si>
  <si>
    <t xml:space="preserve">35110140</t>
  </si>
  <si>
    <r>
      <rPr>
        <sz val="10"/>
        <rFont val="FreeSans"/>
        <family val="2"/>
      </rPr>
      <t xml:space="preserve">کارت مایفر خام 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ورود خروج پرسنل</t>
    </r>
    <r>
      <rPr>
        <sz val="10"/>
        <rFont val="Vazirmatn"/>
        <family val="0"/>
        <charset val="1"/>
      </rPr>
      <t xml:space="preserve">)</t>
    </r>
  </si>
  <si>
    <t xml:space="preserve">35110168</t>
  </si>
  <si>
    <t xml:space="preserve">تابلو ایست</t>
  </si>
  <si>
    <t xml:space="preserve">35110204</t>
  </si>
  <si>
    <t xml:space="preserve">صفحه کیبورد تلفن</t>
  </si>
  <si>
    <t xml:space="preserve">35110210</t>
  </si>
  <si>
    <r>
      <rPr>
        <sz val="10"/>
        <rFont val="FreeSans"/>
        <family val="2"/>
      </rPr>
      <t xml:space="preserve">دوربین حرارتی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ترمو ویژن</t>
    </r>
    <r>
      <rPr>
        <sz val="10"/>
        <rFont val="Vazirmatn"/>
        <family val="0"/>
        <charset val="1"/>
      </rPr>
      <t xml:space="preserve">)  TG 165 - X</t>
    </r>
  </si>
  <si>
    <t xml:space="preserve">35110211</t>
  </si>
  <si>
    <r>
      <rPr>
        <sz val="10"/>
        <rFont val="FreeSans"/>
        <family val="2"/>
      </rPr>
      <t xml:space="preserve">کابل رابط کارت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متری</t>
    </r>
  </si>
  <si>
    <t xml:space="preserve">35110212</t>
  </si>
  <si>
    <r>
      <rPr>
        <sz val="10"/>
        <rFont val="FreeSans"/>
        <family val="2"/>
      </rPr>
      <t xml:space="preserve">دوربین دو چشمی آسیکا  </t>
    </r>
    <r>
      <rPr>
        <sz val="10"/>
        <rFont val="Vazirmatn"/>
        <family val="0"/>
        <charset val="1"/>
      </rPr>
      <t xml:space="preserve">42 * 10</t>
    </r>
  </si>
  <si>
    <t xml:space="preserve">35110214</t>
  </si>
  <si>
    <r>
      <rPr>
        <sz val="10"/>
        <rFont val="FreeSans"/>
        <family val="2"/>
      </rPr>
      <t xml:space="preserve">منبع تغذیه دیجیتالی آزمایشگاهی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کاناله </t>
    </r>
    <r>
      <rPr>
        <sz val="10"/>
        <rFont val="Vazirmatn"/>
        <family val="0"/>
        <charset val="1"/>
      </rPr>
      <t xml:space="preserve">30-0 </t>
    </r>
    <r>
      <rPr>
        <sz val="10"/>
        <rFont val="FreeSans"/>
        <family val="2"/>
      </rPr>
      <t xml:space="preserve">ولت </t>
    </r>
    <r>
      <rPr>
        <sz val="10"/>
        <rFont val="Vazirmatn"/>
        <family val="0"/>
        <charset val="1"/>
      </rPr>
      <t xml:space="preserve">5A</t>
    </r>
  </si>
  <si>
    <t xml:space="preserve">35110215</t>
  </si>
  <si>
    <r>
      <rPr>
        <sz val="10"/>
        <rFont val="FreeSans"/>
        <family val="2"/>
      </rPr>
      <t xml:space="preserve">دوربین هایک ویژن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پلاک خوان </t>
    </r>
    <r>
      <rPr>
        <sz val="10"/>
        <rFont val="Vazirmatn"/>
        <family val="0"/>
        <charset val="1"/>
      </rPr>
      <t xml:space="preserve">) DS-2CD1643GO-IZ</t>
    </r>
  </si>
  <si>
    <t xml:space="preserve">35110216</t>
  </si>
  <si>
    <r>
      <rPr>
        <sz val="10"/>
        <rFont val="FreeSans"/>
        <family val="2"/>
      </rPr>
      <t xml:space="preserve">دوربین هایک ویژن </t>
    </r>
    <r>
      <rPr>
        <sz val="10"/>
        <rFont val="Vazirmatn"/>
        <family val="0"/>
        <charset val="1"/>
      </rPr>
      <t xml:space="preserve">DS-2CD2T43 GO-I8</t>
    </r>
  </si>
  <si>
    <t xml:space="preserve">35110217</t>
  </si>
  <si>
    <r>
      <rPr>
        <sz val="10"/>
        <rFont val="Vazirmatn"/>
        <family val="0"/>
        <charset val="1"/>
      </rPr>
      <t xml:space="preserve">NVR </t>
    </r>
    <r>
      <rPr>
        <sz val="10"/>
        <rFont val="FreeSans"/>
        <family val="2"/>
      </rPr>
      <t xml:space="preserve">هایک ویژن </t>
    </r>
    <r>
      <rPr>
        <sz val="10"/>
        <rFont val="Vazirmatn"/>
        <family val="0"/>
        <charset val="1"/>
      </rPr>
      <t xml:space="preserve">32 </t>
    </r>
    <r>
      <rPr>
        <sz val="10"/>
        <rFont val="FreeSans"/>
        <family val="2"/>
      </rPr>
      <t xml:space="preserve">کاناله </t>
    </r>
    <r>
      <rPr>
        <sz val="10"/>
        <rFont val="Vazirmatn"/>
        <family val="0"/>
        <charset val="1"/>
      </rPr>
      <t xml:space="preserve">DS-7732NI-K4 8TB HDD</t>
    </r>
  </si>
  <si>
    <t xml:space="preserve">35110218</t>
  </si>
  <si>
    <r>
      <rPr>
        <sz val="10"/>
        <rFont val="Vazirmatn"/>
        <family val="0"/>
        <charset val="1"/>
      </rPr>
      <t xml:space="preserve">NVR </t>
    </r>
    <r>
      <rPr>
        <sz val="10"/>
        <rFont val="FreeSans"/>
        <family val="2"/>
      </rPr>
      <t xml:space="preserve">هایک ویژن </t>
    </r>
    <r>
      <rPr>
        <sz val="10"/>
        <rFont val="Vazirmatn"/>
        <family val="0"/>
        <charset val="1"/>
      </rPr>
      <t xml:space="preserve">16 </t>
    </r>
    <r>
      <rPr>
        <sz val="10"/>
        <rFont val="FreeSans"/>
        <family val="2"/>
      </rPr>
      <t xml:space="preserve">کاناله </t>
    </r>
    <r>
      <rPr>
        <sz val="10"/>
        <rFont val="Vazirmatn"/>
        <family val="0"/>
        <charset val="1"/>
      </rPr>
      <t xml:space="preserve">DS-7716NI-Q4 6TB HDD</t>
    </r>
  </si>
  <si>
    <t xml:space="preserve">35110221</t>
  </si>
  <si>
    <r>
      <rPr>
        <sz val="10"/>
        <rFont val="FreeSans"/>
        <family val="2"/>
      </rPr>
      <t xml:space="preserve">سرور </t>
    </r>
    <r>
      <rPr>
        <sz val="10"/>
        <rFont val="Vazirmatn"/>
        <family val="0"/>
        <charset val="1"/>
      </rPr>
      <t xml:space="preserve">HPE Proliant DL 380 Gen 10 ) HP )</t>
    </r>
  </si>
  <si>
    <t xml:space="preserve">35110223</t>
  </si>
  <si>
    <r>
      <rPr>
        <sz val="10"/>
        <rFont val="Vazirmatn"/>
        <family val="0"/>
        <charset val="1"/>
      </rPr>
      <t xml:space="preserve">NVR </t>
    </r>
    <r>
      <rPr>
        <sz val="10"/>
        <rFont val="FreeSans"/>
        <family val="2"/>
      </rPr>
      <t xml:space="preserve">هایک ویژن </t>
    </r>
    <r>
      <rPr>
        <sz val="10"/>
        <rFont val="Vazirmatn"/>
        <family val="0"/>
        <charset val="1"/>
      </rPr>
      <t xml:space="preserve">16 </t>
    </r>
    <r>
      <rPr>
        <sz val="10"/>
        <rFont val="FreeSans"/>
        <family val="2"/>
      </rPr>
      <t xml:space="preserve">کاناله  </t>
    </r>
    <r>
      <rPr>
        <sz val="10"/>
        <rFont val="Vazirmatn"/>
        <family val="0"/>
        <charset val="1"/>
      </rPr>
      <t xml:space="preserve">DS-7616NI-q2 / 16P</t>
    </r>
  </si>
  <si>
    <t xml:space="preserve">35110228</t>
  </si>
  <si>
    <r>
      <rPr>
        <sz val="10"/>
        <rFont val="FreeSans"/>
        <family val="2"/>
      </rPr>
      <t xml:space="preserve">باکس پلاستیکی دوربین  </t>
    </r>
    <r>
      <rPr>
        <sz val="10"/>
        <rFont val="Vazirmatn"/>
        <family val="0"/>
        <charset val="1"/>
      </rPr>
      <t xml:space="preserve">15 * 20</t>
    </r>
  </si>
  <si>
    <t xml:space="preserve">35110229</t>
  </si>
  <si>
    <r>
      <rPr>
        <sz val="10"/>
        <rFont val="FreeSans"/>
        <family val="2"/>
      </rPr>
      <t xml:space="preserve">اینترنت اختصاصی امواج رادیویی با تجهیزات </t>
    </r>
    <r>
      <rPr>
        <sz val="10"/>
        <rFont val="Vazirmatn"/>
        <family val="0"/>
        <charset val="1"/>
      </rPr>
      <t xml:space="preserve">( 10 </t>
    </r>
    <r>
      <rPr>
        <sz val="10"/>
        <rFont val="FreeSans"/>
        <family val="2"/>
      </rPr>
      <t xml:space="preserve">مگا بیت در ثانیه </t>
    </r>
    <r>
      <rPr>
        <sz val="10"/>
        <rFont val="Vazirmatn"/>
        <family val="0"/>
        <charset val="1"/>
      </rPr>
      <t xml:space="preserve">)</t>
    </r>
  </si>
  <si>
    <t xml:space="preserve">35110230</t>
  </si>
  <si>
    <r>
      <rPr>
        <sz val="10"/>
        <rFont val="FreeSans"/>
        <family val="2"/>
      </rPr>
      <t xml:space="preserve">تلویزیون هوشمند </t>
    </r>
    <r>
      <rPr>
        <sz val="10"/>
        <rFont val="Vazirmatn"/>
        <family val="0"/>
        <charset val="1"/>
      </rPr>
      <t xml:space="preserve">"65  NU 8900</t>
    </r>
  </si>
  <si>
    <t xml:space="preserve">35110231</t>
  </si>
  <si>
    <r>
      <rPr>
        <sz val="10"/>
        <rFont val="FreeSans"/>
        <family val="2"/>
      </rPr>
      <t xml:space="preserve">دوربین هایک ویژن  </t>
    </r>
    <r>
      <rPr>
        <sz val="10"/>
        <rFont val="Vazirmatn"/>
        <family val="0"/>
        <charset val="1"/>
      </rPr>
      <t xml:space="preserve">DS-2CD2020F-I 4mm DC 12V 7W Max POE</t>
    </r>
  </si>
  <si>
    <t xml:space="preserve">35110233</t>
  </si>
  <si>
    <r>
      <rPr>
        <sz val="10"/>
        <rFont val="FreeSans"/>
        <family val="2"/>
      </rPr>
      <t xml:space="preserve">دوربین هایک ویژن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مگا پیکسل تحت شبکه </t>
    </r>
    <r>
      <rPr>
        <sz val="10"/>
        <rFont val="Vazirmatn"/>
        <family val="0"/>
        <charset val="1"/>
      </rPr>
      <t xml:space="preserve">DS-2CD 2T 43G2-4I</t>
    </r>
  </si>
  <si>
    <t xml:space="preserve">35110234</t>
  </si>
  <si>
    <t xml:space="preserve">جت اسکنر رومیزی</t>
  </si>
  <si>
    <t xml:space="preserve">35110236</t>
  </si>
  <si>
    <t xml:space="preserve">ریموت درب کرکره ای طرح بیت</t>
  </si>
  <si>
    <t xml:space="preserve">35110237</t>
  </si>
  <si>
    <r>
      <rPr>
        <sz val="10"/>
        <rFont val="FreeSans"/>
        <family val="2"/>
      </rPr>
      <t xml:space="preserve">ریموت کنترل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کانال </t>
    </r>
    <r>
      <rPr>
        <sz val="10"/>
        <rFont val="Vazirmatn"/>
        <family val="0"/>
        <charset val="1"/>
      </rPr>
      <t xml:space="preserve">220V</t>
    </r>
  </si>
  <si>
    <t xml:space="preserve">35110238</t>
  </si>
  <si>
    <r>
      <rPr>
        <sz val="10"/>
        <rFont val="FreeSans"/>
        <family val="2"/>
      </rPr>
      <t xml:space="preserve">دوربین هایک ویژن </t>
    </r>
    <r>
      <rPr>
        <sz val="10"/>
        <rFont val="Vazirmatn"/>
        <family val="0"/>
        <charset val="1"/>
      </rPr>
      <t xml:space="preserve">DS-2CD 2T 43G2</t>
    </r>
  </si>
  <si>
    <t xml:space="preserve">35110239</t>
  </si>
  <si>
    <t xml:space="preserve">SurFace Laptop GO model 194</t>
  </si>
  <si>
    <t xml:space="preserve">35110240</t>
  </si>
  <si>
    <r>
      <rPr>
        <sz val="10"/>
        <rFont val="FreeSans"/>
        <family val="2"/>
      </rPr>
      <t xml:space="preserve">دوربین اتاق کنفرانس </t>
    </r>
    <r>
      <rPr>
        <sz val="10"/>
        <rFont val="Vazirmatn"/>
        <family val="0"/>
        <charset val="1"/>
      </rPr>
      <t xml:space="preserve">PTZ Pro 2</t>
    </r>
  </si>
  <si>
    <t xml:space="preserve">35110243</t>
  </si>
  <si>
    <r>
      <rPr>
        <sz val="10"/>
        <rFont val="FreeSans"/>
        <family val="2"/>
      </rPr>
      <t xml:space="preserve">اسکنر اتوماتیک  </t>
    </r>
    <r>
      <rPr>
        <sz val="10"/>
        <rFont val="Vazirmatn"/>
        <family val="0"/>
        <charset val="1"/>
      </rPr>
      <t xml:space="preserve">Avision AD 125</t>
    </r>
  </si>
  <si>
    <t xml:space="preserve">35110245</t>
  </si>
  <si>
    <r>
      <rPr>
        <sz val="10"/>
        <rFont val="FreeSans"/>
        <family val="2"/>
      </rPr>
      <t xml:space="preserve">تلویزیون جی پلاس </t>
    </r>
    <r>
      <rPr>
        <sz val="10"/>
        <rFont val="Vazirmatn"/>
        <family val="0"/>
        <charset val="1"/>
      </rPr>
      <t xml:space="preserve">"32 ( pd618n )</t>
    </r>
  </si>
  <si>
    <t xml:space="preserve">35110248</t>
  </si>
  <si>
    <r>
      <rPr>
        <sz val="10"/>
        <rFont val="FreeSans"/>
        <family val="2"/>
      </rPr>
      <t xml:space="preserve">دوربین هایک ویژن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مگا پیکسل </t>
    </r>
    <r>
      <rPr>
        <sz val="10"/>
        <rFont val="Vazirmatn"/>
        <family val="0"/>
        <charset val="1"/>
      </rPr>
      <t xml:space="preserve">DS-2CD 2T 66G2</t>
    </r>
  </si>
  <si>
    <t xml:space="preserve">35110249</t>
  </si>
  <si>
    <r>
      <rPr>
        <sz val="10"/>
        <rFont val="FreeSans"/>
        <family val="2"/>
      </rPr>
      <t xml:space="preserve">دستگاه </t>
    </r>
    <r>
      <rPr>
        <sz val="10"/>
        <rFont val="Vazirmatn"/>
        <family val="0"/>
        <charset val="1"/>
      </rPr>
      <t xml:space="preserve">NVR </t>
    </r>
    <r>
      <rPr>
        <sz val="10"/>
        <rFont val="FreeSans"/>
        <family val="2"/>
      </rPr>
      <t xml:space="preserve">هایک ویژن </t>
    </r>
    <r>
      <rPr>
        <sz val="10"/>
        <rFont val="Vazirmatn"/>
        <family val="0"/>
        <charset val="1"/>
      </rPr>
      <t xml:space="preserve">32 </t>
    </r>
    <r>
      <rPr>
        <sz val="10"/>
        <rFont val="FreeSans"/>
        <family val="2"/>
      </rPr>
      <t xml:space="preserve">کاناله </t>
    </r>
    <r>
      <rPr>
        <sz val="10"/>
        <rFont val="Vazirmatn"/>
        <family val="0"/>
        <charset val="1"/>
      </rPr>
      <t xml:space="preserve">DS-7732NXI-K4</t>
    </r>
  </si>
  <si>
    <t xml:space="preserve">35110250</t>
  </si>
  <si>
    <r>
      <rPr>
        <sz val="10"/>
        <rFont val="FreeSans"/>
        <family val="2"/>
      </rPr>
      <t xml:space="preserve">اسکنر </t>
    </r>
    <r>
      <rPr>
        <sz val="10"/>
        <rFont val="Vazirmatn"/>
        <family val="0"/>
        <charset val="1"/>
      </rPr>
      <t xml:space="preserve">Canon LiDE 400</t>
    </r>
  </si>
  <si>
    <t xml:space="preserve">35112004</t>
  </si>
  <si>
    <t xml:space="preserve">Tr45    Temp   sensor</t>
  </si>
  <si>
    <t xml:space="preserve">35112012</t>
  </si>
  <si>
    <r>
      <rPr>
        <sz val="10"/>
        <rFont val="FreeSans"/>
        <family val="2"/>
      </rPr>
      <t xml:space="preserve">پاور    </t>
    </r>
    <r>
      <rPr>
        <sz val="10"/>
        <rFont val="Vazirmatn"/>
        <family val="0"/>
        <charset val="1"/>
      </rPr>
      <t xml:space="preserve">6E P1 333 - 3BA OO</t>
    </r>
  </si>
  <si>
    <t xml:space="preserve">35112013</t>
  </si>
  <si>
    <t xml:space="preserve">‍CPU</t>
  </si>
  <si>
    <t xml:space="preserve">35112019</t>
  </si>
  <si>
    <r>
      <rPr>
        <sz val="10"/>
        <rFont val="FreeSans"/>
        <family val="2"/>
      </rPr>
      <t xml:space="preserve">رله فیندر </t>
    </r>
    <r>
      <rPr>
        <sz val="10"/>
        <rFont val="Vazirmatn"/>
        <family val="0"/>
        <charset val="1"/>
      </rPr>
      <t xml:space="preserve">11 </t>
    </r>
    <r>
      <rPr>
        <sz val="10"/>
        <rFont val="FreeSans"/>
        <family val="2"/>
      </rPr>
      <t xml:space="preserve">پایه </t>
    </r>
    <r>
      <rPr>
        <sz val="10"/>
        <rFont val="Vazirmatn"/>
        <family val="0"/>
        <charset val="1"/>
      </rPr>
      <t xml:space="preserve">220V</t>
    </r>
  </si>
  <si>
    <t xml:space="preserve">35112027</t>
  </si>
  <si>
    <t xml:space="preserve">کابل اتصال آنالیزور</t>
  </si>
  <si>
    <t xml:space="preserve">35112033</t>
  </si>
  <si>
    <t xml:space="preserve">FTLSOH   level  switch</t>
  </si>
  <si>
    <t xml:space="preserve">35112040</t>
  </si>
  <si>
    <t xml:space="preserve">vibration  sensor</t>
  </si>
  <si>
    <t xml:space="preserve">35112051</t>
  </si>
  <si>
    <t xml:space="preserve">p83f  profibus</t>
  </si>
  <si>
    <t xml:space="preserve">35112054</t>
  </si>
  <si>
    <t xml:space="preserve">steam trans   71</t>
  </si>
  <si>
    <t xml:space="preserve">35112065</t>
  </si>
  <si>
    <r>
      <rPr>
        <sz val="10"/>
        <rFont val="FreeSans"/>
        <family val="2"/>
      </rPr>
      <t xml:space="preserve">ماژول    </t>
    </r>
    <r>
      <rPr>
        <sz val="10"/>
        <rFont val="Vazirmatn"/>
        <family val="0"/>
        <charset val="1"/>
      </rPr>
      <t xml:space="preserve">Cp 341</t>
    </r>
  </si>
  <si>
    <t xml:space="preserve">35112089</t>
  </si>
  <si>
    <t xml:space="preserve">UPS Faratel - 6KVA  SDC 6000 RT - 3U</t>
  </si>
  <si>
    <t xml:space="preserve">35112090</t>
  </si>
  <si>
    <t xml:space="preserve">Battery Cabinet Faratel 240V - 9AH</t>
  </si>
  <si>
    <t xml:space="preserve">35113647</t>
  </si>
  <si>
    <t xml:space="preserve">35113661</t>
  </si>
  <si>
    <r>
      <rPr>
        <sz val="10"/>
        <rFont val="FreeSans"/>
        <family val="2"/>
      </rPr>
      <t xml:space="preserve">آداپتور </t>
    </r>
    <r>
      <rPr>
        <sz val="10"/>
        <rFont val="Vazirmatn"/>
        <family val="0"/>
        <charset val="1"/>
      </rPr>
      <t xml:space="preserve">5V</t>
    </r>
  </si>
  <si>
    <t xml:space="preserve">35113666</t>
  </si>
  <si>
    <r>
      <rPr>
        <sz val="10"/>
        <rFont val="FreeSans"/>
        <family val="2"/>
      </rPr>
      <t xml:space="preserve">آداپتور باسکول پند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تنی  </t>
    </r>
    <r>
      <rPr>
        <sz val="10"/>
        <rFont val="Vazirmatn"/>
        <family val="0"/>
        <charset val="1"/>
      </rPr>
      <t xml:space="preserve">7/5V - 3A</t>
    </r>
  </si>
  <si>
    <t xml:space="preserve">35113667</t>
  </si>
  <si>
    <r>
      <rPr>
        <sz val="10"/>
        <rFont val="FreeSans"/>
        <family val="2"/>
      </rPr>
      <t xml:space="preserve">آداپتور دوربین  </t>
    </r>
    <r>
      <rPr>
        <sz val="10"/>
        <rFont val="Vazirmatn"/>
        <family val="0"/>
        <charset val="1"/>
      </rPr>
      <t xml:space="preserve">12V   2A</t>
    </r>
  </si>
  <si>
    <t xml:space="preserve">35113668</t>
  </si>
  <si>
    <t xml:space="preserve">Synology 8 Bay 1817 NAS Storage</t>
  </si>
  <si>
    <t xml:space="preserve">35113670</t>
  </si>
  <si>
    <r>
      <rPr>
        <sz val="10"/>
        <rFont val="FreeSans"/>
        <family val="2"/>
      </rPr>
      <t xml:space="preserve">فلاکسیبل </t>
    </r>
    <r>
      <rPr>
        <sz val="10"/>
        <rFont val="Vazirmatn"/>
        <family val="0"/>
        <charset val="1"/>
      </rPr>
      <t xml:space="preserve">29</t>
    </r>
  </si>
  <si>
    <t xml:space="preserve">35113674</t>
  </si>
  <si>
    <t xml:space="preserve">WD Red 4TB Hard Disk</t>
  </si>
  <si>
    <t xml:space="preserve">35113678</t>
  </si>
  <si>
    <r>
      <rPr>
        <sz val="10"/>
        <rFont val="FreeSans"/>
        <family val="2"/>
      </rPr>
      <t xml:space="preserve">فلاکسیبل       نمره </t>
    </r>
    <r>
      <rPr>
        <sz val="10"/>
        <rFont val="Vazirmatn"/>
        <family val="0"/>
        <charset val="1"/>
      </rPr>
      <t xml:space="preserve">: 25</t>
    </r>
  </si>
  <si>
    <t xml:space="preserve">35113682</t>
  </si>
  <si>
    <r>
      <rPr>
        <sz val="10"/>
        <rFont val="FreeSans"/>
        <family val="2"/>
      </rPr>
      <t xml:space="preserve">آداپتور   </t>
    </r>
    <r>
      <rPr>
        <sz val="10"/>
        <rFont val="Vazirmatn"/>
        <family val="0"/>
        <charset val="1"/>
      </rPr>
      <t xml:space="preserve">14V - 2.14A</t>
    </r>
  </si>
  <si>
    <t xml:space="preserve">35113683</t>
  </si>
  <si>
    <r>
      <rPr>
        <sz val="10"/>
        <rFont val="FreeSans"/>
        <family val="2"/>
      </rPr>
      <t xml:space="preserve">آداپتور  </t>
    </r>
    <r>
      <rPr>
        <sz val="10"/>
        <rFont val="Vazirmatn"/>
        <family val="0"/>
        <charset val="1"/>
      </rPr>
      <t xml:space="preserve">5V DC 2A</t>
    </r>
  </si>
  <si>
    <t xml:space="preserve">35113684</t>
  </si>
  <si>
    <r>
      <rPr>
        <sz val="10"/>
        <rFont val="FreeSans"/>
        <family val="2"/>
      </rPr>
      <t xml:space="preserve">آداپتور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رابط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اکچویتور به شیر زبانه ای</t>
    </r>
  </si>
  <si>
    <t xml:space="preserve">35113685</t>
  </si>
  <si>
    <r>
      <rPr>
        <sz val="10"/>
        <rFont val="FreeSans"/>
        <family val="2"/>
      </rPr>
      <t xml:space="preserve">آداپتور بین راهی  </t>
    </r>
    <r>
      <rPr>
        <sz val="10"/>
        <rFont val="Vazirmatn"/>
        <family val="0"/>
        <charset val="1"/>
      </rPr>
      <t xml:space="preserve">220V AC 7/5VDC 3A</t>
    </r>
  </si>
  <si>
    <t xml:space="preserve">35113686</t>
  </si>
  <si>
    <r>
      <rPr>
        <sz val="10"/>
        <rFont val="FreeSans"/>
        <family val="2"/>
      </rPr>
      <t xml:space="preserve">آداپتور دستگاه تصفیه آب </t>
    </r>
    <r>
      <rPr>
        <sz val="10"/>
        <rFont val="Vazirmatn"/>
        <family val="0"/>
        <charset val="1"/>
      </rPr>
      <t xml:space="preserve">36V DC - 2A</t>
    </r>
  </si>
  <si>
    <t xml:space="preserve">35113687</t>
  </si>
  <si>
    <r>
      <rPr>
        <sz val="10"/>
        <rFont val="FreeSans"/>
        <family val="2"/>
      </rPr>
      <t xml:space="preserve">آداپتور ترازو </t>
    </r>
    <r>
      <rPr>
        <sz val="10"/>
        <rFont val="Vazirmatn"/>
        <family val="0"/>
        <charset val="1"/>
      </rPr>
      <t xml:space="preserve">240 - 100 </t>
    </r>
    <r>
      <rPr>
        <sz val="10"/>
        <rFont val="FreeSans"/>
        <family val="2"/>
      </rPr>
      <t xml:space="preserve">ولت </t>
    </r>
    <r>
      <rPr>
        <sz val="10"/>
        <rFont val="Vazirmatn"/>
        <family val="0"/>
        <charset val="1"/>
      </rPr>
      <t xml:space="preserve">60 - 50 </t>
    </r>
    <r>
      <rPr>
        <sz val="10"/>
        <rFont val="FreeSans"/>
        <family val="2"/>
      </rPr>
      <t xml:space="preserve">هرتز </t>
    </r>
    <r>
      <rPr>
        <sz val="10"/>
        <rFont val="Vazirmatn"/>
        <family val="0"/>
        <charset val="1"/>
      </rPr>
      <t xml:space="preserve">0/8A 7V 3.43A Max</t>
    </r>
  </si>
  <si>
    <t xml:space="preserve">35113688</t>
  </si>
  <si>
    <r>
      <rPr>
        <sz val="10"/>
        <rFont val="FreeSans"/>
        <family val="2"/>
      </rPr>
      <t xml:space="preserve">آداپتور </t>
    </r>
    <r>
      <rPr>
        <sz val="10"/>
        <rFont val="Vazirmatn"/>
        <family val="0"/>
        <charset val="1"/>
      </rPr>
      <t xml:space="preserve">36V DC  3A  220V AC</t>
    </r>
  </si>
  <si>
    <t xml:space="preserve">35113702</t>
  </si>
  <si>
    <r>
      <rPr>
        <sz val="10"/>
        <rFont val="FreeSans"/>
        <family val="2"/>
      </rPr>
      <t xml:space="preserve">باطری  </t>
    </r>
    <r>
      <rPr>
        <sz val="10"/>
        <rFont val="Vazirmatn"/>
        <family val="0"/>
        <charset val="1"/>
      </rPr>
      <t xml:space="preserve">3V - 15mVA  CR 2032</t>
    </r>
  </si>
  <si>
    <t xml:space="preserve">35113703</t>
  </si>
  <si>
    <t xml:space="preserve">لیبل شماره دور کابل</t>
  </si>
  <si>
    <t xml:space="preserve">35114110</t>
  </si>
  <si>
    <t xml:space="preserve">روکش وایر</t>
  </si>
  <si>
    <t xml:space="preserve">35116102</t>
  </si>
  <si>
    <r>
      <rPr>
        <sz val="10"/>
        <rFont val="FreeSans"/>
        <family val="2"/>
      </rPr>
      <t xml:space="preserve">فایروال سخت افزاری   </t>
    </r>
    <r>
      <rPr>
        <sz val="10"/>
        <rFont val="Vazirmatn"/>
        <family val="0"/>
        <charset val="1"/>
      </rPr>
      <t xml:space="preserve">(SOPHOS(XG210</t>
    </r>
  </si>
  <si>
    <t xml:space="preserve">35117009</t>
  </si>
  <si>
    <r>
      <rPr>
        <sz val="10"/>
        <rFont val="FreeSans"/>
        <family val="2"/>
      </rPr>
      <t xml:space="preserve">پمپ دنده ای </t>
    </r>
    <r>
      <rPr>
        <sz val="10"/>
        <rFont val="Vazirmatn"/>
        <family val="0"/>
        <charset val="1"/>
      </rPr>
      <t xml:space="preserve">jK9 </t>
    </r>
    <r>
      <rPr>
        <sz val="10"/>
        <rFont val="FreeSans"/>
        <family val="2"/>
      </rPr>
      <t xml:space="preserve">تهران تولید</t>
    </r>
  </si>
  <si>
    <t xml:space="preserve">35117200</t>
  </si>
  <si>
    <r>
      <rPr>
        <sz val="10"/>
        <rFont val="FreeSans"/>
        <family val="2"/>
      </rPr>
      <t xml:space="preserve">هواکش  لوله  بخاری </t>
    </r>
    <r>
      <rPr>
        <sz val="10"/>
        <rFont val="Vazirmatn"/>
        <family val="0"/>
        <charset val="1"/>
      </rPr>
      <t xml:space="preserve">10</t>
    </r>
  </si>
  <si>
    <t xml:space="preserve">35117203</t>
  </si>
  <si>
    <r>
      <rPr>
        <sz val="10"/>
        <rFont val="FreeSans"/>
        <family val="2"/>
      </rPr>
      <t xml:space="preserve">دودکش پکیج دو جداره نمره </t>
    </r>
    <r>
      <rPr>
        <sz val="10"/>
        <rFont val="Vazirmatn"/>
        <family val="0"/>
        <charset val="1"/>
      </rPr>
      <t xml:space="preserve">6</t>
    </r>
  </si>
  <si>
    <t xml:space="preserve">35117204</t>
  </si>
  <si>
    <t xml:space="preserve">هود شیمیایی با رویه ضد اسید</t>
  </si>
  <si>
    <t xml:space="preserve">35117205</t>
  </si>
  <si>
    <r>
      <rPr>
        <sz val="10"/>
        <rFont val="FreeSans"/>
        <family val="2"/>
      </rPr>
      <t xml:space="preserve">هود توکار </t>
    </r>
    <r>
      <rPr>
        <sz val="10"/>
        <rFont val="Vazirmatn"/>
        <family val="0"/>
        <charset val="1"/>
      </rPr>
      <t xml:space="preserve">70Cm</t>
    </r>
  </si>
  <si>
    <t xml:space="preserve">35117731</t>
  </si>
  <si>
    <t xml:space="preserve">Air pump for foaming tank</t>
  </si>
  <si>
    <t xml:space="preserve">35118300</t>
  </si>
  <si>
    <r>
      <rPr>
        <sz val="10"/>
        <rFont val="FreeSans"/>
        <family val="2"/>
      </rPr>
      <t xml:space="preserve">نوار فرم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ماکارونی </t>
    </r>
    <r>
      <rPr>
        <sz val="10"/>
        <rFont val="Vazirmatn"/>
        <family val="0"/>
        <charset val="1"/>
      </rPr>
      <t xml:space="preserve">)</t>
    </r>
  </si>
  <si>
    <t xml:space="preserve">35118310</t>
  </si>
  <si>
    <r>
      <rPr>
        <sz val="10"/>
        <rFont val="FreeSans"/>
        <family val="2"/>
      </rPr>
      <t xml:space="preserve">زاویه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زانویی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داخلی ترانکینگ</t>
    </r>
  </si>
  <si>
    <t xml:space="preserve">35118322</t>
  </si>
  <si>
    <r>
      <rPr>
        <sz val="10"/>
        <rFont val="FreeSans"/>
        <family val="2"/>
      </rPr>
      <t xml:space="preserve">کادر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ماژول ترانکینگ</t>
    </r>
  </si>
  <si>
    <t xml:space="preserve">35118335</t>
  </si>
  <si>
    <r>
      <rPr>
        <sz val="10"/>
        <rFont val="FreeSans"/>
        <family val="2"/>
      </rPr>
      <t xml:space="preserve">کادر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ماژول ترانکینگ</t>
    </r>
  </si>
  <si>
    <t xml:space="preserve">35118336</t>
  </si>
  <si>
    <r>
      <rPr>
        <sz val="10"/>
        <rFont val="FreeSans"/>
        <family val="2"/>
      </rPr>
      <t xml:space="preserve">قاب پهن پریز شبکه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پورت</t>
    </r>
  </si>
  <si>
    <t xml:space="preserve">35118337</t>
  </si>
  <si>
    <r>
      <rPr>
        <sz val="10"/>
        <rFont val="FreeSans"/>
        <family val="2"/>
      </rPr>
      <t xml:space="preserve">کیستون شبکه  </t>
    </r>
    <r>
      <rPr>
        <sz val="10"/>
        <rFont val="Vazirmatn"/>
        <family val="0"/>
        <charset val="1"/>
      </rPr>
      <t xml:space="preserve">Cat 6 UTP</t>
    </r>
  </si>
  <si>
    <t xml:space="preserve">35118338</t>
  </si>
  <si>
    <r>
      <rPr>
        <sz val="10"/>
        <rFont val="FreeSans"/>
        <family val="2"/>
      </rPr>
      <t xml:space="preserve">کیستون تلفن  </t>
    </r>
    <r>
      <rPr>
        <sz val="10"/>
        <rFont val="Vazirmatn"/>
        <family val="0"/>
        <charset val="1"/>
      </rPr>
      <t xml:space="preserve">Cat 3</t>
    </r>
  </si>
  <si>
    <t xml:space="preserve">35118339</t>
  </si>
  <si>
    <t xml:space="preserve">بست انتهایی ترانکینگ</t>
  </si>
  <si>
    <t xml:space="preserve">35118340</t>
  </si>
  <si>
    <r>
      <rPr>
        <sz val="10"/>
        <rFont val="FreeSans"/>
        <family val="2"/>
      </rPr>
      <t xml:space="preserve">پریز برق ارت دار سفید </t>
    </r>
    <r>
      <rPr>
        <sz val="10"/>
        <rFont val="Vazirmatn"/>
        <family val="0"/>
        <charset val="1"/>
      </rPr>
      <t xml:space="preserve">50040</t>
    </r>
  </si>
  <si>
    <t xml:space="preserve">35118341</t>
  </si>
  <si>
    <r>
      <rPr>
        <sz val="10"/>
        <rFont val="FreeSans"/>
        <family val="2"/>
      </rPr>
      <t xml:space="preserve">پریز برق ارت دار نارنجی </t>
    </r>
    <r>
      <rPr>
        <sz val="10"/>
        <rFont val="Vazirmatn"/>
        <family val="0"/>
        <charset val="1"/>
      </rPr>
      <t xml:space="preserve">G50040</t>
    </r>
  </si>
  <si>
    <t xml:space="preserve">35118342</t>
  </si>
  <si>
    <r>
      <rPr>
        <sz val="10"/>
        <rFont val="FreeSans"/>
        <family val="2"/>
      </rPr>
      <t xml:space="preserve">کیستون تلفن  </t>
    </r>
    <r>
      <rPr>
        <sz val="10"/>
        <rFont val="Vazirmatn"/>
        <family val="0"/>
        <charset val="1"/>
      </rPr>
      <t xml:space="preserve">GAT 3RJ 11</t>
    </r>
  </si>
  <si>
    <t xml:space="preserve">35118343</t>
  </si>
  <si>
    <r>
      <rPr>
        <sz val="10"/>
        <rFont val="FreeSans"/>
        <family val="2"/>
      </rPr>
      <t xml:space="preserve">کیستون شبکه  </t>
    </r>
    <r>
      <rPr>
        <sz val="10"/>
        <rFont val="Vazirmatn"/>
        <family val="0"/>
        <charset val="1"/>
      </rPr>
      <t xml:space="preserve">GAT 6 FTP</t>
    </r>
  </si>
  <si>
    <t xml:space="preserve">35118344</t>
  </si>
  <si>
    <r>
      <rPr>
        <sz val="10"/>
        <rFont val="FreeSans"/>
        <family val="2"/>
      </rPr>
      <t xml:space="preserve">قاب پهن تک پورت  </t>
    </r>
    <r>
      <rPr>
        <sz val="10"/>
        <rFont val="Vazirmatn"/>
        <family val="0"/>
        <charset val="1"/>
      </rPr>
      <t xml:space="preserve">50046</t>
    </r>
  </si>
  <si>
    <t xml:space="preserve">35118345</t>
  </si>
  <si>
    <r>
      <rPr>
        <sz val="10"/>
        <rFont val="FreeSans"/>
        <family val="2"/>
      </rPr>
      <t xml:space="preserve">داکت سوپیتا   </t>
    </r>
    <r>
      <rPr>
        <sz val="10"/>
        <rFont val="Vazirmatn"/>
        <family val="0"/>
        <charset val="1"/>
      </rPr>
      <t xml:space="preserve">50 * 105</t>
    </r>
  </si>
  <si>
    <t xml:space="preserve">35118346</t>
  </si>
  <si>
    <r>
      <rPr>
        <sz val="10"/>
        <rFont val="FreeSans"/>
        <family val="2"/>
      </rPr>
      <t xml:space="preserve">بست انتهایی   </t>
    </r>
    <r>
      <rPr>
        <sz val="10"/>
        <rFont val="Vazirmatn"/>
        <family val="0"/>
        <charset val="1"/>
      </rPr>
      <t xml:space="preserve">50 * 105</t>
    </r>
  </si>
  <si>
    <t xml:space="preserve">35118347</t>
  </si>
  <si>
    <r>
      <rPr>
        <sz val="10"/>
        <rFont val="FreeSans"/>
        <family val="2"/>
      </rPr>
      <t xml:space="preserve">زانویی تخت  </t>
    </r>
    <r>
      <rPr>
        <sz val="10"/>
        <rFont val="Vazirmatn"/>
        <family val="0"/>
        <charset val="1"/>
      </rPr>
      <t xml:space="preserve">90012</t>
    </r>
  </si>
  <si>
    <t xml:space="preserve">35118348</t>
  </si>
  <si>
    <r>
      <rPr>
        <sz val="10"/>
        <rFont val="FreeSans"/>
        <family val="2"/>
      </rPr>
      <t xml:space="preserve">کادر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پایه </t>
    </r>
    <r>
      <rPr>
        <sz val="10"/>
        <rFont val="Vazirmatn"/>
        <family val="0"/>
        <charset val="1"/>
      </rPr>
      <t xml:space="preserve">( 4 </t>
    </r>
    <r>
      <rPr>
        <sz val="10"/>
        <rFont val="FreeSans"/>
        <family val="2"/>
      </rPr>
      <t xml:space="preserve">آزول </t>
    </r>
    <r>
      <rPr>
        <sz val="10"/>
        <rFont val="Vazirmatn"/>
        <family val="0"/>
        <charset val="1"/>
      </rPr>
      <t xml:space="preserve">)  50018</t>
    </r>
  </si>
  <si>
    <t xml:space="preserve">35118349</t>
  </si>
  <si>
    <r>
      <rPr>
        <sz val="10"/>
        <rFont val="FreeSans"/>
        <family val="2"/>
      </rPr>
      <t xml:space="preserve">زانویی خارجی  </t>
    </r>
    <r>
      <rPr>
        <sz val="10"/>
        <rFont val="Vazirmatn"/>
        <family val="0"/>
        <charset val="1"/>
      </rPr>
      <t xml:space="preserve">90013</t>
    </r>
  </si>
  <si>
    <t xml:space="preserve">35118350</t>
  </si>
  <si>
    <r>
      <rPr>
        <sz val="10"/>
        <rFont val="FreeSans"/>
        <family val="2"/>
      </rPr>
      <t xml:space="preserve">زانویی داخلی  </t>
    </r>
    <r>
      <rPr>
        <sz val="10"/>
        <rFont val="Vazirmatn"/>
        <family val="0"/>
        <charset val="1"/>
      </rPr>
      <t xml:space="preserve">90014</t>
    </r>
  </si>
  <si>
    <t xml:space="preserve">35118351</t>
  </si>
  <si>
    <r>
      <rPr>
        <sz val="10"/>
        <rFont val="FreeSans"/>
        <family val="2"/>
      </rPr>
      <t xml:space="preserve">کیستون شبکه لگراند  </t>
    </r>
    <r>
      <rPr>
        <sz val="10"/>
        <rFont val="Vazirmatn"/>
        <family val="0"/>
        <charset val="1"/>
      </rPr>
      <t xml:space="preserve">RJ 45</t>
    </r>
  </si>
  <si>
    <t xml:space="preserve">35118352</t>
  </si>
  <si>
    <t xml:space="preserve">کیستون روکار تک خانه شبکه لگراند</t>
  </si>
  <si>
    <t xml:space="preserve">35118353</t>
  </si>
  <si>
    <r>
      <rPr>
        <sz val="10"/>
        <rFont val="FreeSans"/>
        <family val="2"/>
      </rPr>
      <t xml:space="preserve">کادر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ماژول ترانکینگ</t>
    </r>
  </si>
  <si>
    <t xml:space="preserve">35118354</t>
  </si>
  <si>
    <t xml:space="preserve">پریز برق قرمز</t>
  </si>
  <si>
    <t xml:space="preserve">35118356</t>
  </si>
  <si>
    <t xml:space="preserve">کادر تک ماژول ترانکینگ</t>
  </si>
  <si>
    <t xml:space="preserve">35118357</t>
  </si>
  <si>
    <t xml:space="preserve">وسط بند ترانکینگ</t>
  </si>
  <si>
    <t xml:space="preserve">35118358</t>
  </si>
  <si>
    <t xml:space="preserve">بغل بند ترانکینگ</t>
  </si>
  <si>
    <t xml:space="preserve">35118359</t>
  </si>
  <si>
    <r>
      <rPr>
        <sz val="10"/>
        <rFont val="FreeSans"/>
        <family val="2"/>
      </rPr>
      <t xml:space="preserve">داکت ساده لگراند  </t>
    </r>
    <r>
      <rPr>
        <sz val="10"/>
        <rFont val="Vazirmatn"/>
        <family val="0"/>
        <charset val="1"/>
      </rPr>
      <t xml:space="preserve">1/2 * 1/2</t>
    </r>
  </si>
  <si>
    <t xml:space="preserve">35118360</t>
  </si>
  <si>
    <r>
      <rPr>
        <sz val="10"/>
        <rFont val="FreeSans"/>
        <family val="2"/>
      </rPr>
      <t xml:space="preserve">داکت چسبی لگراند  </t>
    </r>
    <r>
      <rPr>
        <sz val="10"/>
        <rFont val="Vazirmatn"/>
        <family val="0"/>
        <charset val="1"/>
      </rPr>
      <t xml:space="preserve">1/2 * 1/2</t>
    </r>
  </si>
  <si>
    <t xml:space="preserve">35119006</t>
  </si>
  <si>
    <r>
      <rPr>
        <sz val="10"/>
        <rFont val="FreeSans"/>
        <family val="2"/>
      </rPr>
      <t xml:space="preserve">لول موبری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اشتعال </t>
    </r>
    <r>
      <rPr>
        <sz val="10"/>
        <rFont val="Vazirmatn"/>
        <family val="0"/>
        <charset val="1"/>
      </rPr>
      <t xml:space="preserve">)   15bar</t>
    </r>
  </si>
  <si>
    <t xml:space="preserve">35119025</t>
  </si>
  <si>
    <r>
      <rPr>
        <sz val="10"/>
        <rFont val="FreeSans"/>
        <family val="2"/>
      </rPr>
      <t xml:space="preserve">آکومولاتور هیدرولیکی</t>
    </r>
    <r>
      <rPr>
        <sz val="10"/>
        <rFont val="Vazirmatn"/>
        <family val="0"/>
        <charset val="1"/>
      </rPr>
      <t xml:space="preserve">" 2/5Lit 100bar  3/8 </t>
    </r>
    <r>
      <rPr>
        <sz val="10"/>
        <rFont val="FreeSans"/>
        <family val="2"/>
      </rPr>
      <t xml:space="preserve">اتصال فلنج </t>
    </r>
    <r>
      <rPr>
        <sz val="10"/>
        <rFont val="Vazirmatn"/>
        <family val="0"/>
        <charset val="1"/>
      </rPr>
      <t xml:space="preserve">120mm </t>
    </r>
    <r>
      <rPr>
        <sz val="10"/>
        <rFont val="FreeSans"/>
        <family val="2"/>
      </rPr>
      <t xml:space="preserve">سوراخ </t>
    </r>
    <r>
      <rPr>
        <sz val="10"/>
        <rFont val="Vazirmatn"/>
        <family val="0"/>
        <charset val="1"/>
      </rPr>
      <t xml:space="preserve">95mm</t>
    </r>
  </si>
  <si>
    <t xml:space="preserve">35123964</t>
  </si>
  <si>
    <r>
      <rPr>
        <sz val="10"/>
        <rFont val="FreeSans"/>
        <family val="2"/>
      </rPr>
      <t xml:space="preserve">تابلوی  برق    </t>
    </r>
    <r>
      <rPr>
        <sz val="10"/>
        <rFont val="Vazirmatn"/>
        <family val="0"/>
        <charset val="1"/>
      </rPr>
      <t xml:space="preserve">24 * 50 * 70</t>
    </r>
  </si>
  <si>
    <t xml:space="preserve">35123969</t>
  </si>
  <si>
    <r>
      <rPr>
        <sz val="10"/>
        <rFont val="FreeSans"/>
        <family val="2"/>
      </rPr>
      <t xml:space="preserve">فن سانتریفوژ صنعتی </t>
    </r>
    <r>
      <rPr>
        <sz val="10"/>
        <rFont val="Vazirmatn"/>
        <family val="0"/>
        <charset val="1"/>
      </rPr>
      <t xml:space="preserve">IFGM  50</t>
    </r>
  </si>
  <si>
    <t xml:space="preserve">35123984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</si>
  <si>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10 * 30  </t>
    </r>
    <r>
      <rPr>
        <sz val="10"/>
        <rFont val="FreeSans"/>
        <family val="2"/>
      </rPr>
      <t xml:space="preserve">کپسول </t>
    </r>
    <r>
      <rPr>
        <sz val="10"/>
        <rFont val="Vazirmatn"/>
        <family val="0"/>
        <charset val="1"/>
      </rPr>
      <t xml:space="preserve">CO2</t>
    </r>
  </si>
  <si>
    <t xml:space="preserve">35123985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</si>
  <si>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10 * 30  </t>
    </r>
    <r>
      <rPr>
        <sz val="10"/>
        <rFont val="FreeSans"/>
        <family val="2"/>
      </rPr>
      <t xml:space="preserve">کپسول پودر و گاز</t>
    </r>
  </si>
  <si>
    <t xml:space="preserve">35123987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</si>
  <si>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15 * 45  </t>
    </r>
    <r>
      <rPr>
        <sz val="10"/>
        <rFont val="FreeSans"/>
        <family val="2"/>
      </rPr>
      <t xml:space="preserve">فایر باکس</t>
    </r>
  </si>
  <si>
    <t xml:space="preserve">35123988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</si>
  <si>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15 * 45  </t>
    </r>
    <r>
      <rPr>
        <sz val="10"/>
        <rFont val="FreeSans"/>
        <family val="2"/>
      </rPr>
      <t xml:space="preserve">انبار آتش نشانی</t>
    </r>
  </si>
  <si>
    <t xml:space="preserve">35123989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</si>
  <si>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ممنوعیت خوردن و آشامیدن </t>
    </r>
    <r>
      <rPr>
        <sz val="10"/>
        <rFont val="Vazirmatn"/>
        <family val="0"/>
        <charset val="1"/>
      </rPr>
      <t xml:space="preserve">( 2506 )</t>
    </r>
  </si>
  <si>
    <t xml:space="preserve">35123990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</si>
  <si>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خطر مواد شیمیایی </t>
    </r>
    <r>
      <rPr>
        <sz val="10"/>
        <rFont val="Vazirmatn"/>
        <family val="0"/>
        <charset val="1"/>
      </rPr>
      <t xml:space="preserve">( 3266 )</t>
    </r>
  </si>
  <si>
    <t xml:space="preserve">تجهيزات ايمني</t>
  </si>
  <si>
    <t xml:space="preserve">35123993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</si>
  <si>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خطر جرثقیل سقفی </t>
    </r>
    <r>
      <rPr>
        <sz val="10"/>
        <rFont val="Vazirmatn"/>
        <family val="0"/>
        <charset val="1"/>
      </rPr>
      <t xml:space="preserve">( 3608 )</t>
    </r>
  </si>
  <si>
    <t xml:space="preserve">35123994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</si>
  <si>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ذرات معلق </t>
    </r>
    <r>
      <rPr>
        <sz val="10"/>
        <rFont val="Vazirmatn"/>
        <family val="0"/>
        <charset val="1"/>
      </rPr>
      <t xml:space="preserve">( 3766 )</t>
    </r>
  </si>
  <si>
    <t xml:space="preserve">35123999</t>
  </si>
  <si>
    <r>
      <rPr>
        <sz val="10"/>
        <rFont val="FreeSans"/>
        <family val="2"/>
      </rPr>
      <t xml:space="preserve">عایق پشم سنگ ضخامت </t>
    </r>
    <r>
      <rPr>
        <sz val="10"/>
        <rFont val="Vazirmatn"/>
        <family val="0"/>
        <charset val="1"/>
      </rPr>
      <t xml:space="preserve">5cm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1m</t>
    </r>
  </si>
  <si>
    <t xml:space="preserve">35124004</t>
  </si>
  <si>
    <r>
      <rPr>
        <sz val="10"/>
        <rFont val="FreeSans"/>
        <family val="2"/>
      </rPr>
      <t xml:space="preserve">عایق پشم سنگ لوله ای </t>
    </r>
    <r>
      <rPr>
        <sz val="10"/>
        <rFont val="Vazirmatn"/>
        <family val="0"/>
        <charset val="1"/>
      </rPr>
      <t xml:space="preserve">" 4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7/5cm </t>
    </r>
    <r>
      <rPr>
        <sz val="10"/>
        <rFont val="FreeSans"/>
        <family val="2"/>
      </rPr>
      <t xml:space="preserve">بدون روکش</t>
    </r>
  </si>
  <si>
    <t xml:space="preserve">35124008</t>
  </si>
  <si>
    <r>
      <rPr>
        <sz val="10"/>
        <rFont val="FreeSans"/>
        <family val="2"/>
      </rPr>
      <t xml:space="preserve">عایق پشم سنگ لوله ای </t>
    </r>
    <r>
      <rPr>
        <sz val="10"/>
        <rFont val="Vazirmatn"/>
        <family val="0"/>
        <charset val="1"/>
      </rPr>
      <t xml:space="preserve">" 5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5cm </t>
    </r>
    <r>
      <rPr>
        <sz val="10"/>
        <rFont val="FreeSans"/>
        <family val="2"/>
      </rPr>
      <t xml:space="preserve">بدون روکش</t>
    </r>
  </si>
  <si>
    <t xml:space="preserve">35124009</t>
  </si>
  <si>
    <r>
      <rPr>
        <sz val="10"/>
        <rFont val="FreeSans"/>
        <family val="2"/>
      </rPr>
      <t xml:space="preserve">عایق پشم سنگ پتوئی بافت گالوانیزه ضخامت </t>
    </r>
    <r>
      <rPr>
        <sz val="10"/>
        <rFont val="Vazirmatn"/>
        <family val="0"/>
        <charset val="1"/>
      </rPr>
      <t xml:space="preserve">10cm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1m</t>
    </r>
  </si>
  <si>
    <t xml:space="preserve">35124017</t>
  </si>
  <si>
    <r>
      <rPr>
        <sz val="10"/>
        <rFont val="FreeSans"/>
        <family val="2"/>
      </rPr>
      <t xml:space="preserve">عایق پشم سنگ لوله ای </t>
    </r>
    <r>
      <rPr>
        <sz val="10"/>
        <rFont val="Vazirmatn"/>
        <family val="0"/>
        <charset val="1"/>
      </rPr>
      <t xml:space="preserve">" 1/4 , 1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5cm </t>
    </r>
    <r>
      <rPr>
        <sz val="10"/>
        <rFont val="FreeSans"/>
        <family val="2"/>
      </rPr>
      <t xml:space="preserve">بدون روکش</t>
    </r>
  </si>
  <si>
    <t xml:space="preserve">35124030</t>
  </si>
  <si>
    <r>
      <rPr>
        <sz val="10"/>
        <rFont val="FreeSans"/>
        <family val="2"/>
      </rPr>
      <t xml:space="preserve">عایق پشم سنگ لوله ای </t>
    </r>
    <r>
      <rPr>
        <sz val="10"/>
        <rFont val="Vazirmatn"/>
        <family val="0"/>
        <charset val="1"/>
      </rPr>
      <t xml:space="preserve">" 8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10cm</t>
    </r>
  </si>
  <si>
    <t xml:space="preserve">35124038</t>
  </si>
  <si>
    <r>
      <rPr>
        <sz val="10"/>
        <rFont val="FreeSans"/>
        <family val="2"/>
      </rPr>
      <t xml:space="preserve">عایق  </t>
    </r>
    <r>
      <rPr>
        <sz val="10"/>
        <rFont val="Vazirmatn"/>
        <family val="0"/>
        <charset val="1"/>
      </rPr>
      <t xml:space="preserve">13 </t>
    </r>
    <r>
      <rPr>
        <sz val="10"/>
        <rFont val="FreeSans"/>
        <family val="2"/>
      </rPr>
      <t xml:space="preserve">میل  </t>
    </r>
    <r>
      <rPr>
        <sz val="10"/>
        <rFont val="Vazirmatn"/>
        <family val="0"/>
        <charset val="1"/>
      </rPr>
      <t xml:space="preserve">" 5/8  EPDM</t>
    </r>
  </si>
  <si>
    <t xml:space="preserve">35124039</t>
  </si>
  <si>
    <r>
      <rPr>
        <sz val="10"/>
        <rFont val="FreeSans"/>
        <family val="2"/>
      </rPr>
      <t xml:space="preserve">عایق  </t>
    </r>
    <r>
      <rPr>
        <sz val="10"/>
        <rFont val="Vazirmatn"/>
        <family val="0"/>
        <charset val="1"/>
      </rPr>
      <t xml:space="preserve">9 </t>
    </r>
    <r>
      <rPr>
        <sz val="10"/>
        <rFont val="FreeSans"/>
        <family val="2"/>
      </rPr>
      <t xml:space="preserve">میل  </t>
    </r>
    <r>
      <rPr>
        <sz val="10"/>
        <rFont val="Vazirmatn"/>
        <family val="0"/>
        <charset val="1"/>
      </rPr>
      <t xml:space="preserve">" 3/8  EPDM</t>
    </r>
  </si>
  <si>
    <t xml:space="preserve">35124042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</si>
  <si>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دوش اضطراری </t>
    </r>
    <r>
      <rPr>
        <sz val="10"/>
        <rFont val="Vazirmatn"/>
        <family val="0"/>
        <charset val="1"/>
      </rPr>
      <t xml:space="preserve">( 6076 )</t>
    </r>
  </si>
  <si>
    <t xml:space="preserve">35124043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</si>
  <si>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 ( 8475 )  MSDS</t>
    </r>
  </si>
  <si>
    <t xml:space="preserve">35124044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</si>
  <si>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فاصله پالت </t>
    </r>
    <r>
      <rPr>
        <sz val="10"/>
        <rFont val="Vazirmatn"/>
        <family val="0"/>
        <charset val="1"/>
      </rPr>
      <t xml:space="preserve">( 1589 )</t>
    </r>
  </si>
  <si>
    <t xml:space="preserve">35124045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</si>
  <si>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آسانسور محل بار </t>
    </r>
    <r>
      <rPr>
        <sz val="10"/>
        <rFont val="Vazirmatn"/>
        <family val="0"/>
        <charset val="1"/>
      </rPr>
      <t xml:space="preserve">( 1602 )</t>
    </r>
  </si>
  <si>
    <t xml:space="preserve">35124046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</si>
  <si>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نظافت محل کار </t>
    </r>
    <r>
      <rPr>
        <sz val="10"/>
        <rFont val="Vazirmatn"/>
        <family val="0"/>
        <charset val="1"/>
      </rPr>
      <t xml:space="preserve">( 1701 )</t>
    </r>
  </si>
  <si>
    <t xml:space="preserve">35124047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</si>
  <si>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دکل لیفتراک </t>
    </r>
    <r>
      <rPr>
        <sz val="10"/>
        <rFont val="Vazirmatn"/>
        <family val="0"/>
        <charset val="1"/>
      </rPr>
      <t xml:space="preserve">( 1548 )</t>
    </r>
  </si>
  <si>
    <t xml:space="preserve">35124048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</si>
  <si>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عایق برق </t>
    </r>
    <r>
      <rPr>
        <sz val="10"/>
        <rFont val="Vazirmatn"/>
        <family val="0"/>
        <charset val="1"/>
      </rPr>
      <t xml:space="preserve">( 1946 )</t>
    </r>
  </si>
  <si>
    <t xml:space="preserve">35124049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</si>
  <si>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حفاظت ایمنی </t>
    </r>
    <r>
      <rPr>
        <sz val="10"/>
        <rFont val="Vazirmatn"/>
        <family val="0"/>
        <charset val="1"/>
      </rPr>
      <t xml:space="preserve">( 1516 )</t>
    </r>
  </si>
  <si>
    <t xml:space="preserve">35124050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</si>
  <si>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سیگار کشیدن ممنوع </t>
    </r>
    <r>
      <rPr>
        <sz val="10"/>
        <rFont val="Vazirmatn"/>
        <family val="0"/>
        <charset val="1"/>
      </rPr>
      <t xml:space="preserve">( 2103 )</t>
    </r>
  </si>
  <si>
    <t xml:space="preserve">35124051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</si>
  <si>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تخلیه مواد شیمیایی </t>
    </r>
    <r>
      <rPr>
        <sz val="10"/>
        <rFont val="Vazirmatn"/>
        <family val="0"/>
        <charset val="1"/>
      </rPr>
      <t xml:space="preserve">( 2130 )</t>
    </r>
  </si>
  <si>
    <t xml:space="preserve">35124052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</si>
  <si>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ایمنی لیفتراک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محل نفر</t>
    </r>
    <r>
      <rPr>
        <sz val="10"/>
        <rFont val="Vazirmatn"/>
        <family val="0"/>
        <charset val="1"/>
      </rPr>
      <t xml:space="preserve">) ( 2211 )</t>
    </r>
  </si>
  <si>
    <t xml:space="preserve">35124053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</si>
  <si>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ایمنی لیفتراک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بار </t>
    </r>
    <r>
      <rPr>
        <sz val="10"/>
        <rFont val="Vazirmatn"/>
        <family val="0"/>
        <charset val="1"/>
      </rPr>
      <t xml:space="preserve">) ( 2221 )</t>
    </r>
  </si>
  <si>
    <t xml:space="preserve">35124054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</si>
  <si>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تردد نوار نقاله </t>
    </r>
    <r>
      <rPr>
        <sz val="10"/>
        <rFont val="Vazirmatn"/>
        <family val="0"/>
        <charset val="1"/>
      </rPr>
      <t xml:space="preserve">( 2229 )</t>
    </r>
  </si>
  <si>
    <t xml:space="preserve">35124055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</si>
  <si>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زیور آلات </t>
    </r>
    <r>
      <rPr>
        <sz val="10"/>
        <rFont val="Vazirmatn"/>
        <family val="0"/>
        <charset val="1"/>
      </rPr>
      <t xml:space="preserve">( 2435 )</t>
    </r>
  </si>
  <si>
    <t xml:space="preserve">35124056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</si>
  <si>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لوازم حفاظت فردی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برق </t>
    </r>
    <r>
      <rPr>
        <sz val="10"/>
        <rFont val="Vazirmatn"/>
        <family val="0"/>
        <charset val="1"/>
      </rPr>
      <t xml:space="preserve">)  ( 1963 )</t>
    </r>
  </si>
  <si>
    <t xml:space="preserve">35124057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</si>
  <si>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</t>
    </r>
    <r>
      <rPr>
        <sz val="10"/>
        <rFont val="FreeSans"/>
        <family val="2"/>
      </rPr>
      <t xml:space="preserve">لوازم حفاظت فردی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فنی </t>
    </r>
    <r>
      <rPr>
        <sz val="10"/>
        <rFont val="Vazirmatn"/>
        <family val="0"/>
        <charset val="1"/>
      </rPr>
      <t xml:space="preserve">) ( A1914 )</t>
    </r>
  </si>
  <si>
    <t xml:space="preserve">35124058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</si>
  <si>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لوازم حفاظت فردی </t>
    </r>
    <r>
      <rPr>
        <sz val="10"/>
        <rFont val="Vazirmatn"/>
        <family val="0"/>
        <charset val="1"/>
      </rPr>
      <t xml:space="preserve">( 1915 )</t>
    </r>
  </si>
  <si>
    <t xml:space="preserve">35124059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</si>
  <si>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ماسک شیمیایی </t>
    </r>
    <r>
      <rPr>
        <sz val="10"/>
        <rFont val="Vazirmatn"/>
        <family val="0"/>
        <charset val="1"/>
      </rPr>
      <t xml:space="preserve">( 1917 )</t>
    </r>
  </si>
  <si>
    <t xml:space="preserve">35124060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</si>
  <si>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لوازم حفاظت فردی </t>
    </r>
    <r>
      <rPr>
        <sz val="10"/>
        <rFont val="Vazirmatn"/>
        <family val="0"/>
        <charset val="1"/>
      </rPr>
      <t xml:space="preserve">(A1924 )</t>
    </r>
  </si>
  <si>
    <t xml:space="preserve">35124061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</si>
  <si>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زنجیر کپسول </t>
    </r>
    <r>
      <rPr>
        <sz val="10"/>
        <rFont val="Vazirmatn"/>
        <family val="0"/>
        <charset val="1"/>
      </rPr>
      <t xml:space="preserve">( A1811 )</t>
    </r>
  </si>
  <si>
    <t xml:space="preserve">35124062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</si>
  <si>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نحوه انبارش </t>
    </r>
    <r>
      <rPr>
        <sz val="10"/>
        <rFont val="Vazirmatn"/>
        <family val="0"/>
        <charset val="1"/>
      </rPr>
      <t xml:space="preserve">( 1831 )</t>
    </r>
  </si>
  <si>
    <t xml:space="preserve">35124063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</si>
  <si>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اخذ پرمیت </t>
    </r>
    <r>
      <rPr>
        <sz val="10"/>
        <rFont val="Vazirmatn"/>
        <family val="0"/>
        <charset val="1"/>
      </rPr>
      <t xml:space="preserve">( 1848 )</t>
    </r>
  </si>
  <si>
    <t xml:space="preserve">35124064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</si>
  <si>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جمع آوری زباله </t>
    </r>
    <r>
      <rPr>
        <sz val="10"/>
        <rFont val="Vazirmatn"/>
        <family val="0"/>
        <charset val="1"/>
      </rPr>
      <t xml:space="preserve">( 1703 )</t>
    </r>
  </si>
  <si>
    <t xml:space="preserve">35124065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</si>
  <si>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نظافت محیط کار </t>
    </r>
    <r>
      <rPr>
        <sz val="10"/>
        <rFont val="Vazirmatn"/>
        <family val="0"/>
        <charset val="1"/>
      </rPr>
      <t xml:space="preserve">( 1704 )</t>
    </r>
  </si>
  <si>
    <t xml:space="preserve">35124066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</si>
  <si>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ضد عفونی دست </t>
    </r>
    <r>
      <rPr>
        <sz val="10"/>
        <rFont val="Vazirmatn"/>
        <family val="0"/>
        <charset val="1"/>
      </rPr>
      <t xml:space="preserve">( A1712 )</t>
    </r>
  </si>
  <si>
    <t xml:space="preserve">35124067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</si>
  <si>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گزارش آسیب </t>
    </r>
    <r>
      <rPr>
        <sz val="10"/>
        <rFont val="Vazirmatn"/>
        <family val="0"/>
        <charset val="1"/>
      </rPr>
      <t xml:space="preserve">( 1731 )</t>
    </r>
  </si>
  <si>
    <t xml:space="preserve">35124068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</si>
  <si>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گزارش شرایط </t>
    </r>
    <r>
      <rPr>
        <sz val="10"/>
        <rFont val="Vazirmatn"/>
        <family val="0"/>
        <charset val="1"/>
      </rPr>
      <t xml:space="preserve">( 8478 )</t>
    </r>
  </si>
  <si>
    <t xml:space="preserve">35124069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</si>
  <si>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45 * 60  </t>
    </r>
    <r>
      <rPr>
        <sz val="10"/>
        <rFont val="FreeSans"/>
        <family val="2"/>
      </rPr>
      <t xml:space="preserve">شعار ایمنی </t>
    </r>
    <r>
      <rPr>
        <sz val="10"/>
        <rFont val="Vazirmatn"/>
        <family val="0"/>
        <charset val="1"/>
      </rPr>
      <t xml:space="preserve">( 9004 )</t>
    </r>
  </si>
  <si>
    <t xml:space="preserve">35124070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</si>
  <si>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45 * 60  </t>
    </r>
    <r>
      <rPr>
        <sz val="10"/>
        <rFont val="FreeSans"/>
        <family val="2"/>
      </rPr>
      <t xml:space="preserve">محل بار </t>
    </r>
    <r>
      <rPr>
        <sz val="10"/>
        <rFont val="Vazirmatn"/>
        <family val="0"/>
        <charset val="1"/>
      </rPr>
      <t xml:space="preserve">( 9007 )</t>
    </r>
  </si>
  <si>
    <t xml:space="preserve">35124071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</si>
  <si>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لوزی خطر </t>
    </r>
    <r>
      <rPr>
        <sz val="10"/>
        <rFont val="Vazirmatn"/>
        <family val="0"/>
        <charset val="1"/>
      </rPr>
      <t xml:space="preserve">( 9017 )</t>
    </r>
  </si>
  <si>
    <t xml:space="preserve">35124072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</si>
  <si>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نظافت محیط کار </t>
    </r>
    <r>
      <rPr>
        <sz val="10"/>
        <rFont val="Vazirmatn"/>
        <family val="0"/>
        <charset val="1"/>
      </rPr>
      <t xml:space="preserve">( 1384 )</t>
    </r>
  </si>
  <si>
    <t xml:space="preserve">35124073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</si>
  <si>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لباس شیمیایی </t>
    </r>
    <r>
      <rPr>
        <sz val="10"/>
        <rFont val="Vazirmatn"/>
        <family val="0"/>
        <charset val="1"/>
      </rPr>
      <t xml:space="preserve">( 1296 )</t>
    </r>
  </si>
  <si>
    <t xml:space="preserve">مواد یوتیلیتی و تصفی</t>
  </si>
  <si>
    <t xml:space="preserve">35124074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</si>
  <si>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30 * 45  </t>
    </r>
    <r>
      <rPr>
        <sz val="10"/>
        <rFont val="FreeSans"/>
        <family val="2"/>
      </rPr>
      <t xml:space="preserve">کاور کفش </t>
    </r>
    <r>
      <rPr>
        <sz val="10"/>
        <rFont val="Vazirmatn"/>
        <family val="0"/>
        <charset val="1"/>
      </rPr>
      <t xml:space="preserve">( 1186 )</t>
    </r>
  </si>
  <si>
    <t xml:space="preserve">35124075</t>
  </si>
  <si>
    <r>
      <rPr>
        <sz val="10"/>
        <rFont val="FreeSans"/>
        <family val="2"/>
      </rPr>
      <t xml:space="preserve">عایق لوله ای الاستو مریک  </t>
    </r>
    <r>
      <rPr>
        <sz val="10"/>
        <rFont val="Vazirmatn"/>
        <family val="0"/>
        <charset val="1"/>
      </rPr>
      <t xml:space="preserve">" 3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19mm</t>
    </r>
  </si>
  <si>
    <t xml:space="preserve">35124078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</si>
  <si>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60 * 30 </t>
    </r>
    <r>
      <rPr>
        <sz val="10"/>
        <rFont val="FreeSans"/>
        <family val="2"/>
      </rPr>
      <t xml:space="preserve">به طرف محل تجمع ایمن</t>
    </r>
  </si>
  <si>
    <t xml:space="preserve">35124079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</si>
  <si>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60 * 45  </t>
    </r>
    <r>
      <rPr>
        <sz val="10"/>
        <rFont val="FreeSans"/>
        <family val="2"/>
      </rPr>
      <t xml:space="preserve">محل تجمع ایمن</t>
    </r>
  </si>
  <si>
    <t xml:space="preserve">35124408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</si>
  <si>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 120 * 80   MSDS</t>
    </r>
  </si>
  <si>
    <t xml:space="preserve">35124409</t>
  </si>
  <si>
    <r>
      <rPr>
        <sz val="10"/>
        <rFont val="FreeSans"/>
        <family val="2"/>
      </rPr>
      <t xml:space="preserve">تابلوی </t>
    </r>
    <r>
      <rPr>
        <sz val="10"/>
        <rFont val="Vazirmatn"/>
        <family val="0"/>
        <charset val="1"/>
      </rPr>
      <t xml:space="preserve">PVC  60 * 40   MSDS</t>
    </r>
  </si>
  <si>
    <t xml:space="preserve">35126100</t>
  </si>
  <si>
    <r>
      <rPr>
        <sz val="10"/>
        <rFont val="FreeSans"/>
        <family val="2"/>
      </rPr>
      <t xml:space="preserve">فنر لوله بازکنی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متری</t>
    </r>
  </si>
  <si>
    <t xml:space="preserve">35126102</t>
  </si>
  <si>
    <r>
      <rPr>
        <sz val="10"/>
        <rFont val="FreeSans"/>
        <family val="2"/>
      </rPr>
      <t xml:space="preserve">فنر کشی دوسر قلاب دار </t>
    </r>
    <r>
      <rPr>
        <sz val="10"/>
        <rFont val="Vazirmatn"/>
        <family val="0"/>
        <charset val="1"/>
      </rPr>
      <t xml:space="preserve">10cm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1/5</t>
    </r>
  </si>
  <si>
    <t xml:space="preserve">35126103</t>
  </si>
  <si>
    <r>
      <rPr>
        <sz val="10"/>
        <rFont val="FreeSans"/>
        <family val="2"/>
      </rPr>
      <t xml:space="preserve">فنر لوله بازکنی </t>
    </r>
    <r>
      <rPr>
        <sz val="10"/>
        <rFont val="Vazirmatn"/>
        <family val="0"/>
        <charset val="1"/>
      </rPr>
      <t xml:space="preserve">15 </t>
    </r>
    <r>
      <rPr>
        <sz val="10"/>
        <rFont val="FreeSans"/>
        <family val="2"/>
      </rPr>
      <t xml:space="preserve">متری</t>
    </r>
  </si>
  <si>
    <t xml:space="preserve">35128133</t>
  </si>
  <si>
    <t xml:space="preserve">چسب بتون</t>
  </si>
  <si>
    <t xml:space="preserve">35128134</t>
  </si>
  <si>
    <r>
      <rPr>
        <sz val="10"/>
        <rFont val="FreeSans"/>
        <family val="2"/>
      </rPr>
      <t xml:space="preserve">چسب پودری </t>
    </r>
    <r>
      <rPr>
        <sz val="10"/>
        <rFont val="Vazirmatn"/>
        <family val="0"/>
        <charset val="1"/>
      </rPr>
      <t xml:space="preserve">300</t>
    </r>
  </si>
  <si>
    <t xml:space="preserve">35132017</t>
  </si>
  <si>
    <t xml:space="preserve">بوق حلزونی لودر</t>
  </si>
  <si>
    <r>
      <rPr>
        <sz val="10"/>
        <rFont val="Vazirmatn"/>
        <family val="0"/>
        <charset val="1"/>
      </rPr>
      <t xml:space="preserve">3513 (</t>
    </r>
    <r>
      <rPr>
        <sz val="10"/>
        <rFont val="FreeSans"/>
        <family val="2"/>
      </rPr>
      <t xml:space="preserve">بوق، بوشن</t>
    </r>
    <r>
      <rPr>
        <sz val="10"/>
        <rFont val="Vazirmatn"/>
        <family val="0"/>
        <charset val="1"/>
      </rPr>
      <t xml:space="preserve">)</t>
    </r>
  </si>
  <si>
    <t xml:space="preserve">35132141</t>
  </si>
  <si>
    <r>
      <rPr>
        <sz val="10"/>
        <rFont val="FreeSans"/>
        <family val="2"/>
      </rPr>
      <t xml:space="preserve">بوشن آذین ساده        </t>
    </r>
    <r>
      <rPr>
        <sz val="10"/>
        <rFont val="Vazirmatn"/>
        <family val="0"/>
        <charset val="1"/>
      </rPr>
      <t xml:space="preserve">" 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1/2</t>
    </r>
  </si>
  <si>
    <t xml:space="preserve">35142000</t>
  </si>
  <si>
    <r>
      <rPr>
        <sz val="10"/>
        <rFont val="FreeSans"/>
        <family val="2"/>
      </rPr>
      <t xml:space="preserve">پین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پای روغن کشی</t>
    </r>
  </si>
  <si>
    <t xml:space="preserve">35162011</t>
  </si>
  <si>
    <t xml:space="preserve">پیچ</t>
  </si>
  <si>
    <r>
      <rPr>
        <sz val="10"/>
        <rFont val="Vazirmatn"/>
        <family val="0"/>
        <charset val="1"/>
      </rPr>
      <t xml:space="preserve">3516 (</t>
    </r>
    <r>
      <rPr>
        <sz val="10"/>
        <rFont val="FreeSans"/>
        <family val="2"/>
      </rPr>
      <t xml:space="preserve">پیچ، نیم</t>
    </r>
    <r>
      <rPr>
        <sz val="10"/>
        <rFont val="Vazirmatn"/>
        <family val="0"/>
        <charset val="1"/>
      </rPr>
      <t xml:space="preserve">)</t>
    </r>
  </si>
  <si>
    <t xml:space="preserve">35163008</t>
  </si>
  <si>
    <t xml:space="preserve">نیم مهره</t>
  </si>
  <si>
    <t xml:space="preserve">35164900</t>
  </si>
  <si>
    <r>
      <rPr>
        <sz val="10"/>
        <rFont val="FreeSans"/>
        <family val="2"/>
      </rPr>
      <t xml:space="preserve">کلگی توزیع آب   </t>
    </r>
    <r>
      <rPr>
        <sz val="10"/>
        <rFont val="Vazirmatn"/>
        <family val="0"/>
        <charset val="1"/>
      </rPr>
      <t xml:space="preserve">" 8</t>
    </r>
  </si>
  <si>
    <t xml:space="preserve">35165100</t>
  </si>
  <si>
    <t xml:space="preserve">زنجیر پلاستیکی رنگی</t>
  </si>
  <si>
    <t xml:space="preserve">35170151</t>
  </si>
  <si>
    <r>
      <rPr>
        <sz val="10"/>
        <rFont val="FreeSans"/>
        <family val="2"/>
      </rPr>
      <t xml:space="preserve">دریچه بازدید پلیکا       </t>
    </r>
    <r>
      <rPr>
        <sz val="10"/>
        <rFont val="Vazirmatn"/>
        <family val="0"/>
        <charset val="1"/>
      </rPr>
      <t xml:space="preserve">4</t>
    </r>
  </si>
  <si>
    <t xml:space="preserve">35171033</t>
  </si>
  <si>
    <t xml:space="preserve">شیر فشاری جا مایع شاستی دار</t>
  </si>
  <si>
    <t xml:space="preserve">35172340</t>
  </si>
  <si>
    <r>
      <rPr>
        <sz val="10"/>
        <rFont val="FreeSans"/>
        <family val="2"/>
      </rPr>
      <t xml:space="preserve">زانویی آذین  </t>
    </r>
    <r>
      <rPr>
        <sz val="10"/>
        <rFont val="Vazirmatn"/>
        <family val="0"/>
        <charset val="1"/>
      </rPr>
      <t xml:space="preserve">20 *25</t>
    </r>
  </si>
  <si>
    <t xml:space="preserve">35172342</t>
  </si>
  <si>
    <r>
      <rPr>
        <sz val="10"/>
        <rFont val="FreeSans"/>
        <family val="2"/>
      </rPr>
      <t xml:space="preserve">زانویی آذین یکسر دنده     </t>
    </r>
    <r>
      <rPr>
        <sz val="10"/>
        <rFont val="Vazirmatn"/>
        <family val="0"/>
        <charset val="1"/>
      </rPr>
      <t xml:space="preserve">" 3/4</t>
    </r>
  </si>
  <si>
    <t xml:space="preserve">35172501</t>
  </si>
  <si>
    <r>
      <rPr>
        <sz val="10"/>
        <rFont val="FreeSans"/>
        <family val="2"/>
      </rPr>
      <t xml:space="preserve">درپوش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جای لوله بخاری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روی دیوار</t>
    </r>
  </si>
  <si>
    <t xml:space="preserve">35172502</t>
  </si>
  <si>
    <r>
      <rPr>
        <sz val="10"/>
        <rFont val="FreeSans"/>
        <family val="2"/>
      </rPr>
      <t xml:space="preserve">زانویی گالوانیزه لوله بخاری  </t>
    </r>
    <r>
      <rPr>
        <sz val="10"/>
        <rFont val="Vazirmatn"/>
        <family val="0"/>
        <charset val="1"/>
      </rPr>
      <t xml:space="preserve">6</t>
    </r>
  </si>
  <si>
    <t xml:space="preserve">35172882</t>
  </si>
  <si>
    <r>
      <rPr>
        <sz val="10"/>
        <rFont val="FreeSans"/>
        <family val="2"/>
      </rPr>
      <t xml:space="preserve">سه راهی سفید آذین  </t>
    </r>
    <r>
      <rPr>
        <sz val="10"/>
        <rFont val="Vazirmatn"/>
        <family val="0"/>
        <charset val="1"/>
      </rPr>
      <t xml:space="preserve">1/2</t>
    </r>
  </si>
  <si>
    <t xml:space="preserve">35173800</t>
  </si>
  <si>
    <t xml:space="preserve">صفحه فلکسی رول لیبل دستگاه لیبل زن روغن</t>
  </si>
  <si>
    <t xml:space="preserve">35173801</t>
  </si>
  <si>
    <t xml:space="preserve">صفحه فلکسی رول جمع کن دستگاه لیبل زن روغن</t>
  </si>
  <si>
    <t xml:space="preserve">35173900</t>
  </si>
  <si>
    <t xml:space="preserve">کف شور چدن</t>
  </si>
  <si>
    <t xml:space="preserve">35173908</t>
  </si>
  <si>
    <r>
      <rPr>
        <sz val="10"/>
        <rFont val="FreeSans"/>
        <family val="2"/>
      </rPr>
      <t xml:space="preserve">بوم راه بند </t>
    </r>
    <r>
      <rPr>
        <sz val="10"/>
        <rFont val="Vazirmatn"/>
        <family val="0"/>
        <charset val="1"/>
      </rPr>
      <t xml:space="preserve">680 </t>
    </r>
    <r>
      <rPr>
        <sz val="10"/>
        <rFont val="FreeSans"/>
        <family val="2"/>
      </rPr>
      <t xml:space="preserve">فک</t>
    </r>
  </si>
  <si>
    <t xml:space="preserve">35173909</t>
  </si>
  <si>
    <t xml:space="preserve">آرام بند درب</t>
  </si>
  <si>
    <t xml:space="preserve">35175005</t>
  </si>
  <si>
    <t xml:space="preserve">چاه بست پلاستیکی سرویس بهداشتی</t>
  </si>
  <si>
    <t xml:space="preserve">35175011</t>
  </si>
  <si>
    <r>
      <rPr>
        <sz val="10"/>
        <rFont val="FreeSans"/>
        <family val="2"/>
      </rPr>
      <t xml:space="preserve">فلاش تانک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لیتری با متعلقات</t>
    </r>
  </si>
  <si>
    <t xml:space="preserve">35175012</t>
  </si>
  <si>
    <r>
      <rPr>
        <sz val="10"/>
        <rFont val="FreeSans"/>
        <family val="2"/>
      </rPr>
      <t xml:space="preserve">روشویی نیم پایه چینی کرد مدل آرتا </t>
    </r>
    <r>
      <rPr>
        <sz val="10"/>
        <rFont val="Vazirmatn"/>
        <family val="0"/>
        <charset val="1"/>
      </rPr>
      <t xml:space="preserve">( 52*47 )</t>
    </r>
  </si>
  <si>
    <t xml:space="preserve">35175013</t>
  </si>
  <si>
    <t xml:space="preserve">روشویی به همراه آینه</t>
  </si>
  <si>
    <t xml:space="preserve">35175014</t>
  </si>
  <si>
    <r>
      <rPr>
        <sz val="10"/>
        <rFont val="FreeSans"/>
        <family val="2"/>
      </rPr>
      <t xml:space="preserve">روشویی سرامیکی پایه دار آپولون </t>
    </r>
    <r>
      <rPr>
        <sz val="10"/>
        <rFont val="Vazirmatn"/>
        <family val="0"/>
        <charset val="1"/>
      </rPr>
      <t xml:space="preserve">( SC - apollon )</t>
    </r>
  </si>
  <si>
    <t xml:space="preserve">35175015</t>
  </si>
  <si>
    <t xml:space="preserve">کابینت های گلاس با صفحه کابینت به همراه یراق آلات و دستگیره</t>
  </si>
  <si>
    <t xml:space="preserve">35175016</t>
  </si>
  <si>
    <r>
      <rPr>
        <sz val="10"/>
        <rFont val="FreeSans"/>
        <family val="2"/>
      </rPr>
      <t xml:space="preserve">سینک توکار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پله ضخامت </t>
    </r>
    <r>
      <rPr>
        <sz val="10"/>
        <rFont val="Vazirmatn"/>
        <family val="0"/>
        <charset val="1"/>
      </rPr>
      <t xml:space="preserve">0/8mm</t>
    </r>
  </si>
  <si>
    <t xml:space="preserve">35175063</t>
  </si>
  <si>
    <r>
      <rPr>
        <sz val="10"/>
        <rFont val="FreeSans"/>
        <family val="2"/>
      </rPr>
      <t xml:space="preserve">سینک ظرفشویی تک لگن روکار  </t>
    </r>
    <r>
      <rPr>
        <sz val="10"/>
        <rFont val="Vazirmatn"/>
        <family val="0"/>
        <charset val="1"/>
      </rPr>
      <t xml:space="preserve">100*60</t>
    </r>
  </si>
  <si>
    <t xml:space="preserve">35175064</t>
  </si>
  <si>
    <r>
      <rPr>
        <sz val="10"/>
        <rFont val="FreeSans"/>
        <family val="2"/>
      </rPr>
      <t xml:space="preserve">سینک ضد اسید و خوراکی مخصوص آزمایشگاه عرض </t>
    </r>
    <r>
      <rPr>
        <sz val="10"/>
        <rFont val="Vazirmatn"/>
        <family val="0"/>
        <charset val="1"/>
      </rPr>
      <t xml:space="preserve">36Cm -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45Cm - </t>
    </r>
    <r>
      <rPr>
        <sz val="10"/>
        <rFont val="FreeSans"/>
        <family val="2"/>
      </rPr>
      <t xml:space="preserve">عمق </t>
    </r>
    <r>
      <rPr>
        <sz val="10"/>
        <rFont val="Vazirmatn"/>
        <family val="0"/>
        <charset val="1"/>
      </rPr>
      <t xml:space="preserve">26Cm</t>
    </r>
  </si>
  <si>
    <t xml:space="preserve">35176280</t>
  </si>
  <si>
    <t xml:space="preserve">لوله عصائی پلاستیکی</t>
  </si>
  <si>
    <t xml:space="preserve">35176283</t>
  </si>
  <si>
    <r>
      <rPr>
        <sz val="10"/>
        <rFont val="FreeSans"/>
        <family val="2"/>
      </rPr>
      <t xml:space="preserve">جک سیلندری پنوماتیک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قلمی </t>
    </r>
    <r>
      <rPr>
        <sz val="10"/>
        <rFont val="Vazirmatn"/>
        <family val="0"/>
        <charset val="1"/>
      </rPr>
      <t xml:space="preserve">) 20mm*25mm 0/5-10bar</t>
    </r>
  </si>
  <si>
    <t xml:space="preserve">35176290</t>
  </si>
  <si>
    <r>
      <rPr>
        <sz val="10"/>
        <rFont val="FreeSans"/>
        <family val="2"/>
      </rPr>
      <t xml:space="preserve">لوله  بخاری  نمره   </t>
    </r>
    <r>
      <rPr>
        <sz val="10"/>
        <rFont val="Vazirmatn"/>
        <family val="0"/>
        <charset val="1"/>
      </rPr>
      <t xml:space="preserve">10</t>
    </r>
  </si>
  <si>
    <t xml:space="preserve">35176292</t>
  </si>
  <si>
    <r>
      <rPr>
        <sz val="10"/>
        <rFont val="FreeSans"/>
        <family val="2"/>
      </rPr>
      <t xml:space="preserve">کلاهک بخاری </t>
    </r>
    <r>
      <rPr>
        <sz val="10"/>
        <rFont val="Vazirmatn"/>
        <family val="0"/>
        <charset val="1"/>
      </rPr>
      <t xml:space="preserve">H </t>
    </r>
    <r>
      <rPr>
        <sz val="10"/>
        <rFont val="FreeSans"/>
        <family val="2"/>
      </rPr>
      <t xml:space="preserve">شکل    </t>
    </r>
    <r>
      <rPr>
        <sz val="10"/>
        <rFont val="Vazirmatn"/>
        <family val="0"/>
        <charset val="1"/>
      </rPr>
      <t xml:space="preserve">10</t>
    </r>
  </si>
  <si>
    <t xml:space="preserve">35176295</t>
  </si>
  <si>
    <r>
      <rPr>
        <sz val="10"/>
        <rFont val="FreeSans"/>
        <family val="2"/>
      </rPr>
      <t xml:space="preserve">لوله  بخاری  نمره   </t>
    </r>
    <r>
      <rPr>
        <sz val="10"/>
        <rFont val="Vazirmatn"/>
        <family val="0"/>
        <charset val="1"/>
      </rPr>
      <t xml:space="preserve">6</t>
    </r>
  </si>
  <si>
    <t xml:space="preserve">35179054</t>
  </si>
  <si>
    <r>
      <rPr>
        <sz val="10"/>
        <rFont val="FreeSans"/>
        <family val="2"/>
      </rPr>
      <t xml:space="preserve">شیشه ساده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میل</t>
    </r>
  </si>
  <si>
    <t xml:space="preserve">35179057</t>
  </si>
  <si>
    <r>
      <rPr>
        <sz val="10"/>
        <rFont val="FreeSans"/>
        <family val="2"/>
      </rPr>
      <t xml:space="preserve">شیشه   </t>
    </r>
    <r>
      <rPr>
        <sz val="10"/>
        <rFont val="Vazirmatn"/>
        <family val="0"/>
        <charset val="1"/>
      </rPr>
      <t xml:space="preserve">8  </t>
    </r>
    <r>
      <rPr>
        <sz val="10"/>
        <rFont val="FreeSans"/>
        <family val="2"/>
      </rPr>
      <t xml:space="preserve">میلیمتر</t>
    </r>
  </si>
  <si>
    <t xml:space="preserve">35179062</t>
  </si>
  <si>
    <t xml:space="preserve">پوشال</t>
  </si>
  <si>
    <t xml:space="preserve">35185102</t>
  </si>
  <si>
    <t xml:space="preserve">غلطک</t>
  </si>
  <si>
    <t xml:space="preserve">35186002</t>
  </si>
  <si>
    <r>
      <rPr>
        <sz val="10"/>
        <rFont val="FreeSans"/>
        <family val="2"/>
      </rPr>
      <t xml:space="preserve">متر </t>
    </r>
    <r>
      <rPr>
        <sz val="10"/>
        <rFont val="Vazirmatn"/>
        <family val="0"/>
        <charset val="1"/>
      </rPr>
      <t xml:space="preserve">5  </t>
    </r>
    <r>
      <rPr>
        <sz val="10"/>
        <rFont val="FreeSans"/>
        <family val="2"/>
      </rPr>
      <t xml:space="preserve">متری</t>
    </r>
  </si>
  <si>
    <t xml:space="preserve">35186004</t>
  </si>
  <si>
    <r>
      <rPr>
        <sz val="10"/>
        <rFont val="FreeSans"/>
        <family val="2"/>
      </rPr>
      <t xml:space="preserve">متر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متری</t>
    </r>
  </si>
  <si>
    <t xml:space="preserve">35186019</t>
  </si>
  <si>
    <r>
      <rPr>
        <sz val="10"/>
        <rFont val="FreeSans"/>
        <family val="2"/>
      </rPr>
      <t xml:space="preserve">جعبه آتش نشانی </t>
    </r>
    <r>
      <rPr>
        <sz val="10"/>
        <rFont val="Vazirmatn"/>
        <family val="0"/>
        <charset val="1"/>
      </rPr>
      <t xml:space="preserve">( 60Cm*70Cm ( Fire box</t>
    </r>
  </si>
  <si>
    <t xml:space="preserve">35186023</t>
  </si>
  <si>
    <t xml:space="preserve">سر پیک کپسول</t>
  </si>
  <si>
    <t xml:space="preserve">35186024</t>
  </si>
  <si>
    <r>
      <rPr>
        <sz val="10"/>
        <rFont val="FreeSans"/>
        <family val="2"/>
      </rPr>
      <t xml:space="preserve">آهن ربای نئودیمیوم  </t>
    </r>
    <r>
      <rPr>
        <sz val="10"/>
        <rFont val="Vazirmatn"/>
        <family val="0"/>
        <charset val="1"/>
      </rPr>
      <t xml:space="preserve">20 * 50 * 100 ( ND )</t>
    </r>
  </si>
  <si>
    <t xml:space="preserve">35186026</t>
  </si>
  <si>
    <t xml:space="preserve">دنباله بلند آرگون</t>
  </si>
  <si>
    <t xml:space="preserve">35186030</t>
  </si>
  <si>
    <r>
      <rPr>
        <sz val="10"/>
        <rFont val="FreeSans"/>
        <family val="2"/>
      </rPr>
      <t xml:space="preserve">متر </t>
    </r>
    <r>
      <rPr>
        <sz val="10"/>
        <rFont val="Vazirmatn"/>
        <family val="0"/>
        <charset val="1"/>
      </rPr>
      <t xml:space="preserve">10  </t>
    </r>
    <r>
      <rPr>
        <sz val="10"/>
        <rFont val="FreeSans"/>
        <family val="2"/>
      </rPr>
      <t xml:space="preserve">متری</t>
    </r>
  </si>
  <si>
    <t xml:space="preserve">35186034</t>
  </si>
  <si>
    <r>
      <rPr>
        <sz val="10"/>
        <rFont val="FreeSans"/>
        <family val="2"/>
      </rPr>
      <t xml:space="preserve">تراز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سانتی</t>
    </r>
  </si>
  <si>
    <t xml:space="preserve">35186036</t>
  </si>
  <si>
    <t xml:space="preserve">پشت بند مانومتر</t>
  </si>
  <si>
    <t xml:space="preserve">35186037</t>
  </si>
  <si>
    <t xml:space="preserve">سوکت نری کابل جوشکاری</t>
  </si>
  <si>
    <t xml:space="preserve">35186038</t>
  </si>
  <si>
    <t xml:space="preserve">سوکت مادگی کابل جوشکاری</t>
  </si>
  <si>
    <t xml:space="preserve">35186039</t>
  </si>
  <si>
    <r>
      <rPr>
        <sz val="10"/>
        <rFont val="FreeSans"/>
        <family val="2"/>
      </rPr>
      <t xml:space="preserve">آهنربای کونیک </t>
    </r>
    <r>
      <rPr>
        <sz val="10"/>
        <rFont val="Vazirmatn"/>
        <family val="0"/>
        <charset val="1"/>
      </rPr>
      <t xml:space="preserve">42 </t>
    </r>
    <r>
      <rPr>
        <sz val="10"/>
        <rFont val="FreeSans"/>
        <family val="2"/>
      </rPr>
      <t xml:space="preserve">طول</t>
    </r>
    <r>
      <rPr>
        <sz val="10"/>
        <rFont val="Vazirmatn"/>
        <family val="0"/>
        <charset val="1"/>
      </rPr>
      <t xml:space="preserve">15cm </t>
    </r>
    <r>
      <rPr>
        <sz val="10"/>
        <rFont val="FreeSans"/>
        <family val="2"/>
      </rPr>
      <t xml:space="preserve">عرض</t>
    </r>
    <r>
      <rPr>
        <sz val="10"/>
        <rFont val="Vazirmatn"/>
        <family val="0"/>
        <charset val="1"/>
      </rPr>
      <t xml:space="preserve">5cm </t>
    </r>
    <r>
      <rPr>
        <sz val="10"/>
        <rFont val="FreeSans"/>
        <family val="2"/>
      </rPr>
      <t xml:space="preserve">ضخامت</t>
    </r>
    <r>
      <rPr>
        <sz val="10"/>
        <rFont val="Vazirmatn"/>
        <family val="0"/>
        <charset val="1"/>
      </rPr>
      <t xml:space="preserve">4cm</t>
    </r>
  </si>
  <si>
    <t xml:space="preserve">35186041</t>
  </si>
  <si>
    <r>
      <rPr>
        <sz val="10"/>
        <rFont val="FreeSans"/>
        <family val="2"/>
      </rPr>
      <t xml:space="preserve">هویه  </t>
    </r>
    <r>
      <rPr>
        <sz val="10"/>
        <rFont val="Vazirmatn"/>
        <family val="0"/>
        <charset val="1"/>
      </rPr>
      <t xml:space="preserve">30W</t>
    </r>
  </si>
  <si>
    <t xml:space="preserve">35186042</t>
  </si>
  <si>
    <r>
      <rPr>
        <sz val="10"/>
        <rFont val="FreeSans"/>
        <family val="2"/>
      </rPr>
      <t xml:space="preserve">هویه  </t>
    </r>
    <r>
      <rPr>
        <sz val="10"/>
        <rFont val="Vazirmatn"/>
        <family val="0"/>
        <charset val="1"/>
      </rPr>
      <t xml:space="preserve">100W</t>
    </r>
  </si>
  <si>
    <t xml:space="preserve">35186043</t>
  </si>
  <si>
    <t xml:space="preserve">جعبه قطعات کیفی پلاستیکی</t>
  </si>
  <si>
    <t xml:space="preserve">35186049</t>
  </si>
  <si>
    <r>
      <rPr>
        <sz val="10"/>
        <rFont val="FreeSans"/>
        <family val="2"/>
      </rPr>
      <t xml:space="preserve">تبدیل رابط بکس بادی مادگی </t>
    </r>
    <r>
      <rPr>
        <sz val="10"/>
        <rFont val="Vazirmatn"/>
        <family val="0"/>
        <charset val="1"/>
      </rPr>
      <t xml:space="preserve">"3/4  </t>
    </r>
    <r>
      <rPr>
        <sz val="10"/>
        <rFont val="FreeSans"/>
        <family val="2"/>
      </rPr>
      <t xml:space="preserve">نری </t>
    </r>
    <r>
      <rPr>
        <sz val="10"/>
        <rFont val="Vazirmatn"/>
        <family val="0"/>
        <charset val="1"/>
      </rPr>
      <t xml:space="preserve">"1/2</t>
    </r>
  </si>
  <si>
    <t xml:space="preserve">35186051</t>
  </si>
  <si>
    <t xml:space="preserve">تیغه برش لوله آذین مینی سنگ</t>
  </si>
  <si>
    <t xml:space="preserve">35186052</t>
  </si>
  <si>
    <r>
      <rPr>
        <sz val="10"/>
        <rFont val="FreeSans"/>
        <family val="2"/>
      </rPr>
      <t xml:space="preserve">اتوی لوله پلی اتیلن </t>
    </r>
    <r>
      <rPr>
        <sz val="10"/>
        <rFont val="Vazirmatn"/>
        <family val="0"/>
        <charset val="1"/>
      </rPr>
      <t xml:space="preserve">200mm</t>
    </r>
  </si>
  <si>
    <t xml:space="preserve">35186056</t>
  </si>
  <si>
    <r>
      <rPr>
        <sz val="10"/>
        <rFont val="FreeSans"/>
        <family val="2"/>
      </rPr>
      <t xml:space="preserve">گیره دریل عمودی بزرگ باز شو فک </t>
    </r>
    <r>
      <rPr>
        <sz val="10"/>
        <rFont val="Vazirmatn"/>
        <family val="0"/>
        <charset val="1"/>
      </rPr>
      <t xml:space="preserve">20cm</t>
    </r>
  </si>
  <si>
    <t xml:space="preserve">35186057</t>
  </si>
  <si>
    <r>
      <rPr>
        <sz val="10"/>
        <rFont val="FreeSans"/>
        <family val="2"/>
      </rPr>
      <t xml:space="preserve">پیچ دستی  </t>
    </r>
    <r>
      <rPr>
        <sz val="10"/>
        <rFont val="Vazirmatn"/>
        <family val="0"/>
        <charset val="1"/>
      </rPr>
      <t xml:space="preserve">25cm</t>
    </r>
  </si>
  <si>
    <t xml:space="preserve">35186058</t>
  </si>
  <si>
    <r>
      <rPr>
        <sz val="10"/>
        <rFont val="FreeSans"/>
        <family val="2"/>
      </rPr>
      <t xml:space="preserve">پیچ دستی  </t>
    </r>
    <r>
      <rPr>
        <sz val="10"/>
        <rFont val="Vazirmatn"/>
        <family val="0"/>
        <charset val="1"/>
      </rPr>
      <t xml:space="preserve">50cm</t>
    </r>
  </si>
  <si>
    <t xml:space="preserve">35186059</t>
  </si>
  <si>
    <r>
      <rPr>
        <sz val="10"/>
        <rFont val="FreeSans"/>
        <family val="2"/>
      </rPr>
      <t xml:space="preserve">آچار یکسر تخت و یکسر رینگ جغجغه ای </t>
    </r>
    <r>
      <rPr>
        <sz val="10"/>
        <rFont val="Vazirmatn"/>
        <family val="0"/>
        <charset val="1"/>
      </rPr>
      <t xml:space="preserve">13 - 6</t>
    </r>
  </si>
  <si>
    <t xml:space="preserve">35186061</t>
  </si>
  <si>
    <t xml:space="preserve">قرقره و پرگار پلاسمای دستگاه گام</t>
  </si>
  <si>
    <t xml:space="preserve">35186062</t>
  </si>
  <si>
    <r>
      <rPr>
        <sz val="10"/>
        <rFont val="FreeSans"/>
        <family val="2"/>
      </rPr>
      <t xml:space="preserve">خط کش مرکز یاب  </t>
    </r>
    <r>
      <rPr>
        <sz val="10"/>
        <rFont val="Vazirmatn"/>
        <family val="0"/>
        <charset val="1"/>
      </rPr>
      <t xml:space="preserve">7205</t>
    </r>
  </si>
  <si>
    <t xml:space="preserve">35186063</t>
  </si>
  <si>
    <r>
      <rPr>
        <sz val="10"/>
        <rFont val="FreeSans"/>
        <family val="2"/>
      </rPr>
      <t xml:space="preserve">قلاب فلزی کمری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داربست </t>
    </r>
    <r>
      <rPr>
        <sz val="10"/>
        <rFont val="Vazirmatn"/>
        <family val="0"/>
        <charset val="1"/>
      </rPr>
      <t xml:space="preserve">)</t>
    </r>
  </si>
  <si>
    <t xml:space="preserve">35186064</t>
  </si>
  <si>
    <r>
      <rPr>
        <sz val="10"/>
        <rFont val="FreeSans"/>
        <family val="2"/>
      </rPr>
      <t xml:space="preserve">انبر کلاغی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رونیکس </t>
    </r>
    <r>
      <rPr>
        <sz val="10"/>
        <rFont val="Vazirmatn"/>
        <family val="0"/>
        <charset val="1"/>
      </rPr>
      <t xml:space="preserve">)  "10</t>
    </r>
  </si>
  <si>
    <t xml:space="preserve">35186066</t>
  </si>
  <si>
    <r>
      <rPr>
        <sz val="10"/>
        <rFont val="FreeSans"/>
        <family val="2"/>
      </rPr>
      <t xml:space="preserve">سنباده پارچه ای  </t>
    </r>
    <r>
      <rPr>
        <sz val="10"/>
        <rFont val="Vazirmatn"/>
        <family val="0"/>
        <charset val="1"/>
      </rPr>
      <t xml:space="preserve">P 40</t>
    </r>
  </si>
  <si>
    <t xml:space="preserve">35186067</t>
  </si>
  <si>
    <r>
      <rPr>
        <sz val="10"/>
        <rFont val="FreeSans"/>
        <family val="2"/>
      </rPr>
      <t xml:space="preserve">پانچ واشر سازی  </t>
    </r>
    <r>
      <rPr>
        <sz val="10"/>
        <rFont val="Vazirmatn"/>
        <family val="0"/>
        <charset val="1"/>
      </rPr>
      <t xml:space="preserve">6 - 20mm</t>
    </r>
  </si>
  <si>
    <t xml:space="preserve">35186068</t>
  </si>
  <si>
    <r>
      <rPr>
        <sz val="10"/>
        <rFont val="FreeSans"/>
        <family val="2"/>
      </rPr>
      <t xml:space="preserve">سنباده آهن  </t>
    </r>
    <r>
      <rPr>
        <sz val="10"/>
        <rFont val="Vazirmatn"/>
        <family val="0"/>
        <charset val="1"/>
      </rPr>
      <t xml:space="preserve">P 60</t>
    </r>
  </si>
  <si>
    <t xml:space="preserve">35186070</t>
  </si>
  <si>
    <r>
      <rPr>
        <sz val="10"/>
        <rFont val="FreeSans"/>
        <family val="2"/>
      </rPr>
      <t xml:space="preserve">فنر برق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متری</t>
    </r>
  </si>
  <si>
    <t xml:space="preserve">35186071</t>
  </si>
  <si>
    <r>
      <rPr>
        <sz val="10"/>
        <rFont val="FreeSans"/>
        <family val="2"/>
      </rPr>
      <t xml:space="preserve">فلش بک هوا برش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سر پیک </t>
    </r>
    <r>
      <rPr>
        <sz val="10"/>
        <rFont val="Vazirmatn"/>
        <family val="0"/>
        <charset val="1"/>
      </rPr>
      <t xml:space="preserve">)</t>
    </r>
  </si>
  <si>
    <t xml:space="preserve">35186072</t>
  </si>
  <si>
    <r>
      <rPr>
        <sz val="10"/>
        <rFont val="FreeSans"/>
        <family val="2"/>
      </rPr>
      <t xml:space="preserve">فلش بک هوا گاز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سر پیک </t>
    </r>
    <r>
      <rPr>
        <sz val="10"/>
        <rFont val="Vazirmatn"/>
        <family val="0"/>
        <charset val="1"/>
      </rPr>
      <t xml:space="preserve">)</t>
    </r>
  </si>
  <si>
    <t xml:space="preserve">35186073</t>
  </si>
  <si>
    <r>
      <rPr>
        <sz val="10"/>
        <rFont val="FreeSans"/>
        <family val="2"/>
      </rPr>
      <t xml:space="preserve">آچار فرانسه  </t>
    </r>
    <r>
      <rPr>
        <sz val="10"/>
        <rFont val="Vazirmatn"/>
        <family val="0"/>
        <charset val="1"/>
      </rPr>
      <t xml:space="preserve">" 24</t>
    </r>
  </si>
  <si>
    <t xml:space="preserve">35186074</t>
  </si>
  <si>
    <r>
      <rPr>
        <sz val="10"/>
        <rFont val="FreeSans"/>
        <family val="2"/>
      </rPr>
      <t xml:space="preserve">انبر قفلی زنجیری  </t>
    </r>
    <r>
      <rPr>
        <sz val="10"/>
        <rFont val="Vazirmatn"/>
        <family val="0"/>
        <charset val="1"/>
      </rPr>
      <t xml:space="preserve">"12</t>
    </r>
  </si>
  <si>
    <t xml:space="preserve">35186078</t>
  </si>
  <si>
    <t xml:space="preserve">فرز الماسه انگشتی استوانه ای</t>
  </si>
  <si>
    <t xml:space="preserve">35186079</t>
  </si>
  <si>
    <r>
      <rPr>
        <sz val="10"/>
        <rFont val="FreeSans"/>
        <family val="2"/>
      </rPr>
      <t xml:space="preserve">صفحه برش الماسه انگشتی  </t>
    </r>
    <r>
      <rPr>
        <sz val="10"/>
        <rFont val="Vazirmatn"/>
        <family val="0"/>
        <charset val="1"/>
      </rPr>
      <t xml:space="preserve">20mm</t>
    </r>
  </si>
  <si>
    <t xml:space="preserve">35186080</t>
  </si>
  <si>
    <r>
      <rPr>
        <sz val="10"/>
        <rFont val="FreeSans"/>
        <family val="2"/>
      </rPr>
      <t xml:space="preserve">سنگ فرز انگشتی  مدل </t>
    </r>
    <r>
      <rPr>
        <sz val="10"/>
        <rFont val="Vazirmatn"/>
        <family val="0"/>
        <charset val="1"/>
      </rPr>
      <t xml:space="preserve">FR</t>
    </r>
  </si>
  <si>
    <t xml:space="preserve">35186081</t>
  </si>
  <si>
    <r>
      <rPr>
        <sz val="10"/>
        <rFont val="FreeSans"/>
        <family val="2"/>
      </rPr>
      <t xml:space="preserve">سنبه واشر بر  </t>
    </r>
    <r>
      <rPr>
        <sz val="10"/>
        <rFont val="Vazirmatn"/>
        <family val="0"/>
        <charset val="1"/>
      </rPr>
      <t xml:space="preserve">7909 LP</t>
    </r>
  </si>
  <si>
    <t xml:space="preserve">35186082</t>
  </si>
  <si>
    <t xml:space="preserve">سنگ چاقو تیز کن دو طرفه زبر و نرم</t>
  </si>
  <si>
    <t xml:space="preserve">35186083</t>
  </si>
  <si>
    <r>
      <rPr>
        <sz val="10"/>
        <rFont val="FreeSans"/>
        <family val="2"/>
      </rPr>
      <t xml:space="preserve">دست داس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کیلویی</t>
    </r>
  </si>
  <si>
    <t xml:space="preserve">35186085</t>
  </si>
  <si>
    <r>
      <rPr>
        <sz val="10"/>
        <rFont val="FreeSans"/>
        <family val="2"/>
      </rPr>
      <t xml:space="preserve">دستگاه سنگ فرز سنگ بری دیوالت </t>
    </r>
    <r>
      <rPr>
        <sz val="10"/>
        <rFont val="Vazirmatn"/>
        <family val="0"/>
        <charset val="1"/>
      </rPr>
      <t xml:space="preserve">DWE 4559</t>
    </r>
  </si>
  <si>
    <t xml:space="preserve">35186086</t>
  </si>
  <si>
    <r>
      <rPr>
        <sz val="10"/>
        <rFont val="FreeSans"/>
        <family val="2"/>
      </rPr>
      <t xml:space="preserve">ویبره برقی دریلی  </t>
    </r>
    <r>
      <rPr>
        <sz val="10"/>
        <rFont val="Vazirmatn"/>
        <family val="0"/>
        <charset val="1"/>
      </rPr>
      <t xml:space="preserve">VB-1200-2</t>
    </r>
  </si>
  <si>
    <t xml:space="preserve">35186087</t>
  </si>
  <si>
    <t xml:space="preserve">شانه فین فلزی چند پره</t>
  </si>
  <si>
    <t xml:space="preserve">35186088</t>
  </si>
  <si>
    <r>
      <rPr>
        <sz val="10"/>
        <rFont val="FreeSans"/>
        <family val="2"/>
      </rPr>
      <t xml:space="preserve">کانکتور مادگی دستگاه جوش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وینر </t>
    </r>
    <r>
      <rPr>
        <sz val="10"/>
        <rFont val="Vazirmatn"/>
        <family val="0"/>
        <charset val="1"/>
      </rPr>
      <t xml:space="preserve">)</t>
    </r>
  </si>
  <si>
    <t xml:space="preserve">35186089</t>
  </si>
  <si>
    <r>
      <rPr>
        <sz val="10"/>
        <rFont val="FreeSans"/>
        <family val="2"/>
      </rPr>
      <t xml:space="preserve">کانکتور نری دستگاه جوش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وینر </t>
    </r>
    <r>
      <rPr>
        <sz val="10"/>
        <rFont val="Vazirmatn"/>
        <family val="0"/>
        <charset val="1"/>
      </rPr>
      <t xml:space="preserve">)</t>
    </r>
  </si>
  <si>
    <t xml:space="preserve">35186090</t>
  </si>
  <si>
    <r>
      <rPr>
        <sz val="10"/>
        <rFont val="FreeSans"/>
        <family val="2"/>
      </rPr>
      <t xml:space="preserve">تورچ </t>
    </r>
    <r>
      <rPr>
        <sz val="10"/>
        <rFont val="Vazirmatn"/>
        <family val="0"/>
        <charset val="1"/>
      </rPr>
      <t xml:space="preserve">3m  CO2</t>
    </r>
  </si>
  <si>
    <t xml:space="preserve">35186091</t>
  </si>
  <si>
    <r>
      <rPr>
        <sz val="10"/>
        <rFont val="FreeSans"/>
        <family val="2"/>
      </rPr>
      <t xml:space="preserve">مانومتر </t>
    </r>
    <r>
      <rPr>
        <sz val="10"/>
        <rFont val="Vazirmatn"/>
        <family val="0"/>
        <charset val="1"/>
      </rPr>
      <t xml:space="preserve">CO2 </t>
    </r>
    <r>
      <rPr>
        <sz val="10"/>
        <rFont val="FreeSans"/>
        <family val="2"/>
      </rPr>
      <t xml:space="preserve">مخصوص دستگاه جوش </t>
    </r>
    <r>
      <rPr>
        <sz val="10"/>
        <rFont val="Vazirmatn"/>
        <family val="0"/>
        <charset val="1"/>
      </rPr>
      <t xml:space="preserve">202</t>
    </r>
  </si>
  <si>
    <t xml:space="preserve">35186092</t>
  </si>
  <si>
    <r>
      <rPr>
        <sz val="10"/>
        <rFont val="FreeSans"/>
        <family val="2"/>
      </rPr>
      <t xml:space="preserve">هولدر رو تراش راست </t>
    </r>
    <r>
      <rPr>
        <sz val="10"/>
        <rFont val="Vazirmatn"/>
        <family val="0"/>
        <charset val="1"/>
      </rPr>
      <t xml:space="preserve">25mm*25mm AKK0</t>
    </r>
  </si>
  <si>
    <t xml:space="preserve">35186093</t>
  </si>
  <si>
    <r>
      <rPr>
        <sz val="10"/>
        <rFont val="FreeSans"/>
        <family val="2"/>
      </rPr>
      <t xml:space="preserve">هولدر رو تراش چپ </t>
    </r>
    <r>
      <rPr>
        <sz val="10"/>
        <rFont val="Vazirmatn"/>
        <family val="0"/>
        <charset val="1"/>
      </rPr>
      <t xml:space="preserve">25mm*25mm AKK0</t>
    </r>
  </si>
  <si>
    <t xml:space="preserve">35186094</t>
  </si>
  <si>
    <r>
      <rPr>
        <sz val="10"/>
        <rFont val="FreeSans"/>
        <family val="2"/>
      </rPr>
      <t xml:space="preserve">گاز پخش کن پلاسما </t>
    </r>
    <r>
      <rPr>
        <sz val="10"/>
        <rFont val="Vazirmatn"/>
        <family val="0"/>
        <charset val="1"/>
      </rPr>
      <t xml:space="preserve">CB 150</t>
    </r>
  </si>
  <si>
    <t xml:space="preserve">35186095</t>
  </si>
  <si>
    <r>
      <rPr>
        <sz val="10"/>
        <rFont val="FreeSans"/>
        <family val="2"/>
      </rPr>
      <t xml:space="preserve">انبر قفلی ورق گیر </t>
    </r>
    <r>
      <rPr>
        <sz val="10"/>
        <rFont val="Vazirmatn"/>
        <family val="0"/>
        <charset val="1"/>
      </rPr>
      <t xml:space="preserve">"8 </t>
    </r>
    <r>
      <rPr>
        <sz val="10"/>
        <rFont val="FreeSans"/>
        <family val="2"/>
      </rPr>
      <t xml:space="preserve">تاپ تول مدل </t>
    </r>
    <r>
      <rPr>
        <sz val="10"/>
        <rFont val="Vazirmatn"/>
        <family val="0"/>
        <charset val="1"/>
      </rPr>
      <t xml:space="preserve">: DAAV 1A08</t>
    </r>
  </si>
  <si>
    <t xml:space="preserve">35186096</t>
  </si>
  <si>
    <r>
      <rPr>
        <sz val="10"/>
        <rFont val="FreeSans"/>
        <family val="2"/>
      </rPr>
      <t xml:space="preserve">انبر قفلی  </t>
    </r>
    <r>
      <rPr>
        <sz val="10"/>
        <rFont val="Vazirmatn"/>
        <family val="0"/>
        <charset val="1"/>
      </rPr>
      <t xml:space="preserve">"10 </t>
    </r>
    <r>
      <rPr>
        <sz val="10"/>
        <rFont val="FreeSans"/>
        <family val="2"/>
      </rPr>
      <t xml:space="preserve">تاپ تول</t>
    </r>
  </si>
  <si>
    <t xml:space="preserve">35186097</t>
  </si>
  <si>
    <r>
      <rPr>
        <sz val="10"/>
        <rFont val="FreeSans"/>
        <family val="2"/>
      </rPr>
      <t xml:space="preserve">شابلون دنده متریک </t>
    </r>
    <r>
      <rPr>
        <sz val="10"/>
        <rFont val="Vazirmatn"/>
        <family val="0"/>
        <charset val="1"/>
      </rPr>
      <t xml:space="preserve">60 </t>
    </r>
    <r>
      <rPr>
        <sz val="10"/>
        <rFont val="FreeSans"/>
        <family val="2"/>
      </rPr>
      <t xml:space="preserve">درجه و ویتورث </t>
    </r>
    <r>
      <rPr>
        <sz val="10"/>
        <rFont val="Vazirmatn"/>
        <family val="0"/>
        <charset val="1"/>
      </rPr>
      <t xml:space="preserve">55 </t>
    </r>
    <r>
      <rPr>
        <sz val="10"/>
        <rFont val="FreeSans"/>
        <family val="2"/>
      </rPr>
      <t xml:space="preserve">درجه</t>
    </r>
  </si>
  <si>
    <t xml:space="preserve">35186098</t>
  </si>
  <si>
    <r>
      <rPr>
        <sz val="10"/>
        <rFont val="FreeSans"/>
        <family val="2"/>
      </rPr>
      <t xml:space="preserve">انبر قفلی رونیکس  </t>
    </r>
    <r>
      <rPr>
        <sz val="10"/>
        <rFont val="Vazirmatn"/>
        <family val="0"/>
        <charset val="1"/>
      </rPr>
      <t xml:space="preserve">" 7</t>
    </r>
  </si>
  <si>
    <t xml:space="preserve">35186099</t>
  </si>
  <si>
    <r>
      <rPr>
        <sz val="10"/>
        <rFont val="FreeSans"/>
        <family val="2"/>
      </rPr>
      <t xml:space="preserve">پیچ گوشتی عایق برق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عددی رونیکس </t>
    </r>
    <r>
      <rPr>
        <sz val="10"/>
        <rFont val="Vazirmatn"/>
        <family val="0"/>
        <charset val="1"/>
      </rPr>
      <t xml:space="preserve">RH-2724</t>
    </r>
  </si>
  <si>
    <t xml:space="preserve">35186100</t>
  </si>
  <si>
    <t xml:space="preserve">دسته آلن ستاره ای</t>
  </si>
  <si>
    <t xml:space="preserve">35186101</t>
  </si>
  <si>
    <t xml:space="preserve">دسته  آلن</t>
  </si>
  <si>
    <t xml:space="preserve">35186102</t>
  </si>
  <si>
    <t xml:space="preserve">آچار آلن خشابی</t>
  </si>
  <si>
    <t xml:space="preserve">35186112</t>
  </si>
  <si>
    <r>
      <rPr>
        <sz val="10"/>
        <rFont val="FreeSans"/>
        <family val="2"/>
      </rPr>
      <t xml:space="preserve">قلع کش هویه کاری  </t>
    </r>
    <r>
      <rPr>
        <sz val="10"/>
        <rFont val="Vazirmatn"/>
        <family val="0"/>
        <charset val="1"/>
      </rPr>
      <t xml:space="preserve">8PK-366N-B</t>
    </r>
  </si>
  <si>
    <t xml:space="preserve">35186121</t>
  </si>
  <si>
    <t xml:space="preserve">دسته آلن</t>
  </si>
  <si>
    <t xml:space="preserve">35186123</t>
  </si>
  <si>
    <r>
      <rPr>
        <sz val="10"/>
        <rFont val="FreeSans"/>
        <family val="2"/>
      </rPr>
      <t xml:space="preserve">دسته آلن تاشو </t>
    </r>
    <r>
      <rPr>
        <sz val="10"/>
        <rFont val="Vazirmatn"/>
        <family val="0"/>
        <charset val="1"/>
      </rPr>
      <t xml:space="preserve">8 </t>
    </r>
    <r>
      <rPr>
        <sz val="10"/>
        <rFont val="FreeSans"/>
        <family val="2"/>
      </rPr>
      <t xml:space="preserve">عددی رونیکس</t>
    </r>
  </si>
  <si>
    <t xml:space="preserve">35186125</t>
  </si>
  <si>
    <r>
      <rPr>
        <sz val="10"/>
        <rFont val="FreeSans"/>
        <family val="2"/>
      </rPr>
      <t xml:space="preserve">مته الماسه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شیار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الماس </t>
    </r>
    <r>
      <rPr>
        <sz val="10"/>
        <rFont val="Vazirmatn"/>
        <family val="0"/>
        <charset val="1"/>
      </rPr>
      <t xml:space="preserve">(  500mm * 16 )</t>
    </r>
  </si>
  <si>
    <t xml:space="preserve">35186223</t>
  </si>
  <si>
    <r>
      <rPr>
        <sz val="10"/>
        <rFont val="FreeSans"/>
        <family val="2"/>
      </rPr>
      <t xml:space="preserve">آچار فرانسه     </t>
    </r>
    <r>
      <rPr>
        <sz val="10"/>
        <rFont val="Vazirmatn"/>
        <family val="0"/>
        <charset val="1"/>
      </rPr>
      <t xml:space="preserve">"14</t>
    </r>
  </si>
  <si>
    <t xml:space="preserve">35186230</t>
  </si>
  <si>
    <r>
      <rPr>
        <sz val="10"/>
        <rFont val="FreeSans"/>
        <family val="2"/>
      </rPr>
      <t xml:space="preserve">آچار دوسر تخت  </t>
    </r>
    <r>
      <rPr>
        <sz val="10"/>
        <rFont val="Vazirmatn"/>
        <family val="0"/>
        <charset val="1"/>
      </rPr>
      <t xml:space="preserve">13 - 12</t>
    </r>
  </si>
  <si>
    <t xml:space="preserve">35186254</t>
  </si>
  <si>
    <r>
      <rPr>
        <sz val="10"/>
        <rFont val="FreeSans"/>
        <family val="2"/>
      </rPr>
      <t xml:space="preserve">آچارفرانسه </t>
    </r>
    <r>
      <rPr>
        <sz val="10"/>
        <rFont val="Vazirmatn"/>
        <family val="0"/>
        <charset val="1"/>
      </rPr>
      <t xml:space="preserve">"16</t>
    </r>
  </si>
  <si>
    <t xml:space="preserve">35186265</t>
  </si>
  <si>
    <r>
      <rPr>
        <sz val="10"/>
        <rFont val="FreeSans"/>
        <family val="2"/>
      </rPr>
      <t xml:space="preserve">آچار یکسر رینگ  یکسر  تخت  </t>
    </r>
    <r>
      <rPr>
        <sz val="10"/>
        <rFont val="Vazirmatn"/>
        <family val="0"/>
        <charset val="1"/>
      </rPr>
      <t xml:space="preserve">12</t>
    </r>
  </si>
  <si>
    <t xml:space="preserve">35186267</t>
  </si>
  <si>
    <r>
      <rPr>
        <sz val="10"/>
        <rFont val="FreeSans"/>
        <family val="2"/>
      </rPr>
      <t xml:space="preserve">آچار  یکسررینگ  یکسرتخت  </t>
    </r>
    <r>
      <rPr>
        <sz val="10"/>
        <rFont val="Vazirmatn"/>
        <family val="0"/>
        <charset val="1"/>
      </rPr>
      <t xml:space="preserve">15</t>
    </r>
  </si>
  <si>
    <t xml:space="preserve">35186268</t>
  </si>
  <si>
    <r>
      <rPr>
        <sz val="10"/>
        <rFont val="FreeSans"/>
        <family val="2"/>
      </rPr>
      <t xml:space="preserve">آچاریکسر  رینگ  یکسرتخت  </t>
    </r>
    <r>
      <rPr>
        <sz val="10"/>
        <rFont val="Vazirmatn"/>
        <family val="0"/>
        <charset val="1"/>
      </rPr>
      <t xml:space="preserve">17</t>
    </r>
  </si>
  <si>
    <t xml:space="preserve">35186293</t>
  </si>
  <si>
    <r>
      <rPr>
        <sz val="10"/>
        <rFont val="FreeSans"/>
        <family val="2"/>
      </rPr>
      <t xml:space="preserve">آچار یکسر  رینگ  یکسر  تخت  </t>
    </r>
    <r>
      <rPr>
        <sz val="10"/>
        <rFont val="Vazirmatn"/>
        <family val="0"/>
        <charset val="1"/>
      </rPr>
      <t xml:space="preserve">20</t>
    </r>
  </si>
  <si>
    <t xml:space="preserve">35186294</t>
  </si>
  <si>
    <r>
      <rPr>
        <sz val="10"/>
        <rFont val="FreeSans"/>
        <family val="2"/>
      </rPr>
      <t xml:space="preserve">آچار  دو سر تخت  </t>
    </r>
    <r>
      <rPr>
        <sz val="10"/>
        <rFont val="Vazirmatn"/>
        <family val="0"/>
        <charset val="1"/>
      </rPr>
      <t xml:space="preserve">17 - 16</t>
    </r>
  </si>
  <si>
    <t xml:space="preserve">35186301</t>
  </si>
  <si>
    <r>
      <rPr>
        <sz val="10"/>
        <rFont val="FreeSans"/>
        <family val="2"/>
      </rPr>
      <t xml:space="preserve">جرثقیل 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تنی</t>
    </r>
  </si>
  <si>
    <t xml:space="preserve">35186302</t>
  </si>
  <si>
    <r>
      <rPr>
        <sz val="10"/>
        <rFont val="FreeSans"/>
        <family val="2"/>
      </rPr>
      <t xml:space="preserve">جرثقیل 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تنی</t>
    </r>
  </si>
  <si>
    <t xml:space="preserve">35186307</t>
  </si>
  <si>
    <r>
      <rPr>
        <sz val="10"/>
        <rFont val="FreeSans"/>
        <family val="2"/>
      </rPr>
      <t xml:space="preserve">جرثقیل </t>
    </r>
    <r>
      <rPr>
        <sz val="10"/>
        <rFont val="Vazirmatn"/>
        <family val="0"/>
        <charset val="1"/>
      </rPr>
      <t xml:space="preserve">500 </t>
    </r>
    <r>
      <rPr>
        <sz val="10"/>
        <rFont val="FreeSans"/>
        <family val="2"/>
      </rPr>
      <t xml:space="preserve">کیلوئی</t>
    </r>
  </si>
  <si>
    <t xml:space="preserve">35186308</t>
  </si>
  <si>
    <r>
      <rPr>
        <sz val="10"/>
        <rFont val="FreeSans"/>
        <family val="2"/>
      </rPr>
      <t xml:space="preserve">آچار فرانسه   </t>
    </r>
    <r>
      <rPr>
        <sz val="10"/>
        <rFont val="Vazirmatn"/>
        <family val="0"/>
        <charset val="1"/>
      </rPr>
      <t xml:space="preserve">" 18</t>
    </r>
  </si>
  <si>
    <t xml:space="preserve">35186309</t>
  </si>
  <si>
    <r>
      <rPr>
        <sz val="10"/>
        <rFont val="FreeSans"/>
        <family val="2"/>
      </rPr>
      <t xml:space="preserve">ترانکینگ </t>
    </r>
    <r>
      <rPr>
        <sz val="10"/>
        <rFont val="Vazirmatn"/>
        <family val="0"/>
        <charset val="1"/>
      </rPr>
      <t xml:space="preserve">10*5</t>
    </r>
  </si>
  <si>
    <t xml:space="preserve">35186319</t>
  </si>
  <si>
    <r>
      <rPr>
        <sz val="10"/>
        <rFont val="FreeSans"/>
        <family val="2"/>
      </rPr>
      <t xml:space="preserve">آچار بکس </t>
    </r>
    <r>
      <rPr>
        <sz val="10"/>
        <rFont val="Vazirmatn"/>
        <family val="0"/>
        <charset val="1"/>
      </rPr>
      <t xml:space="preserve">18</t>
    </r>
  </si>
  <si>
    <t xml:space="preserve">35186325</t>
  </si>
  <si>
    <t xml:space="preserve">رابط کوتاه آچار بکس</t>
  </si>
  <si>
    <t xml:space="preserve">35186345</t>
  </si>
  <si>
    <r>
      <rPr>
        <sz val="10"/>
        <rFont val="FreeSans"/>
        <family val="2"/>
      </rPr>
      <t xml:space="preserve">تبدیل آچار بکس  </t>
    </r>
    <r>
      <rPr>
        <sz val="10"/>
        <rFont val="Vazirmatn"/>
        <family val="0"/>
        <charset val="1"/>
      </rPr>
      <t xml:space="preserve">" 3/4 * " 1</t>
    </r>
  </si>
  <si>
    <t xml:space="preserve">35186347</t>
  </si>
  <si>
    <r>
      <rPr>
        <sz val="10"/>
        <rFont val="FreeSans"/>
        <family val="2"/>
      </rPr>
      <t xml:space="preserve">آچار بکس </t>
    </r>
    <r>
      <rPr>
        <sz val="10"/>
        <rFont val="Vazirmatn"/>
        <family val="0"/>
        <charset val="1"/>
      </rPr>
      <t xml:space="preserve">10</t>
    </r>
  </si>
  <si>
    <t xml:space="preserve">35186350</t>
  </si>
  <si>
    <r>
      <rPr>
        <sz val="10"/>
        <rFont val="FreeSans"/>
        <family val="2"/>
      </rPr>
      <t xml:space="preserve">جعبه بکس  </t>
    </r>
    <r>
      <rPr>
        <sz val="10"/>
        <rFont val="Vazirmatn"/>
        <family val="0"/>
        <charset val="1"/>
      </rPr>
      <t xml:space="preserve">32 - 8</t>
    </r>
  </si>
  <si>
    <t xml:space="preserve">35186361</t>
  </si>
  <si>
    <t xml:space="preserve">آچار کلاغی</t>
  </si>
  <si>
    <t xml:space="preserve">35186368</t>
  </si>
  <si>
    <t xml:space="preserve">دریل چکشی</t>
  </si>
  <si>
    <t xml:space="preserve">35186373</t>
  </si>
  <si>
    <r>
      <rPr>
        <sz val="10"/>
        <rFont val="FreeSans"/>
        <family val="2"/>
      </rPr>
      <t xml:space="preserve">دریل گیربکسی چکشی چپگرد و راستگرد دیوالت </t>
    </r>
    <r>
      <rPr>
        <sz val="10"/>
        <rFont val="Vazirmatn"/>
        <family val="0"/>
        <charset val="1"/>
      </rPr>
      <t xml:space="preserve">DWD524 KS</t>
    </r>
  </si>
  <si>
    <t xml:space="preserve">35186378</t>
  </si>
  <si>
    <t xml:space="preserve">منگنه دیواری</t>
  </si>
  <si>
    <t xml:space="preserve">35186379</t>
  </si>
  <si>
    <r>
      <rPr>
        <sz val="10"/>
        <rFont val="FreeSans"/>
        <family val="2"/>
      </rPr>
      <t xml:space="preserve">سر بکس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طرف چهار سو استیل</t>
    </r>
  </si>
  <si>
    <t xml:space="preserve">35186380</t>
  </si>
  <si>
    <r>
      <rPr>
        <sz val="10"/>
        <rFont val="FreeSans"/>
        <family val="2"/>
      </rPr>
      <t xml:space="preserve">پرس وایر شو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گوش زن  </t>
    </r>
    <r>
      <rPr>
        <sz val="10"/>
        <rFont val="Vazirmatn"/>
        <family val="0"/>
        <charset val="1"/>
      </rPr>
      <t xml:space="preserve">0/5 - 6mm</t>
    </r>
  </si>
  <si>
    <t xml:space="preserve">35186381</t>
  </si>
  <si>
    <r>
      <rPr>
        <sz val="10"/>
        <rFont val="FreeSans"/>
        <family val="2"/>
      </rPr>
      <t xml:space="preserve">جرثقیل برقی </t>
    </r>
    <r>
      <rPr>
        <sz val="10"/>
        <rFont val="Vazirmatn"/>
        <family val="0"/>
        <charset val="1"/>
      </rPr>
      <t xml:space="preserve">ERO 10 S Lifting speed:7/3m/min Size:D  grade: M5  1Ton</t>
    </r>
  </si>
  <si>
    <t xml:space="preserve">35186382</t>
  </si>
  <si>
    <t xml:space="preserve">انبر فیلتر بازکن</t>
  </si>
  <si>
    <t xml:space="preserve">35186384</t>
  </si>
  <si>
    <t xml:space="preserve">داس</t>
  </si>
  <si>
    <t xml:space="preserve">35186386</t>
  </si>
  <si>
    <r>
      <rPr>
        <sz val="10"/>
        <rFont val="FreeSans"/>
        <family val="2"/>
      </rPr>
      <t xml:space="preserve">آچار یکسر  رینگ  یکسر  تخت   </t>
    </r>
    <r>
      <rPr>
        <sz val="10"/>
        <rFont val="Vazirmatn"/>
        <family val="0"/>
        <charset val="1"/>
      </rPr>
      <t xml:space="preserve">23</t>
    </r>
  </si>
  <si>
    <t xml:space="preserve">35186387</t>
  </si>
  <si>
    <r>
      <rPr>
        <sz val="10"/>
        <rFont val="FreeSans"/>
        <family val="2"/>
      </rPr>
      <t xml:space="preserve">آچار یکسر  رینگ  یکسر  تخت   </t>
    </r>
    <r>
      <rPr>
        <sz val="10"/>
        <rFont val="Vazirmatn"/>
        <family val="0"/>
        <charset val="1"/>
      </rPr>
      <t xml:space="preserve">25</t>
    </r>
  </si>
  <si>
    <t xml:space="preserve">35186389</t>
  </si>
  <si>
    <t xml:space="preserve">یچ گوشتی ضربه ای چهار سو</t>
  </si>
  <si>
    <t xml:space="preserve">35186390</t>
  </si>
  <si>
    <r>
      <rPr>
        <sz val="10"/>
        <rFont val="FreeSans"/>
        <family val="2"/>
      </rPr>
      <t xml:space="preserve">پرس سر سیم گرد زن 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گوش </t>
    </r>
    <r>
      <rPr>
        <sz val="10"/>
        <rFont val="Vazirmatn"/>
        <family val="0"/>
        <charset val="1"/>
      </rPr>
      <t xml:space="preserve">16 - 4</t>
    </r>
  </si>
  <si>
    <t xml:space="preserve">35186391</t>
  </si>
  <si>
    <r>
      <rPr>
        <sz val="10"/>
        <rFont val="FreeSans"/>
        <family val="2"/>
      </rPr>
      <t xml:space="preserve">فولی کش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شاخ کشویی ریلی گوشواره ای </t>
    </r>
    <r>
      <rPr>
        <sz val="10"/>
        <rFont val="Vazirmatn"/>
        <family val="0"/>
        <charset val="1"/>
      </rPr>
      <t xml:space="preserve">10/3 </t>
    </r>
    <r>
      <rPr>
        <sz val="10"/>
        <rFont val="FreeSans"/>
        <family val="2"/>
      </rPr>
      <t xml:space="preserve">کارگیر عرض </t>
    </r>
    <r>
      <rPr>
        <sz val="10"/>
        <rFont val="Vazirmatn"/>
        <family val="0"/>
        <charset val="1"/>
      </rPr>
      <t xml:space="preserve">300mm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300mm</t>
    </r>
  </si>
  <si>
    <t xml:space="preserve">35186393</t>
  </si>
  <si>
    <r>
      <rPr>
        <sz val="10"/>
        <rFont val="FreeSans"/>
        <family val="2"/>
      </rPr>
      <t xml:space="preserve">فرز مینیاتوری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حکاکی </t>
    </r>
    <r>
      <rPr>
        <sz val="10"/>
        <rFont val="Vazirmatn"/>
        <family val="0"/>
        <charset val="1"/>
      </rPr>
      <t xml:space="preserve">)</t>
    </r>
  </si>
  <si>
    <t xml:space="preserve">35186395</t>
  </si>
  <si>
    <r>
      <rPr>
        <sz val="10"/>
        <rFont val="FreeSans"/>
        <family val="2"/>
      </rPr>
      <t xml:space="preserve">مته الماسه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شیار  </t>
    </r>
    <r>
      <rPr>
        <sz val="10"/>
        <rFont val="Vazirmatn"/>
        <family val="0"/>
        <charset val="1"/>
      </rPr>
      <t xml:space="preserve">50cm )  22 )</t>
    </r>
  </si>
  <si>
    <t xml:space="preserve">35186397</t>
  </si>
  <si>
    <r>
      <rPr>
        <sz val="10"/>
        <rFont val="FreeSans"/>
        <family val="2"/>
      </rPr>
      <t xml:space="preserve">مته الماسه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شیار 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الماس </t>
    </r>
    <r>
      <rPr>
        <sz val="10"/>
        <rFont val="Vazirmatn"/>
        <family val="0"/>
        <charset val="1"/>
      </rPr>
      <t xml:space="preserve">(  500mm * 18 )</t>
    </r>
  </si>
  <si>
    <t xml:space="preserve">35186398</t>
  </si>
  <si>
    <r>
      <rPr>
        <sz val="10"/>
        <rFont val="FreeSans"/>
        <family val="2"/>
      </rPr>
      <t xml:space="preserve">قلم بتن کن و تخریب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شیار</t>
    </r>
  </si>
  <si>
    <t xml:space="preserve">35186400</t>
  </si>
  <si>
    <r>
      <rPr>
        <sz val="10"/>
        <rFont val="FreeSans"/>
        <family val="2"/>
      </rPr>
      <t xml:space="preserve">چکش آهنی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کیلوئی</t>
    </r>
  </si>
  <si>
    <t xml:space="preserve">35186418</t>
  </si>
  <si>
    <t xml:space="preserve">پیچ گوشتی عایق دار</t>
  </si>
  <si>
    <t xml:space="preserve">35186421</t>
  </si>
  <si>
    <r>
      <rPr>
        <sz val="10"/>
        <rFont val="FreeSans"/>
        <family val="2"/>
      </rPr>
      <t xml:space="preserve">پتک </t>
    </r>
    <r>
      <rPr>
        <sz val="10"/>
        <rFont val="Vazirmatn"/>
        <family val="0"/>
        <charset val="1"/>
      </rPr>
      <t xml:space="preserve">7 </t>
    </r>
    <r>
      <rPr>
        <sz val="10"/>
        <rFont val="FreeSans"/>
        <family val="2"/>
      </rPr>
      <t xml:space="preserve">کیلویی</t>
    </r>
  </si>
  <si>
    <t xml:space="preserve">35186422</t>
  </si>
  <si>
    <t xml:space="preserve">سری پیچ گوشتی دوسر چهار سو</t>
  </si>
  <si>
    <t xml:space="preserve">35186432</t>
  </si>
  <si>
    <t xml:space="preserve">آچار آلن میلی متری</t>
  </si>
  <si>
    <t xml:space="preserve">35186434</t>
  </si>
  <si>
    <r>
      <rPr>
        <sz val="10"/>
        <rFont val="FreeSans"/>
        <family val="2"/>
      </rPr>
      <t xml:space="preserve">آچار شلاقی   </t>
    </r>
    <r>
      <rPr>
        <sz val="10"/>
        <rFont val="Vazirmatn"/>
        <family val="0"/>
        <charset val="1"/>
      </rPr>
      <t xml:space="preserve">" 14</t>
    </r>
  </si>
  <si>
    <t xml:space="preserve">35186435</t>
  </si>
  <si>
    <r>
      <rPr>
        <sz val="10"/>
        <rFont val="FreeSans"/>
        <family val="2"/>
      </rPr>
      <t xml:space="preserve">آچار شلاقی   </t>
    </r>
    <r>
      <rPr>
        <sz val="10"/>
        <rFont val="Vazirmatn"/>
        <family val="0"/>
        <charset val="1"/>
      </rPr>
      <t xml:space="preserve">" 18</t>
    </r>
  </si>
  <si>
    <t xml:space="preserve">35186436</t>
  </si>
  <si>
    <r>
      <rPr>
        <sz val="10"/>
        <rFont val="FreeSans"/>
        <family val="2"/>
      </rPr>
      <t xml:space="preserve">آچار رینگی     </t>
    </r>
    <r>
      <rPr>
        <sz val="10"/>
        <rFont val="Vazirmatn"/>
        <family val="0"/>
        <charset val="1"/>
      </rPr>
      <t xml:space="preserve">32 - 10</t>
    </r>
  </si>
  <si>
    <t xml:space="preserve">35186437</t>
  </si>
  <si>
    <r>
      <rPr>
        <sz val="10"/>
        <rFont val="FreeSans"/>
        <family val="2"/>
      </rPr>
      <t xml:space="preserve">آچار تخت     </t>
    </r>
    <r>
      <rPr>
        <sz val="10"/>
        <rFont val="Vazirmatn"/>
        <family val="0"/>
        <charset val="1"/>
      </rPr>
      <t xml:space="preserve">32 - 10</t>
    </r>
  </si>
  <si>
    <t xml:space="preserve">35186439</t>
  </si>
  <si>
    <r>
      <rPr>
        <sz val="10"/>
        <rFont val="FreeSans"/>
        <family val="2"/>
      </rPr>
      <t xml:space="preserve">پیچ گوشتی مچی مگنتی </t>
    </r>
    <r>
      <rPr>
        <sz val="10"/>
        <rFont val="Vazirmatn"/>
        <family val="0"/>
        <charset val="1"/>
      </rPr>
      <t xml:space="preserve">16 </t>
    </r>
    <r>
      <rPr>
        <sz val="10"/>
        <rFont val="FreeSans"/>
        <family val="2"/>
      </rPr>
      <t xml:space="preserve">عددی</t>
    </r>
  </si>
  <si>
    <t xml:space="preserve">35186443</t>
  </si>
  <si>
    <t xml:space="preserve">خارجمع کن سر راست</t>
  </si>
  <si>
    <t xml:space="preserve">35186444</t>
  </si>
  <si>
    <r>
      <rPr>
        <sz val="10"/>
        <rFont val="FreeSans"/>
        <family val="2"/>
      </rPr>
      <t xml:space="preserve">مته پله ای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کاجی </t>
    </r>
    <r>
      <rPr>
        <sz val="10"/>
        <rFont val="Vazirmatn"/>
        <family val="0"/>
        <charset val="1"/>
      </rPr>
      <t xml:space="preserve">) HSS 4-32mm</t>
    </r>
  </si>
  <si>
    <t xml:space="preserve">35186445</t>
  </si>
  <si>
    <r>
      <rPr>
        <sz val="10"/>
        <rFont val="FreeSans"/>
        <family val="2"/>
      </rPr>
      <t xml:space="preserve">اینورتر جوشکاری رونیکس </t>
    </r>
    <r>
      <rPr>
        <sz val="10"/>
        <rFont val="Vazirmatn"/>
        <family val="0"/>
        <charset val="1"/>
      </rPr>
      <t xml:space="preserve">RH 250A 4605</t>
    </r>
  </si>
  <si>
    <t xml:space="preserve">35186447</t>
  </si>
  <si>
    <r>
      <rPr>
        <sz val="10"/>
        <rFont val="FreeSans"/>
        <family val="2"/>
      </rPr>
      <t xml:space="preserve">آچار بکس برقی رونیکس درایو </t>
    </r>
    <r>
      <rPr>
        <sz val="10"/>
        <rFont val="Vazirmatn"/>
        <family val="0"/>
        <charset val="1"/>
      </rPr>
      <t xml:space="preserve">"1/2</t>
    </r>
  </si>
  <si>
    <t xml:space="preserve">35186448</t>
  </si>
  <si>
    <r>
      <rPr>
        <sz val="10"/>
        <rFont val="FreeSans"/>
        <family val="2"/>
      </rPr>
      <t xml:space="preserve">بکس   </t>
    </r>
    <r>
      <rPr>
        <sz val="10"/>
        <rFont val="Vazirmatn"/>
        <family val="0"/>
        <charset val="1"/>
      </rPr>
      <t xml:space="preserve">24</t>
    </r>
  </si>
  <si>
    <t xml:space="preserve">35186449</t>
  </si>
  <si>
    <r>
      <rPr>
        <sz val="10"/>
        <rFont val="FreeSans"/>
        <family val="2"/>
      </rPr>
      <t xml:space="preserve">بکس   </t>
    </r>
    <r>
      <rPr>
        <sz val="10"/>
        <rFont val="Vazirmatn"/>
        <family val="0"/>
        <charset val="1"/>
      </rPr>
      <t xml:space="preserve">22</t>
    </r>
  </si>
  <si>
    <t xml:space="preserve">35186451</t>
  </si>
  <si>
    <r>
      <rPr>
        <sz val="10"/>
        <rFont val="FreeSans"/>
        <family val="2"/>
      </rPr>
      <t xml:space="preserve">قلاب شگل 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تنی</t>
    </r>
  </si>
  <si>
    <t xml:space="preserve">35186456</t>
  </si>
  <si>
    <r>
      <rPr>
        <sz val="10"/>
        <rFont val="FreeSans"/>
        <family val="2"/>
      </rPr>
      <t xml:space="preserve">بکس   </t>
    </r>
    <r>
      <rPr>
        <sz val="10"/>
        <rFont val="Vazirmatn"/>
        <family val="0"/>
        <charset val="1"/>
      </rPr>
      <t xml:space="preserve">19</t>
    </r>
  </si>
  <si>
    <t xml:space="preserve">35186457</t>
  </si>
  <si>
    <r>
      <rPr>
        <sz val="10"/>
        <rFont val="FreeSans"/>
        <family val="2"/>
      </rPr>
      <t xml:space="preserve">بکس   </t>
    </r>
    <r>
      <rPr>
        <sz val="10"/>
        <rFont val="Vazirmatn"/>
        <family val="0"/>
        <charset val="1"/>
      </rPr>
      <t xml:space="preserve">17</t>
    </r>
  </si>
  <si>
    <t xml:space="preserve">35186458</t>
  </si>
  <si>
    <r>
      <rPr>
        <sz val="10"/>
        <rFont val="FreeSans"/>
        <family val="2"/>
      </rPr>
      <t xml:space="preserve">بکس   </t>
    </r>
    <r>
      <rPr>
        <sz val="10"/>
        <rFont val="Vazirmatn"/>
        <family val="0"/>
        <charset val="1"/>
      </rPr>
      <t xml:space="preserve">13</t>
    </r>
  </si>
  <si>
    <t xml:space="preserve">35186472</t>
  </si>
  <si>
    <r>
      <rPr>
        <sz val="10"/>
        <rFont val="FreeSans"/>
        <family val="2"/>
      </rPr>
      <t xml:space="preserve">آمپر متر کلمپ دار  </t>
    </r>
    <r>
      <rPr>
        <sz val="10"/>
        <rFont val="Vazirmatn"/>
        <family val="0"/>
        <charset val="1"/>
      </rPr>
      <t xml:space="preserve">3280 - 10F</t>
    </r>
  </si>
  <si>
    <t xml:space="preserve">35186480</t>
  </si>
  <si>
    <t xml:space="preserve">خار جمع کن بزرگ</t>
  </si>
  <si>
    <t xml:space="preserve">35186483</t>
  </si>
  <si>
    <r>
      <rPr>
        <sz val="10"/>
        <rFont val="FreeSans"/>
        <family val="2"/>
      </rPr>
      <t xml:space="preserve">تسمه جغجغه ای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متری</t>
    </r>
  </si>
  <si>
    <t xml:space="preserve">35186484</t>
  </si>
  <si>
    <t xml:space="preserve">خارجمع کن سر کج</t>
  </si>
  <si>
    <t xml:space="preserve">35186511</t>
  </si>
  <si>
    <r>
      <rPr>
        <sz val="10"/>
        <rFont val="FreeSans"/>
        <family val="2"/>
      </rPr>
      <t xml:space="preserve">چکش آهنی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کیلوئی</t>
    </r>
  </si>
  <si>
    <t xml:space="preserve">35186512</t>
  </si>
  <si>
    <r>
      <rPr>
        <sz val="10"/>
        <rFont val="FreeSans"/>
        <family val="2"/>
      </rPr>
      <t xml:space="preserve">چکش آهنی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کیلوئی</t>
    </r>
  </si>
  <si>
    <t xml:space="preserve">35186519</t>
  </si>
  <si>
    <r>
      <rPr>
        <sz val="10"/>
        <rFont val="FreeSans"/>
        <family val="2"/>
      </rPr>
      <t xml:space="preserve">چکش آهنی </t>
    </r>
    <r>
      <rPr>
        <sz val="10"/>
        <rFont val="Vazirmatn"/>
        <family val="0"/>
        <charset val="1"/>
      </rPr>
      <t xml:space="preserve">500 </t>
    </r>
    <r>
      <rPr>
        <sz val="10"/>
        <rFont val="FreeSans"/>
        <family val="2"/>
      </rPr>
      <t xml:space="preserve">گرمی</t>
    </r>
  </si>
  <si>
    <t xml:space="preserve">35186526</t>
  </si>
  <si>
    <r>
      <rPr>
        <sz val="10"/>
        <rFont val="FreeSans"/>
        <family val="2"/>
      </rPr>
      <t xml:space="preserve">دستگاه پیکور </t>
    </r>
    <r>
      <rPr>
        <sz val="10"/>
        <rFont val="Vazirmatn"/>
        <family val="0"/>
        <charset val="1"/>
      </rPr>
      <t xml:space="preserve">15 </t>
    </r>
    <r>
      <rPr>
        <sz val="10"/>
        <rFont val="FreeSans"/>
        <family val="2"/>
      </rPr>
      <t xml:space="preserve">کیلویی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هیلتی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ماکیتا </t>
    </r>
    <r>
      <rPr>
        <sz val="10"/>
        <rFont val="Vazirmatn"/>
        <family val="0"/>
        <charset val="1"/>
      </rPr>
      <t xml:space="preserve">HM 1304</t>
    </r>
  </si>
  <si>
    <t xml:space="preserve">35186527</t>
  </si>
  <si>
    <t xml:space="preserve">پرس سر سیم سوزنی</t>
  </si>
  <si>
    <t xml:space="preserve">35186532</t>
  </si>
  <si>
    <t xml:space="preserve">ترمز لاستیکی دستگاه لیبل زن روغن</t>
  </si>
  <si>
    <t xml:space="preserve">35186533</t>
  </si>
  <si>
    <r>
      <rPr>
        <sz val="10"/>
        <rFont val="FreeSans"/>
        <family val="2"/>
      </rPr>
      <t xml:space="preserve">جرثقیل 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تنی</t>
    </r>
  </si>
  <si>
    <t xml:space="preserve">35186534</t>
  </si>
  <si>
    <t xml:space="preserve">گان هیلتی</t>
  </si>
  <si>
    <t xml:space="preserve">35186541</t>
  </si>
  <si>
    <t xml:space="preserve">دریل بتن کن</t>
  </si>
  <si>
    <t xml:space="preserve">35186542</t>
  </si>
  <si>
    <t xml:space="preserve">پمپ تزریق چسب پلی اورتان</t>
  </si>
  <si>
    <t xml:space="preserve">35186543</t>
  </si>
  <si>
    <t xml:space="preserve">کلت ته کونیک سه نظام گیر اتومات</t>
  </si>
  <si>
    <t xml:space="preserve">35191007</t>
  </si>
  <si>
    <r>
      <rPr>
        <sz val="10"/>
        <rFont val="FreeSans"/>
        <family val="2"/>
      </rPr>
      <t xml:space="preserve">آرمیچر دریل بوش </t>
    </r>
    <r>
      <rPr>
        <sz val="10"/>
        <rFont val="Vazirmatn"/>
        <family val="0"/>
        <charset val="1"/>
      </rPr>
      <t xml:space="preserve">G BM 23 - 2E</t>
    </r>
  </si>
  <si>
    <t xml:space="preserve">35191055</t>
  </si>
  <si>
    <r>
      <rPr>
        <sz val="10"/>
        <rFont val="FreeSans"/>
        <family val="2"/>
      </rPr>
      <t xml:space="preserve">فوم </t>
    </r>
    <r>
      <rPr>
        <sz val="10"/>
        <rFont val="Vazirmatn"/>
        <family val="0"/>
        <charset val="1"/>
      </rPr>
      <t xml:space="preserve">2mm ( </t>
    </r>
    <r>
      <rPr>
        <sz val="10"/>
        <rFont val="FreeSans"/>
        <family val="2"/>
      </rPr>
      <t xml:space="preserve">سایلنت </t>
    </r>
    <r>
      <rPr>
        <sz val="10"/>
        <rFont val="Vazirmatn"/>
        <family val="0"/>
        <charset val="1"/>
      </rPr>
      <t xml:space="preserve">)</t>
    </r>
  </si>
  <si>
    <t xml:space="preserve">35191091</t>
  </si>
  <si>
    <r>
      <rPr>
        <sz val="10"/>
        <rFont val="FreeSans"/>
        <family val="2"/>
      </rPr>
      <t xml:space="preserve">تله آبگیر تایمردار         </t>
    </r>
    <r>
      <rPr>
        <sz val="10"/>
        <rFont val="Vazirmatn"/>
        <family val="0"/>
        <charset val="1"/>
      </rPr>
      <t xml:space="preserve">" 1     HIROSS</t>
    </r>
  </si>
  <si>
    <t xml:space="preserve">35191117</t>
  </si>
  <si>
    <t xml:space="preserve">صفحه  مسی</t>
  </si>
  <si>
    <t xml:space="preserve">35191131</t>
  </si>
  <si>
    <r>
      <rPr>
        <sz val="10"/>
        <rFont val="FreeSans"/>
        <family val="2"/>
      </rPr>
      <t xml:space="preserve">فریم </t>
    </r>
    <r>
      <rPr>
        <sz val="10"/>
        <rFont val="Vazirmatn"/>
        <family val="0"/>
        <charset val="1"/>
      </rPr>
      <t xml:space="preserve">U </t>
    </r>
    <r>
      <rPr>
        <sz val="10"/>
        <rFont val="FreeSans"/>
        <family val="2"/>
      </rPr>
      <t xml:space="preserve">شکل شیشه سکوریت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متری</t>
    </r>
  </si>
  <si>
    <t xml:space="preserve">35191132</t>
  </si>
  <si>
    <r>
      <rPr>
        <sz val="10"/>
        <rFont val="FreeSans"/>
        <family val="2"/>
      </rPr>
      <t xml:space="preserve">فریم </t>
    </r>
    <r>
      <rPr>
        <sz val="10"/>
        <rFont val="Vazirmatn"/>
        <family val="0"/>
        <charset val="1"/>
      </rPr>
      <t xml:space="preserve">U </t>
    </r>
    <r>
      <rPr>
        <sz val="10"/>
        <rFont val="FreeSans"/>
        <family val="2"/>
      </rPr>
      <t xml:space="preserve">شکل رنگ کوره ای</t>
    </r>
  </si>
  <si>
    <t xml:space="preserve">35191133</t>
  </si>
  <si>
    <t xml:space="preserve">35191134</t>
  </si>
  <si>
    <t xml:space="preserve">یراق آلات لولا شیشه به شیشه</t>
  </si>
  <si>
    <t xml:space="preserve">35191135</t>
  </si>
  <si>
    <t xml:space="preserve">یراق آلات قفل کمری</t>
  </si>
  <si>
    <t xml:space="preserve">35191136</t>
  </si>
  <si>
    <t xml:space="preserve">یراق آلات پیچ آهن کشی</t>
  </si>
  <si>
    <t xml:space="preserve">35191137</t>
  </si>
  <si>
    <r>
      <rPr>
        <sz val="10"/>
        <rFont val="FreeSans"/>
        <family val="2"/>
      </rPr>
      <t xml:space="preserve">یراق آلات بست  </t>
    </r>
    <r>
      <rPr>
        <sz val="10"/>
        <rFont val="Vazirmatn"/>
        <family val="0"/>
        <charset val="1"/>
      </rPr>
      <t xml:space="preserve">80 * 40</t>
    </r>
  </si>
  <si>
    <t xml:space="preserve">35191138</t>
  </si>
  <si>
    <t xml:space="preserve">یراق آلات لولا شیشه به دیوار</t>
  </si>
  <si>
    <t xml:space="preserve">35191139</t>
  </si>
  <si>
    <r>
      <rPr>
        <sz val="10"/>
        <rFont val="FreeSans"/>
        <family val="2"/>
      </rPr>
      <t xml:space="preserve">یراق آلات ضرب گیر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درزگیر</t>
    </r>
  </si>
  <si>
    <t xml:space="preserve">35191144</t>
  </si>
  <si>
    <t xml:space="preserve">سیستم کاهش سرعت چدنی چهار ردیفه با شفت استیل</t>
  </si>
  <si>
    <t xml:space="preserve">35191147</t>
  </si>
  <si>
    <r>
      <rPr>
        <sz val="10"/>
        <rFont val="FreeSans"/>
        <family val="2"/>
      </rPr>
      <t xml:space="preserve">سیستم خلاء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مرحله ای بی رنگ روغنکشی</t>
    </r>
  </si>
  <si>
    <t xml:space="preserve">35191150</t>
  </si>
  <si>
    <r>
      <rPr>
        <sz val="10"/>
        <rFont val="FreeSans"/>
        <family val="2"/>
      </rPr>
      <t xml:space="preserve">پنل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توکار مدل لدیوم</t>
    </r>
  </si>
  <si>
    <t xml:space="preserve">35191189</t>
  </si>
  <si>
    <r>
      <rPr>
        <sz val="10"/>
        <rFont val="FreeSans"/>
        <family val="2"/>
      </rPr>
      <t xml:space="preserve">چوب روسی  </t>
    </r>
    <r>
      <rPr>
        <sz val="10"/>
        <rFont val="Vazirmatn"/>
        <family val="0"/>
        <charset val="1"/>
      </rPr>
      <t xml:space="preserve">20cm * 20m</t>
    </r>
  </si>
  <si>
    <t xml:space="preserve">35191200</t>
  </si>
  <si>
    <t xml:space="preserve">ورق  آهنی</t>
  </si>
  <si>
    <t xml:space="preserve">35191219</t>
  </si>
  <si>
    <t xml:space="preserve">توری پلاستیکی</t>
  </si>
  <si>
    <t xml:space="preserve">35191245</t>
  </si>
  <si>
    <r>
      <rPr>
        <sz val="10"/>
        <rFont val="FreeSans"/>
        <family val="2"/>
      </rPr>
      <t xml:space="preserve">زد آهنی سقفی عرض </t>
    </r>
    <r>
      <rPr>
        <sz val="10"/>
        <rFont val="Vazirmatn"/>
        <family val="0"/>
        <charset val="1"/>
      </rPr>
      <t xml:space="preserve">18cm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3mm</t>
    </r>
  </si>
  <si>
    <t xml:space="preserve">35191247</t>
  </si>
  <si>
    <r>
      <rPr>
        <sz val="10"/>
        <rFont val="FreeSans"/>
        <family val="2"/>
      </rPr>
      <t xml:space="preserve">تلق شفاف  </t>
    </r>
    <r>
      <rPr>
        <sz val="10"/>
        <rFont val="Vazirmatn"/>
        <family val="0"/>
        <charset val="1"/>
      </rPr>
      <t xml:space="preserve">118cm*50cm</t>
    </r>
  </si>
  <si>
    <t xml:space="preserve">35191254</t>
  </si>
  <si>
    <r>
      <rPr>
        <sz val="10"/>
        <rFont val="FreeSans"/>
        <family val="2"/>
      </rPr>
      <t xml:space="preserve">ورق آبرو گالوانیزه عرض </t>
    </r>
    <r>
      <rPr>
        <sz val="10"/>
        <rFont val="Vazirmatn"/>
        <family val="0"/>
        <charset val="1"/>
      </rPr>
      <t xml:space="preserve">1m 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2mm</t>
    </r>
  </si>
  <si>
    <t xml:space="preserve">35191263</t>
  </si>
  <si>
    <r>
      <rPr>
        <sz val="10"/>
        <rFont val="FreeSans"/>
        <family val="2"/>
      </rPr>
      <t xml:space="preserve">زد آهنی </t>
    </r>
    <r>
      <rPr>
        <sz val="10"/>
        <rFont val="Vazirmatn"/>
        <family val="0"/>
        <charset val="1"/>
      </rPr>
      <t xml:space="preserve">22  7 </t>
    </r>
    <r>
      <rPr>
        <sz val="10"/>
        <rFont val="FreeSans"/>
        <family val="2"/>
      </rPr>
      <t xml:space="preserve">متری  ضخامت </t>
    </r>
    <r>
      <rPr>
        <sz val="10"/>
        <rFont val="Vazirmatn"/>
        <family val="0"/>
        <charset val="1"/>
      </rPr>
      <t xml:space="preserve">3mm</t>
    </r>
  </si>
  <si>
    <t xml:space="preserve">35191267</t>
  </si>
  <si>
    <r>
      <rPr>
        <sz val="10"/>
        <rFont val="FreeSans"/>
        <family val="2"/>
      </rPr>
      <t xml:space="preserve">سازه گالوانیزه  </t>
    </r>
    <r>
      <rPr>
        <sz val="10"/>
        <rFont val="Vazirmatn"/>
        <family val="0"/>
        <charset val="1"/>
      </rPr>
      <t xml:space="preserve">L 25</t>
    </r>
  </si>
  <si>
    <t xml:space="preserve">35191268</t>
  </si>
  <si>
    <r>
      <rPr>
        <sz val="10"/>
        <rFont val="FreeSans"/>
        <family val="2"/>
      </rPr>
      <t xml:space="preserve">سازه گالوانیزه  </t>
    </r>
    <r>
      <rPr>
        <sz val="10"/>
        <rFont val="Vazirmatn"/>
        <family val="0"/>
        <charset val="1"/>
      </rPr>
      <t xml:space="preserve">U 36</t>
    </r>
  </si>
  <si>
    <t xml:space="preserve">35191269</t>
  </si>
  <si>
    <r>
      <rPr>
        <sz val="10"/>
        <rFont val="FreeSans"/>
        <family val="2"/>
      </rPr>
      <t xml:space="preserve">سازه گالوانیزه  </t>
    </r>
    <r>
      <rPr>
        <sz val="10"/>
        <rFont val="Vazirmatn"/>
        <family val="0"/>
        <charset val="1"/>
      </rPr>
      <t xml:space="preserve">F 47</t>
    </r>
  </si>
  <si>
    <t xml:space="preserve">35191270</t>
  </si>
  <si>
    <t xml:space="preserve">رانر استاد گالوانیزه</t>
  </si>
  <si>
    <t xml:space="preserve">35191271</t>
  </si>
  <si>
    <r>
      <rPr>
        <sz val="10"/>
        <rFont val="FreeSans"/>
        <family val="2"/>
      </rPr>
      <t xml:space="preserve">ورق فولادی  </t>
    </r>
    <r>
      <rPr>
        <sz val="10"/>
        <rFont val="Vazirmatn"/>
        <family val="0"/>
        <charset val="1"/>
      </rPr>
      <t xml:space="preserve">15 * 40 * 241</t>
    </r>
  </si>
  <si>
    <t xml:space="preserve">35191272</t>
  </si>
  <si>
    <r>
      <rPr>
        <sz val="10"/>
        <rFont val="FreeSans"/>
        <family val="2"/>
      </rPr>
      <t xml:space="preserve">ورق گالوانیزه ضخامت </t>
    </r>
    <r>
      <rPr>
        <sz val="10"/>
        <rFont val="Vazirmatn"/>
        <family val="0"/>
        <charset val="1"/>
      </rPr>
      <t xml:space="preserve">2mm 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1/25m</t>
    </r>
  </si>
  <si>
    <t xml:space="preserve">35191273</t>
  </si>
  <si>
    <r>
      <rPr>
        <sz val="10"/>
        <rFont val="FreeSans"/>
        <family val="2"/>
      </rPr>
      <t xml:space="preserve">ورق گالوانیزه رنگی ذوزنقه  </t>
    </r>
    <r>
      <rPr>
        <sz val="10"/>
        <rFont val="Vazirmatn"/>
        <family val="0"/>
        <charset val="1"/>
      </rPr>
      <t xml:space="preserve">5m*1/25m*0/5mm</t>
    </r>
  </si>
  <si>
    <t xml:space="preserve">35191274</t>
  </si>
  <si>
    <r>
      <rPr>
        <sz val="10"/>
        <rFont val="FreeSans"/>
        <family val="2"/>
      </rPr>
      <t xml:space="preserve">ورق گالوانیزه فلاشینگ ضخامت </t>
    </r>
    <r>
      <rPr>
        <sz val="10"/>
        <rFont val="Vazirmatn"/>
        <family val="0"/>
        <charset val="1"/>
      </rPr>
      <t xml:space="preserve">0/5mm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1/25m</t>
    </r>
  </si>
  <si>
    <t xml:space="preserve">35191275</t>
  </si>
  <si>
    <r>
      <rPr>
        <sz val="10"/>
        <rFont val="FreeSans"/>
        <family val="2"/>
      </rPr>
      <t xml:space="preserve">گریتینگ گالوانیزه تسمه در تسمه </t>
    </r>
    <r>
      <rPr>
        <sz val="10"/>
        <rFont val="Vazirmatn"/>
        <family val="0"/>
        <charset val="1"/>
      </rPr>
      <t xml:space="preserve">93/5cm*28cm </t>
    </r>
    <r>
      <rPr>
        <sz val="10"/>
        <rFont val="FreeSans"/>
        <family val="2"/>
      </rPr>
      <t xml:space="preserve">مش</t>
    </r>
    <r>
      <rPr>
        <sz val="10"/>
        <rFont val="Vazirmatn"/>
        <family val="0"/>
        <charset val="1"/>
      </rPr>
      <t xml:space="preserve">3*3cm </t>
    </r>
    <r>
      <rPr>
        <sz val="10"/>
        <rFont val="FreeSans"/>
        <family val="2"/>
      </rPr>
      <t xml:space="preserve">ارتفاع </t>
    </r>
    <r>
      <rPr>
        <sz val="10"/>
        <rFont val="Vazirmatn"/>
        <family val="0"/>
        <charset val="1"/>
      </rPr>
      <t xml:space="preserve">4cm</t>
    </r>
  </si>
  <si>
    <t xml:space="preserve">35191276</t>
  </si>
  <si>
    <r>
      <rPr>
        <sz val="10"/>
        <rFont val="FreeSans"/>
        <family val="2"/>
      </rPr>
      <t xml:space="preserve">گریتینگ گالوانیزه تسمه در تسمه </t>
    </r>
    <r>
      <rPr>
        <sz val="10"/>
        <rFont val="Vazirmatn"/>
        <family val="0"/>
        <charset val="1"/>
      </rPr>
      <t xml:space="preserve">80cm*28cm </t>
    </r>
    <r>
      <rPr>
        <sz val="10"/>
        <rFont val="FreeSans"/>
        <family val="2"/>
      </rPr>
      <t xml:space="preserve">مش</t>
    </r>
    <r>
      <rPr>
        <sz val="10"/>
        <rFont val="Vazirmatn"/>
        <family val="0"/>
        <charset val="1"/>
      </rPr>
      <t xml:space="preserve">3*3cm </t>
    </r>
    <r>
      <rPr>
        <sz val="10"/>
        <rFont val="FreeSans"/>
        <family val="2"/>
      </rPr>
      <t xml:space="preserve">ارتفاع </t>
    </r>
    <r>
      <rPr>
        <sz val="10"/>
        <rFont val="Vazirmatn"/>
        <family val="0"/>
        <charset val="1"/>
      </rPr>
      <t xml:space="preserve">4cm</t>
    </r>
  </si>
  <si>
    <t xml:space="preserve">35191277</t>
  </si>
  <si>
    <r>
      <rPr>
        <sz val="10"/>
        <rFont val="FreeSans"/>
        <family val="2"/>
      </rPr>
      <t xml:space="preserve">ورق شیروانی گالوانیزه آبی رنگ </t>
    </r>
    <r>
      <rPr>
        <sz val="10"/>
        <rFont val="Vazirmatn"/>
        <family val="0"/>
        <charset val="1"/>
      </rPr>
      <t xml:space="preserve">6/5m*1/25m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0/6mm</t>
    </r>
  </si>
  <si>
    <t xml:space="preserve">35191278</t>
  </si>
  <si>
    <r>
      <rPr>
        <sz val="10"/>
        <rFont val="FreeSans"/>
        <family val="2"/>
      </rPr>
      <t xml:space="preserve">ورق شیروانی گالوانیزه سفید رنگ </t>
    </r>
    <r>
      <rPr>
        <sz val="10"/>
        <rFont val="Vazirmatn"/>
        <family val="0"/>
        <charset val="1"/>
      </rPr>
      <t xml:space="preserve">6m*1/25m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0/6mm</t>
    </r>
  </si>
  <si>
    <t xml:space="preserve">35191279</t>
  </si>
  <si>
    <r>
      <rPr>
        <sz val="10"/>
        <rFont val="FreeSans"/>
        <family val="2"/>
      </rPr>
      <t xml:space="preserve">ورق شیروانی گالوانیزه آبی رنگ </t>
    </r>
    <r>
      <rPr>
        <sz val="10"/>
        <rFont val="Vazirmatn"/>
        <family val="0"/>
        <charset val="1"/>
      </rPr>
      <t xml:space="preserve">3/5m*1/25m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0/6mm</t>
    </r>
  </si>
  <si>
    <t xml:space="preserve">35191280</t>
  </si>
  <si>
    <t xml:space="preserve">ورق طلق شیشه ای</t>
  </si>
  <si>
    <t xml:space="preserve">35191283</t>
  </si>
  <si>
    <r>
      <rPr>
        <sz val="10"/>
        <rFont val="FreeSans"/>
        <family val="2"/>
      </rPr>
      <t xml:space="preserve">ورق شیروانی گالوانیزه عرض </t>
    </r>
    <r>
      <rPr>
        <sz val="10"/>
        <rFont val="Vazirmatn"/>
        <family val="0"/>
        <charset val="1"/>
      </rPr>
      <t xml:space="preserve">1m 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0/5mm</t>
    </r>
  </si>
  <si>
    <t xml:space="preserve">35191284</t>
  </si>
  <si>
    <r>
      <rPr>
        <sz val="10"/>
        <rFont val="FreeSans"/>
        <family val="2"/>
      </rPr>
      <t xml:space="preserve">سازه گالوانیزه  </t>
    </r>
    <r>
      <rPr>
        <sz val="10"/>
        <rFont val="Vazirmatn"/>
        <family val="0"/>
        <charset val="1"/>
      </rPr>
      <t xml:space="preserve">L25</t>
    </r>
  </si>
  <si>
    <t xml:space="preserve">35191285</t>
  </si>
  <si>
    <r>
      <rPr>
        <sz val="10"/>
        <rFont val="FreeSans"/>
        <family val="2"/>
      </rPr>
      <t xml:space="preserve">استاد گالوانیزه  </t>
    </r>
    <r>
      <rPr>
        <sz val="10"/>
        <rFont val="Vazirmatn"/>
        <family val="0"/>
        <charset val="1"/>
      </rPr>
      <t xml:space="preserve">50</t>
    </r>
  </si>
  <si>
    <t xml:space="preserve">35191286</t>
  </si>
  <si>
    <r>
      <rPr>
        <sz val="10"/>
        <rFont val="FreeSans"/>
        <family val="2"/>
      </rPr>
      <t xml:space="preserve">رانر گالوانیزه  </t>
    </r>
    <r>
      <rPr>
        <sz val="10"/>
        <rFont val="Vazirmatn"/>
        <family val="0"/>
        <charset val="1"/>
      </rPr>
      <t xml:space="preserve">50</t>
    </r>
  </si>
  <si>
    <t xml:space="preserve">35191287</t>
  </si>
  <si>
    <r>
      <rPr>
        <sz val="10"/>
        <rFont val="FreeSans"/>
        <family val="2"/>
      </rPr>
      <t xml:space="preserve">زد آهنی </t>
    </r>
    <r>
      <rPr>
        <sz val="10"/>
        <rFont val="Vazirmatn"/>
        <family val="0"/>
        <charset val="1"/>
      </rPr>
      <t xml:space="preserve">22  6 </t>
    </r>
    <r>
      <rPr>
        <sz val="10"/>
        <rFont val="FreeSans"/>
        <family val="2"/>
      </rPr>
      <t xml:space="preserve">متری  ضخامت </t>
    </r>
    <r>
      <rPr>
        <sz val="10"/>
        <rFont val="Vazirmatn"/>
        <family val="0"/>
        <charset val="1"/>
      </rPr>
      <t xml:space="preserve">3mm</t>
    </r>
  </si>
  <si>
    <t xml:space="preserve">35191288</t>
  </si>
  <si>
    <r>
      <rPr>
        <sz val="10"/>
        <rFont val="FreeSans"/>
        <family val="2"/>
      </rPr>
      <t xml:space="preserve">ورق رنگی فلاشینگ ضخامت </t>
    </r>
    <r>
      <rPr>
        <sz val="10"/>
        <rFont val="Vazirmatn"/>
        <family val="0"/>
        <charset val="1"/>
      </rPr>
      <t xml:space="preserve">0/5mm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62/5cm</t>
    </r>
  </si>
  <si>
    <t xml:space="preserve">35191289</t>
  </si>
  <si>
    <r>
      <rPr>
        <sz val="10"/>
        <rFont val="FreeSans"/>
        <family val="2"/>
      </rPr>
      <t xml:space="preserve">سازه پروفیل </t>
    </r>
    <r>
      <rPr>
        <sz val="10"/>
        <rFont val="Vazirmatn"/>
        <family val="0"/>
        <charset val="1"/>
      </rPr>
      <t xml:space="preserve">F 47</t>
    </r>
  </si>
  <si>
    <t xml:space="preserve">35191290</t>
  </si>
  <si>
    <t xml:space="preserve">سازه نبشی کناف</t>
  </si>
  <si>
    <t xml:space="preserve">35191291</t>
  </si>
  <si>
    <t xml:space="preserve">پنل گچی کناف</t>
  </si>
  <si>
    <t xml:space="preserve">35191292</t>
  </si>
  <si>
    <t xml:space="preserve">اتصال کلیپس</t>
  </si>
  <si>
    <t xml:space="preserve">35191293</t>
  </si>
  <si>
    <r>
      <rPr>
        <sz val="10"/>
        <rFont val="FreeSans"/>
        <family val="2"/>
      </rPr>
      <t xml:space="preserve">پروفیل گالوانیزه </t>
    </r>
    <r>
      <rPr>
        <sz val="10"/>
        <rFont val="Vazirmatn"/>
        <family val="0"/>
        <charset val="1"/>
      </rPr>
      <t xml:space="preserve">U 36</t>
    </r>
  </si>
  <si>
    <t xml:space="preserve">35191307</t>
  </si>
  <si>
    <r>
      <rPr>
        <sz val="10"/>
        <rFont val="FreeSans"/>
        <family val="2"/>
      </rPr>
      <t xml:space="preserve">نبشی استیل </t>
    </r>
    <r>
      <rPr>
        <sz val="10"/>
        <rFont val="Vazirmatn"/>
        <family val="0"/>
        <charset val="1"/>
      </rPr>
      <t xml:space="preserve">304  </t>
    </r>
    <r>
      <rPr>
        <sz val="10"/>
        <rFont val="FreeSans"/>
        <family val="2"/>
      </rPr>
      <t xml:space="preserve">نمره </t>
    </r>
    <r>
      <rPr>
        <sz val="10"/>
        <rFont val="Vazirmatn"/>
        <family val="0"/>
        <charset val="1"/>
      </rPr>
      <t xml:space="preserve">: 5           Angle   Steel</t>
    </r>
  </si>
  <si>
    <t xml:space="preserve">35191312</t>
  </si>
  <si>
    <r>
      <rPr>
        <sz val="10"/>
        <rFont val="FreeSans"/>
        <family val="2"/>
      </rPr>
      <t xml:space="preserve">نبشی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گالوانیزه ضخامت </t>
    </r>
    <r>
      <rPr>
        <sz val="10"/>
        <rFont val="Vazirmatn"/>
        <family val="0"/>
        <charset val="1"/>
      </rPr>
      <t xml:space="preserve">0/5 </t>
    </r>
    <r>
      <rPr>
        <sz val="10"/>
        <rFont val="FreeSans"/>
        <family val="2"/>
      </rPr>
      <t xml:space="preserve">میل</t>
    </r>
  </si>
  <si>
    <t xml:space="preserve">35191313</t>
  </si>
  <si>
    <r>
      <rPr>
        <sz val="10"/>
        <rFont val="FreeSans"/>
        <family val="2"/>
      </rPr>
      <t xml:space="preserve">ناودانی </t>
    </r>
    <r>
      <rPr>
        <sz val="10"/>
        <rFont val="Vazirmatn"/>
        <family val="0"/>
        <charset val="1"/>
      </rPr>
      <t xml:space="preserve">5 * 10 </t>
    </r>
    <r>
      <rPr>
        <sz val="10"/>
        <rFont val="FreeSans"/>
        <family val="2"/>
      </rPr>
      <t xml:space="preserve">گالوانیزه ضخامت </t>
    </r>
    <r>
      <rPr>
        <sz val="10"/>
        <rFont val="Vazirmatn"/>
        <family val="0"/>
        <charset val="1"/>
      </rPr>
      <t xml:space="preserve">0/5 </t>
    </r>
    <r>
      <rPr>
        <sz val="10"/>
        <rFont val="FreeSans"/>
        <family val="2"/>
      </rPr>
      <t xml:space="preserve">میل</t>
    </r>
  </si>
  <si>
    <t xml:space="preserve">35191314</t>
  </si>
  <si>
    <r>
      <rPr>
        <sz val="10"/>
        <rFont val="FreeSans"/>
        <family val="2"/>
      </rPr>
      <t xml:space="preserve">نبشی </t>
    </r>
    <r>
      <rPr>
        <sz val="10"/>
        <rFont val="Vazirmatn"/>
        <family val="0"/>
        <charset val="1"/>
      </rPr>
      <t xml:space="preserve">5 * 15 </t>
    </r>
    <r>
      <rPr>
        <sz val="10"/>
        <rFont val="FreeSans"/>
        <family val="2"/>
      </rPr>
      <t xml:space="preserve">گالوانیزه ضخامت </t>
    </r>
    <r>
      <rPr>
        <sz val="10"/>
        <rFont val="Vazirmatn"/>
        <family val="0"/>
        <charset val="1"/>
      </rPr>
      <t xml:space="preserve">0/5 </t>
    </r>
    <r>
      <rPr>
        <sz val="10"/>
        <rFont val="FreeSans"/>
        <family val="2"/>
      </rPr>
      <t xml:space="preserve">میل</t>
    </r>
  </si>
  <si>
    <t xml:space="preserve">35191315</t>
  </si>
  <si>
    <t xml:space="preserve">پروفیل قرنیز موکت</t>
  </si>
  <si>
    <t xml:space="preserve">35191316</t>
  </si>
  <si>
    <t xml:space="preserve">پروفیل تمام کننده پارکت</t>
  </si>
  <si>
    <t xml:space="preserve">35191317</t>
  </si>
  <si>
    <t xml:space="preserve">پروفیل میانی پارکت</t>
  </si>
  <si>
    <t xml:space="preserve">35191318</t>
  </si>
  <si>
    <r>
      <rPr>
        <sz val="10"/>
        <rFont val="FreeSans"/>
        <family val="2"/>
      </rPr>
      <t xml:space="preserve">پانل گچی </t>
    </r>
    <r>
      <rPr>
        <sz val="10"/>
        <rFont val="Vazirmatn"/>
        <family val="0"/>
        <charset val="1"/>
      </rPr>
      <t xml:space="preserve">( 1/2m * 2/5m ) ( RG12/5  ( +K</t>
    </r>
  </si>
  <si>
    <t xml:space="preserve">35191376</t>
  </si>
  <si>
    <r>
      <rPr>
        <sz val="10"/>
        <rFont val="FreeSans"/>
        <family val="2"/>
      </rPr>
      <t xml:space="preserve">ناودانی استیل    نمره </t>
    </r>
    <r>
      <rPr>
        <sz val="10"/>
        <rFont val="Vazirmatn"/>
        <family val="0"/>
        <charset val="1"/>
      </rPr>
      <t xml:space="preserve">8</t>
    </r>
  </si>
  <si>
    <t xml:space="preserve">35191412</t>
  </si>
  <si>
    <r>
      <rPr>
        <sz val="10"/>
        <rFont val="FreeSans"/>
        <family val="2"/>
      </rPr>
      <t xml:space="preserve">ناودانی آلومینیومی      </t>
    </r>
    <r>
      <rPr>
        <sz val="10"/>
        <rFont val="Vazirmatn"/>
        <family val="0"/>
        <charset val="1"/>
      </rPr>
      <t xml:space="preserve">2</t>
    </r>
  </si>
  <si>
    <t xml:space="preserve">35191418</t>
  </si>
  <si>
    <r>
      <rPr>
        <sz val="10"/>
        <rFont val="FreeSans"/>
        <family val="2"/>
      </rPr>
      <t xml:space="preserve">ناودانی آهنی  نمره  </t>
    </r>
    <r>
      <rPr>
        <sz val="10"/>
        <rFont val="Vazirmatn"/>
        <family val="0"/>
        <charset val="1"/>
      </rPr>
      <t xml:space="preserve">18</t>
    </r>
  </si>
  <si>
    <t xml:space="preserve">35191425</t>
  </si>
  <si>
    <t xml:space="preserve">فریم پاسار آلمینیومی</t>
  </si>
  <si>
    <t xml:space="preserve">35191428</t>
  </si>
  <si>
    <r>
      <rPr>
        <sz val="10"/>
        <rFont val="FreeSans"/>
        <family val="2"/>
      </rPr>
      <t xml:space="preserve">پروفیل </t>
    </r>
    <r>
      <rPr>
        <sz val="10"/>
        <rFont val="Vazirmatn"/>
        <family val="0"/>
        <charset val="1"/>
      </rPr>
      <t xml:space="preserve">U </t>
    </r>
    <r>
      <rPr>
        <sz val="10"/>
        <rFont val="FreeSans"/>
        <family val="2"/>
      </rPr>
      <t xml:space="preserve">شکل </t>
    </r>
    <r>
      <rPr>
        <sz val="10"/>
        <rFont val="Vazirmatn"/>
        <family val="0"/>
        <charset val="1"/>
      </rPr>
      <t xml:space="preserve">PVC</t>
    </r>
  </si>
  <si>
    <t xml:space="preserve">35191429</t>
  </si>
  <si>
    <t xml:space="preserve">پروفیل پانل وینتک</t>
  </si>
  <si>
    <t xml:space="preserve">35191430</t>
  </si>
  <si>
    <t xml:space="preserve">پروفیل درب وینتک</t>
  </si>
  <si>
    <t xml:space="preserve">35191431</t>
  </si>
  <si>
    <t xml:space="preserve">پروفیل باز شوی پنجره وینتک</t>
  </si>
  <si>
    <t xml:space="preserve">35191432</t>
  </si>
  <si>
    <t xml:space="preserve">پروفیل مولین وینتک</t>
  </si>
  <si>
    <t xml:space="preserve">35191433</t>
  </si>
  <si>
    <t xml:space="preserve">پروفیل فریم وینتک</t>
  </si>
  <si>
    <t xml:space="preserve">35191441</t>
  </si>
  <si>
    <r>
      <rPr>
        <sz val="10"/>
        <rFont val="FreeSans"/>
        <family val="2"/>
      </rPr>
      <t xml:space="preserve">تیر آهن نمره  </t>
    </r>
    <r>
      <rPr>
        <sz val="10"/>
        <rFont val="Vazirmatn"/>
        <family val="0"/>
        <charset val="1"/>
      </rPr>
      <t xml:space="preserve">16    (  12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)</t>
    </r>
  </si>
  <si>
    <t xml:space="preserve">35191444</t>
  </si>
  <si>
    <r>
      <rPr>
        <sz val="10"/>
        <rFont val="FreeSans"/>
        <family val="2"/>
      </rPr>
      <t xml:space="preserve">تیر آهن نمره  </t>
    </r>
    <r>
      <rPr>
        <sz val="10"/>
        <rFont val="Vazirmatn"/>
        <family val="0"/>
        <charset val="1"/>
      </rPr>
      <t xml:space="preserve">16    (  6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)</t>
    </r>
  </si>
  <si>
    <t xml:space="preserve">35191446</t>
  </si>
  <si>
    <r>
      <rPr>
        <sz val="10"/>
        <rFont val="FreeSans"/>
        <family val="2"/>
      </rPr>
      <t xml:space="preserve">پروفیل دو جداره زهوار </t>
    </r>
    <r>
      <rPr>
        <sz val="10"/>
        <rFont val="Vazirmatn"/>
        <family val="0"/>
        <charset val="1"/>
      </rPr>
      <t xml:space="preserve">UPVC</t>
    </r>
  </si>
  <si>
    <t xml:space="preserve">35191448</t>
  </si>
  <si>
    <r>
      <rPr>
        <sz val="10"/>
        <rFont val="FreeSans"/>
        <family val="2"/>
      </rPr>
      <t xml:space="preserve">تیرآهن     </t>
    </r>
    <r>
      <rPr>
        <sz val="10"/>
        <rFont val="Vazirmatn"/>
        <family val="0"/>
        <charset val="1"/>
      </rPr>
      <t xml:space="preserve">IP30</t>
    </r>
  </si>
  <si>
    <t xml:space="preserve">35191449</t>
  </si>
  <si>
    <r>
      <rPr>
        <sz val="10"/>
        <rFont val="FreeSans"/>
        <family val="2"/>
      </rPr>
      <t xml:space="preserve">پروفیل فرم  </t>
    </r>
    <r>
      <rPr>
        <sz val="10"/>
        <rFont val="Vazirmatn"/>
        <family val="0"/>
        <charset val="1"/>
      </rPr>
      <t xml:space="preserve">UPVC</t>
    </r>
  </si>
  <si>
    <t xml:space="preserve">35191454</t>
  </si>
  <si>
    <r>
      <rPr>
        <sz val="10"/>
        <rFont val="FreeSans"/>
        <family val="2"/>
      </rPr>
      <t xml:space="preserve">پانل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سانت </t>
    </r>
    <r>
      <rPr>
        <sz val="10"/>
        <rFont val="Vazirmatn"/>
        <family val="0"/>
        <charset val="1"/>
      </rPr>
      <t xml:space="preserve">1m*5/48m ( </t>
    </r>
    <r>
      <rPr>
        <sz val="10"/>
        <rFont val="FreeSans"/>
        <family val="2"/>
      </rPr>
      <t xml:space="preserve">ورق گالوانیزه </t>
    </r>
    <r>
      <rPr>
        <sz val="10"/>
        <rFont val="Vazirmatn"/>
        <family val="0"/>
        <charset val="1"/>
      </rPr>
      <t xml:space="preserve">0/5 </t>
    </r>
    <r>
      <rPr>
        <sz val="10"/>
        <rFont val="FreeSans"/>
        <family val="2"/>
      </rPr>
      <t xml:space="preserve">میل فوم کندسوز </t>
    </r>
    <r>
      <rPr>
        <sz val="10"/>
        <rFont val="Vazirmatn"/>
        <family val="0"/>
        <charset val="1"/>
      </rPr>
      <t xml:space="preserve">B2 )</t>
    </r>
  </si>
  <si>
    <t xml:space="preserve">35191455</t>
  </si>
  <si>
    <r>
      <rPr>
        <sz val="10"/>
        <rFont val="FreeSans"/>
        <family val="2"/>
      </rPr>
      <t xml:space="preserve">پانل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سانت </t>
    </r>
    <r>
      <rPr>
        <sz val="10"/>
        <rFont val="Vazirmatn"/>
        <family val="0"/>
        <charset val="1"/>
      </rPr>
      <t xml:space="preserve">1m*5/46m ( </t>
    </r>
    <r>
      <rPr>
        <sz val="10"/>
        <rFont val="FreeSans"/>
        <family val="2"/>
      </rPr>
      <t xml:space="preserve">ورق گالوانیزه </t>
    </r>
    <r>
      <rPr>
        <sz val="10"/>
        <rFont val="Vazirmatn"/>
        <family val="0"/>
        <charset val="1"/>
      </rPr>
      <t xml:space="preserve">0/5 </t>
    </r>
    <r>
      <rPr>
        <sz val="10"/>
        <rFont val="FreeSans"/>
        <family val="2"/>
      </rPr>
      <t xml:space="preserve">میل فوم کندسوز </t>
    </r>
    <r>
      <rPr>
        <sz val="10"/>
        <rFont val="Vazirmatn"/>
        <family val="0"/>
        <charset val="1"/>
      </rPr>
      <t xml:space="preserve">B2 )</t>
    </r>
  </si>
  <si>
    <t xml:space="preserve">35191461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</si>
  <si>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تکه پنجره </t>
    </r>
    <r>
      <rPr>
        <sz val="10"/>
        <rFont val="Vazirmatn"/>
        <family val="0"/>
        <charset val="1"/>
      </rPr>
      <t xml:space="preserve">upvc</t>
    </r>
    <r>
      <rPr>
        <sz val="10"/>
        <rFont val="FreeSans"/>
        <family val="2"/>
      </rPr>
      <t xml:space="preserve">دوجداره به همراه شیشه دوجداره </t>
    </r>
    <r>
      <rPr>
        <sz val="10"/>
        <rFont val="Vazirmatn"/>
        <family val="0"/>
        <charset val="1"/>
      </rPr>
      <t xml:space="preserve">131/6*96/9cm</t>
    </r>
  </si>
  <si>
    <t xml:space="preserve">35191462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</si>
  <si>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تکه پنجره </t>
    </r>
    <r>
      <rPr>
        <sz val="10"/>
        <rFont val="Vazirmatn"/>
        <family val="0"/>
        <charset val="1"/>
      </rPr>
      <t xml:space="preserve">upvc</t>
    </r>
    <r>
      <rPr>
        <sz val="10"/>
        <rFont val="FreeSans"/>
        <family val="2"/>
      </rPr>
      <t xml:space="preserve">دوجداره به همراه شیشه دوجداره  </t>
    </r>
    <r>
      <rPr>
        <sz val="10"/>
        <rFont val="Vazirmatn"/>
        <family val="0"/>
        <charset val="1"/>
      </rPr>
      <t xml:space="preserve">254/8*96/6cm</t>
    </r>
  </si>
  <si>
    <t xml:space="preserve">35191463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</si>
  <si>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2</t>
    </r>
    <r>
      <rPr>
        <sz val="10"/>
        <rFont val="FreeSans"/>
        <family val="2"/>
      </rPr>
      <t xml:space="preserve">تکه پنجره </t>
    </r>
    <r>
      <rPr>
        <sz val="10"/>
        <rFont val="Vazirmatn"/>
        <family val="0"/>
        <charset val="1"/>
      </rPr>
      <t xml:space="preserve">upvc</t>
    </r>
    <r>
      <rPr>
        <sz val="10"/>
        <rFont val="FreeSans"/>
        <family val="2"/>
      </rPr>
      <t xml:space="preserve">دوجداره به همراه شیشه دوجداره </t>
    </r>
    <r>
      <rPr>
        <sz val="10"/>
        <rFont val="Vazirmatn"/>
        <family val="0"/>
        <charset val="1"/>
      </rPr>
      <t xml:space="preserve">144/8*144/9cm</t>
    </r>
  </si>
  <si>
    <t xml:space="preserve">35191464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</si>
  <si>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تکه پنجره </t>
    </r>
    <r>
      <rPr>
        <sz val="10"/>
        <rFont val="Vazirmatn"/>
        <family val="0"/>
        <charset val="1"/>
      </rPr>
      <t xml:space="preserve">upvc</t>
    </r>
    <r>
      <rPr>
        <sz val="10"/>
        <rFont val="FreeSans"/>
        <family val="2"/>
      </rPr>
      <t xml:space="preserve">دوجداره به همراه شیشه دوجداره </t>
    </r>
    <r>
      <rPr>
        <sz val="10"/>
        <rFont val="Vazirmatn"/>
        <family val="0"/>
        <charset val="1"/>
      </rPr>
      <t xml:space="preserve">121/8*131/9cm</t>
    </r>
  </si>
  <si>
    <t xml:space="preserve">35191465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</si>
  <si>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تکه پنجره </t>
    </r>
    <r>
      <rPr>
        <sz val="10"/>
        <rFont val="Vazirmatn"/>
        <family val="0"/>
        <charset val="1"/>
      </rPr>
      <t xml:space="preserve">upvc</t>
    </r>
    <r>
      <rPr>
        <sz val="10"/>
        <rFont val="FreeSans"/>
        <family val="2"/>
      </rPr>
      <t xml:space="preserve">دوجداره به همراه شیشه دوجداره </t>
    </r>
    <r>
      <rPr>
        <sz val="10"/>
        <rFont val="Vazirmatn"/>
        <family val="0"/>
        <charset val="1"/>
      </rPr>
      <t xml:space="preserve">144/8*144/9cm</t>
    </r>
  </si>
  <si>
    <t xml:space="preserve">35191466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</si>
  <si>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2</t>
    </r>
    <r>
      <rPr>
        <sz val="10"/>
        <rFont val="FreeSans"/>
        <family val="2"/>
      </rPr>
      <t xml:space="preserve">تکه پنجره </t>
    </r>
    <r>
      <rPr>
        <sz val="10"/>
        <rFont val="Vazirmatn"/>
        <family val="0"/>
        <charset val="1"/>
      </rPr>
      <t xml:space="preserve">upvc</t>
    </r>
    <r>
      <rPr>
        <sz val="10"/>
        <rFont val="FreeSans"/>
        <family val="2"/>
      </rPr>
      <t xml:space="preserve">دوجداره به همراه شیشه دوجداره </t>
    </r>
    <r>
      <rPr>
        <sz val="10"/>
        <rFont val="Vazirmatn"/>
        <family val="0"/>
        <charset val="1"/>
      </rPr>
      <t xml:space="preserve">145/8*147/9cm</t>
    </r>
  </si>
  <si>
    <t xml:space="preserve">35191467</t>
  </si>
  <si>
    <r>
      <rPr>
        <sz val="10"/>
        <rFont val="Vazirmatn"/>
        <family val="0"/>
        <charset val="1"/>
      </rPr>
      <t xml:space="preserve">.</t>
    </r>
    <r>
      <rPr>
        <sz val="10"/>
        <rFont val="FreeSans"/>
        <family val="2"/>
      </rPr>
      <t xml:space="preserve">قاب توری پلیسه ای</t>
    </r>
  </si>
  <si>
    <t xml:space="preserve">35191468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</si>
  <si>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تکه پنجره </t>
    </r>
    <r>
      <rPr>
        <sz val="10"/>
        <rFont val="Vazirmatn"/>
        <family val="0"/>
        <charset val="1"/>
      </rPr>
      <t xml:space="preserve">upvc</t>
    </r>
    <r>
      <rPr>
        <sz val="10"/>
        <rFont val="FreeSans"/>
        <family val="2"/>
      </rPr>
      <t xml:space="preserve">دوجداره به همراه شیشه دوجداره </t>
    </r>
    <r>
      <rPr>
        <sz val="10"/>
        <rFont val="Vazirmatn"/>
        <family val="0"/>
        <charset val="1"/>
      </rPr>
      <t xml:space="preserve">145/8*147/9cm</t>
    </r>
  </si>
  <si>
    <t xml:space="preserve">35191469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</si>
  <si>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3</t>
    </r>
    <r>
      <rPr>
        <sz val="10"/>
        <rFont val="FreeSans"/>
        <family val="2"/>
      </rPr>
      <t xml:space="preserve">تکه پنجره </t>
    </r>
    <r>
      <rPr>
        <sz val="10"/>
        <rFont val="Vazirmatn"/>
        <family val="0"/>
        <charset val="1"/>
      </rPr>
      <t xml:space="preserve">upvc</t>
    </r>
    <r>
      <rPr>
        <sz val="10"/>
        <rFont val="FreeSans"/>
        <family val="2"/>
      </rPr>
      <t xml:space="preserve">دوجداره به همراه شیشه دوجداره  </t>
    </r>
    <r>
      <rPr>
        <sz val="10"/>
        <rFont val="Vazirmatn"/>
        <family val="0"/>
        <charset val="1"/>
      </rPr>
      <t xml:space="preserve">256/8*98/9cm</t>
    </r>
  </si>
  <si>
    <t xml:space="preserve">35191470</t>
  </si>
  <si>
    <r>
      <rPr>
        <sz val="10"/>
        <rFont val="FreeSans"/>
        <family val="2"/>
      </rPr>
      <t xml:space="preserve">قوطی آهنی        </t>
    </r>
    <r>
      <rPr>
        <sz val="10"/>
        <rFont val="Vazirmatn"/>
        <family val="0"/>
        <charset val="1"/>
      </rPr>
      <t xml:space="preserve">120*120</t>
    </r>
  </si>
  <si>
    <t xml:space="preserve">35191471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</si>
  <si>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2</t>
    </r>
    <r>
      <rPr>
        <sz val="10"/>
        <rFont val="FreeSans"/>
        <family val="2"/>
      </rPr>
      <t xml:space="preserve">تکه پنجره </t>
    </r>
    <r>
      <rPr>
        <sz val="10"/>
        <rFont val="Vazirmatn"/>
        <family val="0"/>
        <charset val="1"/>
      </rPr>
      <t xml:space="preserve">upvc</t>
    </r>
    <r>
      <rPr>
        <sz val="10"/>
        <rFont val="FreeSans"/>
        <family val="2"/>
      </rPr>
      <t xml:space="preserve">دوجداره به همراه شیشه دوجداره  </t>
    </r>
    <r>
      <rPr>
        <sz val="10"/>
        <rFont val="Vazirmatn"/>
        <family val="0"/>
        <charset val="1"/>
      </rPr>
      <t xml:space="preserve">256/8*98/9cm</t>
    </r>
  </si>
  <si>
    <t xml:space="preserve">35191472</t>
  </si>
  <si>
    <t xml:space="preserve">قاب توری پلیسه ای</t>
  </si>
  <si>
    <t xml:space="preserve">35191473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</si>
  <si>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2</t>
    </r>
    <r>
      <rPr>
        <sz val="10"/>
        <rFont val="FreeSans"/>
        <family val="2"/>
      </rPr>
      <t xml:space="preserve">تکه پنجره </t>
    </r>
    <r>
      <rPr>
        <sz val="10"/>
        <rFont val="Vazirmatn"/>
        <family val="0"/>
        <charset val="1"/>
      </rPr>
      <t xml:space="preserve">upvc</t>
    </r>
    <r>
      <rPr>
        <sz val="10"/>
        <rFont val="FreeSans"/>
        <family val="2"/>
      </rPr>
      <t xml:space="preserve">دوجداره به همراه شیشه دوجداره </t>
    </r>
    <r>
      <rPr>
        <sz val="10"/>
        <rFont val="Vazirmatn"/>
        <family val="0"/>
        <charset val="1"/>
      </rPr>
      <t xml:space="preserve">106/8*98/9cm</t>
    </r>
  </si>
  <si>
    <t xml:space="preserve">35191474</t>
  </si>
  <si>
    <r>
      <rPr>
        <sz val="10"/>
        <rFont val="FreeSans"/>
        <family val="2"/>
      </rPr>
      <t xml:space="preserve">قاب توری</t>
    </r>
    <r>
      <rPr>
        <sz val="10"/>
        <rFont val="Vazirmatn"/>
        <family val="0"/>
        <charset val="1"/>
      </rPr>
      <t xml:space="preserve">. </t>
    </r>
    <r>
      <rPr>
        <sz val="10"/>
        <rFont val="FreeSans"/>
        <family val="2"/>
      </rPr>
      <t xml:space="preserve">پلیسه ای</t>
    </r>
  </si>
  <si>
    <t xml:space="preserve">35191475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</si>
  <si>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تکه پنجره </t>
    </r>
    <r>
      <rPr>
        <sz val="10"/>
        <rFont val="Vazirmatn"/>
        <family val="0"/>
        <charset val="1"/>
      </rPr>
      <t xml:space="preserve">upvc</t>
    </r>
    <r>
      <rPr>
        <sz val="10"/>
        <rFont val="FreeSans"/>
        <family val="2"/>
      </rPr>
      <t xml:space="preserve">دوجداره به همراه شیشه دوجداره </t>
    </r>
    <r>
      <rPr>
        <sz val="10"/>
        <rFont val="Vazirmatn"/>
        <family val="0"/>
        <charset val="1"/>
      </rPr>
      <t xml:space="preserve">106/8*98/9cm</t>
    </r>
  </si>
  <si>
    <t xml:space="preserve">35191476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</si>
  <si>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2</t>
    </r>
    <r>
      <rPr>
        <sz val="10"/>
        <rFont val="FreeSans"/>
        <family val="2"/>
      </rPr>
      <t xml:space="preserve">تکه پنجره </t>
    </r>
    <r>
      <rPr>
        <sz val="10"/>
        <rFont val="Vazirmatn"/>
        <family val="0"/>
        <charset val="1"/>
      </rPr>
      <t xml:space="preserve">upvc</t>
    </r>
    <r>
      <rPr>
        <sz val="10"/>
        <rFont val="FreeSans"/>
        <family val="2"/>
      </rPr>
      <t xml:space="preserve">دوجداره به همراه شیشه دوجداره </t>
    </r>
    <r>
      <rPr>
        <sz val="10"/>
        <rFont val="Vazirmatn"/>
        <family val="0"/>
        <charset val="1"/>
      </rPr>
      <t xml:space="preserve">139/8*143/9cm</t>
    </r>
  </si>
  <si>
    <t xml:space="preserve">35191477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</si>
  <si>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. </t>
    </r>
    <r>
      <rPr>
        <sz val="10"/>
        <rFont val="FreeSans"/>
        <family val="2"/>
      </rPr>
      <t xml:space="preserve">توری پلیسه ای</t>
    </r>
  </si>
  <si>
    <t xml:space="preserve">35191478</t>
  </si>
  <si>
    <r>
      <rPr>
        <sz val="10"/>
        <rFont val="FreeSans"/>
        <family val="2"/>
      </rPr>
      <t xml:space="preserve">قاب</t>
    </r>
    <r>
      <rPr>
        <sz val="10"/>
        <rFont val="Vazirmatn"/>
        <family val="0"/>
        <charset val="1"/>
      </rPr>
      <t xml:space="preserve">1</t>
    </r>
    <r>
      <rPr>
        <sz val="10"/>
        <rFont val="FreeSans"/>
        <family val="2"/>
      </rPr>
      <t xml:space="preserve">تکه پنجره </t>
    </r>
    <r>
      <rPr>
        <sz val="10"/>
        <rFont val="Vazirmatn"/>
        <family val="0"/>
        <charset val="1"/>
      </rPr>
      <t xml:space="preserve">upvc</t>
    </r>
    <r>
      <rPr>
        <sz val="10"/>
        <rFont val="FreeSans"/>
        <family val="2"/>
      </rPr>
      <t xml:space="preserve">دوجداره به همراه شیشه دوجداره </t>
    </r>
    <r>
      <rPr>
        <sz val="10"/>
        <rFont val="Vazirmatn"/>
        <family val="0"/>
        <charset val="1"/>
      </rPr>
      <t xml:space="preserve">144/8*143/9cm</t>
    </r>
  </si>
  <si>
    <t xml:space="preserve">35191479</t>
  </si>
  <si>
    <r>
      <rPr>
        <sz val="10"/>
        <rFont val="FreeSans"/>
        <family val="2"/>
      </rPr>
      <t xml:space="preserve">ست</t>
    </r>
    <r>
      <rPr>
        <sz val="10"/>
        <rFont val="Vazirmatn"/>
        <family val="0"/>
        <charset val="1"/>
      </rPr>
      <t xml:space="preserve">. </t>
    </r>
    <r>
      <rPr>
        <sz val="10"/>
        <rFont val="FreeSans"/>
        <family val="2"/>
      </rPr>
      <t xml:space="preserve">یراق آلات پنجره دوحالته بلند درون بازشو</t>
    </r>
  </si>
  <si>
    <t xml:space="preserve">35191480</t>
  </si>
  <si>
    <r>
      <rPr>
        <sz val="10"/>
        <rFont val="FreeSans"/>
        <family val="2"/>
      </rPr>
      <t xml:space="preserve">ست یراق</t>
    </r>
    <r>
      <rPr>
        <sz val="10"/>
        <rFont val="Vazirmatn"/>
        <family val="0"/>
        <charset val="1"/>
      </rPr>
      <t xml:space="preserve">. </t>
    </r>
    <r>
      <rPr>
        <sz val="10"/>
        <rFont val="FreeSans"/>
        <family val="2"/>
      </rPr>
      <t xml:space="preserve">آلات پنجره دوحالته کوتاه درون بازشو</t>
    </r>
  </si>
  <si>
    <t xml:space="preserve">35191481</t>
  </si>
  <si>
    <t xml:space="preserve">ست یراق آلات پنجره دوحالته کوتاه درون بازشو</t>
  </si>
  <si>
    <t xml:space="preserve">35191482</t>
  </si>
  <si>
    <r>
      <rPr>
        <sz val="10"/>
        <rFont val="Vazirmatn"/>
        <family val="0"/>
        <charset val="1"/>
      </rPr>
      <t xml:space="preserve">.</t>
    </r>
    <r>
      <rPr>
        <sz val="10"/>
        <rFont val="FreeSans"/>
        <family val="2"/>
      </rPr>
      <t xml:space="preserve">ست یراق آلات پنجره دوحالته بلند درون بازشو</t>
    </r>
  </si>
  <si>
    <t xml:space="preserve">35191483</t>
  </si>
  <si>
    <r>
      <rPr>
        <sz val="10"/>
        <rFont val="FreeSans"/>
        <family val="2"/>
      </rPr>
      <t xml:space="preserve">قاب توری پلیسه ای</t>
    </r>
    <r>
      <rPr>
        <sz val="10"/>
        <rFont val="Vazirmatn"/>
        <family val="0"/>
        <charset val="1"/>
      </rPr>
      <t xml:space="preserve">.</t>
    </r>
  </si>
  <si>
    <t xml:space="preserve">35191484</t>
  </si>
  <si>
    <t xml:space="preserve">ست یراق آلات پنجره دوحالته بلند درون بازشو</t>
  </si>
  <si>
    <t xml:space="preserve">35191485</t>
  </si>
  <si>
    <r>
      <rPr>
        <sz val="10"/>
        <rFont val="Vazirmatn"/>
        <family val="0"/>
        <charset val="1"/>
      </rPr>
      <t xml:space="preserve">..</t>
    </r>
    <r>
      <rPr>
        <sz val="10"/>
        <rFont val="FreeSans"/>
        <family val="2"/>
      </rPr>
      <t xml:space="preserve">قاب توری پلیسه ای</t>
    </r>
  </si>
  <si>
    <t xml:space="preserve">35191486</t>
  </si>
  <si>
    <r>
      <rPr>
        <sz val="10"/>
        <rFont val="FreeSans"/>
        <family val="2"/>
      </rPr>
      <t xml:space="preserve">ست یراق آلات</t>
    </r>
    <r>
      <rPr>
        <sz val="10"/>
        <rFont val="Vazirmatn"/>
        <family val="0"/>
        <charset val="1"/>
      </rPr>
      <t xml:space="preserve">. </t>
    </r>
    <r>
      <rPr>
        <sz val="10"/>
        <rFont val="FreeSans"/>
        <family val="2"/>
      </rPr>
      <t xml:space="preserve">پنجره دوحالته کوتاه درون بازشو</t>
    </r>
  </si>
  <si>
    <t xml:space="preserve">35191487</t>
  </si>
  <si>
    <r>
      <rPr>
        <sz val="10"/>
        <rFont val="FreeSans"/>
        <family val="2"/>
      </rPr>
      <t xml:space="preserve">پنجره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دو تیکه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یک لنگه باز شو </t>
    </r>
    <r>
      <rPr>
        <sz val="10"/>
        <rFont val="Vazirmatn"/>
        <family val="0"/>
        <charset val="1"/>
      </rPr>
      <t xml:space="preserve">- 2 </t>
    </r>
    <r>
      <rPr>
        <sz val="10"/>
        <rFont val="FreeSans"/>
        <family val="2"/>
      </rPr>
      <t xml:space="preserve">حالته همراه با یراق آلات </t>
    </r>
    <r>
      <rPr>
        <sz val="10"/>
        <rFont val="Vazirmatn"/>
        <family val="0"/>
        <charset val="1"/>
      </rPr>
      <t xml:space="preserve">1/04*1/07Cm</t>
    </r>
  </si>
  <si>
    <t xml:space="preserve">35191488</t>
  </si>
  <si>
    <r>
      <rPr>
        <sz val="10"/>
        <rFont val="FreeSans"/>
        <family val="2"/>
      </rPr>
      <t xml:space="preserve">توری پلیسه با قاب آلومینیومی </t>
    </r>
    <r>
      <rPr>
        <sz val="10"/>
        <rFont val="Vazirmatn"/>
        <family val="0"/>
        <charset val="1"/>
      </rPr>
      <t xml:space="preserve">53*106</t>
    </r>
  </si>
  <si>
    <t xml:space="preserve">35191489</t>
  </si>
  <si>
    <r>
      <rPr>
        <sz val="10"/>
        <rFont val="FreeSans"/>
        <family val="2"/>
      </rPr>
      <t xml:space="preserve">توری پلیسه با قاب آلومینیومی </t>
    </r>
    <r>
      <rPr>
        <sz val="10"/>
        <rFont val="Vazirmatn"/>
        <family val="0"/>
        <charset val="1"/>
      </rPr>
      <t xml:space="preserve">53*87</t>
    </r>
  </si>
  <si>
    <t xml:space="preserve">35191490</t>
  </si>
  <si>
    <r>
      <rPr>
        <sz val="10"/>
        <rFont val="FreeSans"/>
        <family val="2"/>
      </rPr>
      <t xml:space="preserve">توری آلومینیومی با قاب </t>
    </r>
    <r>
      <rPr>
        <sz val="10"/>
        <rFont val="Vazirmatn"/>
        <family val="0"/>
        <charset val="1"/>
      </rPr>
      <t xml:space="preserve">140Cm*70Cm</t>
    </r>
  </si>
  <si>
    <t xml:space="preserve">35191491</t>
  </si>
  <si>
    <r>
      <rPr>
        <sz val="10"/>
        <rFont val="FreeSans"/>
        <family val="2"/>
      </rPr>
      <t xml:space="preserve">پنجره آلومینیومی ارتفاع </t>
    </r>
    <r>
      <rPr>
        <sz val="10"/>
        <rFont val="Vazirmatn"/>
        <family val="0"/>
        <charset val="1"/>
      </rPr>
      <t xml:space="preserve">99Cm -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1/80</t>
    </r>
  </si>
  <si>
    <t xml:space="preserve">35191492</t>
  </si>
  <si>
    <r>
      <rPr>
        <sz val="10"/>
        <rFont val="FreeSans"/>
        <family val="2"/>
      </rPr>
      <t xml:space="preserve">توری آلومینیومی عرض </t>
    </r>
    <r>
      <rPr>
        <sz val="10"/>
        <rFont val="Vazirmatn"/>
        <family val="0"/>
        <charset val="1"/>
      </rPr>
      <t xml:space="preserve">1/40</t>
    </r>
  </si>
  <si>
    <t xml:space="preserve">35191494</t>
  </si>
  <si>
    <r>
      <rPr>
        <sz val="10"/>
        <rFont val="FreeSans"/>
        <family val="2"/>
      </rPr>
      <t xml:space="preserve">لنگه پنجره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 با شیشه و یراق آلات </t>
    </r>
    <r>
      <rPr>
        <sz val="10"/>
        <rFont val="Vazirmatn"/>
        <family val="0"/>
        <charset val="1"/>
      </rPr>
      <t xml:space="preserve">( 2 </t>
    </r>
    <r>
      <rPr>
        <sz val="10"/>
        <rFont val="FreeSans"/>
        <family val="2"/>
      </rPr>
      <t xml:space="preserve">حالته </t>
    </r>
    <r>
      <rPr>
        <sz val="10"/>
        <rFont val="Vazirmatn"/>
        <family val="0"/>
        <charset val="1"/>
      </rPr>
      <t xml:space="preserve">) 90Cm*82Cm</t>
    </r>
  </si>
  <si>
    <t xml:space="preserve">35191495</t>
  </si>
  <si>
    <r>
      <rPr>
        <sz val="10"/>
        <rFont val="FreeSans"/>
        <family val="2"/>
      </rPr>
      <t xml:space="preserve">لنگه پنجره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 با شیشه و یراق آلات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تک حالته </t>
    </r>
    <r>
      <rPr>
        <sz val="10"/>
        <rFont val="Vazirmatn"/>
        <family val="0"/>
        <charset val="1"/>
      </rPr>
      <t xml:space="preserve">) 111Cm*73Cm</t>
    </r>
  </si>
  <si>
    <t xml:space="preserve">35191503</t>
  </si>
  <si>
    <r>
      <rPr>
        <sz val="10"/>
        <rFont val="FreeSans"/>
        <family val="2"/>
      </rPr>
      <t xml:space="preserve">پایه لوله عایق دار   نمره </t>
    </r>
    <r>
      <rPr>
        <sz val="10"/>
        <rFont val="Vazirmatn"/>
        <family val="0"/>
        <charset val="1"/>
      </rPr>
      <t xml:space="preserve">: 7</t>
    </r>
  </si>
  <si>
    <t xml:space="preserve">35191504</t>
  </si>
  <si>
    <t xml:space="preserve">پایه کروز</t>
  </si>
  <si>
    <t xml:space="preserve">35191506</t>
  </si>
  <si>
    <r>
      <rPr>
        <sz val="10"/>
        <rFont val="FreeSans"/>
        <family val="2"/>
      </rPr>
      <t xml:space="preserve">یراق آلات بست </t>
    </r>
    <r>
      <rPr>
        <sz val="10"/>
        <rFont val="Vazirmatn"/>
        <family val="0"/>
        <charset val="1"/>
      </rPr>
      <t xml:space="preserve">120</t>
    </r>
  </si>
  <si>
    <t xml:space="preserve">35191507</t>
  </si>
  <si>
    <t xml:space="preserve">یراق آلات استوپ</t>
  </si>
  <si>
    <t xml:space="preserve">35191509</t>
  </si>
  <si>
    <r>
      <rPr>
        <sz val="10"/>
        <rFont val="FreeSans"/>
        <family val="2"/>
      </rPr>
      <t xml:space="preserve">یراق آلات پیم  </t>
    </r>
    <r>
      <rPr>
        <sz val="10"/>
        <rFont val="Vazirmatn"/>
        <family val="0"/>
        <charset val="1"/>
      </rPr>
      <t xml:space="preserve">217</t>
    </r>
  </si>
  <si>
    <t xml:space="preserve">35191580</t>
  </si>
  <si>
    <t xml:space="preserve">میل مهار سقف دو سر رزوه</t>
  </si>
  <si>
    <t xml:space="preserve">35191609</t>
  </si>
  <si>
    <r>
      <rPr>
        <sz val="10"/>
        <rFont val="FreeSans"/>
        <family val="2"/>
      </rPr>
      <t xml:space="preserve">تسمه استیل </t>
    </r>
    <r>
      <rPr>
        <sz val="10"/>
        <rFont val="Vazirmatn"/>
        <family val="0"/>
        <charset val="1"/>
      </rPr>
      <t xml:space="preserve">304          Flat Steel       5cm</t>
    </r>
  </si>
  <si>
    <t xml:space="preserve">35191633</t>
  </si>
  <si>
    <r>
      <rPr>
        <sz val="10"/>
        <rFont val="FreeSans"/>
        <family val="2"/>
      </rPr>
      <t xml:space="preserve">لقمه آرماتور بندی   </t>
    </r>
    <r>
      <rPr>
        <sz val="10"/>
        <rFont val="Vazirmatn"/>
        <family val="0"/>
        <charset val="1"/>
      </rPr>
      <t xml:space="preserve">5 cm</t>
    </r>
  </si>
  <si>
    <t xml:space="preserve">35191639</t>
  </si>
  <si>
    <r>
      <rPr>
        <sz val="10"/>
        <rFont val="FreeSans"/>
        <family val="2"/>
      </rPr>
      <t xml:space="preserve">لقمه اتوی لوله سایز </t>
    </r>
    <r>
      <rPr>
        <sz val="10"/>
        <rFont val="Vazirmatn"/>
        <family val="0"/>
        <charset val="1"/>
      </rPr>
      <t xml:space="preserve">90</t>
    </r>
  </si>
  <si>
    <t xml:space="preserve">35191641</t>
  </si>
  <si>
    <r>
      <rPr>
        <sz val="10"/>
        <rFont val="FreeSans"/>
        <family val="2"/>
      </rPr>
      <t xml:space="preserve">لقمه اتوی لوله سایز </t>
    </r>
    <r>
      <rPr>
        <sz val="10"/>
        <rFont val="Vazirmatn"/>
        <family val="0"/>
        <charset val="1"/>
      </rPr>
      <t xml:space="preserve">75</t>
    </r>
  </si>
  <si>
    <t xml:space="preserve">35191808</t>
  </si>
  <si>
    <r>
      <rPr>
        <sz val="10"/>
        <rFont val="FreeSans"/>
        <family val="2"/>
      </rPr>
      <t xml:space="preserve">قوطی آهنی  </t>
    </r>
    <r>
      <rPr>
        <sz val="10"/>
        <rFont val="Vazirmatn"/>
        <family val="0"/>
        <charset val="1"/>
      </rPr>
      <t xml:space="preserve">80 *80</t>
    </r>
  </si>
  <si>
    <t xml:space="preserve">35191994</t>
  </si>
  <si>
    <r>
      <rPr>
        <sz val="10"/>
        <rFont val="FreeSans"/>
        <family val="2"/>
      </rPr>
      <t xml:space="preserve">ریل آهنی لبه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مویی سر خود</t>
    </r>
  </si>
  <si>
    <t xml:space="preserve">35192003</t>
  </si>
  <si>
    <t xml:space="preserve">مل  بتونه</t>
  </si>
  <si>
    <t xml:space="preserve">35192004</t>
  </si>
  <si>
    <t xml:space="preserve">بتونه آماده</t>
  </si>
  <si>
    <t xml:space="preserve">35192013</t>
  </si>
  <si>
    <r>
      <rPr>
        <sz val="10"/>
        <rFont val="FreeSans"/>
        <family val="2"/>
      </rPr>
      <t xml:space="preserve">تینر  </t>
    </r>
    <r>
      <rPr>
        <sz val="10"/>
        <rFont val="Vazirmatn"/>
        <family val="0"/>
        <charset val="1"/>
      </rPr>
      <t xml:space="preserve">2000</t>
    </r>
  </si>
  <si>
    <t xml:space="preserve">35192036</t>
  </si>
  <si>
    <r>
      <rPr>
        <sz val="10"/>
        <rFont val="FreeSans"/>
        <family val="2"/>
      </rPr>
      <t xml:space="preserve">رنگ پرایمر آکرولیک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پایه آب </t>
    </r>
    <r>
      <rPr>
        <sz val="10"/>
        <rFont val="Vazirmatn"/>
        <family val="0"/>
        <charset val="1"/>
      </rPr>
      <t xml:space="preserve">) SANDORA</t>
    </r>
  </si>
  <si>
    <t xml:space="preserve">35192044</t>
  </si>
  <si>
    <t xml:space="preserve">رنگ روغنی سورمه ای</t>
  </si>
  <si>
    <t xml:space="preserve">35192048</t>
  </si>
  <si>
    <r>
      <rPr>
        <sz val="10"/>
        <rFont val="FreeSans"/>
        <family val="2"/>
      </rPr>
      <t xml:space="preserve">رنگ پرایمر آکریلیک سفید </t>
    </r>
    <r>
      <rPr>
        <sz val="10"/>
        <rFont val="Vazirmatn"/>
        <family val="0"/>
        <charset val="1"/>
      </rPr>
      <t xml:space="preserve">SANDORA</t>
    </r>
  </si>
  <si>
    <t xml:space="preserve">35192049</t>
  </si>
  <si>
    <r>
      <rPr>
        <sz val="10"/>
        <rFont val="FreeSans"/>
        <family val="2"/>
      </rPr>
      <t xml:space="preserve">رنگ آستر آکریلیک سفید نمای بیرون </t>
    </r>
    <r>
      <rPr>
        <sz val="10"/>
        <rFont val="Vazirmatn"/>
        <family val="0"/>
        <charset val="1"/>
      </rPr>
      <t xml:space="preserve">SANDORA</t>
    </r>
  </si>
  <si>
    <t xml:space="preserve">35192050</t>
  </si>
  <si>
    <r>
      <rPr>
        <sz val="10"/>
        <rFont val="FreeSans"/>
        <family val="2"/>
      </rPr>
      <t xml:space="preserve">رنگ آکریلیک سفید نمای بتون </t>
    </r>
    <r>
      <rPr>
        <sz val="10"/>
        <rFont val="Vazirmatn"/>
        <family val="0"/>
        <charset val="1"/>
      </rPr>
      <t xml:space="preserve">SANDORA</t>
    </r>
  </si>
  <si>
    <t xml:space="preserve">35192053</t>
  </si>
  <si>
    <t xml:space="preserve">بتونه ماستیک کناف ایران</t>
  </si>
  <si>
    <t xml:space="preserve">35192054</t>
  </si>
  <si>
    <t xml:space="preserve">نوار درزگیر کناف ایران</t>
  </si>
  <si>
    <t xml:space="preserve">35192055</t>
  </si>
  <si>
    <r>
      <rPr>
        <sz val="10"/>
        <rFont val="FreeSans"/>
        <family val="2"/>
      </rPr>
      <t xml:space="preserve">رنگ رویه آکرولیک سفید براق </t>
    </r>
    <r>
      <rPr>
        <sz val="10"/>
        <rFont val="Vazirmatn"/>
        <family val="0"/>
        <charset val="1"/>
      </rPr>
      <t xml:space="preserve">SANDORA</t>
    </r>
  </si>
  <si>
    <t xml:space="preserve">35192056</t>
  </si>
  <si>
    <r>
      <rPr>
        <sz val="10"/>
        <rFont val="FreeSans"/>
        <family val="2"/>
      </rPr>
      <t xml:space="preserve">ماده رنگ گل ماش آکرولیک </t>
    </r>
    <r>
      <rPr>
        <sz val="10"/>
        <rFont val="Vazirmatn"/>
        <family val="0"/>
        <charset val="1"/>
      </rPr>
      <t xml:space="preserve">SANDORA</t>
    </r>
  </si>
  <si>
    <t xml:space="preserve">35192060</t>
  </si>
  <si>
    <r>
      <rPr>
        <sz val="10"/>
        <rFont val="FreeSans"/>
        <family val="2"/>
      </rPr>
      <t xml:space="preserve">رنگ زینک ریچ ضد اسید طوسی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درصد روی </t>
    </r>
    <r>
      <rPr>
        <sz val="10"/>
        <rFont val="Vazirmatn"/>
        <family val="0"/>
        <charset val="1"/>
      </rPr>
      <t xml:space="preserve">60 </t>
    </r>
    <r>
      <rPr>
        <sz val="10"/>
        <rFont val="FreeSans"/>
        <family val="2"/>
      </rPr>
      <t xml:space="preserve">درصد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بالا </t>
    </r>
    <r>
      <rPr>
        <sz val="10"/>
        <rFont val="Vazirmatn"/>
        <family val="0"/>
        <charset val="1"/>
      </rPr>
      <t xml:space="preserve">)</t>
    </r>
  </si>
  <si>
    <t xml:space="preserve">35192069</t>
  </si>
  <si>
    <t xml:space="preserve">لاک اپوکسی ضد اسید فنولیک</t>
  </si>
  <si>
    <t xml:space="preserve">35192075</t>
  </si>
  <si>
    <t xml:space="preserve">نوار طیف</t>
  </si>
  <si>
    <t xml:space="preserve">35192079</t>
  </si>
  <si>
    <r>
      <rPr>
        <sz val="10"/>
        <rFont val="FreeSans"/>
        <family val="2"/>
      </rPr>
      <t xml:space="preserve">رنگ ناسیونال </t>
    </r>
    <r>
      <rPr>
        <sz val="10"/>
        <rFont val="Vazirmatn"/>
        <family val="0"/>
        <charset val="1"/>
      </rPr>
      <t xml:space="preserve">3001</t>
    </r>
  </si>
  <si>
    <t xml:space="preserve">35192080</t>
  </si>
  <si>
    <r>
      <rPr>
        <sz val="10"/>
        <rFont val="FreeSans"/>
        <family val="2"/>
      </rPr>
      <t xml:space="preserve">رنگ ناسیونال </t>
    </r>
    <r>
      <rPr>
        <sz val="10"/>
        <rFont val="Vazirmatn"/>
        <family val="0"/>
        <charset val="1"/>
      </rPr>
      <t xml:space="preserve">6014</t>
    </r>
  </si>
  <si>
    <t xml:space="preserve">35192082</t>
  </si>
  <si>
    <t xml:space="preserve">آستر اتومبیلی قرمز</t>
  </si>
  <si>
    <t xml:space="preserve">35192084</t>
  </si>
  <si>
    <t xml:space="preserve">جوهر اصلی دومینو</t>
  </si>
  <si>
    <t xml:space="preserve">35192085</t>
  </si>
  <si>
    <r>
      <rPr>
        <sz val="10"/>
        <rFont val="FreeSans"/>
        <family val="2"/>
      </rPr>
      <t xml:space="preserve">واش </t>
    </r>
    <r>
      <rPr>
        <sz val="10"/>
        <rFont val="Vazirmatn"/>
        <family val="0"/>
        <charset val="1"/>
      </rPr>
      <t xml:space="preserve">800</t>
    </r>
  </si>
  <si>
    <t xml:space="preserve">35192086</t>
  </si>
  <si>
    <t xml:space="preserve">رنگ آکرولیک سفید</t>
  </si>
  <si>
    <t xml:space="preserve">35192094</t>
  </si>
  <si>
    <t xml:space="preserve">بتونه ماستیک آلچی بای</t>
  </si>
  <si>
    <t xml:space="preserve">35192095</t>
  </si>
  <si>
    <t xml:space="preserve">روغن زیر کار آکرولیک</t>
  </si>
  <si>
    <t xml:space="preserve">35192100</t>
  </si>
  <si>
    <t xml:space="preserve">ضد زنگ قرمز</t>
  </si>
  <si>
    <t xml:space="preserve">35192101</t>
  </si>
  <si>
    <t xml:space="preserve">ضد زنگ طوسی</t>
  </si>
  <si>
    <t xml:space="preserve">35192104</t>
  </si>
  <si>
    <r>
      <rPr>
        <sz val="10"/>
        <rFont val="FreeSans"/>
        <family val="2"/>
      </rPr>
      <t xml:space="preserve">زینک ریچ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ضد زنگ اپوکسی </t>
    </r>
    <r>
      <rPr>
        <sz val="10"/>
        <rFont val="Vazirmatn"/>
        <family val="0"/>
        <charset val="1"/>
      </rPr>
      <t xml:space="preserve">)</t>
    </r>
  </si>
  <si>
    <t xml:space="preserve">35192105</t>
  </si>
  <si>
    <t xml:space="preserve">روغن جلاء</t>
  </si>
  <si>
    <t xml:space="preserve">35192106</t>
  </si>
  <si>
    <t xml:space="preserve">ضد زنگ روغنی اتومبیلی قرمز</t>
  </si>
  <si>
    <t xml:space="preserve">35192107</t>
  </si>
  <si>
    <t xml:space="preserve">ضد زنگ روغنی اتومبیلی طوسی</t>
  </si>
  <si>
    <t xml:space="preserve">35192121</t>
  </si>
  <si>
    <t xml:space="preserve">کاردک بتونه</t>
  </si>
  <si>
    <t xml:space="preserve">35192122</t>
  </si>
  <si>
    <t xml:space="preserve">دیلم سر کج</t>
  </si>
  <si>
    <t xml:space="preserve">35192125</t>
  </si>
  <si>
    <r>
      <rPr>
        <sz val="10"/>
        <rFont val="FreeSans"/>
        <family val="2"/>
      </rPr>
      <t xml:space="preserve">قلم موئی   </t>
    </r>
    <r>
      <rPr>
        <sz val="10"/>
        <rFont val="Vazirmatn"/>
        <family val="0"/>
        <charset val="1"/>
      </rPr>
      <t xml:space="preserve">3</t>
    </r>
  </si>
  <si>
    <t xml:space="preserve">35192126</t>
  </si>
  <si>
    <r>
      <rPr>
        <sz val="10"/>
        <rFont val="FreeSans"/>
        <family val="2"/>
      </rPr>
      <t xml:space="preserve">قلم  موئی  نمره  </t>
    </r>
    <r>
      <rPr>
        <sz val="10"/>
        <rFont val="Vazirmatn"/>
        <family val="0"/>
        <charset val="1"/>
      </rPr>
      <t xml:space="preserve">4</t>
    </r>
  </si>
  <si>
    <t xml:space="preserve">35192130</t>
  </si>
  <si>
    <t xml:space="preserve">سمباده  مدل  نیزه  ای</t>
  </si>
  <si>
    <t xml:space="preserve">35192131</t>
  </si>
  <si>
    <t xml:space="preserve">سمباده پوستاب</t>
  </si>
  <si>
    <t xml:space="preserve">35192133</t>
  </si>
  <si>
    <r>
      <rPr>
        <sz val="10"/>
        <rFont val="FreeSans"/>
        <family val="2"/>
      </rPr>
      <t xml:space="preserve">قلم موئی   </t>
    </r>
    <r>
      <rPr>
        <sz val="10"/>
        <rFont val="Vazirmatn"/>
        <family val="0"/>
        <charset val="1"/>
      </rPr>
      <t xml:space="preserve">2</t>
    </r>
  </si>
  <si>
    <t xml:space="preserve">35192134</t>
  </si>
  <si>
    <r>
      <rPr>
        <sz val="10"/>
        <rFont val="FreeSans"/>
        <family val="2"/>
      </rPr>
      <t xml:space="preserve">قلم موئی  </t>
    </r>
    <r>
      <rPr>
        <sz val="10"/>
        <rFont val="Vazirmatn"/>
        <family val="0"/>
        <charset val="1"/>
      </rPr>
      <t xml:space="preserve">12 * 3</t>
    </r>
  </si>
  <si>
    <t xml:space="preserve">35192137</t>
  </si>
  <si>
    <r>
      <rPr>
        <sz val="10"/>
        <rFont val="FreeSans"/>
        <family val="2"/>
      </rPr>
      <t xml:space="preserve">غلطک قلم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سانتی با دسته</t>
    </r>
  </si>
  <si>
    <t xml:space="preserve">35192138</t>
  </si>
  <si>
    <r>
      <rPr>
        <sz val="10"/>
        <rFont val="FreeSans"/>
        <family val="2"/>
      </rPr>
      <t xml:space="preserve">غلطک قلم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سانتی</t>
    </r>
  </si>
  <si>
    <t xml:space="preserve">35192139</t>
  </si>
  <si>
    <r>
      <rPr>
        <sz val="10"/>
        <rFont val="FreeSans"/>
        <family val="2"/>
      </rPr>
      <t xml:space="preserve">قلم موئی   </t>
    </r>
    <r>
      <rPr>
        <sz val="10"/>
        <rFont val="Vazirmatn"/>
        <family val="0"/>
        <charset val="1"/>
      </rPr>
      <t xml:space="preserve">1/5</t>
    </r>
  </si>
  <si>
    <t xml:space="preserve">35192140</t>
  </si>
  <si>
    <r>
      <rPr>
        <sz val="10"/>
        <rFont val="FreeSans"/>
        <family val="2"/>
      </rPr>
      <t xml:space="preserve">قلمو  </t>
    </r>
    <r>
      <rPr>
        <sz val="10"/>
        <rFont val="Vazirmatn"/>
        <family val="0"/>
        <charset val="1"/>
      </rPr>
      <t xml:space="preserve">2/5cm</t>
    </r>
  </si>
  <si>
    <t xml:space="preserve">35192143</t>
  </si>
  <si>
    <r>
      <rPr>
        <sz val="10"/>
        <rFont val="FreeSans"/>
        <family val="2"/>
      </rPr>
      <t xml:space="preserve">غلطک قلم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سانتی با دسته</t>
    </r>
  </si>
  <si>
    <t xml:space="preserve">35192144</t>
  </si>
  <si>
    <r>
      <rPr>
        <sz val="10"/>
        <rFont val="FreeSans"/>
        <family val="2"/>
      </rPr>
      <t xml:space="preserve">غلطک قلم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سانتی</t>
    </r>
  </si>
  <si>
    <t xml:space="preserve">35192145</t>
  </si>
  <si>
    <t xml:space="preserve">قلم  متوسط</t>
  </si>
  <si>
    <t xml:space="preserve">35192146</t>
  </si>
  <si>
    <r>
      <rPr>
        <sz val="10"/>
        <rFont val="FreeSans"/>
        <family val="2"/>
      </rPr>
      <t xml:space="preserve">سنباده زبر </t>
    </r>
    <r>
      <rPr>
        <sz val="10"/>
        <rFont val="Vazirmatn"/>
        <family val="0"/>
        <charset val="1"/>
      </rPr>
      <t xml:space="preserve">100</t>
    </r>
  </si>
  <si>
    <t xml:space="preserve">35192147</t>
  </si>
  <si>
    <r>
      <rPr>
        <sz val="10"/>
        <rFont val="FreeSans"/>
        <family val="2"/>
      </rPr>
      <t xml:space="preserve">غلطک قلم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سانتی با دسته</t>
    </r>
  </si>
  <si>
    <t xml:space="preserve">35192148</t>
  </si>
  <si>
    <r>
      <rPr>
        <sz val="10"/>
        <rFont val="FreeSans"/>
        <family val="2"/>
      </rPr>
      <t xml:space="preserve">غلطک قلم </t>
    </r>
    <r>
      <rPr>
        <sz val="10"/>
        <rFont val="Vazirmatn"/>
        <family val="0"/>
        <charset val="1"/>
      </rPr>
      <t xml:space="preserve">30 </t>
    </r>
    <r>
      <rPr>
        <sz val="10"/>
        <rFont val="FreeSans"/>
        <family val="2"/>
      </rPr>
      <t xml:space="preserve">سانتی با دسته</t>
    </r>
  </si>
  <si>
    <t xml:space="preserve">35192149</t>
  </si>
  <si>
    <r>
      <rPr>
        <sz val="10"/>
        <rFont val="FreeSans"/>
        <family val="2"/>
      </rPr>
      <t xml:space="preserve">لیسه  </t>
    </r>
    <r>
      <rPr>
        <sz val="10"/>
        <rFont val="Vazirmatn"/>
        <family val="0"/>
        <charset val="1"/>
      </rPr>
      <t xml:space="preserve">15cm</t>
    </r>
  </si>
  <si>
    <t xml:space="preserve">35192151</t>
  </si>
  <si>
    <r>
      <rPr>
        <sz val="10"/>
        <rFont val="FreeSans"/>
        <family val="2"/>
      </rPr>
      <t xml:space="preserve">لیسه  </t>
    </r>
    <r>
      <rPr>
        <sz val="10"/>
        <rFont val="Vazirmatn"/>
        <family val="0"/>
        <charset val="1"/>
      </rPr>
      <t xml:space="preserve">10cm</t>
    </r>
  </si>
  <si>
    <t xml:space="preserve">35192152</t>
  </si>
  <si>
    <r>
      <rPr>
        <sz val="10"/>
        <rFont val="FreeSans"/>
        <family val="2"/>
      </rPr>
      <t xml:space="preserve">سینی غلطک رنگ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کوچک </t>
    </r>
    <r>
      <rPr>
        <sz val="10"/>
        <rFont val="Vazirmatn"/>
        <family val="0"/>
        <charset val="1"/>
      </rPr>
      <t xml:space="preserve">) 15cm</t>
    </r>
  </si>
  <si>
    <t xml:space="preserve">35192153</t>
  </si>
  <si>
    <r>
      <rPr>
        <sz val="10"/>
        <rFont val="FreeSans"/>
        <family val="2"/>
      </rPr>
      <t xml:space="preserve">سینی غلطک رنگ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بزرگ </t>
    </r>
    <r>
      <rPr>
        <sz val="10"/>
        <rFont val="Vazirmatn"/>
        <family val="0"/>
        <charset val="1"/>
      </rPr>
      <t xml:space="preserve">) 30cm</t>
    </r>
  </si>
  <si>
    <t xml:space="preserve">35192154</t>
  </si>
  <si>
    <t xml:space="preserve">غلتک لاستیکی دستگاه لیبل زن روغن</t>
  </si>
  <si>
    <t xml:space="preserve">35192155</t>
  </si>
  <si>
    <t xml:space="preserve">غلتک آلومینیومی دستگاه لیبل زن روغن</t>
  </si>
  <si>
    <t xml:space="preserve">35192347</t>
  </si>
  <si>
    <r>
      <rPr>
        <sz val="10"/>
        <rFont val="FreeSans"/>
        <family val="2"/>
      </rPr>
      <t xml:space="preserve">کفپوش پلاستیکی  </t>
    </r>
    <r>
      <rPr>
        <sz val="10"/>
        <rFont val="Vazirmatn"/>
        <family val="0"/>
        <charset val="1"/>
      </rPr>
      <t xml:space="preserve">2mm</t>
    </r>
  </si>
  <si>
    <t xml:space="preserve">35192350</t>
  </si>
  <si>
    <t xml:space="preserve">پارکت ایزوفام</t>
  </si>
  <si>
    <t xml:space="preserve">35192993</t>
  </si>
  <si>
    <t xml:space="preserve">گونیای فلزی</t>
  </si>
  <si>
    <t xml:space="preserve">35192995</t>
  </si>
  <si>
    <t xml:space="preserve">تیشه بنایی فولادی با دسته</t>
  </si>
  <si>
    <t xml:space="preserve">35192996</t>
  </si>
  <si>
    <t xml:space="preserve">قلم بنایی سر تخت</t>
  </si>
  <si>
    <t xml:space="preserve">35192997</t>
  </si>
  <si>
    <t xml:space="preserve">شیلنگ تراز</t>
  </si>
  <si>
    <t xml:space="preserve">35192998</t>
  </si>
  <si>
    <r>
      <rPr>
        <sz val="10"/>
        <rFont val="FreeSans"/>
        <family val="2"/>
      </rPr>
      <t xml:space="preserve">ماله کویتی  </t>
    </r>
    <r>
      <rPr>
        <sz val="10"/>
        <rFont val="Vazirmatn"/>
        <family val="0"/>
        <charset val="1"/>
      </rPr>
      <t xml:space="preserve">30cm</t>
    </r>
  </si>
  <si>
    <t xml:space="preserve">35193002</t>
  </si>
  <si>
    <t xml:space="preserve">تخته ماله پلاستیکی</t>
  </si>
  <si>
    <t xml:space="preserve">35195013</t>
  </si>
  <si>
    <r>
      <rPr>
        <sz val="10"/>
        <rFont val="FreeSans"/>
        <family val="2"/>
      </rPr>
      <t xml:space="preserve">ظرف روغن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لیتری</t>
    </r>
  </si>
  <si>
    <t xml:space="preserve">35195015</t>
  </si>
  <si>
    <r>
      <rPr>
        <sz val="10"/>
        <rFont val="FreeSans"/>
        <family val="2"/>
      </rPr>
      <t xml:space="preserve">ظرف روغن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لیتری</t>
    </r>
  </si>
  <si>
    <t xml:space="preserve">35198000</t>
  </si>
  <si>
    <r>
      <rPr>
        <sz val="10"/>
        <rFont val="FreeSans"/>
        <family val="2"/>
      </rPr>
      <t xml:space="preserve">کارتریج چاپگر لیزری </t>
    </r>
    <r>
      <rPr>
        <sz val="10"/>
        <rFont val="Vazirmatn"/>
        <family val="0"/>
        <charset val="1"/>
      </rPr>
      <t xml:space="preserve">1320 HP</t>
    </r>
  </si>
  <si>
    <t xml:space="preserve">35198003</t>
  </si>
  <si>
    <r>
      <rPr>
        <sz val="10"/>
        <rFont val="FreeSans"/>
        <family val="2"/>
      </rPr>
      <t xml:space="preserve">کارتریج پرینتر   </t>
    </r>
    <r>
      <rPr>
        <sz val="10"/>
        <rFont val="Vazirmatn"/>
        <family val="0"/>
        <charset val="1"/>
      </rPr>
      <t xml:space="preserve">HP P1005</t>
    </r>
  </si>
  <si>
    <t xml:space="preserve">35198006</t>
  </si>
  <si>
    <r>
      <rPr>
        <sz val="10"/>
        <rFont val="FreeSans"/>
        <family val="2"/>
      </rPr>
      <t xml:space="preserve">کارتریج  </t>
    </r>
    <r>
      <rPr>
        <sz val="10"/>
        <rFont val="Vazirmatn"/>
        <family val="0"/>
        <charset val="1"/>
      </rPr>
      <t xml:space="preserve">HP 1300</t>
    </r>
  </si>
  <si>
    <t xml:space="preserve">35198008</t>
  </si>
  <si>
    <r>
      <rPr>
        <sz val="10"/>
        <rFont val="FreeSans"/>
        <family val="2"/>
      </rPr>
      <t xml:space="preserve">کارت پاناسونیک  </t>
    </r>
    <r>
      <rPr>
        <sz val="10"/>
        <rFont val="Vazirmatn"/>
        <family val="0"/>
        <charset val="1"/>
      </rPr>
      <t xml:space="preserve">Kx - tda0177</t>
    </r>
  </si>
  <si>
    <t xml:space="preserve">35198009</t>
  </si>
  <si>
    <r>
      <rPr>
        <sz val="10"/>
        <rFont val="FreeSans"/>
        <family val="2"/>
      </rPr>
      <t xml:space="preserve">کارتریج مشکی پرینتر رنگی </t>
    </r>
    <r>
      <rPr>
        <sz val="10"/>
        <rFont val="Vazirmatn"/>
        <family val="0"/>
        <charset val="1"/>
      </rPr>
      <t xml:space="preserve">LBP 5050 Canon</t>
    </r>
  </si>
  <si>
    <t xml:space="preserve">35198010</t>
  </si>
  <si>
    <r>
      <rPr>
        <sz val="10"/>
        <rFont val="FreeSans"/>
        <family val="2"/>
      </rPr>
      <t xml:space="preserve">کارت </t>
    </r>
    <r>
      <rPr>
        <sz val="10"/>
        <rFont val="Vazirmatn"/>
        <family val="0"/>
        <charset val="1"/>
      </rPr>
      <t xml:space="preserve">PCI </t>
    </r>
    <r>
      <rPr>
        <sz val="10"/>
        <rFont val="FreeSans"/>
        <family val="2"/>
      </rPr>
      <t xml:space="preserve">پورت سریال 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پورت</t>
    </r>
  </si>
  <si>
    <t xml:space="preserve">35198011</t>
  </si>
  <si>
    <r>
      <rPr>
        <sz val="10"/>
        <rFont val="FreeSans"/>
        <family val="2"/>
      </rPr>
      <t xml:space="preserve">کارتریج پرینتر مشکی  </t>
    </r>
    <r>
      <rPr>
        <sz val="10"/>
        <rFont val="Vazirmatn"/>
        <family val="0"/>
        <charset val="1"/>
      </rPr>
      <t xml:space="preserve">Canon 716</t>
    </r>
  </si>
  <si>
    <t xml:space="preserve">35198047</t>
  </si>
  <si>
    <r>
      <rPr>
        <sz val="10"/>
        <rFont val="FreeSans"/>
        <family val="2"/>
      </rPr>
      <t xml:space="preserve">باسکول دیجیتال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تنی </t>
    </r>
    <r>
      <rPr>
        <sz val="10"/>
        <rFont val="Vazirmatn"/>
        <family val="0"/>
        <charset val="1"/>
      </rPr>
      <t xml:space="preserve">1.5*1.5 m2</t>
    </r>
  </si>
  <si>
    <t xml:space="preserve">35198048</t>
  </si>
  <si>
    <r>
      <rPr>
        <sz val="10"/>
        <rFont val="FreeSans"/>
        <family val="2"/>
      </rPr>
      <t xml:space="preserve">فلش  </t>
    </r>
    <r>
      <rPr>
        <sz val="10"/>
        <rFont val="Vazirmatn"/>
        <family val="0"/>
        <charset val="1"/>
      </rPr>
      <t xml:space="preserve">32G</t>
    </r>
  </si>
  <si>
    <t xml:space="preserve">35198050</t>
  </si>
  <si>
    <t xml:space="preserve">فلش مموری</t>
  </si>
  <si>
    <t xml:space="preserve">35198051</t>
  </si>
  <si>
    <t xml:space="preserve">پایه کیس</t>
  </si>
  <si>
    <t xml:space="preserve">35198055</t>
  </si>
  <si>
    <t xml:space="preserve">کیت براکت سقف</t>
  </si>
  <si>
    <t xml:space="preserve">35198061</t>
  </si>
  <si>
    <r>
      <rPr>
        <sz val="10"/>
        <rFont val="FreeSans"/>
        <family val="2"/>
      </rPr>
      <t xml:space="preserve">لودسل باسکول  </t>
    </r>
    <r>
      <rPr>
        <sz val="10"/>
        <rFont val="Vazirmatn"/>
        <family val="0"/>
        <charset val="1"/>
      </rPr>
      <t xml:space="preserve">SCL 3 - 40 t - C 3</t>
    </r>
  </si>
  <si>
    <t xml:space="preserve">35198064</t>
  </si>
  <si>
    <r>
      <rPr>
        <sz val="10"/>
        <rFont val="FreeSans"/>
        <family val="2"/>
      </rPr>
      <t xml:space="preserve">پایه ایستاده متحرک تلویزیون </t>
    </r>
    <r>
      <rPr>
        <sz val="10"/>
        <rFont val="Vazirmatn"/>
        <family val="0"/>
        <charset val="1"/>
      </rPr>
      <t xml:space="preserve">" LED  55</t>
    </r>
  </si>
  <si>
    <t xml:space="preserve">35198065</t>
  </si>
  <si>
    <r>
      <rPr>
        <sz val="10"/>
        <rFont val="FreeSans"/>
        <family val="2"/>
      </rPr>
      <t xml:space="preserve">فلش مموری  </t>
    </r>
    <r>
      <rPr>
        <sz val="10"/>
        <rFont val="Vazirmatn"/>
        <family val="0"/>
        <charset val="1"/>
      </rPr>
      <t xml:space="preserve">San Disk Ultra Flair 32G</t>
    </r>
  </si>
  <si>
    <t xml:space="preserve">35198066</t>
  </si>
  <si>
    <r>
      <rPr>
        <sz val="10"/>
        <rFont val="FreeSans"/>
        <family val="2"/>
      </rPr>
      <t xml:space="preserve">اسپیکر دراگون </t>
    </r>
    <r>
      <rPr>
        <sz val="10"/>
        <rFont val="Vazirmatn"/>
        <family val="0"/>
        <charset val="1"/>
      </rPr>
      <t xml:space="preserve">Calliope GS 580</t>
    </r>
  </si>
  <si>
    <t xml:space="preserve">35198139</t>
  </si>
  <si>
    <r>
      <rPr>
        <sz val="10"/>
        <rFont val="FreeSans"/>
        <family val="2"/>
      </rPr>
      <t xml:space="preserve">بست آچار خور استیل   </t>
    </r>
    <r>
      <rPr>
        <sz val="10"/>
        <rFont val="Vazirmatn"/>
        <family val="0"/>
        <charset val="1"/>
      </rPr>
      <t xml:space="preserve">90</t>
    </r>
  </si>
  <si>
    <t xml:space="preserve">35198162</t>
  </si>
  <si>
    <r>
      <rPr>
        <sz val="10"/>
        <rFont val="FreeSans"/>
        <family val="2"/>
      </rPr>
      <t xml:space="preserve">روتاری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بار ریز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با موتور و میز بوجاری </t>
    </r>
    <r>
      <rPr>
        <sz val="10"/>
        <rFont val="Vazirmatn"/>
        <family val="0"/>
        <charset val="1"/>
      </rPr>
      <t xml:space="preserve">MPS 22 / 19</t>
    </r>
  </si>
  <si>
    <t xml:space="preserve">35198175</t>
  </si>
  <si>
    <r>
      <rPr>
        <sz val="10"/>
        <rFont val="FreeSans"/>
        <family val="2"/>
      </rPr>
      <t xml:space="preserve">اواپراتور اتومات آب استیپ  </t>
    </r>
    <r>
      <rPr>
        <sz val="10"/>
        <rFont val="Vazirmatn"/>
        <family val="0"/>
        <charset val="1"/>
      </rPr>
      <t xml:space="preserve">JMZFQ - 224 - 24 t/h</t>
    </r>
  </si>
  <si>
    <t xml:space="preserve">35198176</t>
  </si>
  <si>
    <t xml:space="preserve">سیستم  کنترل اواپراتور</t>
  </si>
  <si>
    <t xml:space="preserve">35198859</t>
  </si>
  <si>
    <r>
      <rPr>
        <sz val="10"/>
        <rFont val="FreeSans"/>
        <family val="2"/>
      </rPr>
      <t xml:space="preserve">شیشه رفلکس قهوه ای </t>
    </r>
    <r>
      <rPr>
        <sz val="10"/>
        <rFont val="Vazirmatn"/>
        <family val="0"/>
        <charset val="1"/>
      </rPr>
      <t xml:space="preserve">136cm*56cm</t>
    </r>
  </si>
  <si>
    <t xml:space="preserve">35198860</t>
  </si>
  <si>
    <r>
      <rPr>
        <sz val="10"/>
        <rFont val="FreeSans"/>
        <family val="2"/>
      </rPr>
      <t xml:space="preserve">شیشه رفلکس قهوه ای </t>
    </r>
    <r>
      <rPr>
        <sz val="10"/>
        <rFont val="Vazirmatn"/>
        <family val="0"/>
        <charset val="1"/>
      </rPr>
      <t xml:space="preserve">140cm*59cm</t>
    </r>
  </si>
  <si>
    <t xml:space="preserve">35198861</t>
  </si>
  <si>
    <r>
      <rPr>
        <sz val="10"/>
        <rFont val="FreeSans"/>
        <family val="2"/>
      </rPr>
      <t xml:space="preserve">شیشه رفلکس قهوه ای </t>
    </r>
    <r>
      <rPr>
        <sz val="10"/>
        <rFont val="Vazirmatn"/>
        <family val="0"/>
        <charset val="1"/>
      </rPr>
      <t xml:space="preserve">131cm*55cm</t>
    </r>
  </si>
  <si>
    <t xml:space="preserve">35198864</t>
  </si>
  <si>
    <t xml:space="preserve">شیشه رفلکس</t>
  </si>
  <si>
    <t xml:space="preserve">35198866</t>
  </si>
  <si>
    <r>
      <rPr>
        <sz val="10"/>
        <rFont val="FreeSans"/>
        <family val="2"/>
      </rPr>
      <t xml:space="preserve">شیشه شفاف  </t>
    </r>
    <r>
      <rPr>
        <sz val="10"/>
        <rFont val="Vazirmatn"/>
        <family val="0"/>
        <charset val="1"/>
      </rPr>
      <t xml:space="preserve">53/5*143/8</t>
    </r>
  </si>
  <si>
    <t xml:space="preserve">35199546</t>
  </si>
  <si>
    <r>
      <rPr>
        <sz val="10"/>
        <rFont val="FreeSans"/>
        <family val="2"/>
      </rPr>
      <t xml:space="preserve">سماور گازی تمام استیل ترموکوبل دار </t>
    </r>
    <r>
      <rPr>
        <sz val="10"/>
        <rFont val="Vazirmatn"/>
        <family val="0"/>
        <charset val="1"/>
      </rPr>
      <t xml:space="preserve">60 </t>
    </r>
    <r>
      <rPr>
        <sz val="10"/>
        <rFont val="FreeSans"/>
        <family val="2"/>
      </rPr>
      <t xml:space="preserve">لیتری تنوره دار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بشکه ای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اکبر برادران</t>
    </r>
  </si>
  <si>
    <t xml:space="preserve">35199547</t>
  </si>
  <si>
    <r>
      <rPr>
        <sz val="10"/>
        <rFont val="FreeSans"/>
        <family val="2"/>
      </rPr>
      <t xml:space="preserve">سماور گازی تمام استیل ترموکوبل دار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لیتری اکبر برادران</t>
    </r>
  </si>
  <si>
    <t xml:space="preserve">35199550</t>
  </si>
  <si>
    <r>
      <rPr>
        <sz val="10"/>
        <rFont val="FreeSans"/>
        <family val="2"/>
      </rPr>
      <t xml:space="preserve">طلق پرس کارت </t>
    </r>
    <r>
      <rPr>
        <sz val="10"/>
        <rFont val="Vazirmatn"/>
        <family val="0"/>
        <charset val="1"/>
      </rPr>
      <t xml:space="preserve">A5 154*216mm 150Mic 100PCS</t>
    </r>
  </si>
  <si>
    <t xml:space="preserve">35199553</t>
  </si>
  <si>
    <r>
      <rPr>
        <sz val="10"/>
        <rFont val="FreeSans"/>
        <family val="2"/>
      </rPr>
      <t xml:space="preserve">کولر آبی   </t>
    </r>
    <r>
      <rPr>
        <sz val="10"/>
        <rFont val="Vazirmatn"/>
        <family val="0"/>
        <charset val="1"/>
      </rPr>
      <t xml:space="preserve">3500</t>
    </r>
  </si>
  <si>
    <t xml:space="preserve">35199559</t>
  </si>
  <si>
    <r>
      <rPr>
        <sz val="10"/>
        <rFont val="FreeSans"/>
        <family val="2"/>
      </rPr>
      <t xml:space="preserve">کولر گازی دیواری تابلو برق </t>
    </r>
    <r>
      <rPr>
        <sz val="10"/>
        <rFont val="Vazirmatn"/>
        <family val="0"/>
        <charset val="1"/>
      </rPr>
      <t xml:space="preserve">LC 400 50*26*20 400W</t>
    </r>
  </si>
  <si>
    <t xml:space="preserve">35199581</t>
  </si>
  <si>
    <r>
      <rPr>
        <sz val="10"/>
        <rFont val="FreeSans"/>
        <family val="2"/>
      </rPr>
      <t xml:space="preserve">کاپ کامل مشعل بالا و پایین لودسل  </t>
    </r>
    <r>
      <rPr>
        <sz val="10"/>
        <rFont val="Vazirmatn"/>
        <family val="0"/>
        <charset val="1"/>
      </rPr>
      <t xml:space="preserve">SCL40T </t>
    </r>
    <r>
      <rPr>
        <sz val="10"/>
        <rFont val="FreeSans"/>
        <family val="2"/>
      </rPr>
      <t xml:space="preserve">باسکول</t>
    </r>
  </si>
  <si>
    <t xml:space="preserve">35199584</t>
  </si>
  <si>
    <r>
      <rPr>
        <sz val="10"/>
        <rFont val="FreeSans"/>
        <family val="2"/>
      </rPr>
      <t xml:space="preserve">کاپ کامل بالا و پایین لودسل </t>
    </r>
    <r>
      <rPr>
        <sz val="10"/>
        <rFont val="Vazirmatn"/>
        <family val="0"/>
        <charset val="1"/>
      </rPr>
      <t xml:space="preserve">SCL35 T</t>
    </r>
    <r>
      <rPr>
        <sz val="10"/>
        <rFont val="FreeSans"/>
        <family val="2"/>
      </rPr>
      <t xml:space="preserve">باسکول</t>
    </r>
  </si>
  <si>
    <t xml:space="preserve">35199600</t>
  </si>
  <si>
    <r>
      <rPr>
        <sz val="10"/>
        <rFont val="FreeSans"/>
        <family val="2"/>
      </rPr>
      <t xml:space="preserve">راه بند هیدرولیک </t>
    </r>
    <r>
      <rPr>
        <sz val="10"/>
        <rFont val="Vazirmatn"/>
        <family val="0"/>
        <charset val="1"/>
      </rPr>
      <t xml:space="preserve">FAAC B680 </t>
    </r>
    <r>
      <rPr>
        <sz val="10"/>
        <rFont val="FreeSans"/>
        <family val="2"/>
      </rPr>
      <t xml:space="preserve">با بوم راه بند </t>
    </r>
    <r>
      <rPr>
        <sz val="10"/>
        <rFont val="Vazirmatn"/>
        <family val="0"/>
        <charset val="1"/>
      </rPr>
      <t xml:space="preserve">5/30m</t>
    </r>
  </si>
  <si>
    <t xml:space="preserve">35199605</t>
  </si>
  <si>
    <t xml:space="preserve">ایزوگام  ساده</t>
  </si>
  <si>
    <t xml:space="preserve">35199606</t>
  </si>
  <si>
    <t xml:space="preserve">ایزوگام   فویل دار آلومینیوم</t>
  </si>
  <si>
    <t xml:space="preserve">35199626</t>
  </si>
  <si>
    <t xml:space="preserve">PH - Analyzer ( FLXA 21</t>
  </si>
  <si>
    <t xml:space="preserve">35199627</t>
  </si>
  <si>
    <t xml:space="preserve">PH - Sensor ( 0 - 14</t>
  </si>
  <si>
    <t xml:space="preserve">35199660</t>
  </si>
  <si>
    <r>
      <rPr>
        <sz val="10"/>
        <rFont val="FreeSans"/>
        <family val="2"/>
      </rPr>
      <t xml:space="preserve">سیستم کاهش سرعت چدنی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تسمه کولینگ تاور</t>
    </r>
  </si>
  <si>
    <t xml:space="preserve">35199662</t>
  </si>
  <si>
    <r>
      <rPr>
        <sz val="10"/>
        <rFont val="FreeSans"/>
        <family val="2"/>
      </rPr>
      <t xml:space="preserve">ساپورت شعاعی کولینگ تاور  </t>
    </r>
    <r>
      <rPr>
        <sz val="10"/>
        <rFont val="Vazirmatn"/>
        <family val="0"/>
        <charset val="1"/>
      </rPr>
      <t xml:space="preserve">MB 500</t>
    </r>
  </si>
  <si>
    <t xml:space="preserve">35199663</t>
  </si>
  <si>
    <r>
      <rPr>
        <sz val="10"/>
        <rFont val="FreeSans"/>
        <family val="2"/>
      </rPr>
      <t xml:space="preserve">ساپورت محوری کوچک کولینگ تاور </t>
    </r>
    <r>
      <rPr>
        <sz val="10"/>
        <rFont val="Vazirmatn"/>
        <family val="0"/>
        <charset val="1"/>
      </rPr>
      <t xml:space="preserve">MB 500</t>
    </r>
  </si>
  <si>
    <t xml:space="preserve">35199664</t>
  </si>
  <si>
    <r>
      <rPr>
        <sz val="10"/>
        <rFont val="FreeSans"/>
        <family val="2"/>
      </rPr>
      <t xml:space="preserve">ساپورت محوری بزرگ کولینگ تاور </t>
    </r>
    <r>
      <rPr>
        <sz val="10"/>
        <rFont val="Vazirmatn"/>
        <family val="0"/>
        <charset val="1"/>
      </rPr>
      <t xml:space="preserve">MB 500</t>
    </r>
  </si>
  <si>
    <t xml:space="preserve">35199666</t>
  </si>
  <si>
    <t xml:space="preserve">براکت کولینگ تاور</t>
  </si>
  <si>
    <t xml:space="preserve">35199667</t>
  </si>
  <si>
    <r>
      <rPr>
        <sz val="10"/>
        <rFont val="FreeSans"/>
        <family val="2"/>
      </rPr>
      <t xml:space="preserve">خورشیدی </t>
    </r>
    <r>
      <rPr>
        <sz val="10"/>
        <rFont val="Vazirmatn"/>
        <family val="0"/>
        <charset val="1"/>
      </rPr>
      <t xml:space="preserve">" 8 </t>
    </r>
    <r>
      <rPr>
        <sz val="10"/>
        <rFont val="FreeSans"/>
        <family val="2"/>
      </rPr>
      <t xml:space="preserve">کولینگ تاور</t>
    </r>
  </si>
  <si>
    <t xml:space="preserve">35199668</t>
  </si>
  <si>
    <r>
      <rPr>
        <sz val="10"/>
        <rFont val="FreeSans"/>
        <family val="2"/>
      </rPr>
      <t xml:space="preserve">دستگاه دمنده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مکنده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بلوئر </t>
    </r>
    <r>
      <rPr>
        <sz val="10"/>
        <rFont val="Vazirmatn"/>
        <family val="0"/>
        <charset val="1"/>
      </rPr>
      <t xml:space="preserve">) 220V</t>
    </r>
  </si>
  <si>
    <t xml:space="preserve">35199836</t>
  </si>
  <si>
    <r>
      <rPr>
        <sz val="10"/>
        <rFont val="FreeSans"/>
        <family val="2"/>
      </rPr>
      <t xml:space="preserve">دستگاه ویبرو اسکرین  </t>
    </r>
    <r>
      <rPr>
        <sz val="10"/>
        <rFont val="Vazirmatn"/>
        <family val="0"/>
        <charset val="1"/>
      </rPr>
      <t xml:space="preserve">1500</t>
    </r>
  </si>
  <si>
    <t xml:space="preserve">35199850</t>
  </si>
  <si>
    <r>
      <rPr>
        <sz val="10"/>
        <rFont val="FreeSans"/>
        <family val="2"/>
      </rPr>
      <t xml:space="preserve">کی برد دستگاه   </t>
    </r>
    <r>
      <rPr>
        <sz val="10"/>
        <rFont val="Vazirmatn"/>
        <family val="0"/>
        <charset val="1"/>
      </rPr>
      <t xml:space="preserve">Z jet 303</t>
    </r>
  </si>
  <si>
    <t xml:space="preserve">35199883</t>
  </si>
  <si>
    <r>
      <rPr>
        <sz val="10"/>
        <rFont val="FreeSans"/>
        <family val="2"/>
      </rPr>
      <t xml:space="preserve">دستگاه جوش تک فاز   </t>
    </r>
    <r>
      <rPr>
        <sz val="10"/>
        <rFont val="Vazirmatn"/>
        <family val="0"/>
        <charset val="1"/>
      </rPr>
      <t xml:space="preserve">200A</t>
    </r>
  </si>
  <si>
    <t xml:space="preserve">35199903</t>
  </si>
  <si>
    <t xml:space="preserve">دستگاه جارو برقی</t>
  </si>
  <si>
    <t xml:space="preserve">35199924</t>
  </si>
  <si>
    <t xml:space="preserve">دستگاه کولر</t>
  </si>
  <si>
    <t xml:space="preserve">35199981</t>
  </si>
  <si>
    <t xml:space="preserve">ماوس کامپیوتر</t>
  </si>
  <si>
    <t xml:space="preserve">35199982</t>
  </si>
  <si>
    <t xml:space="preserve">کیبورد کامپیوتر</t>
  </si>
  <si>
    <t xml:space="preserve">35199984</t>
  </si>
  <si>
    <t xml:space="preserve">محافظ الکترونیکی</t>
  </si>
  <si>
    <t xml:space="preserve">35200009</t>
  </si>
  <si>
    <r>
      <rPr>
        <sz val="10"/>
        <rFont val="FreeSans"/>
        <family val="2"/>
      </rPr>
      <t xml:space="preserve">دستگاه بلوئر بسته بندی نشاسته      </t>
    </r>
    <r>
      <rPr>
        <sz val="10"/>
        <rFont val="Vazirmatn"/>
        <family val="0"/>
        <charset val="1"/>
      </rPr>
      <t xml:space="preserve">BLOWER</t>
    </r>
  </si>
  <si>
    <t xml:space="preserve">35200023</t>
  </si>
  <si>
    <r>
      <rPr>
        <sz val="10"/>
        <rFont val="FreeSans"/>
        <family val="2"/>
      </rPr>
      <t xml:space="preserve">سرامیک آرگون     نمره </t>
    </r>
    <r>
      <rPr>
        <sz val="10"/>
        <rFont val="Vazirmatn"/>
        <family val="0"/>
        <charset val="1"/>
      </rPr>
      <t xml:space="preserve">7</t>
    </r>
  </si>
  <si>
    <t xml:space="preserve">35200027</t>
  </si>
  <si>
    <r>
      <rPr>
        <sz val="10"/>
        <rFont val="FreeSans"/>
        <family val="2"/>
      </rPr>
      <t xml:space="preserve">درب آهنی آکاردئونی </t>
    </r>
    <r>
      <rPr>
        <sz val="10"/>
        <rFont val="Vazirmatn"/>
        <family val="0"/>
        <charset val="1"/>
      </rPr>
      <t xml:space="preserve">2/50*2/20</t>
    </r>
  </si>
  <si>
    <t xml:space="preserve">35200039</t>
  </si>
  <si>
    <r>
      <rPr>
        <sz val="10"/>
        <rFont val="FreeSans"/>
        <family val="2"/>
      </rPr>
      <t xml:space="preserve">تانک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مخزن </t>
    </r>
    <r>
      <rPr>
        <sz val="10"/>
        <rFont val="Vazirmatn"/>
        <family val="0"/>
        <charset val="1"/>
      </rPr>
      <t xml:space="preserve">) 1000Lit IBC </t>
    </r>
    <r>
      <rPr>
        <sz val="10"/>
        <rFont val="FreeSans"/>
        <family val="2"/>
      </rPr>
      <t xml:space="preserve">پلی اتیلن حفاظ دار</t>
    </r>
  </si>
  <si>
    <t xml:space="preserve">35200055</t>
  </si>
  <si>
    <r>
      <rPr>
        <sz val="10"/>
        <rFont val="FreeSans"/>
        <family val="2"/>
      </rPr>
      <t xml:space="preserve">مخزن پلاستیکی بادیاق </t>
    </r>
    <r>
      <rPr>
        <sz val="10"/>
        <rFont val="Vazirmatn"/>
        <family val="0"/>
        <charset val="1"/>
      </rPr>
      <t xml:space="preserve">60Lit</t>
    </r>
  </si>
  <si>
    <t xml:space="preserve">35200056</t>
  </si>
  <si>
    <r>
      <rPr>
        <sz val="10"/>
        <rFont val="FreeSans"/>
        <family val="2"/>
      </rPr>
      <t xml:space="preserve">هارد اکسترنال وسترن دیجیتال </t>
    </r>
    <r>
      <rPr>
        <sz val="10"/>
        <rFont val="Vazirmatn"/>
        <family val="0"/>
        <charset val="1"/>
      </rPr>
      <t xml:space="preserve">2</t>
    </r>
    <r>
      <rPr>
        <sz val="10"/>
        <rFont val="FreeSans"/>
        <family val="2"/>
      </rPr>
      <t xml:space="preserve">ترابایت </t>
    </r>
    <r>
      <rPr>
        <sz val="10"/>
        <rFont val="Vazirmatn"/>
        <family val="0"/>
        <charset val="1"/>
      </rPr>
      <t xml:space="preserve">My Passport</t>
    </r>
  </si>
  <si>
    <t xml:space="preserve">35200060</t>
  </si>
  <si>
    <r>
      <rPr>
        <sz val="10"/>
        <rFont val="FreeSans"/>
        <family val="2"/>
      </rPr>
      <t xml:space="preserve">دستگاه  </t>
    </r>
    <r>
      <rPr>
        <sz val="10"/>
        <rFont val="Vazirmatn"/>
        <family val="0"/>
        <charset val="1"/>
      </rPr>
      <t xml:space="preserve">Static Mixer</t>
    </r>
  </si>
  <si>
    <t xml:space="preserve">35200062</t>
  </si>
  <si>
    <t xml:space="preserve">اسپری درایر آزمایشگاهی</t>
  </si>
  <si>
    <t xml:space="preserve">35200064</t>
  </si>
  <si>
    <t xml:space="preserve">دستگاه جوش تکفاز  کارا</t>
  </si>
  <si>
    <t xml:space="preserve">35200065</t>
  </si>
  <si>
    <t xml:space="preserve">CATION-EXCHANGER UNIN</t>
  </si>
  <si>
    <t xml:space="preserve">35200066</t>
  </si>
  <si>
    <t xml:space="preserve">ANIN - EXCHANGER UNIT</t>
  </si>
  <si>
    <t xml:space="preserve">35200067</t>
  </si>
  <si>
    <t xml:space="preserve">آبگرمکن دیواری</t>
  </si>
  <si>
    <t xml:space="preserve">35200068</t>
  </si>
  <si>
    <r>
      <rPr>
        <sz val="10"/>
        <rFont val="FreeSans"/>
        <family val="2"/>
      </rPr>
      <t xml:space="preserve">پکینگ بلوکی کولینگ تاور </t>
    </r>
    <r>
      <rPr>
        <sz val="10"/>
        <rFont val="Vazirmatn"/>
        <family val="0"/>
        <charset val="1"/>
      </rPr>
      <t xml:space="preserve">MB450 - F19</t>
    </r>
  </si>
  <si>
    <t xml:space="preserve">35200069</t>
  </si>
  <si>
    <r>
      <rPr>
        <sz val="10"/>
        <rFont val="FreeSans"/>
        <family val="2"/>
      </rPr>
      <t xml:space="preserve">پکینگ بلوکی کولینگ تاور </t>
    </r>
    <r>
      <rPr>
        <sz val="10"/>
        <rFont val="Vazirmatn"/>
        <family val="0"/>
        <charset val="1"/>
      </rPr>
      <t xml:space="preserve">MB500 - F19</t>
    </r>
  </si>
  <si>
    <t xml:space="preserve">35200070</t>
  </si>
  <si>
    <r>
      <rPr>
        <sz val="10"/>
        <rFont val="FreeSans"/>
        <family val="2"/>
      </rPr>
      <t xml:space="preserve">دستگاه اتوی لوله 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پارچه</t>
    </r>
  </si>
  <si>
    <t xml:space="preserve">35200072</t>
  </si>
  <si>
    <t xml:space="preserve">آب سردکن استیل</t>
  </si>
  <si>
    <t xml:space="preserve">35200073</t>
  </si>
  <si>
    <r>
      <rPr>
        <sz val="10"/>
        <rFont val="FreeSans"/>
        <family val="2"/>
      </rPr>
      <t xml:space="preserve">مینی اینورتر جوش با کابل و اتصالات </t>
    </r>
    <r>
      <rPr>
        <sz val="10"/>
        <rFont val="Vazirmatn"/>
        <family val="0"/>
        <charset val="1"/>
      </rPr>
      <t xml:space="preserve">211M-200IR 220V 200A</t>
    </r>
  </si>
  <si>
    <t xml:space="preserve">35200075</t>
  </si>
  <si>
    <t xml:space="preserve">زهوار وینتک</t>
  </si>
  <si>
    <t xml:space="preserve">35200077</t>
  </si>
  <si>
    <r>
      <rPr>
        <sz val="10"/>
        <rFont val="FreeSans"/>
        <family val="2"/>
      </rPr>
      <t xml:space="preserve">یراق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حالته پنجره </t>
    </r>
    <r>
      <rPr>
        <sz val="10"/>
        <rFont val="Vazirmatn"/>
        <family val="0"/>
        <charset val="1"/>
      </rPr>
      <t xml:space="preserve">UPVC</t>
    </r>
  </si>
  <si>
    <t xml:space="preserve">35200078</t>
  </si>
  <si>
    <r>
      <rPr>
        <sz val="10"/>
        <rFont val="FreeSans"/>
        <family val="2"/>
      </rPr>
      <t xml:space="preserve">دستگاه جت پرینتر  </t>
    </r>
    <r>
      <rPr>
        <sz val="10"/>
        <rFont val="Vazirmatn"/>
        <family val="0"/>
        <charset val="1"/>
      </rPr>
      <t xml:space="preserve">ZANASI - Z 402</t>
    </r>
  </si>
  <si>
    <t xml:space="preserve">35200079</t>
  </si>
  <si>
    <r>
      <rPr>
        <sz val="10"/>
        <rFont val="FreeSans"/>
        <family val="2"/>
      </rPr>
      <t xml:space="preserve">هارد سرور </t>
    </r>
    <r>
      <rPr>
        <sz val="10"/>
        <rFont val="Vazirmatn"/>
        <family val="0"/>
        <charset val="1"/>
      </rPr>
      <t xml:space="preserve">300GB SAS 10K HP</t>
    </r>
  </si>
  <si>
    <t xml:space="preserve">35200080</t>
  </si>
  <si>
    <r>
      <rPr>
        <sz val="10"/>
        <rFont val="FreeSans"/>
        <family val="2"/>
      </rPr>
      <t xml:space="preserve">کرکره برقی آلومینیوم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 آکرول </t>
    </r>
    <r>
      <rPr>
        <sz val="10"/>
        <rFont val="Vazirmatn"/>
        <family val="0"/>
        <charset val="1"/>
      </rPr>
      <t xml:space="preserve">8cm</t>
    </r>
  </si>
  <si>
    <t xml:space="preserve">35200085</t>
  </si>
  <si>
    <r>
      <rPr>
        <sz val="10"/>
        <rFont val="FreeSans"/>
        <family val="2"/>
      </rPr>
      <t xml:space="preserve">مخزن عمودی اسپیرال کاروگیت  </t>
    </r>
    <r>
      <rPr>
        <sz val="10"/>
        <rFont val="Vazirmatn"/>
        <family val="0"/>
        <charset val="1"/>
      </rPr>
      <t xml:space="preserve">7000Lit </t>
    </r>
    <r>
      <rPr>
        <sz val="10"/>
        <rFont val="FreeSans"/>
        <family val="2"/>
      </rPr>
      <t xml:space="preserve">ارتفاع </t>
    </r>
    <r>
      <rPr>
        <sz val="10"/>
        <rFont val="Vazirmatn"/>
        <family val="0"/>
        <charset val="1"/>
      </rPr>
      <t xml:space="preserve">2/23m 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2/20m</t>
    </r>
  </si>
  <si>
    <t xml:space="preserve">35200086</t>
  </si>
  <si>
    <r>
      <rPr>
        <sz val="10"/>
        <rFont val="FreeSans"/>
        <family val="2"/>
      </rPr>
      <t xml:space="preserve">دستگاه کوکر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طبقه </t>
    </r>
    <r>
      <rPr>
        <sz val="10"/>
        <rFont val="Vazirmatn"/>
        <family val="0"/>
        <charset val="1"/>
      </rPr>
      <t xml:space="preserve">C 50 </t>
    </r>
    <r>
      <rPr>
        <sz val="10"/>
        <rFont val="FreeSans"/>
        <family val="2"/>
      </rPr>
      <t xml:space="preserve">با ظرفیت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تن به همراه الکتروموتور و گیربکس</t>
    </r>
  </si>
  <si>
    <t xml:space="preserve">35200093</t>
  </si>
  <si>
    <r>
      <rPr>
        <sz val="10"/>
        <rFont val="FreeSans"/>
        <family val="2"/>
      </rPr>
      <t xml:space="preserve">دستگاه پرس روغن کشی </t>
    </r>
    <r>
      <rPr>
        <sz val="10"/>
        <rFont val="Vazirmatn"/>
        <family val="0"/>
        <charset val="1"/>
      </rPr>
      <t xml:space="preserve">P 50 </t>
    </r>
    <r>
      <rPr>
        <sz val="10"/>
        <rFont val="FreeSans"/>
        <family val="2"/>
      </rPr>
      <t xml:space="preserve">با ظرفیت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تن در روز</t>
    </r>
  </si>
  <si>
    <t xml:space="preserve">35200094</t>
  </si>
  <si>
    <r>
      <rPr>
        <sz val="10"/>
        <rFont val="FreeSans"/>
        <family val="2"/>
      </rPr>
      <t xml:space="preserve">الواتور </t>
    </r>
    <r>
      <rPr>
        <sz val="10"/>
        <rFont val="Vazirmatn"/>
        <family val="0"/>
        <charset val="1"/>
      </rPr>
      <t xml:space="preserve">100 </t>
    </r>
    <r>
      <rPr>
        <sz val="10"/>
        <rFont val="FreeSans"/>
        <family val="2"/>
      </rPr>
      <t xml:space="preserve">تنی </t>
    </r>
    <r>
      <rPr>
        <sz val="10"/>
        <rFont val="Vazirmatn"/>
        <family val="0"/>
        <charset val="1"/>
      </rPr>
      <t xml:space="preserve">( 10 </t>
    </r>
    <r>
      <rPr>
        <sz val="10"/>
        <rFont val="FreeSans"/>
        <family val="2"/>
      </rPr>
      <t xml:space="preserve">متری </t>
    </r>
    <r>
      <rPr>
        <sz val="10"/>
        <rFont val="Vazirmatn"/>
        <family val="0"/>
        <charset val="1"/>
      </rPr>
      <t xml:space="preserve">)</t>
    </r>
  </si>
  <si>
    <t xml:space="preserve">35200095</t>
  </si>
  <si>
    <r>
      <rPr>
        <sz val="10"/>
        <rFont val="FreeSans"/>
        <family val="2"/>
      </rPr>
      <t xml:space="preserve">دستگاه برش پلاسما گام الکتریک </t>
    </r>
    <r>
      <rPr>
        <sz val="10"/>
        <rFont val="Vazirmatn"/>
        <family val="0"/>
        <charset val="1"/>
      </rPr>
      <t xml:space="preserve">Pars Cut - SC - 131</t>
    </r>
  </si>
  <si>
    <t xml:space="preserve">35200096</t>
  </si>
  <si>
    <r>
      <rPr>
        <sz val="10"/>
        <rFont val="FreeSans"/>
        <family val="2"/>
      </rPr>
      <t xml:space="preserve">هارد دوربین مدار بسته ویژن دیجیتال بنفش </t>
    </r>
    <r>
      <rPr>
        <sz val="10"/>
        <rFont val="Vazirmatn"/>
        <family val="0"/>
        <charset val="1"/>
      </rPr>
      <t xml:space="preserve">WD 102 PURZ NVR 10TB</t>
    </r>
  </si>
  <si>
    <t xml:space="preserve">35200097</t>
  </si>
  <si>
    <t xml:space="preserve">دستگاه حشره کش برقی سقفی</t>
  </si>
  <si>
    <t xml:space="preserve">35200102</t>
  </si>
  <si>
    <r>
      <rPr>
        <sz val="10"/>
        <rFont val="FreeSans"/>
        <family val="2"/>
      </rPr>
      <t xml:space="preserve">هارد دوربین وسترن دیجیتال بنفش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ترابایت </t>
    </r>
    <r>
      <rPr>
        <sz val="10"/>
        <rFont val="Vazirmatn"/>
        <family val="0"/>
        <charset val="1"/>
      </rPr>
      <t xml:space="preserve">Purple WD60 PURZ</t>
    </r>
  </si>
  <si>
    <t xml:space="preserve">35200103</t>
  </si>
  <si>
    <r>
      <rPr>
        <sz val="10"/>
        <rFont val="FreeSans"/>
        <family val="2"/>
      </rPr>
      <t xml:space="preserve">کمپرسور </t>
    </r>
    <r>
      <rPr>
        <sz val="10"/>
        <rFont val="Vazirmatn"/>
        <family val="0"/>
        <charset val="1"/>
      </rPr>
      <t xml:space="preserve">E </t>
    </r>
    <r>
      <rPr>
        <sz val="10"/>
        <rFont val="FreeSans"/>
        <family val="2"/>
      </rPr>
      <t xml:space="preserve">بیتزر </t>
    </r>
    <r>
      <rPr>
        <sz val="10"/>
        <rFont val="Vazirmatn"/>
        <family val="0"/>
        <charset val="1"/>
      </rPr>
      <t xml:space="preserve">15 </t>
    </r>
    <r>
      <rPr>
        <sz val="10"/>
        <rFont val="FreeSans"/>
        <family val="2"/>
      </rPr>
      <t xml:space="preserve">اسب  </t>
    </r>
    <r>
      <rPr>
        <sz val="10"/>
        <rFont val="Vazirmatn"/>
        <family val="0"/>
        <charset val="1"/>
      </rPr>
      <t xml:space="preserve">4PE - 15</t>
    </r>
  </si>
  <si>
    <t xml:space="preserve">35200104</t>
  </si>
  <si>
    <r>
      <rPr>
        <sz val="10"/>
        <rFont val="FreeSans"/>
        <family val="2"/>
      </rPr>
      <t xml:space="preserve">کندانسور  مدل </t>
    </r>
    <r>
      <rPr>
        <sz val="10"/>
        <rFont val="Vazirmatn"/>
        <family val="0"/>
        <charset val="1"/>
      </rPr>
      <t xml:space="preserve">BSR - 64</t>
    </r>
  </si>
  <si>
    <t xml:space="preserve">35200105</t>
  </si>
  <si>
    <r>
      <rPr>
        <sz val="10"/>
        <rFont val="FreeSans"/>
        <family val="2"/>
      </rPr>
      <t xml:space="preserve">اواپراتور  مدل </t>
    </r>
    <r>
      <rPr>
        <sz val="10"/>
        <rFont val="Vazirmatn"/>
        <family val="0"/>
        <charset val="1"/>
      </rPr>
      <t xml:space="preserve">EHT - 292 ( </t>
    </r>
    <r>
      <rPr>
        <sz val="10"/>
        <rFont val="FreeSans"/>
        <family val="2"/>
      </rPr>
      <t xml:space="preserve">با فن آلمان </t>
    </r>
    <r>
      <rPr>
        <sz val="10"/>
        <rFont val="Vazirmatn"/>
        <family val="0"/>
        <charset val="1"/>
      </rPr>
      <t xml:space="preserve">)</t>
    </r>
  </si>
  <si>
    <t xml:space="preserve">35200106</t>
  </si>
  <si>
    <r>
      <rPr>
        <sz val="10"/>
        <rFont val="FreeSans"/>
        <family val="2"/>
      </rPr>
      <t xml:space="preserve">تابلو برق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قطعات هیوندا </t>
    </r>
    <r>
      <rPr>
        <sz val="10"/>
        <rFont val="Vazirmatn"/>
        <family val="0"/>
        <charset val="1"/>
      </rPr>
      <t xml:space="preserve">)  HED - 15L  3*3</t>
    </r>
  </si>
  <si>
    <t xml:space="preserve">35200107</t>
  </si>
  <si>
    <r>
      <rPr>
        <sz val="10"/>
        <rFont val="FreeSans"/>
        <family val="2"/>
      </rPr>
      <t xml:space="preserve">درب کشویی پانل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سانتی </t>
    </r>
    <r>
      <rPr>
        <sz val="10"/>
        <rFont val="Vazirmatn"/>
        <family val="0"/>
        <charset val="1"/>
      </rPr>
      <t xml:space="preserve">20*25 ST</t>
    </r>
  </si>
  <si>
    <t xml:space="preserve">35200109</t>
  </si>
  <si>
    <r>
      <rPr>
        <sz val="10"/>
        <rFont val="FreeSans"/>
        <family val="2"/>
      </rPr>
      <t xml:space="preserve">دستگاه پیستوله رنگ پاشی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تنظیمه</t>
    </r>
  </si>
  <si>
    <t xml:space="preserve">35200113</t>
  </si>
  <si>
    <r>
      <rPr>
        <sz val="10"/>
        <rFont val="FreeSans"/>
        <family val="2"/>
      </rPr>
      <t xml:space="preserve">استابلایزر  </t>
    </r>
    <r>
      <rPr>
        <sz val="10"/>
        <rFont val="Vazirmatn"/>
        <family val="0"/>
        <charset val="1"/>
      </rPr>
      <t xml:space="preserve">AVR 40  2000VA</t>
    </r>
  </si>
  <si>
    <t xml:space="preserve">35200114</t>
  </si>
  <si>
    <r>
      <rPr>
        <sz val="10"/>
        <rFont val="FreeSans"/>
        <family val="2"/>
      </rPr>
      <t xml:space="preserve">روتر میکروتیک  </t>
    </r>
    <r>
      <rPr>
        <sz val="10"/>
        <rFont val="Vazirmatn"/>
        <family val="0"/>
        <charset val="1"/>
      </rPr>
      <t xml:space="preserve">RB 2011 UiAS-2HnD-IN</t>
    </r>
  </si>
  <si>
    <t xml:space="preserve">35200115</t>
  </si>
  <si>
    <t xml:space="preserve">تقویت کننده وای فای شیائومی پرو</t>
  </si>
  <si>
    <t xml:space="preserve">35200116</t>
  </si>
  <si>
    <r>
      <rPr>
        <sz val="10"/>
        <rFont val="FreeSans"/>
        <family val="2"/>
      </rPr>
      <t xml:space="preserve">هارد </t>
    </r>
    <r>
      <rPr>
        <sz val="10"/>
        <rFont val="Vazirmatn"/>
        <family val="0"/>
        <charset val="1"/>
      </rPr>
      <t xml:space="preserve">SSD </t>
    </r>
    <r>
      <rPr>
        <sz val="10"/>
        <rFont val="FreeSans"/>
        <family val="2"/>
      </rPr>
      <t xml:space="preserve">اینترنال سامسونگ </t>
    </r>
    <r>
      <rPr>
        <sz val="10"/>
        <rFont val="Vazirmatn"/>
        <family val="0"/>
        <charset val="1"/>
      </rPr>
      <t xml:space="preserve">EV 0870 250GB</t>
    </r>
  </si>
  <si>
    <t xml:space="preserve">35200117</t>
  </si>
  <si>
    <r>
      <rPr>
        <sz val="10"/>
        <rFont val="FreeSans"/>
        <family val="2"/>
      </rPr>
      <t xml:space="preserve">سم پاش شارژی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لیتری  </t>
    </r>
    <r>
      <rPr>
        <sz val="10"/>
        <rFont val="Vazirmatn"/>
        <family val="0"/>
        <charset val="1"/>
      </rPr>
      <t xml:space="preserve">SP 20C APN</t>
    </r>
  </si>
  <si>
    <t xml:space="preserve">35200119</t>
  </si>
  <si>
    <r>
      <rPr>
        <sz val="10"/>
        <rFont val="FreeSans"/>
        <family val="2"/>
      </rPr>
      <t xml:space="preserve">آبچکان صنعتی استیل چرخ دار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طبقه ظرفیت </t>
    </r>
    <r>
      <rPr>
        <sz val="10"/>
        <rFont val="Vazirmatn"/>
        <family val="0"/>
        <charset val="1"/>
      </rPr>
      <t xml:space="preserve">200 </t>
    </r>
    <r>
      <rPr>
        <sz val="10"/>
        <rFont val="FreeSans"/>
        <family val="2"/>
      </rPr>
      <t xml:space="preserve">بشقاب</t>
    </r>
  </si>
  <si>
    <t xml:space="preserve">35200120</t>
  </si>
  <si>
    <r>
      <rPr>
        <sz val="10"/>
        <rFont val="FreeSans"/>
        <family val="2"/>
      </rPr>
      <t xml:space="preserve">دستگاه کنترل تردد </t>
    </r>
    <r>
      <rPr>
        <sz val="10"/>
        <rFont val="Vazirmatn"/>
        <family val="0"/>
        <charset val="1"/>
      </rPr>
      <t xml:space="preserve">Speed Face V5L / MF / WIFI</t>
    </r>
  </si>
  <si>
    <t xml:space="preserve">35200121</t>
  </si>
  <si>
    <r>
      <rPr>
        <sz val="10"/>
        <rFont val="FreeSans"/>
        <family val="2"/>
      </rPr>
      <t xml:space="preserve">دستگاه </t>
    </r>
    <r>
      <rPr>
        <sz val="10"/>
        <rFont val="Vazirmatn"/>
        <family val="0"/>
        <charset val="1"/>
      </rPr>
      <t xml:space="preserve">Vblender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304 </t>
    </r>
    <r>
      <rPr>
        <sz val="10"/>
        <rFont val="FreeSans"/>
        <family val="2"/>
      </rPr>
      <t xml:space="preserve">با تابلو برق و تنظیم دور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ظرفیت کل </t>
    </r>
    <r>
      <rPr>
        <sz val="10"/>
        <rFont val="Vazirmatn"/>
        <family val="0"/>
        <charset val="1"/>
      </rPr>
      <t xml:space="preserve">: 2100Litr - </t>
    </r>
    <r>
      <rPr>
        <sz val="10"/>
        <rFont val="FreeSans"/>
        <family val="2"/>
      </rPr>
      <t xml:space="preserve">ظرفیت مفید </t>
    </r>
    <r>
      <rPr>
        <sz val="10"/>
        <rFont val="Vazirmatn"/>
        <family val="0"/>
        <charset val="1"/>
      </rPr>
      <t xml:space="preserve">: 1470Litr</t>
    </r>
  </si>
  <si>
    <t xml:space="preserve">35200126</t>
  </si>
  <si>
    <r>
      <rPr>
        <sz val="10"/>
        <rFont val="FreeSans"/>
        <family val="2"/>
      </rPr>
      <t xml:space="preserve">استابلایزرفاراتل       </t>
    </r>
    <r>
      <rPr>
        <sz val="10"/>
        <rFont val="Vazirmatn"/>
        <family val="0"/>
        <charset val="1"/>
      </rPr>
      <t xml:space="preserve">stb2000</t>
    </r>
  </si>
  <si>
    <t xml:space="preserve">35200127</t>
  </si>
  <si>
    <t xml:space="preserve">سرخ کن بدون روغن</t>
  </si>
  <si>
    <t xml:space="preserve">35200128</t>
  </si>
  <si>
    <r>
      <rPr>
        <sz val="10"/>
        <rFont val="FreeSans"/>
        <family val="2"/>
      </rPr>
      <t xml:space="preserve">ترازوی پند رولیک غلطکی </t>
    </r>
    <r>
      <rPr>
        <sz val="10"/>
        <rFont val="Vazirmatn"/>
        <family val="0"/>
        <charset val="1"/>
      </rPr>
      <t xml:space="preserve">150Kg PX9100</t>
    </r>
  </si>
  <si>
    <t xml:space="preserve">35200130</t>
  </si>
  <si>
    <r>
      <rPr>
        <sz val="10"/>
        <rFont val="FreeSans"/>
        <family val="2"/>
      </rPr>
      <t xml:space="preserve">رطوبت سنج </t>
    </r>
    <r>
      <rPr>
        <sz val="10"/>
        <rFont val="Vazirmatn"/>
        <family val="0"/>
        <charset val="1"/>
      </rPr>
      <t xml:space="preserve">GM 1362</t>
    </r>
  </si>
  <si>
    <t xml:space="preserve">35200131</t>
  </si>
  <si>
    <r>
      <rPr>
        <sz val="10"/>
        <rFont val="FreeSans"/>
        <family val="2"/>
      </rPr>
      <t xml:space="preserve">جک پالت دستی شاخک بلند </t>
    </r>
    <r>
      <rPr>
        <sz val="10"/>
        <rFont val="Vazirmatn"/>
        <family val="0"/>
        <charset val="1"/>
      </rPr>
      <t xml:space="preserve">3ton </t>
    </r>
    <r>
      <rPr>
        <sz val="10"/>
        <rFont val="FreeSans"/>
        <family val="2"/>
      </rPr>
      <t xml:space="preserve">ابعاد چرخ فرمان </t>
    </r>
    <r>
      <rPr>
        <sz val="10"/>
        <rFont val="Vazirmatn"/>
        <family val="0"/>
        <charset val="1"/>
      </rPr>
      <t xml:space="preserve">50*200 </t>
    </r>
    <r>
      <rPr>
        <sz val="10"/>
        <rFont val="FreeSans"/>
        <family val="2"/>
      </rPr>
      <t xml:space="preserve">قطر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ابعاد چرخ شاخک </t>
    </r>
    <r>
      <rPr>
        <sz val="10"/>
        <rFont val="Vazirmatn"/>
        <family val="0"/>
        <charset val="1"/>
      </rPr>
      <t xml:space="preserve">80*70 </t>
    </r>
    <r>
      <rPr>
        <sz val="10"/>
        <rFont val="FreeSans"/>
        <family val="2"/>
      </rPr>
      <t xml:space="preserve">قطر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فاصله بیرونی دو شاخک </t>
    </r>
    <r>
      <rPr>
        <sz val="10"/>
        <rFont val="Vazirmatn"/>
        <family val="0"/>
        <charset val="1"/>
      </rPr>
      <t xml:space="preserve">550mm-</t>
    </r>
    <r>
      <rPr>
        <sz val="10"/>
        <rFont val="FreeSans"/>
        <family val="2"/>
      </rPr>
      <t xml:space="preserve">طول شاخک </t>
    </r>
    <r>
      <rPr>
        <sz val="10"/>
        <rFont val="Vazirmatn"/>
        <family val="0"/>
        <charset val="1"/>
      </rPr>
      <t xml:space="preserve">1750mm-</t>
    </r>
    <r>
      <rPr>
        <sz val="10"/>
        <rFont val="FreeSans"/>
        <family val="2"/>
      </rPr>
      <t xml:space="preserve">حداکثر ارتفاع شاخک </t>
    </r>
    <r>
      <rPr>
        <sz val="10"/>
        <rFont val="Vazirmatn"/>
        <family val="0"/>
        <charset val="1"/>
      </rPr>
      <t xml:space="preserve">200mm</t>
    </r>
  </si>
  <si>
    <t xml:space="preserve">35200132</t>
  </si>
  <si>
    <r>
      <rPr>
        <sz val="10"/>
        <rFont val="FreeSans"/>
        <family val="2"/>
      </rPr>
      <t xml:space="preserve">دستگاه سیل زن القایی </t>
    </r>
    <r>
      <rPr>
        <sz val="10"/>
        <rFont val="Vazirmatn"/>
        <family val="0"/>
        <charset val="1"/>
      </rPr>
      <t xml:space="preserve">3000W</t>
    </r>
  </si>
  <si>
    <t xml:space="preserve">35200134</t>
  </si>
  <si>
    <r>
      <rPr>
        <sz val="10"/>
        <rFont val="FreeSans"/>
        <family val="2"/>
      </rPr>
      <t xml:space="preserve">دستگاه سنگ فرز بزرگ دیوالت </t>
    </r>
    <r>
      <rPr>
        <sz val="10"/>
        <rFont val="Vazirmatn"/>
        <family val="0"/>
        <charset val="1"/>
      </rPr>
      <t xml:space="preserve">28493 2200W 10A B505</t>
    </r>
  </si>
  <si>
    <t xml:space="preserve">35200135</t>
  </si>
  <si>
    <r>
      <rPr>
        <sz val="10"/>
        <rFont val="FreeSans"/>
        <family val="2"/>
      </rPr>
      <t xml:space="preserve">دستگاه جوش </t>
    </r>
    <r>
      <rPr>
        <sz val="10"/>
        <rFont val="Vazirmatn"/>
        <family val="0"/>
        <charset val="1"/>
      </rPr>
      <t xml:space="preserve">252D 10-250</t>
    </r>
  </si>
  <si>
    <t xml:space="preserve">35200136</t>
  </si>
  <si>
    <r>
      <rPr>
        <sz val="10"/>
        <rFont val="FreeSans"/>
        <family val="2"/>
      </rPr>
      <t xml:space="preserve">جک پالت دستی </t>
    </r>
    <r>
      <rPr>
        <sz val="10"/>
        <rFont val="Vazirmatn"/>
        <family val="0"/>
        <charset val="1"/>
      </rPr>
      <t xml:space="preserve">TMS 122Cm</t>
    </r>
  </si>
  <si>
    <t xml:space="preserve">35200137</t>
  </si>
  <si>
    <r>
      <rPr>
        <sz val="10"/>
        <rFont val="FreeSans"/>
        <family val="2"/>
      </rPr>
      <t xml:space="preserve">دستگاه جوش تک مدل جوشا </t>
    </r>
    <r>
      <rPr>
        <sz val="10"/>
        <rFont val="Vazirmatn"/>
        <family val="0"/>
        <charset val="1"/>
      </rPr>
      <t xml:space="preserve">250A</t>
    </r>
  </si>
  <si>
    <t xml:space="preserve">35200139</t>
  </si>
  <si>
    <r>
      <rPr>
        <sz val="10"/>
        <rFont val="FreeSans"/>
        <family val="2"/>
      </rPr>
      <t xml:space="preserve">دستگاه </t>
    </r>
    <r>
      <rPr>
        <sz val="10"/>
        <rFont val="Vazirmatn"/>
        <family val="0"/>
        <charset val="1"/>
      </rPr>
      <t xml:space="preserve">PH </t>
    </r>
    <r>
      <rPr>
        <sz val="10"/>
        <rFont val="FreeSans"/>
        <family val="2"/>
      </rPr>
      <t xml:space="preserve">متر مدل </t>
    </r>
    <r>
      <rPr>
        <sz val="10"/>
        <rFont val="Vazirmatn"/>
        <family val="0"/>
        <charset val="1"/>
      </rPr>
      <t xml:space="preserve">913 </t>
    </r>
    <r>
      <rPr>
        <sz val="10"/>
        <rFont val="FreeSans"/>
        <family val="2"/>
      </rPr>
      <t xml:space="preserve">با دقت </t>
    </r>
    <r>
      <rPr>
        <sz val="10"/>
        <rFont val="Vazirmatn"/>
        <family val="0"/>
        <charset val="1"/>
      </rPr>
      <t xml:space="preserve">0/001 Metrohm</t>
    </r>
  </si>
  <si>
    <t xml:space="preserve">35200140</t>
  </si>
  <si>
    <r>
      <rPr>
        <sz val="10"/>
        <rFont val="FreeSans"/>
        <family val="2"/>
      </rPr>
      <t xml:space="preserve">دستگاه تراش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متری ماشین سازی تبریز  </t>
    </r>
    <r>
      <rPr>
        <sz val="10"/>
        <rFont val="Vazirmatn"/>
        <family val="0"/>
        <charset val="1"/>
      </rPr>
      <t xml:space="preserve">TN 71 B</t>
    </r>
  </si>
  <si>
    <t xml:space="preserve">35200142</t>
  </si>
  <si>
    <r>
      <rPr>
        <sz val="10"/>
        <rFont val="FreeSans"/>
        <family val="2"/>
      </rPr>
      <t xml:space="preserve">دستگاه گشت نگهبانی </t>
    </r>
    <r>
      <rPr>
        <sz val="10"/>
        <rFont val="Vazirmatn"/>
        <family val="0"/>
        <charset val="1"/>
      </rPr>
      <t xml:space="preserve">WM-5000X1</t>
    </r>
  </si>
  <si>
    <t xml:space="preserve">35200144</t>
  </si>
  <si>
    <t xml:space="preserve">کیسه پر کن پودری تک توزین</t>
  </si>
  <si>
    <t xml:space="preserve">35200145</t>
  </si>
  <si>
    <r>
      <rPr>
        <sz val="10"/>
        <rFont val="FreeSans"/>
        <family val="2"/>
      </rPr>
      <t xml:space="preserve">کانوایر </t>
    </r>
    <r>
      <rPr>
        <sz val="10"/>
        <rFont val="Vazirmatn"/>
        <family val="0"/>
        <charset val="1"/>
      </rPr>
      <t xml:space="preserve">2/5 </t>
    </r>
    <r>
      <rPr>
        <sz val="10"/>
        <rFont val="FreeSans"/>
        <family val="2"/>
      </rPr>
      <t xml:space="preserve">متری به همراه چرخ دوخت</t>
    </r>
  </si>
  <si>
    <t xml:space="preserve">35200146</t>
  </si>
  <si>
    <r>
      <rPr>
        <sz val="10"/>
        <rFont val="FreeSans"/>
        <family val="2"/>
      </rPr>
      <t xml:space="preserve">شوفاژ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رادیاتور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برقی </t>
    </r>
    <r>
      <rPr>
        <sz val="10"/>
        <rFont val="Vazirmatn"/>
        <family val="0"/>
        <charset val="1"/>
      </rPr>
      <t xml:space="preserve">( 11 </t>
    </r>
    <r>
      <rPr>
        <sz val="10"/>
        <rFont val="FreeSans"/>
        <family val="2"/>
      </rPr>
      <t xml:space="preserve">پره </t>
    </r>
    <r>
      <rPr>
        <sz val="10"/>
        <rFont val="Vazirmatn"/>
        <family val="0"/>
        <charset val="1"/>
      </rPr>
      <t xml:space="preserve">)</t>
    </r>
  </si>
  <si>
    <t xml:space="preserve">35200147</t>
  </si>
  <si>
    <r>
      <rPr>
        <sz val="10"/>
        <rFont val="FreeSans"/>
        <family val="2"/>
      </rPr>
      <t xml:space="preserve">دستگاه الواتور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متری باظرفیت </t>
    </r>
    <r>
      <rPr>
        <sz val="10"/>
        <rFont val="Vazirmatn"/>
        <family val="0"/>
        <charset val="1"/>
      </rPr>
      <t xml:space="preserve">100 </t>
    </r>
    <r>
      <rPr>
        <sz val="10"/>
        <rFont val="FreeSans"/>
        <family val="2"/>
      </rPr>
      <t xml:space="preserve">تن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به همراه تسمه نقاله و قاشقی و شاسی اصلی و متعلقات </t>
    </r>
    <r>
      <rPr>
        <sz val="10"/>
        <rFont val="Vazirmatn"/>
        <family val="0"/>
        <charset val="1"/>
      </rPr>
      <t xml:space="preserve">)</t>
    </r>
  </si>
  <si>
    <t xml:space="preserve">35200148</t>
  </si>
  <si>
    <r>
      <rPr>
        <sz val="10"/>
        <rFont val="FreeSans"/>
        <family val="2"/>
      </rPr>
      <t xml:space="preserve">روتر میکروتیک  </t>
    </r>
    <r>
      <rPr>
        <sz val="10"/>
        <rFont val="Vazirmatn"/>
        <family val="0"/>
        <charset val="1"/>
      </rPr>
      <t xml:space="preserve">RB 2011 UiAS - IN - 2 HnD</t>
    </r>
  </si>
  <si>
    <t xml:space="preserve">35200149</t>
  </si>
  <si>
    <r>
      <rPr>
        <sz val="10"/>
        <rFont val="FreeSans"/>
        <family val="2"/>
      </rPr>
      <t xml:space="preserve">چرخ دوخت صنعتی پرتابل ژاپنی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سر کیسه دوز </t>
    </r>
    <r>
      <rPr>
        <sz val="10"/>
        <rFont val="Vazirmatn"/>
        <family val="0"/>
        <charset val="1"/>
      </rPr>
      <t xml:space="preserve">) NP-7A ) NLI )</t>
    </r>
  </si>
  <si>
    <t xml:space="preserve">35200150</t>
  </si>
  <si>
    <t xml:space="preserve">تک در برقی به همراه متعلقات</t>
  </si>
  <si>
    <t xml:space="preserve">35200151</t>
  </si>
  <si>
    <r>
      <rPr>
        <sz val="10"/>
        <rFont val="FreeSans"/>
        <family val="2"/>
      </rPr>
      <t xml:space="preserve">سیستم گرمایشی تابش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گرما تاب </t>
    </r>
    <r>
      <rPr>
        <sz val="10"/>
        <rFont val="Vazirmatn"/>
        <family val="0"/>
        <charset val="1"/>
      </rPr>
      <t xml:space="preserve">) 50UT</t>
    </r>
  </si>
  <si>
    <t xml:space="preserve">35200154</t>
  </si>
  <si>
    <r>
      <rPr>
        <sz val="10"/>
        <rFont val="FreeSans"/>
        <family val="2"/>
      </rPr>
      <t xml:space="preserve">کاور زن کفش مکانیکی مدل تی </t>
    </r>
    <r>
      <rPr>
        <sz val="10"/>
        <rFont val="Vazirmatn"/>
        <family val="0"/>
        <charset val="1"/>
      </rPr>
      <t xml:space="preserve">T</t>
    </r>
  </si>
  <si>
    <t xml:space="preserve">35200155</t>
  </si>
  <si>
    <r>
      <rPr>
        <sz val="10"/>
        <rFont val="FreeSans"/>
        <family val="2"/>
      </rPr>
      <t xml:space="preserve">رطوبت سنج عقربه ای </t>
    </r>
    <r>
      <rPr>
        <sz val="10"/>
        <rFont val="Vazirmatn"/>
        <family val="0"/>
        <charset val="1"/>
      </rPr>
      <t xml:space="preserve">44/1004 TFA )100%-0 )</t>
    </r>
  </si>
  <si>
    <t xml:space="preserve">35200157</t>
  </si>
  <si>
    <r>
      <rPr>
        <sz val="10"/>
        <rFont val="FreeSans"/>
        <family val="2"/>
      </rPr>
      <t xml:space="preserve">سیستم سردخانه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چیلر </t>
    </r>
    <r>
      <rPr>
        <sz val="10"/>
        <rFont val="Vazirmatn"/>
        <family val="0"/>
        <charset val="1"/>
      </rPr>
      <t xml:space="preserve">)</t>
    </r>
  </si>
  <si>
    <t xml:space="preserve">35200158</t>
  </si>
  <si>
    <t xml:space="preserve">دستگاه منفذیاب هالیدی</t>
  </si>
  <si>
    <t xml:space="preserve">35200159</t>
  </si>
  <si>
    <r>
      <rPr>
        <sz val="10"/>
        <rFont val="FreeSans"/>
        <family val="2"/>
      </rPr>
      <t xml:space="preserve">جک پالت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تنی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طول </t>
    </r>
    <r>
      <rPr>
        <sz val="10"/>
        <rFont val="Vazirmatn"/>
        <family val="0"/>
        <charset val="1"/>
      </rPr>
      <t xml:space="preserve">122Cm )</t>
    </r>
  </si>
  <si>
    <t xml:space="preserve">35200160</t>
  </si>
  <si>
    <r>
      <rPr>
        <sz val="10"/>
        <rFont val="FreeSans"/>
        <family val="2"/>
      </rPr>
      <t xml:space="preserve">آبگرمکن برقی بوتان </t>
    </r>
    <r>
      <rPr>
        <sz val="10"/>
        <rFont val="Vazirmatn"/>
        <family val="0"/>
        <charset val="1"/>
      </rPr>
      <t xml:space="preserve">( Noble 50E )</t>
    </r>
  </si>
  <si>
    <t xml:space="preserve">35200161</t>
  </si>
  <si>
    <r>
      <rPr>
        <sz val="10"/>
        <rFont val="FreeSans"/>
        <family val="2"/>
      </rPr>
      <t xml:space="preserve">پرینتر رنگی لیزری </t>
    </r>
    <r>
      <rPr>
        <sz val="10"/>
        <rFont val="Vazirmatn"/>
        <family val="0"/>
        <charset val="1"/>
      </rPr>
      <t xml:space="preserve">HP - Color - Lazer  150a</t>
    </r>
  </si>
  <si>
    <t xml:space="preserve">35200162</t>
  </si>
  <si>
    <r>
      <rPr>
        <sz val="10"/>
        <rFont val="FreeSans"/>
        <family val="2"/>
      </rPr>
      <t xml:space="preserve">آبگرمکن دیواری بوتان </t>
    </r>
    <r>
      <rPr>
        <sz val="10"/>
        <rFont val="Vazirmatn"/>
        <family val="0"/>
        <charset val="1"/>
      </rPr>
      <t xml:space="preserve">18 </t>
    </r>
    <r>
      <rPr>
        <sz val="10"/>
        <rFont val="FreeSans"/>
        <family val="2"/>
      </rPr>
      <t xml:space="preserve">لیتری</t>
    </r>
  </si>
  <si>
    <t xml:space="preserve">35200163</t>
  </si>
  <si>
    <r>
      <rPr>
        <sz val="10"/>
        <rFont val="FreeSans"/>
        <family val="2"/>
      </rPr>
      <t xml:space="preserve">هیتر برقی انرژی </t>
    </r>
    <r>
      <rPr>
        <sz val="10"/>
        <rFont val="Vazirmatn"/>
        <family val="0"/>
        <charset val="1"/>
      </rPr>
      <t xml:space="preserve">EH 0045</t>
    </r>
  </si>
  <si>
    <t xml:space="preserve">35200165</t>
  </si>
  <si>
    <r>
      <rPr>
        <sz val="10"/>
        <rFont val="FreeSans"/>
        <family val="2"/>
      </rPr>
      <t xml:space="preserve">هیتر برقی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فاز انرژی </t>
    </r>
    <r>
      <rPr>
        <sz val="10"/>
        <rFont val="Vazirmatn"/>
        <family val="0"/>
        <charset val="1"/>
      </rPr>
      <t xml:space="preserve">EH 150</t>
    </r>
  </si>
  <si>
    <t xml:space="preserve">35200166</t>
  </si>
  <si>
    <r>
      <rPr>
        <sz val="10"/>
        <rFont val="FreeSans"/>
        <family val="2"/>
      </rPr>
      <t xml:space="preserve">آبگرمکن دیواری برقی </t>
    </r>
    <r>
      <rPr>
        <sz val="10"/>
        <rFont val="Vazirmatn"/>
        <family val="0"/>
        <charset val="1"/>
      </rPr>
      <t xml:space="preserve">15 </t>
    </r>
    <r>
      <rPr>
        <sz val="10"/>
        <rFont val="FreeSans"/>
        <family val="2"/>
      </rPr>
      <t xml:space="preserve">لیتری</t>
    </r>
  </si>
  <si>
    <t xml:space="preserve">35200167</t>
  </si>
  <si>
    <r>
      <rPr>
        <sz val="10"/>
        <rFont val="FreeSans"/>
        <family val="2"/>
      </rPr>
      <t xml:space="preserve">آبگرمکن دیواری بوتان </t>
    </r>
    <r>
      <rPr>
        <sz val="10"/>
        <rFont val="Vazirmatn"/>
        <family val="0"/>
        <charset val="1"/>
      </rPr>
      <t xml:space="preserve">18 </t>
    </r>
    <r>
      <rPr>
        <sz val="10"/>
        <rFont val="FreeSans"/>
        <family val="2"/>
      </rPr>
      <t xml:space="preserve">لیتری </t>
    </r>
    <r>
      <rPr>
        <sz val="10"/>
        <rFont val="Vazirmatn"/>
        <family val="0"/>
        <charset val="1"/>
      </rPr>
      <t xml:space="preserve">( B 43118 )</t>
    </r>
  </si>
  <si>
    <t xml:space="preserve">35200168</t>
  </si>
  <si>
    <r>
      <rPr>
        <sz val="10"/>
        <rFont val="FreeSans"/>
        <family val="2"/>
      </rPr>
      <t xml:space="preserve">هیتر گازی فن آلمانی انرژی </t>
    </r>
    <r>
      <rPr>
        <sz val="10"/>
        <rFont val="Vazirmatn"/>
        <family val="0"/>
        <charset val="1"/>
      </rPr>
      <t xml:space="preserve">GH 0640</t>
    </r>
  </si>
  <si>
    <t xml:space="preserve">35200169</t>
  </si>
  <si>
    <r>
      <rPr>
        <sz val="10"/>
        <rFont val="FreeSans"/>
        <family val="2"/>
      </rPr>
      <t xml:space="preserve">بخاری برقی با المنت سرامیکی </t>
    </r>
    <r>
      <rPr>
        <sz val="10"/>
        <rFont val="Vazirmatn"/>
        <family val="0"/>
        <charset val="1"/>
      </rPr>
      <t xml:space="preserve">3000W</t>
    </r>
  </si>
  <si>
    <t xml:space="preserve">35200170</t>
  </si>
  <si>
    <r>
      <rPr>
        <sz val="10"/>
        <rFont val="FreeSans"/>
        <family val="2"/>
      </rPr>
      <t xml:space="preserve">بخاری برقی سفالی </t>
    </r>
    <r>
      <rPr>
        <sz val="10"/>
        <rFont val="Vazirmatn"/>
        <family val="0"/>
        <charset val="1"/>
      </rPr>
      <t xml:space="preserve">( 3 </t>
    </r>
    <r>
      <rPr>
        <sz val="10"/>
        <rFont val="FreeSans"/>
        <family val="2"/>
      </rPr>
      <t xml:space="preserve">شعله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بدنه فلزی </t>
    </r>
    <r>
      <rPr>
        <sz val="10"/>
        <rFont val="Vazirmatn"/>
        <family val="0"/>
        <charset val="1"/>
      </rPr>
      <t xml:space="preserve">)</t>
    </r>
  </si>
  <si>
    <t xml:space="preserve">35200172</t>
  </si>
  <si>
    <r>
      <rPr>
        <sz val="10"/>
        <rFont val="FreeSans"/>
        <family val="2"/>
      </rPr>
      <t xml:space="preserve">آسیاب صنعتی جنرال </t>
    </r>
    <r>
      <rPr>
        <sz val="10"/>
        <rFont val="Vazirmatn"/>
        <family val="0"/>
        <charset val="1"/>
      </rPr>
      <t xml:space="preserve">( 200 </t>
    </r>
    <r>
      <rPr>
        <sz val="10"/>
        <rFont val="FreeSans"/>
        <family val="2"/>
      </rPr>
      <t xml:space="preserve">گرمی </t>
    </r>
    <r>
      <rPr>
        <sz val="10"/>
        <rFont val="Vazirmatn"/>
        <family val="0"/>
        <charset val="1"/>
      </rPr>
      <t xml:space="preserve">)</t>
    </r>
  </si>
  <si>
    <t xml:space="preserve">35200173</t>
  </si>
  <si>
    <r>
      <rPr>
        <sz val="10"/>
        <rFont val="FreeSans"/>
        <family val="2"/>
      </rPr>
      <t xml:space="preserve">سماور گازی تمام استیل ترموکوبل دار </t>
    </r>
    <r>
      <rPr>
        <sz val="10"/>
        <rFont val="Vazirmatn"/>
        <family val="0"/>
        <charset val="1"/>
      </rPr>
      <t xml:space="preserve">60 </t>
    </r>
    <r>
      <rPr>
        <sz val="10"/>
        <rFont val="FreeSans"/>
        <family val="2"/>
      </rPr>
      <t xml:space="preserve">لیتری</t>
    </r>
  </si>
  <si>
    <t xml:space="preserve">35200174</t>
  </si>
  <si>
    <r>
      <rPr>
        <sz val="10"/>
        <rFont val="FreeSans"/>
        <family val="2"/>
      </rPr>
      <t xml:space="preserve">دستگاه جوش مینی </t>
    </r>
    <r>
      <rPr>
        <sz val="10"/>
        <rFont val="Vazirmatn"/>
        <family val="0"/>
        <charset val="1"/>
      </rPr>
      <t xml:space="preserve">200 </t>
    </r>
    <r>
      <rPr>
        <sz val="10"/>
        <rFont val="FreeSans"/>
        <family val="2"/>
      </rPr>
      <t xml:space="preserve">آمپر </t>
    </r>
    <r>
      <rPr>
        <sz val="10"/>
        <rFont val="Vazirmatn"/>
        <family val="0"/>
        <charset val="1"/>
      </rPr>
      <t xml:space="preserve">( WORX )</t>
    </r>
  </si>
  <si>
    <t xml:space="preserve">35200175</t>
  </si>
  <si>
    <r>
      <rPr>
        <sz val="10"/>
        <rFont val="FreeSans"/>
        <family val="2"/>
      </rPr>
      <t xml:space="preserve">پخش کننده صوتی </t>
    </r>
    <r>
      <rPr>
        <sz val="10"/>
        <rFont val="Vazirmatn"/>
        <family val="0"/>
        <charset val="1"/>
      </rPr>
      <t xml:space="preserve">AP 1200 D</t>
    </r>
  </si>
  <si>
    <t xml:space="preserve">35200178</t>
  </si>
  <si>
    <r>
      <rPr>
        <sz val="10"/>
        <rFont val="FreeSans"/>
        <family val="2"/>
      </rPr>
      <t xml:space="preserve">دستگاه جوش گام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جوشا </t>
    </r>
    <r>
      <rPr>
        <sz val="10"/>
        <rFont val="Vazirmatn"/>
        <family val="0"/>
        <charset val="1"/>
      </rPr>
      <t xml:space="preserve">) 250A</t>
    </r>
  </si>
  <si>
    <t xml:space="preserve">35200179</t>
  </si>
  <si>
    <r>
      <rPr>
        <sz val="10"/>
        <rFont val="FreeSans"/>
        <family val="2"/>
      </rPr>
      <t xml:space="preserve">دستگاه تست پمپ برقی با متعلقات کامل </t>
    </r>
    <r>
      <rPr>
        <sz val="10"/>
        <rFont val="Vazirmatn"/>
        <family val="0"/>
        <charset val="1"/>
      </rPr>
      <t xml:space="preserve">100bar</t>
    </r>
  </si>
  <si>
    <t xml:space="preserve">35200180</t>
  </si>
  <si>
    <r>
      <rPr>
        <sz val="10"/>
        <rFont val="FreeSans"/>
        <family val="2"/>
      </rPr>
      <t xml:space="preserve">باسکول ثابت پند </t>
    </r>
    <r>
      <rPr>
        <sz val="10"/>
        <rFont val="Vazirmatn"/>
        <family val="0"/>
        <charset val="1"/>
      </rPr>
      <t xml:space="preserve">PK 9000 ( </t>
    </r>
    <r>
      <rPr>
        <sz val="10"/>
        <rFont val="FreeSans"/>
        <family val="2"/>
      </rPr>
      <t xml:space="preserve">ظرفیت </t>
    </r>
    <r>
      <rPr>
        <sz val="10"/>
        <rFont val="Vazirmatn"/>
        <family val="0"/>
        <charset val="1"/>
      </rPr>
      <t xml:space="preserve">150Kg - </t>
    </r>
    <r>
      <rPr>
        <sz val="10"/>
        <rFont val="FreeSans"/>
        <family val="2"/>
      </rPr>
      <t xml:space="preserve">دقت </t>
    </r>
    <r>
      <rPr>
        <sz val="10"/>
        <rFont val="Vazirmatn"/>
        <family val="0"/>
        <charset val="1"/>
      </rPr>
      <t xml:space="preserve">20gr - </t>
    </r>
    <r>
      <rPr>
        <sz val="10"/>
        <rFont val="FreeSans"/>
        <family val="2"/>
      </rPr>
      <t xml:space="preserve">دارای کابل </t>
    </r>
    <r>
      <rPr>
        <sz val="10"/>
        <rFont val="Vazirmatn"/>
        <family val="0"/>
        <charset val="1"/>
      </rPr>
      <t xml:space="preserve">3m )</t>
    </r>
  </si>
  <si>
    <t xml:space="preserve">35200183</t>
  </si>
  <si>
    <t xml:space="preserve">مته تیزکن برقی</t>
  </si>
  <si>
    <t xml:space="preserve">35200185</t>
  </si>
  <si>
    <r>
      <rPr>
        <sz val="10"/>
        <rFont val="FreeSans"/>
        <family val="2"/>
      </rPr>
      <t xml:space="preserve">دستگاه اکو آمپلی فایر  </t>
    </r>
    <r>
      <rPr>
        <sz val="10"/>
        <rFont val="Vazirmatn"/>
        <family val="0"/>
        <charset val="1"/>
      </rPr>
      <t xml:space="preserve">NANO Electronic AP 200</t>
    </r>
  </si>
  <si>
    <t xml:space="preserve">35200186</t>
  </si>
  <si>
    <r>
      <rPr>
        <sz val="10"/>
        <rFont val="FreeSans"/>
        <family val="2"/>
      </rPr>
      <t xml:space="preserve">دستگاه پرکن پودری تک هاپر </t>
    </r>
    <r>
      <rPr>
        <sz val="10"/>
        <rFont val="Vazirmatn"/>
        <family val="0"/>
        <charset val="1"/>
      </rPr>
      <t xml:space="preserve">STRAVAL - </t>
    </r>
    <r>
      <rPr>
        <sz val="10"/>
        <rFont val="FreeSans"/>
        <family val="2"/>
      </rPr>
      <t xml:space="preserve">ظرفیت پر کنی </t>
    </r>
    <r>
      <rPr>
        <sz val="10"/>
        <rFont val="Vazirmatn"/>
        <family val="0"/>
        <charset val="1"/>
      </rPr>
      <t xml:space="preserve">: 30-15 </t>
    </r>
    <r>
      <rPr>
        <sz val="10"/>
        <rFont val="FreeSans"/>
        <family val="2"/>
      </rPr>
      <t xml:space="preserve">کیلوگرم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دقت پر کنی </t>
    </r>
    <r>
      <rPr>
        <sz val="10"/>
        <rFont val="Vazirmatn"/>
        <family val="0"/>
        <charset val="1"/>
      </rPr>
      <t xml:space="preserve">: 0/3% -+ </t>
    </r>
    <r>
      <rPr>
        <sz val="10"/>
        <rFont val="FreeSans"/>
        <family val="2"/>
      </rPr>
      <t xml:space="preserve">در هر کیسه 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سرعت پر کنی </t>
    </r>
    <r>
      <rPr>
        <sz val="10"/>
        <rFont val="Vazirmatn"/>
        <family val="0"/>
        <charset val="1"/>
      </rPr>
      <t xml:space="preserve">: 200 </t>
    </r>
    <r>
      <rPr>
        <sz val="10"/>
        <rFont val="FreeSans"/>
        <family val="2"/>
      </rPr>
      <t xml:space="preserve">کیسه در ساعت</t>
    </r>
  </si>
  <si>
    <t xml:space="preserve">35200187</t>
  </si>
  <si>
    <r>
      <rPr>
        <sz val="10"/>
        <rFont val="FreeSans"/>
        <family val="2"/>
      </rPr>
      <t xml:space="preserve">دستگاه دوخت اتوماتیک </t>
    </r>
    <r>
      <rPr>
        <sz val="10"/>
        <rFont val="Vazirmatn"/>
        <family val="0"/>
        <charset val="1"/>
      </rPr>
      <t xml:space="preserve">Qinggong - </t>
    </r>
    <r>
      <rPr>
        <sz val="10"/>
        <rFont val="FreeSans"/>
        <family val="2"/>
      </rPr>
      <t xml:space="preserve">همراه با کانوایر انتقال کیسه </t>
    </r>
    <r>
      <rPr>
        <sz val="10"/>
        <rFont val="Vazirmatn"/>
        <family val="0"/>
        <charset val="1"/>
      </rPr>
      <t xml:space="preserve">2/5 </t>
    </r>
    <r>
      <rPr>
        <sz val="10"/>
        <rFont val="FreeSans"/>
        <family val="2"/>
      </rPr>
      <t xml:space="preserve">متری</t>
    </r>
  </si>
  <si>
    <t xml:space="preserve">35200188</t>
  </si>
  <si>
    <r>
      <rPr>
        <sz val="10"/>
        <rFont val="FreeSans"/>
        <family val="2"/>
      </rPr>
      <t xml:space="preserve">دستگاه پرکن کیسه گرانولی تک توزین گراس ویت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ظرفیت بارگیری </t>
    </r>
    <r>
      <rPr>
        <sz val="10"/>
        <rFont val="Vazirmatn"/>
        <family val="0"/>
        <charset val="1"/>
      </rPr>
      <t xml:space="preserve">: 30-10 </t>
    </r>
    <r>
      <rPr>
        <sz val="10"/>
        <rFont val="FreeSans"/>
        <family val="2"/>
      </rPr>
      <t xml:space="preserve">کیلوگرم در هر کیسه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دقت </t>
    </r>
    <r>
      <rPr>
        <sz val="10"/>
        <rFont val="Vazirmatn"/>
        <family val="0"/>
        <charset val="1"/>
      </rPr>
      <t xml:space="preserve">: 100 -+ </t>
    </r>
    <r>
      <rPr>
        <sz val="10"/>
        <rFont val="FreeSans"/>
        <family val="2"/>
      </rPr>
      <t xml:space="preserve">گرم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سرعت پر کنی </t>
    </r>
    <r>
      <rPr>
        <sz val="10"/>
        <rFont val="Vazirmatn"/>
        <family val="0"/>
        <charset val="1"/>
      </rPr>
      <t xml:space="preserve">: 130-80 </t>
    </r>
    <r>
      <rPr>
        <sz val="10"/>
        <rFont val="FreeSans"/>
        <family val="2"/>
      </rPr>
      <t xml:space="preserve">کیسه در ساعت</t>
    </r>
  </si>
  <si>
    <t xml:space="preserve">35200189</t>
  </si>
  <si>
    <r>
      <rPr>
        <sz val="10"/>
        <rFont val="FreeSans"/>
        <family val="2"/>
      </rPr>
      <t xml:space="preserve">دستگاه پرکن کیسه تک هاپر گرانولی </t>
    </r>
    <r>
      <rPr>
        <sz val="10"/>
        <rFont val="Vazirmatn"/>
        <family val="0"/>
        <charset val="1"/>
      </rPr>
      <t xml:space="preserve">MH-100-GV - </t>
    </r>
    <r>
      <rPr>
        <sz val="10"/>
        <rFont val="FreeSans"/>
        <family val="2"/>
      </rPr>
      <t xml:space="preserve">ظرفیت بارگیری </t>
    </r>
    <r>
      <rPr>
        <sz val="10"/>
        <rFont val="Vazirmatn"/>
        <family val="0"/>
        <charset val="1"/>
      </rPr>
      <t xml:space="preserve">: 40-15 </t>
    </r>
    <r>
      <rPr>
        <sz val="10"/>
        <rFont val="FreeSans"/>
        <family val="2"/>
      </rPr>
      <t xml:space="preserve">کیلوگرم در هر کیسه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دقت </t>
    </r>
    <r>
      <rPr>
        <sz val="10"/>
        <rFont val="Vazirmatn"/>
        <family val="0"/>
        <charset val="1"/>
      </rPr>
      <t xml:space="preserve">: 50 -+ </t>
    </r>
    <r>
      <rPr>
        <sz val="10"/>
        <rFont val="FreeSans"/>
        <family val="2"/>
      </rPr>
      <t xml:space="preserve">گرم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سرعت پر کنی </t>
    </r>
    <r>
      <rPr>
        <sz val="10"/>
        <rFont val="Vazirmatn"/>
        <family val="0"/>
        <charset val="1"/>
      </rPr>
      <t xml:space="preserve">: 250-200 </t>
    </r>
    <r>
      <rPr>
        <sz val="10"/>
        <rFont val="FreeSans"/>
        <family val="2"/>
      </rPr>
      <t xml:space="preserve">کیسه در ساعت</t>
    </r>
  </si>
  <si>
    <t xml:space="preserve">35200190</t>
  </si>
  <si>
    <r>
      <rPr>
        <sz val="10"/>
        <rFont val="FreeSans"/>
        <family val="2"/>
      </rPr>
      <t xml:space="preserve">دستگاه پرکن کیسه تک توزین پودری </t>
    </r>
    <r>
      <rPr>
        <sz val="10"/>
        <rFont val="Vazirmatn"/>
        <family val="0"/>
        <charset val="1"/>
      </rPr>
      <t xml:space="preserve">LACTINO  - </t>
    </r>
    <r>
      <rPr>
        <sz val="10"/>
        <rFont val="FreeSans"/>
        <family val="2"/>
      </rPr>
      <t xml:space="preserve">ظرفیت پر کنی </t>
    </r>
    <r>
      <rPr>
        <sz val="10"/>
        <rFont val="Vazirmatn"/>
        <family val="0"/>
        <charset val="1"/>
      </rPr>
      <t xml:space="preserve">: 30-10 </t>
    </r>
    <r>
      <rPr>
        <sz val="10"/>
        <rFont val="FreeSans"/>
        <family val="2"/>
      </rPr>
      <t xml:space="preserve">کیلوگرم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دقت پر کنی </t>
    </r>
    <r>
      <rPr>
        <sz val="10"/>
        <rFont val="Vazirmatn"/>
        <family val="0"/>
        <charset val="1"/>
      </rPr>
      <t xml:space="preserve">: 0/2% -+ </t>
    </r>
    <r>
      <rPr>
        <sz val="10"/>
        <rFont val="FreeSans"/>
        <family val="2"/>
      </rPr>
      <t xml:space="preserve">در هر کیسه 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سرعت پر کنی </t>
    </r>
    <r>
      <rPr>
        <sz val="10"/>
        <rFont val="Vazirmatn"/>
        <family val="0"/>
        <charset val="1"/>
      </rPr>
      <t xml:space="preserve">: 100 </t>
    </r>
    <r>
      <rPr>
        <sz val="10"/>
        <rFont val="FreeSans"/>
        <family val="2"/>
      </rPr>
      <t xml:space="preserve">کیسه در ساعت</t>
    </r>
  </si>
  <si>
    <t xml:space="preserve">35200191</t>
  </si>
  <si>
    <r>
      <rPr>
        <sz val="10"/>
        <rFont val="FreeSans"/>
        <family val="2"/>
      </rPr>
      <t xml:space="preserve">مخزن پلی اتیلن عمودی غیر دفنی </t>
    </r>
    <r>
      <rPr>
        <sz val="10"/>
        <rFont val="Vazirmatn"/>
        <family val="0"/>
        <charset val="1"/>
      </rPr>
      <t xml:space="preserve">23 </t>
    </r>
    <r>
      <rPr>
        <sz val="10"/>
        <rFont val="FreeSans"/>
        <family val="2"/>
      </rPr>
      <t xml:space="preserve">متر مکعب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با دمای کاری محیط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قطر داخل مخزن </t>
    </r>
    <r>
      <rPr>
        <sz val="10"/>
        <rFont val="Vazirmatn"/>
        <family val="0"/>
        <charset val="1"/>
      </rPr>
      <t xml:space="preserve">2400mm - </t>
    </r>
    <r>
      <rPr>
        <sz val="10"/>
        <rFont val="FreeSans"/>
        <family val="2"/>
      </rPr>
      <t xml:space="preserve">ارتفاع </t>
    </r>
    <r>
      <rPr>
        <sz val="10"/>
        <rFont val="Vazirmatn"/>
        <family val="0"/>
        <charset val="1"/>
      </rPr>
      <t xml:space="preserve">5m - </t>
    </r>
    <r>
      <rPr>
        <sz val="10"/>
        <rFont val="FreeSans"/>
        <family val="2"/>
      </rPr>
      <t xml:space="preserve">دارای یک ورودی و یک خروجی </t>
    </r>
    <r>
      <rPr>
        <sz val="10"/>
        <rFont val="Vazirmatn"/>
        <family val="0"/>
        <charset val="1"/>
      </rPr>
      <t xml:space="preserve">110mm - </t>
    </r>
    <r>
      <rPr>
        <sz val="10"/>
        <rFont val="FreeSans"/>
        <family val="2"/>
      </rPr>
      <t xml:space="preserve">دو عدد کمربند پلی اتیلن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یک دریچه ویزیت فلنجی </t>
    </r>
    <r>
      <rPr>
        <sz val="10"/>
        <rFont val="Vazirmatn"/>
        <family val="0"/>
        <charset val="1"/>
      </rPr>
      <t xml:space="preserve">600mm</t>
    </r>
  </si>
  <si>
    <t xml:space="preserve">35200192</t>
  </si>
  <si>
    <r>
      <rPr>
        <sz val="10"/>
        <rFont val="FreeSans"/>
        <family val="2"/>
      </rPr>
      <t xml:space="preserve">پکیج بوتان  </t>
    </r>
    <r>
      <rPr>
        <sz val="10"/>
        <rFont val="Vazirmatn"/>
        <family val="0"/>
        <charset val="1"/>
      </rPr>
      <t xml:space="preserve">24000</t>
    </r>
  </si>
  <si>
    <t xml:space="preserve">35200194</t>
  </si>
  <si>
    <r>
      <rPr>
        <sz val="10"/>
        <rFont val="FreeSans"/>
        <family val="2"/>
      </rPr>
      <t xml:space="preserve">آبگرمکن ایستاده گازی </t>
    </r>
    <r>
      <rPr>
        <sz val="10"/>
        <rFont val="Vazirmatn"/>
        <family val="0"/>
        <charset val="1"/>
      </rPr>
      <t xml:space="preserve">200 </t>
    </r>
    <r>
      <rPr>
        <sz val="10"/>
        <rFont val="FreeSans"/>
        <family val="2"/>
      </rPr>
      <t xml:space="preserve">لیتری</t>
    </r>
  </si>
  <si>
    <t xml:space="preserve">35200205</t>
  </si>
  <si>
    <t xml:space="preserve">سیستم تهویه صنعتی در بخش نشاسته اکسید</t>
  </si>
  <si>
    <t xml:space="preserve">35200206</t>
  </si>
  <si>
    <t xml:space="preserve">سیستم تهویه صنعتی در بخش دکسترین</t>
  </si>
  <si>
    <t xml:space="preserve">35200207</t>
  </si>
  <si>
    <t xml:space="preserve">سیستم تهویه صنعتی در بخش بسته بندی نشاسته خوراکی</t>
  </si>
  <si>
    <t xml:space="preserve">35200208</t>
  </si>
  <si>
    <t xml:space="preserve">تهویه صنعتی در بخش انحلال خاک</t>
  </si>
  <si>
    <t xml:space="preserve">35200209</t>
  </si>
  <si>
    <r>
      <rPr>
        <sz val="10"/>
        <rFont val="FreeSans"/>
        <family val="2"/>
      </rPr>
      <t xml:space="preserve">سیستم تهویه صنعتی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304 ) </t>
    </r>
    <r>
      <rPr>
        <sz val="10"/>
        <rFont val="FreeSans"/>
        <family val="2"/>
      </rPr>
      <t xml:space="preserve">در بخش آب ژاول</t>
    </r>
  </si>
  <si>
    <t xml:space="preserve">35200210</t>
  </si>
  <si>
    <r>
      <rPr>
        <sz val="10"/>
        <rFont val="FreeSans"/>
        <family val="2"/>
      </rPr>
      <t xml:space="preserve">سیستم تهویه صنعتی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316 ) </t>
    </r>
    <r>
      <rPr>
        <sz val="10"/>
        <rFont val="FreeSans"/>
        <family val="2"/>
      </rPr>
      <t xml:space="preserve">در بخش استیپ</t>
    </r>
  </si>
  <si>
    <t xml:space="preserve">35200214</t>
  </si>
  <si>
    <r>
      <rPr>
        <sz val="10"/>
        <rFont val="FreeSans"/>
        <family val="2"/>
      </rPr>
      <t xml:space="preserve">دستگاه  </t>
    </r>
    <r>
      <rPr>
        <sz val="10"/>
        <rFont val="Vazirmatn"/>
        <family val="0"/>
        <charset val="1"/>
      </rPr>
      <t xml:space="preserve">PD EVO</t>
    </r>
  </si>
  <si>
    <t xml:space="preserve">35200215</t>
  </si>
  <si>
    <r>
      <rPr>
        <sz val="10"/>
        <rFont val="FreeSans"/>
        <family val="2"/>
      </rPr>
      <t xml:space="preserve">سیب زمینی خورد کن با پدال دستی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خلال درشت </t>
    </r>
    <r>
      <rPr>
        <sz val="10"/>
        <rFont val="Vazirmatn"/>
        <family val="0"/>
        <charset val="1"/>
      </rPr>
      <t xml:space="preserve">)</t>
    </r>
  </si>
  <si>
    <t xml:space="preserve">35210005</t>
  </si>
  <si>
    <r>
      <rPr>
        <sz val="10"/>
        <rFont val="FreeSans"/>
        <family val="2"/>
      </rPr>
      <t xml:space="preserve">چدن فر کباب پز </t>
    </r>
    <r>
      <rPr>
        <sz val="10"/>
        <rFont val="Vazirmatn"/>
        <family val="0"/>
        <charset val="1"/>
      </rPr>
      <t xml:space="preserve">50Cm</t>
    </r>
  </si>
  <si>
    <t xml:space="preserve">35210008</t>
  </si>
  <si>
    <t xml:space="preserve">کابینت زمینی</t>
  </si>
  <si>
    <t xml:space="preserve">35210020</t>
  </si>
  <si>
    <t xml:space="preserve">ریل جرثقیل</t>
  </si>
  <si>
    <t xml:space="preserve">35210025</t>
  </si>
  <si>
    <r>
      <rPr>
        <sz val="10"/>
        <rFont val="FreeSans"/>
        <family val="2"/>
      </rPr>
      <t xml:space="preserve">بدنه کابینت یونیک </t>
    </r>
    <r>
      <rPr>
        <sz val="10"/>
        <rFont val="Vazirmatn"/>
        <family val="0"/>
        <charset val="1"/>
      </rPr>
      <t xml:space="preserve">PVC </t>
    </r>
    <r>
      <rPr>
        <sz val="10"/>
        <rFont val="FreeSans"/>
        <family val="2"/>
      </rPr>
      <t xml:space="preserve">با درب های سفید </t>
    </r>
    <r>
      <rPr>
        <sz val="10"/>
        <rFont val="Vazirmatn"/>
        <family val="0"/>
        <charset val="1"/>
      </rPr>
      <t xml:space="preserve">MDF </t>
    </r>
    <r>
      <rPr>
        <sz val="10"/>
        <rFont val="FreeSans"/>
        <family val="2"/>
      </rPr>
      <t xml:space="preserve">بعلاوه صفحه کابینت و یراق آلات</t>
    </r>
  </si>
  <si>
    <t xml:space="preserve">35210027</t>
  </si>
  <si>
    <t xml:space="preserve">جای لباسی ایستاده</t>
  </si>
  <si>
    <t xml:space="preserve">35210029</t>
  </si>
  <si>
    <t xml:space="preserve">بخاری  برقی</t>
  </si>
  <si>
    <t xml:space="preserve">35210031</t>
  </si>
  <si>
    <t xml:space="preserve">سنگ تراورتن</t>
  </si>
  <si>
    <t xml:space="preserve">35210051</t>
  </si>
  <si>
    <t xml:space="preserve">پیک نیکی گاز کوچک</t>
  </si>
  <si>
    <t xml:space="preserve">35210055</t>
  </si>
  <si>
    <r>
      <rPr>
        <sz val="10"/>
        <rFont val="FreeSans"/>
        <family val="2"/>
      </rPr>
      <t xml:space="preserve">لینیر گاید وی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بال اسکرو </t>
    </r>
    <r>
      <rPr>
        <sz val="10"/>
        <rFont val="Vazirmatn"/>
        <family val="0"/>
        <charset val="1"/>
      </rPr>
      <t xml:space="preserve">) 35-5   ABBA</t>
    </r>
  </si>
  <si>
    <t xml:space="preserve">35210063</t>
  </si>
  <si>
    <r>
      <rPr>
        <sz val="10"/>
        <rFont val="FreeSans"/>
        <family val="2"/>
      </rPr>
      <t xml:space="preserve">یخچال فریزر ایرانی 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فوت</t>
    </r>
  </si>
  <si>
    <t xml:space="preserve">35210064</t>
  </si>
  <si>
    <r>
      <rPr>
        <sz val="10"/>
        <rFont val="FreeSans"/>
        <family val="2"/>
      </rPr>
      <t xml:space="preserve">لیفتراک سپاهان </t>
    </r>
    <r>
      <rPr>
        <sz val="10"/>
        <rFont val="Vazirmatn"/>
        <family val="0"/>
        <charset val="1"/>
      </rPr>
      <t xml:space="preserve">CS30L/G</t>
    </r>
  </si>
  <si>
    <t xml:space="preserve">35210065</t>
  </si>
  <si>
    <r>
      <rPr>
        <sz val="10"/>
        <rFont val="FreeSans"/>
        <family val="2"/>
      </rPr>
      <t xml:space="preserve">مخلوط کن پاناسونیک </t>
    </r>
    <r>
      <rPr>
        <sz val="10"/>
        <rFont val="Vazirmatn"/>
        <family val="0"/>
        <charset val="1"/>
      </rPr>
      <t xml:space="preserve">MX-EX 1521</t>
    </r>
  </si>
  <si>
    <t xml:space="preserve">35210066</t>
  </si>
  <si>
    <r>
      <rPr>
        <sz val="10"/>
        <rFont val="FreeSans"/>
        <family val="2"/>
      </rPr>
      <t xml:space="preserve">واگن لینیر گاید وی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بال اسکرو </t>
    </r>
    <r>
      <rPr>
        <sz val="10"/>
        <rFont val="Vazirmatn"/>
        <family val="0"/>
        <charset val="1"/>
      </rPr>
      <t xml:space="preserve">) 35-5   ABBA</t>
    </r>
  </si>
  <si>
    <t xml:space="preserve">35210067</t>
  </si>
  <si>
    <t xml:space="preserve">بخاری گازی بدون دودکش</t>
  </si>
  <si>
    <t xml:space="preserve">35210068</t>
  </si>
  <si>
    <r>
      <rPr>
        <sz val="10"/>
        <rFont val="FreeSans"/>
        <family val="2"/>
      </rPr>
      <t xml:space="preserve">فر کباب پز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شعله</t>
    </r>
  </si>
  <si>
    <t xml:space="preserve">35210077</t>
  </si>
  <si>
    <r>
      <rPr>
        <sz val="10"/>
        <rFont val="FreeSans"/>
        <family val="2"/>
      </rPr>
      <t xml:space="preserve">ترازوی آشپزخانه ای  </t>
    </r>
    <r>
      <rPr>
        <sz val="10"/>
        <rFont val="Vazirmatn"/>
        <family val="0"/>
        <charset val="1"/>
      </rPr>
      <t xml:space="preserve">40kg</t>
    </r>
  </si>
  <si>
    <t xml:space="preserve">35210078</t>
  </si>
  <si>
    <r>
      <rPr>
        <sz val="10"/>
        <rFont val="FreeSans"/>
        <family val="2"/>
      </rPr>
      <t xml:space="preserve">بخاری انرژی فن دار  </t>
    </r>
    <r>
      <rPr>
        <sz val="10"/>
        <rFont val="Vazirmatn"/>
        <family val="0"/>
        <charset val="1"/>
      </rPr>
      <t xml:space="preserve">GH 0625</t>
    </r>
  </si>
  <si>
    <t xml:space="preserve">35210080</t>
  </si>
  <si>
    <r>
      <rPr>
        <sz val="10"/>
        <rFont val="FreeSans"/>
        <family val="2"/>
      </rPr>
      <t xml:space="preserve">کولر گازی ایستاده </t>
    </r>
    <r>
      <rPr>
        <sz val="10"/>
        <rFont val="Vazirmatn"/>
        <family val="0"/>
        <charset val="1"/>
      </rPr>
      <t xml:space="preserve">50000</t>
    </r>
  </si>
  <si>
    <t xml:space="preserve">35210081</t>
  </si>
  <si>
    <r>
      <rPr>
        <sz val="10"/>
        <rFont val="FreeSans"/>
        <family val="2"/>
      </rPr>
      <t xml:space="preserve">ماکرو ویو پاناسونیک </t>
    </r>
    <r>
      <rPr>
        <sz val="10"/>
        <rFont val="Vazirmatn"/>
        <family val="0"/>
        <charset val="1"/>
      </rPr>
      <t xml:space="preserve">NN - ST 34</t>
    </r>
  </si>
  <si>
    <t xml:space="preserve">35210082</t>
  </si>
  <si>
    <r>
      <rPr>
        <sz val="10"/>
        <rFont val="FreeSans"/>
        <family val="2"/>
      </rPr>
      <t xml:space="preserve">کولر گازی هایسنس گرم و سرد  </t>
    </r>
    <r>
      <rPr>
        <sz val="10"/>
        <rFont val="Vazirmatn"/>
        <family val="0"/>
        <charset val="1"/>
      </rPr>
      <t xml:space="preserve">HRH - 12TQ 12000 BTU</t>
    </r>
  </si>
  <si>
    <t xml:space="preserve">35210084</t>
  </si>
  <si>
    <r>
      <rPr>
        <sz val="10"/>
        <rFont val="FreeSans"/>
        <family val="2"/>
      </rPr>
      <t xml:space="preserve">کولر گازی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اسپیلت </t>
    </r>
    <r>
      <rPr>
        <sz val="10"/>
        <rFont val="Vazirmatn"/>
        <family val="0"/>
        <charset val="1"/>
      </rPr>
      <t xml:space="preserve">) 18000 Hisense</t>
    </r>
  </si>
  <si>
    <t xml:space="preserve">35210085</t>
  </si>
  <si>
    <r>
      <rPr>
        <sz val="10"/>
        <rFont val="FreeSans"/>
        <family val="2"/>
      </rPr>
      <t xml:space="preserve">کولر گازی </t>
    </r>
    <r>
      <rPr>
        <sz val="10"/>
        <rFont val="Vazirmatn"/>
        <family val="0"/>
        <charset val="1"/>
      </rPr>
      <t xml:space="preserve">12000 </t>
    </r>
    <r>
      <rPr>
        <sz val="10"/>
        <rFont val="FreeSans"/>
        <family val="2"/>
      </rPr>
      <t xml:space="preserve">بدون درایو هایسنس</t>
    </r>
  </si>
  <si>
    <t xml:space="preserve">35210086</t>
  </si>
  <si>
    <r>
      <rPr>
        <sz val="10"/>
        <rFont val="FreeSans"/>
        <family val="2"/>
      </rPr>
      <t xml:space="preserve">یخچال </t>
    </r>
    <r>
      <rPr>
        <sz val="10"/>
        <rFont val="Vazirmatn"/>
        <family val="0"/>
        <charset val="1"/>
      </rPr>
      <t xml:space="preserve">11 </t>
    </r>
    <r>
      <rPr>
        <sz val="10"/>
        <rFont val="FreeSans"/>
        <family val="2"/>
      </rPr>
      <t xml:space="preserve">فوت الکترو استیل مدل </t>
    </r>
    <r>
      <rPr>
        <sz val="10"/>
        <rFont val="Vazirmatn"/>
        <family val="0"/>
        <charset val="1"/>
      </rPr>
      <t xml:space="preserve">EF11 </t>
    </r>
    <r>
      <rPr>
        <sz val="10"/>
        <rFont val="FreeSans"/>
        <family val="2"/>
      </rPr>
      <t xml:space="preserve">سری </t>
    </r>
    <r>
      <rPr>
        <sz val="10"/>
        <rFont val="Vazirmatn"/>
        <family val="0"/>
        <charset val="1"/>
      </rPr>
      <t xml:space="preserve">Smile</t>
    </r>
  </si>
  <si>
    <t xml:space="preserve">35210088</t>
  </si>
  <si>
    <r>
      <rPr>
        <sz val="10"/>
        <rFont val="FreeSans"/>
        <family val="2"/>
      </rPr>
      <t xml:space="preserve">کولر آبی پرتابل </t>
    </r>
    <r>
      <rPr>
        <sz val="10"/>
        <rFont val="Vazirmatn"/>
        <family val="0"/>
        <charset val="1"/>
      </rPr>
      <t xml:space="preserve">Bf5-Ot</t>
    </r>
  </si>
  <si>
    <t xml:space="preserve">35210089</t>
  </si>
  <si>
    <r>
      <rPr>
        <sz val="10"/>
        <rFont val="FreeSans"/>
        <family val="2"/>
      </rPr>
      <t xml:space="preserve">کولر آبی سلولزی پلیمری روبروزن نیرو تهویه البرز </t>
    </r>
    <r>
      <rPr>
        <sz val="10"/>
        <rFont val="Vazirmatn"/>
        <family val="0"/>
        <charset val="1"/>
      </rPr>
      <t xml:space="preserve">15000</t>
    </r>
  </si>
  <si>
    <t xml:space="preserve">35210090</t>
  </si>
  <si>
    <r>
      <rPr>
        <sz val="10"/>
        <rFont val="FreeSans"/>
        <family val="2"/>
      </rPr>
      <t xml:space="preserve">کولر گازی اینورتردار هایسنس سرد و گرم  </t>
    </r>
    <r>
      <rPr>
        <sz val="10"/>
        <rFont val="Vazirmatn"/>
        <family val="0"/>
        <charset val="1"/>
      </rPr>
      <t xml:space="preserve">24000BTU</t>
    </r>
  </si>
  <si>
    <t xml:space="preserve">35210091</t>
  </si>
  <si>
    <r>
      <rPr>
        <sz val="10"/>
        <rFont val="FreeSans"/>
        <family val="2"/>
      </rPr>
      <t xml:space="preserve">کولر گازی اینورتردار هایسنس سرد و گرم  </t>
    </r>
    <r>
      <rPr>
        <sz val="10"/>
        <rFont val="Vazirmatn"/>
        <family val="0"/>
        <charset val="1"/>
      </rPr>
      <t xml:space="preserve">18000BTU</t>
    </r>
  </si>
  <si>
    <t xml:space="preserve">35210093</t>
  </si>
  <si>
    <r>
      <rPr>
        <sz val="10"/>
        <rFont val="FreeSans"/>
        <family val="2"/>
      </rPr>
      <t xml:space="preserve">کولر گازی داگ اسپلیت </t>
    </r>
    <r>
      <rPr>
        <sz val="10"/>
        <rFont val="Vazirmatn"/>
        <family val="0"/>
        <charset val="1"/>
      </rPr>
      <t xml:space="preserve">Hisens  36000 Btu</t>
    </r>
  </si>
  <si>
    <t xml:space="preserve">35210094</t>
  </si>
  <si>
    <r>
      <rPr>
        <sz val="10"/>
        <rFont val="FreeSans"/>
        <family val="2"/>
      </rPr>
      <t xml:space="preserve">کولر گازی اینورتردار هایسنس  </t>
    </r>
    <r>
      <rPr>
        <sz val="10"/>
        <rFont val="Vazirmatn"/>
        <family val="0"/>
        <charset val="1"/>
      </rPr>
      <t xml:space="preserve">30000BTU</t>
    </r>
  </si>
  <si>
    <t xml:space="preserve">35210095</t>
  </si>
  <si>
    <r>
      <rPr>
        <sz val="10"/>
        <rFont val="FreeSans"/>
        <family val="2"/>
      </rPr>
      <t xml:space="preserve">کولر گازی هایسنس سرد و گرم </t>
    </r>
    <r>
      <rPr>
        <sz val="10"/>
        <rFont val="Vazirmatn"/>
        <family val="0"/>
        <charset val="1"/>
      </rPr>
      <t xml:space="preserve">(  HIH 09 TG  ) 9000BTU</t>
    </r>
  </si>
  <si>
    <t xml:space="preserve">35210096</t>
  </si>
  <si>
    <r>
      <rPr>
        <sz val="10"/>
        <rFont val="FreeSans"/>
        <family val="2"/>
      </rPr>
      <t xml:space="preserve">یخچال فریزر </t>
    </r>
    <r>
      <rPr>
        <sz val="10"/>
        <rFont val="Vazirmatn"/>
        <family val="0"/>
        <charset val="1"/>
      </rPr>
      <t xml:space="preserve">17 </t>
    </r>
    <r>
      <rPr>
        <sz val="10"/>
        <rFont val="FreeSans"/>
        <family val="2"/>
      </rPr>
      <t xml:space="preserve">فوت </t>
    </r>
    <r>
      <rPr>
        <sz val="10"/>
        <rFont val="Vazirmatn"/>
        <family val="0"/>
        <charset val="1"/>
      </rPr>
      <t xml:space="preserve">( TFH 17T )</t>
    </r>
  </si>
  <si>
    <t xml:space="preserve">35210101</t>
  </si>
  <si>
    <r>
      <rPr>
        <sz val="10"/>
        <rFont val="FreeSans"/>
        <family val="2"/>
      </rPr>
      <t xml:space="preserve">رک دیواری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یونیت</t>
    </r>
  </si>
  <si>
    <t xml:space="preserve">35210102</t>
  </si>
  <si>
    <r>
      <rPr>
        <sz val="10"/>
        <rFont val="FreeSans"/>
        <family val="2"/>
      </rPr>
      <t xml:space="preserve">منبع تغذیه کامپیوتر </t>
    </r>
    <r>
      <rPr>
        <sz val="10"/>
        <rFont val="Vazirmatn"/>
        <family val="0"/>
        <charset val="1"/>
      </rPr>
      <t xml:space="preserve">Green 300V</t>
    </r>
  </si>
  <si>
    <t xml:space="preserve">35210104</t>
  </si>
  <si>
    <r>
      <rPr>
        <sz val="10"/>
        <rFont val="FreeSans"/>
        <family val="2"/>
      </rPr>
      <t xml:space="preserve">مانیتور </t>
    </r>
    <r>
      <rPr>
        <sz val="10"/>
        <rFont val="Vazirmatn"/>
        <family val="0"/>
        <charset val="1"/>
      </rPr>
      <t xml:space="preserve">19 </t>
    </r>
    <r>
      <rPr>
        <sz val="10"/>
        <rFont val="FreeSans"/>
        <family val="2"/>
      </rPr>
      <t xml:space="preserve">اینچ</t>
    </r>
  </si>
  <si>
    <t xml:space="preserve">35210106</t>
  </si>
  <si>
    <r>
      <rPr>
        <sz val="10"/>
        <rFont val="FreeSans"/>
        <family val="2"/>
      </rPr>
      <t xml:space="preserve">رک دیواری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یونیت با سینی عمق </t>
    </r>
    <r>
      <rPr>
        <sz val="10"/>
        <rFont val="Vazirmatn"/>
        <family val="0"/>
        <charset val="1"/>
      </rPr>
      <t xml:space="preserve">60cm</t>
    </r>
  </si>
  <si>
    <t xml:space="preserve">35210107</t>
  </si>
  <si>
    <r>
      <rPr>
        <sz val="10"/>
        <rFont val="FreeSans"/>
        <family val="2"/>
      </rPr>
      <t xml:space="preserve">نمایشگر باسکول </t>
    </r>
    <r>
      <rPr>
        <sz val="10"/>
        <rFont val="Vazirmatn"/>
        <family val="0"/>
        <charset val="1"/>
      </rPr>
      <t xml:space="preserve">300kg </t>
    </r>
    <r>
      <rPr>
        <sz val="10"/>
        <rFont val="FreeSans"/>
        <family val="2"/>
      </rPr>
      <t xml:space="preserve">دقت </t>
    </r>
    <r>
      <rPr>
        <sz val="10"/>
        <rFont val="Vazirmatn"/>
        <family val="0"/>
        <charset val="1"/>
      </rPr>
      <t xml:space="preserve">TCS g50</t>
    </r>
  </si>
  <si>
    <t xml:space="preserve">35210108</t>
  </si>
  <si>
    <r>
      <rPr>
        <sz val="10"/>
        <rFont val="FreeSans"/>
        <family val="2"/>
      </rPr>
      <t xml:space="preserve">ماژول ترایاک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کاناله میکرو کنترلر</t>
    </r>
  </si>
  <si>
    <t xml:space="preserve">35210109</t>
  </si>
  <si>
    <r>
      <rPr>
        <sz val="10"/>
        <rFont val="FreeSans"/>
        <family val="2"/>
      </rPr>
      <t xml:space="preserve">ال سی دی </t>
    </r>
    <r>
      <rPr>
        <sz val="10"/>
        <rFont val="Vazirmatn"/>
        <family val="0"/>
        <charset val="1"/>
      </rPr>
      <t xml:space="preserve">LCD OLED  128*64 </t>
    </r>
    <r>
      <rPr>
        <sz val="10"/>
        <rFont val="FreeSans"/>
        <family val="2"/>
      </rPr>
      <t xml:space="preserve">ارتباط  </t>
    </r>
    <r>
      <rPr>
        <sz val="10"/>
        <rFont val="Vazirmatn"/>
        <family val="0"/>
        <charset val="1"/>
      </rPr>
      <t xml:space="preserve">I2C</t>
    </r>
  </si>
  <si>
    <t xml:space="preserve">35210110</t>
  </si>
  <si>
    <r>
      <rPr>
        <sz val="10"/>
        <rFont val="FreeSans"/>
        <family val="2"/>
      </rPr>
      <t xml:space="preserve">مانیتور </t>
    </r>
    <r>
      <rPr>
        <sz val="10"/>
        <rFont val="Vazirmatn"/>
        <family val="0"/>
        <charset val="1"/>
      </rPr>
      <t xml:space="preserve">27 </t>
    </r>
    <r>
      <rPr>
        <sz val="10"/>
        <rFont val="FreeSans"/>
        <family val="2"/>
      </rPr>
      <t xml:space="preserve">اینچ</t>
    </r>
  </si>
  <si>
    <t xml:space="preserve">35210112</t>
  </si>
  <si>
    <r>
      <rPr>
        <sz val="10"/>
        <rFont val="FreeSans"/>
        <family val="2"/>
      </rPr>
      <t xml:space="preserve">مانیتور جی پلاس </t>
    </r>
    <r>
      <rPr>
        <sz val="10"/>
        <rFont val="Vazirmatn"/>
        <family val="0"/>
        <charset val="1"/>
      </rPr>
      <t xml:space="preserve">" GDM-245LN )  24 )</t>
    </r>
  </si>
  <si>
    <t xml:space="preserve">35210117</t>
  </si>
  <si>
    <r>
      <rPr>
        <sz val="10"/>
        <rFont val="FreeSans"/>
        <family val="2"/>
      </rPr>
      <t xml:space="preserve">گاز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شعله رومیزی</t>
    </r>
  </si>
  <si>
    <t xml:space="preserve">35210118</t>
  </si>
  <si>
    <r>
      <rPr>
        <sz val="10"/>
        <rFont val="FreeSans"/>
        <family val="2"/>
      </rPr>
      <t xml:space="preserve">لودر سپاهان  </t>
    </r>
    <r>
      <rPr>
        <sz val="10"/>
        <rFont val="Vazirmatn"/>
        <family val="0"/>
        <charset val="1"/>
      </rPr>
      <t xml:space="preserve">SR 936 - H</t>
    </r>
  </si>
  <si>
    <t xml:space="preserve">35211000</t>
  </si>
  <si>
    <t xml:space="preserve">براکت گالوانیزه کناف</t>
  </si>
  <si>
    <t xml:space="preserve">35212004</t>
  </si>
  <si>
    <t xml:space="preserve">های پرشر ولو پرشر</t>
  </si>
  <si>
    <t xml:space="preserve">35212008</t>
  </si>
  <si>
    <r>
      <rPr>
        <sz val="10"/>
        <rFont val="FreeSans"/>
        <family val="2"/>
      </rPr>
      <t xml:space="preserve">کلید استوپ اتونیکس  </t>
    </r>
    <r>
      <rPr>
        <sz val="10"/>
        <rFont val="Vazirmatn"/>
        <family val="0"/>
        <charset val="1"/>
      </rPr>
      <t xml:space="preserve">S2PR-P3RBL</t>
    </r>
  </si>
  <si>
    <t xml:space="preserve">35212009</t>
  </si>
  <si>
    <r>
      <rPr>
        <sz val="10"/>
        <rFont val="FreeSans"/>
        <family val="2"/>
      </rPr>
      <t xml:space="preserve">کلید استارت اتونیکس  </t>
    </r>
    <r>
      <rPr>
        <sz val="10"/>
        <rFont val="Vazirmatn"/>
        <family val="0"/>
        <charset val="1"/>
      </rPr>
      <t xml:space="preserve">S2PR-P3GAL</t>
    </r>
  </si>
  <si>
    <t xml:space="preserve">35212010</t>
  </si>
  <si>
    <r>
      <rPr>
        <sz val="10"/>
        <rFont val="FreeSans"/>
        <family val="2"/>
      </rPr>
      <t xml:space="preserve">کلید سلکتوری اتونیکس  </t>
    </r>
    <r>
      <rPr>
        <sz val="10"/>
        <rFont val="Vazirmatn"/>
        <family val="0"/>
        <charset val="1"/>
      </rPr>
      <t xml:space="preserve">S2SR-S7W2A</t>
    </r>
  </si>
  <si>
    <t xml:space="preserve">35212011</t>
  </si>
  <si>
    <r>
      <rPr>
        <sz val="10"/>
        <rFont val="FreeSans"/>
        <family val="2"/>
      </rPr>
      <t xml:space="preserve">فلاشر راه بند </t>
    </r>
    <r>
      <rPr>
        <sz val="10"/>
        <rFont val="Vazirmatn"/>
        <family val="0"/>
        <charset val="1"/>
      </rPr>
      <t xml:space="preserve">FAAC</t>
    </r>
  </si>
  <si>
    <t xml:space="preserve">35212013</t>
  </si>
  <si>
    <r>
      <rPr>
        <sz val="10"/>
        <rFont val="FreeSans"/>
        <family val="2"/>
      </rPr>
      <t xml:space="preserve">زنگ اخبار بی سیم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احضار منشی </t>
    </r>
    <r>
      <rPr>
        <sz val="10"/>
        <rFont val="Vazirmatn"/>
        <family val="0"/>
        <charset val="1"/>
      </rPr>
      <t xml:space="preserve">)</t>
    </r>
  </si>
  <si>
    <t xml:space="preserve">35212014</t>
  </si>
  <si>
    <r>
      <rPr>
        <sz val="10"/>
        <rFont val="FreeSans"/>
        <family val="2"/>
      </rPr>
      <t xml:space="preserve">کنترل روغن دانفوس  </t>
    </r>
    <r>
      <rPr>
        <sz val="10"/>
        <rFont val="Vazirmatn"/>
        <family val="0"/>
        <charset val="1"/>
      </rPr>
      <t xml:space="preserve">MP - 55</t>
    </r>
  </si>
  <si>
    <t xml:space="preserve">35212015</t>
  </si>
  <si>
    <r>
      <rPr>
        <sz val="10"/>
        <rFont val="FreeSans"/>
        <family val="2"/>
      </rPr>
      <t xml:space="preserve">های اندلو بدون ریست دانفوس </t>
    </r>
    <r>
      <rPr>
        <sz val="10"/>
        <rFont val="Vazirmatn"/>
        <family val="0"/>
        <charset val="1"/>
      </rPr>
      <t xml:space="preserve">KP15</t>
    </r>
  </si>
  <si>
    <t xml:space="preserve">35212016</t>
  </si>
  <si>
    <r>
      <rPr>
        <sz val="10"/>
        <rFont val="FreeSans"/>
        <family val="2"/>
      </rPr>
      <t xml:space="preserve">های بدون ریست دانفوس </t>
    </r>
    <r>
      <rPr>
        <sz val="10"/>
        <rFont val="Vazirmatn"/>
        <family val="0"/>
        <charset val="1"/>
      </rPr>
      <t xml:space="preserve">KP5</t>
    </r>
  </si>
  <si>
    <t xml:space="preserve">35212019</t>
  </si>
  <si>
    <r>
      <rPr>
        <sz val="10"/>
        <rFont val="FreeSans"/>
        <family val="2"/>
      </rPr>
      <t xml:space="preserve">میکروسوئیچ ترمز دستی لیفتراک  </t>
    </r>
    <r>
      <rPr>
        <sz val="10"/>
        <rFont val="Vazirmatn"/>
        <family val="0"/>
        <charset val="1"/>
      </rPr>
      <t xml:space="preserve">9432354</t>
    </r>
  </si>
  <si>
    <t xml:space="preserve">35212020</t>
  </si>
  <si>
    <t xml:space="preserve">Low Pressure</t>
  </si>
  <si>
    <t xml:space="preserve">35212021</t>
  </si>
  <si>
    <t xml:space="preserve">زنگ بی سیم منشی</t>
  </si>
  <si>
    <t xml:space="preserve">35212022</t>
  </si>
  <si>
    <t xml:space="preserve">زنگ هشدار منشی</t>
  </si>
  <si>
    <t xml:space="preserve">35213000</t>
  </si>
  <si>
    <r>
      <rPr>
        <sz val="10"/>
        <rFont val="FreeSans"/>
        <family val="2"/>
      </rPr>
      <t xml:space="preserve">ترمینال پیچی روی بردی  </t>
    </r>
    <r>
      <rPr>
        <sz val="10"/>
        <rFont val="Vazirmatn"/>
        <family val="0"/>
        <charset val="1"/>
      </rPr>
      <t xml:space="preserve">KF128-5.0-2PIN</t>
    </r>
  </si>
  <si>
    <t xml:space="preserve">35213001</t>
  </si>
  <si>
    <r>
      <rPr>
        <sz val="10"/>
        <rFont val="FreeSans"/>
        <family val="2"/>
      </rPr>
      <t xml:space="preserve">سوکت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پین نری</t>
    </r>
  </si>
  <si>
    <t xml:space="preserve">35213002</t>
  </si>
  <si>
    <r>
      <rPr>
        <sz val="10"/>
        <rFont val="FreeSans"/>
        <family val="2"/>
      </rPr>
      <t xml:space="preserve">سوکت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پین مادگی</t>
    </r>
  </si>
  <si>
    <t xml:space="preserve">35213003</t>
  </si>
  <si>
    <r>
      <rPr>
        <sz val="10"/>
        <rFont val="FreeSans"/>
        <family val="2"/>
      </rPr>
      <t xml:space="preserve">سوکت گوشی تلفن  </t>
    </r>
    <r>
      <rPr>
        <sz val="10"/>
        <rFont val="Vazirmatn"/>
        <family val="0"/>
        <charset val="1"/>
      </rPr>
      <t xml:space="preserve">RJ 9</t>
    </r>
  </si>
  <si>
    <t xml:space="preserve">35213004</t>
  </si>
  <si>
    <t xml:space="preserve">باکس روکار تک خانه شبکه لگراند</t>
  </si>
  <si>
    <t xml:space="preserve">35213005</t>
  </si>
  <si>
    <r>
      <rPr>
        <sz val="10"/>
        <rFont val="FreeSans"/>
        <family val="2"/>
      </rPr>
      <t xml:space="preserve">تابلو  </t>
    </r>
    <r>
      <rPr>
        <sz val="10"/>
        <rFont val="Vazirmatn"/>
        <family val="0"/>
        <charset val="1"/>
      </rPr>
      <t xml:space="preserve">BOX </t>
    </r>
    <r>
      <rPr>
        <sz val="10"/>
        <rFont val="FreeSans"/>
        <family val="2"/>
      </rPr>
      <t xml:space="preserve">ریتال </t>
    </r>
    <r>
      <rPr>
        <sz val="10"/>
        <rFont val="Vazirmatn"/>
        <family val="0"/>
        <charset val="1"/>
      </rPr>
      <t xml:space="preserve">Tek Pan 20*40*30</t>
    </r>
  </si>
  <si>
    <t xml:space="preserve">35213006</t>
  </si>
  <si>
    <r>
      <rPr>
        <sz val="10"/>
        <rFont val="FreeSans"/>
        <family val="2"/>
      </rPr>
      <t xml:space="preserve">ترانس جرقه  </t>
    </r>
    <r>
      <rPr>
        <sz val="10"/>
        <rFont val="Vazirmatn"/>
        <family val="0"/>
        <charset val="1"/>
      </rPr>
      <t xml:space="preserve">220V 1/5A 2/5KV 20mA</t>
    </r>
  </si>
  <si>
    <t xml:space="preserve">35213007</t>
  </si>
  <si>
    <r>
      <rPr>
        <sz val="10"/>
        <rFont val="FreeSans"/>
        <family val="2"/>
      </rPr>
      <t xml:space="preserve">تریستور  </t>
    </r>
    <r>
      <rPr>
        <sz val="10"/>
        <rFont val="Vazirmatn"/>
        <family val="0"/>
        <charset val="1"/>
      </rPr>
      <t xml:space="preserve">SKKT 172 / 16E</t>
    </r>
  </si>
  <si>
    <t xml:space="preserve">35213008</t>
  </si>
  <si>
    <r>
      <rPr>
        <sz val="10"/>
        <rFont val="FreeSans"/>
        <family val="2"/>
      </rPr>
      <t xml:space="preserve">شستی دوبل استپ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استارت چراغدار </t>
    </r>
    <r>
      <rPr>
        <sz val="10"/>
        <rFont val="Vazirmatn"/>
        <family val="0"/>
        <charset val="1"/>
      </rPr>
      <t xml:space="preserve">S2TR-P3WABL Autonics</t>
    </r>
  </si>
  <si>
    <t xml:space="preserve">35213009</t>
  </si>
  <si>
    <r>
      <rPr>
        <sz val="10"/>
        <rFont val="FreeSans"/>
        <family val="2"/>
      </rPr>
      <t xml:space="preserve">مبدل  </t>
    </r>
    <r>
      <rPr>
        <sz val="10"/>
        <rFont val="Vazirmatn"/>
        <family val="0"/>
        <charset val="1"/>
      </rPr>
      <t xml:space="preserve">USB </t>
    </r>
    <r>
      <rPr>
        <sz val="10"/>
        <rFont val="FreeSans"/>
        <family val="2"/>
      </rPr>
      <t xml:space="preserve">به </t>
    </r>
    <r>
      <rPr>
        <sz val="10"/>
        <rFont val="Vazirmatn"/>
        <family val="0"/>
        <charset val="1"/>
      </rPr>
      <t xml:space="preserve">RS 232</t>
    </r>
  </si>
  <si>
    <t xml:space="preserve">35213011</t>
  </si>
  <si>
    <r>
      <rPr>
        <sz val="10"/>
        <rFont val="FreeSans"/>
        <family val="2"/>
      </rPr>
      <t xml:space="preserve">فیش پیچی  </t>
    </r>
    <r>
      <rPr>
        <sz val="10"/>
        <rFont val="Vazirmatn"/>
        <family val="0"/>
        <charset val="1"/>
      </rPr>
      <t xml:space="preserve">BNC</t>
    </r>
  </si>
  <si>
    <t xml:space="preserve">35213012</t>
  </si>
  <si>
    <r>
      <rPr>
        <sz val="10"/>
        <rFont val="FreeSans"/>
        <family val="2"/>
      </rPr>
      <t xml:space="preserve">داک هارد دیسک اینترنال اوریکو </t>
    </r>
    <r>
      <rPr>
        <sz val="10"/>
        <rFont val="Vazirmatn"/>
        <family val="0"/>
        <charset val="1"/>
      </rPr>
      <t xml:space="preserve">2/5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3/5 </t>
    </r>
    <r>
      <rPr>
        <sz val="10"/>
        <rFont val="FreeSans"/>
        <family val="2"/>
      </rPr>
      <t xml:space="preserve">و هاردهای </t>
    </r>
    <r>
      <rPr>
        <sz val="10"/>
        <rFont val="Vazirmatn"/>
        <family val="0"/>
        <charset val="1"/>
      </rPr>
      <t xml:space="preserve">SSD</t>
    </r>
  </si>
  <si>
    <t xml:space="preserve">35213014</t>
  </si>
  <si>
    <r>
      <rPr>
        <sz val="10"/>
        <rFont val="FreeSans"/>
        <family val="2"/>
      </rPr>
      <t xml:space="preserve">لیبل صدفی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فارسی بطری روغن گلدن کورن </t>
    </r>
    <r>
      <rPr>
        <sz val="10"/>
        <rFont val="Vazirmatn"/>
        <family val="0"/>
        <charset val="1"/>
      </rPr>
      <t xml:space="preserve">( UV ) 105*170</t>
    </r>
  </si>
  <si>
    <t xml:space="preserve">35213015</t>
  </si>
  <si>
    <r>
      <rPr>
        <sz val="10"/>
        <rFont val="FreeSans"/>
        <family val="2"/>
      </rPr>
      <t xml:space="preserve">لیبل صدفی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لاتین بطری روغن گلدن کورن </t>
    </r>
    <r>
      <rPr>
        <sz val="10"/>
        <rFont val="Vazirmatn"/>
        <family val="0"/>
        <charset val="1"/>
      </rPr>
      <t xml:space="preserve">( UV ) 105*170</t>
    </r>
  </si>
  <si>
    <t xml:space="preserve">35213016</t>
  </si>
  <si>
    <r>
      <rPr>
        <sz val="10"/>
        <rFont val="FreeSans"/>
        <family val="2"/>
      </rPr>
      <t xml:space="preserve">لیبل صدفی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فارسی بطری روغن گلدن کورن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سلفون دار </t>
    </r>
    <r>
      <rPr>
        <sz val="10"/>
        <rFont val="Vazirmatn"/>
        <family val="0"/>
        <charset val="1"/>
      </rPr>
      <t xml:space="preserve">) 170*105</t>
    </r>
  </si>
  <si>
    <t xml:space="preserve">35213017</t>
  </si>
  <si>
    <r>
      <rPr>
        <sz val="10"/>
        <rFont val="FreeSans"/>
        <family val="2"/>
      </rPr>
      <t xml:space="preserve">لیبل صدفی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لاتین بطری روغن گلدن کورن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سلفون دار </t>
    </r>
    <r>
      <rPr>
        <sz val="10"/>
        <rFont val="Vazirmatn"/>
        <family val="0"/>
        <charset val="1"/>
      </rPr>
      <t xml:space="preserve">) 170*105</t>
    </r>
  </si>
  <si>
    <t xml:space="preserve">35214006</t>
  </si>
  <si>
    <t xml:space="preserve">کابل اتصال آداپتور تب سنج</t>
  </si>
  <si>
    <t xml:space="preserve">35214007</t>
  </si>
  <si>
    <r>
      <rPr>
        <sz val="10"/>
        <rFont val="FreeSans"/>
        <family val="2"/>
      </rPr>
      <t xml:space="preserve">کابل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رشته افشان مس قلع اندود </t>
    </r>
    <r>
      <rPr>
        <sz val="10"/>
        <rFont val="Vazirmatn"/>
        <family val="0"/>
        <charset val="1"/>
      </rPr>
      <t xml:space="preserve">28AWG</t>
    </r>
  </si>
  <si>
    <t xml:space="preserve">35214011</t>
  </si>
  <si>
    <t xml:space="preserve">رله گازی شکوه</t>
  </si>
  <si>
    <t xml:space="preserve">35214012</t>
  </si>
  <si>
    <r>
      <rPr>
        <sz val="10"/>
        <rFont val="FreeSans"/>
        <family val="2"/>
      </rPr>
      <t xml:space="preserve">کابل برنامه نویسی </t>
    </r>
    <r>
      <rPr>
        <sz val="10"/>
        <rFont val="Vazirmatn"/>
        <family val="0"/>
        <charset val="1"/>
      </rPr>
      <t xml:space="preserve">PLC </t>
    </r>
    <r>
      <rPr>
        <sz val="10"/>
        <rFont val="FreeSans"/>
        <family val="2"/>
      </rPr>
      <t xml:space="preserve">دلتا </t>
    </r>
    <r>
      <rPr>
        <sz val="10"/>
        <rFont val="Vazirmatn"/>
        <family val="0"/>
        <charset val="1"/>
      </rPr>
      <t xml:space="preserve">IFD 6601</t>
    </r>
  </si>
  <si>
    <t xml:space="preserve">35214013</t>
  </si>
  <si>
    <r>
      <rPr>
        <sz val="10"/>
        <rFont val="FreeSans"/>
        <family val="2"/>
      </rPr>
      <t xml:space="preserve">کابل برنامه نویسی میتسو بیشی </t>
    </r>
    <r>
      <rPr>
        <sz val="10"/>
        <rFont val="Vazirmatn"/>
        <family val="0"/>
        <charset val="1"/>
      </rPr>
      <t xml:space="preserve">USB - SC09</t>
    </r>
  </si>
  <si>
    <t xml:space="preserve">35214014</t>
  </si>
  <si>
    <r>
      <rPr>
        <sz val="10"/>
        <rFont val="FreeSans"/>
        <family val="2"/>
      </rPr>
      <t xml:space="preserve">کابل برنامه نویسی امرون </t>
    </r>
    <r>
      <rPr>
        <sz val="10"/>
        <rFont val="Vazirmatn"/>
        <family val="0"/>
        <charset val="1"/>
      </rPr>
      <t xml:space="preserve">USB - CIF02</t>
    </r>
  </si>
  <si>
    <t xml:space="preserve">35214015</t>
  </si>
  <si>
    <r>
      <rPr>
        <sz val="10"/>
        <rFont val="FreeSans"/>
        <family val="2"/>
      </rPr>
      <t xml:space="preserve">پانل گیج ایران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قلو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طرح قدیم </t>
    </r>
    <r>
      <rPr>
        <sz val="10"/>
        <rFont val="Vazirmatn"/>
        <family val="0"/>
        <charset val="1"/>
      </rPr>
      <t xml:space="preserve">)</t>
    </r>
  </si>
  <si>
    <t xml:space="preserve">35215002</t>
  </si>
  <si>
    <t xml:space="preserve">شانه لیبل دستگاه لیبل زن روغن</t>
  </si>
  <si>
    <t xml:space="preserve">35215004</t>
  </si>
  <si>
    <r>
      <rPr>
        <sz val="10"/>
        <rFont val="FreeSans"/>
        <family val="2"/>
      </rPr>
      <t xml:space="preserve">ریل لبه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آهنی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مویی سر خود </t>
    </r>
    <r>
      <rPr>
        <sz val="10"/>
        <rFont val="Vazirmatn"/>
        <family val="0"/>
        <charset val="1"/>
      </rPr>
      <t xml:space="preserve">)</t>
    </r>
  </si>
  <si>
    <t xml:space="preserve">35215005</t>
  </si>
  <si>
    <r>
      <rPr>
        <sz val="10"/>
        <rFont val="FreeSans"/>
        <family val="2"/>
      </rPr>
      <t xml:space="preserve">ریل </t>
    </r>
    <r>
      <rPr>
        <sz val="10"/>
        <rFont val="Vazirmatn"/>
        <family val="0"/>
        <charset val="1"/>
      </rPr>
      <t xml:space="preserve">5Cm </t>
    </r>
    <r>
      <rPr>
        <sz val="10"/>
        <rFont val="FreeSans"/>
        <family val="2"/>
      </rPr>
      <t xml:space="preserve">لاین نوری مشکی به همراه فیوز</t>
    </r>
  </si>
  <si>
    <t xml:space="preserve">35215006</t>
  </si>
  <si>
    <r>
      <rPr>
        <sz val="10"/>
        <rFont val="FreeSans"/>
        <family val="2"/>
      </rPr>
      <t xml:space="preserve">ریل آلومینیوم لبه </t>
    </r>
    <r>
      <rPr>
        <sz val="10"/>
        <rFont val="Vazirmatn"/>
        <family val="0"/>
        <charset val="1"/>
      </rPr>
      <t xml:space="preserve">( S )</t>
    </r>
  </si>
  <si>
    <t xml:space="preserve">35215007</t>
  </si>
  <si>
    <r>
      <rPr>
        <sz val="10"/>
        <rFont val="FreeSans"/>
        <family val="2"/>
      </rPr>
      <t xml:space="preserve">ریل </t>
    </r>
    <r>
      <rPr>
        <sz val="10"/>
        <rFont val="Vazirmatn"/>
        <family val="0"/>
        <charset val="1"/>
      </rPr>
      <t xml:space="preserve">5Cm </t>
    </r>
    <r>
      <rPr>
        <sz val="10"/>
        <rFont val="FreeSans"/>
        <family val="2"/>
      </rPr>
      <t xml:space="preserve">لاین نوری سفید به همراه فیوز</t>
    </r>
  </si>
  <si>
    <t xml:space="preserve">35216013</t>
  </si>
  <si>
    <r>
      <rPr>
        <sz val="10"/>
        <rFont val="FreeSans"/>
        <family val="2"/>
      </rPr>
      <t xml:space="preserve">آی سی  </t>
    </r>
    <r>
      <rPr>
        <sz val="10"/>
        <rFont val="Vazirmatn"/>
        <family val="0"/>
        <charset val="1"/>
      </rPr>
      <t xml:space="preserve">SMD XTR115U 8PIN</t>
    </r>
  </si>
  <si>
    <t xml:space="preserve">35216014</t>
  </si>
  <si>
    <r>
      <rPr>
        <sz val="10"/>
        <rFont val="FreeSans"/>
        <family val="2"/>
      </rPr>
      <t xml:space="preserve">مقاومت  </t>
    </r>
    <r>
      <rPr>
        <sz val="10"/>
        <rFont val="Vazirmatn"/>
        <family val="0"/>
        <charset val="1"/>
      </rPr>
      <t xml:space="preserve">205 </t>
    </r>
    <r>
      <rPr>
        <sz val="10"/>
        <rFont val="FreeSans"/>
        <family val="2"/>
      </rPr>
      <t xml:space="preserve">اهم  </t>
    </r>
    <r>
      <rPr>
        <sz val="10"/>
        <rFont val="Vazirmatn"/>
        <family val="0"/>
        <charset val="1"/>
      </rPr>
      <t xml:space="preserve">1/4W  SMD</t>
    </r>
  </si>
  <si>
    <t xml:space="preserve">35216015</t>
  </si>
  <si>
    <r>
      <rPr>
        <sz val="10"/>
        <rFont val="FreeSans"/>
        <family val="2"/>
      </rPr>
      <t xml:space="preserve">مقاومت 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کیلو اهم  </t>
    </r>
    <r>
      <rPr>
        <sz val="10"/>
        <rFont val="Vazirmatn"/>
        <family val="0"/>
        <charset val="1"/>
      </rPr>
      <t xml:space="preserve">1/8W  SMD</t>
    </r>
  </si>
  <si>
    <t xml:space="preserve">35216016</t>
  </si>
  <si>
    <r>
      <rPr>
        <sz val="10"/>
        <rFont val="FreeSans"/>
        <family val="2"/>
      </rPr>
      <t xml:space="preserve">دیود  </t>
    </r>
    <r>
      <rPr>
        <sz val="10"/>
        <rFont val="Vazirmatn"/>
        <family val="0"/>
        <charset val="1"/>
      </rPr>
      <t xml:space="preserve">35V 1/5A Bipalar TVS</t>
    </r>
  </si>
  <si>
    <t xml:space="preserve">35216017</t>
  </si>
  <si>
    <r>
      <rPr>
        <sz val="10"/>
        <rFont val="FreeSans"/>
        <family val="2"/>
      </rPr>
      <t xml:space="preserve">سلف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کاناله </t>
    </r>
    <r>
      <rPr>
        <sz val="10"/>
        <rFont val="Vazirmatn"/>
        <family val="0"/>
        <charset val="1"/>
      </rPr>
      <t xml:space="preserve">ZJY 250 TDK SMD</t>
    </r>
  </si>
  <si>
    <t xml:space="preserve">35216018</t>
  </si>
  <si>
    <r>
      <rPr>
        <sz val="10"/>
        <rFont val="FreeSans"/>
        <family val="2"/>
      </rPr>
      <t xml:space="preserve">ترانزیستور  </t>
    </r>
    <r>
      <rPr>
        <sz val="10"/>
        <rFont val="Vazirmatn"/>
        <family val="0"/>
        <charset val="1"/>
      </rPr>
      <t xml:space="preserve">2N4922G</t>
    </r>
  </si>
  <si>
    <t xml:space="preserve">35216019</t>
  </si>
  <si>
    <r>
      <rPr>
        <sz val="10"/>
        <rFont val="FreeSans"/>
        <family val="2"/>
      </rPr>
      <t xml:space="preserve">مقاومت 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کیلو اهم  </t>
    </r>
    <r>
      <rPr>
        <sz val="10"/>
        <rFont val="Vazirmatn"/>
        <family val="0"/>
        <charset val="1"/>
      </rPr>
      <t xml:space="preserve">SMD</t>
    </r>
  </si>
  <si>
    <t xml:space="preserve">35216020</t>
  </si>
  <si>
    <r>
      <rPr>
        <sz val="10"/>
        <rFont val="FreeSans"/>
        <family val="2"/>
      </rPr>
      <t xml:space="preserve">آی سی  </t>
    </r>
    <r>
      <rPr>
        <sz val="10"/>
        <rFont val="Vazirmatn"/>
        <family val="0"/>
        <charset val="1"/>
      </rPr>
      <t xml:space="preserve">DIP  MAX232</t>
    </r>
  </si>
  <si>
    <t xml:space="preserve">35216021</t>
  </si>
  <si>
    <r>
      <rPr>
        <sz val="10"/>
        <rFont val="FreeSans"/>
        <family val="2"/>
      </rPr>
      <t xml:space="preserve">خازن عدسی  </t>
    </r>
    <r>
      <rPr>
        <sz val="10"/>
        <rFont val="Vazirmatn"/>
        <family val="0"/>
        <charset val="1"/>
      </rPr>
      <t xml:space="preserve">1mf</t>
    </r>
  </si>
  <si>
    <t xml:space="preserve">35216022</t>
  </si>
  <si>
    <r>
      <rPr>
        <sz val="10"/>
        <rFont val="FreeSans"/>
        <family val="2"/>
      </rPr>
      <t xml:space="preserve">دیاگ  </t>
    </r>
    <r>
      <rPr>
        <sz val="10"/>
        <rFont val="Vazirmatn"/>
        <family val="0"/>
        <charset val="1"/>
      </rPr>
      <t xml:space="preserve">10V  DIP</t>
    </r>
  </si>
  <si>
    <t xml:space="preserve">35216023</t>
  </si>
  <si>
    <r>
      <rPr>
        <sz val="10"/>
        <rFont val="FreeSans"/>
        <family val="2"/>
      </rPr>
      <t xml:space="preserve">ترانزیستور  </t>
    </r>
    <r>
      <rPr>
        <sz val="10"/>
        <rFont val="Vazirmatn"/>
        <family val="0"/>
        <charset val="1"/>
      </rPr>
      <t xml:space="preserve">BC 317  DIP</t>
    </r>
  </si>
  <si>
    <t xml:space="preserve">35216024</t>
  </si>
  <si>
    <r>
      <rPr>
        <sz val="10"/>
        <rFont val="FreeSans"/>
        <family val="2"/>
      </rPr>
      <t xml:space="preserve">مقاومت 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کیلو اهم </t>
    </r>
    <r>
      <rPr>
        <sz val="10"/>
        <rFont val="Vazirmatn"/>
        <family val="0"/>
        <charset val="1"/>
      </rPr>
      <t xml:space="preserve">DIP  1/4W</t>
    </r>
  </si>
  <si>
    <t xml:space="preserve">35216025</t>
  </si>
  <si>
    <r>
      <rPr>
        <sz val="10"/>
        <rFont val="FreeSans"/>
        <family val="2"/>
      </rPr>
      <t xml:space="preserve">مقاومت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کیلو اهم </t>
    </r>
    <r>
      <rPr>
        <sz val="10"/>
        <rFont val="Vazirmatn"/>
        <family val="0"/>
        <charset val="1"/>
      </rPr>
      <t xml:space="preserve">DIP  1/4W</t>
    </r>
  </si>
  <si>
    <t xml:space="preserve">35216026</t>
  </si>
  <si>
    <r>
      <rPr>
        <sz val="10"/>
        <rFont val="FreeSans"/>
        <family val="2"/>
      </rPr>
      <t xml:space="preserve">دیود زنر  </t>
    </r>
    <r>
      <rPr>
        <sz val="10"/>
        <rFont val="Vazirmatn"/>
        <family val="0"/>
        <charset val="1"/>
      </rPr>
      <t xml:space="preserve">5/1V  2W  DIP</t>
    </r>
  </si>
  <si>
    <t xml:space="preserve">35216027</t>
  </si>
  <si>
    <r>
      <rPr>
        <sz val="10"/>
        <rFont val="FreeSans"/>
        <family val="2"/>
      </rPr>
      <t xml:space="preserve">دیود زنر  </t>
    </r>
    <r>
      <rPr>
        <sz val="10"/>
        <rFont val="Vazirmatn"/>
        <family val="0"/>
        <charset val="1"/>
      </rPr>
      <t xml:space="preserve">13V  2W  DIP</t>
    </r>
  </si>
  <si>
    <t xml:space="preserve">35216028</t>
  </si>
  <si>
    <r>
      <rPr>
        <sz val="10"/>
        <rFont val="FreeSans"/>
        <family val="2"/>
      </rPr>
      <t xml:space="preserve">مقاومت حرارتی </t>
    </r>
    <r>
      <rPr>
        <sz val="10"/>
        <rFont val="Vazirmatn"/>
        <family val="0"/>
        <charset val="1"/>
      </rPr>
      <t xml:space="preserve">82 </t>
    </r>
    <r>
      <rPr>
        <sz val="10"/>
        <rFont val="FreeSans"/>
        <family val="2"/>
      </rPr>
      <t xml:space="preserve">اهم </t>
    </r>
    <r>
      <rPr>
        <sz val="10"/>
        <rFont val="Vazirmatn"/>
        <family val="0"/>
        <charset val="1"/>
      </rPr>
      <t xml:space="preserve">Murata 820 PTC</t>
    </r>
  </si>
  <si>
    <t xml:space="preserve">35216029</t>
  </si>
  <si>
    <r>
      <rPr>
        <sz val="10"/>
        <rFont val="FreeSans"/>
        <family val="2"/>
      </rPr>
      <t xml:space="preserve">ترانزیستور  </t>
    </r>
    <r>
      <rPr>
        <sz val="10"/>
        <rFont val="Vazirmatn"/>
        <family val="0"/>
        <charset val="1"/>
      </rPr>
      <t xml:space="preserve">UN Z 123 Sot 23  SMD</t>
    </r>
  </si>
  <si>
    <t xml:space="preserve">35216030</t>
  </si>
  <si>
    <r>
      <rPr>
        <sz val="10"/>
        <rFont val="FreeSans"/>
        <family val="2"/>
      </rPr>
      <t xml:space="preserve">ترانزیستور  </t>
    </r>
    <r>
      <rPr>
        <sz val="10"/>
        <rFont val="Vazirmatn"/>
        <family val="0"/>
        <charset val="1"/>
      </rPr>
      <t xml:space="preserve">BC R 135 Sot 23  SMD</t>
    </r>
  </si>
  <si>
    <t xml:space="preserve">35216033</t>
  </si>
  <si>
    <t xml:space="preserve">بوبین شیر برقی سوکتی دانفوس</t>
  </si>
  <si>
    <t xml:space="preserve">35216034</t>
  </si>
  <si>
    <r>
      <rPr>
        <sz val="10"/>
        <rFont val="FreeSans"/>
        <family val="2"/>
      </rPr>
      <t xml:space="preserve">رسیور عمودی </t>
    </r>
    <r>
      <rPr>
        <sz val="10"/>
        <rFont val="Vazirmatn"/>
        <family val="0"/>
        <charset val="1"/>
      </rPr>
      <t xml:space="preserve">O-F L-6 ( 1/2*1/2 )</t>
    </r>
  </si>
  <si>
    <t xml:space="preserve">35216035</t>
  </si>
  <si>
    <r>
      <rPr>
        <sz val="10"/>
        <rFont val="FreeSans"/>
        <family val="2"/>
      </rPr>
      <t xml:space="preserve">رسیور عمودی </t>
    </r>
    <r>
      <rPr>
        <sz val="10"/>
        <rFont val="Vazirmatn"/>
        <family val="0"/>
        <charset val="1"/>
      </rPr>
      <t xml:space="preserve">O-F L-14 ( 5/8*5/8 )</t>
    </r>
  </si>
  <si>
    <t xml:space="preserve">35217003</t>
  </si>
  <si>
    <r>
      <rPr>
        <sz val="10"/>
        <rFont val="FreeSans"/>
        <family val="2"/>
      </rPr>
      <t xml:space="preserve">پمپ سم پاش پلاستیکی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لیتری</t>
    </r>
  </si>
  <si>
    <t xml:space="preserve">35217006</t>
  </si>
  <si>
    <r>
      <rPr>
        <sz val="10"/>
        <rFont val="FreeSans"/>
        <family val="2"/>
      </rPr>
      <t xml:space="preserve">پمپ آب پاش به همراه سیم بلند </t>
    </r>
    <r>
      <rPr>
        <sz val="10"/>
        <rFont val="Vazirmatn"/>
        <family val="0"/>
        <charset val="1"/>
      </rPr>
      <t xml:space="preserve">12V DC PIYER</t>
    </r>
  </si>
  <si>
    <t xml:space="preserve">35217007</t>
  </si>
  <si>
    <t xml:space="preserve">موتور ویبره موبایلی</t>
  </si>
  <si>
    <t xml:space="preserve">35217008</t>
  </si>
  <si>
    <r>
      <rPr>
        <sz val="10"/>
        <rFont val="FreeSans"/>
        <family val="2"/>
      </rPr>
      <t xml:space="preserve">موتور فن کولر گازی </t>
    </r>
    <r>
      <rPr>
        <sz val="10"/>
        <rFont val="Vazirmatn"/>
        <family val="0"/>
        <charset val="1"/>
      </rPr>
      <t xml:space="preserve">LG </t>
    </r>
    <r>
      <rPr>
        <sz val="10"/>
        <rFont val="FreeSans"/>
        <family val="2"/>
      </rPr>
      <t xml:space="preserve">اینورتر دار </t>
    </r>
    <r>
      <rPr>
        <sz val="10"/>
        <rFont val="Vazirmatn"/>
        <family val="0"/>
        <charset val="1"/>
      </rPr>
      <t xml:space="preserve">P/N 4681A20172K Sic -72FW-F1124-3A 24000 B TU</t>
    </r>
  </si>
  <si>
    <t xml:space="preserve">35217009</t>
  </si>
  <si>
    <r>
      <rPr>
        <sz val="10"/>
        <rFont val="FreeSans"/>
        <family val="2"/>
      </rPr>
      <t xml:space="preserve">گیربکس پرس گویوم  </t>
    </r>
    <r>
      <rPr>
        <sz val="10"/>
        <rFont val="Vazirmatn"/>
        <family val="0"/>
        <charset val="1"/>
      </rPr>
      <t xml:space="preserve">RX-P-3-816-B-40.8-ECE-N-M1-OUTOIL-TYP1-N</t>
    </r>
  </si>
  <si>
    <t xml:space="preserve">35217010</t>
  </si>
  <si>
    <r>
      <rPr>
        <sz val="10"/>
        <rFont val="FreeSans"/>
        <family val="2"/>
      </rPr>
      <t xml:space="preserve">کمپرسور یخچال  </t>
    </r>
    <r>
      <rPr>
        <sz val="10"/>
        <rFont val="Vazirmatn"/>
        <family val="0"/>
        <charset val="1"/>
      </rPr>
      <t xml:space="preserve">R 134  1/6</t>
    </r>
  </si>
  <si>
    <t xml:space="preserve">35217011</t>
  </si>
  <si>
    <r>
      <rPr>
        <sz val="10"/>
        <rFont val="FreeSans"/>
        <family val="2"/>
      </rPr>
      <t xml:space="preserve">کمپرسور یخچالی </t>
    </r>
    <r>
      <rPr>
        <sz val="10"/>
        <rFont val="Vazirmatn"/>
        <family val="0"/>
        <charset val="1"/>
      </rPr>
      <t xml:space="preserve">1/6 </t>
    </r>
    <r>
      <rPr>
        <sz val="10"/>
        <rFont val="FreeSans"/>
        <family val="2"/>
      </rPr>
      <t xml:space="preserve">اسب</t>
    </r>
  </si>
  <si>
    <t xml:space="preserve">35217012</t>
  </si>
  <si>
    <r>
      <rPr>
        <sz val="10"/>
        <rFont val="FreeSans"/>
        <family val="2"/>
      </rPr>
      <t xml:space="preserve">کمپرسور </t>
    </r>
    <r>
      <rPr>
        <sz val="10"/>
        <rFont val="Vazirmatn"/>
        <family val="0"/>
        <charset val="1"/>
      </rPr>
      <t xml:space="preserve">Ref Comp SP-2H050E</t>
    </r>
  </si>
  <si>
    <t xml:space="preserve">35217013</t>
  </si>
  <si>
    <r>
      <rPr>
        <sz val="10"/>
        <rFont val="FreeSans"/>
        <family val="2"/>
      </rPr>
      <t xml:space="preserve">کمپرسور </t>
    </r>
    <r>
      <rPr>
        <sz val="10"/>
        <rFont val="Vazirmatn"/>
        <family val="0"/>
        <charset val="1"/>
      </rPr>
      <t xml:space="preserve">Maneurop MT-64 . 4Vi</t>
    </r>
  </si>
  <si>
    <t xml:space="preserve">35217014</t>
  </si>
  <si>
    <r>
      <rPr>
        <sz val="10"/>
        <rFont val="FreeSans"/>
        <family val="2"/>
      </rPr>
      <t xml:space="preserve">موتور ساید </t>
    </r>
    <r>
      <rPr>
        <sz val="10"/>
        <rFont val="Vazirmatn"/>
        <family val="0"/>
        <charset val="1"/>
      </rPr>
      <t xml:space="preserve">300Kg</t>
    </r>
  </si>
  <si>
    <t xml:space="preserve">35217100</t>
  </si>
  <si>
    <r>
      <rPr>
        <sz val="10"/>
        <rFont val="FreeSans"/>
        <family val="2"/>
      </rPr>
      <t xml:space="preserve">هواکش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بخش آب ژاول</t>
    </r>
  </si>
  <si>
    <t xml:space="preserve">35217101</t>
  </si>
  <si>
    <r>
      <rPr>
        <sz val="10"/>
        <rFont val="FreeSans"/>
        <family val="2"/>
      </rPr>
      <t xml:space="preserve">هواکش استیل </t>
    </r>
    <r>
      <rPr>
        <sz val="10"/>
        <rFont val="Vazirmatn"/>
        <family val="0"/>
        <charset val="1"/>
      </rPr>
      <t xml:space="preserve">316 </t>
    </r>
    <r>
      <rPr>
        <sz val="10"/>
        <rFont val="FreeSans"/>
        <family val="2"/>
      </rPr>
      <t xml:space="preserve">بخش استیپ</t>
    </r>
  </si>
  <si>
    <t xml:space="preserve">35218000</t>
  </si>
  <si>
    <r>
      <rPr>
        <sz val="10"/>
        <rFont val="FreeSans"/>
        <family val="2"/>
      </rPr>
      <t xml:space="preserve">عایق پشم سنگ لوله ای </t>
    </r>
    <r>
      <rPr>
        <sz val="10"/>
        <rFont val="Vazirmatn"/>
        <family val="0"/>
        <charset val="1"/>
      </rPr>
      <t xml:space="preserve">" 1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5cm </t>
    </r>
    <r>
      <rPr>
        <sz val="10"/>
        <rFont val="FreeSans"/>
        <family val="2"/>
      </rPr>
      <t xml:space="preserve">بدون روکش</t>
    </r>
  </si>
  <si>
    <t xml:space="preserve">35218001</t>
  </si>
  <si>
    <r>
      <rPr>
        <sz val="10"/>
        <rFont val="FreeSans"/>
        <family val="2"/>
      </rPr>
      <t xml:space="preserve">عایق پشم سنگ لوله ای </t>
    </r>
    <r>
      <rPr>
        <sz val="10"/>
        <rFont val="Vazirmatn"/>
        <family val="0"/>
        <charset val="1"/>
      </rPr>
      <t xml:space="preserve">" 8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5cm </t>
    </r>
    <r>
      <rPr>
        <sz val="10"/>
        <rFont val="FreeSans"/>
        <family val="2"/>
      </rPr>
      <t xml:space="preserve">بدون روکش</t>
    </r>
  </si>
  <si>
    <t xml:space="preserve">35218002</t>
  </si>
  <si>
    <r>
      <rPr>
        <sz val="10"/>
        <rFont val="FreeSans"/>
        <family val="2"/>
      </rPr>
      <t xml:space="preserve">عایق پشم سنگ قالبی  </t>
    </r>
    <r>
      <rPr>
        <sz val="10"/>
        <rFont val="Vazirmatn"/>
        <family val="0"/>
        <charset val="1"/>
      </rPr>
      <t xml:space="preserve">1m * 1m</t>
    </r>
  </si>
  <si>
    <t xml:space="preserve">35218003</t>
  </si>
  <si>
    <t xml:space="preserve">نخ مخصوص علف زن</t>
  </si>
  <si>
    <t xml:space="preserve">35218005</t>
  </si>
  <si>
    <t xml:space="preserve">نخ قیطانی مخصوص هندل پمپ آب بنزینی</t>
  </si>
  <si>
    <t xml:space="preserve">35218006</t>
  </si>
  <si>
    <r>
      <rPr>
        <sz val="10"/>
        <rFont val="FreeSans"/>
        <family val="2"/>
      </rPr>
      <t xml:space="preserve">نخ دستگاه علف زنی مار پیچی نمره </t>
    </r>
    <r>
      <rPr>
        <sz val="10"/>
        <rFont val="Vazirmatn"/>
        <family val="0"/>
        <charset val="1"/>
      </rPr>
      <t xml:space="preserve">: 4</t>
    </r>
  </si>
  <si>
    <t xml:space="preserve">35218101</t>
  </si>
  <si>
    <r>
      <rPr>
        <sz val="10"/>
        <rFont val="FreeSans"/>
        <family val="2"/>
      </rPr>
      <t xml:space="preserve">چراغ </t>
    </r>
    <r>
      <rPr>
        <sz val="10"/>
        <rFont val="Vazirmatn"/>
        <family val="0"/>
        <charset val="1"/>
      </rPr>
      <t xml:space="preserve">LED </t>
    </r>
    <r>
      <rPr>
        <sz val="10"/>
        <rFont val="FreeSans"/>
        <family val="2"/>
      </rPr>
      <t xml:space="preserve">قابل انعطاف </t>
    </r>
    <r>
      <rPr>
        <sz val="10"/>
        <rFont val="Vazirmatn"/>
        <family val="0"/>
        <charset val="1"/>
      </rPr>
      <t xml:space="preserve">USB</t>
    </r>
  </si>
  <si>
    <t xml:space="preserve">35218102</t>
  </si>
  <si>
    <t xml:space="preserve">چراغ گردان دنده عقب لیفتراک</t>
  </si>
  <si>
    <t xml:space="preserve">35218200</t>
  </si>
  <si>
    <r>
      <rPr>
        <sz val="10"/>
        <rFont val="FreeSans"/>
        <family val="2"/>
      </rPr>
      <t xml:space="preserve">چسب فویلدار آلومینیومی </t>
    </r>
    <r>
      <rPr>
        <sz val="10"/>
        <rFont val="Vazirmatn"/>
        <family val="0"/>
        <charset val="1"/>
      </rPr>
      <t xml:space="preserve">5cm</t>
    </r>
  </si>
  <si>
    <t xml:space="preserve">35219006</t>
  </si>
  <si>
    <r>
      <rPr>
        <sz val="10"/>
        <rFont val="FreeSans"/>
        <family val="2"/>
      </rPr>
      <t xml:space="preserve">چاپ  </t>
    </r>
    <r>
      <rPr>
        <sz val="10"/>
        <rFont val="Vazirmatn"/>
        <family val="0"/>
        <charset val="1"/>
      </rPr>
      <t xml:space="preserve">PCB</t>
    </r>
  </si>
  <si>
    <t xml:space="preserve">35219010</t>
  </si>
  <si>
    <r>
      <rPr>
        <sz val="10"/>
        <rFont val="FreeSans"/>
        <family val="2"/>
      </rPr>
      <t xml:space="preserve">برد بورد  </t>
    </r>
    <r>
      <rPr>
        <sz val="10"/>
        <rFont val="Vazirmatn"/>
        <family val="0"/>
        <charset val="1"/>
      </rPr>
      <t xml:space="preserve">LG 12  Bread Bord</t>
    </r>
  </si>
  <si>
    <t xml:space="preserve">35219011</t>
  </si>
  <si>
    <r>
      <rPr>
        <sz val="10"/>
        <rFont val="FreeSans"/>
        <family val="2"/>
      </rPr>
      <t xml:space="preserve">برد هزار سوراخ سبز  </t>
    </r>
    <r>
      <rPr>
        <sz val="10"/>
        <rFont val="Vazirmatn"/>
        <family val="0"/>
        <charset val="1"/>
      </rPr>
      <t xml:space="preserve">8cm * 12</t>
    </r>
  </si>
  <si>
    <t xml:space="preserve">35219014</t>
  </si>
  <si>
    <t xml:space="preserve">کروز</t>
  </si>
  <si>
    <t xml:space="preserve">35219016</t>
  </si>
  <si>
    <r>
      <rPr>
        <sz val="10"/>
        <rFont val="FreeSans"/>
        <family val="2"/>
      </rPr>
      <t xml:space="preserve">کنترلر اکسپنشن </t>
    </r>
    <r>
      <rPr>
        <sz val="10"/>
        <rFont val="Vazirmatn"/>
        <family val="0"/>
        <charset val="1"/>
      </rPr>
      <t xml:space="preserve">EVD0000 E20 Carel</t>
    </r>
  </si>
  <si>
    <t xml:space="preserve">35219018</t>
  </si>
  <si>
    <r>
      <rPr>
        <sz val="10"/>
        <rFont val="FreeSans"/>
        <family val="2"/>
      </rPr>
      <t xml:space="preserve">برد کولر گازی ال جی </t>
    </r>
    <r>
      <rPr>
        <sz val="10"/>
        <rFont val="Vazirmatn"/>
        <family val="0"/>
        <charset val="1"/>
      </rPr>
      <t xml:space="preserve">EBR770392 JEON KOA 24000BTU</t>
    </r>
  </si>
  <si>
    <t xml:space="preserve">35219019</t>
  </si>
  <si>
    <r>
      <rPr>
        <sz val="10"/>
        <rFont val="FreeSans"/>
        <family val="2"/>
      </rPr>
      <t xml:space="preserve">چشمی راه بند </t>
    </r>
    <r>
      <rPr>
        <sz val="10"/>
        <rFont val="Vazirmatn"/>
        <family val="0"/>
        <charset val="1"/>
      </rPr>
      <t xml:space="preserve">FAAC </t>
    </r>
    <r>
      <rPr>
        <sz val="10"/>
        <rFont val="FreeSans"/>
        <family val="2"/>
      </rPr>
      <t xml:space="preserve">وایرلس</t>
    </r>
  </si>
  <si>
    <t xml:space="preserve">35219020</t>
  </si>
  <si>
    <t xml:space="preserve">سنسور توکار چشمی</t>
  </si>
  <si>
    <t xml:space="preserve">35219021</t>
  </si>
  <si>
    <r>
      <rPr>
        <sz val="10"/>
        <rFont val="FreeSans"/>
        <family val="2"/>
      </rPr>
      <t xml:space="preserve">ترموستات تابلویی </t>
    </r>
    <r>
      <rPr>
        <sz val="10"/>
        <rFont val="Vazirmatn"/>
        <family val="0"/>
        <charset val="1"/>
      </rPr>
      <t xml:space="preserve">60 - 0 </t>
    </r>
    <r>
      <rPr>
        <sz val="10"/>
        <rFont val="FreeSans"/>
        <family val="2"/>
      </rPr>
      <t xml:space="preserve">درجه  رله </t>
    </r>
    <r>
      <rPr>
        <sz val="10"/>
        <rFont val="Vazirmatn"/>
        <family val="0"/>
        <charset val="1"/>
      </rPr>
      <t xml:space="preserve">220V 10A </t>
    </r>
    <r>
      <rPr>
        <sz val="10"/>
        <rFont val="FreeSans"/>
        <family val="2"/>
      </rPr>
      <t xml:space="preserve">مدل </t>
    </r>
    <r>
      <rPr>
        <sz val="10"/>
        <rFont val="Vazirmatn"/>
        <family val="0"/>
        <charset val="1"/>
      </rPr>
      <t xml:space="preserve">KTS 011</t>
    </r>
  </si>
  <si>
    <t xml:space="preserve">35219022</t>
  </si>
  <si>
    <r>
      <rPr>
        <sz val="10"/>
        <rFont val="FreeSans"/>
        <family val="2"/>
      </rPr>
      <t xml:space="preserve">گیج فشار </t>
    </r>
    <r>
      <rPr>
        <sz val="10"/>
        <rFont val="Vazirmatn"/>
        <family val="0"/>
        <charset val="1"/>
      </rPr>
      <t xml:space="preserve">250 </t>
    </r>
    <r>
      <rPr>
        <sz val="10"/>
        <rFont val="FreeSans"/>
        <family val="2"/>
      </rPr>
      <t xml:space="preserve">چین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روغنی توکار </t>
    </r>
    <r>
      <rPr>
        <sz val="10"/>
        <rFont val="Vazirmatn"/>
        <family val="0"/>
        <charset val="1"/>
      </rPr>
      <t xml:space="preserve">)</t>
    </r>
  </si>
  <si>
    <t xml:space="preserve">35219023</t>
  </si>
  <si>
    <r>
      <rPr>
        <sz val="10"/>
        <rFont val="FreeSans"/>
        <family val="2"/>
      </rPr>
      <t xml:space="preserve">گیج فشار </t>
    </r>
    <r>
      <rPr>
        <sz val="10"/>
        <rFont val="Vazirmatn"/>
        <family val="0"/>
        <charset val="1"/>
      </rPr>
      <t xml:space="preserve">500 </t>
    </r>
    <r>
      <rPr>
        <sz val="10"/>
        <rFont val="FreeSans"/>
        <family val="2"/>
      </rPr>
      <t xml:space="preserve">چین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روغنی توکار </t>
    </r>
    <r>
      <rPr>
        <sz val="10"/>
        <rFont val="Vazirmatn"/>
        <family val="0"/>
        <charset val="1"/>
      </rPr>
      <t xml:space="preserve">)</t>
    </r>
  </si>
  <si>
    <t xml:space="preserve">35219024</t>
  </si>
  <si>
    <r>
      <rPr>
        <sz val="10"/>
        <rFont val="FreeSans"/>
        <family val="2"/>
      </rPr>
      <t xml:space="preserve">ترموستات دیجیتال مدل  </t>
    </r>
    <r>
      <rPr>
        <sz val="10"/>
        <rFont val="Vazirmatn"/>
        <family val="0"/>
        <charset val="1"/>
      </rPr>
      <t xml:space="preserve">Elitech / STC - 100A</t>
    </r>
  </si>
  <si>
    <t xml:space="preserve">35219025</t>
  </si>
  <si>
    <r>
      <rPr>
        <sz val="10"/>
        <rFont val="FreeSans"/>
        <family val="2"/>
      </rPr>
      <t xml:space="preserve">برد </t>
    </r>
    <r>
      <rPr>
        <sz val="10"/>
        <rFont val="Vazirmatn"/>
        <family val="0"/>
        <charset val="1"/>
      </rPr>
      <t xml:space="preserve">STM 32 STM 32 F103 C8 T6</t>
    </r>
  </si>
  <si>
    <t xml:space="preserve">35219026</t>
  </si>
  <si>
    <r>
      <rPr>
        <sz val="10"/>
        <rFont val="FreeSans"/>
        <family val="2"/>
      </rPr>
      <t xml:space="preserve">سنسور چشمی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فتوسل چرخشی </t>
    </r>
    <r>
      <rPr>
        <sz val="10"/>
        <rFont val="Vazirmatn"/>
        <family val="0"/>
        <charset val="1"/>
      </rPr>
      <t xml:space="preserve">)</t>
    </r>
  </si>
  <si>
    <t xml:space="preserve">35219028</t>
  </si>
  <si>
    <t xml:space="preserve">سنسور محصول دستگاه لیبل زن روغن</t>
  </si>
  <si>
    <t xml:space="preserve">35219029</t>
  </si>
  <si>
    <r>
      <rPr>
        <sz val="10"/>
        <rFont val="FreeSans"/>
        <family val="2"/>
      </rPr>
      <t xml:space="preserve">گیج روغنی </t>
    </r>
    <r>
      <rPr>
        <sz val="10"/>
        <rFont val="Vazirmatn"/>
        <family val="0"/>
        <charset val="1"/>
      </rPr>
      <t xml:space="preserve">HF Hi-500 Psi</t>
    </r>
  </si>
  <si>
    <t xml:space="preserve">35219030</t>
  </si>
  <si>
    <r>
      <rPr>
        <sz val="10"/>
        <rFont val="FreeSans"/>
        <family val="2"/>
      </rPr>
      <t xml:space="preserve">گیج روغنی </t>
    </r>
    <r>
      <rPr>
        <sz val="10"/>
        <rFont val="Vazirmatn"/>
        <family val="0"/>
        <charset val="1"/>
      </rPr>
      <t xml:space="preserve">HF Low-250 Psi</t>
    </r>
  </si>
  <si>
    <t xml:space="preserve">35219031</t>
  </si>
  <si>
    <r>
      <rPr>
        <sz val="10"/>
        <rFont val="FreeSans"/>
        <family val="2"/>
      </rPr>
      <t xml:space="preserve">رگلاتور دنفوس </t>
    </r>
    <r>
      <rPr>
        <sz val="10"/>
        <rFont val="Vazirmatn"/>
        <family val="0"/>
        <charset val="1"/>
      </rPr>
      <t xml:space="preserve">KVL-15</t>
    </r>
  </si>
  <si>
    <t xml:space="preserve">35219032</t>
  </si>
  <si>
    <t xml:space="preserve">سنسور گاتر دومینو</t>
  </si>
  <si>
    <t xml:space="preserve">35220011</t>
  </si>
  <si>
    <t xml:space="preserve">کمد سه کشوئی میز تحریر</t>
  </si>
  <si>
    <t xml:space="preserve">35220013</t>
  </si>
  <si>
    <t xml:space="preserve">میز کنفرانس اداری</t>
  </si>
  <si>
    <t xml:space="preserve">35220014</t>
  </si>
  <si>
    <t xml:space="preserve">میز اداری</t>
  </si>
  <si>
    <t xml:space="preserve">35220016</t>
  </si>
  <si>
    <r>
      <rPr>
        <sz val="10"/>
        <rFont val="FreeSans"/>
        <family val="2"/>
      </rPr>
      <t xml:space="preserve">درب </t>
    </r>
    <r>
      <rPr>
        <sz val="10"/>
        <rFont val="Vazirmatn"/>
        <family val="0"/>
        <charset val="1"/>
      </rPr>
      <t xml:space="preserve">UPVC ) 260Cm*102Cm )</t>
    </r>
  </si>
  <si>
    <t xml:space="preserve">35220018</t>
  </si>
  <si>
    <t xml:space="preserve">میز پلاستیکی</t>
  </si>
  <si>
    <t xml:space="preserve">35220034</t>
  </si>
  <si>
    <r>
      <rPr>
        <sz val="10"/>
        <rFont val="FreeSans"/>
        <family val="2"/>
      </rPr>
      <t xml:space="preserve">آینه محدب قطر </t>
    </r>
    <r>
      <rPr>
        <sz val="10"/>
        <rFont val="Vazirmatn"/>
        <family val="0"/>
        <charset val="1"/>
      </rPr>
      <t xml:space="preserve">60cm</t>
    </r>
  </si>
  <si>
    <t xml:space="preserve">35220037</t>
  </si>
  <si>
    <r>
      <rPr>
        <sz val="10"/>
        <rFont val="FreeSans"/>
        <family val="2"/>
      </rPr>
      <t xml:space="preserve">درب کولر آبی </t>
    </r>
    <r>
      <rPr>
        <sz val="10"/>
        <rFont val="Vazirmatn"/>
        <family val="0"/>
        <charset val="1"/>
      </rPr>
      <t xml:space="preserve">3500  70cm*59cm</t>
    </r>
  </si>
  <si>
    <t xml:space="preserve">35220043</t>
  </si>
  <si>
    <r>
      <rPr>
        <sz val="10"/>
        <rFont val="FreeSans"/>
        <family val="2"/>
      </rPr>
      <t xml:space="preserve">صندلی اپن جوان </t>
    </r>
    <r>
      <rPr>
        <sz val="10"/>
        <rFont val="Vazirmatn"/>
        <family val="0"/>
        <charset val="1"/>
      </rPr>
      <t xml:space="preserve">G120</t>
    </r>
  </si>
  <si>
    <t xml:space="preserve">35220048</t>
  </si>
  <si>
    <r>
      <rPr>
        <sz val="10"/>
        <rFont val="FreeSans"/>
        <family val="2"/>
      </rPr>
      <t xml:space="preserve">آینه     </t>
    </r>
    <r>
      <rPr>
        <sz val="10"/>
        <rFont val="Vazirmatn"/>
        <family val="0"/>
        <charset val="1"/>
      </rPr>
      <t xml:space="preserve">30CM*40CM</t>
    </r>
  </si>
  <si>
    <t xml:space="preserve">35220049</t>
  </si>
  <si>
    <t xml:space="preserve">قفسه طبقاتی</t>
  </si>
  <si>
    <t xml:space="preserve">35220051</t>
  </si>
  <si>
    <r>
      <rPr>
        <sz val="10"/>
        <rFont val="FreeSans"/>
        <family val="2"/>
      </rPr>
      <t xml:space="preserve">وایت برد </t>
    </r>
    <r>
      <rPr>
        <sz val="10"/>
        <rFont val="Vazirmatn"/>
        <family val="0"/>
        <charset val="1"/>
      </rPr>
      <t xml:space="preserve">100cm*180cm</t>
    </r>
  </si>
  <si>
    <t xml:space="preserve">35220056</t>
  </si>
  <si>
    <r>
      <rPr>
        <sz val="10"/>
        <rFont val="FreeSans"/>
        <family val="2"/>
      </rPr>
      <t xml:space="preserve">در تک لنگه ورودی سالن لمه کاری شده </t>
    </r>
    <r>
      <rPr>
        <sz val="10"/>
        <rFont val="Vazirmatn"/>
        <family val="0"/>
        <charset val="1"/>
      </rPr>
      <t xml:space="preserve">CM90  * 2 M</t>
    </r>
  </si>
  <si>
    <t xml:space="preserve">35220057</t>
  </si>
  <si>
    <r>
      <rPr>
        <sz val="10"/>
        <rFont val="FreeSans"/>
        <family val="2"/>
      </rPr>
      <t xml:space="preserve">چهار پایه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پله آهنی دو طرفه</t>
    </r>
  </si>
  <si>
    <t xml:space="preserve">35220058</t>
  </si>
  <si>
    <r>
      <rPr>
        <sz val="10"/>
        <rFont val="FreeSans"/>
        <family val="2"/>
      </rPr>
      <t xml:space="preserve">در دو لنگه لمه کاری شده یک طرف ثابت  </t>
    </r>
    <r>
      <rPr>
        <sz val="10"/>
        <rFont val="Vazirmatn"/>
        <family val="0"/>
        <charset val="1"/>
      </rPr>
      <t xml:space="preserve">210Cm*173Cm</t>
    </r>
  </si>
  <si>
    <t xml:space="preserve">35220059</t>
  </si>
  <si>
    <r>
      <rPr>
        <sz val="10"/>
        <rFont val="FreeSans"/>
        <family val="2"/>
      </rPr>
      <t xml:space="preserve">در تک لنگه لمه کاری شده  </t>
    </r>
    <r>
      <rPr>
        <sz val="10"/>
        <rFont val="Vazirmatn"/>
        <family val="0"/>
        <charset val="1"/>
      </rPr>
      <t xml:space="preserve">200Cm*93Cm</t>
    </r>
  </si>
  <si>
    <t xml:space="preserve">35220060</t>
  </si>
  <si>
    <r>
      <rPr>
        <sz val="10"/>
        <rFont val="FreeSans"/>
        <family val="2"/>
      </rPr>
      <t xml:space="preserve">درب چوبی لمه کاری شده  </t>
    </r>
    <r>
      <rPr>
        <sz val="10"/>
        <rFont val="Vazirmatn"/>
        <family val="0"/>
        <charset val="1"/>
      </rPr>
      <t xml:space="preserve">202Cm*91Cm</t>
    </r>
  </si>
  <si>
    <t xml:space="preserve">35220062</t>
  </si>
  <si>
    <r>
      <rPr>
        <sz val="10"/>
        <rFont val="FreeSans"/>
        <family val="2"/>
      </rPr>
      <t xml:space="preserve">میز کنفرانس </t>
    </r>
    <r>
      <rPr>
        <sz val="10"/>
        <rFont val="Vazirmatn"/>
        <family val="0"/>
        <charset val="1"/>
      </rPr>
      <t xml:space="preserve">26 </t>
    </r>
    <r>
      <rPr>
        <sz val="10"/>
        <rFont val="FreeSans"/>
        <family val="2"/>
      </rPr>
      <t xml:space="preserve">نفره</t>
    </r>
  </si>
  <si>
    <t xml:space="preserve">35220063</t>
  </si>
  <si>
    <r>
      <rPr>
        <sz val="10"/>
        <rFont val="FreeSans"/>
        <family val="2"/>
      </rPr>
      <t xml:space="preserve">کتابخانه و کمد و ویترین  </t>
    </r>
    <r>
      <rPr>
        <sz val="10"/>
        <rFont val="Vazirmatn"/>
        <family val="0"/>
        <charset val="1"/>
      </rPr>
      <t xml:space="preserve">310Cm*245Cm*40Cm</t>
    </r>
  </si>
  <si>
    <t xml:space="preserve">35220064</t>
  </si>
  <si>
    <r>
      <rPr>
        <sz val="10"/>
        <rFont val="FreeSans"/>
        <family val="2"/>
      </rPr>
      <t xml:space="preserve">کتابخانه و کمد و درب شیشه ای  </t>
    </r>
    <r>
      <rPr>
        <sz val="10"/>
        <rFont val="Vazirmatn"/>
        <family val="0"/>
        <charset val="1"/>
      </rPr>
      <t xml:space="preserve">290Cm*245Cm*40Cm</t>
    </r>
  </si>
  <si>
    <t xml:space="preserve">35220065</t>
  </si>
  <si>
    <r>
      <rPr>
        <sz val="10"/>
        <rFont val="FreeSans"/>
        <family val="2"/>
      </rPr>
      <t xml:space="preserve">کمد اتاق  </t>
    </r>
    <r>
      <rPr>
        <sz val="10"/>
        <rFont val="Vazirmatn"/>
        <family val="0"/>
        <charset val="1"/>
      </rPr>
      <t xml:space="preserve">87Cm*198Cm*24Cm</t>
    </r>
  </si>
  <si>
    <t xml:space="preserve">35220066</t>
  </si>
  <si>
    <r>
      <rPr>
        <sz val="10"/>
        <rFont val="FreeSans"/>
        <family val="2"/>
      </rPr>
      <t xml:space="preserve">پنجره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لنگه با بازشوی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حالته به همراه یراق آلات  </t>
    </r>
    <r>
      <rPr>
        <sz val="10"/>
        <rFont val="Vazirmatn"/>
        <family val="0"/>
        <charset val="1"/>
      </rPr>
      <t xml:space="preserve">150Cm*150Cm</t>
    </r>
  </si>
  <si>
    <t xml:space="preserve">35220068</t>
  </si>
  <si>
    <r>
      <rPr>
        <sz val="10"/>
        <rFont val="FreeSans"/>
        <family val="2"/>
      </rPr>
      <t xml:space="preserve">درب چوبی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لنگه</t>
    </r>
  </si>
  <si>
    <t xml:space="preserve">35220069</t>
  </si>
  <si>
    <r>
      <rPr>
        <sz val="10"/>
        <rFont val="FreeSans"/>
        <family val="2"/>
      </rPr>
      <t xml:space="preserve">درب </t>
    </r>
    <r>
      <rPr>
        <sz val="10"/>
        <rFont val="Vazirmatn"/>
        <family val="0"/>
        <charset val="1"/>
      </rPr>
      <t xml:space="preserve">UPVC </t>
    </r>
    <r>
      <rPr>
        <sz val="10"/>
        <rFont val="FreeSans"/>
        <family val="2"/>
      </rPr>
      <t xml:space="preserve">با یراق آلات و شیشه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 و </t>
    </r>
    <r>
      <rPr>
        <sz val="10"/>
        <rFont val="Vazirmatn"/>
        <family val="0"/>
        <charset val="1"/>
      </rPr>
      <t xml:space="preserve">80Cm </t>
    </r>
    <r>
      <rPr>
        <sz val="10"/>
        <rFont val="FreeSans"/>
        <family val="2"/>
      </rPr>
      <t xml:space="preserve">پانل داخل بازشو </t>
    </r>
    <r>
      <rPr>
        <sz val="10"/>
        <rFont val="Vazirmatn"/>
        <family val="0"/>
        <charset val="1"/>
      </rPr>
      <t xml:space="preserve">1/090mm*2/120mm</t>
    </r>
  </si>
  <si>
    <t xml:space="preserve">35220071</t>
  </si>
  <si>
    <r>
      <rPr>
        <sz val="10"/>
        <rFont val="FreeSans"/>
        <family val="2"/>
      </rPr>
      <t xml:space="preserve">کمد اداری </t>
    </r>
    <r>
      <rPr>
        <sz val="10"/>
        <rFont val="Vazirmatn"/>
        <family val="0"/>
        <charset val="1"/>
      </rPr>
      <t xml:space="preserve">MDF ( 220*320*35 )</t>
    </r>
  </si>
  <si>
    <t xml:space="preserve">35220072</t>
  </si>
  <si>
    <r>
      <rPr>
        <sz val="10"/>
        <rFont val="FreeSans"/>
        <family val="2"/>
      </rPr>
      <t xml:space="preserve">کمد اداری </t>
    </r>
    <r>
      <rPr>
        <sz val="10"/>
        <rFont val="Vazirmatn"/>
        <family val="0"/>
        <charset val="1"/>
      </rPr>
      <t xml:space="preserve">MDF ( 220*60*78 )</t>
    </r>
  </si>
  <si>
    <t xml:space="preserve">35220073</t>
  </si>
  <si>
    <r>
      <rPr>
        <sz val="10"/>
        <rFont val="FreeSans"/>
        <family val="2"/>
      </rPr>
      <t xml:space="preserve">کمد اداری </t>
    </r>
    <r>
      <rPr>
        <sz val="10"/>
        <rFont val="Vazirmatn"/>
        <family val="0"/>
        <charset val="1"/>
      </rPr>
      <t xml:space="preserve">MDF ( 200*155*40 )</t>
    </r>
  </si>
  <si>
    <t xml:space="preserve">35220075</t>
  </si>
  <si>
    <r>
      <rPr>
        <sz val="10"/>
        <rFont val="FreeSans"/>
        <family val="2"/>
      </rPr>
      <t xml:space="preserve">درب المنت دار سردخانه تصفیه روغن  </t>
    </r>
    <r>
      <rPr>
        <sz val="10"/>
        <rFont val="Vazirmatn"/>
        <family val="0"/>
        <charset val="1"/>
      </rPr>
      <t xml:space="preserve">76Cm*179Cm</t>
    </r>
  </si>
  <si>
    <t xml:space="preserve">35220076</t>
  </si>
  <si>
    <r>
      <rPr>
        <sz val="10"/>
        <rFont val="FreeSans"/>
        <family val="2"/>
      </rPr>
      <t xml:space="preserve">درب  </t>
    </r>
    <r>
      <rPr>
        <sz val="10"/>
        <rFont val="Vazirmatn"/>
        <family val="0"/>
        <charset val="1"/>
      </rPr>
      <t xml:space="preserve">UPVC )  2m*70Cm )</t>
    </r>
  </si>
  <si>
    <t xml:space="preserve">35220081</t>
  </si>
  <si>
    <r>
      <rPr>
        <sz val="10"/>
        <rFont val="FreeSans"/>
        <family val="2"/>
      </rPr>
      <t xml:space="preserve">کمد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خانه فلزی</t>
    </r>
  </si>
  <si>
    <t xml:space="preserve">35220115</t>
  </si>
  <si>
    <r>
      <rPr>
        <sz val="10"/>
        <rFont val="FreeSans"/>
        <family val="2"/>
      </rPr>
      <t xml:space="preserve">نوار </t>
    </r>
    <r>
      <rPr>
        <sz val="10"/>
        <rFont val="Vazirmatn"/>
        <family val="0"/>
        <charset val="1"/>
      </rPr>
      <t xml:space="preserve">p.v.c (</t>
    </r>
    <r>
      <rPr>
        <sz val="10"/>
        <rFont val="FreeSans"/>
        <family val="2"/>
      </rPr>
      <t xml:space="preserve">پرده هوا</t>
    </r>
    <r>
      <rPr>
        <sz val="10"/>
        <rFont val="Vazirmatn"/>
        <family val="0"/>
        <charset val="1"/>
      </rPr>
      <t xml:space="preserve">)</t>
    </r>
  </si>
  <si>
    <t xml:space="preserve">35220117</t>
  </si>
  <si>
    <t xml:space="preserve">پرده پاراوان</t>
  </si>
  <si>
    <t xml:space="preserve">35220120</t>
  </si>
  <si>
    <t xml:space="preserve">پانل گچی</t>
  </si>
  <si>
    <t xml:space="preserve">35220123</t>
  </si>
  <si>
    <r>
      <rPr>
        <sz val="10"/>
        <rFont val="FreeSans"/>
        <family val="2"/>
      </rPr>
      <t xml:space="preserve">جای کفشی فلزی دو درب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طبقه عرض</t>
    </r>
    <r>
      <rPr>
        <sz val="10"/>
        <rFont val="Vazirmatn"/>
        <family val="0"/>
        <charset val="1"/>
      </rPr>
      <t xml:space="preserve">1m </t>
    </r>
    <r>
      <rPr>
        <sz val="10"/>
        <rFont val="FreeSans"/>
        <family val="2"/>
      </rPr>
      <t xml:space="preserve">عمق </t>
    </r>
    <r>
      <rPr>
        <sz val="10"/>
        <rFont val="Vazirmatn"/>
        <family val="0"/>
        <charset val="1"/>
      </rPr>
      <t xml:space="preserve">40cm</t>
    </r>
  </si>
  <si>
    <t xml:space="preserve">35220131</t>
  </si>
  <si>
    <t xml:space="preserve">استند استیل نگهداری کپسول آتش نشانی</t>
  </si>
  <si>
    <t xml:space="preserve">35220132</t>
  </si>
  <si>
    <r>
      <rPr>
        <sz val="10"/>
        <rFont val="FreeSans"/>
        <family val="2"/>
      </rPr>
      <t xml:space="preserve">پرده شید سفید  </t>
    </r>
    <r>
      <rPr>
        <sz val="10"/>
        <rFont val="Vazirmatn"/>
        <family val="0"/>
        <charset val="1"/>
      </rPr>
      <t xml:space="preserve">120*70</t>
    </r>
  </si>
  <si>
    <t xml:space="preserve">35220133</t>
  </si>
  <si>
    <r>
      <rPr>
        <sz val="10"/>
        <rFont val="FreeSans"/>
        <family val="2"/>
      </rPr>
      <t xml:space="preserve">پرده شید سفید  </t>
    </r>
    <r>
      <rPr>
        <sz val="10"/>
        <rFont val="Vazirmatn"/>
        <family val="0"/>
        <charset val="1"/>
      </rPr>
      <t xml:space="preserve">120*120</t>
    </r>
  </si>
  <si>
    <t xml:space="preserve">35220135</t>
  </si>
  <si>
    <t xml:space="preserve">صندلی اداری</t>
  </si>
  <si>
    <t xml:space="preserve">35220138</t>
  </si>
  <si>
    <r>
      <rPr>
        <sz val="10"/>
        <rFont val="FreeSans"/>
        <family val="2"/>
      </rPr>
      <t xml:space="preserve">کمد اداری </t>
    </r>
    <r>
      <rPr>
        <sz val="10"/>
        <rFont val="Vazirmatn"/>
        <family val="0"/>
        <charset val="1"/>
      </rPr>
      <t xml:space="preserve">MDF ( 329*272*41 )</t>
    </r>
  </si>
  <si>
    <t xml:space="preserve">35220139</t>
  </si>
  <si>
    <r>
      <rPr>
        <sz val="10"/>
        <rFont val="FreeSans"/>
        <family val="2"/>
      </rPr>
      <t xml:space="preserve">کمد باشگاهی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درب قفل دار عمق </t>
    </r>
    <r>
      <rPr>
        <sz val="10"/>
        <rFont val="Vazirmatn"/>
        <family val="0"/>
        <charset val="1"/>
      </rPr>
      <t xml:space="preserve">35Cm-40Cm - </t>
    </r>
    <r>
      <rPr>
        <sz val="10"/>
        <rFont val="FreeSans"/>
        <family val="2"/>
      </rPr>
      <t xml:space="preserve">عرض </t>
    </r>
    <r>
      <rPr>
        <sz val="10"/>
        <rFont val="Vazirmatn"/>
        <family val="0"/>
        <charset val="1"/>
      </rPr>
      <t xml:space="preserve">95Cm - </t>
    </r>
    <r>
      <rPr>
        <sz val="10"/>
        <rFont val="FreeSans"/>
        <family val="2"/>
      </rPr>
      <t xml:space="preserve">ارتفاع </t>
    </r>
    <r>
      <rPr>
        <sz val="10"/>
        <rFont val="Vazirmatn"/>
        <family val="0"/>
        <charset val="1"/>
      </rPr>
      <t xml:space="preserve">195Cm</t>
    </r>
  </si>
  <si>
    <t xml:space="preserve">35220140</t>
  </si>
  <si>
    <r>
      <rPr>
        <sz val="10"/>
        <rFont val="FreeSans"/>
        <family val="2"/>
      </rPr>
      <t xml:space="preserve">کمد بایگانی </t>
    </r>
    <r>
      <rPr>
        <sz val="10"/>
        <rFont val="Vazirmatn"/>
        <family val="0"/>
        <charset val="1"/>
      </rPr>
      <t xml:space="preserve">MDF ( 274*78*65 )</t>
    </r>
  </si>
  <si>
    <t xml:space="preserve">35220142</t>
  </si>
  <si>
    <r>
      <rPr>
        <sz val="10"/>
        <rFont val="FreeSans"/>
        <family val="2"/>
      </rPr>
      <t xml:space="preserve">درب آلومینیومی فنر دار لولایی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توری دار </t>
    </r>
    <r>
      <rPr>
        <sz val="10"/>
        <rFont val="Vazirmatn"/>
        <family val="0"/>
        <charset val="1"/>
      </rPr>
      <t xml:space="preserve">)</t>
    </r>
  </si>
  <si>
    <t xml:space="preserve">35220143</t>
  </si>
  <si>
    <r>
      <rPr>
        <sz val="10"/>
        <rFont val="FreeSans"/>
        <family val="2"/>
      </rPr>
      <t xml:space="preserve">صندلی چرخ دار اداری </t>
    </r>
    <r>
      <rPr>
        <sz val="10"/>
        <rFont val="Vazirmatn"/>
        <family val="0"/>
        <charset val="1"/>
      </rPr>
      <t xml:space="preserve">( G 750 B )</t>
    </r>
  </si>
  <si>
    <t xml:space="preserve">35220149</t>
  </si>
  <si>
    <r>
      <rPr>
        <sz val="10"/>
        <rFont val="FreeSans"/>
        <family val="2"/>
      </rPr>
      <t xml:space="preserve">درب ضد آب سفید </t>
    </r>
    <r>
      <rPr>
        <sz val="10"/>
        <rFont val="Vazirmatn"/>
        <family val="0"/>
        <charset val="1"/>
      </rPr>
      <t xml:space="preserve">ABS </t>
    </r>
    <r>
      <rPr>
        <sz val="10"/>
        <rFont val="FreeSans"/>
        <family val="2"/>
      </rPr>
      <t xml:space="preserve">به همراه دستگیره و قفل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</si>
  <si>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35220150</t>
  </si>
  <si>
    <r>
      <rPr>
        <sz val="10"/>
        <rFont val="FreeSans"/>
        <family val="2"/>
      </rPr>
      <t xml:space="preserve">درب ورودی چوبی با روکش </t>
    </r>
    <r>
      <rPr>
        <sz val="10"/>
        <rFont val="Vazirmatn"/>
        <family val="0"/>
        <charset val="1"/>
      </rPr>
      <t xml:space="preserve">5mm </t>
    </r>
    <r>
      <rPr>
        <sz val="10"/>
        <rFont val="FreeSans"/>
        <family val="2"/>
      </rPr>
      <t xml:space="preserve">رنگ شده یک طرف لمه کاری به همراه دستگیره و قفل </t>
    </r>
    <r>
      <rPr>
        <sz val="10"/>
        <rFont val="Vazirmatn"/>
        <family val="0"/>
        <charset val="1"/>
      </rPr>
      <t xml:space="preserve">1m*2m 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</si>
  <si>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35220151</t>
  </si>
  <si>
    <r>
      <rPr>
        <sz val="10"/>
        <rFont val="FreeSans"/>
        <family val="2"/>
      </rPr>
      <t xml:space="preserve">درب ورودی چوبی با روکش </t>
    </r>
    <r>
      <rPr>
        <sz val="10"/>
        <rFont val="Vazirmatn"/>
        <family val="0"/>
        <charset val="1"/>
      </rPr>
      <t xml:space="preserve">5mm </t>
    </r>
    <r>
      <rPr>
        <sz val="10"/>
        <rFont val="FreeSans"/>
        <family val="2"/>
      </rPr>
      <t xml:space="preserve">رنگ شده دو طرف لمه کاری به همراه دستگیره و قفل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</si>
  <si>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35220152</t>
  </si>
  <si>
    <r>
      <rPr>
        <sz val="10"/>
        <rFont val="FreeSans"/>
        <family val="2"/>
      </rPr>
      <t xml:space="preserve">درب ورودی ضد آب با روکش </t>
    </r>
    <r>
      <rPr>
        <sz val="10"/>
        <rFont val="Vazirmatn"/>
        <family val="0"/>
        <charset val="1"/>
      </rPr>
      <t xml:space="preserve">5mm </t>
    </r>
    <r>
      <rPr>
        <sz val="10"/>
        <rFont val="FreeSans"/>
        <family val="2"/>
      </rPr>
      <t xml:space="preserve">رنگ شده یک طرف لمه کاری به همراه دستگیره و قفل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</si>
  <si>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35220154</t>
  </si>
  <si>
    <r>
      <rPr>
        <sz val="10"/>
        <rFont val="FreeSans"/>
        <family val="2"/>
      </rPr>
      <t xml:space="preserve">کرکره آلومینیوم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جداره آتادر </t>
    </r>
    <r>
      <rPr>
        <sz val="10"/>
        <rFont val="Vazirmatn"/>
        <family val="0"/>
        <charset val="1"/>
      </rPr>
      <t xml:space="preserve">80mm</t>
    </r>
  </si>
  <si>
    <t xml:space="preserve">35220157</t>
  </si>
  <si>
    <r>
      <rPr>
        <sz val="10"/>
        <rFont val="FreeSans"/>
        <family val="2"/>
      </rPr>
      <t xml:space="preserve">چهار پایه پلاستیکی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ارتفاع </t>
    </r>
    <r>
      <rPr>
        <sz val="10"/>
        <rFont val="Vazirmatn"/>
        <family val="0"/>
        <charset val="1"/>
      </rPr>
      <t xml:space="preserve">45Cm )</t>
    </r>
  </si>
  <si>
    <t xml:space="preserve">35221000</t>
  </si>
  <si>
    <r>
      <rPr>
        <sz val="10"/>
        <rFont val="FreeSans"/>
        <family val="2"/>
      </rPr>
      <t xml:space="preserve">رینگ لیفتراک  </t>
    </r>
    <r>
      <rPr>
        <sz val="10"/>
        <rFont val="Vazirmatn"/>
        <family val="0"/>
        <charset val="1"/>
      </rPr>
      <t xml:space="preserve">10 - 50 - 6</t>
    </r>
  </si>
  <si>
    <t xml:space="preserve">35221001</t>
  </si>
  <si>
    <r>
      <rPr>
        <sz val="10"/>
        <rFont val="FreeSans"/>
        <family val="2"/>
      </rPr>
      <t xml:space="preserve">رینگ لیفتراک  </t>
    </r>
    <r>
      <rPr>
        <sz val="10"/>
        <rFont val="Vazirmatn"/>
        <family val="0"/>
        <charset val="1"/>
      </rPr>
      <t xml:space="preserve">15 - 15 - 8</t>
    </r>
  </si>
  <si>
    <t xml:space="preserve">35221002</t>
  </si>
  <si>
    <r>
      <rPr>
        <sz val="10"/>
        <rFont val="FreeSans"/>
        <family val="2"/>
      </rPr>
      <t xml:space="preserve">رام وسط تیغه مارال سوراخ دار  </t>
    </r>
    <r>
      <rPr>
        <sz val="10"/>
        <rFont val="Vazirmatn"/>
        <family val="0"/>
        <charset val="1"/>
      </rPr>
      <t xml:space="preserve">128Cm*26Cm</t>
    </r>
  </si>
  <si>
    <t xml:space="preserve">35221003</t>
  </si>
  <si>
    <r>
      <rPr>
        <sz val="10"/>
        <rFont val="FreeSans"/>
        <family val="2"/>
      </rPr>
      <t xml:space="preserve">رینگ </t>
    </r>
    <r>
      <rPr>
        <sz val="10"/>
        <rFont val="Vazirmatn"/>
        <family val="0"/>
        <charset val="1"/>
      </rPr>
      <t xml:space="preserve">20</t>
    </r>
  </si>
  <si>
    <t xml:space="preserve">35224000</t>
  </si>
  <si>
    <t xml:space="preserve">فنر دنسر دستگاه لیبل زن روغن</t>
  </si>
  <si>
    <t xml:space="preserve">35224001</t>
  </si>
  <si>
    <t xml:space="preserve">فنر بالای استپ دستگاه لیبل زن روغن</t>
  </si>
  <si>
    <t xml:space="preserve">35224002</t>
  </si>
  <si>
    <t xml:space="preserve">فنر پایین استپ دستگاه لیبل زن روغن</t>
  </si>
  <si>
    <t xml:space="preserve">35224004</t>
  </si>
  <si>
    <r>
      <rPr>
        <sz val="10"/>
        <rFont val="FreeSans"/>
        <family val="2"/>
      </rPr>
      <t xml:space="preserve">چاقوی ضد سایشی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اسپیسر سر خود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دستگاه پرس روغن گویوم</t>
    </r>
  </si>
  <si>
    <t xml:space="preserve">35225002</t>
  </si>
  <si>
    <r>
      <rPr>
        <sz val="10"/>
        <rFont val="FreeSans"/>
        <family val="2"/>
      </rPr>
      <t xml:space="preserve">فیلتر درایر دانفوس بزرگ </t>
    </r>
    <r>
      <rPr>
        <sz val="10"/>
        <rFont val="Vazirmatn"/>
        <family val="0"/>
        <charset val="1"/>
      </rPr>
      <t xml:space="preserve">5/8 </t>
    </r>
    <r>
      <rPr>
        <sz val="10"/>
        <rFont val="FreeSans"/>
        <family val="2"/>
      </rPr>
      <t xml:space="preserve">مهره ای مدل </t>
    </r>
    <r>
      <rPr>
        <sz val="10"/>
        <rFont val="Vazirmatn"/>
        <family val="0"/>
        <charset val="1"/>
      </rPr>
      <t xml:space="preserve">305</t>
    </r>
  </si>
  <si>
    <t xml:space="preserve">35225003</t>
  </si>
  <si>
    <r>
      <rPr>
        <sz val="10"/>
        <rFont val="FreeSans"/>
        <family val="2"/>
      </rPr>
      <t xml:space="preserve">فیلتر دانفوس  </t>
    </r>
    <r>
      <rPr>
        <sz val="10"/>
        <rFont val="Vazirmatn"/>
        <family val="0"/>
        <charset val="1"/>
      </rPr>
      <t xml:space="preserve">5/8</t>
    </r>
  </si>
  <si>
    <t xml:space="preserve">35225006</t>
  </si>
  <si>
    <t xml:space="preserve">فیلتر الیافی</t>
  </si>
  <si>
    <t xml:space="preserve">35225008</t>
  </si>
  <si>
    <r>
      <rPr>
        <sz val="10"/>
        <rFont val="FreeSans"/>
        <family val="2"/>
      </rPr>
      <t xml:space="preserve">فیلتر مرحله 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و </t>
    </r>
    <r>
      <rPr>
        <sz val="10"/>
        <rFont val="Vazirmatn"/>
        <family val="0"/>
        <charset val="1"/>
      </rPr>
      <t xml:space="preserve">3</t>
    </r>
  </si>
  <si>
    <t xml:space="preserve">35225010</t>
  </si>
  <si>
    <r>
      <rPr>
        <sz val="10"/>
        <rFont val="FreeSans"/>
        <family val="2"/>
      </rPr>
      <t xml:space="preserve">فیلتر درایر دنفوس </t>
    </r>
    <r>
      <rPr>
        <sz val="10"/>
        <rFont val="Vazirmatn"/>
        <family val="0"/>
        <charset val="1"/>
      </rPr>
      <t xml:space="preserve">DCL-164</t>
    </r>
  </si>
  <si>
    <t xml:space="preserve">35225012</t>
  </si>
  <si>
    <r>
      <rPr>
        <sz val="10"/>
        <rFont val="FreeSans"/>
        <family val="2"/>
      </rPr>
      <t xml:space="preserve">ست کامل فیلتر دومینو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سری </t>
    </r>
    <r>
      <rPr>
        <sz val="10"/>
        <rFont val="Vazirmatn"/>
        <family val="0"/>
        <charset val="1"/>
      </rPr>
      <t xml:space="preserve">A 210 )</t>
    </r>
  </si>
  <si>
    <t xml:space="preserve">35227001</t>
  </si>
  <si>
    <r>
      <rPr>
        <sz val="10"/>
        <rFont val="FreeSans"/>
        <family val="2"/>
      </rPr>
      <t xml:space="preserve">پکینگ بلوکی هات رول لبه مضاعف کولینگ تاور  </t>
    </r>
    <r>
      <rPr>
        <sz val="10"/>
        <rFont val="Vazirmatn"/>
        <family val="0"/>
        <charset val="1"/>
      </rPr>
      <t xml:space="preserve">MB - 450</t>
    </r>
  </si>
  <si>
    <t xml:space="preserve">35227002</t>
  </si>
  <si>
    <r>
      <rPr>
        <sz val="10"/>
        <rFont val="FreeSans"/>
        <family val="2"/>
      </rPr>
      <t xml:space="preserve">نازل کامل و پایه دکل بطری </t>
    </r>
    <r>
      <rPr>
        <sz val="10"/>
        <rFont val="Vazirmatn"/>
        <family val="0"/>
        <charset val="1"/>
      </rPr>
      <t xml:space="preserve">900 </t>
    </r>
    <r>
      <rPr>
        <sz val="10"/>
        <rFont val="FreeSans"/>
        <family val="2"/>
      </rPr>
      <t xml:space="preserve">سی سی</t>
    </r>
  </si>
  <si>
    <t xml:space="preserve">35227100</t>
  </si>
  <si>
    <r>
      <rPr>
        <sz val="10"/>
        <rFont val="FreeSans"/>
        <family val="2"/>
      </rPr>
      <t xml:space="preserve">نازل و پدال سم پاش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ضد عفونی </t>
    </r>
    <r>
      <rPr>
        <sz val="10"/>
        <rFont val="Vazirmatn"/>
        <family val="0"/>
        <charset val="1"/>
      </rPr>
      <t xml:space="preserve">)</t>
    </r>
  </si>
  <si>
    <t xml:space="preserve">35228001</t>
  </si>
  <si>
    <r>
      <rPr>
        <sz val="10"/>
        <rFont val="FreeSans"/>
        <family val="2"/>
      </rPr>
      <t xml:space="preserve">خمیر فلاکس لحیم کاری  </t>
    </r>
    <r>
      <rPr>
        <sz val="10"/>
        <rFont val="Vazirmatn"/>
        <family val="0"/>
        <charset val="1"/>
      </rPr>
      <t xml:space="preserve">KING B0 - 100gr</t>
    </r>
  </si>
  <si>
    <t xml:space="preserve">35228002</t>
  </si>
  <si>
    <r>
      <rPr>
        <sz val="10"/>
        <rFont val="FreeSans"/>
        <family val="2"/>
      </rPr>
      <t xml:space="preserve">خمیر قلع مکانیک  </t>
    </r>
    <r>
      <rPr>
        <sz val="10"/>
        <rFont val="Vazirmatn"/>
        <family val="0"/>
        <charset val="1"/>
      </rPr>
      <t xml:space="preserve">MC - 908 SP 637</t>
    </r>
  </si>
  <si>
    <t xml:space="preserve">35228003</t>
  </si>
  <si>
    <t xml:space="preserve">مایع فلاکس لحیم کاری</t>
  </si>
  <si>
    <t xml:space="preserve">35228004</t>
  </si>
  <si>
    <t xml:space="preserve">خمیر آبندی توالت فرنگی</t>
  </si>
  <si>
    <t xml:space="preserve">35228100</t>
  </si>
  <si>
    <r>
      <rPr>
        <sz val="10"/>
        <rFont val="FreeSans"/>
        <family val="2"/>
      </rPr>
      <t xml:space="preserve">شبکه چرخ گوشت سالوادور  </t>
    </r>
    <r>
      <rPr>
        <sz val="10"/>
        <rFont val="Vazirmatn"/>
        <family val="0"/>
        <charset val="1"/>
      </rPr>
      <t xml:space="preserve">4/5*32</t>
    </r>
  </si>
  <si>
    <t xml:space="preserve">35228200</t>
  </si>
  <si>
    <t xml:space="preserve">پنجره چرخ گوشت نگینی</t>
  </si>
  <si>
    <t xml:space="preserve">35228201</t>
  </si>
  <si>
    <t xml:space="preserve">پنجره چرخ گوشت سوزنی</t>
  </si>
  <si>
    <t xml:space="preserve">35228301</t>
  </si>
  <si>
    <r>
      <rPr>
        <sz val="10"/>
        <rFont val="FreeSans"/>
        <family val="2"/>
      </rPr>
      <t xml:space="preserve">توری با قاب آلومینیومی لولایی باز شو سمت بیرون </t>
    </r>
    <r>
      <rPr>
        <sz val="10"/>
        <rFont val="Vazirmatn"/>
        <family val="0"/>
        <charset val="1"/>
      </rPr>
      <t xml:space="preserve">1/090mm*2/120mm</t>
    </r>
  </si>
  <si>
    <t xml:space="preserve">35230000</t>
  </si>
  <si>
    <t xml:space="preserve">پرس پا</t>
  </si>
  <si>
    <t xml:space="preserve">35230001</t>
  </si>
  <si>
    <r>
      <rPr>
        <sz val="10"/>
        <rFont val="FreeSans"/>
        <family val="2"/>
      </rPr>
      <t xml:space="preserve">میله هالتر  </t>
    </r>
    <r>
      <rPr>
        <sz val="10"/>
        <rFont val="Vazirmatn"/>
        <family val="0"/>
        <charset val="1"/>
      </rPr>
      <t xml:space="preserve">1/5</t>
    </r>
  </si>
  <si>
    <t xml:space="preserve">35230002</t>
  </si>
  <si>
    <r>
      <rPr>
        <sz val="10"/>
        <rFont val="FreeSans"/>
        <family val="2"/>
      </rPr>
      <t xml:space="preserve">میله هالتر  </t>
    </r>
    <r>
      <rPr>
        <sz val="10"/>
        <rFont val="Vazirmatn"/>
        <family val="0"/>
        <charset val="1"/>
      </rPr>
      <t xml:space="preserve">2/20</t>
    </r>
  </si>
  <si>
    <t xml:space="preserve">35230004</t>
  </si>
  <si>
    <t xml:space="preserve">صفحه هالتر</t>
  </si>
  <si>
    <t xml:space="preserve">35230005</t>
  </si>
  <si>
    <t xml:space="preserve">رک هالتر</t>
  </si>
  <si>
    <t xml:space="preserve">35230006</t>
  </si>
  <si>
    <t xml:space="preserve">رک صفحه هالتر</t>
  </si>
  <si>
    <t xml:space="preserve">35230007</t>
  </si>
  <si>
    <t xml:space="preserve">دسته سیم کش</t>
  </si>
  <si>
    <t xml:space="preserve">35230008</t>
  </si>
  <si>
    <t xml:space="preserve">دستگاه سیم کش زیر بغل قایقی</t>
  </si>
  <si>
    <t xml:space="preserve">35230009</t>
  </si>
  <si>
    <t xml:space="preserve">دستگاه سر شانه</t>
  </si>
  <si>
    <t xml:space="preserve">35230010</t>
  </si>
  <si>
    <t xml:space="preserve">هالتر جلو بازو</t>
  </si>
  <si>
    <t xml:space="preserve">35230011</t>
  </si>
  <si>
    <t xml:space="preserve">میز مدرج</t>
  </si>
  <si>
    <t xml:space="preserve">35230012</t>
  </si>
  <si>
    <t xml:space="preserve">کراس اور بیضی</t>
  </si>
  <si>
    <t xml:space="preserve">35230013</t>
  </si>
  <si>
    <t xml:space="preserve">دستگاه جلو پا</t>
  </si>
  <si>
    <t xml:space="preserve">35230014</t>
  </si>
  <si>
    <t xml:space="preserve">دستگاه پشت پا</t>
  </si>
  <si>
    <t xml:space="preserve">35230015</t>
  </si>
  <si>
    <t xml:space="preserve">ایست و اسکات</t>
  </si>
  <si>
    <t xml:space="preserve">35230016</t>
  </si>
  <si>
    <t xml:space="preserve">پرس سینه حرفه ای</t>
  </si>
  <si>
    <t xml:space="preserve">35230017</t>
  </si>
  <si>
    <t xml:space="preserve">خرک جلو آینه</t>
  </si>
  <si>
    <t xml:space="preserve">35230018</t>
  </si>
  <si>
    <t xml:space="preserve">میز پرس بالا سینه حرفه ای</t>
  </si>
  <si>
    <t xml:space="preserve">35230019</t>
  </si>
  <si>
    <t xml:space="preserve">میز متحرک</t>
  </si>
  <si>
    <t xml:space="preserve">35230021</t>
  </si>
  <si>
    <t xml:space="preserve">میز شیب دار</t>
  </si>
  <si>
    <t xml:space="preserve">35230022</t>
  </si>
  <si>
    <r>
      <rPr>
        <sz val="10"/>
        <rFont val="FreeSans"/>
        <family val="2"/>
      </rPr>
      <t xml:space="preserve">کفپوش ورزشی گرانول </t>
    </r>
    <r>
      <rPr>
        <sz val="10"/>
        <rFont val="Vazirmatn"/>
        <family val="0"/>
        <charset val="1"/>
      </rPr>
      <t xml:space="preserve">100Cm*100Cm</t>
    </r>
  </si>
  <si>
    <t xml:space="preserve">35231004</t>
  </si>
  <si>
    <r>
      <rPr>
        <sz val="10"/>
        <rFont val="FreeSans"/>
        <family val="2"/>
      </rPr>
      <t xml:space="preserve">بلبرینگ یاتاقان رول باز کن </t>
    </r>
    <r>
      <rPr>
        <sz val="10"/>
        <rFont val="Vazirmatn"/>
        <family val="0"/>
        <charset val="1"/>
      </rPr>
      <t xml:space="preserve">6001 </t>
    </r>
    <r>
      <rPr>
        <sz val="10"/>
        <rFont val="FreeSans"/>
        <family val="2"/>
      </rPr>
      <t xml:space="preserve">دستگاه لیبل زن روغن</t>
    </r>
  </si>
  <si>
    <t xml:space="preserve">35231005</t>
  </si>
  <si>
    <t xml:space="preserve">بلبرینگ رفع راند دستگاه لیبل زن روغن</t>
  </si>
  <si>
    <t xml:space="preserve">35232003</t>
  </si>
  <si>
    <r>
      <rPr>
        <sz val="10"/>
        <rFont val="FreeSans"/>
        <family val="2"/>
      </rPr>
      <t xml:space="preserve">بوش لاستیکی محور  </t>
    </r>
    <r>
      <rPr>
        <sz val="10"/>
        <rFont val="Vazirmatn"/>
        <family val="0"/>
        <charset val="1"/>
      </rPr>
      <t xml:space="preserve">SAF</t>
    </r>
  </si>
  <si>
    <t xml:space="preserve">35234000</t>
  </si>
  <si>
    <r>
      <rPr>
        <sz val="10"/>
        <rFont val="FreeSans"/>
        <family val="2"/>
      </rPr>
      <t xml:space="preserve">یاتاقان کولر آبی </t>
    </r>
    <r>
      <rPr>
        <sz val="10"/>
        <rFont val="Vazirmatn"/>
        <family val="0"/>
        <charset val="1"/>
      </rPr>
      <t xml:space="preserve">6500</t>
    </r>
  </si>
  <si>
    <t xml:space="preserve">35234001</t>
  </si>
  <si>
    <r>
      <rPr>
        <sz val="10"/>
        <rFont val="FreeSans"/>
        <family val="2"/>
      </rPr>
      <t xml:space="preserve">میر بیرینگ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یاتاقان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دور خروجی </t>
    </r>
    <r>
      <rPr>
        <sz val="10"/>
        <rFont val="Vazirmatn"/>
        <family val="0"/>
        <charset val="1"/>
      </rPr>
      <t xml:space="preserve">35/5</t>
    </r>
  </si>
  <si>
    <t xml:space="preserve">35237000</t>
  </si>
  <si>
    <r>
      <rPr>
        <sz val="10"/>
        <rFont val="FreeSans"/>
        <family val="2"/>
      </rPr>
      <t xml:space="preserve">اویل سپراتور ساده </t>
    </r>
    <r>
      <rPr>
        <sz val="10"/>
        <rFont val="Vazirmatn"/>
        <family val="0"/>
        <charset val="1"/>
      </rPr>
      <t xml:space="preserve">1/8 1 ( </t>
    </r>
    <r>
      <rPr>
        <sz val="10"/>
        <rFont val="FreeSans"/>
        <family val="2"/>
      </rPr>
      <t xml:space="preserve">مدل </t>
    </r>
    <r>
      <rPr>
        <sz val="10"/>
        <rFont val="Vazirmatn"/>
        <family val="0"/>
        <charset val="1"/>
      </rPr>
      <t xml:space="preserve">5204 O&amp;F )</t>
    </r>
  </si>
  <si>
    <t xml:space="preserve">35237003</t>
  </si>
  <si>
    <r>
      <rPr>
        <sz val="10"/>
        <rFont val="FreeSans"/>
        <family val="2"/>
      </rPr>
      <t xml:space="preserve">اویل سپراتور سبز  </t>
    </r>
    <r>
      <rPr>
        <sz val="10"/>
        <rFont val="Vazirmatn"/>
        <family val="0"/>
        <charset val="1"/>
      </rPr>
      <t xml:space="preserve">1/8 1  O-F F-5204</t>
    </r>
  </si>
  <si>
    <t xml:space="preserve">35237004</t>
  </si>
  <si>
    <r>
      <rPr>
        <sz val="10"/>
        <rFont val="FreeSans"/>
        <family val="2"/>
      </rPr>
      <t xml:space="preserve">اویل سپراتور سبز  </t>
    </r>
    <r>
      <rPr>
        <sz val="10"/>
        <rFont val="Vazirmatn"/>
        <family val="0"/>
        <charset val="1"/>
      </rPr>
      <t xml:space="preserve">5/8 1  O-F F-6206</t>
    </r>
  </si>
  <si>
    <t xml:space="preserve">35237005</t>
  </si>
  <si>
    <r>
      <rPr>
        <sz val="10"/>
        <rFont val="FreeSans"/>
        <family val="2"/>
      </rPr>
      <t xml:space="preserve">اویل سپراتور سبز  </t>
    </r>
    <r>
      <rPr>
        <sz val="10"/>
        <rFont val="Vazirmatn"/>
        <family val="0"/>
        <charset val="1"/>
      </rPr>
      <t xml:space="preserve">5/8   O-F F-5202</t>
    </r>
  </si>
  <si>
    <t xml:space="preserve">35237006</t>
  </si>
  <si>
    <r>
      <rPr>
        <sz val="10"/>
        <rFont val="FreeSans"/>
        <family val="2"/>
      </rPr>
      <t xml:space="preserve">اویل سپراتور مشکی  </t>
    </r>
    <r>
      <rPr>
        <sz val="10"/>
        <rFont val="Vazirmatn"/>
        <family val="0"/>
        <charset val="1"/>
      </rPr>
      <t xml:space="preserve">5/8 1  O-F F-6206</t>
    </r>
  </si>
  <si>
    <t xml:space="preserve">35237007</t>
  </si>
  <si>
    <r>
      <rPr>
        <sz val="10"/>
        <rFont val="FreeSans"/>
        <family val="2"/>
      </rPr>
      <t xml:space="preserve">اویل سپراتور  </t>
    </r>
    <r>
      <rPr>
        <sz val="10"/>
        <rFont val="Vazirmatn"/>
        <family val="0"/>
        <charset val="1"/>
      </rPr>
      <t xml:space="preserve">Press : 13bar Yol = 6/3L F-6504</t>
    </r>
  </si>
  <si>
    <t xml:space="preserve">35237008</t>
  </si>
  <si>
    <r>
      <rPr>
        <sz val="10"/>
        <rFont val="FreeSans"/>
        <family val="2"/>
      </rPr>
      <t xml:space="preserve">دیسکلر </t>
    </r>
    <r>
      <rPr>
        <sz val="10"/>
        <rFont val="Vazirmatn"/>
        <family val="0"/>
        <charset val="1"/>
      </rPr>
      <t xml:space="preserve">60% ( </t>
    </r>
    <r>
      <rPr>
        <sz val="10"/>
        <rFont val="FreeSans"/>
        <family val="2"/>
      </rPr>
      <t xml:space="preserve">رسوب زدا </t>
    </r>
    <r>
      <rPr>
        <sz val="10"/>
        <rFont val="Vazirmatn"/>
        <family val="0"/>
        <charset val="1"/>
      </rPr>
      <t xml:space="preserve">)</t>
    </r>
  </si>
  <si>
    <t xml:space="preserve">35239000</t>
  </si>
  <si>
    <r>
      <rPr>
        <sz val="10"/>
        <rFont val="FreeSans"/>
        <family val="2"/>
      </rPr>
      <t xml:space="preserve">روغن موتور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زمانه</t>
    </r>
  </si>
  <si>
    <t xml:space="preserve">35240013</t>
  </si>
  <si>
    <r>
      <rPr>
        <sz val="10"/>
        <rFont val="FreeSans"/>
        <family val="2"/>
      </rPr>
      <t xml:space="preserve">کفی کولر آبی  </t>
    </r>
    <r>
      <rPr>
        <sz val="10"/>
        <rFont val="Vazirmatn"/>
        <family val="0"/>
        <charset val="1"/>
      </rPr>
      <t xml:space="preserve">6500</t>
    </r>
  </si>
  <si>
    <t xml:space="preserve">35240014</t>
  </si>
  <si>
    <r>
      <rPr>
        <sz val="10"/>
        <rFont val="FreeSans"/>
        <family val="2"/>
      </rPr>
      <t xml:space="preserve">کفی کولر آبی  </t>
    </r>
    <r>
      <rPr>
        <sz val="10"/>
        <rFont val="Vazirmatn"/>
        <family val="0"/>
        <charset val="1"/>
      </rPr>
      <t xml:space="preserve">3500</t>
    </r>
  </si>
  <si>
    <t xml:space="preserve">35240015</t>
  </si>
  <si>
    <r>
      <rPr>
        <sz val="10"/>
        <rFont val="FreeSans"/>
        <family val="2"/>
      </rPr>
      <t xml:space="preserve">کفی کولر آبی  </t>
    </r>
    <r>
      <rPr>
        <sz val="10"/>
        <rFont val="Vazirmatn"/>
        <family val="0"/>
        <charset val="1"/>
      </rPr>
      <t xml:space="preserve">5000</t>
    </r>
  </si>
  <si>
    <t xml:space="preserve">35241003</t>
  </si>
  <si>
    <r>
      <rPr>
        <sz val="10"/>
        <rFont val="FreeSans"/>
        <family val="2"/>
      </rPr>
      <t xml:space="preserve">تسمه تایم ریل بالای  </t>
    </r>
    <r>
      <rPr>
        <sz val="10"/>
        <rFont val="Vazirmatn"/>
        <family val="0"/>
        <charset val="1"/>
      </rPr>
      <t xml:space="preserve">1100H </t>
    </r>
    <r>
      <rPr>
        <sz val="10"/>
        <rFont val="FreeSans"/>
        <family val="2"/>
      </rPr>
      <t xml:space="preserve">دستگاه لیبل زن روغن</t>
    </r>
  </si>
  <si>
    <t xml:space="preserve">35242000</t>
  </si>
  <si>
    <r>
      <rPr>
        <sz val="10"/>
        <rFont val="FreeSans"/>
        <family val="2"/>
      </rPr>
      <t xml:space="preserve">پین </t>
    </r>
    <r>
      <rPr>
        <sz val="10"/>
        <rFont val="Vazirmatn"/>
        <family val="0"/>
        <charset val="1"/>
      </rPr>
      <t xml:space="preserve">217 </t>
    </r>
    <r>
      <rPr>
        <sz val="10"/>
        <rFont val="FreeSans"/>
        <family val="2"/>
      </rPr>
      <t xml:space="preserve">سکوریت</t>
    </r>
  </si>
  <si>
    <t xml:space="preserve">35242001</t>
  </si>
  <si>
    <r>
      <rPr>
        <sz val="10"/>
        <rFont val="FreeSans"/>
        <family val="2"/>
      </rPr>
      <t xml:space="preserve">تنظیم کننده پیچ اسبک </t>
    </r>
    <r>
      <rPr>
        <sz val="10"/>
        <rFont val="Vazirmatn"/>
        <family val="0"/>
        <charset val="1"/>
      </rPr>
      <t xml:space="preserve">MAK</t>
    </r>
  </si>
  <si>
    <t xml:space="preserve">35242002</t>
  </si>
  <si>
    <r>
      <rPr>
        <sz val="10"/>
        <rFont val="FreeSans"/>
        <family val="2"/>
      </rPr>
      <t xml:space="preserve">اشپیل طول </t>
    </r>
    <r>
      <rPr>
        <sz val="10"/>
        <rFont val="Vazirmatn"/>
        <family val="0"/>
        <charset val="1"/>
      </rPr>
      <t xml:space="preserve">47mm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4/8mm</t>
    </r>
  </si>
  <si>
    <t xml:space="preserve">35244000</t>
  </si>
  <si>
    <t xml:space="preserve">کوپلینگ فلزی تو پیچ موتور آب</t>
  </si>
  <si>
    <t xml:space="preserve">35244001</t>
  </si>
  <si>
    <r>
      <rPr>
        <sz val="10"/>
        <rFont val="FreeSans"/>
        <family val="2"/>
      </rPr>
      <t xml:space="preserve">کوپلینگ شفت پرس به گیربکس </t>
    </r>
    <r>
      <rPr>
        <sz val="10"/>
        <rFont val="Vazirmatn"/>
        <family val="0"/>
        <charset val="1"/>
      </rPr>
      <t xml:space="preserve">Ratio : 40.84</t>
    </r>
  </si>
  <si>
    <t xml:space="preserve">35244002</t>
  </si>
  <si>
    <t xml:space="preserve">پولی سر گیربکس</t>
  </si>
  <si>
    <t xml:space="preserve">35244004</t>
  </si>
  <si>
    <t xml:space="preserve">واسطه هد درب بند</t>
  </si>
  <si>
    <t xml:space="preserve">35244100</t>
  </si>
  <si>
    <t xml:space="preserve">فیلم و زینک</t>
  </si>
  <si>
    <t xml:space="preserve">35244101</t>
  </si>
  <si>
    <t xml:space="preserve">قالب تخت</t>
  </si>
  <si>
    <t xml:space="preserve">35247001</t>
  </si>
  <si>
    <r>
      <rPr>
        <sz val="10"/>
        <rFont val="FreeSans"/>
        <family val="2"/>
      </rPr>
      <t xml:space="preserve">منو ریل زنجیری جرثقیل  </t>
    </r>
    <r>
      <rPr>
        <sz val="10"/>
        <rFont val="Vazirmatn"/>
        <family val="0"/>
        <charset val="1"/>
      </rPr>
      <t xml:space="preserve">2ton</t>
    </r>
  </si>
  <si>
    <t xml:space="preserve">35247002</t>
  </si>
  <si>
    <t xml:space="preserve">منو ریل جرثقیل</t>
  </si>
  <si>
    <t xml:space="preserve">35247003</t>
  </si>
  <si>
    <r>
      <rPr>
        <sz val="10"/>
        <rFont val="FreeSans"/>
        <family val="2"/>
      </rPr>
      <t xml:space="preserve">گلویی راه بند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خروج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نگهدارنده بوم</t>
    </r>
  </si>
  <si>
    <t xml:space="preserve">35247004</t>
  </si>
  <si>
    <r>
      <rPr>
        <sz val="10"/>
        <rFont val="FreeSans"/>
        <family val="2"/>
      </rPr>
      <t xml:space="preserve">پایه کوپلینگ باسکول  </t>
    </r>
    <r>
      <rPr>
        <sz val="10"/>
        <rFont val="Vazirmatn"/>
        <family val="0"/>
        <charset val="1"/>
      </rPr>
      <t xml:space="preserve">2TON</t>
    </r>
  </si>
  <si>
    <t xml:space="preserve">35247006</t>
  </si>
  <si>
    <r>
      <rPr>
        <sz val="10"/>
        <rFont val="FreeSans"/>
        <family val="2"/>
      </rPr>
      <t xml:space="preserve">گلوگیر بطری </t>
    </r>
    <r>
      <rPr>
        <sz val="10"/>
        <rFont val="Vazirmatn"/>
        <family val="0"/>
        <charset val="1"/>
      </rPr>
      <t xml:space="preserve">900 </t>
    </r>
    <r>
      <rPr>
        <sz val="10"/>
        <rFont val="FreeSans"/>
        <family val="2"/>
      </rPr>
      <t xml:space="preserve">سی سی کتابی جهت پر کن</t>
    </r>
  </si>
  <si>
    <t xml:space="preserve">35247007</t>
  </si>
  <si>
    <t xml:space="preserve">گلوگیر درب بند</t>
  </si>
  <si>
    <t xml:space="preserve">35251002</t>
  </si>
  <si>
    <r>
      <rPr>
        <sz val="10"/>
        <rFont val="FreeSans"/>
        <family val="2"/>
      </rPr>
      <t xml:space="preserve">شفت حلزونی پروانه کولر آبی </t>
    </r>
    <r>
      <rPr>
        <sz val="10"/>
        <rFont val="Vazirmatn"/>
        <family val="0"/>
        <charset val="1"/>
      </rPr>
      <t xml:space="preserve">6500  65cm</t>
    </r>
  </si>
  <si>
    <t xml:space="preserve">35251003</t>
  </si>
  <si>
    <t xml:space="preserve">شفت اصلی پرس دستگاه پرس روغن گویوم</t>
  </si>
  <si>
    <t xml:space="preserve">35253001</t>
  </si>
  <si>
    <r>
      <rPr>
        <sz val="10"/>
        <rFont val="FreeSans"/>
        <family val="2"/>
      </rPr>
      <t xml:space="preserve">فلاب روی لوله آبگردان </t>
    </r>
    <r>
      <rPr>
        <sz val="10"/>
        <rFont val="Vazirmatn"/>
        <family val="0"/>
        <charset val="1"/>
      </rPr>
      <t xml:space="preserve">2/20m</t>
    </r>
  </si>
  <si>
    <t xml:space="preserve">35253002</t>
  </si>
  <si>
    <t xml:space="preserve">کاور موتور ساید</t>
  </si>
  <si>
    <t xml:space="preserve">35253004</t>
  </si>
  <si>
    <t xml:space="preserve">کاور درب هد جت پرینتر دومینو</t>
  </si>
  <si>
    <t xml:space="preserve">35254000</t>
  </si>
  <si>
    <r>
      <rPr>
        <sz val="10"/>
        <rFont val="FreeSans"/>
        <family val="2"/>
      </rPr>
      <t xml:space="preserve">زین دوچرخه </t>
    </r>
    <r>
      <rPr>
        <sz val="10"/>
        <rFont val="Vazirmatn"/>
        <family val="0"/>
        <charset val="1"/>
      </rPr>
      <t xml:space="preserve">26</t>
    </r>
  </si>
  <si>
    <t xml:space="preserve">35254001</t>
  </si>
  <si>
    <r>
      <rPr>
        <sz val="10"/>
        <rFont val="FreeSans"/>
        <family val="2"/>
      </rPr>
      <t xml:space="preserve">پیستون </t>
    </r>
    <r>
      <rPr>
        <sz val="10"/>
        <rFont val="Vazirmatn"/>
        <family val="0"/>
        <charset val="1"/>
      </rPr>
      <t xml:space="preserve">4022 </t>
    </r>
    <r>
      <rPr>
        <sz val="10"/>
        <rFont val="FreeSans"/>
        <family val="2"/>
      </rPr>
      <t xml:space="preserve">سامپا</t>
    </r>
  </si>
  <si>
    <t xml:space="preserve">35254105</t>
  </si>
  <si>
    <r>
      <rPr>
        <sz val="10"/>
        <rFont val="FreeSans"/>
        <family val="2"/>
      </rPr>
      <t xml:space="preserve">سوپاپ ورودی و خروجی آب کارواش اینتر </t>
    </r>
    <r>
      <rPr>
        <sz val="10"/>
        <rFont val="Vazirmatn"/>
        <family val="0"/>
        <charset val="1"/>
      </rPr>
      <t xml:space="preserve">200bar</t>
    </r>
  </si>
  <si>
    <t xml:space="preserve">35262003</t>
  </si>
  <si>
    <t xml:space="preserve">پیچ سازه سر مته کناف</t>
  </si>
  <si>
    <t xml:space="preserve">35262004</t>
  </si>
  <si>
    <t xml:space="preserve">پیچ پنل کناف</t>
  </si>
  <si>
    <t xml:space="preserve">35262005</t>
  </si>
  <si>
    <t xml:space="preserve">پیچ آهن کشی شیشه سکوریت</t>
  </si>
  <si>
    <t xml:space="preserve">35262006</t>
  </si>
  <si>
    <t xml:space="preserve">35262007</t>
  </si>
  <si>
    <t xml:space="preserve">پیچ پیستون</t>
  </si>
  <si>
    <t xml:space="preserve">35262008</t>
  </si>
  <si>
    <t xml:space="preserve">ست پیچ قفل</t>
  </si>
  <si>
    <t xml:space="preserve">35263002</t>
  </si>
  <si>
    <t xml:space="preserve">مهره اتصال سرشلنگی داخل برنجی کولر آبی</t>
  </si>
  <si>
    <t xml:space="preserve">35263003</t>
  </si>
  <si>
    <r>
      <rPr>
        <sz val="10"/>
        <rFont val="FreeSans"/>
        <family val="2"/>
      </rPr>
      <t xml:space="preserve">مهره و اتصالات کسدل بدون گیج فشار </t>
    </r>
    <r>
      <rPr>
        <sz val="10"/>
        <rFont val="Vazirmatn"/>
        <family val="0"/>
        <charset val="1"/>
      </rPr>
      <t xml:space="preserve">( 5/5 </t>
    </r>
    <r>
      <rPr>
        <sz val="10"/>
        <rFont val="FreeSans"/>
        <family val="2"/>
      </rPr>
      <t xml:space="preserve">الی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اسب </t>
    </r>
    <r>
      <rPr>
        <sz val="10"/>
        <rFont val="Vazirmatn"/>
        <family val="0"/>
        <charset val="1"/>
      </rPr>
      <t xml:space="preserve">)</t>
    </r>
  </si>
  <si>
    <t xml:space="preserve">35264003</t>
  </si>
  <si>
    <r>
      <rPr>
        <sz val="10"/>
        <rFont val="FreeSans"/>
        <family val="2"/>
      </rPr>
      <t xml:space="preserve">عدسی کف و پلیت داخل مخزن پلی اتیلن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متر مکعب</t>
    </r>
  </si>
  <si>
    <t xml:space="preserve">35264004</t>
  </si>
  <si>
    <r>
      <rPr>
        <sz val="10"/>
        <rFont val="FreeSans"/>
        <family val="2"/>
      </rPr>
      <t xml:space="preserve">درپوش پایه بلند آذین </t>
    </r>
    <r>
      <rPr>
        <sz val="10"/>
        <rFont val="Vazirmatn"/>
        <family val="0"/>
        <charset val="1"/>
      </rPr>
      <t xml:space="preserve">" 1/2</t>
    </r>
  </si>
  <si>
    <t xml:space="preserve">35264005</t>
  </si>
  <si>
    <t xml:space="preserve">هوزینگ</t>
  </si>
  <si>
    <t xml:space="preserve">35264006</t>
  </si>
  <si>
    <r>
      <rPr>
        <sz val="10"/>
        <rFont val="FreeSans"/>
        <family val="2"/>
      </rPr>
      <t xml:space="preserve">پوسته چهار کر </t>
    </r>
    <r>
      <rPr>
        <sz val="10"/>
        <rFont val="Vazirmatn"/>
        <family val="0"/>
        <charset val="1"/>
      </rPr>
      <t xml:space="preserve">5/8 1  O-F FD-19213</t>
    </r>
  </si>
  <si>
    <t xml:space="preserve">35264007</t>
  </si>
  <si>
    <r>
      <rPr>
        <sz val="10"/>
        <rFont val="FreeSans"/>
        <family val="2"/>
      </rPr>
      <t xml:space="preserve">پوسته چهار کر </t>
    </r>
    <r>
      <rPr>
        <sz val="10"/>
        <rFont val="Vazirmatn"/>
        <family val="0"/>
        <charset val="1"/>
      </rPr>
      <t xml:space="preserve">1/8 2  O-F FD-19217</t>
    </r>
  </si>
  <si>
    <t xml:space="preserve">35264008</t>
  </si>
  <si>
    <r>
      <rPr>
        <sz val="10"/>
        <rFont val="FreeSans"/>
        <family val="2"/>
      </rPr>
      <t xml:space="preserve">پوسته سه کر </t>
    </r>
    <r>
      <rPr>
        <sz val="10"/>
        <rFont val="Vazirmatn"/>
        <family val="0"/>
        <charset val="1"/>
      </rPr>
      <t xml:space="preserve">5/8 1  O-F FD-14413</t>
    </r>
  </si>
  <si>
    <t xml:space="preserve">35264009</t>
  </si>
  <si>
    <r>
      <rPr>
        <sz val="10"/>
        <rFont val="FreeSans"/>
        <family val="2"/>
      </rPr>
      <t xml:space="preserve">پوسته فیلتر ساکشن تک کر </t>
    </r>
    <r>
      <rPr>
        <sz val="10"/>
        <rFont val="Vazirmatn"/>
        <family val="0"/>
        <charset val="1"/>
      </rPr>
      <t xml:space="preserve">5/8 2  O-F FDS-4821</t>
    </r>
  </si>
  <si>
    <t xml:space="preserve">35264032</t>
  </si>
  <si>
    <r>
      <rPr>
        <sz val="10"/>
        <rFont val="FreeSans"/>
        <family val="2"/>
      </rPr>
      <t xml:space="preserve">درپوش کناری تابلو برق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ورق آهنی </t>
    </r>
    <r>
      <rPr>
        <sz val="10"/>
        <rFont val="Vazirmatn"/>
        <family val="0"/>
        <charset val="1"/>
      </rPr>
      <t xml:space="preserve">2/20m*80cm*2mm)</t>
    </r>
  </si>
  <si>
    <t xml:space="preserve">35265000</t>
  </si>
  <si>
    <r>
      <rPr>
        <sz val="10"/>
        <rFont val="FreeSans"/>
        <family val="2"/>
      </rPr>
      <t xml:space="preserve">الکترود جرقه طول چینی </t>
    </r>
    <r>
      <rPr>
        <sz val="10"/>
        <rFont val="Vazirmatn"/>
        <family val="0"/>
        <charset val="1"/>
      </rPr>
      <t xml:space="preserve">20cm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14mm</t>
    </r>
  </si>
  <si>
    <t xml:space="preserve">35265001</t>
  </si>
  <si>
    <r>
      <rPr>
        <sz val="10"/>
        <rFont val="FreeSans"/>
        <family val="2"/>
      </rPr>
      <t xml:space="preserve">الکترود جرقه طول چینی </t>
    </r>
    <r>
      <rPr>
        <sz val="10"/>
        <rFont val="Vazirmatn"/>
        <family val="0"/>
        <charset val="1"/>
      </rPr>
      <t xml:space="preserve">20cm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16mm</t>
    </r>
  </si>
  <si>
    <t xml:space="preserve">35266001</t>
  </si>
  <si>
    <t xml:space="preserve">استپ درب سکوریت</t>
  </si>
  <si>
    <t xml:space="preserve">35266002</t>
  </si>
  <si>
    <r>
      <rPr>
        <sz val="10"/>
        <rFont val="FreeSans"/>
        <family val="2"/>
      </rPr>
      <t xml:space="preserve">لولای </t>
    </r>
    <r>
      <rPr>
        <sz val="10"/>
        <rFont val="Vazirmatn"/>
        <family val="0"/>
        <charset val="1"/>
      </rPr>
      <t xml:space="preserve">102 - 101 </t>
    </r>
    <r>
      <rPr>
        <sz val="10"/>
        <rFont val="FreeSans"/>
        <family val="2"/>
      </rPr>
      <t xml:space="preserve">سکوریت</t>
    </r>
  </si>
  <si>
    <t xml:space="preserve">35266003</t>
  </si>
  <si>
    <r>
      <rPr>
        <sz val="10"/>
        <rFont val="FreeSans"/>
        <family val="2"/>
      </rPr>
      <t xml:space="preserve">لولای </t>
    </r>
    <r>
      <rPr>
        <sz val="10"/>
        <rFont val="Vazirmatn"/>
        <family val="0"/>
        <charset val="1"/>
      </rPr>
      <t xml:space="preserve">103 </t>
    </r>
    <r>
      <rPr>
        <sz val="10"/>
        <rFont val="FreeSans"/>
        <family val="2"/>
      </rPr>
      <t xml:space="preserve">سکوریت</t>
    </r>
  </si>
  <si>
    <t xml:space="preserve">35266004</t>
  </si>
  <si>
    <t xml:space="preserve">35266005</t>
  </si>
  <si>
    <r>
      <rPr>
        <sz val="10"/>
        <rFont val="FreeSans"/>
        <family val="2"/>
      </rPr>
      <t xml:space="preserve">قفل </t>
    </r>
    <r>
      <rPr>
        <sz val="10"/>
        <rFont val="Vazirmatn"/>
        <family val="0"/>
        <charset val="1"/>
      </rPr>
      <t xml:space="preserve">115 </t>
    </r>
    <r>
      <rPr>
        <sz val="10"/>
        <rFont val="FreeSans"/>
        <family val="2"/>
      </rPr>
      <t xml:space="preserve">درب شیشه سکوریت</t>
    </r>
  </si>
  <si>
    <t xml:space="preserve">35266007</t>
  </si>
  <si>
    <t xml:space="preserve">دستگیره سکوریت</t>
  </si>
  <si>
    <t xml:space="preserve">35266010</t>
  </si>
  <si>
    <r>
      <rPr>
        <sz val="10"/>
        <rFont val="FreeSans"/>
        <family val="2"/>
      </rPr>
      <t xml:space="preserve">دستگیره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تیکه سوئیچی طرح رزتی</t>
    </r>
  </si>
  <si>
    <t xml:space="preserve">35266011</t>
  </si>
  <si>
    <r>
      <rPr>
        <sz val="10"/>
        <rFont val="FreeSans"/>
        <family val="2"/>
      </rPr>
      <t xml:space="preserve">قفل سوئیچی  </t>
    </r>
    <r>
      <rPr>
        <sz val="10"/>
        <rFont val="Vazirmatn"/>
        <family val="0"/>
        <charset val="1"/>
      </rPr>
      <t xml:space="preserve">8Cm</t>
    </r>
  </si>
  <si>
    <t xml:space="preserve">35266012</t>
  </si>
  <si>
    <t xml:space="preserve">سیلندر مغزی</t>
  </si>
  <si>
    <t xml:space="preserve">35266013</t>
  </si>
  <si>
    <t xml:space="preserve">کشویی مغزی</t>
  </si>
  <si>
    <t xml:space="preserve">35266014</t>
  </si>
  <si>
    <r>
      <rPr>
        <sz val="10"/>
        <rFont val="FreeSans"/>
        <family val="2"/>
      </rPr>
      <t xml:space="preserve">لولای سر نیزه ای </t>
    </r>
    <r>
      <rPr>
        <sz val="10"/>
        <rFont val="Vazirmatn"/>
        <family val="0"/>
        <charset val="1"/>
      </rPr>
      <t xml:space="preserve">10Cm</t>
    </r>
  </si>
  <si>
    <t xml:space="preserve">35266015</t>
  </si>
  <si>
    <t xml:space="preserve">دستگیره هوپه</t>
  </si>
  <si>
    <t xml:space="preserve">35266017</t>
  </si>
  <si>
    <r>
      <rPr>
        <sz val="10"/>
        <rFont val="FreeSans"/>
        <family val="2"/>
      </rPr>
      <t xml:space="preserve">لولای </t>
    </r>
    <r>
      <rPr>
        <sz val="10"/>
        <rFont val="Vazirmatn"/>
        <family val="0"/>
        <charset val="1"/>
      </rPr>
      <t xml:space="preserve">101 </t>
    </r>
    <r>
      <rPr>
        <sz val="10"/>
        <rFont val="FreeSans"/>
        <family val="2"/>
      </rPr>
      <t xml:space="preserve">سکوریت</t>
    </r>
  </si>
  <si>
    <t xml:space="preserve">35266018</t>
  </si>
  <si>
    <r>
      <rPr>
        <sz val="10"/>
        <rFont val="FreeSans"/>
        <family val="2"/>
      </rPr>
      <t xml:space="preserve">لولای </t>
    </r>
    <r>
      <rPr>
        <sz val="10"/>
        <rFont val="Vazirmatn"/>
        <family val="0"/>
        <charset val="1"/>
      </rPr>
      <t xml:space="preserve">102 </t>
    </r>
    <r>
      <rPr>
        <sz val="10"/>
        <rFont val="FreeSans"/>
        <family val="2"/>
      </rPr>
      <t xml:space="preserve">سکوریت</t>
    </r>
  </si>
  <si>
    <t xml:space="preserve">35269000</t>
  </si>
  <si>
    <r>
      <rPr>
        <sz val="10"/>
        <rFont val="FreeSans"/>
        <family val="2"/>
      </rPr>
      <t xml:space="preserve">الماسه جوشی راست تراش استیل بر  </t>
    </r>
    <r>
      <rPr>
        <sz val="10"/>
        <rFont val="Vazirmatn"/>
        <family val="0"/>
        <charset val="1"/>
      </rPr>
      <t xml:space="preserve">M 20</t>
    </r>
  </si>
  <si>
    <t xml:space="preserve">35269100</t>
  </si>
  <si>
    <t xml:space="preserve">قلاب نگهدارنده بالا گیر</t>
  </si>
  <si>
    <t xml:space="preserve">35271004</t>
  </si>
  <si>
    <r>
      <rPr>
        <sz val="10"/>
        <rFont val="FreeSans"/>
        <family val="2"/>
      </rPr>
      <t xml:space="preserve">صافی گاز دنده ای </t>
    </r>
    <r>
      <rPr>
        <sz val="10"/>
        <rFont val="Vazirmatn"/>
        <family val="0"/>
        <charset val="1"/>
      </rPr>
      <t xml:space="preserve">"2</t>
    </r>
  </si>
  <si>
    <t xml:space="preserve">35271005</t>
  </si>
  <si>
    <r>
      <rPr>
        <sz val="10"/>
        <rFont val="FreeSans"/>
        <family val="2"/>
      </rPr>
      <t xml:space="preserve">شیر اکسپنشن  </t>
    </r>
    <r>
      <rPr>
        <sz val="10"/>
        <rFont val="Vazirmatn"/>
        <family val="0"/>
        <charset val="1"/>
      </rPr>
      <t xml:space="preserve">SEHI - 175 Sporlan</t>
    </r>
  </si>
  <si>
    <t xml:space="preserve">35271006</t>
  </si>
  <si>
    <r>
      <rPr>
        <sz val="10"/>
        <rFont val="FreeSans"/>
        <family val="2"/>
      </rPr>
      <t xml:space="preserve">اکسپنشن دانفوس  </t>
    </r>
    <r>
      <rPr>
        <sz val="10"/>
        <rFont val="Vazirmatn"/>
        <family val="0"/>
        <charset val="1"/>
      </rPr>
      <t xml:space="preserve">TEX 5</t>
    </r>
  </si>
  <si>
    <t xml:space="preserve">35271007</t>
  </si>
  <si>
    <r>
      <rPr>
        <sz val="10"/>
        <rFont val="FreeSans"/>
        <family val="2"/>
      </rPr>
      <t xml:space="preserve">تنه پایین اکسپنشن دانفوس جوشی  </t>
    </r>
    <r>
      <rPr>
        <sz val="10"/>
        <rFont val="Vazirmatn"/>
        <family val="0"/>
        <charset val="1"/>
      </rPr>
      <t xml:space="preserve">TE5 - 5/8 * 7/8</t>
    </r>
  </si>
  <si>
    <t xml:space="preserve">35271008</t>
  </si>
  <si>
    <r>
      <rPr>
        <sz val="10"/>
        <rFont val="FreeSans"/>
        <family val="2"/>
      </rPr>
      <t xml:space="preserve">شیر برقی </t>
    </r>
    <r>
      <rPr>
        <sz val="10"/>
        <rFont val="Vazirmatn"/>
        <family val="0"/>
        <charset val="1"/>
      </rPr>
      <t xml:space="preserve">5/8 </t>
    </r>
    <r>
      <rPr>
        <sz val="10"/>
        <rFont val="FreeSans"/>
        <family val="2"/>
      </rPr>
      <t xml:space="preserve">مهره ای بزرگ دانفوس  </t>
    </r>
    <r>
      <rPr>
        <sz val="10"/>
        <rFont val="Vazirmatn"/>
        <family val="0"/>
        <charset val="1"/>
      </rPr>
      <t xml:space="preserve">EVR - 15</t>
    </r>
  </si>
  <si>
    <t xml:space="preserve">35271009</t>
  </si>
  <si>
    <r>
      <rPr>
        <sz val="10"/>
        <rFont val="FreeSans"/>
        <family val="2"/>
      </rPr>
      <t xml:space="preserve">شیر دستی مهره ای دانفوس </t>
    </r>
    <r>
      <rPr>
        <sz val="10"/>
        <rFont val="Vazirmatn"/>
        <family val="0"/>
        <charset val="1"/>
      </rPr>
      <t xml:space="preserve">5/8</t>
    </r>
  </si>
  <si>
    <t xml:space="preserve">35271010</t>
  </si>
  <si>
    <r>
      <rPr>
        <sz val="10"/>
        <rFont val="FreeSans"/>
        <family val="2"/>
      </rPr>
      <t xml:space="preserve">سایت گلاس مهره ای دانفوس </t>
    </r>
    <r>
      <rPr>
        <sz val="10"/>
        <rFont val="Vazirmatn"/>
        <family val="0"/>
        <charset val="1"/>
      </rPr>
      <t xml:space="preserve">5/8</t>
    </r>
  </si>
  <si>
    <t xml:space="preserve">35271011</t>
  </si>
  <si>
    <r>
      <rPr>
        <sz val="10"/>
        <rFont val="FreeSans"/>
        <family val="2"/>
      </rPr>
      <t xml:space="preserve">شیر برقی دنفوس </t>
    </r>
    <r>
      <rPr>
        <sz val="10"/>
        <rFont val="Vazirmatn"/>
        <family val="0"/>
        <charset val="1"/>
      </rPr>
      <t xml:space="preserve">EVR 15  5/8 S</t>
    </r>
  </si>
  <si>
    <t xml:space="preserve">35271012</t>
  </si>
  <si>
    <r>
      <rPr>
        <sz val="10"/>
        <rFont val="FreeSans"/>
        <family val="2"/>
      </rPr>
      <t xml:space="preserve">شیر برقی دنفوس </t>
    </r>
    <r>
      <rPr>
        <sz val="10"/>
        <rFont val="Vazirmatn"/>
        <family val="0"/>
        <charset val="1"/>
      </rPr>
      <t xml:space="preserve">EVR 6  3/8 F</t>
    </r>
  </si>
  <si>
    <t xml:space="preserve">35271013</t>
  </si>
  <si>
    <r>
      <rPr>
        <sz val="10"/>
        <rFont val="FreeSans"/>
        <family val="2"/>
      </rPr>
      <t xml:space="preserve">اکسپنشن ولو دنفوس </t>
    </r>
    <r>
      <rPr>
        <sz val="10"/>
        <rFont val="Vazirmatn"/>
        <family val="0"/>
        <charset val="1"/>
      </rPr>
      <t xml:space="preserve">TES-12 MOP</t>
    </r>
  </si>
  <si>
    <t xml:space="preserve">35271014</t>
  </si>
  <si>
    <r>
      <rPr>
        <sz val="10"/>
        <rFont val="FreeSans"/>
        <family val="2"/>
      </rPr>
      <t xml:space="preserve">شیر بال ولو پورت دار دنفوس </t>
    </r>
    <r>
      <rPr>
        <sz val="10"/>
        <rFont val="Vazirmatn"/>
        <family val="0"/>
        <charset val="1"/>
      </rPr>
      <t xml:space="preserve">5/8  GBC-16S</t>
    </r>
  </si>
  <si>
    <t xml:space="preserve">35271015</t>
  </si>
  <si>
    <r>
      <rPr>
        <sz val="10"/>
        <rFont val="FreeSans"/>
        <family val="2"/>
      </rPr>
      <t xml:space="preserve">شیر بال ولو پورت دار دنفوس </t>
    </r>
    <r>
      <rPr>
        <sz val="10"/>
        <rFont val="Vazirmatn"/>
        <family val="0"/>
        <charset val="1"/>
      </rPr>
      <t xml:space="preserve">1/8 1  GBC-28S</t>
    </r>
  </si>
  <si>
    <t xml:space="preserve">35271016</t>
  </si>
  <si>
    <r>
      <rPr>
        <sz val="10"/>
        <rFont val="FreeSans"/>
        <family val="2"/>
      </rPr>
      <t xml:space="preserve">شیر بال ولو پورت دار دنفوس </t>
    </r>
    <r>
      <rPr>
        <sz val="10"/>
        <rFont val="Vazirmatn"/>
        <family val="0"/>
        <charset val="1"/>
      </rPr>
      <t xml:space="preserve">7/8  GBC-22S</t>
    </r>
  </si>
  <si>
    <t xml:space="preserve">35271017</t>
  </si>
  <si>
    <t xml:space="preserve">35271019</t>
  </si>
  <si>
    <r>
      <rPr>
        <sz val="10"/>
        <rFont val="FreeSans"/>
        <family val="2"/>
      </rPr>
      <t xml:space="preserve">شیر آشپزخانه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ظرفشویی </t>
    </r>
    <r>
      <rPr>
        <sz val="10"/>
        <rFont val="Vazirmatn"/>
        <family val="0"/>
        <charset val="1"/>
      </rPr>
      <t xml:space="preserve">)</t>
    </r>
  </si>
  <si>
    <t xml:space="preserve">35272000</t>
  </si>
  <si>
    <r>
      <rPr>
        <sz val="10"/>
        <rFont val="FreeSans"/>
        <family val="2"/>
      </rPr>
      <t xml:space="preserve">زانویی مسی   </t>
    </r>
    <r>
      <rPr>
        <sz val="10"/>
        <rFont val="Vazirmatn"/>
        <family val="0"/>
        <charset val="1"/>
      </rPr>
      <t xml:space="preserve">42mm</t>
    </r>
  </si>
  <si>
    <t xml:space="preserve">35273004</t>
  </si>
  <si>
    <t xml:space="preserve">سر شیلنگی پلاستیکی موتور آب</t>
  </si>
  <si>
    <t xml:space="preserve">35274001</t>
  </si>
  <si>
    <r>
      <rPr>
        <sz val="10"/>
        <rFont val="FreeSans"/>
        <family val="2"/>
      </rPr>
      <t xml:space="preserve">بست پیچ گوشتی خور استیل   </t>
    </r>
    <r>
      <rPr>
        <sz val="10"/>
        <rFont val="Vazirmatn"/>
        <family val="0"/>
        <charset val="1"/>
      </rPr>
      <t xml:space="preserve">90</t>
    </r>
  </si>
  <si>
    <t xml:space="preserve">35274003</t>
  </si>
  <si>
    <r>
      <rPr>
        <sz val="10"/>
        <rFont val="FreeSans"/>
        <family val="2"/>
      </rPr>
      <t xml:space="preserve">بست استیل قلاب دار آچار خور  </t>
    </r>
    <r>
      <rPr>
        <sz val="10"/>
        <rFont val="Vazirmatn"/>
        <family val="0"/>
        <charset val="1"/>
      </rPr>
      <t xml:space="preserve">"3</t>
    </r>
  </si>
  <si>
    <t xml:space="preserve">35274004</t>
  </si>
  <si>
    <r>
      <rPr>
        <sz val="10"/>
        <rFont val="FreeSans"/>
        <family val="2"/>
      </rPr>
      <t xml:space="preserve">بست استیل پیچ گوشتی خور  </t>
    </r>
    <r>
      <rPr>
        <sz val="10"/>
        <rFont val="Vazirmatn"/>
        <family val="0"/>
        <charset val="1"/>
      </rPr>
      <t xml:space="preserve">"3</t>
    </r>
  </si>
  <si>
    <t xml:space="preserve">35274006</t>
  </si>
  <si>
    <t xml:space="preserve">بست روکا</t>
  </si>
  <si>
    <t xml:space="preserve">35274007</t>
  </si>
  <si>
    <r>
      <rPr>
        <sz val="10"/>
        <rFont val="FreeSans"/>
        <family val="2"/>
      </rPr>
      <t xml:space="preserve">بست اتصال لوله خرطومی </t>
    </r>
    <r>
      <rPr>
        <sz val="10"/>
        <rFont val="Vazirmatn"/>
        <family val="0"/>
        <charset val="1"/>
      </rPr>
      <t xml:space="preserve">21</t>
    </r>
  </si>
  <si>
    <t xml:space="preserve">35274008</t>
  </si>
  <si>
    <r>
      <rPr>
        <sz val="10"/>
        <rFont val="FreeSans"/>
        <family val="2"/>
      </rPr>
      <t xml:space="preserve">بست فلزی لوله خرطومی </t>
    </r>
    <r>
      <rPr>
        <sz val="10"/>
        <rFont val="Vazirmatn"/>
        <family val="0"/>
        <charset val="1"/>
      </rPr>
      <t xml:space="preserve">21</t>
    </r>
  </si>
  <si>
    <t xml:space="preserve">35274010</t>
  </si>
  <si>
    <t xml:space="preserve">بست رو گلگیر فابریک مارال</t>
  </si>
  <si>
    <t xml:space="preserve">35274011</t>
  </si>
  <si>
    <r>
      <rPr>
        <sz val="10"/>
        <rFont val="FreeSans"/>
        <family val="2"/>
      </rPr>
      <t xml:space="preserve">بست </t>
    </r>
    <r>
      <rPr>
        <sz val="10"/>
        <rFont val="Vazirmatn"/>
        <family val="0"/>
        <charset val="1"/>
      </rPr>
      <t xml:space="preserve">40mm*80mm</t>
    </r>
  </si>
  <si>
    <t xml:space="preserve">35276005</t>
  </si>
  <si>
    <r>
      <rPr>
        <sz val="10"/>
        <rFont val="FreeSans"/>
        <family val="2"/>
      </rPr>
      <t xml:space="preserve">لوله مسی </t>
    </r>
    <r>
      <rPr>
        <sz val="10"/>
        <rFont val="Vazirmatn"/>
        <family val="0"/>
        <charset val="1"/>
      </rPr>
      <t xml:space="preserve">030        " 3/8</t>
    </r>
  </si>
  <si>
    <t xml:space="preserve">35276010</t>
  </si>
  <si>
    <r>
      <rPr>
        <sz val="10"/>
        <rFont val="FreeSans"/>
        <family val="2"/>
      </rPr>
      <t xml:space="preserve">لوله آبگردان کولینگ تاور </t>
    </r>
    <r>
      <rPr>
        <sz val="10"/>
        <rFont val="Vazirmatn"/>
        <family val="0"/>
        <charset val="1"/>
      </rPr>
      <t xml:space="preserve">"3  2/38m</t>
    </r>
  </si>
  <si>
    <t xml:space="preserve">35276012</t>
  </si>
  <si>
    <t xml:space="preserve">اگزوز لودر</t>
  </si>
  <si>
    <t xml:space="preserve">35276013</t>
  </si>
  <si>
    <r>
      <rPr>
        <sz val="10"/>
        <rFont val="FreeSans"/>
        <family val="2"/>
      </rPr>
      <t xml:space="preserve">لوله مسی   </t>
    </r>
    <r>
      <rPr>
        <sz val="10"/>
        <rFont val="Vazirmatn"/>
        <family val="0"/>
        <charset val="1"/>
      </rPr>
      <t xml:space="preserve">38 * 42</t>
    </r>
  </si>
  <si>
    <t xml:space="preserve">35276014</t>
  </si>
  <si>
    <r>
      <rPr>
        <sz val="10"/>
        <rFont val="FreeSans"/>
        <family val="2"/>
      </rPr>
      <t xml:space="preserve">لوله آهنی آتشخوار </t>
    </r>
    <r>
      <rPr>
        <sz val="10"/>
        <rFont val="Vazirmatn"/>
        <family val="0"/>
        <charset val="1"/>
      </rPr>
      <t xml:space="preserve">57mm St 35/8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3/2</t>
    </r>
  </si>
  <si>
    <t xml:space="preserve">35276015</t>
  </si>
  <si>
    <r>
      <rPr>
        <sz val="10"/>
        <rFont val="FreeSans"/>
        <family val="2"/>
      </rPr>
      <t xml:space="preserve">لوله آهنی مهار  </t>
    </r>
    <r>
      <rPr>
        <sz val="10"/>
        <rFont val="Vazirmatn"/>
        <family val="0"/>
        <charset val="1"/>
      </rPr>
      <t xml:space="preserve">57mm St 35/8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6/4</t>
    </r>
  </si>
  <si>
    <t xml:space="preserve">35276016</t>
  </si>
  <si>
    <r>
      <rPr>
        <sz val="10"/>
        <rFont val="FreeSans"/>
        <family val="2"/>
      </rPr>
      <t xml:space="preserve">لوله آهنی آتشخوار </t>
    </r>
    <r>
      <rPr>
        <sz val="10"/>
        <rFont val="Vazirmatn"/>
        <family val="0"/>
        <charset val="1"/>
      </rPr>
      <t xml:space="preserve">51mm St 35/8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3/2</t>
    </r>
  </si>
  <si>
    <t xml:space="preserve">35276017</t>
  </si>
  <si>
    <r>
      <rPr>
        <sz val="10"/>
        <rFont val="FreeSans"/>
        <family val="2"/>
      </rPr>
      <t xml:space="preserve">لرزه گیر نارا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کول میت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هان جین  </t>
    </r>
    <r>
      <rPr>
        <sz val="10"/>
        <rFont val="Vazirmatn"/>
        <family val="0"/>
        <charset val="1"/>
      </rPr>
      <t xml:space="preserve">1/8 1</t>
    </r>
  </si>
  <si>
    <t xml:space="preserve">35276018</t>
  </si>
  <si>
    <r>
      <rPr>
        <sz val="10"/>
        <rFont val="FreeSans"/>
        <family val="2"/>
      </rPr>
      <t xml:space="preserve">لرزه گیر نارا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کول میت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هان جین  </t>
    </r>
    <r>
      <rPr>
        <sz val="10"/>
        <rFont val="Vazirmatn"/>
        <family val="0"/>
        <charset val="1"/>
      </rPr>
      <t xml:space="preserve">5/8 1</t>
    </r>
  </si>
  <si>
    <t xml:space="preserve">35276020</t>
  </si>
  <si>
    <r>
      <rPr>
        <sz val="10"/>
        <rFont val="FreeSans"/>
        <family val="2"/>
      </rPr>
      <t xml:space="preserve">لوله رابط اگزوز لیفتراک   </t>
    </r>
    <r>
      <rPr>
        <sz val="10"/>
        <rFont val="Vazirmatn"/>
        <family val="0"/>
        <charset val="1"/>
      </rPr>
      <t xml:space="preserve">9430253</t>
    </r>
  </si>
  <si>
    <t xml:space="preserve">35276021</t>
  </si>
  <si>
    <r>
      <rPr>
        <sz val="10"/>
        <rFont val="FreeSans"/>
        <family val="2"/>
      </rPr>
      <t xml:space="preserve">لرزه گیر </t>
    </r>
    <r>
      <rPr>
        <sz val="10"/>
        <rFont val="Vazirmatn"/>
        <family val="0"/>
        <charset val="1"/>
      </rPr>
      <t xml:space="preserve">5/8 2   O-F</t>
    </r>
  </si>
  <si>
    <t xml:space="preserve">35276022</t>
  </si>
  <si>
    <r>
      <rPr>
        <sz val="10"/>
        <rFont val="FreeSans"/>
        <family val="2"/>
      </rPr>
      <t xml:space="preserve">لرزه گیر </t>
    </r>
    <r>
      <rPr>
        <sz val="10"/>
        <rFont val="Vazirmatn"/>
        <family val="0"/>
        <charset val="1"/>
      </rPr>
      <t xml:space="preserve">3/8   O-F</t>
    </r>
  </si>
  <si>
    <t xml:space="preserve">35276023</t>
  </si>
  <si>
    <r>
      <rPr>
        <sz val="10"/>
        <rFont val="FreeSans"/>
        <family val="2"/>
      </rPr>
      <t xml:space="preserve">لرزه گیر </t>
    </r>
    <r>
      <rPr>
        <sz val="10"/>
        <rFont val="Vazirmatn"/>
        <family val="0"/>
        <charset val="1"/>
      </rPr>
      <t xml:space="preserve">5/8   O-F</t>
    </r>
  </si>
  <si>
    <t xml:space="preserve">35276024</t>
  </si>
  <si>
    <r>
      <rPr>
        <sz val="10"/>
        <rFont val="FreeSans"/>
        <family val="2"/>
      </rPr>
      <t xml:space="preserve">لرزه گیر </t>
    </r>
    <r>
      <rPr>
        <sz val="10"/>
        <rFont val="Vazirmatn"/>
        <family val="0"/>
        <charset val="1"/>
      </rPr>
      <t xml:space="preserve">7/8   O-F</t>
    </r>
  </si>
  <si>
    <t xml:space="preserve">35276025</t>
  </si>
  <si>
    <r>
      <rPr>
        <sz val="10"/>
        <rFont val="FreeSans"/>
        <family val="2"/>
      </rPr>
      <t xml:space="preserve">لرزه گیر </t>
    </r>
    <r>
      <rPr>
        <sz val="10"/>
        <rFont val="Vazirmatn"/>
        <family val="0"/>
        <charset val="1"/>
      </rPr>
      <t xml:space="preserve">1/8 1   O-F</t>
    </r>
  </si>
  <si>
    <t xml:space="preserve">35276026</t>
  </si>
  <si>
    <r>
      <rPr>
        <sz val="10"/>
        <rFont val="FreeSans"/>
        <family val="2"/>
      </rPr>
      <t xml:space="preserve">لرزه گیر </t>
    </r>
    <r>
      <rPr>
        <sz val="10"/>
        <rFont val="Vazirmatn"/>
        <family val="0"/>
        <charset val="1"/>
      </rPr>
      <t xml:space="preserve">3/8 1   O-F</t>
    </r>
  </si>
  <si>
    <t xml:space="preserve">35276027</t>
  </si>
  <si>
    <r>
      <rPr>
        <sz val="10"/>
        <rFont val="FreeSans"/>
        <family val="2"/>
      </rPr>
      <t xml:space="preserve">لرزه گیر </t>
    </r>
    <r>
      <rPr>
        <sz val="10"/>
        <rFont val="Vazirmatn"/>
        <family val="0"/>
        <charset val="1"/>
      </rPr>
      <t xml:space="preserve">5/8 1   O-F</t>
    </r>
  </si>
  <si>
    <t xml:space="preserve">35276029</t>
  </si>
  <si>
    <r>
      <rPr>
        <sz val="10"/>
        <rFont val="FreeSans"/>
        <family val="2"/>
      </rPr>
      <t xml:space="preserve">لرزه گیر </t>
    </r>
    <r>
      <rPr>
        <sz val="10"/>
        <rFont val="Vazirmatn"/>
        <family val="0"/>
        <charset val="1"/>
      </rPr>
      <t xml:space="preserve">1/8 2   O-F</t>
    </r>
  </si>
  <si>
    <t xml:space="preserve">35276030</t>
  </si>
  <si>
    <r>
      <rPr>
        <sz val="10"/>
        <rFont val="FreeSans"/>
        <family val="2"/>
      </rPr>
      <t xml:space="preserve">لرزه گیر </t>
    </r>
    <r>
      <rPr>
        <sz val="10"/>
        <rFont val="Vazirmatn"/>
        <family val="0"/>
        <charset val="1"/>
      </rPr>
      <t xml:space="preserve">1/8 1 Cool Mate</t>
    </r>
  </si>
  <si>
    <t xml:space="preserve">35276031</t>
  </si>
  <si>
    <r>
      <rPr>
        <sz val="10"/>
        <rFont val="FreeSans"/>
        <family val="2"/>
      </rPr>
      <t xml:space="preserve">لرزه گیر </t>
    </r>
    <r>
      <rPr>
        <sz val="10"/>
        <rFont val="Vazirmatn"/>
        <family val="0"/>
        <charset val="1"/>
      </rPr>
      <t xml:space="preserve">7/8  Cool Mate</t>
    </r>
  </si>
  <si>
    <t xml:space="preserve">35276032</t>
  </si>
  <si>
    <r>
      <rPr>
        <sz val="10"/>
        <rFont val="FreeSans"/>
        <family val="2"/>
      </rPr>
      <t xml:space="preserve">لوله مخصوص موتور ساید </t>
    </r>
    <r>
      <rPr>
        <sz val="10"/>
        <rFont val="Vazirmatn"/>
        <family val="0"/>
        <charset val="1"/>
      </rPr>
      <t xml:space="preserve">" 4</t>
    </r>
  </si>
  <si>
    <t xml:space="preserve">35276033</t>
  </si>
  <si>
    <r>
      <rPr>
        <sz val="10"/>
        <rFont val="FreeSans"/>
        <family val="2"/>
      </rPr>
      <t xml:space="preserve">لوله آهنی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فولادی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میل </t>
    </r>
    <r>
      <rPr>
        <sz val="10"/>
        <rFont val="Vazirmatn"/>
        <family val="0"/>
        <charset val="1"/>
      </rPr>
      <t xml:space="preserve">"4</t>
    </r>
  </si>
  <si>
    <t xml:space="preserve">35277001</t>
  </si>
  <si>
    <r>
      <rPr>
        <sz val="10"/>
        <rFont val="FreeSans"/>
        <family val="2"/>
      </rPr>
      <t xml:space="preserve">میله مهارکش </t>
    </r>
    <r>
      <rPr>
        <sz val="10"/>
        <rFont val="Vazirmatn"/>
        <family val="0"/>
        <charset val="1"/>
      </rPr>
      <t xml:space="preserve">20 - 8 </t>
    </r>
    <r>
      <rPr>
        <sz val="10"/>
        <rFont val="FreeSans"/>
        <family val="2"/>
      </rPr>
      <t xml:space="preserve">سانتی متر</t>
    </r>
  </si>
  <si>
    <t xml:space="preserve">35277002</t>
  </si>
  <si>
    <r>
      <rPr>
        <sz val="10"/>
        <rFont val="FreeSans"/>
        <family val="2"/>
      </rPr>
      <t xml:space="preserve">میله یون طول چینی </t>
    </r>
    <r>
      <rPr>
        <sz val="10"/>
        <rFont val="Vazirmatn"/>
        <family val="0"/>
        <charset val="1"/>
      </rPr>
      <t xml:space="preserve">20cm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14mm</t>
    </r>
  </si>
  <si>
    <t xml:space="preserve">35277003</t>
  </si>
  <si>
    <r>
      <rPr>
        <sz val="10"/>
        <rFont val="FreeSans"/>
        <family val="2"/>
      </rPr>
      <t xml:space="preserve">میله یون طول چینی </t>
    </r>
    <r>
      <rPr>
        <sz val="10"/>
        <rFont val="Vazirmatn"/>
        <family val="0"/>
        <charset val="1"/>
      </rPr>
      <t xml:space="preserve">20cm </t>
    </r>
    <r>
      <rPr>
        <sz val="10"/>
        <rFont val="FreeSans"/>
        <family val="2"/>
      </rPr>
      <t xml:space="preserve">ضخامت </t>
    </r>
    <r>
      <rPr>
        <sz val="10"/>
        <rFont val="Vazirmatn"/>
        <family val="0"/>
        <charset val="1"/>
      </rPr>
      <t xml:space="preserve">16mm</t>
    </r>
  </si>
  <si>
    <t xml:space="preserve">35277004</t>
  </si>
  <si>
    <r>
      <rPr>
        <sz val="10"/>
        <rFont val="FreeSans"/>
        <family val="2"/>
      </rPr>
      <t xml:space="preserve">میله آهنی تو پر ضخامت </t>
    </r>
    <r>
      <rPr>
        <sz val="10"/>
        <rFont val="Vazirmatn"/>
        <family val="0"/>
        <charset val="1"/>
      </rPr>
      <t xml:space="preserve">12mm</t>
    </r>
  </si>
  <si>
    <t xml:space="preserve">35277005</t>
  </si>
  <si>
    <r>
      <rPr>
        <sz val="10"/>
        <rFont val="FreeSans"/>
        <family val="2"/>
      </rPr>
      <t xml:space="preserve">پایه نگهدارنده جعبه تیغه </t>
    </r>
    <r>
      <rPr>
        <sz val="10"/>
        <rFont val="Vazirmatn"/>
        <family val="0"/>
        <charset val="1"/>
      </rPr>
      <t xml:space="preserve">40Cm</t>
    </r>
  </si>
  <si>
    <t xml:space="preserve">35277006</t>
  </si>
  <si>
    <r>
      <rPr>
        <sz val="10"/>
        <rFont val="FreeSans"/>
        <family val="2"/>
      </rPr>
      <t xml:space="preserve">پایه توقف </t>
    </r>
    <r>
      <rPr>
        <sz val="10"/>
        <rFont val="Vazirmatn"/>
        <family val="0"/>
        <charset val="1"/>
      </rPr>
      <t xml:space="preserve">JOST </t>
    </r>
    <r>
      <rPr>
        <sz val="10"/>
        <rFont val="FreeSans"/>
        <family val="2"/>
      </rPr>
      <t xml:space="preserve">اصل 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</si>
  <si>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35277007</t>
  </si>
  <si>
    <t xml:space="preserve">پایه شارژ الکترود دومینو</t>
  </si>
  <si>
    <t xml:space="preserve">35277008</t>
  </si>
  <si>
    <t xml:space="preserve">کاندوئیت دومینو</t>
  </si>
  <si>
    <t xml:space="preserve">35282000</t>
  </si>
  <si>
    <t xml:space="preserve">اهرم بالابر ریل چرخ دوخت</t>
  </si>
  <si>
    <t xml:space="preserve">35282001</t>
  </si>
  <si>
    <r>
      <rPr>
        <sz val="10"/>
        <rFont val="FreeSans"/>
        <family val="2"/>
      </rPr>
      <t xml:space="preserve">تیغه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پره علف زن</t>
    </r>
  </si>
  <si>
    <t xml:space="preserve">35282002</t>
  </si>
  <si>
    <t xml:space="preserve">دست کامل ورم و کالر ضد سایشی دستگاه پرس روغن گویوم</t>
  </si>
  <si>
    <t xml:space="preserve">35282004</t>
  </si>
  <si>
    <t xml:space="preserve">برکباد دستگاه پرس روغن گویوم</t>
  </si>
  <si>
    <t xml:space="preserve">35282005</t>
  </si>
  <si>
    <r>
      <rPr>
        <sz val="10"/>
        <rFont val="FreeSans"/>
        <family val="2"/>
      </rPr>
      <t xml:space="preserve">تیغه چرخ گوشت سالوادور </t>
    </r>
    <r>
      <rPr>
        <sz val="10"/>
        <rFont val="Vazirmatn"/>
        <family val="0"/>
        <charset val="1"/>
      </rPr>
      <t xml:space="preserve">32</t>
    </r>
  </si>
  <si>
    <t xml:space="preserve">35282006</t>
  </si>
  <si>
    <r>
      <rPr>
        <sz val="10"/>
        <rFont val="FreeSans"/>
        <family val="2"/>
      </rPr>
      <t xml:space="preserve">تیغه کامل </t>
    </r>
    <r>
      <rPr>
        <sz val="10"/>
        <rFont val="Vazirmatn"/>
        <family val="0"/>
        <charset val="1"/>
      </rPr>
      <t xml:space="preserve">19Cm</t>
    </r>
  </si>
  <si>
    <t xml:space="preserve">35286000</t>
  </si>
  <si>
    <r>
      <rPr>
        <sz val="10"/>
        <rFont val="FreeSans"/>
        <family val="2"/>
      </rPr>
      <t xml:space="preserve">جعبه بغل تیغه مارال  </t>
    </r>
    <r>
      <rPr>
        <sz val="10"/>
        <rFont val="Vazirmatn"/>
        <family val="0"/>
        <charset val="1"/>
      </rPr>
      <t xml:space="preserve">50*70*122</t>
    </r>
  </si>
  <si>
    <t xml:space="preserve">35286001</t>
  </si>
  <si>
    <r>
      <rPr>
        <sz val="10"/>
        <rFont val="FreeSans"/>
        <family val="2"/>
      </rPr>
      <t xml:space="preserve">جعبه بغل تیغه مارال  </t>
    </r>
    <r>
      <rPr>
        <sz val="10"/>
        <rFont val="Vazirmatn"/>
        <family val="0"/>
        <charset val="1"/>
      </rPr>
      <t xml:space="preserve">50*70*100</t>
    </r>
  </si>
  <si>
    <t xml:space="preserve">35289001</t>
  </si>
  <si>
    <r>
      <rPr>
        <sz val="10"/>
        <rFont val="FreeSans"/>
        <family val="2"/>
      </rPr>
      <t xml:space="preserve">سودت کامل درب </t>
    </r>
    <r>
      <rPr>
        <sz val="10"/>
        <rFont val="Vazirmatn"/>
        <family val="0"/>
        <charset val="1"/>
      </rPr>
      <t xml:space="preserve">28 </t>
    </r>
    <r>
      <rPr>
        <sz val="10"/>
        <rFont val="FreeSans"/>
        <family val="2"/>
      </rPr>
      <t xml:space="preserve">بطری </t>
    </r>
    <r>
      <rPr>
        <sz val="10"/>
        <rFont val="Vazirmatn"/>
        <family val="0"/>
        <charset val="1"/>
      </rPr>
      <t xml:space="preserve">900 </t>
    </r>
    <r>
      <rPr>
        <sz val="10"/>
        <rFont val="FreeSans"/>
        <family val="2"/>
      </rPr>
      <t xml:space="preserve">سی سی</t>
    </r>
  </si>
  <si>
    <t xml:space="preserve">35289002</t>
  </si>
  <si>
    <r>
      <rPr>
        <sz val="10"/>
        <rFont val="FreeSans"/>
        <family val="2"/>
      </rPr>
      <t xml:space="preserve">هد درب بند </t>
    </r>
    <r>
      <rPr>
        <sz val="10"/>
        <rFont val="Vazirmatn"/>
        <family val="0"/>
        <charset val="1"/>
      </rPr>
      <t xml:space="preserve">28</t>
    </r>
  </si>
  <si>
    <t xml:space="preserve">35291001</t>
  </si>
  <si>
    <r>
      <rPr>
        <sz val="10"/>
        <rFont val="FreeSans"/>
        <family val="2"/>
      </rPr>
      <t xml:space="preserve">ورق فلزی تابلو برق  </t>
    </r>
    <r>
      <rPr>
        <sz val="10"/>
        <rFont val="Vazirmatn"/>
        <family val="0"/>
        <charset val="1"/>
      </rPr>
      <t xml:space="preserve">81/5*180</t>
    </r>
  </si>
  <si>
    <t xml:space="preserve">35291002</t>
  </si>
  <si>
    <r>
      <rPr>
        <sz val="10"/>
        <rFont val="FreeSans"/>
        <family val="2"/>
      </rPr>
      <t xml:space="preserve">شینه مینیاتوری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با سبار </t>
    </r>
    <r>
      <rPr>
        <sz val="10"/>
        <rFont val="Vazirmatn"/>
        <family val="0"/>
        <charset val="1"/>
      </rPr>
      <t xml:space="preserve">) 3 </t>
    </r>
    <r>
      <rPr>
        <sz val="10"/>
        <rFont val="FreeSans"/>
        <family val="2"/>
      </rPr>
      <t xml:space="preserve">فاز </t>
    </r>
    <r>
      <rPr>
        <sz val="10"/>
        <rFont val="Vazirmatn"/>
        <family val="0"/>
        <charset val="1"/>
      </rPr>
      <t xml:space="preserve">63A - RST</t>
    </r>
  </si>
  <si>
    <t xml:space="preserve">35291003</t>
  </si>
  <si>
    <r>
      <rPr>
        <sz val="10"/>
        <rFont val="FreeSans"/>
        <family val="2"/>
      </rPr>
      <t xml:space="preserve">ورق شبکه آهنی آتشخوار دیگ </t>
    </r>
    <r>
      <rPr>
        <sz val="10"/>
        <rFont val="Vazirmatn"/>
        <family val="0"/>
        <charset val="1"/>
      </rPr>
      <t xml:space="preserve">10 </t>
    </r>
    <r>
      <rPr>
        <sz val="10"/>
        <rFont val="FreeSans"/>
        <family val="2"/>
      </rPr>
      <t xml:space="preserve">تنی  </t>
    </r>
    <r>
      <rPr>
        <sz val="10"/>
        <rFont val="Vazirmatn"/>
        <family val="0"/>
        <charset val="1"/>
      </rPr>
      <t xml:space="preserve">17mn4</t>
    </r>
  </si>
  <si>
    <t xml:space="preserve">35291006</t>
  </si>
  <si>
    <r>
      <rPr>
        <sz val="10"/>
        <rFont val="FreeSans"/>
        <family val="2"/>
      </rPr>
      <t xml:space="preserve">کپسول آتش نشانی پودری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کیلویی لیفتراک با پایه نصب</t>
    </r>
  </si>
  <si>
    <t xml:space="preserve">35291007</t>
  </si>
  <si>
    <r>
      <rPr>
        <sz val="10"/>
        <rFont val="FreeSans"/>
        <family val="2"/>
      </rPr>
      <t xml:space="preserve">گاز </t>
    </r>
    <r>
      <rPr>
        <sz val="10"/>
        <rFont val="Vazirmatn"/>
        <family val="0"/>
        <charset val="1"/>
      </rPr>
      <t xml:space="preserve">R22 ( SAF ) </t>
    </r>
    <r>
      <rPr>
        <sz val="10"/>
        <rFont val="FreeSans"/>
        <family val="2"/>
      </rPr>
      <t xml:space="preserve">اسکن</t>
    </r>
  </si>
  <si>
    <t xml:space="preserve">کپسول</t>
  </si>
  <si>
    <t xml:space="preserve">35291008</t>
  </si>
  <si>
    <r>
      <rPr>
        <sz val="10"/>
        <rFont val="FreeSans"/>
        <family val="2"/>
      </rPr>
      <t xml:space="preserve">ورق آهنی </t>
    </r>
    <r>
      <rPr>
        <sz val="10"/>
        <rFont val="Vazirmatn"/>
        <family val="0"/>
        <charset val="1"/>
      </rPr>
      <t xml:space="preserve">11 </t>
    </r>
    <r>
      <rPr>
        <sz val="10"/>
        <rFont val="FreeSans"/>
        <family val="2"/>
      </rPr>
      <t xml:space="preserve">میل  </t>
    </r>
    <r>
      <rPr>
        <sz val="10"/>
        <rFont val="Vazirmatn"/>
        <family val="0"/>
        <charset val="1"/>
      </rPr>
      <t xml:space="preserve">14/3Cm*2m</t>
    </r>
  </si>
  <si>
    <t xml:space="preserve">35291100</t>
  </si>
  <si>
    <r>
      <rPr>
        <sz val="10"/>
        <rFont val="FreeSans"/>
        <family val="2"/>
      </rPr>
      <t xml:space="preserve">ناودانی وسط تیغه مارال شماره </t>
    </r>
    <r>
      <rPr>
        <sz val="10"/>
        <rFont val="Vazirmatn"/>
        <family val="0"/>
        <charset val="1"/>
      </rPr>
      <t xml:space="preserve">: 12  -  110Cm*6mm</t>
    </r>
  </si>
  <si>
    <t xml:space="preserve">35292000</t>
  </si>
  <si>
    <t xml:space="preserve">مانی فولد جوهر دومینو</t>
  </si>
  <si>
    <t xml:space="preserve">35292001</t>
  </si>
  <si>
    <t xml:space="preserve">مانی فولد میکاپ دومینو</t>
  </si>
  <si>
    <t xml:space="preserve">35292002</t>
  </si>
  <si>
    <t xml:space="preserve">غلظت سنج</t>
  </si>
  <si>
    <t xml:space="preserve">35294002</t>
  </si>
  <si>
    <r>
      <rPr>
        <sz val="10"/>
        <rFont val="FreeSans"/>
        <family val="2"/>
      </rPr>
      <t xml:space="preserve">لاستیک لیفتراک</t>
    </r>
    <r>
      <rPr>
        <sz val="10"/>
        <rFont val="Vazirmatn"/>
        <family val="0"/>
        <charset val="1"/>
      </rPr>
      <t xml:space="preserve">. 10*50*6</t>
    </r>
  </si>
  <si>
    <t xml:space="preserve">35294003</t>
  </si>
  <si>
    <r>
      <rPr>
        <sz val="10"/>
        <rFont val="FreeSans"/>
        <family val="2"/>
      </rPr>
      <t xml:space="preserve">لاستیک لیفتراک  </t>
    </r>
    <r>
      <rPr>
        <sz val="10"/>
        <rFont val="Vazirmatn"/>
        <family val="0"/>
        <charset val="1"/>
      </rPr>
      <t xml:space="preserve">10*50*6</t>
    </r>
  </si>
  <si>
    <t xml:space="preserve">35294004</t>
  </si>
  <si>
    <r>
      <rPr>
        <sz val="10"/>
        <rFont val="FreeSans"/>
        <family val="2"/>
      </rPr>
      <t xml:space="preserve">لاستیک لیفتراک  </t>
    </r>
    <r>
      <rPr>
        <sz val="10"/>
        <rFont val="Vazirmatn"/>
        <family val="0"/>
        <charset val="1"/>
      </rPr>
      <t xml:space="preserve">15*9*28</t>
    </r>
  </si>
  <si>
    <t xml:space="preserve">35294005</t>
  </si>
  <si>
    <r>
      <rPr>
        <sz val="10"/>
        <rFont val="FreeSans"/>
        <family val="2"/>
      </rPr>
      <t xml:space="preserve">لاستیک بارز  </t>
    </r>
    <r>
      <rPr>
        <sz val="10"/>
        <rFont val="Vazirmatn"/>
        <family val="0"/>
        <charset val="1"/>
      </rPr>
      <t xml:space="preserve">385</t>
    </r>
  </si>
  <si>
    <t xml:space="preserve">35299001</t>
  </si>
  <si>
    <r>
      <rPr>
        <sz val="10"/>
        <rFont val="FreeSans"/>
        <family val="2"/>
      </rPr>
      <t xml:space="preserve">موریس کیبل با چشمی </t>
    </r>
    <r>
      <rPr>
        <sz val="10"/>
        <rFont val="Vazirmatn"/>
        <family val="0"/>
        <charset val="1"/>
      </rPr>
      <t xml:space="preserve">270cm</t>
    </r>
  </si>
  <si>
    <t xml:space="preserve">35299002</t>
  </si>
  <si>
    <r>
      <rPr>
        <sz val="10"/>
        <rFont val="FreeSans"/>
        <family val="2"/>
      </rPr>
      <t xml:space="preserve">موریس کیبل با چشمی </t>
    </r>
    <r>
      <rPr>
        <sz val="10"/>
        <rFont val="Vazirmatn"/>
        <family val="0"/>
        <charset val="1"/>
      </rPr>
      <t xml:space="preserve">250cm</t>
    </r>
  </si>
  <si>
    <t xml:space="preserve">35299003</t>
  </si>
  <si>
    <r>
      <rPr>
        <sz val="10"/>
        <rFont val="FreeSans"/>
        <family val="2"/>
      </rPr>
      <t xml:space="preserve">موریس کیبل با چشمی </t>
    </r>
    <r>
      <rPr>
        <sz val="10"/>
        <rFont val="Vazirmatn"/>
        <family val="0"/>
        <charset val="1"/>
      </rPr>
      <t xml:space="preserve">200cm</t>
    </r>
  </si>
  <si>
    <t xml:space="preserve">35299005</t>
  </si>
  <si>
    <r>
      <rPr>
        <sz val="10"/>
        <rFont val="FreeSans"/>
        <family val="2"/>
      </rPr>
      <t xml:space="preserve">بازویی توزیع آب  </t>
    </r>
    <r>
      <rPr>
        <sz val="10"/>
        <rFont val="Vazirmatn"/>
        <family val="0"/>
        <charset val="1"/>
      </rPr>
      <t xml:space="preserve">236cm</t>
    </r>
  </si>
  <si>
    <t xml:space="preserve">35299006</t>
  </si>
  <si>
    <r>
      <rPr>
        <sz val="10"/>
        <rFont val="FreeSans"/>
        <family val="2"/>
      </rPr>
      <t xml:space="preserve">باطری قابل شارژ پلاریته پیچ خور </t>
    </r>
    <r>
      <rPr>
        <sz val="10"/>
        <rFont val="Vazirmatn"/>
        <family val="0"/>
        <charset val="1"/>
      </rPr>
      <t xml:space="preserve">12V 100AH 20HR</t>
    </r>
  </si>
  <si>
    <t xml:space="preserve">35299008</t>
  </si>
  <si>
    <r>
      <rPr>
        <sz val="10"/>
        <rFont val="FreeSans"/>
        <family val="2"/>
      </rPr>
      <t xml:space="preserve">باتری لیتیومی قلمی  </t>
    </r>
    <r>
      <rPr>
        <sz val="10"/>
        <rFont val="Vazirmatn"/>
        <family val="0"/>
        <charset val="1"/>
      </rPr>
      <t xml:space="preserve">LS14500 3/6V-2600MA</t>
    </r>
  </si>
  <si>
    <t xml:space="preserve">35299010</t>
  </si>
  <si>
    <t xml:space="preserve">گیره سوسماری کوچک</t>
  </si>
  <si>
    <t xml:space="preserve">35299011</t>
  </si>
  <si>
    <t xml:space="preserve">گیره سوسماری بزرگ</t>
  </si>
  <si>
    <t xml:space="preserve">35299012</t>
  </si>
  <si>
    <r>
      <rPr>
        <sz val="10"/>
        <rFont val="FreeSans"/>
        <family val="2"/>
      </rPr>
      <t xml:space="preserve">باتری سنسور چشمی راهبند </t>
    </r>
    <r>
      <rPr>
        <sz val="10"/>
        <rFont val="Vazirmatn"/>
        <family val="0"/>
        <charset val="1"/>
      </rPr>
      <t xml:space="preserve">Du Racell CRZ 3V</t>
    </r>
  </si>
  <si>
    <t xml:space="preserve">35299013</t>
  </si>
  <si>
    <r>
      <rPr>
        <sz val="10"/>
        <rFont val="FreeSans"/>
        <family val="2"/>
      </rPr>
      <t xml:space="preserve">هیتر اکسچنجر مایع شکن مخزنی </t>
    </r>
    <r>
      <rPr>
        <sz val="10"/>
        <rFont val="Vazirmatn"/>
        <family val="0"/>
        <charset val="1"/>
      </rPr>
      <t xml:space="preserve">5/8 1 * 5/8 ( </t>
    </r>
    <r>
      <rPr>
        <sz val="10"/>
        <rFont val="FreeSans"/>
        <family val="2"/>
      </rPr>
      <t xml:space="preserve">مدل </t>
    </r>
    <r>
      <rPr>
        <sz val="10"/>
        <rFont val="Vazirmatn"/>
        <family val="0"/>
        <charset val="1"/>
      </rPr>
      <t xml:space="preserve">2415 )</t>
    </r>
  </si>
  <si>
    <t xml:space="preserve">35299014</t>
  </si>
  <si>
    <r>
      <rPr>
        <sz val="10"/>
        <rFont val="FreeSans"/>
        <family val="2"/>
      </rPr>
      <t xml:space="preserve">سوزن دانفوس پایه </t>
    </r>
    <r>
      <rPr>
        <sz val="10"/>
        <rFont val="Vazirmatn"/>
        <family val="0"/>
        <charset val="1"/>
      </rPr>
      <t xml:space="preserve">5  </t>
    </r>
    <r>
      <rPr>
        <sz val="10"/>
        <rFont val="FreeSans"/>
        <family val="2"/>
      </rPr>
      <t xml:space="preserve">شماره </t>
    </r>
    <r>
      <rPr>
        <sz val="10"/>
        <rFont val="Vazirmatn"/>
        <family val="0"/>
        <charset val="1"/>
      </rPr>
      <t xml:space="preserve">02</t>
    </r>
  </si>
  <si>
    <t xml:space="preserve">35299015</t>
  </si>
  <si>
    <r>
      <rPr>
        <sz val="10"/>
        <rFont val="FreeSans"/>
        <family val="2"/>
      </rPr>
      <t xml:space="preserve">مایع شکن سبز </t>
    </r>
    <r>
      <rPr>
        <sz val="10"/>
        <rFont val="Vazirmatn"/>
        <family val="0"/>
        <charset val="1"/>
      </rPr>
      <t xml:space="preserve">O-F FAV-2407 1/2*7/8</t>
    </r>
  </si>
  <si>
    <t xml:space="preserve">35299016</t>
  </si>
  <si>
    <r>
      <rPr>
        <sz val="10"/>
        <rFont val="FreeSans"/>
        <family val="2"/>
      </rPr>
      <t xml:space="preserve">مایع شکن دولول </t>
    </r>
    <r>
      <rPr>
        <sz val="10"/>
        <rFont val="Vazirmatn"/>
        <family val="0"/>
        <charset val="1"/>
      </rPr>
      <t xml:space="preserve">5/8 2  O-F FA2-225</t>
    </r>
  </si>
  <si>
    <t xml:space="preserve">35299017</t>
  </si>
  <si>
    <r>
      <rPr>
        <sz val="10"/>
        <rFont val="FreeSans"/>
        <family val="2"/>
      </rPr>
      <t xml:space="preserve">مایع شکن سبز  </t>
    </r>
    <r>
      <rPr>
        <sz val="10"/>
        <rFont val="Vazirmatn"/>
        <family val="0"/>
        <charset val="1"/>
      </rPr>
      <t xml:space="preserve">O-F FAV-2407 1/2*7/8</t>
    </r>
  </si>
  <si>
    <t xml:space="preserve">35299018</t>
  </si>
  <si>
    <t xml:space="preserve">بالابر تیغه مارال همراه بالن</t>
  </si>
  <si>
    <t xml:space="preserve">35299019</t>
  </si>
  <si>
    <t xml:space="preserve">قطعات استیل و آلومینیوم و تفلون اپلیکیتور</t>
  </si>
  <si>
    <t xml:space="preserve">35299020</t>
  </si>
  <si>
    <t xml:space="preserve">خفت گیر بطری درب بند</t>
  </si>
  <si>
    <t xml:space="preserve">35299021</t>
  </si>
  <si>
    <r>
      <rPr>
        <sz val="10"/>
        <rFont val="FreeSans"/>
        <family val="2"/>
      </rPr>
      <t xml:space="preserve">رول آپ آلومینیومی دو جداره سایز </t>
    </r>
    <r>
      <rPr>
        <sz val="10"/>
        <rFont val="Vazirmatn"/>
        <family val="0"/>
        <charset val="1"/>
      </rPr>
      <t xml:space="preserve">80</t>
    </r>
  </si>
  <si>
    <t xml:space="preserve">35299022</t>
  </si>
  <si>
    <t xml:space="preserve">بالن دوقلوی غیر موازی سامپا</t>
  </si>
  <si>
    <t xml:space="preserve">35299100</t>
  </si>
  <si>
    <t xml:space="preserve">هیتر سرامیکی دومینو</t>
  </si>
  <si>
    <t xml:space="preserve">35299200</t>
  </si>
  <si>
    <t xml:space="preserve">سبد آبچکان</t>
  </si>
  <si>
    <t xml:space="preserve">410002</t>
  </si>
  <si>
    <r>
      <rPr>
        <sz val="10"/>
        <rFont val="FreeSans"/>
        <family val="2"/>
      </rPr>
      <t xml:space="preserve">گلوکوز شفاف با </t>
    </r>
    <r>
      <rPr>
        <sz val="10"/>
        <rFont val="Vazirmatn"/>
        <family val="0"/>
        <charset val="1"/>
      </rPr>
      <t xml:space="preserve">DE 42  BR 82 </t>
    </r>
    <r>
      <rPr>
        <sz val="10"/>
        <rFont val="FreeSans"/>
        <family val="2"/>
      </rPr>
      <t xml:space="preserve">فله</t>
    </r>
  </si>
  <si>
    <r>
      <rPr>
        <sz val="10"/>
        <rFont val="Vazirmatn"/>
        <family val="0"/>
        <charset val="1"/>
      </rPr>
      <t xml:space="preserve">4100 (</t>
    </r>
    <r>
      <rPr>
        <sz val="10"/>
        <rFont val="FreeSans"/>
        <family val="2"/>
      </rPr>
      <t xml:space="preserve">گلوکوز</t>
    </r>
    <r>
      <rPr>
        <sz val="10"/>
        <rFont val="Vazirmatn"/>
        <family val="0"/>
        <charset val="1"/>
      </rPr>
      <t xml:space="preserve">)</t>
    </r>
  </si>
  <si>
    <t xml:space="preserve">420002</t>
  </si>
  <si>
    <t xml:space="preserve">جرم ذرت</t>
  </si>
  <si>
    <t xml:space="preserve">491001</t>
  </si>
  <si>
    <r>
      <rPr>
        <sz val="10"/>
        <rFont val="FreeSans"/>
        <family val="2"/>
      </rPr>
      <t xml:space="preserve">گالن گلوکوز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کیلویی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پ</t>
    </r>
    <r>
      <rPr>
        <sz val="10"/>
        <rFont val="Vazirmatn"/>
        <family val="0"/>
        <charset val="1"/>
      </rPr>
      <t xml:space="preserve">)</t>
    </r>
  </si>
  <si>
    <t xml:space="preserve">491030</t>
  </si>
  <si>
    <r>
      <rPr>
        <sz val="10"/>
        <rFont val="FreeSans"/>
        <family val="2"/>
      </rPr>
      <t xml:space="preserve">گالن گلوکوز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کیلوگرمی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پ</t>
    </r>
    <r>
      <rPr>
        <sz val="10"/>
        <rFont val="Vazirmatn"/>
        <family val="0"/>
        <charset val="1"/>
      </rPr>
      <t xml:space="preserve">)</t>
    </r>
  </si>
  <si>
    <t xml:space="preserve">491031</t>
  </si>
  <si>
    <r>
      <rPr>
        <sz val="10"/>
        <rFont val="FreeSans"/>
        <family val="2"/>
      </rPr>
      <t xml:space="preserve">گالن گلوکوز شفاف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کیلوگرمی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پ</t>
    </r>
    <r>
      <rPr>
        <sz val="10"/>
        <rFont val="Vazirmatn"/>
        <family val="0"/>
        <charset val="1"/>
      </rPr>
      <t xml:space="preserve">)</t>
    </r>
  </si>
  <si>
    <t xml:space="preserve">492016</t>
  </si>
  <si>
    <r>
      <rPr>
        <sz val="10"/>
        <rFont val="FreeSans"/>
        <family val="2"/>
      </rPr>
      <t xml:space="preserve">بشکه فلزی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کیلوگرمی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 </t>
    </r>
    <r>
      <rPr>
        <sz val="10"/>
        <rFont val="Vazirmatn"/>
        <family val="0"/>
        <charset val="1"/>
      </rPr>
      <t xml:space="preserve">)</t>
    </r>
  </si>
  <si>
    <r>
      <rPr>
        <sz val="10"/>
        <rFont val="Vazirmatn"/>
        <family val="0"/>
        <charset val="1"/>
      </rPr>
      <t xml:space="preserve">4920 (</t>
    </r>
    <r>
      <rPr>
        <sz val="10"/>
        <rFont val="FreeSans"/>
        <family val="2"/>
      </rPr>
      <t xml:space="preserve">بشکه، گالن</t>
    </r>
    <r>
      <rPr>
        <sz val="10"/>
        <rFont val="Vazirmatn"/>
        <family val="0"/>
        <charset val="1"/>
      </rPr>
      <t xml:space="preserve">)</t>
    </r>
  </si>
  <si>
    <t xml:space="preserve">492021</t>
  </si>
  <si>
    <r>
      <rPr>
        <sz val="10"/>
        <rFont val="FreeSans"/>
        <family val="2"/>
      </rPr>
      <t xml:space="preserve">گالن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کیلوگرمی گلوتن مایع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 </t>
    </r>
    <r>
      <rPr>
        <sz val="10"/>
        <rFont val="Vazirmatn"/>
        <family val="0"/>
        <charset val="1"/>
      </rPr>
      <t xml:space="preserve">)</t>
    </r>
  </si>
  <si>
    <t xml:space="preserve">492041</t>
  </si>
  <si>
    <r>
      <rPr>
        <sz val="10"/>
        <rFont val="FreeSans"/>
        <family val="2"/>
      </rPr>
      <t xml:space="preserve">بشکه پلاستیکی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کیلوگرمی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 </t>
    </r>
    <r>
      <rPr>
        <sz val="10"/>
        <rFont val="Vazirmatn"/>
        <family val="0"/>
        <charset val="1"/>
      </rPr>
      <t xml:space="preserve">)</t>
    </r>
  </si>
  <si>
    <t xml:space="preserve">492043</t>
  </si>
  <si>
    <t xml:space="preserve">نایلون بسته بندی</t>
  </si>
  <si>
    <t xml:space="preserve">510001</t>
  </si>
  <si>
    <r>
      <rPr>
        <sz val="10"/>
        <rFont val="FreeSans"/>
        <family val="2"/>
      </rPr>
      <t xml:space="preserve">گلوکوز فوق تصفیه </t>
    </r>
    <r>
      <rPr>
        <sz val="10"/>
        <rFont val="Vazirmatn"/>
        <family val="0"/>
        <charset val="1"/>
      </rPr>
      <t xml:space="preserve">DE 42 BR 82 </t>
    </r>
    <r>
      <rPr>
        <sz val="10"/>
        <rFont val="FreeSans"/>
        <family val="2"/>
      </rPr>
      <t xml:space="preserve">فله</t>
    </r>
  </si>
  <si>
    <t xml:space="preserve">510003</t>
  </si>
  <si>
    <r>
      <rPr>
        <sz val="10"/>
        <rFont val="FreeSans"/>
        <family val="2"/>
      </rPr>
      <t xml:space="preserve">گلوکوز شفاف </t>
    </r>
    <r>
      <rPr>
        <sz val="10"/>
        <rFont val="Vazirmatn"/>
        <family val="0"/>
        <charset val="1"/>
      </rPr>
      <t xml:space="preserve">DE 60 BR82 </t>
    </r>
    <r>
      <rPr>
        <sz val="10"/>
        <rFont val="FreeSans"/>
        <family val="2"/>
      </rPr>
      <t xml:space="preserve">فله</t>
    </r>
  </si>
  <si>
    <t xml:space="preserve">510006</t>
  </si>
  <si>
    <r>
      <rPr>
        <sz val="10"/>
        <rFont val="FreeSans"/>
        <family val="2"/>
      </rPr>
      <t xml:space="preserve">گلوکوز شفاف </t>
    </r>
    <r>
      <rPr>
        <sz val="10"/>
        <rFont val="Vazirmatn"/>
        <family val="0"/>
        <charset val="1"/>
      </rPr>
      <t xml:space="preserve">DE 42     BR 83 </t>
    </r>
    <r>
      <rPr>
        <sz val="10"/>
        <rFont val="FreeSans"/>
        <family val="2"/>
      </rPr>
      <t xml:space="preserve">فله</t>
    </r>
  </si>
  <si>
    <t xml:space="preserve">510010</t>
  </si>
  <si>
    <r>
      <rPr>
        <sz val="10"/>
        <rFont val="FreeSans"/>
        <family val="2"/>
      </rPr>
      <t xml:space="preserve">گلوکوز شفاف  </t>
    </r>
    <r>
      <rPr>
        <sz val="10"/>
        <rFont val="Vazirmatn"/>
        <family val="0"/>
        <charset val="1"/>
      </rPr>
      <t xml:space="preserve">DE42      BR82  </t>
    </r>
    <r>
      <rPr>
        <sz val="10"/>
        <rFont val="FreeSans"/>
        <family val="2"/>
      </rPr>
      <t xml:space="preserve">در گالن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کیلوگرمی</t>
    </r>
  </si>
  <si>
    <t xml:space="preserve">510011</t>
  </si>
  <si>
    <r>
      <rPr>
        <sz val="10"/>
        <rFont val="FreeSans"/>
        <family val="2"/>
      </rPr>
      <t xml:space="preserve">شربت فروکتوز </t>
    </r>
    <r>
      <rPr>
        <sz val="10"/>
        <rFont val="Vazirmatn"/>
        <family val="0"/>
        <charset val="1"/>
      </rPr>
      <t xml:space="preserve">F55  Br76 </t>
    </r>
    <r>
      <rPr>
        <sz val="10"/>
        <rFont val="FreeSans"/>
        <family val="2"/>
      </rPr>
      <t xml:space="preserve">فله</t>
    </r>
  </si>
  <si>
    <t xml:space="preserve">510015</t>
  </si>
  <si>
    <r>
      <rPr>
        <sz val="10"/>
        <rFont val="FreeSans"/>
        <family val="2"/>
      </rPr>
      <t xml:space="preserve">گلوکوز شفاف </t>
    </r>
    <r>
      <rPr>
        <sz val="10"/>
        <rFont val="Vazirmatn"/>
        <family val="0"/>
        <charset val="1"/>
      </rPr>
      <t xml:space="preserve">DE60     BR82   </t>
    </r>
    <r>
      <rPr>
        <sz val="10"/>
        <rFont val="FreeSans"/>
        <family val="2"/>
      </rPr>
      <t xml:space="preserve">در بشکه</t>
    </r>
  </si>
  <si>
    <t xml:space="preserve">510017</t>
  </si>
  <si>
    <r>
      <rPr>
        <sz val="10"/>
        <rFont val="FreeSans"/>
        <family val="2"/>
      </rPr>
      <t xml:space="preserve">شربت فروکتوز </t>
    </r>
    <r>
      <rPr>
        <sz val="10"/>
        <rFont val="Vazirmatn"/>
        <family val="0"/>
        <charset val="1"/>
      </rPr>
      <t xml:space="preserve">F55  </t>
    </r>
    <r>
      <rPr>
        <sz val="10"/>
        <rFont val="FreeSans"/>
        <family val="2"/>
      </rPr>
      <t xml:space="preserve">در بشکه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کیلوگرمی</t>
    </r>
  </si>
  <si>
    <t xml:space="preserve">510019</t>
  </si>
  <si>
    <r>
      <rPr>
        <sz val="10"/>
        <rFont val="FreeSans"/>
        <family val="2"/>
      </rPr>
      <t xml:space="preserve">گلوکوز شفاف </t>
    </r>
    <r>
      <rPr>
        <sz val="10"/>
        <rFont val="Vazirmatn"/>
        <family val="0"/>
        <charset val="1"/>
      </rPr>
      <t xml:space="preserve">BR=83 DE=42  </t>
    </r>
    <r>
      <rPr>
        <sz val="10"/>
        <rFont val="FreeSans"/>
        <family val="2"/>
      </rPr>
      <t xml:space="preserve">در گالن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کیلوگرمی</t>
    </r>
  </si>
  <si>
    <t xml:space="preserve">510023</t>
  </si>
  <si>
    <r>
      <rPr>
        <sz val="10"/>
        <rFont val="FreeSans"/>
        <family val="2"/>
      </rPr>
      <t xml:space="preserve">گلوکوز شفاف </t>
    </r>
    <r>
      <rPr>
        <sz val="10"/>
        <rFont val="Vazirmatn"/>
        <family val="0"/>
        <charset val="1"/>
      </rPr>
      <t xml:space="preserve">BR=82 DE=45 </t>
    </r>
    <r>
      <rPr>
        <sz val="10"/>
        <rFont val="FreeSans"/>
        <family val="2"/>
      </rPr>
      <t xml:space="preserve">در گالن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کیلوگرمی</t>
    </r>
  </si>
  <si>
    <t xml:space="preserve">510024</t>
  </si>
  <si>
    <r>
      <rPr>
        <sz val="10"/>
        <rFont val="FreeSans"/>
        <family val="2"/>
      </rPr>
      <t xml:space="preserve">گلوکوز شفاف </t>
    </r>
    <r>
      <rPr>
        <sz val="10"/>
        <rFont val="Vazirmatn"/>
        <family val="0"/>
        <charset val="1"/>
      </rPr>
      <t xml:space="preserve">BR=82 DE=45  </t>
    </r>
    <r>
      <rPr>
        <sz val="10"/>
        <rFont val="FreeSans"/>
        <family val="2"/>
      </rPr>
      <t xml:space="preserve">فله</t>
    </r>
  </si>
  <si>
    <t xml:space="preserve">510025</t>
  </si>
  <si>
    <r>
      <rPr>
        <sz val="10"/>
        <rFont val="FreeSans"/>
        <family val="2"/>
      </rPr>
      <t xml:space="preserve">شربت فروکتوز </t>
    </r>
    <r>
      <rPr>
        <sz val="10"/>
        <rFont val="Vazirmatn"/>
        <family val="0"/>
        <charset val="1"/>
      </rPr>
      <t xml:space="preserve">F42  </t>
    </r>
    <r>
      <rPr>
        <sz val="10"/>
        <rFont val="FreeSans"/>
        <family val="2"/>
      </rPr>
      <t xml:space="preserve">در گالن</t>
    </r>
  </si>
  <si>
    <t xml:space="preserve">510027</t>
  </si>
  <si>
    <r>
      <rPr>
        <sz val="10"/>
        <rFont val="FreeSans"/>
        <family val="2"/>
      </rPr>
      <t xml:space="preserve">گلوکوز فوق تصفیه </t>
    </r>
    <r>
      <rPr>
        <sz val="10"/>
        <rFont val="Vazirmatn"/>
        <family val="0"/>
        <charset val="1"/>
      </rPr>
      <t xml:space="preserve">BR=82 DE=60  </t>
    </r>
    <r>
      <rPr>
        <sz val="10"/>
        <rFont val="FreeSans"/>
        <family val="2"/>
      </rPr>
      <t xml:space="preserve">در گالن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 گرمی صادراتی</t>
    </r>
  </si>
  <si>
    <t xml:space="preserve">510028</t>
  </si>
  <si>
    <r>
      <rPr>
        <sz val="10"/>
        <rFont val="FreeSans"/>
        <family val="2"/>
      </rPr>
      <t xml:space="preserve">شربت فروکتوز</t>
    </r>
    <r>
      <rPr>
        <sz val="10"/>
        <rFont val="Vazirmatn"/>
        <family val="0"/>
        <charset val="1"/>
      </rPr>
      <t xml:space="preserve">BR 76  F55  </t>
    </r>
    <r>
      <rPr>
        <sz val="10"/>
        <rFont val="FreeSans"/>
        <family val="2"/>
      </rPr>
      <t xml:space="preserve">در گالن</t>
    </r>
  </si>
  <si>
    <t xml:space="preserve">510033</t>
  </si>
  <si>
    <r>
      <rPr>
        <sz val="10"/>
        <rFont val="FreeSans"/>
        <family val="2"/>
      </rPr>
      <t xml:space="preserve">گلوکوز </t>
    </r>
    <r>
      <rPr>
        <sz val="10"/>
        <rFont val="Vazirmatn"/>
        <family val="0"/>
        <charset val="1"/>
      </rPr>
      <t xml:space="preserve">BR85 </t>
    </r>
    <r>
      <rPr>
        <sz val="10"/>
        <rFont val="FreeSans"/>
        <family val="2"/>
      </rPr>
      <t xml:space="preserve">در گالن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کیلوگرمی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صادراتی</t>
    </r>
    <r>
      <rPr>
        <sz val="10"/>
        <rFont val="Vazirmatn"/>
        <family val="0"/>
        <charset val="1"/>
      </rPr>
      <t xml:space="preserve">)</t>
    </r>
  </si>
  <si>
    <t xml:space="preserve">510036</t>
  </si>
  <si>
    <r>
      <rPr>
        <sz val="10"/>
        <rFont val="FreeSans"/>
        <family val="2"/>
      </rPr>
      <t xml:space="preserve">شربت دکستروز   </t>
    </r>
    <r>
      <rPr>
        <sz val="10"/>
        <rFont val="Vazirmatn"/>
        <family val="0"/>
        <charset val="1"/>
      </rPr>
      <t xml:space="preserve">DE95  BR65</t>
    </r>
  </si>
  <si>
    <t xml:space="preserve">510038</t>
  </si>
  <si>
    <r>
      <rPr>
        <sz val="10"/>
        <rFont val="FreeSans"/>
        <family val="2"/>
      </rPr>
      <t xml:space="preserve">شربت فروکتوز  </t>
    </r>
    <r>
      <rPr>
        <sz val="10"/>
        <rFont val="Vazirmatn"/>
        <family val="0"/>
        <charset val="1"/>
      </rPr>
      <t xml:space="preserve">F30  </t>
    </r>
    <r>
      <rPr>
        <sz val="10"/>
        <rFont val="FreeSans"/>
        <family val="2"/>
      </rPr>
      <t xml:space="preserve">درگالن</t>
    </r>
  </si>
  <si>
    <t xml:space="preserve">510041</t>
  </si>
  <si>
    <r>
      <rPr>
        <sz val="10"/>
        <rFont val="FreeSans"/>
        <family val="2"/>
      </rPr>
      <t xml:space="preserve">شریت فروکتوز </t>
    </r>
    <r>
      <rPr>
        <sz val="10"/>
        <rFont val="Vazirmatn"/>
        <family val="0"/>
        <charset val="1"/>
      </rPr>
      <t xml:space="preserve">F42  </t>
    </r>
    <r>
      <rPr>
        <sz val="10"/>
        <rFont val="FreeSans"/>
        <family val="2"/>
      </rPr>
      <t xml:space="preserve">در  مخزن </t>
    </r>
    <r>
      <rPr>
        <sz val="10"/>
        <rFont val="Vazirmatn"/>
        <family val="0"/>
        <charset val="1"/>
      </rPr>
      <t xml:space="preserve">IBC</t>
    </r>
  </si>
  <si>
    <t xml:space="preserve">510042</t>
  </si>
  <si>
    <r>
      <rPr>
        <sz val="10"/>
        <rFont val="FreeSans"/>
        <family val="2"/>
      </rPr>
      <t xml:space="preserve">شریت فروکتوز </t>
    </r>
    <r>
      <rPr>
        <sz val="10"/>
        <rFont val="Vazirmatn"/>
        <family val="0"/>
        <charset val="1"/>
      </rPr>
      <t xml:space="preserve">F55  </t>
    </r>
    <r>
      <rPr>
        <sz val="10"/>
        <rFont val="FreeSans"/>
        <family val="2"/>
      </rPr>
      <t xml:space="preserve">در  مخزن </t>
    </r>
    <r>
      <rPr>
        <sz val="10"/>
        <rFont val="Vazirmatn"/>
        <family val="0"/>
        <charset val="1"/>
      </rPr>
      <t xml:space="preserve">IBC</t>
    </r>
  </si>
  <si>
    <t xml:space="preserve">کود</t>
  </si>
  <si>
    <t xml:space="preserve">510043</t>
  </si>
  <si>
    <r>
      <rPr>
        <sz val="10"/>
        <rFont val="FreeSans"/>
        <family val="2"/>
      </rPr>
      <t xml:space="preserve">شربت دکستروز </t>
    </r>
    <r>
      <rPr>
        <sz val="10"/>
        <rFont val="Vazirmatn"/>
        <family val="0"/>
        <charset val="1"/>
      </rPr>
      <t xml:space="preserve">DE95  BR35</t>
    </r>
  </si>
  <si>
    <t xml:space="preserve">510045</t>
  </si>
  <si>
    <r>
      <rPr>
        <sz val="10"/>
        <rFont val="FreeSans"/>
        <family val="2"/>
      </rPr>
      <t xml:space="preserve">دکستروز </t>
    </r>
    <r>
      <rPr>
        <sz val="10"/>
        <rFont val="Vazirmatn"/>
        <family val="0"/>
        <charset val="1"/>
      </rPr>
      <t xml:space="preserve">BR50 DE95 </t>
    </r>
    <r>
      <rPr>
        <sz val="10"/>
        <rFont val="FreeSans"/>
        <family val="2"/>
      </rPr>
      <t xml:space="preserve">فله</t>
    </r>
  </si>
  <si>
    <t xml:space="preserve">510046</t>
  </si>
  <si>
    <r>
      <rPr>
        <sz val="10"/>
        <rFont val="FreeSans"/>
        <family val="2"/>
      </rPr>
      <t xml:space="preserve">دکستروز </t>
    </r>
    <r>
      <rPr>
        <sz val="10"/>
        <rFont val="Vazirmatn"/>
        <family val="0"/>
        <charset val="1"/>
      </rPr>
      <t xml:space="preserve">BR50  </t>
    </r>
    <r>
      <rPr>
        <sz val="10"/>
        <rFont val="FreeSans"/>
        <family val="2"/>
      </rPr>
      <t xml:space="preserve">بسته بندی</t>
    </r>
  </si>
  <si>
    <t xml:space="preserve">510048</t>
  </si>
  <si>
    <r>
      <rPr>
        <sz val="10"/>
        <rFont val="FreeSans"/>
        <family val="2"/>
      </rPr>
      <t xml:space="preserve">شربت </t>
    </r>
    <r>
      <rPr>
        <sz val="10"/>
        <rFont val="Vazirmatn"/>
        <family val="0"/>
        <charset val="1"/>
      </rPr>
      <t xml:space="preserve">HFGS80 </t>
    </r>
    <r>
      <rPr>
        <sz val="10"/>
        <rFont val="FreeSans"/>
        <family val="2"/>
      </rPr>
      <t xml:space="preserve">در گالن</t>
    </r>
  </si>
  <si>
    <t xml:space="preserve">مالتوز</t>
  </si>
  <si>
    <t xml:space="preserve">510049</t>
  </si>
  <si>
    <r>
      <rPr>
        <sz val="10"/>
        <rFont val="FreeSans"/>
        <family val="2"/>
      </rPr>
      <t xml:space="preserve">دکستروز </t>
    </r>
    <r>
      <rPr>
        <sz val="10"/>
        <rFont val="Vazirmatn"/>
        <family val="0"/>
        <charset val="1"/>
      </rPr>
      <t xml:space="preserve">BR65  </t>
    </r>
    <r>
      <rPr>
        <sz val="10"/>
        <rFont val="FreeSans"/>
        <family val="2"/>
      </rPr>
      <t xml:space="preserve">بسته بندی</t>
    </r>
  </si>
  <si>
    <t xml:space="preserve">510050</t>
  </si>
  <si>
    <r>
      <rPr>
        <sz val="10"/>
        <rFont val="FreeSans"/>
        <family val="2"/>
      </rPr>
      <t xml:space="preserve">دکستروز </t>
    </r>
    <r>
      <rPr>
        <sz val="10"/>
        <rFont val="Vazirmatn"/>
        <family val="0"/>
        <charset val="1"/>
      </rPr>
      <t xml:space="preserve">DE90    BR60   </t>
    </r>
    <r>
      <rPr>
        <sz val="10"/>
        <rFont val="FreeSans"/>
        <family val="2"/>
      </rPr>
      <t xml:space="preserve">فله</t>
    </r>
  </si>
  <si>
    <t xml:space="preserve">510051</t>
  </si>
  <si>
    <r>
      <rPr>
        <sz val="10"/>
        <rFont val="FreeSans"/>
        <family val="2"/>
      </rPr>
      <t xml:space="preserve">گلوکوز شفاف در گالن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کیلوگرمی</t>
    </r>
  </si>
  <si>
    <t xml:space="preserve">510053</t>
  </si>
  <si>
    <t xml:space="preserve">شربت مالتو دکسترین</t>
  </si>
  <si>
    <t xml:space="preserve">مالتو دکسترین مایع</t>
  </si>
  <si>
    <t xml:space="preserve">510057</t>
  </si>
  <si>
    <r>
      <rPr>
        <sz val="10"/>
        <rFont val="FreeSans"/>
        <family val="2"/>
      </rPr>
      <t xml:space="preserve">شربت فروکتوز </t>
    </r>
    <r>
      <rPr>
        <sz val="10"/>
        <rFont val="Vazirmatn"/>
        <family val="0"/>
        <charset val="1"/>
      </rPr>
      <t xml:space="preserve">BR82  F55 </t>
    </r>
    <r>
      <rPr>
        <sz val="10"/>
        <rFont val="FreeSans"/>
        <family val="2"/>
      </rPr>
      <t xml:space="preserve">در گالن</t>
    </r>
  </si>
  <si>
    <t xml:space="preserve">510060</t>
  </si>
  <si>
    <r>
      <rPr>
        <sz val="10"/>
        <rFont val="Vazirmatn"/>
        <family val="0"/>
        <charset val="1"/>
      </rPr>
      <t xml:space="preserve">GS_1212 </t>
    </r>
    <r>
      <rPr>
        <sz val="10"/>
        <rFont val="FreeSans"/>
        <family val="2"/>
      </rPr>
      <t xml:space="preserve">در گالن</t>
    </r>
  </si>
  <si>
    <t xml:space="preserve">510061</t>
  </si>
  <si>
    <r>
      <rPr>
        <sz val="10"/>
        <rFont val="Vazirmatn"/>
        <family val="0"/>
        <charset val="1"/>
      </rPr>
      <t xml:space="preserve">GS_1212 </t>
    </r>
    <r>
      <rPr>
        <sz val="10"/>
        <rFont val="FreeSans"/>
        <family val="2"/>
      </rPr>
      <t xml:space="preserve">در بشکه</t>
    </r>
  </si>
  <si>
    <t xml:space="preserve">510063</t>
  </si>
  <si>
    <r>
      <rPr>
        <sz val="10"/>
        <rFont val="FreeSans"/>
        <family val="2"/>
      </rPr>
      <t xml:space="preserve">گلوکوز </t>
    </r>
    <r>
      <rPr>
        <sz val="10"/>
        <rFont val="Vazirmatn"/>
        <family val="0"/>
        <charset val="1"/>
      </rPr>
      <t xml:space="preserve">BR82 </t>
    </r>
    <r>
      <rPr>
        <sz val="10"/>
        <rFont val="FreeSans"/>
        <family val="2"/>
      </rPr>
      <t xml:space="preserve">در گالن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کیلوگرمی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صادراتی</t>
    </r>
    <r>
      <rPr>
        <sz val="10"/>
        <rFont val="Vazirmatn"/>
        <family val="0"/>
        <charset val="1"/>
      </rPr>
      <t xml:space="preserve">)</t>
    </r>
  </si>
  <si>
    <t xml:space="preserve">510065</t>
  </si>
  <si>
    <r>
      <rPr>
        <sz val="10"/>
        <rFont val="FreeSans"/>
        <family val="2"/>
      </rPr>
      <t xml:space="preserve">شربت فروکتوز  </t>
    </r>
    <r>
      <rPr>
        <sz val="10"/>
        <rFont val="Vazirmatn"/>
        <family val="0"/>
        <charset val="1"/>
      </rPr>
      <t xml:space="preserve">F30  </t>
    </r>
    <r>
      <rPr>
        <sz val="10"/>
        <rFont val="FreeSans"/>
        <family val="2"/>
      </rPr>
      <t xml:space="preserve">درگالن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کیلوگرمی</t>
    </r>
  </si>
  <si>
    <t xml:space="preserve">510067</t>
  </si>
  <si>
    <r>
      <rPr>
        <sz val="10"/>
        <rFont val="FreeSans"/>
        <family val="2"/>
      </rPr>
      <t xml:space="preserve">شربت فروکتوز </t>
    </r>
    <r>
      <rPr>
        <sz val="10"/>
        <rFont val="Vazirmatn"/>
        <family val="0"/>
        <charset val="1"/>
      </rPr>
      <t xml:space="preserve">BR82  F55 </t>
    </r>
    <r>
      <rPr>
        <sz val="10"/>
        <rFont val="FreeSans"/>
        <family val="2"/>
      </rPr>
      <t xml:space="preserve">فلّه</t>
    </r>
  </si>
  <si>
    <t xml:space="preserve">510068</t>
  </si>
  <si>
    <r>
      <rPr>
        <sz val="10"/>
        <rFont val="FreeSans"/>
        <family val="2"/>
      </rPr>
      <t xml:space="preserve">شربت فروکتوز  </t>
    </r>
    <r>
      <rPr>
        <sz val="10"/>
        <rFont val="Vazirmatn"/>
        <family val="0"/>
        <charset val="1"/>
      </rPr>
      <t xml:space="preserve">F10  </t>
    </r>
    <r>
      <rPr>
        <sz val="10"/>
        <rFont val="FreeSans"/>
        <family val="2"/>
      </rPr>
      <t xml:space="preserve">درگالن</t>
    </r>
  </si>
  <si>
    <t xml:space="preserve">510070</t>
  </si>
  <si>
    <t xml:space="preserve">کارامل مایع در گالن</t>
  </si>
  <si>
    <t xml:space="preserve">510077</t>
  </si>
  <si>
    <r>
      <rPr>
        <sz val="10"/>
        <rFont val="FreeSans"/>
        <family val="2"/>
      </rPr>
      <t xml:space="preserve">شربت فروکتوز </t>
    </r>
    <r>
      <rPr>
        <sz val="10"/>
        <rFont val="Vazirmatn"/>
        <family val="0"/>
        <charset val="1"/>
      </rPr>
      <t xml:space="preserve">F62  </t>
    </r>
    <r>
      <rPr>
        <sz val="10"/>
        <rFont val="FreeSans"/>
        <family val="2"/>
      </rPr>
      <t xml:space="preserve">در بشکه</t>
    </r>
  </si>
  <si>
    <t xml:space="preserve">510078</t>
  </si>
  <si>
    <r>
      <rPr>
        <sz val="10"/>
        <rFont val="FreeSans"/>
        <family val="2"/>
      </rPr>
      <t xml:space="preserve">شربت فروکتوز </t>
    </r>
    <r>
      <rPr>
        <sz val="10"/>
        <rFont val="Vazirmatn"/>
        <family val="0"/>
        <charset val="1"/>
      </rPr>
      <t xml:space="preserve">F62  </t>
    </r>
    <r>
      <rPr>
        <sz val="10"/>
        <rFont val="FreeSans"/>
        <family val="2"/>
      </rPr>
      <t xml:space="preserve">در گالن</t>
    </r>
  </si>
  <si>
    <t xml:space="preserve">520002</t>
  </si>
  <si>
    <r>
      <rPr>
        <sz val="10"/>
        <rFont val="FreeSans"/>
        <family val="2"/>
      </rPr>
      <t xml:space="preserve">روغن ذرت کلاله </t>
    </r>
    <r>
      <rPr>
        <sz val="10"/>
        <rFont val="Vazirmatn"/>
        <family val="0"/>
        <charset val="1"/>
      </rPr>
      <t xml:space="preserve">900CC  </t>
    </r>
    <r>
      <rPr>
        <sz val="10"/>
        <rFont val="FreeSans"/>
        <family val="2"/>
      </rPr>
      <t xml:space="preserve">در کارتن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تایی</t>
    </r>
  </si>
  <si>
    <t xml:space="preserve">520005</t>
  </si>
  <si>
    <t xml:space="preserve">گلوتن</t>
  </si>
  <si>
    <t xml:space="preserve">520007</t>
  </si>
  <si>
    <t xml:space="preserve">پوسته ذرت</t>
  </si>
  <si>
    <t xml:space="preserve">520008</t>
  </si>
  <si>
    <t xml:space="preserve">خمیر صابون</t>
  </si>
  <si>
    <t xml:space="preserve">520015</t>
  </si>
  <si>
    <t xml:space="preserve">خرده ذرت در کیسه</t>
  </si>
  <si>
    <t xml:space="preserve">520016</t>
  </si>
  <si>
    <t xml:space="preserve">آب استیپ</t>
  </si>
  <si>
    <t xml:space="preserve">520018</t>
  </si>
  <si>
    <r>
      <rPr>
        <sz val="10"/>
        <rFont val="FreeSans"/>
        <family val="2"/>
      </rPr>
      <t xml:space="preserve">گلوتن مایع  با بومه </t>
    </r>
    <r>
      <rPr>
        <sz val="10"/>
        <rFont val="Vazirmatn"/>
        <family val="0"/>
        <charset val="1"/>
      </rPr>
      <t xml:space="preserve">30 </t>
    </r>
    <r>
      <rPr>
        <sz val="10"/>
        <rFont val="FreeSans"/>
        <family val="2"/>
      </rPr>
      <t xml:space="preserve">فله</t>
    </r>
  </si>
  <si>
    <t xml:space="preserve">520023</t>
  </si>
  <si>
    <r>
      <rPr>
        <sz val="10"/>
        <rFont val="FreeSans"/>
        <family val="2"/>
      </rPr>
      <t xml:space="preserve">نشاسته اکسیدشده </t>
    </r>
    <r>
      <rPr>
        <sz val="10"/>
        <rFont val="Vazirmatn"/>
        <family val="0"/>
        <charset val="1"/>
      </rPr>
      <t xml:space="preserve">-</t>
    </r>
    <r>
      <rPr>
        <sz val="10"/>
        <rFont val="FreeSans"/>
        <family val="2"/>
      </rPr>
      <t xml:space="preserve">بسته بندی شده</t>
    </r>
  </si>
  <si>
    <t xml:space="preserve">520026</t>
  </si>
  <si>
    <r>
      <rPr>
        <sz val="10"/>
        <rFont val="FreeSans"/>
        <family val="2"/>
      </rPr>
      <t xml:space="preserve">گلوکوز فوق تصفیه صادراتی در گالن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کیلوگرمی</t>
    </r>
  </si>
  <si>
    <t xml:space="preserve">520027</t>
  </si>
  <si>
    <t xml:space="preserve">نشاسته صنعتی صادراتی</t>
  </si>
  <si>
    <t xml:space="preserve">520034</t>
  </si>
  <si>
    <r>
      <rPr>
        <sz val="10"/>
        <rFont val="FreeSans"/>
        <family val="2"/>
      </rPr>
      <t xml:space="preserve">پودر دکسترین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سفید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در کیسه</t>
    </r>
  </si>
  <si>
    <t xml:space="preserve">520036</t>
  </si>
  <si>
    <r>
      <rPr>
        <sz val="10"/>
        <rFont val="FreeSans"/>
        <family val="2"/>
      </rPr>
      <t xml:space="preserve">گلوکوز شفاف در حلب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کیلوگرمی</t>
    </r>
  </si>
  <si>
    <t xml:space="preserve">520040</t>
  </si>
  <si>
    <r>
      <rPr>
        <sz val="10"/>
        <rFont val="FreeSans"/>
        <family val="2"/>
      </rPr>
      <t xml:space="preserve">پودر دکسترین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زرد </t>
    </r>
    <r>
      <rPr>
        <sz val="10"/>
        <rFont val="Vazirmatn"/>
        <family val="0"/>
        <charset val="1"/>
      </rPr>
      <t xml:space="preserve">F1  ) </t>
    </r>
    <r>
      <rPr>
        <sz val="10"/>
        <rFont val="FreeSans"/>
        <family val="2"/>
      </rPr>
      <t xml:space="preserve">در کیسه</t>
    </r>
  </si>
  <si>
    <t xml:space="preserve">520041</t>
  </si>
  <si>
    <r>
      <rPr>
        <sz val="10"/>
        <rFont val="FreeSans"/>
        <family val="2"/>
      </rPr>
      <t xml:space="preserve">گلوکوز شفاف </t>
    </r>
    <r>
      <rPr>
        <sz val="10"/>
        <rFont val="Vazirmatn"/>
        <family val="0"/>
        <charset val="1"/>
      </rPr>
      <t xml:space="preserve">DE 60 BR 82 </t>
    </r>
    <r>
      <rPr>
        <sz val="10"/>
        <rFont val="FreeSans"/>
        <family val="2"/>
      </rPr>
      <t xml:space="preserve">در گالن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کیلوگرمی</t>
    </r>
  </si>
  <si>
    <t xml:space="preserve">520043</t>
  </si>
  <si>
    <r>
      <rPr>
        <sz val="10"/>
        <rFont val="FreeSans"/>
        <family val="2"/>
      </rPr>
      <t xml:space="preserve">پودر دکسترین </t>
    </r>
    <r>
      <rPr>
        <sz val="10"/>
        <rFont val="Vazirmatn"/>
        <family val="0"/>
        <charset val="1"/>
      </rPr>
      <t xml:space="preserve">(  </t>
    </r>
    <r>
      <rPr>
        <sz val="10"/>
        <rFont val="FreeSans"/>
        <family val="2"/>
      </rPr>
      <t xml:space="preserve">زرد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در کیسه</t>
    </r>
  </si>
  <si>
    <t xml:space="preserve">520048</t>
  </si>
  <si>
    <r>
      <rPr>
        <sz val="10"/>
        <rFont val="FreeSans"/>
        <family val="2"/>
      </rPr>
      <t xml:space="preserve">روغن ذرت کلاله </t>
    </r>
    <r>
      <rPr>
        <sz val="10"/>
        <rFont val="Vazirmatn"/>
        <family val="0"/>
        <charset val="1"/>
      </rPr>
      <t xml:space="preserve">900cc   </t>
    </r>
    <r>
      <rPr>
        <sz val="10"/>
        <rFont val="FreeSans"/>
        <family val="2"/>
      </rPr>
      <t xml:space="preserve">در کارتن </t>
    </r>
    <r>
      <rPr>
        <sz val="10"/>
        <rFont val="Vazirmatn"/>
        <family val="0"/>
        <charset val="1"/>
      </rPr>
      <t xml:space="preserve">12 </t>
    </r>
    <r>
      <rPr>
        <sz val="10"/>
        <rFont val="FreeSans"/>
        <family val="2"/>
      </rPr>
      <t xml:space="preserve">تایی</t>
    </r>
  </si>
  <si>
    <t xml:space="preserve">520056</t>
  </si>
  <si>
    <r>
      <rPr>
        <sz val="10"/>
        <rFont val="FreeSans"/>
        <family val="2"/>
      </rPr>
      <t xml:space="preserve">روغن ذرت پخت و پز گلدن کرن </t>
    </r>
    <r>
      <rPr>
        <sz val="10"/>
        <rFont val="Vazirmatn"/>
        <family val="0"/>
        <charset val="1"/>
      </rPr>
      <t xml:space="preserve">1800cc</t>
    </r>
  </si>
  <si>
    <t xml:space="preserve">520060</t>
  </si>
  <si>
    <r>
      <rPr>
        <sz val="10"/>
        <rFont val="FreeSans"/>
        <family val="2"/>
      </rPr>
      <t xml:space="preserve">گلوکوز شفاف صادراتی در حلب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کیلوگرمی</t>
    </r>
  </si>
  <si>
    <t xml:space="preserve">520061</t>
  </si>
  <si>
    <r>
      <rPr>
        <sz val="10"/>
        <rFont val="FreeSans"/>
        <family val="2"/>
      </rPr>
      <t xml:space="preserve">گلوکوز شفاف با بریکس </t>
    </r>
    <r>
      <rPr>
        <sz val="10"/>
        <rFont val="Vazirmatn"/>
        <family val="0"/>
        <charset val="1"/>
      </rPr>
      <t xml:space="preserve">85 </t>
    </r>
    <r>
      <rPr>
        <sz val="10"/>
        <rFont val="FreeSans"/>
        <family val="2"/>
      </rPr>
      <t xml:space="preserve">در گالن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کیلوگرمی</t>
    </r>
  </si>
  <si>
    <t xml:space="preserve">520062</t>
  </si>
  <si>
    <r>
      <rPr>
        <sz val="10"/>
        <rFont val="FreeSans"/>
        <family val="2"/>
      </rPr>
      <t xml:space="preserve">گلوکوز شفاف صادراتی با بریکس </t>
    </r>
    <r>
      <rPr>
        <sz val="10"/>
        <rFont val="Vazirmatn"/>
        <family val="0"/>
        <charset val="1"/>
      </rPr>
      <t xml:space="preserve">85 </t>
    </r>
    <r>
      <rPr>
        <sz val="10"/>
        <rFont val="FreeSans"/>
        <family val="2"/>
      </rPr>
      <t xml:space="preserve">درصد در بشکه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کیلوگرمی</t>
    </r>
  </si>
  <si>
    <t xml:space="preserve">520066</t>
  </si>
  <si>
    <t xml:space="preserve">اسپری استارچ</t>
  </si>
  <si>
    <t xml:space="preserve">520067</t>
  </si>
  <si>
    <r>
      <rPr>
        <sz val="10"/>
        <rFont val="FreeSans"/>
        <family val="2"/>
      </rPr>
      <t xml:space="preserve">گلوکوز شفاف با بریکس </t>
    </r>
    <r>
      <rPr>
        <sz val="10"/>
        <rFont val="Vazirmatn"/>
        <family val="0"/>
        <charset val="1"/>
      </rPr>
      <t xml:space="preserve">85 </t>
    </r>
    <r>
      <rPr>
        <sz val="10"/>
        <rFont val="FreeSans"/>
        <family val="2"/>
      </rPr>
      <t xml:space="preserve">فله</t>
    </r>
  </si>
  <si>
    <t xml:space="preserve">520073</t>
  </si>
  <si>
    <t xml:space="preserve">لرد روغن در کیسه</t>
  </si>
  <si>
    <t xml:space="preserve">جوانه ذرت</t>
  </si>
  <si>
    <t xml:space="preserve">520077</t>
  </si>
  <si>
    <r>
      <rPr>
        <sz val="10"/>
        <rFont val="FreeSans"/>
        <family val="2"/>
      </rPr>
      <t xml:space="preserve">گلوکوز شفاف صادراتی با بریکس </t>
    </r>
    <r>
      <rPr>
        <sz val="10"/>
        <rFont val="Vazirmatn"/>
        <family val="0"/>
        <charset val="1"/>
      </rPr>
      <t xml:space="preserve">85 </t>
    </r>
    <r>
      <rPr>
        <sz val="10"/>
        <rFont val="FreeSans"/>
        <family val="2"/>
      </rPr>
      <t xml:space="preserve">در گالن</t>
    </r>
  </si>
  <si>
    <t xml:space="preserve">520080</t>
  </si>
  <si>
    <r>
      <rPr>
        <sz val="10"/>
        <rFont val="FreeSans"/>
        <family val="2"/>
      </rPr>
      <t xml:space="preserve">نشاسته پریژل حفاری سبز کد </t>
    </r>
    <r>
      <rPr>
        <sz val="10"/>
        <rFont val="Vazirmatn"/>
        <family val="0"/>
        <charset val="1"/>
      </rPr>
      <t xml:space="preserve">LVGS101</t>
    </r>
  </si>
  <si>
    <t xml:space="preserve">520085</t>
  </si>
  <si>
    <r>
      <rPr>
        <sz val="10"/>
        <rFont val="FreeSans"/>
        <family val="2"/>
      </rPr>
      <t xml:space="preserve">استابیلایزرماست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پایه ماست </t>
    </r>
    <r>
      <rPr>
        <sz val="10"/>
        <rFont val="Vazirmatn"/>
        <family val="0"/>
        <charset val="1"/>
      </rPr>
      <t xml:space="preserve">) Gold Stap 2111</t>
    </r>
  </si>
  <si>
    <t xml:space="preserve">520087</t>
  </si>
  <si>
    <r>
      <rPr>
        <sz val="10"/>
        <rFont val="FreeSans"/>
        <family val="2"/>
      </rPr>
      <t xml:space="preserve">استابیلایزر ماست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پایه لبنی </t>
    </r>
    <r>
      <rPr>
        <sz val="10"/>
        <rFont val="Vazirmatn"/>
        <family val="0"/>
        <charset val="1"/>
      </rPr>
      <t xml:space="preserve">Gold Stob 2112</t>
    </r>
  </si>
  <si>
    <t xml:space="preserve">استابيلايزر</t>
  </si>
  <si>
    <t xml:space="preserve">520093</t>
  </si>
  <si>
    <t xml:space="preserve">خرده ذرت خشک فله</t>
  </si>
  <si>
    <t xml:space="preserve">520096</t>
  </si>
  <si>
    <t xml:space="preserve">نشاسته پریژل حفاری قرمز در کیسه</t>
  </si>
  <si>
    <t xml:space="preserve">520098</t>
  </si>
  <si>
    <r>
      <rPr>
        <sz val="10"/>
        <rFont val="FreeSans"/>
        <family val="2"/>
      </rPr>
      <t xml:space="preserve">نشاسته پریژل حفاری صادراتی سبز</t>
    </r>
    <r>
      <rPr>
        <sz val="10"/>
        <rFont val="Vazirmatn"/>
        <family val="0"/>
        <charset val="1"/>
      </rPr>
      <t xml:space="preserve">LVGS101</t>
    </r>
  </si>
  <si>
    <t xml:space="preserve">520110</t>
  </si>
  <si>
    <t xml:space="preserve">نشاسته سولویتوز در کیسه</t>
  </si>
  <si>
    <t xml:space="preserve">520111</t>
  </si>
  <si>
    <r>
      <rPr>
        <sz val="10"/>
        <rFont val="FreeSans"/>
        <family val="2"/>
      </rPr>
      <t xml:space="preserve">چسب کناف سفید در کیسه </t>
    </r>
    <r>
      <rPr>
        <sz val="10"/>
        <rFont val="Vazirmatn"/>
        <family val="0"/>
        <charset val="1"/>
      </rPr>
      <t xml:space="preserve">.</t>
    </r>
  </si>
  <si>
    <t xml:space="preserve">520113</t>
  </si>
  <si>
    <r>
      <rPr>
        <sz val="10"/>
        <rFont val="FreeSans"/>
        <family val="2"/>
      </rPr>
      <t xml:space="preserve">پودر دکسترین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سفید </t>
    </r>
    <r>
      <rPr>
        <sz val="10"/>
        <rFont val="Vazirmatn"/>
        <family val="0"/>
        <charset val="1"/>
      </rPr>
      <t xml:space="preserve">F1) </t>
    </r>
    <r>
      <rPr>
        <sz val="10"/>
        <rFont val="FreeSans"/>
        <family val="2"/>
      </rPr>
      <t xml:space="preserve">در کیسه</t>
    </r>
  </si>
  <si>
    <t xml:space="preserve">520116</t>
  </si>
  <si>
    <r>
      <rPr>
        <sz val="10"/>
        <rFont val="FreeSans"/>
        <family val="2"/>
      </rPr>
      <t xml:space="preserve">دکسترین زرد </t>
    </r>
    <r>
      <rPr>
        <sz val="10"/>
        <rFont val="Vazirmatn"/>
        <family val="0"/>
        <charset val="1"/>
      </rPr>
      <t xml:space="preserve">F2</t>
    </r>
  </si>
  <si>
    <t xml:space="preserve">520117</t>
  </si>
  <si>
    <t xml:space="preserve">اسید چرب</t>
  </si>
  <si>
    <t xml:space="preserve">520118</t>
  </si>
  <si>
    <t xml:space="preserve">مکمل چسب</t>
  </si>
  <si>
    <t xml:space="preserve">520122</t>
  </si>
  <si>
    <r>
      <rPr>
        <sz val="10"/>
        <rFont val="FreeSans"/>
        <family val="2"/>
      </rPr>
      <t xml:space="preserve">نشاسته پریژل خوراکی </t>
    </r>
    <r>
      <rPr>
        <sz val="10"/>
        <rFont val="Vazirmatn"/>
        <family val="0"/>
        <charset val="1"/>
      </rPr>
      <t xml:space="preserve">1</t>
    </r>
  </si>
  <si>
    <t xml:space="preserve">520123</t>
  </si>
  <si>
    <r>
      <rPr>
        <sz val="10"/>
        <rFont val="FreeSans"/>
        <family val="2"/>
      </rPr>
      <t xml:space="preserve">نشاسته پریژل خوراکی </t>
    </r>
    <r>
      <rPr>
        <sz val="10"/>
        <rFont val="Vazirmatn"/>
        <family val="0"/>
        <charset val="1"/>
      </rPr>
      <t xml:space="preserve">2</t>
    </r>
  </si>
  <si>
    <t xml:space="preserve">520126</t>
  </si>
  <si>
    <r>
      <rPr>
        <sz val="10"/>
        <rFont val="FreeSans"/>
        <family val="2"/>
      </rPr>
      <t xml:space="preserve">گلوتن مایع  با بومه </t>
    </r>
    <r>
      <rPr>
        <sz val="10"/>
        <rFont val="Vazirmatn"/>
        <family val="0"/>
        <charset val="1"/>
      </rPr>
      <t xml:space="preserve">22 </t>
    </r>
    <r>
      <rPr>
        <sz val="10"/>
        <rFont val="FreeSans"/>
        <family val="2"/>
      </rPr>
      <t xml:space="preserve">فله</t>
    </r>
  </si>
  <si>
    <t xml:space="preserve">520127</t>
  </si>
  <si>
    <r>
      <rPr>
        <sz val="10"/>
        <rFont val="FreeSans"/>
        <family val="2"/>
      </rPr>
      <t xml:space="preserve">گلوتن مایع  با بومه </t>
    </r>
    <r>
      <rPr>
        <sz val="10"/>
        <rFont val="Vazirmatn"/>
        <family val="0"/>
        <charset val="1"/>
      </rPr>
      <t xml:space="preserve">22 </t>
    </r>
    <r>
      <rPr>
        <sz val="10"/>
        <rFont val="FreeSans"/>
        <family val="2"/>
      </rPr>
      <t xml:space="preserve">در گالن</t>
    </r>
  </si>
  <si>
    <t xml:space="preserve">520129</t>
  </si>
  <si>
    <t xml:space="preserve">نشاسته صنعتی در بیگ بگ جهت مصرف</t>
  </si>
  <si>
    <t xml:space="preserve">520140</t>
  </si>
  <si>
    <t xml:space="preserve">روغن در جریان</t>
  </si>
  <si>
    <t xml:space="preserve">520141</t>
  </si>
  <si>
    <r>
      <rPr>
        <sz val="10"/>
        <rFont val="FreeSans"/>
        <family val="2"/>
      </rPr>
      <t xml:space="preserve">کارمزد تصفیه روغن خام ذرت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در بطری </t>
    </r>
    <r>
      <rPr>
        <sz val="10"/>
        <rFont val="Vazirmatn"/>
        <family val="0"/>
        <charset val="1"/>
      </rPr>
      <t xml:space="preserve">1620 </t>
    </r>
    <r>
      <rPr>
        <sz val="10"/>
        <rFont val="FreeSans"/>
        <family val="2"/>
      </rPr>
      <t xml:space="preserve">گرمی</t>
    </r>
    <r>
      <rPr>
        <sz val="10"/>
        <rFont val="Vazirmatn"/>
        <family val="0"/>
        <charset val="1"/>
      </rPr>
      <t xml:space="preserve">)</t>
    </r>
  </si>
  <si>
    <t xml:space="preserve">520145</t>
  </si>
  <si>
    <r>
      <rPr>
        <sz val="10"/>
        <rFont val="FreeSans"/>
        <family val="2"/>
      </rPr>
      <t xml:space="preserve">چسب </t>
    </r>
    <r>
      <rPr>
        <sz val="10"/>
        <rFont val="Vazirmatn"/>
        <family val="0"/>
        <charset val="1"/>
      </rPr>
      <t xml:space="preserve">G1 </t>
    </r>
    <r>
      <rPr>
        <sz val="10"/>
        <rFont val="FreeSans"/>
        <family val="2"/>
      </rPr>
      <t xml:space="preserve">در کیسه</t>
    </r>
  </si>
  <si>
    <t xml:space="preserve">520147</t>
  </si>
  <si>
    <r>
      <rPr>
        <sz val="10"/>
        <rFont val="FreeSans"/>
        <family val="2"/>
      </rPr>
      <t xml:space="preserve">روغن تصفیه شده در بطری </t>
    </r>
    <r>
      <rPr>
        <sz val="10"/>
        <rFont val="Vazirmatn"/>
        <family val="0"/>
        <charset val="1"/>
      </rPr>
      <t xml:space="preserve">1620 </t>
    </r>
    <r>
      <rPr>
        <sz val="10"/>
        <rFont val="FreeSans"/>
        <family val="2"/>
      </rPr>
      <t xml:space="preserve">گرمی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زرنام</t>
    </r>
    <r>
      <rPr>
        <sz val="10"/>
        <rFont val="Vazirmatn"/>
        <family val="0"/>
        <charset val="1"/>
      </rPr>
      <t xml:space="preserve">)</t>
    </r>
  </si>
  <si>
    <t xml:space="preserve">520149</t>
  </si>
  <si>
    <r>
      <rPr>
        <sz val="10"/>
        <rFont val="FreeSans"/>
        <family val="2"/>
      </rPr>
      <t xml:space="preserve">گلوتن مایع  با بومه </t>
    </r>
    <r>
      <rPr>
        <sz val="10"/>
        <rFont val="Vazirmatn"/>
        <family val="0"/>
        <charset val="1"/>
      </rPr>
      <t xml:space="preserve">15 </t>
    </r>
    <r>
      <rPr>
        <sz val="10"/>
        <rFont val="FreeSans"/>
        <family val="2"/>
      </rPr>
      <t xml:space="preserve">فله</t>
    </r>
  </si>
  <si>
    <t xml:space="preserve">520150</t>
  </si>
  <si>
    <r>
      <rPr>
        <sz val="10"/>
        <rFont val="FreeSans"/>
        <family val="2"/>
      </rPr>
      <t xml:space="preserve">کنجاله پرو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در کیسه</t>
    </r>
  </si>
  <si>
    <t xml:space="preserve">520151</t>
  </si>
  <si>
    <r>
      <rPr>
        <sz val="10"/>
        <rFont val="FreeSans"/>
        <family val="2"/>
      </rPr>
      <t xml:space="preserve">کنجاله پرو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فلّه</t>
    </r>
  </si>
  <si>
    <t xml:space="preserve">520152</t>
  </si>
  <si>
    <r>
      <rPr>
        <sz val="10"/>
        <rFont val="FreeSans"/>
        <family val="2"/>
      </rPr>
      <t xml:space="preserve">کارمزد تصفیه روغن خام ذرت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در گالن</t>
    </r>
    <r>
      <rPr>
        <sz val="10"/>
        <rFont val="Vazirmatn"/>
        <family val="0"/>
        <charset val="1"/>
      </rPr>
      <t xml:space="preserve">)</t>
    </r>
  </si>
  <si>
    <t xml:space="preserve">520156</t>
  </si>
  <si>
    <r>
      <rPr>
        <sz val="10"/>
        <rFont val="FreeSans"/>
        <family val="2"/>
      </rPr>
      <t xml:space="preserve">کارمزد تصفیه روغن خام ذرت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فلّه</t>
    </r>
    <r>
      <rPr>
        <sz val="10"/>
        <rFont val="Vazirmatn"/>
        <family val="0"/>
        <charset val="1"/>
      </rPr>
      <t xml:space="preserve">)</t>
    </r>
  </si>
  <si>
    <t xml:space="preserve">520160</t>
  </si>
  <si>
    <t xml:space="preserve">پاور کورن در کیسه</t>
  </si>
  <si>
    <t xml:space="preserve">520161</t>
  </si>
  <si>
    <t xml:space="preserve">پاور کورن فلّه</t>
  </si>
  <si>
    <t xml:space="preserve">520163</t>
  </si>
  <si>
    <t xml:space="preserve">نشاسته پریژل صنعتی در جامبو</t>
  </si>
  <si>
    <t xml:space="preserve">520164</t>
  </si>
  <si>
    <r>
      <rPr>
        <sz val="10"/>
        <rFont val="FreeSans"/>
        <family val="2"/>
      </rPr>
      <t xml:space="preserve">گلوتن </t>
    </r>
    <r>
      <rPr>
        <sz val="10"/>
        <rFont val="Vazirmatn"/>
        <family val="0"/>
        <charset val="1"/>
      </rPr>
      <t xml:space="preserve">55 </t>
    </r>
    <r>
      <rPr>
        <sz val="10"/>
        <rFont val="FreeSans"/>
        <family val="2"/>
      </rPr>
      <t xml:space="preserve">در کیسه</t>
    </r>
  </si>
  <si>
    <t xml:space="preserve">520165</t>
  </si>
  <si>
    <r>
      <rPr>
        <sz val="10"/>
        <rFont val="FreeSans"/>
        <family val="2"/>
      </rPr>
      <t xml:space="preserve">نشاسته اصلاح شده  </t>
    </r>
    <r>
      <rPr>
        <sz val="10"/>
        <rFont val="Vazirmatn"/>
        <family val="0"/>
        <charset val="1"/>
      </rPr>
      <t xml:space="preserve">K1010</t>
    </r>
  </si>
  <si>
    <t xml:space="preserve">520166</t>
  </si>
  <si>
    <t xml:space="preserve">نشاسته خوراکی صادارتی در بیگ بگ</t>
  </si>
  <si>
    <t xml:space="preserve">520167</t>
  </si>
  <si>
    <r>
      <rPr>
        <sz val="10"/>
        <rFont val="FreeSans"/>
        <family val="2"/>
      </rPr>
      <t xml:space="preserve">پودر دکسترین سفید در جامبو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صادراتی</t>
    </r>
    <r>
      <rPr>
        <sz val="10"/>
        <rFont val="Vazirmatn"/>
        <family val="0"/>
        <charset val="1"/>
      </rPr>
      <t xml:space="preserve">)</t>
    </r>
  </si>
  <si>
    <t xml:space="preserve">520170</t>
  </si>
  <si>
    <r>
      <rPr>
        <sz val="10"/>
        <rFont val="FreeSans"/>
        <family val="2"/>
      </rPr>
      <t xml:space="preserve">روغن ذرت  پخت و پز گلدن کرن </t>
    </r>
    <r>
      <rPr>
        <sz val="10"/>
        <rFont val="Vazirmatn"/>
        <family val="0"/>
        <charset val="1"/>
      </rPr>
      <t xml:space="preserve">1800cc (</t>
    </r>
    <r>
      <rPr>
        <sz val="10"/>
        <rFont val="FreeSans"/>
        <family val="2"/>
      </rPr>
      <t xml:space="preserve">جدید</t>
    </r>
    <r>
      <rPr>
        <sz val="10"/>
        <rFont val="Vazirmatn"/>
        <family val="0"/>
        <charset val="1"/>
      </rPr>
      <t xml:space="preserve">)</t>
    </r>
  </si>
  <si>
    <t xml:space="preserve">520171</t>
  </si>
  <si>
    <r>
      <rPr>
        <sz val="10"/>
        <rFont val="FreeSans"/>
        <family val="2"/>
      </rPr>
      <t xml:space="preserve">روغن ذرت سرخ کردنی گلدن کرن </t>
    </r>
    <r>
      <rPr>
        <sz val="10"/>
        <rFont val="Vazirmatn"/>
        <family val="0"/>
        <charset val="1"/>
      </rPr>
      <t xml:space="preserve">1800cc</t>
    </r>
  </si>
  <si>
    <t xml:space="preserve">520175</t>
  </si>
  <si>
    <r>
      <rPr>
        <sz val="10"/>
        <rFont val="FreeSans"/>
        <family val="2"/>
      </rPr>
      <t xml:space="preserve">روغن ذرت پخت و پز  </t>
    </r>
    <r>
      <rPr>
        <sz val="10"/>
        <rFont val="Vazirmatn"/>
        <family val="0"/>
        <charset val="1"/>
      </rPr>
      <t xml:space="preserve">1800cc - D</t>
    </r>
  </si>
  <si>
    <t xml:space="preserve">520176</t>
  </si>
  <si>
    <r>
      <rPr>
        <sz val="10"/>
        <rFont val="FreeSans"/>
        <family val="2"/>
      </rPr>
      <t xml:space="preserve">روغن ذرت سرخ کردنی </t>
    </r>
    <r>
      <rPr>
        <sz val="10"/>
        <rFont val="Vazirmatn"/>
        <family val="0"/>
        <charset val="1"/>
      </rPr>
      <t xml:space="preserve">1800cc - D</t>
    </r>
  </si>
  <si>
    <t xml:space="preserve">77620113</t>
  </si>
  <si>
    <t xml:space="preserve">کاسه خورشت خوری</t>
  </si>
  <si>
    <t xml:space="preserve">77620127</t>
  </si>
  <si>
    <t xml:space="preserve">آبکش فلزی</t>
  </si>
  <si>
    <t xml:space="preserve">77620137</t>
  </si>
  <si>
    <t xml:space="preserve">استکان چایی</t>
  </si>
  <si>
    <t xml:space="preserve">77620138</t>
  </si>
  <si>
    <t xml:space="preserve">فنجان با نعلبکی</t>
  </si>
  <si>
    <t xml:space="preserve">77620140</t>
  </si>
  <si>
    <t xml:space="preserve">دیس پلو خوری چینی</t>
  </si>
  <si>
    <t xml:space="preserve">77620141</t>
  </si>
  <si>
    <t xml:space="preserve">کف گیر پلو خوری</t>
  </si>
  <si>
    <t xml:space="preserve">77620142</t>
  </si>
  <si>
    <t xml:space="preserve">خورشت خوری بزرگ</t>
  </si>
  <si>
    <t xml:space="preserve">77620143</t>
  </si>
  <si>
    <t xml:space="preserve">ملاقه خورشت خوری</t>
  </si>
  <si>
    <t xml:space="preserve">77620147</t>
  </si>
  <si>
    <r>
      <rPr>
        <sz val="10"/>
        <rFont val="FreeSans"/>
        <family val="2"/>
      </rPr>
      <t xml:space="preserve">درموسپت دیواری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ضد عفونی کننده </t>
    </r>
    <r>
      <rPr>
        <sz val="10"/>
        <rFont val="Vazirmatn"/>
        <family val="0"/>
        <charset val="1"/>
      </rPr>
      <t xml:space="preserve">)</t>
    </r>
  </si>
  <si>
    <t xml:space="preserve">77620148</t>
  </si>
  <si>
    <t xml:space="preserve">قیچی استیل پانسمان</t>
  </si>
  <si>
    <t xml:space="preserve">77620149</t>
  </si>
  <si>
    <t xml:space="preserve">پنس پزشکی</t>
  </si>
  <si>
    <t xml:space="preserve">77620150</t>
  </si>
  <si>
    <t xml:space="preserve">آمبو بگ</t>
  </si>
  <si>
    <t xml:space="preserve">77620151</t>
  </si>
  <si>
    <t xml:space="preserve">ایر وی</t>
  </si>
  <si>
    <t xml:space="preserve">77620153</t>
  </si>
  <si>
    <r>
      <rPr>
        <sz val="10"/>
        <rFont val="FreeSans"/>
        <family val="2"/>
      </rPr>
      <t xml:space="preserve">کتری استیل آب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لیتری</t>
    </r>
  </si>
  <si>
    <t xml:space="preserve">77620155</t>
  </si>
  <si>
    <t xml:space="preserve">کارد پنیر خوری استیل</t>
  </si>
  <si>
    <t xml:space="preserve">77620156</t>
  </si>
  <si>
    <t xml:space="preserve">دستمال کاغذی اقتصادی</t>
  </si>
  <si>
    <t xml:space="preserve">77620157</t>
  </si>
  <si>
    <t xml:space="preserve">پک اهدایی</t>
  </si>
  <si>
    <t xml:space="preserve">77620158</t>
  </si>
  <si>
    <r>
      <rPr>
        <sz val="10"/>
        <rFont val="FreeSans"/>
        <family val="2"/>
      </rPr>
      <t xml:space="preserve">میله زیر کبابی آلومینیومی </t>
    </r>
    <r>
      <rPr>
        <sz val="10"/>
        <rFont val="Vazirmatn"/>
        <family val="0"/>
        <charset val="1"/>
      </rPr>
      <t xml:space="preserve">100Cm</t>
    </r>
  </si>
  <si>
    <t xml:space="preserve">77620159</t>
  </si>
  <si>
    <r>
      <rPr>
        <sz val="10"/>
        <rFont val="FreeSans"/>
        <family val="2"/>
      </rPr>
      <t xml:space="preserve">آبکش آلومینیومی بدون پایه قطر </t>
    </r>
    <r>
      <rPr>
        <sz val="10"/>
        <rFont val="Vazirmatn"/>
        <family val="0"/>
        <charset val="1"/>
      </rPr>
      <t xml:space="preserve">70Cm</t>
    </r>
  </si>
  <si>
    <t xml:space="preserve">77620164</t>
  </si>
  <si>
    <r>
      <rPr>
        <sz val="10"/>
        <rFont val="FreeSans"/>
        <family val="2"/>
      </rPr>
      <t xml:space="preserve">وان پلاستیکی بیضی شکل مخصوص خیس کردن برنج </t>
    </r>
    <r>
      <rPr>
        <sz val="10"/>
        <rFont val="Vazirmatn"/>
        <family val="0"/>
        <charset val="1"/>
      </rPr>
      <t xml:space="preserve">( 40*77*106 )</t>
    </r>
  </si>
  <si>
    <t xml:space="preserve">77620165</t>
  </si>
  <si>
    <t xml:space="preserve">میله زیر کبابی</t>
  </si>
  <si>
    <t xml:space="preserve">77620166</t>
  </si>
  <si>
    <r>
      <rPr>
        <sz val="10"/>
        <rFont val="FreeSans"/>
        <family val="2"/>
      </rPr>
      <t xml:space="preserve">سینی استیل صنعتی </t>
    </r>
    <r>
      <rPr>
        <sz val="10"/>
        <rFont val="Vazirmatn"/>
        <family val="0"/>
        <charset val="1"/>
      </rPr>
      <t xml:space="preserve">( 4*37*53 )</t>
    </r>
  </si>
  <si>
    <t xml:space="preserve">77620167</t>
  </si>
  <si>
    <r>
      <rPr>
        <sz val="10"/>
        <rFont val="FreeSans"/>
        <family val="2"/>
      </rPr>
      <t xml:space="preserve">ظروف بن ماری سایز </t>
    </r>
    <r>
      <rPr>
        <sz val="10"/>
        <rFont val="Vazirmatn"/>
        <family val="0"/>
        <charset val="1"/>
      </rPr>
      <t xml:space="preserve">1/3 ( 32/5Cm*47/6Cm ) </t>
    </r>
    <r>
      <rPr>
        <sz val="10"/>
        <rFont val="FreeSans"/>
        <family val="2"/>
      </rPr>
      <t xml:space="preserve">با عمق </t>
    </r>
    <r>
      <rPr>
        <sz val="10"/>
        <rFont val="Vazirmatn"/>
        <family val="0"/>
        <charset val="1"/>
      </rPr>
      <t xml:space="preserve">20Cm</t>
    </r>
  </si>
  <si>
    <t xml:space="preserve">77620168</t>
  </si>
  <si>
    <r>
      <rPr>
        <sz val="10"/>
        <rFont val="FreeSans"/>
        <family val="2"/>
      </rPr>
      <t xml:space="preserve">ظروف بن ماری سایز </t>
    </r>
    <r>
      <rPr>
        <sz val="10"/>
        <rFont val="Vazirmatn"/>
        <family val="0"/>
        <charset val="1"/>
      </rPr>
      <t xml:space="preserve">1/2 ( 32/5Cm*26/5Cm ) </t>
    </r>
    <r>
      <rPr>
        <sz val="10"/>
        <rFont val="FreeSans"/>
        <family val="2"/>
      </rPr>
      <t xml:space="preserve">با عمق </t>
    </r>
    <r>
      <rPr>
        <sz val="10"/>
        <rFont val="Vazirmatn"/>
        <family val="0"/>
        <charset val="1"/>
      </rPr>
      <t xml:space="preserve">20Cm</t>
    </r>
  </si>
  <si>
    <t xml:space="preserve">77620169</t>
  </si>
  <si>
    <r>
      <rPr>
        <sz val="10"/>
        <rFont val="FreeSans"/>
        <family val="2"/>
      </rPr>
      <t xml:space="preserve">ظروف بن ماری سایز </t>
    </r>
    <r>
      <rPr>
        <sz val="10"/>
        <rFont val="Vazirmatn"/>
        <family val="0"/>
        <charset val="1"/>
      </rPr>
      <t xml:space="preserve">1/1 ( 32/5Cm*53Cm ) </t>
    </r>
    <r>
      <rPr>
        <sz val="10"/>
        <rFont val="FreeSans"/>
        <family val="2"/>
      </rPr>
      <t xml:space="preserve">با عمق </t>
    </r>
    <r>
      <rPr>
        <sz val="10"/>
        <rFont val="Vazirmatn"/>
        <family val="0"/>
        <charset val="1"/>
      </rPr>
      <t xml:space="preserve">20Cm</t>
    </r>
  </si>
  <si>
    <t xml:space="preserve">77620172</t>
  </si>
  <si>
    <r>
      <rPr>
        <sz val="10"/>
        <rFont val="FreeSans"/>
        <family val="2"/>
      </rPr>
      <t xml:space="preserve">کف گیر بدون دسته مخصوص توزیع غذا </t>
    </r>
    <r>
      <rPr>
        <sz val="10"/>
        <rFont val="Vazirmatn"/>
        <family val="0"/>
        <charset val="1"/>
      </rPr>
      <t xml:space="preserve">( 25 * 13 )</t>
    </r>
  </si>
  <si>
    <t xml:space="preserve">77620173</t>
  </si>
  <si>
    <t xml:space="preserve">کف گیر بزرگ رستورانی با دسته چوبی</t>
  </si>
  <si>
    <t xml:space="preserve">77620174</t>
  </si>
  <si>
    <t xml:space="preserve">ملاقه بزرگ رستورانی</t>
  </si>
  <si>
    <t xml:space="preserve">77620175</t>
  </si>
  <si>
    <r>
      <rPr>
        <sz val="10"/>
        <rFont val="FreeSans"/>
        <family val="2"/>
      </rPr>
      <t xml:space="preserve">ملاقه کوچک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جهت توزیع خورشت </t>
    </r>
    <r>
      <rPr>
        <sz val="10"/>
        <rFont val="Vazirmatn"/>
        <family val="0"/>
        <charset val="1"/>
      </rPr>
      <t xml:space="preserve">)</t>
    </r>
  </si>
  <si>
    <t xml:space="preserve">77620176</t>
  </si>
  <si>
    <t xml:space="preserve">چاقوی مخصوص استخوان گیری</t>
  </si>
  <si>
    <t xml:space="preserve">77620177</t>
  </si>
  <si>
    <t xml:space="preserve">چاقوی مخصوص نان</t>
  </si>
  <si>
    <t xml:space="preserve">77620178</t>
  </si>
  <si>
    <t xml:space="preserve">چاقوی کوچک رنده ای</t>
  </si>
  <si>
    <t xml:space="preserve">77620181</t>
  </si>
  <si>
    <r>
      <rPr>
        <sz val="10"/>
        <rFont val="FreeSans"/>
        <family val="2"/>
      </rPr>
      <t xml:space="preserve">چاقوی مخصوص جوجه کباب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جوجه زن </t>
    </r>
    <r>
      <rPr>
        <sz val="10"/>
        <rFont val="Vazirmatn"/>
        <family val="0"/>
        <charset val="1"/>
      </rPr>
      <t xml:space="preserve">)</t>
    </r>
  </si>
  <si>
    <t xml:space="preserve">77620182</t>
  </si>
  <si>
    <r>
      <rPr>
        <sz val="10"/>
        <rFont val="FreeSans"/>
        <family val="2"/>
      </rPr>
      <t xml:space="preserve">چاقوی مخصوص کباب برگ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برگ زن </t>
    </r>
    <r>
      <rPr>
        <sz val="10"/>
        <rFont val="Vazirmatn"/>
        <family val="0"/>
        <charset val="1"/>
      </rPr>
      <t xml:space="preserve">)</t>
    </r>
  </si>
  <si>
    <t xml:space="preserve">77620183</t>
  </si>
  <si>
    <t xml:space="preserve">چاقوی مخصوص قصابی</t>
  </si>
  <si>
    <t xml:space="preserve">77620184</t>
  </si>
  <si>
    <r>
      <rPr>
        <sz val="10"/>
        <rFont val="FreeSans"/>
        <family val="2"/>
      </rPr>
      <t xml:space="preserve">نگهدارنده آهن ربایی کارد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چاقو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دیواری</t>
    </r>
  </si>
  <si>
    <t xml:space="preserve">77620185</t>
  </si>
  <si>
    <t xml:space="preserve">مسقل بزرگ چاقو تیز کن</t>
  </si>
  <si>
    <t xml:space="preserve">77620186</t>
  </si>
  <si>
    <t xml:space="preserve">توری روغن گیر دسته دار بزرگ</t>
  </si>
  <si>
    <t xml:space="preserve">77620187</t>
  </si>
  <si>
    <t xml:space="preserve">توری روغن گیر دسته دار کوچک</t>
  </si>
  <si>
    <t xml:space="preserve">77620188</t>
  </si>
  <si>
    <t xml:space="preserve">دستگیره پارچه ای ضخیم</t>
  </si>
  <si>
    <t xml:space="preserve">77620189</t>
  </si>
  <si>
    <t xml:space="preserve">پیش بند مخصوص ظرفشویی</t>
  </si>
  <si>
    <t xml:space="preserve">77620190</t>
  </si>
  <si>
    <t xml:space="preserve">پیش بند چرمی مخصوص قصابی</t>
  </si>
  <si>
    <t xml:space="preserve">77620192</t>
  </si>
  <si>
    <t xml:space="preserve">پیش بند پلاستیکی مخصوص آشپزی</t>
  </si>
  <si>
    <t xml:space="preserve">77620193</t>
  </si>
  <si>
    <t xml:space="preserve">کتری بزرگ</t>
  </si>
  <si>
    <t xml:space="preserve">77620195</t>
  </si>
  <si>
    <t xml:space="preserve">ظروف درب دار نگهداری ادویه</t>
  </si>
  <si>
    <t xml:space="preserve">77620199</t>
  </si>
  <si>
    <r>
      <rPr>
        <sz val="10"/>
        <rFont val="FreeSans"/>
        <family val="2"/>
      </rPr>
      <t xml:space="preserve">قابلمه روحی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عمق </t>
    </r>
    <r>
      <rPr>
        <sz val="10"/>
        <rFont val="Vazirmatn"/>
        <family val="0"/>
        <charset val="1"/>
      </rPr>
      <t xml:space="preserve">32 *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58 )</t>
    </r>
  </si>
  <si>
    <t xml:space="preserve">77620203</t>
  </si>
  <si>
    <t xml:space="preserve">انبر مخصوص سالاد</t>
  </si>
  <si>
    <t xml:space="preserve">77620204</t>
  </si>
  <si>
    <t xml:space="preserve">کف گیر مخصوص تابه چدنی</t>
  </si>
  <si>
    <t xml:space="preserve">77620205</t>
  </si>
  <si>
    <r>
      <rPr>
        <sz val="10"/>
        <rFont val="FreeSans"/>
        <family val="2"/>
      </rPr>
      <t xml:space="preserve">دیگ ارتشی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عمق </t>
    </r>
    <r>
      <rPr>
        <sz val="10"/>
        <rFont val="Vazirmatn"/>
        <family val="0"/>
        <charset val="1"/>
      </rPr>
      <t xml:space="preserve">40 *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65 )</t>
    </r>
  </si>
  <si>
    <t xml:space="preserve">77620206</t>
  </si>
  <si>
    <r>
      <rPr>
        <sz val="10"/>
        <rFont val="FreeSans"/>
        <family val="2"/>
      </rPr>
      <t xml:space="preserve">تشت روحی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عمق </t>
    </r>
    <r>
      <rPr>
        <sz val="10"/>
        <rFont val="Vazirmatn"/>
        <family val="0"/>
        <charset val="1"/>
      </rPr>
      <t xml:space="preserve">20 *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60 )</t>
    </r>
  </si>
  <si>
    <t xml:space="preserve">77620207</t>
  </si>
  <si>
    <r>
      <rPr>
        <sz val="10"/>
        <rFont val="FreeSans"/>
        <family val="2"/>
      </rPr>
      <t xml:space="preserve">قابلمه روحی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عمق </t>
    </r>
    <r>
      <rPr>
        <sz val="10"/>
        <rFont val="Vazirmatn"/>
        <family val="0"/>
        <charset val="1"/>
      </rPr>
      <t xml:space="preserve">22 *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50 )</t>
    </r>
  </si>
  <si>
    <t xml:space="preserve">77620208</t>
  </si>
  <si>
    <t xml:space="preserve">قیچی آشپزخانه</t>
  </si>
  <si>
    <t xml:space="preserve">77620318</t>
  </si>
  <si>
    <r>
      <rPr>
        <sz val="10"/>
        <rFont val="FreeSans"/>
        <family val="2"/>
      </rPr>
      <t xml:space="preserve">ماکارانی     </t>
    </r>
    <r>
      <rPr>
        <sz val="10"/>
        <rFont val="Vazirmatn"/>
        <family val="0"/>
        <charset val="1"/>
      </rPr>
      <t xml:space="preserve">700</t>
    </r>
  </si>
  <si>
    <t xml:space="preserve">77620324</t>
  </si>
  <si>
    <t xml:space="preserve">پک ماکارانی</t>
  </si>
  <si>
    <t xml:space="preserve">77620325</t>
  </si>
  <si>
    <t xml:space="preserve">گز</t>
  </si>
  <si>
    <t xml:space="preserve">77620326</t>
  </si>
  <si>
    <t xml:space="preserve">پک اهدائی</t>
  </si>
  <si>
    <t xml:space="preserve">77620407</t>
  </si>
  <si>
    <t xml:space="preserve">پودر دستی تاید</t>
  </si>
  <si>
    <t xml:space="preserve">77620408</t>
  </si>
  <si>
    <t xml:space="preserve">مایع شیشه  پاک کن</t>
  </si>
  <si>
    <t xml:space="preserve">77620418</t>
  </si>
  <si>
    <t xml:space="preserve">فوم کف کننده مایع دستشوئی</t>
  </si>
  <si>
    <t xml:space="preserve">77620505</t>
  </si>
  <si>
    <t xml:space="preserve">پودر زرد چوبه</t>
  </si>
  <si>
    <t xml:space="preserve">77620506</t>
  </si>
  <si>
    <t xml:space="preserve">پودر آویشن</t>
  </si>
  <si>
    <t xml:space="preserve">77620507</t>
  </si>
  <si>
    <t xml:space="preserve">پودر هل</t>
  </si>
  <si>
    <t xml:space="preserve">77620531</t>
  </si>
  <si>
    <t xml:space="preserve">خلال پسته</t>
  </si>
  <si>
    <t xml:space="preserve">77620601</t>
  </si>
  <si>
    <r>
      <rPr>
        <sz val="10"/>
        <rFont val="FreeSans"/>
        <family val="2"/>
      </rPr>
      <t xml:space="preserve">خامه شکلاتی </t>
    </r>
    <r>
      <rPr>
        <sz val="10"/>
        <rFont val="Vazirmatn"/>
        <family val="0"/>
        <charset val="1"/>
      </rPr>
      <t xml:space="preserve">( 100 </t>
    </r>
    <r>
      <rPr>
        <sz val="10"/>
        <rFont val="FreeSans"/>
        <family val="2"/>
      </rPr>
      <t xml:space="preserve">گرمی </t>
    </r>
    <r>
      <rPr>
        <sz val="10"/>
        <rFont val="Vazirmatn"/>
        <family val="0"/>
        <charset val="1"/>
      </rPr>
      <t xml:space="preserve">)</t>
    </r>
  </si>
  <si>
    <t xml:space="preserve">77620602</t>
  </si>
  <si>
    <r>
      <rPr>
        <sz val="10"/>
        <rFont val="FreeSans"/>
        <family val="2"/>
      </rPr>
      <t xml:space="preserve">کره حیوانی </t>
    </r>
    <r>
      <rPr>
        <sz val="10"/>
        <rFont val="Vazirmatn"/>
        <family val="0"/>
        <charset val="1"/>
      </rPr>
      <t xml:space="preserve">( 25 </t>
    </r>
    <r>
      <rPr>
        <sz val="10"/>
        <rFont val="FreeSans"/>
        <family val="2"/>
      </rPr>
      <t xml:space="preserve">گرمی </t>
    </r>
    <r>
      <rPr>
        <sz val="10"/>
        <rFont val="Vazirmatn"/>
        <family val="0"/>
        <charset val="1"/>
      </rPr>
      <t xml:space="preserve">)</t>
    </r>
  </si>
  <si>
    <t xml:space="preserve">77620603</t>
  </si>
  <si>
    <r>
      <rPr>
        <sz val="10"/>
        <rFont val="FreeSans"/>
        <family val="2"/>
      </rPr>
      <t xml:space="preserve">کره حیوانی </t>
    </r>
    <r>
      <rPr>
        <sz val="10"/>
        <rFont val="Vazirmatn"/>
        <family val="0"/>
        <charset val="1"/>
      </rPr>
      <t xml:space="preserve">( 10 </t>
    </r>
    <r>
      <rPr>
        <sz val="10"/>
        <rFont val="FreeSans"/>
        <family val="2"/>
      </rPr>
      <t xml:space="preserve">گرمی </t>
    </r>
    <r>
      <rPr>
        <sz val="10"/>
        <rFont val="Vazirmatn"/>
        <family val="0"/>
        <charset val="1"/>
      </rPr>
      <t xml:space="preserve">)</t>
    </r>
  </si>
  <si>
    <t xml:space="preserve">77620604</t>
  </si>
  <si>
    <r>
      <rPr>
        <sz val="10"/>
        <rFont val="FreeSans"/>
        <family val="2"/>
      </rPr>
      <t xml:space="preserve">مربا </t>
    </r>
    <r>
      <rPr>
        <sz val="10"/>
        <rFont val="Vazirmatn"/>
        <family val="0"/>
        <charset val="1"/>
      </rPr>
      <t xml:space="preserve">( 60 </t>
    </r>
    <r>
      <rPr>
        <sz val="10"/>
        <rFont val="FreeSans"/>
        <family val="2"/>
      </rPr>
      <t xml:space="preserve">گرمی </t>
    </r>
    <r>
      <rPr>
        <sz val="10"/>
        <rFont val="Vazirmatn"/>
        <family val="0"/>
        <charset val="1"/>
      </rPr>
      <t xml:space="preserve">)</t>
    </r>
  </si>
  <si>
    <t xml:space="preserve">77620605</t>
  </si>
  <si>
    <r>
      <rPr>
        <sz val="10"/>
        <rFont val="FreeSans"/>
        <family val="2"/>
      </rPr>
      <t xml:space="preserve">خامه عسل </t>
    </r>
    <r>
      <rPr>
        <sz val="10"/>
        <rFont val="Vazirmatn"/>
        <family val="0"/>
        <charset val="1"/>
      </rPr>
      <t xml:space="preserve">( 100 </t>
    </r>
    <r>
      <rPr>
        <sz val="10"/>
        <rFont val="FreeSans"/>
        <family val="2"/>
      </rPr>
      <t xml:space="preserve">گرمی </t>
    </r>
    <r>
      <rPr>
        <sz val="10"/>
        <rFont val="Vazirmatn"/>
        <family val="0"/>
        <charset val="1"/>
      </rPr>
      <t xml:space="preserve">)</t>
    </r>
  </si>
  <si>
    <t xml:space="preserve">77620615</t>
  </si>
  <si>
    <r>
      <rPr>
        <sz val="10"/>
        <rFont val="FreeSans"/>
        <family val="2"/>
      </rPr>
      <t xml:space="preserve">پنیر </t>
    </r>
    <r>
      <rPr>
        <sz val="10"/>
        <rFont val="Vazirmatn"/>
        <family val="0"/>
        <charset val="1"/>
      </rPr>
      <t xml:space="preserve">( 30 </t>
    </r>
    <r>
      <rPr>
        <sz val="10"/>
        <rFont val="FreeSans"/>
        <family val="2"/>
      </rPr>
      <t xml:space="preserve">گرمی </t>
    </r>
    <r>
      <rPr>
        <sz val="10"/>
        <rFont val="Vazirmatn"/>
        <family val="0"/>
        <charset val="1"/>
      </rPr>
      <t xml:space="preserve">)</t>
    </r>
  </si>
  <si>
    <t xml:space="preserve">77620900</t>
  </si>
  <si>
    <r>
      <rPr>
        <sz val="10"/>
        <rFont val="FreeSans"/>
        <family val="2"/>
      </rPr>
      <t xml:space="preserve">قوری فلزی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لعابی </t>
    </r>
    <r>
      <rPr>
        <sz val="10"/>
        <rFont val="Vazirmatn"/>
        <family val="0"/>
        <charset val="1"/>
      </rPr>
      <t xml:space="preserve">)</t>
    </r>
  </si>
  <si>
    <t xml:space="preserve">77620901</t>
  </si>
  <si>
    <t xml:space="preserve">قند بسته بندی</t>
  </si>
  <si>
    <t xml:space="preserve">77620906</t>
  </si>
  <si>
    <t xml:space="preserve">دستمال عینک</t>
  </si>
  <si>
    <t xml:space="preserve">77620922</t>
  </si>
  <si>
    <r>
      <rPr>
        <sz val="10"/>
        <rFont val="FreeSans"/>
        <family val="2"/>
      </rPr>
      <t xml:space="preserve">عسل </t>
    </r>
    <r>
      <rPr>
        <sz val="10"/>
        <rFont val="Vazirmatn"/>
        <family val="0"/>
        <charset val="1"/>
      </rPr>
      <t xml:space="preserve">( 60 </t>
    </r>
    <r>
      <rPr>
        <sz val="10"/>
        <rFont val="FreeSans"/>
        <family val="2"/>
      </rPr>
      <t xml:space="preserve">گرمی </t>
    </r>
    <r>
      <rPr>
        <sz val="10"/>
        <rFont val="Vazirmatn"/>
        <family val="0"/>
        <charset val="1"/>
      </rPr>
      <t xml:space="preserve">)</t>
    </r>
  </si>
  <si>
    <t xml:space="preserve">77620929</t>
  </si>
  <si>
    <t xml:space="preserve">لیوان</t>
  </si>
  <si>
    <t xml:space="preserve">77620931</t>
  </si>
  <si>
    <t xml:space="preserve">دستمال کاغذی بسته ای</t>
  </si>
  <si>
    <t xml:space="preserve">77620936</t>
  </si>
  <si>
    <t xml:space="preserve">کاسه استیل غذا خوری</t>
  </si>
  <si>
    <t xml:space="preserve">77620943</t>
  </si>
  <si>
    <t xml:space="preserve">چاقو میوه خوری</t>
  </si>
  <si>
    <t xml:space="preserve">77620948</t>
  </si>
  <si>
    <t xml:space="preserve">آفتابه</t>
  </si>
  <si>
    <t xml:space="preserve">77620951</t>
  </si>
  <si>
    <t xml:space="preserve">دیس میوه خوری</t>
  </si>
  <si>
    <t xml:space="preserve">77620955</t>
  </si>
  <si>
    <t xml:space="preserve">جای نان</t>
  </si>
  <si>
    <t xml:space="preserve">77620957</t>
  </si>
  <si>
    <t xml:space="preserve">چای نپتون</t>
  </si>
  <si>
    <t xml:space="preserve">77620962</t>
  </si>
  <si>
    <t xml:space="preserve">لگن پلاستیکی آب</t>
  </si>
  <si>
    <t xml:space="preserve">77620970</t>
  </si>
  <si>
    <t xml:space="preserve">ماهی تابه نچسب</t>
  </si>
  <si>
    <t xml:space="preserve">77620971</t>
  </si>
  <si>
    <t xml:space="preserve">قیچی نان</t>
  </si>
  <si>
    <t xml:space="preserve">77620972</t>
  </si>
  <si>
    <t xml:space="preserve">کف گیر چوبی</t>
  </si>
  <si>
    <t xml:space="preserve">77620975</t>
  </si>
  <si>
    <t xml:space="preserve">حوله کاغذی رولی</t>
  </si>
  <si>
    <t xml:space="preserve">77620976</t>
  </si>
  <si>
    <t xml:space="preserve">کتری استیل</t>
  </si>
  <si>
    <t xml:space="preserve">77620979</t>
  </si>
  <si>
    <r>
      <rPr>
        <sz val="10"/>
        <rFont val="FreeSans"/>
        <family val="2"/>
      </rPr>
      <t xml:space="preserve">ماهی تابه نچسب گرانیتی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42 )</t>
    </r>
  </si>
  <si>
    <t xml:space="preserve">77620980</t>
  </si>
  <si>
    <r>
      <rPr>
        <sz val="10"/>
        <rFont val="FreeSans"/>
        <family val="2"/>
      </rPr>
      <t xml:space="preserve">ماهی تابه نچسب گرانیتی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52 )</t>
    </r>
  </si>
  <si>
    <t xml:space="preserve">77620981</t>
  </si>
  <si>
    <t xml:space="preserve">پاتیل بزرگ مخصوص پخت مرغ</t>
  </si>
  <si>
    <t xml:space="preserve">77620982</t>
  </si>
  <si>
    <r>
      <rPr>
        <sz val="10"/>
        <rFont val="FreeSans"/>
        <family val="2"/>
      </rPr>
      <t xml:space="preserve">تشت آلومینیومی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سایز دهنه </t>
    </r>
    <r>
      <rPr>
        <sz val="10"/>
        <rFont val="Vazirmatn"/>
        <family val="0"/>
        <charset val="1"/>
      </rPr>
      <t xml:space="preserve">72Cm )</t>
    </r>
  </si>
  <si>
    <t xml:space="preserve">77620983</t>
  </si>
  <si>
    <r>
      <rPr>
        <sz val="10"/>
        <rFont val="FreeSans"/>
        <family val="2"/>
      </rPr>
      <t xml:space="preserve">قابلمه چدنی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24 )</t>
    </r>
  </si>
  <si>
    <t xml:space="preserve">77620984</t>
  </si>
  <si>
    <r>
      <rPr>
        <sz val="10"/>
        <rFont val="FreeSans"/>
        <family val="2"/>
      </rPr>
      <t xml:space="preserve">قابلمه چدنی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38 )</t>
    </r>
  </si>
  <si>
    <t xml:space="preserve">77620985</t>
  </si>
  <si>
    <r>
      <rPr>
        <sz val="10"/>
        <rFont val="FreeSans"/>
        <family val="2"/>
      </rPr>
      <t xml:space="preserve">قابلمه چدنی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سایز </t>
    </r>
    <r>
      <rPr>
        <sz val="10"/>
        <rFont val="Vazirmatn"/>
        <family val="0"/>
        <charset val="1"/>
      </rPr>
      <t xml:space="preserve">54 )</t>
    </r>
  </si>
  <si>
    <t xml:space="preserve">88500043</t>
  </si>
  <si>
    <r>
      <rPr>
        <sz val="10"/>
        <rFont val="FreeSans"/>
        <family val="2"/>
      </rPr>
      <t xml:space="preserve">استوانه پلاستیکی مدرج </t>
    </r>
    <r>
      <rPr>
        <sz val="10"/>
        <rFont val="Vazirmatn"/>
        <family val="0"/>
        <charset val="1"/>
      </rPr>
      <t xml:space="preserve">1000CC</t>
    </r>
  </si>
  <si>
    <t xml:space="preserve">88500051</t>
  </si>
  <si>
    <t xml:space="preserve">ست فیلتر اسیون دستگاه اب خالص ساز</t>
  </si>
  <si>
    <t xml:space="preserve">88500053</t>
  </si>
  <si>
    <r>
      <rPr>
        <sz val="10"/>
        <rFont val="FreeSans"/>
        <family val="2"/>
      </rPr>
      <t xml:space="preserve">فرو سولفات آمونیوم </t>
    </r>
    <r>
      <rPr>
        <sz val="10"/>
        <rFont val="Vazirmatn"/>
        <family val="0"/>
        <charset val="1"/>
      </rPr>
      <t xml:space="preserve">6 </t>
    </r>
    <r>
      <rPr>
        <sz val="10"/>
        <rFont val="FreeSans"/>
        <family val="2"/>
      </rPr>
      <t xml:space="preserve">آبه  </t>
    </r>
    <r>
      <rPr>
        <sz val="10"/>
        <rFont val="Vazirmatn"/>
        <family val="0"/>
        <charset val="1"/>
      </rPr>
      <t xml:space="preserve">2 ( NH4 )2 fe (SO4 )</t>
    </r>
  </si>
  <si>
    <t xml:space="preserve">88500056</t>
  </si>
  <si>
    <r>
      <rPr>
        <sz val="10"/>
        <rFont val="FreeSans"/>
        <family val="2"/>
      </rPr>
      <t xml:space="preserve">ستیل تری متیل آمونیوم بروماید </t>
    </r>
    <r>
      <rPr>
        <sz val="10"/>
        <rFont val="Vazirmatn"/>
        <family val="0"/>
        <charset val="1"/>
      </rPr>
      <t xml:space="preserve">( Ct AB )</t>
    </r>
  </si>
  <si>
    <t xml:space="preserve">88500070</t>
  </si>
  <si>
    <r>
      <rPr>
        <sz val="10"/>
        <rFont val="FreeSans"/>
        <family val="2"/>
      </rPr>
      <t xml:space="preserve">محیط کشت  </t>
    </r>
    <r>
      <rPr>
        <sz val="10"/>
        <rFont val="Vazirmatn"/>
        <family val="0"/>
        <charset val="1"/>
      </rPr>
      <t xml:space="preserve">Blood Agar</t>
    </r>
  </si>
  <si>
    <t xml:space="preserve">88500082</t>
  </si>
  <si>
    <r>
      <rPr>
        <sz val="10"/>
        <rFont val="FreeSans"/>
        <family val="2"/>
      </rPr>
      <t xml:space="preserve">سیترات آمونیوم آهن </t>
    </r>
    <r>
      <rPr>
        <sz val="10"/>
        <rFont val="Vazirmatn"/>
        <family val="0"/>
        <charset val="1"/>
      </rPr>
      <t xml:space="preserve">3 </t>
    </r>
    <r>
      <rPr>
        <sz val="10"/>
        <rFont val="FreeSans"/>
        <family val="2"/>
      </rPr>
      <t xml:space="preserve">ظرفیتی</t>
    </r>
  </si>
  <si>
    <t xml:space="preserve">88500102</t>
  </si>
  <si>
    <t xml:space="preserve">کیت کلرسنجی</t>
  </si>
  <si>
    <t xml:space="preserve">88500103</t>
  </si>
  <si>
    <t xml:space="preserve">بخاری برقی</t>
  </si>
  <si>
    <t xml:space="preserve">88500117</t>
  </si>
  <si>
    <r>
      <rPr>
        <sz val="10"/>
        <rFont val="FreeSans"/>
        <family val="2"/>
      </rPr>
      <t xml:space="preserve">رفرکتومتر دستی </t>
    </r>
    <r>
      <rPr>
        <sz val="10"/>
        <rFont val="Vazirmatn"/>
        <family val="0"/>
        <charset val="1"/>
      </rPr>
      <t xml:space="preserve">%90.0 ~ ATAGO HSR - 500 Brix 0.0</t>
    </r>
  </si>
  <si>
    <t xml:space="preserve">88500166</t>
  </si>
  <si>
    <t xml:space="preserve">فرو سیانید پتاسیم</t>
  </si>
  <si>
    <t xml:space="preserve">88500167</t>
  </si>
  <si>
    <t xml:space="preserve">استات روی</t>
  </si>
  <si>
    <t xml:space="preserve">88500171</t>
  </si>
  <si>
    <r>
      <rPr>
        <sz val="10"/>
        <rFont val="FreeSans"/>
        <family val="2"/>
      </rPr>
      <t xml:space="preserve">بالن تقطیر  </t>
    </r>
    <r>
      <rPr>
        <sz val="10"/>
        <rFont val="Vazirmatn"/>
        <family val="0"/>
        <charset val="1"/>
      </rPr>
      <t xml:space="preserve">1000mL</t>
    </r>
  </si>
  <si>
    <t xml:space="preserve">88500184</t>
  </si>
  <si>
    <r>
      <rPr>
        <sz val="10"/>
        <rFont val="FreeSans"/>
        <family val="2"/>
      </rPr>
      <t xml:space="preserve">لامپ دو تریوم دستگاه اسپکتروفتومتر </t>
    </r>
    <r>
      <rPr>
        <sz val="10"/>
        <rFont val="Vazirmatn"/>
        <family val="0"/>
        <charset val="1"/>
      </rPr>
      <t xml:space="preserve">UV 1800</t>
    </r>
  </si>
  <si>
    <t xml:space="preserve">88500185</t>
  </si>
  <si>
    <r>
      <rPr>
        <sz val="10"/>
        <rFont val="FreeSans"/>
        <family val="2"/>
      </rPr>
      <t xml:space="preserve">سل درپیچ دار کدورت سنج </t>
    </r>
    <r>
      <rPr>
        <sz val="10"/>
        <rFont val="Vazirmatn"/>
        <family val="0"/>
        <charset val="1"/>
      </rPr>
      <t xml:space="preserve">HA CH 2100 N  20849</t>
    </r>
  </si>
  <si>
    <t xml:space="preserve">88500187</t>
  </si>
  <si>
    <r>
      <rPr>
        <sz val="10"/>
        <rFont val="FreeSans"/>
        <family val="2"/>
      </rPr>
      <t xml:space="preserve">شیشه آلات منیر ویلیامز اندازه گیری </t>
    </r>
    <r>
      <rPr>
        <sz val="10"/>
        <rFont val="Vazirmatn"/>
        <family val="0"/>
        <charset val="1"/>
      </rPr>
      <t xml:space="preserve">SO2</t>
    </r>
  </si>
  <si>
    <t xml:space="preserve">88500188</t>
  </si>
  <si>
    <r>
      <rPr>
        <sz val="10"/>
        <rFont val="FreeSans"/>
        <family val="2"/>
      </rPr>
      <t xml:space="preserve">کیت اندازه گیری نیترات   </t>
    </r>
    <r>
      <rPr>
        <sz val="10"/>
        <rFont val="Vazirmatn"/>
        <family val="0"/>
        <charset val="1"/>
      </rPr>
      <t xml:space="preserve">V-501  0-25mg/L</t>
    </r>
  </si>
  <si>
    <t xml:space="preserve">88500189</t>
  </si>
  <si>
    <r>
      <rPr>
        <sz val="10"/>
        <rFont val="FreeSans"/>
        <family val="2"/>
      </rPr>
      <t xml:space="preserve">کیت اندازه گیری نیتریت   </t>
    </r>
    <r>
      <rPr>
        <sz val="10"/>
        <rFont val="Vazirmatn"/>
        <family val="0"/>
        <charset val="1"/>
      </rPr>
      <t xml:space="preserve">V-707  0.05-0.5mg/L</t>
    </r>
  </si>
  <si>
    <t xml:space="preserve">88500190</t>
  </si>
  <si>
    <r>
      <rPr>
        <sz val="10"/>
        <rFont val="FreeSans"/>
        <family val="2"/>
      </rPr>
      <t xml:space="preserve">کیت اندازه گیری آمونیاک   </t>
    </r>
    <r>
      <rPr>
        <sz val="10"/>
        <rFont val="Vazirmatn"/>
        <family val="0"/>
        <charset val="1"/>
      </rPr>
      <t xml:space="preserve">V-807  0.2-3mg/L</t>
    </r>
  </si>
  <si>
    <t xml:space="preserve">88500191</t>
  </si>
  <si>
    <r>
      <rPr>
        <sz val="10"/>
        <rFont val="FreeSans"/>
        <family val="2"/>
      </rPr>
      <t xml:space="preserve">کیت اندازه گیری کلسیم   </t>
    </r>
    <r>
      <rPr>
        <sz val="10"/>
        <rFont val="Vazirmatn"/>
        <family val="0"/>
        <charset val="1"/>
      </rPr>
      <t xml:space="preserve">V-710  2-100mg/L</t>
    </r>
  </si>
  <si>
    <t xml:space="preserve">88500192</t>
  </si>
  <si>
    <r>
      <rPr>
        <sz val="10"/>
        <rFont val="FreeSans"/>
        <family val="2"/>
      </rPr>
      <t xml:space="preserve">سوآپ </t>
    </r>
    <r>
      <rPr>
        <sz val="10"/>
        <rFont val="Vazirmatn"/>
        <family val="0"/>
        <charset val="1"/>
      </rPr>
      <t xml:space="preserve">ATP </t>
    </r>
    <r>
      <rPr>
        <sz val="10"/>
        <rFont val="FreeSans"/>
        <family val="2"/>
      </rPr>
      <t xml:space="preserve">مخصوص سطح</t>
    </r>
  </si>
  <si>
    <t xml:space="preserve">88500206</t>
  </si>
  <si>
    <r>
      <rPr>
        <sz val="10"/>
        <rFont val="FreeSans"/>
        <family val="2"/>
      </rPr>
      <t xml:space="preserve">الک آزمایشگاهی   مش   </t>
    </r>
    <r>
      <rPr>
        <sz val="10"/>
        <rFont val="Vazirmatn"/>
        <family val="0"/>
        <charset val="1"/>
      </rPr>
      <t xml:space="preserve">80</t>
    </r>
  </si>
  <si>
    <t xml:space="preserve">88500208</t>
  </si>
  <si>
    <r>
      <rPr>
        <sz val="10"/>
        <rFont val="FreeSans"/>
        <family val="2"/>
      </rPr>
      <t xml:space="preserve">الک آزمایشگاهی   مش   </t>
    </r>
    <r>
      <rPr>
        <sz val="10"/>
        <rFont val="Vazirmatn"/>
        <family val="0"/>
        <charset val="1"/>
      </rPr>
      <t xml:space="preserve">120</t>
    </r>
  </si>
  <si>
    <t xml:space="preserve">88500209</t>
  </si>
  <si>
    <r>
      <rPr>
        <sz val="10"/>
        <rFont val="FreeSans"/>
        <family val="2"/>
      </rPr>
      <t xml:space="preserve">الک آزمایشگاهی   مش   </t>
    </r>
    <r>
      <rPr>
        <sz val="10"/>
        <rFont val="Vazirmatn"/>
        <family val="0"/>
        <charset val="1"/>
      </rPr>
      <t xml:space="preserve">170</t>
    </r>
  </si>
  <si>
    <t xml:space="preserve">88500210</t>
  </si>
  <si>
    <r>
      <rPr>
        <sz val="10"/>
        <rFont val="FreeSans"/>
        <family val="2"/>
      </rPr>
      <t xml:space="preserve">الک آزمایشگاهی   مش   </t>
    </r>
    <r>
      <rPr>
        <sz val="10"/>
        <rFont val="Vazirmatn"/>
        <family val="0"/>
        <charset val="1"/>
      </rPr>
      <t xml:space="preserve">235</t>
    </r>
  </si>
  <si>
    <t xml:space="preserve">88500213</t>
  </si>
  <si>
    <r>
      <rPr>
        <sz val="10"/>
        <rFont val="FreeSans"/>
        <family val="2"/>
      </rPr>
      <t xml:space="preserve">پی پت شیشه ای حباب دار  </t>
    </r>
    <r>
      <rPr>
        <sz val="10"/>
        <rFont val="Vazirmatn"/>
        <family val="0"/>
        <charset val="1"/>
      </rPr>
      <t xml:space="preserve">0 -  2CC</t>
    </r>
  </si>
  <si>
    <t xml:space="preserve">88500216</t>
  </si>
  <si>
    <r>
      <rPr>
        <sz val="10"/>
        <rFont val="FreeSans"/>
        <family val="2"/>
      </rPr>
      <t xml:space="preserve">پیش ستون  </t>
    </r>
    <r>
      <rPr>
        <sz val="10"/>
        <rFont val="Vazirmatn"/>
        <family val="0"/>
        <charset val="1"/>
      </rPr>
      <t xml:space="preserve">HPLC Sugar SC G 68  Shodex</t>
    </r>
  </si>
  <si>
    <t xml:space="preserve">88500218</t>
  </si>
  <si>
    <r>
      <rPr>
        <sz val="10"/>
        <rFont val="FreeSans"/>
        <family val="2"/>
      </rPr>
      <t xml:space="preserve">سینی استیل داخل آون آزمایشگاهی </t>
    </r>
    <r>
      <rPr>
        <sz val="10"/>
        <rFont val="Vazirmatn"/>
        <family val="0"/>
        <charset val="1"/>
      </rPr>
      <t xml:space="preserve">38cm*29cm  </t>
    </r>
    <r>
      <rPr>
        <sz val="10"/>
        <rFont val="FreeSans"/>
        <family val="2"/>
      </rPr>
      <t xml:space="preserve">عمق </t>
    </r>
    <r>
      <rPr>
        <sz val="10"/>
        <rFont val="Vazirmatn"/>
        <family val="0"/>
        <charset val="1"/>
      </rPr>
      <t xml:space="preserve">4 - 3 </t>
    </r>
    <r>
      <rPr>
        <sz val="10"/>
        <rFont val="FreeSans"/>
        <family val="2"/>
      </rPr>
      <t xml:space="preserve">سانتی متر</t>
    </r>
  </si>
  <si>
    <t xml:space="preserve">88500223</t>
  </si>
  <si>
    <r>
      <rPr>
        <sz val="10"/>
        <rFont val="FreeSans"/>
        <family val="2"/>
      </rPr>
      <t xml:space="preserve">پمپ سود دستگاه اتوکجلدال </t>
    </r>
    <r>
      <rPr>
        <sz val="10"/>
        <rFont val="Vazirmatn"/>
        <family val="0"/>
        <charset val="1"/>
      </rPr>
      <t xml:space="preserve">230-200 </t>
    </r>
    <r>
      <rPr>
        <sz val="10"/>
        <rFont val="FreeSans"/>
        <family val="2"/>
      </rPr>
      <t xml:space="preserve">ولت  </t>
    </r>
    <r>
      <rPr>
        <sz val="10"/>
        <rFont val="Vazirmatn"/>
        <family val="0"/>
        <charset val="1"/>
      </rPr>
      <t xml:space="preserve">60-50 </t>
    </r>
    <r>
      <rPr>
        <sz val="10"/>
        <rFont val="FreeSans"/>
        <family val="2"/>
      </rPr>
      <t xml:space="preserve">هرتز </t>
    </r>
    <r>
      <rPr>
        <sz val="10"/>
        <rFont val="Vazirmatn"/>
        <family val="0"/>
        <charset val="1"/>
      </rPr>
      <t xml:space="preserve">CPL</t>
    </r>
  </si>
  <si>
    <t xml:space="preserve">88500226</t>
  </si>
  <si>
    <r>
      <rPr>
        <sz val="10"/>
        <rFont val="Vazirmatn"/>
        <family val="0"/>
        <charset val="1"/>
      </rPr>
      <t xml:space="preserve">SVL 22 Sealing </t>
    </r>
    <r>
      <rPr>
        <sz val="10"/>
        <rFont val="FreeSans"/>
        <family val="2"/>
      </rPr>
      <t xml:space="preserve">دستگاه اتوکجلدال</t>
    </r>
  </si>
  <si>
    <t xml:space="preserve">88500229</t>
  </si>
  <si>
    <r>
      <rPr>
        <sz val="10"/>
        <rFont val="FreeSans"/>
        <family val="2"/>
      </rPr>
      <t xml:space="preserve">کاغذ صافی واتمن </t>
    </r>
    <r>
      <rPr>
        <sz val="10"/>
        <rFont val="Vazirmatn"/>
        <family val="0"/>
        <charset val="1"/>
      </rPr>
      <t xml:space="preserve">40 </t>
    </r>
    <r>
      <rPr>
        <sz val="10"/>
        <rFont val="FreeSans"/>
        <family val="2"/>
      </rPr>
      <t xml:space="preserve">بدون خاکستر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125mm )</t>
    </r>
  </si>
  <si>
    <t xml:space="preserve">88500232</t>
  </si>
  <si>
    <r>
      <rPr>
        <sz val="10"/>
        <rFont val="Vazirmatn"/>
        <family val="0"/>
        <charset val="1"/>
      </rPr>
      <t xml:space="preserve">Set Olive Bended GL 14 </t>
    </r>
    <r>
      <rPr>
        <sz val="10"/>
        <rFont val="FreeSans"/>
        <family val="2"/>
      </rPr>
      <t xml:space="preserve">دستگاه اتوکجلدال</t>
    </r>
  </si>
  <si>
    <t xml:space="preserve">88500233</t>
  </si>
  <si>
    <r>
      <rPr>
        <sz val="10"/>
        <rFont val="FreeSans"/>
        <family val="2"/>
      </rPr>
      <t xml:space="preserve">تیوپ نمونه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عددی </t>
    </r>
    <r>
      <rPr>
        <sz val="10"/>
        <rFont val="Vazirmatn"/>
        <family val="0"/>
        <charset val="1"/>
      </rPr>
      <t xml:space="preserve">300mL </t>
    </r>
    <r>
      <rPr>
        <sz val="10"/>
        <rFont val="FreeSans"/>
        <family val="2"/>
      </rPr>
      <t xml:space="preserve">دستگاه اتوکجلدال</t>
    </r>
  </si>
  <si>
    <t xml:space="preserve">88500234</t>
  </si>
  <si>
    <r>
      <rPr>
        <sz val="10"/>
        <rFont val="Vazirmatn"/>
        <family val="0"/>
        <charset val="1"/>
      </rPr>
      <t xml:space="preserve">Set Of Sealing 10 pcs </t>
    </r>
    <r>
      <rPr>
        <sz val="10"/>
        <rFont val="FreeSans"/>
        <family val="2"/>
      </rPr>
      <t xml:space="preserve">دستگاه اتوکجلدال</t>
    </r>
  </si>
  <si>
    <t xml:space="preserve">88500235</t>
  </si>
  <si>
    <r>
      <rPr>
        <sz val="10"/>
        <rFont val="Vazirmatn"/>
        <family val="0"/>
        <charset val="1"/>
      </rPr>
      <t xml:space="preserve">Set Of Accessories For Splash Protectar </t>
    </r>
    <r>
      <rPr>
        <sz val="10"/>
        <rFont val="FreeSans"/>
        <family val="2"/>
      </rPr>
      <t xml:space="preserve">دستگاه اتوکجلدال</t>
    </r>
  </si>
  <si>
    <t xml:space="preserve">88500236</t>
  </si>
  <si>
    <r>
      <rPr>
        <sz val="10"/>
        <rFont val="FreeSans"/>
        <family val="2"/>
      </rPr>
      <t xml:space="preserve">فیلتر ممبران </t>
    </r>
    <r>
      <rPr>
        <sz val="10"/>
        <rFont val="Vazirmatn"/>
        <family val="0"/>
        <charset val="1"/>
      </rPr>
      <t xml:space="preserve">TW 30 - 1812 - 50 ( TFC )  RO</t>
    </r>
  </si>
  <si>
    <t xml:space="preserve">88500237</t>
  </si>
  <si>
    <r>
      <rPr>
        <sz val="10"/>
        <rFont val="FreeSans"/>
        <family val="2"/>
      </rPr>
      <t xml:space="preserve">پی پت حباب دار  </t>
    </r>
    <r>
      <rPr>
        <sz val="10"/>
        <rFont val="Vazirmatn"/>
        <family val="0"/>
        <charset val="1"/>
      </rPr>
      <t xml:space="preserve">0 -  5CC</t>
    </r>
  </si>
  <si>
    <t xml:space="preserve">88500238</t>
  </si>
  <si>
    <t xml:space="preserve">فرچه لوله شوی آزمایشگاهی بزرگ</t>
  </si>
  <si>
    <t xml:space="preserve">88500239</t>
  </si>
  <si>
    <t xml:space="preserve">فرچه لوله شوی آزمایشگاهی کوچک</t>
  </si>
  <si>
    <t xml:space="preserve">88500243</t>
  </si>
  <si>
    <r>
      <rPr>
        <sz val="10"/>
        <rFont val="FreeSans"/>
        <family val="2"/>
      </rPr>
      <t xml:space="preserve">کاغذ صافی  </t>
    </r>
    <r>
      <rPr>
        <sz val="10"/>
        <rFont val="Vazirmatn"/>
        <family val="0"/>
        <charset val="1"/>
      </rPr>
      <t xml:space="preserve">60cm * 60cm</t>
    </r>
  </si>
  <si>
    <t xml:space="preserve">88500244</t>
  </si>
  <si>
    <r>
      <rPr>
        <sz val="10"/>
        <rFont val="FreeSans"/>
        <family val="2"/>
      </rPr>
      <t xml:space="preserve">سل اندازه گیری رنگ روغن  </t>
    </r>
    <r>
      <rPr>
        <sz val="10"/>
        <rFont val="Vazirmatn"/>
        <family val="0"/>
        <charset val="1"/>
      </rPr>
      <t xml:space="preserve">" W600.OG.5 1/4</t>
    </r>
  </si>
  <si>
    <t xml:space="preserve">88500245</t>
  </si>
  <si>
    <r>
      <rPr>
        <sz val="10"/>
        <rFont val="FreeSans"/>
        <family val="2"/>
      </rPr>
      <t xml:space="preserve">کروسیبل فیلتر دار چینی حجم </t>
    </r>
    <r>
      <rPr>
        <sz val="10"/>
        <rFont val="Vazirmatn"/>
        <family val="0"/>
        <charset val="1"/>
      </rPr>
      <t xml:space="preserve">35mL  </t>
    </r>
    <r>
      <rPr>
        <sz val="10"/>
        <rFont val="FreeSans"/>
        <family val="2"/>
      </rPr>
      <t xml:space="preserve">تخلخل </t>
    </r>
    <r>
      <rPr>
        <sz val="10"/>
        <rFont val="Vazirmatn"/>
        <family val="0"/>
        <charset val="1"/>
      </rPr>
      <t xml:space="preserve">8Mm</t>
    </r>
  </si>
  <si>
    <t xml:space="preserve">88500247</t>
  </si>
  <si>
    <r>
      <rPr>
        <sz val="10"/>
        <rFont val="FreeSans"/>
        <family val="2"/>
      </rPr>
      <t xml:space="preserve">پی پت حباب دار   </t>
    </r>
    <r>
      <rPr>
        <sz val="10"/>
        <rFont val="Vazirmatn"/>
        <family val="0"/>
        <charset val="1"/>
      </rPr>
      <t xml:space="preserve">20CC</t>
    </r>
  </si>
  <si>
    <t xml:space="preserve">88500248</t>
  </si>
  <si>
    <r>
      <rPr>
        <sz val="10"/>
        <rFont val="FreeSans"/>
        <family val="2"/>
      </rPr>
      <t xml:space="preserve">بورت </t>
    </r>
    <r>
      <rPr>
        <sz val="10"/>
        <rFont val="Vazirmatn"/>
        <family val="0"/>
        <charset val="1"/>
      </rPr>
      <t xml:space="preserve">25mL </t>
    </r>
    <r>
      <rPr>
        <sz val="10"/>
        <rFont val="FreeSans"/>
        <family val="2"/>
      </rPr>
      <t xml:space="preserve">شیر تفلونی دقت </t>
    </r>
    <r>
      <rPr>
        <sz val="10"/>
        <rFont val="Vazirmatn"/>
        <family val="0"/>
        <charset val="1"/>
      </rPr>
      <t xml:space="preserve">0/05mL  </t>
    </r>
    <r>
      <rPr>
        <sz val="10"/>
        <rFont val="FreeSans"/>
        <family val="2"/>
      </rPr>
      <t xml:space="preserve">حداکثر خطای </t>
    </r>
    <r>
      <rPr>
        <sz val="10"/>
        <rFont val="Vazirmatn"/>
        <family val="0"/>
        <charset val="1"/>
      </rPr>
      <t xml:space="preserve">0/03mL</t>
    </r>
  </si>
  <si>
    <t xml:space="preserve">88500249</t>
  </si>
  <si>
    <r>
      <rPr>
        <sz val="10"/>
        <rFont val="FreeSans"/>
        <family val="2"/>
      </rPr>
      <t xml:space="preserve">قیف پلاستیکی کوچک  قطر دهانه </t>
    </r>
    <r>
      <rPr>
        <sz val="10"/>
        <rFont val="Vazirmatn"/>
        <family val="0"/>
        <charset val="1"/>
      </rPr>
      <t xml:space="preserve">5Cm</t>
    </r>
  </si>
  <si>
    <t xml:space="preserve">88500250</t>
  </si>
  <si>
    <r>
      <rPr>
        <sz val="10"/>
        <rFont val="FreeSans"/>
        <family val="2"/>
      </rPr>
      <t xml:space="preserve">پی ست  </t>
    </r>
    <r>
      <rPr>
        <sz val="10"/>
        <rFont val="Vazirmatn"/>
        <family val="0"/>
        <charset val="1"/>
      </rPr>
      <t xml:space="preserve">500CC</t>
    </r>
  </si>
  <si>
    <t xml:space="preserve">88500251</t>
  </si>
  <si>
    <r>
      <rPr>
        <sz val="10"/>
        <rFont val="FreeSans"/>
        <family val="2"/>
      </rPr>
      <t xml:space="preserve">کاغذ      </t>
    </r>
    <r>
      <rPr>
        <sz val="10"/>
        <rFont val="Vazirmatn"/>
        <family val="0"/>
        <charset val="1"/>
      </rPr>
      <t xml:space="preserve">PH       PHO - 14</t>
    </r>
  </si>
  <si>
    <t xml:space="preserve">88500255</t>
  </si>
  <si>
    <r>
      <rPr>
        <sz val="10"/>
        <rFont val="FreeSans"/>
        <family val="2"/>
      </rPr>
      <t xml:space="preserve">پارچ پلاستیکی دسته دار آزمایشگاهی </t>
    </r>
    <r>
      <rPr>
        <sz val="10"/>
        <rFont val="Vazirmatn"/>
        <family val="0"/>
        <charset val="1"/>
      </rPr>
      <t xml:space="preserve">3Lit</t>
    </r>
  </si>
  <si>
    <t xml:space="preserve">88500256</t>
  </si>
  <si>
    <r>
      <rPr>
        <sz val="10"/>
        <rFont val="FreeSans"/>
        <family val="2"/>
      </rPr>
      <t xml:space="preserve">پارچ پلاستیکی آزمایشگاهی </t>
    </r>
    <r>
      <rPr>
        <sz val="10"/>
        <rFont val="Vazirmatn"/>
        <family val="0"/>
        <charset val="1"/>
      </rPr>
      <t xml:space="preserve">0/5Lit</t>
    </r>
  </si>
  <si>
    <t xml:space="preserve">88500257</t>
  </si>
  <si>
    <r>
      <rPr>
        <sz val="10"/>
        <rFont val="FreeSans"/>
        <family val="2"/>
      </rPr>
      <t xml:space="preserve">سطل پلاستیکی </t>
    </r>
    <r>
      <rPr>
        <sz val="10"/>
        <rFont val="Vazirmatn"/>
        <family val="0"/>
        <charset val="1"/>
      </rPr>
      <t xml:space="preserve">5Lit</t>
    </r>
  </si>
  <si>
    <t xml:space="preserve">88500258</t>
  </si>
  <si>
    <r>
      <rPr>
        <sz val="10"/>
        <rFont val="FreeSans"/>
        <family val="2"/>
      </rPr>
      <t xml:space="preserve">سطل پلاستیکی </t>
    </r>
    <r>
      <rPr>
        <sz val="10"/>
        <rFont val="Vazirmatn"/>
        <family val="0"/>
        <charset val="1"/>
      </rPr>
      <t xml:space="preserve">2Lit</t>
    </r>
  </si>
  <si>
    <t xml:space="preserve">88500259</t>
  </si>
  <si>
    <r>
      <rPr>
        <sz val="10"/>
        <rFont val="FreeSans"/>
        <family val="2"/>
      </rPr>
      <t xml:space="preserve">ظرف درب دار </t>
    </r>
    <r>
      <rPr>
        <sz val="10"/>
        <rFont val="Vazirmatn"/>
        <family val="0"/>
        <charset val="1"/>
      </rPr>
      <t xml:space="preserve">( PtFE ) </t>
    </r>
    <r>
      <rPr>
        <sz val="10"/>
        <rFont val="FreeSans"/>
        <family val="2"/>
      </rPr>
      <t xml:space="preserve">پلی تترا فلوئور و اتیلن حجم </t>
    </r>
    <r>
      <rPr>
        <sz val="10"/>
        <rFont val="Vazirmatn"/>
        <family val="0"/>
        <charset val="1"/>
      </rPr>
      <t xml:space="preserve">100mL </t>
    </r>
    <r>
      <rPr>
        <sz val="10"/>
        <rFont val="FreeSans"/>
        <family val="2"/>
      </rPr>
      <t xml:space="preserve">مقاومت دمایی </t>
    </r>
    <r>
      <rPr>
        <sz val="10"/>
        <rFont val="Vazirmatn"/>
        <family val="0"/>
        <charset val="1"/>
      </rPr>
      <t xml:space="preserve">250 </t>
    </r>
    <r>
      <rPr>
        <sz val="10"/>
        <rFont val="FreeSans"/>
        <family val="2"/>
      </rPr>
      <t xml:space="preserve">درجه سانتی گراد</t>
    </r>
  </si>
  <si>
    <t xml:space="preserve">88500260</t>
  </si>
  <si>
    <r>
      <rPr>
        <sz val="10"/>
        <rFont val="FreeSans"/>
        <family val="2"/>
      </rPr>
      <t xml:space="preserve">پیکنومتر  </t>
    </r>
    <r>
      <rPr>
        <sz val="10"/>
        <rFont val="Vazirmatn"/>
        <family val="0"/>
        <charset val="1"/>
      </rPr>
      <t xml:space="preserve">100mL</t>
    </r>
  </si>
  <si>
    <t xml:space="preserve">88500261</t>
  </si>
  <si>
    <r>
      <rPr>
        <sz val="10"/>
        <rFont val="FreeSans"/>
        <family val="2"/>
      </rPr>
      <t xml:space="preserve">همزن شیشه ای </t>
    </r>
    <r>
      <rPr>
        <sz val="10"/>
        <rFont val="Vazirmatn"/>
        <family val="0"/>
        <charset val="1"/>
      </rPr>
      <t xml:space="preserve">25Cm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9mm</t>
    </r>
  </si>
  <si>
    <t xml:space="preserve">88500265</t>
  </si>
  <si>
    <t xml:space="preserve">دسته فیلد و پلاتین</t>
  </si>
  <si>
    <t xml:space="preserve">88500268</t>
  </si>
  <si>
    <r>
      <rPr>
        <sz val="10"/>
        <rFont val="FreeSans"/>
        <family val="2"/>
      </rPr>
      <t xml:space="preserve">کیت اندازه گیری آهن  </t>
    </r>
    <r>
      <rPr>
        <sz val="10"/>
        <rFont val="Vazirmatn"/>
        <family val="0"/>
        <charset val="1"/>
      </rPr>
      <t xml:space="preserve">1-0/2-mg/L</t>
    </r>
  </si>
  <si>
    <t xml:space="preserve">88500269</t>
  </si>
  <si>
    <t xml:space="preserve">محفظه فیلتر کربن آب مقطر ساز</t>
  </si>
  <si>
    <t xml:space="preserve">88500270</t>
  </si>
  <si>
    <t xml:space="preserve">کپسول یکبار مصرف پیک نیک مسافرتی</t>
  </si>
  <si>
    <t xml:space="preserve">88500271</t>
  </si>
  <si>
    <r>
      <rPr>
        <sz val="10"/>
        <rFont val="Vazirmatn"/>
        <family val="0"/>
        <charset val="1"/>
      </rPr>
      <t xml:space="preserve">Splash Protector ( </t>
    </r>
    <r>
      <rPr>
        <sz val="10"/>
        <rFont val="FreeSans"/>
        <family val="2"/>
      </rPr>
      <t xml:space="preserve">محافظ پاششی </t>
    </r>
    <r>
      <rPr>
        <sz val="10"/>
        <rFont val="Vazirmatn"/>
        <family val="0"/>
        <charset val="1"/>
      </rPr>
      <t xml:space="preserve">)  </t>
    </r>
    <r>
      <rPr>
        <sz val="10"/>
        <rFont val="FreeSans"/>
        <family val="2"/>
      </rPr>
      <t xml:space="preserve">از جنس </t>
    </r>
    <r>
      <rPr>
        <sz val="10"/>
        <rFont val="Vazirmatn"/>
        <family val="0"/>
        <charset val="1"/>
      </rPr>
      <t xml:space="preserve">PTFE</t>
    </r>
  </si>
  <si>
    <t xml:space="preserve">88500272</t>
  </si>
  <si>
    <t xml:space="preserve">سل اندازه گیری روغن</t>
  </si>
  <si>
    <t xml:space="preserve">88500274</t>
  </si>
  <si>
    <r>
      <rPr>
        <sz val="10"/>
        <rFont val="FreeSans"/>
        <family val="2"/>
      </rPr>
      <t xml:space="preserve">قطعه تفلونی اتوکجلدال </t>
    </r>
    <r>
      <rPr>
        <sz val="10"/>
        <rFont val="Vazirmatn"/>
        <family val="0"/>
        <charset val="1"/>
      </rPr>
      <t xml:space="preserve">1</t>
    </r>
  </si>
  <si>
    <t xml:space="preserve">88500275</t>
  </si>
  <si>
    <r>
      <rPr>
        <sz val="10"/>
        <rFont val="FreeSans"/>
        <family val="2"/>
      </rPr>
      <t xml:space="preserve">قطعه تفلونی اتوکجلدال </t>
    </r>
    <r>
      <rPr>
        <sz val="10"/>
        <rFont val="Vazirmatn"/>
        <family val="0"/>
        <charset val="1"/>
      </rPr>
      <t xml:space="preserve">2</t>
    </r>
  </si>
  <si>
    <t xml:space="preserve">88500276</t>
  </si>
  <si>
    <r>
      <rPr>
        <sz val="10"/>
        <rFont val="FreeSans"/>
        <family val="2"/>
      </rPr>
      <t xml:space="preserve">بوته چینی کروزه درب دار  </t>
    </r>
    <r>
      <rPr>
        <sz val="10"/>
        <rFont val="Vazirmatn"/>
        <family val="0"/>
        <charset val="1"/>
      </rPr>
      <t xml:space="preserve">50mL </t>
    </r>
    <r>
      <rPr>
        <sz val="10"/>
        <rFont val="FreeSans"/>
        <family val="2"/>
      </rPr>
      <t xml:space="preserve">ارتفاع بوته </t>
    </r>
    <r>
      <rPr>
        <sz val="10"/>
        <rFont val="Vazirmatn"/>
        <family val="0"/>
        <charset val="1"/>
      </rPr>
      <t xml:space="preserve">: 6Cm</t>
    </r>
  </si>
  <si>
    <t xml:space="preserve">88500277</t>
  </si>
  <si>
    <t xml:space="preserve">تفاله گیر فلزی</t>
  </si>
  <si>
    <t xml:space="preserve">88500278</t>
  </si>
  <si>
    <r>
      <rPr>
        <sz val="10"/>
        <rFont val="FreeSans"/>
        <family val="2"/>
      </rPr>
      <t xml:space="preserve">پی ست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لیتری</t>
    </r>
  </si>
  <si>
    <t xml:space="preserve">88500279</t>
  </si>
  <si>
    <r>
      <rPr>
        <sz val="10"/>
        <rFont val="FreeSans"/>
        <family val="2"/>
      </rPr>
      <t xml:space="preserve">کیت اندازه گیری کلسیم </t>
    </r>
    <r>
      <rPr>
        <sz val="10"/>
        <rFont val="Vazirmatn"/>
        <family val="0"/>
        <charset val="1"/>
      </rPr>
      <t xml:space="preserve">( V-703  ( 17/1-1000PPm</t>
    </r>
  </si>
  <si>
    <t xml:space="preserve">88500280</t>
  </si>
  <si>
    <t xml:space="preserve">سری لوپ استاندارد فلزی  آلیاژ نیکروم</t>
  </si>
  <si>
    <t xml:space="preserve">88500281</t>
  </si>
  <si>
    <t xml:space="preserve">سری آنس استاندارد فلزی  آلیاژ نیکروم</t>
  </si>
  <si>
    <t xml:space="preserve">88500283</t>
  </si>
  <si>
    <r>
      <rPr>
        <sz val="10"/>
        <rFont val="FreeSans"/>
        <family val="2"/>
      </rPr>
      <t xml:space="preserve">بانکه باواریا بدنه بلور و درب فلزی سایز </t>
    </r>
    <r>
      <rPr>
        <sz val="10"/>
        <rFont val="Vazirmatn"/>
        <family val="0"/>
        <charset val="1"/>
      </rPr>
      <t xml:space="preserve">7 - </t>
    </r>
    <r>
      <rPr>
        <sz val="10"/>
        <rFont val="FreeSans"/>
        <family val="2"/>
      </rPr>
      <t xml:space="preserve">حجم </t>
    </r>
    <r>
      <rPr>
        <sz val="10"/>
        <rFont val="Vazirmatn"/>
        <family val="0"/>
        <charset val="1"/>
      </rPr>
      <t xml:space="preserve">150mL</t>
    </r>
  </si>
  <si>
    <t xml:space="preserve">88500288</t>
  </si>
  <si>
    <t xml:space="preserve">هپتامولیبدات آمونیوم</t>
  </si>
  <si>
    <t xml:space="preserve">88500296</t>
  </si>
  <si>
    <t xml:space="preserve">وازلین</t>
  </si>
  <si>
    <t xml:space="preserve">88500309</t>
  </si>
  <si>
    <r>
      <rPr>
        <sz val="10"/>
        <rFont val="FreeSans"/>
        <family val="2"/>
      </rPr>
      <t xml:space="preserve">آنتی اکسیدانت </t>
    </r>
    <r>
      <rPr>
        <sz val="10"/>
        <rFont val="Vazirmatn"/>
        <family val="0"/>
        <charset val="1"/>
      </rPr>
      <t xml:space="preserve">BHT</t>
    </r>
  </si>
  <si>
    <t xml:space="preserve">88500315</t>
  </si>
  <si>
    <t xml:space="preserve">پلی وینیل پیرولیدین</t>
  </si>
  <si>
    <t xml:space="preserve">88500321</t>
  </si>
  <si>
    <r>
      <rPr>
        <sz val="10"/>
        <rFont val="FreeSans"/>
        <family val="2"/>
      </rPr>
      <t xml:space="preserve">باریم کلرید            </t>
    </r>
    <r>
      <rPr>
        <sz val="10"/>
        <rFont val="Vazirmatn"/>
        <family val="0"/>
        <charset val="1"/>
      </rPr>
      <t xml:space="preserve">BacL2-2H2O</t>
    </r>
  </si>
  <si>
    <t xml:space="preserve">88500333</t>
  </si>
  <si>
    <r>
      <rPr>
        <sz val="10"/>
        <rFont val="FreeSans"/>
        <family val="2"/>
      </rPr>
      <t xml:space="preserve">تیتروزول سود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هیدروکسیدسدیم </t>
    </r>
    <r>
      <rPr>
        <sz val="10"/>
        <rFont val="Vazirmatn"/>
        <family val="0"/>
        <charset val="1"/>
      </rPr>
      <t xml:space="preserve">)  1N</t>
    </r>
  </si>
  <si>
    <t xml:space="preserve">88500341</t>
  </si>
  <si>
    <r>
      <rPr>
        <sz val="10"/>
        <rFont val="FreeSans"/>
        <family val="2"/>
      </rPr>
      <t xml:space="preserve">تیتروزول سود                 </t>
    </r>
    <r>
      <rPr>
        <sz val="10"/>
        <rFont val="Vazirmatn"/>
        <family val="0"/>
        <charset val="1"/>
      </rPr>
      <t xml:space="preserve">0/1N</t>
    </r>
  </si>
  <si>
    <t xml:space="preserve">88500343</t>
  </si>
  <si>
    <t xml:space="preserve">تارتارات مضاعف سدیم پتاسیم</t>
  </si>
  <si>
    <t xml:space="preserve">88500356</t>
  </si>
  <si>
    <r>
      <rPr>
        <sz val="10"/>
        <rFont val="FreeSans"/>
        <family val="2"/>
      </rPr>
      <t xml:space="preserve">تیو سولفات سدیم  </t>
    </r>
    <r>
      <rPr>
        <sz val="10"/>
        <rFont val="Vazirmatn"/>
        <family val="0"/>
        <charset val="1"/>
      </rPr>
      <t xml:space="preserve">Na2S2O3*OH2O</t>
    </r>
  </si>
  <si>
    <t xml:space="preserve">88500369</t>
  </si>
  <si>
    <r>
      <rPr>
        <sz val="10"/>
        <rFont val="FreeSans"/>
        <family val="2"/>
      </rPr>
      <t xml:space="preserve">فسفریل اکسی کلرید               </t>
    </r>
    <r>
      <rPr>
        <sz val="10"/>
        <rFont val="Vazirmatn"/>
        <family val="0"/>
        <charset val="1"/>
      </rPr>
      <t xml:space="preserve">POCL3</t>
    </r>
  </si>
  <si>
    <t xml:space="preserve">88500388</t>
  </si>
  <si>
    <r>
      <rPr>
        <sz val="10"/>
        <rFont val="FreeSans"/>
        <family val="2"/>
      </rPr>
      <t xml:space="preserve">متانول  </t>
    </r>
    <r>
      <rPr>
        <sz val="10"/>
        <rFont val="Vazirmatn"/>
        <family val="0"/>
        <charset val="1"/>
      </rPr>
      <t xml:space="preserve">( CH 3 OH )</t>
    </r>
  </si>
  <si>
    <t xml:space="preserve">88500390</t>
  </si>
  <si>
    <t xml:space="preserve">واکنشگر مولیبدو  وانادات</t>
  </si>
  <si>
    <t xml:space="preserve">88500397</t>
  </si>
  <si>
    <r>
      <rPr>
        <sz val="10"/>
        <rFont val="FreeSans"/>
        <family val="2"/>
      </rPr>
      <t xml:space="preserve">پتاسیم ید ید               </t>
    </r>
    <r>
      <rPr>
        <sz val="10"/>
        <rFont val="Vazirmatn"/>
        <family val="0"/>
        <charset val="1"/>
      </rPr>
      <t xml:space="preserve">KI</t>
    </r>
  </si>
  <si>
    <t xml:space="preserve">88500398</t>
  </si>
  <si>
    <r>
      <rPr>
        <sz val="10"/>
        <rFont val="FreeSans"/>
        <family val="2"/>
      </rPr>
      <t xml:space="preserve">ید                              </t>
    </r>
    <r>
      <rPr>
        <sz val="10"/>
        <rFont val="Vazirmatn"/>
        <family val="0"/>
        <charset val="1"/>
      </rPr>
      <t xml:space="preserve">I2</t>
    </r>
  </si>
  <si>
    <t xml:space="preserve">88500410</t>
  </si>
  <si>
    <r>
      <rPr>
        <sz val="10"/>
        <rFont val="FreeSans"/>
        <family val="2"/>
      </rPr>
      <t xml:space="preserve">اسید استیک                 </t>
    </r>
    <r>
      <rPr>
        <sz val="10"/>
        <rFont val="Vazirmatn"/>
        <family val="0"/>
        <charset val="1"/>
      </rPr>
      <t xml:space="preserve">CH3COOH</t>
    </r>
  </si>
  <si>
    <t xml:space="preserve">88500414</t>
  </si>
  <si>
    <t xml:space="preserve">کیسه پلاستیکی اتوکلاو</t>
  </si>
  <si>
    <t xml:space="preserve">88500455</t>
  </si>
  <si>
    <t xml:space="preserve">فنل فتالئین</t>
  </si>
  <si>
    <t xml:space="preserve">88500463</t>
  </si>
  <si>
    <r>
      <rPr>
        <sz val="10"/>
        <rFont val="FreeSans"/>
        <family val="2"/>
      </rPr>
      <t xml:space="preserve">کلروفورم                     </t>
    </r>
    <r>
      <rPr>
        <sz val="10"/>
        <rFont val="Vazirmatn"/>
        <family val="0"/>
        <charset val="1"/>
      </rPr>
      <t xml:space="preserve">CHCL3</t>
    </r>
  </si>
  <si>
    <t xml:space="preserve">88500468</t>
  </si>
  <si>
    <t xml:space="preserve">محیط کشت آهن دار سه قندی</t>
  </si>
  <si>
    <t xml:space="preserve">88500478</t>
  </si>
  <si>
    <t xml:space="preserve">محیط کشت مولر کافمن تتراتیونات نوو بیوسین</t>
  </si>
  <si>
    <t xml:space="preserve">88500508</t>
  </si>
  <si>
    <r>
      <rPr>
        <sz val="10"/>
        <rFont val="FreeSans"/>
        <family val="2"/>
      </rPr>
      <t xml:space="preserve">ارلن مایر درب سمباده ای </t>
    </r>
    <r>
      <rPr>
        <sz val="10"/>
        <rFont val="Vazirmatn"/>
        <family val="0"/>
        <charset val="1"/>
      </rPr>
      <t xml:space="preserve">250cc</t>
    </r>
  </si>
  <si>
    <t xml:space="preserve">88500509</t>
  </si>
  <si>
    <r>
      <rPr>
        <sz val="10"/>
        <rFont val="FreeSans"/>
        <family val="2"/>
      </rPr>
      <t xml:space="preserve">استوانه شیشه ای مدرج    </t>
    </r>
    <r>
      <rPr>
        <sz val="10"/>
        <rFont val="Vazirmatn"/>
        <family val="0"/>
        <charset val="1"/>
      </rPr>
      <t xml:space="preserve">0 -  100CC</t>
    </r>
  </si>
  <si>
    <t xml:space="preserve">88500515</t>
  </si>
  <si>
    <r>
      <rPr>
        <sz val="10"/>
        <rFont val="FreeSans"/>
        <family val="2"/>
      </rPr>
      <t xml:space="preserve">استوانه شیشه ای مدرج           </t>
    </r>
    <r>
      <rPr>
        <sz val="10"/>
        <rFont val="Vazirmatn"/>
        <family val="0"/>
        <charset val="1"/>
      </rPr>
      <t xml:space="preserve">50CC</t>
    </r>
  </si>
  <si>
    <t xml:space="preserve">88500524</t>
  </si>
  <si>
    <r>
      <rPr>
        <sz val="10"/>
        <rFont val="FreeSans"/>
        <family val="2"/>
      </rPr>
      <t xml:space="preserve">بشر شیشه ای              </t>
    </r>
    <r>
      <rPr>
        <sz val="10"/>
        <rFont val="Vazirmatn"/>
        <family val="0"/>
        <charset val="1"/>
      </rPr>
      <t xml:space="preserve">0 -  500CC</t>
    </r>
  </si>
  <si>
    <t xml:space="preserve">88500538</t>
  </si>
  <si>
    <r>
      <rPr>
        <sz val="10"/>
        <rFont val="FreeSans"/>
        <family val="2"/>
      </rPr>
      <t xml:space="preserve">بالن حجمی </t>
    </r>
    <r>
      <rPr>
        <sz val="10"/>
        <rFont val="Vazirmatn"/>
        <family val="0"/>
        <charset val="1"/>
      </rPr>
      <t xml:space="preserve">250cc</t>
    </r>
  </si>
  <si>
    <t xml:space="preserve">88500540</t>
  </si>
  <si>
    <r>
      <rPr>
        <sz val="10"/>
        <rFont val="FreeSans"/>
        <family val="2"/>
      </rPr>
      <t xml:space="preserve">پی پت شیشه ای مدرج       </t>
    </r>
    <r>
      <rPr>
        <sz val="10"/>
        <rFont val="Vazirmatn"/>
        <family val="0"/>
        <charset val="1"/>
      </rPr>
      <t xml:space="preserve">0 -    1CC</t>
    </r>
  </si>
  <si>
    <t xml:space="preserve">88500543</t>
  </si>
  <si>
    <r>
      <rPr>
        <sz val="10"/>
        <rFont val="FreeSans"/>
        <family val="2"/>
      </rPr>
      <t xml:space="preserve">پی پت شیشه ای مدرج       </t>
    </r>
    <r>
      <rPr>
        <sz val="10"/>
        <rFont val="Vazirmatn"/>
        <family val="0"/>
        <charset val="1"/>
      </rPr>
      <t xml:space="preserve">0 -  5CC</t>
    </r>
  </si>
  <si>
    <t xml:space="preserve">88500544</t>
  </si>
  <si>
    <r>
      <rPr>
        <sz val="10"/>
        <rFont val="FreeSans"/>
        <family val="2"/>
      </rPr>
      <t xml:space="preserve">بشر پلاستیکی دسته دار      </t>
    </r>
    <r>
      <rPr>
        <sz val="10"/>
        <rFont val="Vazirmatn"/>
        <family val="0"/>
        <charset val="1"/>
      </rPr>
      <t xml:space="preserve">500CC</t>
    </r>
  </si>
  <si>
    <t xml:space="preserve">88500548</t>
  </si>
  <si>
    <r>
      <rPr>
        <sz val="10"/>
        <rFont val="FreeSans"/>
        <family val="2"/>
      </rPr>
      <t xml:space="preserve">پی پت شیشه ای مدرج       </t>
    </r>
    <r>
      <rPr>
        <sz val="10"/>
        <rFont val="Vazirmatn"/>
        <family val="0"/>
        <charset val="1"/>
      </rPr>
      <t xml:space="preserve">0 -  25CC</t>
    </r>
  </si>
  <si>
    <t xml:space="preserve">88500552</t>
  </si>
  <si>
    <r>
      <rPr>
        <sz val="10"/>
        <rFont val="FreeSans"/>
        <family val="2"/>
      </rPr>
      <t xml:space="preserve">بورت شیشه ای اتوماتیگ </t>
    </r>
    <r>
      <rPr>
        <sz val="10"/>
        <rFont val="Vazirmatn"/>
        <family val="0"/>
        <charset val="1"/>
      </rPr>
      <t xml:space="preserve">25CC</t>
    </r>
  </si>
  <si>
    <t xml:space="preserve">88500554</t>
  </si>
  <si>
    <r>
      <rPr>
        <sz val="10"/>
        <rFont val="FreeSans"/>
        <family val="2"/>
      </rPr>
      <t xml:space="preserve">پی پت شیشه ای مدرج       </t>
    </r>
    <r>
      <rPr>
        <sz val="10"/>
        <rFont val="Vazirmatn"/>
        <family val="0"/>
        <charset val="1"/>
      </rPr>
      <t xml:space="preserve">0 -  10CC</t>
    </r>
  </si>
  <si>
    <t xml:space="preserve">88500555</t>
  </si>
  <si>
    <r>
      <rPr>
        <sz val="10"/>
        <rFont val="FreeSans"/>
        <family val="2"/>
      </rPr>
      <t xml:space="preserve">بورت شیشه ای             </t>
    </r>
    <r>
      <rPr>
        <sz val="10"/>
        <rFont val="Vazirmatn"/>
        <family val="0"/>
        <charset val="1"/>
      </rPr>
      <t xml:space="preserve">25 </t>
    </r>
    <r>
      <rPr>
        <sz val="10"/>
        <rFont val="FreeSans"/>
        <family val="2"/>
      </rPr>
      <t xml:space="preserve">سی سی</t>
    </r>
  </si>
  <si>
    <t xml:space="preserve">88500557</t>
  </si>
  <si>
    <r>
      <rPr>
        <sz val="10"/>
        <rFont val="FreeSans"/>
        <family val="2"/>
      </rPr>
      <t xml:space="preserve">بورت دیجیتال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میلی لیتر</t>
    </r>
  </si>
  <si>
    <t xml:space="preserve">88500558</t>
  </si>
  <si>
    <r>
      <rPr>
        <sz val="10"/>
        <rFont val="FreeSans"/>
        <family val="2"/>
      </rPr>
      <t xml:space="preserve">پی ست          </t>
    </r>
    <r>
      <rPr>
        <sz val="10"/>
        <rFont val="Vazirmatn"/>
        <family val="0"/>
        <charset val="1"/>
      </rPr>
      <t xml:space="preserve">0 - 1000CC</t>
    </r>
  </si>
  <si>
    <t xml:space="preserve">88500563</t>
  </si>
  <si>
    <r>
      <rPr>
        <sz val="10"/>
        <rFont val="FreeSans"/>
        <family val="2"/>
      </rPr>
      <t xml:space="preserve">ترمومتر شیشه ای             </t>
    </r>
    <r>
      <rPr>
        <sz val="10"/>
        <rFont val="Vazirmatn"/>
        <family val="0"/>
        <charset val="1"/>
      </rPr>
      <t xml:space="preserve">100 - 0</t>
    </r>
  </si>
  <si>
    <t xml:space="preserve">88500584</t>
  </si>
  <si>
    <r>
      <rPr>
        <sz val="10"/>
        <rFont val="FreeSans"/>
        <family val="2"/>
      </rPr>
      <t xml:space="preserve">لوله شیشه ای آزمایش            </t>
    </r>
    <r>
      <rPr>
        <sz val="10"/>
        <rFont val="Vazirmatn"/>
        <family val="0"/>
        <charset val="1"/>
      </rPr>
      <t xml:space="preserve">16CM</t>
    </r>
  </si>
  <si>
    <t xml:space="preserve">88500600</t>
  </si>
  <si>
    <r>
      <rPr>
        <sz val="10"/>
        <rFont val="FreeSans"/>
        <family val="2"/>
      </rPr>
      <t xml:space="preserve">ظرف پیرکس حجمی درب دار    </t>
    </r>
    <r>
      <rPr>
        <sz val="10"/>
        <rFont val="Vazirmatn"/>
        <family val="0"/>
        <charset val="1"/>
      </rPr>
      <t xml:space="preserve">250cc</t>
    </r>
  </si>
  <si>
    <t xml:space="preserve">88500603</t>
  </si>
  <si>
    <r>
      <rPr>
        <sz val="10"/>
        <rFont val="FreeSans"/>
        <family val="2"/>
      </rPr>
      <t xml:space="preserve">توری نسوز  </t>
    </r>
    <r>
      <rPr>
        <sz val="10"/>
        <rFont val="Vazirmatn"/>
        <family val="0"/>
        <charset val="1"/>
      </rPr>
      <t xml:space="preserve">130mm*150mm</t>
    </r>
  </si>
  <si>
    <t xml:space="preserve">88500622</t>
  </si>
  <si>
    <r>
      <rPr>
        <sz val="10"/>
        <rFont val="FreeSans"/>
        <family val="2"/>
      </rPr>
      <t xml:space="preserve">پلیت یکبار مصرف لابترون </t>
    </r>
    <r>
      <rPr>
        <sz val="10"/>
        <rFont val="Vazirmatn"/>
        <family val="0"/>
        <charset val="1"/>
      </rPr>
      <t xml:space="preserve">- 100mm</t>
    </r>
  </si>
  <si>
    <t xml:space="preserve">88500624</t>
  </si>
  <si>
    <t xml:space="preserve">گیره و پایه آزمایشگاهی</t>
  </si>
  <si>
    <t xml:space="preserve">88500630</t>
  </si>
  <si>
    <r>
      <rPr>
        <sz val="10"/>
        <rFont val="FreeSans"/>
        <family val="2"/>
      </rPr>
      <t xml:space="preserve">سوکسله   </t>
    </r>
    <r>
      <rPr>
        <sz val="10"/>
        <rFont val="Vazirmatn"/>
        <family val="0"/>
        <charset val="1"/>
      </rPr>
      <t xml:space="preserve">250CC</t>
    </r>
  </si>
  <si>
    <t xml:space="preserve">88500634</t>
  </si>
  <si>
    <t xml:space="preserve">سوک نمونه برداری</t>
  </si>
  <si>
    <t xml:space="preserve">88500643</t>
  </si>
  <si>
    <t xml:space="preserve">سو آپ سر پنبه ای</t>
  </si>
  <si>
    <t xml:space="preserve">88500658</t>
  </si>
  <si>
    <t xml:space="preserve">سدیم بورو هیدرید</t>
  </si>
  <si>
    <t xml:space="preserve">88500661</t>
  </si>
  <si>
    <t xml:space="preserve">ظرف پلاستیکی کوچک نمونه برداری</t>
  </si>
  <si>
    <t xml:space="preserve">88500672</t>
  </si>
  <si>
    <t xml:space="preserve">محلول واکنشگر ویجس</t>
  </si>
  <si>
    <t xml:space="preserve">88500674</t>
  </si>
  <si>
    <r>
      <rPr>
        <sz val="10"/>
        <rFont val="FreeSans"/>
        <family val="2"/>
      </rPr>
      <t xml:space="preserve">استوانه شیشه ای مدرج    </t>
    </r>
    <r>
      <rPr>
        <sz val="10"/>
        <rFont val="Vazirmatn"/>
        <family val="0"/>
        <charset val="1"/>
      </rPr>
      <t xml:space="preserve">25CC</t>
    </r>
  </si>
  <si>
    <t xml:space="preserve">88500676</t>
  </si>
  <si>
    <t xml:space="preserve">شناساگر اریوکروم بلک تی</t>
  </si>
  <si>
    <t xml:space="preserve">88500680</t>
  </si>
  <si>
    <r>
      <rPr>
        <sz val="10"/>
        <rFont val="FreeSans"/>
        <family val="2"/>
      </rPr>
      <t xml:space="preserve">فیلتر غشایی استریل     </t>
    </r>
    <r>
      <rPr>
        <sz val="10"/>
        <rFont val="Vazirmatn"/>
        <family val="0"/>
        <charset val="1"/>
      </rPr>
      <t xml:space="preserve">0.45M</t>
    </r>
  </si>
  <si>
    <t xml:space="preserve">88500684</t>
  </si>
  <si>
    <t xml:space="preserve">ال تریپتوفان</t>
  </si>
  <si>
    <t xml:space="preserve">88500691</t>
  </si>
  <si>
    <r>
      <rPr>
        <sz val="10"/>
        <rFont val="FreeSans"/>
        <family val="2"/>
      </rPr>
      <t xml:space="preserve">تیترازول ید </t>
    </r>
    <r>
      <rPr>
        <sz val="10"/>
        <rFont val="Vazirmatn"/>
        <family val="0"/>
        <charset val="1"/>
      </rPr>
      <t xml:space="preserve">1N</t>
    </r>
  </si>
  <si>
    <t xml:space="preserve">88500696</t>
  </si>
  <si>
    <r>
      <rPr>
        <sz val="10"/>
        <rFont val="FreeSans"/>
        <family val="2"/>
      </rPr>
      <t xml:space="preserve">ظرف نمونه پلاستیکی </t>
    </r>
    <r>
      <rPr>
        <sz val="10"/>
        <rFont val="Vazirmatn"/>
        <family val="0"/>
        <charset val="1"/>
      </rPr>
      <t xml:space="preserve">2Kg</t>
    </r>
  </si>
  <si>
    <t xml:space="preserve">88500700</t>
  </si>
  <si>
    <r>
      <rPr>
        <sz val="10"/>
        <rFont val="FreeSans"/>
        <family val="2"/>
      </rPr>
      <t xml:space="preserve">بافر </t>
    </r>
    <r>
      <rPr>
        <sz val="10"/>
        <rFont val="Vazirmatn"/>
        <family val="0"/>
        <charset val="1"/>
      </rPr>
      <t xml:space="preserve">4  ( </t>
    </r>
    <r>
      <rPr>
        <sz val="10"/>
        <rFont val="FreeSans"/>
        <family val="2"/>
      </rPr>
      <t xml:space="preserve">مرک </t>
    </r>
    <r>
      <rPr>
        <sz val="10"/>
        <rFont val="Vazirmatn"/>
        <family val="0"/>
        <charset val="1"/>
      </rPr>
      <t xml:space="preserve">)</t>
    </r>
  </si>
  <si>
    <t xml:space="preserve">88500701</t>
  </si>
  <si>
    <r>
      <rPr>
        <sz val="10"/>
        <rFont val="FreeSans"/>
        <family val="2"/>
      </rPr>
      <t xml:space="preserve">بافر </t>
    </r>
    <r>
      <rPr>
        <sz val="10"/>
        <rFont val="Vazirmatn"/>
        <family val="0"/>
        <charset val="1"/>
      </rPr>
      <t xml:space="preserve">7  ( </t>
    </r>
    <r>
      <rPr>
        <sz val="10"/>
        <rFont val="FreeSans"/>
        <family val="2"/>
      </rPr>
      <t xml:space="preserve">مرک </t>
    </r>
    <r>
      <rPr>
        <sz val="10"/>
        <rFont val="Vazirmatn"/>
        <family val="0"/>
        <charset val="1"/>
      </rPr>
      <t xml:space="preserve">)</t>
    </r>
  </si>
  <si>
    <t xml:space="preserve">88500706</t>
  </si>
  <si>
    <r>
      <rPr>
        <sz val="10"/>
        <rFont val="FreeSans"/>
        <family val="2"/>
      </rPr>
      <t xml:space="preserve">واکنشگر وانادات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مولبیدات</t>
    </r>
  </si>
  <si>
    <t xml:space="preserve">88500709</t>
  </si>
  <si>
    <r>
      <rPr>
        <sz val="10"/>
        <rFont val="FreeSans"/>
        <family val="2"/>
      </rPr>
      <t xml:space="preserve">محلول الکترولیت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پتاسیم کلراید</t>
    </r>
    <r>
      <rPr>
        <sz val="10"/>
        <rFont val="Vazirmatn"/>
        <family val="0"/>
        <charset val="1"/>
      </rPr>
      <t xml:space="preserve">) 3</t>
    </r>
    <r>
      <rPr>
        <sz val="10"/>
        <rFont val="FreeSans"/>
        <family val="2"/>
      </rPr>
      <t xml:space="preserve">مولار </t>
    </r>
    <r>
      <rPr>
        <sz val="10"/>
        <rFont val="Vazirmatn"/>
        <family val="0"/>
        <charset val="1"/>
      </rPr>
      <t xml:space="preserve">3moL/L</t>
    </r>
  </si>
  <si>
    <t xml:space="preserve">88500712</t>
  </si>
  <si>
    <r>
      <rPr>
        <sz val="10"/>
        <rFont val="FreeSans"/>
        <family val="2"/>
      </rPr>
      <t xml:space="preserve">پشم شیشه </t>
    </r>
    <r>
      <rPr>
        <sz val="10"/>
        <rFont val="Vazirmatn"/>
        <family val="0"/>
        <charset val="1"/>
      </rPr>
      <t xml:space="preserve">( glass wool extra fine )</t>
    </r>
  </si>
  <si>
    <t xml:space="preserve">88500714</t>
  </si>
  <si>
    <t xml:space="preserve">پارافین جامد آزمایشگاهی</t>
  </si>
  <si>
    <t xml:space="preserve">88500715</t>
  </si>
  <si>
    <r>
      <rPr>
        <sz val="10"/>
        <rFont val="FreeSans"/>
        <family val="2"/>
      </rPr>
      <t xml:space="preserve">پر کلریک اسید  </t>
    </r>
    <r>
      <rPr>
        <sz val="10"/>
        <rFont val="Vazirmatn"/>
        <family val="0"/>
        <charset val="1"/>
      </rPr>
      <t xml:space="preserve">HCLO4</t>
    </r>
  </si>
  <si>
    <t xml:space="preserve">88500722</t>
  </si>
  <si>
    <t xml:space="preserve">محلول پتاسیم هیدروکسید اتانولی</t>
  </si>
  <si>
    <t xml:space="preserve">88500724</t>
  </si>
  <si>
    <t xml:space="preserve">پوآر بیضی شکل و دنباله پلاستیکی</t>
  </si>
  <si>
    <t xml:space="preserve">88500725</t>
  </si>
  <si>
    <r>
      <rPr>
        <sz val="10"/>
        <rFont val="FreeSans"/>
        <family val="2"/>
      </rPr>
      <t xml:space="preserve">اسید لاکتیک  </t>
    </r>
    <r>
      <rPr>
        <sz val="10"/>
        <rFont val="Vazirmatn"/>
        <family val="0"/>
        <charset val="1"/>
      </rPr>
      <t xml:space="preserve">%85</t>
    </r>
  </si>
  <si>
    <t xml:space="preserve">88500727</t>
  </si>
  <si>
    <r>
      <rPr>
        <sz val="10"/>
        <rFont val="FreeSans"/>
        <family val="2"/>
      </rPr>
      <t xml:space="preserve">آنتی اکسیدانت  </t>
    </r>
    <r>
      <rPr>
        <sz val="10"/>
        <rFont val="Vazirmatn"/>
        <family val="0"/>
        <charset val="1"/>
      </rPr>
      <t xml:space="preserve">TBHQ</t>
    </r>
  </si>
  <si>
    <t xml:space="preserve">88500729</t>
  </si>
  <si>
    <r>
      <rPr>
        <sz val="10"/>
        <rFont val="FreeSans"/>
        <family val="2"/>
      </rPr>
      <t xml:space="preserve">خاک رنگبر افرا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گرید </t>
    </r>
    <r>
      <rPr>
        <sz val="10"/>
        <rFont val="Vazirmatn"/>
        <family val="0"/>
        <charset val="1"/>
      </rPr>
      <t xml:space="preserve">B )</t>
    </r>
  </si>
  <si>
    <t xml:space="preserve">88500730</t>
  </si>
  <si>
    <r>
      <rPr>
        <sz val="10"/>
        <rFont val="FreeSans"/>
        <family val="2"/>
      </rPr>
      <t xml:space="preserve">اسید کلریدریک  </t>
    </r>
    <r>
      <rPr>
        <sz val="10"/>
        <rFont val="Vazirmatn"/>
        <family val="0"/>
        <charset val="1"/>
      </rPr>
      <t xml:space="preserve">%37  HCL</t>
    </r>
  </si>
  <si>
    <t xml:space="preserve">88500731</t>
  </si>
  <si>
    <t xml:space="preserve">Betaine hydrochlorid</t>
  </si>
  <si>
    <t xml:space="preserve">88500733</t>
  </si>
  <si>
    <r>
      <rPr>
        <sz val="10"/>
        <rFont val="FreeSans"/>
        <family val="2"/>
      </rPr>
      <t xml:space="preserve">اسید هیدرو فلئوریک </t>
    </r>
    <r>
      <rPr>
        <sz val="10"/>
        <rFont val="Vazirmatn"/>
        <family val="0"/>
        <charset val="1"/>
      </rPr>
      <t xml:space="preserve">( HF )</t>
    </r>
  </si>
  <si>
    <t xml:space="preserve">88500734</t>
  </si>
  <si>
    <r>
      <rPr>
        <sz val="10"/>
        <rFont val="FreeSans"/>
        <family val="2"/>
      </rPr>
      <t xml:space="preserve">برمو فنول بلو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آبی </t>
    </r>
    <r>
      <rPr>
        <sz val="10"/>
        <rFont val="Vazirmatn"/>
        <family val="0"/>
        <charset val="1"/>
      </rPr>
      <t xml:space="preserve">)</t>
    </r>
  </si>
  <si>
    <t xml:space="preserve">88500736</t>
  </si>
  <si>
    <r>
      <rPr>
        <sz val="10"/>
        <rFont val="FreeSans"/>
        <family val="2"/>
      </rPr>
      <t xml:space="preserve">قلع کلرید </t>
    </r>
    <r>
      <rPr>
        <sz val="10"/>
        <rFont val="Vazirmatn"/>
        <family val="0"/>
        <charset val="1"/>
      </rPr>
      <t xml:space="preserve">tin ( Iv ) chloride Syhthesis Scharlau</t>
    </r>
  </si>
  <si>
    <t xml:space="preserve">88500738</t>
  </si>
  <si>
    <r>
      <rPr>
        <sz val="10"/>
        <rFont val="Vazirmatn"/>
        <family val="0"/>
        <charset val="1"/>
      </rPr>
      <t xml:space="preserve">EDTA </t>
    </r>
    <r>
      <rPr>
        <sz val="10"/>
        <rFont val="FreeSans"/>
        <family val="2"/>
      </rPr>
      <t xml:space="preserve">دو سدیم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آبه </t>
    </r>
    <r>
      <rPr>
        <sz val="10"/>
        <rFont val="Vazirmatn"/>
        <family val="0"/>
        <charset val="1"/>
      </rPr>
      <t xml:space="preserve">( Ethylen dinitrilo tetraa Acteic acid disudium salt dihydrate )</t>
    </r>
  </si>
  <si>
    <t xml:space="preserve">88500739</t>
  </si>
  <si>
    <t xml:space="preserve">محیط کشت لوریل سولفات براث</t>
  </si>
  <si>
    <t xml:space="preserve">88500744</t>
  </si>
  <si>
    <r>
      <rPr>
        <sz val="10"/>
        <rFont val="FreeSans"/>
        <family val="2"/>
      </rPr>
      <t xml:space="preserve">سدیم مونو کلرو استات  </t>
    </r>
    <r>
      <rPr>
        <sz val="10"/>
        <rFont val="Vazirmatn"/>
        <family val="0"/>
        <charset val="1"/>
      </rPr>
      <t xml:space="preserve">%98  ( SMCA )</t>
    </r>
  </si>
  <si>
    <t xml:space="preserve">88500748</t>
  </si>
  <si>
    <t xml:space="preserve">محلول لوله باز کن</t>
  </si>
  <si>
    <t xml:space="preserve">88500749</t>
  </si>
  <si>
    <r>
      <rPr>
        <sz val="10"/>
        <rFont val="FreeSans"/>
        <family val="2"/>
      </rPr>
      <t xml:space="preserve">نیترات کلسیم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آبه</t>
    </r>
  </si>
  <si>
    <t xml:space="preserve">88500750</t>
  </si>
  <si>
    <t xml:space="preserve">محلول فروئین</t>
  </si>
  <si>
    <t xml:space="preserve">88500754</t>
  </si>
  <si>
    <r>
      <rPr>
        <sz val="10"/>
        <rFont val="FreeSans"/>
        <family val="2"/>
      </rPr>
      <t xml:space="preserve">الک آزمایشگاهی مش </t>
    </r>
    <r>
      <rPr>
        <sz val="10"/>
        <rFont val="Vazirmatn"/>
        <family val="0"/>
        <charset val="1"/>
      </rPr>
      <t xml:space="preserve">6</t>
    </r>
  </si>
  <si>
    <t xml:space="preserve">88500757</t>
  </si>
  <si>
    <r>
      <rPr>
        <sz val="10"/>
        <rFont val="FreeSans"/>
        <family val="2"/>
      </rPr>
      <t xml:space="preserve">سوک نمونه برداری استیل </t>
    </r>
    <r>
      <rPr>
        <sz val="10"/>
        <rFont val="Vazirmatn"/>
        <family val="0"/>
        <charset val="1"/>
      </rPr>
      <t xml:space="preserve">40Cm</t>
    </r>
  </si>
  <si>
    <t xml:space="preserve">88500758</t>
  </si>
  <si>
    <r>
      <rPr>
        <sz val="10"/>
        <rFont val="FreeSans"/>
        <family val="2"/>
      </rPr>
      <t xml:space="preserve">سوک نمونه برداری استیل </t>
    </r>
    <r>
      <rPr>
        <sz val="10"/>
        <rFont val="Vazirmatn"/>
        <family val="0"/>
        <charset val="1"/>
      </rPr>
      <t xml:space="preserve">30Cm</t>
    </r>
  </si>
  <si>
    <t xml:space="preserve">88500759</t>
  </si>
  <si>
    <r>
      <rPr>
        <sz val="10"/>
        <rFont val="FreeSans"/>
        <family val="2"/>
      </rPr>
      <t xml:space="preserve">قیف دکانتور  </t>
    </r>
    <r>
      <rPr>
        <sz val="10"/>
        <rFont val="Vazirmatn"/>
        <family val="0"/>
        <charset val="1"/>
      </rPr>
      <t xml:space="preserve">250mL</t>
    </r>
  </si>
  <si>
    <t xml:space="preserve">88500760</t>
  </si>
  <si>
    <r>
      <rPr>
        <sz val="10"/>
        <rFont val="FreeSans"/>
        <family val="2"/>
      </rPr>
      <t xml:space="preserve">لوله نمونه </t>
    </r>
    <r>
      <rPr>
        <sz val="10"/>
        <rFont val="Vazirmatn"/>
        <family val="0"/>
        <charset val="1"/>
      </rPr>
      <t xml:space="preserve">300 </t>
    </r>
    <r>
      <rPr>
        <sz val="10"/>
        <rFont val="FreeSans"/>
        <family val="2"/>
      </rPr>
      <t xml:space="preserve">میلی لیتری  </t>
    </r>
    <r>
      <rPr>
        <sz val="10"/>
        <rFont val="Vazirmatn"/>
        <family val="0"/>
        <charset val="1"/>
      </rPr>
      <t xml:space="preserve">(Sample tube )</t>
    </r>
  </si>
  <si>
    <t xml:space="preserve">دکستروز</t>
  </si>
  <si>
    <t xml:space="preserve">88500761</t>
  </si>
  <si>
    <t xml:space="preserve">Set of hose connectors bent EPDM , Sealing</t>
  </si>
  <si>
    <t xml:space="preserve">88500762</t>
  </si>
  <si>
    <r>
      <rPr>
        <sz val="10"/>
        <rFont val="FreeSans"/>
        <family val="2"/>
      </rPr>
      <t xml:space="preserve">کربن فعال جاکوبی مش  </t>
    </r>
    <r>
      <rPr>
        <sz val="10"/>
        <rFont val="Vazirmatn"/>
        <family val="0"/>
        <charset val="1"/>
      </rPr>
      <t xml:space="preserve">12*6 ( 1/70mm-3/35mm )</t>
    </r>
  </si>
  <si>
    <t xml:space="preserve">88500763</t>
  </si>
  <si>
    <t xml:space="preserve">دی اتیل آمینو اتیل سلولز</t>
  </si>
  <si>
    <t xml:space="preserve">88500765</t>
  </si>
  <si>
    <t xml:space="preserve">ساکاروز</t>
  </si>
  <si>
    <t xml:space="preserve">88500766</t>
  </si>
  <si>
    <t xml:space="preserve">شن کوارتز با اسید شسته شده</t>
  </si>
  <si>
    <t xml:space="preserve">88500767</t>
  </si>
  <si>
    <r>
      <rPr>
        <sz val="10"/>
        <rFont val="FreeSans"/>
        <family val="2"/>
      </rPr>
      <t xml:space="preserve">پودر </t>
    </r>
    <r>
      <rPr>
        <sz val="10"/>
        <rFont val="Vazirmatn"/>
        <family val="0"/>
        <charset val="1"/>
      </rPr>
      <t xml:space="preserve">4 - </t>
    </r>
    <r>
      <rPr>
        <sz val="10"/>
        <rFont val="FreeSans"/>
        <family val="2"/>
      </rPr>
      <t xml:space="preserve">متیل ایمیدازول</t>
    </r>
  </si>
  <si>
    <t xml:space="preserve">88500769</t>
  </si>
  <si>
    <r>
      <rPr>
        <sz val="10"/>
        <rFont val="FreeSans"/>
        <family val="2"/>
      </rPr>
      <t xml:space="preserve">بیس </t>
    </r>
    <r>
      <rPr>
        <sz val="10"/>
        <rFont val="Vazirmatn"/>
        <family val="0"/>
        <charset val="1"/>
      </rPr>
      <t xml:space="preserve">2 - </t>
    </r>
    <r>
      <rPr>
        <sz val="10"/>
        <rFont val="FreeSans"/>
        <family val="2"/>
      </rPr>
      <t xml:space="preserve">اتیل هگزیل فسفات</t>
    </r>
  </si>
  <si>
    <t xml:space="preserve">88500772</t>
  </si>
  <si>
    <r>
      <rPr>
        <sz val="10"/>
        <rFont val="FreeSans"/>
        <family val="2"/>
      </rPr>
      <t xml:space="preserve">فیلتر ممبران سر سوزنی سلولز استات </t>
    </r>
    <r>
      <rPr>
        <sz val="10"/>
        <rFont val="Vazirmatn"/>
        <family val="0"/>
        <charset val="1"/>
      </rPr>
      <t xml:space="preserve">(  </t>
    </r>
    <r>
      <rPr>
        <sz val="10"/>
        <rFont val="FreeSans"/>
        <family val="2"/>
      </rPr>
      <t xml:space="preserve">اندازه </t>
    </r>
    <r>
      <rPr>
        <sz val="10"/>
        <rFont val="Vazirmatn"/>
        <family val="0"/>
        <charset val="1"/>
      </rPr>
      <t xml:space="preserve">0/45Mm - </t>
    </r>
    <r>
      <rPr>
        <sz val="10"/>
        <rFont val="FreeSans"/>
        <family val="2"/>
      </rPr>
      <t xml:space="preserve">قطر </t>
    </r>
    <r>
      <rPr>
        <sz val="10"/>
        <rFont val="Vazirmatn"/>
        <family val="0"/>
        <charset val="1"/>
      </rPr>
      <t xml:space="preserve">25mm )</t>
    </r>
  </si>
  <si>
    <t xml:space="preserve">88500773</t>
  </si>
  <si>
    <r>
      <rPr>
        <sz val="10"/>
        <rFont val="FreeSans"/>
        <family val="2"/>
      </rPr>
      <t xml:space="preserve">ست اسپیندل ویسکومتر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مدل </t>
    </r>
    <r>
      <rPr>
        <sz val="10"/>
        <rFont val="Vazirmatn"/>
        <family val="0"/>
        <charset val="1"/>
      </rPr>
      <t xml:space="preserve">LV ) Brook Field</t>
    </r>
  </si>
  <si>
    <t xml:space="preserve">88500775</t>
  </si>
  <si>
    <t xml:space="preserve">محلول آمونیوم هیدروکساید</t>
  </si>
  <si>
    <t xml:space="preserve">88500776</t>
  </si>
  <si>
    <r>
      <rPr>
        <sz val="10"/>
        <rFont val="FreeSans"/>
        <family val="2"/>
      </rPr>
      <t xml:space="preserve">ستون دستگاه </t>
    </r>
    <r>
      <rPr>
        <sz val="10"/>
        <rFont val="Vazirmatn"/>
        <family val="0"/>
        <charset val="1"/>
      </rPr>
      <t xml:space="preserve">( HPLC-RI ) Sugar SC 011 Shodex</t>
    </r>
  </si>
  <si>
    <t xml:space="preserve">88500780</t>
  </si>
  <si>
    <t xml:space="preserve">قطره چکان پلاستیکی سر خروسی</t>
  </si>
  <si>
    <t xml:space="preserve">88500781</t>
  </si>
  <si>
    <r>
      <rPr>
        <sz val="10"/>
        <rFont val="FreeSans"/>
        <family val="2"/>
      </rPr>
      <t xml:space="preserve">مگنت آزمایشگاهی </t>
    </r>
    <r>
      <rPr>
        <sz val="10"/>
        <rFont val="Vazirmatn"/>
        <family val="0"/>
        <charset val="1"/>
      </rPr>
      <t xml:space="preserve">6Cm</t>
    </r>
  </si>
  <si>
    <t xml:space="preserve">88500784</t>
  </si>
  <si>
    <r>
      <rPr>
        <sz val="10"/>
        <rFont val="FreeSans"/>
        <family val="2"/>
      </rPr>
      <t xml:space="preserve">پی ست پلاستیکی آب مقطر </t>
    </r>
    <r>
      <rPr>
        <sz val="10"/>
        <rFont val="Vazirmatn"/>
        <family val="0"/>
        <charset val="1"/>
      </rPr>
      <t xml:space="preserve">1Litr</t>
    </r>
  </si>
  <si>
    <t xml:space="preserve">88500785</t>
  </si>
  <si>
    <r>
      <rPr>
        <sz val="10"/>
        <rFont val="FreeSans"/>
        <family val="2"/>
      </rPr>
      <t xml:space="preserve">اسپاچول قاشقی استیل </t>
    </r>
    <r>
      <rPr>
        <sz val="10"/>
        <rFont val="Vazirmatn"/>
        <family val="0"/>
        <charset val="1"/>
      </rPr>
      <t xml:space="preserve">20Cm</t>
    </r>
  </si>
  <si>
    <t xml:space="preserve">88500788</t>
  </si>
  <si>
    <r>
      <rPr>
        <sz val="10"/>
        <rFont val="FreeSans"/>
        <family val="2"/>
      </rPr>
      <t xml:space="preserve">سل </t>
    </r>
    <r>
      <rPr>
        <sz val="10"/>
        <rFont val="Vazirmatn"/>
        <family val="0"/>
        <charset val="1"/>
      </rPr>
      <t xml:space="preserve">UV </t>
    </r>
    <r>
      <rPr>
        <sz val="10"/>
        <rFont val="FreeSans"/>
        <family val="2"/>
      </rPr>
      <t xml:space="preserve">دستگاه اسپکتروفوتومتر از جنس کوارتز طول </t>
    </r>
    <r>
      <rPr>
        <sz val="10"/>
        <rFont val="Vazirmatn"/>
        <family val="0"/>
        <charset val="1"/>
      </rPr>
      <t xml:space="preserve">1Cm</t>
    </r>
  </si>
  <si>
    <t xml:space="preserve">88500790</t>
  </si>
  <si>
    <r>
      <rPr>
        <sz val="10"/>
        <rFont val="FreeSans"/>
        <family val="2"/>
      </rPr>
      <t xml:space="preserve">لوله سانتریفیوژ درپیچ دار پلیمری </t>
    </r>
    <r>
      <rPr>
        <sz val="10"/>
        <rFont val="Vazirmatn"/>
        <family val="0"/>
        <charset val="1"/>
      </rPr>
      <t xml:space="preserve">15mL</t>
    </r>
  </si>
  <si>
    <t xml:space="preserve">88500791</t>
  </si>
  <si>
    <r>
      <rPr>
        <sz val="10"/>
        <rFont val="FreeSans"/>
        <family val="2"/>
      </rPr>
      <t xml:space="preserve">دسیکاتور قطر دهانه </t>
    </r>
    <r>
      <rPr>
        <sz val="10"/>
        <rFont val="Vazirmatn"/>
        <family val="0"/>
        <charset val="1"/>
      </rPr>
      <t xml:space="preserve">35Cm</t>
    </r>
  </si>
  <si>
    <t xml:space="preserve">88500793</t>
  </si>
  <si>
    <r>
      <rPr>
        <sz val="10"/>
        <rFont val="FreeSans"/>
        <family val="2"/>
      </rPr>
      <t xml:space="preserve">محلول سریم سولفات </t>
    </r>
    <r>
      <rPr>
        <sz val="10"/>
        <rFont val="Vazirmatn"/>
        <family val="0"/>
        <charset val="1"/>
      </rPr>
      <t xml:space="preserve">0/1 </t>
    </r>
    <r>
      <rPr>
        <sz val="10"/>
        <rFont val="FreeSans"/>
        <family val="2"/>
      </rPr>
      <t xml:space="preserve">نرمال</t>
    </r>
  </si>
  <si>
    <t xml:space="preserve">88500794</t>
  </si>
  <si>
    <r>
      <rPr>
        <sz val="10"/>
        <rFont val="FreeSans"/>
        <family val="2"/>
      </rPr>
      <t xml:space="preserve">سر سمپلر ساده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جهت سمپلر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میکرو لیتری </t>
    </r>
    <r>
      <rPr>
        <sz val="10"/>
        <rFont val="Vazirmatn"/>
        <family val="0"/>
        <charset val="1"/>
      </rPr>
      <t xml:space="preserve">)</t>
    </r>
  </si>
  <si>
    <t xml:space="preserve">88500795</t>
  </si>
  <si>
    <r>
      <rPr>
        <sz val="10"/>
        <rFont val="FreeSans"/>
        <family val="2"/>
      </rPr>
      <t xml:space="preserve">هات پلیت بزرگ </t>
    </r>
    <r>
      <rPr>
        <sz val="10"/>
        <rFont val="Vazirmatn"/>
        <family val="0"/>
        <charset val="1"/>
      </rPr>
      <t xml:space="preserve">27Cm*27Cm</t>
    </r>
  </si>
  <si>
    <t xml:space="preserve">88500796</t>
  </si>
  <si>
    <r>
      <rPr>
        <sz val="10"/>
        <rFont val="FreeSans"/>
        <family val="2"/>
      </rPr>
      <t xml:space="preserve">رفرکتومتر دیجیتال پرتابل با فدرت خوانش بریکس  </t>
    </r>
    <r>
      <rPr>
        <sz val="10"/>
        <rFont val="Vazirmatn"/>
        <family val="0"/>
        <charset val="1"/>
      </rPr>
      <t xml:space="preserve">%85 - 0</t>
    </r>
  </si>
  <si>
    <t xml:space="preserve">88500797</t>
  </si>
  <si>
    <t xml:space="preserve">قطره چکان آزمایشگاهی سر پوآر دار</t>
  </si>
  <si>
    <t xml:space="preserve">88500798</t>
  </si>
  <si>
    <r>
      <rPr>
        <sz val="10"/>
        <rFont val="FreeSans"/>
        <family val="2"/>
      </rPr>
      <t xml:space="preserve">محیط کشت  </t>
    </r>
    <r>
      <rPr>
        <sz val="10"/>
        <rFont val="Vazirmatn"/>
        <family val="0"/>
        <charset val="1"/>
      </rPr>
      <t xml:space="preserve">Tryptic Soy Agar</t>
    </r>
  </si>
  <si>
    <t xml:space="preserve">88500799</t>
  </si>
  <si>
    <r>
      <rPr>
        <sz val="10"/>
        <rFont val="FreeSans"/>
        <family val="2"/>
      </rPr>
      <t xml:space="preserve">محیط کشت  </t>
    </r>
    <r>
      <rPr>
        <sz val="10"/>
        <rFont val="Vazirmatn"/>
        <family val="0"/>
        <charset val="1"/>
      </rPr>
      <t xml:space="preserve">Lactose Broth</t>
    </r>
  </si>
  <si>
    <t xml:space="preserve">88500801</t>
  </si>
  <si>
    <r>
      <rPr>
        <sz val="10"/>
        <rFont val="FreeSans"/>
        <family val="2"/>
      </rPr>
      <t xml:space="preserve">محیط کشت  </t>
    </r>
    <r>
      <rPr>
        <sz val="10"/>
        <rFont val="Vazirmatn"/>
        <family val="0"/>
        <charset val="1"/>
      </rPr>
      <t xml:space="preserve">Sabouraud 4% Dextrose Agar</t>
    </r>
  </si>
  <si>
    <t xml:space="preserve">88500802</t>
  </si>
  <si>
    <r>
      <rPr>
        <sz val="10"/>
        <rFont val="FreeSans"/>
        <family val="2"/>
      </rPr>
      <t xml:space="preserve">ال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تریپتوفان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سیگما آلدریچ </t>
    </r>
    <r>
      <rPr>
        <sz val="10"/>
        <rFont val="Vazirmatn"/>
        <family val="0"/>
        <charset val="1"/>
      </rPr>
      <t xml:space="preserve">)</t>
    </r>
  </si>
  <si>
    <t xml:space="preserve">88500803</t>
  </si>
  <si>
    <r>
      <rPr>
        <sz val="10"/>
        <rFont val="FreeSans"/>
        <family val="2"/>
      </rPr>
      <t xml:space="preserve">تیو سولفات سدیم تیترازول </t>
    </r>
    <r>
      <rPr>
        <sz val="10"/>
        <rFont val="Vazirmatn"/>
        <family val="0"/>
        <charset val="1"/>
      </rPr>
      <t xml:space="preserve">( 0/1N )</t>
    </r>
  </si>
  <si>
    <t xml:space="preserve">88500805</t>
  </si>
  <si>
    <r>
      <rPr>
        <sz val="10"/>
        <rFont val="FreeSans"/>
        <family val="2"/>
      </rPr>
      <t xml:space="preserve">اندیکاتور  </t>
    </r>
    <r>
      <rPr>
        <sz val="10"/>
        <rFont val="Vazirmatn"/>
        <family val="0"/>
        <charset val="1"/>
      </rPr>
      <t xml:space="preserve">Anaerotest</t>
    </r>
  </si>
  <si>
    <t xml:space="preserve">88500806</t>
  </si>
  <si>
    <r>
      <rPr>
        <sz val="10"/>
        <rFont val="FreeSans"/>
        <family val="2"/>
      </rPr>
      <t xml:space="preserve">اندیکاتور  </t>
    </r>
    <r>
      <rPr>
        <sz val="10"/>
        <rFont val="Vazirmatn"/>
        <family val="0"/>
        <charset val="1"/>
      </rPr>
      <t xml:space="preserve">Anaerocult R A</t>
    </r>
  </si>
  <si>
    <t xml:space="preserve">88500807</t>
  </si>
  <si>
    <r>
      <rPr>
        <sz val="10"/>
        <rFont val="FreeSans"/>
        <family val="2"/>
      </rPr>
      <t xml:space="preserve">اندیکاتور مخصوص اتوکلاو </t>
    </r>
    <r>
      <rPr>
        <sz val="10"/>
        <rFont val="Vazirmatn"/>
        <family val="0"/>
        <charset val="1"/>
      </rPr>
      <t xml:space="preserve">gke </t>
    </r>
    <r>
      <rPr>
        <sz val="10"/>
        <rFont val="FreeSans"/>
        <family val="2"/>
      </rPr>
      <t xml:space="preserve">کلاس </t>
    </r>
    <r>
      <rPr>
        <sz val="10"/>
        <rFont val="Vazirmatn"/>
        <family val="0"/>
        <charset val="1"/>
      </rPr>
      <t xml:space="preserve">6</t>
    </r>
  </si>
  <si>
    <t xml:space="preserve">88500808</t>
  </si>
  <si>
    <t xml:space="preserve">معرف کو آکس</t>
  </si>
  <si>
    <t xml:space="preserve">88500809</t>
  </si>
  <si>
    <r>
      <rPr>
        <sz val="10"/>
        <rFont val="FreeSans"/>
        <family val="2"/>
      </rPr>
      <t xml:space="preserve">پی پت حباب دار   </t>
    </r>
    <r>
      <rPr>
        <sz val="10"/>
        <rFont val="Vazirmatn"/>
        <family val="0"/>
        <charset val="1"/>
      </rPr>
      <t xml:space="preserve">25CC</t>
    </r>
  </si>
  <si>
    <t xml:space="preserve">88500811</t>
  </si>
  <si>
    <t xml:space="preserve">کلگی پمپ اصلی دستگاه آب مقطر ساز</t>
  </si>
  <si>
    <t xml:space="preserve">88500812</t>
  </si>
  <si>
    <r>
      <rPr>
        <sz val="10"/>
        <rFont val="FreeSans"/>
        <family val="2"/>
      </rPr>
      <t xml:space="preserve">درپوش سیلیکونی </t>
    </r>
    <r>
      <rPr>
        <sz val="10"/>
        <rFont val="Vazirmatn"/>
        <family val="0"/>
        <charset val="1"/>
      </rPr>
      <t xml:space="preserve">14 </t>
    </r>
    <r>
      <rPr>
        <sz val="10"/>
        <rFont val="FreeSans"/>
        <family val="2"/>
      </rPr>
      <t xml:space="preserve">سوراخ دار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درپوش بالن تقطیر برای دهانه جانبی </t>
    </r>
    <r>
      <rPr>
        <sz val="10"/>
        <rFont val="Vazirmatn"/>
        <family val="0"/>
        <charset val="1"/>
      </rPr>
      <t xml:space="preserve">14/23 )</t>
    </r>
  </si>
  <si>
    <t xml:space="preserve">88500813</t>
  </si>
  <si>
    <r>
      <rPr>
        <sz val="10"/>
        <rFont val="FreeSans"/>
        <family val="2"/>
      </rPr>
      <t xml:space="preserve">تبدیل دماسنج به بالن نر </t>
    </r>
    <r>
      <rPr>
        <sz val="10"/>
        <rFont val="Vazirmatn"/>
        <family val="0"/>
        <charset val="1"/>
      </rPr>
      <t xml:space="preserve">14 ( GL-18 ) ( </t>
    </r>
    <r>
      <rPr>
        <sz val="10"/>
        <rFont val="FreeSans"/>
        <family val="2"/>
      </rPr>
      <t xml:space="preserve">برای دهانه جانبی بالن تقطیر </t>
    </r>
    <r>
      <rPr>
        <sz val="10"/>
        <rFont val="Vazirmatn"/>
        <family val="0"/>
        <charset val="1"/>
      </rPr>
      <t xml:space="preserve">23-14 )</t>
    </r>
  </si>
  <si>
    <t xml:space="preserve">88500814</t>
  </si>
  <si>
    <r>
      <rPr>
        <sz val="10"/>
        <rFont val="FreeSans"/>
        <family val="2"/>
      </rPr>
      <t xml:space="preserve">سرنگ پلاستیکی </t>
    </r>
    <r>
      <rPr>
        <sz val="10"/>
        <rFont val="Vazirmatn"/>
        <family val="0"/>
        <charset val="1"/>
      </rPr>
      <t xml:space="preserve">50CC</t>
    </r>
  </si>
  <si>
    <t xml:space="preserve">88500815</t>
  </si>
  <si>
    <r>
      <rPr>
        <sz val="10"/>
        <rFont val="FreeSans"/>
        <family val="2"/>
      </rPr>
      <t xml:space="preserve">پایه پیپت گردان پلاستیکی </t>
    </r>
    <r>
      <rPr>
        <sz val="10"/>
        <rFont val="Vazirmatn"/>
        <family val="0"/>
        <charset val="1"/>
      </rPr>
      <t xml:space="preserve">( 29 </t>
    </r>
    <r>
      <rPr>
        <sz val="10"/>
        <rFont val="FreeSans"/>
        <family val="2"/>
      </rPr>
      <t xml:space="preserve">خانه </t>
    </r>
    <r>
      <rPr>
        <sz val="10"/>
        <rFont val="Vazirmatn"/>
        <family val="0"/>
        <charset val="1"/>
      </rPr>
      <t xml:space="preserve">)</t>
    </r>
  </si>
  <si>
    <t xml:space="preserve">88500817</t>
  </si>
  <si>
    <t xml:space="preserve">آلفا توکوفرول مایع</t>
  </si>
  <si>
    <t xml:space="preserve">88500818</t>
  </si>
  <si>
    <t xml:space="preserve">پروپیل گالات</t>
  </si>
  <si>
    <t xml:space="preserve">88500819</t>
  </si>
  <si>
    <t xml:space="preserve">آسکوربیل پالمیتات</t>
  </si>
  <si>
    <t xml:space="preserve">88500820</t>
  </si>
  <si>
    <t xml:space="preserve">محیط کشت راپاپورت واسیلیادیس براث</t>
  </si>
  <si>
    <t xml:space="preserve">88500821</t>
  </si>
  <si>
    <r>
      <rPr>
        <sz val="10"/>
        <rFont val="FreeSans"/>
        <family val="2"/>
      </rPr>
      <t xml:space="preserve">محیط کشت </t>
    </r>
    <r>
      <rPr>
        <sz val="10"/>
        <rFont val="Vazirmatn"/>
        <family val="0"/>
        <charset val="1"/>
      </rPr>
      <t xml:space="preserve">PE - 2 Medium</t>
    </r>
  </si>
  <si>
    <t xml:space="preserve">88500823</t>
  </si>
  <si>
    <r>
      <rPr>
        <sz val="10"/>
        <rFont val="FreeSans"/>
        <family val="2"/>
      </rPr>
      <t xml:space="preserve">روغن سبزیجات </t>
    </r>
    <r>
      <rPr>
        <sz val="10"/>
        <rFont val="Vazirmatn"/>
        <family val="0"/>
        <charset val="1"/>
      </rPr>
      <t xml:space="preserve">CRM ( CRM Vegetable Oil )</t>
    </r>
  </si>
  <si>
    <t xml:space="preserve">88500824</t>
  </si>
  <si>
    <r>
      <rPr>
        <sz val="10"/>
        <rFont val="FreeSans"/>
        <family val="2"/>
      </rPr>
      <t xml:space="preserve">استوانه شیشه ای مدرج          </t>
    </r>
    <r>
      <rPr>
        <sz val="10"/>
        <rFont val="Vazirmatn"/>
        <family val="0"/>
        <charset val="1"/>
      </rPr>
      <t xml:space="preserve">250mL</t>
    </r>
  </si>
  <si>
    <t xml:space="preserve">88500862</t>
  </si>
  <si>
    <r>
      <rPr>
        <sz val="10"/>
        <rFont val="FreeSans"/>
        <family val="2"/>
      </rPr>
      <t xml:space="preserve">پروپیلن اکساید </t>
    </r>
    <r>
      <rPr>
        <sz val="10"/>
        <rFont val="Vazirmatn"/>
        <family val="0"/>
        <charset val="1"/>
      </rPr>
      <t xml:space="preserve">Cas-N : 75-56-9</t>
    </r>
  </si>
  <si>
    <t xml:space="preserve">88500867</t>
  </si>
  <si>
    <r>
      <rPr>
        <sz val="10"/>
        <rFont val="FreeSans"/>
        <family val="2"/>
      </rPr>
      <t xml:space="preserve">سرنگ همیلتون </t>
    </r>
    <r>
      <rPr>
        <sz val="10"/>
        <rFont val="Vazirmatn"/>
        <family val="0"/>
        <charset val="1"/>
      </rPr>
      <t xml:space="preserve">100 </t>
    </r>
    <r>
      <rPr>
        <sz val="10"/>
        <rFont val="FreeSans"/>
        <family val="2"/>
      </rPr>
      <t xml:space="preserve">میکرو لیتر دستگاه </t>
    </r>
    <r>
      <rPr>
        <sz val="10"/>
        <rFont val="Vazirmatn"/>
        <family val="0"/>
        <charset val="1"/>
      </rPr>
      <t xml:space="preserve">HPLC</t>
    </r>
  </si>
  <si>
    <t xml:space="preserve">88500881</t>
  </si>
  <si>
    <t xml:space="preserve">Bacillus ceraeus  Selective SUPPLEMENT</t>
  </si>
  <si>
    <t xml:space="preserve">99610000</t>
  </si>
  <si>
    <t xml:space="preserve">فرم ثبت نتایج آزمون های محیط های کشت</t>
  </si>
  <si>
    <t xml:space="preserve">99610001</t>
  </si>
  <si>
    <r>
      <rPr>
        <sz val="10"/>
        <rFont val="FreeSans"/>
        <family val="2"/>
      </rPr>
      <t xml:space="preserve">کارتریج پرینتر </t>
    </r>
    <r>
      <rPr>
        <sz val="10"/>
        <rFont val="Vazirmatn"/>
        <family val="0"/>
        <charset val="1"/>
      </rPr>
      <t xml:space="preserve">( HP 150A ( 117A ( </t>
    </r>
    <r>
      <rPr>
        <sz val="10"/>
        <rFont val="FreeSans"/>
        <family val="2"/>
      </rPr>
      <t xml:space="preserve">رنگ مشکی </t>
    </r>
    <r>
      <rPr>
        <sz val="10"/>
        <rFont val="Vazirmatn"/>
        <family val="0"/>
        <charset val="1"/>
      </rPr>
      <t xml:space="preserve">- W 2070 A )</t>
    </r>
  </si>
  <si>
    <t xml:space="preserve">99610002</t>
  </si>
  <si>
    <r>
      <rPr>
        <sz val="10"/>
        <rFont val="FreeSans"/>
        <family val="2"/>
      </rPr>
      <t xml:space="preserve">کارتریج پرینتر </t>
    </r>
    <r>
      <rPr>
        <sz val="10"/>
        <rFont val="Vazirmatn"/>
        <family val="0"/>
        <charset val="1"/>
      </rPr>
      <t xml:space="preserve">( HP 150A ( 117A ( </t>
    </r>
    <r>
      <rPr>
        <sz val="10"/>
        <rFont val="FreeSans"/>
        <family val="2"/>
      </rPr>
      <t xml:space="preserve">رنگ آبی </t>
    </r>
    <r>
      <rPr>
        <sz val="10"/>
        <rFont val="Vazirmatn"/>
        <family val="0"/>
        <charset val="1"/>
      </rPr>
      <t xml:space="preserve">- W 2071 A )</t>
    </r>
  </si>
  <si>
    <t xml:space="preserve">99610003</t>
  </si>
  <si>
    <r>
      <rPr>
        <sz val="10"/>
        <rFont val="FreeSans"/>
        <family val="2"/>
      </rPr>
      <t xml:space="preserve">کارتریج پرینتر </t>
    </r>
    <r>
      <rPr>
        <sz val="10"/>
        <rFont val="Vazirmatn"/>
        <family val="0"/>
        <charset val="1"/>
      </rPr>
      <t xml:space="preserve">( HP 150A ( 117A ( </t>
    </r>
    <r>
      <rPr>
        <sz val="10"/>
        <rFont val="FreeSans"/>
        <family val="2"/>
      </rPr>
      <t xml:space="preserve">رنگ زرد </t>
    </r>
    <r>
      <rPr>
        <sz val="10"/>
        <rFont val="Vazirmatn"/>
        <family val="0"/>
        <charset val="1"/>
      </rPr>
      <t xml:space="preserve">- W 2072 A )</t>
    </r>
  </si>
  <si>
    <t xml:space="preserve">99610004</t>
  </si>
  <si>
    <r>
      <rPr>
        <sz val="10"/>
        <rFont val="FreeSans"/>
        <family val="2"/>
      </rPr>
      <t xml:space="preserve">کارتریج پرینتر </t>
    </r>
    <r>
      <rPr>
        <sz val="10"/>
        <rFont val="Vazirmatn"/>
        <family val="0"/>
        <charset val="1"/>
      </rPr>
      <t xml:space="preserve">( HP 150A ( 117A ( </t>
    </r>
    <r>
      <rPr>
        <sz val="10"/>
        <rFont val="FreeSans"/>
        <family val="2"/>
      </rPr>
      <t xml:space="preserve">رنگ قرمز </t>
    </r>
    <r>
      <rPr>
        <sz val="10"/>
        <rFont val="Vazirmatn"/>
        <family val="0"/>
        <charset val="1"/>
      </rPr>
      <t xml:space="preserve">- W 2073 A )</t>
    </r>
  </si>
  <si>
    <t xml:space="preserve">99610005</t>
  </si>
  <si>
    <r>
      <rPr>
        <sz val="10"/>
        <rFont val="FreeSans"/>
        <family val="2"/>
      </rPr>
      <t xml:space="preserve">ماوس بی سیم تسکو  </t>
    </r>
    <r>
      <rPr>
        <sz val="10"/>
        <rFont val="Vazirmatn"/>
        <family val="0"/>
        <charset val="1"/>
      </rPr>
      <t xml:space="preserve">TM 667 W</t>
    </r>
  </si>
  <si>
    <t xml:space="preserve">99610006</t>
  </si>
  <si>
    <t xml:space="preserve">سر رسید کوچک</t>
  </si>
  <si>
    <t xml:space="preserve">99610007</t>
  </si>
  <si>
    <t xml:space="preserve">ساک دستی مقوایی کوچک</t>
  </si>
  <si>
    <t xml:space="preserve">99610008</t>
  </si>
  <si>
    <t xml:space="preserve">ساک دستی مقوایی بزرگ</t>
  </si>
  <si>
    <t xml:space="preserve">99610009</t>
  </si>
  <si>
    <r>
      <rPr>
        <sz val="10"/>
        <rFont val="FreeSans"/>
        <family val="2"/>
      </rPr>
      <t xml:space="preserve">کارتریج مشکی پرینتر  </t>
    </r>
    <r>
      <rPr>
        <sz val="10"/>
        <rFont val="Vazirmatn"/>
        <family val="0"/>
        <charset val="1"/>
      </rPr>
      <t xml:space="preserve">Canon 716</t>
    </r>
  </si>
  <si>
    <t xml:space="preserve">99610010</t>
  </si>
  <si>
    <r>
      <rPr>
        <sz val="10"/>
        <rFont val="FreeSans"/>
        <family val="2"/>
      </rPr>
      <t xml:space="preserve">فرم پرسشنامه برای دیپلم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سفید </t>
    </r>
    <r>
      <rPr>
        <sz val="10"/>
        <rFont val="Vazirmatn"/>
        <family val="0"/>
        <charset val="1"/>
      </rPr>
      <t xml:space="preserve">)</t>
    </r>
  </si>
  <si>
    <t xml:space="preserve">99610011</t>
  </si>
  <si>
    <r>
      <rPr>
        <sz val="10"/>
        <rFont val="FreeSans"/>
        <family val="2"/>
      </rPr>
      <t xml:space="preserve">فرم پرسشنامه برای فوق دیپلم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آبی </t>
    </r>
    <r>
      <rPr>
        <sz val="10"/>
        <rFont val="Vazirmatn"/>
        <family val="0"/>
        <charset val="1"/>
      </rPr>
      <t xml:space="preserve">)</t>
    </r>
  </si>
  <si>
    <t xml:space="preserve">99610012</t>
  </si>
  <si>
    <r>
      <rPr>
        <sz val="10"/>
        <rFont val="FreeSans"/>
        <family val="2"/>
      </rPr>
      <t xml:space="preserve">فرم پرسشنامه برای کارشناسی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سبز </t>
    </r>
    <r>
      <rPr>
        <sz val="10"/>
        <rFont val="Vazirmatn"/>
        <family val="0"/>
        <charset val="1"/>
      </rPr>
      <t xml:space="preserve">)</t>
    </r>
  </si>
  <si>
    <t xml:space="preserve">99610014</t>
  </si>
  <si>
    <t xml:space="preserve">تیغ شیشه پاکن کوچک یکبار مصرف</t>
  </si>
  <si>
    <t xml:space="preserve">99610015</t>
  </si>
  <si>
    <t xml:space="preserve">تیغ شیشه پاکن بزرگ یکبار مصرف</t>
  </si>
  <si>
    <t xml:space="preserve">99610017</t>
  </si>
  <si>
    <r>
      <rPr>
        <sz val="10"/>
        <rFont val="FreeSans"/>
        <family val="2"/>
      </rPr>
      <t xml:space="preserve">باکس فلزی کلید </t>
    </r>
    <r>
      <rPr>
        <sz val="10"/>
        <rFont val="Vazirmatn"/>
        <family val="0"/>
        <charset val="1"/>
      </rPr>
      <t xml:space="preserve">( 60 </t>
    </r>
    <r>
      <rPr>
        <sz val="10"/>
        <rFont val="FreeSans"/>
        <family val="2"/>
      </rPr>
      <t xml:space="preserve">جا کلیدی </t>
    </r>
    <r>
      <rPr>
        <sz val="10"/>
        <rFont val="Vazirmatn"/>
        <family val="0"/>
        <charset val="1"/>
      </rPr>
      <t xml:space="preserve">) 37*48</t>
    </r>
  </si>
  <si>
    <t xml:space="preserve">99610018</t>
  </si>
  <si>
    <r>
      <rPr>
        <sz val="10"/>
        <rFont val="FreeSans"/>
        <family val="2"/>
      </rPr>
      <t xml:space="preserve">فلاکس چای </t>
    </r>
    <r>
      <rPr>
        <sz val="10"/>
        <rFont val="Vazirmatn"/>
        <family val="0"/>
        <charset val="1"/>
      </rPr>
      <t xml:space="preserve">4 </t>
    </r>
    <r>
      <rPr>
        <sz val="10"/>
        <rFont val="FreeSans"/>
        <family val="2"/>
      </rPr>
      <t xml:space="preserve">لیتری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دو قلو </t>
    </r>
    <r>
      <rPr>
        <sz val="10"/>
        <rFont val="Vazirmatn"/>
        <family val="0"/>
        <charset val="1"/>
      </rPr>
      <t xml:space="preserve">)</t>
    </r>
  </si>
  <si>
    <t xml:space="preserve">99610027</t>
  </si>
  <si>
    <r>
      <rPr>
        <sz val="10"/>
        <rFont val="FreeSans"/>
        <family val="2"/>
      </rPr>
      <t xml:space="preserve">نایلون </t>
    </r>
    <r>
      <rPr>
        <sz val="10"/>
        <rFont val="Vazirmatn"/>
        <family val="0"/>
        <charset val="1"/>
      </rPr>
      <t xml:space="preserve">( 2 </t>
    </r>
    <r>
      <rPr>
        <sz val="10"/>
        <rFont val="FreeSans"/>
        <family val="2"/>
      </rPr>
      <t xml:space="preserve">کیلویی </t>
    </r>
    <r>
      <rPr>
        <sz val="10"/>
        <rFont val="Vazirmatn"/>
        <family val="0"/>
        <charset val="1"/>
      </rPr>
      <t xml:space="preserve">)</t>
    </r>
  </si>
  <si>
    <t xml:space="preserve">99610028</t>
  </si>
  <si>
    <r>
      <rPr>
        <sz val="10"/>
        <rFont val="FreeSans"/>
        <family val="2"/>
      </rPr>
      <t xml:space="preserve">سلفون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مخصوص غذا </t>
    </r>
    <r>
      <rPr>
        <sz val="10"/>
        <rFont val="Vazirmatn"/>
        <family val="0"/>
        <charset val="1"/>
      </rPr>
      <t xml:space="preserve">)</t>
    </r>
  </si>
  <si>
    <t xml:space="preserve">99610030</t>
  </si>
  <si>
    <r>
      <rPr>
        <sz val="10"/>
        <rFont val="FreeSans"/>
        <family val="2"/>
      </rPr>
      <t xml:space="preserve">نایلون کوچک بسته بندی </t>
    </r>
    <r>
      <rPr>
        <sz val="10"/>
        <rFont val="Vazirmatn"/>
        <family val="0"/>
        <charset val="1"/>
      </rPr>
      <t xml:space="preserve">( 15 * 12 )</t>
    </r>
  </si>
  <si>
    <t xml:space="preserve">99610031</t>
  </si>
  <si>
    <t xml:space="preserve">کاتالوگ روغن</t>
  </si>
  <si>
    <t xml:space="preserve">99610104</t>
  </si>
  <si>
    <r>
      <rPr>
        <sz val="10"/>
        <rFont val="FreeSans"/>
        <family val="2"/>
      </rPr>
      <t xml:space="preserve">لباس نظامی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چریکی </t>
    </r>
    <r>
      <rPr>
        <sz val="10"/>
        <rFont val="Vazirmatn"/>
        <family val="0"/>
        <charset val="1"/>
      </rPr>
      <t xml:space="preserve">)</t>
    </r>
  </si>
  <si>
    <t xml:space="preserve">99610105</t>
  </si>
  <si>
    <t xml:space="preserve">لباس کار کاپشن و شلوار</t>
  </si>
  <si>
    <t xml:space="preserve">99610106</t>
  </si>
  <si>
    <t xml:space="preserve">روپوش یک بار مصرف</t>
  </si>
  <si>
    <t xml:space="preserve">99610112</t>
  </si>
  <si>
    <t xml:space="preserve">فانوسقه نظامی</t>
  </si>
  <si>
    <t xml:space="preserve">99610120</t>
  </si>
  <si>
    <r>
      <rPr>
        <sz val="10"/>
        <rFont val="FreeSans"/>
        <family val="2"/>
      </rPr>
      <t xml:space="preserve">پیراهن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تی شرت </t>
    </r>
    <r>
      <rPr>
        <sz val="10"/>
        <rFont val="Vazirmatn"/>
        <family val="0"/>
        <charset val="1"/>
      </rPr>
      <t xml:space="preserve">)</t>
    </r>
  </si>
  <si>
    <t xml:space="preserve">99610123</t>
  </si>
  <si>
    <t xml:space="preserve">ساق بند ورزشی</t>
  </si>
  <si>
    <t xml:space="preserve">99610125</t>
  </si>
  <si>
    <t xml:space="preserve">حوله</t>
  </si>
  <si>
    <t xml:space="preserve">99610126</t>
  </si>
  <si>
    <t xml:space="preserve">پتو</t>
  </si>
  <si>
    <t xml:space="preserve">تخته</t>
  </si>
  <si>
    <t xml:space="preserve">99610138</t>
  </si>
  <si>
    <r>
      <rPr>
        <sz val="10"/>
        <rFont val="FreeSans"/>
        <family val="2"/>
      </rPr>
      <t xml:space="preserve">لباس ضد مایعات شیمیایی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ضد اسید </t>
    </r>
    <r>
      <rPr>
        <sz val="10"/>
        <rFont val="Vazirmatn"/>
        <family val="0"/>
        <charset val="1"/>
      </rPr>
      <t xml:space="preserve">)</t>
    </r>
  </si>
  <si>
    <t xml:space="preserve">99610139</t>
  </si>
  <si>
    <t xml:space="preserve">بادگیر و شلوار</t>
  </si>
  <si>
    <t xml:space="preserve">99610143</t>
  </si>
  <si>
    <t xml:space="preserve">باد نما با پایه</t>
  </si>
  <si>
    <t xml:space="preserve">99610144</t>
  </si>
  <si>
    <t xml:space="preserve">لباس کار دو بند یکسره</t>
  </si>
  <si>
    <t xml:space="preserve">99610152</t>
  </si>
  <si>
    <r>
      <rPr>
        <sz val="10"/>
        <rFont val="FreeSans"/>
        <family val="2"/>
      </rPr>
      <t xml:space="preserve">لباس فرم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شلوار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پیراهن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جلیقه </t>
    </r>
    <r>
      <rPr>
        <sz val="10"/>
        <rFont val="Vazirmatn"/>
        <family val="0"/>
        <charset val="1"/>
      </rPr>
      <t xml:space="preserve">)</t>
    </r>
  </si>
  <si>
    <t xml:space="preserve">99610157</t>
  </si>
  <si>
    <t xml:space="preserve">لباس فرم مدیران</t>
  </si>
  <si>
    <t xml:space="preserve">99610159</t>
  </si>
  <si>
    <t xml:space="preserve">بادگیر زیپ دار</t>
  </si>
  <si>
    <t xml:space="preserve">99610160</t>
  </si>
  <si>
    <r>
      <rPr>
        <sz val="10"/>
        <rFont val="FreeSans"/>
        <family val="2"/>
      </rPr>
      <t xml:space="preserve">ترازوی دیجیتال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وزن کشی </t>
    </r>
    <r>
      <rPr>
        <sz val="10"/>
        <rFont val="Vazirmatn"/>
        <family val="0"/>
        <charset val="1"/>
      </rPr>
      <t xml:space="preserve">)</t>
    </r>
  </si>
  <si>
    <t xml:space="preserve">99610161</t>
  </si>
  <si>
    <t xml:space="preserve">دم پائی</t>
  </si>
  <si>
    <t xml:space="preserve">99610163</t>
  </si>
  <si>
    <t xml:space="preserve">دو بنده ورزشی</t>
  </si>
  <si>
    <t xml:space="preserve">99610167</t>
  </si>
  <si>
    <t xml:space="preserve">بادگیر خز دار</t>
  </si>
  <si>
    <t xml:space="preserve">99610168</t>
  </si>
  <si>
    <t xml:space="preserve">پتوی تک نفره</t>
  </si>
  <si>
    <t xml:space="preserve">99610169</t>
  </si>
  <si>
    <t xml:space="preserve">جارو مویی ماشین شویی بدون دسته</t>
  </si>
  <si>
    <t xml:space="preserve">99610171</t>
  </si>
  <si>
    <r>
      <rPr>
        <sz val="10"/>
        <rFont val="FreeSans"/>
        <family val="2"/>
      </rPr>
      <t xml:space="preserve">کفش معمولی  یا </t>
    </r>
    <r>
      <rPr>
        <sz val="10"/>
        <rFont val="Vazirmatn"/>
        <family val="0"/>
        <charset val="1"/>
      </rPr>
      <t xml:space="preserve">(</t>
    </r>
    <r>
      <rPr>
        <sz val="10"/>
        <rFont val="FreeSans"/>
        <family val="2"/>
      </rPr>
      <t xml:space="preserve">بن کفش</t>
    </r>
    <r>
      <rPr>
        <sz val="10"/>
        <rFont val="Vazirmatn"/>
        <family val="0"/>
        <charset val="1"/>
      </rPr>
      <t xml:space="preserve">)</t>
    </r>
  </si>
  <si>
    <t xml:space="preserve">99610172</t>
  </si>
  <si>
    <r>
      <rPr>
        <sz val="10"/>
        <rFont val="FreeSans"/>
        <family val="2"/>
      </rPr>
      <t xml:space="preserve">کمر بند ایمنی  پروتکت </t>
    </r>
    <r>
      <rPr>
        <sz val="10"/>
        <rFont val="Vazirmatn"/>
        <family val="0"/>
        <charset val="1"/>
      </rPr>
      <t xml:space="preserve">P 60</t>
    </r>
  </si>
  <si>
    <t xml:space="preserve">99610173</t>
  </si>
  <si>
    <r>
      <rPr>
        <sz val="10"/>
        <rFont val="FreeSans"/>
        <family val="2"/>
      </rPr>
      <t xml:space="preserve">شوک گیر کمر بند ایمنی  کاستا </t>
    </r>
    <r>
      <rPr>
        <sz val="10"/>
        <rFont val="Vazirmatn"/>
        <family val="0"/>
        <charset val="1"/>
      </rPr>
      <t xml:space="preserve">R  - EA1</t>
    </r>
  </si>
  <si>
    <t xml:space="preserve">99610174</t>
  </si>
  <si>
    <t xml:space="preserve">پوتین نظامی</t>
  </si>
  <si>
    <t xml:space="preserve">99610175</t>
  </si>
  <si>
    <r>
      <rPr>
        <sz val="10"/>
        <rFont val="FreeSans"/>
        <family val="2"/>
      </rPr>
      <t xml:space="preserve">لینارد  کاستا </t>
    </r>
    <r>
      <rPr>
        <sz val="10"/>
        <rFont val="Vazirmatn"/>
        <family val="0"/>
        <charset val="1"/>
      </rPr>
      <t xml:space="preserve">WA 150 S</t>
    </r>
  </si>
  <si>
    <t xml:space="preserve">99610176</t>
  </si>
  <si>
    <r>
      <rPr>
        <sz val="10"/>
        <rFont val="FreeSans"/>
        <family val="2"/>
      </rPr>
      <t xml:space="preserve">بر چسب هشدار دهنده طعمه گذاری محل  </t>
    </r>
    <r>
      <rPr>
        <sz val="10"/>
        <rFont val="Vazirmatn"/>
        <family val="0"/>
        <charset val="1"/>
      </rPr>
      <t xml:space="preserve">20cm*30cm</t>
    </r>
  </si>
  <si>
    <t xml:space="preserve">99610178</t>
  </si>
  <si>
    <t xml:space="preserve">کفش عایق برق</t>
  </si>
  <si>
    <t xml:space="preserve">99610179</t>
  </si>
  <si>
    <t xml:space="preserve">دفتر ذرت وارده به کارخانه</t>
  </si>
  <si>
    <t xml:space="preserve">99610180</t>
  </si>
  <si>
    <t xml:space="preserve">فرم گزارش روزانه خشک کن و بسته بندی نشاسته</t>
  </si>
  <si>
    <t xml:space="preserve">99610181</t>
  </si>
  <si>
    <t xml:space="preserve">فرم گزارش کنترلی واحد نشاسته</t>
  </si>
  <si>
    <t xml:space="preserve">99610185</t>
  </si>
  <si>
    <t xml:space="preserve">فرم چک لیست بارگیری محصولات پودری</t>
  </si>
  <si>
    <t xml:space="preserve">99610186</t>
  </si>
  <si>
    <t xml:space="preserve">فرم بازدید هفتگی از تجهیزات و نظافت و بهداشت بسته بندی روغن</t>
  </si>
  <si>
    <t xml:space="preserve">99610187</t>
  </si>
  <si>
    <t xml:space="preserve">فرم بازدید هفتگی از تجهیزات و نظافت و بهداشت بسته بندی فروکتوز</t>
  </si>
  <si>
    <t xml:space="preserve">99610199</t>
  </si>
  <si>
    <r>
      <rPr>
        <sz val="10"/>
        <rFont val="FreeSans"/>
        <family val="2"/>
      </rPr>
      <t xml:space="preserve">فرم تاییدیه شستشو و </t>
    </r>
    <r>
      <rPr>
        <sz val="10"/>
        <rFont val="Vazirmatn"/>
        <family val="0"/>
        <charset val="1"/>
      </rPr>
      <t xml:space="preserve">CIP </t>
    </r>
    <r>
      <rPr>
        <sz val="10"/>
        <rFont val="FreeSans"/>
        <family val="2"/>
      </rPr>
      <t xml:space="preserve">تانکر محصولات</t>
    </r>
  </si>
  <si>
    <t xml:space="preserve">99610202</t>
  </si>
  <si>
    <t xml:space="preserve">فرم آموزشی پرسنل بدو استخدام</t>
  </si>
  <si>
    <t xml:space="preserve">99610203</t>
  </si>
  <si>
    <t xml:space="preserve">سطل زباله کوچک</t>
  </si>
  <si>
    <t xml:space="preserve">99610209</t>
  </si>
  <si>
    <t xml:space="preserve">کازیو پلاستیکی</t>
  </si>
  <si>
    <t xml:space="preserve">99610216</t>
  </si>
  <si>
    <t xml:space="preserve">تابلوی فلزی جای کلیدی</t>
  </si>
  <si>
    <t xml:space="preserve">99610220</t>
  </si>
  <si>
    <t xml:space="preserve">فرم معرفی و  تایید دوره آموزشی</t>
  </si>
  <si>
    <t xml:space="preserve">99610222</t>
  </si>
  <si>
    <t xml:space="preserve">فرم اسامی افراد شرکت کننده در دوره آموزشی</t>
  </si>
  <si>
    <t xml:space="preserve">99610223</t>
  </si>
  <si>
    <r>
      <rPr>
        <sz val="10"/>
        <rFont val="FreeSans"/>
        <family val="2"/>
      </rPr>
      <t xml:space="preserve">فرم شماره </t>
    </r>
    <r>
      <rPr>
        <sz val="10"/>
        <rFont val="Vazirmatn"/>
        <family val="0"/>
        <charset val="1"/>
      </rPr>
      <t xml:space="preserve">( 1 ) </t>
    </r>
    <r>
      <rPr>
        <sz val="10"/>
        <rFont val="FreeSans"/>
        <family val="2"/>
      </rPr>
      <t xml:space="preserve">ارزیابی و اثر بخشی</t>
    </r>
  </si>
  <si>
    <t xml:space="preserve">99610229</t>
  </si>
  <si>
    <t xml:space="preserve">فرم سند کنترل اقلام ضایعاتی</t>
  </si>
  <si>
    <t xml:space="preserve">99610230</t>
  </si>
  <si>
    <t xml:space="preserve">فرم تاخیر سرویس</t>
  </si>
  <si>
    <t xml:space="preserve">99610238</t>
  </si>
  <si>
    <t xml:space="preserve">فرم تخلیه نشاسته گندم وارده</t>
  </si>
  <si>
    <t xml:space="preserve">99610240</t>
  </si>
  <si>
    <t xml:space="preserve">فرم گواهی اشتغال</t>
  </si>
  <si>
    <t xml:space="preserve">99610241</t>
  </si>
  <si>
    <t xml:space="preserve">فرم آنالیز آب دیگ بخار</t>
  </si>
  <si>
    <t xml:space="preserve">99610242</t>
  </si>
  <si>
    <t xml:space="preserve">دفتر چک لیست کنترل کیفی فرایند تولید روغن واحد بسته بندی</t>
  </si>
  <si>
    <t xml:space="preserve">99610243</t>
  </si>
  <si>
    <t xml:space="preserve">فرم محصولات تحویلی واحد روغن به انبار</t>
  </si>
  <si>
    <t xml:space="preserve">99610246</t>
  </si>
  <si>
    <t xml:space="preserve">دفتر چک لیست کنترل کیفی فرایند تولید روغن واحد روغن کشی</t>
  </si>
  <si>
    <t xml:space="preserve">99610247</t>
  </si>
  <si>
    <t xml:space="preserve">دفتر چک لیست کنترل کیفی فرایند تولید روغن واحد تصفیه روغن</t>
  </si>
  <si>
    <t xml:space="preserve">99610248</t>
  </si>
  <si>
    <t xml:space="preserve">دفتر گردش لوازم بسته بندی روغن</t>
  </si>
  <si>
    <t xml:space="preserve">99610249</t>
  </si>
  <si>
    <t xml:space="preserve">دفتر گزارش روزانه واحد تصفیه روغن</t>
  </si>
  <si>
    <t xml:space="preserve">99610251</t>
  </si>
  <si>
    <t xml:space="preserve">فرم آنالیز آب بویلر ، کندانس و کلکتور</t>
  </si>
  <si>
    <t xml:space="preserve">99610256</t>
  </si>
  <si>
    <t xml:space="preserve">دفتر گزارش تولید روزانه</t>
  </si>
  <si>
    <t xml:space="preserve">99610260</t>
  </si>
  <si>
    <t xml:space="preserve">دفتر گزارش آنالیز نهایی محصولات نشاسته های اصلاح شده</t>
  </si>
  <si>
    <t xml:space="preserve">99610264</t>
  </si>
  <si>
    <t xml:space="preserve">دفتر گزارش تولید روزانه نشاسته پریژلاتینه</t>
  </si>
  <si>
    <t xml:space="preserve">99610265</t>
  </si>
  <si>
    <r>
      <rPr>
        <sz val="10"/>
        <rFont val="FreeSans"/>
        <family val="2"/>
      </rPr>
      <t xml:space="preserve">دفتر اندیکاتور </t>
    </r>
    <r>
      <rPr>
        <sz val="10"/>
        <rFont val="Vazirmatn"/>
        <family val="0"/>
        <charset val="1"/>
      </rPr>
      <t xml:space="preserve">200 </t>
    </r>
    <r>
      <rPr>
        <sz val="10"/>
        <rFont val="FreeSans"/>
        <family val="2"/>
      </rPr>
      <t xml:space="preserve">برگی</t>
    </r>
  </si>
  <si>
    <t xml:space="preserve">99610266</t>
  </si>
  <si>
    <r>
      <rPr>
        <sz val="10"/>
        <rFont val="FreeSans"/>
        <family val="2"/>
      </rPr>
      <t xml:space="preserve">دفتر گزارش مایع سازی   </t>
    </r>
    <r>
      <rPr>
        <sz val="10"/>
        <rFont val="Vazirmatn"/>
        <family val="0"/>
        <charset val="1"/>
      </rPr>
      <t xml:space="preserve">Lique Faction Report</t>
    </r>
  </si>
  <si>
    <t xml:space="preserve">99610267</t>
  </si>
  <si>
    <r>
      <rPr>
        <sz val="10"/>
        <rFont val="FreeSans"/>
        <family val="2"/>
      </rPr>
      <t xml:space="preserve">دفتر گزارش رنگبری </t>
    </r>
    <r>
      <rPr>
        <sz val="10"/>
        <rFont val="Vazirmatn"/>
        <family val="0"/>
        <charset val="1"/>
      </rPr>
      <t xml:space="preserve">Decoloration Report</t>
    </r>
  </si>
  <si>
    <t xml:space="preserve">99610268</t>
  </si>
  <si>
    <r>
      <rPr>
        <sz val="10"/>
        <rFont val="FreeSans"/>
        <family val="2"/>
      </rPr>
      <t xml:space="preserve">دفتر گزارش  </t>
    </r>
    <r>
      <rPr>
        <sz val="10"/>
        <rFont val="Vazirmatn"/>
        <family val="0"/>
        <charset val="1"/>
      </rPr>
      <t xml:space="preserve">Protein Filtration Report</t>
    </r>
  </si>
  <si>
    <t xml:space="preserve">99610269</t>
  </si>
  <si>
    <r>
      <rPr>
        <sz val="10"/>
        <rFont val="FreeSans"/>
        <family val="2"/>
      </rPr>
      <t xml:space="preserve">دفتر گزارش واحد </t>
    </r>
    <r>
      <rPr>
        <sz val="10"/>
        <rFont val="Vazirmatn"/>
        <family val="0"/>
        <charset val="1"/>
      </rPr>
      <t xml:space="preserve">RO</t>
    </r>
  </si>
  <si>
    <t xml:space="preserve">99610270</t>
  </si>
  <si>
    <r>
      <rPr>
        <sz val="10"/>
        <rFont val="FreeSans"/>
        <family val="2"/>
      </rPr>
      <t xml:space="preserve">دفتر گزارش ساکاری </t>
    </r>
    <r>
      <rPr>
        <sz val="10"/>
        <rFont val="Vazirmatn"/>
        <family val="0"/>
        <charset val="1"/>
      </rPr>
      <t xml:space="preserve">Saccharification Report</t>
    </r>
  </si>
  <si>
    <t xml:space="preserve">99610272</t>
  </si>
  <si>
    <t xml:space="preserve">دفتر گزارش پروتئین گیری</t>
  </si>
  <si>
    <t xml:space="preserve">99610274</t>
  </si>
  <si>
    <t xml:space="preserve">دفتر گزارش شستشو و احیای ستونهای مبادله یونی</t>
  </si>
  <si>
    <t xml:space="preserve">99610276</t>
  </si>
  <si>
    <t xml:space="preserve">دفتر گزارش واحد رنگبری</t>
  </si>
  <si>
    <t xml:space="preserve">99610279</t>
  </si>
  <si>
    <t xml:space="preserve">فرم چک لیست بازدید ماهیانه انبار</t>
  </si>
  <si>
    <t xml:space="preserve">99610280</t>
  </si>
  <si>
    <t xml:space="preserve">فرم چک لیست بازرسی ماهیانه ایمنی لیفتراک</t>
  </si>
  <si>
    <t xml:space="preserve">99610282</t>
  </si>
  <si>
    <t xml:space="preserve">فرم مجوز آژانس</t>
  </si>
  <si>
    <t xml:space="preserve">99610284</t>
  </si>
  <si>
    <t xml:space="preserve">سر رسید بزرگ</t>
  </si>
  <si>
    <t xml:space="preserve">99610286</t>
  </si>
  <si>
    <t xml:space="preserve">فرم گزارش محصول تحویلی واحد نشاسته به انبار</t>
  </si>
  <si>
    <t xml:space="preserve">99610288</t>
  </si>
  <si>
    <t xml:space="preserve">فرم بازدید هفتگی از تجهیزات و نظافت و بهداشت ساختمان فروکتوز</t>
  </si>
  <si>
    <t xml:space="preserve">99610291</t>
  </si>
  <si>
    <t xml:space="preserve">فرم بازدید هفتگی از تجهیزات و نظافت و بهداشت روغن کشی</t>
  </si>
  <si>
    <t xml:space="preserve">99610292</t>
  </si>
  <si>
    <t xml:space="preserve">فرم بازدید هفتگی از تجهیزات و نظافت و بهداشت واحد تصفیه روغن</t>
  </si>
  <si>
    <t xml:space="preserve">99610295</t>
  </si>
  <si>
    <t xml:space="preserve">فرم محصولات تحویلی واحدنشاسته اصلاح شده به انبار</t>
  </si>
  <si>
    <t xml:space="preserve">99610296</t>
  </si>
  <si>
    <r>
      <rPr>
        <sz val="10"/>
        <rFont val="FreeSans"/>
        <family val="2"/>
      </rPr>
      <t xml:space="preserve">فرم گزارش گلوکوزهای تولیدی درام و اواپراتور </t>
    </r>
    <r>
      <rPr>
        <sz val="10"/>
        <rFont val="Vazirmatn"/>
        <family val="0"/>
        <charset val="1"/>
      </rPr>
      <t xml:space="preserve">- </t>
    </r>
    <r>
      <rPr>
        <sz val="10"/>
        <rFont val="FreeSans"/>
        <family val="2"/>
      </rPr>
      <t xml:space="preserve">آنزیمی</t>
    </r>
  </si>
  <si>
    <t xml:space="preserve">99610300</t>
  </si>
  <si>
    <t xml:space="preserve">فرم نیازسنجی آموزش کارکنان</t>
  </si>
  <si>
    <t xml:space="preserve">99610303</t>
  </si>
  <si>
    <t xml:space="preserve">فرم ورود و خروج مدیران</t>
  </si>
  <si>
    <t xml:space="preserve">99610304</t>
  </si>
  <si>
    <t xml:space="preserve">فرم جابجا یی اموال</t>
  </si>
  <si>
    <t xml:space="preserve">99610307</t>
  </si>
  <si>
    <t xml:space="preserve">فرم صورت اجناس خریداری شده تحویل انبار</t>
  </si>
  <si>
    <t xml:space="preserve">99610309</t>
  </si>
  <si>
    <t xml:space="preserve">فرم سند پرداخت</t>
  </si>
  <si>
    <t xml:space="preserve">99610310</t>
  </si>
  <si>
    <t xml:space="preserve">فرم گزارش و آنالیز حادثه</t>
  </si>
  <si>
    <t xml:space="preserve">99610314</t>
  </si>
  <si>
    <t xml:space="preserve">فرم اعلامیه رسید کالا</t>
  </si>
  <si>
    <t xml:space="preserve">99610317</t>
  </si>
  <si>
    <t xml:space="preserve">فرم گزارش ورود و خروج ساعتی</t>
  </si>
  <si>
    <t xml:space="preserve">99610321</t>
  </si>
  <si>
    <t xml:space="preserve">فرم رسید مرجوعی از انبار محصول به تولید</t>
  </si>
  <si>
    <t xml:space="preserve">99610322</t>
  </si>
  <si>
    <t xml:space="preserve">فرم برگ نتایج آزمون گلوکوز</t>
  </si>
  <si>
    <t xml:space="preserve">99610323</t>
  </si>
  <si>
    <t xml:space="preserve">فرم آنالیز  نشاسته   در  محصولات</t>
  </si>
  <si>
    <t xml:space="preserve">99610325</t>
  </si>
  <si>
    <t xml:space="preserve">فرم گزارش روزانه آزمایشگاه</t>
  </si>
  <si>
    <t xml:space="preserve">99610327</t>
  </si>
  <si>
    <t xml:space="preserve">فرم گزارش آزمایشگاه میکروبیولوژی نتایج آزمون گلوتن</t>
  </si>
  <si>
    <t xml:space="preserve">99610333</t>
  </si>
  <si>
    <t xml:space="preserve">فرم گزارش آزمون نشاسته خوراکی</t>
  </si>
  <si>
    <t xml:space="preserve">99610341</t>
  </si>
  <si>
    <t xml:space="preserve">فرم گردش لوازم بسته بندی روغن</t>
  </si>
  <si>
    <t xml:space="preserve">99610343</t>
  </si>
  <si>
    <t xml:space="preserve">فرم درخواست کار از آزمایشگاه</t>
  </si>
  <si>
    <t xml:space="preserve">99610355</t>
  </si>
  <si>
    <t xml:space="preserve">فرم اعلام وضعیت روغن خام و تصفیه</t>
  </si>
  <si>
    <t xml:space="preserve">99610356</t>
  </si>
  <si>
    <t xml:space="preserve">فرم آنالیز مواد اولیه و ملزومات بسته بندی</t>
  </si>
  <si>
    <t xml:space="preserve">99610357</t>
  </si>
  <si>
    <t xml:space="preserve">فرم خریدسوخت</t>
  </si>
  <si>
    <t xml:space="preserve">99610358</t>
  </si>
  <si>
    <t xml:space="preserve">فرم خروج خودرو</t>
  </si>
  <si>
    <t xml:space="preserve">99610359</t>
  </si>
  <si>
    <t xml:space="preserve">فرم  تائید کیفیت  مواد  اولیه</t>
  </si>
  <si>
    <t xml:space="preserve">99610361</t>
  </si>
  <si>
    <t xml:space="preserve">فرم درخواست کالا از انبار</t>
  </si>
  <si>
    <t xml:space="preserve">99610362</t>
  </si>
  <si>
    <t xml:space="preserve">فرم درخواست خرید کالا</t>
  </si>
  <si>
    <t xml:space="preserve">99610363</t>
  </si>
  <si>
    <t xml:space="preserve">فرم درخواست کار از واحد</t>
  </si>
  <si>
    <t xml:space="preserve">99610364</t>
  </si>
  <si>
    <t xml:space="preserve">فرم خروج اموال و ابزار و قطعات تعمیری</t>
  </si>
  <si>
    <t xml:space="preserve">99610365</t>
  </si>
  <si>
    <t xml:space="preserve">فرم مجوز اضافه کاری</t>
  </si>
  <si>
    <t xml:space="preserve">99610369</t>
  </si>
  <si>
    <t xml:space="preserve">فرم درخواست انتقال نیرو</t>
  </si>
  <si>
    <t xml:space="preserve">99610370</t>
  </si>
  <si>
    <t xml:space="preserve">فرم هزینه های انجام شده</t>
  </si>
  <si>
    <t xml:space="preserve">99610373</t>
  </si>
  <si>
    <t xml:space="preserve">فرم گزارش روزانه اواپراتور</t>
  </si>
  <si>
    <t xml:space="preserve">99610376</t>
  </si>
  <si>
    <r>
      <rPr>
        <sz val="10"/>
        <rFont val="FreeSans"/>
        <family val="2"/>
      </rPr>
      <t xml:space="preserve">فرم گزارش روزانه آب استیپ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گلوتن مایع </t>
    </r>
    <r>
      <rPr>
        <sz val="10"/>
        <rFont val="Vazirmatn"/>
        <family val="0"/>
        <charset val="1"/>
      </rPr>
      <t xml:space="preserve">)</t>
    </r>
  </si>
  <si>
    <t xml:space="preserve">99610377</t>
  </si>
  <si>
    <t xml:space="preserve">فرم برگ استعلام بهاء</t>
  </si>
  <si>
    <t xml:space="preserve">99610378</t>
  </si>
  <si>
    <t xml:space="preserve">فرم پرسشنامه همکاری</t>
  </si>
  <si>
    <t xml:space="preserve">99610384</t>
  </si>
  <si>
    <t xml:space="preserve">فرم لیبل شناسائی اجناس</t>
  </si>
  <si>
    <t xml:space="preserve">99610391</t>
  </si>
  <si>
    <t xml:space="preserve">فرم چک لیست کنترل کیفیت خط تولید</t>
  </si>
  <si>
    <t xml:space="preserve">99610392</t>
  </si>
  <si>
    <r>
      <rPr>
        <sz val="10"/>
        <rFont val="FreeSans"/>
        <family val="2"/>
      </rPr>
      <t xml:space="preserve">فرم یاداشت </t>
    </r>
    <r>
      <rPr>
        <sz val="10"/>
        <rFont val="Vazirmatn"/>
        <family val="0"/>
        <charset val="1"/>
      </rPr>
      <t xml:space="preserve">A5</t>
    </r>
  </si>
  <si>
    <t xml:space="preserve">99610393</t>
  </si>
  <si>
    <r>
      <rPr>
        <sz val="10"/>
        <rFont val="FreeSans"/>
        <family val="2"/>
      </rPr>
      <t xml:space="preserve">فرم یاداشت </t>
    </r>
    <r>
      <rPr>
        <sz val="10"/>
        <rFont val="Vazirmatn"/>
        <family val="0"/>
        <charset val="1"/>
      </rPr>
      <t xml:space="preserve">A4</t>
    </r>
  </si>
  <si>
    <t xml:space="preserve">99610397</t>
  </si>
  <si>
    <t xml:space="preserve">فرم چک لیست بارگیری گلوکوز</t>
  </si>
  <si>
    <t xml:space="preserve">99610399</t>
  </si>
  <si>
    <t xml:space="preserve">فرم تعیین محل تخلیه ذرت و آنالیز</t>
  </si>
  <si>
    <t xml:space="preserve">99610401</t>
  </si>
  <si>
    <t xml:space="preserve">دفتر گزارش روزانه</t>
  </si>
  <si>
    <t xml:space="preserve">99610405</t>
  </si>
  <si>
    <t xml:space="preserve">دفتر گزارش کار سیلوها</t>
  </si>
  <si>
    <t xml:space="preserve">99610406</t>
  </si>
  <si>
    <t xml:space="preserve">دفتر ثبت فروش محصولات</t>
  </si>
  <si>
    <t xml:space="preserve">99610408</t>
  </si>
  <si>
    <t xml:space="preserve">دفتر ورود و خروج  کالا</t>
  </si>
  <si>
    <t xml:space="preserve">99610409</t>
  </si>
  <si>
    <t xml:space="preserve">دفتر گزارش تولید چسب</t>
  </si>
  <si>
    <t xml:space="preserve">99610410</t>
  </si>
  <si>
    <t xml:space="preserve">دفتر نگهبانی شرکت</t>
  </si>
  <si>
    <t xml:space="preserve">99610412</t>
  </si>
  <si>
    <t xml:space="preserve">دفتر گزارش واحد خشکن</t>
  </si>
  <si>
    <t xml:space="preserve">99610413</t>
  </si>
  <si>
    <t xml:space="preserve">دفتر گزارش بسته بندی گلوکوز</t>
  </si>
  <si>
    <t xml:space="preserve">99610416</t>
  </si>
  <si>
    <t xml:space="preserve">دفتر گزارش واحد بسته بندی محصولات فرعی</t>
  </si>
  <si>
    <t xml:space="preserve">99610419</t>
  </si>
  <si>
    <t xml:space="preserve">دفتر گزارش  شیفت</t>
  </si>
  <si>
    <t xml:space="preserve">99610448</t>
  </si>
  <si>
    <r>
      <rPr>
        <sz val="10"/>
        <rFont val="FreeSans"/>
        <family val="2"/>
      </rPr>
      <t xml:space="preserve">کاور پلاستیکی  </t>
    </r>
    <r>
      <rPr>
        <sz val="10"/>
        <rFont val="Vazirmatn"/>
        <family val="0"/>
        <charset val="1"/>
      </rPr>
      <t xml:space="preserve">A4</t>
    </r>
  </si>
  <si>
    <t xml:space="preserve">99610456</t>
  </si>
  <si>
    <t xml:space="preserve">فرم تقاضای ورود اطلاعات</t>
  </si>
  <si>
    <t xml:space="preserve">99610457</t>
  </si>
  <si>
    <t xml:space="preserve">فرم تقاضای تعویض شیفت</t>
  </si>
  <si>
    <t xml:space="preserve">99610459</t>
  </si>
  <si>
    <t xml:space="preserve">فرم درخواست نیرو</t>
  </si>
  <si>
    <t xml:space="preserve">99610463</t>
  </si>
  <si>
    <t xml:space="preserve">پاکت نامه</t>
  </si>
  <si>
    <t xml:space="preserve">99610465</t>
  </si>
  <si>
    <t xml:space="preserve">پاکت نامه مقوائی کوچک</t>
  </si>
  <si>
    <t xml:space="preserve">99610468</t>
  </si>
  <si>
    <t xml:space="preserve">فرم کنترل واحد نشاسته سازی</t>
  </si>
  <si>
    <t xml:space="preserve">99610469</t>
  </si>
  <si>
    <t xml:space="preserve">پاکت نامه مقوائی بزرگ</t>
  </si>
  <si>
    <t xml:space="preserve">99610472</t>
  </si>
  <si>
    <t xml:space="preserve">فرم آموزش حین کار</t>
  </si>
  <si>
    <t xml:space="preserve">99610473</t>
  </si>
  <si>
    <t xml:space="preserve">پوشه کاغذی فایل</t>
  </si>
  <si>
    <t xml:space="preserve">99610476</t>
  </si>
  <si>
    <t xml:space="preserve">پوشه پلاستیکی دکمه دار</t>
  </si>
  <si>
    <t xml:space="preserve">99610477</t>
  </si>
  <si>
    <t xml:space="preserve">پوشه پلاستیکی معمولی</t>
  </si>
  <si>
    <t xml:space="preserve">99610488</t>
  </si>
  <si>
    <t xml:space="preserve">فرم گزارش فرایند استیپ</t>
  </si>
  <si>
    <t xml:space="preserve">99610502</t>
  </si>
  <si>
    <t xml:space="preserve">نوار چسب شیشه ای پهن</t>
  </si>
  <si>
    <t xml:space="preserve">99610504</t>
  </si>
  <si>
    <t xml:space="preserve">نوار چسب کاغذی</t>
  </si>
  <si>
    <t xml:space="preserve">99610505</t>
  </si>
  <si>
    <r>
      <rPr>
        <sz val="10"/>
        <rFont val="FreeSans"/>
        <family val="2"/>
      </rPr>
      <t xml:space="preserve">کاغذ کلاسه </t>
    </r>
    <r>
      <rPr>
        <sz val="10"/>
        <rFont val="Vazirmatn"/>
        <family val="0"/>
        <charset val="1"/>
      </rPr>
      <t xml:space="preserve">A4 </t>
    </r>
    <r>
      <rPr>
        <sz val="10"/>
        <rFont val="FreeSans"/>
        <family val="2"/>
      </rPr>
      <t xml:space="preserve">ابر و باد</t>
    </r>
  </si>
  <si>
    <t xml:space="preserve">99610511</t>
  </si>
  <si>
    <t xml:space="preserve">بر چسب</t>
  </si>
  <si>
    <t xml:space="preserve">99610512</t>
  </si>
  <si>
    <t xml:space="preserve">برگ یادداشت برچسبی</t>
  </si>
  <si>
    <t xml:space="preserve">99610518</t>
  </si>
  <si>
    <t xml:space="preserve">مجوز صدور فیش غذای مهمان</t>
  </si>
  <si>
    <t xml:space="preserve">99610519</t>
  </si>
  <si>
    <r>
      <rPr>
        <sz val="10"/>
        <rFont val="FreeSans"/>
        <family val="2"/>
      </rPr>
      <t xml:space="preserve">برگه سر برگ </t>
    </r>
    <r>
      <rPr>
        <sz val="10"/>
        <rFont val="Vazirmatn"/>
        <family val="0"/>
        <charset val="1"/>
      </rPr>
      <t xml:space="preserve">A4 </t>
    </r>
    <r>
      <rPr>
        <sz val="10"/>
        <rFont val="FreeSans"/>
        <family val="2"/>
      </rPr>
      <t xml:space="preserve">با آرم گلوکوزان</t>
    </r>
  </si>
  <si>
    <t xml:space="preserve">99610520</t>
  </si>
  <si>
    <r>
      <rPr>
        <sz val="10"/>
        <rFont val="FreeSans"/>
        <family val="2"/>
      </rPr>
      <t xml:space="preserve">برگه سر برگ </t>
    </r>
    <r>
      <rPr>
        <sz val="10"/>
        <rFont val="Vazirmatn"/>
        <family val="0"/>
        <charset val="1"/>
      </rPr>
      <t xml:space="preserve">A5 </t>
    </r>
    <r>
      <rPr>
        <sz val="10"/>
        <rFont val="FreeSans"/>
        <family val="2"/>
      </rPr>
      <t xml:space="preserve">با آرم گلوکوزان</t>
    </r>
  </si>
  <si>
    <t xml:space="preserve">99610522</t>
  </si>
  <si>
    <t xml:space="preserve">فرم چک لیست بازدید ماهیانه از فایر باکس ها</t>
  </si>
  <si>
    <t xml:space="preserve">99610525</t>
  </si>
  <si>
    <t xml:space="preserve">فرم اقدامات مرتبط با جابجایی درون سازمانی</t>
  </si>
  <si>
    <t xml:space="preserve">99610532</t>
  </si>
  <si>
    <t xml:space="preserve">اتیکت پوشه</t>
  </si>
  <si>
    <t xml:space="preserve">99610533</t>
  </si>
  <si>
    <t xml:space="preserve">کاغذ پرینتر ژتون غذا</t>
  </si>
  <si>
    <t xml:space="preserve">99610537</t>
  </si>
  <si>
    <t xml:space="preserve">برچسب شماره دار</t>
  </si>
  <si>
    <t xml:space="preserve">99610542</t>
  </si>
  <si>
    <r>
      <rPr>
        <sz val="10"/>
        <rFont val="FreeSans"/>
        <family val="2"/>
      </rPr>
      <t xml:space="preserve">کاغذ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برگه </t>
    </r>
    <r>
      <rPr>
        <sz val="10"/>
        <rFont val="Vazirmatn"/>
        <family val="0"/>
        <charset val="1"/>
      </rPr>
      <t xml:space="preserve">) </t>
    </r>
    <r>
      <rPr>
        <sz val="10"/>
        <rFont val="FreeSans"/>
        <family val="2"/>
      </rPr>
      <t xml:space="preserve">یادداشت  </t>
    </r>
    <r>
      <rPr>
        <sz val="10"/>
        <rFont val="Vazirmatn"/>
        <family val="0"/>
        <charset val="1"/>
      </rPr>
      <t xml:space="preserve">A5</t>
    </r>
  </si>
  <si>
    <t xml:space="preserve">99610544</t>
  </si>
  <si>
    <r>
      <rPr>
        <sz val="10"/>
        <rFont val="FreeSans"/>
        <family val="2"/>
      </rPr>
      <t xml:space="preserve">کاور پلاستیکی  </t>
    </r>
    <r>
      <rPr>
        <sz val="10"/>
        <rFont val="Vazirmatn"/>
        <family val="0"/>
        <charset val="1"/>
      </rPr>
      <t xml:space="preserve">A5</t>
    </r>
  </si>
  <si>
    <t xml:space="preserve">99610545</t>
  </si>
  <si>
    <t xml:space="preserve">فرم نتایج آزمون شربت با فروکتوز بالا</t>
  </si>
  <si>
    <t xml:space="preserve">99610546</t>
  </si>
  <si>
    <r>
      <rPr>
        <sz val="10"/>
        <rFont val="FreeSans"/>
        <family val="2"/>
      </rPr>
      <t xml:space="preserve">فرم نتایج آزمون آب های شستشو و </t>
    </r>
    <r>
      <rPr>
        <sz val="10"/>
        <rFont val="Vazirmatn"/>
        <family val="0"/>
        <charset val="1"/>
      </rPr>
      <t xml:space="preserve">CIP</t>
    </r>
  </si>
  <si>
    <t xml:space="preserve">99610547</t>
  </si>
  <si>
    <r>
      <rPr>
        <sz val="10"/>
        <rFont val="FreeSans"/>
        <family val="2"/>
      </rPr>
      <t xml:space="preserve">فرم درخواست کار از واحد </t>
    </r>
    <r>
      <rPr>
        <sz val="10"/>
        <rFont val="Vazirmatn"/>
        <family val="0"/>
        <charset val="1"/>
      </rPr>
      <t xml:space="preserve">IT</t>
    </r>
  </si>
  <si>
    <t xml:space="preserve">99610548</t>
  </si>
  <si>
    <t xml:space="preserve">فرم گزارش واحد فیلتر پرس</t>
  </si>
  <si>
    <t xml:space="preserve">99610549</t>
  </si>
  <si>
    <t xml:space="preserve">فرم گزارش عملکرد بخش ذخایر و بارگیری انواع محصولات گلوکوز و فروکتوز</t>
  </si>
  <si>
    <t xml:space="preserve">99610550</t>
  </si>
  <si>
    <t xml:space="preserve">فرم گزارش محصولات نهایی و قرنطینه</t>
  </si>
  <si>
    <t xml:space="preserve">99610555</t>
  </si>
  <si>
    <t xml:space="preserve">فرم برگه تعهد حقوقی</t>
  </si>
  <si>
    <t xml:space="preserve">99610556</t>
  </si>
  <si>
    <t xml:space="preserve">فرم دریافت ضمانت نامه</t>
  </si>
  <si>
    <t xml:space="preserve">99610559</t>
  </si>
  <si>
    <t xml:space="preserve">فرم گزارش گلوکوزهای تولیدی و خروجی از کارخانه</t>
  </si>
  <si>
    <t xml:space="preserve">99610561</t>
  </si>
  <si>
    <r>
      <rPr>
        <sz val="10"/>
        <rFont val="FreeSans"/>
        <family val="2"/>
      </rPr>
      <t xml:space="preserve">دفتر سیمی رنگی  </t>
    </r>
    <r>
      <rPr>
        <sz val="10"/>
        <rFont val="Vazirmatn"/>
        <family val="0"/>
        <charset val="1"/>
      </rPr>
      <t xml:space="preserve">A4</t>
    </r>
  </si>
  <si>
    <t xml:space="preserve">99610562</t>
  </si>
  <si>
    <t xml:space="preserve">فرم اطلاع رسانی ظروف برگشتی</t>
  </si>
  <si>
    <t xml:space="preserve">99610563</t>
  </si>
  <si>
    <t xml:space="preserve">دفتر ثبت ورود کالا به شرکت</t>
  </si>
  <si>
    <t xml:space="preserve">99610564</t>
  </si>
  <si>
    <t xml:space="preserve">دفتر ورود ذرت به شرکت</t>
  </si>
  <si>
    <t xml:space="preserve">99610565</t>
  </si>
  <si>
    <t xml:space="preserve">فرم کارنامه ایمنی و بهداشت پرسنل</t>
  </si>
  <si>
    <t xml:space="preserve">99610566</t>
  </si>
  <si>
    <t xml:space="preserve">فرم چک لیست بازدید ماهیانه از کپسول های اطفاء حریق</t>
  </si>
  <si>
    <t xml:space="preserve">99610567</t>
  </si>
  <si>
    <t xml:space="preserve">فرم بازدید هفتگی ایمنی و بهداشت شغلی</t>
  </si>
  <si>
    <t xml:space="preserve">99610568</t>
  </si>
  <si>
    <t xml:space="preserve">فرم چک لیست هفتگی ایمنی سالن</t>
  </si>
  <si>
    <t xml:space="preserve">99610569</t>
  </si>
  <si>
    <t xml:space="preserve">فرم شروع به کار و رعایت موارد ایمنی و بهداشتی پیمانکاران</t>
  </si>
  <si>
    <t xml:space="preserve">99610570</t>
  </si>
  <si>
    <t xml:space="preserve">فرم کسر از صورت وضعیت پیمانکاران</t>
  </si>
  <si>
    <t xml:space="preserve">99610572</t>
  </si>
  <si>
    <r>
      <rPr>
        <sz val="10"/>
        <rFont val="FreeSans"/>
        <family val="2"/>
      </rPr>
      <t xml:space="preserve">دفتر فرم کنترل تولید محصول </t>
    </r>
    <r>
      <rPr>
        <sz val="10"/>
        <rFont val="Vazirmatn"/>
        <family val="0"/>
        <charset val="1"/>
      </rPr>
      <t xml:space="preserve">F30 </t>
    </r>
    <r>
      <rPr>
        <sz val="10"/>
        <rFont val="FreeSans"/>
        <family val="2"/>
      </rPr>
      <t xml:space="preserve">در </t>
    </r>
    <r>
      <rPr>
        <sz val="10"/>
        <rFont val="Vazirmatn"/>
        <family val="0"/>
        <charset val="1"/>
      </rPr>
      <t xml:space="preserve">MIXING</t>
    </r>
  </si>
  <si>
    <t xml:space="preserve">99610573</t>
  </si>
  <si>
    <t xml:space="preserve">فرم گزارش واحد بوجاری</t>
  </si>
  <si>
    <t xml:space="preserve">99610574</t>
  </si>
  <si>
    <t xml:space="preserve">فرم گزارش خلاصه پاسخ استعلام ها</t>
  </si>
  <si>
    <t xml:space="preserve">99610575</t>
  </si>
  <si>
    <r>
      <rPr>
        <sz val="10"/>
        <rFont val="FreeSans"/>
        <family val="2"/>
      </rPr>
      <t xml:space="preserve">فرم جدول زمانبندی انجام فرایند مناقصه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مزایده</t>
    </r>
  </si>
  <si>
    <t xml:space="preserve">99610576</t>
  </si>
  <si>
    <r>
      <rPr>
        <sz val="10"/>
        <rFont val="FreeSans"/>
        <family val="2"/>
      </rPr>
      <t xml:space="preserve">فرم اقرار نامه و تعهد نامه و محرمانگی اطلاعات و جبران خسارت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مدیران </t>
    </r>
    <r>
      <rPr>
        <sz val="10"/>
        <rFont val="Vazirmatn"/>
        <family val="0"/>
        <charset val="1"/>
      </rPr>
      <t xml:space="preserve">)</t>
    </r>
  </si>
  <si>
    <t xml:space="preserve">99610577</t>
  </si>
  <si>
    <r>
      <rPr>
        <sz val="10"/>
        <rFont val="FreeSans"/>
        <family val="2"/>
      </rPr>
      <t xml:space="preserve">فرم اقرار نامه و تعهد نامه و محرمانگی اطلاعات و جبران خسارت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اعضای کمیسیون </t>
    </r>
    <r>
      <rPr>
        <sz val="10"/>
        <rFont val="Vazirmatn"/>
        <family val="0"/>
        <charset val="1"/>
      </rPr>
      <t xml:space="preserve">)</t>
    </r>
  </si>
  <si>
    <t xml:space="preserve">99610578</t>
  </si>
  <si>
    <r>
      <rPr>
        <sz val="10"/>
        <rFont val="FreeSans"/>
        <family val="2"/>
      </rPr>
      <t xml:space="preserve">فرم دعوت به مناقصه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مزایده </t>
    </r>
    <r>
      <rPr>
        <sz val="10"/>
        <rFont val="Vazirmatn"/>
        <family val="0"/>
        <charset val="1"/>
      </rPr>
      <t xml:space="preserve">( 3 </t>
    </r>
    <r>
      <rPr>
        <sz val="10"/>
        <rFont val="FreeSans"/>
        <family val="2"/>
      </rPr>
      <t xml:space="preserve">برگی </t>
    </r>
    <r>
      <rPr>
        <sz val="10"/>
        <rFont val="Vazirmatn"/>
        <family val="0"/>
        <charset val="1"/>
      </rPr>
      <t xml:space="preserve">)</t>
    </r>
  </si>
  <si>
    <t xml:space="preserve">99610579</t>
  </si>
  <si>
    <t xml:space="preserve">فرم آموزش کار آموزان</t>
  </si>
  <si>
    <t xml:space="preserve">99610580</t>
  </si>
  <si>
    <t xml:space="preserve">دفتر ثبت تحویل دارو و خدمات کمک های اولیه</t>
  </si>
  <si>
    <t xml:space="preserve">ایمنی بهداشت</t>
  </si>
  <si>
    <t xml:space="preserve">99610582</t>
  </si>
  <si>
    <r>
      <rPr>
        <sz val="10"/>
        <rFont val="FreeSans"/>
        <family val="2"/>
      </rPr>
      <t xml:space="preserve">پاکت پستی حبابدار  </t>
    </r>
    <r>
      <rPr>
        <sz val="10"/>
        <rFont val="Vazirmatn"/>
        <family val="0"/>
        <charset val="1"/>
      </rPr>
      <t xml:space="preserve">A4  239mm*324mm</t>
    </r>
  </si>
  <si>
    <t xml:space="preserve">99610583</t>
  </si>
  <si>
    <r>
      <rPr>
        <sz val="10"/>
        <rFont val="FreeSans"/>
        <family val="2"/>
      </rPr>
      <t xml:space="preserve">پاکت پستی حبابدار  </t>
    </r>
    <r>
      <rPr>
        <sz val="10"/>
        <rFont val="Vazirmatn"/>
        <family val="0"/>
        <charset val="1"/>
      </rPr>
      <t xml:space="preserve">A3  305mm*458mm</t>
    </r>
  </si>
  <si>
    <t xml:space="preserve">99610585</t>
  </si>
  <si>
    <t xml:space="preserve">فرم بازدید هفتگی نظافت واحد اکسید</t>
  </si>
  <si>
    <t xml:space="preserve">99610586</t>
  </si>
  <si>
    <t xml:space="preserve">فرم بازدید هفتگی نظافت واحد پریژل</t>
  </si>
  <si>
    <t xml:space="preserve">99610587</t>
  </si>
  <si>
    <t xml:space="preserve">فرم بازدید هفتگی نظافت سالن چسب</t>
  </si>
  <si>
    <t xml:space="preserve">99610588</t>
  </si>
  <si>
    <r>
      <rPr>
        <sz val="10"/>
        <rFont val="FreeSans"/>
        <family val="2"/>
      </rPr>
      <t xml:space="preserve">فرم بازدید هفتگی نظافت واحد </t>
    </r>
    <r>
      <rPr>
        <sz val="10"/>
        <rFont val="Vazirmatn"/>
        <family val="0"/>
        <charset val="1"/>
      </rPr>
      <t xml:space="preserve">HFCS</t>
    </r>
  </si>
  <si>
    <t xml:space="preserve">99610589</t>
  </si>
  <si>
    <t xml:space="preserve">فرم بازدید هفتگی نظافت واحد گلوکوز اسیدی</t>
  </si>
  <si>
    <t xml:space="preserve">99610590</t>
  </si>
  <si>
    <t xml:space="preserve">فرم بازدید هفتگی نظافت واحد بسته بندی و بارگیری</t>
  </si>
  <si>
    <t xml:space="preserve">99610591</t>
  </si>
  <si>
    <t xml:space="preserve">فرم گزارش کارکرد اواپراتور گلوتن مایع</t>
  </si>
  <si>
    <t xml:space="preserve">99610592</t>
  </si>
  <si>
    <r>
      <rPr>
        <sz val="10"/>
        <rFont val="FreeSans"/>
        <family val="2"/>
      </rPr>
      <t xml:space="preserve">فرم گزارش واحد بسته بندی گلوکوز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فروکتوز</t>
    </r>
  </si>
  <si>
    <t xml:space="preserve">99610593</t>
  </si>
  <si>
    <t xml:space="preserve">ملافه یکبار مصرف</t>
  </si>
  <si>
    <t xml:space="preserve">99610595</t>
  </si>
  <si>
    <r>
      <rPr>
        <sz val="10"/>
        <rFont val="FreeSans"/>
        <family val="2"/>
      </rPr>
      <t xml:space="preserve">پاکت نامه سر برگ دار </t>
    </r>
    <r>
      <rPr>
        <sz val="10"/>
        <rFont val="Vazirmatn"/>
        <family val="0"/>
        <charset val="1"/>
      </rPr>
      <t xml:space="preserve">( 11*22 )</t>
    </r>
  </si>
  <si>
    <t xml:space="preserve">99610598</t>
  </si>
  <si>
    <r>
      <rPr>
        <sz val="10"/>
        <rFont val="FreeSans"/>
        <family val="2"/>
      </rPr>
      <t xml:space="preserve">گالن </t>
    </r>
    <r>
      <rPr>
        <sz val="10"/>
        <rFont val="Vazirmatn"/>
        <family val="0"/>
        <charset val="1"/>
      </rPr>
      <t xml:space="preserve">20 </t>
    </r>
    <r>
      <rPr>
        <sz val="10"/>
        <rFont val="FreeSans"/>
        <family val="2"/>
      </rPr>
      <t xml:space="preserve">لیتری شیردار تفلونی</t>
    </r>
  </si>
  <si>
    <t xml:space="preserve">99610601</t>
  </si>
  <si>
    <r>
      <rPr>
        <sz val="10"/>
        <rFont val="FreeSans"/>
        <family val="2"/>
      </rPr>
      <t xml:space="preserve">زونکن بایگانی </t>
    </r>
    <r>
      <rPr>
        <sz val="10"/>
        <rFont val="Vazirmatn"/>
        <family val="0"/>
        <charset val="1"/>
      </rPr>
      <t xml:space="preserve">A5</t>
    </r>
  </si>
  <si>
    <t xml:space="preserve">99610603</t>
  </si>
  <si>
    <r>
      <rPr>
        <sz val="10"/>
        <rFont val="FreeSans"/>
        <family val="2"/>
      </rPr>
      <t xml:space="preserve">زونکن بایگانی     </t>
    </r>
    <r>
      <rPr>
        <sz val="10"/>
        <rFont val="Vazirmatn"/>
        <family val="0"/>
        <charset val="1"/>
      </rPr>
      <t xml:space="preserve">A4</t>
    </r>
  </si>
  <si>
    <t xml:space="preserve">99610610</t>
  </si>
  <si>
    <r>
      <rPr>
        <sz val="10"/>
        <rFont val="FreeSans"/>
        <family val="2"/>
      </rPr>
      <t xml:space="preserve">مغزی مداد اتود   </t>
    </r>
    <r>
      <rPr>
        <sz val="10"/>
        <rFont val="Vazirmatn"/>
        <family val="0"/>
        <charset val="1"/>
      </rPr>
      <t xml:space="preserve">0/5</t>
    </r>
  </si>
  <si>
    <t xml:space="preserve">99610611</t>
  </si>
  <si>
    <t xml:space="preserve">مداد سیاه</t>
  </si>
  <si>
    <t xml:space="preserve">99610618</t>
  </si>
  <si>
    <t xml:space="preserve">کلیپس کاغذ بزرگ</t>
  </si>
  <si>
    <t xml:space="preserve">99610650</t>
  </si>
  <si>
    <t xml:space="preserve">روانویس آبی</t>
  </si>
  <si>
    <t xml:space="preserve">99610652</t>
  </si>
  <si>
    <t xml:space="preserve">سرویس کامل لوازم التحریر رومیزی</t>
  </si>
  <si>
    <t xml:space="preserve">99610653</t>
  </si>
  <si>
    <t xml:space="preserve">طلق و شیرازه</t>
  </si>
  <si>
    <t xml:space="preserve">99610661</t>
  </si>
  <si>
    <t xml:space="preserve">استامپ کوچک</t>
  </si>
  <si>
    <t xml:space="preserve">99610662</t>
  </si>
  <si>
    <t xml:space="preserve">استامپ متوسط</t>
  </si>
  <si>
    <t xml:space="preserve">99610663</t>
  </si>
  <si>
    <t xml:space="preserve">استامپ بزرگ</t>
  </si>
  <si>
    <t xml:space="preserve">99610680</t>
  </si>
  <si>
    <t xml:space="preserve">جای سنجاق و گیره و سوزن</t>
  </si>
  <si>
    <t xml:space="preserve">99610683</t>
  </si>
  <si>
    <r>
      <rPr>
        <sz val="10"/>
        <rFont val="FreeSans"/>
        <family val="2"/>
      </rPr>
      <t xml:space="preserve">خط کش    </t>
    </r>
    <r>
      <rPr>
        <sz val="10"/>
        <rFont val="Vazirmatn"/>
        <family val="0"/>
        <charset val="1"/>
      </rPr>
      <t xml:space="preserve">50    </t>
    </r>
    <r>
      <rPr>
        <sz val="10"/>
        <rFont val="FreeSans"/>
        <family val="2"/>
      </rPr>
      <t xml:space="preserve">سانتی</t>
    </r>
  </si>
  <si>
    <t xml:space="preserve">99610688</t>
  </si>
  <si>
    <t xml:space="preserve">پونز</t>
  </si>
  <si>
    <t xml:space="preserve">99610691</t>
  </si>
  <si>
    <t xml:space="preserve">جای تقویم</t>
  </si>
  <si>
    <t xml:space="preserve">99610692</t>
  </si>
  <si>
    <t xml:space="preserve">جای چسب خودکار و قلم</t>
  </si>
  <si>
    <t xml:space="preserve">99610701</t>
  </si>
  <si>
    <r>
      <rPr>
        <sz val="10"/>
        <rFont val="FreeSans"/>
        <family val="2"/>
      </rPr>
      <t xml:space="preserve">کارتریج پرینتر  </t>
    </r>
    <r>
      <rPr>
        <sz val="10"/>
        <rFont val="Vazirmatn"/>
        <family val="0"/>
        <charset val="1"/>
      </rPr>
      <t xml:space="preserve">HP 2015</t>
    </r>
  </si>
  <si>
    <t xml:space="preserve">99610702</t>
  </si>
  <si>
    <r>
      <rPr>
        <sz val="10"/>
        <rFont val="FreeSans"/>
        <family val="2"/>
      </rPr>
      <t xml:space="preserve">کارتریج پرینتر  </t>
    </r>
    <r>
      <rPr>
        <sz val="10"/>
        <rFont val="Vazirmatn"/>
        <family val="0"/>
        <charset val="1"/>
      </rPr>
      <t xml:space="preserve">HP 2014</t>
    </r>
  </si>
  <si>
    <t xml:space="preserve">99610703</t>
  </si>
  <si>
    <t xml:space="preserve">جای خودکاری رومیزی</t>
  </si>
  <si>
    <t xml:space="preserve">99610704</t>
  </si>
  <si>
    <r>
      <rPr>
        <sz val="10"/>
        <rFont val="FreeSans"/>
        <family val="2"/>
      </rPr>
      <t xml:space="preserve">وایت برد شیشه ای  </t>
    </r>
    <r>
      <rPr>
        <sz val="10"/>
        <rFont val="Vazirmatn"/>
        <family val="0"/>
        <charset val="1"/>
      </rPr>
      <t xml:space="preserve">1 * 2</t>
    </r>
  </si>
  <si>
    <t xml:space="preserve">99610705</t>
  </si>
  <si>
    <t xml:space="preserve">ابر پول شمار</t>
  </si>
  <si>
    <t xml:space="preserve">99610706</t>
  </si>
  <si>
    <t xml:space="preserve">خط کش شابلون دار</t>
  </si>
  <si>
    <t xml:space="preserve">99610708</t>
  </si>
  <si>
    <t xml:space="preserve">کش پول</t>
  </si>
  <si>
    <t xml:space="preserve">99610716</t>
  </si>
  <si>
    <t xml:space="preserve">جا مایع چشمی</t>
  </si>
  <si>
    <t xml:space="preserve">99610718</t>
  </si>
  <si>
    <t xml:space="preserve">ترولی پذیرایی پلاستیکی</t>
  </si>
  <si>
    <t xml:space="preserve">99610721</t>
  </si>
  <si>
    <r>
      <rPr>
        <sz val="10"/>
        <rFont val="FreeSans"/>
        <family val="2"/>
      </rPr>
      <t xml:space="preserve">پاکت پستی  </t>
    </r>
    <r>
      <rPr>
        <sz val="10"/>
        <rFont val="Vazirmatn"/>
        <family val="0"/>
        <charset val="1"/>
      </rPr>
      <t xml:space="preserve">455*305</t>
    </r>
  </si>
  <si>
    <t xml:space="preserve">99610725</t>
  </si>
  <si>
    <r>
      <rPr>
        <sz val="10"/>
        <rFont val="FreeSans"/>
        <family val="2"/>
      </rPr>
      <t xml:space="preserve">پرینتر  </t>
    </r>
    <r>
      <rPr>
        <sz val="10"/>
        <rFont val="Vazirmatn"/>
        <family val="0"/>
        <charset val="1"/>
      </rPr>
      <t xml:space="preserve">HP 2055 DN</t>
    </r>
  </si>
  <si>
    <t xml:space="preserve">99610731</t>
  </si>
  <si>
    <t xml:space="preserve">تلمبه</t>
  </si>
  <si>
    <t xml:space="preserve">99610733</t>
  </si>
  <si>
    <t xml:space="preserve">کتانی فوتسال</t>
  </si>
  <si>
    <t xml:space="preserve">99610735</t>
  </si>
  <si>
    <t xml:space="preserve">ساق بند  ورزشی</t>
  </si>
  <si>
    <t xml:space="preserve">99610736</t>
  </si>
  <si>
    <t xml:space="preserve">گرم کن ورزشی</t>
  </si>
  <si>
    <t xml:space="preserve">99610737</t>
  </si>
  <si>
    <t xml:space="preserve">باد نما</t>
  </si>
  <si>
    <t xml:space="preserve">99610741</t>
  </si>
  <si>
    <r>
      <rPr>
        <sz val="10"/>
        <rFont val="FreeSans"/>
        <family val="2"/>
      </rPr>
      <t xml:space="preserve">خط کش فلزی  </t>
    </r>
    <r>
      <rPr>
        <sz val="10"/>
        <rFont val="Vazirmatn"/>
        <family val="0"/>
        <charset val="1"/>
      </rPr>
      <t xml:space="preserve">100cm</t>
    </r>
  </si>
  <si>
    <t xml:space="preserve">99610743</t>
  </si>
  <si>
    <t xml:space="preserve">شلوار مدیران</t>
  </si>
  <si>
    <t xml:space="preserve">99610744</t>
  </si>
  <si>
    <t xml:space="preserve">پیراهن مدیران</t>
  </si>
  <si>
    <t xml:space="preserve">99610745</t>
  </si>
  <si>
    <t xml:space="preserve">کاپشن اداری</t>
  </si>
  <si>
    <t xml:space="preserve">99610746</t>
  </si>
  <si>
    <t xml:space="preserve">کفش مجلسی</t>
  </si>
  <si>
    <t xml:space="preserve">99610750</t>
  </si>
  <si>
    <r>
      <rPr>
        <sz val="10"/>
        <rFont val="FreeSans"/>
        <family val="2"/>
      </rPr>
      <t xml:space="preserve">ماژیک آبی </t>
    </r>
    <r>
      <rPr>
        <sz val="10"/>
        <rFont val="Vazirmatn"/>
        <family val="0"/>
        <charset val="1"/>
      </rPr>
      <t xml:space="preserve">PAINT</t>
    </r>
  </si>
  <si>
    <t xml:space="preserve">99610751</t>
  </si>
  <si>
    <r>
      <rPr>
        <sz val="10"/>
        <rFont val="FreeSans"/>
        <family val="2"/>
      </rPr>
      <t xml:space="preserve">کمربند ایمنی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هارنس </t>
    </r>
    <r>
      <rPr>
        <sz val="10"/>
        <rFont val="Vazirmatn"/>
        <family val="0"/>
        <charset val="1"/>
      </rPr>
      <t xml:space="preserve">) PRotekt  P - 60</t>
    </r>
  </si>
  <si>
    <t xml:space="preserve">99610752</t>
  </si>
  <si>
    <t xml:space="preserve">دفتر گزارش روزانه دستگاه اواپراتور</t>
  </si>
  <si>
    <t xml:space="preserve">99610755</t>
  </si>
  <si>
    <t xml:space="preserve">فرم دریافت تاییدیه بسته بندی از واحد کنترل کیفی</t>
  </si>
  <si>
    <t xml:space="preserve">99610756</t>
  </si>
  <si>
    <t xml:space="preserve">دفتر گزارش روزانه واحد</t>
  </si>
  <si>
    <t xml:space="preserve">99610757</t>
  </si>
  <si>
    <r>
      <rPr>
        <sz val="10"/>
        <rFont val="FreeSans"/>
        <family val="2"/>
      </rPr>
      <t xml:space="preserve">کارتریج پرینتر  </t>
    </r>
    <r>
      <rPr>
        <sz val="10"/>
        <rFont val="Vazirmatn"/>
        <family val="0"/>
        <charset val="1"/>
      </rPr>
      <t xml:space="preserve">HP 1320</t>
    </r>
  </si>
  <si>
    <t xml:space="preserve">99610759</t>
  </si>
  <si>
    <t xml:space="preserve">دمپایی جلو بسته</t>
  </si>
  <si>
    <t xml:space="preserve">99610760</t>
  </si>
  <si>
    <r>
      <rPr>
        <sz val="10"/>
        <rFont val="FreeSans"/>
        <family val="2"/>
      </rPr>
      <t xml:space="preserve">بچ سینه سوزنی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آرم آتش نشانی </t>
    </r>
    <r>
      <rPr>
        <sz val="10"/>
        <rFont val="Vazirmatn"/>
        <family val="0"/>
        <charset val="1"/>
      </rPr>
      <t xml:space="preserve">)</t>
    </r>
  </si>
  <si>
    <t xml:space="preserve">99610762</t>
  </si>
  <si>
    <t xml:space="preserve">فرم نتایج آزمون ذرت</t>
  </si>
  <si>
    <t xml:space="preserve">99610763</t>
  </si>
  <si>
    <t xml:space="preserve">فرم نتایج آزمون مالتو دکسترین</t>
  </si>
  <si>
    <t xml:space="preserve">99610764</t>
  </si>
  <si>
    <r>
      <rPr>
        <sz val="10"/>
        <rFont val="FreeSans"/>
        <family val="2"/>
      </rPr>
      <t xml:space="preserve">کارتریج پرینتر </t>
    </r>
    <r>
      <rPr>
        <sz val="10"/>
        <rFont val="Vazirmatn"/>
        <family val="0"/>
        <charset val="1"/>
      </rPr>
      <t xml:space="preserve">( HP 150A ( 117A</t>
    </r>
  </si>
  <si>
    <t xml:space="preserve">99610765</t>
  </si>
  <si>
    <t xml:space="preserve">فرم بازدید هفتگی ایمنی و بهداشتی سرویس های بهداشتی</t>
  </si>
  <si>
    <t xml:space="preserve">99610766</t>
  </si>
  <si>
    <r>
      <rPr>
        <sz val="10"/>
        <rFont val="FreeSans"/>
        <family val="2"/>
      </rPr>
      <t xml:space="preserve">فرم برگه یادداشت سر برگ </t>
    </r>
    <r>
      <rPr>
        <sz val="10"/>
        <rFont val="Vazirmatn"/>
        <family val="0"/>
        <charset val="1"/>
      </rPr>
      <t xml:space="preserve">A5</t>
    </r>
  </si>
  <si>
    <t xml:space="preserve">99610767</t>
  </si>
  <si>
    <r>
      <rPr>
        <sz val="10"/>
        <rFont val="FreeSans"/>
        <family val="2"/>
      </rPr>
      <t xml:space="preserve">فرم برگه یادداشت سر برگ </t>
    </r>
    <r>
      <rPr>
        <sz val="10"/>
        <rFont val="Vazirmatn"/>
        <family val="0"/>
        <charset val="1"/>
      </rPr>
      <t xml:space="preserve">A4</t>
    </r>
  </si>
  <si>
    <t xml:space="preserve">99610768</t>
  </si>
  <si>
    <t xml:space="preserve">شلوار اداری</t>
  </si>
  <si>
    <t xml:space="preserve">99610770</t>
  </si>
  <si>
    <r>
      <rPr>
        <sz val="10"/>
        <rFont val="FreeSans"/>
        <family val="2"/>
      </rPr>
      <t xml:space="preserve">قرص آ دی ژل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جویدنی معده </t>
    </r>
    <r>
      <rPr>
        <sz val="10"/>
        <rFont val="Vazirmatn"/>
        <family val="0"/>
        <charset val="1"/>
      </rPr>
      <t xml:space="preserve">)</t>
    </r>
  </si>
  <si>
    <t xml:space="preserve">99610771</t>
  </si>
  <si>
    <r>
      <rPr>
        <sz val="10"/>
        <rFont val="FreeSans"/>
        <family val="2"/>
      </rPr>
      <t xml:space="preserve">پماد تترا سایکلین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زرد پانسمان </t>
    </r>
    <r>
      <rPr>
        <sz val="10"/>
        <rFont val="Vazirmatn"/>
        <family val="0"/>
        <charset val="1"/>
      </rPr>
      <t xml:space="preserve">)</t>
    </r>
  </si>
  <si>
    <t xml:space="preserve">99610772</t>
  </si>
  <si>
    <r>
      <rPr>
        <sz val="10"/>
        <rFont val="FreeSans"/>
        <family val="2"/>
      </rPr>
      <t xml:space="preserve">پماد کالامین </t>
    </r>
    <r>
      <rPr>
        <sz val="10"/>
        <rFont val="Vazirmatn"/>
        <family val="0"/>
        <charset val="1"/>
      </rPr>
      <t xml:space="preserve">%8</t>
    </r>
  </si>
  <si>
    <t xml:space="preserve">99610776</t>
  </si>
  <si>
    <r>
      <rPr>
        <sz val="10"/>
        <rFont val="FreeSans"/>
        <family val="2"/>
      </rPr>
      <t xml:space="preserve">ماشین حساب رومیزی  </t>
    </r>
    <r>
      <rPr>
        <sz val="10"/>
        <rFont val="Vazirmatn"/>
        <family val="0"/>
        <charset val="1"/>
      </rPr>
      <t xml:space="preserve">CASIO DS-120 TV</t>
    </r>
  </si>
  <si>
    <t xml:space="preserve">99610777</t>
  </si>
  <si>
    <t xml:space="preserve">فرم گزارش روزانه بی بو سازی واحد تصفیه روغن</t>
  </si>
  <si>
    <t xml:space="preserve">99610780</t>
  </si>
  <si>
    <t xml:space="preserve">فرم گزارش روزانه حین فرآیند واحد تصفیه روغن</t>
  </si>
  <si>
    <t xml:space="preserve">99610781</t>
  </si>
  <si>
    <t xml:space="preserve">اسکاچ زبر</t>
  </si>
  <si>
    <t xml:space="preserve">99610783</t>
  </si>
  <si>
    <t xml:space="preserve">روانویس قرمز</t>
  </si>
  <si>
    <t xml:space="preserve">99610784</t>
  </si>
  <si>
    <t xml:space="preserve">گیره کاغذ متوسط</t>
  </si>
  <si>
    <t xml:space="preserve">99610786</t>
  </si>
  <si>
    <r>
      <rPr>
        <sz val="10"/>
        <rFont val="FreeSans"/>
        <family val="2"/>
      </rPr>
      <t xml:space="preserve">مغزی مداد اتود   </t>
    </r>
    <r>
      <rPr>
        <sz val="10"/>
        <rFont val="Vazirmatn"/>
        <family val="0"/>
        <charset val="1"/>
      </rPr>
      <t xml:space="preserve">0/7</t>
    </r>
  </si>
  <si>
    <t xml:space="preserve">99610788</t>
  </si>
  <si>
    <r>
      <rPr>
        <sz val="10"/>
        <rFont val="FreeSans"/>
        <family val="2"/>
      </rPr>
      <t xml:space="preserve">مداد اتود   </t>
    </r>
    <r>
      <rPr>
        <sz val="10"/>
        <rFont val="Vazirmatn"/>
        <family val="0"/>
        <charset val="1"/>
      </rPr>
      <t xml:space="preserve">0/9</t>
    </r>
  </si>
  <si>
    <t xml:space="preserve">99610790</t>
  </si>
  <si>
    <t xml:space="preserve">کلیپس کاغذ متوسط</t>
  </si>
  <si>
    <t xml:space="preserve">99610791</t>
  </si>
  <si>
    <t xml:space="preserve">برگ کاغذی رنگی چسب دار فلشی</t>
  </si>
  <si>
    <t xml:space="preserve">99610792</t>
  </si>
  <si>
    <t xml:space="preserve">روانویس مشکی</t>
  </si>
  <si>
    <t xml:space="preserve">99610793</t>
  </si>
  <si>
    <t xml:space="preserve">روانویس سبز</t>
  </si>
  <si>
    <t xml:space="preserve">99610798</t>
  </si>
  <si>
    <t xml:space="preserve">دیوایدر رومیزی</t>
  </si>
  <si>
    <t xml:space="preserve">99610805</t>
  </si>
  <si>
    <r>
      <rPr>
        <sz val="10"/>
        <rFont val="FreeSans"/>
        <family val="2"/>
      </rPr>
      <t xml:space="preserve">آبسلانگ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چوب بستنی </t>
    </r>
    <r>
      <rPr>
        <sz val="10"/>
        <rFont val="Vazirmatn"/>
        <family val="0"/>
        <charset val="1"/>
      </rPr>
      <t xml:space="preserve">)</t>
    </r>
  </si>
  <si>
    <t xml:space="preserve">99610812</t>
  </si>
  <si>
    <t xml:space="preserve">چسب پارچه ای پانسمان</t>
  </si>
  <si>
    <t xml:space="preserve">99610817</t>
  </si>
  <si>
    <r>
      <rPr>
        <sz val="10"/>
        <rFont val="FreeSans"/>
        <family val="2"/>
      </rPr>
      <t xml:space="preserve">بتادین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محلول ضد عفونی</t>
    </r>
    <r>
      <rPr>
        <sz val="10"/>
        <rFont val="Vazirmatn"/>
        <family val="0"/>
        <charset val="1"/>
      </rPr>
      <t xml:space="preserve">)</t>
    </r>
  </si>
  <si>
    <t xml:space="preserve">99610823</t>
  </si>
  <si>
    <t xml:space="preserve">باند نخی زخم</t>
  </si>
  <si>
    <t xml:space="preserve">99610826</t>
  </si>
  <si>
    <t xml:space="preserve">قرص آموکسی سیلین</t>
  </si>
  <si>
    <t xml:space="preserve">99610835</t>
  </si>
  <si>
    <t xml:space="preserve">قرص ژلوفن</t>
  </si>
  <si>
    <t xml:space="preserve">99610837</t>
  </si>
  <si>
    <t xml:space="preserve">قرص مفنامیک اسید</t>
  </si>
  <si>
    <t xml:space="preserve">99610844</t>
  </si>
  <si>
    <t xml:space="preserve">گاز فله</t>
  </si>
  <si>
    <t xml:space="preserve">99610846</t>
  </si>
  <si>
    <t xml:space="preserve">قطره آیوسپت</t>
  </si>
  <si>
    <t xml:space="preserve">99610847</t>
  </si>
  <si>
    <t xml:space="preserve">سرجی فیکس</t>
  </si>
  <si>
    <t xml:space="preserve">99610849</t>
  </si>
  <si>
    <t xml:space="preserve">شربت معده</t>
  </si>
  <si>
    <t xml:space="preserve">99610850</t>
  </si>
  <si>
    <r>
      <rPr>
        <sz val="10"/>
        <rFont val="FreeSans"/>
        <family val="2"/>
      </rPr>
      <t xml:space="preserve">سرنگ </t>
    </r>
    <r>
      <rPr>
        <sz val="10"/>
        <rFont val="Vazirmatn"/>
        <family val="0"/>
        <charset val="1"/>
      </rPr>
      <t xml:space="preserve">2CC  AD</t>
    </r>
  </si>
  <si>
    <t xml:space="preserve">99610852</t>
  </si>
  <si>
    <t xml:space="preserve">SAFTY BOX  5Lit</t>
  </si>
  <si>
    <t xml:space="preserve">99610853</t>
  </si>
  <si>
    <t xml:space="preserve">SAFTY BOX  3Lit</t>
  </si>
  <si>
    <t xml:space="preserve">99610855</t>
  </si>
  <si>
    <r>
      <rPr>
        <sz val="10"/>
        <rFont val="FreeSans"/>
        <family val="2"/>
      </rPr>
      <t xml:space="preserve">پماد موضعی مینرال آیس </t>
    </r>
    <r>
      <rPr>
        <sz val="10"/>
        <rFont val="Vazirmatn"/>
        <family val="0"/>
        <charset val="1"/>
      </rPr>
      <t xml:space="preserve">minral ice</t>
    </r>
  </si>
  <si>
    <t xml:space="preserve">99610857</t>
  </si>
  <si>
    <r>
      <rPr>
        <sz val="10"/>
        <rFont val="FreeSans"/>
        <family val="2"/>
      </rPr>
      <t xml:space="preserve">کیت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بید تست سریع کرونا</t>
    </r>
  </si>
  <si>
    <t xml:space="preserve">99610858</t>
  </si>
  <si>
    <r>
      <rPr>
        <sz val="10"/>
        <rFont val="FreeSans"/>
        <family val="2"/>
      </rPr>
      <t xml:space="preserve">قرص آموکسی سیلین </t>
    </r>
    <r>
      <rPr>
        <sz val="10"/>
        <rFont val="Vazirmatn"/>
        <family val="0"/>
        <charset val="1"/>
      </rPr>
      <t xml:space="preserve">500</t>
    </r>
  </si>
  <si>
    <t xml:space="preserve">99610859</t>
  </si>
  <si>
    <t xml:space="preserve">اریگاتور سرم شستشوی زخم و چشم</t>
  </si>
  <si>
    <t xml:space="preserve">99610860</t>
  </si>
  <si>
    <t xml:space="preserve">چسب پانسمان کاغذی</t>
  </si>
  <si>
    <t xml:space="preserve">99610861</t>
  </si>
  <si>
    <r>
      <rPr>
        <sz val="10"/>
        <rFont val="FreeSans"/>
        <family val="2"/>
      </rPr>
      <t xml:space="preserve">سطل پلاستیکی                </t>
    </r>
    <r>
      <rPr>
        <sz val="10"/>
        <rFont val="Vazirmatn"/>
        <family val="0"/>
        <charset val="1"/>
      </rPr>
      <t xml:space="preserve">1 </t>
    </r>
    <r>
      <rPr>
        <sz val="10"/>
        <rFont val="FreeSans"/>
        <family val="2"/>
      </rPr>
      <t xml:space="preserve">لیتری</t>
    </r>
  </si>
  <si>
    <t xml:space="preserve">99610862</t>
  </si>
  <si>
    <r>
      <rPr>
        <sz val="10"/>
        <rFont val="FreeSans"/>
        <family val="2"/>
      </rPr>
      <t xml:space="preserve">سطل پلاستیکی           </t>
    </r>
    <r>
      <rPr>
        <sz val="10"/>
        <rFont val="Vazirmatn"/>
        <family val="0"/>
        <charset val="1"/>
      </rPr>
      <t xml:space="preserve">2 </t>
    </r>
    <r>
      <rPr>
        <sz val="10"/>
        <rFont val="FreeSans"/>
        <family val="2"/>
      </rPr>
      <t xml:space="preserve">لیتری</t>
    </r>
  </si>
  <si>
    <t xml:space="preserve">99610863</t>
  </si>
  <si>
    <r>
      <rPr>
        <sz val="10"/>
        <rFont val="FreeSans"/>
        <family val="2"/>
      </rPr>
      <t xml:space="preserve">سطل پلاستیکی استوانه ای درب دار شفاف </t>
    </r>
    <r>
      <rPr>
        <sz val="10"/>
        <rFont val="Vazirmatn"/>
        <family val="0"/>
        <charset val="1"/>
      </rPr>
      <t xml:space="preserve">5 </t>
    </r>
    <r>
      <rPr>
        <sz val="10"/>
        <rFont val="FreeSans"/>
        <family val="2"/>
      </rPr>
      <t xml:space="preserve">لیتری</t>
    </r>
  </si>
  <si>
    <t xml:space="preserve">99610864</t>
  </si>
  <si>
    <t xml:space="preserve">بر چسب دور آبی</t>
  </si>
  <si>
    <t xml:space="preserve">99610865</t>
  </si>
  <si>
    <r>
      <rPr>
        <sz val="10"/>
        <rFont val="FreeSans"/>
        <family val="2"/>
      </rPr>
      <t xml:space="preserve">پماد ضد درد سرد و گرم  </t>
    </r>
    <r>
      <rPr>
        <sz val="10"/>
        <rFont val="Vazirmatn"/>
        <family val="0"/>
        <charset val="1"/>
      </rPr>
      <t xml:space="preserve">Nevex Ice Hot Gel</t>
    </r>
  </si>
  <si>
    <t xml:space="preserve">99610866</t>
  </si>
  <si>
    <t xml:space="preserve">کمپرس گرم</t>
  </si>
  <si>
    <t xml:space="preserve">99610867</t>
  </si>
  <si>
    <t xml:space="preserve">کمپرس سرد</t>
  </si>
  <si>
    <t xml:space="preserve">99610868</t>
  </si>
  <si>
    <r>
      <rPr>
        <sz val="10"/>
        <rFont val="FreeSans"/>
        <family val="2"/>
      </rPr>
      <t xml:space="preserve">کیسه پارچه ای جارو برقی سامسونگ  </t>
    </r>
    <r>
      <rPr>
        <sz val="10"/>
        <rFont val="Vazirmatn"/>
        <family val="0"/>
        <charset val="1"/>
      </rPr>
      <t xml:space="preserve">Veloce  1500 W</t>
    </r>
  </si>
  <si>
    <t xml:space="preserve">99610872</t>
  </si>
  <si>
    <t xml:space="preserve">99610873</t>
  </si>
  <si>
    <r>
      <rPr>
        <sz val="10"/>
        <rFont val="FreeSans"/>
        <family val="2"/>
      </rPr>
      <t xml:space="preserve">فرم گزارش شبه حادثه و شرایط </t>
    </r>
    <r>
      <rPr>
        <sz val="10"/>
        <rFont val="Vazirmatn"/>
        <family val="0"/>
        <charset val="1"/>
      </rPr>
      <t xml:space="preserve">/ </t>
    </r>
    <r>
      <rPr>
        <sz val="10"/>
        <rFont val="FreeSans"/>
        <family val="2"/>
      </rPr>
      <t xml:space="preserve">رفتار نا ایمن</t>
    </r>
  </si>
  <si>
    <t xml:space="preserve">99610876</t>
  </si>
  <si>
    <r>
      <rPr>
        <sz val="10"/>
        <rFont val="FreeSans"/>
        <family val="2"/>
      </rPr>
      <t xml:space="preserve">دستکش وینیل  </t>
    </r>
    <r>
      <rPr>
        <sz val="10"/>
        <rFont val="Vazirmatn"/>
        <family val="0"/>
        <charset val="1"/>
      </rPr>
      <t xml:space="preserve">OP - Perfect</t>
    </r>
  </si>
  <si>
    <t xml:space="preserve">99610878</t>
  </si>
  <si>
    <t xml:space="preserve">پوشه آویز فایل بایگانی گردان</t>
  </si>
  <si>
    <t xml:space="preserve">99610880</t>
  </si>
  <si>
    <t xml:space="preserve">فرم گزارش لوازم بسته بندی و ضایعات روزانه واحد روغن</t>
  </si>
  <si>
    <t xml:space="preserve">99610881</t>
  </si>
  <si>
    <t xml:space="preserve">آرم پارچه ای بازویی سازمان آتش نشانی</t>
  </si>
  <si>
    <t xml:space="preserve">99610882</t>
  </si>
  <si>
    <r>
      <rPr>
        <sz val="10"/>
        <rFont val="FreeSans"/>
        <family val="2"/>
      </rPr>
      <t xml:space="preserve">تله مگس  </t>
    </r>
    <r>
      <rPr>
        <sz val="10"/>
        <rFont val="Vazirmatn"/>
        <family val="0"/>
        <charset val="1"/>
      </rPr>
      <t xml:space="preserve">Red - top</t>
    </r>
  </si>
  <si>
    <t xml:space="preserve">99610885</t>
  </si>
  <si>
    <t xml:space="preserve">دیوایدر پلاستیکی</t>
  </si>
  <si>
    <t xml:space="preserve">99610886</t>
  </si>
  <si>
    <t xml:space="preserve">درختچه گل توری</t>
  </si>
  <si>
    <t xml:space="preserve">99610887</t>
  </si>
  <si>
    <t xml:space="preserve">فرم گزارش آزمایشگاه میکروبیولوژی نتایج آزمون گلوکوز و دکستروز مایع</t>
  </si>
  <si>
    <t xml:space="preserve">99610888</t>
  </si>
  <si>
    <r>
      <rPr>
        <sz val="10"/>
        <rFont val="FreeSans"/>
        <family val="2"/>
      </rPr>
      <t xml:space="preserve">جارو مویی </t>
    </r>
    <r>
      <rPr>
        <sz val="10"/>
        <rFont val="Vazirmatn"/>
        <family val="0"/>
        <charset val="1"/>
      </rPr>
      <t xml:space="preserve">50 </t>
    </r>
    <r>
      <rPr>
        <sz val="10"/>
        <rFont val="FreeSans"/>
        <family val="2"/>
      </rPr>
      <t xml:space="preserve">سانتی </t>
    </r>
    <r>
      <rPr>
        <sz val="10"/>
        <rFont val="Vazirmatn"/>
        <family val="0"/>
        <charset val="1"/>
      </rPr>
      <t xml:space="preserve">45 </t>
    </r>
    <r>
      <rPr>
        <sz val="10"/>
        <rFont val="FreeSans"/>
        <family val="2"/>
      </rPr>
      <t xml:space="preserve">درجه</t>
    </r>
  </si>
  <si>
    <t xml:space="preserve">99610890</t>
  </si>
  <si>
    <r>
      <rPr>
        <sz val="10"/>
        <rFont val="FreeSans"/>
        <family val="2"/>
      </rPr>
      <t xml:space="preserve">سطل زباله پدال دار  </t>
    </r>
    <r>
      <rPr>
        <sz val="10"/>
        <rFont val="Vazirmatn"/>
        <family val="0"/>
        <charset val="1"/>
      </rPr>
      <t xml:space="preserve">240 </t>
    </r>
    <r>
      <rPr>
        <sz val="10"/>
        <rFont val="FreeSans"/>
        <family val="2"/>
      </rPr>
      <t xml:space="preserve">لیتری</t>
    </r>
  </si>
  <si>
    <t xml:space="preserve">99610893</t>
  </si>
  <si>
    <t xml:space="preserve">سطل آتش نشانی</t>
  </si>
  <si>
    <t xml:space="preserve">99610900</t>
  </si>
  <si>
    <r>
      <rPr>
        <sz val="10"/>
        <rFont val="FreeSans"/>
        <family val="2"/>
      </rPr>
      <t xml:space="preserve">کارتریج پرینتر  </t>
    </r>
    <r>
      <rPr>
        <sz val="10"/>
        <rFont val="Vazirmatn"/>
        <family val="0"/>
        <charset val="1"/>
      </rPr>
      <t xml:space="preserve">HP Laser Jet   P1102</t>
    </r>
  </si>
  <si>
    <t xml:space="preserve">99610906</t>
  </si>
  <si>
    <r>
      <rPr>
        <sz val="10"/>
        <rFont val="FreeSans"/>
        <family val="2"/>
      </rPr>
      <t xml:space="preserve">کارتریج پرینتر </t>
    </r>
    <r>
      <rPr>
        <sz val="10"/>
        <rFont val="Vazirmatn"/>
        <family val="0"/>
        <charset val="1"/>
      </rPr>
      <t xml:space="preserve">5200L</t>
    </r>
  </si>
  <si>
    <t xml:space="preserve">99610907</t>
  </si>
  <si>
    <r>
      <rPr>
        <sz val="10"/>
        <rFont val="FreeSans"/>
        <family val="2"/>
      </rPr>
      <t xml:space="preserve">کارتریج پرینتر  </t>
    </r>
    <r>
      <rPr>
        <sz val="10"/>
        <rFont val="Vazirmatn"/>
        <family val="0"/>
        <charset val="1"/>
      </rPr>
      <t xml:space="preserve">M 706 PCL 6</t>
    </r>
  </si>
  <si>
    <t xml:space="preserve">99610911</t>
  </si>
  <si>
    <t xml:space="preserve">مگس کش پلاستیکی</t>
  </si>
  <si>
    <t xml:space="preserve">99610912</t>
  </si>
  <si>
    <t xml:space="preserve">توپ فوتسال</t>
  </si>
  <si>
    <t xml:space="preserve">99610920</t>
  </si>
  <si>
    <r>
      <rPr>
        <sz val="10"/>
        <rFont val="FreeSans"/>
        <family val="2"/>
      </rPr>
      <t xml:space="preserve">کارتریج پرینتر  </t>
    </r>
    <r>
      <rPr>
        <sz val="10"/>
        <rFont val="Vazirmatn"/>
        <family val="0"/>
        <charset val="1"/>
      </rPr>
      <t xml:space="preserve">HP Laser Jet   P2035</t>
    </r>
  </si>
  <si>
    <t xml:space="preserve">99610922</t>
  </si>
  <si>
    <r>
      <rPr>
        <sz val="10"/>
        <rFont val="FreeSans"/>
        <family val="2"/>
      </rPr>
      <t xml:space="preserve">کارتریج   اچ پی  </t>
    </r>
    <r>
      <rPr>
        <sz val="10"/>
        <rFont val="Vazirmatn"/>
        <family val="0"/>
        <charset val="1"/>
      </rPr>
      <t xml:space="preserve">1300</t>
    </r>
  </si>
  <si>
    <t xml:space="preserve">99610924</t>
  </si>
  <si>
    <t xml:space="preserve">سی دی</t>
  </si>
  <si>
    <t xml:space="preserve">99610926</t>
  </si>
  <si>
    <r>
      <rPr>
        <sz val="10"/>
        <rFont val="FreeSans"/>
        <family val="2"/>
      </rPr>
      <t xml:space="preserve">کارتریج پرینتر  </t>
    </r>
    <r>
      <rPr>
        <sz val="10"/>
        <rFont val="Vazirmatn"/>
        <family val="0"/>
        <charset val="1"/>
      </rPr>
      <t xml:space="preserve">Hp  laserjet  P1018</t>
    </r>
  </si>
  <si>
    <t xml:space="preserve">99610932</t>
  </si>
  <si>
    <r>
      <rPr>
        <sz val="10"/>
        <rFont val="FreeSans"/>
        <family val="2"/>
      </rPr>
      <t xml:space="preserve">کارتریج        </t>
    </r>
    <r>
      <rPr>
        <sz val="10"/>
        <rFont val="Vazirmatn"/>
        <family val="0"/>
        <charset val="1"/>
      </rPr>
      <t xml:space="preserve">HP2015</t>
    </r>
  </si>
  <si>
    <t xml:space="preserve">99610944</t>
  </si>
  <si>
    <t xml:space="preserve">پارو  پلاستیکی</t>
  </si>
  <si>
    <t xml:space="preserve">99610947</t>
  </si>
  <si>
    <t xml:space="preserve">جارو موئی بادسته</t>
  </si>
  <si>
    <t xml:space="preserve">99610951</t>
  </si>
  <si>
    <t xml:space="preserve">زیپ کیپ متوسط</t>
  </si>
  <si>
    <t xml:space="preserve">99610954</t>
  </si>
  <si>
    <t xml:space="preserve">چسب زخم</t>
  </si>
  <si>
    <t xml:space="preserve">99610963</t>
  </si>
  <si>
    <t xml:space="preserve">زیرپائی</t>
  </si>
  <si>
    <t xml:space="preserve">99610969</t>
  </si>
  <si>
    <t xml:space="preserve">کیف محافظ هارد اکسترنال</t>
  </si>
  <si>
    <t xml:space="preserve">99610970</t>
  </si>
  <si>
    <t xml:space="preserve">جاکفشی  کوچک</t>
  </si>
  <si>
    <t xml:space="preserve">99610976</t>
  </si>
  <si>
    <t xml:space="preserve">باطری نیم قلمی</t>
  </si>
  <si>
    <t xml:space="preserve">99610991</t>
  </si>
  <si>
    <t xml:space="preserve">راکت تنیس رومیزی</t>
  </si>
  <si>
    <t xml:space="preserve">99610994</t>
  </si>
  <si>
    <t xml:space="preserve">شطرنج</t>
  </si>
  <si>
    <t xml:space="preserve">99611005</t>
  </si>
  <si>
    <t xml:space="preserve">تیغ دسته دار</t>
  </si>
  <si>
    <t xml:space="preserve">99611008</t>
  </si>
  <si>
    <r>
      <rPr>
        <sz val="10"/>
        <rFont val="FreeSans"/>
        <family val="2"/>
      </rPr>
      <t xml:space="preserve">موکت کف طوسی </t>
    </r>
    <r>
      <rPr>
        <sz val="10"/>
        <rFont val="Vazirmatn"/>
        <family val="0"/>
        <charset val="1"/>
      </rPr>
      <t xml:space="preserve">10m*3m</t>
    </r>
  </si>
  <si>
    <t xml:space="preserve">99611009</t>
  </si>
  <si>
    <r>
      <rPr>
        <sz val="10"/>
        <rFont val="FreeSans"/>
        <family val="2"/>
      </rPr>
      <t xml:space="preserve">کاف فشار سنج  </t>
    </r>
    <r>
      <rPr>
        <sz val="10"/>
        <rFont val="Vazirmatn"/>
        <family val="0"/>
        <charset val="1"/>
      </rPr>
      <t xml:space="preserve">GLAMOR TMB-1112</t>
    </r>
  </si>
  <si>
    <t xml:space="preserve">99611011</t>
  </si>
  <si>
    <r>
      <rPr>
        <sz val="10"/>
        <rFont val="FreeSans"/>
        <family val="2"/>
      </rPr>
      <t xml:space="preserve">زیپ کیپ  </t>
    </r>
    <r>
      <rPr>
        <sz val="10"/>
        <rFont val="Vazirmatn"/>
        <family val="0"/>
        <charset val="1"/>
      </rPr>
      <t xml:space="preserve">10Cm*17Cm</t>
    </r>
  </si>
  <si>
    <t xml:space="preserve">99611013</t>
  </si>
  <si>
    <t xml:space="preserve">سم دور سبان</t>
  </si>
  <si>
    <t xml:space="preserve">99611017</t>
  </si>
  <si>
    <t xml:space="preserve">زیپ کیپ فویلی بزرگ</t>
  </si>
  <si>
    <t xml:space="preserve">99611018</t>
  </si>
  <si>
    <t xml:space="preserve">زیپ کیپ فویلی کوچک</t>
  </si>
  <si>
    <t xml:space="preserve">99611019</t>
  </si>
  <si>
    <t xml:space="preserve">پیراهن کار انتظامات</t>
  </si>
  <si>
    <t xml:space="preserve">99611021</t>
  </si>
  <si>
    <t xml:space="preserve">قرص آسپرین</t>
  </si>
  <si>
    <t xml:space="preserve">99611023</t>
  </si>
  <si>
    <r>
      <rPr>
        <sz val="10"/>
        <rFont val="FreeSans"/>
        <family val="2"/>
      </rPr>
      <t xml:space="preserve">پادری اسفنجی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اسکاچی </t>
    </r>
    <r>
      <rPr>
        <sz val="10"/>
        <rFont val="Vazirmatn"/>
        <family val="0"/>
        <charset val="1"/>
      </rPr>
      <t xml:space="preserve">) 123Cm*180Cm</t>
    </r>
  </si>
  <si>
    <t xml:space="preserve">99611024</t>
  </si>
  <si>
    <t xml:space="preserve">دفتر گزارش عملکرد واحد گلوکوز سازی</t>
  </si>
  <si>
    <t xml:space="preserve">99611025</t>
  </si>
  <si>
    <t xml:space="preserve">دفتر ثبت آمار بارگیری</t>
  </si>
  <si>
    <t xml:space="preserve">99611026</t>
  </si>
  <si>
    <r>
      <rPr>
        <sz val="10"/>
        <rFont val="FreeSans"/>
        <family val="2"/>
      </rPr>
      <t xml:space="preserve">کیبورد </t>
    </r>
    <r>
      <rPr>
        <sz val="10"/>
        <rFont val="Vazirmatn"/>
        <family val="0"/>
        <charset val="1"/>
      </rPr>
      <t xml:space="preserve">TSCO </t>
    </r>
    <r>
      <rPr>
        <sz val="10"/>
        <rFont val="FreeSans"/>
        <family val="2"/>
      </rPr>
      <t xml:space="preserve">مدل </t>
    </r>
    <r>
      <rPr>
        <sz val="10"/>
        <rFont val="Vazirmatn"/>
        <family val="0"/>
        <charset val="1"/>
      </rPr>
      <t xml:space="preserve">TK 8012</t>
    </r>
  </si>
  <si>
    <t xml:space="preserve">99611027</t>
  </si>
  <si>
    <t xml:space="preserve">دفتر گزارش اواپراتور های فروکتوز</t>
  </si>
  <si>
    <t xml:space="preserve">99611030</t>
  </si>
  <si>
    <r>
      <rPr>
        <sz val="10"/>
        <rFont val="FreeSans"/>
        <family val="2"/>
      </rPr>
      <t xml:space="preserve">زیپ کیپ  </t>
    </r>
    <r>
      <rPr>
        <sz val="10"/>
        <rFont val="Vazirmatn"/>
        <family val="0"/>
        <charset val="1"/>
      </rPr>
      <t xml:space="preserve">20Cm*25Cm</t>
    </r>
  </si>
  <si>
    <t xml:space="preserve">99611031</t>
  </si>
  <si>
    <r>
      <rPr>
        <sz val="10"/>
        <rFont val="FreeSans"/>
        <family val="2"/>
      </rPr>
      <t xml:space="preserve">زیپ کیپ  </t>
    </r>
    <r>
      <rPr>
        <sz val="10"/>
        <rFont val="Vazirmatn"/>
        <family val="0"/>
        <charset val="1"/>
      </rPr>
      <t xml:space="preserve">18Cm*14Cm</t>
    </r>
  </si>
  <si>
    <t xml:space="preserve">99611032</t>
  </si>
  <si>
    <r>
      <rPr>
        <sz val="10"/>
        <rFont val="FreeSans"/>
        <family val="2"/>
      </rPr>
      <t xml:space="preserve">زیر پایی اسفنجی  </t>
    </r>
    <r>
      <rPr>
        <sz val="10"/>
        <rFont val="Vazirmatn"/>
        <family val="0"/>
        <charset val="1"/>
      </rPr>
      <t xml:space="preserve">4/87*200Cm</t>
    </r>
  </si>
  <si>
    <t xml:space="preserve">99611033</t>
  </si>
  <si>
    <r>
      <rPr>
        <sz val="10"/>
        <rFont val="FreeSans"/>
        <family val="2"/>
      </rPr>
      <t xml:space="preserve">زیر پایی اسفنجی  </t>
    </r>
    <r>
      <rPr>
        <sz val="10"/>
        <rFont val="Vazirmatn"/>
        <family val="0"/>
        <charset val="1"/>
      </rPr>
      <t xml:space="preserve">3/50*2/50Cm</t>
    </r>
  </si>
  <si>
    <t xml:space="preserve">99611034</t>
  </si>
  <si>
    <r>
      <rPr>
        <sz val="10"/>
        <rFont val="FreeSans"/>
        <family val="2"/>
      </rPr>
      <t xml:space="preserve">زیر پایی اسفنجی  </t>
    </r>
    <r>
      <rPr>
        <sz val="10"/>
        <rFont val="Vazirmatn"/>
        <family val="0"/>
        <charset val="1"/>
      </rPr>
      <t xml:space="preserve">2/94*1/20Cm</t>
    </r>
  </si>
  <si>
    <t xml:space="preserve">99611035</t>
  </si>
  <si>
    <t xml:space="preserve">لوح تقدیر</t>
  </si>
  <si>
    <t xml:space="preserve">99611036</t>
  </si>
  <si>
    <r>
      <rPr>
        <sz val="10"/>
        <rFont val="FreeSans"/>
        <family val="2"/>
      </rPr>
      <t xml:space="preserve">ماوس  </t>
    </r>
    <r>
      <rPr>
        <sz val="10"/>
        <rFont val="Vazirmatn"/>
        <family val="0"/>
        <charset val="1"/>
      </rPr>
      <t xml:space="preserve">TSCO</t>
    </r>
  </si>
  <si>
    <t xml:space="preserve">99611037</t>
  </si>
  <si>
    <r>
      <rPr>
        <sz val="10"/>
        <rFont val="FreeSans"/>
        <family val="2"/>
      </rPr>
      <t xml:space="preserve">تفاله گیر سینک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استیل </t>
    </r>
    <r>
      <rPr>
        <sz val="10"/>
        <rFont val="Vazirmatn"/>
        <family val="0"/>
        <charset val="1"/>
      </rPr>
      <t xml:space="preserve">)</t>
    </r>
  </si>
  <si>
    <t xml:space="preserve">99611043</t>
  </si>
  <si>
    <r>
      <rPr>
        <sz val="10"/>
        <rFont val="FreeSans"/>
        <family val="2"/>
      </rPr>
      <t xml:space="preserve">زیپ کیپ  </t>
    </r>
    <r>
      <rPr>
        <sz val="10"/>
        <rFont val="Vazirmatn"/>
        <family val="0"/>
        <charset val="1"/>
      </rPr>
      <t xml:space="preserve">10Cm*15Cm</t>
    </r>
  </si>
  <si>
    <t xml:space="preserve">99611044</t>
  </si>
  <si>
    <t xml:space="preserve">قالب یخ لقمه ای بزرگ</t>
  </si>
  <si>
    <t xml:space="preserve">99611045</t>
  </si>
  <si>
    <t xml:space="preserve">فرم عدم کارت زنی</t>
  </si>
  <si>
    <t xml:space="preserve">99611047</t>
  </si>
  <si>
    <t xml:space="preserve">پشتی اسفنجی عرق گیر صندلی</t>
  </si>
  <si>
    <t xml:space="preserve">99611048</t>
  </si>
  <si>
    <t xml:space="preserve">فرم گزارش شیفت پرسنل انتظامات کارخانه ذرت خشک کنی</t>
  </si>
  <si>
    <t xml:space="preserve">99611050</t>
  </si>
  <si>
    <r>
      <rPr>
        <sz val="10"/>
        <rFont val="FreeSans"/>
        <family val="2"/>
      </rPr>
      <t xml:space="preserve">طی زمین شوی ماکارانی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کامل </t>
    </r>
    <r>
      <rPr>
        <sz val="10"/>
        <rFont val="Vazirmatn"/>
        <family val="0"/>
        <charset val="1"/>
      </rPr>
      <t xml:space="preserve">)</t>
    </r>
  </si>
  <si>
    <t xml:space="preserve">99611052</t>
  </si>
  <si>
    <r>
      <rPr>
        <sz val="10"/>
        <rFont val="FreeSans"/>
        <family val="2"/>
      </rPr>
      <t xml:space="preserve">کیبورد </t>
    </r>
    <r>
      <rPr>
        <sz val="10"/>
        <rFont val="Vazirmatn"/>
        <family val="0"/>
        <charset val="1"/>
      </rPr>
      <t xml:space="preserve">TSCO </t>
    </r>
    <r>
      <rPr>
        <sz val="10"/>
        <rFont val="FreeSans"/>
        <family val="2"/>
      </rPr>
      <t xml:space="preserve">مدل </t>
    </r>
    <r>
      <rPr>
        <sz val="10"/>
        <rFont val="Vazirmatn"/>
        <family val="0"/>
        <charset val="1"/>
      </rPr>
      <t xml:space="preserve">TK - 8034</t>
    </r>
  </si>
  <si>
    <t xml:space="preserve">99611053</t>
  </si>
  <si>
    <r>
      <rPr>
        <sz val="10"/>
        <rFont val="FreeSans"/>
        <family val="2"/>
      </rPr>
      <t xml:space="preserve">سم مگس </t>
    </r>
    <r>
      <rPr>
        <sz val="10"/>
        <rFont val="Vazirmatn"/>
        <family val="0"/>
        <charset val="1"/>
      </rPr>
      <t xml:space="preserve">Agita</t>
    </r>
  </si>
  <si>
    <t xml:space="preserve">99611054</t>
  </si>
  <si>
    <t xml:space="preserve">تله مگس سطلی</t>
  </si>
  <si>
    <t xml:space="preserve">99611055</t>
  </si>
  <si>
    <r>
      <rPr>
        <sz val="10"/>
        <rFont val="FreeSans"/>
        <family val="2"/>
      </rPr>
      <t xml:space="preserve">قرص آسپرین  آ اس آ  </t>
    </r>
    <r>
      <rPr>
        <sz val="10"/>
        <rFont val="Vazirmatn"/>
        <family val="0"/>
        <charset val="1"/>
      </rPr>
      <t xml:space="preserve">80</t>
    </r>
  </si>
  <si>
    <t xml:space="preserve">99611058</t>
  </si>
  <si>
    <r>
      <rPr>
        <sz val="10"/>
        <rFont val="FreeSans"/>
        <family val="2"/>
      </rPr>
      <t xml:space="preserve">کارتریج پرینتر  </t>
    </r>
    <r>
      <rPr>
        <sz val="10"/>
        <rFont val="Vazirmatn"/>
        <family val="0"/>
        <charset val="1"/>
      </rPr>
      <t xml:space="preserve">HP M 706 n</t>
    </r>
  </si>
  <si>
    <t xml:space="preserve">99611059</t>
  </si>
  <si>
    <r>
      <rPr>
        <sz val="10"/>
        <rFont val="FreeSans"/>
        <family val="2"/>
      </rPr>
      <t xml:space="preserve">کیبورد </t>
    </r>
    <r>
      <rPr>
        <sz val="10"/>
        <rFont val="Vazirmatn"/>
        <family val="0"/>
        <charset val="1"/>
      </rPr>
      <t xml:space="preserve">TSCO </t>
    </r>
    <r>
      <rPr>
        <sz val="10"/>
        <rFont val="FreeSans"/>
        <family val="2"/>
      </rPr>
      <t xml:space="preserve">مدل </t>
    </r>
    <r>
      <rPr>
        <sz val="10"/>
        <rFont val="Vazirmatn"/>
        <family val="0"/>
        <charset val="1"/>
      </rPr>
      <t xml:space="preserve">TKM 8050</t>
    </r>
  </si>
  <si>
    <t xml:space="preserve">99611062</t>
  </si>
  <si>
    <r>
      <rPr>
        <sz val="10"/>
        <rFont val="FreeSans"/>
        <family val="2"/>
      </rPr>
      <t xml:space="preserve">دیوایدر </t>
    </r>
    <r>
      <rPr>
        <sz val="10"/>
        <rFont val="Vazirmatn"/>
        <family val="0"/>
        <charset val="1"/>
      </rPr>
      <t xml:space="preserve">18 </t>
    </r>
    <r>
      <rPr>
        <sz val="10"/>
        <rFont val="FreeSans"/>
        <family val="2"/>
      </rPr>
      <t xml:space="preserve">لبه پلاستیکی</t>
    </r>
  </si>
  <si>
    <t xml:space="preserve">99611064</t>
  </si>
  <si>
    <r>
      <rPr>
        <sz val="10"/>
        <rFont val="FreeSans"/>
        <family val="2"/>
      </rPr>
      <t xml:space="preserve">برگه ابر و باد </t>
    </r>
    <r>
      <rPr>
        <sz val="10"/>
        <rFont val="Vazirmatn"/>
        <family val="0"/>
        <charset val="1"/>
      </rPr>
      <t xml:space="preserve">A4</t>
    </r>
  </si>
  <si>
    <t xml:space="preserve">99611065</t>
  </si>
  <si>
    <r>
      <rPr>
        <sz val="10"/>
        <rFont val="FreeSans"/>
        <family val="2"/>
      </rPr>
      <t xml:space="preserve">کیبورد و ماوس تسکو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بی سیم </t>
    </r>
    <r>
      <rPr>
        <sz val="10"/>
        <rFont val="Vazirmatn"/>
        <family val="0"/>
        <charset val="1"/>
      </rPr>
      <t xml:space="preserve">) TKM - 7019 W</t>
    </r>
  </si>
  <si>
    <t xml:space="preserve">99611066</t>
  </si>
  <si>
    <t xml:space="preserve">فرم ارزیابی اثر بخشی دوره آموزشی بلند مدت</t>
  </si>
  <si>
    <t xml:space="preserve">99611067</t>
  </si>
  <si>
    <t xml:space="preserve">فرم ارزیابی اثر بخشی دوره آموزشی کوتاه مدت</t>
  </si>
  <si>
    <t xml:space="preserve">99611068</t>
  </si>
  <si>
    <t xml:space="preserve">فرم چک لیست بازدید ماهیانه ایمنی سالن ها</t>
  </si>
  <si>
    <t xml:space="preserve">99611069</t>
  </si>
  <si>
    <t xml:space="preserve">زیر دستی چرم</t>
  </si>
  <si>
    <t xml:space="preserve">99611070</t>
  </si>
  <si>
    <t xml:space="preserve">کازیو فلزی</t>
  </si>
  <si>
    <t xml:space="preserve">99611071</t>
  </si>
  <si>
    <r>
      <rPr>
        <sz val="10"/>
        <rFont val="FreeSans"/>
        <family val="2"/>
      </rPr>
      <t xml:space="preserve">جوهر استامپ </t>
    </r>
    <r>
      <rPr>
        <sz val="10"/>
        <rFont val="Vazirmatn"/>
        <family val="0"/>
        <charset val="1"/>
      </rPr>
      <t xml:space="preserve">( </t>
    </r>
    <r>
      <rPr>
        <sz val="10"/>
        <rFont val="FreeSans"/>
        <family val="2"/>
      </rPr>
      <t xml:space="preserve">پاک نشو </t>
    </r>
    <r>
      <rPr>
        <sz val="10"/>
        <rFont val="Vazirmatn"/>
        <family val="0"/>
        <charset val="1"/>
      </rPr>
      <t xml:space="preserve">)</t>
    </r>
  </si>
  <si>
    <t xml:space="preserve">99611072</t>
  </si>
  <si>
    <r>
      <rPr>
        <sz val="10"/>
        <rFont val="FreeSans"/>
        <family val="2"/>
      </rPr>
      <t xml:space="preserve">کیبورد </t>
    </r>
    <r>
      <rPr>
        <sz val="10"/>
        <rFont val="Vazirmatn"/>
        <family val="0"/>
        <charset val="1"/>
      </rPr>
      <t xml:space="preserve">beyond </t>
    </r>
    <r>
      <rPr>
        <sz val="10"/>
        <rFont val="FreeSans"/>
        <family val="2"/>
      </rPr>
      <t xml:space="preserve">مدل </t>
    </r>
    <r>
      <rPr>
        <sz val="10"/>
        <rFont val="Vazirmatn"/>
        <family val="0"/>
        <charset val="1"/>
      </rPr>
      <t xml:space="preserve">: BK - 2230</t>
    </r>
  </si>
  <si>
    <t xml:space="preserve">99611073</t>
  </si>
  <si>
    <r>
      <rPr>
        <sz val="10"/>
        <rFont val="FreeSans"/>
        <family val="2"/>
      </rPr>
      <t xml:space="preserve">کمپرس سرد و گرم  </t>
    </r>
    <r>
      <rPr>
        <sz val="10"/>
        <rFont val="Vazirmatn"/>
        <family val="0"/>
        <charset val="1"/>
      </rPr>
      <t xml:space="preserve">H + m )  25*15 )</t>
    </r>
  </si>
  <si>
    <t xml:space="preserve">99611074</t>
  </si>
  <si>
    <r>
      <rPr>
        <sz val="10"/>
        <rFont val="FreeSans"/>
        <family val="2"/>
      </rPr>
      <t xml:space="preserve">کمپرس سرد و گرم  </t>
    </r>
    <r>
      <rPr>
        <sz val="10"/>
        <rFont val="Vazirmatn"/>
        <family val="0"/>
        <charset val="1"/>
      </rPr>
      <t xml:space="preserve">H + m )  15*10 )</t>
    </r>
  </si>
  <si>
    <t xml:space="preserve">99611075</t>
  </si>
  <si>
    <r>
      <rPr>
        <sz val="10"/>
        <rFont val="FreeSans"/>
        <family val="2"/>
      </rPr>
      <t xml:space="preserve">کیبورد لپ تاپ </t>
    </r>
    <r>
      <rPr>
        <sz val="10"/>
        <rFont val="Vazirmatn"/>
        <family val="0"/>
        <charset val="1"/>
      </rPr>
      <t xml:space="preserve">Dell inspiron 5520</t>
    </r>
  </si>
  <si>
    <t xml:space="preserve">99611076</t>
  </si>
  <si>
    <r>
      <rPr>
        <sz val="10"/>
        <rFont val="FreeSans"/>
        <family val="2"/>
      </rPr>
      <t xml:space="preserve">ماوس بی سیم لاجیتک </t>
    </r>
    <r>
      <rPr>
        <sz val="10"/>
        <rFont val="Vazirmatn"/>
        <family val="0"/>
        <charset val="1"/>
      </rPr>
      <t xml:space="preserve">( M 185 )</t>
    </r>
  </si>
  <si>
    <t xml:space="preserve">99611077</t>
  </si>
  <si>
    <r>
      <rPr>
        <sz val="10"/>
        <rFont val="FreeSans"/>
        <family val="2"/>
      </rPr>
      <t xml:space="preserve">کیبورد تسکو </t>
    </r>
    <r>
      <rPr>
        <sz val="10"/>
        <rFont val="Vazirmatn"/>
        <family val="0"/>
        <charset val="1"/>
      </rPr>
      <t xml:space="preserve">( TK - 8041 )</t>
    </r>
  </si>
  <si>
    <t xml:space="preserve">99611078</t>
  </si>
  <si>
    <r>
      <rPr>
        <sz val="10"/>
        <rFont val="FreeSans"/>
        <family val="2"/>
      </rPr>
      <t xml:space="preserve">ماوس تسکو </t>
    </r>
    <r>
      <rPr>
        <sz val="10"/>
        <rFont val="Vazirmatn"/>
        <family val="0"/>
        <charset val="1"/>
      </rPr>
      <t xml:space="preserve">( TM 295 )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</si>
</sst>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0%"/>
    <numFmt numFmtId="168" formatCode="@"/>
  </numFmts>
  <fonts count="26">
    <font>
      <sz val="11"/>
      <color theme="1"/>
      <name val="Vazirmat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547"/>
      <name val="Vazirmatn"/>
      <family val="2"/>
    </font>
    <font>
      <sz val="9"/>
      <color rgb="FF6B7482"/>
      <name val="Vazirmatn"/>
      <family val="2"/>
    </font>
    <font>
      <sz val="9"/>
      <color rgb="FF6B7482"/>
      <name val="Vazirmatn"/>
      <family val="0"/>
      <charset val="1"/>
    </font>
    <font>
      <b val="true"/>
      <sz val="10"/>
      <color rgb="FFFFFFFF"/>
      <name val="Vazirmatn"/>
      <family val="2"/>
    </font>
    <font>
      <b val="true"/>
      <sz val="10"/>
      <color rgb="FF1F7A4D"/>
      <name val="Vazirmatn"/>
      <family val="2"/>
    </font>
    <font>
      <b val="true"/>
      <sz val="10"/>
      <color rgb="FF1F7A4D"/>
      <name val="Vazirmatn"/>
      <family val="0"/>
      <charset val="1"/>
    </font>
    <font>
      <sz val="10"/>
      <name val="Vazirmatn"/>
      <family val="2"/>
    </font>
    <font>
      <b val="true"/>
      <sz val="10"/>
      <name val="Vazirmatn"/>
      <family val="0"/>
      <charset val="1"/>
    </font>
    <font>
      <sz val="10"/>
      <name val="Vazirmatn"/>
      <family val="0"/>
      <charset val="1"/>
    </font>
    <font>
      <b val="true"/>
      <sz val="10"/>
      <color rgb="FF3A67A6"/>
      <name val="Vazirmatn"/>
      <family val="2"/>
    </font>
    <font>
      <b val="true"/>
      <sz val="10"/>
      <color rgb="FF3A67A6"/>
      <name val="Vazirmatn"/>
      <family val="0"/>
      <charset val="1"/>
    </font>
    <font>
      <b val="true"/>
      <sz val="10"/>
      <color rgb="FFC98A1B"/>
      <name val="Vazirmatn"/>
      <family val="2"/>
    </font>
    <font>
      <b val="true"/>
      <sz val="10"/>
      <color rgb="FFC98A1B"/>
      <name val="Vazirmatn"/>
      <family val="0"/>
      <charset val="1"/>
    </font>
    <font>
      <b val="true"/>
      <sz val="10"/>
      <color rgb="FF7FB08F"/>
      <name val="Vazirmatn"/>
      <family val="2"/>
    </font>
    <font>
      <b val="true"/>
      <sz val="10"/>
      <color rgb="FF7FB08F"/>
      <name val="Vazirmatn"/>
      <family val="0"/>
      <charset val="1"/>
    </font>
    <font>
      <b val="true"/>
      <sz val="10"/>
      <color rgb="FFB5342A"/>
      <name val="Vazirmatn"/>
      <family val="2"/>
    </font>
    <font>
      <b val="true"/>
      <sz val="10"/>
      <color rgb="FFB5342A"/>
      <name val="Vazirmatn"/>
      <family val="0"/>
      <charset val="1"/>
    </font>
    <font>
      <b val="true"/>
      <sz val="10"/>
      <name val="Vazirmatn"/>
      <family val="2"/>
    </font>
    <font>
      <b val="true"/>
      <sz val="18"/>
      <color rgb="FF000000"/>
      <name val="Vazirmatn"/>
      <family val="2"/>
    </font>
    <font>
      <sz val="10"/>
      <color rgb="FF000000"/>
      <name val="Vazirmatn"/>
      <family val="2"/>
    </font>
    <font>
      <b val="true"/>
      <sz val="14"/>
      <color rgb="FF0B2547"/>
      <name val="Vazirmatn"/>
      <family val="0"/>
      <charset val="1"/>
    </font>
    <font>
      <b val="true"/>
      <sz val="10"/>
      <color rgb="FFFFFFFF"/>
      <name val="Vazirmatn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B2547"/>
        <bgColor rgb="FF333333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E2EFDA"/>
      </patternFill>
    </fill>
    <fill>
      <patternFill patternType="solid">
        <fgColor rgb="FFFFEB9C"/>
        <bgColor rgb="FFF3EEDF"/>
      </patternFill>
    </fill>
    <fill>
      <patternFill patternType="solid">
        <fgColor rgb="FFE2EFDA"/>
        <bgColor rgb="FFF3EEDF"/>
      </patternFill>
    </fill>
    <fill>
      <patternFill patternType="solid">
        <fgColor rgb="FFF8CBAD"/>
        <bgColor rgb="FFD8D0BD"/>
      </patternFill>
    </fill>
    <fill>
      <patternFill patternType="solid">
        <fgColor rgb="FFF3EEDF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0BD"/>
      </left>
      <right style="thin">
        <color rgb="FFD8D0BD"/>
      </right>
      <top style="thin">
        <color rgb="FFD8D0BD"/>
      </top>
      <bottom style="thin">
        <color rgb="FFD8D0B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B254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4D"/>
      <rgbColor rgb="FFD8D0BD"/>
      <rgbColor rgb="FF878787"/>
      <rgbColor rgb="FF9999FF"/>
      <rgbColor rgb="FF993366"/>
      <rgbColor rgb="FFF3EEDF"/>
      <rgbColor rgb="FFDDEBF7"/>
      <rgbColor rgb="FF660066"/>
      <rgbColor rgb="FFC9A13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9F9F9"/>
      <rgbColor rgb="FFFF99CC"/>
      <rgbColor rgb="FFCC99FF"/>
      <rgbColor rgb="FFF8CBAD"/>
      <rgbColor rgb="FF3A67A6"/>
      <rgbColor rgb="FF33CCCC"/>
      <rgbColor rgb="FF99CC00"/>
      <rgbColor rgb="FFFFCC00"/>
      <rgbColor rgb="FFC98A1B"/>
      <rgbColor rgb="FFFF6600"/>
      <rgbColor rgb="FF6B7482"/>
      <rgbColor rgb="FF7FB08F"/>
      <rgbColor rgb="FF0B2547"/>
      <rgbColor rgb="FF339966"/>
      <rgbColor rgb="FF003300"/>
      <rgbColor rgb="FF333300"/>
      <rgbColor rgb="FFB5342A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تعداد کالا در هر دسته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'۱- پنج دسته'!C4</c:f>
              <c:strCache>
                <c:ptCount val="1"/>
                <c:pt idx="0">
                  <c:v>تعداد کالا</c:v>
                </c:pt>
              </c:strCache>
            </c:strRef>
          </c:tx>
          <c:spPr>
            <a:solidFill>
              <a:srgbClr val="c9a13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'۱- پنج دسته'!$A$5:$A$9</c:f>
              <c:strCache>
                <c:ptCount val="5"/>
                <c:pt idx="0">
                  <c:v>۱- دقیقاً یکی</c:v>
                </c:pt>
                <c:pt idx="1">
                  <c:v>۲- شرح یکی، واحد متفاوت</c:v>
                </c:pt>
                <c:pt idx="2">
                  <c:v>۳- شرح مشابه، واحد متفاوت</c:v>
                </c:pt>
                <c:pt idx="3">
                  <c:v>۴- شرح مشابه، واحد یکسان</c:v>
                </c:pt>
                <c:pt idx="4">
                  <c:v>۵- بدون معادل</c:v>
                </c:pt>
              </c:strCache>
            </c:strRef>
          </c:cat>
          <c:val>
            <c:numRef>
              <c:f>'۱- پنج دسته'!$C$5:$C$9</c:f>
              <c:numCache>
                <c:formatCode>#,##0</c:formatCode>
                <c:ptCount val="5"/>
                <c:pt idx="0">
                  <c:v>450</c:v>
                </c:pt>
                <c:pt idx="1">
                  <c:v>77</c:v>
                </c:pt>
                <c:pt idx="2">
                  <c:v>395</c:v>
                </c:pt>
                <c:pt idx="3">
                  <c:v>2174</c:v>
                </c:pt>
                <c:pt idx="4">
                  <c:v>9884</c:v>
                </c:pt>
              </c:numCache>
            </c:numRef>
          </c:val>
        </c:ser>
        <c:gapWidth val="150"/>
        <c:overlap val="0"/>
        <c:axId val="32828143"/>
        <c:axId val="28596145"/>
      </c:barChart>
      <c:catAx>
        <c:axId val="3282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596145"/>
        <c:crosses val="autoZero"/>
        <c:auto val="1"/>
        <c:lblAlgn val="ctr"/>
        <c:lblOffset val="100"/>
        <c:noMultiLvlLbl val="0"/>
      </c:catAx>
      <c:valAx>
        <c:axId val="285961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8281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سهم گروه مشابه و متفاوت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percentStacked"/>
        <c:varyColors val="0"/>
        <c:ser>
          <c:idx val="0"/>
          <c:order val="0"/>
          <c:tx>
            <c:strRef>
              <c:f>'۲- تفاوت گروه کالا'!B4</c:f>
              <c:strCache>
                <c:ptCount val="1"/>
                <c:pt idx="0">
                  <c:v>گروه کالا مشابه</c:v>
                </c:pt>
              </c:strCache>
            </c:strRef>
          </c:tx>
          <c:spPr>
            <a:solidFill>
              <a:srgbClr val="1f7a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'۲- تفاوت گروه کالا'!$A$5:$A$8</c:f>
              <c:strCache>
                <c:ptCount val="4"/>
                <c:pt idx="0">
                  <c:v>۱- دقیقاً یکی</c:v>
                </c:pt>
                <c:pt idx="1">
                  <c:v>۲- شرح یکی، واحد متفاوت</c:v>
                </c:pt>
                <c:pt idx="2">
                  <c:v>۳- شرح مشابه، واحد متفاوت</c:v>
                </c:pt>
                <c:pt idx="3">
                  <c:v>۴- شرح مشابه، واحد یکسان</c:v>
                </c:pt>
              </c:strCache>
            </c:strRef>
          </c:cat>
          <c:val>
            <c:numRef>
              <c:f>'۲- تفاوت گروه کالا'!$B$5:$B$8</c:f>
              <c:numCache>
                <c:formatCode>#,##0</c:formatCode>
                <c:ptCount val="4"/>
                <c:pt idx="0">
                  <c:v>333</c:v>
                </c:pt>
                <c:pt idx="1">
                  <c:v>37</c:v>
                </c:pt>
                <c:pt idx="2">
                  <c:v>235</c:v>
                </c:pt>
                <c:pt idx="3">
                  <c:v>1504</c:v>
                </c:pt>
              </c:numCache>
            </c:numRef>
          </c:val>
        </c:ser>
        <c:ser>
          <c:idx val="1"/>
          <c:order val="1"/>
          <c:tx>
            <c:strRef>
              <c:f>'۲- تفاوت گروه کالا'!C4</c:f>
              <c:strCache>
                <c:ptCount val="1"/>
                <c:pt idx="0">
                  <c:v>گروه کالا متفاوت</c:v>
                </c:pt>
              </c:strCache>
            </c:strRef>
          </c:tx>
          <c:spPr>
            <a:solidFill>
              <a:srgbClr val="c98a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'۲- تفاوت گروه کالا'!$A$5:$A$8</c:f>
              <c:strCache>
                <c:ptCount val="4"/>
                <c:pt idx="0">
                  <c:v>۱- دقیقاً یکی</c:v>
                </c:pt>
                <c:pt idx="1">
                  <c:v>۲- شرح یکی، واحد متفاوت</c:v>
                </c:pt>
                <c:pt idx="2">
                  <c:v>۳- شرح مشابه، واحد متفاوت</c:v>
                </c:pt>
                <c:pt idx="3">
                  <c:v>۴- شرح مشابه، واحد یکسان</c:v>
                </c:pt>
              </c:strCache>
            </c:strRef>
          </c:cat>
          <c:val>
            <c:numRef>
              <c:f>'۲- تفاوت گروه کالا'!$C$5:$C$8</c:f>
              <c:numCache>
                <c:formatCode>#,##0</c:formatCode>
                <c:ptCount val="4"/>
                <c:pt idx="0">
                  <c:v>117</c:v>
                </c:pt>
                <c:pt idx="1">
                  <c:v>40</c:v>
                </c:pt>
                <c:pt idx="2">
                  <c:v>160</c:v>
                </c:pt>
                <c:pt idx="3">
                  <c:v>670</c:v>
                </c:pt>
              </c:numCache>
            </c:numRef>
          </c:val>
        </c:ser>
        <c:gapWidth val="150"/>
        <c:overlap val="100"/>
        <c:axId val="12844664"/>
        <c:axId val="41108974"/>
      </c:barChart>
      <c:catAx>
        <c:axId val="12844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108974"/>
        <c:crosses val="autoZero"/>
        <c:auto val="1"/>
        <c:lblAlgn val="ctr"/>
        <c:lblOffset val="100"/>
        <c:noMultiLvlLbl val="0"/>
      </c:catAx>
      <c:valAx>
        <c:axId val="411089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[$-409]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8446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-255960</xdr:colOff>
      <xdr:row>2</xdr:row>
      <xdr:rowOff>160920</xdr:rowOff>
    </xdr:from>
    <xdr:to>
      <xdr:col>15</xdr:col>
      <xdr:colOff>0</xdr:colOff>
      <xdr:row>15</xdr:row>
      <xdr:rowOff>174600</xdr:rowOff>
    </xdr:to>
    <xdr:graphicFrame>
      <xdr:nvGraphicFramePr>
        <xdr:cNvPr id="0" name="Chart 1"/>
        <xdr:cNvGraphicFramePr/>
      </xdr:nvGraphicFramePr>
      <xdr:xfrm>
        <a:off x="-140540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-255960</xdr:colOff>
      <xdr:row>3</xdr:row>
      <xdr:rowOff>0</xdr:rowOff>
    </xdr:from>
    <xdr:to>
      <xdr:col>15</xdr:col>
      <xdr:colOff>0</xdr:colOff>
      <xdr:row>15</xdr:row>
      <xdr:rowOff>24120</xdr:rowOff>
    </xdr:to>
    <xdr:graphicFrame>
      <xdr:nvGraphicFramePr>
        <xdr:cNvPr id="1" name="Chart 1"/>
        <xdr:cNvGraphicFramePr/>
      </xdr:nvGraphicFramePr>
      <xdr:xfrm>
        <a:off x="-12573720" y="5716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Items" displayName="Items" ref="A1:L12981" headerRowCount="1" totalsRowCount="0" totalsRowShown="0">
  <autoFilter ref="A1:L12981"/>
  <tableColumns count="12">
    <tableColumn id="1" name="کد گلوکوزان"/>
    <tableColumn id="2" name="عنوان گلوکوزان"/>
    <tableColumn id="3" name="واحد گلوکوزان"/>
    <tableColumn id="4" name="کد زرنام"/>
    <tableColumn id="5" name="شرح زرنام"/>
    <tableColumn id="6" name="واحد زرنام"/>
    <tableColumn id="7" name="دسته"/>
    <tableColumn id="8" name="وضعیت گروه کالا"/>
    <tableColumn id="9" name="گروه کالای زرنام (یا نزدیک‌ترین مشابه)"/>
    <tableColumn id="10" name="گروه گلوکوزان (۴ رقم اول کد)"/>
    <tableColumn id="11" name="گروه زرنامِ غالب برای گروه گلوکوزان"/>
    <tableColumn id="12" name="جفت واحد (گلوکوزان ← زرنام)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2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s">
        <v>8</v>
      </c>
      <c r="C5" s="6" t="n">
        <f aca="false">COUNTIF('داده کالاها'!$G$2:$G$12981,A5)</f>
        <v>450</v>
      </c>
      <c r="D5" s="7" t="n">
        <f aca="false">IF($C$10=0,0,C5/$C$10)</f>
        <v>0.0346687211093991</v>
      </c>
      <c r="E5" s="5" t="s">
        <v>9</v>
      </c>
    </row>
    <row r="6" customFormat="false" ht="15" hidden="false" customHeight="false" outlineLevel="0" collapsed="false">
      <c r="A6" s="8" t="s">
        <v>10</v>
      </c>
      <c r="B6" s="5" t="s">
        <v>11</v>
      </c>
      <c r="C6" s="6" t="n">
        <f aca="false">COUNTIF('داده کالاها'!$G$2:$G$12981,A6)</f>
        <v>77</v>
      </c>
      <c r="D6" s="7" t="n">
        <f aca="false">IF($C$10=0,0,C6/$C$10)</f>
        <v>0.00593220338983051</v>
      </c>
      <c r="E6" s="5" t="s">
        <v>12</v>
      </c>
    </row>
    <row r="7" customFormat="false" ht="15" hidden="false" customHeight="false" outlineLevel="0" collapsed="false">
      <c r="A7" s="9" t="s">
        <v>13</v>
      </c>
      <c r="B7" s="5" t="s">
        <v>14</v>
      </c>
      <c r="C7" s="6" t="n">
        <f aca="false">COUNTIF('داده کالاها'!$G$2:$G$12981,A7)</f>
        <v>395</v>
      </c>
      <c r="D7" s="7" t="n">
        <f aca="false">IF($C$10=0,0,C7/$C$10)</f>
        <v>0.0304314329738059</v>
      </c>
      <c r="E7" s="5" t="s">
        <v>15</v>
      </c>
    </row>
    <row r="8" customFormat="false" ht="15" hidden="false" customHeight="false" outlineLevel="0" collapsed="false">
      <c r="A8" s="10" t="s">
        <v>16</v>
      </c>
      <c r="B8" s="5" t="s">
        <v>17</v>
      </c>
      <c r="C8" s="6" t="n">
        <f aca="false">COUNTIF('داده کالاها'!$G$2:$G$12981,A8)</f>
        <v>2174</v>
      </c>
      <c r="D8" s="7" t="n">
        <f aca="false">IF($C$10=0,0,C8/$C$10)</f>
        <v>0.16748844375963</v>
      </c>
      <c r="E8" s="5" t="s">
        <v>18</v>
      </c>
    </row>
    <row r="9" customFormat="false" ht="15" hidden="false" customHeight="false" outlineLevel="0" collapsed="false">
      <c r="A9" s="11" t="s">
        <v>19</v>
      </c>
      <c r="B9" s="5" t="s">
        <v>20</v>
      </c>
      <c r="C9" s="6" t="n">
        <f aca="false">COUNTIF('داده کالاها'!$G$2:$G$12981,A9)</f>
        <v>9884</v>
      </c>
      <c r="D9" s="7" t="n">
        <f aca="false">IF($C$10=0,0,C9/$C$10)</f>
        <v>0.761479198767334</v>
      </c>
      <c r="E9" s="5" t="s">
        <v>21</v>
      </c>
    </row>
    <row r="10" customFormat="false" ht="15" hidden="false" customHeight="false" outlineLevel="0" collapsed="false">
      <c r="A10" s="12" t="s">
        <v>22</v>
      </c>
      <c r="B10" s="13"/>
      <c r="C10" s="14" t="n">
        <f aca="false">SUM(C5:C9)</f>
        <v>12980</v>
      </c>
      <c r="D10" s="15" t="n">
        <f aca="false">SUM(D5:D9)</f>
        <v>1</v>
      </c>
      <c r="E10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5" min="4" style="0" width="13"/>
  </cols>
  <sheetData>
    <row r="1" customFormat="false" ht="15" hidden="false" customHeight="false" outlineLevel="0" collapsed="false">
      <c r="A1" s="1" t="s">
        <v>23</v>
      </c>
    </row>
    <row r="2" customFormat="false" ht="15" hidden="false" customHeight="false" outlineLevel="0" collapsed="false">
      <c r="A2" s="2" t="s">
        <v>24</v>
      </c>
    </row>
    <row r="4" customFormat="false" ht="31.5" hidden="false" customHeight="true" outlineLevel="0" collapsed="false">
      <c r="A4" s="3" t="s">
        <v>2</v>
      </c>
      <c r="B4" s="3" t="s">
        <v>25</v>
      </c>
      <c r="C4" s="3" t="s">
        <v>26</v>
      </c>
      <c r="D4" s="3" t="s">
        <v>22</v>
      </c>
      <c r="E4" s="3" t="s">
        <v>27</v>
      </c>
    </row>
    <row r="5" customFormat="false" ht="15" hidden="false" customHeight="false" outlineLevel="0" collapsed="false">
      <c r="A5" s="4" t="s">
        <v>7</v>
      </c>
      <c r="B5" s="16" t="n">
        <f aca="false">COUNTIFS('داده کالاها'!$G$2:$G$12981,$A5,'داده کالاها'!$H$2:$H$12981,"گروه مشابه")</f>
        <v>333</v>
      </c>
      <c r="C5" s="16" t="n">
        <f aca="false">COUNTIFS('داده کالاها'!$G$2:$G$12981,$A5,'داده کالاها'!$H$2:$H$12981,"گروه متفاوت")</f>
        <v>117</v>
      </c>
      <c r="D5" s="6" t="n">
        <f aca="false">B5+C5</f>
        <v>450</v>
      </c>
      <c r="E5" s="17" t="n">
        <f aca="false">IF(D5=0,0,B5/D5)</f>
        <v>0.74</v>
      </c>
    </row>
    <row r="6" customFormat="false" ht="15" hidden="false" customHeight="false" outlineLevel="0" collapsed="false">
      <c r="A6" s="8" t="s">
        <v>10</v>
      </c>
      <c r="B6" s="16" t="n">
        <f aca="false">COUNTIFS('داده کالاها'!$G$2:$G$12981,$A6,'داده کالاها'!$H$2:$H$12981,"گروه مشابه")</f>
        <v>37</v>
      </c>
      <c r="C6" s="16" t="n">
        <f aca="false">COUNTIFS('داده کالاها'!$G$2:$G$12981,$A6,'داده کالاها'!$H$2:$H$12981,"گروه متفاوت")</f>
        <v>40</v>
      </c>
      <c r="D6" s="6" t="n">
        <f aca="false">B6+C6</f>
        <v>77</v>
      </c>
      <c r="E6" s="17" t="n">
        <f aca="false">IF(D6=0,0,B6/D6)</f>
        <v>0.480519480519481</v>
      </c>
    </row>
    <row r="7" customFormat="false" ht="15" hidden="false" customHeight="false" outlineLevel="0" collapsed="false">
      <c r="A7" s="9" t="s">
        <v>13</v>
      </c>
      <c r="B7" s="16" t="n">
        <f aca="false">COUNTIFS('داده کالاها'!$G$2:$G$12981,$A7,'داده کالاها'!$H$2:$H$12981,"گروه مشابه")</f>
        <v>235</v>
      </c>
      <c r="C7" s="16" t="n">
        <f aca="false">COUNTIFS('داده کالاها'!$G$2:$G$12981,$A7,'داده کالاها'!$H$2:$H$12981,"گروه متفاوت")</f>
        <v>160</v>
      </c>
      <c r="D7" s="6" t="n">
        <f aca="false">B7+C7</f>
        <v>395</v>
      </c>
      <c r="E7" s="17" t="n">
        <f aca="false">IF(D7=0,0,B7/D7)</f>
        <v>0.594936708860759</v>
      </c>
    </row>
    <row r="8" customFormat="false" ht="15" hidden="false" customHeight="false" outlineLevel="0" collapsed="false">
      <c r="A8" s="10" t="s">
        <v>16</v>
      </c>
      <c r="B8" s="16" t="n">
        <f aca="false">COUNTIFS('داده کالاها'!$G$2:$G$12981,$A8,'داده کالاها'!$H$2:$H$12981,"گروه مشابه")</f>
        <v>1504</v>
      </c>
      <c r="C8" s="16" t="n">
        <f aca="false">COUNTIFS('داده کالاها'!$G$2:$G$12981,$A8,'داده کالاها'!$H$2:$H$12981,"گروه متفاوت")</f>
        <v>670</v>
      </c>
      <c r="D8" s="6" t="n">
        <f aca="false">B8+C8</f>
        <v>2174</v>
      </c>
      <c r="E8" s="17" t="n">
        <f aca="false">IF(D8=0,0,B8/D8)</f>
        <v>0.6918123275069</v>
      </c>
    </row>
    <row r="9" customFormat="false" ht="15" hidden="false" customHeight="false" outlineLevel="0" collapsed="false">
      <c r="A9" s="12" t="s">
        <v>22</v>
      </c>
      <c r="B9" s="14" t="n">
        <f aca="false">SUM(B5:B8)</f>
        <v>2109</v>
      </c>
      <c r="C9" s="14" t="n">
        <f aca="false">SUM(C5:C8)</f>
        <v>987</v>
      </c>
      <c r="D9" s="14" t="n">
        <f aca="false">SUM(D5:D8)</f>
        <v>3096</v>
      </c>
      <c r="E9" s="18" t="n">
        <f aca="false">IF(D9=0,0,B9/D9)</f>
        <v>0.681201550387597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31.5" hidden="false" customHeight="true" outlineLevel="0" collapsed="false">
      <c r="A4" s="3" t="s">
        <v>30</v>
      </c>
      <c r="B4" s="3" t="s">
        <v>31</v>
      </c>
      <c r="C4" s="3" t="s">
        <v>32</v>
      </c>
      <c r="D4" s="3" t="s">
        <v>33</v>
      </c>
      <c r="E4" s="3" t="s">
        <v>34</v>
      </c>
      <c r="F4" s="3" t="s">
        <v>35</v>
      </c>
      <c r="G4" s="3" t="s">
        <v>22</v>
      </c>
      <c r="H4" s="3" t="s">
        <v>36</v>
      </c>
    </row>
    <row r="5" customFormat="false" ht="15" hidden="false" customHeight="false" outlineLevel="0" collapsed="false">
      <c r="A5" s="19" t="s">
        <v>37</v>
      </c>
      <c r="B5" s="16" t="n">
        <f aca="false">COUNTIFS('داده کالاها'!$I$2:$I$12981,$A5,'داده کالاها'!$G$2:$G$12981,"۱- دقیقاً یکی")</f>
        <v>89</v>
      </c>
      <c r="C5" s="16" t="n">
        <f aca="false">COUNTIFS('داده کالاها'!$I$2:$I$12981,$A5,'داده کالاها'!$G$2:$G$12981,"۲- شرح یکی، واحد متفاوت")</f>
        <v>3</v>
      </c>
      <c r="D5" s="16" t="n">
        <f aca="false">COUNTIFS('داده کالاها'!$I$2:$I$12981,$A5,'داده کالاها'!$G$2:$G$12981,"۳- شرح مشابه، واحد متفاوت")</f>
        <v>48</v>
      </c>
      <c r="E5" s="16" t="n">
        <f aca="false">COUNTIFS('داده کالاها'!$I$2:$I$12981,$A5,'داده کالاها'!$G$2:$G$12981,"۴- شرح مشابه، واحد یکسان")</f>
        <v>432</v>
      </c>
      <c r="F5" s="16" t="n">
        <f aca="false">COUNTIFS('داده کالاها'!$I$2:$I$12981,$A5,'داده کالاها'!$G$2:$G$12981,"۵- بدون معادل")</f>
        <v>2355</v>
      </c>
      <c r="G5" s="6" t="n">
        <f aca="false">SUM(B5:F5)</f>
        <v>2927</v>
      </c>
      <c r="H5" s="17" t="n">
        <f aca="false">IF(G5=0,0,SUM(B5:E5)/G5)</f>
        <v>0.195421933720533</v>
      </c>
    </row>
    <row r="6" customFormat="false" ht="15" hidden="false" customHeight="false" outlineLevel="0" collapsed="false">
      <c r="A6" s="19" t="s">
        <v>38</v>
      </c>
      <c r="B6" s="16" t="n">
        <f aca="false">COUNTIFS('داده کالاها'!$I$2:$I$12981,$A6,'داده کالاها'!$G$2:$G$12981,"۱- دقیقاً یکی")</f>
        <v>45</v>
      </c>
      <c r="C6" s="16" t="n">
        <f aca="false">COUNTIFS('داده کالاها'!$I$2:$I$12981,$A6,'داده کالاها'!$G$2:$G$12981,"۲- شرح یکی، واحد متفاوت")</f>
        <v>10</v>
      </c>
      <c r="D6" s="16" t="n">
        <f aca="false">COUNTIFS('داده کالاها'!$I$2:$I$12981,$A6,'داده کالاها'!$G$2:$G$12981,"۳- شرح مشابه، واحد متفاوت")</f>
        <v>64</v>
      </c>
      <c r="E6" s="16" t="n">
        <f aca="false">COUNTIFS('داده کالاها'!$I$2:$I$12981,$A6,'داده کالاها'!$G$2:$G$12981,"۴- شرح مشابه، واحد یکسان")</f>
        <v>598</v>
      </c>
      <c r="F6" s="16" t="n">
        <f aca="false">COUNTIFS('داده کالاها'!$I$2:$I$12981,$A6,'داده کالاها'!$G$2:$G$12981,"۵- بدون معادل")</f>
        <v>1448</v>
      </c>
      <c r="G6" s="6" t="n">
        <f aca="false">SUM(B6:F6)</f>
        <v>2165</v>
      </c>
      <c r="H6" s="17" t="n">
        <f aca="false">IF(G6=0,0,SUM(B6:E6)/G6)</f>
        <v>0.331177829099307</v>
      </c>
    </row>
    <row r="7" customFormat="false" ht="15" hidden="false" customHeight="false" outlineLevel="0" collapsed="false">
      <c r="A7" s="19" t="s">
        <v>39</v>
      </c>
      <c r="B7" s="16" t="n">
        <f aca="false">COUNTIFS('داده کالاها'!$I$2:$I$12981,$A7,'داده کالاها'!$G$2:$G$12981,"۱- دقیقاً یکی")</f>
        <v>56</v>
      </c>
      <c r="C7" s="16" t="n">
        <f aca="false">COUNTIFS('داده کالاها'!$I$2:$I$12981,$A7,'داده کالاها'!$G$2:$G$12981,"۲- شرح یکی، واحد متفاوت")</f>
        <v>5</v>
      </c>
      <c r="D7" s="16" t="n">
        <f aca="false">COUNTIFS('داده کالاها'!$I$2:$I$12981,$A7,'داده کالاها'!$G$2:$G$12981,"۳- شرح مشابه، واحد متفاوت")</f>
        <v>40</v>
      </c>
      <c r="E7" s="16" t="n">
        <f aca="false">COUNTIFS('داده کالاها'!$I$2:$I$12981,$A7,'داده کالاها'!$G$2:$G$12981,"۴- شرح مشابه، واحد یکسان")</f>
        <v>248</v>
      </c>
      <c r="F7" s="16" t="n">
        <f aca="false">COUNTIFS('داده کالاها'!$I$2:$I$12981,$A7,'داده کالاها'!$G$2:$G$12981,"۵- بدون معادل")</f>
        <v>1064</v>
      </c>
      <c r="G7" s="6" t="n">
        <f aca="false">SUM(B7:F7)</f>
        <v>1413</v>
      </c>
      <c r="H7" s="17" t="n">
        <f aca="false">IF(G7=0,0,SUM(B7:E7)/G7)</f>
        <v>0.246992215145081</v>
      </c>
    </row>
    <row r="8" customFormat="false" ht="15" hidden="false" customHeight="false" outlineLevel="0" collapsed="false">
      <c r="A8" s="19" t="s">
        <v>40</v>
      </c>
      <c r="B8" s="16" t="n">
        <f aca="false">COUNTIFS('داده کالاها'!$I$2:$I$12981,$A8,'داده کالاها'!$G$2:$G$12981,"۱- دقیقاً یکی")</f>
        <v>52</v>
      </c>
      <c r="C8" s="16" t="n">
        <f aca="false">COUNTIFS('داده کالاها'!$I$2:$I$12981,$A8,'داده کالاها'!$G$2:$G$12981,"۲- شرح یکی، واحد متفاوت")</f>
        <v>0</v>
      </c>
      <c r="D8" s="16" t="n">
        <f aca="false">COUNTIFS('داده کالاها'!$I$2:$I$12981,$A8,'داده کالاها'!$G$2:$G$12981,"۳- شرح مشابه، واحد متفاوت")</f>
        <v>41</v>
      </c>
      <c r="E8" s="16" t="n">
        <f aca="false">COUNTIFS('داده کالاها'!$I$2:$I$12981,$A8,'داده کالاها'!$G$2:$G$12981,"۴- شرح مشابه، واحد یکسان")</f>
        <v>241</v>
      </c>
      <c r="F8" s="16" t="n">
        <f aca="false">COUNTIFS('داده کالاها'!$I$2:$I$12981,$A8,'داده کالاها'!$G$2:$G$12981,"۵- بدون معادل")</f>
        <v>1044</v>
      </c>
      <c r="G8" s="6" t="n">
        <f aca="false">SUM(B8:F8)</f>
        <v>1378</v>
      </c>
      <c r="H8" s="17" t="n">
        <f aca="false">IF(G8=0,0,SUM(B8:E8)/G8)</f>
        <v>0.242380261248186</v>
      </c>
    </row>
    <row r="9" customFormat="false" ht="15" hidden="false" customHeight="false" outlineLevel="0" collapsed="false">
      <c r="A9" s="19" t="s">
        <v>41</v>
      </c>
      <c r="B9" s="16" t="n">
        <f aca="false">COUNTIFS('داده کالاها'!$I$2:$I$12981,$A9,'داده کالاها'!$G$2:$G$12981,"۱- دقیقاً یکی")</f>
        <v>14</v>
      </c>
      <c r="C9" s="16" t="n">
        <f aca="false">COUNTIFS('داده کالاها'!$I$2:$I$12981,$A9,'داده کالاها'!$G$2:$G$12981,"۲- شرح یکی، واحد متفاوت")</f>
        <v>2</v>
      </c>
      <c r="D9" s="16" t="n">
        <f aca="false">COUNTIFS('داده کالاها'!$I$2:$I$12981,$A9,'داده کالاها'!$G$2:$G$12981,"۳- شرح مشابه، واحد متفاوت")</f>
        <v>18</v>
      </c>
      <c r="E9" s="16" t="n">
        <f aca="false">COUNTIFS('داده کالاها'!$I$2:$I$12981,$A9,'داده کالاها'!$G$2:$G$12981,"۴- شرح مشابه، واحد یکسان")</f>
        <v>116</v>
      </c>
      <c r="F9" s="16" t="n">
        <f aca="false">COUNTIFS('داده کالاها'!$I$2:$I$12981,$A9,'داده کالاها'!$G$2:$G$12981,"۵- بدون معادل")</f>
        <v>898</v>
      </c>
      <c r="G9" s="6" t="n">
        <f aca="false">SUM(B9:F9)</f>
        <v>1048</v>
      </c>
      <c r="H9" s="17" t="n">
        <f aca="false">IF(G9=0,0,SUM(B9:E9)/G9)</f>
        <v>0.143129770992366</v>
      </c>
    </row>
    <row r="10" customFormat="false" ht="15" hidden="false" customHeight="false" outlineLevel="0" collapsed="false">
      <c r="A10" s="19" t="s">
        <v>42</v>
      </c>
      <c r="B10" s="16" t="n">
        <f aca="false">COUNTIFS('داده کالاها'!$I$2:$I$12981,$A10,'داده کالاها'!$G$2:$G$12981,"۱- دقیقاً یکی")</f>
        <v>59</v>
      </c>
      <c r="C10" s="16" t="n">
        <f aca="false">COUNTIFS('داده کالاها'!$I$2:$I$12981,$A10,'داده کالاها'!$G$2:$G$12981,"۲- شرح یکی، واحد متفاوت")</f>
        <v>17</v>
      </c>
      <c r="D10" s="16" t="n">
        <f aca="false">COUNTIFS('داده کالاها'!$I$2:$I$12981,$A10,'داده کالاها'!$G$2:$G$12981,"۳- شرح مشابه، واحد متفاوت")</f>
        <v>34</v>
      </c>
      <c r="E10" s="16" t="n">
        <f aca="false">COUNTIFS('داده کالاها'!$I$2:$I$12981,$A10,'داده کالاها'!$G$2:$G$12981,"۴- شرح مشابه، واحد یکسان")</f>
        <v>142</v>
      </c>
      <c r="F10" s="16" t="n">
        <f aca="false">COUNTIFS('داده کالاها'!$I$2:$I$12981,$A10,'داده کالاها'!$G$2:$G$12981,"۵- بدون معادل")</f>
        <v>476</v>
      </c>
      <c r="G10" s="6" t="n">
        <f aca="false">SUM(B10:F10)</f>
        <v>728</v>
      </c>
      <c r="H10" s="17" t="n">
        <f aca="false">IF(G10=0,0,SUM(B10:E10)/G10)</f>
        <v>0.346153846153846</v>
      </c>
    </row>
    <row r="11" customFormat="false" ht="15" hidden="false" customHeight="false" outlineLevel="0" collapsed="false">
      <c r="A11" s="19" t="s">
        <v>43</v>
      </c>
      <c r="B11" s="16" t="n">
        <f aca="false">COUNTIFS('داده کالاها'!$I$2:$I$12981,$A11,'داده کالاها'!$G$2:$G$12981,"۱- دقیقاً یکی")</f>
        <v>29</v>
      </c>
      <c r="C11" s="16" t="n">
        <f aca="false">COUNTIFS('داده کالاها'!$I$2:$I$12981,$A11,'داده کالاها'!$G$2:$G$12981,"۲- شرح یکی، واحد متفاوت")</f>
        <v>11</v>
      </c>
      <c r="D11" s="16" t="n">
        <f aca="false">COUNTIFS('داده کالاها'!$I$2:$I$12981,$A11,'داده کالاها'!$G$2:$G$12981,"۳- شرح مشابه، واحد متفاوت")</f>
        <v>15</v>
      </c>
      <c r="E11" s="16" t="n">
        <f aca="false">COUNTIFS('داده کالاها'!$I$2:$I$12981,$A11,'داده کالاها'!$G$2:$G$12981,"۴- شرح مشابه، واحد یکسان")</f>
        <v>58</v>
      </c>
      <c r="F11" s="16" t="n">
        <f aca="false">COUNTIFS('داده کالاها'!$I$2:$I$12981,$A11,'داده کالاها'!$G$2:$G$12981,"۵- بدون معادل")</f>
        <v>556</v>
      </c>
      <c r="G11" s="6" t="n">
        <f aca="false">SUM(B11:F11)</f>
        <v>669</v>
      </c>
      <c r="H11" s="17" t="n">
        <f aca="false">IF(G11=0,0,SUM(B11:E11)/G11)</f>
        <v>0.168908819133034</v>
      </c>
    </row>
    <row r="12" customFormat="false" ht="15" hidden="false" customHeight="false" outlineLevel="0" collapsed="false">
      <c r="A12" s="19" t="s">
        <v>44</v>
      </c>
      <c r="B12" s="16" t="n">
        <f aca="false">COUNTIFS('داده کالاها'!$I$2:$I$12981,$A12,'داده کالاها'!$G$2:$G$12981,"۱- دقیقاً یکی")</f>
        <v>8</v>
      </c>
      <c r="C12" s="16" t="n">
        <f aca="false">COUNTIFS('داده کالاها'!$I$2:$I$12981,$A12,'داده کالاها'!$G$2:$G$12981,"۲- شرح یکی، واحد متفاوت")</f>
        <v>3</v>
      </c>
      <c r="D12" s="16" t="n">
        <f aca="false">COUNTIFS('داده کالاها'!$I$2:$I$12981,$A12,'داده کالاها'!$G$2:$G$12981,"۳- شرح مشابه، واحد متفاوت")</f>
        <v>26</v>
      </c>
      <c r="E12" s="16" t="n">
        <f aca="false">COUNTIFS('داده کالاها'!$I$2:$I$12981,$A12,'داده کالاها'!$G$2:$G$12981,"۴- شرح مشابه، واحد یکسان")</f>
        <v>29</v>
      </c>
      <c r="F12" s="16" t="n">
        <f aca="false">COUNTIFS('داده کالاها'!$I$2:$I$12981,$A12,'داده کالاها'!$G$2:$G$12981,"۵- بدون معادل")</f>
        <v>310</v>
      </c>
      <c r="G12" s="6" t="n">
        <f aca="false">SUM(B12:F12)</f>
        <v>376</v>
      </c>
      <c r="H12" s="17" t="n">
        <f aca="false">IF(G12=0,0,SUM(B12:E12)/G12)</f>
        <v>0.175531914893617</v>
      </c>
    </row>
    <row r="13" customFormat="false" ht="15" hidden="false" customHeight="false" outlineLevel="0" collapsed="false">
      <c r="A13" s="19" t="s">
        <v>45</v>
      </c>
      <c r="B13" s="16" t="n">
        <f aca="false">COUNTIFS('داده کالاها'!$I$2:$I$12981,$A13,'داده کالاها'!$G$2:$G$12981,"۱- دقیقاً یکی")</f>
        <v>1</v>
      </c>
      <c r="C13" s="16" t="n">
        <f aca="false">COUNTIFS('داده کالاها'!$I$2:$I$12981,$A13,'داده کالاها'!$G$2:$G$12981,"۲- شرح یکی، واحد متفاوت")</f>
        <v>0</v>
      </c>
      <c r="D13" s="16" t="n">
        <f aca="false">COUNTIFS('داده کالاها'!$I$2:$I$12981,$A13,'داده کالاها'!$G$2:$G$12981,"۳- شرح مشابه، واحد متفاوت")</f>
        <v>40</v>
      </c>
      <c r="E13" s="16" t="n">
        <f aca="false">COUNTIFS('داده کالاها'!$I$2:$I$12981,$A13,'داده کالاها'!$G$2:$G$12981,"۴- شرح مشابه، واحد یکسان")</f>
        <v>6</v>
      </c>
      <c r="F13" s="16" t="n">
        <f aca="false">COUNTIFS('داده کالاها'!$I$2:$I$12981,$A13,'داده کالاها'!$G$2:$G$12981,"۵- بدون معادل")</f>
        <v>305</v>
      </c>
      <c r="G13" s="6" t="n">
        <f aca="false">SUM(B13:F13)</f>
        <v>352</v>
      </c>
      <c r="H13" s="17" t="n">
        <f aca="false">IF(G13=0,0,SUM(B13:E13)/G13)</f>
        <v>0.133522727272727</v>
      </c>
    </row>
    <row r="14" customFormat="false" ht="15" hidden="false" customHeight="false" outlineLevel="0" collapsed="false">
      <c r="A14" s="20" t="s">
        <v>46</v>
      </c>
      <c r="B14" s="16" t="n">
        <f aca="false">COUNTIFS('داده کالاها'!$I$2:$I$12981,$A14,'داده کالاها'!$G$2:$G$12981,"۱- دقیقاً یکی")</f>
        <v>4</v>
      </c>
      <c r="C14" s="16" t="n">
        <f aca="false">COUNTIFS('داده کالاها'!$I$2:$I$12981,$A14,'داده کالاها'!$G$2:$G$12981,"۲- شرح یکی، واحد متفاوت")</f>
        <v>1</v>
      </c>
      <c r="D14" s="16" t="n">
        <f aca="false">COUNTIFS('داده کالاها'!$I$2:$I$12981,$A14,'داده کالاها'!$G$2:$G$12981,"۳- شرح مشابه، واحد متفاوت")</f>
        <v>12</v>
      </c>
      <c r="E14" s="16" t="n">
        <f aca="false">COUNTIFS('داده کالاها'!$I$2:$I$12981,$A14,'داده کالاها'!$G$2:$G$12981,"۴- شرح مشابه، واحد یکسان")</f>
        <v>40</v>
      </c>
      <c r="F14" s="16" t="n">
        <f aca="false">COUNTIFS('داده کالاها'!$I$2:$I$12981,$A14,'داده کالاها'!$G$2:$G$12981,"۵- بدون معادل")</f>
        <v>236</v>
      </c>
      <c r="G14" s="6" t="n">
        <f aca="false">SUM(B14:F14)</f>
        <v>293</v>
      </c>
      <c r="H14" s="17" t="n">
        <f aca="false">IF(G14=0,0,SUM(B14:E14)/G14)</f>
        <v>0.194539249146758</v>
      </c>
    </row>
    <row r="15" customFormat="false" ht="15" hidden="false" customHeight="false" outlineLevel="0" collapsed="false">
      <c r="A15" s="19" t="s">
        <v>47</v>
      </c>
      <c r="B15" s="16" t="n">
        <f aca="false">COUNTIFS('داده کالاها'!$I$2:$I$12981,$A15,'داده کالاها'!$G$2:$G$12981,"۱- دقیقاً یکی")</f>
        <v>4</v>
      </c>
      <c r="C15" s="16" t="n">
        <f aca="false">COUNTIFS('داده کالاها'!$I$2:$I$12981,$A15,'داده کالاها'!$G$2:$G$12981,"۲- شرح یکی، واحد متفاوت")</f>
        <v>1</v>
      </c>
      <c r="D15" s="16" t="n">
        <f aca="false">COUNTIFS('داده کالاها'!$I$2:$I$12981,$A15,'داده کالاها'!$G$2:$G$12981,"۳- شرح مشابه، واحد متفاوت")</f>
        <v>4</v>
      </c>
      <c r="E15" s="16" t="n">
        <f aca="false">COUNTIFS('داده کالاها'!$I$2:$I$12981,$A15,'داده کالاها'!$G$2:$G$12981,"۴- شرح مشابه، واحد یکسان")</f>
        <v>22</v>
      </c>
      <c r="F15" s="16" t="n">
        <f aca="false">COUNTIFS('داده کالاها'!$I$2:$I$12981,$A15,'داده کالاها'!$G$2:$G$12981,"۵- بدون معادل")</f>
        <v>227</v>
      </c>
      <c r="G15" s="6" t="n">
        <f aca="false">SUM(B15:F15)</f>
        <v>258</v>
      </c>
      <c r="H15" s="17" t="n">
        <f aca="false">IF(G15=0,0,SUM(B15:E15)/G15)</f>
        <v>0.12015503875969</v>
      </c>
    </row>
    <row r="16" customFormat="false" ht="15" hidden="false" customHeight="false" outlineLevel="0" collapsed="false">
      <c r="A16" s="19" t="s">
        <v>48</v>
      </c>
      <c r="B16" s="16" t="n">
        <f aca="false">COUNTIFS('داده کالاها'!$I$2:$I$12981,$A16,'داده کالاها'!$G$2:$G$12981,"۱- دقیقاً یکی")</f>
        <v>0</v>
      </c>
      <c r="C16" s="16" t="n">
        <f aca="false">COUNTIFS('داده کالاها'!$I$2:$I$12981,$A16,'داده کالاها'!$G$2:$G$12981,"۲- شرح یکی، واحد متفاوت")</f>
        <v>0</v>
      </c>
      <c r="D16" s="16" t="n">
        <f aca="false">COUNTIFS('داده کالاها'!$I$2:$I$12981,$A16,'داده کالاها'!$G$2:$G$12981,"۳- شرح مشابه، واحد متفاوت")</f>
        <v>2</v>
      </c>
      <c r="E16" s="16" t="n">
        <f aca="false">COUNTIFS('داده کالاها'!$I$2:$I$12981,$A16,'داده کالاها'!$G$2:$G$12981,"۴- شرح مشابه، واحد یکسان")</f>
        <v>16</v>
      </c>
      <c r="F16" s="16" t="n">
        <f aca="false">COUNTIFS('داده کالاها'!$I$2:$I$12981,$A16,'داده کالاها'!$G$2:$G$12981,"۵- بدون معادل")</f>
        <v>224</v>
      </c>
      <c r="G16" s="6" t="n">
        <f aca="false">SUM(B16:F16)</f>
        <v>242</v>
      </c>
      <c r="H16" s="17" t="n">
        <f aca="false">IF(G16=0,0,SUM(B16:E16)/G16)</f>
        <v>0.0743801652892562</v>
      </c>
    </row>
    <row r="17" customFormat="false" ht="15" hidden="false" customHeight="false" outlineLevel="0" collapsed="false">
      <c r="A17" s="19" t="s">
        <v>49</v>
      </c>
      <c r="B17" s="16" t="n">
        <f aca="false">COUNTIFS('داده کالاها'!$I$2:$I$12981,$A17,'داده کالاها'!$G$2:$G$12981,"۱- دقیقاً یکی")</f>
        <v>14</v>
      </c>
      <c r="C17" s="16" t="n">
        <f aca="false">COUNTIFS('داده کالاها'!$I$2:$I$12981,$A17,'داده کالاها'!$G$2:$G$12981,"۲- شرح یکی، واحد متفاوت")</f>
        <v>4</v>
      </c>
      <c r="D17" s="16" t="n">
        <f aca="false">COUNTIFS('داده کالاها'!$I$2:$I$12981,$A17,'داده کالاها'!$G$2:$G$12981,"۳- شرح مشابه، واحد متفاوت")</f>
        <v>12</v>
      </c>
      <c r="E17" s="16" t="n">
        <f aca="false">COUNTIFS('داده کالاها'!$I$2:$I$12981,$A17,'داده کالاها'!$G$2:$G$12981,"۴- شرح مشابه، واحد یکسان")</f>
        <v>56</v>
      </c>
      <c r="F17" s="16" t="n">
        <f aca="false">COUNTIFS('داده کالاها'!$I$2:$I$12981,$A17,'داده کالاها'!$G$2:$G$12981,"۵- بدون معادل")</f>
        <v>116</v>
      </c>
      <c r="G17" s="6" t="n">
        <f aca="false">SUM(B17:F17)</f>
        <v>202</v>
      </c>
      <c r="H17" s="17" t="n">
        <f aca="false">IF(G17=0,0,SUM(B17:E17)/G17)</f>
        <v>0.425742574257426</v>
      </c>
    </row>
    <row r="18" customFormat="false" ht="15" hidden="false" customHeight="false" outlineLevel="0" collapsed="false">
      <c r="A18" s="20" t="s">
        <v>50</v>
      </c>
      <c r="B18" s="16" t="n">
        <f aca="false">COUNTIFS('داده کالاها'!$I$2:$I$12981,$A18,'داده کالاها'!$G$2:$G$12981,"۱- دقیقاً یکی")</f>
        <v>13</v>
      </c>
      <c r="C18" s="16" t="n">
        <f aca="false">COUNTIFS('داده کالاها'!$I$2:$I$12981,$A18,'داده کالاها'!$G$2:$G$12981,"۲- شرح یکی، واحد متفاوت")</f>
        <v>4</v>
      </c>
      <c r="D18" s="16" t="n">
        <f aca="false">COUNTIFS('داده کالاها'!$I$2:$I$12981,$A18,'داده کالاها'!$G$2:$G$12981,"۳- شرح مشابه، واحد متفاوت")</f>
        <v>12</v>
      </c>
      <c r="E18" s="16" t="n">
        <f aca="false">COUNTIFS('داده کالاها'!$I$2:$I$12981,$A18,'داده کالاها'!$G$2:$G$12981,"۴- شرح مشابه، واحد یکسان")</f>
        <v>30</v>
      </c>
      <c r="F18" s="16" t="n">
        <f aca="false">COUNTIFS('داده کالاها'!$I$2:$I$12981,$A18,'داده کالاها'!$G$2:$G$12981,"۵- بدون معادل")</f>
        <v>106</v>
      </c>
      <c r="G18" s="6" t="n">
        <f aca="false">SUM(B18:F18)</f>
        <v>165</v>
      </c>
      <c r="H18" s="17" t="n">
        <f aca="false">IF(G18=0,0,SUM(B18:E18)/G18)</f>
        <v>0.357575757575758</v>
      </c>
    </row>
    <row r="19" customFormat="false" ht="15" hidden="false" customHeight="false" outlineLevel="0" collapsed="false">
      <c r="A19" s="5" t="s">
        <v>51</v>
      </c>
      <c r="B19" s="16" t="n">
        <f aca="false">COUNTIF('داده کالاها'!$G$2:$G$12981,"۱- دقیقاً یکی")-SUM(B5:B18)</f>
        <v>62</v>
      </c>
      <c r="C19" s="16" t="n">
        <f aca="false">COUNTIF('داده کالاها'!$G$2:$G$12981,"۲- شرح یکی، واحد متفاوت")-SUM(C5:C18)</f>
        <v>16</v>
      </c>
      <c r="D19" s="16" t="n">
        <f aca="false">COUNTIF('داده کالاها'!$G$2:$G$12981,"۳- شرح مشابه، واحد متفاوت")-SUM(D5:D18)</f>
        <v>27</v>
      </c>
      <c r="E19" s="16" t="n">
        <f aca="false">COUNTIF('داده کالاها'!$G$2:$G$12981,"۴- شرح مشابه، واحد یکسان")-SUM(E5:E18)</f>
        <v>140</v>
      </c>
      <c r="F19" s="16" t="n">
        <f aca="false">COUNTIF('داده کالاها'!$G$2:$G$12981,"۵- بدون معادل")-SUM(F5:F18)</f>
        <v>519</v>
      </c>
      <c r="G19" s="6" t="n">
        <f aca="false">SUM(B19:F19)</f>
        <v>764</v>
      </c>
      <c r="H19" s="17" t="n">
        <f aca="false">IF(G19=0,0,SUM(B19:E19)/G19)</f>
        <v>0.320680628272251</v>
      </c>
    </row>
    <row r="20" customFormat="false" ht="15" hidden="false" customHeight="false" outlineLevel="0" collapsed="false">
      <c r="A20" s="12" t="s">
        <v>22</v>
      </c>
      <c r="B20" s="14" t="n">
        <f aca="false">SUM(B5:B19)</f>
        <v>450</v>
      </c>
      <c r="C20" s="14" t="n">
        <f aca="false">SUM(C5:C19)</f>
        <v>77</v>
      </c>
      <c r="D20" s="14" t="n">
        <f aca="false">SUM(D5:D19)</f>
        <v>395</v>
      </c>
      <c r="E20" s="14" t="n">
        <f aca="false">SUM(E5:E19)</f>
        <v>2174</v>
      </c>
      <c r="F20" s="14" t="n">
        <f aca="false">SUM(F5:F19)</f>
        <v>9884</v>
      </c>
      <c r="G20" s="14" t="n">
        <f aca="false">SUM(G5:G19)</f>
        <v>12980</v>
      </c>
      <c r="H20" s="18" t="n">
        <f aca="false">IF(G20=0,0,SUM(B20:E20)/G20)</f>
        <v>0.238520801232666</v>
      </c>
    </row>
  </sheetData>
  <conditionalFormatting sqref="H5:H19">
    <cfRule type="colorScale" priority="2">
      <colorScale>
        <cfvo type="num" val="0"/>
        <cfvo type="num" val="0.25"/>
        <cfvo type="num" val="0.45"/>
        <color rgb="FFF8CBAD"/>
        <color rgb="FFFFEB9C"/>
        <color rgb="FFC6EFC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3"/>
    <col collapsed="false" customWidth="true" hidden="false" outlineLevel="0" max="5" min="5" style="0" width="12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4" customFormat="false" ht="31.5" hidden="false" customHeight="true" outlineLevel="0" collapsed="false">
      <c r="A4" s="3" t="s">
        <v>54</v>
      </c>
      <c r="B4" s="3" t="s">
        <v>55</v>
      </c>
      <c r="C4" s="3" t="s">
        <v>56</v>
      </c>
      <c r="D4" s="3" t="s">
        <v>57</v>
      </c>
      <c r="E4" s="3" t="s">
        <v>27</v>
      </c>
      <c r="F4" s="3" t="s">
        <v>58</v>
      </c>
    </row>
    <row r="5" customFormat="false" ht="15" hidden="false" customHeight="false" outlineLevel="0" collapsed="false">
      <c r="A5" s="20" t="s">
        <v>59</v>
      </c>
      <c r="B5" s="16" t="n">
        <f aca="false">C5+D5</f>
        <v>284</v>
      </c>
      <c r="C5" s="16" t="n">
        <f aca="false">COUNTIFS('داده کالاها'!$J$2:$J$12981,$A5,'داده کالاها'!$H$2:$H$12981,"گروه مشابه")</f>
        <v>134</v>
      </c>
      <c r="D5" s="21" t="n">
        <f aca="false">COUNTIFS('داده کالاها'!$J$2:$J$12981,$A5,'داده کالاها'!$H$2:$H$12981,"گروه متفاوت")</f>
        <v>150</v>
      </c>
      <c r="E5" s="22" t="n">
        <f aca="false">IF(B5=0,0,C5/B5)</f>
        <v>0.471830985915493</v>
      </c>
      <c r="F5" s="5" t="s">
        <v>38</v>
      </c>
    </row>
    <row r="6" customFormat="false" ht="15" hidden="false" customHeight="false" outlineLevel="0" collapsed="false">
      <c r="A6" s="20" t="s">
        <v>60</v>
      </c>
      <c r="B6" s="16" t="n">
        <f aca="false">C6+D6</f>
        <v>358</v>
      </c>
      <c r="C6" s="16" t="n">
        <f aca="false">COUNTIFS('داده کالاها'!$J$2:$J$12981,$A6,'داده کالاها'!$H$2:$H$12981,"گروه مشابه")</f>
        <v>258</v>
      </c>
      <c r="D6" s="21" t="n">
        <f aca="false">COUNTIFS('داده کالاها'!$J$2:$J$12981,$A6,'داده کالاها'!$H$2:$H$12981,"گروه متفاوت")</f>
        <v>100</v>
      </c>
      <c r="E6" s="22" t="n">
        <f aca="false">IF(B6=0,0,C6/B6)</f>
        <v>0.720670391061453</v>
      </c>
      <c r="F6" s="5" t="s">
        <v>40</v>
      </c>
    </row>
    <row r="7" customFormat="false" ht="15" hidden="false" customHeight="false" outlineLevel="0" collapsed="false">
      <c r="A7" s="20" t="s">
        <v>61</v>
      </c>
      <c r="B7" s="16" t="n">
        <f aca="false">C7+D7</f>
        <v>612</v>
      </c>
      <c r="C7" s="16" t="n">
        <f aca="false">COUNTIFS('داده کالاها'!$J$2:$J$12981,$A7,'داده کالاها'!$H$2:$H$12981,"گروه مشابه")</f>
        <v>515</v>
      </c>
      <c r="D7" s="21" t="n">
        <f aca="false">COUNTIFS('داده کالاها'!$J$2:$J$12981,$A7,'داده کالاها'!$H$2:$H$12981,"گروه متفاوت")</f>
        <v>97</v>
      </c>
      <c r="E7" s="22" t="n">
        <f aca="false">IF(B7=0,0,C7/B7)</f>
        <v>0.841503267973856</v>
      </c>
      <c r="F7" s="5" t="s">
        <v>38</v>
      </c>
    </row>
    <row r="8" customFormat="false" ht="15" hidden="false" customHeight="false" outlineLevel="0" collapsed="false">
      <c r="A8" s="20" t="s">
        <v>62</v>
      </c>
      <c r="B8" s="16" t="n">
        <f aca="false">C8+D8</f>
        <v>234</v>
      </c>
      <c r="C8" s="16" t="n">
        <f aca="false">COUNTIFS('داده کالاها'!$J$2:$J$12981,$A8,'داده کالاها'!$H$2:$H$12981,"گروه مشابه")</f>
        <v>158</v>
      </c>
      <c r="D8" s="21" t="n">
        <f aca="false">COUNTIFS('داده کالاها'!$J$2:$J$12981,$A8,'داده کالاها'!$H$2:$H$12981,"گروه متفاوت")</f>
        <v>76</v>
      </c>
      <c r="E8" s="22" t="n">
        <f aca="false">IF(B8=0,0,C8/B8)</f>
        <v>0.675213675213675</v>
      </c>
      <c r="F8" s="5" t="s">
        <v>42</v>
      </c>
    </row>
    <row r="9" customFormat="false" ht="15" hidden="false" customHeight="false" outlineLevel="0" collapsed="false">
      <c r="A9" s="20" t="s">
        <v>63</v>
      </c>
      <c r="B9" s="16" t="n">
        <f aca="false">C9+D9</f>
        <v>119</v>
      </c>
      <c r="C9" s="16" t="n">
        <f aca="false">COUNTIFS('داده کالاها'!$J$2:$J$12981,$A9,'داده کالاها'!$H$2:$H$12981,"گروه مشابه")</f>
        <v>55</v>
      </c>
      <c r="D9" s="21" t="n">
        <f aca="false">COUNTIFS('داده کالاها'!$J$2:$J$12981,$A9,'داده کالاها'!$H$2:$H$12981,"گروه متفاوت")</f>
        <v>64</v>
      </c>
      <c r="E9" s="22" t="n">
        <f aca="false">IF(B9=0,0,C9/B9)</f>
        <v>0.46218487394958</v>
      </c>
      <c r="F9" s="5" t="s">
        <v>64</v>
      </c>
    </row>
    <row r="10" customFormat="false" ht="15" hidden="false" customHeight="false" outlineLevel="0" collapsed="false">
      <c r="A10" s="20" t="s">
        <v>65</v>
      </c>
      <c r="B10" s="16" t="n">
        <f aca="false">C10+D10</f>
        <v>91</v>
      </c>
      <c r="C10" s="16" t="n">
        <f aca="false">COUNTIFS('داده کالاها'!$J$2:$J$12981,$A10,'داده کالاها'!$H$2:$H$12981,"گروه مشابه")</f>
        <v>28</v>
      </c>
      <c r="D10" s="21" t="n">
        <f aca="false">COUNTIFS('داده کالاها'!$J$2:$J$12981,$A10,'داده کالاها'!$H$2:$H$12981,"گروه متفاوت")</f>
        <v>63</v>
      </c>
      <c r="E10" s="22" t="n">
        <f aca="false">IF(B10=0,0,C10/B10)</f>
        <v>0.307692307692308</v>
      </c>
      <c r="F10" s="5" t="s">
        <v>45</v>
      </c>
    </row>
    <row r="11" customFormat="false" ht="15" hidden="false" customHeight="false" outlineLevel="0" collapsed="false">
      <c r="A11" s="20" t="s">
        <v>66</v>
      </c>
      <c r="B11" s="16" t="n">
        <f aca="false">C11+D11</f>
        <v>205</v>
      </c>
      <c r="C11" s="16" t="n">
        <f aca="false">COUNTIFS('داده کالاها'!$J$2:$J$12981,$A11,'داده کالاها'!$H$2:$H$12981,"گروه مشابه")</f>
        <v>143</v>
      </c>
      <c r="D11" s="21" t="n">
        <f aca="false">COUNTIFS('داده کالاها'!$J$2:$J$12981,$A11,'داده کالاها'!$H$2:$H$12981,"گروه متفاوت")</f>
        <v>62</v>
      </c>
      <c r="E11" s="22" t="n">
        <f aca="false">IF(B11=0,0,C11/B11)</f>
        <v>0.697560975609756</v>
      </c>
      <c r="F11" s="5" t="s">
        <v>37</v>
      </c>
    </row>
    <row r="12" customFormat="false" ht="15" hidden="false" customHeight="false" outlineLevel="0" collapsed="false">
      <c r="A12" s="20" t="s">
        <v>67</v>
      </c>
      <c r="B12" s="16" t="n">
        <f aca="false">C12+D12</f>
        <v>299</v>
      </c>
      <c r="C12" s="16" t="n">
        <f aca="false">COUNTIFS('داده کالاها'!$J$2:$J$12981,$A12,'داده کالاها'!$H$2:$H$12981,"گروه مشابه")</f>
        <v>243</v>
      </c>
      <c r="D12" s="21" t="n">
        <f aca="false">COUNTIFS('داده کالاها'!$J$2:$J$12981,$A12,'داده کالاها'!$H$2:$H$12981,"گروه متفاوت")</f>
        <v>56</v>
      </c>
      <c r="E12" s="22" t="n">
        <f aca="false">IF(B12=0,0,C12/B12)</f>
        <v>0.812709030100335</v>
      </c>
      <c r="F12" s="5" t="s">
        <v>37</v>
      </c>
    </row>
    <row r="13" customFormat="false" ht="15" hidden="false" customHeight="false" outlineLevel="0" collapsed="false">
      <c r="A13" s="5" t="s">
        <v>68</v>
      </c>
      <c r="B13" s="16" t="n">
        <f aca="false">C13+D13</f>
        <v>894</v>
      </c>
      <c r="C13" s="16" t="n">
        <f aca="false">COUNTIF('داده کالاها'!$H$2:$H$12981,"گروه مشابه")-SUM(C5:C12)</f>
        <v>575</v>
      </c>
      <c r="D13" s="21" t="n">
        <f aca="false">COUNTIF('داده کالاها'!$H$2:$H$12981,"گروه متفاوت")-SUM(D5:D12)</f>
        <v>319</v>
      </c>
      <c r="E13" s="22" t="n">
        <f aca="false">IF(B13=0,0,C13/B13)</f>
        <v>0.643176733780761</v>
      </c>
      <c r="F13" s="23"/>
    </row>
    <row r="14" customFormat="false" ht="15" hidden="false" customHeight="false" outlineLevel="0" collapsed="false">
      <c r="A14" s="12" t="s">
        <v>22</v>
      </c>
      <c r="B14" s="14" t="n">
        <f aca="false">SUM(B5:B13)</f>
        <v>3096</v>
      </c>
      <c r="C14" s="14" t="n">
        <f aca="false">SUM(C5:C13)</f>
        <v>2109</v>
      </c>
      <c r="D14" s="14" t="n">
        <f aca="false">SUM(D5:D13)</f>
        <v>987</v>
      </c>
      <c r="E14" s="18" t="n">
        <f aca="false">IF(B14=0,0,C14/B14)</f>
        <v>0.681201550387597</v>
      </c>
      <c r="F14" s="13"/>
    </row>
    <row r="16" customFormat="false" ht="15" hidden="false" customHeight="false" outlineLevel="0" collapsed="false">
      <c r="A16" s="2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3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4" customFormat="false" ht="31.5" hidden="false" customHeight="true" outlineLevel="0" collapsed="false">
      <c r="A4" s="3" t="s">
        <v>72</v>
      </c>
      <c r="B4" s="3" t="s">
        <v>4</v>
      </c>
      <c r="C4" s="3" t="s">
        <v>73</v>
      </c>
    </row>
    <row r="5" customFormat="false" ht="15" hidden="false" customHeight="false" outlineLevel="0" collapsed="false">
      <c r="A5" s="19" t="s">
        <v>74</v>
      </c>
      <c r="B5" s="6" t="n">
        <f aca="false">COUNTIF('داده کالاها'!$L$2:$L$12981,A5)</f>
        <v>55</v>
      </c>
      <c r="C5" s="24" t="s">
        <v>75</v>
      </c>
    </row>
    <row r="6" customFormat="false" ht="15" hidden="false" customHeight="false" outlineLevel="0" collapsed="false">
      <c r="A6" s="19" t="s">
        <v>76</v>
      </c>
      <c r="B6" s="6" t="n">
        <f aca="false">COUNTIF('داده کالاها'!$L$2:$L$12981,A6)</f>
        <v>39</v>
      </c>
      <c r="C6" s="24" t="s">
        <v>75</v>
      </c>
    </row>
    <row r="7" customFormat="false" ht="15" hidden="false" customHeight="false" outlineLevel="0" collapsed="false">
      <c r="A7" s="19" t="s">
        <v>77</v>
      </c>
      <c r="B7" s="6" t="n">
        <f aca="false">COUNTIF('داده کالاها'!$L$2:$L$12981,A7)</f>
        <v>38</v>
      </c>
      <c r="C7" s="25" t="s">
        <v>78</v>
      </c>
    </row>
    <row r="8" customFormat="false" ht="15" hidden="false" customHeight="false" outlineLevel="0" collapsed="false">
      <c r="A8" s="19" t="s">
        <v>79</v>
      </c>
      <c r="B8" s="6" t="n">
        <f aca="false">COUNTIF('داده کالاها'!$L$2:$L$12981,A8)</f>
        <v>28</v>
      </c>
      <c r="C8" s="25" t="s">
        <v>78</v>
      </c>
    </row>
    <row r="9" customFormat="false" ht="15" hidden="false" customHeight="false" outlineLevel="0" collapsed="false">
      <c r="A9" s="19" t="s">
        <v>80</v>
      </c>
      <c r="B9" s="6" t="n">
        <f aca="false">COUNTIF('داده کالاها'!$L$2:$L$12981,A9)</f>
        <v>28</v>
      </c>
      <c r="C9" s="25" t="s">
        <v>78</v>
      </c>
    </row>
    <row r="10" customFormat="false" ht="15" hidden="false" customHeight="false" outlineLevel="0" collapsed="false">
      <c r="A10" s="19" t="s">
        <v>81</v>
      </c>
      <c r="B10" s="6" t="n">
        <f aca="false">COUNTIF('داده کالاها'!$L$2:$L$12981,A10)</f>
        <v>24</v>
      </c>
      <c r="C10" s="25" t="s">
        <v>78</v>
      </c>
    </row>
    <row r="11" customFormat="false" ht="15" hidden="false" customHeight="false" outlineLevel="0" collapsed="false">
      <c r="A11" s="19" t="s">
        <v>82</v>
      </c>
      <c r="B11" s="6" t="n">
        <f aca="false">COUNTIF('داده کالاها'!$L$2:$L$12981,A11)</f>
        <v>20</v>
      </c>
      <c r="C11" s="25" t="s">
        <v>78</v>
      </c>
    </row>
    <row r="12" customFormat="false" ht="15" hidden="false" customHeight="false" outlineLevel="0" collapsed="false">
      <c r="A12" s="19" t="s">
        <v>83</v>
      </c>
      <c r="B12" s="6" t="n">
        <f aca="false">COUNTIF('داده کالاها'!$L$2:$L$12981,A12)</f>
        <v>16</v>
      </c>
      <c r="C12" s="25" t="s">
        <v>78</v>
      </c>
    </row>
    <row r="13" customFormat="false" ht="15" hidden="false" customHeight="false" outlineLevel="0" collapsed="false">
      <c r="A13" s="5" t="s">
        <v>84</v>
      </c>
      <c r="B13" s="16" t="n">
        <f aca="false">COUNTIF('داده کالاها'!$G$2:$G$12981,"۲- شرح یکی، واحد متفاوت")+COUNTIF('داده کالاها'!$G$2:$G$12981,"۳- شرح مشابه، واحد متفاوت")-SUM(B5:B12)</f>
        <v>224</v>
      </c>
      <c r="C13" s="23"/>
    </row>
    <row r="14" customFormat="false" ht="15" hidden="false" customHeight="false" outlineLevel="0" collapsed="false">
      <c r="A14" s="12" t="s">
        <v>22</v>
      </c>
      <c r="B14" s="14" t="n">
        <f aca="false">SUM(B5:B13)</f>
        <v>472</v>
      </c>
      <c r="C14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31.5" hidden="false" customHeight="true" outlineLevel="0" collapsed="false">
      <c r="A4" s="3" t="s">
        <v>2</v>
      </c>
      <c r="B4" s="3" t="s">
        <v>6</v>
      </c>
      <c r="C4" s="3" t="s">
        <v>4</v>
      </c>
      <c r="D4" s="3" t="s">
        <v>87</v>
      </c>
    </row>
    <row r="5" customFormat="false" ht="15" hidden="false" customHeight="false" outlineLevel="0" collapsed="false">
      <c r="A5" s="4" t="s">
        <v>7</v>
      </c>
      <c r="B5" s="5" t="s">
        <v>9</v>
      </c>
      <c r="C5" s="6" t="n">
        <f aca="false">COUNTIF('داده کالاها'!$G$2:$G$12981,A5)</f>
        <v>450</v>
      </c>
      <c r="D5" s="16" t="n">
        <f aca="false">COUNTIFS('داده کالاها'!$G$2:$G$12981,A5,'داده کالاها'!$H$2:$H$12981,"گروه متفاوت")</f>
        <v>117</v>
      </c>
    </row>
    <row r="6" customFormat="false" ht="15" hidden="false" customHeight="false" outlineLevel="0" collapsed="false">
      <c r="A6" s="8" t="s">
        <v>10</v>
      </c>
      <c r="B6" s="5" t="s">
        <v>12</v>
      </c>
      <c r="C6" s="6" t="n">
        <f aca="false">COUNTIF('داده کالاها'!$G$2:$G$12981,A6)</f>
        <v>77</v>
      </c>
      <c r="D6" s="16" t="n">
        <f aca="false">COUNTIFS('داده کالاها'!$G$2:$G$12981,A6,'داده کالاها'!$H$2:$H$12981,"گروه متفاوت")</f>
        <v>40</v>
      </c>
    </row>
    <row r="7" customFormat="false" ht="15" hidden="false" customHeight="false" outlineLevel="0" collapsed="false">
      <c r="A7" s="9" t="s">
        <v>13</v>
      </c>
      <c r="B7" s="5" t="s">
        <v>15</v>
      </c>
      <c r="C7" s="6" t="n">
        <f aca="false">COUNTIF('داده کالاها'!$G$2:$G$12981,A7)</f>
        <v>395</v>
      </c>
      <c r="D7" s="16" t="n">
        <f aca="false">COUNTIFS('داده کالاها'!$G$2:$G$12981,A7,'داده کالاها'!$H$2:$H$12981,"گروه متفاوت")</f>
        <v>160</v>
      </c>
    </row>
    <row r="8" customFormat="false" ht="15" hidden="false" customHeight="false" outlineLevel="0" collapsed="false">
      <c r="A8" s="10" t="s">
        <v>16</v>
      </c>
      <c r="B8" s="5" t="s">
        <v>18</v>
      </c>
      <c r="C8" s="6" t="n">
        <f aca="false">COUNTIF('داده کالاها'!$G$2:$G$12981,A8)</f>
        <v>2174</v>
      </c>
      <c r="D8" s="16" t="n">
        <f aca="false">COUNTIFS('داده کالاها'!$G$2:$G$12981,A8,'داده کالاها'!$H$2:$H$12981,"گروه متفاوت")</f>
        <v>670</v>
      </c>
    </row>
    <row r="9" customFormat="false" ht="15" hidden="false" customHeight="false" outlineLevel="0" collapsed="false">
      <c r="A9" s="11" t="s">
        <v>19</v>
      </c>
      <c r="B9" s="5" t="s">
        <v>21</v>
      </c>
      <c r="C9" s="6" t="n">
        <f aca="false">COUNTIF('داده کالاها'!$G$2:$G$12981,A9)</f>
        <v>9884</v>
      </c>
      <c r="D9" s="16"/>
    </row>
    <row r="10" customFormat="false" ht="15" hidden="false" customHeight="false" outlineLevel="0" collapsed="false">
      <c r="A10" s="12" t="s">
        <v>22</v>
      </c>
      <c r="B10" s="13"/>
      <c r="C10" s="14" t="n">
        <f aca="false">SUM(C5:C9)</f>
        <v>12980</v>
      </c>
      <c r="D10" s="14" t="n">
        <f aca="false">SUM(D5:D9)</f>
        <v>987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98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0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7" min="7" style="0" width="26"/>
    <col collapsed="false" customWidth="true" hidden="false" outlineLevel="0" max="8" min="8" style="0" width="14"/>
    <col collapsed="false" customWidth="true" hidden="false" outlineLevel="0" max="9" min="9" style="0" width="26"/>
    <col collapsed="false" customWidth="true" hidden="false" outlineLevel="0" max="11" min="10" style="0" width="24"/>
    <col collapsed="false" customWidth="true" hidden="false" outlineLevel="0" max="12" min="12" style="0" width="22"/>
  </cols>
  <sheetData>
    <row r="1" customFormat="false" ht="31.5" hidden="false" customHeight="true" outlineLevel="0" collapsed="false">
      <c r="A1" s="3" t="s">
        <v>88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2</v>
      </c>
      <c r="H1" s="3" t="s">
        <v>94</v>
      </c>
      <c r="I1" s="3" t="s">
        <v>95</v>
      </c>
      <c r="J1" s="3" t="s">
        <v>96</v>
      </c>
      <c r="K1" s="3" t="s">
        <v>97</v>
      </c>
      <c r="L1" s="3" t="s">
        <v>72</v>
      </c>
    </row>
    <row r="2" customFormat="false" ht="15" hidden="false" customHeight="false" outlineLevel="0" collapsed="false">
      <c r="A2" s="26" t="s">
        <v>98</v>
      </c>
      <c r="B2" s="27" t="s">
        <v>99</v>
      </c>
      <c r="C2" s="27" t="s">
        <v>100</v>
      </c>
      <c r="D2" s="26" t="s">
        <v>101</v>
      </c>
      <c r="E2" s="27" t="s">
        <v>99</v>
      </c>
      <c r="F2" s="28" t="s">
        <v>102</v>
      </c>
      <c r="G2" s="27" t="s">
        <v>103</v>
      </c>
      <c r="H2" s="27" t="s">
        <v>56</v>
      </c>
      <c r="I2" s="27" t="s">
        <v>47</v>
      </c>
      <c r="J2" s="28" t="s">
        <v>104</v>
      </c>
      <c r="K2" s="27" t="s">
        <v>47</v>
      </c>
      <c r="L2" s="27"/>
    </row>
    <row r="3" customFormat="false" ht="15" hidden="false" customHeight="false" outlineLevel="0" collapsed="false">
      <c r="A3" s="26" t="s">
        <v>105</v>
      </c>
      <c r="B3" s="27" t="s">
        <v>106</v>
      </c>
      <c r="C3" s="27" t="s">
        <v>100</v>
      </c>
      <c r="D3" s="26" t="s">
        <v>107</v>
      </c>
      <c r="E3" s="27" t="s">
        <v>106</v>
      </c>
      <c r="F3" s="28" t="s">
        <v>102</v>
      </c>
      <c r="G3" s="27" t="s">
        <v>103</v>
      </c>
      <c r="H3" s="27" t="s">
        <v>56</v>
      </c>
      <c r="I3" s="27" t="s">
        <v>108</v>
      </c>
      <c r="J3" s="28" t="s">
        <v>109</v>
      </c>
      <c r="K3" s="27" t="s">
        <v>108</v>
      </c>
      <c r="L3" s="27"/>
    </row>
    <row r="4" customFormat="false" ht="15" hidden="false" customHeight="false" outlineLevel="0" collapsed="false">
      <c r="A4" s="26" t="s">
        <v>110</v>
      </c>
      <c r="B4" s="27" t="s">
        <v>111</v>
      </c>
      <c r="C4" s="27" t="s">
        <v>100</v>
      </c>
      <c r="D4" s="26" t="s">
        <v>112</v>
      </c>
      <c r="E4" s="27" t="s">
        <v>111</v>
      </c>
      <c r="F4" s="28" t="s">
        <v>102</v>
      </c>
      <c r="G4" s="27" t="s">
        <v>103</v>
      </c>
      <c r="H4" s="27" t="s">
        <v>56</v>
      </c>
      <c r="I4" s="27" t="s">
        <v>108</v>
      </c>
      <c r="J4" s="28" t="s">
        <v>113</v>
      </c>
      <c r="K4" s="27" t="s">
        <v>108</v>
      </c>
      <c r="L4" s="27"/>
    </row>
    <row r="5" customFormat="false" ht="15" hidden="false" customHeight="false" outlineLevel="0" collapsed="false">
      <c r="A5" s="26" t="s">
        <v>114</v>
      </c>
      <c r="B5" s="27" t="s">
        <v>115</v>
      </c>
      <c r="C5" s="27" t="s">
        <v>100</v>
      </c>
      <c r="D5" s="26" t="s">
        <v>116</v>
      </c>
      <c r="E5" s="27" t="s">
        <v>117</v>
      </c>
      <c r="F5" s="28" t="s">
        <v>102</v>
      </c>
      <c r="G5" s="27" t="s">
        <v>103</v>
      </c>
      <c r="H5" s="27" t="s">
        <v>56</v>
      </c>
      <c r="I5" s="27" t="s">
        <v>108</v>
      </c>
      <c r="J5" s="28" t="s">
        <v>113</v>
      </c>
      <c r="K5" s="27" t="s">
        <v>108</v>
      </c>
      <c r="L5" s="27"/>
    </row>
    <row r="6" customFormat="false" ht="15" hidden="false" customHeight="false" outlineLevel="0" collapsed="false">
      <c r="A6" s="26" t="s">
        <v>118</v>
      </c>
      <c r="B6" s="27" t="s">
        <v>119</v>
      </c>
      <c r="C6" s="27" t="s">
        <v>100</v>
      </c>
      <c r="D6" s="26" t="s">
        <v>120</v>
      </c>
      <c r="E6" s="27" t="s">
        <v>119</v>
      </c>
      <c r="F6" s="28" t="s">
        <v>102</v>
      </c>
      <c r="G6" s="27" t="s">
        <v>103</v>
      </c>
      <c r="H6" s="27" t="s">
        <v>56</v>
      </c>
      <c r="I6" s="27" t="s">
        <v>108</v>
      </c>
      <c r="J6" s="28" t="s">
        <v>113</v>
      </c>
      <c r="K6" s="27" t="s">
        <v>108</v>
      </c>
      <c r="L6" s="27"/>
    </row>
    <row r="7" customFormat="false" ht="15" hidden="false" customHeight="false" outlineLevel="0" collapsed="false">
      <c r="A7" s="26" t="s">
        <v>121</v>
      </c>
      <c r="B7" s="27" t="s">
        <v>122</v>
      </c>
      <c r="C7" s="27" t="s">
        <v>100</v>
      </c>
      <c r="D7" s="26" t="s">
        <v>123</v>
      </c>
      <c r="E7" s="27" t="s">
        <v>124</v>
      </c>
      <c r="F7" s="28" t="s">
        <v>102</v>
      </c>
      <c r="G7" s="27" t="s">
        <v>103</v>
      </c>
      <c r="H7" s="27" t="s">
        <v>57</v>
      </c>
      <c r="I7" s="27" t="s">
        <v>64</v>
      </c>
      <c r="J7" s="28" t="s">
        <v>113</v>
      </c>
      <c r="K7" s="27" t="s">
        <v>108</v>
      </c>
      <c r="L7" s="27"/>
    </row>
    <row r="8" customFormat="false" ht="15" hidden="false" customHeight="false" outlineLevel="0" collapsed="false">
      <c r="A8" s="26" t="s">
        <v>125</v>
      </c>
      <c r="B8" s="27" t="s">
        <v>126</v>
      </c>
      <c r="C8" s="27" t="s">
        <v>100</v>
      </c>
      <c r="D8" s="26" t="s">
        <v>127</v>
      </c>
      <c r="E8" s="27" t="s">
        <v>128</v>
      </c>
      <c r="F8" s="28" t="s">
        <v>102</v>
      </c>
      <c r="G8" s="27" t="s">
        <v>103</v>
      </c>
      <c r="H8" s="27" t="s">
        <v>57</v>
      </c>
      <c r="I8" s="27" t="s">
        <v>43</v>
      </c>
      <c r="J8" s="28" t="s">
        <v>113</v>
      </c>
      <c r="K8" s="27" t="s">
        <v>108</v>
      </c>
      <c r="L8" s="27"/>
    </row>
    <row r="9" customFormat="false" ht="15" hidden="false" customHeight="false" outlineLevel="0" collapsed="false">
      <c r="A9" s="26" t="s">
        <v>129</v>
      </c>
      <c r="B9" s="27" t="s">
        <v>130</v>
      </c>
      <c r="C9" s="27" t="s">
        <v>131</v>
      </c>
      <c r="D9" s="26" t="s">
        <v>132</v>
      </c>
      <c r="E9" s="27" t="s">
        <v>133</v>
      </c>
      <c r="F9" s="28" t="s">
        <v>134</v>
      </c>
      <c r="G9" s="27" t="s">
        <v>103</v>
      </c>
      <c r="H9" s="27" t="s">
        <v>57</v>
      </c>
      <c r="I9" s="27" t="s">
        <v>43</v>
      </c>
      <c r="J9" s="28" t="s">
        <v>113</v>
      </c>
      <c r="K9" s="27" t="s">
        <v>108</v>
      </c>
      <c r="L9" s="27"/>
    </row>
    <row r="10" customFormat="false" ht="15" hidden="false" customHeight="false" outlineLevel="0" collapsed="false">
      <c r="A10" s="26" t="s">
        <v>135</v>
      </c>
      <c r="B10" s="27" t="s">
        <v>136</v>
      </c>
      <c r="C10" s="27" t="s">
        <v>137</v>
      </c>
      <c r="D10" s="26" t="s">
        <v>138</v>
      </c>
      <c r="E10" s="27" t="s">
        <v>139</v>
      </c>
      <c r="F10" s="28" t="s">
        <v>140</v>
      </c>
      <c r="G10" s="27" t="s">
        <v>103</v>
      </c>
      <c r="H10" s="27" t="s">
        <v>56</v>
      </c>
      <c r="I10" s="27" t="s">
        <v>40</v>
      </c>
      <c r="J10" s="28" t="s">
        <v>141</v>
      </c>
      <c r="K10" s="27" t="s">
        <v>40</v>
      </c>
      <c r="L10" s="27"/>
    </row>
    <row r="11" customFormat="false" ht="15" hidden="false" customHeight="false" outlineLevel="0" collapsed="false">
      <c r="A11" s="26" t="s">
        <v>142</v>
      </c>
      <c r="B11" s="27" t="s">
        <v>143</v>
      </c>
      <c r="C11" s="27" t="s">
        <v>144</v>
      </c>
      <c r="D11" s="26" t="s">
        <v>145</v>
      </c>
      <c r="E11" s="27" t="s">
        <v>143</v>
      </c>
      <c r="F11" s="28" t="s">
        <v>146</v>
      </c>
      <c r="G11" s="27" t="s">
        <v>103</v>
      </c>
      <c r="H11" s="27" t="s">
        <v>57</v>
      </c>
      <c r="I11" s="27" t="s">
        <v>42</v>
      </c>
      <c r="J11" s="28" t="s">
        <v>147</v>
      </c>
      <c r="K11" s="27" t="s">
        <v>45</v>
      </c>
      <c r="L11" s="27"/>
    </row>
    <row r="12" customFormat="false" ht="15" hidden="false" customHeight="false" outlineLevel="0" collapsed="false">
      <c r="A12" s="26" t="s">
        <v>148</v>
      </c>
      <c r="B12" s="27" t="s">
        <v>149</v>
      </c>
      <c r="C12" s="27" t="s">
        <v>144</v>
      </c>
      <c r="D12" s="26" t="s">
        <v>150</v>
      </c>
      <c r="E12" s="27" t="s">
        <v>151</v>
      </c>
      <c r="F12" s="28" t="s">
        <v>146</v>
      </c>
      <c r="G12" s="27" t="s">
        <v>103</v>
      </c>
      <c r="H12" s="27" t="s">
        <v>56</v>
      </c>
      <c r="I12" s="27" t="s">
        <v>152</v>
      </c>
      <c r="J12" s="28" t="s">
        <v>153</v>
      </c>
      <c r="K12" s="27" t="s">
        <v>152</v>
      </c>
      <c r="L12" s="27"/>
    </row>
    <row r="13" customFormat="false" ht="15" hidden="false" customHeight="false" outlineLevel="0" collapsed="false">
      <c r="A13" s="26" t="s">
        <v>154</v>
      </c>
      <c r="B13" s="27" t="s">
        <v>155</v>
      </c>
      <c r="C13" s="27" t="s">
        <v>144</v>
      </c>
      <c r="D13" s="26" t="s">
        <v>150</v>
      </c>
      <c r="E13" s="27" t="s">
        <v>151</v>
      </c>
      <c r="F13" s="28" t="s">
        <v>146</v>
      </c>
      <c r="G13" s="27" t="s">
        <v>103</v>
      </c>
      <c r="H13" s="27" t="s">
        <v>56</v>
      </c>
      <c r="I13" s="27" t="s">
        <v>152</v>
      </c>
      <c r="J13" s="28" t="s">
        <v>156</v>
      </c>
      <c r="K13" s="27" t="s">
        <v>152</v>
      </c>
      <c r="L13" s="27"/>
    </row>
    <row r="14" customFormat="false" ht="15" hidden="false" customHeight="false" outlineLevel="0" collapsed="false">
      <c r="A14" s="26" t="s">
        <v>157</v>
      </c>
      <c r="B14" s="27" t="s">
        <v>158</v>
      </c>
      <c r="C14" s="27" t="s">
        <v>144</v>
      </c>
      <c r="D14" s="26" t="s">
        <v>159</v>
      </c>
      <c r="E14" s="27" t="s">
        <v>160</v>
      </c>
      <c r="F14" s="28" t="s">
        <v>146</v>
      </c>
      <c r="G14" s="27" t="s">
        <v>103</v>
      </c>
      <c r="H14" s="27" t="s">
        <v>56</v>
      </c>
      <c r="I14" s="27" t="s">
        <v>40</v>
      </c>
      <c r="J14" s="28" t="s">
        <v>161</v>
      </c>
      <c r="K14" s="27" t="s">
        <v>40</v>
      </c>
      <c r="L14" s="27"/>
    </row>
    <row r="15" customFormat="false" ht="15" hidden="false" customHeight="false" outlineLevel="0" collapsed="false">
      <c r="A15" s="26" t="s">
        <v>162</v>
      </c>
      <c r="B15" s="27" t="s">
        <v>163</v>
      </c>
      <c r="C15" s="27" t="s">
        <v>144</v>
      </c>
      <c r="D15" s="26" t="s">
        <v>164</v>
      </c>
      <c r="E15" s="27" t="s">
        <v>165</v>
      </c>
      <c r="F15" s="28" t="s">
        <v>146</v>
      </c>
      <c r="G15" s="27" t="s">
        <v>103</v>
      </c>
      <c r="H15" s="27" t="s">
        <v>56</v>
      </c>
      <c r="I15" s="27" t="s">
        <v>40</v>
      </c>
      <c r="J15" s="28" t="s">
        <v>161</v>
      </c>
      <c r="K15" s="27" t="s">
        <v>40</v>
      </c>
      <c r="L15" s="27"/>
    </row>
    <row r="16" customFormat="false" ht="15" hidden="false" customHeight="false" outlineLevel="0" collapsed="false">
      <c r="A16" s="26" t="s">
        <v>166</v>
      </c>
      <c r="B16" s="27" t="s">
        <v>167</v>
      </c>
      <c r="C16" s="27" t="s">
        <v>144</v>
      </c>
      <c r="D16" s="26" t="s">
        <v>168</v>
      </c>
      <c r="E16" s="27" t="s">
        <v>169</v>
      </c>
      <c r="F16" s="28" t="s">
        <v>146</v>
      </c>
      <c r="G16" s="27" t="s">
        <v>103</v>
      </c>
      <c r="H16" s="27" t="s">
        <v>56</v>
      </c>
      <c r="I16" s="27" t="s">
        <v>40</v>
      </c>
      <c r="J16" s="28" t="s">
        <v>161</v>
      </c>
      <c r="K16" s="27" t="s">
        <v>40</v>
      </c>
      <c r="L16" s="27"/>
    </row>
    <row r="17" customFormat="false" ht="15" hidden="false" customHeight="false" outlineLevel="0" collapsed="false">
      <c r="A17" s="26" t="s">
        <v>170</v>
      </c>
      <c r="B17" s="27" t="s">
        <v>171</v>
      </c>
      <c r="C17" s="27" t="s">
        <v>144</v>
      </c>
      <c r="D17" s="26" t="s">
        <v>172</v>
      </c>
      <c r="E17" s="27" t="s">
        <v>173</v>
      </c>
      <c r="F17" s="28" t="s">
        <v>146</v>
      </c>
      <c r="G17" s="27" t="s">
        <v>103</v>
      </c>
      <c r="H17" s="27" t="s">
        <v>57</v>
      </c>
      <c r="I17" s="27" t="s">
        <v>38</v>
      </c>
      <c r="J17" s="28" t="s">
        <v>161</v>
      </c>
      <c r="K17" s="27" t="s">
        <v>40</v>
      </c>
      <c r="L17" s="27"/>
    </row>
    <row r="18" customFormat="false" ht="15" hidden="false" customHeight="false" outlineLevel="0" collapsed="false">
      <c r="A18" s="26" t="s">
        <v>174</v>
      </c>
      <c r="B18" s="27" t="s">
        <v>175</v>
      </c>
      <c r="C18" s="27" t="s">
        <v>144</v>
      </c>
      <c r="D18" s="26" t="s">
        <v>176</v>
      </c>
      <c r="E18" s="27" t="s">
        <v>175</v>
      </c>
      <c r="F18" s="28" t="s">
        <v>146</v>
      </c>
      <c r="G18" s="27" t="s">
        <v>103</v>
      </c>
      <c r="H18" s="27" t="s">
        <v>56</v>
      </c>
      <c r="I18" s="27" t="s">
        <v>40</v>
      </c>
      <c r="J18" s="28" t="s">
        <v>161</v>
      </c>
      <c r="K18" s="27" t="s">
        <v>40</v>
      </c>
      <c r="L18" s="27"/>
    </row>
    <row r="19" customFormat="false" ht="15" hidden="false" customHeight="false" outlineLevel="0" collapsed="false">
      <c r="A19" s="26" t="s">
        <v>177</v>
      </c>
      <c r="B19" s="27" t="s">
        <v>178</v>
      </c>
      <c r="C19" s="27" t="s">
        <v>144</v>
      </c>
      <c r="D19" s="26" t="s">
        <v>179</v>
      </c>
      <c r="E19" s="27" t="s">
        <v>180</v>
      </c>
      <c r="F19" s="28" t="s">
        <v>146</v>
      </c>
      <c r="G19" s="27" t="s">
        <v>103</v>
      </c>
      <c r="H19" s="27" t="s">
        <v>56</v>
      </c>
      <c r="I19" s="27" t="s">
        <v>40</v>
      </c>
      <c r="J19" s="28" t="s">
        <v>161</v>
      </c>
      <c r="K19" s="27" t="s">
        <v>40</v>
      </c>
      <c r="L19" s="27"/>
    </row>
    <row r="20" customFormat="false" ht="15" hidden="false" customHeight="false" outlineLevel="0" collapsed="false">
      <c r="A20" s="26" t="s">
        <v>181</v>
      </c>
      <c r="B20" s="27" t="s">
        <v>182</v>
      </c>
      <c r="C20" s="27" t="s">
        <v>144</v>
      </c>
      <c r="D20" s="26" t="s">
        <v>183</v>
      </c>
      <c r="E20" s="27" t="s">
        <v>184</v>
      </c>
      <c r="F20" s="28" t="s">
        <v>146</v>
      </c>
      <c r="G20" s="27" t="s">
        <v>103</v>
      </c>
      <c r="H20" s="27" t="s">
        <v>56</v>
      </c>
      <c r="I20" s="27" t="s">
        <v>40</v>
      </c>
      <c r="J20" s="28" t="s">
        <v>161</v>
      </c>
      <c r="K20" s="27" t="s">
        <v>40</v>
      </c>
      <c r="L20" s="27"/>
    </row>
    <row r="21" customFormat="false" ht="15" hidden="false" customHeight="false" outlineLevel="0" collapsed="false">
      <c r="A21" s="26" t="s">
        <v>185</v>
      </c>
      <c r="B21" s="27" t="s">
        <v>186</v>
      </c>
      <c r="C21" s="27" t="s">
        <v>144</v>
      </c>
      <c r="D21" s="26" t="s">
        <v>187</v>
      </c>
      <c r="E21" s="27" t="s">
        <v>188</v>
      </c>
      <c r="F21" s="28" t="s">
        <v>146</v>
      </c>
      <c r="G21" s="27" t="s">
        <v>103</v>
      </c>
      <c r="H21" s="27" t="s">
        <v>56</v>
      </c>
      <c r="I21" s="27" t="s">
        <v>40</v>
      </c>
      <c r="J21" s="28" t="s">
        <v>161</v>
      </c>
      <c r="K21" s="27" t="s">
        <v>40</v>
      </c>
      <c r="L21" s="27"/>
    </row>
    <row r="22" customFormat="false" ht="15" hidden="false" customHeight="false" outlineLevel="0" collapsed="false">
      <c r="A22" s="26" t="s">
        <v>189</v>
      </c>
      <c r="B22" s="27" t="s">
        <v>190</v>
      </c>
      <c r="C22" s="27" t="s">
        <v>144</v>
      </c>
      <c r="D22" s="26" t="s">
        <v>191</v>
      </c>
      <c r="E22" s="27" t="s">
        <v>192</v>
      </c>
      <c r="F22" s="28" t="s">
        <v>146</v>
      </c>
      <c r="G22" s="27" t="s">
        <v>103</v>
      </c>
      <c r="H22" s="27" t="s">
        <v>56</v>
      </c>
      <c r="I22" s="27" t="s">
        <v>40</v>
      </c>
      <c r="J22" s="28" t="s">
        <v>161</v>
      </c>
      <c r="K22" s="27" t="s">
        <v>40</v>
      </c>
      <c r="L22" s="27"/>
    </row>
    <row r="23" customFormat="false" ht="15" hidden="false" customHeight="false" outlineLevel="0" collapsed="false">
      <c r="A23" s="26" t="s">
        <v>193</v>
      </c>
      <c r="B23" s="27" t="s">
        <v>194</v>
      </c>
      <c r="C23" s="27" t="s">
        <v>144</v>
      </c>
      <c r="D23" s="26" t="s">
        <v>195</v>
      </c>
      <c r="E23" s="27" t="s">
        <v>196</v>
      </c>
      <c r="F23" s="28" t="s">
        <v>146</v>
      </c>
      <c r="G23" s="27" t="s">
        <v>103</v>
      </c>
      <c r="H23" s="27" t="s">
        <v>56</v>
      </c>
      <c r="I23" s="27" t="s">
        <v>40</v>
      </c>
      <c r="J23" s="28" t="s">
        <v>161</v>
      </c>
      <c r="K23" s="27" t="s">
        <v>40</v>
      </c>
      <c r="L23" s="27"/>
    </row>
    <row r="24" customFormat="false" ht="15" hidden="false" customHeight="false" outlineLevel="0" collapsed="false">
      <c r="A24" s="26" t="s">
        <v>197</v>
      </c>
      <c r="B24" s="27" t="s">
        <v>198</v>
      </c>
      <c r="C24" s="27" t="s">
        <v>137</v>
      </c>
      <c r="D24" s="26" t="s">
        <v>199</v>
      </c>
      <c r="E24" s="27" t="s">
        <v>198</v>
      </c>
      <c r="F24" s="28" t="s">
        <v>140</v>
      </c>
      <c r="G24" s="27" t="s">
        <v>103</v>
      </c>
      <c r="H24" s="27" t="s">
        <v>56</v>
      </c>
      <c r="I24" s="27" t="s">
        <v>40</v>
      </c>
      <c r="J24" s="28" t="s">
        <v>161</v>
      </c>
      <c r="K24" s="27" t="s">
        <v>40</v>
      </c>
      <c r="L24" s="27"/>
    </row>
    <row r="25" customFormat="false" ht="15" hidden="false" customHeight="false" outlineLevel="0" collapsed="false">
      <c r="A25" s="26" t="s">
        <v>200</v>
      </c>
      <c r="B25" s="27" t="s">
        <v>201</v>
      </c>
      <c r="C25" s="27" t="s">
        <v>137</v>
      </c>
      <c r="D25" s="26" t="s">
        <v>202</v>
      </c>
      <c r="E25" s="27" t="s">
        <v>203</v>
      </c>
      <c r="F25" s="28" t="s">
        <v>140</v>
      </c>
      <c r="G25" s="27" t="s">
        <v>103</v>
      </c>
      <c r="H25" s="27" t="s">
        <v>56</v>
      </c>
      <c r="I25" s="27" t="s">
        <v>40</v>
      </c>
      <c r="J25" s="28" t="s">
        <v>161</v>
      </c>
      <c r="K25" s="27" t="s">
        <v>40</v>
      </c>
      <c r="L25" s="27"/>
    </row>
    <row r="26" customFormat="false" ht="15" hidden="false" customHeight="false" outlineLevel="0" collapsed="false">
      <c r="A26" s="26" t="s">
        <v>204</v>
      </c>
      <c r="B26" s="27" t="s">
        <v>205</v>
      </c>
      <c r="C26" s="27" t="s">
        <v>137</v>
      </c>
      <c r="D26" s="26" t="s">
        <v>206</v>
      </c>
      <c r="E26" s="27" t="s">
        <v>207</v>
      </c>
      <c r="F26" s="28" t="s">
        <v>140</v>
      </c>
      <c r="G26" s="27" t="s">
        <v>103</v>
      </c>
      <c r="H26" s="27" t="s">
        <v>56</v>
      </c>
      <c r="I26" s="27" t="s">
        <v>40</v>
      </c>
      <c r="J26" s="28" t="s">
        <v>161</v>
      </c>
      <c r="K26" s="27" t="s">
        <v>40</v>
      </c>
      <c r="L26" s="27"/>
    </row>
    <row r="27" customFormat="false" ht="15" hidden="false" customHeight="false" outlineLevel="0" collapsed="false">
      <c r="A27" s="26" t="s">
        <v>208</v>
      </c>
      <c r="B27" s="27" t="s">
        <v>209</v>
      </c>
      <c r="C27" s="27" t="s">
        <v>137</v>
      </c>
      <c r="D27" s="26" t="s">
        <v>210</v>
      </c>
      <c r="E27" s="27" t="s">
        <v>211</v>
      </c>
      <c r="F27" s="28" t="s">
        <v>140</v>
      </c>
      <c r="G27" s="27" t="s">
        <v>103</v>
      </c>
      <c r="H27" s="27" t="s">
        <v>56</v>
      </c>
      <c r="I27" s="27" t="s">
        <v>40</v>
      </c>
      <c r="J27" s="28" t="s">
        <v>161</v>
      </c>
      <c r="K27" s="27" t="s">
        <v>40</v>
      </c>
      <c r="L27" s="27"/>
    </row>
    <row r="28" customFormat="false" ht="15" hidden="false" customHeight="false" outlineLevel="0" collapsed="false">
      <c r="A28" s="26" t="s">
        <v>212</v>
      </c>
      <c r="B28" s="27" t="s">
        <v>213</v>
      </c>
      <c r="C28" s="27" t="s">
        <v>137</v>
      </c>
      <c r="D28" s="26" t="s">
        <v>214</v>
      </c>
      <c r="E28" s="27" t="s">
        <v>215</v>
      </c>
      <c r="F28" s="28" t="s">
        <v>140</v>
      </c>
      <c r="G28" s="27" t="s">
        <v>103</v>
      </c>
      <c r="H28" s="27" t="s">
        <v>56</v>
      </c>
      <c r="I28" s="27" t="s">
        <v>40</v>
      </c>
      <c r="J28" s="28" t="s">
        <v>161</v>
      </c>
      <c r="K28" s="27" t="s">
        <v>40</v>
      </c>
      <c r="L28" s="27"/>
    </row>
    <row r="29" customFormat="false" ht="15" hidden="false" customHeight="false" outlineLevel="0" collapsed="false">
      <c r="A29" s="26" t="s">
        <v>216</v>
      </c>
      <c r="B29" s="27" t="s">
        <v>217</v>
      </c>
      <c r="C29" s="27" t="s">
        <v>137</v>
      </c>
      <c r="D29" s="26" t="s">
        <v>218</v>
      </c>
      <c r="E29" s="27" t="s">
        <v>219</v>
      </c>
      <c r="F29" s="28" t="s">
        <v>140</v>
      </c>
      <c r="G29" s="27" t="s">
        <v>103</v>
      </c>
      <c r="H29" s="27" t="s">
        <v>56</v>
      </c>
      <c r="I29" s="27" t="s">
        <v>40</v>
      </c>
      <c r="J29" s="28" t="s">
        <v>161</v>
      </c>
      <c r="K29" s="27" t="s">
        <v>40</v>
      </c>
      <c r="L29" s="27"/>
    </row>
    <row r="30" customFormat="false" ht="15" hidden="false" customHeight="false" outlineLevel="0" collapsed="false">
      <c r="A30" s="26" t="s">
        <v>220</v>
      </c>
      <c r="B30" s="27" t="s">
        <v>221</v>
      </c>
      <c r="C30" s="27" t="s">
        <v>137</v>
      </c>
      <c r="D30" s="26" t="s">
        <v>222</v>
      </c>
      <c r="E30" s="27" t="s">
        <v>223</v>
      </c>
      <c r="F30" s="28" t="s">
        <v>140</v>
      </c>
      <c r="G30" s="27" t="s">
        <v>103</v>
      </c>
      <c r="H30" s="27" t="s">
        <v>56</v>
      </c>
      <c r="I30" s="27" t="s">
        <v>40</v>
      </c>
      <c r="J30" s="28" t="s">
        <v>161</v>
      </c>
      <c r="K30" s="27" t="s">
        <v>40</v>
      </c>
      <c r="L30" s="27"/>
    </row>
    <row r="31" customFormat="false" ht="15" hidden="false" customHeight="false" outlineLevel="0" collapsed="false">
      <c r="A31" s="26" t="s">
        <v>224</v>
      </c>
      <c r="B31" s="27" t="s">
        <v>225</v>
      </c>
      <c r="C31" s="27" t="s">
        <v>137</v>
      </c>
      <c r="D31" s="26" t="s">
        <v>226</v>
      </c>
      <c r="E31" s="27" t="s">
        <v>227</v>
      </c>
      <c r="F31" s="28" t="s">
        <v>140</v>
      </c>
      <c r="G31" s="27" t="s">
        <v>103</v>
      </c>
      <c r="H31" s="27" t="s">
        <v>56</v>
      </c>
      <c r="I31" s="27" t="s">
        <v>40</v>
      </c>
      <c r="J31" s="28" t="s">
        <v>161</v>
      </c>
      <c r="K31" s="27" t="s">
        <v>40</v>
      </c>
      <c r="L31" s="27"/>
    </row>
    <row r="32" customFormat="false" ht="15" hidden="false" customHeight="false" outlineLevel="0" collapsed="false">
      <c r="A32" s="26" t="s">
        <v>228</v>
      </c>
      <c r="B32" s="27" t="s">
        <v>229</v>
      </c>
      <c r="C32" s="27" t="s">
        <v>137</v>
      </c>
      <c r="D32" s="26" t="s">
        <v>230</v>
      </c>
      <c r="E32" s="27" t="s">
        <v>231</v>
      </c>
      <c r="F32" s="28" t="s">
        <v>140</v>
      </c>
      <c r="G32" s="27" t="s">
        <v>103</v>
      </c>
      <c r="H32" s="27" t="s">
        <v>56</v>
      </c>
      <c r="I32" s="27" t="s">
        <v>40</v>
      </c>
      <c r="J32" s="28" t="s">
        <v>161</v>
      </c>
      <c r="K32" s="27" t="s">
        <v>40</v>
      </c>
      <c r="L32" s="27"/>
    </row>
    <row r="33" customFormat="false" ht="15" hidden="false" customHeight="false" outlineLevel="0" collapsed="false">
      <c r="A33" s="26" t="s">
        <v>232</v>
      </c>
      <c r="B33" s="27" t="s">
        <v>233</v>
      </c>
      <c r="C33" s="27" t="s">
        <v>137</v>
      </c>
      <c r="D33" s="26" t="s">
        <v>234</v>
      </c>
      <c r="E33" s="27" t="s">
        <v>235</v>
      </c>
      <c r="F33" s="28" t="s">
        <v>140</v>
      </c>
      <c r="G33" s="27" t="s">
        <v>103</v>
      </c>
      <c r="H33" s="27" t="s">
        <v>56</v>
      </c>
      <c r="I33" s="27" t="s">
        <v>40</v>
      </c>
      <c r="J33" s="28" t="s">
        <v>161</v>
      </c>
      <c r="K33" s="27" t="s">
        <v>40</v>
      </c>
      <c r="L33" s="27"/>
    </row>
    <row r="34" customFormat="false" ht="15" hidden="false" customHeight="false" outlineLevel="0" collapsed="false">
      <c r="A34" s="26" t="s">
        <v>236</v>
      </c>
      <c r="B34" s="27" t="s">
        <v>237</v>
      </c>
      <c r="C34" s="27" t="s">
        <v>137</v>
      </c>
      <c r="D34" s="26" t="s">
        <v>238</v>
      </c>
      <c r="E34" s="27" t="s">
        <v>239</v>
      </c>
      <c r="F34" s="28" t="s">
        <v>140</v>
      </c>
      <c r="G34" s="27" t="s">
        <v>103</v>
      </c>
      <c r="H34" s="27" t="s">
        <v>56</v>
      </c>
      <c r="I34" s="27" t="s">
        <v>40</v>
      </c>
      <c r="J34" s="28" t="s">
        <v>161</v>
      </c>
      <c r="K34" s="27" t="s">
        <v>40</v>
      </c>
      <c r="L34" s="27"/>
    </row>
    <row r="35" customFormat="false" ht="15" hidden="false" customHeight="false" outlineLevel="0" collapsed="false">
      <c r="A35" s="26" t="s">
        <v>240</v>
      </c>
      <c r="B35" s="27" t="s">
        <v>241</v>
      </c>
      <c r="C35" s="27" t="s">
        <v>137</v>
      </c>
      <c r="D35" s="26" t="s">
        <v>242</v>
      </c>
      <c r="E35" s="27" t="s">
        <v>243</v>
      </c>
      <c r="F35" s="28" t="s">
        <v>140</v>
      </c>
      <c r="G35" s="27" t="s">
        <v>103</v>
      </c>
      <c r="H35" s="27" t="s">
        <v>56</v>
      </c>
      <c r="I35" s="27" t="s">
        <v>40</v>
      </c>
      <c r="J35" s="28" t="s">
        <v>161</v>
      </c>
      <c r="K35" s="27" t="s">
        <v>40</v>
      </c>
      <c r="L35" s="27"/>
    </row>
    <row r="36" customFormat="false" ht="15" hidden="false" customHeight="false" outlineLevel="0" collapsed="false">
      <c r="A36" s="26" t="s">
        <v>244</v>
      </c>
      <c r="B36" s="27" t="s">
        <v>245</v>
      </c>
      <c r="C36" s="27" t="s">
        <v>137</v>
      </c>
      <c r="D36" s="26" t="s">
        <v>246</v>
      </c>
      <c r="E36" s="27" t="s">
        <v>247</v>
      </c>
      <c r="F36" s="28" t="s">
        <v>140</v>
      </c>
      <c r="G36" s="27" t="s">
        <v>103</v>
      </c>
      <c r="H36" s="27" t="s">
        <v>56</v>
      </c>
      <c r="I36" s="27" t="s">
        <v>40</v>
      </c>
      <c r="J36" s="28" t="s">
        <v>161</v>
      </c>
      <c r="K36" s="27" t="s">
        <v>40</v>
      </c>
      <c r="L36" s="27"/>
    </row>
    <row r="37" customFormat="false" ht="15" hidden="false" customHeight="false" outlineLevel="0" collapsed="false">
      <c r="A37" s="26" t="s">
        <v>248</v>
      </c>
      <c r="B37" s="27" t="s">
        <v>249</v>
      </c>
      <c r="C37" s="27" t="s">
        <v>137</v>
      </c>
      <c r="D37" s="26" t="s">
        <v>250</v>
      </c>
      <c r="E37" s="27" t="s">
        <v>251</v>
      </c>
      <c r="F37" s="28" t="s">
        <v>140</v>
      </c>
      <c r="G37" s="27" t="s">
        <v>103</v>
      </c>
      <c r="H37" s="27" t="s">
        <v>56</v>
      </c>
      <c r="I37" s="27" t="s">
        <v>40</v>
      </c>
      <c r="J37" s="28" t="s">
        <v>161</v>
      </c>
      <c r="K37" s="27" t="s">
        <v>40</v>
      </c>
      <c r="L37" s="27"/>
    </row>
    <row r="38" customFormat="false" ht="15" hidden="false" customHeight="false" outlineLevel="0" collapsed="false">
      <c r="A38" s="26" t="s">
        <v>252</v>
      </c>
      <c r="B38" s="27" t="s">
        <v>253</v>
      </c>
      <c r="C38" s="27" t="s">
        <v>137</v>
      </c>
      <c r="D38" s="26" t="s">
        <v>254</v>
      </c>
      <c r="E38" s="27" t="s">
        <v>255</v>
      </c>
      <c r="F38" s="28" t="s">
        <v>140</v>
      </c>
      <c r="G38" s="27" t="s">
        <v>103</v>
      </c>
      <c r="H38" s="27" t="s">
        <v>56</v>
      </c>
      <c r="I38" s="27" t="s">
        <v>40</v>
      </c>
      <c r="J38" s="28" t="s">
        <v>161</v>
      </c>
      <c r="K38" s="27" t="s">
        <v>40</v>
      </c>
      <c r="L38" s="27"/>
    </row>
    <row r="39" customFormat="false" ht="15" hidden="false" customHeight="false" outlineLevel="0" collapsed="false">
      <c r="A39" s="26" t="s">
        <v>256</v>
      </c>
      <c r="B39" s="27" t="s">
        <v>257</v>
      </c>
      <c r="C39" s="27" t="s">
        <v>137</v>
      </c>
      <c r="D39" s="26" t="s">
        <v>258</v>
      </c>
      <c r="E39" s="27" t="s">
        <v>259</v>
      </c>
      <c r="F39" s="28" t="s">
        <v>140</v>
      </c>
      <c r="G39" s="27" t="s">
        <v>103</v>
      </c>
      <c r="H39" s="27" t="s">
        <v>56</v>
      </c>
      <c r="I39" s="27" t="s">
        <v>40</v>
      </c>
      <c r="J39" s="28" t="s">
        <v>161</v>
      </c>
      <c r="K39" s="27" t="s">
        <v>40</v>
      </c>
      <c r="L39" s="27"/>
    </row>
    <row r="40" customFormat="false" ht="15" hidden="false" customHeight="false" outlineLevel="0" collapsed="false">
      <c r="A40" s="26" t="s">
        <v>260</v>
      </c>
      <c r="B40" s="27" t="s">
        <v>261</v>
      </c>
      <c r="C40" s="27" t="s">
        <v>137</v>
      </c>
      <c r="D40" s="26" t="s">
        <v>262</v>
      </c>
      <c r="E40" s="27" t="s">
        <v>263</v>
      </c>
      <c r="F40" s="28" t="s">
        <v>140</v>
      </c>
      <c r="G40" s="27" t="s">
        <v>103</v>
      </c>
      <c r="H40" s="27" t="s">
        <v>57</v>
      </c>
      <c r="I40" s="28" t="s">
        <v>46</v>
      </c>
      <c r="J40" s="28" t="s">
        <v>161</v>
      </c>
      <c r="K40" s="27" t="s">
        <v>40</v>
      </c>
      <c r="L40" s="27"/>
    </row>
    <row r="41" customFormat="false" ht="15" hidden="false" customHeight="false" outlineLevel="0" collapsed="false">
      <c r="A41" s="26" t="s">
        <v>264</v>
      </c>
      <c r="B41" s="27" t="s">
        <v>265</v>
      </c>
      <c r="C41" s="27" t="s">
        <v>137</v>
      </c>
      <c r="D41" s="26" t="s">
        <v>266</v>
      </c>
      <c r="E41" s="27" t="s">
        <v>267</v>
      </c>
      <c r="F41" s="28" t="s">
        <v>140</v>
      </c>
      <c r="G41" s="27" t="s">
        <v>103</v>
      </c>
      <c r="H41" s="27" t="s">
        <v>56</v>
      </c>
      <c r="I41" s="27" t="s">
        <v>40</v>
      </c>
      <c r="J41" s="28" t="s">
        <v>161</v>
      </c>
      <c r="K41" s="27" t="s">
        <v>40</v>
      </c>
      <c r="L41" s="27"/>
    </row>
    <row r="42" customFormat="false" ht="15" hidden="false" customHeight="false" outlineLevel="0" collapsed="false">
      <c r="A42" s="26" t="s">
        <v>268</v>
      </c>
      <c r="B42" s="27" t="s">
        <v>269</v>
      </c>
      <c r="C42" s="27" t="s">
        <v>137</v>
      </c>
      <c r="D42" s="26" t="s">
        <v>270</v>
      </c>
      <c r="E42" s="27" t="s">
        <v>271</v>
      </c>
      <c r="F42" s="28" t="s">
        <v>140</v>
      </c>
      <c r="G42" s="27" t="s">
        <v>103</v>
      </c>
      <c r="H42" s="27" t="s">
        <v>56</v>
      </c>
      <c r="I42" s="27" t="s">
        <v>40</v>
      </c>
      <c r="J42" s="28" t="s">
        <v>161</v>
      </c>
      <c r="K42" s="27" t="s">
        <v>40</v>
      </c>
      <c r="L42" s="27"/>
    </row>
    <row r="43" customFormat="false" ht="15" hidden="false" customHeight="false" outlineLevel="0" collapsed="false">
      <c r="A43" s="26" t="s">
        <v>272</v>
      </c>
      <c r="B43" s="27" t="s">
        <v>273</v>
      </c>
      <c r="C43" s="27" t="s">
        <v>137</v>
      </c>
      <c r="D43" s="26" t="s">
        <v>274</v>
      </c>
      <c r="E43" s="27" t="s">
        <v>275</v>
      </c>
      <c r="F43" s="28" t="s">
        <v>140</v>
      </c>
      <c r="G43" s="27" t="s">
        <v>103</v>
      </c>
      <c r="H43" s="27" t="s">
        <v>56</v>
      </c>
      <c r="I43" s="27" t="s">
        <v>40</v>
      </c>
      <c r="J43" s="28" t="s">
        <v>161</v>
      </c>
      <c r="K43" s="27" t="s">
        <v>40</v>
      </c>
      <c r="L43" s="27"/>
    </row>
    <row r="44" customFormat="false" ht="15" hidden="false" customHeight="false" outlineLevel="0" collapsed="false">
      <c r="A44" s="26" t="s">
        <v>276</v>
      </c>
      <c r="B44" s="27" t="s">
        <v>277</v>
      </c>
      <c r="C44" s="27" t="s">
        <v>137</v>
      </c>
      <c r="D44" s="26" t="s">
        <v>278</v>
      </c>
      <c r="E44" s="27" t="s">
        <v>279</v>
      </c>
      <c r="F44" s="28" t="s">
        <v>140</v>
      </c>
      <c r="G44" s="27" t="s">
        <v>103</v>
      </c>
      <c r="H44" s="27" t="s">
        <v>56</v>
      </c>
      <c r="I44" s="27" t="s">
        <v>40</v>
      </c>
      <c r="J44" s="28" t="s">
        <v>161</v>
      </c>
      <c r="K44" s="27" t="s">
        <v>40</v>
      </c>
      <c r="L44" s="27"/>
    </row>
    <row r="45" customFormat="false" ht="15" hidden="false" customHeight="false" outlineLevel="0" collapsed="false">
      <c r="A45" s="26" t="s">
        <v>280</v>
      </c>
      <c r="B45" s="27" t="s">
        <v>281</v>
      </c>
      <c r="C45" s="27" t="s">
        <v>137</v>
      </c>
      <c r="D45" s="26" t="s">
        <v>282</v>
      </c>
      <c r="E45" s="27" t="s">
        <v>283</v>
      </c>
      <c r="F45" s="28" t="s">
        <v>140</v>
      </c>
      <c r="G45" s="27" t="s">
        <v>103</v>
      </c>
      <c r="H45" s="27" t="s">
        <v>56</v>
      </c>
      <c r="I45" s="27" t="s">
        <v>40</v>
      </c>
      <c r="J45" s="28" t="s">
        <v>161</v>
      </c>
      <c r="K45" s="27" t="s">
        <v>40</v>
      </c>
      <c r="L45" s="27"/>
    </row>
    <row r="46" customFormat="false" ht="15" hidden="false" customHeight="false" outlineLevel="0" collapsed="false">
      <c r="A46" s="26" t="s">
        <v>284</v>
      </c>
      <c r="B46" s="27" t="s">
        <v>285</v>
      </c>
      <c r="C46" s="27" t="s">
        <v>137</v>
      </c>
      <c r="D46" s="26" t="s">
        <v>286</v>
      </c>
      <c r="E46" s="27" t="s">
        <v>287</v>
      </c>
      <c r="F46" s="28" t="s">
        <v>140</v>
      </c>
      <c r="G46" s="27" t="s">
        <v>103</v>
      </c>
      <c r="H46" s="27" t="s">
        <v>56</v>
      </c>
      <c r="I46" s="27" t="s">
        <v>40</v>
      </c>
      <c r="J46" s="28" t="s">
        <v>161</v>
      </c>
      <c r="K46" s="27" t="s">
        <v>40</v>
      </c>
      <c r="L46" s="27"/>
    </row>
    <row r="47" customFormat="false" ht="15" hidden="false" customHeight="false" outlineLevel="0" collapsed="false">
      <c r="A47" s="26" t="s">
        <v>288</v>
      </c>
      <c r="B47" s="27" t="s">
        <v>289</v>
      </c>
      <c r="C47" s="27" t="s">
        <v>137</v>
      </c>
      <c r="D47" s="26" t="s">
        <v>290</v>
      </c>
      <c r="E47" s="27" t="s">
        <v>291</v>
      </c>
      <c r="F47" s="28" t="s">
        <v>140</v>
      </c>
      <c r="G47" s="27" t="s">
        <v>103</v>
      </c>
      <c r="H47" s="27" t="s">
        <v>56</v>
      </c>
      <c r="I47" s="27" t="s">
        <v>40</v>
      </c>
      <c r="J47" s="28" t="s">
        <v>161</v>
      </c>
      <c r="K47" s="27" t="s">
        <v>40</v>
      </c>
      <c r="L47" s="27"/>
    </row>
    <row r="48" customFormat="false" ht="15" hidden="false" customHeight="false" outlineLevel="0" collapsed="false">
      <c r="A48" s="26" t="s">
        <v>292</v>
      </c>
      <c r="B48" s="27" t="s">
        <v>293</v>
      </c>
      <c r="C48" s="27" t="s">
        <v>137</v>
      </c>
      <c r="D48" s="26" t="s">
        <v>294</v>
      </c>
      <c r="E48" s="27" t="s">
        <v>295</v>
      </c>
      <c r="F48" s="28" t="s">
        <v>140</v>
      </c>
      <c r="G48" s="27" t="s">
        <v>103</v>
      </c>
      <c r="H48" s="27" t="s">
        <v>56</v>
      </c>
      <c r="I48" s="27" t="s">
        <v>40</v>
      </c>
      <c r="J48" s="28" t="s">
        <v>161</v>
      </c>
      <c r="K48" s="27" t="s">
        <v>40</v>
      </c>
      <c r="L48" s="27"/>
    </row>
    <row r="49" customFormat="false" ht="15" hidden="false" customHeight="false" outlineLevel="0" collapsed="false">
      <c r="A49" s="26" t="s">
        <v>296</v>
      </c>
      <c r="B49" s="27" t="s">
        <v>297</v>
      </c>
      <c r="C49" s="27" t="s">
        <v>137</v>
      </c>
      <c r="D49" s="26" t="s">
        <v>298</v>
      </c>
      <c r="E49" s="27" t="s">
        <v>299</v>
      </c>
      <c r="F49" s="28" t="s">
        <v>140</v>
      </c>
      <c r="G49" s="27" t="s">
        <v>103</v>
      </c>
      <c r="H49" s="27" t="s">
        <v>56</v>
      </c>
      <c r="I49" s="27" t="s">
        <v>40</v>
      </c>
      <c r="J49" s="28" t="s">
        <v>161</v>
      </c>
      <c r="K49" s="27" t="s">
        <v>40</v>
      </c>
      <c r="L49" s="27"/>
    </row>
    <row r="50" customFormat="false" ht="15" hidden="false" customHeight="false" outlineLevel="0" collapsed="false">
      <c r="A50" s="26" t="s">
        <v>300</v>
      </c>
      <c r="B50" s="27" t="s">
        <v>301</v>
      </c>
      <c r="C50" s="27" t="s">
        <v>137</v>
      </c>
      <c r="D50" s="26" t="s">
        <v>302</v>
      </c>
      <c r="E50" s="27" t="s">
        <v>303</v>
      </c>
      <c r="F50" s="28" t="s">
        <v>140</v>
      </c>
      <c r="G50" s="27" t="s">
        <v>103</v>
      </c>
      <c r="H50" s="27" t="s">
        <v>56</v>
      </c>
      <c r="I50" s="27" t="s">
        <v>40</v>
      </c>
      <c r="J50" s="28" t="s">
        <v>161</v>
      </c>
      <c r="K50" s="27" t="s">
        <v>40</v>
      </c>
      <c r="L50" s="27"/>
    </row>
    <row r="51" customFormat="false" ht="15" hidden="false" customHeight="false" outlineLevel="0" collapsed="false">
      <c r="A51" s="26" t="s">
        <v>304</v>
      </c>
      <c r="B51" s="27" t="s">
        <v>305</v>
      </c>
      <c r="C51" s="27" t="s">
        <v>137</v>
      </c>
      <c r="D51" s="26" t="s">
        <v>306</v>
      </c>
      <c r="E51" s="27" t="s">
        <v>307</v>
      </c>
      <c r="F51" s="28" t="s">
        <v>140</v>
      </c>
      <c r="G51" s="27" t="s">
        <v>103</v>
      </c>
      <c r="H51" s="27" t="s">
        <v>56</v>
      </c>
      <c r="I51" s="27" t="s">
        <v>40</v>
      </c>
      <c r="J51" s="28" t="s">
        <v>161</v>
      </c>
      <c r="K51" s="27" t="s">
        <v>40</v>
      </c>
      <c r="L51" s="27"/>
    </row>
    <row r="52" customFormat="false" ht="15" hidden="false" customHeight="false" outlineLevel="0" collapsed="false">
      <c r="A52" s="26" t="s">
        <v>308</v>
      </c>
      <c r="B52" s="27" t="s">
        <v>309</v>
      </c>
      <c r="C52" s="27" t="s">
        <v>137</v>
      </c>
      <c r="D52" s="26" t="s">
        <v>310</v>
      </c>
      <c r="E52" s="27" t="s">
        <v>311</v>
      </c>
      <c r="F52" s="28" t="s">
        <v>140</v>
      </c>
      <c r="G52" s="27" t="s">
        <v>103</v>
      </c>
      <c r="H52" s="27" t="s">
        <v>56</v>
      </c>
      <c r="I52" s="27" t="s">
        <v>40</v>
      </c>
      <c r="J52" s="28" t="s">
        <v>161</v>
      </c>
      <c r="K52" s="27" t="s">
        <v>40</v>
      </c>
      <c r="L52" s="27"/>
    </row>
    <row r="53" customFormat="false" ht="15" hidden="false" customHeight="false" outlineLevel="0" collapsed="false">
      <c r="A53" s="26" t="s">
        <v>312</v>
      </c>
      <c r="B53" s="27" t="s">
        <v>313</v>
      </c>
      <c r="C53" s="27" t="s">
        <v>137</v>
      </c>
      <c r="D53" s="26" t="s">
        <v>314</v>
      </c>
      <c r="E53" s="27" t="s">
        <v>315</v>
      </c>
      <c r="F53" s="28" t="s">
        <v>140</v>
      </c>
      <c r="G53" s="27" t="s">
        <v>103</v>
      </c>
      <c r="H53" s="27" t="s">
        <v>56</v>
      </c>
      <c r="I53" s="27" t="s">
        <v>40</v>
      </c>
      <c r="J53" s="28" t="s">
        <v>161</v>
      </c>
      <c r="K53" s="27" t="s">
        <v>40</v>
      </c>
      <c r="L53" s="27"/>
    </row>
    <row r="54" customFormat="false" ht="15" hidden="false" customHeight="false" outlineLevel="0" collapsed="false">
      <c r="A54" s="26" t="s">
        <v>316</v>
      </c>
      <c r="B54" s="27" t="s">
        <v>317</v>
      </c>
      <c r="C54" s="27" t="s">
        <v>137</v>
      </c>
      <c r="D54" s="26" t="s">
        <v>318</v>
      </c>
      <c r="E54" s="27" t="s">
        <v>319</v>
      </c>
      <c r="F54" s="28" t="s">
        <v>140</v>
      </c>
      <c r="G54" s="27" t="s">
        <v>103</v>
      </c>
      <c r="H54" s="27" t="s">
        <v>56</v>
      </c>
      <c r="I54" s="27" t="s">
        <v>40</v>
      </c>
      <c r="J54" s="28" t="s">
        <v>161</v>
      </c>
      <c r="K54" s="27" t="s">
        <v>40</v>
      </c>
      <c r="L54" s="27"/>
    </row>
    <row r="55" customFormat="false" ht="15" hidden="false" customHeight="false" outlineLevel="0" collapsed="false">
      <c r="A55" s="26" t="s">
        <v>320</v>
      </c>
      <c r="B55" s="27" t="s">
        <v>321</v>
      </c>
      <c r="C55" s="27" t="s">
        <v>137</v>
      </c>
      <c r="D55" s="26" t="s">
        <v>322</v>
      </c>
      <c r="E55" s="27" t="s">
        <v>323</v>
      </c>
      <c r="F55" s="28" t="s">
        <v>140</v>
      </c>
      <c r="G55" s="27" t="s">
        <v>103</v>
      </c>
      <c r="H55" s="27" t="s">
        <v>56</v>
      </c>
      <c r="I55" s="27" t="s">
        <v>40</v>
      </c>
      <c r="J55" s="28" t="s">
        <v>161</v>
      </c>
      <c r="K55" s="27" t="s">
        <v>40</v>
      </c>
      <c r="L55" s="27"/>
    </row>
    <row r="56" customFormat="false" ht="15" hidden="false" customHeight="false" outlineLevel="0" collapsed="false">
      <c r="A56" s="26" t="s">
        <v>324</v>
      </c>
      <c r="B56" s="27" t="s">
        <v>325</v>
      </c>
      <c r="C56" s="27" t="s">
        <v>137</v>
      </c>
      <c r="D56" s="26" t="s">
        <v>326</v>
      </c>
      <c r="E56" s="27" t="s">
        <v>327</v>
      </c>
      <c r="F56" s="28" t="s">
        <v>140</v>
      </c>
      <c r="G56" s="27" t="s">
        <v>103</v>
      </c>
      <c r="H56" s="27" t="s">
        <v>56</v>
      </c>
      <c r="I56" s="27" t="s">
        <v>40</v>
      </c>
      <c r="J56" s="28" t="s">
        <v>161</v>
      </c>
      <c r="K56" s="27" t="s">
        <v>40</v>
      </c>
      <c r="L56" s="27"/>
    </row>
    <row r="57" customFormat="false" ht="15" hidden="false" customHeight="false" outlineLevel="0" collapsed="false">
      <c r="A57" s="26" t="s">
        <v>328</v>
      </c>
      <c r="B57" s="27" t="s">
        <v>329</v>
      </c>
      <c r="C57" s="27" t="s">
        <v>137</v>
      </c>
      <c r="D57" s="26" t="s">
        <v>330</v>
      </c>
      <c r="E57" s="27" t="s">
        <v>331</v>
      </c>
      <c r="F57" s="28" t="s">
        <v>140</v>
      </c>
      <c r="G57" s="27" t="s">
        <v>103</v>
      </c>
      <c r="H57" s="27" t="s">
        <v>56</v>
      </c>
      <c r="I57" s="27" t="s">
        <v>40</v>
      </c>
      <c r="J57" s="28" t="s">
        <v>161</v>
      </c>
      <c r="K57" s="27" t="s">
        <v>40</v>
      </c>
      <c r="L57" s="27"/>
    </row>
    <row r="58" customFormat="false" ht="15" hidden="false" customHeight="false" outlineLevel="0" collapsed="false">
      <c r="A58" s="26" t="s">
        <v>332</v>
      </c>
      <c r="B58" s="27" t="s">
        <v>333</v>
      </c>
      <c r="C58" s="27" t="s">
        <v>137</v>
      </c>
      <c r="D58" s="26" t="s">
        <v>334</v>
      </c>
      <c r="E58" s="27" t="s">
        <v>335</v>
      </c>
      <c r="F58" s="28" t="s">
        <v>140</v>
      </c>
      <c r="G58" s="27" t="s">
        <v>103</v>
      </c>
      <c r="H58" s="27" t="s">
        <v>56</v>
      </c>
      <c r="I58" s="27" t="s">
        <v>40</v>
      </c>
      <c r="J58" s="28" t="s">
        <v>161</v>
      </c>
      <c r="K58" s="27" t="s">
        <v>40</v>
      </c>
      <c r="L58" s="27"/>
    </row>
    <row r="59" customFormat="false" ht="15" hidden="false" customHeight="false" outlineLevel="0" collapsed="false">
      <c r="A59" s="26" t="s">
        <v>336</v>
      </c>
      <c r="B59" s="27" t="s">
        <v>337</v>
      </c>
      <c r="C59" s="27" t="s">
        <v>144</v>
      </c>
      <c r="D59" s="26" t="s">
        <v>338</v>
      </c>
      <c r="E59" s="27" t="s">
        <v>339</v>
      </c>
      <c r="F59" s="28" t="s">
        <v>146</v>
      </c>
      <c r="G59" s="27" t="s">
        <v>103</v>
      </c>
      <c r="H59" s="27" t="s">
        <v>57</v>
      </c>
      <c r="I59" s="27" t="s">
        <v>38</v>
      </c>
      <c r="J59" s="28" t="s">
        <v>161</v>
      </c>
      <c r="K59" s="27" t="s">
        <v>40</v>
      </c>
      <c r="L59" s="27"/>
    </row>
    <row r="60" customFormat="false" ht="15" hidden="false" customHeight="false" outlineLevel="0" collapsed="false">
      <c r="A60" s="26" t="s">
        <v>340</v>
      </c>
      <c r="B60" s="27" t="s">
        <v>341</v>
      </c>
      <c r="C60" s="27" t="s">
        <v>144</v>
      </c>
      <c r="D60" s="26" t="s">
        <v>342</v>
      </c>
      <c r="E60" s="27" t="s">
        <v>343</v>
      </c>
      <c r="F60" s="28" t="s">
        <v>146</v>
      </c>
      <c r="G60" s="27" t="s">
        <v>103</v>
      </c>
      <c r="H60" s="27" t="s">
        <v>57</v>
      </c>
      <c r="I60" s="27" t="s">
        <v>38</v>
      </c>
      <c r="J60" s="28" t="s">
        <v>161</v>
      </c>
      <c r="K60" s="27" t="s">
        <v>40</v>
      </c>
      <c r="L60" s="27"/>
    </row>
    <row r="61" customFormat="false" ht="15" hidden="false" customHeight="false" outlineLevel="0" collapsed="false">
      <c r="A61" s="26" t="s">
        <v>344</v>
      </c>
      <c r="B61" s="27" t="s">
        <v>345</v>
      </c>
      <c r="C61" s="27" t="s">
        <v>144</v>
      </c>
      <c r="D61" s="26" t="s">
        <v>346</v>
      </c>
      <c r="E61" s="27" t="s">
        <v>347</v>
      </c>
      <c r="F61" s="28" t="s">
        <v>146</v>
      </c>
      <c r="G61" s="27" t="s">
        <v>103</v>
      </c>
      <c r="H61" s="27" t="s">
        <v>57</v>
      </c>
      <c r="I61" s="27" t="s">
        <v>38</v>
      </c>
      <c r="J61" s="28" t="s">
        <v>161</v>
      </c>
      <c r="K61" s="27" t="s">
        <v>40</v>
      </c>
      <c r="L61" s="27"/>
    </row>
    <row r="62" customFormat="false" ht="15" hidden="false" customHeight="false" outlineLevel="0" collapsed="false">
      <c r="A62" s="26" t="s">
        <v>348</v>
      </c>
      <c r="B62" s="27" t="s">
        <v>349</v>
      </c>
      <c r="C62" s="27" t="s">
        <v>144</v>
      </c>
      <c r="D62" s="26" t="s">
        <v>350</v>
      </c>
      <c r="E62" s="27" t="s">
        <v>351</v>
      </c>
      <c r="F62" s="28" t="s">
        <v>146</v>
      </c>
      <c r="G62" s="27" t="s">
        <v>103</v>
      </c>
      <c r="H62" s="27" t="s">
        <v>57</v>
      </c>
      <c r="I62" s="27" t="s">
        <v>38</v>
      </c>
      <c r="J62" s="28" t="s">
        <v>161</v>
      </c>
      <c r="K62" s="27" t="s">
        <v>40</v>
      </c>
      <c r="L62" s="27"/>
    </row>
    <row r="63" customFormat="false" ht="15" hidden="false" customHeight="false" outlineLevel="0" collapsed="false">
      <c r="A63" s="26" t="s">
        <v>352</v>
      </c>
      <c r="B63" s="27" t="s">
        <v>353</v>
      </c>
      <c r="C63" s="27" t="s">
        <v>144</v>
      </c>
      <c r="D63" s="26" t="s">
        <v>354</v>
      </c>
      <c r="E63" s="27" t="s">
        <v>355</v>
      </c>
      <c r="F63" s="28" t="s">
        <v>146</v>
      </c>
      <c r="G63" s="27" t="s">
        <v>103</v>
      </c>
      <c r="H63" s="27" t="s">
        <v>57</v>
      </c>
      <c r="I63" s="27" t="s">
        <v>38</v>
      </c>
      <c r="J63" s="28" t="s">
        <v>161</v>
      </c>
      <c r="K63" s="27" t="s">
        <v>40</v>
      </c>
      <c r="L63" s="27"/>
    </row>
    <row r="64" customFormat="false" ht="15" hidden="false" customHeight="false" outlineLevel="0" collapsed="false">
      <c r="A64" s="26" t="s">
        <v>356</v>
      </c>
      <c r="B64" s="27" t="s">
        <v>357</v>
      </c>
      <c r="C64" s="27" t="s">
        <v>144</v>
      </c>
      <c r="D64" s="26" t="s">
        <v>358</v>
      </c>
      <c r="E64" s="27" t="s">
        <v>359</v>
      </c>
      <c r="F64" s="28" t="s">
        <v>146</v>
      </c>
      <c r="G64" s="27" t="s">
        <v>103</v>
      </c>
      <c r="H64" s="27" t="s">
        <v>57</v>
      </c>
      <c r="I64" s="27" t="s">
        <v>38</v>
      </c>
      <c r="J64" s="28" t="s">
        <v>161</v>
      </c>
      <c r="K64" s="27" t="s">
        <v>40</v>
      </c>
      <c r="L64" s="27"/>
    </row>
    <row r="65" customFormat="false" ht="15" hidden="false" customHeight="false" outlineLevel="0" collapsed="false">
      <c r="A65" s="26" t="s">
        <v>360</v>
      </c>
      <c r="B65" s="27" t="s">
        <v>361</v>
      </c>
      <c r="C65" s="27" t="s">
        <v>144</v>
      </c>
      <c r="D65" s="26" t="s">
        <v>362</v>
      </c>
      <c r="E65" s="27" t="s">
        <v>363</v>
      </c>
      <c r="F65" s="28" t="s">
        <v>146</v>
      </c>
      <c r="G65" s="27" t="s">
        <v>103</v>
      </c>
      <c r="H65" s="27" t="s">
        <v>57</v>
      </c>
      <c r="I65" s="27" t="s">
        <v>37</v>
      </c>
      <c r="J65" s="28" t="s">
        <v>161</v>
      </c>
      <c r="K65" s="27" t="s">
        <v>40</v>
      </c>
      <c r="L65" s="27"/>
    </row>
    <row r="66" customFormat="false" ht="15" hidden="false" customHeight="false" outlineLevel="0" collapsed="false">
      <c r="A66" s="26" t="s">
        <v>364</v>
      </c>
      <c r="B66" s="27" t="s">
        <v>365</v>
      </c>
      <c r="C66" s="27" t="s">
        <v>144</v>
      </c>
      <c r="D66" s="26" t="s">
        <v>366</v>
      </c>
      <c r="E66" s="27" t="s">
        <v>367</v>
      </c>
      <c r="F66" s="28" t="s">
        <v>146</v>
      </c>
      <c r="G66" s="27" t="s">
        <v>103</v>
      </c>
      <c r="H66" s="27" t="s">
        <v>57</v>
      </c>
      <c r="I66" s="27" t="s">
        <v>41</v>
      </c>
      <c r="J66" s="28" t="s">
        <v>161</v>
      </c>
      <c r="K66" s="27" t="s">
        <v>40</v>
      </c>
      <c r="L66" s="27"/>
    </row>
    <row r="67" customFormat="false" ht="15" hidden="false" customHeight="false" outlineLevel="0" collapsed="false">
      <c r="A67" s="26" t="s">
        <v>368</v>
      </c>
      <c r="B67" s="27" t="s">
        <v>369</v>
      </c>
      <c r="C67" s="27" t="s">
        <v>370</v>
      </c>
      <c r="D67" s="26" t="s">
        <v>371</v>
      </c>
      <c r="E67" s="27" t="s">
        <v>372</v>
      </c>
      <c r="F67" s="28" t="s">
        <v>373</v>
      </c>
      <c r="G67" s="27" t="s">
        <v>103</v>
      </c>
      <c r="H67" s="27" t="s">
        <v>56</v>
      </c>
      <c r="I67" s="27" t="s">
        <v>40</v>
      </c>
      <c r="J67" s="28" t="s">
        <v>161</v>
      </c>
      <c r="K67" s="27" t="s">
        <v>40</v>
      </c>
      <c r="L67" s="27"/>
    </row>
    <row r="68" customFormat="false" ht="15" hidden="false" customHeight="false" outlineLevel="0" collapsed="false">
      <c r="A68" s="26" t="s">
        <v>374</v>
      </c>
      <c r="B68" s="27" t="s">
        <v>375</v>
      </c>
      <c r="C68" s="27" t="s">
        <v>370</v>
      </c>
      <c r="D68" s="26" t="s">
        <v>376</v>
      </c>
      <c r="E68" s="27" t="s">
        <v>377</v>
      </c>
      <c r="F68" s="28" t="s">
        <v>373</v>
      </c>
      <c r="G68" s="27" t="s">
        <v>103</v>
      </c>
      <c r="H68" s="27" t="s">
        <v>57</v>
      </c>
      <c r="I68" s="27" t="s">
        <v>37</v>
      </c>
      <c r="J68" s="28" t="s">
        <v>161</v>
      </c>
      <c r="K68" s="27" t="s">
        <v>40</v>
      </c>
      <c r="L68" s="27"/>
    </row>
    <row r="69" customFormat="false" ht="15" hidden="false" customHeight="false" outlineLevel="0" collapsed="false">
      <c r="A69" s="26" t="s">
        <v>378</v>
      </c>
      <c r="B69" s="27" t="s">
        <v>379</v>
      </c>
      <c r="C69" s="27" t="s">
        <v>380</v>
      </c>
      <c r="D69" s="26" t="s">
        <v>381</v>
      </c>
      <c r="E69" s="27" t="s">
        <v>382</v>
      </c>
      <c r="F69" s="28" t="s">
        <v>383</v>
      </c>
      <c r="G69" s="27" t="s">
        <v>103</v>
      </c>
      <c r="H69" s="27" t="s">
        <v>57</v>
      </c>
      <c r="I69" s="27" t="s">
        <v>39</v>
      </c>
      <c r="J69" s="28" t="s">
        <v>161</v>
      </c>
      <c r="K69" s="27" t="s">
        <v>40</v>
      </c>
      <c r="L69" s="27"/>
    </row>
    <row r="70" customFormat="false" ht="15" hidden="false" customHeight="false" outlineLevel="0" collapsed="false">
      <c r="A70" s="26" t="s">
        <v>384</v>
      </c>
      <c r="B70" s="27" t="s">
        <v>385</v>
      </c>
      <c r="C70" s="27" t="s">
        <v>144</v>
      </c>
      <c r="D70" s="26" t="s">
        <v>386</v>
      </c>
      <c r="E70" s="27" t="s">
        <v>385</v>
      </c>
      <c r="F70" s="28" t="s">
        <v>146</v>
      </c>
      <c r="G70" s="27" t="s">
        <v>103</v>
      </c>
      <c r="H70" s="27" t="s">
        <v>57</v>
      </c>
      <c r="I70" s="27" t="s">
        <v>43</v>
      </c>
      <c r="J70" s="28" t="s">
        <v>161</v>
      </c>
      <c r="K70" s="27" t="s">
        <v>40</v>
      </c>
      <c r="L70" s="27"/>
    </row>
    <row r="71" customFormat="false" ht="15" hidden="false" customHeight="false" outlineLevel="0" collapsed="false">
      <c r="A71" s="26" t="s">
        <v>387</v>
      </c>
      <c r="B71" s="27" t="s">
        <v>388</v>
      </c>
      <c r="C71" s="27" t="s">
        <v>144</v>
      </c>
      <c r="D71" s="26" t="s">
        <v>389</v>
      </c>
      <c r="E71" s="27" t="s">
        <v>390</v>
      </c>
      <c r="F71" s="28" t="s">
        <v>146</v>
      </c>
      <c r="G71" s="27" t="s">
        <v>103</v>
      </c>
      <c r="H71" s="27" t="s">
        <v>56</v>
      </c>
      <c r="I71" s="27" t="s">
        <v>40</v>
      </c>
      <c r="J71" s="28" t="s">
        <v>161</v>
      </c>
      <c r="K71" s="27" t="s">
        <v>40</v>
      </c>
      <c r="L71" s="27"/>
    </row>
    <row r="72" customFormat="false" ht="15" hidden="false" customHeight="false" outlineLevel="0" collapsed="false">
      <c r="A72" s="26" t="s">
        <v>391</v>
      </c>
      <c r="B72" s="27" t="s">
        <v>392</v>
      </c>
      <c r="C72" s="27" t="s">
        <v>144</v>
      </c>
      <c r="D72" s="26" t="s">
        <v>393</v>
      </c>
      <c r="E72" s="27" t="s">
        <v>394</v>
      </c>
      <c r="F72" s="28" t="s">
        <v>146</v>
      </c>
      <c r="G72" s="27" t="s">
        <v>103</v>
      </c>
      <c r="H72" s="27" t="s">
        <v>57</v>
      </c>
      <c r="I72" s="27" t="s">
        <v>43</v>
      </c>
      <c r="J72" s="28" t="s">
        <v>161</v>
      </c>
      <c r="K72" s="27" t="s">
        <v>40</v>
      </c>
      <c r="L72" s="27"/>
    </row>
    <row r="73" customFormat="false" ht="15" hidden="false" customHeight="false" outlineLevel="0" collapsed="false">
      <c r="A73" s="26" t="s">
        <v>395</v>
      </c>
      <c r="B73" s="27" t="s">
        <v>396</v>
      </c>
      <c r="C73" s="27" t="s">
        <v>144</v>
      </c>
      <c r="D73" s="26" t="s">
        <v>397</v>
      </c>
      <c r="E73" s="27" t="s">
        <v>398</v>
      </c>
      <c r="F73" s="28" t="s">
        <v>146</v>
      </c>
      <c r="G73" s="27" t="s">
        <v>103</v>
      </c>
      <c r="H73" s="27" t="s">
        <v>56</v>
      </c>
      <c r="I73" s="27" t="s">
        <v>37</v>
      </c>
      <c r="J73" s="28" t="s">
        <v>399</v>
      </c>
      <c r="K73" s="27" t="s">
        <v>37</v>
      </c>
      <c r="L73" s="27"/>
    </row>
    <row r="74" customFormat="false" ht="15" hidden="false" customHeight="false" outlineLevel="0" collapsed="false">
      <c r="A74" s="26" t="s">
        <v>400</v>
      </c>
      <c r="B74" s="27" t="s">
        <v>401</v>
      </c>
      <c r="C74" s="27" t="s">
        <v>144</v>
      </c>
      <c r="D74" s="26" t="s">
        <v>402</v>
      </c>
      <c r="E74" s="27" t="s">
        <v>403</v>
      </c>
      <c r="F74" s="28" t="s">
        <v>146</v>
      </c>
      <c r="G74" s="27" t="s">
        <v>103</v>
      </c>
      <c r="H74" s="27" t="s">
        <v>56</v>
      </c>
      <c r="I74" s="27" t="s">
        <v>37</v>
      </c>
      <c r="J74" s="28" t="s">
        <v>399</v>
      </c>
      <c r="K74" s="27" t="s">
        <v>37</v>
      </c>
      <c r="L74" s="27"/>
    </row>
    <row r="75" customFormat="false" ht="15" hidden="false" customHeight="false" outlineLevel="0" collapsed="false">
      <c r="A75" s="26" t="s">
        <v>404</v>
      </c>
      <c r="B75" s="27" t="s">
        <v>405</v>
      </c>
      <c r="C75" s="27" t="s">
        <v>144</v>
      </c>
      <c r="D75" s="26" t="s">
        <v>406</v>
      </c>
      <c r="E75" s="27" t="s">
        <v>407</v>
      </c>
      <c r="F75" s="28" t="s">
        <v>146</v>
      </c>
      <c r="G75" s="27" t="s">
        <v>103</v>
      </c>
      <c r="H75" s="27" t="s">
        <v>56</v>
      </c>
      <c r="I75" s="27" t="s">
        <v>37</v>
      </c>
      <c r="J75" s="28" t="s">
        <v>399</v>
      </c>
      <c r="K75" s="27" t="s">
        <v>37</v>
      </c>
      <c r="L75" s="27"/>
    </row>
    <row r="76" customFormat="false" ht="15" hidden="false" customHeight="false" outlineLevel="0" collapsed="false">
      <c r="A76" s="26" t="s">
        <v>408</v>
      </c>
      <c r="B76" s="27" t="s">
        <v>409</v>
      </c>
      <c r="C76" s="27" t="s">
        <v>144</v>
      </c>
      <c r="D76" s="26" t="s">
        <v>410</v>
      </c>
      <c r="E76" s="27" t="s">
        <v>411</v>
      </c>
      <c r="F76" s="28" t="s">
        <v>146</v>
      </c>
      <c r="G76" s="27" t="s">
        <v>103</v>
      </c>
      <c r="H76" s="27" t="s">
        <v>56</v>
      </c>
      <c r="I76" s="27" t="s">
        <v>37</v>
      </c>
      <c r="J76" s="28" t="s">
        <v>399</v>
      </c>
      <c r="K76" s="27" t="s">
        <v>37</v>
      </c>
      <c r="L76" s="27"/>
    </row>
    <row r="77" customFormat="false" ht="15" hidden="false" customHeight="false" outlineLevel="0" collapsed="false">
      <c r="A77" s="26" t="s">
        <v>412</v>
      </c>
      <c r="B77" s="27" t="s">
        <v>413</v>
      </c>
      <c r="C77" s="27" t="s">
        <v>144</v>
      </c>
      <c r="D77" s="26" t="s">
        <v>414</v>
      </c>
      <c r="E77" s="27" t="s">
        <v>415</v>
      </c>
      <c r="F77" s="28" t="s">
        <v>146</v>
      </c>
      <c r="G77" s="27" t="s">
        <v>103</v>
      </c>
      <c r="H77" s="27" t="s">
        <v>56</v>
      </c>
      <c r="I77" s="27" t="s">
        <v>37</v>
      </c>
      <c r="J77" s="28" t="s">
        <v>399</v>
      </c>
      <c r="K77" s="27" t="s">
        <v>37</v>
      </c>
      <c r="L77" s="27"/>
    </row>
    <row r="78" customFormat="false" ht="15" hidden="false" customHeight="false" outlineLevel="0" collapsed="false">
      <c r="A78" s="26" t="s">
        <v>416</v>
      </c>
      <c r="B78" s="27" t="s">
        <v>417</v>
      </c>
      <c r="C78" s="27" t="s">
        <v>144</v>
      </c>
      <c r="D78" s="26" t="s">
        <v>418</v>
      </c>
      <c r="E78" s="27" t="s">
        <v>419</v>
      </c>
      <c r="F78" s="28" t="s">
        <v>146</v>
      </c>
      <c r="G78" s="27" t="s">
        <v>103</v>
      </c>
      <c r="H78" s="27" t="s">
        <v>56</v>
      </c>
      <c r="I78" s="27" t="s">
        <v>37</v>
      </c>
      <c r="J78" s="28" t="s">
        <v>399</v>
      </c>
      <c r="K78" s="27" t="s">
        <v>37</v>
      </c>
      <c r="L78" s="27"/>
    </row>
    <row r="79" customFormat="false" ht="15" hidden="false" customHeight="false" outlineLevel="0" collapsed="false">
      <c r="A79" s="26" t="s">
        <v>420</v>
      </c>
      <c r="B79" s="27" t="s">
        <v>421</v>
      </c>
      <c r="C79" s="27" t="s">
        <v>144</v>
      </c>
      <c r="D79" s="26" t="s">
        <v>422</v>
      </c>
      <c r="E79" s="28" t="s">
        <v>423</v>
      </c>
      <c r="F79" s="28" t="s">
        <v>146</v>
      </c>
      <c r="G79" s="27" t="s">
        <v>103</v>
      </c>
      <c r="H79" s="27" t="s">
        <v>56</v>
      </c>
      <c r="I79" s="27" t="s">
        <v>37</v>
      </c>
      <c r="J79" s="28" t="s">
        <v>399</v>
      </c>
      <c r="K79" s="27" t="s">
        <v>37</v>
      </c>
      <c r="L79" s="27"/>
    </row>
    <row r="80" customFormat="false" ht="15" hidden="false" customHeight="false" outlineLevel="0" collapsed="false">
      <c r="A80" s="26" t="s">
        <v>424</v>
      </c>
      <c r="B80" s="27" t="s">
        <v>425</v>
      </c>
      <c r="C80" s="27" t="s">
        <v>144</v>
      </c>
      <c r="D80" s="26" t="s">
        <v>426</v>
      </c>
      <c r="E80" s="27" t="s">
        <v>427</v>
      </c>
      <c r="F80" s="28" t="s">
        <v>146</v>
      </c>
      <c r="G80" s="27" t="s">
        <v>103</v>
      </c>
      <c r="H80" s="27" t="s">
        <v>56</v>
      </c>
      <c r="I80" s="27" t="s">
        <v>37</v>
      </c>
      <c r="J80" s="28" t="s">
        <v>399</v>
      </c>
      <c r="K80" s="27" t="s">
        <v>37</v>
      </c>
      <c r="L80" s="27"/>
    </row>
    <row r="81" customFormat="false" ht="15" hidden="false" customHeight="false" outlineLevel="0" collapsed="false">
      <c r="A81" s="26" t="s">
        <v>428</v>
      </c>
      <c r="B81" s="27" t="s">
        <v>429</v>
      </c>
      <c r="C81" s="27" t="s">
        <v>144</v>
      </c>
      <c r="D81" s="26" t="s">
        <v>430</v>
      </c>
      <c r="E81" s="27" t="s">
        <v>431</v>
      </c>
      <c r="F81" s="28" t="s">
        <v>146</v>
      </c>
      <c r="G81" s="27" t="s">
        <v>103</v>
      </c>
      <c r="H81" s="27" t="s">
        <v>56</v>
      </c>
      <c r="I81" s="27" t="s">
        <v>37</v>
      </c>
      <c r="J81" s="28" t="s">
        <v>399</v>
      </c>
      <c r="K81" s="27" t="s">
        <v>37</v>
      </c>
      <c r="L81" s="27"/>
    </row>
    <row r="82" customFormat="false" ht="15" hidden="false" customHeight="false" outlineLevel="0" collapsed="false">
      <c r="A82" s="26" t="s">
        <v>432</v>
      </c>
      <c r="B82" s="27" t="s">
        <v>433</v>
      </c>
      <c r="C82" s="27" t="s">
        <v>144</v>
      </c>
      <c r="D82" s="26" t="s">
        <v>434</v>
      </c>
      <c r="E82" s="27" t="s">
        <v>435</v>
      </c>
      <c r="F82" s="28" t="s">
        <v>146</v>
      </c>
      <c r="G82" s="27" t="s">
        <v>103</v>
      </c>
      <c r="H82" s="27" t="s">
        <v>56</v>
      </c>
      <c r="I82" s="27" t="s">
        <v>37</v>
      </c>
      <c r="J82" s="28" t="s">
        <v>399</v>
      </c>
      <c r="K82" s="27" t="s">
        <v>37</v>
      </c>
      <c r="L82" s="27"/>
    </row>
    <row r="83" customFormat="false" ht="15" hidden="false" customHeight="false" outlineLevel="0" collapsed="false">
      <c r="A83" s="26" t="s">
        <v>436</v>
      </c>
      <c r="B83" s="27" t="s">
        <v>437</v>
      </c>
      <c r="C83" s="27" t="s">
        <v>144</v>
      </c>
      <c r="D83" s="26" t="s">
        <v>438</v>
      </c>
      <c r="E83" s="27" t="s">
        <v>439</v>
      </c>
      <c r="F83" s="28" t="s">
        <v>146</v>
      </c>
      <c r="G83" s="27" t="s">
        <v>103</v>
      </c>
      <c r="H83" s="27" t="s">
        <v>56</v>
      </c>
      <c r="I83" s="27" t="s">
        <v>37</v>
      </c>
      <c r="J83" s="28" t="s">
        <v>399</v>
      </c>
      <c r="K83" s="27" t="s">
        <v>37</v>
      </c>
      <c r="L83" s="27"/>
    </row>
    <row r="84" customFormat="false" ht="15" hidden="false" customHeight="false" outlineLevel="0" collapsed="false">
      <c r="A84" s="26" t="s">
        <v>440</v>
      </c>
      <c r="B84" s="27" t="s">
        <v>441</v>
      </c>
      <c r="C84" s="27" t="s">
        <v>144</v>
      </c>
      <c r="D84" s="26" t="s">
        <v>442</v>
      </c>
      <c r="E84" s="27" t="s">
        <v>443</v>
      </c>
      <c r="F84" s="28" t="s">
        <v>146</v>
      </c>
      <c r="G84" s="27" t="s">
        <v>103</v>
      </c>
      <c r="H84" s="27" t="s">
        <v>56</v>
      </c>
      <c r="I84" s="27" t="s">
        <v>37</v>
      </c>
      <c r="J84" s="28" t="s">
        <v>399</v>
      </c>
      <c r="K84" s="27" t="s">
        <v>37</v>
      </c>
      <c r="L84" s="27"/>
    </row>
    <row r="85" customFormat="false" ht="15" hidden="false" customHeight="false" outlineLevel="0" collapsed="false">
      <c r="A85" s="26" t="s">
        <v>444</v>
      </c>
      <c r="B85" s="27" t="s">
        <v>445</v>
      </c>
      <c r="C85" s="27" t="s">
        <v>144</v>
      </c>
      <c r="D85" s="26" t="s">
        <v>446</v>
      </c>
      <c r="E85" s="27" t="s">
        <v>447</v>
      </c>
      <c r="F85" s="28" t="s">
        <v>146</v>
      </c>
      <c r="G85" s="27" t="s">
        <v>103</v>
      </c>
      <c r="H85" s="27" t="s">
        <v>56</v>
      </c>
      <c r="I85" s="27" t="s">
        <v>37</v>
      </c>
      <c r="J85" s="28" t="s">
        <v>399</v>
      </c>
      <c r="K85" s="27" t="s">
        <v>37</v>
      </c>
      <c r="L85" s="27"/>
    </row>
    <row r="86" customFormat="false" ht="15" hidden="false" customHeight="false" outlineLevel="0" collapsed="false">
      <c r="A86" s="26" t="s">
        <v>448</v>
      </c>
      <c r="B86" s="27" t="s">
        <v>449</v>
      </c>
      <c r="C86" s="27" t="s">
        <v>144</v>
      </c>
      <c r="D86" s="26" t="s">
        <v>450</v>
      </c>
      <c r="E86" s="27" t="s">
        <v>451</v>
      </c>
      <c r="F86" s="28" t="s">
        <v>146</v>
      </c>
      <c r="G86" s="27" t="s">
        <v>103</v>
      </c>
      <c r="H86" s="27" t="s">
        <v>56</v>
      </c>
      <c r="I86" s="27" t="s">
        <v>37</v>
      </c>
      <c r="J86" s="28" t="s">
        <v>399</v>
      </c>
      <c r="K86" s="27" t="s">
        <v>37</v>
      </c>
      <c r="L86" s="27"/>
    </row>
    <row r="87" customFormat="false" ht="15" hidden="false" customHeight="false" outlineLevel="0" collapsed="false">
      <c r="A87" s="26" t="s">
        <v>452</v>
      </c>
      <c r="B87" s="27" t="s">
        <v>453</v>
      </c>
      <c r="C87" s="27" t="s">
        <v>144</v>
      </c>
      <c r="D87" s="26" t="s">
        <v>454</v>
      </c>
      <c r="E87" s="27" t="s">
        <v>455</v>
      </c>
      <c r="F87" s="28" t="s">
        <v>146</v>
      </c>
      <c r="G87" s="27" t="s">
        <v>103</v>
      </c>
      <c r="H87" s="27" t="s">
        <v>56</v>
      </c>
      <c r="I87" s="27" t="s">
        <v>37</v>
      </c>
      <c r="J87" s="28" t="s">
        <v>399</v>
      </c>
      <c r="K87" s="27" t="s">
        <v>37</v>
      </c>
      <c r="L87" s="27"/>
    </row>
    <row r="88" customFormat="false" ht="15" hidden="false" customHeight="false" outlineLevel="0" collapsed="false">
      <c r="A88" s="26" t="s">
        <v>456</v>
      </c>
      <c r="B88" s="27" t="s">
        <v>457</v>
      </c>
      <c r="C88" s="27" t="s">
        <v>144</v>
      </c>
      <c r="D88" s="26" t="s">
        <v>458</v>
      </c>
      <c r="E88" s="27" t="s">
        <v>459</v>
      </c>
      <c r="F88" s="28" t="s">
        <v>146</v>
      </c>
      <c r="G88" s="27" t="s">
        <v>103</v>
      </c>
      <c r="H88" s="27" t="s">
        <v>56</v>
      </c>
      <c r="I88" s="27" t="s">
        <v>37</v>
      </c>
      <c r="J88" s="28" t="s">
        <v>399</v>
      </c>
      <c r="K88" s="27" t="s">
        <v>37</v>
      </c>
      <c r="L88" s="27"/>
    </row>
    <row r="89" customFormat="false" ht="15" hidden="false" customHeight="false" outlineLevel="0" collapsed="false">
      <c r="A89" s="26" t="s">
        <v>460</v>
      </c>
      <c r="B89" s="27" t="s">
        <v>461</v>
      </c>
      <c r="C89" s="27" t="s">
        <v>144</v>
      </c>
      <c r="D89" s="26" t="s">
        <v>462</v>
      </c>
      <c r="E89" s="27" t="s">
        <v>463</v>
      </c>
      <c r="F89" s="28" t="s">
        <v>146</v>
      </c>
      <c r="G89" s="27" t="s">
        <v>103</v>
      </c>
      <c r="H89" s="27" t="s">
        <v>56</v>
      </c>
      <c r="I89" s="27" t="s">
        <v>37</v>
      </c>
      <c r="J89" s="28" t="s">
        <v>399</v>
      </c>
      <c r="K89" s="27" t="s">
        <v>37</v>
      </c>
      <c r="L89" s="27"/>
    </row>
    <row r="90" customFormat="false" ht="15" hidden="false" customHeight="false" outlineLevel="0" collapsed="false">
      <c r="A90" s="26" t="s">
        <v>464</v>
      </c>
      <c r="B90" s="27" t="s">
        <v>465</v>
      </c>
      <c r="C90" s="27" t="s">
        <v>144</v>
      </c>
      <c r="D90" s="26" t="s">
        <v>466</v>
      </c>
      <c r="E90" s="27" t="s">
        <v>467</v>
      </c>
      <c r="F90" s="28" t="s">
        <v>146</v>
      </c>
      <c r="G90" s="27" t="s">
        <v>103</v>
      </c>
      <c r="H90" s="27" t="s">
        <v>56</v>
      </c>
      <c r="I90" s="27" t="s">
        <v>37</v>
      </c>
      <c r="J90" s="28" t="s">
        <v>399</v>
      </c>
      <c r="K90" s="27" t="s">
        <v>37</v>
      </c>
      <c r="L90" s="27"/>
    </row>
    <row r="91" customFormat="false" ht="15" hidden="false" customHeight="false" outlineLevel="0" collapsed="false">
      <c r="A91" s="26" t="s">
        <v>468</v>
      </c>
      <c r="B91" s="27" t="s">
        <v>469</v>
      </c>
      <c r="C91" s="27" t="s">
        <v>144</v>
      </c>
      <c r="D91" s="26" t="s">
        <v>470</v>
      </c>
      <c r="E91" s="27" t="s">
        <v>471</v>
      </c>
      <c r="F91" s="28" t="s">
        <v>146</v>
      </c>
      <c r="G91" s="27" t="s">
        <v>103</v>
      </c>
      <c r="H91" s="27" t="s">
        <v>56</v>
      </c>
      <c r="I91" s="27" t="s">
        <v>37</v>
      </c>
      <c r="J91" s="28" t="s">
        <v>399</v>
      </c>
      <c r="K91" s="27" t="s">
        <v>37</v>
      </c>
      <c r="L91" s="27"/>
    </row>
    <row r="92" customFormat="false" ht="15" hidden="false" customHeight="false" outlineLevel="0" collapsed="false">
      <c r="A92" s="26" t="s">
        <v>472</v>
      </c>
      <c r="B92" s="27" t="s">
        <v>473</v>
      </c>
      <c r="C92" s="27" t="s">
        <v>144</v>
      </c>
      <c r="D92" s="26" t="s">
        <v>474</v>
      </c>
      <c r="E92" s="27" t="s">
        <v>475</v>
      </c>
      <c r="F92" s="28" t="s">
        <v>146</v>
      </c>
      <c r="G92" s="27" t="s">
        <v>103</v>
      </c>
      <c r="H92" s="27" t="s">
        <v>56</v>
      </c>
      <c r="I92" s="27" t="s">
        <v>37</v>
      </c>
      <c r="J92" s="28" t="s">
        <v>399</v>
      </c>
      <c r="K92" s="27" t="s">
        <v>37</v>
      </c>
      <c r="L92" s="27"/>
    </row>
    <row r="93" customFormat="false" ht="15" hidden="false" customHeight="false" outlineLevel="0" collapsed="false">
      <c r="A93" s="26" t="s">
        <v>476</v>
      </c>
      <c r="B93" s="27" t="s">
        <v>477</v>
      </c>
      <c r="C93" s="27" t="s">
        <v>144</v>
      </c>
      <c r="D93" s="26" t="s">
        <v>478</v>
      </c>
      <c r="E93" s="27" t="s">
        <v>479</v>
      </c>
      <c r="F93" s="28" t="s">
        <v>146</v>
      </c>
      <c r="G93" s="27" t="s">
        <v>103</v>
      </c>
      <c r="H93" s="27" t="s">
        <v>56</v>
      </c>
      <c r="I93" s="27" t="s">
        <v>37</v>
      </c>
      <c r="J93" s="28" t="s">
        <v>399</v>
      </c>
      <c r="K93" s="27" t="s">
        <v>37</v>
      </c>
      <c r="L93" s="27"/>
    </row>
    <row r="94" customFormat="false" ht="15" hidden="false" customHeight="false" outlineLevel="0" collapsed="false">
      <c r="A94" s="26" t="s">
        <v>480</v>
      </c>
      <c r="B94" s="27" t="s">
        <v>481</v>
      </c>
      <c r="C94" s="27" t="s">
        <v>144</v>
      </c>
      <c r="D94" s="26" t="s">
        <v>482</v>
      </c>
      <c r="E94" s="27" t="s">
        <v>483</v>
      </c>
      <c r="F94" s="28" t="s">
        <v>146</v>
      </c>
      <c r="G94" s="27" t="s">
        <v>103</v>
      </c>
      <c r="H94" s="27" t="s">
        <v>56</v>
      </c>
      <c r="I94" s="27" t="s">
        <v>37</v>
      </c>
      <c r="J94" s="28" t="s">
        <v>399</v>
      </c>
      <c r="K94" s="27" t="s">
        <v>37</v>
      </c>
      <c r="L94" s="27"/>
    </row>
    <row r="95" customFormat="false" ht="15" hidden="false" customHeight="false" outlineLevel="0" collapsed="false">
      <c r="A95" s="26" t="s">
        <v>484</v>
      </c>
      <c r="B95" s="27" t="s">
        <v>485</v>
      </c>
      <c r="C95" s="27" t="s">
        <v>144</v>
      </c>
      <c r="D95" s="26" t="s">
        <v>486</v>
      </c>
      <c r="E95" s="27" t="s">
        <v>487</v>
      </c>
      <c r="F95" s="28" t="s">
        <v>146</v>
      </c>
      <c r="G95" s="27" t="s">
        <v>103</v>
      </c>
      <c r="H95" s="27" t="s">
        <v>56</v>
      </c>
      <c r="I95" s="27" t="s">
        <v>37</v>
      </c>
      <c r="J95" s="28" t="s">
        <v>399</v>
      </c>
      <c r="K95" s="27" t="s">
        <v>37</v>
      </c>
      <c r="L95" s="27"/>
    </row>
    <row r="96" customFormat="false" ht="15" hidden="false" customHeight="false" outlineLevel="0" collapsed="false">
      <c r="A96" s="26" t="s">
        <v>488</v>
      </c>
      <c r="B96" s="27" t="s">
        <v>489</v>
      </c>
      <c r="C96" s="27" t="s">
        <v>144</v>
      </c>
      <c r="D96" s="26" t="s">
        <v>490</v>
      </c>
      <c r="E96" s="27" t="s">
        <v>491</v>
      </c>
      <c r="F96" s="28" t="s">
        <v>146</v>
      </c>
      <c r="G96" s="27" t="s">
        <v>103</v>
      </c>
      <c r="H96" s="27" t="s">
        <v>56</v>
      </c>
      <c r="I96" s="27" t="s">
        <v>37</v>
      </c>
      <c r="J96" s="28" t="s">
        <v>399</v>
      </c>
      <c r="K96" s="27" t="s">
        <v>37</v>
      </c>
      <c r="L96" s="27"/>
    </row>
    <row r="97" customFormat="false" ht="15" hidden="false" customHeight="false" outlineLevel="0" collapsed="false">
      <c r="A97" s="26" t="s">
        <v>492</v>
      </c>
      <c r="B97" s="27" t="s">
        <v>493</v>
      </c>
      <c r="C97" s="27" t="s">
        <v>144</v>
      </c>
      <c r="D97" s="26" t="s">
        <v>494</v>
      </c>
      <c r="E97" s="27" t="s">
        <v>495</v>
      </c>
      <c r="F97" s="28" t="s">
        <v>146</v>
      </c>
      <c r="G97" s="27" t="s">
        <v>103</v>
      </c>
      <c r="H97" s="27" t="s">
        <v>56</v>
      </c>
      <c r="I97" s="27" t="s">
        <v>37</v>
      </c>
      <c r="J97" s="28" t="s">
        <v>399</v>
      </c>
      <c r="K97" s="27" t="s">
        <v>37</v>
      </c>
      <c r="L97" s="27"/>
    </row>
    <row r="98" customFormat="false" ht="15" hidden="false" customHeight="false" outlineLevel="0" collapsed="false">
      <c r="A98" s="26" t="s">
        <v>496</v>
      </c>
      <c r="B98" s="27" t="s">
        <v>497</v>
      </c>
      <c r="C98" s="27" t="s">
        <v>144</v>
      </c>
      <c r="D98" s="26" t="s">
        <v>498</v>
      </c>
      <c r="E98" s="27" t="s">
        <v>499</v>
      </c>
      <c r="F98" s="28" t="s">
        <v>146</v>
      </c>
      <c r="G98" s="27" t="s">
        <v>103</v>
      </c>
      <c r="H98" s="27" t="s">
        <v>56</v>
      </c>
      <c r="I98" s="27" t="s">
        <v>37</v>
      </c>
      <c r="J98" s="28" t="s">
        <v>399</v>
      </c>
      <c r="K98" s="27" t="s">
        <v>37</v>
      </c>
      <c r="L98" s="27"/>
    </row>
    <row r="99" customFormat="false" ht="15" hidden="false" customHeight="false" outlineLevel="0" collapsed="false">
      <c r="A99" s="26" t="s">
        <v>500</v>
      </c>
      <c r="B99" s="27" t="s">
        <v>501</v>
      </c>
      <c r="C99" s="27" t="s">
        <v>144</v>
      </c>
      <c r="D99" s="26" t="s">
        <v>502</v>
      </c>
      <c r="E99" s="27" t="s">
        <v>503</v>
      </c>
      <c r="F99" s="28" t="s">
        <v>146</v>
      </c>
      <c r="G99" s="27" t="s">
        <v>103</v>
      </c>
      <c r="H99" s="27" t="s">
        <v>56</v>
      </c>
      <c r="I99" s="27" t="s">
        <v>37</v>
      </c>
      <c r="J99" s="28" t="s">
        <v>399</v>
      </c>
      <c r="K99" s="27" t="s">
        <v>37</v>
      </c>
      <c r="L99" s="27"/>
    </row>
    <row r="100" customFormat="false" ht="15" hidden="false" customHeight="false" outlineLevel="0" collapsed="false">
      <c r="A100" s="26" t="s">
        <v>504</v>
      </c>
      <c r="B100" s="27" t="s">
        <v>505</v>
      </c>
      <c r="C100" s="27" t="s">
        <v>144</v>
      </c>
      <c r="D100" s="26" t="s">
        <v>506</v>
      </c>
      <c r="E100" s="27" t="s">
        <v>507</v>
      </c>
      <c r="F100" s="28" t="s">
        <v>146</v>
      </c>
      <c r="G100" s="27" t="s">
        <v>103</v>
      </c>
      <c r="H100" s="27" t="s">
        <v>56</v>
      </c>
      <c r="I100" s="27" t="s">
        <v>37</v>
      </c>
      <c r="J100" s="28" t="s">
        <v>399</v>
      </c>
      <c r="K100" s="27" t="s">
        <v>37</v>
      </c>
      <c r="L100" s="27"/>
    </row>
    <row r="101" customFormat="false" ht="15" hidden="false" customHeight="false" outlineLevel="0" collapsed="false">
      <c r="A101" s="26" t="s">
        <v>508</v>
      </c>
      <c r="B101" s="27" t="s">
        <v>509</v>
      </c>
      <c r="C101" s="27" t="s">
        <v>144</v>
      </c>
      <c r="D101" s="26" t="s">
        <v>510</v>
      </c>
      <c r="E101" s="27" t="s">
        <v>511</v>
      </c>
      <c r="F101" s="28" t="s">
        <v>146</v>
      </c>
      <c r="G101" s="27" t="s">
        <v>103</v>
      </c>
      <c r="H101" s="27" t="s">
        <v>56</v>
      </c>
      <c r="I101" s="27" t="s">
        <v>37</v>
      </c>
      <c r="J101" s="28" t="s">
        <v>399</v>
      </c>
      <c r="K101" s="27" t="s">
        <v>37</v>
      </c>
      <c r="L101" s="27"/>
    </row>
    <row r="102" customFormat="false" ht="15" hidden="false" customHeight="false" outlineLevel="0" collapsed="false">
      <c r="A102" s="26" t="s">
        <v>512</v>
      </c>
      <c r="B102" s="27" t="s">
        <v>513</v>
      </c>
      <c r="C102" s="27" t="s">
        <v>144</v>
      </c>
      <c r="D102" s="26" t="s">
        <v>514</v>
      </c>
      <c r="E102" s="27" t="s">
        <v>515</v>
      </c>
      <c r="F102" s="28" t="s">
        <v>146</v>
      </c>
      <c r="G102" s="27" t="s">
        <v>103</v>
      </c>
      <c r="H102" s="27" t="s">
        <v>56</v>
      </c>
      <c r="I102" s="27" t="s">
        <v>37</v>
      </c>
      <c r="J102" s="28" t="s">
        <v>399</v>
      </c>
      <c r="K102" s="27" t="s">
        <v>37</v>
      </c>
      <c r="L102" s="27"/>
    </row>
    <row r="103" customFormat="false" ht="15" hidden="false" customHeight="false" outlineLevel="0" collapsed="false">
      <c r="A103" s="26" t="s">
        <v>516</v>
      </c>
      <c r="B103" s="27" t="s">
        <v>517</v>
      </c>
      <c r="C103" s="27" t="s">
        <v>144</v>
      </c>
      <c r="D103" s="26" t="s">
        <v>518</v>
      </c>
      <c r="E103" s="27" t="s">
        <v>519</v>
      </c>
      <c r="F103" s="28" t="s">
        <v>146</v>
      </c>
      <c r="G103" s="27" t="s">
        <v>103</v>
      </c>
      <c r="H103" s="27" t="s">
        <v>57</v>
      </c>
      <c r="I103" s="27" t="s">
        <v>39</v>
      </c>
      <c r="J103" s="28" t="s">
        <v>399</v>
      </c>
      <c r="K103" s="27" t="s">
        <v>37</v>
      </c>
      <c r="L103" s="27"/>
    </row>
    <row r="104" customFormat="false" ht="15" hidden="false" customHeight="false" outlineLevel="0" collapsed="false">
      <c r="A104" s="26" t="s">
        <v>520</v>
      </c>
      <c r="B104" s="27" t="s">
        <v>521</v>
      </c>
      <c r="C104" s="27" t="s">
        <v>144</v>
      </c>
      <c r="D104" s="26" t="s">
        <v>522</v>
      </c>
      <c r="E104" s="27" t="s">
        <v>523</v>
      </c>
      <c r="F104" s="28" t="s">
        <v>146</v>
      </c>
      <c r="G104" s="27" t="s">
        <v>103</v>
      </c>
      <c r="H104" s="27" t="s">
        <v>56</v>
      </c>
      <c r="I104" s="27" t="s">
        <v>37</v>
      </c>
      <c r="J104" s="28" t="s">
        <v>399</v>
      </c>
      <c r="K104" s="27" t="s">
        <v>37</v>
      </c>
      <c r="L104" s="27"/>
    </row>
    <row r="105" customFormat="false" ht="15" hidden="false" customHeight="false" outlineLevel="0" collapsed="false">
      <c r="A105" s="26" t="s">
        <v>524</v>
      </c>
      <c r="B105" s="27" t="s">
        <v>525</v>
      </c>
      <c r="C105" s="27" t="s">
        <v>144</v>
      </c>
      <c r="D105" s="26" t="s">
        <v>526</v>
      </c>
      <c r="E105" s="27" t="s">
        <v>527</v>
      </c>
      <c r="F105" s="28" t="s">
        <v>146</v>
      </c>
      <c r="G105" s="27" t="s">
        <v>103</v>
      </c>
      <c r="H105" s="27" t="s">
        <v>56</v>
      </c>
      <c r="I105" s="27" t="s">
        <v>37</v>
      </c>
      <c r="J105" s="28" t="s">
        <v>399</v>
      </c>
      <c r="K105" s="27" t="s">
        <v>37</v>
      </c>
      <c r="L105" s="27"/>
    </row>
    <row r="106" customFormat="false" ht="15" hidden="false" customHeight="false" outlineLevel="0" collapsed="false">
      <c r="A106" s="26" t="s">
        <v>528</v>
      </c>
      <c r="B106" s="27" t="s">
        <v>529</v>
      </c>
      <c r="C106" s="27" t="s">
        <v>144</v>
      </c>
      <c r="D106" s="26" t="s">
        <v>530</v>
      </c>
      <c r="E106" s="27" t="s">
        <v>531</v>
      </c>
      <c r="F106" s="28" t="s">
        <v>146</v>
      </c>
      <c r="G106" s="27" t="s">
        <v>103</v>
      </c>
      <c r="H106" s="27" t="s">
        <v>56</v>
      </c>
      <c r="I106" s="27" t="s">
        <v>37</v>
      </c>
      <c r="J106" s="28" t="s">
        <v>399</v>
      </c>
      <c r="K106" s="27" t="s">
        <v>37</v>
      </c>
      <c r="L106" s="27"/>
    </row>
    <row r="107" customFormat="false" ht="15" hidden="false" customHeight="false" outlineLevel="0" collapsed="false">
      <c r="A107" s="26" t="s">
        <v>532</v>
      </c>
      <c r="B107" s="27" t="s">
        <v>533</v>
      </c>
      <c r="C107" s="27" t="s">
        <v>144</v>
      </c>
      <c r="D107" s="26" t="s">
        <v>534</v>
      </c>
      <c r="E107" s="27" t="s">
        <v>535</v>
      </c>
      <c r="F107" s="28" t="s">
        <v>146</v>
      </c>
      <c r="G107" s="27" t="s">
        <v>103</v>
      </c>
      <c r="H107" s="27" t="s">
        <v>56</v>
      </c>
      <c r="I107" s="27" t="s">
        <v>37</v>
      </c>
      <c r="J107" s="28" t="s">
        <v>399</v>
      </c>
      <c r="K107" s="27" t="s">
        <v>37</v>
      </c>
      <c r="L107" s="27"/>
    </row>
    <row r="108" customFormat="false" ht="15" hidden="false" customHeight="false" outlineLevel="0" collapsed="false">
      <c r="A108" s="26" t="s">
        <v>536</v>
      </c>
      <c r="B108" s="27" t="s">
        <v>537</v>
      </c>
      <c r="C108" s="27" t="s">
        <v>144</v>
      </c>
      <c r="D108" s="26" t="s">
        <v>538</v>
      </c>
      <c r="E108" s="27" t="s">
        <v>539</v>
      </c>
      <c r="F108" s="28" t="s">
        <v>146</v>
      </c>
      <c r="G108" s="27" t="s">
        <v>103</v>
      </c>
      <c r="H108" s="27" t="s">
        <v>56</v>
      </c>
      <c r="I108" s="27" t="s">
        <v>37</v>
      </c>
      <c r="J108" s="28" t="s">
        <v>399</v>
      </c>
      <c r="K108" s="27" t="s">
        <v>37</v>
      </c>
      <c r="L108" s="27"/>
    </row>
    <row r="109" customFormat="false" ht="15" hidden="false" customHeight="false" outlineLevel="0" collapsed="false">
      <c r="A109" s="26" t="s">
        <v>540</v>
      </c>
      <c r="B109" s="27" t="s">
        <v>541</v>
      </c>
      <c r="C109" s="27" t="s">
        <v>144</v>
      </c>
      <c r="D109" s="26" t="s">
        <v>542</v>
      </c>
      <c r="E109" s="27" t="s">
        <v>543</v>
      </c>
      <c r="F109" s="28" t="s">
        <v>146</v>
      </c>
      <c r="G109" s="27" t="s">
        <v>103</v>
      </c>
      <c r="H109" s="27" t="s">
        <v>56</v>
      </c>
      <c r="I109" s="27" t="s">
        <v>37</v>
      </c>
      <c r="J109" s="28" t="s">
        <v>399</v>
      </c>
      <c r="K109" s="27" t="s">
        <v>37</v>
      </c>
      <c r="L109" s="27"/>
    </row>
    <row r="110" customFormat="false" ht="15" hidden="false" customHeight="false" outlineLevel="0" collapsed="false">
      <c r="A110" s="26" t="s">
        <v>544</v>
      </c>
      <c r="B110" s="27" t="s">
        <v>545</v>
      </c>
      <c r="C110" s="27" t="s">
        <v>144</v>
      </c>
      <c r="D110" s="26" t="s">
        <v>510</v>
      </c>
      <c r="E110" s="27" t="s">
        <v>511</v>
      </c>
      <c r="F110" s="28" t="s">
        <v>146</v>
      </c>
      <c r="G110" s="27" t="s">
        <v>103</v>
      </c>
      <c r="H110" s="27" t="s">
        <v>56</v>
      </c>
      <c r="I110" s="27" t="s">
        <v>37</v>
      </c>
      <c r="J110" s="28" t="s">
        <v>399</v>
      </c>
      <c r="K110" s="27" t="s">
        <v>37</v>
      </c>
      <c r="L110" s="27"/>
    </row>
    <row r="111" customFormat="false" ht="15" hidden="false" customHeight="false" outlineLevel="0" collapsed="false">
      <c r="A111" s="26" t="s">
        <v>546</v>
      </c>
      <c r="B111" s="27" t="s">
        <v>547</v>
      </c>
      <c r="C111" s="27" t="s">
        <v>144</v>
      </c>
      <c r="D111" s="26" t="s">
        <v>548</v>
      </c>
      <c r="E111" s="27" t="s">
        <v>549</v>
      </c>
      <c r="F111" s="28" t="s">
        <v>146</v>
      </c>
      <c r="G111" s="27" t="s">
        <v>103</v>
      </c>
      <c r="H111" s="27" t="s">
        <v>56</v>
      </c>
      <c r="I111" s="27" t="s">
        <v>37</v>
      </c>
      <c r="J111" s="28" t="s">
        <v>399</v>
      </c>
      <c r="K111" s="27" t="s">
        <v>37</v>
      </c>
      <c r="L111" s="27"/>
    </row>
    <row r="112" customFormat="false" ht="15" hidden="false" customHeight="false" outlineLevel="0" collapsed="false">
      <c r="A112" s="26" t="s">
        <v>550</v>
      </c>
      <c r="B112" s="27" t="s">
        <v>551</v>
      </c>
      <c r="C112" s="27" t="s">
        <v>144</v>
      </c>
      <c r="D112" s="26" t="s">
        <v>552</v>
      </c>
      <c r="E112" s="27" t="s">
        <v>553</v>
      </c>
      <c r="F112" s="28" t="s">
        <v>146</v>
      </c>
      <c r="G112" s="27" t="s">
        <v>103</v>
      </c>
      <c r="H112" s="27" t="s">
        <v>56</v>
      </c>
      <c r="I112" s="27" t="s">
        <v>37</v>
      </c>
      <c r="J112" s="28" t="s">
        <v>399</v>
      </c>
      <c r="K112" s="27" t="s">
        <v>37</v>
      </c>
      <c r="L112" s="27"/>
    </row>
    <row r="113" customFormat="false" ht="15" hidden="false" customHeight="false" outlineLevel="0" collapsed="false">
      <c r="A113" s="26" t="s">
        <v>554</v>
      </c>
      <c r="B113" s="27" t="s">
        <v>555</v>
      </c>
      <c r="C113" s="27" t="s">
        <v>144</v>
      </c>
      <c r="D113" s="26" t="s">
        <v>556</v>
      </c>
      <c r="E113" s="27" t="s">
        <v>557</v>
      </c>
      <c r="F113" s="28" t="s">
        <v>146</v>
      </c>
      <c r="G113" s="27" t="s">
        <v>103</v>
      </c>
      <c r="H113" s="27" t="s">
        <v>56</v>
      </c>
      <c r="I113" s="27" t="s">
        <v>37</v>
      </c>
      <c r="J113" s="28" t="s">
        <v>399</v>
      </c>
      <c r="K113" s="27" t="s">
        <v>37</v>
      </c>
      <c r="L113" s="27"/>
    </row>
    <row r="114" customFormat="false" ht="15" hidden="false" customHeight="false" outlineLevel="0" collapsed="false">
      <c r="A114" s="26" t="s">
        <v>558</v>
      </c>
      <c r="B114" s="27" t="s">
        <v>559</v>
      </c>
      <c r="C114" s="27" t="s">
        <v>144</v>
      </c>
      <c r="D114" s="26" t="s">
        <v>560</v>
      </c>
      <c r="E114" s="27" t="s">
        <v>561</v>
      </c>
      <c r="F114" s="28" t="s">
        <v>146</v>
      </c>
      <c r="G114" s="27" t="s">
        <v>103</v>
      </c>
      <c r="H114" s="27" t="s">
        <v>56</v>
      </c>
      <c r="I114" s="27" t="s">
        <v>37</v>
      </c>
      <c r="J114" s="28" t="s">
        <v>399</v>
      </c>
      <c r="K114" s="27" t="s">
        <v>37</v>
      </c>
      <c r="L114" s="27"/>
    </row>
    <row r="115" customFormat="false" ht="15" hidden="false" customHeight="false" outlineLevel="0" collapsed="false">
      <c r="A115" s="26" t="s">
        <v>562</v>
      </c>
      <c r="B115" s="27" t="s">
        <v>563</v>
      </c>
      <c r="C115" s="27" t="s">
        <v>144</v>
      </c>
      <c r="D115" s="26" t="s">
        <v>564</v>
      </c>
      <c r="E115" s="27" t="s">
        <v>565</v>
      </c>
      <c r="F115" s="28" t="s">
        <v>146</v>
      </c>
      <c r="G115" s="27" t="s">
        <v>103</v>
      </c>
      <c r="H115" s="27" t="s">
        <v>56</v>
      </c>
      <c r="I115" s="27" t="s">
        <v>37</v>
      </c>
      <c r="J115" s="28" t="s">
        <v>399</v>
      </c>
      <c r="K115" s="27" t="s">
        <v>37</v>
      </c>
      <c r="L115" s="27"/>
    </row>
    <row r="116" customFormat="false" ht="15" hidden="false" customHeight="false" outlineLevel="0" collapsed="false">
      <c r="A116" s="26" t="s">
        <v>566</v>
      </c>
      <c r="B116" s="27" t="s">
        <v>567</v>
      </c>
      <c r="C116" s="27" t="s">
        <v>144</v>
      </c>
      <c r="D116" s="26" t="s">
        <v>568</v>
      </c>
      <c r="E116" s="27" t="s">
        <v>569</v>
      </c>
      <c r="F116" s="28" t="s">
        <v>146</v>
      </c>
      <c r="G116" s="27" t="s">
        <v>103</v>
      </c>
      <c r="H116" s="27" t="s">
        <v>56</v>
      </c>
      <c r="I116" s="27" t="s">
        <v>37</v>
      </c>
      <c r="J116" s="28" t="s">
        <v>399</v>
      </c>
      <c r="K116" s="27" t="s">
        <v>37</v>
      </c>
      <c r="L116" s="27"/>
    </row>
    <row r="117" customFormat="false" ht="15" hidden="false" customHeight="false" outlineLevel="0" collapsed="false">
      <c r="A117" s="26" t="s">
        <v>570</v>
      </c>
      <c r="B117" s="27" t="s">
        <v>571</v>
      </c>
      <c r="C117" s="27" t="s">
        <v>144</v>
      </c>
      <c r="D117" s="26" t="s">
        <v>572</v>
      </c>
      <c r="E117" s="27" t="s">
        <v>573</v>
      </c>
      <c r="F117" s="28" t="s">
        <v>146</v>
      </c>
      <c r="G117" s="27" t="s">
        <v>103</v>
      </c>
      <c r="H117" s="27" t="s">
        <v>56</v>
      </c>
      <c r="I117" s="27" t="s">
        <v>37</v>
      </c>
      <c r="J117" s="28" t="s">
        <v>399</v>
      </c>
      <c r="K117" s="27" t="s">
        <v>37</v>
      </c>
      <c r="L117" s="27"/>
    </row>
    <row r="118" customFormat="false" ht="15" hidden="false" customHeight="false" outlineLevel="0" collapsed="false">
      <c r="A118" s="26" t="s">
        <v>574</v>
      </c>
      <c r="B118" s="27" t="s">
        <v>575</v>
      </c>
      <c r="C118" s="27" t="s">
        <v>144</v>
      </c>
      <c r="D118" s="26" t="s">
        <v>576</v>
      </c>
      <c r="E118" s="27" t="s">
        <v>577</v>
      </c>
      <c r="F118" s="28" t="s">
        <v>146</v>
      </c>
      <c r="G118" s="27" t="s">
        <v>103</v>
      </c>
      <c r="H118" s="27" t="s">
        <v>56</v>
      </c>
      <c r="I118" s="27" t="s">
        <v>37</v>
      </c>
      <c r="J118" s="28" t="s">
        <v>399</v>
      </c>
      <c r="K118" s="27" t="s">
        <v>37</v>
      </c>
      <c r="L118" s="27"/>
    </row>
    <row r="119" customFormat="false" ht="15" hidden="false" customHeight="false" outlineLevel="0" collapsed="false">
      <c r="A119" s="26" t="s">
        <v>578</v>
      </c>
      <c r="B119" s="27" t="s">
        <v>579</v>
      </c>
      <c r="C119" s="27" t="s">
        <v>144</v>
      </c>
      <c r="D119" s="26" t="s">
        <v>580</v>
      </c>
      <c r="E119" s="27" t="s">
        <v>581</v>
      </c>
      <c r="F119" s="28" t="s">
        <v>146</v>
      </c>
      <c r="G119" s="27" t="s">
        <v>103</v>
      </c>
      <c r="H119" s="27" t="s">
        <v>56</v>
      </c>
      <c r="I119" s="27" t="s">
        <v>37</v>
      </c>
      <c r="J119" s="28" t="s">
        <v>399</v>
      </c>
      <c r="K119" s="27" t="s">
        <v>37</v>
      </c>
      <c r="L119" s="27"/>
    </row>
    <row r="120" customFormat="false" ht="15" hidden="false" customHeight="false" outlineLevel="0" collapsed="false">
      <c r="A120" s="26" t="s">
        <v>582</v>
      </c>
      <c r="B120" s="27" t="s">
        <v>583</v>
      </c>
      <c r="C120" s="27" t="s">
        <v>144</v>
      </c>
      <c r="D120" s="26" t="s">
        <v>584</v>
      </c>
      <c r="E120" s="27" t="s">
        <v>585</v>
      </c>
      <c r="F120" s="28" t="s">
        <v>146</v>
      </c>
      <c r="G120" s="27" t="s">
        <v>103</v>
      </c>
      <c r="H120" s="27" t="s">
        <v>56</v>
      </c>
      <c r="I120" s="27" t="s">
        <v>37</v>
      </c>
      <c r="J120" s="28" t="s">
        <v>399</v>
      </c>
      <c r="K120" s="27" t="s">
        <v>37</v>
      </c>
      <c r="L120" s="27"/>
    </row>
    <row r="121" customFormat="false" ht="15" hidden="false" customHeight="false" outlineLevel="0" collapsed="false">
      <c r="A121" s="26" t="s">
        <v>586</v>
      </c>
      <c r="B121" s="27" t="s">
        <v>587</v>
      </c>
      <c r="C121" s="27" t="s">
        <v>144</v>
      </c>
      <c r="D121" s="26" t="s">
        <v>588</v>
      </c>
      <c r="E121" s="27" t="s">
        <v>589</v>
      </c>
      <c r="F121" s="28" t="s">
        <v>146</v>
      </c>
      <c r="G121" s="27" t="s">
        <v>103</v>
      </c>
      <c r="H121" s="27" t="s">
        <v>56</v>
      </c>
      <c r="I121" s="27" t="s">
        <v>37</v>
      </c>
      <c r="J121" s="28" t="s">
        <v>399</v>
      </c>
      <c r="K121" s="27" t="s">
        <v>37</v>
      </c>
      <c r="L121" s="27"/>
    </row>
    <row r="122" customFormat="false" ht="15" hidden="false" customHeight="false" outlineLevel="0" collapsed="false">
      <c r="A122" s="26" t="s">
        <v>590</v>
      </c>
      <c r="B122" s="27" t="s">
        <v>591</v>
      </c>
      <c r="C122" s="27" t="s">
        <v>144</v>
      </c>
      <c r="D122" s="26" t="s">
        <v>592</v>
      </c>
      <c r="E122" s="27" t="s">
        <v>593</v>
      </c>
      <c r="F122" s="28" t="s">
        <v>146</v>
      </c>
      <c r="G122" s="27" t="s">
        <v>103</v>
      </c>
      <c r="H122" s="27" t="s">
        <v>56</v>
      </c>
      <c r="I122" s="27" t="s">
        <v>37</v>
      </c>
      <c r="J122" s="28" t="s">
        <v>399</v>
      </c>
      <c r="K122" s="27" t="s">
        <v>37</v>
      </c>
      <c r="L122" s="27"/>
    </row>
    <row r="123" customFormat="false" ht="15" hidden="false" customHeight="false" outlineLevel="0" collapsed="false">
      <c r="A123" s="26" t="s">
        <v>594</v>
      </c>
      <c r="B123" s="27" t="s">
        <v>595</v>
      </c>
      <c r="C123" s="27" t="s">
        <v>144</v>
      </c>
      <c r="D123" s="26" t="s">
        <v>596</v>
      </c>
      <c r="E123" s="27" t="s">
        <v>597</v>
      </c>
      <c r="F123" s="28" t="s">
        <v>146</v>
      </c>
      <c r="G123" s="27" t="s">
        <v>103</v>
      </c>
      <c r="H123" s="27" t="s">
        <v>56</v>
      </c>
      <c r="I123" s="27" t="s">
        <v>37</v>
      </c>
      <c r="J123" s="28" t="s">
        <v>399</v>
      </c>
      <c r="K123" s="27" t="s">
        <v>37</v>
      </c>
      <c r="L123" s="27"/>
    </row>
    <row r="124" customFormat="false" ht="15" hidden="false" customHeight="false" outlineLevel="0" collapsed="false">
      <c r="A124" s="26" t="s">
        <v>598</v>
      </c>
      <c r="B124" s="27" t="s">
        <v>599</v>
      </c>
      <c r="C124" s="27" t="s">
        <v>144</v>
      </c>
      <c r="D124" s="26" t="s">
        <v>600</v>
      </c>
      <c r="E124" s="27" t="s">
        <v>601</v>
      </c>
      <c r="F124" s="28" t="s">
        <v>146</v>
      </c>
      <c r="G124" s="27" t="s">
        <v>103</v>
      </c>
      <c r="H124" s="27" t="s">
        <v>56</v>
      </c>
      <c r="I124" s="27" t="s">
        <v>37</v>
      </c>
      <c r="J124" s="28" t="s">
        <v>399</v>
      </c>
      <c r="K124" s="27" t="s">
        <v>37</v>
      </c>
      <c r="L124" s="27"/>
    </row>
    <row r="125" customFormat="false" ht="15" hidden="false" customHeight="false" outlineLevel="0" collapsed="false">
      <c r="A125" s="26" t="s">
        <v>602</v>
      </c>
      <c r="B125" s="27" t="s">
        <v>603</v>
      </c>
      <c r="C125" s="27" t="s">
        <v>144</v>
      </c>
      <c r="D125" s="26" t="s">
        <v>604</v>
      </c>
      <c r="E125" s="27" t="s">
        <v>605</v>
      </c>
      <c r="F125" s="28" t="s">
        <v>146</v>
      </c>
      <c r="G125" s="27" t="s">
        <v>103</v>
      </c>
      <c r="H125" s="27" t="s">
        <v>56</v>
      </c>
      <c r="I125" s="27" t="s">
        <v>37</v>
      </c>
      <c r="J125" s="28" t="s">
        <v>399</v>
      </c>
      <c r="K125" s="27" t="s">
        <v>37</v>
      </c>
      <c r="L125" s="27"/>
    </row>
    <row r="126" customFormat="false" ht="15" hidden="false" customHeight="false" outlineLevel="0" collapsed="false">
      <c r="A126" s="26" t="s">
        <v>606</v>
      </c>
      <c r="B126" s="27" t="s">
        <v>607</v>
      </c>
      <c r="C126" s="27" t="s">
        <v>144</v>
      </c>
      <c r="D126" s="26" t="s">
        <v>608</v>
      </c>
      <c r="E126" s="27" t="s">
        <v>609</v>
      </c>
      <c r="F126" s="28" t="s">
        <v>146</v>
      </c>
      <c r="G126" s="27" t="s">
        <v>103</v>
      </c>
      <c r="H126" s="27" t="s">
        <v>57</v>
      </c>
      <c r="I126" s="27" t="s">
        <v>41</v>
      </c>
      <c r="J126" s="28" t="s">
        <v>399</v>
      </c>
      <c r="K126" s="27" t="s">
        <v>37</v>
      </c>
      <c r="L126" s="27"/>
    </row>
    <row r="127" customFormat="false" ht="15" hidden="false" customHeight="false" outlineLevel="0" collapsed="false">
      <c r="A127" s="26" t="s">
        <v>610</v>
      </c>
      <c r="B127" s="27" t="s">
        <v>611</v>
      </c>
      <c r="C127" s="27" t="s">
        <v>144</v>
      </c>
      <c r="D127" s="26" t="s">
        <v>612</v>
      </c>
      <c r="E127" s="27" t="s">
        <v>613</v>
      </c>
      <c r="F127" s="28" t="s">
        <v>146</v>
      </c>
      <c r="G127" s="27" t="s">
        <v>103</v>
      </c>
      <c r="H127" s="27" t="s">
        <v>56</v>
      </c>
      <c r="I127" s="27" t="s">
        <v>37</v>
      </c>
      <c r="J127" s="28" t="s">
        <v>399</v>
      </c>
      <c r="K127" s="27" t="s">
        <v>37</v>
      </c>
      <c r="L127" s="27"/>
    </row>
    <row r="128" customFormat="false" ht="15" hidden="false" customHeight="false" outlineLevel="0" collapsed="false">
      <c r="A128" s="26" t="s">
        <v>614</v>
      </c>
      <c r="B128" s="27" t="s">
        <v>615</v>
      </c>
      <c r="C128" s="27" t="s">
        <v>144</v>
      </c>
      <c r="D128" s="26" t="s">
        <v>616</v>
      </c>
      <c r="E128" s="27" t="s">
        <v>617</v>
      </c>
      <c r="F128" s="28" t="s">
        <v>146</v>
      </c>
      <c r="G128" s="27" t="s">
        <v>103</v>
      </c>
      <c r="H128" s="27" t="s">
        <v>56</v>
      </c>
      <c r="I128" s="27" t="s">
        <v>37</v>
      </c>
      <c r="J128" s="28" t="s">
        <v>399</v>
      </c>
      <c r="K128" s="27" t="s">
        <v>37</v>
      </c>
      <c r="L128" s="27"/>
    </row>
    <row r="129" customFormat="false" ht="15" hidden="false" customHeight="false" outlineLevel="0" collapsed="false">
      <c r="A129" s="26" t="s">
        <v>618</v>
      </c>
      <c r="B129" s="27" t="s">
        <v>619</v>
      </c>
      <c r="C129" s="27" t="s">
        <v>144</v>
      </c>
      <c r="D129" s="26" t="s">
        <v>620</v>
      </c>
      <c r="E129" s="27" t="s">
        <v>621</v>
      </c>
      <c r="F129" s="28" t="s">
        <v>146</v>
      </c>
      <c r="G129" s="27" t="s">
        <v>103</v>
      </c>
      <c r="H129" s="27" t="s">
        <v>56</v>
      </c>
      <c r="I129" s="27" t="s">
        <v>37</v>
      </c>
      <c r="J129" s="28" t="s">
        <v>399</v>
      </c>
      <c r="K129" s="27" t="s">
        <v>37</v>
      </c>
      <c r="L129" s="27"/>
    </row>
    <row r="130" customFormat="false" ht="15" hidden="false" customHeight="false" outlineLevel="0" collapsed="false">
      <c r="A130" s="26" t="s">
        <v>622</v>
      </c>
      <c r="B130" s="27" t="s">
        <v>623</v>
      </c>
      <c r="C130" s="27" t="s">
        <v>144</v>
      </c>
      <c r="D130" s="26" t="s">
        <v>624</v>
      </c>
      <c r="E130" s="27" t="s">
        <v>623</v>
      </c>
      <c r="F130" s="28" t="s">
        <v>146</v>
      </c>
      <c r="G130" s="27" t="s">
        <v>103</v>
      </c>
      <c r="H130" s="27" t="s">
        <v>56</v>
      </c>
      <c r="I130" s="27" t="s">
        <v>37</v>
      </c>
      <c r="J130" s="28" t="s">
        <v>399</v>
      </c>
      <c r="K130" s="27" t="s">
        <v>37</v>
      </c>
      <c r="L130" s="27"/>
    </row>
    <row r="131" customFormat="false" ht="15" hidden="false" customHeight="false" outlineLevel="0" collapsed="false">
      <c r="A131" s="26" t="s">
        <v>625</v>
      </c>
      <c r="B131" s="27" t="s">
        <v>626</v>
      </c>
      <c r="C131" s="27" t="s">
        <v>144</v>
      </c>
      <c r="D131" s="26" t="s">
        <v>627</v>
      </c>
      <c r="E131" s="27" t="s">
        <v>628</v>
      </c>
      <c r="F131" s="28" t="s">
        <v>146</v>
      </c>
      <c r="G131" s="27" t="s">
        <v>103</v>
      </c>
      <c r="H131" s="27" t="s">
        <v>56</v>
      </c>
      <c r="I131" s="27" t="s">
        <v>37</v>
      </c>
      <c r="J131" s="28" t="s">
        <v>399</v>
      </c>
      <c r="K131" s="27" t="s">
        <v>37</v>
      </c>
      <c r="L131" s="27"/>
    </row>
    <row r="132" customFormat="false" ht="15" hidden="false" customHeight="false" outlineLevel="0" collapsed="false">
      <c r="A132" s="26" t="s">
        <v>629</v>
      </c>
      <c r="B132" s="27" t="s">
        <v>630</v>
      </c>
      <c r="C132" s="27" t="s">
        <v>144</v>
      </c>
      <c r="D132" s="26" t="s">
        <v>631</v>
      </c>
      <c r="E132" s="27" t="s">
        <v>632</v>
      </c>
      <c r="F132" s="28" t="s">
        <v>146</v>
      </c>
      <c r="G132" s="27" t="s">
        <v>103</v>
      </c>
      <c r="H132" s="27" t="s">
        <v>57</v>
      </c>
      <c r="I132" s="27" t="s">
        <v>42</v>
      </c>
      <c r="J132" s="28" t="s">
        <v>399</v>
      </c>
      <c r="K132" s="27" t="s">
        <v>37</v>
      </c>
      <c r="L132" s="27"/>
    </row>
    <row r="133" customFormat="false" ht="15" hidden="false" customHeight="false" outlineLevel="0" collapsed="false">
      <c r="A133" s="26" t="s">
        <v>633</v>
      </c>
      <c r="B133" s="27" t="s">
        <v>634</v>
      </c>
      <c r="C133" s="27" t="s">
        <v>144</v>
      </c>
      <c r="D133" s="26" t="s">
        <v>635</v>
      </c>
      <c r="E133" s="27" t="s">
        <v>634</v>
      </c>
      <c r="F133" s="28" t="s">
        <v>146</v>
      </c>
      <c r="G133" s="27" t="s">
        <v>103</v>
      </c>
      <c r="H133" s="27" t="s">
        <v>56</v>
      </c>
      <c r="I133" s="27" t="s">
        <v>37</v>
      </c>
      <c r="J133" s="28" t="s">
        <v>636</v>
      </c>
      <c r="K133" s="27" t="s">
        <v>37</v>
      </c>
      <c r="L133" s="27"/>
    </row>
    <row r="134" customFormat="false" ht="15" hidden="false" customHeight="false" outlineLevel="0" collapsed="false">
      <c r="A134" s="26" t="s">
        <v>637</v>
      </c>
      <c r="B134" s="27" t="s">
        <v>638</v>
      </c>
      <c r="C134" s="27" t="s">
        <v>144</v>
      </c>
      <c r="D134" s="26" t="s">
        <v>639</v>
      </c>
      <c r="E134" s="27" t="s">
        <v>640</v>
      </c>
      <c r="F134" s="28" t="s">
        <v>146</v>
      </c>
      <c r="G134" s="27" t="s">
        <v>103</v>
      </c>
      <c r="H134" s="27" t="s">
        <v>56</v>
      </c>
      <c r="I134" s="27" t="s">
        <v>37</v>
      </c>
      <c r="J134" s="28" t="s">
        <v>636</v>
      </c>
      <c r="K134" s="27" t="s">
        <v>37</v>
      </c>
      <c r="L134" s="27"/>
    </row>
    <row r="135" customFormat="false" ht="15" hidden="false" customHeight="false" outlineLevel="0" collapsed="false">
      <c r="A135" s="26" t="s">
        <v>641</v>
      </c>
      <c r="B135" s="27" t="s">
        <v>642</v>
      </c>
      <c r="C135" s="27" t="s">
        <v>144</v>
      </c>
      <c r="D135" s="26" t="s">
        <v>643</v>
      </c>
      <c r="E135" s="27" t="s">
        <v>644</v>
      </c>
      <c r="F135" s="28" t="s">
        <v>146</v>
      </c>
      <c r="G135" s="27" t="s">
        <v>103</v>
      </c>
      <c r="H135" s="27" t="s">
        <v>56</v>
      </c>
      <c r="I135" s="27" t="s">
        <v>37</v>
      </c>
      <c r="J135" s="28" t="s">
        <v>636</v>
      </c>
      <c r="K135" s="27" t="s">
        <v>37</v>
      </c>
      <c r="L135" s="27"/>
    </row>
    <row r="136" customFormat="false" ht="15" hidden="false" customHeight="false" outlineLevel="0" collapsed="false">
      <c r="A136" s="26" t="s">
        <v>645</v>
      </c>
      <c r="B136" s="27" t="s">
        <v>646</v>
      </c>
      <c r="C136" s="27" t="s">
        <v>144</v>
      </c>
      <c r="D136" s="26" t="s">
        <v>647</v>
      </c>
      <c r="E136" s="27" t="s">
        <v>648</v>
      </c>
      <c r="F136" s="28" t="s">
        <v>146</v>
      </c>
      <c r="G136" s="27" t="s">
        <v>103</v>
      </c>
      <c r="H136" s="27" t="s">
        <v>56</v>
      </c>
      <c r="I136" s="27" t="s">
        <v>37</v>
      </c>
      <c r="J136" s="28" t="s">
        <v>636</v>
      </c>
      <c r="K136" s="27" t="s">
        <v>37</v>
      </c>
      <c r="L136" s="27"/>
    </row>
    <row r="137" customFormat="false" ht="15" hidden="false" customHeight="false" outlineLevel="0" collapsed="false">
      <c r="A137" s="26" t="s">
        <v>649</v>
      </c>
      <c r="B137" s="27" t="s">
        <v>650</v>
      </c>
      <c r="C137" s="27" t="s">
        <v>144</v>
      </c>
      <c r="D137" s="26" t="s">
        <v>651</v>
      </c>
      <c r="E137" s="27" t="s">
        <v>652</v>
      </c>
      <c r="F137" s="28" t="s">
        <v>146</v>
      </c>
      <c r="G137" s="27" t="s">
        <v>103</v>
      </c>
      <c r="H137" s="27" t="s">
        <v>56</v>
      </c>
      <c r="I137" s="27" t="s">
        <v>37</v>
      </c>
      <c r="J137" s="28" t="s">
        <v>636</v>
      </c>
      <c r="K137" s="27" t="s">
        <v>37</v>
      </c>
      <c r="L137" s="27"/>
    </row>
    <row r="138" customFormat="false" ht="15" hidden="false" customHeight="false" outlineLevel="0" collapsed="false">
      <c r="A138" s="26" t="s">
        <v>653</v>
      </c>
      <c r="B138" s="27" t="s">
        <v>654</v>
      </c>
      <c r="C138" s="27" t="s">
        <v>144</v>
      </c>
      <c r="D138" s="26" t="s">
        <v>655</v>
      </c>
      <c r="E138" s="27" t="s">
        <v>656</v>
      </c>
      <c r="F138" s="28" t="s">
        <v>146</v>
      </c>
      <c r="G138" s="27" t="s">
        <v>103</v>
      </c>
      <c r="H138" s="27" t="s">
        <v>56</v>
      </c>
      <c r="I138" s="27" t="s">
        <v>37</v>
      </c>
      <c r="J138" s="28" t="s">
        <v>636</v>
      </c>
      <c r="K138" s="27" t="s">
        <v>37</v>
      </c>
      <c r="L138" s="27"/>
    </row>
    <row r="139" customFormat="false" ht="15" hidden="false" customHeight="false" outlineLevel="0" collapsed="false">
      <c r="A139" s="26" t="s">
        <v>657</v>
      </c>
      <c r="B139" s="27" t="s">
        <v>658</v>
      </c>
      <c r="C139" s="27" t="s">
        <v>144</v>
      </c>
      <c r="D139" s="26" t="s">
        <v>659</v>
      </c>
      <c r="E139" s="27" t="s">
        <v>660</v>
      </c>
      <c r="F139" s="28" t="s">
        <v>146</v>
      </c>
      <c r="G139" s="27" t="s">
        <v>103</v>
      </c>
      <c r="H139" s="27" t="s">
        <v>56</v>
      </c>
      <c r="I139" s="27" t="s">
        <v>37</v>
      </c>
      <c r="J139" s="28" t="s">
        <v>636</v>
      </c>
      <c r="K139" s="27" t="s">
        <v>37</v>
      </c>
      <c r="L139" s="27"/>
    </row>
    <row r="140" customFormat="false" ht="15" hidden="false" customHeight="false" outlineLevel="0" collapsed="false">
      <c r="A140" s="26" t="s">
        <v>661</v>
      </c>
      <c r="B140" s="27" t="s">
        <v>662</v>
      </c>
      <c r="C140" s="27" t="s">
        <v>144</v>
      </c>
      <c r="D140" s="26" t="s">
        <v>663</v>
      </c>
      <c r="E140" s="27" t="s">
        <v>664</v>
      </c>
      <c r="F140" s="28" t="s">
        <v>146</v>
      </c>
      <c r="G140" s="27" t="s">
        <v>103</v>
      </c>
      <c r="H140" s="27" t="s">
        <v>56</v>
      </c>
      <c r="I140" s="27" t="s">
        <v>37</v>
      </c>
      <c r="J140" s="28" t="s">
        <v>636</v>
      </c>
      <c r="K140" s="27" t="s">
        <v>37</v>
      </c>
      <c r="L140" s="27"/>
    </row>
    <row r="141" customFormat="false" ht="15" hidden="false" customHeight="false" outlineLevel="0" collapsed="false">
      <c r="A141" s="26" t="s">
        <v>665</v>
      </c>
      <c r="B141" s="27" t="s">
        <v>666</v>
      </c>
      <c r="C141" s="27" t="s">
        <v>144</v>
      </c>
      <c r="D141" s="26" t="s">
        <v>667</v>
      </c>
      <c r="E141" s="27" t="s">
        <v>668</v>
      </c>
      <c r="F141" s="28" t="s">
        <v>146</v>
      </c>
      <c r="G141" s="27" t="s">
        <v>103</v>
      </c>
      <c r="H141" s="27" t="s">
        <v>56</v>
      </c>
      <c r="I141" s="27" t="s">
        <v>37</v>
      </c>
      <c r="J141" s="28" t="s">
        <v>636</v>
      </c>
      <c r="K141" s="27" t="s">
        <v>37</v>
      </c>
      <c r="L141" s="27"/>
    </row>
    <row r="142" customFormat="false" ht="15" hidden="false" customHeight="false" outlineLevel="0" collapsed="false">
      <c r="A142" s="26" t="s">
        <v>669</v>
      </c>
      <c r="B142" s="27" t="s">
        <v>670</v>
      </c>
      <c r="C142" s="27" t="s">
        <v>144</v>
      </c>
      <c r="D142" s="26" t="s">
        <v>671</v>
      </c>
      <c r="E142" s="27" t="s">
        <v>672</v>
      </c>
      <c r="F142" s="28" t="s">
        <v>146</v>
      </c>
      <c r="G142" s="27" t="s">
        <v>103</v>
      </c>
      <c r="H142" s="27" t="s">
        <v>56</v>
      </c>
      <c r="I142" s="27" t="s">
        <v>37</v>
      </c>
      <c r="J142" s="28" t="s">
        <v>636</v>
      </c>
      <c r="K142" s="27" t="s">
        <v>37</v>
      </c>
      <c r="L142" s="27"/>
    </row>
    <row r="143" customFormat="false" ht="15" hidden="false" customHeight="false" outlineLevel="0" collapsed="false">
      <c r="A143" s="26" t="s">
        <v>673</v>
      </c>
      <c r="B143" s="27" t="s">
        <v>674</v>
      </c>
      <c r="C143" s="27" t="s">
        <v>144</v>
      </c>
      <c r="D143" s="26" t="s">
        <v>675</v>
      </c>
      <c r="E143" s="27" t="s">
        <v>676</v>
      </c>
      <c r="F143" s="28" t="s">
        <v>146</v>
      </c>
      <c r="G143" s="27" t="s">
        <v>103</v>
      </c>
      <c r="H143" s="27" t="s">
        <v>56</v>
      </c>
      <c r="I143" s="27" t="s">
        <v>37</v>
      </c>
      <c r="J143" s="28" t="s">
        <v>636</v>
      </c>
      <c r="K143" s="27" t="s">
        <v>37</v>
      </c>
      <c r="L143" s="27"/>
    </row>
    <row r="144" customFormat="false" ht="15" hidden="false" customHeight="false" outlineLevel="0" collapsed="false">
      <c r="A144" s="26" t="s">
        <v>677</v>
      </c>
      <c r="B144" s="27" t="s">
        <v>678</v>
      </c>
      <c r="C144" s="27" t="s">
        <v>144</v>
      </c>
      <c r="D144" s="26" t="s">
        <v>679</v>
      </c>
      <c r="E144" s="27" t="s">
        <v>680</v>
      </c>
      <c r="F144" s="28" t="s">
        <v>146</v>
      </c>
      <c r="G144" s="27" t="s">
        <v>103</v>
      </c>
      <c r="H144" s="27" t="s">
        <v>56</v>
      </c>
      <c r="I144" s="27" t="s">
        <v>37</v>
      </c>
      <c r="J144" s="28" t="s">
        <v>636</v>
      </c>
      <c r="K144" s="27" t="s">
        <v>37</v>
      </c>
      <c r="L144" s="27"/>
    </row>
    <row r="145" customFormat="false" ht="15" hidden="false" customHeight="false" outlineLevel="0" collapsed="false">
      <c r="A145" s="26" t="s">
        <v>681</v>
      </c>
      <c r="B145" s="27" t="s">
        <v>682</v>
      </c>
      <c r="C145" s="27" t="s">
        <v>144</v>
      </c>
      <c r="D145" s="26" t="s">
        <v>683</v>
      </c>
      <c r="E145" s="27" t="s">
        <v>684</v>
      </c>
      <c r="F145" s="28" t="s">
        <v>146</v>
      </c>
      <c r="G145" s="27" t="s">
        <v>103</v>
      </c>
      <c r="H145" s="27" t="s">
        <v>56</v>
      </c>
      <c r="I145" s="27" t="s">
        <v>37</v>
      </c>
      <c r="J145" s="28" t="s">
        <v>636</v>
      </c>
      <c r="K145" s="27" t="s">
        <v>37</v>
      </c>
      <c r="L145" s="27"/>
    </row>
    <row r="146" customFormat="false" ht="15" hidden="false" customHeight="false" outlineLevel="0" collapsed="false">
      <c r="A146" s="26" t="s">
        <v>685</v>
      </c>
      <c r="B146" s="27" t="s">
        <v>686</v>
      </c>
      <c r="C146" s="27" t="s">
        <v>144</v>
      </c>
      <c r="D146" s="26" t="s">
        <v>687</v>
      </c>
      <c r="E146" s="27" t="s">
        <v>688</v>
      </c>
      <c r="F146" s="28" t="s">
        <v>146</v>
      </c>
      <c r="G146" s="27" t="s">
        <v>103</v>
      </c>
      <c r="H146" s="27" t="s">
        <v>56</v>
      </c>
      <c r="I146" s="27" t="s">
        <v>37</v>
      </c>
      <c r="J146" s="28" t="s">
        <v>636</v>
      </c>
      <c r="K146" s="27" t="s">
        <v>37</v>
      </c>
      <c r="L146" s="27"/>
    </row>
    <row r="147" customFormat="false" ht="15" hidden="false" customHeight="false" outlineLevel="0" collapsed="false">
      <c r="A147" s="26" t="s">
        <v>689</v>
      </c>
      <c r="B147" s="27" t="s">
        <v>690</v>
      </c>
      <c r="C147" s="27" t="s">
        <v>144</v>
      </c>
      <c r="D147" s="26" t="s">
        <v>691</v>
      </c>
      <c r="E147" s="27" t="s">
        <v>692</v>
      </c>
      <c r="F147" s="28" t="s">
        <v>146</v>
      </c>
      <c r="G147" s="27" t="s">
        <v>103</v>
      </c>
      <c r="H147" s="27" t="s">
        <v>56</v>
      </c>
      <c r="I147" s="27" t="s">
        <v>37</v>
      </c>
      <c r="J147" s="28" t="s">
        <v>636</v>
      </c>
      <c r="K147" s="27" t="s">
        <v>37</v>
      </c>
      <c r="L147" s="27"/>
    </row>
    <row r="148" customFormat="false" ht="15" hidden="false" customHeight="false" outlineLevel="0" collapsed="false">
      <c r="A148" s="26" t="s">
        <v>693</v>
      </c>
      <c r="B148" s="27" t="s">
        <v>694</v>
      </c>
      <c r="C148" s="27" t="s">
        <v>144</v>
      </c>
      <c r="D148" s="26" t="s">
        <v>695</v>
      </c>
      <c r="E148" s="27" t="s">
        <v>696</v>
      </c>
      <c r="F148" s="28" t="s">
        <v>146</v>
      </c>
      <c r="G148" s="27" t="s">
        <v>103</v>
      </c>
      <c r="H148" s="27" t="s">
        <v>56</v>
      </c>
      <c r="I148" s="27" t="s">
        <v>37</v>
      </c>
      <c r="J148" s="28" t="s">
        <v>636</v>
      </c>
      <c r="K148" s="27" t="s">
        <v>37</v>
      </c>
      <c r="L148" s="27"/>
    </row>
    <row r="149" customFormat="false" ht="15" hidden="false" customHeight="false" outlineLevel="0" collapsed="false">
      <c r="A149" s="26" t="s">
        <v>697</v>
      </c>
      <c r="B149" s="27" t="s">
        <v>698</v>
      </c>
      <c r="C149" s="27" t="s">
        <v>144</v>
      </c>
      <c r="D149" s="26" t="s">
        <v>699</v>
      </c>
      <c r="E149" s="27" t="s">
        <v>700</v>
      </c>
      <c r="F149" s="28" t="s">
        <v>146</v>
      </c>
      <c r="G149" s="27" t="s">
        <v>103</v>
      </c>
      <c r="H149" s="27" t="s">
        <v>56</v>
      </c>
      <c r="I149" s="27" t="s">
        <v>37</v>
      </c>
      <c r="J149" s="28" t="s">
        <v>636</v>
      </c>
      <c r="K149" s="27" t="s">
        <v>37</v>
      </c>
      <c r="L149" s="27"/>
    </row>
    <row r="150" customFormat="false" ht="15" hidden="false" customHeight="false" outlineLevel="0" collapsed="false">
      <c r="A150" s="26" t="s">
        <v>701</v>
      </c>
      <c r="B150" s="27" t="s">
        <v>702</v>
      </c>
      <c r="C150" s="27" t="s">
        <v>144</v>
      </c>
      <c r="D150" s="26" t="s">
        <v>703</v>
      </c>
      <c r="E150" s="27" t="s">
        <v>704</v>
      </c>
      <c r="F150" s="28" t="s">
        <v>146</v>
      </c>
      <c r="G150" s="27" t="s">
        <v>103</v>
      </c>
      <c r="H150" s="27" t="s">
        <v>56</v>
      </c>
      <c r="I150" s="27" t="s">
        <v>37</v>
      </c>
      <c r="J150" s="28" t="s">
        <v>636</v>
      </c>
      <c r="K150" s="27" t="s">
        <v>37</v>
      </c>
      <c r="L150" s="27"/>
    </row>
    <row r="151" customFormat="false" ht="15" hidden="false" customHeight="false" outlineLevel="0" collapsed="false">
      <c r="A151" s="26" t="s">
        <v>705</v>
      </c>
      <c r="B151" s="27" t="s">
        <v>706</v>
      </c>
      <c r="C151" s="27" t="s">
        <v>144</v>
      </c>
      <c r="D151" s="26" t="s">
        <v>707</v>
      </c>
      <c r="E151" s="27" t="s">
        <v>708</v>
      </c>
      <c r="F151" s="28" t="s">
        <v>146</v>
      </c>
      <c r="G151" s="27" t="s">
        <v>103</v>
      </c>
      <c r="H151" s="27" t="s">
        <v>56</v>
      </c>
      <c r="I151" s="27" t="s">
        <v>37</v>
      </c>
      <c r="J151" s="28" t="s">
        <v>636</v>
      </c>
      <c r="K151" s="27" t="s">
        <v>37</v>
      </c>
      <c r="L151" s="27"/>
    </row>
    <row r="152" customFormat="false" ht="15" hidden="false" customHeight="false" outlineLevel="0" collapsed="false">
      <c r="A152" s="26" t="s">
        <v>709</v>
      </c>
      <c r="B152" s="27" t="s">
        <v>710</v>
      </c>
      <c r="C152" s="27" t="s">
        <v>144</v>
      </c>
      <c r="D152" s="26" t="s">
        <v>711</v>
      </c>
      <c r="E152" s="27" t="s">
        <v>712</v>
      </c>
      <c r="F152" s="28" t="s">
        <v>146</v>
      </c>
      <c r="G152" s="27" t="s">
        <v>103</v>
      </c>
      <c r="H152" s="27" t="s">
        <v>56</v>
      </c>
      <c r="I152" s="27" t="s">
        <v>37</v>
      </c>
      <c r="J152" s="28" t="s">
        <v>636</v>
      </c>
      <c r="K152" s="27" t="s">
        <v>37</v>
      </c>
      <c r="L152" s="27"/>
    </row>
    <row r="153" customFormat="false" ht="15" hidden="false" customHeight="false" outlineLevel="0" collapsed="false">
      <c r="A153" s="26" t="s">
        <v>713</v>
      </c>
      <c r="B153" s="27" t="s">
        <v>714</v>
      </c>
      <c r="C153" s="27" t="s">
        <v>144</v>
      </c>
      <c r="D153" s="26" t="s">
        <v>715</v>
      </c>
      <c r="E153" s="27" t="s">
        <v>716</v>
      </c>
      <c r="F153" s="28" t="s">
        <v>146</v>
      </c>
      <c r="G153" s="27" t="s">
        <v>103</v>
      </c>
      <c r="H153" s="27" t="s">
        <v>57</v>
      </c>
      <c r="I153" s="27" t="s">
        <v>38</v>
      </c>
      <c r="J153" s="28" t="s">
        <v>636</v>
      </c>
      <c r="K153" s="27" t="s">
        <v>37</v>
      </c>
      <c r="L153" s="27"/>
    </row>
    <row r="154" customFormat="false" ht="15" hidden="false" customHeight="false" outlineLevel="0" collapsed="false">
      <c r="A154" s="26" t="s">
        <v>717</v>
      </c>
      <c r="B154" s="27" t="s">
        <v>718</v>
      </c>
      <c r="C154" s="27" t="s">
        <v>144</v>
      </c>
      <c r="D154" s="26" t="s">
        <v>719</v>
      </c>
      <c r="E154" s="27" t="s">
        <v>720</v>
      </c>
      <c r="F154" s="28" t="s">
        <v>146</v>
      </c>
      <c r="G154" s="27" t="s">
        <v>103</v>
      </c>
      <c r="H154" s="27" t="s">
        <v>57</v>
      </c>
      <c r="I154" s="27" t="s">
        <v>38</v>
      </c>
      <c r="J154" s="28" t="s">
        <v>636</v>
      </c>
      <c r="K154" s="27" t="s">
        <v>37</v>
      </c>
      <c r="L154" s="27"/>
    </row>
    <row r="155" customFormat="false" ht="15" hidden="false" customHeight="false" outlineLevel="0" collapsed="false">
      <c r="A155" s="26" t="s">
        <v>721</v>
      </c>
      <c r="B155" s="27" t="s">
        <v>722</v>
      </c>
      <c r="C155" s="27" t="s">
        <v>144</v>
      </c>
      <c r="D155" s="26" t="s">
        <v>723</v>
      </c>
      <c r="E155" s="27" t="s">
        <v>724</v>
      </c>
      <c r="F155" s="28" t="s">
        <v>146</v>
      </c>
      <c r="G155" s="27" t="s">
        <v>103</v>
      </c>
      <c r="H155" s="27" t="s">
        <v>57</v>
      </c>
      <c r="I155" s="27" t="s">
        <v>38</v>
      </c>
      <c r="J155" s="28" t="s">
        <v>636</v>
      </c>
      <c r="K155" s="27" t="s">
        <v>37</v>
      </c>
      <c r="L155" s="27"/>
    </row>
    <row r="156" customFormat="false" ht="15" hidden="false" customHeight="false" outlineLevel="0" collapsed="false">
      <c r="A156" s="26" t="s">
        <v>725</v>
      </c>
      <c r="B156" s="27" t="s">
        <v>726</v>
      </c>
      <c r="C156" s="27" t="s">
        <v>144</v>
      </c>
      <c r="D156" s="26" t="s">
        <v>727</v>
      </c>
      <c r="E156" s="27" t="s">
        <v>728</v>
      </c>
      <c r="F156" s="28" t="s">
        <v>146</v>
      </c>
      <c r="G156" s="27" t="s">
        <v>103</v>
      </c>
      <c r="H156" s="27" t="s">
        <v>57</v>
      </c>
      <c r="I156" s="27" t="s">
        <v>38</v>
      </c>
      <c r="J156" s="28" t="s">
        <v>636</v>
      </c>
      <c r="K156" s="27" t="s">
        <v>37</v>
      </c>
      <c r="L156" s="27"/>
    </row>
    <row r="157" customFormat="false" ht="15" hidden="false" customHeight="false" outlineLevel="0" collapsed="false">
      <c r="A157" s="26" t="s">
        <v>729</v>
      </c>
      <c r="B157" s="27" t="s">
        <v>730</v>
      </c>
      <c r="C157" s="27" t="s">
        <v>144</v>
      </c>
      <c r="D157" s="26" t="s">
        <v>731</v>
      </c>
      <c r="E157" s="27" t="s">
        <v>732</v>
      </c>
      <c r="F157" s="28" t="s">
        <v>146</v>
      </c>
      <c r="G157" s="27" t="s">
        <v>103</v>
      </c>
      <c r="H157" s="27" t="s">
        <v>57</v>
      </c>
      <c r="I157" s="27" t="s">
        <v>38</v>
      </c>
      <c r="J157" s="28" t="s">
        <v>636</v>
      </c>
      <c r="K157" s="27" t="s">
        <v>37</v>
      </c>
      <c r="L157" s="27"/>
    </row>
    <row r="158" customFormat="false" ht="15" hidden="false" customHeight="false" outlineLevel="0" collapsed="false">
      <c r="A158" s="26" t="s">
        <v>733</v>
      </c>
      <c r="B158" s="27" t="s">
        <v>734</v>
      </c>
      <c r="C158" s="27" t="s">
        <v>144</v>
      </c>
      <c r="D158" s="26" t="s">
        <v>735</v>
      </c>
      <c r="E158" s="27" t="s">
        <v>736</v>
      </c>
      <c r="F158" s="28" t="s">
        <v>146</v>
      </c>
      <c r="G158" s="27" t="s">
        <v>103</v>
      </c>
      <c r="H158" s="27" t="s">
        <v>57</v>
      </c>
      <c r="I158" s="27" t="s">
        <v>38</v>
      </c>
      <c r="J158" s="28" t="s">
        <v>636</v>
      </c>
      <c r="K158" s="27" t="s">
        <v>37</v>
      </c>
      <c r="L158" s="27"/>
    </row>
    <row r="159" customFormat="false" ht="15" hidden="false" customHeight="false" outlineLevel="0" collapsed="false">
      <c r="A159" s="26" t="s">
        <v>737</v>
      </c>
      <c r="B159" s="27" t="s">
        <v>738</v>
      </c>
      <c r="C159" s="27" t="s">
        <v>144</v>
      </c>
      <c r="D159" s="26" t="s">
        <v>739</v>
      </c>
      <c r="E159" s="27" t="s">
        <v>740</v>
      </c>
      <c r="F159" s="28" t="s">
        <v>146</v>
      </c>
      <c r="G159" s="27" t="s">
        <v>103</v>
      </c>
      <c r="H159" s="27" t="s">
        <v>57</v>
      </c>
      <c r="I159" s="27" t="s">
        <v>38</v>
      </c>
      <c r="J159" s="28" t="s">
        <v>636</v>
      </c>
      <c r="K159" s="27" t="s">
        <v>37</v>
      </c>
      <c r="L159" s="27"/>
    </row>
    <row r="160" customFormat="false" ht="15" hidden="false" customHeight="false" outlineLevel="0" collapsed="false">
      <c r="A160" s="26" t="s">
        <v>741</v>
      </c>
      <c r="B160" s="27" t="s">
        <v>742</v>
      </c>
      <c r="C160" s="27" t="s">
        <v>144</v>
      </c>
      <c r="D160" s="26" t="s">
        <v>719</v>
      </c>
      <c r="E160" s="27" t="s">
        <v>720</v>
      </c>
      <c r="F160" s="28" t="s">
        <v>146</v>
      </c>
      <c r="G160" s="27" t="s">
        <v>103</v>
      </c>
      <c r="H160" s="27" t="s">
        <v>57</v>
      </c>
      <c r="I160" s="27" t="s">
        <v>38</v>
      </c>
      <c r="J160" s="28" t="s">
        <v>636</v>
      </c>
      <c r="K160" s="27" t="s">
        <v>37</v>
      </c>
      <c r="L160" s="27"/>
    </row>
    <row r="161" customFormat="false" ht="15" hidden="false" customHeight="false" outlineLevel="0" collapsed="false">
      <c r="A161" s="26" t="s">
        <v>743</v>
      </c>
      <c r="B161" s="27" t="s">
        <v>744</v>
      </c>
      <c r="C161" s="27" t="s">
        <v>144</v>
      </c>
      <c r="D161" s="26" t="s">
        <v>745</v>
      </c>
      <c r="E161" s="27" t="s">
        <v>746</v>
      </c>
      <c r="F161" s="28" t="s">
        <v>146</v>
      </c>
      <c r="G161" s="27" t="s">
        <v>103</v>
      </c>
      <c r="H161" s="27" t="s">
        <v>57</v>
      </c>
      <c r="I161" s="27" t="s">
        <v>38</v>
      </c>
      <c r="J161" s="28" t="s">
        <v>636</v>
      </c>
      <c r="K161" s="27" t="s">
        <v>37</v>
      </c>
      <c r="L161" s="27"/>
    </row>
    <row r="162" customFormat="false" ht="15" hidden="false" customHeight="false" outlineLevel="0" collapsed="false">
      <c r="A162" s="26" t="s">
        <v>747</v>
      </c>
      <c r="B162" s="27" t="s">
        <v>748</v>
      </c>
      <c r="C162" s="27" t="s">
        <v>144</v>
      </c>
      <c r="D162" s="26" t="s">
        <v>749</v>
      </c>
      <c r="E162" s="27" t="s">
        <v>750</v>
      </c>
      <c r="F162" s="28" t="s">
        <v>146</v>
      </c>
      <c r="G162" s="27" t="s">
        <v>103</v>
      </c>
      <c r="H162" s="27" t="s">
        <v>57</v>
      </c>
      <c r="I162" s="27" t="s">
        <v>38</v>
      </c>
      <c r="J162" s="28" t="s">
        <v>636</v>
      </c>
      <c r="K162" s="27" t="s">
        <v>37</v>
      </c>
      <c r="L162" s="27"/>
    </row>
    <row r="163" customFormat="false" ht="15" hidden="false" customHeight="false" outlineLevel="0" collapsed="false">
      <c r="A163" s="26" t="s">
        <v>751</v>
      </c>
      <c r="B163" s="27" t="s">
        <v>752</v>
      </c>
      <c r="C163" s="27" t="s">
        <v>144</v>
      </c>
      <c r="D163" s="26" t="s">
        <v>753</v>
      </c>
      <c r="E163" s="27" t="s">
        <v>754</v>
      </c>
      <c r="F163" s="28" t="s">
        <v>146</v>
      </c>
      <c r="G163" s="27" t="s">
        <v>103</v>
      </c>
      <c r="H163" s="27" t="s">
        <v>56</v>
      </c>
      <c r="I163" s="27" t="s">
        <v>37</v>
      </c>
      <c r="J163" s="28" t="s">
        <v>636</v>
      </c>
      <c r="K163" s="27" t="s">
        <v>37</v>
      </c>
      <c r="L163" s="27"/>
    </row>
    <row r="164" customFormat="false" ht="15" hidden="false" customHeight="false" outlineLevel="0" collapsed="false">
      <c r="A164" s="26" t="s">
        <v>755</v>
      </c>
      <c r="B164" s="27" t="s">
        <v>756</v>
      </c>
      <c r="C164" s="27" t="s">
        <v>131</v>
      </c>
      <c r="D164" s="26" t="s">
        <v>757</v>
      </c>
      <c r="E164" s="27" t="s">
        <v>756</v>
      </c>
      <c r="F164" s="28" t="s">
        <v>134</v>
      </c>
      <c r="G164" s="27" t="s">
        <v>103</v>
      </c>
      <c r="H164" s="27" t="s">
        <v>57</v>
      </c>
      <c r="I164" s="27" t="s">
        <v>49</v>
      </c>
      <c r="J164" s="28" t="s">
        <v>636</v>
      </c>
      <c r="K164" s="27" t="s">
        <v>37</v>
      </c>
      <c r="L164" s="27"/>
    </row>
    <row r="165" customFormat="false" ht="15" hidden="false" customHeight="false" outlineLevel="0" collapsed="false">
      <c r="A165" s="26" t="s">
        <v>758</v>
      </c>
      <c r="B165" s="27" t="s">
        <v>759</v>
      </c>
      <c r="C165" s="27" t="s">
        <v>131</v>
      </c>
      <c r="D165" s="26" t="s">
        <v>760</v>
      </c>
      <c r="E165" s="27" t="s">
        <v>759</v>
      </c>
      <c r="F165" s="28" t="s">
        <v>134</v>
      </c>
      <c r="G165" s="27" t="s">
        <v>103</v>
      </c>
      <c r="H165" s="27" t="s">
        <v>57</v>
      </c>
      <c r="I165" s="27" t="s">
        <v>49</v>
      </c>
      <c r="J165" s="28" t="s">
        <v>636</v>
      </c>
      <c r="K165" s="27" t="s">
        <v>37</v>
      </c>
      <c r="L165" s="27"/>
    </row>
    <row r="166" customFormat="false" ht="15" hidden="false" customHeight="false" outlineLevel="0" collapsed="false">
      <c r="A166" s="26" t="s">
        <v>761</v>
      </c>
      <c r="B166" s="27" t="s">
        <v>762</v>
      </c>
      <c r="C166" s="27" t="s">
        <v>131</v>
      </c>
      <c r="D166" s="26" t="s">
        <v>763</v>
      </c>
      <c r="E166" s="27" t="s">
        <v>764</v>
      </c>
      <c r="F166" s="28" t="s">
        <v>134</v>
      </c>
      <c r="G166" s="27" t="s">
        <v>103</v>
      </c>
      <c r="H166" s="27" t="s">
        <v>57</v>
      </c>
      <c r="I166" s="27" t="s">
        <v>49</v>
      </c>
      <c r="J166" s="28" t="s">
        <v>636</v>
      </c>
      <c r="K166" s="27" t="s">
        <v>37</v>
      </c>
      <c r="L166" s="27"/>
    </row>
    <row r="167" customFormat="false" ht="15" hidden="false" customHeight="false" outlineLevel="0" collapsed="false">
      <c r="A167" s="26" t="s">
        <v>765</v>
      </c>
      <c r="B167" s="27" t="s">
        <v>766</v>
      </c>
      <c r="C167" s="27" t="s">
        <v>144</v>
      </c>
      <c r="D167" s="26" t="s">
        <v>767</v>
      </c>
      <c r="E167" s="27" t="s">
        <v>766</v>
      </c>
      <c r="F167" s="28" t="s">
        <v>146</v>
      </c>
      <c r="G167" s="27" t="s">
        <v>103</v>
      </c>
      <c r="H167" s="27" t="s">
        <v>57</v>
      </c>
      <c r="I167" s="27" t="s">
        <v>39</v>
      </c>
      <c r="J167" s="28" t="s">
        <v>636</v>
      </c>
      <c r="K167" s="27" t="s">
        <v>37</v>
      </c>
      <c r="L167" s="27"/>
    </row>
    <row r="168" customFormat="false" ht="15" hidden="false" customHeight="false" outlineLevel="0" collapsed="false">
      <c r="A168" s="26" t="s">
        <v>768</v>
      </c>
      <c r="B168" s="27" t="s">
        <v>769</v>
      </c>
      <c r="C168" s="27" t="s">
        <v>144</v>
      </c>
      <c r="D168" s="26" t="s">
        <v>770</v>
      </c>
      <c r="E168" s="27" t="s">
        <v>771</v>
      </c>
      <c r="F168" s="28" t="s">
        <v>146</v>
      </c>
      <c r="G168" s="27" t="s">
        <v>103</v>
      </c>
      <c r="H168" s="27" t="s">
        <v>57</v>
      </c>
      <c r="I168" s="27" t="s">
        <v>39</v>
      </c>
      <c r="J168" s="28" t="s">
        <v>772</v>
      </c>
      <c r="K168" s="27" t="s">
        <v>37</v>
      </c>
      <c r="L168" s="27"/>
    </row>
    <row r="169" customFormat="false" ht="15" hidden="false" customHeight="false" outlineLevel="0" collapsed="false">
      <c r="A169" s="26" t="s">
        <v>773</v>
      </c>
      <c r="B169" s="27" t="s">
        <v>774</v>
      </c>
      <c r="C169" s="27" t="s">
        <v>144</v>
      </c>
      <c r="D169" s="26" t="s">
        <v>775</v>
      </c>
      <c r="E169" s="27" t="s">
        <v>776</v>
      </c>
      <c r="F169" s="28" t="s">
        <v>146</v>
      </c>
      <c r="G169" s="27" t="s">
        <v>103</v>
      </c>
      <c r="H169" s="27" t="s">
        <v>56</v>
      </c>
      <c r="I169" s="27" t="s">
        <v>37</v>
      </c>
      <c r="J169" s="28" t="s">
        <v>772</v>
      </c>
      <c r="K169" s="27" t="s">
        <v>37</v>
      </c>
      <c r="L169" s="27"/>
    </row>
    <row r="170" customFormat="false" ht="15" hidden="false" customHeight="false" outlineLevel="0" collapsed="false">
      <c r="A170" s="26" t="s">
        <v>777</v>
      </c>
      <c r="B170" s="27" t="s">
        <v>778</v>
      </c>
      <c r="C170" s="27" t="s">
        <v>144</v>
      </c>
      <c r="D170" s="26" t="s">
        <v>779</v>
      </c>
      <c r="E170" s="27" t="s">
        <v>780</v>
      </c>
      <c r="F170" s="28" t="s">
        <v>146</v>
      </c>
      <c r="G170" s="27" t="s">
        <v>103</v>
      </c>
      <c r="H170" s="27" t="s">
        <v>56</v>
      </c>
      <c r="I170" s="27" t="s">
        <v>37</v>
      </c>
      <c r="J170" s="28" t="s">
        <v>772</v>
      </c>
      <c r="K170" s="27" t="s">
        <v>37</v>
      </c>
      <c r="L170" s="27"/>
    </row>
    <row r="171" customFormat="false" ht="15" hidden="false" customHeight="false" outlineLevel="0" collapsed="false">
      <c r="A171" s="26" t="s">
        <v>781</v>
      </c>
      <c r="B171" s="28" t="s">
        <v>782</v>
      </c>
      <c r="C171" s="27" t="s">
        <v>144</v>
      </c>
      <c r="D171" s="26" t="s">
        <v>783</v>
      </c>
      <c r="E171" s="28" t="s">
        <v>784</v>
      </c>
      <c r="F171" s="28" t="s">
        <v>146</v>
      </c>
      <c r="G171" s="27" t="s">
        <v>103</v>
      </c>
      <c r="H171" s="27" t="s">
        <v>56</v>
      </c>
      <c r="I171" s="27" t="s">
        <v>37</v>
      </c>
      <c r="J171" s="28" t="s">
        <v>785</v>
      </c>
      <c r="K171" s="27" t="s">
        <v>37</v>
      </c>
      <c r="L171" s="27"/>
    </row>
    <row r="172" customFormat="false" ht="15" hidden="false" customHeight="false" outlineLevel="0" collapsed="false">
      <c r="A172" s="26" t="s">
        <v>786</v>
      </c>
      <c r="B172" s="28" t="s">
        <v>787</v>
      </c>
      <c r="C172" s="27" t="s">
        <v>144</v>
      </c>
      <c r="D172" s="26" t="s">
        <v>788</v>
      </c>
      <c r="E172" s="28" t="s">
        <v>789</v>
      </c>
      <c r="F172" s="28" t="s">
        <v>146</v>
      </c>
      <c r="G172" s="27" t="s">
        <v>103</v>
      </c>
      <c r="H172" s="27" t="s">
        <v>56</v>
      </c>
      <c r="I172" s="27" t="s">
        <v>37</v>
      </c>
      <c r="J172" s="28" t="s">
        <v>785</v>
      </c>
      <c r="K172" s="27" t="s">
        <v>37</v>
      </c>
      <c r="L172" s="27"/>
    </row>
    <row r="173" customFormat="false" ht="15" hidden="false" customHeight="false" outlineLevel="0" collapsed="false">
      <c r="A173" s="26" t="s">
        <v>790</v>
      </c>
      <c r="B173" s="28" t="s">
        <v>791</v>
      </c>
      <c r="C173" s="27" t="s">
        <v>144</v>
      </c>
      <c r="D173" s="26" t="s">
        <v>792</v>
      </c>
      <c r="E173" s="28" t="s">
        <v>793</v>
      </c>
      <c r="F173" s="28" t="s">
        <v>146</v>
      </c>
      <c r="G173" s="27" t="s">
        <v>103</v>
      </c>
      <c r="H173" s="27" t="s">
        <v>56</v>
      </c>
      <c r="I173" s="27" t="s">
        <v>37</v>
      </c>
      <c r="J173" s="28" t="s">
        <v>785</v>
      </c>
      <c r="K173" s="27" t="s">
        <v>37</v>
      </c>
      <c r="L173" s="27"/>
    </row>
    <row r="174" customFormat="false" ht="15" hidden="false" customHeight="false" outlineLevel="0" collapsed="false">
      <c r="A174" s="26" t="s">
        <v>794</v>
      </c>
      <c r="B174" s="28" t="s">
        <v>795</v>
      </c>
      <c r="C174" s="27" t="s">
        <v>144</v>
      </c>
      <c r="D174" s="26" t="s">
        <v>796</v>
      </c>
      <c r="E174" s="28" t="s">
        <v>797</v>
      </c>
      <c r="F174" s="28" t="s">
        <v>146</v>
      </c>
      <c r="G174" s="27" t="s">
        <v>103</v>
      </c>
      <c r="H174" s="27" t="s">
        <v>56</v>
      </c>
      <c r="I174" s="27" t="s">
        <v>37</v>
      </c>
      <c r="J174" s="28" t="s">
        <v>785</v>
      </c>
      <c r="K174" s="27" t="s">
        <v>37</v>
      </c>
      <c r="L174" s="27"/>
    </row>
    <row r="175" customFormat="false" ht="15" hidden="false" customHeight="false" outlineLevel="0" collapsed="false">
      <c r="A175" s="26" t="s">
        <v>798</v>
      </c>
      <c r="B175" s="28" t="s">
        <v>799</v>
      </c>
      <c r="C175" s="27" t="s">
        <v>144</v>
      </c>
      <c r="D175" s="26" t="s">
        <v>796</v>
      </c>
      <c r="E175" s="28" t="s">
        <v>797</v>
      </c>
      <c r="F175" s="28" t="s">
        <v>146</v>
      </c>
      <c r="G175" s="27" t="s">
        <v>103</v>
      </c>
      <c r="H175" s="27" t="s">
        <v>56</v>
      </c>
      <c r="I175" s="27" t="s">
        <v>37</v>
      </c>
      <c r="J175" s="28" t="s">
        <v>785</v>
      </c>
      <c r="K175" s="27" t="s">
        <v>37</v>
      </c>
      <c r="L175" s="27"/>
    </row>
    <row r="176" customFormat="false" ht="15" hidden="false" customHeight="false" outlineLevel="0" collapsed="false">
      <c r="A176" s="26" t="s">
        <v>800</v>
      </c>
      <c r="B176" s="28" t="s">
        <v>801</v>
      </c>
      <c r="C176" s="27" t="s">
        <v>144</v>
      </c>
      <c r="D176" s="26" t="s">
        <v>802</v>
      </c>
      <c r="E176" s="28" t="s">
        <v>803</v>
      </c>
      <c r="F176" s="28" t="s">
        <v>146</v>
      </c>
      <c r="G176" s="27" t="s">
        <v>103</v>
      </c>
      <c r="H176" s="27" t="s">
        <v>56</v>
      </c>
      <c r="I176" s="27" t="s">
        <v>37</v>
      </c>
      <c r="J176" s="28" t="s">
        <v>785</v>
      </c>
      <c r="K176" s="27" t="s">
        <v>37</v>
      </c>
      <c r="L176" s="27"/>
    </row>
    <row r="177" customFormat="false" ht="15" hidden="false" customHeight="false" outlineLevel="0" collapsed="false">
      <c r="A177" s="26" t="s">
        <v>804</v>
      </c>
      <c r="B177" s="28" t="s">
        <v>805</v>
      </c>
      <c r="C177" s="27" t="s">
        <v>144</v>
      </c>
      <c r="D177" s="26" t="s">
        <v>806</v>
      </c>
      <c r="E177" s="28" t="s">
        <v>807</v>
      </c>
      <c r="F177" s="28" t="s">
        <v>146</v>
      </c>
      <c r="G177" s="27" t="s">
        <v>103</v>
      </c>
      <c r="H177" s="27" t="s">
        <v>56</v>
      </c>
      <c r="I177" s="27" t="s">
        <v>37</v>
      </c>
      <c r="J177" s="28" t="s">
        <v>785</v>
      </c>
      <c r="K177" s="27" t="s">
        <v>37</v>
      </c>
      <c r="L177" s="27"/>
    </row>
    <row r="178" customFormat="false" ht="15" hidden="false" customHeight="false" outlineLevel="0" collapsed="false">
      <c r="A178" s="26" t="s">
        <v>808</v>
      </c>
      <c r="B178" s="27" t="s">
        <v>809</v>
      </c>
      <c r="C178" s="27" t="s">
        <v>144</v>
      </c>
      <c r="D178" s="26" t="s">
        <v>810</v>
      </c>
      <c r="E178" s="27" t="s">
        <v>811</v>
      </c>
      <c r="F178" s="28" t="s">
        <v>146</v>
      </c>
      <c r="G178" s="27" t="s">
        <v>103</v>
      </c>
      <c r="H178" s="27" t="s">
        <v>57</v>
      </c>
      <c r="I178" s="27" t="s">
        <v>40</v>
      </c>
      <c r="J178" s="28" t="s">
        <v>785</v>
      </c>
      <c r="K178" s="27" t="s">
        <v>37</v>
      </c>
      <c r="L178" s="27"/>
    </row>
    <row r="179" customFormat="false" ht="15" hidden="false" customHeight="false" outlineLevel="0" collapsed="false">
      <c r="A179" s="26" t="s">
        <v>812</v>
      </c>
      <c r="B179" s="27" t="s">
        <v>813</v>
      </c>
      <c r="C179" s="27" t="s">
        <v>144</v>
      </c>
      <c r="D179" s="26" t="s">
        <v>814</v>
      </c>
      <c r="E179" s="27" t="s">
        <v>815</v>
      </c>
      <c r="F179" s="28" t="s">
        <v>146</v>
      </c>
      <c r="G179" s="27" t="s">
        <v>103</v>
      </c>
      <c r="H179" s="27" t="s">
        <v>57</v>
      </c>
      <c r="I179" s="27" t="s">
        <v>40</v>
      </c>
      <c r="J179" s="28" t="s">
        <v>785</v>
      </c>
      <c r="K179" s="27" t="s">
        <v>37</v>
      </c>
      <c r="L179" s="27"/>
    </row>
    <row r="180" customFormat="false" ht="15" hidden="false" customHeight="false" outlineLevel="0" collapsed="false">
      <c r="A180" s="26" t="s">
        <v>816</v>
      </c>
      <c r="B180" s="27" t="s">
        <v>817</v>
      </c>
      <c r="C180" s="27" t="s">
        <v>144</v>
      </c>
      <c r="D180" s="26" t="s">
        <v>818</v>
      </c>
      <c r="E180" s="27" t="s">
        <v>819</v>
      </c>
      <c r="F180" s="28" t="s">
        <v>146</v>
      </c>
      <c r="G180" s="27" t="s">
        <v>103</v>
      </c>
      <c r="H180" s="27" t="s">
        <v>57</v>
      </c>
      <c r="I180" s="27" t="s">
        <v>40</v>
      </c>
      <c r="J180" s="28" t="s">
        <v>785</v>
      </c>
      <c r="K180" s="27" t="s">
        <v>37</v>
      </c>
      <c r="L180" s="27"/>
    </row>
    <row r="181" customFormat="false" ht="15" hidden="false" customHeight="false" outlineLevel="0" collapsed="false">
      <c r="A181" s="26" t="s">
        <v>820</v>
      </c>
      <c r="B181" s="27" t="s">
        <v>821</v>
      </c>
      <c r="C181" s="27" t="s">
        <v>144</v>
      </c>
      <c r="D181" s="26" t="s">
        <v>822</v>
      </c>
      <c r="E181" s="27" t="s">
        <v>823</v>
      </c>
      <c r="F181" s="28" t="s">
        <v>146</v>
      </c>
      <c r="G181" s="27" t="s">
        <v>103</v>
      </c>
      <c r="H181" s="27" t="s">
        <v>57</v>
      </c>
      <c r="I181" s="27" t="s">
        <v>41</v>
      </c>
      <c r="J181" s="28" t="s">
        <v>785</v>
      </c>
      <c r="K181" s="27" t="s">
        <v>37</v>
      </c>
      <c r="L181" s="27"/>
    </row>
    <row r="182" customFormat="false" ht="15" hidden="false" customHeight="false" outlineLevel="0" collapsed="false">
      <c r="A182" s="26" t="s">
        <v>824</v>
      </c>
      <c r="B182" s="27" t="s">
        <v>825</v>
      </c>
      <c r="C182" s="27" t="s">
        <v>144</v>
      </c>
      <c r="D182" s="26" t="s">
        <v>822</v>
      </c>
      <c r="E182" s="27" t="s">
        <v>823</v>
      </c>
      <c r="F182" s="28" t="s">
        <v>146</v>
      </c>
      <c r="G182" s="27" t="s">
        <v>103</v>
      </c>
      <c r="H182" s="27" t="s">
        <v>57</v>
      </c>
      <c r="I182" s="27" t="s">
        <v>41</v>
      </c>
      <c r="J182" s="28" t="s">
        <v>785</v>
      </c>
      <c r="K182" s="27" t="s">
        <v>37</v>
      </c>
      <c r="L182" s="27"/>
    </row>
    <row r="183" customFormat="false" ht="15" hidden="false" customHeight="false" outlineLevel="0" collapsed="false">
      <c r="A183" s="26" t="s">
        <v>826</v>
      </c>
      <c r="B183" s="27" t="s">
        <v>827</v>
      </c>
      <c r="C183" s="27" t="s">
        <v>144</v>
      </c>
      <c r="D183" s="26" t="s">
        <v>828</v>
      </c>
      <c r="E183" s="27" t="s">
        <v>829</v>
      </c>
      <c r="F183" s="28" t="s">
        <v>146</v>
      </c>
      <c r="G183" s="27" t="s">
        <v>103</v>
      </c>
      <c r="H183" s="27" t="s">
        <v>57</v>
      </c>
      <c r="I183" s="27" t="s">
        <v>41</v>
      </c>
      <c r="J183" s="28" t="s">
        <v>785</v>
      </c>
      <c r="K183" s="27" t="s">
        <v>37</v>
      </c>
      <c r="L183" s="27"/>
    </row>
    <row r="184" customFormat="false" ht="15" hidden="false" customHeight="false" outlineLevel="0" collapsed="false">
      <c r="A184" s="26" t="s">
        <v>830</v>
      </c>
      <c r="B184" s="27" t="s">
        <v>831</v>
      </c>
      <c r="C184" s="27" t="s">
        <v>144</v>
      </c>
      <c r="D184" s="26" t="s">
        <v>832</v>
      </c>
      <c r="E184" s="27" t="s">
        <v>833</v>
      </c>
      <c r="F184" s="28" t="s">
        <v>146</v>
      </c>
      <c r="G184" s="27" t="s">
        <v>103</v>
      </c>
      <c r="H184" s="27" t="s">
        <v>57</v>
      </c>
      <c r="I184" s="27" t="s">
        <v>41</v>
      </c>
      <c r="J184" s="28" t="s">
        <v>785</v>
      </c>
      <c r="K184" s="27" t="s">
        <v>37</v>
      </c>
      <c r="L184" s="27"/>
    </row>
    <row r="185" customFormat="false" ht="15" hidden="false" customHeight="false" outlineLevel="0" collapsed="false">
      <c r="A185" s="26" t="s">
        <v>834</v>
      </c>
      <c r="B185" s="27" t="s">
        <v>835</v>
      </c>
      <c r="C185" s="27" t="s">
        <v>144</v>
      </c>
      <c r="D185" s="26" t="s">
        <v>832</v>
      </c>
      <c r="E185" s="27" t="s">
        <v>833</v>
      </c>
      <c r="F185" s="28" t="s">
        <v>146</v>
      </c>
      <c r="G185" s="27" t="s">
        <v>103</v>
      </c>
      <c r="H185" s="27" t="s">
        <v>57</v>
      </c>
      <c r="I185" s="27" t="s">
        <v>41</v>
      </c>
      <c r="J185" s="28" t="s">
        <v>785</v>
      </c>
      <c r="K185" s="27" t="s">
        <v>37</v>
      </c>
      <c r="L185" s="27"/>
    </row>
    <row r="186" customFormat="false" ht="15" hidden="false" customHeight="false" outlineLevel="0" collapsed="false">
      <c r="A186" s="26" t="s">
        <v>836</v>
      </c>
      <c r="B186" s="27" t="s">
        <v>837</v>
      </c>
      <c r="C186" s="27" t="s">
        <v>144</v>
      </c>
      <c r="D186" s="26" t="s">
        <v>838</v>
      </c>
      <c r="E186" s="27" t="s">
        <v>839</v>
      </c>
      <c r="F186" s="28" t="s">
        <v>146</v>
      </c>
      <c r="G186" s="27" t="s">
        <v>103</v>
      </c>
      <c r="H186" s="27" t="s">
        <v>57</v>
      </c>
      <c r="I186" s="27" t="s">
        <v>40</v>
      </c>
      <c r="J186" s="28" t="s">
        <v>785</v>
      </c>
      <c r="K186" s="27" t="s">
        <v>37</v>
      </c>
      <c r="L186" s="27"/>
    </row>
    <row r="187" customFormat="false" ht="15" hidden="false" customHeight="false" outlineLevel="0" collapsed="false">
      <c r="A187" s="26" t="s">
        <v>840</v>
      </c>
      <c r="B187" s="27" t="s">
        <v>841</v>
      </c>
      <c r="C187" s="27" t="s">
        <v>144</v>
      </c>
      <c r="D187" s="26" t="s">
        <v>842</v>
      </c>
      <c r="E187" s="27" t="s">
        <v>843</v>
      </c>
      <c r="F187" s="28" t="s">
        <v>146</v>
      </c>
      <c r="G187" s="27" t="s">
        <v>103</v>
      </c>
      <c r="H187" s="27" t="s">
        <v>57</v>
      </c>
      <c r="I187" s="27" t="s">
        <v>40</v>
      </c>
      <c r="J187" s="28" t="s">
        <v>785</v>
      </c>
      <c r="K187" s="27" t="s">
        <v>37</v>
      </c>
      <c r="L187" s="27"/>
    </row>
    <row r="188" customFormat="false" ht="15" hidden="false" customHeight="false" outlineLevel="0" collapsed="false">
      <c r="A188" s="26" t="s">
        <v>844</v>
      </c>
      <c r="B188" s="27" t="s">
        <v>845</v>
      </c>
      <c r="C188" s="27" t="s">
        <v>144</v>
      </c>
      <c r="D188" s="26" t="s">
        <v>846</v>
      </c>
      <c r="E188" s="27" t="s">
        <v>847</v>
      </c>
      <c r="F188" s="28" t="s">
        <v>146</v>
      </c>
      <c r="G188" s="27" t="s">
        <v>103</v>
      </c>
      <c r="H188" s="27" t="s">
        <v>57</v>
      </c>
      <c r="I188" s="27" t="s">
        <v>41</v>
      </c>
      <c r="J188" s="28" t="s">
        <v>785</v>
      </c>
      <c r="K188" s="27" t="s">
        <v>37</v>
      </c>
      <c r="L188" s="27"/>
    </row>
    <row r="189" customFormat="false" ht="15" hidden="false" customHeight="false" outlineLevel="0" collapsed="false">
      <c r="A189" s="26" t="s">
        <v>848</v>
      </c>
      <c r="B189" s="27" t="s">
        <v>849</v>
      </c>
      <c r="C189" s="27" t="s">
        <v>144</v>
      </c>
      <c r="D189" s="26" t="s">
        <v>850</v>
      </c>
      <c r="E189" s="27" t="s">
        <v>851</v>
      </c>
      <c r="F189" s="28" t="s">
        <v>146</v>
      </c>
      <c r="G189" s="27" t="s">
        <v>103</v>
      </c>
      <c r="H189" s="27" t="s">
        <v>57</v>
      </c>
      <c r="I189" s="27" t="s">
        <v>40</v>
      </c>
      <c r="J189" s="28" t="s">
        <v>785</v>
      </c>
      <c r="K189" s="27" t="s">
        <v>37</v>
      </c>
      <c r="L189" s="27"/>
    </row>
    <row r="190" customFormat="false" ht="15" hidden="false" customHeight="false" outlineLevel="0" collapsed="false">
      <c r="A190" s="26" t="s">
        <v>852</v>
      </c>
      <c r="B190" s="27" t="s">
        <v>853</v>
      </c>
      <c r="C190" s="27" t="s">
        <v>144</v>
      </c>
      <c r="D190" s="26" t="s">
        <v>854</v>
      </c>
      <c r="E190" s="27" t="s">
        <v>855</v>
      </c>
      <c r="F190" s="28" t="s">
        <v>146</v>
      </c>
      <c r="G190" s="27" t="s">
        <v>103</v>
      </c>
      <c r="H190" s="27" t="s">
        <v>56</v>
      </c>
      <c r="I190" s="27" t="s">
        <v>38</v>
      </c>
      <c r="J190" s="28" t="s">
        <v>856</v>
      </c>
      <c r="K190" s="27" t="s">
        <v>38</v>
      </c>
      <c r="L190" s="27"/>
    </row>
    <row r="191" customFormat="false" ht="15" hidden="false" customHeight="false" outlineLevel="0" collapsed="false">
      <c r="A191" s="26" t="s">
        <v>857</v>
      </c>
      <c r="B191" s="27" t="s">
        <v>858</v>
      </c>
      <c r="C191" s="27" t="s">
        <v>144</v>
      </c>
      <c r="D191" s="26" t="s">
        <v>854</v>
      </c>
      <c r="E191" s="27" t="s">
        <v>855</v>
      </c>
      <c r="F191" s="28" t="s">
        <v>146</v>
      </c>
      <c r="G191" s="27" t="s">
        <v>103</v>
      </c>
      <c r="H191" s="27" t="s">
        <v>56</v>
      </c>
      <c r="I191" s="27" t="s">
        <v>38</v>
      </c>
      <c r="J191" s="28" t="s">
        <v>856</v>
      </c>
      <c r="K191" s="27" t="s">
        <v>38</v>
      </c>
      <c r="L191" s="27"/>
    </row>
    <row r="192" customFormat="false" ht="15" hidden="false" customHeight="false" outlineLevel="0" collapsed="false">
      <c r="A192" s="26" t="s">
        <v>859</v>
      </c>
      <c r="B192" s="27" t="s">
        <v>860</v>
      </c>
      <c r="C192" s="27" t="s">
        <v>144</v>
      </c>
      <c r="D192" s="26" t="s">
        <v>861</v>
      </c>
      <c r="E192" s="27" t="s">
        <v>862</v>
      </c>
      <c r="F192" s="28" t="s">
        <v>146</v>
      </c>
      <c r="G192" s="27" t="s">
        <v>103</v>
      </c>
      <c r="H192" s="27" t="s">
        <v>56</v>
      </c>
      <c r="I192" s="27" t="s">
        <v>38</v>
      </c>
      <c r="J192" s="28" t="s">
        <v>856</v>
      </c>
      <c r="K192" s="27" t="s">
        <v>38</v>
      </c>
      <c r="L192" s="27"/>
    </row>
    <row r="193" customFormat="false" ht="15" hidden="false" customHeight="false" outlineLevel="0" collapsed="false">
      <c r="A193" s="26" t="s">
        <v>863</v>
      </c>
      <c r="B193" s="27" t="s">
        <v>864</v>
      </c>
      <c r="C193" s="27" t="s">
        <v>144</v>
      </c>
      <c r="D193" s="26" t="s">
        <v>861</v>
      </c>
      <c r="E193" s="27" t="s">
        <v>862</v>
      </c>
      <c r="F193" s="28" t="s">
        <v>146</v>
      </c>
      <c r="G193" s="27" t="s">
        <v>103</v>
      </c>
      <c r="H193" s="27" t="s">
        <v>56</v>
      </c>
      <c r="I193" s="27" t="s">
        <v>38</v>
      </c>
      <c r="J193" s="28" t="s">
        <v>856</v>
      </c>
      <c r="K193" s="27" t="s">
        <v>38</v>
      </c>
      <c r="L193" s="27"/>
    </row>
    <row r="194" customFormat="false" ht="15" hidden="false" customHeight="false" outlineLevel="0" collapsed="false">
      <c r="A194" s="26" t="s">
        <v>865</v>
      </c>
      <c r="B194" s="27" t="s">
        <v>866</v>
      </c>
      <c r="C194" s="27" t="s">
        <v>144</v>
      </c>
      <c r="D194" s="26" t="s">
        <v>867</v>
      </c>
      <c r="E194" s="27" t="s">
        <v>868</v>
      </c>
      <c r="F194" s="28" t="s">
        <v>146</v>
      </c>
      <c r="G194" s="27" t="s">
        <v>103</v>
      </c>
      <c r="H194" s="27" t="s">
        <v>56</v>
      </c>
      <c r="I194" s="27" t="s">
        <v>38</v>
      </c>
      <c r="J194" s="28" t="s">
        <v>856</v>
      </c>
      <c r="K194" s="27" t="s">
        <v>38</v>
      </c>
      <c r="L194" s="27"/>
    </row>
    <row r="195" customFormat="false" ht="15" hidden="false" customHeight="false" outlineLevel="0" collapsed="false">
      <c r="A195" s="26" t="s">
        <v>869</v>
      </c>
      <c r="B195" s="27" t="s">
        <v>870</v>
      </c>
      <c r="C195" s="27" t="s">
        <v>144</v>
      </c>
      <c r="D195" s="26" t="s">
        <v>871</v>
      </c>
      <c r="E195" s="27" t="s">
        <v>872</v>
      </c>
      <c r="F195" s="28" t="s">
        <v>146</v>
      </c>
      <c r="G195" s="27" t="s">
        <v>103</v>
      </c>
      <c r="H195" s="27" t="s">
        <v>56</v>
      </c>
      <c r="I195" s="27" t="s">
        <v>38</v>
      </c>
      <c r="J195" s="28" t="s">
        <v>856</v>
      </c>
      <c r="K195" s="27" t="s">
        <v>38</v>
      </c>
      <c r="L195" s="27"/>
    </row>
    <row r="196" customFormat="false" ht="15" hidden="false" customHeight="false" outlineLevel="0" collapsed="false">
      <c r="A196" s="26" t="s">
        <v>873</v>
      </c>
      <c r="B196" s="27" t="s">
        <v>874</v>
      </c>
      <c r="C196" s="27" t="s">
        <v>144</v>
      </c>
      <c r="D196" s="26" t="s">
        <v>867</v>
      </c>
      <c r="E196" s="27" t="s">
        <v>868</v>
      </c>
      <c r="F196" s="28" t="s">
        <v>146</v>
      </c>
      <c r="G196" s="27" t="s">
        <v>103</v>
      </c>
      <c r="H196" s="27" t="s">
        <v>56</v>
      </c>
      <c r="I196" s="27" t="s">
        <v>38</v>
      </c>
      <c r="J196" s="28" t="s">
        <v>856</v>
      </c>
      <c r="K196" s="27" t="s">
        <v>38</v>
      </c>
      <c r="L196" s="27"/>
    </row>
    <row r="197" customFormat="false" ht="15" hidden="false" customHeight="false" outlineLevel="0" collapsed="false">
      <c r="A197" s="26" t="s">
        <v>875</v>
      </c>
      <c r="B197" s="27" t="s">
        <v>876</v>
      </c>
      <c r="C197" s="27" t="s">
        <v>144</v>
      </c>
      <c r="D197" s="26" t="s">
        <v>877</v>
      </c>
      <c r="E197" s="27" t="s">
        <v>878</v>
      </c>
      <c r="F197" s="28" t="s">
        <v>146</v>
      </c>
      <c r="G197" s="27" t="s">
        <v>103</v>
      </c>
      <c r="H197" s="27" t="s">
        <v>56</v>
      </c>
      <c r="I197" s="27" t="s">
        <v>38</v>
      </c>
      <c r="J197" s="28" t="s">
        <v>856</v>
      </c>
      <c r="K197" s="27" t="s">
        <v>38</v>
      </c>
      <c r="L197" s="27"/>
    </row>
    <row r="198" customFormat="false" ht="15" hidden="false" customHeight="false" outlineLevel="0" collapsed="false">
      <c r="A198" s="26" t="s">
        <v>879</v>
      </c>
      <c r="B198" s="27" t="s">
        <v>880</v>
      </c>
      <c r="C198" s="27" t="s">
        <v>144</v>
      </c>
      <c r="D198" s="26" t="s">
        <v>881</v>
      </c>
      <c r="E198" s="27" t="s">
        <v>882</v>
      </c>
      <c r="F198" s="28" t="s">
        <v>146</v>
      </c>
      <c r="G198" s="27" t="s">
        <v>103</v>
      </c>
      <c r="H198" s="27" t="s">
        <v>56</v>
      </c>
      <c r="I198" s="27" t="s">
        <v>38</v>
      </c>
      <c r="J198" s="28" t="s">
        <v>856</v>
      </c>
      <c r="K198" s="27" t="s">
        <v>38</v>
      </c>
      <c r="L198" s="27"/>
    </row>
    <row r="199" customFormat="false" ht="15" hidden="false" customHeight="false" outlineLevel="0" collapsed="false">
      <c r="A199" s="26" t="s">
        <v>883</v>
      </c>
      <c r="B199" s="27" t="s">
        <v>884</v>
      </c>
      <c r="C199" s="27" t="s">
        <v>144</v>
      </c>
      <c r="D199" s="26" t="s">
        <v>885</v>
      </c>
      <c r="E199" s="27" t="s">
        <v>886</v>
      </c>
      <c r="F199" s="28" t="s">
        <v>146</v>
      </c>
      <c r="G199" s="27" t="s">
        <v>103</v>
      </c>
      <c r="H199" s="27" t="s">
        <v>57</v>
      </c>
      <c r="I199" s="27" t="s">
        <v>887</v>
      </c>
      <c r="J199" s="28" t="s">
        <v>856</v>
      </c>
      <c r="K199" s="27" t="s">
        <v>38</v>
      </c>
      <c r="L199" s="27"/>
    </row>
    <row r="200" customFormat="false" ht="15" hidden="false" customHeight="false" outlineLevel="0" collapsed="false">
      <c r="A200" s="26" t="s">
        <v>888</v>
      </c>
      <c r="B200" s="27" t="s">
        <v>889</v>
      </c>
      <c r="C200" s="27" t="s">
        <v>144</v>
      </c>
      <c r="D200" s="26" t="s">
        <v>890</v>
      </c>
      <c r="E200" s="27" t="s">
        <v>891</v>
      </c>
      <c r="F200" s="28" t="s">
        <v>146</v>
      </c>
      <c r="G200" s="27" t="s">
        <v>103</v>
      </c>
      <c r="H200" s="27" t="s">
        <v>56</v>
      </c>
      <c r="I200" s="27" t="s">
        <v>38</v>
      </c>
      <c r="J200" s="28" t="s">
        <v>856</v>
      </c>
      <c r="K200" s="27" t="s">
        <v>38</v>
      </c>
      <c r="L200" s="27"/>
    </row>
    <row r="201" customFormat="false" ht="15" hidden="false" customHeight="false" outlineLevel="0" collapsed="false">
      <c r="A201" s="26" t="s">
        <v>892</v>
      </c>
      <c r="B201" s="27" t="s">
        <v>893</v>
      </c>
      <c r="C201" s="27" t="s">
        <v>144</v>
      </c>
      <c r="D201" s="26" t="s">
        <v>894</v>
      </c>
      <c r="E201" s="27" t="s">
        <v>895</v>
      </c>
      <c r="F201" s="28" t="s">
        <v>146</v>
      </c>
      <c r="G201" s="27" t="s">
        <v>103</v>
      </c>
      <c r="H201" s="27" t="s">
        <v>57</v>
      </c>
      <c r="I201" s="27" t="s">
        <v>41</v>
      </c>
      <c r="J201" s="28" t="s">
        <v>856</v>
      </c>
      <c r="K201" s="27" t="s">
        <v>38</v>
      </c>
      <c r="L201" s="27"/>
    </row>
    <row r="202" customFormat="false" ht="15" hidden="false" customHeight="false" outlineLevel="0" collapsed="false">
      <c r="A202" s="26" t="s">
        <v>896</v>
      </c>
      <c r="B202" s="27" t="s">
        <v>897</v>
      </c>
      <c r="C202" s="27" t="s">
        <v>144</v>
      </c>
      <c r="D202" s="26" t="s">
        <v>898</v>
      </c>
      <c r="E202" s="27" t="s">
        <v>897</v>
      </c>
      <c r="F202" s="28" t="s">
        <v>146</v>
      </c>
      <c r="G202" s="27" t="s">
        <v>103</v>
      </c>
      <c r="H202" s="27" t="s">
        <v>57</v>
      </c>
      <c r="I202" s="27" t="s">
        <v>39</v>
      </c>
      <c r="J202" s="28" t="s">
        <v>856</v>
      </c>
      <c r="K202" s="27" t="s">
        <v>38</v>
      </c>
      <c r="L202" s="27"/>
    </row>
    <row r="203" customFormat="false" ht="15" hidden="false" customHeight="false" outlineLevel="0" collapsed="false">
      <c r="A203" s="26" t="s">
        <v>899</v>
      </c>
      <c r="B203" s="27" t="s">
        <v>900</v>
      </c>
      <c r="C203" s="27" t="s">
        <v>144</v>
      </c>
      <c r="D203" s="26" t="s">
        <v>901</v>
      </c>
      <c r="E203" s="27" t="s">
        <v>900</v>
      </c>
      <c r="F203" s="28" t="s">
        <v>146</v>
      </c>
      <c r="G203" s="27" t="s">
        <v>103</v>
      </c>
      <c r="H203" s="27" t="s">
        <v>57</v>
      </c>
      <c r="I203" s="27" t="s">
        <v>39</v>
      </c>
      <c r="J203" s="28" t="s">
        <v>856</v>
      </c>
      <c r="K203" s="27" t="s">
        <v>38</v>
      </c>
      <c r="L203" s="27"/>
    </row>
    <row r="204" customFormat="false" ht="15" hidden="false" customHeight="false" outlineLevel="0" collapsed="false">
      <c r="A204" s="26" t="s">
        <v>902</v>
      </c>
      <c r="B204" s="27" t="s">
        <v>903</v>
      </c>
      <c r="C204" s="27" t="s">
        <v>144</v>
      </c>
      <c r="D204" s="26" t="s">
        <v>904</v>
      </c>
      <c r="E204" s="27" t="s">
        <v>905</v>
      </c>
      <c r="F204" s="28" t="s">
        <v>146</v>
      </c>
      <c r="G204" s="27" t="s">
        <v>103</v>
      </c>
      <c r="H204" s="27" t="s">
        <v>57</v>
      </c>
      <c r="I204" s="27" t="s">
        <v>39</v>
      </c>
      <c r="J204" s="28" t="s">
        <v>856</v>
      </c>
      <c r="K204" s="27" t="s">
        <v>38</v>
      </c>
      <c r="L204" s="27"/>
    </row>
    <row r="205" customFormat="false" ht="15" hidden="false" customHeight="false" outlineLevel="0" collapsed="false">
      <c r="A205" s="26" t="s">
        <v>906</v>
      </c>
      <c r="B205" s="27" t="s">
        <v>907</v>
      </c>
      <c r="C205" s="27" t="s">
        <v>144</v>
      </c>
      <c r="D205" s="26" t="s">
        <v>908</v>
      </c>
      <c r="E205" s="27" t="s">
        <v>907</v>
      </c>
      <c r="F205" s="28" t="s">
        <v>146</v>
      </c>
      <c r="G205" s="27" t="s">
        <v>103</v>
      </c>
      <c r="H205" s="27" t="s">
        <v>57</v>
      </c>
      <c r="I205" s="27" t="s">
        <v>39</v>
      </c>
      <c r="J205" s="28" t="s">
        <v>856</v>
      </c>
      <c r="K205" s="27" t="s">
        <v>38</v>
      </c>
      <c r="L205" s="27"/>
    </row>
    <row r="206" customFormat="false" ht="15" hidden="false" customHeight="false" outlineLevel="0" collapsed="false">
      <c r="A206" s="26" t="s">
        <v>909</v>
      </c>
      <c r="B206" s="27" t="s">
        <v>910</v>
      </c>
      <c r="C206" s="27" t="s">
        <v>144</v>
      </c>
      <c r="D206" s="26" t="s">
        <v>911</v>
      </c>
      <c r="E206" s="27" t="s">
        <v>912</v>
      </c>
      <c r="F206" s="28" t="s">
        <v>146</v>
      </c>
      <c r="G206" s="27" t="s">
        <v>103</v>
      </c>
      <c r="H206" s="27" t="s">
        <v>56</v>
      </c>
      <c r="I206" s="27" t="s">
        <v>38</v>
      </c>
      <c r="J206" s="28" t="s">
        <v>913</v>
      </c>
      <c r="K206" s="27" t="s">
        <v>38</v>
      </c>
      <c r="L206" s="27"/>
    </row>
    <row r="207" customFormat="false" ht="15" hidden="false" customHeight="false" outlineLevel="0" collapsed="false">
      <c r="A207" s="26" t="s">
        <v>914</v>
      </c>
      <c r="B207" s="27" t="s">
        <v>915</v>
      </c>
      <c r="C207" s="27" t="s">
        <v>144</v>
      </c>
      <c r="D207" s="26" t="s">
        <v>916</v>
      </c>
      <c r="E207" s="27" t="s">
        <v>917</v>
      </c>
      <c r="F207" s="28" t="s">
        <v>146</v>
      </c>
      <c r="G207" s="27" t="s">
        <v>103</v>
      </c>
      <c r="H207" s="27" t="s">
        <v>57</v>
      </c>
      <c r="I207" s="27" t="s">
        <v>41</v>
      </c>
      <c r="J207" s="28" t="s">
        <v>913</v>
      </c>
      <c r="K207" s="27" t="s">
        <v>38</v>
      </c>
      <c r="L207" s="27"/>
    </row>
    <row r="208" customFormat="false" ht="15" hidden="false" customHeight="false" outlineLevel="0" collapsed="false">
      <c r="A208" s="26" t="s">
        <v>918</v>
      </c>
      <c r="B208" s="27" t="s">
        <v>919</v>
      </c>
      <c r="C208" s="27" t="s">
        <v>144</v>
      </c>
      <c r="D208" s="26" t="s">
        <v>920</v>
      </c>
      <c r="E208" s="27" t="s">
        <v>921</v>
      </c>
      <c r="F208" s="28" t="s">
        <v>146</v>
      </c>
      <c r="G208" s="27" t="s">
        <v>103</v>
      </c>
      <c r="H208" s="27" t="s">
        <v>56</v>
      </c>
      <c r="I208" s="27" t="s">
        <v>38</v>
      </c>
      <c r="J208" s="28" t="s">
        <v>913</v>
      </c>
      <c r="K208" s="27" t="s">
        <v>38</v>
      </c>
      <c r="L208" s="27"/>
    </row>
    <row r="209" customFormat="false" ht="15" hidden="false" customHeight="false" outlineLevel="0" collapsed="false">
      <c r="A209" s="26" t="s">
        <v>922</v>
      </c>
      <c r="B209" s="27" t="s">
        <v>923</v>
      </c>
      <c r="C209" s="27" t="s">
        <v>144</v>
      </c>
      <c r="D209" s="26" t="s">
        <v>924</v>
      </c>
      <c r="E209" s="27" t="s">
        <v>925</v>
      </c>
      <c r="F209" s="28" t="s">
        <v>146</v>
      </c>
      <c r="G209" s="27" t="s">
        <v>103</v>
      </c>
      <c r="H209" s="27" t="s">
        <v>56</v>
      </c>
      <c r="I209" s="27" t="s">
        <v>38</v>
      </c>
      <c r="J209" s="28" t="s">
        <v>913</v>
      </c>
      <c r="K209" s="27" t="s">
        <v>38</v>
      </c>
      <c r="L209" s="27"/>
    </row>
    <row r="210" customFormat="false" ht="15" hidden="false" customHeight="false" outlineLevel="0" collapsed="false">
      <c r="A210" s="26" t="s">
        <v>926</v>
      </c>
      <c r="B210" s="27" t="s">
        <v>927</v>
      </c>
      <c r="C210" s="27" t="s">
        <v>144</v>
      </c>
      <c r="D210" s="26" t="s">
        <v>928</v>
      </c>
      <c r="E210" s="27" t="s">
        <v>929</v>
      </c>
      <c r="F210" s="28" t="s">
        <v>146</v>
      </c>
      <c r="G210" s="27" t="s">
        <v>103</v>
      </c>
      <c r="H210" s="27" t="s">
        <v>56</v>
      </c>
      <c r="I210" s="27" t="s">
        <v>38</v>
      </c>
      <c r="J210" s="28" t="s">
        <v>913</v>
      </c>
      <c r="K210" s="27" t="s">
        <v>38</v>
      </c>
      <c r="L210" s="27"/>
    </row>
    <row r="211" customFormat="false" ht="15" hidden="false" customHeight="false" outlineLevel="0" collapsed="false">
      <c r="A211" s="26" t="s">
        <v>930</v>
      </c>
      <c r="B211" s="27" t="s">
        <v>931</v>
      </c>
      <c r="C211" s="27" t="s">
        <v>144</v>
      </c>
      <c r="D211" s="26" t="s">
        <v>932</v>
      </c>
      <c r="E211" s="27" t="s">
        <v>933</v>
      </c>
      <c r="F211" s="28" t="s">
        <v>146</v>
      </c>
      <c r="G211" s="27" t="s">
        <v>103</v>
      </c>
      <c r="H211" s="27" t="s">
        <v>56</v>
      </c>
      <c r="I211" s="27" t="s">
        <v>38</v>
      </c>
      <c r="J211" s="28" t="s">
        <v>913</v>
      </c>
      <c r="K211" s="27" t="s">
        <v>38</v>
      </c>
      <c r="L211" s="27"/>
    </row>
    <row r="212" customFormat="false" ht="15" hidden="false" customHeight="false" outlineLevel="0" collapsed="false">
      <c r="A212" s="26" t="s">
        <v>934</v>
      </c>
      <c r="B212" s="27" t="s">
        <v>935</v>
      </c>
      <c r="C212" s="27" t="s">
        <v>144</v>
      </c>
      <c r="D212" s="26" t="s">
        <v>936</v>
      </c>
      <c r="E212" s="27" t="s">
        <v>937</v>
      </c>
      <c r="F212" s="28" t="s">
        <v>146</v>
      </c>
      <c r="G212" s="27" t="s">
        <v>103</v>
      </c>
      <c r="H212" s="27" t="s">
        <v>56</v>
      </c>
      <c r="I212" s="27" t="s">
        <v>38</v>
      </c>
      <c r="J212" s="28" t="s">
        <v>913</v>
      </c>
      <c r="K212" s="27" t="s">
        <v>38</v>
      </c>
      <c r="L212" s="27"/>
    </row>
    <row r="213" customFormat="false" ht="15" hidden="false" customHeight="false" outlineLevel="0" collapsed="false">
      <c r="A213" s="26" t="s">
        <v>938</v>
      </c>
      <c r="B213" s="27" t="s">
        <v>939</v>
      </c>
      <c r="C213" s="27" t="s">
        <v>144</v>
      </c>
      <c r="D213" s="26" t="s">
        <v>940</v>
      </c>
      <c r="E213" s="27" t="s">
        <v>941</v>
      </c>
      <c r="F213" s="28" t="s">
        <v>146</v>
      </c>
      <c r="G213" s="27" t="s">
        <v>103</v>
      </c>
      <c r="H213" s="27" t="s">
        <v>56</v>
      </c>
      <c r="I213" s="27" t="s">
        <v>38</v>
      </c>
      <c r="J213" s="28" t="s">
        <v>913</v>
      </c>
      <c r="K213" s="27" t="s">
        <v>38</v>
      </c>
      <c r="L213" s="27"/>
    </row>
    <row r="214" customFormat="false" ht="15" hidden="false" customHeight="false" outlineLevel="0" collapsed="false">
      <c r="A214" s="26" t="s">
        <v>942</v>
      </c>
      <c r="B214" s="27" t="s">
        <v>943</v>
      </c>
      <c r="C214" s="27" t="s">
        <v>144</v>
      </c>
      <c r="D214" s="26" t="s">
        <v>944</v>
      </c>
      <c r="E214" s="27" t="s">
        <v>945</v>
      </c>
      <c r="F214" s="28" t="s">
        <v>146</v>
      </c>
      <c r="G214" s="27" t="s">
        <v>103</v>
      </c>
      <c r="H214" s="27" t="s">
        <v>56</v>
      </c>
      <c r="I214" s="27" t="s">
        <v>38</v>
      </c>
      <c r="J214" s="28" t="s">
        <v>913</v>
      </c>
      <c r="K214" s="27" t="s">
        <v>38</v>
      </c>
      <c r="L214" s="27"/>
    </row>
    <row r="215" customFormat="false" ht="15" hidden="false" customHeight="false" outlineLevel="0" collapsed="false">
      <c r="A215" s="26" t="s">
        <v>946</v>
      </c>
      <c r="B215" s="27" t="s">
        <v>947</v>
      </c>
      <c r="C215" s="27" t="s">
        <v>144</v>
      </c>
      <c r="D215" s="26" t="s">
        <v>948</v>
      </c>
      <c r="E215" s="27" t="s">
        <v>949</v>
      </c>
      <c r="F215" s="28" t="s">
        <v>146</v>
      </c>
      <c r="G215" s="27" t="s">
        <v>103</v>
      </c>
      <c r="H215" s="27" t="s">
        <v>56</v>
      </c>
      <c r="I215" s="27" t="s">
        <v>38</v>
      </c>
      <c r="J215" s="28" t="s">
        <v>913</v>
      </c>
      <c r="K215" s="27" t="s">
        <v>38</v>
      </c>
      <c r="L215" s="27"/>
    </row>
    <row r="216" customFormat="false" ht="15" hidden="false" customHeight="false" outlineLevel="0" collapsed="false">
      <c r="A216" s="26" t="s">
        <v>950</v>
      </c>
      <c r="B216" s="27" t="s">
        <v>951</v>
      </c>
      <c r="C216" s="27" t="s">
        <v>144</v>
      </c>
      <c r="D216" s="26" t="s">
        <v>952</v>
      </c>
      <c r="E216" s="27" t="s">
        <v>953</v>
      </c>
      <c r="F216" s="28" t="s">
        <v>146</v>
      </c>
      <c r="G216" s="27" t="s">
        <v>103</v>
      </c>
      <c r="H216" s="27" t="s">
        <v>56</v>
      </c>
      <c r="I216" s="27" t="s">
        <v>38</v>
      </c>
      <c r="J216" s="28" t="s">
        <v>913</v>
      </c>
      <c r="K216" s="27" t="s">
        <v>38</v>
      </c>
      <c r="L216" s="27"/>
    </row>
    <row r="217" customFormat="false" ht="15" hidden="false" customHeight="false" outlineLevel="0" collapsed="false">
      <c r="A217" s="26" t="s">
        <v>954</v>
      </c>
      <c r="B217" s="27" t="s">
        <v>955</v>
      </c>
      <c r="C217" s="27" t="s">
        <v>144</v>
      </c>
      <c r="D217" s="26" t="s">
        <v>956</v>
      </c>
      <c r="E217" s="27" t="s">
        <v>957</v>
      </c>
      <c r="F217" s="28" t="s">
        <v>146</v>
      </c>
      <c r="G217" s="27" t="s">
        <v>103</v>
      </c>
      <c r="H217" s="27" t="s">
        <v>56</v>
      </c>
      <c r="I217" s="27" t="s">
        <v>38</v>
      </c>
      <c r="J217" s="28" t="s">
        <v>913</v>
      </c>
      <c r="K217" s="27" t="s">
        <v>38</v>
      </c>
      <c r="L217" s="27"/>
    </row>
    <row r="218" customFormat="false" ht="15" hidden="false" customHeight="false" outlineLevel="0" collapsed="false">
      <c r="A218" s="26" t="s">
        <v>958</v>
      </c>
      <c r="B218" s="27" t="s">
        <v>959</v>
      </c>
      <c r="C218" s="27" t="s">
        <v>144</v>
      </c>
      <c r="D218" s="26" t="s">
        <v>960</v>
      </c>
      <c r="E218" s="27" t="s">
        <v>961</v>
      </c>
      <c r="F218" s="28" t="s">
        <v>146</v>
      </c>
      <c r="G218" s="27" t="s">
        <v>103</v>
      </c>
      <c r="H218" s="27" t="s">
        <v>56</v>
      </c>
      <c r="I218" s="27" t="s">
        <v>38</v>
      </c>
      <c r="J218" s="28" t="s">
        <v>913</v>
      </c>
      <c r="K218" s="27" t="s">
        <v>38</v>
      </c>
      <c r="L218" s="27"/>
    </row>
    <row r="219" customFormat="false" ht="15" hidden="false" customHeight="false" outlineLevel="0" collapsed="false">
      <c r="A219" s="26" t="s">
        <v>962</v>
      </c>
      <c r="B219" s="27" t="s">
        <v>963</v>
      </c>
      <c r="C219" s="27" t="s">
        <v>144</v>
      </c>
      <c r="D219" s="26" t="s">
        <v>964</v>
      </c>
      <c r="E219" s="27" t="s">
        <v>965</v>
      </c>
      <c r="F219" s="28" t="s">
        <v>146</v>
      </c>
      <c r="G219" s="27" t="s">
        <v>103</v>
      </c>
      <c r="H219" s="27" t="s">
        <v>56</v>
      </c>
      <c r="I219" s="27" t="s">
        <v>38</v>
      </c>
      <c r="J219" s="28" t="s">
        <v>913</v>
      </c>
      <c r="K219" s="27" t="s">
        <v>38</v>
      </c>
      <c r="L219" s="27"/>
    </row>
    <row r="220" customFormat="false" ht="15" hidden="false" customHeight="false" outlineLevel="0" collapsed="false">
      <c r="A220" s="26" t="s">
        <v>966</v>
      </c>
      <c r="B220" s="27" t="s">
        <v>967</v>
      </c>
      <c r="C220" s="27" t="s">
        <v>137</v>
      </c>
      <c r="D220" s="26" t="s">
        <v>968</v>
      </c>
      <c r="E220" s="27" t="s">
        <v>969</v>
      </c>
      <c r="F220" s="28" t="s">
        <v>140</v>
      </c>
      <c r="G220" s="27" t="s">
        <v>103</v>
      </c>
      <c r="H220" s="27" t="s">
        <v>56</v>
      </c>
      <c r="I220" s="27" t="s">
        <v>38</v>
      </c>
      <c r="J220" s="28" t="s">
        <v>913</v>
      </c>
      <c r="K220" s="27" t="s">
        <v>38</v>
      </c>
      <c r="L220" s="27"/>
    </row>
    <row r="221" customFormat="false" ht="15" hidden="false" customHeight="false" outlineLevel="0" collapsed="false">
      <c r="A221" s="26" t="s">
        <v>970</v>
      </c>
      <c r="B221" s="27" t="s">
        <v>971</v>
      </c>
      <c r="C221" s="27" t="s">
        <v>144</v>
      </c>
      <c r="D221" s="26" t="s">
        <v>972</v>
      </c>
      <c r="E221" s="27" t="s">
        <v>973</v>
      </c>
      <c r="F221" s="28" t="s">
        <v>146</v>
      </c>
      <c r="G221" s="27" t="s">
        <v>103</v>
      </c>
      <c r="H221" s="27" t="s">
        <v>57</v>
      </c>
      <c r="I221" s="27" t="s">
        <v>41</v>
      </c>
      <c r="J221" s="28" t="s">
        <v>913</v>
      </c>
      <c r="K221" s="27" t="s">
        <v>38</v>
      </c>
      <c r="L221" s="27"/>
    </row>
    <row r="222" customFormat="false" ht="15" hidden="false" customHeight="false" outlineLevel="0" collapsed="false">
      <c r="A222" s="26" t="s">
        <v>974</v>
      </c>
      <c r="B222" s="27" t="s">
        <v>975</v>
      </c>
      <c r="C222" s="27" t="s">
        <v>144</v>
      </c>
      <c r="D222" s="26" t="s">
        <v>976</v>
      </c>
      <c r="E222" s="27" t="s">
        <v>975</v>
      </c>
      <c r="F222" s="28" t="s">
        <v>146</v>
      </c>
      <c r="G222" s="27" t="s">
        <v>103</v>
      </c>
      <c r="H222" s="27" t="s">
        <v>57</v>
      </c>
      <c r="I222" s="27" t="s">
        <v>41</v>
      </c>
      <c r="J222" s="28" t="s">
        <v>913</v>
      </c>
      <c r="K222" s="27" t="s">
        <v>38</v>
      </c>
      <c r="L222" s="27"/>
    </row>
    <row r="223" customFormat="false" ht="15" hidden="false" customHeight="false" outlineLevel="0" collapsed="false">
      <c r="A223" s="26" t="s">
        <v>977</v>
      </c>
      <c r="B223" s="27" t="s">
        <v>978</v>
      </c>
      <c r="C223" s="27" t="s">
        <v>137</v>
      </c>
      <c r="D223" s="26" t="s">
        <v>979</v>
      </c>
      <c r="E223" s="27" t="s">
        <v>980</v>
      </c>
      <c r="F223" s="28" t="s">
        <v>140</v>
      </c>
      <c r="G223" s="27" t="s">
        <v>103</v>
      </c>
      <c r="H223" s="27" t="s">
        <v>56</v>
      </c>
      <c r="I223" s="27" t="s">
        <v>38</v>
      </c>
      <c r="J223" s="28" t="s">
        <v>913</v>
      </c>
      <c r="K223" s="27" t="s">
        <v>38</v>
      </c>
      <c r="L223" s="27"/>
    </row>
    <row r="224" customFormat="false" ht="15" hidden="false" customHeight="false" outlineLevel="0" collapsed="false">
      <c r="A224" s="26" t="s">
        <v>981</v>
      </c>
      <c r="B224" s="27" t="s">
        <v>982</v>
      </c>
      <c r="C224" s="27" t="s">
        <v>137</v>
      </c>
      <c r="D224" s="26" t="s">
        <v>983</v>
      </c>
      <c r="E224" s="27" t="s">
        <v>984</v>
      </c>
      <c r="F224" s="28" t="s">
        <v>140</v>
      </c>
      <c r="G224" s="27" t="s">
        <v>103</v>
      </c>
      <c r="H224" s="27" t="s">
        <v>56</v>
      </c>
      <c r="I224" s="27" t="s">
        <v>38</v>
      </c>
      <c r="J224" s="28" t="s">
        <v>913</v>
      </c>
      <c r="K224" s="27" t="s">
        <v>38</v>
      </c>
      <c r="L224" s="27"/>
    </row>
    <row r="225" customFormat="false" ht="15" hidden="false" customHeight="false" outlineLevel="0" collapsed="false">
      <c r="A225" s="26" t="s">
        <v>985</v>
      </c>
      <c r="B225" s="27" t="s">
        <v>986</v>
      </c>
      <c r="C225" s="27" t="s">
        <v>144</v>
      </c>
      <c r="D225" s="26" t="s">
        <v>987</v>
      </c>
      <c r="E225" s="27" t="s">
        <v>988</v>
      </c>
      <c r="F225" s="28" t="s">
        <v>146</v>
      </c>
      <c r="G225" s="27" t="s">
        <v>103</v>
      </c>
      <c r="H225" s="27" t="s">
        <v>56</v>
      </c>
      <c r="I225" s="27" t="s">
        <v>38</v>
      </c>
      <c r="J225" s="28" t="s">
        <v>913</v>
      </c>
      <c r="K225" s="27" t="s">
        <v>38</v>
      </c>
      <c r="L225" s="27"/>
    </row>
    <row r="226" customFormat="false" ht="15" hidden="false" customHeight="false" outlineLevel="0" collapsed="false">
      <c r="A226" s="26" t="s">
        <v>989</v>
      </c>
      <c r="B226" s="27" t="s">
        <v>990</v>
      </c>
      <c r="C226" s="27" t="s">
        <v>144</v>
      </c>
      <c r="D226" s="26" t="s">
        <v>991</v>
      </c>
      <c r="E226" s="27" t="s">
        <v>992</v>
      </c>
      <c r="F226" s="28" t="s">
        <v>146</v>
      </c>
      <c r="G226" s="27" t="s">
        <v>103</v>
      </c>
      <c r="H226" s="27" t="s">
        <v>57</v>
      </c>
      <c r="I226" s="27" t="s">
        <v>41</v>
      </c>
      <c r="J226" s="28" t="s">
        <v>913</v>
      </c>
      <c r="K226" s="27" t="s">
        <v>38</v>
      </c>
      <c r="L226" s="27"/>
    </row>
    <row r="227" customFormat="false" ht="15" hidden="false" customHeight="false" outlineLevel="0" collapsed="false">
      <c r="A227" s="26" t="s">
        <v>993</v>
      </c>
      <c r="B227" s="27" t="s">
        <v>994</v>
      </c>
      <c r="C227" s="27" t="s">
        <v>144</v>
      </c>
      <c r="D227" s="26" t="s">
        <v>995</v>
      </c>
      <c r="E227" s="27" t="s">
        <v>996</v>
      </c>
      <c r="F227" s="28" t="s">
        <v>146</v>
      </c>
      <c r="G227" s="27" t="s">
        <v>103</v>
      </c>
      <c r="H227" s="27" t="s">
        <v>56</v>
      </c>
      <c r="I227" s="27" t="s">
        <v>39</v>
      </c>
      <c r="J227" s="28" t="s">
        <v>997</v>
      </c>
      <c r="K227" s="27" t="s">
        <v>39</v>
      </c>
      <c r="L227" s="27"/>
    </row>
    <row r="228" customFormat="false" ht="15" hidden="false" customHeight="false" outlineLevel="0" collapsed="false">
      <c r="A228" s="26" t="s">
        <v>998</v>
      </c>
      <c r="B228" s="27" t="s">
        <v>999</v>
      </c>
      <c r="C228" s="27" t="s">
        <v>144</v>
      </c>
      <c r="D228" s="26" t="s">
        <v>1000</v>
      </c>
      <c r="E228" s="27" t="s">
        <v>999</v>
      </c>
      <c r="F228" s="28" t="s">
        <v>146</v>
      </c>
      <c r="G228" s="27" t="s">
        <v>103</v>
      </c>
      <c r="H228" s="27" t="s">
        <v>56</v>
      </c>
      <c r="I228" s="27" t="s">
        <v>39</v>
      </c>
      <c r="J228" s="28" t="s">
        <v>997</v>
      </c>
      <c r="K228" s="27" t="s">
        <v>39</v>
      </c>
      <c r="L228" s="27"/>
    </row>
    <row r="229" customFormat="false" ht="15" hidden="false" customHeight="false" outlineLevel="0" collapsed="false">
      <c r="A229" s="26" t="s">
        <v>1001</v>
      </c>
      <c r="B229" s="27" t="s">
        <v>1002</v>
      </c>
      <c r="C229" s="27" t="s">
        <v>144</v>
      </c>
      <c r="D229" s="26" t="s">
        <v>1003</v>
      </c>
      <c r="E229" s="27" t="s">
        <v>1004</v>
      </c>
      <c r="F229" s="28" t="s">
        <v>146</v>
      </c>
      <c r="G229" s="27" t="s">
        <v>103</v>
      </c>
      <c r="H229" s="27" t="s">
        <v>56</v>
      </c>
      <c r="I229" s="27" t="s">
        <v>39</v>
      </c>
      <c r="J229" s="28" t="s">
        <v>997</v>
      </c>
      <c r="K229" s="27" t="s">
        <v>39</v>
      </c>
      <c r="L229" s="27"/>
    </row>
    <row r="230" customFormat="false" ht="15" hidden="false" customHeight="false" outlineLevel="0" collapsed="false">
      <c r="A230" s="26" t="s">
        <v>1005</v>
      </c>
      <c r="B230" s="27" t="s">
        <v>1006</v>
      </c>
      <c r="C230" s="27" t="s">
        <v>144</v>
      </c>
      <c r="D230" s="26" t="s">
        <v>1007</v>
      </c>
      <c r="E230" s="27" t="s">
        <v>1008</v>
      </c>
      <c r="F230" s="28" t="s">
        <v>146</v>
      </c>
      <c r="G230" s="27" t="s">
        <v>103</v>
      </c>
      <c r="H230" s="27" t="s">
        <v>56</v>
      </c>
      <c r="I230" s="27" t="s">
        <v>39</v>
      </c>
      <c r="J230" s="28" t="s">
        <v>997</v>
      </c>
      <c r="K230" s="27" t="s">
        <v>39</v>
      </c>
      <c r="L230" s="27"/>
    </row>
    <row r="231" customFormat="false" ht="15" hidden="false" customHeight="false" outlineLevel="0" collapsed="false">
      <c r="A231" s="26" t="s">
        <v>1009</v>
      </c>
      <c r="B231" s="27" t="s">
        <v>1010</v>
      </c>
      <c r="C231" s="27" t="s">
        <v>144</v>
      </c>
      <c r="D231" s="26" t="s">
        <v>1011</v>
      </c>
      <c r="E231" s="27" t="s">
        <v>1010</v>
      </c>
      <c r="F231" s="28" t="s">
        <v>146</v>
      </c>
      <c r="G231" s="27" t="s">
        <v>103</v>
      </c>
      <c r="H231" s="27" t="s">
        <v>56</v>
      </c>
      <c r="I231" s="27" t="s">
        <v>39</v>
      </c>
      <c r="J231" s="28" t="s">
        <v>997</v>
      </c>
      <c r="K231" s="27" t="s">
        <v>39</v>
      </c>
      <c r="L231" s="27"/>
    </row>
    <row r="232" customFormat="false" ht="15" hidden="false" customHeight="false" outlineLevel="0" collapsed="false">
      <c r="A232" s="26" t="s">
        <v>1012</v>
      </c>
      <c r="B232" s="27" t="s">
        <v>1013</v>
      </c>
      <c r="C232" s="27" t="s">
        <v>144</v>
      </c>
      <c r="D232" s="26" t="s">
        <v>1014</v>
      </c>
      <c r="E232" s="27" t="s">
        <v>1013</v>
      </c>
      <c r="F232" s="28" t="s">
        <v>146</v>
      </c>
      <c r="G232" s="27" t="s">
        <v>103</v>
      </c>
      <c r="H232" s="27" t="s">
        <v>56</v>
      </c>
      <c r="I232" s="27" t="s">
        <v>39</v>
      </c>
      <c r="J232" s="28" t="s">
        <v>997</v>
      </c>
      <c r="K232" s="27" t="s">
        <v>39</v>
      </c>
      <c r="L232" s="27"/>
    </row>
    <row r="233" customFormat="false" ht="15" hidden="false" customHeight="false" outlineLevel="0" collapsed="false">
      <c r="A233" s="26" t="s">
        <v>1015</v>
      </c>
      <c r="B233" s="27" t="s">
        <v>1016</v>
      </c>
      <c r="C233" s="27" t="s">
        <v>144</v>
      </c>
      <c r="D233" s="26" t="s">
        <v>1017</v>
      </c>
      <c r="E233" s="27" t="s">
        <v>1016</v>
      </c>
      <c r="F233" s="28" t="s">
        <v>146</v>
      </c>
      <c r="G233" s="27" t="s">
        <v>103</v>
      </c>
      <c r="H233" s="27" t="s">
        <v>56</v>
      </c>
      <c r="I233" s="27" t="s">
        <v>39</v>
      </c>
      <c r="J233" s="28" t="s">
        <v>997</v>
      </c>
      <c r="K233" s="27" t="s">
        <v>39</v>
      </c>
      <c r="L233" s="27"/>
    </row>
    <row r="234" customFormat="false" ht="15" hidden="false" customHeight="false" outlineLevel="0" collapsed="false">
      <c r="A234" s="26" t="s">
        <v>1018</v>
      </c>
      <c r="B234" s="27" t="s">
        <v>1019</v>
      </c>
      <c r="C234" s="27" t="s">
        <v>144</v>
      </c>
      <c r="D234" s="26" t="s">
        <v>1020</v>
      </c>
      <c r="E234" s="27" t="s">
        <v>1021</v>
      </c>
      <c r="F234" s="28" t="s">
        <v>146</v>
      </c>
      <c r="G234" s="27" t="s">
        <v>103</v>
      </c>
      <c r="H234" s="27" t="s">
        <v>56</v>
      </c>
      <c r="I234" s="27" t="s">
        <v>39</v>
      </c>
      <c r="J234" s="28" t="s">
        <v>997</v>
      </c>
      <c r="K234" s="27" t="s">
        <v>39</v>
      </c>
      <c r="L234" s="27"/>
    </row>
    <row r="235" customFormat="false" ht="15" hidden="false" customHeight="false" outlineLevel="0" collapsed="false">
      <c r="A235" s="26" t="s">
        <v>1022</v>
      </c>
      <c r="B235" s="27" t="s">
        <v>1023</v>
      </c>
      <c r="C235" s="27" t="s">
        <v>144</v>
      </c>
      <c r="D235" s="26" t="s">
        <v>1024</v>
      </c>
      <c r="E235" s="27" t="s">
        <v>1023</v>
      </c>
      <c r="F235" s="28" t="s">
        <v>146</v>
      </c>
      <c r="G235" s="27" t="s">
        <v>103</v>
      </c>
      <c r="H235" s="27" t="s">
        <v>56</v>
      </c>
      <c r="I235" s="27" t="s">
        <v>39</v>
      </c>
      <c r="J235" s="28" t="s">
        <v>997</v>
      </c>
      <c r="K235" s="27" t="s">
        <v>39</v>
      </c>
      <c r="L235" s="27"/>
    </row>
    <row r="236" customFormat="false" ht="15" hidden="false" customHeight="false" outlineLevel="0" collapsed="false">
      <c r="A236" s="26" t="s">
        <v>1025</v>
      </c>
      <c r="B236" s="27" t="s">
        <v>1026</v>
      </c>
      <c r="C236" s="27" t="s">
        <v>144</v>
      </c>
      <c r="D236" s="26" t="s">
        <v>1027</v>
      </c>
      <c r="E236" s="27" t="s">
        <v>1028</v>
      </c>
      <c r="F236" s="28" t="s">
        <v>146</v>
      </c>
      <c r="G236" s="27" t="s">
        <v>103</v>
      </c>
      <c r="H236" s="27" t="s">
        <v>56</v>
      </c>
      <c r="I236" s="27" t="s">
        <v>39</v>
      </c>
      <c r="J236" s="28" t="s">
        <v>997</v>
      </c>
      <c r="K236" s="27" t="s">
        <v>39</v>
      </c>
      <c r="L236" s="27"/>
    </row>
    <row r="237" customFormat="false" ht="15" hidden="false" customHeight="false" outlineLevel="0" collapsed="false">
      <c r="A237" s="26" t="s">
        <v>1029</v>
      </c>
      <c r="B237" s="27" t="s">
        <v>1030</v>
      </c>
      <c r="C237" s="27" t="s">
        <v>144</v>
      </c>
      <c r="D237" s="26" t="s">
        <v>1031</v>
      </c>
      <c r="E237" s="27" t="s">
        <v>1032</v>
      </c>
      <c r="F237" s="28" t="s">
        <v>146</v>
      </c>
      <c r="G237" s="27" t="s">
        <v>103</v>
      </c>
      <c r="H237" s="27" t="s">
        <v>56</v>
      </c>
      <c r="I237" s="27" t="s">
        <v>39</v>
      </c>
      <c r="J237" s="28" t="s">
        <v>997</v>
      </c>
      <c r="K237" s="27" t="s">
        <v>39</v>
      </c>
      <c r="L237" s="27"/>
    </row>
    <row r="238" customFormat="false" ht="15" hidden="false" customHeight="false" outlineLevel="0" collapsed="false">
      <c r="A238" s="26" t="s">
        <v>1033</v>
      </c>
      <c r="B238" s="27" t="s">
        <v>1034</v>
      </c>
      <c r="C238" s="27" t="s">
        <v>144</v>
      </c>
      <c r="D238" s="26" t="s">
        <v>1035</v>
      </c>
      <c r="E238" s="27" t="s">
        <v>1034</v>
      </c>
      <c r="F238" s="28" t="s">
        <v>146</v>
      </c>
      <c r="G238" s="27" t="s">
        <v>103</v>
      </c>
      <c r="H238" s="27" t="s">
        <v>57</v>
      </c>
      <c r="I238" s="27" t="s">
        <v>38</v>
      </c>
      <c r="J238" s="28" t="s">
        <v>997</v>
      </c>
      <c r="K238" s="27" t="s">
        <v>39</v>
      </c>
      <c r="L238" s="27"/>
    </row>
    <row r="239" customFormat="false" ht="15" hidden="false" customHeight="false" outlineLevel="0" collapsed="false">
      <c r="A239" s="26" t="s">
        <v>1036</v>
      </c>
      <c r="B239" s="27" t="s">
        <v>1037</v>
      </c>
      <c r="C239" s="27" t="s">
        <v>144</v>
      </c>
      <c r="D239" s="26" t="s">
        <v>1038</v>
      </c>
      <c r="E239" s="27" t="s">
        <v>1037</v>
      </c>
      <c r="F239" s="28" t="s">
        <v>146</v>
      </c>
      <c r="G239" s="27" t="s">
        <v>103</v>
      </c>
      <c r="H239" s="27" t="s">
        <v>56</v>
      </c>
      <c r="I239" s="27" t="s">
        <v>39</v>
      </c>
      <c r="J239" s="28" t="s">
        <v>997</v>
      </c>
      <c r="K239" s="27" t="s">
        <v>39</v>
      </c>
      <c r="L239" s="27"/>
    </row>
    <row r="240" customFormat="false" ht="15" hidden="false" customHeight="false" outlineLevel="0" collapsed="false">
      <c r="A240" s="26" t="s">
        <v>1039</v>
      </c>
      <c r="B240" s="27" t="s">
        <v>1040</v>
      </c>
      <c r="C240" s="27" t="s">
        <v>144</v>
      </c>
      <c r="D240" s="26" t="s">
        <v>1041</v>
      </c>
      <c r="E240" s="27" t="s">
        <v>1042</v>
      </c>
      <c r="F240" s="28" t="s">
        <v>146</v>
      </c>
      <c r="G240" s="27" t="s">
        <v>103</v>
      </c>
      <c r="H240" s="27" t="s">
        <v>57</v>
      </c>
      <c r="I240" s="27" t="s">
        <v>42</v>
      </c>
      <c r="J240" s="28" t="s">
        <v>997</v>
      </c>
      <c r="K240" s="27" t="s">
        <v>39</v>
      </c>
      <c r="L240" s="27"/>
    </row>
    <row r="241" customFormat="false" ht="15" hidden="false" customHeight="false" outlineLevel="0" collapsed="false">
      <c r="A241" s="26" t="s">
        <v>1043</v>
      </c>
      <c r="B241" s="27" t="s">
        <v>1044</v>
      </c>
      <c r="C241" s="27" t="s">
        <v>144</v>
      </c>
      <c r="D241" s="26" t="s">
        <v>1045</v>
      </c>
      <c r="E241" s="27" t="s">
        <v>1046</v>
      </c>
      <c r="F241" s="28" t="s">
        <v>146</v>
      </c>
      <c r="G241" s="27" t="s">
        <v>103</v>
      </c>
      <c r="H241" s="27" t="s">
        <v>57</v>
      </c>
      <c r="I241" s="27" t="s">
        <v>49</v>
      </c>
      <c r="J241" s="28" t="s">
        <v>1047</v>
      </c>
      <c r="K241" s="27" t="s">
        <v>45</v>
      </c>
      <c r="L241" s="27"/>
    </row>
    <row r="242" customFormat="false" ht="15" hidden="false" customHeight="false" outlineLevel="0" collapsed="false">
      <c r="A242" s="26" t="s">
        <v>1048</v>
      </c>
      <c r="B242" s="27" t="s">
        <v>1049</v>
      </c>
      <c r="C242" s="27" t="s">
        <v>144</v>
      </c>
      <c r="D242" s="26" t="s">
        <v>1050</v>
      </c>
      <c r="E242" s="27" t="s">
        <v>1051</v>
      </c>
      <c r="F242" s="28" t="s">
        <v>146</v>
      </c>
      <c r="G242" s="27" t="s">
        <v>103</v>
      </c>
      <c r="H242" s="27" t="s">
        <v>57</v>
      </c>
      <c r="I242" s="27" t="s">
        <v>49</v>
      </c>
      <c r="J242" s="28" t="s">
        <v>1047</v>
      </c>
      <c r="K242" s="27" t="s">
        <v>45</v>
      </c>
      <c r="L242" s="27"/>
    </row>
    <row r="243" customFormat="false" ht="15" hidden="false" customHeight="false" outlineLevel="0" collapsed="false">
      <c r="A243" s="26" t="s">
        <v>1052</v>
      </c>
      <c r="B243" s="27" t="s">
        <v>1053</v>
      </c>
      <c r="C243" s="27" t="s">
        <v>144</v>
      </c>
      <c r="D243" s="26" t="s">
        <v>1054</v>
      </c>
      <c r="E243" s="27" t="s">
        <v>1055</v>
      </c>
      <c r="F243" s="28" t="s">
        <v>146</v>
      </c>
      <c r="G243" s="27" t="s">
        <v>103</v>
      </c>
      <c r="H243" s="27" t="s">
        <v>57</v>
      </c>
      <c r="I243" s="27" t="s">
        <v>49</v>
      </c>
      <c r="J243" s="28" t="s">
        <v>1047</v>
      </c>
      <c r="K243" s="27" t="s">
        <v>45</v>
      </c>
      <c r="L243" s="27"/>
    </row>
    <row r="244" customFormat="false" ht="15" hidden="false" customHeight="false" outlineLevel="0" collapsed="false">
      <c r="A244" s="26" t="s">
        <v>1056</v>
      </c>
      <c r="B244" s="27" t="s">
        <v>1057</v>
      </c>
      <c r="C244" s="27" t="s">
        <v>144</v>
      </c>
      <c r="D244" s="26" t="s">
        <v>1058</v>
      </c>
      <c r="E244" s="27" t="s">
        <v>1057</v>
      </c>
      <c r="F244" s="28" t="s">
        <v>146</v>
      </c>
      <c r="G244" s="27" t="s">
        <v>103</v>
      </c>
      <c r="H244" s="27" t="s">
        <v>57</v>
      </c>
      <c r="I244" s="27" t="s">
        <v>49</v>
      </c>
      <c r="J244" s="28" t="s">
        <v>1047</v>
      </c>
      <c r="K244" s="27" t="s">
        <v>45</v>
      </c>
      <c r="L244" s="27"/>
    </row>
    <row r="245" customFormat="false" ht="15" hidden="false" customHeight="false" outlineLevel="0" collapsed="false">
      <c r="A245" s="26" t="s">
        <v>1059</v>
      </c>
      <c r="B245" s="27" t="s">
        <v>1060</v>
      </c>
      <c r="C245" s="27" t="s">
        <v>100</v>
      </c>
      <c r="D245" s="26" t="s">
        <v>1061</v>
      </c>
      <c r="E245" s="27" t="s">
        <v>1062</v>
      </c>
      <c r="F245" s="28" t="s">
        <v>102</v>
      </c>
      <c r="G245" s="27" t="s">
        <v>103</v>
      </c>
      <c r="H245" s="27" t="s">
        <v>57</v>
      </c>
      <c r="I245" s="27" t="s">
        <v>49</v>
      </c>
      <c r="J245" s="28" t="s">
        <v>1047</v>
      </c>
      <c r="K245" s="27" t="s">
        <v>45</v>
      </c>
      <c r="L245" s="27"/>
    </row>
    <row r="246" customFormat="false" ht="15" hidden="false" customHeight="false" outlineLevel="0" collapsed="false">
      <c r="A246" s="26" t="s">
        <v>1063</v>
      </c>
      <c r="B246" s="27" t="s">
        <v>1064</v>
      </c>
      <c r="C246" s="27" t="s">
        <v>144</v>
      </c>
      <c r="D246" s="26" t="s">
        <v>1065</v>
      </c>
      <c r="E246" s="27" t="s">
        <v>1066</v>
      </c>
      <c r="F246" s="28" t="s">
        <v>146</v>
      </c>
      <c r="G246" s="27" t="s">
        <v>103</v>
      </c>
      <c r="H246" s="27" t="s">
        <v>57</v>
      </c>
      <c r="I246" s="27" t="s">
        <v>1067</v>
      </c>
      <c r="J246" s="28" t="s">
        <v>1047</v>
      </c>
      <c r="K246" s="27" t="s">
        <v>45</v>
      </c>
      <c r="L246" s="27"/>
    </row>
    <row r="247" customFormat="false" ht="15" hidden="false" customHeight="false" outlineLevel="0" collapsed="false">
      <c r="A247" s="26" t="s">
        <v>1068</v>
      </c>
      <c r="B247" s="27" t="s">
        <v>1069</v>
      </c>
      <c r="C247" s="27" t="s">
        <v>144</v>
      </c>
      <c r="D247" s="26" t="s">
        <v>1070</v>
      </c>
      <c r="E247" s="27" t="s">
        <v>1071</v>
      </c>
      <c r="F247" s="28" t="s">
        <v>146</v>
      </c>
      <c r="G247" s="27" t="s">
        <v>103</v>
      </c>
      <c r="H247" s="27" t="s">
        <v>57</v>
      </c>
      <c r="I247" s="27" t="s">
        <v>42</v>
      </c>
      <c r="J247" s="28" t="s">
        <v>1047</v>
      </c>
      <c r="K247" s="27" t="s">
        <v>45</v>
      </c>
      <c r="L247" s="27"/>
    </row>
    <row r="248" customFormat="false" ht="15" hidden="false" customHeight="false" outlineLevel="0" collapsed="false">
      <c r="A248" s="26" t="s">
        <v>1072</v>
      </c>
      <c r="B248" s="27" t="s">
        <v>1073</v>
      </c>
      <c r="C248" s="27" t="s">
        <v>100</v>
      </c>
      <c r="D248" s="26" t="s">
        <v>1074</v>
      </c>
      <c r="E248" s="27" t="s">
        <v>1075</v>
      </c>
      <c r="F248" s="28" t="s">
        <v>102</v>
      </c>
      <c r="G248" s="27" t="s">
        <v>103</v>
      </c>
      <c r="H248" s="27" t="s">
        <v>56</v>
      </c>
      <c r="I248" s="27" t="s">
        <v>1075</v>
      </c>
      <c r="J248" s="28" t="s">
        <v>1076</v>
      </c>
      <c r="K248" s="27" t="s">
        <v>1075</v>
      </c>
      <c r="L248" s="27"/>
    </row>
    <row r="249" customFormat="false" ht="15" hidden="false" customHeight="false" outlineLevel="0" collapsed="false">
      <c r="A249" s="26" t="s">
        <v>1077</v>
      </c>
      <c r="B249" s="27" t="s">
        <v>1078</v>
      </c>
      <c r="C249" s="27" t="s">
        <v>100</v>
      </c>
      <c r="D249" s="26" t="s">
        <v>1079</v>
      </c>
      <c r="E249" s="27" t="s">
        <v>1078</v>
      </c>
      <c r="F249" s="28" t="s">
        <v>102</v>
      </c>
      <c r="G249" s="27" t="s">
        <v>103</v>
      </c>
      <c r="H249" s="27" t="s">
        <v>56</v>
      </c>
      <c r="I249" s="27" t="s">
        <v>44</v>
      </c>
      <c r="J249" s="28" t="s">
        <v>1080</v>
      </c>
      <c r="K249" s="27" t="s">
        <v>44</v>
      </c>
      <c r="L249" s="27"/>
    </row>
    <row r="250" customFormat="false" ht="15" hidden="false" customHeight="false" outlineLevel="0" collapsed="false">
      <c r="A250" s="26" t="s">
        <v>1081</v>
      </c>
      <c r="B250" s="27" t="s">
        <v>1082</v>
      </c>
      <c r="C250" s="27" t="s">
        <v>144</v>
      </c>
      <c r="D250" s="26" t="s">
        <v>1083</v>
      </c>
      <c r="E250" s="27" t="s">
        <v>1084</v>
      </c>
      <c r="F250" s="28" t="s">
        <v>146</v>
      </c>
      <c r="G250" s="27" t="s">
        <v>103</v>
      </c>
      <c r="H250" s="27" t="s">
        <v>57</v>
      </c>
      <c r="I250" s="27" t="s">
        <v>39</v>
      </c>
      <c r="J250" s="28" t="s">
        <v>1080</v>
      </c>
      <c r="K250" s="27" t="s">
        <v>44</v>
      </c>
      <c r="L250" s="27"/>
    </row>
    <row r="251" customFormat="false" ht="15" hidden="false" customHeight="false" outlineLevel="0" collapsed="false">
      <c r="A251" s="26" t="s">
        <v>1085</v>
      </c>
      <c r="B251" s="27" t="s">
        <v>1086</v>
      </c>
      <c r="C251" s="27" t="s">
        <v>1087</v>
      </c>
      <c r="D251" s="26" t="s">
        <v>1088</v>
      </c>
      <c r="E251" s="27" t="s">
        <v>1089</v>
      </c>
      <c r="F251" s="28" t="s">
        <v>1090</v>
      </c>
      <c r="G251" s="27" t="s">
        <v>103</v>
      </c>
      <c r="H251" s="27" t="s">
        <v>57</v>
      </c>
      <c r="I251" s="27" t="s">
        <v>45</v>
      </c>
      <c r="J251" s="28" t="s">
        <v>1080</v>
      </c>
      <c r="K251" s="27" t="s">
        <v>44</v>
      </c>
      <c r="L251" s="27"/>
    </row>
    <row r="252" customFormat="false" ht="15" hidden="false" customHeight="false" outlineLevel="0" collapsed="false">
      <c r="A252" s="26" t="s">
        <v>1091</v>
      </c>
      <c r="B252" s="27" t="s">
        <v>1092</v>
      </c>
      <c r="C252" s="27" t="s">
        <v>100</v>
      </c>
      <c r="D252" s="26" t="s">
        <v>1093</v>
      </c>
      <c r="E252" s="27" t="s">
        <v>1094</v>
      </c>
      <c r="F252" s="28" t="s">
        <v>102</v>
      </c>
      <c r="G252" s="27" t="s">
        <v>103</v>
      </c>
      <c r="H252" s="27" t="s">
        <v>56</v>
      </c>
      <c r="I252" s="27" t="s">
        <v>44</v>
      </c>
      <c r="J252" s="28" t="s">
        <v>1080</v>
      </c>
      <c r="K252" s="27" t="s">
        <v>44</v>
      </c>
      <c r="L252" s="27"/>
    </row>
    <row r="253" customFormat="false" ht="15" hidden="false" customHeight="false" outlineLevel="0" collapsed="false">
      <c r="A253" s="26" t="s">
        <v>1095</v>
      </c>
      <c r="B253" s="27" t="s">
        <v>1096</v>
      </c>
      <c r="C253" s="27" t="s">
        <v>100</v>
      </c>
      <c r="D253" s="26" t="s">
        <v>1097</v>
      </c>
      <c r="E253" s="27" t="s">
        <v>1098</v>
      </c>
      <c r="F253" s="28" t="s">
        <v>102</v>
      </c>
      <c r="G253" s="27" t="s">
        <v>103</v>
      </c>
      <c r="H253" s="27" t="s">
        <v>56</v>
      </c>
      <c r="I253" s="27" t="s">
        <v>44</v>
      </c>
      <c r="J253" s="28" t="s">
        <v>1080</v>
      </c>
      <c r="K253" s="27" t="s">
        <v>44</v>
      </c>
      <c r="L253" s="27"/>
    </row>
    <row r="254" customFormat="false" ht="15" hidden="false" customHeight="false" outlineLevel="0" collapsed="false">
      <c r="A254" s="26" t="s">
        <v>1099</v>
      </c>
      <c r="B254" s="27" t="s">
        <v>1100</v>
      </c>
      <c r="C254" s="27" t="s">
        <v>131</v>
      </c>
      <c r="D254" s="26" t="s">
        <v>1101</v>
      </c>
      <c r="E254" s="27" t="s">
        <v>1100</v>
      </c>
      <c r="F254" s="28" t="s">
        <v>134</v>
      </c>
      <c r="G254" s="27" t="s">
        <v>103</v>
      </c>
      <c r="H254" s="27" t="s">
        <v>56</v>
      </c>
      <c r="I254" s="27" t="s">
        <v>49</v>
      </c>
      <c r="J254" s="28" t="s">
        <v>1102</v>
      </c>
      <c r="K254" s="27" t="s">
        <v>49</v>
      </c>
      <c r="L254" s="27"/>
    </row>
    <row r="255" customFormat="false" ht="15" hidden="false" customHeight="false" outlineLevel="0" collapsed="false">
      <c r="A255" s="26" t="s">
        <v>1103</v>
      </c>
      <c r="B255" s="27" t="s">
        <v>1104</v>
      </c>
      <c r="C255" s="27" t="s">
        <v>144</v>
      </c>
      <c r="D255" s="26" t="s">
        <v>1105</v>
      </c>
      <c r="E255" s="27" t="s">
        <v>1104</v>
      </c>
      <c r="F255" s="28" t="s">
        <v>146</v>
      </c>
      <c r="G255" s="27" t="s">
        <v>103</v>
      </c>
      <c r="H255" s="27" t="s">
        <v>57</v>
      </c>
      <c r="I255" s="28" t="s">
        <v>46</v>
      </c>
      <c r="J255" s="28" t="s">
        <v>1106</v>
      </c>
      <c r="K255" s="27" t="s">
        <v>40</v>
      </c>
      <c r="L255" s="27"/>
    </row>
    <row r="256" customFormat="false" ht="15" hidden="false" customHeight="false" outlineLevel="0" collapsed="false">
      <c r="A256" s="26" t="s">
        <v>1107</v>
      </c>
      <c r="B256" s="27" t="s">
        <v>1108</v>
      </c>
      <c r="C256" s="27" t="s">
        <v>144</v>
      </c>
      <c r="D256" s="26" t="s">
        <v>1109</v>
      </c>
      <c r="E256" s="27" t="s">
        <v>1108</v>
      </c>
      <c r="F256" s="28" t="s">
        <v>146</v>
      </c>
      <c r="G256" s="27" t="s">
        <v>103</v>
      </c>
      <c r="H256" s="27" t="s">
        <v>57</v>
      </c>
      <c r="I256" s="27" t="s">
        <v>43</v>
      </c>
      <c r="J256" s="28" t="s">
        <v>1106</v>
      </c>
      <c r="K256" s="27" t="s">
        <v>40</v>
      </c>
      <c r="L256" s="27"/>
    </row>
    <row r="257" customFormat="false" ht="15" hidden="false" customHeight="false" outlineLevel="0" collapsed="false">
      <c r="A257" s="26" t="s">
        <v>1110</v>
      </c>
      <c r="B257" s="27" t="s">
        <v>1111</v>
      </c>
      <c r="C257" s="27" t="s">
        <v>144</v>
      </c>
      <c r="D257" s="26" t="s">
        <v>1112</v>
      </c>
      <c r="E257" s="27" t="s">
        <v>1113</v>
      </c>
      <c r="F257" s="28" t="s">
        <v>146</v>
      </c>
      <c r="G257" s="27" t="s">
        <v>103</v>
      </c>
      <c r="H257" s="27" t="s">
        <v>56</v>
      </c>
      <c r="I257" s="27" t="s">
        <v>44</v>
      </c>
      <c r="J257" s="28" t="s">
        <v>1114</v>
      </c>
      <c r="K257" s="27" t="s">
        <v>44</v>
      </c>
      <c r="L257" s="27"/>
    </row>
    <row r="258" customFormat="false" ht="15" hidden="false" customHeight="false" outlineLevel="0" collapsed="false">
      <c r="A258" s="26" t="s">
        <v>1115</v>
      </c>
      <c r="B258" s="27" t="s">
        <v>1116</v>
      </c>
      <c r="C258" s="27" t="s">
        <v>144</v>
      </c>
      <c r="D258" s="26" t="s">
        <v>1117</v>
      </c>
      <c r="E258" s="27" t="s">
        <v>1118</v>
      </c>
      <c r="F258" s="28" t="s">
        <v>146</v>
      </c>
      <c r="G258" s="27" t="s">
        <v>103</v>
      </c>
      <c r="H258" s="27" t="s">
        <v>56</v>
      </c>
      <c r="I258" s="27" t="s">
        <v>44</v>
      </c>
      <c r="J258" s="28" t="s">
        <v>1114</v>
      </c>
      <c r="K258" s="27" t="s">
        <v>44</v>
      </c>
      <c r="L258" s="27"/>
    </row>
    <row r="259" customFormat="false" ht="15" hidden="false" customHeight="false" outlineLevel="0" collapsed="false">
      <c r="A259" s="26" t="s">
        <v>1119</v>
      </c>
      <c r="B259" s="27" t="s">
        <v>1120</v>
      </c>
      <c r="C259" s="27" t="s">
        <v>144</v>
      </c>
      <c r="D259" s="26" t="s">
        <v>1121</v>
      </c>
      <c r="E259" s="27" t="s">
        <v>1122</v>
      </c>
      <c r="F259" s="28" t="s">
        <v>146</v>
      </c>
      <c r="G259" s="27" t="s">
        <v>103</v>
      </c>
      <c r="H259" s="27" t="s">
        <v>57</v>
      </c>
      <c r="I259" s="27" t="s">
        <v>41</v>
      </c>
      <c r="J259" s="28" t="s">
        <v>1114</v>
      </c>
      <c r="K259" s="27" t="s">
        <v>44</v>
      </c>
      <c r="L259" s="27"/>
    </row>
    <row r="260" customFormat="false" ht="15" hidden="false" customHeight="false" outlineLevel="0" collapsed="false">
      <c r="A260" s="26" t="s">
        <v>1123</v>
      </c>
      <c r="B260" s="27" t="s">
        <v>1124</v>
      </c>
      <c r="C260" s="27" t="s">
        <v>1087</v>
      </c>
      <c r="D260" s="26" t="s">
        <v>1125</v>
      </c>
      <c r="E260" s="27" t="s">
        <v>1126</v>
      </c>
      <c r="F260" s="28" t="s">
        <v>1090</v>
      </c>
      <c r="G260" s="27" t="s">
        <v>103</v>
      </c>
      <c r="H260" s="27" t="s">
        <v>56</v>
      </c>
      <c r="I260" s="27" t="s">
        <v>44</v>
      </c>
      <c r="J260" s="28" t="s">
        <v>1114</v>
      </c>
      <c r="K260" s="27" t="s">
        <v>44</v>
      </c>
      <c r="L260" s="27"/>
    </row>
    <row r="261" customFormat="false" ht="15" hidden="false" customHeight="false" outlineLevel="0" collapsed="false">
      <c r="A261" s="26" t="s">
        <v>1127</v>
      </c>
      <c r="B261" s="27" t="s">
        <v>1128</v>
      </c>
      <c r="C261" s="27" t="s">
        <v>144</v>
      </c>
      <c r="D261" s="26" t="s">
        <v>1007</v>
      </c>
      <c r="E261" s="27" t="s">
        <v>1008</v>
      </c>
      <c r="F261" s="28" t="s">
        <v>146</v>
      </c>
      <c r="G261" s="27" t="s">
        <v>103</v>
      </c>
      <c r="H261" s="27" t="s">
        <v>56</v>
      </c>
      <c r="I261" s="27" t="s">
        <v>39</v>
      </c>
      <c r="J261" s="28" t="s">
        <v>1129</v>
      </c>
      <c r="K261" s="27" t="s">
        <v>39</v>
      </c>
      <c r="L261" s="27"/>
    </row>
    <row r="262" customFormat="false" ht="15" hidden="false" customHeight="false" outlineLevel="0" collapsed="false">
      <c r="A262" s="26" t="s">
        <v>1130</v>
      </c>
      <c r="B262" s="27" t="s">
        <v>1131</v>
      </c>
      <c r="C262" s="27" t="s">
        <v>144</v>
      </c>
      <c r="D262" s="26" t="s">
        <v>1132</v>
      </c>
      <c r="E262" s="27" t="s">
        <v>1133</v>
      </c>
      <c r="F262" s="28" t="s">
        <v>146</v>
      </c>
      <c r="G262" s="27" t="s">
        <v>103</v>
      </c>
      <c r="H262" s="27" t="s">
        <v>56</v>
      </c>
      <c r="I262" s="27" t="s">
        <v>39</v>
      </c>
      <c r="J262" s="28" t="s">
        <v>1129</v>
      </c>
      <c r="K262" s="27" t="s">
        <v>39</v>
      </c>
      <c r="L262" s="27"/>
    </row>
    <row r="263" customFormat="false" ht="15" hidden="false" customHeight="false" outlineLevel="0" collapsed="false">
      <c r="A263" s="26" t="s">
        <v>1134</v>
      </c>
      <c r="B263" s="27" t="s">
        <v>1135</v>
      </c>
      <c r="C263" s="27" t="s">
        <v>144</v>
      </c>
      <c r="D263" s="26" t="s">
        <v>1136</v>
      </c>
      <c r="E263" s="27" t="s">
        <v>1137</v>
      </c>
      <c r="F263" s="28" t="s">
        <v>146</v>
      </c>
      <c r="G263" s="27" t="s">
        <v>103</v>
      </c>
      <c r="H263" s="27" t="s">
        <v>56</v>
      </c>
      <c r="I263" s="27" t="s">
        <v>39</v>
      </c>
      <c r="J263" s="28" t="s">
        <v>1129</v>
      </c>
      <c r="K263" s="27" t="s">
        <v>39</v>
      </c>
      <c r="L263" s="27"/>
    </row>
    <row r="264" customFormat="false" ht="15" hidden="false" customHeight="false" outlineLevel="0" collapsed="false">
      <c r="A264" s="26" t="s">
        <v>1138</v>
      </c>
      <c r="B264" s="27" t="s">
        <v>1139</v>
      </c>
      <c r="C264" s="27" t="s">
        <v>144</v>
      </c>
      <c r="D264" s="26" t="s">
        <v>1140</v>
      </c>
      <c r="E264" s="27" t="s">
        <v>1141</v>
      </c>
      <c r="F264" s="28" t="s">
        <v>146</v>
      </c>
      <c r="G264" s="27" t="s">
        <v>103</v>
      </c>
      <c r="H264" s="27" t="s">
        <v>56</v>
      </c>
      <c r="I264" s="27" t="s">
        <v>39</v>
      </c>
      <c r="J264" s="28" t="s">
        <v>1129</v>
      </c>
      <c r="K264" s="27" t="s">
        <v>39</v>
      </c>
      <c r="L264" s="27"/>
    </row>
    <row r="265" customFormat="false" ht="15" hidden="false" customHeight="false" outlineLevel="0" collapsed="false">
      <c r="A265" s="26" t="s">
        <v>1142</v>
      </c>
      <c r="B265" s="27" t="s">
        <v>1143</v>
      </c>
      <c r="C265" s="27" t="s">
        <v>144</v>
      </c>
      <c r="D265" s="26" t="s">
        <v>1144</v>
      </c>
      <c r="E265" s="27" t="s">
        <v>1145</v>
      </c>
      <c r="F265" s="28" t="s">
        <v>146</v>
      </c>
      <c r="G265" s="27" t="s">
        <v>103</v>
      </c>
      <c r="H265" s="27" t="s">
        <v>56</v>
      </c>
      <c r="I265" s="27" t="s">
        <v>39</v>
      </c>
      <c r="J265" s="28" t="s">
        <v>1129</v>
      </c>
      <c r="K265" s="27" t="s">
        <v>39</v>
      </c>
      <c r="L265" s="27"/>
    </row>
    <row r="266" customFormat="false" ht="15" hidden="false" customHeight="false" outlineLevel="0" collapsed="false">
      <c r="A266" s="26" t="s">
        <v>1146</v>
      </c>
      <c r="B266" s="27" t="s">
        <v>1147</v>
      </c>
      <c r="C266" s="27" t="s">
        <v>144</v>
      </c>
      <c r="D266" s="26" t="s">
        <v>1148</v>
      </c>
      <c r="E266" s="27" t="s">
        <v>1149</v>
      </c>
      <c r="F266" s="28" t="s">
        <v>146</v>
      </c>
      <c r="G266" s="27" t="s">
        <v>103</v>
      </c>
      <c r="H266" s="27" t="s">
        <v>56</v>
      </c>
      <c r="I266" s="27" t="s">
        <v>39</v>
      </c>
      <c r="J266" s="28" t="s">
        <v>1129</v>
      </c>
      <c r="K266" s="27" t="s">
        <v>39</v>
      </c>
      <c r="L266" s="27"/>
    </row>
    <row r="267" customFormat="false" ht="15" hidden="false" customHeight="false" outlineLevel="0" collapsed="false">
      <c r="A267" s="26" t="s">
        <v>1150</v>
      </c>
      <c r="B267" s="27" t="s">
        <v>1151</v>
      </c>
      <c r="C267" s="27" t="s">
        <v>144</v>
      </c>
      <c r="D267" s="26" t="s">
        <v>1152</v>
      </c>
      <c r="E267" s="27" t="s">
        <v>1153</v>
      </c>
      <c r="F267" s="28" t="s">
        <v>146</v>
      </c>
      <c r="G267" s="27" t="s">
        <v>103</v>
      </c>
      <c r="H267" s="27" t="s">
        <v>56</v>
      </c>
      <c r="I267" s="27" t="s">
        <v>39</v>
      </c>
      <c r="J267" s="28" t="s">
        <v>1129</v>
      </c>
      <c r="K267" s="27" t="s">
        <v>39</v>
      </c>
      <c r="L267" s="27"/>
    </row>
    <row r="268" customFormat="false" ht="15" hidden="false" customHeight="false" outlineLevel="0" collapsed="false">
      <c r="A268" s="26" t="s">
        <v>1154</v>
      </c>
      <c r="B268" s="27" t="s">
        <v>1155</v>
      </c>
      <c r="C268" s="27" t="s">
        <v>144</v>
      </c>
      <c r="D268" s="26" t="s">
        <v>1156</v>
      </c>
      <c r="E268" s="27" t="s">
        <v>1157</v>
      </c>
      <c r="F268" s="28" t="s">
        <v>1158</v>
      </c>
      <c r="G268" s="27" t="s">
        <v>103</v>
      </c>
      <c r="H268" s="27" t="s">
        <v>56</v>
      </c>
      <c r="I268" s="27" t="s">
        <v>39</v>
      </c>
      <c r="J268" s="28" t="s">
        <v>1129</v>
      </c>
      <c r="K268" s="27" t="s">
        <v>39</v>
      </c>
      <c r="L268" s="27"/>
    </row>
    <row r="269" customFormat="false" ht="15" hidden="false" customHeight="false" outlineLevel="0" collapsed="false">
      <c r="A269" s="26" t="s">
        <v>1159</v>
      </c>
      <c r="B269" s="27" t="s">
        <v>1160</v>
      </c>
      <c r="C269" s="27" t="s">
        <v>144</v>
      </c>
      <c r="D269" s="26" t="s">
        <v>1024</v>
      </c>
      <c r="E269" s="27" t="s">
        <v>1023</v>
      </c>
      <c r="F269" s="28" t="s">
        <v>146</v>
      </c>
      <c r="G269" s="27" t="s">
        <v>103</v>
      </c>
      <c r="H269" s="27" t="s">
        <v>56</v>
      </c>
      <c r="I269" s="27" t="s">
        <v>39</v>
      </c>
      <c r="J269" s="28" t="s">
        <v>1129</v>
      </c>
      <c r="K269" s="27" t="s">
        <v>39</v>
      </c>
      <c r="L269" s="27"/>
    </row>
    <row r="270" customFormat="false" ht="15" hidden="false" customHeight="false" outlineLevel="0" collapsed="false">
      <c r="A270" s="26" t="s">
        <v>1161</v>
      </c>
      <c r="B270" s="27" t="s">
        <v>1162</v>
      </c>
      <c r="C270" s="27" t="s">
        <v>144</v>
      </c>
      <c r="D270" s="26" t="s">
        <v>1163</v>
      </c>
      <c r="E270" s="27" t="s">
        <v>1164</v>
      </c>
      <c r="F270" s="28" t="s">
        <v>146</v>
      </c>
      <c r="G270" s="27" t="s">
        <v>103</v>
      </c>
      <c r="H270" s="27" t="s">
        <v>56</v>
      </c>
      <c r="I270" s="27" t="s">
        <v>39</v>
      </c>
      <c r="J270" s="28" t="s">
        <v>1129</v>
      </c>
      <c r="K270" s="27" t="s">
        <v>39</v>
      </c>
      <c r="L270" s="27"/>
    </row>
    <row r="271" customFormat="false" ht="15" hidden="false" customHeight="false" outlineLevel="0" collapsed="false">
      <c r="A271" s="26" t="s">
        <v>1165</v>
      </c>
      <c r="B271" s="27" t="s">
        <v>1166</v>
      </c>
      <c r="C271" s="27" t="s">
        <v>144</v>
      </c>
      <c r="D271" s="26" t="s">
        <v>1167</v>
      </c>
      <c r="E271" s="27" t="s">
        <v>1168</v>
      </c>
      <c r="F271" s="28" t="s">
        <v>146</v>
      </c>
      <c r="G271" s="27" t="s">
        <v>103</v>
      </c>
      <c r="H271" s="27" t="s">
        <v>56</v>
      </c>
      <c r="I271" s="27" t="s">
        <v>39</v>
      </c>
      <c r="J271" s="28" t="s">
        <v>1129</v>
      </c>
      <c r="K271" s="27" t="s">
        <v>39</v>
      </c>
      <c r="L271" s="27"/>
    </row>
    <row r="272" customFormat="false" ht="15" hidden="false" customHeight="false" outlineLevel="0" collapsed="false">
      <c r="A272" s="26" t="s">
        <v>1169</v>
      </c>
      <c r="B272" s="27" t="s">
        <v>1170</v>
      </c>
      <c r="C272" s="27" t="s">
        <v>144</v>
      </c>
      <c r="D272" s="26" t="s">
        <v>1171</v>
      </c>
      <c r="E272" s="27" t="s">
        <v>1172</v>
      </c>
      <c r="F272" s="28" t="s">
        <v>146</v>
      </c>
      <c r="G272" s="27" t="s">
        <v>103</v>
      </c>
      <c r="H272" s="27" t="s">
        <v>56</v>
      </c>
      <c r="I272" s="27" t="s">
        <v>39</v>
      </c>
      <c r="J272" s="28" t="s">
        <v>1129</v>
      </c>
      <c r="K272" s="27" t="s">
        <v>39</v>
      </c>
      <c r="L272" s="27"/>
    </row>
    <row r="273" customFormat="false" ht="15" hidden="false" customHeight="false" outlineLevel="0" collapsed="false">
      <c r="A273" s="26" t="s">
        <v>1173</v>
      </c>
      <c r="B273" s="27" t="s">
        <v>1174</v>
      </c>
      <c r="C273" s="27" t="s">
        <v>144</v>
      </c>
      <c r="D273" s="26" t="s">
        <v>1175</v>
      </c>
      <c r="E273" s="27" t="s">
        <v>1176</v>
      </c>
      <c r="F273" s="28" t="s">
        <v>146</v>
      </c>
      <c r="G273" s="27" t="s">
        <v>103</v>
      </c>
      <c r="H273" s="27" t="s">
        <v>56</v>
      </c>
      <c r="I273" s="27" t="s">
        <v>39</v>
      </c>
      <c r="J273" s="28" t="s">
        <v>1129</v>
      </c>
      <c r="K273" s="27" t="s">
        <v>39</v>
      </c>
      <c r="L273" s="27"/>
    </row>
    <row r="274" customFormat="false" ht="15" hidden="false" customHeight="false" outlineLevel="0" collapsed="false">
      <c r="A274" s="26" t="s">
        <v>1177</v>
      </c>
      <c r="B274" s="27" t="s">
        <v>1178</v>
      </c>
      <c r="C274" s="27" t="s">
        <v>144</v>
      </c>
      <c r="D274" s="26" t="s">
        <v>1179</v>
      </c>
      <c r="E274" s="27" t="s">
        <v>1180</v>
      </c>
      <c r="F274" s="28" t="s">
        <v>146</v>
      </c>
      <c r="G274" s="27" t="s">
        <v>103</v>
      </c>
      <c r="H274" s="27" t="s">
        <v>56</v>
      </c>
      <c r="I274" s="27" t="s">
        <v>39</v>
      </c>
      <c r="J274" s="28" t="s">
        <v>1129</v>
      </c>
      <c r="K274" s="27" t="s">
        <v>39</v>
      </c>
      <c r="L274" s="27"/>
    </row>
    <row r="275" customFormat="false" ht="15" hidden="false" customHeight="false" outlineLevel="0" collapsed="false">
      <c r="A275" s="26" t="s">
        <v>1181</v>
      </c>
      <c r="B275" s="27" t="s">
        <v>1182</v>
      </c>
      <c r="C275" s="27" t="s">
        <v>144</v>
      </c>
      <c r="D275" s="26" t="s">
        <v>1183</v>
      </c>
      <c r="E275" s="27" t="s">
        <v>1184</v>
      </c>
      <c r="F275" s="28" t="s">
        <v>146</v>
      </c>
      <c r="G275" s="27" t="s">
        <v>103</v>
      </c>
      <c r="H275" s="27" t="s">
        <v>56</v>
      </c>
      <c r="I275" s="27" t="s">
        <v>39</v>
      </c>
      <c r="J275" s="28" t="s">
        <v>1129</v>
      </c>
      <c r="K275" s="27" t="s">
        <v>39</v>
      </c>
      <c r="L275" s="27"/>
    </row>
    <row r="276" customFormat="false" ht="15" hidden="false" customHeight="false" outlineLevel="0" collapsed="false">
      <c r="A276" s="26" t="s">
        <v>1185</v>
      </c>
      <c r="B276" s="27" t="s">
        <v>1186</v>
      </c>
      <c r="C276" s="27" t="s">
        <v>1187</v>
      </c>
      <c r="D276" s="26" t="s">
        <v>1188</v>
      </c>
      <c r="E276" s="27" t="s">
        <v>1189</v>
      </c>
      <c r="F276" s="28" t="s">
        <v>1190</v>
      </c>
      <c r="G276" s="27" t="s">
        <v>103</v>
      </c>
      <c r="H276" s="27" t="s">
        <v>56</v>
      </c>
      <c r="I276" s="27" t="s">
        <v>39</v>
      </c>
      <c r="J276" s="28" t="s">
        <v>1129</v>
      </c>
      <c r="K276" s="27" t="s">
        <v>39</v>
      </c>
      <c r="L276" s="27"/>
    </row>
    <row r="277" customFormat="false" ht="15" hidden="false" customHeight="false" outlineLevel="0" collapsed="false">
      <c r="A277" s="26" t="s">
        <v>1191</v>
      </c>
      <c r="B277" s="27" t="s">
        <v>1192</v>
      </c>
      <c r="C277" s="27" t="s">
        <v>144</v>
      </c>
      <c r="D277" s="26" t="s">
        <v>1193</v>
      </c>
      <c r="E277" s="27" t="s">
        <v>1194</v>
      </c>
      <c r="F277" s="28" t="s">
        <v>146</v>
      </c>
      <c r="G277" s="27" t="s">
        <v>103</v>
      </c>
      <c r="H277" s="27" t="s">
        <v>56</v>
      </c>
      <c r="I277" s="27" t="s">
        <v>39</v>
      </c>
      <c r="J277" s="28" t="s">
        <v>1129</v>
      </c>
      <c r="K277" s="27" t="s">
        <v>39</v>
      </c>
      <c r="L277" s="27"/>
    </row>
    <row r="278" customFormat="false" ht="15" hidden="false" customHeight="false" outlineLevel="0" collapsed="false">
      <c r="A278" s="26" t="s">
        <v>1195</v>
      </c>
      <c r="B278" s="27" t="s">
        <v>1196</v>
      </c>
      <c r="C278" s="27" t="s">
        <v>144</v>
      </c>
      <c r="D278" s="26" t="s">
        <v>1197</v>
      </c>
      <c r="E278" s="27" t="s">
        <v>1198</v>
      </c>
      <c r="F278" s="28" t="s">
        <v>146</v>
      </c>
      <c r="G278" s="27" t="s">
        <v>103</v>
      </c>
      <c r="H278" s="27" t="s">
        <v>56</v>
      </c>
      <c r="I278" s="27" t="s">
        <v>39</v>
      </c>
      <c r="J278" s="28" t="s">
        <v>1129</v>
      </c>
      <c r="K278" s="27" t="s">
        <v>39</v>
      </c>
      <c r="L278" s="27"/>
    </row>
    <row r="279" customFormat="false" ht="15" hidden="false" customHeight="false" outlineLevel="0" collapsed="false">
      <c r="A279" s="26" t="s">
        <v>1199</v>
      </c>
      <c r="B279" s="27" t="s">
        <v>1200</v>
      </c>
      <c r="C279" s="27" t="s">
        <v>144</v>
      </c>
      <c r="D279" s="26" t="s">
        <v>1201</v>
      </c>
      <c r="E279" s="27" t="s">
        <v>1202</v>
      </c>
      <c r="F279" s="28" t="s">
        <v>146</v>
      </c>
      <c r="G279" s="27" t="s">
        <v>103</v>
      </c>
      <c r="H279" s="27" t="s">
        <v>56</v>
      </c>
      <c r="I279" s="27" t="s">
        <v>39</v>
      </c>
      <c r="J279" s="28" t="s">
        <v>1129</v>
      </c>
      <c r="K279" s="27" t="s">
        <v>39</v>
      </c>
      <c r="L279" s="27"/>
    </row>
    <row r="280" customFormat="false" ht="15" hidden="false" customHeight="false" outlineLevel="0" collapsed="false">
      <c r="A280" s="26" t="s">
        <v>1203</v>
      </c>
      <c r="B280" s="27" t="s">
        <v>1204</v>
      </c>
      <c r="C280" s="27" t="s">
        <v>144</v>
      </c>
      <c r="D280" s="26" t="s">
        <v>1205</v>
      </c>
      <c r="E280" s="27" t="s">
        <v>1206</v>
      </c>
      <c r="F280" s="28" t="s">
        <v>146</v>
      </c>
      <c r="G280" s="27" t="s">
        <v>103</v>
      </c>
      <c r="H280" s="27" t="s">
        <v>56</v>
      </c>
      <c r="I280" s="27" t="s">
        <v>39</v>
      </c>
      <c r="J280" s="28" t="s">
        <v>1129</v>
      </c>
      <c r="K280" s="27" t="s">
        <v>39</v>
      </c>
      <c r="L280" s="27"/>
    </row>
    <row r="281" customFormat="false" ht="15" hidden="false" customHeight="false" outlineLevel="0" collapsed="false">
      <c r="A281" s="26" t="s">
        <v>1207</v>
      </c>
      <c r="B281" s="27" t="s">
        <v>1208</v>
      </c>
      <c r="C281" s="27" t="s">
        <v>144</v>
      </c>
      <c r="D281" s="26" t="s">
        <v>1011</v>
      </c>
      <c r="E281" s="27" t="s">
        <v>1010</v>
      </c>
      <c r="F281" s="28" t="s">
        <v>146</v>
      </c>
      <c r="G281" s="27" t="s">
        <v>103</v>
      </c>
      <c r="H281" s="27" t="s">
        <v>56</v>
      </c>
      <c r="I281" s="27" t="s">
        <v>39</v>
      </c>
      <c r="J281" s="28" t="s">
        <v>1129</v>
      </c>
      <c r="K281" s="27" t="s">
        <v>39</v>
      </c>
      <c r="L281" s="27"/>
    </row>
    <row r="282" customFormat="false" ht="15" hidden="false" customHeight="false" outlineLevel="0" collapsed="false">
      <c r="A282" s="26" t="s">
        <v>1209</v>
      </c>
      <c r="B282" s="27" t="s">
        <v>1210</v>
      </c>
      <c r="C282" s="27" t="s">
        <v>144</v>
      </c>
      <c r="D282" s="26" t="s">
        <v>1017</v>
      </c>
      <c r="E282" s="27" t="s">
        <v>1016</v>
      </c>
      <c r="F282" s="28" t="s">
        <v>146</v>
      </c>
      <c r="G282" s="27" t="s">
        <v>103</v>
      </c>
      <c r="H282" s="27" t="s">
        <v>56</v>
      </c>
      <c r="I282" s="27" t="s">
        <v>39</v>
      </c>
      <c r="J282" s="28" t="s">
        <v>1129</v>
      </c>
      <c r="K282" s="27" t="s">
        <v>39</v>
      </c>
      <c r="L282" s="27"/>
    </row>
    <row r="283" customFormat="false" ht="15" hidden="false" customHeight="false" outlineLevel="0" collapsed="false">
      <c r="A283" s="26" t="s">
        <v>1211</v>
      </c>
      <c r="B283" s="27" t="s">
        <v>1212</v>
      </c>
      <c r="C283" s="27" t="s">
        <v>144</v>
      </c>
      <c r="D283" s="26" t="s">
        <v>1014</v>
      </c>
      <c r="E283" s="27" t="s">
        <v>1013</v>
      </c>
      <c r="F283" s="28" t="s">
        <v>146</v>
      </c>
      <c r="G283" s="27" t="s">
        <v>103</v>
      </c>
      <c r="H283" s="27" t="s">
        <v>56</v>
      </c>
      <c r="I283" s="27" t="s">
        <v>39</v>
      </c>
      <c r="J283" s="28" t="s">
        <v>1129</v>
      </c>
      <c r="K283" s="27" t="s">
        <v>39</v>
      </c>
      <c r="L283" s="27"/>
    </row>
    <row r="284" customFormat="false" ht="15" hidden="false" customHeight="false" outlineLevel="0" collapsed="false">
      <c r="A284" s="26" t="s">
        <v>1213</v>
      </c>
      <c r="B284" s="27" t="s">
        <v>1214</v>
      </c>
      <c r="C284" s="27" t="s">
        <v>144</v>
      </c>
      <c r="D284" s="26" t="s">
        <v>1215</v>
      </c>
      <c r="E284" s="27" t="s">
        <v>1216</v>
      </c>
      <c r="F284" s="28" t="s">
        <v>146</v>
      </c>
      <c r="G284" s="27" t="s">
        <v>103</v>
      </c>
      <c r="H284" s="27" t="s">
        <v>56</v>
      </c>
      <c r="I284" s="27" t="s">
        <v>39</v>
      </c>
      <c r="J284" s="28" t="s">
        <v>1129</v>
      </c>
      <c r="K284" s="27" t="s">
        <v>39</v>
      </c>
      <c r="L284" s="27"/>
    </row>
    <row r="285" customFormat="false" ht="15" hidden="false" customHeight="false" outlineLevel="0" collapsed="false">
      <c r="A285" s="26" t="s">
        <v>1217</v>
      </c>
      <c r="B285" s="27" t="s">
        <v>1026</v>
      </c>
      <c r="C285" s="27" t="s">
        <v>144</v>
      </c>
      <c r="D285" s="26" t="s">
        <v>1027</v>
      </c>
      <c r="E285" s="27" t="s">
        <v>1028</v>
      </c>
      <c r="F285" s="28" t="s">
        <v>146</v>
      </c>
      <c r="G285" s="27" t="s">
        <v>103</v>
      </c>
      <c r="H285" s="27" t="s">
        <v>56</v>
      </c>
      <c r="I285" s="27" t="s">
        <v>39</v>
      </c>
      <c r="J285" s="28" t="s">
        <v>1129</v>
      </c>
      <c r="K285" s="27" t="s">
        <v>39</v>
      </c>
      <c r="L285" s="27"/>
    </row>
    <row r="286" customFormat="false" ht="15" hidden="false" customHeight="false" outlineLevel="0" collapsed="false">
      <c r="A286" s="26" t="s">
        <v>1218</v>
      </c>
      <c r="B286" s="27" t="s">
        <v>1219</v>
      </c>
      <c r="C286" s="27" t="s">
        <v>144</v>
      </c>
      <c r="D286" s="26" t="s">
        <v>1220</v>
      </c>
      <c r="E286" s="27" t="s">
        <v>1221</v>
      </c>
      <c r="F286" s="28" t="s">
        <v>146</v>
      </c>
      <c r="G286" s="27" t="s">
        <v>103</v>
      </c>
      <c r="H286" s="27" t="s">
        <v>56</v>
      </c>
      <c r="I286" s="27" t="s">
        <v>39</v>
      </c>
      <c r="J286" s="28" t="s">
        <v>1129</v>
      </c>
      <c r="K286" s="27" t="s">
        <v>39</v>
      </c>
      <c r="L286" s="27"/>
    </row>
    <row r="287" customFormat="false" ht="15" hidden="false" customHeight="false" outlineLevel="0" collapsed="false">
      <c r="A287" s="26" t="s">
        <v>1222</v>
      </c>
      <c r="B287" s="27" t="s">
        <v>1223</v>
      </c>
      <c r="C287" s="27" t="s">
        <v>144</v>
      </c>
      <c r="D287" s="26" t="s">
        <v>1224</v>
      </c>
      <c r="E287" s="27" t="s">
        <v>1225</v>
      </c>
      <c r="F287" s="28" t="s">
        <v>146</v>
      </c>
      <c r="G287" s="27" t="s">
        <v>103</v>
      </c>
      <c r="H287" s="27" t="s">
        <v>56</v>
      </c>
      <c r="I287" s="27" t="s">
        <v>39</v>
      </c>
      <c r="J287" s="28" t="s">
        <v>1129</v>
      </c>
      <c r="K287" s="27" t="s">
        <v>39</v>
      </c>
      <c r="L287" s="27"/>
    </row>
    <row r="288" customFormat="false" ht="15" hidden="false" customHeight="false" outlineLevel="0" collapsed="false">
      <c r="A288" s="26" t="s">
        <v>1226</v>
      </c>
      <c r="B288" s="27" t="s">
        <v>1227</v>
      </c>
      <c r="C288" s="27" t="s">
        <v>144</v>
      </c>
      <c r="D288" s="26" t="s">
        <v>1228</v>
      </c>
      <c r="E288" s="27" t="s">
        <v>1229</v>
      </c>
      <c r="F288" s="28" t="s">
        <v>146</v>
      </c>
      <c r="G288" s="27" t="s">
        <v>103</v>
      </c>
      <c r="H288" s="27" t="s">
        <v>56</v>
      </c>
      <c r="I288" s="27" t="s">
        <v>39</v>
      </c>
      <c r="J288" s="28" t="s">
        <v>1129</v>
      </c>
      <c r="K288" s="27" t="s">
        <v>39</v>
      </c>
      <c r="L288" s="27"/>
    </row>
    <row r="289" customFormat="false" ht="15" hidden="false" customHeight="false" outlineLevel="0" collapsed="false">
      <c r="A289" s="26" t="s">
        <v>1230</v>
      </c>
      <c r="B289" s="27" t="s">
        <v>1231</v>
      </c>
      <c r="C289" s="27" t="s">
        <v>131</v>
      </c>
      <c r="D289" s="26" t="s">
        <v>763</v>
      </c>
      <c r="E289" s="27" t="s">
        <v>764</v>
      </c>
      <c r="F289" s="28" t="s">
        <v>134</v>
      </c>
      <c r="G289" s="27" t="s">
        <v>103</v>
      </c>
      <c r="H289" s="27" t="s">
        <v>56</v>
      </c>
      <c r="I289" s="27" t="s">
        <v>49</v>
      </c>
      <c r="J289" s="28" t="s">
        <v>1232</v>
      </c>
      <c r="K289" s="27" t="s">
        <v>49</v>
      </c>
      <c r="L289" s="27"/>
    </row>
    <row r="290" customFormat="false" ht="15" hidden="false" customHeight="false" outlineLevel="0" collapsed="false">
      <c r="A290" s="26" t="s">
        <v>1233</v>
      </c>
      <c r="B290" s="27" t="s">
        <v>1234</v>
      </c>
      <c r="C290" s="27" t="s">
        <v>131</v>
      </c>
      <c r="D290" s="26" t="s">
        <v>1235</v>
      </c>
      <c r="E290" s="27" t="s">
        <v>1236</v>
      </c>
      <c r="F290" s="28" t="s">
        <v>134</v>
      </c>
      <c r="G290" s="27" t="s">
        <v>103</v>
      </c>
      <c r="H290" s="27" t="s">
        <v>56</v>
      </c>
      <c r="I290" s="27" t="s">
        <v>49</v>
      </c>
      <c r="J290" s="28" t="s">
        <v>1232</v>
      </c>
      <c r="K290" s="27" t="s">
        <v>49</v>
      </c>
      <c r="L290" s="27"/>
    </row>
    <row r="291" customFormat="false" ht="15" hidden="false" customHeight="false" outlineLevel="0" collapsed="false">
      <c r="A291" s="26" t="s">
        <v>1237</v>
      </c>
      <c r="B291" s="27" t="s">
        <v>1238</v>
      </c>
      <c r="C291" s="27" t="s">
        <v>100</v>
      </c>
      <c r="D291" s="26" t="s">
        <v>1061</v>
      </c>
      <c r="E291" s="27" t="s">
        <v>1062</v>
      </c>
      <c r="F291" s="28" t="s">
        <v>102</v>
      </c>
      <c r="G291" s="27" t="s">
        <v>103</v>
      </c>
      <c r="H291" s="27" t="s">
        <v>56</v>
      </c>
      <c r="I291" s="27" t="s">
        <v>49</v>
      </c>
      <c r="J291" s="28" t="s">
        <v>1232</v>
      </c>
      <c r="K291" s="27" t="s">
        <v>49</v>
      </c>
      <c r="L291" s="27"/>
    </row>
    <row r="292" customFormat="false" ht="15" hidden="false" customHeight="false" outlineLevel="0" collapsed="false">
      <c r="A292" s="26" t="s">
        <v>1239</v>
      </c>
      <c r="B292" s="27" t="s">
        <v>1240</v>
      </c>
      <c r="C292" s="27" t="s">
        <v>131</v>
      </c>
      <c r="D292" s="26" t="s">
        <v>1241</v>
      </c>
      <c r="E292" s="27" t="s">
        <v>1242</v>
      </c>
      <c r="F292" s="28" t="s">
        <v>134</v>
      </c>
      <c r="G292" s="27" t="s">
        <v>103</v>
      </c>
      <c r="H292" s="27" t="s">
        <v>56</v>
      </c>
      <c r="I292" s="27" t="s">
        <v>49</v>
      </c>
      <c r="J292" s="28" t="s">
        <v>1232</v>
      </c>
      <c r="K292" s="27" t="s">
        <v>49</v>
      </c>
      <c r="L292" s="27"/>
    </row>
    <row r="293" customFormat="false" ht="15" hidden="false" customHeight="false" outlineLevel="0" collapsed="false">
      <c r="A293" s="26" t="s">
        <v>1243</v>
      </c>
      <c r="B293" s="27" t="s">
        <v>1244</v>
      </c>
      <c r="C293" s="27" t="s">
        <v>144</v>
      </c>
      <c r="D293" s="26" t="s">
        <v>1245</v>
      </c>
      <c r="E293" s="27" t="s">
        <v>1244</v>
      </c>
      <c r="F293" s="28" t="s">
        <v>146</v>
      </c>
      <c r="G293" s="27" t="s">
        <v>103</v>
      </c>
      <c r="H293" s="27" t="s">
        <v>57</v>
      </c>
      <c r="I293" s="27" t="s">
        <v>39</v>
      </c>
      <c r="J293" s="28" t="s">
        <v>1232</v>
      </c>
      <c r="K293" s="27" t="s">
        <v>49</v>
      </c>
      <c r="L293" s="27"/>
    </row>
    <row r="294" customFormat="false" ht="15" hidden="false" customHeight="false" outlineLevel="0" collapsed="false">
      <c r="A294" s="26" t="s">
        <v>1246</v>
      </c>
      <c r="B294" s="27" t="s">
        <v>1247</v>
      </c>
      <c r="C294" s="27" t="s">
        <v>144</v>
      </c>
      <c r="D294" s="26" t="s">
        <v>1248</v>
      </c>
      <c r="E294" s="27" t="s">
        <v>1249</v>
      </c>
      <c r="F294" s="28" t="s">
        <v>146</v>
      </c>
      <c r="G294" s="27" t="s">
        <v>103</v>
      </c>
      <c r="H294" s="27" t="s">
        <v>57</v>
      </c>
      <c r="I294" s="27" t="s">
        <v>39</v>
      </c>
      <c r="J294" s="28" t="s">
        <v>1232</v>
      </c>
      <c r="K294" s="27" t="s">
        <v>49</v>
      </c>
      <c r="L294" s="27"/>
    </row>
    <row r="295" customFormat="false" ht="15" hidden="false" customHeight="false" outlineLevel="0" collapsed="false">
      <c r="A295" s="26" t="s">
        <v>1250</v>
      </c>
      <c r="B295" s="27" t="s">
        <v>1251</v>
      </c>
      <c r="C295" s="27" t="s">
        <v>144</v>
      </c>
      <c r="D295" s="26" t="s">
        <v>1252</v>
      </c>
      <c r="E295" s="27" t="s">
        <v>1251</v>
      </c>
      <c r="F295" s="28" t="s">
        <v>146</v>
      </c>
      <c r="G295" s="27" t="s">
        <v>103</v>
      </c>
      <c r="H295" s="27" t="s">
        <v>57</v>
      </c>
      <c r="I295" s="27" t="s">
        <v>39</v>
      </c>
      <c r="J295" s="28" t="s">
        <v>1232</v>
      </c>
      <c r="K295" s="27" t="s">
        <v>49</v>
      </c>
      <c r="L295" s="27"/>
    </row>
    <row r="296" customFormat="false" ht="15" hidden="false" customHeight="false" outlineLevel="0" collapsed="false">
      <c r="A296" s="26" t="s">
        <v>1253</v>
      </c>
      <c r="B296" s="27" t="s">
        <v>1254</v>
      </c>
      <c r="C296" s="27" t="s">
        <v>144</v>
      </c>
      <c r="D296" s="26" t="s">
        <v>1255</v>
      </c>
      <c r="E296" s="27" t="s">
        <v>1256</v>
      </c>
      <c r="F296" s="28" t="s">
        <v>146</v>
      </c>
      <c r="G296" s="27" t="s">
        <v>103</v>
      </c>
      <c r="H296" s="27" t="s">
        <v>57</v>
      </c>
      <c r="I296" s="28" t="s">
        <v>50</v>
      </c>
      <c r="J296" s="28" t="s">
        <v>1232</v>
      </c>
      <c r="K296" s="27" t="s">
        <v>49</v>
      </c>
      <c r="L296" s="27"/>
    </row>
    <row r="297" customFormat="false" ht="15" hidden="false" customHeight="false" outlineLevel="0" collapsed="false">
      <c r="A297" s="26" t="s">
        <v>1257</v>
      </c>
      <c r="B297" s="27" t="s">
        <v>1258</v>
      </c>
      <c r="C297" s="27" t="s">
        <v>370</v>
      </c>
      <c r="D297" s="26" t="s">
        <v>1259</v>
      </c>
      <c r="E297" s="27" t="s">
        <v>1258</v>
      </c>
      <c r="F297" s="28" t="s">
        <v>373</v>
      </c>
      <c r="G297" s="27" t="s">
        <v>103</v>
      </c>
      <c r="H297" s="27" t="s">
        <v>57</v>
      </c>
      <c r="I297" s="27" t="s">
        <v>42</v>
      </c>
      <c r="J297" s="28" t="s">
        <v>1232</v>
      </c>
      <c r="K297" s="27" t="s">
        <v>49</v>
      </c>
      <c r="L297" s="27"/>
    </row>
    <row r="298" customFormat="false" ht="15" hidden="false" customHeight="false" outlineLevel="0" collapsed="false">
      <c r="A298" s="26" t="s">
        <v>1260</v>
      </c>
      <c r="B298" s="27" t="s">
        <v>1261</v>
      </c>
      <c r="C298" s="27" t="s">
        <v>144</v>
      </c>
      <c r="D298" s="26" t="s">
        <v>1262</v>
      </c>
      <c r="E298" s="27" t="s">
        <v>1263</v>
      </c>
      <c r="F298" s="28" t="s">
        <v>146</v>
      </c>
      <c r="G298" s="27" t="s">
        <v>103</v>
      </c>
      <c r="H298" s="27" t="s">
        <v>57</v>
      </c>
      <c r="I298" s="28" t="s">
        <v>46</v>
      </c>
      <c r="J298" s="28" t="s">
        <v>1264</v>
      </c>
      <c r="K298" s="27" t="s">
        <v>42</v>
      </c>
      <c r="L298" s="27"/>
    </row>
    <row r="299" customFormat="false" ht="15" hidden="false" customHeight="false" outlineLevel="0" collapsed="false">
      <c r="A299" s="26" t="s">
        <v>1265</v>
      </c>
      <c r="B299" s="27" t="s">
        <v>1266</v>
      </c>
      <c r="C299" s="27" t="s">
        <v>144</v>
      </c>
      <c r="D299" s="26" t="s">
        <v>1267</v>
      </c>
      <c r="E299" s="27" t="s">
        <v>1266</v>
      </c>
      <c r="F299" s="28" t="s">
        <v>146</v>
      </c>
      <c r="G299" s="27" t="s">
        <v>103</v>
      </c>
      <c r="H299" s="27" t="s">
        <v>56</v>
      </c>
      <c r="I299" s="27" t="s">
        <v>42</v>
      </c>
      <c r="J299" s="28" t="s">
        <v>1268</v>
      </c>
      <c r="K299" s="27" t="s">
        <v>42</v>
      </c>
      <c r="L299" s="27"/>
    </row>
    <row r="300" customFormat="false" ht="15" hidden="false" customHeight="false" outlineLevel="0" collapsed="false">
      <c r="A300" s="26" t="s">
        <v>1269</v>
      </c>
      <c r="B300" s="27" t="s">
        <v>1270</v>
      </c>
      <c r="C300" s="27" t="s">
        <v>144</v>
      </c>
      <c r="D300" s="26" t="s">
        <v>1271</v>
      </c>
      <c r="E300" s="27" t="s">
        <v>1272</v>
      </c>
      <c r="F300" s="28" t="s">
        <v>146</v>
      </c>
      <c r="G300" s="27" t="s">
        <v>103</v>
      </c>
      <c r="H300" s="27" t="s">
        <v>56</v>
      </c>
      <c r="I300" s="27" t="s">
        <v>42</v>
      </c>
      <c r="J300" s="28" t="s">
        <v>1268</v>
      </c>
      <c r="K300" s="27" t="s">
        <v>42</v>
      </c>
      <c r="L300" s="27"/>
    </row>
    <row r="301" customFormat="false" ht="15" hidden="false" customHeight="false" outlineLevel="0" collapsed="false">
      <c r="A301" s="26" t="s">
        <v>1273</v>
      </c>
      <c r="B301" s="27" t="s">
        <v>1274</v>
      </c>
      <c r="C301" s="27" t="s">
        <v>144</v>
      </c>
      <c r="D301" s="26" t="s">
        <v>1275</v>
      </c>
      <c r="E301" s="27" t="s">
        <v>1274</v>
      </c>
      <c r="F301" s="28" t="s">
        <v>146</v>
      </c>
      <c r="G301" s="27" t="s">
        <v>103</v>
      </c>
      <c r="H301" s="27" t="s">
        <v>56</v>
      </c>
      <c r="I301" s="27" t="s">
        <v>42</v>
      </c>
      <c r="J301" s="28" t="s">
        <v>1268</v>
      </c>
      <c r="K301" s="27" t="s">
        <v>42</v>
      </c>
      <c r="L301" s="27"/>
    </row>
    <row r="302" customFormat="false" ht="15" hidden="false" customHeight="false" outlineLevel="0" collapsed="false">
      <c r="A302" s="26" t="s">
        <v>1276</v>
      </c>
      <c r="B302" s="27" t="s">
        <v>1277</v>
      </c>
      <c r="C302" s="27" t="s">
        <v>144</v>
      </c>
      <c r="D302" s="26" t="s">
        <v>1278</v>
      </c>
      <c r="E302" s="27" t="s">
        <v>1277</v>
      </c>
      <c r="F302" s="28" t="s">
        <v>146</v>
      </c>
      <c r="G302" s="27" t="s">
        <v>103</v>
      </c>
      <c r="H302" s="27" t="s">
        <v>56</v>
      </c>
      <c r="I302" s="27" t="s">
        <v>42</v>
      </c>
      <c r="J302" s="28" t="s">
        <v>1268</v>
      </c>
      <c r="K302" s="27" t="s">
        <v>42</v>
      </c>
      <c r="L302" s="27"/>
    </row>
    <row r="303" customFormat="false" ht="15" hidden="false" customHeight="false" outlineLevel="0" collapsed="false">
      <c r="A303" s="26" t="s">
        <v>1279</v>
      </c>
      <c r="B303" s="27" t="s">
        <v>1280</v>
      </c>
      <c r="C303" s="27" t="s">
        <v>1087</v>
      </c>
      <c r="D303" s="26" t="s">
        <v>1281</v>
      </c>
      <c r="E303" s="27" t="s">
        <v>1280</v>
      </c>
      <c r="F303" s="28" t="s">
        <v>1090</v>
      </c>
      <c r="G303" s="27" t="s">
        <v>103</v>
      </c>
      <c r="H303" s="27" t="s">
        <v>57</v>
      </c>
      <c r="I303" s="27" t="s">
        <v>44</v>
      </c>
      <c r="J303" s="28" t="s">
        <v>1268</v>
      </c>
      <c r="K303" s="27" t="s">
        <v>42</v>
      </c>
      <c r="L303" s="27"/>
    </row>
    <row r="304" customFormat="false" ht="15" hidden="false" customHeight="false" outlineLevel="0" collapsed="false">
      <c r="A304" s="26" t="s">
        <v>1282</v>
      </c>
      <c r="B304" s="27" t="s">
        <v>1283</v>
      </c>
      <c r="C304" s="27" t="s">
        <v>1087</v>
      </c>
      <c r="D304" s="26" t="s">
        <v>1284</v>
      </c>
      <c r="E304" s="27" t="s">
        <v>1283</v>
      </c>
      <c r="F304" s="28" t="s">
        <v>1090</v>
      </c>
      <c r="G304" s="27" t="s">
        <v>103</v>
      </c>
      <c r="H304" s="27" t="s">
        <v>57</v>
      </c>
      <c r="I304" s="27" t="s">
        <v>44</v>
      </c>
      <c r="J304" s="28" t="s">
        <v>1268</v>
      </c>
      <c r="K304" s="27" t="s">
        <v>42</v>
      </c>
      <c r="L304" s="27"/>
    </row>
    <row r="305" customFormat="false" ht="15" hidden="false" customHeight="false" outlineLevel="0" collapsed="false">
      <c r="A305" s="26" t="s">
        <v>1285</v>
      </c>
      <c r="B305" s="27" t="s">
        <v>1286</v>
      </c>
      <c r="C305" s="27" t="s">
        <v>144</v>
      </c>
      <c r="D305" s="26" t="s">
        <v>1287</v>
      </c>
      <c r="E305" s="27" t="s">
        <v>1286</v>
      </c>
      <c r="F305" s="28" t="s">
        <v>146</v>
      </c>
      <c r="G305" s="27" t="s">
        <v>103</v>
      </c>
      <c r="H305" s="27" t="s">
        <v>57</v>
      </c>
      <c r="I305" s="27" t="s">
        <v>39</v>
      </c>
      <c r="J305" s="28" t="s">
        <v>1288</v>
      </c>
      <c r="K305" s="27" t="s">
        <v>40</v>
      </c>
      <c r="L305" s="27"/>
    </row>
    <row r="306" customFormat="false" ht="15" hidden="false" customHeight="false" outlineLevel="0" collapsed="false">
      <c r="A306" s="26" t="s">
        <v>1289</v>
      </c>
      <c r="B306" s="27" t="s">
        <v>1290</v>
      </c>
      <c r="C306" s="27" t="s">
        <v>144</v>
      </c>
      <c r="D306" s="26" t="s">
        <v>1291</v>
      </c>
      <c r="E306" s="27" t="s">
        <v>1290</v>
      </c>
      <c r="F306" s="28" t="s">
        <v>146</v>
      </c>
      <c r="G306" s="27" t="s">
        <v>103</v>
      </c>
      <c r="H306" s="27" t="s">
        <v>56</v>
      </c>
      <c r="I306" s="27" t="s">
        <v>39</v>
      </c>
      <c r="J306" s="28" t="s">
        <v>1292</v>
      </c>
      <c r="K306" s="27" t="s">
        <v>39</v>
      </c>
      <c r="L306" s="27"/>
    </row>
    <row r="307" customFormat="false" ht="15" hidden="false" customHeight="false" outlineLevel="0" collapsed="false">
      <c r="A307" s="26" t="s">
        <v>1293</v>
      </c>
      <c r="B307" s="27" t="s">
        <v>1294</v>
      </c>
      <c r="C307" s="27" t="s">
        <v>144</v>
      </c>
      <c r="D307" s="26" t="s">
        <v>1295</v>
      </c>
      <c r="E307" s="27" t="s">
        <v>1294</v>
      </c>
      <c r="F307" s="28" t="s">
        <v>146</v>
      </c>
      <c r="G307" s="27" t="s">
        <v>103</v>
      </c>
      <c r="H307" s="27" t="s">
        <v>56</v>
      </c>
      <c r="I307" s="27" t="s">
        <v>1296</v>
      </c>
      <c r="J307" s="28" t="s">
        <v>1297</v>
      </c>
      <c r="K307" s="27" t="s">
        <v>1296</v>
      </c>
      <c r="L307" s="27"/>
    </row>
    <row r="308" customFormat="false" ht="15" hidden="false" customHeight="false" outlineLevel="0" collapsed="false">
      <c r="A308" s="26" t="s">
        <v>1298</v>
      </c>
      <c r="B308" s="27" t="s">
        <v>1299</v>
      </c>
      <c r="C308" s="27" t="s">
        <v>100</v>
      </c>
      <c r="D308" s="26" t="s">
        <v>1300</v>
      </c>
      <c r="E308" s="27" t="s">
        <v>1301</v>
      </c>
      <c r="F308" s="28" t="s">
        <v>102</v>
      </c>
      <c r="G308" s="27" t="s">
        <v>103</v>
      </c>
      <c r="H308" s="27" t="s">
        <v>56</v>
      </c>
      <c r="I308" s="27" t="s">
        <v>1302</v>
      </c>
      <c r="J308" s="28" t="s">
        <v>1303</v>
      </c>
      <c r="K308" s="27" t="s">
        <v>1302</v>
      </c>
      <c r="L308" s="27"/>
    </row>
    <row r="309" customFormat="false" ht="15" hidden="false" customHeight="false" outlineLevel="0" collapsed="false">
      <c r="A309" s="26" t="s">
        <v>1304</v>
      </c>
      <c r="B309" s="27" t="s">
        <v>1305</v>
      </c>
      <c r="C309" s="27" t="s">
        <v>100</v>
      </c>
      <c r="D309" s="26" t="s">
        <v>1306</v>
      </c>
      <c r="E309" s="27" t="s">
        <v>1305</v>
      </c>
      <c r="F309" s="28" t="s">
        <v>102</v>
      </c>
      <c r="G309" s="27" t="s">
        <v>103</v>
      </c>
      <c r="H309" s="27" t="s">
        <v>57</v>
      </c>
      <c r="I309" s="27" t="s">
        <v>1307</v>
      </c>
      <c r="J309" s="28" t="s">
        <v>1308</v>
      </c>
      <c r="K309" s="27" t="s">
        <v>1309</v>
      </c>
      <c r="L309" s="27"/>
    </row>
    <row r="310" customFormat="false" ht="15" hidden="false" customHeight="false" outlineLevel="0" collapsed="false">
      <c r="A310" s="26" t="s">
        <v>1310</v>
      </c>
      <c r="B310" s="27" t="s">
        <v>1311</v>
      </c>
      <c r="C310" s="27" t="s">
        <v>100</v>
      </c>
      <c r="D310" s="26" t="s">
        <v>1312</v>
      </c>
      <c r="E310" s="27" t="s">
        <v>1313</v>
      </c>
      <c r="F310" s="28" t="s">
        <v>102</v>
      </c>
      <c r="G310" s="27" t="s">
        <v>103</v>
      </c>
      <c r="H310" s="27" t="s">
        <v>56</v>
      </c>
      <c r="I310" s="27" t="s">
        <v>47</v>
      </c>
      <c r="J310" s="28" t="s">
        <v>1314</v>
      </c>
      <c r="K310" s="27" t="s">
        <v>47</v>
      </c>
      <c r="L310" s="27"/>
    </row>
    <row r="311" customFormat="false" ht="15" hidden="false" customHeight="false" outlineLevel="0" collapsed="false">
      <c r="A311" s="26" t="s">
        <v>1315</v>
      </c>
      <c r="B311" s="27" t="s">
        <v>1316</v>
      </c>
      <c r="C311" s="27" t="s">
        <v>100</v>
      </c>
      <c r="D311" s="26" t="s">
        <v>1317</v>
      </c>
      <c r="E311" s="27" t="s">
        <v>1318</v>
      </c>
      <c r="F311" s="28" t="s">
        <v>102</v>
      </c>
      <c r="G311" s="27" t="s">
        <v>103</v>
      </c>
      <c r="H311" s="27" t="s">
        <v>56</v>
      </c>
      <c r="I311" s="27" t="s">
        <v>47</v>
      </c>
      <c r="J311" s="28" t="s">
        <v>1314</v>
      </c>
      <c r="K311" s="27" t="s">
        <v>47</v>
      </c>
      <c r="L311" s="27"/>
    </row>
    <row r="312" customFormat="false" ht="15" hidden="false" customHeight="false" outlineLevel="0" collapsed="false">
      <c r="A312" s="26" t="s">
        <v>1319</v>
      </c>
      <c r="B312" s="27" t="s">
        <v>1320</v>
      </c>
      <c r="C312" s="27" t="s">
        <v>100</v>
      </c>
      <c r="D312" s="26" t="s">
        <v>1321</v>
      </c>
      <c r="E312" s="27" t="s">
        <v>1322</v>
      </c>
      <c r="F312" s="28" t="s">
        <v>102</v>
      </c>
      <c r="G312" s="27" t="s">
        <v>103</v>
      </c>
      <c r="H312" s="27" t="s">
        <v>56</v>
      </c>
      <c r="I312" s="27" t="s">
        <v>47</v>
      </c>
      <c r="J312" s="28" t="s">
        <v>1314</v>
      </c>
      <c r="K312" s="27" t="s">
        <v>47</v>
      </c>
      <c r="L312" s="27"/>
    </row>
    <row r="313" customFormat="false" ht="15" hidden="false" customHeight="false" outlineLevel="0" collapsed="false">
      <c r="A313" s="26" t="s">
        <v>1323</v>
      </c>
      <c r="B313" s="27" t="s">
        <v>1324</v>
      </c>
      <c r="C313" s="27" t="s">
        <v>100</v>
      </c>
      <c r="D313" s="26" t="s">
        <v>127</v>
      </c>
      <c r="E313" s="27" t="s">
        <v>128</v>
      </c>
      <c r="F313" s="28" t="s">
        <v>102</v>
      </c>
      <c r="G313" s="27" t="s">
        <v>103</v>
      </c>
      <c r="H313" s="27" t="s">
        <v>57</v>
      </c>
      <c r="I313" s="27" t="s">
        <v>43</v>
      </c>
      <c r="J313" s="28" t="s">
        <v>1325</v>
      </c>
      <c r="K313" s="27" t="s">
        <v>47</v>
      </c>
      <c r="L313" s="27"/>
    </row>
    <row r="314" customFormat="false" ht="15" hidden="false" customHeight="false" outlineLevel="0" collapsed="false">
      <c r="A314" s="26" t="s">
        <v>1326</v>
      </c>
      <c r="B314" s="27" t="s">
        <v>1327</v>
      </c>
      <c r="C314" s="27" t="s">
        <v>100</v>
      </c>
      <c r="D314" s="26" t="s">
        <v>1328</v>
      </c>
      <c r="E314" s="27" t="s">
        <v>1327</v>
      </c>
      <c r="F314" s="28" t="s">
        <v>102</v>
      </c>
      <c r="G314" s="27" t="s">
        <v>103</v>
      </c>
      <c r="H314" s="27" t="s">
        <v>56</v>
      </c>
      <c r="I314" s="27" t="s">
        <v>64</v>
      </c>
      <c r="J314" s="28" t="s">
        <v>1329</v>
      </c>
      <c r="K314" s="27" t="s">
        <v>64</v>
      </c>
      <c r="L314" s="27"/>
    </row>
    <row r="315" customFormat="false" ht="15" hidden="false" customHeight="false" outlineLevel="0" collapsed="false">
      <c r="A315" s="26" t="s">
        <v>1330</v>
      </c>
      <c r="B315" s="27" t="s">
        <v>1331</v>
      </c>
      <c r="C315" s="27" t="s">
        <v>100</v>
      </c>
      <c r="D315" s="26" t="s">
        <v>1332</v>
      </c>
      <c r="E315" s="27" t="s">
        <v>1331</v>
      </c>
      <c r="F315" s="28" t="s">
        <v>102</v>
      </c>
      <c r="G315" s="27" t="s">
        <v>103</v>
      </c>
      <c r="H315" s="27" t="s">
        <v>56</v>
      </c>
      <c r="I315" s="27" t="s">
        <v>64</v>
      </c>
      <c r="J315" s="28" t="s">
        <v>1329</v>
      </c>
      <c r="K315" s="27" t="s">
        <v>64</v>
      </c>
      <c r="L315" s="27"/>
    </row>
    <row r="316" customFormat="false" ht="15" hidden="false" customHeight="false" outlineLevel="0" collapsed="false">
      <c r="A316" s="26" t="s">
        <v>1333</v>
      </c>
      <c r="B316" s="27" t="s">
        <v>1334</v>
      </c>
      <c r="C316" s="27" t="s">
        <v>144</v>
      </c>
      <c r="D316" s="26" t="s">
        <v>1335</v>
      </c>
      <c r="E316" s="27" t="s">
        <v>1334</v>
      </c>
      <c r="F316" s="28" t="s">
        <v>146</v>
      </c>
      <c r="G316" s="27" t="s">
        <v>103</v>
      </c>
      <c r="H316" s="27" t="s">
        <v>56</v>
      </c>
      <c r="I316" s="27" t="s">
        <v>64</v>
      </c>
      <c r="J316" s="28" t="s">
        <v>1329</v>
      </c>
      <c r="K316" s="27" t="s">
        <v>64</v>
      </c>
      <c r="L316" s="27"/>
    </row>
    <row r="317" customFormat="false" ht="15" hidden="false" customHeight="false" outlineLevel="0" collapsed="false">
      <c r="A317" s="26" t="s">
        <v>1336</v>
      </c>
      <c r="B317" s="27" t="s">
        <v>1337</v>
      </c>
      <c r="C317" s="27" t="s">
        <v>144</v>
      </c>
      <c r="D317" s="26" t="s">
        <v>1338</v>
      </c>
      <c r="E317" s="27" t="s">
        <v>1339</v>
      </c>
      <c r="F317" s="28" t="s">
        <v>146</v>
      </c>
      <c r="G317" s="27" t="s">
        <v>103</v>
      </c>
      <c r="H317" s="27" t="s">
        <v>57</v>
      </c>
      <c r="I317" s="27" t="s">
        <v>42</v>
      </c>
      <c r="J317" s="28" t="s">
        <v>1329</v>
      </c>
      <c r="K317" s="27" t="s">
        <v>64</v>
      </c>
      <c r="L317" s="27"/>
    </row>
    <row r="318" customFormat="false" ht="15" hidden="false" customHeight="false" outlineLevel="0" collapsed="false">
      <c r="A318" s="26" t="s">
        <v>1340</v>
      </c>
      <c r="B318" s="27" t="s">
        <v>1341</v>
      </c>
      <c r="C318" s="27" t="s">
        <v>1187</v>
      </c>
      <c r="D318" s="26" t="s">
        <v>1342</v>
      </c>
      <c r="E318" s="27" t="s">
        <v>1343</v>
      </c>
      <c r="F318" s="28" t="s">
        <v>1190</v>
      </c>
      <c r="G318" s="27" t="s">
        <v>103</v>
      </c>
      <c r="H318" s="27" t="s">
        <v>57</v>
      </c>
      <c r="I318" s="27" t="s">
        <v>1344</v>
      </c>
      <c r="J318" s="28" t="s">
        <v>1329</v>
      </c>
      <c r="K318" s="27" t="s">
        <v>64</v>
      </c>
      <c r="L318" s="27"/>
    </row>
    <row r="319" customFormat="false" ht="15" hidden="false" customHeight="false" outlineLevel="0" collapsed="false">
      <c r="A319" s="26" t="s">
        <v>1345</v>
      </c>
      <c r="B319" s="27" t="s">
        <v>1346</v>
      </c>
      <c r="C319" s="27" t="s">
        <v>100</v>
      </c>
      <c r="D319" s="26" t="s">
        <v>1347</v>
      </c>
      <c r="E319" s="27" t="s">
        <v>1346</v>
      </c>
      <c r="F319" s="28" t="s">
        <v>102</v>
      </c>
      <c r="G319" s="27" t="s">
        <v>103</v>
      </c>
      <c r="H319" s="27" t="s">
        <v>56</v>
      </c>
      <c r="I319" s="27" t="s">
        <v>64</v>
      </c>
      <c r="J319" s="28" t="s">
        <v>1329</v>
      </c>
      <c r="K319" s="27" t="s">
        <v>64</v>
      </c>
      <c r="L319" s="27"/>
    </row>
    <row r="320" customFormat="false" ht="15" hidden="false" customHeight="false" outlineLevel="0" collapsed="false">
      <c r="A320" s="26" t="s">
        <v>1348</v>
      </c>
      <c r="B320" s="27" t="s">
        <v>1349</v>
      </c>
      <c r="C320" s="27" t="s">
        <v>100</v>
      </c>
      <c r="D320" s="26" t="s">
        <v>1350</v>
      </c>
      <c r="E320" s="27" t="s">
        <v>1349</v>
      </c>
      <c r="F320" s="28" t="s">
        <v>102</v>
      </c>
      <c r="G320" s="27" t="s">
        <v>103</v>
      </c>
      <c r="H320" s="27" t="s">
        <v>56</v>
      </c>
      <c r="I320" s="27" t="s">
        <v>64</v>
      </c>
      <c r="J320" s="28" t="s">
        <v>1329</v>
      </c>
      <c r="K320" s="27" t="s">
        <v>64</v>
      </c>
      <c r="L320" s="27"/>
    </row>
    <row r="321" customFormat="false" ht="15" hidden="false" customHeight="false" outlineLevel="0" collapsed="false">
      <c r="A321" s="26" t="s">
        <v>1351</v>
      </c>
      <c r="B321" s="27" t="s">
        <v>1352</v>
      </c>
      <c r="C321" s="27" t="s">
        <v>100</v>
      </c>
      <c r="D321" s="26" t="s">
        <v>1353</v>
      </c>
      <c r="E321" s="27" t="s">
        <v>1352</v>
      </c>
      <c r="F321" s="28" t="s">
        <v>102</v>
      </c>
      <c r="G321" s="27" t="s">
        <v>103</v>
      </c>
      <c r="H321" s="27" t="s">
        <v>56</v>
      </c>
      <c r="I321" s="27" t="s">
        <v>64</v>
      </c>
      <c r="J321" s="28" t="s">
        <v>1329</v>
      </c>
      <c r="K321" s="27" t="s">
        <v>64</v>
      </c>
      <c r="L321" s="27"/>
    </row>
    <row r="322" customFormat="false" ht="15" hidden="false" customHeight="false" outlineLevel="0" collapsed="false">
      <c r="A322" s="26" t="s">
        <v>1354</v>
      </c>
      <c r="B322" s="27" t="s">
        <v>1355</v>
      </c>
      <c r="C322" s="27" t="s">
        <v>144</v>
      </c>
      <c r="D322" s="26" t="s">
        <v>1356</v>
      </c>
      <c r="E322" s="27" t="s">
        <v>1355</v>
      </c>
      <c r="F322" s="28" t="s">
        <v>146</v>
      </c>
      <c r="G322" s="27" t="s">
        <v>103</v>
      </c>
      <c r="H322" s="27" t="s">
        <v>56</v>
      </c>
      <c r="I322" s="27" t="s">
        <v>64</v>
      </c>
      <c r="J322" s="28" t="s">
        <v>1329</v>
      </c>
      <c r="K322" s="27" t="s">
        <v>64</v>
      </c>
      <c r="L322" s="27"/>
    </row>
    <row r="323" customFormat="false" ht="15" hidden="false" customHeight="false" outlineLevel="0" collapsed="false">
      <c r="A323" s="26" t="s">
        <v>1357</v>
      </c>
      <c r="B323" s="27" t="s">
        <v>1358</v>
      </c>
      <c r="C323" s="27" t="s">
        <v>100</v>
      </c>
      <c r="D323" s="26" t="s">
        <v>1359</v>
      </c>
      <c r="E323" s="27" t="s">
        <v>1358</v>
      </c>
      <c r="F323" s="28" t="s">
        <v>102</v>
      </c>
      <c r="G323" s="27" t="s">
        <v>103</v>
      </c>
      <c r="H323" s="27" t="s">
        <v>56</v>
      </c>
      <c r="I323" s="27" t="s">
        <v>64</v>
      </c>
      <c r="J323" s="28" t="s">
        <v>1329</v>
      </c>
      <c r="K323" s="27" t="s">
        <v>64</v>
      </c>
      <c r="L323" s="27"/>
    </row>
    <row r="324" customFormat="false" ht="15" hidden="false" customHeight="false" outlineLevel="0" collapsed="false">
      <c r="A324" s="26" t="s">
        <v>1360</v>
      </c>
      <c r="B324" s="27" t="s">
        <v>1361</v>
      </c>
      <c r="C324" s="27" t="s">
        <v>100</v>
      </c>
      <c r="D324" s="26" t="s">
        <v>1362</v>
      </c>
      <c r="E324" s="27" t="s">
        <v>1361</v>
      </c>
      <c r="F324" s="28" t="s">
        <v>102</v>
      </c>
      <c r="G324" s="27" t="s">
        <v>103</v>
      </c>
      <c r="H324" s="27" t="s">
        <v>56</v>
      </c>
      <c r="I324" s="27" t="s">
        <v>64</v>
      </c>
      <c r="J324" s="28" t="s">
        <v>1329</v>
      </c>
      <c r="K324" s="27" t="s">
        <v>64</v>
      </c>
      <c r="L324" s="27"/>
    </row>
    <row r="325" customFormat="false" ht="15" hidden="false" customHeight="false" outlineLevel="0" collapsed="false">
      <c r="A325" s="26" t="s">
        <v>1363</v>
      </c>
      <c r="B325" s="27" t="s">
        <v>1364</v>
      </c>
      <c r="C325" s="27" t="s">
        <v>100</v>
      </c>
      <c r="D325" s="26" t="s">
        <v>1365</v>
      </c>
      <c r="E325" s="27" t="s">
        <v>1364</v>
      </c>
      <c r="F325" s="28" t="s">
        <v>102</v>
      </c>
      <c r="G325" s="27" t="s">
        <v>103</v>
      </c>
      <c r="H325" s="27" t="s">
        <v>56</v>
      </c>
      <c r="I325" s="27" t="s">
        <v>64</v>
      </c>
      <c r="J325" s="28" t="s">
        <v>1329</v>
      </c>
      <c r="K325" s="27" t="s">
        <v>64</v>
      </c>
      <c r="L325" s="27"/>
    </row>
    <row r="326" customFormat="false" ht="15" hidden="false" customHeight="false" outlineLevel="0" collapsed="false">
      <c r="A326" s="26" t="s">
        <v>1366</v>
      </c>
      <c r="B326" s="27" t="s">
        <v>1367</v>
      </c>
      <c r="C326" s="27" t="s">
        <v>100</v>
      </c>
      <c r="D326" s="26" t="s">
        <v>1368</v>
      </c>
      <c r="E326" s="27" t="s">
        <v>1367</v>
      </c>
      <c r="F326" s="28" t="s">
        <v>102</v>
      </c>
      <c r="G326" s="27" t="s">
        <v>103</v>
      </c>
      <c r="H326" s="27" t="s">
        <v>56</v>
      </c>
      <c r="I326" s="27" t="s">
        <v>64</v>
      </c>
      <c r="J326" s="28" t="s">
        <v>1329</v>
      </c>
      <c r="K326" s="27" t="s">
        <v>64</v>
      </c>
      <c r="L326" s="27"/>
    </row>
    <row r="327" customFormat="false" ht="15" hidden="false" customHeight="false" outlineLevel="0" collapsed="false">
      <c r="A327" s="26" t="s">
        <v>1369</v>
      </c>
      <c r="B327" s="27" t="s">
        <v>1370</v>
      </c>
      <c r="C327" s="27" t="s">
        <v>100</v>
      </c>
      <c r="D327" s="26" t="s">
        <v>1371</v>
      </c>
      <c r="E327" s="27" t="s">
        <v>1370</v>
      </c>
      <c r="F327" s="28" t="s">
        <v>102</v>
      </c>
      <c r="G327" s="27" t="s">
        <v>103</v>
      </c>
      <c r="H327" s="27" t="s">
        <v>56</v>
      </c>
      <c r="I327" s="27" t="s">
        <v>64</v>
      </c>
      <c r="J327" s="28" t="s">
        <v>1329</v>
      </c>
      <c r="K327" s="27" t="s">
        <v>64</v>
      </c>
      <c r="L327" s="27"/>
    </row>
    <row r="328" customFormat="false" ht="15" hidden="false" customHeight="false" outlineLevel="0" collapsed="false">
      <c r="A328" s="26" t="s">
        <v>1372</v>
      </c>
      <c r="B328" s="27" t="s">
        <v>1373</v>
      </c>
      <c r="C328" s="27" t="s">
        <v>100</v>
      </c>
      <c r="D328" s="26" t="s">
        <v>1374</v>
      </c>
      <c r="E328" s="27" t="s">
        <v>1373</v>
      </c>
      <c r="F328" s="28" t="s">
        <v>102</v>
      </c>
      <c r="G328" s="27" t="s">
        <v>103</v>
      </c>
      <c r="H328" s="27" t="s">
        <v>56</v>
      </c>
      <c r="I328" s="27" t="s">
        <v>64</v>
      </c>
      <c r="J328" s="28" t="s">
        <v>1329</v>
      </c>
      <c r="K328" s="27" t="s">
        <v>64</v>
      </c>
      <c r="L328" s="27"/>
    </row>
    <row r="329" customFormat="false" ht="15" hidden="false" customHeight="false" outlineLevel="0" collapsed="false">
      <c r="A329" s="26" t="s">
        <v>1375</v>
      </c>
      <c r="B329" s="27" t="s">
        <v>1376</v>
      </c>
      <c r="C329" s="27" t="s">
        <v>1187</v>
      </c>
      <c r="D329" s="26" t="s">
        <v>1377</v>
      </c>
      <c r="E329" s="27" t="s">
        <v>1378</v>
      </c>
      <c r="F329" s="28" t="s">
        <v>1190</v>
      </c>
      <c r="G329" s="27" t="s">
        <v>103</v>
      </c>
      <c r="H329" s="27" t="s">
        <v>57</v>
      </c>
      <c r="I329" s="27" t="s">
        <v>42</v>
      </c>
      <c r="J329" s="28" t="s">
        <v>1329</v>
      </c>
      <c r="K329" s="27" t="s">
        <v>64</v>
      </c>
      <c r="L329" s="27"/>
    </row>
    <row r="330" customFormat="false" ht="15" hidden="false" customHeight="false" outlineLevel="0" collapsed="false">
      <c r="A330" s="26" t="s">
        <v>1379</v>
      </c>
      <c r="B330" s="27" t="s">
        <v>1380</v>
      </c>
      <c r="C330" s="27" t="s">
        <v>131</v>
      </c>
      <c r="D330" s="26" t="s">
        <v>1381</v>
      </c>
      <c r="E330" s="27" t="s">
        <v>1382</v>
      </c>
      <c r="F330" s="28" t="s">
        <v>134</v>
      </c>
      <c r="G330" s="27" t="s">
        <v>103</v>
      </c>
      <c r="H330" s="27" t="s">
        <v>57</v>
      </c>
      <c r="I330" s="27" t="s">
        <v>1067</v>
      </c>
      <c r="J330" s="28" t="s">
        <v>1329</v>
      </c>
      <c r="K330" s="27" t="s">
        <v>64</v>
      </c>
      <c r="L330" s="27"/>
    </row>
    <row r="331" customFormat="false" ht="15" hidden="false" customHeight="false" outlineLevel="0" collapsed="false">
      <c r="A331" s="26" t="s">
        <v>1383</v>
      </c>
      <c r="B331" s="27" t="s">
        <v>1384</v>
      </c>
      <c r="C331" s="27" t="s">
        <v>144</v>
      </c>
      <c r="D331" s="26" t="s">
        <v>1385</v>
      </c>
      <c r="E331" s="27" t="s">
        <v>1386</v>
      </c>
      <c r="F331" s="28" t="s">
        <v>146</v>
      </c>
      <c r="G331" s="27" t="s">
        <v>103</v>
      </c>
      <c r="H331" s="27" t="s">
        <v>57</v>
      </c>
      <c r="I331" s="27" t="s">
        <v>1067</v>
      </c>
      <c r="J331" s="28" t="s">
        <v>1329</v>
      </c>
      <c r="K331" s="27" t="s">
        <v>64</v>
      </c>
      <c r="L331" s="27"/>
    </row>
    <row r="332" customFormat="false" ht="15" hidden="false" customHeight="false" outlineLevel="0" collapsed="false">
      <c r="A332" s="26" t="s">
        <v>1387</v>
      </c>
      <c r="B332" s="27" t="s">
        <v>1388</v>
      </c>
      <c r="C332" s="27" t="s">
        <v>131</v>
      </c>
      <c r="D332" s="26" t="s">
        <v>1389</v>
      </c>
      <c r="E332" s="27" t="s">
        <v>1390</v>
      </c>
      <c r="F332" s="28" t="s">
        <v>134</v>
      </c>
      <c r="G332" s="27" t="s">
        <v>103</v>
      </c>
      <c r="H332" s="27" t="s">
        <v>57</v>
      </c>
      <c r="I332" s="27" t="s">
        <v>1067</v>
      </c>
      <c r="J332" s="28" t="s">
        <v>1329</v>
      </c>
      <c r="K332" s="27" t="s">
        <v>64</v>
      </c>
      <c r="L332" s="27"/>
    </row>
    <row r="333" customFormat="false" ht="15" hidden="false" customHeight="false" outlineLevel="0" collapsed="false">
      <c r="A333" s="26" t="s">
        <v>1391</v>
      </c>
      <c r="B333" s="27" t="s">
        <v>1392</v>
      </c>
      <c r="C333" s="27" t="s">
        <v>100</v>
      </c>
      <c r="D333" s="26" t="s">
        <v>1393</v>
      </c>
      <c r="E333" s="27" t="s">
        <v>1392</v>
      </c>
      <c r="F333" s="28" t="s">
        <v>102</v>
      </c>
      <c r="G333" s="27" t="s">
        <v>103</v>
      </c>
      <c r="H333" s="27" t="s">
        <v>56</v>
      </c>
      <c r="I333" s="27" t="s">
        <v>64</v>
      </c>
      <c r="J333" s="28" t="s">
        <v>1329</v>
      </c>
      <c r="K333" s="27" t="s">
        <v>64</v>
      </c>
      <c r="L333" s="27"/>
    </row>
    <row r="334" customFormat="false" ht="15" hidden="false" customHeight="false" outlineLevel="0" collapsed="false">
      <c r="A334" s="26" t="s">
        <v>1394</v>
      </c>
      <c r="B334" s="27" t="s">
        <v>1395</v>
      </c>
      <c r="C334" s="27" t="s">
        <v>100</v>
      </c>
      <c r="D334" s="26" t="s">
        <v>1396</v>
      </c>
      <c r="E334" s="27" t="s">
        <v>1395</v>
      </c>
      <c r="F334" s="28" t="s">
        <v>102</v>
      </c>
      <c r="G334" s="27" t="s">
        <v>103</v>
      </c>
      <c r="H334" s="27" t="s">
        <v>56</v>
      </c>
      <c r="I334" s="27" t="s">
        <v>64</v>
      </c>
      <c r="J334" s="28" t="s">
        <v>1329</v>
      </c>
      <c r="K334" s="27" t="s">
        <v>64</v>
      </c>
      <c r="L334" s="27"/>
    </row>
    <row r="335" customFormat="false" ht="15" hidden="false" customHeight="false" outlineLevel="0" collapsed="false">
      <c r="A335" s="26" t="s">
        <v>1397</v>
      </c>
      <c r="B335" s="27" t="s">
        <v>1398</v>
      </c>
      <c r="C335" s="27" t="s">
        <v>100</v>
      </c>
      <c r="D335" s="26" t="s">
        <v>1399</v>
      </c>
      <c r="E335" s="27" t="s">
        <v>1398</v>
      </c>
      <c r="F335" s="28" t="s">
        <v>102</v>
      </c>
      <c r="G335" s="27" t="s">
        <v>103</v>
      </c>
      <c r="H335" s="27" t="s">
        <v>56</v>
      </c>
      <c r="I335" s="27" t="s">
        <v>64</v>
      </c>
      <c r="J335" s="28" t="s">
        <v>1329</v>
      </c>
      <c r="K335" s="27" t="s">
        <v>64</v>
      </c>
      <c r="L335" s="27"/>
    </row>
    <row r="336" customFormat="false" ht="15" hidden="false" customHeight="false" outlineLevel="0" collapsed="false">
      <c r="A336" s="26" t="s">
        <v>1400</v>
      </c>
      <c r="B336" s="27" t="s">
        <v>1401</v>
      </c>
      <c r="C336" s="27" t="s">
        <v>100</v>
      </c>
      <c r="D336" s="26" t="s">
        <v>1402</v>
      </c>
      <c r="E336" s="27" t="s">
        <v>1401</v>
      </c>
      <c r="F336" s="28" t="s">
        <v>102</v>
      </c>
      <c r="G336" s="27" t="s">
        <v>103</v>
      </c>
      <c r="H336" s="27" t="s">
        <v>56</v>
      </c>
      <c r="I336" s="27" t="s">
        <v>64</v>
      </c>
      <c r="J336" s="28" t="s">
        <v>1329</v>
      </c>
      <c r="K336" s="27" t="s">
        <v>64</v>
      </c>
      <c r="L336" s="27"/>
    </row>
    <row r="337" customFormat="false" ht="15" hidden="false" customHeight="false" outlineLevel="0" collapsed="false">
      <c r="A337" s="26" t="s">
        <v>1403</v>
      </c>
      <c r="B337" s="27" t="s">
        <v>1404</v>
      </c>
      <c r="C337" s="27" t="s">
        <v>100</v>
      </c>
      <c r="D337" s="26" t="s">
        <v>1405</v>
      </c>
      <c r="E337" s="27" t="s">
        <v>1404</v>
      </c>
      <c r="F337" s="28" t="s">
        <v>102</v>
      </c>
      <c r="G337" s="27" t="s">
        <v>103</v>
      </c>
      <c r="H337" s="27" t="s">
        <v>56</v>
      </c>
      <c r="I337" s="27" t="s">
        <v>64</v>
      </c>
      <c r="J337" s="28" t="s">
        <v>1329</v>
      </c>
      <c r="K337" s="27" t="s">
        <v>64</v>
      </c>
      <c r="L337" s="27"/>
    </row>
    <row r="338" customFormat="false" ht="15" hidden="false" customHeight="false" outlineLevel="0" collapsed="false">
      <c r="A338" s="26" t="s">
        <v>1406</v>
      </c>
      <c r="B338" s="27" t="s">
        <v>1407</v>
      </c>
      <c r="C338" s="27" t="s">
        <v>144</v>
      </c>
      <c r="D338" s="26" t="s">
        <v>1408</v>
      </c>
      <c r="E338" s="27" t="s">
        <v>1409</v>
      </c>
      <c r="F338" s="28" t="s">
        <v>146</v>
      </c>
      <c r="G338" s="27" t="s">
        <v>103</v>
      </c>
      <c r="H338" s="27" t="s">
        <v>56</v>
      </c>
      <c r="I338" s="27" t="s">
        <v>64</v>
      </c>
      <c r="J338" s="28" t="s">
        <v>1329</v>
      </c>
      <c r="K338" s="27" t="s">
        <v>64</v>
      </c>
      <c r="L338" s="27"/>
    </row>
    <row r="339" customFormat="false" ht="15" hidden="false" customHeight="false" outlineLevel="0" collapsed="false">
      <c r="A339" s="26" t="s">
        <v>1410</v>
      </c>
      <c r="B339" s="27" t="s">
        <v>1411</v>
      </c>
      <c r="C339" s="27" t="s">
        <v>100</v>
      </c>
      <c r="D339" s="26" t="s">
        <v>1412</v>
      </c>
      <c r="E339" s="27" t="s">
        <v>1411</v>
      </c>
      <c r="F339" s="28" t="s">
        <v>102</v>
      </c>
      <c r="G339" s="27" t="s">
        <v>103</v>
      </c>
      <c r="H339" s="27" t="s">
        <v>56</v>
      </c>
      <c r="I339" s="27" t="s">
        <v>64</v>
      </c>
      <c r="J339" s="28" t="s">
        <v>1329</v>
      </c>
      <c r="K339" s="27" t="s">
        <v>64</v>
      </c>
      <c r="L339" s="27"/>
    </row>
    <row r="340" customFormat="false" ht="15" hidden="false" customHeight="false" outlineLevel="0" collapsed="false">
      <c r="A340" s="26" t="s">
        <v>1413</v>
      </c>
      <c r="B340" s="27" t="s">
        <v>1414</v>
      </c>
      <c r="C340" s="27" t="s">
        <v>100</v>
      </c>
      <c r="D340" s="26" t="s">
        <v>1415</v>
      </c>
      <c r="E340" s="27" t="s">
        <v>1416</v>
      </c>
      <c r="F340" s="28" t="s">
        <v>102</v>
      </c>
      <c r="G340" s="27" t="s">
        <v>103</v>
      </c>
      <c r="H340" s="27" t="s">
        <v>56</v>
      </c>
      <c r="I340" s="27" t="s">
        <v>64</v>
      </c>
      <c r="J340" s="28" t="s">
        <v>1329</v>
      </c>
      <c r="K340" s="27" t="s">
        <v>64</v>
      </c>
      <c r="L340" s="27"/>
    </row>
    <row r="341" customFormat="false" ht="15" hidden="false" customHeight="false" outlineLevel="0" collapsed="false">
      <c r="A341" s="26" t="s">
        <v>1417</v>
      </c>
      <c r="B341" s="27" t="s">
        <v>1418</v>
      </c>
      <c r="C341" s="27" t="s">
        <v>100</v>
      </c>
      <c r="D341" s="26" t="s">
        <v>1419</v>
      </c>
      <c r="E341" s="27" t="s">
        <v>1418</v>
      </c>
      <c r="F341" s="28" t="s">
        <v>102</v>
      </c>
      <c r="G341" s="27" t="s">
        <v>103</v>
      </c>
      <c r="H341" s="27" t="s">
        <v>56</v>
      </c>
      <c r="I341" s="27" t="s">
        <v>64</v>
      </c>
      <c r="J341" s="28" t="s">
        <v>1329</v>
      </c>
      <c r="K341" s="27" t="s">
        <v>64</v>
      </c>
      <c r="L341" s="27"/>
    </row>
    <row r="342" customFormat="false" ht="15" hidden="false" customHeight="false" outlineLevel="0" collapsed="false">
      <c r="A342" s="26" t="s">
        <v>1420</v>
      </c>
      <c r="B342" s="27" t="s">
        <v>1421</v>
      </c>
      <c r="C342" s="27" t="s">
        <v>100</v>
      </c>
      <c r="D342" s="26" t="s">
        <v>1422</v>
      </c>
      <c r="E342" s="27" t="s">
        <v>1423</v>
      </c>
      <c r="F342" s="28" t="s">
        <v>102</v>
      </c>
      <c r="G342" s="27" t="s">
        <v>103</v>
      </c>
      <c r="H342" s="27" t="s">
        <v>56</v>
      </c>
      <c r="I342" s="27" t="s">
        <v>64</v>
      </c>
      <c r="J342" s="28" t="s">
        <v>1329</v>
      </c>
      <c r="K342" s="27" t="s">
        <v>64</v>
      </c>
      <c r="L342" s="27"/>
    </row>
    <row r="343" customFormat="false" ht="15" hidden="false" customHeight="false" outlineLevel="0" collapsed="false">
      <c r="A343" s="26" t="s">
        <v>1424</v>
      </c>
      <c r="B343" s="27" t="s">
        <v>1425</v>
      </c>
      <c r="C343" s="27" t="s">
        <v>100</v>
      </c>
      <c r="D343" s="26" t="s">
        <v>1426</v>
      </c>
      <c r="E343" s="27" t="s">
        <v>1425</v>
      </c>
      <c r="F343" s="28" t="s">
        <v>102</v>
      </c>
      <c r="G343" s="27" t="s">
        <v>103</v>
      </c>
      <c r="H343" s="27" t="s">
        <v>56</v>
      </c>
      <c r="I343" s="27" t="s">
        <v>64</v>
      </c>
      <c r="J343" s="28" t="s">
        <v>1329</v>
      </c>
      <c r="K343" s="27" t="s">
        <v>64</v>
      </c>
      <c r="L343" s="27"/>
    </row>
    <row r="344" customFormat="false" ht="15" hidden="false" customHeight="false" outlineLevel="0" collapsed="false">
      <c r="A344" s="26" t="s">
        <v>1427</v>
      </c>
      <c r="B344" s="27" t="s">
        <v>1428</v>
      </c>
      <c r="C344" s="27" t="s">
        <v>100</v>
      </c>
      <c r="D344" s="26" t="s">
        <v>1429</v>
      </c>
      <c r="E344" s="27" t="s">
        <v>1428</v>
      </c>
      <c r="F344" s="28" t="s">
        <v>102</v>
      </c>
      <c r="G344" s="27" t="s">
        <v>103</v>
      </c>
      <c r="H344" s="27" t="s">
        <v>56</v>
      </c>
      <c r="I344" s="27" t="s">
        <v>64</v>
      </c>
      <c r="J344" s="28" t="s">
        <v>1329</v>
      </c>
      <c r="K344" s="27" t="s">
        <v>64</v>
      </c>
      <c r="L344" s="27"/>
    </row>
    <row r="345" customFormat="false" ht="15" hidden="false" customHeight="false" outlineLevel="0" collapsed="false">
      <c r="A345" s="26" t="s">
        <v>1430</v>
      </c>
      <c r="B345" s="27" t="s">
        <v>1431</v>
      </c>
      <c r="C345" s="27" t="s">
        <v>100</v>
      </c>
      <c r="D345" s="26" t="s">
        <v>1432</v>
      </c>
      <c r="E345" s="27" t="s">
        <v>1431</v>
      </c>
      <c r="F345" s="28" t="s">
        <v>102</v>
      </c>
      <c r="G345" s="27" t="s">
        <v>103</v>
      </c>
      <c r="H345" s="27" t="s">
        <v>56</v>
      </c>
      <c r="I345" s="27" t="s">
        <v>64</v>
      </c>
      <c r="J345" s="28" t="s">
        <v>1329</v>
      </c>
      <c r="K345" s="27" t="s">
        <v>64</v>
      </c>
      <c r="L345" s="27"/>
    </row>
    <row r="346" customFormat="false" ht="15" hidden="false" customHeight="false" outlineLevel="0" collapsed="false">
      <c r="A346" s="26" t="s">
        <v>1433</v>
      </c>
      <c r="B346" s="27" t="s">
        <v>1434</v>
      </c>
      <c r="C346" s="27" t="s">
        <v>100</v>
      </c>
      <c r="D346" s="26" t="s">
        <v>1435</v>
      </c>
      <c r="E346" s="27" t="s">
        <v>1434</v>
      </c>
      <c r="F346" s="28" t="s">
        <v>102</v>
      </c>
      <c r="G346" s="27" t="s">
        <v>103</v>
      </c>
      <c r="H346" s="27" t="s">
        <v>56</v>
      </c>
      <c r="I346" s="27" t="s">
        <v>64</v>
      </c>
      <c r="J346" s="28" t="s">
        <v>1329</v>
      </c>
      <c r="K346" s="27" t="s">
        <v>64</v>
      </c>
      <c r="L346" s="27"/>
    </row>
    <row r="347" customFormat="false" ht="15" hidden="false" customHeight="false" outlineLevel="0" collapsed="false">
      <c r="A347" s="26" t="s">
        <v>1436</v>
      </c>
      <c r="B347" s="27" t="s">
        <v>1437</v>
      </c>
      <c r="C347" s="27" t="s">
        <v>144</v>
      </c>
      <c r="D347" s="26" t="s">
        <v>1438</v>
      </c>
      <c r="E347" s="27" t="s">
        <v>1439</v>
      </c>
      <c r="F347" s="28" t="s">
        <v>146</v>
      </c>
      <c r="G347" s="27" t="s">
        <v>103</v>
      </c>
      <c r="H347" s="27" t="s">
        <v>57</v>
      </c>
      <c r="I347" s="27" t="s">
        <v>42</v>
      </c>
      <c r="J347" s="28" t="s">
        <v>1329</v>
      </c>
      <c r="K347" s="27" t="s">
        <v>64</v>
      </c>
      <c r="L347" s="27"/>
    </row>
    <row r="348" customFormat="false" ht="15" hidden="false" customHeight="false" outlineLevel="0" collapsed="false">
      <c r="A348" s="26" t="s">
        <v>1440</v>
      </c>
      <c r="B348" s="27" t="s">
        <v>1441</v>
      </c>
      <c r="C348" s="27" t="s">
        <v>144</v>
      </c>
      <c r="D348" s="26" t="s">
        <v>1442</v>
      </c>
      <c r="E348" s="27" t="s">
        <v>1441</v>
      </c>
      <c r="F348" s="28" t="s">
        <v>1158</v>
      </c>
      <c r="G348" s="27" t="s">
        <v>103</v>
      </c>
      <c r="H348" s="27" t="s">
        <v>57</v>
      </c>
      <c r="I348" s="27" t="s">
        <v>42</v>
      </c>
      <c r="J348" s="28" t="s">
        <v>1329</v>
      </c>
      <c r="K348" s="27" t="s">
        <v>64</v>
      </c>
      <c r="L348" s="27"/>
    </row>
    <row r="349" customFormat="false" ht="15" hidden="false" customHeight="false" outlineLevel="0" collapsed="false">
      <c r="A349" s="26" t="s">
        <v>1443</v>
      </c>
      <c r="B349" s="27" t="s">
        <v>1444</v>
      </c>
      <c r="C349" s="27" t="s">
        <v>100</v>
      </c>
      <c r="D349" s="26" t="s">
        <v>1445</v>
      </c>
      <c r="E349" s="27" t="s">
        <v>1444</v>
      </c>
      <c r="F349" s="28" t="s">
        <v>102</v>
      </c>
      <c r="G349" s="27" t="s">
        <v>103</v>
      </c>
      <c r="H349" s="27" t="s">
        <v>56</v>
      </c>
      <c r="I349" s="27" t="s">
        <v>64</v>
      </c>
      <c r="J349" s="28" t="s">
        <v>1329</v>
      </c>
      <c r="K349" s="27" t="s">
        <v>64</v>
      </c>
      <c r="L349" s="27"/>
    </row>
    <row r="350" customFormat="false" ht="15" hidden="false" customHeight="false" outlineLevel="0" collapsed="false">
      <c r="A350" s="26" t="s">
        <v>1446</v>
      </c>
      <c r="B350" s="27" t="s">
        <v>1447</v>
      </c>
      <c r="C350" s="27" t="s">
        <v>100</v>
      </c>
      <c r="D350" s="26" t="s">
        <v>1448</v>
      </c>
      <c r="E350" s="27" t="s">
        <v>1447</v>
      </c>
      <c r="F350" s="28" t="s">
        <v>102</v>
      </c>
      <c r="G350" s="27" t="s">
        <v>103</v>
      </c>
      <c r="H350" s="27" t="s">
        <v>56</v>
      </c>
      <c r="I350" s="27" t="s">
        <v>64</v>
      </c>
      <c r="J350" s="28" t="s">
        <v>1329</v>
      </c>
      <c r="K350" s="27" t="s">
        <v>64</v>
      </c>
      <c r="L350" s="27"/>
    </row>
    <row r="351" customFormat="false" ht="15" hidden="false" customHeight="false" outlineLevel="0" collapsed="false">
      <c r="A351" s="26" t="s">
        <v>1449</v>
      </c>
      <c r="B351" s="27" t="s">
        <v>1450</v>
      </c>
      <c r="C351" s="27" t="s">
        <v>100</v>
      </c>
      <c r="D351" s="26" t="s">
        <v>1451</v>
      </c>
      <c r="E351" s="27" t="s">
        <v>1450</v>
      </c>
      <c r="F351" s="28" t="s">
        <v>102</v>
      </c>
      <c r="G351" s="27" t="s">
        <v>103</v>
      </c>
      <c r="H351" s="27" t="s">
        <v>56</v>
      </c>
      <c r="I351" s="27" t="s">
        <v>64</v>
      </c>
      <c r="J351" s="28" t="s">
        <v>1329</v>
      </c>
      <c r="K351" s="27" t="s">
        <v>64</v>
      </c>
      <c r="L351" s="27"/>
    </row>
    <row r="352" customFormat="false" ht="15" hidden="false" customHeight="false" outlineLevel="0" collapsed="false">
      <c r="A352" s="26" t="s">
        <v>1452</v>
      </c>
      <c r="B352" s="27" t="s">
        <v>1453</v>
      </c>
      <c r="C352" s="27" t="s">
        <v>144</v>
      </c>
      <c r="D352" s="26" t="s">
        <v>1454</v>
      </c>
      <c r="E352" s="27" t="s">
        <v>1453</v>
      </c>
      <c r="F352" s="28" t="s">
        <v>146</v>
      </c>
      <c r="G352" s="27" t="s">
        <v>103</v>
      </c>
      <c r="H352" s="27" t="s">
        <v>57</v>
      </c>
      <c r="I352" s="27" t="s">
        <v>42</v>
      </c>
      <c r="J352" s="28" t="s">
        <v>1329</v>
      </c>
      <c r="K352" s="27" t="s">
        <v>64</v>
      </c>
      <c r="L352" s="27"/>
    </row>
    <row r="353" customFormat="false" ht="15" hidden="false" customHeight="false" outlineLevel="0" collapsed="false">
      <c r="A353" s="26" t="s">
        <v>1455</v>
      </c>
      <c r="B353" s="27" t="s">
        <v>1456</v>
      </c>
      <c r="C353" s="27" t="s">
        <v>144</v>
      </c>
      <c r="D353" s="26" t="s">
        <v>1457</v>
      </c>
      <c r="E353" s="27" t="s">
        <v>1456</v>
      </c>
      <c r="F353" s="28" t="s">
        <v>146</v>
      </c>
      <c r="G353" s="27" t="s">
        <v>103</v>
      </c>
      <c r="H353" s="27" t="s">
        <v>57</v>
      </c>
      <c r="I353" s="27" t="s">
        <v>42</v>
      </c>
      <c r="J353" s="28" t="s">
        <v>1329</v>
      </c>
      <c r="K353" s="27" t="s">
        <v>64</v>
      </c>
      <c r="L353" s="27"/>
    </row>
    <row r="354" customFormat="false" ht="15" hidden="false" customHeight="false" outlineLevel="0" collapsed="false">
      <c r="A354" s="26" t="s">
        <v>1458</v>
      </c>
      <c r="B354" s="27" t="s">
        <v>1459</v>
      </c>
      <c r="C354" s="27" t="s">
        <v>100</v>
      </c>
      <c r="D354" s="26" t="s">
        <v>1460</v>
      </c>
      <c r="E354" s="27" t="s">
        <v>1459</v>
      </c>
      <c r="F354" s="28" t="s">
        <v>102</v>
      </c>
      <c r="G354" s="27" t="s">
        <v>103</v>
      </c>
      <c r="H354" s="27" t="s">
        <v>56</v>
      </c>
      <c r="I354" s="27" t="s">
        <v>64</v>
      </c>
      <c r="J354" s="28" t="s">
        <v>1329</v>
      </c>
      <c r="K354" s="27" t="s">
        <v>64</v>
      </c>
      <c r="L354" s="27"/>
    </row>
    <row r="355" customFormat="false" ht="15" hidden="false" customHeight="false" outlineLevel="0" collapsed="false">
      <c r="A355" s="26" t="s">
        <v>1461</v>
      </c>
      <c r="B355" s="27" t="s">
        <v>1462</v>
      </c>
      <c r="C355" s="27" t="s">
        <v>100</v>
      </c>
      <c r="D355" s="26" t="s">
        <v>1463</v>
      </c>
      <c r="E355" s="27" t="s">
        <v>1462</v>
      </c>
      <c r="F355" s="28" t="s">
        <v>102</v>
      </c>
      <c r="G355" s="27" t="s">
        <v>103</v>
      </c>
      <c r="H355" s="27" t="s">
        <v>56</v>
      </c>
      <c r="I355" s="27" t="s">
        <v>64</v>
      </c>
      <c r="J355" s="28" t="s">
        <v>1329</v>
      </c>
      <c r="K355" s="27" t="s">
        <v>64</v>
      </c>
      <c r="L355" s="27"/>
    </row>
    <row r="356" customFormat="false" ht="15" hidden="false" customHeight="false" outlineLevel="0" collapsed="false">
      <c r="A356" s="26" t="s">
        <v>1464</v>
      </c>
      <c r="B356" s="27" t="s">
        <v>1465</v>
      </c>
      <c r="C356" s="27" t="s">
        <v>100</v>
      </c>
      <c r="D356" s="26" t="s">
        <v>1466</v>
      </c>
      <c r="E356" s="27" t="s">
        <v>1465</v>
      </c>
      <c r="F356" s="28" t="s">
        <v>102</v>
      </c>
      <c r="G356" s="27" t="s">
        <v>103</v>
      </c>
      <c r="H356" s="27" t="s">
        <v>56</v>
      </c>
      <c r="I356" s="27" t="s">
        <v>64</v>
      </c>
      <c r="J356" s="28" t="s">
        <v>1329</v>
      </c>
      <c r="K356" s="27" t="s">
        <v>64</v>
      </c>
      <c r="L356" s="27"/>
    </row>
    <row r="357" customFormat="false" ht="15" hidden="false" customHeight="false" outlineLevel="0" collapsed="false">
      <c r="A357" s="26" t="s">
        <v>1467</v>
      </c>
      <c r="B357" s="27" t="s">
        <v>1468</v>
      </c>
      <c r="C357" s="27" t="s">
        <v>100</v>
      </c>
      <c r="D357" s="26" t="s">
        <v>1469</v>
      </c>
      <c r="E357" s="27" t="s">
        <v>1468</v>
      </c>
      <c r="F357" s="28" t="s">
        <v>102</v>
      </c>
      <c r="G357" s="27" t="s">
        <v>103</v>
      </c>
      <c r="H357" s="27" t="s">
        <v>56</v>
      </c>
      <c r="I357" s="27" t="s">
        <v>64</v>
      </c>
      <c r="J357" s="28" t="s">
        <v>1329</v>
      </c>
      <c r="K357" s="27" t="s">
        <v>64</v>
      </c>
      <c r="L357" s="27"/>
    </row>
    <row r="358" customFormat="false" ht="15" hidden="false" customHeight="false" outlineLevel="0" collapsed="false">
      <c r="A358" s="26" t="s">
        <v>1470</v>
      </c>
      <c r="B358" s="27" t="s">
        <v>1471</v>
      </c>
      <c r="C358" s="27" t="s">
        <v>100</v>
      </c>
      <c r="D358" s="26" t="s">
        <v>1472</v>
      </c>
      <c r="E358" s="27" t="s">
        <v>1471</v>
      </c>
      <c r="F358" s="28" t="s">
        <v>102</v>
      </c>
      <c r="G358" s="27" t="s">
        <v>103</v>
      </c>
      <c r="H358" s="27" t="s">
        <v>56</v>
      </c>
      <c r="I358" s="27" t="s">
        <v>64</v>
      </c>
      <c r="J358" s="28" t="s">
        <v>1329</v>
      </c>
      <c r="K358" s="27" t="s">
        <v>64</v>
      </c>
      <c r="L358" s="27"/>
    </row>
    <row r="359" customFormat="false" ht="15" hidden="false" customHeight="false" outlineLevel="0" collapsed="false">
      <c r="A359" s="26" t="s">
        <v>1473</v>
      </c>
      <c r="B359" s="27" t="s">
        <v>1474</v>
      </c>
      <c r="C359" s="27" t="s">
        <v>100</v>
      </c>
      <c r="D359" s="26" t="s">
        <v>1475</v>
      </c>
      <c r="E359" s="27" t="s">
        <v>1474</v>
      </c>
      <c r="F359" s="28" t="s">
        <v>102</v>
      </c>
      <c r="G359" s="27" t="s">
        <v>103</v>
      </c>
      <c r="H359" s="27" t="s">
        <v>56</v>
      </c>
      <c r="I359" s="27" t="s">
        <v>64</v>
      </c>
      <c r="J359" s="28" t="s">
        <v>1329</v>
      </c>
      <c r="K359" s="27" t="s">
        <v>64</v>
      </c>
      <c r="L359" s="27"/>
    </row>
    <row r="360" customFormat="false" ht="15" hidden="false" customHeight="false" outlineLevel="0" collapsed="false">
      <c r="A360" s="26" t="s">
        <v>1476</v>
      </c>
      <c r="B360" s="27" t="s">
        <v>1477</v>
      </c>
      <c r="C360" s="27" t="s">
        <v>100</v>
      </c>
      <c r="D360" s="26" t="s">
        <v>1478</v>
      </c>
      <c r="E360" s="27" t="s">
        <v>1477</v>
      </c>
      <c r="F360" s="28" t="s">
        <v>102</v>
      </c>
      <c r="G360" s="27" t="s">
        <v>103</v>
      </c>
      <c r="H360" s="27" t="s">
        <v>56</v>
      </c>
      <c r="I360" s="27" t="s">
        <v>64</v>
      </c>
      <c r="J360" s="28" t="s">
        <v>1329</v>
      </c>
      <c r="K360" s="27" t="s">
        <v>64</v>
      </c>
      <c r="L360" s="27"/>
    </row>
    <row r="361" customFormat="false" ht="15" hidden="false" customHeight="false" outlineLevel="0" collapsed="false">
      <c r="A361" s="26" t="s">
        <v>1479</v>
      </c>
      <c r="B361" s="27" t="s">
        <v>1480</v>
      </c>
      <c r="C361" s="27" t="s">
        <v>144</v>
      </c>
      <c r="D361" s="26" t="s">
        <v>1481</v>
      </c>
      <c r="E361" s="27" t="s">
        <v>1482</v>
      </c>
      <c r="F361" s="28" t="s">
        <v>146</v>
      </c>
      <c r="G361" s="27" t="s">
        <v>103</v>
      </c>
      <c r="H361" s="27" t="s">
        <v>56</v>
      </c>
      <c r="I361" s="27" t="s">
        <v>43</v>
      </c>
      <c r="J361" s="28" t="s">
        <v>1483</v>
      </c>
      <c r="K361" s="27" t="s">
        <v>43</v>
      </c>
      <c r="L361" s="27"/>
    </row>
    <row r="362" customFormat="false" ht="15" hidden="false" customHeight="false" outlineLevel="0" collapsed="false">
      <c r="A362" s="26" t="s">
        <v>1484</v>
      </c>
      <c r="B362" s="27" t="s">
        <v>1485</v>
      </c>
      <c r="C362" s="27" t="s">
        <v>100</v>
      </c>
      <c r="D362" s="26" t="s">
        <v>1486</v>
      </c>
      <c r="E362" s="27" t="s">
        <v>1485</v>
      </c>
      <c r="F362" s="28" t="s">
        <v>102</v>
      </c>
      <c r="G362" s="27" t="s">
        <v>103</v>
      </c>
      <c r="H362" s="27" t="s">
        <v>57</v>
      </c>
      <c r="I362" s="27" t="s">
        <v>108</v>
      </c>
      <c r="J362" s="28" t="s">
        <v>1483</v>
      </c>
      <c r="K362" s="27" t="s">
        <v>43</v>
      </c>
      <c r="L362" s="27"/>
    </row>
    <row r="363" customFormat="false" ht="15" hidden="false" customHeight="false" outlineLevel="0" collapsed="false">
      <c r="A363" s="26" t="s">
        <v>1487</v>
      </c>
      <c r="B363" s="27" t="s">
        <v>1488</v>
      </c>
      <c r="C363" s="27" t="s">
        <v>144</v>
      </c>
      <c r="D363" s="26" t="s">
        <v>1489</v>
      </c>
      <c r="E363" s="27" t="s">
        <v>1490</v>
      </c>
      <c r="F363" s="28" t="s">
        <v>146</v>
      </c>
      <c r="G363" s="27" t="s">
        <v>103</v>
      </c>
      <c r="H363" s="27" t="s">
        <v>56</v>
      </c>
      <c r="I363" s="27" t="s">
        <v>43</v>
      </c>
      <c r="J363" s="28" t="s">
        <v>1483</v>
      </c>
      <c r="K363" s="27" t="s">
        <v>43</v>
      </c>
      <c r="L363" s="27"/>
    </row>
    <row r="364" customFormat="false" ht="15" hidden="false" customHeight="false" outlineLevel="0" collapsed="false">
      <c r="A364" s="26" t="s">
        <v>1491</v>
      </c>
      <c r="B364" s="27" t="s">
        <v>1492</v>
      </c>
      <c r="C364" s="27" t="s">
        <v>1493</v>
      </c>
      <c r="D364" s="26" t="s">
        <v>1494</v>
      </c>
      <c r="E364" s="27" t="s">
        <v>1495</v>
      </c>
      <c r="F364" s="28" t="s">
        <v>1496</v>
      </c>
      <c r="G364" s="27" t="s">
        <v>103</v>
      </c>
      <c r="H364" s="27" t="s">
        <v>56</v>
      </c>
      <c r="I364" s="27" t="s">
        <v>43</v>
      </c>
      <c r="J364" s="28" t="s">
        <v>1483</v>
      </c>
      <c r="K364" s="27" t="s">
        <v>43</v>
      </c>
      <c r="L364" s="27"/>
    </row>
    <row r="365" customFormat="false" ht="15" hidden="false" customHeight="false" outlineLevel="0" collapsed="false">
      <c r="A365" s="26" t="s">
        <v>1497</v>
      </c>
      <c r="B365" s="27" t="s">
        <v>1498</v>
      </c>
      <c r="C365" s="27" t="s">
        <v>100</v>
      </c>
      <c r="D365" s="26" t="s">
        <v>1499</v>
      </c>
      <c r="E365" s="27" t="s">
        <v>1500</v>
      </c>
      <c r="F365" s="28" t="s">
        <v>102</v>
      </c>
      <c r="G365" s="27" t="s">
        <v>103</v>
      </c>
      <c r="H365" s="27" t="s">
        <v>57</v>
      </c>
      <c r="I365" s="27" t="s">
        <v>49</v>
      </c>
      <c r="J365" s="28" t="s">
        <v>1483</v>
      </c>
      <c r="K365" s="27" t="s">
        <v>43</v>
      </c>
      <c r="L365" s="27"/>
    </row>
    <row r="366" customFormat="false" ht="15" hidden="false" customHeight="false" outlineLevel="0" collapsed="false">
      <c r="A366" s="26" t="s">
        <v>1501</v>
      </c>
      <c r="B366" s="27" t="s">
        <v>1502</v>
      </c>
      <c r="C366" s="27" t="s">
        <v>100</v>
      </c>
      <c r="D366" s="26" t="s">
        <v>1503</v>
      </c>
      <c r="E366" s="27" t="s">
        <v>1504</v>
      </c>
      <c r="F366" s="28" t="s">
        <v>102</v>
      </c>
      <c r="G366" s="27" t="s">
        <v>103</v>
      </c>
      <c r="H366" s="27" t="s">
        <v>56</v>
      </c>
      <c r="I366" s="27" t="s">
        <v>43</v>
      </c>
      <c r="J366" s="28" t="s">
        <v>1483</v>
      </c>
      <c r="K366" s="27" t="s">
        <v>43</v>
      </c>
      <c r="L366" s="27"/>
    </row>
    <row r="367" customFormat="false" ht="15" hidden="false" customHeight="false" outlineLevel="0" collapsed="false">
      <c r="A367" s="26" t="s">
        <v>1505</v>
      </c>
      <c r="B367" s="27" t="s">
        <v>1506</v>
      </c>
      <c r="C367" s="27" t="s">
        <v>131</v>
      </c>
      <c r="D367" s="26" t="s">
        <v>1507</v>
      </c>
      <c r="E367" s="27" t="s">
        <v>1506</v>
      </c>
      <c r="F367" s="28" t="s">
        <v>134</v>
      </c>
      <c r="G367" s="27" t="s">
        <v>103</v>
      </c>
      <c r="H367" s="27" t="s">
        <v>56</v>
      </c>
      <c r="I367" s="27" t="s">
        <v>43</v>
      </c>
      <c r="J367" s="28" t="s">
        <v>1483</v>
      </c>
      <c r="K367" s="27" t="s">
        <v>43</v>
      </c>
      <c r="L367" s="27"/>
    </row>
    <row r="368" customFormat="false" ht="15" hidden="false" customHeight="false" outlineLevel="0" collapsed="false">
      <c r="A368" s="26" t="s">
        <v>1508</v>
      </c>
      <c r="B368" s="27" t="s">
        <v>1509</v>
      </c>
      <c r="C368" s="27" t="s">
        <v>131</v>
      </c>
      <c r="D368" s="26" t="s">
        <v>1510</v>
      </c>
      <c r="E368" s="27" t="s">
        <v>1509</v>
      </c>
      <c r="F368" s="28" t="s">
        <v>134</v>
      </c>
      <c r="G368" s="27" t="s">
        <v>103</v>
      </c>
      <c r="H368" s="27" t="s">
        <v>56</v>
      </c>
      <c r="I368" s="27" t="s">
        <v>43</v>
      </c>
      <c r="J368" s="28" t="s">
        <v>1483</v>
      </c>
      <c r="K368" s="27" t="s">
        <v>43</v>
      </c>
      <c r="L368" s="27"/>
    </row>
    <row r="369" customFormat="false" ht="15" hidden="false" customHeight="false" outlineLevel="0" collapsed="false">
      <c r="A369" s="26" t="s">
        <v>1511</v>
      </c>
      <c r="B369" s="27" t="s">
        <v>1512</v>
      </c>
      <c r="C369" s="27" t="s">
        <v>131</v>
      </c>
      <c r="D369" s="26" t="s">
        <v>1513</v>
      </c>
      <c r="E369" s="27" t="s">
        <v>1512</v>
      </c>
      <c r="F369" s="28" t="s">
        <v>134</v>
      </c>
      <c r="G369" s="27" t="s">
        <v>103</v>
      </c>
      <c r="H369" s="27" t="s">
        <v>56</v>
      </c>
      <c r="I369" s="27" t="s">
        <v>43</v>
      </c>
      <c r="J369" s="28" t="s">
        <v>1483</v>
      </c>
      <c r="K369" s="27" t="s">
        <v>43</v>
      </c>
      <c r="L369" s="27"/>
    </row>
    <row r="370" customFormat="false" ht="15" hidden="false" customHeight="false" outlineLevel="0" collapsed="false">
      <c r="A370" s="26" t="s">
        <v>1514</v>
      </c>
      <c r="B370" s="27" t="s">
        <v>1515</v>
      </c>
      <c r="C370" s="27" t="s">
        <v>131</v>
      </c>
      <c r="D370" s="26" t="s">
        <v>1516</v>
      </c>
      <c r="E370" s="27" t="s">
        <v>1515</v>
      </c>
      <c r="F370" s="28" t="s">
        <v>134</v>
      </c>
      <c r="G370" s="27" t="s">
        <v>103</v>
      </c>
      <c r="H370" s="27" t="s">
        <v>56</v>
      </c>
      <c r="I370" s="27" t="s">
        <v>43</v>
      </c>
      <c r="J370" s="28" t="s">
        <v>1483</v>
      </c>
      <c r="K370" s="27" t="s">
        <v>43</v>
      </c>
      <c r="L370" s="27"/>
    </row>
    <row r="371" customFormat="false" ht="15" hidden="false" customHeight="false" outlineLevel="0" collapsed="false">
      <c r="A371" s="26" t="s">
        <v>1517</v>
      </c>
      <c r="B371" s="27" t="s">
        <v>1518</v>
      </c>
      <c r="C371" s="27" t="s">
        <v>144</v>
      </c>
      <c r="D371" s="26" t="s">
        <v>1519</v>
      </c>
      <c r="E371" s="27" t="s">
        <v>1520</v>
      </c>
      <c r="F371" s="28" t="s">
        <v>146</v>
      </c>
      <c r="G371" s="27" t="s">
        <v>103</v>
      </c>
      <c r="H371" s="27" t="s">
        <v>56</v>
      </c>
      <c r="I371" s="27" t="s">
        <v>43</v>
      </c>
      <c r="J371" s="28" t="s">
        <v>1483</v>
      </c>
      <c r="K371" s="27" t="s">
        <v>43</v>
      </c>
      <c r="L371" s="27"/>
    </row>
    <row r="372" customFormat="false" ht="15" hidden="false" customHeight="false" outlineLevel="0" collapsed="false">
      <c r="A372" s="26" t="s">
        <v>1521</v>
      </c>
      <c r="B372" s="27" t="s">
        <v>1522</v>
      </c>
      <c r="C372" s="27" t="s">
        <v>144</v>
      </c>
      <c r="D372" s="26" t="s">
        <v>1523</v>
      </c>
      <c r="E372" s="27" t="s">
        <v>1524</v>
      </c>
      <c r="F372" s="28" t="s">
        <v>146</v>
      </c>
      <c r="G372" s="27" t="s">
        <v>103</v>
      </c>
      <c r="H372" s="27" t="s">
        <v>56</v>
      </c>
      <c r="I372" s="27" t="s">
        <v>43</v>
      </c>
      <c r="J372" s="28" t="s">
        <v>1483</v>
      </c>
      <c r="K372" s="27" t="s">
        <v>43</v>
      </c>
      <c r="L372" s="27"/>
    </row>
    <row r="373" customFormat="false" ht="15" hidden="false" customHeight="false" outlineLevel="0" collapsed="false">
      <c r="A373" s="26" t="s">
        <v>1525</v>
      </c>
      <c r="B373" s="27" t="s">
        <v>1526</v>
      </c>
      <c r="C373" s="27" t="s">
        <v>1527</v>
      </c>
      <c r="D373" s="26" t="s">
        <v>1528</v>
      </c>
      <c r="E373" s="27" t="s">
        <v>1526</v>
      </c>
      <c r="F373" s="28" t="s">
        <v>1529</v>
      </c>
      <c r="G373" s="27" t="s">
        <v>103</v>
      </c>
      <c r="H373" s="27" t="s">
        <v>57</v>
      </c>
      <c r="I373" s="28" t="s">
        <v>50</v>
      </c>
      <c r="J373" s="28" t="s">
        <v>1483</v>
      </c>
      <c r="K373" s="27" t="s">
        <v>43</v>
      </c>
      <c r="L373" s="27"/>
    </row>
    <row r="374" customFormat="false" ht="15" hidden="false" customHeight="false" outlineLevel="0" collapsed="false">
      <c r="A374" s="26" t="s">
        <v>1530</v>
      </c>
      <c r="B374" s="27" t="s">
        <v>1531</v>
      </c>
      <c r="C374" s="27" t="s">
        <v>144</v>
      </c>
      <c r="D374" s="26" t="s">
        <v>1532</v>
      </c>
      <c r="E374" s="27" t="s">
        <v>1533</v>
      </c>
      <c r="F374" s="28" t="s">
        <v>146</v>
      </c>
      <c r="G374" s="27" t="s">
        <v>103</v>
      </c>
      <c r="H374" s="27" t="s">
        <v>56</v>
      </c>
      <c r="I374" s="27" t="s">
        <v>43</v>
      </c>
      <c r="J374" s="28" t="s">
        <v>1483</v>
      </c>
      <c r="K374" s="27" t="s">
        <v>43</v>
      </c>
      <c r="L374" s="27"/>
    </row>
    <row r="375" customFormat="false" ht="15" hidden="false" customHeight="false" outlineLevel="0" collapsed="false">
      <c r="A375" s="26" t="s">
        <v>1534</v>
      </c>
      <c r="B375" s="27" t="s">
        <v>1535</v>
      </c>
      <c r="C375" s="27" t="s">
        <v>1493</v>
      </c>
      <c r="D375" s="26" t="s">
        <v>1536</v>
      </c>
      <c r="E375" s="27" t="s">
        <v>1535</v>
      </c>
      <c r="F375" s="28" t="s">
        <v>1496</v>
      </c>
      <c r="G375" s="27" t="s">
        <v>103</v>
      </c>
      <c r="H375" s="27" t="s">
        <v>56</v>
      </c>
      <c r="I375" s="27" t="s">
        <v>43</v>
      </c>
      <c r="J375" s="28" t="s">
        <v>1483</v>
      </c>
      <c r="K375" s="27" t="s">
        <v>43</v>
      </c>
      <c r="L375" s="27"/>
    </row>
    <row r="376" customFormat="false" ht="15" hidden="false" customHeight="false" outlineLevel="0" collapsed="false">
      <c r="A376" s="26" t="s">
        <v>1537</v>
      </c>
      <c r="B376" s="27" t="s">
        <v>1538</v>
      </c>
      <c r="C376" s="27" t="s">
        <v>1493</v>
      </c>
      <c r="D376" s="26" t="s">
        <v>1539</v>
      </c>
      <c r="E376" s="27" t="s">
        <v>1538</v>
      </c>
      <c r="F376" s="28" t="s">
        <v>1496</v>
      </c>
      <c r="G376" s="27" t="s">
        <v>103</v>
      </c>
      <c r="H376" s="27" t="s">
        <v>56</v>
      </c>
      <c r="I376" s="27" t="s">
        <v>43</v>
      </c>
      <c r="J376" s="28" t="s">
        <v>1483</v>
      </c>
      <c r="K376" s="27" t="s">
        <v>43</v>
      </c>
      <c r="L376" s="27"/>
    </row>
    <row r="377" customFormat="false" ht="15" hidden="false" customHeight="false" outlineLevel="0" collapsed="false">
      <c r="A377" s="26" t="s">
        <v>1540</v>
      </c>
      <c r="B377" s="27" t="s">
        <v>1541</v>
      </c>
      <c r="C377" s="27" t="s">
        <v>131</v>
      </c>
      <c r="D377" s="26" t="s">
        <v>1542</v>
      </c>
      <c r="E377" s="27" t="s">
        <v>1541</v>
      </c>
      <c r="F377" s="28" t="s">
        <v>134</v>
      </c>
      <c r="G377" s="27" t="s">
        <v>103</v>
      </c>
      <c r="H377" s="27" t="s">
        <v>56</v>
      </c>
      <c r="I377" s="27" t="s">
        <v>43</v>
      </c>
      <c r="J377" s="28" t="s">
        <v>1483</v>
      </c>
      <c r="K377" s="27" t="s">
        <v>43</v>
      </c>
      <c r="L377" s="27"/>
    </row>
    <row r="378" customFormat="false" ht="15" hidden="false" customHeight="false" outlineLevel="0" collapsed="false">
      <c r="A378" s="26" t="s">
        <v>1543</v>
      </c>
      <c r="B378" s="27" t="s">
        <v>1544</v>
      </c>
      <c r="C378" s="27" t="s">
        <v>100</v>
      </c>
      <c r="D378" s="26" t="s">
        <v>127</v>
      </c>
      <c r="E378" s="27" t="s">
        <v>128</v>
      </c>
      <c r="F378" s="28" t="s">
        <v>102</v>
      </c>
      <c r="G378" s="27" t="s">
        <v>103</v>
      </c>
      <c r="H378" s="27" t="s">
        <v>56</v>
      </c>
      <c r="I378" s="27" t="s">
        <v>43</v>
      </c>
      <c r="J378" s="28" t="s">
        <v>1483</v>
      </c>
      <c r="K378" s="27" t="s">
        <v>43</v>
      </c>
      <c r="L378" s="27"/>
    </row>
    <row r="379" customFormat="false" ht="15" hidden="false" customHeight="false" outlineLevel="0" collapsed="false">
      <c r="A379" s="26" t="s">
        <v>1545</v>
      </c>
      <c r="B379" s="27" t="s">
        <v>1546</v>
      </c>
      <c r="C379" s="27" t="s">
        <v>1493</v>
      </c>
      <c r="D379" s="26" t="s">
        <v>1547</v>
      </c>
      <c r="E379" s="27" t="s">
        <v>1546</v>
      </c>
      <c r="F379" s="28" t="s">
        <v>1496</v>
      </c>
      <c r="G379" s="27" t="s">
        <v>103</v>
      </c>
      <c r="H379" s="27" t="s">
        <v>56</v>
      </c>
      <c r="I379" s="27" t="s">
        <v>43</v>
      </c>
      <c r="J379" s="28" t="s">
        <v>1483</v>
      </c>
      <c r="K379" s="27" t="s">
        <v>43</v>
      </c>
      <c r="L379" s="27"/>
    </row>
    <row r="380" customFormat="false" ht="15" hidden="false" customHeight="false" outlineLevel="0" collapsed="false">
      <c r="A380" s="26" t="s">
        <v>1548</v>
      </c>
      <c r="B380" s="27" t="s">
        <v>1549</v>
      </c>
      <c r="C380" s="27" t="s">
        <v>1493</v>
      </c>
      <c r="D380" s="26" t="s">
        <v>1550</v>
      </c>
      <c r="E380" s="27" t="s">
        <v>1549</v>
      </c>
      <c r="F380" s="28" t="s">
        <v>1496</v>
      </c>
      <c r="G380" s="27" t="s">
        <v>103</v>
      </c>
      <c r="H380" s="27" t="s">
        <v>56</v>
      </c>
      <c r="I380" s="27" t="s">
        <v>43</v>
      </c>
      <c r="J380" s="28" t="s">
        <v>1483</v>
      </c>
      <c r="K380" s="27" t="s">
        <v>43</v>
      </c>
      <c r="L380" s="27"/>
    </row>
    <row r="381" customFormat="false" ht="15" hidden="false" customHeight="false" outlineLevel="0" collapsed="false">
      <c r="A381" s="26" t="s">
        <v>1551</v>
      </c>
      <c r="B381" s="27" t="s">
        <v>1552</v>
      </c>
      <c r="C381" s="27" t="s">
        <v>1493</v>
      </c>
      <c r="D381" s="26" t="s">
        <v>1553</v>
      </c>
      <c r="E381" s="27" t="s">
        <v>1554</v>
      </c>
      <c r="F381" s="28" t="s">
        <v>1496</v>
      </c>
      <c r="G381" s="27" t="s">
        <v>103</v>
      </c>
      <c r="H381" s="27" t="s">
        <v>56</v>
      </c>
      <c r="I381" s="27" t="s">
        <v>43</v>
      </c>
      <c r="J381" s="28" t="s">
        <v>1483</v>
      </c>
      <c r="K381" s="27" t="s">
        <v>43</v>
      </c>
      <c r="L381" s="27"/>
    </row>
    <row r="382" customFormat="false" ht="15" hidden="false" customHeight="false" outlineLevel="0" collapsed="false">
      <c r="A382" s="26" t="s">
        <v>1555</v>
      </c>
      <c r="B382" s="27" t="s">
        <v>1556</v>
      </c>
      <c r="C382" s="27" t="s">
        <v>1493</v>
      </c>
      <c r="D382" s="26" t="s">
        <v>1557</v>
      </c>
      <c r="E382" s="27" t="s">
        <v>1556</v>
      </c>
      <c r="F382" s="28" t="s">
        <v>1496</v>
      </c>
      <c r="G382" s="27" t="s">
        <v>103</v>
      </c>
      <c r="H382" s="27" t="s">
        <v>56</v>
      </c>
      <c r="I382" s="27" t="s">
        <v>43</v>
      </c>
      <c r="J382" s="28" t="s">
        <v>1483</v>
      </c>
      <c r="K382" s="27" t="s">
        <v>43</v>
      </c>
      <c r="L382" s="27"/>
    </row>
    <row r="383" customFormat="false" ht="15" hidden="false" customHeight="false" outlineLevel="0" collapsed="false">
      <c r="A383" s="26" t="s">
        <v>1558</v>
      </c>
      <c r="B383" s="27" t="s">
        <v>1559</v>
      </c>
      <c r="C383" s="27" t="s">
        <v>131</v>
      </c>
      <c r="D383" s="26" t="s">
        <v>1560</v>
      </c>
      <c r="E383" s="27" t="s">
        <v>1561</v>
      </c>
      <c r="F383" s="28" t="s">
        <v>134</v>
      </c>
      <c r="G383" s="27" t="s">
        <v>103</v>
      </c>
      <c r="H383" s="27" t="s">
        <v>56</v>
      </c>
      <c r="I383" s="27" t="s">
        <v>43</v>
      </c>
      <c r="J383" s="28" t="s">
        <v>1483</v>
      </c>
      <c r="K383" s="27" t="s">
        <v>43</v>
      </c>
      <c r="L383" s="27"/>
    </row>
    <row r="384" customFormat="false" ht="15" hidden="false" customHeight="false" outlineLevel="0" collapsed="false">
      <c r="A384" s="26" t="s">
        <v>1562</v>
      </c>
      <c r="B384" s="27" t="s">
        <v>1563</v>
      </c>
      <c r="C384" s="27" t="s">
        <v>144</v>
      </c>
      <c r="D384" s="26" t="s">
        <v>1564</v>
      </c>
      <c r="E384" s="27" t="s">
        <v>1565</v>
      </c>
      <c r="F384" s="28" t="s">
        <v>146</v>
      </c>
      <c r="G384" s="27" t="s">
        <v>103</v>
      </c>
      <c r="H384" s="27" t="s">
        <v>56</v>
      </c>
      <c r="I384" s="27" t="s">
        <v>43</v>
      </c>
      <c r="J384" s="28" t="s">
        <v>1483</v>
      </c>
      <c r="K384" s="27" t="s">
        <v>43</v>
      </c>
      <c r="L384" s="27"/>
    </row>
    <row r="385" customFormat="false" ht="15" hidden="false" customHeight="false" outlineLevel="0" collapsed="false">
      <c r="A385" s="26" t="s">
        <v>1566</v>
      </c>
      <c r="B385" s="27" t="s">
        <v>1567</v>
      </c>
      <c r="C385" s="27" t="s">
        <v>131</v>
      </c>
      <c r="D385" s="26" t="s">
        <v>1568</v>
      </c>
      <c r="E385" s="27" t="s">
        <v>1569</v>
      </c>
      <c r="F385" s="28" t="s">
        <v>134</v>
      </c>
      <c r="G385" s="27" t="s">
        <v>103</v>
      </c>
      <c r="H385" s="27" t="s">
        <v>56</v>
      </c>
      <c r="I385" s="27" t="s">
        <v>43</v>
      </c>
      <c r="J385" s="28" t="s">
        <v>1483</v>
      </c>
      <c r="K385" s="27" t="s">
        <v>43</v>
      </c>
      <c r="L385" s="27"/>
    </row>
    <row r="386" customFormat="false" ht="15" hidden="false" customHeight="false" outlineLevel="0" collapsed="false">
      <c r="A386" s="26" t="s">
        <v>1570</v>
      </c>
      <c r="B386" s="27" t="s">
        <v>1571</v>
      </c>
      <c r="C386" s="27" t="s">
        <v>131</v>
      </c>
      <c r="D386" s="26" t="s">
        <v>1572</v>
      </c>
      <c r="E386" s="27" t="s">
        <v>1573</v>
      </c>
      <c r="F386" s="28" t="s">
        <v>134</v>
      </c>
      <c r="G386" s="27" t="s">
        <v>103</v>
      </c>
      <c r="H386" s="27" t="s">
        <v>56</v>
      </c>
      <c r="I386" s="27" t="s">
        <v>43</v>
      </c>
      <c r="J386" s="28" t="s">
        <v>1483</v>
      </c>
      <c r="K386" s="27" t="s">
        <v>43</v>
      </c>
      <c r="L386" s="27"/>
    </row>
    <row r="387" customFormat="false" ht="15" hidden="false" customHeight="false" outlineLevel="0" collapsed="false">
      <c r="A387" s="26" t="s">
        <v>1574</v>
      </c>
      <c r="B387" s="27" t="s">
        <v>1575</v>
      </c>
      <c r="C387" s="27" t="s">
        <v>144</v>
      </c>
      <c r="D387" s="26" t="s">
        <v>1576</v>
      </c>
      <c r="E387" s="27" t="s">
        <v>1577</v>
      </c>
      <c r="F387" s="28" t="s">
        <v>146</v>
      </c>
      <c r="G387" s="27" t="s">
        <v>103</v>
      </c>
      <c r="H387" s="27" t="s">
        <v>57</v>
      </c>
      <c r="I387" s="27" t="s">
        <v>1578</v>
      </c>
      <c r="J387" s="28" t="s">
        <v>1579</v>
      </c>
      <c r="K387" s="27" t="s">
        <v>42</v>
      </c>
      <c r="L387" s="27"/>
    </row>
    <row r="388" customFormat="false" ht="15" hidden="false" customHeight="false" outlineLevel="0" collapsed="false">
      <c r="A388" s="26" t="s">
        <v>1580</v>
      </c>
      <c r="B388" s="27" t="s">
        <v>1581</v>
      </c>
      <c r="C388" s="27" t="s">
        <v>1187</v>
      </c>
      <c r="D388" s="26" t="s">
        <v>1582</v>
      </c>
      <c r="E388" s="27" t="s">
        <v>1583</v>
      </c>
      <c r="F388" s="28" t="s">
        <v>1190</v>
      </c>
      <c r="G388" s="27" t="s">
        <v>103</v>
      </c>
      <c r="H388" s="27" t="s">
        <v>57</v>
      </c>
      <c r="I388" s="27" t="s">
        <v>1578</v>
      </c>
      <c r="J388" s="28" t="s">
        <v>1579</v>
      </c>
      <c r="K388" s="27" t="s">
        <v>42</v>
      </c>
      <c r="L388" s="27"/>
    </row>
    <row r="389" customFormat="false" ht="15" hidden="false" customHeight="false" outlineLevel="0" collapsed="false">
      <c r="A389" s="26" t="s">
        <v>1584</v>
      </c>
      <c r="B389" s="27" t="s">
        <v>1585</v>
      </c>
      <c r="C389" s="27" t="s">
        <v>144</v>
      </c>
      <c r="D389" s="26" t="s">
        <v>1586</v>
      </c>
      <c r="E389" s="27" t="s">
        <v>1585</v>
      </c>
      <c r="F389" s="28" t="s">
        <v>146</v>
      </c>
      <c r="G389" s="27" t="s">
        <v>103</v>
      </c>
      <c r="H389" s="27" t="s">
        <v>56</v>
      </c>
      <c r="I389" s="27" t="s">
        <v>42</v>
      </c>
      <c r="J389" s="28" t="s">
        <v>1579</v>
      </c>
      <c r="K389" s="27" t="s">
        <v>42</v>
      </c>
      <c r="L389" s="27"/>
    </row>
    <row r="390" customFormat="false" ht="15" hidden="false" customHeight="false" outlineLevel="0" collapsed="false">
      <c r="A390" s="26" t="s">
        <v>1587</v>
      </c>
      <c r="B390" s="27" t="s">
        <v>1588</v>
      </c>
      <c r="C390" s="27" t="s">
        <v>144</v>
      </c>
      <c r="D390" s="26" t="s">
        <v>1589</v>
      </c>
      <c r="E390" s="27" t="s">
        <v>1588</v>
      </c>
      <c r="F390" s="28" t="s">
        <v>146</v>
      </c>
      <c r="G390" s="27" t="s">
        <v>103</v>
      </c>
      <c r="H390" s="27" t="s">
        <v>56</v>
      </c>
      <c r="I390" s="27" t="s">
        <v>42</v>
      </c>
      <c r="J390" s="28" t="s">
        <v>1579</v>
      </c>
      <c r="K390" s="27" t="s">
        <v>42</v>
      </c>
      <c r="L390" s="27"/>
    </row>
    <row r="391" customFormat="false" ht="15" hidden="false" customHeight="false" outlineLevel="0" collapsed="false">
      <c r="A391" s="26" t="s">
        <v>1590</v>
      </c>
      <c r="B391" s="27" t="s">
        <v>1591</v>
      </c>
      <c r="C391" s="27" t="s">
        <v>1187</v>
      </c>
      <c r="D391" s="26" t="s">
        <v>1592</v>
      </c>
      <c r="E391" s="27" t="s">
        <v>1591</v>
      </c>
      <c r="F391" s="28" t="s">
        <v>1190</v>
      </c>
      <c r="G391" s="27" t="s">
        <v>103</v>
      </c>
      <c r="H391" s="27" t="s">
        <v>56</v>
      </c>
      <c r="I391" s="27" t="s">
        <v>42</v>
      </c>
      <c r="J391" s="28" t="s">
        <v>1579</v>
      </c>
      <c r="K391" s="27" t="s">
        <v>42</v>
      </c>
      <c r="L391" s="27"/>
    </row>
    <row r="392" customFormat="false" ht="15" hidden="false" customHeight="false" outlineLevel="0" collapsed="false">
      <c r="A392" s="26" t="s">
        <v>1593</v>
      </c>
      <c r="B392" s="27" t="s">
        <v>1594</v>
      </c>
      <c r="C392" s="27" t="s">
        <v>144</v>
      </c>
      <c r="D392" s="26" t="s">
        <v>1595</v>
      </c>
      <c r="E392" s="27" t="s">
        <v>1594</v>
      </c>
      <c r="F392" s="28" t="s">
        <v>146</v>
      </c>
      <c r="G392" s="27" t="s">
        <v>103</v>
      </c>
      <c r="H392" s="27" t="s">
        <v>56</v>
      </c>
      <c r="I392" s="27" t="s">
        <v>42</v>
      </c>
      <c r="J392" s="28" t="s">
        <v>1579</v>
      </c>
      <c r="K392" s="27" t="s">
        <v>42</v>
      </c>
      <c r="L392" s="27"/>
    </row>
    <row r="393" customFormat="false" ht="15" hidden="false" customHeight="false" outlineLevel="0" collapsed="false">
      <c r="A393" s="26" t="s">
        <v>1596</v>
      </c>
      <c r="B393" s="27" t="s">
        <v>1597</v>
      </c>
      <c r="C393" s="27" t="s">
        <v>1187</v>
      </c>
      <c r="D393" s="26" t="s">
        <v>1598</v>
      </c>
      <c r="E393" s="27" t="s">
        <v>1599</v>
      </c>
      <c r="F393" s="28" t="s">
        <v>1190</v>
      </c>
      <c r="G393" s="27" t="s">
        <v>103</v>
      </c>
      <c r="H393" s="27" t="s">
        <v>57</v>
      </c>
      <c r="I393" s="28" t="s">
        <v>50</v>
      </c>
      <c r="J393" s="28" t="s">
        <v>1579</v>
      </c>
      <c r="K393" s="27" t="s">
        <v>42</v>
      </c>
      <c r="L393" s="27"/>
    </row>
    <row r="394" customFormat="false" ht="15" hidden="false" customHeight="false" outlineLevel="0" collapsed="false">
      <c r="A394" s="26" t="s">
        <v>1600</v>
      </c>
      <c r="B394" s="27" t="s">
        <v>1601</v>
      </c>
      <c r="C394" s="27" t="s">
        <v>144</v>
      </c>
      <c r="D394" s="26" t="s">
        <v>1602</v>
      </c>
      <c r="E394" s="27" t="s">
        <v>1601</v>
      </c>
      <c r="F394" s="28" t="s">
        <v>146</v>
      </c>
      <c r="G394" s="27" t="s">
        <v>103</v>
      </c>
      <c r="H394" s="27" t="s">
        <v>56</v>
      </c>
      <c r="I394" s="27" t="s">
        <v>42</v>
      </c>
      <c r="J394" s="28" t="s">
        <v>1579</v>
      </c>
      <c r="K394" s="27" t="s">
        <v>42</v>
      </c>
      <c r="L394" s="27"/>
    </row>
    <row r="395" customFormat="false" ht="15" hidden="false" customHeight="false" outlineLevel="0" collapsed="false">
      <c r="A395" s="26" t="s">
        <v>1603</v>
      </c>
      <c r="B395" s="27" t="s">
        <v>1604</v>
      </c>
      <c r="C395" s="27" t="s">
        <v>144</v>
      </c>
      <c r="D395" s="26" t="s">
        <v>1605</v>
      </c>
      <c r="E395" s="27" t="s">
        <v>1606</v>
      </c>
      <c r="F395" s="28" t="s">
        <v>146</v>
      </c>
      <c r="G395" s="27" t="s">
        <v>103</v>
      </c>
      <c r="H395" s="27" t="s">
        <v>57</v>
      </c>
      <c r="I395" s="27" t="s">
        <v>1344</v>
      </c>
      <c r="J395" s="28" t="s">
        <v>1579</v>
      </c>
      <c r="K395" s="27" t="s">
        <v>42</v>
      </c>
      <c r="L395" s="27"/>
    </row>
    <row r="396" customFormat="false" ht="15" hidden="false" customHeight="false" outlineLevel="0" collapsed="false">
      <c r="A396" s="26" t="s">
        <v>1607</v>
      </c>
      <c r="B396" s="27" t="s">
        <v>1608</v>
      </c>
      <c r="C396" s="27" t="s">
        <v>144</v>
      </c>
      <c r="D396" s="26" t="s">
        <v>1609</v>
      </c>
      <c r="E396" s="27" t="s">
        <v>1608</v>
      </c>
      <c r="F396" s="28" t="s">
        <v>146</v>
      </c>
      <c r="G396" s="27" t="s">
        <v>103</v>
      </c>
      <c r="H396" s="27" t="s">
        <v>56</v>
      </c>
      <c r="I396" s="27" t="s">
        <v>42</v>
      </c>
      <c r="J396" s="28" t="s">
        <v>1579</v>
      </c>
      <c r="K396" s="27" t="s">
        <v>42</v>
      </c>
      <c r="L396" s="27"/>
    </row>
    <row r="397" customFormat="false" ht="15" hidden="false" customHeight="false" outlineLevel="0" collapsed="false">
      <c r="A397" s="26" t="s">
        <v>1610</v>
      </c>
      <c r="B397" s="27" t="s">
        <v>1611</v>
      </c>
      <c r="C397" s="27" t="s">
        <v>1612</v>
      </c>
      <c r="D397" s="26" t="s">
        <v>1613</v>
      </c>
      <c r="E397" s="27" t="s">
        <v>1611</v>
      </c>
      <c r="F397" s="28" t="s">
        <v>1614</v>
      </c>
      <c r="G397" s="27" t="s">
        <v>103</v>
      </c>
      <c r="H397" s="27" t="s">
        <v>56</v>
      </c>
      <c r="I397" s="27" t="s">
        <v>42</v>
      </c>
      <c r="J397" s="28" t="s">
        <v>1579</v>
      </c>
      <c r="K397" s="27" t="s">
        <v>42</v>
      </c>
      <c r="L397" s="27"/>
    </row>
    <row r="398" customFormat="false" ht="15" hidden="false" customHeight="false" outlineLevel="0" collapsed="false">
      <c r="A398" s="26" t="s">
        <v>1615</v>
      </c>
      <c r="B398" s="27" t="s">
        <v>1616</v>
      </c>
      <c r="C398" s="27" t="s">
        <v>144</v>
      </c>
      <c r="D398" s="26" t="s">
        <v>1617</v>
      </c>
      <c r="E398" s="27" t="s">
        <v>1616</v>
      </c>
      <c r="F398" s="28" t="s">
        <v>146</v>
      </c>
      <c r="G398" s="27" t="s">
        <v>103</v>
      </c>
      <c r="H398" s="27" t="s">
        <v>56</v>
      </c>
      <c r="I398" s="27" t="s">
        <v>42</v>
      </c>
      <c r="J398" s="28" t="s">
        <v>1579</v>
      </c>
      <c r="K398" s="27" t="s">
        <v>42</v>
      </c>
      <c r="L398" s="27"/>
    </row>
    <row r="399" customFormat="false" ht="15" hidden="false" customHeight="false" outlineLevel="0" collapsed="false">
      <c r="A399" s="26" t="s">
        <v>1618</v>
      </c>
      <c r="B399" s="27" t="s">
        <v>1619</v>
      </c>
      <c r="C399" s="27" t="s">
        <v>1527</v>
      </c>
      <c r="D399" s="26" t="s">
        <v>1620</v>
      </c>
      <c r="E399" s="27" t="s">
        <v>1619</v>
      </c>
      <c r="F399" s="28" t="s">
        <v>1529</v>
      </c>
      <c r="G399" s="27" t="s">
        <v>103</v>
      </c>
      <c r="H399" s="27" t="s">
        <v>56</v>
      </c>
      <c r="I399" s="27" t="s">
        <v>42</v>
      </c>
      <c r="J399" s="28" t="s">
        <v>1579</v>
      </c>
      <c r="K399" s="27" t="s">
        <v>42</v>
      </c>
      <c r="L399" s="27"/>
    </row>
    <row r="400" customFormat="false" ht="15" hidden="false" customHeight="false" outlineLevel="0" collapsed="false">
      <c r="A400" s="26" t="s">
        <v>1621</v>
      </c>
      <c r="B400" s="27" t="s">
        <v>1622</v>
      </c>
      <c r="C400" s="27" t="s">
        <v>1527</v>
      </c>
      <c r="D400" s="26" t="s">
        <v>1623</v>
      </c>
      <c r="E400" s="27" t="s">
        <v>1624</v>
      </c>
      <c r="F400" s="28" t="s">
        <v>1529</v>
      </c>
      <c r="G400" s="27" t="s">
        <v>103</v>
      </c>
      <c r="H400" s="27" t="s">
        <v>56</v>
      </c>
      <c r="I400" s="27" t="s">
        <v>42</v>
      </c>
      <c r="J400" s="28" t="s">
        <v>1579</v>
      </c>
      <c r="K400" s="27" t="s">
        <v>42</v>
      </c>
      <c r="L400" s="27"/>
    </row>
    <row r="401" customFormat="false" ht="15" hidden="false" customHeight="false" outlineLevel="0" collapsed="false">
      <c r="A401" s="26" t="s">
        <v>1625</v>
      </c>
      <c r="B401" s="27" t="s">
        <v>1626</v>
      </c>
      <c r="C401" s="27" t="s">
        <v>1527</v>
      </c>
      <c r="D401" s="26" t="s">
        <v>1627</v>
      </c>
      <c r="E401" s="27" t="s">
        <v>1628</v>
      </c>
      <c r="F401" s="28" t="s">
        <v>1529</v>
      </c>
      <c r="G401" s="27" t="s">
        <v>103</v>
      </c>
      <c r="H401" s="27" t="s">
        <v>56</v>
      </c>
      <c r="I401" s="27" t="s">
        <v>42</v>
      </c>
      <c r="J401" s="28" t="s">
        <v>1579</v>
      </c>
      <c r="K401" s="27" t="s">
        <v>42</v>
      </c>
      <c r="L401" s="27"/>
    </row>
    <row r="402" customFormat="false" ht="15" hidden="false" customHeight="false" outlineLevel="0" collapsed="false">
      <c r="A402" s="26" t="s">
        <v>1629</v>
      </c>
      <c r="B402" s="27" t="s">
        <v>1630</v>
      </c>
      <c r="C402" s="27" t="s">
        <v>1087</v>
      </c>
      <c r="D402" s="26" t="s">
        <v>1631</v>
      </c>
      <c r="E402" s="27" t="s">
        <v>1630</v>
      </c>
      <c r="F402" s="28" t="s">
        <v>1090</v>
      </c>
      <c r="G402" s="27" t="s">
        <v>103</v>
      </c>
      <c r="H402" s="27" t="s">
        <v>56</v>
      </c>
      <c r="I402" s="27" t="s">
        <v>42</v>
      </c>
      <c r="J402" s="28" t="s">
        <v>1579</v>
      </c>
      <c r="K402" s="27" t="s">
        <v>42</v>
      </c>
      <c r="L402" s="27"/>
    </row>
    <row r="403" customFormat="false" ht="15" hidden="false" customHeight="false" outlineLevel="0" collapsed="false">
      <c r="A403" s="26" t="s">
        <v>1632</v>
      </c>
      <c r="B403" s="27" t="s">
        <v>1633</v>
      </c>
      <c r="C403" s="27" t="s">
        <v>380</v>
      </c>
      <c r="D403" s="26" t="s">
        <v>1634</v>
      </c>
      <c r="E403" s="27" t="s">
        <v>1635</v>
      </c>
      <c r="F403" s="28" t="s">
        <v>383</v>
      </c>
      <c r="G403" s="27" t="s">
        <v>103</v>
      </c>
      <c r="H403" s="27" t="s">
        <v>56</v>
      </c>
      <c r="I403" s="27" t="s">
        <v>42</v>
      </c>
      <c r="J403" s="28" t="s">
        <v>1579</v>
      </c>
      <c r="K403" s="27" t="s">
        <v>42</v>
      </c>
      <c r="L403" s="27"/>
    </row>
    <row r="404" customFormat="false" ht="15" hidden="false" customHeight="false" outlineLevel="0" collapsed="false">
      <c r="A404" s="26" t="s">
        <v>1636</v>
      </c>
      <c r="B404" s="27" t="s">
        <v>1637</v>
      </c>
      <c r="C404" s="27" t="s">
        <v>144</v>
      </c>
      <c r="D404" s="26" t="s">
        <v>1638</v>
      </c>
      <c r="E404" s="27" t="s">
        <v>1639</v>
      </c>
      <c r="F404" s="28" t="s">
        <v>146</v>
      </c>
      <c r="G404" s="27" t="s">
        <v>103</v>
      </c>
      <c r="H404" s="27" t="s">
        <v>56</v>
      </c>
      <c r="I404" s="27" t="s">
        <v>42</v>
      </c>
      <c r="J404" s="28" t="s">
        <v>1579</v>
      </c>
      <c r="K404" s="27" t="s">
        <v>42</v>
      </c>
      <c r="L404" s="27"/>
    </row>
    <row r="405" customFormat="false" ht="15" hidden="false" customHeight="false" outlineLevel="0" collapsed="false">
      <c r="A405" s="26" t="s">
        <v>1640</v>
      </c>
      <c r="B405" s="27" t="s">
        <v>1641</v>
      </c>
      <c r="C405" s="27" t="s">
        <v>144</v>
      </c>
      <c r="D405" s="26" t="s">
        <v>1642</v>
      </c>
      <c r="E405" s="27" t="s">
        <v>1643</v>
      </c>
      <c r="F405" s="28" t="s">
        <v>146</v>
      </c>
      <c r="G405" s="27" t="s">
        <v>103</v>
      </c>
      <c r="H405" s="27" t="s">
        <v>56</v>
      </c>
      <c r="I405" s="27" t="s">
        <v>42</v>
      </c>
      <c r="J405" s="28" t="s">
        <v>1579</v>
      </c>
      <c r="K405" s="27" t="s">
        <v>42</v>
      </c>
      <c r="L405" s="27"/>
    </row>
    <row r="406" customFormat="false" ht="15" hidden="false" customHeight="false" outlineLevel="0" collapsed="false">
      <c r="A406" s="26" t="s">
        <v>1644</v>
      </c>
      <c r="B406" s="27" t="s">
        <v>1645</v>
      </c>
      <c r="C406" s="27" t="s">
        <v>144</v>
      </c>
      <c r="D406" s="26" t="s">
        <v>1646</v>
      </c>
      <c r="E406" s="27" t="s">
        <v>1647</v>
      </c>
      <c r="F406" s="28" t="s">
        <v>146</v>
      </c>
      <c r="G406" s="27" t="s">
        <v>103</v>
      </c>
      <c r="H406" s="27" t="s">
        <v>56</v>
      </c>
      <c r="I406" s="27" t="s">
        <v>42</v>
      </c>
      <c r="J406" s="28" t="s">
        <v>1579</v>
      </c>
      <c r="K406" s="27" t="s">
        <v>42</v>
      </c>
      <c r="L406" s="27"/>
    </row>
    <row r="407" customFormat="false" ht="15" hidden="false" customHeight="false" outlineLevel="0" collapsed="false">
      <c r="A407" s="26" t="s">
        <v>1648</v>
      </c>
      <c r="B407" s="27" t="s">
        <v>1649</v>
      </c>
      <c r="C407" s="27" t="s">
        <v>144</v>
      </c>
      <c r="D407" s="26" t="s">
        <v>1650</v>
      </c>
      <c r="E407" s="27" t="s">
        <v>1651</v>
      </c>
      <c r="F407" s="28" t="s">
        <v>146</v>
      </c>
      <c r="G407" s="27" t="s">
        <v>103</v>
      </c>
      <c r="H407" s="27" t="s">
        <v>56</v>
      </c>
      <c r="I407" s="27" t="s">
        <v>42</v>
      </c>
      <c r="J407" s="28" t="s">
        <v>1579</v>
      </c>
      <c r="K407" s="27" t="s">
        <v>42</v>
      </c>
      <c r="L407" s="27"/>
    </row>
    <row r="408" customFormat="false" ht="15" hidden="false" customHeight="false" outlineLevel="0" collapsed="false">
      <c r="A408" s="26" t="s">
        <v>1652</v>
      </c>
      <c r="B408" s="27" t="s">
        <v>1653</v>
      </c>
      <c r="C408" s="27" t="s">
        <v>100</v>
      </c>
      <c r="D408" s="26" t="s">
        <v>1654</v>
      </c>
      <c r="E408" s="27" t="s">
        <v>1655</v>
      </c>
      <c r="F408" s="28" t="s">
        <v>102</v>
      </c>
      <c r="G408" s="27" t="s">
        <v>103</v>
      </c>
      <c r="H408" s="27" t="s">
        <v>57</v>
      </c>
      <c r="I408" s="27" t="s">
        <v>1067</v>
      </c>
      <c r="J408" s="28" t="s">
        <v>1579</v>
      </c>
      <c r="K408" s="27" t="s">
        <v>42</v>
      </c>
      <c r="L408" s="27"/>
    </row>
    <row r="409" customFormat="false" ht="15" hidden="false" customHeight="false" outlineLevel="0" collapsed="false">
      <c r="A409" s="26" t="s">
        <v>1656</v>
      </c>
      <c r="B409" s="27" t="s">
        <v>1657</v>
      </c>
      <c r="C409" s="27" t="s">
        <v>144</v>
      </c>
      <c r="D409" s="26" t="s">
        <v>1658</v>
      </c>
      <c r="E409" s="27" t="s">
        <v>1657</v>
      </c>
      <c r="F409" s="28" t="s">
        <v>146</v>
      </c>
      <c r="G409" s="27" t="s">
        <v>103</v>
      </c>
      <c r="H409" s="27" t="s">
        <v>56</v>
      </c>
      <c r="I409" s="27" t="s">
        <v>42</v>
      </c>
      <c r="J409" s="28" t="s">
        <v>1579</v>
      </c>
      <c r="K409" s="27" t="s">
        <v>42</v>
      </c>
      <c r="L409" s="27"/>
    </row>
    <row r="410" customFormat="false" ht="15" hidden="false" customHeight="false" outlineLevel="0" collapsed="false">
      <c r="A410" s="26" t="s">
        <v>1659</v>
      </c>
      <c r="B410" s="27" t="s">
        <v>1660</v>
      </c>
      <c r="C410" s="27" t="s">
        <v>144</v>
      </c>
      <c r="D410" s="26" t="s">
        <v>1661</v>
      </c>
      <c r="E410" s="27" t="s">
        <v>1660</v>
      </c>
      <c r="F410" s="28" t="s">
        <v>146</v>
      </c>
      <c r="G410" s="27" t="s">
        <v>103</v>
      </c>
      <c r="H410" s="27" t="s">
        <v>56</v>
      </c>
      <c r="I410" s="27" t="s">
        <v>42</v>
      </c>
      <c r="J410" s="28" t="s">
        <v>1579</v>
      </c>
      <c r="K410" s="27" t="s">
        <v>42</v>
      </c>
      <c r="L410" s="27"/>
    </row>
    <row r="411" customFormat="false" ht="15" hidden="false" customHeight="false" outlineLevel="0" collapsed="false">
      <c r="A411" s="26" t="s">
        <v>1662</v>
      </c>
      <c r="B411" s="27" t="s">
        <v>1663</v>
      </c>
      <c r="C411" s="27" t="s">
        <v>144</v>
      </c>
      <c r="D411" s="26" t="s">
        <v>1664</v>
      </c>
      <c r="E411" s="27" t="s">
        <v>1663</v>
      </c>
      <c r="F411" s="28" t="s">
        <v>146</v>
      </c>
      <c r="G411" s="27" t="s">
        <v>103</v>
      </c>
      <c r="H411" s="27" t="s">
        <v>56</v>
      </c>
      <c r="I411" s="27" t="s">
        <v>42</v>
      </c>
      <c r="J411" s="28" t="s">
        <v>1579</v>
      </c>
      <c r="K411" s="27" t="s">
        <v>42</v>
      </c>
      <c r="L411" s="27"/>
    </row>
    <row r="412" customFormat="false" ht="15" hidden="false" customHeight="false" outlineLevel="0" collapsed="false">
      <c r="A412" s="26" t="s">
        <v>1665</v>
      </c>
      <c r="B412" s="27" t="s">
        <v>1666</v>
      </c>
      <c r="C412" s="27" t="s">
        <v>1527</v>
      </c>
      <c r="D412" s="26" t="s">
        <v>1667</v>
      </c>
      <c r="E412" s="27" t="s">
        <v>1668</v>
      </c>
      <c r="F412" s="28" t="s">
        <v>1529</v>
      </c>
      <c r="G412" s="27" t="s">
        <v>103</v>
      </c>
      <c r="H412" s="27" t="s">
        <v>56</v>
      </c>
      <c r="I412" s="27" t="s">
        <v>42</v>
      </c>
      <c r="J412" s="28" t="s">
        <v>1579</v>
      </c>
      <c r="K412" s="27" t="s">
        <v>42</v>
      </c>
      <c r="L412" s="27"/>
    </row>
    <row r="413" customFormat="false" ht="15" hidden="false" customHeight="false" outlineLevel="0" collapsed="false">
      <c r="A413" s="26" t="s">
        <v>1669</v>
      </c>
      <c r="B413" s="27" t="s">
        <v>1670</v>
      </c>
      <c r="C413" s="27" t="s">
        <v>1527</v>
      </c>
      <c r="D413" s="26" t="s">
        <v>1671</v>
      </c>
      <c r="E413" s="27" t="s">
        <v>1672</v>
      </c>
      <c r="F413" s="28" t="s">
        <v>1529</v>
      </c>
      <c r="G413" s="27" t="s">
        <v>103</v>
      </c>
      <c r="H413" s="27" t="s">
        <v>56</v>
      </c>
      <c r="I413" s="27" t="s">
        <v>42</v>
      </c>
      <c r="J413" s="28" t="s">
        <v>1579</v>
      </c>
      <c r="K413" s="27" t="s">
        <v>42</v>
      </c>
      <c r="L413" s="27"/>
    </row>
    <row r="414" customFormat="false" ht="15" hidden="false" customHeight="false" outlineLevel="0" collapsed="false">
      <c r="A414" s="26" t="s">
        <v>1673</v>
      </c>
      <c r="B414" s="27" t="s">
        <v>1674</v>
      </c>
      <c r="C414" s="27" t="s">
        <v>144</v>
      </c>
      <c r="D414" s="26" t="s">
        <v>1675</v>
      </c>
      <c r="E414" s="27" t="s">
        <v>1676</v>
      </c>
      <c r="F414" s="28" t="s">
        <v>146</v>
      </c>
      <c r="G414" s="27" t="s">
        <v>103</v>
      </c>
      <c r="H414" s="27" t="s">
        <v>56</v>
      </c>
      <c r="I414" s="27" t="s">
        <v>42</v>
      </c>
      <c r="J414" s="28" t="s">
        <v>1579</v>
      </c>
      <c r="K414" s="27" t="s">
        <v>42</v>
      </c>
      <c r="L414" s="27"/>
    </row>
    <row r="415" customFormat="false" ht="15" hidden="false" customHeight="false" outlineLevel="0" collapsed="false">
      <c r="A415" s="26" t="s">
        <v>1677</v>
      </c>
      <c r="B415" s="27" t="s">
        <v>1678</v>
      </c>
      <c r="C415" s="27" t="s">
        <v>144</v>
      </c>
      <c r="D415" s="26" t="s">
        <v>1679</v>
      </c>
      <c r="E415" s="27" t="s">
        <v>1680</v>
      </c>
      <c r="F415" s="28" t="s">
        <v>146</v>
      </c>
      <c r="G415" s="27" t="s">
        <v>103</v>
      </c>
      <c r="H415" s="27" t="s">
        <v>56</v>
      </c>
      <c r="I415" s="27" t="s">
        <v>42</v>
      </c>
      <c r="J415" s="28" t="s">
        <v>1579</v>
      </c>
      <c r="K415" s="27" t="s">
        <v>42</v>
      </c>
      <c r="L415" s="27"/>
    </row>
    <row r="416" customFormat="false" ht="15" hidden="false" customHeight="false" outlineLevel="0" collapsed="false">
      <c r="A416" s="26" t="s">
        <v>1681</v>
      </c>
      <c r="B416" s="27" t="s">
        <v>1682</v>
      </c>
      <c r="C416" s="27" t="s">
        <v>144</v>
      </c>
      <c r="D416" s="26" t="s">
        <v>1683</v>
      </c>
      <c r="E416" s="27" t="s">
        <v>1684</v>
      </c>
      <c r="F416" s="28" t="s">
        <v>146</v>
      </c>
      <c r="G416" s="27" t="s">
        <v>103</v>
      </c>
      <c r="H416" s="27" t="s">
        <v>56</v>
      </c>
      <c r="I416" s="27" t="s">
        <v>42</v>
      </c>
      <c r="J416" s="28" t="s">
        <v>1579</v>
      </c>
      <c r="K416" s="27" t="s">
        <v>42</v>
      </c>
      <c r="L416" s="27"/>
    </row>
    <row r="417" customFormat="false" ht="15" hidden="false" customHeight="false" outlineLevel="0" collapsed="false">
      <c r="A417" s="26" t="s">
        <v>1685</v>
      </c>
      <c r="B417" s="27" t="s">
        <v>1686</v>
      </c>
      <c r="C417" s="27" t="s">
        <v>144</v>
      </c>
      <c r="D417" s="26" t="s">
        <v>1687</v>
      </c>
      <c r="E417" s="27" t="s">
        <v>1688</v>
      </c>
      <c r="F417" s="28" t="s">
        <v>146</v>
      </c>
      <c r="G417" s="27" t="s">
        <v>103</v>
      </c>
      <c r="H417" s="27" t="s">
        <v>56</v>
      </c>
      <c r="I417" s="27" t="s">
        <v>42</v>
      </c>
      <c r="J417" s="28" t="s">
        <v>1579</v>
      </c>
      <c r="K417" s="27" t="s">
        <v>42</v>
      </c>
      <c r="L417" s="27"/>
    </row>
    <row r="418" customFormat="false" ht="15" hidden="false" customHeight="false" outlineLevel="0" collapsed="false">
      <c r="A418" s="26" t="s">
        <v>1689</v>
      </c>
      <c r="B418" s="27" t="s">
        <v>1690</v>
      </c>
      <c r="C418" s="27" t="s">
        <v>144</v>
      </c>
      <c r="D418" s="26" t="s">
        <v>1691</v>
      </c>
      <c r="E418" s="27" t="s">
        <v>1692</v>
      </c>
      <c r="F418" s="28" t="s">
        <v>146</v>
      </c>
      <c r="G418" s="27" t="s">
        <v>103</v>
      </c>
      <c r="H418" s="27" t="s">
        <v>56</v>
      </c>
      <c r="I418" s="27" t="s">
        <v>42</v>
      </c>
      <c r="J418" s="28" t="s">
        <v>1579</v>
      </c>
      <c r="K418" s="27" t="s">
        <v>42</v>
      </c>
      <c r="L418" s="27"/>
    </row>
    <row r="419" customFormat="false" ht="15" hidden="false" customHeight="false" outlineLevel="0" collapsed="false">
      <c r="A419" s="26" t="s">
        <v>1693</v>
      </c>
      <c r="B419" s="27" t="s">
        <v>1694</v>
      </c>
      <c r="C419" s="27" t="s">
        <v>144</v>
      </c>
      <c r="D419" s="26" t="s">
        <v>1695</v>
      </c>
      <c r="E419" s="27" t="s">
        <v>1696</v>
      </c>
      <c r="F419" s="28" t="s">
        <v>146</v>
      </c>
      <c r="G419" s="27" t="s">
        <v>103</v>
      </c>
      <c r="H419" s="27" t="s">
        <v>56</v>
      </c>
      <c r="I419" s="27" t="s">
        <v>42</v>
      </c>
      <c r="J419" s="28" t="s">
        <v>1579</v>
      </c>
      <c r="K419" s="27" t="s">
        <v>42</v>
      </c>
      <c r="L419" s="27"/>
    </row>
    <row r="420" customFormat="false" ht="15" hidden="false" customHeight="false" outlineLevel="0" collapsed="false">
      <c r="A420" s="26" t="s">
        <v>1697</v>
      </c>
      <c r="B420" s="27" t="s">
        <v>1698</v>
      </c>
      <c r="C420" s="27" t="s">
        <v>144</v>
      </c>
      <c r="D420" s="26" t="s">
        <v>1699</v>
      </c>
      <c r="E420" s="27" t="s">
        <v>1698</v>
      </c>
      <c r="F420" s="28" t="s">
        <v>146</v>
      </c>
      <c r="G420" s="27" t="s">
        <v>103</v>
      </c>
      <c r="H420" s="27" t="s">
        <v>56</v>
      </c>
      <c r="I420" s="27" t="s">
        <v>42</v>
      </c>
      <c r="J420" s="28" t="s">
        <v>1579</v>
      </c>
      <c r="K420" s="27" t="s">
        <v>42</v>
      </c>
      <c r="L420" s="27"/>
    </row>
    <row r="421" customFormat="false" ht="15" hidden="false" customHeight="false" outlineLevel="0" collapsed="false">
      <c r="A421" s="26" t="s">
        <v>1700</v>
      </c>
      <c r="B421" s="27" t="s">
        <v>1701</v>
      </c>
      <c r="C421" s="27" t="s">
        <v>144</v>
      </c>
      <c r="D421" s="26" t="s">
        <v>1702</v>
      </c>
      <c r="E421" s="27" t="s">
        <v>1701</v>
      </c>
      <c r="F421" s="28" t="s">
        <v>146</v>
      </c>
      <c r="G421" s="27" t="s">
        <v>103</v>
      </c>
      <c r="H421" s="27" t="s">
        <v>56</v>
      </c>
      <c r="I421" s="27" t="s">
        <v>42</v>
      </c>
      <c r="J421" s="28" t="s">
        <v>1579</v>
      </c>
      <c r="K421" s="27" t="s">
        <v>42</v>
      </c>
      <c r="L421" s="27"/>
    </row>
    <row r="422" customFormat="false" ht="15" hidden="false" customHeight="false" outlineLevel="0" collapsed="false">
      <c r="A422" s="26" t="s">
        <v>1703</v>
      </c>
      <c r="B422" s="27" t="s">
        <v>1704</v>
      </c>
      <c r="C422" s="27" t="s">
        <v>144</v>
      </c>
      <c r="D422" s="26" t="s">
        <v>1705</v>
      </c>
      <c r="E422" s="27" t="s">
        <v>1704</v>
      </c>
      <c r="F422" s="28" t="s">
        <v>146</v>
      </c>
      <c r="G422" s="27" t="s">
        <v>103</v>
      </c>
      <c r="H422" s="27" t="s">
        <v>56</v>
      </c>
      <c r="I422" s="27" t="s">
        <v>42</v>
      </c>
      <c r="J422" s="28" t="s">
        <v>1579</v>
      </c>
      <c r="K422" s="27" t="s">
        <v>42</v>
      </c>
      <c r="L422" s="27"/>
    </row>
    <row r="423" customFormat="false" ht="15" hidden="false" customHeight="false" outlineLevel="0" collapsed="false">
      <c r="A423" s="26" t="s">
        <v>1706</v>
      </c>
      <c r="B423" s="27" t="s">
        <v>1707</v>
      </c>
      <c r="C423" s="27" t="s">
        <v>1527</v>
      </c>
      <c r="D423" s="26" t="s">
        <v>1708</v>
      </c>
      <c r="E423" s="27" t="s">
        <v>1707</v>
      </c>
      <c r="F423" s="28" t="s">
        <v>1529</v>
      </c>
      <c r="G423" s="27" t="s">
        <v>103</v>
      </c>
      <c r="H423" s="27" t="s">
        <v>56</v>
      </c>
      <c r="I423" s="27" t="s">
        <v>42</v>
      </c>
      <c r="J423" s="28" t="s">
        <v>1579</v>
      </c>
      <c r="K423" s="27" t="s">
        <v>42</v>
      </c>
      <c r="L423" s="27"/>
    </row>
    <row r="424" customFormat="false" ht="15" hidden="false" customHeight="false" outlineLevel="0" collapsed="false">
      <c r="A424" s="26" t="s">
        <v>1709</v>
      </c>
      <c r="B424" s="27" t="s">
        <v>1710</v>
      </c>
      <c r="C424" s="27" t="s">
        <v>144</v>
      </c>
      <c r="D424" s="26" t="s">
        <v>1711</v>
      </c>
      <c r="E424" s="27" t="s">
        <v>1710</v>
      </c>
      <c r="F424" s="28" t="s">
        <v>146</v>
      </c>
      <c r="G424" s="27" t="s">
        <v>103</v>
      </c>
      <c r="H424" s="27" t="s">
        <v>57</v>
      </c>
      <c r="I424" s="28" t="s">
        <v>46</v>
      </c>
      <c r="J424" s="28" t="s">
        <v>1579</v>
      </c>
      <c r="K424" s="27" t="s">
        <v>42</v>
      </c>
      <c r="L424" s="27"/>
    </row>
    <row r="425" customFormat="false" ht="15" hidden="false" customHeight="false" outlineLevel="0" collapsed="false">
      <c r="A425" s="26" t="s">
        <v>1712</v>
      </c>
      <c r="B425" s="27" t="s">
        <v>1713</v>
      </c>
      <c r="C425" s="27" t="s">
        <v>144</v>
      </c>
      <c r="D425" s="26" t="s">
        <v>1714</v>
      </c>
      <c r="E425" s="27" t="s">
        <v>1715</v>
      </c>
      <c r="F425" s="28" t="s">
        <v>146</v>
      </c>
      <c r="G425" s="27" t="s">
        <v>103</v>
      </c>
      <c r="H425" s="27" t="s">
        <v>56</v>
      </c>
      <c r="I425" s="27" t="s">
        <v>42</v>
      </c>
      <c r="J425" s="28" t="s">
        <v>1579</v>
      </c>
      <c r="K425" s="27" t="s">
        <v>42</v>
      </c>
      <c r="L425" s="27"/>
    </row>
    <row r="426" customFormat="false" ht="15" hidden="false" customHeight="false" outlineLevel="0" collapsed="false">
      <c r="A426" s="26" t="s">
        <v>1716</v>
      </c>
      <c r="B426" s="27" t="s">
        <v>1717</v>
      </c>
      <c r="C426" s="27" t="s">
        <v>144</v>
      </c>
      <c r="D426" s="26" t="s">
        <v>1718</v>
      </c>
      <c r="E426" s="27" t="s">
        <v>1717</v>
      </c>
      <c r="F426" s="28" t="s">
        <v>146</v>
      </c>
      <c r="G426" s="27" t="s">
        <v>103</v>
      </c>
      <c r="H426" s="27" t="s">
        <v>56</v>
      </c>
      <c r="I426" s="27" t="s">
        <v>42</v>
      </c>
      <c r="J426" s="28" t="s">
        <v>1579</v>
      </c>
      <c r="K426" s="27" t="s">
        <v>42</v>
      </c>
      <c r="L426" s="27"/>
    </row>
    <row r="427" customFormat="false" ht="15" hidden="false" customHeight="false" outlineLevel="0" collapsed="false">
      <c r="A427" s="26" t="s">
        <v>1719</v>
      </c>
      <c r="B427" s="27" t="s">
        <v>1720</v>
      </c>
      <c r="C427" s="27" t="s">
        <v>144</v>
      </c>
      <c r="D427" s="26" t="s">
        <v>1721</v>
      </c>
      <c r="E427" s="27" t="s">
        <v>1720</v>
      </c>
      <c r="F427" s="28" t="s">
        <v>146</v>
      </c>
      <c r="G427" s="27" t="s">
        <v>103</v>
      </c>
      <c r="H427" s="27" t="s">
        <v>56</v>
      </c>
      <c r="I427" s="27" t="s">
        <v>42</v>
      </c>
      <c r="J427" s="28" t="s">
        <v>1579</v>
      </c>
      <c r="K427" s="27" t="s">
        <v>42</v>
      </c>
      <c r="L427" s="27"/>
    </row>
    <row r="428" customFormat="false" ht="15" hidden="false" customHeight="false" outlineLevel="0" collapsed="false">
      <c r="A428" s="26" t="s">
        <v>1722</v>
      </c>
      <c r="B428" s="27" t="s">
        <v>1723</v>
      </c>
      <c r="C428" s="27" t="s">
        <v>144</v>
      </c>
      <c r="D428" s="26" t="s">
        <v>1724</v>
      </c>
      <c r="E428" s="27" t="s">
        <v>1723</v>
      </c>
      <c r="F428" s="28" t="s">
        <v>146</v>
      </c>
      <c r="G428" s="27" t="s">
        <v>103</v>
      </c>
      <c r="H428" s="27" t="s">
        <v>57</v>
      </c>
      <c r="I428" s="27" t="s">
        <v>39</v>
      </c>
      <c r="J428" s="28" t="s">
        <v>1579</v>
      </c>
      <c r="K428" s="27" t="s">
        <v>42</v>
      </c>
      <c r="L428" s="27"/>
    </row>
    <row r="429" customFormat="false" ht="15" hidden="false" customHeight="false" outlineLevel="0" collapsed="false">
      <c r="A429" s="26" t="s">
        <v>1725</v>
      </c>
      <c r="B429" s="27" t="s">
        <v>1082</v>
      </c>
      <c r="C429" s="27" t="s">
        <v>144</v>
      </c>
      <c r="D429" s="26" t="s">
        <v>1083</v>
      </c>
      <c r="E429" s="27" t="s">
        <v>1084</v>
      </c>
      <c r="F429" s="28" t="s">
        <v>146</v>
      </c>
      <c r="G429" s="27" t="s">
        <v>103</v>
      </c>
      <c r="H429" s="27" t="s">
        <v>57</v>
      </c>
      <c r="I429" s="27" t="s">
        <v>39</v>
      </c>
      <c r="J429" s="28" t="s">
        <v>1579</v>
      </c>
      <c r="K429" s="27" t="s">
        <v>42</v>
      </c>
      <c r="L429" s="27"/>
    </row>
    <row r="430" customFormat="false" ht="15" hidden="false" customHeight="false" outlineLevel="0" collapsed="false">
      <c r="A430" s="26" t="s">
        <v>1726</v>
      </c>
      <c r="B430" s="27" t="s">
        <v>1727</v>
      </c>
      <c r="C430" s="27" t="s">
        <v>144</v>
      </c>
      <c r="D430" s="26" t="s">
        <v>1728</v>
      </c>
      <c r="E430" s="27" t="s">
        <v>1727</v>
      </c>
      <c r="F430" s="28" t="s">
        <v>1158</v>
      </c>
      <c r="G430" s="27" t="s">
        <v>103</v>
      </c>
      <c r="H430" s="27" t="s">
        <v>57</v>
      </c>
      <c r="I430" s="28" t="s">
        <v>50</v>
      </c>
      <c r="J430" s="28" t="s">
        <v>1579</v>
      </c>
      <c r="K430" s="27" t="s">
        <v>42</v>
      </c>
      <c r="L430" s="27"/>
    </row>
    <row r="431" customFormat="false" ht="15" hidden="false" customHeight="false" outlineLevel="0" collapsed="false">
      <c r="A431" s="26" t="s">
        <v>1729</v>
      </c>
      <c r="B431" s="27" t="s">
        <v>1730</v>
      </c>
      <c r="C431" s="27" t="s">
        <v>144</v>
      </c>
      <c r="D431" s="26" t="s">
        <v>1731</v>
      </c>
      <c r="E431" s="27" t="s">
        <v>1732</v>
      </c>
      <c r="F431" s="28" t="s">
        <v>146</v>
      </c>
      <c r="G431" s="27" t="s">
        <v>103</v>
      </c>
      <c r="H431" s="27" t="s">
        <v>57</v>
      </c>
      <c r="I431" s="28" t="s">
        <v>50</v>
      </c>
      <c r="J431" s="28" t="s">
        <v>1579</v>
      </c>
      <c r="K431" s="27" t="s">
        <v>42</v>
      </c>
      <c r="L431" s="27"/>
    </row>
    <row r="432" customFormat="false" ht="15" hidden="false" customHeight="false" outlineLevel="0" collapsed="false">
      <c r="A432" s="26" t="s">
        <v>1733</v>
      </c>
      <c r="B432" s="27" t="s">
        <v>1734</v>
      </c>
      <c r="C432" s="27" t="s">
        <v>144</v>
      </c>
      <c r="D432" s="26" t="s">
        <v>1735</v>
      </c>
      <c r="E432" s="27" t="s">
        <v>1734</v>
      </c>
      <c r="F432" s="28" t="s">
        <v>1158</v>
      </c>
      <c r="G432" s="27" t="s">
        <v>103</v>
      </c>
      <c r="H432" s="27" t="s">
        <v>57</v>
      </c>
      <c r="I432" s="28" t="s">
        <v>50</v>
      </c>
      <c r="J432" s="28" t="s">
        <v>1579</v>
      </c>
      <c r="K432" s="27" t="s">
        <v>42</v>
      </c>
      <c r="L432" s="27"/>
    </row>
    <row r="433" customFormat="false" ht="15" hidden="false" customHeight="false" outlineLevel="0" collapsed="false">
      <c r="A433" s="26" t="s">
        <v>1736</v>
      </c>
      <c r="B433" s="27" t="s">
        <v>1737</v>
      </c>
      <c r="C433" s="27" t="s">
        <v>144</v>
      </c>
      <c r="D433" s="26" t="s">
        <v>1738</v>
      </c>
      <c r="E433" s="27" t="s">
        <v>1739</v>
      </c>
      <c r="F433" s="28" t="s">
        <v>1158</v>
      </c>
      <c r="G433" s="27" t="s">
        <v>103</v>
      </c>
      <c r="H433" s="27" t="s">
        <v>57</v>
      </c>
      <c r="I433" s="28" t="s">
        <v>50</v>
      </c>
      <c r="J433" s="28" t="s">
        <v>1579</v>
      </c>
      <c r="K433" s="27" t="s">
        <v>42</v>
      </c>
      <c r="L433" s="27"/>
    </row>
    <row r="434" customFormat="false" ht="15" hidden="false" customHeight="false" outlineLevel="0" collapsed="false">
      <c r="A434" s="26" t="s">
        <v>1740</v>
      </c>
      <c r="B434" s="27" t="s">
        <v>1741</v>
      </c>
      <c r="C434" s="27" t="s">
        <v>144</v>
      </c>
      <c r="D434" s="26" t="s">
        <v>1742</v>
      </c>
      <c r="E434" s="27" t="s">
        <v>1741</v>
      </c>
      <c r="F434" s="28" t="s">
        <v>1158</v>
      </c>
      <c r="G434" s="27" t="s">
        <v>103</v>
      </c>
      <c r="H434" s="27" t="s">
        <v>57</v>
      </c>
      <c r="I434" s="28" t="s">
        <v>50</v>
      </c>
      <c r="J434" s="28" t="s">
        <v>1579</v>
      </c>
      <c r="K434" s="27" t="s">
        <v>42</v>
      </c>
      <c r="L434" s="27"/>
    </row>
    <row r="435" customFormat="false" ht="15" hidden="false" customHeight="false" outlineLevel="0" collapsed="false">
      <c r="A435" s="26" t="s">
        <v>1743</v>
      </c>
      <c r="B435" s="27" t="s">
        <v>1744</v>
      </c>
      <c r="C435" s="27" t="s">
        <v>144</v>
      </c>
      <c r="D435" s="26" t="s">
        <v>1745</v>
      </c>
      <c r="E435" s="27" t="s">
        <v>1744</v>
      </c>
      <c r="F435" s="28" t="s">
        <v>1158</v>
      </c>
      <c r="G435" s="27" t="s">
        <v>103</v>
      </c>
      <c r="H435" s="27" t="s">
        <v>57</v>
      </c>
      <c r="I435" s="28" t="s">
        <v>50</v>
      </c>
      <c r="J435" s="28" t="s">
        <v>1579</v>
      </c>
      <c r="K435" s="27" t="s">
        <v>42</v>
      </c>
      <c r="L435" s="27"/>
    </row>
    <row r="436" customFormat="false" ht="15" hidden="false" customHeight="false" outlineLevel="0" collapsed="false">
      <c r="A436" s="26" t="s">
        <v>1746</v>
      </c>
      <c r="B436" s="27" t="s">
        <v>1747</v>
      </c>
      <c r="C436" s="27" t="s">
        <v>144</v>
      </c>
      <c r="D436" s="26" t="s">
        <v>1748</v>
      </c>
      <c r="E436" s="27" t="s">
        <v>1747</v>
      </c>
      <c r="F436" s="28" t="s">
        <v>146</v>
      </c>
      <c r="G436" s="27" t="s">
        <v>103</v>
      </c>
      <c r="H436" s="27" t="s">
        <v>57</v>
      </c>
      <c r="I436" s="27" t="s">
        <v>1067</v>
      </c>
      <c r="J436" s="28" t="s">
        <v>1579</v>
      </c>
      <c r="K436" s="27" t="s">
        <v>42</v>
      </c>
      <c r="L436" s="27"/>
    </row>
    <row r="437" customFormat="false" ht="15" hidden="false" customHeight="false" outlineLevel="0" collapsed="false">
      <c r="A437" s="26" t="s">
        <v>1749</v>
      </c>
      <c r="B437" s="27" t="s">
        <v>1750</v>
      </c>
      <c r="C437" s="27" t="s">
        <v>144</v>
      </c>
      <c r="D437" s="26" t="s">
        <v>1751</v>
      </c>
      <c r="E437" s="27" t="s">
        <v>1750</v>
      </c>
      <c r="F437" s="28" t="s">
        <v>146</v>
      </c>
      <c r="G437" s="27" t="s">
        <v>103</v>
      </c>
      <c r="H437" s="27" t="s">
        <v>56</v>
      </c>
      <c r="I437" s="27" t="s">
        <v>42</v>
      </c>
      <c r="J437" s="28" t="s">
        <v>1579</v>
      </c>
      <c r="K437" s="27" t="s">
        <v>42</v>
      </c>
      <c r="L437" s="27"/>
    </row>
    <row r="438" customFormat="false" ht="15" hidden="false" customHeight="false" outlineLevel="0" collapsed="false">
      <c r="A438" s="26" t="s">
        <v>1752</v>
      </c>
      <c r="B438" s="27" t="s">
        <v>1753</v>
      </c>
      <c r="C438" s="27" t="s">
        <v>144</v>
      </c>
      <c r="D438" s="26" t="s">
        <v>1754</v>
      </c>
      <c r="E438" s="27" t="s">
        <v>1753</v>
      </c>
      <c r="F438" s="28" t="s">
        <v>146</v>
      </c>
      <c r="G438" s="27" t="s">
        <v>103</v>
      </c>
      <c r="H438" s="27" t="s">
        <v>56</v>
      </c>
      <c r="I438" s="27" t="s">
        <v>42</v>
      </c>
      <c r="J438" s="28" t="s">
        <v>1579</v>
      </c>
      <c r="K438" s="27" t="s">
        <v>42</v>
      </c>
      <c r="L438" s="27"/>
    </row>
    <row r="439" customFormat="false" ht="15" hidden="false" customHeight="false" outlineLevel="0" collapsed="false">
      <c r="A439" s="26" t="s">
        <v>1755</v>
      </c>
      <c r="B439" s="27" t="s">
        <v>1756</v>
      </c>
      <c r="C439" s="27" t="s">
        <v>144</v>
      </c>
      <c r="D439" s="26" t="s">
        <v>1757</v>
      </c>
      <c r="E439" s="27" t="s">
        <v>1756</v>
      </c>
      <c r="F439" s="28" t="s">
        <v>146</v>
      </c>
      <c r="G439" s="27" t="s">
        <v>103</v>
      </c>
      <c r="H439" s="27" t="s">
        <v>56</v>
      </c>
      <c r="I439" s="27" t="s">
        <v>42</v>
      </c>
      <c r="J439" s="28" t="s">
        <v>1579</v>
      </c>
      <c r="K439" s="27" t="s">
        <v>42</v>
      </c>
      <c r="L439" s="27"/>
    </row>
    <row r="440" customFormat="false" ht="15" hidden="false" customHeight="false" outlineLevel="0" collapsed="false">
      <c r="A440" s="26" t="s">
        <v>1758</v>
      </c>
      <c r="B440" s="27" t="s">
        <v>1759</v>
      </c>
      <c r="C440" s="27" t="s">
        <v>144</v>
      </c>
      <c r="D440" s="26" t="s">
        <v>1760</v>
      </c>
      <c r="E440" s="27" t="s">
        <v>1759</v>
      </c>
      <c r="F440" s="28" t="s">
        <v>1158</v>
      </c>
      <c r="G440" s="27" t="s">
        <v>103</v>
      </c>
      <c r="H440" s="27" t="s">
        <v>56</v>
      </c>
      <c r="I440" s="27" t="s">
        <v>42</v>
      </c>
      <c r="J440" s="28" t="s">
        <v>1579</v>
      </c>
      <c r="K440" s="27" t="s">
        <v>42</v>
      </c>
      <c r="L440" s="27"/>
    </row>
    <row r="441" customFormat="false" ht="15" hidden="false" customHeight="false" outlineLevel="0" collapsed="false">
      <c r="A441" s="26" t="s">
        <v>1761</v>
      </c>
      <c r="B441" s="27" t="s">
        <v>1762</v>
      </c>
      <c r="C441" s="27" t="s">
        <v>144</v>
      </c>
      <c r="D441" s="26" t="s">
        <v>1763</v>
      </c>
      <c r="E441" s="27" t="s">
        <v>1762</v>
      </c>
      <c r="F441" s="28" t="s">
        <v>146</v>
      </c>
      <c r="G441" s="27" t="s">
        <v>103</v>
      </c>
      <c r="H441" s="27" t="s">
        <v>57</v>
      </c>
      <c r="I441" s="27" t="s">
        <v>1344</v>
      </c>
      <c r="J441" s="28" t="s">
        <v>1579</v>
      </c>
      <c r="K441" s="27" t="s">
        <v>42</v>
      </c>
      <c r="L441" s="27"/>
    </row>
    <row r="442" customFormat="false" ht="15" hidden="false" customHeight="false" outlineLevel="0" collapsed="false">
      <c r="A442" s="26" t="s">
        <v>1764</v>
      </c>
      <c r="B442" s="27" t="s">
        <v>1765</v>
      </c>
      <c r="C442" s="27" t="s">
        <v>144</v>
      </c>
      <c r="D442" s="26" t="s">
        <v>1766</v>
      </c>
      <c r="E442" s="27" t="s">
        <v>1765</v>
      </c>
      <c r="F442" s="28" t="s">
        <v>146</v>
      </c>
      <c r="G442" s="27" t="s">
        <v>103</v>
      </c>
      <c r="H442" s="27" t="s">
        <v>56</v>
      </c>
      <c r="I442" s="27" t="s">
        <v>42</v>
      </c>
      <c r="J442" s="28" t="s">
        <v>1579</v>
      </c>
      <c r="K442" s="27" t="s">
        <v>42</v>
      </c>
      <c r="L442" s="27"/>
    </row>
    <row r="443" customFormat="false" ht="15" hidden="false" customHeight="false" outlineLevel="0" collapsed="false">
      <c r="A443" s="26" t="s">
        <v>1767</v>
      </c>
      <c r="B443" s="27" t="s">
        <v>1768</v>
      </c>
      <c r="C443" s="27" t="s">
        <v>144</v>
      </c>
      <c r="D443" s="26" t="s">
        <v>1769</v>
      </c>
      <c r="E443" s="27" t="s">
        <v>1770</v>
      </c>
      <c r="F443" s="28" t="s">
        <v>146</v>
      </c>
      <c r="G443" s="27" t="s">
        <v>103</v>
      </c>
      <c r="H443" s="27" t="s">
        <v>56</v>
      </c>
      <c r="I443" s="27" t="s">
        <v>42</v>
      </c>
      <c r="J443" s="28" t="s">
        <v>1579</v>
      </c>
      <c r="K443" s="27" t="s">
        <v>42</v>
      </c>
      <c r="L443" s="27"/>
    </row>
    <row r="444" customFormat="false" ht="15" hidden="false" customHeight="false" outlineLevel="0" collapsed="false">
      <c r="A444" s="26" t="s">
        <v>1771</v>
      </c>
      <c r="B444" s="27" t="s">
        <v>1772</v>
      </c>
      <c r="C444" s="27" t="s">
        <v>144</v>
      </c>
      <c r="D444" s="26" t="s">
        <v>1773</v>
      </c>
      <c r="E444" s="27" t="s">
        <v>1772</v>
      </c>
      <c r="F444" s="28" t="s">
        <v>146</v>
      </c>
      <c r="G444" s="27" t="s">
        <v>103</v>
      </c>
      <c r="H444" s="27" t="s">
        <v>56</v>
      </c>
      <c r="I444" s="27" t="s">
        <v>42</v>
      </c>
      <c r="J444" s="28" t="s">
        <v>1579</v>
      </c>
      <c r="K444" s="27" t="s">
        <v>42</v>
      </c>
      <c r="L444" s="27"/>
    </row>
    <row r="445" customFormat="false" ht="15" hidden="false" customHeight="false" outlineLevel="0" collapsed="false">
      <c r="A445" s="26" t="s">
        <v>1774</v>
      </c>
      <c r="B445" s="27" t="s">
        <v>1775</v>
      </c>
      <c r="C445" s="27" t="s">
        <v>144</v>
      </c>
      <c r="D445" s="26" t="s">
        <v>1776</v>
      </c>
      <c r="E445" s="27" t="s">
        <v>1775</v>
      </c>
      <c r="F445" s="28" t="s">
        <v>146</v>
      </c>
      <c r="G445" s="27" t="s">
        <v>103</v>
      </c>
      <c r="H445" s="27" t="s">
        <v>56</v>
      </c>
      <c r="I445" s="27" t="s">
        <v>42</v>
      </c>
      <c r="J445" s="28" t="s">
        <v>1579</v>
      </c>
      <c r="K445" s="27" t="s">
        <v>42</v>
      </c>
      <c r="L445" s="27"/>
    </row>
    <row r="446" customFormat="false" ht="15" hidden="false" customHeight="false" outlineLevel="0" collapsed="false">
      <c r="A446" s="26" t="s">
        <v>1777</v>
      </c>
      <c r="B446" s="27" t="s">
        <v>1778</v>
      </c>
      <c r="C446" s="27" t="s">
        <v>144</v>
      </c>
      <c r="D446" s="26" t="s">
        <v>1779</v>
      </c>
      <c r="E446" s="27" t="s">
        <v>1780</v>
      </c>
      <c r="F446" s="28" t="s">
        <v>146</v>
      </c>
      <c r="G446" s="27" t="s">
        <v>103</v>
      </c>
      <c r="H446" s="27" t="s">
        <v>56</v>
      </c>
      <c r="I446" s="27" t="s">
        <v>42</v>
      </c>
      <c r="J446" s="28" t="s">
        <v>1579</v>
      </c>
      <c r="K446" s="27" t="s">
        <v>42</v>
      </c>
      <c r="L446" s="27"/>
    </row>
    <row r="447" customFormat="false" ht="15" hidden="false" customHeight="false" outlineLevel="0" collapsed="false">
      <c r="A447" s="26" t="s">
        <v>1781</v>
      </c>
      <c r="B447" s="27" t="s">
        <v>1782</v>
      </c>
      <c r="C447" s="27" t="s">
        <v>144</v>
      </c>
      <c r="D447" s="26" t="s">
        <v>1783</v>
      </c>
      <c r="E447" s="27" t="s">
        <v>1782</v>
      </c>
      <c r="F447" s="28" t="s">
        <v>1158</v>
      </c>
      <c r="G447" s="27" t="s">
        <v>103</v>
      </c>
      <c r="H447" s="27" t="s">
        <v>57</v>
      </c>
      <c r="I447" s="28" t="s">
        <v>50</v>
      </c>
      <c r="J447" s="28" t="s">
        <v>1579</v>
      </c>
      <c r="K447" s="27" t="s">
        <v>42</v>
      </c>
      <c r="L447" s="27"/>
    </row>
    <row r="448" customFormat="false" ht="15" hidden="false" customHeight="false" outlineLevel="0" collapsed="false">
      <c r="A448" s="26" t="s">
        <v>1784</v>
      </c>
      <c r="B448" s="27" t="s">
        <v>1785</v>
      </c>
      <c r="C448" s="27" t="s">
        <v>131</v>
      </c>
      <c r="D448" s="26" t="s">
        <v>1786</v>
      </c>
      <c r="E448" s="27" t="s">
        <v>1787</v>
      </c>
      <c r="F448" s="28" t="s">
        <v>134</v>
      </c>
      <c r="G448" s="27" t="s">
        <v>103</v>
      </c>
      <c r="H448" s="27" t="s">
        <v>57</v>
      </c>
      <c r="I448" s="28" t="s">
        <v>50</v>
      </c>
      <c r="J448" s="28" t="s">
        <v>1579</v>
      </c>
      <c r="K448" s="27" t="s">
        <v>42</v>
      </c>
      <c r="L448" s="27"/>
    </row>
    <row r="449" customFormat="false" ht="15" hidden="false" customHeight="false" outlineLevel="0" collapsed="false">
      <c r="A449" s="26" t="s">
        <v>1788</v>
      </c>
      <c r="B449" s="27" t="s">
        <v>1789</v>
      </c>
      <c r="C449" s="27" t="s">
        <v>131</v>
      </c>
      <c r="D449" s="26" t="s">
        <v>1790</v>
      </c>
      <c r="E449" s="27" t="s">
        <v>1791</v>
      </c>
      <c r="F449" s="28" t="s">
        <v>134</v>
      </c>
      <c r="G449" s="27" t="s">
        <v>103</v>
      </c>
      <c r="H449" s="27" t="s">
        <v>57</v>
      </c>
      <c r="I449" s="28" t="s">
        <v>50</v>
      </c>
      <c r="J449" s="28" t="s">
        <v>1579</v>
      </c>
      <c r="K449" s="27" t="s">
        <v>42</v>
      </c>
      <c r="L449" s="27"/>
    </row>
    <row r="450" customFormat="false" ht="15" hidden="false" customHeight="false" outlineLevel="0" collapsed="false">
      <c r="A450" s="26" t="s">
        <v>1792</v>
      </c>
      <c r="B450" s="27" t="s">
        <v>1793</v>
      </c>
      <c r="C450" s="27" t="s">
        <v>131</v>
      </c>
      <c r="D450" s="26" t="s">
        <v>1794</v>
      </c>
      <c r="E450" s="27" t="s">
        <v>1795</v>
      </c>
      <c r="F450" s="28" t="s">
        <v>134</v>
      </c>
      <c r="G450" s="27" t="s">
        <v>103</v>
      </c>
      <c r="H450" s="27" t="s">
        <v>57</v>
      </c>
      <c r="I450" s="28" t="s">
        <v>50</v>
      </c>
      <c r="J450" s="28" t="s">
        <v>1579</v>
      </c>
      <c r="K450" s="27" t="s">
        <v>42</v>
      </c>
      <c r="L450" s="27"/>
    </row>
    <row r="451" customFormat="false" ht="15" hidden="false" customHeight="false" outlineLevel="0" collapsed="false">
      <c r="A451" s="26" t="s">
        <v>1796</v>
      </c>
      <c r="B451" s="27" t="s">
        <v>1797</v>
      </c>
      <c r="C451" s="27" t="s">
        <v>144</v>
      </c>
      <c r="D451" s="26" t="s">
        <v>1798</v>
      </c>
      <c r="E451" s="27" t="s">
        <v>1799</v>
      </c>
      <c r="F451" s="28" t="s">
        <v>146</v>
      </c>
      <c r="G451" s="27" t="s">
        <v>103</v>
      </c>
      <c r="H451" s="27" t="s">
        <v>57</v>
      </c>
      <c r="I451" s="27" t="s">
        <v>1800</v>
      </c>
      <c r="J451" s="28" t="s">
        <v>1579</v>
      </c>
      <c r="K451" s="27" t="s">
        <v>42</v>
      </c>
      <c r="L451" s="27"/>
    </row>
    <row r="452" customFormat="false" ht="15" hidden="false" customHeight="false" outlineLevel="0" collapsed="false">
      <c r="A452" s="26" t="s">
        <v>1801</v>
      </c>
      <c r="B452" s="27" t="s">
        <v>1802</v>
      </c>
      <c r="C452" s="27" t="s">
        <v>100</v>
      </c>
      <c r="D452" s="26" t="s">
        <v>1516</v>
      </c>
      <c r="E452" s="27" t="s">
        <v>1515</v>
      </c>
      <c r="F452" s="28" t="s">
        <v>134</v>
      </c>
      <c r="G452" s="27" t="s">
        <v>1803</v>
      </c>
      <c r="H452" s="27" t="s">
        <v>57</v>
      </c>
      <c r="I452" s="27" t="s">
        <v>43</v>
      </c>
      <c r="J452" s="28" t="s">
        <v>113</v>
      </c>
      <c r="K452" s="27" t="s">
        <v>108</v>
      </c>
      <c r="L452" s="27" t="s">
        <v>1804</v>
      </c>
    </row>
    <row r="453" customFormat="false" ht="15" hidden="false" customHeight="false" outlineLevel="0" collapsed="false">
      <c r="A453" s="26" t="s">
        <v>1805</v>
      </c>
      <c r="B453" s="27" t="s">
        <v>1806</v>
      </c>
      <c r="C453" s="27" t="s">
        <v>100</v>
      </c>
      <c r="D453" s="26" t="s">
        <v>1807</v>
      </c>
      <c r="E453" s="27" t="s">
        <v>1808</v>
      </c>
      <c r="F453" s="28" t="s">
        <v>134</v>
      </c>
      <c r="G453" s="27" t="s">
        <v>1803</v>
      </c>
      <c r="H453" s="27" t="s">
        <v>57</v>
      </c>
      <c r="I453" s="27" t="s">
        <v>49</v>
      </c>
      <c r="J453" s="28" t="s">
        <v>113</v>
      </c>
      <c r="K453" s="27" t="s">
        <v>108</v>
      </c>
      <c r="L453" s="27" t="s">
        <v>1804</v>
      </c>
    </row>
    <row r="454" customFormat="false" ht="15" hidden="false" customHeight="false" outlineLevel="0" collapsed="false">
      <c r="A454" s="26" t="s">
        <v>1809</v>
      </c>
      <c r="B454" s="27" t="s">
        <v>1810</v>
      </c>
      <c r="C454" s="27" t="s">
        <v>144</v>
      </c>
      <c r="D454" s="26" t="s">
        <v>1811</v>
      </c>
      <c r="E454" s="27" t="s">
        <v>1812</v>
      </c>
      <c r="F454" s="28" t="s">
        <v>373</v>
      </c>
      <c r="G454" s="27" t="s">
        <v>1803</v>
      </c>
      <c r="H454" s="27" t="s">
        <v>57</v>
      </c>
      <c r="I454" s="27" t="s">
        <v>37</v>
      </c>
      <c r="J454" s="28" t="s">
        <v>141</v>
      </c>
      <c r="K454" s="27" t="s">
        <v>40</v>
      </c>
      <c r="L454" s="27" t="s">
        <v>74</v>
      </c>
    </row>
    <row r="455" customFormat="false" ht="15" hidden="false" customHeight="false" outlineLevel="0" collapsed="false">
      <c r="A455" s="26" t="s">
        <v>1813</v>
      </c>
      <c r="B455" s="27" t="s">
        <v>1814</v>
      </c>
      <c r="C455" s="27" t="s">
        <v>144</v>
      </c>
      <c r="D455" s="26" t="s">
        <v>1815</v>
      </c>
      <c r="E455" s="27" t="s">
        <v>1816</v>
      </c>
      <c r="F455" s="28" t="s">
        <v>373</v>
      </c>
      <c r="G455" s="27" t="s">
        <v>1803</v>
      </c>
      <c r="H455" s="27" t="s">
        <v>57</v>
      </c>
      <c r="I455" s="27" t="s">
        <v>37</v>
      </c>
      <c r="J455" s="28" t="s">
        <v>141</v>
      </c>
      <c r="K455" s="27" t="s">
        <v>40</v>
      </c>
      <c r="L455" s="27" t="s">
        <v>74</v>
      </c>
    </row>
    <row r="456" customFormat="false" ht="15" hidden="false" customHeight="false" outlineLevel="0" collapsed="false">
      <c r="A456" s="26" t="s">
        <v>1817</v>
      </c>
      <c r="B456" s="27" t="s">
        <v>1818</v>
      </c>
      <c r="C456" s="27" t="s">
        <v>137</v>
      </c>
      <c r="D456" s="26" t="s">
        <v>1819</v>
      </c>
      <c r="E456" s="27" t="s">
        <v>1818</v>
      </c>
      <c r="F456" s="28" t="s">
        <v>146</v>
      </c>
      <c r="G456" s="27" t="s">
        <v>1803</v>
      </c>
      <c r="H456" s="27" t="s">
        <v>57</v>
      </c>
      <c r="I456" s="28" t="s">
        <v>46</v>
      </c>
      <c r="J456" s="28" t="s">
        <v>161</v>
      </c>
      <c r="K456" s="27" t="s">
        <v>40</v>
      </c>
      <c r="L456" s="27" t="s">
        <v>80</v>
      </c>
    </row>
    <row r="457" customFormat="false" ht="15" hidden="false" customHeight="false" outlineLevel="0" collapsed="false">
      <c r="A457" s="26" t="s">
        <v>1820</v>
      </c>
      <c r="B457" s="27" t="s">
        <v>1821</v>
      </c>
      <c r="C457" s="27" t="s">
        <v>1527</v>
      </c>
      <c r="D457" s="26" t="s">
        <v>1822</v>
      </c>
      <c r="E457" s="27" t="s">
        <v>1821</v>
      </c>
      <c r="F457" s="28" t="s">
        <v>1823</v>
      </c>
      <c r="G457" s="27" t="s">
        <v>1803</v>
      </c>
      <c r="H457" s="27" t="s">
        <v>57</v>
      </c>
      <c r="I457" s="27" t="s">
        <v>42</v>
      </c>
      <c r="J457" s="28" t="s">
        <v>399</v>
      </c>
      <c r="K457" s="27" t="s">
        <v>37</v>
      </c>
      <c r="L457" s="27" t="s">
        <v>1824</v>
      </c>
    </row>
    <row r="458" customFormat="false" ht="15" hidden="false" customHeight="false" outlineLevel="0" collapsed="false">
      <c r="A458" s="26" t="s">
        <v>1825</v>
      </c>
      <c r="B458" s="27" t="s">
        <v>1826</v>
      </c>
      <c r="C458" s="27" t="s">
        <v>137</v>
      </c>
      <c r="D458" s="26" t="s">
        <v>1827</v>
      </c>
      <c r="E458" s="27" t="s">
        <v>1826</v>
      </c>
      <c r="F458" s="28" t="s">
        <v>146</v>
      </c>
      <c r="G458" s="27" t="s">
        <v>1803</v>
      </c>
      <c r="H458" s="27" t="s">
        <v>57</v>
      </c>
      <c r="I458" s="27" t="s">
        <v>43</v>
      </c>
      <c r="J458" s="28" t="s">
        <v>399</v>
      </c>
      <c r="K458" s="27" t="s">
        <v>37</v>
      </c>
      <c r="L458" s="27" t="s">
        <v>80</v>
      </c>
    </row>
    <row r="459" customFormat="false" ht="15" hidden="false" customHeight="false" outlineLevel="0" collapsed="false">
      <c r="A459" s="26" t="s">
        <v>1828</v>
      </c>
      <c r="B459" s="27" t="s">
        <v>1829</v>
      </c>
      <c r="C459" s="27" t="s">
        <v>1830</v>
      </c>
      <c r="D459" s="26" t="s">
        <v>1831</v>
      </c>
      <c r="E459" s="27" t="s">
        <v>1832</v>
      </c>
      <c r="F459" s="28" t="s">
        <v>134</v>
      </c>
      <c r="G459" s="27" t="s">
        <v>1803</v>
      </c>
      <c r="H459" s="27" t="s">
        <v>57</v>
      </c>
      <c r="I459" s="27" t="s">
        <v>49</v>
      </c>
      <c r="J459" s="28" t="s">
        <v>636</v>
      </c>
      <c r="K459" s="27" t="s">
        <v>37</v>
      </c>
      <c r="L459" s="27" t="s">
        <v>1833</v>
      </c>
    </row>
    <row r="460" customFormat="false" ht="15" hidden="false" customHeight="false" outlineLevel="0" collapsed="false">
      <c r="A460" s="26" t="s">
        <v>1834</v>
      </c>
      <c r="B460" s="27" t="s">
        <v>1835</v>
      </c>
      <c r="C460" s="27" t="s">
        <v>144</v>
      </c>
      <c r="D460" s="26" t="s">
        <v>1836</v>
      </c>
      <c r="E460" s="27" t="s">
        <v>1837</v>
      </c>
      <c r="F460" s="28" t="s">
        <v>373</v>
      </c>
      <c r="G460" s="27" t="s">
        <v>1803</v>
      </c>
      <c r="H460" s="27" t="s">
        <v>57</v>
      </c>
      <c r="I460" s="27" t="s">
        <v>39</v>
      </c>
      <c r="J460" s="28" t="s">
        <v>636</v>
      </c>
      <c r="K460" s="27" t="s">
        <v>37</v>
      </c>
      <c r="L460" s="27" t="s">
        <v>74</v>
      </c>
    </row>
    <row r="461" customFormat="false" ht="15" hidden="false" customHeight="false" outlineLevel="0" collapsed="false">
      <c r="A461" s="26" t="s">
        <v>1838</v>
      </c>
      <c r="B461" s="27" t="s">
        <v>965</v>
      </c>
      <c r="C461" s="27" t="s">
        <v>370</v>
      </c>
      <c r="D461" s="26" t="s">
        <v>964</v>
      </c>
      <c r="E461" s="27" t="s">
        <v>965</v>
      </c>
      <c r="F461" s="28" t="s">
        <v>146</v>
      </c>
      <c r="G461" s="27" t="s">
        <v>1803</v>
      </c>
      <c r="H461" s="27" t="s">
        <v>56</v>
      </c>
      <c r="I461" s="27" t="s">
        <v>38</v>
      </c>
      <c r="J461" s="28" t="s">
        <v>913</v>
      </c>
      <c r="K461" s="27" t="s">
        <v>38</v>
      </c>
      <c r="L461" s="27" t="s">
        <v>76</v>
      </c>
    </row>
    <row r="462" customFormat="false" ht="15" hidden="false" customHeight="false" outlineLevel="0" collapsed="false">
      <c r="A462" s="26" t="s">
        <v>1839</v>
      </c>
      <c r="B462" s="27" t="s">
        <v>1840</v>
      </c>
      <c r="C462" s="27" t="s">
        <v>100</v>
      </c>
      <c r="D462" s="26" t="s">
        <v>1841</v>
      </c>
      <c r="E462" s="27" t="s">
        <v>1842</v>
      </c>
      <c r="F462" s="28" t="s">
        <v>140</v>
      </c>
      <c r="G462" s="27" t="s">
        <v>1803</v>
      </c>
      <c r="H462" s="27" t="s">
        <v>56</v>
      </c>
      <c r="I462" s="27" t="s">
        <v>38</v>
      </c>
      <c r="J462" s="28" t="s">
        <v>913</v>
      </c>
      <c r="K462" s="27" t="s">
        <v>38</v>
      </c>
      <c r="L462" s="27" t="s">
        <v>77</v>
      </c>
    </row>
    <row r="463" customFormat="false" ht="15" hidden="false" customHeight="false" outlineLevel="0" collapsed="false">
      <c r="A463" s="26" t="s">
        <v>1843</v>
      </c>
      <c r="B463" s="27" t="s">
        <v>1844</v>
      </c>
      <c r="C463" s="27" t="s">
        <v>1845</v>
      </c>
      <c r="D463" s="26" t="s">
        <v>1846</v>
      </c>
      <c r="E463" s="27" t="s">
        <v>1847</v>
      </c>
      <c r="F463" s="28" t="s">
        <v>140</v>
      </c>
      <c r="G463" s="27" t="s">
        <v>1803</v>
      </c>
      <c r="H463" s="27" t="s">
        <v>56</v>
      </c>
      <c r="I463" s="27" t="s">
        <v>38</v>
      </c>
      <c r="J463" s="28" t="s">
        <v>913</v>
      </c>
      <c r="K463" s="27" t="s">
        <v>38</v>
      </c>
      <c r="L463" s="27" t="s">
        <v>79</v>
      </c>
    </row>
    <row r="464" customFormat="false" ht="15" hidden="false" customHeight="false" outlineLevel="0" collapsed="false">
      <c r="A464" s="26" t="s">
        <v>1848</v>
      </c>
      <c r="B464" s="27" t="s">
        <v>1849</v>
      </c>
      <c r="C464" s="27" t="s">
        <v>1845</v>
      </c>
      <c r="D464" s="26" t="s">
        <v>1850</v>
      </c>
      <c r="E464" s="27" t="s">
        <v>1851</v>
      </c>
      <c r="F464" s="28" t="s">
        <v>140</v>
      </c>
      <c r="G464" s="27" t="s">
        <v>1803</v>
      </c>
      <c r="H464" s="27" t="s">
        <v>56</v>
      </c>
      <c r="I464" s="27" t="s">
        <v>38</v>
      </c>
      <c r="J464" s="28" t="s">
        <v>913</v>
      </c>
      <c r="K464" s="27" t="s">
        <v>38</v>
      </c>
      <c r="L464" s="27" t="s">
        <v>79</v>
      </c>
    </row>
    <row r="465" customFormat="false" ht="15" hidden="false" customHeight="false" outlineLevel="0" collapsed="false">
      <c r="A465" s="26" t="s">
        <v>1852</v>
      </c>
      <c r="B465" s="27" t="s">
        <v>1853</v>
      </c>
      <c r="C465" s="27" t="s">
        <v>1845</v>
      </c>
      <c r="D465" s="26" t="s">
        <v>1854</v>
      </c>
      <c r="E465" s="27" t="s">
        <v>1855</v>
      </c>
      <c r="F465" s="28" t="s">
        <v>140</v>
      </c>
      <c r="G465" s="27" t="s">
        <v>1803</v>
      </c>
      <c r="H465" s="27" t="s">
        <v>56</v>
      </c>
      <c r="I465" s="27" t="s">
        <v>38</v>
      </c>
      <c r="J465" s="28" t="s">
        <v>913</v>
      </c>
      <c r="K465" s="27" t="s">
        <v>38</v>
      </c>
      <c r="L465" s="27" t="s">
        <v>79</v>
      </c>
    </row>
    <row r="466" customFormat="false" ht="15" hidden="false" customHeight="false" outlineLevel="0" collapsed="false">
      <c r="A466" s="26" t="s">
        <v>1856</v>
      </c>
      <c r="B466" s="27" t="s">
        <v>1857</v>
      </c>
      <c r="C466" s="27" t="s">
        <v>100</v>
      </c>
      <c r="D466" s="26" t="s">
        <v>1858</v>
      </c>
      <c r="E466" s="27" t="s">
        <v>1859</v>
      </c>
      <c r="F466" s="28" t="s">
        <v>140</v>
      </c>
      <c r="G466" s="27" t="s">
        <v>1803</v>
      </c>
      <c r="H466" s="27" t="s">
        <v>56</v>
      </c>
      <c r="I466" s="27" t="s">
        <v>38</v>
      </c>
      <c r="J466" s="28" t="s">
        <v>913</v>
      </c>
      <c r="K466" s="27" t="s">
        <v>38</v>
      </c>
      <c r="L466" s="27" t="s">
        <v>77</v>
      </c>
    </row>
    <row r="467" customFormat="false" ht="15" hidden="false" customHeight="false" outlineLevel="0" collapsed="false">
      <c r="A467" s="26" t="s">
        <v>1860</v>
      </c>
      <c r="B467" s="27" t="s">
        <v>1861</v>
      </c>
      <c r="C467" s="27" t="s">
        <v>100</v>
      </c>
      <c r="D467" s="26" t="s">
        <v>1862</v>
      </c>
      <c r="E467" s="27" t="s">
        <v>1863</v>
      </c>
      <c r="F467" s="28" t="s">
        <v>140</v>
      </c>
      <c r="G467" s="27" t="s">
        <v>1803</v>
      </c>
      <c r="H467" s="27" t="s">
        <v>56</v>
      </c>
      <c r="I467" s="27" t="s">
        <v>38</v>
      </c>
      <c r="J467" s="28" t="s">
        <v>913</v>
      </c>
      <c r="K467" s="27" t="s">
        <v>38</v>
      </c>
      <c r="L467" s="27" t="s">
        <v>77</v>
      </c>
    </row>
    <row r="468" customFormat="false" ht="15" hidden="false" customHeight="false" outlineLevel="0" collapsed="false">
      <c r="A468" s="26" t="s">
        <v>1864</v>
      </c>
      <c r="B468" s="27" t="s">
        <v>1865</v>
      </c>
      <c r="C468" s="27" t="s">
        <v>100</v>
      </c>
      <c r="D468" s="26" t="s">
        <v>1866</v>
      </c>
      <c r="E468" s="27" t="s">
        <v>1867</v>
      </c>
      <c r="F468" s="28" t="s">
        <v>140</v>
      </c>
      <c r="G468" s="27" t="s">
        <v>1803</v>
      </c>
      <c r="H468" s="27" t="s">
        <v>56</v>
      </c>
      <c r="I468" s="27" t="s">
        <v>38</v>
      </c>
      <c r="J468" s="28" t="s">
        <v>913</v>
      </c>
      <c r="K468" s="27" t="s">
        <v>38</v>
      </c>
      <c r="L468" s="27" t="s">
        <v>77</v>
      </c>
    </row>
    <row r="469" customFormat="false" ht="15" hidden="false" customHeight="false" outlineLevel="0" collapsed="false">
      <c r="A469" s="26" t="s">
        <v>1868</v>
      </c>
      <c r="B469" s="27" t="s">
        <v>1869</v>
      </c>
      <c r="C469" s="27" t="s">
        <v>100</v>
      </c>
      <c r="D469" s="26" t="s">
        <v>1870</v>
      </c>
      <c r="E469" s="27" t="s">
        <v>1871</v>
      </c>
      <c r="F469" s="28" t="s">
        <v>140</v>
      </c>
      <c r="G469" s="27" t="s">
        <v>1803</v>
      </c>
      <c r="H469" s="27" t="s">
        <v>56</v>
      </c>
      <c r="I469" s="27" t="s">
        <v>38</v>
      </c>
      <c r="J469" s="28" t="s">
        <v>913</v>
      </c>
      <c r="K469" s="27" t="s">
        <v>38</v>
      </c>
      <c r="L469" s="27" t="s">
        <v>77</v>
      </c>
    </row>
    <row r="470" customFormat="false" ht="15" hidden="false" customHeight="false" outlineLevel="0" collapsed="false">
      <c r="A470" s="26" t="s">
        <v>1872</v>
      </c>
      <c r="B470" s="27" t="s">
        <v>1873</v>
      </c>
      <c r="C470" s="27" t="s">
        <v>100</v>
      </c>
      <c r="D470" s="26" t="s">
        <v>1874</v>
      </c>
      <c r="E470" s="27" t="s">
        <v>1875</v>
      </c>
      <c r="F470" s="28" t="s">
        <v>146</v>
      </c>
      <c r="G470" s="27" t="s">
        <v>1803</v>
      </c>
      <c r="H470" s="27" t="s">
        <v>56</v>
      </c>
      <c r="I470" s="27" t="s">
        <v>38</v>
      </c>
      <c r="J470" s="28" t="s">
        <v>913</v>
      </c>
      <c r="K470" s="27" t="s">
        <v>38</v>
      </c>
      <c r="L470" s="27" t="s">
        <v>1876</v>
      </c>
    </row>
    <row r="471" customFormat="false" ht="15" hidden="false" customHeight="false" outlineLevel="0" collapsed="false">
      <c r="A471" s="26" t="s">
        <v>1877</v>
      </c>
      <c r="B471" s="27" t="s">
        <v>1878</v>
      </c>
      <c r="C471" s="27" t="s">
        <v>144</v>
      </c>
      <c r="D471" s="26" t="s">
        <v>1879</v>
      </c>
      <c r="E471" s="27" t="s">
        <v>1880</v>
      </c>
      <c r="F471" s="28" t="s">
        <v>1190</v>
      </c>
      <c r="G471" s="27" t="s">
        <v>1803</v>
      </c>
      <c r="H471" s="27" t="s">
        <v>57</v>
      </c>
      <c r="I471" s="27" t="s">
        <v>41</v>
      </c>
      <c r="J471" s="28" t="s">
        <v>997</v>
      </c>
      <c r="K471" s="27" t="s">
        <v>39</v>
      </c>
      <c r="L471" s="27" t="s">
        <v>81</v>
      </c>
    </row>
    <row r="472" customFormat="false" ht="15" hidden="false" customHeight="false" outlineLevel="0" collapsed="false">
      <c r="A472" s="26" t="s">
        <v>1881</v>
      </c>
      <c r="B472" s="27" t="s">
        <v>1882</v>
      </c>
      <c r="C472" s="27" t="s">
        <v>144</v>
      </c>
      <c r="D472" s="26" t="s">
        <v>1883</v>
      </c>
      <c r="E472" s="27" t="s">
        <v>1884</v>
      </c>
      <c r="F472" s="28" t="s">
        <v>1190</v>
      </c>
      <c r="G472" s="27" t="s">
        <v>1803</v>
      </c>
      <c r="H472" s="27" t="s">
        <v>57</v>
      </c>
      <c r="I472" s="27" t="s">
        <v>41</v>
      </c>
      <c r="J472" s="28" t="s">
        <v>997</v>
      </c>
      <c r="K472" s="27" t="s">
        <v>39</v>
      </c>
      <c r="L472" s="27" t="s">
        <v>81</v>
      </c>
    </row>
    <row r="473" customFormat="false" ht="15" hidden="false" customHeight="false" outlineLevel="0" collapsed="false">
      <c r="A473" s="26" t="s">
        <v>1885</v>
      </c>
      <c r="B473" s="27" t="s">
        <v>1886</v>
      </c>
      <c r="C473" s="27" t="s">
        <v>370</v>
      </c>
      <c r="D473" s="26" t="s">
        <v>1887</v>
      </c>
      <c r="E473" s="27" t="s">
        <v>1886</v>
      </c>
      <c r="F473" s="28" t="s">
        <v>146</v>
      </c>
      <c r="G473" s="27" t="s">
        <v>1803</v>
      </c>
      <c r="H473" s="27" t="s">
        <v>56</v>
      </c>
      <c r="I473" s="27" t="s">
        <v>39</v>
      </c>
      <c r="J473" s="28" t="s">
        <v>997</v>
      </c>
      <c r="K473" s="27" t="s">
        <v>39</v>
      </c>
      <c r="L473" s="27" t="s">
        <v>76</v>
      </c>
    </row>
    <row r="474" customFormat="false" ht="15" hidden="false" customHeight="false" outlineLevel="0" collapsed="false">
      <c r="A474" s="26" t="s">
        <v>1888</v>
      </c>
      <c r="B474" s="27" t="s">
        <v>1889</v>
      </c>
      <c r="C474" s="27" t="s">
        <v>370</v>
      </c>
      <c r="D474" s="26" t="s">
        <v>1890</v>
      </c>
      <c r="E474" s="27" t="s">
        <v>1891</v>
      </c>
      <c r="F474" s="28" t="s">
        <v>146</v>
      </c>
      <c r="G474" s="27" t="s">
        <v>1803</v>
      </c>
      <c r="H474" s="27" t="s">
        <v>56</v>
      </c>
      <c r="I474" s="27" t="s">
        <v>39</v>
      </c>
      <c r="J474" s="28" t="s">
        <v>997</v>
      </c>
      <c r="K474" s="27" t="s">
        <v>39</v>
      </c>
      <c r="L474" s="27" t="s">
        <v>76</v>
      </c>
    </row>
    <row r="475" customFormat="false" ht="15" hidden="false" customHeight="false" outlineLevel="0" collapsed="false">
      <c r="A475" s="26" t="s">
        <v>1892</v>
      </c>
      <c r="B475" s="27" t="s">
        <v>1893</v>
      </c>
      <c r="C475" s="27" t="s">
        <v>1527</v>
      </c>
      <c r="D475" s="26" t="s">
        <v>1894</v>
      </c>
      <c r="E475" s="27" t="s">
        <v>1893</v>
      </c>
      <c r="F475" s="28" t="s">
        <v>146</v>
      </c>
      <c r="G475" s="27" t="s">
        <v>1803</v>
      </c>
      <c r="H475" s="27" t="s">
        <v>57</v>
      </c>
      <c r="I475" s="27" t="s">
        <v>1067</v>
      </c>
      <c r="J475" s="28" t="s">
        <v>997</v>
      </c>
      <c r="K475" s="27" t="s">
        <v>39</v>
      </c>
      <c r="L475" s="27" t="s">
        <v>1895</v>
      </c>
    </row>
    <row r="476" customFormat="false" ht="15" hidden="false" customHeight="false" outlineLevel="0" collapsed="false">
      <c r="A476" s="26" t="s">
        <v>1896</v>
      </c>
      <c r="B476" s="27" t="s">
        <v>1897</v>
      </c>
      <c r="C476" s="27" t="s">
        <v>370</v>
      </c>
      <c r="D476" s="26" t="s">
        <v>1898</v>
      </c>
      <c r="E476" s="27" t="s">
        <v>1897</v>
      </c>
      <c r="F476" s="28" t="s">
        <v>146</v>
      </c>
      <c r="G476" s="27" t="s">
        <v>1803</v>
      </c>
      <c r="H476" s="27" t="s">
        <v>57</v>
      </c>
      <c r="I476" s="27" t="s">
        <v>39</v>
      </c>
      <c r="J476" s="28" t="s">
        <v>1047</v>
      </c>
      <c r="K476" s="27" t="s">
        <v>45</v>
      </c>
      <c r="L476" s="27" t="s">
        <v>76</v>
      </c>
    </row>
    <row r="477" customFormat="false" ht="15" hidden="false" customHeight="false" outlineLevel="0" collapsed="false">
      <c r="A477" s="26" t="s">
        <v>1899</v>
      </c>
      <c r="B477" s="27" t="s">
        <v>1900</v>
      </c>
      <c r="C477" s="27" t="s">
        <v>1187</v>
      </c>
      <c r="D477" s="26" t="s">
        <v>1901</v>
      </c>
      <c r="E477" s="27" t="s">
        <v>1902</v>
      </c>
      <c r="F477" s="28" t="s">
        <v>146</v>
      </c>
      <c r="G477" s="27" t="s">
        <v>1803</v>
      </c>
      <c r="H477" s="27" t="s">
        <v>57</v>
      </c>
      <c r="I477" s="27" t="s">
        <v>37</v>
      </c>
      <c r="J477" s="28" t="s">
        <v>1047</v>
      </c>
      <c r="K477" s="27" t="s">
        <v>45</v>
      </c>
      <c r="L477" s="27" t="s">
        <v>82</v>
      </c>
    </row>
    <row r="478" customFormat="false" ht="15" hidden="false" customHeight="false" outlineLevel="0" collapsed="false">
      <c r="A478" s="26" t="s">
        <v>1903</v>
      </c>
      <c r="B478" s="27" t="s">
        <v>1904</v>
      </c>
      <c r="C478" s="27" t="s">
        <v>144</v>
      </c>
      <c r="D478" s="26" t="s">
        <v>1905</v>
      </c>
      <c r="E478" s="27" t="s">
        <v>1906</v>
      </c>
      <c r="F478" s="28" t="s">
        <v>1090</v>
      </c>
      <c r="G478" s="27" t="s">
        <v>1803</v>
      </c>
      <c r="H478" s="27" t="s">
        <v>56</v>
      </c>
      <c r="I478" s="27" t="s">
        <v>44</v>
      </c>
      <c r="J478" s="28" t="s">
        <v>1907</v>
      </c>
      <c r="K478" s="27" t="s">
        <v>44</v>
      </c>
      <c r="L478" s="27" t="s">
        <v>1908</v>
      </c>
    </row>
    <row r="479" customFormat="false" ht="15" hidden="false" customHeight="false" outlineLevel="0" collapsed="false">
      <c r="A479" s="26" t="s">
        <v>1909</v>
      </c>
      <c r="B479" s="27" t="s">
        <v>1910</v>
      </c>
      <c r="C479" s="27" t="s">
        <v>1911</v>
      </c>
      <c r="D479" s="26" t="s">
        <v>1097</v>
      </c>
      <c r="E479" s="27" t="s">
        <v>1098</v>
      </c>
      <c r="F479" s="28" t="s">
        <v>102</v>
      </c>
      <c r="G479" s="27" t="s">
        <v>1803</v>
      </c>
      <c r="H479" s="27" t="s">
        <v>56</v>
      </c>
      <c r="I479" s="27" t="s">
        <v>44</v>
      </c>
      <c r="J479" s="28" t="s">
        <v>1080</v>
      </c>
      <c r="K479" s="27" t="s">
        <v>44</v>
      </c>
      <c r="L479" s="27" t="s">
        <v>1912</v>
      </c>
    </row>
    <row r="480" customFormat="false" ht="15" hidden="false" customHeight="false" outlineLevel="0" collapsed="false">
      <c r="A480" s="26" t="s">
        <v>1913</v>
      </c>
      <c r="B480" s="27" t="s">
        <v>1914</v>
      </c>
      <c r="C480" s="27" t="s">
        <v>131</v>
      </c>
      <c r="D480" s="26" t="s">
        <v>1915</v>
      </c>
      <c r="E480" s="27" t="s">
        <v>1914</v>
      </c>
      <c r="F480" s="28" t="s">
        <v>102</v>
      </c>
      <c r="G480" s="27" t="s">
        <v>1803</v>
      </c>
      <c r="H480" s="27" t="s">
        <v>57</v>
      </c>
      <c r="I480" s="27" t="s">
        <v>49</v>
      </c>
      <c r="J480" s="28" t="s">
        <v>1080</v>
      </c>
      <c r="K480" s="27" t="s">
        <v>44</v>
      </c>
      <c r="L480" s="27" t="s">
        <v>1916</v>
      </c>
    </row>
    <row r="481" customFormat="false" ht="15" hidden="false" customHeight="false" outlineLevel="0" collapsed="false">
      <c r="A481" s="26" t="s">
        <v>1917</v>
      </c>
      <c r="B481" s="27" t="s">
        <v>1918</v>
      </c>
      <c r="C481" s="27" t="s">
        <v>131</v>
      </c>
      <c r="D481" s="26" t="s">
        <v>1919</v>
      </c>
      <c r="E481" s="27" t="s">
        <v>1920</v>
      </c>
      <c r="F481" s="28" t="s">
        <v>102</v>
      </c>
      <c r="G481" s="27" t="s">
        <v>1803</v>
      </c>
      <c r="H481" s="27" t="s">
        <v>57</v>
      </c>
      <c r="I481" s="27" t="s">
        <v>49</v>
      </c>
      <c r="J481" s="28" t="s">
        <v>1080</v>
      </c>
      <c r="K481" s="27" t="s">
        <v>44</v>
      </c>
      <c r="L481" s="27" t="s">
        <v>1916</v>
      </c>
    </row>
    <row r="482" customFormat="false" ht="15" hidden="false" customHeight="false" outlineLevel="0" collapsed="false">
      <c r="A482" s="26" t="s">
        <v>1921</v>
      </c>
      <c r="B482" s="27" t="s">
        <v>1922</v>
      </c>
      <c r="C482" s="27" t="s">
        <v>1187</v>
      </c>
      <c r="D482" s="26" t="s">
        <v>1923</v>
      </c>
      <c r="E482" s="27" t="s">
        <v>1924</v>
      </c>
      <c r="F482" s="28" t="s">
        <v>146</v>
      </c>
      <c r="G482" s="27" t="s">
        <v>1803</v>
      </c>
      <c r="H482" s="27" t="s">
        <v>56</v>
      </c>
      <c r="I482" s="27" t="s">
        <v>39</v>
      </c>
      <c r="J482" s="28" t="s">
        <v>1129</v>
      </c>
      <c r="K482" s="27" t="s">
        <v>39</v>
      </c>
      <c r="L482" s="27" t="s">
        <v>82</v>
      </c>
    </row>
    <row r="483" customFormat="false" ht="15" hidden="false" customHeight="false" outlineLevel="0" collapsed="false">
      <c r="A483" s="26" t="s">
        <v>1925</v>
      </c>
      <c r="B483" s="27" t="s">
        <v>1926</v>
      </c>
      <c r="C483" s="27" t="s">
        <v>144</v>
      </c>
      <c r="D483" s="26" t="s">
        <v>1927</v>
      </c>
      <c r="E483" s="27" t="s">
        <v>1928</v>
      </c>
      <c r="F483" s="28" t="s">
        <v>373</v>
      </c>
      <c r="G483" s="27" t="s">
        <v>1803</v>
      </c>
      <c r="H483" s="27" t="s">
        <v>57</v>
      </c>
      <c r="I483" s="27" t="s">
        <v>42</v>
      </c>
      <c r="J483" s="28" t="s">
        <v>1232</v>
      </c>
      <c r="K483" s="27" t="s">
        <v>49</v>
      </c>
      <c r="L483" s="27" t="s">
        <v>74</v>
      </c>
    </row>
    <row r="484" customFormat="false" ht="15" hidden="false" customHeight="false" outlineLevel="0" collapsed="false">
      <c r="A484" s="26" t="s">
        <v>1929</v>
      </c>
      <c r="B484" s="27" t="s">
        <v>1930</v>
      </c>
      <c r="C484" s="27" t="s">
        <v>144</v>
      </c>
      <c r="D484" s="26" t="s">
        <v>1931</v>
      </c>
      <c r="E484" s="27" t="s">
        <v>1930</v>
      </c>
      <c r="F484" s="28" t="s">
        <v>373</v>
      </c>
      <c r="G484" s="27" t="s">
        <v>1803</v>
      </c>
      <c r="H484" s="27" t="s">
        <v>57</v>
      </c>
      <c r="I484" s="27" t="s">
        <v>42</v>
      </c>
      <c r="J484" s="28" t="s">
        <v>1932</v>
      </c>
      <c r="K484" s="27" t="s">
        <v>39</v>
      </c>
      <c r="L484" s="27" t="s">
        <v>74</v>
      </c>
    </row>
    <row r="485" customFormat="false" ht="15" hidden="false" customHeight="false" outlineLevel="0" collapsed="false">
      <c r="A485" s="26" t="s">
        <v>1933</v>
      </c>
      <c r="B485" s="27" t="s">
        <v>1934</v>
      </c>
      <c r="C485" s="27" t="s">
        <v>370</v>
      </c>
      <c r="D485" s="26" t="s">
        <v>1935</v>
      </c>
      <c r="E485" s="27" t="s">
        <v>1936</v>
      </c>
      <c r="F485" s="28" t="s">
        <v>146</v>
      </c>
      <c r="G485" s="27" t="s">
        <v>1803</v>
      </c>
      <c r="H485" s="27" t="s">
        <v>56</v>
      </c>
      <c r="I485" s="27" t="s">
        <v>42</v>
      </c>
      <c r="J485" s="28" t="s">
        <v>1268</v>
      </c>
      <c r="K485" s="27" t="s">
        <v>42</v>
      </c>
      <c r="L485" s="27" t="s">
        <v>76</v>
      </c>
    </row>
    <row r="486" customFormat="false" ht="15" hidden="false" customHeight="false" outlineLevel="0" collapsed="false">
      <c r="A486" s="26" t="s">
        <v>1937</v>
      </c>
      <c r="B486" s="27" t="s">
        <v>1938</v>
      </c>
      <c r="C486" s="27" t="s">
        <v>144</v>
      </c>
      <c r="D486" s="26" t="s">
        <v>1281</v>
      </c>
      <c r="E486" s="27" t="s">
        <v>1280</v>
      </c>
      <c r="F486" s="28" t="s">
        <v>1090</v>
      </c>
      <c r="G486" s="27" t="s">
        <v>1803</v>
      </c>
      <c r="H486" s="27" t="s">
        <v>57</v>
      </c>
      <c r="I486" s="27" t="s">
        <v>44</v>
      </c>
      <c r="J486" s="28" t="s">
        <v>1268</v>
      </c>
      <c r="K486" s="27" t="s">
        <v>42</v>
      </c>
      <c r="L486" s="27" t="s">
        <v>1908</v>
      </c>
    </row>
    <row r="487" customFormat="false" ht="15" hidden="false" customHeight="false" outlineLevel="0" collapsed="false">
      <c r="A487" s="26" t="s">
        <v>1939</v>
      </c>
      <c r="B487" s="27" t="s">
        <v>1940</v>
      </c>
      <c r="C487" s="27" t="s">
        <v>144</v>
      </c>
      <c r="D487" s="26" t="s">
        <v>1941</v>
      </c>
      <c r="E487" s="27" t="s">
        <v>1940</v>
      </c>
      <c r="F487" s="28" t="s">
        <v>373</v>
      </c>
      <c r="G487" s="27" t="s">
        <v>1803</v>
      </c>
      <c r="H487" s="27" t="s">
        <v>57</v>
      </c>
      <c r="I487" s="27" t="s">
        <v>42</v>
      </c>
      <c r="J487" s="28" t="s">
        <v>1329</v>
      </c>
      <c r="K487" s="27" t="s">
        <v>64</v>
      </c>
      <c r="L487" s="27" t="s">
        <v>74</v>
      </c>
    </row>
    <row r="488" customFormat="false" ht="15" hidden="false" customHeight="false" outlineLevel="0" collapsed="false">
      <c r="A488" s="26" t="s">
        <v>1942</v>
      </c>
      <c r="B488" s="27" t="s">
        <v>1943</v>
      </c>
      <c r="C488" s="27" t="s">
        <v>1944</v>
      </c>
      <c r="D488" s="26" t="s">
        <v>1381</v>
      </c>
      <c r="E488" s="27" t="s">
        <v>1382</v>
      </c>
      <c r="F488" s="28" t="s">
        <v>134</v>
      </c>
      <c r="G488" s="27" t="s">
        <v>1803</v>
      </c>
      <c r="H488" s="27" t="s">
        <v>57</v>
      </c>
      <c r="I488" s="27" t="s">
        <v>1067</v>
      </c>
      <c r="J488" s="28" t="s">
        <v>1329</v>
      </c>
      <c r="K488" s="27" t="s">
        <v>64</v>
      </c>
      <c r="L488" s="27" t="s">
        <v>1945</v>
      </c>
    </row>
    <row r="489" customFormat="false" ht="15" hidden="false" customHeight="false" outlineLevel="0" collapsed="false">
      <c r="A489" s="26" t="s">
        <v>1946</v>
      </c>
      <c r="B489" s="27" t="s">
        <v>1947</v>
      </c>
      <c r="C489" s="27" t="s">
        <v>100</v>
      </c>
      <c r="D489" s="26" t="s">
        <v>1948</v>
      </c>
      <c r="E489" s="27" t="s">
        <v>1947</v>
      </c>
      <c r="F489" s="28" t="s">
        <v>1496</v>
      </c>
      <c r="G489" s="27" t="s">
        <v>1803</v>
      </c>
      <c r="H489" s="27" t="s">
        <v>57</v>
      </c>
      <c r="I489" s="27" t="s">
        <v>43</v>
      </c>
      <c r="J489" s="28" t="s">
        <v>1329</v>
      </c>
      <c r="K489" s="27" t="s">
        <v>64</v>
      </c>
      <c r="L489" s="27" t="s">
        <v>1949</v>
      </c>
    </row>
    <row r="490" customFormat="false" ht="15" hidden="false" customHeight="false" outlineLevel="0" collapsed="false">
      <c r="A490" s="26" t="s">
        <v>1950</v>
      </c>
      <c r="B490" s="27" t="s">
        <v>1951</v>
      </c>
      <c r="C490" s="27" t="s">
        <v>1493</v>
      </c>
      <c r="D490" s="26" t="s">
        <v>1952</v>
      </c>
      <c r="E490" s="27" t="s">
        <v>1951</v>
      </c>
      <c r="F490" s="28" t="s">
        <v>1529</v>
      </c>
      <c r="G490" s="27" t="s">
        <v>1803</v>
      </c>
      <c r="H490" s="27" t="s">
        <v>57</v>
      </c>
      <c r="I490" s="27" t="s">
        <v>1953</v>
      </c>
      <c r="J490" s="28" t="s">
        <v>1329</v>
      </c>
      <c r="K490" s="27" t="s">
        <v>64</v>
      </c>
      <c r="L490" s="27" t="s">
        <v>1954</v>
      </c>
    </row>
    <row r="491" customFormat="false" ht="15" hidden="false" customHeight="false" outlineLevel="0" collapsed="false">
      <c r="A491" s="26" t="s">
        <v>1955</v>
      </c>
      <c r="B491" s="27" t="s">
        <v>1956</v>
      </c>
      <c r="C491" s="27" t="s">
        <v>100</v>
      </c>
      <c r="D491" s="26" t="s">
        <v>1957</v>
      </c>
      <c r="E491" s="27" t="s">
        <v>1956</v>
      </c>
      <c r="F491" s="28" t="s">
        <v>146</v>
      </c>
      <c r="G491" s="27" t="s">
        <v>1803</v>
      </c>
      <c r="H491" s="27" t="s">
        <v>56</v>
      </c>
      <c r="I491" s="27" t="s">
        <v>64</v>
      </c>
      <c r="J491" s="28" t="s">
        <v>1329</v>
      </c>
      <c r="K491" s="27" t="s">
        <v>64</v>
      </c>
      <c r="L491" s="27" t="s">
        <v>1876</v>
      </c>
    </row>
    <row r="492" customFormat="false" ht="15" hidden="false" customHeight="false" outlineLevel="0" collapsed="false">
      <c r="A492" s="26" t="s">
        <v>1958</v>
      </c>
      <c r="B492" s="27" t="s">
        <v>1959</v>
      </c>
      <c r="C492" s="27" t="s">
        <v>131</v>
      </c>
      <c r="D492" s="26" t="s">
        <v>1960</v>
      </c>
      <c r="E492" s="27" t="s">
        <v>1961</v>
      </c>
      <c r="F492" s="28" t="s">
        <v>146</v>
      </c>
      <c r="G492" s="27" t="s">
        <v>1803</v>
      </c>
      <c r="H492" s="27" t="s">
        <v>56</v>
      </c>
      <c r="I492" s="27" t="s">
        <v>64</v>
      </c>
      <c r="J492" s="28" t="s">
        <v>1329</v>
      </c>
      <c r="K492" s="27" t="s">
        <v>64</v>
      </c>
      <c r="L492" s="27" t="s">
        <v>1962</v>
      </c>
    </row>
    <row r="493" customFormat="false" ht="15" hidden="false" customHeight="false" outlineLevel="0" collapsed="false">
      <c r="A493" s="26" t="s">
        <v>1963</v>
      </c>
      <c r="B493" s="27" t="s">
        <v>1964</v>
      </c>
      <c r="C493" s="27" t="s">
        <v>100</v>
      </c>
      <c r="D493" s="26" t="s">
        <v>1965</v>
      </c>
      <c r="E493" s="27" t="s">
        <v>1964</v>
      </c>
      <c r="F493" s="28" t="s">
        <v>1529</v>
      </c>
      <c r="G493" s="27" t="s">
        <v>1803</v>
      </c>
      <c r="H493" s="27" t="s">
        <v>56</v>
      </c>
      <c r="I493" s="27" t="s">
        <v>64</v>
      </c>
      <c r="J493" s="28" t="s">
        <v>1329</v>
      </c>
      <c r="K493" s="27" t="s">
        <v>64</v>
      </c>
      <c r="L493" s="27" t="s">
        <v>1966</v>
      </c>
    </row>
    <row r="494" customFormat="false" ht="15" hidden="false" customHeight="false" outlineLevel="0" collapsed="false">
      <c r="A494" s="26" t="s">
        <v>1967</v>
      </c>
      <c r="B494" s="27" t="s">
        <v>1968</v>
      </c>
      <c r="C494" s="27" t="s">
        <v>144</v>
      </c>
      <c r="D494" s="26" t="s">
        <v>1969</v>
      </c>
      <c r="E494" s="27" t="s">
        <v>1968</v>
      </c>
      <c r="F494" s="28" t="s">
        <v>1529</v>
      </c>
      <c r="G494" s="27" t="s">
        <v>1803</v>
      </c>
      <c r="H494" s="27" t="s">
        <v>56</v>
      </c>
      <c r="I494" s="27" t="s">
        <v>64</v>
      </c>
      <c r="J494" s="28" t="s">
        <v>1329</v>
      </c>
      <c r="K494" s="27" t="s">
        <v>64</v>
      </c>
      <c r="L494" s="27" t="s">
        <v>1970</v>
      </c>
    </row>
    <row r="495" customFormat="false" ht="15" hidden="false" customHeight="false" outlineLevel="0" collapsed="false">
      <c r="A495" s="26" t="s">
        <v>1971</v>
      </c>
      <c r="B495" s="27" t="s">
        <v>1972</v>
      </c>
      <c r="C495" s="27" t="s">
        <v>1527</v>
      </c>
      <c r="D495" s="26" t="s">
        <v>1973</v>
      </c>
      <c r="E495" s="27" t="s">
        <v>1972</v>
      </c>
      <c r="F495" s="28" t="s">
        <v>146</v>
      </c>
      <c r="G495" s="27" t="s">
        <v>1803</v>
      </c>
      <c r="H495" s="27" t="s">
        <v>57</v>
      </c>
      <c r="I495" s="27" t="s">
        <v>42</v>
      </c>
      <c r="J495" s="28" t="s">
        <v>1329</v>
      </c>
      <c r="K495" s="27" t="s">
        <v>64</v>
      </c>
      <c r="L495" s="27" t="s">
        <v>1895</v>
      </c>
    </row>
    <row r="496" customFormat="false" ht="15" hidden="false" customHeight="false" outlineLevel="0" collapsed="false">
      <c r="A496" s="26" t="s">
        <v>1974</v>
      </c>
      <c r="B496" s="27" t="s">
        <v>1975</v>
      </c>
      <c r="C496" s="27" t="s">
        <v>144</v>
      </c>
      <c r="D496" s="26" t="s">
        <v>1976</v>
      </c>
      <c r="E496" s="27" t="s">
        <v>1975</v>
      </c>
      <c r="F496" s="28" t="s">
        <v>1190</v>
      </c>
      <c r="G496" s="27" t="s">
        <v>1803</v>
      </c>
      <c r="H496" s="27" t="s">
        <v>57</v>
      </c>
      <c r="I496" s="27" t="s">
        <v>42</v>
      </c>
      <c r="J496" s="28" t="s">
        <v>1329</v>
      </c>
      <c r="K496" s="27" t="s">
        <v>64</v>
      </c>
      <c r="L496" s="27" t="s">
        <v>81</v>
      </c>
    </row>
    <row r="497" customFormat="false" ht="15" hidden="false" customHeight="false" outlineLevel="0" collapsed="false">
      <c r="A497" s="26" t="s">
        <v>1977</v>
      </c>
      <c r="B497" s="27" t="s">
        <v>1978</v>
      </c>
      <c r="C497" s="27" t="s">
        <v>100</v>
      </c>
      <c r="D497" s="26" t="s">
        <v>1979</v>
      </c>
      <c r="E497" s="27" t="s">
        <v>1978</v>
      </c>
      <c r="F497" s="28" t="s">
        <v>1529</v>
      </c>
      <c r="G497" s="27" t="s">
        <v>1803</v>
      </c>
      <c r="H497" s="27" t="s">
        <v>56</v>
      </c>
      <c r="I497" s="27" t="s">
        <v>64</v>
      </c>
      <c r="J497" s="28" t="s">
        <v>1329</v>
      </c>
      <c r="K497" s="27" t="s">
        <v>64</v>
      </c>
      <c r="L497" s="27" t="s">
        <v>1966</v>
      </c>
    </row>
    <row r="498" customFormat="false" ht="15" hidden="false" customHeight="false" outlineLevel="0" collapsed="false">
      <c r="A498" s="26" t="s">
        <v>1980</v>
      </c>
      <c r="B498" s="27" t="s">
        <v>1981</v>
      </c>
      <c r="C498" s="27" t="s">
        <v>144</v>
      </c>
      <c r="D498" s="26" t="s">
        <v>1982</v>
      </c>
      <c r="E498" s="27" t="s">
        <v>1983</v>
      </c>
      <c r="F498" s="28" t="s">
        <v>1190</v>
      </c>
      <c r="G498" s="27" t="s">
        <v>1803</v>
      </c>
      <c r="H498" s="27" t="s">
        <v>57</v>
      </c>
      <c r="I498" s="27" t="s">
        <v>42</v>
      </c>
      <c r="J498" s="28" t="s">
        <v>1329</v>
      </c>
      <c r="K498" s="27" t="s">
        <v>64</v>
      </c>
      <c r="L498" s="27" t="s">
        <v>81</v>
      </c>
    </row>
    <row r="499" customFormat="false" ht="15" hidden="false" customHeight="false" outlineLevel="0" collapsed="false">
      <c r="A499" s="26" t="s">
        <v>1984</v>
      </c>
      <c r="B499" s="27" t="s">
        <v>1985</v>
      </c>
      <c r="C499" s="27" t="s">
        <v>1527</v>
      </c>
      <c r="D499" s="26" t="s">
        <v>1986</v>
      </c>
      <c r="E499" s="27" t="s">
        <v>1987</v>
      </c>
      <c r="F499" s="28" t="s">
        <v>146</v>
      </c>
      <c r="G499" s="27" t="s">
        <v>1803</v>
      </c>
      <c r="H499" s="27" t="s">
        <v>57</v>
      </c>
      <c r="I499" s="27" t="s">
        <v>1344</v>
      </c>
      <c r="J499" s="28" t="s">
        <v>1329</v>
      </c>
      <c r="K499" s="27" t="s">
        <v>64</v>
      </c>
      <c r="L499" s="27" t="s">
        <v>1895</v>
      </c>
    </row>
    <row r="500" customFormat="false" ht="15" hidden="false" customHeight="false" outlineLevel="0" collapsed="false">
      <c r="A500" s="26" t="s">
        <v>1988</v>
      </c>
      <c r="B500" s="27" t="s">
        <v>1989</v>
      </c>
      <c r="C500" s="27" t="s">
        <v>1990</v>
      </c>
      <c r="D500" s="26" t="s">
        <v>1991</v>
      </c>
      <c r="E500" s="27" t="s">
        <v>1992</v>
      </c>
      <c r="F500" s="28" t="s">
        <v>1529</v>
      </c>
      <c r="G500" s="27" t="s">
        <v>1803</v>
      </c>
      <c r="H500" s="27" t="s">
        <v>57</v>
      </c>
      <c r="I500" s="27" t="s">
        <v>1067</v>
      </c>
      <c r="J500" s="28" t="s">
        <v>1329</v>
      </c>
      <c r="K500" s="27" t="s">
        <v>64</v>
      </c>
      <c r="L500" s="27" t="s">
        <v>1993</v>
      </c>
    </row>
    <row r="501" customFormat="false" ht="15" hidden="false" customHeight="false" outlineLevel="0" collapsed="false">
      <c r="A501" s="26" t="s">
        <v>1994</v>
      </c>
      <c r="B501" s="27" t="s">
        <v>1995</v>
      </c>
      <c r="C501" s="27" t="s">
        <v>144</v>
      </c>
      <c r="D501" s="26" t="s">
        <v>1996</v>
      </c>
      <c r="E501" s="27" t="s">
        <v>1997</v>
      </c>
      <c r="F501" s="28" t="s">
        <v>373</v>
      </c>
      <c r="G501" s="27" t="s">
        <v>1803</v>
      </c>
      <c r="H501" s="27" t="s">
        <v>57</v>
      </c>
      <c r="I501" s="27" t="s">
        <v>42</v>
      </c>
      <c r="J501" s="28" t="s">
        <v>1329</v>
      </c>
      <c r="K501" s="27" t="s">
        <v>64</v>
      </c>
      <c r="L501" s="27" t="s">
        <v>74</v>
      </c>
    </row>
    <row r="502" customFormat="false" ht="15" hidden="false" customHeight="false" outlineLevel="0" collapsed="false">
      <c r="A502" s="26" t="s">
        <v>1998</v>
      </c>
      <c r="B502" s="27" t="s">
        <v>1999</v>
      </c>
      <c r="C502" s="27" t="s">
        <v>144</v>
      </c>
      <c r="D502" s="26" t="s">
        <v>2000</v>
      </c>
      <c r="E502" s="27" t="s">
        <v>2001</v>
      </c>
      <c r="F502" s="28" t="s">
        <v>1529</v>
      </c>
      <c r="G502" s="27" t="s">
        <v>1803</v>
      </c>
      <c r="H502" s="27" t="s">
        <v>57</v>
      </c>
      <c r="I502" s="27" t="s">
        <v>1067</v>
      </c>
      <c r="J502" s="28" t="s">
        <v>1329</v>
      </c>
      <c r="K502" s="27" t="s">
        <v>64</v>
      </c>
      <c r="L502" s="27" t="s">
        <v>1970</v>
      </c>
    </row>
    <row r="503" customFormat="false" ht="15" hidden="false" customHeight="false" outlineLevel="0" collapsed="false">
      <c r="A503" s="26" t="s">
        <v>2002</v>
      </c>
      <c r="B503" s="27" t="s">
        <v>2003</v>
      </c>
      <c r="C503" s="27" t="s">
        <v>1527</v>
      </c>
      <c r="D503" s="26" t="s">
        <v>2004</v>
      </c>
      <c r="E503" s="27" t="s">
        <v>2003</v>
      </c>
      <c r="F503" s="28" t="s">
        <v>1496</v>
      </c>
      <c r="G503" s="27" t="s">
        <v>1803</v>
      </c>
      <c r="H503" s="27" t="s">
        <v>56</v>
      </c>
      <c r="I503" s="27" t="s">
        <v>43</v>
      </c>
      <c r="J503" s="28" t="s">
        <v>1483</v>
      </c>
      <c r="K503" s="27" t="s">
        <v>43</v>
      </c>
      <c r="L503" s="27" t="s">
        <v>2005</v>
      </c>
    </row>
    <row r="504" customFormat="false" ht="15" hidden="false" customHeight="false" outlineLevel="0" collapsed="false">
      <c r="A504" s="26" t="s">
        <v>2006</v>
      </c>
      <c r="B504" s="27" t="s">
        <v>2007</v>
      </c>
      <c r="C504" s="27" t="s">
        <v>100</v>
      </c>
      <c r="D504" s="26" t="s">
        <v>2008</v>
      </c>
      <c r="E504" s="27" t="s">
        <v>2009</v>
      </c>
      <c r="F504" s="28" t="s">
        <v>134</v>
      </c>
      <c r="G504" s="27" t="s">
        <v>1803</v>
      </c>
      <c r="H504" s="27" t="s">
        <v>56</v>
      </c>
      <c r="I504" s="27" t="s">
        <v>43</v>
      </c>
      <c r="J504" s="28" t="s">
        <v>1483</v>
      </c>
      <c r="K504" s="27" t="s">
        <v>43</v>
      </c>
      <c r="L504" s="27" t="s">
        <v>1804</v>
      </c>
    </row>
    <row r="505" customFormat="false" ht="15" hidden="false" customHeight="false" outlineLevel="0" collapsed="false">
      <c r="A505" s="26" t="s">
        <v>2010</v>
      </c>
      <c r="B505" s="27" t="s">
        <v>2011</v>
      </c>
      <c r="C505" s="27" t="s">
        <v>1493</v>
      </c>
      <c r="D505" s="26" t="s">
        <v>2012</v>
      </c>
      <c r="E505" s="27" t="s">
        <v>2013</v>
      </c>
      <c r="F505" s="28" t="s">
        <v>102</v>
      </c>
      <c r="G505" s="27" t="s">
        <v>1803</v>
      </c>
      <c r="H505" s="27" t="s">
        <v>57</v>
      </c>
      <c r="I505" s="27" t="s">
        <v>108</v>
      </c>
      <c r="J505" s="28" t="s">
        <v>1483</v>
      </c>
      <c r="K505" s="27" t="s">
        <v>43</v>
      </c>
      <c r="L505" s="27" t="s">
        <v>2014</v>
      </c>
    </row>
    <row r="506" customFormat="false" ht="15" hidden="false" customHeight="false" outlineLevel="0" collapsed="false">
      <c r="A506" s="26" t="s">
        <v>2015</v>
      </c>
      <c r="B506" s="27" t="s">
        <v>2016</v>
      </c>
      <c r="C506" s="27" t="s">
        <v>100</v>
      </c>
      <c r="D506" s="26" t="s">
        <v>2017</v>
      </c>
      <c r="E506" s="27" t="s">
        <v>2018</v>
      </c>
      <c r="F506" s="28" t="s">
        <v>1529</v>
      </c>
      <c r="G506" s="27" t="s">
        <v>1803</v>
      </c>
      <c r="H506" s="27" t="s">
        <v>57</v>
      </c>
      <c r="I506" s="27" t="s">
        <v>64</v>
      </c>
      <c r="J506" s="28" t="s">
        <v>1483</v>
      </c>
      <c r="K506" s="27" t="s">
        <v>43</v>
      </c>
      <c r="L506" s="27" t="s">
        <v>1966</v>
      </c>
    </row>
    <row r="507" customFormat="false" ht="15" hidden="false" customHeight="false" outlineLevel="0" collapsed="false">
      <c r="A507" s="26" t="s">
        <v>2019</v>
      </c>
      <c r="B507" s="27" t="s">
        <v>2020</v>
      </c>
      <c r="C507" s="27" t="s">
        <v>100</v>
      </c>
      <c r="D507" s="26" t="s">
        <v>1572</v>
      </c>
      <c r="E507" s="27" t="s">
        <v>1573</v>
      </c>
      <c r="F507" s="28" t="s">
        <v>134</v>
      </c>
      <c r="G507" s="27" t="s">
        <v>1803</v>
      </c>
      <c r="H507" s="27" t="s">
        <v>56</v>
      </c>
      <c r="I507" s="27" t="s">
        <v>43</v>
      </c>
      <c r="J507" s="28" t="s">
        <v>1483</v>
      </c>
      <c r="K507" s="27" t="s">
        <v>43</v>
      </c>
      <c r="L507" s="27" t="s">
        <v>1804</v>
      </c>
    </row>
    <row r="508" customFormat="false" ht="15" hidden="false" customHeight="false" outlineLevel="0" collapsed="false">
      <c r="A508" s="26" t="s">
        <v>2021</v>
      </c>
      <c r="B508" s="27" t="s">
        <v>2022</v>
      </c>
      <c r="C508" s="27" t="s">
        <v>1493</v>
      </c>
      <c r="D508" s="26" t="s">
        <v>2023</v>
      </c>
      <c r="E508" s="27" t="s">
        <v>2024</v>
      </c>
      <c r="F508" s="28" t="s">
        <v>102</v>
      </c>
      <c r="G508" s="27" t="s">
        <v>1803</v>
      </c>
      <c r="H508" s="27" t="s">
        <v>57</v>
      </c>
      <c r="I508" s="27" t="s">
        <v>47</v>
      </c>
      <c r="J508" s="28" t="s">
        <v>1483</v>
      </c>
      <c r="K508" s="27" t="s">
        <v>43</v>
      </c>
      <c r="L508" s="27" t="s">
        <v>2014</v>
      </c>
    </row>
    <row r="509" customFormat="false" ht="15" hidden="false" customHeight="false" outlineLevel="0" collapsed="false">
      <c r="A509" s="26" t="s">
        <v>2025</v>
      </c>
      <c r="B509" s="27" t="s">
        <v>2026</v>
      </c>
      <c r="C509" s="27" t="s">
        <v>100</v>
      </c>
      <c r="D509" s="26" t="s">
        <v>2027</v>
      </c>
      <c r="E509" s="27" t="s">
        <v>2026</v>
      </c>
      <c r="F509" s="28" t="s">
        <v>2028</v>
      </c>
      <c r="G509" s="27" t="s">
        <v>1803</v>
      </c>
      <c r="H509" s="27" t="s">
        <v>56</v>
      </c>
      <c r="I509" s="27" t="s">
        <v>43</v>
      </c>
      <c r="J509" s="28" t="s">
        <v>1483</v>
      </c>
      <c r="K509" s="27" t="s">
        <v>43</v>
      </c>
      <c r="L509" s="27" t="s">
        <v>2029</v>
      </c>
    </row>
    <row r="510" customFormat="false" ht="15" hidden="false" customHeight="false" outlineLevel="0" collapsed="false">
      <c r="A510" s="26" t="s">
        <v>2030</v>
      </c>
      <c r="B510" s="27" t="s">
        <v>1561</v>
      </c>
      <c r="C510" s="27" t="s">
        <v>2031</v>
      </c>
      <c r="D510" s="26" t="s">
        <v>1560</v>
      </c>
      <c r="E510" s="27" t="s">
        <v>1561</v>
      </c>
      <c r="F510" s="28" t="s">
        <v>134</v>
      </c>
      <c r="G510" s="27" t="s">
        <v>1803</v>
      </c>
      <c r="H510" s="27" t="s">
        <v>56</v>
      </c>
      <c r="I510" s="27" t="s">
        <v>43</v>
      </c>
      <c r="J510" s="28" t="s">
        <v>1483</v>
      </c>
      <c r="K510" s="27" t="s">
        <v>43</v>
      </c>
      <c r="L510" s="27" t="s">
        <v>2032</v>
      </c>
    </row>
    <row r="511" customFormat="false" ht="15" hidden="false" customHeight="false" outlineLevel="0" collapsed="false">
      <c r="A511" s="26" t="s">
        <v>2033</v>
      </c>
      <c r="B511" s="27" t="s">
        <v>1559</v>
      </c>
      <c r="C511" s="27" t="s">
        <v>2034</v>
      </c>
      <c r="D511" s="26" t="s">
        <v>1560</v>
      </c>
      <c r="E511" s="27" t="s">
        <v>1561</v>
      </c>
      <c r="F511" s="28" t="s">
        <v>134</v>
      </c>
      <c r="G511" s="27" t="s">
        <v>1803</v>
      </c>
      <c r="H511" s="27" t="s">
        <v>56</v>
      </c>
      <c r="I511" s="27" t="s">
        <v>43</v>
      </c>
      <c r="J511" s="28" t="s">
        <v>1483</v>
      </c>
      <c r="K511" s="27" t="s">
        <v>43</v>
      </c>
      <c r="L511" s="27" t="s">
        <v>2035</v>
      </c>
    </row>
    <row r="512" customFormat="false" ht="15" hidden="false" customHeight="false" outlineLevel="0" collapsed="false">
      <c r="A512" s="26" t="s">
        <v>2036</v>
      </c>
      <c r="B512" s="27" t="s">
        <v>2037</v>
      </c>
      <c r="C512" s="27" t="s">
        <v>2034</v>
      </c>
      <c r="D512" s="26" t="s">
        <v>2038</v>
      </c>
      <c r="E512" s="27" t="s">
        <v>2037</v>
      </c>
      <c r="F512" s="28" t="s">
        <v>134</v>
      </c>
      <c r="G512" s="27" t="s">
        <v>1803</v>
      </c>
      <c r="H512" s="27" t="s">
        <v>56</v>
      </c>
      <c r="I512" s="27" t="s">
        <v>43</v>
      </c>
      <c r="J512" s="28" t="s">
        <v>1483</v>
      </c>
      <c r="K512" s="27" t="s">
        <v>43</v>
      </c>
      <c r="L512" s="27" t="s">
        <v>2035</v>
      </c>
    </row>
    <row r="513" customFormat="false" ht="15" hidden="false" customHeight="false" outlineLevel="0" collapsed="false">
      <c r="A513" s="26" t="s">
        <v>2039</v>
      </c>
      <c r="B513" s="27" t="s">
        <v>2040</v>
      </c>
      <c r="C513" s="27" t="s">
        <v>2041</v>
      </c>
      <c r="D513" s="26" t="s">
        <v>2042</v>
      </c>
      <c r="E513" s="27" t="s">
        <v>2043</v>
      </c>
      <c r="F513" s="28" t="s">
        <v>1529</v>
      </c>
      <c r="G513" s="27" t="s">
        <v>1803</v>
      </c>
      <c r="H513" s="27" t="s">
        <v>56</v>
      </c>
      <c r="I513" s="27" t="s">
        <v>43</v>
      </c>
      <c r="J513" s="28" t="s">
        <v>1483</v>
      </c>
      <c r="K513" s="27" t="s">
        <v>43</v>
      </c>
      <c r="L513" s="27" t="s">
        <v>2044</v>
      </c>
    </row>
    <row r="514" customFormat="false" ht="15" hidden="false" customHeight="false" outlineLevel="0" collapsed="false">
      <c r="A514" s="26" t="s">
        <v>2045</v>
      </c>
      <c r="B514" s="27" t="s">
        <v>2046</v>
      </c>
      <c r="C514" s="27" t="s">
        <v>144</v>
      </c>
      <c r="D514" s="26" t="s">
        <v>2047</v>
      </c>
      <c r="E514" s="27" t="s">
        <v>2046</v>
      </c>
      <c r="F514" s="28" t="s">
        <v>1529</v>
      </c>
      <c r="G514" s="27" t="s">
        <v>1803</v>
      </c>
      <c r="H514" s="27" t="s">
        <v>56</v>
      </c>
      <c r="I514" s="27" t="s">
        <v>42</v>
      </c>
      <c r="J514" s="28" t="s">
        <v>1579</v>
      </c>
      <c r="K514" s="27" t="s">
        <v>42</v>
      </c>
      <c r="L514" s="27" t="s">
        <v>1970</v>
      </c>
    </row>
    <row r="515" customFormat="false" ht="15" hidden="false" customHeight="false" outlineLevel="0" collapsed="false">
      <c r="A515" s="26" t="s">
        <v>2048</v>
      </c>
      <c r="B515" s="27" t="s">
        <v>2049</v>
      </c>
      <c r="C515" s="27" t="s">
        <v>144</v>
      </c>
      <c r="D515" s="26" t="s">
        <v>2050</v>
      </c>
      <c r="E515" s="27" t="s">
        <v>2049</v>
      </c>
      <c r="F515" s="28" t="s">
        <v>1614</v>
      </c>
      <c r="G515" s="27" t="s">
        <v>1803</v>
      </c>
      <c r="H515" s="27" t="s">
        <v>57</v>
      </c>
      <c r="I515" s="27" t="s">
        <v>1578</v>
      </c>
      <c r="J515" s="28" t="s">
        <v>1579</v>
      </c>
      <c r="K515" s="27" t="s">
        <v>42</v>
      </c>
      <c r="L515" s="27" t="s">
        <v>2051</v>
      </c>
    </row>
    <row r="516" customFormat="false" ht="15" hidden="false" customHeight="false" outlineLevel="0" collapsed="false">
      <c r="A516" s="26" t="s">
        <v>2052</v>
      </c>
      <c r="B516" s="27" t="s">
        <v>2053</v>
      </c>
      <c r="C516" s="27" t="s">
        <v>144</v>
      </c>
      <c r="D516" s="26" t="s">
        <v>2054</v>
      </c>
      <c r="E516" s="27" t="s">
        <v>2055</v>
      </c>
      <c r="F516" s="28" t="s">
        <v>1529</v>
      </c>
      <c r="G516" s="27" t="s">
        <v>1803</v>
      </c>
      <c r="H516" s="27" t="s">
        <v>56</v>
      </c>
      <c r="I516" s="27" t="s">
        <v>42</v>
      </c>
      <c r="J516" s="28" t="s">
        <v>1579</v>
      </c>
      <c r="K516" s="27" t="s">
        <v>42</v>
      </c>
      <c r="L516" s="27" t="s">
        <v>1970</v>
      </c>
    </row>
    <row r="517" customFormat="false" ht="15" hidden="false" customHeight="false" outlineLevel="0" collapsed="false">
      <c r="A517" s="26" t="s">
        <v>2056</v>
      </c>
      <c r="B517" s="27" t="s">
        <v>2057</v>
      </c>
      <c r="C517" s="27" t="s">
        <v>1527</v>
      </c>
      <c r="D517" s="26" t="s">
        <v>1634</v>
      </c>
      <c r="E517" s="27" t="s">
        <v>1635</v>
      </c>
      <c r="F517" s="28" t="s">
        <v>383</v>
      </c>
      <c r="G517" s="27" t="s">
        <v>1803</v>
      </c>
      <c r="H517" s="27" t="s">
        <v>56</v>
      </c>
      <c r="I517" s="27" t="s">
        <v>42</v>
      </c>
      <c r="J517" s="28" t="s">
        <v>1579</v>
      </c>
      <c r="K517" s="27" t="s">
        <v>42</v>
      </c>
      <c r="L517" s="27" t="s">
        <v>2058</v>
      </c>
    </row>
    <row r="518" customFormat="false" ht="15" hidden="false" customHeight="false" outlineLevel="0" collapsed="false">
      <c r="A518" s="26" t="s">
        <v>2059</v>
      </c>
      <c r="B518" s="27" t="s">
        <v>2060</v>
      </c>
      <c r="C518" s="27" t="s">
        <v>1527</v>
      </c>
      <c r="D518" s="26" t="s">
        <v>2061</v>
      </c>
      <c r="E518" s="27" t="s">
        <v>2060</v>
      </c>
      <c r="F518" s="28" t="s">
        <v>102</v>
      </c>
      <c r="G518" s="27" t="s">
        <v>1803</v>
      </c>
      <c r="H518" s="27" t="s">
        <v>57</v>
      </c>
      <c r="I518" s="27" t="s">
        <v>1067</v>
      </c>
      <c r="J518" s="28" t="s">
        <v>1579</v>
      </c>
      <c r="K518" s="27" t="s">
        <v>42</v>
      </c>
      <c r="L518" s="27" t="s">
        <v>2062</v>
      </c>
    </row>
    <row r="519" customFormat="false" ht="15" hidden="false" customHeight="false" outlineLevel="0" collapsed="false">
      <c r="A519" s="26" t="s">
        <v>2063</v>
      </c>
      <c r="B519" s="27" t="s">
        <v>2064</v>
      </c>
      <c r="C519" s="27" t="s">
        <v>1527</v>
      </c>
      <c r="D519" s="26" t="s">
        <v>2065</v>
      </c>
      <c r="E519" s="27" t="s">
        <v>2064</v>
      </c>
      <c r="F519" s="28" t="s">
        <v>383</v>
      </c>
      <c r="G519" s="27" t="s">
        <v>1803</v>
      </c>
      <c r="H519" s="27" t="s">
        <v>56</v>
      </c>
      <c r="I519" s="27" t="s">
        <v>42</v>
      </c>
      <c r="J519" s="28" t="s">
        <v>1579</v>
      </c>
      <c r="K519" s="27" t="s">
        <v>42</v>
      </c>
      <c r="L519" s="27" t="s">
        <v>2058</v>
      </c>
    </row>
    <row r="520" customFormat="false" ht="15" hidden="false" customHeight="false" outlineLevel="0" collapsed="false">
      <c r="A520" s="26" t="s">
        <v>2066</v>
      </c>
      <c r="B520" s="27" t="s">
        <v>2067</v>
      </c>
      <c r="C520" s="27" t="s">
        <v>1527</v>
      </c>
      <c r="D520" s="26" t="s">
        <v>2068</v>
      </c>
      <c r="E520" s="27" t="s">
        <v>2067</v>
      </c>
      <c r="F520" s="28" t="s">
        <v>383</v>
      </c>
      <c r="G520" s="27" t="s">
        <v>1803</v>
      </c>
      <c r="H520" s="27" t="s">
        <v>56</v>
      </c>
      <c r="I520" s="27" t="s">
        <v>42</v>
      </c>
      <c r="J520" s="28" t="s">
        <v>1579</v>
      </c>
      <c r="K520" s="27" t="s">
        <v>42</v>
      </c>
      <c r="L520" s="27" t="s">
        <v>2058</v>
      </c>
    </row>
    <row r="521" customFormat="false" ht="15" hidden="false" customHeight="false" outlineLevel="0" collapsed="false">
      <c r="A521" s="26" t="s">
        <v>2069</v>
      </c>
      <c r="B521" s="27" t="s">
        <v>2070</v>
      </c>
      <c r="C521" s="27" t="s">
        <v>144</v>
      </c>
      <c r="D521" s="26" t="s">
        <v>2071</v>
      </c>
      <c r="E521" s="27" t="s">
        <v>2072</v>
      </c>
      <c r="F521" s="28" t="s">
        <v>2073</v>
      </c>
      <c r="G521" s="27" t="s">
        <v>1803</v>
      </c>
      <c r="H521" s="27" t="s">
        <v>56</v>
      </c>
      <c r="I521" s="27" t="s">
        <v>42</v>
      </c>
      <c r="J521" s="28" t="s">
        <v>1579</v>
      </c>
      <c r="K521" s="27" t="s">
        <v>42</v>
      </c>
      <c r="L521" s="27" t="s">
        <v>2074</v>
      </c>
    </row>
    <row r="522" customFormat="false" ht="15" hidden="false" customHeight="false" outlineLevel="0" collapsed="false">
      <c r="A522" s="26" t="s">
        <v>2075</v>
      </c>
      <c r="B522" s="27" t="s">
        <v>2076</v>
      </c>
      <c r="C522" s="27" t="s">
        <v>1527</v>
      </c>
      <c r="D522" s="26" t="s">
        <v>2077</v>
      </c>
      <c r="E522" s="27" t="s">
        <v>2076</v>
      </c>
      <c r="F522" s="28" t="s">
        <v>146</v>
      </c>
      <c r="G522" s="27" t="s">
        <v>1803</v>
      </c>
      <c r="H522" s="27" t="s">
        <v>56</v>
      </c>
      <c r="I522" s="27" t="s">
        <v>42</v>
      </c>
      <c r="J522" s="28" t="s">
        <v>1579</v>
      </c>
      <c r="K522" s="27" t="s">
        <v>42</v>
      </c>
      <c r="L522" s="27" t="s">
        <v>1895</v>
      </c>
    </row>
    <row r="523" customFormat="false" ht="15" hidden="false" customHeight="false" outlineLevel="0" collapsed="false">
      <c r="A523" s="26" t="s">
        <v>2078</v>
      </c>
      <c r="B523" s="27" t="s">
        <v>2079</v>
      </c>
      <c r="C523" s="27" t="s">
        <v>1527</v>
      </c>
      <c r="D523" s="26" t="s">
        <v>2071</v>
      </c>
      <c r="E523" s="27" t="s">
        <v>2072</v>
      </c>
      <c r="F523" s="28" t="s">
        <v>2073</v>
      </c>
      <c r="G523" s="27" t="s">
        <v>1803</v>
      </c>
      <c r="H523" s="27" t="s">
        <v>56</v>
      </c>
      <c r="I523" s="27" t="s">
        <v>42</v>
      </c>
      <c r="J523" s="28" t="s">
        <v>1579</v>
      </c>
      <c r="K523" s="27" t="s">
        <v>42</v>
      </c>
      <c r="L523" s="27" t="s">
        <v>2080</v>
      </c>
    </row>
    <row r="524" customFormat="false" ht="15" hidden="false" customHeight="false" outlineLevel="0" collapsed="false">
      <c r="A524" s="26" t="s">
        <v>2081</v>
      </c>
      <c r="B524" s="27" t="s">
        <v>2082</v>
      </c>
      <c r="C524" s="27" t="s">
        <v>1527</v>
      </c>
      <c r="D524" s="26" t="s">
        <v>2083</v>
      </c>
      <c r="E524" s="27" t="s">
        <v>2084</v>
      </c>
      <c r="F524" s="28" t="s">
        <v>1158</v>
      </c>
      <c r="G524" s="27" t="s">
        <v>1803</v>
      </c>
      <c r="H524" s="27" t="s">
        <v>57</v>
      </c>
      <c r="I524" s="28" t="s">
        <v>50</v>
      </c>
      <c r="J524" s="28" t="s">
        <v>1579</v>
      </c>
      <c r="K524" s="27" t="s">
        <v>42</v>
      </c>
      <c r="L524" s="27" t="s">
        <v>2085</v>
      </c>
    </row>
    <row r="525" customFormat="false" ht="15" hidden="false" customHeight="false" outlineLevel="0" collapsed="false">
      <c r="A525" s="26" t="s">
        <v>2086</v>
      </c>
      <c r="B525" s="27" t="s">
        <v>2087</v>
      </c>
      <c r="C525" s="27" t="s">
        <v>1527</v>
      </c>
      <c r="D525" s="26" t="s">
        <v>2088</v>
      </c>
      <c r="E525" s="27" t="s">
        <v>2087</v>
      </c>
      <c r="F525" s="28" t="s">
        <v>146</v>
      </c>
      <c r="G525" s="27" t="s">
        <v>1803</v>
      </c>
      <c r="H525" s="27" t="s">
        <v>57</v>
      </c>
      <c r="I525" s="28" t="s">
        <v>50</v>
      </c>
      <c r="J525" s="28" t="s">
        <v>1579</v>
      </c>
      <c r="K525" s="27" t="s">
        <v>42</v>
      </c>
      <c r="L525" s="27" t="s">
        <v>1895</v>
      </c>
    </row>
    <row r="526" customFormat="false" ht="15" hidden="false" customHeight="false" outlineLevel="0" collapsed="false">
      <c r="A526" s="26" t="s">
        <v>2089</v>
      </c>
      <c r="B526" s="27" t="s">
        <v>2090</v>
      </c>
      <c r="C526" s="27" t="s">
        <v>1527</v>
      </c>
      <c r="D526" s="26" t="s">
        <v>2091</v>
      </c>
      <c r="E526" s="27" t="s">
        <v>2090</v>
      </c>
      <c r="F526" s="28" t="s">
        <v>1158</v>
      </c>
      <c r="G526" s="27" t="s">
        <v>1803</v>
      </c>
      <c r="H526" s="27" t="s">
        <v>57</v>
      </c>
      <c r="I526" s="28" t="s">
        <v>50</v>
      </c>
      <c r="J526" s="28" t="s">
        <v>1579</v>
      </c>
      <c r="K526" s="27" t="s">
        <v>42</v>
      </c>
      <c r="L526" s="27" t="s">
        <v>2085</v>
      </c>
    </row>
    <row r="527" customFormat="false" ht="15" hidden="false" customHeight="false" outlineLevel="0" collapsed="false">
      <c r="A527" s="26" t="s">
        <v>2092</v>
      </c>
      <c r="B527" s="27" t="s">
        <v>2093</v>
      </c>
      <c r="C527" s="27" t="s">
        <v>2094</v>
      </c>
      <c r="D527" s="26" t="s">
        <v>2095</v>
      </c>
      <c r="E527" s="27" t="s">
        <v>2093</v>
      </c>
      <c r="F527" s="28" t="s">
        <v>1158</v>
      </c>
      <c r="G527" s="27" t="s">
        <v>1803</v>
      </c>
      <c r="H527" s="27" t="s">
        <v>57</v>
      </c>
      <c r="I527" s="28" t="s">
        <v>50</v>
      </c>
      <c r="J527" s="28" t="s">
        <v>1579</v>
      </c>
      <c r="K527" s="27" t="s">
        <v>42</v>
      </c>
      <c r="L527" s="27" t="s">
        <v>2096</v>
      </c>
    </row>
    <row r="528" customFormat="false" ht="15" hidden="false" customHeight="false" outlineLevel="0" collapsed="false">
      <c r="A528" s="26" t="s">
        <v>2097</v>
      </c>
      <c r="B528" s="27" t="s">
        <v>2098</v>
      </c>
      <c r="C528" s="27" t="s">
        <v>137</v>
      </c>
      <c r="D528" s="26" t="s">
        <v>2099</v>
      </c>
      <c r="E528" s="27" t="s">
        <v>2100</v>
      </c>
      <c r="F528" s="28" t="s">
        <v>2101</v>
      </c>
      <c r="G528" s="27" t="s">
        <v>1803</v>
      </c>
      <c r="H528" s="27" t="s">
        <v>57</v>
      </c>
      <c r="I528" s="27" t="s">
        <v>1067</v>
      </c>
      <c r="J528" s="28" t="s">
        <v>1579</v>
      </c>
      <c r="K528" s="27" t="s">
        <v>42</v>
      </c>
      <c r="L528" s="27" t="s">
        <v>2102</v>
      </c>
    </row>
    <row r="529" customFormat="false" ht="15" hidden="false" customHeight="false" outlineLevel="0" collapsed="false">
      <c r="A529" s="26" t="s">
        <v>2103</v>
      </c>
      <c r="B529" s="27" t="s">
        <v>2104</v>
      </c>
      <c r="C529" s="27" t="s">
        <v>131</v>
      </c>
      <c r="D529" s="26" t="s">
        <v>2105</v>
      </c>
      <c r="E529" s="27" t="s">
        <v>2106</v>
      </c>
      <c r="F529" s="28" t="s">
        <v>102</v>
      </c>
      <c r="G529" s="27" t="s">
        <v>2107</v>
      </c>
      <c r="H529" s="27" t="s">
        <v>57</v>
      </c>
      <c r="I529" s="27" t="s">
        <v>41</v>
      </c>
      <c r="J529" s="28" t="s">
        <v>109</v>
      </c>
      <c r="K529" s="27" t="s">
        <v>108</v>
      </c>
      <c r="L529" s="27" t="s">
        <v>1916</v>
      </c>
    </row>
    <row r="530" customFormat="false" ht="15" hidden="false" customHeight="false" outlineLevel="0" collapsed="false">
      <c r="A530" s="26" t="s">
        <v>2108</v>
      </c>
      <c r="B530" s="27" t="s">
        <v>2109</v>
      </c>
      <c r="C530" s="27" t="s">
        <v>100</v>
      </c>
      <c r="D530" s="26" t="s">
        <v>2110</v>
      </c>
      <c r="E530" s="27" t="s">
        <v>2111</v>
      </c>
      <c r="F530" s="28" t="s">
        <v>2112</v>
      </c>
      <c r="G530" s="27" t="s">
        <v>2107</v>
      </c>
      <c r="H530" s="27" t="s">
        <v>57</v>
      </c>
      <c r="I530" s="27" t="s">
        <v>49</v>
      </c>
      <c r="J530" s="28" t="s">
        <v>113</v>
      </c>
      <c r="K530" s="27" t="s">
        <v>108</v>
      </c>
      <c r="L530" s="27" t="s">
        <v>2113</v>
      </c>
    </row>
    <row r="531" customFormat="false" ht="15" hidden="false" customHeight="false" outlineLevel="0" collapsed="false">
      <c r="A531" s="26" t="s">
        <v>2114</v>
      </c>
      <c r="B531" s="27" t="s">
        <v>2115</v>
      </c>
      <c r="C531" s="27" t="s">
        <v>100</v>
      </c>
      <c r="D531" s="26" t="s">
        <v>2110</v>
      </c>
      <c r="E531" s="27" t="s">
        <v>2111</v>
      </c>
      <c r="F531" s="28" t="s">
        <v>2112</v>
      </c>
      <c r="G531" s="27" t="s">
        <v>2107</v>
      </c>
      <c r="H531" s="27" t="s">
        <v>57</v>
      </c>
      <c r="I531" s="27" t="s">
        <v>49</v>
      </c>
      <c r="J531" s="28" t="s">
        <v>113</v>
      </c>
      <c r="K531" s="27" t="s">
        <v>108</v>
      </c>
      <c r="L531" s="27" t="s">
        <v>2113</v>
      </c>
    </row>
    <row r="532" customFormat="false" ht="15" hidden="false" customHeight="false" outlineLevel="0" collapsed="false">
      <c r="A532" s="26" t="s">
        <v>2116</v>
      </c>
      <c r="B532" s="27" t="s">
        <v>2117</v>
      </c>
      <c r="C532" s="27" t="s">
        <v>144</v>
      </c>
      <c r="D532" s="26" t="s">
        <v>2118</v>
      </c>
      <c r="E532" s="27" t="s">
        <v>2119</v>
      </c>
      <c r="F532" s="28" t="s">
        <v>373</v>
      </c>
      <c r="G532" s="27" t="s">
        <v>2107</v>
      </c>
      <c r="H532" s="27" t="s">
        <v>56</v>
      </c>
      <c r="I532" s="27" t="s">
        <v>40</v>
      </c>
      <c r="J532" s="28" t="s">
        <v>141</v>
      </c>
      <c r="K532" s="27" t="s">
        <v>40</v>
      </c>
      <c r="L532" s="27" t="s">
        <v>74</v>
      </c>
    </row>
    <row r="533" customFormat="false" ht="15" hidden="false" customHeight="false" outlineLevel="0" collapsed="false">
      <c r="A533" s="26" t="s">
        <v>2120</v>
      </c>
      <c r="B533" s="27" t="s">
        <v>2121</v>
      </c>
      <c r="C533" s="27" t="s">
        <v>144</v>
      </c>
      <c r="D533" s="26" t="s">
        <v>2122</v>
      </c>
      <c r="E533" s="27" t="s">
        <v>2123</v>
      </c>
      <c r="F533" s="28" t="s">
        <v>373</v>
      </c>
      <c r="G533" s="27" t="s">
        <v>2107</v>
      </c>
      <c r="H533" s="27" t="s">
        <v>56</v>
      </c>
      <c r="I533" s="27" t="s">
        <v>40</v>
      </c>
      <c r="J533" s="28" t="s">
        <v>141</v>
      </c>
      <c r="K533" s="27" t="s">
        <v>40</v>
      </c>
      <c r="L533" s="27" t="s">
        <v>74</v>
      </c>
    </row>
    <row r="534" customFormat="false" ht="15" hidden="false" customHeight="false" outlineLevel="0" collapsed="false">
      <c r="A534" s="26" t="s">
        <v>2124</v>
      </c>
      <c r="B534" s="27" t="s">
        <v>2125</v>
      </c>
      <c r="C534" s="27" t="s">
        <v>144</v>
      </c>
      <c r="D534" s="26" t="s">
        <v>2126</v>
      </c>
      <c r="E534" s="27" t="s">
        <v>2127</v>
      </c>
      <c r="F534" s="28" t="s">
        <v>373</v>
      </c>
      <c r="G534" s="27" t="s">
        <v>2107</v>
      </c>
      <c r="H534" s="27" t="s">
        <v>56</v>
      </c>
      <c r="I534" s="27" t="s">
        <v>40</v>
      </c>
      <c r="J534" s="28" t="s">
        <v>141</v>
      </c>
      <c r="K534" s="27" t="s">
        <v>40</v>
      </c>
      <c r="L534" s="27" t="s">
        <v>74</v>
      </c>
    </row>
    <row r="535" customFormat="false" ht="15" hidden="false" customHeight="false" outlineLevel="0" collapsed="false">
      <c r="A535" s="26" t="s">
        <v>2128</v>
      </c>
      <c r="B535" s="27" t="s">
        <v>2129</v>
      </c>
      <c r="C535" s="27" t="s">
        <v>144</v>
      </c>
      <c r="D535" s="26" t="s">
        <v>2130</v>
      </c>
      <c r="E535" s="27" t="s">
        <v>2131</v>
      </c>
      <c r="F535" s="28" t="s">
        <v>373</v>
      </c>
      <c r="G535" s="27" t="s">
        <v>2107</v>
      </c>
      <c r="H535" s="27" t="s">
        <v>57</v>
      </c>
      <c r="I535" s="27" t="s">
        <v>37</v>
      </c>
      <c r="J535" s="28" t="s">
        <v>141</v>
      </c>
      <c r="K535" s="27" t="s">
        <v>40</v>
      </c>
      <c r="L535" s="27" t="s">
        <v>74</v>
      </c>
    </row>
    <row r="536" customFormat="false" ht="15" hidden="false" customHeight="false" outlineLevel="0" collapsed="false">
      <c r="A536" s="26" t="s">
        <v>2132</v>
      </c>
      <c r="B536" s="27" t="s">
        <v>2133</v>
      </c>
      <c r="C536" s="27" t="s">
        <v>144</v>
      </c>
      <c r="D536" s="26" t="s">
        <v>2134</v>
      </c>
      <c r="E536" s="27" t="s">
        <v>2135</v>
      </c>
      <c r="F536" s="28" t="s">
        <v>373</v>
      </c>
      <c r="G536" s="27" t="s">
        <v>2107</v>
      </c>
      <c r="H536" s="27" t="s">
        <v>57</v>
      </c>
      <c r="I536" s="27" t="s">
        <v>37</v>
      </c>
      <c r="J536" s="28" t="s">
        <v>141</v>
      </c>
      <c r="K536" s="27" t="s">
        <v>40</v>
      </c>
      <c r="L536" s="27" t="s">
        <v>74</v>
      </c>
    </row>
    <row r="537" customFormat="false" ht="15" hidden="false" customHeight="false" outlineLevel="0" collapsed="false">
      <c r="A537" s="26" t="s">
        <v>2136</v>
      </c>
      <c r="B537" s="27" t="s">
        <v>2137</v>
      </c>
      <c r="C537" s="27" t="s">
        <v>144</v>
      </c>
      <c r="D537" s="26" t="s">
        <v>2138</v>
      </c>
      <c r="E537" s="27" t="s">
        <v>2139</v>
      </c>
      <c r="F537" s="28" t="s">
        <v>373</v>
      </c>
      <c r="G537" s="27" t="s">
        <v>2107</v>
      </c>
      <c r="H537" s="27" t="s">
        <v>56</v>
      </c>
      <c r="I537" s="27" t="s">
        <v>40</v>
      </c>
      <c r="J537" s="28" t="s">
        <v>141</v>
      </c>
      <c r="K537" s="27" t="s">
        <v>40</v>
      </c>
      <c r="L537" s="27" t="s">
        <v>74</v>
      </c>
    </row>
    <row r="538" customFormat="false" ht="15" hidden="false" customHeight="false" outlineLevel="0" collapsed="false">
      <c r="A538" s="26" t="s">
        <v>2140</v>
      </c>
      <c r="B538" s="27" t="s">
        <v>2141</v>
      </c>
      <c r="C538" s="27" t="s">
        <v>144</v>
      </c>
      <c r="D538" s="26" t="s">
        <v>2142</v>
      </c>
      <c r="E538" s="27" t="s">
        <v>2143</v>
      </c>
      <c r="F538" s="28" t="s">
        <v>373</v>
      </c>
      <c r="G538" s="27" t="s">
        <v>2107</v>
      </c>
      <c r="H538" s="27" t="s">
        <v>56</v>
      </c>
      <c r="I538" s="27" t="s">
        <v>40</v>
      </c>
      <c r="J538" s="28" t="s">
        <v>141</v>
      </c>
      <c r="K538" s="27" t="s">
        <v>40</v>
      </c>
      <c r="L538" s="27" t="s">
        <v>74</v>
      </c>
    </row>
    <row r="539" customFormat="false" ht="15" hidden="false" customHeight="false" outlineLevel="0" collapsed="false">
      <c r="A539" s="26" t="s">
        <v>2144</v>
      </c>
      <c r="B539" s="27" t="s">
        <v>2145</v>
      </c>
      <c r="C539" s="27" t="s">
        <v>144</v>
      </c>
      <c r="D539" s="26" t="s">
        <v>2146</v>
      </c>
      <c r="E539" s="27" t="s">
        <v>2147</v>
      </c>
      <c r="F539" s="28" t="s">
        <v>373</v>
      </c>
      <c r="G539" s="27" t="s">
        <v>2107</v>
      </c>
      <c r="H539" s="27" t="s">
        <v>57</v>
      </c>
      <c r="I539" s="27" t="s">
        <v>37</v>
      </c>
      <c r="J539" s="28" t="s">
        <v>141</v>
      </c>
      <c r="K539" s="27" t="s">
        <v>40</v>
      </c>
      <c r="L539" s="27" t="s">
        <v>74</v>
      </c>
    </row>
    <row r="540" customFormat="false" ht="15" hidden="false" customHeight="false" outlineLevel="0" collapsed="false">
      <c r="A540" s="26" t="s">
        <v>2148</v>
      </c>
      <c r="B540" s="27" t="s">
        <v>2149</v>
      </c>
      <c r="C540" s="27" t="s">
        <v>144</v>
      </c>
      <c r="D540" s="26" t="s">
        <v>2150</v>
      </c>
      <c r="E540" s="27" t="s">
        <v>2151</v>
      </c>
      <c r="F540" s="28" t="s">
        <v>373</v>
      </c>
      <c r="G540" s="27" t="s">
        <v>2107</v>
      </c>
      <c r="H540" s="27" t="s">
        <v>56</v>
      </c>
      <c r="I540" s="27" t="s">
        <v>40</v>
      </c>
      <c r="J540" s="28" t="s">
        <v>141</v>
      </c>
      <c r="K540" s="27" t="s">
        <v>40</v>
      </c>
      <c r="L540" s="27" t="s">
        <v>74</v>
      </c>
    </row>
    <row r="541" customFormat="false" ht="15" hidden="false" customHeight="false" outlineLevel="0" collapsed="false">
      <c r="A541" s="26" t="s">
        <v>2152</v>
      </c>
      <c r="B541" s="27" t="s">
        <v>2153</v>
      </c>
      <c r="C541" s="27" t="s">
        <v>144</v>
      </c>
      <c r="D541" s="26" t="s">
        <v>1811</v>
      </c>
      <c r="E541" s="27" t="s">
        <v>1812</v>
      </c>
      <c r="F541" s="28" t="s">
        <v>373</v>
      </c>
      <c r="G541" s="27" t="s">
        <v>2107</v>
      </c>
      <c r="H541" s="27" t="s">
        <v>57</v>
      </c>
      <c r="I541" s="27" t="s">
        <v>37</v>
      </c>
      <c r="J541" s="28" t="s">
        <v>141</v>
      </c>
      <c r="K541" s="27" t="s">
        <v>40</v>
      </c>
      <c r="L541" s="27" t="s">
        <v>74</v>
      </c>
    </row>
    <row r="542" customFormat="false" ht="15" hidden="false" customHeight="false" outlineLevel="0" collapsed="false">
      <c r="A542" s="26" t="s">
        <v>2154</v>
      </c>
      <c r="B542" s="27" t="s">
        <v>2155</v>
      </c>
      <c r="C542" s="27" t="s">
        <v>144</v>
      </c>
      <c r="D542" s="26" t="s">
        <v>2156</v>
      </c>
      <c r="E542" s="27" t="s">
        <v>2157</v>
      </c>
      <c r="F542" s="28" t="s">
        <v>373</v>
      </c>
      <c r="G542" s="27" t="s">
        <v>2107</v>
      </c>
      <c r="H542" s="27" t="s">
        <v>56</v>
      </c>
      <c r="I542" s="27" t="s">
        <v>40</v>
      </c>
      <c r="J542" s="28" t="s">
        <v>141</v>
      </c>
      <c r="K542" s="27" t="s">
        <v>40</v>
      </c>
      <c r="L542" s="27" t="s">
        <v>74</v>
      </c>
    </row>
    <row r="543" customFormat="false" ht="15" hidden="false" customHeight="false" outlineLevel="0" collapsed="false">
      <c r="A543" s="26" t="s">
        <v>2158</v>
      </c>
      <c r="B543" s="27" t="s">
        <v>2159</v>
      </c>
      <c r="C543" s="27" t="s">
        <v>144</v>
      </c>
      <c r="D543" s="26" t="s">
        <v>2160</v>
      </c>
      <c r="E543" s="27" t="s">
        <v>2161</v>
      </c>
      <c r="F543" s="28" t="s">
        <v>373</v>
      </c>
      <c r="G543" s="27" t="s">
        <v>2107</v>
      </c>
      <c r="H543" s="27" t="s">
        <v>56</v>
      </c>
      <c r="I543" s="27" t="s">
        <v>40</v>
      </c>
      <c r="J543" s="28" t="s">
        <v>141</v>
      </c>
      <c r="K543" s="27" t="s">
        <v>40</v>
      </c>
      <c r="L543" s="27" t="s">
        <v>74</v>
      </c>
    </row>
    <row r="544" customFormat="false" ht="15" hidden="false" customHeight="false" outlineLevel="0" collapsed="false">
      <c r="A544" s="26" t="s">
        <v>2162</v>
      </c>
      <c r="B544" s="27" t="s">
        <v>2163</v>
      </c>
      <c r="C544" s="27" t="s">
        <v>144</v>
      </c>
      <c r="D544" s="26" t="s">
        <v>2164</v>
      </c>
      <c r="E544" s="27" t="s">
        <v>2165</v>
      </c>
      <c r="F544" s="28" t="s">
        <v>373</v>
      </c>
      <c r="G544" s="27" t="s">
        <v>2107</v>
      </c>
      <c r="H544" s="27" t="s">
        <v>56</v>
      </c>
      <c r="I544" s="27" t="s">
        <v>40</v>
      </c>
      <c r="J544" s="28" t="s">
        <v>141</v>
      </c>
      <c r="K544" s="27" t="s">
        <v>40</v>
      </c>
      <c r="L544" s="27" t="s">
        <v>74</v>
      </c>
    </row>
    <row r="545" customFormat="false" ht="15" hidden="false" customHeight="false" outlineLevel="0" collapsed="false">
      <c r="A545" s="26" t="s">
        <v>2166</v>
      </c>
      <c r="B545" s="27" t="s">
        <v>2167</v>
      </c>
      <c r="C545" s="27" t="s">
        <v>144</v>
      </c>
      <c r="D545" s="26" t="s">
        <v>2168</v>
      </c>
      <c r="E545" s="27" t="s">
        <v>2169</v>
      </c>
      <c r="F545" s="28" t="s">
        <v>373</v>
      </c>
      <c r="G545" s="27" t="s">
        <v>2107</v>
      </c>
      <c r="H545" s="27" t="s">
        <v>56</v>
      </c>
      <c r="I545" s="27" t="s">
        <v>40</v>
      </c>
      <c r="J545" s="28" t="s">
        <v>141</v>
      </c>
      <c r="K545" s="27" t="s">
        <v>40</v>
      </c>
      <c r="L545" s="27" t="s">
        <v>74</v>
      </c>
    </row>
    <row r="546" customFormat="false" ht="15" hidden="false" customHeight="false" outlineLevel="0" collapsed="false">
      <c r="A546" s="26" t="s">
        <v>2170</v>
      </c>
      <c r="B546" s="27" t="s">
        <v>2171</v>
      </c>
      <c r="C546" s="27" t="s">
        <v>144</v>
      </c>
      <c r="D546" s="26" t="s">
        <v>2172</v>
      </c>
      <c r="E546" s="27" t="s">
        <v>2173</v>
      </c>
      <c r="F546" s="28" t="s">
        <v>373</v>
      </c>
      <c r="G546" s="27" t="s">
        <v>2107</v>
      </c>
      <c r="H546" s="27" t="s">
        <v>56</v>
      </c>
      <c r="I546" s="27" t="s">
        <v>40</v>
      </c>
      <c r="J546" s="28" t="s">
        <v>141</v>
      </c>
      <c r="K546" s="27" t="s">
        <v>40</v>
      </c>
      <c r="L546" s="27" t="s">
        <v>74</v>
      </c>
    </row>
    <row r="547" customFormat="false" ht="15" hidden="false" customHeight="false" outlineLevel="0" collapsed="false">
      <c r="A547" s="26" t="s">
        <v>2174</v>
      </c>
      <c r="B547" s="27" t="s">
        <v>2175</v>
      </c>
      <c r="C547" s="27" t="s">
        <v>144</v>
      </c>
      <c r="D547" s="26" t="s">
        <v>2176</v>
      </c>
      <c r="E547" s="27" t="s">
        <v>2177</v>
      </c>
      <c r="F547" s="28" t="s">
        <v>373</v>
      </c>
      <c r="G547" s="27" t="s">
        <v>2107</v>
      </c>
      <c r="H547" s="27" t="s">
        <v>56</v>
      </c>
      <c r="I547" s="27" t="s">
        <v>40</v>
      </c>
      <c r="J547" s="28" t="s">
        <v>141</v>
      </c>
      <c r="K547" s="27" t="s">
        <v>40</v>
      </c>
      <c r="L547" s="27" t="s">
        <v>74</v>
      </c>
    </row>
    <row r="548" customFormat="false" ht="15" hidden="false" customHeight="false" outlineLevel="0" collapsed="false">
      <c r="A548" s="26" t="s">
        <v>2178</v>
      </c>
      <c r="B548" s="27" t="s">
        <v>2179</v>
      </c>
      <c r="C548" s="27" t="s">
        <v>144</v>
      </c>
      <c r="D548" s="26" t="s">
        <v>2180</v>
      </c>
      <c r="E548" s="27" t="s">
        <v>2181</v>
      </c>
      <c r="F548" s="28" t="s">
        <v>373</v>
      </c>
      <c r="G548" s="27" t="s">
        <v>2107</v>
      </c>
      <c r="H548" s="27" t="s">
        <v>56</v>
      </c>
      <c r="I548" s="27" t="s">
        <v>40</v>
      </c>
      <c r="J548" s="28" t="s">
        <v>141</v>
      </c>
      <c r="K548" s="27" t="s">
        <v>40</v>
      </c>
      <c r="L548" s="27" t="s">
        <v>74</v>
      </c>
    </row>
    <row r="549" customFormat="false" ht="15" hidden="false" customHeight="false" outlineLevel="0" collapsed="false">
      <c r="A549" s="26" t="s">
        <v>2182</v>
      </c>
      <c r="B549" s="27" t="s">
        <v>2183</v>
      </c>
      <c r="C549" s="27" t="s">
        <v>144</v>
      </c>
      <c r="D549" s="26" t="s">
        <v>2184</v>
      </c>
      <c r="E549" s="27" t="s">
        <v>2185</v>
      </c>
      <c r="F549" s="28" t="s">
        <v>373</v>
      </c>
      <c r="G549" s="27" t="s">
        <v>2107</v>
      </c>
      <c r="H549" s="27" t="s">
        <v>56</v>
      </c>
      <c r="I549" s="27" t="s">
        <v>40</v>
      </c>
      <c r="J549" s="28" t="s">
        <v>141</v>
      </c>
      <c r="K549" s="27" t="s">
        <v>40</v>
      </c>
      <c r="L549" s="27" t="s">
        <v>74</v>
      </c>
    </row>
    <row r="550" customFormat="false" ht="15" hidden="false" customHeight="false" outlineLevel="0" collapsed="false">
      <c r="A550" s="26" t="s">
        <v>2186</v>
      </c>
      <c r="B550" s="27" t="s">
        <v>2187</v>
      </c>
      <c r="C550" s="27" t="s">
        <v>144</v>
      </c>
      <c r="D550" s="26" t="s">
        <v>2188</v>
      </c>
      <c r="E550" s="27" t="s">
        <v>2189</v>
      </c>
      <c r="F550" s="28" t="s">
        <v>373</v>
      </c>
      <c r="G550" s="27" t="s">
        <v>2107</v>
      </c>
      <c r="H550" s="27" t="s">
        <v>56</v>
      </c>
      <c r="I550" s="27" t="s">
        <v>40</v>
      </c>
      <c r="J550" s="28" t="s">
        <v>141</v>
      </c>
      <c r="K550" s="27" t="s">
        <v>40</v>
      </c>
      <c r="L550" s="27" t="s">
        <v>74</v>
      </c>
    </row>
    <row r="551" customFormat="false" ht="15" hidden="false" customHeight="false" outlineLevel="0" collapsed="false">
      <c r="A551" s="26" t="s">
        <v>2190</v>
      </c>
      <c r="B551" s="27" t="s">
        <v>2191</v>
      </c>
      <c r="C551" s="27" t="s">
        <v>144</v>
      </c>
      <c r="D551" s="26" t="s">
        <v>2192</v>
      </c>
      <c r="E551" s="27" t="s">
        <v>2193</v>
      </c>
      <c r="F551" s="28" t="s">
        <v>373</v>
      </c>
      <c r="G551" s="27" t="s">
        <v>2107</v>
      </c>
      <c r="H551" s="27" t="s">
        <v>56</v>
      </c>
      <c r="I551" s="27" t="s">
        <v>40</v>
      </c>
      <c r="J551" s="28" t="s">
        <v>141</v>
      </c>
      <c r="K551" s="27" t="s">
        <v>40</v>
      </c>
      <c r="L551" s="27" t="s">
        <v>74</v>
      </c>
    </row>
    <row r="552" customFormat="false" ht="15" hidden="false" customHeight="false" outlineLevel="0" collapsed="false">
      <c r="A552" s="26" t="s">
        <v>2194</v>
      </c>
      <c r="B552" s="27" t="s">
        <v>2195</v>
      </c>
      <c r="C552" s="27" t="s">
        <v>144</v>
      </c>
      <c r="D552" s="26" t="s">
        <v>2164</v>
      </c>
      <c r="E552" s="27" t="s">
        <v>2165</v>
      </c>
      <c r="F552" s="28" t="s">
        <v>373</v>
      </c>
      <c r="G552" s="27" t="s">
        <v>2107</v>
      </c>
      <c r="H552" s="27" t="s">
        <v>56</v>
      </c>
      <c r="I552" s="27" t="s">
        <v>40</v>
      </c>
      <c r="J552" s="28" t="s">
        <v>141</v>
      </c>
      <c r="K552" s="27" t="s">
        <v>40</v>
      </c>
      <c r="L552" s="27" t="s">
        <v>74</v>
      </c>
    </row>
    <row r="553" customFormat="false" ht="15" hidden="false" customHeight="false" outlineLevel="0" collapsed="false">
      <c r="A553" s="26" t="s">
        <v>2196</v>
      </c>
      <c r="B553" s="27" t="s">
        <v>2197</v>
      </c>
      <c r="C553" s="27" t="s">
        <v>144</v>
      </c>
      <c r="D553" s="26" t="s">
        <v>2198</v>
      </c>
      <c r="E553" s="27" t="s">
        <v>2199</v>
      </c>
      <c r="F553" s="28" t="s">
        <v>373</v>
      </c>
      <c r="G553" s="27" t="s">
        <v>2107</v>
      </c>
      <c r="H553" s="27" t="s">
        <v>57</v>
      </c>
      <c r="I553" s="27" t="s">
        <v>37</v>
      </c>
      <c r="J553" s="28" t="s">
        <v>141</v>
      </c>
      <c r="K553" s="27" t="s">
        <v>40</v>
      </c>
      <c r="L553" s="27" t="s">
        <v>74</v>
      </c>
    </row>
    <row r="554" customFormat="false" ht="15" hidden="false" customHeight="false" outlineLevel="0" collapsed="false">
      <c r="A554" s="26" t="s">
        <v>2200</v>
      </c>
      <c r="B554" s="27" t="s">
        <v>2201</v>
      </c>
      <c r="C554" s="27" t="s">
        <v>144</v>
      </c>
      <c r="D554" s="26" t="s">
        <v>2202</v>
      </c>
      <c r="E554" s="27" t="s">
        <v>2203</v>
      </c>
      <c r="F554" s="28" t="s">
        <v>373</v>
      </c>
      <c r="G554" s="27" t="s">
        <v>2107</v>
      </c>
      <c r="H554" s="27" t="s">
        <v>57</v>
      </c>
      <c r="I554" s="27" t="s">
        <v>43</v>
      </c>
      <c r="J554" s="28" t="s">
        <v>141</v>
      </c>
      <c r="K554" s="27" t="s">
        <v>40</v>
      </c>
      <c r="L554" s="27" t="s">
        <v>74</v>
      </c>
    </row>
    <row r="555" customFormat="false" ht="15" hidden="false" customHeight="false" outlineLevel="0" collapsed="false">
      <c r="A555" s="26" t="s">
        <v>2204</v>
      </c>
      <c r="B555" s="27" t="s">
        <v>2205</v>
      </c>
      <c r="C555" s="27" t="s">
        <v>144</v>
      </c>
      <c r="D555" s="26" t="s">
        <v>2202</v>
      </c>
      <c r="E555" s="27" t="s">
        <v>2203</v>
      </c>
      <c r="F555" s="28" t="s">
        <v>373</v>
      </c>
      <c r="G555" s="27" t="s">
        <v>2107</v>
      </c>
      <c r="H555" s="27" t="s">
        <v>57</v>
      </c>
      <c r="I555" s="27" t="s">
        <v>43</v>
      </c>
      <c r="J555" s="28" t="s">
        <v>141</v>
      </c>
      <c r="K555" s="27" t="s">
        <v>40</v>
      </c>
      <c r="L555" s="27" t="s">
        <v>74</v>
      </c>
    </row>
    <row r="556" customFormat="false" ht="15" hidden="false" customHeight="false" outlineLevel="0" collapsed="false">
      <c r="A556" s="26" t="s">
        <v>2206</v>
      </c>
      <c r="B556" s="27" t="s">
        <v>2207</v>
      </c>
      <c r="C556" s="27" t="s">
        <v>144</v>
      </c>
      <c r="D556" s="26" t="s">
        <v>2202</v>
      </c>
      <c r="E556" s="27" t="s">
        <v>2203</v>
      </c>
      <c r="F556" s="28" t="s">
        <v>373</v>
      </c>
      <c r="G556" s="27" t="s">
        <v>2107</v>
      </c>
      <c r="H556" s="27" t="s">
        <v>57</v>
      </c>
      <c r="I556" s="27" t="s">
        <v>43</v>
      </c>
      <c r="J556" s="28" t="s">
        <v>141</v>
      </c>
      <c r="K556" s="27" t="s">
        <v>40</v>
      </c>
      <c r="L556" s="27" t="s">
        <v>74</v>
      </c>
    </row>
    <row r="557" customFormat="false" ht="15" hidden="false" customHeight="false" outlineLevel="0" collapsed="false">
      <c r="A557" s="26" t="s">
        <v>2208</v>
      </c>
      <c r="B557" s="27" t="s">
        <v>2209</v>
      </c>
      <c r="C557" s="27" t="s">
        <v>144</v>
      </c>
      <c r="D557" s="26" t="s">
        <v>2202</v>
      </c>
      <c r="E557" s="27" t="s">
        <v>2203</v>
      </c>
      <c r="F557" s="28" t="s">
        <v>373</v>
      </c>
      <c r="G557" s="27" t="s">
        <v>2107</v>
      </c>
      <c r="H557" s="27" t="s">
        <v>57</v>
      </c>
      <c r="I557" s="27" t="s">
        <v>43</v>
      </c>
      <c r="J557" s="28" t="s">
        <v>141</v>
      </c>
      <c r="K557" s="27" t="s">
        <v>40</v>
      </c>
      <c r="L557" s="27" t="s">
        <v>74</v>
      </c>
    </row>
    <row r="558" customFormat="false" ht="15" hidden="false" customHeight="false" outlineLevel="0" collapsed="false">
      <c r="A558" s="26" t="s">
        <v>2210</v>
      </c>
      <c r="B558" s="27" t="s">
        <v>2211</v>
      </c>
      <c r="C558" s="27" t="s">
        <v>144</v>
      </c>
      <c r="D558" s="26" t="s">
        <v>2212</v>
      </c>
      <c r="E558" s="27" t="s">
        <v>2213</v>
      </c>
      <c r="F558" s="28" t="s">
        <v>102</v>
      </c>
      <c r="G558" s="27" t="s">
        <v>2107</v>
      </c>
      <c r="H558" s="27" t="s">
        <v>57</v>
      </c>
      <c r="I558" s="27" t="s">
        <v>45</v>
      </c>
      <c r="J558" s="28" t="s">
        <v>2214</v>
      </c>
      <c r="K558" s="27" t="s">
        <v>37</v>
      </c>
      <c r="L558" s="27" t="s">
        <v>2215</v>
      </c>
    </row>
    <row r="559" customFormat="false" ht="15" hidden="false" customHeight="false" outlineLevel="0" collapsed="false">
      <c r="A559" s="26" t="s">
        <v>2216</v>
      </c>
      <c r="B559" s="27" t="s">
        <v>2217</v>
      </c>
      <c r="C559" s="27" t="s">
        <v>144</v>
      </c>
      <c r="D559" s="26" t="s">
        <v>2218</v>
      </c>
      <c r="E559" s="27" t="s">
        <v>2219</v>
      </c>
      <c r="F559" s="28" t="s">
        <v>1614</v>
      </c>
      <c r="G559" s="27" t="s">
        <v>2107</v>
      </c>
      <c r="H559" s="27" t="s">
        <v>56</v>
      </c>
      <c r="I559" s="27" t="s">
        <v>37</v>
      </c>
      <c r="J559" s="28" t="s">
        <v>2220</v>
      </c>
      <c r="K559" s="27" t="s">
        <v>37</v>
      </c>
      <c r="L559" s="27" t="s">
        <v>2051</v>
      </c>
    </row>
    <row r="560" customFormat="false" ht="15" hidden="false" customHeight="false" outlineLevel="0" collapsed="false">
      <c r="A560" s="26" t="s">
        <v>2221</v>
      </c>
      <c r="B560" s="27" t="s">
        <v>2222</v>
      </c>
      <c r="C560" s="27" t="s">
        <v>144</v>
      </c>
      <c r="D560" s="26" t="s">
        <v>1846</v>
      </c>
      <c r="E560" s="27" t="s">
        <v>1847</v>
      </c>
      <c r="F560" s="28" t="s">
        <v>140</v>
      </c>
      <c r="G560" s="27" t="s">
        <v>2107</v>
      </c>
      <c r="H560" s="27" t="s">
        <v>56</v>
      </c>
      <c r="I560" s="27" t="s">
        <v>38</v>
      </c>
      <c r="J560" s="28" t="s">
        <v>2223</v>
      </c>
      <c r="K560" s="27" t="s">
        <v>38</v>
      </c>
      <c r="L560" s="27" t="s">
        <v>83</v>
      </c>
    </row>
    <row r="561" customFormat="false" ht="15" hidden="false" customHeight="false" outlineLevel="0" collapsed="false">
      <c r="A561" s="26" t="s">
        <v>2224</v>
      </c>
      <c r="B561" s="27" t="s">
        <v>2225</v>
      </c>
      <c r="C561" s="27" t="s">
        <v>144</v>
      </c>
      <c r="D561" s="26" t="s">
        <v>2226</v>
      </c>
      <c r="E561" s="27" t="s">
        <v>2227</v>
      </c>
      <c r="F561" s="28" t="s">
        <v>140</v>
      </c>
      <c r="G561" s="27" t="s">
        <v>2107</v>
      </c>
      <c r="H561" s="27" t="s">
        <v>56</v>
      </c>
      <c r="I561" s="27" t="s">
        <v>45</v>
      </c>
      <c r="J561" s="28" t="s">
        <v>147</v>
      </c>
      <c r="K561" s="27" t="s">
        <v>45</v>
      </c>
      <c r="L561" s="27" t="s">
        <v>83</v>
      </c>
    </row>
    <row r="562" customFormat="false" ht="15" hidden="false" customHeight="false" outlineLevel="0" collapsed="false">
      <c r="A562" s="26" t="s">
        <v>2228</v>
      </c>
      <c r="B562" s="27" t="s">
        <v>2229</v>
      </c>
      <c r="C562" s="27" t="s">
        <v>137</v>
      </c>
      <c r="D562" s="26" t="s">
        <v>2230</v>
      </c>
      <c r="E562" s="27" t="s">
        <v>2231</v>
      </c>
      <c r="F562" s="28" t="s">
        <v>2232</v>
      </c>
      <c r="G562" s="27" t="s">
        <v>2107</v>
      </c>
      <c r="H562" s="27" t="s">
        <v>56</v>
      </c>
      <c r="I562" s="27" t="s">
        <v>45</v>
      </c>
      <c r="J562" s="28" t="s">
        <v>147</v>
      </c>
      <c r="K562" s="27" t="s">
        <v>45</v>
      </c>
      <c r="L562" s="27" t="s">
        <v>2233</v>
      </c>
    </row>
    <row r="563" customFormat="false" ht="15" hidden="false" customHeight="false" outlineLevel="0" collapsed="false">
      <c r="A563" s="26" t="s">
        <v>2234</v>
      </c>
      <c r="B563" s="27" t="s">
        <v>2235</v>
      </c>
      <c r="C563" s="27" t="s">
        <v>137</v>
      </c>
      <c r="D563" s="26" t="s">
        <v>2236</v>
      </c>
      <c r="E563" s="27" t="s">
        <v>2237</v>
      </c>
      <c r="F563" s="28" t="s">
        <v>2232</v>
      </c>
      <c r="G563" s="27" t="s">
        <v>2107</v>
      </c>
      <c r="H563" s="27" t="s">
        <v>56</v>
      </c>
      <c r="I563" s="27" t="s">
        <v>45</v>
      </c>
      <c r="J563" s="28" t="s">
        <v>147</v>
      </c>
      <c r="K563" s="27" t="s">
        <v>45</v>
      </c>
      <c r="L563" s="27" t="s">
        <v>2233</v>
      </c>
    </row>
    <row r="564" customFormat="false" ht="15" hidden="false" customHeight="false" outlineLevel="0" collapsed="false">
      <c r="A564" s="26" t="s">
        <v>2238</v>
      </c>
      <c r="B564" s="27" t="s">
        <v>2239</v>
      </c>
      <c r="C564" s="27" t="s">
        <v>144</v>
      </c>
      <c r="D564" s="26" t="s">
        <v>2230</v>
      </c>
      <c r="E564" s="27" t="s">
        <v>2231</v>
      </c>
      <c r="F564" s="28" t="s">
        <v>2232</v>
      </c>
      <c r="G564" s="27" t="s">
        <v>2107</v>
      </c>
      <c r="H564" s="27" t="s">
        <v>56</v>
      </c>
      <c r="I564" s="27" t="s">
        <v>45</v>
      </c>
      <c r="J564" s="28" t="s">
        <v>147</v>
      </c>
      <c r="K564" s="27" t="s">
        <v>45</v>
      </c>
      <c r="L564" s="27" t="s">
        <v>2240</v>
      </c>
    </row>
    <row r="565" customFormat="false" ht="15" hidden="false" customHeight="false" outlineLevel="0" collapsed="false">
      <c r="A565" s="26" t="s">
        <v>2241</v>
      </c>
      <c r="B565" s="27" t="s">
        <v>2242</v>
      </c>
      <c r="C565" s="27" t="s">
        <v>144</v>
      </c>
      <c r="D565" s="26" t="s">
        <v>2236</v>
      </c>
      <c r="E565" s="27" t="s">
        <v>2237</v>
      </c>
      <c r="F565" s="28" t="s">
        <v>2232</v>
      </c>
      <c r="G565" s="27" t="s">
        <v>2107</v>
      </c>
      <c r="H565" s="27" t="s">
        <v>56</v>
      </c>
      <c r="I565" s="27" t="s">
        <v>45</v>
      </c>
      <c r="J565" s="28" t="s">
        <v>147</v>
      </c>
      <c r="K565" s="27" t="s">
        <v>45</v>
      </c>
      <c r="L565" s="27" t="s">
        <v>2240</v>
      </c>
    </row>
    <row r="566" customFormat="false" ht="15" hidden="false" customHeight="false" outlineLevel="0" collapsed="false">
      <c r="A566" s="26" t="s">
        <v>2243</v>
      </c>
      <c r="B566" s="27" t="s">
        <v>2244</v>
      </c>
      <c r="C566" s="27" t="s">
        <v>144</v>
      </c>
      <c r="D566" s="26" t="s">
        <v>2245</v>
      </c>
      <c r="E566" s="27" t="s">
        <v>2246</v>
      </c>
      <c r="F566" s="28" t="s">
        <v>373</v>
      </c>
      <c r="G566" s="27" t="s">
        <v>2107</v>
      </c>
      <c r="H566" s="27" t="s">
        <v>57</v>
      </c>
      <c r="I566" s="27" t="s">
        <v>42</v>
      </c>
      <c r="J566" s="28" t="s">
        <v>147</v>
      </c>
      <c r="K566" s="27" t="s">
        <v>45</v>
      </c>
      <c r="L566" s="27" t="s">
        <v>74</v>
      </c>
    </row>
    <row r="567" customFormat="false" ht="15" hidden="false" customHeight="false" outlineLevel="0" collapsed="false">
      <c r="A567" s="26" t="s">
        <v>2247</v>
      </c>
      <c r="B567" s="27" t="s">
        <v>2248</v>
      </c>
      <c r="C567" s="27" t="s">
        <v>144</v>
      </c>
      <c r="D567" s="26" t="s">
        <v>2249</v>
      </c>
      <c r="E567" s="27" t="s">
        <v>2250</v>
      </c>
      <c r="F567" s="28" t="s">
        <v>373</v>
      </c>
      <c r="G567" s="27" t="s">
        <v>2107</v>
      </c>
      <c r="H567" s="27" t="s">
        <v>57</v>
      </c>
      <c r="I567" s="27" t="s">
        <v>42</v>
      </c>
      <c r="J567" s="28" t="s">
        <v>147</v>
      </c>
      <c r="K567" s="27" t="s">
        <v>45</v>
      </c>
      <c r="L567" s="27" t="s">
        <v>74</v>
      </c>
    </row>
    <row r="568" customFormat="false" ht="15" hidden="false" customHeight="false" outlineLevel="0" collapsed="false">
      <c r="A568" s="26" t="s">
        <v>2251</v>
      </c>
      <c r="B568" s="27" t="s">
        <v>2252</v>
      </c>
      <c r="C568" s="27" t="s">
        <v>370</v>
      </c>
      <c r="D568" s="26" t="s">
        <v>2253</v>
      </c>
      <c r="E568" s="27" t="s">
        <v>2254</v>
      </c>
      <c r="F568" s="28" t="s">
        <v>146</v>
      </c>
      <c r="G568" s="27" t="s">
        <v>2107</v>
      </c>
      <c r="H568" s="27" t="s">
        <v>57</v>
      </c>
      <c r="I568" s="27" t="s">
        <v>42</v>
      </c>
      <c r="J568" s="28" t="s">
        <v>147</v>
      </c>
      <c r="K568" s="27" t="s">
        <v>45</v>
      </c>
      <c r="L568" s="27" t="s">
        <v>76</v>
      </c>
    </row>
    <row r="569" customFormat="false" ht="15" hidden="false" customHeight="false" outlineLevel="0" collapsed="false">
      <c r="A569" s="26" t="s">
        <v>2255</v>
      </c>
      <c r="B569" s="27" t="s">
        <v>2256</v>
      </c>
      <c r="C569" s="27" t="s">
        <v>2041</v>
      </c>
      <c r="D569" s="26" t="s">
        <v>2257</v>
      </c>
      <c r="E569" s="27" t="s">
        <v>2258</v>
      </c>
      <c r="F569" s="28" t="s">
        <v>146</v>
      </c>
      <c r="G569" s="27" t="s">
        <v>2107</v>
      </c>
      <c r="H569" s="27" t="s">
        <v>57</v>
      </c>
      <c r="I569" s="27" t="s">
        <v>42</v>
      </c>
      <c r="J569" s="28" t="s">
        <v>2259</v>
      </c>
      <c r="K569" s="27" t="s">
        <v>152</v>
      </c>
      <c r="L569" s="27" t="s">
        <v>2260</v>
      </c>
    </row>
    <row r="570" customFormat="false" ht="15" hidden="false" customHeight="false" outlineLevel="0" collapsed="false">
      <c r="A570" s="26" t="s">
        <v>2261</v>
      </c>
      <c r="B570" s="27" t="s">
        <v>2262</v>
      </c>
      <c r="C570" s="27" t="s">
        <v>100</v>
      </c>
      <c r="D570" s="26" t="s">
        <v>2263</v>
      </c>
      <c r="E570" s="27" t="s">
        <v>2264</v>
      </c>
      <c r="F570" s="28" t="s">
        <v>2101</v>
      </c>
      <c r="G570" s="27" t="s">
        <v>2107</v>
      </c>
      <c r="H570" s="27" t="s">
        <v>57</v>
      </c>
      <c r="I570" s="27" t="s">
        <v>1067</v>
      </c>
      <c r="J570" s="28" t="s">
        <v>153</v>
      </c>
      <c r="K570" s="27" t="s">
        <v>152</v>
      </c>
      <c r="L570" s="27" t="s">
        <v>2265</v>
      </c>
    </row>
    <row r="571" customFormat="false" ht="15" hidden="false" customHeight="false" outlineLevel="0" collapsed="false">
      <c r="A571" s="26" t="s">
        <v>2266</v>
      </c>
      <c r="B571" s="27" t="s">
        <v>2267</v>
      </c>
      <c r="C571" s="27" t="s">
        <v>370</v>
      </c>
      <c r="D571" s="26" t="s">
        <v>2268</v>
      </c>
      <c r="E571" s="27" t="s">
        <v>2269</v>
      </c>
      <c r="F571" s="28" t="s">
        <v>146</v>
      </c>
      <c r="G571" s="27" t="s">
        <v>2107</v>
      </c>
      <c r="H571" s="27" t="s">
        <v>56</v>
      </c>
      <c r="I571" s="27" t="s">
        <v>40</v>
      </c>
      <c r="J571" s="28" t="s">
        <v>161</v>
      </c>
      <c r="K571" s="27" t="s">
        <v>40</v>
      </c>
      <c r="L571" s="27" t="s">
        <v>76</v>
      </c>
    </row>
    <row r="572" customFormat="false" ht="15" hidden="false" customHeight="false" outlineLevel="0" collapsed="false">
      <c r="A572" s="26" t="s">
        <v>2270</v>
      </c>
      <c r="B572" s="27" t="s">
        <v>2271</v>
      </c>
      <c r="C572" s="27" t="s">
        <v>370</v>
      </c>
      <c r="D572" s="26" t="s">
        <v>2272</v>
      </c>
      <c r="E572" s="27" t="s">
        <v>2273</v>
      </c>
      <c r="F572" s="28" t="s">
        <v>146</v>
      </c>
      <c r="G572" s="27" t="s">
        <v>2107</v>
      </c>
      <c r="H572" s="27" t="s">
        <v>56</v>
      </c>
      <c r="I572" s="27" t="s">
        <v>40</v>
      </c>
      <c r="J572" s="28" t="s">
        <v>161</v>
      </c>
      <c r="K572" s="27" t="s">
        <v>40</v>
      </c>
      <c r="L572" s="27" t="s">
        <v>76</v>
      </c>
    </row>
    <row r="573" customFormat="false" ht="15" hidden="false" customHeight="false" outlineLevel="0" collapsed="false">
      <c r="A573" s="26" t="s">
        <v>2274</v>
      </c>
      <c r="B573" s="27" t="s">
        <v>2275</v>
      </c>
      <c r="C573" s="27" t="s">
        <v>370</v>
      </c>
      <c r="D573" s="26" t="s">
        <v>2276</v>
      </c>
      <c r="E573" s="28" t="s">
        <v>2277</v>
      </c>
      <c r="F573" s="28" t="s">
        <v>146</v>
      </c>
      <c r="G573" s="27" t="s">
        <v>2107</v>
      </c>
      <c r="H573" s="27" t="s">
        <v>56</v>
      </c>
      <c r="I573" s="27" t="s">
        <v>40</v>
      </c>
      <c r="J573" s="28" t="s">
        <v>161</v>
      </c>
      <c r="K573" s="27" t="s">
        <v>40</v>
      </c>
      <c r="L573" s="27" t="s">
        <v>76</v>
      </c>
    </row>
    <row r="574" customFormat="false" ht="15" hidden="false" customHeight="false" outlineLevel="0" collapsed="false">
      <c r="A574" s="26" t="s">
        <v>2278</v>
      </c>
      <c r="B574" s="27" t="s">
        <v>2279</v>
      </c>
      <c r="C574" s="27" t="s">
        <v>370</v>
      </c>
      <c r="D574" s="26" t="s">
        <v>2280</v>
      </c>
      <c r="E574" s="27" t="s">
        <v>2281</v>
      </c>
      <c r="F574" s="28" t="s">
        <v>146</v>
      </c>
      <c r="G574" s="27" t="s">
        <v>2107</v>
      </c>
      <c r="H574" s="27" t="s">
        <v>56</v>
      </c>
      <c r="I574" s="27" t="s">
        <v>40</v>
      </c>
      <c r="J574" s="28" t="s">
        <v>161</v>
      </c>
      <c r="K574" s="27" t="s">
        <v>40</v>
      </c>
      <c r="L574" s="27" t="s">
        <v>76</v>
      </c>
    </row>
    <row r="575" customFormat="false" ht="15" hidden="false" customHeight="false" outlineLevel="0" collapsed="false">
      <c r="A575" s="26" t="s">
        <v>2282</v>
      </c>
      <c r="B575" s="27" t="s">
        <v>2283</v>
      </c>
      <c r="C575" s="27" t="s">
        <v>370</v>
      </c>
      <c r="D575" s="26" t="s">
        <v>2284</v>
      </c>
      <c r="E575" s="27" t="s">
        <v>2285</v>
      </c>
      <c r="F575" s="28" t="s">
        <v>146</v>
      </c>
      <c r="G575" s="27" t="s">
        <v>2107</v>
      </c>
      <c r="H575" s="27" t="s">
        <v>56</v>
      </c>
      <c r="I575" s="27" t="s">
        <v>40</v>
      </c>
      <c r="J575" s="28" t="s">
        <v>161</v>
      </c>
      <c r="K575" s="27" t="s">
        <v>40</v>
      </c>
      <c r="L575" s="27" t="s">
        <v>76</v>
      </c>
    </row>
    <row r="576" customFormat="false" ht="15" hidden="false" customHeight="false" outlineLevel="0" collapsed="false">
      <c r="A576" s="26" t="s">
        <v>2286</v>
      </c>
      <c r="B576" s="27" t="s">
        <v>2287</v>
      </c>
      <c r="C576" s="27" t="s">
        <v>144</v>
      </c>
      <c r="D576" s="26" t="s">
        <v>2288</v>
      </c>
      <c r="E576" s="27" t="s">
        <v>2289</v>
      </c>
      <c r="F576" s="28" t="s">
        <v>373</v>
      </c>
      <c r="G576" s="27" t="s">
        <v>2107</v>
      </c>
      <c r="H576" s="27" t="s">
        <v>56</v>
      </c>
      <c r="I576" s="27" t="s">
        <v>40</v>
      </c>
      <c r="J576" s="28" t="s">
        <v>161</v>
      </c>
      <c r="K576" s="27" t="s">
        <v>40</v>
      </c>
      <c r="L576" s="27" t="s">
        <v>74</v>
      </c>
    </row>
    <row r="577" customFormat="false" ht="15" hidden="false" customHeight="false" outlineLevel="0" collapsed="false">
      <c r="A577" s="26" t="s">
        <v>2290</v>
      </c>
      <c r="B577" s="27" t="s">
        <v>2291</v>
      </c>
      <c r="C577" s="27" t="s">
        <v>370</v>
      </c>
      <c r="D577" s="26" t="s">
        <v>2292</v>
      </c>
      <c r="E577" s="27" t="s">
        <v>2293</v>
      </c>
      <c r="F577" s="28" t="s">
        <v>146</v>
      </c>
      <c r="G577" s="27" t="s">
        <v>2107</v>
      </c>
      <c r="H577" s="27" t="s">
        <v>57</v>
      </c>
      <c r="I577" s="28" t="s">
        <v>46</v>
      </c>
      <c r="J577" s="28" t="s">
        <v>161</v>
      </c>
      <c r="K577" s="27" t="s">
        <v>40</v>
      </c>
      <c r="L577" s="27" t="s">
        <v>76</v>
      </c>
    </row>
    <row r="578" customFormat="false" ht="15" hidden="false" customHeight="false" outlineLevel="0" collapsed="false">
      <c r="A578" s="26" t="s">
        <v>2294</v>
      </c>
      <c r="B578" s="27" t="s">
        <v>2295</v>
      </c>
      <c r="C578" s="27" t="s">
        <v>370</v>
      </c>
      <c r="D578" s="26" t="s">
        <v>2292</v>
      </c>
      <c r="E578" s="27" t="s">
        <v>2293</v>
      </c>
      <c r="F578" s="28" t="s">
        <v>146</v>
      </c>
      <c r="G578" s="27" t="s">
        <v>2107</v>
      </c>
      <c r="H578" s="27" t="s">
        <v>57</v>
      </c>
      <c r="I578" s="28" t="s">
        <v>46</v>
      </c>
      <c r="J578" s="28" t="s">
        <v>161</v>
      </c>
      <c r="K578" s="27" t="s">
        <v>40</v>
      </c>
      <c r="L578" s="27" t="s">
        <v>76</v>
      </c>
    </row>
    <row r="579" customFormat="false" ht="15" hidden="false" customHeight="false" outlineLevel="0" collapsed="false">
      <c r="A579" s="26" t="s">
        <v>2296</v>
      </c>
      <c r="B579" s="27" t="s">
        <v>2297</v>
      </c>
      <c r="C579" s="27" t="s">
        <v>370</v>
      </c>
      <c r="D579" s="26" t="s">
        <v>2292</v>
      </c>
      <c r="E579" s="27" t="s">
        <v>2293</v>
      </c>
      <c r="F579" s="28" t="s">
        <v>146</v>
      </c>
      <c r="G579" s="27" t="s">
        <v>2107</v>
      </c>
      <c r="H579" s="27" t="s">
        <v>57</v>
      </c>
      <c r="I579" s="28" t="s">
        <v>46</v>
      </c>
      <c r="J579" s="28" t="s">
        <v>161</v>
      </c>
      <c r="K579" s="27" t="s">
        <v>40</v>
      </c>
      <c r="L579" s="27" t="s">
        <v>76</v>
      </c>
    </row>
    <row r="580" customFormat="false" ht="15" hidden="false" customHeight="false" outlineLevel="0" collapsed="false">
      <c r="A580" s="26" t="s">
        <v>2298</v>
      </c>
      <c r="B580" s="27" t="s">
        <v>2299</v>
      </c>
      <c r="C580" s="27" t="s">
        <v>370</v>
      </c>
      <c r="D580" s="26" t="s">
        <v>2300</v>
      </c>
      <c r="E580" s="27" t="s">
        <v>2301</v>
      </c>
      <c r="F580" s="28" t="s">
        <v>146</v>
      </c>
      <c r="G580" s="27" t="s">
        <v>2107</v>
      </c>
      <c r="H580" s="27" t="s">
        <v>56</v>
      </c>
      <c r="I580" s="27" t="s">
        <v>40</v>
      </c>
      <c r="J580" s="28" t="s">
        <v>161</v>
      </c>
      <c r="K580" s="27" t="s">
        <v>40</v>
      </c>
      <c r="L580" s="27" t="s">
        <v>76</v>
      </c>
    </row>
    <row r="581" customFormat="false" ht="15" hidden="false" customHeight="false" outlineLevel="0" collapsed="false">
      <c r="A581" s="26" t="s">
        <v>2302</v>
      </c>
      <c r="B581" s="27" t="s">
        <v>2303</v>
      </c>
      <c r="C581" s="27" t="s">
        <v>370</v>
      </c>
      <c r="D581" s="26" t="s">
        <v>2304</v>
      </c>
      <c r="E581" s="27" t="s">
        <v>2305</v>
      </c>
      <c r="F581" s="28" t="s">
        <v>146</v>
      </c>
      <c r="G581" s="27" t="s">
        <v>2107</v>
      </c>
      <c r="H581" s="27" t="s">
        <v>56</v>
      </c>
      <c r="I581" s="27" t="s">
        <v>40</v>
      </c>
      <c r="J581" s="28" t="s">
        <v>161</v>
      </c>
      <c r="K581" s="27" t="s">
        <v>40</v>
      </c>
      <c r="L581" s="27" t="s">
        <v>76</v>
      </c>
    </row>
    <row r="582" customFormat="false" ht="15" hidden="false" customHeight="false" outlineLevel="0" collapsed="false">
      <c r="A582" s="26" t="s">
        <v>2306</v>
      </c>
      <c r="B582" s="27" t="s">
        <v>2307</v>
      </c>
      <c r="C582" s="27" t="s">
        <v>137</v>
      </c>
      <c r="D582" s="26" t="s">
        <v>2308</v>
      </c>
      <c r="E582" s="27" t="s">
        <v>2309</v>
      </c>
      <c r="F582" s="28" t="s">
        <v>2232</v>
      </c>
      <c r="G582" s="27" t="s">
        <v>2107</v>
      </c>
      <c r="H582" s="27" t="s">
        <v>56</v>
      </c>
      <c r="I582" s="27" t="s">
        <v>40</v>
      </c>
      <c r="J582" s="28" t="s">
        <v>161</v>
      </c>
      <c r="K582" s="27" t="s">
        <v>40</v>
      </c>
      <c r="L582" s="27" t="s">
        <v>2233</v>
      </c>
    </row>
    <row r="583" customFormat="false" ht="15" hidden="false" customHeight="false" outlineLevel="0" collapsed="false">
      <c r="A583" s="26" t="s">
        <v>2310</v>
      </c>
      <c r="B583" s="27" t="s">
        <v>2311</v>
      </c>
      <c r="C583" s="27" t="s">
        <v>1845</v>
      </c>
      <c r="D583" s="26" t="s">
        <v>2312</v>
      </c>
      <c r="E583" s="27" t="s">
        <v>2313</v>
      </c>
      <c r="F583" s="28" t="s">
        <v>140</v>
      </c>
      <c r="G583" s="27" t="s">
        <v>2107</v>
      </c>
      <c r="H583" s="27" t="s">
        <v>56</v>
      </c>
      <c r="I583" s="27" t="s">
        <v>40</v>
      </c>
      <c r="J583" s="28" t="s">
        <v>161</v>
      </c>
      <c r="K583" s="27" t="s">
        <v>40</v>
      </c>
      <c r="L583" s="27" t="s">
        <v>79</v>
      </c>
    </row>
    <row r="584" customFormat="false" ht="15" hidden="false" customHeight="false" outlineLevel="0" collapsed="false">
      <c r="A584" s="26" t="s">
        <v>2314</v>
      </c>
      <c r="B584" s="27" t="s">
        <v>2315</v>
      </c>
      <c r="C584" s="27" t="s">
        <v>1845</v>
      </c>
      <c r="D584" s="26" t="s">
        <v>2312</v>
      </c>
      <c r="E584" s="27" t="s">
        <v>2313</v>
      </c>
      <c r="F584" s="28" t="s">
        <v>140</v>
      </c>
      <c r="G584" s="27" t="s">
        <v>2107</v>
      </c>
      <c r="H584" s="27" t="s">
        <v>56</v>
      </c>
      <c r="I584" s="27" t="s">
        <v>40</v>
      </c>
      <c r="J584" s="28" t="s">
        <v>161</v>
      </c>
      <c r="K584" s="27" t="s">
        <v>40</v>
      </c>
      <c r="L584" s="27" t="s">
        <v>79</v>
      </c>
    </row>
    <row r="585" customFormat="false" ht="15" hidden="false" customHeight="false" outlineLevel="0" collapsed="false">
      <c r="A585" s="26" t="s">
        <v>2316</v>
      </c>
      <c r="B585" s="27" t="s">
        <v>2317</v>
      </c>
      <c r="C585" s="27" t="s">
        <v>144</v>
      </c>
      <c r="D585" s="26" t="s">
        <v>2318</v>
      </c>
      <c r="E585" s="27" t="s">
        <v>2319</v>
      </c>
      <c r="F585" s="28" t="s">
        <v>373</v>
      </c>
      <c r="G585" s="27" t="s">
        <v>2107</v>
      </c>
      <c r="H585" s="27" t="s">
        <v>57</v>
      </c>
      <c r="I585" s="28" t="s">
        <v>46</v>
      </c>
      <c r="J585" s="28" t="s">
        <v>161</v>
      </c>
      <c r="K585" s="27" t="s">
        <v>40</v>
      </c>
      <c r="L585" s="27" t="s">
        <v>74</v>
      </c>
    </row>
    <row r="586" customFormat="false" ht="15" hidden="false" customHeight="false" outlineLevel="0" collapsed="false">
      <c r="A586" s="26" t="s">
        <v>2320</v>
      </c>
      <c r="B586" s="27" t="s">
        <v>2321</v>
      </c>
      <c r="C586" s="27" t="s">
        <v>370</v>
      </c>
      <c r="D586" s="26" t="s">
        <v>2322</v>
      </c>
      <c r="E586" s="27" t="s">
        <v>2323</v>
      </c>
      <c r="F586" s="28" t="s">
        <v>146</v>
      </c>
      <c r="G586" s="27" t="s">
        <v>2107</v>
      </c>
      <c r="H586" s="27" t="s">
        <v>57</v>
      </c>
      <c r="I586" s="27" t="s">
        <v>41</v>
      </c>
      <c r="J586" s="28" t="s">
        <v>161</v>
      </c>
      <c r="K586" s="27" t="s">
        <v>40</v>
      </c>
      <c r="L586" s="27" t="s">
        <v>76</v>
      </c>
    </row>
    <row r="587" customFormat="false" ht="15" hidden="false" customHeight="false" outlineLevel="0" collapsed="false">
      <c r="A587" s="26" t="s">
        <v>2324</v>
      </c>
      <c r="B587" s="27" t="s">
        <v>2325</v>
      </c>
      <c r="C587" s="27" t="s">
        <v>370</v>
      </c>
      <c r="D587" s="26" t="s">
        <v>2326</v>
      </c>
      <c r="E587" s="27" t="s">
        <v>2327</v>
      </c>
      <c r="F587" s="28" t="s">
        <v>146</v>
      </c>
      <c r="G587" s="27" t="s">
        <v>2107</v>
      </c>
      <c r="H587" s="27" t="s">
        <v>56</v>
      </c>
      <c r="I587" s="27" t="s">
        <v>40</v>
      </c>
      <c r="J587" s="28" t="s">
        <v>161</v>
      </c>
      <c r="K587" s="27" t="s">
        <v>40</v>
      </c>
      <c r="L587" s="27" t="s">
        <v>76</v>
      </c>
    </row>
    <row r="588" customFormat="false" ht="15" hidden="false" customHeight="false" outlineLevel="0" collapsed="false">
      <c r="A588" s="26" t="s">
        <v>2328</v>
      </c>
      <c r="B588" s="27" t="s">
        <v>2329</v>
      </c>
      <c r="C588" s="27" t="s">
        <v>370</v>
      </c>
      <c r="D588" s="26" t="s">
        <v>2330</v>
      </c>
      <c r="E588" s="27" t="s">
        <v>2331</v>
      </c>
      <c r="F588" s="28" t="s">
        <v>146</v>
      </c>
      <c r="G588" s="27" t="s">
        <v>2107</v>
      </c>
      <c r="H588" s="27" t="s">
        <v>56</v>
      </c>
      <c r="I588" s="27" t="s">
        <v>40</v>
      </c>
      <c r="J588" s="28" t="s">
        <v>161</v>
      </c>
      <c r="K588" s="27" t="s">
        <v>40</v>
      </c>
      <c r="L588" s="27" t="s">
        <v>76</v>
      </c>
    </row>
    <row r="589" customFormat="false" ht="15" hidden="false" customHeight="false" outlineLevel="0" collapsed="false">
      <c r="A589" s="26" t="s">
        <v>2332</v>
      </c>
      <c r="B589" s="27" t="s">
        <v>2333</v>
      </c>
      <c r="C589" s="27" t="s">
        <v>370</v>
      </c>
      <c r="D589" s="26" t="s">
        <v>2334</v>
      </c>
      <c r="E589" s="27" t="s">
        <v>2335</v>
      </c>
      <c r="F589" s="28" t="s">
        <v>146</v>
      </c>
      <c r="G589" s="27" t="s">
        <v>2107</v>
      </c>
      <c r="H589" s="27" t="s">
        <v>56</v>
      </c>
      <c r="I589" s="27" t="s">
        <v>40</v>
      </c>
      <c r="J589" s="28" t="s">
        <v>161</v>
      </c>
      <c r="K589" s="27" t="s">
        <v>40</v>
      </c>
      <c r="L589" s="27" t="s">
        <v>76</v>
      </c>
    </row>
    <row r="590" customFormat="false" ht="15" hidden="false" customHeight="false" outlineLevel="0" collapsed="false">
      <c r="A590" s="26" t="s">
        <v>2336</v>
      </c>
      <c r="B590" s="27" t="s">
        <v>2337</v>
      </c>
      <c r="C590" s="27" t="s">
        <v>370</v>
      </c>
      <c r="D590" s="26" t="s">
        <v>2334</v>
      </c>
      <c r="E590" s="27" t="s">
        <v>2335</v>
      </c>
      <c r="F590" s="28" t="s">
        <v>146</v>
      </c>
      <c r="G590" s="27" t="s">
        <v>2107</v>
      </c>
      <c r="H590" s="27" t="s">
        <v>56</v>
      </c>
      <c r="I590" s="27" t="s">
        <v>40</v>
      </c>
      <c r="J590" s="28" t="s">
        <v>161</v>
      </c>
      <c r="K590" s="27" t="s">
        <v>40</v>
      </c>
      <c r="L590" s="27" t="s">
        <v>76</v>
      </c>
    </row>
    <row r="591" customFormat="false" ht="15" hidden="false" customHeight="false" outlineLevel="0" collapsed="false">
      <c r="A591" s="26" t="s">
        <v>2338</v>
      </c>
      <c r="B591" s="27" t="s">
        <v>2339</v>
      </c>
      <c r="C591" s="27" t="s">
        <v>370</v>
      </c>
      <c r="D591" s="26" t="s">
        <v>2340</v>
      </c>
      <c r="E591" s="27" t="s">
        <v>2341</v>
      </c>
      <c r="F591" s="28" t="s">
        <v>146</v>
      </c>
      <c r="G591" s="27" t="s">
        <v>2107</v>
      </c>
      <c r="H591" s="27" t="s">
        <v>57</v>
      </c>
      <c r="I591" s="27" t="s">
        <v>41</v>
      </c>
      <c r="J591" s="28" t="s">
        <v>161</v>
      </c>
      <c r="K591" s="27" t="s">
        <v>40</v>
      </c>
      <c r="L591" s="27" t="s">
        <v>76</v>
      </c>
    </row>
    <row r="592" customFormat="false" ht="15" hidden="false" customHeight="false" outlineLevel="0" collapsed="false">
      <c r="A592" s="26" t="s">
        <v>2342</v>
      </c>
      <c r="B592" s="27" t="s">
        <v>2343</v>
      </c>
      <c r="C592" s="27" t="s">
        <v>370</v>
      </c>
      <c r="D592" s="26" t="s">
        <v>2344</v>
      </c>
      <c r="E592" s="27" t="s">
        <v>2345</v>
      </c>
      <c r="F592" s="28" t="s">
        <v>146</v>
      </c>
      <c r="G592" s="27" t="s">
        <v>2107</v>
      </c>
      <c r="H592" s="27" t="s">
        <v>56</v>
      </c>
      <c r="I592" s="27" t="s">
        <v>40</v>
      </c>
      <c r="J592" s="28" t="s">
        <v>161</v>
      </c>
      <c r="K592" s="27" t="s">
        <v>40</v>
      </c>
      <c r="L592" s="27" t="s">
        <v>76</v>
      </c>
    </row>
    <row r="593" customFormat="false" ht="15" hidden="false" customHeight="false" outlineLevel="0" collapsed="false">
      <c r="A593" s="26" t="s">
        <v>2346</v>
      </c>
      <c r="B593" s="27" t="s">
        <v>2347</v>
      </c>
      <c r="C593" s="27" t="s">
        <v>370</v>
      </c>
      <c r="D593" s="26" t="s">
        <v>2344</v>
      </c>
      <c r="E593" s="27" t="s">
        <v>2345</v>
      </c>
      <c r="F593" s="28" t="s">
        <v>146</v>
      </c>
      <c r="G593" s="27" t="s">
        <v>2107</v>
      </c>
      <c r="H593" s="27" t="s">
        <v>56</v>
      </c>
      <c r="I593" s="27" t="s">
        <v>40</v>
      </c>
      <c r="J593" s="28" t="s">
        <v>161</v>
      </c>
      <c r="K593" s="27" t="s">
        <v>40</v>
      </c>
      <c r="L593" s="27" t="s">
        <v>76</v>
      </c>
    </row>
    <row r="594" customFormat="false" ht="15" hidden="false" customHeight="false" outlineLevel="0" collapsed="false">
      <c r="A594" s="26" t="s">
        <v>2348</v>
      </c>
      <c r="B594" s="27" t="s">
        <v>2349</v>
      </c>
      <c r="C594" s="27" t="s">
        <v>2041</v>
      </c>
      <c r="D594" s="26" t="s">
        <v>2350</v>
      </c>
      <c r="E594" s="27" t="s">
        <v>2351</v>
      </c>
      <c r="F594" s="28" t="s">
        <v>146</v>
      </c>
      <c r="G594" s="27" t="s">
        <v>2107</v>
      </c>
      <c r="H594" s="27" t="s">
        <v>57</v>
      </c>
      <c r="I594" s="27" t="s">
        <v>41</v>
      </c>
      <c r="J594" s="28" t="s">
        <v>161</v>
      </c>
      <c r="K594" s="27" t="s">
        <v>40</v>
      </c>
      <c r="L594" s="27" t="s">
        <v>2260</v>
      </c>
    </row>
    <row r="595" customFormat="false" ht="15" hidden="false" customHeight="false" outlineLevel="0" collapsed="false">
      <c r="A595" s="26" t="s">
        <v>2352</v>
      </c>
      <c r="B595" s="27" t="s">
        <v>2353</v>
      </c>
      <c r="C595" s="27" t="s">
        <v>1990</v>
      </c>
      <c r="D595" s="26" t="s">
        <v>1822</v>
      </c>
      <c r="E595" s="27" t="s">
        <v>1821</v>
      </c>
      <c r="F595" s="28" t="s">
        <v>1823</v>
      </c>
      <c r="G595" s="27" t="s">
        <v>2107</v>
      </c>
      <c r="H595" s="27" t="s">
        <v>57</v>
      </c>
      <c r="I595" s="27" t="s">
        <v>42</v>
      </c>
      <c r="J595" s="28" t="s">
        <v>161</v>
      </c>
      <c r="K595" s="27" t="s">
        <v>40</v>
      </c>
      <c r="L595" s="27" t="s">
        <v>2354</v>
      </c>
    </row>
    <row r="596" customFormat="false" ht="15" hidden="false" customHeight="false" outlineLevel="0" collapsed="false">
      <c r="A596" s="26" t="s">
        <v>2355</v>
      </c>
      <c r="B596" s="27" t="s">
        <v>2356</v>
      </c>
      <c r="C596" s="27" t="s">
        <v>1990</v>
      </c>
      <c r="D596" s="26" t="s">
        <v>1822</v>
      </c>
      <c r="E596" s="27" t="s">
        <v>1821</v>
      </c>
      <c r="F596" s="28" t="s">
        <v>1823</v>
      </c>
      <c r="G596" s="27" t="s">
        <v>2107</v>
      </c>
      <c r="H596" s="27" t="s">
        <v>57</v>
      </c>
      <c r="I596" s="27" t="s">
        <v>42</v>
      </c>
      <c r="J596" s="28" t="s">
        <v>161</v>
      </c>
      <c r="K596" s="27" t="s">
        <v>40</v>
      </c>
      <c r="L596" s="27" t="s">
        <v>2354</v>
      </c>
    </row>
    <row r="597" customFormat="false" ht="15" hidden="false" customHeight="false" outlineLevel="0" collapsed="false">
      <c r="A597" s="26" t="s">
        <v>2357</v>
      </c>
      <c r="B597" s="27" t="s">
        <v>2358</v>
      </c>
      <c r="C597" s="27" t="s">
        <v>144</v>
      </c>
      <c r="D597" s="26" t="s">
        <v>2359</v>
      </c>
      <c r="E597" s="27" t="s">
        <v>2360</v>
      </c>
      <c r="F597" s="28" t="s">
        <v>140</v>
      </c>
      <c r="G597" s="27" t="s">
        <v>2107</v>
      </c>
      <c r="H597" s="27" t="s">
        <v>56</v>
      </c>
      <c r="I597" s="27" t="s">
        <v>40</v>
      </c>
      <c r="J597" s="28" t="s">
        <v>161</v>
      </c>
      <c r="K597" s="27" t="s">
        <v>40</v>
      </c>
      <c r="L597" s="27" t="s">
        <v>83</v>
      </c>
    </row>
    <row r="598" customFormat="false" ht="15" hidden="false" customHeight="false" outlineLevel="0" collapsed="false">
      <c r="A598" s="26" t="s">
        <v>2361</v>
      </c>
      <c r="B598" s="27" t="s">
        <v>2362</v>
      </c>
      <c r="C598" s="27" t="s">
        <v>1493</v>
      </c>
      <c r="D598" s="26" t="s">
        <v>2363</v>
      </c>
      <c r="E598" s="27" t="s">
        <v>2364</v>
      </c>
      <c r="F598" s="28" t="s">
        <v>140</v>
      </c>
      <c r="G598" s="27" t="s">
        <v>2107</v>
      </c>
      <c r="H598" s="27" t="s">
        <v>57</v>
      </c>
      <c r="I598" s="27" t="s">
        <v>41</v>
      </c>
      <c r="J598" s="28" t="s">
        <v>161</v>
      </c>
      <c r="K598" s="27" t="s">
        <v>40</v>
      </c>
      <c r="L598" s="27" t="s">
        <v>2365</v>
      </c>
    </row>
    <row r="599" customFormat="false" ht="15" hidden="false" customHeight="false" outlineLevel="0" collapsed="false">
      <c r="A599" s="26" t="s">
        <v>2366</v>
      </c>
      <c r="B599" s="27" t="s">
        <v>2367</v>
      </c>
      <c r="C599" s="27" t="s">
        <v>370</v>
      </c>
      <c r="D599" s="26" t="s">
        <v>2368</v>
      </c>
      <c r="E599" s="27" t="s">
        <v>2369</v>
      </c>
      <c r="F599" s="28" t="s">
        <v>146</v>
      </c>
      <c r="G599" s="27" t="s">
        <v>2107</v>
      </c>
      <c r="H599" s="27" t="s">
        <v>57</v>
      </c>
      <c r="I599" s="28" t="s">
        <v>50</v>
      </c>
      <c r="J599" s="28" t="s">
        <v>161</v>
      </c>
      <c r="K599" s="27" t="s">
        <v>40</v>
      </c>
      <c r="L599" s="27" t="s">
        <v>76</v>
      </c>
    </row>
    <row r="600" customFormat="false" ht="15" hidden="false" customHeight="false" outlineLevel="0" collapsed="false">
      <c r="A600" s="26" t="s">
        <v>2370</v>
      </c>
      <c r="B600" s="27" t="s">
        <v>2371</v>
      </c>
      <c r="C600" s="27" t="s">
        <v>370</v>
      </c>
      <c r="D600" s="26" t="s">
        <v>2372</v>
      </c>
      <c r="E600" s="27" t="s">
        <v>2373</v>
      </c>
      <c r="F600" s="28" t="s">
        <v>146</v>
      </c>
      <c r="G600" s="27" t="s">
        <v>2107</v>
      </c>
      <c r="H600" s="27" t="s">
        <v>57</v>
      </c>
      <c r="I600" s="27" t="s">
        <v>41</v>
      </c>
      <c r="J600" s="28" t="s">
        <v>161</v>
      </c>
      <c r="K600" s="27" t="s">
        <v>40</v>
      </c>
      <c r="L600" s="27" t="s">
        <v>76</v>
      </c>
    </row>
    <row r="601" customFormat="false" ht="15" hidden="false" customHeight="false" outlineLevel="0" collapsed="false">
      <c r="A601" s="26" t="s">
        <v>2374</v>
      </c>
      <c r="B601" s="27" t="s">
        <v>2375</v>
      </c>
      <c r="C601" s="27" t="s">
        <v>144</v>
      </c>
      <c r="D601" s="26" t="s">
        <v>2376</v>
      </c>
      <c r="E601" s="27" t="s">
        <v>2377</v>
      </c>
      <c r="F601" s="28" t="s">
        <v>373</v>
      </c>
      <c r="G601" s="27" t="s">
        <v>2107</v>
      </c>
      <c r="H601" s="27" t="s">
        <v>57</v>
      </c>
      <c r="I601" s="27" t="s">
        <v>41</v>
      </c>
      <c r="J601" s="28" t="s">
        <v>161</v>
      </c>
      <c r="K601" s="27" t="s">
        <v>40</v>
      </c>
      <c r="L601" s="27" t="s">
        <v>74</v>
      </c>
    </row>
    <row r="602" customFormat="false" ht="15" hidden="false" customHeight="false" outlineLevel="0" collapsed="false">
      <c r="A602" s="26" t="s">
        <v>2378</v>
      </c>
      <c r="B602" s="27" t="s">
        <v>2379</v>
      </c>
      <c r="C602" s="27" t="s">
        <v>144</v>
      </c>
      <c r="D602" s="26" t="s">
        <v>2380</v>
      </c>
      <c r="E602" s="27" t="s">
        <v>2381</v>
      </c>
      <c r="F602" s="28" t="s">
        <v>373</v>
      </c>
      <c r="G602" s="27" t="s">
        <v>2107</v>
      </c>
      <c r="H602" s="27" t="s">
        <v>56</v>
      </c>
      <c r="I602" s="27" t="s">
        <v>40</v>
      </c>
      <c r="J602" s="28" t="s">
        <v>161</v>
      </c>
      <c r="K602" s="27" t="s">
        <v>40</v>
      </c>
      <c r="L602" s="27" t="s">
        <v>74</v>
      </c>
    </row>
    <row r="603" customFormat="false" ht="15" hidden="false" customHeight="false" outlineLevel="0" collapsed="false">
      <c r="A603" s="26" t="s">
        <v>2382</v>
      </c>
      <c r="B603" s="27" t="s">
        <v>2383</v>
      </c>
      <c r="C603" s="27" t="s">
        <v>370</v>
      </c>
      <c r="D603" s="26" t="s">
        <v>2384</v>
      </c>
      <c r="E603" s="27" t="s">
        <v>2385</v>
      </c>
      <c r="F603" s="28" t="s">
        <v>146</v>
      </c>
      <c r="G603" s="27" t="s">
        <v>2107</v>
      </c>
      <c r="H603" s="27" t="s">
        <v>57</v>
      </c>
      <c r="I603" s="27" t="s">
        <v>48</v>
      </c>
      <c r="J603" s="28" t="s">
        <v>161</v>
      </c>
      <c r="K603" s="27" t="s">
        <v>40</v>
      </c>
      <c r="L603" s="27" t="s">
        <v>76</v>
      </c>
    </row>
    <row r="604" customFormat="false" ht="15" hidden="false" customHeight="false" outlineLevel="0" collapsed="false">
      <c r="A604" s="26" t="s">
        <v>2386</v>
      </c>
      <c r="B604" s="27" t="s">
        <v>2387</v>
      </c>
      <c r="C604" s="27" t="s">
        <v>137</v>
      </c>
      <c r="D604" s="26" t="s">
        <v>2388</v>
      </c>
      <c r="E604" s="27" t="s">
        <v>2389</v>
      </c>
      <c r="F604" s="28" t="s">
        <v>146</v>
      </c>
      <c r="G604" s="27" t="s">
        <v>2107</v>
      </c>
      <c r="H604" s="27" t="s">
        <v>56</v>
      </c>
      <c r="I604" s="27" t="s">
        <v>37</v>
      </c>
      <c r="J604" s="28" t="s">
        <v>399</v>
      </c>
      <c r="K604" s="27" t="s">
        <v>37</v>
      </c>
      <c r="L604" s="27" t="s">
        <v>80</v>
      </c>
    </row>
    <row r="605" customFormat="false" ht="15" hidden="false" customHeight="false" outlineLevel="0" collapsed="false">
      <c r="A605" s="26" t="s">
        <v>2390</v>
      </c>
      <c r="B605" s="27" t="s">
        <v>2391</v>
      </c>
      <c r="C605" s="27" t="s">
        <v>137</v>
      </c>
      <c r="D605" s="26" t="s">
        <v>2392</v>
      </c>
      <c r="E605" s="27" t="s">
        <v>2393</v>
      </c>
      <c r="F605" s="28" t="s">
        <v>146</v>
      </c>
      <c r="G605" s="27" t="s">
        <v>2107</v>
      </c>
      <c r="H605" s="27" t="s">
        <v>56</v>
      </c>
      <c r="I605" s="27" t="s">
        <v>37</v>
      </c>
      <c r="J605" s="28" t="s">
        <v>399</v>
      </c>
      <c r="K605" s="27" t="s">
        <v>37</v>
      </c>
      <c r="L605" s="27" t="s">
        <v>80</v>
      </c>
    </row>
    <row r="606" customFormat="false" ht="15" hidden="false" customHeight="false" outlineLevel="0" collapsed="false">
      <c r="A606" s="26" t="s">
        <v>2394</v>
      </c>
      <c r="B606" s="27" t="s">
        <v>2395</v>
      </c>
      <c r="C606" s="27" t="s">
        <v>137</v>
      </c>
      <c r="D606" s="26" t="s">
        <v>2396</v>
      </c>
      <c r="E606" s="27" t="s">
        <v>2397</v>
      </c>
      <c r="F606" s="28" t="s">
        <v>146</v>
      </c>
      <c r="G606" s="27" t="s">
        <v>2107</v>
      </c>
      <c r="H606" s="27" t="s">
        <v>56</v>
      </c>
      <c r="I606" s="27" t="s">
        <v>37</v>
      </c>
      <c r="J606" s="28" t="s">
        <v>399</v>
      </c>
      <c r="K606" s="27" t="s">
        <v>37</v>
      </c>
      <c r="L606" s="27" t="s">
        <v>80</v>
      </c>
    </row>
    <row r="607" customFormat="false" ht="15" hidden="false" customHeight="false" outlineLevel="0" collapsed="false">
      <c r="A607" s="26" t="s">
        <v>2398</v>
      </c>
      <c r="B607" s="27" t="s">
        <v>2399</v>
      </c>
      <c r="C607" s="27" t="s">
        <v>137</v>
      </c>
      <c r="D607" s="26" t="s">
        <v>576</v>
      </c>
      <c r="E607" s="27" t="s">
        <v>577</v>
      </c>
      <c r="F607" s="28" t="s">
        <v>146</v>
      </c>
      <c r="G607" s="27" t="s">
        <v>2107</v>
      </c>
      <c r="H607" s="27" t="s">
        <v>56</v>
      </c>
      <c r="I607" s="27" t="s">
        <v>37</v>
      </c>
      <c r="J607" s="28" t="s">
        <v>399</v>
      </c>
      <c r="K607" s="27" t="s">
        <v>37</v>
      </c>
      <c r="L607" s="27" t="s">
        <v>80</v>
      </c>
    </row>
    <row r="608" customFormat="false" ht="15" hidden="false" customHeight="false" outlineLevel="0" collapsed="false">
      <c r="A608" s="26" t="s">
        <v>2400</v>
      </c>
      <c r="B608" s="27" t="s">
        <v>2401</v>
      </c>
      <c r="C608" s="27" t="s">
        <v>137</v>
      </c>
      <c r="D608" s="26" t="s">
        <v>2402</v>
      </c>
      <c r="E608" s="27" t="s">
        <v>2403</v>
      </c>
      <c r="F608" s="28" t="s">
        <v>146</v>
      </c>
      <c r="G608" s="27" t="s">
        <v>2107</v>
      </c>
      <c r="H608" s="27" t="s">
        <v>56</v>
      </c>
      <c r="I608" s="27" t="s">
        <v>37</v>
      </c>
      <c r="J608" s="28" t="s">
        <v>399</v>
      </c>
      <c r="K608" s="27" t="s">
        <v>37</v>
      </c>
      <c r="L608" s="27" t="s">
        <v>80</v>
      </c>
    </row>
    <row r="609" customFormat="false" ht="15" hidden="false" customHeight="false" outlineLevel="0" collapsed="false">
      <c r="A609" s="26" t="s">
        <v>2404</v>
      </c>
      <c r="B609" s="27" t="s">
        <v>2405</v>
      </c>
      <c r="C609" s="27" t="s">
        <v>1187</v>
      </c>
      <c r="D609" s="26" t="s">
        <v>2406</v>
      </c>
      <c r="E609" s="27" t="s">
        <v>2407</v>
      </c>
      <c r="F609" s="28" t="s">
        <v>146</v>
      </c>
      <c r="G609" s="27" t="s">
        <v>2107</v>
      </c>
      <c r="H609" s="27" t="s">
        <v>56</v>
      </c>
      <c r="I609" s="27" t="s">
        <v>37</v>
      </c>
      <c r="J609" s="28" t="s">
        <v>399</v>
      </c>
      <c r="K609" s="27" t="s">
        <v>37</v>
      </c>
      <c r="L609" s="27" t="s">
        <v>82</v>
      </c>
    </row>
    <row r="610" customFormat="false" ht="15" hidden="false" customHeight="false" outlineLevel="0" collapsed="false">
      <c r="A610" s="26" t="s">
        <v>2408</v>
      </c>
      <c r="B610" s="27" t="s">
        <v>2409</v>
      </c>
      <c r="C610" s="27" t="s">
        <v>137</v>
      </c>
      <c r="D610" s="26" t="s">
        <v>2410</v>
      </c>
      <c r="E610" s="27" t="s">
        <v>2411</v>
      </c>
      <c r="F610" s="28" t="s">
        <v>146</v>
      </c>
      <c r="G610" s="27" t="s">
        <v>2107</v>
      </c>
      <c r="H610" s="27" t="s">
        <v>56</v>
      </c>
      <c r="I610" s="27" t="s">
        <v>37</v>
      </c>
      <c r="J610" s="28" t="s">
        <v>399</v>
      </c>
      <c r="K610" s="27" t="s">
        <v>37</v>
      </c>
      <c r="L610" s="27" t="s">
        <v>80</v>
      </c>
    </row>
    <row r="611" customFormat="false" ht="15" hidden="false" customHeight="false" outlineLevel="0" collapsed="false">
      <c r="A611" s="26" t="s">
        <v>2412</v>
      </c>
      <c r="B611" s="27" t="s">
        <v>2413</v>
      </c>
      <c r="C611" s="27" t="s">
        <v>137</v>
      </c>
      <c r="D611" s="26" t="s">
        <v>2414</v>
      </c>
      <c r="E611" s="27" t="s">
        <v>2415</v>
      </c>
      <c r="F611" s="28" t="s">
        <v>146</v>
      </c>
      <c r="G611" s="27" t="s">
        <v>2107</v>
      </c>
      <c r="H611" s="27" t="s">
        <v>56</v>
      </c>
      <c r="I611" s="27" t="s">
        <v>37</v>
      </c>
      <c r="J611" s="28" t="s">
        <v>399</v>
      </c>
      <c r="K611" s="27" t="s">
        <v>37</v>
      </c>
      <c r="L611" s="27" t="s">
        <v>80</v>
      </c>
    </row>
    <row r="612" customFormat="false" ht="15" hidden="false" customHeight="false" outlineLevel="0" collapsed="false">
      <c r="A612" s="26" t="s">
        <v>2416</v>
      </c>
      <c r="B612" s="27" t="s">
        <v>2417</v>
      </c>
      <c r="C612" s="27" t="s">
        <v>137</v>
      </c>
      <c r="D612" s="26" t="s">
        <v>2418</v>
      </c>
      <c r="E612" s="27" t="s">
        <v>2419</v>
      </c>
      <c r="F612" s="28" t="s">
        <v>146</v>
      </c>
      <c r="G612" s="27" t="s">
        <v>2107</v>
      </c>
      <c r="H612" s="27" t="s">
        <v>56</v>
      </c>
      <c r="I612" s="27" t="s">
        <v>37</v>
      </c>
      <c r="J612" s="28" t="s">
        <v>399</v>
      </c>
      <c r="K612" s="27" t="s">
        <v>37</v>
      </c>
      <c r="L612" s="27" t="s">
        <v>80</v>
      </c>
    </row>
    <row r="613" customFormat="false" ht="15" hidden="false" customHeight="false" outlineLevel="0" collapsed="false">
      <c r="A613" s="26" t="s">
        <v>2420</v>
      </c>
      <c r="B613" s="27" t="s">
        <v>2421</v>
      </c>
      <c r="C613" s="27" t="s">
        <v>137</v>
      </c>
      <c r="D613" s="26" t="s">
        <v>600</v>
      </c>
      <c r="E613" s="27" t="s">
        <v>601</v>
      </c>
      <c r="F613" s="28" t="s">
        <v>146</v>
      </c>
      <c r="G613" s="27" t="s">
        <v>2107</v>
      </c>
      <c r="H613" s="27" t="s">
        <v>56</v>
      </c>
      <c r="I613" s="27" t="s">
        <v>37</v>
      </c>
      <c r="J613" s="28" t="s">
        <v>399</v>
      </c>
      <c r="K613" s="27" t="s">
        <v>37</v>
      </c>
      <c r="L613" s="27" t="s">
        <v>80</v>
      </c>
    </row>
    <row r="614" customFormat="false" ht="15" hidden="false" customHeight="false" outlineLevel="0" collapsed="false">
      <c r="A614" s="26" t="s">
        <v>2422</v>
      </c>
      <c r="B614" s="27" t="s">
        <v>2423</v>
      </c>
      <c r="C614" s="27" t="s">
        <v>137</v>
      </c>
      <c r="D614" s="26" t="s">
        <v>2424</v>
      </c>
      <c r="E614" s="27" t="s">
        <v>2425</v>
      </c>
      <c r="F614" s="28" t="s">
        <v>146</v>
      </c>
      <c r="G614" s="27" t="s">
        <v>2107</v>
      </c>
      <c r="H614" s="27" t="s">
        <v>56</v>
      </c>
      <c r="I614" s="27" t="s">
        <v>37</v>
      </c>
      <c r="J614" s="28" t="s">
        <v>399</v>
      </c>
      <c r="K614" s="27" t="s">
        <v>37</v>
      </c>
      <c r="L614" s="27" t="s">
        <v>80</v>
      </c>
    </row>
    <row r="615" customFormat="false" ht="15" hidden="false" customHeight="false" outlineLevel="0" collapsed="false">
      <c r="A615" s="26" t="s">
        <v>2426</v>
      </c>
      <c r="B615" s="27" t="s">
        <v>2427</v>
      </c>
      <c r="C615" s="27" t="s">
        <v>137</v>
      </c>
      <c r="D615" s="26" t="s">
        <v>2428</v>
      </c>
      <c r="E615" s="27" t="s">
        <v>2429</v>
      </c>
      <c r="F615" s="28" t="s">
        <v>146</v>
      </c>
      <c r="G615" s="27" t="s">
        <v>2107</v>
      </c>
      <c r="H615" s="27" t="s">
        <v>56</v>
      </c>
      <c r="I615" s="27" t="s">
        <v>37</v>
      </c>
      <c r="J615" s="28" t="s">
        <v>399</v>
      </c>
      <c r="K615" s="27" t="s">
        <v>37</v>
      </c>
      <c r="L615" s="27" t="s">
        <v>80</v>
      </c>
    </row>
    <row r="616" customFormat="false" ht="15" hidden="false" customHeight="false" outlineLevel="0" collapsed="false">
      <c r="A616" s="26" t="s">
        <v>2430</v>
      </c>
      <c r="B616" s="27" t="s">
        <v>2431</v>
      </c>
      <c r="C616" s="27" t="s">
        <v>137</v>
      </c>
      <c r="D616" s="26" t="s">
        <v>506</v>
      </c>
      <c r="E616" s="27" t="s">
        <v>507</v>
      </c>
      <c r="F616" s="28" t="s">
        <v>146</v>
      </c>
      <c r="G616" s="27" t="s">
        <v>2107</v>
      </c>
      <c r="H616" s="27" t="s">
        <v>56</v>
      </c>
      <c r="I616" s="27" t="s">
        <v>37</v>
      </c>
      <c r="J616" s="28" t="s">
        <v>399</v>
      </c>
      <c r="K616" s="27" t="s">
        <v>37</v>
      </c>
      <c r="L616" s="27" t="s">
        <v>80</v>
      </c>
    </row>
    <row r="617" customFormat="false" ht="15" hidden="false" customHeight="false" outlineLevel="0" collapsed="false">
      <c r="A617" s="26" t="s">
        <v>2432</v>
      </c>
      <c r="B617" s="27" t="s">
        <v>2433</v>
      </c>
      <c r="C617" s="27" t="s">
        <v>2434</v>
      </c>
      <c r="D617" s="26" t="s">
        <v>2435</v>
      </c>
      <c r="E617" s="27" t="s">
        <v>2436</v>
      </c>
      <c r="F617" s="28" t="s">
        <v>146</v>
      </c>
      <c r="G617" s="27" t="s">
        <v>2107</v>
      </c>
      <c r="H617" s="27" t="s">
        <v>57</v>
      </c>
      <c r="I617" s="27" t="s">
        <v>43</v>
      </c>
      <c r="J617" s="28" t="s">
        <v>399</v>
      </c>
      <c r="K617" s="27" t="s">
        <v>37</v>
      </c>
      <c r="L617" s="27" t="s">
        <v>2437</v>
      </c>
    </row>
    <row r="618" customFormat="false" ht="15" hidden="false" customHeight="false" outlineLevel="0" collapsed="false">
      <c r="A618" s="26" t="s">
        <v>2438</v>
      </c>
      <c r="B618" s="27" t="s">
        <v>2439</v>
      </c>
      <c r="C618" s="27" t="s">
        <v>1187</v>
      </c>
      <c r="D618" s="26" t="s">
        <v>2440</v>
      </c>
      <c r="E618" s="27" t="s">
        <v>2441</v>
      </c>
      <c r="F618" s="28" t="s">
        <v>146</v>
      </c>
      <c r="G618" s="27" t="s">
        <v>2107</v>
      </c>
      <c r="H618" s="27" t="s">
        <v>57</v>
      </c>
      <c r="I618" s="27" t="s">
        <v>41</v>
      </c>
      <c r="J618" s="28" t="s">
        <v>399</v>
      </c>
      <c r="K618" s="27" t="s">
        <v>37</v>
      </c>
      <c r="L618" s="27" t="s">
        <v>82</v>
      </c>
    </row>
    <row r="619" customFormat="false" ht="15" hidden="false" customHeight="false" outlineLevel="0" collapsed="false">
      <c r="A619" s="26" t="s">
        <v>2442</v>
      </c>
      <c r="B619" s="27" t="s">
        <v>2443</v>
      </c>
      <c r="C619" s="27" t="s">
        <v>144</v>
      </c>
      <c r="D619" s="26" t="s">
        <v>2444</v>
      </c>
      <c r="E619" s="27" t="s">
        <v>2445</v>
      </c>
      <c r="F619" s="28" t="s">
        <v>1190</v>
      </c>
      <c r="G619" s="27" t="s">
        <v>2107</v>
      </c>
      <c r="H619" s="27" t="s">
        <v>56</v>
      </c>
      <c r="I619" s="27" t="s">
        <v>37</v>
      </c>
      <c r="J619" s="28" t="s">
        <v>399</v>
      </c>
      <c r="K619" s="27" t="s">
        <v>37</v>
      </c>
      <c r="L619" s="27" t="s">
        <v>81</v>
      </c>
    </row>
    <row r="620" customFormat="false" ht="15" hidden="false" customHeight="false" outlineLevel="0" collapsed="false">
      <c r="A620" s="26" t="s">
        <v>2446</v>
      </c>
      <c r="B620" s="27" t="s">
        <v>2447</v>
      </c>
      <c r="C620" s="27" t="s">
        <v>144</v>
      </c>
      <c r="D620" s="26" t="s">
        <v>2444</v>
      </c>
      <c r="E620" s="27" t="s">
        <v>2445</v>
      </c>
      <c r="F620" s="28" t="s">
        <v>1190</v>
      </c>
      <c r="G620" s="27" t="s">
        <v>2107</v>
      </c>
      <c r="H620" s="27" t="s">
        <v>56</v>
      </c>
      <c r="I620" s="27" t="s">
        <v>37</v>
      </c>
      <c r="J620" s="28" t="s">
        <v>399</v>
      </c>
      <c r="K620" s="27" t="s">
        <v>37</v>
      </c>
      <c r="L620" s="27" t="s">
        <v>81</v>
      </c>
    </row>
    <row r="621" customFormat="false" ht="15" hidden="false" customHeight="false" outlineLevel="0" collapsed="false">
      <c r="A621" s="26" t="s">
        <v>2448</v>
      </c>
      <c r="B621" s="27" t="s">
        <v>2449</v>
      </c>
      <c r="C621" s="27" t="s">
        <v>144</v>
      </c>
      <c r="D621" s="26" t="s">
        <v>2450</v>
      </c>
      <c r="E621" s="27" t="s">
        <v>2451</v>
      </c>
      <c r="F621" s="28" t="s">
        <v>1190</v>
      </c>
      <c r="G621" s="27" t="s">
        <v>2107</v>
      </c>
      <c r="H621" s="27" t="s">
        <v>56</v>
      </c>
      <c r="I621" s="27" t="s">
        <v>37</v>
      </c>
      <c r="J621" s="28" t="s">
        <v>399</v>
      </c>
      <c r="K621" s="27" t="s">
        <v>37</v>
      </c>
      <c r="L621" s="27" t="s">
        <v>81</v>
      </c>
    </row>
    <row r="622" customFormat="false" ht="15" hidden="false" customHeight="false" outlineLevel="0" collapsed="false">
      <c r="A622" s="26" t="s">
        <v>2452</v>
      </c>
      <c r="B622" s="27" t="s">
        <v>2453</v>
      </c>
      <c r="C622" s="27" t="s">
        <v>144</v>
      </c>
      <c r="D622" s="26" t="s">
        <v>2454</v>
      </c>
      <c r="E622" s="27" t="s">
        <v>2455</v>
      </c>
      <c r="F622" s="28" t="s">
        <v>1190</v>
      </c>
      <c r="G622" s="27" t="s">
        <v>2107</v>
      </c>
      <c r="H622" s="27" t="s">
        <v>56</v>
      </c>
      <c r="I622" s="27" t="s">
        <v>37</v>
      </c>
      <c r="J622" s="28" t="s">
        <v>399</v>
      </c>
      <c r="K622" s="27" t="s">
        <v>37</v>
      </c>
      <c r="L622" s="27" t="s">
        <v>81</v>
      </c>
    </row>
    <row r="623" customFormat="false" ht="15" hidden="false" customHeight="false" outlineLevel="0" collapsed="false">
      <c r="A623" s="26" t="s">
        <v>2456</v>
      </c>
      <c r="B623" s="27" t="s">
        <v>2457</v>
      </c>
      <c r="C623" s="27" t="s">
        <v>144</v>
      </c>
      <c r="D623" s="26" t="s">
        <v>2450</v>
      </c>
      <c r="E623" s="27" t="s">
        <v>2451</v>
      </c>
      <c r="F623" s="28" t="s">
        <v>1190</v>
      </c>
      <c r="G623" s="27" t="s">
        <v>2107</v>
      </c>
      <c r="H623" s="27" t="s">
        <v>56</v>
      </c>
      <c r="I623" s="27" t="s">
        <v>37</v>
      </c>
      <c r="J623" s="28" t="s">
        <v>399</v>
      </c>
      <c r="K623" s="27" t="s">
        <v>37</v>
      </c>
      <c r="L623" s="27" t="s">
        <v>81</v>
      </c>
    </row>
    <row r="624" customFormat="false" ht="15" hidden="false" customHeight="false" outlineLevel="0" collapsed="false">
      <c r="A624" s="26" t="s">
        <v>2458</v>
      </c>
      <c r="B624" s="27" t="s">
        <v>2459</v>
      </c>
      <c r="C624" s="27" t="s">
        <v>144</v>
      </c>
      <c r="D624" s="26" t="s">
        <v>2460</v>
      </c>
      <c r="E624" s="27" t="s">
        <v>2461</v>
      </c>
      <c r="F624" s="28" t="s">
        <v>1190</v>
      </c>
      <c r="G624" s="27" t="s">
        <v>2107</v>
      </c>
      <c r="H624" s="27" t="s">
        <v>56</v>
      </c>
      <c r="I624" s="27" t="s">
        <v>37</v>
      </c>
      <c r="J624" s="28" t="s">
        <v>399</v>
      </c>
      <c r="K624" s="27" t="s">
        <v>37</v>
      </c>
      <c r="L624" s="27" t="s">
        <v>81</v>
      </c>
    </row>
    <row r="625" customFormat="false" ht="15" hidden="false" customHeight="false" outlineLevel="0" collapsed="false">
      <c r="A625" s="26" t="s">
        <v>2462</v>
      </c>
      <c r="B625" s="27" t="s">
        <v>2463</v>
      </c>
      <c r="C625" s="27" t="s">
        <v>1187</v>
      </c>
      <c r="D625" s="26" t="s">
        <v>2464</v>
      </c>
      <c r="E625" s="27" t="s">
        <v>2465</v>
      </c>
      <c r="F625" s="28" t="s">
        <v>146</v>
      </c>
      <c r="G625" s="27" t="s">
        <v>2107</v>
      </c>
      <c r="H625" s="27" t="s">
        <v>56</v>
      </c>
      <c r="I625" s="27" t="s">
        <v>37</v>
      </c>
      <c r="J625" s="28" t="s">
        <v>399</v>
      </c>
      <c r="K625" s="27" t="s">
        <v>37</v>
      </c>
      <c r="L625" s="27" t="s">
        <v>82</v>
      </c>
    </row>
    <row r="626" customFormat="false" ht="15" hidden="false" customHeight="false" outlineLevel="0" collapsed="false">
      <c r="A626" s="26" t="s">
        <v>2466</v>
      </c>
      <c r="B626" s="27" t="s">
        <v>2467</v>
      </c>
      <c r="C626" s="27" t="s">
        <v>144</v>
      </c>
      <c r="D626" s="26" t="s">
        <v>2454</v>
      </c>
      <c r="E626" s="27" t="s">
        <v>2455</v>
      </c>
      <c r="F626" s="28" t="s">
        <v>1190</v>
      </c>
      <c r="G626" s="27" t="s">
        <v>2107</v>
      </c>
      <c r="H626" s="27" t="s">
        <v>56</v>
      </c>
      <c r="I626" s="27" t="s">
        <v>37</v>
      </c>
      <c r="J626" s="28" t="s">
        <v>399</v>
      </c>
      <c r="K626" s="27" t="s">
        <v>37</v>
      </c>
      <c r="L626" s="27" t="s">
        <v>81</v>
      </c>
    </row>
    <row r="627" customFormat="false" ht="15" hidden="false" customHeight="false" outlineLevel="0" collapsed="false">
      <c r="A627" s="26" t="s">
        <v>2468</v>
      </c>
      <c r="B627" s="27" t="s">
        <v>2469</v>
      </c>
      <c r="C627" s="27" t="s">
        <v>144</v>
      </c>
      <c r="D627" s="26" t="s">
        <v>2470</v>
      </c>
      <c r="E627" s="27" t="s">
        <v>2471</v>
      </c>
      <c r="F627" s="28" t="s">
        <v>1190</v>
      </c>
      <c r="G627" s="27" t="s">
        <v>2107</v>
      </c>
      <c r="H627" s="27" t="s">
        <v>56</v>
      </c>
      <c r="I627" s="27" t="s">
        <v>37</v>
      </c>
      <c r="J627" s="28" t="s">
        <v>399</v>
      </c>
      <c r="K627" s="27" t="s">
        <v>37</v>
      </c>
      <c r="L627" s="27" t="s">
        <v>81</v>
      </c>
    </row>
    <row r="628" customFormat="false" ht="15" hidden="false" customHeight="false" outlineLevel="0" collapsed="false">
      <c r="A628" s="26" t="s">
        <v>2472</v>
      </c>
      <c r="B628" s="27" t="s">
        <v>2473</v>
      </c>
      <c r="C628" s="27" t="s">
        <v>144</v>
      </c>
      <c r="D628" s="26" t="s">
        <v>2470</v>
      </c>
      <c r="E628" s="27" t="s">
        <v>2471</v>
      </c>
      <c r="F628" s="28" t="s">
        <v>1190</v>
      </c>
      <c r="G628" s="27" t="s">
        <v>2107</v>
      </c>
      <c r="H628" s="27" t="s">
        <v>56</v>
      </c>
      <c r="I628" s="27" t="s">
        <v>37</v>
      </c>
      <c r="J628" s="28" t="s">
        <v>399</v>
      </c>
      <c r="K628" s="27" t="s">
        <v>37</v>
      </c>
      <c r="L628" s="27" t="s">
        <v>81</v>
      </c>
    </row>
    <row r="629" customFormat="false" ht="15" hidden="false" customHeight="false" outlineLevel="0" collapsed="false">
      <c r="A629" s="26" t="s">
        <v>2474</v>
      </c>
      <c r="B629" s="27" t="s">
        <v>2475</v>
      </c>
      <c r="C629" s="27" t="s">
        <v>144</v>
      </c>
      <c r="D629" s="26" t="s">
        <v>2470</v>
      </c>
      <c r="E629" s="27" t="s">
        <v>2471</v>
      </c>
      <c r="F629" s="28" t="s">
        <v>1190</v>
      </c>
      <c r="G629" s="27" t="s">
        <v>2107</v>
      </c>
      <c r="H629" s="27" t="s">
        <v>56</v>
      </c>
      <c r="I629" s="27" t="s">
        <v>37</v>
      </c>
      <c r="J629" s="28" t="s">
        <v>399</v>
      </c>
      <c r="K629" s="27" t="s">
        <v>37</v>
      </c>
      <c r="L629" s="27" t="s">
        <v>81</v>
      </c>
    </row>
    <row r="630" customFormat="false" ht="15" hidden="false" customHeight="false" outlineLevel="0" collapsed="false">
      <c r="A630" s="26" t="s">
        <v>2476</v>
      </c>
      <c r="B630" s="27" t="s">
        <v>2477</v>
      </c>
      <c r="C630" s="27" t="s">
        <v>144</v>
      </c>
      <c r="D630" s="26" t="s">
        <v>2470</v>
      </c>
      <c r="E630" s="27" t="s">
        <v>2471</v>
      </c>
      <c r="F630" s="28" t="s">
        <v>1190</v>
      </c>
      <c r="G630" s="27" t="s">
        <v>2107</v>
      </c>
      <c r="H630" s="27" t="s">
        <v>56</v>
      </c>
      <c r="I630" s="27" t="s">
        <v>37</v>
      </c>
      <c r="J630" s="28" t="s">
        <v>399</v>
      </c>
      <c r="K630" s="27" t="s">
        <v>37</v>
      </c>
      <c r="L630" s="27" t="s">
        <v>81</v>
      </c>
    </row>
    <row r="631" customFormat="false" ht="15" hidden="false" customHeight="false" outlineLevel="0" collapsed="false">
      <c r="A631" s="26" t="s">
        <v>2478</v>
      </c>
      <c r="B631" s="27" t="s">
        <v>2479</v>
      </c>
      <c r="C631" s="27" t="s">
        <v>100</v>
      </c>
      <c r="D631" s="26" t="s">
        <v>2480</v>
      </c>
      <c r="E631" s="27" t="s">
        <v>2481</v>
      </c>
      <c r="F631" s="28" t="s">
        <v>140</v>
      </c>
      <c r="G631" s="27" t="s">
        <v>2107</v>
      </c>
      <c r="H631" s="27" t="s">
        <v>57</v>
      </c>
      <c r="I631" s="27" t="s">
        <v>39</v>
      </c>
      <c r="J631" s="28" t="s">
        <v>399</v>
      </c>
      <c r="K631" s="27" t="s">
        <v>37</v>
      </c>
      <c r="L631" s="27" t="s">
        <v>77</v>
      </c>
    </row>
    <row r="632" customFormat="false" ht="15" hidden="false" customHeight="false" outlineLevel="0" collapsed="false">
      <c r="A632" s="26" t="s">
        <v>2482</v>
      </c>
      <c r="B632" s="27" t="s">
        <v>2483</v>
      </c>
      <c r="C632" s="27" t="s">
        <v>144</v>
      </c>
      <c r="D632" s="26" t="s">
        <v>2484</v>
      </c>
      <c r="E632" s="27" t="s">
        <v>2485</v>
      </c>
      <c r="F632" s="28" t="s">
        <v>1529</v>
      </c>
      <c r="G632" s="27" t="s">
        <v>2107</v>
      </c>
      <c r="H632" s="27" t="s">
        <v>57</v>
      </c>
      <c r="I632" s="27" t="s">
        <v>49</v>
      </c>
      <c r="J632" s="28" t="s">
        <v>399</v>
      </c>
      <c r="K632" s="27" t="s">
        <v>37</v>
      </c>
      <c r="L632" s="27" t="s">
        <v>1970</v>
      </c>
    </row>
    <row r="633" customFormat="false" ht="15" hidden="false" customHeight="false" outlineLevel="0" collapsed="false">
      <c r="A633" s="26" t="s">
        <v>2486</v>
      </c>
      <c r="B633" s="27" t="s">
        <v>2487</v>
      </c>
      <c r="C633" s="27" t="s">
        <v>144</v>
      </c>
      <c r="D633" s="26" t="s">
        <v>2488</v>
      </c>
      <c r="E633" s="27" t="s">
        <v>2489</v>
      </c>
      <c r="F633" s="28" t="s">
        <v>2490</v>
      </c>
      <c r="G633" s="27" t="s">
        <v>2107</v>
      </c>
      <c r="H633" s="27" t="s">
        <v>57</v>
      </c>
      <c r="I633" s="27" t="s">
        <v>49</v>
      </c>
      <c r="J633" s="28" t="s">
        <v>399</v>
      </c>
      <c r="K633" s="27" t="s">
        <v>37</v>
      </c>
      <c r="L633" s="27" t="s">
        <v>2491</v>
      </c>
    </row>
    <row r="634" customFormat="false" ht="15" hidden="false" customHeight="false" outlineLevel="0" collapsed="false">
      <c r="A634" s="26" t="s">
        <v>2492</v>
      </c>
      <c r="B634" s="27" t="s">
        <v>2493</v>
      </c>
      <c r="C634" s="27" t="s">
        <v>1944</v>
      </c>
      <c r="D634" s="26" t="s">
        <v>2494</v>
      </c>
      <c r="E634" s="27" t="s">
        <v>2495</v>
      </c>
      <c r="F634" s="28" t="s">
        <v>102</v>
      </c>
      <c r="G634" s="27" t="s">
        <v>2107</v>
      </c>
      <c r="H634" s="27" t="s">
        <v>57</v>
      </c>
      <c r="I634" s="27" t="s">
        <v>49</v>
      </c>
      <c r="J634" s="28" t="s">
        <v>399</v>
      </c>
      <c r="K634" s="27" t="s">
        <v>37</v>
      </c>
      <c r="L634" s="27" t="s">
        <v>2496</v>
      </c>
    </row>
    <row r="635" customFormat="false" ht="15" hidden="false" customHeight="false" outlineLevel="0" collapsed="false">
      <c r="A635" s="26" t="s">
        <v>2497</v>
      </c>
      <c r="B635" s="27" t="s">
        <v>2498</v>
      </c>
      <c r="C635" s="27" t="s">
        <v>144</v>
      </c>
      <c r="D635" s="26" t="s">
        <v>2499</v>
      </c>
      <c r="E635" s="27" t="s">
        <v>2500</v>
      </c>
      <c r="F635" s="28" t="s">
        <v>2490</v>
      </c>
      <c r="G635" s="27" t="s">
        <v>2107</v>
      </c>
      <c r="H635" s="27" t="s">
        <v>57</v>
      </c>
      <c r="I635" s="27" t="s">
        <v>40</v>
      </c>
      <c r="J635" s="28" t="s">
        <v>399</v>
      </c>
      <c r="K635" s="27" t="s">
        <v>37</v>
      </c>
      <c r="L635" s="27" t="s">
        <v>2491</v>
      </c>
    </row>
    <row r="636" customFormat="false" ht="15" hidden="false" customHeight="false" outlineLevel="0" collapsed="false">
      <c r="A636" s="26" t="s">
        <v>2501</v>
      </c>
      <c r="B636" s="27" t="s">
        <v>2502</v>
      </c>
      <c r="C636" s="27" t="s">
        <v>1493</v>
      </c>
      <c r="D636" s="26" t="s">
        <v>2503</v>
      </c>
      <c r="E636" s="27" t="s">
        <v>2504</v>
      </c>
      <c r="F636" s="28" t="s">
        <v>146</v>
      </c>
      <c r="G636" s="27" t="s">
        <v>2107</v>
      </c>
      <c r="H636" s="27" t="s">
        <v>57</v>
      </c>
      <c r="I636" s="28" t="s">
        <v>46</v>
      </c>
      <c r="J636" s="28" t="s">
        <v>399</v>
      </c>
      <c r="K636" s="27" t="s">
        <v>37</v>
      </c>
      <c r="L636" s="27" t="s">
        <v>2505</v>
      </c>
    </row>
    <row r="637" customFormat="false" ht="15" hidden="false" customHeight="false" outlineLevel="0" collapsed="false">
      <c r="A637" s="26" t="s">
        <v>2506</v>
      </c>
      <c r="B637" s="27" t="s">
        <v>2507</v>
      </c>
      <c r="C637" s="27" t="s">
        <v>137</v>
      </c>
      <c r="D637" s="26" t="s">
        <v>2508</v>
      </c>
      <c r="E637" s="27" t="s">
        <v>2509</v>
      </c>
      <c r="F637" s="28" t="s">
        <v>146</v>
      </c>
      <c r="G637" s="27" t="s">
        <v>2107</v>
      </c>
      <c r="H637" s="27" t="s">
        <v>57</v>
      </c>
      <c r="I637" s="27" t="s">
        <v>41</v>
      </c>
      <c r="J637" s="28" t="s">
        <v>399</v>
      </c>
      <c r="K637" s="27" t="s">
        <v>37</v>
      </c>
      <c r="L637" s="27" t="s">
        <v>80</v>
      </c>
    </row>
    <row r="638" customFormat="false" ht="15" hidden="false" customHeight="false" outlineLevel="0" collapsed="false">
      <c r="A638" s="26" t="s">
        <v>2510</v>
      </c>
      <c r="B638" s="27" t="s">
        <v>2511</v>
      </c>
      <c r="C638" s="27" t="s">
        <v>144</v>
      </c>
      <c r="D638" s="26" t="s">
        <v>2512</v>
      </c>
      <c r="E638" s="27" t="s">
        <v>2513</v>
      </c>
      <c r="F638" s="28" t="s">
        <v>102</v>
      </c>
      <c r="G638" s="27" t="s">
        <v>2107</v>
      </c>
      <c r="H638" s="27" t="s">
        <v>57</v>
      </c>
      <c r="I638" s="27" t="s">
        <v>49</v>
      </c>
      <c r="J638" s="28" t="s">
        <v>636</v>
      </c>
      <c r="K638" s="27" t="s">
        <v>37</v>
      </c>
      <c r="L638" s="27" t="s">
        <v>2215</v>
      </c>
    </row>
    <row r="639" customFormat="false" ht="15" hidden="false" customHeight="false" outlineLevel="0" collapsed="false">
      <c r="A639" s="26" t="s">
        <v>2514</v>
      </c>
      <c r="B639" s="27" t="s">
        <v>2515</v>
      </c>
      <c r="C639" s="27" t="s">
        <v>144</v>
      </c>
      <c r="D639" s="26" t="s">
        <v>2512</v>
      </c>
      <c r="E639" s="27" t="s">
        <v>2513</v>
      </c>
      <c r="F639" s="28" t="s">
        <v>102</v>
      </c>
      <c r="G639" s="27" t="s">
        <v>2107</v>
      </c>
      <c r="H639" s="27" t="s">
        <v>57</v>
      </c>
      <c r="I639" s="27" t="s">
        <v>49</v>
      </c>
      <c r="J639" s="28" t="s">
        <v>636</v>
      </c>
      <c r="K639" s="27" t="s">
        <v>37</v>
      </c>
      <c r="L639" s="27" t="s">
        <v>2215</v>
      </c>
    </row>
    <row r="640" customFormat="false" ht="15" hidden="false" customHeight="false" outlineLevel="0" collapsed="false">
      <c r="A640" s="26" t="s">
        <v>2516</v>
      </c>
      <c r="B640" s="27" t="s">
        <v>2517</v>
      </c>
      <c r="C640" s="27" t="s">
        <v>131</v>
      </c>
      <c r="D640" s="26" t="s">
        <v>2518</v>
      </c>
      <c r="E640" s="27" t="s">
        <v>2519</v>
      </c>
      <c r="F640" s="28" t="s">
        <v>102</v>
      </c>
      <c r="G640" s="27" t="s">
        <v>2107</v>
      </c>
      <c r="H640" s="27" t="s">
        <v>57</v>
      </c>
      <c r="I640" s="27" t="s">
        <v>40</v>
      </c>
      <c r="J640" s="28" t="s">
        <v>636</v>
      </c>
      <c r="K640" s="27" t="s">
        <v>37</v>
      </c>
      <c r="L640" s="27" t="s">
        <v>1916</v>
      </c>
    </row>
    <row r="641" customFormat="false" ht="15" hidden="false" customHeight="false" outlineLevel="0" collapsed="false">
      <c r="A641" s="26" t="s">
        <v>2520</v>
      </c>
      <c r="B641" s="27" t="s">
        <v>2521</v>
      </c>
      <c r="C641" s="27" t="s">
        <v>144</v>
      </c>
      <c r="D641" s="26" t="s">
        <v>1836</v>
      </c>
      <c r="E641" s="27" t="s">
        <v>1837</v>
      </c>
      <c r="F641" s="28" t="s">
        <v>373</v>
      </c>
      <c r="G641" s="27" t="s">
        <v>2107</v>
      </c>
      <c r="H641" s="27" t="s">
        <v>57</v>
      </c>
      <c r="I641" s="27" t="s">
        <v>39</v>
      </c>
      <c r="J641" s="28" t="s">
        <v>636</v>
      </c>
      <c r="K641" s="27" t="s">
        <v>37</v>
      </c>
      <c r="L641" s="27" t="s">
        <v>74</v>
      </c>
    </row>
    <row r="642" customFormat="false" ht="15" hidden="false" customHeight="false" outlineLevel="0" collapsed="false">
      <c r="A642" s="26" t="s">
        <v>2522</v>
      </c>
      <c r="B642" s="27" t="s">
        <v>2523</v>
      </c>
      <c r="C642" s="27" t="s">
        <v>144</v>
      </c>
      <c r="D642" s="26" t="s">
        <v>2524</v>
      </c>
      <c r="E642" s="27" t="s">
        <v>2525</v>
      </c>
      <c r="F642" s="28" t="s">
        <v>373</v>
      </c>
      <c r="G642" s="27" t="s">
        <v>2107</v>
      </c>
      <c r="H642" s="27" t="s">
        <v>57</v>
      </c>
      <c r="I642" s="27" t="s">
        <v>42</v>
      </c>
      <c r="J642" s="28" t="s">
        <v>772</v>
      </c>
      <c r="K642" s="27" t="s">
        <v>37</v>
      </c>
      <c r="L642" s="27" t="s">
        <v>74</v>
      </c>
    </row>
    <row r="643" customFormat="false" ht="15" hidden="false" customHeight="false" outlineLevel="0" collapsed="false">
      <c r="A643" s="26" t="s">
        <v>2526</v>
      </c>
      <c r="B643" s="27" t="s">
        <v>2527</v>
      </c>
      <c r="C643" s="27" t="s">
        <v>137</v>
      </c>
      <c r="D643" s="26" t="s">
        <v>2528</v>
      </c>
      <c r="E643" s="27" t="s">
        <v>2529</v>
      </c>
      <c r="F643" s="28" t="s">
        <v>146</v>
      </c>
      <c r="G643" s="27" t="s">
        <v>2107</v>
      </c>
      <c r="H643" s="27" t="s">
        <v>57</v>
      </c>
      <c r="I643" s="27" t="s">
        <v>39</v>
      </c>
      <c r="J643" s="28" t="s">
        <v>772</v>
      </c>
      <c r="K643" s="27" t="s">
        <v>37</v>
      </c>
      <c r="L643" s="27" t="s">
        <v>80</v>
      </c>
    </row>
    <row r="644" customFormat="false" ht="15" hidden="false" customHeight="false" outlineLevel="0" collapsed="false">
      <c r="A644" s="26" t="s">
        <v>2530</v>
      </c>
      <c r="B644" s="27" t="s">
        <v>2531</v>
      </c>
      <c r="C644" s="27" t="s">
        <v>1612</v>
      </c>
      <c r="D644" s="26" t="s">
        <v>2532</v>
      </c>
      <c r="E644" s="27" t="s">
        <v>2533</v>
      </c>
      <c r="F644" s="28" t="s">
        <v>1190</v>
      </c>
      <c r="G644" s="27" t="s">
        <v>2107</v>
      </c>
      <c r="H644" s="27" t="s">
        <v>56</v>
      </c>
      <c r="I644" s="27" t="s">
        <v>37</v>
      </c>
      <c r="J644" s="28" t="s">
        <v>772</v>
      </c>
      <c r="K644" s="27" t="s">
        <v>37</v>
      </c>
      <c r="L644" s="27" t="s">
        <v>2534</v>
      </c>
    </row>
    <row r="645" customFormat="false" ht="15" hidden="false" customHeight="false" outlineLevel="0" collapsed="false">
      <c r="A645" s="26" t="s">
        <v>2535</v>
      </c>
      <c r="B645" s="27" t="s">
        <v>2536</v>
      </c>
      <c r="C645" s="27" t="s">
        <v>144</v>
      </c>
      <c r="D645" s="26" t="s">
        <v>2537</v>
      </c>
      <c r="E645" s="27" t="s">
        <v>2538</v>
      </c>
      <c r="F645" s="28" t="s">
        <v>1823</v>
      </c>
      <c r="G645" s="27" t="s">
        <v>2107</v>
      </c>
      <c r="H645" s="27" t="s">
        <v>57</v>
      </c>
      <c r="I645" s="28" t="s">
        <v>50</v>
      </c>
      <c r="J645" s="28" t="s">
        <v>772</v>
      </c>
      <c r="K645" s="27" t="s">
        <v>37</v>
      </c>
      <c r="L645" s="27" t="s">
        <v>2539</v>
      </c>
    </row>
    <row r="646" customFormat="false" ht="15" hidden="false" customHeight="false" outlineLevel="0" collapsed="false">
      <c r="A646" s="26" t="s">
        <v>2540</v>
      </c>
      <c r="B646" s="27" t="s">
        <v>2217</v>
      </c>
      <c r="C646" s="27" t="s">
        <v>144</v>
      </c>
      <c r="D646" s="26" t="s">
        <v>2218</v>
      </c>
      <c r="E646" s="27" t="s">
        <v>2219</v>
      </c>
      <c r="F646" s="28" t="s">
        <v>1614</v>
      </c>
      <c r="G646" s="27" t="s">
        <v>2107</v>
      </c>
      <c r="H646" s="27" t="s">
        <v>56</v>
      </c>
      <c r="I646" s="27" t="s">
        <v>37</v>
      </c>
      <c r="J646" s="28" t="s">
        <v>772</v>
      </c>
      <c r="K646" s="27" t="s">
        <v>37</v>
      </c>
      <c r="L646" s="27" t="s">
        <v>2051</v>
      </c>
    </row>
    <row r="647" customFormat="false" ht="15" hidden="false" customHeight="false" outlineLevel="0" collapsed="false">
      <c r="A647" s="26" t="s">
        <v>2541</v>
      </c>
      <c r="B647" s="27" t="s">
        <v>2542</v>
      </c>
      <c r="C647" s="27" t="s">
        <v>137</v>
      </c>
      <c r="D647" s="26" t="s">
        <v>2543</v>
      </c>
      <c r="E647" s="27" t="s">
        <v>2544</v>
      </c>
      <c r="F647" s="28" t="s">
        <v>146</v>
      </c>
      <c r="G647" s="27" t="s">
        <v>2107</v>
      </c>
      <c r="H647" s="27" t="s">
        <v>56</v>
      </c>
      <c r="I647" s="27" t="s">
        <v>37</v>
      </c>
      <c r="J647" s="28" t="s">
        <v>772</v>
      </c>
      <c r="K647" s="27" t="s">
        <v>37</v>
      </c>
      <c r="L647" s="27" t="s">
        <v>80</v>
      </c>
    </row>
    <row r="648" customFormat="false" ht="15" hidden="false" customHeight="false" outlineLevel="0" collapsed="false">
      <c r="A648" s="26" t="s">
        <v>2545</v>
      </c>
      <c r="B648" s="27" t="s">
        <v>2546</v>
      </c>
      <c r="C648" s="27" t="s">
        <v>100</v>
      </c>
      <c r="D648" s="26" t="s">
        <v>2547</v>
      </c>
      <c r="E648" s="27" t="s">
        <v>2548</v>
      </c>
      <c r="F648" s="28" t="s">
        <v>140</v>
      </c>
      <c r="G648" s="27" t="s">
        <v>2107</v>
      </c>
      <c r="H648" s="27" t="s">
        <v>56</v>
      </c>
      <c r="I648" s="27" t="s">
        <v>37</v>
      </c>
      <c r="J648" s="28" t="s">
        <v>772</v>
      </c>
      <c r="K648" s="27" t="s">
        <v>37</v>
      </c>
      <c r="L648" s="27" t="s">
        <v>77</v>
      </c>
    </row>
    <row r="649" customFormat="false" ht="15" hidden="false" customHeight="false" outlineLevel="0" collapsed="false">
      <c r="A649" s="26" t="s">
        <v>2549</v>
      </c>
      <c r="B649" s="27" t="s">
        <v>2550</v>
      </c>
      <c r="C649" s="27" t="s">
        <v>144</v>
      </c>
      <c r="D649" s="26" t="s">
        <v>2551</v>
      </c>
      <c r="E649" s="27" t="s">
        <v>2552</v>
      </c>
      <c r="F649" s="28" t="s">
        <v>140</v>
      </c>
      <c r="G649" s="27" t="s">
        <v>2107</v>
      </c>
      <c r="H649" s="27" t="s">
        <v>56</v>
      </c>
      <c r="I649" s="27" t="s">
        <v>37</v>
      </c>
      <c r="J649" s="28" t="s">
        <v>785</v>
      </c>
      <c r="K649" s="27" t="s">
        <v>37</v>
      </c>
      <c r="L649" s="27" t="s">
        <v>83</v>
      </c>
    </row>
    <row r="650" customFormat="false" ht="15" hidden="false" customHeight="false" outlineLevel="0" collapsed="false">
      <c r="A650" s="26" t="s">
        <v>2553</v>
      </c>
      <c r="B650" s="27" t="s">
        <v>2554</v>
      </c>
      <c r="C650" s="27" t="s">
        <v>144</v>
      </c>
      <c r="D650" s="26" t="s">
        <v>2551</v>
      </c>
      <c r="E650" s="27" t="s">
        <v>2552</v>
      </c>
      <c r="F650" s="28" t="s">
        <v>140</v>
      </c>
      <c r="G650" s="27" t="s">
        <v>2107</v>
      </c>
      <c r="H650" s="27" t="s">
        <v>56</v>
      </c>
      <c r="I650" s="27" t="s">
        <v>37</v>
      </c>
      <c r="J650" s="28" t="s">
        <v>785</v>
      </c>
      <c r="K650" s="27" t="s">
        <v>37</v>
      </c>
      <c r="L650" s="27" t="s">
        <v>83</v>
      </c>
    </row>
    <row r="651" customFormat="false" ht="15" hidden="false" customHeight="false" outlineLevel="0" collapsed="false">
      <c r="A651" s="26" t="s">
        <v>2555</v>
      </c>
      <c r="B651" s="27" t="s">
        <v>2556</v>
      </c>
      <c r="C651" s="27" t="s">
        <v>144</v>
      </c>
      <c r="D651" s="26" t="s">
        <v>2551</v>
      </c>
      <c r="E651" s="27" t="s">
        <v>2552</v>
      </c>
      <c r="F651" s="28" t="s">
        <v>140</v>
      </c>
      <c r="G651" s="27" t="s">
        <v>2107</v>
      </c>
      <c r="H651" s="27" t="s">
        <v>56</v>
      </c>
      <c r="I651" s="27" t="s">
        <v>37</v>
      </c>
      <c r="J651" s="28" t="s">
        <v>785</v>
      </c>
      <c r="K651" s="27" t="s">
        <v>37</v>
      </c>
      <c r="L651" s="27" t="s">
        <v>83</v>
      </c>
    </row>
    <row r="652" customFormat="false" ht="15" hidden="false" customHeight="false" outlineLevel="0" collapsed="false">
      <c r="A652" s="26" t="s">
        <v>2557</v>
      </c>
      <c r="B652" s="27" t="s">
        <v>2558</v>
      </c>
      <c r="C652" s="27" t="s">
        <v>380</v>
      </c>
      <c r="D652" s="26" t="s">
        <v>861</v>
      </c>
      <c r="E652" s="27" t="s">
        <v>862</v>
      </c>
      <c r="F652" s="28" t="s">
        <v>146</v>
      </c>
      <c r="G652" s="27" t="s">
        <v>2107</v>
      </c>
      <c r="H652" s="27" t="s">
        <v>56</v>
      </c>
      <c r="I652" s="27" t="s">
        <v>38</v>
      </c>
      <c r="J652" s="28" t="s">
        <v>856</v>
      </c>
      <c r="K652" s="27" t="s">
        <v>38</v>
      </c>
      <c r="L652" s="27" t="s">
        <v>2559</v>
      </c>
    </row>
    <row r="653" customFormat="false" ht="15" hidden="false" customHeight="false" outlineLevel="0" collapsed="false">
      <c r="A653" s="26" t="s">
        <v>2560</v>
      </c>
      <c r="B653" s="27" t="s">
        <v>2561</v>
      </c>
      <c r="C653" s="27" t="s">
        <v>380</v>
      </c>
      <c r="D653" s="26" t="s">
        <v>2562</v>
      </c>
      <c r="E653" s="27" t="s">
        <v>2563</v>
      </c>
      <c r="F653" s="28" t="s">
        <v>146</v>
      </c>
      <c r="G653" s="27" t="s">
        <v>2107</v>
      </c>
      <c r="H653" s="27" t="s">
        <v>56</v>
      </c>
      <c r="I653" s="27" t="s">
        <v>38</v>
      </c>
      <c r="J653" s="28" t="s">
        <v>856</v>
      </c>
      <c r="K653" s="27" t="s">
        <v>38</v>
      </c>
      <c r="L653" s="27" t="s">
        <v>2559</v>
      </c>
    </row>
    <row r="654" customFormat="false" ht="15" hidden="false" customHeight="false" outlineLevel="0" collapsed="false">
      <c r="A654" s="26" t="s">
        <v>2564</v>
      </c>
      <c r="B654" s="27" t="s">
        <v>2565</v>
      </c>
      <c r="C654" s="27" t="s">
        <v>380</v>
      </c>
      <c r="D654" s="26" t="s">
        <v>861</v>
      </c>
      <c r="E654" s="27" t="s">
        <v>862</v>
      </c>
      <c r="F654" s="28" t="s">
        <v>146</v>
      </c>
      <c r="G654" s="27" t="s">
        <v>2107</v>
      </c>
      <c r="H654" s="27" t="s">
        <v>56</v>
      </c>
      <c r="I654" s="27" t="s">
        <v>38</v>
      </c>
      <c r="J654" s="28" t="s">
        <v>856</v>
      </c>
      <c r="K654" s="27" t="s">
        <v>38</v>
      </c>
      <c r="L654" s="27" t="s">
        <v>2559</v>
      </c>
    </row>
    <row r="655" customFormat="false" ht="15" hidden="false" customHeight="false" outlineLevel="0" collapsed="false">
      <c r="A655" s="26" t="s">
        <v>2566</v>
      </c>
      <c r="B655" s="27" t="s">
        <v>2567</v>
      </c>
      <c r="C655" s="27" t="s">
        <v>380</v>
      </c>
      <c r="D655" s="26" t="s">
        <v>2562</v>
      </c>
      <c r="E655" s="27" t="s">
        <v>2563</v>
      </c>
      <c r="F655" s="28" t="s">
        <v>146</v>
      </c>
      <c r="G655" s="27" t="s">
        <v>2107</v>
      </c>
      <c r="H655" s="27" t="s">
        <v>56</v>
      </c>
      <c r="I655" s="27" t="s">
        <v>38</v>
      </c>
      <c r="J655" s="28" t="s">
        <v>856</v>
      </c>
      <c r="K655" s="27" t="s">
        <v>38</v>
      </c>
      <c r="L655" s="27" t="s">
        <v>2559</v>
      </c>
    </row>
    <row r="656" customFormat="false" ht="15" hidden="false" customHeight="false" outlineLevel="0" collapsed="false">
      <c r="A656" s="26" t="s">
        <v>2568</v>
      </c>
      <c r="B656" s="27" t="s">
        <v>2569</v>
      </c>
      <c r="C656" s="27" t="s">
        <v>380</v>
      </c>
      <c r="D656" s="26" t="s">
        <v>2562</v>
      </c>
      <c r="E656" s="27" t="s">
        <v>2563</v>
      </c>
      <c r="F656" s="28" t="s">
        <v>146</v>
      </c>
      <c r="G656" s="27" t="s">
        <v>2107</v>
      </c>
      <c r="H656" s="27" t="s">
        <v>56</v>
      </c>
      <c r="I656" s="27" t="s">
        <v>38</v>
      </c>
      <c r="J656" s="28" t="s">
        <v>856</v>
      </c>
      <c r="K656" s="27" t="s">
        <v>38</v>
      </c>
      <c r="L656" s="27" t="s">
        <v>2559</v>
      </c>
    </row>
    <row r="657" customFormat="false" ht="15" hidden="false" customHeight="false" outlineLevel="0" collapsed="false">
      <c r="A657" s="26" t="s">
        <v>2570</v>
      </c>
      <c r="B657" s="27" t="s">
        <v>2571</v>
      </c>
      <c r="C657" s="27" t="s">
        <v>380</v>
      </c>
      <c r="D657" s="26" t="s">
        <v>2572</v>
      </c>
      <c r="E657" s="27" t="s">
        <v>2573</v>
      </c>
      <c r="F657" s="28" t="s">
        <v>146</v>
      </c>
      <c r="G657" s="27" t="s">
        <v>2107</v>
      </c>
      <c r="H657" s="27" t="s">
        <v>57</v>
      </c>
      <c r="I657" s="27" t="s">
        <v>37</v>
      </c>
      <c r="J657" s="28" t="s">
        <v>856</v>
      </c>
      <c r="K657" s="27" t="s">
        <v>38</v>
      </c>
      <c r="L657" s="27" t="s">
        <v>2559</v>
      </c>
    </row>
    <row r="658" customFormat="false" ht="15" hidden="false" customHeight="false" outlineLevel="0" collapsed="false">
      <c r="A658" s="26" t="s">
        <v>2574</v>
      </c>
      <c r="B658" s="27" t="s">
        <v>2575</v>
      </c>
      <c r="C658" s="27" t="s">
        <v>1087</v>
      </c>
      <c r="D658" s="26" t="s">
        <v>2576</v>
      </c>
      <c r="E658" s="27" t="s">
        <v>2577</v>
      </c>
      <c r="F658" s="28" t="s">
        <v>146</v>
      </c>
      <c r="G658" s="27" t="s">
        <v>2107</v>
      </c>
      <c r="H658" s="27" t="s">
        <v>56</v>
      </c>
      <c r="I658" s="27" t="s">
        <v>38</v>
      </c>
      <c r="J658" s="28" t="s">
        <v>856</v>
      </c>
      <c r="K658" s="27" t="s">
        <v>38</v>
      </c>
      <c r="L658" s="27" t="s">
        <v>2578</v>
      </c>
    </row>
    <row r="659" customFormat="false" ht="15" hidden="false" customHeight="false" outlineLevel="0" collapsed="false">
      <c r="A659" s="26" t="s">
        <v>2579</v>
      </c>
      <c r="B659" s="27" t="s">
        <v>2580</v>
      </c>
      <c r="C659" s="27" t="s">
        <v>144</v>
      </c>
      <c r="D659" s="26" t="s">
        <v>2581</v>
      </c>
      <c r="E659" s="27" t="s">
        <v>2582</v>
      </c>
      <c r="F659" s="28" t="s">
        <v>2232</v>
      </c>
      <c r="G659" s="27" t="s">
        <v>2107</v>
      </c>
      <c r="H659" s="27" t="s">
        <v>56</v>
      </c>
      <c r="I659" s="27" t="s">
        <v>38</v>
      </c>
      <c r="J659" s="28" t="s">
        <v>856</v>
      </c>
      <c r="K659" s="27" t="s">
        <v>38</v>
      </c>
      <c r="L659" s="27" t="s">
        <v>2240</v>
      </c>
    </row>
    <row r="660" customFormat="false" ht="15" hidden="false" customHeight="false" outlineLevel="0" collapsed="false">
      <c r="A660" s="26" t="s">
        <v>2583</v>
      </c>
      <c r="B660" s="27" t="s">
        <v>2584</v>
      </c>
      <c r="C660" s="27" t="s">
        <v>144</v>
      </c>
      <c r="D660" s="26" t="s">
        <v>2581</v>
      </c>
      <c r="E660" s="27" t="s">
        <v>2582</v>
      </c>
      <c r="F660" s="28" t="s">
        <v>2232</v>
      </c>
      <c r="G660" s="27" t="s">
        <v>2107</v>
      </c>
      <c r="H660" s="27" t="s">
        <v>56</v>
      </c>
      <c r="I660" s="27" t="s">
        <v>38</v>
      </c>
      <c r="J660" s="28" t="s">
        <v>856</v>
      </c>
      <c r="K660" s="27" t="s">
        <v>38</v>
      </c>
      <c r="L660" s="27" t="s">
        <v>2240</v>
      </c>
    </row>
    <row r="661" customFormat="false" ht="15" hidden="false" customHeight="false" outlineLevel="0" collapsed="false">
      <c r="A661" s="26" t="s">
        <v>2585</v>
      </c>
      <c r="B661" s="27" t="s">
        <v>2586</v>
      </c>
      <c r="C661" s="27" t="s">
        <v>144</v>
      </c>
      <c r="D661" s="26" t="s">
        <v>2581</v>
      </c>
      <c r="E661" s="27" t="s">
        <v>2582</v>
      </c>
      <c r="F661" s="28" t="s">
        <v>2232</v>
      </c>
      <c r="G661" s="27" t="s">
        <v>2107</v>
      </c>
      <c r="H661" s="27" t="s">
        <v>56</v>
      </c>
      <c r="I661" s="27" t="s">
        <v>38</v>
      </c>
      <c r="J661" s="28" t="s">
        <v>856</v>
      </c>
      <c r="K661" s="27" t="s">
        <v>38</v>
      </c>
      <c r="L661" s="27" t="s">
        <v>2240</v>
      </c>
    </row>
    <row r="662" customFormat="false" ht="15" hidden="false" customHeight="false" outlineLevel="0" collapsed="false">
      <c r="A662" s="26" t="s">
        <v>2587</v>
      </c>
      <c r="B662" s="27" t="s">
        <v>2588</v>
      </c>
      <c r="C662" s="27" t="s">
        <v>144</v>
      </c>
      <c r="D662" s="26" t="s">
        <v>2589</v>
      </c>
      <c r="E662" s="27" t="s">
        <v>2590</v>
      </c>
      <c r="F662" s="28" t="s">
        <v>140</v>
      </c>
      <c r="G662" s="27" t="s">
        <v>2107</v>
      </c>
      <c r="H662" s="27" t="s">
        <v>56</v>
      </c>
      <c r="I662" s="27" t="s">
        <v>38</v>
      </c>
      <c r="J662" s="28" t="s">
        <v>856</v>
      </c>
      <c r="K662" s="27" t="s">
        <v>38</v>
      </c>
      <c r="L662" s="27" t="s">
        <v>83</v>
      </c>
    </row>
    <row r="663" customFormat="false" ht="15" hidden="false" customHeight="false" outlineLevel="0" collapsed="false">
      <c r="A663" s="26" t="s">
        <v>2591</v>
      </c>
      <c r="B663" s="27" t="s">
        <v>2592</v>
      </c>
      <c r="C663" s="27" t="s">
        <v>100</v>
      </c>
      <c r="D663" s="26" t="s">
        <v>2593</v>
      </c>
      <c r="E663" s="27" t="s">
        <v>2594</v>
      </c>
      <c r="F663" s="28" t="s">
        <v>146</v>
      </c>
      <c r="G663" s="27" t="s">
        <v>2107</v>
      </c>
      <c r="H663" s="27" t="s">
        <v>57</v>
      </c>
      <c r="I663" s="27" t="s">
        <v>45</v>
      </c>
      <c r="J663" s="28" t="s">
        <v>856</v>
      </c>
      <c r="K663" s="27" t="s">
        <v>38</v>
      </c>
      <c r="L663" s="27" t="s">
        <v>1876</v>
      </c>
    </row>
    <row r="664" customFormat="false" ht="15" hidden="false" customHeight="false" outlineLevel="0" collapsed="false">
      <c r="A664" s="26" t="s">
        <v>2595</v>
      </c>
      <c r="B664" s="27" t="s">
        <v>2596</v>
      </c>
      <c r="C664" s="27" t="s">
        <v>144</v>
      </c>
      <c r="D664" s="26" t="s">
        <v>2597</v>
      </c>
      <c r="E664" s="27" t="s">
        <v>2598</v>
      </c>
      <c r="F664" s="28" t="s">
        <v>1529</v>
      </c>
      <c r="G664" s="27" t="s">
        <v>2107</v>
      </c>
      <c r="H664" s="27" t="s">
        <v>57</v>
      </c>
      <c r="I664" s="27" t="s">
        <v>39</v>
      </c>
      <c r="J664" s="28" t="s">
        <v>856</v>
      </c>
      <c r="K664" s="27" t="s">
        <v>38</v>
      </c>
      <c r="L664" s="27" t="s">
        <v>1970</v>
      </c>
    </row>
    <row r="665" customFormat="false" ht="15" hidden="false" customHeight="false" outlineLevel="0" collapsed="false">
      <c r="A665" s="26" t="s">
        <v>2599</v>
      </c>
      <c r="B665" s="27" t="s">
        <v>2600</v>
      </c>
      <c r="C665" s="27" t="s">
        <v>1187</v>
      </c>
      <c r="D665" s="26" t="s">
        <v>2601</v>
      </c>
      <c r="E665" s="27" t="s">
        <v>2602</v>
      </c>
      <c r="F665" s="28" t="s">
        <v>146</v>
      </c>
      <c r="G665" s="27" t="s">
        <v>2107</v>
      </c>
      <c r="H665" s="27" t="s">
        <v>57</v>
      </c>
      <c r="I665" s="27" t="s">
        <v>39</v>
      </c>
      <c r="J665" s="28" t="s">
        <v>856</v>
      </c>
      <c r="K665" s="27" t="s">
        <v>38</v>
      </c>
      <c r="L665" s="27" t="s">
        <v>82</v>
      </c>
    </row>
    <row r="666" customFormat="false" ht="15" hidden="false" customHeight="false" outlineLevel="0" collapsed="false">
      <c r="A666" s="26" t="s">
        <v>2603</v>
      </c>
      <c r="B666" s="27" t="s">
        <v>2604</v>
      </c>
      <c r="C666" s="27" t="s">
        <v>144</v>
      </c>
      <c r="D666" s="26" t="s">
        <v>2605</v>
      </c>
      <c r="E666" s="27" t="s">
        <v>2606</v>
      </c>
      <c r="F666" s="28" t="s">
        <v>1529</v>
      </c>
      <c r="G666" s="27" t="s">
        <v>2107</v>
      </c>
      <c r="H666" s="27" t="s">
        <v>57</v>
      </c>
      <c r="I666" s="27" t="s">
        <v>887</v>
      </c>
      <c r="J666" s="28" t="s">
        <v>856</v>
      </c>
      <c r="K666" s="27" t="s">
        <v>38</v>
      </c>
      <c r="L666" s="27" t="s">
        <v>1970</v>
      </c>
    </row>
    <row r="667" customFormat="false" ht="15" hidden="false" customHeight="false" outlineLevel="0" collapsed="false">
      <c r="A667" s="26" t="s">
        <v>2607</v>
      </c>
      <c r="B667" s="27" t="s">
        <v>2608</v>
      </c>
      <c r="C667" s="27" t="s">
        <v>144</v>
      </c>
      <c r="D667" s="26" t="s">
        <v>2609</v>
      </c>
      <c r="E667" s="27" t="s">
        <v>2610</v>
      </c>
      <c r="F667" s="28" t="s">
        <v>102</v>
      </c>
      <c r="G667" s="27" t="s">
        <v>2107</v>
      </c>
      <c r="H667" s="27" t="s">
        <v>57</v>
      </c>
      <c r="I667" s="27" t="s">
        <v>64</v>
      </c>
      <c r="J667" s="28" t="s">
        <v>856</v>
      </c>
      <c r="K667" s="27" t="s">
        <v>38</v>
      </c>
      <c r="L667" s="27" t="s">
        <v>2215</v>
      </c>
    </row>
    <row r="668" customFormat="false" ht="15" hidden="false" customHeight="false" outlineLevel="0" collapsed="false">
      <c r="A668" s="26" t="s">
        <v>2611</v>
      </c>
      <c r="B668" s="27" t="s">
        <v>2612</v>
      </c>
      <c r="C668" s="27" t="s">
        <v>1187</v>
      </c>
      <c r="D668" s="26" t="s">
        <v>2613</v>
      </c>
      <c r="E668" s="27" t="s">
        <v>2614</v>
      </c>
      <c r="F668" s="28" t="s">
        <v>146</v>
      </c>
      <c r="G668" s="27" t="s">
        <v>2107</v>
      </c>
      <c r="H668" s="27" t="s">
        <v>57</v>
      </c>
      <c r="I668" s="27" t="s">
        <v>39</v>
      </c>
      <c r="J668" s="28" t="s">
        <v>856</v>
      </c>
      <c r="K668" s="27" t="s">
        <v>38</v>
      </c>
      <c r="L668" s="27" t="s">
        <v>82</v>
      </c>
    </row>
    <row r="669" customFormat="false" ht="15" hidden="false" customHeight="false" outlineLevel="0" collapsed="false">
      <c r="A669" s="26" t="s">
        <v>2615</v>
      </c>
      <c r="B669" s="27" t="s">
        <v>2616</v>
      </c>
      <c r="C669" s="27" t="s">
        <v>1187</v>
      </c>
      <c r="D669" s="26" t="s">
        <v>2617</v>
      </c>
      <c r="E669" s="27" t="s">
        <v>2618</v>
      </c>
      <c r="F669" s="28" t="s">
        <v>146</v>
      </c>
      <c r="G669" s="27" t="s">
        <v>2107</v>
      </c>
      <c r="H669" s="27" t="s">
        <v>57</v>
      </c>
      <c r="I669" s="27" t="s">
        <v>39</v>
      </c>
      <c r="J669" s="28" t="s">
        <v>856</v>
      </c>
      <c r="K669" s="27" t="s">
        <v>38</v>
      </c>
      <c r="L669" s="27" t="s">
        <v>82</v>
      </c>
    </row>
    <row r="670" customFormat="false" ht="15" hidden="false" customHeight="false" outlineLevel="0" collapsed="false">
      <c r="A670" s="26" t="s">
        <v>2619</v>
      </c>
      <c r="B670" s="27" t="s">
        <v>2620</v>
      </c>
      <c r="C670" s="27" t="s">
        <v>1187</v>
      </c>
      <c r="D670" s="26" t="s">
        <v>2621</v>
      </c>
      <c r="E670" s="27" t="s">
        <v>2622</v>
      </c>
      <c r="F670" s="28" t="s">
        <v>146</v>
      </c>
      <c r="G670" s="27" t="s">
        <v>2107</v>
      </c>
      <c r="H670" s="27" t="s">
        <v>57</v>
      </c>
      <c r="I670" s="27" t="s">
        <v>39</v>
      </c>
      <c r="J670" s="28" t="s">
        <v>856</v>
      </c>
      <c r="K670" s="27" t="s">
        <v>38</v>
      </c>
      <c r="L670" s="27" t="s">
        <v>82</v>
      </c>
    </row>
    <row r="671" customFormat="false" ht="15" hidden="false" customHeight="false" outlineLevel="0" collapsed="false">
      <c r="A671" s="26" t="s">
        <v>2623</v>
      </c>
      <c r="B671" s="27" t="s">
        <v>2624</v>
      </c>
      <c r="C671" s="27" t="s">
        <v>1187</v>
      </c>
      <c r="D671" s="26" t="s">
        <v>2613</v>
      </c>
      <c r="E671" s="27" t="s">
        <v>2614</v>
      </c>
      <c r="F671" s="28" t="s">
        <v>146</v>
      </c>
      <c r="G671" s="27" t="s">
        <v>2107</v>
      </c>
      <c r="H671" s="27" t="s">
        <v>57</v>
      </c>
      <c r="I671" s="27" t="s">
        <v>39</v>
      </c>
      <c r="J671" s="28" t="s">
        <v>856</v>
      </c>
      <c r="K671" s="27" t="s">
        <v>38</v>
      </c>
      <c r="L671" s="27" t="s">
        <v>82</v>
      </c>
    </row>
    <row r="672" customFormat="false" ht="15" hidden="false" customHeight="false" outlineLevel="0" collapsed="false">
      <c r="A672" s="26" t="s">
        <v>2625</v>
      </c>
      <c r="B672" s="27" t="s">
        <v>2626</v>
      </c>
      <c r="C672" s="27" t="s">
        <v>1187</v>
      </c>
      <c r="D672" s="26" t="s">
        <v>2613</v>
      </c>
      <c r="E672" s="27" t="s">
        <v>2614</v>
      </c>
      <c r="F672" s="28" t="s">
        <v>146</v>
      </c>
      <c r="G672" s="27" t="s">
        <v>2107</v>
      </c>
      <c r="H672" s="27" t="s">
        <v>57</v>
      </c>
      <c r="I672" s="27" t="s">
        <v>39</v>
      </c>
      <c r="J672" s="28" t="s">
        <v>856</v>
      </c>
      <c r="K672" s="27" t="s">
        <v>38</v>
      </c>
      <c r="L672" s="27" t="s">
        <v>82</v>
      </c>
    </row>
    <row r="673" customFormat="false" ht="15" hidden="false" customHeight="false" outlineLevel="0" collapsed="false">
      <c r="A673" s="26" t="s">
        <v>2627</v>
      </c>
      <c r="B673" s="27" t="s">
        <v>2628</v>
      </c>
      <c r="C673" s="27" t="s">
        <v>370</v>
      </c>
      <c r="D673" s="26" t="s">
        <v>2629</v>
      </c>
      <c r="E673" s="27" t="s">
        <v>2630</v>
      </c>
      <c r="F673" s="28" t="s">
        <v>146</v>
      </c>
      <c r="G673" s="27" t="s">
        <v>2107</v>
      </c>
      <c r="H673" s="27" t="s">
        <v>57</v>
      </c>
      <c r="I673" s="27" t="s">
        <v>48</v>
      </c>
      <c r="J673" s="28" t="s">
        <v>913</v>
      </c>
      <c r="K673" s="27" t="s">
        <v>38</v>
      </c>
      <c r="L673" s="27" t="s">
        <v>76</v>
      </c>
    </row>
    <row r="674" customFormat="false" ht="15" hidden="false" customHeight="false" outlineLevel="0" collapsed="false">
      <c r="A674" s="26" t="s">
        <v>2631</v>
      </c>
      <c r="B674" s="27" t="s">
        <v>2632</v>
      </c>
      <c r="C674" s="27" t="s">
        <v>144</v>
      </c>
      <c r="D674" s="26" t="s">
        <v>2146</v>
      </c>
      <c r="E674" s="27" t="s">
        <v>2147</v>
      </c>
      <c r="F674" s="28" t="s">
        <v>373</v>
      </c>
      <c r="G674" s="27" t="s">
        <v>2107</v>
      </c>
      <c r="H674" s="27" t="s">
        <v>57</v>
      </c>
      <c r="I674" s="27" t="s">
        <v>37</v>
      </c>
      <c r="J674" s="28" t="s">
        <v>913</v>
      </c>
      <c r="K674" s="27" t="s">
        <v>38</v>
      </c>
      <c r="L674" s="27" t="s">
        <v>74</v>
      </c>
    </row>
    <row r="675" customFormat="false" ht="15" hidden="false" customHeight="false" outlineLevel="0" collapsed="false">
      <c r="A675" s="26" t="s">
        <v>2633</v>
      </c>
      <c r="B675" s="27" t="s">
        <v>2634</v>
      </c>
      <c r="C675" s="27" t="s">
        <v>144</v>
      </c>
      <c r="D675" s="26" t="s">
        <v>2146</v>
      </c>
      <c r="E675" s="27" t="s">
        <v>2147</v>
      </c>
      <c r="F675" s="28" t="s">
        <v>373</v>
      </c>
      <c r="G675" s="27" t="s">
        <v>2107</v>
      </c>
      <c r="H675" s="27" t="s">
        <v>57</v>
      </c>
      <c r="I675" s="27" t="s">
        <v>37</v>
      </c>
      <c r="J675" s="28" t="s">
        <v>913</v>
      </c>
      <c r="K675" s="27" t="s">
        <v>38</v>
      </c>
      <c r="L675" s="27" t="s">
        <v>74</v>
      </c>
    </row>
    <row r="676" customFormat="false" ht="15" hidden="false" customHeight="false" outlineLevel="0" collapsed="false">
      <c r="A676" s="26" t="s">
        <v>2635</v>
      </c>
      <c r="B676" s="27" t="s">
        <v>2636</v>
      </c>
      <c r="C676" s="27" t="s">
        <v>144</v>
      </c>
      <c r="D676" s="26" t="s">
        <v>2130</v>
      </c>
      <c r="E676" s="27" t="s">
        <v>2131</v>
      </c>
      <c r="F676" s="28" t="s">
        <v>373</v>
      </c>
      <c r="G676" s="27" t="s">
        <v>2107</v>
      </c>
      <c r="H676" s="27" t="s">
        <v>57</v>
      </c>
      <c r="I676" s="27" t="s">
        <v>37</v>
      </c>
      <c r="J676" s="28" t="s">
        <v>913</v>
      </c>
      <c r="K676" s="27" t="s">
        <v>38</v>
      </c>
      <c r="L676" s="27" t="s">
        <v>74</v>
      </c>
    </row>
    <row r="677" customFormat="false" ht="15" hidden="false" customHeight="false" outlineLevel="0" collapsed="false">
      <c r="A677" s="26" t="s">
        <v>2637</v>
      </c>
      <c r="B677" s="27" t="s">
        <v>2638</v>
      </c>
      <c r="C677" s="27" t="s">
        <v>1187</v>
      </c>
      <c r="D677" s="26" t="s">
        <v>2639</v>
      </c>
      <c r="E677" s="27" t="s">
        <v>2640</v>
      </c>
      <c r="F677" s="28" t="s">
        <v>146</v>
      </c>
      <c r="G677" s="27" t="s">
        <v>2107</v>
      </c>
      <c r="H677" s="27" t="s">
        <v>57</v>
      </c>
      <c r="I677" s="27" t="s">
        <v>41</v>
      </c>
      <c r="J677" s="28" t="s">
        <v>913</v>
      </c>
      <c r="K677" s="27" t="s">
        <v>38</v>
      </c>
      <c r="L677" s="27" t="s">
        <v>82</v>
      </c>
    </row>
    <row r="678" customFormat="false" ht="15" hidden="false" customHeight="false" outlineLevel="0" collapsed="false">
      <c r="A678" s="26" t="s">
        <v>2641</v>
      </c>
      <c r="B678" s="27" t="s">
        <v>2642</v>
      </c>
      <c r="C678" s="27" t="s">
        <v>144</v>
      </c>
      <c r="D678" s="26" t="s">
        <v>2643</v>
      </c>
      <c r="E678" s="27" t="s">
        <v>2644</v>
      </c>
      <c r="F678" s="28" t="s">
        <v>1529</v>
      </c>
      <c r="G678" s="27" t="s">
        <v>2107</v>
      </c>
      <c r="H678" s="27" t="s">
        <v>56</v>
      </c>
      <c r="I678" s="27" t="s">
        <v>38</v>
      </c>
      <c r="J678" s="28" t="s">
        <v>913</v>
      </c>
      <c r="K678" s="27" t="s">
        <v>38</v>
      </c>
      <c r="L678" s="27" t="s">
        <v>1970</v>
      </c>
    </row>
    <row r="679" customFormat="false" ht="15" hidden="false" customHeight="false" outlineLevel="0" collapsed="false">
      <c r="A679" s="26" t="s">
        <v>2645</v>
      </c>
      <c r="B679" s="27" t="s">
        <v>2646</v>
      </c>
      <c r="C679" s="27" t="s">
        <v>137</v>
      </c>
      <c r="D679" s="26" t="s">
        <v>2647</v>
      </c>
      <c r="E679" s="27" t="s">
        <v>2648</v>
      </c>
      <c r="F679" s="28" t="s">
        <v>146</v>
      </c>
      <c r="G679" s="27" t="s">
        <v>2107</v>
      </c>
      <c r="H679" s="27" t="s">
        <v>57</v>
      </c>
      <c r="I679" s="27" t="s">
        <v>41</v>
      </c>
      <c r="J679" s="28" t="s">
        <v>913</v>
      </c>
      <c r="K679" s="27" t="s">
        <v>38</v>
      </c>
      <c r="L679" s="27" t="s">
        <v>80</v>
      </c>
    </row>
    <row r="680" customFormat="false" ht="15" hidden="false" customHeight="false" outlineLevel="0" collapsed="false">
      <c r="A680" s="26" t="s">
        <v>2649</v>
      </c>
      <c r="B680" s="27" t="s">
        <v>2650</v>
      </c>
      <c r="C680" s="27" t="s">
        <v>144</v>
      </c>
      <c r="D680" s="26" t="s">
        <v>2651</v>
      </c>
      <c r="E680" s="27" t="s">
        <v>2652</v>
      </c>
      <c r="F680" s="28" t="s">
        <v>140</v>
      </c>
      <c r="G680" s="27" t="s">
        <v>2107</v>
      </c>
      <c r="H680" s="27" t="s">
        <v>56</v>
      </c>
      <c r="I680" s="27" t="s">
        <v>38</v>
      </c>
      <c r="J680" s="28" t="s">
        <v>913</v>
      </c>
      <c r="K680" s="27" t="s">
        <v>38</v>
      </c>
      <c r="L680" s="27" t="s">
        <v>83</v>
      </c>
    </row>
    <row r="681" customFormat="false" ht="15" hidden="false" customHeight="false" outlineLevel="0" collapsed="false">
      <c r="A681" s="26" t="s">
        <v>2653</v>
      </c>
      <c r="B681" s="27" t="s">
        <v>2654</v>
      </c>
      <c r="C681" s="27" t="s">
        <v>137</v>
      </c>
      <c r="D681" s="26" t="s">
        <v>2655</v>
      </c>
      <c r="E681" s="27" t="s">
        <v>2656</v>
      </c>
      <c r="F681" s="28" t="s">
        <v>146</v>
      </c>
      <c r="G681" s="27" t="s">
        <v>2107</v>
      </c>
      <c r="H681" s="27" t="s">
        <v>57</v>
      </c>
      <c r="I681" s="28" t="s">
        <v>50</v>
      </c>
      <c r="J681" s="28" t="s">
        <v>913</v>
      </c>
      <c r="K681" s="27" t="s">
        <v>38</v>
      </c>
      <c r="L681" s="27" t="s">
        <v>80</v>
      </c>
    </row>
    <row r="682" customFormat="false" ht="15" hidden="false" customHeight="false" outlineLevel="0" collapsed="false">
      <c r="A682" s="26" t="s">
        <v>2657</v>
      </c>
      <c r="B682" s="27" t="s">
        <v>2658</v>
      </c>
      <c r="C682" s="27" t="s">
        <v>137</v>
      </c>
      <c r="D682" s="26" t="s">
        <v>2659</v>
      </c>
      <c r="E682" s="27" t="s">
        <v>2660</v>
      </c>
      <c r="F682" s="28" t="s">
        <v>146</v>
      </c>
      <c r="G682" s="27" t="s">
        <v>2107</v>
      </c>
      <c r="H682" s="27" t="s">
        <v>57</v>
      </c>
      <c r="I682" s="28" t="s">
        <v>50</v>
      </c>
      <c r="J682" s="28" t="s">
        <v>913</v>
      </c>
      <c r="K682" s="27" t="s">
        <v>38</v>
      </c>
      <c r="L682" s="27" t="s">
        <v>80</v>
      </c>
    </row>
    <row r="683" customFormat="false" ht="15" hidden="false" customHeight="false" outlineLevel="0" collapsed="false">
      <c r="A683" s="26" t="s">
        <v>2661</v>
      </c>
      <c r="B683" s="27" t="s">
        <v>2662</v>
      </c>
      <c r="C683" s="27" t="s">
        <v>137</v>
      </c>
      <c r="D683" s="26" t="s">
        <v>2655</v>
      </c>
      <c r="E683" s="27" t="s">
        <v>2656</v>
      </c>
      <c r="F683" s="28" t="s">
        <v>146</v>
      </c>
      <c r="G683" s="27" t="s">
        <v>2107</v>
      </c>
      <c r="H683" s="27" t="s">
        <v>57</v>
      </c>
      <c r="I683" s="28" t="s">
        <v>50</v>
      </c>
      <c r="J683" s="28" t="s">
        <v>913</v>
      </c>
      <c r="K683" s="27" t="s">
        <v>38</v>
      </c>
      <c r="L683" s="27" t="s">
        <v>80</v>
      </c>
    </row>
    <row r="684" customFormat="false" ht="15" hidden="false" customHeight="false" outlineLevel="0" collapsed="false">
      <c r="A684" s="26" t="s">
        <v>2663</v>
      </c>
      <c r="B684" s="27" t="s">
        <v>2664</v>
      </c>
      <c r="C684" s="27" t="s">
        <v>144</v>
      </c>
      <c r="D684" s="26" t="s">
        <v>968</v>
      </c>
      <c r="E684" s="27" t="s">
        <v>969</v>
      </c>
      <c r="F684" s="28" t="s">
        <v>140</v>
      </c>
      <c r="G684" s="27" t="s">
        <v>2107</v>
      </c>
      <c r="H684" s="27" t="s">
        <v>56</v>
      </c>
      <c r="I684" s="27" t="s">
        <v>38</v>
      </c>
      <c r="J684" s="28" t="s">
        <v>913</v>
      </c>
      <c r="K684" s="27" t="s">
        <v>38</v>
      </c>
      <c r="L684" s="27" t="s">
        <v>83</v>
      </c>
    </row>
    <row r="685" customFormat="false" ht="15" hidden="false" customHeight="false" outlineLevel="0" collapsed="false">
      <c r="A685" s="26" t="s">
        <v>2665</v>
      </c>
      <c r="B685" s="27" t="s">
        <v>2666</v>
      </c>
      <c r="C685" s="27" t="s">
        <v>144</v>
      </c>
      <c r="D685" s="26" t="s">
        <v>968</v>
      </c>
      <c r="E685" s="27" t="s">
        <v>969</v>
      </c>
      <c r="F685" s="28" t="s">
        <v>140</v>
      </c>
      <c r="G685" s="27" t="s">
        <v>2107</v>
      </c>
      <c r="H685" s="27" t="s">
        <v>56</v>
      </c>
      <c r="I685" s="27" t="s">
        <v>38</v>
      </c>
      <c r="J685" s="28" t="s">
        <v>913</v>
      </c>
      <c r="K685" s="27" t="s">
        <v>38</v>
      </c>
      <c r="L685" s="27" t="s">
        <v>83</v>
      </c>
    </row>
    <row r="686" customFormat="false" ht="15" hidden="false" customHeight="false" outlineLevel="0" collapsed="false">
      <c r="A686" s="26" t="s">
        <v>2667</v>
      </c>
      <c r="B686" s="27" t="s">
        <v>2668</v>
      </c>
      <c r="C686" s="27" t="s">
        <v>2041</v>
      </c>
      <c r="D686" s="26" t="s">
        <v>2669</v>
      </c>
      <c r="E686" s="27" t="s">
        <v>2670</v>
      </c>
      <c r="F686" s="28" t="s">
        <v>140</v>
      </c>
      <c r="G686" s="27" t="s">
        <v>2107</v>
      </c>
      <c r="H686" s="27" t="s">
        <v>56</v>
      </c>
      <c r="I686" s="27" t="s">
        <v>38</v>
      </c>
      <c r="J686" s="28" t="s">
        <v>913</v>
      </c>
      <c r="K686" s="27" t="s">
        <v>38</v>
      </c>
      <c r="L686" s="27" t="s">
        <v>2671</v>
      </c>
    </row>
    <row r="687" customFormat="false" ht="15" hidden="false" customHeight="false" outlineLevel="0" collapsed="false">
      <c r="A687" s="26" t="s">
        <v>2672</v>
      </c>
      <c r="B687" s="27" t="s">
        <v>2673</v>
      </c>
      <c r="C687" s="27" t="s">
        <v>1845</v>
      </c>
      <c r="D687" s="26" t="s">
        <v>2674</v>
      </c>
      <c r="E687" s="27" t="s">
        <v>2675</v>
      </c>
      <c r="F687" s="28" t="s">
        <v>140</v>
      </c>
      <c r="G687" s="27" t="s">
        <v>2107</v>
      </c>
      <c r="H687" s="27" t="s">
        <v>56</v>
      </c>
      <c r="I687" s="27" t="s">
        <v>38</v>
      </c>
      <c r="J687" s="28" t="s">
        <v>913</v>
      </c>
      <c r="K687" s="27" t="s">
        <v>38</v>
      </c>
      <c r="L687" s="27" t="s">
        <v>79</v>
      </c>
    </row>
    <row r="688" customFormat="false" ht="15" hidden="false" customHeight="false" outlineLevel="0" collapsed="false">
      <c r="A688" s="26" t="s">
        <v>2676</v>
      </c>
      <c r="B688" s="27" t="s">
        <v>2677</v>
      </c>
      <c r="C688" s="27" t="s">
        <v>137</v>
      </c>
      <c r="D688" s="26" t="s">
        <v>2678</v>
      </c>
      <c r="E688" s="27" t="s">
        <v>2679</v>
      </c>
      <c r="F688" s="28" t="s">
        <v>146</v>
      </c>
      <c r="G688" s="27" t="s">
        <v>2107</v>
      </c>
      <c r="H688" s="27" t="s">
        <v>57</v>
      </c>
      <c r="I688" s="27" t="s">
        <v>41</v>
      </c>
      <c r="J688" s="28" t="s">
        <v>913</v>
      </c>
      <c r="K688" s="27" t="s">
        <v>38</v>
      </c>
      <c r="L688" s="27" t="s">
        <v>80</v>
      </c>
    </row>
    <row r="689" customFormat="false" ht="15" hidden="false" customHeight="false" outlineLevel="0" collapsed="false">
      <c r="A689" s="26" t="s">
        <v>2680</v>
      </c>
      <c r="B689" s="27" t="s">
        <v>2681</v>
      </c>
      <c r="C689" s="27" t="s">
        <v>1845</v>
      </c>
      <c r="D689" s="26" t="s">
        <v>2682</v>
      </c>
      <c r="E689" s="27" t="s">
        <v>2683</v>
      </c>
      <c r="F689" s="28" t="s">
        <v>140</v>
      </c>
      <c r="G689" s="27" t="s">
        <v>2107</v>
      </c>
      <c r="H689" s="27" t="s">
        <v>56</v>
      </c>
      <c r="I689" s="27" t="s">
        <v>38</v>
      </c>
      <c r="J689" s="28" t="s">
        <v>913</v>
      </c>
      <c r="K689" s="27" t="s">
        <v>38</v>
      </c>
      <c r="L689" s="27" t="s">
        <v>79</v>
      </c>
    </row>
    <row r="690" customFormat="false" ht="15" hidden="false" customHeight="false" outlineLevel="0" collapsed="false">
      <c r="A690" s="26" t="s">
        <v>2684</v>
      </c>
      <c r="B690" s="27" t="s">
        <v>2685</v>
      </c>
      <c r="C690" s="27" t="s">
        <v>1845</v>
      </c>
      <c r="D690" s="26" t="s">
        <v>2686</v>
      </c>
      <c r="E690" s="27" t="s">
        <v>2687</v>
      </c>
      <c r="F690" s="28" t="s">
        <v>140</v>
      </c>
      <c r="G690" s="27" t="s">
        <v>2107</v>
      </c>
      <c r="H690" s="27" t="s">
        <v>56</v>
      </c>
      <c r="I690" s="27" t="s">
        <v>38</v>
      </c>
      <c r="J690" s="28" t="s">
        <v>913</v>
      </c>
      <c r="K690" s="27" t="s">
        <v>38</v>
      </c>
      <c r="L690" s="27" t="s">
        <v>79</v>
      </c>
    </row>
    <row r="691" customFormat="false" ht="15" hidden="false" customHeight="false" outlineLevel="0" collapsed="false">
      <c r="A691" s="26" t="s">
        <v>2688</v>
      </c>
      <c r="B691" s="27" t="s">
        <v>2689</v>
      </c>
      <c r="C691" s="27" t="s">
        <v>1845</v>
      </c>
      <c r="D691" s="26" t="s">
        <v>2690</v>
      </c>
      <c r="E691" s="27" t="s">
        <v>2691</v>
      </c>
      <c r="F691" s="28" t="s">
        <v>140</v>
      </c>
      <c r="G691" s="27" t="s">
        <v>2107</v>
      </c>
      <c r="H691" s="27" t="s">
        <v>56</v>
      </c>
      <c r="I691" s="27" t="s">
        <v>38</v>
      </c>
      <c r="J691" s="28" t="s">
        <v>913</v>
      </c>
      <c r="K691" s="27" t="s">
        <v>38</v>
      </c>
      <c r="L691" s="27" t="s">
        <v>79</v>
      </c>
    </row>
    <row r="692" customFormat="false" ht="15" hidden="false" customHeight="false" outlineLevel="0" collapsed="false">
      <c r="A692" s="26" t="s">
        <v>2692</v>
      </c>
      <c r="B692" s="27" t="s">
        <v>2693</v>
      </c>
      <c r="C692" s="27" t="s">
        <v>100</v>
      </c>
      <c r="D692" s="26" t="s">
        <v>2694</v>
      </c>
      <c r="E692" s="27" t="s">
        <v>2695</v>
      </c>
      <c r="F692" s="28" t="s">
        <v>140</v>
      </c>
      <c r="G692" s="27" t="s">
        <v>2107</v>
      </c>
      <c r="H692" s="27" t="s">
        <v>57</v>
      </c>
      <c r="I692" s="27" t="s">
        <v>45</v>
      </c>
      <c r="J692" s="28" t="s">
        <v>913</v>
      </c>
      <c r="K692" s="27" t="s">
        <v>38</v>
      </c>
      <c r="L692" s="27" t="s">
        <v>77</v>
      </c>
    </row>
    <row r="693" customFormat="false" ht="15" hidden="false" customHeight="false" outlineLevel="0" collapsed="false">
      <c r="A693" s="26" t="s">
        <v>2696</v>
      </c>
      <c r="B693" s="27" t="s">
        <v>2697</v>
      </c>
      <c r="C693" s="27" t="s">
        <v>100</v>
      </c>
      <c r="D693" s="26" t="s">
        <v>2698</v>
      </c>
      <c r="E693" s="27" t="s">
        <v>2699</v>
      </c>
      <c r="F693" s="28" t="s">
        <v>140</v>
      </c>
      <c r="G693" s="27" t="s">
        <v>2107</v>
      </c>
      <c r="H693" s="27" t="s">
        <v>56</v>
      </c>
      <c r="I693" s="27" t="s">
        <v>38</v>
      </c>
      <c r="J693" s="28" t="s">
        <v>913</v>
      </c>
      <c r="K693" s="27" t="s">
        <v>38</v>
      </c>
      <c r="L693" s="27" t="s">
        <v>77</v>
      </c>
    </row>
    <row r="694" customFormat="false" ht="15" hidden="false" customHeight="false" outlineLevel="0" collapsed="false">
      <c r="A694" s="26" t="s">
        <v>2700</v>
      </c>
      <c r="B694" s="27" t="s">
        <v>2701</v>
      </c>
      <c r="C694" s="27" t="s">
        <v>100</v>
      </c>
      <c r="D694" s="26" t="s">
        <v>1870</v>
      </c>
      <c r="E694" s="27" t="s">
        <v>1871</v>
      </c>
      <c r="F694" s="28" t="s">
        <v>140</v>
      </c>
      <c r="G694" s="27" t="s">
        <v>2107</v>
      </c>
      <c r="H694" s="27" t="s">
        <v>56</v>
      </c>
      <c r="I694" s="27" t="s">
        <v>38</v>
      </c>
      <c r="J694" s="28" t="s">
        <v>913</v>
      </c>
      <c r="K694" s="27" t="s">
        <v>38</v>
      </c>
      <c r="L694" s="27" t="s">
        <v>77</v>
      </c>
    </row>
    <row r="695" customFormat="false" ht="15" hidden="false" customHeight="false" outlineLevel="0" collapsed="false">
      <c r="A695" s="26" t="s">
        <v>2702</v>
      </c>
      <c r="B695" s="27" t="s">
        <v>2703</v>
      </c>
      <c r="C695" s="27" t="s">
        <v>1845</v>
      </c>
      <c r="D695" s="26" t="s">
        <v>2704</v>
      </c>
      <c r="E695" s="27" t="s">
        <v>2705</v>
      </c>
      <c r="F695" s="28" t="s">
        <v>140</v>
      </c>
      <c r="G695" s="27" t="s">
        <v>2107</v>
      </c>
      <c r="H695" s="27" t="s">
        <v>56</v>
      </c>
      <c r="I695" s="27" t="s">
        <v>38</v>
      </c>
      <c r="J695" s="28" t="s">
        <v>913</v>
      </c>
      <c r="K695" s="27" t="s">
        <v>38</v>
      </c>
      <c r="L695" s="27" t="s">
        <v>79</v>
      </c>
    </row>
    <row r="696" customFormat="false" ht="15" hidden="false" customHeight="false" outlineLevel="0" collapsed="false">
      <c r="A696" s="26" t="s">
        <v>2706</v>
      </c>
      <c r="B696" s="27" t="s">
        <v>2707</v>
      </c>
      <c r="C696" s="27" t="s">
        <v>1845</v>
      </c>
      <c r="D696" s="26" t="s">
        <v>2708</v>
      </c>
      <c r="E696" s="27" t="s">
        <v>2709</v>
      </c>
      <c r="F696" s="28" t="s">
        <v>140</v>
      </c>
      <c r="G696" s="27" t="s">
        <v>2107</v>
      </c>
      <c r="H696" s="27" t="s">
        <v>56</v>
      </c>
      <c r="I696" s="27" t="s">
        <v>38</v>
      </c>
      <c r="J696" s="28" t="s">
        <v>913</v>
      </c>
      <c r="K696" s="27" t="s">
        <v>38</v>
      </c>
      <c r="L696" s="27" t="s">
        <v>79</v>
      </c>
    </row>
    <row r="697" customFormat="false" ht="15" hidden="false" customHeight="false" outlineLevel="0" collapsed="false">
      <c r="A697" s="26" t="s">
        <v>2710</v>
      </c>
      <c r="B697" s="27" t="s">
        <v>2711</v>
      </c>
      <c r="C697" s="27" t="s">
        <v>1845</v>
      </c>
      <c r="D697" s="26" t="s">
        <v>2712</v>
      </c>
      <c r="E697" s="27" t="s">
        <v>2713</v>
      </c>
      <c r="F697" s="28" t="s">
        <v>140</v>
      </c>
      <c r="G697" s="27" t="s">
        <v>2107</v>
      </c>
      <c r="H697" s="27" t="s">
        <v>56</v>
      </c>
      <c r="I697" s="27" t="s">
        <v>38</v>
      </c>
      <c r="J697" s="28" t="s">
        <v>913</v>
      </c>
      <c r="K697" s="27" t="s">
        <v>38</v>
      </c>
      <c r="L697" s="27" t="s">
        <v>79</v>
      </c>
    </row>
    <row r="698" customFormat="false" ht="15" hidden="false" customHeight="false" outlineLevel="0" collapsed="false">
      <c r="A698" s="26" t="s">
        <v>2714</v>
      </c>
      <c r="B698" s="27" t="s">
        <v>2715</v>
      </c>
      <c r="C698" s="27" t="s">
        <v>1845</v>
      </c>
      <c r="D698" s="26" t="s">
        <v>1850</v>
      </c>
      <c r="E698" s="27" t="s">
        <v>1851</v>
      </c>
      <c r="F698" s="28" t="s">
        <v>140</v>
      </c>
      <c r="G698" s="27" t="s">
        <v>2107</v>
      </c>
      <c r="H698" s="27" t="s">
        <v>56</v>
      </c>
      <c r="I698" s="27" t="s">
        <v>38</v>
      </c>
      <c r="J698" s="28" t="s">
        <v>913</v>
      </c>
      <c r="K698" s="27" t="s">
        <v>38</v>
      </c>
      <c r="L698" s="27" t="s">
        <v>79</v>
      </c>
    </row>
    <row r="699" customFormat="false" ht="15" hidden="false" customHeight="false" outlineLevel="0" collapsed="false">
      <c r="A699" s="26" t="s">
        <v>2716</v>
      </c>
      <c r="B699" s="27" t="s">
        <v>2717</v>
      </c>
      <c r="C699" s="27" t="s">
        <v>1845</v>
      </c>
      <c r="D699" s="26" t="s">
        <v>2718</v>
      </c>
      <c r="E699" s="27" t="s">
        <v>2719</v>
      </c>
      <c r="F699" s="28" t="s">
        <v>140</v>
      </c>
      <c r="G699" s="27" t="s">
        <v>2107</v>
      </c>
      <c r="H699" s="27" t="s">
        <v>56</v>
      </c>
      <c r="I699" s="27" t="s">
        <v>38</v>
      </c>
      <c r="J699" s="28" t="s">
        <v>913</v>
      </c>
      <c r="K699" s="27" t="s">
        <v>38</v>
      </c>
      <c r="L699" s="27" t="s">
        <v>79</v>
      </c>
    </row>
    <row r="700" customFormat="false" ht="15" hidden="false" customHeight="false" outlineLevel="0" collapsed="false">
      <c r="A700" s="26" t="s">
        <v>2720</v>
      </c>
      <c r="B700" s="27" t="s">
        <v>2721</v>
      </c>
      <c r="C700" s="27" t="s">
        <v>1845</v>
      </c>
      <c r="D700" s="26" t="s">
        <v>2722</v>
      </c>
      <c r="E700" s="27" t="s">
        <v>2723</v>
      </c>
      <c r="F700" s="28" t="s">
        <v>140</v>
      </c>
      <c r="G700" s="27" t="s">
        <v>2107</v>
      </c>
      <c r="H700" s="27" t="s">
        <v>56</v>
      </c>
      <c r="I700" s="27" t="s">
        <v>38</v>
      </c>
      <c r="J700" s="28" t="s">
        <v>913</v>
      </c>
      <c r="K700" s="27" t="s">
        <v>38</v>
      </c>
      <c r="L700" s="27" t="s">
        <v>79</v>
      </c>
    </row>
    <row r="701" customFormat="false" ht="15" hidden="false" customHeight="false" outlineLevel="0" collapsed="false">
      <c r="A701" s="26" t="s">
        <v>2724</v>
      </c>
      <c r="B701" s="27" t="s">
        <v>2725</v>
      </c>
      <c r="C701" s="27" t="s">
        <v>1845</v>
      </c>
      <c r="D701" s="26" t="s">
        <v>2726</v>
      </c>
      <c r="E701" s="27" t="s">
        <v>2727</v>
      </c>
      <c r="F701" s="28" t="s">
        <v>140</v>
      </c>
      <c r="G701" s="27" t="s">
        <v>2107</v>
      </c>
      <c r="H701" s="27" t="s">
        <v>56</v>
      </c>
      <c r="I701" s="27" t="s">
        <v>38</v>
      </c>
      <c r="J701" s="28" t="s">
        <v>913</v>
      </c>
      <c r="K701" s="27" t="s">
        <v>38</v>
      </c>
      <c r="L701" s="27" t="s">
        <v>79</v>
      </c>
    </row>
    <row r="702" customFormat="false" ht="15" hidden="false" customHeight="false" outlineLevel="0" collapsed="false">
      <c r="A702" s="26" t="s">
        <v>2728</v>
      </c>
      <c r="B702" s="27" t="s">
        <v>2729</v>
      </c>
      <c r="C702" s="27" t="s">
        <v>1845</v>
      </c>
      <c r="D702" s="26" t="s">
        <v>2730</v>
      </c>
      <c r="E702" s="27" t="s">
        <v>2731</v>
      </c>
      <c r="F702" s="28" t="s">
        <v>140</v>
      </c>
      <c r="G702" s="27" t="s">
        <v>2107</v>
      </c>
      <c r="H702" s="27" t="s">
        <v>56</v>
      </c>
      <c r="I702" s="27" t="s">
        <v>38</v>
      </c>
      <c r="J702" s="28" t="s">
        <v>913</v>
      </c>
      <c r="K702" s="27" t="s">
        <v>38</v>
      </c>
      <c r="L702" s="27" t="s">
        <v>79</v>
      </c>
    </row>
    <row r="703" customFormat="false" ht="15" hidden="false" customHeight="false" outlineLevel="0" collapsed="false">
      <c r="A703" s="26" t="s">
        <v>2732</v>
      </c>
      <c r="B703" s="27" t="s">
        <v>2733</v>
      </c>
      <c r="C703" s="27" t="s">
        <v>1845</v>
      </c>
      <c r="D703" s="26" t="s">
        <v>2734</v>
      </c>
      <c r="E703" s="27" t="s">
        <v>2735</v>
      </c>
      <c r="F703" s="28" t="s">
        <v>140</v>
      </c>
      <c r="G703" s="27" t="s">
        <v>2107</v>
      </c>
      <c r="H703" s="27" t="s">
        <v>56</v>
      </c>
      <c r="I703" s="27" t="s">
        <v>38</v>
      </c>
      <c r="J703" s="28" t="s">
        <v>913</v>
      </c>
      <c r="K703" s="27" t="s">
        <v>38</v>
      </c>
      <c r="L703" s="27" t="s">
        <v>79</v>
      </c>
    </row>
    <row r="704" customFormat="false" ht="15" hidden="false" customHeight="false" outlineLevel="0" collapsed="false">
      <c r="A704" s="26" t="s">
        <v>2736</v>
      </c>
      <c r="B704" s="27" t="s">
        <v>2737</v>
      </c>
      <c r="C704" s="27" t="s">
        <v>1845</v>
      </c>
      <c r="D704" s="26" t="s">
        <v>2738</v>
      </c>
      <c r="E704" s="27" t="s">
        <v>2739</v>
      </c>
      <c r="F704" s="28" t="s">
        <v>140</v>
      </c>
      <c r="G704" s="27" t="s">
        <v>2107</v>
      </c>
      <c r="H704" s="27" t="s">
        <v>56</v>
      </c>
      <c r="I704" s="27" t="s">
        <v>38</v>
      </c>
      <c r="J704" s="28" t="s">
        <v>913</v>
      </c>
      <c r="K704" s="27" t="s">
        <v>38</v>
      </c>
      <c r="L704" s="27" t="s">
        <v>79</v>
      </c>
    </row>
    <row r="705" customFormat="false" ht="15" hidden="false" customHeight="false" outlineLevel="0" collapsed="false">
      <c r="A705" s="26" t="s">
        <v>2740</v>
      </c>
      <c r="B705" s="27" t="s">
        <v>2741</v>
      </c>
      <c r="C705" s="27" t="s">
        <v>1845</v>
      </c>
      <c r="D705" s="26" t="s">
        <v>2742</v>
      </c>
      <c r="E705" s="27" t="s">
        <v>2743</v>
      </c>
      <c r="F705" s="28" t="s">
        <v>140</v>
      </c>
      <c r="G705" s="27" t="s">
        <v>2107</v>
      </c>
      <c r="H705" s="27" t="s">
        <v>56</v>
      </c>
      <c r="I705" s="27" t="s">
        <v>38</v>
      </c>
      <c r="J705" s="28" t="s">
        <v>913</v>
      </c>
      <c r="K705" s="27" t="s">
        <v>38</v>
      </c>
      <c r="L705" s="27" t="s">
        <v>79</v>
      </c>
    </row>
    <row r="706" customFormat="false" ht="15" hidden="false" customHeight="false" outlineLevel="0" collapsed="false">
      <c r="A706" s="26" t="s">
        <v>2744</v>
      </c>
      <c r="B706" s="27" t="s">
        <v>2745</v>
      </c>
      <c r="C706" s="27" t="s">
        <v>1845</v>
      </c>
      <c r="D706" s="26" t="s">
        <v>1846</v>
      </c>
      <c r="E706" s="27" t="s">
        <v>1847</v>
      </c>
      <c r="F706" s="28" t="s">
        <v>140</v>
      </c>
      <c r="G706" s="27" t="s">
        <v>2107</v>
      </c>
      <c r="H706" s="27" t="s">
        <v>56</v>
      </c>
      <c r="I706" s="27" t="s">
        <v>38</v>
      </c>
      <c r="J706" s="28" t="s">
        <v>913</v>
      </c>
      <c r="K706" s="27" t="s">
        <v>38</v>
      </c>
      <c r="L706" s="27" t="s">
        <v>79</v>
      </c>
    </row>
    <row r="707" customFormat="false" ht="15" hidden="false" customHeight="false" outlineLevel="0" collapsed="false">
      <c r="A707" s="26" t="s">
        <v>2746</v>
      </c>
      <c r="B707" s="27" t="s">
        <v>2747</v>
      </c>
      <c r="C707" s="27" t="s">
        <v>1845</v>
      </c>
      <c r="D707" s="26" t="s">
        <v>2712</v>
      </c>
      <c r="E707" s="27" t="s">
        <v>2713</v>
      </c>
      <c r="F707" s="28" t="s">
        <v>140</v>
      </c>
      <c r="G707" s="27" t="s">
        <v>2107</v>
      </c>
      <c r="H707" s="27" t="s">
        <v>56</v>
      </c>
      <c r="I707" s="27" t="s">
        <v>38</v>
      </c>
      <c r="J707" s="28" t="s">
        <v>913</v>
      </c>
      <c r="K707" s="27" t="s">
        <v>38</v>
      </c>
      <c r="L707" s="27" t="s">
        <v>79</v>
      </c>
    </row>
    <row r="708" customFormat="false" ht="15" hidden="false" customHeight="false" outlineLevel="0" collapsed="false">
      <c r="A708" s="26" t="s">
        <v>2748</v>
      </c>
      <c r="B708" s="27" t="s">
        <v>2749</v>
      </c>
      <c r="C708" s="27" t="s">
        <v>1845</v>
      </c>
      <c r="D708" s="26" t="s">
        <v>2750</v>
      </c>
      <c r="E708" s="27" t="s">
        <v>2751</v>
      </c>
      <c r="F708" s="28" t="s">
        <v>140</v>
      </c>
      <c r="G708" s="27" t="s">
        <v>2107</v>
      </c>
      <c r="H708" s="27" t="s">
        <v>56</v>
      </c>
      <c r="I708" s="27" t="s">
        <v>38</v>
      </c>
      <c r="J708" s="28" t="s">
        <v>913</v>
      </c>
      <c r="K708" s="27" t="s">
        <v>38</v>
      </c>
      <c r="L708" s="27" t="s">
        <v>79</v>
      </c>
    </row>
    <row r="709" customFormat="false" ht="15" hidden="false" customHeight="false" outlineLevel="0" collapsed="false">
      <c r="A709" s="26" t="s">
        <v>2752</v>
      </c>
      <c r="B709" s="27" t="s">
        <v>2753</v>
      </c>
      <c r="C709" s="27" t="s">
        <v>1845</v>
      </c>
      <c r="D709" s="26" t="s">
        <v>2754</v>
      </c>
      <c r="E709" s="27" t="s">
        <v>2755</v>
      </c>
      <c r="F709" s="28" t="s">
        <v>146</v>
      </c>
      <c r="G709" s="27" t="s">
        <v>2107</v>
      </c>
      <c r="H709" s="27" t="s">
        <v>56</v>
      </c>
      <c r="I709" s="27" t="s">
        <v>38</v>
      </c>
      <c r="J709" s="28" t="s">
        <v>913</v>
      </c>
      <c r="K709" s="27" t="s">
        <v>38</v>
      </c>
      <c r="L709" s="27" t="s">
        <v>2756</v>
      </c>
    </row>
    <row r="710" customFormat="false" ht="15" hidden="false" customHeight="false" outlineLevel="0" collapsed="false">
      <c r="A710" s="26" t="s">
        <v>2757</v>
      </c>
      <c r="B710" s="27" t="s">
        <v>2758</v>
      </c>
      <c r="C710" s="27" t="s">
        <v>1845</v>
      </c>
      <c r="D710" s="26" t="s">
        <v>2759</v>
      </c>
      <c r="E710" s="27" t="s">
        <v>2760</v>
      </c>
      <c r="F710" s="28" t="s">
        <v>140</v>
      </c>
      <c r="G710" s="27" t="s">
        <v>2107</v>
      </c>
      <c r="H710" s="27" t="s">
        <v>56</v>
      </c>
      <c r="I710" s="27" t="s">
        <v>38</v>
      </c>
      <c r="J710" s="28" t="s">
        <v>913</v>
      </c>
      <c r="K710" s="27" t="s">
        <v>38</v>
      </c>
      <c r="L710" s="27" t="s">
        <v>79</v>
      </c>
    </row>
    <row r="711" customFormat="false" ht="15" hidden="false" customHeight="false" outlineLevel="0" collapsed="false">
      <c r="A711" s="26" t="s">
        <v>2761</v>
      </c>
      <c r="B711" s="27" t="s">
        <v>2762</v>
      </c>
      <c r="C711" s="27" t="s">
        <v>1845</v>
      </c>
      <c r="D711" s="26" t="s">
        <v>2763</v>
      </c>
      <c r="E711" s="27" t="s">
        <v>2764</v>
      </c>
      <c r="F711" s="28" t="s">
        <v>140</v>
      </c>
      <c r="G711" s="27" t="s">
        <v>2107</v>
      </c>
      <c r="H711" s="27" t="s">
        <v>56</v>
      </c>
      <c r="I711" s="27" t="s">
        <v>38</v>
      </c>
      <c r="J711" s="28" t="s">
        <v>913</v>
      </c>
      <c r="K711" s="27" t="s">
        <v>38</v>
      </c>
      <c r="L711" s="27" t="s">
        <v>79</v>
      </c>
    </row>
    <row r="712" customFormat="false" ht="15" hidden="false" customHeight="false" outlineLevel="0" collapsed="false">
      <c r="A712" s="26" t="s">
        <v>2765</v>
      </c>
      <c r="B712" s="27" t="s">
        <v>2766</v>
      </c>
      <c r="C712" s="27" t="s">
        <v>100</v>
      </c>
      <c r="D712" s="26" t="s">
        <v>1862</v>
      </c>
      <c r="E712" s="27" t="s">
        <v>1863</v>
      </c>
      <c r="F712" s="28" t="s">
        <v>140</v>
      </c>
      <c r="G712" s="27" t="s">
        <v>2107</v>
      </c>
      <c r="H712" s="27" t="s">
        <v>56</v>
      </c>
      <c r="I712" s="27" t="s">
        <v>38</v>
      </c>
      <c r="J712" s="28" t="s">
        <v>913</v>
      </c>
      <c r="K712" s="27" t="s">
        <v>38</v>
      </c>
      <c r="L712" s="27" t="s">
        <v>77</v>
      </c>
    </row>
    <row r="713" customFormat="false" ht="15" hidden="false" customHeight="false" outlineLevel="0" collapsed="false">
      <c r="A713" s="26" t="s">
        <v>2767</v>
      </c>
      <c r="B713" s="27" t="s">
        <v>2768</v>
      </c>
      <c r="C713" s="27" t="s">
        <v>100</v>
      </c>
      <c r="D713" s="26" t="s">
        <v>2769</v>
      </c>
      <c r="E713" s="27" t="s">
        <v>2770</v>
      </c>
      <c r="F713" s="28" t="s">
        <v>140</v>
      </c>
      <c r="G713" s="27" t="s">
        <v>2107</v>
      </c>
      <c r="H713" s="27" t="s">
        <v>56</v>
      </c>
      <c r="I713" s="27" t="s">
        <v>38</v>
      </c>
      <c r="J713" s="28" t="s">
        <v>913</v>
      </c>
      <c r="K713" s="27" t="s">
        <v>38</v>
      </c>
      <c r="L713" s="27" t="s">
        <v>77</v>
      </c>
    </row>
    <row r="714" customFormat="false" ht="15" hidden="false" customHeight="false" outlineLevel="0" collapsed="false">
      <c r="A714" s="26" t="s">
        <v>2771</v>
      </c>
      <c r="B714" s="27" t="s">
        <v>2772</v>
      </c>
      <c r="C714" s="27" t="s">
        <v>100</v>
      </c>
      <c r="D714" s="26" t="s">
        <v>2763</v>
      </c>
      <c r="E714" s="27" t="s">
        <v>2764</v>
      </c>
      <c r="F714" s="28" t="s">
        <v>140</v>
      </c>
      <c r="G714" s="27" t="s">
        <v>2107</v>
      </c>
      <c r="H714" s="27" t="s">
        <v>56</v>
      </c>
      <c r="I714" s="27" t="s">
        <v>38</v>
      </c>
      <c r="J714" s="28" t="s">
        <v>913</v>
      </c>
      <c r="K714" s="27" t="s">
        <v>38</v>
      </c>
      <c r="L714" s="27" t="s">
        <v>77</v>
      </c>
    </row>
    <row r="715" customFormat="false" ht="15" hidden="false" customHeight="false" outlineLevel="0" collapsed="false">
      <c r="A715" s="26" t="s">
        <v>2773</v>
      </c>
      <c r="B715" s="27" t="s">
        <v>2774</v>
      </c>
      <c r="C715" s="27" t="s">
        <v>100</v>
      </c>
      <c r="D715" s="26" t="s">
        <v>2775</v>
      </c>
      <c r="E715" s="27" t="s">
        <v>2776</v>
      </c>
      <c r="F715" s="28" t="s">
        <v>140</v>
      </c>
      <c r="G715" s="27" t="s">
        <v>2107</v>
      </c>
      <c r="H715" s="27" t="s">
        <v>56</v>
      </c>
      <c r="I715" s="27" t="s">
        <v>38</v>
      </c>
      <c r="J715" s="28" t="s">
        <v>913</v>
      </c>
      <c r="K715" s="27" t="s">
        <v>38</v>
      </c>
      <c r="L715" s="27" t="s">
        <v>77</v>
      </c>
    </row>
    <row r="716" customFormat="false" ht="15" hidden="false" customHeight="false" outlineLevel="0" collapsed="false">
      <c r="A716" s="26" t="s">
        <v>2777</v>
      </c>
      <c r="B716" s="27" t="s">
        <v>2778</v>
      </c>
      <c r="C716" s="27" t="s">
        <v>100</v>
      </c>
      <c r="D716" s="26" t="s">
        <v>2779</v>
      </c>
      <c r="E716" s="27" t="s">
        <v>2780</v>
      </c>
      <c r="F716" s="28" t="s">
        <v>140</v>
      </c>
      <c r="G716" s="27" t="s">
        <v>2107</v>
      </c>
      <c r="H716" s="27" t="s">
        <v>56</v>
      </c>
      <c r="I716" s="27" t="s">
        <v>38</v>
      </c>
      <c r="J716" s="28" t="s">
        <v>913</v>
      </c>
      <c r="K716" s="27" t="s">
        <v>38</v>
      </c>
      <c r="L716" s="27" t="s">
        <v>77</v>
      </c>
    </row>
    <row r="717" customFormat="false" ht="15" hidden="false" customHeight="false" outlineLevel="0" collapsed="false">
      <c r="A717" s="26" t="s">
        <v>2781</v>
      </c>
      <c r="B717" s="27" t="s">
        <v>2782</v>
      </c>
      <c r="C717" s="27" t="s">
        <v>100</v>
      </c>
      <c r="D717" s="26" t="s">
        <v>2686</v>
      </c>
      <c r="E717" s="27" t="s">
        <v>2687</v>
      </c>
      <c r="F717" s="28" t="s">
        <v>140</v>
      </c>
      <c r="G717" s="27" t="s">
        <v>2107</v>
      </c>
      <c r="H717" s="27" t="s">
        <v>56</v>
      </c>
      <c r="I717" s="27" t="s">
        <v>38</v>
      </c>
      <c r="J717" s="28" t="s">
        <v>913</v>
      </c>
      <c r="K717" s="27" t="s">
        <v>38</v>
      </c>
      <c r="L717" s="27" t="s">
        <v>77</v>
      </c>
    </row>
    <row r="718" customFormat="false" ht="15" hidden="false" customHeight="false" outlineLevel="0" collapsed="false">
      <c r="A718" s="26" t="s">
        <v>2783</v>
      </c>
      <c r="B718" s="27" t="s">
        <v>2784</v>
      </c>
      <c r="C718" s="27" t="s">
        <v>100</v>
      </c>
      <c r="D718" s="26" t="s">
        <v>2785</v>
      </c>
      <c r="E718" s="27" t="s">
        <v>2786</v>
      </c>
      <c r="F718" s="28" t="s">
        <v>140</v>
      </c>
      <c r="G718" s="27" t="s">
        <v>2107</v>
      </c>
      <c r="H718" s="27" t="s">
        <v>56</v>
      </c>
      <c r="I718" s="27" t="s">
        <v>38</v>
      </c>
      <c r="J718" s="28" t="s">
        <v>913</v>
      </c>
      <c r="K718" s="27" t="s">
        <v>38</v>
      </c>
      <c r="L718" s="27" t="s">
        <v>77</v>
      </c>
    </row>
    <row r="719" customFormat="false" ht="15" hidden="false" customHeight="false" outlineLevel="0" collapsed="false">
      <c r="A719" s="26" t="s">
        <v>2787</v>
      </c>
      <c r="B719" s="27" t="s">
        <v>2788</v>
      </c>
      <c r="C719" s="27" t="s">
        <v>100</v>
      </c>
      <c r="D719" s="26" t="s">
        <v>2690</v>
      </c>
      <c r="E719" s="27" t="s">
        <v>2691</v>
      </c>
      <c r="F719" s="28" t="s">
        <v>140</v>
      </c>
      <c r="G719" s="27" t="s">
        <v>2107</v>
      </c>
      <c r="H719" s="27" t="s">
        <v>56</v>
      </c>
      <c r="I719" s="27" t="s">
        <v>38</v>
      </c>
      <c r="J719" s="28" t="s">
        <v>913</v>
      </c>
      <c r="K719" s="27" t="s">
        <v>38</v>
      </c>
      <c r="L719" s="27" t="s">
        <v>77</v>
      </c>
    </row>
    <row r="720" customFormat="false" ht="15" hidden="false" customHeight="false" outlineLevel="0" collapsed="false">
      <c r="A720" s="26" t="s">
        <v>2789</v>
      </c>
      <c r="B720" s="27" t="s">
        <v>2790</v>
      </c>
      <c r="C720" s="27" t="s">
        <v>100</v>
      </c>
      <c r="D720" s="26" t="s">
        <v>2791</v>
      </c>
      <c r="E720" s="27" t="s">
        <v>2792</v>
      </c>
      <c r="F720" s="28" t="s">
        <v>140</v>
      </c>
      <c r="G720" s="27" t="s">
        <v>2107</v>
      </c>
      <c r="H720" s="27" t="s">
        <v>56</v>
      </c>
      <c r="I720" s="27" t="s">
        <v>38</v>
      </c>
      <c r="J720" s="28" t="s">
        <v>913</v>
      </c>
      <c r="K720" s="27" t="s">
        <v>38</v>
      </c>
      <c r="L720" s="27" t="s">
        <v>77</v>
      </c>
    </row>
    <row r="721" customFormat="false" ht="15" hidden="false" customHeight="false" outlineLevel="0" collapsed="false">
      <c r="A721" s="26" t="s">
        <v>2793</v>
      </c>
      <c r="B721" s="27" t="s">
        <v>2794</v>
      </c>
      <c r="C721" s="27" t="s">
        <v>100</v>
      </c>
      <c r="D721" s="26" t="s">
        <v>2795</v>
      </c>
      <c r="E721" s="27" t="s">
        <v>2796</v>
      </c>
      <c r="F721" s="28" t="s">
        <v>146</v>
      </c>
      <c r="G721" s="27" t="s">
        <v>2107</v>
      </c>
      <c r="H721" s="27" t="s">
        <v>56</v>
      </c>
      <c r="I721" s="27" t="s">
        <v>38</v>
      </c>
      <c r="J721" s="28" t="s">
        <v>913</v>
      </c>
      <c r="K721" s="27" t="s">
        <v>38</v>
      </c>
      <c r="L721" s="27" t="s">
        <v>1876</v>
      </c>
    </row>
    <row r="722" customFormat="false" ht="15" hidden="false" customHeight="false" outlineLevel="0" collapsed="false">
      <c r="A722" s="26" t="s">
        <v>2797</v>
      </c>
      <c r="B722" s="27" t="s">
        <v>2798</v>
      </c>
      <c r="C722" s="27" t="s">
        <v>100</v>
      </c>
      <c r="D722" s="26" t="s">
        <v>2799</v>
      </c>
      <c r="E722" s="27" t="s">
        <v>2800</v>
      </c>
      <c r="F722" s="28" t="s">
        <v>140</v>
      </c>
      <c r="G722" s="27" t="s">
        <v>2107</v>
      </c>
      <c r="H722" s="27" t="s">
        <v>56</v>
      </c>
      <c r="I722" s="27" t="s">
        <v>38</v>
      </c>
      <c r="J722" s="28" t="s">
        <v>913</v>
      </c>
      <c r="K722" s="27" t="s">
        <v>38</v>
      </c>
      <c r="L722" s="27" t="s">
        <v>77</v>
      </c>
    </row>
    <row r="723" customFormat="false" ht="15" hidden="false" customHeight="false" outlineLevel="0" collapsed="false">
      <c r="A723" s="26" t="s">
        <v>2801</v>
      </c>
      <c r="B723" s="27" t="s">
        <v>2802</v>
      </c>
      <c r="C723" s="27" t="s">
        <v>100</v>
      </c>
      <c r="D723" s="26" t="s">
        <v>2730</v>
      </c>
      <c r="E723" s="27" t="s">
        <v>2731</v>
      </c>
      <c r="F723" s="28" t="s">
        <v>140</v>
      </c>
      <c r="G723" s="27" t="s">
        <v>2107</v>
      </c>
      <c r="H723" s="27" t="s">
        <v>56</v>
      </c>
      <c r="I723" s="27" t="s">
        <v>38</v>
      </c>
      <c r="J723" s="28" t="s">
        <v>913</v>
      </c>
      <c r="K723" s="27" t="s">
        <v>38</v>
      </c>
      <c r="L723" s="27" t="s">
        <v>77</v>
      </c>
    </row>
    <row r="724" customFormat="false" ht="15" hidden="false" customHeight="false" outlineLevel="0" collapsed="false">
      <c r="A724" s="26" t="s">
        <v>2803</v>
      </c>
      <c r="B724" s="27" t="s">
        <v>2804</v>
      </c>
      <c r="C724" s="27" t="s">
        <v>100</v>
      </c>
      <c r="D724" s="26" t="s">
        <v>2674</v>
      </c>
      <c r="E724" s="27" t="s">
        <v>2675</v>
      </c>
      <c r="F724" s="28" t="s">
        <v>140</v>
      </c>
      <c r="G724" s="27" t="s">
        <v>2107</v>
      </c>
      <c r="H724" s="27" t="s">
        <v>56</v>
      </c>
      <c r="I724" s="27" t="s">
        <v>38</v>
      </c>
      <c r="J724" s="28" t="s">
        <v>913</v>
      </c>
      <c r="K724" s="27" t="s">
        <v>38</v>
      </c>
      <c r="L724" s="27" t="s">
        <v>77</v>
      </c>
    </row>
    <row r="725" customFormat="false" ht="15" hidden="false" customHeight="false" outlineLevel="0" collapsed="false">
      <c r="A725" s="26" t="s">
        <v>2805</v>
      </c>
      <c r="B725" s="27" t="s">
        <v>2806</v>
      </c>
      <c r="C725" s="27" t="s">
        <v>100</v>
      </c>
      <c r="D725" s="26" t="s">
        <v>2807</v>
      </c>
      <c r="E725" s="27" t="s">
        <v>2808</v>
      </c>
      <c r="F725" s="28" t="s">
        <v>140</v>
      </c>
      <c r="G725" s="27" t="s">
        <v>2107</v>
      </c>
      <c r="H725" s="27" t="s">
        <v>56</v>
      </c>
      <c r="I725" s="27" t="s">
        <v>38</v>
      </c>
      <c r="J725" s="28" t="s">
        <v>913</v>
      </c>
      <c r="K725" s="27" t="s">
        <v>38</v>
      </c>
      <c r="L725" s="27" t="s">
        <v>77</v>
      </c>
    </row>
    <row r="726" customFormat="false" ht="15" hidden="false" customHeight="false" outlineLevel="0" collapsed="false">
      <c r="A726" s="26" t="s">
        <v>2809</v>
      </c>
      <c r="B726" s="27" t="s">
        <v>2810</v>
      </c>
      <c r="C726" s="27" t="s">
        <v>1845</v>
      </c>
      <c r="D726" s="26" t="s">
        <v>2811</v>
      </c>
      <c r="E726" s="27" t="s">
        <v>2812</v>
      </c>
      <c r="F726" s="28" t="s">
        <v>140</v>
      </c>
      <c r="G726" s="27" t="s">
        <v>2107</v>
      </c>
      <c r="H726" s="27" t="s">
        <v>56</v>
      </c>
      <c r="I726" s="27" t="s">
        <v>38</v>
      </c>
      <c r="J726" s="28" t="s">
        <v>913</v>
      </c>
      <c r="K726" s="27" t="s">
        <v>38</v>
      </c>
      <c r="L726" s="27" t="s">
        <v>79</v>
      </c>
    </row>
    <row r="727" customFormat="false" ht="15" hidden="false" customHeight="false" outlineLevel="0" collapsed="false">
      <c r="A727" s="26" t="s">
        <v>2813</v>
      </c>
      <c r="B727" s="27" t="s">
        <v>2814</v>
      </c>
      <c r="C727" s="27" t="s">
        <v>1845</v>
      </c>
      <c r="D727" s="26" t="s">
        <v>2759</v>
      </c>
      <c r="E727" s="27" t="s">
        <v>2760</v>
      </c>
      <c r="F727" s="28" t="s">
        <v>140</v>
      </c>
      <c r="G727" s="27" t="s">
        <v>2107</v>
      </c>
      <c r="H727" s="27" t="s">
        <v>56</v>
      </c>
      <c r="I727" s="27" t="s">
        <v>38</v>
      </c>
      <c r="J727" s="28" t="s">
        <v>913</v>
      </c>
      <c r="K727" s="27" t="s">
        <v>38</v>
      </c>
      <c r="L727" s="27" t="s">
        <v>79</v>
      </c>
    </row>
    <row r="728" customFormat="false" ht="15" hidden="false" customHeight="false" outlineLevel="0" collapsed="false">
      <c r="A728" s="26" t="s">
        <v>2815</v>
      </c>
      <c r="B728" s="27" t="s">
        <v>2816</v>
      </c>
      <c r="C728" s="27" t="s">
        <v>1845</v>
      </c>
      <c r="D728" s="26" t="s">
        <v>2759</v>
      </c>
      <c r="E728" s="27" t="s">
        <v>2760</v>
      </c>
      <c r="F728" s="28" t="s">
        <v>140</v>
      </c>
      <c r="G728" s="27" t="s">
        <v>2107</v>
      </c>
      <c r="H728" s="27" t="s">
        <v>56</v>
      </c>
      <c r="I728" s="27" t="s">
        <v>38</v>
      </c>
      <c r="J728" s="28" t="s">
        <v>913</v>
      </c>
      <c r="K728" s="27" t="s">
        <v>38</v>
      </c>
      <c r="L728" s="27" t="s">
        <v>79</v>
      </c>
    </row>
    <row r="729" customFormat="false" ht="15" hidden="false" customHeight="false" outlineLevel="0" collapsed="false">
      <c r="A729" s="26" t="s">
        <v>2817</v>
      </c>
      <c r="B729" s="27" t="s">
        <v>2818</v>
      </c>
      <c r="C729" s="27" t="s">
        <v>100</v>
      </c>
      <c r="D729" s="26" t="s">
        <v>2734</v>
      </c>
      <c r="E729" s="27" t="s">
        <v>2735</v>
      </c>
      <c r="F729" s="28" t="s">
        <v>140</v>
      </c>
      <c r="G729" s="27" t="s">
        <v>2107</v>
      </c>
      <c r="H729" s="27" t="s">
        <v>56</v>
      </c>
      <c r="I729" s="27" t="s">
        <v>38</v>
      </c>
      <c r="J729" s="28" t="s">
        <v>913</v>
      </c>
      <c r="K729" s="27" t="s">
        <v>38</v>
      </c>
      <c r="L729" s="27" t="s">
        <v>77</v>
      </c>
    </row>
    <row r="730" customFormat="false" ht="15" hidden="false" customHeight="false" outlineLevel="0" collapsed="false">
      <c r="A730" s="26" t="s">
        <v>2819</v>
      </c>
      <c r="B730" s="27" t="s">
        <v>2820</v>
      </c>
      <c r="C730" s="27" t="s">
        <v>100</v>
      </c>
      <c r="D730" s="26" t="s">
        <v>2821</v>
      </c>
      <c r="E730" s="27" t="s">
        <v>2822</v>
      </c>
      <c r="F730" s="28" t="s">
        <v>140</v>
      </c>
      <c r="G730" s="27" t="s">
        <v>2107</v>
      </c>
      <c r="H730" s="27" t="s">
        <v>56</v>
      </c>
      <c r="I730" s="27" t="s">
        <v>38</v>
      </c>
      <c r="J730" s="28" t="s">
        <v>913</v>
      </c>
      <c r="K730" s="27" t="s">
        <v>38</v>
      </c>
      <c r="L730" s="27" t="s">
        <v>77</v>
      </c>
    </row>
    <row r="731" customFormat="false" ht="15" hidden="false" customHeight="false" outlineLevel="0" collapsed="false">
      <c r="A731" s="26" t="s">
        <v>2823</v>
      </c>
      <c r="B731" s="27" t="s">
        <v>2824</v>
      </c>
      <c r="C731" s="27" t="s">
        <v>100</v>
      </c>
      <c r="D731" s="26" t="s">
        <v>2825</v>
      </c>
      <c r="E731" s="27" t="s">
        <v>2826</v>
      </c>
      <c r="F731" s="28" t="s">
        <v>140</v>
      </c>
      <c r="G731" s="27" t="s">
        <v>2107</v>
      </c>
      <c r="H731" s="27" t="s">
        <v>56</v>
      </c>
      <c r="I731" s="27" t="s">
        <v>38</v>
      </c>
      <c r="J731" s="28" t="s">
        <v>913</v>
      </c>
      <c r="K731" s="27" t="s">
        <v>38</v>
      </c>
      <c r="L731" s="27" t="s">
        <v>77</v>
      </c>
    </row>
    <row r="732" customFormat="false" ht="15" hidden="false" customHeight="false" outlineLevel="0" collapsed="false">
      <c r="A732" s="26" t="s">
        <v>2827</v>
      </c>
      <c r="B732" s="27" t="s">
        <v>2828</v>
      </c>
      <c r="C732" s="27" t="s">
        <v>144</v>
      </c>
      <c r="D732" s="26" t="s">
        <v>2829</v>
      </c>
      <c r="E732" s="27" t="s">
        <v>2830</v>
      </c>
      <c r="F732" s="28" t="s">
        <v>140</v>
      </c>
      <c r="G732" s="27" t="s">
        <v>2107</v>
      </c>
      <c r="H732" s="27" t="s">
        <v>56</v>
      </c>
      <c r="I732" s="27" t="s">
        <v>38</v>
      </c>
      <c r="J732" s="28" t="s">
        <v>913</v>
      </c>
      <c r="K732" s="27" t="s">
        <v>38</v>
      </c>
      <c r="L732" s="27" t="s">
        <v>83</v>
      </c>
    </row>
    <row r="733" customFormat="false" ht="15" hidden="false" customHeight="false" outlineLevel="0" collapsed="false">
      <c r="A733" s="26" t="s">
        <v>2831</v>
      </c>
      <c r="B733" s="27" t="s">
        <v>2832</v>
      </c>
      <c r="C733" s="27" t="s">
        <v>100</v>
      </c>
      <c r="D733" s="26" t="s">
        <v>2726</v>
      </c>
      <c r="E733" s="27" t="s">
        <v>2727</v>
      </c>
      <c r="F733" s="28" t="s">
        <v>140</v>
      </c>
      <c r="G733" s="27" t="s">
        <v>2107</v>
      </c>
      <c r="H733" s="27" t="s">
        <v>56</v>
      </c>
      <c r="I733" s="27" t="s">
        <v>38</v>
      </c>
      <c r="J733" s="28" t="s">
        <v>913</v>
      </c>
      <c r="K733" s="27" t="s">
        <v>38</v>
      </c>
      <c r="L733" s="27" t="s">
        <v>77</v>
      </c>
    </row>
    <row r="734" customFormat="false" ht="15" hidden="false" customHeight="false" outlineLevel="0" collapsed="false">
      <c r="A734" s="26" t="s">
        <v>2833</v>
      </c>
      <c r="B734" s="27" t="s">
        <v>2834</v>
      </c>
      <c r="C734" s="27" t="s">
        <v>144</v>
      </c>
      <c r="D734" s="26" t="s">
        <v>2835</v>
      </c>
      <c r="E734" s="27" t="s">
        <v>2836</v>
      </c>
      <c r="F734" s="28" t="s">
        <v>1090</v>
      </c>
      <c r="G734" s="27" t="s">
        <v>2107</v>
      </c>
      <c r="H734" s="27" t="s">
        <v>57</v>
      </c>
      <c r="I734" s="27" t="s">
        <v>45</v>
      </c>
      <c r="J734" s="28" t="s">
        <v>913</v>
      </c>
      <c r="K734" s="27" t="s">
        <v>38</v>
      </c>
      <c r="L734" s="27" t="s">
        <v>1908</v>
      </c>
    </row>
    <row r="735" customFormat="false" ht="15" hidden="false" customHeight="false" outlineLevel="0" collapsed="false">
      <c r="A735" s="26" t="s">
        <v>2837</v>
      </c>
      <c r="B735" s="27" t="s">
        <v>2838</v>
      </c>
      <c r="C735" s="27" t="s">
        <v>1087</v>
      </c>
      <c r="D735" s="26" t="s">
        <v>2839</v>
      </c>
      <c r="E735" s="27" t="s">
        <v>2840</v>
      </c>
      <c r="F735" s="28" t="s">
        <v>383</v>
      </c>
      <c r="G735" s="27" t="s">
        <v>2107</v>
      </c>
      <c r="H735" s="27" t="s">
        <v>57</v>
      </c>
      <c r="I735" s="27" t="s">
        <v>45</v>
      </c>
      <c r="J735" s="28" t="s">
        <v>913</v>
      </c>
      <c r="K735" s="27" t="s">
        <v>38</v>
      </c>
      <c r="L735" s="27" t="s">
        <v>2841</v>
      </c>
    </row>
    <row r="736" customFormat="false" ht="15" hidden="false" customHeight="false" outlineLevel="0" collapsed="false">
      <c r="A736" s="26" t="s">
        <v>2842</v>
      </c>
      <c r="B736" s="27" t="s">
        <v>2843</v>
      </c>
      <c r="C736" s="27" t="s">
        <v>1087</v>
      </c>
      <c r="D736" s="26" t="s">
        <v>2844</v>
      </c>
      <c r="E736" s="27" t="s">
        <v>2845</v>
      </c>
      <c r="F736" s="28" t="s">
        <v>383</v>
      </c>
      <c r="G736" s="27" t="s">
        <v>2107</v>
      </c>
      <c r="H736" s="27" t="s">
        <v>57</v>
      </c>
      <c r="I736" s="27" t="s">
        <v>37</v>
      </c>
      <c r="J736" s="28" t="s">
        <v>913</v>
      </c>
      <c r="K736" s="27" t="s">
        <v>38</v>
      </c>
      <c r="L736" s="27" t="s">
        <v>2841</v>
      </c>
    </row>
    <row r="737" customFormat="false" ht="15" hidden="false" customHeight="false" outlineLevel="0" collapsed="false">
      <c r="A737" s="26" t="s">
        <v>2846</v>
      </c>
      <c r="B737" s="27" t="s">
        <v>2847</v>
      </c>
      <c r="C737" s="27" t="s">
        <v>144</v>
      </c>
      <c r="D737" s="26" t="s">
        <v>2848</v>
      </c>
      <c r="E737" s="27" t="s">
        <v>2849</v>
      </c>
      <c r="F737" s="28" t="s">
        <v>373</v>
      </c>
      <c r="G737" s="27" t="s">
        <v>2107</v>
      </c>
      <c r="H737" s="27" t="s">
        <v>56</v>
      </c>
      <c r="I737" s="27" t="s">
        <v>39</v>
      </c>
      <c r="J737" s="28" t="s">
        <v>997</v>
      </c>
      <c r="K737" s="27" t="s">
        <v>39</v>
      </c>
      <c r="L737" s="27" t="s">
        <v>74</v>
      </c>
    </row>
    <row r="738" customFormat="false" ht="15" hidden="false" customHeight="false" outlineLevel="0" collapsed="false">
      <c r="A738" s="26" t="s">
        <v>2850</v>
      </c>
      <c r="B738" s="27" t="s">
        <v>2851</v>
      </c>
      <c r="C738" s="27" t="s">
        <v>137</v>
      </c>
      <c r="D738" s="26" t="s">
        <v>2852</v>
      </c>
      <c r="E738" s="27" t="s">
        <v>2853</v>
      </c>
      <c r="F738" s="28" t="s">
        <v>102</v>
      </c>
      <c r="G738" s="27" t="s">
        <v>2107</v>
      </c>
      <c r="H738" s="27" t="s">
        <v>56</v>
      </c>
      <c r="I738" s="27" t="s">
        <v>39</v>
      </c>
      <c r="J738" s="28" t="s">
        <v>997</v>
      </c>
      <c r="K738" s="27" t="s">
        <v>39</v>
      </c>
      <c r="L738" s="27" t="s">
        <v>2854</v>
      </c>
    </row>
    <row r="739" customFormat="false" ht="15" hidden="false" customHeight="false" outlineLevel="0" collapsed="false">
      <c r="A739" s="26" t="s">
        <v>2855</v>
      </c>
      <c r="B739" s="27" t="s">
        <v>2856</v>
      </c>
      <c r="C739" s="27" t="s">
        <v>1990</v>
      </c>
      <c r="D739" s="26" t="s">
        <v>2857</v>
      </c>
      <c r="E739" s="27" t="s">
        <v>2858</v>
      </c>
      <c r="F739" s="28" t="s">
        <v>140</v>
      </c>
      <c r="G739" s="27" t="s">
        <v>2107</v>
      </c>
      <c r="H739" s="27" t="s">
        <v>56</v>
      </c>
      <c r="I739" s="27" t="s">
        <v>39</v>
      </c>
      <c r="J739" s="28" t="s">
        <v>997</v>
      </c>
      <c r="K739" s="27" t="s">
        <v>39</v>
      </c>
      <c r="L739" s="27" t="s">
        <v>2859</v>
      </c>
    </row>
    <row r="740" customFormat="false" ht="15" hidden="false" customHeight="false" outlineLevel="0" collapsed="false">
      <c r="A740" s="26" t="s">
        <v>2860</v>
      </c>
      <c r="B740" s="27" t="s">
        <v>2861</v>
      </c>
      <c r="C740" s="27" t="s">
        <v>1187</v>
      </c>
      <c r="D740" s="26" t="s">
        <v>2862</v>
      </c>
      <c r="E740" s="27" t="s">
        <v>2863</v>
      </c>
      <c r="F740" s="28" t="s">
        <v>146</v>
      </c>
      <c r="G740" s="27" t="s">
        <v>2107</v>
      </c>
      <c r="H740" s="27" t="s">
        <v>56</v>
      </c>
      <c r="I740" s="27" t="s">
        <v>39</v>
      </c>
      <c r="J740" s="28" t="s">
        <v>997</v>
      </c>
      <c r="K740" s="27" t="s">
        <v>39</v>
      </c>
      <c r="L740" s="27" t="s">
        <v>82</v>
      </c>
    </row>
    <row r="741" customFormat="false" ht="15" hidden="false" customHeight="false" outlineLevel="0" collapsed="false">
      <c r="A741" s="26" t="s">
        <v>2864</v>
      </c>
      <c r="B741" s="27" t="s">
        <v>2865</v>
      </c>
      <c r="C741" s="27" t="s">
        <v>144</v>
      </c>
      <c r="D741" s="26" t="s">
        <v>2866</v>
      </c>
      <c r="E741" s="27" t="s">
        <v>2867</v>
      </c>
      <c r="F741" s="28" t="s">
        <v>373</v>
      </c>
      <c r="G741" s="27" t="s">
        <v>2107</v>
      </c>
      <c r="H741" s="27" t="s">
        <v>57</v>
      </c>
      <c r="I741" s="27" t="s">
        <v>43</v>
      </c>
      <c r="J741" s="28" t="s">
        <v>997</v>
      </c>
      <c r="K741" s="27" t="s">
        <v>39</v>
      </c>
      <c r="L741" s="27" t="s">
        <v>74</v>
      </c>
    </row>
    <row r="742" customFormat="false" ht="15" hidden="false" customHeight="false" outlineLevel="0" collapsed="false">
      <c r="A742" s="26" t="s">
        <v>2868</v>
      </c>
      <c r="B742" s="27" t="s">
        <v>2869</v>
      </c>
      <c r="C742" s="27" t="s">
        <v>1187</v>
      </c>
      <c r="D742" s="26" t="s">
        <v>2870</v>
      </c>
      <c r="E742" s="27" t="s">
        <v>2871</v>
      </c>
      <c r="F742" s="28" t="s">
        <v>146</v>
      </c>
      <c r="G742" s="27" t="s">
        <v>2107</v>
      </c>
      <c r="H742" s="27" t="s">
        <v>56</v>
      </c>
      <c r="I742" s="27" t="s">
        <v>39</v>
      </c>
      <c r="J742" s="28" t="s">
        <v>997</v>
      </c>
      <c r="K742" s="27" t="s">
        <v>39</v>
      </c>
      <c r="L742" s="27" t="s">
        <v>82</v>
      </c>
    </row>
    <row r="743" customFormat="false" ht="15" hidden="false" customHeight="false" outlineLevel="0" collapsed="false">
      <c r="A743" s="26" t="s">
        <v>2872</v>
      </c>
      <c r="B743" s="27" t="s">
        <v>2873</v>
      </c>
      <c r="C743" s="27" t="s">
        <v>144</v>
      </c>
      <c r="D743" s="26" t="s">
        <v>2874</v>
      </c>
      <c r="E743" s="27" t="s">
        <v>2875</v>
      </c>
      <c r="F743" s="28" t="s">
        <v>1190</v>
      </c>
      <c r="G743" s="27" t="s">
        <v>2107</v>
      </c>
      <c r="H743" s="27" t="s">
        <v>56</v>
      </c>
      <c r="I743" s="27" t="s">
        <v>39</v>
      </c>
      <c r="J743" s="28" t="s">
        <v>997</v>
      </c>
      <c r="K743" s="27" t="s">
        <v>39</v>
      </c>
      <c r="L743" s="27" t="s">
        <v>81</v>
      </c>
    </row>
    <row r="744" customFormat="false" ht="15" hidden="false" customHeight="false" outlineLevel="0" collapsed="false">
      <c r="A744" s="26" t="s">
        <v>2876</v>
      </c>
      <c r="B744" s="27" t="s">
        <v>2877</v>
      </c>
      <c r="C744" s="27" t="s">
        <v>144</v>
      </c>
      <c r="D744" s="26" t="s">
        <v>2874</v>
      </c>
      <c r="E744" s="27" t="s">
        <v>2875</v>
      </c>
      <c r="F744" s="28" t="s">
        <v>1190</v>
      </c>
      <c r="G744" s="27" t="s">
        <v>2107</v>
      </c>
      <c r="H744" s="27" t="s">
        <v>56</v>
      </c>
      <c r="I744" s="27" t="s">
        <v>39</v>
      </c>
      <c r="J744" s="28" t="s">
        <v>997</v>
      </c>
      <c r="K744" s="27" t="s">
        <v>39</v>
      </c>
      <c r="L744" s="27" t="s">
        <v>81</v>
      </c>
    </row>
    <row r="745" customFormat="false" ht="15" hidden="false" customHeight="false" outlineLevel="0" collapsed="false">
      <c r="A745" s="26" t="s">
        <v>2878</v>
      </c>
      <c r="B745" s="27" t="s">
        <v>2879</v>
      </c>
      <c r="C745" s="27" t="s">
        <v>144</v>
      </c>
      <c r="D745" s="26" t="s">
        <v>2880</v>
      </c>
      <c r="E745" s="27" t="s">
        <v>2881</v>
      </c>
      <c r="F745" s="28" t="s">
        <v>1614</v>
      </c>
      <c r="G745" s="27" t="s">
        <v>2107</v>
      </c>
      <c r="H745" s="27" t="s">
        <v>57</v>
      </c>
      <c r="I745" s="27" t="s">
        <v>1067</v>
      </c>
      <c r="J745" s="28" t="s">
        <v>997</v>
      </c>
      <c r="K745" s="27" t="s">
        <v>39</v>
      </c>
      <c r="L745" s="27" t="s">
        <v>2051</v>
      </c>
    </row>
    <row r="746" customFormat="false" ht="15" hidden="false" customHeight="false" outlineLevel="0" collapsed="false">
      <c r="A746" s="26" t="s">
        <v>2882</v>
      </c>
      <c r="B746" s="27" t="s">
        <v>2883</v>
      </c>
      <c r="C746" s="27" t="s">
        <v>144</v>
      </c>
      <c r="D746" s="26" t="s">
        <v>2884</v>
      </c>
      <c r="E746" s="27" t="s">
        <v>2885</v>
      </c>
      <c r="F746" s="28" t="s">
        <v>1529</v>
      </c>
      <c r="G746" s="27" t="s">
        <v>2107</v>
      </c>
      <c r="H746" s="27" t="s">
        <v>57</v>
      </c>
      <c r="I746" s="27" t="s">
        <v>1067</v>
      </c>
      <c r="J746" s="28" t="s">
        <v>997</v>
      </c>
      <c r="K746" s="27" t="s">
        <v>39</v>
      </c>
      <c r="L746" s="27" t="s">
        <v>1970</v>
      </c>
    </row>
    <row r="747" customFormat="false" ht="15" hidden="false" customHeight="false" outlineLevel="0" collapsed="false">
      <c r="A747" s="26" t="s">
        <v>2886</v>
      </c>
      <c r="B747" s="27" t="s">
        <v>2887</v>
      </c>
      <c r="C747" s="27" t="s">
        <v>144</v>
      </c>
      <c r="D747" s="26" t="s">
        <v>2888</v>
      </c>
      <c r="E747" s="27" t="s">
        <v>2889</v>
      </c>
      <c r="F747" s="28" t="s">
        <v>140</v>
      </c>
      <c r="G747" s="27" t="s">
        <v>2107</v>
      </c>
      <c r="H747" s="27" t="s">
        <v>56</v>
      </c>
      <c r="I747" s="27" t="s">
        <v>39</v>
      </c>
      <c r="J747" s="28" t="s">
        <v>997</v>
      </c>
      <c r="K747" s="27" t="s">
        <v>39</v>
      </c>
      <c r="L747" s="27" t="s">
        <v>83</v>
      </c>
    </row>
    <row r="748" customFormat="false" ht="15" hidden="false" customHeight="false" outlineLevel="0" collapsed="false">
      <c r="A748" s="26" t="s">
        <v>2890</v>
      </c>
      <c r="B748" s="27" t="s">
        <v>2891</v>
      </c>
      <c r="C748" s="27" t="s">
        <v>1845</v>
      </c>
      <c r="D748" s="26" t="s">
        <v>2892</v>
      </c>
      <c r="E748" s="27" t="s">
        <v>2893</v>
      </c>
      <c r="F748" s="28" t="s">
        <v>146</v>
      </c>
      <c r="G748" s="27" t="s">
        <v>2107</v>
      </c>
      <c r="H748" s="27" t="s">
        <v>56</v>
      </c>
      <c r="I748" s="27" t="s">
        <v>45</v>
      </c>
      <c r="J748" s="28" t="s">
        <v>1047</v>
      </c>
      <c r="K748" s="27" t="s">
        <v>45</v>
      </c>
      <c r="L748" s="27" t="s">
        <v>2756</v>
      </c>
    </row>
    <row r="749" customFormat="false" ht="15" hidden="false" customHeight="false" outlineLevel="0" collapsed="false">
      <c r="A749" s="26" t="s">
        <v>2894</v>
      </c>
      <c r="B749" s="27" t="s">
        <v>2895</v>
      </c>
      <c r="C749" s="27" t="s">
        <v>144</v>
      </c>
      <c r="D749" s="26" t="s">
        <v>2896</v>
      </c>
      <c r="E749" s="27" t="s">
        <v>2897</v>
      </c>
      <c r="F749" s="28" t="s">
        <v>383</v>
      </c>
      <c r="G749" s="27" t="s">
        <v>2107</v>
      </c>
      <c r="H749" s="27" t="s">
        <v>57</v>
      </c>
      <c r="I749" s="27" t="s">
        <v>44</v>
      </c>
      <c r="J749" s="28" t="s">
        <v>1047</v>
      </c>
      <c r="K749" s="27" t="s">
        <v>45</v>
      </c>
      <c r="L749" s="27" t="s">
        <v>2898</v>
      </c>
    </row>
    <row r="750" customFormat="false" ht="15" hidden="false" customHeight="false" outlineLevel="0" collapsed="false">
      <c r="A750" s="26" t="s">
        <v>2899</v>
      </c>
      <c r="B750" s="27" t="s">
        <v>2900</v>
      </c>
      <c r="C750" s="27" t="s">
        <v>144</v>
      </c>
      <c r="D750" s="26" t="s">
        <v>2901</v>
      </c>
      <c r="E750" s="27" t="s">
        <v>2902</v>
      </c>
      <c r="F750" s="28" t="s">
        <v>383</v>
      </c>
      <c r="G750" s="27" t="s">
        <v>2107</v>
      </c>
      <c r="H750" s="27" t="s">
        <v>57</v>
      </c>
      <c r="I750" s="27" t="s">
        <v>44</v>
      </c>
      <c r="J750" s="28" t="s">
        <v>1047</v>
      </c>
      <c r="K750" s="27" t="s">
        <v>45</v>
      </c>
      <c r="L750" s="27" t="s">
        <v>2898</v>
      </c>
    </row>
    <row r="751" customFormat="false" ht="15" hidden="false" customHeight="false" outlineLevel="0" collapsed="false">
      <c r="A751" s="26" t="s">
        <v>2903</v>
      </c>
      <c r="B751" s="27" t="s">
        <v>2904</v>
      </c>
      <c r="C751" s="27" t="s">
        <v>144</v>
      </c>
      <c r="D751" s="26" t="s">
        <v>2905</v>
      </c>
      <c r="E751" s="27" t="s">
        <v>2906</v>
      </c>
      <c r="F751" s="28" t="s">
        <v>140</v>
      </c>
      <c r="G751" s="27" t="s">
        <v>2107</v>
      </c>
      <c r="H751" s="27" t="s">
        <v>56</v>
      </c>
      <c r="I751" s="27" t="s">
        <v>45</v>
      </c>
      <c r="J751" s="28" t="s">
        <v>1047</v>
      </c>
      <c r="K751" s="27" t="s">
        <v>45</v>
      </c>
      <c r="L751" s="27" t="s">
        <v>83</v>
      </c>
    </row>
    <row r="752" customFormat="false" ht="15" hidden="false" customHeight="false" outlineLevel="0" collapsed="false">
      <c r="A752" s="26" t="s">
        <v>2907</v>
      </c>
      <c r="B752" s="27" t="s">
        <v>2908</v>
      </c>
      <c r="C752" s="27" t="s">
        <v>100</v>
      </c>
      <c r="D752" s="26" t="s">
        <v>2909</v>
      </c>
      <c r="E752" s="27" t="s">
        <v>2910</v>
      </c>
      <c r="F752" s="28" t="s">
        <v>140</v>
      </c>
      <c r="G752" s="27" t="s">
        <v>2107</v>
      </c>
      <c r="H752" s="27" t="s">
        <v>56</v>
      </c>
      <c r="I752" s="27" t="s">
        <v>45</v>
      </c>
      <c r="J752" s="28" t="s">
        <v>1047</v>
      </c>
      <c r="K752" s="27" t="s">
        <v>45</v>
      </c>
      <c r="L752" s="27" t="s">
        <v>77</v>
      </c>
    </row>
    <row r="753" customFormat="false" ht="15" hidden="false" customHeight="false" outlineLevel="0" collapsed="false">
      <c r="A753" s="26" t="s">
        <v>2911</v>
      </c>
      <c r="B753" s="27" t="s">
        <v>2912</v>
      </c>
      <c r="C753" s="27" t="s">
        <v>100</v>
      </c>
      <c r="D753" s="26" t="s">
        <v>2909</v>
      </c>
      <c r="E753" s="27" t="s">
        <v>2910</v>
      </c>
      <c r="F753" s="28" t="s">
        <v>140</v>
      </c>
      <c r="G753" s="27" t="s">
        <v>2107</v>
      </c>
      <c r="H753" s="27" t="s">
        <v>56</v>
      </c>
      <c r="I753" s="27" t="s">
        <v>45</v>
      </c>
      <c r="J753" s="28" t="s">
        <v>1047</v>
      </c>
      <c r="K753" s="27" t="s">
        <v>45</v>
      </c>
      <c r="L753" s="27" t="s">
        <v>77</v>
      </c>
    </row>
    <row r="754" customFormat="false" ht="15" hidden="false" customHeight="false" outlineLevel="0" collapsed="false">
      <c r="A754" s="26" t="s">
        <v>2913</v>
      </c>
      <c r="B754" s="27" t="s">
        <v>2914</v>
      </c>
      <c r="C754" s="27" t="s">
        <v>100</v>
      </c>
      <c r="D754" s="26" t="s">
        <v>2915</v>
      </c>
      <c r="E754" s="27" t="s">
        <v>2916</v>
      </c>
      <c r="F754" s="28" t="s">
        <v>140</v>
      </c>
      <c r="G754" s="27" t="s">
        <v>2107</v>
      </c>
      <c r="H754" s="27" t="s">
        <v>56</v>
      </c>
      <c r="I754" s="27" t="s">
        <v>45</v>
      </c>
      <c r="J754" s="28" t="s">
        <v>1047</v>
      </c>
      <c r="K754" s="27" t="s">
        <v>45</v>
      </c>
      <c r="L754" s="27" t="s">
        <v>77</v>
      </c>
    </row>
    <row r="755" customFormat="false" ht="15" hidden="false" customHeight="false" outlineLevel="0" collapsed="false">
      <c r="A755" s="26" t="s">
        <v>2917</v>
      </c>
      <c r="B755" s="27" t="s">
        <v>2918</v>
      </c>
      <c r="C755" s="27" t="s">
        <v>100</v>
      </c>
      <c r="D755" s="26" t="s">
        <v>2919</v>
      </c>
      <c r="E755" s="27" t="s">
        <v>2920</v>
      </c>
      <c r="F755" s="28" t="s">
        <v>140</v>
      </c>
      <c r="G755" s="27" t="s">
        <v>2107</v>
      </c>
      <c r="H755" s="27" t="s">
        <v>57</v>
      </c>
      <c r="I755" s="27" t="s">
        <v>38</v>
      </c>
      <c r="J755" s="28" t="s">
        <v>1047</v>
      </c>
      <c r="K755" s="27" t="s">
        <v>45</v>
      </c>
      <c r="L755" s="27" t="s">
        <v>77</v>
      </c>
    </row>
    <row r="756" customFormat="false" ht="15" hidden="false" customHeight="false" outlineLevel="0" collapsed="false">
      <c r="A756" s="26" t="s">
        <v>2921</v>
      </c>
      <c r="B756" s="27" t="s">
        <v>2922</v>
      </c>
      <c r="C756" s="27" t="s">
        <v>100</v>
      </c>
      <c r="D756" s="26" t="s">
        <v>2923</v>
      </c>
      <c r="E756" s="27" t="s">
        <v>2924</v>
      </c>
      <c r="F756" s="28" t="s">
        <v>2232</v>
      </c>
      <c r="G756" s="27" t="s">
        <v>2107</v>
      </c>
      <c r="H756" s="27" t="s">
        <v>56</v>
      </c>
      <c r="I756" s="27" t="s">
        <v>45</v>
      </c>
      <c r="J756" s="28" t="s">
        <v>1047</v>
      </c>
      <c r="K756" s="27" t="s">
        <v>45</v>
      </c>
      <c r="L756" s="27" t="s">
        <v>2925</v>
      </c>
    </row>
    <row r="757" customFormat="false" ht="15" hidden="false" customHeight="false" outlineLevel="0" collapsed="false">
      <c r="A757" s="26" t="s">
        <v>2926</v>
      </c>
      <c r="B757" s="27" t="s">
        <v>2927</v>
      </c>
      <c r="C757" s="27" t="s">
        <v>1087</v>
      </c>
      <c r="D757" s="26" t="s">
        <v>2928</v>
      </c>
      <c r="E757" s="27" t="s">
        <v>2929</v>
      </c>
      <c r="F757" s="28" t="s">
        <v>140</v>
      </c>
      <c r="G757" s="27" t="s">
        <v>2107</v>
      </c>
      <c r="H757" s="27" t="s">
        <v>57</v>
      </c>
      <c r="I757" s="27" t="s">
        <v>44</v>
      </c>
      <c r="J757" s="28" t="s">
        <v>1047</v>
      </c>
      <c r="K757" s="27" t="s">
        <v>45</v>
      </c>
      <c r="L757" s="27" t="s">
        <v>2930</v>
      </c>
    </row>
    <row r="758" customFormat="false" ht="15" hidden="false" customHeight="false" outlineLevel="0" collapsed="false">
      <c r="A758" s="26" t="s">
        <v>2931</v>
      </c>
      <c r="B758" s="27" t="s">
        <v>2932</v>
      </c>
      <c r="C758" s="27" t="s">
        <v>100</v>
      </c>
      <c r="D758" s="26" t="s">
        <v>2933</v>
      </c>
      <c r="E758" s="27" t="s">
        <v>2934</v>
      </c>
      <c r="F758" s="28" t="s">
        <v>1090</v>
      </c>
      <c r="G758" s="27" t="s">
        <v>2107</v>
      </c>
      <c r="H758" s="27" t="s">
        <v>56</v>
      </c>
      <c r="I758" s="27" t="s">
        <v>45</v>
      </c>
      <c r="J758" s="28" t="s">
        <v>1047</v>
      </c>
      <c r="K758" s="27" t="s">
        <v>45</v>
      </c>
      <c r="L758" s="27" t="s">
        <v>2935</v>
      </c>
    </row>
    <row r="759" customFormat="false" ht="15" hidden="false" customHeight="false" outlineLevel="0" collapsed="false">
      <c r="A759" s="26" t="s">
        <v>2936</v>
      </c>
      <c r="B759" s="27" t="s">
        <v>2937</v>
      </c>
      <c r="C759" s="27" t="s">
        <v>100</v>
      </c>
      <c r="D759" s="26" t="s">
        <v>2938</v>
      </c>
      <c r="E759" s="27" t="s">
        <v>2939</v>
      </c>
      <c r="F759" s="28" t="s">
        <v>1090</v>
      </c>
      <c r="G759" s="27" t="s">
        <v>2107</v>
      </c>
      <c r="H759" s="27" t="s">
        <v>56</v>
      </c>
      <c r="I759" s="27" t="s">
        <v>45</v>
      </c>
      <c r="J759" s="28" t="s">
        <v>1047</v>
      </c>
      <c r="K759" s="27" t="s">
        <v>45</v>
      </c>
      <c r="L759" s="27" t="s">
        <v>2935</v>
      </c>
    </row>
    <row r="760" customFormat="false" ht="15" hidden="false" customHeight="false" outlineLevel="0" collapsed="false">
      <c r="A760" s="26" t="s">
        <v>2940</v>
      </c>
      <c r="B760" s="27" t="s">
        <v>2941</v>
      </c>
      <c r="C760" s="27" t="s">
        <v>100</v>
      </c>
      <c r="D760" s="26" t="s">
        <v>2933</v>
      </c>
      <c r="E760" s="27" t="s">
        <v>2934</v>
      </c>
      <c r="F760" s="28" t="s">
        <v>1090</v>
      </c>
      <c r="G760" s="27" t="s">
        <v>2107</v>
      </c>
      <c r="H760" s="27" t="s">
        <v>56</v>
      </c>
      <c r="I760" s="27" t="s">
        <v>45</v>
      </c>
      <c r="J760" s="28" t="s">
        <v>1047</v>
      </c>
      <c r="K760" s="27" t="s">
        <v>45</v>
      </c>
      <c r="L760" s="27" t="s">
        <v>2935</v>
      </c>
    </row>
    <row r="761" customFormat="false" ht="15" hidden="false" customHeight="false" outlineLevel="0" collapsed="false">
      <c r="A761" s="26" t="s">
        <v>2942</v>
      </c>
      <c r="B761" s="27" t="s">
        <v>2943</v>
      </c>
      <c r="C761" s="27" t="s">
        <v>100</v>
      </c>
      <c r="D761" s="26" t="s">
        <v>2938</v>
      </c>
      <c r="E761" s="27" t="s">
        <v>2939</v>
      </c>
      <c r="F761" s="28" t="s">
        <v>1090</v>
      </c>
      <c r="G761" s="27" t="s">
        <v>2107</v>
      </c>
      <c r="H761" s="27" t="s">
        <v>56</v>
      </c>
      <c r="I761" s="27" t="s">
        <v>45</v>
      </c>
      <c r="J761" s="28" t="s">
        <v>1047</v>
      </c>
      <c r="K761" s="27" t="s">
        <v>45</v>
      </c>
      <c r="L761" s="27" t="s">
        <v>2935</v>
      </c>
    </row>
    <row r="762" customFormat="false" ht="15" hidden="false" customHeight="false" outlineLevel="0" collapsed="false">
      <c r="A762" s="26" t="s">
        <v>2944</v>
      </c>
      <c r="B762" s="27" t="s">
        <v>2945</v>
      </c>
      <c r="C762" s="27" t="s">
        <v>100</v>
      </c>
      <c r="D762" s="26" t="s">
        <v>2938</v>
      </c>
      <c r="E762" s="27" t="s">
        <v>2939</v>
      </c>
      <c r="F762" s="28" t="s">
        <v>1090</v>
      </c>
      <c r="G762" s="27" t="s">
        <v>2107</v>
      </c>
      <c r="H762" s="27" t="s">
        <v>56</v>
      </c>
      <c r="I762" s="27" t="s">
        <v>45</v>
      </c>
      <c r="J762" s="28" t="s">
        <v>1047</v>
      </c>
      <c r="K762" s="27" t="s">
        <v>45</v>
      </c>
      <c r="L762" s="27" t="s">
        <v>2935</v>
      </c>
    </row>
    <row r="763" customFormat="false" ht="15" hidden="false" customHeight="false" outlineLevel="0" collapsed="false">
      <c r="A763" s="26" t="s">
        <v>2946</v>
      </c>
      <c r="B763" s="27" t="s">
        <v>2947</v>
      </c>
      <c r="C763" s="27" t="s">
        <v>100</v>
      </c>
      <c r="D763" s="26" t="s">
        <v>2948</v>
      </c>
      <c r="E763" s="27" t="s">
        <v>2949</v>
      </c>
      <c r="F763" s="28" t="s">
        <v>1090</v>
      </c>
      <c r="G763" s="27" t="s">
        <v>2107</v>
      </c>
      <c r="H763" s="27" t="s">
        <v>56</v>
      </c>
      <c r="I763" s="27" t="s">
        <v>45</v>
      </c>
      <c r="J763" s="28" t="s">
        <v>1047</v>
      </c>
      <c r="K763" s="27" t="s">
        <v>45</v>
      </c>
      <c r="L763" s="27" t="s">
        <v>2935</v>
      </c>
    </row>
    <row r="764" customFormat="false" ht="15" hidden="false" customHeight="false" outlineLevel="0" collapsed="false">
      <c r="A764" s="26" t="s">
        <v>2950</v>
      </c>
      <c r="B764" s="27" t="s">
        <v>2951</v>
      </c>
      <c r="C764" s="27" t="s">
        <v>100</v>
      </c>
      <c r="D764" s="26" t="s">
        <v>2952</v>
      </c>
      <c r="E764" s="27" t="s">
        <v>2953</v>
      </c>
      <c r="F764" s="28" t="s">
        <v>1090</v>
      </c>
      <c r="G764" s="27" t="s">
        <v>2107</v>
      </c>
      <c r="H764" s="27" t="s">
        <v>56</v>
      </c>
      <c r="I764" s="27" t="s">
        <v>45</v>
      </c>
      <c r="J764" s="28" t="s">
        <v>1047</v>
      </c>
      <c r="K764" s="27" t="s">
        <v>45</v>
      </c>
      <c r="L764" s="27" t="s">
        <v>2935</v>
      </c>
    </row>
    <row r="765" customFormat="false" ht="15" hidden="false" customHeight="false" outlineLevel="0" collapsed="false">
      <c r="A765" s="26" t="s">
        <v>2954</v>
      </c>
      <c r="B765" s="27" t="s">
        <v>2955</v>
      </c>
      <c r="C765" s="27" t="s">
        <v>100</v>
      </c>
      <c r="D765" s="26" t="s">
        <v>2948</v>
      </c>
      <c r="E765" s="27" t="s">
        <v>2949</v>
      </c>
      <c r="F765" s="28" t="s">
        <v>1090</v>
      </c>
      <c r="G765" s="27" t="s">
        <v>2107</v>
      </c>
      <c r="H765" s="27" t="s">
        <v>56</v>
      </c>
      <c r="I765" s="27" t="s">
        <v>45</v>
      </c>
      <c r="J765" s="28" t="s">
        <v>1047</v>
      </c>
      <c r="K765" s="27" t="s">
        <v>45</v>
      </c>
      <c r="L765" s="27" t="s">
        <v>2935</v>
      </c>
    </row>
    <row r="766" customFormat="false" ht="15" hidden="false" customHeight="false" outlineLevel="0" collapsed="false">
      <c r="A766" s="26" t="s">
        <v>2956</v>
      </c>
      <c r="B766" s="27" t="s">
        <v>2957</v>
      </c>
      <c r="C766" s="27" t="s">
        <v>100</v>
      </c>
      <c r="D766" s="26" t="s">
        <v>2933</v>
      </c>
      <c r="E766" s="27" t="s">
        <v>2934</v>
      </c>
      <c r="F766" s="28" t="s">
        <v>1090</v>
      </c>
      <c r="G766" s="27" t="s">
        <v>2107</v>
      </c>
      <c r="H766" s="27" t="s">
        <v>56</v>
      </c>
      <c r="I766" s="27" t="s">
        <v>45</v>
      </c>
      <c r="J766" s="28" t="s">
        <v>1047</v>
      </c>
      <c r="K766" s="27" t="s">
        <v>45</v>
      </c>
      <c r="L766" s="27" t="s">
        <v>2935</v>
      </c>
    </row>
    <row r="767" customFormat="false" ht="15" hidden="false" customHeight="false" outlineLevel="0" collapsed="false">
      <c r="A767" s="26" t="s">
        <v>2958</v>
      </c>
      <c r="B767" s="27" t="s">
        <v>2959</v>
      </c>
      <c r="C767" s="27" t="s">
        <v>100</v>
      </c>
      <c r="D767" s="26" t="s">
        <v>2938</v>
      </c>
      <c r="E767" s="27" t="s">
        <v>2939</v>
      </c>
      <c r="F767" s="28" t="s">
        <v>1090</v>
      </c>
      <c r="G767" s="27" t="s">
        <v>2107</v>
      </c>
      <c r="H767" s="27" t="s">
        <v>56</v>
      </c>
      <c r="I767" s="27" t="s">
        <v>45</v>
      </c>
      <c r="J767" s="28" t="s">
        <v>1047</v>
      </c>
      <c r="K767" s="27" t="s">
        <v>45</v>
      </c>
      <c r="L767" s="27" t="s">
        <v>2935</v>
      </c>
    </row>
    <row r="768" customFormat="false" ht="15" hidden="false" customHeight="false" outlineLevel="0" collapsed="false">
      <c r="A768" s="26" t="s">
        <v>2960</v>
      </c>
      <c r="B768" s="27" t="s">
        <v>2961</v>
      </c>
      <c r="C768" s="27" t="s">
        <v>100</v>
      </c>
      <c r="D768" s="26" t="s">
        <v>2962</v>
      </c>
      <c r="E768" s="27" t="s">
        <v>2963</v>
      </c>
      <c r="F768" s="28" t="s">
        <v>140</v>
      </c>
      <c r="G768" s="27" t="s">
        <v>2107</v>
      </c>
      <c r="H768" s="27" t="s">
        <v>56</v>
      </c>
      <c r="I768" s="27" t="s">
        <v>45</v>
      </c>
      <c r="J768" s="28" t="s">
        <v>1047</v>
      </c>
      <c r="K768" s="27" t="s">
        <v>45</v>
      </c>
      <c r="L768" s="27" t="s">
        <v>77</v>
      </c>
    </row>
    <row r="769" customFormat="false" ht="15" hidden="false" customHeight="false" outlineLevel="0" collapsed="false">
      <c r="A769" s="26" t="s">
        <v>2964</v>
      </c>
      <c r="B769" s="27" t="s">
        <v>2965</v>
      </c>
      <c r="C769" s="27" t="s">
        <v>100</v>
      </c>
      <c r="D769" s="26" t="s">
        <v>2966</v>
      </c>
      <c r="E769" s="27" t="s">
        <v>2967</v>
      </c>
      <c r="F769" s="28" t="s">
        <v>140</v>
      </c>
      <c r="G769" s="27" t="s">
        <v>2107</v>
      </c>
      <c r="H769" s="27" t="s">
        <v>56</v>
      </c>
      <c r="I769" s="27" t="s">
        <v>45</v>
      </c>
      <c r="J769" s="28" t="s">
        <v>1047</v>
      </c>
      <c r="K769" s="27" t="s">
        <v>45</v>
      </c>
      <c r="L769" s="27" t="s">
        <v>77</v>
      </c>
    </row>
    <row r="770" customFormat="false" ht="15" hidden="false" customHeight="false" outlineLevel="0" collapsed="false">
      <c r="A770" s="26" t="s">
        <v>2968</v>
      </c>
      <c r="B770" s="27" t="s">
        <v>2969</v>
      </c>
      <c r="C770" s="27" t="s">
        <v>100</v>
      </c>
      <c r="D770" s="26" t="s">
        <v>2970</v>
      </c>
      <c r="E770" s="27" t="s">
        <v>2971</v>
      </c>
      <c r="F770" s="28" t="s">
        <v>146</v>
      </c>
      <c r="G770" s="27" t="s">
        <v>2107</v>
      </c>
      <c r="H770" s="27" t="s">
        <v>56</v>
      </c>
      <c r="I770" s="27" t="s">
        <v>45</v>
      </c>
      <c r="J770" s="28" t="s">
        <v>1047</v>
      </c>
      <c r="K770" s="27" t="s">
        <v>45</v>
      </c>
      <c r="L770" s="27" t="s">
        <v>1876</v>
      </c>
    </row>
    <row r="771" customFormat="false" ht="15" hidden="false" customHeight="false" outlineLevel="0" collapsed="false">
      <c r="A771" s="26" t="s">
        <v>2972</v>
      </c>
      <c r="B771" s="27" t="s">
        <v>2973</v>
      </c>
      <c r="C771" s="27" t="s">
        <v>100</v>
      </c>
      <c r="D771" s="26" t="s">
        <v>2974</v>
      </c>
      <c r="E771" s="27" t="s">
        <v>2975</v>
      </c>
      <c r="F771" s="28" t="s">
        <v>140</v>
      </c>
      <c r="G771" s="27" t="s">
        <v>2107</v>
      </c>
      <c r="H771" s="27" t="s">
        <v>56</v>
      </c>
      <c r="I771" s="27" t="s">
        <v>45</v>
      </c>
      <c r="J771" s="28" t="s">
        <v>1047</v>
      </c>
      <c r="K771" s="27" t="s">
        <v>45</v>
      </c>
      <c r="L771" s="27" t="s">
        <v>77</v>
      </c>
    </row>
    <row r="772" customFormat="false" ht="15" hidden="false" customHeight="false" outlineLevel="0" collapsed="false">
      <c r="A772" s="26" t="s">
        <v>2976</v>
      </c>
      <c r="B772" s="27" t="s">
        <v>2977</v>
      </c>
      <c r="C772" s="27" t="s">
        <v>100</v>
      </c>
      <c r="D772" s="26" t="s">
        <v>2226</v>
      </c>
      <c r="E772" s="27" t="s">
        <v>2227</v>
      </c>
      <c r="F772" s="28" t="s">
        <v>140</v>
      </c>
      <c r="G772" s="27" t="s">
        <v>2107</v>
      </c>
      <c r="H772" s="27" t="s">
        <v>56</v>
      </c>
      <c r="I772" s="27" t="s">
        <v>45</v>
      </c>
      <c r="J772" s="28" t="s">
        <v>1047</v>
      </c>
      <c r="K772" s="27" t="s">
        <v>45</v>
      </c>
      <c r="L772" s="27" t="s">
        <v>77</v>
      </c>
    </row>
    <row r="773" customFormat="false" ht="15" hidden="false" customHeight="false" outlineLevel="0" collapsed="false">
      <c r="A773" s="26" t="s">
        <v>2978</v>
      </c>
      <c r="B773" s="27" t="s">
        <v>2979</v>
      </c>
      <c r="C773" s="27" t="s">
        <v>100</v>
      </c>
      <c r="D773" s="26" t="s">
        <v>2980</v>
      </c>
      <c r="E773" s="27" t="s">
        <v>2981</v>
      </c>
      <c r="F773" s="28" t="s">
        <v>140</v>
      </c>
      <c r="G773" s="27" t="s">
        <v>2107</v>
      </c>
      <c r="H773" s="27" t="s">
        <v>56</v>
      </c>
      <c r="I773" s="27" t="s">
        <v>45</v>
      </c>
      <c r="J773" s="28" t="s">
        <v>1047</v>
      </c>
      <c r="K773" s="27" t="s">
        <v>45</v>
      </c>
      <c r="L773" s="27" t="s">
        <v>77</v>
      </c>
    </row>
    <row r="774" customFormat="false" ht="15" hidden="false" customHeight="false" outlineLevel="0" collapsed="false">
      <c r="A774" s="26" t="s">
        <v>2982</v>
      </c>
      <c r="B774" s="27" t="s">
        <v>2983</v>
      </c>
      <c r="C774" s="27" t="s">
        <v>100</v>
      </c>
      <c r="D774" s="26" t="s">
        <v>2984</v>
      </c>
      <c r="E774" s="27" t="s">
        <v>2985</v>
      </c>
      <c r="F774" s="28" t="s">
        <v>140</v>
      </c>
      <c r="G774" s="27" t="s">
        <v>2107</v>
      </c>
      <c r="H774" s="27" t="s">
        <v>56</v>
      </c>
      <c r="I774" s="27" t="s">
        <v>45</v>
      </c>
      <c r="J774" s="28" t="s">
        <v>1047</v>
      </c>
      <c r="K774" s="27" t="s">
        <v>45</v>
      </c>
      <c r="L774" s="27" t="s">
        <v>77</v>
      </c>
    </row>
    <row r="775" customFormat="false" ht="15" hidden="false" customHeight="false" outlineLevel="0" collapsed="false">
      <c r="A775" s="26" t="s">
        <v>2986</v>
      </c>
      <c r="B775" s="27" t="s">
        <v>2987</v>
      </c>
      <c r="C775" s="27" t="s">
        <v>100</v>
      </c>
      <c r="D775" s="26" t="s">
        <v>2892</v>
      </c>
      <c r="E775" s="27" t="s">
        <v>2893</v>
      </c>
      <c r="F775" s="28" t="s">
        <v>146</v>
      </c>
      <c r="G775" s="27" t="s">
        <v>2107</v>
      </c>
      <c r="H775" s="27" t="s">
        <v>56</v>
      </c>
      <c r="I775" s="27" t="s">
        <v>45</v>
      </c>
      <c r="J775" s="28" t="s">
        <v>1047</v>
      </c>
      <c r="K775" s="27" t="s">
        <v>45</v>
      </c>
      <c r="L775" s="27" t="s">
        <v>1876</v>
      </c>
    </row>
    <row r="776" customFormat="false" ht="15" hidden="false" customHeight="false" outlineLevel="0" collapsed="false">
      <c r="A776" s="26" t="s">
        <v>2988</v>
      </c>
      <c r="B776" s="27" t="s">
        <v>2989</v>
      </c>
      <c r="C776" s="27" t="s">
        <v>100</v>
      </c>
      <c r="D776" s="26" t="s">
        <v>2990</v>
      </c>
      <c r="E776" s="27" t="s">
        <v>2991</v>
      </c>
      <c r="F776" s="28" t="s">
        <v>146</v>
      </c>
      <c r="G776" s="27" t="s">
        <v>2107</v>
      </c>
      <c r="H776" s="27" t="s">
        <v>56</v>
      </c>
      <c r="I776" s="27" t="s">
        <v>45</v>
      </c>
      <c r="J776" s="28" t="s">
        <v>1047</v>
      </c>
      <c r="K776" s="27" t="s">
        <v>45</v>
      </c>
      <c r="L776" s="27" t="s">
        <v>1876</v>
      </c>
    </row>
    <row r="777" customFormat="false" ht="15" hidden="false" customHeight="false" outlineLevel="0" collapsed="false">
      <c r="A777" s="26" t="s">
        <v>2992</v>
      </c>
      <c r="B777" s="27" t="s">
        <v>2993</v>
      </c>
      <c r="C777" s="27" t="s">
        <v>100</v>
      </c>
      <c r="D777" s="26" t="s">
        <v>2230</v>
      </c>
      <c r="E777" s="27" t="s">
        <v>2231</v>
      </c>
      <c r="F777" s="28" t="s">
        <v>2232</v>
      </c>
      <c r="G777" s="27" t="s">
        <v>2107</v>
      </c>
      <c r="H777" s="27" t="s">
        <v>56</v>
      </c>
      <c r="I777" s="27" t="s">
        <v>45</v>
      </c>
      <c r="J777" s="28" t="s">
        <v>1047</v>
      </c>
      <c r="K777" s="27" t="s">
        <v>45</v>
      </c>
      <c r="L777" s="27" t="s">
        <v>2925</v>
      </c>
    </row>
    <row r="778" customFormat="false" ht="15" hidden="false" customHeight="false" outlineLevel="0" collapsed="false">
      <c r="A778" s="26" t="s">
        <v>2994</v>
      </c>
      <c r="B778" s="27" t="s">
        <v>2995</v>
      </c>
      <c r="C778" s="27" t="s">
        <v>144</v>
      </c>
      <c r="D778" s="26" t="s">
        <v>2996</v>
      </c>
      <c r="E778" s="27" t="s">
        <v>2997</v>
      </c>
      <c r="F778" s="28" t="s">
        <v>2998</v>
      </c>
      <c r="G778" s="27" t="s">
        <v>2107</v>
      </c>
      <c r="H778" s="27" t="s">
        <v>57</v>
      </c>
      <c r="I778" s="27" t="s">
        <v>49</v>
      </c>
      <c r="J778" s="28" t="s">
        <v>1047</v>
      </c>
      <c r="K778" s="27" t="s">
        <v>45</v>
      </c>
      <c r="L778" s="27" t="s">
        <v>2999</v>
      </c>
    </row>
    <row r="779" customFormat="false" ht="15" hidden="false" customHeight="false" outlineLevel="0" collapsed="false">
      <c r="A779" s="26" t="s">
        <v>3000</v>
      </c>
      <c r="B779" s="27" t="s">
        <v>3001</v>
      </c>
      <c r="C779" s="27" t="s">
        <v>144</v>
      </c>
      <c r="D779" s="26" t="s">
        <v>3002</v>
      </c>
      <c r="E779" s="27" t="s">
        <v>3003</v>
      </c>
      <c r="F779" s="28" t="s">
        <v>2998</v>
      </c>
      <c r="G779" s="27" t="s">
        <v>2107</v>
      </c>
      <c r="H779" s="27" t="s">
        <v>57</v>
      </c>
      <c r="I779" s="27" t="s">
        <v>49</v>
      </c>
      <c r="J779" s="28" t="s">
        <v>1047</v>
      </c>
      <c r="K779" s="27" t="s">
        <v>45</v>
      </c>
      <c r="L779" s="27" t="s">
        <v>2999</v>
      </c>
    </row>
    <row r="780" customFormat="false" ht="15" hidden="false" customHeight="false" outlineLevel="0" collapsed="false">
      <c r="A780" s="26" t="s">
        <v>3004</v>
      </c>
      <c r="B780" s="27" t="s">
        <v>3005</v>
      </c>
      <c r="C780" s="27" t="s">
        <v>144</v>
      </c>
      <c r="D780" s="26" t="s">
        <v>3006</v>
      </c>
      <c r="E780" s="27" t="s">
        <v>3007</v>
      </c>
      <c r="F780" s="28" t="s">
        <v>1090</v>
      </c>
      <c r="G780" s="27" t="s">
        <v>2107</v>
      </c>
      <c r="H780" s="27" t="s">
        <v>57</v>
      </c>
      <c r="I780" s="27" t="s">
        <v>44</v>
      </c>
      <c r="J780" s="28" t="s">
        <v>1047</v>
      </c>
      <c r="K780" s="27" t="s">
        <v>45</v>
      </c>
      <c r="L780" s="27" t="s">
        <v>1908</v>
      </c>
    </row>
    <row r="781" customFormat="false" ht="15" hidden="false" customHeight="false" outlineLevel="0" collapsed="false">
      <c r="A781" s="26" t="s">
        <v>3008</v>
      </c>
      <c r="B781" s="27" t="s">
        <v>3009</v>
      </c>
      <c r="C781" s="27" t="s">
        <v>2041</v>
      </c>
      <c r="D781" s="26" t="s">
        <v>3010</v>
      </c>
      <c r="E781" s="27" t="s">
        <v>3011</v>
      </c>
      <c r="F781" s="28" t="s">
        <v>146</v>
      </c>
      <c r="G781" s="27" t="s">
        <v>2107</v>
      </c>
      <c r="H781" s="27" t="s">
        <v>57</v>
      </c>
      <c r="I781" s="27" t="s">
        <v>39</v>
      </c>
      <c r="J781" s="28" t="s">
        <v>1047</v>
      </c>
      <c r="K781" s="27" t="s">
        <v>45</v>
      </c>
      <c r="L781" s="27" t="s">
        <v>2260</v>
      </c>
    </row>
    <row r="782" customFormat="false" ht="15" hidden="false" customHeight="false" outlineLevel="0" collapsed="false">
      <c r="A782" s="26" t="s">
        <v>3012</v>
      </c>
      <c r="B782" s="27" t="s">
        <v>3013</v>
      </c>
      <c r="C782" s="27" t="s">
        <v>1990</v>
      </c>
      <c r="D782" s="26" t="s">
        <v>3014</v>
      </c>
      <c r="E782" s="27" t="s">
        <v>3015</v>
      </c>
      <c r="F782" s="28" t="s">
        <v>146</v>
      </c>
      <c r="G782" s="27" t="s">
        <v>2107</v>
      </c>
      <c r="H782" s="27" t="s">
        <v>57</v>
      </c>
      <c r="I782" s="27" t="s">
        <v>39</v>
      </c>
      <c r="J782" s="28" t="s">
        <v>1047</v>
      </c>
      <c r="K782" s="27" t="s">
        <v>45</v>
      </c>
      <c r="L782" s="27" t="s">
        <v>3016</v>
      </c>
    </row>
    <row r="783" customFormat="false" ht="15" hidden="false" customHeight="false" outlineLevel="0" collapsed="false">
      <c r="A783" s="26" t="s">
        <v>3017</v>
      </c>
      <c r="B783" s="27" t="s">
        <v>3018</v>
      </c>
      <c r="C783" s="27" t="s">
        <v>144</v>
      </c>
      <c r="D783" s="26" t="s">
        <v>3019</v>
      </c>
      <c r="E783" s="27" t="s">
        <v>3020</v>
      </c>
      <c r="F783" s="28" t="s">
        <v>1190</v>
      </c>
      <c r="G783" s="27" t="s">
        <v>2107</v>
      </c>
      <c r="H783" s="27" t="s">
        <v>57</v>
      </c>
      <c r="I783" s="27" t="s">
        <v>37</v>
      </c>
      <c r="J783" s="28" t="s">
        <v>1047</v>
      </c>
      <c r="K783" s="27" t="s">
        <v>45</v>
      </c>
      <c r="L783" s="27" t="s">
        <v>81</v>
      </c>
    </row>
    <row r="784" customFormat="false" ht="15" hidden="false" customHeight="false" outlineLevel="0" collapsed="false">
      <c r="A784" s="26" t="s">
        <v>3021</v>
      </c>
      <c r="B784" s="27" t="s">
        <v>3022</v>
      </c>
      <c r="C784" s="27" t="s">
        <v>137</v>
      </c>
      <c r="D784" s="26" t="s">
        <v>3023</v>
      </c>
      <c r="E784" s="27" t="s">
        <v>3024</v>
      </c>
      <c r="F784" s="28" t="s">
        <v>146</v>
      </c>
      <c r="G784" s="27" t="s">
        <v>2107</v>
      </c>
      <c r="H784" s="27" t="s">
        <v>57</v>
      </c>
      <c r="I784" s="27" t="s">
        <v>38</v>
      </c>
      <c r="J784" s="28" t="s">
        <v>1047</v>
      </c>
      <c r="K784" s="27" t="s">
        <v>45</v>
      </c>
      <c r="L784" s="27" t="s">
        <v>80</v>
      </c>
    </row>
    <row r="785" customFormat="false" ht="15" hidden="false" customHeight="false" outlineLevel="0" collapsed="false">
      <c r="A785" s="26" t="s">
        <v>3025</v>
      </c>
      <c r="B785" s="27" t="s">
        <v>3026</v>
      </c>
      <c r="C785" s="27" t="s">
        <v>370</v>
      </c>
      <c r="D785" s="26" t="s">
        <v>3027</v>
      </c>
      <c r="E785" s="27" t="s">
        <v>3028</v>
      </c>
      <c r="F785" s="28" t="s">
        <v>146</v>
      </c>
      <c r="G785" s="27" t="s">
        <v>2107</v>
      </c>
      <c r="H785" s="27" t="s">
        <v>57</v>
      </c>
      <c r="I785" s="27" t="s">
        <v>37</v>
      </c>
      <c r="J785" s="28" t="s">
        <v>1047</v>
      </c>
      <c r="K785" s="27" t="s">
        <v>45</v>
      </c>
      <c r="L785" s="27" t="s">
        <v>76</v>
      </c>
    </row>
    <row r="786" customFormat="false" ht="15" hidden="false" customHeight="false" outlineLevel="0" collapsed="false">
      <c r="A786" s="26" t="s">
        <v>3029</v>
      </c>
      <c r="B786" s="27" t="s">
        <v>3030</v>
      </c>
      <c r="C786" s="27" t="s">
        <v>1527</v>
      </c>
      <c r="D786" s="26" t="s">
        <v>3031</v>
      </c>
      <c r="E786" s="27" t="s">
        <v>3032</v>
      </c>
      <c r="F786" s="28" t="s">
        <v>146</v>
      </c>
      <c r="G786" s="27" t="s">
        <v>2107</v>
      </c>
      <c r="H786" s="27" t="s">
        <v>57</v>
      </c>
      <c r="I786" s="27" t="s">
        <v>47</v>
      </c>
      <c r="J786" s="28" t="s">
        <v>1047</v>
      </c>
      <c r="K786" s="27" t="s">
        <v>45</v>
      </c>
      <c r="L786" s="27" t="s">
        <v>1895</v>
      </c>
    </row>
    <row r="787" customFormat="false" ht="15" hidden="false" customHeight="false" outlineLevel="0" collapsed="false">
      <c r="A787" s="26" t="s">
        <v>3033</v>
      </c>
      <c r="B787" s="27" t="s">
        <v>3034</v>
      </c>
      <c r="C787" s="27" t="s">
        <v>370</v>
      </c>
      <c r="D787" s="26" t="s">
        <v>3035</v>
      </c>
      <c r="E787" s="27" t="s">
        <v>3036</v>
      </c>
      <c r="F787" s="28" t="s">
        <v>146</v>
      </c>
      <c r="G787" s="27" t="s">
        <v>2107</v>
      </c>
      <c r="H787" s="27" t="s">
        <v>57</v>
      </c>
      <c r="I787" s="28" t="s">
        <v>46</v>
      </c>
      <c r="J787" s="28" t="s">
        <v>1047</v>
      </c>
      <c r="K787" s="27" t="s">
        <v>45</v>
      </c>
      <c r="L787" s="27" t="s">
        <v>76</v>
      </c>
    </row>
    <row r="788" customFormat="false" ht="15" hidden="false" customHeight="false" outlineLevel="0" collapsed="false">
      <c r="A788" s="26" t="s">
        <v>3037</v>
      </c>
      <c r="B788" s="27" t="s">
        <v>3038</v>
      </c>
      <c r="C788" s="27" t="s">
        <v>370</v>
      </c>
      <c r="D788" s="26" t="s">
        <v>3039</v>
      </c>
      <c r="E788" s="27" t="s">
        <v>3040</v>
      </c>
      <c r="F788" s="28" t="s">
        <v>146</v>
      </c>
      <c r="G788" s="27" t="s">
        <v>2107</v>
      </c>
      <c r="H788" s="27" t="s">
        <v>57</v>
      </c>
      <c r="I788" s="28" t="s">
        <v>50</v>
      </c>
      <c r="J788" s="28" t="s">
        <v>1047</v>
      </c>
      <c r="K788" s="27" t="s">
        <v>45</v>
      </c>
      <c r="L788" s="27" t="s">
        <v>76</v>
      </c>
    </row>
    <row r="789" customFormat="false" ht="15" hidden="false" customHeight="false" outlineLevel="0" collapsed="false">
      <c r="A789" s="26" t="s">
        <v>3041</v>
      </c>
      <c r="B789" s="27" t="s">
        <v>3042</v>
      </c>
      <c r="C789" s="27" t="s">
        <v>3043</v>
      </c>
      <c r="D789" s="26" t="s">
        <v>3044</v>
      </c>
      <c r="E789" s="27" t="s">
        <v>3045</v>
      </c>
      <c r="F789" s="28" t="s">
        <v>102</v>
      </c>
      <c r="G789" s="27" t="s">
        <v>2107</v>
      </c>
      <c r="H789" s="27" t="s">
        <v>56</v>
      </c>
      <c r="I789" s="27" t="s">
        <v>44</v>
      </c>
      <c r="J789" s="28" t="s">
        <v>1907</v>
      </c>
      <c r="K789" s="27" t="s">
        <v>44</v>
      </c>
      <c r="L789" s="27" t="s">
        <v>3046</v>
      </c>
    </row>
    <row r="790" customFormat="false" ht="15" hidden="false" customHeight="false" outlineLevel="0" collapsed="false">
      <c r="A790" s="26" t="s">
        <v>3047</v>
      </c>
      <c r="B790" s="27" t="s">
        <v>3048</v>
      </c>
      <c r="C790" s="27" t="s">
        <v>3049</v>
      </c>
      <c r="D790" s="26" t="s">
        <v>3044</v>
      </c>
      <c r="E790" s="27" t="s">
        <v>3045</v>
      </c>
      <c r="F790" s="28" t="s">
        <v>102</v>
      </c>
      <c r="G790" s="27" t="s">
        <v>2107</v>
      </c>
      <c r="H790" s="27" t="s">
        <v>56</v>
      </c>
      <c r="I790" s="27" t="s">
        <v>44</v>
      </c>
      <c r="J790" s="28" t="s">
        <v>1907</v>
      </c>
      <c r="K790" s="27" t="s">
        <v>44</v>
      </c>
      <c r="L790" s="27" t="s">
        <v>3050</v>
      </c>
    </row>
    <row r="791" customFormat="false" ht="15" hidden="false" customHeight="false" outlineLevel="0" collapsed="false">
      <c r="A791" s="26" t="s">
        <v>3051</v>
      </c>
      <c r="B791" s="27" t="s">
        <v>3052</v>
      </c>
      <c r="C791" s="27" t="s">
        <v>3053</v>
      </c>
      <c r="D791" s="26" t="s">
        <v>3054</v>
      </c>
      <c r="E791" s="27" t="s">
        <v>3055</v>
      </c>
      <c r="F791" s="28" t="s">
        <v>102</v>
      </c>
      <c r="G791" s="27" t="s">
        <v>2107</v>
      </c>
      <c r="H791" s="27" t="s">
        <v>56</v>
      </c>
      <c r="I791" s="27" t="s">
        <v>44</v>
      </c>
      <c r="J791" s="28" t="s">
        <v>1080</v>
      </c>
      <c r="K791" s="27" t="s">
        <v>44</v>
      </c>
      <c r="L791" s="27" t="s">
        <v>3056</v>
      </c>
    </row>
    <row r="792" customFormat="false" ht="15" hidden="false" customHeight="false" outlineLevel="0" collapsed="false">
      <c r="A792" s="26" t="s">
        <v>3057</v>
      </c>
      <c r="B792" s="27" t="s">
        <v>3058</v>
      </c>
      <c r="C792" s="27" t="s">
        <v>3053</v>
      </c>
      <c r="D792" s="26" t="s">
        <v>3059</v>
      </c>
      <c r="E792" s="27" t="s">
        <v>3060</v>
      </c>
      <c r="F792" s="28" t="s">
        <v>102</v>
      </c>
      <c r="G792" s="27" t="s">
        <v>2107</v>
      </c>
      <c r="H792" s="27" t="s">
        <v>56</v>
      </c>
      <c r="I792" s="27" t="s">
        <v>44</v>
      </c>
      <c r="J792" s="28" t="s">
        <v>1080</v>
      </c>
      <c r="K792" s="27" t="s">
        <v>44</v>
      </c>
      <c r="L792" s="27" t="s">
        <v>3056</v>
      </c>
    </row>
    <row r="793" customFormat="false" ht="15" hidden="false" customHeight="false" outlineLevel="0" collapsed="false">
      <c r="A793" s="26" t="s">
        <v>3061</v>
      </c>
      <c r="B793" s="27" t="s">
        <v>3062</v>
      </c>
      <c r="C793" s="27" t="s">
        <v>3053</v>
      </c>
      <c r="D793" s="26" t="s">
        <v>3063</v>
      </c>
      <c r="E793" s="27" t="s">
        <v>3064</v>
      </c>
      <c r="F793" s="28" t="s">
        <v>102</v>
      </c>
      <c r="G793" s="27" t="s">
        <v>2107</v>
      </c>
      <c r="H793" s="27" t="s">
        <v>56</v>
      </c>
      <c r="I793" s="27" t="s">
        <v>44</v>
      </c>
      <c r="J793" s="28" t="s">
        <v>1080</v>
      </c>
      <c r="K793" s="27" t="s">
        <v>44</v>
      </c>
      <c r="L793" s="27" t="s">
        <v>3056</v>
      </c>
    </row>
    <row r="794" customFormat="false" ht="15" hidden="false" customHeight="false" outlineLevel="0" collapsed="false">
      <c r="A794" s="26" t="s">
        <v>3065</v>
      </c>
      <c r="B794" s="27" t="s">
        <v>3066</v>
      </c>
      <c r="C794" s="27" t="s">
        <v>100</v>
      </c>
      <c r="D794" s="26" t="s">
        <v>3067</v>
      </c>
      <c r="E794" s="27" t="s">
        <v>3068</v>
      </c>
      <c r="F794" s="28" t="s">
        <v>134</v>
      </c>
      <c r="G794" s="27" t="s">
        <v>2107</v>
      </c>
      <c r="H794" s="27" t="s">
        <v>57</v>
      </c>
      <c r="I794" s="27" t="s">
        <v>49</v>
      </c>
      <c r="J794" s="28" t="s">
        <v>1080</v>
      </c>
      <c r="K794" s="27" t="s">
        <v>44</v>
      </c>
      <c r="L794" s="27" t="s">
        <v>1804</v>
      </c>
    </row>
    <row r="795" customFormat="false" ht="15" hidden="false" customHeight="false" outlineLevel="0" collapsed="false">
      <c r="A795" s="26" t="s">
        <v>3069</v>
      </c>
      <c r="B795" s="27" t="s">
        <v>3070</v>
      </c>
      <c r="C795" s="27" t="s">
        <v>100</v>
      </c>
      <c r="D795" s="26" t="s">
        <v>3071</v>
      </c>
      <c r="E795" s="27" t="s">
        <v>3072</v>
      </c>
      <c r="F795" s="28" t="s">
        <v>146</v>
      </c>
      <c r="G795" s="27" t="s">
        <v>2107</v>
      </c>
      <c r="H795" s="27" t="s">
        <v>57</v>
      </c>
      <c r="I795" s="27" t="s">
        <v>41</v>
      </c>
      <c r="J795" s="28" t="s">
        <v>1080</v>
      </c>
      <c r="K795" s="27" t="s">
        <v>44</v>
      </c>
      <c r="L795" s="27" t="s">
        <v>1876</v>
      </c>
    </row>
    <row r="796" customFormat="false" ht="15" hidden="false" customHeight="false" outlineLevel="0" collapsed="false">
      <c r="A796" s="26" t="s">
        <v>3073</v>
      </c>
      <c r="B796" s="27" t="s">
        <v>3074</v>
      </c>
      <c r="C796" s="27" t="s">
        <v>100</v>
      </c>
      <c r="D796" s="26" t="s">
        <v>3071</v>
      </c>
      <c r="E796" s="27" t="s">
        <v>3072</v>
      </c>
      <c r="F796" s="28" t="s">
        <v>146</v>
      </c>
      <c r="G796" s="27" t="s">
        <v>2107</v>
      </c>
      <c r="H796" s="27" t="s">
        <v>57</v>
      </c>
      <c r="I796" s="27" t="s">
        <v>41</v>
      </c>
      <c r="J796" s="28" t="s">
        <v>1080</v>
      </c>
      <c r="K796" s="27" t="s">
        <v>44</v>
      </c>
      <c r="L796" s="27" t="s">
        <v>1876</v>
      </c>
    </row>
    <row r="797" customFormat="false" ht="15" hidden="false" customHeight="false" outlineLevel="0" collapsed="false">
      <c r="A797" s="26" t="s">
        <v>3075</v>
      </c>
      <c r="B797" s="27" t="s">
        <v>3076</v>
      </c>
      <c r="C797" s="27" t="s">
        <v>131</v>
      </c>
      <c r="D797" s="26" t="s">
        <v>3077</v>
      </c>
      <c r="E797" s="27" t="s">
        <v>3078</v>
      </c>
      <c r="F797" s="28" t="s">
        <v>102</v>
      </c>
      <c r="G797" s="27" t="s">
        <v>2107</v>
      </c>
      <c r="H797" s="27" t="s">
        <v>56</v>
      </c>
      <c r="I797" s="27" t="s">
        <v>44</v>
      </c>
      <c r="J797" s="28" t="s">
        <v>1080</v>
      </c>
      <c r="K797" s="27" t="s">
        <v>44</v>
      </c>
      <c r="L797" s="27" t="s">
        <v>1916</v>
      </c>
    </row>
    <row r="798" customFormat="false" ht="15" hidden="false" customHeight="false" outlineLevel="0" collapsed="false">
      <c r="A798" s="26" t="s">
        <v>3079</v>
      </c>
      <c r="B798" s="27" t="s">
        <v>3080</v>
      </c>
      <c r="C798" s="27" t="s">
        <v>131</v>
      </c>
      <c r="D798" s="26" t="s">
        <v>3081</v>
      </c>
      <c r="E798" s="27" t="s">
        <v>3082</v>
      </c>
      <c r="F798" s="28" t="s">
        <v>102</v>
      </c>
      <c r="G798" s="27" t="s">
        <v>2107</v>
      </c>
      <c r="H798" s="27" t="s">
        <v>56</v>
      </c>
      <c r="I798" s="27" t="s">
        <v>44</v>
      </c>
      <c r="J798" s="28" t="s">
        <v>1080</v>
      </c>
      <c r="K798" s="27" t="s">
        <v>44</v>
      </c>
      <c r="L798" s="27" t="s">
        <v>1916</v>
      </c>
    </row>
    <row r="799" customFormat="false" ht="15" hidden="false" customHeight="false" outlineLevel="0" collapsed="false">
      <c r="A799" s="26" t="s">
        <v>3083</v>
      </c>
      <c r="B799" s="27" t="s">
        <v>3084</v>
      </c>
      <c r="C799" s="27" t="s">
        <v>100</v>
      </c>
      <c r="D799" s="26" t="s">
        <v>3071</v>
      </c>
      <c r="E799" s="27" t="s">
        <v>3072</v>
      </c>
      <c r="F799" s="28" t="s">
        <v>146</v>
      </c>
      <c r="G799" s="27" t="s">
        <v>2107</v>
      </c>
      <c r="H799" s="27" t="s">
        <v>57</v>
      </c>
      <c r="I799" s="27" t="s">
        <v>41</v>
      </c>
      <c r="J799" s="28" t="s">
        <v>1080</v>
      </c>
      <c r="K799" s="27" t="s">
        <v>44</v>
      </c>
      <c r="L799" s="27" t="s">
        <v>1876</v>
      </c>
    </row>
    <row r="800" customFormat="false" ht="15" hidden="false" customHeight="false" outlineLevel="0" collapsed="false">
      <c r="A800" s="26" t="s">
        <v>3085</v>
      </c>
      <c r="B800" s="27" t="s">
        <v>3086</v>
      </c>
      <c r="C800" s="27" t="s">
        <v>1087</v>
      </c>
      <c r="D800" s="26" t="s">
        <v>3087</v>
      </c>
      <c r="E800" s="27" t="s">
        <v>3088</v>
      </c>
      <c r="F800" s="28" t="s">
        <v>146</v>
      </c>
      <c r="G800" s="27" t="s">
        <v>2107</v>
      </c>
      <c r="H800" s="27" t="s">
        <v>56</v>
      </c>
      <c r="I800" s="27" t="s">
        <v>44</v>
      </c>
      <c r="J800" s="28" t="s">
        <v>1080</v>
      </c>
      <c r="K800" s="27" t="s">
        <v>44</v>
      </c>
      <c r="L800" s="27" t="s">
        <v>2578</v>
      </c>
    </row>
    <row r="801" customFormat="false" ht="15" hidden="false" customHeight="false" outlineLevel="0" collapsed="false">
      <c r="A801" s="26" t="s">
        <v>3089</v>
      </c>
      <c r="B801" s="27" t="s">
        <v>3090</v>
      </c>
      <c r="C801" s="27" t="s">
        <v>370</v>
      </c>
      <c r="D801" s="26" t="s">
        <v>3091</v>
      </c>
      <c r="E801" s="27" t="s">
        <v>3092</v>
      </c>
      <c r="F801" s="28" t="s">
        <v>146</v>
      </c>
      <c r="G801" s="27" t="s">
        <v>2107</v>
      </c>
      <c r="H801" s="27" t="s">
        <v>57</v>
      </c>
      <c r="I801" s="28" t="s">
        <v>46</v>
      </c>
      <c r="J801" s="28" t="s">
        <v>1106</v>
      </c>
      <c r="K801" s="27" t="s">
        <v>40</v>
      </c>
      <c r="L801" s="27" t="s">
        <v>76</v>
      </c>
    </row>
    <row r="802" customFormat="false" ht="15" hidden="false" customHeight="false" outlineLevel="0" collapsed="false">
      <c r="A802" s="26" t="s">
        <v>3093</v>
      </c>
      <c r="B802" s="27" t="s">
        <v>3094</v>
      </c>
      <c r="C802" s="27" t="s">
        <v>370</v>
      </c>
      <c r="D802" s="26" t="s">
        <v>3095</v>
      </c>
      <c r="E802" s="27" t="s">
        <v>3096</v>
      </c>
      <c r="F802" s="28" t="s">
        <v>146</v>
      </c>
      <c r="G802" s="27" t="s">
        <v>2107</v>
      </c>
      <c r="H802" s="27" t="s">
        <v>56</v>
      </c>
      <c r="I802" s="27" t="s">
        <v>40</v>
      </c>
      <c r="J802" s="28" t="s">
        <v>1106</v>
      </c>
      <c r="K802" s="27" t="s">
        <v>40</v>
      </c>
      <c r="L802" s="27" t="s">
        <v>76</v>
      </c>
    </row>
    <row r="803" customFormat="false" ht="15" hidden="false" customHeight="false" outlineLevel="0" collapsed="false">
      <c r="A803" s="26" t="s">
        <v>3097</v>
      </c>
      <c r="B803" s="27" t="s">
        <v>3098</v>
      </c>
      <c r="C803" s="27" t="s">
        <v>144</v>
      </c>
      <c r="D803" s="26" t="s">
        <v>3099</v>
      </c>
      <c r="E803" s="27" t="s">
        <v>3100</v>
      </c>
      <c r="F803" s="28" t="s">
        <v>373</v>
      </c>
      <c r="G803" s="27" t="s">
        <v>2107</v>
      </c>
      <c r="H803" s="27" t="s">
        <v>56</v>
      </c>
      <c r="I803" s="27" t="s">
        <v>40</v>
      </c>
      <c r="J803" s="28" t="s">
        <v>1106</v>
      </c>
      <c r="K803" s="27" t="s">
        <v>40</v>
      </c>
      <c r="L803" s="27" t="s">
        <v>74</v>
      </c>
    </row>
    <row r="804" customFormat="false" ht="15" hidden="false" customHeight="false" outlineLevel="0" collapsed="false">
      <c r="A804" s="26" t="s">
        <v>3101</v>
      </c>
      <c r="B804" s="27" t="s">
        <v>3102</v>
      </c>
      <c r="C804" s="27" t="s">
        <v>3103</v>
      </c>
      <c r="D804" s="26" t="s">
        <v>3104</v>
      </c>
      <c r="E804" s="27" t="s">
        <v>3105</v>
      </c>
      <c r="F804" s="28" t="s">
        <v>146</v>
      </c>
      <c r="G804" s="27" t="s">
        <v>2107</v>
      </c>
      <c r="H804" s="27" t="s">
        <v>57</v>
      </c>
      <c r="I804" s="28" t="s">
        <v>46</v>
      </c>
      <c r="J804" s="28" t="s">
        <v>1106</v>
      </c>
      <c r="K804" s="27" t="s">
        <v>40</v>
      </c>
      <c r="L804" s="27" t="s">
        <v>3106</v>
      </c>
    </row>
    <row r="805" customFormat="false" ht="15" hidden="false" customHeight="false" outlineLevel="0" collapsed="false">
      <c r="A805" s="26" t="s">
        <v>3107</v>
      </c>
      <c r="B805" s="27" t="s">
        <v>3108</v>
      </c>
      <c r="C805" s="27" t="s">
        <v>3103</v>
      </c>
      <c r="D805" s="26" t="s">
        <v>3104</v>
      </c>
      <c r="E805" s="27" t="s">
        <v>3105</v>
      </c>
      <c r="F805" s="28" t="s">
        <v>146</v>
      </c>
      <c r="G805" s="27" t="s">
        <v>2107</v>
      </c>
      <c r="H805" s="27" t="s">
        <v>57</v>
      </c>
      <c r="I805" s="28" t="s">
        <v>46</v>
      </c>
      <c r="J805" s="28" t="s">
        <v>1106</v>
      </c>
      <c r="K805" s="27" t="s">
        <v>40</v>
      </c>
      <c r="L805" s="27" t="s">
        <v>3106</v>
      </c>
    </row>
    <row r="806" customFormat="false" ht="15" hidden="false" customHeight="false" outlineLevel="0" collapsed="false">
      <c r="A806" s="26" t="s">
        <v>3109</v>
      </c>
      <c r="B806" s="27" t="s">
        <v>3110</v>
      </c>
      <c r="C806" s="27" t="s">
        <v>1990</v>
      </c>
      <c r="D806" s="26" t="s">
        <v>3014</v>
      </c>
      <c r="E806" s="27" t="s">
        <v>3015</v>
      </c>
      <c r="F806" s="28" t="s">
        <v>146</v>
      </c>
      <c r="G806" s="27" t="s">
        <v>2107</v>
      </c>
      <c r="H806" s="27" t="s">
        <v>57</v>
      </c>
      <c r="I806" s="27" t="s">
        <v>39</v>
      </c>
      <c r="J806" s="28" t="s">
        <v>1106</v>
      </c>
      <c r="K806" s="27" t="s">
        <v>40</v>
      </c>
      <c r="L806" s="27" t="s">
        <v>3016</v>
      </c>
    </row>
    <row r="807" customFormat="false" ht="15" hidden="false" customHeight="false" outlineLevel="0" collapsed="false">
      <c r="A807" s="26" t="s">
        <v>3111</v>
      </c>
      <c r="B807" s="27" t="s">
        <v>3112</v>
      </c>
      <c r="C807" s="27" t="s">
        <v>137</v>
      </c>
      <c r="D807" s="26" t="s">
        <v>3113</v>
      </c>
      <c r="E807" s="27" t="s">
        <v>3114</v>
      </c>
      <c r="F807" s="28" t="s">
        <v>146</v>
      </c>
      <c r="G807" s="27" t="s">
        <v>2107</v>
      </c>
      <c r="H807" s="27" t="s">
        <v>56</v>
      </c>
      <c r="I807" s="27" t="s">
        <v>44</v>
      </c>
      <c r="J807" s="28" t="s">
        <v>3115</v>
      </c>
      <c r="K807" s="27" t="s">
        <v>44</v>
      </c>
      <c r="L807" s="27" t="s">
        <v>80</v>
      </c>
    </row>
    <row r="808" customFormat="false" ht="15" hidden="false" customHeight="false" outlineLevel="0" collapsed="false">
      <c r="A808" s="26" t="s">
        <v>3116</v>
      </c>
      <c r="B808" s="27" t="s">
        <v>3117</v>
      </c>
      <c r="C808" s="27" t="s">
        <v>137</v>
      </c>
      <c r="D808" s="26" t="s">
        <v>3118</v>
      </c>
      <c r="E808" s="27" t="s">
        <v>3119</v>
      </c>
      <c r="F808" s="28" t="s">
        <v>146</v>
      </c>
      <c r="G808" s="27" t="s">
        <v>2107</v>
      </c>
      <c r="H808" s="27" t="s">
        <v>56</v>
      </c>
      <c r="I808" s="27" t="s">
        <v>44</v>
      </c>
      <c r="J808" s="28" t="s">
        <v>3115</v>
      </c>
      <c r="K808" s="27" t="s">
        <v>44</v>
      </c>
      <c r="L808" s="27" t="s">
        <v>80</v>
      </c>
    </row>
    <row r="809" customFormat="false" ht="15" hidden="false" customHeight="false" outlineLevel="0" collapsed="false">
      <c r="A809" s="26" t="s">
        <v>3120</v>
      </c>
      <c r="B809" s="27" t="s">
        <v>3121</v>
      </c>
      <c r="C809" s="27" t="s">
        <v>137</v>
      </c>
      <c r="D809" s="26" t="s">
        <v>3122</v>
      </c>
      <c r="E809" s="27" t="s">
        <v>3123</v>
      </c>
      <c r="F809" s="28" t="s">
        <v>146</v>
      </c>
      <c r="G809" s="27" t="s">
        <v>2107</v>
      </c>
      <c r="H809" s="27" t="s">
        <v>56</v>
      </c>
      <c r="I809" s="27" t="s">
        <v>44</v>
      </c>
      <c r="J809" s="28" t="s">
        <v>3115</v>
      </c>
      <c r="K809" s="27" t="s">
        <v>44</v>
      </c>
      <c r="L809" s="27" t="s">
        <v>80</v>
      </c>
    </row>
    <row r="810" customFormat="false" ht="15" hidden="false" customHeight="false" outlineLevel="0" collapsed="false">
      <c r="A810" s="26" t="s">
        <v>3124</v>
      </c>
      <c r="B810" s="27" t="s">
        <v>3125</v>
      </c>
      <c r="C810" s="27" t="s">
        <v>137</v>
      </c>
      <c r="D810" s="26" t="s">
        <v>3023</v>
      </c>
      <c r="E810" s="27" t="s">
        <v>3024</v>
      </c>
      <c r="F810" s="28" t="s">
        <v>146</v>
      </c>
      <c r="G810" s="27" t="s">
        <v>2107</v>
      </c>
      <c r="H810" s="27" t="s">
        <v>57</v>
      </c>
      <c r="I810" s="27" t="s">
        <v>38</v>
      </c>
      <c r="J810" s="28" t="s">
        <v>3115</v>
      </c>
      <c r="K810" s="27" t="s">
        <v>44</v>
      </c>
      <c r="L810" s="27" t="s">
        <v>80</v>
      </c>
    </row>
    <row r="811" customFormat="false" ht="15" hidden="false" customHeight="false" outlineLevel="0" collapsed="false">
      <c r="A811" s="26" t="s">
        <v>3126</v>
      </c>
      <c r="B811" s="27" t="s">
        <v>3127</v>
      </c>
      <c r="C811" s="27" t="s">
        <v>370</v>
      </c>
      <c r="D811" s="26" t="s">
        <v>3128</v>
      </c>
      <c r="E811" s="27" t="s">
        <v>3129</v>
      </c>
      <c r="F811" s="28" t="s">
        <v>146</v>
      </c>
      <c r="G811" s="27" t="s">
        <v>2107</v>
      </c>
      <c r="H811" s="27" t="s">
        <v>57</v>
      </c>
      <c r="I811" s="27" t="s">
        <v>41</v>
      </c>
      <c r="J811" s="28" t="s">
        <v>1129</v>
      </c>
      <c r="K811" s="27" t="s">
        <v>39</v>
      </c>
      <c r="L811" s="27" t="s">
        <v>76</v>
      </c>
    </row>
    <row r="812" customFormat="false" ht="15" hidden="false" customHeight="false" outlineLevel="0" collapsed="false">
      <c r="A812" s="26" t="s">
        <v>3130</v>
      </c>
      <c r="B812" s="27" t="s">
        <v>3131</v>
      </c>
      <c r="C812" s="27" t="s">
        <v>1187</v>
      </c>
      <c r="D812" s="26" t="s">
        <v>898</v>
      </c>
      <c r="E812" s="27" t="s">
        <v>897</v>
      </c>
      <c r="F812" s="28" t="s">
        <v>146</v>
      </c>
      <c r="G812" s="27" t="s">
        <v>2107</v>
      </c>
      <c r="H812" s="27" t="s">
        <v>56</v>
      </c>
      <c r="I812" s="27" t="s">
        <v>39</v>
      </c>
      <c r="J812" s="28" t="s">
        <v>1129</v>
      </c>
      <c r="K812" s="27" t="s">
        <v>39</v>
      </c>
      <c r="L812" s="27" t="s">
        <v>82</v>
      </c>
    </row>
    <row r="813" customFormat="false" ht="15" hidden="false" customHeight="false" outlineLevel="0" collapsed="false">
      <c r="A813" s="26" t="s">
        <v>3132</v>
      </c>
      <c r="B813" s="27" t="s">
        <v>3133</v>
      </c>
      <c r="C813" s="27" t="s">
        <v>144</v>
      </c>
      <c r="D813" s="26" t="s">
        <v>3134</v>
      </c>
      <c r="E813" s="27" t="s">
        <v>3135</v>
      </c>
      <c r="F813" s="28" t="s">
        <v>1190</v>
      </c>
      <c r="G813" s="27" t="s">
        <v>2107</v>
      </c>
      <c r="H813" s="27" t="s">
        <v>56</v>
      </c>
      <c r="I813" s="27" t="s">
        <v>39</v>
      </c>
      <c r="J813" s="28" t="s">
        <v>1129</v>
      </c>
      <c r="K813" s="27" t="s">
        <v>39</v>
      </c>
      <c r="L813" s="27" t="s">
        <v>81</v>
      </c>
    </row>
    <row r="814" customFormat="false" ht="15" hidden="false" customHeight="false" outlineLevel="0" collapsed="false">
      <c r="A814" s="26" t="s">
        <v>3136</v>
      </c>
      <c r="B814" s="27" t="s">
        <v>3137</v>
      </c>
      <c r="C814" s="27" t="s">
        <v>144</v>
      </c>
      <c r="D814" s="26" t="s">
        <v>3138</v>
      </c>
      <c r="E814" s="27" t="s">
        <v>3139</v>
      </c>
      <c r="F814" s="28" t="s">
        <v>383</v>
      </c>
      <c r="G814" s="27" t="s">
        <v>2107</v>
      </c>
      <c r="H814" s="27" t="s">
        <v>56</v>
      </c>
      <c r="I814" s="27" t="s">
        <v>39</v>
      </c>
      <c r="J814" s="28" t="s">
        <v>1129</v>
      </c>
      <c r="K814" s="27" t="s">
        <v>39</v>
      </c>
      <c r="L814" s="27" t="s">
        <v>2898</v>
      </c>
    </row>
    <row r="815" customFormat="false" ht="15" hidden="false" customHeight="false" outlineLevel="0" collapsed="false">
      <c r="A815" s="26" t="s">
        <v>3140</v>
      </c>
      <c r="B815" s="27" t="s">
        <v>3141</v>
      </c>
      <c r="C815" s="27" t="s">
        <v>144</v>
      </c>
      <c r="D815" s="26" t="s">
        <v>3142</v>
      </c>
      <c r="E815" s="27" t="s">
        <v>3143</v>
      </c>
      <c r="F815" s="28" t="s">
        <v>1529</v>
      </c>
      <c r="G815" s="27" t="s">
        <v>2107</v>
      </c>
      <c r="H815" s="27" t="s">
        <v>56</v>
      </c>
      <c r="I815" s="27" t="s">
        <v>39</v>
      </c>
      <c r="J815" s="28" t="s">
        <v>1129</v>
      </c>
      <c r="K815" s="27" t="s">
        <v>39</v>
      </c>
      <c r="L815" s="27" t="s">
        <v>1970</v>
      </c>
    </row>
    <row r="816" customFormat="false" ht="15" hidden="false" customHeight="false" outlineLevel="0" collapsed="false">
      <c r="A816" s="26" t="s">
        <v>3144</v>
      </c>
      <c r="B816" s="27" t="s">
        <v>3145</v>
      </c>
      <c r="C816" s="27" t="s">
        <v>144</v>
      </c>
      <c r="D816" s="26" t="s">
        <v>3146</v>
      </c>
      <c r="E816" s="27" t="s">
        <v>3147</v>
      </c>
      <c r="F816" s="28" t="s">
        <v>1190</v>
      </c>
      <c r="G816" s="27" t="s">
        <v>2107</v>
      </c>
      <c r="H816" s="27" t="s">
        <v>56</v>
      </c>
      <c r="I816" s="27" t="s">
        <v>39</v>
      </c>
      <c r="J816" s="28" t="s">
        <v>1129</v>
      </c>
      <c r="K816" s="27" t="s">
        <v>39</v>
      </c>
      <c r="L816" s="27" t="s">
        <v>81</v>
      </c>
    </row>
    <row r="817" customFormat="false" ht="15" hidden="false" customHeight="false" outlineLevel="0" collapsed="false">
      <c r="A817" s="26" t="s">
        <v>3148</v>
      </c>
      <c r="B817" s="27" t="s">
        <v>3149</v>
      </c>
      <c r="C817" s="27" t="s">
        <v>144</v>
      </c>
      <c r="D817" s="26" t="s">
        <v>3150</v>
      </c>
      <c r="E817" s="27" t="s">
        <v>3151</v>
      </c>
      <c r="F817" s="28" t="s">
        <v>1190</v>
      </c>
      <c r="G817" s="27" t="s">
        <v>2107</v>
      </c>
      <c r="H817" s="27" t="s">
        <v>56</v>
      </c>
      <c r="I817" s="27" t="s">
        <v>39</v>
      </c>
      <c r="J817" s="28" t="s">
        <v>1129</v>
      </c>
      <c r="K817" s="27" t="s">
        <v>39</v>
      </c>
      <c r="L817" s="27" t="s">
        <v>81</v>
      </c>
    </row>
    <row r="818" customFormat="false" ht="15" hidden="false" customHeight="false" outlineLevel="0" collapsed="false">
      <c r="A818" s="26" t="s">
        <v>3152</v>
      </c>
      <c r="B818" s="27" t="s">
        <v>3153</v>
      </c>
      <c r="C818" s="27" t="s">
        <v>1187</v>
      </c>
      <c r="D818" s="26" t="s">
        <v>2862</v>
      </c>
      <c r="E818" s="27" t="s">
        <v>2863</v>
      </c>
      <c r="F818" s="28" t="s">
        <v>146</v>
      </c>
      <c r="G818" s="27" t="s">
        <v>2107</v>
      </c>
      <c r="H818" s="27" t="s">
        <v>56</v>
      </c>
      <c r="I818" s="27" t="s">
        <v>39</v>
      </c>
      <c r="J818" s="28" t="s">
        <v>1129</v>
      </c>
      <c r="K818" s="27" t="s">
        <v>39</v>
      </c>
      <c r="L818" s="27" t="s">
        <v>82</v>
      </c>
    </row>
    <row r="819" customFormat="false" ht="15" hidden="false" customHeight="false" outlineLevel="0" collapsed="false">
      <c r="A819" s="26" t="s">
        <v>3154</v>
      </c>
      <c r="B819" s="27" t="s">
        <v>3155</v>
      </c>
      <c r="C819" s="27" t="s">
        <v>1187</v>
      </c>
      <c r="D819" s="26" t="s">
        <v>3156</v>
      </c>
      <c r="E819" s="27" t="s">
        <v>3157</v>
      </c>
      <c r="F819" s="28" t="s">
        <v>146</v>
      </c>
      <c r="G819" s="27" t="s">
        <v>2107</v>
      </c>
      <c r="H819" s="27" t="s">
        <v>56</v>
      </c>
      <c r="I819" s="27" t="s">
        <v>39</v>
      </c>
      <c r="J819" s="28" t="s">
        <v>1129</v>
      </c>
      <c r="K819" s="27" t="s">
        <v>39</v>
      </c>
      <c r="L819" s="27" t="s">
        <v>82</v>
      </c>
    </row>
    <row r="820" customFormat="false" ht="15" hidden="false" customHeight="false" outlineLevel="0" collapsed="false">
      <c r="A820" s="26" t="s">
        <v>3158</v>
      </c>
      <c r="B820" s="27" t="s">
        <v>3159</v>
      </c>
      <c r="C820" s="27" t="s">
        <v>144</v>
      </c>
      <c r="D820" s="26" t="s">
        <v>3160</v>
      </c>
      <c r="E820" s="27" t="s">
        <v>3161</v>
      </c>
      <c r="F820" s="28" t="s">
        <v>1190</v>
      </c>
      <c r="G820" s="27" t="s">
        <v>2107</v>
      </c>
      <c r="H820" s="27" t="s">
        <v>56</v>
      </c>
      <c r="I820" s="27" t="s">
        <v>39</v>
      </c>
      <c r="J820" s="28" t="s">
        <v>1129</v>
      </c>
      <c r="K820" s="27" t="s">
        <v>39</v>
      </c>
      <c r="L820" s="27" t="s">
        <v>81</v>
      </c>
    </row>
    <row r="821" customFormat="false" ht="15" hidden="false" customHeight="false" outlineLevel="0" collapsed="false">
      <c r="A821" s="26" t="s">
        <v>3162</v>
      </c>
      <c r="B821" s="27" t="s">
        <v>3163</v>
      </c>
      <c r="C821" s="27" t="s">
        <v>1187</v>
      </c>
      <c r="D821" s="26" t="s">
        <v>3164</v>
      </c>
      <c r="E821" s="27" t="s">
        <v>3165</v>
      </c>
      <c r="F821" s="28" t="s">
        <v>146</v>
      </c>
      <c r="G821" s="27" t="s">
        <v>2107</v>
      </c>
      <c r="H821" s="27" t="s">
        <v>56</v>
      </c>
      <c r="I821" s="27" t="s">
        <v>39</v>
      </c>
      <c r="J821" s="28" t="s">
        <v>1129</v>
      </c>
      <c r="K821" s="27" t="s">
        <v>39</v>
      </c>
      <c r="L821" s="27" t="s">
        <v>82</v>
      </c>
    </row>
    <row r="822" customFormat="false" ht="15" hidden="false" customHeight="false" outlineLevel="0" collapsed="false">
      <c r="A822" s="26" t="s">
        <v>3166</v>
      </c>
      <c r="B822" s="27" t="s">
        <v>3167</v>
      </c>
      <c r="C822" s="27" t="s">
        <v>1493</v>
      </c>
      <c r="D822" s="26" t="s">
        <v>3168</v>
      </c>
      <c r="E822" s="27" t="s">
        <v>3169</v>
      </c>
      <c r="F822" s="28" t="s">
        <v>140</v>
      </c>
      <c r="G822" s="27" t="s">
        <v>2107</v>
      </c>
      <c r="H822" s="27" t="s">
        <v>56</v>
      </c>
      <c r="I822" s="27" t="s">
        <v>39</v>
      </c>
      <c r="J822" s="28" t="s">
        <v>1129</v>
      </c>
      <c r="K822" s="27" t="s">
        <v>39</v>
      </c>
      <c r="L822" s="27" t="s">
        <v>2365</v>
      </c>
    </row>
    <row r="823" customFormat="false" ht="15" hidden="false" customHeight="false" outlineLevel="0" collapsed="false">
      <c r="A823" s="26" t="s">
        <v>3170</v>
      </c>
      <c r="B823" s="27" t="s">
        <v>3171</v>
      </c>
      <c r="C823" s="27" t="s">
        <v>1493</v>
      </c>
      <c r="D823" s="26" t="s">
        <v>3172</v>
      </c>
      <c r="E823" s="27" t="s">
        <v>3173</v>
      </c>
      <c r="F823" s="28" t="s">
        <v>146</v>
      </c>
      <c r="G823" s="27" t="s">
        <v>2107</v>
      </c>
      <c r="H823" s="27" t="s">
        <v>56</v>
      </c>
      <c r="I823" s="27" t="s">
        <v>39</v>
      </c>
      <c r="J823" s="28" t="s">
        <v>1129</v>
      </c>
      <c r="K823" s="27" t="s">
        <v>39</v>
      </c>
      <c r="L823" s="27" t="s">
        <v>2505</v>
      </c>
    </row>
    <row r="824" customFormat="false" ht="15" hidden="false" customHeight="false" outlineLevel="0" collapsed="false">
      <c r="A824" s="26" t="s">
        <v>3174</v>
      </c>
      <c r="B824" s="27" t="s">
        <v>3175</v>
      </c>
      <c r="C824" s="27" t="s">
        <v>100</v>
      </c>
      <c r="D824" s="26" t="s">
        <v>2938</v>
      </c>
      <c r="E824" s="27" t="s">
        <v>2939</v>
      </c>
      <c r="F824" s="28" t="s">
        <v>1090</v>
      </c>
      <c r="G824" s="27" t="s">
        <v>2107</v>
      </c>
      <c r="H824" s="27" t="s">
        <v>57</v>
      </c>
      <c r="I824" s="27" t="s">
        <v>45</v>
      </c>
      <c r="J824" s="28" t="s">
        <v>1232</v>
      </c>
      <c r="K824" s="27" t="s">
        <v>49</v>
      </c>
      <c r="L824" s="27" t="s">
        <v>2935</v>
      </c>
    </row>
    <row r="825" customFormat="false" ht="15" hidden="false" customHeight="false" outlineLevel="0" collapsed="false">
      <c r="A825" s="26" t="s">
        <v>3176</v>
      </c>
      <c r="B825" s="27" t="s">
        <v>3177</v>
      </c>
      <c r="C825" s="27" t="s">
        <v>100</v>
      </c>
      <c r="D825" s="26" t="s">
        <v>3178</v>
      </c>
      <c r="E825" s="27" t="s">
        <v>3179</v>
      </c>
      <c r="F825" s="28" t="s">
        <v>1090</v>
      </c>
      <c r="G825" s="27" t="s">
        <v>2107</v>
      </c>
      <c r="H825" s="27" t="s">
        <v>57</v>
      </c>
      <c r="I825" s="27" t="s">
        <v>45</v>
      </c>
      <c r="J825" s="28" t="s">
        <v>1232</v>
      </c>
      <c r="K825" s="27" t="s">
        <v>49</v>
      </c>
      <c r="L825" s="27" t="s">
        <v>2935</v>
      </c>
    </row>
    <row r="826" customFormat="false" ht="15" hidden="false" customHeight="false" outlineLevel="0" collapsed="false">
      <c r="A826" s="26" t="s">
        <v>3180</v>
      </c>
      <c r="B826" s="27" t="s">
        <v>3181</v>
      </c>
      <c r="C826" s="27" t="s">
        <v>1845</v>
      </c>
      <c r="D826" s="26" t="s">
        <v>2892</v>
      </c>
      <c r="E826" s="27" t="s">
        <v>2893</v>
      </c>
      <c r="F826" s="28" t="s">
        <v>146</v>
      </c>
      <c r="G826" s="27" t="s">
        <v>2107</v>
      </c>
      <c r="H826" s="27" t="s">
        <v>57</v>
      </c>
      <c r="I826" s="27" t="s">
        <v>45</v>
      </c>
      <c r="J826" s="28" t="s">
        <v>1232</v>
      </c>
      <c r="K826" s="27" t="s">
        <v>49</v>
      </c>
      <c r="L826" s="27" t="s">
        <v>2756</v>
      </c>
    </row>
    <row r="827" customFormat="false" ht="15" hidden="false" customHeight="false" outlineLevel="0" collapsed="false">
      <c r="A827" s="26" t="s">
        <v>3182</v>
      </c>
      <c r="B827" s="27" t="s">
        <v>3183</v>
      </c>
      <c r="C827" s="27" t="s">
        <v>144</v>
      </c>
      <c r="D827" s="26" t="s">
        <v>3184</v>
      </c>
      <c r="E827" s="27" t="s">
        <v>3185</v>
      </c>
      <c r="F827" s="28" t="s">
        <v>1190</v>
      </c>
      <c r="G827" s="27" t="s">
        <v>2107</v>
      </c>
      <c r="H827" s="27" t="s">
        <v>57</v>
      </c>
      <c r="I827" s="27" t="s">
        <v>39</v>
      </c>
      <c r="J827" s="28" t="s">
        <v>1232</v>
      </c>
      <c r="K827" s="27" t="s">
        <v>49</v>
      </c>
      <c r="L827" s="27" t="s">
        <v>81</v>
      </c>
    </row>
    <row r="828" customFormat="false" ht="15" hidden="false" customHeight="false" outlineLevel="0" collapsed="false">
      <c r="A828" s="26" t="s">
        <v>3186</v>
      </c>
      <c r="B828" s="27" t="s">
        <v>3187</v>
      </c>
      <c r="C828" s="27" t="s">
        <v>100</v>
      </c>
      <c r="D828" s="26" t="s">
        <v>3188</v>
      </c>
      <c r="E828" s="27" t="s">
        <v>3189</v>
      </c>
      <c r="F828" s="28" t="s">
        <v>140</v>
      </c>
      <c r="G828" s="27" t="s">
        <v>2107</v>
      </c>
      <c r="H828" s="27" t="s">
        <v>57</v>
      </c>
      <c r="I828" s="27" t="s">
        <v>45</v>
      </c>
      <c r="J828" s="28" t="s">
        <v>1232</v>
      </c>
      <c r="K828" s="27" t="s">
        <v>49</v>
      </c>
      <c r="L828" s="27" t="s">
        <v>77</v>
      </c>
    </row>
    <row r="829" customFormat="false" ht="15" hidden="false" customHeight="false" outlineLevel="0" collapsed="false">
      <c r="A829" s="26" t="s">
        <v>3190</v>
      </c>
      <c r="B829" s="27" t="s">
        <v>3191</v>
      </c>
      <c r="C829" s="27" t="s">
        <v>1612</v>
      </c>
      <c r="D829" s="26" t="s">
        <v>3192</v>
      </c>
      <c r="E829" s="27" t="s">
        <v>3193</v>
      </c>
      <c r="F829" s="28" t="s">
        <v>146</v>
      </c>
      <c r="G829" s="27" t="s">
        <v>2107</v>
      </c>
      <c r="H829" s="27" t="s">
        <v>57</v>
      </c>
      <c r="I829" s="27" t="s">
        <v>39</v>
      </c>
      <c r="J829" s="28" t="s">
        <v>1232</v>
      </c>
      <c r="K829" s="27" t="s">
        <v>49</v>
      </c>
      <c r="L829" s="27" t="s">
        <v>3194</v>
      </c>
    </row>
    <row r="830" customFormat="false" ht="15" hidden="false" customHeight="false" outlineLevel="0" collapsed="false">
      <c r="A830" s="26" t="s">
        <v>3195</v>
      </c>
      <c r="B830" s="27" t="s">
        <v>3196</v>
      </c>
      <c r="C830" s="27" t="s">
        <v>2041</v>
      </c>
      <c r="D830" s="26" t="s">
        <v>2528</v>
      </c>
      <c r="E830" s="27" t="s">
        <v>2529</v>
      </c>
      <c r="F830" s="28" t="s">
        <v>146</v>
      </c>
      <c r="G830" s="27" t="s">
        <v>2107</v>
      </c>
      <c r="H830" s="27" t="s">
        <v>57</v>
      </c>
      <c r="I830" s="27" t="s">
        <v>39</v>
      </c>
      <c r="J830" s="28" t="s">
        <v>1232</v>
      </c>
      <c r="K830" s="27" t="s">
        <v>49</v>
      </c>
      <c r="L830" s="27" t="s">
        <v>2260</v>
      </c>
    </row>
    <row r="831" customFormat="false" ht="15" hidden="false" customHeight="false" outlineLevel="0" collapsed="false">
      <c r="A831" s="26" t="s">
        <v>3197</v>
      </c>
      <c r="B831" s="27" t="s">
        <v>3198</v>
      </c>
      <c r="C831" s="27" t="s">
        <v>3053</v>
      </c>
      <c r="D831" s="26" t="s">
        <v>3006</v>
      </c>
      <c r="E831" s="27" t="s">
        <v>3007</v>
      </c>
      <c r="F831" s="28" t="s">
        <v>1090</v>
      </c>
      <c r="G831" s="27" t="s">
        <v>2107</v>
      </c>
      <c r="H831" s="27" t="s">
        <v>57</v>
      </c>
      <c r="I831" s="27" t="s">
        <v>44</v>
      </c>
      <c r="J831" s="28" t="s">
        <v>1232</v>
      </c>
      <c r="K831" s="27" t="s">
        <v>49</v>
      </c>
      <c r="L831" s="27" t="s">
        <v>3199</v>
      </c>
    </row>
    <row r="832" customFormat="false" ht="15" hidden="false" customHeight="false" outlineLevel="0" collapsed="false">
      <c r="A832" s="26" t="s">
        <v>3200</v>
      </c>
      <c r="B832" s="27" t="s">
        <v>3201</v>
      </c>
      <c r="C832" s="27" t="s">
        <v>100</v>
      </c>
      <c r="D832" s="26" t="s">
        <v>3006</v>
      </c>
      <c r="E832" s="27" t="s">
        <v>3007</v>
      </c>
      <c r="F832" s="28" t="s">
        <v>1090</v>
      </c>
      <c r="G832" s="27" t="s">
        <v>2107</v>
      </c>
      <c r="H832" s="27" t="s">
        <v>57</v>
      </c>
      <c r="I832" s="27" t="s">
        <v>44</v>
      </c>
      <c r="J832" s="28" t="s">
        <v>1232</v>
      </c>
      <c r="K832" s="27" t="s">
        <v>49</v>
      </c>
      <c r="L832" s="27" t="s">
        <v>2935</v>
      </c>
    </row>
    <row r="833" customFormat="false" ht="15" hidden="false" customHeight="false" outlineLevel="0" collapsed="false">
      <c r="A833" s="26" t="s">
        <v>3202</v>
      </c>
      <c r="B833" s="27" t="s">
        <v>3203</v>
      </c>
      <c r="C833" s="27" t="s">
        <v>100</v>
      </c>
      <c r="D833" s="26" t="s">
        <v>3006</v>
      </c>
      <c r="E833" s="27" t="s">
        <v>3007</v>
      </c>
      <c r="F833" s="28" t="s">
        <v>1090</v>
      </c>
      <c r="G833" s="27" t="s">
        <v>2107</v>
      </c>
      <c r="H833" s="27" t="s">
        <v>57</v>
      </c>
      <c r="I833" s="27" t="s">
        <v>44</v>
      </c>
      <c r="J833" s="28" t="s">
        <v>1232</v>
      </c>
      <c r="K833" s="27" t="s">
        <v>49</v>
      </c>
      <c r="L833" s="27" t="s">
        <v>2935</v>
      </c>
    </row>
    <row r="834" customFormat="false" ht="15" hidden="false" customHeight="false" outlineLevel="0" collapsed="false">
      <c r="A834" s="26" t="s">
        <v>3204</v>
      </c>
      <c r="B834" s="27" t="s">
        <v>3205</v>
      </c>
      <c r="C834" s="27" t="s">
        <v>100</v>
      </c>
      <c r="D834" s="26" t="s">
        <v>3206</v>
      </c>
      <c r="E834" s="27" t="s">
        <v>3207</v>
      </c>
      <c r="F834" s="28" t="s">
        <v>383</v>
      </c>
      <c r="G834" s="27" t="s">
        <v>2107</v>
      </c>
      <c r="H834" s="27" t="s">
        <v>57</v>
      </c>
      <c r="I834" s="27" t="s">
        <v>42</v>
      </c>
      <c r="J834" s="28" t="s">
        <v>1232</v>
      </c>
      <c r="K834" s="27" t="s">
        <v>49</v>
      </c>
      <c r="L834" s="27" t="s">
        <v>3208</v>
      </c>
    </row>
    <row r="835" customFormat="false" ht="15" hidden="false" customHeight="false" outlineLevel="0" collapsed="false">
      <c r="A835" s="26" t="s">
        <v>3209</v>
      </c>
      <c r="B835" s="27" t="s">
        <v>3210</v>
      </c>
      <c r="C835" s="27" t="s">
        <v>100</v>
      </c>
      <c r="D835" s="26" t="s">
        <v>3006</v>
      </c>
      <c r="E835" s="27" t="s">
        <v>3007</v>
      </c>
      <c r="F835" s="28" t="s">
        <v>1090</v>
      </c>
      <c r="G835" s="27" t="s">
        <v>2107</v>
      </c>
      <c r="H835" s="27" t="s">
        <v>57</v>
      </c>
      <c r="I835" s="27" t="s">
        <v>44</v>
      </c>
      <c r="J835" s="28" t="s">
        <v>1232</v>
      </c>
      <c r="K835" s="27" t="s">
        <v>49</v>
      </c>
      <c r="L835" s="27" t="s">
        <v>2935</v>
      </c>
    </row>
    <row r="836" customFormat="false" ht="15" hidden="false" customHeight="false" outlineLevel="0" collapsed="false">
      <c r="A836" s="26" t="s">
        <v>3211</v>
      </c>
      <c r="B836" s="27" t="s">
        <v>3212</v>
      </c>
      <c r="C836" s="27" t="s">
        <v>1087</v>
      </c>
      <c r="D836" s="26" t="s">
        <v>3213</v>
      </c>
      <c r="E836" s="27" t="s">
        <v>3214</v>
      </c>
      <c r="F836" s="28" t="s">
        <v>146</v>
      </c>
      <c r="G836" s="27" t="s">
        <v>2107</v>
      </c>
      <c r="H836" s="27" t="s">
        <v>57</v>
      </c>
      <c r="I836" s="27" t="s">
        <v>44</v>
      </c>
      <c r="J836" s="28" t="s">
        <v>1232</v>
      </c>
      <c r="K836" s="27" t="s">
        <v>49</v>
      </c>
      <c r="L836" s="27" t="s">
        <v>2578</v>
      </c>
    </row>
    <row r="837" customFormat="false" ht="15" hidden="false" customHeight="false" outlineLevel="0" collapsed="false">
      <c r="A837" s="26" t="s">
        <v>3215</v>
      </c>
      <c r="B837" s="27" t="s">
        <v>3216</v>
      </c>
      <c r="C837" s="27" t="s">
        <v>1087</v>
      </c>
      <c r="D837" s="26" t="s">
        <v>3217</v>
      </c>
      <c r="E837" s="27" t="s">
        <v>3218</v>
      </c>
      <c r="F837" s="28" t="s">
        <v>146</v>
      </c>
      <c r="G837" s="27" t="s">
        <v>2107</v>
      </c>
      <c r="H837" s="27" t="s">
        <v>57</v>
      </c>
      <c r="I837" s="27" t="s">
        <v>1067</v>
      </c>
      <c r="J837" s="28" t="s">
        <v>1232</v>
      </c>
      <c r="K837" s="27" t="s">
        <v>49</v>
      </c>
      <c r="L837" s="27" t="s">
        <v>2578</v>
      </c>
    </row>
    <row r="838" customFormat="false" ht="15" hidden="false" customHeight="false" outlineLevel="0" collapsed="false">
      <c r="A838" s="26" t="s">
        <v>3219</v>
      </c>
      <c r="B838" s="27" t="s">
        <v>3220</v>
      </c>
      <c r="C838" s="27" t="s">
        <v>144</v>
      </c>
      <c r="D838" s="26" t="s">
        <v>3221</v>
      </c>
      <c r="E838" s="27" t="s">
        <v>3222</v>
      </c>
      <c r="F838" s="28" t="s">
        <v>373</v>
      </c>
      <c r="G838" s="27" t="s">
        <v>2107</v>
      </c>
      <c r="H838" s="27" t="s">
        <v>57</v>
      </c>
      <c r="I838" s="27" t="s">
        <v>1067</v>
      </c>
      <c r="J838" s="28" t="s">
        <v>1232</v>
      </c>
      <c r="K838" s="27" t="s">
        <v>49</v>
      </c>
      <c r="L838" s="27" t="s">
        <v>74</v>
      </c>
    </row>
    <row r="839" customFormat="false" ht="15" hidden="false" customHeight="false" outlineLevel="0" collapsed="false">
      <c r="A839" s="26" t="s">
        <v>3223</v>
      </c>
      <c r="B839" s="27" t="s">
        <v>3224</v>
      </c>
      <c r="C839" s="27" t="s">
        <v>1087</v>
      </c>
      <c r="D839" s="26" t="s">
        <v>2896</v>
      </c>
      <c r="E839" s="27" t="s">
        <v>2897</v>
      </c>
      <c r="F839" s="28" t="s">
        <v>383</v>
      </c>
      <c r="G839" s="27" t="s">
        <v>2107</v>
      </c>
      <c r="H839" s="27" t="s">
        <v>57</v>
      </c>
      <c r="I839" s="27" t="s">
        <v>44</v>
      </c>
      <c r="J839" s="28" t="s">
        <v>1232</v>
      </c>
      <c r="K839" s="27" t="s">
        <v>49</v>
      </c>
      <c r="L839" s="27" t="s">
        <v>2841</v>
      </c>
    </row>
    <row r="840" customFormat="false" ht="15" hidden="false" customHeight="false" outlineLevel="0" collapsed="false">
      <c r="A840" s="26" t="s">
        <v>3225</v>
      </c>
      <c r="B840" s="27" t="s">
        <v>3226</v>
      </c>
      <c r="C840" s="27" t="s">
        <v>1087</v>
      </c>
      <c r="D840" s="26" t="s">
        <v>2901</v>
      </c>
      <c r="E840" s="27" t="s">
        <v>2902</v>
      </c>
      <c r="F840" s="28" t="s">
        <v>383</v>
      </c>
      <c r="G840" s="27" t="s">
        <v>2107</v>
      </c>
      <c r="H840" s="27" t="s">
        <v>57</v>
      </c>
      <c r="I840" s="27" t="s">
        <v>44</v>
      </c>
      <c r="J840" s="28" t="s">
        <v>1232</v>
      </c>
      <c r="K840" s="27" t="s">
        <v>49</v>
      </c>
      <c r="L840" s="27" t="s">
        <v>2841</v>
      </c>
    </row>
    <row r="841" customFormat="false" ht="15" hidden="false" customHeight="false" outlineLevel="0" collapsed="false">
      <c r="A841" s="26" t="s">
        <v>3227</v>
      </c>
      <c r="B841" s="27" t="s">
        <v>3228</v>
      </c>
      <c r="C841" s="27" t="s">
        <v>370</v>
      </c>
      <c r="D841" s="26" t="s">
        <v>3229</v>
      </c>
      <c r="E841" s="27" t="s">
        <v>3230</v>
      </c>
      <c r="F841" s="28" t="s">
        <v>146</v>
      </c>
      <c r="G841" s="27" t="s">
        <v>2107</v>
      </c>
      <c r="H841" s="27" t="s">
        <v>57</v>
      </c>
      <c r="I841" s="27" t="s">
        <v>42</v>
      </c>
      <c r="J841" s="28" t="s">
        <v>1232</v>
      </c>
      <c r="K841" s="27" t="s">
        <v>49</v>
      </c>
      <c r="L841" s="27" t="s">
        <v>76</v>
      </c>
    </row>
    <row r="842" customFormat="false" ht="15" hidden="false" customHeight="false" outlineLevel="0" collapsed="false">
      <c r="A842" s="26" t="s">
        <v>3231</v>
      </c>
      <c r="B842" s="27" t="s">
        <v>3232</v>
      </c>
      <c r="C842" s="27" t="s">
        <v>370</v>
      </c>
      <c r="D842" s="26" t="s">
        <v>3233</v>
      </c>
      <c r="E842" s="27" t="s">
        <v>3234</v>
      </c>
      <c r="F842" s="28" t="s">
        <v>146</v>
      </c>
      <c r="G842" s="27" t="s">
        <v>2107</v>
      </c>
      <c r="H842" s="27" t="s">
        <v>57</v>
      </c>
      <c r="I842" s="27" t="s">
        <v>39</v>
      </c>
      <c r="J842" s="28" t="s">
        <v>1232</v>
      </c>
      <c r="K842" s="27" t="s">
        <v>49</v>
      </c>
      <c r="L842" s="27" t="s">
        <v>76</v>
      </c>
    </row>
    <row r="843" customFormat="false" ht="15" hidden="false" customHeight="false" outlineLevel="0" collapsed="false">
      <c r="A843" s="26" t="s">
        <v>3235</v>
      </c>
      <c r="B843" s="27" t="s">
        <v>3236</v>
      </c>
      <c r="C843" s="27" t="s">
        <v>144</v>
      </c>
      <c r="D843" s="26" t="s">
        <v>3237</v>
      </c>
      <c r="E843" s="27" t="s">
        <v>3238</v>
      </c>
      <c r="F843" s="28" t="s">
        <v>1090</v>
      </c>
      <c r="G843" s="27" t="s">
        <v>2107</v>
      </c>
      <c r="H843" s="27" t="s">
        <v>57</v>
      </c>
      <c r="I843" s="27" t="s">
        <v>44</v>
      </c>
      <c r="J843" s="28" t="s">
        <v>1232</v>
      </c>
      <c r="K843" s="27" t="s">
        <v>49</v>
      </c>
      <c r="L843" s="27" t="s">
        <v>1908</v>
      </c>
    </row>
    <row r="844" customFormat="false" ht="15" hidden="false" customHeight="false" outlineLevel="0" collapsed="false">
      <c r="A844" s="26" t="s">
        <v>3239</v>
      </c>
      <c r="B844" s="27" t="s">
        <v>3240</v>
      </c>
      <c r="C844" s="27" t="s">
        <v>1187</v>
      </c>
      <c r="D844" s="26" t="s">
        <v>3241</v>
      </c>
      <c r="E844" s="27" t="s">
        <v>3242</v>
      </c>
      <c r="F844" s="28" t="s">
        <v>146</v>
      </c>
      <c r="G844" s="27" t="s">
        <v>2107</v>
      </c>
      <c r="H844" s="27" t="s">
        <v>56</v>
      </c>
      <c r="I844" s="27" t="s">
        <v>39</v>
      </c>
      <c r="J844" s="28" t="s">
        <v>1932</v>
      </c>
      <c r="K844" s="27" t="s">
        <v>39</v>
      </c>
      <c r="L844" s="27" t="s">
        <v>82</v>
      </c>
    </row>
    <row r="845" customFormat="false" ht="15" hidden="false" customHeight="false" outlineLevel="0" collapsed="false">
      <c r="A845" s="26" t="s">
        <v>3243</v>
      </c>
      <c r="B845" s="27" t="s">
        <v>3244</v>
      </c>
      <c r="C845" s="27" t="s">
        <v>370</v>
      </c>
      <c r="D845" s="26" t="s">
        <v>3245</v>
      </c>
      <c r="E845" s="27" t="s">
        <v>3246</v>
      </c>
      <c r="F845" s="28" t="s">
        <v>146</v>
      </c>
      <c r="G845" s="27" t="s">
        <v>2107</v>
      </c>
      <c r="H845" s="27" t="s">
        <v>57</v>
      </c>
      <c r="I845" s="28" t="s">
        <v>46</v>
      </c>
      <c r="J845" s="28" t="s">
        <v>1932</v>
      </c>
      <c r="K845" s="27" t="s">
        <v>39</v>
      </c>
      <c r="L845" s="27" t="s">
        <v>76</v>
      </c>
    </row>
    <row r="846" customFormat="false" ht="15" hidden="false" customHeight="false" outlineLevel="0" collapsed="false">
      <c r="A846" s="26" t="s">
        <v>3247</v>
      </c>
      <c r="B846" s="27" t="s">
        <v>3248</v>
      </c>
      <c r="C846" s="27" t="s">
        <v>137</v>
      </c>
      <c r="D846" s="26" t="s">
        <v>3249</v>
      </c>
      <c r="E846" s="27" t="s">
        <v>3250</v>
      </c>
      <c r="F846" s="28" t="s">
        <v>1090</v>
      </c>
      <c r="G846" s="27" t="s">
        <v>2107</v>
      </c>
      <c r="H846" s="27" t="s">
        <v>57</v>
      </c>
      <c r="I846" s="27" t="s">
        <v>44</v>
      </c>
      <c r="J846" s="28" t="s">
        <v>1264</v>
      </c>
      <c r="K846" s="27" t="s">
        <v>42</v>
      </c>
      <c r="L846" s="27" t="s">
        <v>3251</v>
      </c>
    </row>
    <row r="847" customFormat="false" ht="15" hidden="false" customHeight="false" outlineLevel="0" collapsed="false">
      <c r="A847" s="26" t="s">
        <v>3252</v>
      </c>
      <c r="B847" s="27" t="s">
        <v>3253</v>
      </c>
      <c r="C847" s="27" t="s">
        <v>137</v>
      </c>
      <c r="D847" s="26" t="s">
        <v>3249</v>
      </c>
      <c r="E847" s="27" t="s">
        <v>3250</v>
      </c>
      <c r="F847" s="28" t="s">
        <v>1090</v>
      </c>
      <c r="G847" s="27" t="s">
        <v>2107</v>
      </c>
      <c r="H847" s="27" t="s">
        <v>57</v>
      </c>
      <c r="I847" s="27" t="s">
        <v>44</v>
      </c>
      <c r="J847" s="28" t="s">
        <v>1264</v>
      </c>
      <c r="K847" s="27" t="s">
        <v>42</v>
      </c>
      <c r="L847" s="27" t="s">
        <v>3251</v>
      </c>
    </row>
    <row r="848" customFormat="false" ht="15" hidden="false" customHeight="false" outlineLevel="0" collapsed="false">
      <c r="A848" s="26" t="s">
        <v>3254</v>
      </c>
      <c r="B848" s="27" t="s">
        <v>3255</v>
      </c>
      <c r="C848" s="27" t="s">
        <v>370</v>
      </c>
      <c r="D848" s="26" t="s">
        <v>2292</v>
      </c>
      <c r="E848" s="27" t="s">
        <v>2293</v>
      </c>
      <c r="F848" s="28" t="s">
        <v>146</v>
      </c>
      <c r="G848" s="27" t="s">
        <v>2107</v>
      </c>
      <c r="H848" s="27" t="s">
        <v>57</v>
      </c>
      <c r="I848" s="28" t="s">
        <v>46</v>
      </c>
      <c r="J848" s="28" t="s">
        <v>1264</v>
      </c>
      <c r="K848" s="27" t="s">
        <v>42</v>
      </c>
      <c r="L848" s="27" t="s">
        <v>76</v>
      </c>
    </row>
    <row r="849" customFormat="false" ht="15" hidden="false" customHeight="false" outlineLevel="0" collapsed="false">
      <c r="A849" s="26" t="s">
        <v>3256</v>
      </c>
      <c r="B849" s="27" t="s">
        <v>3257</v>
      </c>
      <c r="C849" s="27" t="s">
        <v>370</v>
      </c>
      <c r="D849" s="26" t="s">
        <v>2292</v>
      </c>
      <c r="E849" s="27" t="s">
        <v>2293</v>
      </c>
      <c r="F849" s="28" t="s">
        <v>146</v>
      </c>
      <c r="G849" s="27" t="s">
        <v>2107</v>
      </c>
      <c r="H849" s="27" t="s">
        <v>57</v>
      </c>
      <c r="I849" s="28" t="s">
        <v>46</v>
      </c>
      <c r="J849" s="28" t="s">
        <v>1264</v>
      </c>
      <c r="K849" s="27" t="s">
        <v>42</v>
      </c>
      <c r="L849" s="27" t="s">
        <v>76</v>
      </c>
    </row>
    <row r="850" customFormat="false" ht="15" hidden="false" customHeight="false" outlineLevel="0" collapsed="false">
      <c r="A850" s="26" t="s">
        <v>3258</v>
      </c>
      <c r="B850" s="27" t="s">
        <v>3259</v>
      </c>
      <c r="C850" s="27" t="s">
        <v>144</v>
      </c>
      <c r="D850" s="26" t="s">
        <v>3260</v>
      </c>
      <c r="E850" s="27" t="s">
        <v>3261</v>
      </c>
      <c r="F850" s="28" t="s">
        <v>373</v>
      </c>
      <c r="G850" s="27" t="s">
        <v>2107</v>
      </c>
      <c r="H850" s="27" t="s">
        <v>57</v>
      </c>
      <c r="I850" s="27" t="s">
        <v>43</v>
      </c>
      <c r="J850" s="28" t="s">
        <v>1264</v>
      </c>
      <c r="K850" s="27" t="s">
        <v>42</v>
      </c>
      <c r="L850" s="27" t="s">
        <v>74</v>
      </c>
    </row>
    <row r="851" customFormat="false" ht="15" hidden="false" customHeight="false" outlineLevel="0" collapsed="false">
      <c r="A851" s="26" t="s">
        <v>3262</v>
      </c>
      <c r="B851" s="27" t="s">
        <v>3263</v>
      </c>
      <c r="C851" s="27" t="s">
        <v>144</v>
      </c>
      <c r="D851" s="26" t="s">
        <v>1284</v>
      </c>
      <c r="E851" s="27" t="s">
        <v>1283</v>
      </c>
      <c r="F851" s="28" t="s">
        <v>1090</v>
      </c>
      <c r="G851" s="27" t="s">
        <v>2107</v>
      </c>
      <c r="H851" s="27" t="s">
        <v>57</v>
      </c>
      <c r="I851" s="27" t="s">
        <v>44</v>
      </c>
      <c r="J851" s="28" t="s">
        <v>1268</v>
      </c>
      <c r="K851" s="27" t="s">
        <v>42</v>
      </c>
      <c r="L851" s="27" t="s">
        <v>1908</v>
      </c>
    </row>
    <row r="852" customFormat="false" ht="15" hidden="false" customHeight="false" outlineLevel="0" collapsed="false">
      <c r="A852" s="26" t="s">
        <v>3264</v>
      </c>
      <c r="B852" s="27" t="s">
        <v>3265</v>
      </c>
      <c r="C852" s="27" t="s">
        <v>1087</v>
      </c>
      <c r="D852" s="26" t="s">
        <v>3266</v>
      </c>
      <c r="E852" s="27" t="s">
        <v>3267</v>
      </c>
      <c r="F852" s="28" t="s">
        <v>146</v>
      </c>
      <c r="G852" s="27" t="s">
        <v>2107</v>
      </c>
      <c r="H852" s="27" t="s">
        <v>56</v>
      </c>
      <c r="I852" s="27" t="s">
        <v>42</v>
      </c>
      <c r="J852" s="28" t="s">
        <v>1268</v>
      </c>
      <c r="K852" s="27" t="s">
        <v>42</v>
      </c>
      <c r="L852" s="27" t="s">
        <v>2578</v>
      </c>
    </row>
    <row r="853" customFormat="false" ht="15" hidden="false" customHeight="false" outlineLevel="0" collapsed="false">
      <c r="A853" s="26" t="s">
        <v>3268</v>
      </c>
      <c r="B853" s="27" t="s">
        <v>3269</v>
      </c>
      <c r="C853" s="27" t="s">
        <v>1830</v>
      </c>
      <c r="D853" s="26" t="s">
        <v>1831</v>
      </c>
      <c r="E853" s="27" t="s">
        <v>1832</v>
      </c>
      <c r="F853" s="28" t="s">
        <v>134</v>
      </c>
      <c r="G853" s="27" t="s">
        <v>2107</v>
      </c>
      <c r="H853" s="27" t="s">
        <v>57</v>
      </c>
      <c r="I853" s="27" t="s">
        <v>49</v>
      </c>
      <c r="J853" s="28" t="s">
        <v>3270</v>
      </c>
      <c r="K853" s="27" t="s">
        <v>3271</v>
      </c>
      <c r="L853" s="27" t="s">
        <v>1833</v>
      </c>
    </row>
    <row r="854" customFormat="false" ht="15" hidden="false" customHeight="false" outlineLevel="0" collapsed="false">
      <c r="A854" s="26" t="s">
        <v>3272</v>
      </c>
      <c r="B854" s="27" t="s">
        <v>2517</v>
      </c>
      <c r="C854" s="27" t="s">
        <v>131</v>
      </c>
      <c r="D854" s="26" t="s">
        <v>2518</v>
      </c>
      <c r="E854" s="27" t="s">
        <v>2519</v>
      </c>
      <c r="F854" s="28" t="s">
        <v>102</v>
      </c>
      <c r="G854" s="27" t="s">
        <v>2107</v>
      </c>
      <c r="H854" s="27" t="s">
        <v>57</v>
      </c>
      <c r="I854" s="27" t="s">
        <v>40</v>
      </c>
      <c r="J854" s="28" t="s">
        <v>3270</v>
      </c>
      <c r="K854" s="27" t="s">
        <v>3271</v>
      </c>
      <c r="L854" s="27" t="s">
        <v>1916</v>
      </c>
    </row>
    <row r="855" customFormat="false" ht="15" hidden="false" customHeight="false" outlineLevel="0" collapsed="false">
      <c r="A855" s="26" t="s">
        <v>3273</v>
      </c>
      <c r="B855" s="27" t="s">
        <v>3274</v>
      </c>
      <c r="C855" s="27" t="s">
        <v>144</v>
      </c>
      <c r="D855" s="26" t="s">
        <v>3275</v>
      </c>
      <c r="E855" s="27" t="s">
        <v>3276</v>
      </c>
      <c r="F855" s="28" t="s">
        <v>140</v>
      </c>
      <c r="G855" s="27" t="s">
        <v>2107</v>
      </c>
      <c r="H855" s="27" t="s">
        <v>56</v>
      </c>
      <c r="I855" s="27" t="s">
        <v>37</v>
      </c>
      <c r="J855" s="28" t="s">
        <v>3277</v>
      </c>
      <c r="K855" s="27" t="s">
        <v>37</v>
      </c>
      <c r="L855" s="27" t="s">
        <v>83</v>
      </c>
    </row>
    <row r="856" customFormat="false" ht="15" hidden="false" customHeight="false" outlineLevel="0" collapsed="false">
      <c r="A856" s="26" t="s">
        <v>3278</v>
      </c>
      <c r="B856" s="27" t="s">
        <v>3279</v>
      </c>
      <c r="C856" s="27" t="s">
        <v>1612</v>
      </c>
      <c r="D856" s="26" t="s">
        <v>3280</v>
      </c>
      <c r="E856" s="27" t="s">
        <v>3281</v>
      </c>
      <c r="F856" s="28" t="s">
        <v>146</v>
      </c>
      <c r="G856" s="27" t="s">
        <v>2107</v>
      </c>
      <c r="H856" s="27" t="s">
        <v>56</v>
      </c>
      <c r="I856" s="27" t="s">
        <v>39</v>
      </c>
      <c r="J856" s="28" t="s">
        <v>1292</v>
      </c>
      <c r="K856" s="27" t="s">
        <v>39</v>
      </c>
      <c r="L856" s="27" t="s">
        <v>3194</v>
      </c>
    </row>
    <row r="857" customFormat="false" ht="15" hidden="false" customHeight="false" outlineLevel="0" collapsed="false">
      <c r="A857" s="26" t="s">
        <v>3282</v>
      </c>
      <c r="B857" s="27" t="s">
        <v>3283</v>
      </c>
      <c r="C857" s="27" t="s">
        <v>144</v>
      </c>
      <c r="D857" s="26" t="s">
        <v>3284</v>
      </c>
      <c r="E857" s="27" t="s">
        <v>3285</v>
      </c>
      <c r="F857" s="28" t="s">
        <v>140</v>
      </c>
      <c r="G857" s="27" t="s">
        <v>2107</v>
      </c>
      <c r="H857" s="27" t="s">
        <v>57</v>
      </c>
      <c r="I857" s="27" t="s">
        <v>37</v>
      </c>
      <c r="J857" s="28" t="s">
        <v>3286</v>
      </c>
      <c r="K857" s="28" t="s">
        <v>50</v>
      </c>
      <c r="L857" s="27" t="s">
        <v>83</v>
      </c>
    </row>
    <row r="858" customFormat="false" ht="15" hidden="false" customHeight="false" outlineLevel="0" collapsed="false">
      <c r="A858" s="26" t="s">
        <v>3287</v>
      </c>
      <c r="B858" s="27" t="s">
        <v>3288</v>
      </c>
      <c r="C858" s="27" t="s">
        <v>144</v>
      </c>
      <c r="D858" s="26" t="s">
        <v>3284</v>
      </c>
      <c r="E858" s="27" t="s">
        <v>3285</v>
      </c>
      <c r="F858" s="28" t="s">
        <v>140</v>
      </c>
      <c r="G858" s="27" t="s">
        <v>2107</v>
      </c>
      <c r="H858" s="27" t="s">
        <v>57</v>
      </c>
      <c r="I858" s="27" t="s">
        <v>37</v>
      </c>
      <c r="J858" s="28" t="s">
        <v>3286</v>
      </c>
      <c r="K858" s="28" t="s">
        <v>50</v>
      </c>
      <c r="L858" s="27" t="s">
        <v>83</v>
      </c>
    </row>
    <row r="859" customFormat="false" ht="15" hidden="false" customHeight="false" outlineLevel="0" collapsed="false">
      <c r="A859" s="26" t="s">
        <v>3289</v>
      </c>
      <c r="B859" s="27" t="s">
        <v>3290</v>
      </c>
      <c r="C859" s="27" t="s">
        <v>100</v>
      </c>
      <c r="D859" s="26" t="s">
        <v>3291</v>
      </c>
      <c r="E859" s="27" t="s">
        <v>3292</v>
      </c>
      <c r="F859" s="28" t="s">
        <v>146</v>
      </c>
      <c r="G859" s="27" t="s">
        <v>2107</v>
      </c>
      <c r="H859" s="27" t="s">
        <v>56</v>
      </c>
      <c r="I859" s="27" t="s">
        <v>47</v>
      </c>
      <c r="J859" s="28" t="s">
        <v>1314</v>
      </c>
      <c r="K859" s="27" t="s">
        <v>47</v>
      </c>
      <c r="L859" s="27" t="s">
        <v>1876</v>
      </c>
    </row>
    <row r="860" customFormat="false" ht="15" hidden="false" customHeight="false" outlineLevel="0" collapsed="false">
      <c r="A860" s="26" t="s">
        <v>3293</v>
      </c>
      <c r="B860" s="27" t="s">
        <v>3294</v>
      </c>
      <c r="C860" s="27" t="s">
        <v>100</v>
      </c>
      <c r="D860" s="26" t="s">
        <v>3295</v>
      </c>
      <c r="E860" s="27" t="s">
        <v>3296</v>
      </c>
      <c r="F860" s="28" t="s">
        <v>1158</v>
      </c>
      <c r="G860" s="27" t="s">
        <v>2107</v>
      </c>
      <c r="H860" s="27" t="s">
        <v>57</v>
      </c>
      <c r="I860" s="27" t="s">
        <v>152</v>
      </c>
      <c r="J860" s="28" t="s">
        <v>1314</v>
      </c>
      <c r="K860" s="27" t="s">
        <v>47</v>
      </c>
      <c r="L860" s="27" t="s">
        <v>3297</v>
      </c>
    </row>
    <row r="861" customFormat="false" ht="15" hidden="false" customHeight="false" outlineLevel="0" collapsed="false">
      <c r="A861" s="26" t="s">
        <v>3298</v>
      </c>
      <c r="B861" s="27" t="s">
        <v>3299</v>
      </c>
      <c r="C861" s="27" t="s">
        <v>100</v>
      </c>
      <c r="D861" s="26" t="s">
        <v>3300</v>
      </c>
      <c r="E861" s="27" t="s">
        <v>3301</v>
      </c>
      <c r="F861" s="28" t="s">
        <v>1158</v>
      </c>
      <c r="G861" s="27" t="s">
        <v>2107</v>
      </c>
      <c r="H861" s="27" t="s">
        <v>56</v>
      </c>
      <c r="I861" s="27" t="s">
        <v>47</v>
      </c>
      <c r="J861" s="28" t="s">
        <v>1314</v>
      </c>
      <c r="K861" s="27" t="s">
        <v>47</v>
      </c>
      <c r="L861" s="27" t="s">
        <v>3297</v>
      </c>
    </row>
    <row r="862" customFormat="false" ht="15" hidden="false" customHeight="false" outlineLevel="0" collapsed="false">
      <c r="A862" s="26" t="s">
        <v>3302</v>
      </c>
      <c r="B862" s="27" t="s">
        <v>3303</v>
      </c>
      <c r="C862" s="27" t="s">
        <v>100</v>
      </c>
      <c r="D862" s="26" t="s">
        <v>3304</v>
      </c>
      <c r="E862" s="27" t="s">
        <v>3305</v>
      </c>
      <c r="F862" s="28" t="s">
        <v>146</v>
      </c>
      <c r="G862" s="27" t="s">
        <v>2107</v>
      </c>
      <c r="H862" s="27" t="s">
        <v>57</v>
      </c>
      <c r="I862" s="27" t="s">
        <v>152</v>
      </c>
      <c r="J862" s="28" t="s">
        <v>1325</v>
      </c>
      <c r="K862" s="27" t="s">
        <v>47</v>
      </c>
      <c r="L862" s="27" t="s">
        <v>1876</v>
      </c>
    </row>
    <row r="863" customFormat="false" ht="15" hidden="false" customHeight="false" outlineLevel="0" collapsed="false">
      <c r="A863" s="26" t="s">
        <v>3306</v>
      </c>
      <c r="B863" s="27" t="s">
        <v>3307</v>
      </c>
      <c r="C863" s="27" t="s">
        <v>144</v>
      </c>
      <c r="D863" s="26" t="s">
        <v>3308</v>
      </c>
      <c r="E863" s="27" t="s">
        <v>3309</v>
      </c>
      <c r="F863" s="28" t="s">
        <v>1614</v>
      </c>
      <c r="G863" s="27" t="s">
        <v>2107</v>
      </c>
      <c r="H863" s="27" t="s">
        <v>57</v>
      </c>
      <c r="I863" s="27" t="s">
        <v>1067</v>
      </c>
      <c r="J863" s="28" t="s">
        <v>1329</v>
      </c>
      <c r="K863" s="27" t="s">
        <v>64</v>
      </c>
      <c r="L863" s="27" t="s">
        <v>2051</v>
      </c>
    </row>
    <row r="864" customFormat="false" ht="15" hidden="false" customHeight="false" outlineLevel="0" collapsed="false">
      <c r="A864" s="26" t="s">
        <v>3310</v>
      </c>
      <c r="B864" s="27" t="s">
        <v>3311</v>
      </c>
      <c r="C864" s="27" t="s">
        <v>144</v>
      </c>
      <c r="D864" s="26" t="s">
        <v>3312</v>
      </c>
      <c r="E864" s="27" t="s">
        <v>3313</v>
      </c>
      <c r="F864" s="28" t="s">
        <v>134</v>
      </c>
      <c r="G864" s="27" t="s">
        <v>2107</v>
      </c>
      <c r="H864" s="27" t="s">
        <v>57</v>
      </c>
      <c r="I864" s="27" t="s">
        <v>42</v>
      </c>
      <c r="J864" s="28" t="s">
        <v>1329</v>
      </c>
      <c r="K864" s="27" t="s">
        <v>64</v>
      </c>
      <c r="L864" s="27" t="s">
        <v>3314</v>
      </c>
    </row>
    <row r="865" customFormat="false" ht="15" hidden="false" customHeight="false" outlineLevel="0" collapsed="false">
      <c r="A865" s="26" t="s">
        <v>3315</v>
      </c>
      <c r="B865" s="27" t="s">
        <v>3316</v>
      </c>
      <c r="C865" s="27" t="s">
        <v>131</v>
      </c>
      <c r="D865" s="26" t="s">
        <v>3317</v>
      </c>
      <c r="E865" s="27" t="s">
        <v>3318</v>
      </c>
      <c r="F865" s="28" t="s">
        <v>146</v>
      </c>
      <c r="G865" s="27" t="s">
        <v>2107</v>
      </c>
      <c r="H865" s="27" t="s">
        <v>57</v>
      </c>
      <c r="I865" s="27" t="s">
        <v>1067</v>
      </c>
      <c r="J865" s="28" t="s">
        <v>1329</v>
      </c>
      <c r="K865" s="27" t="s">
        <v>64</v>
      </c>
      <c r="L865" s="27" t="s">
        <v>1962</v>
      </c>
    </row>
    <row r="866" customFormat="false" ht="15" hidden="false" customHeight="false" outlineLevel="0" collapsed="false">
      <c r="A866" s="26" t="s">
        <v>3319</v>
      </c>
      <c r="B866" s="27" t="s">
        <v>3320</v>
      </c>
      <c r="C866" s="27" t="s">
        <v>1830</v>
      </c>
      <c r="D866" s="26" t="s">
        <v>1389</v>
      </c>
      <c r="E866" s="27" t="s">
        <v>1390</v>
      </c>
      <c r="F866" s="28" t="s">
        <v>134</v>
      </c>
      <c r="G866" s="27" t="s">
        <v>2107</v>
      </c>
      <c r="H866" s="27" t="s">
        <v>57</v>
      </c>
      <c r="I866" s="27" t="s">
        <v>1067</v>
      </c>
      <c r="J866" s="28" t="s">
        <v>1329</v>
      </c>
      <c r="K866" s="27" t="s">
        <v>64</v>
      </c>
      <c r="L866" s="27" t="s">
        <v>1833</v>
      </c>
    </row>
    <row r="867" customFormat="false" ht="15" hidden="false" customHeight="false" outlineLevel="0" collapsed="false">
      <c r="A867" s="26" t="s">
        <v>3321</v>
      </c>
      <c r="B867" s="27" t="s">
        <v>3322</v>
      </c>
      <c r="C867" s="27" t="s">
        <v>1527</v>
      </c>
      <c r="D867" s="26" t="s">
        <v>3323</v>
      </c>
      <c r="E867" s="27" t="s">
        <v>3324</v>
      </c>
      <c r="F867" s="28" t="s">
        <v>146</v>
      </c>
      <c r="G867" s="27" t="s">
        <v>2107</v>
      </c>
      <c r="H867" s="27" t="s">
        <v>57</v>
      </c>
      <c r="I867" s="27" t="s">
        <v>1067</v>
      </c>
      <c r="J867" s="28" t="s">
        <v>1329</v>
      </c>
      <c r="K867" s="27" t="s">
        <v>64</v>
      </c>
      <c r="L867" s="27" t="s">
        <v>1895</v>
      </c>
    </row>
    <row r="868" customFormat="false" ht="15" hidden="false" customHeight="false" outlineLevel="0" collapsed="false">
      <c r="A868" s="26" t="s">
        <v>3325</v>
      </c>
      <c r="B868" s="27" t="s">
        <v>3326</v>
      </c>
      <c r="C868" s="27" t="s">
        <v>144</v>
      </c>
      <c r="D868" s="26" t="s">
        <v>1381</v>
      </c>
      <c r="E868" s="27" t="s">
        <v>1382</v>
      </c>
      <c r="F868" s="28" t="s">
        <v>134</v>
      </c>
      <c r="G868" s="27" t="s">
        <v>2107</v>
      </c>
      <c r="H868" s="27" t="s">
        <v>57</v>
      </c>
      <c r="I868" s="27" t="s">
        <v>1067</v>
      </c>
      <c r="J868" s="28" t="s">
        <v>1329</v>
      </c>
      <c r="K868" s="27" t="s">
        <v>64</v>
      </c>
      <c r="L868" s="27" t="s">
        <v>3314</v>
      </c>
    </row>
    <row r="869" customFormat="false" ht="15" hidden="false" customHeight="false" outlineLevel="0" collapsed="false">
      <c r="A869" s="26" t="s">
        <v>3327</v>
      </c>
      <c r="B869" s="27" t="s">
        <v>3328</v>
      </c>
      <c r="C869" s="27" t="s">
        <v>144</v>
      </c>
      <c r="D869" s="26" t="s">
        <v>3329</v>
      </c>
      <c r="E869" s="27" t="s">
        <v>3330</v>
      </c>
      <c r="F869" s="28" t="s">
        <v>102</v>
      </c>
      <c r="G869" s="27" t="s">
        <v>2107</v>
      </c>
      <c r="H869" s="27" t="s">
        <v>56</v>
      </c>
      <c r="I869" s="27" t="s">
        <v>64</v>
      </c>
      <c r="J869" s="28" t="s">
        <v>1329</v>
      </c>
      <c r="K869" s="27" t="s">
        <v>64</v>
      </c>
      <c r="L869" s="27" t="s">
        <v>2215</v>
      </c>
    </row>
    <row r="870" customFormat="false" ht="15" hidden="false" customHeight="false" outlineLevel="0" collapsed="false">
      <c r="A870" s="26" t="s">
        <v>3331</v>
      </c>
      <c r="B870" s="27" t="s">
        <v>3332</v>
      </c>
      <c r="C870" s="27" t="s">
        <v>100</v>
      </c>
      <c r="D870" s="26" t="s">
        <v>3333</v>
      </c>
      <c r="E870" s="27" t="s">
        <v>3334</v>
      </c>
      <c r="F870" s="28" t="s">
        <v>1158</v>
      </c>
      <c r="G870" s="27" t="s">
        <v>2107</v>
      </c>
      <c r="H870" s="27" t="s">
        <v>56</v>
      </c>
      <c r="I870" s="27" t="s">
        <v>64</v>
      </c>
      <c r="J870" s="28" t="s">
        <v>1329</v>
      </c>
      <c r="K870" s="27" t="s">
        <v>64</v>
      </c>
      <c r="L870" s="27" t="s">
        <v>3297</v>
      </c>
    </row>
    <row r="871" customFormat="false" ht="15" hidden="false" customHeight="false" outlineLevel="0" collapsed="false">
      <c r="A871" s="26" t="s">
        <v>3335</v>
      </c>
      <c r="B871" s="27" t="s">
        <v>3336</v>
      </c>
      <c r="C871" s="27" t="s">
        <v>144</v>
      </c>
      <c r="D871" s="26" t="s">
        <v>3337</v>
      </c>
      <c r="E871" s="27" t="s">
        <v>3338</v>
      </c>
      <c r="F871" s="28" t="s">
        <v>1529</v>
      </c>
      <c r="G871" s="27" t="s">
        <v>2107</v>
      </c>
      <c r="H871" s="27" t="s">
        <v>56</v>
      </c>
      <c r="I871" s="27" t="s">
        <v>64</v>
      </c>
      <c r="J871" s="28" t="s">
        <v>1329</v>
      </c>
      <c r="K871" s="27" t="s">
        <v>64</v>
      </c>
      <c r="L871" s="27" t="s">
        <v>1970</v>
      </c>
    </row>
    <row r="872" customFormat="false" ht="15" hidden="false" customHeight="false" outlineLevel="0" collapsed="false">
      <c r="A872" s="26" t="s">
        <v>3339</v>
      </c>
      <c r="B872" s="27" t="s">
        <v>3340</v>
      </c>
      <c r="C872" s="27" t="s">
        <v>144</v>
      </c>
      <c r="D872" s="26" t="s">
        <v>3337</v>
      </c>
      <c r="E872" s="27" t="s">
        <v>3338</v>
      </c>
      <c r="F872" s="28" t="s">
        <v>1529</v>
      </c>
      <c r="G872" s="27" t="s">
        <v>2107</v>
      </c>
      <c r="H872" s="27" t="s">
        <v>56</v>
      </c>
      <c r="I872" s="27" t="s">
        <v>64</v>
      </c>
      <c r="J872" s="28" t="s">
        <v>1329</v>
      </c>
      <c r="K872" s="27" t="s">
        <v>64</v>
      </c>
      <c r="L872" s="27" t="s">
        <v>1970</v>
      </c>
    </row>
    <row r="873" customFormat="false" ht="15" hidden="false" customHeight="false" outlineLevel="0" collapsed="false">
      <c r="A873" s="26" t="s">
        <v>3341</v>
      </c>
      <c r="B873" s="27" t="s">
        <v>3342</v>
      </c>
      <c r="C873" s="27" t="s">
        <v>144</v>
      </c>
      <c r="D873" s="26" t="s">
        <v>3337</v>
      </c>
      <c r="E873" s="27" t="s">
        <v>3338</v>
      </c>
      <c r="F873" s="28" t="s">
        <v>1529</v>
      </c>
      <c r="G873" s="27" t="s">
        <v>2107</v>
      </c>
      <c r="H873" s="27" t="s">
        <v>56</v>
      </c>
      <c r="I873" s="27" t="s">
        <v>64</v>
      </c>
      <c r="J873" s="28" t="s">
        <v>1329</v>
      </c>
      <c r="K873" s="27" t="s">
        <v>64</v>
      </c>
      <c r="L873" s="27" t="s">
        <v>1970</v>
      </c>
    </row>
    <row r="874" customFormat="false" ht="15" hidden="false" customHeight="false" outlineLevel="0" collapsed="false">
      <c r="A874" s="26" t="s">
        <v>3343</v>
      </c>
      <c r="B874" s="27" t="s">
        <v>3344</v>
      </c>
      <c r="C874" s="27" t="s">
        <v>144</v>
      </c>
      <c r="D874" s="26" t="s">
        <v>3345</v>
      </c>
      <c r="E874" s="27" t="s">
        <v>3346</v>
      </c>
      <c r="F874" s="28" t="s">
        <v>102</v>
      </c>
      <c r="G874" s="27" t="s">
        <v>2107</v>
      </c>
      <c r="H874" s="27" t="s">
        <v>56</v>
      </c>
      <c r="I874" s="27" t="s">
        <v>64</v>
      </c>
      <c r="J874" s="28" t="s">
        <v>1329</v>
      </c>
      <c r="K874" s="27" t="s">
        <v>64</v>
      </c>
      <c r="L874" s="27" t="s">
        <v>2215</v>
      </c>
    </row>
    <row r="875" customFormat="false" ht="15" hidden="false" customHeight="false" outlineLevel="0" collapsed="false">
      <c r="A875" s="26" t="s">
        <v>3347</v>
      </c>
      <c r="B875" s="27" t="s">
        <v>3348</v>
      </c>
      <c r="C875" s="27" t="s">
        <v>144</v>
      </c>
      <c r="D875" s="26" t="s">
        <v>3349</v>
      </c>
      <c r="E875" s="27" t="s">
        <v>3350</v>
      </c>
      <c r="F875" s="28" t="s">
        <v>373</v>
      </c>
      <c r="G875" s="27" t="s">
        <v>2107</v>
      </c>
      <c r="H875" s="27" t="s">
        <v>57</v>
      </c>
      <c r="I875" s="27" t="s">
        <v>42</v>
      </c>
      <c r="J875" s="28" t="s">
        <v>1329</v>
      </c>
      <c r="K875" s="27" t="s">
        <v>64</v>
      </c>
      <c r="L875" s="27" t="s">
        <v>74</v>
      </c>
    </row>
    <row r="876" customFormat="false" ht="15" hidden="false" customHeight="false" outlineLevel="0" collapsed="false">
      <c r="A876" s="26" t="s">
        <v>3351</v>
      </c>
      <c r="B876" s="27" t="s">
        <v>3352</v>
      </c>
      <c r="C876" s="27" t="s">
        <v>100</v>
      </c>
      <c r="D876" s="26" t="s">
        <v>3353</v>
      </c>
      <c r="E876" s="27" t="s">
        <v>3354</v>
      </c>
      <c r="F876" s="28" t="s">
        <v>373</v>
      </c>
      <c r="G876" s="27" t="s">
        <v>2107</v>
      </c>
      <c r="H876" s="27" t="s">
        <v>57</v>
      </c>
      <c r="I876" s="27" t="s">
        <v>42</v>
      </c>
      <c r="J876" s="28" t="s">
        <v>1329</v>
      </c>
      <c r="K876" s="27" t="s">
        <v>64</v>
      </c>
      <c r="L876" s="27" t="s">
        <v>3355</v>
      </c>
    </row>
    <row r="877" customFormat="false" ht="15" hidden="false" customHeight="false" outlineLevel="0" collapsed="false">
      <c r="A877" s="26" t="s">
        <v>3356</v>
      </c>
      <c r="B877" s="27" t="s">
        <v>3357</v>
      </c>
      <c r="C877" s="27" t="s">
        <v>1187</v>
      </c>
      <c r="D877" s="26" t="s">
        <v>3358</v>
      </c>
      <c r="E877" s="27" t="s">
        <v>3359</v>
      </c>
      <c r="F877" s="28" t="s">
        <v>1614</v>
      </c>
      <c r="G877" s="27" t="s">
        <v>2107</v>
      </c>
      <c r="H877" s="27" t="s">
        <v>57</v>
      </c>
      <c r="I877" s="27" t="s">
        <v>1067</v>
      </c>
      <c r="J877" s="28" t="s">
        <v>1329</v>
      </c>
      <c r="K877" s="27" t="s">
        <v>64</v>
      </c>
      <c r="L877" s="27" t="s">
        <v>3360</v>
      </c>
    </row>
    <row r="878" customFormat="false" ht="15" hidden="false" customHeight="false" outlineLevel="0" collapsed="false">
      <c r="A878" s="26" t="s">
        <v>3361</v>
      </c>
      <c r="B878" s="27" t="s">
        <v>3362</v>
      </c>
      <c r="C878" s="27" t="s">
        <v>144</v>
      </c>
      <c r="D878" s="26" t="s">
        <v>3363</v>
      </c>
      <c r="E878" s="27" t="s">
        <v>3364</v>
      </c>
      <c r="F878" s="28" t="s">
        <v>102</v>
      </c>
      <c r="G878" s="27" t="s">
        <v>2107</v>
      </c>
      <c r="H878" s="27" t="s">
        <v>56</v>
      </c>
      <c r="I878" s="27" t="s">
        <v>64</v>
      </c>
      <c r="J878" s="28" t="s">
        <v>1329</v>
      </c>
      <c r="K878" s="27" t="s">
        <v>64</v>
      </c>
      <c r="L878" s="27" t="s">
        <v>2215</v>
      </c>
    </row>
    <row r="879" customFormat="false" ht="15" hidden="false" customHeight="false" outlineLevel="0" collapsed="false">
      <c r="A879" s="26" t="s">
        <v>3365</v>
      </c>
      <c r="B879" s="27" t="s">
        <v>3366</v>
      </c>
      <c r="C879" s="27" t="s">
        <v>144</v>
      </c>
      <c r="D879" s="26" t="s">
        <v>1996</v>
      </c>
      <c r="E879" s="27" t="s">
        <v>1997</v>
      </c>
      <c r="F879" s="28" t="s">
        <v>373</v>
      </c>
      <c r="G879" s="27" t="s">
        <v>2107</v>
      </c>
      <c r="H879" s="27" t="s">
        <v>57</v>
      </c>
      <c r="I879" s="27" t="s">
        <v>42</v>
      </c>
      <c r="J879" s="28" t="s">
        <v>1329</v>
      </c>
      <c r="K879" s="27" t="s">
        <v>64</v>
      </c>
      <c r="L879" s="27" t="s">
        <v>74</v>
      </c>
    </row>
    <row r="880" customFormat="false" ht="15" hidden="false" customHeight="false" outlineLevel="0" collapsed="false">
      <c r="A880" s="26" t="s">
        <v>3367</v>
      </c>
      <c r="B880" s="27" t="s">
        <v>3368</v>
      </c>
      <c r="C880" s="27" t="s">
        <v>1527</v>
      </c>
      <c r="D880" s="26" t="s">
        <v>3369</v>
      </c>
      <c r="E880" s="27" t="s">
        <v>3370</v>
      </c>
      <c r="F880" s="28" t="s">
        <v>1496</v>
      </c>
      <c r="G880" s="27" t="s">
        <v>2107</v>
      </c>
      <c r="H880" s="27" t="s">
        <v>56</v>
      </c>
      <c r="I880" s="27" t="s">
        <v>43</v>
      </c>
      <c r="J880" s="28" t="s">
        <v>1483</v>
      </c>
      <c r="K880" s="27" t="s">
        <v>43</v>
      </c>
      <c r="L880" s="27" t="s">
        <v>2005</v>
      </c>
    </row>
    <row r="881" customFormat="false" ht="15" hidden="false" customHeight="false" outlineLevel="0" collapsed="false">
      <c r="A881" s="26" t="s">
        <v>3371</v>
      </c>
      <c r="B881" s="27" t="s">
        <v>3372</v>
      </c>
      <c r="C881" s="27" t="s">
        <v>3373</v>
      </c>
      <c r="D881" s="26" t="s">
        <v>3374</v>
      </c>
      <c r="E881" s="27" t="s">
        <v>3375</v>
      </c>
      <c r="F881" s="28" t="s">
        <v>146</v>
      </c>
      <c r="G881" s="27" t="s">
        <v>2107</v>
      </c>
      <c r="H881" s="27" t="s">
        <v>56</v>
      </c>
      <c r="I881" s="27" t="s">
        <v>43</v>
      </c>
      <c r="J881" s="28" t="s">
        <v>1483</v>
      </c>
      <c r="K881" s="27" t="s">
        <v>43</v>
      </c>
      <c r="L881" s="27" t="s">
        <v>3376</v>
      </c>
    </row>
    <row r="882" customFormat="false" ht="15" hidden="false" customHeight="false" outlineLevel="0" collapsed="false">
      <c r="A882" s="26" t="s">
        <v>3377</v>
      </c>
      <c r="B882" s="27" t="s">
        <v>3378</v>
      </c>
      <c r="C882" s="27" t="s">
        <v>1493</v>
      </c>
      <c r="D882" s="26" t="s">
        <v>3379</v>
      </c>
      <c r="E882" s="27" t="s">
        <v>3380</v>
      </c>
      <c r="F882" s="28" t="s">
        <v>3381</v>
      </c>
      <c r="G882" s="27" t="s">
        <v>2107</v>
      </c>
      <c r="H882" s="27" t="s">
        <v>56</v>
      </c>
      <c r="I882" s="27" t="s">
        <v>43</v>
      </c>
      <c r="J882" s="28" t="s">
        <v>1483</v>
      </c>
      <c r="K882" s="27" t="s">
        <v>43</v>
      </c>
      <c r="L882" s="27" t="s">
        <v>3382</v>
      </c>
    </row>
    <row r="883" customFormat="false" ht="15" hidden="false" customHeight="false" outlineLevel="0" collapsed="false">
      <c r="A883" s="26" t="s">
        <v>3383</v>
      </c>
      <c r="B883" s="27" t="s">
        <v>3384</v>
      </c>
      <c r="C883" s="27" t="s">
        <v>100</v>
      </c>
      <c r="D883" s="26" t="s">
        <v>3385</v>
      </c>
      <c r="E883" s="27" t="s">
        <v>3386</v>
      </c>
      <c r="F883" s="28" t="s">
        <v>1496</v>
      </c>
      <c r="G883" s="27" t="s">
        <v>2107</v>
      </c>
      <c r="H883" s="27" t="s">
        <v>56</v>
      </c>
      <c r="I883" s="27" t="s">
        <v>43</v>
      </c>
      <c r="J883" s="28" t="s">
        <v>1483</v>
      </c>
      <c r="K883" s="27" t="s">
        <v>43</v>
      </c>
      <c r="L883" s="27" t="s">
        <v>1949</v>
      </c>
    </row>
    <row r="884" customFormat="false" ht="15" hidden="false" customHeight="false" outlineLevel="0" collapsed="false">
      <c r="A884" s="26" t="s">
        <v>3387</v>
      </c>
      <c r="B884" s="27" t="s">
        <v>3388</v>
      </c>
      <c r="C884" s="27" t="s">
        <v>100</v>
      </c>
      <c r="D884" s="26" t="s">
        <v>3389</v>
      </c>
      <c r="E884" s="27" t="s">
        <v>3390</v>
      </c>
      <c r="F884" s="28" t="s">
        <v>1496</v>
      </c>
      <c r="G884" s="27" t="s">
        <v>2107</v>
      </c>
      <c r="H884" s="27" t="s">
        <v>56</v>
      </c>
      <c r="I884" s="27" t="s">
        <v>43</v>
      </c>
      <c r="J884" s="28" t="s">
        <v>1483</v>
      </c>
      <c r="K884" s="27" t="s">
        <v>43</v>
      </c>
      <c r="L884" s="27" t="s">
        <v>1949</v>
      </c>
    </row>
    <row r="885" customFormat="false" ht="15" hidden="false" customHeight="false" outlineLevel="0" collapsed="false">
      <c r="A885" s="26" t="s">
        <v>3391</v>
      </c>
      <c r="B885" s="27" t="s">
        <v>3392</v>
      </c>
      <c r="C885" s="27" t="s">
        <v>144</v>
      </c>
      <c r="D885" s="26" t="s">
        <v>3393</v>
      </c>
      <c r="E885" s="27" t="s">
        <v>3394</v>
      </c>
      <c r="F885" s="28" t="s">
        <v>134</v>
      </c>
      <c r="G885" s="27" t="s">
        <v>2107</v>
      </c>
      <c r="H885" s="27" t="s">
        <v>56</v>
      </c>
      <c r="I885" s="27" t="s">
        <v>43</v>
      </c>
      <c r="J885" s="28" t="s">
        <v>1483</v>
      </c>
      <c r="K885" s="27" t="s">
        <v>43</v>
      </c>
      <c r="L885" s="27" t="s">
        <v>3314</v>
      </c>
    </row>
    <row r="886" customFormat="false" ht="15" hidden="false" customHeight="false" outlineLevel="0" collapsed="false">
      <c r="A886" s="26" t="s">
        <v>3395</v>
      </c>
      <c r="B886" s="27" t="s">
        <v>3396</v>
      </c>
      <c r="C886" s="27" t="s">
        <v>3216</v>
      </c>
      <c r="D886" s="26" t="s">
        <v>3397</v>
      </c>
      <c r="E886" s="27" t="s">
        <v>3398</v>
      </c>
      <c r="F886" s="28" t="s">
        <v>146</v>
      </c>
      <c r="G886" s="27" t="s">
        <v>2107</v>
      </c>
      <c r="H886" s="27" t="s">
        <v>57</v>
      </c>
      <c r="I886" s="28" t="s">
        <v>50</v>
      </c>
      <c r="J886" s="28" t="s">
        <v>1483</v>
      </c>
      <c r="K886" s="27" t="s">
        <v>43</v>
      </c>
      <c r="L886" s="27" t="s">
        <v>3399</v>
      </c>
    </row>
    <row r="887" customFormat="false" ht="15" hidden="false" customHeight="false" outlineLevel="0" collapsed="false">
      <c r="A887" s="26" t="s">
        <v>3400</v>
      </c>
      <c r="B887" s="27" t="s">
        <v>3401</v>
      </c>
      <c r="C887" s="27" t="s">
        <v>131</v>
      </c>
      <c r="D887" s="26" t="s">
        <v>3397</v>
      </c>
      <c r="E887" s="27" t="s">
        <v>3398</v>
      </c>
      <c r="F887" s="28" t="s">
        <v>146</v>
      </c>
      <c r="G887" s="27" t="s">
        <v>2107</v>
      </c>
      <c r="H887" s="27" t="s">
        <v>57</v>
      </c>
      <c r="I887" s="28" t="s">
        <v>50</v>
      </c>
      <c r="J887" s="28" t="s">
        <v>1483</v>
      </c>
      <c r="K887" s="27" t="s">
        <v>43</v>
      </c>
      <c r="L887" s="27" t="s">
        <v>1962</v>
      </c>
    </row>
    <row r="888" customFormat="false" ht="15" hidden="false" customHeight="false" outlineLevel="0" collapsed="false">
      <c r="A888" s="26" t="s">
        <v>3402</v>
      </c>
      <c r="B888" s="27" t="s">
        <v>3403</v>
      </c>
      <c r="C888" s="27" t="s">
        <v>1493</v>
      </c>
      <c r="D888" s="26" t="s">
        <v>3404</v>
      </c>
      <c r="E888" s="27" t="s">
        <v>3405</v>
      </c>
      <c r="F888" s="28" t="s">
        <v>102</v>
      </c>
      <c r="G888" s="27" t="s">
        <v>2107</v>
      </c>
      <c r="H888" s="27" t="s">
        <v>57</v>
      </c>
      <c r="I888" s="27" t="s">
        <v>41</v>
      </c>
      <c r="J888" s="28" t="s">
        <v>1483</v>
      </c>
      <c r="K888" s="27" t="s">
        <v>43</v>
      </c>
      <c r="L888" s="27" t="s">
        <v>2014</v>
      </c>
    </row>
    <row r="889" customFormat="false" ht="15" hidden="false" customHeight="false" outlineLevel="0" collapsed="false">
      <c r="A889" s="26" t="s">
        <v>3406</v>
      </c>
      <c r="B889" s="27" t="s">
        <v>3407</v>
      </c>
      <c r="C889" s="27" t="s">
        <v>1493</v>
      </c>
      <c r="D889" s="26" t="s">
        <v>3408</v>
      </c>
      <c r="E889" s="27" t="s">
        <v>3409</v>
      </c>
      <c r="F889" s="28" t="s">
        <v>146</v>
      </c>
      <c r="G889" s="27" t="s">
        <v>2107</v>
      </c>
      <c r="H889" s="27" t="s">
        <v>56</v>
      </c>
      <c r="I889" s="27" t="s">
        <v>43</v>
      </c>
      <c r="J889" s="28" t="s">
        <v>1483</v>
      </c>
      <c r="K889" s="27" t="s">
        <v>43</v>
      </c>
      <c r="L889" s="27" t="s">
        <v>2505</v>
      </c>
    </row>
    <row r="890" customFormat="false" ht="15" hidden="false" customHeight="false" outlineLevel="0" collapsed="false">
      <c r="A890" s="26" t="s">
        <v>3410</v>
      </c>
      <c r="B890" s="27" t="s">
        <v>3411</v>
      </c>
      <c r="C890" s="27" t="s">
        <v>1493</v>
      </c>
      <c r="D890" s="26" t="s">
        <v>3412</v>
      </c>
      <c r="E890" s="27" t="s">
        <v>3413</v>
      </c>
      <c r="F890" s="28" t="s">
        <v>102</v>
      </c>
      <c r="G890" s="27" t="s">
        <v>2107</v>
      </c>
      <c r="H890" s="27" t="s">
        <v>56</v>
      </c>
      <c r="I890" s="27" t="s">
        <v>43</v>
      </c>
      <c r="J890" s="28" t="s">
        <v>1483</v>
      </c>
      <c r="K890" s="27" t="s">
        <v>43</v>
      </c>
      <c r="L890" s="27" t="s">
        <v>2014</v>
      </c>
    </row>
    <row r="891" customFormat="false" ht="15" hidden="false" customHeight="false" outlineLevel="0" collapsed="false">
      <c r="A891" s="26" t="s">
        <v>3414</v>
      </c>
      <c r="B891" s="27" t="s">
        <v>3415</v>
      </c>
      <c r="C891" s="27" t="s">
        <v>144</v>
      </c>
      <c r="D891" s="26" t="s">
        <v>3416</v>
      </c>
      <c r="E891" s="27" t="s">
        <v>3417</v>
      </c>
      <c r="F891" s="28" t="s">
        <v>373</v>
      </c>
      <c r="G891" s="27" t="s">
        <v>2107</v>
      </c>
      <c r="H891" s="27" t="s">
        <v>57</v>
      </c>
      <c r="I891" s="27" t="s">
        <v>39</v>
      </c>
      <c r="J891" s="28" t="s">
        <v>1483</v>
      </c>
      <c r="K891" s="27" t="s">
        <v>43</v>
      </c>
      <c r="L891" s="27" t="s">
        <v>74</v>
      </c>
    </row>
    <row r="892" customFormat="false" ht="15" hidden="false" customHeight="false" outlineLevel="0" collapsed="false">
      <c r="A892" s="26" t="s">
        <v>3418</v>
      </c>
      <c r="B892" s="27" t="s">
        <v>3419</v>
      </c>
      <c r="C892" s="27" t="s">
        <v>131</v>
      </c>
      <c r="D892" s="26" t="s">
        <v>112</v>
      </c>
      <c r="E892" s="27" t="s">
        <v>111</v>
      </c>
      <c r="F892" s="28" t="s">
        <v>102</v>
      </c>
      <c r="G892" s="27" t="s">
        <v>2107</v>
      </c>
      <c r="H892" s="27" t="s">
        <v>57</v>
      </c>
      <c r="I892" s="27" t="s">
        <v>108</v>
      </c>
      <c r="J892" s="28" t="s">
        <v>1483</v>
      </c>
      <c r="K892" s="27" t="s">
        <v>43</v>
      </c>
      <c r="L892" s="27" t="s">
        <v>1916</v>
      </c>
    </row>
    <row r="893" customFormat="false" ht="15" hidden="false" customHeight="false" outlineLevel="0" collapsed="false">
      <c r="A893" s="26" t="s">
        <v>3420</v>
      </c>
      <c r="B893" s="27" t="s">
        <v>3421</v>
      </c>
      <c r="C893" s="27" t="s">
        <v>144</v>
      </c>
      <c r="D893" s="26" t="s">
        <v>3422</v>
      </c>
      <c r="E893" s="27" t="s">
        <v>3423</v>
      </c>
      <c r="F893" s="28" t="s">
        <v>1190</v>
      </c>
      <c r="G893" s="27" t="s">
        <v>2107</v>
      </c>
      <c r="H893" s="27" t="s">
        <v>56</v>
      </c>
      <c r="I893" s="27" t="s">
        <v>42</v>
      </c>
      <c r="J893" s="28" t="s">
        <v>1579</v>
      </c>
      <c r="K893" s="27" t="s">
        <v>42</v>
      </c>
      <c r="L893" s="27" t="s">
        <v>81</v>
      </c>
    </row>
    <row r="894" customFormat="false" ht="15" hidden="false" customHeight="false" outlineLevel="0" collapsed="false">
      <c r="A894" s="26" t="s">
        <v>3424</v>
      </c>
      <c r="B894" s="27" t="s">
        <v>3425</v>
      </c>
      <c r="C894" s="27" t="s">
        <v>144</v>
      </c>
      <c r="D894" s="26" t="s">
        <v>3426</v>
      </c>
      <c r="E894" s="27" t="s">
        <v>3427</v>
      </c>
      <c r="F894" s="28" t="s">
        <v>1614</v>
      </c>
      <c r="G894" s="27" t="s">
        <v>2107</v>
      </c>
      <c r="H894" s="27" t="s">
        <v>56</v>
      </c>
      <c r="I894" s="27" t="s">
        <v>42</v>
      </c>
      <c r="J894" s="28" t="s">
        <v>1579</v>
      </c>
      <c r="K894" s="27" t="s">
        <v>42</v>
      </c>
      <c r="L894" s="27" t="s">
        <v>2051</v>
      </c>
    </row>
    <row r="895" customFormat="false" ht="15" hidden="false" customHeight="false" outlineLevel="0" collapsed="false">
      <c r="A895" s="26" t="s">
        <v>3428</v>
      </c>
      <c r="B895" s="27" t="s">
        <v>3429</v>
      </c>
      <c r="C895" s="27" t="s">
        <v>380</v>
      </c>
      <c r="D895" s="26" t="s">
        <v>3430</v>
      </c>
      <c r="E895" s="27" t="s">
        <v>3431</v>
      </c>
      <c r="F895" s="28" t="s">
        <v>1529</v>
      </c>
      <c r="G895" s="27" t="s">
        <v>2107</v>
      </c>
      <c r="H895" s="27" t="s">
        <v>57</v>
      </c>
      <c r="I895" s="27" t="s">
        <v>3432</v>
      </c>
      <c r="J895" s="28" t="s">
        <v>1579</v>
      </c>
      <c r="K895" s="27" t="s">
        <v>42</v>
      </c>
      <c r="L895" s="27" t="s">
        <v>3433</v>
      </c>
    </row>
    <row r="896" customFormat="false" ht="15" hidden="false" customHeight="false" outlineLevel="0" collapsed="false">
      <c r="A896" s="26" t="s">
        <v>3434</v>
      </c>
      <c r="B896" s="27" t="s">
        <v>3435</v>
      </c>
      <c r="C896" s="27" t="s">
        <v>1527</v>
      </c>
      <c r="D896" s="26" t="s">
        <v>3436</v>
      </c>
      <c r="E896" s="27" t="s">
        <v>3437</v>
      </c>
      <c r="F896" s="28" t="s">
        <v>383</v>
      </c>
      <c r="G896" s="27" t="s">
        <v>2107</v>
      </c>
      <c r="H896" s="27" t="s">
        <v>56</v>
      </c>
      <c r="I896" s="27" t="s">
        <v>42</v>
      </c>
      <c r="J896" s="28" t="s">
        <v>1579</v>
      </c>
      <c r="K896" s="27" t="s">
        <v>42</v>
      </c>
      <c r="L896" s="27" t="s">
        <v>2058</v>
      </c>
    </row>
    <row r="897" customFormat="false" ht="15" hidden="false" customHeight="false" outlineLevel="0" collapsed="false">
      <c r="A897" s="26" t="s">
        <v>3438</v>
      </c>
      <c r="B897" s="27" t="s">
        <v>3439</v>
      </c>
      <c r="C897" s="27" t="s">
        <v>1527</v>
      </c>
      <c r="D897" s="26" t="s">
        <v>3436</v>
      </c>
      <c r="E897" s="27" t="s">
        <v>3437</v>
      </c>
      <c r="F897" s="28" t="s">
        <v>383</v>
      </c>
      <c r="G897" s="27" t="s">
        <v>2107</v>
      </c>
      <c r="H897" s="27" t="s">
        <v>56</v>
      </c>
      <c r="I897" s="27" t="s">
        <v>42</v>
      </c>
      <c r="J897" s="28" t="s">
        <v>1579</v>
      </c>
      <c r="K897" s="27" t="s">
        <v>42</v>
      </c>
      <c r="L897" s="27" t="s">
        <v>2058</v>
      </c>
    </row>
    <row r="898" customFormat="false" ht="15" hidden="false" customHeight="false" outlineLevel="0" collapsed="false">
      <c r="A898" s="26" t="s">
        <v>3440</v>
      </c>
      <c r="B898" s="27" t="s">
        <v>3441</v>
      </c>
      <c r="C898" s="27" t="s">
        <v>1527</v>
      </c>
      <c r="D898" s="26" t="s">
        <v>3442</v>
      </c>
      <c r="E898" s="27" t="s">
        <v>3443</v>
      </c>
      <c r="F898" s="28" t="s">
        <v>383</v>
      </c>
      <c r="G898" s="27" t="s">
        <v>2107</v>
      </c>
      <c r="H898" s="27" t="s">
        <v>56</v>
      </c>
      <c r="I898" s="27" t="s">
        <v>42</v>
      </c>
      <c r="J898" s="28" t="s">
        <v>1579</v>
      </c>
      <c r="K898" s="27" t="s">
        <v>42</v>
      </c>
      <c r="L898" s="27" t="s">
        <v>2058</v>
      </c>
    </row>
    <row r="899" customFormat="false" ht="15" hidden="false" customHeight="false" outlineLevel="0" collapsed="false">
      <c r="A899" s="26" t="s">
        <v>3444</v>
      </c>
      <c r="B899" s="27" t="s">
        <v>3445</v>
      </c>
      <c r="C899" s="27" t="s">
        <v>144</v>
      </c>
      <c r="D899" s="26" t="s">
        <v>3446</v>
      </c>
      <c r="E899" s="27" t="s">
        <v>3447</v>
      </c>
      <c r="F899" s="28" t="s">
        <v>102</v>
      </c>
      <c r="G899" s="27" t="s">
        <v>2107</v>
      </c>
      <c r="H899" s="27" t="s">
        <v>57</v>
      </c>
      <c r="I899" s="27" t="s">
        <v>49</v>
      </c>
      <c r="J899" s="28" t="s">
        <v>1579</v>
      </c>
      <c r="K899" s="27" t="s">
        <v>42</v>
      </c>
      <c r="L899" s="27" t="s">
        <v>2215</v>
      </c>
    </row>
    <row r="900" customFormat="false" ht="15" hidden="false" customHeight="false" outlineLevel="0" collapsed="false">
      <c r="A900" s="26" t="s">
        <v>3448</v>
      </c>
      <c r="B900" s="27" t="s">
        <v>3449</v>
      </c>
      <c r="C900" s="27" t="s">
        <v>1527</v>
      </c>
      <c r="D900" s="26" t="s">
        <v>3450</v>
      </c>
      <c r="E900" s="27" t="s">
        <v>3451</v>
      </c>
      <c r="F900" s="28" t="s">
        <v>146</v>
      </c>
      <c r="G900" s="27" t="s">
        <v>2107</v>
      </c>
      <c r="H900" s="27" t="s">
        <v>56</v>
      </c>
      <c r="I900" s="27" t="s">
        <v>42</v>
      </c>
      <c r="J900" s="28" t="s">
        <v>1579</v>
      </c>
      <c r="K900" s="27" t="s">
        <v>42</v>
      </c>
      <c r="L900" s="27" t="s">
        <v>1895</v>
      </c>
    </row>
    <row r="901" customFormat="false" ht="15" hidden="false" customHeight="false" outlineLevel="0" collapsed="false">
      <c r="A901" s="26" t="s">
        <v>3452</v>
      </c>
      <c r="B901" s="27" t="s">
        <v>3453</v>
      </c>
      <c r="C901" s="27" t="s">
        <v>2041</v>
      </c>
      <c r="D901" s="26" t="s">
        <v>3454</v>
      </c>
      <c r="E901" s="27" t="s">
        <v>3455</v>
      </c>
      <c r="F901" s="28" t="s">
        <v>140</v>
      </c>
      <c r="G901" s="27" t="s">
        <v>2107</v>
      </c>
      <c r="H901" s="27" t="s">
        <v>57</v>
      </c>
      <c r="I901" s="27" t="s">
        <v>41</v>
      </c>
      <c r="J901" s="28" t="s">
        <v>1579</v>
      </c>
      <c r="K901" s="27" t="s">
        <v>42</v>
      </c>
      <c r="L901" s="27" t="s">
        <v>2671</v>
      </c>
    </row>
    <row r="902" customFormat="false" ht="15" hidden="false" customHeight="false" outlineLevel="0" collapsed="false">
      <c r="A902" s="26" t="s">
        <v>3456</v>
      </c>
      <c r="B902" s="27" t="s">
        <v>3457</v>
      </c>
      <c r="C902" s="27" t="s">
        <v>144</v>
      </c>
      <c r="D902" s="26" t="s">
        <v>3458</v>
      </c>
      <c r="E902" s="27" t="s">
        <v>3459</v>
      </c>
      <c r="F902" s="28" t="s">
        <v>2073</v>
      </c>
      <c r="G902" s="27" t="s">
        <v>2107</v>
      </c>
      <c r="H902" s="27" t="s">
        <v>56</v>
      </c>
      <c r="I902" s="27" t="s">
        <v>42</v>
      </c>
      <c r="J902" s="28" t="s">
        <v>1579</v>
      </c>
      <c r="K902" s="27" t="s">
        <v>42</v>
      </c>
      <c r="L902" s="27" t="s">
        <v>2074</v>
      </c>
    </row>
    <row r="903" customFormat="false" ht="15" hidden="false" customHeight="false" outlineLevel="0" collapsed="false">
      <c r="A903" s="26" t="s">
        <v>3460</v>
      </c>
      <c r="B903" s="27" t="s">
        <v>3461</v>
      </c>
      <c r="C903" s="27" t="s">
        <v>1527</v>
      </c>
      <c r="D903" s="26" t="s">
        <v>3442</v>
      </c>
      <c r="E903" s="27" t="s">
        <v>3443</v>
      </c>
      <c r="F903" s="28" t="s">
        <v>383</v>
      </c>
      <c r="G903" s="27" t="s">
        <v>2107</v>
      </c>
      <c r="H903" s="27" t="s">
        <v>56</v>
      </c>
      <c r="I903" s="27" t="s">
        <v>42</v>
      </c>
      <c r="J903" s="28" t="s">
        <v>1579</v>
      </c>
      <c r="K903" s="27" t="s">
        <v>42</v>
      </c>
      <c r="L903" s="27" t="s">
        <v>2058</v>
      </c>
    </row>
    <row r="904" customFormat="false" ht="15" hidden="false" customHeight="false" outlineLevel="0" collapsed="false">
      <c r="A904" s="26" t="s">
        <v>3462</v>
      </c>
      <c r="B904" s="27" t="s">
        <v>3463</v>
      </c>
      <c r="C904" s="27" t="s">
        <v>144</v>
      </c>
      <c r="D904" s="26" t="s">
        <v>1667</v>
      </c>
      <c r="E904" s="27" t="s">
        <v>1668</v>
      </c>
      <c r="F904" s="28" t="s">
        <v>1529</v>
      </c>
      <c r="G904" s="27" t="s">
        <v>2107</v>
      </c>
      <c r="H904" s="27" t="s">
        <v>56</v>
      </c>
      <c r="I904" s="27" t="s">
        <v>42</v>
      </c>
      <c r="J904" s="28" t="s">
        <v>1579</v>
      </c>
      <c r="K904" s="27" t="s">
        <v>42</v>
      </c>
      <c r="L904" s="27" t="s">
        <v>1970</v>
      </c>
    </row>
    <row r="905" customFormat="false" ht="15" hidden="false" customHeight="false" outlineLevel="0" collapsed="false">
      <c r="A905" s="26" t="s">
        <v>3464</v>
      </c>
      <c r="B905" s="27" t="s">
        <v>3465</v>
      </c>
      <c r="C905" s="27" t="s">
        <v>1527</v>
      </c>
      <c r="D905" s="26" t="s">
        <v>3466</v>
      </c>
      <c r="E905" s="27" t="s">
        <v>3467</v>
      </c>
      <c r="F905" s="28" t="s">
        <v>146</v>
      </c>
      <c r="G905" s="27" t="s">
        <v>2107</v>
      </c>
      <c r="H905" s="27" t="s">
        <v>56</v>
      </c>
      <c r="I905" s="27" t="s">
        <v>42</v>
      </c>
      <c r="J905" s="28" t="s">
        <v>1579</v>
      </c>
      <c r="K905" s="27" t="s">
        <v>42</v>
      </c>
      <c r="L905" s="27" t="s">
        <v>1895</v>
      </c>
    </row>
    <row r="906" customFormat="false" ht="15" hidden="false" customHeight="false" outlineLevel="0" collapsed="false">
      <c r="A906" s="26" t="s">
        <v>3468</v>
      </c>
      <c r="B906" s="27" t="s">
        <v>3469</v>
      </c>
      <c r="C906" s="27" t="s">
        <v>144</v>
      </c>
      <c r="D906" s="26" t="s">
        <v>3470</v>
      </c>
      <c r="E906" s="27" t="s">
        <v>3471</v>
      </c>
      <c r="F906" s="28" t="s">
        <v>373</v>
      </c>
      <c r="G906" s="27" t="s">
        <v>2107</v>
      </c>
      <c r="H906" s="27" t="s">
        <v>56</v>
      </c>
      <c r="I906" s="27" t="s">
        <v>42</v>
      </c>
      <c r="J906" s="28" t="s">
        <v>1579</v>
      </c>
      <c r="K906" s="27" t="s">
        <v>42</v>
      </c>
      <c r="L906" s="27" t="s">
        <v>74</v>
      </c>
    </row>
    <row r="907" customFormat="false" ht="15" hidden="false" customHeight="false" outlineLevel="0" collapsed="false">
      <c r="A907" s="26" t="s">
        <v>3472</v>
      </c>
      <c r="B907" s="27" t="s">
        <v>3473</v>
      </c>
      <c r="C907" s="27" t="s">
        <v>1527</v>
      </c>
      <c r="D907" s="26" t="s">
        <v>3474</v>
      </c>
      <c r="E907" s="27" t="s">
        <v>3475</v>
      </c>
      <c r="F907" s="28" t="s">
        <v>146</v>
      </c>
      <c r="G907" s="27" t="s">
        <v>2107</v>
      </c>
      <c r="H907" s="27" t="s">
        <v>56</v>
      </c>
      <c r="I907" s="27" t="s">
        <v>42</v>
      </c>
      <c r="J907" s="28" t="s">
        <v>1579</v>
      </c>
      <c r="K907" s="27" t="s">
        <v>42</v>
      </c>
      <c r="L907" s="27" t="s">
        <v>1895</v>
      </c>
    </row>
    <row r="908" customFormat="false" ht="15" hidden="false" customHeight="false" outlineLevel="0" collapsed="false">
      <c r="A908" s="26" t="s">
        <v>3476</v>
      </c>
      <c r="B908" s="27" t="s">
        <v>3477</v>
      </c>
      <c r="C908" s="27" t="s">
        <v>144</v>
      </c>
      <c r="D908" s="26" t="s">
        <v>3478</v>
      </c>
      <c r="E908" s="27" t="s">
        <v>3479</v>
      </c>
      <c r="F908" s="28" t="s">
        <v>373</v>
      </c>
      <c r="G908" s="27" t="s">
        <v>2107</v>
      </c>
      <c r="H908" s="27" t="s">
        <v>56</v>
      </c>
      <c r="I908" s="27" t="s">
        <v>42</v>
      </c>
      <c r="J908" s="28" t="s">
        <v>1579</v>
      </c>
      <c r="K908" s="27" t="s">
        <v>42</v>
      </c>
      <c r="L908" s="27" t="s">
        <v>74</v>
      </c>
    </row>
    <row r="909" customFormat="false" ht="15" hidden="false" customHeight="false" outlineLevel="0" collapsed="false">
      <c r="A909" s="26" t="s">
        <v>3480</v>
      </c>
      <c r="B909" s="27" t="s">
        <v>3481</v>
      </c>
      <c r="C909" s="27" t="s">
        <v>3482</v>
      </c>
      <c r="D909" s="26" t="s">
        <v>3483</v>
      </c>
      <c r="E909" s="27" t="s">
        <v>3484</v>
      </c>
      <c r="F909" s="28" t="s">
        <v>146</v>
      </c>
      <c r="G909" s="27" t="s">
        <v>2107</v>
      </c>
      <c r="H909" s="27" t="s">
        <v>57</v>
      </c>
      <c r="I909" s="28" t="s">
        <v>50</v>
      </c>
      <c r="J909" s="28" t="s">
        <v>1579</v>
      </c>
      <c r="K909" s="27" t="s">
        <v>42</v>
      </c>
      <c r="L909" s="27" t="s">
        <v>3485</v>
      </c>
    </row>
    <row r="910" customFormat="false" ht="15" hidden="false" customHeight="false" outlineLevel="0" collapsed="false">
      <c r="A910" s="26" t="s">
        <v>3486</v>
      </c>
      <c r="B910" s="27" t="s">
        <v>3487</v>
      </c>
      <c r="C910" s="27" t="s">
        <v>1527</v>
      </c>
      <c r="D910" s="26" t="s">
        <v>3488</v>
      </c>
      <c r="E910" s="27" t="s">
        <v>3489</v>
      </c>
      <c r="F910" s="28" t="s">
        <v>1158</v>
      </c>
      <c r="G910" s="27" t="s">
        <v>2107</v>
      </c>
      <c r="H910" s="27" t="s">
        <v>57</v>
      </c>
      <c r="I910" s="28" t="s">
        <v>50</v>
      </c>
      <c r="J910" s="28" t="s">
        <v>1579</v>
      </c>
      <c r="K910" s="27" t="s">
        <v>42</v>
      </c>
      <c r="L910" s="27" t="s">
        <v>2085</v>
      </c>
    </row>
    <row r="911" customFormat="false" ht="15" hidden="false" customHeight="false" outlineLevel="0" collapsed="false">
      <c r="A911" s="26" t="s">
        <v>3490</v>
      </c>
      <c r="B911" s="27" t="s">
        <v>3491</v>
      </c>
      <c r="C911" s="27" t="s">
        <v>1527</v>
      </c>
      <c r="D911" s="26" t="s">
        <v>3492</v>
      </c>
      <c r="E911" s="27" t="s">
        <v>3493</v>
      </c>
      <c r="F911" s="28" t="s">
        <v>1158</v>
      </c>
      <c r="G911" s="27" t="s">
        <v>2107</v>
      </c>
      <c r="H911" s="27" t="s">
        <v>57</v>
      </c>
      <c r="I911" s="28" t="s">
        <v>50</v>
      </c>
      <c r="J911" s="28" t="s">
        <v>1579</v>
      </c>
      <c r="K911" s="27" t="s">
        <v>42</v>
      </c>
      <c r="L911" s="27" t="s">
        <v>2085</v>
      </c>
    </row>
    <row r="912" customFormat="false" ht="15" hidden="false" customHeight="false" outlineLevel="0" collapsed="false">
      <c r="A912" s="26" t="s">
        <v>3494</v>
      </c>
      <c r="B912" s="27" t="s">
        <v>3495</v>
      </c>
      <c r="C912" s="27" t="s">
        <v>137</v>
      </c>
      <c r="D912" s="26" t="s">
        <v>3496</v>
      </c>
      <c r="E912" s="27" t="s">
        <v>3497</v>
      </c>
      <c r="F912" s="28" t="s">
        <v>146</v>
      </c>
      <c r="G912" s="27" t="s">
        <v>2107</v>
      </c>
      <c r="H912" s="27" t="s">
        <v>57</v>
      </c>
      <c r="I912" s="27" t="s">
        <v>1296</v>
      </c>
      <c r="J912" s="28" t="s">
        <v>1579</v>
      </c>
      <c r="K912" s="27" t="s">
        <v>42</v>
      </c>
      <c r="L912" s="27" t="s">
        <v>80</v>
      </c>
    </row>
    <row r="913" customFormat="false" ht="15" hidden="false" customHeight="false" outlineLevel="0" collapsed="false">
      <c r="A913" s="26" t="s">
        <v>3498</v>
      </c>
      <c r="B913" s="27" t="s">
        <v>3499</v>
      </c>
      <c r="C913" s="27" t="s">
        <v>144</v>
      </c>
      <c r="D913" s="26" t="s">
        <v>2071</v>
      </c>
      <c r="E913" s="27" t="s">
        <v>2072</v>
      </c>
      <c r="F913" s="28" t="s">
        <v>2073</v>
      </c>
      <c r="G913" s="27" t="s">
        <v>2107</v>
      </c>
      <c r="H913" s="27" t="s">
        <v>56</v>
      </c>
      <c r="I913" s="27" t="s">
        <v>42</v>
      </c>
      <c r="J913" s="28" t="s">
        <v>1579</v>
      </c>
      <c r="K913" s="27" t="s">
        <v>42</v>
      </c>
      <c r="L913" s="27" t="s">
        <v>2074</v>
      </c>
    </row>
    <row r="914" customFormat="false" ht="15" hidden="false" customHeight="false" outlineLevel="0" collapsed="false">
      <c r="A914" s="26" t="s">
        <v>3500</v>
      </c>
      <c r="B914" s="27" t="s">
        <v>3501</v>
      </c>
      <c r="C914" s="27" t="s">
        <v>144</v>
      </c>
      <c r="D914" s="26" t="s">
        <v>2071</v>
      </c>
      <c r="E914" s="27" t="s">
        <v>2072</v>
      </c>
      <c r="F914" s="28" t="s">
        <v>2073</v>
      </c>
      <c r="G914" s="27" t="s">
        <v>2107</v>
      </c>
      <c r="H914" s="27" t="s">
        <v>56</v>
      </c>
      <c r="I914" s="27" t="s">
        <v>42</v>
      </c>
      <c r="J914" s="28" t="s">
        <v>1579</v>
      </c>
      <c r="K914" s="27" t="s">
        <v>42</v>
      </c>
      <c r="L914" s="27" t="s">
        <v>2074</v>
      </c>
    </row>
    <row r="915" customFormat="false" ht="15" hidden="false" customHeight="false" outlineLevel="0" collapsed="false">
      <c r="A915" s="26" t="s">
        <v>3502</v>
      </c>
      <c r="B915" s="27" t="s">
        <v>3503</v>
      </c>
      <c r="C915" s="27" t="s">
        <v>144</v>
      </c>
      <c r="D915" s="26" t="s">
        <v>2071</v>
      </c>
      <c r="E915" s="27" t="s">
        <v>2072</v>
      </c>
      <c r="F915" s="28" t="s">
        <v>2073</v>
      </c>
      <c r="G915" s="27" t="s">
        <v>2107</v>
      </c>
      <c r="H915" s="27" t="s">
        <v>56</v>
      </c>
      <c r="I915" s="27" t="s">
        <v>42</v>
      </c>
      <c r="J915" s="28" t="s">
        <v>1579</v>
      </c>
      <c r="K915" s="27" t="s">
        <v>42</v>
      </c>
      <c r="L915" s="27" t="s">
        <v>2074</v>
      </c>
    </row>
    <row r="916" customFormat="false" ht="15" hidden="false" customHeight="false" outlineLevel="0" collapsed="false">
      <c r="A916" s="26" t="s">
        <v>3504</v>
      </c>
      <c r="B916" s="27" t="s">
        <v>3505</v>
      </c>
      <c r="C916" s="27" t="s">
        <v>100</v>
      </c>
      <c r="D916" s="26" t="s">
        <v>3506</v>
      </c>
      <c r="E916" s="27" t="s">
        <v>3507</v>
      </c>
      <c r="F916" s="28" t="s">
        <v>1158</v>
      </c>
      <c r="G916" s="27" t="s">
        <v>2107</v>
      </c>
      <c r="H916" s="27" t="s">
        <v>56</v>
      </c>
      <c r="I916" s="27" t="s">
        <v>42</v>
      </c>
      <c r="J916" s="28" t="s">
        <v>1579</v>
      </c>
      <c r="K916" s="27" t="s">
        <v>42</v>
      </c>
      <c r="L916" s="27" t="s">
        <v>3297</v>
      </c>
    </row>
    <row r="917" customFormat="false" ht="15" hidden="false" customHeight="false" outlineLevel="0" collapsed="false">
      <c r="A917" s="26" t="s">
        <v>3508</v>
      </c>
      <c r="B917" s="27" t="s">
        <v>3509</v>
      </c>
      <c r="C917" s="27" t="s">
        <v>1527</v>
      </c>
      <c r="D917" s="26" t="s">
        <v>3510</v>
      </c>
      <c r="E917" s="27" t="s">
        <v>3511</v>
      </c>
      <c r="F917" s="28" t="s">
        <v>146</v>
      </c>
      <c r="G917" s="27" t="s">
        <v>2107</v>
      </c>
      <c r="H917" s="27" t="s">
        <v>57</v>
      </c>
      <c r="I917" s="27" t="s">
        <v>1067</v>
      </c>
      <c r="J917" s="28" t="s">
        <v>1579</v>
      </c>
      <c r="K917" s="27" t="s">
        <v>42</v>
      </c>
      <c r="L917" s="27" t="s">
        <v>1895</v>
      </c>
    </row>
    <row r="918" customFormat="false" ht="15" hidden="false" customHeight="false" outlineLevel="0" collapsed="false">
      <c r="A918" s="26" t="s">
        <v>3512</v>
      </c>
      <c r="B918" s="27" t="s">
        <v>3513</v>
      </c>
      <c r="C918" s="27" t="s">
        <v>144</v>
      </c>
      <c r="D918" s="26" t="s">
        <v>3514</v>
      </c>
      <c r="E918" s="27" t="s">
        <v>3515</v>
      </c>
      <c r="F918" s="28" t="s">
        <v>373</v>
      </c>
      <c r="G918" s="27" t="s">
        <v>2107</v>
      </c>
      <c r="H918" s="27" t="s">
        <v>57</v>
      </c>
      <c r="I918" s="28" t="s">
        <v>50</v>
      </c>
      <c r="J918" s="28" t="s">
        <v>1579</v>
      </c>
      <c r="K918" s="27" t="s">
        <v>42</v>
      </c>
      <c r="L918" s="27" t="s">
        <v>74</v>
      </c>
    </row>
    <row r="919" customFormat="false" ht="15" hidden="false" customHeight="false" outlineLevel="0" collapsed="false">
      <c r="A919" s="26" t="s">
        <v>3516</v>
      </c>
      <c r="B919" s="27" t="s">
        <v>3517</v>
      </c>
      <c r="C919" s="27" t="s">
        <v>144</v>
      </c>
      <c r="D919" s="26" t="s">
        <v>3518</v>
      </c>
      <c r="E919" s="27" t="s">
        <v>3519</v>
      </c>
      <c r="F919" s="28" t="s">
        <v>2101</v>
      </c>
      <c r="G919" s="27" t="s">
        <v>2107</v>
      </c>
      <c r="H919" s="27" t="s">
        <v>57</v>
      </c>
      <c r="I919" s="27" t="s">
        <v>47</v>
      </c>
      <c r="J919" s="28" t="s">
        <v>1579</v>
      </c>
      <c r="K919" s="27" t="s">
        <v>42</v>
      </c>
      <c r="L919" s="27" t="s">
        <v>3520</v>
      </c>
    </row>
    <row r="920" customFormat="false" ht="15" hidden="false" customHeight="false" outlineLevel="0" collapsed="false">
      <c r="A920" s="26" t="s">
        <v>3521</v>
      </c>
      <c r="B920" s="27" t="s">
        <v>3522</v>
      </c>
      <c r="C920" s="27" t="s">
        <v>144</v>
      </c>
      <c r="D920" s="26" t="s">
        <v>2047</v>
      </c>
      <c r="E920" s="27" t="s">
        <v>2046</v>
      </c>
      <c r="F920" s="28" t="s">
        <v>1529</v>
      </c>
      <c r="G920" s="27" t="s">
        <v>2107</v>
      </c>
      <c r="H920" s="27" t="s">
        <v>56</v>
      </c>
      <c r="I920" s="27" t="s">
        <v>42</v>
      </c>
      <c r="J920" s="28" t="s">
        <v>1579</v>
      </c>
      <c r="K920" s="27" t="s">
        <v>42</v>
      </c>
      <c r="L920" s="27" t="s">
        <v>1970</v>
      </c>
    </row>
    <row r="921" customFormat="false" ht="15" hidden="false" customHeight="false" outlineLevel="0" collapsed="false">
      <c r="A921" s="26" t="s">
        <v>3523</v>
      </c>
      <c r="B921" s="27" t="s">
        <v>3524</v>
      </c>
      <c r="C921" s="27" t="s">
        <v>1612</v>
      </c>
      <c r="D921" s="26" t="s">
        <v>3525</v>
      </c>
      <c r="E921" s="27" t="s">
        <v>3526</v>
      </c>
      <c r="F921" s="28" t="s">
        <v>146</v>
      </c>
      <c r="G921" s="27" t="s">
        <v>2107</v>
      </c>
      <c r="H921" s="27" t="s">
        <v>57</v>
      </c>
      <c r="I921" s="27" t="s">
        <v>1578</v>
      </c>
      <c r="J921" s="28" t="s">
        <v>1579</v>
      </c>
      <c r="K921" s="27" t="s">
        <v>42</v>
      </c>
      <c r="L921" s="27" t="s">
        <v>3194</v>
      </c>
    </row>
    <row r="922" customFormat="false" ht="15" hidden="false" customHeight="false" outlineLevel="0" collapsed="false">
      <c r="A922" s="26" t="s">
        <v>3527</v>
      </c>
      <c r="B922" s="27" t="s">
        <v>3528</v>
      </c>
      <c r="C922" s="27" t="s">
        <v>1527</v>
      </c>
      <c r="D922" s="26" t="s">
        <v>2068</v>
      </c>
      <c r="E922" s="27" t="s">
        <v>2067</v>
      </c>
      <c r="F922" s="28" t="s">
        <v>383</v>
      </c>
      <c r="G922" s="27" t="s">
        <v>2107</v>
      </c>
      <c r="H922" s="27" t="s">
        <v>56</v>
      </c>
      <c r="I922" s="27" t="s">
        <v>42</v>
      </c>
      <c r="J922" s="28" t="s">
        <v>1579</v>
      </c>
      <c r="K922" s="27" t="s">
        <v>42</v>
      </c>
      <c r="L922" s="27" t="s">
        <v>2058</v>
      </c>
    </row>
    <row r="923" customFormat="false" ht="15" hidden="false" customHeight="false" outlineLevel="0" collapsed="false">
      <c r="A923" s="26" t="s">
        <v>3529</v>
      </c>
      <c r="B923" s="27" t="s">
        <v>3530</v>
      </c>
      <c r="C923" s="27" t="s">
        <v>1187</v>
      </c>
      <c r="D923" s="26" t="s">
        <v>3531</v>
      </c>
      <c r="E923" s="27" t="s">
        <v>3532</v>
      </c>
      <c r="F923" s="28" t="s">
        <v>146</v>
      </c>
      <c r="G923" s="27" t="s">
        <v>2107</v>
      </c>
      <c r="H923" s="27" t="s">
        <v>56</v>
      </c>
      <c r="I923" s="27" t="s">
        <v>42</v>
      </c>
      <c r="J923" s="28" t="s">
        <v>1579</v>
      </c>
      <c r="K923" s="27" t="s">
        <v>42</v>
      </c>
      <c r="L923" s="27" t="s">
        <v>82</v>
      </c>
    </row>
    <row r="924" customFormat="false" ht="15" hidden="false" customHeight="false" outlineLevel="0" collapsed="false">
      <c r="A924" s="26" t="s">
        <v>3533</v>
      </c>
      <c r="B924" s="27" t="s">
        <v>3534</v>
      </c>
      <c r="C924" s="27" t="s">
        <v>100</v>
      </c>
      <c r="D924" s="26" t="s">
        <v>3535</v>
      </c>
      <c r="E924" s="27" t="s">
        <v>3536</v>
      </c>
      <c r="F924" s="28" t="s">
        <v>102</v>
      </c>
      <c r="G924" s="27" t="s">
        <v>3537</v>
      </c>
      <c r="H924" s="27" t="s">
        <v>57</v>
      </c>
      <c r="I924" s="27" t="s">
        <v>64</v>
      </c>
      <c r="J924" s="28" t="s">
        <v>104</v>
      </c>
      <c r="K924" s="27" t="s">
        <v>47</v>
      </c>
      <c r="L924" s="27"/>
    </row>
    <row r="925" customFormat="false" ht="15" hidden="false" customHeight="false" outlineLevel="0" collapsed="false">
      <c r="A925" s="26" t="s">
        <v>3538</v>
      </c>
      <c r="B925" s="27" t="s">
        <v>3539</v>
      </c>
      <c r="C925" s="27" t="s">
        <v>100</v>
      </c>
      <c r="D925" s="26" t="s">
        <v>3540</v>
      </c>
      <c r="E925" s="27" t="s">
        <v>3541</v>
      </c>
      <c r="F925" s="28" t="s">
        <v>102</v>
      </c>
      <c r="G925" s="27" t="s">
        <v>3537</v>
      </c>
      <c r="H925" s="27" t="s">
        <v>56</v>
      </c>
      <c r="I925" s="27" t="s">
        <v>108</v>
      </c>
      <c r="J925" s="28" t="s">
        <v>109</v>
      </c>
      <c r="K925" s="27" t="s">
        <v>108</v>
      </c>
      <c r="L925" s="27"/>
    </row>
    <row r="926" customFormat="false" ht="15" hidden="false" customHeight="false" outlineLevel="0" collapsed="false">
      <c r="A926" s="26" t="s">
        <v>3542</v>
      </c>
      <c r="B926" s="27" t="s">
        <v>3543</v>
      </c>
      <c r="C926" s="27" t="s">
        <v>100</v>
      </c>
      <c r="D926" s="26" t="s">
        <v>3544</v>
      </c>
      <c r="E926" s="27" t="s">
        <v>3545</v>
      </c>
      <c r="F926" s="28" t="s">
        <v>102</v>
      </c>
      <c r="G926" s="27" t="s">
        <v>3537</v>
      </c>
      <c r="H926" s="27" t="s">
        <v>56</v>
      </c>
      <c r="I926" s="27" t="s">
        <v>108</v>
      </c>
      <c r="J926" s="28" t="s">
        <v>109</v>
      </c>
      <c r="K926" s="27" t="s">
        <v>108</v>
      </c>
      <c r="L926" s="27"/>
    </row>
    <row r="927" customFormat="false" ht="15" hidden="false" customHeight="false" outlineLevel="0" collapsed="false">
      <c r="A927" s="26" t="s">
        <v>3546</v>
      </c>
      <c r="B927" s="27" t="s">
        <v>3547</v>
      </c>
      <c r="C927" s="27" t="s">
        <v>100</v>
      </c>
      <c r="D927" s="26" t="s">
        <v>3548</v>
      </c>
      <c r="E927" s="27" t="s">
        <v>3549</v>
      </c>
      <c r="F927" s="28" t="s">
        <v>102</v>
      </c>
      <c r="G927" s="27" t="s">
        <v>3537</v>
      </c>
      <c r="H927" s="27" t="s">
        <v>56</v>
      </c>
      <c r="I927" s="27" t="s">
        <v>108</v>
      </c>
      <c r="J927" s="28" t="s">
        <v>109</v>
      </c>
      <c r="K927" s="27" t="s">
        <v>108</v>
      </c>
      <c r="L927" s="27"/>
    </row>
    <row r="928" customFormat="false" ht="15" hidden="false" customHeight="false" outlineLevel="0" collapsed="false">
      <c r="A928" s="26" t="s">
        <v>3550</v>
      </c>
      <c r="B928" s="27" t="s">
        <v>3551</v>
      </c>
      <c r="C928" s="27" t="s">
        <v>100</v>
      </c>
      <c r="D928" s="26" t="s">
        <v>3552</v>
      </c>
      <c r="E928" s="27" t="s">
        <v>3553</v>
      </c>
      <c r="F928" s="28" t="s">
        <v>102</v>
      </c>
      <c r="G928" s="27" t="s">
        <v>3537</v>
      </c>
      <c r="H928" s="27" t="s">
        <v>57</v>
      </c>
      <c r="I928" s="27" t="s">
        <v>47</v>
      </c>
      <c r="J928" s="28" t="s">
        <v>109</v>
      </c>
      <c r="K928" s="27" t="s">
        <v>108</v>
      </c>
      <c r="L928" s="27"/>
    </row>
    <row r="929" customFormat="false" ht="15" hidden="false" customHeight="false" outlineLevel="0" collapsed="false">
      <c r="A929" s="26" t="s">
        <v>3554</v>
      </c>
      <c r="B929" s="27" t="s">
        <v>3555</v>
      </c>
      <c r="C929" s="27" t="s">
        <v>100</v>
      </c>
      <c r="D929" s="26" t="s">
        <v>3548</v>
      </c>
      <c r="E929" s="27" t="s">
        <v>3549</v>
      </c>
      <c r="F929" s="28" t="s">
        <v>102</v>
      </c>
      <c r="G929" s="27" t="s">
        <v>3537</v>
      </c>
      <c r="H929" s="27" t="s">
        <v>56</v>
      </c>
      <c r="I929" s="27" t="s">
        <v>108</v>
      </c>
      <c r="J929" s="28" t="s">
        <v>109</v>
      </c>
      <c r="K929" s="27" t="s">
        <v>108</v>
      </c>
      <c r="L929" s="27"/>
    </row>
    <row r="930" customFormat="false" ht="15" hidden="false" customHeight="false" outlineLevel="0" collapsed="false">
      <c r="A930" s="26" t="s">
        <v>3556</v>
      </c>
      <c r="B930" s="27" t="s">
        <v>3557</v>
      </c>
      <c r="C930" s="27" t="s">
        <v>100</v>
      </c>
      <c r="D930" s="26" t="s">
        <v>3558</v>
      </c>
      <c r="E930" s="27" t="s">
        <v>3559</v>
      </c>
      <c r="F930" s="28" t="s">
        <v>102</v>
      </c>
      <c r="G930" s="27" t="s">
        <v>3537</v>
      </c>
      <c r="H930" s="27" t="s">
        <v>57</v>
      </c>
      <c r="I930" s="27" t="s">
        <v>47</v>
      </c>
      <c r="J930" s="28" t="s">
        <v>109</v>
      </c>
      <c r="K930" s="27" t="s">
        <v>108</v>
      </c>
      <c r="L930" s="27"/>
    </row>
    <row r="931" customFormat="false" ht="15" hidden="false" customHeight="false" outlineLevel="0" collapsed="false">
      <c r="A931" s="26" t="s">
        <v>3560</v>
      </c>
      <c r="B931" s="27" t="s">
        <v>3561</v>
      </c>
      <c r="C931" s="27" t="s">
        <v>100</v>
      </c>
      <c r="D931" s="26" t="s">
        <v>3562</v>
      </c>
      <c r="E931" s="27" t="s">
        <v>3563</v>
      </c>
      <c r="F931" s="28" t="s">
        <v>102</v>
      </c>
      <c r="G931" s="27" t="s">
        <v>3537</v>
      </c>
      <c r="H931" s="27" t="s">
        <v>57</v>
      </c>
      <c r="I931" s="27" t="s">
        <v>3564</v>
      </c>
      <c r="J931" s="28" t="s">
        <v>109</v>
      </c>
      <c r="K931" s="27" t="s">
        <v>108</v>
      </c>
      <c r="L931" s="27"/>
    </row>
    <row r="932" customFormat="false" ht="15" hidden="false" customHeight="false" outlineLevel="0" collapsed="false">
      <c r="A932" s="26" t="s">
        <v>3565</v>
      </c>
      <c r="B932" s="27" t="s">
        <v>3566</v>
      </c>
      <c r="C932" s="27" t="s">
        <v>100</v>
      </c>
      <c r="D932" s="26" t="s">
        <v>3544</v>
      </c>
      <c r="E932" s="27" t="s">
        <v>3545</v>
      </c>
      <c r="F932" s="28" t="s">
        <v>102</v>
      </c>
      <c r="G932" s="27" t="s">
        <v>3537</v>
      </c>
      <c r="H932" s="27" t="s">
        <v>56</v>
      </c>
      <c r="I932" s="27" t="s">
        <v>108</v>
      </c>
      <c r="J932" s="28" t="s">
        <v>113</v>
      </c>
      <c r="K932" s="27" t="s">
        <v>108</v>
      </c>
      <c r="L932" s="27"/>
    </row>
    <row r="933" customFormat="false" ht="15" hidden="false" customHeight="false" outlineLevel="0" collapsed="false">
      <c r="A933" s="26" t="s">
        <v>3567</v>
      </c>
      <c r="B933" s="27" t="s">
        <v>3568</v>
      </c>
      <c r="C933" s="27" t="s">
        <v>100</v>
      </c>
      <c r="D933" s="26" t="s">
        <v>2023</v>
      </c>
      <c r="E933" s="27" t="s">
        <v>2024</v>
      </c>
      <c r="F933" s="28" t="s">
        <v>102</v>
      </c>
      <c r="G933" s="27" t="s">
        <v>3537</v>
      </c>
      <c r="H933" s="27" t="s">
        <v>57</v>
      </c>
      <c r="I933" s="27" t="s">
        <v>47</v>
      </c>
      <c r="J933" s="28" t="s">
        <v>113</v>
      </c>
      <c r="K933" s="27" t="s">
        <v>108</v>
      </c>
      <c r="L933" s="27"/>
    </row>
    <row r="934" customFormat="false" ht="15" hidden="false" customHeight="false" outlineLevel="0" collapsed="false">
      <c r="A934" s="26" t="s">
        <v>3569</v>
      </c>
      <c r="B934" s="27" t="s">
        <v>3570</v>
      </c>
      <c r="C934" s="27" t="s">
        <v>100</v>
      </c>
      <c r="D934" s="26" t="s">
        <v>3571</v>
      </c>
      <c r="E934" s="27" t="s">
        <v>3572</v>
      </c>
      <c r="F934" s="28" t="s">
        <v>102</v>
      </c>
      <c r="G934" s="27" t="s">
        <v>3537</v>
      </c>
      <c r="H934" s="27" t="s">
        <v>57</v>
      </c>
      <c r="I934" s="27" t="s">
        <v>64</v>
      </c>
      <c r="J934" s="28" t="s">
        <v>113</v>
      </c>
      <c r="K934" s="27" t="s">
        <v>108</v>
      </c>
      <c r="L934" s="27"/>
    </row>
    <row r="935" customFormat="false" ht="15" hidden="false" customHeight="false" outlineLevel="0" collapsed="false">
      <c r="A935" s="26" t="s">
        <v>3573</v>
      </c>
      <c r="B935" s="27" t="s">
        <v>3574</v>
      </c>
      <c r="C935" s="27" t="s">
        <v>100</v>
      </c>
      <c r="D935" s="26" t="s">
        <v>3575</v>
      </c>
      <c r="E935" s="27" t="s">
        <v>3576</v>
      </c>
      <c r="F935" s="28" t="s">
        <v>102</v>
      </c>
      <c r="G935" s="27" t="s">
        <v>3537</v>
      </c>
      <c r="H935" s="27" t="s">
        <v>56</v>
      </c>
      <c r="I935" s="27" t="s">
        <v>108</v>
      </c>
      <c r="J935" s="28" t="s">
        <v>113</v>
      </c>
      <c r="K935" s="27" t="s">
        <v>108</v>
      </c>
      <c r="L935" s="27"/>
    </row>
    <row r="936" customFormat="false" ht="15" hidden="false" customHeight="false" outlineLevel="0" collapsed="false">
      <c r="A936" s="26" t="s">
        <v>3577</v>
      </c>
      <c r="B936" s="27" t="s">
        <v>3578</v>
      </c>
      <c r="C936" s="27" t="s">
        <v>100</v>
      </c>
      <c r="D936" s="26" t="s">
        <v>3579</v>
      </c>
      <c r="E936" s="27" t="s">
        <v>3580</v>
      </c>
      <c r="F936" s="28" t="s">
        <v>102</v>
      </c>
      <c r="G936" s="27" t="s">
        <v>3537</v>
      </c>
      <c r="H936" s="27" t="s">
        <v>56</v>
      </c>
      <c r="I936" s="27" t="s">
        <v>108</v>
      </c>
      <c r="J936" s="28" t="s">
        <v>113</v>
      </c>
      <c r="K936" s="27" t="s">
        <v>108</v>
      </c>
      <c r="L936" s="27"/>
    </row>
    <row r="937" customFormat="false" ht="15" hidden="false" customHeight="false" outlineLevel="0" collapsed="false">
      <c r="A937" s="26" t="s">
        <v>3581</v>
      </c>
      <c r="B937" s="27" t="s">
        <v>3582</v>
      </c>
      <c r="C937" s="27" t="s">
        <v>100</v>
      </c>
      <c r="D937" s="26" t="s">
        <v>3583</v>
      </c>
      <c r="E937" s="27" t="s">
        <v>3584</v>
      </c>
      <c r="F937" s="28" t="s">
        <v>102</v>
      </c>
      <c r="G937" s="27" t="s">
        <v>3537</v>
      </c>
      <c r="H937" s="27" t="s">
        <v>56</v>
      </c>
      <c r="I937" s="27" t="s">
        <v>108</v>
      </c>
      <c r="J937" s="28" t="s">
        <v>113</v>
      </c>
      <c r="K937" s="27" t="s">
        <v>108</v>
      </c>
      <c r="L937" s="27"/>
    </row>
    <row r="938" customFormat="false" ht="15" hidden="false" customHeight="false" outlineLevel="0" collapsed="false">
      <c r="A938" s="26" t="s">
        <v>3585</v>
      </c>
      <c r="B938" s="27" t="s">
        <v>3586</v>
      </c>
      <c r="C938" s="27" t="s">
        <v>100</v>
      </c>
      <c r="D938" s="26" t="s">
        <v>3587</v>
      </c>
      <c r="E938" s="27" t="s">
        <v>3588</v>
      </c>
      <c r="F938" s="28" t="s">
        <v>102</v>
      </c>
      <c r="G938" s="27" t="s">
        <v>3537</v>
      </c>
      <c r="H938" s="27" t="s">
        <v>57</v>
      </c>
      <c r="I938" s="27" t="s">
        <v>47</v>
      </c>
      <c r="J938" s="28" t="s">
        <v>113</v>
      </c>
      <c r="K938" s="27" t="s">
        <v>108</v>
      </c>
      <c r="L938" s="27"/>
    </row>
    <row r="939" customFormat="false" ht="15" hidden="false" customHeight="false" outlineLevel="0" collapsed="false">
      <c r="A939" s="26" t="s">
        <v>3589</v>
      </c>
      <c r="B939" s="27" t="s">
        <v>3590</v>
      </c>
      <c r="C939" s="27" t="s">
        <v>144</v>
      </c>
      <c r="D939" s="26" t="s">
        <v>3591</v>
      </c>
      <c r="E939" s="27" t="s">
        <v>3592</v>
      </c>
      <c r="F939" s="28" t="s">
        <v>146</v>
      </c>
      <c r="G939" s="27" t="s">
        <v>3537</v>
      </c>
      <c r="H939" s="27" t="s">
        <v>56</v>
      </c>
      <c r="I939" s="27" t="s">
        <v>40</v>
      </c>
      <c r="J939" s="28" t="s">
        <v>141</v>
      </c>
      <c r="K939" s="27" t="s">
        <v>40</v>
      </c>
      <c r="L939" s="27"/>
    </row>
    <row r="940" customFormat="false" ht="15" hidden="false" customHeight="false" outlineLevel="0" collapsed="false">
      <c r="A940" s="26" t="s">
        <v>3593</v>
      </c>
      <c r="B940" s="27" t="s">
        <v>3594</v>
      </c>
      <c r="C940" s="27" t="s">
        <v>144</v>
      </c>
      <c r="D940" s="26" t="s">
        <v>3595</v>
      </c>
      <c r="E940" s="27" t="s">
        <v>3596</v>
      </c>
      <c r="F940" s="28" t="s">
        <v>146</v>
      </c>
      <c r="G940" s="27" t="s">
        <v>3537</v>
      </c>
      <c r="H940" s="27" t="s">
        <v>56</v>
      </c>
      <c r="I940" s="27" t="s">
        <v>40</v>
      </c>
      <c r="J940" s="28" t="s">
        <v>141</v>
      </c>
      <c r="K940" s="27" t="s">
        <v>40</v>
      </c>
      <c r="L940" s="27"/>
    </row>
    <row r="941" customFormat="false" ht="15" hidden="false" customHeight="false" outlineLevel="0" collapsed="false">
      <c r="A941" s="26" t="s">
        <v>3597</v>
      </c>
      <c r="B941" s="27" t="s">
        <v>3598</v>
      </c>
      <c r="C941" s="27" t="s">
        <v>137</v>
      </c>
      <c r="D941" s="26" t="s">
        <v>3599</v>
      </c>
      <c r="E941" s="27" t="s">
        <v>3600</v>
      </c>
      <c r="F941" s="28" t="s">
        <v>140</v>
      </c>
      <c r="G941" s="27" t="s">
        <v>3537</v>
      </c>
      <c r="H941" s="27" t="s">
        <v>56</v>
      </c>
      <c r="I941" s="27" t="s">
        <v>40</v>
      </c>
      <c r="J941" s="28" t="s">
        <v>141</v>
      </c>
      <c r="K941" s="27" t="s">
        <v>40</v>
      </c>
      <c r="L941" s="27"/>
    </row>
    <row r="942" customFormat="false" ht="15" hidden="false" customHeight="false" outlineLevel="0" collapsed="false">
      <c r="A942" s="26" t="s">
        <v>3601</v>
      </c>
      <c r="B942" s="27" t="s">
        <v>3602</v>
      </c>
      <c r="C942" s="27" t="s">
        <v>137</v>
      </c>
      <c r="D942" s="26" t="s">
        <v>199</v>
      </c>
      <c r="E942" s="27" t="s">
        <v>198</v>
      </c>
      <c r="F942" s="28" t="s">
        <v>140</v>
      </c>
      <c r="G942" s="27" t="s">
        <v>3537</v>
      </c>
      <c r="H942" s="27" t="s">
        <v>56</v>
      </c>
      <c r="I942" s="27" t="s">
        <v>40</v>
      </c>
      <c r="J942" s="28" t="s">
        <v>141</v>
      </c>
      <c r="K942" s="27" t="s">
        <v>40</v>
      </c>
      <c r="L942" s="27"/>
    </row>
    <row r="943" customFormat="false" ht="15" hidden="false" customHeight="false" outlineLevel="0" collapsed="false">
      <c r="A943" s="26" t="s">
        <v>3603</v>
      </c>
      <c r="B943" s="27" t="s">
        <v>3604</v>
      </c>
      <c r="C943" s="27" t="s">
        <v>137</v>
      </c>
      <c r="D943" s="26" t="s">
        <v>3605</v>
      </c>
      <c r="E943" s="27" t="s">
        <v>3606</v>
      </c>
      <c r="F943" s="28" t="s">
        <v>140</v>
      </c>
      <c r="G943" s="27" t="s">
        <v>3537</v>
      </c>
      <c r="H943" s="27" t="s">
        <v>56</v>
      </c>
      <c r="I943" s="27" t="s">
        <v>40</v>
      </c>
      <c r="J943" s="28" t="s">
        <v>141</v>
      </c>
      <c r="K943" s="27" t="s">
        <v>40</v>
      </c>
      <c r="L943" s="27"/>
    </row>
    <row r="944" customFormat="false" ht="15" hidden="false" customHeight="false" outlineLevel="0" collapsed="false">
      <c r="A944" s="26" t="s">
        <v>3607</v>
      </c>
      <c r="B944" s="27" t="s">
        <v>3608</v>
      </c>
      <c r="C944" s="27" t="s">
        <v>137</v>
      </c>
      <c r="D944" s="26" t="s">
        <v>326</v>
      </c>
      <c r="E944" s="27" t="s">
        <v>327</v>
      </c>
      <c r="F944" s="28" t="s">
        <v>140</v>
      </c>
      <c r="G944" s="27" t="s">
        <v>3537</v>
      </c>
      <c r="H944" s="27" t="s">
        <v>56</v>
      </c>
      <c r="I944" s="27" t="s">
        <v>40</v>
      </c>
      <c r="J944" s="28" t="s">
        <v>141</v>
      </c>
      <c r="K944" s="27" t="s">
        <v>40</v>
      </c>
      <c r="L944" s="27"/>
    </row>
    <row r="945" customFormat="false" ht="15" hidden="false" customHeight="false" outlineLevel="0" collapsed="false">
      <c r="A945" s="26" t="s">
        <v>3609</v>
      </c>
      <c r="B945" s="27" t="s">
        <v>3610</v>
      </c>
      <c r="C945" s="27" t="s">
        <v>137</v>
      </c>
      <c r="D945" s="26" t="s">
        <v>3611</v>
      </c>
      <c r="E945" s="27" t="s">
        <v>3612</v>
      </c>
      <c r="F945" s="28" t="s">
        <v>140</v>
      </c>
      <c r="G945" s="27" t="s">
        <v>3537</v>
      </c>
      <c r="H945" s="27" t="s">
        <v>56</v>
      </c>
      <c r="I945" s="27" t="s">
        <v>40</v>
      </c>
      <c r="J945" s="28" t="s">
        <v>141</v>
      </c>
      <c r="K945" s="27" t="s">
        <v>40</v>
      </c>
      <c r="L945" s="27"/>
    </row>
    <row r="946" customFormat="false" ht="15" hidden="false" customHeight="false" outlineLevel="0" collapsed="false">
      <c r="A946" s="26" t="s">
        <v>3613</v>
      </c>
      <c r="B946" s="27" t="s">
        <v>3614</v>
      </c>
      <c r="C946" s="27" t="s">
        <v>137</v>
      </c>
      <c r="D946" s="26" t="s">
        <v>334</v>
      </c>
      <c r="E946" s="27" t="s">
        <v>335</v>
      </c>
      <c r="F946" s="28" t="s">
        <v>140</v>
      </c>
      <c r="G946" s="27" t="s">
        <v>3537</v>
      </c>
      <c r="H946" s="27" t="s">
        <v>56</v>
      </c>
      <c r="I946" s="27" t="s">
        <v>40</v>
      </c>
      <c r="J946" s="28" t="s">
        <v>141</v>
      </c>
      <c r="K946" s="27" t="s">
        <v>40</v>
      </c>
      <c r="L946" s="27"/>
    </row>
    <row r="947" customFormat="false" ht="15" hidden="false" customHeight="false" outlineLevel="0" collapsed="false">
      <c r="A947" s="26" t="s">
        <v>3615</v>
      </c>
      <c r="B947" s="27" t="s">
        <v>3616</v>
      </c>
      <c r="C947" s="27" t="s">
        <v>137</v>
      </c>
      <c r="D947" s="26" t="s">
        <v>3617</v>
      </c>
      <c r="E947" s="27" t="s">
        <v>3618</v>
      </c>
      <c r="F947" s="28" t="s">
        <v>140</v>
      </c>
      <c r="G947" s="27" t="s">
        <v>3537</v>
      </c>
      <c r="H947" s="27" t="s">
        <v>56</v>
      </c>
      <c r="I947" s="27" t="s">
        <v>40</v>
      </c>
      <c r="J947" s="28" t="s">
        <v>141</v>
      </c>
      <c r="K947" s="27" t="s">
        <v>40</v>
      </c>
      <c r="L947" s="27"/>
    </row>
    <row r="948" customFormat="false" ht="15" hidden="false" customHeight="false" outlineLevel="0" collapsed="false">
      <c r="A948" s="26" t="s">
        <v>3619</v>
      </c>
      <c r="B948" s="27" t="s">
        <v>3620</v>
      </c>
      <c r="C948" s="27" t="s">
        <v>137</v>
      </c>
      <c r="D948" s="26" t="s">
        <v>206</v>
      </c>
      <c r="E948" s="27" t="s">
        <v>207</v>
      </c>
      <c r="F948" s="28" t="s">
        <v>140</v>
      </c>
      <c r="G948" s="27" t="s">
        <v>3537</v>
      </c>
      <c r="H948" s="27" t="s">
        <v>56</v>
      </c>
      <c r="I948" s="27" t="s">
        <v>40</v>
      </c>
      <c r="J948" s="28" t="s">
        <v>141</v>
      </c>
      <c r="K948" s="27" t="s">
        <v>40</v>
      </c>
      <c r="L948" s="27"/>
    </row>
    <row r="949" customFormat="false" ht="15" hidden="false" customHeight="false" outlineLevel="0" collapsed="false">
      <c r="A949" s="26" t="s">
        <v>3621</v>
      </c>
      <c r="B949" s="27" t="s">
        <v>3622</v>
      </c>
      <c r="C949" s="27" t="s">
        <v>144</v>
      </c>
      <c r="D949" s="26" t="s">
        <v>3623</v>
      </c>
      <c r="E949" s="27" t="s">
        <v>3624</v>
      </c>
      <c r="F949" s="28" t="s">
        <v>146</v>
      </c>
      <c r="G949" s="27" t="s">
        <v>3537</v>
      </c>
      <c r="H949" s="27" t="s">
        <v>56</v>
      </c>
      <c r="I949" s="27" t="s">
        <v>40</v>
      </c>
      <c r="J949" s="28" t="s">
        <v>141</v>
      </c>
      <c r="K949" s="27" t="s">
        <v>40</v>
      </c>
      <c r="L949" s="27"/>
    </row>
    <row r="950" customFormat="false" ht="15" hidden="false" customHeight="false" outlineLevel="0" collapsed="false">
      <c r="A950" s="26" t="s">
        <v>3625</v>
      </c>
      <c r="B950" s="27" t="s">
        <v>3626</v>
      </c>
      <c r="C950" s="27" t="s">
        <v>144</v>
      </c>
      <c r="D950" s="26" t="s">
        <v>2330</v>
      </c>
      <c r="E950" s="27" t="s">
        <v>2331</v>
      </c>
      <c r="F950" s="28" t="s">
        <v>146</v>
      </c>
      <c r="G950" s="27" t="s">
        <v>3537</v>
      </c>
      <c r="H950" s="27" t="s">
        <v>56</v>
      </c>
      <c r="I950" s="27" t="s">
        <v>40</v>
      </c>
      <c r="J950" s="28" t="s">
        <v>141</v>
      </c>
      <c r="K950" s="27" t="s">
        <v>40</v>
      </c>
      <c r="L950" s="27"/>
    </row>
    <row r="951" customFormat="false" ht="15" hidden="false" customHeight="false" outlineLevel="0" collapsed="false">
      <c r="A951" s="26" t="s">
        <v>3627</v>
      </c>
      <c r="B951" s="27" t="s">
        <v>3628</v>
      </c>
      <c r="C951" s="27" t="s">
        <v>144</v>
      </c>
      <c r="D951" s="26" t="s">
        <v>3629</v>
      </c>
      <c r="E951" s="27" t="s">
        <v>3630</v>
      </c>
      <c r="F951" s="28" t="s">
        <v>146</v>
      </c>
      <c r="G951" s="27" t="s">
        <v>3537</v>
      </c>
      <c r="H951" s="27" t="s">
        <v>57</v>
      </c>
      <c r="I951" s="27" t="s">
        <v>37</v>
      </c>
      <c r="J951" s="28" t="s">
        <v>141</v>
      </c>
      <c r="K951" s="27" t="s">
        <v>40</v>
      </c>
      <c r="L951" s="27"/>
    </row>
    <row r="952" customFormat="false" ht="15" hidden="false" customHeight="false" outlineLevel="0" collapsed="false">
      <c r="A952" s="26" t="s">
        <v>3631</v>
      </c>
      <c r="B952" s="27" t="s">
        <v>3632</v>
      </c>
      <c r="C952" s="27" t="s">
        <v>144</v>
      </c>
      <c r="D952" s="26" t="s">
        <v>3633</v>
      </c>
      <c r="E952" s="27" t="s">
        <v>3634</v>
      </c>
      <c r="F952" s="28" t="s">
        <v>146</v>
      </c>
      <c r="G952" s="27" t="s">
        <v>3537</v>
      </c>
      <c r="H952" s="27" t="s">
        <v>56</v>
      </c>
      <c r="I952" s="27" t="s">
        <v>40</v>
      </c>
      <c r="J952" s="28" t="s">
        <v>141</v>
      </c>
      <c r="K952" s="27" t="s">
        <v>40</v>
      </c>
      <c r="L952" s="27"/>
    </row>
    <row r="953" customFormat="false" ht="15" hidden="false" customHeight="false" outlineLevel="0" collapsed="false">
      <c r="A953" s="26" t="s">
        <v>3635</v>
      </c>
      <c r="B953" s="27" t="s">
        <v>3636</v>
      </c>
      <c r="C953" s="27" t="s">
        <v>144</v>
      </c>
      <c r="D953" s="26" t="s">
        <v>3637</v>
      </c>
      <c r="E953" s="27" t="s">
        <v>3638</v>
      </c>
      <c r="F953" s="28" t="s">
        <v>146</v>
      </c>
      <c r="G953" s="27" t="s">
        <v>3537</v>
      </c>
      <c r="H953" s="27" t="s">
        <v>56</v>
      </c>
      <c r="I953" s="27" t="s">
        <v>40</v>
      </c>
      <c r="J953" s="28" t="s">
        <v>141</v>
      </c>
      <c r="K953" s="27" t="s">
        <v>40</v>
      </c>
      <c r="L953" s="27"/>
    </row>
    <row r="954" customFormat="false" ht="15" hidden="false" customHeight="false" outlineLevel="0" collapsed="false">
      <c r="A954" s="26" t="s">
        <v>3639</v>
      </c>
      <c r="B954" s="27" t="s">
        <v>3640</v>
      </c>
      <c r="C954" s="27" t="s">
        <v>144</v>
      </c>
      <c r="D954" s="26" t="s">
        <v>3641</v>
      </c>
      <c r="E954" s="27" t="s">
        <v>3642</v>
      </c>
      <c r="F954" s="28" t="s">
        <v>146</v>
      </c>
      <c r="G954" s="27" t="s">
        <v>3537</v>
      </c>
      <c r="H954" s="27" t="s">
        <v>57</v>
      </c>
      <c r="I954" s="27" t="s">
        <v>37</v>
      </c>
      <c r="J954" s="28" t="s">
        <v>141</v>
      </c>
      <c r="K954" s="27" t="s">
        <v>40</v>
      </c>
      <c r="L954" s="27"/>
    </row>
    <row r="955" customFormat="false" ht="15" hidden="false" customHeight="false" outlineLevel="0" collapsed="false">
      <c r="A955" s="26" t="s">
        <v>3643</v>
      </c>
      <c r="B955" s="27" t="s">
        <v>3644</v>
      </c>
      <c r="C955" s="27" t="s">
        <v>144</v>
      </c>
      <c r="D955" s="26" t="s">
        <v>3645</v>
      </c>
      <c r="E955" s="27" t="s">
        <v>3646</v>
      </c>
      <c r="F955" s="28" t="s">
        <v>146</v>
      </c>
      <c r="G955" s="27" t="s">
        <v>3537</v>
      </c>
      <c r="H955" s="27" t="s">
        <v>57</v>
      </c>
      <c r="I955" s="27" t="s">
        <v>48</v>
      </c>
      <c r="J955" s="28" t="s">
        <v>141</v>
      </c>
      <c r="K955" s="27" t="s">
        <v>40</v>
      </c>
      <c r="L955" s="27"/>
    </row>
    <row r="956" customFormat="false" ht="15" hidden="false" customHeight="false" outlineLevel="0" collapsed="false">
      <c r="A956" s="26" t="s">
        <v>3647</v>
      </c>
      <c r="B956" s="27" t="s">
        <v>3648</v>
      </c>
      <c r="C956" s="27" t="s">
        <v>144</v>
      </c>
      <c r="D956" s="26" t="s">
        <v>3649</v>
      </c>
      <c r="E956" s="27" t="s">
        <v>3650</v>
      </c>
      <c r="F956" s="28" t="s">
        <v>146</v>
      </c>
      <c r="G956" s="27" t="s">
        <v>3537</v>
      </c>
      <c r="H956" s="27" t="s">
        <v>57</v>
      </c>
      <c r="I956" s="27" t="s">
        <v>39</v>
      </c>
      <c r="J956" s="28" t="s">
        <v>2214</v>
      </c>
      <c r="K956" s="27" t="s">
        <v>37</v>
      </c>
      <c r="L956" s="27"/>
    </row>
    <row r="957" customFormat="false" ht="15" hidden="false" customHeight="false" outlineLevel="0" collapsed="false">
      <c r="A957" s="26" t="s">
        <v>3651</v>
      </c>
      <c r="B957" s="27" t="s">
        <v>3652</v>
      </c>
      <c r="C957" s="27" t="s">
        <v>144</v>
      </c>
      <c r="D957" s="26" t="s">
        <v>3653</v>
      </c>
      <c r="E957" s="27" t="s">
        <v>3654</v>
      </c>
      <c r="F957" s="28" t="s">
        <v>146</v>
      </c>
      <c r="G957" s="27" t="s">
        <v>3537</v>
      </c>
      <c r="H957" s="27" t="s">
        <v>56</v>
      </c>
      <c r="I957" s="27" t="s">
        <v>37</v>
      </c>
      <c r="J957" s="28" t="s">
        <v>2214</v>
      </c>
      <c r="K957" s="27" t="s">
        <v>37</v>
      </c>
      <c r="L957" s="27"/>
    </row>
    <row r="958" customFormat="false" ht="15" hidden="false" customHeight="false" outlineLevel="0" collapsed="false">
      <c r="A958" s="26" t="s">
        <v>3655</v>
      </c>
      <c r="B958" s="27" t="s">
        <v>3656</v>
      </c>
      <c r="C958" s="27" t="s">
        <v>144</v>
      </c>
      <c r="D958" s="26" t="s">
        <v>3657</v>
      </c>
      <c r="E958" s="27" t="s">
        <v>3658</v>
      </c>
      <c r="F958" s="28" t="s">
        <v>146</v>
      </c>
      <c r="G958" s="27" t="s">
        <v>3537</v>
      </c>
      <c r="H958" s="27" t="s">
        <v>56</v>
      </c>
      <c r="I958" s="27" t="s">
        <v>37</v>
      </c>
      <c r="J958" s="28" t="s">
        <v>2214</v>
      </c>
      <c r="K958" s="27" t="s">
        <v>37</v>
      </c>
      <c r="L958" s="27"/>
    </row>
    <row r="959" customFormat="false" ht="15" hidden="false" customHeight="false" outlineLevel="0" collapsed="false">
      <c r="A959" s="26" t="s">
        <v>3659</v>
      </c>
      <c r="B959" s="27" t="s">
        <v>3660</v>
      </c>
      <c r="C959" s="27" t="s">
        <v>144</v>
      </c>
      <c r="D959" s="26" t="s">
        <v>3661</v>
      </c>
      <c r="E959" s="27" t="s">
        <v>3662</v>
      </c>
      <c r="F959" s="28" t="s">
        <v>146</v>
      </c>
      <c r="G959" s="27" t="s">
        <v>3537</v>
      </c>
      <c r="H959" s="27" t="s">
        <v>57</v>
      </c>
      <c r="I959" s="27" t="s">
        <v>40</v>
      </c>
      <c r="J959" s="28" t="s">
        <v>2220</v>
      </c>
      <c r="K959" s="27" t="s">
        <v>37</v>
      </c>
      <c r="L959" s="27"/>
    </row>
    <row r="960" customFormat="false" ht="15" hidden="false" customHeight="false" outlineLevel="0" collapsed="false">
      <c r="A960" s="26" t="s">
        <v>3663</v>
      </c>
      <c r="B960" s="27" t="s">
        <v>3664</v>
      </c>
      <c r="C960" s="27" t="s">
        <v>144</v>
      </c>
      <c r="D960" s="26" t="s">
        <v>3665</v>
      </c>
      <c r="E960" s="27" t="s">
        <v>3666</v>
      </c>
      <c r="F960" s="28" t="s">
        <v>146</v>
      </c>
      <c r="G960" s="27" t="s">
        <v>3537</v>
      </c>
      <c r="H960" s="27" t="s">
        <v>57</v>
      </c>
      <c r="I960" s="27" t="s">
        <v>41</v>
      </c>
      <c r="J960" s="28" t="s">
        <v>3667</v>
      </c>
      <c r="K960" s="27" t="s">
        <v>37</v>
      </c>
      <c r="L960" s="27"/>
    </row>
    <row r="961" customFormat="false" ht="15" hidden="false" customHeight="false" outlineLevel="0" collapsed="false">
      <c r="A961" s="26" t="s">
        <v>3668</v>
      </c>
      <c r="B961" s="27" t="s">
        <v>3669</v>
      </c>
      <c r="C961" s="27" t="s">
        <v>144</v>
      </c>
      <c r="D961" s="26" t="s">
        <v>3670</v>
      </c>
      <c r="E961" s="27" t="s">
        <v>3671</v>
      </c>
      <c r="F961" s="28" t="s">
        <v>146</v>
      </c>
      <c r="G961" s="27" t="s">
        <v>3537</v>
      </c>
      <c r="H961" s="27" t="s">
        <v>56</v>
      </c>
      <c r="I961" s="27" t="s">
        <v>37</v>
      </c>
      <c r="J961" s="28" t="s">
        <v>3667</v>
      </c>
      <c r="K961" s="27" t="s">
        <v>37</v>
      </c>
      <c r="L961" s="27"/>
    </row>
    <row r="962" customFormat="false" ht="15" hidden="false" customHeight="false" outlineLevel="0" collapsed="false">
      <c r="A962" s="26" t="s">
        <v>3672</v>
      </c>
      <c r="B962" s="27" t="s">
        <v>3673</v>
      </c>
      <c r="C962" s="27" t="s">
        <v>144</v>
      </c>
      <c r="D962" s="26" t="s">
        <v>3674</v>
      </c>
      <c r="E962" s="27" t="s">
        <v>3675</v>
      </c>
      <c r="F962" s="28" t="s">
        <v>146</v>
      </c>
      <c r="G962" s="27" t="s">
        <v>3537</v>
      </c>
      <c r="H962" s="27" t="s">
        <v>56</v>
      </c>
      <c r="I962" s="27" t="s">
        <v>37</v>
      </c>
      <c r="J962" s="28" t="s">
        <v>3667</v>
      </c>
      <c r="K962" s="27" t="s">
        <v>37</v>
      </c>
      <c r="L962" s="27"/>
    </row>
    <row r="963" customFormat="false" ht="15" hidden="false" customHeight="false" outlineLevel="0" collapsed="false">
      <c r="A963" s="26" t="s">
        <v>3676</v>
      </c>
      <c r="B963" s="27" t="s">
        <v>3677</v>
      </c>
      <c r="C963" s="27" t="s">
        <v>144</v>
      </c>
      <c r="D963" s="26" t="s">
        <v>3678</v>
      </c>
      <c r="E963" s="27" t="s">
        <v>3679</v>
      </c>
      <c r="F963" s="28" t="s">
        <v>146</v>
      </c>
      <c r="G963" s="27" t="s">
        <v>3537</v>
      </c>
      <c r="H963" s="27" t="s">
        <v>56</v>
      </c>
      <c r="I963" s="27" t="s">
        <v>37</v>
      </c>
      <c r="J963" s="28" t="s">
        <v>3667</v>
      </c>
      <c r="K963" s="27" t="s">
        <v>37</v>
      </c>
      <c r="L963" s="27"/>
    </row>
    <row r="964" customFormat="false" ht="15" hidden="false" customHeight="false" outlineLevel="0" collapsed="false">
      <c r="A964" s="26" t="s">
        <v>3680</v>
      </c>
      <c r="B964" s="27" t="s">
        <v>3681</v>
      </c>
      <c r="C964" s="27" t="s">
        <v>144</v>
      </c>
      <c r="D964" s="26" t="s">
        <v>3682</v>
      </c>
      <c r="E964" s="27" t="s">
        <v>3683</v>
      </c>
      <c r="F964" s="28" t="s">
        <v>146</v>
      </c>
      <c r="G964" s="27" t="s">
        <v>3537</v>
      </c>
      <c r="H964" s="27" t="s">
        <v>56</v>
      </c>
      <c r="I964" s="27" t="s">
        <v>37</v>
      </c>
      <c r="J964" s="28" t="s">
        <v>3667</v>
      </c>
      <c r="K964" s="27" t="s">
        <v>37</v>
      </c>
      <c r="L964" s="27"/>
    </row>
    <row r="965" customFormat="false" ht="15" hidden="false" customHeight="false" outlineLevel="0" collapsed="false">
      <c r="A965" s="26" t="s">
        <v>3684</v>
      </c>
      <c r="B965" s="27" t="s">
        <v>3685</v>
      </c>
      <c r="C965" s="27" t="s">
        <v>144</v>
      </c>
      <c r="D965" s="26" t="s">
        <v>3686</v>
      </c>
      <c r="E965" s="27" t="s">
        <v>3687</v>
      </c>
      <c r="F965" s="28" t="s">
        <v>146</v>
      </c>
      <c r="G965" s="27" t="s">
        <v>3537</v>
      </c>
      <c r="H965" s="27" t="s">
        <v>56</v>
      </c>
      <c r="I965" s="27" t="s">
        <v>37</v>
      </c>
      <c r="J965" s="28" t="s">
        <v>3667</v>
      </c>
      <c r="K965" s="27" t="s">
        <v>37</v>
      </c>
      <c r="L965" s="27"/>
    </row>
    <row r="966" customFormat="false" ht="15" hidden="false" customHeight="false" outlineLevel="0" collapsed="false">
      <c r="A966" s="26" t="s">
        <v>3688</v>
      </c>
      <c r="B966" s="27" t="s">
        <v>3689</v>
      </c>
      <c r="C966" s="27" t="s">
        <v>144</v>
      </c>
      <c r="D966" s="26" t="s">
        <v>3682</v>
      </c>
      <c r="E966" s="27" t="s">
        <v>3683</v>
      </c>
      <c r="F966" s="28" t="s">
        <v>146</v>
      </c>
      <c r="G966" s="27" t="s">
        <v>3537</v>
      </c>
      <c r="H966" s="27" t="s">
        <v>56</v>
      </c>
      <c r="I966" s="27" t="s">
        <v>37</v>
      </c>
      <c r="J966" s="28" t="s">
        <v>3667</v>
      </c>
      <c r="K966" s="27" t="s">
        <v>37</v>
      </c>
      <c r="L966" s="27"/>
    </row>
    <row r="967" customFormat="false" ht="15" hidden="false" customHeight="false" outlineLevel="0" collapsed="false">
      <c r="A967" s="26" t="s">
        <v>3690</v>
      </c>
      <c r="B967" s="27" t="s">
        <v>3691</v>
      </c>
      <c r="C967" s="27" t="s">
        <v>144</v>
      </c>
      <c r="D967" s="26" t="s">
        <v>3692</v>
      </c>
      <c r="E967" s="27" t="s">
        <v>3693</v>
      </c>
      <c r="F967" s="28" t="s">
        <v>146</v>
      </c>
      <c r="G967" s="27" t="s">
        <v>3537</v>
      </c>
      <c r="H967" s="27" t="s">
        <v>56</v>
      </c>
      <c r="I967" s="27" t="s">
        <v>37</v>
      </c>
      <c r="J967" s="28" t="s">
        <v>3694</v>
      </c>
      <c r="K967" s="27" t="s">
        <v>37</v>
      </c>
      <c r="L967" s="27"/>
    </row>
    <row r="968" customFormat="false" ht="15" hidden="false" customHeight="false" outlineLevel="0" collapsed="false">
      <c r="A968" s="26" t="s">
        <v>3695</v>
      </c>
      <c r="B968" s="27" t="s">
        <v>3696</v>
      </c>
      <c r="C968" s="27" t="s">
        <v>144</v>
      </c>
      <c r="D968" s="26" t="s">
        <v>3697</v>
      </c>
      <c r="E968" s="27" t="s">
        <v>3698</v>
      </c>
      <c r="F968" s="28" t="s">
        <v>146</v>
      </c>
      <c r="G968" s="27" t="s">
        <v>3537</v>
      </c>
      <c r="H968" s="27" t="s">
        <v>57</v>
      </c>
      <c r="I968" s="27" t="s">
        <v>43</v>
      </c>
      <c r="J968" s="28" t="s">
        <v>2223</v>
      </c>
      <c r="K968" s="27" t="s">
        <v>38</v>
      </c>
      <c r="L968" s="27"/>
    </row>
    <row r="969" customFormat="false" ht="15" hidden="false" customHeight="false" outlineLevel="0" collapsed="false">
      <c r="A969" s="26" t="s">
        <v>3699</v>
      </c>
      <c r="B969" s="27" t="s">
        <v>3700</v>
      </c>
      <c r="C969" s="27" t="s">
        <v>144</v>
      </c>
      <c r="D969" s="26" t="s">
        <v>3701</v>
      </c>
      <c r="E969" s="27" t="s">
        <v>3702</v>
      </c>
      <c r="F969" s="28" t="s">
        <v>146</v>
      </c>
      <c r="G969" s="27" t="s">
        <v>3537</v>
      </c>
      <c r="H969" s="27" t="s">
        <v>56</v>
      </c>
      <c r="I969" s="27" t="s">
        <v>38</v>
      </c>
      <c r="J969" s="28" t="s">
        <v>2223</v>
      </c>
      <c r="K969" s="27" t="s">
        <v>38</v>
      </c>
      <c r="L969" s="27"/>
    </row>
    <row r="970" customFormat="false" ht="15" hidden="false" customHeight="false" outlineLevel="0" collapsed="false">
      <c r="A970" s="26" t="s">
        <v>3703</v>
      </c>
      <c r="B970" s="27" t="s">
        <v>3704</v>
      </c>
      <c r="C970" s="27" t="s">
        <v>144</v>
      </c>
      <c r="D970" s="26" t="s">
        <v>3705</v>
      </c>
      <c r="E970" s="27" t="s">
        <v>3706</v>
      </c>
      <c r="F970" s="28" t="s">
        <v>146</v>
      </c>
      <c r="G970" s="27" t="s">
        <v>3537</v>
      </c>
      <c r="H970" s="27" t="s">
        <v>56</v>
      </c>
      <c r="I970" s="27" t="s">
        <v>38</v>
      </c>
      <c r="J970" s="28" t="s">
        <v>2223</v>
      </c>
      <c r="K970" s="27" t="s">
        <v>38</v>
      </c>
      <c r="L970" s="27"/>
    </row>
    <row r="971" customFormat="false" ht="15" hidden="false" customHeight="false" outlineLevel="0" collapsed="false">
      <c r="A971" s="26" t="s">
        <v>3707</v>
      </c>
      <c r="B971" s="27" t="s">
        <v>3708</v>
      </c>
      <c r="C971" s="27" t="s">
        <v>144</v>
      </c>
      <c r="D971" s="26" t="s">
        <v>3709</v>
      </c>
      <c r="E971" s="27" t="s">
        <v>3710</v>
      </c>
      <c r="F971" s="28" t="s">
        <v>146</v>
      </c>
      <c r="G971" s="27" t="s">
        <v>3537</v>
      </c>
      <c r="H971" s="27" t="s">
        <v>57</v>
      </c>
      <c r="I971" s="28" t="s">
        <v>46</v>
      </c>
      <c r="J971" s="28" t="s">
        <v>2223</v>
      </c>
      <c r="K971" s="27" t="s">
        <v>38</v>
      </c>
      <c r="L971" s="27"/>
    </row>
    <row r="972" customFormat="false" ht="15" hidden="false" customHeight="false" outlineLevel="0" collapsed="false">
      <c r="A972" s="26" t="s">
        <v>3711</v>
      </c>
      <c r="B972" s="27" t="s">
        <v>3712</v>
      </c>
      <c r="C972" s="27" t="s">
        <v>144</v>
      </c>
      <c r="D972" s="26" t="s">
        <v>3713</v>
      </c>
      <c r="E972" s="27" t="s">
        <v>3714</v>
      </c>
      <c r="F972" s="28" t="s">
        <v>146</v>
      </c>
      <c r="G972" s="27" t="s">
        <v>3537</v>
      </c>
      <c r="H972" s="27" t="s">
        <v>56</v>
      </c>
      <c r="I972" s="27" t="s">
        <v>38</v>
      </c>
      <c r="J972" s="28" t="s">
        <v>2223</v>
      </c>
      <c r="K972" s="27" t="s">
        <v>38</v>
      </c>
      <c r="L972" s="27"/>
    </row>
    <row r="973" customFormat="false" ht="15" hidden="false" customHeight="false" outlineLevel="0" collapsed="false">
      <c r="A973" s="26" t="s">
        <v>3715</v>
      </c>
      <c r="B973" s="27" t="s">
        <v>3716</v>
      </c>
      <c r="C973" s="27" t="s">
        <v>144</v>
      </c>
      <c r="D973" s="26" t="s">
        <v>3717</v>
      </c>
      <c r="E973" s="27" t="s">
        <v>3718</v>
      </c>
      <c r="F973" s="28" t="s">
        <v>146</v>
      </c>
      <c r="G973" s="27" t="s">
        <v>3537</v>
      </c>
      <c r="H973" s="27" t="s">
        <v>56</v>
      </c>
      <c r="I973" s="27" t="s">
        <v>38</v>
      </c>
      <c r="J973" s="28" t="s">
        <v>2223</v>
      </c>
      <c r="K973" s="27" t="s">
        <v>38</v>
      </c>
      <c r="L973" s="27"/>
    </row>
    <row r="974" customFormat="false" ht="15" hidden="false" customHeight="false" outlineLevel="0" collapsed="false">
      <c r="A974" s="26" t="s">
        <v>3719</v>
      </c>
      <c r="B974" s="27" t="s">
        <v>3720</v>
      </c>
      <c r="C974" s="27" t="s">
        <v>144</v>
      </c>
      <c r="D974" s="26" t="s">
        <v>3721</v>
      </c>
      <c r="E974" s="27" t="s">
        <v>3722</v>
      </c>
      <c r="F974" s="28" t="s">
        <v>146</v>
      </c>
      <c r="G974" s="27" t="s">
        <v>3537</v>
      </c>
      <c r="H974" s="27" t="s">
        <v>56</v>
      </c>
      <c r="I974" s="27" t="s">
        <v>38</v>
      </c>
      <c r="J974" s="28" t="s">
        <v>2223</v>
      </c>
      <c r="K974" s="27" t="s">
        <v>38</v>
      </c>
      <c r="L974" s="27"/>
    </row>
    <row r="975" customFormat="false" ht="15" hidden="false" customHeight="false" outlineLevel="0" collapsed="false">
      <c r="A975" s="26" t="s">
        <v>3723</v>
      </c>
      <c r="B975" s="27" t="s">
        <v>3724</v>
      </c>
      <c r="C975" s="27" t="s">
        <v>144</v>
      </c>
      <c r="D975" s="26" t="s">
        <v>3725</v>
      </c>
      <c r="E975" s="27" t="s">
        <v>3726</v>
      </c>
      <c r="F975" s="28" t="s">
        <v>146</v>
      </c>
      <c r="G975" s="27" t="s">
        <v>3537</v>
      </c>
      <c r="H975" s="27" t="s">
        <v>56</v>
      </c>
      <c r="I975" s="27" t="s">
        <v>38</v>
      </c>
      <c r="J975" s="28" t="s">
        <v>2223</v>
      </c>
      <c r="K975" s="27" t="s">
        <v>38</v>
      </c>
      <c r="L975" s="27"/>
    </row>
    <row r="976" customFormat="false" ht="15" hidden="false" customHeight="false" outlineLevel="0" collapsed="false">
      <c r="A976" s="26" t="s">
        <v>3727</v>
      </c>
      <c r="B976" s="27" t="s">
        <v>3728</v>
      </c>
      <c r="C976" s="27" t="s">
        <v>137</v>
      </c>
      <c r="D976" s="26" t="s">
        <v>3729</v>
      </c>
      <c r="E976" s="27" t="s">
        <v>3730</v>
      </c>
      <c r="F976" s="28" t="s">
        <v>140</v>
      </c>
      <c r="G976" s="27" t="s">
        <v>3537</v>
      </c>
      <c r="H976" s="27" t="s">
        <v>57</v>
      </c>
      <c r="I976" s="27" t="s">
        <v>39</v>
      </c>
      <c r="J976" s="28" t="s">
        <v>2223</v>
      </c>
      <c r="K976" s="27" t="s">
        <v>38</v>
      </c>
      <c r="L976" s="27"/>
    </row>
    <row r="977" customFormat="false" ht="15" hidden="false" customHeight="false" outlineLevel="0" collapsed="false">
      <c r="A977" s="26" t="s">
        <v>3731</v>
      </c>
      <c r="B977" s="27" t="s">
        <v>3732</v>
      </c>
      <c r="C977" s="27" t="s">
        <v>137</v>
      </c>
      <c r="D977" s="26" t="s">
        <v>3733</v>
      </c>
      <c r="E977" s="27" t="s">
        <v>3734</v>
      </c>
      <c r="F977" s="28" t="s">
        <v>140</v>
      </c>
      <c r="G977" s="27" t="s">
        <v>3537</v>
      </c>
      <c r="H977" s="27" t="s">
        <v>57</v>
      </c>
      <c r="I977" s="27" t="s">
        <v>37</v>
      </c>
      <c r="J977" s="28" t="s">
        <v>2223</v>
      </c>
      <c r="K977" s="27" t="s">
        <v>38</v>
      </c>
      <c r="L977" s="27"/>
    </row>
    <row r="978" customFormat="false" ht="15" hidden="false" customHeight="false" outlineLevel="0" collapsed="false">
      <c r="A978" s="26" t="s">
        <v>3735</v>
      </c>
      <c r="B978" s="27" t="s">
        <v>3736</v>
      </c>
      <c r="C978" s="27" t="s">
        <v>144</v>
      </c>
      <c r="D978" s="26" t="s">
        <v>3737</v>
      </c>
      <c r="E978" s="27" t="s">
        <v>3738</v>
      </c>
      <c r="F978" s="28" t="s">
        <v>146</v>
      </c>
      <c r="G978" s="27" t="s">
        <v>3537</v>
      </c>
      <c r="H978" s="27" t="s">
        <v>56</v>
      </c>
      <c r="I978" s="27" t="s">
        <v>38</v>
      </c>
      <c r="J978" s="28" t="s">
        <v>2223</v>
      </c>
      <c r="K978" s="27" t="s">
        <v>38</v>
      </c>
      <c r="L978" s="27"/>
    </row>
    <row r="979" customFormat="false" ht="15" hidden="false" customHeight="false" outlineLevel="0" collapsed="false">
      <c r="A979" s="26" t="s">
        <v>3739</v>
      </c>
      <c r="B979" s="27" t="s">
        <v>3740</v>
      </c>
      <c r="C979" s="27" t="s">
        <v>144</v>
      </c>
      <c r="D979" s="26" t="s">
        <v>3741</v>
      </c>
      <c r="E979" s="27" t="s">
        <v>3742</v>
      </c>
      <c r="F979" s="28" t="s">
        <v>146</v>
      </c>
      <c r="G979" s="27" t="s">
        <v>3537</v>
      </c>
      <c r="H979" s="27" t="s">
        <v>56</v>
      </c>
      <c r="I979" s="27" t="s">
        <v>38</v>
      </c>
      <c r="J979" s="28" t="s">
        <v>2223</v>
      </c>
      <c r="K979" s="27" t="s">
        <v>38</v>
      </c>
      <c r="L979" s="27"/>
    </row>
    <row r="980" customFormat="false" ht="15" hidden="false" customHeight="false" outlineLevel="0" collapsed="false">
      <c r="A980" s="26" t="s">
        <v>3743</v>
      </c>
      <c r="B980" s="27" t="s">
        <v>3744</v>
      </c>
      <c r="C980" s="27" t="s">
        <v>1087</v>
      </c>
      <c r="D980" s="26" t="s">
        <v>3745</v>
      </c>
      <c r="E980" s="27" t="s">
        <v>3746</v>
      </c>
      <c r="F980" s="28" t="s">
        <v>1090</v>
      </c>
      <c r="G980" s="27" t="s">
        <v>3537</v>
      </c>
      <c r="H980" s="27" t="s">
        <v>57</v>
      </c>
      <c r="I980" s="27" t="s">
        <v>37</v>
      </c>
      <c r="J980" s="28" t="s">
        <v>2223</v>
      </c>
      <c r="K980" s="27" t="s">
        <v>38</v>
      </c>
      <c r="L980" s="27"/>
    </row>
    <row r="981" customFormat="false" ht="15" hidden="false" customHeight="false" outlineLevel="0" collapsed="false">
      <c r="A981" s="26" t="s">
        <v>3747</v>
      </c>
      <c r="B981" s="27" t="s">
        <v>3748</v>
      </c>
      <c r="C981" s="27" t="s">
        <v>144</v>
      </c>
      <c r="D981" s="26" t="s">
        <v>3749</v>
      </c>
      <c r="E981" s="27" t="s">
        <v>3750</v>
      </c>
      <c r="F981" s="28" t="s">
        <v>146</v>
      </c>
      <c r="G981" s="27" t="s">
        <v>3537</v>
      </c>
      <c r="H981" s="27" t="s">
        <v>56</v>
      </c>
      <c r="I981" s="27" t="s">
        <v>37</v>
      </c>
      <c r="J981" s="28" t="s">
        <v>3751</v>
      </c>
      <c r="K981" s="27" t="s">
        <v>37</v>
      </c>
      <c r="L981" s="27"/>
    </row>
    <row r="982" customFormat="false" ht="15" hidden="false" customHeight="false" outlineLevel="0" collapsed="false">
      <c r="A982" s="26" t="s">
        <v>3752</v>
      </c>
      <c r="B982" s="27" t="s">
        <v>3753</v>
      </c>
      <c r="C982" s="27" t="s">
        <v>144</v>
      </c>
      <c r="D982" s="26" t="s">
        <v>3754</v>
      </c>
      <c r="E982" s="27" t="s">
        <v>3755</v>
      </c>
      <c r="F982" s="28" t="s">
        <v>146</v>
      </c>
      <c r="G982" s="27" t="s">
        <v>3537</v>
      </c>
      <c r="H982" s="27" t="s">
        <v>57</v>
      </c>
      <c r="I982" s="27" t="s">
        <v>42</v>
      </c>
      <c r="J982" s="28" t="s">
        <v>147</v>
      </c>
      <c r="K982" s="27" t="s">
        <v>45</v>
      </c>
      <c r="L982" s="27"/>
    </row>
    <row r="983" customFormat="false" ht="15" hidden="false" customHeight="false" outlineLevel="0" collapsed="false">
      <c r="A983" s="26" t="s">
        <v>3756</v>
      </c>
      <c r="B983" s="27" t="s">
        <v>3757</v>
      </c>
      <c r="C983" s="27" t="s">
        <v>144</v>
      </c>
      <c r="D983" s="26" t="s">
        <v>3758</v>
      </c>
      <c r="E983" s="27" t="s">
        <v>3759</v>
      </c>
      <c r="F983" s="28" t="s">
        <v>146</v>
      </c>
      <c r="G983" s="27" t="s">
        <v>3537</v>
      </c>
      <c r="H983" s="27" t="s">
        <v>56</v>
      </c>
      <c r="I983" s="27" t="s">
        <v>45</v>
      </c>
      <c r="J983" s="28" t="s">
        <v>147</v>
      </c>
      <c r="K983" s="27" t="s">
        <v>45</v>
      </c>
      <c r="L983" s="27"/>
    </row>
    <row r="984" customFormat="false" ht="15" hidden="false" customHeight="false" outlineLevel="0" collapsed="false">
      <c r="A984" s="26" t="s">
        <v>3760</v>
      </c>
      <c r="B984" s="27" t="s">
        <v>3761</v>
      </c>
      <c r="C984" s="27" t="s">
        <v>144</v>
      </c>
      <c r="D984" s="26" t="s">
        <v>3762</v>
      </c>
      <c r="E984" s="27" t="s">
        <v>3763</v>
      </c>
      <c r="F984" s="28" t="s">
        <v>146</v>
      </c>
      <c r="G984" s="27" t="s">
        <v>3537</v>
      </c>
      <c r="H984" s="27" t="s">
        <v>56</v>
      </c>
      <c r="I984" s="27" t="s">
        <v>45</v>
      </c>
      <c r="J984" s="28" t="s">
        <v>147</v>
      </c>
      <c r="K984" s="27" t="s">
        <v>45</v>
      </c>
      <c r="L984" s="27"/>
    </row>
    <row r="985" customFormat="false" ht="15" hidden="false" customHeight="false" outlineLevel="0" collapsed="false">
      <c r="A985" s="26" t="s">
        <v>3764</v>
      </c>
      <c r="B985" s="27" t="s">
        <v>3765</v>
      </c>
      <c r="C985" s="27" t="s">
        <v>370</v>
      </c>
      <c r="D985" s="26" t="s">
        <v>3766</v>
      </c>
      <c r="E985" s="27" t="s">
        <v>3767</v>
      </c>
      <c r="F985" s="28" t="s">
        <v>373</v>
      </c>
      <c r="G985" s="27" t="s">
        <v>3537</v>
      </c>
      <c r="H985" s="27" t="s">
        <v>57</v>
      </c>
      <c r="I985" s="27" t="s">
        <v>47</v>
      </c>
      <c r="J985" s="28" t="s">
        <v>147</v>
      </c>
      <c r="K985" s="27" t="s">
        <v>45</v>
      </c>
      <c r="L985" s="27"/>
    </row>
    <row r="986" customFormat="false" ht="15" hidden="false" customHeight="false" outlineLevel="0" collapsed="false">
      <c r="A986" s="26" t="s">
        <v>3768</v>
      </c>
      <c r="B986" s="27" t="s">
        <v>3769</v>
      </c>
      <c r="C986" s="27" t="s">
        <v>370</v>
      </c>
      <c r="D986" s="26" t="s">
        <v>3770</v>
      </c>
      <c r="E986" s="27" t="s">
        <v>3771</v>
      </c>
      <c r="F986" s="28" t="s">
        <v>373</v>
      </c>
      <c r="G986" s="27" t="s">
        <v>3537</v>
      </c>
      <c r="H986" s="27" t="s">
        <v>57</v>
      </c>
      <c r="I986" s="27" t="s">
        <v>41</v>
      </c>
      <c r="J986" s="28" t="s">
        <v>147</v>
      </c>
      <c r="K986" s="27" t="s">
        <v>45</v>
      </c>
      <c r="L986" s="27"/>
    </row>
    <row r="987" customFormat="false" ht="15" hidden="false" customHeight="false" outlineLevel="0" collapsed="false">
      <c r="A987" s="26" t="s">
        <v>3772</v>
      </c>
      <c r="B987" s="27" t="s">
        <v>3773</v>
      </c>
      <c r="C987" s="27" t="s">
        <v>370</v>
      </c>
      <c r="D987" s="26" t="s">
        <v>3766</v>
      </c>
      <c r="E987" s="27" t="s">
        <v>3767</v>
      </c>
      <c r="F987" s="28" t="s">
        <v>373</v>
      </c>
      <c r="G987" s="27" t="s">
        <v>3537</v>
      </c>
      <c r="H987" s="27" t="s">
        <v>57</v>
      </c>
      <c r="I987" s="27" t="s">
        <v>47</v>
      </c>
      <c r="J987" s="28" t="s">
        <v>147</v>
      </c>
      <c r="K987" s="27" t="s">
        <v>45</v>
      </c>
      <c r="L987" s="27"/>
    </row>
    <row r="988" customFormat="false" ht="15" hidden="false" customHeight="false" outlineLevel="0" collapsed="false">
      <c r="A988" s="26" t="s">
        <v>3774</v>
      </c>
      <c r="B988" s="27" t="s">
        <v>3775</v>
      </c>
      <c r="C988" s="27" t="s">
        <v>370</v>
      </c>
      <c r="D988" s="26" t="s">
        <v>3776</v>
      </c>
      <c r="E988" s="27" t="s">
        <v>3777</v>
      </c>
      <c r="F988" s="28" t="s">
        <v>373</v>
      </c>
      <c r="G988" s="27" t="s">
        <v>3537</v>
      </c>
      <c r="H988" s="27" t="s">
        <v>57</v>
      </c>
      <c r="I988" s="27" t="s">
        <v>47</v>
      </c>
      <c r="J988" s="28" t="s">
        <v>147</v>
      </c>
      <c r="K988" s="27" t="s">
        <v>45</v>
      </c>
      <c r="L988" s="27"/>
    </row>
    <row r="989" customFormat="false" ht="15" hidden="false" customHeight="false" outlineLevel="0" collapsed="false">
      <c r="A989" s="26" t="s">
        <v>3778</v>
      </c>
      <c r="B989" s="27" t="s">
        <v>3779</v>
      </c>
      <c r="C989" s="27" t="s">
        <v>144</v>
      </c>
      <c r="D989" s="26" t="s">
        <v>3780</v>
      </c>
      <c r="E989" s="27" t="s">
        <v>3781</v>
      </c>
      <c r="F989" s="28" t="s">
        <v>1158</v>
      </c>
      <c r="G989" s="27" t="s">
        <v>3537</v>
      </c>
      <c r="H989" s="27" t="s">
        <v>56</v>
      </c>
      <c r="I989" s="27" t="s">
        <v>152</v>
      </c>
      <c r="J989" s="28" t="s">
        <v>3782</v>
      </c>
      <c r="K989" s="27" t="s">
        <v>152</v>
      </c>
      <c r="L989" s="27"/>
    </row>
    <row r="990" customFormat="false" ht="15" hidden="false" customHeight="false" outlineLevel="0" collapsed="false">
      <c r="A990" s="26" t="s">
        <v>3783</v>
      </c>
      <c r="B990" s="27" t="s">
        <v>3784</v>
      </c>
      <c r="C990" s="27" t="s">
        <v>144</v>
      </c>
      <c r="D990" s="26" t="s">
        <v>3785</v>
      </c>
      <c r="E990" s="27" t="s">
        <v>3786</v>
      </c>
      <c r="F990" s="28" t="s">
        <v>146</v>
      </c>
      <c r="G990" s="27" t="s">
        <v>3537</v>
      </c>
      <c r="H990" s="27" t="s">
        <v>56</v>
      </c>
      <c r="I990" s="27" t="s">
        <v>152</v>
      </c>
      <c r="J990" s="28" t="s">
        <v>3782</v>
      </c>
      <c r="K990" s="27" t="s">
        <v>152</v>
      </c>
      <c r="L990" s="27"/>
    </row>
    <row r="991" customFormat="false" ht="15" hidden="false" customHeight="false" outlineLevel="0" collapsed="false">
      <c r="A991" s="26" t="s">
        <v>3787</v>
      </c>
      <c r="B991" s="27" t="s">
        <v>3788</v>
      </c>
      <c r="C991" s="27" t="s">
        <v>144</v>
      </c>
      <c r="D991" s="26" t="s">
        <v>3295</v>
      </c>
      <c r="E991" s="27" t="s">
        <v>3296</v>
      </c>
      <c r="F991" s="28" t="s">
        <v>1158</v>
      </c>
      <c r="G991" s="27" t="s">
        <v>3537</v>
      </c>
      <c r="H991" s="27" t="s">
        <v>57</v>
      </c>
      <c r="I991" s="27" t="s">
        <v>152</v>
      </c>
      <c r="J991" s="28" t="s">
        <v>3789</v>
      </c>
      <c r="K991" s="27" t="s">
        <v>44</v>
      </c>
      <c r="L991" s="27"/>
    </row>
    <row r="992" customFormat="false" ht="15" hidden="false" customHeight="false" outlineLevel="0" collapsed="false">
      <c r="A992" s="26" t="s">
        <v>3790</v>
      </c>
      <c r="B992" s="27" t="s">
        <v>3791</v>
      </c>
      <c r="C992" s="27" t="s">
        <v>144</v>
      </c>
      <c r="D992" s="26" t="s">
        <v>3792</v>
      </c>
      <c r="E992" s="27" t="s">
        <v>3793</v>
      </c>
      <c r="F992" s="28" t="s">
        <v>146</v>
      </c>
      <c r="G992" s="27" t="s">
        <v>3537</v>
      </c>
      <c r="H992" s="27" t="s">
        <v>56</v>
      </c>
      <c r="I992" s="27" t="s">
        <v>44</v>
      </c>
      <c r="J992" s="28" t="s">
        <v>3789</v>
      </c>
      <c r="K992" s="27" t="s">
        <v>44</v>
      </c>
      <c r="L992" s="27"/>
    </row>
    <row r="993" customFormat="false" ht="15" hidden="false" customHeight="false" outlineLevel="0" collapsed="false">
      <c r="A993" s="26" t="s">
        <v>3794</v>
      </c>
      <c r="B993" s="27" t="s">
        <v>3795</v>
      </c>
      <c r="C993" s="27" t="s">
        <v>144</v>
      </c>
      <c r="D993" s="26" t="s">
        <v>3796</v>
      </c>
      <c r="E993" s="27" t="s">
        <v>3797</v>
      </c>
      <c r="F993" s="28" t="s">
        <v>146</v>
      </c>
      <c r="G993" s="27" t="s">
        <v>3537</v>
      </c>
      <c r="H993" s="27" t="s">
        <v>56</v>
      </c>
      <c r="I993" s="27" t="s">
        <v>44</v>
      </c>
      <c r="J993" s="28" t="s">
        <v>3789</v>
      </c>
      <c r="K993" s="27" t="s">
        <v>44</v>
      </c>
      <c r="L993" s="27"/>
    </row>
    <row r="994" customFormat="false" ht="15" hidden="false" customHeight="false" outlineLevel="0" collapsed="false">
      <c r="A994" s="26" t="s">
        <v>3798</v>
      </c>
      <c r="B994" s="27" t="s">
        <v>3799</v>
      </c>
      <c r="C994" s="27" t="s">
        <v>144</v>
      </c>
      <c r="D994" s="26" t="s">
        <v>3800</v>
      </c>
      <c r="E994" s="27" t="s">
        <v>3801</v>
      </c>
      <c r="F994" s="28" t="s">
        <v>146</v>
      </c>
      <c r="G994" s="27" t="s">
        <v>3537</v>
      </c>
      <c r="H994" s="27" t="s">
        <v>56</v>
      </c>
      <c r="I994" s="27" t="s">
        <v>47</v>
      </c>
      <c r="J994" s="28" t="s">
        <v>3802</v>
      </c>
      <c r="K994" s="27" t="s">
        <v>47</v>
      </c>
      <c r="L994" s="27"/>
    </row>
    <row r="995" customFormat="false" ht="15" hidden="false" customHeight="false" outlineLevel="0" collapsed="false">
      <c r="A995" s="26" t="s">
        <v>3803</v>
      </c>
      <c r="B995" s="27" t="s">
        <v>3804</v>
      </c>
      <c r="C995" s="27" t="s">
        <v>144</v>
      </c>
      <c r="D995" s="26" t="s">
        <v>3805</v>
      </c>
      <c r="E995" s="27" t="s">
        <v>3806</v>
      </c>
      <c r="F995" s="28" t="s">
        <v>1158</v>
      </c>
      <c r="G995" s="27" t="s">
        <v>3537</v>
      </c>
      <c r="H995" s="27" t="s">
        <v>57</v>
      </c>
      <c r="I995" s="27" t="s">
        <v>152</v>
      </c>
      <c r="J995" s="28" t="s">
        <v>3802</v>
      </c>
      <c r="K995" s="27" t="s">
        <v>47</v>
      </c>
      <c r="L995" s="27"/>
    </row>
    <row r="996" customFormat="false" ht="15" hidden="false" customHeight="false" outlineLevel="0" collapsed="false">
      <c r="A996" s="26" t="s">
        <v>3807</v>
      </c>
      <c r="B996" s="27" t="s">
        <v>3808</v>
      </c>
      <c r="C996" s="27" t="s">
        <v>144</v>
      </c>
      <c r="D996" s="26" t="s">
        <v>3809</v>
      </c>
      <c r="E996" s="27" t="s">
        <v>3810</v>
      </c>
      <c r="F996" s="28" t="s">
        <v>146</v>
      </c>
      <c r="G996" s="27" t="s">
        <v>3537</v>
      </c>
      <c r="H996" s="27" t="s">
        <v>57</v>
      </c>
      <c r="I996" s="27" t="s">
        <v>47</v>
      </c>
      <c r="J996" s="28" t="s">
        <v>2259</v>
      </c>
      <c r="K996" s="27" t="s">
        <v>152</v>
      </c>
      <c r="L996" s="27"/>
    </row>
    <row r="997" customFormat="false" ht="15" hidden="false" customHeight="false" outlineLevel="0" collapsed="false">
      <c r="A997" s="26" t="s">
        <v>3811</v>
      </c>
      <c r="B997" s="27" t="s">
        <v>3812</v>
      </c>
      <c r="C997" s="27" t="s">
        <v>144</v>
      </c>
      <c r="D997" s="26" t="s">
        <v>3813</v>
      </c>
      <c r="E997" s="27" t="s">
        <v>3814</v>
      </c>
      <c r="F997" s="28" t="s">
        <v>146</v>
      </c>
      <c r="G997" s="27" t="s">
        <v>3537</v>
      </c>
      <c r="H997" s="27" t="s">
        <v>56</v>
      </c>
      <c r="I997" s="27" t="s">
        <v>152</v>
      </c>
      <c r="J997" s="28" t="s">
        <v>2259</v>
      </c>
      <c r="K997" s="27" t="s">
        <v>152</v>
      </c>
      <c r="L997" s="27"/>
    </row>
    <row r="998" customFormat="false" ht="15" hidden="false" customHeight="false" outlineLevel="0" collapsed="false">
      <c r="A998" s="26" t="s">
        <v>3815</v>
      </c>
      <c r="B998" s="27" t="s">
        <v>3816</v>
      </c>
      <c r="C998" s="27" t="s">
        <v>144</v>
      </c>
      <c r="D998" s="26" t="s">
        <v>3817</v>
      </c>
      <c r="E998" s="27" t="s">
        <v>3818</v>
      </c>
      <c r="F998" s="28" t="s">
        <v>146</v>
      </c>
      <c r="G998" s="27" t="s">
        <v>3537</v>
      </c>
      <c r="H998" s="27" t="s">
        <v>57</v>
      </c>
      <c r="I998" s="27" t="s">
        <v>38</v>
      </c>
      <c r="J998" s="28" t="s">
        <v>2259</v>
      </c>
      <c r="K998" s="27" t="s">
        <v>152</v>
      </c>
      <c r="L998" s="27"/>
    </row>
    <row r="999" customFormat="false" ht="15" hidden="false" customHeight="false" outlineLevel="0" collapsed="false">
      <c r="A999" s="26" t="s">
        <v>3819</v>
      </c>
      <c r="B999" s="27" t="s">
        <v>3820</v>
      </c>
      <c r="C999" s="27" t="s">
        <v>144</v>
      </c>
      <c r="D999" s="26" t="s">
        <v>3821</v>
      </c>
      <c r="E999" s="27" t="s">
        <v>3822</v>
      </c>
      <c r="F999" s="28" t="s">
        <v>146</v>
      </c>
      <c r="G999" s="27" t="s">
        <v>3537</v>
      </c>
      <c r="H999" s="27" t="s">
        <v>56</v>
      </c>
      <c r="I999" s="27" t="s">
        <v>152</v>
      </c>
      <c r="J999" s="28" t="s">
        <v>2259</v>
      </c>
      <c r="K999" s="27" t="s">
        <v>152</v>
      </c>
      <c r="L999" s="27"/>
    </row>
    <row r="1000" customFormat="false" ht="15" hidden="false" customHeight="false" outlineLevel="0" collapsed="false">
      <c r="A1000" s="26" t="s">
        <v>3823</v>
      </c>
      <c r="B1000" s="27" t="s">
        <v>3824</v>
      </c>
      <c r="C1000" s="27" t="s">
        <v>144</v>
      </c>
      <c r="D1000" s="26" t="s">
        <v>3825</v>
      </c>
      <c r="E1000" s="27" t="s">
        <v>3826</v>
      </c>
      <c r="F1000" s="28" t="s">
        <v>146</v>
      </c>
      <c r="G1000" s="27" t="s">
        <v>3537</v>
      </c>
      <c r="H1000" s="27" t="s">
        <v>56</v>
      </c>
      <c r="I1000" s="27" t="s">
        <v>152</v>
      </c>
      <c r="J1000" s="28" t="s">
        <v>153</v>
      </c>
      <c r="K1000" s="27" t="s">
        <v>152</v>
      </c>
      <c r="L1000" s="27"/>
    </row>
    <row r="1001" customFormat="false" ht="15" hidden="false" customHeight="false" outlineLevel="0" collapsed="false">
      <c r="A1001" s="26" t="s">
        <v>3827</v>
      </c>
      <c r="B1001" s="27" t="s">
        <v>3828</v>
      </c>
      <c r="C1001" s="27" t="s">
        <v>144</v>
      </c>
      <c r="D1001" s="26" t="s">
        <v>3829</v>
      </c>
      <c r="E1001" s="27" t="s">
        <v>3830</v>
      </c>
      <c r="F1001" s="28" t="s">
        <v>146</v>
      </c>
      <c r="G1001" s="27" t="s">
        <v>3537</v>
      </c>
      <c r="H1001" s="27" t="s">
        <v>56</v>
      </c>
      <c r="I1001" s="27" t="s">
        <v>47</v>
      </c>
      <c r="J1001" s="28" t="s">
        <v>3831</v>
      </c>
      <c r="K1001" s="27" t="s">
        <v>47</v>
      </c>
      <c r="L1001" s="27"/>
    </row>
    <row r="1002" customFormat="false" ht="15" hidden="false" customHeight="false" outlineLevel="0" collapsed="false">
      <c r="A1002" s="26" t="s">
        <v>3832</v>
      </c>
      <c r="B1002" s="27" t="s">
        <v>3833</v>
      </c>
      <c r="C1002" s="27" t="s">
        <v>144</v>
      </c>
      <c r="D1002" s="26" t="s">
        <v>3834</v>
      </c>
      <c r="E1002" s="27" t="s">
        <v>3835</v>
      </c>
      <c r="F1002" s="28" t="s">
        <v>146</v>
      </c>
      <c r="G1002" s="27" t="s">
        <v>3537</v>
      </c>
      <c r="H1002" s="27" t="s">
        <v>56</v>
      </c>
      <c r="I1002" s="27" t="s">
        <v>42</v>
      </c>
      <c r="J1002" s="28" t="s">
        <v>3836</v>
      </c>
      <c r="K1002" s="27" t="s">
        <v>42</v>
      </c>
      <c r="L1002" s="27"/>
    </row>
    <row r="1003" customFormat="false" ht="15" hidden="false" customHeight="false" outlineLevel="0" collapsed="false">
      <c r="A1003" s="26" t="s">
        <v>3837</v>
      </c>
      <c r="B1003" s="27" t="s">
        <v>3838</v>
      </c>
      <c r="C1003" s="27" t="s">
        <v>144</v>
      </c>
      <c r="D1003" s="26" t="s">
        <v>3839</v>
      </c>
      <c r="E1003" s="27" t="s">
        <v>3840</v>
      </c>
      <c r="F1003" s="28" t="s">
        <v>146</v>
      </c>
      <c r="G1003" s="27" t="s">
        <v>3537</v>
      </c>
      <c r="H1003" s="27" t="s">
        <v>56</v>
      </c>
      <c r="I1003" s="27" t="s">
        <v>152</v>
      </c>
      <c r="J1003" s="28" t="s">
        <v>156</v>
      </c>
      <c r="K1003" s="27" t="s">
        <v>152</v>
      </c>
      <c r="L1003" s="27"/>
    </row>
    <row r="1004" customFormat="false" ht="15" hidden="false" customHeight="false" outlineLevel="0" collapsed="false">
      <c r="A1004" s="26" t="s">
        <v>3841</v>
      </c>
      <c r="B1004" s="27" t="s">
        <v>3842</v>
      </c>
      <c r="C1004" s="27" t="s">
        <v>144</v>
      </c>
      <c r="D1004" s="26" t="s">
        <v>3843</v>
      </c>
      <c r="E1004" s="27" t="s">
        <v>3844</v>
      </c>
      <c r="F1004" s="28" t="s">
        <v>146</v>
      </c>
      <c r="G1004" s="27" t="s">
        <v>3537</v>
      </c>
      <c r="H1004" s="27" t="s">
        <v>57</v>
      </c>
      <c r="I1004" s="28" t="s">
        <v>46</v>
      </c>
      <c r="J1004" s="28" t="s">
        <v>161</v>
      </c>
      <c r="K1004" s="27" t="s">
        <v>40</v>
      </c>
      <c r="L1004" s="27"/>
    </row>
    <row r="1005" customFormat="false" ht="15" hidden="false" customHeight="false" outlineLevel="0" collapsed="false">
      <c r="A1005" s="26" t="s">
        <v>3845</v>
      </c>
      <c r="B1005" s="27" t="s">
        <v>3846</v>
      </c>
      <c r="C1005" s="27" t="s">
        <v>144</v>
      </c>
      <c r="D1005" s="26" t="s">
        <v>3847</v>
      </c>
      <c r="E1005" s="27" t="s">
        <v>3848</v>
      </c>
      <c r="F1005" s="28" t="s">
        <v>146</v>
      </c>
      <c r="G1005" s="27" t="s">
        <v>3537</v>
      </c>
      <c r="H1005" s="27" t="s">
        <v>56</v>
      </c>
      <c r="I1005" s="27" t="s">
        <v>40</v>
      </c>
      <c r="J1005" s="28" t="s">
        <v>161</v>
      </c>
      <c r="K1005" s="27" t="s">
        <v>40</v>
      </c>
      <c r="L1005" s="27"/>
    </row>
    <row r="1006" customFormat="false" ht="15" hidden="false" customHeight="false" outlineLevel="0" collapsed="false">
      <c r="A1006" s="26" t="s">
        <v>3849</v>
      </c>
      <c r="B1006" s="27" t="s">
        <v>3850</v>
      </c>
      <c r="C1006" s="27" t="s">
        <v>144</v>
      </c>
      <c r="D1006" s="26" t="s">
        <v>3847</v>
      </c>
      <c r="E1006" s="27" t="s">
        <v>3848</v>
      </c>
      <c r="F1006" s="28" t="s">
        <v>146</v>
      </c>
      <c r="G1006" s="27" t="s">
        <v>3537</v>
      </c>
      <c r="H1006" s="27" t="s">
        <v>56</v>
      </c>
      <c r="I1006" s="27" t="s">
        <v>40</v>
      </c>
      <c r="J1006" s="28" t="s">
        <v>161</v>
      </c>
      <c r="K1006" s="27" t="s">
        <v>40</v>
      </c>
      <c r="L1006" s="27"/>
    </row>
    <row r="1007" customFormat="false" ht="15" hidden="false" customHeight="false" outlineLevel="0" collapsed="false">
      <c r="A1007" s="26" t="s">
        <v>3851</v>
      </c>
      <c r="B1007" s="27" t="s">
        <v>3852</v>
      </c>
      <c r="C1007" s="27" t="s">
        <v>144</v>
      </c>
      <c r="D1007" s="26" t="s">
        <v>3853</v>
      </c>
      <c r="E1007" s="27" t="s">
        <v>3854</v>
      </c>
      <c r="F1007" s="28" t="s">
        <v>146</v>
      </c>
      <c r="G1007" s="27" t="s">
        <v>3537</v>
      </c>
      <c r="H1007" s="27" t="s">
        <v>57</v>
      </c>
      <c r="I1007" s="28" t="s">
        <v>46</v>
      </c>
      <c r="J1007" s="28" t="s">
        <v>161</v>
      </c>
      <c r="K1007" s="27" t="s">
        <v>40</v>
      </c>
      <c r="L1007" s="27"/>
    </row>
    <row r="1008" customFormat="false" ht="15" hidden="false" customHeight="false" outlineLevel="0" collapsed="false">
      <c r="A1008" s="26" t="s">
        <v>3855</v>
      </c>
      <c r="B1008" s="27" t="s">
        <v>3856</v>
      </c>
      <c r="C1008" s="27" t="s">
        <v>144</v>
      </c>
      <c r="D1008" s="26" t="s">
        <v>3857</v>
      </c>
      <c r="E1008" s="27" t="s">
        <v>3858</v>
      </c>
      <c r="F1008" s="28" t="s">
        <v>146</v>
      </c>
      <c r="G1008" s="27" t="s">
        <v>3537</v>
      </c>
      <c r="H1008" s="27" t="s">
        <v>56</v>
      </c>
      <c r="I1008" s="27" t="s">
        <v>40</v>
      </c>
      <c r="J1008" s="28" t="s">
        <v>161</v>
      </c>
      <c r="K1008" s="27" t="s">
        <v>40</v>
      </c>
      <c r="L1008" s="27"/>
    </row>
    <row r="1009" customFormat="false" ht="15" hidden="false" customHeight="false" outlineLevel="0" collapsed="false">
      <c r="A1009" s="26" t="s">
        <v>3859</v>
      </c>
      <c r="B1009" s="27" t="s">
        <v>3860</v>
      </c>
      <c r="C1009" s="27" t="s">
        <v>144</v>
      </c>
      <c r="D1009" s="26" t="s">
        <v>3861</v>
      </c>
      <c r="E1009" s="27" t="s">
        <v>3862</v>
      </c>
      <c r="F1009" s="28" t="s">
        <v>146</v>
      </c>
      <c r="G1009" s="27" t="s">
        <v>3537</v>
      </c>
      <c r="H1009" s="27" t="s">
        <v>56</v>
      </c>
      <c r="I1009" s="27" t="s">
        <v>40</v>
      </c>
      <c r="J1009" s="28" t="s">
        <v>161</v>
      </c>
      <c r="K1009" s="27" t="s">
        <v>40</v>
      </c>
      <c r="L1009" s="27"/>
    </row>
    <row r="1010" customFormat="false" ht="15" hidden="false" customHeight="false" outlineLevel="0" collapsed="false">
      <c r="A1010" s="26" t="s">
        <v>3863</v>
      </c>
      <c r="B1010" s="27" t="s">
        <v>3864</v>
      </c>
      <c r="C1010" s="27" t="s">
        <v>144</v>
      </c>
      <c r="D1010" s="26" t="s">
        <v>3865</v>
      </c>
      <c r="E1010" s="27" t="s">
        <v>3866</v>
      </c>
      <c r="F1010" s="28" t="s">
        <v>146</v>
      </c>
      <c r="G1010" s="27" t="s">
        <v>3537</v>
      </c>
      <c r="H1010" s="27" t="s">
        <v>56</v>
      </c>
      <c r="I1010" s="27" t="s">
        <v>40</v>
      </c>
      <c r="J1010" s="28" t="s">
        <v>161</v>
      </c>
      <c r="K1010" s="27" t="s">
        <v>40</v>
      </c>
      <c r="L1010" s="27"/>
    </row>
    <row r="1011" customFormat="false" ht="15" hidden="false" customHeight="false" outlineLevel="0" collapsed="false">
      <c r="A1011" s="26" t="s">
        <v>3867</v>
      </c>
      <c r="B1011" s="27" t="s">
        <v>3868</v>
      </c>
      <c r="C1011" s="27" t="s">
        <v>144</v>
      </c>
      <c r="D1011" s="26" t="s">
        <v>3869</v>
      </c>
      <c r="E1011" s="27" t="s">
        <v>3870</v>
      </c>
      <c r="F1011" s="28" t="s">
        <v>146</v>
      </c>
      <c r="G1011" s="27" t="s">
        <v>3537</v>
      </c>
      <c r="H1011" s="27" t="s">
        <v>56</v>
      </c>
      <c r="I1011" s="27" t="s">
        <v>40</v>
      </c>
      <c r="J1011" s="28" t="s">
        <v>161</v>
      </c>
      <c r="K1011" s="27" t="s">
        <v>40</v>
      </c>
      <c r="L1011" s="27"/>
    </row>
    <row r="1012" customFormat="false" ht="15" hidden="false" customHeight="false" outlineLevel="0" collapsed="false">
      <c r="A1012" s="26" t="s">
        <v>3871</v>
      </c>
      <c r="B1012" s="27" t="s">
        <v>3872</v>
      </c>
      <c r="C1012" s="27" t="s">
        <v>144</v>
      </c>
      <c r="D1012" s="26" t="s">
        <v>3873</v>
      </c>
      <c r="E1012" s="27" t="s">
        <v>3874</v>
      </c>
      <c r="F1012" s="28" t="s">
        <v>146</v>
      </c>
      <c r="G1012" s="27" t="s">
        <v>3537</v>
      </c>
      <c r="H1012" s="27" t="s">
        <v>57</v>
      </c>
      <c r="I1012" s="28" t="s">
        <v>46</v>
      </c>
      <c r="J1012" s="28" t="s">
        <v>161</v>
      </c>
      <c r="K1012" s="27" t="s">
        <v>40</v>
      </c>
      <c r="L1012" s="27"/>
    </row>
    <row r="1013" customFormat="false" ht="15" hidden="false" customHeight="false" outlineLevel="0" collapsed="false">
      <c r="A1013" s="26" t="s">
        <v>3875</v>
      </c>
      <c r="B1013" s="27" t="s">
        <v>3876</v>
      </c>
      <c r="C1013" s="27" t="s">
        <v>144</v>
      </c>
      <c r="D1013" s="26" t="s">
        <v>3091</v>
      </c>
      <c r="E1013" s="27" t="s">
        <v>3092</v>
      </c>
      <c r="F1013" s="28" t="s">
        <v>146</v>
      </c>
      <c r="G1013" s="27" t="s">
        <v>3537</v>
      </c>
      <c r="H1013" s="27" t="s">
        <v>57</v>
      </c>
      <c r="I1013" s="28" t="s">
        <v>46</v>
      </c>
      <c r="J1013" s="28" t="s">
        <v>161</v>
      </c>
      <c r="K1013" s="27" t="s">
        <v>40</v>
      </c>
      <c r="L1013" s="27"/>
    </row>
    <row r="1014" customFormat="false" ht="15" hidden="false" customHeight="false" outlineLevel="0" collapsed="false">
      <c r="A1014" s="26" t="s">
        <v>3877</v>
      </c>
      <c r="B1014" s="27" t="s">
        <v>3878</v>
      </c>
      <c r="C1014" s="27" t="s">
        <v>144</v>
      </c>
      <c r="D1014" s="26" t="s">
        <v>3873</v>
      </c>
      <c r="E1014" s="27" t="s">
        <v>3874</v>
      </c>
      <c r="F1014" s="28" t="s">
        <v>146</v>
      </c>
      <c r="G1014" s="27" t="s">
        <v>3537</v>
      </c>
      <c r="H1014" s="27" t="s">
        <v>57</v>
      </c>
      <c r="I1014" s="28" t="s">
        <v>46</v>
      </c>
      <c r="J1014" s="28" t="s">
        <v>161</v>
      </c>
      <c r="K1014" s="27" t="s">
        <v>40</v>
      </c>
      <c r="L1014" s="27"/>
    </row>
    <row r="1015" customFormat="false" ht="15" hidden="false" customHeight="false" outlineLevel="0" collapsed="false">
      <c r="A1015" s="26" t="s">
        <v>3879</v>
      </c>
      <c r="B1015" s="27" t="s">
        <v>3880</v>
      </c>
      <c r="C1015" s="27" t="s">
        <v>144</v>
      </c>
      <c r="D1015" s="26" t="s">
        <v>3881</v>
      </c>
      <c r="E1015" s="27" t="s">
        <v>3882</v>
      </c>
      <c r="F1015" s="28" t="s">
        <v>146</v>
      </c>
      <c r="G1015" s="27" t="s">
        <v>3537</v>
      </c>
      <c r="H1015" s="27" t="s">
        <v>56</v>
      </c>
      <c r="I1015" s="27" t="s">
        <v>40</v>
      </c>
      <c r="J1015" s="28" t="s">
        <v>161</v>
      </c>
      <c r="K1015" s="27" t="s">
        <v>40</v>
      </c>
      <c r="L1015" s="27"/>
    </row>
    <row r="1016" customFormat="false" ht="15" hidden="false" customHeight="false" outlineLevel="0" collapsed="false">
      <c r="A1016" s="26" t="s">
        <v>3883</v>
      </c>
      <c r="B1016" s="27" t="s">
        <v>3884</v>
      </c>
      <c r="C1016" s="27" t="s">
        <v>144</v>
      </c>
      <c r="D1016" s="26" t="s">
        <v>3885</v>
      </c>
      <c r="E1016" s="27" t="s">
        <v>3886</v>
      </c>
      <c r="F1016" s="28" t="s">
        <v>146</v>
      </c>
      <c r="G1016" s="27" t="s">
        <v>3537</v>
      </c>
      <c r="H1016" s="27" t="s">
        <v>56</v>
      </c>
      <c r="I1016" s="27" t="s">
        <v>40</v>
      </c>
      <c r="J1016" s="28" t="s">
        <v>161</v>
      </c>
      <c r="K1016" s="27" t="s">
        <v>40</v>
      </c>
      <c r="L1016" s="27"/>
    </row>
    <row r="1017" customFormat="false" ht="15" hidden="false" customHeight="false" outlineLevel="0" collapsed="false">
      <c r="A1017" s="26" t="s">
        <v>3887</v>
      </c>
      <c r="B1017" s="27" t="s">
        <v>3888</v>
      </c>
      <c r="C1017" s="27" t="s">
        <v>144</v>
      </c>
      <c r="D1017" s="26" t="s">
        <v>3885</v>
      </c>
      <c r="E1017" s="27" t="s">
        <v>3886</v>
      </c>
      <c r="F1017" s="28" t="s">
        <v>146</v>
      </c>
      <c r="G1017" s="27" t="s">
        <v>3537</v>
      </c>
      <c r="H1017" s="27" t="s">
        <v>56</v>
      </c>
      <c r="I1017" s="27" t="s">
        <v>40</v>
      </c>
      <c r="J1017" s="28" t="s">
        <v>161</v>
      </c>
      <c r="K1017" s="27" t="s">
        <v>40</v>
      </c>
      <c r="L1017" s="27"/>
    </row>
    <row r="1018" customFormat="false" ht="15" hidden="false" customHeight="false" outlineLevel="0" collapsed="false">
      <c r="A1018" s="26" t="s">
        <v>3889</v>
      </c>
      <c r="B1018" s="27" t="s">
        <v>3890</v>
      </c>
      <c r="C1018" s="27" t="s">
        <v>144</v>
      </c>
      <c r="D1018" s="26" t="s">
        <v>3891</v>
      </c>
      <c r="E1018" s="27" t="s">
        <v>3892</v>
      </c>
      <c r="F1018" s="28" t="s">
        <v>146</v>
      </c>
      <c r="G1018" s="27" t="s">
        <v>3537</v>
      </c>
      <c r="H1018" s="27" t="s">
        <v>56</v>
      </c>
      <c r="I1018" s="27" t="s">
        <v>40</v>
      </c>
      <c r="J1018" s="28" t="s">
        <v>161</v>
      </c>
      <c r="K1018" s="27" t="s">
        <v>40</v>
      </c>
      <c r="L1018" s="27"/>
    </row>
    <row r="1019" customFormat="false" ht="15" hidden="false" customHeight="false" outlineLevel="0" collapsed="false">
      <c r="A1019" s="26" t="s">
        <v>3893</v>
      </c>
      <c r="B1019" s="27" t="s">
        <v>3894</v>
      </c>
      <c r="C1019" s="27" t="s">
        <v>144</v>
      </c>
      <c r="D1019" s="26" t="s">
        <v>3895</v>
      </c>
      <c r="E1019" s="27" t="s">
        <v>3896</v>
      </c>
      <c r="F1019" s="28" t="s">
        <v>146</v>
      </c>
      <c r="G1019" s="27" t="s">
        <v>3537</v>
      </c>
      <c r="H1019" s="27" t="s">
        <v>56</v>
      </c>
      <c r="I1019" s="27" t="s">
        <v>40</v>
      </c>
      <c r="J1019" s="28" t="s">
        <v>161</v>
      </c>
      <c r="K1019" s="27" t="s">
        <v>40</v>
      </c>
      <c r="L1019" s="27"/>
    </row>
    <row r="1020" customFormat="false" ht="15" hidden="false" customHeight="false" outlineLevel="0" collapsed="false">
      <c r="A1020" s="26" t="s">
        <v>3897</v>
      </c>
      <c r="B1020" s="27" t="s">
        <v>3898</v>
      </c>
      <c r="C1020" s="27" t="s">
        <v>144</v>
      </c>
      <c r="D1020" s="26" t="s">
        <v>3899</v>
      </c>
      <c r="E1020" s="27" t="s">
        <v>3900</v>
      </c>
      <c r="F1020" s="28" t="s">
        <v>146</v>
      </c>
      <c r="G1020" s="27" t="s">
        <v>3537</v>
      </c>
      <c r="H1020" s="27" t="s">
        <v>57</v>
      </c>
      <c r="I1020" s="27" t="s">
        <v>39</v>
      </c>
      <c r="J1020" s="28" t="s">
        <v>161</v>
      </c>
      <c r="K1020" s="27" t="s">
        <v>40</v>
      </c>
      <c r="L1020" s="27"/>
    </row>
    <row r="1021" customFormat="false" ht="15" hidden="false" customHeight="false" outlineLevel="0" collapsed="false">
      <c r="A1021" s="26" t="s">
        <v>3901</v>
      </c>
      <c r="B1021" s="27" t="s">
        <v>3902</v>
      </c>
      <c r="C1021" s="27" t="s">
        <v>144</v>
      </c>
      <c r="D1021" s="26" t="s">
        <v>3903</v>
      </c>
      <c r="E1021" s="27" t="s">
        <v>3904</v>
      </c>
      <c r="F1021" s="28" t="s">
        <v>146</v>
      </c>
      <c r="G1021" s="27" t="s">
        <v>3537</v>
      </c>
      <c r="H1021" s="27" t="s">
        <v>56</v>
      </c>
      <c r="I1021" s="27" t="s">
        <v>40</v>
      </c>
      <c r="J1021" s="28" t="s">
        <v>161</v>
      </c>
      <c r="K1021" s="27" t="s">
        <v>40</v>
      </c>
      <c r="L1021" s="27"/>
    </row>
    <row r="1022" customFormat="false" ht="15" hidden="false" customHeight="false" outlineLevel="0" collapsed="false">
      <c r="A1022" s="26" t="s">
        <v>3905</v>
      </c>
      <c r="B1022" s="27" t="s">
        <v>3906</v>
      </c>
      <c r="C1022" s="27" t="s">
        <v>144</v>
      </c>
      <c r="D1022" s="26" t="s">
        <v>3907</v>
      </c>
      <c r="E1022" s="27" t="s">
        <v>3908</v>
      </c>
      <c r="F1022" s="28" t="s">
        <v>146</v>
      </c>
      <c r="G1022" s="27" t="s">
        <v>3537</v>
      </c>
      <c r="H1022" s="27" t="s">
        <v>56</v>
      </c>
      <c r="I1022" s="27" t="s">
        <v>40</v>
      </c>
      <c r="J1022" s="28" t="s">
        <v>161</v>
      </c>
      <c r="K1022" s="27" t="s">
        <v>40</v>
      </c>
      <c r="L1022" s="27"/>
    </row>
    <row r="1023" customFormat="false" ht="15" hidden="false" customHeight="false" outlineLevel="0" collapsed="false">
      <c r="A1023" s="26" t="s">
        <v>3909</v>
      </c>
      <c r="B1023" s="27" t="s">
        <v>3910</v>
      </c>
      <c r="C1023" s="27" t="s">
        <v>144</v>
      </c>
      <c r="D1023" s="26" t="s">
        <v>3911</v>
      </c>
      <c r="E1023" s="27" t="s">
        <v>3912</v>
      </c>
      <c r="F1023" s="28" t="s">
        <v>146</v>
      </c>
      <c r="G1023" s="27" t="s">
        <v>3537</v>
      </c>
      <c r="H1023" s="27" t="s">
        <v>56</v>
      </c>
      <c r="I1023" s="27" t="s">
        <v>40</v>
      </c>
      <c r="J1023" s="28" t="s">
        <v>161</v>
      </c>
      <c r="K1023" s="27" t="s">
        <v>40</v>
      </c>
      <c r="L1023" s="27"/>
    </row>
    <row r="1024" customFormat="false" ht="15" hidden="false" customHeight="false" outlineLevel="0" collapsed="false">
      <c r="A1024" s="26" t="s">
        <v>3913</v>
      </c>
      <c r="B1024" s="27" t="s">
        <v>3914</v>
      </c>
      <c r="C1024" s="27" t="s">
        <v>144</v>
      </c>
      <c r="D1024" s="26" t="s">
        <v>3915</v>
      </c>
      <c r="E1024" s="27" t="s">
        <v>3916</v>
      </c>
      <c r="F1024" s="28" t="s">
        <v>146</v>
      </c>
      <c r="G1024" s="27" t="s">
        <v>3537</v>
      </c>
      <c r="H1024" s="27" t="s">
        <v>56</v>
      </c>
      <c r="I1024" s="27" t="s">
        <v>40</v>
      </c>
      <c r="J1024" s="28" t="s">
        <v>161</v>
      </c>
      <c r="K1024" s="27" t="s">
        <v>40</v>
      </c>
      <c r="L1024" s="27"/>
    </row>
    <row r="1025" customFormat="false" ht="15" hidden="false" customHeight="false" outlineLevel="0" collapsed="false">
      <c r="A1025" s="26" t="s">
        <v>3917</v>
      </c>
      <c r="B1025" s="27" t="s">
        <v>3918</v>
      </c>
      <c r="C1025" s="27" t="s">
        <v>144</v>
      </c>
      <c r="D1025" s="26" t="s">
        <v>3919</v>
      </c>
      <c r="E1025" s="27" t="s">
        <v>3920</v>
      </c>
      <c r="F1025" s="28" t="s">
        <v>146</v>
      </c>
      <c r="G1025" s="27" t="s">
        <v>3537</v>
      </c>
      <c r="H1025" s="27" t="s">
        <v>56</v>
      </c>
      <c r="I1025" s="27" t="s">
        <v>40</v>
      </c>
      <c r="J1025" s="28" t="s">
        <v>161</v>
      </c>
      <c r="K1025" s="27" t="s">
        <v>40</v>
      </c>
      <c r="L1025" s="27"/>
    </row>
    <row r="1026" customFormat="false" ht="15" hidden="false" customHeight="false" outlineLevel="0" collapsed="false">
      <c r="A1026" s="26" t="s">
        <v>3921</v>
      </c>
      <c r="B1026" s="27" t="s">
        <v>3922</v>
      </c>
      <c r="C1026" s="27" t="s">
        <v>144</v>
      </c>
      <c r="D1026" s="26" t="s">
        <v>3915</v>
      </c>
      <c r="E1026" s="27" t="s">
        <v>3916</v>
      </c>
      <c r="F1026" s="28" t="s">
        <v>146</v>
      </c>
      <c r="G1026" s="27" t="s">
        <v>3537</v>
      </c>
      <c r="H1026" s="27" t="s">
        <v>56</v>
      </c>
      <c r="I1026" s="27" t="s">
        <v>40</v>
      </c>
      <c r="J1026" s="28" t="s">
        <v>161</v>
      </c>
      <c r="K1026" s="27" t="s">
        <v>40</v>
      </c>
      <c r="L1026" s="27"/>
    </row>
    <row r="1027" customFormat="false" ht="15" hidden="false" customHeight="false" outlineLevel="0" collapsed="false">
      <c r="A1027" s="26" t="s">
        <v>3923</v>
      </c>
      <c r="B1027" s="27" t="s">
        <v>3924</v>
      </c>
      <c r="C1027" s="27" t="s">
        <v>144</v>
      </c>
      <c r="D1027" s="26" t="s">
        <v>3925</v>
      </c>
      <c r="E1027" s="27" t="s">
        <v>3926</v>
      </c>
      <c r="F1027" s="28" t="s">
        <v>146</v>
      </c>
      <c r="G1027" s="27" t="s">
        <v>3537</v>
      </c>
      <c r="H1027" s="27" t="s">
        <v>56</v>
      </c>
      <c r="I1027" s="27" t="s">
        <v>40</v>
      </c>
      <c r="J1027" s="28" t="s">
        <v>161</v>
      </c>
      <c r="K1027" s="27" t="s">
        <v>40</v>
      </c>
      <c r="L1027" s="27"/>
    </row>
    <row r="1028" customFormat="false" ht="15" hidden="false" customHeight="false" outlineLevel="0" collapsed="false">
      <c r="A1028" s="26" t="s">
        <v>3927</v>
      </c>
      <c r="B1028" s="27" t="s">
        <v>3928</v>
      </c>
      <c r="C1028" s="27" t="s">
        <v>144</v>
      </c>
      <c r="D1028" s="26" t="s">
        <v>3929</v>
      </c>
      <c r="E1028" s="27" t="s">
        <v>3930</v>
      </c>
      <c r="F1028" s="28" t="s">
        <v>146</v>
      </c>
      <c r="G1028" s="27" t="s">
        <v>3537</v>
      </c>
      <c r="H1028" s="27" t="s">
        <v>56</v>
      </c>
      <c r="I1028" s="27" t="s">
        <v>40</v>
      </c>
      <c r="J1028" s="28" t="s">
        <v>161</v>
      </c>
      <c r="K1028" s="27" t="s">
        <v>40</v>
      </c>
      <c r="L1028" s="27"/>
    </row>
    <row r="1029" customFormat="false" ht="15" hidden="false" customHeight="false" outlineLevel="0" collapsed="false">
      <c r="A1029" s="26" t="s">
        <v>3931</v>
      </c>
      <c r="B1029" s="27" t="s">
        <v>3932</v>
      </c>
      <c r="C1029" s="27" t="s">
        <v>144</v>
      </c>
      <c r="D1029" s="26" t="s">
        <v>3933</v>
      </c>
      <c r="E1029" s="27" t="s">
        <v>3934</v>
      </c>
      <c r="F1029" s="28" t="s">
        <v>146</v>
      </c>
      <c r="G1029" s="27" t="s">
        <v>3537</v>
      </c>
      <c r="H1029" s="27" t="s">
        <v>56</v>
      </c>
      <c r="I1029" s="27" t="s">
        <v>40</v>
      </c>
      <c r="J1029" s="28" t="s">
        <v>161</v>
      </c>
      <c r="K1029" s="27" t="s">
        <v>40</v>
      </c>
      <c r="L1029" s="27"/>
    </row>
    <row r="1030" customFormat="false" ht="15" hidden="false" customHeight="false" outlineLevel="0" collapsed="false">
      <c r="A1030" s="26" t="s">
        <v>3935</v>
      </c>
      <c r="B1030" s="27" t="s">
        <v>3936</v>
      </c>
      <c r="C1030" s="27" t="s">
        <v>144</v>
      </c>
      <c r="D1030" s="26" t="s">
        <v>3937</v>
      </c>
      <c r="E1030" s="27" t="s">
        <v>3938</v>
      </c>
      <c r="F1030" s="28" t="s">
        <v>146</v>
      </c>
      <c r="G1030" s="27" t="s">
        <v>3537</v>
      </c>
      <c r="H1030" s="27" t="s">
        <v>56</v>
      </c>
      <c r="I1030" s="27" t="s">
        <v>40</v>
      </c>
      <c r="J1030" s="28" t="s">
        <v>161</v>
      </c>
      <c r="K1030" s="27" t="s">
        <v>40</v>
      </c>
      <c r="L1030" s="27"/>
    </row>
    <row r="1031" customFormat="false" ht="15" hidden="false" customHeight="false" outlineLevel="0" collapsed="false">
      <c r="A1031" s="26" t="s">
        <v>3939</v>
      </c>
      <c r="B1031" s="27" t="s">
        <v>3940</v>
      </c>
      <c r="C1031" s="27" t="s">
        <v>144</v>
      </c>
      <c r="D1031" s="26" t="s">
        <v>3941</v>
      </c>
      <c r="E1031" s="27" t="s">
        <v>3942</v>
      </c>
      <c r="F1031" s="28" t="s">
        <v>146</v>
      </c>
      <c r="G1031" s="27" t="s">
        <v>3537</v>
      </c>
      <c r="H1031" s="27" t="s">
        <v>56</v>
      </c>
      <c r="I1031" s="27" t="s">
        <v>40</v>
      </c>
      <c r="J1031" s="28" t="s">
        <v>161</v>
      </c>
      <c r="K1031" s="27" t="s">
        <v>40</v>
      </c>
      <c r="L1031" s="27"/>
    </row>
    <row r="1032" customFormat="false" ht="15" hidden="false" customHeight="false" outlineLevel="0" collapsed="false">
      <c r="A1032" s="26" t="s">
        <v>3943</v>
      </c>
      <c r="B1032" s="27" t="s">
        <v>3944</v>
      </c>
      <c r="C1032" s="27" t="s">
        <v>144</v>
      </c>
      <c r="D1032" s="26" t="s">
        <v>3945</v>
      </c>
      <c r="E1032" s="27" t="s">
        <v>3946</v>
      </c>
      <c r="F1032" s="28" t="s">
        <v>146</v>
      </c>
      <c r="G1032" s="27" t="s">
        <v>3537</v>
      </c>
      <c r="H1032" s="27" t="s">
        <v>56</v>
      </c>
      <c r="I1032" s="27" t="s">
        <v>40</v>
      </c>
      <c r="J1032" s="28" t="s">
        <v>161</v>
      </c>
      <c r="K1032" s="27" t="s">
        <v>40</v>
      </c>
      <c r="L1032" s="27"/>
    </row>
    <row r="1033" customFormat="false" ht="15" hidden="false" customHeight="false" outlineLevel="0" collapsed="false">
      <c r="A1033" s="26" t="s">
        <v>3947</v>
      </c>
      <c r="B1033" s="27" t="s">
        <v>3948</v>
      </c>
      <c r="C1033" s="27" t="s">
        <v>144</v>
      </c>
      <c r="D1033" s="26" t="s">
        <v>3949</v>
      </c>
      <c r="E1033" s="27" t="s">
        <v>3950</v>
      </c>
      <c r="F1033" s="28" t="s">
        <v>146</v>
      </c>
      <c r="G1033" s="27" t="s">
        <v>3537</v>
      </c>
      <c r="H1033" s="27" t="s">
        <v>56</v>
      </c>
      <c r="I1033" s="27" t="s">
        <v>40</v>
      </c>
      <c r="J1033" s="28" t="s">
        <v>161</v>
      </c>
      <c r="K1033" s="27" t="s">
        <v>40</v>
      </c>
      <c r="L1033" s="27"/>
    </row>
    <row r="1034" customFormat="false" ht="15" hidden="false" customHeight="false" outlineLevel="0" collapsed="false">
      <c r="A1034" s="26" t="s">
        <v>3951</v>
      </c>
      <c r="B1034" s="27" t="s">
        <v>3952</v>
      </c>
      <c r="C1034" s="27" t="s">
        <v>144</v>
      </c>
      <c r="D1034" s="26" t="s">
        <v>3953</v>
      </c>
      <c r="E1034" s="27" t="s">
        <v>3954</v>
      </c>
      <c r="F1034" s="28" t="s">
        <v>146</v>
      </c>
      <c r="G1034" s="27" t="s">
        <v>3537</v>
      </c>
      <c r="H1034" s="27" t="s">
        <v>56</v>
      </c>
      <c r="I1034" s="27" t="s">
        <v>40</v>
      </c>
      <c r="J1034" s="28" t="s">
        <v>161</v>
      </c>
      <c r="K1034" s="27" t="s">
        <v>40</v>
      </c>
      <c r="L1034" s="27"/>
    </row>
    <row r="1035" customFormat="false" ht="15" hidden="false" customHeight="false" outlineLevel="0" collapsed="false">
      <c r="A1035" s="26" t="s">
        <v>3955</v>
      </c>
      <c r="B1035" s="27" t="s">
        <v>3956</v>
      </c>
      <c r="C1035" s="27" t="s">
        <v>144</v>
      </c>
      <c r="D1035" s="26" t="s">
        <v>3957</v>
      </c>
      <c r="E1035" s="27" t="s">
        <v>3958</v>
      </c>
      <c r="F1035" s="28" t="s">
        <v>146</v>
      </c>
      <c r="G1035" s="27" t="s">
        <v>3537</v>
      </c>
      <c r="H1035" s="27" t="s">
        <v>56</v>
      </c>
      <c r="I1035" s="27" t="s">
        <v>40</v>
      </c>
      <c r="J1035" s="28" t="s">
        <v>161</v>
      </c>
      <c r="K1035" s="27" t="s">
        <v>40</v>
      </c>
      <c r="L1035" s="27"/>
    </row>
    <row r="1036" customFormat="false" ht="15" hidden="false" customHeight="false" outlineLevel="0" collapsed="false">
      <c r="A1036" s="26" t="s">
        <v>3959</v>
      </c>
      <c r="B1036" s="27" t="s">
        <v>3960</v>
      </c>
      <c r="C1036" s="27" t="s">
        <v>144</v>
      </c>
      <c r="D1036" s="26" t="s">
        <v>3961</v>
      </c>
      <c r="E1036" s="27" t="s">
        <v>3962</v>
      </c>
      <c r="F1036" s="28" t="s">
        <v>146</v>
      </c>
      <c r="G1036" s="27" t="s">
        <v>3537</v>
      </c>
      <c r="H1036" s="27" t="s">
        <v>56</v>
      </c>
      <c r="I1036" s="27" t="s">
        <v>40</v>
      </c>
      <c r="J1036" s="28" t="s">
        <v>161</v>
      </c>
      <c r="K1036" s="27" t="s">
        <v>40</v>
      </c>
      <c r="L1036" s="27"/>
    </row>
    <row r="1037" customFormat="false" ht="15" hidden="false" customHeight="false" outlineLevel="0" collapsed="false">
      <c r="A1037" s="26" t="s">
        <v>3963</v>
      </c>
      <c r="B1037" s="27" t="s">
        <v>3964</v>
      </c>
      <c r="C1037" s="27" t="s">
        <v>144</v>
      </c>
      <c r="D1037" s="26" t="s">
        <v>3965</v>
      </c>
      <c r="E1037" s="27" t="s">
        <v>3966</v>
      </c>
      <c r="F1037" s="28" t="s">
        <v>146</v>
      </c>
      <c r="G1037" s="27" t="s">
        <v>3537</v>
      </c>
      <c r="H1037" s="27" t="s">
        <v>56</v>
      </c>
      <c r="I1037" s="27" t="s">
        <v>40</v>
      </c>
      <c r="J1037" s="28" t="s">
        <v>161</v>
      </c>
      <c r="K1037" s="27" t="s">
        <v>40</v>
      </c>
      <c r="L1037" s="27"/>
    </row>
    <row r="1038" customFormat="false" ht="15" hidden="false" customHeight="false" outlineLevel="0" collapsed="false">
      <c r="A1038" s="26" t="s">
        <v>3967</v>
      </c>
      <c r="B1038" s="27" t="s">
        <v>3968</v>
      </c>
      <c r="C1038" s="27" t="s">
        <v>144</v>
      </c>
      <c r="D1038" s="26" t="s">
        <v>3969</v>
      </c>
      <c r="E1038" s="27" t="s">
        <v>3970</v>
      </c>
      <c r="F1038" s="28" t="s">
        <v>146</v>
      </c>
      <c r="G1038" s="27" t="s">
        <v>3537</v>
      </c>
      <c r="H1038" s="27" t="s">
        <v>56</v>
      </c>
      <c r="I1038" s="27" t="s">
        <v>40</v>
      </c>
      <c r="J1038" s="28" t="s">
        <v>161</v>
      </c>
      <c r="K1038" s="27" t="s">
        <v>40</v>
      </c>
      <c r="L1038" s="27"/>
    </row>
    <row r="1039" customFormat="false" ht="15" hidden="false" customHeight="false" outlineLevel="0" collapsed="false">
      <c r="A1039" s="26" t="s">
        <v>3971</v>
      </c>
      <c r="B1039" s="27" t="s">
        <v>3972</v>
      </c>
      <c r="C1039" s="27" t="s">
        <v>144</v>
      </c>
      <c r="D1039" s="26" t="s">
        <v>168</v>
      </c>
      <c r="E1039" s="27" t="s">
        <v>169</v>
      </c>
      <c r="F1039" s="28" t="s">
        <v>146</v>
      </c>
      <c r="G1039" s="27" t="s">
        <v>3537</v>
      </c>
      <c r="H1039" s="27" t="s">
        <v>56</v>
      </c>
      <c r="I1039" s="27" t="s">
        <v>40</v>
      </c>
      <c r="J1039" s="28" t="s">
        <v>161</v>
      </c>
      <c r="K1039" s="27" t="s">
        <v>40</v>
      </c>
      <c r="L1039" s="27"/>
    </row>
    <row r="1040" customFormat="false" ht="15" hidden="false" customHeight="false" outlineLevel="0" collapsed="false">
      <c r="A1040" s="26" t="s">
        <v>3973</v>
      </c>
      <c r="B1040" s="27" t="s">
        <v>3974</v>
      </c>
      <c r="C1040" s="27" t="s">
        <v>144</v>
      </c>
      <c r="D1040" s="26" t="s">
        <v>3975</v>
      </c>
      <c r="E1040" s="27" t="s">
        <v>3976</v>
      </c>
      <c r="F1040" s="28" t="s">
        <v>146</v>
      </c>
      <c r="G1040" s="27" t="s">
        <v>3537</v>
      </c>
      <c r="H1040" s="27" t="s">
        <v>56</v>
      </c>
      <c r="I1040" s="27" t="s">
        <v>40</v>
      </c>
      <c r="J1040" s="28" t="s">
        <v>161</v>
      </c>
      <c r="K1040" s="27" t="s">
        <v>40</v>
      </c>
      <c r="L1040" s="27"/>
    </row>
    <row r="1041" customFormat="false" ht="15" hidden="false" customHeight="false" outlineLevel="0" collapsed="false">
      <c r="A1041" s="26" t="s">
        <v>3977</v>
      </c>
      <c r="B1041" s="27" t="s">
        <v>3978</v>
      </c>
      <c r="C1041" s="27" t="s">
        <v>144</v>
      </c>
      <c r="D1041" s="26" t="s">
        <v>179</v>
      </c>
      <c r="E1041" s="27" t="s">
        <v>180</v>
      </c>
      <c r="F1041" s="28" t="s">
        <v>146</v>
      </c>
      <c r="G1041" s="27" t="s">
        <v>3537</v>
      </c>
      <c r="H1041" s="27" t="s">
        <v>56</v>
      </c>
      <c r="I1041" s="27" t="s">
        <v>40</v>
      </c>
      <c r="J1041" s="28" t="s">
        <v>161</v>
      </c>
      <c r="K1041" s="27" t="s">
        <v>40</v>
      </c>
      <c r="L1041" s="27"/>
    </row>
    <row r="1042" customFormat="false" ht="15" hidden="false" customHeight="false" outlineLevel="0" collapsed="false">
      <c r="A1042" s="26" t="s">
        <v>3979</v>
      </c>
      <c r="B1042" s="27" t="s">
        <v>3980</v>
      </c>
      <c r="C1042" s="27" t="s">
        <v>144</v>
      </c>
      <c r="D1042" s="26" t="s">
        <v>3981</v>
      </c>
      <c r="E1042" s="27" t="s">
        <v>3982</v>
      </c>
      <c r="F1042" s="28" t="s">
        <v>146</v>
      </c>
      <c r="G1042" s="27" t="s">
        <v>3537</v>
      </c>
      <c r="H1042" s="27" t="s">
        <v>56</v>
      </c>
      <c r="I1042" s="27" t="s">
        <v>40</v>
      </c>
      <c r="J1042" s="28" t="s">
        <v>161</v>
      </c>
      <c r="K1042" s="27" t="s">
        <v>40</v>
      </c>
      <c r="L1042" s="27"/>
    </row>
    <row r="1043" customFormat="false" ht="15" hidden="false" customHeight="false" outlineLevel="0" collapsed="false">
      <c r="A1043" s="26" t="s">
        <v>3983</v>
      </c>
      <c r="B1043" s="27" t="s">
        <v>3984</v>
      </c>
      <c r="C1043" s="27" t="s">
        <v>144</v>
      </c>
      <c r="D1043" s="26" t="s">
        <v>3985</v>
      </c>
      <c r="E1043" s="27" t="s">
        <v>3986</v>
      </c>
      <c r="F1043" s="28" t="s">
        <v>146</v>
      </c>
      <c r="G1043" s="27" t="s">
        <v>3537</v>
      </c>
      <c r="H1043" s="27" t="s">
        <v>56</v>
      </c>
      <c r="I1043" s="27" t="s">
        <v>40</v>
      </c>
      <c r="J1043" s="28" t="s">
        <v>161</v>
      </c>
      <c r="K1043" s="27" t="s">
        <v>40</v>
      </c>
      <c r="L1043" s="27"/>
    </row>
    <row r="1044" customFormat="false" ht="15" hidden="false" customHeight="false" outlineLevel="0" collapsed="false">
      <c r="A1044" s="26" t="s">
        <v>3987</v>
      </c>
      <c r="B1044" s="27" t="s">
        <v>3988</v>
      </c>
      <c r="C1044" s="27" t="s">
        <v>144</v>
      </c>
      <c r="D1044" s="26" t="s">
        <v>3989</v>
      </c>
      <c r="E1044" s="27" t="s">
        <v>3990</v>
      </c>
      <c r="F1044" s="28" t="s">
        <v>146</v>
      </c>
      <c r="G1044" s="27" t="s">
        <v>3537</v>
      </c>
      <c r="H1044" s="27" t="s">
        <v>56</v>
      </c>
      <c r="I1044" s="27" t="s">
        <v>40</v>
      </c>
      <c r="J1044" s="28" t="s">
        <v>161</v>
      </c>
      <c r="K1044" s="27" t="s">
        <v>40</v>
      </c>
      <c r="L1044" s="27"/>
    </row>
    <row r="1045" customFormat="false" ht="15" hidden="false" customHeight="false" outlineLevel="0" collapsed="false">
      <c r="A1045" s="26" t="s">
        <v>3991</v>
      </c>
      <c r="B1045" s="27" t="s">
        <v>3992</v>
      </c>
      <c r="C1045" s="27" t="s">
        <v>144</v>
      </c>
      <c r="D1045" s="26" t="s">
        <v>3993</v>
      </c>
      <c r="E1045" s="27" t="s">
        <v>3994</v>
      </c>
      <c r="F1045" s="28" t="s">
        <v>146</v>
      </c>
      <c r="G1045" s="27" t="s">
        <v>3537</v>
      </c>
      <c r="H1045" s="27" t="s">
        <v>56</v>
      </c>
      <c r="I1045" s="27" t="s">
        <v>40</v>
      </c>
      <c r="J1045" s="28" t="s">
        <v>161</v>
      </c>
      <c r="K1045" s="27" t="s">
        <v>40</v>
      </c>
      <c r="L1045" s="27"/>
    </row>
    <row r="1046" customFormat="false" ht="15" hidden="false" customHeight="false" outlineLevel="0" collapsed="false">
      <c r="A1046" s="26" t="s">
        <v>3995</v>
      </c>
      <c r="B1046" s="27" t="s">
        <v>3996</v>
      </c>
      <c r="C1046" s="27" t="s">
        <v>144</v>
      </c>
      <c r="D1046" s="26" t="s">
        <v>3997</v>
      </c>
      <c r="E1046" s="27" t="s">
        <v>3998</v>
      </c>
      <c r="F1046" s="28" t="s">
        <v>146</v>
      </c>
      <c r="G1046" s="27" t="s">
        <v>3537</v>
      </c>
      <c r="H1046" s="27" t="s">
        <v>56</v>
      </c>
      <c r="I1046" s="27" t="s">
        <v>40</v>
      </c>
      <c r="J1046" s="28" t="s">
        <v>161</v>
      </c>
      <c r="K1046" s="27" t="s">
        <v>40</v>
      </c>
      <c r="L1046" s="27"/>
    </row>
    <row r="1047" customFormat="false" ht="15" hidden="false" customHeight="false" outlineLevel="0" collapsed="false">
      <c r="A1047" s="26" t="s">
        <v>3999</v>
      </c>
      <c r="B1047" s="27" t="s">
        <v>4000</v>
      </c>
      <c r="C1047" s="27" t="s">
        <v>144</v>
      </c>
      <c r="D1047" s="26" t="s">
        <v>4001</v>
      </c>
      <c r="E1047" s="27" t="s">
        <v>4002</v>
      </c>
      <c r="F1047" s="28" t="s">
        <v>146</v>
      </c>
      <c r="G1047" s="27" t="s">
        <v>3537</v>
      </c>
      <c r="H1047" s="27" t="s">
        <v>56</v>
      </c>
      <c r="I1047" s="27" t="s">
        <v>40</v>
      </c>
      <c r="J1047" s="28" t="s">
        <v>161</v>
      </c>
      <c r="K1047" s="27" t="s">
        <v>40</v>
      </c>
      <c r="L1047" s="27"/>
    </row>
    <row r="1048" customFormat="false" ht="15" hidden="false" customHeight="false" outlineLevel="0" collapsed="false">
      <c r="A1048" s="26" t="s">
        <v>4003</v>
      </c>
      <c r="B1048" s="27" t="s">
        <v>4004</v>
      </c>
      <c r="C1048" s="27" t="s">
        <v>144</v>
      </c>
      <c r="D1048" s="26" t="s">
        <v>4005</v>
      </c>
      <c r="E1048" s="27" t="s">
        <v>4006</v>
      </c>
      <c r="F1048" s="28" t="s">
        <v>146</v>
      </c>
      <c r="G1048" s="27" t="s">
        <v>3537</v>
      </c>
      <c r="H1048" s="27" t="s">
        <v>56</v>
      </c>
      <c r="I1048" s="27" t="s">
        <v>40</v>
      </c>
      <c r="J1048" s="28" t="s">
        <v>161</v>
      </c>
      <c r="K1048" s="27" t="s">
        <v>40</v>
      </c>
      <c r="L1048" s="27"/>
    </row>
    <row r="1049" customFormat="false" ht="15" hidden="false" customHeight="false" outlineLevel="0" collapsed="false">
      <c r="A1049" s="26" t="s">
        <v>4007</v>
      </c>
      <c r="B1049" s="27" t="s">
        <v>4008</v>
      </c>
      <c r="C1049" s="27" t="s">
        <v>144</v>
      </c>
      <c r="D1049" s="26" t="s">
        <v>4009</v>
      </c>
      <c r="E1049" s="27" t="s">
        <v>4010</v>
      </c>
      <c r="F1049" s="28" t="s">
        <v>146</v>
      </c>
      <c r="G1049" s="27" t="s">
        <v>3537</v>
      </c>
      <c r="H1049" s="27" t="s">
        <v>56</v>
      </c>
      <c r="I1049" s="27" t="s">
        <v>40</v>
      </c>
      <c r="J1049" s="28" t="s">
        <v>161</v>
      </c>
      <c r="K1049" s="27" t="s">
        <v>40</v>
      </c>
      <c r="L1049" s="27"/>
    </row>
    <row r="1050" customFormat="false" ht="15" hidden="false" customHeight="false" outlineLevel="0" collapsed="false">
      <c r="A1050" s="26" t="s">
        <v>4011</v>
      </c>
      <c r="B1050" s="27" t="s">
        <v>4012</v>
      </c>
      <c r="C1050" s="27" t="s">
        <v>144</v>
      </c>
      <c r="D1050" s="26" t="s">
        <v>3993</v>
      </c>
      <c r="E1050" s="27" t="s">
        <v>3994</v>
      </c>
      <c r="F1050" s="28" t="s">
        <v>146</v>
      </c>
      <c r="G1050" s="27" t="s">
        <v>3537</v>
      </c>
      <c r="H1050" s="27" t="s">
        <v>56</v>
      </c>
      <c r="I1050" s="27" t="s">
        <v>40</v>
      </c>
      <c r="J1050" s="28" t="s">
        <v>161</v>
      </c>
      <c r="K1050" s="27" t="s">
        <v>40</v>
      </c>
      <c r="L1050" s="27"/>
    </row>
    <row r="1051" customFormat="false" ht="15" hidden="false" customHeight="false" outlineLevel="0" collapsed="false">
      <c r="A1051" s="26" t="s">
        <v>4013</v>
      </c>
      <c r="B1051" s="27" t="s">
        <v>4014</v>
      </c>
      <c r="C1051" s="27" t="s">
        <v>144</v>
      </c>
      <c r="D1051" s="26" t="s">
        <v>4015</v>
      </c>
      <c r="E1051" s="27" t="s">
        <v>4016</v>
      </c>
      <c r="F1051" s="28" t="s">
        <v>146</v>
      </c>
      <c r="G1051" s="27" t="s">
        <v>3537</v>
      </c>
      <c r="H1051" s="27" t="s">
        <v>56</v>
      </c>
      <c r="I1051" s="27" t="s">
        <v>40</v>
      </c>
      <c r="J1051" s="28" t="s">
        <v>161</v>
      </c>
      <c r="K1051" s="27" t="s">
        <v>40</v>
      </c>
      <c r="L1051" s="27"/>
    </row>
    <row r="1052" customFormat="false" ht="15" hidden="false" customHeight="false" outlineLevel="0" collapsed="false">
      <c r="A1052" s="26" t="s">
        <v>4017</v>
      </c>
      <c r="B1052" s="27" t="s">
        <v>4018</v>
      </c>
      <c r="C1052" s="27" t="s">
        <v>144</v>
      </c>
      <c r="D1052" s="26" t="s">
        <v>4019</v>
      </c>
      <c r="E1052" s="27" t="s">
        <v>4020</v>
      </c>
      <c r="F1052" s="28" t="s">
        <v>146</v>
      </c>
      <c r="G1052" s="27" t="s">
        <v>3537</v>
      </c>
      <c r="H1052" s="27" t="s">
        <v>56</v>
      </c>
      <c r="I1052" s="27" t="s">
        <v>40</v>
      </c>
      <c r="J1052" s="28" t="s">
        <v>161</v>
      </c>
      <c r="K1052" s="27" t="s">
        <v>40</v>
      </c>
      <c r="L1052" s="27"/>
    </row>
    <row r="1053" customFormat="false" ht="15" hidden="false" customHeight="false" outlineLevel="0" collapsed="false">
      <c r="A1053" s="26" t="s">
        <v>4021</v>
      </c>
      <c r="B1053" s="27" t="s">
        <v>4022</v>
      </c>
      <c r="C1053" s="27" t="s">
        <v>144</v>
      </c>
      <c r="D1053" s="26" t="s">
        <v>4023</v>
      </c>
      <c r="E1053" s="27" t="s">
        <v>4024</v>
      </c>
      <c r="F1053" s="28" t="s">
        <v>146</v>
      </c>
      <c r="G1053" s="27" t="s">
        <v>3537</v>
      </c>
      <c r="H1053" s="27" t="s">
        <v>56</v>
      </c>
      <c r="I1053" s="27" t="s">
        <v>40</v>
      </c>
      <c r="J1053" s="28" t="s">
        <v>161</v>
      </c>
      <c r="K1053" s="27" t="s">
        <v>40</v>
      </c>
      <c r="L1053" s="27"/>
    </row>
    <row r="1054" customFormat="false" ht="15" hidden="false" customHeight="false" outlineLevel="0" collapsed="false">
      <c r="A1054" s="26" t="s">
        <v>4025</v>
      </c>
      <c r="B1054" s="27" t="s">
        <v>4026</v>
      </c>
      <c r="C1054" s="27" t="s">
        <v>144</v>
      </c>
      <c r="D1054" s="26" t="s">
        <v>4027</v>
      </c>
      <c r="E1054" s="27" t="s">
        <v>4028</v>
      </c>
      <c r="F1054" s="28" t="s">
        <v>146</v>
      </c>
      <c r="G1054" s="27" t="s">
        <v>3537</v>
      </c>
      <c r="H1054" s="27" t="s">
        <v>56</v>
      </c>
      <c r="I1054" s="27" t="s">
        <v>40</v>
      </c>
      <c r="J1054" s="28" t="s">
        <v>161</v>
      </c>
      <c r="K1054" s="27" t="s">
        <v>40</v>
      </c>
      <c r="L1054" s="27"/>
    </row>
    <row r="1055" customFormat="false" ht="15" hidden="false" customHeight="false" outlineLevel="0" collapsed="false">
      <c r="A1055" s="26" t="s">
        <v>4029</v>
      </c>
      <c r="B1055" s="27" t="s">
        <v>4030</v>
      </c>
      <c r="C1055" s="27" t="s">
        <v>144</v>
      </c>
      <c r="D1055" s="26" t="s">
        <v>4027</v>
      </c>
      <c r="E1055" s="27" t="s">
        <v>4028</v>
      </c>
      <c r="F1055" s="28" t="s">
        <v>146</v>
      </c>
      <c r="G1055" s="27" t="s">
        <v>3537</v>
      </c>
      <c r="H1055" s="27" t="s">
        <v>56</v>
      </c>
      <c r="I1055" s="27" t="s">
        <v>40</v>
      </c>
      <c r="J1055" s="28" t="s">
        <v>161</v>
      </c>
      <c r="K1055" s="27" t="s">
        <v>40</v>
      </c>
      <c r="L1055" s="27"/>
    </row>
    <row r="1056" customFormat="false" ht="15" hidden="false" customHeight="false" outlineLevel="0" collapsed="false">
      <c r="A1056" s="26" t="s">
        <v>4031</v>
      </c>
      <c r="B1056" s="27" t="s">
        <v>4032</v>
      </c>
      <c r="C1056" s="27" t="s">
        <v>144</v>
      </c>
      <c r="D1056" s="26" t="s">
        <v>4033</v>
      </c>
      <c r="E1056" s="27" t="s">
        <v>4034</v>
      </c>
      <c r="F1056" s="28" t="s">
        <v>146</v>
      </c>
      <c r="G1056" s="27" t="s">
        <v>3537</v>
      </c>
      <c r="H1056" s="27" t="s">
        <v>56</v>
      </c>
      <c r="I1056" s="27" t="s">
        <v>40</v>
      </c>
      <c r="J1056" s="28" t="s">
        <v>161</v>
      </c>
      <c r="K1056" s="27" t="s">
        <v>40</v>
      </c>
      <c r="L1056" s="27"/>
    </row>
    <row r="1057" customFormat="false" ht="15" hidden="false" customHeight="false" outlineLevel="0" collapsed="false">
      <c r="A1057" s="26" t="s">
        <v>4035</v>
      </c>
      <c r="B1057" s="27" t="s">
        <v>4036</v>
      </c>
      <c r="C1057" s="27" t="s">
        <v>144</v>
      </c>
      <c r="D1057" s="26" t="s">
        <v>4033</v>
      </c>
      <c r="E1057" s="27" t="s">
        <v>4034</v>
      </c>
      <c r="F1057" s="28" t="s">
        <v>146</v>
      </c>
      <c r="G1057" s="27" t="s">
        <v>3537</v>
      </c>
      <c r="H1057" s="27" t="s">
        <v>56</v>
      </c>
      <c r="I1057" s="27" t="s">
        <v>40</v>
      </c>
      <c r="J1057" s="28" t="s">
        <v>161</v>
      </c>
      <c r="K1057" s="27" t="s">
        <v>40</v>
      </c>
      <c r="L1057" s="27"/>
    </row>
    <row r="1058" customFormat="false" ht="15" hidden="false" customHeight="false" outlineLevel="0" collapsed="false">
      <c r="A1058" s="26" t="s">
        <v>4037</v>
      </c>
      <c r="B1058" s="27" t="s">
        <v>4038</v>
      </c>
      <c r="C1058" s="27" t="s">
        <v>144</v>
      </c>
      <c r="D1058" s="26" t="s">
        <v>4039</v>
      </c>
      <c r="E1058" s="27" t="s">
        <v>4040</v>
      </c>
      <c r="F1058" s="28" t="s">
        <v>146</v>
      </c>
      <c r="G1058" s="27" t="s">
        <v>3537</v>
      </c>
      <c r="H1058" s="27" t="s">
        <v>56</v>
      </c>
      <c r="I1058" s="27" t="s">
        <v>40</v>
      </c>
      <c r="J1058" s="28" t="s">
        <v>161</v>
      </c>
      <c r="K1058" s="27" t="s">
        <v>40</v>
      </c>
      <c r="L1058" s="27"/>
    </row>
    <row r="1059" customFormat="false" ht="15" hidden="false" customHeight="false" outlineLevel="0" collapsed="false">
      <c r="A1059" s="26" t="s">
        <v>4041</v>
      </c>
      <c r="B1059" s="27" t="s">
        <v>4042</v>
      </c>
      <c r="C1059" s="27" t="s">
        <v>144</v>
      </c>
      <c r="D1059" s="26" t="s">
        <v>4043</v>
      </c>
      <c r="E1059" s="27" t="s">
        <v>4044</v>
      </c>
      <c r="F1059" s="28" t="s">
        <v>146</v>
      </c>
      <c r="G1059" s="27" t="s">
        <v>3537</v>
      </c>
      <c r="H1059" s="27" t="s">
        <v>56</v>
      </c>
      <c r="I1059" s="27" t="s">
        <v>40</v>
      </c>
      <c r="J1059" s="28" t="s">
        <v>161</v>
      </c>
      <c r="K1059" s="27" t="s">
        <v>40</v>
      </c>
      <c r="L1059" s="27"/>
    </row>
    <row r="1060" customFormat="false" ht="15" hidden="false" customHeight="false" outlineLevel="0" collapsed="false">
      <c r="A1060" s="26" t="s">
        <v>4045</v>
      </c>
      <c r="B1060" s="27" t="s">
        <v>4046</v>
      </c>
      <c r="C1060" s="27" t="s">
        <v>144</v>
      </c>
      <c r="D1060" s="26" t="s">
        <v>4047</v>
      </c>
      <c r="E1060" s="27" t="s">
        <v>4048</v>
      </c>
      <c r="F1060" s="28" t="s">
        <v>146</v>
      </c>
      <c r="G1060" s="27" t="s">
        <v>3537</v>
      </c>
      <c r="H1060" s="27" t="s">
        <v>56</v>
      </c>
      <c r="I1060" s="27" t="s">
        <v>40</v>
      </c>
      <c r="J1060" s="28" t="s">
        <v>161</v>
      </c>
      <c r="K1060" s="27" t="s">
        <v>40</v>
      </c>
      <c r="L1060" s="27"/>
    </row>
    <row r="1061" customFormat="false" ht="15" hidden="false" customHeight="false" outlineLevel="0" collapsed="false">
      <c r="A1061" s="26" t="s">
        <v>4049</v>
      </c>
      <c r="B1061" s="27" t="s">
        <v>4050</v>
      </c>
      <c r="C1061" s="27" t="s">
        <v>144</v>
      </c>
      <c r="D1061" s="26" t="s">
        <v>4051</v>
      </c>
      <c r="E1061" s="27" t="s">
        <v>4052</v>
      </c>
      <c r="F1061" s="28" t="s">
        <v>146</v>
      </c>
      <c r="G1061" s="27" t="s">
        <v>3537</v>
      </c>
      <c r="H1061" s="27" t="s">
        <v>56</v>
      </c>
      <c r="I1061" s="27" t="s">
        <v>40</v>
      </c>
      <c r="J1061" s="28" t="s">
        <v>161</v>
      </c>
      <c r="K1061" s="27" t="s">
        <v>40</v>
      </c>
      <c r="L1061" s="27"/>
    </row>
    <row r="1062" customFormat="false" ht="15" hidden="false" customHeight="false" outlineLevel="0" collapsed="false">
      <c r="A1062" s="26" t="s">
        <v>4053</v>
      </c>
      <c r="B1062" s="27" t="s">
        <v>4054</v>
      </c>
      <c r="C1062" s="27" t="s">
        <v>144</v>
      </c>
      <c r="D1062" s="26" t="s">
        <v>4055</v>
      </c>
      <c r="E1062" s="27" t="s">
        <v>4056</v>
      </c>
      <c r="F1062" s="28" t="s">
        <v>146</v>
      </c>
      <c r="G1062" s="27" t="s">
        <v>3537</v>
      </c>
      <c r="H1062" s="27" t="s">
        <v>56</v>
      </c>
      <c r="I1062" s="27" t="s">
        <v>40</v>
      </c>
      <c r="J1062" s="28" t="s">
        <v>161</v>
      </c>
      <c r="K1062" s="27" t="s">
        <v>40</v>
      </c>
      <c r="L1062" s="27"/>
    </row>
    <row r="1063" customFormat="false" ht="15" hidden="false" customHeight="false" outlineLevel="0" collapsed="false">
      <c r="A1063" s="26" t="s">
        <v>4057</v>
      </c>
      <c r="B1063" s="27" t="s">
        <v>4058</v>
      </c>
      <c r="C1063" s="27" t="s">
        <v>144</v>
      </c>
      <c r="D1063" s="26" t="s">
        <v>4059</v>
      </c>
      <c r="E1063" s="27" t="s">
        <v>4060</v>
      </c>
      <c r="F1063" s="28" t="s">
        <v>146</v>
      </c>
      <c r="G1063" s="27" t="s">
        <v>3537</v>
      </c>
      <c r="H1063" s="27" t="s">
        <v>56</v>
      </c>
      <c r="I1063" s="27" t="s">
        <v>40</v>
      </c>
      <c r="J1063" s="28" t="s">
        <v>161</v>
      </c>
      <c r="K1063" s="27" t="s">
        <v>40</v>
      </c>
      <c r="L1063" s="27"/>
    </row>
    <row r="1064" customFormat="false" ht="15" hidden="false" customHeight="false" outlineLevel="0" collapsed="false">
      <c r="A1064" s="26" t="s">
        <v>4061</v>
      </c>
      <c r="B1064" s="27" t="s">
        <v>4062</v>
      </c>
      <c r="C1064" s="27" t="s">
        <v>144</v>
      </c>
      <c r="D1064" s="26" t="s">
        <v>4063</v>
      </c>
      <c r="E1064" s="27" t="s">
        <v>4064</v>
      </c>
      <c r="F1064" s="28" t="s">
        <v>146</v>
      </c>
      <c r="G1064" s="27" t="s">
        <v>3537</v>
      </c>
      <c r="H1064" s="27" t="s">
        <v>56</v>
      </c>
      <c r="I1064" s="27" t="s">
        <v>40</v>
      </c>
      <c r="J1064" s="28" t="s">
        <v>161</v>
      </c>
      <c r="K1064" s="27" t="s">
        <v>40</v>
      </c>
      <c r="L1064" s="27"/>
    </row>
    <row r="1065" customFormat="false" ht="15" hidden="false" customHeight="false" outlineLevel="0" collapsed="false">
      <c r="A1065" s="26" t="s">
        <v>4065</v>
      </c>
      <c r="B1065" s="27" t="s">
        <v>4066</v>
      </c>
      <c r="C1065" s="27" t="s">
        <v>144</v>
      </c>
      <c r="D1065" s="26" t="s">
        <v>3993</v>
      </c>
      <c r="E1065" s="27" t="s">
        <v>3994</v>
      </c>
      <c r="F1065" s="28" t="s">
        <v>146</v>
      </c>
      <c r="G1065" s="27" t="s">
        <v>3537</v>
      </c>
      <c r="H1065" s="27" t="s">
        <v>56</v>
      </c>
      <c r="I1065" s="27" t="s">
        <v>40</v>
      </c>
      <c r="J1065" s="28" t="s">
        <v>161</v>
      </c>
      <c r="K1065" s="27" t="s">
        <v>40</v>
      </c>
      <c r="L1065" s="27"/>
    </row>
    <row r="1066" customFormat="false" ht="15" hidden="false" customHeight="false" outlineLevel="0" collapsed="false">
      <c r="A1066" s="26" t="s">
        <v>4067</v>
      </c>
      <c r="B1066" s="27" t="s">
        <v>4068</v>
      </c>
      <c r="C1066" s="27" t="s">
        <v>144</v>
      </c>
      <c r="D1066" s="26" t="s">
        <v>4069</v>
      </c>
      <c r="E1066" s="27" t="s">
        <v>4070</v>
      </c>
      <c r="F1066" s="28" t="s">
        <v>146</v>
      </c>
      <c r="G1066" s="27" t="s">
        <v>3537</v>
      </c>
      <c r="H1066" s="27" t="s">
        <v>56</v>
      </c>
      <c r="I1066" s="27" t="s">
        <v>40</v>
      </c>
      <c r="J1066" s="28" t="s">
        <v>161</v>
      </c>
      <c r="K1066" s="27" t="s">
        <v>40</v>
      </c>
      <c r="L1066" s="27"/>
    </row>
    <row r="1067" customFormat="false" ht="15" hidden="false" customHeight="false" outlineLevel="0" collapsed="false">
      <c r="A1067" s="26" t="s">
        <v>4071</v>
      </c>
      <c r="B1067" s="27" t="s">
        <v>4072</v>
      </c>
      <c r="C1067" s="27" t="s">
        <v>144</v>
      </c>
      <c r="D1067" s="26" t="s">
        <v>4023</v>
      </c>
      <c r="E1067" s="27" t="s">
        <v>4024</v>
      </c>
      <c r="F1067" s="28" t="s">
        <v>146</v>
      </c>
      <c r="G1067" s="27" t="s">
        <v>3537</v>
      </c>
      <c r="H1067" s="27" t="s">
        <v>56</v>
      </c>
      <c r="I1067" s="27" t="s">
        <v>40</v>
      </c>
      <c r="J1067" s="28" t="s">
        <v>161</v>
      </c>
      <c r="K1067" s="27" t="s">
        <v>40</v>
      </c>
      <c r="L1067" s="27"/>
    </row>
    <row r="1068" customFormat="false" ht="15" hidden="false" customHeight="false" outlineLevel="0" collapsed="false">
      <c r="A1068" s="26" t="s">
        <v>4073</v>
      </c>
      <c r="B1068" s="27" t="s">
        <v>4074</v>
      </c>
      <c r="C1068" s="27" t="s">
        <v>144</v>
      </c>
      <c r="D1068" s="26" t="s">
        <v>4075</v>
      </c>
      <c r="E1068" s="27" t="s">
        <v>4076</v>
      </c>
      <c r="F1068" s="28" t="s">
        <v>146</v>
      </c>
      <c r="G1068" s="27" t="s">
        <v>3537</v>
      </c>
      <c r="H1068" s="27" t="s">
        <v>56</v>
      </c>
      <c r="I1068" s="27" t="s">
        <v>40</v>
      </c>
      <c r="J1068" s="28" t="s">
        <v>161</v>
      </c>
      <c r="K1068" s="27" t="s">
        <v>40</v>
      </c>
      <c r="L1068" s="27"/>
    </row>
    <row r="1069" customFormat="false" ht="15" hidden="false" customHeight="false" outlineLevel="0" collapsed="false">
      <c r="A1069" s="26" t="s">
        <v>4077</v>
      </c>
      <c r="B1069" s="27" t="s">
        <v>4078</v>
      </c>
      <c r="C1069" s="27" t="s">
        <v>144</v>
      </c>
      <c r="D1069" s="26" t="s">
        <v>4079</v>
      </c>
      <c r="E1069" s="27" t="s">
        <v>4080</v>
      </c>
      <c r="F1069" s="28" t="s">
        <v>146</v>
      </c>
      <c r="G1069" s="27" t="s">
        <v>3537</v>
      </c>
      <c r="H1069" s="27" t="s">
        <v>56</v>
      </c>
      <c r="I1069" s="27" t="s">
        <v>40</v>
      </c>
      <c r="J1069" s="28" t="s">
        <v>161</v>
      </c>
      <c r="K1069" s="27" t="s">
        <v>40</v>
      </c>
      <c r="L1069" s="27"/>
    </row>
    <row r="1070" customFormat="false" ht="15" hidden="false" customHeight="false" outlineLevel="0" collapsed="false">
      <c r="A1070" s="26" t="s">
        <v>4081</v>
      </c>
      <c r="B1070" s="27" t="s">
        <v>4082</v>
      </c>
      <c r="C1070" s="27" t="s">
        <v>144</v>
      </c>
      <c r="D1070" s="26" t="s">
        <v>4083</v>
      </c>
      <c r="E1070" s="27" t="s">
        <v>4084</v>
      </c>
      <c r="F1070" s="28" t="s">
        <v>146</v>
      </c>
      <c r="G1070" s="27" t="s">
        <v>3537</v>
      </c>
      <c r="H1070" s="27" t="s">
        <v>56</v>
      </c>
      <c r="I1070" s="27" t="s">
        <v>40</v>
      </c>
      <c r="J1070" s="28" t="s">
        <v>161</v>
      </c>
      <c r="K1070" s="27" t="s">
        <v>40</v>
      </c>
      <c r="L1070" s="27"/>
    </row>
    <row r="1071" customFormat="false" ht="15" hidden="false" customHeight="false" outlineLevel="0" collapsed="false">
      <c r="A1071" s="26" t="s">
        <v>4085</v>
      </c>
      <c r="B1071" s="27" t="s">
        <v>4086</v>
      </c>
      <c r="C1071" s="27" t="s">
        <v>144</v>
      </c>
      <c r="D1071" s="26" t="s">
        <v>4087</v>
      </c>
      <c r="E1071" s="27" t="s">
        <v>4088</v>
      </c>
      <c r="F1071" s="28" t="s">
        <v>146</v>
      </c>
      <c r="G1071" s="27" t="s">
        <v>3537</v>
      </c>
      <c r="H1071" s="27" t="s">
        <v>56</v>
      </c>
      <c r="I1071" s="27" t="s">
        <v>40</v>
      </c>
      <c r="J1071" s="28" t="s">
        <v>161</v>
      </c>
      <c r="K1071" s="27" t="s">
        <v>40</v>
      </c>
      <c r="L1071" s="27"/>
    </row>
    <row r="1072" customFormat="false" ht="15" hidden="false" customHeight="false" outlineLevel="0" collapsed="false">
      <c r="A1072" s="26" t="s">
        <v>4089</v>
      </c>
      <c r="B1072" s="27" t="s">
        <v>4090</v>
      </c>
      <c r="C1072" s="27" t="s">
        <v>144</v>
      </c>
      <c r="D1072" s="26" t="s">
        <v>4091</v>
      </c>
      <c r="E1072" s="27" t="s">
        <v>4092</v>
      </c>
      <c r="F1072" s="28" t="s">
        <v>146</v>
      </c>
      <c r="G1072" s="27" t="s">
        <v>3537</v>
      </c>
      <c r="H1072" s="27" t="s">
        <v>56</v>
      </c>
      <c r="I1072" s="27" t="s">
        <v>40</v>
      </c>
      <c r="J1072" s="28" t="s">
        <v>161</v>
      </c>
      <c r="K1072" s="27" t="s">
        <v>40</v>
      </c>
      <c r="L1072" s="27"/>
    </row>
    <row r="1073" customFormat="false" ht="15" hidden="false" customHeight="false" outlineLevel="0" collapsed="false">
      <c r="A1073" s="26" t="s">
        <v>4093</v>
      </c>
      <c r="B1073" s="27" t="s">
        <v>4094</v>
      </c>
      <c r="C1073" s="27" t="s">
        <v>144</v>
      </c>
      <c r="D1073" s="26" t="s">
        <v>4095</v>
      </c>
      <c r="E1073" s="27" t="s">
        <v>4096</v>
      </c>
      <c r="F1073" s="28" t="s">
        <v>146</v>
      </c>
      <c r="G1073" s="27" t="s">
        <v>3537</v>
      </c>
      <c r="H1073" s="27" t="s">
        <v>56</v>
      </c>
      <c r="I1073" s="27" t="s">
        <v>40</v>
      </c>
      <c r="J1073" s="28" t="s">
        <v>161</v>
      </c>
      <c r="K1073" s="27" t="s">
        <v>40</v>
      </c>
      <c r="L1073" s="27"/>
    </row>
    <row r="1074" customFormat="false" ht="15" hidden="false" customHeight="false" outlineLevel="0" collapsed="false">
      <c r="A1074" s="26" t="s">
        <v>4097</v>
      </c>
      <c r="B1074" s="27" t="s">
        <v>4098</v>
      </c>
      <c r="C1074" s="27" t="s">
        <v>144</v>
      </c>
      <c r="D1074" s="26" t="s">
        <v>4099</v>
      </c>
      <c r="E1074" s="27" t="s">
        <v>4100</v>
      </c>
      <c r="F1074" s="28" t="s">
        <v>146</v>
      </c>
      <c r="G1074" s="27" t="s">
        <v>3537</v>
      </c>
      <c r="H1074" s="27" t="s">
        <v>57</v>
      </c>
      <c r="I1074" s="27" t="s">
        <v>48</v>
      </c>
      <c r="J1074" s="28" t="s">
        <v>161</v>
      </c>
      <c r="K1074" s="27" t="s">
        <v>40</v>
      </c>
      <c r="L1074" s="27"/>
    </row>
    <row r="1075" customFormat="false" ht="15" hidden="false" customHeight="false" outlineLevel="0" collapsed="false">
      <c r="A1075" s="26" t="s">
        <v>4101</v>
      </c>
      <c r="B1075" s="27" t="s">
        <v>4102</v>
      </c>
      <c r="C1075" s="27" t="s">
        <v>144</v>
      </c>
      <c r="D1075" s="26" t="s">
        <v>4103</v>
      </c>
      <c r="E1075" s="27" t="s">
        <v>4104</v>
      </c>
      <c r="F1075" s="28" t="s">
        <v>146</v>
      </c>
      <c r="G1075" s="27" t="s">
        <v>3537</v>
      </c>
      <c r="H1075" s="27" t="s">
        <v>56</v>
      </c>
      <c r="I1075" s="27" t="s">
        <v>40</v>
      </c>
      <c r="J1075" s="28" t="s">
        <v>161</v>
      </c>
      <c r="K1075" s="27" t="s">
        <v>40</v>
      </c>
      <c r="L1075" s="27"/>
    </row>
    <row r="1076" customFormat="false" ht="15" hidden="false" customHeight="false" outlineLevel="0" collapsed="false">
      <c r="A1076" s="26" t="s">
        <v>4105</v>
      </c>
      <c r="B1076" s="27" t="s">
        <v>4106</v>
      </c>
      <c r="C1076" s="27" t="s">
        <v>144</v>
      </c>
      <c r="D1076" s="26" t="s">
        <v>4107</v>
      </c>
      <c r="E1076" s="27" t="s">
        <v>4108</v>
      </c>
      <c r="F1076" s="28" t="s">
        <v>146</v>
      </c>
      <c r="G1076" s="27" t="s">
        <v>3537</v>
      </c>
      <c r="H1076" s="27" t="s">
        <v>56</v>
      </c>
      <c r="I1076" s="27" t="s">
        <v>40</v>
      </c>
      <c r="J1076" s="28" t="s">
        <v>161</v>
      </c>
      <c r="K1076" s="27" t="s">
        <v>40</v>
      </c>
      <c r="L1076" s="27"/>
    </row>
    <row r="1077" customFormat="false" ht="15" hidden="false" customHeight="false" outlineLevel="0" collapsed="false">
      <c r="A1077" s="26" t="s">
        <v>4109</v>
      </c>
      <c r="B1077" s="27" t="s">
        <v>4110</v>
      </c>
      <c r="C1077" s="27" t="s">
        <v>144</v>
      </c>
      <c r="D1077" s="26" t="s">
        <v>4111</v>
      </c>
      <c r="E1077" s="27" t="s">
        <v>4112</v>
      </c>
      <c r="F1077" s="28" t="s">
        <v>146</v>
      </c>
      <c r="G1077" s="27" t="s">
        <v>3537</v>
      </c>
      <c r="H1077" s="27" t="s">
        <v>56</v>
      </c>
      <c r="I1077" s="27" t="s">
        <v>40</v>
      </c>
      <c r="J1077" s="28" t="s">
        <v>161</v>
      </c>
      <c r="K1077" s="27" t="s">
        <v>40</v>
      </c>
      <c r="L1077" s="27"/>
    </row>
    <row r="1078" customFormat="false" ht="15" hidden="false" customHeight="false" outlineLevel="0" collapsed="false">
      <c r="A1078" s="26" t="s">
        <v>4113</v>
      </c>
      <c r="B1078" s="27" t="s">
        <v>4114</v>
      </c>
      <c r="C1078" s="27" t="s">
        <v>144</v>
      </c>
      <c r="D1078" s="26" t="s">
        <v>4115</v>
      </c>
      <c r="E1078" s="27" t="s">
        <v>4116</v>
      </c>
      <c r="F1078" s="28" t="s">
        <v>146</v>
      </c>
      <c r="G1078" s="27" t="s">
        <v>3537</v>
      </c>
      <c r="H1078" s="27" t="s">
        <v>56</v>
      </c>
      <c r="I1078" s="27" t="s">
        <v>40</v>
      </c>
      <c r="J1078" s="28" t="s">
        <v>161</v>
      </c>
      <c r="K1078" s="27" t="s">
        <v>40</v>
      </c>
      <c r="L1078" s="27"/>
    </row>
    <row r="1079" customFormat="false" ht="15" hidden="false" customHeight="false" outlineLevel="0" collapsed="false">
      <c r="A1079" s="26" t="s">
        <v>4117</v>
      </c>
      <c r="B1079" s="27" t="s">
        <v>4118</v>
      </c>
      <c r="C1079" s="27" t="s">
        <v>144</v>
      </c>
      <c r="D1079" s="26" t="s">
        <v>4119</v>
      </c>
      <c r="E1079" s="27" t="s">
        <v>4120</v>
      </c>
      <c r="F1079" s="28" t="s">
        <v>146</v>
      </c>
      <c r="G1079" s="27" t="s">
        <v>3537</v>
      </c>
      <c r="H1079" s="27" t="s">
        <v>56</v>
      </c>
      <c r="I1079" s="27" t="s">
        <v>40</v>
      </c>
      <c r="J1079" s="28" t="s">
        <v>161</v>
      </c>
      <c r="K1079" s="27" t="s">
        <v>40</v>
      </c>
      <c r="L1079" s="27"/>
    </row>
    <row r="1080" customFormat="false" ht="15" hidden="false" customHeight="false" outlineLevel="0" collapsed="false">
      <c r="A1080" s="26" t="s">
        <v>4121</v>
      </c>
      <c r="B1080" s="27" t="s">
        <v>4122</v>
      </c>
      <c r="C1080" s="27" t="s">
        <v>144</v>
      </c>
      <c r="D1080" s="26" t="s">
        <v>4123</v>
      </c>
      <c r="E1080" s="27" t="s">
        <v>4124</v>
      </c>
      <c r="F1080" s="28" t="s">
        <v>146</v>
      </c>
      <c r="G1080" s="27" t="s">
        <v>3537</v>
      </c>
      <c r="H1080" s="27" t="s">
        <v>56</v>
      </c>
      <c r="I1080" s="27" t="s">
        <v>40</v>
      </c>
      <c r="J1080" s="28" t="s">
        <v>161</v>
      </c>
      <c r="K1080" s="27" t="s">
        <v>40</v>
      </c>
      <c r="L1080" s="27"/>
    </row>
    <row r="1081" customFormat="false" ht="15" hidden="false" customHeight="false" outlineLevel="0" collapsed="false">
      <c r="A1081" s="26" t="s">
        <v>4125</v>
      </c>
      <c r="B1081" s="27" t="s">
        <v>4126</v>
      </c>
      <c r="C1081" s="27" t="s">
        <v>144</v>
      </c>
      <c r="D1081" s="26" t="s">
        <v>4127</v>
      </c>
      <c r="E1081" s="27" t="s">
        <v>4128</v>
      </c>
      <c r="F1081" s="28" t="s">
        <v>146</v>
      </c>
      <c r="G1081" s="27" t="s">
        <v>3537</v>
      </c>
      <c r="H1081" s="27" t="s">
        <v>56</v>
      </c>
      <c r="I1081" s="27" t="s">
        <v>40</v>
      </c>
      <c r="J1081" s="28" t="s">
        <v>161</v>
      </c>
      <c r="K1081" s="27" t="s">
        <v>40</v>
      </c>
      <c r="L1081" s="27"/>
    </row>
    <row r="1082" customFormat="false" ht="15" hidden="false" customHeight="false" outlineLevel="0" collapsed="false">
      <c r="A1082" s="26" t="s">
        <v>4129</v>
      </c>
      <c r="B1082" s="27" t="s">
        <v>4130</v>
      </c>
      <c r="C1082" s="27" t="s">
        <v>144</v>
      </c>
      <c r="D1082" s="26" t="s">
        <v>4131</v>
      </c>
      <c r="E1082" s="27" t="s">
        <v>4132</v>
      </c>
      <c r="F1082" s="28" t="s">
        <v>146</v>
      </c>
      <c r="G1082" s="27" t="s">
        <v>3537</v>
      </c>
      <c r="H1082" s="27" t="s">
        <v>56</v>
      </c>
      <c r="I1082" s="27" t="s">
        <v>40</v>
      </c>
      <c r="J1082" s="28" t="s">
        <v>161</v>
      </c>
      <c r="K1082" s="27" t="s">
        <v>40</v>
      </c>
      <c r="L1082" s="27"/>
    </row>
    <row r="1083" customFormat="false" ht="15" hidden="false" customHeight="false" outlineLevel="0" collapsed="false">
      <c r="A1083" s="26" t="s">
        <v>4133</v>
      </c>
      <c r="B1083" s="27" t="s">
        <v>4134</v>
      </c>
      <c r="C1083" s="27" t="s">
        <v>144</v>
      </c>
      <c r="D1083" s="26" t="s">
        <v>4135</v>
      </c>
      <c r="E1083" s="27" t="s">
        <v>4136</v>
      </c>
      <c r="F1083" s="28" t="s">
        <v>146</v>
      </c>
      <c r="G1083" s="27" t="s">
        <v>3537</v>
      </c>
      <c r="H1083" s="27" t="s">
        <v>56</v>
      </c>
      <c r="I1083" s="27" t="s">
        <v>40</v>
      </c>
      <c r="J1083" s="28" t="s">
        <v>161</v>
      </c>
      <c r="K1083" s="27" t="s">
        <v>40</v>
      </c>
      <c r="L1083" s="27"/>
    </row>
    <row r="1084" customFormat="false" ht="15" hidden="false" customHeight="false" outlineLevel="0" collapsed="false">
      <c r="A1084" s="26" t="s">
        <v>4137</v>
      </c>
      <c r="B1084" s="27" t="s">
        <v>4138</v>
      </c>
      <c r="C1084" s="27" t="s">
        <v>1845</v>
      </c>
      <c r="D1084" s="26" t="s">
        <v>4139</v>
      </c>
      <c r="E1084" s="27" t="s">
        <v>4140</v>
      </c>
      <c r="F1084" s="28" t="s">
        <v>2232</v>
      </c>
      <c r="G1084" s="27" t="s">
        <v>3537</v>
      </c>
      <c r="H1084" s="27" t="s">
        <v>56</v>
      </c>
      <c r="I1084" s="27" t="s">
        <v>40</v>
      </c>
      <c r="J1084" s="28" t="s">
        <v>161</v>
      </c>
      <c r="K1084" s="27" t="s">
        <v>40</v>
      </c>
      <c r="L1084" s="27"/>
    </row>
    <row r="1085" customFormat="false" ht="15" hidden="false" customHeight="false" outlineLevel="0" collapsed="false">
      <c r="A1085" s="26" t="s">
        <v>4141</v>
      </c>
      <c r="B1085" s="27" t="s">
        <v>4142</v>
      </c>
      <c r="C1085" s="27" t="s">
        <v>144</v>
      </c>
      <c r="D1085" s="26" t="s">
        <v>187</v>
      </c>
      <c r="E1085" s="27" t="s">
        <v>188</v>
      </c>
      <c r="F1085" s="28" t="s">
        <v>146</v>
      </c>
      <c r="G1085" s="27" t="s">
        <v>3537</v>
      </c>
      <c r="H1085" s="27" t="s">
        <v>56</v>
      </c>
      <c r="I1085" s="27" t="s">
        <v>40</v>
      </c>
      <c r="J1085" s="28" t="s">
        <v>161</v>
      </c>
      <c r="K1085" s="27" t="s">
        <v>40</v>
      </c>
      <c r="L1085" s="27"/>
    </row>
    <row r="1086" customFormat="false" ht="15" hidden="false" customHeight="false" outlineLevel="0" collapsed="false">
      <c r="A1086" s="26" t="s">
        <v>4143</v>
      </c>
      <c r="B1086" s="27" t="s">
        <v>4144</v>
      </c>
      <c r="C1086" s="27" t="s">
        <v>144</v>
      </c>
      <c r="D1086" s="26" t="s">
        <v>4145</v>
      </c>
      <c r="E1086" s="27" t="s">
        <v>4146</v>
      </c>
      <c r="F1086" s="28" t="s">
        <v>146</v>
      </c>
      <c r="G1086" s="27" t="s">
        <v>3537</v>
      </c>
      <c r="H1086" s="27" t="s">
        <v>56</v>
      </c>
      <c r="I1086" s="27" t="s">
        <v>40</v>
      </c>
      <c r="J1086" s="28" t="s">
        <v>161</v>
      </c>
      <c r="K1086" s="27" t="s">
        <v>40</v>
      </c>
      <c r="L1086" s="27"/>
    </row>
    <row r="1087" customFormat="false" ht="15" hidden="false" customHeight="false" outlineLevel="0" collapsed="false">
      <c r="A1087" s="26" t="s">
        <v>4147</v>
      </c>
      <c r="B1087" s="27" t="s">
        <v>4148</v>
      </c>
      <c r="C1087" s="27" t="s">
        <v>144</v>
      </c>
      <c r="D1087" s="26" t="s">
        <v>4149</v>
      </c>
      <c r="E1087" s="27" t="s">
        <v>4150</v>
      </c>
      <c r="F1087" s="28" t="s">
        <v>146</v>
      </c>
      <c r="G1087" s="27" t="s">
        <v>3537</v>
      </c>
      <c r="H1087" s="27" t="s">
        <v>56</v>
      </c>
      <c r="I1087" s="27" t="s">
        <v>40</v>
      </c>
      <c r="J1087" s="28" t="s">
        <v>161</v>
      </c>
      <c r="K1087" s="27" t="s">
        <v>40</v>
      </c>
      <c r="L1087" s="27"/>
    </row>
    <row r="1088" customFormat="false" ht="15" hidden="false" customHeight="false" outlineLevel="0" collapsed="false">
      <c r="A1088" s="26" t="s">
        <v>4151</v>
      </c>
      <c r="B1088" s="27" t="s">
        <v>4152</v>
      </c>
      <c r="C1088" s="27" t="s">
        <v>144</v>
      </c>
      <c r="D1088" s="26" t="s">
        <v>4153</v>
      </c>
      <c r="E1088" s="27" t="s">
        <v>4154</v>
      </c>
      <c r="F1088" s="28" t="s">
        <v>146</v>
      </c>
      <c r="G1088" s="27" t="s">
        <v>3537</v>
      </c>
      <c r="H1088" s="27" t="s">
        <v>56</v>
      </c>
      <c r="I1088" s="27" t="s">
        <v>40</v>
      </c>
      <c r="J1088" s="28" t="s">
        <v>161</v>
      </c>
      <c r="K1088" s="27" t="s">
        <v>40</v>
      </c>
      <c r="L1088" s="27"/>
    </row>
    <row r="1089" customFormat="false" ht="15" hidden="false" customHeight="false" outlineLevel="0" collapsed="false">
      <c r="A1089" s="26" t="s">
        <v>4155</v>
      </c>
      <c r="B1089" s="27" t="s">
        <v>4156</v>
      </c>
      <c r="C1089" s="27" t="s">
        <v>144</v>
      </c>
      <c r="D1089" s="26" t="s">
        <v>4157</v>
      </c>
      <c r="E1089" s="27" t="s">
        <v>4158</v>
      </c>
      <c r="F1089" s="28" t="s">
        <v>146</v>
      </c>
      <c r="G1089" s="27" t="s">
        <v>3537</v>
      </c>
      <c r="H1089" s="27" t="s">
        <v>57</v>
      </c>
      <c r="I1089" s="27" t="s">
        <v>4159</v>
      </c>
      <c r="J1089" s="28" t="s">
        <v>161</v>
      </c>
      <c r="K1089" s="27" t="s">
        <v>40</v>
      </c>
      <c r="L1089" s="27"/>
    </row>
    <row r="1090" customFormat="false" ht="15" hidden="false" customHeight="false" outlineLevel="0" collapsed="false">
      <c r="A1090" s="26" t="s">
        <v>4160</v>
      </c>
      <c r="B1090" s="27" t="s">
        <v>4161</v>
      </c>
      <c r="C1090" s="27" t="s">
        <v>144</v>
      </c>
      <c r="D1090" s="26" t="s">
        <v>4162</v>
      </c>
      <c r="E1090" s="27" t="s">
        <v>4163</v>
      </c>
      <c r="F1090" s="28" t="s">
        <v>146</v>
      </c>
      <c r="G1090" s="27" t="s">
        <v>3537</v>
      </c>
      <c r="H1090" s="27" t="s">
        <v>57</v>
      </c>
      <c r="I1090" s="27" t="s">
        <v>4159</v>
      </c>
      <c r="J1090" s="28" t="s">
        <v>161</v>
      </c>
      <c r="K1090" s="27" t="s">
        <v>40</v>
      </c>
      <c r="L1090" s="27"/>
    </row>
    <row r="1091" customFormat="false" ht="15" hidden="false" customHeight="false" outlineLevel="0" collapsed="false">
      <c r="A1091" s="26" t="s">
        <v>4164</v>
      </c>
      <c r="B1091" s="27" t="s">
        <v>4165</v>
      </c>
      <c r="C1091" s="27" t="s">
        <v>144</v>
      </c>
      <c r="D1091" s="26" t="s">
        <v>4166</v>
      </c>
      <c r="E1091" s="27" t="s">
        <v>4167</v>
      </c>
      <c r="F1091" s="28" t="s">
        <v>146</v>
      </c>
      <c r="G1091" s="27" t="s">
        <v>3537</v>
      </c>
      <c r="H1091" s="27" t="s">
        <v>56</v>
      </c>
      <c r="I1091" s="27" t="s">
        <v>40</v>
      </c>
      <c r="J1091" s="28" t="s">
        <v>161</v>
      </c>
      <c r="K1091" s="27" t="s">
        <v>40</v>
      </c>
      <c r="L1091" s="27"/>
    </row>
    <row r="1092" customFormat="false" ht="15" hidden="false" customHeight="false" outlineLevel="0" collapsed="false">
      <c r="A1092" s="26" t="s">
        <v>4168</v>
      </c>
      <c r="B1092" s="27" t="s">
        <v>4169</v>
      </c>
      <c r="C1092" s="27" t="s">
        <v>144</v>
      </c>
      <c r="D1092" s="26" t="s">
        <v>4170</v>
      </c>
      <c r="E1092" s="27" t="s">
        <v>4171</v>
      </c>
      <c r="F1092" s="28" t="s">
        <v>146</v>
      </c>
      <c r="G1092" s="27" t="s">
        <v>3537</v>
      </c>
      <c r="H1092" s="27" t="s">
        <v>56</v>
      </c>
      <c r="I1092" s="27" t="s">
        <v>40</v>
      </c>
      <c r="J1092" s="28" t="s">
        <v>161</v>
      </c>
      <c r="K1092" s="27" t="s">
        <v>40</v>
      </c>
      <c r="L1092" s="27"/>
    </row>
    <row r="1093" customFormat="false" ht="15" hidden="false" customHeight="false" outlineLevel="0" collapsed="false">
      <c r="A1093" s="26" t="s">
        <v>4172</v>
      </c>
      <c r="B1093" s="27" t="s">
        <v>4173</v>
      </c>
      <c r="C1093" s="27" t="s">
        <v>144</v>
      </c>
      <c r="D1093" s="26" t="s">
        <v>4174</v>
      </c>
      <c r="E1093" s="27" t="s">
        <v>4175</v>
      </c>
      <c r="F1093" s="28" t="s">
        <v>146</v>
      </c>
      <c r="G1093" s="27" t="s">
        <v>3537</v>
      </c>
      <c r="H1093" s="27" t="s">
        <v>56</v>
      </c>
      <c r="I1093" s="27" t="s">
        <v>40</v>
      </c>
      <c r="J1093" s="28" t="s">
        <v>161</v>
      </c>
      <c r="K1093" s="27" t="s">
        <v>40</v>
      </c>
      <c r="L1093" s="27"/>
    </row>
    <row r="1094" customFormat="false" ht="15" hidden="false" customHeight="false" outlineLevel="0" collapsed="false">
      <c r="A1094" s="26" t="s">
        <v>4176</v>
      </c>
      <c r="B1094" s="27" t="s">
        <v>4177</v>
      </c>
      <c r="C1094" s="27" t="s">
        <v>144</v>
      </c>
      <c r="D1094" s="26" t="s">
        <v>4178</v>
      </c>
      <c r="E1094" s="27" t="s">
        <v>4179</v>
      </c>
      <c r="F1094" s="28" t="s">
        <v>146</v>
      </c>
      <c r="G1094" s="27" t="s">
        <v>3537</v>
      </c>
      <c r="H1094" s="27" t="s">
        <v>56</v>
      </c>
      <c r="I1094" s="27" t="s">
        <v>40</v>
      </c>
      <c r="J1094" s="28" t="s">
        <v>161</v>
      </c>
      <c r="K1094" s="27" t="s">
        <v>40</v>
      </c>
      <c r="L1094" s="27"/>
    </row>
    <row r="1095" customFormat="false" ht="15" hidden="false" customHeight="false" outlineLevel="0" collapsed="false">
      <c r="A1095" s="26" t="s">
        <v>4180</v>
      </c>
      <c r="B1095" s="27" t="s">
        <v>4181</v>
      </c>
      <c r="C1095" s="27" t="s">
        <v>144</v>
      </c>
      <c r="D1095" s="26" t="s">
        <v>4178</v>
      </c>
      <c r="E1095" s="27" t="s">
        <v>4179</v>
      </c>
      <c r="F1095" s="28" t="s">
        <v>146</v>
      </c>
      <c r="G1095" s="27" t="s">
        <v>3537</v>
      </c>
      <c r="H1095" s="27" t="s">
        <v>56</v>
      </c>
      <c r="I1095" s="27" t="s">
        <v>40</v>
      </c>
      <c r="J1095" s="28" t="s">
        <v>161</v>
      </c>
      <c r="K1095" s="27" t="s">
        <v>40</v>
      </c>
      <c r="L1095" s="27"/>
    </row>
    <row r="1096" customFormat="false" ht="15" hidden="false" customHeight="false" outlineLevel="0" collapsed="false">
      <c r="A1096" s="26" t="s">
        <v>4182</v>
      </c>
      <c r="B1096" s="27" t="s">
        <v>4183</v>
      </c>
      <c r="C1096" s="27" t="s">
        <v>144</v>
      </c>
      <c r="D1096" s="26" t="s">
        <v>4184</v>
      </c>
      <c r="E1096" s="27" t="s">
        <v>4185</v>
      </c>
      <c r="F1096" s="28" t="s">
        <v>146</v>
      </c>
      <c r="G1096" s="27" t="s">
        <v>3537</v>
      </c>
      <c r="H1096" s="27" t="s">
        <v>56</v>
      </c>
      <c r="I1096" s="27" t="s">
        <v>40</v>
      </c>
      <c r="J1096" s="28" t="s">
        <v>161</v>
      </c>
      <c r="K1096" s="27" t="s">
        <v>40</v>
      </c>
      <c r="L1096" s="27"/>
    </row>
    <row r="1097" customFormat="false" ht="15" hidden="false" customHeight="false" outlineLevel="0" collapsed="false">
      <c r="A1097" s="26" t="s">
        <v>4186</v>
      </c>
      <c r="B1097" s="27" t="s">
        <v>4187</v>
      </c>
      <c r="C1097" s="27" t="s">
        <v>144</v>
      </c>
      <c r="D1097" s="26" t="s">
        <v>4188</v>
      </c>
      <c r="E1097" s="27" t="s">
        <v>4189</v>
      </c>
      <c r="F1097" s="28" t="s">
        <v>146</v>
      </c>
      <c r="G1097" s="27" t="s">
        <v>3537</v>
      </c>
      <c r="H1097" s="27" t="s">
        <v>56</v>
      </c>
      <c r="I1097" s="27" t="s">
        <v>40</v>
      </c>
      <c r="J1097" s="28" t="s">
        <v>161</v>
      </c>
      <c r="K1097" s="27" t="s">
        <v>40</v>
      </c>
      <c r="L1097" s="27"/>
    </row>
    <row r="1098" customFormat="false" ht="15" hidden="false" customHeight="false" outlineLevel="0" collapsed="false">
      <c r="A1098" s="26" t="s">
        <v>4190</v>
      </c>
      <c r="B1098" s="27" t="s">
        <v>4191</v>
      </c>
      <c r="C1098" s="27" t="s">
        <v>144</v>
      </c>
      <c r="D1098" s="26" t="s">
        <v>4188</v>
      </c>
      <c r="E1098" s="27" t="s">
        <v>4189</v>
      </c>
      <c r="F1098" s="28" t="s">
        <v>146</v>
      </c>
      <c r="G1098" s="27" t="s">
        <v>3537</v>
      </c>
      <c r="H1098" s="27" t="s">
        <v>56</v>
      </c>
      <c r="I1098" s="27" t="s">
        <v>40</v>
      </c>
      <c r="J1098" s="28" t="s">
        <v>161</v>
      </c>
      <c r="K1098" s="27" t="s">
        <v>40</v>
      </c>
      <c r="L1098" s="27"/>
    </row>
    <row r="1099" customFormat="false" ht="15" hidden="false" customHeight="false" outlineLevel="0" collapsed="false">
      <c r="A1099" s="26" t="s">
        <v>4192</v>
      </c>
      <c r="B1099" s="27" t="s">
        <v>4193</v>
      </c>
      <c r="C1099" s="27" t="s">
        <v>370</v>
      </c>
      <c r="D1099" s="26" t="s">
        <v>4194</v>
      </c>
      <c r="E1099" s="27" t="s">
        <v>4195</v>
      </c>
      <c r="F1099" s="28" t="s">
        <v>373</v>
      </c>
      <c r="G1099" s="27" t="s">
        <v>3537</v>
      </c>
      <c r="H1099" s="27" t="s">
        <v>56</v>
      </c>
      <c r="I1099" s="27" t="s">
        <v>40</v>
      </c>
      <c r="J1099" s="28" t="s">
        <v>161</v>
      </c>
      <c r="K1099" s="27" t="s">
        <v>40</v>
      </c>
      <c r="L1099" s="27"/>
    </row>
    <row r="1100" customFormat="false" ht="15" hidden="false" customHeight="false" outlineLevel="0" collapsed="false">
      <c r="A1100" s="26" t="s">
        <v>4196</v>
      </c>
      <c r="B1100" s="27" t="s">
        <v>4197</v>
      </c>
      <c r="C1100" s="27" t="s">
        <v>144</v>
      </c>
      <c r="D1100" s="26" t="s">
        <v>4198</v>
      </c>
      <c r="E1100" s="27" t="s">
        <v>4199</v>
      </c>
      <c r="F1100" s="28" t="s">
        <v>146</v>
      </c>
      <c r="G1100" s="27" t="s">
        <v>3537</v>
      </c>
      <c r="H1100" s="27" t="s">
        <v>56</v>
      </c>
      <c r="I1100" s="27" t="s">
        <v>40</v>
      </c>
      <c r="J1100" s="28" t="s">
        <v>161</v>
      </c>
      <c r="K1100" s="27" t="s">
        <v>40</v>
      </c>
      <c r="L1100" s="27"/>
    </row>
    <row r="1101" customFormat="false" ht="15" hidden="false" customHeight="false" outlineLevel="0" collapsed="false">
      <c r="A1101" s="26" t="s">
        <v>4200</v>
      </c>
      <c r="B1101" s="27" t="s">
        <v>4201</v>
      </c>
      <c r="C1101" s="27" t="s">
        <v>144</v>
      </c>
      <c r="D1101" s="26" t="s">
        <v>4202</v>
      </c>
      <c r="E1101" s="27" t="s">
        <v>4203</v>
      </c>
      <c r="F1101" s="28" t="s">
        <v>146</v>
      </c>
      <c r="G1101" s="27" t="s">
        <v>3537</v>
      </c>
      <c r="H1101" s="27" t="s">
        <v>56</v>
      </c>
      <c r="I1101" s="27" t="s">
        <v>40</v>
      </c>
      <c r="J1101" s="28" t="s">
        <v>161</v>
      </c>
      <c r="K1101" s="27" t="s">
        <v>40</v>
      </c>
      <c r="L1101" s="27"/>
    </row>
    <row r="1102" customFormat="false" ht="15" hidden="false" customHeight="false" outlineLevel="0" collapsed="false">
      <c r="A1102" s="26" t="s">
        <v>4204</v>
      </c>
      <c r="B1102" s="27" t="s">
        <v>4205</v>
      </c>
      <c r="C1102" s="27" t="s">
        <v>144</v>
      </c>
      <c r="D1102" s="26" t="s">
        <v>4206</v>
      </c>
      <c r="E1102" s="27" t="s">
        <v>4207</v>
      </c>
      <c r="F1102" s="28" t="s">
        <v>146</v>
      </c>
      <c r="G1102" s="27" t="s">
        <v>3537</v>
      </c>
      <c r="H1102" s="27" t="s">
        <v>56</v>
      </c>
      <c r="I1102" s="27" t="s">
        <v>40</v>
      </c>
      <c r="J1102" s="28" t="s">
        <v>161</v>
      </c>
      <c r="K1102" s="27" t="s">
        <v>40</v>
      </c>
      <c r="L1102" s="27"/>
    </row>
    <row r="1103" customFormat="false" ht="15" hidden="false" customHeight="false" outlineLevel="0" collapsed="false">
      <c r="A1103" s="26" t="s">
        <v>4208</v>
      </c>
      <c r="B1103" s="27" t="s">
        <v>4209</v>
      </c>
      <c r="C1103" s="27" t="s">
        <v>144</v>
      </c>
      <c r="D1103" s="26" t="s">
        <v>4210</v>
      </c>
      <c r="E1103" s="27" t="s">
        <v>4211</v>
      </c>
      <c r="F1103" s="28" t="s">
        <v>146</v>
      </c>
      <c r="G1103" s="27" t="s">
        <v>3537</v>
      </c>
      <c r="H1103" s="27" t="s">
        <v>56</v>
      </c>
      <c r="I1103" s="27" t="s">
        <v>40</v>
      </c>
      <c r="J1103" s="28" t="s">
        <v>161</v>
      </c>
      <c r="K1103" s="27" t="s">
        <v>40</v>
      </c>
      <c r="L1103" s="27"/>
    </row>
    <row r="1104" customFormat="false" ht="15" hidden="false" customHeight="false" outlineLevel="0" collapsed="false">
      <c r="A1104" s="26" t="s">
        <v>4212</v>
      </c>
      <c r="B1104" s="27" t="s">
        <v>4213</v>
      </c>
      <c r="C1104" s="27" t="s">
        <v>144</v>
      </c>
      <c r="D1104" s="26" t="s">
        <v>4214</v>
      </c>
      <c r="E1104" s="27" t="s">
        <v>4215</v>
      </c>
      <c r="F1104" s="28" t="s">
        <v>146</v>
      </c>
      <c r="G1104" s="27" t="s">
        <v>3537</v>
      </c>
      <c r="H1104" s="27" t="s">
        <v>56</v>
      </c>
      <c r="I1104" s="27" t="s">
        <v>40</v>
      </c>
      <c r="J1104" s="28" t="s">
        <v>161</v>
      </c>
      <c r="K1104" s="27" t="s">
        <v>40</v>
      </c>
      <c r="L1104" s="27"/>
    </row>
    <row r="1105" customFormat="false" ht="15" hidden="false" customHeight="false" outlineLevel="0" collapsed="false">
      <c r="A1105" s="26" t="s">
        <v>4216</v>
      </c>
      <c r="B1105" s="27" t="s">
        <v>4217</v>
      </c>
      <c r="C1105" s="27" t="s">
        <v>144</v>
      </c>
      <c r="D1105" s="26" t="s">
        <v>4218</v>
      </c>
      <c r="E1105" s="27" t="s">
        <v>4219</v>
      </c>
      <c r="F1105" s="28" t="s">
        <v>146</v>
      </c>
      <c r="G1105" s="27" t="s">
        <v>3537</v>
      </c>
      <c r="H1105" s="27" t="s">
        <v>56</v>
      </c>
      <c r="I1105" s="27" t="s">
        <v>40</v>
      </c>
      <c r="J1105" s="28" t="s">
        <v>161</v>
      </c>
      <c r="K1105" s="27" t="s">
        <v>40</v>
      </c>
      <c r="L1105" s="27"/>
    </row>
    <row r="1106" customFormat="false" ht="15" hidden="false" customHeight="false" outlineLevel="0" collapsed="false">
      <c r="A1106" s="26" t="s">
        <v>4220</v>
      </c>
      <c r="B1106" s="27" t="s">
        <v>4221</v>
      </c>
      <c r="C1106" s="27" t="s">
        <v>144</v>
      </c>
      <c r="D1106" s="26" t="s">
        <v>4222</v>
      </c>
      <c r="E1106" s="27" t="s">
        <v>4223</v>
      </c>
      <c r="F1106" s="28" t="s">
        <v>146</v>
      </c>
      <c r="G1106" s="27" t="s">
        <v>3537</v>
      </c>
      <c r="H1106" s="27" t="s">
        <v>56</v>
      </c>
      <c r="I1106" s="27" t="s">
        <v>40</v>
      </c>
      <c r="J1106" s="28" t="s">
        <v>161</v>
      </c>
      <c r="K1106" s="27" t="s">
        <v>40</v>
      </c>
      <c r="L1106" s="27"/>
    </row>
    <row r="1107" customFormat="false" ht="15" hidden="false" customHeight="false" outlineLevel="0" collapsed="false">
      <c r="A1107" s="26" t="s">
        <v>4224</v>
      </c>
      <c r="B1107" s="27" t="s">
        <v>4225</v>
      </c>
      <c r="C1107" s="27" t="s">
        <v>144</v>
      </c>
      <c r="D1107" s="26" t="s">
        <v>4226</v>
      </c>
      <c r="E1107" s="27" t="s">
        <v>4227</v>
      </c>
      <c r="F1107" s="28" t="s">
        <v>146</v>
      </c>
      <c r="G1107" s="27" t="s">
        <v>3537</v>
      </c>
      <c r="H1107" s="27" t="s">
        <v>56</v>
      </c>
      <c r="I1107" s="27" t="s">
        <v>40</v>
      </c>
      <c r="J1107" s="28" t="s">
        <v>161</v>
      </c>
      <c r="K1107" s="27" t="s">
        <v>40</v>
      </c>
      <c r="L1107" s="27"/>
    </row>
    <row r="1108" customFormat="false" ht="15" hidden="false" customHeight="false" outlineLevel="0" collapsed="false">
      <c r="A1108" s="26" t="s">
        <v>4228</v>
      </c>
      <c r="B1108" s="27" t="s">
        <v>4229</v>
      </c>
      <c r="C1108" s="27" t="s">
        <v>144</v>
      </c>
      <c r="D1108" s="26" t="s">
        <v>4230</v>
      </c>
      <c r="E1108" s="27" t="s">
        <v>4231</v>
      </c>
      <c r="F1108" s="28" t="s">
        <v>146</v>
      </c>
      <c r="G1108" s="27" t="s">
        <v>3537</v>
      </c>
      <c r="H1108" s="27" t="s">
        <v>56</v>
      </c>
      <c r="I1108" s="27" t="s">
        <v>40</v>
      </c>
      <c r="J1108" s="28" t="s">
        <v>161</v>
      </c>
      <c r="K1108" s="27" t="s">
        <v>40</v>
      </c>
      <c r="L1108" s="27"/>
    </row>
    <row r="1109" customFormat="false" ht="15" hidden="false" customHeight="false" outlineLevel="0" collapsed="false">
      <c r="A1109" s="26" t="s">
        <v>4232</v>
      </c>
      <c r="B1109" s="27" t="s">
        <v>4233</v>
      </c>
      <c r="C1109" s="27" t="s">
        <v>144</v>
      </c>
      <c r="D1109" s="26" t="s">
        <v>4234</v>
      </c>
      <c r="E1109" s="27" t="s">
        <v>4235</v>
      </c>
      <c r="F1109" s="28" t="s">
        <v>146</v>
      </c>
      <c r="G1109" s="27" t="s">
        <v>3537</v>
      </c>
      <c r="H1109" s="27" t="s">
        <v>56</v>
      </c>
      <c r="I1109" s="27" t="s">
        <v>40</v>
      </c>
      <c r="J1109" s="28" t="s">
        <v>161</v>
      </c>
      <c r="K1109" s="27" t="s">
        <v>40</v>
      </c>
      <c r="L1109" s="27"/>
    </row>
    <row r="1110" customFormat="false" ht="15" hidden="false" customHeight="false" outlineLevel="0" collapsed="false">
      <c r="A1110" s="26" t="s">
        <v>4236</v>
      </c>
      <c r="B1110" s="27" t="s">
        <v>4237</v>
      </c>
      <c r="C1110" s="27" t="s">
        <v>144</v>
      </c>
      <c r="D1110" s="26" t="s">
        <v>4238</v>
      </c>
      <c r="E1110" s="27" t="s">
        <v>4239</v>
      </c>
      <c r="F1110" s="28" t="s">
        <v>146</v>
      </c>
      <c r="G1110" s="27" t="s">
        <v>3537</v>
      </c>
      <c r="H1110" s="27" t="s">
        <v>56</v>
      </c>
      <c r="I1110" s="27" t="s">
        <v>40</v>
      </c>
      <c r="J1110" s="28" t="s">
        <v>161</v>
      </c>
      <c r="K1110" s="27" t="s">
        <v>40</v>
      </c>
      <c r="L1110" s="27"/>
    </row>
    <row r="1111" customFormat="false" ht="15" hidden="false" customHeight="false" outlineLevel="0" collapsed="false">
      <c r="A1111" s="26" t="s">
        <v>4240</v>
      </c>
      <c r="B1111" s="27" t="s">
        <v>4241</v>
      </c>
      <c r="C1111" s="27" t="s">
        <v>144</v>
      </c>
      <c r="D1111" s="26" t="s">
        <v>4242</v>
      </c>
      <c r="E1111" s="27" t="s">
        <v>4243</v>
      </c>
      <c r="F1111" s="28" t="s">
        <v>146</v>
      </c>
      <c r="G1111" s="27" t="s">
        <v>3537</v>
      </c>
      <c r="H1111" s="27" t="s">
        <v>56</v>
      </c>
      <c r="I1111" s="27" t="s">
        <v>40</v>
      </c>
      <c r="J1111" s="28" t="s">
        <v>161</v>
      </c>
      <c r="K1111" s="27" t="s">
        <v>40</v>
      </c>
      <c r="L1111" s="27"/>
    </row>
    <row r="1112" customFormat="false" ht="15" hidden="false" customHeight="false" outlineLevel="0" collapsed="false">
      <c r="A1112" s="26" t="s">
        <v>4244</v>
      </c>
      <c r="B1112" s="27" t="s">
        <v>4245</v>
      </c>
      <c r="C1112" s="27" t="s">
        <v>144</v>
      </c>
      <c r="D1112" s="26" t="s">
        <v>4246</v>
      </c>
      <c r="E1112" s="27" t="s">
        <v>4247</v>
      </c>
      <c r="F1112" s="28" t="s">
        <v>146</v>
      </c>
      <c r="G1112" s="27" t="s">
        <v>3537</v>
      </c>
      <c r="H1112" s="27" t="s">
        <v>56</v>
      </c>
      <c r="I1112" s="27" t="s">
        <v>40</v>
      </c>
      <c r="J1112" s="28" t="s">
        <v>161</v>
      </c>
      <c r="K1112" s="27" t="s">
        <v>40</v>
      </c>
      <c r="L1112" s="27"/>
    </row>
    <row r="1113" customFormat="false" ht="15" hidden="false" customHeight="false" outlineLevel="0" collapsed="false">
      <c r="A1113" s="26" t="s">
        <v>4248</v>
      </c>
      <c r="B1113" s="27" t="s">
        <v>4249</v>
      </c>
      <c r="C1113" s="27" t="s">
        <v>144</v>
      </c>
      <c r="D1113" s="26" t="s">
        <v>4242</v>
      </c>
      <c r="E1113" s="27" t="s">
        <v>4243</v>
      </c>
      <c r="F1113" s="28" t="s">
        <v>146</v>
      </c>
      <c r="G1113" s="27" t="s">
        <v>3537</v>
      </c>
      <c r="H1113" s="27" t="s">
        <v>56</v>
      </c>
      <c r="I1113" s="27" t="s">
        <v>40</v>
      </c>
      <c r="J1113" s="28" t="s">
        <v>161</v>
      </c>
      <c r="K1113" s="27" t="s">
        <v>40</v>
      </c>
      <c r="L1113" s="27"/>
    </row>
    <row r="1114" customFormat="false" ht="15" hidden="false" customHeight="false" outlineLevel="0" collapsed="false">
      <c r="A1114" s="26" t="s">
        <v>4250</v>
      </c>
      <c r="B1114" s="27" t="s">
        <v>4251</v>
      </c>
      <c r="C1114" s="27" t="s">
        <v>144</v>
      </c>
      <c r="D1114" s="26" t="s">
        <v>4252</v>
      </c>
      <c r="E1114" s="27" t="s">
        <v>4253</v>
      </c>
      <c r="F1114" s="28" t="s">
        <v>146</v>
      </c>
      <c r="G1114" s="27" t="s">
        <v>3537</v>
      </c>
      <c r="H1114" s="27" t="s">
        <v>56</v>
      </c>
      <c r="I1114" s="27" t="s">
        <v>40</v>
      </c>
      <c r="J1114" s="28" t="s">
        <v>161</v>
      </c>
      <c r="K1114" s="27" t="s">
        <v>40</v>
      </c>
      <c r="L1114" s="27"/>
    </row>
    <row r="1115" customFormat="false" ht="15" hidden="false" customHeight="false" outlineLevel="0" collapsed="false">
      <c r="A1115" s="26" t="s">
        <v>4254</v>
      </c>
      <c r="B1115" s="27" t="s">
        <v>4255</v>
      </c>
      <c r="C1115" s="27" t="s">
        <v>144</v>
      </c>
      <c r="D1115" s="26" t="s">
        <v>4256</v>
      </c>
      <c r="E1115" s="27" t="s">
        <v>4257</v>
      </c>
      <c r="F1115" s="28" t="s">
        <v>146</v>
      </c>
      <c r="G1115" s="27" t="s">
        <v>3537</v>
      </c>
      <c r="H1115" s="27" t="s">
        <v>56</v>
      </c>
      <c r="I1115" s="27" t="s">
        <v>40</v>
      </c>
      <c r="J1115" s="28" t="s">
        <v>161</v>
      </c>
      <c r="K1115" s="27" t="s">
        <v>40</v>
      </c>
      <c r="L1115" s="27"/>
    </row>
    <row r="1116" customFormat="false" ht="15" hidden="false" customHeight="false" outlineLevel="0" collapsed="false">
      <c r="A1116" s="26" t="s">
        <v>4258</v>
      </c>
      <c r="B1116" s="27" t="s">
        <v>4259</v>
      </c>
      <c r="C1116" s="27" t="s">
        <v>144</v>
      </c>
      <c r="D1116" s="26" t="s">
        <v>195</v>
      </c>
      <c r="E1116" s="27" t="s">
        <v>196</v>
      </c>
      <c r="F1116" s="28" t="s">
        <v>146</v>
      </c>
      <c r="G1116" s="27" t="s">
        <v>3537</v>
      </c>
      <c r="H1116" s="27" t="s">
        <v>56</v>
      </c>
      <c r="I1116" s="27" t="s">
        <v>40</v>
      </c>
      <c r="J1116" s="28" t="s">
        <v>161</v>
      </c>
      <c r="K1116" s="27" t="s">
        <v>40</v>
      </c>
      <c r="L1116" s="27"/>
    </row>
    <row r="1117" customFormat="false" ht="15" hidden="false" customHeight="false" outlineLevel="0" collapsed="false">
      <c r="A1117" s="26" t="s">
        <v>4260</v>
      </c>
      <c r="B1117" s="27" t="s">
        <v>4261</v>
      </c>
      <c r="C1117" s="27" t="s">
        <v>144</v>
      </c>
      <c r="D1117" s="26" t="s">
        <v>191</v>
      </c>
      <c r="E1117" s="27" t="s">
        <v>192</v>
      </c>
      <c r="F1117" s="28" t="s">
        <v>146</v>
      </c>
      <c r="G1117" s="27" t="s">
        <v>3537</v>
      </c>
      <c r="H1117" s="27" t="s">
        <v>56</v>
      </c>
      <c r="I1117" s="27" t="s">
        <v>40</v>
      </c>
      <c r="J1117" s="28" t="s">
        <v>161</v>
      </c>
      <c r="K1117" s="27" t="s">
        <v>40</v>
      </c>
      <c r="L1117" s="27"/>
    </row>
    <row r="1118" customFormat="false" ht="15" hidden="false" customHeight="false" outlineLevel="0" collapsed="false">
      <c r="A1118" s="26" t="s">
        <v>4262</v>
      </c>
      <c r="B1118" s="27" t="s">
        <v>4263</v>
      </c>
      <c r="C1118" s="27" t="s">
        <v>144</v>
      </c>
      <c r="D1118" s="26" t="s">
        <v>4264</v>
      </c>
      <c r="E1118" s="27" t="s">
        <v>4265</v>
      </c>
      <c r="F1118" s="28" t="s">
        <v>146</v>
      </c>
      <c r="G1118" s="27" t="s">
        <v>3537</v>
      </c>
      <c r="H1118" s="27" t="s">
        <v>56</v>
      </c>
      <c r="I1118" s="27" t="s">
        <v>40</v>
      </c>
      <c r="J1118" s="28" t="s">
        <v>161</v>
      </c>
      <c r="K1118" s="27" t="s">
        <v>40</v>
      </c>
      <c r="L1118" s="27"/>
    </row>
    <row r="1119" customFormat="false" ht="15" hidden="false" customHeight="false" outlineLevel="0" collapsed="false">
      <c r="A1119" s="26" t="s">
        <v>4266</v>
      </c>
      <c r="B1119" s="27" t="s">
        <v>4267</v>
      </c>
      <c r="C1119" s="27" t="s">
        <v>144</v>
      </c>
      <c r="D1119" s="26" t="s">
        <v>4268</v>
      </c>
      <c r="E1119" s="27" t="s">
        <v>4269</v>
      </c>
      <c r="F1119" s="28" t="s">
        <v>146</v>
      </c>
      <c r="G1119" s="27" t="s">
        <v>3537</v>
      </c>
      <c r="H1119" s="27" t="s">
        <v>57</v>
      </c>
      <c r="I1119" s="28" t="s">
        <v>46</v>
      </c>
      <c r="J1119" s="28" t="s">
        <v>161</v>
      </c>
      <c r="K1119" s="27" t="s">
        <v>40</v>
      </c>
      <c r="L1119" s="27"/>
    </row>
    <row r="1120" customFormat="false" ht="15" hidden="false" customHeight="false" outlineLevel="0" collapsed="false">
      <c r="A1120" s="26" t="s">
        <v>4270</v>
      </c>
      <c r="B1120" s="27" t="s">
        <v>4271</v>
      </c>
      <c r="C1120" s="27" t="s">
        <v>144</v>
      </c>
      <c r="D1120" s="26" t="s">
        <v>4272</v>
      </c>
      <c r="E1120" s="27" t="s">
        <v>4273</v>
      </c>
      <c r="F1120" s="28" t="s">
        <v>146</v>
      </c>
      <c r="G1120" s="27" t="s">
        <v>3537</v>
      </c>
      <c r="H1120" s="27" t="s">
        <v>57</v>
      </c>
      <c r="I1120" s="27" t="s">
        <v>48</v>
      </c>
      <c r="J1120" s="28" t="s">
        <v>161</v>
      </c>
      <c r="K1120" s="27" t="s">
        <v>40</v>
      </c>
      <c r="L1120" s="27"/>
    </row>
    <row r="1121" customFormat="false" ht="15" hidden="false" customHeight="false" outlineLevel="0" collapsed="false">
      <c r="A1121" s="26" t="s">
        <v>4274</v>
      </c>
      <c r="B1121" s="27" t="s">
        <v>4275</v>
      </c>
      <c r="C1121" s="27" t="s">
        <v>144</v>
      </c>
      <c r="D1121" s="26" t="s">
        <v>4276</v>
      </c>
      <c r="E1121" s="27" t="s">
        <v>4277</v>
      </c>
      <c r="F1121" s="28" t="s">
        <v>146</v>
      </c>
      <c r="G1121" s="27" t="s">
        <v>3537</v>
      </c>
      <c r="H1121" s="27" t="s">
        <v>56</v>
      </c>
      <c r="I1121" s="27" t="s">
        <v>40</v>
      </c>
      <c r="J1121" s="28" t="s">
        <v>161</v>
      </c>
      <c r="K1121" s="27" t="s">
        <v>40</v>
      </c>
      <c r="L1121" s="27"/>
    </row>
    <row r="1122" customFormat="false" ht="15" hidden="false" customHeight="false" outlineLevel="0" collapsed="false">
      <c r="A1122" s="26" t="s">
        <v>4278</v>
      </c>
      <c r="B1122" s="27" t="s">
        <v>4279</v>
      </c>
      <c r="C1122" s="27" t="s">
        <v>144</v>
      </c>
      <c r="D1122" s="26" t="s">
        <v>4280</v>
      </c>
      <c r="E1122" s="27" t="s">
        <v>4281</v>
      </c>
      <c r="F1122" s="28" t="s">
        <v>146</v>
      </c>
      <c r="G1122" s="27" t="s">
        <v>3537</v>
      </c>
      <c r="H1122" s="27" t="s">
        <v>56</v>
      </c>
      <c r="I1122" s="27" t="s">
        <v>40</v>
      </c>
      <c r="J1122" s="28" t="s">
        <v>161</v>
      </c>
      <c r="K1122" s="27" t="s">
        <v>40</v>
      </c>
      <c r="L1122" s="27"/>
    </row>
    <row r="1123" customFormat="false" ht="15" hidden="false" customHeight="false" outlineLevel="0" collapsed="false">
      <c r="A1123" s="26" t="s">
        <v>4282</v>
      </c>
      <c r="B1123" s="27" t="s">
        <v>4283</v>
      </c>
      <c r="C1123" s="27" t="s">
        <v>144</v>
      </c>
      <c r="D1123" s="26" t="s">
        <v>4284</v>
      </c>
      <c r="E1123" s="27" t="s">
        <v>4285</v>
      </c>
      <c r="F1123" s="28" t="s">
        <v>146</v>
      </c>
      <c r="G1123" s="27" t="s">
        <v>3537</v>
      </c>
      <c r="H1123" s="27" t="s">
        <v>57</v>
      </c>
      <c r="I1123" s="27" t="s">
        <v>48</v>
      </c>
      <c r="J1123" s="28" t="s">
        <v>161</v>
      </c>
      <c r="K1123" s="27" t="s">
        <v>40</v>
      </c>
      <c r="L1123" s="27"/>
    </row>
    <row r="1124" customFormat="false" ht="15" hidden="false" customHeight="false" outlineLevel="0" collapsed="false">
      <c r="A1124" s="26" t="s">
        <v>4286</v>
      </c>
      <c r="B1124" s="27" t="s">
        <v>4287</v>
      </c>
      <c r="C1124" s="27" t="s">
        <v>144</v>
      </c>
      <c r="D1124" s="26" t="s">
        <v>4288</v>
      </c>
      <c r="E1124" s="27" t="s">
        <v>4289</v>
      </c>
      <c r="F1124" s="28" t="s">
        <v>146</v>
      </c>
      <c r="G1124" s="27" t="s">
        <v>3537</v>
      </c>
      <c r="H1124" s="27" t="s">
        <v>56</v>
      </c>
      <c r="I1124" s="27" t="s">
        <v>40</v>
      </c>
      <c r="J1124" s="28" t="s">
        <v>161</v>
      </c>
      <c r="K1124" s="27" t="s">
        <v>40</v>
      </c>
      <c r="L1124" s="27"/>
    </row>
    <row r="1125" customFormat="false" ht="15" hidden="false" customHeight="false" outlineLevel="0" collapsed="false">
      <c r="A1125" s="26" t="s">
        <v>4290</v>
      </c>
      <c r="B1125" s="27" t="s">
        <v>4291</v>
      </c>
      <c r="C1125" s="27" t="s">
        <v>144</v>
      </c>
      <c r="D1125" s="26" t="s">
        <v>4292</v>
      </c>
      <c r="E1125" s="27" t="s">
        <v>4293</v>
      </c>
      <c r="F1125" s="28" t="s">
        <v>146</v>
      </c>
      <c r="G1125" s="27" t="s">
        <v>3537</v>
      </c>
      <c r="H1125" s="27" t="s">
        <v>56</v>
      </c>
      <c r="I1125" s="27" t="s">
        <v>40</v>
      </c>
      <c r="J1125" s="28" t="s">
        <v>161</v>
      </c>
      <c r="K1125" s="27" t="s">
        <v>40</v>
      </c>
      <c r="L1125" s="27"/>
    </row>
    <row r="1126" customFormat="false" ht="15" hidden="false" customHeight="false" outlineLevel="0" collapsed="false">
      <c r="A1126" s="26" t="s">
        <v>4294</v>
      </c>
      <c r="B1126" s="27" t="s">
        <v>4295</v>
      </c>
      <c r="C1126" s="27" t="s">
        <v>144</v>
      </c>
      <c r="D1126" s="26" t="s">
        <v>4296</v>
      </c>
      <c r="E1126" s="27" t="s">
        <v>4297</v>
      </c>
      <c r="F1126" s="28" t="s">
        <v>146</v>
      </c>
      <c r="G1126" s="27" t="s">
        <v>3537</v>
      </c>
      <c r="H1126" s="27" t="s">
        <v>56</v>
      </c>
      <c r="I1126" s="27" t="s">
        <v>40</v>
      </c>
      <c r="J1126" s="28" t="s">
        <v>161</v>
      </c>
      <c r="K1126" s="27" t="s">
        <v>40</v>
      </c>
      <c r="L1126" s="27"/>
    </row>
    <row r="1127" customFormat="false" ht="15" hidden="false" customHeight="false" outlineLevel="0" collapsed="false">
      <c r="A1127" s="26" t="s">
        <v>4298</v>
      </c>
      <c r="B1127" s="27" t="s">
        <v>4299</v>
      </c>
      <c r="C1127" s="27" t="s">
        <v>144</v>
      </c>
      <c r="D1127" s="26" t="s">
        <v>4300</v>
      </c>
      <c r="E1127" s="27" t="s">
        <v>4301</v>
      </c>
      <c r="F1127" s="28" t="s">
        <v>146</v>
      </c>
      <c r="G1127" s="27" t="s">
        <v>3537</v>
      </c>
      <c r="H1127" s="27" t="s">
        <v>56</v>
      </c>
      <c r="I1127" s="27" t="s">
        <v>40</v>
      </c>
      <c r="J1127" s="28" t="s">
        <v>161</v>
      </c>
      <c r="K1127" s="27" t="s">
        <v>40</v>
      </c>
      <c r="L1127" s="27"/>
    </row>
    <row r="1128" customFormat="false" ht="15" hidden="false" customHeight="false" outlineLevel="0" collapsed="false">
      <c r="A1128" s="26" t="s">
        <v>4302</v>
      </c>
      <c r="B1128" s="27" t="s">
        <v>4303</v>
      </c>
      <c r="C1128" s="27" t="s">
        <v>144</v>
      </c>
      <c r="D1128" s="26" t="s">
        <v>4304</v>
      </c>
      <c r="E1128" s="27" t="s">
        <v>4305</v>
      </c>
      <c r="F1128" s="28" t="s">
        <v>146</v>
      </c>
      <c r="G1128" s="27" t="s">
        <v>3537</v>
      </c>
      <c r="H1128" s="27" t="s">
        <v>57</v>
      </c>
      <c r="I1128" s="27" t="s">
        <v>48</v>
      </c>
      <c r="J1128" s="28" t="s">
        <v>161</v>
      </c>
      <c r="K1128" s="27" t="s">
        <v>40</v>
      </c>
      <c r="L1128" s="27"/>
    </row>
    <row r="1129" customFormat="false" ht="15" hidden="false" customHeight="false" outlineLevel="0" collapsed="false">
      <c r="A1129" s="26" t="s">
        <v>4306</v>
      </c>
      <c r="B1129" s="27" t="s">
        <v>4307</v>
      </c>
      <c r="C1129" s="27" t="s">
        <v>144</v>
      </c>
      <c r="D1129" s="26" t="s">
        <v>4308</v>
      </c>
      <c r="E1129" s="27" t="s">
        <v>4309</v>
      </c>
      <c r="F1129" s="28" t="s">
        <v>146</v>
      </c>
      <c r="G1129" s="27" t="s">
        <v>3537</v>
      </c>
      <c r="H1129" s="27" t="s">
        <v>57</v>
      </c>
      <c r="I1129" s="27" t="s">
        <v>48</v>
      </c>
      <c r="J1129" s="28" t="s">
        <v>161</v>
      </c>
      <c r="K1129" s="27" t="s">
        <v>40</v>
      </c>
      <c r="L1129" s="27"/>
    </row>
    <row r="1130" customFormat="false" ht="15" hidden="false" customHeight="false" outlineLevel="0" collapsed="false">
      <c r="A1130" s="26" t="s">
        <v>4310</v>
      </c>
      <c r="B1130" s="27" t="s">
        <v>4311</v>
      </c>
      <c r="C1130" s="27" t="s">
        <v>144</v>
      </c>
      <c r="D1130" s="26" t="s">
        <v>4312</v>
      </c>
      <c r="E1130" s="27" t="s">
        <v>4313</v>
      </c>
      <c r="F1130" s="28" t="s">
        <v>146</v>
      </c>
      <c r="G1130" s="27" t="s">
        <v>3537</v>
      </c>
      <c r="H1130" s="27" t="s">
        <v>56</v>
      </c>
      <c r="I1130" s="27" t="s">
        <v>40</v>
      </c>
      <c r="J1130" s="28" t="s">
        <v>161</v>
      </c>
      <c r="K1130" s="27" t="s">
        <v>40</v>
      </c>
      <c r="L1130" s="27"/>
    </row>
    <row r="1131" customFormat="false" ht="15" hidden="false" customHeight="false" outlineLevel="0" collapsed="false">
      <c r="A1131" s="26" t="s">
        <v>4314</v>
      </c>
      <c r="B1131" s="27" t="s">
        <v>4315</v>
      </c>
      <c r="C1131" s="27" t="s">
        <v>144</v>
      </c>
      <c r="D1131" s="26" t="s">
        <v>4316</v>
      </c>
      <c r="E1131" s="27" t="s">
        <v>4317</v>
      </c>
      <c r="F1131" s="28" t="s">
        <v>146</v>
      </c>
      <c r="G1131" s="27" t="s">
        <v>3537</v>
      </c>
      <c r="H1131" s="27" t="s">
        <v>56</v>
      </c>
      <c r="I1131" s="27" t="s">
        <v>40</v>
      </c>
      <c r="J1131" s="28" t="s">
        <v>161</v>
      </c>
      <c r="K1131" s="27" t="s">
        <v>40</v>
      </c>
      <c r="L1131" s="27"/>
    </row>
    <row r="1132" customFormat="false" ht="15" hidden="false" customHeight="false" outlineLevel="0" collapsed="false">
      <c r="A1132" s="26" t="s">
        <v>4318</v>
      </c>
      <c r="B1132" s="27" t="s">
        <v>4319</v>
      </c>
      <c r="C1132" s="27" t="s">
        <v>144</v>
      </c>
      <c r="D1132" s="26" t="s">
        <v>4320</v>
      </c>
      <c r="E1132" s="27" t="s">
        <v>4321</v>
      </c>
      <c r="F1132" s="28" t="s">
        <v>146</v>
      </c>
      <c r="G1132" s="27" t="s">
        <v>3537</v>
      </c>
      <c r="H1132" s="27" t="s">
        <v>57</v>
      </c>
      <c r="I1132" s="27" t="s">
        <v>4159</v>
      </c>
      <c r="J1132" s="28" t="s">
        <v>161</v>
      </c>
      <c r="K1132" s="27" t="s">
        <v>40</v>
      </c>
      <c r="L1132" s="27"/>
    </row>
    <row r="1133" customFormat="false" ht="15" hidden="false" customHeight="false" outlineLevel="0" collapsed="false">
      <c r="A1133" s="26" t="s">
        <v>4322</v>
      </c>
      <c r="B1133" s="27" t="s">
        <v>4323</v>
      </c>
      <c r="C1133" s="27" t="s">
        <v>144</v>
      </c>
      <c r="D1133" s="26" t="s">
        <v>4324</v>
      </c>
      <c r="E1133" s="27" t="s">
        <v>4325</v>
      </c>
      <c r="F1133" s="28" t="s">
        <v>146</v>
      </c>
      <c r="G1133" s="27" t="s">
        <v>3537</v>
      </c>
      <c r="H1133" s="27" t="s">
        <v>56</v>
      </c>
      <c r="I1133" s="27" t="s">
        <v>40</v>
      </c>
      <c r="J1133" s="28" t="s">
        <v>161</v>
      </c>
      <c r="K1133" s="27" t="s">
        <v>40</v>
      </c>
      <c r="L1133" s="27"/>
    </row>
    <row r="1134" customFormat="false" ht="15" hidden="false" customHeight="false" outlineLevel="0" collapsed="false">
      <c r="A1134" s="26" t="s">
        <v>4326</v>
      </c>
      <c r="B1134" s="27" t="s">
        <v>4327</v>
      </c>
      <c r="C1134" s="27" t="s">
        <v>144</v>
      </c>
      <c r="D1134" s="26" t="s">
        <v>4328</v>
      </c>
      <c r="E1134" s="27" t="s">
        <v>4329</v>
      </c>
      <c r="F1134" s="28" t="s">
        <v>146</v>
      </c>
      <c r="G1134" s="27" t="s">
        <v>3537</v>
      </c>
      <c r="H1134" s="27" t="s">
        <v>56</v>
      </c>
      <c r="I1134" s="27" t="s">
        <v>40</v>
      </c>
      <c r="J1134" s="28" t="s">
        <v>161</v>
      </c>
      <c r="K1134" s="27" t="s">
        <v>40</v>
      </c>
      <c r="L1134" s="27"/>
    </row>
    <row r="1135" customFormat="false" ht="15" hidden="false" customHeight="false" outlineLevel="0" collapsed="false">
      <c r="A1135" s="26" t="s">
        <v>4330</v>
      </c>
      <c r="B1135" s="27" t="s">
        <v>4331</v>
      </c>
      <c r="C1135" s="27" t="s">
        <v>144</v>
      </c>
      <c r="D1135" s="26" t="s">
        <v>4332</v>
      </c>
      <c r="E1135" s="27" t="s">
        <v>4333</v>
      </c>
      <c r="F1135" s="28" t="s">
        <v>146</v>
      </c>
      <c r="G1135" s="27" t="s">
        <v>3537</v>
      </c>
      <c r="H1135" s="27" t="s">
        <v>56</v>
      </c>
      <c r="I1135" s="27" t="s">
        <v>40</v>
      </c>
      <c r="J1135" s="28" t="s">
        <v>161</v>
      </c>
      <c r="K1135" s="27" t="s">
        <v>40</v>
      </c>
      <c r="L1135" s="27"/>
    </row>
    <row r="1136" customFormat="false" ht="15" hidden="false" customHeight="false" outlineLevel="0" collapsed="false">
      <c r="A1136" s="26" t="s">
        <v>4334</v>
      </c>
      <c r="B1136" s="27" t="s">
        <v>4335</v>
      </c>
      <c r="C1136" s="27" t="s">
        <v>144</v>
      </c>
      <c r="D1136" s="26" t="s">
        <v>4336</v>
      </c>
      <c r="E1136" s="27" t="s">
        <v>4337</v>
      </c>
      <c r="F1136" s="28" t="s">
        <v>146</v>
      </c>
      <c r="G1136" s="27" t="s">
        <v>3537</v>
      </c>
      <c r="H1136" s="27" t="s">
        <v>56</v>
      </c>
      <c r="I1136" s="27" t="s">
        <v>40</v>
      </c>
      <c r="J1136" s="28" t="s">
        <v>161</v>
      </c>
      <c r="K1136" s="27" t="s">
        <v>40</v>
      </c>
      <c r="L1136" s="27"/>
    </row>
    <row r="1137" customFormat="false" ht="15" hidden="false" customHeight="false" outlineLevel="0" collapsed="false">
      <c r="A1137" s="26" t="s">
        <v>4338</v>
      </c>
      <c r="B1137" s="27" t="s">
        <v>4339</v>
      </c>
      <c r="C1137" s="27" t="s">
        <v>144</v>
      </c>
      <c r="D1137" s="26" t="s">
        <v>4340</v>
      </c>
      <c r="E1137" s="27" t="s">
        <v>4341</v>
      </c>
      <c r="F1137" s="28" t="s">
        <v>146</v>
      </c>
      <c r="G1137" s="27" t="s">
        <v>3537</v>
      </c>
      <c r="H1137" s="27" t="s">
        <v>56</v>
      </c>
      <c r="I1137" s="27" t="s">
        <v>40</v>
      </c>
      <c r="J1137" s="28" t="s">
        <v>161</v>
      </c>
      <c r="K1137" s="27" t="s">
        <v>40</v>
      </c>
      <c r="L1137" s="27"/>
    </row>
    <row r="1138" customFormat="false" ht="15" hidden="false" customHeight="false" outlineLevel="0" collapsed="false">
      <c r="A1138" s="26" t="s">
        <v>4342</v>
      </c>
      <c r="B1138" s="27" t="s">
        <v>4343</v>
      </c>
      <c r="C1138" s="27" t="s">
        <v>144</v>
      </c>
      <c r="D1138" s="26" t="s">
        <v>4344</v>
      </c>
      <c r="E1138" s="27" t="s">
        <v>4345</v>
      </c>
      <c r="F1138" s="28" t="s">
        <v>146</v>
      </c>
      <c r="G1138" s="27" t="s">
        <v>3537</v>
      </c>
      <c r="H1138" s="27" t="s">
        <v>56</v>
      </c>
      <c r="I1138" s="27" t="s">
        <v>40</v>
      </c>
      <c r="J1138" s="28" t="s">
        <v>161</v>
      </c>
      <c r="K1138" s="27" t="s">
        <v>40</v>
      </c>
      <c r="L1138" s="27"/>
    </row>
    <row r="1139" customFormat="false" ht="15" hidden="false" customHeight="false" outlineLevel="0" collapsed="false">
      <c r="A1139" s="26" t="s">
        <v>4346</v>
      </c>
      <c r="B1139" s="27" t="s">
        <v>4347</v>
      </c>
      <c r="C1139" s="27" t="s">
        <v>144</v>
      </c>
      <c r="D1139" s="26" t="s">
        <v>4348</v>
      </c>
      <c r="E1139" s="27" t="s">
        <v>4349</v>
      </c>
      <c r="F1139" s="28" t="s">
        <v>146</v>
      </c>
      <c r="G1139" s="27" t="s">
        <v>3537</v>
      </c>
      <c r="H1139" s="27" t="s">
        <v>56</v>
      </c>
      <c r="I1139" s="27" t="s">
        <v>40</v>
      </c>
      <c r="J1139" s="28" t="s">
        <v>161</v>
      </c>
      <c r="K1139" s="27" t="s">
        <v>40</v>
      </c>
      <c r="L1139" s="27"/>
    </row>
    <row r="1140" customFormat="false" ht="15" hidden="false" customHeight="false" outlineLevel="0" collapsed="false">
      <c r="A1140" s="26" t="s">
        <v>4350</v>
      </c>
      <c r="B1140" s="27" t="s">
        <v>4351</v>
      </c>
      <c r="C1140" s="27" t="s">
        <v>144</v>
      </c>
      <c r="D1140" s="26" t="s">
        <v>4352</v>
      </c>
      <c r="E1140" s="27" t="s">
        <v>4353</v>
      </c>
      <c r="F1140" s="28" t="s">
        <v>146</v>
      </c>
      <c r="G1140" s="27" t="s">
        <v>3537</v>
      </c>
      <c r="H1140" s="27" t="s">
        <v>56</v>
      </c>
      <c r="I1140" s="27" t="s">
        <v>40</v>
      </c>
      <c r="J1140" s="28" t="s">
        <v>161</v>
      </c>
      <c r="K1140" s="27" t="s">
        <v>40</v>
      </c>
      <c r="L1140" s="27"/>
    </row>
    <row r="1141" customFormat="false" ht="15" hidden="false" customHeight="false" outlineLevel="0" collapsed="false">
      <c r="A1141" s="26" t="s">
        <v>4354</v>
      </c>
      <c r="B1141" s="27" t="s">
        <v>4355</v>
      </c>
      <c r="C1141" s="27" t="s">
        <v>144</v>
      </c>
      <c r="D1141" s="26" t="s">
        <v>3623</v>
      </c>
      <c r="E1141" s="27" t="s">
        <v>3624</v>
      </c>
      <c r="F1141" s="28" t="s">
        <v>146</v>
      </c>
      <c r="G1141" s="27" t="s">
        <v>3537</v>
      </c>
      <c r="H1141" s="27" t="s">
        <v>56</v>
      </c>
      <c r="I1141" s="27" t="s">
        <v>40</v>
      </c>
      <c r="J1141" s="28" t="s">
        <v>161</v>
      </c>
      <c r="K1141" s="27" t="s">
        <v>40</v>
      </c>
      <c r="L1141" s="27"/>
    </row>
    <row r="1142" customFormat="false" ht="15" hidden="false" customHeight="false" outlineLevel="0" collapsed="false">
      <c r="A1142" s="26" t="s">
        <v>4356</v>
      </c>
      <c r="B1142" s="27" t="s">
        <v>4357</v>
      </c>
      <c r="C1142" s="27" t="s">
        <v>144</v>
      </c>
      <c r="D1142" s="26" t="s">
        <v>4358</v>
      </c>
      <c r="E1142" s="27" t="s">
        <v>4359</v>
      </c>
      <c r="F1142" s="28" t="s">
        <v>146</v>
      </c>
      <c r="G1142" s="27" t="s">
        <v>3537</v>
      </c>
      <c r="H1142" s="27" t="s">
        <v>56</v>
      </c>
      <c r="I1142" s="27" t="s">
        <v>40</v>
      </c>
      <c r="J1142" s="28" t="s">
        <v>161</v>
      </c>
      <c r="K1142" s="27" t="s">
        <v>40</v>
      </c>
      <c r="L1142" s="27"/>
    </row>
    <row r="1143" customFormat="false" ht="15" hidden="false" customHeight="false" outlineLevel="0" collapsed="false">
      <c r="A1143" s="26" t="s">
        <v>4360</v>
      </c>
      <c r="B1143" s="27" t="s">
        <v>4361</v>
      </c>
      <c r="C1143" s="27" t="s">
        <v>144</v>
      </c>
      <c r="D1143" s="26" t="s">
        <v>4362</v>
      </c>
      <c r="E1143" s="27" t="s">
        <v>4363</v>
      </c>
      <c r="F1143" s="28" t="s">
        <v>146</v>
      </c>
      <c r="G1143" s="27" t="s">
        <v>3537</v>
      </c>
      <c r="H1143" s="27" t="s">
        <v>56</v>
      </c>
      <c r="I1143" s="27" t="s">
        <v>40</v>
      </c>
      <c r="J1143" s="28" t="s">
        <v>161</v>
      </c>
      <c r="K1143" s="27" t="s">
        <v>40</v>
      </c>
      <c r="L1143" s="27"/>
    </row>
    <row r="1144" customFormat="false" ht="15" hidden="false" customHeight="false" outlineLevel="0" collapsed="false">
      <c r="A1144" s="26" t="s">
        <v>4364</v>
      </c>
      <c r="B1144" s="27" t="s">
        <v>4365</v>
      </c>
      <c r="C1144" s="27" t="s">
        <v>144</v>
      </c>
      <c r="D1144" s="26" t="s">
        <v>4366</v>
      </c>
      <c r="E1144" s="27" t="s">
        <v>4367</v>
      </c>
      <c r="F1144" s="28" t="s">
        <v>146</v>
      </c>
      <c r="G1144" s="27" t="s">
        <v>3537</v>
      </c>
      <c r="H1144" s="27" t="s">
        <v>56</v>
      </c>
      <c r="I1144" s="27" t="s">
        <v>40</v>
      </c>
      <c r="J1144" s="28" t="s">
        <v>161</v>
      </c>
      <c r="K1144" s="27" t="s">
        <v>40</v>
      </c>
      <c r="L1144" s="27"/>
    </row>
    <row r="1145" customFormat="false" ht="15" hidden="false" customHeight="false" outlineLevel="0" collapsed="false">
      <c r="A1145" s="26" t="s">
        <v>4368</v>
      </c>
      <c r="B1145" s="27" t="s">
        <v>4369</v>
      </c>
      <c r="C1145" s="27" t="s">
        <v>144</v>
      </c>
      <c r="D1145" s="26" t="s">
        <v>4370</v>
      </c>
      <c r="E1145" s="27" t="s">
        <v>4371</v>
      </c>
      <c r="F1145" s="28" t="s">
        <v>146</v>
      </c>
      <c r="G1145" s="27" t="s">
        <v>3537</v>
      </c>
      <c r="H1145" s="27" t="s">
        <v>56</v>
      </c>
      <c r="I1145" s="27" t="s">
        <v>40</v>
      </c>
      <c r="J1145" s="28" t="s">
        <v>161</v>
      </c>
      <c r="K1145" s="27" t="s">
        <v>40</v>
      </c>
      <c r="L1145" s="27"/>
    </row>
    <row r="1146" customFormat="false" ht="15" hidden="false" customHeight="false" outlineLevel="0" collapsed="false">
      <c r="A1146" s="26" t="s">
        <v>4372</v>
      </c>
      <c r="B1146" s="27" t="s">
        <v>4373</v>
      </c>
      <c r="C1146" s="27" t="s">
        <v>137</v>
      </c>
      <c r="D1146" s="26" t="s">
        <v>262</v>
      </c>
      <c r="E1146" s="27" t="s">
        <v>263</v>
      </c>
      <c r="F1146" s="28" t="s">
        <v>140</v>
      </c>
      <c r="G1146" s="27" t="s">
        <v>3537</v>
      </c>
      <c r="H1146" s="27" t="s">
        <v>57</v>
      </c>
      <c r="I1146" s="28" t="s">
        <v>46</v>
      </c>
      <c r="J1146" s="28" t="s">
        <v>161</v>
      </c>
      <c r="K1146" s="27" t="s">
        <v>40</v>
      </c>
      <c r="L1146" s="27"/>
    </row>
    <row r="1147" customFormat="false" ht="15" hidden="false" customHeight="false" outlineLevel="0" collapsed="false">
      <c r="A1147" s="26" t="s">
        <v>4374</v>
      </c>
      <c r="B1147" s="27" t="s">
        <v>4375</v>
      </c>
      <c r="C1147" s="27" t="s">
        <v>137</v>
      </c>
      <c r="D1147" s="26" t="s">
        <v>4376</v>
      </c>
      <c r="E1147" s="27" t="s">
        <v>4377</v>
      </c>
      <c r="F1147" s="28" t="s">
        <v>140</v>
      </c>
      <c r="G1147" s="27" t="s">
        <v>3537</v>
      </c>
      <c r="H1147" s="27" t="s">
        <v>56</v>
      </c>
      <c r="I1147" s="27" t="s">
        <v>40</v>
      </c>
      <c r="J1147" s="28" t="s">
        <v>161</v>
      </c>
      <c r="K1147" s="27" t="s">
        <v>40</v>
      </c>
      <c r="L1147" s="27"/>
    </row>
    <row r="1148" customFormat="false" ht="15" hidden="false" customHeight="false" outlineLevel="0" collapsed="false">
      <c r="A1148" s="26" t="s">
        <v>4378</v>
      </c>
      <c r="B1148" s="27" t="s">
        <v>4379</v>
      </c>
      <c r="C1148" s="27" t="s">
        <v>144</v>
      </c>
      <c r="D1148" s="26" t="s">
        <v>1819</v>
      </c>
      <c r="E1148" s="27" t="s">
        <v>1818</v>
      </c>
      <c r="F1148" s="28" t="s">
        <v>146</v>
      </c>
      <c r="G1148" s="27" t="s">
        <v>3537</v>
      </c>
      <c r="H1148" s="27" t="s">
        <v>57</v>
      </c>
      <c r="I1148" s="28" t="s">
        <v>46</v>
      </c>
      <c r="J1148" s="28" t="s">
        <v>161</v>
      </c>
      <c r="K1148" s="27" t="s">
        <v>40</v>
      </c>
      <c r="L1148" s="27"/>
    </row>
    <row r="1149" customFormat="false" ht="15" hidden="false" customHeight="false" outlineLevel="0" collapsed="false">
      <c r="A1149" s="26" t="s">
        <v>4380</v>
      </c>
      <c r="B1149" s="27" t="s">
        <v>4381</v>
      </c>
      <c r="C1149" s="27" t="s">
        <v>144</v>
      </c>
      <c r="D1149" s="26" t="s">
        <v>4382</v>
      </c>
      <c r="E1149" s="27" t="s">
        <v>4383</v>
      </c>
      <c r="F1149" s="28" t="s">
        <v>146</v>
      </c>
      <c r="G1149" s="27" t="s">
        <v>3537</v>
      </c>
      <c r="H1149" s="27" t="s">
        <v>57</v>
      </c>
      <c r="I1149" s="28" t="s">
        <v>46</v>
      </c>
      <c r="J1149" s="28" t="s">
        <v>161</v>
      </c>
      <c r="K1149" s="27" t="s">
        <v>40</v>
      </c>
      <c r="L1149" s="27"/>
    </row>
    <row r="1150" customFormat="false" ht="15" hidden="false" customHeight="false" outlineLevel="0" collapsed="false">
      <c r="A1150" s="26" t="s">
        <v>4384</v>
      </c>
      <c r="B1150" s="27" t="s">
        <v>4385</v>
      </c>
      <c r="C1150" s="27" t="s">
        <v>137</v>
      </c>
      <c r="D1150" s="26" t="s">
        <v>4386</v>
      </c>
      <c r="E1150" s="27" t="s">
        <v>4387</v>
      </c>
      <c r="F1150" s="28" t="s">
        <v>140</v>
      </c>
      <c r="G1150" s="27" t="s">
        <v>3537</v>
      </c>
      <c r="H1150" s="27" t="s">
        <v>56</v>
      </c>
      <c r="I1150" s="27" t="s">
        <v>40</v>
      </c>
      <c r="J1150" s="28" t="s">
        <v>161</v>
      </c>
      <c r="K1150" s="27" t="s">
        <v>40</v>
      </c>
      <c r="L1150" s="27"/>
    </row>
    <row r="1151" customFormat="false" ht="15" hidden="false" customHeight="false" outlineLevel="0" collapsed="false">
      <c r="A1151" s="26" t="s">
        <v>4388</v>
      </c>
      <c r="B1151" s="27" t="s">
        <v>4389</v>
      </c>
      <c r="C1151" s="27" t="s">
        <v>137</v>
      </c>
      <c r="D1151" s="26" t="s">
        <v>4390</v>
      </c>
      <c r="E1151" s="27" t="s">
        <v>4391</v>
      </c>
      <c r="F1151" s="28" t="s">
        <v>140</v>
      </c>
      <c r="G1151" s="27" t="s">
        <v>3537</v>
      </c>
      <c r="H1151" s="27" t="s">
        <v>56</v>
      </c>
      <c r="I1151" s="27" t="s">
        <v>40</v>
      </c>
      <c r="J1151" s="28" t="s">
        <v>161</v>
      </c>
      <c r="K1151" s="27" t="s">
        <v>40</v>
      </c>
      <c r="L1151" s="27"/>
    </row>
    <row r="1152" customFormat="false" ht="15" hidden="false" customHeight="false" outlineLevel="0" collapsed="false">
      <c r="A1152" s="26" t="s">
        <v>4392</v>
      </c>
      <c r="B1152" s="27" t="s">
        <v>4393</v>
      </c>
      <c r="C1152" s="27" t="s">
        <v>144</v>
      </c>
      <c r="D1152" s="26" t="s">
        <v>4394</v>
      </c>
      <c r="E1152" s="27" t="s">
        <v>4395</v>
      </c>
      <c r="F1152" s="28" t="s">
        <v>146</v>
      </c>
      <c r="G1152" s="27" t="s">
        <v>3537</v>
      </c>
      <c r="H1152" s="27" t="s">
        <v>57</v>
      </c>
      <c r="I1152" s="28" t="s">
        <v>46</v>
      </c>
      <c r="J1152" s="28" t="s">
        <v>161</v>
      </c>
      <c r="K1152" s="27" t="s">
        <v>40</v>
      </c>
      <c r="L1152" s="27"/>
    </row>
    <row r="1153" customFormat="false" ht="15" hidden="false" customHeight="false" outlineLevel="0" collapsed="false">
      <c r="A1153" s="26" t="s">
        <v>4396</v>
      </c>
      <c r="B1153" s="27" t="s">
        <v>4397</v>
      </c>
      <c r="C1153" s="27" t="s">
        <v>144</v>
      </c>
      <c r="D1153" s="26" t="s">
        <v>4398</v>
      </c>
      <c r="E1153" s="27" t="s">
        <v>4399</v>
      </c>
      <c r="F1153" s="28" t="s">
        <v>146</v>
      </c>
      <c r="G1153" s="27" t="s">
        <v>3537</v>
      </c>
      <c r="H1153" s="27" t="s">
        <v>57</v>
      </c>
      <c r="I1153" s="28" t="s">
        <v>46</v>
      </c>
      <c r="J1153" s="28" t="s">
        <v>161</v>
      </c>
      <c r="K1153" s="27" t="s">
        <v>40</v>
      </c>
      <c r="L1153" s="27"/>
    </row>
    <row r="1154" customFormat="false" ht="15" hidden="false" customHeight="false" outlineLevel="0" collapsed="false">
      <c r="A1154" s="26" t="s">
        <v>4400</v>
      </c>
      <c r="B1154" s="27" t="s">
        <v>4401</v>
      </c>
      <c r="C1154" s="27" t="s">
        <v>144</v>
      </c>
      <c r="D1154" s="26" t="s">
        <v>1819</v>
      </c>
      <c r="E1154" s="27" t="s">
        <v>1818</v>
      </c>
      <c r="F1154" s="28" t="s">
        <v>146</v>
      </c>
      <c r="G1154" s="27" t="s">
        <v>3537</v>
      </c>
      <c r="H1154" s="27" t="s">
        <v>57</v>
      </c>
      <c r="I1154" s="28" t="s">
        <v>46</v>
      </c>
      <c r="J1154" s="28" t="s">
        <v>161</v>
      </c>
      <c r="K1154" s="27" t="s">
        <v>40</v>
      </c>
      <c r="L1154" s="27"/>
    </row>
    <row r="1155" customFormat="false" ht="15" hidden="false" customHeight="false" outlineLevel="0" collapsed="false">
      <c r="A1155" s="26" t="s">
        <v>4402</v>
      </c>
      <c r="B1155" s="27" t="s">
        <v>4403</v>
      </c>
      <c r="C1155" s="27" t="s">
        <v>144</v>
      </c>
      <c r="D1155" s="26" t="s">
        <v>1819</v>
      </c>
      <c r="E1155" s="27" t="s">
        <v>1818</v>
      </c>
      <c r="F1155" s="28" t="s">
        <v>146</v>
      </c>
      <c r="G1155" s="27" t="s">
        <v>3537</v>
      </c>
      <c r="H1155" s="27" t="s">
        <v>57</v>
      </c>
      <c r="I1155" s="28" t="s">
        <v>46</v>
      </c>
      <c r="J1155" s="28" t="s">
        <v>161</v>
      </c>
      <c r="K1155" s="27" t="s">
        <v>40</v>
      </c>
      <c r="L1155" s="27"/>
    </row>
    <row r="1156" customFormat="false" ht="15" hidden="false" customHeight="false" outlineLevel="0" collapsed="false">
      <c r="A1156" s="26" t="s">
        <v>4404</v>
      </c>
      <c r="B1156" s="27" t="s">
        <v>4405</v>
      </c>
      <c r="C1156" s="27" t="s">
        <v>144</v>
      </c>
      <c r="D1156" s="26" t="s">
        <v>1819</v>
      </c>
      <c r="E1156" s="27" t="s">
        <v>1818</v>
      </c>
      <c r="F1156" s="28" t="s">
        <v>146</v>
      </c>
      <c r="G1156" s="27" t="s">
        <v>3537</v>
      </c>
      <c r="H1156" s="27" t="s">
        <v>57</v>
      </c>
      <c r="I1156" s="28" t="s">
        <v>46</v>
      </c>
      <c r="J1156" s="28" t="s">
        <v>161</v>
      </c>
      <c r="K1156" s="27" t="s">
        <v>40</v>
      </c>
      <c r="L1156" s="27"/>
    </row>
    <row r="1157" customFormat="false" ht="15" hidden="false" customHeight="false" outlineLevel="0" collapsed="false">
      <c r="A1157" s="26" t="s">
        <v>4406</v>
      </c>
      <c r="B1157" s="27" t="s">
        <v>4407</v>
      </c>
      <c r="C1157" s="27" t="s">
        <v>144</v>
      </c>
      <c r="D1157" s="26" t="s">
        <v>1819</v>
      </c>
      <c r="E1157" s="27" t="s">
        <v>1818</v>
      </c>
      <c r="F1157" s="28" t="s">
        <v>146</v>
      </c>
      <c r="G1157" s="27" t="s">
        <v>3537</v>
      </c>
      <c r="H1157" s="27" t="s">
        <v>57</v>
      </c>
      <c r="I1157" s="28" t="s">
        <v>46</v>
      </c>
      <c r="J1157" s="28" t="s">
        <v>161</v>
      </c>
      <c r="K1157" s="27" t="s">
        <v>40</v>
      </c>
      <c r="L1157" s="27"/>
    </row>
    <row r="1158" customFormat="false" ht="15" hidden="false" customHeight="false" outlineLevel="0" collapsed="false">
      <c r="A1158" s="26" t="s">
        <v>4408</v>
      </c>
      <c r="B1158" s="27" t="s">
        <v>4409</v>
      </c>
      <c r="C1158" s="27" t="s">
        <v>144</v>
      </c>
      <c r="D1158" s="26" t="s">
        <v>1819</v>
      </c>
      <c r="E1158" s="27" t="s">
        <v>1818</v>
      </c>
      <c r="F1158" s="28" t="s">
        <v>146</v>
      </c>
      <c r="G1158" s="27" t="s">
        <v>3537</v>
      </c>
      <c r="H1158" s="27" t="s">
        <v>57</v>
      </c>
      <c r="I1158" s="28" t="s">
        <v>46</v>
      </c>
      <c r="J1158" s="28" t="s">
        <v>161</v>
      </c>
      <c r="K1158" s="27" t="s">
        <v>40</v>
      </c>
      <c r="L1158" s="27"/>
    </row>
    <row r="1159" customFormat="false" ht="15" hidden="false" customHeight="false" outlineLevel="0" collapsed="false">
      <c r="A1159" s="26" t="s">
        <v>4410</v>
      </c>
      <c r="B1159" s="27" t="s">
        <v>4411</v>
      </c>
      <c r="C1159" s="27" t="s">
        <v>144</v>
      </c>
      <c r="D1159" s="26" t="s">
        <v>4412</v>
      </c>
      <c r="E1159" s="27" t="s">
        <v>4413</v>
      </c>
      <c r="F1159" s="28" t="s">
        <v>1158</v>
      </c>
      <c r="G1159" s="27" t="s">
        <v>3537</v>
      </c>
      <c r="H1159" s="27" t="s">
        <v>57</v>
      </c>
      <c r="I1159" s="28" t="s">
        <v>46</v>
      </c>
      <c r="J1159" s="28" t="s">
        <v>161</v>
      </c>
      <c r="K1159" s="27" t="s">
        <v>40</v>
      </c>
      <c r="L1159" s="27"/>
    </row>
    <row r="1160" customFormat="false" ht="15" hidden="false" customHeight="false" outlineLevel="0" collapsed="false">
      <c r="A1160" s="26" t="s">
        <v>4414</v>
      </c>
      <c r="B1160" s="27" t="s">
        <v>4415</v>
      </c>
      <c r="C1160" s="27" t="s">
        <v>144</v>
      </c>
      <c r="D1160" s="26" t="s">
        <v>4416</v>
      </c>
      <c r="E1160" s="27" t="s">
        <v>4417</v>
      </c>
      <c r="F1160" s="28" t="s">
        <v>146</v>
      </c>
      <c r="G1160" s="27" t="s">
        <v>3537</v>
      </c>
      <c r="H1160" s="27" t="s">
        <v>57</v>
      </c>
      <c r="I1160" s="28" t="s">
        <v>46</v>
      </c>
      <c r="J1160" s="28" t="s">
        <v>161</v>
      </c>
      <c r="K1160" s="27" t="s">
        <v>40</v>
      </c>
      <c r="L1160" s="27"/>
    </row>
    <row r="1161" customFormat="false" ht="15" hidden="false" customHeight="false" outlineLevel="0" collapsed="false">
      <c r="A1161" s="26" t="s">
        <v>4418</v>
      </c>
      <c r="B1161" s="27" t="s">
        <v>4419</v>
      </c>
      <c r="C1161" s="27" t="s">
        <v>144</v>
      </c>
      <c r="D1161" s="26" t="s">
        <v>4420</v>
      </c>
      <c r="E1161" s="27" t="s">
        <v>4421</v>
      </c>
      <c r="F1161" s="28" t="s">
        <v>146</v>
      </c>
      <c r="G1161" s="27" t="s">
        <v>3537</v>
      </c>
      <c r="H1161" s="27" t="s">
        <v>57</v>
      </c>
      <c r="I1161" s="28" t="s">
        <v>46</v>
      </c>
      <c r="J1161" s="28" t="s">
        <v>161</v>
      </c>
      <c r="K1161" s="27" t="s">
        <v>40</v>
      </c>
      <c r="L1161" s="27"/>
    </row>
    <row r="1162" customFormat="false" ht="15" hidden="false" customHeight="false" outlineLevel="0" collapsed="false">
      <c r="A1162" s="26" t="s">
        <v>4422</v>
      </c>
      <c r="B1162" s="27" t="s">
        <v>4423</v>
      </c>
      <c r="C1162" s="27" t="s">
        <v>144</v>
      </c>
      <c r="D1162" s="26" t="s">
        <v>4424</v>
      </c>
      <c r="E1162" s="27" t="s">
        <v>4425</v>
      </c>
      <c r="F1162" s="28" t="s">
        <v>146</v>
      </c>
      <c r="G1162" s="27" t="s">
        <v>3537</v>
      </c>
      <c r="H1162" s="27" t="s">
        <v>57</v>
      </c>
      <c r="I1162" s="28" t="s">
        <v>46</v>
      </c>
      <c r="J1162" s="28" t="s">
        <v>161</v>
      </c>
      <c r="K1162" s="27" t="s">
        <v>40</v>
      </c>
      <c r="L1162" s="27"/>
    </row>
    <row r="1163" customFormat="false" ht="15" hidden="false" customHeight="false" outlineLevel="0" collapsed="false">
      <c r="A1163" s="26" t="s">
        <v>4426</v>
      </c>
      <c r="B1163" s="27" t="s">
        <v>4427</v>
      </c>
      <c r="C1163" s="27" t="s">
        <v>144</v>
      </c>
      <c r="D1163" s="26" t="s">
        <v>1819</v>
      </c>
      <c r="E1163" s="27" t="s">
        <v>1818</v>
      </c>
      <c r="F1163" s="28" t="s">
        <v>146</v>
      </c>
      <c r="G1163" s="27" t="s">
        <v>3537</v>
      </c>
      <c r="H1163" s="27" t="s">
        <v>57</v>
      </c>
      <c r="I1163" s="28" t="s">
        <v>46</v>
      </c>
      <c r="J1163" s="28" t="s">
        <v>161</v>
      </c>
      <c r="K1163" s="27" t="s">
        <v>40</v>
      </c>
      <c r="L1163" s="27"/>
    </row>
    <row r="1164" customFormat="false" ht="15" hidden="false" customHeight="false" outlineLevel="0" collapsed="false">
      <c r="A1164" s="26" t="s">
        <v>4428</v>
      </c>
      <c r="B1164" s="27" t="s">
        <v>4429</v>
      </c>
      <c r="C1164" s="27" t="s">
        <v>137</v>
      </c>
      <c r="D1164" s="26" t="s">
        <v>4430</v>
      </c>
      <c r="E1164" s="27" t="s">
        <v>4431</v>
      </c>
      <c r="F1164" s="28" t="s">
        <v>140</v>
      </c>
      <c r="G1164" s="27" t="s">
        <v>3537</v>
      </c>
      <c r="H1164" s="27" t="s">
        <v>56</v>
      </c>
      <c r="I1164" s="27" t="s">
        <v>40</v>
      </c>
      <c r="J1164" s="28" t="s">
        <v>161</v>
      </c>
      <c r="K1164" s="27" t="s">
        <v>40</v>
      </c>
      <c r="L1164" s="27"/>
    </row>
    <row r="1165" customFormat="false" ht="15" hidden="false" customHeight="false" outlineLevel="0" collapsed="false">
      <c r="A1165" s="26" t="s">
        <v>4432</v>
      </c>
      <c r="B1165" s="27" t="s">
        <v>4433</v>
      </c>
      <c r="C1165" s="27" t="s">
        <v>137</v>
      </c>
      <c r="D1165" s="26" t="s">
        <v>4434</v>
      </c>
      <c r="E1165" s="27" t="s">
        <v>4435</v>
      </c>
      <c r="F1165" s="28" t="s">
        <v>140</v>
      </c>
      <c r="G1165" s="27" t="s">
        <v>3537</v>
      </c>
      <c r="H1165" s="27" t="s">
        <v>56</v>
      </c>
      <c r="I1165" s="27" t="s">
        <v>40</v>
      </c>
      <c r="J1165" s="28" t="s">
        <v>161</v>
      </c>
      <c r="K1165" s="27" t="s">
        <v>40</v>
      </c>
      <c r="L1165" s="27"/>
    </row>
    <row r="1166" customFormat="false" ht="15" hidden="false" customHeight="false" outlineLevel="0" collapsed="false">
      <c r="A1166" s="26" t="s">
        <v>4436</v>
      </c>
      <c r="B1166" s="27" t="s">
        <v>4437</v>
      </c>
      <c r="C1166" s="27" t="s">
        <v>144</v>
      </c>
      <c r="D1166" s="26" t="s">
        <v>4438</v>
      </c>
      <c r="E1166" s="27" t="s">
        <v>4439</v>
      </c>
      <c r="F1166" s="28" t="s">
        <v>146</v>
      </c>
      <c r="G1166" s="27" t="s">
        <v>3537</v>
      </c>
      <c r="H1166" s="27" t="s">
        <v>57</v>
      </c>
      <c r="I1166" s="28" t="s">
        <v>46</v>
      </c>
      <c r="J1166" s="28" t="s">
        <v>161</v>
      </c>
      <c r="K1166" s="27" t="s">
        <v>40</v>
      </c>
      <c r="L1166" s="27"/>
    </row>
    <row r="1167" customFormat="false" ht="15" hidden="false" customHeight="false" outlineLevel="0" collapsed="false">
      <c r="A1167" s="26" t="s">
        <v>4440</v>
      </c>
      <c r="B1167" s="27" t="s">
        <v>4441</v>
      </c>
      <c r="C1167" s="27" t="s">
        <v>137</v>
      </c>
      <c r="D1167" s="26" t="s">
        <v>274</v>
      </c>
      <c r="E1167" s="27" t="s">
        <v>275</v>
      </c>
      <c r="F1167" s="28" t="s">
        <v>140</v>
      </c>
      <c r="G1167" s="27" t="s">
        <v>3537</v>
      </c>
      <c r="H1167" s="27" t="s">
        <v>56</v>
      </c>
      <c r="I1167" s="27" t="s">
        <v>40</v>
      </c>
      <c r="J1167" s="28" t="s">
        <v>161</v>
      </c>
      <c r="K1167" s="27" t="s">
        <v>40</v>
      </c>
      <c r="L1167" s="27"/>
    </row>
    <row r="1168" customFormat="false" ht="15" hidden="false" customHeight="false" outlineLevel="0" collapsed="false">
      <c r="A1168" s="26" t="s">
        <v>4442</v>
      </c>
      <c r="B1168" s="27" t="s">
        <v>4443</v>
      </c>
      <c r="C1168" s="27" t="s">
        <v>137</v>
      </c>
      <c r="D1168" s="26" t="s">
        <v>4444</v>
      </c>
      <c r="E1168" s="27" t="s">
        <v>4445</v>
      </c>
      <c r="F1168" s="28" t="s">
        <v>140</v>
      </c>
      <c r="G1168" s="27" t="s">
        <v>3537</v>
      </c>
      <c r="H1168" s="27" t="s">
        <v>56</v>
      </c>
      <c r="I1168" s="27" t="s">
        <v>40</v>
      </c>
      <c r="J1168" s="28" t="s">
        <v>161</v>
      </c>
      <c r="K1168" s="27" t="s">
        <v>40</v>
      </c>
      <c r="L1168" s="27"/>
    </row>
    <row r="1169" customFormat="false" ht="15" hidden="false" customHeight="false" outlineLevel="0" collapsed="false">
      <c r="A1169" s="26" t="s">
        <v>4446</v>
      </c>
      <c r="B1169" s="27" t="s">
        <v>4447</v>
      </c>
      <c r="C1169" s="27" t="s">
        <v>144</v>
      </c>
      <c r="D1169" s="26" t="s">
        <v>4448</v>
      </c>
      <c r="E1169" s="27" t="s">
        <v>4449</v>
      </c>
      <c r="F1169" s="28" t="s">
        <v>146</v>
      </c>
      <c r="G1169" s="27" t="s">
        <v>3537</v>
      </c>
      <c r="H1169" s="27" t="s">
        <v>57</v>
      </c>
      <c r="I1169" s="27" t="s">
        <v>38</v>
      </c>
      <c r="J1169" s="28" t="s">
        <v>161</v>
      </c>
      <c r="K1169" s="27" t="s">
        <v>40</v>
      </c>
      <c r="L1169" s="27"/>
    </row>
    <row r="1170" customFormat="false" ht="15" hidden="false" customHeight="false" outlineLevel="0" collapsed="false">
      <c r="A1170" s="26" t="s">
        <v>4450</v>
      </c>
      <c r="B1170" s="27" t="s">
        <v>4451</v>
      </c>
      <c r="C1170" s="27" t="s">
        <v>144</v>
      </c>
      <c r="D1170" s="26" t="s">
        <v>4452</v>
      </c>
      <c r="E1170" s="27" t="s">
        <v>4453</v>
      </c>
      <c r="F1170" s="28" t="s">
        <v>146</v>
      </c>
      <c r="G1170" s="27" t="s">
        <v>3537</v>
      </c>
      <c r="H1170" s="27" t="s">
        <v>57</v>
      </c>
      <c r="I1170" s="27" t="s">
        <v>38</v>
      </c>
      <c r="J1170" s="28" t="s">
        <v>161</v>
      </c>
      <c r="K1170" s="27" t="s">
        <v>40</v>
      </c>
      <c r="L1170" s="27"/>
    </row>
    <row r="1171" customFormat="false" ht="15" hidden="false" customHeight="false" outlineLevel="0" collapsed="false">
      <c r="A1171" s="26" t="s">
        <v>4454</v>
      </c>
      <c r="B1171" s="27" t="s">
        <v>4455</v>
      </c>
      <c r="C1171" s="27" t="s">
        <v>144</v>
      </c>
      <c r="D1171" s="26" t="s">
        <v>4456</v>
      </c>
      <c r="E1171" s="27" t="s">
        <v>4457</v>
      </c>
      <c r="F1171" s="28" t="s">
        <v>146</v>
      </c>
      <c r="G1171" s="27" t="s">
        <v>3537</v>
      </c>
      <c r="H1171" s="27" t="s">
        <v>56</v>
      </c>
      <c r="I1171" s="27" t="s">
        <v>40</v>
      </c>
      <c r="J1171" s="28" t="s">
        <v>161</v>
      </c>
      <c r="K1171" s="27" t="s">
        <v>40</v>
      </c>
      <c r="L1171" s="27"/>
    </row>
    <row r="1172" customFormat="false" ht="15" hidden="false" customHeight="false" outlineLevel="0" collapsed="false">
      <c r="A1172" s="26" t="s">
        <v>4458</v>
      </c>
      <c r="B1172" s="27" t="s">
        <v>4459</v>
      </c>
      <c r="C1172" s="27" t="s">
        <v>144</v>
      </c>
      <c r="D1172" s="26" t="s">
        <v>4460</v>
      </c>
      <c r="E1172" s="27" t="s">
        <v>4461</v>
      </c>
      <c r="F1172" s="28" t="s">
        <v>146</v>
      </c>
      <c r="G1172" s="27" t="s">
        <v>3537</v>
      </c>
      <c r="H1172" s="27" t="s">
        <v>56</v>
      </c>
      <c r="I1172" s="27" t="s">
        <v>40</v>
      </c>
      <c r="J1172" s="28" t="s">
        <v>161</v>
      </c>
      <c r="K1172" s="27" t="s">
        <v>40</v>
      </c>
      <c r="L1172" s="27"/>
    </row>
    <row r="1173" customFormat="false" ht="15" hidden="false" customHeight="false" outlineLevel="0" collapsed="false">
      <c r="A1173" s="26" t="s">
        <v>4462</v>
      </c>
      <c r="B1173" s="27" t="s">
        <v>4463</v>
      </c>
      <c r="C1173" s="27" t="s">
        <v>144</v>
      </c>
      <c r="D1173" s="26" t="s">
        <v>4464</v>
      </c>
      <c r="E1173" s="27" t="s">
        <v>4465</v>
      </c>
      <c r="F1173" s="28" t="s">
        <v>146</v>
      </c>
      <c r="G1173" s="27" t="s">
        <v>3537</v>
      </c>
      <c r="H1173" s="27" t="s">
        <v>56</v>
      </c>
      <c r="I1173" s="27" t="s">
        <v>40</v>
      </c>
      <c r="J1173" s="28" t="s">
        <v>161</v>
      </c>
      <c r="K1173" s="27" t="s">
        <v>40</v>
      </c>
      <c r="L1173" s="27"/>
    </row>
    <row r="1174" customFormat="false" ht="15" hidden="false" customHeight="false" outlineLevel="0" collapsed="false">
      <c r="A1174" s="26" t="s">
        <v>4466</v>
      </c>
      <c r="B1174" s="27" t="s">
        <v>4467</v>
      </c>
      <c r="C1174" s="27" t="s">
        <v>144</v>
      </c>
      <c r="D1174" s="26" t="s">
        <v>4468</v>
      </c>
      <c r="E1174" s="27" t="s">
        <v>4469</v>
      </c>
      <c r="F1174" s="28" t="s">
        <v>146</v>
      </c>
      <c r="G1174" s="27" t="s">
        <v>3537</v>
      </c>
      <c r="H1174" s="27" t="s">
        <v>56</v>
      </c>
      <c r="I1174" s="27" t="s">
        <v>40</v>
      </c>
      <c r="J1174" s="28" t="s">
        <v>161</v>
      </c>
      <c r="K1174" s="27" t="s">
        <v>40</v>
      </c>
      <c r="L1174" s="27"/>
    </row>
    <row r="1175" customFormat="false" ht="15" hidden="false" customHeight="false" outlineLevel="0" collapsed="false">
      <c r="A1175" s="26" t="s">
        <v>4470</v>
      </c>
      <c r="B1175" s="27" t="s">
        <v>4471</v>
      </c>
      <c r="C1175" s="27" t="s">
        <v>144</v>
      </c>
      <c r="D1175" s="26" t="s">
        <v>4472</v>
      </c>
      <c r="E1175" s="27" t="s">
        <v>4473</v>
      </c>
      <c r="F1175" s="28" t="s">
        <v>146</v>
      </c>
      <c r="G1175" s="27" t="s">
        <v>3537</v>
      </c>
      <c r="H1175" s="27" t="s">
        <v>56</v>
      </c>
      <c r="I1175" s="27" t="s">
        <v>40</v>
      </c>
      <c r="J1175" s="28" t="s">
        <v>161</v>
      </c>
      <c r="K1175" s="27" t="s">
        <v>40</v>
      </c>
      <c r="L1175" s="27"/>
    </row>
    <row r="1176" customFormat="false" ht="15" hidden="false" customHeight="false" outlineLevel="0" collapsed="false">
      <c r="A1176" s="26" t="s">
        <v>4474</v>
      </c>
      <c r="B1176" s="27" t="s">
        <v>4475</v>
      </c>
      <c r="C1176" s="27" t="s">
        <v>144</v>
      </c>
      <c r="D1176" s="26" t="s">
        <v>4476</v>
      </c>
      <c r="E1176" s="27" t="s">
        <v>4477</v>
      </c>
      <c r="F1176" s="28" t="s">
        <v>146</v>
      </c>
      <c r="G1176" s="27" t="s">
        <v>3537</v>
      </c>
      <c r="H1176" s="27" t="s">
        <v>56</v>
      </c>
      <c r="I1176" s="27" t="s">
        <v>40</v>
      </c>
      <c r="J1176" s="28" t="s">
        <v>161</v>
      </c>
      <c r="K1176" s="27" t="s">
        <v>40</v>
      </c>
      <c r="L1176" s="27"/>
    </row>
    <row r="1177" customFormat="false" ht="15" hidden="false" customHeight="false" outlineLevel="0" collapsed="false">
      <c r="A1177" s="26" t="s">
        <v>4478</v>
      </c>
      <c r="B1177" s="27" t="s">
        <v>4479</v>
      </c>
      <c r="C1177" s="27" t="s">
        <v>144</v>
      </c>
      <c r="D1177" s="26" t="s">
        <v>4480</v>
      </c>
      <c r="E1177" s="27" t="s">
        <v>4481</v>
      </c>
      <c r="F1177" s="28" t="s">
        <v>146</v>
      </c>
      <c r="G1177" s="27" t="s">
        <v>3537</v>
      </c>
      <c r="H1177" s="27" t="s">
        <v>56</v>
      </c>
      <c r="I1177" s="27" t="s">
        <v>40</v>
      </c>
      <c r="J1177" s="28" t="s">
        <v>161</v>
      </c>
      <c r="K1177" s="27" t="s">
        <v>40</v>
      </c>
      <c r="L1177" s="27"/>
    </row>
    <row r="1178" customFormat="false" ht="15" hidden="false" customHeight="false" outlineLevel="0" collapsed="false">
      <c r="A1178" s="26" t="s">
        <v>4482</v>
      </c>
      <c r="B1178" s="27" t="s">
        <v>4483</v>
      </c>
      <c r="C1178" s="27" t="s">
        <v>144</v>
      </c>
      <c r="D1178" s="26" t="s">
        <v>4484</v>
      </c>
      <c r="E1178" s="27" t="s">
        <v>4485</v>
      </c>
      <c r="F1178" s="28" t="s">
        <v>146</v>
      </c>
      <c r="G1178" s="27" t="s">
        <v>3537</v>
      </c>
      <c r="H1178" s="27" t="s">
        <v>56</v>
      </c>
      <c r="I1178" s="27" t="s">
        <v>40</v>
      </c>
      <c r="J1178" s="28" t="s">
        <v>161</v>
      </c>
      <c r="K1178" s="27" t="s">
        <v>40</v>
      </c>
      <c r="L1178" s="27"/>
    </row>
    <row r="1179" customFormat="false" ht="15" hidden="false" customHeight="false" outlineLevel="0" collapsed="false">
      <c r="A1179" s="26" t="s">
        <v>4486</v>
      </c>
      <c r="B1179" s="27" t="s">
        <v>4487</v>
      </c>
      <c r="C1179" s="27" t="s">
        <v>144</v>
      </c>
      <c r="D1179" s="26" t="s">
        <v>4488</v>
      </c>
      <c r="E1179" s="27" t="s">
        <v>4489</v>
      </c>
      <c r="F1179" s="28" t="s">
        <v>146</v>
      </c>
      <c r="G1179" s="27" t="s">
        <v>3537</v>
      </c>
      <c r="H1179" s="27" t="s">
        <v>56</v>
      </c>
      <c r="I1179" s="27" t="s">
        <v>40</v>
      </c>
      <c r="J1179" s="28" t="s">
        <v>161</v>
      </c>
      <c r="K1179" s="27" t="s">
        <v>40</v>
      </c>
      <c r="L1179" s="27"/>
    </row>
    <row r="1180" customFormat="false" ht="15" hidden="false" customHeight="false" outlineLevel="0" collapsed="false">
      <c r="A1180" s="26" t="s">
        <v>4490</v>
      </c>
      <c r="B1180" s="27" t="s">
        <v>4491</v>
      </c>
      <c r="C1180" s="27" t="s">
        <v>144</v>
      </c>
      <c r="D1180" s="26" t="s">
        <v>4492</v>
      </c>
      <c r="E1180" s="27" t="s">
        <v>4493</v>
      </c>
      <c r="F1180" s="28" t="s">
        <v>146</v>
      </c>
      <c r="G1180" s="27" t="s">
        <v>3537</v>
      </c>
      <c r="H1180" s="27" t="s">
        <v>56</v>
      </c>
      <c r="I1180" s="27" t="s">
        <v>40</v>
      </c>
      <c r="J1180" s="28" t="s">
        <v>161</v>
      </c>
      <c r="K1180" s="27" t="s">
        <v>40</v>
      </c>
      <c r="L1180" s="27"/>
    </row>
    <row r="1181" customFormat="false" ht="15" hidden="false" customHeight="false" outlineLevel="0" collapsed="false">
      <c r="A1181" s="26" t="s">
        <v>4494</v>
      </c>
      <c r="B1181" s="27" t="s">
        <v>4495</v>
      </c>
      <c r="C1181" s="27" t="s">
        <v>144</v>
      </c>
      <c r="D1181" s="26" t="s">
        <v>4496</v>
      </c>
      <c r="E1181" s="27" t="s">
        <v>4497</v>
      </c>
      <c r="F1181" s="28" t="s">
        <v>146</v>
      </c>
      <c r="G1181" s="27" t="s">
        <v>3537</v>
      </c>
      <c r="H1181" s="27" t="s">
        <v>57</v>
      </c>
      <c r="I1181" s="27" t="s">
        <v>4159</v>
      </c>
      <c r="J1181" s="28" t="s">
        <v>161</v>
      </c>
      <c r="K1181" s="27" t="s">
        <v>40</v>
      </c>
      <c r="L1181" s="27"/>
    </row>
    <row r="1182" customFormat="false" ht="15" hidden="false" customHeight="false" outlineLevel="0" collapsed="false">
      <c r="A1182" s="26" t="s">
        <v>4498</v>
      </c>
      <c r="B1182" s="27" t="s">
        <v>4499</v>
      </c>
      <c r="C1182" s="27" t="s">
        <v>144</v>
      </c>
      <c r="D1182" s="26" t="s">
        <v>4500</v>
      </c>
      <c r="E1182" s="27" t="s">
        <v>4501</v>
      </c>
      <c r="F1182" s="28" t="s">
        <v>146</v>
      </c>
      <c r="G1182" s="27" t="s">
        <v>3537</v>
      </c>
      <c r="H1182" s="27" t="s">
        <v>57</v>
      </c>
      <c r="I1182" s="27" t="s">
        <v>38</v>
      </c>
      <c r="J1182" s="28" t="s">
        <v>161</v>
      </c>
      <c r="K1182" s="27" t="s">
        <v>40</v>
      </c>
      <c r="L1182" s="27"/>
    </row>
    <row r="1183" customFormat="false" ht="15" hidden="false" customHeight="false" outlineLevel="0" collapsed="false">
      <c r="A1183" s="26" t="s">
        <v>4502</v>
      </c>
      <c r="B1183" s="27" t="s">
        <v>4503</v>
      </c>
      <c r="C1183" s="27" t="s">
        <v>144</v>
      </c>
      <c r="D1183" s="26" t="s">
        <v>4504</v>
      </c>
      <c r="E1183" s="27" t="s">
        <v>4505</v>
      </c>
      <c r="F1183" s="28" t="s">
        <v>146</v>
      </c>
      <c r="G1183" s="27" t="s">
        <v>3537</v>
      </c>
      <c r="H1183" s="27" t="s">
        <v>56</v>
      </c>
      <c r="I1183" s="27" t="s">
        <v>40</v>
      </c>
      <c r="J1183" s="28" t="s">
        <v>161</v>
      </c>
      <c r="K1183" s="27" t="s">
        <v>40</v>
      </c>
      <c r="L1183" s="27"/>
    </row>
    <row r="1184" customFormat="false" ht="15" hidden="false" customHeight="false" outlineLevel="0" collapsed="false">
      <c r="A1184" s="26" t="s">
        <v>4506</v>
      </c>
      <c r="B1184" s="27" t="s">
        <v>4507</v>
      </c>
      <c r="C1184" s="27" t="s">
        <v>144</v>
      </c>
      <c r="D1184" s="26" t="s">
        <v>4508</v>
      </c>
      <c r="E1184" s="27" t="s">
        <v>4509</v>
      </c>
      <c r="F1184" s="28" t="s">
        <v>146</v>
      </c>
      <c r="G1184" s="27" t="s">
        <v>3537</v>
      </c>
      <c r="H1184" s="27" t="s">
        <v>56</v>
      </c>
      <c r="I1184" s="27" t="s">
        <v>40</v>
      </c>
      <c r="J1184" s="28" t="s">
        <v>161</v>
      </c>
      <c r="K1184" s="27" t="s">
        <v>40</v>
      </c>
      <c r="L1184" s="27"/>
    </row>
    <row r="1185" customFormat="false" ht="15" hidden="false" customHeight="false" outlineLevel="0" collapsed="false">
      <c r="A1185" s="26" t="s">
        <v>4510</v>
      </c>
      <c r="B1185" s="27" t="s">
        <v>4511</v>
      </c>
      <c r="C1185" s="27" t="s">
        <v>144</v>
      </c>
      <c r="D1185" s="26" t="s">
        <v>4496</v>
      </c>
      <c r="E1185" s="27" t="s">
        <v>4497</v>
      </c>
      <c r="F1185" s="28" t="s">
        <v>146</v>
      </c>
      <c r="G1185" s="27" t="s">
        <v>3537</v>
      </c>
      <c r="H1185" s="27" t="s">
        <v>57</v>
      </c>
      <c r="I1185" s="27" t="s">
        <v>4159</v>
      </c>
      <c r="J1185" s="28" t="s">
        <v>161</v>
      </c>
      <c r="K1185" s="27" t="s">
        <v>40</v>
      </c>
      <c r="L1185" s="27"/>
    </row>
    <row r="1186" customFormat="false" ht="15" hidden="false" customHeight="false" outlineLevel="0" collapsed="false">
      <c r="A1186" s="26" t="s">
        <v>4512</v>
      </c>
      <c r="B1186" s="27" t="s">
        <v>4513</v>
      </c>
      <c r="C1186" s="27" t="s">
        <v>144</v>
      </c>
      <c r="D1186" s="26" t="s">
        <v>4514</v>
      </c>
      <c r="E1186" s="27" t="s">
        <v>4515</v>
      </c>
      <c r="F1186" s="28" t="s">
        <v>146</v>
      </c>
      <c r="G1186" s="27" t="s">
        <v>3537</v>
      </c>
      <c r="H1186" s="27" t="s">
        <v>56</v>
      </c>
      <c r="I1186" s="27" t="s">
        <v>40</v>
      </c>
      <c r="J1186" s="28" t="s">
        <v>161</v>
      </c>
      <c r="K1186" s="27" t="s">
        <v>40</v>
      </c>
      <c r="L1186" s="27"/>
    </row>
    <row r="1187" customFormat="false" ht="15" hidden="false" customHeight="false" outlineLevel="0" collapsed="false">
      <c r="A1187" s="26" t="s">
        <v>4516</v>
      </c>
      <c r="B1187" s="27" t="s">
        <v>4517</v>
      </c>
      <c r="C1187" s="27" t="s">
        <v>144</v>
      </c>
      <c r="D1187" s="26" t="s">
        <v>4504</v>
      </c>
      <c r="E1187" s="27" t="s">
        <v>4505</v>
      </c>
      <c r="F1187" s="28" t="s">
        <v>146</v>
      </c>
      <c r="G1187" s="27" t="s">
        <v>3537</v>
      </c>
      <c r="H1187" s="27" t="s">
        <v>56</v>
      </c>
      <c r="I1187" s="27" t="s">
        <v>40</v>
      </c>
      <c r="J1187" s="28" t="s">
        <v>161</v>
      </c>
      <c r="K1187" s="27" t="s">
        <v>40</v>
      </c>
      <c r="L1187" s="27"/>
    </row>
    <row r="1188" customFormat="false" ht="15" hidden="false" customHeight="false" outlineLevel="0" collapsed="false">
      <c r="A1188" s="26" t="s">
        <v>4518</v>
      </c>
      <c r="B1188" s="27" t="s">
        <v>4519</v>
      </c>
      <c r="C1188" s="27" t="s">
        <v>144</v>
      </c>
      <c r="D1188" s="26" t="s">
        <v>4508</v>
      </c>
      <c r="E1188" s="27" t="s">
        <v>4509</v>
      </c>
      <c r="F1188" s="28" t="s">
        <v>146</v>
      </c>
      <c r="G1188" s="27" t="s">
        <v>3537</v>
      </c>
      <c r="H1188" s="27" t="s">
        <v>56</v>
      </c>
      <c r="I1188" s="27" t="s">
        <v>40</v>
      </c>
      <c r="J1188" s="28" t="s">
        <v>161</v>
      </c>
      <c r="K1188" s="27" t="s">
        <v>40</v>
      </c>
      <c r="L1188" s="27"/>
    </row>
    <row r="1189" customFormat="false" ht="15" hidden="false" customHeight="false" outlineLevel="0" collapsed="false">
      <c r="A1189" s="26" t="s">
        <v>4520</v>
      </c>
      <c r="B1189" s="27" t="s">
        <v>4521</v>
      </c>
      <c r="C1189" s="27" t="s">
        <v>144</v>
      </c>
      <c r="D1189" s="26" t="s">
        <v>4488</v>
      </c>
      <c r="E1189" s="27" t="s">
        <v>4489</v>
      </c>
      <c r="F1189" s="28" t="s">
        <v>146</v>
      </c>
      <c r="G1189" s="27" t="s">
        <v>3537</v>
      </c>
      <c r="H1189" s="27" t="s">
        <v>56</v>
      </c>
      <c r="I1189" s="27" t="s">
        <v>40</v>
      </c>
      <c r="J1189" s="28" t="s">
        <v>161</v>
      </c>
      <c r="K1189" s="27" t="s">
        <v>40</v>
      </c>
      <c r="L1189" s="27"/>
    </row>
    <row r="1190" customFormat="false" ht="15" hidden="false" customHeight="false" outlineLevel="0" collapsed="false">
      <c r="A1190" s="26" t="s">
        <v>4522</v>
      </c>
      <c r="B1190" s="27" t="s">
        <v>4523</v>
      </c>
      <c r="C1190" s="27" t="s">
        <v>144</v>
      </c>
      <c r="D1190" s="26" t="s">
        <v>4514</v>
      </c>
      <c r="E1190" s="27" t="s">
        <v>4515</v>
      </c>
      <c r="F1190" s="28" t="s">
        <v>146</v>
      </c>
      <c r="G1190" s="27" t="s">
        <v>3537</v>
      </c>
      <c r="H1190" s="27" t="s">
        <v>56</v>
      </c>
      <c r="I1190" s="27" t="s">
        <v>40</v>
      </c>
      <c r="J1190" s="28" t="s">
        <v>161</v>
      </c>
      <c r="K1190" s="27" t="s">
        <v>40</v>
      </c>
      <c r="L1190" s="27"/>
    </row>
    <row r="1191" customFormat="false" ht="15" hidden="false" customHeight="false" outlineLevel="0" collapsed="false">
      <c r="A1191" s="26" t="s">
        <v>4524</v>
      </c>
      <c r="B1191" s="27" t="s">
        <v>4525</v>
      </c>
      <c r="C1191" s="27" t="s">
        <v>1845</v>
      </c>
      <c r="D1191" s="26" t="s">
        <v>2308</v>
      </c>
      <c r="E1191" s="27" t="s">
        <v>2309</v>
      </c>
      <c r="F1191" s="28" t="s">
        <v>2232</v>
      </c>
      <c r="G1191" s="27" t="s">
        <v>3537</v>
      </c>
      <c r="H1191" s="27" t="s">
        <v>56</v>
      </c>
      <c r="I1191" s="27" t="s">
        <v>40</v>
      </c>
      <c r="J1191" s="28" t="s">
        <v>161</v>
      </c>
      <c r="K1191" s="27" t="s">
        <v>40</v>
      </c>
      <c r="L1191" s="27"/>
    </row>
    <row r="1192" customFormat="false" ht="15" hidden="false" customHeight="false" outlineLevel="0" collapsed="false">
      <c r="A1192" s="26" t="s">
        <v>4526</v>
      </c>
      <c r="B1192" s="27" t="s">
        <v>4527</v>
      </c>
      <c r="C1192" s="27" t="s">
        <v>1845</v>
      </c>
      <c r="D1192" s="26" t="s">
        <v>4528</v>
      </c>
      <c r="E1192" s="27" t="s">
        <v>4529</v>
      </c>
      <c r="F1192" s="28" t="s">
        <v>2232</v>
      </c>
      <c r="G1192" s="27" t="s">
        <v>3537</v>
      </c>
      <c r="H1192" s="27" t="s">
        <v>56</v>
      </c>
      <c r="I1192" s="27" t="s">
        <v>40</v>
      </c>
      <c r="J1192" s="28" t="s">
        <v>161</v>
      </c>
      <c r="K1192" s="27" t="s">
        <v>40</v>
      </c>
      <c r="L1192" s="27"/>
    </row>
    <row r="1193" customFormat="false" ht="15" hidden="false" customHeight="false" outlineLevel="0" collapsed="false">
      <c r="A1193" s="26" t="s">
        <v>4530</v>
      </c>
      <c r="B1193" s="27" t="s">
        <v>4531</v>
      </c>
      <c r="C1193" s="27" t="s">
        <v>144</v>
      </c>
      <c r="D1193" s="26" t="s">
        <v>4532</v>
      </c>
      <c r="E1193" s="27" t="s">
        <v>4533</v>
      </c>
      <c r="F1193" s="28" t="s">
        <v>146</v>
      </c>
      <c r="G1193" s="27" t="s">
        <v>3537</v>
      </c>
      <c r="H1193" s="27" t="s">
        <v>56</v>
      </c>
      <c r="I1193" s="27" t="s">
        <v>40</v>
      </c>
      <c r="J1193" s="28" t="s">
        <v>161</v>
      </c>
      <c r="K1193" s="27" t="s">
        <v>40</v>
      </c>
      <c r="L1193" s="27"/>
    </row>
    <row r="1194" customFormat="false" ht="15" hidden="false" customHeight="false" outlineLevel="0" collapsed="false">
      <c r="A1194" s="26" t="s">
        <v>4534</v>
      </c>
      <c r="B1194" s="27" t="s">
        <v>4535</v>
      </c>
      <c r="C1194" s="27" t="s">
        <v>1845</v>
      </c>
      <c r="D1194" s="26" t="s">
        <v>4536</v>
      </c>
      <c r="E1194" s="27" t="s">
        <v>4537</v>
      </c>
      <c r="F1194" s="28" t="s">
        <v>2232</v>
      </c>
      <c r="G1194" s="27" t="s">
        <v>3537</v>
      </c>
      <c r="H1194" s="27" t="s">
        <v>56</v>
      </c>
      <c r="I1194" s="27" t="s">
        <v>40</v>
      </c>
      <c r="J1194" s="28" t="s">
        <v>161</v>
      </c>
      <c r="K1194" s="27" t="s">
        <v>40</v>
      </c>
      <c r="L1194" s="27"/>
    </row>
    <row r="1195" customFormat="false" ht="15" hidden="false" customHeight="false" outlineLevel="0" collapsed="false">
      <c r="A1195" s="26" t="s">
        <v>4538</v>
      </c>
      <c r="B1195" s="27" t="s">
        <v>4539</v>
      </c>
      <c r="C1195" s="27" t="s">
        <v>144</v>
      </c>
      <c r="D1195" s="26" t="s">
        <v>4540</v>
      </c>
      <c r="E1195" s="27" t="s">
        <v>4541</v>
      </c>
      <c r="F1195" s="28" t="s">
        <v>146</v>
      </c>
      <c r="G1195" s="27" t="s">
        <v>3537</v>
      </c>
      <c r="H1195" s="27" t="s">
        <v>56</v>
      </c>
      <c r="I1195" s="27" t="s">
        <v>40</v>
      </c>
      <c r="J1195" s="28" t="s">
        <v>161</v>
      </c>
      <c r="K1195" s="27" t="s">
        <v>40</v>
      </c>
      <c r="L1195" s="27"/>
    </row>
    <row r="1196" customFormat="false" ht="15" hidden="false" customHeight="false" outlineLevel="0" collapsed="false">
      <c r="A1196" s="26" t="s">
        <v>4542</v>
      </c>
      <c r="B1196" s="27" t="s">
        <v>4543</v>
      </c>
      <c r="C1196" s="27" t="s">
        <v>144</v>
      </c>
      <c r="D1196" s="26" t="s">
        <v>362</v>
      </c>
      <c r="E1196" s="27" t="s">
        <v>363</v>
      </c>
      <c r="F1196" s="28" t="s">
        <v>146</v>
      </c>
      <c r="G1196" s="27" t="s">
        <v>3537</v>
      </c>
      <c r="H1196" s="27" t="s">
        <v>57</v>
      </c>
      <c r="I1196" s="27" t="s">
        <v>37</v>
      </c>
      <c r="J1196" s="28" t="s">
        <v>161</v>
      </c>
      <c r="K1196" s="27" t="s">
        <v>40</v>
      </c>
      <c r="L1196" s="27"/>
    </row>
    <row r="1197" customFormat="false" ht="15" hidden="false" customHeight="false" outlineLevel="0" collapsed="false">
      <c r="A1197" s="26" t="s">
        <v>4544</v>
      </c>
      <c r="B1197" s="27" t="s">
        <v>4545</v>
      </c>
      <c r="C1197" s="27" t="s">
        <v>144</v>
      </c>
      <c r="D1197" s="26" t="s">
        <v>362</v>
      </c>
      <c r="E1197" s="27" t="s">
        <v>363</v>
      </c>
      <c r="F1197" s="28" t="s">
        <v>146</v>
      </c>
      <c r="G1197" s="27" t="s">
        <v>3537</v>
      </c>
      <c r="H1197" s="27" t="s">
        <v>57</v>
      </c>
      <c r="I1197" s="27" t="s">
        <v>37</v>
      </c>
      <c r="J1197" s="28" t="s">
        <v>161</v>
      </c>
      <c r="K1197" s="27" t="s">
        <v>40</v>
      </c>
      <c r="L1197" s="27"/>
    </row>
    <row r="1198" customFormat="false" ht="15" hidden="false" customHeight="false" outlineLevel="0" collapsed="false">
      <c r="A1198" s="26" t="s">
        <v>4546</v>
      </c>
      <c r="B1198" s="27" t="s">
        <v>4547</v>
      </c>
      <c r="C1198" s="27" t="s">
        <v>144</v>
      </c>
      <c r="D1198" s="26" t="s">
        <v>4548</v>
      </c>
      <c r="E1198" s="27" t="s">
        <v>4549</v>
      </c>
      <c r="F1198" s="28" t="s">
        <v>146</v>
      </c>
      <c r="G1198" s="27" t="s">
        <v>3537</v>
      </c>
      <c r="H1198" s="27" t="s">
        <v>57</v>
      </c>
      <c r="I1198" s="27" t="s">
        <v>37</v>
      </c>
      <c r="J1198" s="28" t="s">
        <v>161</v>
      </c>
      <c r="K1198" s="27" t="s">
        <v>40</v>
      </c>
      <c r="L1198" s="27"/>
    </row>
    <row r="1199" customFormat="false" ht="15" hidden="false" customHeight="false" outlineLevel="0" collapsed="false">
      <c r="A1199" s="26" t="s">
        <v>4550</v>
      </c>
      <c r="B1199" s="27" t="s">
        <v>4551</v>
      </c>
      <c r="C1199" s="27" t="s">
        <v>144</v>
      </c>
      <c r="D1199" s="26" t="s">
        <v>4552</v>
      </c>
      <c r="E1199" s="27" t="s">
        <v>4553</v>
      </c>
      <c r="F1199" s="28" t="s">
        <v>146</v>
      </c>
      <c r="G1199" s="27" t="s">
        <v>3537</v>
      </c>
      <c r="H1199" s="27" t="s">
        <v>57</v>
      </c>
      <c r="I1199" s="27" t="s">
        <v>48</v>
      </c>
      <c r="J1199" s="28" t="s">
        <v>161</v>
      </c>
      <c r="K1199" s="27" t="s">
        <v>40</v>
      </c>
      <c r="L1199" s="27"/>
    </row>
    <row r="1200" customFormat="false" ht="15" hidden="false" customHeight="false" outlineLevel="0" collapsed="false">
      <c r="A1200" s="26" t="s">
        <v>4554</v>
      </c>
      <c r="B1200" s="27" t="s">
        <v>4555</v>
      </c>
      <c r="C1200" s="27" t="s">
        <v>144</v>
      </c>
      <c r="D1200" s="26" t="s">
        <v>4556</v>
      </c>
      <c r="E1200" s="27" t="s">
        <v>4557</v>
      </c>
      <c r="F1200" s="28" t="s">
        <v>146</v>
      </c>
      <c r="G1200" s="27" t="s">
        <v>3537</v>
      </c>
      <c r="H1200" s="27" t="s">
        <v>56</v>
      </c>
      <c r="I1200" s="27" t="s">
        <v>40</v>
      </c>
      <c r="J1200" s="28" t="s">
        <v>161</v>
      </c>
      <c r="K1200" s="27" t="s">
        <v>40</v>
      </c>
      <c r="L1200" s="27"/>
    </row>
    <row r="1201" customFormat="false" ht="15" hidden="false" customHeight="false" outlineLevel="0" collapsed="false">
      <c r="A1201" s="26" t="s">
        <v>4558</v>
      </c>
      <c r="B1201" s="27" t="s">
        <v>4559</v>
      </c>
      <c r="C1201" s="27" t="s">
        <v>144</v>
      </c>
      <c r="D1201" s="26" t="s">
        <v>4560</v>
      </c>
      <c r="E1201" s="27" t="s">
        <v>4561</v>
      </c>
      <c r="F1201" s="28" t="s">
        <v>146</v>
      </c>
      <c r="G1201" s="27" t="s">
        <v>3537</v>
      </c>
      <c r="H1201" s="27" t="s">
        <v>57</v>
      </c>
      <c r="I1201" s="28" t="s">
        <v>46</v>
      </c>
      <c r="J1201" s="28" t="s">
        <v>161</v>
      </c>
      <c r="K1201" s="27" t="s">
        <v>40</v>
      </c>
      <c r="L1201" s="27"/>
    </row>
    <row r="1202" customFormat="false" ht="15" hidden="false" customHeight="false" outlineLevel="0" collapsed="false">
      <c r="A1202" s="26" t="s">
        <v>4562</v>
      </c>
      <c r="B1202" s="27" t="s">
        <v>4563</v>
      </c>
      <c r="C1202" s="27" t="s">
        <v>144</v>
      </c>
      <c r="D1202" s="26" t="s">
        <v>4564</v>
      </c>
      <c r="E1202" s="27" t="s">
        <v>4565</v>
      </c>
      <c r="F1202" s="28" t="s">
        <v>146</v>
      </c>
      <c r="G1202" s="27" t="s">
        <v>3537</v>
      </c>
      <c r="H1202" s="27" t="s">
        <v>57</v>
      </c>
      <c r="I1202" s="27" t="s">
        <v>42</v>
      </c>
      <c r="J1202" s="28" t="s">
        <v>161</v>
      </c>
      <c r="K1202" s="27" t="s">
        <v>40</v>
      </c>
      <c r="L1202" s="27"/>
    </row>
    <row r="1203" customFormat="false" ht="15" hidden="false" customHeight="false" outlineLevel="0" collapsed="false">
      <c r="A1203" s="26" t="s">
        <v>4566</v>
      </c>
      <c r="B1203" s="27" t="s">
        <v>4567</v>
      </c>
      <c r="C1203" s="27" t="s">
        <v>144</v>
      </c>
      <c r="D1203" s="26" t="s">
        <v>4568</v>
      </c>
      <c r="E1203" s="27" t="s">
        <v>4569</v>
      </c>
      <c r="F1203" s="28" t="s">
        <v>146</v>
      </c>
      <c r="G1203" s="27" t="s">
        <v>3537</v>
      </c>
      <c r="H1203" s="27" t="s">
        <v>57</v>
      </c>
      <c r="I1203" s="28" t="s">
        <v>46</v>
      </c>
      <c r="J1203" s="28" t="s">
        <v>161</v>
      </c>
      <c r="K1203" s="27" t="s">
        <v>40</v>
      </c>
      <c r="L1203" s="27"/>
    </row>
    <row r="1204" customFormat="false" ht="15" hidden="false" customHeight="false" outlineLevel="0" collapsed="false">
      <c r="A1204" s="26" t="s">
        <v>4570</v>
      </c>
      <c r="B1204" s="27" t="s">
        <v>4571</v>
      </c>
      <c r="C1204" s="27" t="s">
        <v>144</v>
      </c>
      <c r="D1204" s="26" t="s">
        <v>4572</v>
      </c>
      <c r="E1204" s="27" t="s">
        <v>4573</v>
      </c>
      <c r="F1204" s="28" t="s">
        <v>146</v>
      </c>
      <c r="G1204" s="27" t="s">
        <v>3537</v>
      </c>
      <c r="H1204" s="27" t="s">
        <v>56</v>
      </c>
      <c r="I1204" s="27" t="s">
        <v>40</v>
      </c>
      <c r="J1204" s="28" t="s">
        <v>161</v>
      </c>
      <c r="K1204" s="27" t="s">
        <v>40</v>
      </c>
      <c r="L1204" s="27"/>
    </row>
    <row r="1205" customFormat="false" ht="15" hidden="false" customHeight="false" outlineLevel="0" collapsed="false">
      <c r="A1205" s="26" t="s">
        <v>4574</v>
      </c>
      <c r="B1205" s="27" t="s">
        <v>4575</v>
      </c>
      <c r="C1205" s="27" t="s">
        <v>144</v>
      </c>
      <c r="D1205" s="26" t="s">
        <v>4576</v>
      </c>
      <c r="E1205" s="27" t="s">
        <v>4577</v>
      </c>
      <c r="F1205" s="28" t="s">
        <v>146</v>
      </c>
      <c r="G1205" s="27" t="s">
        <v>3537</v>
      </c>
      <c r="H1205" s="27" t="s">
        <v>56</v>
      </c>
      <c r="I1205" s="27" t="s">
        <v>40</v>
      </c>
      <c r="J1205" s="28" t="s">
        <v>161</v>
      </c>
      <c r="K1205" s="27" t="s">
        <v>40</v>
      </c>
      <c r="L1205" s="27"/>
    </row>
    <row r="1206" customFormat="false" ht="15" hidden="false" customHeight="false" outlineLevel="0" collapsed="false">
      <c r="A1206" s="26" t="s">
        <v>4578</v>
      </c>
      <c r="B1206" s="27" t="s">
        <v>4579</v>
      </c>
      <c r="C1206" s="27" t="s">
        <v>144</v>
      </c>
      <c r="D1206" s="26" t="s">
        <v>4572</v>
      </c>
      <c r="E1206" s="27" t="s">
        <v>4573</v>
      </c>
      <c r="F1206" s="28" t="s">
        <v>146</v>
      </c>
      <c r="G1206" s="27" t="s">
        <v>3537</v>
      </c>
      <c r="H1206" s="27" t="s">
        <v>56</v>
      </c>
      <c r="I1206" s="27" t="s">
        <v>40</v>
      </c>
      <c r="J1206" s="28" t="s">
        <v>161</v>
      </c>
      <c r="K1206" s="27" t="s">
        <v>40</v>
      </c>
      <c r="L1206" s="27"/>
    </row>
    <row r="1207" customFormat="false" ht="15" hidden="false" customHeight="false" outlineLevel="0" collapsed="false">
      <c r="A1207" s="26" t="s">
        <v>4580</v>
      </c>
      <c r="B1207" s="27" t="s">
        <v>4581</v>
      </c>
      <c r="C1207" s="27" t="s">
        <v>144</v>
      </c>
      <c r="D1207" s="26" t="s">
        <v>4582</v>
      </c>
      <c r="E1207" s="27" t="s">
        <v>4583</v>
      </c>
      <c r="F1207" s="28" t="s">
        <v>146</v>
      </c>
      <c r="G1207" s="27" t="s">
        <v>3537</v>
      </c>
      <c r="H1207" s="27" t="s">
        <v>57</v>
      </c>
      <c r="I1207" s="27" t="s">
        <v>41</v>
      </c>
      <c r="J1207" s="28" t="s">
        <v>161</v>
      </c>
      <c r="K1207" s="27" t="s">
        <v>40</v>
      </c>
      <c r="L1207" s="27"/>
    </row>
    <row r="1208" customFormat="false" ht="15" hidden="false" customHeight="false" outlineLevel="0" collapsed="false">
      <c r="A1208" s="26" t="s">
        <v>4584</v>
      </c>
      <c r="B1208" s="27" t="s">
        <v>4585</v>
      </c>
      <c r="C1208" s="27" t="s">
        <v>144</v>
      </c>
      <c r="D1208" s="26" t="s">
        <v>4586</v>
      </c>
      <c r="E1208" s="27" t="s">
        <v>4587</v>
      </c>
      <c r="F1208" s="28" t="s">
        <v>146</v>
      </c>
      <c r="G1208" s="27" t="s">
        <v>3537</v>
      </c>
      <c r="H1208" s="27" t="s">
        <v>56</v>
      </c>
      <c r="I1208" s="27" t="s">
        <v>40</v>
      </c>
      <c r="J1208" s="28" t="s">
        <v>161</v>
      </c>
      <c r="K1208" s="27" t="s">
        <v>40</v>
      </c>
      <c r="L1208" s="27"/>
    </row>
    <row r="1209" customFormat="false" ht="15" hidden="false" customHeight="false" outlineLevel="0" collapsed="false">
      <c r="A1209" s="26" t="s">
        <v>4588</v>
      </c>
      <c r="B1209" s="27" t="s">
        <v>4589</v>
      </c>
      <c r="C1209" s="27" t="s">
        <v>144</v>
      </c>
      <c r="D1209" s="26" t="s">
        <v>4590</v>
      </c>
      <c r="E1209" s="27" t="s">
        <v>4591</v>
      </c>
      <c r="F1209" s="28" t="s">
        <v>146</v>
      </c>
      <c r="G1209" s="27" t="s">
        <v>3537</v>
      </c>
      <c r="H1209" s="27" t="s">
        <v>56</v>
      </c>
      <c r="I1209" s="27" t="s">
        <v>40</v>
      </c>
      <c r="J1209" s="28" t="s">
        <v>161</v>
      </c>
      <c r="K1209" s="27" t="s">
        <v>40</v>
      </c>
      <c r="L1209" s="27"/>
    </row>
    <row r="1210" customFormat="false" ht="15" hidden="false" customHeight="false" outlineLevel="0" collapsed="false">
      <c r="A1210" s="26" t="s">
        <v>4592</v>
      </c>
      <c r="B1210" s="27" t="s">
        <v>4593</v>
      </c>
      <c r="C1210" s="27" t="s">
        <v>370</v>
      </c>
      <c r="D1210" s="26" t="s">
        <v>4594</v>
      </c>
      <c r="E1210" s="27" t="s">
        <v>4595</v>
      </c>
      <c r="F1210" s="28" t="s">
        <v>373</v>
      </c>
      <c r="G1210" s="27" t="s">
        <v>3537</v>
      </c>
      <c r="H1210" s="27" t="s">
        <v>57</v>
      </c>
      <c r="I1210" s="27" t="s">
        <v>41</v>
      </c>
      <c r="J1210" s="28" t="s">
        <v>161</v>
      </c>
      <c r="K1210" s="27" t="s">
        <v>40</v>
      </c>
      <c r="L1210" s="27"/>
    </row>
    <row r="1211" customFormat="false" ht="15" hidden="false" customHeight="false" outlineLevel="0" collapsed="false">
      <c r="A1211" s="26" t="s">
        <v>4596</v>
      </c>
      <c r="B1211" s="27" t="s">
        <v>4597</v>
      </c>
      <c r="C1211" s="27" t="s">
        <v>370</v>
      </c>
      <c r="D1211" s="26" t="s">
        <v>2150</v>
      </c>
      <c r="E1211" s="27" t="s">
        <v>2151</v>
      </c>
      <c r="F1211" s="28" t="s">
        <v>373</v>
      </c>
      <c r="G1211" s="27" t="s">
        <v>3537</v>
      </c>
      <c r="H1211" s="27" t="s">
        <v>56</v>
      </c>
      <c r="I1211" s="27" t="s">
        <v>40</v>
      </c>
      <c r="J1211" s="28" t="s">
        <v>161</v>
      </c>
      <c r="K1211" s="27" t="s">
        <v>40</v>
      </c>
      <c r="L1211" s="27"/>
    </row>
    <row r="1212" customFormat="false" ht="15" hidden="false" customHeight="false" outlineLevel="0" collapsed="false">
      <c r="A1212" s="26" t="s">
        <v>4598</v>
      </c>
      <c r="B1212" s="27" t="s">
        <v>4599</v>
      </c>
      <c r="C1212" s="27" t="s">
        <v>370</v>
      </c>
      <c r="D1212" s="26" t="s">
        <v>1811</v>
      </c>
      <c r="E1212" s="27" t="s">
        <v>1812</v>
      </c>
      <c r="F1212" s="28" t="s">
        <v>373</v>
      </c>
      <c r="G1212" s="27" t="s">
        <v>3537</v>
      </c>
      <c r="H1212" s="27" t="s">
        <v>57</v>
      </c>
      <c r="I1212" s="27" t="s">
        <v>37</v>
      </c>
      <c r="J1212" s="28" t="s">
        <v>161</v>
      </c>
      <c r="K1212" s="27" t="s">
        <v>40</v>
      </c>
      <c r="L1212" s="27"/>
    </row>
    <row r="1213" customFormat="false" ht="15" hidden="false" customHeight="false" outlineLevel="0" collapsed="false">
      <c r="A1213" s="26" t="s">
        <v>4600</v>
      </c>
      <c r="B1213" s="27" t="s">
        <v>4601</v>
      </c>
      <c r="C1213" s="27" t="s">
        <v>370</v>
      </c>
      <c r="D1213" s="26" t="s">
        <v>2188</v>
      </c>
      <c r="E1213" s="27" t="s">
        <v>2189</v>
      </c>
      <c r="F1213" s="28" t="s">
        <v>373</v>
      </c>
      <c r="G1213" s="27" t="s">
        <v>3537</v>
      </c>
      <c r="H1213" s="27" t="s">
        <v>56</v>
      </c>
      <c r="I1213" s="27" t="s">
        <v>40</v>
      </c>
      <c r="J1213" s="28" t="s">
        <v>161</v>
      </c>
      <c r="K1213" s="27" t="s">
        <v>40</v>
      </c>
      <c r="L1213" s="27"/>
    </row>
    <row r="1214" customFormat="false" ht="15" hidden="false" customHeight="false" outlineLevel="0" collapsed="false">
      <c r="A1214" s="26" t="s">
        <v>4602</v>
      </c>
      <c r="B1214" s="27" t="s">
        <v>4603</v>
      </c>
      <c r="C1214" s="27" t="s">
        <v>370</v>
      </c>
      <c r="D1214" s="26" t="s">
        <v>4604</v>
      </c>
      <c r="E1214" s="27" t="s">
        <v>4605</v>
      </c>
      <c r="F1214" s="28" t="s">
        <v>373</v>
      </c>
      <c r="G1214" s="27" t="s">
        <v>3537</v>
      </c>
      <c r="H1214" s="27" t="s">
        <v>57</v>
      </c>
      <c r="I1214" s="27" t="s">
        <v>37</v>
      </c>
      <c r="J1214" s="28" t="s">
        <v>161</v>
      </c>
      <c r="K1214" s="27" t="s">
        <v>40</v>
      </c>
      <c r="L1214" s="27"/>
    </row>
    <row r="1215" customFormat="false" ht="15" hidden="false" customHeight="false" outlineLevel="0" collapsed="false">
      <c r="A1215" s="26" t="s">
        <v>4606</v>
      </c>
      <c r="B1215" s="27" t="s">
        <v>4607</v>
      </c>
      <c r="C1215" s="27" t="s">
        <v>370</v>
      </c>
      <c r="D1215" s="26" t="s">
        <v>371</v>
      </c>
      <c r="E1215" s="27" t="s">
        <v>372</v>
      </c>
      <c r="F1215" s="28" t="s">
        <v>373</v>
      </c>
      <c r="G1215" s="27" t="s">
        <v>3537</v>
      </c>
      <c r="H1215" s="27" t="s">
        <v>56</v>
      </c>
      <c r="I1215" s="27" t="s">
        <v>40</v>
      </c>
      <c r="J1215" s="28" t="s">
        <v>161</v>
      </c>
      <c r="K1215" s="27" t="s">
        <v>40</v>
      </c>
      <c r="L1215" s="27"/>
    </row>
    <row r="1216" customFormat="false" ht="15" hidden="false" customHeight="false" outlineLevel="0" collapsed="false">
      <c r="A1216" s="26" t="s">
        <v>4608</v>
      </c>
      <c r="B1216" s="27" t="s">
        <v>4609</v>
      </c>
      <c r="C1216" s="27" t="s">
        <v>370</v>
      </c>
      <c r="D1216" s="26" t="s">
        <v>4610</v>
      </c>
      <c r="E1216" s="27" t="s">
        <v>4611</v>
      </c>
      <c r="F1216" s="28" t="s">
        <v>373</v>
      </c>
      <c r="G1216" s="27" t="s">
        <v>3537</v>
      </c>
      <c r="H1216" s="27" t="s">
        <v>56</v>
      </c>
      <c r="I1216" s="27" t="s">
        <v>40</v>
      </c>
      <c r="J1216" s="28" t="s">
        <v>161</v>
      </c>
      <c r="K1216" s="27" t="s">
        <v>40</v>
      </c>
      <c r="L1216" s="27"/>
    </row>
    <row r="1217" customFormat="false" ht="15" hidden="false" customHeight="false" outlineLevel="0" collapsed="false">
      <c r="A1217" s="26" t="s">
        <v>4612</v>
      </c>
      <c r="B1217" s="27" t="s">
        <v>4613</v>
      </c>
      <c r="C1217" s="27" t="s">
        <v>370</v>
      </c>
      <c r="D1217" s="26" t="s">
        <v>4614</v>
      </c>
      <c r="E1217" s="27" t="s">
        <v>4615</v>
      </c>
      <c r="F1217" s="28" t="s">
        <v>373</v>
      </c>
      <c r="G1217" s="27" t="s">
        <v>3537</v>
      </c>
      <c r="H1217" s="27" t="s">
        <v>56</v>
      </c>
      <c r="I1217" s="27" t="s">
        <v>40</v>
      </c>
      <c r="J1217" s="28" t="s">
        <v>161</v>
      </c>
      <c r="K1217" s="27" t="s">
        <v>40</v>
      </c>
      <c r="L1217" s="27"/>
    </row>
    <row r="1218" customFormat="false" ht="15" hidden="false" customHeight="false" outlineLevel="0" collapsed="false">
      <c r="A1218" s="26" t="s">
        <v>4616</v>
      </c>
      <c r="B1218" s="27" t="s">
        <v>4617</v>
      </c>
      <c r="C1218" s="27" t="s">
        <v>144</v>
      </c>
      <c r="D1218" s="26" t="s">
        <v>4618</v>
      </c>
      <c r="E1218" s="28" t="s">
        <v>4619</v>
      </c>
      <c r="F1218" s="28" t="s">
        <v>146</v>
      </c>
      <c r="G1218" s="27" t="s">
        <v>3537</v>
      </c>
      <c r="H1218" s="27" t="s">
        <v>57</v>
      </c>
      <c r="I1218" s="27" t="s">
        <v>37</v>
      </c>
      <c r="J1218" s="28" t="s">
        <v>161</v>
      </c>
      <c r="K1218" s="27" t="s">
        <v>40</v>
      </c>
      <c r="L1218" s="27"/>
    </row>
    <row r="1219" customFormat="false" ht="15" hidden="false" customHeight="false" outlineLevel="0" collapsed="false">
      <c r="A1219" s="26" t="s">
        <v>4620</v>
      </c>
      <c r="B1219" s="27" t="s">
        <v>4621</v>
      </c>
      <c r="C1219" s="27" t="s">
        <v>370</v>
      </c>
      <c r="D1219" s="26" t="s">
        <v>2138</v>
      </c>
      <c r="E1219" s="27" t="s">
        <v>2139</v>
      </c>
      <c r="F1219" s="28" t="s">
        <v>373</v>
      </c>
      <c r="G1219" s="27" t="s">
        <v>3537</v>
      </c>
      <c r="H1219" s="27" t="s">
        <v>56</v>
      </c>
      <c r="I1219" s="27" t="s">
        <v>40</v>
      </c>
      <c r="J1219" s="28" t="s">
        <v>161</v>
      </c>
      <c r="K1219" s="27" t="s">
        <v>40</v>
      </c>
      <c r="L1219" s="27"/>
    </row>
    <row r="1220" customFormat="false" ht="15" hidden="false" customHeight="false" outlineLevel="0" collapsed="false">
      <c r="A1220" s="26" t="s">
        <v>4622</v>
      </c>
      <c r="B1220" s="27" t="s">
        <v>4623</v>
      </c>
      <c r="C1220" s="27" t="s">
        <v>370</v>
      </c>
      <c r="D1220" s="26" t="s">
        <v>4624</v>
      </c>
      <c r="E1220" s="27" t="s">
        <v>4625</v>
      </c>
      <c r="F1220" s="28" t="s">
        <v>373</v>
      </c>
      <c r="G1220" s="27" t="s">
        <v>3537</v>
      </c>
      <c r="H1220" s="27" t="s">
        <v>56</v>
      </c>
      <c r="I1220" s="27" t="s">
        <v>40</v>
      </c>
      <c r="J1220" s="28" t="s">
        <v>161</v>
      </c>
      <c r="K1220" s="27" t="s">
        <v>40</v>
      </c>
      <c r="L1220" s="27"/>
    </row>
    <row r="1221" customFormat="false" ht="15" hidden="false" customHeight="false" outlineLevel="0" collapsed="false">
      <c r="A1221" s="26" t="s">
        <v>4626</v>
      </c>
      <c r="B1221" s="27" t="s">
        <v>4627</v>
      </c>
      <c r="C1221" s="27" t="s">
        <v>370</v>
      </c>
      <c r="D1221" s="26" t="s">
        <v>4628</v>
      </c>
      <c r="E1221" s="27" t="s">
        <v>4629</v>
      </c>
      <c r="F1221" s="28" t="s">
        <v>373</v>
      </c>
      <c r="G1221" s="27" t="s">
        <v>3537</v>
      </c>
      <c r="H1221" s="27" t="s">
        <v>56</v>
      </c>
      <c r="I1221" s="27" t="s">
        <v>40</v>
      </c>
      <c r="J1221" s="28" t="s">
        <v>161</v>
      </c>
      <c r="K1221" s="27" t="s">
        <v>40</v>
      </c>
      <c r="L1221" s="27"/>
    </row>
    <row r="1222" customFormat="false" ht="15" hidden="false" customHeight="false" outlineLevel="0" collapsed="false">
      <c r="A1222" s="26" t="s">
        <v>4630</v>
      </c>
      <c r="B1222" s="27" t="s">
        <v>4631</v>
      </c>
      <c r="C1222" s="27" t="s">
        <v>370</v>
      </c>
      <c r="D1222" s="26" t="s">
        <v>2188</v>
      </c>
      <c r="E1222" s="27" t="s">
        <v>2189</v>
      </c>
      <c r="F1222" s="28" t="s">
        <v>373</v>
      </c>
      <c r="G1222" s="27" t="s">
        <v>3537</v>
      </c>
      <c r="H1222" s="27" t="s">
        <v>56</v>
      </c>
      <c r="I1222" s="27" t="s">
        <v>40</v>
      </c>
      <c r="J1222" s="28" t="s">
        <v>161</v>
      </c>
      <c r="K1222" s="27" t="s">
        <v>40</v>
      </c>
      <c r="L1222" s="27"/>
    </row>
    <row r="1223" customFormat="false" ht="15" hidden="false" customHeight="false" outlineLevel="0" collapsed="false">
      <c r="A1223" s="26" t="s">
        <v>4632</v>
      </c>
      <c r="B1223" s="27" t="s">
        <v>4633</v>
      </c>
      <c r="C1223" s="27" t="s">
        <v>144</v>
      </c>
      <c r="D1223" s="26" t="s">
        <v>4634</v>
      </c>
      <c r="E1223" s="27" t="s">
        <v>4635</v>
      </c>
      <c r="F1223" s="28" t="s">
        <v>146</v>
      </c>
      <c r="G1223" s="27" t="s">
        <v>3537</v>
      </c>
      <c r="H1223" s="27" t="s">
        <v>57</v>
      </c>
      <c r="I1223" s="27" t="s">
        <v>49</v>
      </c>
      <c r="J1223" s="28" t="s">
        <v>161</v>
      </c>
      <c r="K1223" s="27" t="s">
        <v>40</v>
      </c>
      <c r="L1223" s="27"/>
    </row>
    <row r="1224" customFormat="false" ht="15" hidden="false" customHeight="false" outlineLevel="0" collapsed="false">
      <c r="A1224" s="26" t="s">
        <v>4636</v>
      </c>
      <c r="B1224" s="27" t="s">
        <v>4637</v>
      </c>
      <c r="C1224" s="27" t="s">
        <v>2041</v>
      </c>
      <c r="D1224" s="26" t="s">
        <v>4638</v>
      </c>
      <c r="E1224" s="27" t="s">
        <v>4639</v>
      </c>
      <c r="F1224" s="28" t="s">
        <v>1823</v>
      </c>
      <c r="G1224" s="27" t="s">
        <v>3537</v>
      </c>
      <c r="H1224" s="27" t="s">
        <v>57</v>
      </c>
      <c r="I1224" s="27" t="s">
        <v>41</v>
      </c>
      <c r="J1224" s="28" t="s">
        <v>161</v>
      </c>
      <c r="K1224" s="27" t="s">
        <v>40</v>
      </c>
      <c r="L1224" s="27"/>
    </row>
    <row r="1225" customFormat="false" ht="15" hidden="false" customHeight="false" outlineLevel="0" collapsed="false">
      <c r="A1225" s="26" t="s">
        <v>4640</v>
      </c>
      <c r="B1225" s="27" t="s">
        <v>4641</v>
      </c>
      <c r="C1225" s="27" t="s">
        <v>137</v>
      </c>
      <c r="D1225" s="26" t="s">
        <v>4642</v>
      </c>
      <c r="E1225" s="27" t="s">
        <v>4643</v>
      </c>
      <c r="F1225" s="28" t="s">
        <v>140</v>
      </c>
      <c r="G1225" s="27" t="s">
        <v>3537</v>
      </c>
      <c r="H1225" s="27" t="s">
        <v>57</v>
      </c>
      <c r="I1225" s="27" t="s">
        <v>39</v>
      </c>
      <c r="J1225" s="28" t="s">
        <v>161</v>
      </c>
      <c r="K1225" s="27" t="s">
        <v>40</v>
      </c>
      <c r="L1225" s="27"/>
    </row>
    <row r="1226" customFormat="false" ht="15" hidden="false" customHeight="false" outlineLevel="0" collapsed="false">
      <c r="A1226" s="26" t="s">
        <v>4644</v>
      </c>
      <c r="B1226" s="27" t="s">
        <v>4645</v>
      </c>
      <c r="C1226" s="27" t="s">
        <v>144</v>
      </c>
      <c r="D1226" s="26" t="s">
        <v>4646</v>
      </c>
      <c r="E1226" s="27" t="s">
        <v>4647</v>
      </c>
      <c r="F1226" s="28" t="s">
        <v>146</v>
      </c>
      <c r="G1226" s="27" t="s">
        <v>3537</v>
      </c>
      <c r="H1226" s="27" t="s">
        <v>56</v>
      </c>
      <c r="I1226" s="27" t="s">
        <v>40</v>
      </c>
      <c r="J1226" s="28" t="s">
        <v>161</v>
      </c>
      <c r="K1226" s="27" t="s">
        <v>40</v>
      </c>
      <c r="L1226" s="27"/>
    </row>
    <row r="1227" customFormat="false" ht="15" hidden="false" customHeight="false" outlineLevel="0" collapsed="false">
      <c r="A1227" s="26" t="s">
        <v>4648</v>
      </c>
      <c r="B1227" s="27" t="s">
        <v>4649</v>
      </c>
      <c r="C1227" s="27" t="s">
        <v>144</v>
      </c>
      <c r="D1227" s="26" t="s">
        <v>4650</v>
      </c>
      <c r="E1227" s="27" t="s">
        <v>4651</v>
      </c>
      <c r="F1227" s="28" t="s">
        <v>146</v>
      </c>
      <c r="G1227" s="27" t="s">
        <v>3537</v>
      </c>
      <c r="H1227" s="27" t="s">
        <v>56</v>
      </c>
      <c r="I1227" s="27" t="s">
        <v>40</v>
      </c>
      <c r="J1227" s="28" t="s">
        <v>161</v>
      </c>
      <c r="K1227" s="27" t="s">
        <v>40</v>
      </c>
      <c r="L1227" s="27"/>
    </row>
    <row r="1228" customFormat="false" ht="15" hidden="false" customHeight="false" outlineLevel="0" collapsed="false">
      <c r="A1228" s="26" t="s">
        <v>4652</v>
      </c>
      <c r="B1228" s="27" t="s">
        <v>4653</v>
      </c>
      <c r="C1228" s="27" t="s">
        <v>144</v>
      </c>
      <c r="D1228" s="26" t="s">
        <v>4654</v>
      </c>
      <c r="E1228" s="27" t="s">
        <v>4655</v>
      </c>
      <c r="F1228" s="28" t="s">
        <v>146</v>
      </c>
      <c r="G1228" s="27" t="s">
        <v>3537</v>
      </c>
      <c r="H1228" s="27" t="s">
        <v>56</v>
      </c>
      <c r="I1228" s="27" t="s">
        <v>40</v>
      </c>
      <c r="J1228" s="28" t="s">
        <v>161</v>
      </c>
      <c r="K1228" s="27" t="s">
        <v>40</v>
      </c>
      <c r="L1228" s="27"/>
    </row>
    <row r="1229" customFormat="false" ht="15" hidden="false" customHeight="false" outlineLevel="0" collapsed="false">
      <c r="A1229" s="26" t="s">
        <v>4656</v>
      </c>
      <c r="B1229" s="27" t="s">
        <v>4657</v>
      </c>
      <c r="C1229" s="27" t="s">
        <v>144</v>
      </c>
      <c r="D1229" s="26" t="s">
        <v>4658</v>
      </c>
      <c r="E1229" s="27" t="s">
        <v>4659</v>
      </c>
      <c r="F1229" s="28" t="s">
        <v>146</v>
      </c>
      <c r="G1229" s="27" t="s">
        <v>3537</v>
      </c>
      <c r="H1229" s="27" t="s">
        <v>56</v>
      </c>
      <c r="I1229" s="27" t="s">
        <v>40</v>
      </c>
      <c r="J1229" s="28" t="s">
        <v>161</v>
      </c>
      <c r="K1229" s="27" t="s">
        <v>40</v>
      </c>
      <c r="L1229" s="27"/>
    </row>
    <row r="1230" customFormat="false" ht="15" hidden="false" customHeight="false" outlineLevel="0" collapsed="false">
      <c r="A1230" s="26" t="s">
        <v>4660</v>
      </c>
      <c r="B1230" s="27" t="s">
        <v>4661</v>
      </c>
      <c r="C1230" s="27" t="s">
        <v>144</v>
      </c>
      <c r="D1230" s="26" t="s">
        <v>4662</v>
      </c>
      <c r="E1230" s="27" t="s">
        <v>4663</v>
      </c>
      <c r="F1230" s="28" t="s">
        <v>146</v>
      </c>
      <c r="G1230" s="27" t="s">
        <v>3537</v>
      </c>
      <c r="H1230" s="27" t="s">
        <v>56</v>
      </c>
      <c r="I1230" s="27" t="s">
        <v>40</v>
      </c>
      <c r="J1230" s="28" t="s">
        <v>161</v>
      </c>
      <c r="K1230" s="27" t="s">
        <v>40</v>
      </c>
      <c r="L1230" s="27"/>
    </row>
    <row r="1231" customFormat="false" ht="15" hidden="false" customHeight="false" outlineLevel="0" collapsed="false">
      <c r="A1231" s="26" t="s">
        <v>4664</v>
      </c>
      <c r="B1231" s="27" t="s">
        <v>4665</v>
      </c>
      <c r="C1231" s="27" t="s">
        <v>144</v>
      </c>
      <c r="D1231" s="26" t="s">
        <v>4666</v>
      </c>
      <c r="E1231" s="27" t="s">
        <v>4667</v>
      </c>
      <c r="F1231" s="28" t="s">
        <v>146</v>
      </c>
      <c r="G1231" s="27" t="s">
        <v>3537</v>
      </c>
      <c r="H1231" s="27" t="s">
        <v>56</v>
      </c>
      <c r="I1231" s="27" t="s">
        <v>40</v>
      </c>
      <c r="J1231" s="28" t="s">
        <v>161</v>
      </c>
      <c r="K1231" s="27" t="s">
        <v>40</v>
      </c>
      <c r="L1231" s="27"/>
    </row>
    <row r="1232" customFormat="false" ht="15" hidden="false" customHeight="false" outlineLevel="0" collapsed="false">
      <c r="A1232" s="26" t="s">
        <v>4668</v>
      </c>
      <c r="B1232" s="27" t="s">
        <v>4669</v>
      </c>
      <c r="C1232" s="27" t="s">
        <v>144</v>
      </c>
      <c r="D1232" s="26" t="s">
        <v>4670</v>
      </c>
      <c r="E1232" s="27" t="s">
        <v>4671</v>
      </c>
      <c r="F1232" s="28" t="s">
        <v>146</v>
      </c>
      <c r="G1232" s="27" t="s">
        <v>3537</v>
      </c>
      <c r="H1232" s="27" t="s">
        <v>56</v>
      </c>
      <c r="I1232" s="27" t="s">
        <v>40</v>
      </c>
      <c r="J1232" s="28" t="s">
        <v>161</v>
      </c>
      <c r="K1232" s="27" t="s">
        <v>40</v>
      </c>
      <c r="L1232" s="27"/>
    </row>
    <row r="1233" customFormat="false" ht="15" hidden="false" customHeight="false" outlineLevel="0" collapsed="false">
      <c r="A1233" s="26" t="s">
        <v>4672</v>
      </c>
      <c r="B1233" s="27" t="s">
        <v>4673</v>
      </c>
      <c r="C1233" s="27" t="s">
        <v>144</v>
      </c>
      <c r="D1233" s="26" t="s">
        <v>4674</v>
      </c>
      <c r="E1233" s="27" t="s">
        <v>4675</v>
      </c>
      <c r="F1233" s="28" t="s">
        <v>146</v>
      </c>
      <c r="G1233" s="27" t="s">
        <v>3537</v>
      </c>
      <c r="H1233" s="27" t="s">
        <v>56</v>
      </c>
      <c r="I1233" s="27" t="s">
        <v>40</v>
      </c>
      <c r="J1233" s="28" t="s">
        <v>161</v>
      </c>
      <c r="K1233" s="27" t="s">
        <v>40</v>
      </c>
      <c r="L1233" s="27"/>
    </row>
    <row r="1234" customFormat="false" ht="15" hidden="false" customHeight="false" outlineLevel="0" collapsed="false">
      <c r="A1234" s="26" t="s">
        <v>4676</v>
      </c>
      <c r="B1234" s="27" t="s">
        <v>4677</v>
      </c>
      <c r="C1234" s="27" t="s">
        <v>144</v>
      </c>
      <c r="D1234" s="26" t="s">
        <v>4678</v>
      </c>
      <c r="E1234" s="27" t="s">
        <v>4679</v>
      </c>
      <c r="F1234" s="28" t="s">
        <v>146</v>
      </c>
      <c r="G1234" s="27" t="s">
        <v>3537</v>
      </c>
      <c r="H1234" s="27" t="s">
        <v>56</v>
      </c>
      <c r="I1234" s="27" t="s">
        <v>40</v>
      </c>
      <c r="J1234" s="28" t="s">
        <v>161</v>
      </c>
      <c r="K1234" s="27" t="s">
        <v>40</v>
      </c>
      <c r="L1234" s="27"/>
    </row>
    <row r="1235" customFormat="false" ht="15" hidden="false" customHeight="false" outlineLevel="0" collapsed="false">
      <c r="A1235" s="26" t="s">
        <v>4680</v>
      </c>
      <c r="B1235" s="27" t="s">
        <v>4681</v>
      </c>
      <c r="C1235" s="27" t="s">
        <v>144</v>
      </c>
      <c r="D1235" s="26" t="s">
        <v>4682</v>
      </c>
      <c r="E1235" s="27" t="s">
        <v>4683</v>
      </c>
      <c r="F1235" s="28" t="s">
        <v>146</v>
      </c>
      <c r="G1235" s="27" t="s">
        <v>3537</v>
      </c>
      <c r="H1235" s="27" t="s">
        <v>56</v>
      </c>
      <c r="I1235" s="27" t="s">
        <v>40</v>
      </c>
      <c r="J1235" s="28" t="s">
        <v>161</v>
      </c>
      <c r="K1235" s="27" t="s">
        <v>40</v>
      </c>
      <c r="L1235" s="27"/>
    </row>
    <row r="1236" customFormat="false" ht="15" hidden="false" customHeight="false" outlineLevel="0" collapsed="false">
      <c r="A1236" s="26" t="s">
        <v>4684</v>
      </c>
      <c r="B1236" s="27" t="s">
        <v>4685</v>
      </c>
      <c r="C1236" s="27" t="s">
        <v>144</v>
      </c>
      <c r="D1236" s="26" t="s">
        <v>4686</v>
      </c>
      <c r="E1236" s="27" t="s">
        <v>4687</v>
      </c>
      <c r="F1236" s="28" t="s">
        <v>146</v>
      </c>
      <c r="G1236" s="27" t="s">
        <v>3537</v>
      </c>
      <c r="H1236" s="27" t="s">
        <v>56</v>
      </c>
      <c r="I1236" s="27" t="s">
        <v>40</v>
      </c>
      <c r="J1236" s="28" t="s">
        <v>161</v>
      </c>
      <c r="K1236" s="27" t="s">
        <v>40</v>
      </c>
      <c r="L1236" s="27"/>
    </row>
    <row r="1237" customFormat="false" ht="15" hidden="false" customHeight="false" outlineLevel="0" collapsed="false">
      <c r="A1237" s="26" t="s">
        <v>4688</v>
      </c>
      <c r="B1237" s="27" t="s">
        <v>4689</v>
      </c>
      <c r="C1237" s="27" t="s">
        <v>144</v>
      </c>
      <c r="D1237" s="26" t="s">
        <v>4686</v>
      </c>
      <c r="E1237" s="27" t="s">
        <v>4687</v>
      </c>
      <c r="F1237" s="28" t="s">
        <v>146</v>
      </c>
      <c r="G1237" s="27" t="s">
        <v>3537</v>
      </c>
      <c r="H1237" s="27" t="s">
        <v>56</v>
      </c>
      <c r="I1237" s="27" t="s">
        <v>40</v>
      </c>
      <c r="J1237" s="28" t="s">
        <v>161</v>
      </c>
      <c r="K1237" s="27" t="s">
        <v>40</v>
      </c>
      <c r="L1237" s="27"/>
    </row>
    <row r="1238" customFormat="false" ht="15" hidden="false" customHeight="false" outlineLevel="0" collapsed="false">
      <c r="A1238" s="26" t="s">
        <v>4690</v>
      </c>
      <c r="B1238" s="27" t="s">
        <v>4691</v>
      </c>
      <c r="C1238" s="27" t="s">
        <v>144</v>
      </c>
      <c r="D1238" s="26" t="s">
        <v>4692</v>
      </c>
      <c r="E1238" s="27" t="s">
        <v>4693</v>
      </c>
      <c r="F1238" s="28" t="s">
        <v>146</v>
      </c>
      <c r="G1238" s="27" t="s">
        <v>3537</v>
      </c>
      <c r="H1238" s="27" t="s">
        <v>56</v>
      </c>
      <c r="I1238" s="27" t="s">
        <v>40</v>
      </c>
      <c r="J1238" s="28" t="s">
        <v>161</v>
      </c>
      <c r="K1238" s="27" t="s">
        <v>40</v>
      </c>
      <c r="L1238" s="27"/>
    </row>
    <row r="1239" customFormat="false" ht="15" hidden="false" customHeight="false" outlineLevel="0" collapsed="false">
      <c r="A1239" s="26" t="s">
        <v>4694</v>
      </c>
      <c r="B1239" s="27" t="s">
        <v>4695</v>
      </c>
      <c r="C1239" s="27" t="s">
        <v>144</v>
      </c>
      <c r="D1239" s="26" t="s">
        <v>4696</v>
      </c>
      <c r="E1239" s="27" t="s">
        <v>4697</v>
      </c>
      <c r="F1239" s="28" t="s">
        <v>146</v>
      </c>
      <c r="G1239" s="27" t="s">
        <v>3537</v>
      </c>
      <c r="H1239" s="27" t="s">
        <v>56</v>
      </c>
      <c r="I1239" s="27" t="s">
        <v>40</v>
      </c>
      <c r="J1239" s="28" t="s">
        <v>161</v>
      </c>
      <c r="K1239" s="27" t="s">
        <v>40</v>
      </c>
      <c r="L1239" s="27"/>
    </row>
    <row r="1240" customFormat="false" ht="15" hidden="false" customHeight="false" outlineLevel="0" collapsed="false">
      <c r="A1240" s="26" t="s">
        <v>4698</v>
      </c>
      <c r="B1240" s="27" t="s">
        <v>4699</v>
      </c>
      <c r="C1240" s="27" t="s">
        <v>144</v>
      </c>
      <c r="D1240" s="26" t="s">
        <v>4700</v>
      </c>
      <c r="E1240" s="27" t="s">
        <v>4701</v>
      </c>
      <c r="F1240" s="28" t="s">
        <v>146</v>
      </c>
      <c r="G1240" s="27" t="s">
        <v>3537</v>
      </c>
      <c r="H1240" s="27" t="s">
        <v>56</v>
      </c>
      <c r="I1240" s="27" t="s">
        <v>40</v>
      </c>
      <c r="J1240" s="28" t="s">
        <v>161</v>
      </c>
      <c r="K1240" s="27" t="s">
        <v>40</v>
      </c>
      <c r="L1240" s="27"/>
    </row>
    <row r="1241" customFormat="false" ht="15" hidden="false" customHeight="false" outlineLevel="0" collapsed="false">
      <c r="A1241" s="26" t="s">
        <v>4702</v>
      </c>
      <c r="B1241" s="27" t="s">
        <v>4703</v>
      </c>
      <c r="C1241" s="27" t="s">
        <v>144</v>
      </c>
      <c r="D1241" s="26" t="s">
        <v>4704</v>
      </c>
      <c r="E1241" s="27" t="s">
        <v>4705</v>
      </c>
      <c r="F1241" s="28" t="s">
        <v>146</v>
      </c>
      <c r="G1241" s="27" t="s">
        <v>3537</v>
      </c>
      <c r="H1241" s="27" t="s">
        <v>56</v>
      </c>
      <c r="I1241" s="27" t="s">
        <v>40</v>
      </c>
      <c r="J1241" s="28" t="s">
        <v>161</v>
      </c>
      <c r="K1241" s="27" t="s">
        <v>40</v>
      </c>
      <c r="L1241" s="27"/>
    </row>
    <row r="1242" customFormat="false" ht="15" hidden="false" customHeight="false" outlineLevel="0" collapsed="false">
      <c r="A1242" s="26" t="s">
        <v>4706</v>
      </c>
      <c r="B1242" s="27" t="s">
        <v>4707</v>
      </c>
      <c r="C1242" s="27" t="s">
        <v>144</v>
      </c>
      <c r="D1242" s="26" t="s">
        <v>4708</v>
      </c>
      <c r="E1242" s="27" t="s">
        <v>4709</v>
      </c>
      <c r="F1242" s="28" t="s">
        <v>146</v>
      </c>
      <c r="G1242" s="27" t="s">
        <v>3537</v>
      </c>
      <c r="H1242" s="27" t="s">
        <v>57</v>
      </c>
      <c r="I1242" s="27" t="s">
        <v>42</v>
      </c>
      <c r="J1242" s="28" t="s">
        <v>161</v>
      </c>
      <c r="K1242" s="27" t="s">
        <v>40</v>
      </c>
      <c r="L1242" s="27"/>
    </row>
    <row r="1243" customFormat="false" ht="15" hidden="false" customHeight="false" outlineLevel="0" collapsed="false">
      <c r="A1243" s="26" t="s">
        <v>4710</v>
      </c>
      <c r="B1243" s="27" t="s">
        <v>4711</v>
      </c>
      <c r="C1243" s="27" t="s">
        <v>144</v>
      </c>
      <c r="D1243" s="26" t="s">
        <v>4708</v>
      </c>
      <c r="E1243" s="27" t="s">
        <v>4709</v>
      </c>
      <c r="F1243" s="28" t="s">
        <v>146</v>
      </c>
      <c r="G1243" s="27" t="s">
        <v>3537</v>
      </c>
      <c r="H1243" s="27" t="s">
        <v>57</v>
      </c>
      <c r="I1243" s="27" t="s">
        <v>42</v>
      </c>
      <c r="J1243" s="28" t="s">
        <v>161</v>
      </c>
      <c r="K1243" s="27" t="s">
        <v>40</v>
      </c>
      <c r="L1243" s="27"/>
    </row>
    <row r="1244" customFormat="false" ht="15" hidden="false" customHeight="false" outlineLevel="0" collapsed="false">
      <c r="A1244" s="26" t="s">
        <v>4712</v>
      </c>
      <c r="B1244" s="27" t="s">
        <v>4713</v>
      </c>
      <c r="C1244" s="27" t="s">
        <v>144</v>
      </c>
      <c r="D1244" s="26" t="s">
        <v>4714</v>
      </c>
      <c r="E1244" s="27" t="s">
        <v>4715</v>
      </c>
      <c r="F1244" s="28" t="s">
        <v>146</v>
      </c>
      <c r="G1244" s="27" t="s">
        <v>3537</v>
      </c>
      <c r="H1244" s="27" t="s">
        <v>57</v>
      </c>
      <c r="I1244" s="27" t="s">
        <v>42</v>
      </c>
      <c r="J1244" s="28" t="s">
        <v>161</v>
      </c>
      <c r="K1244" s="27" t="s">
        <v>40</v>
      </c>
      <c r="L1244" s="27"/>
    </row>
    <row r="1245" customFormat="false" ht="15" hidden="false" customHeight="false" outlineLevel="0" collapsed="false">
      <c r="A1245" s="26" t="s">
        <v>4716</v>
      </c>
      <c r="B1245" s="27" t="s">
        <v>4717</v>
      </c>
      <c r="C1245" s="27" t="s">
        <v>144</v>
      </c>
      <c r="D1245" s="26" t="s">
        <v>4718</v>
      </c>
      <c r="E1245" s="27" t="s">
        <v>4719</v>
      </c>
      <c r="F1245" s="28" t="s">
        <v>146</v>
      </c>
      <c r="G1245" s="27" t="s">
        <v>3537</v>
      </c>
      <c r="H1245" s="27" t="s">
        <v>56</v>
      </c>
      <c r="I1245" s="27" t="s">
        <v>40</v>
      </c>
      <c r="J1245" s="28" t="s">
        <v>161</v>
      </c>
      <c r="K1245" s="27" t="s">
        <v>40</v>
      </c>
      <c r="L1245" s="27"/>
    </row>
    <row r="1246" customFormat="false" ht="15" hidden="false" customHeight="false" outlineLevel="0" collapsed="false">
      <c r="A1246" s="26" t="s">
        <v>4720</v>
      </c>
      <c r="B1246" s="27" t="s">
        <v>4721</v>
      </c>
      <c r="C1246" s="27" t="s">
        <v>144</v>
      </c>
      <c r="D1246" s="26" t="s">
        <v>4722</v>
      </c>
      <c r="E1246" s="27" t="s">
        <v>4723</v>
      </c>
      <c r="F1246" s="28" t="s">
        <v>146</v>
      </c>
      <c r="G1246" s="27" t="s">
        <v>3537</v>
      </c>
      <c r="H1246" s="27" t="s">
        <v>57</v>
      </c>
      <c r="I1246" s="27" t="s">
        <v>41</v>
      </c>
      <c r="J1246" s="28" t="s">
        <v>161</v>
      </c>
      <c r="K1246" s="27" t="s">
        <v>40</v>
      </c>
      <c r="L1246" s="27"/>
    </row>
    <row r="1247" customFormat="false" ht="15" hidden="false" customHeight="false" outlineLevel="0" collapsed="false">
      <c r="A1247" s="26" t="s">
        <v>4724</v>
      </c>
      <c r="B1247" s="27" t="s">
        <v>4725</v>
      </c>
      <c r="C1247" s="27" t="s">
        <v>144</v>
      </c>
      <c r="D1247" s="26" t="s">
        <v>4726</v>
      </c>
      <c r="E1247" s="27" t="s">
        <v>4727</v>
      </c>
      <c r="F1247" s="28" t="s">
        <v>146</v>
      </c>
      <c r="G1247" s="27" t="s">
        <v>3537</v>
      </c>
      <c r="H1247" s="27" t="s">
        <v>57</v>
      </c>
      <c r="I1247" s="27" t="s">
        <v>37</v>
      </c>
      <c r="J1247" s="28" t="s">
        <v>161</v>
      </c>
      <c r="K1247" s="27" t="s">
        <v>40</v>
      </c>
      <c r="L1247" s="27"/>
    </row>
    <row r="1248" customFormat="false" ht="15" hidden="false" customHeight="false" outlineLevel="0" collapsed="false">
      <c r="A1248" s="26" t="s">
        <v>4728</v>
      </c>
      <c r="B1248" s="27" t="s">
        <v>4729</v>
      </c>
      <c r="C1248" s="27" t="s">
        <v>144</v>
      </c>
      <c r="D1248" s="26" t="s">
        <v>4730</v>
      </c>
      <c r="E1248" s="27" t="s">
        <v>4731</v>
      </c>
      <c r="F1248" s="28" t="s">
        <v>146</v>
      </c>
      <c r="G1248" s="27" t="s">
        <v>3537</v>
      </c>
      <c r="H1248" s="27" t="s">
        <v>57</v>
      </c>
      <c r="I1248" s="27" t="s">
        <v>37</v>
      </c>
      <c r="J1248" s="28" t="s">
        <v>161</v>
      </c>
      <c r="K1248" s="27" t="s">
        <v>40</v>
      </c>
      <c r="L1248" s="27"/>
    </row>
    <row r="1249" customFormat="false" ht="15" hidden="false" customHeight="false" outlineLevel="0" collapsed="false">
      <c r="A1249" s="26" t="s">
        <v>4732</v>
      </c>
      <c r="B1249" s="27" t="s">
        <v>4733</v>
      </c>
      <c r="C1249" s="27" t="s">
        <v>144</v>
      </c>
      <c r="D1249" s="26" t="s">
        <v>4734</v>
      </c>
      <c r="E1249" s="27" t="s">
        <v>4735</v>
      </c>
      <c r="F1249" s="28" t="s">
        <v>146</v>
      </c>
      <c r="G1249" s="27" t="s">
        <v>3537</v>
      </c>
      <c r="H1249" s="27" t="s">
        <v>57</v>
      </c>
      <c r="I1249" s="27" t="s">
        <v>37</v>
      </c>
      <c r="J1249" s="28" t="s">
        <v>161</v>
      </c>
      <c r="K1249" s="27" t="s">
        <v>40</v>
      </c>
      <c r="L1249" s="27"/>
    </row>
    <row r="1250" customFormat="false" ht="15" hidden="false" customHeight="false" outlineLevel="0" collapsed="false">
      <c r="A1250" s="26" t="s">
        <v>4736</v>
      </c>
      <c r="B1250" s="27" t="s">
        <v>4737</v>
      </c>
      <c r="C1250" s="27" t="s">
        <v>144</v>
      </c>
      <c r="D1250" s="26" t="s">
        <v>4738</v>
      </c>
      <c r="E1250" s="27" t="s">
        <v>4739</v>
      </c>
      <c r="F1250" s="28" t="s">
        <v>146</v>
      </c>
      <c r="G1250" s="27" t="s">
        <v>3537</v>
      </c>
      <c r="H1250" s="27" t="s">
        <v>57</v>
      </c>
      <c r="I1250" s="27" t="s">
        <v>41</v>
      </c>
      <c r="J1250" s="28" t="s">
        <v>161</v>
      </c>
      <c r="K1250" s="27" t="s">
        <v>40</v>
      </c>
      <c r="L1250" s="27"/>
    </row>
    <row r="1251" customFormat="false" ht="15" hidden="false" customHeight="false" outlineLevel="0" collapsed="false">
      <c r="A1251" s="26" t="s">
        <v>4740</v>
      </c>
      <c r="B1251" s="27" t="s">
        <v>4741</v>
      </c>
      <c r="C1251" s="27" t="s">
        <v>144</v>
      </c>
      <c r="D1251" s="26" t="s">
        <v>4730</v>
      </c>
      <c r="E1251" s="27" t="s">
        <v>4731</v>
      </c>
      <c r="F1251" s="28" t="s">
        <v>146</v>
      </c>
      <c r="G1251" s="27" t="s">
        <v>3537</v>
      </c>
      <c r="H1251" s="27" t="s">
        <v>57</v>
      </c>
      <c r="I1251" s="27" t="s">
        <v>37</v>
      </c>
      <c r="J1251" s="28" t="s">
        <v>161</v>
      </c>
      <c r="K1251" s="27" t="s">
        <v>40</v>
      </c>
      <c r="L1251" s="27"/>
    </row>
    <row r="1252" customFormat="false" ht="15" hidden="false" customHeight="false" outlineLevel="0" collapsed="false">
      <c r="A1252" s="26" t="s">
        <v>4742</v>
      </c>
      <c r="B1252" s="27" t="s">
        <v>4743</v>
      </c>
      <c r="C1252" s="27" t="s">
        <v>144</v>
      </c>
      <c r="D1252" s="26" t="s">
        <v>4744</v>
      </c>
      <c r="E1252" s="27" t="s">
        <v>4745</v>
      </c>
      <c r="F1252" s="28" t="s">
        <v>146</v>
      </c>
      <c r="G1252" s="27" t="s">
        <v>3537</v>
      </c>
      <c r="H1252" s="27" t="s">
        <v>57</v>
      </c>
      <c r="I1252" s="27" t="s">
        <v>48</v>
      </c>
      <c r="J1252" s="28" t="s">
        <v>161</v>
      </c>
      <c r="K1252" s="27" t="s">
        <v>40</v>
      </c>
      <c r="L1252" s="27"/>
    </row>
    <row r="1253" customFormat="false" ht="15" hidden="false" customHeight="false" outlineLevel="0" collapsed="false">
      <c r="A1253" s="26" t="s">
        <v>4746</v>
      </c>
      <c r="B1253" s="27" t="s">
        <v>4747</v>
      </c>
      <c r="C1253" s="27" t="s">
        <v>144</v>
      </c>
      <c r="D1253" s="26" t="s">
        <v>4748</v>
      </c>
      <c r="E1253" s="27" t="s">
        <v>4749</v>
      </c>
      <c r="F1253" s="28" t="s">
        <v>146</v>
      </c>
      <c r="G1253" s="27" t="s">
        <v>3537</v>
      </c>
      <c r="H1253" s="27" t="s">
        <v>56</v>
      </c>
      <c r="I1253" s="27" t="s">
        <v>40</v>
      </c>
      <c r="J1253" s="28" t="s">
        <v>161</v>
      </c>
      <c r="K1253" s="27" t="s">
        <v>40</v>
      </c>
      <c r="L1253" s="27"/>
    </row>
    <row r="1254" customFormat="false" ht="15" hidden="false" customHeight="false" outlineLevel="0" collapsed="false">
      <c r="A1254" s="26" t="s">
        <v>4750</v>
      </c>
      <c r="B1254" s="27" t="s">
        <v>4751</v>
      </c>
      <c r="C1254" s="27" t="s">
        <v>144</v>
      </c>
      <c r="D1254" s="26" t="s">
        <v>4752</v>
      </c>
      <c r="E1254" s="27" t="s">
        <v>4753</v>
      </c>
      <c r="F1254" s="28" t="s">
        <v>146</v>
      </c>
      <c r="G1254" s="27" t="s">
        <v>3537</v>
      </c>
      <c r="H1254" s="27" t="s">
        <v>56</v>
      </c>
      <c r="I1254" s="27" t="s">
        <v>40</v>
      </c>
      <c r="J1254" s="28" t="s">
        <v>161</v>
      </c>
      <c r="K1254" s="27" t="s">
        <v>40</v>
      </c>
      <c r="L1254" s="27"/>
    </row>
    <row r="1255" customFormat="false" ht="15" hidden="false" customHeight="false" outlineLevel="0" collapsed="false">
      <c r="A1255" s="26" t="s">
        <v>4754</v>
      </c>
      <c r="B1255" s="27" t="s">
        <v>4755</v>
      </c>
      <c r="C1255" s="27" t="s">
        <v>144</v>
      </c>
      <c r="D1255" s="26" t="s">
        <v>4756</v>
      </c>
      <c r="E1255" s="27" t="s">
        <v>4757</v>
      </c>
      <c r="F1255" s="28" t="s">
        <v>146</v>
      </c>
      <c r="G1255" s="27" t="s">
        <v>3537</v>
      </c>
      <c r="H1255" s="27" t="s">
        <v>57</v>
      </c>
      <c r="I1255" s="27" t="s">
        <v>48</v>
      </c>
      <c r="J1255" s="28" t="s">
        <v>161</v>
      </c>
      <c r="K1255" s="27" t="s">
        <v>40</v>
      </c>
      <c r="L1255" s="27"/>
    </row>
    <row r="1256" customFormat="false" ht="15" hidden="false" customHeight="false" outlineLevel="0" collapsed="false">
      <c r="A1256" s="26" t="s">
        <v>4758</v>
      </c>
      <c r="B1256" s="27" t="s">
        <v>4759</v>
      </c>
      <c r="C1256" s="27" t="s">
        <v>144</v>
      </c>
      <c r="D1256" s="26" t="s">
        <v>4760</v>
      </c>
      <c r="E1256" s="27" t="s">
        <v>4761</v>
      </c>
      <c r="F1256" s="28" t="s">
        <v>146</v>
      </c>
      <c r="G1256" s="27" t="s">
        <v>3537</v>
      </c>
      <c r="H1256" s="27" t="s">
        <v>57</v>
      </c>
      <c r="I1256" s="27" t="s">
        <v>37</v>
      </c>
      <c r="J1256" s="28" t="s">
        <v>161</v>
      </c>
      <c r="K1256" s="27" t="s">
        <v>40</v>
      </c>
      <c r="L1256" s="27"/>
    </row>
    <row r="1257" customFormat="false" ht="15" hidden="false" customHeight="false" outlineLevel="0" collapsed="false">
      <c r="A1257" s="26" t="s">
        <v>4762</v>
      </c>
      <c r="B1257" s="27" t="s">
        <v>4759</v>
      </c>
      <c r="C1257" s="27" t="s">
        <v>144</v>
      </c>
      <c r="D1257" s="26" t="s">
        <v>4760</v>
      </c>
      <c r="E1257" s="27" t="s">
        <v>4761</v>
      </c>
      <c r="F1257" s="28" t="s">
        <v>146</v>
      </c>
      <c r="G1257" s="27" t="s">
        <v>3537</v>
      </c>
      <c r="H1257" s="27" t="s">
        <v>57</v>
      </c>
      <c r="I1257" s="27" t="s">
        <v>37</v>
      </c>
      <c r="J1257" s="28" t="s">
        <v>161</v>
      </c>
      <c r="K1257" s="27" t="s">
        <v>40</v>
      </c>
      <c r="L1257" s="27"/>
    </row>
    <row r="1258" customFormat="false" ht="15" hidden="false" customHeight="false" outlineLevel="0" collapsed="false">
      <c r="A1258" s="26" t="s">
        <v>4763</v>
      </c>
      <c r="B1258" s="27" t="s">
        <v>4764</v>
      </c>
      <c r="C1258" s="27" t="s">
        <v>144</v>
      </c>
      <c r="D1258" s="26" t="s">
        <v>4765</v>
      </c>
      <c r="E1258" s="27" t="s">
        <v>4766</v>
      </c>
      <c r="F1258" s="28" t="s">
        <v>146</v>
      </c>
      <c r="G1258" s="27" t="s">
        <v>3537</v>
      </c>
      <c r="H1258" s="27" t="s">
        <v>56</v>
      </c>
      <c r="I1258" s="27" t="s">
        <v>40</v>
      </c>
      <c r="J1258" s="28" t="s">
        <v>161</v>
      </c>
      <c r="K1258" s="27" t="s">
        <v>40</v>
      </c>
      <c r="L1258" s="27"/>
    </row>
    <row r="1259" customFormat="false" ht="15" hidden="false" customHeight="false" outlineLevel="0" collapsed="false">
      <c r="A1259" s="26" t="s">
        <v>4767</v>
      </c>
      <c r="B1259" s="27" t="s">
        <v>4768</v>
      </c>
      <c r="C1259" s="27" t="s">
        <v>144</v>
      </c>
      <c r="D1259" s="26" t="s">
        <v>4769</v>
      </c>
      <c r="E1259" s="27" t="s">
        <v>4770</v>
      </c>
      <c r="F1259" s="28" t="s">
        <v>146</v>
      </c>
      <c r="G1259" s="27" t="s">
        <v>3537</v>
      </c>
      <c r="H1259" s="27" t="s">
        <v>56</v>
      </c>
      <c r="I1259" s="27" t="s">
        <v>40</v>
      </c>
      <c r="J1259" s="28" t="s">
        <v>161</v>
      </c>
      <c r="K1259" s="27" t="s">
        <v>40</v>
      </c>
      <c r="L1259" s="27"/>
    </row>
    <row r="1260" customFormat="false" ht="15" hidden="false" customHeight="false" outlineLevel="0" collapsed="false">
      <c r="A1260" s="26" t="s">
        <v>4771</v>
      </c>
      <c r="B1260" s="27" t="s">
        <v>4772</v>
      </c>
      <c r="C1260" s="27" t="s">
        <v>144</v>
      </c>
      <c r="D1260" s="26" t="s">
        <v>4773</v>
      </c>
      <c r="E1260" s="27" t="s">
        <v>4774</v>
      </c>
      <c r="F1260" s="28" t="s">
        <v>146</v>
      </c>
      <c r="G1260" s="27" t="s">
        <v>3537</v>
      </c>
      <c r="H1260" s="27" t="s">
        <v>56</v>
      </c>
      <c r="I1260" s="27" t="s">
        <v>40</v>
      </c>
      <c r="J1260" s="28" t="s">
        <v>161</v>
      </c>
      <c r="K1260" s="27" t="s">
        <v>40</v>
      </c>
      <c r="L1260" s="27"/>
    </row>
    <row r="1261" customFormat="false" ht="15" hidden="false" customHeight="false" outlineLevel="0" collapsed="false">
      <c r="A1261" s="26" t="s">
        <v>4775</v>
      </c>
      <c r="B1261" s="27" t="s">
        <v>4776</v>
      </c>
      <c r="C1261" s="27" t="s">
        <v>144</v>
      </c>
      <c r="D1261" s="26" t="s">
        <v>4777</v>
      </c>
      <c r="E1261" s="27" t="s">
        <v>4778</v>
      </c>
      <c r="F1261" s="28" t="s">
        <v>146</v>
      </c>
      <c r="G1261" s="27" t="s">
        <v>3537</v>
      </c>
      <c r="H1261" s="27" t="s">
        <v>57</v>
      </c>
      <c r="I1261" s="27" t="s">
        <v>48</v>
      </c>
      <c r="J1261" s="28" t="s">
        <v>161</v>
      </c>
      <c r="K1261" s="27" t="s">
        <v>40</v>
      </c>
      <c r="L1261" s="27"/>
    </row>
    <row r="1262" customFormat="false" ht="15" hidden="false" customHeight="false" outlineLevel="0" collapsed="false">
      <c r="A1262" s="26" t="s">
        <v>4779</v>
      </c>
      <c r="B1262" s="27" t="s">
        <v>4780</v>
      </c>
      <c r="C1262" s="27" t="s">
        <v>144</v>
      </c>
      <c r="D1262" s="26" t="s">
        <v>4781</v>
      </c>
      <c r="E1262" s="27" t="s">
        <v>4782</v>
      </c>
      <c r="F1262" s="28" t="s">
        <v>146</v>
      </c>
      <c r="G1262" s="27" t="s">
        <v>3537</v>
      </c>
      <c r="H1262" s="27" t="s">
        <v>57</v>
      </c>
      <c r="I1262" s="27" t="s">
        <v>39</v>
      </c>
      <c r="J1262" s="28" t="s">
        <v>161</v>
      </c>
      <c r="K1262" s="27" t="s">
        <v>40</v>
      </c>
      <c r="L1262" s="27"/>
    </row>
    <row r="1263" customFormat="false" ht="15" hidden="false" customHeight="false" outlineLevel="0" collapsed="false">
      <c r="A1263" s="26" t="s">
        <v>4783</v>
      </c>
      <c r="B1263" s="27" t="s">
        <v>4784</v>
      </c>
      <c r="C1263" s="27" t="s">
        <v>144</v>
      </c>
      <c r="D1263" s="26" t="s">
        <v>4785</v>
      </c>
      <c r="E1263" s="27" t="s">
        <v>4786</v>
      </c>
      <c r="F1263" s="28" t="s">
        <v>146</v>
      </c>
      <c r="G1263" s="27" t="s">
        <v>3537</v>
      </c>
      <c r="H1263" s="27" t="s">
        <v>57</v>
      </c>
      <c r="I1263" s="27" t="s">
        <v>48</v>
      </c>
      <c r="J1263" s="28" t="s">
        <v>161</v>
      </c>
      <c r="K1263" s="27" t="s">
        <v>40</v>
      </c>
      <c r="L1263" s="27"/>
    </row>
    <row r="1264" customFormat="false" ht="15" hidden="false" customHeight="false" outlineLevel="0" collapsed="false">
      <c r="A1264" s="26" t="s">
        <v>4787</v>
      </c>
      <c r="B1264" s="27" t="s">
        <v>4788</v>
      </c>
      <c r="C1264" s="27" t="s">
        <v>144</v>
      </c>
      <c r="D1264" s="26" t="s">
        <v>4789</v>
      </c>
      <c r="E1264" s="27" t="s">
        <v>4790</v>
      </c>
      <c r="F1264" s="28" t="s">
        <v>146</v>
      </c>
      <c r="G1264" s="27" t="s">
        <v>3537</v>
      </c>
      <c r="H1264" s="27" t="s">
        <v>57</v>
      </c>
      <c r="I1264" s="27" t="s">
        <v>48</v>
      </c>
      <c r="J1264" s="28" t="s">
        <v>161</v>
      </c>
      <c r="K1264" s="27" t="s">
        <v>40</v>
      </c>
      <c r="L1264" s="27"/>
    </row>
    <row r="1265" customFormat="false" ht="15" hidden="false" customHeight="false" outlineLevel="0" collapsed="false">
      <c r="A1265" s="26" t="s">
        <v>4791</v>
      </c>
      <c r="B1265" s="27" t="s">
        <v>4792</v>
      </c>
      <c r="C1265" s="27" t="s">
        <v>370</v>
      </c>
      <c r="D1265" s="26" t="s">
        <v>4793</v>
      </c>
      <c r="E1265" s="27" t="s">
        <v>4794</v>
      </c>
      <c r="F1265" s="28" t="s">
        <v>373</v>
      </c>
      <c r="G1265" s="27" t="s">
        <v>3537</v>
      </c>
      <c r="H1265" s="27" t="s">
        <v>56</v>
      </c>
      <c r="I1265" s="27" t="s">
        <v>40</v>
      </c>
      <c r="J1265" s="28" t="s">
        <v>161</v>
      </c>
      <c r="K1265" s="27" t="s">
        <v>40</v>
      </c>
      <c r="L1265" s="27"/>
    </row>
    <row r="1266" customFormat="false" ht="15" hidden="false" customHeight="false" outlineLevel="0" collapsed="false">
      <c r="A1266" s="26" t="s">
        <v>4795</v>
      </c>
      <c r="B1266" s="27" t="s">
        <v>4796</v>
      </c>
      <c r="C1266" s="27" t="s">
        <v>144</v>
      </c>
      <c r="D1266" s="26" t="s">
        <v>4797</v>
      </c>
      <c r="E1266" s="27" t="s">
        <v>4798</v>
      </c>
      <c r="F1266" s="28" t="s">
        <v>146</v>
      </c>
      <c r="G1266" s="27" t="s">
        <v>3537</v>
      </c>
      <c r="H1266" s="27" t="s">
        <v>57</v>
      </c>
      <c r="I1266" s="27" t="s">
        <v>42</v>
      </c>
      <c r="J1266" s="28" t="s">
        <v>161</v>
      </c>
      <c r="K1266" s="27" t="s">
        <v>40</v>
      </c>
      <c r="L1266" s="27"/>
    </row>
    <row r="1267" customFormat="false" ht="15" hidden="false" customHeight="false" outlineLevel="0" collapsed="false">
      <c r="A1267" s="26" t="s">
        <v>4799</v>
      </c>
      <c r="B1267" s="27" t="s">
        <v>4800</v>
      </c>
      <c r="C1267" s="27" t="s">
        <v>144</v>
      </c>
      <c r="D1267" s="26" t="s">
        <v>4801</v>
      </c>
      <c r="E1267" s="27" t="s">
        <v>4802</v>
      </c>
      <c r="F1267" s="28" t="s">
        <v>146</v>
      </c>
      <c r="G1267" s="27" t="s">
        <v>3537</v>
      </c>
      <c r="H1267" s="27" t="s">
        <v>57</v>
      </c>
      <c r="I1267" s="27" t="s">
        <v>39</v>
      </c>
      <c r="J1267" s="28" t="s">
        <v>161</v>
      </c>
      <c r="K1267" s="27" t="s">
        <v>40</v>
      </c>
      <c r="L1267" s="27"/>
    </row>
    <row r="1268" customFormat="false" ht="15" hidden="false" customHeight="false" outlineLevel="0" collapsed="false">
      <c r="A1268" s="26" t="s">
        <v>4803</v>
      </c>
      <c r="B1268" s="27" t="s">
        <v>4804</v>
      </c>
      <c r="C1268" s="27" t="s">
        <v>144</v>
      </c>
      <c r="D1268" s="26" t="s">
        <v>4805</v>
      </c>
      <c r="E1268" s="27" t="s">
        <v>4806</v>
      </c>
      <c r="F1268" s="28" t="s">
        <v>146</v>
      </c>
      <c r="G1268" s="27" t="s">
        <v>3537</v>
      </c>
      <c r="H1268" s="27" t="s">
        <v>57</v>
      </c>
      <c r="I1268" s="27" t="s">
        <v>48</v>
      </c>
      <c r="J1268" s="28" t="s">
        <v>161</v>
      </c>
      <c r="K1268" s="27" t="s">
        <v>40</v>
      </c>
      <c r="L1268" s="27"/>
    </row>
    <row r="1269" customFormat="false" ht="15" hidden="false" customHeight="false" outlineLevel="0" collapsed="false">
      <c r="A1269" s="26" t="s">
        <v>4807</v>
      </c>
      <c r="B1269" s="27" t="s">
        <v>4808</v>
      </c>
      <c r="C1269" s="27" t="s">
        <v>144</v>
      </c>
      <c r="D1269" s="26" t="s">
        <v>4809</v>
      </c>
      <c r="E1269" s="27" t="s">
        <v>4810</v>
      </c>
      <c r="F1269" s="28" t="s">
        <v>146</v>
      </c>
      <c r="G1269" s="27" t="s">
        <v>3537</v>
      </c>
      <c r="H1269" s="27" t="s">
        <v>56</v>
      </c>
      <c r="I1269" s="27" t="s">
        <v>37</v>
      </c>
      <c r="J1269" s="28" t="s">
        <v>399</v>
      </c>
      <c r="K1269" s="27" t="s">
        <v>37</v>
      </c>
      <c r="L1269" s="27"/>
    </row>
    <row r="1270" customFormat="false" ht="15" hidden="false" customHeight="false" outlineLevel="0" collapsed="false">
      <c r="A1270" s="26" t="s">
        <v>4811</v>
      </c>
      <c r="B1270" s="27" t="s">
        <v>4812</v>
      </c>
      <c r="C1270" s="27" t="s">
        <v>144</v>
      </c>
      <c r="D1270" s="26" t="s">
        <v>4813</v>
      </c>
      <c r="E1270" s="28" t="s">
        <v>4814</v>
      </c>
      <c r="F1270" s="28" t="s">
        <v>146</v>
      </c>
      <c r="G1270" s="27" t="s">
        <v>3537</v>
      </c>
      <c r="H1270" s="27" t="s">
        <v>56</v>
      </c>
      <c r="I1270" s="27" t="s">
        <v>37</v>
      </c>
      <c r="J1270" s="28" t="s">
        <v>399</v>
      </c>
      <c r="K1270" s="27" t="s">
        <v>37</v>
      </c>
      <c r="L1270" s="27"/>
    </row>
    <row r="1271" customFormat="false" ht="15" hidden="false" customHeight="false" outlineLevel="0" collapsed="false">
      <c r="A1271" s="26" t="s">
        <v>4815</v>
      </c>
      <c r="B1271" s="27" t="s">
        <v>4816</v>
      </c>
      <c r="C1271" s="27" t="s">
        <v>144</v>
      </c>
      <c r="D1271" s="26" t="s">
        <v>4817</v>
      </c>
      <c r="E1271" s="27" t="s">
        <v>4818</v>
      </c>
      <c r="F1271" s="28" t="s">
        <v>146</v>
      </c>
      <c r="G1271" s="27" t="s">
        <v>3537</v>
      </c>
      <c r="H1271" s="27" t="s">
        <v>56</v>
      </c>
      <c r="I1271" s="27" t="s">
        <v>37</v>
      </c>
      <c r="J1271" s="28" t="s">
        <v>399</v>
      </c>
      <c r="K1271" s="27" t="s">
        <v>37</v>
      </c>
      <c r="L1271" s="27"/>
    </row>
    <row r="1272" customFormat="false" ht="15" hidden="false" customHeight="false" outlineLevel="0" collapsed="false">
      <c r="A1272" s="26" t="s">
        <v>4819</v>
      </c>
      <c r="B1272" s="27" t="s">
        <v>4820</v>
      </c>
      <c r="C1272" s="27" t="s">
        <v>144</v>
      </c>
      <c r="D1272" s="26" t="s">
        <v>4821</v>
      </c>
      <c r="E1272" s="27" t="s">
        <v>4822</v>
      </c>
      <c r="F1272" s="28" t="s">
        <v>146</v>
      </c>
      <c r="G1272" s="27" t="s">
        <v>3537</v>
      </c>
      <c r="H1272" s="27" t="s">
        <v>56</v>
      </c>
      <c r="I1272" s="27" t="s">
        <v>37</v>
      </c>
      <c r="J1272" s="28" t="s">
        <v>399</v>
      </c>
      <c r="K1272" s="27" t="s">
        <v>37</v>
      </c>
      <c r="L1272" s="27"/>
    </row>
    <row r="1273" customFormat="false" ht="15" hidden="false" customHeight="false" outlineLevel="0" collapsed="false">
      <c r="A1273" s="26" t="s">
        <v>4823</v>
      </c>
      <c r="B1273" s="27" t="s">
        <v>4824</v>
      </c>
      <c r="C1273" s="27" t="s">
        <v>144</v>
      </c>
      <c r="D1273" s="26" t="s">
        <v>4825</v>
      </c>
      <c r="E1273" s="28" t="s">
        <v>4826</v>
      </c>
      <c r="F1273" s="28" t="s">
        <v>146</v>
      </c>
      <c r="G1273" s="27" t="s">
        <v>3537</v>
      </c>
      <c r="H1273" s="27" t="s">
        <v>56</v>
      </c>
      <c r="I1273" s="27" t="s">
        <v>37</v>
      </c>
      <c r="J1273" s="28" t="s">
        <v>399</v>
      </c>
      <c r="K1273" s="27" t="s">
        <v>37</v>
      </c>
      <c r="L1273" s="27"/>
    </row>
    <row r="1274" customFormat="false" ht="15" hidden="false" customHeight="false" outlineLevel="0" collapsed="false">
      <c r="A1274" s="26" t="s">
        <v>4827</v>
      </c>
      <c r="B1274" s="27" t="s">
        <v>4828</v>
      </c>
      <c r="C1274" s="27" t="s">
        <v>144</v>
      </c>
      <c r="D1274" s="26" t="s">
        <v>4829</v>
      </c>
      <c r="E1274" s="28" t="s">
        <v>4830</v>
      </c>
      <c r="F1274" s="28" t="s">
        <v>146</v>
      </c>
      <c r="G1274" s="27" t="s">
        <v>3537</v>
      </c>
      <c r="H1274" s="27" t="s">
        <v>56</v>
      </c>
      <c r="I1274" s="27" t="s">
        <v>37</v>
      </c>
      <c r="J1274" s="28" t="s">
        <v>399</v>
      </c>
      <c r="K1274" s="27" t="s">
        <v>37</v>
      </c>
      <c r="L1274" s="27"/>
    </row>
    <row r="1275" customFormat="false" ht="15" hidden="false" customHeight="false" outlineLevel="0" collapsed="false">
      <c r="A1275" s="26" t="s">
        <v>4831</v>
      </c>
      <c r="B1275" s="27" t="s">
        <v>4832</v>
      </c>
      <c r="C1275" s="27" t="s">
        <v>144</v>
      </c>
      <c r="D1275" s="26" t="s">
        <v>4833</v>
      </c>
      <c r="E1275" s="27" t="s">
        <v>4834</v>
      </c>
      <c r="F1275" s="28" t="s">
        <v>146</v>
      </c>
      <c r="G1275" s="27" t="s">
        <v>3537</v>
      </c>
      <c r="H1275" s="27" t="s">
        <v>56</v>
      </c>
      <c r="I1275" s="27" t="s">
        <v>37</v>
      </c>
      <c r="J1275" s="28" t="s">
        <v>399</v>
      </c>
      <c r="K1275" s="27" t="s">
        <v>37</v>
      </c>
      <c r="L1275" s="27"/>
    </row>
    <row r="1276" customFormat="false" ht="15" hidden="false" customHeight="false" outlineLevel="0" collapsed="false">
      <c r="A1276" s="26" t="s">
        <v>4835</v>
      </c>
      <c r="B1276" s="27" t="s">
        <v>4836</v>
      </c>
      <c r="C1276" s="27" t="s">
        <v>144</v>
      </c>
      <c r="D1276" s="26" t="s">
        <v>4837</v>
      </c>
      <c r="E1276" s="27" t="s">
        <v>4838</v>
      </c>
      <c r="F1276" s="28" t="s">
        <v>146</v>
      </c>
      <c r="G1276" s="27" t="s">
        <v>3537</v>
      </c>
      <c r="H1276" s="27" t="s">
        <v>56</v>
      </c>
      <c r="I1276" s="27" t="s">
        <v>37</v>
      </c>
      <c r="J1276" s="28" t="s">
        <v>399</v>
      </c>
      <c r="K1276" s="27" t="s">
        <v>37</v>
      </c>
      <c r="L1276" s="27"/>
    </row>
    <row r="1277" customFormat="false" ht="15" hidden="false" customHeight="false" outlineLevel="0" collapsed="false">
      <c r="A1277" s="26" t="s">
        <v>4839</v>
      </c>
      <c r="B1277" s="27" t="s">
        <v>4840</v>
      </c>
      <c r="C1277" s="27" t="s">
        <v>144</v>
      </c>
      <c r="D1277" s="26" t="s">
        <v>4841</v>
      </c>
      <c r="E1277" s="27" t="s">
        <v>4842</v>
      </c>
      <c r="F1277" s="28" t="s">
        <v>146</v>
      </c>
      <c r="G1277" s="27" t="s">
        <v>3537</v>
      </c>
      <c r="H1277" s="27" t="s">
        <v>56</v>
      </c>
      <c r="I1277" s="27" t="s">
        <v>37</v>
      </c>
      <c r="J1277" s="28" t="s">
        <v>399</v>
      </c>
      <c r="K1277" s="27" t="s">
        <v>37</v>
      </c>
      <c r="L1277" s="27"/>
    </row>
    <row r="1278" customFormat="false" ht="15" hidden="false" customHeight="false" outlineLevel="0" collapsed="false">
      <c r="A1278" s="26" t="s">
        <v>4843</v>
      </c>
      <c r="B1278" s="27" t="s">
        <v>4844</v>
      </c>
      <c r="C1278" s="27" t="s">
        <v>144</v>
      </c>
      <c r="D1278" s="26" t="s">
        <v>4845</v>
      </c>
      <c r="E1278" s="27" t="s">
        <v>4846</v>
      </c>
      <c r="F1278" s="28" t="s">
        <v>146</v>
      </c>
      <c r="G1278" s="27" t="s">
        <v>3537</v>
      </c>
      <c r="H1278" s="27" t="s">
        <v>56</v>
      </c>
      <c r="I1278" s="27" t="s">
        <v>37</v>
      </c>
      <c r="J1278" s="28" t="s">
        <v>399</v>
      </c>
      <c r="K1278" s="27" t="s">
        <v>37</v>
      </c>
      <c r="L1278" s="27"/>
    </row>
    <row r="1279" customFormat="false" ht="15" hidden="false" customHeight="false" outlineLevel="0" collapsed="false">
      <c r="A1279" s="26" t="s">
        <v>4847</v>
      </c>
      <c r="B1279" s="27" t="s">
        <v>4848</v>
      </c>
      <c r="C1279" s="27" t="s">
        <v>144</v>
      </c>
      <c r="D1279" s="26" t="s">
        <v>4849</v>
      </c>
      <c r="E1279" s="27" t="s">
        <v>4850</v>
      </c>
      <c r="F1279" s="28" t="s">
        <v>146</v>
      </c>
      <c r="G1279" s="27" t="s">
        <v>3537</v>
      </c>
      <c r="H1279" s="27" t="s">
        <v>56</v>
      </c>
      <c r="I1279" s="27" t="s">
        <v>37</v>
      </c>
      <c r="J1279" s="28" t="s">
        <v>399</v>
      </c>
      <c r="K1279" s="27" t="s">
        <v>37</v>
      </c>
      <c r="L1279" s="27"/>
    </row>
    <row r="1280" customFormat="false" ht="15" hidden="false" customHeight="false" outlineLevel="0" collapsed="false">
      <c r="A1280" s="26" t="s">
        <v>4851</v>
      </c>
      <c r="B1280" s="27" t="s">
        <v>4852</v>
      </c>
      <c r="C1280" s="27" t="s">
        <v>144</v>
      </c>
      <c r="D1280" s="26" t="s">
        <v>4853</v>
      </c>
      <c r="E1280" s="28" t="s">
        <v>4854</v>
      </c>
      <c r="F1280" s="28" t="s">
        <v>146</v>
      </c>
      <c r="G1280" s="27" t="s">
        <v>3537</v>
      </c>
      <c r="H1280" s="27" t="s">
        <v>56</v>
      </c>
      <c r="I1280" s="27" t="s">
        <v>37</v>
      </c>
      <c r="J1280" s="28" t="s">
        <v>399</v>
      </c>
      <c r="K1280" s="27" t="s">
        <v>37</v>
      </c>
      <c r="L1280" s="27"/>
    </row>
    <row r="1281" customFormat="false" ht="15" hidden="false" customHeight="false" outlineLevel="0" collapsed="false">
      <c r="A1281" s="26" t="s">
        <v>4855</v>
      </c>
      <c r="B1281" s="27" t="s">
        <v>4856</v>
      </c>
      <c r="C1281" s="27" t="s">
        <v>144</v>
      </c>
      <c r="D1281" s="26" t="s">
        <v>4857</v>
      </c>
      <c r="E1281" s="27" t="s">
        <v>4858</v>
      </c>
      <c r="F1281" s="28" t="s">
        <v>146</v>
      </c>
      <c r="G1281" s="27" t="s">
        <v>3537</v>
      </c>
      <c r="H1281" s="27" t="s">
        <v>56</v>
      </c>
      <c r="I1281" s="27" t="s">
        <v>37</v>
      </c>
      <c r="J1281" s="28" t="s">
        <v>399</v>
      </c>
      <c r="K1281" s="27" t="s">
        <v>37</v>
      </c>
      <c r="L1281" s="27"/>
    </row>
    <row r="1282" customFormat="false" ht="15" hidden="false" customHeight="false" outlineLevel="0" collapsed="false">
      <c r="A1282" s="26" t="s">
        <v>4859</v>
      </c>
      <c r="B1282" s="27" t="s">
        <v>4860</v>
      </c>
      <c r="C1282" s="27" t="s">
        <v>144</v>
      </c>
      <c r="D1282" s="26" t="s">
        <v>4861</v>
      </c>
      <c r="E1282" s="27" t="s">
        <v>4862</v>
      </c>
      <c r="F1282" s="28" t="s">
        <v>146</v>
      </c>
      <c r="G1282" s="27" t="s">
        <v>3537</v>
      </c>
      <c r="H1282" s="27" t="s">
        <v>56</v>
      </c>
      <c r="I1282" s="27" t="s">
        <v>37</v>
      </c>
      <c r="J1282" s="28" t="s">
        <v>399</v>
      </c>
      <c r="K1282" s="27" t="s">
        <v>37</v>
      </c>
      <c r="L1282" s="27"/>
    </row>
    <row r="1283" customFormat="false" ht="15" hidden="false" customHeight="false" outlineLevel="0" collapsed="false">
      <c r="A1283" s="26" t="s">
        <v>4863</v>
      </c>
      <c r="B1283" s="27" t="s">
        <v>4864</v>
      </c>
      <c r="C1283" s="27" t="s">
        <v>144</v>
      </c>
      <c r="D1283" s="26" t="s">
        <v>4865</v>
      </c>
      <c r="E1283" s="27" t="s">
        <v>4866</v>
      </c>
      <c r="F1283" s="28" t="s">
        <v>146</v>
      </c>
      <c r="G1283" s="27" t="s">
        <v>3537</v>
      </c>
      <c r="H1283" s="27" t="s">
        <v>56</v>
      </c>
      <c r="I1283" s="27" t="s">
        <v>37</v>
      </c>
      <c r="J1283" s="28" t="s">
        <v>399</v>
      </c>
      <c r="K1283" s="27" t="s">
        <v>37</v>
      </c>
      <c r="L1283" s="27"/>
    </row>
    <row r="1284" customFormat="false" ht="15" hidden="false" customHeight="false" outlineLevel="0" collapsed="false">
      <c r="A1284" s="26" t="s">
        <v>4867</v>
      </c>
      <c r="B1284" s="27" t="s">
        <v>4868</v>
      </c>
      <c r="C1284" s="27" t="s">
        <v>144</v>
      </c>
      <c r="D1284" s="26" t="s">
        <v>4869</v>
      </c>
      <c r="E1284" s="27" t="s">
        <v>4870</v>
      </c>
      <c r="F1284" s="28" t="s">
        <v>146</v>
      </c>
      <c r="G1284" s="27" t="s">
        <v>3537</v>
      </c>
      <c r="H1284" s="27" t="s">
        <v>56</v>
      </c>
      <c r="I1284" s="27" t="s">
        <v>37</v>
      </c>
      <c r="J1284" s="28" t="s">
        <v>399</v>
      </c>
      <c r="K1284" s="27" t="s">
        <v>37</v>
      </c>
      <c r="L1284" s="27"/>
    </row>
    <row r="1285" customFormat="false" ht="15" hidden="false" customHeight="false" outlineLevel="0" collapsed="false">
      <c r="A1285" s="26" t="s">
        <v>4871</v>
      </c>
      <c r="B1285" s="27" t="s">
        <v>4872</v>
      </c>
      <c r="C1285" s="27" t="s">
        <v>144</v>
      </c>
      <c r="D1285" s="26" t="s">
        <v>4873</v>
      </c>
      <c r="E1285" s="28" t="s">
        <v>4874</v>
      </c>
      <c r="F1285" s="28" t="s">
        <v>146</v>
      </c>
      <c r="G1285" s="27" t="s">
        <v>3537</v>
      </c>
      <c r="H1285" s="27" t="s">
        <v>56</v>
      </c>
      <c r="I1285" s="27" t="s">
        <v>37</v>
      </c>
      <c r="J1285" s="28" t="s">
        <v>399</v>
      </c>
      <c r="K1285" s="27" t="s">
        <v>37</v>
      </c>
      <c r="L1285" s="27"/>
    </row>
    <row r="1286" customFormat="false" ht="15" hidden="false" customHeight="false" outlineLevel="0" collapsed="false">
      <c r="A1286" s="26" t="s">
        <v>4875</v>
      </c>
      <c r="B1286" s="27" t="s">
        <v>4876</v>
      </c>
      <c r="C1286" s="27" t="s">
        <v>144</v>
      </c>
      <c r="D1286" s="26" t="s">
        <v>4877</v>
      </c>
      <c r="E1286" s="27" t="s">
        <v>4878</v>
      </c>
      <c r="F1286" s="28" t="s">
        <v>146</v>
      </c>
      <c r="G1286" s="27" t="s">
        <v>3537</v>
      </c>
      <c r="H1286" s="27" t="s">
        <v>56</v>
      </c>
      <c r="I1286" s="27" t="s">
        <v>37</v>
      </c>
      <c r="J1286" s="28" t="s">
        <v>399</v>
      </c>
      <c r="K1286" s="27" t="s">
        <v>37</v>
      </c>
      <c r="L1286" s="27"/>
    </row>
    <row r="1287" customFormat="false" ht="15" hidden="false" customHeight="false" outlineLevel="0" collapsed="false">
      <c r="A1287" s="26" t="s">
        <v>4879</v>
      </c>
      <c r="B1287" s="27" t="s">
        <v>4880</v>
      </c>
      <c r="C1287" s="27" t="s">
        <v>144</v>
      </c>
      <c r="D1287" s="26" t="s">
        <v>4881</v>
      </c>
      <c r="E1287" s="27" t="s">
        <v>4882</v>
      </c>
      <c r="F1287" s="28" t="s">
        <v>146</v>
      </c>
      <c r="G1287" s="27" t="s">
        <v>3537</v>
      </c>
      <c r="H1287" s="27" t="s">
        <v>56</v>
      </c>
      <c r="I1287" s="27" t="s">
        <v>37</v>
      </c>
      <c r="J1287" s="28" t="s">
        <v>399</v>
      </c>
      <c r="K1287" s="27" t="s">
        <v>37</v>
      </c>
      <c r="L1287" s="27"/>
    </row>
    <row r="1288" customFormat="false" ht="15" hidden="false" customHeight="false" outlineLevel="0" collapsed="false">
      <c r="A1288" s="26" t="s">
        <v>4883</v>
      </c>
      <c r="B1288" s="27" t="s">
        <v>4884</v>
      </c>
      <c r="C1288" s="27" t="s">
        <v>144</v>
      </c>
      <c r="D1288" s="26" t="s">
        <v>4885</v>
      </c>
      <c r="E1288" s="27" t="s">
        <v>4886</v>
      </c>
      <c r="F1288" s="28" t="s">
        <v>146</v>
      </c>
      <c r="G1288" s="27" t="s">
        <v>3537</v>
      </c>
      <c r="H1288" s="27" t="s">
        <v>56</v>
      </c>
      <c r="I1288" s="27" t="s">
        <v>37</v>
      </c>
      <c r="J1288" s="28" t="s">
        <v>399</v>
      </c>
      <c r="K1288" s="27" t="s">
        <v>37</v>
      </c>
      <c r="L1288" s="27"/>
    </row>
    <row r="1289" customFormat="false" ht="15" hidden="false" customHeight="false" outlineLevel="0" collapsed="false">
      <c r="A1289" s="26" t="s">
        <v>4887</v>
      </c>
      <c r="B1289" s="27" t="s">
        <v>4888</v>
      </c>
      <c r="C1289" s="27" t="s">
        <v>144</v>
      </c>
      <c r="D1289" s="26" t="s">
        <v>4889</v>
      </c>
      <c r="E1289" s="27" t="s">
        <v>4890</v>
      </c>
      <c r="F1289" s="28" t="s">
        <v>146</v>
      </c>
      <c r="G1289" s="27" t="s">
        <v>3537</v>
      </c>
      <c r="H1289" s="27" t="s">
        <v>56</v>
      </c>
      <c r="I1289" s="27" t="s">
        <v>37</v>
      </c>
      <c r="J1289" s="28" t="s">
        <v>399</v>
      </c>
      <c r="K1289" s="27" t="s">
        <v>37</v>
      </c>
      <c r="L1289" s="27"/>
    </row>
    <row r="1290" customFormat="false" ht="15" hidden="false" customHeight="false" outlineLevel="0" collapsed="false">
      <c r="A1290" s="26" t="s">
        <v>4891</v>
      </c>
      <c r="B1290" s="27" t="s">
        <v>4892</v>
      </c>
      <c r="C1290" s="27" t="s">
        <v>144</v>
      </c>
      <c r="D1290" s="26" t="s">
        <v>462</v>
      </c>
      <c r="E1290" s="27" t="s">
        <v>463</v>
      </c>
      <c r="F1290" s="28" t="s">
        <v>146</v>
      </c>
      <c r="G1290" s="27" t="s">
        <v>3537</v>
      </c>
      <c r="H1290" s="27" t="s">
        <v>56</v>
      </c>
      <c r="I1290" s="27" t="s">
        <v>37</v>
      </c>
      <c r="J1290" s="28" t="s">
        <v>399</v>
      </c>
      <c r="K1290" s="27" t="s">
        <v>37</v>
      </c>
      <c r="L1290" s="27"/>
    </row>
    <row r="1291" customFormat="false" ht="15" hidden="false" customHeight="false" outlineLevel="0" collapsed="false">
      <c r="A1291" s="26" t="s">
        <v>4893</v>
      </c>
      <c r="B1291" s="27" t="s">
        <v>4894</v>
      </c>
      <c r="C1291" s="27" t="s">
        <v>144</v>
      </c>
      <c r="D1291" s="26" t="s">
        <v>4895</v>
      </c>
      <c r="E1291" s="27" t="s">
        <v>4896</v>
      </c>
      <c r="F1291" s="28" t="s">
        <v>146</v>
      </c>
      <c r="G1291" s="27" t="s">
        <v>3537</v>
      </c>
      <c r="H1291" s="27" t="s">
        <v>56</v>
      </c>
      <c r="I1291" s="27" t="s">
        <v>37</v>
      </c>
      <c r="J1291" s="28" t="s">
        <v>399</v>
      </c>
      <c r="K1291" s="27" t="s">
        <v>37</v>
      </c>
      <c r="L1291" s="27"/>
    </row>
    <row r="1292" customFormat="false" ht="15" hidden="false" customHeight="false" outlineLevel="0" collapsed="false">
      <c r="A1292" s="26" t="s">
        <v>4897</v>
      </c>
      <c r="B1292" s="27" t="s">
        <v>4898</v>
      </c>
      <c r="C1292" s="27" t="s">
        <v>144</v>
      </c>
      <c r="D1292" s="26" t="s">
        <v>4899</v>
      </c>
      <c r="E1292" s="27" t="s">
        <v>4900</v>
      </c>
      <c r="F1292" s="28" t="s">
        <v>146</v>
      </c>
      <c r="G1292" s="27" t="s">
        <v>3537</v>
      </c>
      <c r="H1292" s="27" t="s">
        <v>56</v>
      </c>
      <c r="I1292" s="27" t="s">
        <v>37</v>
      </c>
      <c r="J1292" s="28" t="s">
        <v>399</v>
      </c>
      <c r="K1292" s="27" t="s">
        <v>37</v>
      </c>
      <c r="L1292" s="27"/>
    </row>
    <row r="1293" customFormat="false" ht="15" hidden="false" customHeight="false" outlineLevel="0" collapsed="false">
      <c r="A1293" s="26" t="s">
        <v>4901</v>
      </c>
      <c r="B1293" s="27" t="s">
        <v>4902</v>
      </c>
      <c r="C1293" s="27" t="s">
        <v>144</v>
      </c>
      <c r="D1293" s="26" t="s">
        <v>4903</v>
      </c>
      <c r="E1293" s="27" t="s">
        <v>4904</v>
      </c>
      <c r="F1293" s="28" t="s">
        <v>146</v>
      </c>
      <c r="G1293" s="27" t="s">
        <v>3537</v>
      </c>
      <c r="H1293" s="27" t="s">
        <v>56</v>
      </c>
      <c r="I1293" s="27" t="s">
        <v>37</v>
      </c>
      <c r="J1293" s="28" t="s">
        <v>399</v>
      </c>
      <c r="K1293" s="27" t="s">
        <v>37</v>
      </c>
      <c r="L1293" s="27"/>
    </row>
    <row r="1294" customFormat="false" ht="15" hidden="false" customHeight="false" outlineLevel="0" collapsed="false">
      <c r="A1294" s="26" t="s">
        <v>4905</v>
      </c>
      <c r="B1294" s="27" t="s">
        <v>4906</v>
      </c>
      <c r="C1294" s="27" t="s">
        <v>144</v>
      </c>
      <c r="D1294" s="26" t="s">
        <v>4907</v>
      </c>
      <c r="E1294" s="27" t="s">
        <v>4908</v>
      </c>
      <c r="F1294" s="28" t="s">
        <v>146</v>
      </c>
      <c r="G1294" s="27" t="s">
        <v>3537</v>
      </c>
      <c r="H1294" s="27" t="s">
        <v>56</v>
      </c>
      <c r="I1294" s="27" t="s">
        <v>37</v>
      </c>
      <c r="J1294" s="28" t="s">
        <v>399</v>
      </c>
      <c r="K1294" s="27" t="s">
        <v>37</v>
      </c>
      <c r="L1294" s="27"/>
    </row>
    <row r="1295" customFormat="false" ht="15" hidden="false" customHeight="false" outlineLevel="0" collapsed="false">
      <c r="A1295" s="26" t="s">
        <v>4909</v>
      </c>
      <c r="B1295" s="27" t="s">
        <v>4910</v>
      </c>
      <c r="C1295" s="27" t="s">
        <v>144</v>
      </c>
      <c r="D1295" s="26" t="s">
        <v>4911</v>
      </c>
      <c r="E1295" s="27" t="s">
        <v>4912</v>
      </c>
      <c r="F1295" s="28" t="s">
        <v>146</v>
      </c>
      <c r="G1295" s="27" t="s">
        <v>3537</v>
      </c>
      <c r="H1295" s="27" t="s">
        <v>56</v>
      </c>
      <c r="I1295" s="27" t="s">
        <v>37</v>
      </c>
      <c r="J1295" s="28" t="s">
        <v>399</v>
      </c>
      <c r="K1295" s="27" t="s">
        <v>37</v>
      </c>
      <c r="L1295" s="27"/>
    </row>
    <row r="1296" customFormat="false" ht="15" hidden="false" customHeight="false" outlineLevel="0" collapsed="false">
      <c r="A1296" s="26" t="s">
        <v>4913</v>
      </c>
      <c r="B1296" s="27" t="s">
        <v>4914</v>
      </c>
      <c r="C1296" s="27" t="s">
        <v>144</v>
      </c>
      <c r="D1296" s="26" t="s">
        <v>4915</v>
      </c>
      <c r="E1296" s="27" t="s">
        <v>4916</v>
      </c>
      <c r="F1296" s="28" t="s">
        <v>146</v>
      </c>
      <c r="G1296" s="27" t="s">
        <v>3537</v>
      </c>
      <c r="H1296" s="27" t="s">
        <v>56</v>
      </c>
      <c r="I1296" s="27" t="s">
        <v>37</v>
      </c>
      <c r="J1296" s="28" t="s">
        <v>399</v>
      </c>
      <c r="K1296" s="27" t="s">
        <v>37</v>
      </c>
      <c r="L1296" s="27"/>
    </row>
    <row r="1297" customFormat="false" ht="15" hidden="false" customHeight="false" outlineLevel="0" collapsed="false">
      <c r="A1297" s="26" t="s">
        <v>4917</v>
      </c>
      <c r="B1297" s="27" t="s">
        <v>4918</v>
      </c>
      <c r="C1297" s="27" t="s">
        <v>144</v>
      </c>
      <c r="D1297" s="26" t="s">
        <v>4899</v>
      </c>
      <c r="E1297" s="27" t="s">
        <v>4900</v>
      </c>
      <c r="F1297" s="28" t="s">
        <v>146</v>
      </c>
      <c r="G1297" s="27" t="s">
        <v>3537</v>
      </c>
      <c r="H1297" s="27" t="s">
        <v>56</v>
      </c>
      <c r="I1297" s="27" t="s">
        <v>37</v>
      </c>
      <c r="J1297" s="28" t="s">
        <v>399</v>
      </c>
      <c r="K1297" s="27" t="s">
        <v>37</v>
      </c>
      <c r="L1297" s="27"/>
    </row>
    <row r="1298" customFormat="false" ht="15" hidden="false" customHeight="false" outlineLevel="0" collapsed="false">
      <c r="A1298" s="26" t="s">
        <v>4919</v>
      </c>
      <c r="B1298" s="27" t="s">
        <v>4920</v>
      </c>
      <c r="C1298" s="27" t="s">
        <v>144</v>
      </c>
      <c r="D1298" s="26" t="s">
        <v>4907</v>
      </c>
      <c r="E1298" s="27" t="s">
        <v>4908</v>
      </c>
      <c r="F1298" s="28" t="s">
        <v>146</v>
      </c>
      <c r="G1298" s="27" t="s">
        <v>3537</v>
      </c>
      <c r="H1298" s="27" t="s">
        <v>56</v>
      </c>
      <c r="I1298" s="27" t="s">
        <v>37</v>
      </c>
      <c r="J1298" s="28" t="s">
        <v>399</v>
      </c>
      <c r="K1298" s="27" t="s">
        <v>37</v>
      </c>
      <c r="L1298" s="27"/>
    </row>
    <row r="1299" customFormat="false" ht="15" hidden="false" customHeight="false" outlineLevel="0" collapsed="false">
      <c r="A1299" s="26" t="s">
        <v>4921</v>
      </c>
      <c r="B1299" s="27" t="s">
        <v>4922</v>
      </c>
      <c r="C1299" s="27" t="s">
        <v>144</v>
      </c>
      <c r="D1299" s="26" t="s">
        <v>4923</v>
      </c>
      <c r="E1299" s="27" t="s">
        <v>4924</v>
      </c>
      <c r="F1299" s="28" t="s">
        <v>146</v>
      </c>
      <c r="G1299" s="27" t="s">
        <v>3537</v>
      </c>
      <c r="H1299" s="27" t="s">
        <v>56</v>
      </c>
      <c r="I1299" s="27" t="s">
        <v>37</v>
      </c>
      <c r="J1299" s="28" t="s">
        <v>399</v>
      </c>
      <c r="K1299" s="27" t="s">
        <v>37</v>
      </c>
      <c r="L1299" s="27"/>
    </row>
    <row r="1300" customFormat="false" ht="15" hidden="false" customHeight="false" outlineLevel="0" collapsed="false">
      <c r="A1300" s="26" t="s">
        <v>4925</v>
      </c>
      <c r="B1300" s="27" t="s">
        <v>4926</v>
      </c>
      <c r="C1300" s="27" t="s">
        <v>144</v>
      </c>
      <c r="D1300" s="26" t="s">
        <v>4927</v>
      </c>
      <c r="E1300" s="27" t="s">
        <v>4928</v>
      </c>
      <c r="F1300" s="28" t="s">
        <v>146</v>
      </c>
      <c r="G1300" s="27" t="s">
        <v>3537</v>
      </c>
      <c r="H1300" s="27" t="s">
        <v>56</v>
      </c>
      <c r="I1300" s="27" t="s">
        <v>37</v>
      </c>
      <c r="J1300" s="28" t="s">
        <v>399</v>
      </c>
      <c r="K1300" s="27" t="s">
        <v>37</v>
      </c>
      <c r="L1300" s="27"/>
    </row>
    <row r="1301" customFormat="false" ht="15" hidden="false" customHeight="false" outlineLevel="0" collapsed="false">
      <c r="A1301" s="26" t="s">
        <v>4929</v>
      </c>
      <c r="B1301" s="27" t="s">
        <v>4930</v>
      </c>
      <c r="C1301" s="27" t="s">
        <v>144</v>
      </c>
      <c r="D1301" s="26" t="s">
        <v>4931</v>
      </c>
      <c r="E1301" s="27" t="s">
        <v>4932</v>
      </c>
      <c r="F1301" s="28" t="s">
        <v>146</v>
      </c>
      <c r="G1301" s="27" t="s">
        <v>3537</v>
      </c>
      <c r="H1301" s="27" t="s">
        <v>56</v>
      </c>
      <c r="I1301" s="27" t="s">
        <v>37</v>
      </c>
      <c r="J1301" s="28" t="s">
        <v>399</v>
      </c>
      <c r="K1301" s="27" t="s">
        <v>37</v>
      </c>
      <c r="L1301" s="27"/>
    </row>
    <row r="1302" customFormat="false" ht="15" hidden="false" customHeight="false" outlineLevel="0" collapsed="false">
      <c r="A1302" s="26" t="s">
        <v>4933</v>
      </c>
      <c r="B1302" s="27" t="s">
        <v>4934</v>
      </c>
      <c r="C1302" s="27" t="s">
        <v>144</v>
      </c>
      <c r="D1302" s="26" t="s">
        <v>4935</v>
      </c>
      <c r="E1302" s="27" t="s">
        <v>4936</v>
      </c>
      <c r="F1302" s="28" t="s">
        <v>146</v>
      </c>
      <c r="G1302" s="27" t="s">
        <v>3537</v>
      </c>
      <c r="H1302" s="27" t="s">
        <v>56</v>
      </c>
      <c r="I1302" s="27" t="s">
        <v>37</v>
      </c>
      <c r="J1302" s="28" t="s">
        <v>399</v>
      </c>
      <c r="K1302" s="27" t="s">
        <v>37</v>
      </c>
      <c r="L1302" s="27"/>
    </row>
    <row r="1303" customFormat="false" ht="15" hidden="false" customHeight="false" outlineLevel="0" collapsed="false">
      <c r="A1303" s="26" t="s">
        <v>4937</v>
      </c>
      <c r="B1303" s="27" t="s">
        <v>4938</v>
      </c>
      <c r="C1303" s="27" t="s">
        <v>144</v>
      </c>
      <c r="D1303" s="26" t="s">
        <v>4939</v>
      </c>
      <c r="E1303" s="28" t="s">
        <v>4940</v>
      </c>
      <c r="F1303" s="28" t="s">
        <v>146</v>
      </c>
      <c r="G1303" s="27" t="s">
        <v>3537</v>
      </c>
      <c r="H1303" s="27" t="s">
        <v>56</v>
      </c>
      <c r="I1303" s="27" t="s">
        <v>37</v>
      </c>
      <c r="J1303" s="28" t="s">
        <v>399</v>
      </c>
      <c r="K1303" s="27" t="s">
        <v>37</v>
      </c>
      <c r="L1303" s="27"/>
    </row>
    <row r="1304" customFormat="false" ht="15" hidden="false" customHeight="false" outlineLevel="0" collapsed="false">
      <c r="A1304" s="26" t="s">
        <v>4941</v>
      </c>
      <c r="B1304" s="27" t="s">
        <v>4942</v>
      </c>
      <c r="C1304" s="27" t="s">
        <v>144</v>
      </c>
      <c r="D1304" s="26" t="s">
        <v>4943</v>
      </c>
      <c r="E1304" s="27" t="s">
        <v>4944</v>
      </c>
      <c r="F1304" s="28" t="s">
        <v>146</v>
      </c>
      <c r="G1304" s="27" t="s">
        <v>3537</v>
      </c>
      <c r="H1304" s="27" t="s">
        <v>56</v>
      </c>
      <c r="I1304" s="27" t="s">
        <v>37</v>
      </c>
      <c r="J1304" s="28" t="s">
        <v>399</v>
      </c>
      <c r="K1304" s="27" t="s">
        <v>37</v>
      </c>
      <c r="L1304" s="27"/>
    </row>
    <row r="1305" customFormat="false" ht="15" hidden="false" customHeight="false" outlineLevel="0" collapsed="false">
      <c r="A1305" s="26" t="s">
        <v>4945</v>
      </c>
      <c r="B1305" s="27" t="s">
        <v>4946</v>
      </c>
      <c r="C1305" s="27" t="s">
        <v>144</v>
      </c>
      <c r="D1305" s="26" t="s">
        <v>4947</v>
      </c>
      <c r="E1305" s="27" t="s">
        <v>4948</v>
      </c>
      <c r="F1305" s="28" t="s">
        <v>146</v>
      </c>
      <c r="G1305" s="27" t="s">
        <v>3537</v>
      </c>
      <c r="H1305" s="27" t="s">
        <v>56</v>
      </c>
      <c r="I1305" s="27" t="s">
        <v>37</v>
      </c>
      <c r="J1305" s="28" t="s">
        <v>399</v>
      </c>
      <c r="K1305" s="27" t="s">
        <v>37</v>
      </c>
      <c r="L1305" s="27"/>
    </row>
    <row r="1306" customFormat="false" ht="15" hidden="false" customHeight="false" outlineLevel="0" collapsed="false">
      <c r="A1306" s="26" t="s">
        <v>4949</v>
      </c>
      <c r="B1306" s="27" t="s">
        <v>4950</v>
      </c>
      <c r="C1306" s="27" t="s">
        <v>144</v>
      </c>
      <c r="D1306" s="26" t="s">
        <v>4951</v>
      </c>
      <c r="E1306" s="27" t="s">
        <v>4952</v>
      </c>
      <c r="F1306" s="28" t="s">
        <v>146</v>
      </c>
      <c r="G1306" s="27" t="s">
        <v>3537</v>
      </c>
      <c r="H1306" s="27" t="s">
        <v>56</v>
      </c>
      <c r="I1306" s="27" t="s">
        <v>37</v>
      </c>
      <c r="J1306" s="28" t="s">
        <v>399</v>
      </c>
      <c r="K1306" s="27" t="s">
        <v>37</v>
      </c>
      <c r="L1306" s="27"/>
    </row>
    <row r="1307" customFormat="false" ht="15" hidden="false" customHeight="false" outlineLevel="0" collapsed="false">
      <c r="A1307" s="26" t="s">
        <v>4953</v>
      </c>
      <c r="B1307" s="27" t="s">
        <v>4954</v>
      </c>
      <c r="C1307" s="27" t="s">
        <v>144</v>
      </c>
      <c r="D1307" s="26" t="s">
        <v>397</v>
      </c>
      <c r="E1307" s="27" t="s">
        <v>398</v>
      </c>
      <c r="F1307" s="28" t="s">
        <v>146</v>
      </c>
      <c r="G1307" s="27" t="s">
        <v>3537</v>
      </c>
      <c r="H1307" s="27" t="s">
        <v>56</v>
      </c>
      <c r="I1307" s="27" t="s">
        <v>37</v>
      </c>
      <c r="J1307" s="28" t="s">
        <v>399</v>
      </c>
      <c r="K1307" s="27" t="s">
        <v>37</v>
      </c>
      <c r="L1307" s="27"/>
    </row>
    <row r="1308" customFormat="false" ht="15" hidden="false" customHeight="false" outlineLevel="0" collapsed="false">
      <c r="A1308" s="26" t="s">
        <v>4955</v>
      </c>
      <c r="B1308" s="27" t="s">
        <v>4956</v>
      </c>
      <c r="C1308" s="27" t="s">
        <v>144</v>
      </c>
      <c r="D1308" s="26" t="s">
        <v>4957</v>
      </c>
      <c r="E1308" s="27" t="s">
        <v>4958</v>
      </c>
      <c r="F1308" s="28" t="s">
        <v>146</v>
      </c>
      <c r="G1308" s="27" t="s">
        <v>3537</v>
      </c>
      <c r="H1308" s="27" t="s">
        <v>56</v>
      </c>
      <c r="I1308" s="27" t="s">
        <v>37</v>
      </c>
      <c r="J1308" s="28" t="s">
        <v>399</v>
      </c>
      <c r="K1308" s="27" t="s">
        <v>37</v>
      </c>
      <c r="L1308" s="27"/>
    </row>
    <row r="1309" customFormat="false" ht="15" hidden="false" customHeight="false" outlineLevel="0" collapsed="false">
      <c r="A1309" s="26" t="s">
        <v>4959</v>
      </c>
      <c r="B1309" s="27" t="s">
        <v>4960</v>
      </c>
      <c r="C1309" s="27" t="s">
        <v>144</v>
      </c>
      <c r="D1309" s="26" t="s">
        <v>4961</v>
      </c>
      <c r="E1309" s="27" t="s">
        <v>4962</v>
      </c>
      <c r="F1309" s="28" t="s">
        <v>146</v>
      </c>
      <c r="G1309" s="27" t="s">
        <v>3537</v>
      </c>
      <c r="H1309" s="27" t="s">
        <v>56</v>
      </c>
      <c r="I1309" s="27" t="s">
        <v>37</v>
      </c>
      <c r="J1309" s="28" t="s">
        <v>399</v>
      </c>
      <c r="K1309" s="27" t="s">
        <v>37</v>
      </c>
      <c r="L1309" s="27"/>
    </row>
    <row r="1310" customFormat="false" ht="15" hidden="false" customHeight="false" outlineLevel="0" collapsed="false">
      <c r="A1310" s="26" t="s">
        <v>4963</v>
      </c>
      <c r="B1310" s="27" t="s">
        <v>4964</v>
      </c>
      <c r="C1310" s="27" t="s">
        <v>144</v>
      </c>
      <c r="D1310" s="26" t="s">
        <v>4965</v>
      </c>
      <c r="E1310" s="27" t="s">
        <v>4966</v>
      </c>
      <c r="F1310" s="28" t="s">
        <v>146</v>
      </c>
      <c r="G1310" s="27" t="s">
        <v>3537</v>
      </c>
      <c r="H1310" s="27" t="s">
        <v>56</v>
      </c>
      <c r="I1310" s="27" t="s">
        <v>37</v>
      </c>
      <c r="J1310" s="28" t="s">
        <v>399</v>
      </c>
      <c r="K1310" s="27" t="s">
        <v>37</v>
      </c>
      <c r="L1310" s="27"/>
    </row>
    <row r="1311" customFormat="false" ht="15" hidden="false" customHeight="false" outlineLevel="0" collapsed="false">
      <c r="A1311" s="26" t="s">
        <v>4967</v>
      </c>
      <c r="B1311" s="27" t="s">
        <v>4968</v>
      </c>
      <c r="C1311" s="27" t="s">
        <v>144</v>
      </c>
      <c r="D1311" s="26" t="s">
        <v>4969</v>
      </c>
      <c r="E1311" s="27" t="s">
        <v>4970</v>
      </c>
      <c r="F1311" s="28" t="s">
        <v>146</v>
      </c>
      <c r="G1311" s="27" t="s">
        <v>3537</v>
      </c>
      <c r="H1311" s="27" t="s">
        <v>56</v>
      </c>
      <c r="I1311" s="27" t="s">
        <v>37</v>
      </c>
      <c r="J1311" s="28" t="s">
        <v>399</v>
      </c>
      <c r="K1311" s="27" t="s">
        <v>37</v>
      </c>
      <c r="L1311" s="27"/>
    </row>
    <row r="1312" customFormat="false" ht="15" hidden="false" customHeight="false" outlineLevel="0" collapsed="false">
      <c r="A1312" s="26" t="s">
        <v>4971</v>
      </c>
      <c r="B1312" s="27" t="s">
        <v>4972</v>
      </c>
      <c r="C1312" s="27" t="s">
        <v>144</v>
      </c>
      <c r="D1312" s="26" t="s">
        <v>4973</v>
      </c>
      <c r="E1312" s="28" t="s">
        <v>4974</v>
      </c>
      <c r="F1312" s="28" t="s">
        <v>146</v>
      </c>
      <c r="G1312" s="27" t="s">
        <v>3537</v>
      </c>
      <c r="H1312" s="27" t="s">
        <v>56</v>
      </c>
      <c r="I1312" s="27" t="s">
        <v>37</v>
      </c>
      <c r="J1312" s="28" t="s">
        <v>399</v>
      </c>
      <c r="K1312" s="27" t="s">
        <v>37</v>
      </c>
      <c r="L1312" s="27"/>
    </row>
    <row r="1313" customFormat="false" ht="15" hidden="false" customHeight="false" outlineLevel="0" collapsed="false">
      <c r="A1313" s="26" t="s">
        <v>4975</v>
      </c>
      <c r="B1313" s="27" t="s">
        <v>4976</v>
      </c>
      <c r="C1313" s="27" t="s">
        <v>144</v>
      </c>
      <c r="D1313" s="26" t="s">
        <v>4977</v>
      </c>
      <c r="E1313" s="27" t="s">
        <v>4978</v>
      </c>
      <c r="F1313" s="28" t="s">
        <v>146</v>
      </c>
      <c r="G1313" s="27" t="s">
        <v>3537</v>
      </c>
      <c r="H1313" s="27" t="s">
        <v>56</v>
      </c>
      <c r="I1313" s="27" t="s">
        <v>37</v>
      </c>
      <c r="J1313" s="28" t="s">
        <v>399</v>
      </c>
      <c r="K1313" s="27" t="s">
        <v>37</v>
      </c>
      <c r="L1313" s="27"/>
    </row>
    <row r="1314" customFormat="false" ht="15" hidden="false" customHeight="false" outlineLevel="0" collapsed="false">
      <c r="A1314" s="26" t="s">
        <v>4979</v>
      </c>
      <c r="B1314" s="27" t="s">
        <v>4980</v>
      </c>
      <c r="C1314" s="27" t="s">
        <v>144</v>
      </c>
      <c r="D1314" s="26" t="s">
        <v>4981</v>
      </c>
      <c r="E1314" s="28" t="s">
        <v>4982</v>
      </c>
      <c r="F1314" s="28" t="s">
        <v>146</v>
      </c>
      <c r="G1314" s="27" t="s">
        <v>3537</v>
      </c>
      <c r="H1314" s="27" t="s">
        <v>56</v>
      </c>
      <c r="I1314" s="27" t="s">
        <v>37</v>
      </c>
      <c r="J1314" s="28" t="s">
        <v>399</v>
      </c>
      <c r="K1314" s="27" t="s">
        <v>37</v>
      </c>
      <c r="L1314" s="27"/>
    </row>
    <row r="1315" customFormat="false" ht="15" hidden="false" customHeight="false" outlineLevel="0" collapsed="false">
      <c r="A1315" s="26" t="s">
        <v>4983</v>
      </c>
      <c r="B1315" s="27" t="s">
        <v>4984</v>
      </c>
      <c r="C1315" s="27" t="s">
        <v>144</v>
      </c>
      <c r="D1315" s="26" t="s">
        <v>4927</v>
      </c>
      <c r="E1315" s="27" t="s">
        <v>4928</v>
      </c>
      <c r="F1315" s="28" t="s">
        <v>146</v>
      </c>
      <c r="G1315" s="27" t="s">
        <v>3537</v>
      </c>
      <c r="H1315" s="27" t="s">
        <v>56</v>
      </c>
      <c r="I1315" s="27" t="s">
        <v>37</v>
      </c>
      <c r="J1315" s="28" t="s">
        <v>399</v>
      </c>
      <c r="K1315" s="27" t="s">
        <v>37</v>
      </c>
      <c r="L1315" s="27"/>
    </row>
    <row r="1316" customFormat="false" ht="15" hidden="false" customHeight="false" outlineLevel="0" collapsed="false">
      <c r="A1316" s="26" t="s">
        <v>4985</v>
      </c>
      <c r="B1316" s="27" t="s">
        <v>4986</v>
      </c>
      <c r="C1316" s="27" t="s">
        <v>144</v>
      </c>
      <c r="D1316" s="26" t="s">
        <v>4987</v>
      </c>
      <c r="E1316" s="27" t="s">
        <v>4988</v>
      </c>
      <c r="F1316" s="28" t="s">
        <v>146</v>
      </c>
      <c r="G1316" s="27" t="s">
        <v>3537</v>
      </c>
      <c r="H1316" s="27" t="s">
        <v>56</v>
      </c>
      <c r="I1316" s="27" t="s">
        <v>37</v>
      </c>
      <c r="J1316" s="28" t="s">
        <v>399</v>
      </c>
      <c r="K1316" s="27" t="s">
        <v>37</v>
      </c>
      <c r="L1316" s="27"/>
    </row>
    <row r="1317" customFormat="false" ht="15" hidden="false" customHeight="false" outlineLevel="0" collapsed="false">
      <c r="A1317" s="26" t="s">
        <v>4989</v>
      </c>
      <c r="B1317" s="27" t="s">
        <v>4990</v>
      </c>
      <c r="C1317" s="27" t="s">
        <v>144</v>
      </c>
      <c r="D1317" s="26" t="s">
        <v>4991</v>
      </c>
      <c r="E1317" s="27" t="s">
        <v>4992</v>
      </c>
      <c r="F1317" s="28" t="s">
        <v>146</v>
      </c>
      <c r="G1317" s="27" t="s">
        <v>3537</v>
      </c>
      <c r="H1317" s="27" t="s">
        <v>56</v>
      </c>
      <c r="I1317" s="27" t="s">
        <v>37</v>
      </c>
      <c r="J1317" s="28" t="s">
        <v>399</v>
      </c>
      <c r="K1317" s="27" t="s">
        <v>37</v>
      </c>
      <c r="L1317" s="27"/>
    </row>
    <row r="1318" customFormat="false" ht="15" hidden="false" customHeight="false" outlineLevel="0" collapsed="false">
      <c r="A1318" s="26" t="s">
        <v>4993</v>
      </c>
      <c r="B1318" s="27" t="s">
        <v>4994</v>
      </c>
      <c r="C1318" s="27" t="s">
        <v>144</v>
      </c>
      <c r="D1318" s="26" t="s">
        <v>4995</v>
      </c>
      <c r="E1318" s="27" t="s">
        <v>4996</v>
      </c>
      <c r="F1318" s="28" t="s">
        <v>146</v>
      </c>
      <c r="G1318" s="27" t="s">
        <v>3537</v>
      </c>
      <c r="H1318" s="27" t="s">
        <v>56</v>
      </c>
      <c r="I1318" s="27" t="s">
        <v>37</v>
      </c>
      <c r="J1318" s="28" t="s">
        <v>399</v>
      </c>
      <c r="K1318" s="27" t="s">
        <v>37</v>
      </c>
      <c r="L1318" s="27"/>
    </row>
    <row r="1319" customFormat="false" ht="15" hidden="false" customHeight="false" outlineLevel="0" collapsed="false">
      <c r="A1319" s="26" t="s">
        <v>4997</v>
      </c>
      <c r="B1319" s="27" t="s">
        <v>4998</v>
      </c>
      <c r="C1319" s="27" t="s">
        <v>144</v>
      </c>
      <c r="D1319" s="26" t="s">
        <v>4885</v>
      </c>
      <c r="E1319" s="27" t="s">
        <v>4886</v>
      </c>
      <c r="F1319" s="28" t="s">
        <v>146</v>
      </c>
      <c r="G1319" s="27" t="s">
        <v>3537</v>
      </c>
      <c r="H1319" s="27" t="s">
        <v>56</v>
      </c>
      <c r="I1319" s="27" t="s">
        <v>37</v>
      </c>
      <c r="J1319" s="28" t="s">
        <v>399</v>
      </c>
      <c r="K1319" s="27" t="s">
        <v>37</v>
      </c>
      <c r="L1319" s="27"/>
    </row>
    <row r="1320" customFormat="false" ht="15" hidden="false" customHeight="false" outlineLevel="0" collapsed="false">
      <c r="A1320" s="26" t="s">
        <v>4999</v>
      </c>
      <c r="B1320" s="27" t="s">
        <v>5000</v>
      </c>
      <c r="C1320" s="27" t="s">
        <v>144</v>
      </c>
      <c r="D1320" s="26" t="s">
        <v>5001</v>
      </c>
      <c r="E1320" s="27" t="s">
        <v>5002</v>
      </c>
      <c r="F1320" s="28" t="s">
        <v>146</v>
      </c>
      <c r="G1320" s="27" t="s">
        <v>3537</v>
      </c>
      <c r="H1320" s="27" t="s">
        <v>56</v>
      </c>
      <c r="I1320" s="27" t="s">
        <v>37</v>
      </c>
      <c r="J1320" s="28" t="s">
        <v>399</v>
      </c>
      <c r="K1320" s="27" t="s">
        <v>37</v>
      </c>
      <c r="L1320" s="27"/>
    </row>
    <row r="1321" customFormat="false" ht="15" hidden="false" customHeight="false" outlineLevel="0" collapsed="false">
      <c r="A1321" s="26" t="s">
        <v>5003</v>
      </c>
      <c r="B1321" s="27" t="s">
        <v>5004</v>
      </c>
      <c r="C1321" s="27" t="s">
        <v>144</v>
      </c>
      <c r="D1321" s="26" t="s">
        <v>5005</v>
      </c>
      <c r="E1321" s="27" t="s">
        <v>5006</v>
      </c>
      <c r="F1321" s="28" t="s">
        <v>146</v>
      </c>
      <c r="G1321" s="27" t="s">
        <v>3537</v>
      </c>
      <c r="H1321" s="27" t="s">
        <v>56</v>
      </c>
      <c r="I1321" s="27" t="s">
        <v>37</v>
      </c>
      <c r="J1321" s="28" t="s">
        <v>399</v>
      </c>
      <c r="K1321" s="27" t="s">
        <v>37</v>
      </c>
      <c r="L1321" s="27"/>
    </row>
    <row r="1322" customFormat="false" ht="15" hidden="false" customHeight="false" outlineLevel="0" collapsed="false">
      <c r="A1322" s="26" t="s">
        <v>5007</v>
      </c>
      <c r="B1322" s="27" t="s">
        <v>5008</v>
      </c>
      <c r="C1322" s="27" t="s">
        <v>144</v>
      </c>
      <c r="D1322" s="26" t="s">
        <v>5009</v>
      </c>
      <c r="E1322" s="27" t="s">
        <v>5010</v>
      </c>
      <c r="F1322" s="28" t="s">
        <v>146</v>
      </c>
      <c r="G1322" s="27" t="s">
        <v>3537</v>
      </c>
      <c r="H1322" s="27" t="s">
        <v>56</v>
      </c>
      <c r="I1322" s="27" t="s">
        <v>37</v>
      </c>
      <c r="J1322" s="28" t="s">
        <v>399</v>
      </c>
      <c r="K1322" s="27" t="s">
        <v>37</v>
      </c>
      <c r="L1322" s="27"/>
    </row>
    <row r="1323" customFormat="false" ht="15" hidden="false" customHeight="false" outlineLevel="0" collapsed="false">
      <c r="A1323" s="26" t="s">
        <v>5011</v>
      </c>
      <c r="B1323" s="27" t="s">
        <v>5012</v>
      </c>
      <c r="C1323" s="27" t="s">
        <v>144</v>
      </c>
      <c r="D1323" s="26" t="s">
        <v>5013</v>
      </c>
      <c r="E1323" s="27" t="s">
        <v>5014</v>
      </c>
      <c r="F1323" s="28" t="s">
        <v>146</v>
      </c>
      <c r="G1323" s="27" t="s">
        <v>3537</v>
      </c>
      <c r="H1323" s="27" t="s">
        <v>56</v>
      </c>
      <c r="I1323" s="27" t="s">
        <v>37</v>
      </c>
      <c r="J1323" s="28" t="s">
        <v>399</v>
      </c>
      <c r="K1323" s="27" t="s">
        <v>37</v>
      </c>
      <c r="L1323" s="27"/>
    </row>
    <row r="1324" customFormat="false" ht="15" hidden="false" customHeight="false" outlineLevel="0" collapsed="false">
      <c r="A1324" s="26" t="s">
        <v>5015</v>
      </c>
      <c r="B1324" s="27" t="s">
        <v>5016</v>
      </c>
      <c r="C1324" s="27" t="s">
        <v>144</v>
      </c>
      <c r="D1324" s="26" t="s">
        <v>5017</v>
      </c>
      <c r="E1324" s="27" t="s">
        <v>5018</v>
      </c>
      <c r="F1324" s="28" t="s">
        <v>146</v>
      </c>
      <c r="G1324" s="27" t="s">
        <v>3537</v>
      </c>
      <c r="H1324" s="27" t="s">
        <v>56</v>
      </c>
      <c r="I1324" s="27" t="s">
        <v>37</v>
      </c>
      <c r="J1324" s="28" t="s">
        <v>399</v>
      </c>
      <c r="K1324" s="27" t="s">
        <v>37</v>
      </c>
      <c r="L1324" s="27"/>
    </row>
    <row r="1325" customFormat="false" ht="15" hidden="false" customHeight="false" outlineLevel="0" collapsed="false">
      <c r="A1325" s="26" t="s">
        <v>5019</v>
      </c>
      <c r="B1325" s="27" t="s">
        <v>5020</v>
      </c>
      <c r="C1325" s="27" t="s">
        <v>144</v>
      </c>
      <c r="D1325" s="26" t="s">
        <v>2424</v>
      </c>
      <c r="E1325" s="27" t="s">
        <v>2425</v>
      </c>
      <c r="F1325" s="28" t="s">
        <v>146</v>
      </c>
      <c r="G1325" s="27" t="s">
        <v>3537</v>
      </c>
      <c r="H1325" s="27" t="s">
        <v>56</v>
      </c>
      <c r="I1325" s="27" t="s">
        <v>37</v>
      </c>
      <c r="J1325" s="28" t="s">
        <v>399</v>
      </c>
      <c r="K1325" s="27" t="s">
        <v>37</v>
      </c>
      <c r="L1325" s="27"/>
    </row>
    <row r="1326" customFormat="false" ht="15" hidden="false" customHeight="false" outlineLevel="0" collapsed="false">
      <c r="A1326" s="26" t="s">
        <v>5021</v>
      </c>
      <c r="B1326" s="27" t="s">
        <v>5022</v>
      </c>
      <c r="C1326" s="27" t="s">
        <v>144</v>
      </c>
      <c r="D1326" s="26" t="s">
        <v>5023</v>
      </c>
      <c r="E1326" s="27" t="s">
        <v>5024</v>
      </c>
      <c r="F1326" s="28" t="s">
        <v>146</v>
      </c>
      <c r="G1326" s="27" t="s">
        <v>3537</v>
      </c>
      <c r="H1326" s="27" t="s">
        <v>56</v>
      </c>
      <c r="I1326" s="27" t="s">
        <v>37</v>
      </c>
      <c r="J1326" s="28" t="s">
        <v>399</v>
      </c>
      <c r="K1326" s="27" t="s">
        <v>37</v>
      </c>
      <c r="L1326" s="27"/>
    </row>
    <row r="1327" customFormat="false" ht="15" hidden="false" customHeight="false" outlineLevel="0" collapsed="false">
      <c r="A1327" s="26" t="s">
        <v>5025</v>
      </c>
      <c r="B1327" s="27" t="s">
        <v>5026</v>
      </c>
      <c r="C1327" s="27" t="s">
        <v>144</v>
      </c>
      <c r="D1327" s="26" t="s">
        <v>5027</v>
      </c>
      <c r="E1327" s="27" t="s">
        <v>5028</v>
      </c>
      <c r="F1327" s="28" t="s">
        <v>146</v>
      </c>
      <c r="G1327" s="27" t="s">
        <v>3537</v>
      </c>
      <c r="H1327" s="27" t="s">
        <v>56</v>
      </c>
      <c r="I1327" s="27" t="s">
        <v>37</v>
      </c>
      <c r="J1327" s="28" t="s">
        <v>399</v>
      </c>
      <c r="K1327" s="27" t="s">
        <v>37</v>
      </c>
      <c r="L1327" s="27"/>
    </row>
    <row r="1328" customFormat="false" ht="15" hidden="false" customHeight="false" outlineLevel="0" collapsed="false">
      <c r="A1328" s="26" t="s">
        <v>5029</v>
      </c>
      <c r="B1328" s="27" t="s">
        <v>5030</v>
      </c>
      <c r="C1328" s="27" t="s">
        <v>144</v>
      </c>
      <c r="D1328" s="26" t="s">
        <v>5017</v>
      </c>
      <c r="E1328" s="27" t="s">
        <v>5018</v>
      </c>
      <c r="F1328" s="28" t="s">
        <v>146</v>
      </c>
      <c r="G1328" s="27" t="s">
        <v>3537</v>
      </c>
      <c r="H1328" s="27" t="s">
        <v>56</v>
      </c>
      <c r="I1328" s="27" t="s">
        <v>37</v>
      </c>
      <c r="J1328" s="28" t="s">
        <v>399</v>
      </c>
      <c r="K1328" s="27" t="s">
        <v>37</v>
      </c>
      <c r="L1328" s="27"/>
    </row>
    <row r="1329" customFormat="false" ht="15" hidden="false" customHeight="false" outlineLevel="0" collapsed="false">
      <c r="A1329" s="26" t="s">
        <v>5031</v>
      </c>
      <c r="B1329" s="27" t="s">
        <v>5032</v>
      </c>
      <c r="C1329" s="27" t="s">
        <v>144</v>
      </c>
      <c r="D1329" s="26" t="s">
        <v>5013</v>
      </c>
      <c r="E1329" s="27" t="s">
        <v>5014</v>
      </c>
      <c r="F1329" s="28" t="s">
        <v>146</v>
      </c>
      <c r="G1329" s="27" t="s">
        <v>3537</v>
      </c>
      <c r="H1329" s="27" t="s">
        <v>56</v>
      </c>
      <c r="I1329" s="27" t="s">
        <v>37</v>
      </c>
      <c r="J1329" s="28" t="s">
        <v>399</v>
      </c>
      <c r="K1329" s="27" t="s">
        <v>37</v>
      </c>
      <c r="L1329" s="27"/>
    </row>
    <row r="1330" customFormat="false" ht="15" hidden="false" customHeight="false" outlineLevel="0" collapsed="false">
      <c r="A1330" s="26" t="s">
        <v>5033</v>
      </c>
      <c r="B1330" s="27" t="s">
        <v>5034</v>
      </c>
      <c r="C1330" s="27" t="s">
        <v>144</v>
      </c>
      <c r="D1330" s="26" t="s">
        <v>5035</v>
      </c>
      <c r="E1330" s="27" t="s">
        <v>5036</v>
      </c>
      <c r="F1330" s="28" t="s">
        <v>146</v>
      </c>
      <c r="G1330" s="27" t="s">
        <v>3537</v>
      </c>
      <c r="H1330" s="27" t="s">
        <v>56</v>
      </c>
      <c r="I1330" s="27" t="s">
        <v>37</v>
      </c>
      <c r="J1330" s="28" t="s">
        <v>399</v>
      </c>
      <c r="K1330" s="27" t="s">
        <v>37</v>
      </c>
      <c r="L1330" s="27"/>
    </row>
    <row r="1331" customFormat="false" ht="15" hidden="false" customHeight="false" outlineLevel="0" collapsed="false">
      <c r="A1331" s="26" t="s">
        <v>5037</v>
      </c>
      <c r="B1331" s="27" t="s">
        <v>5038</v>
      </c>
      <c r="C1331" s="27" t="s">
        <v>144</v>
      </c>
      <c r="D1331" s="26" t="s">
        <v>5039</v>
      </c>
      <c r="E1331" s="27" t="s">
        <v>5040</v>
      </c>
      <c r="F1331" s="28" t="s">
        <v>146</v>
      </c>
      <c r="G1331" s="27" t="s">
        <v>3537</v>
      </c>
      <c r="H1331" s="27" t="s">
        <v>56</v>
      </c>
      <c r="I1331" s="27" t="s">
        <v>37</v>
      </c>
      <c r="J1331" s="28" t="s">
        <v>399</v>
      </c>
      <c r="K1331" s="27" t="s">
        <v>37</v>
      </c>
      <c r="L1331" s="27"/>
    </row>
    <row r="1332" customFormat="false" ht="15" hidden="false" customHeight="false" outlineLevel="0" collapsed="false">
      <c r="A1332" s="26" t="s">
        <v>5041</v>
      </c>
      <c r="B1332" s="27" t="s">
        <v>5042</v>
      </c>
      <c r="C1332" s="27" t="s">
        <v>144</v>
      </c>
      <c r="D1332" s="26" t="s">
        <v>5043</v>
      </c>
      <c r="E1332" s="27" t="s">
        <v>5044</v>
      </c>
      <c r="F1332" s="28" t="s">
        <v>146</v>
      </c>
      <c r="G1332" s="27" t="s">
        <v>3537</v>
      </c>
      <c r="H1332" s="27" t="s">
        <v>56</v>
      </c>
      <c r="I1332" s="27" t="s">
        <v>37</v>
      </c>
      <c r="J1332" s="28" t="s">
        <v>399</v>
      </c>
      <c r="K1332" s="27" t="s">
        <v>37</v>
      </c>
      <c r="L1332" s="27"/>
    </row>
    <row r="1333" customFormat="false" ht="15" hidden="false" customHeight="false" outlineLevel="0" collapsed="false">
      <c r="A1333" s="26" t="s">
        <v>5045</v>
      </c>
      <c r="B1333" s="27" t="s">
        <v>5046</v>
      </c>
      <c r="C1333" s="27" t="s">
        <v>144</v>
      </c>
      <c r="D1333" s="26" t="s">
        <v>604</v>
      </c>
      <c r="E1333" s="27" t="s">
        <v>605</v>
      </c>
      <c r="F1333" s="28" t="s">
        <v>146</v>
      </c>
      <c r="G1333" s="27" t="s">
        <v>3537</v>
      </c>
      <c r="H1333" s="27" t="s">
        <v>56</v>
      </c>
      <c r="I1333" s="27" t="s">
        <v>37</v>
      </c>
      <c r="J1333" s="28" t="s">
        <v>399</v>
      </c>
      <c r="K1333" s="27" t="s">
        <v>37</v>
      </c>
      <c r="L1333" s="27"/>
    </row>
    <row r="1334" customFormat="false" ht="15" hidden="false" customHeight="false" outlineLevel="0" collapsed="false">
      <c r="A1334" s="26" t="s">
        <v>5047</v>
      </c>
      <c r="B1334" s="27" t="s">
        <v>5048</v>
      </c>
      <c r="C1334" s="27" t="s">
        <v>144</v>
      </c>
      <c r="D1334" s="26" t="s">
        <v>5049</v>
      </c>
      <c r="E1334" s="27" t="s">
        <v>5050</v>
      </c>
      <c r="F1334" s="28" t="s">
        <v>146</v>
      </c>
      <c r="G1334" s="27" t="s">
        <v>3537</v>
      </c>
      <c r="H1334" s="27" t="s">
        <v>56</v>
      </c>
      <c r="I1334" s="27" t="s">
        <v>37</v>
      </c>
      <c r="J1334" s="28" t="s">
        <v>399</v>
      </c>
      <c r="K1334" s="27" t="s">
        <v>37</v>
      </c>
      <c r="L1334" s="27"/>
    </row>
    <row r="1335" customFormat="false" ht="15" hidden="false" customHeight="false" outlineLevel="0" collapsed="false">
      <c r="A1335" s="26" t="s">
        <v>5051</v>
      </c>
      <c r="B1335" s="27" t="s">
        <v>5052</v>
      </c>
      <c r="C1335" s="27" t="s">
        <v>144</v>
      </c>
      <c r="D1335" s="26" t="s">
        <v>5053</v>
      </c>
      <c r="E1335" s="27" t="s">
        <v>5054</v>
      </c>
      <c r="F1335" s="28" t="s">
        <v>146</v>
      </c>
      <c r="G1335" s="27" t="s">
        <v>3537</v>
      </c>
      <c r="H1335" s="27" t="s">
        <v>56</v>
      </c>
      <c r="I1335" s="27" t="s">
        <v>37</v>
      </c>
      <c r="J1335" s="28" t="s">
        <v>399</v>
      </c>
      <c r="K1335" s="27" t="s">
        <v>37</v>
      </c>
      <c r="L1335" s="27"/>
    </row>
    <row r="1336" customFormat="false" ht="15" hidden="false" customHeight="false" outlineLevel="0" collapsed="false">
      <c r="A1336" s="26" t="s">
        <v>5055</v>
      </c>
      <c r="B1336" s="27" t="s">
        <v>5056</v>
      </c>
      <c r="C1336" s="27" t="s">
        <v>144</v>
      </c>
      <c r="D1336" s="26" t="s">
        <v>5027</v>
      </c>
      <c r="E1336" s="27" t="s">
        <v>5028</v>
      </c>
      <c r="F1336" s="28" t="s">
        <v>146</v>
      </c>
      <c r="G1336" s="27" t="s">
        <v>3537</v>
      </c>
      <c r="H1336" s="27" t="s">
        <v>56</v>
      </c>
      <c r="I1336" s="27" t="s">
        <v>37</v>
      </c>
      <c r="J1336" s="28" t="s">
        <v>399</v>
      </c>
      <c r="K1336" s="27" t="s">
        <v>37</v>
      </c>
      <c r="L1336" s="27"/>
    </row>
    <row r="1337" customFormat="false" ht="15" hidden="false" customHeight="false" outlineLevel="0" collapsed="false">
      <c r="A1337" s="26" t="s">
        <v>5057</v>
      </c>
      <c r="B1337" s="27" t="s">
        <v>5058</v>
      </c>
      <c r="C1337" s="27" t="s">
        <v>144</v>
      </c>
      <c r="D1337" s="26" t="s">
        <v>5059</v>
      </c>
      <c r="E1337" s="27" t="s">
        <v>5060</v>
      </c>
      <c r="F1337" s="28" t="s">
        <v>146</v>
      </c>
      <c r="G1337" s="27" t="s">
        <v>3537</v>
      </c>
      <c r="H1337" s="27" t="s">
        <v>56</v>
      </c>
      <c r="I1337" s="27" t="s">
        <v>37</v>
      </c>
      <c r="J1337" s="28" t="s">
        <v>399</v>
      </c>
      <c r="K1337" s="27" t="s">
        <v>37</v>
      </c>
      <c r="L1337" s="27"/>
    </row>
    <row r="1338" customFormat="false" ht="15" hidden="false" customHeight="false" outlineLevel="0" collapsed="false">
      <c r="A1338" s="26" t="s">
        <v>5061</v>
      </c>
      <c r="B1338" s="27" t="s">
        <v>5062</v>
      </c>
      <c r="C1338" s="27" t="s">
        <v>144</v>
      </c>
      <c r="D1338" s="26" t="s">
        <v>5063</v>
      </c>
      <c r="E1338" s="27" t="s">
        <v>5064</v>
      </c>
      <c r="F1338" s="28" t="s">
        <v>146</v>
      </c>
      <c r="G1338" s="27" t="s">
        <v>3537</v>
      </c>
      <c r="H1338" s="27" t="s">
        <v>56</v>
      </c>
      <c r="I1338" s="27" t="s">
        <v>37</v>
      </c>
      <c r="J1338" s="28" t="s">
        <v>399</v>
      </c>
      <c r="K1338" s="27" t="s">
        <v>37</v>
      </c>
      <c r="L1338" s="27"/>
    </row>
    <row r="1339" customFormat="false" ht="15" hidden="false" customHeight="false" outlineLevel="0" collapsed="false">
      <c r="A1339" s="26" t="s">
        <v>5065</v>
      </c>
      <c r="B1339" s="27" t="s">
        <v>5066</v>
      </c>
      <c r="C1339" s="27" t="s">
        <v>144</v>
      </c>
      <c r="D1339" s="26" t="s">
        <v>5067</v>
      </c>
      <c r="E1339" s="27" t="s">
        <v>5068</v>
      </c>
      <c r="F1339" s="28" t="s">
        <v>146</v>
      </c>
      <c r="G1339" s="27" t="s">
        <v>3537</v>
      </c>
      <c r="H1339" s="27" t="s">
        <v>56</v>
      </c>
      <c r="I1339" s="27" t="s">
        <v>37</v>
      </c>
      <c r="J1339" s="28" t="s">
        <v>399</v>
      </c>
      <c r="K1339" s="27" t="s">
        <v>37</v>
      </c>
      <c r="L1339" s="27"/>
    </row>
    <row r="1340" customFormat="false" ht="15" hidden="false" customHeight="false" outlineLevel="0" collapsed="false">
      <c r="A1340" s="26" t="s">
        <v>5069</v>
      </c>
      <c r="B1340" s="27" t="s">
        <v>5070</v>
      </c>
      <c r="C1340" s="27" t="s">
        <v>144</v>
      </c>
      <c r="D1340" s="26" t="s">
        <v>5071</v>
      </c>
      <c r="E1340" s="27" t="s">
        <v>5072</v>
      </c>
      <c r="F1340" s="28" t="s">
        <v>146</v>
      </c>
      <c r="G1340" s="27" t="s">
        <v>3537</v>
      </c>
      <c r="H1340" s="27" t="s">
        <v>56</v>
      </c>
      <c r="I1340" s="27" t="s">
        <v>37</v>
      </c>
      <c r="J1340" s="28" t="s">
        <v>399</v>
      </c>
      <c r="K1340" s="27" t="s">
        <v>37</v>
      </c>
      <c r="L1340" s="27"/>
    </row>
    <row r="1341" customFormat="false" ht="15" hidden="false" customHeight="false" outlineLevel="0" collapsed="false">
      <c r="A1341" s="26" t="s">
        <v>5073</v>
      </c>
      <c r="B1341" s="27" t="s">
        <v>5074</v>
      </c>
      <c r="C1341" s="27" t="s">
        <v>144</v>
      </c>
      <c r="D1341" s="26" t="s">
        <v>5075</v>
      </c>
      <c r="E1341" s="27" t="s">
        <v>5076</v>
      </c>
      <c r="F1341" s="28" t="s">
        <v>146</v>
      </c>
      <c r="G1341" s="27" t="s">
        <v>3537</v>
      </c>
      <c r="H1341" s="27" t="s">
        <v>56</v>
      </c>
      <c r="I1341" s="27" t="s">
        <v>37</v>
      </c>
      <c r="J1341" s="28" t="s">
        <v>399</v>
      </c>
      <c r="K1341" s="27" t="s">
        <v>37</v>
      </c>
      <c r="L1341" s="27"/>
    </row>
    <row r="1342" customFormat="false" ht="15" hidden="false" customHeight="false" outlineLevel="0" collapsed="false">
      <c r="A1342" s="26" t="s">
        <v>5077</v>
      </c>
      <c r="B1342" s="27" t="s">
        <v>5078</v>
      </c>
      <c r="C1342" s="27" t="s">
        <v>144</v>
      </c>
      <c r="D1342" s="26" t="s">
        <v>5079</v>
      </c>
      <c r="E1342" s="27" t="s">
        <v>5080</v>
      </c>
      <c r="F1342" s="28" t="s">
        <v>146</v>
      </c>
      <c r="G1342" s="27" t="s">
        <v>3537</v>
      </c>
      <c r="H1342" s="27" t="s">
        <v>56</v>
      </c>
      <c r="I1342" s="27" t="s">
        <v>37</v>
      </c>
      <c r="J1342" s="28" t="s">
        <v>399</v>
      </c>
      <c r="K1342" s="27" t="s">
        <v>37</v>
      </c>
      <c r="L1342" s="27"/>
    </row>
    <row r="1343" customFormat="false" ht="15" hidden="false" customHeight="false" outlineLevel="0" collapsed="false">
      <c r="A1343" s="26" t="s">
        <v>5081</v>
      </c>
      <c r="B1343" s="27" t="s">
        <v>5082</v>
      </c>
      <c r="C1343" s="27" t="s">
        <v>144</v>
      </c>
      <c r="D1343" s="26" t="s">
        <v>5083</v>
      </c>
      <c r="E1343" s="27" t="s">
        <v>5084</v>
      </c>
      <c r="F1343" s="28" t="s">
        <v>146</v>
      </c>
      <c r="G1343" s="27" t="s">
        <v>3537</v>
      </c>
      <c r="H1343" s="27" t="s">
        <v>56</v>
      </c>
      <c r="I1343" s="27" t="s">
        <v>37</v>
      </c>
      <c r="J1343" s="28" t="s">
        <v>399</v>
      </c>
      <c r="K1343" s="27" t="s">
        <v>37</v>
      </c>
      <c r="L1343" s="27"/>
    </row>
    <row r="1344" customFormat="false" ht="15" hidden="false" customHeight="false" outlineLevel="0" collapsed="false">
      <c r="A1344" s="26" t="s">
        <v>5085</v>
      </c>
      <c r="B1344" s="27" t="s">
        <v>5086</v>
      </c>
      <c r="C1344" s="27" t="s">
        <v>144</v>
      </c>
      <c r="D1344" s="26" t="s">
        <v>5087</v>
      </c>
      <c r="E1344" s="27" t="s">
        <v>5088</v>
      </c>
      <c r="F1344" s="28" t="s">
        <v>146</v>
      </c>
      <c r="G1344" s="27" t="s">
        <v>3537</v>
      </c>
      <c r="H1344" s="27" t="s">
        <v>56</v>
      </c>
      <c r="I1344" s="27" t="s">
        <v>37</v>
      </c>
      <c r="J1344" s="28" t="s">
        <v>399</v>
      </c>
      <c r="K1344" s="27" t="s">
        <v>37</v>
      </c>
      <c r="L1344" s="27"/>
    </row>
    <row r="1345" customFormat="false" ht="15" hidden="false" customHeight="false" outlineLevel="0" collapsed="false">
      <c r="A1345" s="26" t="s">
        <v>5089</v>
      </c>
      <c r="B1345" s="27" t="s">
        <v>5090</v>
      </c>
      <c r="C1345" s="27" t="s">
        <v>144</v>
      </c>
      <c r="D1345" s="26" t="s">
        <v>5091</v>
      </c>
      <c r="E1345" s="27" t="s">
        <v>5092</v>
      </c>
      <c r="F1345" s="28" t="s">
        <v>146</v>
      </c>
      <c r="G1345" s="27" t="s">
        <v>3537</v>
      </c>
      <c r="H1345" s="27" t="s">
        <v>56</v>
      </c>
      <c r="I1345" s="27" t="s">
        <v>37</v>
      </c>
      <c r="J1345" s="28" t="s">
        <v>399</v>
      </c>
      <c r="K1345" s="27" t="s">
        <v>37</v>
      </c>
      <c r="L1345" s="27"/>
    </row>
    <row r="1346" customFormat="false" ht="15" hidden="false" customHeight="false" outlineLevel="0" collapsed="false">
      <c r="A1346" s="26" t="s">
        <v>5093</v>
      </c>
      <c r="B1346" s="27" t="s">
        <v>5094</v>
      </c>
      <c r="C1346" s="27" t="s">
        <v>144</v>
      </c>
      <c r="D1346" s="26" t="s">
        <v>5035</v>
      </c>
      <c r="E1346" s="27" t="s">
        <v>5036</v>
      </c>
      <c r="F1346" s="28" t="s">
        <v>146</v>
      </c>
      <c r="G1346" s="27" t="s">
        <v>3537</v>
      </c>
      <c r="H1346" s="27" t="s">
        <v>56</v>
      </c>
      <c r="I1346" s="27" t="s">
        <v>37</v>
      </c>
      <c r="J1346" s="28" t="s">
        <v>399</v>
      </c>
      <c r="K1346" s="27" t="s">
        <v>37</v>
      </c>
      <c r="L1346" s="27"/>
    </row>
    <row r="1347" customFormat="false" ht="15" hidden="false" customHeight="false" outlineLevel="0" collapsed="false">
      <c r="A1347" s="26" t="s">
        <v>5095</v>
      </c>
      <c r="B1347" s="27" t="s">
        <v>5096</v>
      </c>
      <c r="C1347" s="27" t="s">
        <v>144</v>
      </c>
      <c r="D1347" s="26" t="s">
        <v>5079</v>
      </c>
      <c r="E1347" s="27" t="s">
        <v>5080</v>
      </c>
      <c r="F1347" s="28" t="s">
        <v>146</v>
      </c>
      <c r="G1347" s="27" t="s">
        <v>3537</v>
      </c>
      <c r="H1347" s="27" t="s">
        <v>56</v>
      </c>
      <c r="I1347" s="27" t="s">
        <v>37</v>
      </c>
      <c r="J1347" s="28" t="s">
        <v>399</v>
      </c>
      <c r="K1347" s="27" t="s">
        <v>37</v>
      </c>
      <c r="L1347" s="27"/>
    </row>
    <row r="1348" customFormat="false" ht="15" hidden="false" customHeight="false" outlineLevel="0" collapsed="false">
      <c r="A1348" s="26" t="s">
        <v>5097</v>
      </c>
      <c r="B1348" s="27" t="s">
        <v>5098</v>
      </c>
      <c r="C1348" s="27" t="s">
        <v>144</v>
      </c>
      <c r="D1348" s="26" t="s">
        <v>5099</v>
      </c>
      <c r="E1348" s="27" t="s">
        <v>5100</v>
      </c>
      <c r="F1348" s="28" t="s">
        <v>146</v>
      </c>
      <c r="G1348" s="27" t="s">
        <v>3537</v>
      </c>
      <c r="H1348" s="27" t="s">
        <v>56</v>
      </c>
      <c r="I1348" s="27" t="s">
        <v>37</v>
      </c>
      <c r="J1348" s="28" t="s">
        <v>399</v>
      </c>
      <c r="K1348" s="27" t="s">
        <v>37</v>
      </c>
      <c r="L1348" s="27"/>
    </row>
    <row r="1349" customFormat="false" ht="15" hidden="false" customHeight="false" outlineLevel="0" collapsed="false">
      <c r="A1349" s="26" t="s">
        <v>5101</v>
      </c>
      <c r="B1349" s="27" t="s">
        <v>5102</v>
      </c>
      <c r="C1349" s="27" t="s">
        <v>144</v>
      </c>
      <c r="D1349" s="26" t="s">
        <v>5103</v>
      </c>
      <c r="E1349" s="27" t="s">
        <v>5104</v>
      </c>
      <c r="F1349" s="28" t="s">
        <v>146</v>
      </c>
      <c r="G1349" s="27" t="s">
        <v>3537</v>
      </c>
      <c r="H1349" s="27" t="s">
        <v>56</v>
      </c>
      <c r="I1349" s="27" t="s">
        <v>37</v>
      </c>
      <c r="J1349" s="28" t="s">
        <v>399</v>
      </c>
      <c r="K1349" s="27" t="s">
        <v>37</v>
      </c>
      <c r="L1349" s="27"/>
    </row>
    <row r="1350" customFormat="false" ht="15" hidden="false" customHeight="false" outlineLevel="0" collapsed="false">
      <c r="A1350" s="26" t="s">
        <v>5105</v>
      </c>
      <c r="B1350" s="27" t="s">
        <v>5106</v>
      </c>
      <c r="C1350" s="27" t="s">
        <v>137</v>
      </c>
      <c r="D1350" s="26" t="s">
        <v>5107</v>
      </c>
      <c r="E1350" s="27" t="s">
        <v>5108</v>
      </c>
      <c r="F1350" s="28" t="s">
        <v>140</v>
      </c>
      <c r="G1350" s="27" t="s">
        <v>3537</v>
      </c>
      <c r="H1350" s="27" t="s">
        <v>56</v>
      </c>
      <c r="I1350" s="27" t="s">
        <v>37</v>
      </c>
      <c r="J1350" s="28" t="s">
        <v>399</v>
      </c>
      <c r="K1350" s="27" t="s">
        <v>37</v>
      </c>
      <c r="L1350" s="27"/>
    </row>
    <row r="1351" customFormat="false" ht="15" hidden="false" customHeight="false" outlineLevel="0" collapsed="false">
      <c r="A1351" s="26" t="s">
        <v>5109</v>
      </c>
      <c r="B1351" s="27" t="s">
        <v>5110</v>
      </c>
      <c r="C1351" s="27" t="s">
        <v>144</v>
      </c>
      <c r="D1351" s="26" t="s">
        <v>5111</v>
      </c>
      <c r="E1351" s="27" t="s">
        <v>5112</v>
      </c>
      <c r="F1351" s="28" t="s">
        <v>146</v>
      </c>
      <c r="G1351" s="27" t="s">
        <v>3537</v>
      </c>
      <c r="H1351" s="27" t="s">
        <v>56</v>
      </c>
      <c r="I1351" s="27" t="s">
        <v>37</v>
      </c>
      <c r="J1351" s="28" t="s">
        <v>399</v>
      </c>
      <c r="K1351" s="27" t="s">
        <v>37</v>
      </c>
      <c r="L1351" s="27"/>
    </row>
    <row r="1352" customFormat="false" ht="15" hidden="false" customHeight="false" outlineLevel="0" collapsed="false">
      <c r="A1352" s="26" t="s">
        <v>5113</v>
      </c>
      <c r="B1352" s="27" t="s">
        <v>5114</v>
      </c>
      <c r="C1352" s="27" t="s">
        <v>144</v>
      </c>
      <c r="D1352" s="26" t="s">
        <v>5115</v>
      </c>
      <c r="E1352" s="27" t="s">
        <v>5116</v>
      </c>
      <c r="F1352" s="28" t="s">
        <v>146</v>
      </c>
      <c r="G1352" s="27" t="s">
        <v>3537</v>
      </c>
      <c r="H1352" s="27" t="s">
        <v>56</v>
      </c>
      <c r="I1352" s="27" t="s">
        <v>37</v>
      </c>
      <c r="J1352" s="28" t="s">
        <v>399</v>
      </c>
      <c r="K1352" s="27" t="s">
        <v>37</v>
      </c>
      <c r="L1352" s="27"/>
    </row>
    <row r="1353" customFormat="false" ht="15" hidden="false" customHeight="false" outlineLevel="0" collapsed="false">
      <c r="A1353" s="26" t="s">
        <v>5117</v>
      </c>
      <c r="B1353" s="27" t="s">
        <v>5118</v>
      </c>
      <c r="C1353" s="27" t="s">
        <v>144</v>
      </c>
      <c r="D1353" s="26" t="s">
        <v>5119</v>
      </c>
      <c r="E1353" s="27" t="s">
        <v>5120</v>
      </c>
      <c r="F1353" s="28" t="s">
        <v>146</v>
      </c>
      <c r="G1353" s="27" t="s">
        <v>3537</v>
      </c>
      <c r="H1353" s="27" t="s">
        <v>56</v>
      </c>
      <c r="I1353" s="27" t="s">
        <v>37</v>
      </c>
      <c r="J1353" s="28" t="s">
        <v>399</v>
      </c>
      <c r="K1353" s="27" t="s">
        <v>37</v>
      </c>
      <c r="L1353" s="27"/>
    </row>
    <row r="1354" customFormat="false" ht="15" hidden="false" customHeight="false" outlineLevel="0" collapsed="false">
      <c r="A1354" s="26" t="s">
        <v>5121</v>
      </c>
      <c r="B1354" s="27" t="s">
        <v>5122</v>
      </c>
      <c r="C1354" s="27" t="s">
        <v>144</v>
      </c>
      <c r="D1354" s="26" t="s">
        <v>5123</v>
      </c>
      <c r="E1354" s="27" t="s">
        <v>5124</v>
      </c>
      <c r="F1354" s="28" t="s">
        <v>146</v>
      </c>
      <c r="G1354" s="27" t="s">
        <v>3537</v>
      </c>
      <c r="H1354" s="27" t="s">
        <v>57</v>
      </c>
      <c r="I1354" s="27" t="s">
        <v>41</v>
      </c>
      <c r="J1354" s="28" t="s">
        <v>399</v>
      </c>
      <c r="K1354" s="27" t="s">
        <v>37</v>
      </c>
      <c r="L1354" s="27"/>
    </row>
    <row r="1355" customFormat="false" ht="15" hidden="false" customHeight="false" outlineLevel="0" collapsed="false">
      <c r="A1355" s="26" t="s">
        <v>5125</v>
      </c>
      <c r="B1355" s="27" t="s">
        <v>5126</v>
      </c>
      <c r="C1355" s="27" t="s">
        <v>144</v>
      </c>
      <c r="D1355" s="26" t="s">
        <v>5119</v>
      </c>
      <c r="E1355" s="27" t="s">
        <v>5120</v>
      </c>
      <c r="F1355" s="28" t="s">
        <v>146</v>
      </c>
      <c r="G1355" s="27" t="s">
        <v>3537</v>
      </c>
      <c r="H1355" s="27" t="s">
        <v>56</v>
      </c>
      <c r="I1355" s="27" t="s">
        <v>37</v>
      </c>
      <c r="J1355" s="28" t="s">
        <v>399</v>
      </c>
      <c r="K1355" s="27" t="s">
        <v>37</v>
      </c>
      <c r="L1355" s="27"/>
    </row>
    <row r="1356" customFormat="false" ht="15" hidden="false" customHeight="false" outlineLevel="0" collapsed="false">
      <c r="A1356" s="26" t="s">
        <v>5127</v>
      </c>
      <c r="B1356" s="27" t="s">
        <v>5128</v>
      </c>
      <c r="C1356" s="27" t="s">
        <v>144</v>
      </c>
      <c r="D1356" s="26" t="s">
        <v>5129</v>
      </c>
      <c r="E1356" s="27" t="s">
        <v>5130</v>
      </c>
      <c r="F1356" s="28" t="s">
        <v>146</v>
      </c>
      <c r="G1356" s="27" t="s">
        <v>3537</v>
      </c>
      <c r="H1356" s="27" t="s">
        <v>56</v>
      </c>
      <c r="I1356" s="27" t="s">
        <v>37</v>
      </c>
      <c r="J1356" s="28" t="s">
        <v>399</v>
      </c>
      <c r="K1356" s="27" t="s">
        <v>37</v>
      </c>
      <c r="L1356" s="27"/>
    </row>
    <row r="1357" customFormat="false" ht="15" hidden="false" customHeight="false" outlineLevel="0" collapsed="false">
      <c r="A1357" s="26" t="s">
        <v>5131</v>
      </c>
      <c r="B1357" s="27" t="s">
        <v>5132</v>
      </c>
      <c r="C1357" s="27" t="s">
        <v>144</v>
      </c>
      <c r="D1357" s="26" t="s">
        <v>538</v>
      </c>
      <c r="E1357" s="27" t="s">
        <v>539</v>
      </c>
      <c r="F1357" s="28" t="s">
        <v>146</v>
      </c>
      <c r="G1357" s="27" t="s">
        <v>3537</v>
      </c>
      <c r="H1357" s="27" t="s">
        <v>56</v>
      </c>
      <c r="I1357" s="27" t="s">
        <v>37</v>
      </c>
      <c r="J1357" s="28" t="s">
        <v>399</v>
      </c>
      <c r="K1357" s="27" t="s">
        <v>37</v>
      </c>
      <c r="L1357" s="27"/>
    </row>
    <row r="1358" customFormat="false" ht="15" hidden="false" customHeight="false" outlineLevel="0" collapsed="false">
      <c r="A1358" s="26" t="s">
        <v>5133</v>
      </c>
      <c r="B1358" s="27" t="s">
        <v>5134</v>
      </c>
      <c r="C1358" s="27" t="s">
        <v>144</v>
      </c>
      <c r="D1358" s="26" t="s">
        <v>5135</v>
      </c>
      <c r="E1358" s="27" t="s">
        <v>5136</v>
      </c>
      <c r="F1358" s="28" t="s">
        <v>146</v>
      </c>
      <c r="G1358" s="27" t="s">
        <v>3537</v>
      </c>
      <c r="H1358" s="27" t="s">
        <v>56</v>
      </c>
      <c r="I1358" s="27" t="s">
        <v>37</v>
      </c>
      <c r="J1358" s="28" t="s">
        <v>399</v>
      </c>
      <c r="K1358" s="27" t="s">
        <v>37</v>
      </c>
      <c r="L1358" s="27"/>
    </row>
    <row r="1359" customFormat="false" ht="15" hidden="false" customHeight="false" outlineLevel="0" collapsed="false">
      <c r="A1359" s="26" t="s">
        <v>5137</v>
      </c>
      <c r="B1359" s="27" t="s">
        <v>5138</v>
      </c>
      <c r="C1359" s="27" t="s">
        <v>144</v>
      </c>
      <c r="D1359" s="26" t="s">
        <v>5139</v>
      </c>
      <c r="E1359" s="27" t="s">
        <v>5140</v>
      </c>
      <c r="F1359" s="28" t="s">
        <v>146</v>
      </c>
      <c r="G1359" s="27" t="s">
        <v>3537</v>
      </c>
      <c r="H1359" s="27" t="s">
        <v>56</v>
      </c>
      <c r="I1359" s="27" t="s">
        <v>37</v>
      </c>
      <c r="J1359" s="28" t="s">
        <v>399</v>
      </c>
      <c r="K1359" s="27" t="s">
        <v>37</v>
      </c>
      <c r="L1359" s="27"/>
    </row>
    <row r="1360" customFormat="false" ht="15" hidden="false" customHeight="false" outlineLevel="0" collapsed="false">
      <c r="A1360" s="26" t="s">
        <v>5141</v>
      </c>
      <c r="B1360" s="27" t="s">
        <v>5142</v>
      </c>
      <c r="C1360" s="27" t="s">
        <v>144</v>
      </c>
      <c r="D1360" s="26" t="s">
        <v>5143</v>
      </c>
      <c r="E1360" s="27" t="s">
        <v>5144</v>
      </c>
      <c r="F1360" s="28" t="s">
        <v>146</v>
      </c>
      <c r="G1360" s="27" t="s">
        <v>3537</v>
      </c>
      <c r="H1360" s="27" t="s">
        <v>56</v>
      </c>
      <c r="I1360" s="27" t="s">
        <v>37</v>
      </c>
      <c r="J1360" s="28" t="s">
        <v>399</v>
      </c>
      <c r="K1360" s="27" t="s">
        <v>37</v>
      </c>
      <c r="L1360" s="27"/>
    </row>
    <row r="1361" customFormat="false" ht="15" hidden="false" customHeight="false" outlineLevel="0" collapsed="false">
      <c r="A1361" s="26" t="s">
        <v>5145</v>
      </c>
      <c r="B1361" s="27" t="s">
        <v>5146</v>
      </c>
      <c r="C1361" s="27" t="s">
        <v>144</v>
      </c>
      <c r="D1361" s="26" t="s">
        <v>5147</v>
      </c>
      <c r="E1361" s="27" t="s">
        <v>5148</v>
      </c>
      <c r="F1361" s="28" t="s">
        <v>146</v>
      </c>
      <c r="G1361" s="27" t="s">
        <v>3537</v>
      </c>
      <c r="H1361" s="27" t="s">
        <v>56</v>
      </c>
      <c r="I1361" s="27" t="s">
        <v>37</v>
      </c>
      <c r="J1361" s="28" t="s">
        <v>399</v>
      </c>
      <c r="K1361" s="27" t="s">
        <v>37</v>
      </c>
      <c r="L1361" s="27"/>
    </row>
    <row r="1362" customFormat="false" ht="15" hidden="false" customHeight="false" outlineLevel="0" collapsed="false">
      <c r="A1362" s="26" t="s">
        <v>5149</v>
      </c>
      <c r="B1362" s="27" t="s">
        <v>5150</v>
      </c>
      <c r="C1362" s="27" t="s">
        <v>144</v>
      </c>
      <c r="D1362" s="26" t="s">
        <v>5151</v>
      </c>
      <c r="E1362" s="27" t="s">
        <v>5152</v>
      </c>
      <c r="F1362" s="28" t="s">
        <v>146</v>
      </c>
      <c r="G1362" s="27" t="s">
        <v>3537</v>
      </c>
      <c r="H1362" s="27" t="s">
        <v>56</v>
      </c>
      <c r="I1362" s="27" t="s">
        <v>37</v>
      </c>
      <c r="J1362" s="28" t="s">
        <v>399</v>
      </c>
      <c r="K1362" s="27" t="s">
        <v>37</v>
      </c>
      <c r="L1362" s="27"/>
    </row>
    <row r="1363" customFormat="false" ht="15" hidden="false" customHeight="false" outlineLevel="0" collapsed="false">
      <c r="A1363" s="26" t="s">
        <v>5153</v>
      </c>
      <c r="B1363" s="27" t="s">
        <v>5154</v>
      </c>
      <c r="C1363" s="27" t="s">
        <v>144</v>
      </c>
      <c r="D1363" s="26" t="s">
        <v>5155</v>
      </c>
      <c r="E1363" s="27" t="s">
        <v>5156</v>
      </c>
      <c r="F1363" s="28" t="s">
        <v>146</v>
      </c>
      <c r="G1363" s="27" t="s">
        <v>3537</v>
      </c>
      <c r="H1363" s="27" t="s">
        <v>56</v>
      </c>
      <c r="I1363" s="27" t="s">
        <v>37</v>
      </c>
      <c r="J1363" s="28" t="s">
        <v>399</v>
      </c>
      <c r="K1363" s="27" t="s">
        <v>37</v>
      </c>
      <c r="L1363" s="27"/>
    </row>
    <row r="1364" customFormat="false" ht="15" hidden="false" customHeight="false" outlineLevel="0" collapsed="false">
      <c r="A1364" s="26" t="s">
        <v>5157</v>
      </c>
      <c r="B1364" s="27" t="s">
        <v>5158</v>
      </c>
      <c r="C1364" s="27" t="s">
        <v>144</v>
      </c>
      <c r="D1364" s="26" t="s">
        <v>5159</v>
      </c>
      <c r="E1364" s="27" t="s">
        <v>5160</v>
      </c>
      <c r="F1364" s="28" t="s">
        <v>146</v>
      </c>
      <c r="G1364" s="27" t="s">
        <v>3537</v>
      </c>
      <c r="H1364" s="27" t="s">
        <v>56</v>
      </c>
      <c r="I1364" s="27" t="s">
        <v>37</v>
      </c>
      <c r="J1364" s="28" t="s">
        <v>399</v>
      </c>
      <c r="K1364" s="27" t="s">
        <v>37</v>
      </c>
      <c r="L1364" s="27"/>
    </row>
    <row r="1365" customFormat="false" ht="15" hidden="false" customHeight="false" outlineLevel="0" collapsed="false">
      <c r="A1365" s="26" t="s">
        <v>5161</v>
      </c>
      <c r="B1365" s="27" t="s">
        <v>5162</v>
      </c>
      <c r="C1365" s="27" t="s">
        <v>144</v>
      </c>
      <c r="D1365" s="26" t="s">
        <v>5163</v>
      </c>
      <c r="E1365" s="27" t="s">
        <v>5164</v>
      </c>
      <c r="F1365" s="28" t="s">
        <v>146</v>
      </c>
      <c r="G1365" s="27" t="s">
        <v>3537</v>
      </c>
      <c r="H1365" s="27" t="s">
        <v>56</v>
      </c>
      <c r="I1365" s="27" t="s">
        <v>37</v>
      </c>
      <c r="J1365" s="28" t="s">
        <v>399</v>
      </c>
      <c r="K1365" s="27" t="s">
        <v>37</v>
      </c>
      <c r="L1365" s="27"/>
    </row>
    <row r="1366" customFormat="false" ht="15" hidden="false" customHeight="false" outlineLevel="0" collapsed="false">
      <c r="A1366" s="26" t="s">
        <v>5165</v>
      </c>
      <c r="B1366" s="27" t="s">
        <v>5166</v>
      </c>
      <c r="C1366" s="27" t="s">
        <v>144</v>
      </c>
      <c r="D1366" s="26" t="s">
        <v>5167</v>
      </c>
      <c r="E1366" s="27" t="s">
        <v>5168</v>
      </c>
      <c r="F1366" s="28" t="s">
        <v>146</v>
      </c>
      <c r="G1366" s="27" t="s">
        <v>3537</v>
      </c>
      <c r="H1366" s="27" t="s">
        <v>56</v>
      </c>
      <c r="I1366" s="27" t="s">
        <v>37</v>
      </c>
      <c r="J1366" s="28" t="s">
        <v>399</v>
      </c>
      <c r="K1366" s="27" t="s">
        <v>37</v>
      </c>
      <c r="L1366" s="27"/>
    </row>
    <row r="1367" customFormat="false" ht="15" hidden="false" customHeight="false" outlineLevel="0" collapsed="false">
      <c r="A1367" s="26" t="s">
        <v>5169</v>
      </c>
      <c r="B1367" s="27" t="s">
        <v>5170</v>
      </c>
      <c r="C1367" s="27" t="s">
        <v>144</v>
      </c>
      <c r="D1367" s="26" t="s">
        <v>5171</v>
      </c>
      <c r="E1367" s="27" t="s">
        <v>5172</v>
      </c>
      <c r="F1367" s="28" t="s">
        <v>146</v>
      </c>
      <c r="G1367" s="27" t="s">
        <v>3537</v>
      </c>
      <c r="H1367" s="27" t="s">
        <v>56</v>
      </c>
      <c r="I1367" s="27" t="s">
        <v>37</v>
      </c>
      <c r="J1367" s="28" t="s">
        <v>399</v>
      </c>
      <c r="K1367" s="27" t="s">
        <v>37</v>
      </c>
      <c r="L1367" s="27"/>
    </row>
    <row r="1368" customFormat="false" ht="15" hidden="false" customHeight="false" outlineLevel="0" collapsed="false">
      <c r="A1368" s="26" t="s">
        <v>5173</v>
      </c>
      <c r="B1368" s="27" t="s">
        <v>5174</v>
      </c>
      <c r="C1368" s="27" t="s">
        <v>144</v>
      </c>
      <c r="D1368" s="26" t="s">
        <v>5175</v>
      </c>
      <c r="E1368" s="27" t="s">
        <v>5176</v>
      </c>
      <c r="F1368" s="28" t="s">
        <v>146</v>
      </c>
      <c r="G1368" s="27" t="s">
        <v>3537</v>
      </c>
      <c r="H1368" s="27" t="s">
        <v>56</v>
      </c>
      <c r="I1368" s="27" t="s">
        <v>37</v>
      </c>
      <c r="J1368" s="28" t="s">
        <v>399</v>
      </c>
      <c r="K1368" s="27" t="s">
        <v>37</v>
      </c>
      <c r="L1368" s="27"/>
    </row>
    <row r="1369" customFormat="false" ht="15" hidden="false" customHeight="false" outlineLevel="0" collapsed="false">
      <c r="A1369" s="26" t="s">
        <v>5177</v>
      </c>
      <c r="B1369" s="27" t="s">
        <v>5178</v>
      </c>
      <c r="C1369" s="27" t="s">
        <v>144</v>
      </c>
      <c r="D1369" s="26" t="s">
        <v>5001</v>
      </c>
      <c r="E1369" s="27" t="s">
        <v>5002</v>
      </c>
      <c r="F1369" s="28" t="s">
        <v>146</v>
      </c>
      <c r="G1369" s="27" t="s">
        <v>3537</v>
      </c>
      <c r="H1369" s="27" t="s">
        <v>56</v>
      </c>
      <c r="I1369" s="27" t="s">
        <v>37</v>
      </c>
      <c r="J1369" s="28" t="s">
        <v>399</v>
      </c>
      <c r="K1369" s="27" t="s">
        <v>37</v>
      </c>
      <c r="L1369" s="27"/>
    </row>
    <row r="1370" customFormat="false" ht="15" hidden="false" customHeight="false" outlineLevel="0" collapsed="false">
      <c r="A1370" s="26" t="s">
        <v>5179</v>
      </c>
      <c r="B1370" s="27" t="s">
        <v>5180</v>
      </c>
      <c r="C1370" s="27" t="s">
        <v>144</v>
      </c>
      <c r="D1370" s="26" t="s">
        <v>5181</v>
      </c>
      <c r="E1370" s="27" t="s">
        <v>5182</v>
      </c>
      <c r="F1370" s="28" t="s">
        <v>146</v>
      </c>
      <c r="G1370" s="27" t="s">
        <v>3537</v>
      </c>
      <c r="H1370" s="27" t="s">
        <v>56</v>
      </c>
      <c r="I1370" s="27" t="s">
        <v>37</v>
      </c>
      <c r="J1370" s="28" t="s">
        <v>399</v>
      </c>
      <c r="K1370" s="27" t="s">
        <v>37</v>
      </c>
      <c r="L1370" s="27"/>
    </row>
    <row r="1371" customFormat="false" ht="15" hidden="false" customHeight="false" outlineLevel="0" collapsed="false">
      <c r="A1371" s="26" t="s">
        <v>5183</v>
      </c>
      <c r="B1371" s="27" t="s">
        <v>5184</v>
      </c>
      <c r="C1371" s="27" t="s">
        <v>144</v>
      </c>
      <c r="D1371" s="26" t="s">
        <v>5185</v>
      </c>
      <c r="E1371" s="27" t="s">
        <v>5186</v>
      </c>
      <c r="F1371" s="28" t="s">
        <v>146</v>
      </c>
      <c r="G1371" s="27" t="s">
        <v>3537</v>
      </c>
      <c r="H1371" s="27" t="s">
        <v>56</v>
      </c>
      <c r="I1371" s="27" t="s">
        <v>37</v>
      </c>
      <c r="J1371" s="28" t="s">
        <v>399</v>
      </c>
      <c r="K1371" s="27" t="s">
        <v>37</v>
      </c>
      <c r="L1371" s="27"/>
    </row>
    <row r="1372" customFormat="false" ht="15" hidden="false" customHeight="false" outlineLevel="0" collapsed="false">
      <c r="A1372" s="26" t="s">
        <v>5187</v>
      </c>
      <c r="B1372" s="27" t="s">
        <v>5188</v>
      </c>
      <c r="C1372" s="27" t="s">
        <v>144</v>
      </c>
      <c r="D1372" s="26" t="s">
        <v>5189</v>
      </c>
      <c r="E1372" s="27" t="s">
        <v>5190</v>
      </c>
      <c r="F1372" s="28" t="s">
        <v>146</v>
      </c>
      <c r="G1372" s="27" t="s">
        <v>3537</v>
      </c>
      <c r="H1372" s="27" t="s">
        <v>56</v>
      </c>
      <c r="I1372" s="27" t="s">
        <v>37</v>
      </c>
      <c r="J1372" s="28" t="s">
        <v>399</v>
      </c>
      <c r="K1372" s="27" t="s">
        <v>37</v>
      </c>
      <c r="L1372" s="27"/>
    </row>
    <row r="1373" customFormat="false" ht="15" hidden="false" customHeight="false" outlineLevel="0" collapsed="false">
      <c r="A1373" s="26" t="s">
        <v>5191</v>
      </c>
      <c r="B1373" s="27" t="s">
        <v>5192</v>
      </c>
      <c r="C1373" s="27" t="s">
        <v>144</v>
      </c>
      <c r="D1373" s="26" t="s">
        <v>5193</v>
      </c>
      <c r="E1373" s="27" t="s">
        <v>5194</v>
      </c>
      <c r="F1373" s="28" t="s">
        <v>146</v>
      </c>
      <c r="G1373" s="27" t="s">
        <v>3537</v>
      </c>
      <c r="H1373" s="27" t="s">
        <v>56</v>
      </c>
      <c r="I1373" s="27" t="s">
        <v>37</v>
      </c>
      <c r="J1373" s="28" t="s">
        <v>399</v>
      </c>
      <c r="K1373" s="27" t="s">
        <v>37</v>
      </c>
      <c r="L1373" s="27"/>
    </row>
    <row r="1374" customFormat="false" ht="15" hidden="false" customHeight="false" outlineLevel="0" collapsed="false">
      <c r="A1374" s="26" t="s">
        <v>5195</v>
      </c>
      <c r="B1374" s="27" t="s">
        <v>5196</v>
      </c>
      <c r="C1374" s="27" t="s">
        <v>144</v>
      </c>
      <c r="D1374" s="26" t="s">
        <v>5197</v>
      </c>
      <c r="E1374" s="27" t="s">
        <v>5198</v>
      </c>
      <c r="F1374" s="28" t="s">
        <v>146</v>
      </c>
      <c r="G1374" s="27" t="s">
        <v>3537</v>
      </c>
      <c r="H1374" s="27" t="s">
        <v>57</v>
      </c>
      <c r="I1374" s="27" t="s">
        <v>39</v>
      </c>
      <c r="J1374" s="28" t="s">
        <v>399</v>
      </c>
      <c r="K1374" s="27" t="s">
        <v>37</v>
      </c>
      <c r="L1374" s="27"/>
    </row>
    <row r="1375" customFormat="false" ht="15" hidden="false" customHeight="false" outlineLevel="0" collapsed="false">
      <c r="A1375" s="26" t="s">
        <v>5199</v>
      </c>
      <c r="B1375" s="27" t="s">
        <v>5200</v>
      </c>
      <c r="C1375" s="27" t="s">
        <v>144</v>
      </c>
      <c r="D1375" s="26" t="s">
        <v>5201</v>
      </c>
      <c r="E1375" s="27" t="s">
        <v>5202</v>
      </c>
      <c r="F1375" s="28" t="s">
        <v>146</v>
      </c>
      <c r="G1375" s="27" t="s">
        <v>3537</v>
      </c>
      <c r="H1375" s="27" t="s">
        <v>56</v>
      </c>
      <c r="I1375" s="27" t="s">
        <v>37</v>
      </c>
      <c r="J1375" s="28" t="s">
        <v>399</v>
      </c>
      <c r="K1375" s="27" t="s">
        <v>37</v>
      </c>
      <c r="L1375" s="27"/>
    </row>
    <row r="1376" customFormat="false" ht="15" hidden="false" customHeight="false" outlineLevel="0" collapsed="false">
      <c r="A1376" s="26" t="s">
        <v>5203</v>
      </c>
      <c r="B1376" s="27" t="s">
        <v>5204</v>
      </c>
      <c r="C1376" s="27" t="s">
        <v>144</v>
      </c>
      <c r="D1376" s="26" t="s">
        <v>5205</v>
      </c>
      <c r="E1376" s="27" t="s">
        <v>5206</v>
      </c>
      <c r="F1376" s="28" t="s">
        <v>146</v>
      </c>
      <c r="G1376" s="27" t="s">
        <v>3537</v>
      </c>
      <c r="H1376" s="27" t="s">
        <v>57</v>
      </c>
      <c r="I1376" s="27" t="s">
        <v>41</v>
      </c>
      <c r="J1376" s="28" t="s">
        <v>399</v>
      </c>
      <c r="K1376" s="27" t="s">
        <v>37</v>
      </c>
      <c r="L1376" s="27"/>
    </row>
    <row r="1377" customFormat="false" ht="15" hidden="false" customHeight="false" outlineLevel="0" collapsed="false">
      <c r="A1377" s="26" t="s">
        <v>5207</v>
      </c>
      <c r="B1377" s="27" t="s">
        <v>5208</v>
      </c>
      <c r="C1377" s="27" t="s">
        <v>144</v>
      </c>
      <c r="D1377" s="26" t="s">
        <v>5209</v>
      </c>
      <c r="E1377" s="27" t="s">
        <v>5210</v>
      </c>
      <c r="F1377" s="28" t="s">
        <v>146</v>
      </c>
      <c r="G1377" s="27" t="s">
        <v>3537</v>
      </c>
      <c r="H1377" s="27" t="s">
        <v>57</v>
      </c>
      <c r="I1377" s="27" t="s">
        <v>39</v>
      </c>
      <c r="J1377" s="28" t="s">
        <v>399</v>
      </c>
      <c r="K1377" s="27" t="s">
        <v>37</v>
      </c>
      <c r="L1377" s="27"/>
    </row>
    <row r="1378" customFormat="false" ht="15" hidden="false" customHeight="false" outlineLevel="0" collapsed="false">
      <c r="A1378" s="26" t="s">
        <v>5211</v>
      </c>
      <c r="B1378" s="27" t="s">
        <v>5212</v>
      </c>
      <c r="C1378" s="27" t="s">
        <v>144</v>
      </c>
      <c r="D1378" s="26" t="s">
        <v>5213</v>
      </c>
      <c r="E1378" s="27" t="s">
        <v>5214</v>
      </c>
      <c r="F1378" s="28" t="s">
        <v>146</v>
      </c>
      <c r="G1378" s="27" t="s">
        <v>3537</v>
      </c>
      <c r="H1378" s="27" t="s">
        <v>57</v>
      </c>
      <c r="I1378" s="27" t="s">
        <v>41</v>
      </c>
      <c r="J1378" s="28" t="s">
        <v>399</v>
      </c>
      <c r="K1378" s="27" t="s">
        <v>37</v>
      </c>
      <c r="L1378" s="27"/>
    </row>
    <row r="1379" customFormat="false" ht="15" hidden="false" customHeight="false" outlineLevel="0" collapsed="false">
      <c r="A1379" s="26" t="s">
        <v>5215</v>
      </c>
      <c r="B1379" s="27" t="s">
        <v>5216</v>
      </c>
      <c r="C1379" s="27" t="s">
        <v>144</v>
      </c>
      <c r="D1379" s="26" t="s">
        <v>5217</v>
      </c>
      <c r="E1379" s="27" t="s">
        <v>5218</v>
      </c>
      <c r="F1379" s="28" t="s">
        <v>146</v>
      </c>
      <c r="G1379" s="27" t="s">
        <v>3537</v>
      </c>
      <c r="H1379" s="27" t="s">
        <v>57</v>
      </c>
      <c r="I1379" s="27" t="s">
        <v>41</v>
      </c>
      <c r="J1379" s="28" t="s">
        <v>399</v>
      </c>
      <c r="K1379" s="27" t="s">
        <v>37</v>
      </c>
      <c r="L1379" s="27"/>
    </row>
    <row r="1380" customFormat="false" ht="15" hidden="false" customHeight="false" outlineLevel="0" collapsed="false">
      <c r="A1380" s="26" t="s">
        <v>5219</v>
      </c>
      <c r="B1380" s="27" t="s">
        <v>5220</v>
      </c>
      <c r="C1380" s="27" t="s">
        <v>144</v>
      </c>
      <c r="D1380" s="26" t="s">
        <v>5221</v>
      </c>
      <c r="E1380" s="27" t="s">
        <v>5222</v>
      </c>
      <c r="F1380" s="28" t="s">
        <v>146</v>
      </c>
      <c r="G1380" s="27" t="s">
        <v>3537</v>
      </c>
      <c r="H1380" s="27" t="s">
        <v>56</v>
      </c>
      <c r="I1380" s="27" t="s">
        <v>37</v>
      </c>
      <c r="J1380" s="28" t="s">
        <v>399</v>
      </c>
      <c r="K1380" s="27" t="s">
        <v>37</v>
      </c>
      <c r="L1380" s="27"/>
    </row>
    <row r="1381" customFormat="false" ht="15" hidden="false" customHeight="false" outlineLevel="0" collapsed="false">
      <c r="A1381" s="26" t="s">
        <v>5223</v>
      </c>
      <c r="B1381" s="27" t="s">
        <v>5224</v>
      </c>
      <c r="C1381" s="27" t="s">
        <v>144</v>
      </c>
      <c r="D1381" s="26" t="s">
        <v>5225</v>
      </c>
      <c r="E1381" s="27" t="s">
        <v>5226</v>
      </c>
      <c r="F1381" s="28" t="s">
        <v>146</v>
      </c>
      <c r="G1381" s="27" t="s">
        <v>3537</v>
      </c>
      <c r="H1381" s="27" t="s">
        <v>57</v>
      </c>
      <c r="I1381" s="27" t="s">
        <v>41</v>
      </c>
      <c r="J1381" s="28" t="s">
        <v>399</v>
      </c>
      <c r="K1381" s="27" t="s">
        <v>37</v>
      </c>
      <c r="L1381" s="27"/>
    </row>
    <row r="1382" customFormat="false" ht="15" hidden="false" customHeight="false" outlineLevel="0" collapsed="false">
      <c r="A1382" s="26" t="s">
        <v>5227</v>
      </c>
      <c r="B1382" s="27" t="s">
        <v>5228</v>
      </c>
      <c r="C1382" s="27" t="s">
        <v>144</v>
      </c>
      <c r="D1382" s="26" t="s">
        <v>5229</v>
      </c>
      <c r="E1382" s="27" t="s">
        <v>5230</v>
      </c>
      <c r="F1382" s="28" t="s">
        <v>146</v>
      </c>
      <c r="G1382" s="27" t="s">
        <v>3537</v>
      </c>
      <c r="H1382" s="27" t="s">
        <v>56</v>
      </c>
      <c r="I1382" s="27" t="s">
        <v>37</v>
      </c>
      <c r="J1382" s="28" t="s">
        <v>399</v>
      </c>
      <c r="K1382" s="27" t="s">
        <v>37</v>
      </c>
      <c r="L1382" s="27"/>
    </row>
    <row r="1383" customFormat="false" ht="15" hidden="false" customHeight="false" outlineLevel="0" collapsed="false">
      <c r="A1383" s="26" t="s">
        <v>5231</v>
      </c>
      <c r="B1383" s="27" t="s">
        <v>5232</v>
      </c>
      <c r="C1383" s="27" t="s">
        <v>144</v>
      </c>
      <c r="D1383" s="26" t="s">
        <v>5221</v>
      </c>
      <c r="E1383" s="27" t="s">
        <v>5222</v>
      </c>
      <c r="F1383" s="28" t="s">
        <v>146</v>
      </c>
      <c r="G1383" s="27" t="s">
        <v>3537</v>
      </c>
      <c r="H1383" s="27" t="s">
        <v>56</v>
      </c>
      <c r="I1383" s="27" t="s">
        <v>37</v>
      </c>
      <c r="J1383" s="28" t="s">
        <v>399</v>
      </c>
      <c r="K1383" s="27" t="s">
        <v>37</v>
      </c>
      <c r="L1383" s="27"/>
    </row>
    <row r="1384" customFormat="false" ht="15" hidden="false" customHeight="false" outlineLevel="0" collapsed="false">
      <c r="A1384" s="26" t="s">
        <v>5233</v>
      </c>
      <c r="B1384" s="27" t="s">
        <v>5234</v>
      </c>
      <c r="C1384" s="27" t="s">
        <v>144</v>
      </c>
      <c r="D1384" s="26" t="s">
        <v>5235</v>
      </c>
      <c r="E1384" s="27" t="s">
        <v>5236</v>
      </c>
      <c r="F1384" s="28" t="s">
        <v>146</v>
      </c>
      <c r="G1384" s="27" t="s">
        <v>3537</v>
      </c>
      <c r="H1384" s="27" t="s">
        <v>57</v>
      </c>
      <c r="I1384" s="27" t="s">
        <v>41</v>
      </c>
      <c r="J1384" s="28" t="s">
        <v>399</v>
      </c>
      <c r="K1384" s="27" t="s">
        <v>37</v>
      </c>
      <c r="L1384" s="27"/>
    </row>
    <row r="1385" customFormat="false" ht="15" hidden="false" customHeight="false" outlineLevel="0" collapsed="false">
      <c r="A1385" s="26" t="s">
        <v>5237</v>
      </c>
      <c r="B1385" s="27" t="s">
        <v>5238</v>
      </c>
      <c r="C1385" s="27" t="s">
        <v>144</v>
      </c>
      <c r="D1385" s="26" t="s">
        <v>5239</v>
      </c>
      <c r="E1385" s="27" t="s">
        <v>5240</v>
      </c>
      <c r="F1385" s="28" t="s">
        <v>146</v>
      </c>
      <c r="G1385" s="27" t="s">
        <v>3537</v>
      </c>
      <c r="H1385" s="27" t="s">
        <v>57</v>
      </c>
      <c r="I1385" s="27" t="s">
        <v>41</v>
      </c>
      <c r="J1385" s="28" t="s">
        <v>399</v>
      </c>
      <c r="K1385" s="27" t="s">
        <v>37</v>
      </c>
      <c r="L1385" s="27"/>
    </row>
    <row r="1386" customFormat="false" ht="15" hidden="false" customHeight="false" outlineLevel="0" collapsed="false">
      <c r="A1386" s="26" t="s">
        <v>5241</v>
      </c>
      <c r="B1386" s="27" t="s">
        <v>5242</v>
      </c>
      <c r="C1386" s="27" t="s">
        <v>144</v>
      </c>
      <c r="D1386" s="26" t="s">
        <v>5239</v>
      </c>
      <c r="E1386" s="27" t="s">
        <v>5240</v>
      </c>
      <c r="F1386" s="28" t="s">
        <v>146</v>
      </c>
      <c r="G1386" s="27" t="s">
        <v>3537</v>
      </c>
      <c r="H1386" s="27" t="s">
        <v>57</v>
      </c>
      <c r="I1386" s="27" t="s">
        <v>41</v>
      </c>
      <c r="J1386" s="28" t="s">
        <v>399</v>
      </c>
      <c r="K1386" s="27" t="s">
        <v>37</v>
      </c>
      <c r="L1386" s="27"/>
    </row>
    <row r="1387" customFormat="false" ht="15" hidden="false" customHeight="false" outlineLevel="0" collapsed="false">
      <c r="A1387" s="26" t="s">
        <v>5243</v>
      </c>
      <c r="B1387" s="27" t="s">
        <v>5244</v>
      </c>
      <c r="C1387" s="27" t="s">
        <v>144</v>
      </c>
      <c r="D1387" s="26" t="s">
        <v>5245</v>
      </c>
      <c r="E1387" s="27" t="s">
        <v>5246</v>
      </c>
      <c r="F1387" s="28" t="s">
        <v>146</v>
      </c>
      <c r="G1387" s="27" t="s">
        <v>3537</v>
      </c>
      <c r="H1387" s="27" t="s">
        <v>57</v>
      </c>
      <c r="I1387" s="27" t="s">
        <v>1296</v>
      </c>
      <c r="J1387" s="28" t="s">
        <v>399</v>
      </c>
      <c r="K1387" s="27" t="s">
        <v>37</v>
      </c>
      <c r="L1387" s="27"/>
    </row>
    <row r="1388" customFormat="false" ht="15" hidden="false" customHeight="false" outlineLevel="0" collapsed="false">
      <c r="A1388" s="26" t="s">
        <v>5247</v>
      </c>
      <c r="B1388" s="27" t="s">
        <v>5248</v>
      </c>
      <c r="C1388" s="27" t="s">
        <v>144</v>
      </c>
      <c r="D1388" s="26" t="s">
        <v>5249</v>
      </c>
      <c r="E1388" s="27" t="s">
        <v>5250</v>
      </c>
      <c r="F1388" s="28" t="s">
        <v>146</v>
      </c>
      <c r="G1388" s="27" t="s">
        <v>3537</v>
      </c>
      <c r="H1388" s="27" t="s">
        <v>57</v>
      </c>
      <c r="I1388" s="28" t="s">
        <v>50</v>
      </c>
      <c r="J1388" s="28" t="s">
        <v>399</v>
      </c>
      <c r="K1388" s="27" t="s">
        <v>37</v>
      </c>
      <c r="L1388" s="27"/>
    </row>
    <row r="1389" customFormat="false" ht="15" hidden="false" customHeight="false" outlineLevel="0" collapsed="false">
      <c r="A1389" s="26" t="s">
        <v>5251</v>
      </c>
      <c r="B1389" s="27" t="s">
        <v>5252</v>
      </c>
      <c r="C1389" s="27" t="s">
        <v>144</v>
      </c>
      <c r="D1389" s="26" t="s">
        <v>5249</v>
      </c>
      <c r="E1389" s="27" t="s">
        <v>5250</v>
      </c>
      <c r="F1389" s="28" t="s">
        <v>146</v>
      </c>
      <c r="G1389" s="27" t="s">
        <v>3537</v>
      </c>
      <c r="H1389" s="27" t="s">
        <v>57</v>
      </c>
      <c r="I1389" s="28" t="s">
        <v>50</v>
      </c>
      <c r="J1389" s="28" t="s">
        <v>399</v>
      </c>
      <c r="K1389" s="27" t="s">
        <v>37</v>
      </c>
      <c r="L1389" s="27"/>
    </row>
    <row r="1390" customFormat="false" ht="15" hidden="false" customHeight="false" outlineLevel="0" collapsed="false">
      <c r="A1390" s="26" t="s">
        <v>5253</v>
      </c>
      <c r="B1390" s="27" t="s">
        <v>5254</v>
      </c>
      <c r="C1390" s="27" t="s">
        <v>144</v>
      </c>
      <c r="D1390" s="26" t="s">
        <v>5255</v>
      </c>
      <c r="E1390" s="28" t="s">
        <v>5256</v>
      </c>
      <c r="F1390" s="28" t="s">
        <v>146</v>
      </c>
      <c r="G1390" s="27" t="s">
        <v>3537</v>
      </c>
      <c r="H1390" s="27" t="s">
        <v>57</v>
      </c>
      <c r="I1390" s="27" t="s">
        <v>41</v>
      </c>
      <c r="J1390" s="28" t="s">
        <v>399</v>
      </c>
      <c r="K1390" s="27" t="s">
        <v>37</v>
      </c>
      <c r="L1390" s="27"/>
    </row>
    <row r="1391" customFormat="false" ht="15" hidden="false" customHeight="false" outlineLevel="0" collapsed="false">
      <c r="A1391" s="26" t="s">
        <v>5257</v>
      </c>
      <c r="B1391" s="27" t="s">
        <v>5258</v>
      </c>
      <c r="C1391" s="27" t="s">
        <v>144</v>
      </c>
      <c r="D1391" s="26" t="s">
        <v>5259</v>
      </c>
      <c r="E1391" s="28" t="s">
        <v>5260</v>
      </c>
      <c r="F1391" s="28" t="s">
        <v>146</v>
      </c>
      <c r="G1391" s="27" t="s">
        <v>3537</v>
      </c>
      <c r="H1391" s="27" t="s">
        <v>57</v>
      </c>
      <c r="I1391" s="27" t="s">
        <v>41</v>
      </c>
      <c r="J1391" s="28" t="s">
        <v>399</v>
      </c>
      <c r="K1391" s="27" t="s">
        <v>37</v>
      </c>
      <c r="L1391" s="27"/>
    </row>
    <row r="1392" customFormat="false" ht="15" hidden="false" customHeight="false" outlineLevel="0" collapsed="false">
      <c r="A1392" s="26" t="s">
        <v>5261</v>
      </c>
      <c r="B1392" s="27" t="s">
        <v>5262</v>
      </c>
      <c r="C1392" s="27" t="s">
        <v>144</v>
      </c>
      <c r="D1392" s="26" t="s">
        <v>5263</v>
      </c>
      <c r="E1392" s="27" t="s">
        <v>5264</v>
      </c>
      <c r="F1392" s="28" t="s">
        <v>146</v>
      </c>
      <c r="G1392" s="27" t="s">
        <v>3537</v>
      </c>
      <c r="H1392" s="27" t="s">
        <v>56</v>
      </c>
      <c r="I1392" s="27" t="s">
        <v>37</v>
      </c>
      <c r="J1392" s="28" t="s">
        <v>399</v>
      </c>
      <c r="K1392" s="27" t="s">
        <v>37</v>
      </c>
      <c r="L1392" s="27"/>
    </row>
    <row r="1393" customFormat="false" ht="15" hidden="false" customHeight="false" outlineLevel="0" collapsed="false">
      <c r="A1393" s="26" t="s">
        <v>5265</v>
      </c>
      <c r="B1393" s="27" t="s">
        <v>5266</v>
      </c>
      <c r="C1393" s="27" t="s">
        <v>144</v>
      </c>
      <c r="D1393" s="26" t="s">
        <v>5263</v>
      </c>
      <c r="E1393" s="27" t="s">
        <v>5264</v>
      </c>
      <c r="F1393" s="28" t="s">
        <v>146</v>
      </c>
      <c r="G1393" s="27" t="s">
        <v>3537</v>
      </c>
      <c r="H1393" s="27" t="s">
        <v>56</v>
      </c>
      <c r="I1393" s="27" t="s">
        <v>37</v>
      </c>
      <c r="J1393" s="28" t="s">
        <v>399</v>
      </c>
      <c r="K1393" s="27" t="s">
        <v>37</v>
      </c>
      <c r="L1393" s="27"/>
    </row>
    <row r="1394" customFormat="false" ht="15" hidden="false" customHeight="false" outlineLevel="0" collapsed="false">
      <c r="A1394" s="26" t="s">
        <v>5267</v>
      </c>
      <c r="B1394" s="27" t="s">
        <v>5268</v>
      </c>
      <c r="C1394" s="27" t="s">
        <v>144</v>
      </c>
      <c r="D1394" s="26" t="s">
        <v>5263</v>
      </c>
      <c r="E1394" s="27" t="s">
        <v>5264</v>
      </c>
      <c r="F1394" s="28" t="s">
        <v>146</v>
      </c>
      <c r="G1394" s="27" t="s">
        <v>3537</v>
      </c>
      <c r="H1394" s="27" t="s">
        <v>56</v>
      </c>
      <c r="I1394" s="27" t="s">
        <v>37</v>
      </c>
      <c r="J1394" s="28" t="s">
        <v>399</v>
      </c>
      <c r="K1394" s="27" t="s">
        <v>37</v>
      </c>
      <c r="L1394" s="27"/>
    </row>
    <row r="1395" customFormat="false" ht="15" hidden="false" customHeight="false" outlineLevel="0" collapsed="false">
      <c r="A1395" s="26" t="s">
        <v>5269</v>
      </c>
      <c r="B1395" s="27" t="s">
        <v>5270</v>
      </c>
      <c r="C1395" s="27" t="s">
        <v>144</v>
      </c>
      <c r="D1395" s="26" t="s">
        <v>5271</v>
      </c>
      <c r="E1395" s="27" t="s">
        <v>5272</v>
      </c>
      <c r="F1395" s="28" t="s">
        <v>146</v>
      </c>
      <c r="G1395" s="27" t="s">
        <v>3537</v>
      </c>
      <c r="H1395" s="27" t="s">
        <v>56</v>
      </c>
      <c r="I1395" s="27" t="s">
        <v>37</v>
      </c>
      <c r="J1395" s="28" t="s">
        <v>399</v>
      </c>
      <c r="K1395" s="27" t="s">
        <v>37</v>
      </c>
      <c r="L1395" s="27"/>
    </row>
    <row r="1396" customFormat="false" ht="15" hidden="false" customHeight="false" outlineLevel="0" collapsed="false">
      <c r="A1396" s="26" t="s">
        <v>5273</v>
      </c>
      <c r="B1396" s="27" t="s">
        <v>5274</v>
      </c>
      <c r="C1396" s="27" t="s">
        <v>144</v>
      </c>
      <c r="D1396" s="26" t="s">
        <v>5275</v>
      </c>
      <c r="E1396" s="27" t="s">
        <v>5276</v>
      </c>
      <c r="F1396" s="28" t="s">
        <v>146</v>
      </c>
      <c r="G1396" s="27" t="s">
        <v>3537</v>
      </c>
      <c r="H1396" s="27" t="s">
        <v>56</v>
      </c>
      <c r="I1396" s="27" t="s">
        <v>37</v>
      </c>
      <c r="J1396" s="28" t="s">
        <v>399</v>
      </c>
      <c r="K1396" s="27" t="s">
        <v>37</v>
      </c>
      <c r="L1396" s="27"/>
    </row>
    <row r="1397" customFormat="false" ht="15" hidden="false" customHeight="false" outlineLevel="0" collapsed="false">
      <c r="A1397" s="26" t="s">
        <v>5277</v>
      </c>
      <c r="B1397" s="27" t="s">
        <v>5278</v>
      </c>
      <c r="C1397" s="27" t="s">
        <v>144</v>
      </c>
      <c r="D1397" s="26" t="s">
        <v>5279</v>
      </c>
      <c r="E1397" s="27" t="s">
        <v>5280</v>
      </c>
      <c r="F1397" s="28" t="s">
        <v>146</v>
      </c>
      <c r="G1397" s="27" t="s">
        <v>3537</v>
      </c>
      <c r="H1397" s="27" t="s">
        <v>56</v>
      </c>
      <c r="I1397" s="27" t="s">
        <v>37</v>
      </c>
      <c r="J1397" s="28" t="s">
        <v>399</v>
      </c>
      <c r="K1397" s="27" t="s">
        <v>37</v>
      </c>
      <c r="L1397" s="27"/>
    </row>
    <row r="1398" customFormat="false" ht="15" hidden="false" customHeight="false" outlineLevel="0" collapsed="false">
      <c r="A1398" s="26" t="s">
        <v>5281</v>
      </c>
      <c r="B1398" s="27" t="s">
        <v>5282</v>
      </c>
      <c r="C1398" s="27" t="s">
        <v>144</v>
      </c>
      <c r="D1398" s="26" t="s">
        <v>2464</v>
      </c>
      <c r="E1398" s="27" t="s">
        <v>2465</v>
      </c>
      <c r="F1398" s="28" t="s">
        <v>146</v>
      </c>
      <c r="G1398" s="27" t="s">
        <v>3537</v>
      </c>
      <c r="H1398" s="27" t="s">
        <v>56</v>
      </c>
      <c r="I1398" s="27" t="s">
        <v>37</v>
      </c>
      <c r="J1398" s="28" t="s">
        <v>399</v>
      </c>
      <c r="K1398" s="27" t="s">
        <v>37</v>
      </c>
      <c r="L1398" s="27"/>
    </row>
    <row r="1399" customFormat="false" ht="15" hidden="false" customHeight="false" outlineLevel="0" collapsed="false">
      <c r="A1399" s="26" t="s">
        <v>5283</v>
      </c>
      <c r="B1399" s="27" t="s">
        <v>5284</v>
      </c>
      <c r="C1399" s="27" t="s">
        <v>1187</v>
      </c>
      <c r="D1399" s="26" t="s">
        <v>2470</v>
      </c>
      <c r="E1399" s="27" t="s">
        <v>2471</v>
      </c>
      <c r="F1399" s="28" t="s">
        <v>1190</v>
      </c>
      <c r="G1399" s="27" t="s">
        <v>3537</v>
      </c>
      <c r="H1399" s="27" t="s">
        <v>56</v>
      </c>
      <c r="I1399" s="27" t="s">
        <v>37</v>
      </c>
      <c r="J1399" s="28" t="s">
        <v>399</v>
      </c>
      <c r="K1399" s="27" t="s">
        <v>37</v>
      </c>
      <c r="L1399" s="27"/>
    </row>
    <row r="1400" customFormat="false" ht="15" hidden="false" customHeight="false" outlineLevel="0" collapsed="false">
      <c r="A1400" s="26" t="s">
        <v>5285</v>
      </c>
      <c r="B1400" s="27" t="s">
        <v>5286</v>
      </c>
      <c r="C1400" s="27" t="s">
        <v>144</v>
      </c>
      <c r="D1400" s="26" t="s">
        <v>5287</v>
      </c>
      <c r="E1400" s="27" t="s">
        <v>5288</v>
      </c>
      <c r="F1400" s="28" t="s">
        <v>146</v>
      </c>
      <c r="G1400" s="27" t="s">
        <v>3537</v>
      </c>
      <c r="H1400" s="27" t="s">
        <v>56</v>
      </c>
      <c r="I1400" s="27" t="s">
        <v>37</v>
      </c>
      <c r="J1400" s="28" t="s">
        <v>399</v>
      </c>
      <c r="K1400" s="27" t="s">
        <v>37</v>
      </c>
      <c r="L1400" s="27"/>
    </row>
    <row r="1401" customFormat="false" ht="15" hidden="false" customHeight="false" outlineLevel="0" collapsed="false">
      <c r="A1401" s="26" t="s">
        <v>5289</v>
      </c>
      <c r="B1401" s="27" t="s">
        <v>5290</v>
      </c>
      <c r="C1401" s="27" t="s">
        <v>144</v>
      </c>
      <c r="D1401" s="26" t="s">
        <v>627</v>
      </c>
      <c r="E1401" s="27" t="s">
        <v>628</v>
      </c>
      <c r="F1401" s="28" t="s">
        <v>146</v>
      </c>
      <c r="G1401" s="27" t="s">
        <v>3537</v>
      </c>
      <c r="H1401" s="27" t="s">
        <v>56</v>
      </c>
      <c r="I1401" s="27" t="s">
        <v>37</v>
      </c>
      <c r="J1401" s="28" t="s">
        <v>399</v>
      </c>
      <c r="K1401" s="27" t="s">
        <v>37</v>
      </c>
      <c r="L1401" s="27"/>
    </row>
    <row r="1402" customFormat="false" ht="15" hidden="false" customHeight="false" outlineLevel="0" collapsed="false">
      <c r="A1402" s="26" t="s">
        <v>5291</v>
      </c>
      <c r="B1402" s="27" t="s">
        <v>5292</v>
      </c>
      <c r="C1402" s="27" t="s">
        <v>144</v>
      </c>
      <c r="D1402" s="26" t="s">
        <v>5293</v>
      </c>
      <c r="E1402" s="27" t="s">
        <v>5294</v>
      </c>
      <c r="F1402" s="28" t="s">
        <v>146</v>
      </c>
      <c r="G1402" s="27" t="s">
        <v>3537</v>
      </c>
      <c r="H1402" s="27" t="s">
        <v>56</v>
      </c>
      <c r="I1402" s="27" t="s">
        <v>37</v>
      </c>
      <c r="J1402" s="28" t="s">
        <v>399</v>
      </c>
      <c r="K1402" s="27" t="s">
        <v>37</v>
      </c>
      <c r="L1402" s="27"/>
    </row>
    <row r="1403" customFormat="false" ht="15" hidden="false" customHeight="false" outlineLevel="0" collapsed="false">
      <c r="A1403" s="26" t="s">
        <v>5295</v>
      </c>
      <c r="B1403" s="27" t="s">
        <v>5296</v>
      </c>
      <c r="C1403" s="27" t="s">
        <v>144</v>
      </c>
      <c r="D1403" s="26" t="s">
        <v>5275</v>
      </c>
      <c r="E1403" s="27" t="s">
        <v>5276</v>
      </c>
      <c r="F1403" s="28" t="s">
        <v>146</v>
      </c>
      <c r="G1403" s="27" t="s">
        <v>3537</v>
      </c>
      <c r="H1403" s="27" t="s">
        <v>56</v>
      </c>
      <c r="I1403" s="27" t="s">
        <v>37</v>
      </c>
      <c r="J1403" s="28" t="s">
        <v>399</v>
      </c>
      <c r="K1403" s="27" t="s">
        <v>37</v>
      </c>
      <c r="L1403" s="27"/>
    </row>
    <row r="1404" customFormat="false" ht="15" hidden="false" customHeight="false" outlineLevel="0" collapsed="false">
      <c r="A1404" s="26" t="s">
        <v>5297</v>
      </c>
      <c r="B1404" s="27" t="s">
        <v>5298</v>
      </c>
      <c r="C1404" s="27" t="s">
        <v>144</v>
      </c>
      <c r="D1404" s="26" t="s">
        <v>5299</v>
      </c>
      <c r="E1404" s="27" t="s">
        <v>5300</v>
      </c>
      <c r="F1404" s="28" t="s">
        <v>146</v>
      </c>
      <c r="G1404" s="27" t="s">
        <v>3537</v>
      </c>
      <c r="H1404" s="27" t="s">
        <v>56</v>
      </c>
      <c r="I1404" s="27" t="s">
        <v>37</v>
      </c>
      <c r="J1404" s="28" t="s">
        <v>399</v>
      </c>
      <c r="K1404" s="27" t="s">
        <v>37</v>
      </c>
      <c r="L1404" s="27"/>
    </row>
    <row r="1405" customFormat="false" ht="15" hidden="false" customHeight="false" outlineLevel="0" collapsed="false">
      <c r="A1405" s="26" t="s">
        <v>5301</v>
      </c>
      <c r="B1405" s="27" t="s">
        <v>5302</v>
      </c>
      <c r="C1405" s="27" t="s">
        <v>144</v>
      </c>
      <c r="D1405" s="26" t="s">
        <v>5303</v>
      </c>
      <c r="E1405" s="27" t="s">
        <v>5304</v>
      </c>
      <c r="F1405" s="28" t="s">
        <v>146</v>
      </c>
      <c r="G1405" s="27" t="s">
        <v>3537</v>
      </c>
      <c r="H1405" s="27" t="s">
        <v>56</v>
      </c>
      <c r="I1405" s="27" t="s">
        <v>37</v>
      </c>
      <c r="J1405" s="28" t="s">
        <v>399</v>
      </c>
      <c r="K1405" s="27" t="s">
        <v>37</v>
      </c>
      <c r="L1405" s="27"/>
    </row>
    <row r="1406" customFormat="false" ht="15" hidden="false" customHeight="false" outlineLevel="0" collapsed="false">
      <c r="A1406" s="26" t="s">
        <v>5305</v>
      </c>
      <c r="B1406" s="27" t="s">
        <v>5306</v>
      </c>
      <c r="C1406" s="27" t="s">
        <v>144</v>
      </c>
      <c r="D1406" s="26" t="s">
        <v>5307</v>
      </c>
      <c r="E1406" s="27" t="s">
        <v>5308</v>
      </c>
      <c r="F1406" s="28" t="s">
        <v>146</v>
      </c>
      <c r="G1406" s="27" t="s">
        <v>3537</v>
      </c>
      <c r="H1406" s="27" t="s">
        <v>56</v>
      </c>
      <c r="I1406" s="27" t="s">
        <v>37</v>
      </c>
      <c r="J1406" s="28" t="s">
        <v>399</v>
      </c>
      <c r="K1406" s="27" t="s">
        <v>37</v>
      </c>
      <c r="L1406" s="27"/>
    </row>
    <row r="1407" customFormat="false" ht="15" hidden="false" customHeight="false" outlineLevel="0" collapsed="false">
      <c r="A1407" s="26" t="s">
        <v>5309</v>
      </c>
      <c r="B1407" s="27" t="s">
        <v>5310</v>
      </c>
      <c r="C1407" s="27" t="s">
        <v>144</v>
      </c>
      <c r="D1407" s="26" t="s">
        <v>5311</v>
      </c>
      <c r="E1407" s="27" t="s">
        <v>5312</v>
      </c>
      <c r="F1407" s="28" t="s">
        <v>146</v>
      </c>
      <c r="G1407" s="27" t="s">
        <v>3537</v>
      </c>
      <c r="H1407" s="27" t="s">
        <v>56</v>
      </c>
      <c r="I1407" s="27" t="s">
        <v>37</v>
      </c>
      <c r="J1407" s="28" t="s">
        <v>399</v>
      </c>
      <c r="K1407" s="27" t="s">
        <v>37</v>
      </c>
      <c r="L1407" s="27"/>
    </row>
    <row r="1408" customFormat="false" ht="15" hidden="false" customHeight="false" outlineLevel="0" collapsed="false">
      <c r="A1408" s="26" t="s">
        <v>5313</v>
      </c>
      <c r="B1408" s="27" t="s">
        <v>5314</v>
      </c>
      <c r="C1408" s="27" t="s">
        <v>144</v>
      </c>
      <c r="D1408" s="26" t="s">
        <v>5315</v>
      </c>
      <c r="E1408" s="27" t="s">
        <v>5316</v>
      </c>
      <c r="F1408" s="28" t="s">
        <v>146</v>
      </c>
      <c r="G1408" s="27" t="s">
        <v>3537</v>
      </c>
      <c r="H1408" s="27" t="s">
        <v>56</v>
      </c>
      <c r="I1408" s="27" t="s">
        <v>37</v>
      </c>
      <c r="J1408" s="28" t="s">
        <v>399</v>
      </c>
      <c r="K1408" s="27" t="s">
        <v>37</v>
      </c>
      <c r="L1408" s="27"/>
    </row>
    <row r="1409" customFormat="false" ht="15" hidden="false" customHeight="false" outlineLevel="0" collapsed="false">
      <c r="A1409" s="26" t="s">
        <v>5317</v>
      </c>
      <c r="B1409" s="27" t="s">
        <v>5318</v>
      </c>
      <c r="C1409" s="27" t="s">
        <v>144</v>
      </c>
      <c r="D1409" s="26" t="s">
        <v>2464</v>
      </c>
      <c r="E1409" s="27" t="s">
        <v>2465</v>
      </c>
      <c r="F1409" s="28" t="s">
        <v>146</v>
      </c>
      <c r="G1409" s="27" t="s">
        <v>3537</v>
      </c>
      <c r="H1409" s="27" t="s">
        <v>56</v>
      </c>
      <c r="I1409" s="27" t="s">
        <v>37</v>
      </c>
      <c r="J1409" s="28" t="s">
        <v>399</v>
      </c>
      <c r="K1409" s="27" t="s">
        <v>37</v>
      </c>
      <c r="L1409" s="27"/>
    </row>
    <row r="1410" customFormat="false" ht="15" hidden="false" customHeight="false" outlineLevel="0" collapsed="false">
      <c r="A1410" s="26" t="s">
        <v>5319</v>
      </c>
      <c r="B1410" s="27" t="s">
        <v>5320</v>
      </c>
      <c r="C1410" s="27" t="s">
        <v>144</v>
      </c>
      <c r="D1410" s="26" t="s">
        <v>5321</v>
      </c>
      <c r="E1410" s="27" t="s">
        <v>5322</v>
      </c>
      <c r="F1410" s="28" t="s">
        <v>146</v>
      </c>
      <c r="G1410" s="27" t="s">
        <v>3537</v>
      </c>
      <c r="H1410" s="27" t="s">
        <v>56</v>
      </c>
      <c r="I1410" s="27" t="s">
        <v>37</v>
      </c>
      <c r="J1410" s="28" t="s">
        <v>399</v>
      </c>
      <c r="K1410" s="27" t="s">
        <v>37</v>
      </c>
      <c r="L1410" s="27"/>
    </row>
    <row r="1411" customFormat="false" ht="15" hidden="false" customHeight="false" outlineLevel="0" collapsed="false">
      <c r="A1411" s="26" t="s">
        <v>5323</v>
      </c>
      <c r="B1411" s="27" t="s">
        <v>5324</v>
      </c>
      <c r="C1411" s="27" t="s">
        <v>144</v>
      </c>
      <c r="D1411" s="26" t="s">
        <v>3653</v>
      </c>
      <c r="E1411" s="27" t="s">
        <v>3654</v>
      </c>
      <c r="F1411" s="28" t="s">
        <v>146</v>
      </c>
      <c r="G1411" s="27" t="s">
        <v>3537</v>
      </c>
      <c r="H1411" s="27" t="s">
        <v>56</v>
      </c>
      <c r="I1411" s="27" t="s">
        <v>37</v>
      </c>
      <c r="J1411" s="28" t="s">
        <v>399</v>
      </c>
      <c r="K1411" s="27" t="s">
        <v>37</v>
      </c>
      <c r="L1411" s="27"/>
    </row>
    <row r="1412" customFormat="false" ht="15" hidden="false" customHeight="false" outlineLevel="0" collapsed="false">
      <c r="A1412" s="26" t="s">
        <v>5325</v>
      </c>
      <c r="B1412" s="27" t="s">
        <v>5326</v>
      </c>
      <c r="C1412" s="27" t="s">
        <v>144</v>
      </c>
      <c r="D1412" s="26" t="s">
        <v>620</v>
      </c>
      <c r="E1412" s="27" t="s">
        <v>621</v>
      </c>
      <c r="F1412" s="28" t="s">
        <v>146</v>
      </c>
      <c r="G1412" s="27" t="s">
        <v>3537</v>
      </c>
      <c r="H1412" s="27" t="s">
        <v>56</v>
      </c>
      <c r="I1412" s="27" t="s">
        <v>37</v>
      </c>
      <c r="J1412" s="28" t="s">
        <v>399</v>
      </c>
      <c r="K1412" s="27" t="s">
        <v>37</v>
      </c>
      <c r="L1412" s="27"/>
    </row>
    <row r="1413" customFormat="false" ht="15" hidden="false" customHeight="false" outlineLevel="0" collapsed="false">
      <c r="A1413" s="26" t="s">
        <v>5327</v>
      </c>
      <c r="B1413" s="27" t="s">
        <v>5328</v>
      </c>
      <c r="C1413" s="27" t="s">
        <v>144</v>
      </c>
      <c r="D1413" s="26" t="s">
        <v>5329</v>
      </c>
      <c r="E1413" s="27" t="s">
        <v>5330</v>
      </c>
      <c r="F1413" s="28" t="s">
        <v>146</v>
      </c>
      <c r="G1413" s="27" t="s">
        <v>3537</v>
      </c>
      <c r="H1413" s="27" t="s">
        <v>56</v>
      </c>
      <c r="I1413" s="27" t="s">
        <v>37</v>
      </c>
      <c r="J1413" s="28" t="s">
        <v>399</v>
      </c>
      <c r="K1413" s="27" t="s">
        <v>37</v>
      </c>
      <c r="L1413" s="27"/>
    </row>
    <row r="1414" customFormat="false" ht="15" hidden="false" customHeight="false" outlineLevel="0" collapsed="false">
      <c r="A1414" s="26" t="s">
        <v>5331</v>
      </c>
      <c r="B1414" s="27" t="s">
        <v>5332</v>
      </c>
      <c r="C1414" s="27" t="s">
        <v>144</v>
      </c>
      <c r="D1414" s="26" t="s">
        <v>5333</v>
      </c>
      <c r="E1414" s="27" t="s">
        <v>5334</v>
      </c>
      <c r="F1414" s="28" t="s">
        <v>146</v>
      </c>
      <c r="G1414" s="27" t="s">
        <v>3537</v>
      </c>
      <c r="H1414" s="27" t="s">
        <v>56</v>
      </c>
      <c r="I1414" s="27" t="s">
        <v>37</v>
      </c>
      <c r="J1414" s="28" t="s">
        <v>399</v>
      </c>
      <c r="K1414" s="27" t="s">
        <v>37</v>
      </c>
      <c r="L1414" s="27"/>
    </row>
    <row r="1415" customFormat="false" ht="15" hidden="false" customHeight="false" outlineLevel="0" collapsed="false">
      <c r="A1415" s="26" t="s">
        <v>5335</v>
      </c>
      <c r="B1415" s="27" t="s">
        <v>5336</v>
      </c>
      <c r="C1415" s="27" t="s">
        <v>144</v>
      </c>
      <c r="D1415" s="26" t="s">
        <v>624</v>
      </c>
      <c r="E1415" s="27" t="s">
        <v>623</v>
      </c>
      <c r="F1415" s="28" t="s">
        <v>146</v>
      </c>
      <c r="G1415" s="27" t="s">
        <v>3537</v>
      </c>
      <c r="H1415" s="27" t="s">
        <v>56</v>
      </c>
      <c r="I1415" s="27" t="s">
        <v>37</v>
      </c>
      <c r="J1415" s="28" t="s">
        <v>399</v>
      </c>
      <c r="K1415" s="27" t="s">
        <v>37</v>
      </c>
      <c r="L1415" s="27"/>
    </row>
    <row r="1416" customFormat="false" ht="15" hidden="false" customHeight="false" outlineLevel="0" collapsed="false">
      <c r="A1416" s="26" t="s">
        <v>5337</v>
      </c>
      <c r="B1416" s="27" t="s">
        <v>5338</v>
      </c>
      <c r="C1416" s="27" t="s">
        <v>144</v>
      </c>
      <c r="D1416" s="26" t="s">
        <v>5339</v>
      </c>
      <c r="E1416" s="27" t="s">
        <v>5340</v>
      </c>
      <c r="F1416" s="28" t="s">
        <v>146</v>
      </c>
      <c r="G1416" s="27" t="s">
        <v>3537</v>
      </c>
      <c r="H1416" s="27" t="s">
        <v>56</v>
      </c>
      <c r="I1416" s="27" t="s">
        <v>37</v>
      </c>
      <c r="J1416" s="28" t="s">
        <v>399</v>
      </c>
      <c r="K1416" s="27" t="s">
        <v>37</v>
      </c>
      <c r="L1416" s="27"/>
    </row>
    <row r="1417" customFormat="false" ht="15" hidden="false" customHeight="false" outlineLevel="0" collapsed="false">
      <c r="A1417" s="26" t="s">
        <v>5341</v>
      </c>
      <c r="B1417" s="27" t="s">
        <v>5342</v>
      </c>
      <c r="C1417" s="27" t="s">
        <v>144</v>
      </c>
      <c r="D1417" s="26" t="s">
        <v>5343</v>
      </c>
      <c r="E1417" s="27" t="s">
        <v>5344</v>
      </c>
      <c r="F1417" s="28" t="s">
        <v>146</v>
      </c>
      <c r="G1417" s="27" t="s">
        <v>3537</v>
      </c>
      <c r="H1417" s="27" t="s">
        <v>56</v>
      </c>
      <c r="I1417" s="27" t="s">
        <v>37</v>
      </c>
      <c r="J1417" s="28" t="s">
        <v>399</v>
      </c>
      <c r="K1417" s="27" t="s">
        <v>37</v>
      </c>
      <c r="L1417" s="27"/>
    </row>
    <row r="1418" customFormat="false" ht="15" hidden="false" customHeight="false" outlineLevel="0" collapsed="false">
      <c r="A1418" s="26" t="s">
        <v>5345</v>
      </c>
      <c r="B1418" s="27" t="s">
        <v>5346</v>
      </c>
      <c r="C1418" s="27" t="s">
        <v>144</v>
      </c>
      <c r="D1418" s="26" t="s">
        <v>5271</v>
      </c>
      <c r="E1418" s="27" t="s">
        <v>5272</v>
      </c>
      <c r="F1418" s="28" t="s">
        <v>146</v>
      </c>
      <c r="G1418" s="27" t="s">
        <v>3537</v>
      </c>
      <c r="H1418" s="27" t="s">
        <v>56</v>
      </c>
      <c r="I1418" s="27" t="s">
        <v>37</v>
      </c>
      <c r="J1418" s="28" t="s">
        <v>399</v>
      </c>
      <c r="K1418" s="27" t="s">
        <v>37</v>
      </c>
      <c r="L1418" s="27"/>
    </row>
    <row r="1419" customFormat="false" ht="15" hidden="false" customHeight="false" outlineLevel="0" collapsed="false">
      <c r="A1419" s="26" t="s">
        <v>5347</v>
      </c>
      <c r="B1419" s="27" t="s">
        <v>5348</v>
      </c>
      <c r="C1419" s="27" t="s">
        <v>144</v>
      </c>
      <c r="D1419" s="26" t="s">
        <v>616</v>
      </c>
      <c r="E1419" s="27" t="s">
        <v>617</v>
      </c>
      <c r="F1419" s="28" t="s">
        <v>146</v>
      </c>
      <c r="G1419" s="27" t="s">
        <v>3537</v>
      </c>
      <c r="H1419" s="27" t="s">
        <v>56</v>
      </c>
      <c r="I1419" s="27" t="s">
        <v>37</v>
      </c>
      <c r="J1419" s="28" t="s">
        <v>399</v>
      </c>
      <c r="K1419" s="27" t="s">
        <v>37</v>
      </c>
      <c r="L1419" s="27"/>
    </row>
    <row r="1420" customFormat="false" ht="15" hidden="false" customHeight="false" outlineLevel="0" collapsed="false">
      <c r="A1420" s="26" t="s">
        <v>5349</v>
      </c>
      <c r="B1420" s="27" t="s">
        <v>5350</v>
      </c>
      <c r="C1420" s="27" t="s">
        <v>144</v>
      </c>
      <c r="D1420" s="26" t="s">
        <v>5329</v>
      </c>
      <c r="E1420" s="27" t="s">
        <v>5330</v>
      </c>
      <c r="F1420" s="28" t="s">
        <v>146</v>
      </c>
      <c r="G1420" s="27" t="s">
        <v>3537</v>
      </c>
      <c r="H1420" s="27" t="s">
        <v>56</v>
      </c>
      <c r="I1420" s="27" t="s">
        <v>37</v>
      </c>
      <c r="J1420" s="28" t="s">
        <v>399</v>
      </c>
      <c r="K1420" s="27" t="s">
        <v>37</v>
      </c>
      <c r="L1420" s="27"/>
    </row>
    <row r="1421" customFormat="false" ht="15" hidden="false" customHeight="false" outlineLevel="0" collapsed="false">
      <c r="A1421" s="26" t="s">
        <v>5351</v>
      </c>
      <c r="B1421" s="27" t="s">
        <v>5352</v>
      </c>
      <c r="C1421" s="27" t="s">
        <v>144</v>
      </c>
      <c r="D1421" s="26" t="s">
        <v>3653</v>
      </c>
      <c r="E1421" s="27" t="s">
        <v>3654</v>
      </c>
      <c r="F1421" s="28" t="s">
        <v>146</v>
      </c>
      <c r="G1421" s="27" t="s">
        <v>3537</v>
      </c>
      <c r="H1421" s="27" t="s">
        <v>56</v>
      </c>
      <c r="I1421" s="27" t="s">
        <v>37</v>
      </c>
      <c r="J1421" s="28" t="s">
        <v>399</v>
      </c>
      <c r="K1421" s="27" t="s">
        <v>37</v>
      </c>
      <c r="L1421" s="27"/>
    </row>
    <row r="1422" customFormat="false" ht="15" hidden="false" customHeight="false" outlineLevel="0" collapsed="false">
      <c r="A1422" s="26" t="s">
        <v>5353</v>
      </c>
      <c r="B1422" s="27" t="s">
        <v>5354</v>
      </c>
      <c r="C1422" s="27" t="s">
        <v>144</v>
      </c>
      <c r="D1422" s="26" t="s">
        <v>5355</v>
      </c>
      <c r="E1422" s="27" t="s">
        <v>5356</v>
      </c>
      <c r="F1422" s="28" t="s">
        <v>146</v>
      </c>
      <c r="G1422" s="27" t="s">
        <v>3537</v>
      </c>
      <c r="H1422" s="27" t="s">
        <v>56</v>
      </c>
      <c r="I1422" s="27" t="s">
        <v>37</v>
      </c>
      <c r="J1422" s="28" t="s">
        <v>399</v>
      </c>
      <c r="K1422" s="27" t="s">
        <v>37</v>
      </c>
      <c r="L1422" s="27"/>
    </row>
    <row r="1423" customFormat="false" ht="15" hidden="false" customHeight="false" outlineLevel="0" collapsed="false">
      <c r="A1423" s="26" t="s">
        <v>5357</v>
      </c>
      <c r="B1423" s="27" t="s">
        <v>5358</v>
      </c>
      <c r="C1423" s="27" t="s">
        <v>144</v>
      </c>
      <c r="D1423" s="26" t="s">
        <v>5275</v>
      </c>
      <c r="E1423" s="27" t="s">
        <v>5276</v>
      </c>
      <c r="F1423" s="28" t="s">
        <v>146</v>
      </c>
      <c r="G1423" s="27" t="s">
        <v>3537</v>
      </c>
      <c r="H1423" s="27" t="s">
        <v>56</v>
      </c>
      <c r="I1423" s="27" t="s">
        <v>37</v>
      </c>
      <c r="J1423" s="28" t="s">
        <v>399</v>
      </c>
      <c r="K1423" s="27" t="s">
        <v>37</v>
      </c>
      <c r="L1423" s="27"/>
    </row>
    <row r="1424" customFormat="false" ht="15" hidden="false" customHeight="false" outlineLevel="0" collapsed="false">
      <c r="A1424" s="26" t="s">
        <v>5359</v>
      </c>
      <c r="B1424" s="27" t="s">
        <v>5360</v>
      </c>
      <c r="C1424" s="27" t="s">
        <v>144</v>
      </c>
      <c r="D1424" s="26" t="s">
        <v>3653</v>
      </c>
      <c r="E1424" s="27" t="s">
        <v>3654</v>
      </c>
      <c r="F1424" s="28" t="s">
        <v>146</v>
      </c>
      <c r="G1424" s="27" t="s">
        <v>3537</v>
      </c>
      <c r="H1424" s="27" t="s">
        <v>56</v>
      </c>
      <c r="I1424" s="27" t="s">
        <v>37</v>
      </c>
      <c r="J1424" s="28" t="s">
        <v>399</v>
      </c>
      <c r="K1424" s="27" t="s">
        <v>37</v>
      </c>
      <c r="L1424" s="27"/>
    </row>
    <row r="1425" customFormat="false" ht="15" hidden="false" customHeight="false" outlineLevel="0" collapsed="false">
      <c r="A1425" s="26" t="s">
        <v>5361</v>
      </c>
      <c r="B1425" s="27" t="s">
        <v>5362</v>
      </c>
      <c r="C1425" s="27" t="s">
        <v>144</v>
      </c>
      <c r="D1425" s="26" t="s">
        <v>5363</v>
      </c>
      <c r="E1425" s="27" t="s">
        <v>5364</v>
      </c>
      <c r="F1425" s="28" t="s">
        <v>146</v>
      </c>
      <c r="G1425" s="27" t="s">
        <v>3537</v>
      </c>
      <c r="H1425" s="27" t="s">
        <v>56</v>
      </c>
      <c r="I1425" s="27" t="s">
        <v>37</v>
      </c>
      <c r="J1425" s="28" t="s">
        <v>399</v>
      </c>
      <c r="K1425" s="27" t="s">
        <v>37</v>
      </c>
      <c r="L1425" s="27"/>
    </row>
    <row r="1426" customFormat="false" ht="15" hidden="false" customHeight="false" outlineLevel="0" collapsed="false">
      <c r="A1426" s="26" t="s">
        <v>5365</v>
      </c>
      <c r="B1426" s="27" t="s">
        <v>5366</v>
      </c>
      <c r="C1426" s="27" t="s">
        <v>144</v>
      </c>
      <c r="D1426" s="26" t="s">
        <v>5367</v>
      </c>
      <c r="E1426" s="27" t="s">
        <v>5368</v>
      </c>
      <c r="F1426" s="28" t="s">
        <v>146</v>
      </c>
      <c r="G1426" s="27" t="s">
        <v>3537</v>
      </c>
      <c r="H1426" s="27" t="s">
        <v>56</v>
      </c>
      <c r="I1426" s="27" t="s">
        <v>37</v>
      </c>
      <c r="J1426" s="28" t="s">
        <v>399</v>
      </c>
      <c r="K1426" s="27" t="s">
        <v>37</v>
      </c>
      <c r="L1426" s="27"/>
    </row>
    <row r="1427" customFormat="false" ht="15" hidden="false" customHeight="false" outlineLevel="0" collapsed="false">
      <c r="A1427" s="26" t="s">
        <v>5369</v>
      </c>
      <c r="B1427" s="27" t="s">
        <v>5370</v>
      </c>
      <c r="C1427" s="27" t="s">
        <v>144</v>
      </c>
      <c r="D1427" s="26" t="s">
        <v>627</v>
      </c>
      <c r="E1427" s="27" t="s">
        <v>628</v>
      </c>
      <c r="F1427" s="28" t="s">
        <v>146</v>
      </c>
      <c r="G1427" s="27" t="s">
        <v>3537</v>
      </c>
      <c r="H1427" s="27" t="s">
        <v>56</v>
      </c>
      <c r="I1427" s="27" t="s">
        <v>37</v>
      </c>
      <c r="J1427" s="28" t="s">
        <v>399</v>
      </c>
      <c r="K1427" s="27" t="s">
        <v>37</v>
      </c>
      <c r="L1427" s="27"/>
    </row>
    <row r="1428" customFormat="false" ht="15" hidden="false" customHeight="false" outlineLevel="0" collapsed="false">
      <c r="A1428" s="26" t="s">
        <v>5371</v>
      </c>
      <c r="B1428" s="27" t="s">
        <v>5372</v>
      </c>
      <c r="C1428" s="27" t="s">
        <v>144</v>
      </c>
      <c r="D1428" s="26" t="s">
        <v>5373</v>
      </c>
      <c r="E1428" s="27" t="s">
        <v>5374</v>
      </c>
      <c r="F1428" s="28" t="s">
        <v>146</v>
      </c>
      <c r="G1428" s="27" t="s">
        <v>3537</v>
      </c>
      <c r="H1428" s="27" t="s">
        <v>57</v>
      </c>
      <c r="I1428" s="27" t="s">
        <v>41</v>
      </c>
      <c r="J1428" s="28" t="s">
        <v>399</v>
      </c>
      <c r="K1428" s="27" t="s">
        <v>37</v>
      </c>
      <c r="L1428" s="27"/>
    </row>
    <row r="1429" customFormat="false" ht="15" hidden="false" customHeight="false" outlineLevel="0" collapsed="false">
      <c r="A1429" s="26" t="s">
        <v>5375</v>
      </c>
      <c r="B1429" s="27" t="s">
        <v>5376</v>
      </c>
      <c r="C1429" s="27" t="s">
        <v>144</v>
      </c>
      <c r="D1429" s="26" t="s">
        <v>5377</v>
      </c>
      <c r="E1429" s="27" t="s">
        <v>5378</v>
      </c>
      <c r="F1429" s="28" t="s">
        <v>146</v>
      </c>
      <c r="G1429" s="27" t="s">
        <v>3537</v>
      </c>
      <c r="H1429" s="27" t="s">
        <v>56</v>
      </c>
      <c r="I1429" s="27" t="s">
        <v>37</v>
      </c>
      <c r="J1429" s="28" t="s">
        <v>399</v>
      </c>
      <c r="K1429" s="27" t="s">
        <v>37</v>
      </c>
      <c r="L1429" s="27"/>
    </row>
    <row r="1430" customFormat="false" ht="15" hidden="false" customHeight="false" outlineLevel="0" collapsed="false">
      <c r="A1430" s="26" t="s">
        <v>5379</v>
      </c>
      <c r="B1430" s="27" t="s">
        <v>5380</v>
      </c>
      <c r="C1430" s="27" t="s">
        <v>144</v>
      </c>
      <c r="D1430" s="26" t="s">
        <v>5377</v>
      </c>
      <c r="E1430" s="27" t="s">
        <v>5378</v>
      </c>
      <c r="F1430" s="28" t="s">
        <v>146</v>
      </c>
      <c r="G1430" s="27" t="s">
        <v>3537</v>
      </c>
      <c r="H1430" s="27" t="s">
        <v>56</v>
      </c>
      <c r="I1430" s="27" t="s">
        <v>37</v>
      </c>
      <c r="J1430" s="28" t="s">
        <v>399</v>
      </c>
      <c r="K1430" s="27" t="s">
        <v>37</v>
      </c>
      <c r="L1430" s="27"/>
    </row>
    <row r="1431" customFormat="false" ht="15" hidden="false" customHeight="false" outlineLevel="0" collapsed="false">
      <c r="A1431" s="26" t="s">
        <v>5381</v>
      </c>
      <c r="B1431" s="27" t="s">
        <v>5382</v>
      </c>
      <c r="C1431" s="27" t="s">
        <v>144</v>
      </c>
      <c r="D1431" s="26" t="s">
        <v>5367</v>
      </c>
      <c r="E1431" s="27" t="s">
        <v>5368</v>
      </c>
      <c r="F1431" s="28" t="s">
        <v>146</v>
      </c>
      <c r="G1431" s="27" t="s">
        <v>3537</v>
      </c>
      <c r="H1431" s="27" t="s">
        <v>56</v>
      </c>
      <c r="I1431" s="27" t="s">
        <v>37</v>
      </c>
      <c r="J1431" s="28" t="s">
        <v>399</v>
      </c>
      <c r="K1431" s="27" t="s">
        <v>37</v>
      </c>
      <c r="L1431" s="27"/>
    </row>
    <row r="1432" customFormat="false" ht="15" hidden="false" customHeight="false" outlineLevel="0" collapsed="false">
      <c r="A1432" s="26" t="s">
        <v>5383</v>
      </c>
      <c r="B1432" s="27" t="s">
        <v>5384</v>
      </c>
      <c r="C1432" s="27" t="s">
        <v>144</v>
      </c>
      <c r="D1432" s="26" t="s">
        <v>2464</v>
      </c>
      <c r="E1432" s="27" t="s">
        <v>2465</v>
      </c>
      <c r="F1432" s="28" t="s">
        <v>146</v>
      </c>
      <c r="G1432" s="27" t="s">
        <v>3537</v>
      </c>
      <c r="H1432" s="27" t="s">
        <v>56</v>
      </c>
      <c r="I1432" s="27" t="s">
        <v>37</v>
      </c>
      <c r="J1432" s="28" t="s">
        <v>399</v>
      </c>
      <c r="K1432" s="27" t="s">
        <v>37</v>
      </c>
      <c r="L1432" s="27"/>
    </row>
    <row r="1433" customFormat="false" ht="15" hidden="false" customHeight="false" outlineLevel="0" collapsed="false">
      <c r="A1433" s="26" t="s">
        <v>5385</v>
      </c>
      <c r="B1433" s="27" t="s">
        <v>5386</v>
      </c>
      <c r="C1433" s="27" t="s">
        <v>144</v>
      </c>
      <c r="D1433" s="26" t="s">
        <v>5387</v>
      </c>
      <c r="E1433" s="27" t="s">
        <v>5388</v>
      </c>
      <c r="F1433" s="28" t="s">
        <v>146</v>
      </c>
      <c r="G1433" s="27" t="s">
        <v>3537</v>
      </c>
      <c r="H1433" s="27" t="s">
        <v>56</v>
      </c>
      <c r="I1433" s="27" t="s">
        <v>37</v>
      </c>
      <c r="J1433" s="28" t="s">
        <v>399</v>
      </c>
      <c r="K1433" s="27" t="s">
        <v>37</v>
      </c>
      <c r="L1433" s="27"/>
    </row>
    <row r="1434" customFormat="false" ht="15" hidden="false" customHeight="false" outlineLevel="0" collapsed="false">
      <c r="A1434" s="26" t="s">
        <v>5389</v>
      </c>
      <c r="B1434" s="27" t="s">
        <v>5390</v>
      </c>
      <c r="C1434" s="27" t="s">
        <v>144</v>
      </c>
      <c r="D1434" s="26" t="s">
        <v>5391</v>
      </c>
      <c r="E1434" s="27" t="s">
        <v>5392</v>
      </c>
      <c r="F1434" s="28" t="s">
        <v>146</v>
      </c>
      <c r="G1434" s="27" t="s">
        <v>3537</v>
      </c>
      <c r="H1434" s="27" t="s">
        <v>56</v>
      </c>
      <c r="I1434" s="27" t="s">
        <v>37</v>
      </c>
      <c r="J1434" s="28" t="s">
        <v>399</v>
      </c>
      <c r="K1434" s="27" t="s">
        <v>37</v>
      </c>
      <c r="L1434" s="27"/>
    </row>
    <row r="1435" customFormat="false" ht="15" hidden="false" customHeight="false" outlineLevel="0" collapsed="false">
      <c r="A1435" s="26" t="s">
        <v>5393</v>
      </c>
      <c r="B1435" s="27" t="s">
        <v>5394</v>
      </c>
      <c r="C1435" s="27" t="s">
        <v>144</v>
      </c>
      <c r="D1435" s="26" t="s">
        <v>5395</v>
      </c>
      <c r="E1435" s="27" t="s">
        <v>5396</v>
      </c>
      <c r="F1435" s="28" t="s">
        <v>146</v>
      </c>
      <c r="G1435" s="27" t="s">
        <v>3537</v>
      </c>
      <c r="H1435" s="27" t="s">
        <v>56</v>
      </c>
      <c r="I1435" s="27" t="s">
        <v>37</v>
      </c>
      <c r="J1435" s="28" t="s">
        <v>399</v>
      </c>
      <c r="K1435" s="27" t="s">
        <v>37</v>
      </c>
      <c r="L1435" s="27"/>
    </row>
    <row r="1436" customFormat="false" ht="15" hidden="false" customHeight="false" outlineLevel="0" collapsed="false">
      <c r="A1436" s="26" t="s">
        <v>5397</v>
      </c>
      <c r="B1436" s="27" t="s">
        <v>5398</v>
      </c>
      <c r="C1436" s="27" t="s">
        <v>144</v>
      </c>
      <c r="D1436" s="26" t="s">
        <v>5399</v>
      </c>
      <c r="E1436" s="27" t="s">
        <v>5400</v>
      </c>
      <c r="F1436" s="28" t="s">
        <v>146</v>
      </c>
      <c r="G1436" s="27" t="s">
        <v>3537</v>
      </c>
      <c r="H1436" s="27" t="s">
        <v>56</v>
      </c>
      <c r="I1436" s="27" t="s">
        <v>37</v>
      </c>
      <c r="J1436" s="28" t="s">
        <v>399</v>
      </c>
      <c r="K1436" s="27" t="s">
        <v>37</v>
      </c>
      <c r="L1436" s="27"/>
    </row>
    <row r="1437" customFormat="false" ht="15" hidden="false" customHeight="false" outlineLevel="0" collapsed="false">
      <c r="A1437" s="26" t="s">
        <v>5401</v>
      </c>
      <c r="B1437" s="27" t="s">
        <v>5402</v>
      </c>
      <c r="C1437" s="27" t="s">
        <v>144</v>
      </c>
      <c r="D1437" s="26" t="s">
        <v>5403</v>
      </c>
      <c r="E1437" s="27" t="s">
        <v>5404</v>
      </c>
      <c r="F1437" s="28" t="s">
        <v>146</v>
      </c>
      <c r="G1437" s="27" t="s">
        <v>3537</v>
      </c>
      <c r="H1437" s="27" t="s">
        <v>56</v>
      </c>
      <c r="I1437" s="27" t="s">
        <v>37</v>
      </c>
      <c r="J1437" s="28" t="s">
        <v>399</v>
      </c>
      <c r="K1437" s="27" t="s">
        <v>37</v>
      </c>
      <c r="L1437" s="27"/>
    </row>
    <row r="1438" customFormat="false" ht="15" hidden="false" customHeight="false" outlineLevel="0" collapsed="false">
      <c r="A1438" s="26" t="s">
        <v>5405</v>
      </c>
      <c r="B1438" s="27" t="s">
        <v>5406</v>
      </c>
      <c r="C1438" s="27" t="s">
        <v>144</v>
      </c>
      <c r="D1438" s="26" t="s">
        <v>5407</v>
      </c>
      <c r="E1438" s="27" t="s">
        <v>5408</v>
      </c>
      <c r="F1438" s="28" t="s">
        <v>146</v>
      </c>
      <c r="G1438" s="27" t="s">
        <v>3537</v>
      </c>
      <c r="H1438" s="27" t="s">
        <v>56</v>
      </c>
      <c r="I1438" s="27" t="s">
        <v>37</v>
      </c>
      <c r="J1438" s="28" t="s">
        <v>399</v>
      </c>
      <c r="K1438" s="27" t="s">
        <v>37</v>
      </c>
      <c r="L1438" s="27"/>
    </row>
    <row r="1439" customFormat="false" ht="15" hidden="false" customHeight="false" outlineLevel="0" collapsed="false">
      <c r="A1439" s="26" t="s">
        <v>5409</v>
      </c>
      <c r="B1439" s="27" t="s">
        <v>5410</v>
      </c>
      <c r="C1439" s="27" t="s">
        <v>144</v>
      </c>
      <c r="D1439" s="26" t="s">
        <v>5395</v>
      </c>
      <c r="E1439" s="27" t="s">
        <v>5396</v>
      </c>
      <c r="F1439" s="28" t="s">
        <v>146</v>
      </c>
      <c r="G1439" s="27" t="s">
        <v>3537</v>
      </c>
      <c r="H1439" s="27" t="s">
        <v>56</v>
      </c>
      <c r="I1439" s="27" t="s">
        <v>37</v>
      </c>
      <c r="J1439" s="28" t="s">
        <v>399</v>
      </c>
      <c r="K1439" s="27" t="s">
        <v>37</v>
      </c>
      <c r="L1439" s="27"/>
    </row>
    <row r="1440" customFormat="false" ht="15" hidden="false" customHeight="false" outlineLevel="0" collapsed="false">
      <c r="A1440" s="26" t="s">
        <v>5411</v>
      </c>
      <c r="B1440" s="27" t="s">
        <v>5412</v>
      </c>
      <c r="C1440" s="27" t="s">
        <v>137</v>
      </c>
      <c r="D1440" s="26" t="s">
        <v>2480</v>
      </c>
      <c r="E1440" s="27" t="s">
        <v>2481</v>
      </c>
      <c r="F1440" s="28" t="s">
        <v>140</v>
      </c>
      <c r="G1440" s="27" t="s">
        <v>3537</v>
      </c>
      <c r="H1440" s="27" t="s">
        <v>57</v>
      </c>
      <c r="I1440" s="27" t="s">
        <v>39</v>
      </c>
      <c r="J1440" s="28" t="s">
        <v>399</v>
      </c>
      <c r="K1440" s="27" t="s">
        <v>37</v>
      </c>
      <c r="L1440" s="27"/>
    </row>
    <row r="1441" customFormat="false" ht="15" hidden="false" customHeight="false" outlineLevel="0" collapsed="false">
      <c r="A1441" s="26" t="s">
        <v>5413</v>
      </c>
      <c r="B1441" s="27" t="s">
        <v>5414</v>
      </c>
      <c r="C1441" s="27" t="s">
        <v>144</v>
      </c>
      <c r="D1441" s="26" t="s">
        <v>5415</v>
      </c>
      <c r="E1441" s="27" t="s">
        <v>5416</v>
      </c>
      <c r="F1441" s="28" t="s">
        <v>146</v>
      </c>
      <c r="G1441" s="27" t="s">
        <v>3537</v>
      </c>
      <c r="H1441" s="27" t="s">
        <v>57</v>
      </c>
      <c r="I1441" s="28" t="s">
        <v>50</v>
      </c>
      <c r="J1441" s="28" t="s">
        <v>399</v>
      </c>
      <c r="K1441" s="27" t="s">
        <v>37</v>
      </c>
      <c r="L1441" s="27"/>
    </row>
    <row r="1442" customFormat="false" ht="15" hidden="false" customHeight="false" outlineLevel="0" collapsed="false">
      <c r="A1442" s="26" t="s">
        <v>5417</v>
      </c>
      <c r="B1442" s="27" t="s">
        <v>5418</v>
      </c>
      <c r="C1442" s="27" t="s">
        <v>144</v>
      </c>
      <c r="D1442" s="26" t="s">
        <v>5419</v>
      </c>
      <c r="E1442" s="27" t="s">
        <v>5420</v>
      </c>
      <c r="F1442" s="28" t="s">
        <v>146</v>
      </c>
      <c r="G1442" s="27" t="s">
        <v>3537</v>
      </c>
      <c r="H1442" s="27" t="s">
        <v>56</v>
      </c>
      <c r="I1442" s="27" t="s">
        <v>37</v>
      </c>
      <c r="J1442" s="28" t="s">
        <v>399</v>
      </c>
      <c r="K1442" s="27" t="s">
        <v>37</v>
      </c>
      <c r="L1442" s="27"/>
    </row>
    <row r="1443" customFormat="false" ht="15" hidden="false" customHeight="false" outlineLevel="0" collapsed="false">
      <c r="A1443" s="26" t="s">
        <v>5421</v>
      </c>
      <c r="B1443" s="27" t="s">
        <v>5422</v>
      </c>
      <c r="C1443" s="27" t="s">
        <v>144</v>
      </c>
      <c r="D1443" s="26" t="s">
        <v>5423</v>
      </c>
      <c r="E1443" s="27" t="s">
        <v>5424</v>
      </c>
      <c r="F1443" s="28" t="s">
        <v>146</v>
      </c>
      <c r="G1443" s="27" t="s">
        <v>3537</v>
      </c>
      <c r="H1443" s="27" t="s">
        <v>57</v>
      </c>
      <c r="I1443" s="27" t="s">
        <v>39</v>
      </c>
      <c r="J1443" s="28" t="s">
        <v>399</v>
      </c>
      <c r="K1443" s="27" t="s">
        <v>37</v>
      </c>
      <c r="L1443" s="27"/>
    </row>
    <row r="1444" customFormat="false" ht="15" hidden="false" customHeight="false" outlineLevel="0" collapsed="false">
      <c r="A1444" s="26" t="s">
        <v>5425</v>
      </c>
      <c r="B1444" s="27" t="s">
        <v>5426</v>
      </c>
      <c r="C1444" s="27" t="s">
        <v>144</v>
      </c>
      <c r="D1444" s="26" t="s">
        <v>5427</v>
      </c>
      <c r="E1444" s="27" t="s">
        <v>5428</v>
      </c>
      <c r="F1444" s="28" t="s">
        <v>146</v>
      </c>
      <c r="G1444" s="27" t="s">
        <v>3537</v>
      </c>
      <c r="H1444" s="27" t="s">
        <v>57</v>
      </c>
      <c r="I1444" s="27" t="s">
        <v>39</v>
      </c>
      <c r="J1444" s="28" t="s">
        <v>399</v>
      </c>
      <c r="K1444" s="27" t="s">
        <v>37</v>
      </c>
      <c r="L1444" s="27"/>
    </row>
    <row r="1445" customFormat="false" ht="15" hidden="false" customHeight="false" outlineLevel="0" collapsed="false">
      <c r="A1445" s="26" t="s">
        <v>5429</v>
      </c>
      <c r="B1445" s="27" t="s">
        <v>5430</v>
      </c>
      <c r="C1445" s="27" t="s">
        <v>144</v>
      </c>
      <c r="D1445" s="26" t="s">
        <v>5415</v>
      </c>
      <c r="E1445" s="27" t="s">
        <v>5416</v>
      </c>
      <c r="F1445" s="28" t="s">
        <v>146</v>
      </c>
      <c r="G1445" s="27" t="s">
        <v>3537</v>
      </c>
      <c r="H1445" s="27" t="s">
        <v>57</v>
      </c>
      <c r="I1445" s="28" t="s">
        <v>50</v>
      </c>
      <c r="J1445" s="28" t="s">
        <v>399</v>
      </c>
      <c r="K1445" s="27" t="s">
        <v>37</v>
      </c>
      <c r="L1445" s="27"/>
    </row>
    <row r="1446" customFormat="false" ht="15" hidden="false" customHeight="false" outlineLevel="0" collapsed="false">
      <c r="A1446" s="26" t="s">
        <v>5431</v>
      </c>
      <c r="B1446" s="27" t="s">
        <v>5432</v>
      </c>
      <c r="C1446" s="27" t="s">
        <v>144</v>
      </c>
      <c r="D1446" s="26" t="s">
        <v>5433</v>
      </c>
      <c r="E1446" s="27" t="s">
        <v>5434</v>
      </c>
      <c r="F1446" s="28" t="s">
        <v>146</v>
      </c>
      <c r="G1446" s="27" t="s">
        <v>3537</v>
      </c>
      <c r="H1446" s="27" t="s">
        <v>57</v>
      </c>
      <c r="I1446" s="27" t="s">
        <v>39</v>
      </c>
      <c r="J1446" s="28" t="s">
        <v>399</v>
      </c>
      <c r="K1446" s="27" t="s">
        <v>37</v>
      </c>
      <c r="L1446" s="27"/>
    </row>
    <row r="1447" customFormat="false" ht="15" hidden="false" customHeight="false" outlineLevel="0" collapsed="false">
      <c r="A1447" s="26" t="s">
        <v>5435</v>
      </c>
      <c r="B1447" s="27" t="s">
        <v>5436</v>
      </c>
      <c r="C1447" s="27" t="s">
        <v>144</v>
      </c>
      <c r="D1447" s="26" t="s">
        <v>5437</v>
      </c>
      <c r="E1447" s="27" t="s">
        <v>5438</v>
      </c>
      <c r="F1447" s="28" t="s">
        <v>146</v>
      </c>
      <c r="G1447" s="27" t="s">
        <v>3537</v>
      </c>
      <c r="H1447" s="27" t="s">
        <v>57</v>
      </c>
      <c r="I1447" s="27" t="s">
        <v>43</v>
      </c>
      <c r="J1447" s="28" t="s">
        <v>399</v>
      </c>
      <c r="K1447" s="27" t="s">
        <v>37</v>
      </c>
      <c r="L1447" s="27"/>
    </row>
    <row r="1448" customFormat="false" ht="15" hidden="false" customHeight="false" outlineLevel="0" collapsed="false">
      <c r="A1448" s="26" t="s">
        <v>5439</v>
      </c>
      <c r="B1448" s="27" t="s">
        <v>5440</v>
      </c>
      <c r="C1448" s="27" t="s">
        <v>144</v>
      </c>
      <c r="D1448" s="26" t="s">
        <v>5441</v>
      </c>
      <c r="E1448" s="27" t="s">
        <v>5442</v>
      </c>
      <c r="F1448" s="28" t="s">
        <v>146</v>
      </c>
      <c r="G1448" s="27" t="s">
        <v>3537</v>
      </c>
      <c r="H1448" s="27" t="s">
        <v>56</v>
      </c>
      <c r="I1448" s="27" t="s">
        <v>37</v>
      </c>
      <c r="J1448" s="28" t="s">
        <v>399</v>
      </c>
      <c r="K1448" s="27" t="s">
        <v>37</v>
      </c>
      <c r="L1448" s="27"/>
    </row>
    <row r="1449" customFormat="false" ht="15" hidden="false" customHeight="false" outlineLevel="0" collapsed="false">
      <c r="A1449" s="26" t="s">
        <v>5443</v>
      </c>
      <c r="B1449" s="27" t="s">
        <v>5444</v>
      </c>
      <c r="C1449" s="27" t="s">
        <v>144</v>
      </c>
      <c r="D1449" s="26" t="s">
        <v>5441</v>
      </c>
      <c r="E1449" s="27" t="s">
        <v>5442</v>
      </c>
      <c r="F1449" s="28" t="s">
        <v>146</v>
      </c>
      <c r="G1449" s="27" t="s">
        <v>3537</v>
      </c>
      <c r="H1449" s="27" t="s">
        <v>56</v>
      </c>
      <c r="I1449" s="27" t="s">
        <v>37</v>
      </c>
      <c r="J1449" s="28" t="s">
        <v>399</v>
      </c>
      <c r="K1449" s="27" t="s">
        <v>37</v>
      </c>
      <c r="L1449" s="27"/>
    </row>
    <row r="1450" customFormat="false" ht="15" hidden="false" customHeight="false" outlineLevel="0" collapsed="false">
      <c r="A1450" s="26" t="s">
        <v>5445</v>
      </c>
      <c r="B1450" s="27" t="s">
        <v>5446</v>
      </c>
      <c r="C1450" s="27" t="s">
        <v>144</v>
      </c>
      <c r="D1450" s="26" t="s">
        <v>5005</v>
      </c>
      <c r="E1450" s="27" t="s">
        <v>5006</v>
      </c>
      <c r="F1450" s="28" t="s">
        <v>146</v>
      </c>
      <c r="G1450" s="27" t="s">
        <v>3537</v>
      </c>
      <c r="H1450" s="27" t="s">
        <v>56</v>
      </c>
      <c r="I1450" s="27" t="s">
        <v>37</v>
      </c>
      <c r="J1450" s="28" t="s">
        <v>399</v>
      </c>
      <c r="K1450" s="27" t="s">
        <v>37</v>
      </c>
      <c r="L1450" s="27"/>
    </row>
    <row r="1451" customFormat="false" ht="15" hidden="false" customHeight="false" outlineLevel="0" collapsed="false">
      <c r="A1451" s="26" t="s">
        <v>5447</v>
      </c>
      <c r="B1451" s="27" t="s">
        <v>5448</v>
      </c>
      <c r="C1451" s="27" t="s">
        <v>144</v>
      </c>
      <c r="D1451" s="26" t="s">
        <v>5449</v>
      </c>
      <c r="E1451" s="27" t="s">
        <v>5450</v>
      </c>
      <c r="F1451" s="28" t="s">
        <v>146</v>
      </c>
      <c r="G1451" s="27" t="s">
        <v>3537</v>
      </c>
      <c r="H1451" s="27" t="s">
        <v>56</v>
      </c>
      <c r="I1451" s="27" t="s">
        <v>37</v>
      </c>
      <c r="J1451" s="28" t="s">
        <v>399</v>
      </c>
      <c r="K1451" s="27" t="s">
        <v>37</v>
      </c>
      <c r="L1451" s="27"/>
    </row>
    <row r="1452" customFormat="false" ht="15" hidden="false" customHeight="false" outlineLevel="0" collapsed="false">
      <c r="A1452" s="26" t="s">
        <v>5451</v>
      </c>
      <c r="B1452" s="27" t="s">
        <v>5452</v>
      </c>
      <c r="C1452" s="27" t="s">
        <v>144</v>
      </c>
      <c r="D1452" s="26" t="s">
        <v>5453</v>
      </c>
      <c r="E1452" s="27" t="s">
        <v>5454</v>
      </c>
      <c r="F1452" s="28" t="s">
        <v>146</v>
      </c>
      <c r="G1452" s="27" t="s">
        <v>3537</v>
      </c>
      <c r="H1452" s="27" t="s">
        <v>57</v>
      </c>
      <c r="I1452" s="27" t="s">
        <v>49</v>
      </c>
      <c r="J1452" s="28" t="s">
        <v>399</v>
      </c>
      <c r="K1452" s="27" t="s">
        <v>37</v>
      </c>
      <c r="L1452" s="27"/>
    </row>
    <row r="1453" customFormat="false" ht="15" hidden="false" customHeight="false" outlineLevel="0" collapsed="false">
      <c r="A1453" s="26" t="s">
        <v>5455</v>
      </c>
      <c r="B1453" s="27" t="s">
        <v>5456</v>
      </c>
      <c r="C1453" s="27" t="s">
        <v>100</v>
      </c>
      <c r="D1453" s="26" t="s">
        <v>2494</v>
      </c>
      <c r="E1453" s="27" t="s">
        <v>2495</v>
      </c>
      <c r="F1453" s="28" t="s">
        <v>102</v>
      </c>
      <c r="G1453" s="27" t="s">
        <v>3537</v>
      </c>
      <c r="H1453" s="27" t="s">
        <v>57</v>
      </c>
      <c r="I1453" s="27" t="s">
        <v>49</v>
      </c>
      <c r="J1453" s="28" t="s">
        <v>399</v>
      </c>
      <c r="K1453" s="27" t="s">
        <v>37</v>
      </c>
      <c r="L1453" s="27"/>
    </row>
    <row r="1454" customFormat="false" ht="15" hidden="false" customHeight="false" outlineLevel="0" collapsed="false">
      <c r="A1454" s="26" t="s">
        <v>5457</v>
      </c>
      <c r="B1454" s="27" t="s">
        <v>5458</v>
      </c>
      <c r="C1454" s="27" t="s">
        <v>144</v>
      </c>
      <c r="D1454" s="26" t="s">
        <v>4634</v>
      </c>
      <c r="E1454" s="27" t="s">
        <v>4635</v>
      </c>
      <c r="F1454" s="28" t="s">
        <v>146</v>
      </c>
      <c r="G1454" s="27" t="s">
        <v>3537</v>
      </c>
      <c r="H1454" s="27" t="s">
        <v>57</v>
      </c>
      <c r="I1454" s="27" t="s">
        <v>49</v>
      </c>
      <c r="J1454" s="28" t="s">
        <v>399</v>
      </c>
      <c r="K1454" s="27" t="s">
        <v>37</v>
      </c>
      <c r="L1454" s="27"/>
    </row>
    <row r="1455" customFormat="false" ht="15" hidden="false" customHeight="false" outlineLevel="0" collapsed="false">
      <c r="A1455" s="26" t="s">
        <v>5459</v>
      </c>
      <c r="B1455" s="27" t="s">
        <v>5460</v>
      </c>
      <c r="C1455" s="27" t="s">
        <v>100</v>
      </c>
      <c r="D1455" s="26" t="s">
        <v>5461</v>
      </c>
      <c r="E1455" s="27" t="s">
        <v>5462</v>
      </c>
      <c r="F1455" s="28" t="s">
        <v>102</v>
      </c>
      <c r="G1455" s="27" t="s">
        <v>3537</v>
      </c>
      <c r="H1455" s="27" t="s">
        <v>57</v>
      </c>
      <c r="I1455" s="27" t="s">
        <v>49</v>
      </c>
      <c r="J1455" s="28" t="s">
        <v>399</v>
      </c>
      <c r="K1455" s="27" t="s">
        <v>37</v>
      </c>
      <c r="L1455" s="27"/>
    </row>
    <row r="1456" customFormat="false" ht="15" hidden="false" customHeight="false" outlineLevel="0" collapsed="false">
      <c r="A1456" s="26" t="s">
        <v>5463</v>
      </c>
      <c r="B1456" s="27" t="s">
        <v>5464</v>
      </c>
      <c r="C1456" s="27" t="s">
        <v>144</v>
      </c>
      <c r="D1456" s="26" t="s">
        <v>5465</v>
      </c>
      <c r="E1456" s="27" t="s">
        <v>5466</v>
      </c>
      <c r="F1456" s="28" t="s">
        <v>146</v>
      </c>
      <c r="G1456" s="27" t="s">
        <v>3537</v>
      </c>
      <c r="H1456" s="27" t="s">
        <v>57</v>
      </c>
      <c r="I1456" s="27" t="s">
        <v>49</v>
      </c>
      <c r="J1456" s="28" t="s">
        <v>399</v>
      </c>
      <c r="K1456" s="27" t="s">
        <v>37</v>
      </c>
      <c r="L1456" s="27"/>
    </row>
    <row r="1457" customFormat="false" ht="15" hidden="false" customHeight="false" outlineLevel="0" collapsed="false">
      <c r="A1457" s="26" t="s">
        <v>5467</v>
      </c>
      <c r="B1457" s="27" t="s">
        <v>5468</v>
      </c>
      <c r="C1457" s="27" t="s">
        <v>144</v>
      </c>
      <c r="D1457" s="26" t="s">
        <v>5469</v>
      </c>
      <c r="E1457" s="27" t="s">
        <v>5470</v>
      </c>
      <c r="F1457" s="28" t="s">
        <v>146</v>
      </c>
      <c r="G1457" s="27" t="s">
        <v>3537</v>
      </c>
      <c r="H1457" s="27" t="s">
        <v>57</v>
      </c>
      <c r="I1457" s="27" t="s">
        <v>49</v>
      </c>
      <c r="J1457" s="28" t="s">
        <v>399</v>
      </c>
      <c r="K1457" s="27" t="s">
        <v>37</v>
      </c>
      <c r="L1457" s="27"/>
    </row>
    <row r="1458" customFormat="false" ht="15" hidden="false" customHeight="false" outlineLevel="0" collapsed="false">
      <c r="A1458" s="26" t="s">
        <v>5471</v>
      </c>
      <c r="B1458" s="27" t="s">
        <v>5472</v>
      </c>
      <c r="C1458" s="27" t="s">
        <v>144</v>
      </c>
      <c r="D1458" s="26" t="s">
        <v>5473</v>
      </c>
      <c r="E1458" s="27" t="s">
        <v>5474</v>
      </c>
      <c r="F1458" s="28" t="s">
        <v>146</v>
      </c>
      <c r="G1458" s="27" t="s">
        <v>3537</v>
      </c>
      <c r="H1458" s="27" t="s">
        <v>56</v>
      </c>
      <c r="I1458" s="27" t="s">
        <v>37</v>
      </c>
      <c r="J1458" s="28" t="s">
        <v>399</v>
      </c>
      <c r="K1458" s="27" t="s">
        <v>37</v>
      </c>
      <c r="L1458" s="27"/>
    </row>
    <row r="1459" customFormat="false" ht="15" hidden="false" customHeight="false" outlineLevel="0" collapsed="false">
      <c r="A1459" s="26" t="s">
        <v>5475</v>
      </c>
      <c r="B1459" s="27" t="s">
        <v>5476</v>
      </c>
      <c r="C1459" s="27" t="s">
        <v>144</v>
      </c>
      <c r="D1459" s="26" t="s">
        <v>5477</v>
      </c>
      <c r="E1459" s="27" t="s">
        <v>5478</v>
      </c>
      <c r="F1459" s="28" t="s">
        <v>146</v>
      </c>
      <c r="G1459" s="27" t="s">
        <v>3537</v>
      </c>
      <c r="H1459" s="27" t="s">
        <v>57</v>
      </c>
      <c r="I1459" s="27" t="s">
        <v>38</v>
      </c>
      <c r="J1459" s="28" t="s">
        <v>399</v>
      </c>
      <c r="K1459" s="27" t="s">
        <v>37</v>
      </c>
      <c r="L1459" s="27"/>
    </row>
    <row r="1460" customFormat="false" ht="15" hidden="false" customHeight="false" outlineLevel="0" collapsed="false">
      <c r="A1460" s="26" t="s">
        <v>5479</v>
      </c>
      <c r="B1460" s="27" t="s">
        <v>5480</v>
      </c>
      <c r="C1460" s="27" t="s">
        <v>144</v>
      </c>
      <c r="D1460" s="26" t="s">
        <v>5481</v>
      </c>
      <c r="E1460" s="27" t="s">
        <v>5482</v>
      </c>
      <c r="F1460" s="28" t="s">
        <v>146</v>
      </c>
      <c r="G1460" s="27" t="s">
        <v>3537</v>
      </c>
      <c r="H1460" s="27" t="s">
        <v>57</v>
      </c>
      <c r="I1460" s="27" t="s">
        <v>38</v>
      </c>
      <c r="J1460" s="28" t="s">
        <v>399</v>
      </c>
      <c r="K1460" s="27" t="s">
        <v>37</v>
      </c>
      <c r="L1460" s="27"/>
    </row>
    <row r="1461" customFormat="false" ht="15" hidden="false" customHeight="false" outlineLevel="0" collapsed="false">
      <c r="A1461" s="26" t="s">
        <v>5483</v>
      </c>
      <c r="B1461" s="27" t="s">
        <v>5484</v>
      </c>
      <c r="C1461" s="27" t="s">
        <v>144</v>
      </c>
      <c r="D1461" s="26" t="s">
        <v>5485</v>
      </c>
      <c r="E1461" s="27" t="s">
        <v>5486</v>
      </c>
      <c r="F1461" s="28" t="s">
        <v>146</v>
      </c>
      <c r="G1461" s="27" t="s">
        <v>3537</v>
      </c>
      <c r="H1461" s="27" t="s">
        <v>57</v>
      </c>
      <c r="I1461" s="27" t="s">
        <v>38</v>
      </c>
      <c r="J1461" s="28" t="s">
        <v>399</v>
      </c>
      <c r="K1461" s="27" t="s">
        <v>37</v>
      </c>
      <c r="L1461" s="27"/>
    </row>
    <row r="1462" customFormat="false" ht="15" hidden="false" customHeight="false" outlineLevel="0" collapsed="false">
      <c r="A1462" s="26" t="s">
        <v>5487</v>
      </c>
      <c r="B1462" s="27" t="s">
        <v>5488</v>
      </c>
      <c r="C1462" s="27" t="s">
        <v>144</v>
      </c>
      <c r="D1462" s="26" t="s">
        <v>5489</v>
      </c>
      <c r="E1462" s="27" t="s">
        <v>5490</v>
      </c>
      <c r="F1462" s="28" t="s">
        <v>146</v>
      </c>
      <c r="G1462" s="27" t="s">
        <v>3537</v>
      </c>
      <c r="H1462" s="27" t="s">
        <v>57</v>
      </c>
      <c r="I1462" s="27" t="s">
        <v>38</v>
      </c>
      <c r="J1462" s="28" t="s">
        <v>399</v>
      </c>
      <c r="K1462" s="27" t="s">
        <v>37</v>
      </c>
      <c r="L1462" s="27"/>
    </row>
    <row r="1463" customFormat="false" ht="15" hidden="false" customHeight="false" outlineLevel="0" collapsed="false">
      <c r="A1463" s="26" t="s">
        <v>5491</v>
      </c>
      <c r="B1463" s="27" t="s">
        <v>5492</v>
      </c>
      <c r="C1463" s="27" t="s">
        <v>144</v>
      </c>
      <c r="D1463" s="26" t="s">
        <v>5493</v>
      </c>
      <c r="E1463" s="27" t="s">
        <v>5494</v>
      </c>
      <c r="F1463" s="28" t="s">
        <v>146</v>
      </c>
      <c r="G1463" s="27" t="s">
        <v>3537</v>
      </c>
      <c r="H1463" s="27" t="s">
        <v>57</v>
      </c>
      <c r="I1463" s="27" t="s">
        <v>38</v>
      </c>
      <c r="J1463" s="28" t="s">
        <v>399</v>
      </c>
      <c r="K1463" s="27" t="s">
        <v>37</v>
      </c>
      <c r="L1463" s="27"/>
    </row>
    <row r="1464" customFormat="false" ht="15" hidden="false" customHeight="false" outlineLevel="0" collapsed="false">
      <c r="A1464" s="26" t="s">
        <v>5495</v>
      </c>
      <c r="B1464" s="27" t="s">
        <v>5496</v>
      </c>
      <c r="C1464" s="27" t="s">
        <v>144</v>
      </c>
      <c r="D1464" s="26" t="s">
        <v>5497</v>
      </c>
      <c r="E1464" s="27" t="s">
        <v>5498</v>
      </c>
      <c r="F1464" s="28" t="s">
        <v>146</v>
      </c>
      <c r="G1464" s="27" t="s">
        <v>3537</v>
      </c>
      <c r="H1464" s="27" t="s">
        <v>57</v>
      </c>
      <c r="I1464" s="27" t="s">
        <v>38</v>
      </c>
      <c r="J1464" s="28" t="s">
        <v>399</v>
      </c>
      <c r="K1464" s="27" t="s">
        <v>37</v>
      </c>
      <c r="L1464" s="27"/>
    </row>
    <row r="1465" customFormat="false" ht="15" hidden="false" customHeight="false" outlineLevel="0" collapsed="false">
      <c r="A1465" s="26" t="s">
        <v>5499</v>
      </c>
      <c r="B1465" s="27" t="s">
        <v>5500</v>
      </c>
      <c r="C1465" s="27" t="s">
        <v>144</v>
      </c>
      <c r="D1465" s="26" t="s">
        <v>2508</v>
      </c>
      <c r="E1465" s="27" t="s">
        <v>2509</v>
      </c>
      <c r="F1465" s="28" t="s">
        <v>146</v>
      </c>
      <c r="G1465" s="27" t="s">
        <v>3537</v>
      </c>
      <c r="H1465" s="27" t="s">
        <v>57</v>
      </c>
      <c r="I1465" s="27" t="s">
        <v>41</v>
      </c>
      <c r="J1465" s="28" t="s">
        <v>399</v>
      </c>
      <c r="K1465" s="27" t="s">
        <v>37</v>
      </c>
      <c r="L1465" s="27"/>
    </row>
    <row r="1466" customFormat="false" ht="15" hidden="false" customHeight="false" outlineLevel="0" collapsed="false">
      <c r="A1466" s="26" t="s">
        <v>5501</v>
      </c>
      <c r="B1466" s="27" t="s">
        <v>5502</v>
      </c>
      <c r="C1466" s="27" t="s">
        <v>144</v>
      </c>
      <c r="D1466" s="26" t="s">
        <v>5503</v>
      </c>
      <c r="E1466" s="27" t="s">
        <v>5504</v>
      </c>
      <c r="F1466" s="28" t="s">
        <v>146</v>
      </c>
      <c r="G1466" s="27" t="s">
        <v>3537</v>
      </c>
      <c r="H1466" s="27" t="s">
        <v>57</v>
      </c>
      <c r="I1466" s="27" t="s">
        <v>41</v>
      </c>
      <c r="J1466" s="28" t="s">
        <v>399</v>
      </c>
      <c r="K1466" s="27" t="s">
        <v>37</v>
      </c>
      <c r="L1466" s="27"/>
    </row>
    <row r="1467" customFormat="false" ht="15" hidden="false" customHeight="false" outlineLevel="0" collapsed="false">
      <c r="A1467" s="26" t="s">
        <v>5505</v>
      </c>
      <c r="B1467" s="27" t="s">
        <v>5506</v>
      </c>
      <c r="C1467" s="27" t="s">
        <v>144</v>
      </c>
      <c r="D1467" s="26" t="s">
        <v>5507</v>
      </c>
      <c r="E1467" s="27" t="s">
        <v>5508</v>
      </c>
      <c r="F1467" s="28" t="s">
        <v>146</v>
      </c>
      <c r="G1467" s="27" t="s">
        <v>3537</v>
      </c>
      <c r="H1467" s="27" t="s">
        <v>57</v>
      </c>
      <c r="I1467" s="27" t="s">
        <v>41</v>
      </c>
      <c r="J1467" s="28" t="s">
        <v>399</v>
      </c>
      <c r="K1467" s="27" t="s">
        <v>37</v>
      </c>
      <c r="L1467" s="27"/>
    </row>
    <row r="1468" customFormat="false" ht="15" hidden="false" customHeight="false" outlineLevel="0" collapsed="false">
      <c r="A1468" s="26" t="s">
        <v>5509</v>
      </c>
      <c r="B1468" s="27" t="s">
        <v>5510</v>
      </c>
      <c r="C1468" s="27" t="s">
        <v>144</v>
      </c>
      <c r="D1468" s="26" t="s">
        <v>2508</v>
      </c>
      <c r="E1468" s="27" t="s">
        <v>2509</v>
      </c>
      <c r="F1468" s="28" t="s">
        <v>146</v>
      </c>
      <c r="G1468" s="27" t="s">
        <v>3537</v>
      </c>
      <c r="H1468" s="27" t="s">
        <v>57</v>
      </c>
      <c r="I1468" s="27" t="s">
        <v>41</v>
      </c>
      <c r="J1468" s="28" t="s">
        <v>399</v>
      </c>
      <c r="K1468" s="27" t="s">
        <v>37</v>
      </c>
      <c r="L1468" s="27"/>
    </row>
    <row r="1469" customFormat="false" ht="15" hidden="false" customHeight="false" outlineLevel="0" collapsed="false">
      <c r="A1469" s="26" t="s">
        <v>5511</v>
      </c>
      <c r="B1469" s="27" t="s">
        <v>5512</v>
      </c>
      <c r="C1469" s="27" t="s">
        <v>144</v>
      </c>
      <c r="D1469" s="26" t="s">
        <v>2508</v>
      </c>
      <c r="E1469" s="27" t="s">
        <v>2509</v>
      </c>
      <c r="F1469" s="28" t="s">
        <v>146</v>
      </c>
      <c r="G1469" s="27" t="s">
        <v>3537</v>
      </c>
      <c r="H1469" s="27" t="s">
        <v>57</v>
      </c>
      <c r="I1469" s="27" t="s">
        <v>41</v>
      </c>
      <c r="J1469" s="28" t="s">
        <v>399</v>
      </c>
      <c r="K1469" s="27" t="s">
        <v>37</v>
      </c>
      <c r="L1469" s="27"/>
    </row>
    <row r="1470" customFormat="false" ht="15" hidden="false" customHeight="false" outlineLevel="0" collapsed="false">
      <c r="A1470" s="26" t="s">
        <v>5513</v>
      </c>
      <c r="B1470" s="27" t="s">
        <v>5514</v>
      </c>
      <c r="C1470" s="27" t="s">
        <v>144</v>
      </c>
      <c r="D1470" s="26" t="s">
        <v>5503</v>
      </c>
      <c r="E1470" s="27" t="s">
        <v>5504</v>
      </c>
      <c r="F1470" s="28" t="s">
        <v>146</v>
      </c>
      <c r="G1470" s="27" t="s">
        <v>3537</v>
      </c>
      <c r="H1470" s="27" t="s">
        <v>57</v>
      </c>
      <c r="I1470" s="27" t="s">
        <v>41</v>
      </c>
      <c r="J1470" s="28" t="s">
        <v>399</v>
      </c>
      <c r="K1470" s="27" t="s">
        <v>37</v>
      </c>
      <c r="L1470" s="27"/>
    </row>
    <row r="1471" customFormat="false" ht="15" hidden="false" customHeight="false" outlineLevel="0" collapsed="false">
      <c r="A1471" s="26" t="s">
        <v>5515</v>
      </c>
      <c r="B1471" s="27" t="s">
        <v>5516</v>
      </c>
      <c r="C1471" s="27" t="s">
        <v>144</v>
      </c>
      <c r="D1471" s="26" t="s">
        <v>5503</v>
      </c>
      <c r="E1471" s="27" t="s">
        <v>5504</v>
      </c>
      <c r="F1471" s="28" t="s">
        <v>146</v>
      </c>
      <c r="G1471" s="27" t="s">
        <v>3537</v>
      </c>
      <c r="H1471" s="27" t="s">
        <v>57</v>
      </c>
      <c r="I1471" s="27" t="s">
        <v>41</v>
      </c>
      <c r="J1471" s="28" t="s">
        <v>399</v>
      </c>
      <c r="K1471" s="27" t="s">
        <v>37</v>
      </c>
      <c r="L1471" s="27"/>
    </row>
    <row r="1472" customFormat="false" ht="15" hidden="false" customHeight="false" outlineLevel="0" collapsed="false">
      <c r="A1472" s="26" t="s">
        <v>5517</v>
      </c>
      <c r="B1472" s="27" t="s">
        <v>5518</v>
      </c>
      <c r="C1472" s="27" t="s">
        <v>144</v>
      </c>
      <c r="D1472" s="26" t="s">
        <v>679</v>
      </c>
      <c r="E1472" s="27" t="s">
        <v>680</v>
      </c>
      <c r="F1472" s="28" t="s">
        <v>146</v>
      </c>
      <c r="G1472" s="27" t="s">
        <v>3537</v>
      </c>
      <c r="H1472" s="27" t="s">
        <v>56</v>
      </c>
      <c r="I1472" s="27" t="s">
        <v>37</v>
      </c>
      <c r="J1472" s="28" t="s">
        <v>636</v>
      </c>
      <c r="K1472" s="27" t="s">
        <v>37</v>
      </c>
      <c r="L1472" s="27"/>
    </row>
    <row r="1473" customFormat="false" ht="15" hidden="false" customHeight="false" outlineLevel="0" collapsed="false">
      <c r="A1473" s="26" t="s">
        <v>5519</v>
      </c>
      <c r="B1473" s="27" t="s">
        <v>5520</v>
      </c>
      <c r="C1473" s="27" t="s">
        <v>144</v>
      </c>
      <c r="D1473" s="26" t="s">
        <v>5521</v>
      </c>
      <c r="E1473" s="28" t="s">
        <v>5522</v>
      </c>
      <c r="F1473" s="28" t="s">
        <v>146</v>
      </c>
      <c r="G1473" s="27" t="s">
        <v>3537</v>
      </c>
      <c r="H1473" s="27" t="s">
        <v>56</v>
      </c>
      <c r="I1473" s="27" t="s">
        <v>37</v>
      </c>
      <c r="J1473" s="28" t="s">
        <v>636</v>
      </c>
      <c r="K1473" s="27" t="s">
        <v>37</v>
      </c>
      <c r="L1473" s="27"/>
    </row>
    <row r="1474" customFormat="false" ht="15" hidden="false" customHeight="false" outlineLevel="0" collapsed="false">
      <c r="A1474" s="26" t="s">
        <v>5523</v>
      </c>
      <c r="B1474" s="27" t="s">
        <v>5524</v>
      </c>
      <c r="C1474" s="27" t="s">
        <v>144</v>
      </c>
      <c r="D1474" s="26" t="s">
        <v>5525</v>
      </c>
      <c r="E1474" s="27" t="s">
        <v>5526</v>
      </c>
      <c r="F1474" s="28" t="s">
        <v>146</v>
      </c>
      <c r="G1474" s="27" t="s">
        <v>3537</v>
      </c>
      <c r="H1474" s="27" t="s">
        <v>56</v>
      </c>
      <c r="I1474" s="27" t="s">
        <v>37</v>
      </c>
      <c r="J1474" s="28" t="s">
        <v>636</v>
      </c>
      <c r="K1474" s="27" t="s">
        <v>37</v>
      </c>
      <c r="L1474" s="27"/>
    </row>
    <row r="1475" customFormat="false" ht="15" hidden="false" customHeight="false" outlineLevel="0" collapsed="false">
      <c r="A1475" s="26" t="s">
        <v>5527</v>
      </c>
      <c r="B1475" s="27" t="s">
        <v>5528</v>
      </c>
      <c r="C1475" s="27" t="s">
        <v>144</v>
      </c>
      <c r="D1475" s="26" t="s">
        <v>5529</v>
      </c>
      <c r="E1475" s="27" t="s">
        <v>5530</v>
      </c>
      <c r="F1475" s="28" t="s">
        <v>146</v>
      </c>
      <c r="G1475" s="27" t="s">
        <v>3537</v>
      </c>
      <c r="H1475" s="27" t="s">
        <v>56</v>
      </c>
      <c r="I1475" s="27" t="s">
        <v>37</v>
      </c>
      <c r="J1475" s="28" t="s">
        <v>636</v>
      </c>
      <c r="K1475" s="27" t="s">
        <v>37</v>
      </c>
      <c r="L1475" s="27"/>
    </row>
    <row r="1476" customFormat="false" ht="15" hidden="false" customHeight="false" outlineLevel="0" collapsed="false">
      <c r="A1476" s="26" t="s">
        <v>5531</v>
      </c>
      <c r="B1476" s="27" t="s">
        <v>5532</v>
      </c>
      <c r="C1476" s="27" t="s">
        <v>144</v>
      </c>
      <c r="D1476" s="26" t="s">
        <v>5529</v>
      </c>
      <c r="E1476" s="27" t="s">
        <v>5530</v>
      </c>
      <c r="F1476" s="28" t="s">
        <v>146</v>
      </c>
      <c r="G1476" s="27" t="s">
        <v>3537</v>
      </c>
      <c r="H1476" s="27" t="s">
        <v>56</v>
      </c>
      <c r="I1476" s="27" t="s">
        <v>37</v>
      </c>
      <c r="J1476" s="28" t="s">
        <v>636</v>
      </c>
      <c r="K1476" s="27" t="s">
        <v>37</v>
      </c>
      <c r="L1476" s="27"/>
    </row>
    <row r="1477" customFormat="false" ht="15" hidden="false" customHeight="false" outlineLevel="0" collapsed="false">
      <c r="A1477" s="26" t="s">
        <v>5533</v>
      </c>
      <c r="B1477" s="27" t="s">
        <v>5534</v>
      </c>
      <c r="C1477" s="27" t="s">
        <v>144</v>
      </c>
      <c r="D1477" s="26" t="s">
        <v>5535</v>
      </c>
      <c r="E1477" s="27" t="s">
        <v>5536</v>
      </c>
      <c r="F1477" s="28" t="s">
        <v>146</v>
      </c>
      <c r="G1477" s="27" t="s">
        <v>3537</v>
      </c>
      <c r="H1477" s="27" t="s">
        <v>56</v>
      </c>
      <c r="I1477" s="27" t="s">
        <v>37</v>
      </c>
      <c r="J1477" s="28" t="s">
        <v>636</v>
      </c>
      <c r="K1477" s="27" t="s">
        <v>37</v>
      </c>
      <c r="L1477" s="27"/>
    </row>
    <row r="1478" customFormat="false" ht="15" hidden="false" customHeight="false" outlineLevel="0" collapsed="false">
      <c r="A1478" s="26" t="s">
        <v>5537</v>
      </c>
      <c r="B1478" s="27" t="s">
        <v>5538</v>
      </c>
      <c r="C1478" s="27" t="s">
        <v>144</v>
      </c>
      <c r="D1478" s="26" t="s">
        <v>5539</v>
      </c>
      <c r="E1478" s="27" t="s">
        <v>5540</v>
      </c>
      <c r="F1478" s="28" t="s">
        <v>146</v>
      </c>
      <c r="G1478" s="27" t="s">
        <v>3537</v>
      </c>
      <c r="H1478" s="27" t="s">
        <v>56</v>
      </c>
      <c r="I1478" s="27" t="s">
        <v>37</v>
      </c>
      <c r="J1478" s="28" t="s">
        <v>636</v>
      </c>
      <c r="K1478" s="27" t="s">
        <v>37</v>
      </c>
      <c r="L1478" s="27"/>
    </row>
    <row r="1479" customFormat="false" ht="15" hidden="false" customHeight="false" outlineLevel="0" collapsed="false">
      <c r="A1479" s="26" t="s">
        <v>5541</v>
      </c>
      <c r="B1479" s="27" t="s">
        <v>5542</v>
      </c>
      <c r="C1479" s="27" t="s">
        <v>144</v>
      </c>
      <c r="D1479" s="26" t="s">
        <v>5543</v>
      </c>
      <c r="E1479" s="27" t="s">
        <v>5544</v>
      </c>
      <c r="F1479" s="28" t="s">
        <v>146</v>
      </c>
      <c r="G1479" s="27" t="s">
        <v>3537</v>
      </c>
      <c r="H1479" s="27" t="s">
        <v>56</v>
      </c>
      <c r="I1479" s="27" t="s">
        <v>37</v>
      </c>
      <c r="J1479" s="28" t="s">
        <v>636</v>
      </c>
      <c r="K1479" s="27" t="s">
        <v>37</v>
      </c>
      <c r="L1479" s="27"/>
    </row>
    <row r="1480" customFormat="false" ht="15" hidden="false" customHeight="false" outlineLevel="0" collapsed="false">
      <c r="A1480" s="26" t="s">
        <v>5545</v>
      </c>
      <c r="B1480" s="27" t="s">
        <v>5546</v>
      </c>
      <c r="C1480" s="27" t="s">
        <v>144</v>
      </c>
      <c r="D1480" s="26" t="s">
        <v>5547</v>
      </c>
      <c r="E1480" s="27" t="s">
        <v>5548</v>
      </c>
      <c r="F1480" s="28" t="s">
        <v>146</v>
      </c>
      <c r="G1480" s="27" t="s">
        <v>3537</v>
      </c>
      <c r="H1480" s="27" t="s">
        <v>56</v>
      </c>
      <c r="I1480" s="27" t="s">
        <v>37</v>
      </c>
      <c r="J1480" s="28" t="s">
        <v>636</v>
      </c>
      <c r="K1480" s="27" t="s">
        <v>37</v>
      </c>
      <c r="L1480" s="27"/>
    </row>
    <row r="1481" customFormat="false" ht="15" hidden="false" customHeight="false" outlineLevel="0" collapsed="false">
      <c r="A1481" s="26" t="s">
        <v>5549</v>
      </c>
      <c r="B1481" s="27" t="s">
        <v>5550</v>
      </c>
      <c r="C1481" s="27" t="s">
        <v>144</v>
      </c>
      <c r="D1481" s="26" t="s">
        <v>5551</v>
      </c>
      <c r="E1481" s="27" t="s">
        <v>5552</v>
      </c>
      <c r="F1481" s="28" t="s">
        <v>146</v>
      </c>
      <c r="G1481" s="27" t="s">
        <v>3537</v>
      </c>
      <c r="H1481" s="27" t="s">
        <v>56</v>
      </c>
      <c r="I1481" s="27" t="s">
        <v>37</v>
      </c>
      <c r="J1481" s="28" t="s">
        <v>636</v>
      </c>
      <c r="K1481" s="27" t="s">
        <v>37</v>
      </c>
      <c r="L1481" s="27"/>
    </row>
    <row r="1482" customFormat="false" ht="15" hidden="false" customHeight="false" outlineLevel="0" collapsed="false">
      <c r="A1482" s="26" t="s">
        <v>5553</v>
      </c>
      <c r="B1482" s="27" t="s">
        <v>5554</v>
      </c>
      <c r="C1482" s="27" t="s">
        <v>144</v>
      </c>
      <c r="D1482" s="26" t="s">
        <v>5555</v>
      </c>
      <c r="E1482" s="27" t="s">
        <v>5556</v>
      </c>
      <c r="F1482" s="28" t="s">
        <v>146</v>
      </c>
      <c r="G1482" s="27" t="s">
        <v>3537</v>
      </c>
      <c r="H1482" s="27" t="s">
        <v>56</v>
      </c>
      <c r="I1482" s="27" t="s">
        <v>37</v>
      </c>
      <c r="J1482" s="28" t="s">
        <v>636</v>
      </c>
      <c r="K1482" s="27" t="s">
        <v>37</v>
      </c>
      <c r="L1482" s="27"/>
    </row>
    <row r="1483" customFormat="false" ht="15" hidden="false" customHeight="false" outlineLevel="0" collapsed="false">
      <c r="A1483" s="26" t="s">
        <v>5557</v>
      </c>
      <c r="B1483" s="27" t="s">
        <v>5558</v>
      </c>
      <c r="C1483" s="27" t="s">
        <v>144</v>
      </c>
      <c r="D1483" s="26" t="s">
        <v>5559</v>
      </c>
      <c r="E1483" s="27" t="s">
        <v>5560</v>
      </c>
      <c r="F1483" s="28" t="s">
        <v>146</v>
      </c>
      <c r="G1483" s="27" t="s">
        <v>3537</v>
      </c>
      <c r="H1483" s="27" t="s">
        <v>56</v>
      </c>
      <c r="I1483" s="27" t="s">
        <v>37</v>
      </c>
      <c r="J1483" s="28" t="s">
        <v>636</v>
      </c>
      <c r="K1483" s="27" t="s">
        <v>37</v>
      </c>
      <c r="L1483" s="27"/>
    </row>
    <row r="1484" customFormat="false" ht="15" hidden="false" customHeight="false" outlineLevel="0" collapsed="false">
      <c r="A1484" s="26" t="s">
        <v>5561</v>
      </c>
      <c r="B1484" s="27" t="s">
        <v>5562</v>
      </c>
      <c r="C1484" s="27" t="s">
        <v>144</v>
      </c>
      <c r="D1484" s="26" t="s">
        <v>5563</v>
      </c>
      <c r="E1484" s="27" t="s">
        <v>5564</v>
      </c>
      <c r="F1484" s="28" t="s">
        <v>146</v>
      </c>
      <c r="G1484" s="27" t="s">
        <v>3537</v>
      </c>
      <c r="H1484" s="27" t="s">
        <v>56</v>
      </c>
      <c r="I1484" s="27" t="s">
        <v>37</v>
      </c>
      <c r="J1484" s="28" t="s">
        <v>636</v>
      </c>
      <c r="K1484" s="27" t="s">
        <v>37</v>
      </c>
      <c r="L1484" s="27"/>
    </row>
    <row r="1485" customFormat="false" ht="15" hidden="false" customHeight="false" outlineLevel="0" collapsed="false">
      <c r="A1485" s="26" t="s">
        <v>5565</v>
      </c>
      <c r="B1485" s="27" t="s">
        <v>5566</v>
      </c>
      <c r="C1485" s="27" t="s">
        <v>144</v>
      </c>
      <c r="D1485" s="26" t="s">
        <v>5567</v>
      </c>
      <c r="E1485" s="27" t="s">
        <v>5568</v>
      </c>
      <c r="F1485" s="28" t="s">
        <v>146</v>
      </c>
      <c r="G1485" s="27" t="s">
        <v>3537</v>
      </c>
      <c r="H1485" s="27" t="s">
        <v>56</v>
      </c>
      <c r="I1485" s="27" t="s">
        <v>37</v>
      </c>
      <c r="J1485" s="28" t="s">
        <v>636</v>
      </c>
      <c r="K1485" s="27" t="s">
        <v>37</v>
      </c>
      <c r="L1485" s="27"/>
    </row>
    <row r="1486" customFormat="false" ht="15" hidden="false" customHeight="false" outlineLevel="0" collapsed="false">
      <c r="A1486" s="26" t="s">
        <v>5569</v>
      </c>
      <c r="B1486" s="27" t="s">
        <v>5570</v>
      </c>
      <c r="C1486" s="27" t="s">
        <v>144</v>
      </c>
      <c r="D1486" s="26" t="s">
        <v>5571</v>
      </c>
      <c r="E1486" s="27" t="s">
        <v>5572</v>
      </c>
      <c r="F1486" s="28" t="s">
        <v>146</v>
      </c>
      <c r="G1486" s="27" t="s">
        <v>3537</v>
      </c>
      <c r="H1486" s="27" t="s">
        <v>56</v>
      </c>
      <c r="I1486" s="27" t="s">
        <v>37</v>
      </c>
      <c r="J1486" s="28" t="s">
        <v>636</v>
      </c>
      <c r="K1486" s="27" t="s">
        <v>37</v>
      </c>
      <c r="L1486" s="27"/>
    </row>
    <row r="1487" customFormat="false" ht="15" hidden="false" customHeight="false" outlineLevel="0" collapsed="false">
      <c r="A1487" s="26" t="s">
        <v>5573</v>
      </c>
      <c r="B1487" s="27" t="s">
        <v>5574</v>
      </c>
      <c r="C1487" s="27" t="s">
        <v>144</v>
      </c>
      <c r="D1487" s="26" t="s">
        <v>5575</v>
      </c>
      <c r="E1487" s="27" t="s">
        <v>5576</v>
      </c>
      <c r="F1487" s="28" t="s">
        <v>146</v>
      </c>
      <c r="G1487" s="27" t="s">
        <v>3537</v>
      </c>
      <c r="H1487" s="27" t="s">
        <v>56</v>
      </c>
      <c r="I1487" s="27" t="s">
        <v>37</v>
      </c>
      <c r="J1487" s="28" t="s">
        <v>636</v>
      </c>
      <c r="K1487" s="27" t="s">
        <v>37</v>
      </c>
      <c r="L1487" s="27"/>
    </row>
    <row r="1488" customFormat="false" ht="15" hidden="false" customHeight="false" outlineLevel="0" collapsed="false">
      <c r="A1488" s="26" t="s">
        <v>5577</v>
      </c>
      <c r="B1488" s="27" t="s">
        <v>5578</v>
      </c>
      <c r="C1488" s="27" t="s">
        <v>144</v>
      </c>
      <c r="D1488" s="26" t="s">
        <v>5575</v>
      </c>
      <c r="E1488" s="27" t="s">
        <v>5576</v>
      </c>
      <c r="F1488" s="28" t="s">
        <v>146</v>
      </c>
      <c r="G1488" s="27" t="s">
        <v>3537</v>
      </c>
      <c r="H1488" s="27" t="s">
        <v>56</v>
      </c>
      <c r="I1488" s="27" t="s">
        <v>37</v>
      </c>
      <c r="J1488" s="28" t="s">
        <v>636</v>
      </c>
      <c r="K1488" s="27" t="s">
        <v>37</v>
      </c>
      <c r="L1488" s="27"/>
    </row>
    <row r="1489" customFormat="false" ht="15" hidden="false" customHeight="false" outlineLevel="0" collapsed="false">
      <c r="A1489" s="26" t="s">
        <v>5579</v>
      </c>
      <c r="B1489" s="27" t="s">
        <v>5580</v>
      </c>
      <c r="C1489" s="27" t="s">
        <v>144</v>
      </c>
      <c r="D1489" s="26" t="s">
        <v>5581</v>
      </c>
      <c r="E1489" s="27" t="s">
        <v>5582</v>
      </c>
      <c r="F1489" s="28" t="s">
        <v>146</v>
      </c>
      <c r="G1489" s="27" t="s">
        <v>3537</v>
      </c>
      <c r="H1489" s="27" t="s">
        <v>56</v>
      </c>
      <c r="I1489" s="27" t="s">
        <v>37</v>
      </c>
      <c r="J1489" s="28" t="s">
        <v>636</v>
      </c>
      <c r="K1489" s="27" t="s">
        <v>37</v>
      </c>
      <c r="L1489" s="27"/>
    </row>
    <row r="1490" customFormat="false" ht="15" hidden="false" customHeight="false" outlineLevel="0" collapsed="false">
      <c r="A1490" s="26" t="s">
        <v>5583</v>
      </c>
      <c r="B1490" s="27" t="s">
        <v>5584</v>
      </c>
      <c r="C1490" s="27" t="s">
        <v>144</v>
      </c>
      <c r="D1490" s="26" t="s">
        <v>5585</v>
      </c>
      <c r="E1490" s="27" t="s">
        <v>5586</v>
      </c>
      <c r="F1490" s="28" t="s">
        <v>146</v>
      </c>
      <c r="G1490" s="27" t="s">
        <v>3537</v>
      </c>
      <c r="H1490" s="27" t="s">
        <v>56</v>
      </c>
      <c r="I1490" s="27" t="s">
        <v>37</v>
      </c>
      <c r="J1490" s="28" t="s">
        <v>636</v>
      </c>
      <c r="K1490" s="27" t="s">
        <v>37</v>
      </c>
      <c r="L1490" s="27"/>
    </row>
    <row r="1491" customFormat="false" ht="15" hidden="false" customHeight="false" outlineLevel="0" collapsed="false">
      <c r="A1491" s="26" t="s">
        <v>5587</v>
      </c>
      <c r="B1491" s="27" t="s">
        <v>5588</v>
      </c>
      <c r="C1491" s="27" t="s">
        <v>144</v>
      </c>
      <c r="D1491" s="26" t="s">
        <v>5589</v>
      </c>
      <c r="E1491" s="28" t="s">
        <v>5590</v>
      </c>
      <c r="F1491" s="28" t="s">
        <v>146</v>
      </c>
      <c r="G1491" s="27" t="s">
        <v>3537</v>
      </c>
      <c r="H1491" s="27" t="s">
        <v>56</v>
      </c>
      <c r="I1491" s="27" t="s">
        <v>37</v>
      </c>
      <c r="J1491" s="28" t="s">
        <v>636</v>
      </c>
      <c r="K1491" s="27" t="s">
        <v>37</v>
      </c>
      <c r="L1491" s="27"/>
    </row>
    <row r="1492" customFormat="false" ht="15" hidden="false" customHeight="false" outlineLevel="0" collapsed="false">
      <c r="A1492" s="26" t="s">
        <v>5591</v>
      </c>
      <c r="B1492" s="27" t="s">
        <v>5592</v>
      </c>
      <c r="C1492" s="27" t="s">
        <v>144</v>
      </c>
      <c r="D1492" s="26" t="s">
        <v>5593</v>
      </c>
      <c r="E1492" s="27" t="s">
        <v>5594</v>
      </c>
      <c r="F1492" s="28" t="s">
        <v>146</v>
      </c>
      <c r="G1492" s="27" t="s">
        <v>3537</v>
      </c>
      <c r="H1492" s="27" t="s">
        <v>56</v>
      </c>
      <c r="I1492" s="27" t="s">
        <v>37</v>
      </c>
      <c r="J1492" s="28" t="s">
        <v>636</v>
      </c>
      <c r="K1492" s="27" t="s">
        <v>37</v>
      </c>
      <c r="L1492" s="27"/>
    </row>
    <row r="1493" customFormat="false" ht="15" hidden="false" customHeight="false" outlineLevel="0" collapsed="false">
      <c r="A1493" s="26" t="s">
        <v>5595</v>
      </c>
      <c r="B1493" s="27" t="s">
        <v>5596</v>
      </c>
      <c r="C1493" s="27" t="s">
        <v>144</v>
      </c>
      <c r="D1493" s="26" t="s">
        <v>5597</v>
      </c>
      <c r="E1493" s="27" t="s">
        <v>5598</v>
      </c>
      <c r="F1493" s="28" t="s">
        <v>146</v>
      </c>
      <c r="G1493" s="27" t="s">
        <v>3537</v>
      </c>
      <c r="H1493" s="27" t="s">
        <v>56</v>
      </c>
      <c r="I1493" s="27" t="s">
        <v>37</v>
      </c>
      <c r="J1493" s="28" t="s">
        <v>636</v>
      </c>
      <c r="K1493" s="27" t="s">
        <v>37</v>
      </c>
      <c r="L1493" s="27"/>
    </row>
    <row r="1494" customFormat="false" ht="15" hidden="false" customHeight="false" outlineLevel="0" collapsed="false">
      <c r="A1494" s="26" t="s">
        <v>5599</v>
      </c>
      <c r="B1494" s="27" t="s">
        <v>5600</v>
      </c>
      <c r="C1494" s="27" t="s">
        <v>144</v>
      </c>
      <c r="D1494" s="26" t="s">
        <v>5601</v>
      </c>
      <c r="E1494" s="28" t="s">
        <v>5602</v>
      </c>
      <c r="F1494" s="28" t="s">
        <v>146</v>
      </c>
      <c r="G1494" s="27" t="s">
        <v>3537</v>
      </c>
      <c r="H1494" s="27" t="s">
        <v>56</v>
      </c>
      <c r="I1494" s="27" t="s">
        <v>37</v>
      </c>
      <c r="J1494" s="28" t="s">
        <v>636</v>
      </c>
      <c r="K1494" s="27" t="s">
        <v>37</v>
      </c>
      <c r="L1494" s="27"/>
    </row>
    <row r="1495" customFormat="false" ht="15" hidden="false" customHeight="false" outlineLevel="0" collapsed="false">
      <c r="A1495" s="26" t="s">
        <v>5603</v>
      </c>
      <c r="B1495" s="27" t="s">
        <v>5604</v>
      </c>
      <c r="C1495" s="27" t="s">
        <v>144</v>
      </c>
      <c r="D1495" s="26" t="s">
        <v>5605</v>
      </c>
      <c r="E1495" s="27" t="s">
        <v>5606</v>
      </c>
      <c r="F1495" s="28" t="s">
        <v>146</v>
      </c>
      <c r="G1495" s="27" t="s">
        <v>3537</v>
      </c>
      <c r="H1495" s="27" t="s">
        <v>56</v>
      </c>
      <c r="I1495" s="27" t="s">
        <v>37</v>
      </c>
      <c r="J1495" s="28" t="s">
        <v>636</v>
      </c>
      <c r="K1495" s="27" t="s">
        <v>37</v>
      </c>
      <c r="L1495" s="27"/>
    </row>
    <row r="1496" customFormat="false" ht="15" hidden="false" customHeight="false" outlineLevel="0" collapsed="false">
      <c r="A1496" s="26" t="s">
        <v>5607</v>
      </c>
      <c r="B1496" s="27" t="s">
        <v>5608</v>
      </c>
      <c r="C1496" s="27" t="s">
        <v>144</v>
      </c>
      <c r="D1496" s="26" t="s">
        <v>5609</v>
      </c>
      <c r="E1496" s="27" t="s">
        <v>5610</v>
      </c>
      <c r="F1496" s="28" t="s">
        <v>146</v>
      </c>
      <c r="G1496" s="27" t="s">
        <v>3537</v>
      </c>
      <c r="H1496" s="27" t="s">
        <v>56</v>
      </c>
      <c r="I1496" s="27" t="s">
        <v>37</v>
      </c>
      <c r="J1496" s="28" t="s">
        <v>636</v>
      </c>
      <c r="K1496" s="27" t="s">
        <v>37</v>
      </c>
      <c r="L1496" s="27"/>
    </row>
    <row r="1497" customFormat="false" ht="15" hidden="false" customHeight="false" outlineLevel="0" collapsed="false">
      <c r="A1497" s="26" t="s">
        <v>5611</v>
      </c>
      <c r="B1497" s="27" t="s">
        <v>5612</v>
      </c>
      <c r="C1497" s="27" t="s">
        <v>144</v>
      </c>
      <c r="D1497" s="26" t="s">
        <v>703</v>
      </c>
      <c r="E1497" s="27" t="s">
        <v>704</v>
      </c>
      <c r="F1497" s="28" t="s">
        <v>146</v>
      </c>
      <c r="G1497" s="27" t="s">
        <v>3537</v>
      </c>
      <c r="H1497" s="27" t="s">
        <v>56</v>
      </c>
      <c r="I1497" s="27" t="s">
        <v>37</v>
      </c>
      <c r="J1497" s="28" t="s">
        <v>636</v>
      </c>
      <c r="K1497" s="27" t="s">
        <v>37</v>
      </c>
      <c r="L1497" s="27"/>
    </row>
    <row r="1498" customFormat="false" ht="15" hidden="false" customHeight="false" outlineLevel="0" collapsed="false">
      <c r="A1498" s="26" t="s">
        <v>5613</v>
      </c>
      <c r="B1498" s="27" t="s">
        <v>5614</v>
      </c>
      <c r="C1498" s="27" t="s">
        <v>144</v>
      </c>
      <c r="D1498" s="26" t="s">
        <v>5615</v>
      </c>
      <c r="E1498" s="27" t="s">
        <v>5616</v>
      </c>
      <c r="F1498" s="28" t="s">
        <v>146</v>
      </c>
      <c r="G1498" s="27" t="s">
        <v>3537</v>
      </c>
      <c r="H1498" s="27" t="s">
        <v>56</v>
      </c>
      <c r="I1498" s="27" t="s">
        <v>37</v>
      </c>
      <c r="J1498" s="28" t="s">
        <v>636</v>
      </c>
      <c r="K1498" s="27" t="s">
        <v>37</v>
      </c>
      <c r="L1498" s="27"/>
    </row>
    <row r="1499" customFormat="false" ht="15" hidden="false" customHeight="false" outlineLevel="0" collapsed="false">
      <c r="A1499" s="26" t="s">
        <v>5617</v>
      </c>
      <c r="B1499" s="27" t="s">
        <v>5618</v>
      </c>
      <c r="C1499" s="27" t="s">
        <v>144</v>
      </c>
      <c r="D1499" s="26" t="s">
        <v>5619</v>
      </c>
      <c r="E1499" s="27" t="s">
        <v>5620</v>
      </c>
      <c r="F1499" s="28" t="s">
        <v>146</v>
      </c>
      <c r="G1499" s="27" t="s">
        <v>3537</v>
      </c>
      <c r="H1499" s="27" t="s">
        <v>56</v>
      </c>
      <c r="I1499" s="27" t="s">
        <v>37</v>
      </c>
      <c r="J1499" s="28" t="s">
        <v>636</v>
      </c>
      <c r="K1499" s="27" t="s">
        <v>37</v>
      </c>
      <c r="L1499" s="27"/>
    </row>
    <row r="1500" customFormat="false" ht="15" hidden="false" customHeight="false" outlineLevel="0" collapsed="false">
      <c r="A1500" s="26" t="s">
        <v>5621</v>
      </c>
      <c r="B1500" s="27" t="s">
        <v>5622</v>
      </c>
      <c r="C1500" s="27" t="s">
        <v>144</v>
      </c>
      <c r="D1500" s="26" t="s">
        <v>647</v>
      </c>
      <c r="E1500" s="27" t="s">
        <v>648</v>
      </c>
      <c r="F1500" s="28" t="s">
        <v>146</v>
      </c>
      <c r="G1500" s="27" t="s">
        <v>3537</v>
      </c>
      <c r="H1500" s="27" t="s">
        <v>56</v>
      </c>
      <c r="I1500" s="27" t="s">
        <v>37</v>
      </c>
      <c r="J1500" s="28" t="s">
        <v>636</v>
      </c>
      <c r="K1500" s="27" t="s">
        <v>37</v>
      </c>
      <c r="L1500" s="27"/>
    </row>
    <row r="1501" customFormat="false" ht="15" hidden="false" customHeight="false" outlineLevel="0" collapsed="false">
      <c r="A1501" s="26" t="s">
        <v>5623</v>
      </c>
      <c r="B1501" s="27" t="s">
        <v>5624</v>
      </c>
      <c r="C1501" s="27" t="s">
        <v>144</v>
      </c>
      <c r="D1501" s="26" t="s">
        <v>5609</v>
      </c>
      <c r="E1501" s="27" t="s">
        <v>5610</v>
      </c>
      <c r="F1501" s="28" t="s">
        <v>146</v>
      </c>
      <c r="G1501" s="27" t="s">
        <v>3537</v>
      </c>
      <c r="H1501" s="27" t="s">
        <v>56</v>
      </c>
      <c r="I1501" s="27" t="s">
        <v>37</v>
      </c>
      <c r="J1501" s="28" t="s">
        <v>636</v>
      </c>
      <c r="K1501" s="27" t="s">
        <v>37</v>
      </c>
      <c r="L1501" s="27"/>
    </row>
    <row r="1502" customFormat="false" ht="15" hidden="false" customHeight="false" outlineLevel="0" collapsed="false">
      <c r="A1502" s="26" t="s">
        <v>5625</v>
      </c>
      <c r="B1502" s="27" t="s">
        <v>5626</v>
      </c>
      <c r="C1502" s="27" t="s">
        <v>144</v>
      </c>
      <c r="D1502" s="26" t="s">
        <v>5627</v>
      </c>
      <c r="E1502" s="27" t="s">
        <v>5628</v>
      </c>
      <c r="F1502" s="28" t="s">
        <v>146</v>
      </c>
      <c r="G1502" s="27" t="s">
        <v>3537</v>
      </c>
      <c r="H1502" s="27" t="s">
        <v>56</v>
      </c>
      <c r="I1502" s="27" t="s">
        <v>37</v>
      </c>
      <c r="J1502" s="28" t="s">
        <v>636</v>
      </c>
      <c r="K1502" s="27" t="s">
        <v>37</v>
      </c>
      <c r="L1502" s="27"/>
    </row>
    <row r="1503" customFormat="false" ht="15" hidden="false" customHeight="false" outlineLevel="0" collapsed="false">
      <c r="A1503" s="26" t="s">
        <v>5629</v>
      </c>
      <c r="B1503" s="27" t="s">
        <v>5630</v>
      </c>
      <c r="C1503" s="27" t="s">
        <v>144</v>
      </c>
      <c r="D1503" s="26" t="s">
        <v>5631</v>
      </c>
      <c r="E1503" s="27" t="s">
        <v>5632</v>
      </c>
      <c r="F1503" s="28" t="s">
        <v>146</v>
      </c>
      <c r="G1503" s="27" t="s">
        <v>3537</v>
      </c>
      <c r="H1503" s="27" t="s">
        <v>56</v>
      </c>
      <c r="I1503" s="27" t="s">
        <v>37</v>
      </c>
      <c r="J1503" s="28" t="s">
        <v>636</v>
      </c>
      <c r="K1503" s="27" t="s">
        <v>37</v>
      </c>
      <c r="L1503" s="27"/>
    </row>
    <row r="1504" customFormat="false" ht="15" hidden="false" customHeight="false" outlineLevel="0" collapsed="false">
      <c r="A1504" s="26" t="s">
        <v>5633</v>
      </c>
      <c r="B1504" s="27" t="s">
        <v>5634</v>
      </c>
      <c r="C1504" s="27" t="s">
        <v>144</v>
      </c>
      <c r="D1504" s="26" t="s">
        <v>5635</v>
      </c>
      <c r="E1504" s="27" t="s">
        <v>5636</v>
      </c>
      <c r="F1504" s="28" t="s">
        <v>146</v>
      </c>
      <c r="G1504" s="27" t="s">
        <v>3537</v>
      </c>
      <c r="H1504" s="27" t="s">
        <v>56</v>
      </c>
      <c r="I1504" s="27" t="s">
        <v>37</v>
      </c>
      <c r="J1504" s="28" t="s">
        <v>636</v>
      </c>
      <c r="K1504" s="27" t="s">
        <v>37</v>
      </c>
      <c r="L1504" s="27"/>
    </row>
    <row r="1505" customFormat="false" ht="15" hidden="false" customHeight="false" outlineLevel="0" collapsed="false">
      <c r="A1505" s="26" t="s">
        <v>5637</v>
      </c>
      <c r="B1505" s="27" t="s">
        <v>5638</v>
      </c>
      <c r="C1505" s="27" t="s">
        <v>144</v>
      </c>
      <c r="D1505" s="26" t="s">
        <v>5639</v>
      </c>
      <c r="E1505" s="27" t="s">
        <v>5640</v>
      </c>
      <c r="F1505" s="28" t="s">
        <v>146</v>
      </c>
      <c r="G1505" s="27" t="s">
        <v>3537</v>
      </c>
      <c r="H1505" s="27" t="s">
        <v>56</v>
      </c>
      <c r="I1505" s="27" t="s">
        <v>37</v>
      </c>
      <c r="J1505" s="28" t="s">
        <v>636</v>
      </c>
      <c r="K1505" s="27" t="s">
        <v>37</v>
      </c>
      <c r="L1505" s="27"/>
    </row>
    <row r="1506" customFormat="false" ht="15" hidden="false" customHeight="false" outlineLevel="0" collapsed="false">
      <c r="A1506" s="26" t="s">
        <v>5641</v>
      </c>
      <c r="B1506" s="27" t="s">
        <v>5642</v>
      </c>
      <c r="C1506" s="27" t="s">
        <v>144</v>
      </c>
      <c r="D1506" s="26" t="s">
        <v>5643</v>
      </c>
      <c r="E1506" s="27" t="s">
        <v>5644</v>
      </c>
      <c r="F1506" s="28" t="s">
        <v>146</v>
      </c>
      <c r="G1506" s="27" t="s">
        <v>3537</v>
      </c>
      <c r="H1506" s="27" t="s">
        <v>56</v>
      </c>
      <c r="I1506" s="27" t="s">
        <v>37</v>
      </c>
      <c r="J1506" s="28" t="s">
        <v>636</v>
      </c>
      <c r="K1506" s="27" t="s">
        <v>37</v>
      </c>
      <c r="L1506" s="27"/>
    </row>
    <row r="1507" customFormat="false" ht="15" hidden="false" customHeight="false" outlineLevel="0" collapsed="false">
      <c r="A1507" s="26" t="s">
        <v>5645</v>
      </c>
      <c r="B1507" s="27" t="s">
        <v>5646</v>
      </c>
      <c r="C1507" s="27" t="s">
        <v>144</v>
      </c>
      <c r="D1507" s="26" t="s">
        <v>5643</v>
      </c>
      <c r="E1507" s="27" t="s">
        <v>5644</v>
      </c>
      <c r="F1507" s="28" t="s">
        <v>146</v>
      </c>
      <c r="G1507" s="27" t="s">
        <v>3537</v>
      </c>
      <c r="H1507" s="27" t="s">
        <v>56</v>
      </c>
      <c r="I1507" s="27" t="s">
        <v>37</v>
      </c>
      <c r="J1507" s="28" t="s">
        <v>636</v>
      </c>
      <c r="K1507" s="27" t="s">
        <v>37</v>
      </c>
      <c r="L1507" s="27"/>
    </row>
    <row r="1508" customFormat="false" ht="15" hidden="false" customHeight="false" outlineLevel="0" collapsed="false">
      <c r="A1508" s="26" t="s">
        <v>5647</v>
      </c>
      <c r="B1508" s="27" t="s">
        <v>5648</v>
      </c>
      <c r="C1508" s="27" t="s">
        <v>144</v>
      </c>
      <c r="D1508" s="26" t="s">
        <v>5649</v>
      </c>
      <c r="E1508" s="27" t="s">
        <v>5650</v>
      </c>
      <c r="F1508" s="28" t="s">
        <v>146</v>
      </c>
      <c r="G1508" s="27" t="s">
        <v>3537</v>
      </c>
      <c r="H1508" s="27" t="s">
        <v>56</v>
      </c>
      <c r="I1508" s="27" t="s">
        <v>37</v>
      </c>
      <c r="J1508" s="28" t="s">
        <v>636</v>
      </c>
      <c r="K1508" s="27" t="s">
        <v>37</v>
      </c>
      <c r="L1508" s="27"/>
    </row>
    <row r="1509" customFormat="false" ht="15" hidden="false" customHeight="false" outlineLevel="0" collapsed="false">
      <c r="A1509" s="26" t="s">
        <v>5651</v>
      </c>
      <c r="B1509" s="27" t="s">
        <v>5652</v>
      </c>
      <c r="C1509" s="27" t="s">
        <v>144</v>
      </c>
      <c r="D1509" s="26" t="s">
        <v>5653</v>
      </c>
      <c r="E1509" s="27" t="s">
        <v>5654</v>
      </c>
      <c r="F1509" s="28" t="s">
        <v>146</v>
      </c>
      <c r="G1509" s="27" t="s">
        <v>3537</v>
      </c>
      <c r="H1509" s="27" t="s">
        <v>56</v>
      </c>
      <c r="I1509" s="27" t="s">
        <v>37</v>
      </c>
      <c r="J1509" s="28" t="s">
        <v>636</v>
      </c>
      <c r="K1509" s="27" t="s">
        <v>37</v>
      </c>
      <c r="L1509" s="27"/>
    </row>
    <row r="1510" customFormat="false" ht="15" hidden="false" customHeight="false" outlineLevel="0" collapsed="false">
      <c r="A1510" s="26" t="s">
        <v>5655</v>
      </c>
      <c r="B1510" s="27" t="s">
        <v>5656</v>
      </c>
      <c r="C1510" s="27" t="s">
        <v>144</v>
      </c>
      <c r="D1510" s="26" t="s">
        <v>5643</v>
      </c>
      <c r="E1510" s="27" t="s">
        <v>5644</v>
      </c>
      <c r="F1510" s="28" t="s">
        <v>146</v>
      </c>
      <c r="G1510" s="27" t="s">
        <v>3537</v>
      </c>
      <c r="H1510" s="27" t="s">
        <v>56</v>
      </c>
      <c r="I1510" s="27" t="s">
        <v>37</v>
      </c>
      <c r="J1510" s="28" t="s">
        <v>636</v>
      </c>
      <c r="K1510" s="27" t="s">
        <v>37</v>
      </c>
      <c r="L1510" s="27"/>
    </row>
    <row r="1511" customFormat="false" ht="15" hidden="false" customHeight="false" outlineLevel="0" collapsed="false">
      <c r="A1511" s="26" t="s">
        <v>5657</v>
      </c>
      <c r="B1511" s="27" t="s">
        <v>5658</v>
      </c>
      <c r="C1511" s="27" t="s">
        <v>144</v>
      </c>
      <c r="D1511" s="26" t="s">
        <v>699</v>
      </c>
      <c r="E1511" s="27" t="s">
        <v>700</v>
      </c>
      <c r="F1511" s="28" t="s">
        <v>146</v>
      </c>
      <c r="G1511" s="27" t="s">
        <v>3537</v>
      </c>
      <c r="H1511" s="27" t="s">
        <v>56</v>
      </c>
      <c r="I1511" s="27" t="s">
        <v>37</v>
      </c>
      <c r="J1511" s="28" t="s">
        <v>636</v>
      </c>
      <c r="K1511" s="27" t="s">
        <v>37</v>
      </c>
      <c r="L1511" s="27"/>
    </row>
    <row r="1512" customFormat="false" ht="15" hidden="false" customHeight="false" outlineLevel="0" collapsed="false">
      <c r="A1512" s="26" t="s">
        <v>5659</v>
      </c>
      <c r="B1512" s="27" t="s">
        <v>5660</v>
      </c>
      <c r="C1512" s="27" t="s">
        <v>144</v>
      </c>
      <c r="D1512" s="26" t="s">
        <v>5661</v>
      </c>
      <c r="E1512" s="27" t="s">
        <v>5662</v>
      </c>
      <c r="F1512" s="28" t="s">
        <v>146</v>
      </c>
      <c r="G1512" s="27" t="s">
        <v>3537</v>
      </c>
      <c r="H1512" s="27" t="s">
        <v>56</v>
      </c>
      <c r="I1512" s="27" t="s">
        <v>37</v>
      </c>
      <c r="J1512" s="28" t="s">
        <v>636</v>
      </c>
      <c r="K1512" s="27" t="s">
        <v>37</v>
      </c>
      <c r="L1512" s="27"/>
    </row>
    <row r="1513" customFormat="false" ht="15" hidden="false" customHeight="false" outlineLevel="0" collapsed="false">
      <c r="A1513" s="26" t="s">
        <v>5663</v>
      </c>
      <c r="B1513" s="27" t="s">
        <v>5664</v>
      </c>
      <c r="C1513" s="27" t="s">
        <v>144</v>
      </c>
      <c r="D1513" s="26" t="s">
        <v>5665</v>
      </c>
      <c r="E1513" s="27" t="s">
        <v>5666</v>
      </c>
      <c r="F1513" s="28" t="s">
        <v>146</v>
      </c>
      <c r="G1513" s="27" t="s">
        <v>3537</v>
      </c>
      <c r="H1513" s="27" t="s">
        <v>56</v>
      </c>
      <c r="I1513" s="27" t="s">
        <v>37</v>
      </c>
      <c r="J1513" s="28" t="s">
        <v>636</v>
      </c>
      <c r="K1513" s="27" t="s">
        <v>37</v>
      </c>
      <c r="L1513" s="27"/>
    </row>
    <row r="1514" customFormat="false" ht="15" hidden="false" customHeight="false" outlineLevel="0" collapsed="false">
      <c r="A1514" s="26" t="s">
        <v>5667</v>
      </c>
      <c r="B1514" s="27" t="s">
        <v>5668</v>
      </c>
      <c r="C1514" s="27" t="s">
        <v>144</v>
      </c>
      <c r="D1514" s="26" t="s">
        <v>663</v>
      </c>
      <c r="E1514" s="27" t="s">
        <v>664</v>
      </c>
      <c r="F1514" s="28" t="s">
        <v>146</v>
      </c>
      <c r="G1514" s="27" t="s">
        <v>3537</v>
      </c>
      <c r="H1514" s="27" t="s">
        <v>56</v>
      </c>
      <c r="I1514" s="27" t="s">
        <v>37</v>
      </c>
      <c r="J1514" s="28" t="s">
        <v>636</v>
      </c>
      <c r="K1514" s="27" t="s">
        <v>37</v>
      </c>
      <c r="L1514" s="27"/>
    </row>
    <row r="1515" customFormat="false" ht="15" hidden="false" customHeight="false" outlineLevel="0" collapsed="false">
      <c r="A1515" s="26" t="s">
        <v>5669</v>
      </c>
      <c r="B1515" s="27" t="s">
        <v>5670</v>
      </c>
      <c r="C1515" s="27" t="s">
        <v>144</v>
      </c>
      <c r="D1515" s="26" t="s">
        <v>5671</v>
      </c>
      <c r="E1515" s="27" t="s">
        <v>5672</v>
      </c>
      <c r="F1515" s="28" t="s">
        <v>146</v>
      </c>
      <c r="G1515" s="27" t="s">
        <v>3537</v>
      </c>
      <c r="H1515" s="27" t="s">
        <v>56</v>
      </c>
      <c r="I1515" s="27" t="s">
        <v>37</v>
      </c>
      <c r="J1515" s="28" t="s">
        <v>636</v>
      </c>
      <c r="K1515" s="27" t="s">
        <v>37</v>
      </c>
      <c r="L1515" s="27"/>
    </row>
    <row r="1516" customFormat="false" ht="15" hidden="false" customHeight="false" outlineLevel="0" collapsed="false">
      <c r="A1516" s="26" t="s">
        <v>5673</v>
      </c>
      <c r="B1516" s="27" t="s">
        <v>5674</v>
      </c>
      <c r="C1516" s="27" t="s">
        <v>144</v>
      </c>
      <c r="D1516" s="26" t="s">
        <v>5675</v>
      </c>
      <c r="E1516" s="27" t="s">
        <v>5676</v>
      </c>
      <c r="F1516" s="28" t="s">
        <v>146</v>
      </c>
      <c r="G1516" s="27" t="s">
        <v>3537</v>
      </c>
      <c r="H1516" s="27" t="s">
        <v>56</v>
      </c>
      <c r="I1516" s="27" t="s">
        <v>37</v>
      </c>
      <c r="J1516" s="28" t="s">
        <v>636</v>
      </c>
      <c r="K1516" s="27" t="s">
        <v>37</v>
      </c>
      <c r="L1516" s="27"/>
    </row>
    <row r="1517" customFormat="false" ht="15" hidden="false" customHeight="false" outlineLevel="0" collapsed="false">
      <c r="A1517" s="26" t="s">
        <v>5677</v>
      </c>
      <c r="B1517" s="27" t="s">
        <v>5678</v>
      </c>
      <c r="C1517" s="27" t="s">
        <v>144</v>
      </c>
      <c r="D1517" s="26" t="s">
        <v>5679</v>
      </c>
      <c r="E1517" s="27" t="s">
        <v>5680</v>
      </c>
      <c r="F1517" s="28" t="s">
        <v>146</v>
      </c>
      <c r="G1517" s="27" t="s">
        <v>3537</v>
      </c>
      <c r="H1517" s="27" t="s">
        <v>56</v>
      </c>
      <c r="I1517" s="27" t="s">
        <v>37</v>
      </c>
      <c r="J1517" s="28" t="s">
        <v>636</v>
      </c>
      <c r="K1517" s="27" t="s">
        <v>37</v>
      </c>
      <c r="L1517" s="27"/>
    </row>
    <row r="1518" customFormat="false" ht="15" hidden="false" customHeight="false" outlineLevel="0" collapsed="false">
      <c r="A1518" s="26" t="s">
        <v>5681</v>
      </c>
      <c r="B1518" s="27" t="s">
        <v>5682</v>
      </c>
      <c r="C1518" s="27" t="s">
        <v>144</v>
      </c>
      <c r="D1518" s="26" t="s">
        <v>5683</v>
      </c>
      <c r="E1518" s="28" t="s">
        <v>5684</v>
      </c>
      <c r="F1518" s="28" t="s">
        <v>146</v>
      </c>
      <c r="G1518" s="27" t="s">
        <v>3537</v>
      </c>
      <c r="H1518" s="27" t="s">
        <v>56</v>
      </c>
      <c r="I1518" s="27" t="s">
        <v>37</v>
      </c>
      <c r="J1518" s="28" t="s">
        <v>636</v>
      </c>
      <c r="K1518" s="27" t="s">
        <v>37</v>
      </c>
      <c r="L1518" s="27"/>
    </row>
    <row r="1519" customFormat="false" ht="15" hidden="false" customHeight="false" outlineLevel="0" collapsed="false">
      <c r="A1519" s="26" t="s">
        <v>5685</v>
      </c>
      <c r="B1519" s="27" t="s">
        <v>5686</v>
      </c>
      <c r="C1519" s="27" t="s">
        <v>144</v>
      </c>
      <c r="D1519" s="26" t="s">
        <v>5687</v>
      </c>
      <c r="E1519" s="27" t="s">
        <v>5688</v>
      </c>
      <c r="F1519" s="28" t="s">
        <v>146</v>
      </c>
      <c r="G1519" s="27" t="s">
        <v>3537</v>
      </c>
      <c r="H1519" s="27" t="s">
        <v>56</v>
      </c>
      <c r="I1519" s="27" t="s">
        <v>37</v>
      </c>
      <c r="J1519" s="28" t="s">
        <v>636</v>
      </c>
      <c r="K1519" s="27" t="s">
        <v>37</v>
      </c>
      <c r="L1519" s="27"/>
    </row>
    <row r="1520" customFormat="false" ht="15" hidden="false" customHeight="false" outlineLevel="0" collapsed="false">
      <c r="A1520" s="26" t="s">
        <v>5689</v>
      </c>
      <c r="B1520" s="27" t="s">
        <v>5690</v>
      </c>
      <c r="C1520" s="27" t="s">
        <v>144</v>
      </c>
      <c r="D1520" s="26" t="s">
        <v>5691</v>
      </c>
      <c r="E1520" s="27" t="s">
        <v>5692</v>
      </c>
      <c r="F1520" s="28" t="s">
        <v>146</v>
      </c>
      <c r="G1520" s="27" t="s">
        <v>3537</v>
      </c>
      <c r="H1520" s="27" t="s">
        <v>56</v>
      </c>
      <c r="I1520" s="27" t="s">
        <v>37</v>
      </c>
      <c r="J1520" s="28" t="s">
        <v>636</v>
      </c>
      <c r="K1520" s="27" t="s">
        <v>37</v>
      </c>
      <c r="L1520" s="27"/>
    </row>
    <row r="1521" customFormat="false" ht="15" hidden="false" customHeight="false" outlineLevel="0" collapsed="false">
      <c r="A1521" s="26" t="s">
        <v>5693</v>
      </c>
      <c r="B1521" s="27" t="s">
        <v>5694</v>
      </c>
      <c r="C1521" s="27" t="s">
        <v>144</v>
      </c>
      <c r="D1521" s="26" t="s">
        <v>639</v>
      </c>
      <c r="E1521" s="27" t="s">
        <v>640</v>
      </c>
      <c r="F1521" s="28" t="s">
        <v>146</v>
      </c>
      <c r="G1521" s="27" t="s">
        <v>3537</v>
      </c>
      <c r="H1521" s="27" t="s">
        <v>56</v>
      </c>
      <c r="I1521" s="27" t="s">
        <v>37</v>
      </c>
      <c r="J1521" s="28" t="s">
        <v>636</v>
      </c>
      <c r="K1521" s="27" t="s">
        <v>37</v>
      </c>
      <c r="L1521" s="27"/>
    </row>
    <row r="1522" customFormat="false" ht="15" hidden="false" customHeight="false" outlineLevel="0" collapsed="false">
      <c r="A1522" s="26" t="s">
        <v>5695</v>
      </c>
      <c r="B1522" s="27" t="s">
        <v>5696</v>
      </c>
      <c r="C1522" s="27" t="s">
        <v>144</v>
      </c>
      <c r="D1522" s="26" t="s">
        <v>5697</v>
      </c>
      <c r="E1522" s="27" t="s">
        <v>5698</v>
      </c>
      <c r="F1522" s="28" t="s">
        <v>146</v>
      </c>
      <c r="G1522" s="27" t="s">
        <v>3537</v>
      </c>
      <c r="H1522" s="27" t="s">
        <v>56</v>
      </c>
      <c r="I1522" s="27" t="s">
        <v>37</v>
      </c>
      <c r="J1522" s="28" t="s">
        <v>636</v>
      </c>
      <c r="K1522" s="27" t="s">
        <v>37</v>
      </c>
      <c r="L1522" s="27"/>
    </row>
    <row r="1523" customFormat="false" ht="15" hidden="false" customHeight="false" outlineLevel="0" collapsed="false">
      <c r="A1523" s="26" t="s">
        <v>5699</v>
      </c>
      <c r="B1523" s="27" t="s">
        <v>5700</v>
      </c>
      <c r="C1523" s="27" t="s">
        <v>144</v>
      </c>
      <c r="D1523" s="26" t="s">
        <v>5701</v>
      </c>
      <c r="E1523" s="27" t="s">
        <v>5702</v>
      </c>
      <c r="F1523" s="28" t="s">
        <v>146</v>
      </c>
      <c r="G1523" s="27" t="s">
        <v>3537</v>
      </c>
      <c r="H1523" s="27" t="s">
        <v>56</v>
      </c>
      <c r="I1523" s="27" t="s">
        <v>37</v>
      </c>
      <c r="J1523" s="28" t="s">
        <v>636</v>
      </c>
      <c r="K1523" s="27" t="s">
        <v>37</v>
      </c>
      <c r="L1523" s="27"/>
    </row>
    <row r="1524" customFormat="false" ht="15" hidden="false" customHeight="false" outlineLevel="0" collapsed="false">
      <c r="A1524" s="26" t="s">
        <v>5703</v>
      </c>
      <c r="B1524" s="27" t="s">
        <v>5704</v>
      </c>
      <c r="C1524" s="27" t="s">
        <v>144</v>
      </c>
      <c r="D1524" s="26" t="s">
        <v>5705</v>
      </c>
      <c r="E1524" s="27" t="s">
        <v>5706</v>
      </c>
      <c r="F1524" s="28" t="s">
        <v>146</v>
      </c>
      <c r="G1524" s="27" t="s">
        <v>3537</v>
      </c>
      <c r="H1524" s="27" t="s">
        <v>57</v>
      </c>
      <c r="I1524" s="27" t="s">
        <v>43</v>
      </c>
      <c r="J1524" s="28" t="s">
        <v>636</v>
      </c>
      <c r="K1524" s="27" t="s">
        <v>37</v>
      </c>
      <c r="L1524" s="27"/>
    </row>
    <row r="1525" customFormat="false" ht="15" hidden="false" customHeight="false" outlineLevel="0" collapsed="false">
      <c r="A1525" s="26" t="s">
        <v>5707</v>
      </c>
      <c r="B1525" s="27" t="s">
        <v>5708</v>
      </c>
      <c r="C1525" s="27" t="s">
        <v>144</v>
      </c>
      <c r="D1525" s="26" t="s">
        <v>5709</v>
      </c>
      <c r="E1525" s="27" t="s">
        <v>5710</v>
      </c>
      <c r="F1525" s="28" t="s">
        <v>146</v>
      </c>
      <c r="G1525" s="27" t="s">
        <v>3537</v>
      </c>
      <c r="H1525" s="27" t="s">
        <v>56</v>
      </c>
      <c r="I1525" s="27" t="s">
        <v>37</v>
      </c>
      <c r="J1525" s="28" t="s">
        <v>636</v>
      </c>
      <c r="K1525" s="27" t="s">
        <v>37</v>
      </c>
      <c r="L1525" s="27"/>
    </row>
    <row r="1526" customFormat="false" ht="15" hidden="false" customHeight="false" outlineLevel="0" collapsed="false">
      <c r="A1526" s="26" t="s">
        <v>5711</v>
      </c>
      <c r="B1526" s="27" t="s">
        <v>5712</v>
      </c>
      <c r="C1526" s="27" t="s">
        <v>144</v>
      </c>
      <c r="D1526" s="26" t="s">
        <v>5713</v>
      </c>
      <c r="E1526" s="27" t="s">
        <v>5714</v>
      </c>
      <c r="F1526" s="28" t="s">
        <v>146</v>
      </c>
      <c r="G1526" s="27" t="s">
        <v>3537</v>
      </c>
      <c r="H1526" s="27" t="s">
        <v>56</v>
      </c>
      <c r="I1526" s="27" t="s">
        <v>37</v>
      </c>
      <c r="J1526" s="28" t="s">
        <v>636</v>
      </c>
      <c r="K1526" s="27" t="s">
        <v>37</v>
      </c>
      <c r="L1526" s="27"/>
    </row>
    <row r="1527" customFormat="false" ht="15" hidden="false" customHeight="false" outlineLevel="0" collapsed="false">
      <c r="A1527" s="26" t="s">
        <v>5715</v>
      </c>
      <c r="B1527" s="27" t="s">
        <v>5716</v>
      </c>
      <c r="C1527" s="27" t="s">
        <v>144</v>
      </c>
      <c r="D1527" s="26" t="s">
        <v>5717</v>
      </c>
      <c r="E1527" s="27" t="s">
        <v>5718</v>
      </c>
      <c r="F1527" s="28" t="s">
        <v>146</v>
      </c>
      <c r="G1527" s="27" t="s">
        <v>3537</v>
      </c>
      <c r="H1527" s="27" t="s">
        <v>56</v>
      </c>
      <c r="I1527" s="27" t="s">
        <v>37</v>
      </c>
      <c r="J1527" s="28" t="s">
        <v>636</v>
      </c>
      <c r="K1527" s="27" t="s">
        <v>37</v>
      </c>
      <c r="L1527" s="27"/>
    </row>
    <row r="1528" customFormat="false" ht="15" hidden="false" customHeight="false" outlineLevel="0" collapsed="false">
      <c r="A1528" s="26" t="s">
        <v>5719</v>
      </c>
      <c r="B1528" s="27" t="s">
        <v>5720</v>
      </c>
      <c r="C1528" s="27" t="s">
        <v>144</v>
      </c>
      <c r="D1528" s="26" t="s">
        <v>5721</v>
      </c>
      <c r="E1528" s="28" t="s">
        <v>5722</v>
      </c>
      <c r="F1528" s="28" t="s">
        <v>146</v>
      </c>
      <c r="G1528" s="27" t="s">
        <v>3537</v>
      </c>
      <c r="H1528" s="27" t="s">
        <v>56</v>
      </c>
      <c r="I1528" s="27" t="s">
        <v>37</v>
      </c>
      <c r="J1528" s="28" t="s">
        <v>636</v>
      </c>
      <c r="K1528" s="27" t="s">
        <v>37</v>
      </c>
      <c r="L1528" s="27"/>
    </row>
    <row r="1529" customFormat="false" ht="15" hidden="false" customHeight="false" outlineLevel="0" collapsed="false">
      <c r="A1529" s="26" t="s">
        <v>5723</v>
      </c>
      <c r="B1529" s="27" t="s">
        <v>5724</v>
      </c>
      <c r="C1529" s="27" t="s">
        <v>144</v>
      </c>
      <c r="D1529" s="26" t="s">
        <v>5725</v>
      </c>
      <c r="E1529" s="27" t="s">
        <v>5726</v>
      </c>
      <c r="F1529" s="28" t="s">
        <v>146</v>
      </c>
      <c r="G1529" s="27" t="s">
        <v>3537</v>
      </c>
      <c r="H1529" s="27" t="s">
        <v>56</v>
      </c>
      <c r="I1529" s="27" t="s">
        <v>37</v>
      </c>
      <c r="J1529" s="28" t="s">
        <v>636</v>
      </c>
      <c r="K1529" s="27" t="s">
        <v>37</v>
      </c>
      <c r="L1529" s="27"/>
    </row>
    <row r="1530" customFormat="false" ht="15" hidden="false" customHeight="false" outlineLevel="0" collapsed="false">
      <c r="A1530" s="26" t="s">
        <v>5727</v>
      </c>
      <c r="B1530" s="27" t="s">
        <v>5728</v>
      </c>
      <c r="C1530" s="27" t="s">
        <v>144</v>
      </c>
      <c r="D1530" s="26" t="s">
        <v>5725</v>
      </c>
      <c r="E1530" s="27" t="s">
        <v>5726</v>
      </c>
      <c r="F1530" s="28" t="s">
        <v>146</v>
      </c>
      <c r="G1530" s="27" t="s">
        <v>3537</v>
      </c>
      <c r="H1530" s="27" t="s">
        <v>56</v>
      </c>
      <c r="I1530" s="27" t="s">
        <v>37</v>
      </c>
      <c r="J1530" s="28" t="s">
        <v>636</v>
      </c>
      <c r="K1530" s="27" t="s">
        <v>37</v>
      </c>
      <c r="L1530" s="27"/>
    </row>
    <row r="1531" customFormat="false" ht="15" hidden="false" customHeight="false" outlineLevel="0" collapsed="false">
      <c r="A1531" s="26" t="s">
        <v>5729</v>
      </c>
      <c r="B1531" s="27" t="s">
        <v>5730</v>
      </c>
      <c r="C1531" s="27" t="s">
        <v>144</v>
      </c>
      <c r="D1531" s="26" t="s">
        <v>5731</v>
      </c>
      <c r="E1531" s="27" t="s">
        <v>5732</v>
      </c>
      <c r="F1531" s="28" t="s">
        <v>146</v>
      </c>
      <c r="G1531" s="27" t="s">
        <v>3537</v>
      </c>
      <c r="H1531" s="27" t="s">
        <v>56</v>
      </c>
      <c r="I1531" s="27" t="s">
        <v>37</v>
      </c>
      <c r="J1531" s="28" t="s">
        <v>636</v>
      </c>
      <c r="K1531" s="27" t="s">
        <v>37</v>
      </c>
      <c r="L1531" s="27"/>
    </row>
    <row r="1532" customFormat="false" ht="15" hidden="false" customHeight="false" outlineLevel="0" collapsed="false">
      <c r="A1532" s="26" t="s">
        <v>5733</v>
      </c>
      <c r="B1532" s="27" t="s">
        <v>5734</v>
      </c>
      <c r="C1532" s="27" t="s">
        <v>144</v>
      </c>
      <c r="D1532" s="26" t="s">
        <v>5735</v>
      </c>
      <c r="E1532" s="27" t="s">
        <v>5736</v>
      </c>
      <c r="F1532" s="28" t="s">
        <v>146</v>
      </c>
      <c r="G1532" s="27" t="s">
        <v>3537</v>
      </c>
      <c r="H1532" s="27" t="s">
        <v>56</v>
      </c>
      <c r="I1532" s="27" t="s">
        <v>37</v>
      </c>
      <c r="J1532" s="28" t="s">
        <v>636</v>
      </c>
      <c r="K1532" s="27" t="s">
        <v>37</v>
      </c>
      <c r="L1532" s="27"/>
    </row>
    <row r="1533" customFormat="false" ht="15" hidden="false" customHeight="false" outlineLevel="0" collapsed="false">
      <c r="A1533" s="26" t="s">
        <v>5737</v>
      </c>
      <c r="B1533" s="27" t="s">
        <v>5738</v>
      </c>
      <c r="C1533" s="27" t="s">
        <v>144</v>
      </c>
      <c r="D1533" s="26" t="s">
        <v>5731</v>
      </c>
      <c r="E1533" s="27" t="s">
        <v>5732</v>
      </c>
      <c r="F1533" s="28" t="s">
        <v>146</v>
      </c>
      <c r="G1533" s="27" t="s">
        <v>3537</v>
      </c>
      <c r="H1533" s="27" t="s">
        <v>56</v>
      </c>
      <c r="I1533" s="27" t="s">
        <v>37</v>
      </c>
      <c r="J1533" s="28" t="s">
        <v>636</v>
      </c>
      <c r="K1533" s="27" t="s">
        <v>37</v>
      </c>
      <c r="L1533" s="27"/>
    </row>
    <row r="1534" customFormat="false" ht="15" hidden="false" customHeight="false" outlineLevel="0" collapsed="false">
      <c r="A1534" s="26" t="s">
        <v>5739</v>
      </c>
      <c r="B1534" s="27" t="s">
        <v>5740</v>
      </c>
      <c r="C1534" s="27" t="s">
        <v>144</v>
      </c>
      <c r="D1534" s="26" t="s">
        <v>5741</v>
      </c>
      <c r="E1534" s="27" t="s">
        <v>5742</v>
      </c>
      <c r="F1534" s="28" t="s">
        <v>146</v>
      </c>
      <c r="G1534" s="27" t="s">
        <v>3537</v>
      </c>
      <c r="H1534" s="27" t="s">
        <v>56</v>
      </c>
      <c r="I1534" s="27" t="s">
        <v>37</v>
      </c>
      <c r="J1534" s="28" t="s">
        <v>636</v>
      </c>
      <c r="K1534" s="27" t="s">
        <v>37</v>
      </c>
      <c r="L1534" s="27"/>
    </row>
    <row r="1535" customFormat="false" ht="15" hidden="false" customHeight="false" outlineLevel="0" collapsed="false">
      <c r="A1535" s="26" t="s">
        <v>5743</v>
      </c>
      <c r="B1535" s="27" t="s">
        <v>5744</v>
      </c>
      <c r="C1535" s="27" t="s">
        <v>144</v>
      </c>
      <c r="D1535" s="26" t="s">
        <v>5745</v>
      </c>
      <c r="E1535" s="28" t="s">
        <v>5746</v>
      </c>
      <c r="F1535" s="28" t="s">
        <v>146</v>
      </c>
      <c r="G1535" s="27" t="s">
        <v>3537</v>
      </c>
      <c r="H1535" s="27" t="s">
        <v>56</v>
      </c>
      <c r="I1535" s="27" t="s">
        <v>37</v>
      </c>
      <c r="J1535" s="28" t="s">
        <v>636</v>
      </c>
      <c r="K1535" s="27" t="s">
        <v>37</v>
      </c>
      <c r="L1535" s="27"/>
    </row>
    <row r="1536" customFormat="false" ht="15" hidden="false" customHeight="false" outlineLevel="0" collapsed="false">
      <c r="A1536" s="26" t="s">
        <v>5747</v>
      </c>
      <c r="B1536" s="27" t="s">
        <v>5748</v>
      </c>
      <c r="C1536" s="27" t="s">
        <v>144</v>
      </c>
      <c r="D1536" s="26" t="s">
        <v>5749</v>
      </c>
      <c r="E1536" s="27" t="s">
        <v>5750</v>
      </c>
      <c r="F1536" s="28" t="s">
        <v>146</v>
      </c>
      <c r="G1536" s="27" t="s">
        <v>3537</v>
      </c>
      <c r="H1536" s="27" t="s">
        <v>56</v>
      </c>
      <c r="I1536" s="27" t="s">
        <v>37</v>
      </c>
      <c r="J1536" s="28" t="s">
        <v>636</v>
      </c>
      <c r="K1536" s="27" t="s">
        <v>37</v>
      </c>
      <c r="L1536" s="27"/>
    </row>
    <row r="1537" customFormat="false" ht="15" hidden="false" customHeight="false" outlineLevel="0" collapsed="false">
      <c r="A1537" s="26" t="s">
        <v>5751</v>
      </c>
      <c r="B1537" s="27" t="s">
        <v>5752</v>
      </c>
      <c r="C1537" s="27" t="s">
        <v>144</v>
      </c>
      <c r="D1537" s="26" t="s">
        <v>5753</v>
      </c>
      <c r="E1537" s="27" t="s">
        <v>5754</v>
      </c>
      <c r="F1537" s="28" t="s">
        <v>146</v>
      </c>
      <c r="G1537" s="27" t="s">
        <v>3537</v>
      </c>
      <c r="H1537" s="27" t="s">
        <v>56</v>
      </c>
      <c r="I1537" s="27" t="s">
        <v>37</v>
      </c>
      <c r="J1537" s="28" t="s">
        <v>636</v>
      </c>
      <c r="K1537" s="27" t="s">
        <v>37</v>
      </c>
      <c r="L1537" s="27"/>
    </row>
    <row r="1538" customFormat="false" ht="15" hidden="false" customHeight="false" outlineLevel="0" collapsed="false">
      <c r="A1538" s="26" t="s">
        <v>5755</v>
      </c>
      <c r="B1538" s="27" t="s">
        <v>5756</v>
      </c>
      <c r="C1538" s="27" t="s">
        <v>144</v>
      </c>
      <c r="D1538" s="26" t="s">
        <v>5757</v>
      </c>
      <c r="E1538" s="27" t="s">
        <v>5758</v>
      </c>
      <c r="F1538" s="28" t="s">
        <v>146</v>
      </c>
      <c r="G1538" s="27" t="s">
        <v>3537</v>
      </c>
      <c r="H1538" s="27" t="s">
        <v>56</v>
      </c>
      <c r="I1538" s="27" t="s">
        <v>37</v>
      </c>
      <c r="J1538" s="28" t="s">
        <v>636</v>
      </c>
      <c r="K1538" s="27" t="s">
        <v>37</v>
      </c>
      <c r="L1538" s="27"/>
    </row>
    <row r="1539" customFormat="false" ht="15" hidden="false" customHeight="false" outlineLevel="0" collapsed="false">
      <c r="A1539" s="26" t="s">
        <v>5759</v>
      </c>
      <c r="B1539" s="27" t="s">
        <v>5760</v>
      </c>
      <c r="C1539" s="27" t="s">
        <v>144</v>
      </c>
      <c r="D1539" s="26" t="s">
        <v>5761</v>
      </c>
      <c r="E1539" s="28" t="s">
        <v>5762</v>
      </c>
      <c r="F1539" s="28" t="s">
        <v>146</v>
      </c>
      <c r="G1539" s="27" t="s">
        <v>3537</v>
      </c>
      <c r="H1539" s="27" t="s">
        <v>56</v>
      </c>
      <c r="I1539" s="27" t="s">
        <v>37</v>
      </c>
      <c r="J1539" s="28" t="s">
        <v>636</v>
      </c>
      <c r="K1539" s="27" t="s">
        <v>37</v>
      </c>
      <c r="L1539" s="27"/>
    </row>
    <row r="1540" customFormat="false" ht="15" hidden="false" customHeight="false" outlineLevel="0" collapsed="false">
      <c r="A1540" s="26" t="s">
        <v>5763</v>
      </c>
      <c r="B1540" s="27" t="s">
        <v>5764</v>
      </c>
      <c r="C1540" s="27" t="s">
        <v>144</v>
      </c>
      <c r="D1540" s="26" t="s">
        <v>5765</v>
      </c>
      <c r="E1540" s="27" t="s">
        <v>5766</v>
      </c>
      <c r="F1540" s="28" t="s">
        <v>146</v>
      </c>
      <c r="G1540" s="27" t="s">
        <v>3537</v>
      </c>
      <c r="H1540" s="27" t="s">
        <v>56</v>
      </c>
      <c r="I1540" s="27" t="s">
        <v>37</v>
      </c>
      <c r="J1540" s="28" t="s">
        <v>636</v>
      </c>
      <c r="K1540" s="27" t="s">
        <v>37</v>
      </c>
      <c r="L1540" s="27"/>
    </row>
    <row r="1541" customFormat="false" ht="15" hidden="false" customHeight="false" outlineLevel="0" collapsed="false">
      <c r="A1541" s="26" t="s">
        <v>5767</v>
      </c>
      <c r="B1541" s="27" t="s">
        <v>5768</v>
      </c>
      <c r="C1541" s="27" t="s">
        <v>144</v>
      </c>
      <c r="D1541" s="26" t="s">
        <v>5769</v>
      </c>
      <c r="E1541" s="27" t="s">
        <v>5770</v>
      </c>
      <c r="F1541" s="28" t="s">
        <v>146</v>
      </c>
      <c r="G1541" s="27" t="s">
        <v>3537</v>
      </c>
      <c r="H1541" s="27" t="s">
        <v>56</v>
      </c>
      <c r="I1541" s="27" t="s">
        <v>37</v>
      </c>
      <c r="J1541" s="28" t="s">
        <v>636</v>
      </c>
      <c r="K1541" s="27" t="s">
        <v>37</v>
      </c>
      <c r="L1541" s="27"/>
    </row>
    <row r="1542" customFormat="false" ht="15" hidden="false" customHeight="false" outlineLevel="0" collapsed="false">
      <c r="A1542" s="26" t="s">
        <v>5771</v>
      </c>
      <c r="B1542" s="27" t="s">
        <v>5772</v>
      </c>
      <c r="C1542" s="27" t="s">
        <v>144</v>
      </c>
      <c r="D1542" s="26" t="s">
        <v>5773</v>
      </c>
      <c r="E1542" s="28" t="s">
        <v>5774</v>
      </c>
      <c r="F1542" s="28" t="s">
        <v>146</v>
      </c>
      <c r="G1542" s="27" t="s">
        <v>3537</v>
      </c>
      <c r="H1542" s="27" t="s">
        <v>56</v>
      </c>
      <c r="I1542" s="27" t="s">
        <v>37</v>
      </c>
      <c r="J1542" s="28" t="s">
        <v>636</v>
      </c>
      <c r="K1542" s="27" t="s">
        <v>37</v>
      </c>
      <c r="L1542" s="27"/>
    </row>
    <row r="1543" customFormat="false" ht="15" hidden="false" customHeight="false" outlineLevel="0" collapsed="false">
      <c r="A1543" s="26" t="s">
        <v>5775</v>
      </c>
      <c r="B1543" s="27" t="s">
        <v>5776</v>
      </c>
      <c r="C1543" s="27" t="s">
        <v>144</v>
      </c>
      <c r="D1543" s="26" t="s">
        <v>5777</v>
      </c>
      <c r="E1543" s="27" t="s">
        <v>5778</v>
      </c>
      <c r="F1543" s="28" t="s">
        <v>146</v>
      </c>
      <c r="G1543" s="27" t="s">
        <v>3537</v>
      </c>
      <c r="H1543" s="27" t="s">
        <v>56</v>
      </c>
      <c r="I1543" s="27" t="s">
        <v>37</v>
      </c>
      <c r="J1543" s="28" t="s">
        <v>636</v>
      </c>
      <c r="K1543" s="27" t="s">
        <v>37</v>
      </c>
      <c r="L1543" s="27"/>
    </row>
    <row r="1544" customFormat="false" ht="15" hidden="false" customHeight="false" outlineLevel="0" collapsed="false">
      <c r="A1544" s="26" t="s">
        <v>5779</v>
      </c>
      <c r="B1544" s="27" t="s">
        <v>5780</v>
      </c>
      <c r="C1544" s="27" t="s">
        <v>144</v>
      </c>
      <c r="D1544" s="26" t="s">
        <v>5781</v>
      </c>
      <c r="E1544" s="28" t="s">
        <v>5782</v>
      </c>
      <c r="F1544" s="28" t="s">
        <v>146</v>
      </c>
      <c r="G1544" s="27" t="s">
        <v>3537</v>
      </c>
      <c r="H1544" s="27" t="s">
        <v>56</v>
      </c>
      <c r="I1544" s="27" t="s">
        <v>37</v>
      </c>
      <c r="J1544" s="28" t="s">
        <v>636</v>
      </c>
      <c r="K1544" s="27" t="s">
        <v>37</v>
      </c>
      <c r="L1544" s="27"/>
    </row>
    <row r="1545" customFormat="false" ht="15" hidden="false" customHeight="false" outlineLevel="0" collapsed="false">
      <c r="A1545" s="26" t="s">
        <v>5783</v>
      </c>
      <c r="B1545" s="27" t="s">
        <v>5784</v>
      </c>
      <c r="C1545" s="27" t="s">
        <v>144</v>
      </c>
      <c r="D1545" s="26" t="s">
        <v>5785</v>
      </c>
      <c r="E1545" s="27" t="s">
        <v>5786</v>
      </c>
      <c r="F1545" s="28" t="s">
        <v>146</v>
      </c>
      <c r="G1545" s="27" t="s">
        <v>3537</v>
      </c>
      <c r="H1545" s="27" t="s">
        <v>56</v>
      </c>
      <c r="I1545" s="27" t="s">
        <v>37</v>
      </c>
      <c r="J1545" s="28" t="s">
        <v>636</v>
      </c>
      <c r="K1545" s="27" t="s">
        <v>37</v>
      </c>
      <c r="L1545" s="27"/>
    </row>
    <row r="1546" customFormat="false" ht="15" hidden="false" customHeight="false" outlineLevel="0" collapsed="false">
      <c r="A1546" s="26" t="s">
        <v>5787</v>
      </c>
      <c r="B1546" s="27" t="s">
        <v>5788</v>
      </c>
      <c r="C1546" s="27" t="s">
        <v>144</v>
      </c>
      <c r="D1546" s="26" t="s">
        <v>5785</v>
      </c>
      <c r="E1546" s="27" t="s">
        <v>5786</v>
      </c>
      <c r="F1546" s="28" t="s">
        <v>146</v>
      </c>
      <c r="G1546" s="27" t="s">
        <v>3537</v>
      </c>
      <c r="H1546" s="27" t="s">
        <v>56</v>
      </c>
      <c r="I1546" s="27" t="s">
        <v>37</v>
      </c>
      <c r="J1546" s="28" t="s">
        <v>636</v>
      </c>
      <c r="K1546" s="27" t="s">
        <v>37</v>
      </c>
      <c r="L1546" s="27"/>
    </row>
    <row r="1547" customFormat="false" ht="15" hidden="false" customHeight="false" outlineLevel="0" collapsed="false">
      <c r="A1547" s="26" t="s">
        <v>5789</v>
      </c>
      <c r="B1547" s="27" t="s">
        <v>5790</v>
      </c>
      <c r="C1547" s="27" t="s">
        <v>144</v>
      </c>
      <c r="D1547" s="26" t="s">
        <v>5791</v>
      </c>
      <c r="E1547" s="28" t="s">
        <v>5792</v>
      </c>
      <c r="F1547" s="28" t="s">
        <v>146</v>
      </c>
      <c r="G1547" s="27" t="s">
        <v>3537</v>
      </c>
      <c r="H1547" s="27" t="s">
        <v>56</v>
      </c>
      <c r="I1547" s="27" t="s">
        <v>37</v>
      </c>
      <c r="J1547" s="28" t="s">
        <v>636</v>
      </c>
      <c r="K1547" s="27" t="s">
        <v>37</v>
      </c>
      <c r="L1547" s="27"/>
    </row>
    <row r="1548" customFormat="false" ht="15" hidden="false" customHeight="false" outlineLevel="0" collapsed="false">
      <c r="A1548" s="26" t="s">
        <v>5793</v>
      </c>
      <c r="B1548" s="27" t="s">
        <v>5794</v>
      </c>
      <c r="C1548" s="27" t="s">
        <v>144</v>
      </c>
      <c r="D1548" s="26" t="s">
        <v>5795</v>
      </c>
      <c r="E1548" s="27" t="s">
        <v>5796</v>
      </c>
      <c r="F1548" s="28" t="s">
        <v>146</v>
      </c>
      <c r="G1548" s="27" t="s">
        <v>3537</v>
      </c>
      <c r="H1548" s="27" t="s">
        <v>56</v>
      </c>
      <c r="I1548" s="27" t="s">
        <v>37</v>
      </c>
      <c r="J1548" s="28" t="s">
        <v>636</v>
      </c>
      <c r="K1548" s="27" t="s">
        <v>37</v>
      </c>
      <c r="L1548" s="27"/>
    </row>
    <row r="1549" customFormat="false" ht="15" hidden="false" customHeight="false" outlineLevel="0" collapsed="false">
      <c r="A1549" s="26" t="s">
        <v>5797</v>
      </c>
      <c r="B1549" s="27" t="s">
        <v>5798</v>
      </c>
      <c r="C1549" s="27" t="s">
        <v>144</v>
      </c>
      <c r="D1549" s="26" t="s">
        <v>5799</v>
      </c>
      <c r="E1549" s="27" t="s">
        <v>5800</v>
      </c>
      <c r="F1549" s="28" t="s">
        <v>146</v>
      </c>
      <c r="G1549" s="27" t="s">
        <v>3537</v>
      </c>
      <c r="H1549" s="27" t="s">
        <v>56</v>
      </c>
      <c r="I1549" s="27" t="s">
        <v>37</v>
      </c>
      <c r="J1549" s="28" t="s">
        <v>636</v>
      </c>
      <c r="K1549" s="27" t="s">
        <v>37</v>
      </c>
      <c r="L1549" s="27"/>
    </row>
    <row r="1550" customFormat="false" ht="15" hidden="false" customHeight="false" outlineLevel="0" collapsed="false">
      <c r="A1550" s="26" t="s">
        <v>5801</v>
      </c>
      <c r="B1550" s="27" t="s">
        <v>5802</v>
      </c>
      <c r="C1550" s="27" t="s">
        <v>144</v>
      </c>
      <c r="D1550" s="26" t="s">
        <v>5803</v>
      </c>
      <c r="E1550" s="27" t="s">
        <v>5804</v>
      </c>
      <c r="F1550" s="28" t="s">
        <v>146</v>
      </c>
      <c r="G1550" s="27" t="s">
        <v>3537</v>
      </c>
      <c r="H1550" s="27" t="s">
        <v>56</v>
      </c>
      <c r="I1550" s="27" t="s">
        <v>37</v>
      </c>
      <c r="J1550" s="28" t="s">
        <v>636</v>
      </c>
      <c r="K1550" s="27" t="s">
        <v>37</v>
      </c>
      <c r="L1550" s="27"/>
    </row>
    <row r="1551" customFormat="false" ht="15" hidden="false" customHeight="false" outlineLevel="0" collapsed="false">
      <c r="A1551" s="26" t="s">
        <v>5805</v>
      </c>
      <c r="B1551" s="27" t="s">
        <v>5806</v>
      </c>
      <c r="C1551" s="27" t="s">
        <v>144</v>
      </c>
      <c r="D1551" s="26" t="s">
        <v>5807</v>
      </c>
      <c r="E1551" s="27" t="s">
        <v>5808</v>
      </c>
      <c r="F1551" s="28" t="s">
        <v>146</v>
      </c>
      <c r="G1551" s="27" t="s">
        <v>3537</v>
      </c>
      <c r="H1551" s="27" t="s">
        <v>56</v>
      </c>
      <c r="I1551" s="27" t="s">
        <v>37</v>
      </c>
      <c r="J1551" s="28" t="s">
        <v>636</v>
      </c>
      <c r="K1551" s="27" t="s">
        <v>37</v>
      </c>
      <c r="L1551" s="27"/>
    </row>
    <row r="1552" customFormat="false" ht="15" hidden="false" customHeight="false" outlineLevel="0" collapsed="false">
      <c r="A1552" s="26" t="s">
        <v>5809</v>
      </c>
      <c r="B1552" s="27" t="s">
        <v>5810</v>
      </c>
      <c r="C1552" s="27" t="s">
        <v>144</v>
      </c>
      <c r="D1552" s="26" t="s">
        <v>5701</v>
      </c>
      <c r="E1552" s="27" t="s">
        <v>5702</v>
      </c>
      <c r="F1552" s="28" t="s">
        <v>146</v>
      </c>
      <c r="G1552" s="27" t="s">
        <v>3537</v>
      </c>
      <c r="H1552" s="27" t="s">
        <v>56</v>
      </c>
      <c r="I1552" s="27" t="s">
        <v>37</v>
      </c>
      <c r="J1552" s="28" t="s">
        <v>636</v>
      </c>
      <c r="K1552" s="27" t="s">
        <v>37</v>
      </c>
      <c r="L1552" s="27"/>
    </row>
    <row r="1553" customFormat="false" ht="15" hidden="false" customHeight="false" outlineLevel="0" collapsed="false">
      <c r="A1553" s="26" t="s">
        <v>5811</v>
      </c>
      <c r="B1553" s="27" t="s">
        <v>5812</v>
      </c>
      <c r="C1553" s="27" t="s">
        <v>144</v>
      </c>
      <c r="D1553" s="26" t="s">
        <v>5813</v>
      </c>
      <c r="E1553" s="27" t="s">
        <v>5814</v>
      </c>
      <c r="F1553" s="28" t="s">
        <v>146</v>
      </c>
      <c r="G1553" s="27" t="s">
        <v>3537</v>
      </c>
      <c r="H1553" s="27" t="s">
        <v>56</v>
      </c>
      <c r="I1553" s="27" t="s">
        <v>37</v>
      </c>
      <c r="J1553" s="28" t="s">
        <v>636</v>
      </c>
      <c r="K1553" s="27" t="s">
        <v>37</v>
      </c>
      <c r="L1553" s="27"/>
    </row>
    <row r="1554" customFormat="false" ht="15" hidden="false" customHeight="false" outlineLevel="0" collapsed="false">
      <c r="A1554" s="26" t="s">
        <v>5815</v>
      </c>
      <c r="B1554" s="27" t="s">
        <v>5816</v>
      </c>
      <c r="C1554" s="27" t="s">
        <v>144</v>
      </c>
      <c r="D1554" s="26" t="s">
        <v>5817</v>
      </c>
      <c r="E1554" s="27" t="s">
        <v>5818</v>
      </c>
      <c r="F1554" s="28" t="s">
        <v>146</v>
      </c>
      <c r="G1554" s="27" t="s">
        <v>3537</v>
      </c>
      <c r="H1554" s="27" t="s">
        <v>56</v>
      </c>
      <c r="I1554" s="27" t="s">
        <v>37</v>
      </c>
      <c r="J1554" s="28" t="s">
        <v>636</v>
      </c>
      <c r="K1554" s="27" t="s">
        <v>37</v>
      </c>
      <c r="L1554" s="27"/>
    </row>
    <row r="1555" customFormat="false" ht="15" hidden="false" customHeight="false" outlineLevel="0" collapsed="false">
      <c r="A1555" s="26" t="s">
        <v>5819</v>
      </c>
      <c r="B1555" s="27" t="s">
        <v>5820</v>
      </c>
      <c r="C1555" s="27" t="s">
        <v>144</v>
      </c>
      <c r="D1555" s="26" t="s">
        <v>5821</v>
      </c>
      <c r="E1555" s="27" t="s">
        <v>5822</v>
      </c>
      <c r="F1555" s="28" t="s">
        <v>146</v>
      </c>
      <c r="G1555" s="27" t="s">
        <v>3537</v>
      </c>
      <c r="H1555" s="27" t="s">
        <v>56</v>
      </c>
      <c r="I1555" s="27" t="s">
        <v>37</v>
      </c>
      <c r="J1555" s="28" t="s">
        <v>636</v>
      </c>
      <c r="K1555" s="27" t="s">
        <v>37</v>
      </c>
      <c r="L1555" s="27"/>
    </row>
    <row r="1556" customFormat="false" ht="15" hidden="false" customHeight="false" outlineLevel="0" collapsed="false">
      <c r="A1556" s="26" t="s">
        <v>5823</v>
      </c>
      <c r="B1556" s="27" t="s">
        <v>5824</v>
      </c>
      <c r="C1556" s="27" t="s">
        <v>144</v>
      </c>
      <c r="D1556" s="26" t="s">
        <v>5825</v>
      </c>
      <c r="E1556" s="27" t="s">
        <v>5826</v>
      </c>
      <c r="F1556" s="28" t="s">
        <v>146</v>
      </c>
      <c r="G1556" s="27" t="s">
        <v>3537</v>
      </c>
      <c r="H1556" s="27" t="s">
        <v>56</v>
      </c>
      <c r="I1556" s="27" t="s">
        <v>37</v>
      </c>
      <c r="J1556" s="28" t="s">
        <v>636</v>
      </c>
      <c r="K1556" s="27" t="s">
        <v>37</v>
      </c>
      <c r="L1556" s="27"/>
    </row>
    <row r="1557" customFormat="false" ht="15" hidden="false" customHeight="false" outlineLevel="0" collapsed="false">
      <c r="A1557" s="26" t="s">
        <v>5827</v>
      </c>
      <c r="B1557" s="27" t="s">
        <v>5828</v>
      </c>
      <c r="C1557" s="27" t="s">
        <v>144</v>
      </c>
      <c r="D1557" s="26" t="s">
        <v>5829</v>
      </c>
      <c r="E1557" s="27" t="s">
        <v>5830</v>
      </c>
      <c r="F1557" s="28" t="s">
        <v>146</v>
      </c>
      <c r="G1557" s="27" t="s">
        <v>3537</v>
      </c>
      <c r="H1557" s="27" t="s">
        <v>56</v>
      </c>
      <c r="I1557" s="27" t="s">
        <v>37</v>
      </c>
      <c r="J1557" s="28" t="s">
        <v>636</v>
      </c>
      <c r="K1557" s="27" t="s">
        <v>37</v>
      </c>
      <c r="L1557" s="27"/>
    </row>
    <row r="1558" customFormat="false" ht="15" hidden="false" customHeight="false" outlineLevel="0" collapsed="false">
      <c r="A1558" s="26" t="s">
        <v>5831</v>
      </c>
      <c r="B1558" s="27" t="s">
        <v>5832</v>
      </c>
      <c r="C1558" s="27" t="s">
        <v>144</v>
      </c>
      <c r="D1558" s="26" t="s">
        <v>5833</v>
      </c>
      <c r="E1558" s="27" t="s">
        <v>5834</v>
      </c>
      <c r="F1558" s="28" t="s">
        <v>146</v>
      </c>
      <c r="G1558" s="27" t="s">
        <v>3537</v>
      </c>
      <c r="H1558" s="27" t="s">
        <v>56</v>
      </c>
      <c r="I1558" s="27" t="s">
        <v>37</v>
      </c>
      <c r="J1558" s="28" t="s">
        <v>636</v>
      </c>
      <c r="K1558" s="27" t="s">
        <v>37</v>
      </c>
      <c r="L1558" s="27"/>
    </row>
    <row r="1559" customFormat="false" ht="15" hidden="false" customHeight="false" outlineLevel="0" collapsed="false">
      <c r="A1559" s="26" t="s">
        <v>5835</v>
      </c>
      <c r="B1559" s="27" t="s">
        <v>5836</v>
      </c>
      <c r="C1559" s="27" t="s">
        <v>144</v>
      </c>
      <c r="D1559" s="26" t="s">
        <v>5837</v>
      </c>
      <c r="E1559" s="27" t="s">
        <v>5838</v>
      </c>
      <c r="F1559" s="28" t="s">
        <v>146</v>
      </c>
      <c r="G1559" s="27" t="s">
        <v>3537</v>
      </c>
      <c r="H1559" s="27" t="s">
        <v>56</v>
      </c>
      <c r="I1559" s="27" t="s">
        <v>37</v>
      </c>
      <c r="J1559" s="28" t="s">
        <v>636</v>
      </c>
      <c r="K1559" s="27" t="s">
        <v>37</v>
      </c>
      <c r="L1559" s="27"/>
    </row>
    <row r="1560" customFormat="false" ht="15" hidden="false" customHeight="false" outlineLevel="0" collapsed="false">
      <c r="A1560" s="26" t="s">
        <v>5839</v>
      </c>
      <c r="B1560" s="27" t="s">
        <v>5840</v>
      </c>
      <c r="C1560" s="27" t="s">
        <v>144</v>
      </c>
      <c r="D1560" s="26" t="s">
        <v>5841</v>
      </c>
      <c r="E1560" s="27" t="s">
        <v>5842</v>
      </c>
      <c r="F1560" s="28" t="s">
        <v>146</v>
      </c>
      <c r="G1560" s="27" t="s">
        <v>3537</v>
      </c>
      <c r="H1560" s="27" t="s">
        <v>56</v>
      </c>
      <c r="I1560" s="27" t="s">
        <v>37</v>
      </c>
      <c r="J1560" s="28" t="s">
        <v>636</v>
      </c>
      <c r="K1560" s="27" t="s">
        <v>37</v>
      </c>
      <c r="L1560" s="27"/>
    </row>
    <row r="1561" customFormat="false" ht="15" hidden="false" customHeight="false" outlineLevel="0" collapsed="false">
      <c r="A1561" s="26" t="s">
        <v>5843</v>
      </c>
      <c r="B1561" s="27" t="s">
        <v>5844</v>
      </c>
      <c r="C1561" s="27" t="s">
        <v>144</v>
      </c>
      <c r="D1561" s="26" t="s">
        <v>5845</v>
      </c>
      <c r="E1561" s="27" t="s">
        <v>5846</v>
      </c>
      <c r="F1561" s="28" t="s">
        <v>146</v>
      </c>
      <c r="G1561" s="27" t="s">
        <v>3537</v>
      </c>
      <c r="H1561" s="27" t="s">
        <v>56</v>
      </c>
      <c r="I1561" s="27" t="s">
        <v>37</v>
      </c>
      <c r="J1561" s="28" t="s">
        <v>636</v>
      </c>
      <c r="K1561" s="27" t="s">
        <v>37</v>
      </c>
      <c r="L1561" s="27"/>
    </row>
    <row r="1562" customFormat="false" ht="15" hidden="false" customHeight="false" outlineLevel="0" collapsed="false">
      <c r="A1562" s="26" t="s">
        <v>5847</v>
      </c>
      <c r="B1562" s="27" t="s">
        <v>5848</v>
      </c>
      <c r="C1562" s="27" t="s">
        <v>144</v>
      </c>
      <c r="D1562" s="26" t="s">
        <v>5849</v>
      </c>
      <c r="E1562" s="27" t="s">
        <v>5850</v>
      </c>
      <c r="F1562" s="28" t="s">
        <v>146</v>
      </c>
      <c r="G1562" s="27" t="s">
        <v>3537</v>
      </c>
      <c r="H1562" s="27" t="s">
        <v>56</v>
      </c>
      <c r="I1562" s="27" t="s">
        <v>37</v>
      </c>
      <c r="J1562" s="28" t="s">
        <v>636</v>
      </c>
      <c r="K1562" s="27" t="s">
        <v>37</v>
      </c>
      <c r="L1562" s="27"/>
    </row>
    <row r="1563" customFormat="false" ht="15" hidden="false" customHeight="false" outlineLevel="0" collapsed="false">
      <c r="A1563" s="26" t="s">
        <v>5851</v>
      </c>
      <c r="B1563" s="27" t="s">
        <v>5852</v>
      </c>
      <c r="C1563" s="27" t="s">
        <v>144</v>
      </c>
      <c r="D1563" s="26" t="s">
        <v>5853</v>
      </c>
      <c r="E1563" s="27" t="s">
        <v>5854</v>
      </c>
      <c r="F1563" s="28" t="s">
        <v>146</v>
      </c>
      <c r="G1563" s="27" t="s">
        <v>3537</v>
      </c>
      <c r="H1563" s="27" t="s">
        <v>56</v>
      </c>
      <c r="I1563" s="27" t="s">
        <v>37</v>
      </c>
      <c r="J1563" s="28" t="s">
        <v>636</v>
      </c>
      <c r="K1563" s="27" t="s">
        <v>37</v>
      </c>
      <c r="L1563" s="27"/>
    </row>
    <row r="1564" customFormat="false" ht="15" hidden="false" customHeight="false" outlineLevel="0" collapsed="false">
      <c r="A1564" s="26" t="s">
        <v>5855</v>
      </c>
      <c r="B1564" s="27" t="s">
        <v>5856</v>
      </c>
      <c r="C1564" s="27" t="s">
        <v>144</v>
      </c>
      <c r="D1564" s="26" t="s">
        <v>5857</v>
      </c>
      <c r="E1564" s="27" t="s">
        <v>5858</v>
      </c>
      <c r="F1564" s="28" t="s">
        <v>146</v>
      </c>
      <c r="G1564" s="27" t="s">
        <v>3537</v>
      </c>
      <c r="H1564" s="27" t="s">
        <v>56</v>
      </c>
      <c r="I1564" s="27" t="s">
        <v>37</v>
      </c>
      <c r="J1564" s="28" t="s">
        <v>636</v>
      </c>
      <c r="K1564" s="27" t="s">
        <v>37</v>
      </c>
      <c r="L1564" s="27"/>
    </row>
    <row r="1565" customFormat="false" ht="15" hidden="false" customHeight="false" outlineLevel="0" collapsed="false">
      <c r="A1565" s="26" t="s">
        <v>5859</v>
      </c>
      <c r="B1565" s="27" t="s">
        <v>5860</v>
      </c>
      <c r="C1565" s="27" t="s">
        <v>144</v>
      </c>
      <c r="D1565" s="26" t="s">
        <v>5861</v>
      </c>
      <c r="E1565" s="27" t="s">
        <v>5862</v>
      </c>
      <c r="F1565" s="28" t="s">
        <v>146</v>
      </c>
      <c r="G1565" s="27" t="s">
        <v>3537</v>
      </c>
      <c r="H1565" s="27" t="s">
        <v>56</v>
      </c>
      <c r="I1565" s="27" t="s">
        <v>37</v>
      </c>
      <c r="J1565" s="28" t="s">
        <v>636</v>
      </c>
      <c r="K1565" s="27" t="s">
        <v>37</v>
      </c>
      <c r="L1565" s="27"/>
    </row>
    <row r="1566" customFormat="false" ht="15" hidden="false" customHeight="false" outlineLevel="0" collapsed="false">
      <c r="A1566" s="26" t="s">
        <v>5863</v>
      </c>
      <c r="B1566" s="27" t="s">
        <v>5864</v>
      </c>
      <c r="C1566" s="27" t="s">
        <v>144</v>
      </c>
      <c r="D1566" s="26" t="s">
        <v>5865</v>
      </c>
      <c r="E1566" s="27" t="s">
        <v>5866</v>
      </c>
      <c r="F1566" s="28" t="s">
        <v>146</v>
      </c>
      <c r="G1566" s="27" t="s">
        <v>3537</v>
      </c>
      <c r="H1566" s="27" t="s">
        <v>56</v>
      </c>
      <c r="I1566" s="27" t="s">
        <v>37</v>
      </c>
      <c r="J1566" s="28" t="s">
        <v>636</v>
      </c>
      <c r="K1566" s="27" t="s">
        <v>37</v>
      </c>
      <c r="L1566" s="27"/>
    </row>
    <row r="1567" customFormat="false" ht="15" hidden="false" customHeight="false" outlineLevel="0" collapsed="false">
      <c r="A1567" s="26" t="s">
        <v>5867</v>
      </c>
      <c r="B1567" s="27" t="s">
        <v>5868</v>
      </c>
      <c r="C1567" s="27" t="s">
        <v>144</v>
      </c>
      <c r="D1567" s="26" t="s">
        <v>5869</v>
      </c>
      <c r="E1567" s="27" t="s">
        <v>5870</v>
      </c>
      <c r="F1567" s="28" t="s">
        <v>146</v>
      </c>
      <c r="G1567" s="27" t="s">
        <v>3537</v>
      </c>
      <c r="H1567" s="27" t="s">
        <v>56</v>
      </c>
      <c r="I1567" s="27" t="s">
        <v>37</v>
      </c>
      <c r="J1567" s="28" t="s">
        <v>636</v>
      </c>
      <c r="K1567" s="27" t="s">
        <v>37</v>
      </c>
      <c r="L1567" s="27"/>
    </row>
    <row r="1568" customFormat="false" ht="15" hidden="false" customHeight="false" outlineLevel="0" collapsed="false">
      <c r="A1568" s="26" t="s">
        <v>5871</v>
      </c>
      <c r="B1568" s="27" t="s">
        <v>5872</v>
      </c>
      <c r="C1568" s="27" t="s">
        <v>144</v>
      </c>
      <c r="D1568" s="26" t="s">
        <v>5873</v>
      </c>
      <c r="E1568" s="27" t="s">
        <v>5874</v>
      </c>
      <c r="F1568" s="28" t="s">
        <v>146</v>
      </c>
      <c r="G1568" s="27" t="s">
        <v>3537</v>
      </c>
      <c r="H1568" s="27" t="s">
        <v>56</v>
      </c>
      <c r="I1568" s="27" t="s">
        <v>37</v>
      </c>
      <c r="J1568" s="28" t="s">
        <v>636</v>
      </c>
      <c r="K1568" s="27" t="s">
        <v>37</v>
      </c>
      <c r="L1568" s="27"/>
    </row>
    <row r="1569" customFormat="false" ht="15" hidden="false" customHeight="false" outlineLevel="0" collapsed="false">
      <c r="A1569" s="26" t="s">
        <v>5875</v>
      </c>
      <c r="B1569" s="27" t="s">
        <v>5876</v>
      </c>
      <c r="C1569" s="27" t="s">
        <v>144</v>
      </c>
      <c r="D1569" s="26" t="s">
        <v>5877</v>
      </c>
      <c r="E1569" s="27" t="s">
        <v>5878</v>
      </c>
      <c r="F1569" s="28" t="s">
        <v>146</v>
      </c>
      <c r="G1569" s="27" t="s">
        <v>3537</v>
      </c>
      <c r="H1569" s="27" t="s">
        <v>56</v>
      </c>
      <c r="I1569" s="27" t="s">
        <v>37</v>
      </c>
      <c r="J1569" s="28" t="s">
        <v>636</v>
      </c>
      <c r="K1569" s="27" t="s">
        <v>37</v>
      </c>
      <c r="L1569" s="27"/>
    </row>
    <row r="1570" customFormat="false" ht="15" hidden="false" customHeight="false" outlineLevel="0" collapsed="false">
      <c r="A1570" s="26" t="s">
        <v>5879</v>
      </c>
      <c r="B1570" s="27" t="s">
        <v>5880</v>
      </c>
      <c r="C1570" s="27" t="s">
        <v>144</v>
      </c>
      <c r="D1570" s="26" t="s">
        <v>5881</v>
      </c>
      <c r="E1570" s="27" t="s">
        <v>5882</v>
      </c>
      <c r="F1570" s="28" t="s">
        <v>146</v>
      </c>
      <c r="G1570" s="27" t="s">
        <v>3537</v>
      </c>
      <c r="H1570" s="27" t="s">
        <v>56</v>
      </c>
      <c r="I1570" s="27" t="s">
        <v>37</v>
      </c>
      <c r="J1570" s="28" t="s">
        <v>636</v>
      </c>
      <c r="K1570" s="27" t="s">
        <v>37</v>
      </c>
      <c r="L1570" s="27"/>
    </row>
    <row r="1571" customFormat="false" ht="15" hidden="false" customHeight="false" outlineLevel="0" collapsed="false">
      <c r="A1571" s="26" t="s">
        <v>5883</v>
      </c>
      <c r="B1571" s="27" t="s">
        <v>5884</v>
      </c>
      <c r="C1571" s="27" t="s">
        <v>144</v>
      </c>
      <c r="D1571" s="26" t="s">
        <v>635</v>
      </c>
      <c r="E1571" s="27" t="s">
        <v>634</v>
      </c>
      <c r="F1571" s="28" t="s">
        <v>146</v>
      </c>
      <c r="G1571" s="27" t="s">
        <v>3537</v>
      </c>
      <c r="H1571" s="27" t="s">
        <v>56</v>
      </c>
      <c r="I1571" s="27" t="s">
        <v>37</v>
      </c>
      <c r="J1571" s="28" t="s">
        <v>636</v>
      </c>
      <c r="K1571" s="27" t="s">
        <v>37</v>
      </c>
      <c r="L1571" s="27"/>
    </row>
    <row r="1572" customFormat="false" ht="15" hidden="false" customHeight="false" outlineLevel="0" collapsed="false">
      <c r="A1572" s="26" t="s">
        <v>5885</v>
      </c>
      <c r="B1572" s="27" t="s">
        <v>5886</v>
      </c>
      <c r="C1572" s="27" t="s">
        <v>144</v>
      </c>
      <c r="D1572" s="26" t="s">
        <v>5887</v>
      </c>
      <c r="E1572" s="27" t="s">
        <v>5888</v>
      </c>
      <c r="F1572" s="28" t="s">
        <v>146</v>
      </c>
      <c r="G1572" s="27" t="s">
        <v>3537</v>
      </c>
      <c r="H1572" s="27" t="s">
        <v>56</v>
      </c>
      <c r="I1572" s="27" t="s">
        <v>37</v>
      </c>
      <c r="J1572" s="28" t="s">
        <v>636</v>
      </c>
      <c r="K1572" s="27" t="s">
        <v>37</v>
      </c>
      <c r="L1572" s="27"/>
    </row>
    <row r="1573" customFormat="false" ht="15" hidden="false" customHeight="false" outlineLevel="0" collapsed="false">
      <c r="A1573" s="26" t="s">
        <v>5889</v>
      </c>
      <c r="B1573" s="27" t="s">
        <v>5890</v>
      </c>
      <c r="C1573" s="27" t="s">
        <v>144</v>
      </c>
      <c r="D1573" s="26" t="s">
        <v>5891</v>
      </c>
      <c r="E1573" s="27" t="s">
        <v>5892</v>
      </c>
      <c r="F1573" s="28" t="s">
        <v>146</v>
      </c>
      <c r="G1573" s="27" t="s">
        <v>3537</v>
      </c>
      <c r="H1573" s="27" t="s">
        <v>56</v>
      </c>
      <c r="I1573" s="27" t="s">
        <v>37</v>
      </c>
      <c r="J1573" s="28" t="s">
        <v>636</v>
      </c>
      <c r="K1573" s="27" t="s">
        <v>37</v>
      </c>
      <c r="L1573" s="27"/>
    </row>
    <row r="1574" customFormat="false" ht="15" hidden="false" customHeight="false" outlineLevel="0" collapsed="false">
      <c r="A1574" s="26" t="s">
        <v>5893</v>
      </c>
      <c r="B1574" s="27" t="s">
        <v>5894</v>
      </c>
      <c r="C1574" s="27" t="s">
        <v>144</v>
      </c>
      <c r="D1574" s="26" t="s">
        <v>5895</v>
      </c>
      <c r="E1574" s="27" t="s">
        <v>5896</v>
      </c>
      <c r="F1574" s="28" t="s">
        <v>146</v>
      </c>
      <c r="G1574" s="27" t="s">
        <v>3537</v>
      </c>
      <c r="H1574" s="27" t="s">
        <v>56</v>
      </c>
      <c r="I1574" s="27" t="s">
        <v>37</v>
      </c>
      <c r="J1574" s="28" t="s">
        <v>636</v>
      </c>
      <c r="K1574" s="27" t="s">
        <v>37</v>
      </c>
      <c r="L1574" s="27"/>
    </row>
    <row r="1575" customFormat="false" ht="15" hidden="false" customHeight="false" outlineLevel="0" collapsed="false">
      <c r="A1575" s="26" t="s">
        <v>5897</v>
      </c>
      <c r="B1575" s="27" t="s">
        <v>5898</v>
      </c>
      <c r="C1575" s="27" t="s">
        <v>144</v>
      </c>
      <c r="D1575" s="26" t="s">
        <v>5899</v>
      </c>
      <c r="E1575" s="27" t="s">
        <v>5900</v>
      </c>
      <c r="F1575" s="28" t="s">
        <v>146</v>
      </c>
      <c r="G1575" s="27" t="s">
        <v>3537</v>
      </c>
      <c r="H1575" s="27" t="s">
        <v>56</v>
      </c>
      <c r="I1575" s="27" t="s">
        <v>37</v>
      </c>
      <c r="J1575" s="28" t="s">
        <v>636</v>
      </c>
      <c r="K1575" s="27" t="s">
        <v>37</v>
      </c>
      <c r="L1575" s="27"/>
    </row>
    <row r="1576" customFormat="false" ht="15" hidden="false" customHeight="false" outlineLevel="0" collapsed="false">
      <c r="A1576" s="26" t="s">
        <v>5901</v>
      </c>
      <c r="B1576" s="27" t="s">
        <v>5902</v>
      </c>
      <c r="C1576" s="27" t="s">
        <v>144</v>
      </c>
      <c r="D1576" s="26" t="s">
        <v>5903</v>
      </c>
      <c r="E1576" s="27" t="s">
        <v>5904</v>
      </c>
      <c r="F1576" s="28" t="s">
        <v>146</v>
      </c>
      <c r="G1576" s="27" t="s">
        <v>3537</v>
      </c>
      <c r="H1576" s="27" t="s">
        <v>56</v>
      </c>
      <c r="I1576" s="27" t="s">
        <v>37</v>
      </c>
      <c r="J1576" s="28" t="s">
        <v>636</v>
      </c>
      <c r="K1576" s="27" t="s">
        <v>37</v>
      </c>
      <c r="L1576" s="27"/>
    </row>
    <row r="1577" customFormat="false" ht="15" hidden="false" customHeight="false" outlineLevel="0" collapsed="false">
      <c r="A1577" s="26" t="s">
        <v>5905</v>
      </c>
      <c r="B1577" s="27" t="s">
        <v>5906</v>
      </c>
      <c r="C1577" s="27" t="s">
        <v>144</v>
      </c>
      <c r="D1577" s="26" t="s">
        <v>5907</v>
      </c>
      <c r="E1577" s="27" t="s">
        <v>5908</v>
      </c>
      <c r="F1577" s="28" t="s">
        <v>146</v>
      </c>
      <c r="G1577" s="27" t="s">
        <v>3537</v>
      </c>
      <c r="H1577" s="27" t="s">
        <v>56</v>
      </c>
      <c r="I1577" s="27" t="s">
        <v>37</v>
      </c>
      <c r="J1577" s="28" t="s">
        <v>636</v>
      </c>
      <c r="K1577" s="27" t="s">
        <v>37</v>
      </c>
      <c r="L1577" s="27"/>
    </row>
    <row r="1578" customFormat="false" ht="15" hidden="false" customHeight="false" outlineLevel="0" collapsed="false">
      <c r="A1578" s="26" t="s">
        <v>5909</v>
      </c>
      <c r="B1578" s="27" t="s">
        <v>5910</v>
      </c>
      <c r="C1578" s="27" t="s">
        <v>144</v>
      </c>
      <c r="D1578" s="26" t="s">
        <v>5911</v>
      </c>
      <c r="E1578" s="27" t="s">
        <v>5912</v>
      </c>
      <c r="F1578" s="28" t="s">
        <v>146</v>
      </c>
      <c r="G1578" s="27" t="s">
        <v>3537</v>
      </c>
      <c r="H1578" s="27" t="s">
        <v>56</v>
      </c>
      <c r="I1578" s="27" t="s">
        <v>37</v>
      </c>
      <c r="J1578" s="28" t="s">
        <v>636</v>
      </c>
      <c r="K1578" s="27" t="s">
        <v>37</v>
      </c>
      <c r="L1578" s="27"/>
    </row>
    <row r="1579" customFormat="false" ht="15" hidden="false" customHeight="false" outlineLevel="0" collapsed="false">
      <c r="A1579" s="26" t="s">
        <v>5913</v>
      </c>
      <c r="B1579" s="27" t="s">
        <v>5914</v>
      </c>
      <c r="C1579" s="27" t="s">
        <v>144</v>
      </c>
      <c r="D1579" s="26" t="s">
        <v>5915</v>
      </c>
      <c r="E1579" s="27" t="s">
        <v>5916</v>
      </c>
      <c r="F1579" s="28" t="s">
        <v>146</v>
      </c>
      <c r="G1579" s="27" t="s">
        <v>3537</v>
      </c>
      <c r="H1579" s="27" t="s">
        <v>57</v>
      </c>
      <c r="I1579" s="27" t="s">
        <v>38</v>
      </c>
      <c r="J1579" s="28" t="s">
        <v>636</v>
      </c>
      <c r="K1579" s="27" t="s">
        <v>37</v>
      </c>
      <c r="L1579" s="27"/>
    </row>
    <row r="1580" customFormat="false" ht="15" hidden="false" customHeight="false" outlineLevel="0" collapsed="false">
      <c r="A1580" s="26" t="s">
        <v>5917</v>
      </c>
      <c r="B1580" s="27" t="s">
        <v>5918</v>
      </c>
      <c r="C1580" s="27" t="s">
        <v>144</v>
      </c>
      <c r="D1580" s="26" t="s">
        <v>5919</v>
      </c>
      <c r="E1580" s="27" t="s">
        <v>5920</v>
      </c>
      <c r="F1580" s="28" t="s">
        <v>146</v>
      </c>
      <c r="G1580" s="27" t="s">
        <v>3537</v>
      </c>
      <c r="H1580" s="27" t="s">
        <v>57</v>
      </c>
      <c r="I1580" s="27" t="s">
        <v>38</v>
      </c>
      <c r="J1580" s="28" t="s">
        <v>636</v>
      </c>
      <c r="K1580" s="27" t="s">
        <v>37</v>
      </c>
      <c r="L1580" s="27"/>
    </row>
    <row r="1581" customFormat="false" ht="15" hidden="false" customHeight="false" outlineLevel="0" collapsed="false">
      <c r="A1581" s="26" t="s">
        <v>5921</v>
      </c>
      <c r="B1581" s="27" t="s">
        <v>5922</v>
      </c>
      <c r="C1581" s="27" t="s">
        <v>144</v>
      </c>
      <c r="D1581" s="26" t="s">
        <v>5923</v>
      </c>
      <c r="E1581" s="27" t="s">
        <v>5924</v>
      </c>
      <c r="F1581" s="28" t="s">
        <v>146</v>
      </c>
      <c r="G1581" s="27" t="s">
        <v>3537</v>
      </c>
      <c r="H1581" s="27" t="s">
        <v>57</v>
      </c>
      <c r="I1581" s="27" t="s">
        <v>41</v>
      </c>
      <c r="J1581" s="28" t="s">
        <v>636</v>
      </c>
      <c r="K1581" s="27" t="s">
        <v>37</v>
      </c>
      <c r="L1581" s="27"/>
    </row>
    <row r="1582" customFormat="false" ht="15" hidden="false" customHeight="false" outlineLevel="0" collapsed="false">
      <c r="A1582" s="26" t="s">
        <v>5925</v>
      </c>
      <c r="B1582" s="27" t="s">
        <v>5926</v>
      </c>
      <c r="C1582" s="27" t="s">
        <v>144</v>
      </c>
      <c r="D1582" s="26" t="s">
        <v>5927</v>
      </c>
      <c r="E1582" s="27" t="s">
        <v>5928</v>
      </c>
      <c r="F1582" s="28" t="s">
        <v>146</v>
      </c>
      <c r="G1582" s="27" t="s">
        <v>3537</v>
      </c>
      <c r="H1582" s="27" t="s">
        <v>57</v>
      </c>
      <c r="I1582" s="27" t="s">
        <v>38</v>
      </c>
      <c r="J1582" s="28" t="s">
        <v>636</v>
      </c>
      <c r="K1582" s="27" t="s">
        <v>37</v>
      </c>
      <c r="L1582" s="27"/>
    </row>
    <row r="1583" customFormat="false" ht="15" hidden="false" customHeight="false" outlineLevel="0" collapsed="false">
      <c r="A1583" s="26" t="s">
        <v>5929</v>
      </c>
      <c r="B1583" s="27" t="s">
        <v>5930</v>
      </c>
      <c r="C1583" s="27" t="s">
        <v>144</v>
      </c>
      <c r="D1583" s="26" t="s">
        <v>5931</v>
      </c>
      <c r="E1583" s="27" t="s">
        <v>5932</v>
      </c>
      <c r="F1583" s="28" t="s">
        <v>146</v>
      </c>
      <c r="G1583" s="27" t="s">
        <v>3537</v>
      </c>
      <c r="H1583" s="27" t="s">
        <v>57</v>
      </c>
      <c r="I1583" s="27" t="s">
        <v>38</v>
      </c>
      <c r="J1583" s="28" t="s">
        <v>636</v>
      </c>
      <c r="K1583" s="27" t="s">
        <v>37</v>
      </c>
      <c r="L1583" s="27"/>
    </row>
    <row r="1584" customFormat="false" ht="15" hidden="false" customHeight="false" outlineLevel="0" collapsed="false">
      <c r="A1584" s="26" t="s">
        <v>5933</v>
      </c>
      <c r="B1584" s="27" t="s">
        <v>5934</v>
      </c>
      <c r="C1584" s="27" t="s">
        <v>144</v>
      </c>
      <c r="D1584" s="26" t="s">
        <v>5935</v>
      </c>
      <c r="E1584" s="27" t="s">
        <v>5936</v>
      </c>
      <c r="F1584" s="28" t="s">
        <v>146</v>
      </c>
      <c r="G1584" s="27" t="s">
        <v>3537</v>
      </c>
      <c r="H1584" s="27" t="s">
        <v>57</v>
      </c>
      <c r="I1584" s="27" t="s">
        <v>38</v>
      </c>
      <c r="J1584" s="28" t="s">
        <v>636</v>
      </c>
      <c r="K1584" s="27" t="s">
        <v>37</v>
      </c>
      <c r="L1584" s="27"/>
    </row>
    <row r="1585" customFormat="false" ht="15" hidden="false" customHeight="false" outlineLevel="0" collapsed="false">
      <c r="A1585" s="26" t="s">
        <v>5937</v>
      </c>
      <c r="B1585" s="27" t="s">
        <v>5938</v>
      </c>
      <c r="C1585" s="27" t="s">
        <v>144</v>
      </c>
      <c r="D1585" s="26" t="s">
        <v>5939</v>
      </c>
      <c r="E1585" s="27" t="s">
        <v>5940</v>
      </c>
      <c r="F1585" s="28" t="s">
        <v>146</v>
      </c>
      <c r="G1585" s="27" t="s">
        <v>3537</v>
      </c>
      <c r="H1585" s="27" t="s">
        <v>57</v>
      </c>
      <c r="I1585" s="27" t="s">
        <v>38</v>
      </c>
      <c r="J1585" s="28" t="s">
        <v>636</v>
      </c>
      <c r="K1585" s="27" t="s">
        <v>37</v>
      </c>
      <c r="L1585" s="27"/>
    </row>
    <row r="1586" customFormat="false" ht="15" hidden="false" customHeight="false" outlineLevel="0" collapsed="false">
      <c r="A1586" s="26" t="s">
        <v>5941</v>
      </c>
      <c r="B1586" s="27" t="s">
        <v>5942</v>
      </c>
      <c r="C1586" s="27" t="s">
        <v>144</v>
      </c>
      <c r="D1586" s="26" t="s">
        <v>5943</v>
      </c>
      <c r="E1586" s="27" t="s">
        <v>5944</v>
      </c>
      <c r="F1586" s="28" t="s">
        <v>146</v>
      </c>
      <c r="G1586" s="27" t="s">
        <v>3537</v>
      </c>
      <c r="H1586" s="27" t="s">
        <v>57</v>
      </c>
      <c r="I1586" s="27" t="s">
        <v>38</v>
      </c>
      <c r="J1586" s="28" t="s">
        <v>636</v>
      </c>
      <c r="K1586" s="27" t="s">
        <v>37</v>
      </c>
      <c r="L1586" s="27"/>
    </row>
    <row r="1587" customFormat="false" ht="15" hidden="false" customHeight="false" outlineLevel="0" collapsed="false">
      <c r="A1587" s="26" t="s">
        <v>5945</v>
      </c>
      <c r="B1587" s="27" t="s">
        <v>5946</v>
      </c>
      <c r="C1587" s="27" t="s">
        <v>144</v>
      </c>
      <c r="D1587" s="26" t="s">
        <v>5947</v>
      </c>
      <c r="E1587" s="27" t="s">
        <v>5948</v>
      </c>
      <c r="F1587" s="28" t="s">
        <v>146</v>
      </c>
      <c r="G1587" s="27" t="s">
        <v>3537</v>
      </c>
      <c r="H1587" s="27" t="s">
        <v>57</v>
      </c>
      <c r="I1587" s="27" t="s">
        <v>38</v>
      </c>
      <c r="J1587" s="28" t="s">
        <v>636</v>
      </c>
      <c r="K1587" s="27" t="s">
        <v>37</v>
      </c>
      <c r="L1587" s="27"/>
    </row>
    <row r="1588" customFormat="false" ht="15" hidden="false" customHeight="false" outlineLevel="0" collapsed="false">
      <c r="A1588" s="26" t="s">
        <v>5949</v>
      </c>
      <c r="B1588" s="27" t="s">
        <v>5950</v>
      </c>
      <c r="C1588" s="27" t="s">
        <v>144</v>
      </c>
      <c r="D1588" s="26" t="s">
        <v>5935</v>
      </c>
      <c r="E1588" s="27" t="s">
        <v>5936</v>
      </c>
      <c r="F1588" s="28" t="s">
        <v>146</v>
      </c>
      <c r="G1588" s="27" t="s">
        <v>3537</v>
      </c>
      <c r="H1588" s="27" t="s">
        <v>57</v>
      </c>
      <c r="I1588" s="27" t="s">
        <v>38</v>
      </c>
      <c r="J1588" s="28" t="s">
        <v>636</v>
      </c>
      <c r="K1588" s="27" t="s">
        <v>37</v>
      </c>
      <c r="L1588" s="27"/>
    </row>
    <row r="1589" customFormat="false" ht="15" hidden="false" customHeight="false" outlineLevel="0" collapsed="false">
      <c r="A1589" s="26" t="s">
        <v>5951</v>
      </c>
      <c r="B1589" s="27" t="s">
        <v>5952</v>
      </c>
      <c r="C1589" s="27" t="s">
        <v>144</v>
      </c>
      <c r="D1589" s="26" t="s">
        <v>5947</v>
      </c>
      <c r="E1589" s="27" t="s">
        <v>5948</v>
      </c>
      <c r="F1589" s="28" t="s">
        <v>146</v>
      </c>
      <c r="G1589" s="27" t="s">
        <v>3537</v>
      </c>
      <c r="H1589" s="27" t="s">
        <v>57</v>
      </c>
      <c r="I1589" s="27" t="s">
        <v>38</v>
      </c>
      <c r="J1589" s="28" t="s">
        <v>636</v>
      </c>
      <c r="K1589" s="27" t="s">
        <v>37</v>
      </c>
      <c r="L1589" s="27"/>
    </row>
    <row r="1590" customFormat="false" ht="15" hidden="false" customHeight="false" outlineLevel="0" collapsed="false">
      <c r="A1590" s="26" t="s">
        <v>5953</v>
      </c>
      <c r="B1590" s="27" t="s">
        <v>5954</v>
      </c>
      <c r="C1590" s="27" t="s">
        <v>144</v>
      </c>
      <c r="D1590" s="26" t="s">
        <v>5955</v>
      </c>
      <c r="E1590" s="27" t="s">
        <v>5956</v>
      </c>
      <c r="F1590" s="28" t="s">
        <v>146</v>
      </c>
      <c r="G1590" s="27" t="s">
        <v>3537</v>
      </c>
      <c r="H1590" s="27" t="s">
        <v>57</v>
      </c>
      <c r="I1590" s="27" t="s">
        <v>38</v>
      </c>
      <c r="J1590" s="28" t="s">
        <v>636</v>
      </c>
      <c r="K1590" s="27" t="s">
        <v>37</v>
      </c>
      <c r="L1590" s="27"/>
    </row>
    <row r="1591" customFormat="false" ht="15" hidden="false" customHeight="false" outlineLevel="0" collapsed="false">
      <c r="A1591" s="26" t="s">
        <v>5957</v>
      </c>
      <c r="B1591" s="27" t="s">
        <v>5958</v>
      </c>
      <c r="C1591" s="27" t="s">
        <v>144</v>
      </c>
      <c r="D1591" s="26" t="s">
        <v>5959</v>
      </c>
      <c r="E1591" s="27" t="s">
        <v>5960</v>
      </c>
      <c r="F1591" s="28" t="s">
        <v>146</v>
      </c>
      <c r="G1591" s="27" t="s">
        <v>3537</v>
      </c>
      <c r="H1591" s="27" t="s">
        <v>57</v>
      </c>
      <c r="I1591" s="27" t="s">
        <v>38</v>
      </c>
      <c r="J1591" s="28" t="s">
        <v>636</v>
      </c>
      <c r="K1591" s="27" t="s">
        <v>37</v>
      </c>
      <c r="L1591" s="27"/>
    </row>
    <row r="1592" customFormat="false" ht="15" hidden="false" customHeight="false" outlineLevel="0" collapsed="false">
      <c r="A1592" s="26" t="s">
        <v>5961</v>
      </c>
      <c r="B1592" s="27" t="s">
        <v>5962</v>
      </c>
      <c r="C1592" s="27" t="s">
        <v>144</v>
      </c>
      <c r="D1592" s="26" t="s">
        <v>739</v>
      </c>
      <c r="E1592" s="27" t="s">
        <v>740</v>
      </c>
      <c r="F1592" s="28" t="s">
        <v>146</v>
      </c>
      <c r="G1592" s="27" t="s">
        <v>3537</v>
      </c>
      <c r="H1592" s="27" t="s">
        <v>57</v>
      </c>
      <c r="I1592" s="27" t="s">
        <v>38</v>
      </c>
      <c r="J1592" s="28" t="s">
        <v>636</v>
      </c>
      <c r="K1592" s="27" t="s">
        <v>37</v>
      </c>
      <c r="L1592" s="27"/>
    </row>
    <row r="1593" customFormat="false" ht="15" hidden="false" customHeight="false" outlineLevel="0" collapsed="false">
      <c r="A1593" s="26" t="s">
        <v>5963</v>
      </c>
      <c r="B1593" s="27" t="s">
        <v>5964</v>
      </c>
      <c r="C1593" s="27" t="s">
        <v>144</v>
      </c>
      <c r="D1593" s="26" t="s">
        <v>5965</v>
      </c>
      <c r="E1593" s="27" t="s">
        <v>5966</v>
      </c>
      <c r="F1593" s="28" t="s">
        <v>146</v>
      </c>
      <c r="G1593" s="27" t="s">
        <v>3537</v>
      </c>
      <c r="H1593" s="27" t="s">
        <v>57</v>
      </c>
      <c r="I1593" s="27" t="s">
        <v>38</v>
      </c>
      <c r="J1593" s="28" t="s">
        <v>636</v>
      </c>
      <c r="K1593" s="27" t="s">
        <v>37</v>
      </c>
      <c r="L1593" s="27"/>
    </row>
    <row r="1594" customFormat="false" ht="15" hidden="false" customHeight="false" outlineLevel="0" collapsed="false">
      <c r="A1594" s="26" t="s">
        <v>5967</v>
      </c>
      <c r="B1594" s="27" t="s">
        <v>5968</v>
      </c>
      <c r="C1594" s="27" t="s">
        <v>144</v>
      </c>
      <c r="D1594" s="26" t="s">
        <v>5969</v>
      </c>
      <c r="E1594" s="27" t="s">
        <v>5970</v>
      </c>
      <c r="F1594" s="28" t="s">
        <v>146</v>
      </c>
      <c r="G1594" s="27" t="s">
        <v>3537</v>
      </c>
      <c r="H1594" s="27" t="s">
        <v>57</v>
      </c>
      <c r="I1594" s="27" t="s">
        <v>38</v>
      </c>
      <c r="J1594" s="28" t="s">
        <v>636</v>
      </c>
      <c r="K1594" s="27" t="s">
        <v>37</v>
      </c>
      <c r="L1594" s="27"/>
    </row>
    <row r="1595" customFormat="false" ht="15" hidden="false" customHeight="false" outlineLevel="0" collapsed="false">
      <c r="A1595" s="26" t="s">
        <v>5971</v>
      </c>
      <c r="B1595" s="27" t="s">
        <v>5972</v>
      </c>
      <c r="C1595" s="27" t="s">
        <v>144</v>
      </c>
      <c r="D1595" s="26" t="s">
        <v>5973</v>
      </c>
      <c r="E1595" s="27" t="s">
        <v>5974</v>
      </c>
      <c r="F1595" s="28" t="s">
        <v>146</v>
      </c>
      <c r="G1595" s="27" t="s">
        <v>3537</v>
      </c>
      <c r="H1595" s="27" t="s">
        <v>57</v>
      </c>
      <c r="I1595" s="27" t="s">
        <v>38</v>
      </c>
      <c r="J1595" s="28" t="s">
        <v>636</v>
      </c>
      <c r="K1595" s="27" t="s">
        <v>37</v>
      </c>
      <c r="L1595" s="27"/>
    </row>
    <row r="1596" customFormat="false" ht="15" hidden="false" customHeight="false" outlineLevel="0" collapsed="false">
      <c r="A1596" s="26" t="s">
        <v>5975</v>
      </c>
      <c r="B1596" s="27" t="s">
        <v>5976</v>
      </c>
      <c r="C1596" s="27" t="s">
        <v>144</v>
      </c>
      <c r="D1596" s="26" t="s">
        <v>5977</v>
      </c>
      <c r="E1596" s="27" t="s">
        <v>5978</v>
      </c>
      <c r="F1596" s="28" t="s">
        <v>146</v>
      </c>
      <c r="G1596" s="27" t="s">
        <v>3537</v>
      </c>
      <c r="H1596" s="27" t="s">
        <v>57</v>
      </c>
      <c r="I1596" s="27" t="s">
        <v>38</v>
      </c>
      <c r="J1596" s="28" t="s">
        <v>636</v>
      </c>
      <c r="K1596" s="27" t="s">
        <v>37</v>
      </c>
      <c r="L1596" s="27"/>
    </row>
    <row r="1597" customFormat="false" ht="15" hidden="false" customHeight="false" outlineLevel="0" collapsed="false">
      <c r="A1597" s="26" t="s">
        <v>5979</v>
      </c>
      <c r="B1597" s="27" t="s">
        <v>5980</v>
      </c>
      <c r="C1597" s="27" t="s">
        <v>144</v>
      </c>
      <c r="D1597" s="26" t="s">
        <v>5981</v>
      </c>
      <c r="E1597" s="27" t="s">
        <v>5982</v>
      </c>
      <c r="F1597" s="28" t="s">
        <v>146</v>
      </c>
      <c r="G1597" s="27" t="s">
        <v>3537</v>
      </c>
      <c r="H1597" s="27" t="s">
        <v>57</v>
      </c>
      <c r="I1597" s="27" t="s">
        <v>38</v>
      </c>
      <c r="J1597" s="28" t="s">
        <v>636</v>
      </c>
      <c r="K1597" s="27" t="s">
        <v>37</v>
      </c>
      <c r="L1597" s="27"/>
    </row>
    <row r="1598" customFormat="false" ht="15" hidden="false" customHeight="false" outlineLevel="0" collapsed="false">
      <c r="A1598" s="26" t="s">
        <v>5983</v>
      </c>
      <c r="B1598" s="27" t="s">
        <v>5984</v>
      </c>
      <c r="C1598" s="27" t="s">
        <v>144</v>
      </c>
      <c r="D1598" s="26" t="s">
        <v>5985</v>
      </c>
      <c r="E1598" s="27" t="s">
        <v>5986</v>
      </c>
      <c r="F1598" s="28" t="s">
        <v>146</v>
      </c>
      <c r="G1598" s="27" t="s">
        <v>3537</v>
      </c>
      <c r="H1598" s="27" t="s">
        <v>57</v>
      </c>
      <c r="I1598" s="27" t="s">
        <v>41</v>
      </c>
      <c r="J1598" s="28" t="s">
        <v>636</v>
      </c>
      <c r="K1598" s="27" t="s">
        <v>37</v>
      </c>
      <c r="L1598" s="27"/>
    </row>
    <row r="1599" customFormat="false" ht="15" hidden="false" customHeight="false" outlineLevel="0" collapsed="false">
      <c r="A1599" s="26" t="s">
        <v>5987</v>
      </c>
      <c r="B1599" s="27" t="s">
        <v>5988</v>
      </c>
      <c r="C1599" s="27" t="s">
        <v>144</v>
      </c>
      <c r="D1599" s="26" t="s">
        <v>5985</v>
      </c>
      <c r="E1599" s="27" t="s">
        <v>5986</v>
      </c>
      <c r="F1599" s="28" t="s">
        <v>146</v>
      </c>
      <c r="G1599" s="27" t="s">
        <v>3537</v>
      </c>
      <c r="H1599" s="27" t="s">
        <v>57</v>
      </c>
      <c r="I1599" s="27" t="s">
        <v>41</v>
      </c>
      <c r="J1599" s="28" t="s">
        <v>636</v>
      </c>
      <c r="K1599" s="27" t="s">
        <v>37</v>
      </c>
      <c r="L1599" s="27"/>
    </row>
    <row r="1600" customFormat="false" ht="15" hidden="false" customHeight="false" outlineLevel="0" collapsed="false">
      <c r="A1600" s="26" t="s">
        <v>5989</v>
      </c>
      <c r="B1600" s="27" t="s">
        <v>5990</v>
      </c>
      <c r="C1600" s="27" t="s">
        <v>144</v>
      </c>
      <c r="D1600" s="26" t="s">
        <v>5991</v>
      </c>
      <c r="E1600" s="27" t="s">
        <v>5992</v>
      </c>
      <c r="F1600" s="28" t="s">
        <v>146</v>
      </c>
      <c r="G1600" s="27" t="s">
        <v>3537</v>
      </c>
      <c r="H1600" s="27" t="s">
        <v>56</v>
      </c>
      <c r="I1600" s="27" t="s">
        <v>37</v>
      </c>
      <c r="J1600" s="28" t="s">
        <v>636</v>
      </c>
      <c r="K1600" s="27" t="s">
        <v>37</v>
      </c>
      <c r="L1600" s="27"/>
    </row>
    <row r="1601" customFormat="false" ht="15" hidden="false" customHeight="false" outlineLevel="0" collapsed="false">
      <c r="A1601" s="26" t="s">
        <v>5993</v>
      </c>
      <c r="B1601" s="27" t="s">
        <v>5994</v>
      </c>
      <c r="C1601" s="27" t="s">
        <v>144</v>
      </c>
      <c r="D1601" s="26" t="s">
        <v>5995</v>
      </c>
      <c r="E1601" s="27" t="s">
        <v>5996</v>
      </c>
      <c r="F1601" s="28" t="s">
        <v>146</v>
      </c>
      <c r="G1601" s="27" t="s">
        <v>3537</v>
      </c>
      <c r="H1601" s="27" t="s">
        <v>56</v>
      </c>
      <c r="I1601" s="27" t="s">
        <v>37</v>
      </c>
      <c r="J1601" s="28" t="s">
        <v>636</v>
      </c>
      <c r="K1601" s="27" t="s">
        <v>37</v>
      </c>
      <c r="L1601" s="27"/>
    </row>
    <row r="1602" customFormat="false" ht="15" hidden="false" customHeight="false" outlineLevel="0" collapsed="false">
      <c r="A1602" s="26" t="s">
        <v>5997</v>
      </c>
      <c r="B1602" s="27" t="s">
        <v>5998</v>
      </c>
      <c r="C1602" s="27" t="s">
        <v>144</v>
      </c>
      <c r="D1602" s="26" t="s">
        <v>5999</v>
      </c>
      <c r="E1602" s="27" t="s">
        <v>6000</v>
      </c>
      <c r="F1602" s="28" t="s">
        <v>146</v>
      </c>
      <c r="G1602" s="27" t="s">
        <v>3537</v>
      </c>
      <c r="H1602" s="27" t="s">
        <v>56</v>
      </c>
      <c r="I1602" s="27" t="s">
        <v>37</v>
      </c>
      <c r="J1602" s="28" t="s">
        <v>636</v>
      </c>
      <c r="K1602" s="27" t="s">
        <v>37</v>
      </c>
      <c r="L1602" s="27"/>
    </row>
    <row r="1603" customFormat="false" ht="15" hidden="false" customHeight="false" outlineLevel="0" collapsed="false">
      <c r="A1603" s="26" t="s">
        <v>6001</v>
      </c>
      <c r="B1603" s="27" t="s">
        <v>6002</v>
      </c>
      <c r="C1603" s="27" t="s">
        <v>144</v>
      </c>
      <c r="D1603" s="26" t="s">
        <v>6003</v>
      </c>
      <c r="E1603" s="27" t="s">
        <v>6004</v>
      </c>
      <c r="F1603" s="28" t="s">
        <v>146</v>
      </c>
      <c r="G1603" s="27" t="s">
        <v>3537</v>
      </c>
      <c r="H1603" s="27" t="s">
        <v>56</v>
      </c>
      <c r="I1603" s="27" t="s">
        <v>37</v>
      </c>
      <c r="J1603" s="28" t="s">
        <v>636</v>
      </c>
      <c r="K1603" s="27" t="s">
        <v>37</v>
      </c>
      <c r="L1603" s="27"/>
    </row>
    <row r="1604" customFormat="false" ht="15" hidden="false" customHeight="false" outlineLevel="0" collapsed="false">
      <c r="A1604" s="26" t="s">
        <v>6005</v>
      </c>
      <c r="B1604" s="27" t="s">
        <v>6006</v>
      </c>
      <c r="C1604" s="27" t="s">
        <v>144</v>
      </c>
      <c r="D1604" s="26" t="s">
        <v>5991</v>
      </c>
      <c r="E1604" s="27" t="s">
        <v>5992</v>
      </c>
      <c r="F1604" s="28" t="s">
        <v>146</v>
      </c>
      <c r="G1604" s="27" t="s">
        <v>3537</v>
      </c>
      <c r="H1604" s="27" t="s">
        <v>56</v>
      </c>
      <c r="I1604" s="27" t="s">
        <v>37</v>
      </c>
      <c r="J1604" s="28" t="s">
        <v>636</v>
      </c>
      <c r="K1604" s="27" t="s">
        <v>37</v>
      </c>
      <c r="L1604" s="27"/>
    </row>
    <row r="1605" customFormat="false" ht="15" hidden="false" customHeight="false" outlineLevel="0" collapsed="false">
      <c r="A1605" s="26" t="s">
        <v>6007</v>
      </c>
      <c r="B1605" s="27" t="s">
        <v>6008</v>
      </c>
      <c r="C1605" s="27" t="s">
        <v>144</v>
      </c>
      <c r="D1605" s="26" t="s">
        <v>5995</v>
      </c>
      <c r="E1605" s="27" t="s">
        <v>5996</v>
      </c>
      <c r="F1605" s="28" t="s">
        <v>146</v>
      </c>
      <c r="G1605" s="27" t="s">
        <v>3537</v>
      </c>
      <c r="H1605" s="27" t="s">
        <v>56</v>
      </c>
      <c r="I1605" s="27" t="s">
        <v>37</v>
      </c>
      <c r="J1605" s="28" t="s">
        <v>636</v>
      </c>
      <c r="K1605" s="27" t="s">
        <v>37</v>
      </c>
      <c r="L1605" s="27"/>
    </row>
    <row r="1606" customFormat="false" ht="15" hidden="false" customHeight="false" outlineLevel="0" collapsed="false">
      <c r="A1606" s="26" t="s">
        <v>6009</v>
      </c>
      <c r="B1606" s="27" t="s">
        <v>6010</v>
      </c>
      <c r="C1606" s="27" t="s">
        <v>131</v>
      </c>
      <c r="D1606" s="26" t="s">
        <v>6011</v>
      </c>
      <c r="E1606" s="27" t="s">
        <v>6012</v>
      </c>
      <c r="F1606" s="28" t="s">
        <v>134</v>
      </c>
      <c r="G1606" s="27" t="s">
        <v>3537</v>
      </c>
      <c r="H1606" s="27" t="s">
        <v>57</v>
      </c>
      <c r="I1606" s="27" t="s">
        <v>49</v>
      </c>
      <c r="J1606" s="28" t="s">
        <v>636</v>
      </c>
      <c r="K1606" s="27" t="s">
        <v>37</v>
      </c>
      <c r="L1606" s="27"/>
    </row>
    <row r="1607" customFormat="false" ht="15" hidden="false" customHeight="false" outlineLevel="0" collapsed="false">
      <c r="A1607" s="26" t="s">
        <v>6013</v>
      </c>
      <c r="B1607" s="27" t="s">
        <v>6014</v>
      </c>
      <c r="C1607" s="27" t="s">
        <v>131</v>
      </c>
      <c r="D1607" s="26" t="s">
        <v>1831</v>
      </c>
      <c r="E1607" s="27" t="s">
        <v>1832</v>
      </c>
      <c r="F1607" s="28" t="s">
        <v>134</v>
      </c>
      <c r="G1607" s="27" t="s">
        <v>3537</v>
      </c>
      <c r="H1607" s="27" t="s">
        <v>57</v>
      </c>
      <c r="I1607" s="27" t="s">
        <v>49</v>
      </c>
      <c r="J1607" s="28" t="s">
        <v>636</v>
      </c>
      <c r="K1607" s="27" t="s">
        <v>37</v>
      </c>
      <c r="L1607" s="27"/>
    </row>
    <row r="1608" customFormat="false" ht="15" hidden="false" customHeight="false" outlineLevel="0" collapsed="false">
      <c r="A1608" s="26" t="s">
        <v>6015</v>
      </c>
      <c r="B1608" s="27" t="s">
        <v>6016</v>
      </c>
      <c r="C1608" s="27" t="s">
        <v>131</v>
      </c>
      <c r="D1608" s="26" t="s">
        <v>6017</v>
      </c>
      <c r="E1608" s="27" t="s">
        <v>6018</v>
      </c>
      <c r="F1608" s="28" t="s">
        <v>134</v>
      </c>
      <c r="G1608" s="27" t="s">
        <v>3537</v>
      </c>
      <c r="H1608" s="27" t="s">
        <v>57</v>
      </c>
      <c r="I1608" s="27" t="s">
        <v>49</v>
      </c>
      <c r="J1608" s="28" t="s">
        <v>636</v>
      </c>
      <c r="K1608" s="27" t="s">
        <v>37</v>
      </c>
      <c r="L1608" s="27"/>
    </row>
    <row r="1609" customFormat="false" ht="15" hidden="false" customHeight="false" outlineLevel="0" collapsed="false">
      <c r="A1609" s="26" t="s">
        <v>6019</v>
      </c>
      <c r="B1609" s="27" t="s">
        <v>6020</v>
      </c>
      <c r="C1609" s="27" t="s">
        <v>131</v>
      </c>
      <c r="D1609" s="26" t="s">
        <v>6021</v>
      </c>
      <c r="E1609" s="27" t="s">
        <v>6022</v>
      </c>
      <c r="F1609" s="28" t="s">
        <v>134</v>
      </c>
      <c r="G1609" s="27" t="s">
        <v>3537</v>
      </c>
      <c r="H1609" s="27" t="s">
        <v>57</v>
      </c>
      <c r="I1609" s="27" t="s">
        <v>49</v>
      </c>
      <c r="J1609" s="28" t="s">
        <v>636</v>
      </c>
      <c r="K1609" s="27" t="s">
        <v>37</v>
      </c>
      <c r="L1609" s="27"/>
    </row>
    <row r="1610" customFormat="false" ht="15" hidden="false" customHeight="false" outlineLevel="0" collapsed="false">
      <c r="A1610" s="26" t="s">
        <v>6023</v>
      </c>
      <c r="B1610" s="27" t="s">
        <v>6024</v>
      </c>
      <c r="C1610" s="27" t="s">
        <v>131</v>
      </c>
      <c r="D1610" s="26" t="s">
        <v>6025</v>
      </c>
      <c r="E1610" s="27" t="s">
        <v>6026</v>
      </c>
      <c r="F1610" s="28" t="s">
        <v>134</v>
      </c>
      <c r="G1610" s="27" t="s">
        <v>3537</v>
      </c>
      <c r="H1610" s="27" t="s">
        <v>57</v>
      </c>
      <c r="I1610" s="27" t="s">
        <v>49</v>
      </c>
      <c r="J1610" s="28" t="s">
        <v>636</v>
      </c>
      <c r="K1610" s="27" t="s">
        <v>37</v>
      </c>
      <c r="L1610" s="27"/>
    </row>
    <row r="1611" customFormat="false" ht="15" hidden="false" customHeight="false" outlineLevel="0" collapsed="false">
      <c r="A1611" s="26" t="s">
        <v>6027</v>
      </c>
      <c r="B1611" s="27" t="s">
        <v>6028</v>
      </c>
      <c r="C1611" s="27" t="s">
        <v>131</v>
      </c>
      <c r="D1611" s="26" t="s">
        <v>6029</v>
      </c>
      <c r="E1611" s="27" t="s">
        <v>6030</v>
      </c>
      <c r="F1611" s="28" t="s">
        <v>134</v>
      </c>
      <c r="G1611" s="27" t="s">
        <v>3537</v>
      </c>
      <c r="H1611" s="27" t="s">
        <v>57</v>
      </c>
      <c r="I1611" s="27" t="s">
        <v>39</v>
      </c>
      <c r="J1611" s="28" t="s">
        <v>636</v>
      </c>
      <c r="K1611" s="27" t="s">
        <v>37</v>
      </c>
      <c r="L1611" s="27"/>
    </row>
    <row r="1612" customFormat="false" ht="15" hidden="false" customHeight="false" outlineLevel="0" collapsed="false">
      <c r="A1612" s="26" t="s">
        <v>6031</v>
      </c>
      <c r="B1612" s="27" t="s">
        <v>6032</v>
      </c>
      <c r="C1612" s="27" t="s">
        <v>131</v>
      </c>
      <c r="D1612" s="26" t="s">
        <v>6033</v>
      </c>
      <c r="E1612" s="27" t="s">
        <v>6034</v>
      </c>
      <c r="F1612" s="28" t="s">
        <v>134</v>
      </c>
      <c r="G1612" s="27" t="s">
        <v>3537</v>
      </c>
      <c r="H1612" s="27" t="s">
        <v>57</v>
      </c>
      <c r="I1612" s="27" t="s">
        <v>49</v>
      </c>
      <c r="J1612" s="28" t="s">
        <v>636</v>
      </c>
      <c r="K1612" s="27" t="s">
        <v>37</v>
      </c>
      <c r="L1612" s="27"/>
    </row>
    <row r="1613" customFormat="false" ht="15" hidden="false" customHeight="false" outlineLevel="0" collapsed="false">
      <c r="A1613" s="26" t="s">
        <v>6035</v>
      </c>
      <c r="B1613" s="27" t="s">
        <v>6036</v>
      </c>
      <c r="C1613" s="27" t="s">
        <v>131</v>
      </c>
      <c r="D1613" s="26" t="s">
        <v>6037</v>
      </c>
      <c r="E1613" s="27" t="s">
        <v>6038</v>
      </c>
      <c r="F1613" s="28" t="s">
        <v>134</v>
      </c>
      <c r="G1613" s="27" t="s">
        <v>3537</v>
      </c>
      <c r="H1613" s="27" t="s">
        <v>57</v>
      </c>
      <c r="I1613" s="27" t="s">
        <v>49</v>
      </c>
      <c r="J1613" s="28" t="s">
        <v>636</v>
      </c>
      <c r="K1613" s="27" t="s">
        <v>37</v>
      </c>
      <c r="L1613" s="27"/>
    </row>
    <row r="1614" customFormat="false" ht="15" hidden="false" customHeight="false" outlineLevel="0" collapsed="false">
      <c r="A1614" s="26" t="s">
        <v>6039</v>
      </c>
      <c r="B1614" s="27" t="s">
        <v>6040</v>
      </c>
      <c r="C1614" s="27" t="s">
        <v>131</v>
      </c>
      <c r="D1614" s="26" t="s">
        <v>6041</v>
      </c>
      <c r="E1614" s="27" t="s">
        <v>6042</v>
      </c>
      <c r="F1614" s="28" t="s">
        <v>134</v>
      </c>
      <c r="G1614" s="27" t="s">
        <v>3537</v>
      </c>
      <c r="H1614" s="27" t="s">
        <v>57</v>
      </c>
      <c r="I1614" s="27" t="s">
        <v>49</v>
      </c>
      <c r="J1614" s="28" t="s">
        <v>636</v>
      </c>
      <c r="K1614" s="27" t="s">
        <v>37</v>
      </c>
      <c r="L1614" s="27"/>
    </row>
    <row r="1615" customFormat="false" ht="15" hidden="false" customHeight="false" outlineLevel="0" collapsed="false">
      <c r="A1615" s="26" t="s">
        <v>6043</v>
      </c>
      <c r="B1615" s="27" t="s">
        <v>6044</v>
      </c>
      <c r="C1615" s="27" t="s">
        <v>131</v>
      </c>
      <c r="D1615" s="26" t="s">
        <v>6033</v>
      </c>
      <c r="E1615" s="27" t="s">
        <v>6034</v>
      </c>
      <c r="F1615" s="28" t="s">
        <v>134</v>
      </c>
      <c r="G1615" s="27" t="s">
        <v>3537</v>
      </c>
      <c r="H1615" s="27" t="s">
        <v>57</v>
      </c>
      <c r="I1615" s="27" t="s">
        <v>49</v>
      </c>
      <c r="J1615" s="28" t="s">
        <v>636</v>
      </c>
      <c r="K1615" s="27" t="s">
        <v>37</v>
      </c>
      <c r="L1615" s="27"/>
    </row>
    <row r="1616" customFormat="false" ht="15" hidden="false" customHeight="false" outlineLevel="0" collapsed="false">
      <c r="A1616" s="26" t="s">
        <v>6045</v>
      </c>
      <c r="B1616" s="27" t="s">
        <v>6046</v>
      </c>
      <c r="C1616" s="27" t="s">
        <v>131</v>
      </c>
      <c r="D1616" s="26" t="s">
        <v>6037</v>
      </c>
      <c r="E1616" s="27" t="s">
        <v>6038</v>
      </c>
      <c r="F1616" s="28" t="s">
        <v>134</v>
      </c>
      <c r="G1616" s="27" t="s">
        <v>3537</v>
      </c>
      <c r="H1616" s="27" t="s">
        <v>57</v>
      </c>
      <c r="I1616" s="27" t="s">
        <v>49</v>
      </c>
      <c r="J1616" s="28" t="s">
        <v>636</v>
      </c>
      <c r="K1616" s="27" t="s">
        <v>37</v>
      </c>
      <c r="L1616" s="27"/>
    </row>
    <row r="1617" customFormat="false" ht="15" hidden="false" customHeight="false" outlineLevel="0" collapsed="false">
      <c r="A1617" s="26" t="s">
        <v>6047</v>
      </c>
      <c r="B1617" s="27" t="s">
        <v>6048</v>
      </c>
      <c r="C1617" s="27" t="s">
        <v>131</v>
      </c>
      <c r="D1617" s="26" t="s">
        <v>6049</v>
      </c>
      <c r="E1617" s="27" t="s">
        <v>6050</v>
      </c>
      <c r="F1617" s="28" t="s">
        <v>134</v>
      </c>
      <c r="G1617" s="27" t="s">
        <v>3537</v>
      </c>
      <c r="H1617" s="27" t="s">
        <v>56</v>
      </c>
      <c r="I1617" s="27" t="s">
        <v>37</v>
      </c>
      <c r="J1617" s="28" t="s">
        <v>636</v>
      </c>
      <c r="K1617" s="27" t="s">
        <v>37</v>
      </c>
      <c r="L1617" s="27"/>
    </row>
    <row r="1618" customFormat="false" ht="15" hidden="false" customHeight="false" outlineLevel="0" collapsed="false">
      <c r="A1618" s="26" t="s">
        <v>6051</v>
      </c>
      <c r="B1618" s="27" t="s">
        <v>6052</v>
      </c>
      <c r="C1618" s="27" t="s">
        <v>131</v>
      </c>
      <c r="D1618" s="26" t="s">
        <v>6053</v>
      </c>
      <c r="E1618" s="27" t="s">
        <v>6054</v>
      </c>
      <c r="F1618" s="28" t="s">
        <v>134</v>
      </c>
      <c r="G1618" s="27" t="s">
        <v>3537</v>
      </c>
      <c r="H1618" s="27" t="s">
        <v>57</v>
      </c>
      <c r="I1618" s="27" t="s">
        <v>49</v>
      </c>
      <c r="J1618" s="28" t="s">
        <v>636</v>
      </c>
      <c r="K1618" s="27" t="s">
        <v>37</v>
      </c>
      <c r="L1618" s="27"/>
    </row>
    <row r="1619" customFormat="false" ht="15" hidden="false" customHeight="false" outlineLevel="0" collapsed="false">
      <c r="A1619" s="26" t="s">
        <v>6055</v>
      </c>
      <c r="B1619" s="27" t="s">
        <v>6056</v>
      </c>
      <c r="C1619" s="27" t="s">
        <v>131</v>
      </c>
      <c r="D1619" s="26" t="s">
        <v>6025</v>
      </c>
      <c r="E1619" s="27" t="s">
        <v>6026</v>
      </c>
      <c r="F1619" s="28" t="s">
        <v>134</v>
      </c>
      <c r="G1619" s="27" t="s">
        <v>3537</v>
      </c>
      <c r="H1619" s="27" t="s">
        <v>57</v>
      </c>
      <c r="I1619" s="27" t="s">
        <v>49</v>
      </c>
      <c r="J1619" s="28" t="s">
        <v>636</v>
      </c>
      <c r="K1619" s="27" t="s">
        <v>37</v>
      </c>
      <c r="L1619" s="27"/>
    </row>
    <row r="1620" customFormat="false" ht="15" hidden="false" customHeight="false" outlineLevel="0" collapsed="false">
      <c r="A1620" s="26" t="s">
        <v>6057</v>
      </c>
      <c r="B1620" s="27" t="s">
        <v>6058</v>
      </c>
      <c r="C1620" s="27" t="s">
        <v>131</v>
      </c>
      <c r="D1620" s="26" t="s">
        <v>6059</v>
      </c>
      <c r="E1620" s="27" t="s">
        <v>6060</v>
      </c>
      <c r="F1620" s="28" t="s">
        <v>134</v>
      </c>
      <c r="G1620" s="27" t="s">
        <v>3537</v>
      </c>
      <c r="H1620" s="27" t="s">
        <v>57</v>
      </c>
      <c r="I1620" s="27" t="s">
        <v>49</v>
      </c>
      <c r="J1620" s="28" t="s">
        <v>636</v>
      </c>
      <c r="K1620" s="27" t="s">
        <v>37</v>
      </c>
      <c r="L1620" s="27"/>
    </row>
    <row r="1621" customFormat="false" ht="15" hidden="false" customHeight="false" outlineLevel="0" collapsed="false">
      <c r="A1621" s="26" t="s">
        <v>6061</v>
      </c>
      <c r="B1621" s="27" t="s">
        <v>6062</v>
      </c>
      <c r="C1621" s="27" t="s">
        <v>131</v>
      </c>
      <c r="D1621" s="26" t="s">
        <v>6063</v>
      </c>
      <c r="E1621" s="27" t="s">
        <v>6064</v>
      </c>
      <c r="F1621" s="28" t="s">
        <v>134</v>
      </c>
      <c r="G1621" s="27" t="s">
        <v>3537</v>
      </c>
      <c r="H1621" s="27" t="s">
        <v>57</v>
      </c>
      <c r="I1621" s="27" t="s">
        <v>49</v>
      </c>
      <c r="J1621" s="28" t="s">
        <v>636</v>
      </c>
      <c r="K1621" s="27" t="s">
        <v>37</v>
      </c>
      <c r="L1621" s="27"/>
    </row>
    <row r="1622" customFormat="false" ht="15" hidden="false" customHeight="false" outlineLevel="0" collapsed="false">
      <c r="A1622" s="26" t="s">
        <v>6065</v>
      </c>
      <c r="B1622" s="27" t="s">
        <v>6066</v>
      </c>
      <c r="C1622" s="27" t="s">
        <v>131</v>
      </c>
      <c r="D1622" s="26" t="s">
        <v>6067</v>
      </c>
      <c r="E1622" s="27" t="s">
        <v>6068</v>
      </c>
      <c r="F1622" s="28" t="s">
        <v>134</v>
      </c>
      <c r="G1622" s="27" t="s">
        <v>3537</v>
      </c>
      <c r="H1622" s="27" t="s">
        <v>57</v>
      </c>
      <c r="I1622" s="27" t="s">
        <v>49</v>
      </c>
      <c r="J1622" s="28" t="s">
        <v>636</v>
      </c>
      <c r="K1622" s="27" t="s">
        <v>37</v>
      </c>
      <c r="L1622" s="27"/>
    </row>
    <row r="1623" customFormat="false" ht="15" hidden="false" customHeight="false" outlineLevel="0" collapsed="false">
      <c r="A1623" s="26" t="s">
        <v>6069</v>
      </c>
      <c r="B1623" s="27" t="s">
        <v>6070</v>
      </c>
      <c r="C1623" s="27" t="s">
        <v>131</v>
      </c>
      <c r="D1623" s="26" t="s">
        <v>6071</v>
      </c>
      <c r="E1623" s="27" t="s">
        <v>6072</v>
      </c>
      <c r="F1623" s="28" t="s">
        <v>134</v>
      </c>
      <c r="G1623" s="27" t="s">
        <v>3537</v>
      </c>
      <c r="H1623" s="27" t="s">
        <v>57</v>
      </c>
      <c r="I1623" s="27" t="s">
        <v>49</v>
      </c>
      <c r="J1623" s="28" t="s">
        <v>636</v>
      </c>
      <c r="K1623" s="27" t="s">
        <v>37</v>
      </c>
      <c r="L1623" s="27"/>
    </row>
    <row r="1624" customFormat="false" ht="15" hidden="false" customHeight="false" outlineLevel="0" collapsed="false">
      <c r="A1624" s="26" t="s">
        <v>6073</v>
      </c>
      <c r="B1624" s="27" t="s">
        <v>6074</v>
      </c>
      <c r="C1624" s="27" t="s">
        <v>144</v>
      </c>
      <c r="D1624" s="26" t="s">
        <v>6075</v>
      </c>
      <c r="E1624" s="27" t="s">
        <v>6076</v>
      </c>
      <c r="F1624" s="28" t="s">
        <v>146</v>
      </c>
      <c r="G1624" s="27" t="s">
        <v>3537</v>
      </c>
      <c r="H1624" s="27" t="s">
        <v>57</v>
      </c>
      <c r="I1624" s="27" t="s">
        <v>39</v>
      </c>
      <c r="J1624" s="28" t="s">
        <v>636</v>
      </c>
      <c r="K1624" s="27" t="s">
        <v>37</v>
      </c>
      <c r="L1624" s="27"/>
    </row>
    <row r="1625" customFormat="false" ht="15" hidden="false" customHeight="false" outlineLevel="0" collapsed="false">
      <c r="A1625" s="26" t="s">
        <v>6077</v>
      </c>
      <c r="B1625" s="27" t="s">
        <v>6078</v>
      </c>
      <c r="C1625" s="27" t="s">
        <v>131</v>
      </c>
      <c r="D1625" s="26" t="s">
        <v>3067</v>
      </c>
      <c r="E1625" s="27" t="s">
        <v>3068</v>
      </c>
      <c r="F1625" s="28" t="s">
        <v>134</v>
      </c>
      <c r="G1625" s="27" t="s">
        <v>3537</v>
      </c>
      <c r="H1625" s="27" t="s">
        <v>57</v>
      </c>
      <c r="I1625" s="27" t="s">
        <v>49</v>
      </c>
      <c r="J1625" s="28" t="s">
        <v>636</v>
      </c>
      <c r="K1625" s="27" t="s">
        <v>37</v>
      </c>
      <c r="L1625" s="27"/>
    </row>
    <row r="1626" customFormat="false" ht="15" hidden="false" customHeight="false" outlineLevel="0" collapsed="false">
      <c r="A1626" s="26" t="s">
        <v>6079</v>
      </c>
      <c r="B1626" s="27" t="s">
        <v>6080</v>
      </c>
      <c r="C1626" s="27" t="s">
        <v>100</v>
      </c>
      <c r="D1626" s="26" t="s">
        <v>6081</v>
      </c>
      <c r="E1626" s="27" t="s">
        <v>6082</v>
      </c>
      <c r="F1626" s="28" t="s">
        <v>102</v>
      </c>
      <c r="G1626" s="27" t="s">
        <v>3537</v>
      </c>
      <c r="H1626" s="27" t="s">
        <v>57</v>
      </c>
      <c r="I1626" s="27" t="s">
        <v>49</v>
      </c>
      <c r="J1626" s="28" t="s">
        <v>636</v>
      </c>
      <c r="K1626" s="27" t="s">
        <v>37</v>
      </c>
      <c r="L1626" s="27"/>
    </row>
    <row r="1627" customFormat="false" ht="15" hidden="false" customHeight="false" outlineLevel="0" collapsed="false">
      <c r="A1627" s="26" t="s">
        <v>6083</v>
      </c>
      <c r="B1627" s="27" t="s">
        <v>6084</v>
      </c>
      <c r="C1627" s="27" t="s">
        <v>144</v>
      </c>
      <c r="D1627" s="26" t="s">
        <v>6085</v>
      </c>
      <c r="E1627" s="27" t="s">
        <v>6086</v>
      </c>
      <c r="F1627" s="28" t="s">
        <v>146</v>
      </c>
      <c r="G1627" s="27" t="s">
        <v>3537</v>
      </c>
      <c r="H1627" s="27" t="s">
        <v>56</v>
      </c>
      <c r="I1627" s="27" t="s">
        <v>37</v>
      </c>
      <c r="J1627" s="28" t="s">
        <v>636</v>
      </c>
      <c r="K1627" s="27" t="s">
        <v>37</v>
      </c>
      <c r="L1627" s="27"/>
    </row>
    <row r="1628" customFormat="false" ht="15" hidden="false" customHeight="false" outlineLevel="0" collapsed="false">
      <c r="A1628" s="26" t="s">
        <v>6087</v>
      </c>
      <c r="B1628" s="27" t="s">
        <v>6088</v>
      </c>
      <c r="C1628" s="27" t="s">
        <v>144</v>
      </c>
      <c r="D1628" s="26" t="s">
        <v>6089</v>
      </c>
      <c r="E1628" s="27" t="s">
        <v>6090</v>
      </c>
      <c r="F1628" s="28" t="s">
        <v>146</v>
      </c>
      <c r="G1628" s="27" t="s">
        <v>3537</v>
      </c>
      <c r="H1628" s="27" t="s">
        <v>56</v>
      </c>
      <c r="I1628" s="27" t="s">
        <v>37</v>
      </c>
      <c r="J1628" s="28" t="s">
        <v>636</v>
      </c>
      <c r="K1628" s="27" t="s">
        <v>37</v>
      </c>
      <c r="L1628" s="27"/>
    </row>
    <row r="1629" customFormat="false" ht="15" hidden="false" customHeight="false" outlineLevel="0" collapsed="false">
      <c r="A1629" s="26" t="s">
        <v>6091</v>
      </c>
      <c r="B1629" s="27" t="s">
        <v>6092</v>
      </c>
      <c r="C1629" s="27" t="s">
        <v>144</v>
      </c>
      <c r="D1629" s="26" t="s">
        <v>6093</v>
      </c>
      <c r="E1629" s="27" t="s">
        <v>6094</v>
      </c>
      <c r="F1629" s="28" t="s">
        <v>146</v>
      </c>
      <c r="G1629" s="27" t="s">
        <v>3537</v>
      </c>
      <c r="H1629" s="27" t="s">
        <v>56</v>
      </c>
      <c r="I1629" s="27" t="s">
        <v>37</v>
      </c>
      <c r="J1629" s="28" t="s">
        <v>636</v>
      </c>
      <c r="K1629" s="27" t="s">
        <v>37</v>
      </c>
      <c r="L1629" s="27"/>
    </row>
    <row r="1630" customFormat="false" ht="15" hidden="false" customHeight="false" outlineLevel="0" collapsed="false">
      <c r="A1630" s="26" t="s">
        <v>6095</v>
      </c>
      <c r="B1630" s="27" t="s">
        <v>6096</v>
      </c>
      <c r="C1630" s="27" t="s">
        <v>144</v>
      </c>
      <c r="D1630" s="26" t="s">
        <v>6097</v>
      </c>
      <c r="E1630" s="27" t="s">
        <v>6098</v>
      </c>
      <c r="F1630" s="28" t="s">
        <v>146</v>
      </c>
      <c r="G1630" s="27" t="s">
        <v>3537</v>
      </c>
      <c r="H1630" s="27" t="s">
        <v>56</v>
      </c>
      <c r="I1630" s="27" t="s">
        <v>37</v>
      </c>
      <c r="J1630" s="28" t="s">
        <v>636</v>
      </c>
      <c r="K1630" s="27" t="s">
        <v>37</v>
      </c>
      <c r="L1630" s="27"/>
    </row>
    <row r="1631" customFormat="false" ht="15" hidden="false" customHeight="false" outlineLevel="0" collapsed="false">
      <c r="A1631" s="26" t="s">
        <v>6099</v>
      </c>
      <c r="B1631" s="27" t="s">
        <v>6100</v>
      </c>
      <c r="C1631" s="27" t="s">
        <v>144</v>
      </c>
      <c r="D1631" s="26" t="s">
        <v>6101</v>
      </c>
      <c r="E1631" s="27" t="s">
        <v>6102</v>
      </c>
      <c r="F1631" s="28" t="s">
        <v>146</v>
      </c>
      <c r="G1631" s="27" t="s">
        <v>3537</v>
      </c>
      <c r="H1631" s="27" t="s">
        <v>56</v>
      </c>
      <c r="I1631" s="27" t="s">
        <v>37</v>
      </c>
      <c r="J1631" s="28" t="s">
        <v>636</v>
      </c>
      <c r="K1631" s="27" t="s">
        <v>37</v>
      </c>
      <c r="L1631" s="27"/>
    </row>
    <row r="1632" customFormat="false" ht="15" hidden="false" customHeight="false" outlineLevel="0" collapsed="false">
      <c r="A1632" s="26" t="s">
        <v>6103</v>
      </c>
      <c r="B1632" s="27" t="s">
        <v>6104</v>
      </c>
      <c r="C1632" s="27" t="s">
        <v>144</v>
      </c>
      <c r="D1632" s="26" t="s">
        <v>6105</v>
      </c>
      <c r="E1632" s="27" t="s">
        <v>6106</v>
      </c>
      <c r="F1632" s="28" t="s">
        <v>146</v>
      </c>
      <c r="G1632" s="27" t="s">
        <v>3537</v>
      </c>
      <c r="H1632" s="27" t="s">
        <v>56</v>
      </c>
      <c r="I1632" s="27" t="s">
        <v>37</v>
      </c>
      <c r="J1632" s="28" t="s">
        <v>636</v>
      </c>
      <c r="K1632" s="27" t="s">
        <v>37</v>
      </c>
      <c r="L1632" s="27"/>
    </row>
    <row r="1633" customFormat="false" ht="15" hidden="false" customHeight="false" outlineLevel="0" collapsed="false">
      <c r="A1633" s="26" t="s">
        <v>6107</v>
      </c>
      <c r="B1633" s="27" t="s">
        <v>6108</v>
      </c>
      <c r="C1633" s="27" t="s">
        <v>144</v>
      </c>
      <c r="D1633" s="26" t="s">
        <v>6093</v>
      </c>
      <c r="E1633" s="27" t="s">
        <v>6094</v>
      </c>
      <c r="F1633" s="28" t="s">
        <v>146</v>
      </c>
      <c r="G1633" s="27" t="s">
        <v>3537</v>
      </c>
      <c r="H1633" s="27" t="s">
        <v>56</v>
      </c>
      <c r="I1633" s="27" t="s">
        <v>37</v>
      </c>
      <c r="J1633" s="28" t="s">
        <v>636</v>
      </c>
      <c r="K1633" s="27" t="s">
        <v>37</v>
      </c>
      <c r="L1633" s="27"/>
    </row>
    <row r="1634" customFormat="false" ht="15" hidden="false" customHeight="false" outlineLevel="0" collapsed="false">
      <c r="A1634" s="26" t="s">
        <v>6109</v>
      </c>
      <c r="B1634" s="27" t="s">
        <v>6110</v>
      </c>
      <c r="C1634" s="27" t="s">
        <v>144</v>
      </c>
      <c r="D1634" s="26" t="s">
        <v>6105</v>
      </c>
      <c r="E1634" s="27" t="s">
        <v>6106</v>
      </c>
      <c r="F1634" s="28" t="s">
        <v>146</v>
      </c>
      <c r="G1634" s="27" t="s">
        <v>3537</v>
      </c>
      <c r="H1634" s="27" t="s">
        <v>56</v>
      </c>
      <c r="I1634" s="27" t="s">
        <v>37</v>
      </c>
      <c r="J1634" s="28" t="s">
        <v>636</v>
      </c>
      <c r="K1634" s="27" t="s">
        <v>37</v>
      </c>
      <c r="L1634" s="27"/>
    </row>
    <row r="1635" customFormat="false" ht="15" hidden="false" customHeight="false" outlineLevel="0" collapsed="false">
      <c r="A1635" s="26" t="s">
        <v>6111</v>
      </c>
      <c r="B1635" s="27" t="s">
        <v>6112</v>
      </c>
      <c r="C1635" s="27" t="s">
        <v>144</v>
      </c>
      <c r="D1635" s="26" t="s">
        <v>6097</v>
      </c>
      <c r="E1635" s="27" t="s">
        <v>6098</v>
      </c>
      <c r="F1635" s="28" t="s">
        <v>146</v>
      </c>
      <c r="G1635" s="27" t="s">
        <v>3537</v>
      </c>
      <c r="H1635" s="27" t="s">
        <v>56</v>
      </c>
      <c r="I1635" s="27" t="s">
        <v>37</v>
      </c>
      <c r="J1635" s="28" t="s">
        <v>636</v>
      </c>
      <c r="K1635" s="27" t="s">
        <v>37</v>
      </c>
      <c r="L1635" s="27"/>
    </row>
    <row r="1636" customFormat="false" ht="15" hidden="false" customHeight="false" outlineLevel="0" collapsed="false">
      <c r="A1636" s="26" t="s">
        <v>6113</v>
      </c>
      <c r="B1636" s="27" t="s">
        <v>6114</v>
      </c>
      <c r="C1636" s="27" t="s">
        <v>144</v>
      </c>
      <c r="D1636" s="26" t="s">
        <v>6115</v>
      </c>
      <c r="E1636" s="27" t="s">
        <v>6116</v>
      </c>
      <c r="F1636" s="28" t="s">
        <v>146</v>
      </c>
      <c r="G1636" s="27" t="s">
        <v>3537</v>
      </c>
      <c r="H1636" s="27" t="s">
        <v>56</v>
      </c>
      <c r="I1636" s="27" t="s">
        <v>37</v>
      </c>
      <c r="J1636" s="28" t="s">
        <v>772</v>
      </c>
      <c r="K1636" s="27" t="s">
        <v>37</v>
      </c>
      <c r="L1636" s="27"/>
    </row>
    <row r="1637" customFormat="false" ht="15" hidden="false" customHeight="false" outlineLevel="0" collapsed="false">
      <c r="A1637" s="26" t="s">
        <v>6117</v>
      </c>
      <c r="B1637" s="27" t="s">
        <v>6118</v>
      </c>
      <c r="C1637" s="27" t="s">
        <v>144</v>
      </c>
      <c r="D1637" s="26" t="s">
        <v>6119</v>
      </c>
      <c r="E1637" s="27" t="s">
        <v>6120</v>
      </c>
      <c r="F1637" s="28" t="s">
        <v>146</v>
      </c>
      <c r="G1637" s="27" t="s">
        <v>3537</v>
      </c>
      <c r="H1637" s="27" t="s">
        <v>56</v>
      </c>
      <c r="I1637" s="27" t="s">
        <v>37</v>
      </c>
      <c r="J1637" s="28" t="s">
        <v>772</v>
      </c>
      <c r="K1637" s="27" t="s">
        <v>37</v>
      </c>
      <c r="L1637" s="27"/>
    </row>
    <row r="1638" customFormat="false" ht="15" hidden="false" customHeight="false" outlineLevel="0" collapsed="false">
      <c r="A1638" s="26" t="s">
        <v>6121</v>
      </c>
      <c r="B1638" s="27" t="s">
        <v>6122</v>
      </c>
      <c r="C1638" s="27" t="s">
        <v>144</v>
      </c>
      <c r="D1638" s="26" t="s">
        <v>6123</v>
      </c>
      <c r="E1638" s="27" t="s">
        <v>6124</v>
      </c>
      <c r="F1638" s="28" t="s">
        <v>146</v>
      </c>
      <c r="G1638" s="27" t="s">
        <v>3537</v>
      </c>
      <c r="H1638" s="27" t="s">
        <v>56</v>
      </c>
      <c r="I1638" s="27" t="s">
        <v>37</v>
      </c>
      <c r="J1638" s="28" t="s">
        <v>772</v>
      </c>
      <c r="K1638" s="27" t="s">
        <v>37</v>
      </c>
      <c r="L1638" s="27"/>
    </row>
    <row r="1639" customFormat="false" ht="15" hidden="false" customHeight="false" outlineLevel="0" collapsed="false">
      <c r="A1639" s="26" t="s">
        <v>6125</v>
      </c>
      <c r="B1639" s="27" t="s">
        <v>6126</v>
      </c>
      <c r="C1639" s="27" t="s">
        <v>144</v>
      </c>
      <c r="D1639" s="26" t="s">
        <v>6127</v>
      </c>
      <c r="E1639" s="27" t="s">
        <v>6128</v>
      </c>
      <c r="F1639" s="28" t="s">
        <v>146</v>
      </c>
      <c r="G1639" s="27" t="s">
        <v>3537</v>
      </c>
      <c r="H1639" s="27" t="s">
        <v>56</v>
      </c>
      <c r="I1639" s="27" t="s">
        <v>37</v>
      </c>
      <c r="J1639" s="28" t="s">
        <v>772</v>
      </c>
      <c r="K1639" s="27" t="s">
        <v>37</v>
      </c>
      <c r="L1639" s="27"/>
    </row>
    <row r="1640" customFormat="false" ht="15" hidden="false" customHeight="false" outlineLevel="0" collapsed="false">
      <c r="A1640" s="26" t="s">
        <v>6129</v>
      </c>
      <c r="B1640" s="27" t="s">
        <v>6130</v>
      </c>
      <c r="C1640" s="27" t="s">
        <v>144</v>
      </c>
      <c r="D1640" s="26" t="s">
        <v>770</v>
      </c>
      <c r="E1640" s="27" t="s">
        <v>771</v>
      </c>
      <c r="F1640" s="28" t="s">
        <v>146</v>
      </c>
      <c r="G1640" s="27" t="s">
        <v>3537</v>
      </c>
      <c r="H1640" s="27" t="s">
        <v>57</v>
      </c>
      <c r="I1640" s="27" t="s">
        <v>39</v>
      </c>
      <c r="J1640" s="28" t="s">
        <v>772</v>
      </c>
      <c r="K1640" s="27" t="s">
        <v>37</v>
      </c>
      <c r="L1640" s="27"/>
    </row>
    <row r="1641" customFormat="false" ht="15" hidden="false" customHeight="false" outlineLevel="0" collapsed="false">
      <c r="A1641" s="26" t="s">
        <v>6131</v>
      </c>
      <c r="B1641" s="27" t="s">
        <v>6132</v>
      </c>
      <c r="C1641" s="27" t="s">
        <v>144</v>
      </c>
      <c r="D1641" s="26" t="s">
        <v>6133</v>
      </c>
      <c r="E1641" s="27" t="s">
        <v>6134</v>
      </c>
      <c r="F1641" s="28" t="s">
        <v>146</v>
      </c>
      <c r="G1641" s="27" t="s">
        <v>3537</v>
      </c>
      <c r="H1641" s="27" t="s">
        <v>56</v>
      </c>
      <c r="I1641" s="27" t="s">
        <v>37</v>
      </c>
      <c r="J1641" s="28" t="s">
        <v>772</v>
      </c>
      <c r="K1641" s="27" t="s">
        <v>37</v>
      </c>
      <c r="L1641" s="27"/>
    </row>
    <row r="1642" customFormat="false" ht="15" hidden="false" customHeight="false" outlineLevel="0" collapsed="false">
      <c r="A1642" s="26" t="s">
        <v>6135</v>
      </c>
      <c r="B1642" s="27" t="s">
        <v>6136</v>
      </c>
      <c r="C1642" s="27" t="s">
        <v>144</v>
      </c>
      <c r="D1642" s="26" t="s">
        <v>6137</v>
      </c>
      <c r="E1642" s="27" t="s">
        <v>6138</v>
      </c>
      <c r="F1642" s="28" t="s">
        <v>146</v>
      </c>
      <c r="G1642" s="27" t="s">
        <v>3537</v>
      </c>
      <c r="H1642" s="27" t="s">
        <v>56</v>
      </c>
      <c r="I1642" s="27" t="s">
        <v>37</v>
      </c>
      <c r="J1642" s="28" t="s">
        <v>772</v>
      </c>
      <c r="K1642" s="27" t="s">
        <v>37</v>
      </c>
      <c r="L1642" s="27"/>
    </row>
    <row r="1643" customFormat="false" ht="15" hidden="false" customHeight="false" outlineLevel="0" collapsed="false">
      <c r="A1643" s="26" t="s">
        <v>6139</v>
      </c>
      <c r="B1643" s="27" t="s">
        <v>6140</v>
      </c>
      <c r="C1643" s="27" t="s">
        <v>144</v>
      </c>
      <c r="D1643" s="26" t="s">
        <v>6141</v>
      </c>
      <c r="E1643" s="27" t="s">
        <v>6142</v>
      </c>
      <c r="F1643" s="28" t="s">
        <v>146</v>
      </c>
      <c r="G1643" s="27" t="s">
        <v>3537</v>
      </c>
      <c r="H1643" s="27" t="s">
        <v>56</v>
      </c>
      <c r="I1643" s="27" t="s">
        <v>37</v>
      </c>
      <c r="J1643" s="28" t="s">
        <v>772</v>
      </c>
      <c r="K1643" s="27" t="s">
        <v>37</v>
      </c>
      <c r="L1643" s="27"/>
    </row>
    <row r="1644" customFormat="false" ht="15" hidden="false" customHeight="false" outlineLevel="0" collapsed="false">
      <c r="A1644" s="26" t="s">
        <v>6143</v>
      </c>
      <c r="B1644" s="27" t="s">
        <v>6144</v>
      </c>
      <c r="C1644" s="27" t="s">
        <v>144</v>
      </c>
      <c r="D1644" s="26" t="s">
        <v>6145</v>
      </c>
      <c r="E1644" s="27" t="s">
        <v>6146</v>
      </c>
      <c r="F1644" s="28" t="s">
        <v>146</v>
      </c>
      <c r="G1644" s="27" t="s">
        <v>3537</v>
      </c>
      <c r="H1644" s="27" t="s">
        <v>56</v>
      </c>
      <c r="I1644" s="27" t="s">
        <v>37</v>
      </c>
      <c r="J1644" s="28" t="s">
        <v>772</v>
      </c>
      <c r="K1644" s="27" t="s">
        <v>37</v>
      </c>
      <c r="L1644" s="27"/>
    </row>
    <row r="1645" customFormat="false" ht="15" hidden="false" customHeight="false" outlineLevel="0" collapsed="false">
      <c r="A1645" s="26" t="s">
        <v>6147</v>
      </c>
      <c r="B1645" s="27" t="s">
        <v>6148</v>
      </c>
      <c r="C1645" s="27" t="s">
        <v>144</v>
      </c>
      <c r="D1645" s="26" t="s">
        <v>6149</v>
      </c>
      <c r="E1645" s="27" t="s">
        <v>6150</v>
      </c>
      <c r="F1645" s="28" t="s">
        <v>146</v>
      </c>
      <c r="G1645" s="27" t="s">
        <v>3537</v>
      </c>
      <c r="H1645" s="27" t="s">
        <v>56</v>
      </c>
      <c r="I1645" s="27" t="s">
        <v>37</v>
      </c>
      <c r="J1645" s="28" t="s">
        <v>772</v>
      </c>
      <c r="K1645" s="27" t="s">
        <v>37</v>
      </c>
      <c r="L1645" s="27"/>
    </row>
    <row r="1646" customFormat="false" ht="15" hidden="false" customHeight="false" outlineLevel="0" collapsed="false">
      <c r="A1646" s="26" t="s">
        <v>6151</v>
      </c>
      <c r="B1646" s="27" t="s">
        <v>6152</v>
      </c>
      <c r="C1646" s="27" t="s">
        <v>144</v>
      </c>
      <c r="D1646" s="26" t="s">
        <v>6153</v>
      </c>
      <c r="E1646" s="27" t="s">
        <v>6154</v>
      </c>
      <c r="F1646" s="28" t="s">
        <v>146</v>
      </c>
      <c r="G1646" s="27" t="s">
        <v>3537</v>
      </c>
      <c r="H1646" s="27" t="s">
        <v>57</v>
      </c>
      <c r="I1646" s="27" t="s">
        <v>39</v>
      </c>
      <c r="J1646" s="28" t="s">
        <v>772</v>
      </c>
      <c r="K1646" s="27" t="s">
        <v>37</v>
      </c>
      <c r="L1646" s="27"/>
    </row>
    <row r="1647" customFormat="false" ht="15" hidden="false" customHeight="false" outlineLevel="0" collapsed="false">
      <c r="A1647" s="26" t="s">
        <v>6155</v>
      </c>
      <c r="B1647" s="27" t="s">
        <v>6156</v>
      </c>
      <c r="C1647" s="27" t="s">
        <v>144</v>
      </c>
      <c r="D1647" s="26" t="s">
        <v>6157</v>
      </c>
      <c r="E1647" s="27" t="s">
        <v>6158</v>
      </c>
      <c r="F1647" s="28" t="s">
        <v>146</v>
      </c>
      <c r="G1647" s="27" t="s">
        <v>3537</v>
      </c>
      <c r="H1647" s="27" t="s">
        <v>57</v>
      </c>
      <c r="I1647" s="27" t="s">
        <v>39</v>
      </c>
      <c r="J1647" s="28" t="s">
        <v>772</v>
      </c>
      <c r="K1647" s="27" t="s">
        <v>37</v>
      </c>
      <c r="L1647" s="27"/>
    </row>
    <row r="1648" customFormat="false" ht="15" hidden="false" customHeight="false" outlineLevel="0" collapsed="false">
      <c r="A1648" s="26" t="s">
        <v>6159</v>
      </c>
      <c r="B1648" s="27" t="s">
        <v>6160</v>
      </c>
      <c r="C1648" s="27" t="s">
        <v>144</v>
      </c>
      <c r="D1648" s="26" t="s">
        <v>6161</v>
      </c>
      <c r="E1648" s="27" t="s">
        <v>6162</v>
      </c>
      <c r="F1648" s="28" t="s">
        <v>146</v>
      </c>
      <c r="G1648" s="27" t="s">
        <v>3537</v>
      </c>
      <c r="H1648" s="27" t="s">
        <v>57</v>
      </c>
      <c r="I1648" s="27" t="s">
        <v>39</v>
      </c>
      <c r="J1648" s="28" t="s">
        <v>772</v>
      </c>
      <c r="K1648" s="27" t="s">
        <v>37</v>
      </c>
      <c r="L1648" s="27"/>
    </row>
    <row r="1649" customFormat="false" ht="15" hidden="false" customHeight="false" outlineLevel="0" collapsed="false">
      <c r="A1649" s="26" t="s">
        <v>6163</v>
      </c>
      <c r="B1649" s="27" t="s">
        <v>6164</v>
      </c>
      <c r="C1649" s="27" t="s">
        <v>144</v>
      </c>
      <c r="D1649" s="26" t="s">
        <v>6165</v>
      </c>
      <c r="E1649" s="27" t="s">
        <v>6166</v>
      </c>
      <c r="F1649" s="28" t="s">
        <v>146</v>
      </c>
      <c r="G1649" s="27" t="s">
        <v>3537</v>
      </c>
      <c r="H1649" s="27" t="s">
        <v>56</v>
      </c>
      <c r="I1649" s="27" t="s">
        <v>37</v>
      </c>
      <c r="J1649" s="28" t="s">
        <v>772</v>
      </c>
      <c r="K1649" s="27" t="s">
        <v>37</v>
      </c>
      <c r="L1649" s="27"/>
    </row>
    <row r="1650" customFormat="false" ht="15" hidden="false" customHeight="false" outlineLevel="0" collapsed="false">
      <c r="A1650" s="26" t="s">
        <v>6167</v>
      </c>
      <c r="B1650" s="27" t="s">
        <v>6168</v>
      </c>
      <c r="C1650" s="27" t="s">
        <v>144</v>
      </c>
      <c r="D1650" s="26" t="s">
        <v>6169</v>
      </c>
      <c r="E1650" s="27" t="s">
        <v>6170</v>
      </c>
      <c r="F1650" s="28" t="s">
        <v>146</v>
      </c>
      <c r="G1650" s="27" t="s">
        <v>3537</v>
      </c>
      <c r="H1650" s="27" t="s">
        <v>56</v>
      </c>
      <c r="I1650" s="27" t="s">
        <v>37</v>
      </c>
      <c r="J1650" s="28" t="s">
        <v>772</v>
      </c>
      <c r="K1650" s="27" t="s">
        <v>37</v>
      </c>
      <c r="L1650" s="27"/>
    </row>
    <row r="1651" customFormat="false" ht="15" hidden="false" customHeight="false" outlineLevel="0" collapsed="false">
      <c r="A1651" s="26" t="s">
        <v>6171</v>
      </c>
      <c r="B1651" s="27" t="s">
        <v>6172</v>
      </c>
      <c r="C1651" s="27" t="s">
        <v>144</v>
      </c>
      <c r="D1651" s="26" t="s">
        <v>6173</v>
      </c>
      <c r="E1651" s="27" t="s">
        <v>6174</v>
      </c>
      <c r="F1651" s="28" t="s">
        <v>146</v>
      </c>
      <c r="G1651" s="27" t="s">
        <v>3537</v>
      </c>
      <c r="H1651" s="27" t="s">
        <v>57</v>
      </c>
      <c r="I1651" s="28" t="s">
        <v>46</v>
      </c>
      <c r="J1651" s="28" t="s">
        <v>772</v>
      </c>
      <c r="K1651" s="27" t="s">
        <v>37</v>
      </c>
      <c r="L1651" s="27"/>
    </row>
    <row r="1652" customFormat="false" ht="15" hidden="false" customHeight="false" outlineLevel="0" collapsed="false">
      <c r="A1652" s="26" t="s">
        <v>6175</v>
      </c>
      <c r="B1652" s="27" t="s">
        <v>6172</v>
      </c>
      <c r="C1652" s="27" t="s">
        <v>144</v>
      </c>
      <c r="D1652" s="26" t="s">
        <v>6173</v>
      </c>
      <c r="E1652" s="27" t="s">
        <v>6174</v>
      </c>
      <c r="F1652" s="28" t="s">
        <v>146</v>
      </c>
      <c r="G1652" s="27" t="s">
        <v>3537</v>
      </c>
      <c r="H1652" s="27" t="s">
        <v>57</v>
      </c>
      <c r="I1652" s="28" t="s">
        <v>46</v>
      </c>
      <c r="J1652" s="28" t="s">
        <v>772</v>
      </c>
      <c r="K1652" s="27" t="s">
        <v>37</v>
      </c>
      <c r="L1652" s="27"/>
    </row>
    <row r="1653" customFormat="false" ht="15" hidden="false" customHeight="false" outlineLevel="0" collapsed="false">
      <c r="A1653" s="26" t="s">
        <v>6176</v>
      </c>
      <c r="B1653" s="27" t="s">
        <v>6172</v>
      </c>
      <c r="C1653" s="27" t="s">
        <v>144</v>
      </c>
      <c r="D1653" s="26" t="s">
        <v>6173</v>
      </c>
      <c r="E1653" s="27" t="s">
        <v>6174</v>
      </c>
      <c r="F1653" s="28" t="s">
        <v>146</v>
      </c>
      <c r="G1653" s="27" t="s">
        <v>3537</v>
      </c>
      <c r="H1653" s="27" t="s">
        <v>57</v>
      </c>
      <c r="I1653" s="28" t="s">
        <v>46</v>
      </c>
      <c r="J1653" s="28" t="s">
        <v>772</v>
      </c>
      <c r="K1653" s="27" t="s">
        <v>37</v>
      </c>
      <c r="L1653" s="27"/>
    </row>
    <row r="1654" customFormat="false" ht="15" hidden="false" customHeight="false" outlineLevel="0" collapsed="false">
      <c r="A1654" s="26" t="s">
        <v>6177</v>
      </c>
      <c r="B1654" s="27" t="s">
        <v>6178</v>
      </c>
      <c r="C1654" s="27" t="s">
        <v>144</v>
      </c>
      <c r="D1654" s="26" t="s">
        <v>6179</v>
      </c>
      <c r="E1654" s="27" t="s">
        <v>6180</v>
      </c>
      <c r="F1654" s="28" t="s">
        <v>146</v>
      </c>
      <c r="G1654" s="27" t="s">
        <v>3537</v>
      </c>
      <c r="H1654" s="27" t="s">
        <v>57</v>
      </c>
      <c r="I1654" s="27" t="s">
        <v>39</v>
      </c>
      <c r="J1654" s="28" t="s">
        <v>772</v>
      </c>
      <c r="K1654" s="27" t="s">
        <v>37</v>
      </c>
      <c r="L1654" s="27"/>
    </row>
    <row r="1655" customFormat="false" ht="15" hidden="false" customHeight="false" outlineLevel="0" collapsed="false">
      <c r="A1655" s="26" t="s">
        <v>6181</v>
      </c>
      <c r="B1655" s="27" t="s">
        <v>6182</v>
      </c>
      <c r="C1655" s="27" t="s">
        <v>144</v>
      </c>
      <c r="D1655" s="26" t="s">
        <v>6183</v>
      </c>
      <c r="E1655" s="27" t="s">
        <v>6184</v>
      </c>
      <c r="F1655" s="28" t="s">
        <v>146</v>
      </c>
      <c r="G1655" s="27" t="s">
        <v>3537</v>
      </c>
      <c r="H1655" s="27" t="s">
        <v>57</v>
      </c>
      <c r="I1655" s="27" t="s">
        <v>40</v>
      </c>
      <c r="J1655" s="28" t="s">
        <v>772</v>
      </c>
      <c r="K1655" s="27" t="s">
        <v>37</v>
      </c>
      <c r="L1655" s="27"/>
    </row>
    <row r="1656" customFormat="false" ht="15" hidden="false" customHeight="false" outlineLevel="0" collapsed="false">
      <c r="A1656" s="26" t="s">
        <v>6185</v>
      </c>
      <c r="B1656" s="27" t="s">
        <v>6186</v>
      </c>
      <c r="C1656" s="27" t="s">
        <v>144</v>
      </c>
      <c r="D1656" s="26" t="s">
        <v>6183</v>
      </c>
      <c r="E1656" s="27" t="s">
        <v>6184</v>
      </c>
      <c r="F1656" s="28" t="s">
        <v>146</v>
      </c>
      <c r="G1656" s="27" t="s">
        <v>3537</v>
      </c>
      <c r="H1656" s="27" t="s">
        <v>57</v>
      </c>
      <c r="I1656" s="27" t="s">
        <v>40</v>
      </c>
      <c r="J1656" s="28" t="s">
        <v>772</v>
      </c>
      <c r="K1656" s="27" t="s">
        <v>37</v>
      </c>
      <c r="L1656" s="27"/>
    </row>
    <row r="1657" customFormat="false" ht="15" hidden="false" customHeight="false" outlineLevel="0" collapsed="false">
      <c r="A1657" s="26" t="s">
        <v>6187</v>
      </c>
      <c r="B1657" s="27" t="s">
        <v>6188</v>
      </c>
      <c r="C1657" s="27" t="s">
        <v>144</v>
      </c>
      <c r="D1657" s="26" t="s">
        <v>6189</v>
      </c>
      <c r="E1657" s="27" t="s">
        <v>6190</v>
      </c>
      <c r="F1657" s="28" t="s">
        <v>146</v>
      </c>
      <c r="G1657" s="27" t="s">
        <v>3537</v>
      </c>
      <c r="H1657" s="27" t="s">
        <v>56</v>
      </c>
      <c r="I1657" s="27" t="s">
        <v>37</v>
      </c>
      <c r="J1657" s="28" t="s">
        <v>772</v>
      </c>
      <c r="K1657" s="27" t="s">
        <v>37</v>
      </c>
      <c r="L1657" s="27"/>
    </row>
    <row r="1658" customFormat="false" ht="15" hidden="false" customHeight="false" outlineLevel="0" collapsed="false">
      <c r="A1658" s="26" t="s">
        <v>6191</v>
      </c>
      <c r="B1658" s="27" t="s">
        <v>6192</v>
      </c>
      <c r="C1658" s="27" t="s">
        <v>144</v>
      </c>
      <c r="D1658" s="26" t="s">
        <v>6193</v>
      </c>
      <c r="E1658" s="27" t="s">
        <v>6194</v>
      </c>
      <c r="F1658" s="28" t="s">
        <v>146</v>
      </c>
      <c r="G1658" s="27" t="s">
        <v>3537</v>
      </c>
      <c r="H1658" s="27" t="s">
        <v>57</v>
      </c>
      <c r="I1658" s="27" t="s">
        <v>39</v>
      </c>
      <c r="J1658" s="28" t="s">
        <v>772</v>
      </c>
      <c r="K1658" s="27" t="s">
        <v>37</v>
      </c>
      <c r="L1658" s="27"/>
    </row>
    <row r="1659" customFormat="false" ht="15" hidden="false" customHeight="false" outlineLevel="0" collapsed="false">
      <c r="A1659" s="26" t="s">
        <v>6195</v>
      </c>
      <c r="B1659" s="27" t="s">
        <v>6196</v>
      </c>
      <c r="C1659" s="27" t="s">
        <v>144</v>
      </c>
      <c r="D1659" s="26" t="s">
        <v>6169</v>
      </c>
      <c r="E1659" s="27" t="s">
        <v>6170</v>
      </c>
      <c r="F1659" s="28" t="s">
        <v>146</v>
      </c>
      <c r="G1659" s="27" t="s">
        <v>3537</v>
      </c>
      <c r="H1659" s="27" t="s">
        <v>56</v>
      </c>
      <c r="I1659" s="27" t="s">
        <v>37</v>
      </c>
      <c r="J1659" s="28" t="s">
        <v>772</v>
      </c>
      <c r="K1659" s="27" t="s">
        <v>37</v>
      </c>
      <c r="L1659" s="27"/>
    </row>
    <row r="1660" customFormat="false" ht="15" hidden="false" customHeight="false" outlineLevel="0" collapsed="false">
      <c r="A1660" s="26" t="s">
        <v>6197</v>
      </c>
      <c r="B1660" s="27" t="s">
        <v>6198</v>
      </c>
      <c r="C1660" s="27" t="s">
        <v>144</v>
      </c>
      <c r="D1660" s="26" t="s">
        <v>6169</v>
      </c>
      <c r="E1660" s="27" t="s">
        <v>6170</v>
      </c>
      <c r="F1660" s="28" t="s">
        <v>146</v>
      </c>
      <c r="G1660" s="27" t="s">
        <v>3537</v>
      </c>
      <c r="H1660" s="27" t="s">
        <v>56</v>
      </c>
      <c r="I1660" s="27" t="s">
        <v>37</v>
      </c>
      <c r="J1660" s="28" t="s">
        <v>772</v>
      </c>
      <c r="K1660" s="27" t="s">
        <v>37</v>
      </c>
      <c r="L1660" s="27"/>
    </row>
    <row r="1661" customFormat="false" ht="15" hidden="false" customHeight="false" outlineLevel="0" collapsed="false">
      <c r="A1661" s="26" t="s">
        <v>6199</v>
      </c>
      <c r="B1661" s="27" t="s">
        <v>6200</v>
      </c>
      <c r="C1661" s="27" t="s">
        <v>144</v>
      </c>
      <c r="D1661" s="26" t="s">
        <v>6169</v>
      </c>
      <c r="E1661" s="27" t="s">
        <v>6170</v>
      </c>
      <c r="F1661" s="28" t="s">
        <v>146</v>
      </c>
      <c r="G1661" s="27" t="s">
        <v>3537</v>
      </c>
      <c r="H1661" s="27" t="s">
        <v>56</v>
      </c>
      <c r="I1661" s="27" t="s">
        <v>37</v>
      </c>
      <c r="J1661" s="28" t="s">
        <v>772</v>
      </c>
      <c r="K1661" s="27" t="s">
        <v>37</v>
      </c>
      <c r="L1661" s="27"/>
    </row>
    <row r="1662" customFormat="false" ht="15" hidden="false" customHeight="false" outlineLevel="0" collapsed="false">
      <c r="A1662" s="26" t="s">
        <v>6201</v>
      </c>
      <c r="B1662" s="27" t="s">
        <v>6202</v>
      </c>
      <c r="C1662" s="27" t="s">
        <v>144</v>
      </c>
      <c r="D1662" s="26" t="s">
        <v>6203</v>
      </c>
      <c r="E1662" s="27" t="s">
        <v>6204</v>
      </c>
      <c r="F1662" s="28" t="s">
        <v>146</v>
      </c>
      <c r="G1662" s="27" t="s">
        <v>3537</v>
      </c>
      <c r="H1662" s="27" t="s">
        <v>56</v>
      </c>
      <c r="I1662" s="27" t="s">
        <v>37</v>
      </c>
      <c r="J1662" s="28" t="s">
        <v>772</v>
      </c>
      <c r="K1662" s="27" t="s">
        <v>37</v>
      </c>
      <c r="L1662" s="27"/>
    </row>
    <row r="1663" customFormat="false" ht="15" hidden="false" customHeight="false" outlineLevel="0" collapsed="false">
      <c r="A1663" s="26" t="s">
        <v>6205</v>
      </c>
      <c r="B1663" s="27" t="s">
        <v>6206</v>
      </c>
      <c r="C1663" s="27" t="s">
        <v>144</v>
      </c>
      <c r="D1663" s="26" t="s">
        <v>6207</v>
      </c>
      <c r="E1663" s="27" t="s">
        <v>6208</v>
      </c>
      <c r="F1663" s="28" t="s">
        <v>146</v>
      </c>
      <c r="G1663" s="27" t="s">
        <v>3537</v>
      </c>
      <c r="H1663" s="27" t="s">
        <v>56</v>
      </c>
      <c r="I1663" s="27" t="s">
        <v>37</v>
      </c>
      <c r="J1663" s="28" t="s">
        <v>772</v>
      </c>
      <c r="K1663" s="27" t="s">
        <v>37</v>
      </c>
      <c r="L1663" s="27"/>
    </row>
    <row r="1664" customFormat="false" ht="15" hidden="false" customHeight="false" outlineLevel="0" collapsed="false">
      <c r="A1664" s="26" t="s">
        <v>6209</v>
      </c>
      <c r="B1664" s="27" t="s">
        <v>6210</v>
      </c>
      <c r="C1664" s="27" t="s">
        <v>144</v>
      </c>
      <c r="D1664" s="26" t="s">
        <v>6211</v>
      </c>
      <c r="E1664" s="27" t="s">
        <v>6212</v>
      </c>
      <c r="F1664" s="28" t="s">
        <v>146</v>
      </c>
      <c r="G1664" s="27" t="s">
        <v>3537</v>
      </c>
      <c r="H1664" s="27" t="s">
        <v>56</v>
      </c>
      <c r="I1664" s="27" t="s">
        <v>37</v>
      </c>
      <c r="J1664" s="28" t="s">
        <v>772</v>
      </c>
      <c r="K1664" s="27" t="s">
        <v>37</v>
      </c>
      <c r="L1664" s="27"/>
    </row>
    <row r="1665" customFormat="false" ht="15" hidden="false" customHeight="false" outlineLevel="0" collapsed="false">
      <c r="A1665" s="26" t="s">
        <v>6213</v>
      </c>
      <c r="B1665" s="27" t="s">
        <v>6214</v>
      </c>
      <c r="C1665" s="27" t="s">
        <v>144</v>
      </c>
      <c r="D1665" s="26" t="s">
        <v>6215</v>
      </c>
      <c r="E1665" s="27" t="s">
        <v>6216</v>
      </c>
      <c r="F1665" s="28" t="s">
        <v>146</v>
      </c>
      <c r="G1665" s="27" t="s">
        <v>3537</v>
      </c>
      <c r="H1665" s="27" t="s">
        <v>56</v>
      </c>
      <c r="I1665" s="27" t="s">
        <v>37</v>
      </c>
      <c r="J1665" s="28" t="s">
        <v>772</v>
      </c>
      <c r="K1665" s="27" t="s">
        <v>37</v>
      </c>
      <c r="L1665" s="27"/>
    </row>
    <row r="1666" customFormat="false" ht="15" hidden="false" customHeight="false" outlineLevel="0" collapsed="false">
      <c r="A1666" s="26" t="s">
        <v>6217</v>
      </c>
      <c r="B1666" s="27" t="s">
        <v>6218</v>
      </c>
      <c r="C1666" s="27" t="s">
        <v>144</v>
      </c>
      <c r="D1666" s="26" t="s">
        <v>6203</v>
      </c>
      <c r="E1666" s="27" t="s">
        <v>6204</v>
      </c>
      <c r="F1666" s="28" t="s">
        <v>146</v>
      </c>
      <c r="G1666" s="27" t="s">
        <v>3537</v>
      </c>
      <c r="H1666" s="27" t="s">
        <v>56</v>
      </c>
      <c r="I1666" s="27" t="s">
        <v>37</v>
      </c>
      <c r="J1666" s="28" t="s">
        <v>772</v>
      </c>
      <c r="K1666" s="27" t="s">
        <v>37</v>
      </c>
      <c r="L1666" s="27"/>
    </row>
    <row r="1667" customFormat="false" ht="15" hidden="false" customHeight="false" outlineLevel="0" collapsed="false">
      <c r="A1667" s="26" t="s">
        <v>6219</v>
      </c>
      <c r="B1667" s="27" t="s">
        <v>6220</v>
      </c>
      <c r="C1667" s="27" t="s">
        <v>144</v>
      </c>
      <c r="D1667" s="26" t="s">
        <v>6207</v>
      </c>
      <c r="E1667" s="27" t="s">
        <v>6208</v>
      </c>
      <c r="F1667" s="28" t="s">
        <v>146</v>
      </c>
      <c r="G1667" s="27" t="s">
        <v>3537</v>
      </c>
      <c r="H1667" s="27" t="s">
        <v>56</v>
      </c>
      <c r="I1667" s="27" t="s">
        <v>37</v>
      </c>
      <c r="J1667" s="28" t="s">
        <v>772</v>
      </c>
      <c r="K1667" s="27" t="s">
        <v>37</v>
      </c>
      <c r="L1667" s="27"/>
    </row>
    <row r="1668" customFormat="false" ht="15" hidden="false" customHeight="false" outlineLevel="0" collapsed="false">
      <c r="A1668" s="26" t="s">
        <v>6221</v>
      </c>
      <c r="B1668" s="27" t="s">
        <v>6222</v>
      </c>
      <c r="C1668" s="27" t="s">
        <v>144</v>
      </c>
      <c r="D1668" s="26" t="s">
        <v>6223</v>
      </c>
      <c r="E1668" s="27" t="s">
        <v>6224</v>
      </c>
      <c r="F1668" s="28" t="s">
        <v>146</v>
      </c>
      <c r="G1668" s="27" t="s">
        <v>3537</v>
      </c>
      <c r="H1668" s="27" t="s">
        <v>56</v>
      </c>
      <c r="I1668" s="27" t="s">
        <v>37</v>
      </c>
      <c r="J1668" s="28" t="s">
        <v>772</v>
      </c>
      <c r="K1668" s="27" t="s">
        <v>37</v>
      </c>
      <c r="L1668" s="27"/>
    </row>
    <row r="1669" customFormat="false" ht="15" hidden="false" customHeight="false" outlineLevel="0" collapsed="false">
      <c r="A1669" s="26" t="s">
        <v>6225</v>
      </c>
      <c r="B1669" s="27" t="s">
        <v>6226</v>
      </c>
      <c r="C1669" s="27" t="s">
        <v>144</v>
      </c>
      <c r="D1669" s="26" t="s">
        <v>6211</v>
      </c>
      <c r="E1669" s="27" t="s">
        <v>6212</v>
      </c>
      <c r="F1669" s="28" t="s">
        <v>146</v>
      </c>
      <c r="G1669" s="27" t="s">
        <v>3537</v>
      </c>
      <c r="H1669" s="27" t="s">
        <v>56</v>
      </c>
      <c r="I1669" s="27" t="s">
        <v>37</v>
      </c>
      <c r="J1669" s="28" t="s">
        <v>772</v>
      </c>
      <c r="K1669" s="27" t="s">
        <v>37</v>
      </c>
      <c r="L1669" s="27"/>
    </row>
    <row r="1670" customFormat="false" ht="15" hidden="false" customHeight="false" outlineLevel="0" collapsed="false">
      <c r="A1670" s="26" t="s">
        <v>6227</v>
      </c>
      <c r="B1670" s="27" t="s">
        <v>6228</v>
      </c>
      <c r="C1670" s="27" t="s">
        <v>144</v>
      </c>
      <c r="D1670" s="26" t="s">
        <v>6229</v>
      </c>
      <c r="E1670" s="27" t="s">
        <v>6230</v>
      </c>
      <c r="F1670" s="28" t="s">
        <v>146</v>
      </c>
      <c r="G1670" s="27" t="s">
        <v>3537</v>
      </c>
      <c r="H1670" s="27" t="s">
        <v>56</v>
      </c>
      <c r="I1670" s="27" t="s">
        <v>37</v>
      </c>
      <c r="J1670" s="28" t="s">
        <v>772</v>
      </c>
      <c r="K1670" s="27" t="s">
        <v>37</v>
      </c>
      <c r="L1670" s="27"/>
    </row>
    <row r="1671" customFormat="false" ht="15" hidden="false" customHeight="false" outlineLevel="0" collapsed="false">
      <c r="A1671" s="26" t="s">
        <v>6231</v>
      </c>
      <c r="B1671" s="27" t="s">
        <v>6232</v>
      </c>
      <c r="C1671" s="27" t="s">
        <v>144</v>
      </c>
      <c r="D1671" s="26" t="s">
        <v>6203</v>
      </c>
      <c r="E1671" s="27" t="s">
        <v>6204</v>
      </c>
      <c r="F1671" s="28" t="s">
        <v>146</v>
      </c>
      <c r="G1671" s="27" t="s">
        <v>3537</v>
      </c>
      <c r="H1671" s="27" t="s">
        <v>56</v>
      </c>
      <c r="I1671" s="27" t="s">
        <v>37</v>
      </c>
      <c r="J1671" s="28" t="s">
        <v>772</v>
      </c>
      <c r="K1671" s="27" t="s">
        <v>37</v>
      </c>
      <c r="L1671" s="27"/>
    </row>
    <row r="1672" customFormat="false" ht="15" hidden="false" customHeight="false" outlineLevel="0" collapsed="false">
      <c r="A1672" s="26" t="s">
        <v>6233</v>
      </c>
      <c r="B1672" s="27" t="s">
        <v>6234</v>
      </c>
      <c r="C1672" s="27" t="s">
        <v>144</v>
      </c>
      <c r="D1672" s="26" t="s">
        <v>6203</v>
      </c>
      <c r="E1672" s="27" t="s">
        <v>6204</v>
      </c>
      <c r="F1672" s="28" t="s">
        <v>146</v>
      </c>
      <c r="G1672" s="27" t="s">
        <v>3537</v>
      </c>
      <c r="H1672" s="27" t="s">
        <v>56</v>
      </c>
      <c r="I1672" s="27" t="s">
        <v>37</v>
      </c>
      <c r="J1672" s="28" t="s">
        <v>772</v>
      </c>
      <c r="K1672" s="27" t="s">
        <v>37</v>
      </c>
      <c r="L1672" s="27"/>
    </row>
    <row r="1673" customFormat="false" ht="15" hidden="false" customHeight="false" outlineLevel="0" collapsed="false">
      <c r="A1673" s="26" t="s">
        <v>6235</v>
      </c>
      <c r="B1673" s="27" t="s">
        <v>6236</v>
      </c>
      <c r="C1673" s="27" t="s">
        <v>144</v>
      </c>
      <c r="D1673" s="26" t="s">
        <v>6203</v>
      </c>
      <c r="E1673" s="27" t="s">
        <v>6204</v>
      </c>
      <c r="F1673" s="28" t="s">
        <v>146</v>
      </c>
      <c r="G1673" s="27" t="s">
        <v>3537</v>
      </c>
      <c r="H1673" s="27" t="s">
        <v>56</v>
      </c>
      <c r="I1673" s="27" t="s">
        <v>37</v>
      </c>
      <c r="J1673" s="28" t="s">
        <v>772</v>
      </c>
      <c r="K1673" s="27" t="s">
        <v>37</v>
      </c>
      <c r="L1673" s="27"/>
    </row>
    <row r="1674" customFormat="false" ht="15" hidden="false" customHeight="false" outlineLevel="0" collapsed="false">
      <c r="A1674" s="26" t="s">
        <v>6237</v>
      </c>
      <c r="B1674" s="27" t="s">
        <v>6238</v>
      </c>
      <c r="C1674" s="27" t="s">
        <v>144</v>
      </c>
      <c r="D1674" s="26" t="s">
        <v>6203</v>
      </c>
      <c r="E1674" s="27" t="s">
        <v>6204</v>
      </c>
      <c r="F1674" s="28" t="s">
        <v>146</v>
      </c>
      <c r="G1674" s="27" t="s">
        <v>3537</v>
      </c>
      <c r="H1674" s="27" t="s">
        <v>56</v>
      </c>
      <c r="I1674" s="27" t="s">
        <v>37</v>
      </c>
      <c r="J1674" s="28" t="s">
        <v>772</v>
      </c>
      <c r="K1674" s="27" t="s">
        <v>37</v>
      </c>
      <c r="L1674" s="27"/>
    </row>
    <row r="1675" customFormat="false" ht="15" hidden="false" customHeight="false" outlineLevel="0" collapsed="false">
      <c r="A1675" s="26" t="s">
        <v>6239</v>
      </c>
      <c r="B1675" s="27" t="s">
        <v>6240</v>
      </c>
      <c r="C1675" s="27" t="s">
        <v>144</v>
      </c>
      <c r="D1675" s="26" t="s">
        <v>6241</v>
      </c>
      <c r="E1675" s="27" t="s">
        <v>6242</v>
      </c>
      <c r="F1675" s="28" t="s">
        <v>146</v>
      </c>
      <c r="G1675" s="27" t="s">
        <v>3537</v>
      </c>
      <c r="H1675" s="27" t="s">
        <v>56</v>
      </c>
      <c r="I1675" s="27" t="s">
        <v>37</v>
      </c>
      <c r="J1675" s="28" t="s">
        <v>772</v>
      </c>
      <c r="K1675" s="27" t="s">
        <v>37</v>
      </c>
      <c r="L1675" s="27"/>
    </row>
    <row r="1676" customFormat="false" ht="15" hidden="false" customHeight="false" outlineLevel="0" collapsed="false">
      <c r="A1676" s="26" t="s">
        <v>6243</v>
      </c>
      <c r="B1676" s="27" t="s">
        <v>6244</v>
      </c>
      <c r="C1676" s="27" t="s">
        <v>144</v>
      </c>
      <c r="D1676" s="26" t="s">
        <v>6245</v>
      </c>
      <c r="E1676" s="27" t="s">
        <v>6246</v>
      </c>
      <c r="F1676" s="28" t="s">
        <v>146</v>
      </c>
      <c r="G1676" s="27" t="s">
        <v>3537</v>
      </c>
      <c r="H1676" s="27" t="s">
        <v>57</v>
      </c>
      <c r="I1676" s="27" t="s">
        <v>38</v>
      </c>
      <c r="J1676" s="28" t="s">
        <v>772</v>
      </c>
      <c r="K1676" s="27" t="s">
        <v>37</v>
      </c>
      <c r="L1676" s="27"/>
    </row>
    <row r="1677" customFormat="false" ht="15" hidden="false" customHeight="false" outlineLevel="0" collapsed="false">
      <c r="A1677" s="26" t="s">
        <v>6247</v>
      </c>
      <c r="B1677" s="27" t="s">
        <v>6248</v>
      </c>
      <c r="C1677" s="27" t="s">
        <v>144</v>
      </c>
      <c r="D1677" s="26" t="s">
        <v>6249</v>
      </c>
      <c r="E1677" s="27" t="s">
        <v>6250</v>
      </c>
      <c r="F1677" s="28" t="s">
        <v>146</v>
      </c>
      <c r="G1677" s="27" t="s">
        <v>3537</v>
      </c>
      <c r="H1677" s="27" t="s">
        <v>57</v>
      </c>
      <c r="I1677" s="27" t="s">
        <v>39</v>
      </c>
      <c r="J1677" s="28" t="s">
        <v>772</v>
      </c>
      <c r="K1677" s="27" t="s">
        <v>37</v>
      </c>
      <c r="L1677" s="27"/>
    </row>
    <row r="1678" customFormat="false" ht="15" hidden="false" customHeight="false" outlineLevel="0" collapsed="false">
      <c r="A1678" s="26" t="s">
        <v>6251</v>
      </c>
      <c r="B1678" s="27" t="s">
        <v>6252</v>
      </c>
      <c r="C1678" s="27" t="s">
        <v>137</v>
      </c>
      <c r="D1678" s="26" t="s">
        <v>6253</v>
      </c>
      <c r="E1678" s="27" t="s">
        <v>6254</v>
      </c>
      <c r="F1678" s="28" t="s">
        <v>140</v>
      </c>
      <c r="G1678" s="27" t="s">
        <v>3537</v>
      </c>
      <c r="H1678" s="27" t="s">
        <v>56</v>
      </c>
      <c r="I1678" s="27" t="s">
        <v>37</v>
      </c>
      <c r="J1678" s="28" t="s">
        <v>772</v>
      </c>
      <c r="K1678" s="27" t="s">
        <v>37</v>
      </c>
      <c r="L1678" s="27"/>
    </row>
    <row r="1679" customFormat="false" ht="15" hidden="false" customHeight="false" outlineLevel="0" collapsed="false">
      <c r="A1679" s="26" t="s">
        <v>6255</v>
      </c>
      <c r="B1679" s="27" t="s">
        <v>6256</v>
      </c>
      <c r="C1679" s="27" t="s">
        <v>137</v>
      </c>
      <c r="D1679" s="26" t="s">
        <v>6257</v>
      </c>
      <c r="E1679" s="27" t="s">
        <v>6258</v>
      </c>
      <c r="F1679" s="28" t="s">
        <v>140</v>
      </c>
      <c r="G1679" s="27" t="s">
        <v>3537</v>
      </c>
      <c r="H1679" s="27" t="s">
        <v>56</v>
      </c>
      <c r="I1679" s="27" t="s">
        <v>37</v>
      </c>
      <c r="J1679" s="28" t="s">
        <v>772</v>
      </c>
      <c r="K1679" s="27" t="s">
        <v>37</v>
      </c>
      <c r="L1679" s="27"/>
    </row>
    <row r="1680" customFormat="false" ht="15" hidden="false" customHeight="false" outlineLevel="0" collapsed="false">
      <c r="A1680" s="26" t="s">
        <v>6259</v>
      </c>
      <c r="B1680" s="27" t="s">
        <v>6260</v>
      </c>
      <c r="C1680" s="27" t="s">
        <v>137</v>
      </c>
      <c r="D1680" s="26" t="s">
        <v>6261</v>
      </c>
      <c r="E1680" s="27" t="s">
        <v>6262</v>
      </c>
      <c r="F1680" s="28" t="s">
        <v>140</v>
      </c>
      <c r="G1680" s="27" t="s">
        <v>3537</v>
      </c>
      <c r="H1680" s="27" t="s">
        <v>56</v>
      </c>
      <c r="I1680" s="27" t="s">
        <v>37</v>
      </c>
      <c r="J1680" s="28" t="s">
        <v>772</v>
      </c>
      <c r="K1680" s="27" t="s">
        <v>37</v>
      </c>
      <c r="L1680" s="27"/>
    </row>
    <row r="1681" customFormat="false" ht="15" hidden="false" customHeight="false" outlineLevel="0" collapsed="false">
      <c r="A1681" s="26" t="s">
        <v>6263</v>
      </c>
      <c r="B1681" s="27" t="s">
        <v>6264</v>
      </c>
      <c r="C1681" s="27" t="s">
        <v>144</v>
      </c>
      <c r="D1681" s="26" t="s">
        <v>6265</v>
      </c>
      <c r="E1681" s="27" t="s">
        <v>6266</v>
      </c>
      <c r="F1681" s="28" t="s">
        <v>146</v>
      </c>
      <c r="G1681" s="27" t="s">
        <v>3537</v>
      </c>
      <c r="H1681" s="27" t="s">
        <v>56</v>
      </c>
      <c r="I1681" s="27" t="s">
        <v>37</v>
      </c>
      <c r="J1681" s="28" t="s">
        <v>772</v>
      </c>
      <c r="K1681" s="27" t="s">
        <v>37</v>
      </c>
      <c r="L1681" s="27"/>
    </row>
    <row r="1682" customFormat="false" ht="15" hidden="false" customHeight="false" outlineLevel="0" collapsed="false">
      <c r="A1682" s="26" t="s">
        <v>6267</v>
      </c>
      <c r="B1682" s="27" t="s">
        <v>6268</v>
      </c>
      <c r="C1682" s="27" t="s">
        <v>137</v>
      </c>
      <c r="D1682" s="26" t="s">
        <v>6269</v>
      </c>
      <c r="E1682" s="27" t="s">
        <v>6270</v>
      </c>
      <c r="F1682" s="28" t="s">
        <v>140</v>
      </c>
      <c r="G1682" s="27" t="s">
        <v>3537</v>
      </c>
      <c r="H1682" s="27" t="s">
        <v>56</v>
      </c>
      <c r="I1682" s="27" t="s">
        <v>37</v>
      </c>
      <c r="J1682" s="28" t="s">
        <v>772</v>
      </c>
      <c r="K1682" s="27" t="s">
        <v>37</v>
      </c>
      <c r="L1682" s="27"/>
    </row>
    <row r="1683" customFormat="false" ht="15" hidden="false" customHeight="false" outlineLevel="0" collapsed="false">
      <c r="A1683" s="26" t="s">
        <v>6271</v>
      </c>
      <c r="B1683" s="27" t="s">
        <v>6272</v>
      </c>
      <c r="C1683" s="27" t="s">
        <v>137</v>
      </c>
      <c r="D1683" s="26" t="s">
        <v>6273</v>
      </c>
      <c r="E1683" s="27" t="s">
        <v>6274</v>
      </c>
      <c r="F1683" s="28" t="s">
        <v>140</v>
      </c>
      <c r="G1683" s="27" t="s">
        <v>3537</v>
      </c>
      <c r="H1683" s="27" t="s">
        <v>56</v>
      </c>
      <c r="I1683" s="27" t="s">
        <v>37</v>
      </c>
      <c r="J1683" s="28" t="s">
        <v>772</v>
      </c>
      <c r="K1683" s="27" t="s">
        <v>37</v>
      </c>
      <c r="L1683" s="27"/>
    </row>
    <row r="1684" customFormat="false" ht="15" hidden="false" customHeight="false" outlineLevel="0" collapsed="false">
      <c r="A1684" s="26" t="s">
        <v>6275</v>
      </c>
      <c r="B1684" s="27" t="s">
        <v>6276</v>
      </c>
      <c r="C1684" s="27" t="s">
        <v>137</v>
      </c>
      <c r="D1684" s="26" t="s">
        <v>6269</v>
      </c>
      <c r="E1684" s="27" t="s">
        <v>6270</v>
      </c>
      <c r="F1684" s="28" t="s">
        <v>140</v>
      </c>
      <c r="G1684" s="27" t="s">
        <v>3537</v>
      </c>
      <c r="H1684" s="27" t="s">
        <v>56</v>
      </c>
      <c r="I1684" s="27" t="s">
        <v>37</v>
      </c>
      <c r="J1684" s="28" t="s">
        <v>772</v>
      </c>
      <c r="K1684" s="27" t="s">
        <v>37</v>
      </c>
      <c r="L1684" s="27"/>
    </row>
    <row r="1685" customFormat="false" ht="15" hidden="false" customHeight="false" outlineLevel="0" collapsed="false">
      <c r="A1685" s="26" t="s">
        <v>6277</v>
      </c>
      <c r="B1685" s="27" t="s">
        <v>6278</v>
      </c>
      <c r="C1685" s="27" t="s">
        <v>137</v>
      </c>
      <c r="D1685" s="26" t="s">
        <v>6253</v>
      </c>
      <c r="E1685" s="27" t="s">
        <v>6254</v>
      </c>
      <c r="F1685" s="28" t="s">
        <v>140</v>
      </c>
      <c r="G1685" s="27" t="s">
        <v>3537</v>
      </c>
      <c r="H1685" s="27" t="s">
        <v>56</v>
      </c>
      <c r="I1685" s="27" t="s">
        <v>37</v>
      </c>
      <c r="J1685" s="28" t="s">
        <v>772</v>
      </c>
      <c r="K1685" s="27" t="s">
        <v>37</v>
      </c>
      <c r="L1685" s="27"/>
    </row>
    <row r="1686" customFormat="false" ht="15" hidden="false" customHeight="false" outlineLevel="0" collapsed="false">
      <c r="A1686" s="26" t="s">
        <v>6279</v>
      </c>
      <c r="B1686" s="27" t="s">
        <v>6280</v>
      </c>
      <c r="C1686" s="27" t="s">
        <v>144</v>
      </c>
      <c r="D1686" s="26" t="s">
        <v>6281</v>
      </c>
      <c r="E1686" s="27" t="s">
        <v>6282</v>
      </c>
      <c r="F1686" s="28" t="s">
        <v>146</v>
      </c>
      <c r="G1686" s="27" t="s">
        <v>3537</v>
      </c>
      <c r="H1686" s="27" t="s">
        <v>56</v>
      </c>
      <c r="I1686" s="27" t="s">
        <v>37</v>
      </c>
      <c r="J1686" s="28" t="s">
        <v>772</v>
      </c>
      <c r="K1686" s="27" t="s">
        <v>37</v>
      </c>
      <c r="L1686" s="27"/>
    </row>
    <row r="1687" customFormat="false" ht="15" hidden="false" customHeight="false" outlineLevel="0" collapsed="false">
      <c r="A1687" s="26" t="s">
        <v>6283</v>
      </c>
      <c r="B1687" s="27" t="s">
        <v>6284</v>
      </c>
      <c r="C1687" s="27" t="s">
        <v>144</v>
      </c>
      <c r="D1687" s="26" t="s">
        <v>6285</v>
      </c>
      <c r="E1687" s="27" t="s">
        <v>6286</v>
      </c>
      <c r="F1687" s="28" t="s">
        <v>146</v>
      </c>
      <c r="G1687" s="27" t="s">
        <v>3537</v>
      </c>
      <c r="H1687" s="27" t="s">
        <v>56</v>
      </c>
      <c r="I1687" s="27" t="s">
        <v>37</v>
      </c>
      <c r="J1687" s="28" t="s">
        <v>772</v>
      </c>
      <c r="K1687" s="27" t="s">
        <v>37</v>
      </c>
      <c r="L1687" s="27"/>
    </row>
    <row r="1688" customFormat="false" ht="15" hidden="false" customHeight="false" outlineLevel="0" collapsed="false">
      <c r="A1688" s="26" t="s">
        <v>6287</v>
      </c>
      <c r="B1688" s="27" t="s">
        <v>6288</v>
      </c>
      <c r="C1688" s="27" t="s">
        <v>144</v>
      </c>
      <c r="D1688" s="26" t="s">
        <v>6289</v>
      </c>
      <c r="E1688" s="27" t="s">
        <v>6290</v>
      </c>
      <c r="F1688" s="28" t="s">
        <v>146</v>
      </c>
      <c r="G1688" s="27" t="s">
        <v>3537</v>
      </c>
      <c r="H1688" s="27" t="s">
        <v>56</v>
      </c>
      <c r="I1688" s="27" t="s">
        <v>37</v>
      </c>
      <c r="J1688" s="28" t="s">
        <v>772</v>
      </c>
      <c r="K1688" s="27" t="s">
        <v>37</v>
      </c>
      <c r="L1688" s="27"/>
    </row>
    <row r="1689" customFormat="false" ht="15" hidden="false" customHeight="false" outlineLevel="0" collapsed="false">
      <c r="A1689" s="26" t="s">
        <v>6291</v>
      </c>
      <c r="B1689" s="27" t="s">
        <v>6292</v>
      </c>
      <c r="C1689" s="27" t="s">
        <v>144</v>
      </c>
      <c r="D1689" s="26" t="s">
        <v>6293</v>
      </c>
      <c r="E1689" s="27" t="s">
        <v>6294</v>
      </c>
      <c r="F1689" s="28" t="s">
        <v>146</v>
      </c>
      <c r="G1689" s="27" t="s">
        <v>3537</v>
      </c>
      <c r="H1689" s="27" t="s">
        <v>56</v>
      </c>
      <c r="I1689" s="27" t="s">
        <v>37</v>
      </c>
      <c r="J1689" s="28" t="s">
        <v>772</v>
      </c>
      <c r="K1689" s="27" t="s">
        <v>37</v>
      </c>
      <c r="L1689" s="27"/>
    </row>
    <row r="1690" customFormat="false" ht="15" hidden="false" customHeight="false" outlineLevel="0" collapsed="false">
      <c r="A1690" s="26" t="s">
        <v>6295</v>
      </c>
      <c r="B1690" s="27" t="s">
        <v>6296</v>
      </c>
      <c r="C1690" s="27" t="s">
        <v>144</v>
      </c>
      <c r="D1690" s="26" t="s">
        <v>6297</v>
      </c>
      <c r="E1690" s="27" t="s">
        <v>6298</v>
      </c>
      <c r="F1690" s="28" t="s">
        <v>146</v>
      </c>
      <c r="G1690" s="27" t="s">
        <v>3537</v>
      </c>
      <c r="H1690" s="27" t="s">
        <v>56</v>
      </c>
      <c r="I1690" s="27" t="s">
        <v>37</v>
      </c>
      <c r="J1690" s="28" t="s">
        <v>772</v>
      </c>
      <c r="K1690" s="27" t="s">
        <v>37</v>
      </c>
      <c r="L1690" s="27"/>
    </row>
    <row r="1691" customFormat="false" ht="15" hidden="false" customHeight="false" outlineLevel="0" collapsed="false">
      <c r="A1691" s="26" t="s">
        <v>6299</v>
      </c>
      <c r="B1691" s="27" t="s">
        <v>6300</v>
      </c>
      <c r="C1691" s="27" t="s">
        <v>144</v>
      </c>
      <c r="D1691" s="26" t="s">
        <v>6265</v>
      </c>
      <c r="E1691" s="27" t="s">
        <v>6266</v>
      </c>
      <c r="F1691" s="28" t="s">
        <v>146</v>
      </c>
      <c r="G1691" s="27" t="s">
        <v>3537</v>
      </c>
      <c r="H1691" s="27" t="s">
        <v>56</v>
      </c>
      <c r="I1691" s="27" t="s">
        <v>37</v>
      </c>
      <c r="J1691" s="28" t="s">
        <v>772</v>
      </c>
      <c r="K1691" s="27" t="s">
        <v>37</v>
      </c>
      <c r="L1691" s="27"/>
    </row>
    <row r="1692" customFormat="false" ht="15" hidden="false" customHeight="false" outlineLevel="0" collapsed="false">
      <c r="A1692" s="26" t="s">
        <v>6301</v>
      </c>
      <c r="B1692" s="27" t="s">
        <v>6302</v>
      </c>
      <c r="C1692" s="27" t="s">
        <v>144</v>
      </c>
      <c r="D1692" s="26" t="s">
        <v>6303</v>
      </c>
      <c r="E1692" s="27" t="s">
        <v>6304</v>
      </c>
      <c r="F1692" s="28" t="s">
        <v>146</v>
      </c>
      <c r="G1692" s="27" t="s">
        <v>3537</v>
      </c>
      <c r="H1692" s="27" t="s">
        <v>56</v>
      </c>
      <c r="I1692" s="27" t="s">
        <v>37</v>
      </c>
      <c r="J1692" s="28" t="s">
        <v>772</v>
      </c>
      <c r="K1692" s="27" t="s">
        <v>37</v>
      </c>
      <c r="L1692" s="27"/>
    </row>
    <row r="1693" customFormat="false" ht="15" hidden="false" customHeight="false" outlineLevel="0" collapsed="false">
      <c r="A1693" s="26" t="s">
        <v>6305</v>
      </c>
      <c r="B1693" s="27" t="s">
        <v>6306</v>
      </c>
      <c r="C1693" s="27" t="s">
        <v>144</v>
      </c>
      <c r="D1693" s="26" t="s">
        <v>6307</v>
      </c>
      <c r="E1693" s="27" t="s">
        <v>6308</v>
      </c>
      <c r="F1693" s="28" t="s">
        <v>146</v>
      </c>
      <c r="G1693" s="27" t="s">
        <v>3537</v>
      </c>
      <c r="H1693" s="27" t="s">
        <v>57</v>
      </c>
      <c r="I1693" s="27" t="s">
        <v>38</v>
      </c>
      <c r="J1693" s="28" t="s">
        <v>772</v>
      </c>
      <c r="K1693" s="27" t="s">
        <v>37</v>
      </c>
      <c r="L1693" s="27"/>
    </row>
    <row r="1694" customFormat="false" ht="15" hidden="false" customHeight="false" outlineLevel="0" collapsed="false">
      <c r="A1694" s="26" t="s">
        <v>6309</v>
      </c>
      <c r="B1694" s="27" t="s">
        <v>6310</v>
      </c>
      <c r="C1694" s="27" t="s">
        <v>144</v>
      </c>
      <c r="D1694" s="26" t="s">
        <v>6311</v>
      </c>
      <c r="E1694" s="27" t="s">
        <v>6312</v>
      </c>
      <c r="F1694" s="28" t="s">
        <v>146</v>
      </c>
      <c r="G1694" s="27" t="s">
        <v>3537</v>
      </c>
      <c r="H1694" s="27" t="s">
        <v>57</v>
      </c>
      <c r="I1694" s="27" t="s">
        <v>38</v>
      </c>
      <c r="J1694" s="28" t="s">
        <v>772</v>
      </c>
      <c r="K1694" s="27" t="s">
        <v>37</v>
      </c>
      <c r="L1694" s="27"/>
    </row>
    <row r="1695" customFormat="false" ht="15" hidden="false" customHeight="false" outlineLevel="0" collapsed="false">
      <c r="A1695" s="26" t="s">
        <v>6313</v>
      </c>
      <c r="B1695" s="27" t="s">
        <v>6314</v>
      </c>
      <c r="C1695" s="27" t="s">
        <v>144</v>
      </c>
      <c r="D1695" s="26" t="s">
        <v>6315</v>
      </c>
      <c r="E1695" s="27" t="s">
        <v>6316</v>
      </c>
      <c r="F1695" s="28" t="s">
        <v>146</v>
      </c>
      <c r="G1695" s="27" t="s">
        <v>3537</v>
      </c>
      <c r="H1695" s="27" t="s">
        <v>57</v>
      </c>
      <c r="I1695" s="27" t="s">
        <v>41</v>
      </c>
      <c r="J1695" s="28" t="s">
        <v>785</v>
      </c>
      <c r="K1695" s="27" t="s">
        <v>37</v>
      </c>
      <c r="L1695" s="27"/>
    </row>
    <row r="1696" customFormat="false" ht="15" hidden="false" customHeight="false" outlineLevel="0" collapsed="false">
      <c r="A1696" s="26" t="s">
        <v>6317</v>
      </c>
      <c r="B1696" s="27" t="s">
        <v>6318</v>
      </c>
      <c r="C1696" s="27" t="s">
        <v>144</v>
      </c>
      <c r="D1696" s="26" t="s">
        <v>6319</v>
      </c>
      <c r="E1696" s="27" t="s">
        <v>6320</v>
      </c>
      <c r="F1696" s="28" t="s">
        <v>146</v>
      </c>
      <c r="G1696" s="27" t="s">
        <v>3537</v>
      </c>
      <c r="H1696" s="27" t="s">
        <v>56</v>
      </c>
      <c r="I1696" s="27" t="s">
        <v>37</v>
      </c>
      <c r="J1696" s="28" t="s">
        <v>785</v>
      </c>
      <c r="K1696" s="27" t="s">
        <v>37</v>
      </c>
      <c r="L1696" s="27"/>
    </row>
    <row r="1697" customFormat="false" ht="15" hidden="false" customHeight="false" outlineLevel="0" collapsed="false">
      <c r="A1697" s="26" t="s">
        <v>6321</v>
      </c>
      <c r="B1697" s="27" t="s">
        <v>6322</v>
      </c>
      <c r="C1697" s="27" t="s">
        <v>144</v>
      </c>
      <c r="D1697" s="26" t="s">
        <v>6323</v>
      </c>
      <c r="E1697" s="27" t="s">
        <v>6324</v>
      </c>
      <c r="F1697" s="28" t="s">
        <v>146</v>
      </c>
      <c r="G1697" s="27" t="s">
        <v>3537</v>
      </c>
      <c r="H1697" s="27" t="s">
        <v>56</v>
      </c>
      <c r="I1697" s="27" t="s">
        <v>37</v>
      </c>
      <c r="J1697" s="28" t="s">
        <v>785</v>
      </c>
      <c r="K1697" s="27" t="s">
        <v>37</v>
      </c>
      <c r="L1697" s="27"/>
    </row>
    <row r="1698" customFormat="false" ht="15" hidden="false" customHeight="false" outlineLevel="0" collapsed="false">
      <c r="A1698" s="26" t="s">
        <v>6325</v>
      </c>
      <c r="B1698" s="27" t="s">
        <v>6326</v>
      </c>
      <c r="C1698" s="27" t="s">
        <v>144</v>
      </c>
      <c r="D1698" s="26" t="s">
        <v>6327</v>
      </c>
      <c r="E1698" s="27" t="s">
        <v>6328</v>
      </c>
      <c r="F1698" s="28" t="s">
        <v>146</v>
      </c>
      <c r="G1698" s="27" t="s">
        <v>3537</v>
      </c>
      <c r="H1698" s="27" t="s">
        <v>56</v>
      </c>
      <c r="I1698" s="27" t="s">
        <v>37</v>
      </c>
      <c r="J1698" s="28" t="s">
        <v>785</v>
      </c>
      <c r="K1698" s="27" t="s">
        <v>37</v>
      </c>
      <c r="L1698" s="27"/>
    </row>
    <row r="1699" customFormat="false" ht="15" hidden="false" customHeight="false" outlineLevel="0" collapsed="false">
      <c r="A1699" s="26" t="s">
        <v>6329</v>
      </c>
      <c r="B1699" s="27" t="s">
        <v>6330</v>
      </c>
      <c r="C1699" s="27" t="s">
        <v>144</v>
      </c>
      <c r="D1699" s="26" t="s">
        <v>6331</v>
      </c>
      <c r="E1699" s="27" t="s">
        <v>6332</v>
      </c>
      <c r="F1699" s="28" t="s">
        <v>146</v>
      </c>
      <c r="G1699" s="27" t="s">
        <v>3537</v>
      </c>
      <c r="H1699" s="27" t="s">
        <v>56</v>
      </c>
      <c r="I1699" s="27" t="s">
        <v>37</v>
      </c>
      <c r="J1699" s="28" t="s">
        <v>785</v>
      </c>
      <c r="K1699" s="27" t="s">
        <v>37</v>
      </c>
      <c r="L1699" s="27"/>
    </row>
    <row r="1700" customFormat="false" ht="15" hidden="false" customHeight="false" outlineLevel="0" collapsed="false">
      <c r="A1700" s="26" t="s">
        <v>6333</v>
      </c>
      <c r="B1700" s="27" t="s">
        <v>6334</v>
      </c>
      <c r="C1700" s="27" t="s">
        <v>144</v>
      </c>
      <c r="D1700" s="26" t="s">
        <v>3670</v>
      </c>
      <c r="E1700" s="27" t="s">
        <v>3671</v>
      </c>
      <c r="F1700" s="28" t="s">
        <v>146</v>
      </c>
      <c r="G1700" s="27" t="s">
        <v>3537</v>
      </c>
      <c r="H1700" s="27" t="s">
        <v>56</v>
      </c>
      <c r="I1700" s="27" t="s">
        <v>37</v>
      </c>
      <c r="J1700" s="28" t="s">
        <v>785</v>
      </c>
      <c r="K1700" s="27" t="s">
        <v>37</v>
      </c>
      <c r="L1700" s="27"/>
    </row>
    <row r="1701" customFormat="false" ht="15" hidden="false" customHeight="false" outlineLevel="0" collapsed="false">
      <c r="A1701" s="26" t="s">
        <v>6335</v>
      </c>
      <c r="B1701" s="27" t="s">
        <v>6336</v>
      </c>
      <c r="C1701" s="27" t="s">
        <v>144</v>
      </c>
      <c r="D1701" s="26" t="s">
        <v>6337</v>
      </c>
      <c r="E1701" s="27" t="s">
        <v>6338</v>
      </c>
      <c r="F1701" s="28" t="s">
        <v>146</v>
      </c>
      <c r="G1701" s="27" t="s">
        <v>3537</v>
      </c>
      <c r="H1701" s="27" t="s">
        <v>57</v>
      </c>
      <c r="I1701" s="27" t="s">
        <v>41</v>
      </c>
      <c r="J1701" s="28" t="s">
        <v>785</v>
      </c>
      <c r="K1701" s="27" t="s">
        <v>37</v>
      </c>
      <c r="L1701" s="27"/>
    </row>
    <row r="1702" customFormat="false" ht="15" hidden="false" customHeight="false" outlineLevel="0" collapsed="false">
      <c r="A1702" s="26" t="s">
        <v>6339</v>
      </c>
      <c r="B1702" s="27" t="s">
        <v>6340</v>
      </c>
      <c r="C1702" s="27" t="s">
        <v>144</v>
      </c>
      <c r="D1702" s="26" t="s">
        <v>6331</v>
      </c>
      <c r="E1702" s="27" t="s">
        <v>6332</v>
      </c>
      <c r="F1702" s="28" t="s">
        <v>146</v>
      </c>
      <c r="G1702" s="27" t="s">
        <v>3537</v>
      </c>
      <c r="H1702" s="27" t="s">
        <v>56</v>
      </c>
      <c r="I1702" s="27" t="s">
        <v>37</v>
      </c>
      <c r="J1702" s="28" t="s">
        <v>785</v>
      </c>
      <c r="K1702" s="27" t="s">
        <v>37</v>
      </c>
      <c r="L1702" s="27"/>
    </row>
    <row r="1703" customFormat="false" ht="15" hidden="false" customHeight="false" outlineLevel="0" collapsed="false">
      <c r="A1703" s="26" t="s">
        <v>6341</v>
      </c>
      <c r="B1703" s="27" t="s">
        <v>6342</v>
      </c>
      <c r="C1703" s="27" t="s">
        <v>144</v>
      </c>
      <c r="D1703" s="26" t="s">
        <v>6343</v>
      </c>
      <c r="E1703" s="27" t="s">
        <v>6344</v>
      </c>
      <c r="F1703" s="28" t="s">
        <v>146</v>
      </c>
      <c r="G1703" s="27" t="s">
        <v>3537</v>
      </c>
      <c r="H1703" s="27" t="s">
        <v>56</v>
      </c>
      <c r="I1703" s="27" t="s">
        <v>37</v>
      </c>
      <c r="J1703" s="28" t="s">
        <v>785</v>
      </c>
      <c r="K1703" s="27" t="s">
        <v>37</v>
      </c>
      <c r="L1703" s="27"/>
    </row>
    <row r="1704" customFormat="false" ht="15" hidden="false" customHeight="false" outlineLevel="0" collapsed="false">
      <c r="A1704" s="26" t="s">
        <v>6345</v>
      </c>
      <c r="B1704" s="27" t="s">
        <v>6346</v>
      </c>
      <c r="C1704" s="27" t="s">
        <v>144</v>
      </c>
      <c r="D1704" s="26" t="s">
        <v>6337</v>
      </c>
      <c r="E1704" s="27" t="s">
        <v>6338</v>
      </c>
      <c r="F1704" s="28" t="s">
        <v>146</v>
      </c>
      <c r="G1704" s="27" t="s">
        <v>3537</v>
      </c>
      <c r="H1704" s="27" t="s">
        <v>57</v>
      </c>
      <c r="I1704" s="27" t="s">
        <v>41</v>
      </c>
      <c r="J1704" s="28" t="s">
        <v>785</v>
      </c>
      <c r="K1704" s="27" t="s">
        <v>37</v>
      </c>
      <c r="L1704" s="27"/>
    </row>
    <row r="1705" customFormat="false" ht="15" hidden="false" customHeight="false" outlineLevel="0" collapsed="false">
      <c r="A1705" s="26" t="s">
        <v>6347</v>
      </c>
      <c r="B1705" s="27" t="s">
        <v>6348</v>
      </c>
      <c r="C1705" s="27" t="s">
        <v>144</v>
      </c>
      <c r="D1705" s="26" t="s">
        <v>6349</v>
      </c>
      <c r="E1705" s="27" t="s">
        <v>6350</v>
      </c>
      <c r="F1705" s="28" t="s">
        <v>146</v>
      </c>
      <c r="G1705" s="27" t="s">
        <v>3537</v>
      </c>
      <c r="H1705" s="27" t="s">
        <v>56</v>
      </c>
      <c r="I1705" s="27" t="s">
        <v>37</v>
      </c>
      <c r="J1705" s="28" t="s">
        <v>785</v>
      </c>
      <c r="K1705" s="27" t="s">
        <v>37</v>
      </c>
      <c r="L1705" s="27"/>
    </row>
    <row r="1706" customFormat="false" ht="15" hidden="false" customHeight="false" outlineLevel="0" collapsed="false">
      <c r="A1706" s="26" t="s">
        <v>6351</v>
      </c>
      <c r="B1706" s="27" t="s">
        <v>6352</v>
      </c>
      <c r="C1706" s="27" t="s">
        <v>144</v>
      </c>
      <c r="D1706" s="26" t="s">
        <v>6331</v>
      </c>
      <c r="E1706" s="27" t="s">
        <v>6332</v>
      </c>
      <c r="F1706" s="28" t="s">
        <v>146</v>
      </c>
      <c r="G1706" s="27" t="s">
        <v>3537</v>
      </c>
      <c r="H1706" s="27" t="s">
        <v>56</v>
      </c>
      <c r="I1706" s="27" t="s">
        <v>37</v>
      </c>
      <c r="J1706" s="28" t="s">
        <v>785</v>
      </c>
      <c r="K1706" s="27" t="s">
        <v>37</v>
      </c>
      <c r="L1706" s="27"/>
    </row>
    <row r="1707" customFormat="false" ht="15" hidden="false" customHeight="false" outlineLevel="0" collapsed="false">
      <c r="A1707" s="26" t="s">
        <v>6353</v>
      </c>
      <c r="B1707" s="27" t="s">
        <v>6354</v>
      </c>
      <c r="C1707" s="27" t="s">
        <v>144</v>
      </c>
      <c r="D1707" s="26" t="s">
        <v>6355</v>
      </c>
      <c r="E1707" s="28" t="s">
        <v>6356</v>
      </c>
      <c r="F1707" s="28" t="s">
        <v>146</v>
      </c>
      <c r="G1707" s="27" t="s">
        <v>3537</v>
      </c>
      <c r="H1707" s="27" t="s">
        <v>56</v>
      </c>
      <c r="I1707" s="27" t="s">
        <v>37</v>
      </c>
      <c r="J1707" s="28" t="s">
        <v>785</v>
      </c>
      <c r="K1707" s="27" t="s">
        <v>37</v>
      </c>
      <c r="L1707" s="27"/>
    </row>
    <row r="1708" customFormat="false" ht="15" hidden="false" customHeight="false" outlineLevel="0" collapsed="false">
      <c r="A1708" s="26" t="s">
        <v>6357</v>
      </c>
      <c r="B1708" s="27" t="s">
        <v>6358</v>
      </c>
      <c r="C1708" s="27" t="s">
        <v>144</v>
      </c>
      <c r="D1708" s="26" t="s">
        <v>6359</v>
      </c>
      <c r="E1708" s="27" t="s">
        <v>6360</v>
      </c>
      <c r="F1708" s="28" t="s">
        <v>146</v>
      </c>
      <c r="G1708" s="27" t="s">
        <v>3537</v>
      </c>
      <c r="H1708" s="27" t="s">
        <v>56</v>
      </c>
      <c r="I1708" s="27" t="s">
        <v>37</v>
      </c>
      <c r="J1708" s="28" t="s">
        <v>785</v>
      </c>
      <c r="K1708" s="27" t="s">
        <v>37</v>
      </c>
      <c r="L1708" s="27"/>
    </row>
    <row r="1709" customFormat="false" ht="15" hidden="false" customHeight="false" outlineLevel="0" collapsed="false">
      <c r="A1709" s="26" t="s">
        <v>6361</v>
      </c>
      <c r="B1709" s="27" t="s">
        <v>6362</v>
      </c>
      <c r="C1709" s="27" t="s">
        <v>144</v>
      </c>
      <c r="D1709" s="26" t="s">
        <v>3678</v>
      </c>
      <c r="E1709" s="27" t="s">
        <v>3679</v>
      </c>
      <c r="F1709" s="28" t="s">
        <v>146</v>
      </c>
      <c r="G1709" s="27" t="s">
        <v>3537</v>
      </c>
      <c r="H1709" s="27" t="s">
        <v>56</v>
      </c>
      <c r="I1709" s="27" t="s">
        <v>37</v>
      </c>
      <c r="J1709" s="28" t="s">
        <v>785</v>
      </c>
      <c r="K1709" s="27" t="s">
        <v>37</v>
      </c>
      <c r="L1709" s="27"/>
    </row>
    <row r="1710" customFormat="false" ht="15" hidden="false" customHeight="false" outlineLevel="0" collapsed="false">
      <c r="A1710" s="26" t="s">
        <v>6363</v>
      </c>
      <c r="B1710" s="27" t="s">
        <v>6364</v>
      </c>
      <c r="C1710" s="27" t="s">
        <v>144</v>
      </c>
      <c r="D1710" s="26" t="s">
        <v>6365</v>
      </c>
      <c r="E1710" s="27" t="s">
        <v>6366</v>
      </c>
      <c r="F1710" s="28" t="s">
        <v>146</v>
      </c>
      <c r="G1710" s="27" t="s">
        <v>3537</v>
      </c>
      <c r="H1710" s="27" t="s">
        <v>56</v>
      </c>
      <c r="I1710" s="27" t="s">
        <v>37</v>
      </c>
      <c r="J1710" s="28" t="s">
        <v>785</v>
      </c>
      <c r="K1710" s="27" t="s">
        <v>37</v>
      </c>
      <c r="L1710" s="27"/>
    </row>
    <row r="1711" customFormat="false" ht="15" hidden="false" customHeight="false" outlineLevel="0" collapsed="false">
      <c r="A1711" s="26" t="s">
        <v>6367</v>
      </c>
      <c r="B1711" s="27" t="s">
        <v>6368</v>
      </c>
      <c r="C1711" s="27" t="s">
        <v>144</v>
      </c>
      <c r="D1711" s="26" t="s">
        <v>6369</v>
      </c>
      <c r="E1711" s="28" t="s">
        <v>6370</v>
      </c>
      <c r="F1711" s="28" t="s">
        <v>146</v>
      </c>
      <c r="G1711" s="27" t="s">
        <v>3537</v>
      </c>
      <c r="H1711" s="27" t="s">
        <v>57</v>
      </c>
      <c r="I1711" s="27" t="s">
        <v>48</v>
      </c>
      <c r="J1711" s="28" t="s">
        <v>785</v>
      </c>
      <c r="K1711" s="27" t="s">
        <v>37</v>
      </c>
      <c r="L1711" s="27"/>
    </row>
    <row r="1712" customFormat="false" ht="15" hidden="false" customHeight="false" outlineLevel="0" collapsed="false">
      <c r="A1712" s="26" t="s">
        <v>6371</v>
      </c>
      <c r="B1712" s="27" t="s">
        <v>6372</v>
      </c>
      <c r="C1712" s="27" t="s">
        <v>144</v>
      </c>
      <c r="D1712" s="26" t="s">
        <v>6373</v>
      </c>
      <c r="E1712" s="28" t="s">
        <v>6374</v>
      </c>
      <c r="F1712" s="28" t="s">
        <v>146</v>
      </c>
      <c r="G1712" s="27" t="s">
        <v>3537</v>
      </c>
      <c r="H1712" s="27" t="s">
        <v>56</v>
      </c>
      <c r="I1712" s="27" t="s">
        <v>37</v>
      </c>
      <c r="J1712" s="28" t="s">
        <v>785</v>
      </c>
      <c r="K1712" s="27" t="s">
        <v>37</v>
      </c>
      <c r="L1712" s="27"/>
    </row>
    <row r="1713" customFormat="false" ht="15" hidden="false" customHeight="false" outlineLevel="0" collapsed="false">
      <c r="A1713" s="26" t="s">
        <v>6375</v>
      </c>
      <c r="B1713" s="27" t="s">
        <v>6376</v>
      </c>
      <c r="C1713" s="27" t="s">
        <v>144</v>
      </c>
      <c r="D1713" s="26" t="s">
        <v>6377</v>
      </c>
      <c r="E1713" s="27" t="s">
        <v>6378</v>
      </c>
      <c r="F1713" s="28" t="s">
        <v>146</v>
      </c>
      <c r="G1713" s="27" t="s">
        <v>3537</v>
      </c>
      <c r="H1713" s="27" t="s">
        <v>56</v>
      </c>
      <c r="I1713" s="27" t="s">
        <v>37</v>
      </c>
      <c r="J1713" s="28" t="s">
        <v>785</v>
      </c>
      <c r="K1713" s="27" t="s">
        <v>37</v>
      </c>
      <c r="L1713" s="27"/>
    </row>
    <row r="1714" customFormat="false" ht="15" hidden="false" customHeight="false" outlineLevel="0" collapsed="false">
      <c r="A1714" s="26" t="s">
        <v>6379</v>
      </c>
      <c r="B1714" s="27" t="s">
        <v>6380</v>
      </c>
      <c r="C1714" s="27" t="s">
        <v>144</v>
      </c>
      <c r="D1714" s="26" t="s">
        <v>6381</v>
      </c>
      <c r="E1714" s="28" t="s">
        <v>6382</v>
      </c>
      <c r="F1714" s="28" t="s">
        <v>146</v>
      </c>
      <c r="G1714" s="27" t="s">
        <v>3537</v>
      </c>
      <c r="H1714" s="27" t="s">
        <v>56</v>
      </c>
      <c r="I1714" s="27" t="s">
        <v>37</v>
      </c>
      <c r="J1714" s="28" t="s">
        <v>785</v>
      </c>
      <c r="K1714" s="27" t="s">
        <v>37</v>
      </c>
      <c r="L1714" s="27"/>
    </row>
    <row r="1715" customFormat="false" ht="15" hidden="false" customHeight="false" outlineLevel="0" collapsed="false">
      <c r="A1715" s="26" t="s">
        <v>6383</v>
      </c>
      <c r="B1715" s="27" t="s">
        <v>6384</v>
      </c>
      <c r="C1715" s="27" t="s">
        <v>144</v>
      </c>
      <c r="D1715" s="26" t="s">
        <v>6385</v>
      </c>
      <c r="E1715" s="27" t="s">
        <v>6386</v>
      </c>
      <c r="F1715" s="28" t="s">
        <v>146</v>
      </c>
      <c r="G1715" s="27" t="s">
        <v>3537</v>
      </c>
      <c r="H1715" s="27" t="s">
        <v>56</v>
      </c>
      <c r="I1715" s="27" t="s">
        <v>37</v>
      </c>
      <c r="J1715" s="28" t="s">
        <v>785</v>
      </c>
      <c r="K1715" s="27" t="s">
        <v>37</v>
      </c>
      <c r="L1715" s="27"/>
    </row>
    <row r="1716" customFormat="false" ht="15" hidden="false" customHeight="false" outlineLevel="0" collapsed="false">
      <c r="A1716" s="26" t="s">
        <v>6387</v>
      </c>
      <c r="B1716" s="27" t="s">
        <v>6388</v>
      </c>
      <c r="C1716" s="27" t="s">
        <v>144</v>
      </c>
      <c r="D1716" s="26" t="s">
        <v>6389</v>
      </c>
      <c r="E1716" s="28" t="s">
        <v>6390</v>
      </c>
      <c r="F1716" s="28" t="s">
        <v>146</v>
      </c>
      <c r="G1716" s="27" t="s">
        <v>3537</v>
      </c>
      <c r="H1716" s="27" t="s">
        <v>56</v>
      </c>
      <c r="I1716" s="27" t="s">
        <v>37</v>
      </c>
      <c r="J1716" s="28" t="s">
        <v>785</v>
      </c>
      <c r="K1716" s="27" t="s">
        <v>37</v>
      </c>
      <c r="L1716" s="27"/>
    </row>
    <row r="1717" customFormat="false" ht="15" hidden="false" customHeight="false" outlineLevel="0" collapsed="false">
      <c r="A1717" s="26" t="s">
        <v>6391</v>
      </c>
      <c r="B1717" s="27" t="s">
        <v>6392</v>
      </c>
      <c r="C1717" s="27" t="s">
        <v>144</v>
      </c>
      <c r="D1717" s="26" t="s">
        <v>6393</v>
      </c>
      <c r="E1717" s="27" t="s">
        <v>6394</v>
      </c>
      <c r="F1717" s="28" t="s">
        <v>146</v>
      </c>
      <c r="G1717" s="27" t="s">
        <v>3537</v>
      </c>
      <c r="H1717" s="27" t="s">
        <v>57</v>
      </c>
      <c r="I1717" s="27" t="s">
        <v>40</v>
      </c>
      <c r="J1717" s="28" t="s">
        <v>785</v>
      </c>
      <c r="K1717" s="27" t="s">
        <v>37</v>
      </c>
      <c r="L1717" s="27"/>
    </row>
    <row r="1718" customFormat="false" ht="15" hidden="false" customHeight="false" outlineLevel="0" collapsed="false">
      <c r="A1718" s="26" t="s">
        <v>6395</v>
      </c>
      <c r="B1718" s="27" t="s">
        <v>6396</v>
      </c>
      <c r="C1718" s="27" t="s">
        <v>144</v>
      </c>
      <c r="D1718" s="26" t="s">
        <v>6397</v>
      </c>
      <c r="E1718" s="27" t="s">
        <v>6398</v>
      </c>
      <c r="F1718" s="28" t="s">
        <v>1158</v>
      </c>
      <c r="G1718" s="27" t="s">
        <v>3537</v>
      </c>
      <c r="H1718" s="27" t="s">
        <v>57</v>
      </c>
      <c r="I1718" s="27" t="s">
        <v>41</v>
      </c>
      <c r="J1718" s="28" t="s">
        <v>785</v>
      </c>
      <c r="K1718" s="27" t="s">
        <v>37</v>
      </c>
      <c r="L1718" s="27"/>
    </row>
    <row r="1719" customFormat="false" ht="15" hidden="false" customHeight="false" outlineLevel="0" collapsed="false">
      <c r="A1719" s="26" t="s">
        <v>6399</v>
      </c>
      <c r="B1719" s="27" t="s">
        <v>6400</v>
      </c>
      <c r="C1719" s="27" t="s">
        <v>144</v>
      </c>
      <c r="D1719" s="26" t="s">
        <v>6401</v>
      </c>
      <c r="E1719" s="27" t="s">
        <v>6402</v>
      </c>
      <c r="F1719" s="28" t="s">
        <v>146</v>
      </c>
      <c r="G1719" s="27" t="s">
        <v>3537</v>
      </c>
      <c r="H1719" s="27" t="s">
        <v>57</v>
      </c>
      <c r="I1719" s="27" t="s">
        <v>41</v>
      </c>
      <c r="J1719" s="28" t="s">
        <v>785</v>
      </c>
      <c r="K1719" s="27" t="s">
        <v>37</v>
      </c>
      <c r="L1719" s="27"/>
    </row>
    <row r="1720" customFormat="false" ht="15" hidden="false" customHeight="false" outlineLevel="0" collapsed="false">
      <c r="A1720" s="26" t="s">
        <v>6403</v>
      </c>
      <c r="B1720" s="27" t="s">
        <v>6404</v>
      </c>
      <c r="C1720" s="27" t="s">
        <v>144</v>
      </c>
      <c r="D1720" s="26" t="s">
        <v>6405</v>
      </c>
      <c r="E1720" s="27" t="s">
        <v>6406</v>
      </c>
      <c r="F1720" s="28" t="s">
        <v>146</v>
      </c>
      <c r="G1720" s="27" t="s">
        <v>3537</v>
      </c>
      <c r="H1720" s="27" t="s">
        <v>57</v>
      </c>
      <c r="I1720" s="27" t="s">
        <v>41</v>
      </c>
      <c r="J1720" s="28" t="s">
        <v>785</v>
      </c>
      <c r="K1720" s="27" t="s">
        <v>37</v>
      </c>
      <c r="L1720" s="27"/>
    </row>
    <row r="1721" customFormat="false" ht="15" hidden="false" customHeight="false" outlineLevel="0" collapsed="false">
      <c r="A1721" s="26" t="s">
        <v>6407</v>
      </c>
      <c r="B1721" s="27" t="s">
        <v>6408</v>
      </c>
      <c r="C1721" s="27" t="s">
        <v>144</v>
      </c>
      <c r="D1721" s="26" t="s">
        <v>6409</v>
      </c>
      <c r="E1721" s="27" t="s">
        <v>6410</v>
      </c>
      <c r="F1721" s="28" t="s">
        <v>146</v>
      </c>
      <c r="G1721" s="27" t="s">
        <v>3537</v>
      </c>
      <c r="H1721" s="27" t="s">
        <v>56</v>
      </c>
      <c r="I1721" s="27" t="s">
        <v>37</v>
      </c>
      <c r="J1721" s="28" t="s">
        <v>785</v>
      </c>
      <c r="K1721" s="27" t="s">
        <v>37</v>
      </c>
      <c r="L1721" s="27"/>
    </row>
    <row r="1722" customFormat="false" ht="15" hidden="false" customHeight="false" outlineLevel="0" collapsed="false">
      <c r="A1722" s="26" t="s">
        <v>6411</v>
      </c>
      <c r="B1722" s="27" t="s">
        <v>6412</v>
      </c>
      <c r="C1722" s="27" t="s">
        <v>144</v>
      </c>
      <c r="D1722" s="26" t="s">
        <v>832</v>
      </c>
      <c r="E1722" s="27" t="s">
        <v>833</v>
      </c>
      <c r="F1722" s="28" t="s">
        <v>146</v>
      </c>
      <c r="G1722" s="27" t="s">
        <v>3537</v>
      </c>
      <c r="H1722" s="27" t="s">
        <v>57</v>
      </c>
      <c r="I1722" s="27" t="s">
        <v>41</v>
      </c>
      <c r="J1722" s="28" t="s">
        <v>785</v>
      </c>
      <c r="K1722" s="27" t="s">
        <v>37</v>
      </c>
      <c r="L1722" s="27"/>
    </row>
    <row r="1723" customFormat="false" ht="15" hidden="false" customHeight="false" outlineLevel="0" collapsed="false">
      <c r="A1723" s="26" t="s">
        <v>6413</v>
      </c>
      <c r="B1723" s="27" t="s">
        <v>6414</v>
      </c>
      <c r="C1723" s="27" t="s">
        <v>144</v>
      </c>
      <c r="D1723" s="26" t="s">
        <v>6415</v>
      </c>
      <c r="E1723" s="27" t="s">
        <v>6416</v>
      </c>
      <c r="F1723" s="28" t="s">
        <v>146</v>
      </c>
      <c r="G1723" s="27" t="s">
        <v>3537</v>
      </c>
      <c r="H1723" s="27" t="s">
        <v>56</v>
      </c>
      <c r="I1723" s="27" t="s">
        <v>37</v>
      </c>
      <c r="J1723" s="28" t="s">
        <v>785</v>
      </c>
      <c r="K1723" s="27" t="s">
        <v>37</v>
      </c>
      <c r="L1723" s="27"/>
    </row>
    <row r="1724" customFormat="false" ht="15" hidden="false" customHeight="false" outlineLevel="0" collapsed="false">
      <c r="A1724" s="26" t="s">
        <v>6417</v>
      </c>
      <c r="B1724" s="27" t="s">
        <v>6418</v>
      </c>
      <c r="C1724" s="27" t="s">
        <v>144</v>
      </c>
      <c r="D1724" s="26" t="s">
        <v>3686</v>
      </c>
      <c r="E1724" s="27" t="s">
        <v>3687</v>
      </c>
      <c r="F1724" s="28" t="s">
        <v>146</v>
      </c>
      <c r="G1724" s="27" t="s">
        <v>3537</v>
      </c>
      <c r="H1724" s="27" t="s">
        <v>56</v>
      </c>
      <c r="I1724" s="27" t="s">
        <v>37</v>
      </c>
      <c r="J1724" s="28" t="s">
        <v>785</v>
      </c>
      <c r="K1724" s="27" t="s">
        <v>37</v>
      </c>
      <c r="L1724" s="27"/>
    </row>
    <row r="1725" customFormat="false" ht="15" hidden="false" customHeight="false" outlineLevel="0" collapsed="false">
      <c r="A1725" s="26" t="s">
        <v>6419</v>
      </c>
      <c r="B1725" s="27" t="s">
        <v>6420</v>
      </c>
      <c r="C1725" s="27" t="s">
        <v>144</v>
      </c>
      <c r="D1725" s="26" t="s">
        <v>6421</v>
      </c>
      <c r="E1725" s="27" t="s">
        <v>6422</v>
      </c>
      <c r="F1725" s="28" t="s">
        <v>146</v>
      </c>
      <c r="G1725" s="27" t="s">
        <v>3537</v>
      </c>
      <c r="H1725" s="27" t="s">
        <v>57</v>
      </c>
      <c r="I1725" s="27" t="s">
        <v>41</v>
      </c>
      <c r="J1725" s="28" t="s">
        <v>785</v>
      </c>
      <c r="K1725" s="27" t="s">
        <v>37</v>
      </c>
      <c r="L1725" s="27"/>
    </row>
    <row r="1726" customFormat="false" ht="15" hidden="false" customHeight="false" outlineLevel="0" collapsed="false">
      <c r="A1726" s="26" t="s">
        <v>6423</v>
      </c>
      <c r="B1726" s="27" t="s">
        <v>6424</v>
      </c>
      <c r="C1726" s="27" t="s">
        <v>144</v>
      </c>
      <c r="D1726" s="26" t="s">
        <v>6425</v>
      </c>
      <c r="E1726" s="28" t="s">
        <v>6426</v>
      </c>
      <c r="F1726" s="28" t="s">
        <v>146</v>
      </c>
      <c r="G1726" s="27" t="s">
        <v>3537</v>
      </c>
      <c r="H1726" s="27" t="s">
        <v>56</v>
      </c>
      <c r="I1726" s="27" t="s">
        <v>37</v>
      </c>
      <c r="J1726" s="28" t="s">
        <v>785</v>
      </c>
      <c r="K1726" s="27" t="s">
        <v>37</v>
      </c>
      <c r="L1726" s="27"/>
    </row>
    <row r="1727" customFormat="false" ht="15" hidden="false" customHeight="false" outlineLevel="0" collapsed="false">
      <c r="A1727" s="26" t="s">
        <v>6427</v>
      </c>
      <c r="B1727" s="27" t="s">
        <v>6428</v>
      </c>
      <c r="C1727" s="27" t="s">
        <v>144</v>
      </c>
      <c r="D1727" s="26" t="s">
        <v>6429</v>
      </c>
      <c r="E1727" s="27" t="s">
        <v>6430</v>
      </c>
      <c r="F1727" s="28" t="s">
        <v>146</v>
      </c>
      <c r="G1727" s="27" t="s">
        <v>3537</v>
      </c>
      <c r="H1727" s="27" t="s">
        <v>56</v>
      </c>
      <c r="I1727" s="27" t="s">
        <v>37</v>
      </c>
      <c r="J1727" s="28" t="s">
        <v>785</v>
      </c>
      <c r="K1727" s="27" t="s">
        <v>37</v>
      </c>
      <c r="L1727" s="27"/>
    </row>
    <row r="1728" customFormat="false" ht="15" hidden="false" customHeight="false" outlineLevel="0" collapsed="false">
      <c r="A1728" s="26" t="s">
        <v>6431</v>
      </c>
      <c r="B1728" s="27" t="s">
        <v>6432</v>
      </c>
      <c r="C1728" s="27" t="s">
        <v>144</v>
      </c>
      <c r="D1728" s="26" t="s">
        <v>6433</v>
      </c>
      <c r="E1728" s="28" t="s">
        <v>6434</v>
      </c>
      <c r="F1728" s="28" t="s">
        <v>146</v>
      </c>
      <c r="G1728" s="27" t="s">
        <v>3537</v>
      </c>
      <c r="H1728" s="27" t="s">
        <v>56</v>
      </c>
      <c r="I1728" s="27" t="s">
        <v>37</v>
      </c>
      <c r="J1728" s="28" t="s">
        <v>785</v>
      </c>
      <c r="K1728" s="27" t="s">
        <v>37</v>
      </c>
      <c r="L1728" s="27"/>
    </row>
    <row r="1729" customFormat="false" ht="15" hidden="false" customHeight="false" outlineLevel="0" collapsed="false">
      <c r="A1729" s="26" t="s">
        <v>6435</v>
      </c>
      <c r="B1729" s="27" t="s">
        <v>6436</v>
      </c>
      <c r="C1729" s="27" t="s">
        <v>144</v>
      </c>
      <c r="D1729" s="26" t="s">
        <v>6437</v>
      </c>
      <c r="E1729" s="28" t="s">
        <v>6438</v>
      </c>
      <c r="F1729" s="28" t="s">
        <v>146</v>
      </c>
      <c r="G1729" s="27" t="s">
        <v>3537</v>
      </c>
      <c r="H1729" s="27" t="s">
        <v>56</v>
      </c>
      <c r="I1729" s="27" t="s">
        <v>37</v>
      </c>
      <c r="J1729" s="28" t="s">
        <v>785</v>
      </c>
      <c r="K1729" s="27" t="s">
        <v>37</v>
      </c>
      <c r="L1729" s="27"/>
    </row>
    <row r="1730" customFormat="false" ht="15" hidden="false" customHeight="false" outlineLevel="0" collapsed="false">
      <c r="A1730" s="26" t="s">
        <v>6439</v>
      </c>
      <c r="B1730" s="27" t="s">
        <v>6440</v>
      </c>
      <c r="C1730" s="27" t="s">
        <v>144</v>
      </c>
      <c r="D1730" s="26" t="s">
        <v>6441</v>
      </c>
      <c r="E1730" s="28" t="s">
        <v>6442</v>
      </c>
      <c r="F1730" s="28" t="s">
        <v>146</v>
      </c>
      <c r="G1730" s="27" t="s">
        <v>3537</v>
      </c>
      <c r="H1730" s="27" t="s">
        <v>56</v>
      </c>
      <c r="I1730" s="27" t="s">
        <v>37</v>
      </c>
      <c r="J1730" s="28" t="s">
        <v>785</v>
      </c>
      <c r="K1730" s="27" t="s">
        <v>37</v>
      </c>
      <c r="L1730" s="27"/>
    </row>
    <row r="1731" customFormat="false" ht="15" hidden="false" customHeight="false" outlineLevel="0" collapsed="false">
      <c r="A1731" s="26" t="s">
        <v>6443</v>
      </c>
      <c r="B1731" s="27" t="s">
        <v>6444</v>
      </c>
      <c r="C1731" s="27" t="s">
        <v>144</v>
      </c>
      <c r="D1731" s="26" t="s">
        <v>6445</v>
      </c>
      <c r="E1731" s="28" t="s">
        <v>6446</v>
      </c>
      <c r="F1731" s="28" t="s">
        <v>146</v>
      </c>
      <c r="G1731" s="27" t="s">
        <v>3537</v>
      </c>
      <c r="H1731" s="27" t="s">
        <v>56</v>
      </c>
      <c r="I1731" s="27" t="s">
        <v>37</v>
      </c>
      <c r="J1731" s="28" t="s">
        <v>785</v>
      </c>
      <c r="K1731" s="27" t="s">
        <v>37</v>
      </c>
      <c r="L1731" s="27"/>
    </row>
    <row r="1732" customFormat="false" ht="15" hidden="false" customHeight="false" outlineLevel="0" collapsed="false">
      <c r="A1732" s="26" t="s">
        <v>6447</v>
      </c>
      <c r="B1732" s="27" t="s">
        <v>6448</v>
      </c>
      <c r="C1732" s="27" t="s">
        <v>144</v>
      </c>
      <c r="D1732" s="26" t="s">
        <v>6449</v>
      </c>
      <c r="E1732" s="27" t="s">
        <v>6450</v>
      </c>
      <c r="F1732" s="28" t="s">
        <v>146</v>
      </c>
      <c r="G1732" s="27" t="s">
        <v>3537</v>
      </c>
      <c r="H1732" s="27" t="s">
        <v>56</v>
      </c>
      <c r="I1732" s="27" t="s">
        <v>37</v>
      </c>
      <c r="J1732" s="28" t="s">
        <v>785</v>
      </c>
      <c r="K1732" s="27" t="s">
        <v>37</v>
      </c>
      <c r="L1732" s="27"/>
    </row>
    <row r="1733" customFormat="false" ht="15" hidden="false" customHeight="false" outlineLevel="0" collapsed="false">
      <c r="A1733" s="26" t="s">
        <v>6451</v>
      </c>
      <c r="B1733" s="27" t="s">
        <v>6452</v>
      </c>
      <c r="C1733" s="27" t="s">
        <v>144</v>
      </c>
      <c r="D1733" s="26" t="s">
        <v>6453</v>
      </c>
      <c r="E1733" s="27" t="s">
        <v>6454</v>
      </c>
      <c r="F1733" s="28" t="s">
        <v>146</v>
      </c>
      <c r="G1733" s="27" t="s">
        <v>3537</v>
      </c>
      <c r="H1733" s="27" t="s">
        <v>57</v>
      </c>
      <c r="I1733" s="27" t="s">
        <v>41</v>
      </c>
      <c r="J1733" s="28" t="s">
        <v>785</v>
      </c>
      <c r="K1733" s="27" t="s">
        <v>37</v>
      </c>
      <c r="L1733" s="27"/>
    </row>
    <row r="1734" customFormat="false" ht="15" hidden="false" customHeight="false" outlineLevel="0" collapsed="false">
      <c r="A1734" s="26" t="s">
        <v>6455</v>
      </c>
      <c r="B1734" s="27" t="s">
        <v>6456</v>
      </c>
      <c r="C1734" s="27" t="s">
        <v>144</v>
      </c>
      <c r="D1734" s="26" t="s">
        <v>6405</v>
      </c>
      <c r="E1734" s="27" t="s">
        <v>6406</v>
      </c>
      <c r="F1734" s="28" t="s">
        <v>146</v>
      </c>
      <c r="G1734" s="27" t="s">
        <v>3537</v>
      </c>
      <c r="H1734" s="27" t="s">
        <v>57</v>
      </c>
      <c r="I1734" s="27" t="s">
        <v>41</v>
      </c>
      <c r="J1734" s="28" t="s">
        <v>785</v>
      </c>
      <c r="K1734" s="27" t="s">
        <v>37</v>
      </c>
      <c r="L1734" s="27"/>
    </row>
    <row r="1735" customFormat="false" ht="15" hidden="false" customHeight="false" outlineLevel="0" collapsed="false">
      <c r="A1735" s="26" t="s">
        <v>6457</v>
      </c>
      <c r="B1735" s="27" t="s">
        <v>6458</v>
      </c>
      <c r="C1735" s="27" t="s">
        <v>144</v>
      </c>
      <c r="D1735" s="26" t="s">
        <v>6459</v>
      </c>
      <c r="E1735" s="27" t="s">
        <v>6460</v>
      </c>
      <c r="F1735" s="28" t="s">
        <v>146</v>
      </c>
      <c r="G1735" s="27" t="s">
        <v>3537</v>
      </c>
      <c r="H1735" s="27" t="s">
        <v>57</v>
      </c>
      <c r="I1735" s="27" t="s">
        <v>41</v>
      </c>
      <c r="J1735" s="28" t="s">
        <v>785</v>
      </c>
      <c r="K1735" s="27" t="s">
        <v>37</v>
      </c>
      <c r="L1735" s="27"/>
    </row>
    <row r="1736" customFormat="false" ht="15" hidden="false" customHeight="false" outlineLevel="0" collapsed="false">
      <c r="A1736" s="26" t="s">
        <v>6461</v>
      </c>
      <c r="B1736" s="27" t="s">
        <v>6462</v>
      </c>
      <c r="C1736" s="27" t="s">
        <v>144</v>
      </c>
      <c r="D1736" s="26" t="s">
        <v>832</v>
      </c>
      <c r="E1736" s="27" t="s">
        <v>833</v>
      </c>
      <c r="F1736" s="28" t="s">
        <v>146</v>
      </c>
      <c r="G1736" s="27" t="s">
        <v>3537</v>
      </c>
      <c r="H1736" s="27" t="s">
        <v>57</v>
      </c>
      <c r="I1736" s="27" t="s">
        <v>41</v>
      </c>
      <c r="J1736" s="28" t="s">
        <v>785</v>
      </c>
      <c r="K1736" s="27" t="s">
        <v>37</v>
      </c>
      <c r="L1736" s="27"/>
    </row>
    <row r="1737" customFormat="false" ht="15" hidden="false" customHeight="false" outlineLevel="0" collapsed="false">
      <c r="A1737" s="26" t="s">
        <v>6463</v>
      </c>
      <c r="B1737" s="27" t="s">
        <v>6464</v>
      </c>
      <c r="C1737" s="27" t="s">
        <v>144</v>
      </c>
      <c r="D1737" s="26" t="s">
        <v>6465</v>
      </c>
      <c r="E1737" s="27" t="s">
        <v>6466</v>
      </c>
      <c r="F1737" s="28" t="s">
        <v>146</v>
      </c>
      <c r="G1737" s="27" t="s">
        <v>3537</v>
      </c>
      <c r="H1737" s="27" t="s">
        <v>56</v>
      </c>
      <c r="I1737" s="27" t="s">
        <v>37</v>
      </c>
      <c r="J1737" s="28" t="s">
        <v>785</v>
      </c>
      <c r="K1737" s="27" t="s">
        <v>37</v>
      </c>
      <c r="L1737" s="27"/>
    </row>
    <row r="1738" customFormat="false" ht="15" hidden="false" customHeight="false" outlineLevel="0" collapsed="false">
      <c r="A1738" s="26" t="s">
        <v>6467</v>
      </c>
      <c r="B1738" s="27" t="s">
        <v>6468</v>
      </c>
      <c r="C1738" s="27" t="s">
        <v>144</v>
      </c>
      <c r="D1738" s="26" t="s">
        <v>6465</v>
      </c>
      <c r="E1738" s="27" t="s">
        <v>6466</v>
      </c>
      <c r="F1738" s="28" t="s">
        <v>146</v>
      </c>
      <c r="G1738" s="27" t="s">
        <v>3537</v>
      </c>
      <c r="H1738" s="27" t="s">
        <v>56</v>
      </c>
      <c r="I1738" s="27" t="s">
        <v>37</v>
      </c>
      <c r="J1738" s="28" t="s">
        <v>785</v>
      </c>
      <c r="K1738" s="27" t="s">
        <v>37</v>
      </c>
      <c r="L1738" s="27"/>
    </row>
    <row r="1739" customFormat="false" ht="15" hidden="false" customHeight="false" outlineLevel="0" collapsed="false">
      <c r="A1739" s="26" t="s">
        <v>6469</v>
      </c>
      <c r="B1739" s="27" t="s">
        <v>6470</v>
      </c>
      <c r="C1739" s="27" t="s">
        <v>144</v>
      </c>
      <c r="D1739" s="26" t="s">
        <v>6471</v>
      </c>
      <c r="E1739" s="27" t="s">
        <v>6472</v>
      </c>
      <c r="F1739" s="28" t="s">
        <v>146</v>
      </c>
      <c r="G1739" s="27" t="s">
        <v>3537</v>
      </c>
      <c r="H1739" s="27" t="s">
        <v>57</v>
      </c>
      <c r="I1739" s="27" t="s">
        <v>41</v>
      </c>
      <c r="J1739" s="28" t="s">
        <v>785</v>
      </c>
      <c r="K1739" s="27" t="s">
        <v>37</v>
      </c>
      <c r="L1739" s="27"/>
    </row>
    <row r="1740" customFormat="false" ht="15" hidden="false" customHeight="false" outlineLevel="0" collapsed="false">
      <c r="A1740" s="26" t="s">
        <v>6473</v>
      </c>
      <c r="B1740" s="27" t="s">
        <v>6474</v>
      </c>
      <c r="C1740" s="27" t="s">
        <v>144</v>
      </c>
      <c r="D1740" s="26" t="s">
        <v>6475</v>
      </c>
      <c r="E1740" s="27" t="s">
        <v>6476</v>
      </c>
      <c r="F1740" s="28" t="s">
        <v>146</v>
      </c>
      <c r="G1740" s="27" t="s">
        <v>3537</v>
      </c>
      <c r="H1740" s="27" t="s">
        <v>57</v>
      </c>
      <c r="I1740" s="27" t="s">
        <v>41</v>
      </c>
      <c r="J1740" s="28" t="s">
        <v>785</v>
      </c>
      <c r="K1740" s="27" t="s">
        <v>37</v>
      </c>
      <c r="L1740" s="27"/>
    </row>
    <row r="1741" customFormat="false" ht="15" hidden="false" customHeight="false" outlineLevel="0" collapsed="false">
      <c r="A1741" s="26" t="s">
        <v>6477</v>
      </c>
      <c r="B1741" s="27" t="s">
        <v>6478</v>
      </c>
      <c r="C1741" s="27" t="s">
        <v>144</v>
      </c>
      <c r="D1741" s="26" t="s">
        <v>6405</v>
      </c>
      <c r="E1741" s="27" t="s">
        <v>6406</v>
      </c>
      <c r="F1741" s="28" t="s">
        <v>146</v>
      </c>
      <c r="G1741" s="27" t="s">
        <v>3537</v>
      </c>
      <c r="H1741" s="27" t="s">
        <v>57</v>
      </c>
      <c r="I1741" s="27" t="s">
        <v>41</v>
      </c>
      <c r="J1741" s="28" t="s">
        <v>785</v>
      </c>
      <c r="K1741" s="27" t="s">
        <v>37</v>
      </c>
      <c r="L1741" s="27"/>
    </row>
    <row r="1742" customFormat="false" ht="15" hidden="false" customHeight="false" outlineLevel="0" collapsed="false">
      <c r="A1742" s="26" t="s">
        <v>6479</v>
      </c>
      <c r="B1742" s="27" t="s">
        <v>6480</v>
      </c>
      <c r="C1742" s="27" t="s">
        <v>144</v>
      </c>
      <c r="D1742" s="26" t="s">
        <v>828</v>
      </c>
      <c r="E1742" s="27" t="s">
        <v>829</v>
      </c>
      <c r="F1742" s="28" t="s">
        <v>146</v>
      </c>
      <c r="G1742" s="27" t="s">
        <v>3537</v>
      </c>
      <c r="H1742" s="27" t="s">
        <v>57</v>
      </c>
      <c r="I1742" s="27" t="s">
        <v>41</v>
      </c>
      <c r="J1742" s="28" t="s">
        <v>785</v>
      </c>
      <c r="K1742" s="27" t="s">
        <v>37</v>
      </c>
      <c r="L1742" s="27"/>
    </row>
    <row r="1743" customFormat="false" ht="15" hidden="false" customHeight="false" outlineLevel="0" collapsed="false">
      <c r="A1743" s="26" t="s">
        <v>6481</v>
      </c>
      <c r="B1743" s="27" t="s">
        <v>6482</v>
      </c>
      <c r="C1743" s="27" t="s">
        <v>144</v>
      </c>
      <c r="D1743" s="26" t="s">
        <v>832</v>
      </c>
      <c r="E1743" s="27" t="s">
        <v>833</v>
      </c>
      <c r="F1743" s="28" t="s">
        <v>146</v>
      </c>
      <c r="G1743" s="27" t="s">
        <v>3537</v>
      </c>
      <c r="H1743" s="27" t="s">
        <v>57</v>
      </c>
      <c r="I1743" s="27" t="s">
        <v>41</v>
      </c>
      <c r="J1743" s="28" t="s">
        <v>785</v>
      </c>
      <c r="K1743" s="27" t="s">
        <v>37</v>
      </c>
      <c r="L1743" s="27"/>
    </row>
    <row r="1744" customFormat="false" ht="15" hidden="false" customHeight="false" outlineLevel="0" collapsed="false">
      <c r="A1744" s="26" t="s">
        <v>6483</v>
      </c>
      <c r="B1744" s="27" t="s">
        <v>6484</v>
      </c>
      <c r="C1744" s="27" t="s">
        <v>144</v>
      </c>
      <c r="D1744" s="26" t="s">
        <v>3686</v>
      </c>
      <c r="E1744" s="27" t="s">
        <v>3687</v>
      </c>
      <c r="F1744" s="28" t="s">
        <v>146</v>
      </c>
      <c r="G1744" s="27" t="s">
        <v>3537</v>
      </c>
      <c r="H1744" s="27" t="s">
        <v>56</v>
      </c>
      <c r="I1744" s="27" t="s">
        <v>37</v>
      </c>
      <c r="J1744" s="28" t="s">
        <v>785</v>
      </c>
      <c r="K1744" s="27" t="s">
        <v>37</v>
      </c>
      <c r="L1744" s="27"/>
    </row>
    <row r="1745" customFormat="false" ht="15" hidden="false" customHeight="false" outlineLevel="0" collapsed="false">
      <c r="A1745" s="26" t="s">
        <v>6485</v>
      </c>
      <c r="B1745" s="27" t="s">
        <v>6486</v>
      </c>
      <c r="C1745" s="27" t="s">
        <v>144</v>
      </c>
      <c r="D1745" s="26" t="s">
        <v>832</v>
      </c>
      <c r="E1745" s="27" t="s">
        <v>833</v>
      </c>
      <c r="F1745" s="28" t="s">
        <v>146</v>
      </c>
      <c r="G1745" s="27" t="s">
        <v>3537</v>
      </c>
      <c r="H1745" s="27" t="s">
        <v>57</v>
      </c>
      <c r="I1745" s="27" t="s">
        <v>41</v>
      </c>
      <c r="J1745" s="28" t="s">
        <v>785</v>
      </c>
      <c r="K1745" s="27" t="s">
        <v>37</v>
      </c>
      <c r="L1745" s="27"/>
    </row>
    <row r="1746" customFormat="false" ht="15" hidden="false" customHeight="false" outlineLevel="0" collapsed="false">
      <c r="A1746" s="26" t="s">
        <v>6487</v>
      </c>
      <c r="B1746" s="27" t="s">
        <v>6488</v>
      </c>
      <c r="C1746" s="27" t="s">
        <v>144</v>
      </c>
      <c r="D1746" s="26" t="s">
        <v>6475</v>
      </c>
      <c r="E1746" s="27" t="s">
        <v>6476</v>
      </c>
      <c r="F1746" s="28" t="s">
        <v>146</v>
      </c>
      <c r="G1746" s="27" t="s">
        <v>3537</v>
      </c>
      <c r="H1746" s="27" t="s">
        <v>57</v>
      </c>
      <c r="I1746" s="27" t="s">
        <v>41</v>
      </c>
      <c r="J1746" s="28" t="s">
        <v>785</v>
      </c>
      <c r="K1746" s="27" t="s">
        <v>37</v>
      </c>
      <c r="L1746" s="27"/>
    </row>
    <row r="1747" customFormat="false" ht="15" hidden="false" customHeight="false" outlineLevel="0" collapsed="false">
      <c r="A1747" s="26" t="s">
        <v>6489</v>
      </c>
      <c r="B1747" s="27" t="s">
        <v>6490</v>
      </c>
      <c r="C1747" s="27" t="s">
        <v>144</v>
      </c>
      <c r="D1747" s="26" t="s">
        <v>6491</v>
      </c>
      <c r="E1747" s="27" t="s">
        <v>6492</v>
      </c>
      <c r="F1747" s="28" t="s">
        <v>146</v>
      </c>
      <c r="G1747" s="27" t="s">
        <v>3537</v>
      </c>
      <c r="H1747" s="27" t="s">
        <v>56</v>
      </c>
      <c r="I1747" s="27" t="s">
        <v>37</v>
      </c>
      <c r="J1747" s="28" t="s">
        <v>785</v>
      </c>
      <c r="K1747" s="27" t="s">
        <v>37</v>
      </c>
      <c r="L1747" s="27"/>
    </row>
    <row r="1748" customFormat="false" ht="15" hidden="false" customHeight="false" outlineLevel="0" collapsed="false">
      <c r="A1748" s="26" t="s">
        <v>6493</v>
      </c>
      <c r="B1748" s="27" t="s">
        <v>6494</v>
      </c>
      <c r="C1748" s="27" t="s">
        <v>144</v>
      </c>
      <c r="D1748" s="26" t="s">
        <v>822</v>
      </c>
      <c r="E1748" s="27" t="s">
        <v>823</v>
      </c>
      <c r="F1748" s="28" t="s">
        <v>146</v>
      </c>
      <c r="G1748" s="27" t="s">
        <v>3537</v>
      </c>
      <c r="H1748" s="27" t="s">
        <v>57</v>
      </c>
      <c r="I1748" s="27" t="s">
        <v>41</v>
      </c>
      <c r="J1748" s="28" t="s">
        <v>785</v>
      </c>
      <c r="K1748" s="27" t="s">
        <v>37</v>
      </c>
      <c r="L1748" s="27"/>
    </row>
    <row r="1749" customFormat="false" ht="15" hidden="false" customHeight="false" outlineLevel="0" collapsed="false">
      <c r="A1749" s="26" t="s">
        <v>6495</v>
      </c>
      <c r="B1749" s="27" t="s">
        <v>6496</v>
      </c>
      <c r="C1749" s="27" t="s">
        <v>144</v>
      </c>
      <c r="D1749" s="26" t="s">
        <v>6475</v>
      </c>
      <c r="E1749" s="27" t="s">
        <v>6476</v>
      </c>
      <c r="F1749" s="28" t="s">
        <v>146</v>
      </c>
      <c r="G1749" s="27" t="s">
        <v>3537</v>
      </c>
      <c r="H1749" s="27" t="s">
        <v>57</v>
      </c>
      <c r="I1749" s="27" t="s">
        <v>41</v>
      </c>
      <c r="J1749" s="28" t="s">
        <v>785</v>
      </c>
      <c r="K1749" s="27" t="s">
        <v>37</v>
      </c>
      <c r="L1749" s="27"/>
    </row>
    <row r="1750" customFormat="false" ht="15" hidden="false" customHeight="false" outlineLevel="0" collapsed="false">
      <c r="A1750" s="26" t="s">
        <v>6497</v>
      </c>
      <c r="B1750" s="27" t="s">
        <v>6498</v>
      </c>
      <c r="C1750" s="27" t="s">
        <v>144</v>
      </c>
      <c r="D1750" s="26" t="s">
        <v>846</v>
      </c>
      <c r="E1750" s="27" t="s">
        <v>847</v>
      </c>
      <c r="F1750" s="28" t="s">
        <v>146</v>
      </c>
      <c r="G1750" s="27" t="s">
        <v>3537</v>
      </c>
      <c r="H1750" s="27" t="s">
        <v>57</v>
      </c>
      <c r="I1750" s="27" t="s">
        <v>41</v>
      </c>
      <c r="J1750" s="28" t="s">
        <v>785</v>
      </c>
      <c r="K1750" s="27" t="s">
        <v>37</v>
      </c>
      <c r="L1750" s="27"/>
    </row>
    <row r="1751" customFormat="false" ht="15" hidden="false" customHeight="false" outlineLevel="0" collapsed="false">
      <c r="A1751" s="26" t="s">
        <v>6499</v>
      </c>
      <c r="B1751" s="27" t="s">
        <v>6500</v>
      </c>
      <c r="C1751" s="27" t="s">
        <v>144</v>
      </c>
      <c r="D1751" s="26" t="s">
        <v>832</v>
      </c>
      <c r="E1751" s="27" t="s">
        <v>833</v>
      </c>
      <c r="F1751" s="28" t="s">
        <v>146</v>
      </c>
      <c r="G1751" s="27" t="s">
        <v>3537</v>
      </c>
      <c r="H1751" s="27" t="s">
        <v>57</v>
      </c>
      <c r="I1751" s="27" t="s">
        <v>41</v>
      </c>
      <c r="J1751" s="28" t="s">
        <v>785</v>
      </c>
      <c r="K1751" s="27" t="s">
        <v>37</v>
      </c>
      <c r="L1751" s="27"/>
    </row>
    <row r="1752" customFormat="false" ht="15" hidden="false" customHeight="false" outlineLevel="0" collapsed="false">
      <c r="A1752" s="26" t="s">
        <v>6501</v>
      </c>
      <c r="B1752" s="27" t="s">
        <v>6502</v>
      </c>
      <c r="C1752" s="27" t="s">
        <v>144</v>
      </c>
      <c r="D1752" s="26" t="s">
        <v>832</v>
      </c>
      <c r="E1752" s="27" t="s">
        <v>833</v>
      </c>
      <c r="F1752" s="28" t="s">
        <v>146</v>
      </c>
      <c r="G1752" s="27" t="s">
        <v>3537</v>
      </c>
      <c r="H1752" s="27" t="s">
        <v>57</v>
      </c>
      <c r="I1752" s="27" t="s">
        <v>41</v>
      </c>
      <c r="J1752" s="28" t="s">
        <v>785</v>
      </c>
      <c r="K1752" s="27" t="s">
        <v>37</v>
      </c>
      <c r="L1752" s="27"/>
    </row>
    <row r="1753" customFormat="false" ht="15" hidden="false" customHeight="false" outlineLevel="0" collapsed="false">
      <c r="A1753" s="26" t="s">
        <v>6503</v>
      </c>
      <c r="B1753" s="27" t="s">
        <v>6504</v>
      </c>
      <c r="C1753" s="27" t="s">
        <v>144</v>
      </c>
      <c r="D1753" s="26" t="s">
        <v>822</v>
      </c>
      <c r="E1753" s="27" t="s">
        <v>823</v>
      </c>
      <c r="F1753" s="28" t="s">
        <v>146</v>
      </c>
      <c r="G1753" s="27" t="s">
        <v>3537</v>
      </c>
      <c r="H1753" s="27" t="s">
        <v>57</v>
      </c>
      <c r="I1753" s="27" t="s">
        <v>41</v>
      </c>
      <c r="J1753" s="28" t="s">
        <v>785</v>
      </c>
      <c r="K1753" s="27" t="s">
        <v>37</v>
      </c>
      <c r="L1753" s="27"/>
    </row>
    <row r="1754" customFormat="false" ht="15" hidden="false" customHeight="false" outlineLevel="0" collapsed="false">
      <c r="A1754" s="26" t="s">
        <v>6505</v>
      </c>
      <c r="B1754" s="27" t="s">
        <v>6506</v>
      </c>
      <c r="C1754" s="27" t="s">
        <v>144</v>
      </c>
      <c r="D1754" s="26" t="s">
        <v>6507</v>
      </c>
      <c r="E1754" s="27" t="s">
        <v>6508</v>
      </c>
      <c r="F1754" s="28" t="s">
        <v>146</v>
      </c>
      <c r="G1754" s="27" t="s">
        <v>3537</v>
      </c>
      <c r="H1754" s="27" t="s">
        <v>57</v>
      </c>
      <c r="I1754" s="27" t="s">
        <v>40</v>
      </c>
      <c r="J1754" s="28" t="s">
        <v>785</v>
      </c>
      <c r="K1754" s="27" t="s">
        <v>37</v>
      </c>
      <c r="L1754" s="27"/>
    </row>
    <row r="1755" customFormat="false" ht="15" hidden="false" customHeight="false" outlineLevel="0" collapsed="false">
      <c r="A1755" s="26" t="s">
        <v>6509</v>
      </c>
      <c r="B1755" s="27" t="s">
        <v>6510</v>
      </c>
      <c r="C1755" s="27" t="s">
        <v>144</v>
      </c>
      <c r="D1755" s="26" t="s">
        <v>6511</v>
      </c>
      <c r="E1755" s="27" t="s">
        <v>6512</v>
      </c>
      <c r="F1755" s="28" t="s">
        <v>146</v>
      </c>
      <c r="G1755" s="27" t="s">
        <v>3537</v>
      </c>
      <c r="H1755" s="27" t="s">
        <v>56</v>
      </c>
      <c r="I1755" s="27" t="s">
        <v>37</v>
      </c>
      <c r="J1755" s="28" t="s">
        <v>785</v>
      </c>
      <c r="K1755" s="27" t="s">
        <v>37</v>
      </c>
      <c r="L1755" s="27"/>
    </row>
    <row r="1756" customFormat="false" ht="15" hidden="false" customHeight="false" outlineLevel="0" collapsed="false">
      <c r="A1756" s="26" t="s">
        <v>6513</v>
      </c>
      <c r="B1756" s="27" t="s">
        <v>6514</v>
      </c>
      <c r="C1756" s="27" t="s">
        <v>144</v>
      </c>
      <c r="D1756" s="26" t="s">
        <v>6393</v>
      </c>
      <c r="E1756" s="27" t="s">
        <v>6394</v>
      </c>
      <c r="F1756" s="28" t="s">
        <v>146</v>
      </c>
      <c r="G1756" s="27" t="s">
        <v>3537</v>
      </c>
      <c r="H1756" s="27" t="s">
        <v>57</v>
      </c>
      <c r="I1756" s="27" t="s">
        <v>40</v>
      </c>
      <c r="J1756" s="28" t="s">
        <v>785</v>
      </c>
      <c r="K1756" s="27" t="s">
        <v>37</v>
      </c>
      <c r="L1756" s="27"/>
    </row>
    <row r="1757" customFormat="false" ht="15" hidden="false" customHeight="false" outlineLevel="0" collapsed="false">
      <c r="A1757" s="26" t="s">
        <v>6515</v>
      </c>
      <c r="B1757" s="27" t="s">
        <v>6516</v>
      </c>
      <c r="C1757" s="27" t="s">
        <v>144</v>
      </c>
      <c r="D1757" s="26" t="s">
        <v>6517</v>
      </c>
      <c r="E1757" s="27" t="s">
        <v>6518</v>
      </c>
      <c r="F1757" s="28" t="s">
        <v>146</v>
      </c>
      <c r="G1757" s="27" t="s">
        <v>3537</v>
      </c>
      <c r="H1757" s="27" t="s">
        <v>56</v>
      </c>
      <c r="I1757" s="27" t="s">
        <v>37</v>
      </c>
      <c r="J1757" s="28" t="s">
        <v>785</v>
      </c>
      <c r="K1757" s="27" t="s">
        <v>37</v>
      </c>
      <c r="L1757" s="27"/>
    </row>
    <row r="1758" customFormat="false" ht="15" hidden="false" customHeight="false" outlineLevel="0" collapsed="false">
      <c r="A1758" s="26" t="s">
        <v>6519</v>
      </c>
      <c r="B1758" s="27" t="s">
        <v>6520</v>
      </c>
      <c r="C1758" s="27" t="s">
        <v>144</v>
      </c>
      <c r="D1758" s="26" t="s">
        <v>6397</v>
      </c>
      <c r="E1758" s="27" t="s">
        <v>6398</v>
      </c>
      <c r="F1758" s="28" t="s">
        <v>1158</v>
      </c>
      <c r="G1758" s="27" t="s">
        <v>3537</v>
      </c>
      <c r="H1758" s="27" t="s">
        <v>57</v>
      </c>
      <c r="I1758" s="27" t="s">
        <v>41</v>
      </c>
      <c r="J1758" s="28" t="s">
        <v>785</v>
      </c>
      <c r="K1758" s="27" t="s">
        <v>37</v>
      </c>
      <c r="L1758" s="27"/>
    </row>
    <row r="1759" customFormat="false" ht="15" hidden="false" customHeight="false" outlineLevel="0" collapsed="false">
      <c r="A1759" s="26" t="s">
        <v>6521</v>
      </c>
      <c r="B1759" s="27" t="s">
        <v>6522</v>
      </c>
      <c r="C1759" s="27" t="s">
        <v>144</v>
      </c>
      <c r="D1759" s="26" t="s">
        <v>6471</v>
      </c>
      <c r="E1759" s="27" t="s">
        <v>6472</v>
      </c>
      <c r="F1759" s="28" t="s">
        <v>146</v>
      </c>
      <c r="G1759" s="27" t="s">
        <v>3537</v>
      </c>
      <c r="H1759" s="27" t="s">
        <v>57</v>
      </c>
      <c r="I1759" s="27" t="s">
        <v>41</v>
      </c>
      <c r="J1759" s="28" t="s">
        <v>785</v>
      </c>
      <c r="K1759" s="27" t="s">
        <v>37</v>
      </c>
      <c r="L1759" s="27"/>
    </row>
    <row r="1760" customFormat="false" ht="15" hidden="false" customHeight="false" outlineLevel="0" collapsed="false">
      <c r="A1760" s="26" t="s">
        <v>6523</v>
      </c>
      <c r="B1760" s="27" t="s">
        <v>3689</v>
      </c>
      <c r="C1760" s="27" t="s">
        <v>144</v>
      </c>
      <c r="D1760" s="26" t="s">
        <v>3682</v>
      </c>
      <c r="E1760" s="27" t="s">
        <v>3683</v>
      </c>
      <c r="F1760" s="28" t="s">
        <v>146</v>
      </c>
      <c r="G1760" s="27" t="s">
        <v>3537</v>
      </c>
      <c r="H1760" s="27" t="s">
        <v>56</v>
      </c>
      <c r="I1760" s="27" t="s">
        <v>37</v>
      </c>
      <c r="J1760" s="28" t="s">
        <v>785</v>
      </c>
      <c r="K1760" s="27" t="s">
        <v>37</v>
      </c>
      <c r="L1760" s="27"/>
    </row>
    <row r="1761" customFormat="false" ht="15" hidden="false" customHeight="false" outlineLevel="0" collapsed="false">
      <c r="A1761" s="26" t="s">
        <v>6524</v>
      </c>
      <c r="B1761" s="27" t="s">
        <v>6525</v>
      </c>
      <c r="C1761" s="27" t="s">
        <v>144</v>
      </c>
      <c r="D1761" s="26" t="s">
        <v>6526</v>
      </c>
      <c r="E1761" s="27" t="s">
        <v>6527</v>
      </c>
      <c r="F1761" s="28" t="s">
        <v>146</v>
      </c>
      <c r="G1761" s="27" t="s">
        <v>3537</v>
      </c>
      <c r="H1761" s="27" t="s">
        <v>57</v>
      </c>
      <c r="I1761" s="27" t="s">
        <v>40</v>
      </c>
      <c r="J1761" s="28" t="s">
        <v>785</v>
      </c>
      <c r="K1761" s="27" t="s">
        <v>37</v>
      </c>
      <c r="L1761" s="27"/>
    </row>
    <row r="1762" customFormat="false" ht="15" hidden="false" customHeight="false" outlineLevel="0" collapsed="false">
      <c r="A1762" s="26" t="s">
        <v>6528</v>
      </c>
      <c r="B1762" s="27" t="s">
        <v>6529</v>
      </c>
      <c r="C1762" s="27" t="s">
        <v>144</v>
      </c>
      <c r="D1762" s="26" t="s">
        <v>6530</v>
      </c>
      <c r="E1762" s="28" t="s">
        <v>6531</v>
      </c>
      <c r="F1762" s="28" t="s">
        <v>146</v>
      </c>
      <c r="G1762" s="27" t="s">
        <v>3537</v>
      </c>
      <c r="H1762" s="27" t="s">
        <v>56</v>
      </c>
      <c r="I1762" s="27" t="s">
        <v>37</v>
      </c>
      <c r="J1762" s="28" t="s">
        <v>785</v>
      </c>
      <c r="K1762" s="27" t="s">
        <v>37</v>
      </c>
      <c r="L1762" s="27"/>
    </row>
    <row r="1763" customFormat="false" ht="15" hidden="false" customHeight="false" outlineLevel="0" collapsed="false">
      <c r="A1763" s="26" t="s">
        <v>6532</v>
      </c>
      <c r="B1763" s="27" t="s">
        <v>6533</v>
      </c>
      <c r="C1763" s="27" t="s">
        <v>144</v>
      </c>
      <c r="D1763" s="26" t="s">
        <v>6534</v>
      </c>
      <c r="E1763" s="28" t="s">
        <v>6535</v>
      </c>
      <c r="F1763" s="28" t="s">
        <v>146</v>
      </c>
      <c r="G1763" s="27" t="s">
        <v>3537</v>
      </c>
      <c r="H1763" s="27" t="s">
        <v>56</v>
      </c>
      <c r="I1763" s="27" t="s">
        <v>37</v>
      </c>
      <c r="J1763" s="28" t="s">
        <v>785</v>
      </c>
      <c r="K1763" s="27" t="s">
        <v>37</v>
      </c>
      <c r="L1763" s="27"/>
    </row>
    <row r="1764" customFormat="false" ht="15" hidden="false" customHeight="false" outlineLevel="0" collapsed="false">
      <c r="A1764" s="26" t="s">
        <v>6536</v>
      </c>
      <c r="B1764" s="27" t="s">
        <v>6537</v>
      </c>
      <c r="C1764" s="27" t="s">
        <v>144</v>
      </c>
      <c r="D1764" s="26" t="s">
        <v>6538</v>
      </c>
      <c r="E1764" s="27" t="s">
        <v>6539</v>
      </c>
      <c r="F1764" s="28" t="s">
        <v>146</v>
      </c>
      <c r="G1764" s="27" t="s">
        <v>3537</v>
      </c>
      <c r="H1764" s="27" t="s">
        <v>56</v>
      </c>
      <c r="I1764" s="27" t="s">
        <v>37</v>
      </c>
      <c r="J1764" s="28" t="s">
        <v>785</v>
      </c>
      <c r="K1764" s="27" t="s">
        <v>37</v>
      </c>
      <c r="L1764" s="27"/>
    </row>
    <row r="1765" customFormat="false" ht="15" hidden="false" customHeight="false" outlineLevel="0" collapsed="false">
      <c r="A1765" s="26" t="s">
        <v>6540</v>
      </c>
      <c r="B1765" s="27" t="s">
        <v>6541</v>
      </c>
      <c r="C1765" s="27" t="s">
        <v>144</v>
      </c>
      <c r="D1765" s="26" t="s">
        <v>6542</v>
      </c>
      <c r="E1765" s="27" t="s">
        <v>6543</v>
      </c>
      <c r="F1765" s="28" t="s">
        <v>146</v>
      </c>
      <c r="G1765" s="27" t="s">
        <v>3537</v>
      </c>
      <c r="H1765" s="27" t="s">
        <v>56</v>
      </c>
      <c r="I1765" s="27" t="s">
        <v>37</v>
      </c>
      <c r="J1765" s="28" t="s">
        <v>785</v>
      </c>
      <c r="K1765" s="27" t="s">
        <v>37</v>
      </c>
      <c r="L1765" s="27"/>
    </row>
    <row r="1766" customFormat="false" ht="15" hidden="false" customHeight="false" outlineLevel="0" collapsed="false">
      <c r="A1766" s="26" t="s">
        <v>6544</v>
      </c>
      <c r="B1766" s="27" t="s">
        <v>6545</v>
      </c>
      <c r="C1766" s="27" t="s">
        <v>144</v>
      </c>
      <c r="D1766" s="26" t="s">
        <v>6546</v>
      </c>
      <c r="E1766" s="27" t="s">
        <v>6547</v>
      </c>
      <c r="F1766" s="28" t="s">
        <v>146</v>
      </c>
      <c r="G1766" s="27" t="s">
        <v>3537</v>
      </c>
      <c r="H1766" s="27" t="s">
        <v>56</v>
      </c>
      <c r="I1766" s="27" t="s">
        <v>38</v>
      </c>
      <c r="J1766" s="28" t="s">
        <v>856</v>
      </c>
      <c r="K1766" s="27" t="s">
        <v>38</v>
      </c>
      <c r="L1766" s="27"/>
    </row>
    <row r="1767" customFormat="false" ht="15" hidden="false" customHeight="false" outlineLevel="0" collapsed="false">
      <c r="A1767" s="26" t="s">
        <v>6548</v>
      </c>
      <c r="B1767" s="27" t="s">
        <v>6549</v>
      </c>
      <c r="C1767" s="27" t="s">
        <v>144</v>
      </c>
      <c r="D1767" s="26" t="s">
        <v>6550</v>
      </c>
      <c r="E1767" s="27" t="s">
        <v>6551</v>
      </c>
      <c r="F1767" s="28" t="s">
        <v>146</v>
      </c>
      <c r="G1767" s="27" t="s">
        <v>3537</v>
      </c>
      <c r="H1767" s="27" t="s">
        <v>56</v>
      </c>
      <c r="I1767" s="27" t="s">
        <v>38</v>
      </c>
      <c r="J1767" s="28" t="s">
        <v>856</v>
      </c>
      <c r="K1767" s="27" t="s">
        <v>38</v>
      </c>
      <c r="L1767" s="27"/>
    </row>
    <row r="1768" customFormat="false" ht="15" hidden="false" customHeight="false" outlineLevel="0" collapsed="false">
      <c r="A1768" s="26" t="s">
        <v>6552</v>
      </c>
      <c r="B1768" s="27" t="s">
        <v>6553</v>
      </c>
      <c r="C1768" s="27" t="s">
        <v>144</v>
      </c>
      <c r="D1768" s="26" t="s">
        <v>6554</v>
      </c>
      <c r="E1768" s="27" t="s">
        <v>6555</v>
      </c>
      <c r="F1768" s="28" t="s">
        <v>146</v>
      </c>
      <c r="G1768" s="27" t="s">
        <v>3537</v>
      </c>
      <c r="H1768" s="27" t="s">
        <v>56</v>
      </c>
      <c r="I1768" s="27" t="s">
        <v>38</v>
      </c>
      <c r="J1768" s="28" t="s">
        <v>856</v>
      </c>
      <c r="K1768" s="27" t="s">
        <v>38</v>
      </c>
      <c r="L1768" s="27"/>
    </row>
    <row r="1769" customFormat="false" ht="15" hidden="false" customHeight="false" outlineLevel="0" collapsed="false">
      <c r="A1769" s="26" t="s">
        <v>6556</v>
      </c>
      <c r="B1769" s="27" t="s">
        <v>6557</v>
      </c>
      <c r="C1769" s="27" t="s">
        <v>144</v>
      </c>
      <c r="D1769" s="26" t="s">
        <v>6558</v>
      </c>
      <c r="E1769" s="27" t="s">
        <v>6559</v>
      </c>
      <c r="F1769" s="28" t="s">
        <v>146</v>
      </c>
      <c r="G1769" s="27" t="s">
        <v>3537</v>
      </c>
      <c r="H1769" s="27" t="s">
        <v>56</v>
      </c>
      <c r="I1769" s="27" t="s">
        <v>38</v>
      </c>
      <c r="J1769" s="28" t="s">
        <v>856</v>
      </c>
      <c r="K1769" s="27" t="s">
        <v>38</v>
      </c>
      <c r="L1769" s="27"/>
    </row>
    <row r="1770" customFormat="false" ht="15" hidden="false" customHeight="false" outlineLevel="0" collapsed="false">
      <c r="A1770" s="26" t="s">
        <v>6560</v>
      </c>
      <c r="B1770" s="27" t="s">
        <v>6561</v>
      </c>
      <c r="C1770" s="27" t="s">
        <v>144</v>
      </c>
      <c r="D1770" s="26" t="s">
        <v>6562</v>
      </c>
      <c r="E1770" s="27" t="s">
        <v>6563</v>
      </c>
      <c r="F1770" s="28" t="s">
        <v>146</v>
      </c>
      <c r="G1770" s="27" t="s">
        <v>3537</v>
      </c>
      <c r="H1770" s="27" t="s">
        <v>56</v>
      </c>
      <c r="I1770" s="27" t="s">
        <v>38</v>
      </c>
      <c r="J1770" s="28" t="s">
        <v>856</v>
      </c>
      <c r="K1770" s="27" t="s">
        <v>38</v>
      </c>
      <c r="L1770" s="27"/>
    </row>
    <row r="1771" customFormat="false" ht="15" hidden="false" customHeight="false" outlineLevel="0" collapsed="false">
      <c r="A1771" s="26" t="s">
        <v>6564</v>
      </c>
      <c r="B1771" s="27" t="s">
        <v>6565</v>
      </c>
      <c r="C1771" s="27" t="s">
        <v>144</v>
      </c>
      <c r="D1771" s="26" t="s">
        <v>6566</v>
      </c>
      <c r="E1771" s="27" t="s">
        <v>6567</v>
      </c>
      <c r="F1771" s="28" t="s">
        <v>146</v>
      </c>
      <c r="G1771" s="27" t="s">
        <v>3537</v>
      </c>
      <c r="H1771" s="27" t="s">
        <v>56</v>
      </c>
      <c r="I1771" s="27" t="s">
        <v>38</v>
      </c>
      <c r="J1771" s="28" t="s">
        <v>856</v>
      </c>
      <c r="K1771" s="27" t="s">
        <v>38</v>
      </c>
      <c r="L1771" s="27"/>
    </row>
    <row r="1772" customFormat="false" ht="15" hidden="false" customHeight="false" outlineLevel="0" collapsed="false">
      <c r="A1772" s="26" t="s">
        <v>6568</v>
      </c>
      <c r="B1772" s="27" t="s">
        <v>6569</v>
      </c>
      <c r="C1772" s="27" t="s">
        <v>144</v>
      </c>
      <c r="D1772" s="26" t="s">
        <v>6570</v>
      </c>
      <c r="E1772" s="27" t="s">
        <v>6571</v>
      </c>
      <c r="F1772" s="28" t="s">
        <v>146</v>
      </c>
      <c r="G1772" s="27" t="s">
        <v>3537</v>
      </c>
      <c r="H1772" s="27" t="s">
        <v>57</v>
      </c>
      <c r="I1772" s="27" t="s">
        <v>887</v>
      </c>
      <c r="J1772" s="28" t="s">
        <v>856</v>
      </c>
      <c r="K1772" s="27" t="s">
        <v>38</v>
      </c>
      <c r="L1772" s="27"/>
    </row>
    <row r="1773" customFormat="false" ht="15" hidden="false" customHeight="false" outlineLevel="0" collapsed="false">
      <c r="A1773" s="26" t="s">
        <v>6572</v>
      </c>
      <c r="B1773" s="27" t="s">
        <v>6573</v>
      </c>
      <c r="C1773" s="27" t="s">
        <v>144</v>
      </c>
      <c r="D1773" s="26" t="s">
        <v>6574</v>
      </c>
      <c r="E1773" s="27" t="s">
        <v>6575</v>
      </c>
      <c r="F1773" s="28" t="s">
        <v>146</v>
      </c>
      <c r="G1773" s="27" t="s">
        <v>3537</v>
      </c>
      <c r="H1773" s="27" t="s">
        <v>57</v>
      </c>
      <c r="I1773" s="27" t="s">
        <v>37</v>
      </c>
      <c r="J1773" s="28" t="s">
        <v>856</v>
      </c>
      <c r="K1773" s="27" t="s">
        <v>38</v>
      </c>
      <c r="L1773" s="27"/>
    </row>
    <row r="1774" customFormat="false" ht="15" hidden="false" customHeight="false" outlineLevel="0" collapsed="false">
      <c r="A1774" s="26" t="s">
        <v>6576</v>
      </c>
      <c r="B1774" s="27" t="s">
        <v>6577</v>
      </c>
      <c r="C1774" s="27" t="s">
        <v>144</v>
      </c>
      <c r="D1774" s="26" t="s">
        <v>6578</v>
      </c>
      <c r="E1774" s="27" t="s">
        <v>6579</v>
      </c>
      <c r="F1774" s="28" t="s">
        <v>146</v>
      </c>
      <c r="G1774" s="27" t="s">
        <v>3537</v>
      </c>
      <c r="H1774" s="27" t="s">
        <v>56</v>
      </c>
      <c r="I1774" s="27" t="s">
        <v>38</v>
      </c>
      <c r="J1774" s="28" t="s">
        <v>856</v>
      </c>
      <c r="K1774" s="27" t="s">
        <v>38</v>
      </c>
      <c r="L1774" s="27"/>
    </row>
    <row r="1775" customFormat="false" ht="15" hidden="false" customHeight="false" outlineLevel="0" collapsed="false">
      <c r="A1775" s="26" t="s">
        <v>6580</v>
      </c>
      <c r="B1775" s="27" t="s">
        <v>6581</v>
      </c>
      <c r="C1775" s="27" t="s">
        <v>144</v>
      </c>
      <c r="D1775" s="26" t="s">
        <v>6582</v>
      </c>
      <c r="E1775" s="27" t="s">
        <v>6583</v>
      </c>
      <c r="F1775" s="28" t="s">
        <v>146</v>
      </c>
      <c r="G1775" s="27" t="s">
        <v>3537</v>
      </c>
      <c r="H1775" s="27" t="s">
        <v>56</v>
      </c>
      <c r="I1775" s="27" t="s">
        <v>38</v>
      </c>
      <c r="J1775" s="28" t="s">
        <v>856</v>
      </c>
      <c r="K1775" s="27" t="s">
        <v>38</v>
      </c>
      <c r="L1775" s="27"/>
    </row>
    <row r="1776" customFormat="false" ht="15" hidden="false" customHeight="false" outlineLevel="0" collapsed="false">
      <c r="A1776" s="26" t="s">
        <v>6584</v>
      </c>
      <c r="B1776" s="27" t="s">
        <v>6585</v>
      </c>
      <c r="C1776" s="27" t="s">
        <v>144</v>
      </c>
      <c r="D1776" s="26" t="s">
        <v>6586</v>
      </c>
      <c r="E1776" s="27" t="s">
        <v>6587</v>
      </c>
      <c r="F1776" s="28" t="s">
        <v>146</v>
      </c>
      <c r="G1776" s="27" t="s">
        <v>3537</v>
      </c>
      <c r="H1776" s="27" t="s">
        <v>56</v>
      </c>
      <c r="I1776" s="27" t="s">
        <v>38</v>
      </c>
      <c r="J1776" s="28" t="s">
        <v>856</v>
      </c>
      <c r="K1776" s="27" t="s">
        <v>38</v>
      </c>
      <c r="L1776" s="27"/>
    </row>
    <row r="1777" customFormat="false" ht="15" hidden="false" customHeight="false" outlineLevel="0" collapsed="false">
      <c r="A1777" s="26" t="s">
        <v>6588</v>
      </c>
      <c r="B1777" s="27" t="s">
        <v>6589</v>
      </c>
      <c r="C1777" s="27" t="s">
        <v>144</v>
      </c>
      <c r="D1777" s="26" t="s">
        <v>6590</v>
      </c>
      <c r="E1777" s="27" t="s">
        <v>6591</v>
      </c>
      <c r="F1777" s="28" t="s">
        <v>146</v>
      </c>
      <c r="G1777" s="27" t="s">
        <v>3537</v>
      </c>
      <c r="H1777" s="27" t="s">
        <v>56</v>
      </c>
      <c r="I1777" s="27" t="s">
        <v>38</v>
      </c>
      <c r="J1777" s="28" t="s">
        <v>856</v>
      </c>
      <c r="K1777" s="27" t="s">
        <v>38</v>
      </c>
      <c r="L1777" s="27"/>
    </row>
    <row r="1778" customFormat="false" ht="15" hidden="false" customHeight="false" outlineLevel="0" collapsed="false">
      <c r="A1778" s="26" t="s">
        <v>6592</v>
      </c>
      <c r="B1778" s="27" t="s">
        <v>6593</v>
      </c>
      <c r="C1778" s="27" t="s">
        <v>144</v>
      </c>
      <c r="D1778" s="26" t="s">
        <v>6578</v>
      </c>
      <c r="E1778" s="27" t="s">
        <v>6579</v>
      </c>
      <c r="F1778" s="28" t="s">
        <v>146</v>
      </c>
      <c r="G1778" s="27" t="s">
        <v>3537</v>
      </c>
      <c r="H1778" s="27" t="s">
        <v>56</v>
      </c>
      <c r="I1778" s="27" t="s">
        <v>38</v>
      </c>
      <c r="J1778" s="28" t="s">
        <v>856</v>
      </c>
      <c r="K1778" s="27" t="s">
        <v>38</v>
      </c>
      <c r="L1778" s="27"/>
    </row>
    <row r="1779" customFormat="false" ht="15" hidden="false" customHeight="false" outlineLevel="0" collapsed="false">
      <c r="A1779" s="26" t="s">
        <v>6594</v>
      </c>
      <c r="B1779" s="27" t="s">
        <v>6595</v>
      </c>
      <c r="C1779" s="27" t="s">
        <v>144</v>
      </c>
      <c r="D1779" s="26" t="s">
        <v>6546</v>
      </c>
      <c r="E1779" s="27" t="s">
        <v>6547</v>
      </c>
      <c r="F1779" s="28" t="s">
        <v>146</v>
      </c>
      <c r="G1779" s="27" t="s">
        <v>3537</v>
      </c>
      <c r="H1779" s="27" t="s">
        <v>56</v>
      </c>
      <c r="I1779" s="27" t="s">
        <v>38</v>
      </c>
      <c r="J1779" s="28" t="s">
        <v>856</v>
      </c>
      <c r="K1779" s="27" t="s">
        <v>38</v>
      </c>
      <c r="L1779" s="27"/>
    </row>
    <row r="1780" customFormat="false" ht="15" hidden="false" customHeight="false" outlineLevel="0" collapsed="false">
      <c r="A1780" s="26" t="s">
        <v>6596</v>
      </c>
      <c r="B1780" s="27" t="s">
        <v>6597</v>
      </c>
      <c r="C1780" s="27" t="s">
        <v>144</v>
      </c>
      <c r="D1780" s="26" t="s">
        <v>6570</v>
      </c>
      <c r="E1780" s="27" t="s">
        <v>6571</v>
      </c>
      <c r="F1780" s="28" t="s">
        <v>146</v>
      </c>
      <c r="G1780" s="27" t="s">
        <v>3537</v>
      </c>
      <c r="H1780" s="27" t="s">
        <v>57</v>
      </c>
      <c r="I1780" s="27" t="s">
        <v>887</v>
      </c>
      <c r="J1780" s="28" t="s">
        <v>856</v>
      </c>
      <c r="K1780" s="27" t="s">
        <v>38</v>
      </c>
      <c r="L1780" s="27"/>
    </row>
    <row r="1781" customFormat="false" ht="15" hidden="false" customHeight="false" outlineLevel="0" collapsed="false">
      <c r="A1781" s="26" t="s">
        <v>6598</v>
      </c>
      <c r="B1781" s="27" t="s">
        <v>6599</v>
      </c>
      <c r="C1781" s="27" t="s">
        <v>144</v>
      </c>
      <c r="D1781" s="26" t="s">
        <v>6554</v>
      </c>
      <c r="E1781" s="27" t="s">
        <v>6555</v>
      </c>
      <c r="F1781" s="28" t="s">
        <v>146</v>
      </c>
      <c r="G1781" s="27" t="s">
        <v>3537</v>
      </c>
      <c r="H1781" s="27" t="s">
        <v>56</v>
      </c>
      <c r="I1781" s="27" t="s">
        <v>38</v>
      </c>
      <c r="J1781" s="28" t="s">
        <v>856</v>
      </c>
      <c r="K1781" s="27" t="s">
        <v>38</v>
      </c>
      <c r="L1781" s="27"/>
    </row>
    <row r="1782" customFormat="false" ht="15" hidden="false" customHeight="false" outlineLevel="0" collapsed="false">
      <c r="A1782" s="26" t="s">
        <v>6600</v>
      </c>
      <c r="B1782" s="27" t="s">
        <v>6601</v>
      </c>
      <c r="C1782" s="27" t="s">
        <v>144</v>
      </c>
      <c r="D1782" s="26" t="s">
        <v>6582</v>
      </c>
      <c r="E1782" s="27" t="s">
        <v>6583</v>
      </c>
      <c r="F1782" s="28" t="s">
        <v>146</v>
      </c>
      <c r="G1782" s="27" t="s">
        <v>3537</v>
      </c>
      <c r="H1782" s="27" t="s">
        <v>56</v>
      </c>
      <c r="I1782" s="27" t="s">
        <v>38</v>
      </c>
      <c r="J1782" s="28" t="s">
        <v>856</v>
      </c>
      <c r="K1782" s="27" t="s">
        <v>38</v>
      </c>
      <c r="L1782" s="27"/>
    </row>
    <row r="1783" customFormat="false" ht="15" hidden="false" customHeight="false" outlineLevel="0" collapsed="false">
      <c r="A1783" s="26" t="s">
        <v>6602</v>
      </c>
      <c r="B1783" s="27" t="s">
        <v>6603</v>
      </c>
      <c r="C1783" s="27" t="s">
        <v>144</v>
      </c>
      <c r="D1783" s="26" t="s">
        <v>6604</v>
      </c>
      <c r="E1783" s="27" t="s">
        <v>6605</v>
      </c>
      <c r="F1783" s="28" t="s">
        <v>146</v>
      </c>
      <c r="G1783" s="27" t="s">
        <v>3537</v>
      </c>
      <c r="H1783" s="27" t="s">
        <v>56</v>
      </c>
      <c r="I1783" s="27" t="s">
        <v>38</v>
      </c>
      <c r="J1783" s="28" t="s">
        <v>856</v>
      </c>
      <c r="K1783" s="27" t="s">
        <v>38</v>
      </c>
      <c r="L1783" s="27"/>
    </row>
    <row r="1784" customFormat="false" ht="15" hidden="false" customHeight="false" outlineLevel="0" collapsed="false">
      <c r="A1784" s="26" t="s">
        <v>6606</v>
      </c>
      <c r="B1784" s="27" t="s">
        <v>6607</v>
      </c>
      <c r="C1784" s="27" t="s">
        <v>144</v>
      </c>
      <c r="D1784" s="26" t="s">
        <v>6554</v>
      </c>
      <c r="E1784" s="27" t="s">
        <v>6555</v>
      </c>
      <c r="F1784" s="28" t="s">
        <v>146</v>
      </c>
      <c r="G1784" s="27" t="s">
        <v>3537</v>
      </c>
      <c r="H1784" s="27" t="s">
        <v>56</v>
      </c>
      <c r="I1784" s="27" t="s">
        <v>38</v>
      </c>
      <c r="J1784" s="28" t="s">
        <v>856</v>
      </c>
      <c r="K1784" s="27" t="s">
        <v>38</v>
      </c>
      <c r="L1784" s="27"/>
    </row>
    <row r="1785" customFormat="false" ht="15" hidden="false" customHeight="false" outlineLevel="0" collapsed="false">
      <c r="A1785" s="26" t="s">
        <v>6608</v>
      </c>
      <c r="B1785" s="27" t="s">
        <v>6609</v>
      </c>
      <c r="C1785" s="27" t="s">
        <v>144</v>
      </c>
      <c r="D1785" s="26" t="s">
        <v>6610</v>
      </c>
      <c r="E1785" s="27" t="s">
        <v>6611</v>
      </c>
      <c r="F1785" s="28" t="s">
        <v>146</v>
      </c>
      <c r="G1785" s="27" t="s">
        <v>3537</v>
      </c>
      <c r="H1785" s="27" t="s">
        <v>56</v>
      </c>
      <c r="I1785" s="27" t="s">
        <v>38</v>
      </c>
      <c r="J1785" s="28" t="s">
        <v>856</v>
      </c>
      <c r="K1785" s="27" t="s">
        <v>38</v>
      </c>
      <c r="L1785" s="27"/>
    </row>
    <row r="1786" customFormat="false" ht="15" hidden="false" customHeight="false" outlineLevel="0" collapsed="false">
      <c r="A1786" s="26" t="s">
        <v>6612</v>
      </c>
      <c r="B1786" s="27" t="s">
        <v>6613</v>
      </c>
      <c r="C1786" s="27" t="s">
        <v>144</v>
      </c>
      <c r="D1786" s="26" t="s">
        <v>6614</v>
      </c>
      <c r="E1786" s="27" t="s">
        <v>6615</v>
      </c>
      <c r="F1786" s="28" t="s">
        <v>146</v>
      </c>
      <c r="G1786" s="27" t="s">
        <v>3537</v>
      </c>
      <c r="H1786" s="27" t="s">
        <v>56</v>
      </c>
      <c r="I1786" s="27" t="s">
        <v>38</v>
      </c>
      <c r="J1786" s="28" t="s">
        <v>856</v>
      </c>
      <c r="K1786" s="27" t="s">
        <v>38</v>
      </c>
      <c r="L1786" s="27"/>
    </row>
    <row r="1787" customFormat="false" ht="15" hidden="false" customHeight="false" outlineLevel="0" collapsed="false">
      <c r="A1787" s="26" t="s">
        <v>6616</v>
      </c>
      <c r="B1787" s="27" t="s">
        <v>6617</v>
      </c>
      <c r="C1787" s="27" t="s">
        <v>144</v>
      </c>
      <c r="D1787" s="26" t="s">
        <v>2562</v>
      </c>
      <c r="E1787" s="27" t="s">
        <v>2563</v>
      </c>
      <c r="F1787" s="28" t="s">
        <v>146</v>
      </c>
      <c r="G1787" s="27" t="s">
        <v>3537</v>
      </c>
      <c r="H1787" s="27" t="s">
        <v>56</v>
      </c>
      <c r="I1787" s="27" t="s">
        <v>38</v>
      </c>
      <c r="J1787" s="28" t="s">
        <v>856</v>
      </c>
      <c r="K1787" s="27" t="s">
        <v>38</v>
      </c>
      <c r="L1787" s="27"/>
    </row>
    <row r="1788" customFormat="false" ht="15" hidden="false" customHeight="false" outlineLevel="0" collapsed="false">
      <c r="A1788" s="26" t="s">
        <v>6618</v>
      </c>
      <c r="B1788" s="27" t="s">
        <v>6619</v>
      </c>
      <c r="C1788" s="27" t="s">
        <v>144</v>
      </c>
      <c r="D1788" s="26" t="s">
        <v>6620</v>
      </c>
      <c r="E1788" s="27" t="s">
        <v>6621</v>
      </c>
      <c r="F1788" s="28" t="s">
        <v>146</v>
      </c>
      <c r="G1788" s="27" t="s">
        <v>3537</v>
      </c>
      <c r="H1788" s="27" t="s">
        <v>56</v>
      </c>
      <c r="I1788" s="27" t="s">
        <v>38</v>
      </c>
      <c r="J1788" s="28" t="s">
        <v>856</v>
      </c>
      <c r="K1788" s="27" t="s">
        <v>38</v>
      </c>
      <c r="L1788" s="27"/>
    </row>
    <row r="1789" customFormat="false" ht="15" hidden="false" customHeight="false" outlineLevel="0" collapsed="false">
      <c r="A1789" s="26" t="s">
        <v>6622</v>
      </c>
      <c r="B1789" s="27" t="s">
        <v>6623</v>
      </c>
      <c r="C1789" s="27" t="s">
        <v>144</v>
      </c>
      <c r="D1789" s="26" t="s">
        <v>6624</v>
      </c>
      <c r="E1789" s="27" t="s">
        <v>6625</v>
      </c>
      <c r="F1789" s="28" t="s">
        <v>146</v>
      </c>
      <c r="G1789" s="27" t="s">
        <v>3537</v>
      </c>
      <c r="H1789" s="27" t="s">
        <v>57</v>
      </c>
      <c r="I1789" s="27" t="s">
        <v>887</v>
      </c>
      <c r="J1789" s="28" t="s">
        <v>856</v>
      </c>
      <c r="K1789" s="27" t="s">
        <v>38</v>
      </c>
      <c r="L1789" s="27"/>
    </row>
    <row r="1790" customFormat="false" ht="15" hidden="false" customHeight="false" outlineLevel="0" collapsed="false">
      <c r="A1790" s="26" t="s">
        <v>6626</v>
      </c>
      <c r="B1790" s="27" t="s">
        <v>6627</v>
      </c>
      <c r="C1790" s="27" t="s">
        <v>144</v>
      </c>
      <c r="D1790" s="26" t="s">
        <v>6620</v>
      </c>
      <c r="E1790" s="27" t="s">
        <v>6621</v>
      </c>
      <c r="F1790" s="28" t="s">
        <v>146</v>
      </c>
      <c r="G1790" s="27" t="s">
        <v>3537</v>
      </c>
      <c r="H1790" s="27" t="s">
        <v>56</v>
      </c>
      <c r="I1790" s="27" t="s">
        <v>38</v>
      </c>
      <c r="J1790" s="28" t="s">
        <v>856</v>
      </c>
      <c r="K1790" s="27" t="s">
        <v>38</v>
      </c>
      <c r="L1790" s="27"/>
    </row>
    <row r="1791" customFormat="false" ht="15" hidden="false" customHeight="false" outlineLevel="0" collapsed="false">
      <c r="A1791" s="26" t="s">
        <v>6628</v>
      </c>
      <c r="B1791" s="27" t="s">
        <v>6629</v>
      </c>
      <c r="C1791" s="27" t="s">
        <v>144</v>
      </c>
      <c r="D1791" s="26" t="s">
        <v>6630</v>
      </c>
      <c r="E1791" s="27" t="s">
        <v>6631</v>
      </c>
      <c r="F1791" s="28" t="s">
        <v>146</v>
      </c>
      <c r="G1791" s="27" t="s">
        <v>3537</v>
      </c>
      <c r="H1791" s="27" t="s">
        <v>57</v>
      </c>
      <c r="I1791" s="27" t="s">
        <v>37</v>
      </c>
      <c r="J1791" s="28" t="s">
        <v>856</v>
      </c>
      <c r="K1791" s="27" t="s">
        <v>38</v>
      </c>
      <c r="L1791" s="27"/>
    </row>
    <row r="1792" customFormat="false" ht="15" hidden="false" customHeight="false" outlineLevel="0" collapsed="false">
      <c r="A1792" s="26" t="s">
        <v>6632</v>
      </c>
      <c r="B1792" s="27" t="s">
        <v>6633</v>
      </c>
      <c r="C1792" s="27" t="s">
        <v>144</v>
      </c>
      <c r="D1792" s="26" t="s">
        <v>6634</v>
      </c>
      <c r="E1792" s="27" t="s">
        <v>6635</v>
      </c>
      <c r="F1792" s="28" t="s">
        <v>146</v>
      </c>
      <c r="G1792" s="27" t="s">
        <v>3537</v>
      </c>
      <c r="H1792" s="27" t="s">
        <v>57</v>
      </c>
      <c r="I1792" s="27" t="s">
        <v>37</v>
      </c>
      <c r="J1792" s="28" t="s">
        <v>856</v>
      </c>
      <c r="K1792" s="27" t="s">
        <v>38</v>
      </c>
      <c r="L1792" s="27"/>
    </row>
    <row r="1793" customFormat="false" ht="15" hidden="false" customHeight="false" outlineLevel="0" collapsed="false">
      <c r="A1793" s="26" t="s">
        <v>6636</v>
      </c>
      <c r="B1793" s="27" t="s">
        <v>6637</v>
      </c>
      <c r="C1793" s="27" t="s">
        <v>144</v>
      </c>
      <c r="D1793" s="26" t="s">
        <v>861</v>
      </c>
      <c r="E1793" s="27" t="s">
        <v>862</v>
      </c>
      <c r="F1793" s="28" t="s">
        <v>146</v>
      </c>
      <c r="G1793" s="27" t="s">
        <v>3537</v>
      </c>
      <c r="H1793" s="27" t="s">
        <v>56</v>
      </c>
      <c r="I1793" s="27" t="s">
        <v>38</v>
      </c>
      <c r="J1793" s="28" t="s">
        <v>856</v>
      </c>
      <c r="K1793" s="27" t="s">
        <v>38</v>
      </c>
      <c r="L1793" s="27"/>
    </row>
    <row r="1794" customFormat="false" ht="15" hidden="false" customHeight="false" outlineLevel="0" collapsed="false">
      <c r="A1794" s="26" t="s">
        <v>6638</v>
      </c>
      <c r="B1794" s="27" t="s">
        <v>6639</v>
      </c>
      <c r="C1794" s="27" t="s">
        <v>144</v>
      </c>
      <c r="D1794" s="26" t="s">
        <v>861</v>
      </c>
      <c r="E1794" s="27" t="s">
        <v>862</v>
      </c>
      <c r="F1794" s="28" t="s">
        <v>146</v>
      </c>
      <c r="G1794" s="27" t="s">
        <v>3537</v>
      </c>
      <c r="H1794" s="27" t="s">
        <v>56</v>
      </c>
      <c r="I1794" s="27" t="s">
        <v>38</v>
      </c>
      <c r="J1794" s="28" t="s">
        <v>856</v>
      </c>
      <c r="K1794" s="27" t="s">
        <v>38</v>
      </c>
      <c r="L1794" s="27"/>
    </row>
    <row r="1795" customFormat="false" ht="15" hidden="false" customHeight="false" outlineLevel="0" collapsed="false">
      <c r="A1795" s="26" t="s">
        <v>6640</v>
      </c>
      <c r="B1795" s="27" t="s">
        <v>6641</v>
      </c>
      <c r="C1795" s="27" t="s">
        <v>144</v>
      </c>
      <c r="D1795" s="26" t="s">
        <v>6642</v>
      </c>
      <c r="E1795" s="27" t="s">
        <v>6643</v>
      </c>
      <c r="F1795" s="28" t="s">
        <v>146</v>
      </c>
      <c r="G1795" s="27" t="s">
        <v>3537</v>
      </c>
      <c r="H1795" s="27" t="s">
        <v>57</v>
      </c>
      <c r="I1795" s="27" t="s">
        <v>37</v>
      </c>
      <c r="J1795" s="28" t="s">
        <v>856</v>
      </c>
      <c r="K1795" s="27" t="s">
        <v>38</v>
      </c>
      <c r="L1795" s="27"/>
    </row>
    <row r="1796" customFormat="false" ht="15" hidden="false" customHeight="false" outlineLevel="0" collapsed="false">
      <c r="A1796" s="26" t="s">
        <v>6644</v>
      </c>
      <c r="B1796" s="27" t="s">
        <v>6645</v>
      </c>
      <c r="C1796" s="27" t="s">
        <v>144</v>
      </c>
      <c r="D1796" s="26" t="s">
        <v>854</v>
      </c>
      <c r="E1796" s="27" t="s">
        <v>855</v>
      </c>
      <c r="F1796" s="28" t="s">
        <v>146</v>
      </c>
      <c r="G1796" s="27" t="s">
        <v>3537</v>
      </c>
      <c r="H1796" s="27" t="s">
        <v>56</v>
      </c>
      <c r="I1796" s="27" t="s">
        <v>38</v>
      </c>
      <c r="J1796" s="28" t="s">
        <v>856</v>
      </c>
      <c r="K1796" s="27" t="s">
        <v>38</v>
      </c>
      <c r="L1796" s="27"/>
    </row>
    <row r="1797" customFormat="false" ht="15" hidden="false" customHeight="false" outlineLevel="0" collapsed="false">
      <c r="A1797" s="26" t="s">
        <v>6646</v>
      </c>
      <c r="B1797" s="27" t="s">
        <v>6647</v>
      </c>
      <c r="C1797" s="27" t="s">
        <v>144</v>
      </c>
      <c r="D1797" s="26" t="s">
        <v>6648</v>
      </c>
      <c r="E1797" s="27" t="s">
        <v>6649</v>
      </c>
      <c r="F1797" s="28" t="s">
        <v>146</v>
      </c>
      <c r="G1797" s="27" t="s">
        <v>3537</v>
      </c>
      <c r="H1797" s="27" t="s">
        <v>56</v>
      </c>
      <c r="I1797" s="27" t="s">
        <v>38</v>
      </c>
      <c r="J1797" s="28" t="s">
        <v>856</v>
      </c>
      <c r="K1797" s="27" t="s">
        <v>38</v>
      </c>
      <c r="L1797" s="27"/>
    </row>
    <row r="1798" customFormat="false" ht="15" hidden="false" customHeight="false" outlineLevel="0" collapsed="false">
      <c r="A1798" s="26" t="s">
        <v>6650</v>
      </c>
      <c r="B1798" s="27" t="s">
        <v>6651</v>
      </c>
      <c r="C1798" s="27" t="s">
        <v>144</v>
      </c>
      <c r="D1798" s="26" t="s">
        <v>861</v>
      </c>
      <c r="E1798" s="27" t="s">
        <v>862</v>
      </c>
      <c r="F1798" s="28" t="s">
        <v>146</v>
      </c>
      <c r="G1798" s="27" t="s">
        <v>3537</v>
      </c>
      <c r="H1798" s="27" t="s">
        <v>56</v>
      </c>
      <c r="I1798" s="27" t="s">
        <v>38</v>
      </c>
      <c r="J1798" s="28" t="s">
        <v>856</v>
      </c>
      <c r="K1798" s="27" t="s">
        <v>38</v>
      </c>
      <c r="L1798" s="27"/>
    </row>
    <row r="1799" customFormat="false" ht="15" hidden="false" customHeight="false" outlineLevel="0" collapsed="false">
      <c r="A1799" s="26" t="s">
        <v>6652</v>
      </c>
      <c r="B1799" s="27" t="s">
        <v>6653</v>
      </c>
      <c r="C1799" s="27" t="s">
        <v>144</v>
      </c>
      <c r="D1799" s="26" t="s">
        <v>6654</v>
      </c>
      <c r="E1799" s="27" t="s">
        <v>6655</v>
      </c>
      <c r="F1799" s="28" t="s">
        <v>146</v>
      </c>
      <c r="G1799" s="27" t="s">
        <v>3537</v>
      </c>
      <c r="H1799" s="27" t="s">
        <v>56</v>
      </c>
      <c r="I1799" s="27" t="s">
        <v>38</v>
      </c>
      <c r="J1799" s="28" t="s">
        <v>856</v>
      </c>
      <c r="K1799" s="27" t="s">
        <v>38</v>
      </c>
      <c r="L1799" s="27"/>
    </row>
    <row r="1800" customFormat="false" ht="15" hidden="false" customHeight="false" outlineLevel="0" collapsed="false">
      <c r="A1800" s="26" t="s">
        <v>6656</v>
      </c>
      <c r="B1800" s="27" t="s">
        <v>6657</v>
      </c>
      <c r="C1800" s="27" t="s">
        <v>144</v>
      </c>
      <c r="D1800" s="26" t="s">
        <v>6658</v>
      </c>
      <c r="E1800" s="27" t="s">
        <v>6659</v>
      </c>
      <c r="F1800" s="28" t="s">
        <v>146</v>
      </c>
      <c r="G1800" s="27" t="s">
        <v>3537</v>
      </c>
      <c r="H1800" s="27" t="s">
        <v>57</v>
      </c>
      <c r="I1800" s="27" t="s">
        <v>37</v>
      </c>
      <c r="J1800" s="28" t="s">
        <v>856</v>
      </c>
      <c r="K1800" s="27" t="s">
        <v>38</v>
      </c>
      <c r="L1800" s="27"/>
    </row>
    <row r="1801" customFormat="false" ht="15" hidden="false" customHeight="false" outlineLevel="0" collapsed="false">
      <c r="A1801" s="26" t="s">
        <v>6660</v>
      </c>
      <c r="B1801" s="27" t="s">
        <v>6661</v>
      </c>
      <c r="C1801" s="27" t="s">
        <v>144</v>
      </c>
      <c r="D1801" s="26" t="s">
        <v>6662</v>
      </c>
      <c r="E1801" s="27" t="s">
        <v>6663</v>
      </c>
      <c r="F1801" s="28" t="s">
        <v>146</v>
      </c>
      <c r="G1801" s="27" t="s">
        <v>3537</v>
      </c>
      <c r="H1801" s="27" t="s">
        <v>56</v>
      </c>
      <c r="I1801" s="27" t="s">
        <v>38</v>
      </c>
      <c r="J1801" s="28" t="s">
        <v>856</v>
      </c>
      <c r="K1801" s="27" t="s">
        <v>38</v>
      </c>
      <c r="L1801" s="27"/>
    </row>
    <row r="1802" customFormat="false" ht="15" hidden="false" customHeight="false" outlineLevel="0" collapsed="false">
      <c r="A1802" s="26" t="s">
        <v>6664</v>
      </c>
      <c r="B1802" s="27" t="s">
        <v>6665</v>
      </c>
      <c r="C1802" s="27" t="s">
        <v>144</v>
      </c>
      <c r="D1802" s="26" t="s">
        <v>6666</v>
      </c>
      <c r="E1802" s="27" t="s">
        <v>6667</v>
      </c>
      <c r="F1802" s="28" t="s">
        <v>146</v>
      </c>
      <c r="G1802" s="27" t="s">
        <v>3537</v>
      </c>
      <c r="H1802" s="27" t="s">
        <v>57</v>
      </c>
      <c r="I1802" s="27" t="s">
        <v>41</v>
      </c>
      <c r="J1802" s="28" t="s">
        <v>856</v>
      </c>
      <c r="K1802" s="27" t="s">
        <v>38</v>
      </c>
      <c r="L1802" s="27"/>
    </row>
    <row r="1803" customFormat="false" ht="15" hidden="false" customHeight="false" outlineLevel="0" collapsed="false">
      <c r="A1803" s="26" t="s">
        <v>6668</v>
      </c>
      <c r="B1803" s="27" t="s">
        <v>6669</v>
      </c>
      <c r="C1803" s="27" t="s">
        <v>144</v>
      </c>
      <c r="D1803" s="26" t="s">
        <v>6670</v>
      </c>
      <c r="E1803" s="27" t="s">
        <v>6671</v>
      </c>
      <c r="F1803" s="28" t="s">
        <v>146</v>
      </c>
      <c r="G1803" s="27" t="s">
        <v>3537</v>
      </c>
      <c r="H1803" s="27" t="s">
        <v>57</v>
      </c>
      <c r="I1803" s="27" t="s">
        <v>37</v>
      </c>
      <c r="J1803" s="28" t="s">
        <v>856</v>
      </c>
      <c r="K1803" s="27" t="s">
        <v>38</v>
      </c>
      <c r="L1803" s="27"/>
    </row>
    <row r="1804" customFormat="false" ht="15" hidden="false" customHeight="false" outlineLevel="0" collapsed="false">
      <c r="A1804" s="26" t="s">
        <v>6672</v>
      </c>
      <c r="B1804" s="27" t="s">
        <v>6673</v>
      </c>
      <c r="C1804" s="27" t="s">
        <v>144</v>
      </c>
      <c r="D1804" s="26" t="s">
        <v>890</v>
      </c>
      <c r="E1804" s="27" t="s">
        <v>891</v>
      </c>
      <c r="F1804" s="28" t="s">
        <v>146</v>
      </c>
      <c r="G1804" s="27" t="s">
        <v>3537</v>
      </c>
      <c r="H1804" s="27" t="s">
        <v>56</v>
      </c>
      <c r="I1804" s="27" t="s">
        <v>38</v>
      </c>
      <c r="J1804" s="28" t="s">
        <v>856</v>
      </c>
      <c r="K1804" s="27" t="s">
        <v>38</v>
      </c>
      <c r="L1804" s="27"/>
    </row>
    <row r="1805" customFormat="false" ht="15" hidden="false" customHeight="false" outlineLevel="0" collapsed="false">
      <c r="A1805" s="26" t="s">
        <v>6674</v>
      </c>
      <c r="B1805" s="27" t="s">
        <v>6675</v>
      </c>
      <c r="C1805" s="27" t="s">
        <v>144</v>
      </c>
      <c r="D1805" s="26" t="s">
        <v>867</v>
      </c>
      <c r="E1805" s="27" t="s">
        <v>868</v>
      </c>
      <c r="F1805" s="28" t="s">
        <v>146</v>
      </c>
      <c r="G1805" s="27" t="s">
        <v>3537</v>
      </c>
      <c r="H1805" s="27" t="s">
        <v>56</v>
      </c>
      <c r="I1805" s="27" t="s">
        <v>38</v>
      </c>
      <c r="J1805" s="28" t="s">
        <v>856</v>
      </c>
      <c r="K1805" s="27" t="s">
        <v>38</v>
      </c>
      <c r="L1805" s="27"/>
    </row>
    <row r="1806" customFormat="false" ht="15" hidden="false" customHeight="false" outlineLevel="0" collapsed="false">
      <c r="A1806" s="26" t="s">
        <v>6676</v>
      </c>
      <c r="B1806" s="27" t="s">
        <v>6677</v>
      </c>
      <c r="C1806" s="27" t="s">
        <v>144</v>
      </c>
      <c r="D1806" s="26" t="s">
        <v>867</v>
      </c>
      <c r="E1806" s="27" t="s">
        <v>868</v>
      </c>
      <c r="F1806" s="28" t="s">
        <v>146</v>
      </c>
      <c r="G1806" s="27" t="s">
        <v>3537</v>
      </c>
      <c r="H1806" s="27" t="s">
        <v>56</v>
      </c>
      <c r="I1806" s="27" t="s">
        <v>38</v>
      </c>
      <c r="J1806" s="28" t="s">
        <v>856</v>
      </c>
      <c r="K1806" s="27" t="s">
        <v>38</v>
      </c>
      <c r="L1806" s="27"/>
    </row>
    <row r="1807" customFormat="false" ht="15" hidden="false" customHeight="false" outlineLevel="0" collapsed="false">
      <c r="A1807" s="26" t="s">
        <v>6678</v>
      </c>
      <c r="B1807" s="27" t="s">
        <v>6679</v>
      </c>
      <c r="C1807" s="27" t="s">
        <v>144</v>
      </c>
      <c r="D1807" s="26" t="s">
        <v>6680</v>
      </c>
      <c r="E1807" s="27" t="s">
        <v>6681</v>
      </c>
      <c r="F1807" s="28" t="s">
        <v>146</v>
      </c>
      <c r="G1807" s="27" t="s">
        <v>3537</v>
      </c>
      <c r="H1807" s="27" t="s">
        <v>56</v>
      </c>
      <c r="I1807" s="27" t="s">
        <v>38</v>
      </c>
      <c r="J1807" s="28" t="s">
        <v>856</v>
      </c>
      <c r="K1807" s="27" t="s">
        <v>38</v>
      </c>
      <c r="L1807" s="27"/>
    </row>
    <row r="1808" customFormat="false" ht="15" hidden="false" customHeight="false" outlineLevel="0" collapsed="false">
      <c r="A1808" s="26" t="s">
        <v>6682</v>
      </c>
      <c r="B1808" s="27" t="s">
        <v>6683</v>
      </c>
      <c r="C1808" s="27" t="s">
        <v>144</v>
      </c>
      <c r="D1808" s="26" t="s">
        <v>6680</v>
      </c>
      <c r="E1808" s="27" t="s">
        <v>6681</v>
      </c>
      <c r="F1808" s="28" t="s">
        <v>146</v>
      </c>
      <c r="G1808" s="27" t="s">
        <v>3537</v>
      </c>
      <c r="H1808" s="27" t="s">
        <v>56</v>
      </c>
      <c r="I1808" s="27" t="s">
        <v>38</v>
      </c>
      <c r="J1808" s="28" t="s">
        <v>856</v>
      </c>
      <c r="K1808" s="27" t="s">
        <v>38</v>
      </c>
      <c r="L1808" s="27"/>
    </row>
    <row r="1809" customFormat="false" ht="15" hidden="false" customHeight="false" outlineLevel="0" collapsed="false">
      <c r="A1809" s="26" t="s">
        <v>6684</v>
      </c>
      <c r="B1809" s="27" t="s">
        <v>6685</v>
      </c>
      <c r="C1809" s="27" t="s">
        <v>144</v>
      </c>
      <c r="D1809" s="26" t="s">
        <v>877</v>
      </c>
      <c r="E1809" s="27" t="s">
        <v>878</v>
      </c>
      <c r="F1809" s="28" t="s">
        <v>146</v>
      </c>
      <c r="G1809" s="27" t="s">
        <v>3537</v>
      </c>
      <c r="H1809" s="27" t="s">
        <v>56</v>
      </c>
      <c r="I1809" s="27" t="s">
        <v>38</v>
      </c>
      <c r="J1809" s="28" t="s">
        <v>856</v>
      </c>
      <c r="K1809" s="27" t="s">
        <v>38</v>
      </c>
      <c r="L1809" s="27"/>
    </row>
    <row r="1810" customFormat="false" ht="15" hidden="false" customHeight="false" outlineLevel="0" collapsed="false">
      <c r="A1810" s="26" t="s">
        <v>6686</v>
      </c>
      <c r="B1810" s="27" t="s">
        <v>6687</v>
      </c>
      <c r="C1810" s="27" t="s">
        <v>144</v>
      </c>
      <c r="D1810" s="26" t="s">
        <v>6680</v>
      </c>
      <c r="E1810" s="27" t="s">
        <v>6681</v>
      </c>
      <c r="F1810" s="28" t="s">
        <v>146</v>
      </c>
      <c r="G1810" s="27" t="s">
        <v>3537</v>
      </c>
      <c r="H1810" s="27" t="s">
        <v>56</v>
      </c>
      <c r="I1810" s="27" t="s">
        <v>38</v>
      </c>
      <c r="J1810" s="28" t="s">
        <v>856</v>
      </c>
      <c r="K1810" s="27" t="s">
        <v>38</v>
      </c>
      <c r="L1810" s="27"/>
    </row>
    <row r="1811" customFormat="false" ht="15" hidden="false" customHeight="false" outlineLevel="0" collapsed="false">
      <c r="A1811" s="26" t="s">
        <v>6688</v>
      </c>
      <c r="B1811" s="27" t="s">
        <v>6689</v>
      </c>
      <c r="C1811" s="27" t="s">
        <v>144</v>
      </c>
      <c r="D1811" s="26" t="s">
        <v>6570</v>
      </c>
      <c r="E1811" s="27" t="s">
        <v>6571</v>
      </c>
      <c r="F1811" s="28" t="s">
        <v>146</v>
      </c>
      <c r="G1811" s="27" t="s">
        <v>3537</v>
      </c>
      <c r="H1811" s="27" t="s">
        <v>57</v>
      </c>
      <c r="I1811" s="27" t="s">
        <v>887</v>
      </c>
      <c r="J1811" s="28" t="s">
        <v>856</v>
      </c>
      <c r="K1811" s="27" t="s">
        <v>38</v>
      </c>
      <c r="L1811" s="27"/>
    </row>
    <row r="1812" customFormat="false" ht="15" hidden="false" customHeight="false" outlineLevel="0" collapsed="false">
      <c r="A1812" s="26" t="s">
        <v>6690</v>
      </c>
      <c r="B1812" s="27" t="s">
        <v>6691</v>
      </c>
      <c r="C1812" s="27" t="s">
        <v>144</v>
      </c>
      <c r="D1812" s="26" t="s">
        <v>6578</v>
      </c>
      <c r="E1812" s="27" t="s">
        <v>6579</v>
      </c>
      <c r="F1812" s="28" t="s">
        <v>146</v>
      </c>
      <c r="G1812" s="27" t="s">
        <v>3537</v>
      </c>
      <c r="H1812" s="27" t="s">
        <v>56</v>
      </c>
      <c r="I1812" s="27" t="s">
        <v>38</v>
      </c>
      <c r="J1812" s="28" t="s">
        <v>856</v>
      </c>
      <c r="K1812" s="27" t="s">
        <v>38</v>
      </c>
      <c r="L1812" s="27"/>
    </row>
    <row r="1813" customFormat="false" ht="15" hidden="false" customHeight="false" outlineLevel="0" collapsed="false">
      <c r="A1813" s="26" t="s">
        <v>6692</v>
      </c>
      <c r="B1813" s="27" t="s">
        <v>6693</v>
      </c>
      <c r="C1813" s="27" t="s">
        <v>144</v>
      </c>
      <c r="D1813" s="26" t="s">
        <v>6694</v>
      </c>
      <c r="E1813" s="27" t="s">
        <v>6695</v>
      </c>
      <c r="F1813" s="28" t="s">
        <v>146</v>
      </c>
      <c r="G1813" s="27" t="s">
        <v>3537</v>
      </c>
      <c r="H1813" s="27" t="s">
        <v>56</v>
      </c>
      <c r="I1813" s="27" t="s">
        <v>38</v>
      </c>
      <c r="J1813" s="28" t="s">
        <v>856</v>
      </c>
      <c r="K1813" s="27" t="s">
        <v>38</v>
      </c>
      <c r="L1813" s="27"/>
    </row>
    <row r="1814" customFormat="false" ht="15" hidden="false" customHeight="false" outlineLevel="0" collapsed="false">
      <c r="A1814" s="26" t="s">
        <v>6696</v>
      </c>
      <c r="B1814" s="27" t="s">
        <v>6697</v>
      </c>
      <c r="C1814" s="27" t="s">
        <v>144</v>
      </c>
      <c r="D1814" s="26" t="s">
        <v>6698</v>
      </c>
      <c r="E1814" s="27" t="s">
        <v>6699</v>
      </c>
      <c r="F1814" s="28" t="s">
        <v>146</v>
      </c>
      <c r="G1814" s="27" t="s">
        <v>3537</v>
      </c>
      <c r="H1814" s="27" t="s">
        <v>56</v>
      </c>
      <c r="I1814" s="27" t="s">
        <v>38</v>
      </c>
      <c r="J1814" s="28" t="s">
        <v>856</v>
      </c>
      <c r="K1814" s="27" t="s">
        <v>38</v>
      </c>
      <c r="L1814" s="27"/>
    </row>
    <row r="1815" customFormat="false" ht="15" hidden="false" customHeight="false" outlineLevel="0" collapsed="false">
      <c r="A1815" s="26" t="s">
        <v>6700</v>
      </c>
      <c r="B1815" s="27" t="s">
        <v>6701</v>
      </c>
      <c r="C1815" s="27" t="s">
        <v>144</v>
      </c>
      <c r="D1815" s="26" t="s">
        <v>6702</v>
      </c>
      <c r="E1815" s="27" t="s">
        <v>6703</v>
      </c>
      <c r="F1815" s="28" t="s">
        <v>146</v>
      </c>
      <c r="G1815" s="27" t="s">
        <v>3537</v>
      </c>
      <c r="H1815" s="27" t="s">
        <v>57</v>
      </c>
      <c r="I1815" s="27" t="s">
        <v>887</v>
      </c>
      <c r="J1815" s="28" t="s">
        <v>856</v>
      </c>
      <c r="K1815" s="27" t="s">
        <v>38</v>
      </c>
      <c r="L1815" s="27"/>
    </row>
    <row r="1816" customFormat="false" ht="15" hidden="false" customHeight="false" outlineLevel="0" collapsed="false">
      <c r="A1816" s="26" t="s">
        <v>6704</v>
      </c>
      <c r="B1816" s="27" t="s">
        <v>6705</v>
      </c>
      <c r="C1816" s="27" t="s">
        <v>144</v>
      </c>
      <c r="D1816" s="26" t="s">
        <v>6706</v>
      </c>
      <c r="E1816" s="27" t="s">
        <v>6707</v>
      </c>
      <c r="F1816" s="28" t="s">
        <v>146</v>
      </c>
      <c r="G1816" s="27" t="s">
        <v>3537</v>
      </c>
      <c r="H1816" s="27" t="s">
        <v>57</v>
      </c>
      <c r="I1816" s="27" t="s">
        <v>887</v>
      </c>
      <c r="J1816" s="28" t="s">
        <v>856</v>
      </c>
      <c r="K1816" s="27" t="s">
        <v>38</v>
      </c>
      <c r="L1816" s="27"/>
    </row>
    <row r="1817" customFormat="false" ht="15" hidden="false" customHeight="false" outlineLevel="0" collapsed="false">
      <c r="A1817" s="26" t="s">
        <v>6708</v>
      </c>
      <c r="B1817" s="27" t="s">
        <v>6709</v>
      </c>
      <c r="C1817" s="27" t="s">
        <v>144</v>
      </c>
      <c r="D1817" s="26" t="s">
        <v>6710</v>
      </c>
      <c r="E1817" s="27" t="s">
        <v>6711</v>
      </c>
      <c r="F1817" s="28" t="s">
        <v>146</v>
      </c>
      <c r="G1817" s="27" t="s">
        <v>3537</v>
      </c>
      <c r="H1817" s="27" t="s">
        <v>57</v>
      </c>
      <c r="I1817" s="27" t="s">
        <v>37</v>
      </c>
      <c r="J1817" s="28" t="s">
        <v>856</v>
      </c>
      <c r="K1817" s="27" t="s">
        <v>38</v>
      </c>
      <c r="L1817" s="27"/>
    </row>
    <row r="1818" customFormat="false" ht="15" hidden="false" customHeight="false" outlineLevel="0" collapsed="false">
      <c r="A1818" s="26" t="s">
        <v>6712</v>
      </c>
      <c r="B1818" s="27" t="s">
        <v>6713</v>
      </c>
      <c r="C1818" s="27" t="s">
        <v>144</v>
      </c>
      <c r="D1818" s="26" t="s">
        <v>6714</v>
      </c>
      <c r="E1818" s="27" t="s">
        <v>6715</v>
      </c>
      <c r="F1818" s="28" t="s">
        <v>146</v>
      </c>
      <c r="G1818" s="27" t="s">
        <v>3537</v>
      </c>
      <c r="H1818" s="27" t="s">
        <v>56</v>
      </c>
      <c r="I1818" s="27" t="s">
        <v>38</v>
      </c>
      <c r="J1818" s="28" t="s">
        <v>856</v>
      </c>
      <c r="K1818" s="27" t="s">
        <v>38</v>
      </c>
      <c r="L1818" s="27"/>
    </row>
    <row r="1819" customFormat="false" ht="15" hidden="false" customHeight="false" outlineLevel="0" collapsed="false">
      <c r="A1819" s="26" t="s">
        <v>6716</v>
      </c>
      <c r="B1819" s="27" t="s">
        <v>6717</v>
      </c>
      <c r="C1819" s="27" t="s">
        <v>144</v>
      </c>
      <c r="D1819" s="26" t="s">
        <v>6718</v>
      </c>
      <c r="E1819" s="27" t="s">
        <v>6719</v>
      </c>
      <c r="F1819" s="28" t="s">
        <v>146</v>
      </c>
      <c r="G1819" s="27" t="s">
        <v>3537</v>
      </c>
      <c r="H1819" s="27" t="s">
        <v>56</v>
      </c>
      <c r="I1819" s="27" t="s">
        <v>38</v>
      </c>
      <c r="J1819" s="28" t="s">
        <v>856</v>
      </c>
      <c r="K1819" s="27" t="s">
        <v>38</v>
      </c>
      <c r="L1819" s="27"/>
    </row>
    <row r="1820" customFormat="false" ht="15" hidden="false" customHeight="false" outlineLevel="0" collapsed="false">
      <c r="A1820" s="26" t="s">
        <v>6720</v>
      </c>
      <c r="B1820" s="27" t="s">
        <v>6721</v>
      </c>
      <c r="C1820" s="27" t="s">
        <v>144</v>
      </c>
      <c r="D1820" s="26" t="s">
        <v>6722</v>
      </c>
      <c r="E1820" s="27" t="s">
        <v>6723</v>
      </c>
      <c r="F1820" s="28" t="s">
        <v>146</v>
      </c>
      <c r="G1820" s="27" t="s">
        <v>3537</v>
      </c>
      <c r="H1820" s="27" t="s">
        <v>57</v>
      </c>
      <c r="I1820" s="27" t="s">
        <v>887</v>
      </c>
      <c r="J1820" s="28" t="s">
        <v>856</v>
      </c>
      <c r="K1820" s="27" t="s">
        <v>38</v>
      </c>
      <c r="L1820" s="27"/>
    </row>
    <row r="1821" customFormat="false" ht="15" hidden="false" customHeight="false" outlineLevel="0" collapsed="false">
      <c r="A1821" s="26" t="s">
        <v>6724</v>
      </c>
      <c r="B1821" s="27" t="s">
        <v>6725</v>
      </c>
      <c r="C1821" s="27" t="s">
        <v>144</v>
      </c>
      <c r="D1821" s="26" t="s">
        <v>6722</v>
      </c>
      <c r="E1821" s="27" t="s">
        <v>6723</v>
      </c>
      <c r="F1821" s="28" t="s">
        <v>146</v>
      </c>
      <c r="G1821" s="27" t="s">
        <v>3537</v>
      </c>
      <c r="H1821" s="27" t="s">
        <v>57</v>
      </c>
      <c r="I1821" s="27" t="s">
        <v>887</v>
      </c>
      <c r="J1821" s="28" t="s">
        <v>856</v>
      </c>
      <c r="K1821" s="27" t="s">
        <v>38</v>
      </c>
      <c r="L1821" s="27"/>
    </row>
    <row r="1822" customFormat="false" ht="15" hidden="false" customHeight="false" outlineLevel="0" collapsed="false">
      <c r="A1822" s="26" t="s">
        <v>6726</v>
      </c>
      <c r="B1822" s="27" t="s">
        <v>6727</v>
      </c>
      <c r="C1822" s="27" t="s">
        <v>144</v>
      </c>
      <c r="D1822" s="26" t="s">
        <v>6728</v>
      </c>
      <c r="E1822" s="27" t="s">
        <v>6729</v>
      </c>
      <c r="F1822" s="28" t="s">
        <v>146</v>
      </c>
      <c r="G1822" s="27" t="s">
        <v>3537</v>
      </c>
      <c r="H1822" s="27" t="s">
        <v>56</v>
      </c>
      <c r="I1822" s="27" t="s">
        <v>38</v>
      </c>
      <c r="J1822" s="28" t="s">
        <v>856</v>
      </c>
      <c r="K1822" s="27" t="s">
        <v>38</v>
      </c>
      <c r="L1822" s="27"/>
    </row>
    <row r="1823" customFormat="false" ht="15" hidden="false" customHeight="false" outlineLevel="0" collapsed="false">
      <c r="A1823" s="26" t="s">
        <v>6730</v>
      </c>
      <c r="B1823" s="27" t="s">
        <v>6731</v>
      </c>
      <c r="C1823" s="27" t="s">
        <v>144</v>
      </c>
      <c r="D1823" s="26" t="s">
        <v>6732</v>
      </c>
      <c r="E1823" s="27" t="s">
        <v>6733</v>
      </c>
      <c r="F1823" s="28" t="s">
        <v>146</v>
      </c>
      <c r="G1823" s="27" t="s">
        <v>3537</v>
      </c>
      <c r="H1823" s="27" t="s">
        <v>56</v>
      </c>
      <c r="I1823" s="27" t="s">
        <v>38</v>
      </c>
      <c r="J1823" s="28" t="s">
        <v>856</v>
      </c>
      <c r="K1823" s="27" t="s">
        <v>38</v>
      </c>
      <c r="L1823" s="27"/>
    </row>
    <row r="1824" customFormat="false" ht="15" hidden="false" customHeight="false" outlineLevel="0" collapsed="false">
      <c r="A1824" s="26" t="s">
        <v>6734</v>
      </c>
      <c r="B1824" s="27" t="s">
        <v>6735</v>
      </c>
      <c r="C1824" s="27" t="s">
        <v>144</v>
      </c>
      <c r="D1824" s="26" t="s">
        <v>6736</v>
      </c>
      <c r="E1824" s="27" t="s">
        <v>6737</v>
      </c>
      <c r="F1824" s="28" t="s">
        <v>146</v>
      </c>
      <c r="G1824" s="27" t="s">
        <v>3537</v>
      </c>
      <c r="H1824" s="27" t="s">
        <v>56</v>
      </c>
      <c r="I1824" s="27" t="s">
        <v>38</v>
      </c>
      <c r="J1824" s="28" t="s">
        <v>856</v>
      </c>
      <c r="K1824" s="27" t="s">
        <v>38</v>
      </c>
      <c r="L1824" s="27"/>
    </row>
    <row r="1825" customFormat="false" ht="15" hidden="false" customHeight="false" outlineLevel="0" collapsed="false">
      <c r="A1825" s="26" t="s">
        <v>6738</v>
      </c>
      <c r="B1825" s="27" t="s">
        <v>6739</v>
      </c>
      <c r="C1825" s="27" t="s">
        <v>144</v>
      </c>
      <c r="D1825" s="26" t="s">
        <v>6736</v>
      </c>
      <c r="E1825" s="27" t="s">
        <v>6737</v>
      </c>
      <c r="F1825" s="28" t="s">
        <v>146</v>
      </c>
      <c r="G1825" s="27" t="s">
        <v>3537</v>
      </c>
      <c r="H1825" s="27" t="s">
        <v>56</v>
      </c>
      <c r="I1825" s="27" t="s">
        <v>38</v>
      </c>
      <c r="J1825" s="28" t="s">
        <v>856</v>
      </c>
      <c r="K1825" s="27" t="s">
        <v>38</v>
      </c>
      <c r="L1825" s="27"/>
    </row>
    <row r="1826" customFormat="false" ht="15" hidden="false" customHeight="false" outlineLevel="0" collapsed="false">
      <c r="A1826" s="26" t="s">
        <v>6740</v>
      </c>
      <c r="B1826" s="27" t="s">
        <v>6741</v>
      </c>
      <c r="C1826" s="27" t="s">
        <v>144</v>
      </c>
      <c r="D1826" s="26" t="s">
        <v>6742</v>
      </c>
      <c r="E1826" s="27" t="s">
        <v>6743</v>
      </c>
      <c r="F1826" s="28" t="s">
        <v>146</v>
      </c>
      <c r="G1826" s="27" t="s">
        <v>3537</v>
      </c>
      <c r="H1826" s="27" t="s">
        <v>56</v>
      </c>
      <c r="I1826" s="27" t="s">
        <v>38</v>
      </c>
      <c r="J1826" s="28" t="s">
        <v>856</v>
      </c>
      <c r="K1826" s="27" t="s">
        <v>38</v>
      </c>
      <c r="L1826" s="27"/>
    </row>
    <row r="1827" customFormat="false" ht="15" hidden="false" customHeight="false" outlineLevel="0" collapsed="false">
      <c r="A1827" s="26" t="s">
        <v>6744</v>
      </c>
      <c r="B1827" s="27" t="s">
        <v>6745</v>
      </c>
      <c r="C1827" s="27" t="s">
        <v>144</v>
      </c>
      <c r="D1827" s="26" t="s">
        <v>6746</v>
      </c>
      <c r="E1827" s="27" t="s">
        <v>6747</v>
      </c>
      <c r="F1827" s="28" t="s">
        <v>146</v>
      </c>
      <c r="G1827" s="27" t="s">
        <v>3537</v>
      </c>
      <c r="H1827" s="27" t="s">
        <v>57</v>
      </c>
      <c r="I1827" s="27" t="s">
        <v>887</v>
      </c>
      <c r="J1827" s="28" t="s">
        <v>856</v>
      </c>
      <c r="K1827" s="27" t="s">
        <v>38</v>
      </c>
      <c r="L1827" s="27"/>
    </row>
    <row r="1828" customFormat="false" ht="15" hidden="false" customHeight="false" outlineLevel="0" collapsed="false">
      <c r="A1828" s="26" t="s">
        <v>6748</v>
      </c>
      <c r="B1828" s="27" t="s">
        <v>6749</v>
      </c>
      <c r="C1828" s="27" t="s">
        <v>144</v>
      </c>
      <c r="D1828" s="26" t="s">
        <v>6750</v>
      </c>
      <c r="E1828" s="27" t="s">
        <v>6751</v>
      </c>
      <c r="F1828" s="28" t="s">
        <v>146</v>
      </c>
      <c r="G1828" s="27" t="s">
        <v>3537</v>
      </c>
      <c r="H1828" s="27" t="s">
        <v>57</v>
      </c>
      <c r="I1828" s="27" t="s">
        <v>887</v>
      </c>
      <c r="J1828" s="28" t="s">
        <v>856</v>
      </c>
      <c r="K1828" s="27" t="s">
        <v>38</v>
      </c>
      <c r="L1828" s="27"/>
    </row>
    <row r="1829" customFormat="false" ht="15" hidden="false" customHeight="false" outlineLevel="0" collapsed="false">
      <c r="A1829" s="26" t="s">
        <v>6752</v>
      </c>
      <c r="B1829" s="27" t="s">
        <v>6753</v>
      </c>
      <c r="C1829" s="27" t="s">
        <v>144</v>
      </c>
      <c r="D1829" s="26" t="s">
        <v>6754</v>
      </c>
      <c r="E1829" s="27" t="s">
        <v>6755</v>
      </c>
      <c r="F1829" s="28" t="s">
        <v>146</v>
      </c>
      <c r="G1829" s="27" t="s">
        <v>3537</v>
      </c>
      <c r="H1829" s="27" t="s">
        <v>56</v>
      </c>
      <c r="I1829" s="27" t="s">
        <v>38</v>
      </c>
      <c r="J1829" s="28" t="s">
        <v>856</v>
      </c>
      <c r="K1829" s="27" t="s">
        <v>38</v>
      </c>
      <c r="L1829" s="27"/>
    </row>
    <row r="1830" customFormat="false" ht="15" hidden="false" customHeight="false" outlineLevel="0" collapsed="false">
      <c r="A1830" s="26" t="s">
        <v>6756</v>
      </c>
      <c r="B1830" s="27" t="s">
        <v>6757</v>
      </c>
      <c r="C1830" s="27" t="s">
        <v>144</v>
      </c>
      <c r="D1830" s="26" t="s">
        <v>6758</v>
      </c>
      <c r="E1830" s="27" t="s">
        <v>6759</v>
      </c>
      <c r="F1830" s="28" t="s">
        <v>146</v>
      </c>
      <c r="G1830" s="27" t="s">
        <v>3537</v>
      </c>
      <c r="H1830" s="27" t="s">
        <v>57</v>
      </c>
      <c r="I1830" s="27" t="s">
        <v>887</v>
      </c>
      <c r="J1830" s="28" t="s">
        <v>856</v>
      </c>
      <c r="K1830" s="27" t="s">
        <v>38</v>
      </c>
      <c r="L1830" s="27"/>
    </row>
    <row r="1831" customFormat="false" ht="15" hidden="false" customHeight="false" outlineLevel="0" collapsed="false">
      <c r="A1831" s="26" t="s">
        <v>6760</v>
      </c>
      <c r="B1831" s="27" t="s">
        <v>6761</v>
      </c>
      <c r="C1831" s="27" t="s">
        <v>144</v>
      </c>
      <c r="D1831" s="26" t="s">
        <v>6762</v>
      </c>
      <c r="E1831" s="27" t="s">
        <v>6763</v>
      </c>
      <c r="F1831" s="28" t="s">
        <v>146</v>
      </c>
      <c r="G1831" s="27" t="s">
        <v>3537</v>
      </c>
      <c r="H1831" s="27" t="s">
        <v>57</v>
      </c>
      <c r="I1831" s="27" t="s">
        <v>887</v>
      </c>
      <c r="J1831" s="28" t="s">
        <v>856</v>
      </c>
      <c r="K1831" s="27" t="s">
        <v>38</v>
      </c>
      <c r="L1831" s="27"/>
    </row>
    <row r="1832" customFormat="false" ht="15" hidden="false" customHeight="false" outlineLevel="0" collapsed="false">
      <c r="A1832" s="26" t="s">
        <v>6764</v>
      </c>
      <c r="B1832" s="27" t="s">
        <v>6765</v>
      </c>
      <c r="C1832" s="27" t="s">
        <v>144</v>
      </c>
      <c r="D1832" s="26" t="s">
        <v>6766</v>
      </c>
      <c r="E1832" s="27" t="s">
        <v>6767</v>
      </c>
      <c r="F1832" s="28" t="s">
        <v>146</v>
      </c>
      <c r="G1832" s="27" t="s">
        <v>3537</v>
      </c>
      <c r="H1832" s="27" t="s">
        <v>57</v>
      </c>
      <c r="I1832" s="27" t="s">
        <v>887</v>
      </c>
      <c r="J1832" s="28" t="s">
        <v>856</v>
      </c>
      <c r="K1832" s="27" t="s">
        <v>38</v>
      </c>
      <c r="L1832" s="27"/>
    </row>
    <row r="1833" customFormat="false" ht="15" hidden="false" customHeight="false" outlineLevel="0" collapsed="false">
      <c r="A1833" s="26" t="s">
        <v>6768</v>
      </c>
      <c r="B1833" s="27" t="s">
        <v>6769</v>
      </c>
      <c r="C1833" s="27" t="s">
        <v>144</v>
      </c>
      <c r="D1833" s="26" t="s">
        <v>6562</v>
      </c>
      <c r="E1833" s="27" t="s">
        <v>6563</v>
      </c>
      <c r="F1833" s="28" t="s">
        <v>146</v>
      </c>
      <c r="G1833" s="27" t="s">
        <v>3537</v>
      </c>
      <c r="H1833" s="27" t="s">
        <v>56</v>
      </c>
      <c r="I1833" s="27" t="s">
        <v>38</v>
      </c>
      <c r="J1833" s="28" t="s">
        <v>856</v>
      </c>
      <c r="K1833" s="27" t="s">
        <v>38</v>
      </c>
      <c r="L1833" s="27"/>
    </row>
    <row r="1834" customFormat="false" ht="15" hidden="false" customHeight="false" outlineLevel="0" collapsed="false">
      <c r="A1834" s="26" t="s">
        <v>6770</v>
      </c>
      <c r="B1834" s="27" t="s">
        <v>6771</v>
      </c>
      <c r="C1834" s="27" t="s">
        <v>144</v>
      </c>
      <c r="D1834" s="26" t="s">
        <v>6772</v>
      </c>
      <c r="E1834" s="27" t="s">
        <v>6773</v>
      </c>
      <c r="F1834" s="28" t="s">
        <v>146</v>
      </c>
      <c r="G1834" s="27" t="s">
        <v>3537</v>
      </c>
      <c r="H1834" s="27" t="s">
        <v>56</v>
      </c>
      <c r="I1834" s="27" t="s">
        <v>38</v>
      </c>
      <c r="J1834" s="28" t="s">
        <v>856</v>
      </c>
      <c r="K1834" s="27" t="s">
        <v>38</v>
      </c>
      <c r="L1834" s="27"/>
    </row>
    <row r="1835" customFormat="false" ht="15" hidden="false" customHeight="false" outlineLevel="0" collapsed="false">
      <c r="A1835" s="26" t="s">
        <v>6774</v>
      </c>
      <c r="B1835" s="27" t="s">
        <v>6775</v>
      </c>
      <c r="C1835" s="27" t="s">
        <v>144</v>
      </c>
      <c r="D1835" s="26" t="s">
        <v>6776</v>
      </c>
      <c r="E1835" s="27" t="s">
        <v>6777</v>
      </c>
      <c r="F1835" s="28" t="s">
        <v>146</v>
      </c>
      <c r="G1835" s="27" t="s">
        <v>3537</v>
      </c>
      <c r="H1835" s="27" t="s">
        <v>56</v>
      </c>
      <c r="I1835" s="27" t="s">
        <v>38</v>
      </c>
      <c r="J1835" s="28" t="s">
        <v>856</v>
      </c>
      <c r="K1835" s="27" t="s">
        <v>38</v>
      </c>
      <c r="L1835" s="27"/>
    </row>
    <row r="1836" customFormat="false" ht="15" hidden="false" customHeight="false" outlineLevel="0" collapsed="false">
      <c r="A1836" s="26" t="s">
        <v>6778</v>
      </c>
      <c r="B1836" s="27" t="s">
        <v>6779</v>
      </c>
      <c r="C1836" s="27" t="s">
        <v>144</v>
      </c>
      <c r="D1836" s="26" t="s">
        <v>6780</v>
      </c>
      <c r="E1836" s="27" t="s">
        <v>6781</v>
      </c>
      <c r="F1836" s="28" t="s">
        <v>146</v>
      </c>
      <c r="G1836" s="27" t="s">
        <v>3537</v>
      </c>
      <c r="H1836" s="27" t="s">
        <v>56</v>
      </c>
      <c r="I1836" s="27" t="s">
        <v>38</v>
      </c>
      <c r="J1836" s="28" t="s">
        <v>856</v>
      </c>
      <c r="K1836" s="27" t="s">
        <v>38</v>
      </c>
      <c r="L1836" s="27"/>
    </row>
    <row r="1837" customFormat="false" ht="15" hidden="false" customHeight="false" outlineLevel="0" collapsed="false">
      <c r="A1837" s="26" t="s">
        <v>6782</v>
      </c>
      <c r="B1837" s="27" t="s">
        <v>6783</v>
      </c>
      <c r="C1837" s="27" t="s">
        <v>144</v>
      </c>
      <c r="D1837" s="26" t="s">
        <v>6784</v>
      </c>
      <c r="E1837" s="27" t="s">
        <v>6785</v>
      </c>
      <c r="F1837" s="28" t="s">
        <v>146</v>
      </c>
      <c r="G1837" s="27" t="s">
        <v>3537</v>
      </c>
      <c r="H1837" s="27" t="s">
        <v>57</v>
      </c>
      <c r="I1837" s="27" t="s">
        <v>37</v>
      </c>
      <c r="J1837" s="28" t="s">
        <v>856</v>
      </c>
      <c r="K1837" s="27" t="s">
        <v>38</v>
      </c>
      <c r="L1837" s="27"/>
    </row>
    <row r="1838" customFormat="false" ht="15" hidden="false" customHeight="false" outlineLevel="0" collapsed="false">
      <c r="A1838" s="26" t="s">
        <v>6786</v>
      </c>
      <c r="B1838" s="27" t="s">
        <v>6787</v>
      </c>
      <c r="C1838" s="27" t="s">
        <v>144</v>
      </c>
      <c r="D1838" s="26" t="s">
        <v>6788</v>
      </c>
      <c r="E1838" s="27" t="s">
        <v>6789</v>
      </c>
      <c r="F1838" s="28" t="s">
        <v>146</v>
      </c>
      <c r="G1838" s="27" t="s">
        <v>3537</v>
      </c>
      <c r="H1838" s="27" t="s">
        <v>56</v>
      </c>
      <c r="I1838" s="27" t="s">
        <v>38</v>
      </c>
      <c r="J1838" s="28" t="s">
        <v>856</v>
      </c>
      <c r="K1838" s="27" t="s">
        <v>38</v>
      </c>
      <c r="L1838" s="27"/>
    </row>
    <row r="1839" customFormat="false" ht="15" hidden="false" customHeight="false" outlineLevel="0" collapsed="false">
      <c r="A1839" s="26" t="s">
        <v>6790</v>
      </c>
      <c r="B1839" s="27" t="s">
        <v>6791</v>
      </c>
      <c r="C1839" s="27" t="s">
        <v>144</v>
      </c>
      <c r="D1839" s="26" t="s">
        <v>6792</v>
      </c>
      <c r="E1839" s="27" t="s">
        <v>6793</v>
      </c>
      <c r="F1839" s="28" t="s">
        <v>146</v>
      </c>
      <c r="G1839" s="27" t="s">
        <v>3537</v>
      </c>
      <c r="H1839" s="27" t="s">
        <v>56</v>
      </c>
      <c r="I1839" s="27" t="s">
        <v>38</v>
      </c>
      <c r="J1839" s="28" t="s">
        <v>856</v>
      </c>
      <c r="K1839" s="27" t="s">
        <v>38</v>
      </c>
      <c r="L1839" s="27"/>
    </row>
    <row r="1840" customFormat="false" ht="15" hidden="false" customHeight="false" outlineLevel="0" collapsed="false">
      <c r="A1840" s="26" t="s">
        <v>6794</v>
      </c>
      <c r="B1840" s="27" t="s">
        <v>6795</v>
      </c>
      <c r="C1840" s="27" t="s">
        <v>144</v>
      </c>
      <c r="D1840" s="26" t="s">
        <v>6796</v>
      </c>
      <c r="E1840" s="27" t="s">
        <v>6797</v>
      </c>
      <c r="F1840" s="28" t="s">
        <v>146</v>
      </c>
      <c r="G1840" s="27" t="s">
        <v>3537</v>
      </c>
      <c r="H1840" s="27" t="s">
        <v>56</v>
      </c>
      <c r="I1840" s="27" t="s">
        <v>38</v>
      </c>
      <c r="J1840" s="28" t="s">
        <v>856</v>
      </c>
      <c r="K1840" s="27" t="s">
        <v>38</v>
      </c>
      <c r="L1840" s="27"/>
    </row>
    <row r="1841" customFormat="false" ht="15" hidden="false" customHeight="false" outlineLevel="0" collapsed="false">
      <c r="A1841" s="26" t="s">
        <v>6798</v>
      </c>
      <c r="B1841" s="27" t="s">
        <v>6799</v>
      </c>
      <c r="C1841" s="27" t="s">
        <v>144</v>
      </c>
      <c r="D1841" s="26" t="s">
        <v>6800</v>
      </c>
      <c r="E1841" s="27" t="s">
        <v>6801</v>
      </c>
      <c r="F1841" s="28" t="s">
        <v>146</v>
      </c>
      <c r="G1841" s="27" t="s">
        <v>3537</v>
      </c>
      <c r="H1841" s="27" t="s">
        <v>56</v>
      </c>
      <c r="I1841" s="27" t="s">
        <v>38</v>
      </c>
      <c r="J1841" s="28" t="s">
        <v>856</v>
      </c>
      <c r="K1841" s="27" t="s">
        <v>38</v>
      </c>
      <c r="L1841" s="27"/>
    </row>
    <row r="1842" customFormat="false" ht="15" hidden="false" customHeight="false" outlineLevel="0" collapsed="false">
      <c r="A1842" s="26" t="s">
        <v>6802</v>
      </c>
      <c r="B1842" s="27" t="s">
        <v>6803</v>
      </c>
      <c r="C1842" s="27" t="s">
        <v>144</v>
      </c>
      <c r="D1842" s="26" t="s">
        <v>6804</v>
      </c>
      <c r="E1842" s="27" t="s">
        <v>6805</v>
      </c>
      <c r="F1842" s="28" t="s">
        <v>146</v>
      </c>
      <c r="G1842" s="27" t="s">
        <v>3537</v>
      </c>
      <c r="H1842" s="27" t="s">
        <v>56</v>
      </c>
      <c r="I1842" s="27" t="s">
        <v>38</v>
      </c>
      <c r="J1842" s="28" t="s">
        <v>856</v>
      </c>
      <c r="K1842" s="27" t="s">
        <v>38</v>
      </c>
      <c r="L1842" s="27"/>
    </row>
    <row r="1843" customFormat="false" ht="15" hidden="false" customHeight="false" outlineLevel="0" collapsed="false">
      <c r="A1843" s="26" t="s">
        <v>6806</v>
      </c>
      <c r="B1843" s="27" t="s">
        <v>6807</v>
      </c>
      <c r="C1843" s="27" t="s">
        <v>144</v>
      </c>
      <c r="D1843" s="26" t="s">
        <v>6808</v>
      </c>
      <c r="E1843" s="27" t="s">
        <v>6809</v>
      </c>
      <c r="F1843" s="28" t="s">
        <v>146</v>
      </c>
      <c r="G1843" s="27" t="s">
        <v>3537</v>
      </c>
      <c r="H1843" s="27" t="s">
        <v>57</v>
      </c>
      <c r="I1843" s="27" t="s">
        <v>37</v>
      </c>
      <c r="J1843" s="28" t="s">
        <v>856</v>
      </c>
      <c r="K1843" s="27" t="s">
        <v>38</v>
      </c>
      <c r="L1843" s="27"/>
    </row>
    <row r="1844" customFormat="false" ht="15" hidden="false" customHeight="false" outlineLevel="0" collapsed="false">
      <c r="A1844" s="26" t="s">
        <v>6810</v>
      </c>
      <c r="B1844" s="27" t="s">
        <v>6811</v>
      </c>
      <c r="C1844" s="27" t="s">
        <v>144</v>
      </c>
      <c r="D1844" s="26" t="s">
        <v>6812</v>
      </c>
      <c r="E1844" s="27" t="s">
        <v>6813</v>
      </c>
      <c r="F1844" s="28" t="s">
        <v>146</v>
      </c>
      <c r="G1844" s="27" t="s">
        <v>3537</v>
      </c>
      <c r="H1844" s="27" t="s">
        <v>57</v>
      </c>
      <c r="I1844" s="27" t="s">
        <v>37</v>
      </c>
      <c r="J1844" s="28" t="s">
        <v>856</v>
      </c>
      <c r="K1844" s="27" t="s">
        <v>38</v>
      </c>
      <c r="L1844" s="27"/>
    </row>
    <row r="1845" customFormat="false" ht="15" hidden="false" customHeight="false" outlineLevel="0" collapsed="false">
      <c r="A1845" s="26" t="s">
        <v>6814</v>
      </c>
      <c r="B1845" s="27" t="s">
        <v>6815</v>
      </c>
      <c r="C1845" s="27" t="s">
        <v>144</v>
      </c>
      <c r="D1845" s="26" t="s">
        <v>6816</v>
      </c>
      <c r="E1845" s="27" t="s">
        <v>6817</v>
      </c>
      <c r="F1845" s="28" t="s">
        <v>146</v>
      </c>
      <c r="G1845" s="27" t="s">
        <v>3537</v>
      </c>
      <c r="H1845" s="27" t="s">
        <v>56</v>
      </c>
      <c r="I1845" s="27" t="s">
        <v>38</v>
      </c>
      <c r="J1845" s="28" t="s">
        <v>856</v>
      </c>
      <c r="K1845" s="27" t="s">
        <v>38</v>
      </c>
      <c r="L1845" s="27"/>
    </row>
    <row r="1846" customFormat="false" ht="15" hidden="false" customHeight="false" outlineLevel="0" collapsed="false">
      <c r="A1846" s="26" t="s">
        <v>6818</v>
      </c>
      <c r="B1846" s="27" t="s">
        <v>6819</v>
      </c>
      <c r="C1846" s="27" t="s">
        <v>144</v>
      </c>
      <c r="D1846" s="26" t="s">
        <v>6820</v>
      </c>
      <c r="E1846" s="27" t="s">
        <v>6821</v>
      </c>
      <c r="F1846" s="28" t="s">
        <v>146</v>
      </c>
      <c r="G1846" s="27" t="s">
        <v>3537</v>
      </c>
      <c r="H1846" s="27" t="s">
        <v>56</v>
      </c>
      <c r="I1846" s="27" t="s">
        <v>38</v>
      </c>
      <c r="J1846" s="28" t="s">
        <v>856</v>
      </c>
      <c r="K1846" s="27" t="s">
        <v>38</v>
      </c>
      <c r="L1846" s="27"/>
    </row>
    <row r="1847" customFormat="false" ht="15" hidden="false" customHeight="false" outlineLevel="0" collapsed="false">
      <c r="A1847" s="26" t="s">
        <v>6822</v>
      </c>
      <c r="B1847" s="27" t="s">
        <v>6823</v>
      </c>
      <c r="C1847" s="27" t="s">
        <v>144</v>
      </c>
      <c r="D1847" s="26" t="s">
        <v>6824</v>
      </c>
      <c r="E1847" s="27" t="s">
        <v>6825</v>
      </c>
      <c r="F1847" s="28" t="s">
        <v>146</v>
      </c>
      <c r="G1847" s="27" t="s">
        <v>3537</v>
      </c>
      <c r="H1847" s="27" t="s">
        <v>56</v>
      </c>
      <c r="I1847" s="27" t="s">
        <v>38</v>
      </c>
      <c r="J1847" s="28" t="s">
        <v>856</v>
      </c>
      <c r="K1847" s="27" t="s">
        <v>38</v>
      </c>
      <c r="L1847" s="27"/>
    </row>
    <row r="1848" customFormat="false" ht="15" hidden="false" customHeight="false" outlineLevel="0" collapsed="false">
      <c r="A1848" s="26" t="s">
        <v>6826</v>
      </c>
      <c r="B1848" s="27" t="s">
        <v>6827</v>
      </c>
      <c r="C1848" s="27" t="s">
        <v>144</v>
      </c>
      <c r="D1848" s="26" t="s">
        <v>6828</v>
      </c>
      <c r="E1848" s="27" t="s">
        <v>6829</v>
      </c>
      <c r="F1848" s="28" t="s">
        <v>146</v>
      </c>
      <c r="G1848" s="27" t="s">
        <v>3537</v>
      </c>
      <c r="H1848" s="27" t="s">
        <v>56</v>
      </c>
      <c r="I1848" s="27" t="s">
        <v>38</v>
      </c>
      <c r="J1848" s="28" t="s">
        <v>856</v>
      </c>
      <c r="K1848" s="27" t="s">
        <v>38</v>
      </c>
      <c r="L1848" s="27"/>
    </row>
    <row r="1849" customFormat="false" ht="15" hidden="false" customHeight="false" outlineLevel="0" collapsed="false">
      <c r="A1849" s="26" t="s">
        <v>6830</v>
      </c>
      <c r="B1849" s="27" t="s">
        <v>6831</v>
      </c>
      <c r="C1849" s="27" t="s">
        <v>144</v>
      </c>
      <c r="D1849" s="26" t="s">
        <v>6832</v>
      </c>
      <c r="E1849" s="27" t="s">
        <v>6833</v>
      </c>
      <c r="F1849" s="28" t="s">
        <v>146</v>
      </c>
      <c r="G1849" s="27" t="s">
        <v>3537</v>
      </c>
      <c r="H1849" s="27" t="s">
        <v>56</v>
      </c>
      <c r="I1849" s="27" t="s">
        <v>38</v>
      </c>
      <c r="J1849" s="28" t="s">
        <v>856</v>
      </c>
      <c r="K1849" s="27" t="s">
        <v>38</v>
      </c>
      <c r="L1849" s="27"/>
    </row>
    <row r="1850" customFormat="false" ht="15" hidden="false" customHeight="false" outlineLevel="0" collapsed="false">
      <c r="A1850" s="26" t="s">
        <v>6834</v>
      </c>
      <c r="B1850" s="27" t="s">
        <v>6835</v>
      </c>
      <c r="C1850" s="27" t="s">
        <v>144</v>
      </c>
      <c r="D1850" s="26" t="s">
        <v>6836</v>
      </c>
      <c r="E1850" s="27" t="s">
        <v>6837</v>
      </c>
      <c r="F1850" s="28" t="s">
        <v>146</v>
      </c>
      <c r="G1850" s="27" t="s">
        <v>3537</v>
      </c>
      <c r="H1850" s="27" t="s">
        <v>56</v>
      </c>
      <c r="I1850" s="27" t="s">
        <v>38</v>
      </c>
      <c r="J1850" s="28" t="s">
        <v>856</v>
      </c>
      <c r="K1850" s="27" t="s">
        <v>38</v>
      </c>
      <c r="L1850" s="27"/>
    </row>
    <row r="1851" customFormat="false" ht="15" hidden="false" customHeight="false" outlineLevel="0" collapsed="false">
      <c r="A1851" s="26" t="s">
        <v>6838</v>
      </c>
      <c r="B1851" s="27" t="s">
        <v>6839</v>
      </c>
      <c r="C1851" s="27" t="s">
        <v>144</v>
      </c>
      <c r="D1851" s="26" t="s">
        <v>6840</v>
      </c>
      <c r="E1851" s="27" t="s">
        <v>6841</v>
      </c>
      <c r="F1851" s="28" t="s">
        <v>146</v>
      </c>
      <c r="G1851" s="27" t="s">
        <v>3537</v>
      </c>
      <c r="H1851" s="27" t="s">
        <v>56</v>
      </c>
      <c r="I1851" s="27" t="s">
        <v>38</v>
      </c>
      <c r="J1851" s="28" t="s">
        <v>856</v>
      </c>
      <c r="K1851" s="27" t="s">
        <v>38</v>
      </c>
      <c r="L1851" s="27"/>
    </row>
    <row r="1852" customFormat="false" ht="15" hidden="false" customHeight="false" outlineLevel="0" collapsed="false">
      <c r="A1852" s="26" t="s">
        <v>6842</v>
      </c>
      <c r="B1852" s="27" t="s">
        <v>6843</v>
      </c>
      <c r="C1852" s="27" t="s">
        <v>144</v>
      </c>
      <c r="D1852" s="26" t="s">
        <v>6844</v>
      </c>
      <c r="E1852" s="27" t="s">
        <v>6845</v>
      </c>
      <c r="F1852" s="28" t="s">
        <v>146</v>
      </c>
      <c r="G1852" s="27" t="s">
        <v>3537</v>
      </c>
      <c r="H1852" s="27" t="s">
        <v>56</v>
      </c>
      <c r="I1852" s="27" t="s">
        <v>38</v>
      </c>
      <c r="J1852" s="28" t="s">
        <v>856</v>
      </c>
      <c r="K1852" s="27" t="s">
        <v>38</v>
      </c>
      <c r="L1852" s="27"/>
    </row>
    <row r="1853" customFormat="false" ht="15" hidden="false" customHeight="false" outlineLevel="0" collapsed="false">
      <c r="A1853" s="26" t="s">
        <v>6846</v>
      </c>
      <c r="B1853" s="27" t="s">
        <v>6847</v>
      </c>
      <c r="C1853" s="27" t="s">
        <v>144</v>
      </c>
      <c r="D1853" s="26" t="s">
        <v>6844</v>
      </c>
      <c r="E1853" s="27" t="s">
        <v>6845</v>
      </c>
      <c r="F1853" s="28" t="s">
        <v>146</v>
      </c>
      <c r="G1853" s="27" t="s">
        <v>3537</v>
      </c>
      <c r="H1853" s="27" t="s">
        <v>56</v>
      </c>
      <c r="I1853" s="27" t="s">
        <v>38</v>
      </c>
      <c r="J1853" s="28" t="s">
        <v>856</v>
      </c>
      <c r="K1853" s="27" t="s">
        <v>38</v>
      </c>
      <c r="L1853" s="27"/>
    </row>
    <row r="1854" customFormat="false" ht="15" hidden="false" customHeight="false" outlineLevel="0" collapsed="false">
      <c r="A1854" s="26" t="s">
        <v>6848</v>
      </c>
      <c r="B1854" s="27" t="s">
        <v>6849</v>
      </c>
      <c r="C1854" s="27" t="s">
        <v>144</v>
      </c>
      <c r="D1854" s="26" t="s">
        <v>6850</v>
      </c>
      <c r="E1854" s="27" t="s">
        <v>6851</v>
      </c>
      <c r="F1854" s="28" t="s">
        <v>146</v>
      </c>
      <c r="G1854" s="27" t="s">
        <v>3537</v>
      </c>
      <c r="H1854" s="27" t="s">
        <v>57</v>
      </c>
      <c r="I1854" s="27" t="s">
        <v>887</v>
      </c>
      <c r="J1854" s="28" t="s">
        <v>856</v>
      </c>
      <c r="K1854" s="27" t="s">
        <v>38</v>
      </c>
      <c r="L1854" s="27"/>
    </row>
    <row r="1855" customFormat="false" ht="15" hidden="false" customHeight="false" outlineLevel="0" collapsed="false">
      <c r="A1855" s="26" t="s">
        <v>6852</v>
      </c>
      <c r="B1855" s="27" t="s">
        <v>6853</v>
      </c>
      <c r="C1855" s="27" t="s">
        <v>144</v>
      </c>
      <c r="D1855" s="26" t="s">
        <v>6854</v>
      </c>
      <c r="E1855" s="27" t="s">
        <v>6855</v>
      </c>
      <c r="F1855" s="28" t="s">
        <v>146</v>
      </c>
      <c r="G1855" s="27" t="s">
        <v>3537</v>
      </c>
      <c r="H1855" s="27" t="s">
        <v>56</v>
      </c>
      <c r="I1855" s="27" t="s">
        <v>38</v>
      </c>
      <c r="J1855" s="28" t="s">
        <v>856</v>
      </c>
      <c r="K1855" s="27" t="s">
        <v>38</v>
      </c>
      <c r="L1855" s="27"/>
    </row>
    <row r="1856" customFormat="false" ht="15" hidden="false" customHeight="false" outlineLevel="0" collapsed="false">
      <c r="A1856" s="26" t="s">
        <v>6856</v>
      </c>
      <c r="B1856" s="27" t="s">
        <v>6857</v>
      </c>
      <c r="C1856" s="27" t="s">
        <v>144</v>
      </c>
      <c r="D1856" s="26" t="s">
        <v>6858</v>
      </c>
      <c r="E1856" s="27" t="s">
        <v>6859</v>
      </c>
      <c r="F1856" s="28" t="s">
        <v>146</v>
      </c>
      <c r="G1856" s="27" t="s">
        <v>3537</v>
      </c>
      <c r="H1856" s="27" t="s">
        <v>56</v>
      </c>
      <c r="I1856" s="27" t="s">
        <v>38</v>
      </c>
      <c r="J1856" s="28" t="s">
        <v>856</v>
      </c>
      <c r="K1856" s="27" t="s">
        <v>38</v>
      </c>
      <c r="L1856" s="27"/>
    </row>
    <row r="1857" customFormat="false" ht="15" hidden="false" customHeight="false" outlineLevel="0" collapsed="false">
      <c r="A1857" s="26" t="s">
        <v>6860</v>
      </c>
      <c r="B1857" s="27" t="s">
        <v>6861</v>
      </c>
      <c r="C1857" s="27" t="s">
        <v>144</v>
      </c>
      <c r="D1857" s="26" t="s">
        <v>6840</v>
      </c>
      <c r="E1857" s="27" t="s">
        <v>6841</v>
      </c>
      <c r="F1857" s="28" t="s">
        <v>146</v>
      </c>
      <c r="G1857" s="27" t="s">
        <v>3537</v>
      </c>
      <c r="H1857" s="27" t="s">
        <v>56</v>
      </c>
      <c r="I1857" s="27" t="s">
        <v>38</v>
      </c>
      <c r="J1857" s="28" t="s">
        <v>856</v>
      </c>
      <c r="K1857" s="27" t="s">
        <v>38</v>
      </c>
      <c r="L1857" s="27"/>
    </row>
    <row r="1858" customFormat="false" ht="15" hidden="false" customHeight="false" outlineLevel="0" collapsed="false">
      <c r="A1858" s="26" t="s">
        <v>6862</v>
      </c>
      <c r="B1858" s="27" t="s">
        <v>6863</v>
      </c>
      <c r="C1858" s="27" t="s">
        <v>144</v>
      </c>
      <c r="D1858" s="26" t="s">
        <v>6864</v>
      </c>
      <c r="E1858" s="27" t="s">
        <v>6865</v>
      </c>
      <c r="F1858" s="28" t="s">
        <v>146</v>
      </c>
      <c r="G1858" s="27" t="s">
        <v>3537</v>
      </c>
      <c r="H1858" s="27" t="s">
        <v>56</v>
      </c>
      <c r="I1858" s="27" t="s">
        <v>38</v>
      </c>
      <c r="J1858" s="28" t="s">
        <v>856</v>
      </c>
      <c r="K1858" s="27" t="s">
        <v>38</v>
      </c>
      <c r="L1858" s="27"/>
    </row>
    <row r="1859" customFormat="false" ht="15" hidden="false" customHeight="false" outlineLevel="0" collapsed="false">
      <c r="A1859" s="26" t="s">
        <v>6866</v>
      </c>
      <c r="B1859" s="27" t="s">
        <v>6867</v>
      </c>
      <c r="C1859" s="27" t="s">
        <v>144</v>
      </c>
      <c r="D1859" s="26" t="s">
        <v>6868</v>
      </c>
      <c r="E1859" s="27" t="s">
        <v>6869</v>
      </c>
      <c r="F1859" s="28" t="s">
        <v>146</v>
      </c>
      <c r="G1859" s="27" t="s">
        <v>3537</v>
      </c>
      <c r="H1859" s="27" t="s">
        <v>56</v>
      </c>
      <c r="I1859" s="27" t="s">
        <v>38</v>
      </c>
      <c r="J1859" s="28" t="s">
        <v>856</v>
      </c>
      <c r="K1859" s="27" t="s">
        <v>38</v>
      </c>
      <c r="L1859" s="27"/>
    </row>
    <row r="1860" customFormat="false" ht="15" hidden="false" customHeight="false" outlineLevel="0" collapsed="false">
      <c r="A1860" s="26" t="s">
        <v>6870</v>
      </c>
      <c r="B1860" s="27" t="s">
        <v>6871</v>
      </c>
      <c r="C1860" s="27" t="s">
        <v>144</v>
      </c>
      <c r="D1860" s="26" t="s">
        <v>6872</v>
      </c>
      <c r="E1860" s="27" t="s">
        <v>6873</v>
      </c>
      <c r="F1860" s="28" t="s">
        <v>146</v>
      </c>
      <c r="G1860" s="27" t="s">
        <v>3537</v>
      </c>
      <c r="H1860" s="27" t="s">
        <v>57</v>
      </c>
      <c r="I1860" s="27" t="s">
        <v>37</v>
      </c>
      <c r="J1860" s="28" t="s">
        <v>856</v>
      </c>
      <c r="K1860" s="27" t="s">
        <v>38</v>
      </c>
      <c r="L1860" s="27"/>
    </row>
    <row r="1861" customFormat="false" ht="15" hidden="false" customHeight="false" outlineLevel="0" collapsed="false">
      <c r="A1861" s="26" t="s">
        <v>6874</v>
      </c>
      <c r="B1861" s="27" t="s">
        <v>6875</v>
      </c>
      <c r="C1861" s="27" t="s">
        <v>144</v>
      </c>
      <c r="D1861" s="26" t="s">
        <v>6876</v>
      </c>
      <c r="E1861" s="27" t="s">
        <v>6877</v>
      </c>
      <c r="F1861" s="28" t="s">
        <v>146</v>
      </c>
      <c r="G1861" s="27" t="s">
        <v>3537</v>
      </c>
      <c r="H1861" s="27" t="s">
        <v>56</v>
      </c>
      <c r="I1861" s="27" t="s">
        <v>38</v>
      </c>
      <c r="J1861" s="28" t="s">
        <v>856</v>
      </c>
      <c r="K1861" s="27" t="s">
        <v>38</v>
      </c>
      <c r="L1861" s="27"/>
    </row>
    <row r="1862" customFormat="false" ht="15" hidden="false" customHeight="false" outlineLevel="0" collapsed="false">
      <c r="A1862" s="26" t="s">
        <v>6878</v>
      </c>
      <c r="B1862" s="27" t="s">
        <v>6879</v>
      </c>
      <c r="C1862" s="27" t="s">
        <v>144</v>
      </c>
      <c r="D1862" s="26" t="s">
        <v>6880</v>
      </c>
      <c r="E1862" s="27" t="s">
        <v>6881</v>
      </c>
      <c r="F1862" s="28" t="s">
        <v>146</v>
      </c>
      <c r="G1862" s="27" t="s">
        <v>3537</v>
      </c>
      <c r="H1862" s="27" t="s">
        <v>56</v>
      </c>
      <c r="I1862" s="27" t="s">
        <v>38</v>
      </c>
      <c r="J1862" s="28" t="s">
        <v>856</v>
      </c>
      <c r="K1862" s="27" t="s">
        <v>38</v>
      </c>
      <c r="L1862" s="27"/>
    </row>
    <row r="1863" customFormat="false" ht="15" hidden="false" customHeight="false" outlineLevel="0" collapsed="false">
      <c r="A1863" s="26" t="s">
        <v>6882</v>
      </c>
      <c r="B1863" s="27" t="s">
        <v>6883</v>
      </c>
      <c r="C1863" s="27" t="s">
        <v>144</v>
      </c>
      <c r="D1863" s="26" t="s">
        <v>6884</v>
      </c>
      <c r="E1863" s="27" t="s">
        <v>6885</v>
      </c>
      <c r="F1863" s="28" t="s">
        <v>146</v>
      </c>
      <c r="G1863" s="27" t="s">
        <v>3537</v>
      </c>
      <c r="H1863" s="27" t="s">
        <v>57</v>
      </c>
      <c r="I1863" s="27" t="s">
        <v>39</v>
      </c>
      <c r="J1863" s="28" t="s">
        <v>856</v>
      </c>
      <c r="K1863" s="27" t="s">
        <v>38</v>
      </c>
      <c r="L1863" s="27"/>
    </row>
    <row r="1864" customFormat="false" ht="15" hidden="false" customHeight="false" outlineLevel="0" collapsed="false">
      <c r="A1864" s="26" t="s">
        <v>6886</v>
      </c>
      <c r="B1864" s="27" t="s">
        <v>6887</v>
      </c>
      <c r="C1864" s="27" t="s">
        <v>144</v>
      </c>
      <c r="D1864" s="26" t="s">
        <v>6872</v>
      </c>
      <c r="E1864" s="27" t="s">
        <v>6873</v>
      </c>
      <c r="F1864" s="28" t="s">
        <v>146</v>
      </c>
      <c r="G1864" s="27" t="s">
        <v>3537</v>
      </c>
      <c r="H1864" s="27" t="s">
        <v>57</v>
      </c>
      <c r="I1864" s="27" t="s">
        <v>37</v>
      </c>
      <c r="J1864" s="28" t="s">
        <v>856</v>
      </c>
      <c r="K1864" s="27" t="s">
        <v>38</v>
      </c>
      <c r="L1864" s="27"/>
    </row>
    <row r="1865" customFormat="false" ht="15" hidden="false" customHeight="false" outlineLevel="0" collapsed="false">
      <c r="A1865" s="26" t="s">
        <v>6888</v>
      </c>
      <c r="B1865" s="27" t="s">
        <v>6889</v>
      </c>
      <c r="C1865" s="27" t="s">
        <v>144</v>
      </c>
      <c r="D1865" s="26" t="s">
        <v>6890</v>
      </c>
      <c r="E1865" s="27" t="s">
        <v>6891</v>
      </c>
      <c r="F1865" s="28" t="s">
        <v>146</v>
      </c>
      <c r="G1865" s="27" t="s">
        <v>3537</v>
      </c>
      <c r="H1865" s="27" t="s">
        <v>56</v>
      </c>
      <c r="I1865" s="27" t="s">
        <v>38</v>
      </c>
      <c r="J1865" s="28" t="s">
        <v>856</v>
      </c>
      <c r="K1865" s="27" t="s">
        <v>38</v>
      </c>
      <c r="L1865" s="27"/>
    </row>
    <row r="1866" customFormat="false" ht="15" hidden="false" customHeight="false" outlineLevel="0" collapsed="false">
      <c r="A1866" s="26" t="s">
        <v>6892</v>
      </c>
      <c r="B1866" s="27" t="s">
        <v>6893</v>
      </c>
      <c r="C1866" s="27" t="s">
        <v>144</v>
      </c>
      <c r="D1866" s="26" t="s">
        <v>6850</v>
      </c>
      <c r="E1866" s="27" t="s">
        <v>6851</v>
      </c>
      <c r="F1866" s="28" t="s">
        <v>146</v>
      </c>
      <c r="G1866" s="27" t="s">
        <v>3537</v>
      </c>
      <c r="H1866" s="27" t="s">
        <v>57</v>
      </c>
      <c r="I1866" s="27" t="s">
        <v>887</v>
      </c>
      <c r="J1866" s="28" t="s">
        <v>856</v>
      </c>
      <c r="K1866" s="27" t="s">
        <v>38</v>
      </c>
      <c r="L1866" s="27"/>
    </row>
    <row r="1867" customFormat="false" ht="15" hidden="false" customHeight="false" outlineLevel="0" collapsed="false">
      <c r="A1867" s="26" t="s">
        <v>6894</v>
      </c>
      <c r="B1867" s="27" t="s">
        <v>6895</v>
      </c>
      <c r="C1867" s="27" t="s">
        <v>144</v>
      </c>
      <c r="D1867" s="26" t="s">
        <v>6896</v>
      </c>
      <c r="E1867" s="27" t="s">
        <v>6897</v>
      </c>
      <c r="F1867" s="28" t="s">
        <v>146</v>
      </c>
      <c r="G1867" s="27" t="s">
        <v>3537</v>
      </c>
      <c r="H1867" s="27" t="s">
        <v>56</v>
      </c>
      <c r="I1867" s="27" t="s">
        <v>38</v>
      </c>
      <c r="J1867" s="28" t="s">
        <v>856</v>
      </c>
      <c r="K1867" s="27" t="s">
        <v>38</v>
      </c>
      <c r="L1867" s="27"/>
    </row>
    <row r="1868" customFormat="false" ht="15" hidden="false" customHeight="false" outlineLevel="0" collapsed="false">
      <c r="A1868" s="26" t="s">
        <v>6898</v>
      </c>
      <c r="B1868" s="27" t="s">
        <v>6899</v>
      </c>
      <c r="C1868" s="27" t="s">
        <v>144</v>
      </c>
      <c r="D1868" s="26" t="s">
        <v>6900</v>
      </c>
      <c r="E1868" s="27" t="s">
        <v>6901</v>
      </c>
      <c r="F1868" s="28" t="s">
        <v>146</v>
      </c>
      <c r="G1868" s="27" t="s">
        <v>3537</v>
      </c>
      <c r="H1868" s="27" t="s">
        <v>56</v>
      </c>
      <c r="I1868" s="27" t="s">
        <v>38</v>
      </c>
      <c r="J1868" s="28" t="s">
        <v>856</v>
      </c>
      <c r="K1868" s="27" t="s">
        <v>38</v>
      </c>
      <c r="L1868" s="27"/>
    </row>
    <row r="1869" customFormat="false" ht="15" hidden="false" customHeight="false" outlineLevel="0" collapsed="false">
      <c r="A1869" s="26" t="s">
        <v>6902</v>
      </c>
      <c r="B1869" s="27" t="s">
        <v>6903</v>
      </c>
      <c r="C1869" s="27" t="s">
        <v>144</v>
      </c>
      <c r="D1869" s="26" t="s">
        <v>6904</v>
      </c>
      <c r="E1869" s="27" t="s">
        <v>6905</v>
      </c>
      <c r="F1869" s="28" t="s">
        <v>146</v>
      </c>
      <c r="G1869" s="27" t="s">
        <v>3537</v>
      </c>
      <c r="H1869" s="27" t="s">
        <v>56</v>
      </c>
      <c r="I1869" s="27" t="s">
        <v>38</v>
      </c>
      <c r="J1869" s="28" t="s">
        <v>856</v>
      </c>
      <c r="K1869" s="27" t="s">
        <v>38</v>
      </c>
      <c r="L1869" s="27"/>
    </row>
    <row r="1870" customFormat="false" ht="15" hidden="false" customHeight="false" outlineLevel="0" collapsed="false">
      <c r="A1870" s="26" t="s">
        <v>6906</v>
      </c>
      <c r="B1870" s="27" t="s">
        <v>6907</v>
      </c>
      <c r="C1870" s="27" t="s">
        <v>144</v>
      </c>
      <c r="D1870" s="26" t="s">
        <v>6908</v>
      </c>
      <c r="E1870" s="27" t="s">
        <v>6909</v>
      </c>
      <c r="F1870" s="28" t="s">
        <v>146</v>
      </c>
      <c r="G1870" s="27" t="s">
        <v>3537</v>
      </c>
      <c r="H1870" s="27" t="s">
        <v>56</v>
      </c>
      <c r="I1870" s="27" t="s">
        <v>38</v>
      </c>
      <c r="J1870" s="28" t="s">
        <v>856</v>
      </c>
      <c r="K1870" s="27" t="s">
        <v>38</v>
      </c>
      <c r="L1870" s="27"/>
    </row>
    <row r="1871" customFormat="false" ht="15" hidden="false" customHeight="false" outlineLevel="0" collapsed="false">
      <c r="A1871" s="26" t="s">
        <v>6910</v>
      </c>
      <c r="B1871" s="27" t="s">
        <v>6911</v>
      </c>
      <c r="C1871" s="27" t="s">
        <v>144</v>
      </c>
      <c r="D1871" s="26" t="s">
        <v>6844</v>
      </c>
      <c r="E1871" s="27" t="s">
        <v>6845</v>
      </c>
      <c r="F1871" s="28" t="s">
        <v>146</v>
      </c>
      <c r="G1871" s="27" t="s">
        <v>3537</v>
      </c>
      <c r="H1871" s="27" t="s">
        <v>56</v>
      </c>
      <c r="I1871" s="27" t="s">
        <v>38</v>
      </c>
      <c r="J1871" s="28" t="s">
        <v>856</v>
      </c>
      <c r="K1871" s="27" t="s">
        <v>38</v>
      </c>
      <c r="L1871" s="27"/>
    </row>
    <row r="1872" customFormat="false" ht="15" hidden="false" customHeight="false" outlineLevel="0" collapsed="false">
      <c r="A1872" s="26" t="s">
        <v>6912</v>
      </c>
      <c r="B1872" s="27" t="s">
        <v>6913</v>
      </c>
      <c r="C1872" s="27" t="s">
        <v>144</v>
      </c>
      <c r="D1872" s="26" t="s">
        <v>6914</v>
      </c>
      <c r="E1872" s="27" t="s">
        <v>6915</v>
      </c>
      <c r="F1872" s="28" t="s">
        <v>146</v>
      </c>
      <c r="G1872" s="27" t="s">
        <v>3537</v>
      </c>
      <c r="H1872" s="27" t="s">
        <v>56</v>
      </c>
      <c r="I1872" s="27" t="s">
        <v>38</v>
      </c>
      <c r="J1872" s="28" t="s">
        <v>856</v>
      </c>
      <c r="K1872" s="27" t="s">
        <v>38</v>
      </c>
      <c r="L1872" s="27"/>
    </row>
    <row r="1873" customFormat="false" ht="15" hidden="false" customHeight="false" outlineLevel="0" collapsed="false">
      <c r="A1873" s="26" t="s">
        <v>6916</v>
      </c>
      <c r="B1873" s="27" t="s">
        <v>6917</v>
      </c>
      <c r="C1873" s="27" t="s">
        <v>144</v>
      </c>
      <c r="D1873" s="26" t="s">
        <v>6918</v>
      </c>
      <c r="E1873" s="27" t="s">
        <v>6919</v>
      </c>
      <c r="F1873" s="28" t="s">
        <v>146</v>
      </c>
      <c r="G1873" s="27" t="s">
        <v>3537</v>
      </c>
      <c r="H1873" s="27" t="s">
        <v>56</v>
      </c>
      <c r="I1873" s="27" t="s">
        <v>38</v>
      </c>
      <c r="J1873" s="28" t="s">
        <v>856</v>
      </c>
      <c r="K1873" s="27" t="s">
        <v>38</v>
      </c>
      <c r="L1873" s="27"/>
    </row>
    <row r="1874" customFormat="false" ht="15" hidden="false" customHeight="false" outlineLevel="0" collapsed="false">
      <c r="A1874" s="26" t="s">
        <v>6920</v>
      </c>
      <c r="B1874" s="27" t="s">
        <v>6921</v>
      </c>
      <c r="C1874" s="27" t="s">
        <v>144</v>
      </c>
      <c r="D1874" s="26" t="s">
        <v>6922</v>
      </c>
      <c r="E1874" s="27" t="s">
        <v>6923</v>
      </c>
      <c r="F1874" s="28" t="s">
        <v>146</v>
      </c>
      <c r="G1874" s="27" t="s">
        <v>3537</v>
      </c>
      <c r="H1874" s="27" t="s">
        <v>57</v>
      </c>
      <c r="I1874" s="27" t="s">
        <v>47</v>
      </c>
      <c r="J1874" s="28" t="s">
        <v>856</v>
      </c>
      <c r="K1874" s="27" t="s">
        <v>38</v>
      </c>
      <c r="L1874" s="27"/>
    </row>
    <row r="1875" customFormat="false" ht="15" hidden="false" customHeight="false" outlineLevel="0" collapsed="false">
      <c r="A1875" s="26" t="s">
        <v>6924</v>
      </c>
      <c r="B1875" s="27" t="s">
        <v>6925</v>
      </c>
      <c r="C1875" s="27" t="s">
        <v>144</v>
      </c>
      <c r="D1875" s="26" t="s">
        <v>6926</v>
      </c>
      <c r="E1875" s="27" t="s">
        <v>6927</v>
      </c>
      <c r="F1875" s="28" t="s">
        <v>146</v>
      </c>
      <c r="G1875" s="27" t="s">
        <v>3537</v>
      </c>
      <c r="H1875" s="27" t="s">
        <v>56</v>
      </c>
      <c r="I1875" s="27" t="s">
        <v>38</v>
      </c>
      <c r="J1875" s="28" t="s">
        <v>856</v>
      </c>
      <c r="K1875" s="27" t="s">
        <v>38</v>
      </c>
      <c r="L1875" s="27"/>
    </row>
    <row r="1876" customFormat="false" ht="15" hidden="false" customHeight="false" outlineLevel="0" collapsed="false">
      <c r="A1876" s="26" t="s">
        <v>6928</v>
      </c>
      <c r="B1876" s="27" t="s">
        <v>6929</v>
      </c>
      <c r="C1876" s="27" t="s">
        <v>144</v>
      </c>
      <c r="D1876" s="26" t="s">
        <v>6930</v>
      </c>
      <c r="E1876" s="27" t="s">
        <v>6931</v>
      </c>
      <c r="F1876" s="28" t="s">
        <v>146</v>
      </c>
      <c r="G1876" s="27" t="s">
        <v>3537</v>
      </c>
      <c r="H1876" s="27" t="s">
        <v>56</v>
      </c>
      <c r="I1876" s="27" t="s">
        <v>38</v>
      </c>
      <c r="J1876" s="28" t="s">
        <v>856</v>
      </c>
      <c r="K1876" s="27" t="s">
        <v>38</v>
      </c>
      <c r="L1876" s="27"/>
    </row>
    <row r="1877" customFormat="false" ht="15" hidden="false" customHeight="false" outlineLevel="0" collapsed="false">
      <c r="A1877" s="26" t="s">
        <v>6932</v>
      </c>
      <c r="B1877" s="27" t="s">
        <v>6933</v>
      </c>
      <c r="C1877" s="27" t="s">
        <v>144</v>
      </c>
      <c r="D1877" s="26" t="s">
        <v>828</v>
      </c>
      <c r="E1877" s="27" t="s">
        <v>829</v>
      </c>
      <c r="F1877" s="28" t="s">
        <v>146</v>
      </c>
      <c r="G1877" s="27" t="s">
        <v>3537</v>
      </c>
      <c r="H1877" s="27" t="s">
        <v>57</v>
      </c>
      <c r="I1877" s="27" t="s">
        <v>41</v>
      </c>
      <c r="J1877" s="28" t="s">
        <v>856</v>
      </c>
      <c r="K1877" s="27" t="s">
        <v>38</v>
      </c>
      <c r="L1877" s="27"/>
    </row>
    <row r="1878" customFormat="false" ht="15" hidden="false" customHeight="false" outlineLevel="0" collapsed="false">
      <c r="A1878" s="26" t="s">
        <v>6934</v>
      </c>
      <c r="B1878" s="27" t="s">
        <v>6935</v>
      </c>
      <c r="C1878" s="27" t="s">
        <v>144</v>
      </c>
      <c r="D1878" s="26" t="s">
        <v>6936</v>
      </c>
      <c r="E1878" s="27" t="s">
        <v>6937</v>
      </c>
      <c r="F1878" s="28" t="s">
        <v>146</v>
      </c>
      <c r="G1878" s="27" t="s">
        <v>3537</v>
      </c>
      <c r="H1878" s="27" t="s">
        <v>56</v>
      </c>
      <c r="I1878" s="27" t="s">
        <v>38</v>
      </c>
      <c r="J1878" s="28" t="s">
        <v>856</v>
      </c>
      <c r="K1878" s="27" t="s">
        <v>38</v>
      </c>
      <c r="L1878" s="27"/>
    </row>
    <row r="1879" customFormat="false" ht="15" hidden="false" customHeight="false" outlineLevel="0" collapsed="false">
      <c r="A1879" s="26" t="s">
        <v>6938</v>
      </c>
      <c r="B1879" s="27" t="s">
        <v>6939</v>
      </c>
      <c r="C1879" s="27" t="s">
        <v>144</v>
      </c>
      <c r="D1879" s="26" t="s">
        <v>6940</v>
      </c>
      <c r="E1879" s="27" t="s">
        <v>6941</v>
      </c>
      <c r="F1879" s="28" t="s">
        <v>146</v>
      </c>
      <c r="G1879" s="27" t="s">
        <v>3537</v>
      </c>
      <c r="H1879" s="27" t="s">
        <v>56</v>
      </c>
      <c r="I1879" s="27" t="s">
        <v>38</v>
      </c>
      <c r="J1879" s="28" t="s">
        <v>856</v>
      </c>
      <c r="K1879" s="27" t="s">
        <v>38</v>
      </c>
      <c r="L1879" s="27"/>
    </row>
    <row r="1880" customFormat="false" ht="15" hidden="false" customHeight="false" outlineLevel="0" collapsed="false">
      <c r="A1880" s="26" t="s">
        <v>6942</v>
      </c>
      <c r="B1880" s="27" t="s">
        <v>6943</v>
      </c>
      <c r="C1880" s="27" t="s">
        <v>144</v>
      </c>
      <c r="D1880" s="26" t="s">
        <v>6944</v>
      </c>
      <c r="E1880" s="27" t="s">
        <v>6945</v>
      </c>
      <c r="F1880" s="28" t="s">
        <v>146</v>
      </c>
      <c r="G1880" s="27" t="s">
        <v>3537</v>
      </c>
      <c r="H1880" s="27" t="s">
        <v>57</v>
      </c>
      <c r="I1880" s="27" t="s">
        <v>37</v>
      </c>
      <c r="J1880" s="28" t="s">
        <v>856</v>
      </c>
      <c r="K1880" s="27" t="s">
        <v>38</v>
      </c>
      <c r="L1880" s="27"/>
    </row>
    <row r="1881" customFormat="false" ht="15" hidden="false" customHeight="false" outlineLevel="0" collapsed="false">
      <c r="A1881" s="26" t="s">
        <v>6946</v>
      </c>
      <c r="B1881" s="27" t="s">
        <v>6947</v>
      </c>
      <c r="C1881" s="27" t="s">
        <v>144</v>
      </c>
      <c r="D1881" s="26" t="s">
        <v>6948</v>
      </c>
      <c r="E1881" s="27" t="s">
        <v>6949</v>
      </c>
      <c r="F1881" s="28" t="s">
        <v>146</v>
      </c>
      <c r="G1881" s="27" t="s">
        <v>3537</v>
      </c>
      <c r="H1881" s="27" t="s">
        <v>57</v>
      </c>
      <c r="I1881" s="27" t="s">
        <v>39</v>
      </c>
      <c r="J1881" s="28" t="s">
        <v>856</v>
      </c>
      <c r="K1881" s="27" t="s">
        <v>38</v>
      </c>
      <c r="L1881" s="27"/>
    </row>
    <row r="1882" customFormat="false" ht="15" hidden="false" customHeight="false" outlineLevel="0" collapsed="false">
      <c r="A1882" s="26" t="s">
        <v>6950</v>
      </c>
      <c r="B1882" s="27" t="s">
        <v>6951</v>
      </c>
      <c r="C1882" s="27" t="s">
        <v>144</v>
      </c>
      <c r="D1882" s="26" t="s">
        <v>6952</v>
      </c>
      <c r="E1882" s="27" t="s">
        <v>6953</v>
      </c>
      <c r="F1882" s="28" t="s">
        <v>146</v>
      </c>
      <c r="G1882" s="27" t="s">
        <v>3537</v>
      </c>
      <c r="H1882" s="27" t="s">
        <v>57</v>
      </c>
      <c r="I1882" s="27" t="s">
        <v>37</v>
      </c>
      <c r="J1882" s="28" t="s">
        <v>856</v>
      </c>
      <c r="K1882" s="27" t="s">
        <v>38</v>
      </c>
      <c r="L1882" s="27"/>
    </row>
    <row r="1883" customFormat="false" ht="15" hidden="false" customHeight="false" outlineLevel="0" collapsed="false">
      <c r="A1883" s="26" t="s">
        <v>6954</v>
      </c>
      <c r="B1883" s="27" t="s">
        <v>6955</v>
      </c>
      <c r="C1883" s="27" t="s">
        <v>144</v>
      </c>
      <c r="D1883" s="26" t="s">
        <v>6956</v>
      </c>
      <c r="E1883" s="27" t="s">
        <v>6957</v>
      </c>
      <c r="F1883" s="28" t="s">
        <v>146</v>
      </c>
      <c r="G1883" s="27" t="s">
        <v>3537</v>
      </c>
      <c r="H1883" s="27" t="s">
        <v>56</v>
      </c>
      <c r="I1883" s="27" t="s">
        <v>38</v>
      </c>
      <c r="J1883" s="28" t="s">
        <v>856</v>
      </c>
      <c r="K1883" s="27" t="s">
        <v>38</v>
      </c>
      <c r="L1883" s="27"/>
    </row>
    <row r="1884" customFormat="false" ht="15" hidden="false" customHeight="false" outlineLevel="0" collapsed="false">
      <c r="A1884" s="26" t="s">
        <v>6958</v>
      </c>
      <c r="B1884" s="27" t="s">
        <v>6959</v>
      </c>
      <c r="C1884" s="27" t="s">
        <v>144</v>
      </c>
      <c r="D1884" s="26" t="s">
        <v>6960</v>
      </c>
      <c r="E1884" s="27" t="s">
        <v>6961</v>
      </c>
      <c r="F1884" s="28" t="s">
        <v>146</v>
      </c>
      <c r="G1884" s="27" t="s">
        <v>3537</v>
      </c>
      <c r="H1884" s="27" t="s">
        <v>56</v>
      </c>
      <c r="I1884" s="27" t="s">
        <v>38</v>
      </c>
      <c r="J1884" s="28" t="s">
        <v>856</v>
      </c>
      <c r="K1884" s="27" t="s">
        <v>38</v>
      </c>
      <c r="L1884" s="27"/>
    </row>
    <row r="1885" customFormat="false" ht="15" hidden="false" customHeight="false" outlineLevel="0" collapsed="false">
      <c r="A1885" s="26" t="s">
        <v>6962</v>
      </c>
      <c r="B1885" s="27" t="s">
        <v>6963</v>
      </c>
      <c r="C1885" s="27" t="s">
        <v>144</v>
      </c>
      <c r="D1885" s="26" t="s">
        <v>6964</v>
      </c>
      <c r="E1885" s="27" t="s">
        <v>6965</v>
      </c>
      <c r="F1885" s="28" t="s">
        <v>146</v>
      </c>
      <c r="G1885" s="27" t="s">
        <v>3537</v>
      </c>
      <c r="H1885" s="27" t="s">
        <v>56</v>
      </c>
      <c r="I1885" s="27" t="s">
        <v>38</v>
      </c>
      <c r="J1885" s="28" t="s">
        <v>856</v>
      </c>
      <c r="K1885" s="27" t="s">
        <v>38</v>
      </c>
      <c r="L1885" s="27"/>
    </row>
    <row r="1886" customFormat="false" ht="15" hidden="false" customHeight="false" outlineLevel="0" collapsed="false">
      <c r="A1886" s="26" t="s">
        <v>6966</v>
      </c>
      <c r="B1886" s="27" t="s">
        <v>6967</v>
      </c>
      <c r="C1886" s="27" t="s">
        <v>144</v>
      </c>
      <c r="D1886" s="26" t="s">
        <v>6968</v>
      </c>
      <c r="E1886" s="27" t="s">
        <v>6969</v>
      </c>
      <c r="F1886" s="28" t="s">
        <v>146</v>
      </c>
      <c r="G1886" s="27" t="s">
        <v>3537</v>
      </c>
      <c r="H1886" s="27" t="s">
        <v>56</v>
      </c>
      <c r="I1886" s="27" t="s">
        <v>38</v>
      </c>
      <c r="J1886" s="28" t="s">
        <v>856</v>
      </c>
      <c r="K1886" s="27" t="s">
        <v>38</v>
      </c>
      <c r="L1886" s="27"/>
    </row>
    <row r="1887" customFormat="false" ht="15" hidden="false" customHeight="false" outlineLevel="0" collapsed="false">
      <c r="A1887" s="26" t="s">
        <v>6970</v>
      </c>
      <c r="B1887" s="27" t="s">
        <v>6971</v>
      </c>
      <c r="C1887" s="27" t="s">
        <v>144</v>
      </c>
      <c r="D1887" s="26" t="s">
        <v>6972</v>
      </c>
      <c r="E1887" s="27" t="s">
        <v>6973</v>
      </c>
      <c r="F1887" s="28" t="s">
        <v>146</v>
      </c>
      <c r="G1887" s="27" t="s">
        <v>3537</v>
      </c>
      <c r="H1887" s="27" t="s">
        <v>56</v>
      </c>
      <c r="I1887" s="27" t="s">
        <v>38</v>
      </c>
      <c r="J1887" s="28" t="s">
        <v>856</v>
      </c>
      <c r="K1887" s="27" t="s">
        <v>38</v>
      </c>
      <c r="L1887" s="27"/>
    </row>
    <row r="1888" customFormat="false" ht="15" hidden="false" customHeight="false" outlineLevel="0" collapsed="false">
      <c r="A1888" s="26" t="s">
        <v>6974</v>
      </c>
      <c r="B1888" s="27" t="s">
        <v>6975</v>
      </c>
      <c r="C1888" s="27" t="s">
        <v>144</v>
      </c>
      <c r="D1888" s="26" t="s">
        <v>6976</v>
      </c>
      <c r="E1888" s="27" t="s">
        <v>6977</v>
      </c>
      <c r="F1888" s="28" t="s">
        <v>146</v>
      </c>
      <c r="G1888" s="27" t="s">
        <v>3537</v>
      </c>
      <c r="H1888" s="27" t="s">
        <v>56</v>
      </c>
      <c r="I1888" s="27" t="s">
        <v>38</v>
      </c>
      <c r="J1888" s="28" t="s">
        <v>856</v>
      </c>
      <c r="K1888" s="27" t="s">
        <v>38</v>
      </c>
      <c r="L1888" s="27"/>
    </row>
    <row r="1889" customFormat="false" ht="15" hidden="false" customHeight="false" outlineLevel="0" collapsed="false">
      <c r="A1889" s="26" t="s">
        <v>6978</v>
      </c>
      <c r="B1889" s="27" t="s">
        <v>6979</v>
      </c>
      <c r="C1889" s="27" t="s">
        <v>144</v>
      </c>
      <c r="D1889" s="26" t="s">
        <v>6980</v>
      </c>
      <c r="E1889" s="27" t="s">
        <v>6981</v>
      </c>
      <c r="F1889" s="28" t="s">
        <v>146</v>
      </c>
      <c r="G1889" s="27" t="s">
        <v>3537</v>
      </c>
      <c r="H1889" s="27" t="s">
        <v>56</v>
      </c>
      <c r="I1889" s="27" t="s">
        <v>38</v>
      </c>
      <c r="J1889" s="28" t="s">
        <v>856</v>
      </c>
      <c r="K1889" s="27" t="s">
        <v>38</v>
      </c>
      <c r="L1889" s="27"/>
    </row>
    <row r="1890" customFormat="false" ht="15" hidden="false" customHeight="false" outlineLevel="0" collapsed="false">
      <c r="A1890" s="26" t="s">
        <v>6982</v>
      </c>
      <c r="B1890" s="27" t="s">
        <v>6983</v>
      </c>
      <c r="C1890" s="27" t="s">
        <v>144</v>
      </c>
      <c r="D1890" s="26" t="s">
        <v>6984</v>
      </c>
      <c r="E1890" s="27" t="s">
        <v>6985</v>
      </c>
      <c r="F1890" s="28" t="s">
        <v>146</v>
      </c>
      <c r="G1890" s="27" t="s">
        <v>3537</v>
      </c>
      <c r="H1890" s="27" t="s">
        <v>56</v>
      </c>
      <c r="I1890" s="27" t="s">
        <v>38</v>
      </c>
      <c r="J1890" s="28" t="s">
        <v>856</v>
      </c>
      <c r="K1890" s="27" t="s">
        <v>38</v>
      </c>
      <c r="L1890" s="27"/>
    </row>
    <row r="1891" customFormat="false" ht="15" hidden="false" customHeight="false" outlineLevel="0" collapsed="false">
      <c r="A1891" s="26" t="s">
        <v>6986</v>
      </c>
      <c r="B1891" s="27" t="s">
        <v>6987</v>
      </c>
      <c r="C1891" s="27" t="s">
        <v>144</v>
      </c>
      <c r="D1891" s="26" t="s">
        <v>6972</v>
      </c>
      <c r="E1891" s="27" t="s">
        <v>6973</v>
      </c>
      <c r="F1891" s="28" t="s">
        <v>146</v>
      </c>
      <c r="G1891" s="27" t="s">
        <v>3537</v>
      </c>
      <c r="H1891" s="27" t="s">
        <v>56</v>
      </c>
      <c r="I1891" s="27" t="s">
        <v>38</v>
      </c>
      <c r="J1891" s="28" t="s">
        <v>856</v>
      </c>
      <c r="K1891" s="27" t="s">
        <v>38</v>
      </c>
      <c r="L1891" s="27"/>
    </row>
    <row r="1892" customFormat="false" ht="15" hidden="false" customHeight="false" outlineLevel="0" collapsed="false">
      <c r="A1892" s="26" t="s">
        <v>6988</v>
      </c>
      <c r="B1892" s="27" t="s">
        <v>6989</v>
      </c>
      <c r="C1892" s="27" t="s">
        <v>144</v>
      </c>
      <c r="D1892" s="26" t="s">
        <v>6990</v>
      </c>
      <c r="E1892" s="27" t="s">
        <v>6991</v>
      </c>
      <c r="F1892" s="28" t="s">
        <v>146</v>
      </c>
      <c r="G1892" s="27" t="s">
        <v>3537</v>
      </c>
      <c r="H1892" s="27" t="s">
        <v>56</v>
      </c>
      <c r="I1892" s="27" t="s">
        <v>38</v>
      </c>
      <c r="J1892" s="28" t="s">
        <v>856</v>
      </c>
      <c r="K1892" s="27" t="s">
        <v>38</v>
      </c>
      <c r="L1892" s="27"/>
    </row>
    <row r="1893" customFormat="false" ht="15" hidden="false" customHeight="false" outlineLevel="0" collapsed="false">
      <c r="A1893" s="26" t="s">
        <v>6992</v>
      </c>
      <c r="B1893" s="27" t="s">
        <v>6993</v>
      </c>
      <c r="C1893" s="27" t="s">
        <v>144</v>
      </c>
      <c r="D1893" s="26" t="s">
        <v>6980</v>
      </c>
      <c r="E1893" s="27" t="s">
        <v>6981</v>
      </c>
      <c r="F1893" s="28" t="s">
        <v>146</v>
      </c>
      <c r="G1893" s="27" t="s">
        <v>3537</v>
      </c>
      <c r="H1893" s="27" t="s">
        <v>56</v>
      </c>
      <c r="I1893" s="27" t="s">
        <v>38</v>
      </c>
      <c r="J1893" s="28" t="s">
        <v>856</v>
      </c>
      <c r="K1893" s="27" t="s">
        <v>38</v>
      </c>
      <c r="L1893" s="27"/>
    </row>
    <row r="1894" customFormat="false" ht="15" hidden="false" customHeight="false" outlineLevel="0" collapsed="false">
      <c r="A1894" s="26" t="s">
        <v>6994</v>
      </c>
      <c r="B1894" s="27" t="s">
        <v>6995</v>
      </c>
      <c r="C1894" s="27" t="s">
        <v>144</v>
      </c>
      <c r="D1894" s="26" t="s">
        <v>6996</v>
      </c>
      <c r="E1894" s="27" t="s">
        <v>6997</v>
      </c>
      <c r="F1894" s="28" t="s">
        <v>146</v>
      </c>
      <c r="G1894" s="27" t="s">
        <v>3537</v>
      </c>
      <c r="H1894" s="27" t="s">
        <v>57</v>
      </c>
      <c r="I1894" s="27" t="s">
        <v>37</v>
      </c>
      <c r="J1894" s="28" t="s">
        <v>856</v>
      </c>
      <c r="K1894" s="27" t="s">
        <v>38</v>
      </c>
      <c r="L1894" s="27"/>
    </row>
    <row r="1895" customFormat="false" ht="15" hidden="false" customHeight="false" outlineLevel="0" collapsed="false">
      <c r="A1895" s="26" t="s">
        <v>6998</v>
      </c>
      <c r="B1895" s="27" t="s">
        <v>6999</v>
      </c>
      <c r="C1895" s="27" t="s">
        <v>144</v>
      </c>
      <c r="D1895" s="26" t="s">
        <v>7000</v>
      </c>
      <c r="E1895" s="27" t="s">
        <v>7001</v>
      </c>
      <c r="F1895" s="28" t="s">
        <v>146</v>
      </c>
      <c r="G1895" s="27" t="s">
        <v>3537</v>
      </c>
      <c r="H1895" s="27" t="s">
        <v>56</v>
      </c>
      <c r="I1895" s="27" t="s">
        <v>38</v>
      </c>
      <c r="J1895" s="28" t="s">
        <v>856</v>
      </c>
      <c r="K1895" s="27" t="s">
        <v>38</v>
      </c>
      <c r="L1895" s="27"/>
    </row>
    <row r="1896" customFormat="false" ht="15" hidden="false" customHeight="false" outlineLevel="0" collapsed="false">
      <c r="A1896" s="26" t="s">
        <v>7002</v>
      </c>
      <c r="B1896" s="27" t="s">
        <v>7003</v>
      </c>
      <c r="C1896" s="27" t="s">
        <v>144</v>
      </c>
      <c r="D1896" s="26" t="s">
        <v>7004</v>
      </c>
      <c r="E1896" s="27" t="s">
        <v>7005</v>
      </c>
      <c r="F1896" s="28" t="s">
        <v>146</v>
      </c>
      <c r="G1896" s="27" t="s">
        <v>3537</v>
      </c>
      <c r="H1896" s="27" t="s">
        <v>57</v>
      </c>
      <c r="I1896" s="27" t="s">
        <v>37</v>
      </c>
      <c r="J1896" s="28" t="s">
        <v>856</v>
      </c>
      <c r="K1896" s="27" t="s">
        <v>38</v>
      </c>
      <c r="L1896" s="27"/>
    </row>
    <row r="1897" customFormat="false" ht="15" hidden="false" customHeight="false" outlineLevel="0" collapsed="false">
      <c r="A1897" s="26" t="s">
        <v>7006</v>
      </c>
      <c r="B1897" s="27" t="s">
        <v>7007</v>
      </c>
      <c r="C1897" s="27" t="s">
        <v>144</v>
      </c>
      <c r="D1897" s="26" t="s">
        <v>6964</v>
      </c>
      <c r="E1897" s="27" t="s">
        <v>6965</v>
      </c>
      <c r="F1897" s="28" t="s">
        <v>146</v>
      </c>
      <c r="G1897" s="27" t="s">
        <v>3537</v>
      </c>
      <c r="H1897" s="27" t="s">
        <v>56</v>
      </c>
      <c r="I1897" s="27" t="s">
        <v>38</v>
      </c>
      <c r="J1897" s="28" t="s">
        <v>856</v>
      </c>
      <c r="K1897" s="27" t="s">
        <v>38</v>
      </c>
      <c r="L1897" s="27"/>
    </row>
    <row r="1898" customFormat="false" ht="15" hidden="false" customHeight="false" outlineLevel="0" collapsed="false">
      <c r="A1898" s="26" t="s">
        <v>7008</v>
      </c>
      <c r="B1898" s="27" t="s">
        <v>7009</v>
      </c>
      <c r="C1898" s="27" t="s">
        <v>144</v>
      </c>
      <c r="D1898" s="26" t="s">
        <v>6964</v>
      </c>
      <c r="E1898" s="27" t="s">
        <v>6965</v>
      </c>
      <c r="F1898" s="28" t="s">
        <v>146</v>
      </c>
      <c r="G1898" s="27" t="s">
        <v>3537</v>
      </c>
      <c r="H1898" s="27" t="s">
        <v>56</v>
      </c>
      <c r="I1898" s="27" t="s">
        <v>38</v>
      </c>
      <c r="J1898" s="28" t="s">
        <v>856</v>
      </c>
      <c r="K1898" s="27" t="s">
        <v>38</v>
      </c>
      <c r="L1898" s="27"/>
    </row>
    <row r="1899" customFormat="false" ht="15" hidden="false" customHeight="false" outlineLevel="0" collapsed="false">
      <c r="A1899" s="26" t="s">
        <v>7010</v>
      </c>
      <c r="B1899" s="27" t="s">
        <v>7011</v>
      </c>
      <c r="C1899" s="27" t="s">
        <v>144</v>
      </c>
      <c r="D1899" s="26" t="s">
        <v>7012</v>
      </c>
      <c r="E1899" s="27" t="s">
        <v>7013</v>
      </c>
      <c r="F1899" s="28" t="s">
        <v>146</v>
      </c>
      <c r="G1899" s="27" t="s">
        <v>3537</v>
      </c>
      <c r="H1899" s="27" t="s">
        <v>56</v>
      </c>
      <c r="I1899" s="27" t="s">
        <v>38</v>
      </c>
      <c r="J1899" s="28" t="s">
        <v>856</v>
      </c>
      <c r="K1899" s="27" t="s">
        <v>38</v>
      </c>
      <c r="L1899" s="27"/>
    </row>
    <row r="1900" customFormat="false" ht="15" hidden="false" customHeight="false" outlineLevel="0" collapsed="false">
      <c r="A1900" s="26" t="s">
        <v>7014</v>
      </c>
      <c r="B1900" s="27" t="s">
        <v>7015</v>
      </c>
      <c r="C1900" s="27" t="s">
        <v>144</v>
      </c>
      <c r="D1900" s="26" t="s">
        <v>7016</v>
      </c>
      <c r="E1900" s="27" t="s">
        <v>7017</v>
      </c>
      <c r="F1900" s="28" t="s">
        <v>146</v>
      </c>
      <c r="G1900" s="27" t="s">
        <v>3537</v>
      </c>
      <c r="H1900" s="27" t="s">
        <v>56</v>
      </c>
      <c r="I1900" s="27" t="s">
        <v>38</v>
      </c>
      <c r="J1900" s="28" t="s">
        <v>856</v>
      </c>
      <c r="K1900" s="27" t="s">
        <v>38</v>
      </c>
      <c r="L1900" s="27"/>
    </row>
    <row r="1901" customFormat="false" ht="15" hidden="false" customHeight="false" outlineLevel="0" collapsed="false">
      <c r="A1901" s="26" t="s">
        <v>7018</v>
      </c>
      <c r="B1901" s="27" t="s">
        <v>7019</v>
      </c>
      <c r="C1901" s="27" t="s">
        <v>144</v>
      </c>
      <c r="D1901" s="26" t="s">
        <v>7012</v>
      </c>
      <c r="E1901" s="27" t="s">
        <v>7013</v>
      </c>
      <c r="F1901" s="28" t="s">
        <v>146</v>
      </c>
      <c r="G1901" s="27" t="s">
        <v>3537</v>
      </c>
      <c r="H1901" s="27" t="s">
        <v>56</v>
      </c>
      <c r="I1901" s="27" t="s">
        <v>38</v>
      </c>
      <c r="J1901" s="28" t="s">
        <v>856</v>
      </c>
      <c r="K1901" s="27" t="s">
        <v>38</v>
      </c>
      <c r="L1901" s="27"/>
    </row>
    <row r="1902" customFormat="false" ht="15" hidden="false" customHeight="false" outlineLevel="0" collapsed="false">
      <c r="A1902" s="26" t="s">
        <v>7020</v>
      </c>
      <c r="B1902" s="27" t="s">
        <v>7021</v>
      </c>
      <c r="C1902" s="27" t="s">
        <v>144</v>
      </c>
      <c r="D1902" s="26" t="s">
        <v>7022</v>
      </c>
      <c r="E1902" s="27" t="s">
        <v>7023</v>
      </c>
      <c r="F1902" s="28" t="s">
        <v>146</v>
      </c>
      <c r="G1902" s="27" t="s">
        <v>3537</v>
      </c>
      <c r="H1902" s="27" t="s">
        <v>56</v>
      </c>
      <c r="I1902" s="27" t="s">
        <v>38</v>
      </c>
      <c r="J1902" s="28" t="s">
        <v>856</v>
      </c>
      <c r="K1902" s="27" t="s">
        <v>38</v>
      </c>
      <c r="L1902" s="27"/>
    </row>
    <row r="1903" customFormat="false" ht="15" hidden="false" customHeight="false" outlineLevel="0" collapsed="false">
      <c r="A1903" s="26" t="s">
        <v>7024</v>
      </c>
      <c r="B1903" s="27" t="s">
        <v>7025</v>
      </c>
      <c r="C1903" s="27" t="s">
        <v>144</v>
      </c>
      <c r="D1903" s="26" t="s">
        <v>7026</v>
      </c>
      <c r="E1903" s="27" t="s">
        <v>7027</v>
      </c>
      <c r="F1903" s="28" t="s">
        <v>146</v>
      </c>
      <c r="G1903" s="27" t="s">
        <v>3537</v>
      </c>
      <c r="H1903" s="27" t="s">
        <v>56</v>
      </c>
      <c r="I1903" s="27" t="s">
        <v>38</v>
      </c>
      <c r="J1903" s="28" t="s">
        <v>856</v>
      </c>
      <c r="K1903" s="27" t="s">
        <v>38</v>
      </c>
      <c r="L1903" s="27"/>
    </row>
    <row r="1904" customFormat="false" ht="15" hidden="false" customHeight="false" outlineLevel="0" collapsed="false">
      <c r="A1904" s="26" t="s">
        <v>7028</v>
      </c>
      <c r="B1904" s="27" t="s">
        <v>7029</v>
      </c>
      <c r="C1904" s="27" t="s">
        <v>144</v>
      </c>
      <c r="D1904" s="26" t="s">
        <v>7030</v>
      </c>
      <c r="E1904" s="27" t="s">
        <v>7031</v>
      </c>
      <c r="F1904" s="28" t="s">
        <v>146</v>
      </c>
      <c r="G1904" s="27" t="s">
        <v>3537</v>
      </c>
      <c r="H1904" s="27" t="s">
        <v>56</v>
      </c>
      <c r="I1904" s="27" t="s">
        <v>38</v>
      </c>
      <c r="J1904" s="28" t="s">
        <v>856</v>
      </c>
      <c r="K1904" s="27" t="s">
        <v>38</v>
      </c>
      <c r="L1904" s="27"/>
    </row>
    <row r="1905" customFormat="false" ht="15" hidden="false" customHeight="false" outlineLevel="0" collapsed="false">
      <c r="A1905" s="26" t="s">
        <v>7032</v>
      </c>
      <c r="B1905" s="27" t="s">
        <v>7033</v>
      </c>
      <c r="C1905" s="27" t="s">
        <v>144</v>
      </c>
      <c r="D1905" s="26" t="s">
        <v>7034</v>
      </c>
      <c r="E1905" s="27" t="s">
        <v>7035</v>
      </c>
      <c r="F1905" s="28" t="s">
        <v>146</v>
      </c>
      <c r="G1905" s="27" t="s">
        <v>3537</v>
      </c>
      <c r="H1905" s="27" t="s">
        <v>56</v>
      </c>
      <c r="I1905" s="27" t="s">
        <v>38</v>
      </c>
      <c r="J1905" s="28" t="s">
        <v>856</v>
      </c>
      <c r="K1905" s="27" t="s">
        <v>38</v>
      </c>
      <c r="L1905" s="27"/>
    </row>
    <row r="1906" customFormat="false" ht="15" hidden="false" customHeight="false" outlineLevel="0" collapsed="false">
      <c r="A1906" s="26" t="s">
        <v>7036</v>
      </c>
      <c r="B1906" s="27" t="s">
        <v>7037</v>
      </c>
      <c r="C1906" s="27" t="s">
        <v>144</v>
      </c>
      <c r="D1906" s="26" t="s">
        <v>7038</v>
      </c>
      <c r="E1906" s="27" t="s">
        <v>7039</v>
      </c>
      <c r="F1906" s="28" t="s">
        <v>146</v>
      </c>
      <c r="G1906" s="27" t="s">
        <v>3537</v>
      </c>
      <c r="H1906" s="27" t="s">
        <v>57</v>
      </c>
      <c r="I1906" s="27" t="s">
        <v>41</v>
      </c>
      <c r="J1906" s="28" t="s">
        <v>856</v>
      </c>
      <c r="K1906" s="27" t="s">
        <v>38</v>
      </c>
      <c r="L1906" s="27"/>
    </row>
    <row r="1907" customFormat="false" ht="15" hidden="false" customHeight="false" outlineLevel="0" collapsed="false">
      <c r="A1907" s="26" t="s">
        <v>7040</v>
      </c>
      <c r="B1907" s="27" t="s">
        <v>7041</v>
      </c>
      <c r="C1907" s="27" t="s">
        <v>144</v>
      </c>
      <c r="D1907" s="26" t="s">
        <v>894</v>
      </c>
      <c r="E1907" s="27" t="s">
        <v>895</v>
      </c>
      <c r="F1907" s="28" t="s">
        <v>146</v>
      </c>
      <c r="G1907" s="27" t="s">
        <v>3537</v>
      </c>
      <c r="H1907" s="27" t="s">
        <v>57</v>
      </c>
      <c r="I1907" s="27" t="s">
        <v>41</v>
      </c>
      <c r="J1907" s="28" t="s">
        <v>856</v>
      </c>
      <c r="K1907" s="27" t="s">
        <v>38</v>
      </c>
      <c r="L1907" s="27"/>
    </row>
    <row r="1908" customFormat="false" ht="15" hidden="false" customHeight="false" outlineLevel="0" collapsed="false">
      <c r="A1908" s="26" t="s">
        <v>7042</v>
      </c>
      <c r="B1908" s="27" t="s">
        <v>7043</v>
      </c>
      <c r="C1908" s="27" t="s">
        <v>144</v>
      </c>
      <c r="D1908" s="26" t="s">
        <v>7044</v>
      </c>
      <c r="E1908" s="27" t="s">
        <v>7045</v>
      </c>
      <c r="F1908" s="28" t="s">
        <v>146</v>
      </c>
      <c r="G1908" s="27" t="s">
        <v>3537</v>
      </c>
      <c r="H1908" s="27" t="s">
        <v>56</v>
      </c>
      <c r="I1908" s="27" t="s">
        <v>38</v>
      </c>
      <c r="J1908" s="28" t="s">
        <v>856</v>
      </c>
      <c r="K1908" s="27" t="s">
        <v>38</v>
      </c>
      <c r="L1908" s="27"/>
    </row>
    <row r="1909" customFormat="false" ht="15" hidden="false" customHeight="false" outlineLevel="0" collapsed="false">
      <c r="A1909" s="26" t="s">
        <v>7046</v>
      </c>
      <c r="B1909" s="27" t="s">
        <v>7047</v>
      </c>
      <c r="C1909" s="27" t="s">
        <v>144</v>
      </c>
      <c r="D1909" s="26" t="s">
        <v>7048</v>
      </c>
      <c r="E1909" s="27" t="s">
        <v>7049</v>
      </c>
      <c r="F1909" s="28" t="s">
        <v>146</v>
      </c>
      <c r="G1909" s="27" t="s">
        <v>3537</v>
      </c>
      <c r="H1909" s="27" t="s">
        <v>56</v>
      </c>
      <c r="I1909" s="27" t="s">
        <v>38</v>
      </c>
      <c r="J1909" s="28" t="s">
        <v>856</v>
      </c>
      <c r="K1909" s="27" t="s">
        <v>38</v>
      </c>
      <c r="L1909" s="27"/>
    </row>
    <row r="1910" customFormat="false" ht="15" hidden="false" customHeight="false" outlineLevel="0" collapsed="false">
      <c r="A1910" s="26" t="s">
        <v>7050</v>
      </c>
      <c r="B1910" s="27" t="s">
        <v>7051</v>
      </c>
      <c r="C1910" s="27" t="s">
        <v>144</v>
      </c>
      <c r="D1910" s="26" t="s">
        <v>7052</v>
      </c>
      <c r="E1910" s="27" t="s">
        <v>7053</v>
      </c>
      <c r="F1910" s="28" t="s">
        <v>146</v>
      </c>
      <c r="G1910" s="27" t="s">
        <v>3537</v>
      </c>
      <c r="H1910" s="27" t="s">
        <v>57</v>
      </c>
      <c r="I1910" s="27" t="s">
        <v>41</v>
      </c>
      <c r="J1910" s="28" t="s">
        <v>856</v>
      </c>
      <c r="K1910" s="27" t="s">
        <v>38</v>
      </c>
      <c r="L1910" s="27"/>
    </row>
    <row r="1911" customFormat="false" ht="15" hidden="false" customHeight="false" outlineLevel="0" collapsed="false">
      <c r="A1911" s="26" t="s">
        <v>7054</v>
      </c>
      <c r="B1911" s="27" t="s">
        <v>7055</v>
      </c>
      <c r="C1911" s="27" t="s">
        <v>100</v>
      </c>
      <c r="D1911" s="26" t="s">
        <v>7056</v>
      </c>
      <c r="E1911" s="27" t="s">
        <v>7057</v>
      </c>
      <c r="F1911" s="28" t="s">
        <v>102</v>
      </c>
      <c r="G1911" s="27" t="s">
        <v>3537</v>
      </c>
      <c r="H1911" s="27" t="s">
        <v>57</v>
      </c>
      <c r="I1911" s="27" t="s">
        <v>39</v>
      </c>
      <c r="J1911" s="28" t="s">
        <v>856</v>
      </c>
      <c r="K1911" s="27" t="s">
        <v>38</v>
      </c>
      <c r="L1911" s="27"/>
    </row>
    <row r="1912" customFormat="false" ht="15" hidden="false" customHeight="false" outlineLevel="0" collapsed="false">
      <c r="A1912" s="26" t="s">
        <v>7058</v>
      </c>
      <c r="B1912" s="27" t="s">
        <v>7059</v>
      </c>
      <c r="C1912" s="27" t="s">
        <v>100</v>
      </c>
      <c r="D1912" s="26" t="s">
        <v>7060</v>
      </c>
      <c r="E1912" s="27" t="s">
        <v>7061</v>
      </c>
      <c r="F1912" s="28" t="s">
        <v>102</v>
      </c>
      <c r="G1912" s="27" t="s">
        <v>3537</v>
      </c>
      <c r="H1912" s="27" t="s">
        <v>57</v>
      </c>
      <c r="I1912" s="27" t="s">
        <v>39</v>
      </c>
      <c r="J1912" s="28" t="s">
        <v>856</v>
      </c>
      <c r="K1912" s="27" t="s">
        <v>38</v>
      </c>
      <c r="L1912" s="27"/>
    </row>
    <row r="1913" customFormat="false" ht="15" hidden="false" customHeight="false" outlineLevel="0" collapsed="false">
      <c r="A1913" s="26" t="s">
        <v>7062</v>
      </c>
      <c r="B1913" s="27" t="s">
        <v>7063</v>
      </c>
      <c r="C1913" s="27" t="s">
        <v>100</v>
      </c>
      <c r="D1913" s="26" t="s">
        <v>7064</v>
      </c>
      <c r="E1913" s="27" t="s">
        <v>7065</v>
      </c>
      <c r="F1913" s="28" t="s">
        <v>102</v>
      </c>
      <c r="G1913" s="27" t="s">
        <v>3537</v>
      </c>
      <c r="H1913" s="27" t="s">
        <v>57</v>
      </c>
      <c r="I1913" s="27" t="s">
        <v>39</v>
      </c>
      <c r="J1913" s="28" t="s">
        <v>856</v>
      </c>
      <c r="K1913" s="27" t="s">
        <v>38</v>
      </c>
      <c r="L1913" s="27"/>
    </row>
    <row r="1914" customFormat="false" ht="15" hidden="false" customHeight="false" outlineLevel="0" collapsed="false">
      <c r="A1914" s="26" t="s">
        <v>7066</v>
      </c>
      <c r="B1914" s="27" t="s">
        <v>7067</v>
      </c>
      <c r="C1914" s="27" t="s">
        <v>100</v>
      </c>
      <c r="D1914" s="26" t="s">
        <v>7068</v>
      </c>
      <c r="E1914" s="27" t="s">
        <v>7069</v>
      </c>
      <c r="F1914" s="28" t="s">
        <v>102</v>
      </c>
      <c r="G1914" s="27" t="s">
        <v>3537</v>
      </c>
      <c r="H1914" s="27" t="s">
        <v>57</v>
      </c>
      <c r="I1914" s="27" t="s">
        <v>39</v>
      </c>
      <c r="J1914" s="28" t="s">
        <v>856</v>
      </c>
      <c r="K1914" s="27" t="s">
        <v>38</v>
      </c>
      <c r="L1914" s="27"/>
    </row>
    <row r="1915" customFormat="false" ht="15" hidden="false" customHeight="false" outlineLevel="0" collapsed="false">
      <c r="A1915" s="26" t="s">
        <v>7070</v>
      </c>
      <c r="B1915" s="27" t="s">
        <v>7071</v>
      </c>
      <c r="C1915" s="27" t="s">
        <v>100</v>
      </c>
      <c r="D1915" s="26" t="s">
        <v>7072</v>
      </c>
      <c r="E1915" s="27" t="s">
        <v>7073</v>
      </c>
      <c r="F1915" s="28" t="s">
        <v>102</v>
      </c>
      <c r="G1915" s="27" t="s">
        <v>3537</v>
      </c>
      <c r="H1915" s="27" t="s">
        <v>57</v>
      </c>
      <c r="I1915" s="27" t="s">
        <v>39</v>
      </c>
      <c r="J1915" s="28" t="s">
        <v>856</v>
      </c>
      <c r="K1915" s="27" t="s">
        <v>38</v>
      </c>
      <c r="L1915" s="27"/>
    </row>
    <row r="1916" customFormat="false" ht="15" hidden="false" customHeight="false" outlineLevel="0" collapsed="false">
      <c r="A1916" s="26" t="s">
        <v>7074</v>
      </c>
      <c r="B1916" s="27" t="s">
        <v>7075</v>
      </c>
      <c r="C1916" s="27" t="s">
        <v>100</v>
      </c>
      <c r="D1916" s="26" t="s">
        <v>7076</v>
      </c>
      <c r="E1916" s="27" t="s">
        <v>7077</v>
      </c>
      <c r="F1916" s="28" t="s">
        <v>102</v>
      </c>
      <c r="G1916" s="27" t="s">
        <v>3537</v>
      </c>
      <c r="H1916" s="27" t="s">
        <v>57</v>
      </c>
      <c r="I1916" s="27" t="s">
        <v>39</v>
      </c>
      <c r="J1916" s="28" t="s">
        <v>856</v>
      </c>
      <c r="K1916" s="27" t="s">
        <v>38</v>
      </c>
      <c r="L1916" s="27"/>
    </row>
    <row r="1917" customFormat="false" ht="15" hidden="false" customHeight="false" outlineLevel="0" collapsed="false">
      <c r="A1917" s="26" t="s">
        <v>7078</v>
      </c>
      <c r="B1917" s="27" t="s">
        <v>7079</v>
      </c>
      <c r="C1917" s="27" t="s">
        <v>144</v>
      </c>
      <c r="D1917" s="26" t="s">
        <v>7080</v>
      </c>
      <c r="E1917" s="27" t="s">
        <v>7081</v>
      </c>
      <c r="F1917" s="28" t="s">
        <v>146</v>
      </c>
      <c r="G1917" s="27" t="s">
        <v>3537</v>
      </c>
      <c r="H1917" s="27" t="s">
        <v>57</v>
      </c>
      <c r="I1917" s="27" t="s">
        <v>39</v>
      </c>
      <c r="J1917" s="28" t="s">
        <v>856</v>
      </c>
      <c r="K1917" s="27" t="s">
        <v>38</v>
      </c>
      <c r="L1917" s="27"/>
    </row>
    <row r="1918" customFormat="false" ht="15" hidden="false" customHeight="false" outlineLevel="0" collapsed="false">
      <c r="A1918" s="26" t="s">
        <v>7082</v>
      </c>
      <c r="B1918" s="27" t="s">
        <v>7083</v>
      </c>
      <c r="C1918" s="27" t="s">
        <v>100</v>
      </c>
      <c r="D1918" s="26" t="s">
        <v>7084</v>
      </c>
      <c r="E1918" s="27" t="s">
        <v>7085</v>
      </c>
      <c r="F1918" s="28" t="s">
        <v>102</v>
      </c>
      <c r="G1918" s="27" t="s">
        <v>3537</v>
      </c>
      <c r="H1918" s="27" t="s">
        <v>57</v>
      </c>
      <c r="I1918" s="27" t="s">
        <v>39</v>
      </c>
      <c r="J1918" s="28" t="s">
        <v>856</v>
      </c>
      <c r="K1918" s="27" t="s">
        <v>38</v>
      </c>
      <c r="L1918" s="27"/>
    </row>
    <row r="1919" customFormat="false" ht="15" hidden="false" customHeight="false" outlineLevel="0" collapsed="false">
      <c r="A1919" s="26" t="s">
        <v>7086</v>
      </c>
      <c r="B1919" s="27" t="s">
        <v>7087</v>
      </c>
      <c r="C1919" s="27" t="s">
        <v>100</v>
      </c>
      <c r="D1919" s="26" t="s">
        <v>7088</v>
      </c>
      <c r="E1919" s="27" t="s">
        <v>7089</v>
      </c>
      <c r="F1919" s="28" t="s">
        <v>102</v>
      </c>
      <c r="G1919" s="27" t="s">
        <v>3537</v>
      </c>
      <c r="H1919" s="27" t="s">
        <v>57</v>
      </c>
      <c r="I1919" s="27" t="s">
        <v>39</v>
      </c>
      <c r="J1919" s="28" t="s">
        <v>856</v>
      </c>
      <c r="K1919" s="27" t="s">
        <v>38</v>
      </c>
      <c r="L1919" s="27"/>
    </row>
    <row r="1920" customFormat="false" ht="15" hidden="false" customHeight="false" outlineLevel="0" collapsed="false">
      <c r="A1920" s="26" t="s">
        <v>7090</v>
      </c>
      <c r="B1920" s="27" t="s">
        <v>7091</v>
      </c>
      <c r="C1920" s="27" t="s">
        <v>100</v>
      </c>
      <c r="D1920" s="26" t="s">
        <v>7092</v>
      </c>
      <c r="E1920" s="27" t="s">
        <v>7093</v>
      </c>
      <c r="F1920" s="28" t="s">
        <v>102</v>
      </c>
      <c r="G1920" s="27" t="s">
        <v>3537</v>
      </c>
      <c r="H1920" s="27" t="s">
        <v>57</v>
      </c>
      <c r="I1920" s="27" t="s">
        <v>39</v>
      </c>
      <c r="J1920" s="28" t="s">
        <v>856</v>
      </c>
      <c r="K1920" s="27" t="s">
        <v>38</v>
      </c>
      <c r="L1920" s="27"/>
    </row>
    <row r="1921" customFormat="false" ht="15" hidden="false" customHeight="false" outlineLevel="0" collapsed="false">
      <c r="A1921" s="26" t="s">
        <v>7094</v>
      </c>
      <c r="B1921" s="27" t="s">
        <v>7095</v>
      </c>
      <c r="C1921" s="27" t="s">
        <v>100</v>
      </c>
      <c r="D1921" s="26" t="s">
        <v>7096</v>
      </c>
      <c r="E1921" s="27" t="s">
        <v>7097</v>
      </c>
      <c r="F1921" s="28" t="s">
        <v>102</v>
      </c>
      <c r="G1921" s="27" t="s">
        <v>3537</v>
      </c>
      <c r="H1921" s="27" t="s">
        <v>57</v>
      </c>
      <c r="I1921" s="27" t="s">
        <v>39</v>
      </c>
      <c r="J1921" s="28" t="s">
        <v>856</v>
      </c>
      <c r="K1921" s="27" t="s">
        <v>38</v>
      </c>
      <c r="L1921" s="27"/>
    </row>
    <row r="1922" customFormat="false" ht="15" hidden="false" customHeight="false" outlineLevel="0" collapsed="false">
      <c r="A1922" s="26" t="s">
        <v>7098</v>
      </c>
      <c r="B1922" s="27" t="s">
        <v>7099</v>
      </c>
      <c r="C1922" s="27" t="s">
        <v>137</v>
      </c>
      <c r="D1922" s="26" t="s">
        <v>7100</v>
      </c>
      <c r="E1922" s="27" t="s">
        <v>7101</v>
      </c>
      <c r="F1922" s="28" t="s">
        <v>140</v>
      </c>
      <c r="G1922" s="27" t="s">
        <v>3537</v>
      </c>
      <c r="H1922" s="27" t="s">
        <v>57</v>
      </c>
      <c r="I1922" s="27" t="s">
        <v>40</v>
      </c>
      <c r="J1922" s="28" t="s">
        <v>856</v>
      </c>
      <c r="K1922" s="27" t="s">
        <v>38</v>
      </c>
      <c r="L1922" s="27"/>
    </row>
    <row r="1923" customFormat="false" ht="15" hidden="false" customHeight="false" outlineLevel="0" collapsed="false">
      <c r="A1923" s="26" t="s">
        <v>7102</v>
      </c>
      <c r="B1923" s="27" t="s">
        <v>7103</v>
      </c>
      <c r="C1923" s="27" t="s">
        <v>100</v>
      </c>
      <c r="D1923" s="26" t="s">
        <v>7088</v>
      </c>
      <c r="E1923" s="27" t="s">
        <v>7089</v>
      </c>
      <c r="F1923" s="28" t="s">
        <v>102</v>
      </c>
      <c r="G1923" s="27" t="s">
        <v>3537</v>
      </c>
      <c r="H1923" s="27" t="s">
        <v>57</v>
      </c>
      <c r="I1923" s="27" t="s">
        <v>39</v>
      </c>
      <c r="J1923" s="28" t="s">
        <v>856</v>
      </c>
      <c r="K1923" s="27" t="s">
        <v>38</v>
      </c>
      <c r="L1923" s="27"/>
    </row>
    <row r="1924" customFormat="false" ht="15" hidden="false" customHeight="false" outlineLevel="0" collapsed="false">
      <c r="A1924" s="26" t="s">
        <v>7104</v>
      </c>
      <c r="B1924" s="27" t="s">
        <v>7105</v>
      </c>
      <c r="C1924" s="27" t="s">
        <v>100</v>
      </c>
      <c r="D1924" s="26" t="s">
        <v>7106</v>
      </c>
      <c r="E1924" s="27" t="s">
        <v>7107</v>
      </c>
      <c r="F1924" s="28" t="s">
        <v>102</v>
      </c>
      <c r="G1924" s="27" t="s">
        <v>3537</v>
      </c>
      <c r="H1924" s="27" t="s">
        <v>57</v>
      </c>
      <c r="I1924" s="27" t="s">
        <v>39</v>
      </c>
      <c r="J1924" s="28" t="s">
        <v>856</v>
      </c>
      <c r="K1924" s="27" t="s">
        <v>38</v>
      </c>
      <c r="L1924" s="27"/>
    </row>
    <row r="1925" customFormat="false" ht="15" hidden="false" customHeight="false" outlineLevel="0" collapsed="false">
      <c r="A1925" s="26" t="s">
        <v>7108</v>
      </c>
      <c r="B1925" s="27" t="s">
        <v>7109</v>
      </c>
      <c r="C1925" s="27" t="s">
        <v>100</v>
      </c>
      <c r="D1925" s="26" t="s">
        <v>7110</v>
      </c>
      <c r="E1925" s="27" t="s">
        <v>7111</v>
      </c>
      <c r="F1925" s="28" t="s">
        <v>102</v>
      </c>
      <c r="G1925" s="27" t="s">
        <v>3537</v>
      </c>
      <c r="H1925" s="27" t="s">
        <v>57</v>
      </c>
      <c r="I1925" s="27" t="s">
        <v>44</v>
      </c>
      <c r="J1925" s="28" t="s">
        <v>856</v>
      </c>
      <c r="K1925" s="27" t="s">
        <v>38</v>
      </c>
      <c r="L1925" s="27"/>
    </row>
    <row r="1926" customFormat="false" ht="15" hidden="false" customHeight="false" outlineLevel="0" collapsed="false">
      <c r="A1926" s="26" t="s">
        <v>7112</v>
      </c>
      <c r="B1926" s="27" t="s">
        <v>7113</v>
      </c>
      <c r="C1926" s="27" t="s">
        <v>144</v>
      </c>
      <c r="D1926" s="26" t="s">
        <v>7114</v>
      </c>
      <c r="E1926" s="27" t="s">
        <v>7115</v>
      </c>
      <c r="F1926" s="28" t="s">
        <v>146</v>
      </c>
      <c r="G1926" s="27" t="s">
        <v>3537</v>
      </c>
      <c r="H1926" s="27" t="s">
        <v>56</v>
      </c>
      <c r="I1926" s="27" t="s">
        <v>38</v>
      </c>
      <c r="J1926" s="28" t="s">
        <v>856</v>
      </c>
      <c r="K1926" s="27" t="s">
        <v>38</v>
      </c>
      <c r="L1926" s="27"/>
    </row>
    <row r="1927" customFormat="false" ht="15" hidden="false" customHeight="false" outlineLevel="0" collapsed="false">
      <c r="A1927" s="26" t="s">
        <v>7116</v>
      </c>
      <c r="B1927" s="27" t="s">
        <v>7117</v>
      </c>
      <c r="C1927" s="27" t="s">
        <v>144</v>
      </c>
      <c r="D1927" s="26" t="s">
        <v>7118</v>
      </c>
      <c r="E1927" s="27" t="s">
        <v>7119</v>
      </c>
      <c r="F1927" s="28" t="s">
        <v>146</v>
      </c>
      <c r="G1927" s="27" t="s">
        <v>3537</v>
      </c>
      <c r="H1927" s="27" t="s">
        <v>56</v>
      </c>
      <c r="I1927" s="27" t="s">
        <v>38</v>
      </c>
      <c r="J1927" s="28" t="s">
        <v>856</v>
      </c>
      <c r="K1927" s="27" t="s">
        <v>38</v>
      </c>
      <c r="L1927" s="27"/>
    </row>
    <row r="1928" customFormat="false" ht="15" hidden="false" customHeight="false" outlineLevel="0" collapsed="false">
      <c r="A1928" s="26" t="s">
        <v>7120</v>
      </c>
      <c r="B1928" s="27" t="s">
        <v>7121</v>
      </c>
      <c r="C1928" s="27" t="s">
        <v>144</v>
      </c>
      <c r="D1928" s="26" t="s">
        <v>7122</v>
      </c>
      <c r="E1928" s="27" t="s">
        <v>7123</v>
      </c>
      <c r="F1928" s="28" t="s">
        <v>146</v>
      </c>
      <c r="G1928" s="27" t="s">
        <v>3537</v>
      </c>
      <c r="H1928" s="27" t="s">
        <v>57</v>
      </c>
      <c r="I1928" s="27" t="s">
        <v>39</v>
      </c>
      <c r="J1928" s="28" t="s">
        <v>856</v>
      </c>
      <c r="K1928" s="27" t="s">
        <v>38</v>
      </c>
      <c r="L1928" s="27"/>
    </row>
    <row r="1929" customFormat="false" ht="15" hidden="false" customHeight="false" outlineLevel="0" collapsed="false">
      <c r="A1929" s="26" t="s">
        <v>7124</v>
      </c>
      <c r="B1929" s="27" t="s">
        <v>7125</v>
      </c>
      <c r="C1929" s="27" t="s">
        <v>144</v>
      </c>
      <c r="D1929" s="26" t="s">
        <v>7126</v>
      </c>
      <c r="E1929" s="27" t="s">
        <v>7127</v>
      </c>
      <c r="F1929" s="28" t="s">
        <v>146</v>
      </c>
      <c r="G1929" s="27" t="s">
        <v>3537</v>
      </c>
      <c r="H1929" s="27" t="s">
        <v>56</v>
      </c>
      <c r="I1929" s="27" t="s">
        <v>38</v>
      </c>
      <c r="J1929" s="28" t="s">
        <v>856</v>
      </c>
      <c r="K1929" s="27" t="s">
        <v>38</v>
      </c>
      <c r="L1929" s="27"/>
    </row>
    <row r="1930" customFormat="false" ht="15" hidden="false" customHeight="false" outlineLevel="0" collapsed="false">
      <c r="A1930" s="26" t="s">
        <v>7128</v>
      </c>
      <c r="B1930" s="27" t="s">
        <v>7129</v>
      </c>
      <c r="C1930" s="27" t="s">
        <v>144</v>
      </c>
      <c r="D1930" s="26" t="s">
        <v>7130</v>
      </c>
      <c r="E1930" s="27" t="s">
        <v>7131</v>
      </c>
      <c r="F1930" s="28" t="s">
        <v>146</v>
      </c>
      <c r="G1930" s="27" t="s">
        <v>3537</v>
      </c>
      <c r="H1930" s="27" t="s">
        <v>57</v>
      </c>
      <c r="I1930" s="27" t="s">
        <v>39</v>
      </c>
      <c r="J1930" s="28" t="s">
        <v>856</v>
      </c>
      <c r="K1930" s="27" t="s">
        <v>38</v>
      </c>
      <c r="L1930" s="27"/>
    </row>
    <row r="1931" customFormat="false" ht="15" hidden="false" customHeight="false" outlineLevel="0" collapsed="false">
      <c r="A1931" s="26" t="s">
        <v>7132</v>
      </c>
      <c r="B1931" s="27" t="s">
        <v>7133</v>
      </c>
      <c r="C1931" s="27" t="s">
        <v>144</v>
      </c>
      <c r="D1931" s="26" t="s">
        <v>7134</v>
      </c>
      <c r="E1931" s="27" t="s">
        <v>7135</v>
      </c>
      <c r="F1931" s="28" t="s">
        <v>146</v>
      </c>
      <c r="G1931" s="27" t="s">
        <v>3537</v>
      </c>
      <c r="H1931" s="27" t="s">
        <v>57</v>
      </c>
      <c r="I1931" s="27" t="s">
        <v>39</v>
      </c>
      <c r="J1931" s="28" t="s">
        <v>856</v>
      </c>
      <c r="K1931" s="27" t="s">
        <v>38</v>
      </c>
      <c r="L1931" s="27"/>
    </row>
    <row r="1932" customFormat="false" ht="15" hidden="false" customHeight="false" outlineLevel="0" collapsed="false">
      <c r="A1932" s="26" t="s">
        <v>7136</v>
      </c>
      <c r="B1932" s="27" t="s">
        <v>7137</v>
      </c>
      <c r="C1932" s="27" t="s">
        <v>144</v>
      </c>
      <c r="D1932" s="26" t="s">
        <v>7138</v>
      </c>
      <c r="E1932" s="27" t="s">
        <v>7139</v>
      </c>
      <c r="F1932" s="28" t="s">
        <v>146</v>
      </c>
      <c r="G1932" s="27" t="s">
        <v>3537</v>
      </c>
      <c r="H1932" s="27" t="s">
        <v>57</v>
      </c>
      <c r="I1932" s="27" t="s">
        <v>39</v>
      </c>
      <c r="J1932" s="28" t="s">
        <v>856</v>
      </c>
      <c r="K1932" s="27" t="s">
        <v>38</v>
      </c>
      <c r="L1932" s="27"/>
    </row>
    <row r="1933" customFormat="false" ht="15" hidden="false" customHeight="false" outlineLevel="0" collapsed="false">
      <c r="A1933" s="26" t="s">
        <v>7140</v>
      </c>
      <c r="B1933" s="27" t="s">
        <v>7141</v>
      </c>
      <c r="C1933" s="27" t="s">
        <v>144</v>
      </c>
      <c r="D1933" s="26" t="s">
        <v>7142</v>
      </c>
      <c r="E1933" s="27" t="s">
        <v>7143</v>
      </c>
      <c r="F1933" s="28" t="s">
        <v>146</v>
      </c>
      <c r="G1933" s="27" t="s">
        <v>3537</v>
      </c>
      <c r="H1933" s="27" t="s">
        <v>57</v>
      </c>
      <c r="I1933" s="27" t="s">
        <v>39</v>
      </c>
      <c r="J1933" s="28" t="s">
        <v>856</v>
      </c>
      <c r="K1933" s="27" t="s">
        <v>38</v>
      </c>
      <c r="L1933" s="27"/>
    </row>
    <row r="1934" customFormat="false" ht="15" hidden="false" customHeight="false" outlineLevel="0" collapsed="false">
      <c r="A1934" s="26" t="s">
        <v>7144</v>
      </c>
      <c r="B1934" s="27" t="s">
        <v>7145</v>
      </c>
      <c r="C1934" s="27" t="s">
        <v>144</v>
      </c>
      <c r="D1934" s="26" t="s">
        <v>7146</v>
      </c>
      <c r="E1934" s="27" t="s">
        <v>7147</v>
      </c>
      <c r="F1934" s="28" t="s">
        <v>146</v>
      </c>
      <c r="G1934" s="27" t="s">
        <v>3537</v>
      </c>
      <c r="H1934" s="27" t="s">
        <v>57</v>
      </c>
      <c r="I1934" s="27" t="s">
        <v>39</v>
      </c>
      <c r="J1934" s="28" t="s">
        <v>856</v>
      </c>
      <c r="K1934" s="27" t="s">
        <v>38</v>
      </c>
      <c r="L1934" s="27"/>
    </row>
    <row r="1935" customFormat="false" ht="15" hidden="false" customHeight="false" outlineLevel="0" collapsed="false">
      <c r="A1935" s="26" t="s">
        <v>7148</v>
      </c>
      <c r="B1935" s="27" t="s">
        <v>7149</v>
      </c>
      <c r="C1935" s="27" t="s">
        <v>144</v>
      </c>
      <c r="D1935" s="26" t="s">
        <v>7150</v>
      </c>
      <c r="E1935" s="27" t="s">
        <v>7151</v>
      </c>
      <c r="F1935" s="28" t="s">
        <v>146</v>
      </c>
      <c r="G1935" s="27" t="s">
        <v>3537</v>
      </c>
      <c r="H1935" s="27" t="s">
        <v>57</v>
      </c>
      <c r="I1935" s="27" t="s">
        <v>39</v>
      </c>
      <c r="J1935" s="28" t="s">
        <v>856</v>
      </c>
      <c r="K1935" s="27" t="s">
        <v>38</v>
      </c>
      <c r="L1935" s="27"/>
    </row>
    <row r="1936" customFormat="false" ht="15" hidden="false" customHeight="false" outlineLevel="0" collapsed="false">
      <c r="A1936" s="26" t="s">
        <v>7152</v>
      </c>
      <c r="B1936" s="27" t="s">
        <v>7153</v>
      </c>
      <c r="C1936" s="27" t="s">
        <v>144</v>
      </c>
      <c r="D1936" s="26" t="s">
        <v>7154</v>
      </c>
      <c r="E1936" s="27" t="s">
        <v>7155</v>
      </c>
      <c r="F1936" s="28" t="s">
        <v>146</v>
      </c>
      <c r="G1936" s="27" t="s">
        <v>3537</v>
      </c>
      <c r="H1936" s="27" t="s">
        <v>57</v>
      </c>
      <c r="I1936" s="27" t="s">
        <v>40</v>
      </c>
      <c r="J1936" s="28" t="s">
        <v>856</v>
      </c>
      <c r="K1936" s="27" t="s">
        <v>38</v>
      </c>
      <c r="L1936" s="27"/>
    </row>
    <row r="1937" customFormat="false" ht="15" hidden="false" customHeight="false" outlineLevel="0" collapsed="false">
      <c r="A1937" s="26" t="s">
        <v>7156</v>
      </c>
      <c r="B1937" s="27" t="s">
        <v>7157</v>
      </c>
      <c r="C1937" s="27" t="s">
        <v>144</v>
      </c>
      <c r="D1937" s="26" t="s">
        <v>7158</v>
      </c>
      <c r="E1937" s="27" t="s">
        <v>7159</v>
      </c>
      <c r="F1937" s="28" t="s">
        <v>146</v>
      </c>
      <c r="G1937" s="27" t="s">
        <v>3537</v>
      </c>
      <c r="H1937" s="27" t="s">
        <v>57</v>
      </c>
      <c r="I1937" s="27" t="s">
        <v>39</v>
      </c>
      <c r="J1937" s="28" t="s">
        <v>856</v>
      </c>
      <c r="K1937" s="27" t="s">
        <v>38</v>
      </c>
      <c r="L1937" s="27"/>
    </row>
    <row r="1938" customFormat="false" ht="15" hidden="false" customHeight="false" outlineLevel="0" collapsed="false">
      <c r="A1938" s="26" t="s">
        <v>7160</v>
      </c>
      <c r="B1938" s="27" t="s">
        <v>7161</v>
      </c>
      <c r="C1938" s="27" t="s">
        <v>144</v>
      </c>
      <c r="D1938" s="26" t="s">
        <v>7162</v>
      </c>
      <c r="E1938" s="27" t="s">
        <v>7163</v>
      </c>
      <c r="F1938" s="28" t="s">
        <v>146</v>
      </c>
      <c r="G1938" s="27" t="s">
        <v>3537</v>
      </c>
      <c r="H1938" s="27" t="s">
        <v>57</v>
      </c>
      <c r="I1938" s="27" t="s">
        <v>39</v>
      </c>
      <c r="J1938" s="28" t="s">
        <v>856</v>
      </c>
      <c r="K1938" s="27" t="s">
        <v>38</v>
      </c>
      <c r="L1938" s="27"/>
    </row>
    <row r="1939" customFormat="false" ht="15" hidden="false" customHeight="false" outlineLevel="0" collapsed="false">
      <c r="A1939" s="26" t="s">
        <v>7164</v>
      </c>
      <c r="B1939" s="27" t="s">
        <v>7165</v>
      </c>
      <c r="C1939" s="27" t="s">
        <v>144</v>
      </c>
      <c r="D1939" s="26" t="s">
        <v>7166</v>
      </c>
      <c r="E1939" s="27" t="s">
        <v>7167</v>
      </c>
      <c r="F1939" s="28" t="s">
        <v>146</v>
      </c>
      <c r="G1939" s="27" t="s">
        <v>3537</v>
      </c>
      <c r="H1939" s="27" t="s">
        <v>57</v>
      </c>
      <c r="I1939" s="27" t="s">
        <v>39</v>
      </c>
      <c r="J1939" s="28" t="s">
        <v>856</v>
      </c>
      <c r="K1939" s="27" t="s">
        <v>38</v>
      </c>
      <c r="L1939" s="27"/>
    </row>
    <row r="1940" customFormat="false" ht="15" hidden="false" customHeight="false" outlineLevel="0" collapsed="false">
      <c r="A1940" s="26" t="s">
        <v>7168</v>
      </c>
      <c r="B1940" s="27" t="s">
        <v>7169</v>
      </c>
      <c r="C1940" s="27" t="s">
        <v>144</v>
      </c>
      <c r="D1940" s="26" t="s">
        <v>7170</v>
      </c>
      <c r="E1940" s="27" t="s">
        <v>7171</v>
      </c>
      <c r="F1940" s="28" t="s">
        <v>146</v>
      </c>
      <c r="G1940" s="27" t="s">
        <v>3537</v>
      </c>
      <c r="H1940" s="27" t="s">
        <v>57</v>
      </c>
      <c r="I1940" s="27" t="s">
        <v>39</v>
      </c>
      <c r="J1940" s="28" t="s">
        <v>856</v>
      </c>
      <c r="K1940" s="27" t="s">
        <v>38</v>
      </c>
      <c r="L1940" s="27"/>
    </row>
    <row r="1941" customFormat="false" ht="15" hidden="false" customHeight="false" outlineLevel="0" collapsed="false">
      <c r="A1941" s="26" t="s">
        <v>7172</v>
      </c>
      <c r="B1941" s="27" t="s">
        <v>7173</v>
      </c>
      <c r="C1941" s="27" t="s">
        <v>144</v>
      </c>
      <c r="D1941" s="26" t="s">
        <v>7174</v>
      </c>
      <c r="E1941" s="27" t="s">
        <v>7175</v>
      </c>
      <c r="F1941" s="28" t="s">
        <v>146</v>
      </c>
      <c r="G1941" s="27" t="s">
        <v>3537</v>
      </c>
      <c r="H1941" s="27" t="s">
        <v>57</v>
      </c>
      <c r="I1941" s="27" t="s">
        <v>39</v>
      </c>
      <c r="J1941" s="28" t="s">
        <v>856</v>
      </c>
      <c r="K1941" s="27" t="s">
        <v>38</v>
      </c>
      <c r="L1941" s="27"/>
    </row>
    <row r="1942" customFormat="false" ht="15" hidden="false" customHeight="false" outlineLevel="0" collapsed="false">
      <c r="A1942" s="26" t="s">
        <v>7176</v>
      </c>
      <c r="B1942" s="27" t="s">
        <v>7177</v>
      </c>
      <c r="C1942" s="27" t="s">
        <v>144</v>
      </c>
      <c r="D1942" s="26" t="s">
        <v>7178</v>
      </c>
      <c r="E1942" s="27" t="s">
        <v>7179</v>
      </c>
      <c r="F1942" s="28" t="s">
        <v>146</v>
      </c>
      <c r="G1942" s="27" t="s">
        <v>3537</v>
      </c>
      <c r="H1942" s="27" t="s">
        <v>57</v>
      </c>
      <c r="I1942" s="27" t="s">
        <v>39</v>
      </c>
      <c r="J1942" s="28" t="s">
        <v>856</v>
      </c>
      <c r="K1942" s="27" t="s">
        <v>38</v>
      </c>
      <c r="L1942" s="27"/>
    </row>
    <row r="1943" customFormat="false" ht="15" hidden="false" customHeight="false" outlineLevel="0" collapsed="false">
      <c r="A1943" s="26" t="s">
        <v>7180</v>
      </c>
      <c r="B1943" s="27" t="s">
        <v>7181</v>
      </c>
      <c r="C1943" s="27" t="s">
        <v>144</v>
      </c>
      <c r="D1943" s="26" t="s">
        <v>2601</v>
      </c>
      <c r="E1943" s="27" t="s">
        <v>2602</v>
      </c>
      <c r="F1943" s="28" t="s">
        <v>146</v>
      </c>
      <c r="G1943" s="27" t="s">
        <v>3537</v>
      </c>
      <c r="H1943" s="27" t="s">
        <v>57</v>
      </c>
      <c r="I1943" s="27" t="s">
        <v>39</v>
      </c>
      <c r="J1943" s="28" t="s">
        <v>856</v>
      </c>
      <c r="K1943" s="27" t="s">
        <v>38</v>
      </c>
      <c r="L1943" s="27"/>
    </row>
    <row r="1944" customFormat="false" ht="15" hidden="false" customHeight="false" outlineLevel="0" collapsed="false">
      <c r="A1944" s="26" t="s">
        <v>7182</v>
      </c>
      <c r="B1944" s="27" t="s">
        <v>7183</v>
      </c>
      <c r="C1944" s="27" t="s">
        <v>144</v>
      </c>
      <c r="D1944" s="26" t="s">
        <v>7150</v>
      </c>
      <c r="E1944" s="27" t="s">
        <v>7151</v>
      </c>
      <c r="F1944" s="28" t="s">
        <v>146</v>
      </c>
      <c r="G1944" s="27" t="s">
        <v>3537</v>
      </c>
      <c r="H1944" s="27" t="s">
        <v>57</v>
      </c>
      <c r="I1944" s="27" t="s">
        <v>39</v>
      </c>
      <c r="J1944" s="28" t="s">
        <v>856</v>
      </c>
      <c r="K1944" s="27" t="s">
        <v>38</v>
      </c>
      <c r="L1944" s="27"/>
    </row>
    <row r="1945" customFormat="false" ht="15" hidden="false" customHeight="false" outlineLevel="0" collapsed="false">
      <c r="A1945" s="26" t="s">
        <v>7184</v>
      </c>
      <c r="B1945" s="27" t="s">
        <v>7185</v>
      </c>
      <c r="C1945" s="27" t="s">
        <v>144</v>
      </c>
      <c r="D1945" s="26" t="s">
        <v>7186</v>
      </c>
      <c r="E1945" s="27" t="s">
        <v>7187</v>
      </c>
      <c r="F1945" s="28" t="s">
        <v>146</v>
      </c>
      <c r="G1945" s="27" t="s">
        <v>3537</v>
      </c>
      <c r="H1945" s="27" t="s">
        <v>57</v>
      </c>
      <c r="I1945" s="27" t="s">
        <v>42</v>
      </c>
      <c r="J1945" s="28" t="s">
        <v>856</v>
      </c>
      <c r="K1945" s="27" t="s">
        <v>38</v>
      </c>
      <c r="L1945" s="27"/>
    </row>
    <row r="1946" customFormat="false" ht="15" hidden="false" customHeight="false" outlineLevel="0" collapsed="false">
      <c r="A1946" s="26" t="s">
        <v>7188</v>
      </c>
      <c r="B1946" s="27" t="s">
        <v>7189</v>
      </c>
      <c r="C1946" s="27" t="s">
        <v>144</v>
      </c>
      <c r="D1946" s="26" t="s">
        <v>7190</v>
      </c>
      <c r="E1946" s="27" t="s">
        <v>7191</v>
      </c>
      <c r="F1946" s="28" t="s">
        <v>146</v>
      </c>
      <c r="G1946" s="27" t="s">
        <v>3537</v>
      </c>
      <c r="H1946" s="27" t="s">
        <v>57</v>
      </c>
      <c r="I1946" s="27" t="s">
        <v>39</v>
      </c>
      <c r="J1946" s="28" t="s">
        <v>856</v>
      </c>
      <c r="K1946" s="27" t="s">
        <v>38</v>
      </c>
      <c r="L1946" s="27"/>
    </row>
    <row r="1947" customFormat="false" ht="15" hidden="false" customHeight="false" outlineLevel="0" collapsed="false">
      <c r="A1947" s="26" t="s">
        <v>7192</v>
      </c>
      <c r="B1947" s="27" t="s">
        <v>7193</v>
      </c>
      <c r="C1947" s="27" t="s">
        <v>144</v>
      </c>
      <c r="D1947" s="26" t="s">
        <v>7194</v>
      </c>
      <c r="E1947" s="27" t="s">
        <v>7195</v>
      </c>
      <c r="F1947" s="28" t="s">
        <v>146</v>
      </c>
      <c r="G1947" s="27" t="s">
        <v>3537</v>
      </c>
      <c r="H1947" s="27" t="s">
        <v>57</v>
      </c>
      <c r="I1947" s="27" t="s">
        <v>39</v>
      </c>
      <c r="J1947" s="28" t="s">
        <v>856</v>
      </c>
      <c r="K1947" s="27" t="s">
        <v>38</v>
      </c>
      <c r="L1947" s="27"/>
    </row>
    <row r="1948" customFormat="false" ht="15" hidden="false" customHeight="false" outlineLevel="0" collapsed="false">
      <c r="A1948" s="26" t="s">
        <v>7196</v>
      </c>
      <c r="B1948" s="27" t="s">
        <v>7197</v>
      </c>
      <c r="C1948" s="27" t="s">
        <v>144</v>
      </c>
      <c r="D1948" s="26" t="s">
        <v>7198</v>
      </c>
      <c r="E1948" s="27" t="s">
        <v>7199</v>
      </c>
      <c r="F1948" s="28" t="s">
        <v>146</v>
      </c>
      <c r="G1948" s="27" t="s">
        <v>3537</v>
      </c>
      <c r="H1948" s="27" t="s">
        <v>57</v>
      </c>
      <c r="I1948" s="27" t="s">
        <v>39</v>
      </c>
      <c r="J1948" s="28" t="s">
        <v>856</v>
      </c>
      <c r="K1948" s="27" t="s">
        <v>38</v>
      </c>
      <c r="L1948" s="27"/>
    </row>
    <row r="1949" customFormat="false" ht="15" hidden="false" customHeight="false" outlineLevel="0" collapsed="false">
      <c r="A1949" s="26" t="s">
        <v>7200</v>
      </c>
      <c r="B1949" s="27" t="s">
        <v>7201</v>
      </c>
      <c r="C1949" s="27" t="s">
        <v>144</v>
      </c>
      <c r="D1949" s="26" t="s">
        <v>7202</v>
      </c>
      <c r="E1949" s="27" t="s">
        <v>7203</v>
      </c>
      <c r="F1949" s="28" t="s">
        <v>146</v>
      </c>
      <c r="G1949" s="27" t="s">
        <v>3537</v>
      </c>
      <c r="H1949" s="27" t="s">
        <v>56</v>
      </c>
      <c r="I1949" s="27" t="s">
        <v>38</v>
      </c>
      <c r="J1949" s="28" t="s">
        <v>856</v>
      </c>
      <c r="K1949" s="27" t="s">
        <v>38</v>
      </c>
      <c r="L1949" s="27"/>
    </row>
    <row r="1950" customFormat="false" ht="15" hidden="false" customHeight="false" outlineLevel="0" collapsed="false">
      <c r="A1950" s="26" t="s">
        <v>7204</v>
      </c>
      <c r="B1950" s="27" t="s">
        <v>7205</v>
      </c>
      <c r="C1950" s="27" t="s">
        <v>144</v>
      </c>
      <c r="D1950" s="26" t="s">
        <v>7206</v>
      </c>
      <c r="E1950" s="27" t="s">
        <v>7207</v>
      </c>
      <c r="F1950" s="28" t="s">
        <v>146</v>
      </c>
      <c r="G1950" s="27" t="s">
        <v>3537</v>
      </c>
      <c r="H1950" s="27" t="s">
        <v>56</v>
      </c>
      <c r="I1950" s="27" t="s">
        <v>38</v>
      </c>
      <c r="J1950" s="28" t="s">
        <v>856</v>
      </c>
      <c r="K1950" s="27" t="s">
        <v>38</v>
      </c>
      <c r="L1950" s="27"/>
    </row>
    <row r="1951" customFormat="false" ht="15" hidden="false" customHeight="false" outlineLevel="0" collapsed="false">
      <c r="A1951" s="26" t="s">
        <v>7208</v>
      </c>
      <c r="B1951" s="27" t="s">
        <v>7209</v>
      </c>
      <c r="C1951" s="27" t="s">
        <v>144</v>
      </c>
      <c r="D1951" s="26" t="s">
        <v>7210</v>
      </c>
      <c r="E1951" s="27" t="s">
        <v>7211</v>
      </c>
      <c r="F1951" s="28" t="s">
        <v>146</v>
      </c>
      <c r="G1951" s="27" t="s">
        <v>3537</v>
      </c>
      <c r="H1951" s="27" t="s">
        <v>56</v>
      </c>
      <c r="I1951" s="27" t="s">
        <v>38</v>
      </c>
      <c r="J1951" s="28" t="s">
        <v>856</v>
      </c>
      <c r="K1951" s="27" t="s">
        <v>38</v>
      </c>
      <c r="L1951" s="27"/>
    </row>
    <row r="1952" customFormat="false" ht="15" hidden="false" customHeight="false" outlineLevel="0" collapsed="false">
      <c r="A1952" s="26" t="s">
        <v>7212</v>
      </c>
      <c r="B1952" s="27" t="s">
        <v>7213</v>
      </c>
      <c r="C1952" s="27" t="s">
        <v>144</v>
      </c>
      <c r="D1952" s="26" t="s">
        <v>7214</v>
      </c>
      <c r="E1952" s="27" t="s">
        <v>7215</v>
      </c>
      <c r="F1952" s="28" t="s">
        <v>146</v>
      </c>
      <c r="G1952" s="27" t="s">
        <v>3537</v>
      </c>
      <c r="H1952" s="27" t="s">
        <v>57</v>
      </c>
      <c r="I1952" s="27" t="s">
        <v>887</v>
      </c>
      <c r="J1952" s="28" t="s">
        <v>856</v>
      </c>
      <c r="K1952" s="27" t="s">
        <v>38</v>
      </c>
      <c r="L1952" s="27"/>
    </row>
    <row r="1953" customFormat="false" ht="15" hidden="false" customHeight="false" outlineLevel="0" collapsed="false">
      <c r="A1953" s="26" t="s">
        <v>7216</v>
      </c>
      <c r="B1953" s="27" t="s">
        <v>7217</v>
      </c>
      <c r="C1953" s="27" t="s">
        <v>144</v>
      </c>
      <c r="D1953" s="26" t="s">
        <v>7218</v>
      </c>
      <c r="E1953" s="27" t="s">
        <v>7219</v>
      </c>
      <c r="F1953" s="28" t="s">
        <v>146</v>
      </c>
      <c r="G1953" s="27" t="s">
        <v>3537</v>
      </c>
      <c r="H1953" s="27" t="s">
        <v>57</v>
      </c>
      <c r="I1953" s="27" t="s">
        <v>887</v>
      </c>
      <c r="J1953" s="28" t="s">
        <v>856</v>
      </c>
      <c r="K1953" s="27" t="s">
        <v>38</v>
      </c>
      <c r="L1953" s="27"/>
    </row>
    <row r="1954" customFormat="false" ht="15" hidden="false" customHeight="false" outlineLevel="0" collapsed="false">
      <c r="A1954" s="26" t="s">
        <v>7220</v>
      </c>
      <c r="B1954" s="27" t="s">
        <v>7221</v>
      </c>
      <c r="C1954" s="27" t="s">
        <v>144</v>
      </c>
      <c r="D1954" s="26" t="s">
        <v>7222</v>
      </c>
      <c r="E1954" s="27" t="s">
        <v>7223</v>
      </c>
      <c r="F1954" s="28" t="s">
        <v>146</v>
      </c>
      <c r="G1954" s="27" t="s">
        <v>3537</v>
      </c>
      <c r="H1954" s="27" t="s">
        <v>56</v>
      </c>
      <c r="I1954" s="27" t="s">
        <v>38</v>
      </c>
      <c r="J1954" s="28" t="s">
        <v>856</v>
      </c>
      <c r="K1954" s="27" t="s">
        <v>38</v>
      </c>
      <c r="L1954" s="27"/>
    </row>
    <row r="1955" customFormat="false" ht="15" hidden="false" customHeight="false" outlineLevel="0" collapsed="false">
      <c r="A1955" s="26" t="s">
        <v>7224</v>
      </c>
      <c r="B1955" s="27" t="s">
        <v>7225</v>
      </c>
      <c r="C1955" s="27" t="s">
        <v>144</v>
      </c>
      <c r="D1955" s="26" t="s">
        <v>7226</v>
      </c>
      <c r="E1955" s="27" t="s">
        <v>7227</v>
      </c>
      <c r="F1955" s="28" t="s">
        <v>146</v>
      </c>
      <c r="G1955" s="27" t="s">
        <v>3537</v>
      </c>
      <c r="H1955" s="27" t="s">
        <v>57</v>
      </c>
      <c r="I1955" s="27" t="s">
        <v>39</v>
      </c>
      <c r="J1955" s="28" t="s">
        <v>856</v>
      </c>
      <c r="K1955" s="27" t="s">
        <v>38</v>
      </c>
      <c r="L1955" s="27"/>
    </row>
    <row r="1956" customFormat="false" ht="15" hidden="false" customHeight="false" outlineLevel="0" collapsed="false">
      <c r="A1956" s="26" t="s">
        <v>7228</v>
      </c>
      <c r="B1956" s="27" t="s">
        <v>7229</v>
      </c>
      <c r="C1956" s="27" t="s">
        <v>144</v>
      </c>
      <c r="D1956" s="26" t="s">
        <v>7230</v>
      </c>
      <c r="E1956" s="27" t="s">
        <v>7231</v>
      </c>
      <c r="F1956" s="28" t="s">
        <v>146</v>
      </c>
      <c r="G1956" s="27" t="s">
        <v>3537</v>
      </c>
      <c r="H1956" s="27" t="s">
        <v>57</v>
      </c>
      <c r="I1956" s="27" t="s">
        <v>39</v>
      </c>
      <c r="J1956" s="28" t="s">
        <v>856</v>
      </c>
      <c r="K1956" s="27" t="s">
        <v>38</v>
      </c>
      <c r="L1956" s="27"/>
    </row>
    <row r="1957" customFormat="false" ht="15" hidden="false" customHeight="false" outlineLevel="0" collapsed="false">
      <c r="A1957" s="26" t="s">
        <v>7232</v>
      </c>
      <c r="B1957" s="27" t="s">
        <v>7233</v>
      </c>
      <c r="C1957" s="27" t="s">
        <v>144</v>
      </c>
      <c r="D1957" s="26" t="s">
        <v>7234</v>
      </c>
      <c r="E1957" s="27" t="s">
        <v>7235</v>
      </c>
      <c r="F1957" s="28" t="s">
        <v>146</v>
      </c>
      <c r="G1957" s="27" t="s">
        <v>3537</v>
      </c>
      <c r="H1957" s="27" t="s">
        <v>57</v>
      </c>
      <c r="I1957" s="27" t="s">
        <v>39</v>
      </c>
      <c r="J1957" s="28" t="s">
        <v>856</v>
      </c>
      <c r="K1957" s="27" t="s">
        <v>38</v>
      </c>
      <c r="L1957" s="27"/>
    </row>
    <row r="1958" customFormat="false" ht="15" hidden="false" customHeight="false" outlineLevel="0" collapsed="false">
      <c r="A1958" s="26" t="s">
        <v>7236</v>
      </c>
      <c r="B1958" s="27" t="s">
        <v>7237</v>
      </c>
      <c r="C1958" s="27" t="s">
        <v>144</v>
      </c>
      <c r="D1958" s="26" t="s">
        <v>7238</v>
      </c>
      <c r="E1958" s="27" t="s">
        <v>7239</v>
      </c>
      <c r="F1958" s="28" t="s">
        <v>146</v>
      </c>
      <c r="G1958" s="27" t="s">
        <v>3537</v>
      </c>
      <c r="H1958" s="27" t="s">
        <v>56</v>
      </c>
      <c r="I1958" s="27" t="s">
        <v>38</v>
      </c>
      <c r="J1958" s="28" t="s">
        <v>856</v>
      </c>
      <c r="K1958" s="27" t="s">
        <v>38</v>
      </c>
      <c r="L1958" s="27"/>
    </row>
    <row r="1959" customFormat="false" ht="15" hidden="false" customHeight="false" outlineLevel="0" collapsed="false">
      <c r="A1959" s="26" t="s">
        <v>7240</v>
      </c>
      <c r="B1959" s="27" t="s">
        <v>7241</v>
      </c>
      <c r="C1959" s="27" t="s">
        <v>144</v>
      </c>
      <c r="D1959" s="26" t="s">
        <v>7242</v>
      </c>
      <c r="E1959" s="27" t="s">
        <v>7243</v>
      </c>
      <c r="F1959" s="28" t="s">
        <v>146</v>
      </c>
      <c r="G1959" s="27" t="s">
        <v>3537</v>
      </c>
      <c r="H1959" s="27" t="s">
        <v>57</v>
      </c>
      <c r="I1959" s="27" t="s">
        <v>47</v>
      </c>
      <c r="J1959" s="28" t="s">
        <v>856</v>
      </c>
      <c r="K1959" s="27" t="s">
        <v>38</v>
      </c>
      <c r="L1959" s="27"/>
    </row>
    <row r="1960" customFormat="false" ht="15" hidden="false" customHeight="false" outlineLevel="0" collapsed="false">
      <c r="A1960" s="26" t="s">
        <v>7244</v>
      </c>
      <c r="B1960" s="27" t="s">
        <v>7245</v>
      </c>
      <c r="C1960" s="27" t="s">
        <v>144</v>
      </c>
      <c r="D1960" s="26" t="s">
        <v>7246</v>
      </c>
      <c r="E1960" s="27" t="s">
        <v>7247</v>
      </c>
      <c r="F1960" s="28" t="s">
        <v>146</v>
      </c>
      <c r="G1960" s="27" t="s">
        <v>3537</v>
      </c>
      <c r="H1960" s="27" t="s">
        <v>57</v>
      </c>
      <c r="I1960" s="27" t="s">
        <v>39</v>
      </c>
      <c r="J1960" s="28" t="s">
        <v>856</v>
      </c>
      <c r="K1960" s="27" t="s">
        <v>38</v>
      </c>
      <c r="L1960" s="27"/>
    </row>
    <row r="1961" customFormat="false" ht="15" hidden="false" customHeight="false" outlineLevel="0" collapsed="false">
      <c r="A1961" s="26" t="s">
        <v>7248</v>
      </c>
      <c r="B1961" s="27" t="s">
        <v>7249</v>
      </c>
      <c r="C1961" s="27" t="s">
        <v>144</v>
      </c>
      <c r="D1961" s="26" t="s">
        <v>7250</v>
      </c>
      <c r="E1961" s="27" t="s">
        <v>7251</v>
      </c>
      <c r="F1961" s="28" t="s">
        <v>146</v>
      </c>
      <c r="G1961" s="27" t="s">
        <v>3537</v>
      </c>
      <c r="H1961" s="27" t="s">
        <v>57</v>
      </c>
      <c r="I1961" s="27" t="s">
        <v>39</v>
      </c>
      <c r="J1961" s="28" t="s">
        <v>856</v>
      </c>
      <c r="K1961" s="27" t="s">
        <v>38</v>
      </c>
      <c r="L1961" s="27"/>
    </row>
    <row r="1962" customFormat="false" ht="15" hidden="false" customHeight="false" outlineLevel="0" collapsed="false">
      <c r="A1962" s="26" t="s">
        <v>7252</v>
      </c>
      <c r="B1962" s="27" t="s">
        <v>7253</v>
      </c>
      <c r="C1962" s="27" t="s">
        <v>144</v>
      </c>
      <c r="D1962" s="26" t="s">
        <v>7254</v>
      </c>
      <c r="E1962" s="27" t="s">
        <v>7255</v>
      </c>
      <c r="F1962" s="28" t="s">
        <v>146</v>
      </c>
      <c r="G1962" s="27" t="s">
        <v>3537</v>
      </c>
      <c r="H1962" s="27" t="s">
        <v>57</v>
      </c>
      <c r="I1962" s="27" t="s">
        <v>39</v>
      </c>
      <c r="J1962" s="28" t="s">
        <v>856</v>
      </c>
      <c r="K1962" s="27" t="s">
        <v>38</v>
      </c>
      <c r="L1962" s="27"/>
    </row>
    <row r="1963" customFormat="false" ht="15" hidden="false" customHeight="false" outlineLevel="0" collapsed="false">
      <c r="A1963" s="26" t="s">
        <v>7256</v>
      </c>
      <c r="B1963" s="27" t="s">
        <v>7257</v>
      </c>
      <c r="C1963" s="27" t="s">
        <v>144</v>
      </c>
      <c r="D1963" s="26" t="s">
        <v>3192</v>
      </c>
      <c r="E1963" s="27" t="s">
        <v>3193</v>
      </c>
      <c r="F1963" s="28" t="s">
        <v>146</v>
      </c>
      <c r="G1963" s="27" t="s">
        <v>3537</v>
      </c>
      <c r="H1963" s="27" t="s">
        <v>57</v>
      </c>
      <c r="I1963" s="27" t="s">
        <v>39</v>
      </c>
      <c r="J1963" s="28" t="s">
        <v>856</v>
      </c>
      <c r="K1963" s="27" t="s">
        <v>38</v>
      </c>
      <c r="L1963" s="27"/>
    </row>
    <row r="1964" customFormat="false" ht="15" hidden="false" customHeight="false" outlineLevel="0" collapsed="false">
      <c r="A1964" s="26" t="s">
        <v>7258</v>
      </c>
      <c r="B1964" s="27" t="s">
        <v>7259</v>
      </c>
      <c r="C1964" s="27" t="s">
        <v>144</v>
      </c>
      <c r="D1964" s="26" t="s">
        <v>7260</v>
      </c>
      <c r="E1964" s="27" t="s">
        <v>7261</v>
      </c>
      <c r="F1964" s="28" t="s">
        <v>146</v>
      </c>
      <c r="G1964" s="27" t="s">
        <v>3537</v>
      </c>
      <c r="H1964" s="27" t="s">
        <v>57</v>
      </c>
      <c r="I1964" s="27" t="s">
        <v>39</v>
      </c>
      <c r="J1964" s="28" t="s">
        <v>856</v>
      </c>
      <c r="K1964" s="27" t="s">
        <v>38</v>
      </c>
      <c r="L1964" s="27"/>
    </row>
    <row r="1965" customFormat="false" ht="15" hidden="false" customHeight="false" outlineLevel="0" collapsed="false">
      <c r="A1965" s="26" t="s">
        <v>7262</v>
      </c>
      <c r="B1965" s="27" t="s">
        <v>7263</v>
      </c>
      <c r="C1965" s="27" t="s">
        <v>144</v>
      </c>
      <c r="D1965" s="26" t="s">
        <v>2613</v>
      </c>
      <c r="E1965" s="27" t="s">
        <v>2614</v>
      </c>
      <c r="F1965" s="28" t="s">
        <v>146</v>
      </c>
      <c r="G1965" s="27" t="s">
        <v>3537</v>
      </c>
      <c r="H1965" s="27" t="s">
        <v>57</v>
      </c>
      <c r="I1965" s="27" t="s">
        <v>39</v>
      </c>
      <c r="J1965" s="28" t="s">
        <v>856</v>
      </c>
      <c r="K1965" s="27" t="s">
        <v>38</v>
      </c>
      <c r="L1965" s="27"/>
    </row>
    <row r="1966" customFormat="false" ht="15" hidden="false" customHeight="false" outlineLevel="0" collapsed="false">
      <c r="A1966" s="26" t="s">
        <v>7264</v>
      </c>
      <c r="B1966" s="27" t="s">
        <v>7265</v>
      </c>
      <c r="C1966" s="27" t="s">
        <v>144</v>
      </c>
      <c r="D1966" s="26" t="s">
        <v>7266</v>
      </c>
      <c r="E1966" s="27" t="s">
        <v>7267</v>
      </c>
      <c r="F1966" s="28" t="s">
        <v>146</v>
      </c>
      <c r="G1966" s="27" t="s">
        <v>3537</v>
      </c>
      <c r="H1966" s="27" t="s">
        <v>57</v>
      </c>
      <c r="I1966" s="27" t="s">
        <v>47</v>
      </c>
      <c r="J1966" s="28" t="s">
        <v>856</v>
      </c>
      <c r="K1966" s="27" t="s">
        <v>38</v>
      </c>
      <c r="L1966" s="27"/>
    </row>
    <row r="1967" customFormat="false" ht="15" hidden="false" customHeight="false" outlineLevel="0" collapsed="false">
      <c r="A1967" s="26" t="s">
        <v>7268</v>
      </c>
      <c r="B1967" s="27" t="s">
        <v>7269</v>
      </c>
      <c r="C1967" s="27" t="s">
        <v>1187</v>
      </c>
      <c r="D1967" s="26" t="s">
        <v>7270</v>
      </c>
      <c r="E1967" s="27" t="s">
        <v>7271</v>
      </c>
      <c r="F1967" s="28" t="s">
        <v>1190</v>
      </c>
      <c r="G1967" s="27" t="s">
        <v>3537</v>
      </c>
      <c r="H1967" s="27" t="s">
        <v>57</v>
      </c>
      <c r="I1967" s="27" t="s">
        <v>39</v>
      </c>
      <c r="J1967" s="28" t="s">
        <v>856</v>
      </c>
      <c r="K1967" s="27" t="s">
        <v>38</v>
      </c>
      <c r="L1967" s="27"/>
    </row>
    <row r="1968" customFormat="false" ht="15" hidden="false" customHeight="false" outlineLevel="0" collapsed="false">
      <c r="A1968" s="26" t="s">
        <v>7272</v>
      </c>
      <c r="B1968" s="27" t="s">
        <v>7273</v>
      </c>
      <c r="C1968" s="27" t="s">
        <v>1187</v>
      </c>
      <c r="D1968" s="26" t="s">
        <v>7274</v>
      </c>
      <c r="E1968" s="27" t="s">
        <v>7275</v>
      </c>
      <c r="F1968" s="28" t="s">
        <v>1190</v>
      </c>
      <c r="G1968" s="27" t="s">
        <v>3537</v>
      </c>
      <c r="H1968" s="27" t="s">
        <v>57</v>
      </c>
      <c r="I1968" s="27" t="s">
        <v>39</v>
      </c>
      <c r="J1968" s="28" t="s">
        <v>856</v>
      </c>
      <c r="K1968" s="27" t="s">
        <v>38</v>
      </c>
      <c r="L1968" s="27"/>
    </row>
    <row r="1969" customFormat="false" ht="15" hidden="false" customHeight="false" outlineLevel="0" collapsed="false">
      <c r="A1969" s="26" t="s">
        <v>7276</v>
      </c>
      <c r="B1969" s="27" t="s">
        <v>7277</v>
      </c>
      <c r="C1969" s="27" t="s">
        <v>1187</v>
      </c>
      <c r="D1969" s="26" t="s">
        <v>7278</v>
      </c>
      <c r="E1969" s="27" t="s">
        <v>7279</v>
      </c>
      <c r="F1969" s="28" t="s">
        <v>1190</v>
      </c>
      <c r="G1969" s="27" t="s">
        <v>3537</v>
      </c>
      <c r="H1969" s="27" t="s">
        <v>57</v>
      </c>
      <c r="I1969" s="27" t="s">
        <v>39</v>
      </c>
      <c r="J1969" s="28" t="s">
        <v>856</v>
      </c>
      <c r="K1969" s="27" t="s">
        <v>38</v>
      </c>
      <c r="L1969" s="27"/>
    </row>
    <row r="1970" customFormat="false" ht="15" hidden="false" customHeight="false" outlineLevel="0" collapsed="false">
      <c r="A1970" s="26" t="s">
        <v>7280</v>
      </c>
      <c r="B1970" s="27" t="s">
        <v>7281</v>
      </c>
      <c r="C1970" s="27" t="s">
        <v>1187</v>
      </c>
      <c r="D1970" s="26" t="s">
        <v>7282</v>
      </c>
      <c r="E1970" s="27" t="s">
        <v>7283</v>
      </c>
      <c r="F1970" s="28" t="s">
        <v>1190</v>
      </c>
      <c r="G1970" s="27" t="s">
        <v>3537</v>
      </c>
      <c r="H1970" s="27" t="s">
        <v>57</v>
      </c>
      <c r="I1970" s="27" t="s">
        <v>39</v>
      </c>
      <c r="J1970" s="28" t="s">
        <v>856</v>
      </c>
      <c r="K1970" s="27" t="s">
        <v>38</v>
      </c>
      <c r="L1970" s="27"/>
    </row>
    <row r="1971" customFormat="false" ht="15" hidden="false" customHeight="false" outlineLevel="0" collapsed="false">
      <c r="A1971" s="26" t="s">
        <v>7284</v>
      </c>
      <c r="B1971" s="27" t="s">
        <v>7285</v>
      </c>
      <c r="C1971" s="27" t="s">
        <v>1187</v>
      </c>
      <c r="D1971" s="26" t="s">
        <v>7278</v>
      </c>
      <c r="E1971" s="27" t="s">
        <v>7279</v>
      </c>
      <c r="F1971" s="28" t="s">
        <v>1190</v>
      </c>
      <c r="G1971" s="27" t="s">
        <v>3537</v>
      </c>
      <c r="H1971" s="27" t="s">
        <v>57</v>
      </c>
      <c r="I1971" s="27" t="s">
        <v>39</v>
      </c>
      <c r="J1971" s="28" t="s">
        <v>856</v>
      </c>
      <c r="K1971" s="27" t="s">
        <v>38</v>
      </c>
      <c r="L1971" s="27"/>
    </row>
    <row r="1972" customFormat="false" ht="15" hidden="false" customHeight="false" outlineLevel="0" collapsed="false">
      <c r="A1972" s="26" t="s">
        <v>7286</v>
      </c>
      <c r="B1972" s="27" t="s">
        <v>7287</v>
      </c>
      <c r="C1972" s="27" t="s">
        <v>144</v>
      </c>
      <c r="D1972" s="26" t="s">
        <v>7288</v>
      </c>
      <c r="E1972" s="27" t="s">
        <v>7289</v>
      </c>
      <c r="F1972" s="28" t="s">
        <v>146</v>
      </c>
      <c r="G1972" s="27" t="s">
        <v>3537</v>
      </c>
      <c r="H1972" s="27" t="s">
        <v>57</v>
      </c>
      <c r="I1972" s="27" t="s">
        <v>39</v>
      </c>
      <c r="J1972" s="28" t="s">
        <v>856</v>
      </c>
      <c r="K1972" s="27" t="s">
        <v>38</v>
      </c>
      <c r="L1972" s="27"/>
    </row>
    <row r="1973" customFormat="false" ht="15" hidden="false" customHeight="false" outlineLevel="0" collapsed="false">
      <c r="A1973" s="26" t="s">
        <v>7290</v>
      </c>
      <c r="B1973" s="27" t="s">
        <v>7291</v>
      </c>
      <c r="C1973" s="27" t="s">
        <v>144</v>
      </c>
      <c r="D1973" s="26" t="s">
        <v>7292</v>
      </c>
      <c r="E1973" s="27" t="s">
        <v>7293</v>
      </c>
      <c r="F1973" s="28" t="s">
        <v>146</v>
      </c>
      <c r="G1973" s="27" t="s">
        <v>3537</v>
      </c>
      <c r="H1973" s="27" t="s">
        <v>57</v>
      </c>
      <c r="I1973" s="27" t="s">
        <v>39</v>
      </c>
      <c r="J1973" s="28" t="s">
        <v>856</v>
      </c>
      <c r="K1973" s="27" t="s">
        <v>38</v>
      </c>
      <c r="L1973" s="27"/>
    </row>
    <row r="1974" customFormat="false" ht="15" hidden="false" customHeight="false" outlineLevel="0" collapsed="false">
      <c r="A1974" s="26" t="s">
        <v>7294</v>
      </c>
      <c r="B1974" s="27" t="s">
        <v>7295</v>
      </c>
      <c r="C1974" s="27" t="s">
        <v>144</v>
      </c>
      <c r="D1974" s="26" t="s">
        <v>7296</v>
      </c>
      <c r="E1974" s="27" t="s">
        <v>7297</v>
      </c>
      <c r="F1974" s="28" t="s">
        <v>146</v>
      </c>
      <c r="G1974" s="27" t="s">
        <v>3537</v>
      </c>
      <c r="H1974" s="27" t="s">
        <v>57</v>
      </c>
      <c r="I1974" s="27" t="s">
        <v>39</v>
      </c>
      <c r="J1974" s="28" t="s">
        <v>856</v>
      </c>
      <c r="K1974" s="27" t="s">
        <v>38</v>
      </c>
      <c r="L1974" s="27"/>
    </row>
    <row r="1975" customFormat="false" ht="15" hidden="false" customHeight="false" outlineLevel="0" collapsed="false">
      <c r="A1975" s="26" t="s">
        <v>7298</v>
      </c>
      <c r="B1975" s="27" t="s">
        <v>7299</v>
      </c>
      <c r="C1975" s="27" t="s">
        <v>144</v>
      </c>
      <c r="D1975" s="26" t="s">
        <v>7300</v>
      </c>
      <c r="E1975" s="27" t="s">
        <v>7301</v>
      </c>
      <c r="F1975" s="28" t="s">
        <v>146</v>
      </c>
      <c r="G1975" s="27" t="s">
        <v>3537</v>
      </c>
      <c r="H1975" s="27" t="s">
        <v>57</v>
      </c>
      <c r="I1975" s="27" t="s">
        <v>39</v>
      </c>
      <c r="J1975" s="28" t="s">
        <v>856</v>
      </c>
      <c r="K1975" s="27" t="s">
        <v>38</v>
      </c>
      <c r="L1975" s="27"/>
    </row>
    <row r="1976" customFormat="false" ht="15" hidden="false" customHeight="false" outlineLevel="0" collapsed="false">
      <c r="A1976" s="26" t="s">
        <v>7302</v>
      </c>
      <c r="B1976" s="27" t="s">
        <v>7303</v>
      </c>
      <c r="C1976" s="27" t="s">
        <v>144</v>
      </c>
      <c r="D1976" s="26" t="s">
        <v>7304</v>
      </c>
      <c r="E1976" s="27" t="s">
        <v>7305</v>
      </c>
      <c r="F1976" s="28" t="s">
        <v>146</v>
      </c>
      <c r="G1976" s="27" t="s">
        <v>3537</v>
      </c>
      <c r="H1976" s="27" t="s">
        <v>57</v>
      </c>
      <c r="I1976" s="27" t="s">
        <v>39</v>
      </c>
      <c r="J1976" s="28" t="s">
        <v>856</v>
      </c>
      <c r="K1976" s="27" t="s">
        <v>38</v>
      </c>
      <c r="L1976" s="27"/>
    </row>
    <row r="1977" customFormat="false" ht="15" hidden="false" customHeight="false" outlineLevel="0" collapsed="false">
      <c r="A1977" s="26" t="s">
        <v>7306</v>
      </c>
      <c r="B1977" s="27" t="s">
        <v>7307</v>
      </c>
      <c r="C1977" s="27" t="s">
        <v>144</v>
      </c>
      <c r="D1977" s="26" t="s">
        <v>7308</v>
      </c>
      <c r="E1977" s="27" t="s">
        <v>7309</v>
      </c>
      <c r="F1977" s="28" t="s">
        <v>146</v>
      </c>
      <c r="G1977" s="27" t="s">
        <v>3537</v>
      </c>
      <c r="H1977" s="27" t="s">
        <v>57</v>
      </c>
      <c r="I1977" s="27" t="s">
        <v>39</v>
      </c>
      <c r="J1977" s="28" t="s">
        <v>856</v>
      </c>
      <c r="K1977" s="27" t="s">
        <v>38</v>
      </c>
      <c r="L1977" s="27"/>
    </row>
    <row r="1978" customFormat="false" ht="15" hidden="false" customHeight="false" outlineLevel="0" collapsed="false">
      <c r="A1978" s="26" t="s">
        <v>7310</v>
      </c>
      <c r="B1978" s="27" t="s">
        <v>7311</v>
      </c>
      <c r="C1978" s="27" t="s">
        <v>144</v>
      </c>
      <c r="D1978" s="26" t="s">
        <v>7312</v>
      </c>
      <c r="E1978" s="27" t="s">
        <v>7313</v>
      </c>
      <c r="F1978" s="28" t="s">
        <v>146</v>
      </c>
      <c r="G1978" s="27" t="s">
        <v>3537</v>
      </c>
      <c r="H1978" s="27" t="s">
        <v>57</v>
      </c>
      <c r="I1978" s="27" t="s">
        <v>39</v>
      </c>
      <c r="J1978" s="28" t="s">
        <v>856</v>
      </c>
      <c r="K1978" s="27" t="s">
        <v>38</v>
      </c>
      <c r="L1978" s="27"/>
    </row>
    <row r="1979" customFormat="false" ht="15" hidden="false" customHeight="false" outlineLevel="0" collapsed="false">
      <c r="A1979" s="26" t="s">
        <v>7314</v>
      </c>
      <c r="B1979" s="27" t="s">
        <v>7315</v>
      </c>
      <c r="C1979" s="27" t="s">
        <v>144</v>
      </c>
      <c r="D1979" s="26" t="s">
        <v>7316</v>
      </c>
      <c r="E1979" s="27" t="s">
        <v>7317</v>
      </c>
      <c r="F1979" s="28" t="s">
        <v>146</v>
      </c>
      <c r="G1979" s="27" t="s">
        <v>3537</v>
      </c>
      <c r="H1979" s="27" t="s">
        <v>57</v>
      </c>
      <c r="I1979" s="27" t="s">
        <v>39</v>
      </c>
      <c r="J1979" s="28" t="s">
        <v>856</v>
      </c>
      <c r="K1979" s="27" t="s">
        <v>38</v>
      </c>
      <c r="L1979" s="27"/>
    </row>
    <row r="1980" customFormat="false" ht="15" hidden="false" customHeight="false" outlineLevel="0" collapsed="false">
      <c r="A1980" s="26" t="s">
        <v>7318</v>
      </c>
      <c r="B1980" s="27" t="s">
        <v>7319</v>
      </c>
      <c r="C1980" s="27" t="s">
        <v>144</v>
      </c>
      <c r="D1980" s="26" t="s">
        <v>7320</v>
      </c>
      <c r="E1980" s="27" t="s">
        <v>7321</v>
      </c>
      <c r="F1980" s="28" t="s">
        <v>146</v>
      </c>
      <c r="G1980" s="27" t="s">
        <v>3537</v>
      </c>
      <c r="H1980" s="27" t="s">
        <v>57</v>
      </c>
      <c r="I1980" s="27" t="s">
        <v>39</v>
      </c>
      <c r="J1980" s="28" t="s">
        <v>856</v>
      </c>
      <c r="K1980" s="27" t="s">
        <v>38</v>
      </c>
      <c r="L1980" s="27"/>
    </row>
    <row r="1981" customFormat="false" ht="15" hidden="false" customHeight="false" outlineLevel="0" collapsed="false">
      <c r="A1981" s="26" t="s">
        <v>7322</v>
      </c>
      <c r="B1981" s="27" t="s">
        <v>7323</v>
      </c>
      <c r="C1981" s="27" t="s">
        <v>144</v>
      </c>
      <c r="D1981" s="26" t="s">
        <v>7324</v>
      </c>
      <c r="E1981" s="27" t="s">
        <v>7325</v>
      </c>
      <c r="F1981" s="28" t="s">
        <v>146</v>
      </c>
      <c r="G1981" s="27" t="s">
        <v>3537</v>
      </c>
      <c r="H1981" s="27" t="s">
        <v>57</v>
      </c>
      <c r="I1981" s="27" t="s">
        <v>39</v>
      </c>
      <c r="J1981" s="28" t="s">
        <v>856</v>
      </c>
      <c r="K1981" s="27" t="s">
        <v>38</v>
      </c>
      <c r="L1981" s="27"/>
    </row>
    <row r="1982" customFormat="false" ht="15" hidden="false" customHeight="false" outlineLevel="0" collapsed="false">
      <c r="A1982" s="26" t="s">
        <v>7326</v>
      </c>
      <c r="B1982" s="27" t="s">
        <v>7327</v>
      </c>
      <c r="C1982" s="27" t="s">
        <v>144</v>
      </c>
      <c r="D1982" s="26" t="s">
        <v>7328</v>
      </c>
      <c r="E1982" s="27" t="s">
        <v>7329</v>
      </c>
      <c r="F1982" s="28" t="s">
        <v>146</v>
      </c>
      <c r="G1982" s="27" t="s">
        <v>3537</v>
      </c>
      <c r="H1982" s="27" t="s">
        <v>57</v>
      </c>
      <c r="I1982" s="27" t="s">
        <v>39</v>
      </c>
      <c r="J1982" s="28" t="s">
        <v>856</v>
      </c>
      <c r="K1982" s="27" t="s">
        <v>38</v>
      </c>
      <c r="L1982" s="27"/>
    </row>
    <row r="1983" customFormat="false" ht="15" hidden="false" customHeight="false" outlineLevel="0" collapsed="false">
      <c r="A1983" s="26" t="s">
        <v>7330</v>
      </c>
      <c r="B1983" s="27" t="s">
        <v>7331</v>
      </c>
      <c r="C1983" s="27" t="s">
        <v>144</v>
      </c>
      <c r="D1983" s="26" t="s">
        <v>7332</v>
      </c>
      <c r="E1983" s="27" t="s">
        <v>7333</v>
      </c>
      <c r="F1983" s="28" t="s">
        <v>146</v>
      </c>
      <c r="G1983" s="27" t="s">
        <v>3537</v>
      </c>
      <c r="H1983" s="27" t="s">
        <v>57</v>
      </c>
      <c r="I1983" s="27" t="s">
        <v>39</v>
      </c>
      <c r="J1983" s="28" t="s">
        <v>856</v>
      </c>
      <c r="K1983" s="27" t="s">
        <v>38</v>
      </c>
      <c r="L1983" s="27"/>
    </row>
    <row r="1984" customFormat="false" ht="15" hidden="false" customHeight="false" outlineLevel="0" collapsed="false">
      <c r="A1984" s="26" t="s">
        <v>7334</v>
      </c>
      <c r="B1984" s="27" t="s">
        <v>7335</v>
      </c>
      <c r="C1984" s="27" t="s">
        <v>144</v>
      </c>
      <c r="D1984" s="26" t="s">
        <v>7336</v>
      </c>
      <c r="E1984" s="27" t="s">
        <v>7337</v>
      </c>
      <c r="F1984" s="28" t="s">
        <v>146</v>
      </c>
      <c r="G1984" s="27" t="s">
        <v>3537</v>
      </c>
      <c r="H1984" s="27" t="s">
        <v>57</v>
      </c>
      <c r="I1984" s="27" t="s">
        <v>39</v>
      </c>
      <c r="J1984" s="28" t="s">
        <v>856</v>
      </c>
      <c r="K1984" s="27" t="s">
        <v>38</v>
      </c>
      <c r="L1984" s="27"/>
    </row>
    <row r="1985" customFormat="false" ht="15" hidden="false" customHeight="false" outlineLevel="0" collapsed="false">
      <c r="A1985" s="26" t="s">
        <v>7338</v>
      </c>
      <c r="B1985" s="27" t="s">
        <v>7339</v>
      </c>
      <c r="C1985" s="27" t="s">
        <v>144</v>
      </c>
      <c r="D1985" s="26" t="s">
        <v>7340</v>
      </c>
      <c r="E1985" s="27" t="s">
        <v>7341</v>
      </c>
      <c r="F1985" s="28" t="s">
        <v>146</v>
      </c>
      <c r="G1985" s="27" t="s">
        <v>3537</v>
      </c>
      <c r="H1985" s="27" t="s">
        <v>57</v>
      </c>
      <c r="I1985" s="27" t="s">
        <v>39</v>
      </c>
      <c r="J1985" s="28" t="s">
        <v>856</v>
      </c>
      <c r="K1985" s="27" t="s">
        <v>38</v>
      </c>
      <c r="L1985" s="27"/>
    </row>
    <row r="1986" customFormat="false" ht="15" hidden="false" customHeight="false" outlineLevel="0" collapsed="false">
      <c r="A1986" s="26" t="s">
        <v>7342</v>
      </c>
      <c r="B1986" s="27" t="s">
        <v>7343</v>
      </c>
      <c r="C1986" s="27" t="s">
        <v>144</v>
      </c>
      <c r="D1986" s="26" t="s">
        <v>7344</v>
      </c>
      <c r="E1986" s="27" t="s">
        <v>7345</v>
      </c>
      <c r="F1986" s="28" t="s">
        <v>146</v>
      </c>
      <c r="G1986" s="27" t="s">
        <v>3537</v>
      </c>
      <c r="H1986" s="27" t="s">
        <v>57</v>
      </c>
      <c r="I1986" s="27" t="s">
        <v>39</v>
      </c>
      <c r="J1986" s="28" t="s">
        <v>856</v>
      </c>
      <c r="K1986" s="27" t="s">
        <v>38</v>
      </c>
      <c r="L1986" s="27"/>
    </row>
    <row r="1987" customFormat="false" ht="15" hidden="false" customHeight="false" outlineLevel="0" collapsed="false">
      <c r="A1987" s="26" t="s">
        <v>7346</v>
      </c>
      <c r="B1987" s="27" t="s">
        <v>7347</v>
      </c>
      <c r="C1987" s="27" t="s">
        <v>144</v>
      </c>
      <c r="D1987" s="26" t="s">
        <v>7348</v>
      </c>
      <c r="E1987" s="27" t="s">
        <v>7349</v>
      </c>
      <c r="F1987" s="28" t="s">
        <v>146</v>
      </c>
      <c r="G1987" s="27" t="s">
        <v>3537</v>
      </c>
      <c r="H1987" s="27" t="s">
        <v>57</v>
      </c>
      <c r="I1987" s="27" t="s">
        <v>39</v>
      </c>
      <c r="J1987" s="28" t="s">
        <v>856</v>
      </c>
      <c r="K1987" s="27" t="s">
        <v>38</v>
      </c>
      <c r="L1987" s="27"/>
    </row>
    <row r="1988" customFormat="false" ht="15" hidden="false" customHeight="false" outlineLevel="0" collapsed="false">
      <c r="A1988" s="26" t="s">
        <v>7350</v>
      </c>
      <c r="B1988" s="27" t="s">
        <v>7351</v>
      </c>
      <c r="C1988" s="27" t="s">
        <v>144</v>
      </c>
      <c r="D1988" s="26" t="s">
        <v>7352</v>
      </c>
      <c r="E1988" s="27" t="s">
        <v>7353</v>
      </c>
      <c r="F1988" s="28" t="s">
        <v>146</v>
      </c>
      <c r="G1988" s="27" t="s">
        <v>3537</v>
      </c>
      <c r="H1988" s="27" t="s">
        <v>57</v>
      </c>
      <c r="I1988" s="27" t="s">
        <v>39</v>
      </c>
      <c r="J1988" s="28" t="s">
        <v>856</v>
      </c>
      <c r="K1988" s="27" t="s">
        <v>38</v>
      </c>
      <c r="L1988" s="27"/>
    </row>
    <row r="1989" customFormat="false" ht="15" hidden="false" customHeight="false" outlineLevel="0" collapsed="false">
      <c r="A1989" s="26" t="s">
        <v>7354</v>
      </c>
      <c r="B1989" s="27" t="s">
        <v>7355</v>
      </c>
      <c r="C1989" s="27" t="s">
        <v>144</v>
      </c>
      <c r="D1989" s="26" t="s">
        <v>7356</v>
      </c>
      <c r="E1989" s="27" t="s">
        <v>7357</v>
      </c>
      <c r="F1989" s="28" t="s">
        <v>146</v>
      </c>
      <c r="G1989" s="27" t="s">
        <v>3537</v>
      </c>
      <c r="H1989" s="27" t="s">
        <v>57</v>
      </c>
      <c r="I1989" s="27" t="s">
        <v>39</v>
      </c>
      <c r="J1989" s="28" t="s">
        <v>856</v>
      </c>
      <c r="K1989" s="27" t="s">
        <v>38</v>
      </c>
      <c r="L1989" s="27"/>
    </row>
    <row r="1990" customFormat="false" ht="15" hidden="false" customHeight="false" outlineLevel="0" collapsed="false">
      <c r="A1990" s="26" t="s">
        <v>7358</v>
      </c>
      <c r="B1990" s="27" t="s">
        <v>7359</v>
      </c>
      <c r="C1990" s="27" t="s">
        <v>144</v>
      </c>
      <c r="D1990" s="26" t="s">
        <v>7360</v>
      </c>
      <c r="E1990" s="27" t="s">
        <v>7361</v>
      </c>
      <c r="F1990" s="28" t="s">
        <v>146</v>
      </c>
      <c r="G1990" s="27" t="s">
        <v>3537</v>
      </c>
      <c r="H1990" s="27" t="s">
        <v>57</v>
      </c>
      <c r="I1990" s="27" t="s">
        <v>39</v>
      </c>
      <c r="J1990" s="28" t="s">
        <v>856</v>
      </c>
      <c r="K1990" s="27" t="s">
        <v>38</v>
      </c>
      <c r="L1990" s="27"/>
    </row>
    <row r="1991" customFormat="false" ht="15" hidden="false" customHeight="false" outlineLevel="0" collapsed="false">
      <c r="A1991" s="26" t="s">
        <v>7362</v>
      </c>
      <c r="B1991" s="27" t="s">
        <v>7363</v>
      </c>
      <c r="C1991" s="27" t="s">
        <v>144</v>
      </c>
      <c r="D1991" s="26" t="s">
        <v>7364</v>
      </c>
      <c r="E1991" s="27" t="s">
        <v>7365</v>
      </c>
      <c r="F1991" s="28" t="s">
        <v>146</v>
      </c>
      <c r="G1991" s="27" t="s">
        <v>3537</v>
      </c>
      <c r="H1991" s="27" t="s">
        <v>57</v>
      </c>
      <c r="I1991" s="27" t="s">
        <v>39</v>
      </c>
      <c r="J1991" s="28" t="s">
        <v>856</v>
      </c>
      <c r="K1991" s="27" t="s">
        <v>38</v>
      </c>
      <c r="L1991" s="27"/>
    </row>
    <row r="1992" customFormat="false" ht="15" hidden="false" customHeight="false" outlineLevel="0" collapsed="false">
      <c r="A1992" s="26" t="s">
        <v>7366</v>
      </c>
      <c r="B1992" s="27" t="s">
        <v>7367</v>
      </c>
      <c r="C1992" s="27" t="s">
        <v>144</v>
      </c>
      <c r="D1992" s="26" t="s">
        <v>7368</v>
      </c>
      <c r="E1992" s="27" t="s">
        <v>7369</v>
      </c>
      <c r="F1992" s="28" t="s">
        <v>146</v>
      </c>
      <c r="G1992" s="27" t="s">
        <v>3537</v>
      </c>
      <c r="H1992" s="27" t="s">
        <v>57</v>
      </c>
      <c r="I1992" s="27" t="s">
        <v>39</v>
      </c>
      <c r="J1992" s="28" t="s">
        <v>856</v>
      </c>
      <c r="K1992" s="27" t="s">
        <v>38</v>
      </c>
      <c r="L1992" s="27"/>
    </row>
    <row r="1993" customFormat="false" ht="15" hidden="false" customHeight="false" outlineLevel="0" collapsed="false">
      <c r="A1993" s="26" t="s">
        <v>7370</v>
      </c>
      <c r="B1993" s="27" t="s">
        <v>7371</v>
      </c>
      <c r="C1993" s="27" t="s">
        <v>144</v>
      </c>
      <c r="D1993" s="26" t="s">
        <v>7352</v>
      </c>
      <c r="E1993" s="27" t="s">
        <v>7353</v>
      </c>
      <c r="F1993" s="28" t="s">
        <v>146</v>
      </c>
      <c r="G1993" s="27" t="s">
        <v>3537</v>
      </c>
      <c r="H1993" s="27" t="s">
        <v>57</v>
      </c>
      <c r="I1993" s="27" t="s">
        <v>39</v>
      </c>
      <c r="J1993" s="28" t="s">
        <v>856</v>
      </c>
      <c r="K1993" s="27" t="s">
        <v>38</v>
      </c>
      <c r="L1993" s="27"/>
    </row>
    <row r="1994" customFormat="false" ht="15" hidden="false" customHeight="false" outlineLevel="0" collapsed="false">
      <c r="A1994" s="26" t="s">
        <v>7372</v>
      </c>
      <c r="B1994" s="27" t="s">
        <v>7373</v>
      </c>
      <c r="C1994" s="27" t="s">
        <v>144</v>
      </c>
      <c r="D1994" s="26" t="s">
        <v>7374</v>
      </c>
      <c r="E1994" s="27" t="s">
        <v>7375</v>
      </c>
      <c r="F1994" s="28" t="s">
        <v>146</v>
      </c>
      <c r="G1994" s="27" t="s">
        <v>3537</v>
      </c>
      <c r="H1994" s="27" t="s">
        <v>57</v>
      </c>
      <c r="I1994" s="27" t="s">
        <v>39</v>
      </c>
      <c r="J1994" s="28" t="s">
        <v>856</v>
      </c>
      <c r="K1994" s="27" t="s">
        <v>38</v>
      </c>
      <c r="L1994" s="27"/>
    </row>
    <row r="1995" customFormat="false" ht="15" hidden="false" customHeight="false" outlineLevel="0" collapsed="false">
      <c r="A1995" s="26" t="s">
        <v>7376</v>
      </c>
      <c r="B1995" s="27" t="s">
        <v>7377</v>
      </c>
      <c r="C1995" s="27" t="s">
        <v>144</v>
      </c>
      <c r="D1995" s="26" t="s">
        <v>7378</v>
      </c>
      <c r="E1995" s="27" t="s">
        <v>7379</v>
      </c>
      <c r="F1995" s="28" t="s">
        <v>146</v>
      </c>
      <c r="G1995" s="27" t="s">
        <v>3537</v>
      </c>
      <c r="H1995" s="27" t="s">
        <v>57</v>
      </c>
      <c r="I1995" s="27" t="s">
        <v>39</v>
      </c>
      <c r="J1995" s="28" t="s">
        <v>856</v>
      </c>
      <c r="K1995" s="27" t="s">
        <v>38</v>
      </c>
      <c r="L1995" s="27"/>
    </row>
    <row r="1996" customFormat="false" ht="15" hidden="false" customHeight="false" outlineLevel="0" collapsed="false">
      <c r="A1996" s="26" t="s">
        <v>7380</v>
      </c>
      <c r="B1996" s="27" t="s">
        <v>7381</v>
      </c>
      <c r="C1996" s="27" t="s">
        <v>144</v>
      </c>
      <c r="D1996" s="26" t="s">
        <v>7382</v>
      </c>
      <c r="E1996" s="27" t="s">
        <v>7383</v>
      </c>
      <c r="F1996" s="28" t="s">
        <v>146</v>
      </c>
      <c r="G1996" s="27" t="s">
        <v>3537</v>
      </c>
      <c r="H1996" s="27" t="s">
        <v>57</v>
      </c>
      <c r="I1996" s="27" t="s">
        <v>39</v>
      </c>
      <c r="J1996" s="28" t="s">
        <v>856</v>
      </c>
      <c r="K1996" s="27" t="s">
        <v>38</v>
      </c>
      <c r="L1996" s="27"/>
    </row>
    <row r="1997" customFormat="false" ht="15" hidden="false" customHeight="false" outlineLevel="0" collapsed="false">
      <c r="A1997" s="26" t="s">
        <v>7384</v>
      </c>
      <c r="B1997" s="27" t="s">
        <v>7385</v>
      </c>
      <c r="C1997" s="27" t="s">
        <v>144</v>
      </c>
      <c r="D1997" s="26" t="s">
        <v>7352</v>
      </c>
      <c r="E1997" s="27" t="s">
        <v>7353</v>
      </c>
      <c r="F1997" s="28" t="s">
        <v>146</v>
      </c>
      <c r="G1997" s="27" t="s">
        <v>3537</v>
      </c>
      <c r="H1997" s="27" t="s">
        <v>57</v>
      </c>
      <c r="I1997" s="27" t="s">
        <v>39</v>
      </c>
      <c r="J1997" s="28" t="s">
        <v>856</v>
      </c>
      <c r="K1997" s="27" t="s">
        <v>38</v>
      </c>
      <c r="L1997" s="27"/>
    </row>
    <row r="1998" customFormat="false" ht="15" hidden="false" customHeight="false" outlineLevel="0" collapsed="false">
      <c r="A1998" s="26" t="s">
        <v>7386</v>
      </c>
      <c r="B1998" s="27" t="s">
        <v>7387</v>
      </c>
      <c r="C1998" s="27" t="s">
        <v>144</v>
      </c>
      <c r="D1998" s="26" t="s">
        <v>7388</v>
      </c>
      <c r="E1998" s="27" t="s">
        <v>7389</v>
      </c>
      <c r="F1998" s="28" t="s">
        <v>146</v>
      </c>
      <c r="G1998" s="27" t="s">
        <v>3537</v>
      </c>
      <c r="H1998" s="27" t="s">
        <v>57</v>
      </c>
      <c r="I1998" s="27" t="s">
        <v>39</v>
      </c>
      <c r="J1998" s="28" t="s">
        <v>856</v>
      </c>
      <c r="K1998" s="27" t="s">
        <v>38</v>
      </c>
      <c r="L1998" s="27"/>
    </row>
    <row r="1999" customFormat="false" ht="15" hidden="false" customHeight="false" outlineLevel="0" collapsed="false">
      <c r="A1999" s="26" t="s">
        <v>7390</v>
      </c>
      <c r="B1999" s="27" t="s">
        <v>7391</v>
      </c>
      <c r="C1999" s="27" t="s">
        <v>144</v>
      </c>
      <c r="D1999" s="26" t="s">
        <v>7348</v>
      </c>
      <c r="E1999" s="27" t="s">
        <v>7349</v>
      </c>
      <c r="F1999" s="28" t="s">
        <v>146</v>
      </c>
      <c r="G1999" s="27" t="s">
        <v>3537</v>
      </c>
      <c r="H1999" s="27" t="s">
        <v>57</v>
      </c>
      <c r="I1999" s="27" t="s">
        <v>39</v>
      </c>
      <c r="J1999" s="28" t="s">
        <v>856</v>
      </c>
      <c r="K1999" s="27" t="s">
        <v>38</v>
      </c>
      <c r="L1999" s="27"/>
    </row>
    <row r="2000" customFormat="false" ht="15" hidden="false" customHeight="false" outlineLevel="0" collapsed="false">
      <c r="A2000" s="26" t="s">
        <v>7392</v>
      </c>
      <c r="B2000" s="27" t="s">
        <v>7393</v>
      </c>
      <c r="C2000" s="27" t="s">
        <v>144</v>
      </c>
      <c r="D2000" s="26" t="s">
        <v>7394</v>
      </c>
      <c r="E2000" s="27" t="s">
        <v>7395</v>
      </c>
      <c r="F2000" s="28" t="s">
        <v>146</v>
      </c>
      <c r="G2000" s="27" t="s">
        <v>3537</v>
      </c>
      <c r="H2000" s="27" t="s">
        <v>57</v>
      </c>
      <c r="I2000" s="27" t="s">
        <v>39</v>
      </c>
      <c r="J2000" s="28" t="s">
        <v>856</v>
      </c>
      <c r="K2000" s="27" t="s">
        <v>38</v>
      </c>
      <c r="L2000" s="27"/>
    </row>
    <row r="2001" customFormat="false" ht="15" hidden="false" customHeight="false" outlineLevel="0" collapsed="false">
      <c r="A2001" s="26" t="s">
        <v>7396</v>
      </c>
      <c r="B2001" s="27" t="s">
        <v>7397</v>
      </c>
      <c r="C2001" s="27" t="s">
        <v>144</v>
      </c>
      <c r="D2001" s="26" t="s">
        <v>7398</v>
      </c>
      <c r="E2001" s="27" t="s">
        <v>7399</v>
      </c>
      <c r="F2001" s="28" t="s">
        <v>146</v>
      </c>
      <c r="G2001" s="27" t="s">
        <v>3537</v>
      </c>
      <c r="H2001" s="27" t="s">
        <v>57</v>
      </c>
      <c r="I2001" s="27" t="s">
        <v>39</v>
      </c>
      <c r="J2001" s="28" t="s">
        <v>856</v>
      </c>
      <c r="K2001" s="27" t="s">
        <v>38</v>
      </c>
      <c r="L2001" s="27"/>
    </row>
    <row r="2002" customFormat="false" ht="15" hidden="false" customHeight="false" outlineLevel="0" collapsed="false">
      <c r="A2002" s="26" t="s">
        <v>7400</v>
      </c>
      <c r="B2002" s="27" t="s">
        <v>7401</v>
      </c>
      <c r="C2002" s="27" t="s">
        <v>144</v>
      </c>
      <c r="D2002" s="26" t="s">
        <v>7320</v>
      </c>
      <c r="E2002" s="27" t="s">
        <v>7321</v>
      </c>
      <c r="F2002" s="28" t="s">
        <v>146</v>
      </c>
      <c r="G2002" s="27" t="s">
        <v>3537</v>
      </c>
      <c r="H2002" s="27" t="s">
        <v>57</v>
      </c>
      <c r="I2002" s="27" t="s">
        <v>39</v>
      </c>
      <c r="J2002" s="28" t="s">
        <v>856</v>
      </c>
      <c r="K2002" s="27" t="s">
        <v>38</v>
      </c>
      <c r="L2002" s="27"/>
    </row>
    <row r="2003" customFormat="false" ht="15" hidden="false" customHeight="false" outlineLevel="0" collapsed="false">
      <c r="A2003" s="26" t="s">
        <v>7402</v>
      </c>
      <c r="B2003" s="27" t="s">
        <v>7403</v>
      </c>
      <c r="C2003" s="27" t="s">
        <v>144</v>
      </c>
      <c r="D2003" s="26" t="s">
        <v>7328</v>
      </c>
      <c r="E2003" s="27" t="s">
        <v>7329</v>
      </c>
      <c r="F2003" s="28" t="s">
        <v>146</v>
      </c>
      <c r="G2003" s="27" t="s">
        <v>3537</v>
      </c>
      <c r="H2003" s="27" t="s">
        <v>57</v>
      </c>
      <c r="I2003" s="27" t="s">
        <v>39</v>
      </c>
      <c r="J2003" s="28" t="s">
        <v>856</v>
      </c>
      <c r="K2003" s="27" t="s">
        <v>38</v>
      </c>
      <c r="L2003" s="27"/>
    </row>
    <row r="2004" customFormat="false" ht="15" hidden="false" customHeight="false" outlineLevel="0" collapsed="false">
      <c r="A2004" s="26" t="s">
        <v>7404</v>
      </c>
      <c r="B2004" s="27" t="s">
        <v>7405</v>
      </c>
      <c r="C2004" s="27" t="s">
        <v>144</v>
      </c>
      <c r="D2004" s="26" t="s">
        <v>7406</v>
      </c>
      <c r="E2004" s="27" t="s">
        <v>7407</v>
      </c>
      <c r="F2004" s="28" t="s">
        <v>146</v>
      </c>
      <c r="G2004" s="27" t="s">
        <v>3537</v>
      </c>
      <c r="H2004" s="27" t="s">
        <v>57</v>
      </c>
      <c r="I2004" s="27" t="s">
        <v>39</v>
      </c>
      <c r="J2004" s="28" t="s">
        <v>856</v>
      </c>
      <c r="K2004" s="27" t="s">
        <v>38</v>
      </c>
      <c r="L2004" s="27"/>
    </row>
    <row r="2005" customFormat="false" ht="15" hidden="false" customHeight="false" outlineLevel="0" collapsed="false">
      <c r="A2005" s="26" t="s">
        <v>7408</v>
      </c>
      <c r="B2005" s="27" t="s">
        <v>7409</v>
      </c>
      <c r="C2005" s="27" t="s">
        <v>144</v>
      </c>
      <c r="D2005" s="26" t="s">
        <v>7352</v>
      </c>
      <c r="E2005" s="27" t="s">
        <v>7353</v>
      </c>
      <c r="F2005" s="28" t="s">
        <v>146</v>
      </c>
      <c r="G2005" s="27" t="s">
        <v>3537</v>
      </c>
      <c r="H2005" s="27" t="s">
        <v>57</v>
      </c>
      <c r="I2005" s="27" t="s">
        <v>39</v>
      </c>
      <c r="J2005" s="28" t="s">
        <v>856</v>
      </c>
      <c r="K2005" s="27" t="s">
        <v>38</v>
      </c>
      <c r="L2005" s="27"/>
    </row>
    <row r="2006" customFormat="false" ht="15" hidden="false" customHeight="false" outlineLevel="0" collapsed="false">
      <c r="A2006" s="26" t="s">
        <v>7410</v>
      </c>
      <c r="B2006" s="27" t="s">
        <v>7411</v>
      </c>
      <c r="C2006" s="27" t="s">
        <v>144</v>
      </c>
      <c r="D2006" s="26" t="s">
        <v>7352</v>
      </c>
      <c r="E2006" s="27" t="s">
        <v>7353</v>
      </c>
      <c r="F2006" s="28" t="s">
        <v>146</v>
      </c>
      <c r="G2006" s="27" t="s">
        <v>3537</v>
      </c>
      <c r="H2006" s="27" t="s">
        <v>57</v>
      </c>
      <c r="I2006" s="27" t="s">
        <v>39</v>
      </c>
      <c r="J2006" s="28" t="s">
        <v>856</v>
      </c>
      <c r="K2006" s="27" t="s">
        <v>38</v>
      </c>
      <c r="L2006" s="27"/>
    </row>
    <row r="2007" customFormat="false" ht="15" hidden="false" customHeight="false" outlineLevel="0" collapsed="false">
      <c r="A2007" s="26" t="s">
        <v>7412</v>
      </c>
      <c r="B2007" s="27" t="s">
        <v>7413</v>
      </c>
      <c r="C2007" s="27" t="s">
        <v>144</v>
      </c>
      <c r="D2007" s="26" t="s">
        <v>7348</v>
      </c>
      <c r="E2007" s="27" t="s">
        <v>7349</v>
      </c>
      <c r="F2007" s="28" t="s">
        <v>146</v>
      </c>
      <c r="G2007" s="27" t="s">
        <v>3537</v>
      </c>
      <c r="H2007" s="27" t="s">
        <v>57</v>
      </c>
      <c r="I2007" s="27" t="s">
        <v>39</v>
      </c>
      <c r="J2007" s="28" t="s">
        <v>856</v>
      </c>
      <c r="K2007" s="27" t="s">
        <v>38</v>
      </c>
      <c r="L2007" s="27"/>
    </row>
    <row r="2008" customFormat="false" ht="15" hidden="false" customHeight="false" outlineLevel="0" collapsed="false">
      <c r="A2008" s="26" t="s">
        <v>7414</v>
      </c>
      <c r="B2008" s="27" t="s">
        <v>7415</v>
      </c>
      <c r="C2008" s="27" t="s">
        <v>144</v>
      </c>
      <c r="D2008" s="26" t="s">
        <v>7356</v>
      </c>
      <c r="E2008" s="27" t="s">
        <v>7357</v>
      </c>
      <c r="F2008" s="28" t="s">
        <v>146</v>
      </c>
      <c r="G2008" s="27" t="s">
        <v>3537</v>
      </c>
      <c r="H2008" s="27" t="s">
        <v>57</v>
      </c>
      <c r="I2008" s="27" t="s">
        <v>39</v>
      </c>
      <c r="J2008" s="28" t="s">
        <v>856</v>
      </c>
      <c r="K2008" s="27" t="s">
        <v>38</v>
      </c>
      <c r="L2008" s="27"/>
    </row>
    <row r="2009" customFormat="false" ht="15" hidden="false" customHeight="false" outlineLevel="0" collapsed="false">
      <c r="A2009" s="26" t="s">
        <v>7416</v>
      </c>
      <c r="B2009" s="27" t="s">
        <v>7417</v>
      </c>
      <c r="C2009" s="27" t="s">
        <v>144</v>
      </c>
      <c r="D2009" s="26" t="s">
        <v>7368</v>
      </c>
      <c r="E2009" s="27" t="s">
        <v>7369</v>
      </c>
      <c r="F2009" s="28" t="s">
        <v>146</v>
      </c>
      <c r="G2009" s="27" t="s">
        <v>3537</v>
      </c>
      <c r="H2009" s="27" t="s">
        <v>57</v>
      </c>
      <c r="I2009" s="27" t="s">
        <v>39</v>
      </c>
      <c r="J2009" s="28" t="s">
        <v>856</v>
      </c>
      <c r="K2009" s="27" t="s">
        <v>38</v>
      </c>
      <c r="L2009" s="27"/>
    </row>
    <row r="2010" customFormat="false" ht="15" hidden="false" customHeight="false" outlineLevel="0" collapsed="false">
      <c r="A2010" s="26" t="s">
        <v>7418</v>
      </c>
      <c r="B2010" s="27" t="s">
        <v>7419</v>
      </c>
      <c r="C2010" s="27" t="s">
        <v>144</v>
      </c>
      <c r="D2010" s="26" t="s">
        <v>7352</v>
      </c>
      <c r="E2010" s="27" t="s">
        <v>7353</v>
      </c>
      <c r="F2010" s="28" t="s">
        <v>146</v>
      </c>
      <c r="G2010" s="27" t="s">
        <v>3537</v>
      </c>
      <c r="H2010" s="27" t="s">
        <v>57</v>
      </c>
      <c r="I2010" s="27" t="s">
        <v>39</v>
      </c>
      <c r="J2010" s="28" t="s">
        <v>856</v>
      </c>
      <c r="K2010" s="27" t="s">
        <v>38</v>
      </c>
      <c r="L2010" s="27"/>
    </row>
    <row r="2011" customFormat="false" ht="15" hidden="false" customHeight="false" outlineLevel="0" collapsed="false">
      <c r="A2011" s="26" t="s">
        <v>7420</v>
      </c>
      <c r="B2011" s="27" t="s">
        <v>7421</v>
      </c>
      <c r="C2011" s="27" t="s">
        <v>144</v>
      </c>
      <c r="D2011" s="26" t="s">
        <v>7352</v>
      </c>
      <c r="E2011" s="27" t="s">
        <v>7353</v>
      </c>
      <c r="F2011" s="28" t="s">
        <v>146</v>
      </c>
      <c r="G2011" s="27" t="s">
        <v>3537</v>
      </c>
      <c r="H2011" s="27" t="s">
        <v>57</v>
      </c>
      <c r="I2011" s="27" t="s">
        <v>39</v>
      </c>
      <c r="J2011" s="28" t="s">
        <v>856</v>
      </c>
      <c r="K2011" s="27" t="s">
        <v>38</v>
      </c>
      <c r="L2011" s="27"/>
    </row>
    <row r="2012" customFormat="false" ht="15" hidden="false" customHeight="false" outlineLevel="0" collapsed="false">
      <c r="A2012" s="26" t="s">
        <v>7422</v>
      </c>
      <c r="B2012" s="27" t="s">
        <v>7423</v>
      </c>
      <c r="C2012" s="27" t="s">
        <v>144</v>
      </c>
      <c r="D2012" s="26" t="s">
        <v>7424</v>
      </c>
      <c r="E2012" s="27" t="s">
        <v>7425</v>
      </c>
      <c r="F2012" s="28" t="s">
        <v>146</v>
      </c>
      <c r="G2012" s="27" t="s">
        <v>3537</v>
      </c>
      <c r="H2012" s="27" t="s">
        <v>57</v>
      </c>
      <c r="I2012" s="27" t="s">
        <v>39</v>
      </c>
      <c r="J2012" s="28" t="s">
        <v>856</v>
      </c>
      <c r="K2012" s="27" t="s">
        <v>38</v>
      </c>
      <c r="L2012" s="27"/>
    </row>
    <row r="2013" customFormat="false" ht="15" hidden="false" customHeight="false" outlineLevel="0" collapsed="false">
      <c r="A2013" s="26" t="s">
        <v>7426</v>
      </c>
      <c r="B2013" s="27" t="s">
        <v>7427</v>
      </c>
      <c r="C2013" s="27" t="s">
        <v>144</v>
      </c>
      <c r="D2013" s="26" t="s">
        <v>3709</v>
      </c>
      <c r="E2013" s="27" t="s">
        <v>3710</v>
      </c>
      <c r="F2013" s="28" t="s">
        <v>146</v>
      </c>
      <c r="G2013" s="27" t="s">
        <v>3537</v>
      </c>
      <c r="H2013" s="27" t="s">
        <v>57</v>
      </c>
      <c r="I2013" s="28" t="s">
        <v>46</v>
      </c>
      <c r="J2013" s="28" t="s">
        <v>913</v>
      </c>
      <c r="K2013" s="27" t="s">
        <v>38</v>
      </c>
      <c r="L2013" s="27"/>
    </row>
    <row r="2014" customFormat="false" ht="15" hidden="false" customHeight="false" outlineLevel="0" collapsed="false">
      <c r="A2014" s="26" t="s">
        <v>7428</v>
      </c>
      <c r="B2014" s="27" t="s">
        <v>7429</v>
      </c>
      <c r="C2014" s="27" t="s">
        <v>144</v>
      </c>
      <c r="D2014" s="26" t="s">
        <v>7430</v>
      </c>
      <c r="E2014" s="27" t="s">
        <v>7431</v>
      </c>
      <c r="F2014" s="28" t="s">
        <v>146</v>
      </c>
      <c r="G2014" s="27" t="s">
        <v>3537</v>
      </c>
      <c r="H2014" s="27" t="s">
        <v>57</v>
      </c>
      <c r="I2014" s="27" t="s">
        <v>37</v>
      </c>
      <c r="J2014" s="28" t="s">
        <v>913</v>
      </c>
      <c r="K2014" s="27" t="s">
        <v>38</v>
      </c>
      <c r="L2014" s="27"/>
    </row>
    <row r="2015" customFormat="false" ht="15" hidden="false" customHeight="false" outlineLevel="0" collapsed="false">
      <c r="A2015" s="26" t="s">
        <v>7432</v>
      </c>
      <c r="B2015" s="27" t="s">
        <v>7433</v>
      </c>
      <c r="C2015" s="27" t="s">
        <v>144</v>
      </c>
      <c r="D2015" s="26" t="s">
        <v>7434</v>
      </c>
      <c r="E2015" s="27" t="s">
        <v>7435</v>
      </c>
      <c r="F2015" s="28" t="s">
        <v>146</v>
      </c>
      <c r="G2015" s="27" t="s">
        <v>3537</v>
      </c>
      <c r="H2015" s="27" t="s">
        <v>56</v>
      </c>
      <c r="I2015" s="27" t="s">
        <v>38</v>
      </c>
      <c r="J2015" s="28" t="s">
        <v>913</v>
      </c>
      <c r="K2015" s="27" t="s">
        <v>38</v>
      </c>
      <c r="L2015" s="27"/>
    </row>
    <row r="2016" customFormat="false" ht="15" hidden="false" customHeight="false" outlineLevel="0" collapsed="false">
      <c r="A2016" s="26" t="s">
        <v>7436</v>
      </c>
      <c r="B2016" s="27" t="s">
        <v>7437</v>
      </c>
      <c r="C2016" s="27" t="s">
        <v>144</v>
      </c>
      <c r="D2016" s="26" t="s">
        <v>7438</v>
      </c>
      <c r="E2016" s="27" t="s">
        <v>7439</v>
      </c>
      <c r="F2016" s="28" t="s">
        <v>146</v>
      </c>
      <c r="G2016" s="27" t="s">
        <v>3537</v>
      </c>
      <c r="H2016" s="27" t="s">
        <v>56</v>
      </c>
      <c r="I2016" s="27" t="s">
        <v>38</v>
      </c>
      <c r="J2016" s="28" t="s">
        <v>913</v>
      </c>
      <c r="K2016" s="27" t="s">
        <v>38</v>
      </c>
      <c r="L2016" s="27"/>
    </row>
    <row r="2017" customFormat="false" ht="15" hidden="false" customHeight="false" outlineLevel="0" collapsed="false">
      <c r="A2017" s="26" t="s">
        <v>7440</v>
      </c>
      <c r="B2017" s="27" t="s">
        <v>7441</v>
      </c>
      <c r="C2017" s="27" t="s">
        <v>144</v>
      </c>
      <c r="D2017" s="26" t="s">
        <v>7442</v>
      </c>
      <c r="E2017" s="27" t="s">
        <v>7443</v>
      </c>
      <c r="F2017" s="28" t="s">
        <v>146</v>
      </c>
      <c r="G2017" s="27" t="s">
        <v>3537</v>
      </c>
      <c r="H2017" s="27" t="s">
        <v>56</v>
      </c>
      <c r="I2017" s="27" t="s">
        <v>38</v>
      </c>
      <c r="J2017" s="28" t="s">
        <v>913</v>
      </c>
      <c r="K2017" s="27" t="s">
        <v>38</v>
      </c>
      <c r="L2017" s="27"/>
    </row>
    <row r="2018" customFormat="false" ht="15" hidden="false" customHeight="false" outlineLevel="0" collapsed="false">
      <c r="A2018" s="26" t="s">
        <v>7444</v>
      </c>
      <c r="B2018" s="27" t="s">
        <v>7427</v>
      </c>
      <c r="C2018" s="27" t="s">
        <v>144</v>
      </c>
      <c r="D2018" s="26" t="s">
        <v>3709</v>
      </c>
      <c r="E2018" s="27" t="s">
        <v>3710</v>
      </c>
      <c r="F2018" s="28" t="s">
        <v>146</v>
      </c>
      <c r="G2018" s="27" t="s">
        <v>3537</v>
      </c>
      <c r="H2018" s="27" t="s">
        <v>57</v>
      </c>
      <c r="I2018" s="28" t="s">
        <v>46</v>
      </c>
      <c r="J2018" s="28" t="s">
        <v>913</v>
      </c>
      <c r="K2018" s="27" t="s">
        <v>38</v>
      </c>
      <c r="L2018" s="27"/>
    </row>
    <row r="2019" customFormat="false" ht="15" hidden="false" customHeight="false" outlineLevel="0" collapsed="false">
      <c r="A2019" s="26" t="s">
        <v>7445</v>
      </c>
      <c r="B2019" s="27" t="s">
        <v>7446</v>
      </c>
      <c r="C2019" s="27" t="s">
        <v>144</v>
      </c>
      <c r="D2019" s="26" t="s">
        <v>7447</v>
      </c>
      <c r="E2019" s="27" t="s">
        <v>7448</v>
      </c>
      <c r="F2019" s="28" t="s">
        <v>146</v>
      </c>
      <c r="G2019" s="27" t="s">
        <v>3537</v>
      </c>
      <c r="H2019" s="27" t="s">
        <v>56</v>
      </c>
      <c r="I2019" s="27" t="s">
        <v>38</v>
      </c>
      <c r="J2019" s="28" t="s">
        <v>913</v>
      </c>
      <c r="K2019" s="27" t="s">
        <v>38</v>
      </c>
      <c r="L2019" s="27"/>
    </row>
    <row r="2020" customFormat="false" ht="15" hidden="false" customHeight="false" outlineLevel="0" collapsed="false">
      <c r="A2020" s="26" t="s">
        <v>7449</v>
      </c>
      <c r="B2020" s="27" t="s">
        <v>7450</v>
      </c>
      <c r="C2020" s="27" t="s">
        <v>144</v>
      </c>
      <c r="D2020" s="26" t="s">
        <v>7451</v>
      </c>
      <c r="E2020" s="27" t="s">
        <v>7452</v>
      </c>
      <c r="F2020" s="28" t="s">
        <v>146</v>
      </c>
      <c r="G2020" s="27" t="s">
        <v>3537</v>
      </c>
      <c r="H2020" s="27" t="s">
        <v>56</v>
      </c>
      <c r="I2020" s="27" t="s">
        <v>38</v>
      </c>
      <c r="J2020" s="28" t="s">
        <v>913</v>
      </c>
      <c r="K2020" s="27" t="s">
        <v>38</v>
      </c>
      <c r="L2020" s="27"/>
    </row>
    <row r="2021" customFormat="false" ht="15" hidden="false" customHeight="false" outlineLevel="0" collapsed="false">
      <c r="A2021" s="26" t="s">
        <v>7453</v>
      </c>
      <c r="B2021" s="27" t="s">
        <v>7454</v>
      </c>
      <c r="C2021" s="27" t="s">
        <v>144</v>
      </c>
      <c r="D2021" s="26" t="s">
        <v>7434</v>
      </c>
      <c r="E2021" s="27" t="s">
        <v>7435</v>
      </c>
      <c r="F2021" s="28" t="s">
        <v>146</v>
      </c>
      <c r="G2021" s="27" t="s">
        <v>3537</v>
      </c>
      <c r="H2021" s="27" t="s">
        <v>56</v>
      </c>
      <c r="I2021" s="27" t="s">
        <v>38</v>
      </c>
      <c r="J2021" s="28" t="s">
        <v>913</v>
      </c>
      <c r="K2021" s="27" t="s">
        <v>38</v>
      </c>
      <c r="L2021" s="27"/>
    </row>
    <row r="2022" customFormat="false" ht="15" hidden="false" customHeight="false" outlineLevel="0" collapsed="false">
      <c r="A2022" s="26" t="s">
        <v>7455</v>
      </c>
      <c r="B2022" s="27" t="s">
        <v>7456</v>
      </c>
      <c r="C2022" s="27" t="s">
        <v>144</v>
      </c>
      <c r="D2022" s="26" t="s">
        <v>7434</v>
      </c>
      <c r="E2022" s="27" t="s">
        <v>7435</v>
      </c>
      <c r="F2022" s="28" t="s">
        <v>146</v>
      </c>
      <c r="G2022" s="27" t="s">
        <v>3537</v>
      </c>
      <c r="H2022" s="27" t="s">
        <v>56</v>
      </c>
      <c r="I2022" s="27" t="s">
        <v>38</v>
      </c>
      <c r="J2022" s="28" t="s">
        <v>913</v>
      </c>
      <c r="K2022" s="27" t="s">
        <v>38</v>
      </c>
      <c r="L2022" s="27"/>
    </row>
    <row r="2023" customFormat="false" ht="15" hidden="false" customHeight="false" outlineLevel="0" collapsed="false">
      <c r="A2023" s="26" t="s">
        <v>7457</v>
      </c>
      <c r="B2023" s="27" t="s">
        <v>7458</v>
      </c>
      <c r="C2023" s="27" t="s">
        <v>144</v>
      </c>
      <c r="D2023" s="26" t="s">
        <v>7459</v>
      </c>
      <c r="E2023" s="27" t="s">
        <v>7460</v>
      </c>
      <c r="F2023" s="28" t="s">
        <v>146</v>
      </c>
      <c r="G2023" s="27" t="s">
        <v>3537</v>
      </c>
      <c r="H2023" s="27" t="s">
        <v>56</v>
      </c>
      <c r="I2023" s="27" t="s">
        <v>38</v>
      </c>
      <c r="J2023" s="28" t="s">
        <v>913</v>
      </c>
      <c r="K2023" s="27" t="s">
        <v>38</v>
      </c>
      <c r="L2023" s="27"/>
    </row>
    <row r="2024" customFormat="false" ht="15" hidden="false" customHeight="false" outlineLevel="0" collapsed="false">
      <c r="A2024" s="26" t="s">
        <v>7461</v>
      </c>
      <c r="B2024" s="27" t="s">
        <v>7462</v>
      </c>
      <c r="C2024" s="27" t="s">
        <v>144</v>
      </c>
      <c r="D2024" s="26" t="s">
        <v>7463</v>
      </c>
      <c r="E2024" s="27" t="s">
        <v>7464</v>
      </c>
      <c r="F2024" s="28" t="s">
        <v>146</v>
      </c>
      <c r="G2024" s="27" t="s">
        <v>3537</v>
      </c>
      <c r="H2024" s="27" t="s">
        <v>56</v>
      </c>
      <c r="I2024" s="27" t="s">
        <v>38</v>
      </c>
      <c r="J2024" s="28" t="s">
        <v>913</v>
      </c>
      <c r="K2024" s="27" t="s">
        <v>38</v>
      </c>
      <c r="L2024" s="27"/>
    </row>
    <row r="2025" customFormat="false" ht="15" hidden="false" customHeight="false" outlineLevel="0" collapsed="false">
      <c r="A2025" s="26" t="s">
        <v>7465</v>
      </c>
      <c r="B2025" s="27" t="s">
        <v>7466</v>
      </c>
      <c r="C2025" s="27" t="s">
        <v>144</v>
      </c>
      <c r="D2025" s="26" t="s">
        <v>7467</v>
      </c>
      <c r="E2025" s="27" t="s">
        <v>7468</v>
      </c>
      <c r="F2025" s="28" t="s">
        <v>146</v>
      </c>
      <c r="G2025" s="27" t="s">
        <v>3537</v>
      </c>
      <c r="H2025" s="27" t="s">
        <v>56</v>
      </c>
      <c r="I2025" s="27" t="s">
        <v>38</v>
      </c>
      <c r="J2025" s="28" t="s">
        <v>913</v>
      </c>
      <c r="K2025" s="27" t="s">
        <v>38</v>
      </c>
      <c r="L2025" s="27"/>
    </row>
    <row r="2026" customFormat="false" ht="15" hidden="false" customHeight="false" outlineLevel="0" collapsed="false">
      <c r="A2026" s="26" t="s">
        <v>7469</v>
      </c>
      <c r="B2026" s="27" t="s">
        <v>7470</v>
      </c>
      <c r="C2026" s="27" t="s">
        <v>144</v>
      </c>
      <c r="D2026" s="26" t="s">
        <v>7463</v>
      </c>
      <c r="E2026" s="27" t="s">
        <v>7464</v>
      </c>
      <c r="F2026" s="28" t="s">
        <v>146</v>
      </c>
      <c r="G2026" s="27" t="s">
        <v>3537</v>
      </c>
      <c r="H2026" s="27" t="s">
        <v>56</v>
      </c>
      <c r="I2026" s="27" t="s">
        <v>38</v>
      </c>
      <c r="J2026" s="28" t="s">
        <v>913</v>
      </c>
      <c r="K2026" s="27" t="s">
        <v>38</v>
      </c>
      <c r="L2026" s="27"/>
    </row>
    <row r="2027" customFormat="false" ht="15" hidden="false" customHeight="false" outlineLevel="0" collapsed="false">
      <c r="A2027" s="26" t="s">
        <v>7471</v>
      </c>
      <c r="B2027" s="27" t="s">
        <v>7472</v>
      </c>
      <c r="C2027" s="27" t="s">
        <v>144</v>
      </c>
      <c r="D2027" s="26" t="s">
        <v>7473</v>
      </c>
      <c r="E2027" s="27" t="s">
        <v>7474</v>
      </c>
      <c r="F2027" s="28" t="s">
        <v>146</v>
      </c>
      <c r="G2027" s="27" t="s">
        <v>3537</v>
      </c>
      <c r="H2027" s="27" t="s">
        <v>56</v>
      </c>
      <c r="I2027" s="27" t="s">
        <v>38</v>
      </c>
      <c r="J2027" s="28" t="s">
        <v>913</v>
      </c>
      <c r="K2027" s="27" t="s">
        <v>38</v>
      </c>
      <c r="L2027" s="27"/>
    </row>
    <row r="2028" customFormat="false" ht="15" hidden="false" customHeight="false" outlineLevel="0" collapsed="false">
      <c r="A2028" s="26" t="s">
        <v>7475</v>
      </c>
      <c r="B2028" s="27" t="s">
        <v>7476</v>
      </c>
      <c r="C2028" s="27" t="s">
        <v>144</v>
      </c>
      <c r="D2028" s="26" t="s">
        <v>7477</v>
      </c>
      <c r="E2028" s="27" t="s">
        <v>7478</v>
      </c>
      <c r="F2028" s="28" t="s">
        <v>146</v>
      </c>
      <c r="G2028" s="27" t="s">
        <v>3537</v>
      </c>
      <c r="H2028" s="27" t="s">
        <v>57</v>
      </c>
      <c r="I2028" s="27" t="s">
        <v>40</v>
      </c>
      <c r="J2028" s="28" t="s">
        <v>913</v>
      </c>
      <c r="K2028" s="27" t="s">
        <v>38</v>
      </c>
      <c r="L2028" s="27"/>
    </row>
    <row r="2029" customFormat="false" ht="15" hidden="false" customHeight="false" outlineLevel="0" collapsed="false">
      <c r="A2029" s="26" t="s">
        <v>7479</v>
      </c>
      <c r="B2029" s="27" t="s">
        <v>7480</v>
      </c>
      <c r="C2029" s="27" t="s">
        <v>144</v>
      </c>
      <c r="D2029" s="26" t="s">
        <v>7481</v>
      </c>
      <c r="E2029" s="27" t="s">
        <v>7482</v>
      </c>
      <c r="F2029" s="28" t="s">
        <v>146</v>
      </c>
      <c r="G2029" s="27" t="s">
        <v>3537</v>
      </c>
      <c r="H2029" s="27" t="s">
        <v>57</v>
      </c>
      <c r="I2029" s="27" t="s">
        <v>41</v>
      </c>
      <c r="J2029" s="28" t="s">
        <v>913</v>
      </c>
      <c r="K2029" s="27" t="s">
        <v>38</v>
      </c>
      <c r="L2029" s="27"/>
    </row>
    <row r="2030" customFormat="false" ht="15" hidden="false" customHeight="false" outlineLevel="0" collapsed="false">
      <c r="A2030" s="26" t="s">
        <v>7483</v>
      </c>
      <c r="B2030" s="27" t="s">
        <v>7484</v>
      </c>
      <c r="C2030" s="27" t="s">
        <v>144</v>
      </c>
      <c r="D2030" s="26" t="s">
        <v>7485</v>
      </c>
      <c r="E2030" s="27" t="s">
        <v>7486</v>
      </c>
      <c r="F2030" s="28" t="s">
        <v>146</v>
      </c>
      <c r="G2030" s="27" t="s">
        <v>3537</v>
      </c>
      <c r="H2030" s="27" t="s">
        <v>56</v>
      </c>
      <c r="I2030" s="27" t="s">
        <v>38</v>
      </c>
      <c r="J2030" s="28" t="s">
        <v>913</v>
      </c>
      <c r="K2030" s="27" t="s">
        <v>38</v>
      </c>
      <c r="L2030" s="27"/>
    </row>
    <row r="2031" customFormat="false" ht="15" hidden="false" customHeight="false" outlineLevel="0" collapsed="false">
      <c r="A2031" s="26" t="s">
        <v>7487</v>
      </c>
      <c r="B2031" s="27" t="s">
        <v>7488</v>
      </c>
      <c r="C2031" s="27" t="s">
        <v>144</v>
      </c>
      <c r="D2031" s="26" t="s">
        <v>7489</v>
      </c>
      <c r="E2031" s="27" t="s">
        <v>7490</v>
      </c>
      <c r="F2031" s="28" t="s">
        <v>146</v>
      </c>
      <c r="G2031" s="27" t="s">
        <v>3537</v>
      </c>
      <c r="H2031" s="27" t="s">
        <v>56</v>
      </c>
      <c r="I2031" s="27" t="s">
        <v>38</v>
      </c>
      <c r="J2031" s="28" t="s">
        <v>913</v>
      </c>
      <c r="K2031" s="27" t="s">
        <v>38</v>
      </c>
      <c r="L2031" s="27"/>
    </row>
    <row r="2032" customFormat="false" ht="15" hidden="false" customHeight="false" outlineLevel="0" collapsed="false">
      <c r="A2032" s="26" t="s">
        <v>7491</v>
      </c>
      <c r="B2032" s="27" t="s">
        <v>7492</v>
      </c>
      <c r="C2032" s="27" t="s">
        <v>144</v>
      </c>
      <c r="D2032" s="26" t="s">
        <v>7493</v>
      </c>
      <c r="E2032" s="27" t="s">
        <v>7494</v>
      </c>
      <c r="F2032" s="28" t="s">
        <v>146</v>
      </c>
      <c r="G2032" s="27" t="s">
        <v>3537</v>
      </c>
      <c r="H2032" s="27" t="s">
        <v>56</v>
      </c>
      <c r="I2032" s="27" t="s">
        <v>38</v>
      </c>
      <c r="J2032" s="28" t="s">
        <v>913</v>
      </c>
      <c r="K2032" s="27" t="s">
        <v>38</v>
      </c>
      <c r="L2032" s="27"/>
    </row>
    <row r="2033" customFormat="false" ht="15" hidden="false" customHeight="false" outlineLevel="0" collapsed="false">
      <c r="A2033" s="26" t="s">
        <v>7495</v>
      </c>
      <c r="B2033" s="27" t="s">
        <v>7496</v>
      </c>
      <c r="C2033" s="27" t="s">
        <v>144</v>
      </c>
      <c r="D2033" s="26" t="s">
        <v>7497</v>
      </c>
      <c r="E2033" s="27" t="s">
        <v>7498</v>
      </c>
      <c r="F2033" s="28" t="s">
        <v>146</v>
      </c>
      <c r="G2033" s="27" t="s">
        <v>3537</v>
      </c>
      <c r="H2033" s="27" t="s">
        <v>56</v>
      </c>
      <c r="I2033" s="27" t="s">
        <v>38</v>
      </c>
      <c r="J2033" s="28" t="s">
        <v>913</v>
      </c>
      <c r="K2033" s="27" t="s">
        <v>38</v>
      </c>
      <c r="L2033" s="27"/>
    </row>
    <row r="2034" customFormat="false" ht="15" hidden="false" customHeight="false" outlineLevel="0" collapsed="false">
      <c r="A2034" s="26" t="s">
        <v>7499</v>
      </c>
      <c r="B2034" s="27" t="s">
        <v>7500</v>
      </c>
      <c r="C2034" s="27" t="s">
        <v>144</v>
      </c>
      <c r="D2034" s="26" t="s">
        <v>7501</v>
      </c>
      <c r="E2034" s="27" t="s">
        <v>7502</v>
      </c>
      <c r="F2034" s="28" t="s">
        <v>146</v>
      </c>
      <c r="G2034" s="27" t="s">
        <v>3537</v>
      </c>
      <c r="H2034" s="27" t="s">
        <v>56</v>
      </c>
      <c r="I2034" s="27" t="s">
        <v>38</v>
      </c>
      <c r="J2034" s="28" t="s">
        <v>913</v>
      </c>
      <c r="K2034" s="27" t="s">
        <v>38</v>
      </c>
      <c r="L2034" s="27"/>
    </row>
    <row r="2035" customFormat="false" ht="15" hidden="false" customHeight="false" outlineLevel="0" collapsed="false">
      <c r="A2035" s="26" t="s">
        <v>7503</v>
      </c>
      <c r="B2035" s="27" t="s">
        <v>7504</v>
      </c>
      <c r="C2035" s="27" t="s">
        <v>144</v>
      </c>
      <c r="D2035" s="26" t="s">
        <v>7459</v>
      </c>
      <c r="E2035" s="27" t="s">
        <v>7460</v>
      </c>
      <c r="F2035" s="28" t="s">
        <v>146</v>
      </c>
      <c r="G2035" s="27" t="s">
        <v>3537</v>
      </c>
      <c r="H2035" s="27" t="s">
        <v>56</v>
      </c>
      <c r="I2035" s="27" t="s">
        <v>38</v>
      </c>
      <c r="J2035" s="28" t="s">
        <v>913</v>
      </c>
      <c r="K2035" s="27" t="s">
        <v>38</v>
      </c>
      <c r="L2035" s="27"/>
    </row>
    <row r="2036" customFormat="false" ht="15" hidden="false" customHeight="false" outlineLevel="0" collapsed="false">
      <c r="A2036" s="26" t="s">
        <v>7505</v>
      </c>
      <c r="B2036" s="27" t="s">
        <v>7506</v>
      </c>
      <c r="C2036" s="27" t="s">
        <v>144</v>
      </c>
      <c r="D2036" s="26" t="s">
        <v>7434</v>
      </c>
      <c r="E2036" s="27" t="s">
        <v>7435</v>
      </c>
      <c r="F2036" s="28" t="s">
        <v>146</v>
      </c>
      <c r="G2036" s="27" t="s">
        <v>3537</v>
      </c>
      <c r="H2036" s="27" t="s">
        <v>56</v>
      </c>
      <c r="I2036" s="27" t="s">
        <v>38</v>
      </c>
      <c r="J2036" s="28" t="s">
        <v>913</v>
      </c>
      <c r="K2036" s="27" t="s">
        <v>38</v>
      </c>
      <c r="L2036" s="27"/>
    </row>
    <row r="2037" customFormat="false" ht="15" hidden="false" customHeight="false" outlineLevel="0" collapsed="false">
      <c r="A2037" s="26" t="s">
        <v>7507</v>
      </c>
      <c r="B2037" s="27" t="s">
        <v>7508</v>
      </c>
      <c r="C2037" s="27" t="s">
        <v>144</v>
      </c>
      <c r="D2037" s="26" t="s">
        <v>7434</v>
      </c>
      <c r="E2037" s="27" t="s">
        <v>7435</v>
      </c>
      <c r="F2037" s="28" t="s">
        <v>146</v>
      </c>
      <c r="G2037" s="27" t="s">
        <v>3537</v>
      </c>
      <c r="H2037" s="27" t="s">
        <v>56</v>
      </c>
      <c r="I2037" s="27" t="s">
        <v>38</v>
      </c>
      <c r="J2037" s="28" t="s">
        <v>913</v>
      </c>
      <c r="K2037" s="27" t="s">
        <v>38</v>
      </c>
      <c r="L2037" s="27"/>
    </row>
    <row r="2038" customFormat="false" ht="15" hidden="false" customHeight="false" outlineLevel="0" collapsed="false">
      <c r="A2038" s="26" t="s">
        <v>7509</v>
      </c>
      <c r="B2038" s="27" t="s">
        <v>7510</v>
      </c>
      <c r="C2038" s="27" t="s">
        <v>144</v>
      </c>
      <c r="D2038" s="26" t="s">
        <v>7511</v>
      </c>
      <c r="E2038" s="27" t="s">
        <v>7512</v>
      </c>
      <c r="F2038" s="28" t="s">
        <v>146</v>
      </c>
      <c r="G2038" s="27" t="s">
        <v>3537</v>
      </c>
      <c r="H2038" s="27" t="s">
        <v>56</v>
      </c>
      <c r="I2038" s="27" t="s">
        <v>38</v>
      </c>
      <c r="J2038" s="28" t="s">
        <v>913</v>
      </c>
      <c r="K2038" s="27" t="s">
        <v>38</v>
      </c>
      <c r="L2038" s="27"/>
    </row>
    <row r="2039" customFormat="false" ht="15" hidden="false" customHeight="false" outlineLevel="0" collapsed="false">
      <c r="A2039" s="26" t="s">
        <v>7513</v>
      </c>
      <c r="B2039" s="27" t="s">
        <v>7514</v>
      </c>
      <c r="C2039" s="27" t="s">
        <v>144</v>
      </c>
      <c r="D2039" s="26" t="s">
        <v>7515</v>
      </c>
      <c r="E2039" s="27" t="s">
        <v>7516</v>
      </c>
      <c r="F2039" s="28" t="s">
        <v>146</v>
      </c>
      <c r="G2039" s="27" t="s">
        <v>3537</v>
      </c>
      <c r="H2039" s="27" t="s">
        <v>56</v>
      </c>
      <c r="I2039" s="27" t="s">
        <v>38</v>
      </c>
      <c r="J2039" s="28" t="s">
        <v>913</v>
      </c>
      <c r="K2039" s="27" t="s">
        <v>38</v>
      </c>
      <c r="L2039" s="27"/>
    </row>
    <row r="2040" customFormat="false" ht="15" hidden="false" customHeight="false" outlineLevel="0" collapsed="false">
      <c r="A2040" s="26" t="s">
        <v>7517</v>
      </c>
      <c r="B2040" s="27" t="s">
        <v>7518</v>
      </c>
      <c r="C2040" s="27" t="s">
        <v>144</v>
      </c>
      <c r="D2040" s="26" t="s">
        <v>7519</v>
      </c>
      <c r="E2040" s="27" t="s">
        <v>7520</v>
      </c>
      <c r="F2040" s="28" t="s">
        <v>146</v>
      </c>
      <c r="G2040" s="27" t="s">
        <v>3537</v>
      </c>
      <c r="H2040" s="27" t="s">
        <v>56</v>
      </c>
      <c r="I2040" s="27" t="s">
        <v>38</v>
      </c>
      <c r="J2040" s="28" t="s">
        <v>913</v>
      </c>
      <c r="K2040" s="27" t="s">
        <v>38</v>
      </c>
      <c r="L2040" s="27"/>
    </row>
    <row r="2041" customFormat="false" ht="15" hidden="false" customHeight="false" outlineLevel="0" collapsed="false">
      <c r="A2041" s="26" t="s">
        <v>7521</v>
      </c>
      <c r="B2041" s="27" t="s">
        <v>7522</v>
      </c>
      <c r="C2041" s="27" t="s">
        <v>144</v>
      </c>
      <c r="D2041" s="26" t="s">
        <v>7523</v>
      </c>
      <c r="E2041" s="27" t="s">
        <v>7524</v>
      </c>
      <c r="F2041" s="28" t="s">
        <v>146</v>
      </c>
      <c r="G2041" s="27" t="s">
        <v>3537</v>
      </c>
      <c r="H2041" s="27" t="s">
        <v>56</v>
      </c>
      <c r="I2041" s="27" t="s">
        <v>38</v>
      </c>
      <c r="J2041" s="28" t="s">
        <v>913</v>
      </c>
      <c r="K2041" s="27" t="s">
        <v>38</v>
      </c>
      <c r="L2041" s="27"/>
    </row>
    <row r="2042" customFormat="false" ht="15" hidden="false" customHeight="false" outlineLevel="0" collapsed="false">
      <c r="A2042" s="26" t="s">
        <v>7525</v>
      </c>
      <c r="B2042" s="27" t="s">
        <v>7526</v>
      </c>
      <c r="C2042" s="27" t="s">
        <v>144</v>
      </c>
      <c r="D2042" s="26" t="s">
        <v>7527</v>
      </c>
      <c r="E2042" s="27" t="s">
        <v>7528</v>
      </c>
      <c r="F2042" s="28" t="s">
        <v>146</v>
      </c>
      <c r="G2042" s="27" t="s">
        <v>3537</v>
      </c>
      <c r="H2042" s="27" t="s">
        <v>56</v>
      </c>
      <c r="I2042" s="27" t="s">
        <v>38</v>
      </c>
      <c r="J2042" s="28" t="s">
        <v>913</v>
      </c>
      <c r="K2042" s="27" t="s">
        <v>38</v>
      </c>
      <c r="L2042" s="27"/>
    </row>
    <row r="2043" customFormat="false" ht="15" hidden="false" customHeight="false" outlineLevel="0" collapsed="false">
      <c r="A2043" s="26" t="s">
        <v>7529</v>
      </c>
      <c r="B2043" s="27" t="s">
        <v>7530</v>
      </c>
      <c r="C2043" s="27" t="s">
        <v>144</v>
      </c>
      <c r="D2043" s="26" t="s">
        <v>7531</v>
      </c>
      <c r="E2043" s="27" t="s">
        <v>7532</v>
      </c>
      <c r="F2043" s="28" t="s">
        <v>146</v>
      </c>
      <c r="G2043" s="27" t="s">
        <v>3537</v>
      </c>
      <c r="H2043" s="27" t="s">
        <v>56</v>
      </c>
      <c r="I2043" s="27" t="s">
        <v>38</v>
      </c>
      <c r="J2043" s="28" t="s">
        <v>913</v>
      </c>
      <c r="K2043" s="27" t="s">
        <v>38</v>
      </c>
      <c r="L2043" s="27"/>
    </row>
    <row r="2044" customFormat="false" ht="15" hidden="false" customHeight="false" outlineLevel="0" collapsed="false">
      <c r="A2044" s="26" t="s">
        <v>7533</v>
      </c>
      <c r="B2044" s="27" t="s">
        <v>7534</v>
      </c>
      <c r="C2044" s="27" t="s">
        <v>144</v>
      </c>
      <c r="D2044" s="26" t="s">
        <v>7535</v>
      </c>
      <c r="E2044" s="27" t="s">
        <v>7536</v>
      </c>
      <c r="F2044" s="28" t="s">
        <v>146</v>
      </c>
      <c r="G2044" s="27" t="s">
        <v>3537</v>
      </c>
      <c r="H2044" s="27" t="s">
        <v>56</v>
      </c>
      <c r="I2044" s="27" t="s">
        <v>38</v>
      </c>
      <c r="J2044" s="28" t="s">
        <v>913</v>
      </c>
      <c r="K2044" s="27" t="s">
        <v>38</v>
      </c>
      <c r="L2044" s="27"/>
    </row>
    <row r="2045" customFormat="false" ht="15" hidden="false" customHeight="false" outlineLevel="0" collapsed="false">
      <c r="A2045" s="26" t="s">
        <v>7537</v>
      </c>
      <c r="B2045" s="27" t="s">
        <v>7538</v>
      </c>
      <c r="C2045" s="27" t="s">
        <v>144</v>
      </c>
      <c r="D2045" s="26" t="s">
        <v>3705</v>
      </c>
      <c r="E2045" s="27" t="s">
        <v>3706</v>
      </c>
      <c r="F2045" s="28" t="s">
        <v>146</v>
      </c>
      <c r="G2045" s="27" t="s">
        <v>3537</v>
      </c>
      <c r="H2045" s="27" t="s">
        <v>56</v>
      </c>
      <c r="I2045" s="27" t="s">
        <v>38</v>
      </c>
      <c r="J2045" s="28" t="s">
        <v>913</v>
      </c>
      <c r="K2045" s="27" t="s">
        <v>38</v>
      </c>
      <c r="L2045" s="27"/>
    </row>
    <row r="2046" customFormat="false" ht="15" hidden="false" customHeight="false" outlineLevel="0" collapsed="false">
      <c r="A2046" s="26" t="s">
        <v>7539</v>
      </c>
      <c r="B2046" s="27" t="s">
        <v>7540</v>
      </c>
      <c r="C2046" s="27" t="s">
        <v>144</v>
      </c>
      <c r="D2046" s="26" t="s">
        <v>7541</v>
      </c>
      <c r="E2046" s="27" t="s">
        <v>7542</v>
      </c>
      <c r="F2046" s="28" t="s">
        <v>146</v>
      </c>
      <c r="G2046" s="27" t="s">
        <v>3537</v>
      </c>
      <c r="H2046" s="27" t="s">
        <v>56</v>
      </c>
      <c r="I2046" s="27" t="s">
        <v>38</v>
      </c>
      <c r="J2046" s="28" t="s">
        <v>913</v>
      </c>
      <c r="K2046" s="27" t="s">
        <v>38</v>
      </c>
      <c r="L2046" s="27"/>
    </row>
    <row r="2047" customFormat="false" ht="15" hidden="false" customHeight="false" outlineLevel="0" collapsed="false">
      <c r="A2047" s="26" t="s">
        <v>7543</v>
      </c>
      <c r="B2047" s="27" t="s">
        <v>7544</v>
      </c>
      <c r="C2047" s="27" t="s">
        <v>144</v>
      </c>
      <c r="D2047" s="26" t="s">
        <v>7463</v>
      </c>
      <c r="E2047" s="27" t="s">
        <v>7464</v>
      </c>
      <c r="F2047" s="28" t="s">
        <v>146</v>
      </c>
      <c r="G2047" s="27" t="s">
        <v>3537</v>
      </c>
      <c r="H2047" s="27" t="s">
        <v>56</v>
      </c>
      <c r="I2047" s="27" t="s">
        <v>38</v>
      </c>
      <c r="J2047" s="28" t="s">
        <v>913</v>
      </c>
      <c r="K2047" s="27" t="s">
        <v>38</v>
      </c>
      <c r="L2047" s="27"/>
    </row>
    <row r="2048" customFormat="false" ht="15" hidden="false" customHeight="false" outlineLevel="0" collapsed="false">
      <c r="A2048" s="26" t="s">
        <v>7545</v>
      </c>
      <c r="B2048" s="27" t="s">
        <v>7546</v>
      </c>
      <c r="C2048" s="27" t="s">
        <v>144</v>
      </c>
      <c r="D2048" s="26" t="s">
        <v>7547</v>
      </c>
      <c r="E2048" s="27" t="s">
        <v>7548</v>
      </c>
      <c r="F2048" s="28" t="s">
        <v>146</v>
      </c>
      <c r="G2048" s="27" t="s">
        <v>3537</v>
      </c>
      <c r="H2048" s="27" t="s">
        <v>56</v>
      </c>
      <c r="I2048" s="27" t="s">
        <v>38</v>
      </c>
      <c r="J2048" s="28" t="s">
        <v>913</v>
      </c>
      <c r="K2048" s="27" t="s">
        <v>38</v>
      </c>
      <c r="L2048" s="27"/>
    </row>
    <row r="2049" customFormat="false" ht="15" hidden="false" customHeight="false" outlineLevel="0" collapsed="false">
      <c r="A2049" s="26" t="s">
        <v>7549</v>
      </c>
      <c r="B2049" s="27" t="s">
        <v>7550</v>
      </c>
      <c r="C2049" s="27" t="s">
        <v>144</v>
      </c>
      <c r="D2049" s="26" t="s">
        <v>7551</v>
      </c>
      <c r="E2049" s="27" t="s">
        <v>7552</v>
      </c>
      <c r="F2049" s="28" t="s">
        <v>146</v>
      </c>
      <c r="G2049" s="27" t="s">
        <v>3537</v>
      </c>
      <c r="H2049" s="27" t="s">
        <v>56</v>
      </c>
      <c r="I2049" s="27" t="s">
        <v>38</v>
      </c>
      <c r="J2049" s="28" t="s">
        <v>913</v>
      </c>
      <c r="K2049" s="27" t="s">
        <v>38</v>
      </c>
      <c r="L2049" s="27"/>
    </row>
    <row r="2050" customFormat="false" ht="15" hidden="false" customHeight="false" outlineLevel="0" collapsed="false">
      <c r="A2050" s="26" t="s">
        <v>7553</v>
      </c>
      <c r="B2050" s="27" t="s">
        <v>7554</v>
      </c>
      <c r="C2050" s="27" t="s">
        <v>144</v>
      </c>
      <c r="D2050" s="26" t="s">
        <v>7547</v>
      </c>
      <c r="E2050" s="27" t="s">
        <v>7548</v>
      </c>
      <c r="F2050" s="28" t="s">
        <v>146</v>
      </c>
      <c r="G2050" s="27" t="s">
        <v>3537</v>
      </c>
      <c r="H2050" s="27" t="s">
        <v>56</v>
      </c>
      <c r="I2050" s="27" t="s">
        <v>38</v>
      </c>
      <c r="J2050" s="28" t="s">
        <v>913</v>
      </c>
      <c r="K2050" s="27" t="s">
        <v>38</v>
      </c>
      <c r="L2050" s="27"/>
    </row>
    <row r="2051" customFormat="false" ht="15" hidden="false" customHeight="false" outlineLevel="0" collapsed="false">
      <c r="A2051" s="26" t="s">
        <v>7555</v>
      </c>
      <c r="B2051" s="27" t="s">
        <v>7556</v>
      </c>
      <c r="C2051" s="27" t="s">
        <v>144</v>
      </c>
      <c r="D2051" s="26" t="s">
        <v>3713</v>
      </c>
      <c r="E2051" s="27" t="s">
        <v>3714</v>
      </c>
      <c r="F2051" s="28" t="s">
        <v>146</v>
      </c>
      <c r="G2051" s="27" t="s">
        <v>3537</v>
      </c>
      <c r="H2051" s="27" t="s">
        <v>56</v>
      </c>
      <c r="I2051" s="27" t="s">
        <v>38</v>
      </c>
      <c r="J2051" s="28" t="s">
        <v>913</v>
      </c>
      <c r="K2051" s="27" t="s">
        <v>38</v>
      </c>
      <c r="L2051" s="27"/>
    </row>
    <row r="2052" customFormat="false" ht="15" hidden="false" customHeight="false" outlineLevel="0" collapsed="false">
      <c r="A2052" s="26" t="s">
        <v>7557</v>
      </c>
      <c r="B2052" s="27" t="s">
        <v>7558</v>
      </c>
      <c r="C2052" s="27" t="s">
        <v>144</v>
      </c>
      <c r="D2052" s="26" t="s">
        <v>7559</v>
      </c>
      <c r="E2052" s="27" t="s">
        <v>7560</v>
      </c>
      <c r="F2052" s="28" t="s">
        <v>146</v>
      </c>
      <c r="G2052" s="27" t="s">
        <v>3537</v>
      </c>
      <c r="H2052" s="27" t="s">
        <v>56</v>
      </c>
      <c r="I2052" s="27" t="s">
        <v>38</v>
      </c>
      <c r="J2052" s="28" t="s">
        <v>913</v>
      </c>
      <c r="K2052" s="27" t="s">
        <v>38</v>
      </c>
      <c r="L2052" s="27"/>
    </row>
    <row r="2053" customFormat="false" ht="15" hidden="false" customHeight="false" outlineLevel="0" collapsed="false">
      <c r="A2053" s="26" t="s">
        <v>7561</v>
      </c>
      <c r="B2053" s="27" t="s">
        <v>7562</v>
      </c>
      <c r="C2053" s="27" t="s">
        <v>144</v>
      </c>
      <c r="D2053" s="26" t="s">
        <v>7563</v>
      </c>
      <c r="E2053" s="27" t="s">
        <v>7564</v>
      </c>
      <c r="F2053" s="28" t="s">
        <v>146</v>
      </c>
      <c r="G2053" s="27" t="s">
        <v>3537</v>
      </c>
      <c r="H2053" s="27" t="s">
        <v>56</v>
      </c>
      <c r="I2053" s="27" t="s">
        <v>38</v>
      </c>
      <c r="J2053" s="28" t="s">
        <v>913</v>
      </c>
      <c r="K2053" s="27" t="s">
        <v>38</v>
      </c>
      <c r="L2053" s="27"/>
    </row>
    <row r="2054" customFormat="false" ht="15" hidden="false" customHeight="false" outlineLevel="0" collapsed="false">
      <c r="A2054" s="26" t="s">
        <v>7565</v>
      </c>
      <c r="B2054" s="27" t="s">
        <v>7566</v>
      </c>
      <c r="C2054" s="27" t="s">
        <v>144</v>
      </c>
      <c r="D2054" s="26" t="s">
        <v>7559</v>
      </c>
      <c r="E2054" s="27" t="s">
        <v>7560</v>
      </c>
      <c r="F2054" s="28" t="s">
        <v>146</v>
      </c>
      <c r="G2054" s="27" t="s">
        <v>3537</v>
      </c>
      <c r="H2054" s="27" t="s">
        <v>56</v>
      </c>
      <c r="I2054" s="27" t="s">
        <v>38</v>
      </c>
      <c r="J2054" s="28" t="s">
        <v>913</v>
      </c>
      <c r="K2054" s="27" t="s">
        <v>38</v>
      </c>
      <c r="L2054" s="27"/>
    </row>
    <row r="2055" customFormat="false" ht="15" hidden="false" customHeight="false" outlineLevel="0" collapsed="false">
      <c r="A2055" s="26" t="s">
        <v>7567</v>
      </c>
      <c r="B2055" s="27" t="s">
        <v>7568</v>
      </c>
      <c r="C2055" s="27" t="s">
        <v>144</v>
      </c>
      <c r="D2055" s="26" t="s">
        <v>7569</v>
      </c>
      <c r="E2055" s="27" t="s">
        <v>7570</v>
      </c>
      <c r="F2055" s="28" t="s">
        <v>146</v>
      </c>
      <c r="G2055" s="27" t="s">
        <v>3537</v>
      </c>
      <c r="H2055" s="27" t="s">
        <v>56</v>
      </c>
      <c r="I2055" s="27" t="s">
        <v>38</v>
      </c>
      <c r="J2055" s="28" t="s">
        <v>913</v>
      </c>
      <c r="K2055" s="27" t="s">
        <v>38</v>
      </c>
      <c r="L2055" s="27"/>
    </row>
    <row r="2056" customFormat="false" ht="15" hidden="false" customHeight="false" outlineLevel="0" collapsed="false">
      <c r="A2056" s="26" t="s">
        <v>7571</v>
      </c>
      <c r="B2056" s="27" t="s">
        <v>7572</v>
      </c>
      <c r="C2056" s="27" t="s">
        <v>144</v>
      </c>
      <c r="D2056" s="26" t="s">
        <v>7434</v>
      </c>
      <c r="E2056" s="27" t="s">
        <v>7435</v>
      </c>
      <c r="F2056" s="28" t="s">
        <v>146</v>
      </c>
      <c r="G2056" s="27" t="s">
        <v>3537</v>
      </c>
      <c r="H2056" s="27" t="s">
        <v>56</v>
      </c>
      <c r="I2056" s="27" t="s">
        <v>38</v>
      </c>
      <c r="J2056" s="28" t="s">
        <v>913</v>
      </c>
      <c r="K2056" s="27" t="s">
        <v>38</v>
      </c>
      <c r="L2056" s="27"/>
    </row>
    <row r="2057" customFormat="false" ht="15" hidden="false" customHeight="false" outlineLevel="0" collapsed="false">
      <c r="A2057" s="26" t="s">
        <v>7573</v>
      </c>
      <c r="B2057" s="27" t="s">
        <v>7574</v>
      </c>
      <c r="C2057" s="27" t="s">
        <v>144</v>
      </c>
      <c r="D2057" s="26" t="s">
        <v>7559</v>
      </c>
      <c r="E2057" s="27" t="s">
        <v>7560</v>
      </c>
      <c r="F2057" s="28" t="s">
        <v>146</v>
      </c>
      <c r="G2057" s="27" t="s">
        <v>3537</v>
      </c>
      <c r="H2057" s="27" t="s">
        <v>56</v>
      </c>
      <c r="I2057" s="27" t="s">
        <v>38</v>
      </c>
      <c r="J2057" s="28" t="s">
        <v>913</v>
      </c>
      <c r="K2057" s="27" t="s">
        <v>38</v>
      </c>
      <c r="L2057" s="27"/>
    </row>
    <row r="2058" customFormat="false" ht="15" hidden="false" customHeight="false" outlineLevel="0" collapsed="false">
      <c r="A2058" s="26" t="s">
        <v>7575</v>
      </c>
      <c r="B2058" s="27" t="s">
        <v>7576</v>
      </c>
      <c r="C2058" s="27" t="s">
        <v>144</v>
      </c>
      <c r="D2058" s="26" t="s">
        <v>7519</v>
      </c>
      <c r="E2058" s="27" t="s">
        <v>7520</v>
      </c>
      <c r="F2058" s="28" t="s">
        <v>146</v>
      </c>
      <c r="G2058" s="27" t="s">
        <v>3537</v>
      </c>
      <c r="H2058" s="27" t="s">
        <v>56</v>
      </c>
      <c r="I2058" s="27" t="s">
        <v>38</v>
      </c>
      <c r="J2058" s="28" t="s">
        <v>913</v>
      </c>
      <c r="K2058" s="27" t="s">
        <v>38</v>
      </c>
      <c r="L2058" s="27"/>
    </row>
    <row r="2059" customFormat="false" ht="15" hidden="false" customHeight="false" outlineLevel="0" collapsed="false">
      <c r="A2059" s="26" t="s">
        <v>7577</v>
      </c>
      <c r="B2059" s="27" t="s">
        <v>7578</v>
      </c>
      <c r="C2059" s="27" t="s">
        <v>144</v>
      </c>
      <c r="D2059" s="26" t="s">
        <v>7515</v>
      </c>
      <c r="E2059" s="27" t="s">
        <v>7516</v>
      </c>
      <c r="F2059" s="28" t="s">
        <v>146</v>
      </c>
      <c r="G2059" s="27" t="s">
        <v>3537</v>
      </c>
      <c r="H2059" s="27" t="s">
        <v>56</v>
      </c>
      <c r="I2059" s="27" t="s">
        <v>38</v>
      </c>
      <c r="J2059" s="28" t="s">
        <v>913</v>
      </c>
      <c r="K2059" s="27" t="s">
        <v>38</v>
      </c>
      <c r="L2059" s="27"/>
    </row>
    <row r="2060" customFormat="false" ht="15" hidden="false" customHeight="false" outlineLevel="0" collapsed="false">
      <c r="A2060" s="26" t="s">
        <v>7579</v>
      </c>
      <c r="B2060" s="27" t="s">
        <v>7580</v>
      </c>
      <c r="C2060" s="27" t="s">
        <v>144</v>
      </c>
      <c r="D2060" s="26" t="s">
        <v>7581</v>
      </c>
      <c r="E2060" s="27" t="s">
        <v>7582</v>
      </c>
      <c r="F2060" s="28" t="s">
        <v>146</v>
      </c>
      <c r="G2060" s="27" t="s">
        <v>3537</v>
      </c>
      <c r="H2060" s="27" t="s">
        <v>56</v>
      </c>
      <c r="I2060" s="27" t="s">
        <v>38</v>
      </c>
      <c r="J2060" s="28" t="s">
        <v>913</v>
      </c>
      <c r="K2060" s="27" t="s">
        <v>38</v>
      </c>
      <c r="L2060" s="27"/>
    </row>
    <row r="2061" customFormat="false" ht="15" hidden="false" customHeight="false" outlineLevel="0" collapsed="false">
      <c r="A2061" s="26" t="s">
        <v>7583</v>
      </c>
      <c r="B2061" s="27" t="s">
        <v>7584</v>
      </c>
      <c r="C2061" s="27" t="s">
        <v>144</v>
      </c>
      <c r="D2061" s="26" t="s">
        <v>7585</v>
      </c>
      <c r="E2061" s="27" t="s">
        <v>7586</v>
      </c>
      <c r="F2061" s="28" t="s">
        <v>146</v>
      </c>
      <c r="G2061" s="27" t="s">
        <v>3537</v>
      </c>
      <c r="H2061" s="27" t="s">
        <v>56</v>
      </c>
      <c r="I2061" s="27" t="s">
        <v>38</v>
      </c>
      <c r="J2061" s="28" t="s">
        <v>913</v>
      </c>
      <c r="K2061" s="27" t="s">
        <v>38</v>
      </c>
      <c r="L2061" s="27"/>
    </row>
    <row r="2062" customFormat="false" ht="15" hidden="false" customHeight="false" outlineLevel="0" collapsed="false">
      <c r="A2062" s="26" t="s">
        <v>7587</v>
      </c>
      <c r="B2062" s="27" t="s">
        <v>7588</v>
      </c>
      <c r="C2062" s="27" t="s">
        <v>144</v>
      </c>
      <c r="D2062" s="26" t="s">
        <v>7589</v>
      </c>
      <c r="E2062" s="27" t="s">
        <v>7590</v>
      </c>
      <c r="F2062" s="28" t="s">
        <v>146</v>
      </c>
      <c r="G2062" s="27" t="s">
        <v>3537</v>
      </c>
      <c r="H2062" s="27" t="s">
        <v>56</v>
      </c>
      <c r="I2062" s="27" t="s">
        <v>38</v>
      </c>
      <c r="J2062" s="28" t="s">
        <v>913</v>
      </c>
      <c r="K2062" s="27" t="s">
        <v>38</v>
      </c>
      <c r="L2062" s="27"/>
    </row>
    <row r="2063" customFormat="false" ht="15" hidden="false" customHeight="false" outlineLevel="0" collapsed="false">
      <c r="A2063" s="26" t="s">
        <v>7591</v>
      </c>
      <c r="B2063" s="27" t="s">
        <v>7592</v>
      </c>
      <c r="C2063" s="27" t="s">
        <v>144</v>
      </c>
      <c r="D2063" s="26" t="s">
        <v>7459</v>
      </c>
      <c r="E2063" s="27" t="s">
        <v>7460</v>
      </c>
      <c r="F2063" s="28" t="s">
        <v>146</v>
      </c>
      <c r="G2063" s="27" t="s">
        <v>3537</v>
      </c>
      <c r="H2063" s="27" t="s">
        <v>56</v>
      </c>
      <c r="I2063" s="27" t="s">
        <v>38</v>
      </c>
      <c r="J2063" s="28" t="s">
        <v>913</v>
      </c>
      <c r="K2063" s="27" t="s">
        <v>38</v>
      </c>
      <c r="L2063" s="27"/>
    </row>
    <row r="2064" customFormat="false" ht="15" hidden="false" customHeight="false" outlineLevel="0" collapsed="false">
      <c r="A2064" s="26" t="s">
        <v>7593</v>
      </c>
      <c r="B2064" s="27" t="s">
        <v>7594</v>
      </c>
      <c r="C2064" s="27" t="s">
        <v>144</v>
      </c>
      <c r="D2064" s="26" t="s">
        <v>7595</v>
      </c>
      <c r="E2064" s="27" t="s">
        <v>7596</v>
      </c>
      <c r="F2064" s="28" t="s">
        <v>146</v>
      </c>
      <c r="G2064" s="27" t="s">
        <v>3537</v>
      </c>
      <c r="H2064" s="27" t="s">
        <v>56</v>
      </c>
      <c r="I2064" s="27" t="s">
        <v>38</v>
      </c>
      <c r="J2064" s="28" t="s">
        <v>913</v>
      </c>
      <c r="K2064" s="27" t="s">
        <v>38</v>
      </c>
      <c r="L2064" s="27"/>
    </row>
    <row r="2065" customFormat="false" ht="15" hidden="false" customHeight="false" outlineLevel="0" collapsed="false">
      <c r="A2065" s="26" t="s">
        <v>7597</v>
      </c>
      <c r="B2065" s="27" t="s">
        <v>7598</v>
      </c>
      <c r="C2065" s="27" t="s">
        <v>144</v>
      </c>
      <c r="D2065" s="26" t="s">
        <v>7599</v>
      </c>
      <c r="E2065" s="27" t="s">
        <v>7600</v>
      </c>
      <c r="F2065" s="28" t="s">
        <v>146</v>
      </c>
      <c r="G2065" s="27" t="s">
        <v>3537</v>
      </c>
      <c r="H2065" s="27" t="s">
        <v>56</v>
      </c>
      <c r="I2065" s="27" t="s">
        <v>38</v>
      </c>
      <c r="J2065" s="28" t="s">
        <v>913</v>
      </c>
      <c r="K2065" s="27" t="s">
        <v>38</v>
      </c>
      <c r="L2065" s="27"/>
    </row>
    <row r="2066" customFormat="false" ht="15" hidden="false" customHeight="false" outlineLevel="0" collapsed="false">
      <c r="A2066" s="26" t="s">
        <v>7601</v>
      </c>
      <c r="B2066" s="27" t="s">
        <v>7602</v>
      </c>
      <c r="C2066" s="27" t="s">
        <v>144</v>
      </c>
      <c r="D2066" s="26" t="s">
        <v>7603</v>
      </c>
      <c r="E2066" s="27" t="s">
        <v>7604</v>
      </c>
      <c r="F2066" s="28" t="s">
        <v>146</v>
      </c>
      <c r="G2066" s="27" t="s">
        <v>3537</v>
      </c>
      <c r="H2066" s="27" t="s">
        <v>56</v>
      </c>
      <c r="I2066" s="27" t="s">
        <v>38</v>
      </c>
      <c r="J2066" s="28" t="s">
        <v>913</v>
      </c>
      <c r="K2066" s="27" t="s">
        <v>38</v>
      </c>
      <c r="L2066" s="27"/>
    </row>
    <row r="2067" customFormat="false" ht="15" hidden="false" customHeight="false" outlineLevel="0" collapsed="false">
      <c r="A2067" s="26" t="s">
        <v>7605</v>
      </c>
      <c r="B2067" s="27" t="s">
        <v>7606</v>
      </c>
      <c r="C2067" s="27" t="s">
        <v>144</v>
      </c>
      <c r="D2067" s="26" t="s">
        <v>7607</v>
      </c>
      <c r="E2067" s="27" t="s">
        <v>7608</v>
      </c>
      <c r="F2067" s="28" t="s">
        <v>146</v>
      </c>
      <c r="G2067" s="27" t="s">
        <v>3537</v>
      </c>
      <c r="H2067" s="27" t="s">
        <v>56</v>
      </c>
      <c r="I2067" s="27" t="s">
        <v>38</v>
      </c>
      <c r="J2067" s="28" t="s">
        <v>913</v>
      </c>
      <c r="K2067" s="27" t="s">
        <v>38</v>
      </c>
      <c r="L2067" s="27"/>
    </row>
    <row r="2068" customFormat="false" ht="15" hidden="false" customHeight="false" outlineLevel="0" collapsed="false">
      <c r="A2068" s="26" t="s">
        <v>7609</v>
      </c>
      <c r="B2068" s="27" t="s">
        <v>7610</v>
      </c>
      <c r="C2068" s="27" t="s">
        <v>144</v>
      </c>
      <c r="D2068" s="26" t="s">
        <v>7611</v>
      </c>
      <c r="E2068" s="27" t="s">
        <v>7612</v>
      </c>
      <c r="F2068" s="28" t="s">
        <v>146</v>
      </c>
      <c r="G2068" s="27" t="s">
        <v>3537</v>
      </c>
      <c r="H2068" s="27" t="s">
        <v>56</v>
      </c>
      <c r="I2068" s="27" t="s">
        <v>38</v>
      </c>
      <c r="J2068" s="28" t="s">
        <v>913</v>
      </c>
      <c r="K2068" s="27" t="s">
        <v>38</v>
      </c>
      <c r="L2068" s="27"/>
    </row>
    <row r="2069" customFormat="false" ht="15" hidden="false" customHeight="false" outlineLevel="0" collapsed="false">
      <c r="A2069" s="26" t="s">
        <v>7613</v>
      </c>
      <c r="B2069" s="27" t="s">
        <v>7614</v>
      </c>
      <c r="C2069" s="27" t="s">
        <v>144</v>
      </c>
      <c r="D2069" s="26" t="s">
        <v>7615</v>
      </c>
      <c r="E2069" s="27" t="s">
        <v>7616</v>
      </c>
      <c r="F2069" s="28" t="s">
        <v>146</v>
      </c>
      <c r="G2069" s="27" t="s">
        <v>3537</v>
      </c>
      <c r="H2069" s="27" t="s">
        <v>56</v>
      </c>
      <c r="I2069" s="27" t="s">
        <v>38</v>
      </c>
      <c r="J2069" s="28" t="s">
        <v>913</v>
      </c>
      <c r="K2069" s="27" t="s">
        <v>38</v>
      </c>
      <c r="L2069" s="27"/>
    </row>
    <row r="2070" customFormat="false" ht="15" hidden="false" customHeight="false" outlineLevel="0" collapsed="false">
      <c r="A2070" s="26" t="s">
        <v>7617</v>
      </c>
      <c r="B2070" s="27" t="s">
        <v>7618</v>
      </c>
      <c r="C2070" s="27" t="s">
        <v>144</v>
      </c>
      <c r="D2070" s="26" t="s">
        <v>7619</v>
      </c>
      <c r="E2070" s="27" t="s">
        <v>7620</v>
      </c>
      <c r="F2070" s="28" t="s">
        <v>146</v>
      </c>
      <c r="G2070" s="27" t="s">
        <v>3537</v>
      </c>
      <c r="H2070" s="27" t="s">
        <v>57</v>
      </c>
      <c r="I2070" s="27" t="s">
        <v>41</v>
      </c>
      <c r="J2070" s="28" t="s">
        <v>913</v>
      </c>
      <c r="K2070" s="27" t="s">
        <v>38</v>
      </c>
      <c r="L2070" s="27"/>
    </row>
    <row r="2071" customFormat="false" ht="15" hidden="false" customHeight="false" outlineLevel="0" collapsed="false">
      <c r="A2071" s="26" t="s">
        <v>7621</v>
      </c>
      <c r="B2071" s="27" t="s">
        <v>7622</v>
      </c>
      <c r="C2071" s="27" t="s">
        <v>144</v>
      </c>
      <c r="D2071" s="26" t="s">
        <v>7623</v>
      </c>
      <c r="E2071" s="27" t="s">
        <v>7624</v>
      </c>
      <c r="F2071" s="28" t="s">
        <v>146</v>
      </c>
      <c r="G2071" s="27" t="s">
        <v>3537</v>
      </c>
      <c r="H2071" s="27" t="s">
        <v>56</v>
      </c>
      <c r="I2071" s="27" t="s">
        <v>38</v>
      </c>
      <c r="J2071" s="28" t="s">
        <v>913</v>
      </c>
      <c r="K2071" s="27" t="s">
        <v>38</v>
      </c>
      <c r="L2071" s="27"/>
    </row>
    <row r="2072" customFormat="false" ht="15" hidden="false" customHeight="false" outlineLevel="0" collapsed="false">
      <c r="A2072" s="26" t="s">
        <v>7625</v>
      </c>
      <c r="B2072" s="27" t="s">
        <v>7626</v>
      </c>
      <c r="C2072" s="27" t="s">
        <v>144</v>
      </c>
      <c r="D2072" s="26" t="s">
        <v>7627</v>
      </c>
      <c r="E2072" s="27" t="s">
        <v>7628</v>
      </c>
      <c r="F2072" s="28" t="s">
        <v>146</v>
      </c>
      <c r="G2072" s="27" t="s">
        <v>3537</v>
      </c>
      <c r="H2072" s="27" t="s">
        <v>56</v>
      </c>
      <c r="I2072" s="27" t="s">
        <v>38</v>
      </c>
      <c r="J2072" s="28" t="s">
        <v>913</v>
      </c>
      <c r="K2072" s="27" t="s">
        <v>38</v>
      </c>
      <c r="L2072" s="27"/>
    </row>
    <row r="2073" customFormat="false" ht="15" hidden="false" customHeight="false" outlineLevel="0" collapsed="false">
      <c r="A2073" s="26" t="s">
        <v>7629</v>
      </c>
      <c r="B2073" s="27" t="s">
        <v>7630</v>
      </c>
      <c r="C2073" s="27" t="s">
        <v>144</v>
      </c>
      <c r="D2073" s="26" t="s">
        <v>7631</v>
      </c>
      <c r="E2073" s="27" t="s">
        <v>7632</v>
      </c>
      <c r="F2073" s="28" t="s">
        <v>146</v>
      </c>
      <c r="G2073" s="27" t="s">
        <v>3537</v>
      </c>
      <c r="H2073" s="27" t="s">
        <v>57</v>
      </c>
      <c r="I2073" s="27" t="s">
        <v>41</v>
      </c>
      <c r="J2073" s="28" t="s">
        <v>913</v>
      </c>
      <c r="K2073" s="27" t="s">
        <v>38</v>
      </c>
      <c r="L2073" s="27"/>
    </row>
    <row r="2074" customFormat="false" ht="15" hidden="false" customHeight="false" outlineLevel="0" collapsed="false">
      <c r="A2074" s="26" t="s">
        <v>7633</v>
      </c>
      <c r="B2074" s="27" t="s">
        <v>7634</v>
      </c>
      <c r="C2074" s="27" t="s">
        <v>144</v>
      </c>
      <c r="D2074" s="26" t="s">
        <v>7635</v>
      </c>
      <c r="E2074" s="27" t="s">
        <v>7636</v>
      </c>
      <c r="F2074" s="28" t="s">
        <v>146</v>
      </c>
      <c r="G2074" s="27" t="s">
        <v>3537</v>
      </c>
      <c r="H2074" s="27" t="s">
        <v>56</v>
      </c>
      <c r="I2074" s="27" t="s">
        <v>38</v>
      </c>
      <c r="J2074" s="28" t="s">
        <v>913</v>
      </c>
      <c r="K2074" s="27" t="s">
        <v>38</v>
      </c>
      <c r="L2074" s="27"/>
    </row>
    <row r="2075" customFormat="false" ht="15" hidden="false" customHeight="false" outlineLevel="0" collapsed="false">
      <c r="A2075" s="26" t="s">
        <v>7637</v>
      </c>
      <c r="B2075" s="27" t="s">
        <v>7638</v>
      </c>
      <c r="C2075" s="27" t="s">
        <v>144</v>
      </c>
      <c r="D2075" s="26" t="s">
        <v>7639</v>
      </c>
      <c r="E2075" s="27" t="s">
        <v>7640</v>
      </c>
      <c r="F2075" s="28" t="s">
        <v>146</v>
      </c>
      <c r="G2075" s="27" t="s">
        <v>3537</v>
      </c>
      <c r="H2075" s="27" t="s">
        <v>56</v>
      </c>
      <c r="I2075" s="27" t="s">
        <v>38</v>
      </c>
      <c r="J2075" s="28" t="s">
        <v>913</v>
      </c>
      <c r="K2075" s="27" t="s">
        <v>38</v>
      </c>
      <c r="L2075" s="27"/>
    </row>
    <row r="2076" customFormat="false" ht="15" hidden="false" customHeight="false" outlineLevel="0" collapsed="false">
      <c r="A2076" s="26" t="s">
        <v>7641</v>
      </c>
      <c r="B2076" s="27" t="s">
        <v>7642</v>
      </c>
      <c r="C2076" s="27" t="s">
        <v>144</v>
      </c>
      <c r="D2076" s="26" t="s">
        <v>7459</v>
      </c>
      <c r="E2076" s="27" t="s">
        <v>7460</v>
      </c>
      <c r="F2076" s="28" t="s">
        <v>146</v>
      </c>
      <c r="G2076" s="27" t="s">
        <v>3537</v>
      </c>
      <c r="H2076" s="27" t="s">
        <v>56</v>
      </c>
      <c r="I2076" s="27" t="s">
        <v>38</v>
      </c>
      <c r="J2076" s="28" t="s">
        <v>913</v>
      </c>
      <c r="K2076" s="27" t="s">
        <v>38</v>
      </c>
      <c r="L2076" s="27"/>
    </row>
    <row r="2077" customFormat="false" ht="15" hidden="false" customHeight="false" outlineLevel="0" collapsed="false">
      <c r="A2077" s="26" t="s">
        <v>7643</v>
      </c>
      <c r="B2077" s="27" t="s">
        <v>7644</v>
      </c>
      <c r="C2077" s="27" t="s">
        <v>144</v>
      </c>
      <c r="D2077" s="26" t="s">
        <v>7581</v>
      </c>
      <c r="E2077" s="27" t="s">
        <v>7582</v>
      </c>
      <c r="F2077" s="28" t="s">
        <v>146</v>
      </c>
      <c r="G2077" s="27" t="s">
        <v>3537</v>
      </c>
      <c r="H2077" s="27" t="s">
        <v>56</v>
      </c>
      <c r="I2077" s="27" t="s">
        <v>38</v>
      </c>
      <c r="J2077" s="28" t="s">
        <v>913</v>
      </c>
      <c r="K2077" s="27" t="s">
        <v>38</v>
      </c>
      <c r="L2077" s="27"/>
    </row>
    <row r="2078" customFormat="false" ht="15" hidden="false" customHeight="false" outlineLevel="0" collapsed="false">
      <c r="A2078" s="26" t="s">
        <v>7645</v>
      </c>
      <c r="B2078" s="27" t="s">
        <v>7646</v>
      </c>
      <c r="C2078" s="27" t="s">
        <v>144</v>
      </c>
      <c r="D2078" s="26" t="s">
        <v>7647</v>
      </c>
      <c r="E2078" s="27" t="s">
        <v>7648</v>
      </c>
      <c r="F2078" s="28" t="s">
        <v>146</v>
      </c>
      <c r="G2078" s="27" t="s">
        <v>3537</v>
      </c>
      <c r="H2078" s="27" t="s">
        <v>56</v>
      </c>
      <c r="I2078" s="27" t="s">
        <v>38</v>
      </c>
      <c r="J2078" s="28" t="s">
        <v>913</v>
      </c>
      <c r="K2078" s="27" t="s">
        <v>38</v>
      </c>
      <c r="L2078" s="27"/>
    </row>
    <row r="2079" customFormat="false" ht="15" hidden="false" customHeight="false" outlineLevel="0" collapsed="false">
      <c r="A2079" s="26" t="s">
        <v>7649</v>
      </c>
      <c r="B2079" s="27" t="s">
        <v>7650</v>
      </c>
      <c r="C2079" s="27" t="s">
        <v>144</v>
      </c>
      <c r="D2079" s="26" t="s">
        <v>7651</v>
      </c>
      <c r="E2079" s="27" t="s">
        <v>7652</v>
      </c>
      <c r="F2079" s="28" t="s">
        <v>146</v>
      </c>
      <c r="G2079" s="27" t="s">
        <v>3537</v>
      </c>
      <c r="H2079" s="27" t="s">
        <v>56</v>
      </c>
      <c r="I2079" s="27" t="s">
        <v>38</v>
      </c>
      <c r="J2079" s="28" t="s">
        <v>913</v>
      </c>
      <c r="K2079" s="27" t="s">
        <v>38</v>
      </c>
      <c r="L2079" s="27"/>
    </row>
    <row r="2080" customFormat="false" ht="15" hidden="false" customHeight="false" outlineLevel="0" collapsed="false">
      <c r="A2080" s="26" t="s">
        <v>7653</v>
      </c>
      <c r="B2080" s="27" t="s">
        <v>7654</v>
      </c>
      <c r="C2080" s="27" t="s">
        <v>144</v>
      </c>
      <c r="D2080" s="26" t="s">
        <v>7655</v>
      </c>
      <c r="E2080" s="27" t="s">
        <v>7656</v>
      </c>
      <c r="F2080" s="28" t="s">
        <v>146</v>
      </c>
      <c r="G2080" s="27" t="s">
        <v>3537</v>
      </c>
      <c r="H2080" s="27" t="s">
        <v>56</v>
      </c>
      <c r="I2080" s="27" t="s">
        <v>38</v>
      </c>
      <c r="J2080" s="28" t="s">
        <v>913</v>
      </c>
      <c r="K2080" s="27" t="s">
        <v>38</v>
      </c>
      <c r="L2080" s="27"/>
    </row>
    <row r="2081" customFormat="false" ht="15" hidden="false" customHeight="false" outlineLevel="0" collapsed="false">
      <c r="A2081" s="26" t="s">
        <v>7657</v>
      </c>
      <c r="B2081" s="27" t="s">
        <v>7658</v>
      </c>
      <c r="C2081" s="27" t="s">
        <v>144</v>
      </c>
      <c r="D2081" s="26" t="s">
        <v>7581</v>
      </c>
      <c r="E2081" s="27" t="s">
        <v>7582</v>
      </c>
      <c r="F2081" s="28" t="s">
        <v>146</v>
      </c>
      <c r="G2081" s="27" t="s">
        <v>3537</v>
      </c>
      <c r="H2081" s="27" t="s">
        <v>56</v>
      </c>
      <c r="I2081" s="27" t="s">
        <v>38</v>
      </c>
      <c r="J2081" s="28" t="s">
        <v>913</v>
      </c>
      <c r="K2081" s="27" t="s">
        <v>38</v>
      </c>
      <c r="L2081" s="27"/>
    </row>
    <row r="2082" customFormat="false" ht="15" hidden="false" customHeight="false" outlineLevel="0" collapsed="false">
      <c r="A2082" s="26" t="s">
        <v>7659</v>
      </c>
      <c r="B2082" s="27" t="s">
        <v>7660</v>
      </c>
      <c r="C2082" s="27" t="s">
        <v>144</v>
      </c>
      <c r="D2082" s="26" t="s">
        <v>7523</v>
      </c>
      <c r="E2082" s="27" t="s">
        <v>7524</v>
      </c>
      <c r="F2082" s="28" t="s">
        <v>146</v>
      </c>
      <c r="G2082" s="27" t="s">
        <v>3537</v>
      </c>
      <c r="H2082" s="27" t="s">
        <v>56</v>
      </c>
      <c r="I2082" s="27" t="s">
        <v>38</v>
      </c>
      <c r="J2082" s="28" t="s">
        <v>913</v>
      </c>
      <c r="K2082" s="27" t="s">
        <v>38</v>
      </c>
      <c r="L2082" s="27"/>
    </row>
    <row r="2083" customFormat="false" ht="15" hidden="false" customHeight="false" outlineLevel="0" collapsed="false">
      <c r="A2083" s="26" t="s">
        <v>7661</v>
      </c>
      <c r="B2083" s="27" t="s">
        <v>7662</v>
      </c>
      <c r="C2083" s="27" t="s">
        <v>144</v>
      </c>
      <c r="D2083" s="26" t="s">
        <v>7663</v>
      </c>
      <c r="E2083" s="27" t="s">
        <v>7664</v>
      </c>
      <c r="F2083" s="28" t="s">
        <v>146</v>
      </c>
      <c r="G2083" s="27" t="s">
        <v>3537</v>
      </c>
      <c r="H2083" s="27" t="s">
        <v>56</v>
      </c>
      <c r="I2083" s="27" t="s">
        <v>38</v>
      </c>
      <c r="J2083" s="28" t="s">
        <v>913</v>
      </c>
      <c r="K2083" s="27" t="s">
        <v>38</v>
      </c>
      <c r="L2083" s="27"/>
    </row>
    <row r="2084" customFormat="false" ht="15" hidden="false" customHeight="false" outlineLevel="0" collapsed="false">
      <c r="A2084" s="26" t="s">
        <v>7665</v>
      </c>
      <c r="B2084" s="27" t="s">
        <v>7666</v>
      </c>
      <c r="C2084" s="27" t="s">
        <v>144</v>
      </c>
      <c r="D2084" s="26" t="s">
        <v>7563</v>
      </c>
      <c r="E2084" s="27" t="s">
        <v>7564</v>
      </c>
      <c r="F2084" s="28" t="s">
        <v>146</v>
      </c>
      <c r="G2084" s="27" t="s">
        <v>3537</v>
      </c>
      <c r="H2084" s="27" t="s">
        <v>56</v>
      </c>
      <c r="I2084" s="27" t="s">
        <v>38</v>
      </c>
      <c r="J2084" s="28" t="s">
        <v>913</v>
      </c>
      <c r="K2084" s="27" t="s">
        <v>38</v>
      </c>
      <c r="L2084" s="27"/>
    </row>
    <row r="2085" customFormat="false" ht="15" hidden="false" customHeight="false" outlineLevel="0" collapsed="false">
      <c r="A2085" s="26" t="s">
        <v>7667</v>
      </c>
      <c r="B2085" s="27" t="s">
        <v>7668</v>
      </c>
      <c r="C2085" s="27" t="s">
        <v>144</v>
      </c>
      <c r="D2085" s="26" t="s">
        <v>7669</v>
      </c>
      <c r="E2085" s="27" t="s">
        <v>7670</v>
      </c>
      <c r="F2085" s="28" t="s">
        <v>146</v>
      </c>
      <c r="G2085" s="27" t="s">
        <v>3537</v>
      </c>
      <c r="H2085" s="27" t="s">
        <v>56</v>
      </c>
      <c r="I2085" s="27" t="s">
        <v>38</v>
      </c>
      <c r="J2085" s="28" t="s">
        <v>913</v>
      </c>
      <c r="K2085" s="27" t="s">
        <v>38</v>
      </c>
      <c r="L2085" s="27"/>
    </row>
    <row r="2086" customFormat="false" ht="15" hidden="false" customHeight="false" outlineLevel="0" collapsed="false">
      <c r="A2086" s="26" t="s">
        <v>7671</v>
      </c>
      <c r="B2086" s="27" t="s">
        <v>7672</v>
      </c>
      <c r="C2086" s="27" t="s">
        <v>144</v>
      </c>
      <c r="D2086" s="26" t="s">
        <v>7527</v>
      </c>
      <c r="E2086" s="27" t="s">
        <v>7528</v>
      </c>
      <c r="F2086" s="28" t="s">
        <v>146</v>
      </c>
      <c r="G2086" s="27" t="s">
        <v>3537</v>
      </c>
      <c r="H2086" s="27" t="s">
        <v>56</v>
      </c>
      <c r="I2086" s="27" t="s">
        <v>38</v>
      </c>
      <c r="J2086" s="28" t="s">
        <v>913</v>
      </c>
      <c r="K2086" s="27" t="s">
        <v>38</v>
      </c>
      <c r="L2086" s="27"/>
    </row>
    <row r="2087" customFormat="false" ht="15" hidden="false" customHeight="false" outlineLevel="0" collapsed="false">
      <c r="A2087" s="26" t="s">
        <v>7673</v>
      </c>
      <c r="B2087" s="27" t="s">
        <v>7674</v>
      </c>
      <c r="C2087" s="27" t="s">
        <v>144</v>
      </c>
      <c r="D2087" s="26" t="s">
        <v>7663</v>
      </c>
      <c r="E2087" s="27" t="s">
        <v>7664</v>
      </c>
      <c r="F2087" s="28" t="s">
        <v>146</v>
      </c>
      <c r="G2087" s="27" t="s">
        <v>3537</v>
      </c>
      <c r="H2087" s="27" t="s">
        <v>56</v>
      </c>
      <c r="I2087" s="27" t="s">
        <v>38</v>
      </c>
      <c r="J2087" s="28" t="s">
        <v>913</v>
      </c>
      <c r="K2087" s="27" t="s">
        <v>38</v>
      </c>
      <c r="L2087" s="27"/>
    </row>
    <row r="2088" customFormat="false" ht="15" hidden="false" customHeight="false" outlineLevel="0" collapsed="false">
      <c r="A2088" s="26" t="s">
        <v>7675</v>
      </c>
      <c r="B2088" s="27" t="s">
        <v>7676</v>
      </c>
      <c r="C2088" s="27" t="s">
        <v>144</v>
      </c>
      <c r="D2088" s="26" t="s">
        <v>7677</v>
      </c>
      <c r="E2088" s="27" t="s">
        <v>7678</v>
      </c>
      <c r="F2088" s="28" t="s">
        <v>146</v>
      </c>
      <c r="G2088" s="27" t="s">
        <v>3537</v>
      </c>
      <c r="H2088" s="27" t="s">
        <v>56</v>
      </c>
      <c r="I2088" s="27" t="s">
        <v>38</v>
      </c>
      <c r="J2088" s="28" t="s">
        <v>913</v>
      </c>
      <c r="K2088" s="27" t="s">
        <v>38</v>
      </c>
      <c r="L2088" s="27"/>
    </row>
    <row r="2089" customFormat="false" ht="15" hidden="false" customHeight="false" outlineLevel="0" collapsed="false">
      <c r="A2089" s="26" t="s">
        <v>7679</v>
      </c>
      <c r="B2089" s="27" t="s">
        <v>7680</v>
      </c>
      <c r="C2089" s="27" t="s">
        <v>144</v>
      </c>
      <c r="D2089" s="26" t="s">
        <v>7551</v>
      </c>
      <c r="E2089" s="27" t="s">
        <v>7552</v>
      </c>
      <c r="F2089" s="28" t="s">
        <v>146</v>
      </c>
      <c r="G2089" s="27" t="s">
        <v>3537</v>
      </c>
      <c r="H2089" s="27" t="s">
        <v>56</v>
      </c>
      <c r="I2089" s="27" t="s">
        <v>38</v>
      </c>
      <c r="J2089" s="28" t="s">
        <v>913</v>
      </c>
      <c r="K2089" s="27" t="s">
        <v>38</v>
      </c>
      <c r="L2089" s="27"/>
    </row>
    <row r="2090" customFormat="false" ht="15" hidden="false" customHeight="false" outlineLevel="0" collapsed="false">
      <c r="A2090" s="26" t="s">
        <v>7681</v>
      </c>
      <c r="B2090" s="27" t="s">
        <v>7682</v>
      </c>
      <c r="C2090" s="27" t="s">
        <v>144</v>
      </c>
      <c r="D2090" s="26" t="s">
        <v>7683</v>
      </c>
      <c r="E2090" s="27" t="s">
        <v>7684</v>
      </c>
      <c r="F2090" s="28" t="s">
        <v>146</v>
      </c>
      <c r="G2090" s="27" t="s">
        <v>3537</v>
      </c>
      <c r="H2090" s="27" t="s">
        <v>56</v>
      </c>
      <c r="I2090" s="27" t="s">
        <v>38</v>
      </c>
      <c r="J2090" s="28" t="s">
        <v>913</v>
      </c>
      <c r="K2090" s="27" t="s">
        <v>38</v>
      </c>
      <c r="L2090" s="27"/>
    </row>
    <row r="2091" customFormat="false" ht="15" hidden="false" customHeight="false" outlineLevel="0" collapsed="false">
      <c r="A2091" s="26" t="s">
        <v>7685</v>
      </c>
      <c r="B2091" s="27" t="s">
        <v>7686</v>
      </c>
      <c r="C2091" s="27" t="s">
        <v>144</v>
      </c>
      <c r="D2091" s="26" t="s">
        <v>7687</v>
      </c>
      <c r="E2091" s="27" t="s">
        <v>7688</v>
      </c>
      <c r="F2091" s="28" t="s">
        <v>146</v>
      </c>
      <c r="G2091" s="27" t="s">
        <v>3537</v>
      </c>
      <c r="H2091" s="27" t="s">
        <v>56</v>
      </c>
      <c r="I2091" s="27" t="s">
        <v>38</v>
      </c>
      <c r="J2091" s="28" t="s">
        <v>913</v>
      </c>
      <c r="K2091" s="27" t="s">
        <v>38</v>
      </c>
      <c r="L2091" s="27"/>
    </row>
    <row r="2092" customFormat="false" ht="15" hidden="false" customHeight="false" outlineLevel="0" collapsed="false">
      <c r="A2092" s="26" t="s">
        <v>7689</v>
      </c>
      <c r="B2092" s="27" t="s">
        <v>7690</v>
      </c>
      <c r="C2092" s="27" t="s">
        <v>144</v>
      </c>
      <c r="D2092" s="26" t="s">
        <v>3697</v>
      </c>
      <c r="E2092" s="27" t="s">
        <v>3698</v>
      </c>
      <c r="F2092" s="28" t="s">
        <v>146</v>
      </c>
      <c r="G2092" s="27" t="s">
        <v>3537</v>
      </c>
      <c r="H2092" s="27" t="s">
        <v>57</v>
      </c>
      <c r="I2092" s="27" t="s">
        <v>43</v>
      </c>
      <c r="J2092" s="28" t="s">
        <v>913</v>
      </c>
      <c r="K2092" s="27" t="s">
        <v>38</v>
      </c>
      <c r="L2092" s="27"/>
    </row>
    <row r="2093" customFormat="false" ht="15" hidden="false" customHeight="false" outlineLevel="0" collapsed="false">
      <c r="A2093" s="26" t="s">
        <v>7691</v>
      </c>
      <c r="B2093" s="27" t="s">
        <v>7692</v>
      </c>
      <c r="C2093" s="27" t="s">
        <v>144</v>
      </c>
      <c r="D2093" s="26" t="s">
        <v>7669</v>
      </c>
      <c r="E2093" s="27" t="s">
        <v>7670</v>
      </c>
      <c r="F2093" s="28" t="s">
        <v>146</v>
      </c>
      <c r="G2093" s="27" t="s">
        <v>3537</v>
      </c>
      <c r="H2093" s="27" t="s">
        <v>56</v>
      </c>
      <c r="I2093" s="27" t="s">
        <v>38</v>
      </c>
      <c r="J2093" s="28" t="s">
        <v>913</v>
      </c>
      <c r="K2093" s="27" t="s">
        <v>38</v>
      </c>
      <c r="L2093" s="27"/>
    </row>
    <row r="2094" customFormat="false" ht="15" hidden="false" customHeight="false" outlineLevel="0" collapsed="false">
      <c r="A2094" s="26" t="s">
        <v>7693</v>
      </c>
      <c r="B2094" s="27" t="s">
        <v>7694</v>
      </c>
      <c r="C2094" s="27" t="s">
        <v>144</v>
      </c>
      <c r="D2094" s="26" t="s">
        <v>7581</v>
      </c>
      <c r="E2094" s="27" t="s">
        <v>7582</v>
      </c>
      <c r="F2094" s="28" t="s">
        <v>146</v>
      </c>
      <c r="G2094" s="27" t="s">
        <v>3537</v>
      </c>
      <c r="H2094" s="27" t="s">
        <v>56</v>
      </c>
      <c r="I2094" s="27" t="s">
        <v>38</v>
      </c>
      <c r="J2094" s="28" t="s">
        <v>913</v>
      </c>
      <c r="K2094" s="27" t="s">
        <v>38</v>
      </c>
      <c r="L2094" s="27"/>
    </row>
    <row r="2095" customFormat="false" ht="15" hidden="false" customHeight="false" outlineLevel="0" collapsed="false">
      <c r="A2095" s="26" t="s">
        <v>7695</v>
      </c>
      <c r="B2095" s="27" t="s">
        <v>7696</v>
      </c>
      <c r="C2095" s="27" t="s">
        <v>144</v>
      </c>
      <c r="D2095" s="26" t="s">
        <v>7697</v>
      </c>
      <c r="E2095" s="27" t="s">
        <v>7698</v>
      </c>
      <c r="F2095" s="28" t="s">
        <v>146</v>
      </c>
      <c r="G2095" s="27" t="s">
        <v>3537</v>
      </c>
      <c r="H2095" s="27" t="s">
        <v>56</v>
      </c>
      <c r="I2095" s="27" t="s">
        <v>38</v>
      </c>
      <c r="J2095" s="28" t="s">
        <v>913</v>
      </c>
      <c r="K2095" s="27" t="s">
        <v>38</v>
      </c>
      <c r="L2095" s="27"/>
    </row>
    <row r="2096" customFormat="false" ht="15" hidden="false" customHeight="false" outlineLevel="0" collapsed="false">
      <c r="A2096" s="26" t="s">
        <v>7699</v>
      </c>
      <c r="B2096" s="27" t="s">
        <v>7700</v>
      </c>
      <c r="C2096" s="27" t="s">
        <v>144</v>
      </c>
      <c r="D2096" s="26" t="s">
        <v>7701</v>
      </c>
      <c r="E2096" s="27" t="s">
        <v>7702</v>
      </c>
      <c r="F2096" s="28" t="s">
        <v>146</v>
      </c>
      <c r="G2096" s="27" t="s">
        <v>3537</v>
      </c>
      <c r="H2096" s="27" t="s">
        <v>56</v>
      </c>
      <c r="I2096" s="27" t="s">
        <v>38</v>
      </c>
      <c r="J2096" s="28" t="s">
        <v>913</v>
      </c>
      <c r="K2096" s="27" t="s">
        <v>38</v>
      </c>
      <c r="L2096" s="27"/>
    </row>
    <row r="2097" customFormat="false" ht="15" hidden="false" customHeight="false" outlineLevel="0" collapsed="false">
      <c r="A2097" s="26" t="s">
        <v>7703</v>
      </c>
      <c r="B2097" s="27" t="s">
        <v>7704</v>
      </c>
      <c r="C2097" s="27" t="s">
        <v>144</v>
      </c>
      <c r="D2097" s="26" t="s">
        <v>7663</v>
      </c>
      <c r="E2097" s="27" t="s">
        <v>7664</v>
      </c>
      <c r="F2097" s="28" t="s">
        <v>146</v>
      </c>
      <c r="G2097" s="27" t="s">
        <v>3537</v>
      </c>
      <c r="H2097" s="27" t="s">
        <v>56</v>
      </c>
      <c r="I2097" s="27" t="s">
        <v>38</v>
      </c>
      <c r="J2097" s="28" t="s">
        <v>913</v>
      </c>
      <c r="K2097" s="27" t="s">
        <v>38</v>
      </c>
      <c r="L2097" s="27"/>
    </row>
    <row r="2098" customFormat="false" ht="15" hidden="false" customHeight="false" outlineLevel="0" collapsed="false">
      <c r="A2098" s="26" t="s">
        <v>7705</v>
      </c>
      <c r="B2098" s="27" t="s">
        <v>7706</v>
      </c>
      <c r="C2098" s="27" t="s">
        <v>144</v>
      </c>
      <c r="D2098" s="26" t="s">
        <v>7707</v>
      </c>
      <c r="E2098" s="27" t="s">
        <v>7708</v>
      </c>
      <c r="F2098" s="28" t="s">
        <v>146</v>
      </c>
      <c r="G2098" s="27" t="s">
        <v>3537</v>
      </c>
      <c r="H2098" s="27" t="s">
        <v>56</v>
      </c>
      <c r="I2098" s="27" t="s">
        <v>38</v>
      </c>
      <c r="J2098" s="28" t="s">
        <v>913</v>
      </c>
      <c r="K2098" s="27" t="s">
        <v>38</v>
      </c>
      <c r="L2098" s="27"/>
    </row>
    <row r="2099" customFormat="false" ht="15" hidden="false" customHeight="false" outlineLevel="0" collapsed="false">
      <c r="A2099" s="26" t="s">
        <v>7709</v>
      </c>
      <c r="B2099" s="27" t="s">
        <v>7710</v>
      </c>
      <c r="C2099" s="27" t="s">
        <v>144</v>
      </c>
      <c r="D2099" s="26" t="s">
        <v>911</v>
      </c>
      <c r="E2099" s="27" t="s">
        <v>912</v>
      </c>
      <c r="F2099" s="28" t="s">
        <v>146</v>
      </c>
      <c r="G2099" s="27" t="s">
        <v>3537</v>
      </c>
      <c r="H2099" s="27" t="s">
        <v>56</v>
      </c>
      <c r="I2099" s="27" t="s">
        <v>38</v>
      </c>
      <c r="J2099" s="28" t="s">
        <v>913</v>
      </c>
      <c r="K2099" s="27" t="s">
        <v>38</v>
      </c>
      <c r="L2099" s="27"/>
    </row>
    <row r="2100" customFormat="false" ht="15" hidden="false" customHeight="false" outlineLevel="0" collapsed="false">
      <c r="A2100" s="26" t="s">
        <v>7711</v>
      </c>
      <c r="B2100" s="27" t="s">
        <v>7712</v>
      </c>
      <c r="C2100" s="27" t="s">
        <v>144</v>
      </c>
      <c r="D2100" s="26" t="s">
        <v>7713</v>
      </c>
      <c r="E2100" s="27" t="s">
        <v>7714</v>
      </c>
      <c r="F2100" s="28" t="s">
        <v>146</v>
      </c>
      <c r="G2100" s="27" t="s">
        <v>3537</v>
      </c>
      <c r="H2100" s="27" t="s">
        <v>56</v>
      </c>
      <c r="I2100" s="27" t="s">
        <v>38</v>
      </c>
      <c r="J2100" s="28" t="s">
        <v>913</v>
      </c>
      <c r="K2100" s="27" t="s">
        <v>38</v>
      </c>
      <c r="L2100" s="27"/>
    </row>
    <row r="2101" customFormat="false" ht="15" hidden="false" customHeight="false" outlineLevel="0" collapsed="false">
      <c r="A2101" s="26" t="s">
        <v>7715</v>
      </c>
      <c r="B2101" s="27" t="s">
        <v>7716</v>
      </c>
      <c r="C2101" s="27" t="s">
        <v>144</v>
      </c>
      <c r="D2101" s="26" t="s">
        <v>7713</v>
      </c>
      <c r="E2101" s="27" t="s">
        <v>7714</v>
      </c>
      <c r="F2101" s="28" t="s">
        <v>146</v>
      </c>
      <c r="G2101" s="27" t="s">
        <v>3537</v>
      </c>
      <c r="H2101" s="27" t="s">
        <v>56</v>
      </c>
      <c r="I2101" s="27" t="s">
        <v>38</v>
      </c>
      <c r="J2101" s="28" t="s">
        <v>913</v>
      </c>
      <c r="K2101" s="27" t="s">
        <v>38</v>
      </c>
      <c r="L2101" s="27"/>
    </row>
    <row r="2102" customFormat="false" ht="15" hidden="false" customHeight="false" outlineLevel="0" collapsed="false">
      <c r="A2102" s="26" t="s">
        <v>7717</v>
      </c>
      <c r="B2102" s="27" t="s">
        <v>7718</v>
      </c>
      <c r="C2102" s="27" t="s">
        <v>144</v>
      </c>
      <c r="D2102" s="26" t="s">
        <v>7719</v>
      </c>
      <c r="E2102" s="27" t="s">
        <v>7720</v>
      </c>
      <c r="F2102" s="28" t="s">
        <v>146</v>
      </c>
      <c r="G2102" s="27" t="s">
        <v>3537</v>
      </c>
      <c r="H2102" s="27" t="s">
        <v>56</v>
      </c>
      <c r="I2102" s="27" t="s">
        <v>38</v>
      </c>
      <c r="J2102" s="28" t="s">
        <v>913</v>
      </c>
      <c r="K2102" s="27" t="s">
        <v>38</v>
      </c>
      <c r="L2102" s="27"/>
    </row>
    <row r="2103" customFormat="false" ht="15" hidden="false" customHeight="false" outlineLevel="0" collapsed="false">
      <c r="A2103" s="26" t="s">
        <v>7721</v>
      </c>
      <c r="B2103" s="27" t="s">
        <v>7722</v>
      </c>
      <c r="C2103" s="27" t="s">
        <v>144</v>
      </c>
      <c r="D2103" s="26" t="s">
        <v>7713</v>
      </c>
      <c r="E2103" s="27" t="s">
        <v>7714</v>
      </c>
      <c r="F2103" s="28" t="s">
        <v>146</v>
      </c>
      <c r="G2103" s="27" t="s">
        <v>3537</v>
      </c>
      <c r="H2103" s="27" t="s">
        <v>56</v>
      </c>
      <c r="I2103" s="27" t="s">
        <v>38</v>
      </c>
      <c r="J2103" s="28" t="s">
        <v>913</v>
      </c>
      <c r="K2103" s="27" t="s">
        <v>38</v>
      </c>
      <c r="L2103" s="27"/>
    </row>
    <row r="2104" customFormat="false" ht="15" hidden="false" customHeight="false" outlineLevel="0" collapsed="false">
      <c r="A2104" s="26" t="s">
        <v>7723</v>
      </c>
      <c r="B2104" s="27" t="s">
        <v>7724</v>
      </c>
      <c r="C2104" s="27" t="s">
        <v>144</v>
      </c>
      <c r="D2104" s="26" t="s">
        <v>7719</v>
      </c>
      <c r="E2104" s="27" t="s">
        <v>7720</v>
      </c>
      <c r="F2104" s="28" t="s">
        <v>146</v>
      </c>
      <c r="G2104" s="27" t="s">
        <v>3537</v>
      </c>
      <c r="H2104" s="27" t="s">
        <v>56</v>
      </c>
      <c r="I2104" s="27" t="s">
        <v>38</v>
      </c>
      <c r="J2104" s="28" t="s">
        <v>913</v>
      </c>
      <c r="K2104" s="27" t="s">
        <v>38</v>
      </c>
      <c r="L2104" s="27"/>
    </row>
    <row r="2105" customFormat="false" ht="15" hidden="false" customHeight="false" outlineLevel="0" collapsed="false">
      <c r="A2105" s="26" t="s">
        <v>7725</v>
      </c>
      <c r="B2105" s="27" t="s">
        <v>7726</v>
      </c>
      <c r="C2105" s="27" t="s">
        <v>144</v>
      </c>
      <c r="D2105" s="26" t="s">
        <v>7669</v>
      </c>
      <c r="E2105" s="27" t="s">
        <v>7670</v>
      </c>
      <c r="F2105" s="28" t="s">
        <v>146</v>
      </c>
      <c r="G2105" s="27" t="s">
        <v>3537</v>
      </c>
      <c r="H2105" s="27" t="s">
        <v>56</v>
      </c>
      <c r="I2105" s="27" t="s">
        <v>38</v>
      </c>
      <c r="J2105" s="28" t="s">
        <v>913</v>
      </c>
      <c r="K2105" s="27" t="s">
        <v>38</v>
      </c>
      <c r="L2105" s="27"/>
    </row>
    <row r="2106" customFormat="false" ht="15" hidden="false" customHeight="false" outlineLevel="0" collapsed="false">
      <c r="A2106" s="26" t="s">
        <v>7727</v>
      </c>
      <c r="B2106" s="27" t="s">
        <v>7728</v>
      </c>
      <c r="C2106" s="27" t="s">
        <v>144</v>
      </c>
      <c r="D2106" s="26" t="s">
        <v>7481</v>
      </c>
      <c r="E2106" s="27" t="s">
        <v>7482</v>
      </c>
      <c r="F2106" s="28" t="s">
        <v>146</v>
      </c>
      <c r="G2106" s="27" t="s">
        <v>3537</v>
      </c>
      <c r="H2106" s="27" t="s">
        <v>57</v>
      </c>
      <c r="I2106" s="27" t="s">
        <v>41</v>
      </c>
      <c r="J2106" s="28" t="s">
        <v>913</v>
      </c>
      <c r="K2106" s="27" t="s">
        <v>38</v>
      </c>
      <c r="L2106" s="27"/>
    </row>
    <row r="2107" customFormat="false" ht="15" hidden="false" customHeight="false" outlineLevel="0" collapsed="false">
      <c r="A2107" s="26" t="s">
        <v>7729</v>
      </c>
      <c r="B2107" s="27" t="s">
        <v>7730</v>
      </c>
      <c r="C2107" s="27" t="s">
        <v>144</v>
      </c>
      <c r="D2107" s="26" t="s">
        <v>7731</v>
      </c>
      <c r="E2107" s="27" t="s">
        <v>7732</v>
      </c>
      <c r="F2107" s="28" t="s">
        <v>146</v>
      </c>
      <c r="G2107" s="27" t="s">
        <v>3537</v>
      </c>
      <c r="H2107" s="27" t="s">
        <v>57</v>
      </c>
      <c r="I2107" s="27" t="s">
        <v>41</v>
      </c>
      <c r="J2107" s="28" t="s">
        <v>913</v>
      </c>
      <c r="K2107" s="27" t="s">
        <v>38</v>
      </c>
      <c r="L2107" s="27"/>
    </row>
    <row r="2108" customFormat="false" ht="15" hidden="false" customHeight="false" outlineLevel="0" collapsed="false">
      <c r="A2108" s="26" t="s">
        <v>7733</v>
      </c>
      <c r="B2108" s="27" t="s">
        <v>7734</v>
      </c>
      <c r="C2108" s="27" t="s">
        <v>144</v>
      </c>
      <c r="D2108" s="26" t="s">
        <v>7735</v>
      </c>
      <c r="E2108" s="27" t="s">
        <v>7736</v>
      </c>
      <c r="F2108" s="28" t="s">
        <v>146</v>
      </c>
      <c r="G2108" s="27" t="s">
        <v>3537</v>
      </c>
      <c r="H2108" s="27" t="s">
        <v>56</v>
      </c>
      <c r="I2108" s="27" t="s">
        <v>38</v>
      </c>
      <c r="J2108" s="28" t="s">
        <v>913</v>
      </c>
      <c r="K2108" s="27" t="s">
        <v>38</v>
      </c>
      <c r="L2108" s="27"/>
    </row>
    <row r="2109" customFormat="false" ht="15" hidden="false" customHeight="false" outlineLevel="0" collapsed="false">
      <c r="A2109" s="26" t="s">
        <v>7737</v>
      </c>
      <c r="B2109" s="27" t="s">
        <v>7738</v>
      </c>
      <c r="C2109" s="27" t="s">
        <v>144</v>
      </c>
      <c r="D2109" s="26" t="s">
        <v>7663</v>
      </c>
      <c r="E2109" s="27" t="s">
        <v>7664</v>
      </c>
      <c r="F2109" s="28" t="s">
        <v>146</v>
      </c>
      <c r="G2109" s="27" t="s">
        <v>3537</v>
      </c>
      <c r="H2109" s="27" t="s">
        <v>56</v>
      </c>
      <c r="I2109" s="27" t="s">
        <v>38</v>
      </c>
      <c r="J2109" s="28" t="s">
        <v>913</v>
      </c>
      <c r="K2109" s="27" t="s">
        <v>38</v>
      </c>
      <c r="L2109" s="27"/>
    </row>
    <row r="2110" customFormat="false" ht="15" hidden="false" customHeight="false" outlineLevel="0" collapsed="false">
      <c r="A2110" s="26" t="s">
        <v>7739</v>
      </c>
      <c r="B2110" s="27" t="s">
        <v>7740</v>
      </c>
      <c r="C2110" s="27" t="s">
        <v>144</v>
      </c>
      <c r="D2110" s="26" t="s">
        <v>7741</v>
      </c>
      <c r="E2110" s="27" t="s">
        <v>7742</v>
      </c>
      <c r="F2110" s="28" t="s">
        <v>146</v>
      </c>
      <c r="G2110" s="27" t="s">
        <v>3537</v>
      </c>
      <c r="H2110" s="27" t="s">
        <v>57</v>
      </c>
      <c r="I2110" s="27" t="s">
        <v>41</v>
      </c>
      <c r="J2110" s="28" t="s">
        <v>913</v>
      </c>
      <c r="K2110" s="27" t="s">
        <v>38</v>
      </c>
      <c r="L2110" s="27"/>
    </row>
    <row r="2111" customFormat="false" ht="15" hidden="false" customHeight="false" outlineLevel="0" collapsed="false">
      <c r="A2111" s="26" t="s">
        <v>7743</v>
      </c>
      <c r="B2111" s="27" t="s">
        <v>7744</v>
      </c>
      <c r="C2111" s="27" t="s">
        <v>144</v>
      </c>
      <c r="D2111" s="26" t="s">
        <v>7745</v>
      </c>
      <c r="E2111" s="27" t="s">
        <v>7746</v>
      </c>
      <c r="F2111" s="28" t="s">
        <v>146</v>
      </c>
      <c r="G2111" s="27" t="s">
        <v>3537</v>
      </c>
      <c r="H2111" s="27" t="s">
        <v>56</v>
      </c>
      <c r="I2111" s="27" t="s">
        <v>38</v>
      </c>
      <c r="J2111" s="28" t="s">
        <v>913</v>
      </c>
      <c r="K2111" s="27" t="s">
        <v>38</v>
      </c>
      <c r="L2111" s="27"/>
    </row>
    <row r="2112" customFormat="false" ht="15" hidden="false" customHeight="false" outlineLevel="0" collapsed="false">
      <c r="A2112" s="26" t="s">
        <v>7747</v>
      </c>
      <c r="B2112" s="27" t="s">
        <v>7748</v>
      </c>
      <c r="C2112" s="27" t="s">
        <v>144</v>
      </c>
      <c r="D2112" s="26" t="s">
        <v>7749</v>
      </c>
      <c r="E2112" s="27" t="s">
        <v>7750</v>
      </c>
      <c r="F2112" s="28" t="s">
        <v>146</v>
      </c>
      <c r="G2112" s="27" t="s">
        <v>3537</v>
      </c>
      <c r="H2112" s="27" t="s">
        <v>56</v>
      </c>
      <c r="I2112" s="27" t="s">
        <v>38</v>
      </c>
      <c r="J2112" s="28" t="s">
        <v>913</v>
      </c>
      <c r="K2112" s="27" t="s">
        <v>38</v>
      </c>
      <c r="L2112" s="27"/>
    </row>
    <row r="2113" customFormat="false" ht="15" hidden="false" customHeight="false" outlineLevel="0" collapsed="false">
      <c r="A2113" s="26" t="s">
        <v>7751</v>
      </c>
      <c r="B2113" s="27" t="s">
        <v>7752</v>
      </c>
      <c r="C2113" s="27" t="s">
        <v>144</v>
      </c>
      <c r="D2113" s="26" t="s">
        <v>7753</v>
      </c>
      <c r="E2113" s="27" t="s">
        <v>7754</v>
      </c>
      <c r="F2113" s="28" t="s">
        <v>146</v>
      </c>
      <c r="G2113" s="27" t="s">
        <v>3537</v>
      </c>
      <c r="H2113" s="27" t="s">
        <v>56</v>
      </c>
      <c r="I2113" s="27" t="s">
        <v>38</v>
      </c>
      <c r="J2113" s="28" t="s">
        <v>913</v>
      </c>
      <c r="K2113" s="27" t="s">
        <v>38</v>
      </c>
      <c r="L2113" s="27"/>
    </row>
    <row r="2114" customFormat="false" ht="15" hidden="false" customHeight="false" outlineLevel="0" collapsed="false">
      <c r="A2114" s="26" t="s">
        <v>7755</v>
      </c>
      <c r="B2114" s="27" t="s">
        <v>7756</v>
      </c>
      <c r="C2114" s="27" t="s">
        <v>144</v>
      </c>
      <c r="D2114" s="26" t="s">
        <v>7531</v>
      </c>
      <c r="E2114" s="27" t="s">
        <v>7532</v>
      </c>
      <c r="F2114" s="28" t="s">
        <v>146</v>
      </c>
      <c r="G2114" s="27" t="s">
        <v>3537</v>
      </c>
      <c r="H2114" s="27" t="s">
        <v>56</v>
      </c>
      <c r="I2114" s="27" t="s">
        <v>38</v>
      </c>
      <c r="J2114" s="28" t="s">
        <v>913</v>
      </c>
      <c r="K2114" s="27" t="s">
        <v>38</v>
      </c>
      <c r="L2114" s="27"/>
    </row>
    <row r="2115" customFormat="false" ht="15" hidden="false" customHeight="false" outlineLevel="0" collapsed="false">
      <c r="A2115" s="26" t="s">
        <v>7757</v>
      </c>
      <c r="B2115" s="27" t="s">
        <v>7758</v>
      </c>
      <c r="C2115" s="27" t="s">
        <v>144</v>
      </c>
      <c r="D2115" s="26" t="s">
        <v>7759</v>
      </c>
      <c r="E2115" s="27" t="s">
        <v>7760</v>
      </c>
      <c r="F2115" s="28" t="s">
        <v>146</v>
      </c>
      <c r="G2115" s="27" t="s">
        <v>3537</v>
      </c>
      <c r="H2115" s="27" t="s">
        <v>56</v>
      </c>
      <c r="I2115" s="27" t="s">
        <v>38</v>
      </c>
      <c r="J2115" s="28" t="s">
        <v>913</v>
      </c>
      <c r="K2115" s="27" t="s">
        <v>38</v>
      </c>
      <c r="L2115" s="27"/>
    </row>
    <row r="2116" customFormat="false" ht="15" hidden="false" customHeight="false" outlineLevel="0" collapsed="false">
      <c r="A2116" s="26" t="s">
        <v>7761</v>
      </c>
      <c r="B2116" s="27" t="s">
        <v>7762</v>
      </c>
      <c r="C2116" s="27" t="s">
        <v>144</v>
      </c>
      <c r="D2116" s="26" t="s">
        <v>7763</v>
      </c>
      <c r="E2116" s="27" t="s">
        <v>7764</v>
      </c>
      <c r="F2116" s="28" t="s">
        <v>146</v>
      </c>
      <c r="G2116" s="27" t="s">
        <v>3537</v>
      </c>
      <c r="H2116" s="27" t="s">
        <v>56</v>
      </c>
      <c r="I2116" s="27" t="s">
        <v>38</v>
      </c>
      <c r="J2116" s="28" t="s">
        <v>913</v>
      </c>
      <c r="K2116" s="27" t="s">
        <v>38</v>
      </c>
      <c r="L2116" s="27"/>
    </row>
    <row r="2117" customFormat="false" ht="15" hidden="false" customHeight="false" outlineLevel="0" collapsed="false">
      <c r="A2117" s="26" t="s">
        <v>7765</v>
      </c>
      <c r="B2117" s="27" t="s">
        <v>7766</v>
      </c>
      <c r="C2117" s="27" t="s">
        <v>144</v>
      </c>
      <c r="D2117" s="26" t="s">
        <v>7687</v>
      </c>
      <c r="E2117" s="27" t="s">
        <v>7688</v>
      </c>
      <c r="F2117" s="28" t="s">
        <v>146</v>
      </c>
      <c r="G2117" s="27" t="s">
        <v>3537</v>
      </c>
      <c r="H2117" s="27" t="s">
        <v>56</v>
      </c>
      <c r="I2117" s="27" t="s">
        <v>38</v>
      </c>
      <c r="J2117" s="28" t="s">
        <v>913</v>
      </c>
      <c r="K2117" s="27" t="s">
        <v>38</v>
      </c>
      <c r="L2117" s="27"/>
    </row>
    <row r="2118" customFormat="false" ht="15" hidden="false" customHeight="false" outlineLevel="0" collapsed="false">
      <c r="A2118" s="26" t="s">
        <v>7767</v>
      </c>
      <c r="B2118" s="27" t="s">
        <v>7768</v>
      </c>
      <c r="C2118" s="27" t="s">
        <v>144</v>
      </c>
      <c r="D2118" s="26" t="s">
        <v>7769</v>
      </c>
      <c r="E2118" s="27" t="s">
        <v>7770</v>
      </c>
      <c r="F2118" s="28" t="s">
        <v>146</v>
      </c>
      <c r="G2118" s="27" t="s">
        <v>3537</v>
      </c>
      <c r="H2118" s="27" t="s">
        <v>56</v>
      </c>
      <c r="I2118" s="27" t="s">
        <v>38</v>
      </c>
      <c r="J2118" s="28" t="s">
        <v>913</v>
      </c>
      <c r="K2118" s="27" t="s">
        <v>38</v>
      </c>
      <c r="L2118" s="27"/>
    </row>
    <row r="2119" customFormat="false" ht="15" hidden="false" customHeight="false" outlineLevel="0" collapsed="false">
      <c r="A2119" s="26" t="s">
        <v>7771</v>
      </c>
      <c r="B2119" s="27" t="s">
        <v>7772</v>
      </c>
      <c r="C2119" s="27" t="s">
        <v>144</v>
      </c>
      <c r="D2119" s="26" t="s">
        <v>7547</v>
      </c>
      <c r="E2119" s="27" t="s">
        <v>7548</v>
      </c>
      <c r="F2119" s="28" t="s">
        <v>146</v>
      </c>
      <c r="G2119" s="27" t="s">
        <v>3537</v>
      </c>
      <c r="H2119" s="27" t="s">
        <v>56</v>
      </c>
      <c r="I2119" s="27" t="s">
        <v>38</v>
      </c>
      <c r="J2119" s="28" t="s">
        <v>913</v>
      </c>
      <c r="K2119" s="27" t="s">
        <v>38</v>
      </c>
      <c r="L2119" s="27"/>
    </row>
    <row r="2120" customFormat="false" ht="15" hidden="false" customHeight="false" outlineLevel="0" collapsed="false">
      <c r="A2120" s="26" t="s">
        <v>7773</v>
      </c>
      <c r="B2120" s="27" t="s">
        <v>7774</v>
      </c>
      <c r="C2120" s="27" t="s">
        <v>144</v>
      </c>
      <c r="D2120" s="26" t="s">
        <v>7581</v>
      </c>
      <c r="E2120" s="27" t="s">
        <v>7582</v>
      </c>
      <c r="F2120" s="28" t="s">
        <v>146</v>
      </c>
      <c r="G2120" s="27" t="s">
        <v>3537</v>
      </c>
      <c r="H2120" s="27" t="s">
        <v>56</v>
      </c>
      <c r="I2120" s="27" t="s">
        <v>38</v>
      </c>
      <c r="J2120" s="28" t="s">
        <v>913</v>
      </c>
      <c r="K2120" s="27" t="s">
        <v>38</v>
      </c>
      <c r="L2120" s="27"/>
    </row>
    <row r="2121" customFormat="false" ht="15" hidden="false" customHeight="false" outlineLevel="0" collapsed="false">
      <c r="A2121" s="26" t="s">
        <v>7775</v>
      </c>
      <c r="B2121" s="27" t="s">
        <v>7776</v>
      </c>
      <c r="C2121" s="27" t="s">
        <v>144</v>
      </c>
      <c r="D2121" s="26" t="s">
        <v>7777</v>
      </c>
      <c r="E2121" s="27" t="s">
        <v>7778</v>
      </c>
      <c r="F2121" s="28" t="s">
        <v>146</v>
      </c>
      <c r="G2121" s="27" t="s">
        <v>3537</v>
      </c>
      <c r="H2121" s="27" t="s">
        <v>56</v>
      </c>
      <c r="I2121" s="27" t="s">
        <v>38</v>
      </c>
      <c r="J2121" s="28" t="s">
        <v>913</v>
      </c>
      <c r="K2121" s="27" t="s">
        <v>38</v>
      </c>
      <c r="L2121" s="27"/>
    </row>
    <row r="2122" customFormat="false" ht="15" hidden="false" customHeight="false" outlineLevel="0" collapsed="false">
      <c r="A2122" s="26" t="s">
        <v>7779</v>
      </c>
      <c r="B2122" s="27" t="s">
        <v>7780</v>
      </c>
      <c r="C2122" s="27" t="s">
        <v>144</v>
      </c>
      <c r="D2122" s="26" t="s">
        <v>7781</v>
      </c>
      <c r="E2122" s="27" t="s">
        <v>7782</v>
      </c>
      <c r="F2122" s="28" t="s">
        <v>146</v>
      </c>
      <c r="G2122" s="27" t="s">
        <v>3537</v>
      </c>
      <c r="H2122" s="27" t="s">
        <v>56</v>
      </c>
      <c r="I2122" s="27" t="s">
        <v>38</v>
      </c>
      <c r="J2122" s="28" t="s">
        <v>913</v>
      </c>
      <c r="K2122" s="27" t="s">
        <v>38</v>
      </c>
      <c r="L2122" s="27"/>
    </row>
    <row r="2123" customFormat="false" ht="15" hidden="false" customHeight="false" outlineLevel="0" collapsed="false">
      <c r="A2123" s="26" t="s">
        <v>7783</v>
      </c>
      <c r="B2123" s="27" t="s">
        <v>7784</v>
      </c>
      <c r="C2123" s="27" t="s">
        <v>144</v>
      </c>
      <c r="D2123" s="26" t="s">
        <v>7785</v>
      </c>
      <c r="E2123" s="27" t="s">
        <v>7786</v>
      </c>
      <c r="F2123" s="28" t="s">
        <v>146</v>
      </c>
      <c r="G2123" s="27" t="s">
        <v>3537</v>
      </c>
      <c r="H2123" s="27" t="s">
        <v>56</v>
      </c>
      <c r="I2123" s="27" t="s">
        <v>38</v>
      </c>
      <c r="J2123" s="28" t="s">
        <v>913</v>
      </c>
      <c r="K2123" s="27" t="s">
        <v>38</v>
      </c>
      <c r="L2123" s="27"/>
    </row>
    <row r="2124" customFormat="false" ht="15" hidden="false" customHeight="false" outlineLevel="0" collapsed="false">
      <c r="A2124" s="26" t="s">
        <v>7787</v>
      </c>
      <c r="B2124" s="27" t="s">
        <v>7788</v>
      </c>
      <c r="C2124" s="27" t="s">
        <v>144</v>
      </c>
      <c r="D2124" s="26" t="s">
        <v>7581</v>
      </c>
      <c r="E2124" s="27" t="s">
        <v>7582</v>
      </c>
      <c r="F2124" s="28" t="s">
        <v>146</v>
      </c>
      <c r="G2124" s="27" t="s">
        <v>3537</v>
      </c>
      <c r="H2124" s="27" t="s">
        <v>56</v>
      </c>
      <c r="I2124" s="27" t="s">
        <v>38</v>
      </c>
      <c r="J2124" s="28" t="s">
        <v>913</v>
      </c>
      <c r="K2124" s="27" t="s">
        <v>38</v>
      </c>
      <c r="L2124" s="27"/>
    </row>
    <row r="2125" customFormat="false" ht="15" hidden="false" customHeight="false" outlineLevel="0" collapsed="false">
      <c r="A2125" s="26" t="s">
        <v>7789</v>
      </c>
      <c r="B2125" s="27" t="s">
        <v>7790</v>
      </c>
      <c r="C2125" s="27" t="s">
        <v>144</v>
      </c>
      <c r="D2125" s="26" t="s">
        <v>7515</v>
      </c>
      <c r="E2125" s="27" t="s">
        <v>7516</v>
      </c>
      <c r="F2125" s="28" t="s">
        <v>146</v>
      </c>
      <c r="G2125" s="27" t="s">
        <v>3537</v>
      </c>
      <c r="H2125" s="27" t="s">
        <v>56</v>
      </c>
      <c r="I2125" s="27" t="s">
        <v>38</v>
      </c>
      <c r="J2125" s="28" t="s">
        <v>913</v>
      </c>
      <c r="K2125" s="27" t="s">
        <v>38</v>
      </c>
      <c r="L2125" s="27"/>
    </row>
    <row r="2126" customFormat="false" ht="15" hidden="false" customHeight="false" outlineLevel="0" collapsed="false">
      <c r="A2126" s="26" t="s">
        <v>7791</v>
      </c>
      <c r="B2126" s="27" t="s">
        <v>7792</v>
      </c>
      <c r="C2126" s="27" t="s">
        <v>144</v>
      </c>
      <c r="D2126" s="26" t="s">
        <v>7793</v>
      </c>
      <c r="E2126" s="27" t="s">
        <v>7794</v>
      </c>
      <c r="F2126" s="28" t="s">
        <v>146</v>
      </c>
      <c r="G2126" s="27" t="s">
        <v>3537</v>
      </c>
      <c r="H2126" s="27" t="s">
        <v>57</v>
      </c>
      <c r="I2126" s="27" t="s">
        <v>41</v>
      </c>
      <c r="J2126" s="28" t="s">
        <v>913</v>
      </c>
      <c r="K2126" s="27" t="s">
        <v>38</v>
      </c>
      <c r="L2126" s="27"/>
    </row>
    <row r="2127" customFormat="false" ht="15" hidden="false" customHeight="false" outlineLevel="0" collapsed="false">
      <c r="A2127" s="26" t="s">
        <v>7795</v>
      </c>
      <c r="B2127" s="27" t="s">
        <v>7796</v>
      </c>
      <c r="C2127" s="27" t="s">
        <v>144</v>
      </c>
      <c r="D2127" s="26" t="s">
        <v>7531</v>
      </c>
      <c r="E2127" s="27" t="s">
        <v>7532</v>
      </c>
      <c r="F2127" s="28" t="s">
        <v>146</v>
      </c>
      <c r="G2127" s="27" t="s">
        <v>3537</v>
      </c>
      <c r="H2127" s="27" t="s">
        <v>56</v>
      </c>
      <c r="I2127" s="27" t="s">
        <v>38</v>
      </c>
      <c r="J2127" s="28" t="s">
        <v>913</v>
      </c>
      <c r="K2127" s="27" t="s">
        <v>38</v>
      </c>
      <c r="L2127" s="27"/>
    </row>
    <row r="2128" customFormat="false" ht="15" hidden="false" customHeight="false" outlineLevel="0" collapsed="false">
      <c r="A2128" s="26" t="s">
        <v>7797</v>
      </c>
      <c r="B2128" s="27" t="s">
        <v>7798</v>
      </c>
      <c r="C2128" s="27" t="s">
        <v>144</v>
      </c>
      <c r="D2128" s="26" t="s">
        <v>7799</v>
      </c>
      <c r="E2128" s="27" t="s">
        <v>7800</v>
      </c>
      <c r="F2128" s="28" t="s">
        <v>146</v>
      </c>
      <c r="G2128" s="27" t="s">
        <v>3537</v>
      </c>
      <c r="H2128" s="27" t="s">
        <v>57</v>
      </c>
      <c r="I2128" s="27" t="s">
        <v>37</v>
      </c>
      <c r="J2128" s="28" t="s">
        <v>913</v>
      </c>
      <c r="K2128" s="27" t="s">
        <v>38</v>
      </c>
      <c r="L2128" s="27"/>
    </row>
    <row r="2129" customFormat="false" ht="15" hidden="false" customHeight="false" outlineLevel="0" collapsed="false">
      <c r="A2129" s="26" t="s">
        <v>7801</v>
      </c>
      <c r="B2129" s="27" t="s">
        <v>7802</v>
      </c>
      <c r="C2129" s="27" t="s">
        <v>144</v>
      </c>
      <c r="D2129" s="26" t="s">
        <v>7803</v>
      </c>
      <c r="E2129" s="27" t="s">
        <v>7804</v>
      </c>
      <c r="F2129" s="28" t="s">
        <v>146</v>
      </c>
      <c r="G2129" s="27" t="s">
        <v>3537</v>
      </c>
      <c r="H2129" s="27" t="s">
        <v>56</v>
      </c>
      <c r="I2129" s="27" t="s">
        <v>38</v>
      </c>
      <c r="J2129" s="28" t="s">
        <v>913</v>
      </c>
      <c r="K2129" s="27" t="s">
        <v>38</v>
      </c>
      <c r="L2129" s="27"/>
    </row>
    <row r="2130" customFormat="false" ht="15" hidden="false" customHeight="false" outlineLevel="0" collapsed="false">
      <c r="A2130" s="26" t="s">
        <v>7805</v>
      </c>
      <c r="B2130" s="27" t="s">
        <v>7806</v>
      </c>
      <c r="C2130" s="27" t="s">
        <v>144</v>
      </c>
      <c r="D2130" s="26" t="s">
        <v>7697</v>
      </c>
      <c r="E2130" s="27" t="s">
        <v>7698</v>
      </c>
      <c r="F2130" s="28" t="s">
        <v>146</v>
      </c>
      <c r="G2130" s="27" t="s">
        <v>3537</v>
      </c>
      <c r="H2130" s="27" t="s">
        <v>56</v>
      </c>
      <c r="I2130" s="27" t="s">
        <v>38</v>
      </c>
      <c r="J2130" s="28" t="s">
        <v>913</v>
      </c>
      <c r="K2130" s="27" t="s">
        <v>38</v>
      </c>
      <c r="L2130" s="27"/>
    </row>
    <row r="2131" customFormat="false" ht="15" hidden="false" customHeight="false" outlineLevel="0" collapsed="false">
      <c r="A2131" s="26" t="s">
        <v>7807</v>
      </c>
      <c r="B2131" s="27" t="s">
        <v>7808</v>
      </c>
      <c r="C2131" s="27" t="s">
        <v>144</v>
      </c>
      <c r="D2131" s="26" t="s">
        <v>3697</v>
      </c>
      <c r="E2131" s="27" t="s">
        <v>3698</v>
      </c>
      <c r="F2131" s="28" t="s">
        <v>146</v>
      </c>
      <c r="G2131" s="27" t="s">
        <v>3537</v>
      </c>
      <c r="H2131" s="27" t="s">
        <v>57</v>
      </c>
      <c r="I2131" s="27" t="s">
        <v>43</v>
      </c>
      <c r="J2131" s="28" t="s">
        <v>913</v>
      </c>
      <c r="K2131" s="27" t="s">
        <v>38</v>
      </c>
      <c r="L2131" s="27"/>
    </row>
    <row r="2132" customFormat="false" ht="15" hidden="false" customHeight="false" outlineLevel="0" collapsed="false">
      <c r="A2132" s="26" t="s">
        <v>7809</v>
      </c>
      <c r="B2132" s="27" t="s">
        <v>7810</v>
      </c>
      <c r="C2132" s="27" t="s">
        <v>144</v>
      </c>
      <c r="D2132" s="26" t="s">
        <v>7811</v>
      </c>
      <c r="E2132" s="27" t="s">
        <v>7812</v>
      </c>
      <c r="F2132" s="28" t="s">
        <v>146</v>
      </c>
      <c r="G2132" s="27" t="s">
        <v>3537</v>
      </c>
      <c r="H2132" s="27" t="s">
        <v>56</v>
      </c>
      <c r="I2132" s="27" t="s">
        <v>38</v>
      </c>
      <c r="J2132" s="28" t="s">
        <v>913</v>
      </c>
      <c r="K2132" s="27" t="s">
        <v>38</v>
      </c>
      <c r="L2132" s="27"/>
    </row>
    <row r="2133" customFormat="false" ht="15" hidden="false" customHeight="false" outlineLevel="0" collapsed="false">
      <c r="A2133" s="26" t="s">
        <v>7813</v>
      </c>
      <c r="B2133" s="27" t="s">
        <v>7814</v>
      </c>
      <c r="C2133" s="27" t="s">
        <v>144</v>
      </c>
      <c r="D2133" s="26" t="s">
        <v>7815</v>
      </c>
      <c r="E2133" s="27" t="s">
        <v>7816</v>
      </c>
      <c r="F2133" s="28" t="s">
        <v>146</v>
      </c>
      <c r="G2133" s="27" t="s">
        <v>3537</v>
      </c>
      <c r="H2133" s="27" t="s">
        <v>56</v>
      </c>
      <c r="I2133" s="27" t="s">
        <v>38</v>
      </c>
      <c r="J2133" s="28" t="s">
        <v>913</v>
      </c>
      <c r="K2133" s="27" t="s">
        <v>38</v>
      </c>
      <c r="L2133" s="27"/>
    </row>
    <row r="2134" customFormat="false" ht="15" hidden="false" customHeight="false" outlineLevel="0" collapsed="false">
      <c r="A2134" s="26" t="s">
        <v>7817</v>
      </c>
      <c r="B2134" s="27" t="s">
        <v>7818</v>
      </c>
      <c r="C2134" s="27" t="s">
        <v>144</v>
      </c>
      <c r="D2134" s="26" t="s">
        <v>7819</v>
      </c>
      <c r="E2134" s="27" t="s">
        <v>7820</v>
      </c>
      <c r="F2134" s="28" t="s">
        <v>146</v>
      </c>
      <c r="G2134" s="27" t="s">
        <v>3537</v>
      </c>
      <c r="H2134" s="27" t="s">
        <v>56</v>
      </c>
      <c r="I2134" s="27" t="s">
        <v>38</v>
      </c>
      <c r="J2134" s="28" t="s">
        <v>913</v>
      </c>
      <c r="K2134" s="27" t="s">
        <v>38</v>
      </c>
      <c r="L2134" s="27"/>
    </row>
    <row r="2135" customFormat="false" ht="15" hidden="false" customHeight="false" outlineLevel="0" collapsed="false">
      <c r="A2135" s="26" t="s">
        <v>7821</v>
      </c>
      <c r="B2135" s="27" t="s">
        <v>7822</v>
      </c>
      <c r="C2135" s="27" t="s">
        <v>144</v>
      </c>
      <c r="D2135" s="26" t="s">
        <v>7823</v>
      </c>
      <c r="E2135" s="27" t="s">
        <v>7824</v>
      </c>
      <c r="F2135" s="28" t="s">
        <v>146</v>
      </c>
      <c r="G2135" s="27" t="s">
        <v>3537</v>
      </c>
      <c r="H2135" s="27" t="s">
        <v>56</v>
      </c>
      <c r="I2135" s="27" t="s">
        <v>38</v>
      </c>
      <c r="J2135" s="28" t="s">
        <v>913</v>
      </c>
      <c r="K2135" s="27" t="s">
        <v>38</v>
      </c>
      <c r="L2135" s="27"/>
    </row>
    <row r="2136" customFormat="false" ht="15" hidden="false" customHeight="false" outlineLevel="0" collapsed="false">
      <c r="A2136" s="26" t="s">
        <v>7825</v>
      </c>
      <c r="B2136" s="27" t="s">
        <v>7826</v>
      </c>
      <c r="C2136" s="27" t="s">
        <v>144</v>
      </c>
      <c r="D2136" s="26" t="s">
        <v>7827</v>
      </c>
      <c r="E2136" s="27" t="s">
        <v>7828</v>
      </c>
      <c r="F2136" s="28" t="s">
        <v>146</v>
      </c>
      <c r="G2136" s="27" t="s">
        <v>3537</v>
      </c>
      <c r="H2136" s="27" t="s">
        <v>56</v>
      </c>
      <c r="I2136" s="27" t="s">
        <v>38</v>
      </c>
      <c r="J2136" s="28" t="s">
        <v>913</v>
      </c>
      <c r="K2136" s="27" t="s">
        <v>38</v>
      </c>
      <c r="L2136" s="27"/>
    </row>
    <row r="2137" customFormat="false" ht="15" hidden="false" customHeight="false" outlineLevel="0" collapsed="false">
      <c r="A2137" s="26" t="s">
        <v>7829</v>
      </c>
      <c r="B2137" s="27" t="s">
        <v>7830</v>
      </c>
      <c r="C2137" s="27" t="s">
        <v>144</v>
      </c>
      <c r="D2137" s="26" t="s">
        <v>7831</v>
      </c>
      <c r="E2137" s="27" t="s">
        <v>7832</v>
      </c>
      <c r="F2137" s="28" t="s">
        <v>146</v>
      </c>
      <c r="G2137" s="27" t="s">
        <v>3537</v>
      </c>
      <c r="H2137" s="27" t="s">
        <v>56</v>
      </c>
      <c r="I2137" s="27" t="s">
        <v>38</v>
      </c>
      <c r="J2137" s="28" t="s">
        <v>913</v>
      </c>
      <c r="K2137" s="27" t="s">
        <v>38</v>
      </c>
      <c r="L2137" s="27"/>
    </row>
    <row r="2138" customFormat="false" ht="15" hidden="false" customHeight="false" outlineLevel="0" collapsed="false">
      <c r="A2138" s="26" t="s">
        <v>7833</v>
      </c>
      <c r="B2138" s="27" t="s">
        <v>7834</v>
      </c>
      <c r="C2138" s="27" t="s">
        <v>144</v>
      </c>
      <c r="D2138" s="26" t="s">
        <v>7835</v>
      </c>
      <c r="E2138" s="27" t="s">
        <v>7836</v>
      </c>
      <c r="F2138" s="28" t="s">
        <v>146</v>
      </c>
      <c r="G2138" s="27" t="s">
        <v>3537</v>
      </c>
      <c r="H2138" s="27" t="s">
        <v>56</v>
      </c>
      <c r="I2138" s="27" t="s">
        <v>38</v>
      </c>
      <c r="J2138" s="28" t="s">
        <v>913</v>
      </c>
      <c r="K2138" s="27" t="s">
        <v>38</v>
      </c>
      <c r="L2138" s="27"/>
    </row>
    <row r="2139" customFormat="false" ht="15" hidden="false" customHeight="false" outlineLevel="0" collapsed="false">
      <c r="A2139" s="26" t="s">
        <v>7837</v>
      </c>
      <c r="B2139" s="27" t="s">
        <v>7838</v>
      </c>
      <c r="C2139" s="27" t="s">
        <v>144</v>
      </c>
      <c r="D2139" s="26" t="s">
        <v>7839</v>
      </c>
      <c r="E2139" s="27" t="s">
        <v>7840</v>
      </c>
      <c r="F2139" s="28" t="s">
        <v>146</v>
      </c>
      <c r="G2139" s="27" t="s">
        <v>3537</v>
      </c>
      <c r="H2139" s="27" t="s">
        <v>56</v>
      </c>
      <c r="I2139" s="27" t="s">
        <v>38</v>
      </c>
      <c r="J2139" s="28" t="s">
        <v>913</v>
      </c>
      <c r="K2139" s="27" t="s">
        <v>38</v>
      </c>
      <c r="L2139" s="27"/>
    </row>
    <row r="2140" customFormat="false" ht="15" hidden="false" customHeight="false" outlineLevel="0" collapsed="false">
      <c r="A2140" s="26" t="s">
        <v>7841</v>
      </c>
      <c r="B2140" s="27" t="s">
        <v>7842</v>
      </c>
      <c r="C2140" s="27" t="s">
        <v>144</v>
      </c>
      <c r="D2140" s="26" t="s">
        <v>7843</v>
      </c>
      <c r="E2140" s="27" t="s">
        <v>7844</v>
      </c>
      <c r="F2140" s="28" t="s">
        <v>146</v>
      </c>
      <c r="G2140" s="27" t="s">
        <v>3537</v>
      </c>
      <c r="H2140" s="27" t="s">
        <v>56</v>
      </c>
      <c r="I2140" s="27" t="s">
        <v>38</v>
      </c>
      <c r="J2140" s="28" t="s">
        <v>913</v>
      </c>
      <c r="K2140" s="27" t="s">
        <v>38</v>
      </c>
      <c r="L2140" s="27"/>
    </row>
    <row r="2141" customFormat="false" ht="15" hidden="false" customHeight="false" outlineLevel="0" collapsed="false">
      <c r="A2141" s="26" t="s">
        <v>7845</v>
      </c>
      <c r="B2141" s="27" t="s">
        <v>7846</v>
      </c>
      <c r="C2141" s="27" t="s">
        <v>144</v>
      </c>
      <c r="D2141" s="26" t="s">
        <v>7847</v>
      </c>
      <c r="E2141" s="27" t="s">
        <v>7848</v>
      </c>
      <c r="F2141" s="28" t="s">
        <v>146</v>
      </c>
      <c r="G2141" s="27" t="s">
        <v>3537</v>
      </c>
      <c r="H2141" s="27" t="s">
        <v>56</v>
      </c>
      <c r="I2141" s="27" t="s">
        <v>38</v>
      </c>
      <c r="J2141" s="28" t="s">
        <v>913</v>
      </c>
      <c r="K2141" s="27" t="s">
        <v>38</v>
      </c>
      <c r="L2141" s="27"/>
    </row>
    <row r="2142" customFormat="false" ht="15" hidden="false" customHeight="false" outlineLevel="0" collapsed="false">
      <c r="A2142" s="26" t="s">
        <v>7849</v>
      </c>
      <c r="B2142" s="27" t="s">
        <v>7850</v>
      </c>
      <c r="C2142" s="27" t="s">
        <v>144</v>
      </c>
      <c r="D2142" s="26" t="s">
        <v>7851</v>
      </c>
      <c r="E2142" s="27" t="s">
        <v>7852</v>
      </c>
      <c r="F2142" s="28" t="s">
        <v>146</v>
      </c>
      <c r="G2142" s="27" t="s">
        <v>3537</v>
      </c>
      <c r="H2142" s="27" t="s">
        <v>56</v>
      </c>
      <c r="I2142" s="27" t="s">
        <v>38</v>
      </c>
      <c r="J2142" s="28" t="s">
        <v>913</v>
      </c>
      <c r="K2142" s="27" t="s">
        <v>38</v>
      </c>
      <c r="L2142" s="27"/>
    </row>
    <row r="2143" customFormat="false" ht="15" hidden="false" customHeight="false" outlineLevel="0" collapsed="false">
      <c r="A2143" s="26" t="s">
        <v>7853</v>
      </c>
      <c r="B2143" s="27" t="s">
        <v>7854</v>
      </c>
      <c r="C2143" s="27" t="s">
        <v>144</v>
      </c>
      <c r="D2143" s="26" t="s">
        <v>7855</v>
      </c>
      <c r="E2143" s="27" t="s">
        <v>7856</v>
      </c>
      <c r="F2143" s="28" t="s">
        <v>146</v>
      </c>
      <c r="G2143" s="27" t="s">
        <v>3537</v>
      </c>
      <c r="H2143" s="27" t="s">
        <v>56</v>
      </c>
      <c r="I2143" s="27" t="s">
        <v>38</v>
      </c>
      <c r="J2143" s="28" t="s">
        <v>913</v>
      </c>
      <c r="K2143" s="27" t="s">
        <v>38</v>
      </c>
      <c r="L2143" s="27"/>
    </row>
    <row r="2144" customFormat="false" ht="15" hidden="false" customHeight="false" outlineLevel="0" collapsed="false">
      <c r="A2144" s="26" t="s">
        <v>7857</v>
      </c>
      <c r="B2144" s="27" t="s">
        <v>7858</v>
      </c>
      <c r="C2144" s="27" t="s">
        <v>144</v>
      </c>
      <c r="D2144" s="26" t="s">
        <v>7859</v>
      </c>
      <c r="E2144" s="27" t="s">
        <v>7860</v>
      </c>
      <c r="F2144" s="28" t="s">
        <v>146</v>
      </c>
      <c r="G2144" s="27" t="s">
        <v>3537</v>
      </c>
      <c r="H2144" s="27" t="s">
        <v>56</v>
      </c>
      <c r="I2144" s="27" t="s">
        <v>38</v>
      </c>
      <c r="J2144" s="28" t="s">
        <v>913</v>
      </c>
      <c r="K2144" s="27" t="s">
        <v>38</v>
      </c>
      <c r="L2144" s="27"/>
    </row>
    <row r="2145" customFormat="false" ht="15" hidden="false" customHeight="false" outlineLevel="0" collapsed="false">
      <c r="A2145" s="26" t="s">
        <v>7861</v>
      </c>
      <c r="B2145" s="27" t="s">
        <v>7862</v>
      </c>
      <c r="C2145" s="27" t="s">
        <v>144</v>
      </c>
      <c r="D2145" s="26" t="s">
        <v>7863</v>
      </c>
      <c r="E2145" s="27" t="s">
        <v>7864</v>
      </c>
      <c r="F2145" s="28" t="s">
        <v>146</v>
      </c>
      <c r="G2145" s="27" t="s">
        <v>3537</v>
      </c>
      <c r="H2145" s="27" t="s">
        <v>56</v>
      </c>
      <c r="I2145" s="27" t="s">
        <v>38</v>
      </c>
      <c r="J2145" s="28" t="s">
        <v>913</v>
      </c>
      <c r="K2145" s="27" t="s">
        <v>38</v>
      </c>
      <c r="L2145" s="27"/>
    </row>
    <row r="2146" customFormat="false" ht="15" hidden="false" customHeight="false" outlineLevel="0" collapsed="false">
      <c r="A2146" s="26" t="s">
        <v>7865</v>
      </c>
      <c r="B2146" s="27" t="s">
        <v>7866</v>
      </c>
      <c r="C2146" s="27" t="s">
        <v>144</v>
      </c>
      <c r="D2146" s="26" t="s">
        <v>7839</v>
      </c>
      <c r="E2146" s="27" t="s">
        <v>7840</v>
      </c>
      <c r="F2146" s="28" t="s">
        <v>146</v>
      </c>
      <c r="G2146" s="27" t="s">
        <v>3537</v>
      </c>
      <c r="H2146" s="27" t="s">
        <v>56</v>
      </c>
      <c r="I2146" s="27" t="s">
        <v>38</v>
      </c>
      <c r="J2146" s="28" t="s">
        <v>913</v>
      </c>
      <c r="K2146" s="27" t="s">
        <v>38</v>
      </c>
      <c r="L2146" s="27"/>
    </row>
    <row r="2147" customFormat="false" ht="15" hidden="false" customHeight="false" outlineLevel="0" collapsed="false">
      <c r="A2147" s="26" t="s">
        <v>7867</v>
      </c>
      <c r="B2147" s="27" t="s">
        <v>7868</v>
      </c>
      <c r="C2147" s="27" t="s">
        <v>144</v>
      </c>
      <c r="D2147" s="26" t="s">
        <v>7843</v>
      </c>
      <c r="E2147" s="27" t="s">
        <v>7844</v>
      </c>
      <c r="F2147" s="28" t="s">
        <v>146</v>
      </c>
      <c r="G2147" s="27" t="s">
        <v>3537</v>
      </c>
      <c r="H2147" s="27" t="s">
        <v>56</v>
      </c>
      <c r="I2147" s="27" t="s">
        <v>38</v>
      </c>
      <c r="J2147" s="28" t="s">
        <v>913</v>
      </c>
      <c r="K2147" s="27" t="s">
        <v>38</v>
      </c>
      <c r="L2147" s="27"/>
    </row>
    <row r="2148" customFormat="false" ht="15" hidden="false" customHeight="false" outlineLevel="0" collapsed="false">
      <c r="A2148" s="26" t="s">
        <v>7869</v>
      </c>
      <c r="B2148" s="27" t="s">
        <v>7870</v>
      </c>
      <c r="C2148" s="27" t="s">
        <v>144</v>
      </c>
      <c r="D2148" s="26" t="s">
        <v>7835</v>
      </c>
      <c r="E2148" s="27" t="s">
        <v>7836</v>
      </c>
      <c r="F2148" s="28" t="s">
        <v>146</v>
      </c>
      <c r="G2148" s="27" t="s">
        <v>3537</v>
      </c>
      <c r="H2148" s="27" t="s">
        <v>56</v>
      </c>
      <c r="I2148" s="27" t="s">
        <v>38</v>
      </c>
      <c r="J2148" s="28" t="s">
        <v>913</v>
      </c>
      <c r="K2148" s="27" t="s">
        <v>38</v>
      </c>
      <c r="L2148" s="27"/>
    </row>
    <row r="2149" customFormat="false" ht="15" hidden="false" customHeight="false" outlineLevel="0" collapsed="false">
      <c r="A2149" s="26" t="s">
        <v>7871</v>
      </c>
      <c r="B2149" s="27" t="s">
        <v>7872</v>
      </c>
      <c r="C2149" s="27" t="s">
        <v>144</v>
      </c>
      <c r="D2149" s="26" t="s">
        <v>7873</v>
      </c>
      <c r="E2149" s="27" t="s">
        <v>7874</v>
      </c>
      <c r="F2149" s="28" t="s">
        <v>146</v>
      </c>
      <c r="G2149" s="27" t="s">
        <v>3537</v>
      </c>
      <c r="H2149" s="27" t="s">
        <v>56</v>
      </c>
      <c r="I2149" s="27" t="s">
        <v>38</v>
      </c>
      <c r="J2149" s="28" t="s">
        <v>913</v>
      </c>
      <c r="K2149" s="27" t="s">
        <v>38</v>
      </c>
      <c r="L2149" s="27"/>
    </row>
    <row r="2150" customFormat="false" ht="15" hidden="false" customHeight="false" outlineLevel="0" collapsed="false">
      <c r="A2150" s="26" t="s">
        <v>7875</v>
      </c>
      <c r="B2150" s="27" t="s">
        <v>7876</v>
      </c>
      <c r="C2150" s="27" t="s">
        <v>144</v>
      </c>
      <c r="D2150" s="26" t="s">
        <v>7877</v>
      </c>
      <c r="E2150" s="27" t="s">
        <v>7878</v>
      </c>
      <c r="F2150" s="28" t="s">
        <v>146</v>
      </c>
      <c r="G2150" s="27" t="s">
        <v>3537</v>
      </c>
      <c r="H2150" s="27" t="s">
        <v>56</v>
      </c>
      <c r="I2150" s="27" t="s">
        <v>38</v>
      </c>
      <c r="J2150" s="28" t="s">
        <v>913</v>
      </c>
      <c r="K2150" s="27" t="s">
        <v>38</v>
      </c>
      <c r="L2150" s="27"/>
    </row>
    <row r="2151" customFormat="false" ht="15" hidden="false" customHeight="false" outlineLevel="0" collapsed="false">
      <c r="A2151" s="26" t="s">
        <v>7879</v>
      </c>
      <c r="B2151" s="27" t="s">
        <v>7880</v>
      </c>
      <c r="C2151" s="27" t="s">
        <v>144</v>
      </c>
      <c r="D2151" s="26" t="s">
        <v>7881</v>
      </c>
      <c r="E2151" s="27" t="s">
        <v>7882</v>
      </c>
      <c r="F2151" s="28" t="s">
        <v>146</v>
      </c>
      <c r="G2151" s="27" t="s">
        <v>3537</v>
      </c>
      <c r="H2151" s="27" t="s">
        <v>56</v>
      </c>
      <c r="I2151" s="27" t="s">
        <v>38</v>
      </c>
      <c r="J2151" s="28" t="s">
        <v>913</v>
      </c>
      <c r="K2151" s="27" t="s">
        <v>38</v>
      </c>
      <c r="L2151" s="27"/>
    </row>
    <row r="2152" customFormat="false" ht="15" hidden="false" customHeight="false" outlineLevel="0" collapsed="false">
      <c r="A2152" s="26" t="s">
        <v>7883</v>
      </c>
      <c r="B2152" s="27" t="s">
        <v>7884</v>
      </c>
      <c r="C2152" s="27" t="s">
        <v>144</v>
      </c>
      <c r="D2152" s="26" t="s">
        <v>7885</v>
      </c>
      <c r="E2152" s="27" t="s">
        <v>7886</v>
      </c>
      <c r="F2152" s="28" t="s">
        <v>146</v>
      </c>
      <c r="G2152" s="27" t="s">
        <v>3537</v>
      </c>
      <c r="H2152" s="27" t="s">
        <v>56</v>
      </c>
      <c r="I2152" s="27" t="s">
        <v>38</v>
      </c>
      <c r="J2152" s="28" t="s">
        <v>913</v>
      </c>
      <c r="K2152" s="27" t="s">
        <v>38</v>
      </c>
      <c r="L2152" s="27"/>
    </row>
    <row r="2153" customFormat="false" ht="15" hidden="false" customHeight="false" outlineLevel="0" collapsed="false">
      <c r="A2153" s="26" t="s">
        <v>7887</v>
      </c>
      <c r="B2153" s="27" t="s">
        <v>7888</v>
      </c>
      <c r="C2153" s="27" t="s">
        <v>144</v>
      </c>
      <c r="D2153" s="26" t="s">
        <v>7863</v>
      </c>
      <c r="E2153" s="27" t="s">
        <v>7864</v>
      </c>
      <c r="F2153" s="28" t="s">
        <v>146</v>
      </c>
      <c r="G2153" s="27" t="s">
        <v>3537</v>
      </c>
      <c r="H2153" s="27" t="s">
        <v>56</v>
      </c>
      <c r="I2153" s="27" t="s">
        <v>38</v>
      </c>
      <c r="J2153" s="28" t="s">
        <v>913</v>
      </c>
      <c r="K2153" s="27" t="s">
        <v>38</v>
      </c>
      <c r="L2153" s="27"/>
    </row>
    <row r="2154" customFormat="false" ht="15" hidden="false" customHeight="false" outlineLevel="0" collapsed="false">
      <c r="A2154" s="26" t="s">
        <v>7889</v>
      </c>
      <c r="B2154" s="27" t="s">
        <v>7890</v>
      </c>
      <c r="C2154" s="27" t="s">
        <v>144</v>
      </c>
      <c r="D2154" s="26" t="s">
        <v>7891</v>
      </c>
      <c r="E2154" s="27" t="s">
        <v>7892</v>
      </c>
      <c r="F2154" s="28" t="s">
        <v>146</v>
      </c>
      <c r="G2154" s="27" t="s">
        <v>3537</v>
      </c>
      <c r="H2154" s="27" t="s">
        <v>56</v>
      </c>
      <c r="I2154" s="27" t="s">
        <v>38</v>
      </c>
      <c r="J2154" s="28" t="s">
        <v>913</v>
      </c>
      <c r="K2154" s="27" t="s">
        <v>38</v>
      </c>
      <c r="L2154" s="27"/>
    </row>
    <row r="2155" customFormat="false" ht="15" hidden="false" customHeight="false" outlineLevel="0" collapsed="false">
      <c r="A2155" s="26" t="s">
        <v>7893</v>
      </c>
      <c r="B2155" s="27" t="s">
        <v>7894</v>
      </c>
      <c r="C2155" s="27" t="s">
        <v>144</v>
      </c>
      <c r="D2155" s="26" t="s">
        <v>7895</v>
      </c>
      <c r="E2155" s="27" t="s">
        <v>7896</v>
      </c>
      <c r="F2155" s="28" t="s">
        <v>146</v>
      </c>
      <c r="G2155" s="27" t="s">
        <v>3537</v>
      </c>
      <c r="H2155" s="27" t="s">
        <v>56</v>
      </c>
      <c r="I2155" s="27" t="s">
        <v>38</v>
      </c>
      <c r="J2155" s="28" t="s">
        <v>913</v>
      </c>
      <c r="K2155" s="27" t="s">
        <v>38</v>
      </c>
      <c r="L2155" s="27"/>
    </row>
    <row r="2156" customFormat="false" ht="15" hidden="false" customHeight="false" outlineLevel="0" collapsed="false">
      <c r="A2156" s="26" t="s">
        <v>7897</v>
      </c>
      <c r="B2156" s="27" t="s">
        <v>7898</v>
      </c>
      <c r="C2156" s="27" t="s">
        <v>144</v>
      </c>
      <c r="D2156" s="26" t="s">
        <v>7895</v>
      </c>
      <c r="E2156" s="27" t="s">
        <v>7896</v>
      </c>
      <c r="F2156" s="28" t="s">
        <v>146</v>
      </c>
      <c r="G2156" s="27" t="s">
        <v>3537</v>
      </c>
      <c r="H2156" s="27" t="s">
        <v>56</v>
      </c>
      <c r="I2156" s="27" t="s">
        <v>38</v>
      </c>
      <c r="J2156" s="28" t="s">
        <v>913</v>
      </c>
      <c r="K2156" s="27" t="s">
        <v>38</v>
      </c>
      <c r="L2156" s="27"/>
    </row>
    <row r="2157" customFormat="false" ht="15" hidden="false" customHeight="false" outlineLevel="0" collapsed="false">
      <c r="A2157" s="26" t="s">
        <v>7899</v>
      </c>
      <c r="B2157" s="27" t="s">
        <v>7900</v>
      </c>
      <c r="C2157" s="27" t="s">
        <v>144</v>
      </c>
      <c r="D2157" s="26" t="s">
        <v>7873</v>
      </c>
      <c r="E2157" s="27" t="s">
        <v>7874</v>
      </c>
      <c r="F2157" s="28" t="s">
        <v>146</v>
      </c>
      <c r="G2157" s="27" t="s">
        <v>3537</v>
      </c>
      <c r="H2157" s="27" t="s">
        <v>56</v>
      </c>
      <c r="I2157" s="27" t="s">
        <v>38</v>
      </c>
      <c r="J2157" s="28" t="s">
        <v>913</v>
      </c>
      <c r="K2157" s="27" t="s">
        <v>38</v>
      </c>
      <c r="L2157" s="27"/>
    </row>
    <row r="2158" customFormat="false" ht="15" hidden="false" customHeight="false" outlineLevel="0" collapsed="false">
      <c r="A2158" s="26" t="s">
        <v>7901</v>
      </c>
      <c r="B2158" s="27" t="s">
        <v>7902</v>
      </c>
      <c r="C2158" s="27" t="s">
        <v>144</v>
      </c>
      <c r="D2158" s="26" t="s">
        <v>7903</v>
      </c>
      <c r="E2158" s="27" t="s">
        <v>7904</v>
      </c>
      <c r="F2158" s="28" t="s">
        <v>146</v>
      </c>
      <c r="G2158" s="27" t="s">
        <v>3537</v>
      </c>
      <c r="H2158" s="27" t="s">
        <v>56</v>
      </c>
      <c r="I2158" s="27" t="s">
        <v>38</v>
      </c>
      <c r="J2158" s="28" t="s">
        <v>913</v>
      </c>
      <c r="K2158" s="27" t="s">
        <v>38</v>
      </c>
      <c r="L2158" s="27"/>
    </row>
    <row r="2159" customFormat="false" ht="15" hidden="false" customHeight="false" outlineLevel="0" collapsed="false">
      <c r="A2159" s="26" t="s">
        <v>7905</v>
      </c>
      <c r="B2159" s="27" t="s">
        <v>7906</v>
      </c>
      <c r="C2159" s="27" t="s">
        <v>144</v>
      </c>
      <c r="D2159" s="26" t="s">
        <v>7907</v>
      </c>
      <c r="E2159" s="27" t="s">
        <v>7908</v>
      </c>
      <c r="F2159" s="28" t="s">
        <v>146</v>
      </c>
      <c r="G2159" s="27" t="s">
        <v>3537</v>
      </c>
      <c r="H2159" s="27" t="s">
        <v>56</v>
      </c>
      <c r="I2159" s="27" t="s">
        <v>38</v>
      </c>
      <c r="J2159" s="28" t="s">
        <v>913</v>
      </c>
      <c r="K2159" s="27" t="s">
        <v>38</v>
      </c>
      <c r="L2159" s="27"/>
    </row>
    <row r="2160" customFormat="false" ht="15" hidden="false" customHeight="false" outlineLevel="0" collapsed="false">
      <c r="A2160" s="26" t="s">
        <v>7909</v>
      </c>
      <c r="B2160" s="27" t="s">
        <v>7910</v>
      </c>
      <c r="C2160" s="27" t="s">
        <v>144</v>
      </c>
      <c r="D2160" s="26" t="s">
        <v>7911</v>
      </c>
      <c r="E2160" s="27" t="s">
        <v>7912</v>
      </c>
      <c r="F2160" s="28" t="s">
        <v>146</v>
      </c>
      <c r="G2160" s="27" t="s">
        <v>3537</v>
      </c>
      <c r="H2160" s="27" t="s">
        <v>56</v>
      </c>
      <c r="I2160" s="27" t="s">
        <v>38</v>
      </c>
      <c r="J2160" s="28" t="s">
        <v>913</v>
      </c>
      <c r="K2160" s="27" t="s">
        <v>38</v>
      </c>
      <c r="L2160" s="27"/>
    </row>
    <row r="2161" customFormat="false" ht="15" hidden="false" customHeight="false" outlineLevel="0" collapsed="false">
      <c r="A2161" s="26" t="s">
        <v>7913</v>
      </c>
      <c r="B2161" s="27" t="s">
        <v>7914</v>
      </c>
      <c r="C2161" s="27" t="s">
        <v>144</v>
      </c>
      <c r="D2161" s="26" t="s">
        <v>7915</v>
      </c>
      <c r="E2161" s="27" t="s">
        <v>7916</v>
      </c>
      <c r="F2161" s="28" t="s">
        <v>146</v>
      </c>
      <c r="G2161" s="27" t="s">
        <v>3537</v>
      </c>
      <c r="H2161" s="27" t="s">
        <v>56</v>
      </c>
      <c r="I2161" s="27" t="s">
        <v>38</v>
      </c>
      <c r="J2161" s="28" t="s">
        <v>913</v>
      </c>
      <c r="K2161" s="27" t="s">
        <v>38</v>
      </c>
      <c r="L2161" s="27"/>
    </row>
    <row r="2162" customFormat="false" ht="15" hidden="false" customHeight="false" outlineLevel="0" collapsed="false">
      <c r="A2162" s="26" t="s">
        <v>7917</v>
      </c>
      <c r="B2162" s="27" t="s">
        <v>7918</v>
      </c>
      <c r="C2162" s="27" t="s">
        <v>144</v>
      </c>
      <c r="D2162" s="26" t="s">
        <v>7919</v>
      </c>
      <c r="E2162" s="27" t="s">
        <v>7920</v>
      </c>
      <c r="F2162" s="28" t="s">
        <v>146</v>
      </c>
      <c r="G2162" s="27" t="s">
        <v>3537</v>
      </c>
      <c r="H2162" s="27" t="s">
        <v>56</v>
      </c>
      <c r="I2162" s="27" t="s">
        <v>38</v>
      </c>
      <c r="J2162" s="28" t="s">
        <v>913</v>
      </c>
      <c r="K2162" s="27" t="s">
        <v>38</v>
      </c>
      <c r="L2162" s="27"/>
    </row>
    <row r="2163" customFormat="false" ht="15" hidden="false" customHeight="false" outlineLevel="0" collapsed="false">
      <c r="A2163" s="26" t="s">
        <v>7921</v>
      </c>
      <c r="B2163" s="27" t="s">
        <v>7922</v>
      </c>
      <c r="C2163" s="27" t="s">
        <v>144</v>
      </c>
      <c r="D2163" s="26" t="s">
        <v>7923</v>
      </c>
      <c r="E2163" s="27" t="s">
        <v>7924</v>
      </c>
      <c r="F2163" s="28" t="s">
        <v>146</v>
      </c>
      <c r="G2163" s="27" t="s">
        <v>3537</v>
      </c>
      <c r="H2163" s="27" t="s">
        <v>57</v>
      </c>
      <c r="I2163" s="27" t="s">
        <v>41</v>
      </c>
      <c r="J2163" s="28" t="s">
        <v>913</v>
      </c>
      <c r="K2163" s="27" t="s">
        <v>38</v>
      </c>
      <c r="L2163" s="27"/>
    </row>
    <row r="2164" customFormat="false" ht="15" hidden="false" customHeight="false" outlineLevel="0" collapsed="false">
      <c r="A2164" s="26" t="s">
        <v>7925</v>
      </c>
      <c r="B2164" s="27" t="s">
        <v>7926</v>
      </c>
      <c r="C2164" s="27" t="s">
        <v>144</v>
      </c>
      <c r="D2164" s="26" t="s">
        <v>7927</v>
      </c>
      <c r="E2164" s="27" t="s">
        <v>7928</v>
      </c>
      <c r="F2164" s="28" t="s">
        <v>146</v>
      </c>
      <c r="G2164" s="27" t="s">
        <v>3537</v>
      </c>
      <c r="H2164" s="27" t="s">
        <v>57</v>
      </c>
      <c r="I2164" s="27" t="s">
        <v>41</v>
      </c>
      <c r="J2164" s="28" t="s">
        <v>913</v>
      </c>
      <c r="K2164" s="27" t="s">
        <v>38</v>
      </c>
      <c r="L2164" s="27"/>
    </row>
    <row r="2165" customFormat="false" ht="15" hidden="false" customHeight="false" outlineLevel="0" collapsed="false">
      <c r="A2165" s="26" t="s">
        <v>7929</v>
      </c>
      <c r="B2165" s="27" t="s">
        <v>7930</v>
      </c>
      <c r="C2165" s="27" t="s">
        <v>144</v>
      </c>
      <c r="D2165" s="26" t="s">
        <v>7931</v>
      </c>
      <c r="E2165" s="27" t="s">
        <v>7932</v>
      </c>
      <c r="F2165" s="28" t="s">
        <v>146</v>
      </c>
      <c r="G2165" s="27" t="s">
        <v>3537</v>
      </c>
      <c r="H2165" s="27" t="s">
        <v>56</v>
      </c>
      <c r="I2165" s="27" t="s">
        <v>38</v>
      </c>
      <c r="J2165" s="28" t="s">
        <v>913</v>
      </c>
      <c r="K2165" s="27" t="s">
        <v>38</v>
      </c>
      <c r="L2165" s="27"/>
    </row>
    <row r="2166" customFormat="false" ht="15" hidden="false" customHeight="false" outlineLevel="0" collapsed="false">
      <c r="A2166" s="26" t="s">
        <v>7933</v>
      </c>
      <c r="B2166" s="27" t="s">
        <v>7934</v>
      </c>
      <c r="C2166" s="27" t="s">
        <v>144</v>
      </c>
      <c r="D2166" s="26" t="s">
        <v>7935</v>
      </c>
      <c r="E2166" s="27" t="s">
        <v>7936</v>
      </c>
      <c r="F2166" s="28" t="s">
        <v>146</v>
      </c>
      <c r="G2166" s="27" t="s">
        <v>3537</v>
      </c>
      <c r="H2166" s="27" t="s">
        <v>56</v>
      </c>
      <c r="I2166" s="27" t="s">
        <v>38</v>
      </c>
      <c r="J2166" s="28" t="s">
        <v>913</v>
      </c>
      <c r="K2166" s="27" t="s">
        <v>38</v>
      </c>
      <c r="L2166" s="27"/>
    </row>
    <row r="2167" customFormat="false" ht="15" hidden="false" customHeight="false" outlineLevel="0" collapsed="false">
      <c r="A2167" s="26" t="s">
        <v>7937</v>
      </c>
      <c r="B2167" s="27" t="s">
        <v>7938</v>
      </c>
      <c r="C2167" s="27" t="s">
        <v>144</v>
      </c>
      <c r="D2167" s="26" t="s">
        <v>7939</v>
      </c>
      <c r="E2167" s="27" t="s">
        <v>7940</v>
      </c>
      <c r="F2167" s="28" t="s">
        <v>146</v>
      </c>
      <c r="G2167" s="27" t="s">
        <v>3537</v>
      </c>
      <c r="H2167" s="27" t="s">
        <v>56</v>
      </c>
      <c r="I2167" s="27" t="s">
        <v>38</v>
      </c>
      <c r="J2167" s="28" t="s">
        <v>913</v>
      </c>
      <c r="K2167" s="27" t="s">
        <v>38</v>
      </c>
      <c r="L2167" s="27"/>
    </row>
    <row r="2168" customFormat="false" ht="15" hidden="false" customHeight="false" outlineLevel="0" collapsed="false">
      <c r="A2168" s="26" t="s">
        <v>7941</v>
      </c>
      <c r="B2168" s="27" t="s">
        <v>7942</v>
      </c>
      <c r="C2168" s="27" t="s">
        <v>144</v>
      </c>
      <c r="D2168" s="26" t="s">
        <v>7943</v>
      </c>
      <c r="E2168" s="27" t="s">
        <v>7944</v>
      </c>
      <c r="F2168" s="28" t="s">
        <v>146</v>
      </c>
      <c r="G2168" s="27" t="s">
        <v>3537</v>
      </c>
      <c r="H2168" s="27" t="s">
        <v>56</v>
      </c>
      <c r="I2168" s="27" t="s">
        <v>38</v>
      </c>
      <c r="J2168" s="28" t="s">
        <v>913</v>
      </c>
      <c r="K2168" s="27" t="s">
        <v>38</v>
      </c>
      <c r="L2168" s="27"/>
    </row>
    <row r="2169" customFormat="false" ht="15" hidden="false" customHeight="false" outlineLevel="0" collapsed="false">
      <c r="A2169" s="26" t="s">
        <v>7945</v>
      </c>
      <c r="B2169" s="27" t="s">
        <v>7946</v>
      </c>
      <c r="C2169" s="27" t="s">
        <v>144</v>
      </c>
      <c r="D2169" s="26" t="s">
        <v>7947</v>
      </c>
      <c r="E2169" s="27" t="s">
        <v>7948</v>
      </c>
      <c r="F2169" s="28" t="s">
        <v>146</v>
      </c>
      <c r="G2169" s="27" t="s">
        <v>3537</v>
      </c>
      <c r="H2169" s="27" t="s">
        <v>56</v>
      </c>
      <c r="I2169" s="27" t="s">
        <v>38</v>
      </c>
      <c r="J2169" s="28" t="s">
        <v>913</v>
      </c>
      <c r="K2169" s="27" t="s">
        <v>38</v>
      </c>
      <c r="L2169" s="27"/>
    </row>
    <row r="2170" customFormat="false" ht="15" hidden="false" customHeight="false" outlineLevel="0" collapsed="false">
      <c r="A2170" s="26" t="s">
        <v>7949</v>
      </c>
      <c r="B2170" s="27" t="s">
        <v>7950</v>
      </c>
      <c r="C2170" s="27" t="s">
        <v>144</v>
      </c>
      <c r="D2170" s="26" t="s">
        <v>7939</v>
      </c>
      <c r="E2170" s="27" t="s">
        <v>7940</v>
      </c>
      <c r="F2170" s="28" t="s">
        <v>146</v>
      </c>
      <c r="G2170" s="27" t="s">
        <v>3537</v>
      </c>
      <c r="H2170" s="27" t="s">
        <v>56</v>
      </c>
      <c r="I2170" s="27" t="s">
        <v>38</v>
      </c>
      <c r="J2170" s="28" t="s">
        <v>913</v>
      </c>
      <c r="K2170" s="27" t="s">
        <v>38</v>
      </c>
      <c r="L2170" s="27"/>
    </row>
    <row r="2171" customFormat="false" ht="15" hidden="false" customHeight="false" outlineLevel="0" collapsed="false">
      <c r="A2171" s="26" t="s">
        <v>7951</v>
      </c>
      <c r="B2171" s="27" t="s">
        <v>7952</v>
      </c>
      <c r="C2171" s="27" t="s">
        <v>144</v>
      </c>
      <c r="D2171" s="26" t="s">
        <v>7953</v>
      </c>
      <c r="E2171" s="27" t="s">
        <v>7954</v>
      </c>
      <c r="F2171" s="28" t="s">
        <v>146</v>
      </c>
      <c r="G2171" s="27" t="s">
        <v>3537</v>
      </c>
      <c r="H2171" s="27" t="s">
        <v>56</v>
      </c>
      <c r="I2171" s="27" t="s">
        <v>38</v>
      </c>
      <c r="J2171" s="28" t="s">
        <v>913</v>
      </c>
      <c r="K2171" s="27" t="s">
        <v>38</v>
      </c>
      <c r="L2171" s="27"/>
    </row>
    <row r="2172" customFormat="false" ht="15" hidden="false" customHeight="false" outlineLevel="0" collapsed="false">
      <c r="A2172" s="26" t="s">
        <v>7955</v>
      </c>
      <c r="B2172" s="27" t="s">
        <v>7956</v>
      </c>
      <c r="C2172" s="27" t="s">
        <v>144</v>
      </c>
      <c r="D2172" s="26" t="s">
        <v>7957</v>
      </c>
      <c r="E2172" s="27" t="s">
        <v>7958</v>
      </c>
      <c r="F2172" s="28" t="s">
        <v>146</v>
      </c>
      <c r="G2172" s="27" t="s">
        <v>3537</v>
      </c>
      <c r="H2172" s="27" t="s">
        <v>56</v>
      </c>
      <c r="I2172" s="27" t="s">
        <v>38</v>
      </c>
      <c r="J2172" s="28" t="s">
        <v>913</v>
      </c>
      <c r="K2172" s="27" t="s">
        <v>38</v>
      </c>
      <c r="L2172" s="27"/>
    </row>
    <row r="2173" customFormat="false" ht="15" hidden="false" customHeight="false" outlineLevel="0" collapsed="false">
      <c r="A2173" s="26" t="s">
        <v>7959</v>
      </c>
      <c r="B2173" s="27" t="s">
        <v>7960</v>
      </c>
      <c r="C2173" s="27" t="s">
        <v>144</v>
      </c>
      <c r="D2173" s="26" t="s">
        <v>7847</v>
      </c>
      <c r="E2173" s="27" t="s">
        <v>7848</v>
      </c>
      <c r="F2173" s="28" t="s">
        <v>146</v>
      </c>
      <c r="G2173" s="27" t="s">
        <v>3537</v>
      </c>
      <c r="H2173" s="27" t="s">
        <v>56</v>
      </c>
      <c r="I2173" s="27" t="s">
        <v>38</v>
      </c>
      <c r="J2173" s="28" t="s">
        <v>913</v>
      </c>
      <c r="K2173" s="27" t="s">
        <v>38</v>
      </c>
      <c r="L2173" s="27"/>
    </row>
    <row r="2174" customFormat="false" ht="15" hidden="false" customHeight="false" outlineLevel="0" collapsed="false">
      <c r="A2174" s="26" t="s">
        <v>7961</v>
      </c>
      <c r="B2174" s="27" t="s">
        <v>7962</v>
      </c>
      <c r="C2174" s="27" t="s">
        <v>144</v>
      </c>
      <c r="D2174" s="26" t="s">
        <v>7963</v>
      </c>
      <c r="E2174" s="27" t="s">
        <v>7964</v>
      </c>
      <c r="F2174" s="28" t="s">
        <v>146</v>
      </c>
      <c r="G2174" s="27" t="s">
        <v>3537</v>
      </c>
      <c r="H2174" s="27" t="s">
        <v>56</v>
      </c>
      <c r="I2174" s="27" t="s">
        <v>38</v>
      </c>
      <c r="J2174" s="28" t="s">
        <v>913</v>
      </c>
      <c r="K2174" s="27" t="s">
        <v>38</v>
      </c>
      <c r="L2174" s="27"/>
    </row>
    <row r="2175" customFormat="false" ht="15" hidden="false" customHeight="false" outlineLevel="0" collapsed="false">
      <c r="A2175" s="26" t="s">
        <v>7965</v>
      </c>
      <c r="B2175" s="27" t="s">
        <v>7966</v>
      </c>
      <c r="C2175" s="27" t="s">
        <v>144</v>
      </c>
      <c r="D2175" s="26" t="s">
        <v>7967</v>
      </c>
      <c r="E2175" s="27" t="s">
        <v>7968</v>
      </c>
      <c r="F2175" s="28" t="s">
        <v>146</v>
      </c>
      <c r="G2175" s="27" t="s">
        <v>3537</v>
      </c>
      <c r="H2175" s="27" t="s">
        <v>56</v>
      </c>
      <c r="I2175" s="27" t="s">
        <v>38</v>
      </c>
      <c r="J2175" s="28" t="s">
        <v>913</v>
      </c>
      <c r="K2175" s="27" t="s">
        <v>38</v>
      </c>
      <c r="L2175" s="27"/>
    </row>
    <row r="2176" customFormat="false" ht="15" hidden="false" customHeight="false" outlineLevel="0" collapsed="false">
      <c r="A2176" s="26" t="s">
        <v>7969</v>
      </c>
      <c r="B2176" s="27" t="s">
        <v>7970</v>
      </c>
      <c r="C2176" s="27" t="s">
        <v>144</v>
      </c>
      <c r="D2176" s="26" t="s">
        <v>7851</v>
      </c>
      <c r="E2176" s="27" t="s">
        <v>7852</v>
      </c>
      <c r="F2176" s="28" t="s">
        <v>146</v>
      </c>
      <c r="G2176" s="27" t="s">
        <v>3537</v>
      </c>
      <c r="H2176" s="27" t="s">
        <v>56</v>
      </c>
      <c r="I2176" s="27" t="s">
        <v>38</v>
      </c>
      <c r="J2176" s="28" t="s">
        <v>913</v>
      </c>
      <c r="K2176" s="27" t="s">
        <v>38</v>
      </c>
      <c r="L2176" s="27"/>
    </row>
    <row r="2177" customFormat="false" ht="15" hidden="false" customHeight="false" outlineLevel="0" collapsed="false">
      <c r="A2177" s="26" t="s">
        <v>7971</v>
      </c>
      <c r="B2177" s="27" t="s">
        <v>7972</v>
      </c>
      <c r="C2177" s="27" t="s">
        <v>144</v>
      </c>
      <c r="D2177" s="26" t="s">
        <v>7973</v>
      </c>
      <c r="E2177" s="27" t="s">
        <v>7974</v>
      </c>
      <c r="F2177" s="28" t="s">
        <v>146</v>
      </c>
      <c r="G2177" s="27" t="s">
        <v>3537</v>
      </c>
      <c r="H2177" s="27" t="s">
        <v>56</v>
      </c>
      <c r="I2177" s="27" t="s">
        <v>38</v>
      </c>
      <c r="J2177" s="28" t="s">
        <v>913</v>
      </c>
      <c r="K2177" s="27" t="s">
        <v>38</v>
      </c>
      <c r="L2177" s="27"/>
    </row>
    <row r="2178" customFormat="false" ht="15" hidden="false" customHeight="false" outlineLevel="0" collapsed="false">
      <c r="A2178" s="26" t="s">
        <v>7975</v>
      </c>
      <c r="B2178" s="27" t="s">
        <v>7976</v>
      </c>
      <c r="C2178" s="27" t="s">
        <v>144</v>
      </c>
      <c r="D2178" s="26" t="s">
        <v>7977</v>
      </c>
      <c r="E2178" s="27" t="s">
        <v>7978</v>
      </c>
      <c r="F2178" s="28" t="s">
        <v>146</v>
      </c>
      <c r="G2178" s="27" t="s">
        <v>3537</v>
      </c>
      <c r="H2178" s="27" t="s">
        <v>56</v>
      </c>
      <c r="I2178" s="27" t="s">
        <v>38</v>
      </c>
      <c r="J2178" s="28" t="s">
        <v>913</v>
      </c>
      <c r="K2178" s="27" t="s">
        <v>38</v>
      </c>
      <c r="L2178" s="27"/>
    </row>
    <row r="2179" customFormat="false" ht="15" hidden="false" customHeight="false" outlineLevel="0" collapsed="false">
      <c r="A2179" s="26" t="s">
        <v>7979</v>
      </c>
      <c r="B2179" s="27" t="s">
        <v>7980</v>
      </c>
      <c r="C2179" s="27" t="s">
        <v>144</v>
      </c>
      <c r="D2179" s="26" t="s">
        <v>7981</v>
      </c>
      <c r="E2179" s="27" t="s">
        <v>7982</v>
      </c>
      <c r="F2179" s="28" t="s">
        <v>146</v>
      </c>
      <c r="G2179" s="27" t="s">
        <v>3537</v>
      </c>
      <c r="H2179" s="27" t="s">
        <v>56</v>
      </c>
      <c r="I2179" s="27" t="s">
        <v>38</v>
      </c>
      <c r="J2179" s="28" t="s">
        <v>913</v>
      </c>
      <c r="K2179" s="27" t="s">
        <v>38</v>
      </c>
      <c r="L2179" s="27"/>
    </row>
    <row r="2180" customFormat="false" ht="15" hidden="false" customHeight="false" outlineLevel="0" collapsed="false">
      <c r="A2180" s="26" t="s">
        <v>7983</v>
      </c>
      <c r="B2180" s="27" t="s">
        <v>7984</v>
      </c>
      <c r="C2180" s="27" t="s">
        <v>144</v>
      </c>
      <c r="D2180" s="26" t="s">
        <v>7985</v>
      </c>
      <c r="E2180" s="27" t="s">
        <v>7986</v>
      </c>
      <c r="F2180" s="28" t="s">
        <v>146</v>
      </c>
      <c r="G2180" s="27" t="s">
        <v>3537</v>
      </c>
      <c r="H2180" s="27" t="s">
        <v>56</v>
      </c>
      <c r="I2180" s="27" t="s">
        <v>38</v>
      </c>
      <c r="J2180" s="28" t="s">
        <v>913</v>
      </c>
      <c r="K2180" s="27" t="s">
        <v>38</v>
      </c>
      <c r="L2180" s="27"/>
    </row>
    <row r="2181" customFormat="false" ht="15" hidden="false" customHeight="false" outlineLevel="0" collapsed="false">
      <c r="A2181" s="26" t="s">
        <v>7987</v>
      </c>
      <c r="B2181" s="27" t="s">
        <v>7988</v>
      </c>
      <c r="C2181" s="27" t="s">
        <v>144</v>
      </c>
      <c r="D2181" s="26" t="s">
        <v>7989</v>
      </c>
      <c r="E2181" s="27" t="s">
        <v>7990</v>
      </c>
      <c r="F2181" s="28" t="s">
        <v>146</v>
      </c>
      <c r="G2181" s="27" t="s">
        <v>3537</v>
      </c>
      <c r="H2181" s="27" t="s">
        <v>56</v>
      </c>
      <c r="I2181" s="27" t="s">
        <v>38</v>
      </c>
      <c r="J2181" s="28" t="s">
        <v>913</v>
      </c>
      <c r="K2181" s="27" t="s">
        <v>38</v>
      </c>
      <c r="L2181" s="27"/>
    </row>
    <row r="2182" customFormat="false" ht="15" hidden="false" customHeight="false" outlineLevel="0" collapsed="false">
      <c r="A2182" s="26" t="s">
        <v>7991</v>
      </c>
      <c r="B2182" s="27" t="s">
        <v>7992</v>
      </c>
      <c r="C2182" s="27" t="s">
        <v>144</v>
      </c>
      <c r="D2182" s="26" t="s">
        <v>7993</v>
      </c>
      <c r="E2182" s="27" t="s">
        <v>7994</v>
      </c>
      <c r="F2182" s="28" t="s">
        <v>146</v>
      </c>
      <c r="G2182" s="27" t="s">
        <v>3537</v>
      </c>
      <c r="H2182" s="27" t="s">
        <v>57</v>
      </c>
      <c r="I2182" s="27" t="s">
        <v>4159</v>
      </c>
      <c r="J2182" s="28" t="s">
        <v>913</v>
      </c>
      <c r="K2182" s="27" t="s">
        <v>38</v>
      </c>
      <c r="L2182" s="27"/>
    </row>
    <row r="2183" customFormat="false" ht="15" hidden="false" customHeight="false" outlineLevel="0" collapsed="false">
      <c r="A2183" s="26" t="s">
        <v>7995</v>
      </c>
      <c r="B2183" s="27" t="s">
        <v>7996</v>
      </c>
      <c r="C2183" s="27" t="s">
        <v>144</v>
      </c>
      <c r="D2183" s="26" t="s">
        <v>7997</v>
      </c>
      <c r="E2183" s="27" t="s">
        <v>7998</v>
      </c>
      <c r="F2183" s="28" t="s">
        <v>146</v>
      </c>
      <c r="G2183" s="27" t="s">
        <v>3537</v>
      </c>
      <c r="H2183" s="27" t="s">
        <v>57</v>
      </c>
      <c r="I2183" s="27" t="s">
        <v>4159</v>
      </c>
      <c r="J2183" s="28" t="s">
        <v>913</v>
      </c>
      <c r="K2183" s="27" t="s">
        <v>38</v>
      </c>
      <c r="L2183" s="27"/>
    </row>
    <row r="2184" customFormat="false" ht="15" hidden="false" customHeight="false" outlineLevel="0" collapsed="false">
      <c r="A2184" s="26" t="s">
        <v>7999</v>
      </c>
      <c r="B2184" s="27" t="s">
        <v>8000</v>
      </c>
      <c r="C2184" s="27" t="s">
        <v>144</v>
      </c>
      <c r="D2184" s="26" t="s">
        <v>8001</v>
      </c>
      <c r="E2184" s="27" t="s">
        <v>8002</v>
      </c>
      <c r="F2184" s="28" t="s">
        <v>146</v>
      </c>
      <c r="G2184" s="27" t="s">
        <v>3537</v>
      </c>
      <c r="H2184" s="27" t="s">
        <v>57</v>
      </c>
      <c r="I2184" s="27" t="s">
        <v>4159</v>
      </c>
      <c r="J2184" s="28" t="s">
        <v>913</v>
      </c>
      <c r="K2184" s="27" t="s">
        <v>38</v>
      </c>
      <c r="L2184" s="27"/>
    </row>
    <row r="2185" customFormat="false" ht="15" hidden="false" customHeight="false" outlineLevel="0" collapsed="false">
      <c r="A2185" s="26" t="s">
        <v>8003</v>
      </c>
      <c r="B2185" s="27" t="s">
        <v>8004</v>
      </c>
      <c r="C2185" s="27" t="s">
        <v>144</v>
      </c>
      <c r="D2185" s="26" t="s">
        <v>8005</v>
      </c>
      <c r="E2185" s="27" t="s">
        <v>8006</v>
      </c>
      <c r="F2185" s="28" t="s">
        <v>146</v>
      </c>
      <c r="G2185" s="27" t="s">
        <v>3537</v>
      </c>
      <c r="H2185" s="27" t="s">
        <v>57</v>
      </c>
      <c r="I2185" s="27" t="s">
        <v>40</v>
      </c>
      <c r="J2185" s="28" t="s">
        <v>913</v>
      </c>
      <c r="K2185" s="27" t="s">
        <v>38</v>
      </c>
      <c r="L2185" s="27"/>
    </row>
    <row r="2186" customFormat="false" ht="15" hidden="false" customHeight="false" outlineLevel="0" collapsed="false">
      <c r="A2186" s="26" t="s">
        <v>8007</v>
      </c>
      <c r="B2186" s="27" t="s">
        <v>8008</v>
      </c>
      <c r="C2186" s="27" t="s">
        <v>144</v>
      </c>
      <c r="D2186" s="26" t="s">
        <v>8009</v>
      </c>
      <c r="E2186" s="27" t="s">
        <v>8010</v>
      </c>
      <c r="F2186" s="28" t="s">
        <v>146</v>
      </c>
      <c r="G2186" s="27" t="s">
        <v>3537</v>
      </c>
      <c r="H2186" s="27" t="s">
        <v>57</v>
      </c>
      <c r="I2186" s="27" t="s">
        <v>4159</v>
      </c>
      <c r="J2186" s="28" t="s">
        <v>913</v>
      </c>
      <c r="K2186" s="27" t="s">
        <v>38</v>
      </c>
      <c r="L2186" s="27"/>
    </row>
    <row r="2187" customFormat="false" ht="15" hidden="false" customHeight="false" outlineLevel="0" collapsed="false">
      <c r="A2187" s="26" t="s">
        <v>8011</v>
      </c>
      <c r="B2187" s="27" t="s">
        <v>8012</v>
      </c>
      <c r="C2187" s="27" t="s">
        <v>144</v>
      </c>
      <c r="D2187" s="26" t="s">
        <v>7923</v>
      </c>
      <c r="E2187" s="27" t="s">
        <v>7924</v>
      </c>
      <c r="F2187" s="28" t="s">
        <v>146</v>
      </c>
      <c r="G2187" s="27" t="s">
        <v>3537</v>
      </c>
      <c r="H2187" s="27" t="s">
        <v>57</v>
      </c>
      <c r="I2187" s="27" t="s">
        <v>41</v>
      </c>
      <c r="J2187" s="28" t="s">
        <v>913</v>
      </c>
      <c r="K2187" s="27" t="s">
        <v>38</v>
      </c>
      <c r="L2187" s="27"/>
    </row>
    <row r="2188" customFormat="false" ht="15" hidden="false" customHeight="false" outlineLevel="0" collapsed="false">
      <c r="A2188" s="26" t="s">
        <v>8013</v>
      </c>
      <c r="B2188" s="27" t="s">
        <v>8014</v>
      </c>
      <c r="C2188" s="27" t="s">
        <v>144</v>
      </c>
      <c r="D2188" s="26" t="s">
        <v>7923</v>
      </c>
      <c r="E2188" s="27" t="s">
        <v>7924</v>
      </c>
      <c r="F2188" s="28" t="s">
        <v>146</v>
      </c>
      <c r="G2188" s="27" t="s">
        <v>3537</v>
      </c>
      <c r="H2188" s="27" t="s">
        <v>57</v>
      </c>
      <c r="I2188" s="27" t="s">
        <v>41</v>
      </c>
      <c r="J2188" s="28" t="s">
        <v>913</v>
      </c>
      <c r="K2188" s="27" t="s">
        <v>38</v>
      </c>
      <c r="L2188" s="27"/>
    </row>
    <row r="2189" customFormat="false" ht="15" hidden="false" customHeight="false" outlineLevel="0" collapsed="false">
      <c r="A2189" s="26" t="s">
        <v>8015</v>
      </c>
      <c r="B2189" s="27" t="s">
        <v>8016</v>
      </c>
      <c r="C2189" s="27" t="s">
        <v>144</v>
      </c>
      <c r="D2189" s="26" t="s">
        <v>7927</v>
      </c>
      <c r="E2189" s="27" t="s">
        <v>7928</v>
      </c>
      <c r="F2189" s="28" t="s">
        <v>146</v>
      </c>
      <c r="G2189" s="27" t="s">
        <v>3537</v>
      </c>
      <c r="H2189" s="27" t="s">
        <v>57</v>
      </c>
      <c r="I2189" s="27" t="s">
        <v>41</v>
      </c>
      <c r="J2189" s="28" t="s">
        <v>913</v>
      </c>
      <c r="K2189" s="27" t="s">
        <v>38</v>
      </c>
      <c r="L2189" s="27"/>
    </row>
    <row r="2190" customFormat="false" ht="15" hidden="false" customHeight="false" outlineLevel="0" collapsed="false">
      <c r="A2190" s="26" t="s">
        <v>8017</v>
      </c>
      <c r="B2190" s="27" t="s">
        <v>8018</v>
      </c>
      <c r="C2190" s="27" t="s">
        <v>144</v>
      </c>
      <c r="D2190" s="26" t="s">
        <v>8019</v>
      </c>
      <c r="E2190" s="27" t="s">
        <v>8020</v>
      </c>
      <c r="F2190" s="28" t="s">
        <v>146</v>
      </c>
      <c r="G2190" s="27" t="s">
        <v>3537</v>
      </c>
      <c r="H2190" s="27" t="s">
        <v>56</v>
      </c>
      <c r="I2190" s="27" t="s">
        <v>38</v>
      </c>
      <c r="J2190" s="28" t="s">
        <v>913</v>
      </c>
      <c r="K2190" s="27" t="s">
        <v>38</v>
      </c>
      <c r="L2190" s="27"/>
    </row>
    <row r="2191" customFormat="false" ht="15" hidden="false" customHeight="false" outlineLevel="0" collapsed="false">
      <c r="A2191" s="26" t="s">
        <v>8021</v>
      </c>
      <c r="B2191" s="27" t="s">
        <v>8022</v>
      </c>
      <c r="C2191" s="27" t="s">
        <v>144</v>
      </c>
      <c r="D2191" s="26" t="s">
        <v>8023</v>
      </c>
      <c r="E2191" s="27" t="s">
        <v>8024</v>
      </c>
      <c r="F2191" s="28" t="s">
        <v>146</v>
      </c>
      <c r="G2191" s="27" t="s">
        <v>3537</v>
      </c>
      <c r="H2191" s="27" t="s">
        <v>56</v>
      </c>
      <c r="I2191" s="27" t="s">
        <v>38</v>
      </c>
      <c r="J2191" s="28" t="s">
        <v>913</v>
      </c>
      <c r="K2191" s="27" t="s">
        <v>38</v>
      </c>
      <c r="L2191" s="27"/>
    </row>
    <row r="2192" customFormat="false" ht="15" hidden="false" customHeight="false" outlineLevel="0" collapsed="false">
      <c r="A2192" s="26" t="s">
        <v>8025</v>
      </c>
      <c r="B2192" s="27" t="s">
        <v>8026</v>
      </c>
      <c r="C2192" s="27" t="s">
        <v>144</v>
      </c>
      <c r="D2192" s="26" t="s">
        <v>8027</v>
      </c>
      <c r="E2192" s="27" t="s">
        <v>8028</v>
      </c>
      <c r="F2192" s="28" t="s">
        <v>146</v>
      </c>
      <c r="G2192" s="27" t="s">
        <v>3537</v>
      </c>
      <c r="H2192" s="27" t="s">
        <v>56</v>
      </c>
      <c r="I2192" s="27" t="s">
        <v>38</v>
      </c>
      <c r="J2192" s="28" t="s">
        <v>913</v>
      </c>
      <c r="K2192" s="27" t="s">
        <v>38</v>
      </c>
      <c r="L2192" s="27"/>
    </row>
    <row r="2193" customFormat="false" ht="15" hidden="false" customHeight="false" outlineLevel="0" collapsed="false">
      <c r="A2193" s="26" t="s">
        <v>8029</v>
      </c>
      <c r="B2193" s="27" t="s">
        <v>8030</v>
      </c>
      <c r="C2193" s="27" t="s">
        <v>144</v>
      </c>
      <c r="D2193" s="26" t="s">
        <v>8031</v>
      </c>
      <c r="E2193" s="27" t="s">
        <v>8032</v>
      </c>
      <c r="F2193" s="28" t="s">
        <v>146</v>
      </c>
      <c r="G2193" s="27" t="s">
        <v>3537</v>
      </c>
      <c r="H2193" s="27" t="s">
        <v>56</v>
      </c>
      <c r="I2193" s="27" t="s">
        <v>38</v>
      </c>
      <c r="J2193" s="28" t="s">
        <v>913</v>
      </c>
      <c r="K2193" s="27" t="s">
        <v>38</v>
      </c>
      <c r="L2193" s="27"/>
    </row>
    <row r="2194" customFormat="false" ht="15" hidden="false" customHeight="false" outlineLevel="0" collapsed="false">
      <c r="A2194" s="26" t="s">
        <v>8033</v>
      </c>
      <c r="B2194" s="27" t="s">
        <v>8034</v>
      </c>
      <c r="C2194" s="27" t="s">
        <v>144</v>
      </c>
      <c r="D2194" s="26" t="s">
        <v>8035</v>
      </c>
      <c r="E2194" s="27" t="s">
        <v>8036</v>
      </c>
      <c r="F2194" s="28" t="s">
        <v>146</v>
      </c>
      <c r="G2194" s="27" t="s">
        <v>3537</v>
      </c>
      <c r="H2194" s="27" t="s">
        <v>56</v>
      </c>
      <c r="I2194" s="27" t="s">
        <v>38</v>
      </c>
      <c r="J2194" s="28" t="s">
        <v>913</v>
      </c>
      <c r="K2194" s="27" t="s">
        <v>38</v>
      </c>
      <c r="L2194" s="27"/>
    </row>
    <row r="2195" customFormat="false" ht="15" hidden="false" customHeight="false" outlineLevel="0" collapsed="false">
      <c r="A2195" s="26" t="s">
        <v>8037</v>
      </c>
      <c r="B2195" s="27" t="s">
        <v>8038</v>
      </c>
      <c r="C2195" s="27" t="s">
        <v>144</v>
      </c>
      <c r="D2195" s="26" t="s">
        <v>8039</v>
      </c>
      <c r="E2195" s="27" t="s">
        <v>8040</v>
      </c>
      <c r="F2195" s="28" t="s">
        <v>146</v>
      </c>
      <c r="G2195" s="27" t="s">
        <v>3537</v>
      </c>
      <c r="H2195" s="27" t="s">
        <v>56</v>
      </c>
      <c r="I2195" s="27" t="s">
        <v>38</v>
      </c>
      <c r="J2195" s="28" t="s">
        <v>913</v>
      </c>
      <c r="K2195" s="27" t="s">
        <v>38</v>
      </c>
      <c r="L2195" s="27"/>
    </row>
    <row r="2196" customFormat="false" ht="15" hidden="false" customHeight="false" outlineLevel="0" collapsed="false">
      <c r="A2196" s="26" t="s">
        <v>8041</v>
      </c>
      <c r="B2196" s="27" t="s">
        <v>8042</v>
      </c>
      <c r="C2196" s="27" t="s">
        <v>144</v>
      </c>
      <c r="D2196" s="26" t="s">
        <v>8043</v>
      </c>
      <c r="E2196" s="27" t="s">
        <v>8044</v>
      </c>
      <c r="F2196" s="28" t="s">
        <v>146</v>
      </c>
      <c r="G2196" s="27" t="s">
        <v>3537</v>
      </c>
      <c r="H2196" s="27" t="s">
        <v>56</v>
      </c>
      <c r="I2196" s="27" t="s">
        <v>38</v>
      </c>
      <c r="J2196" s="28" t="s">
        <v>913</v>
      </c>
      <c r="K2196" s="27" t="s">
        <v>38</v>
      </c>
      <c r="L2196" s="27"/>
    </row>
    <row r="2197" customFormat="false" ht="15" hidden="false" customHeight="false" outlineLevel="0" collapsed="false">
      <c r="A2197" s="26" t="s">
        <v>8045</v>
      </c>
      <c r="B2197" s="27" t="s">
        <v>8046</v>
      </c>
      <c r="C2197" s="27" t="s">
        <v>144</v>
      </c>
      <c r="D2197" s="26" t="s">
        <v>8047</v>
      </c>
      <c r="E2197" s="27" t="s">
        <v>8048</v>
      </c>
      <c r="F2197" s="28" t="s">
        <v>146</v>
      </c>
      <c r="G2197" s="27" t="s">
        <v>3537</v>
      </c>
      <c r="H2197" s="27" t="s">
        <v>56</v>
      </c>
      <c r="I2197" s="27" t="s">
        <v>38</v>
      </c>
      <c r="J2197" s="28" t="s">
        <v>913</v>
      </c>
      <c r="K2197" s="27" t="s">
        <v>38</v>
      </c>
      <c r="L2197" s="27"/>
    </row>
    <row r="2198" customFormat="false" ht="15" hidden="false" customHeight="false" outlineLevel="0" collapsed="false">
      <c r="A2198" s="26" t="s">
        <v>8049</v>
      </c>
      <c r="B2198" s="27" t="s">
        <v>8050</v>
      </c>
      <c r="C2198" s="27" t="s">
        <v>144</v>
      </c>
      <c r="D2198" s="26" t="s">
        <v>8039</v>
      </c>
      <c r="E2198" s="27" t="s">
        <v>8040</v>
      </c>
      <c r="F2198" s="28" t="s">
        <v>146</v>
      </c>
      <c r="G2198" s="27" t="s">
        <v>3537</v>
      </c>
      <c r="H2198" s="27" t="s">
        <v>56</v>
      </c>
      <c r="I2198" s="27" t="s">
        <v>38</v>
      </c>
      <c r="J2198" s="28" t="s">
        <v>913</v>
      </c>
      <c r="K2198" s="27" t="s">
        <v>38</v>
      </c>
      <c r="L2198" s="27"/>
    </row>
    <row r="2199" customFormat="false" ht="15" hidden="false" customHeight="false" outlineLevel="0" collapsed="false">
      <c r="A2199" s="26" t="s">
        <v>8051</v>
      </c>
      <c r="B2199" s="27" t="s">
        <v>8052</v>
      </c>
      <c r="C2199" s="27" t="s">
        <v>144</v>
      </c>
      <c r="D2199" s="26" t="s">
        <v>8053</v>
      </c>
      <c r="E2199" s="27" t="s">
        <v>8054</v>
      </c>
      <c r="F2199" s="28" t="s">
        <v>146</v>
      </c>
      <c r="G2199" s="27" t="s">
        <v>3537</v>
      </c>
      <c r="H2199" s="27" t="s">
        <v>56</v>
      </c>
      <c r="I2199" s="27" t="s">
        <v>38</v>
      </c>
      <c r="J2199" s="28" t="s">
        <v>913</v>
      </c>
      <c r="K2199" s="27" t="s">
        <v>38</v>
      </c>
      <c r="L2199" s="27"/>
    </row>
    <row r="2200" customFormat="false" ht="15" hidden="false" customHeight="false" outlineLevel="0" collapsed="false">
      <c r="A2200" s="26" t="s">
        <v>8055</v>
      </c>
      <c r="B2200" s="27" t="s">
        <v>8056</v>
      </c>
      <c r="C2200" s="27" t="s">
        <v>144</v>
      </c>
      <c r="D2200" s="26" t="s">
        <v>8057</v>
      </c>
      <c r="E2200" s="27" t="s">
        <v>8058</v>
      </c>
      <c r="F2200" s="28" t="s">
        <v>146</v>
      </c>
      <c r="G2200" s="27" t="s">
        <v>3537</v>
      </c>
      <c r="H2200" s="27" t="s">
        <v>56</v>
      </c>
      <c r="I2200" s="27" t="s">
        <v>38</v>
      </c>
      <c r="J2200" s="28" t="s">
        <v>913</v>
      </c>
      <c r="K2200" s="27" t="s">
        <v>38</v>
      </c>
      <c r="L2200" s="27"/>
    </row>
    <row r="2201" customFormat="false" ht="15" hidden="false" customHeight="false" outlineLevel="0" collapsed="false">
      <c r="A2201" s="26" t="s">
        <v>8059</v>
      </c>
      <c r="B2201" s="27" t="s">
        <v>8060</v>
      </c>
      <c r="C2201" s="27" t="s">
        <v>144</v>
      </c>
      <c r="D2201" s="26" t="s">
        <v>8061</v>
      </c>
      <c r="E2201" s="27" t="s">
        <v>8062</v>
      </c>
      <c r="F2201" s="28" t="s">
        <v>146</v>
      </c>
      <c r="G2201" s="27" t="s">
        <v>3537</v>
      </c>
      <c r="H2201" s="27" t="s">
        <v>56</v>
      </c>
      <c r="I2201" s="27" t="s">
        <v>38</v>
      </c>
      <c r="J2201" s="28" t="s">
        <v>913</v>
      </c>
      <c r="K2201" s="27" t="s">
        <v>38</v>
      </c>
      <c r="L2201" s="27"/>
    </row>
    <row r="2202" customFormat="false" ht="15" hidden="false" customHeight="false" outlineLevel="0" collapsed="false">
      <c r="A2202" s="26" t="s">
        <v>8063</v>
      </c>
      <c r="B2202" s="27" t="s">
        <v>8064</v>
      </c>
      <c r="C2202" s="27" t="s">
        <v>144</v>
      </c>
      <c r="D2202" s="26" t="s">
        <v>8023</v>
      </c>
      <c r="E2202" s="27" t="s">
        <v>8024</v>
      </c>
      <c r="F2202" s="28" t="s">
        <v>146</v>
      </c>
      <c r="G2202" s="27" t="s">
        <v>3537</v>
      </c>
      <c r="H2202" s="27" t="s">
        <v>56</v>
      </c>
      <c r="I2202" s="27" t="s">
        <v>38</v>
      </c>
      <c r="J2202" s="28" t="s">
        <v>913</v>
      </c>
      <c r="K2202" s="27" t="s">
        <v>38</v>
      </c>
      <c r="L2202" s="27"/>
    </row>
    <row r="2203" customFormat="false" ht="15" hidden="false" customHeight="false" outlineLevel="0" collapsed="false">
      <c r="A2203" s="26" t="s">
        <v>8065</v>
      </c>
      <c r="B2203" s="27" t="s">
        <v>8066</v>
      </c>
      <c r="C2203" s="27" t="s">
        <v>144</v>
      </c>
      <c r="D2203" s="26" t="s">
        <v>8067</v>
      </c>
      <c r="E2203" s="27" t="s">
        <v>8068</v>
      </c>
      <c r="F2203" s="28" t="s">
        <v>146</v>
      </c>
      <c r="G2203" s="27" t="s">
        <v>3537</v>
      </c>
      <c r="H2203" s="27" t="s">
        <v>56</v>
      </c>
      <c r="I2203" s="27" t="s">
        <v>38</v>
      </c>
      <c r="J2203" s="28" t="s">
        <v>913</v>
      </c>
      <c r="K2203" s="27" t="s">
        <v>38</v>
      </c>
      <c r="L2203" s="27"/>
    </row>
    <row r="2204" customFormat="false" ht="15" hidden="false" customHeight="false" outlineLevel="0" collapsed="false">
      <c r="A2204" s="26" t="s">
        <v>8069</v>
      </c>
      <c r="B2204" s="27" t="s">
        <v>8070</v>
      </c>
      <c r="C2204" s="27" t="s">
        <v>144</v>
      </c>
      <c r="D2204" s="26" t="s">
        <v>8071</v>
      </c>
      <c r="E2204" s="27" t="s">
        <v>8072</v>
      </c>
      <c r="F2204" s="28" t="s">
        <v>146</v>
      </c>
      <c r="G2204" s="27" t="s">
        <v>3537</v>
      </c>
      <c r="H2204" s="27" t="s">
        <v>56</v>
      </c>
      <c r="I2204" s="27" t="s">
        <v>38</v>
      </c>
      <c r="J2204" s="28" t="s">
        <v>913</v>
      </c>
      <c r="K2204" s="27" t="s">
        <v>38</v>
      </c>
      <c r="L2204" s="27"/>
    </row>
    <row r="2205" customFormat="false" ht="15" hidden="false" customHeight="false" outlineLevel="0" collapsed="false">
      <c r="A2205" s="26" t="s">
        <v>8073</v>
      </c>
      <c r="B2205" s="27" t="s">
        <v>8074</v>
      </c>
      <c r="C2205" s="27" t="s">
        <v>144</v>
      </c>
      <c r="D2205" s="26" t="s">
        <v>8061</v>
      </c>
      <c r="E2205" s="27" t="s">
        <v>8062</v>
      </c>
      <c r="F2205" s="28" t="s">
        <v>146</v>
      </c>
      <c r="G2205" s="27" t="s">
        <v>3537</v>
      </c>
      <c r="H2205" s="27" t="s">
        <v>56</v>
      </c>
      <c r="I2205" s="27" t="s">
        <v>38</v>
      </c>
      <c r="J2205" s="28" t="s">
        <v>913</v>
      </c>
      <c r="K2205" s="27" t="s">
        <v>38</v>
      </c>
      <c r="L2205" s="27"/>
    </row>
    <row r="2206" customFormat="false" ht="15" hidden="false" customHeight="false" outlineLevel="0" collapsed="false">
      <c r="A2206" s="26" t="s">
        <v>8075</v>
      </c>
      <c r="B2206" s="27" t="s">
        <v>8076</v>
      </c>
      <c r="C2206" s="27" t="s">
        <v>144</v>
      </c>
      <c r="D2206" s="26" t="s">
        <v>8077</v>
      </c>
      <c r="E2206" s="27" t="s">
        <v>8078</v>
      </c>
      <c r="F2206" s="28" t="s">
        <v>146</v>
      </c>
      <c r="G2206" s="27" t="s">
        <v>3537</v>
      </c>
      <c r="H2206" s="27" t="s">
        <v>56</v>
      </c>
      <c r="I2206" s="27" t="s">
        <v>38</v>
      </c>
      <c r="J2206" s="28" t="s">
        <v>913</v>
      </c>
      <c r="K2206" s="27" t="s">
        <v>38</v>
      </c>
      <c r="L2206" s="27"/>
    </row>
    <row r="2207" customFormat="false" ht="15" hidden="false" customHeight="false" outlineLevel="0" collapsed="false">
      <c r="A2207" s="26" t="s">
        <v>8079</v>
      </c>
      <c r="B2207" s="27" t="s">
        <v>8080</v>
      </c>
      <c r="C2207" s="27" t="s">
        <v>144</v>
      </c>
      <c r="D2207" s="26" t="s">
        <v>8031</v>
      </c>
      <c r="E2207" s="27" t="s">
        <v>8032</v>
      </c>
      <c r="F2207" s="28" t="s">
        <v>146</v>
      </c>
      <c r="G2207" s="27" t="s">
        <v>3537</v>
      </c>
      <c r="H2207" s="27" t="s">
        <v>56</v>
      </c>
      <c r="I2207" s="27" t="s">
        <v>38</v>
      </c>
      <c r="J2207" s="28" t="s">
        <v>913</v>
      </c>
      <c r="K2207" s="27" t="s">
        <v>38</v>
      </c>
      <c r="L2207" s="27"/>
    </row>
    <row r="2208" customFormat="false" ht="15" hidden="false" customHeight="false" outlineLevel="0" collapsed="false">
      <c r="A2208" s="26" t="s">
        <v>8081</v>
      </c>
      <c r="B2208" s="27" t="s">
        <v>8082</v>
      </c>
      <c r="C2208" s="27" t="s">
        <v>144</v>
      </c>
      <c r="D2208" s="26" t="s">
        <v>8031</v>
      </c>
      <c r="E2208" s="27" t="s">
        <v>8032</v>
      </c>
      <c r="F2208" s="28" t="s">
        <v>146</v>
      </c>
      <c r="G2208" s="27" t="s">
        <v>3537</v>
      </c>
      <c r="H2208" s="27" t="s">
        <v>56</v>
      </c>
      <c r="I2208" s="27" t="s">
        <v>38</v>
      </c>
      <c r="J2208" s="28" t="s">
        <v>913</v>
      </c>
      <c r="K2208" s="27" t="s">
        <v>38</v>
      </c>
      <c r="L2208" s="27"/>
    </row>
    <row r="2209" customFormat="false" ht="15" hidden="false" customHeight="false" outlineLevel="0" collapsed="false">
      <c r="A2209" s="26" t="s">
        <v>8083</v>
      </c>
      <c r="B2209" s="27" t="s">
        <v>8084</v>
      </c>
      <c r="C2209" s="27" t="s">
        <v>144</v>
      </c>
      <c r="D2209" s="26" t="s">
        <v>8085</v>
      </c>
      <c r="E2209" s="27" t="s">
        <v>8086</v>
      </c>
      <c r="F2209" s="28" t="s">
        <v>146</v>
      </c>
      <c r="G2209" s="27" t="s">
        <v>3537</v>
      </c>
      <c r="H2209" s="27" t="s">
        <v>56</v>
      </c>
      <c r="I2209" s="27" t="s">
        <v>38</v>
      </c>
      <c r="J2209" s="28" t="s">
        <v>913</v>
      </c>
      <c r="K2209" s="27" t="s">
        <v>38</v>
      </c>
      <c r="L2209" s="27"/>
    </row>
    <row r="2210" customFormat="false" ht="15" hidden="false" customHeight="false" outlineLevel="0" collapsed="false">
      <c r="A2210" s="26" t="s">
        <v>8087</v>
      </c>
      <c r="B2210" s="27" t="s">
        <v>8088</v>
      </c>
      <c r="C2210" s="27" t="s">
        <v>144</v>
      </c>
      <c r="D2210" s="26" t="s">
        <v>8089</v>
      </c>
      <c r="E2210" s="27" t="s">
        <v>8090</v>
      </c>
      <c r="F2210" s="28" t="s">
        <v>146</v>
      </c>
      <c r="G2210" s="27" t="s">
        <v>3537</v>
      </c>
      <c r="H2210" s="27" t="s">
        <v>56</v>
      </c>
      <c r="I2210" s="27" t="s">
        <v>38</v>
      </c>
      <c r="J2210" s="28" t="s">
        <v>913</v>
      </c>
      <c r="K2210" s="27" t="s">
        <v>38</v>
      </c>
      <c r="L2210" s="27"/>
    </row>
    <row r="2211" customFormat="false" ht="15" hidden="false" customHeight="false" outlineLevel="0" collapsed="false">
      <c r="A2211" s="26" t="s">
        <v>8091</v>
      </c>
      <c r="B2211" s="27" t="s">
        <v>8092</v>
      </c>
      <c r="C2211" s="27" t="s">
        <v>144</v>
      </c>
      <c r="D2211" s="26" t="s">
        <v>8089</v>
      </c>
      <c r="E2211" s="27" t="s">
        <v>8090</v>
      </c>
      <c r="F2211" s="28" t="s">
        <v>146</v>
      </c>
      <c r="G2211" s="27" t="s">
        <v>3537</v>
      </c>
      <c r="H2211" s="27" t="s">
        <v>56</v>
      </c>
      <c r="I2211" s="27" t="s">
        <v>38</v>
      </c>
      <c r="J2211" s="28" t="s">
        <v>913</v>
      </c>
      <c r="K2211" s="27" t="s">
        <v>38</v>
      </c>
      <c r="L2211" s="27"/>
    </row>
    <row r="2212" customFormat="false" ht="15" hidden="false" customHeight="false" outlineLevel="0" collapsed="false">
      <c r="A2212" s="26" t="s">
        <v>8093</v>
      </c>
      <c r="B2212" s="27" t="s">
        <v>8094</v>
      </c>
      <c r="C2212" s="27" t="s">
        <v>144</v>
      </c>
      <c r="D2212" s="26" t="s">
        <v>8095</v>
      </c>
      <c r="E2212" s="27" t="s">
        <v>8096</v>
      </c>
      <c r="F2212" s="28" t="s">
        <v>146</v>
      </c>
      <c r="G2212" s="27" t="s">
        <v>3537</v>
      </c>
      <c r="H2212" s="27" t="s">
        <v>56</v>
      </c>
      <c r="I2212" s="27" t="s">
        <v>38</v>
      </c>
      <c r="J2212" s="28" t="s">
        <v>913</v>
      </c>
      <c r="K2212" s="27" t="s">
        <v>38</v>
      </c>
      <c r="L2212" s="27"/>
    </row>
    <row r="2213" customFormat="false" ht="15" hidden="false" customHeight="false" outlineLevel="0" collapsed="false">
      <c r="A2213" s="26" t="s">
        <v>8097</v>
      </c>
      <c r="B2213" s="27" t="s">
        <v>8098</v>
      </c>
      <c r="C2213" s="27" t="s">
        <v>144</v>
      </c>
      <c r="D2213" s="26" t="s">
        <v>8099</v>
      </c>
      <c r="E2213" s="27" t="s">
        <v>8100</v>
      </c>
      <c r="F2213" s="28" t="s">
        <v>146</v>
      </c>
      <c r="G2213" s="27" t="s">
        <v>3537</v>
      </c>
      <c r="H2213" s="27" t="s">
        <v>56</v>
      </c>
      <c r="I2213" s="27" t="s">
        <v>38</v>
      </c>
      <c r="J2213" s="28" t="s">
        <v>913</v>
      </c>
      <c r="K2213" s="27" t="s">
        <v>38</v>
      </c>
      <c r="L2213" s="27"/>
    </row>
    <row r="2214" customFormat="false" ht="15" hidden="false" customHeight="false" outlineLevel="0" collapsed="false">
      <c r="A2214" s="26" t="s">
        <v>8101</v>
      </c>
      <c r="B2214" s="27" t="s">
        <v>8102</v>
      </c>
      <c r="C2214" s="27" t="s">
        <v>144</v>
      </c>
      <c r="D2214" s="26" t="s">
        <v>8103</v>
      </c>
      <c r="E2214" s="27" t="s">
        <v>8104</v>
      </c>
      <c r="F2214" s="28" t="s">
        <v>146</v>
      </c>
      <c r="G2214" s="27" t="s">
        <v>3537</v>
      </c>
      <c r="H2214" s="27" t="s">
        <v>56</v>
      </c>
      <c r="I2214" s="27" t="s">
        <v>38</v>
      </c>
      <c r="J2214" s="28" t="s">
        <v>913</v>
      </c>
      <c r="K2214" s="27" t="s">
        <v>38</v>
      </c>
      <c r="L2214" s="27"/>
    </row>
    <row r="2215" customFormat="false" ht="15" hidden="false" customHeight="false" outlineLevel="0" collapsed="false">
      <c r="A2215" s="26" t="s">
        <v>8105</v>
      </c>
      <c r="B2215" s="27" t="s">
        <v>8106</v>
      </c>
      <c r="C2215" s="27" t="s">
        <v>144</v>
      </c>
      <c r="D2215" s="26" t="s">
        <v>8107</v>
      </c>
      <c r="E2215" s="27" t="s">
        <v>8108</v>
      </c>
      <c r="F2215" s="28" t="s">
        <v>146</v>
      </c>
      <c r="G2215" s="27" t="s">
        <v>3537</v>
      </c>
      <c r="H2215" s="27" t="s">
        <v>56</v>
      </c>
      <c r="I2215" s="27" t="s">
        <v>38</v>
      </c>
      <c r="J2215" s="28" t="s">
        <v>913</v>
      </c>
      <c r="K2215" s="27" t="s">
        <v>38</v>
      </c>
      <c r="L2215" s="27"/>
    </row>
    <row r="2216" customFormat="false" ht="15" hidden="false" customHeight="false" outlineLevel="0" collapsed="false">
      <c r="A2216" s="26" t="s">
        <v>8109</v>
      </c>
      <c r="B2216" s="27" t="s">
        <v>8110</v>
      </c>
      <c r="C2216" s="27" t="s">
        <v>144</v>
      </c>
      <c r="D2216" s="26" t="s">
        <v>8111</v>
      </c>
      <c r="E2216" s="27" t="s">
        <v>8112</v>
      </c>
      <c r="F2216" s="28" t="s">
        <v>146</v>
      </c>
      <c r="G2216" s="27" t="s">
        <v>3537</v>
      </c>
      <c r="H2216" s="27" t="s">
        <v>56</v>
      </c>
      <c r="I2216" s="27" t="s">
        <v>38</v>
      </c>
      <c r="J2216" s="28" t="s">
        <v>913</v>
      </c>
      <c r="K2216" s="27" t="s">
        <v>38</v>
      </c>
      <c r="L2216" s="27"/>
    </row>
    <row r="2217" customFormat="false" ht="15" hidden="false" customHeight="false" outlineLevel="0" collapsed="false">
      <c r="A2217" s="26" t="s">
        <v>8113</v>
      </c>
      <c r="B2217" s="27" t="s">
        <v>8114</v>
      </c>
      <c r="C2217" s="27" t="s">
        <v>144</v>
      </c>
      <c r="D2217" s="26" t="s">
        <v>8115</v>
      </c>
      <c r="E2217" s="27" t="s">
        <v>8116</v>
      </c>
      <c r="F2217" s="28" t="s">
        <v>146</v>
      </c>
      <c r="G2217" s="27" t="s">
        <v>3537</v>
      </c>
      <c r="H2217" s="27" t="s">
        <v>57</v>
      </c>
      <c r="I2217" s="27" t="s">
        <v>4159</v>
      </c>
      <c r="J2217" s="28" t="s">
        <v>913</v>
      </c>
      <c r="K2217" s="27" t="s">
        <v>38</v>
      </c>
      <c r="L2217" s="27"/>
    </row>
    <row r="2218" customFormat="false" ht="15" hidden="false" customHeight="false" outlineLevel="0" collapsed="false">
      <c r="A2218" s="26" t="s">
        <v>8117</v>
      </c>
      <c r="B2218" s="27" t="s">
        <v>8118</v>
      </c>
      <c r="C2218" s="27" t="s">
        <v>144</v>
      </c>
      <c r="D2218" s="26" t="s">
        <v>8119</v>
      </c>
      <c r="E2218" s="27" t="s">
        <v>8120</v>
      </c>
      <c r="F2218" s="28" t="s">
        <v>146</v>
      </c>
      <c r="G2218" s="27" t="s">
        <v>3537</v>
      </c>
      <c r="H2218" s="27" t="s">
        <v>56</v>
      </c>
      <c r="I2218" s="27" t="s">
        <v>38</v>
      </c>
      <c r="J2218" s="28" t="s">
        <v>913</v>
      </c>
      <c r="K2218" s="27" t="s">
        <v>38</v>
      </c>
      <c r="L2218" s="27"/>
    </row>
    <row r="2219" customFormat="false" ht="15" hidden="false" customHeight="false" outlineLevel="0" collapsed="false">
      <c r="A2219" s="26" t="s">
        <v>8121</v>
      </c>
      <c r="B2219" s="27" t="s">
        <v>8122</v>
      </c>
      <c r="C2219" s="27" t="s">
        <v>144</v>
      </c>
      <c r="D2219" s="26" t="s">
        <v>8123</v>
      </c>
      <c r="E2219" s="27" t="s">
        <v>8124</v>
      </c>
      <c r="F2219" s="28" t="s">
        <v>146</v>
      </c>
      <c r="G2219" s="27" t="s">
        <v>3537</v>
      </c>
      <c r="H2219" s="27" t="s">
        <v>56</v>
      </c>
      <c r="I2219" s="27" t="s">
        <v>38</v>
      </c>
      <c r="J2219" s="28" t="s">
        <v>913</v>
      </c>
      <c r="K2219" s="27" t="s">
        <v>38</v>
      </c>
      <c r="L2219" s="27"/>
    </row>
    <row r="2220" customFormat="false" ht="15" hidden="false" customHeight="false" outlineLevel="0" collapsed="false">
      <c r="A2220" s="26" t="s">
        <v>8125</v>
      </c>
      <c r="B2220" s="27" t="s">
        <v>8126</v>
      </c>
      <c r="C2220" s="27" t="s">
        <v>144</v>
      </c>
      <c r="D2220" s="26" t="s">
        <v>8127</v>
      </c>
      <c r="E2220" s="27" t="s">
        <v>8128</v>
      </c>
      <c r="F2220" s="28" t="s">
        <v>146</v>
      </c>
      <c r="G2220" s="27" t="s">
        <v>3537</v>
      </c>
      <c r="H2220" s="27" t="s">
        <v>57</v>
      </c>
      <c r="I2220" s="27" t="s">
        <v>43</v>
      </c>
      <c r="J2220" s="28" t="s">
        <v>913</v>
      </c>
      <c r="K2220" s="27" t="s">
        <v>38</v>
      </c>
      <c r="L2220" s="27"/>
    </row>
    <row r="2221" customFormat="false" ht="15" hidden="false" customHeight="false" outlineLevel="0" collapsed="false">
      <c r="A2221" s="26" t="s">
        <v>8129</v>
      </c>
      <c r="B2221" s="27" t="s">
        <v>8130</v>
      </c>
      <c r="C2221" s="27" t="s">
        <v>144</v>
      </c>
      <c r="D2221" s="26" t="s">
        <v>8131</v>
      </c>
      <c r="E2221" s="27" t="s">
        <v>8132</v>
      </c>
      <c r="F2221" s="28" t="s">
        <v>146</v>
      </c>
      <c r="G2221" s="27" t="s">
        <v>3537</v>
      </c>
      <c r="H2221" s="27" t="s">
        <v>56</v>
      </c>
      <c r="I2221" s="27" t="s">
        <v>38</v>
      </c>
      <c r="J2221" s="28" t="s">
        <v>913</v>
      </c>
      <c r="K2221" s="27" t="s">
        <v>38</v>
      </c>
      <c r="L2221" s="27"/>
    </row>
    <row r="2222" customFormat="false" ht="15" hidden="false" customHeight="false" outlineLevel="0" collapsed="false">
      <c r="A2222" s="26" t="s">
        <v>8133</v>
      </c>
      <c r="B2222" s="27" t="s">
        <v>8134</v>
      </c>
      <c r="C2222" s="27" t="s">
        <v>144</v>
      </c>
      <c r="D2222" s="26" t="s">
        <v>8135</v>
      </c>
      <c r="E2222" s="27" t="s">
        <v>8136</v>
      </c>
      <c r="F2222" s="28" t="s">
        <v>146</v>
      </c>
      <c r="G2222" s="27" t="s">
        <v>3537</v>
      </c>
      <c r="H2222" s="27" t="s">
        <v>56</v>
      </c>
      <c r="I2222" s="27" t="s">
        <v>38</v>
      </c>
      <c r="J2222" s="28" t="s">
        <v>913</v>
      </c>
      <c r="K2222" s="27" t="s">
        <v>38</v>
      </c>
      <c r="L2222" s="27"/>
    </row>
    <row r="2223" customFormat="false" ht="15" hidden="false" customHeight="false" outlineLevel="0" collapsed="false">
      <c r="A2223" s="26" t="s">
        <v>8137</v>
      </c>
      <c r="B2223" s="27" t="s">
        <v>8138</v>
      </c>
      <c r="C2223" s="27" t="s">
        <v>144</v>
      </c>
      <c r="D2223" s="26" t="s">
        <v>8139</v>
      </c>
      <c r="E2223" s="27" t="s">
        <v>8140</v>
      </c>
      <c r="F2223" s="28" t="s">
        <v>146</v>
      </c>
      <c r="G2223" s="27" t="s">
        <v>3537</v>
      </c>
      <c r="H2223" s="27" t="s">
        <v>56</v>
      </c>
      <c r="I2223" s="27" t="s">
        <v>38</v>
      </c>
      <c r="J2223" s="28" t="s">
        <v>913</v>
      </c>
      <c r="K2223" s="27" t="s">
        <v>38</v>
      </c>
      <c r="L2223" s="27"/>
    </row>
    <row r="2224" customFormat="false" ht="15" hidden="false" customHeight="false" outlineLevel="0" collapsed="false">
      <c r="A2224" s="26" t="s">
        <v>8141</v>
      </c>
      <c r="B2224" s="27" t="s">
        <v>8142</v>
      </c>
      <c r="C2224" s="27" t="s">
        <v>144</v>
      </c>
      <c r="D2224" s="26" t="s">
        <v>8143</v>
      </c>
      <c r="E2224" s="27" t="s">
        <v>8144</v>
      </c>
      <c r="F2224" s="28" t="s">
        <v>146</v>
      </c>
      <c r="G2224" s="27" t="s">
        <v>3537</v>
      </c>
      <c r="H2224" s="27" t="s">
        <v>56</v>
      </c>
      <c r="I2224" s="27" t="s">
        <v>38</v>
      </c>
      <c r="J2224" s="28" t="s">
        <v>913</v>
      </c>
      <c r="K2224" s="27" t="s">
        <v>38</v>
      </c>
      <c r="L2224" s="27"/>
    </row>
    <row r="2225" customFormat="false" ht="15" hidden="false" customHeight="false" outlineLevel="0" collapsed="false">
      <c r="A2225" s="26" t="s">
        <v>8145</v>
      </c>
      <c r="B2225" s="27" t="s">
        <v>8146</v>
      </c>
      <c r="C2225" s="27" t="s">
        <v>144</v>
      </c>
      <c r="D2225" s="26" t="s">
        <v>8147</v>
      </c>
      <c r="E2225" s="27" t="s">
        <v>8148</v>
      </c>
      <c r="F2225" s="28" t="s">
        <v>146</v>
      </c>
      <c r="G2225" s="27" t="s">
        <v>3537</v>
      </c>
      <c r="H2225" s="27" t="s">
        <v>56</v>
      </c>
      <c r="I2225" s="27" t="s">
        <v>38</v>
      </c>
      <c r="J2225" s="28" t="s">
        <v>913</v>
      </c>
      <c r="K2225" s="27" t="s">
        <v>38</v>
      </c>
      <c r="L2225" s="27"/>
    </row>
    <row r="2226" customFormat="false" ht="15" hidden="false" customHeight="false" outlineLevel="0" collapsed="false">
      <c r="A2226" s="26" t="s">
        <v>8149</v>
      </c>
      <c r="B2226" s="27" t="s">
        <v>8150</v>
      </c>
      <c r="C2226" s="27" t="s">
        <v>144</v>
      </c>
      <c r="D2226" s="26" t="s">
        <v>8151</v>
      </c>
      <c r="E2226" s="27" t="s">
        <v>8152</v>
      </c>
      <c r="F2226" s="28" t="s">
        <v>146</v>
      </c>
      <c r="G2226" s="27" t="s">
        <v>3537</v>
      </c>
      <c r="H2226" s="27" t="s">
        <v>56</v>
      </c>
      <c r="I2226" s="27" t="s">
        <v>38</v>
      </c>
      <c r="J2226" s="28" t="s">
        <v>913</v>
      </c>
      <c r="K2226" s="27" t="s">
        <v>38</v>
      </c>
      <c r="L2226" s="27"/>
    </row>
    <row r="2227" customFormat="false" ht="15" hidden="false" customHeight="false" outlineLevel="0" collapsed="false">
      <c r="A2227" s="26" t="s">
        <v>8153</v>
      </c>
      <c r="B2227" s="27" t="s">
        <v>8154</v>
      </c>
      <c r="C2227" s="27" t="s">
        <v>144</v>
      </c>
      <c r="D2227" s="26" t="s">
        <v>8099</v>
      </c>
      <c r="E2227" s="27" t="s">
        <v>8100</v>
      </c>
      <c r="F2227" s="28" t="s">
        <v>146</v>
      </c>
      <c r="G2227" s="27" t="s">
        <v>3537</v>
      </c>
      <c r="H2227" s="27" t="s">
        <v>56</v>
      </c>
      <c r="I2227" s="27" t="s">
        <v>38</v>
      </c>
      <c r="J2227" s="28" t="s">
        <v>913</v>
      </c>
      <c r="K2227" s="27" t="s">
        <v>38</v>
      </c>
      <c r="L2227" s="27"/>
    </row>
    <row r="2228" customFormat="false" ht="15" hidden="false" customHeight="false" outlineLevel="0" collapsed="false">
      <c r="A2228" s="26" t="s">
        <v>8155</v>
      </c>
      <c r="B2228" s="27" t="s">
        <v>8156</v>
      </c>
      <c r="C2228" s="27" t="s">
        <v>144</v>
      </c>
      <c r="D2228" s="26" t="s">
        <v>8131</v>
      </c>
      <c r="E2228" s="27" t="s">
        <v>8132</v>
      </c>
      <c r="F2228" s="28" t="s">
        <v>146</v>
      </c>
      <c r="G2228" s="27" t="s">
        <v>3537</v>
      </c>
      <c r="H2228" s="27" t="s">
        <v>56</v>
      </c>
      <c r="I2228" s="27" t="s">
        <v>38</v>
      </c>
      <c r="J2228" s="28" t="s">
        <v>913</v>
      </c>
      <c r="K2228" s="27" t="s">
        <v>38</v>
      </c>
      <c r="L2228" s="27"/>
    </row>
    <row r="2229" customFormat="false" ht="15" hidden="false" customHeight="false" outlineLevel="0" collapsed="false">
      <c r="A2229" s="26" t="s">
        <v>8157</v>
      </c>
      <c r="B2229" s="27" t="s">
        <v>8158</v>
      </c>
      <c r="C2229" s="27" t="s">
        <v>144</v>
      </c>
      <c r="D2229" s="26" t="s">
        <v>8151</v>
      </c>
      <c r="E2229" s="27" t="s">
        <v>8152</v>
      </c>
      <c r="F2229" s="28" t="s">
        <v>146</v>
      </c>
      <c r="G2229" s="27" t="s">
        <v>3537</v>
      </c>
      <c r="H2229" s="27" t="s">
        <v>56</v>
      </c>
      <c r="I2229" s="27" t="s">
        <v>38</v>
      </c>
      <c r="J2229" s="28" t="s">
        <v>913</v>
      </c>
      <c r="K2229" s="27" t="s">
        <v>38</v>
      </c>
      <c r="L2229" s="27"/>
    </row>
    <row r="2230" customFormat="false" ht="15" hidden="false" customHeight="false" outlineLevel="0" collapsed="false">
      <c r="A2230" s="26" t="s">
        <v>8159</v>
      </c>
      <c r="B2230" s="27" t="s">
        <v>8160</v>
      </c>
      <c r="C2230" s="27" t="s">
        <v>144</v>
      </c>
      <c r="D2230" s="26" t="s">
        <v>8161</v>
      </c>
      <c r="E2230" s="27" t="s">
        <v>8162</v>
      </c>
      <c r="F2230" s="28" t="s">
        <v>146</v>
      </c>
      <c r="G2230" s="27" t="s">
        <v>3537</v>
      </c>
      <c r="H2230" s="27" t="s">
        <v>56</v>
      </c>
      <c r="I2230" s="27" t="s">
        <v>38</v>
      </c>
      <c r="J2230" s="28" t="s">
        <v>913</v>
      </c>
      <c r="K2230" s="27" t="s">
        <v>38</v>
      </c>
      <c r="L2230" s="27"/>
    </row>
    <row r="2231" customFormat="false" ht="15" hidden="false" customHeight="false" outlineLevel="0" collapsed="false">
      <c r="A2231" s="26" t="s">
        <v>8163</v>
      </c>
      <c r="B2231" s="27" t="s">
        <v>8164</v>
      </c>
      <c r="C2231" s="27" t="s">
        <v>144</v>
      </c>
      <c r="D2231" s="26" t="s">
        <v>8165</v>
      </c>
      <c r="E2231" s="27" t="s">
        <v>8166</v>
      </c>
      <c r="F2231" s="28" t="s">
        <v>146</v>
      </c>
      <c r="G2231" s="27" t="s">
        <v>3537</v>
      </c>
      <c r="H2231" s="27" t="s">
        <v>57</v>
      </c>
      <c r="I2231" s="27" t="s">
        <v>41</v>
      </c>
      <c r="J2231" s="28" t="s">
        <v>913</v>
      </c>
      <c r="K2231" s="27" t="s">
        <v>38</v>
      </c>
      <c r="L2231" s="27"/>
    </row>
    <row r="2232" customFormat="false" ht="15" hidden="false" customHeight="false" outlineLevel="0" collapsed="false">
      <c r="A2232" s="26" t="s">
        <v>8167</v>
      </c>
      <c r="B2232" s="27" t="s">
        <v>8168</v>
      </c>
      <c r="C2232" s="27" t="s">
        <v>144</v>
      </c>
      <c r="D2232" s="26" t="s">
        <v>8169</v>
      </c>
      <c r="E2232" s="27" t="s">
        <v>8170</v>
      </c>
      <c r="F2232" s="28" t="s">
        <v>146</v>
      </c>
      <c r="G2232" s="27" t="s">
        <v>3537</v>
      </c>
      <c r="H2232" s="27" t="s">
        <v>56</v>
      </c>
      <c r="I2232" s="27" t="s">
        <v>38</v>
      </c>
      <c r="J2232" s="28" t="s">
        <v>913</v>
      </c>
      <c r="K2232" s="27" t="s">
        <v>38</v>
      </c>
      <c r="L2232" s="27"/>
    </row>
    <row r="2233" customFormat="false" ht="15" hidden="false" customHeight="false" outlineLevel="0" collapsed="false">
      <c r="A2233" s="26" t="s">
        <v>8171</v>
      </c>
      <c r="B2233" s="27" t="s">
        <v>8172</v>
      </c>
      <c r="C2233" s="27" t="s">
        <v>144</v>
      </c>
      <c r="D2233" s="26" t="s">
        <v>8173</v>
      </c>
      <c r="E2233" s="27" t="s">
        <v>8174</v>
      </c>
      <c r="F2233" s="28" t="s">
        <v>146</v>
      </c>
      <c r="G2233" s="27" t="s">
        <v>3537</v>
      </c>
      <c r="H2233" s="27" t="s">
        <v>56</v>
      </c>
      <c r="I2233" s="27" t="s">
        <v>38</v>
      </c>
      <c r="J2233" s="28" t="s">
        <v>913</v>
      </c>
      <c r="K2233" s="27" t="s">
        <v>38</v>
      </c>
      <c r="L2233" s="27"/>
    </row>
    <row r="2234" customFormat="false" ht="15" hidden="false" customHeight="false" outlineLevel="0" collapsed="false">
      <c r="A2234" s="26" t="s">
        <v>8175</v>
      </c>
      <c r="B2234" s="27" t="s">
        <v>8176</v>
      </c>
      <c r="C2234" s="27" t="s">
        <v>144</v>
      </c>
      <c r="D2234" s="26" t="s">
        <v>8177</v>
      </c>
      <c r="E2234" s="27" t="s">
        <v>8178</v>
      </c>
      <c r="F2234" s="28" t="s">
        <v>146</v>
      </c>
      <c r="G2234" s="27" t="s">
        <v>3537</v>
      </c>
      <c r="H2234" s="27" t="s">
        <v>56</v>
      </c>
      <c r="I2234" s="27" t="s">
        <v>38</v>
      </c>
      <c r="J2234" s="28" t="s">
        <v>913</v>
      </c>
      <c r="K2234" s="27" t="s">
        <v>38</v>
      </c>
      <c r="L2234" s="27"/>
    </row>
    <row r="2235" customFormat="false" ht="15" hidden="false" customHeight="false" outlineLevel="0" collapsed="false">
      <c r="A2235" s="26" t="s">
        <v>8179</v>
      </c>
      <c r="B2235" s="27" t="s">
        <v>8180</v>
      </c>
      <c r="C2235" s="27" t="s">
        <v>144</v>
      </c>
      <c r="D2235" s="26" t="s">
        <v>8181</v>
      </c>
      <c r="E2235" s="27" t="s">
        <v>8182</v>
      </c>
      <c r="F2235" s="28" t="s">
        <v>146</v>
      </c>
      <c r="G2235" s="27" t="s">
        <v>3537</v>
      </c>
      <c r="H2235" s="27" t="s">
        <v>56</v>
      </c>
      <c r="I2235" s="27" t="s">
        <v>38</v>
      </c>
      <c r="J2235" s="28" t="s">
        <v>913</v>
      </c>
      <c r="K2235" s="27" t="s">
        <v>38</v>
      </c>
      <c r="L2235" s="27"/>
    </row>
    <row r="2236" customFormat="false" ht="15" hidden="false" customHeight="false" outlineLevel="0" collapsed="false">
      <c r="A2236" s="26" t="s">
        <v>8183</v>
      </c>
      <c r="B2236" s="27" t="s">
        <v>8184</v>
      </c>
      <c r="C2236" s="27" t="s">
        <v>144</v>
      </c>
      <c r="D2236" s="26" t="s">
        <v>8185</v>
      </c>
      <c r="E2236" s="27" t="s">
        <v>8186</v>
      </c>
      <c r="F2236" s="28" t="s">
        <v>146</v>
      </c>
      <c r="G2236" s="27" t="s">
        <v>3537</v>
      </c>
      <c r="H2236" s="27" t="s">
        <v>56</v>
      </c>
      <c r="I2236" s="27" t="s">
        <v>38</v>
      </c>
      <c r="J2236" s="28" t="s">
        <v>913</v>
      </c>
      <c r="K2236" s="27" t="s">
        <v>38</v>
      </c>
      <c r="L2236" s="27"/>
    </row>
    <row r="2237" customFormat="false" ht="15" hidden="false" customHeight="false" outlineLevel="0" collapsed="false">
      <c r="A2237" s="26" t="s">
        <v>8187</v>
      </c>
      <c r="B2237" s="27" t="s">
        <v>8188</v>
      </c>
      <c r="C2237" s="27" t="s">
        <v>144</v>
      </c>
      <c r="D2237" s="26" t="s">
        <v>8189</v>
      </c>
      <c r="E2237" s="27" t="s">
        <v>8190</v>
      </c>
      <c r="F2237" s="28" t="s">
        <v>146</v>
      </c>
      <c r="G2237" s="27" t="s">
        <v>3537</v>
      </c>
      <c r="H2237" s="27" t="s">
        <v>56</v>
      </c>
      <c r="I2237" s="27" t="s">
        <v>38</v>
      </c>
      <c r="J2237" s="28" t="s">
        <v>913</v>
      </c>
      <c r="K2237" s="27" t="s">
        <v>38</v>
      </c>
      <c r="L2237" s="27"/>
    </row>
    <row r="2238" customFormat="false" ht="15" hidden="false" customHeight="false" outlineLevel="0" collapsed="false">
      <c r="A2238" s="26" t="s">
        <v>8191</v>
      </c>
      <c r="B2238" s="27" t="s">
        <v>8192</v>
      </c>
      <c r="C2238" s="27" t="s">
        <v>144</v>
      </c>
      <c r="D2238" s="26" t="s">
        <v>8193</v>
      </c>
      <c r="E2238" s="27" t="s">
        <v>8194</v>
      </c>
      <c r="F2238" s="28" t="s">
        <v>146</v>
      </c>
      <c r="G2238" s="27" t="s">
        <v>3537</v>
      </c>
      <c r="H2238" s="27" t="s">
        <v>56</v>
      </c>
      <c r="I2238" s="27" t="s">
        <v>38</v>
      </c>
      <c r="J2238" s="28" t="s">
        <v>913</v>
      </c>
      <c r="K2238" s="27" t="s">
        <v>38</v>
      </c>
      <c r="L2238" s="27"/>
    </row>
    <row r="2239" customFormat="false" ht="15" hidden="false" customHeight="false" outlineLevel="0" collapsed="false">
      <c r="A2239" s="26" t="s">
        <v>8195</v>
      </c>
      <c r="B2239" s="27" t="s">
        <v>8196</v>
      </c>
      <c r="C2239" s="27" t="s">
        <v>144</v>
      </c>
      <c r="D2239" s="26" t="s">
        <v>8197</v>
      </c>
      <c r="E2239" s="27" t="s">
        <v>8198</v>
      </c>
      <c r="F2239" s="28" t="s">
        <v>146</v>
      </c>
      <c r="G2239" s="27" t="s">
        <v>3537</v>
      </c>
      <c r="H2239" s="27" t="s">
        <v>57</v>
      </c>
      <c r="I2239" s="27" t="s">
        <v>37</v>
      </c>
      <c r="J2239" s="28" t="s">
        <v>913</v>
      </c>
      <c r="K2239" s="27" t="s">
        <v>38</v>
      </c>
      <c r="L2239" s="27"/>
    </row>
    <row r="2240" customFormat="false" ht="15" hidden="false" customHeight="false" outlineLevel="0" collapsed="false">
      <c r="A2240" s="26" t="s">
        <v>8199</v>
      </c>
      <c r="B2240" s="27" t="s">
        <v>8200</v>
      </c>
      <c r="C2240" s="27" t="s">
        <v>144</v>
      </c>
      <c r="D2240" s="26" t="s">
        <v>928</v>
      </c>
      <c r="E2240" s="27" t="s">
        <v>929</v>
      </c>
      <c r="F2240" s="28" t="s">
        <v>146</v>
      </c>
      <c r="G2240" s="27" t="s">
        <v>3537</v>
      </c>
      <c r="H2240" s="27" t="s">
        <v>56</v>
      </c>
      <c r="I2240" s="27" t="s">
        <v>38</v>
      </c>
      <c r="J2240" s="28" t="s">
        <v>913</v>
      </c>
      <c r="K2240" s="27" t="s">
        <v>38</v>
      </c>
      <c r="L2240" s="27"/>
    </row>
    <row r="2241" customFormat="false" ht="15" hidden="false" customHeight="false" outlineLevel="0" collapsed="false">
      <c r="A2241" s="26" t="s">
        <v>8201</v>
      </c>
      <c r="B2241" s="27" t="s">
        <v>8202</v>
      </c>
      <c r="C2241" s="27" t="s">
        <v>144</v>
      </c>
      <c r="D2241" s="26" t="s">
        <v>8089</v>
      </c>
      <c r="E2241" s="27" t="s">
        <v>8090</v>
      </c>
      <c r="F2241" s="28" t="s">
        <v>146</v>
      </c>
      <c r="G2241" s="27" t="s">
        <v>3537</v>
      </c>
      <c r="H2241" s="27" t="s">
        <v>56</v>
      </c>
      <c r="I2241" s="27" t="s">
        <v>38</v>
      </c>
      <c r="J2241" s="28" t="s">
        <v>913</v>
      </c>
      <c r="K2241" s="27" t="s">
        <v>38</v>
      </c>
      <c r="L2241" s="27"/>
    </row>
    <row r="2242" customFormat="false" ht="15" hidden="false" customHeight="false" outlineLevel="0" collapsed="false">
      <c r="A2242" s="26" t="s">
        <v>8203</v>
      </c>
      <c r="B2242" s="27" t="s">
        <v>8204</v>
      </c>
      <c r="C2242" s="27" t="s">
        <v>144</v>
      </c>
      <c r="D2242" s="26" t="s">
        <v>8131</v>
      </c>
      <c r="E2242" s="27" t="s">
        <v>8132</v>
      </c>
      <c r="F2242" s="28" t="s">
        <v>146</v>
      </c>
      <c r="G2242" s="27" t="s">
        <v>3537</v>
      </c>
      <c r="H2242" s="27" t="s">
        <v>56</v>
      </c>
      <c r="I2242" s="27" t="s">
        <v>38</v>
      </c>
      <c r="J2242" s="28" t="s">
        <v>913</v>
      </c>
      <c r="K2242" s="27" t="s">
        <v>38</v>
      </c>
      <c r="L2242" s="27"/>
    </row>
    <row r="2243" customFormat="false" ht="15" hidden="false" customHeight="false" outlineLevel="0" collapsed="false">
      <c r="A2243" s="26" t="s">
        <v>8205</v>
      </c>
      <c r="B2243" s="27" t="s">
        <v>8206</v>
      </c>
      <c r="C2243" s="27" t="s">
        <v>144</v>
      </c>
      <c r="D2243" s="26" t="s">
        <v>8103</v>
      </c>
      <c r="E2243" s="27" t="s">
        <v>8104</v>
      </c>
      <c r="F2243" s="28" t="s">
        <v>146</v>
      </c>
      <c r="G2243" s="27" t="s">
        <v>3537</v>
      </c>
      <c r="H2243" s="27" t="s">
        <v>56</v>
      </c>
      <c r="I2243" s="27" t="s">
        <v>38</v>
      </c>
      <c r="J2243" s="28" t="s">
        <v>913</v>
      </c>
      <c r="K2243" s="27" t="s">
        <v>38</v>
      </c>
      <c r="L2243" s="27"/>
    </row>
    <row r="2244" customFormat="false" ht="15" hidden="false" customHeight="false" outlineLevel="0" collapsed="false">
      <c r="A2244" s="26" t="s">
        <v>8207</v>
      </c>
      <c r="B2244" s="27" t="s">
        <v>8208</v>
      </c>
      <c r="C2244" s="27" t="s">
        <v>144</v>
      </c>
      <c r="D2244" s="26" t="s">
        <v>8209</v>
      </c>
      <c r="E2244" s="27" t="s">
        <v>8210</v>
      </c>
      <c r="F2244" s="28" t="s">
        <v>146</v>
      </c>
      <c r="G2244" s="27" t="s">
        <v>3537</v>
      </c>
      <c r="H2244" s="27" t="s">
        <v>56</v>
      </c>
      <c r="I2244" s="27" t="s">
        <v>38</v>
      </c>
      <c r="J2244" s="28" t="s">
        <v>913</v>
      </c>
      <c r="K2244" s="27" t="s">
        <v>38</v>
      </c>
      <c r="L2244" s="27"/>
    </row>
    <row r="2245" customFormat="false" ht="15" hidden="false" customHeight="false" outlineLevel="0" collapsed="false">
      <c r="A2245" s="26" t="s">
        <v>8211</v>
      </c>
      <c r="B2245" s="27" t="s">
        <v>8212</v>
      </c>
      <c r="C2245" s="27" t="s">
        <v>144</v>
      </c>
      <c r="D2245" s="26" t="s">
        <v>8099</v>
      </c>
      <c r="E2245" s="27" t="s">
        <v>8100</v>
      </c>
      <c r="F2245" s="28" t="s">
        <v>146</v>
      </c>
      <c r="G2245" s="27" t="s">
        <v>3537</v>
      </c>
      <c r="H2245" s="27" t="s">
        <v>56</v>
      </c>
      <c r="I2245" s="27" t="s">
        <v>38</v>
      </c>
      <c r="J2245" s="28" t="s">
        <v>913</v>
      </c>
      <c r="K2245" s="27" t="s">
        <v>38</v>
      </c>
      <c r="L2245" s="27"/>
    </row>
    <row r="2246" customFormat="false" ht="15" hidden="false" customHeight="false" outlineLevel="0" collapsed="false">
      <c r="A2246" s="26" t="s">
        <v>8213</v>
      </c>
      <c r="B2246" s="27" t="s">
        <v>8214</v>
      </c>
      <c r="C2246" s="27" t="s">
        <v>144</v>
      </c>
      <c r="D2246" s="26" t="s">
        <v>8215</v>
      </c>
      <c r="E2246" s="27" t="s">
        <v>8216</v>
      </c>
      <c r="F2246" s="28" t="s">
        <v>146</v>
      </c>
      <c r="G2246" s="27" t="s">
        <v>3537</v>
      </c>
      <c r="H2246" s="27" t="s">
        <v>56</v>
      </c>
      <c r="I2246" s="27" t="s">
        <v>38</v>
      </c>
      <c r="J2246" s="28" t="s">
        <v>913</v>
      </c>
      <c r="K2246" s="27" t="s">
        <v>38</v>
      </c>
      <c r="L2246" s="27"/>
    </row>
    <row r="2247" customFormat="false" ht="15" hidden="false" customHeight="false" outlineLevel="0" collapsed="false">
      <c r="A2247" s="26" t="s">
        <v>8217</v>
      </c>
      <c r="B2247" s="27" t="s">
        <v>8218</v>
      </c>
      <c r="C2247" s="27" t="s">
        <v>144</v>
      </c>
      <c r="D2247" s="26" t="s">
        <v>8219</v>
      </c>
      <c r="E2247" s="27" t="s">
        <v>8220</v>
      </c>
      <c r="F2247" s="28" t="s">
        <v>146</v>
      </c>
      <c r="G2247" s="27" t="s">
        <v>3537</v>
      </c>
      <c r="H2247" s="27" t="s">
        <v>56</v>
      </c>
      <c r="I2247" s="27" t="s">
        <v>38</v>
      </c>
      <c r="J2247" s="28" t="s">
        <v>913</v>
      </c>
      <c r="K2247" s="27" t="s">
        <v>38</v>
      </c>
      <c r="L2247" s="27"/>
    </row>
    <row r="2248" customFormat="false" ht="15" hidden="false" customHeight="false" outlineLevel="0" collapsed="false">
      <c r="A2248" s="26" t="s">
        <v>8221</v>
      </c>
      <c r="B2248" s="27" t="s">
        <v>8222</v>
      </c>
      <c r="C2248" s="27" t="s">
        <v>144</v>
      </c>
      <c r="D2248" s="26" t="s">
        <v>8043</v>
      </c>
      <c r="E2248" s="27" t="s">
        <v>8044</v>
      </c>
      <c r="F2248" s="28" t="s">
        <v>146</v>
      </c>
      <c r="G2248" s="27" t="s">
        <v>3537</v>
      </c>
      <c r="H2248" s="27" t="s">
        <v>56</v>
      </c>
      <c r="I2248" s="27" t="s">
        <v>38</v>
      </c>
      <c r="J2248" s="28" t="s">
        <v>913</v>
      </c>
      <c r="K2248" s="27" t="s">
        <v>38</v>
      </c>
      <c r="L2248" s="27"/>
    </row>
    <row r="2249" customFormat="false" ht="15" hidden="false" customHeight="false" outlineLevel="0" collapsed="false">
      <c r="A2249" s="26" t="s">
        <v>8223</v>
      </c>
      <c r="B2249" s="27" t="s">
        <v>8224</v>
      </c>
      <c r="C2249" s="27" t="s">
        <v>144</v>
      </c>
      <c r="D2249" s="26" t="s">
        <v>8215</v>
      </c>
      <c r="E2249" s="27" t="s">
        <v>8216</v>
      </c>
      <c r="F2249" s="28" t="s">
        <v>146</v>
      </c>
      <c r="G2249" s="27" t="s">
        <v>3537</v>
      </c>
      <c r="H2249" s="27" t="s">
        <v>56</v>
      </c>
      <c r="I2249" s="27" t="s">
        <v>38</v>
      </c>
      <c r="J2249" s="28" t="s">
        <v>913</v>
      </c>
      <c r="K2249" s="27" t="s">
        <v>38</v>
      </c>
      <c r="L2249" s="27"/>
    </row>
    <row r="2250" customFormat="false" ht="15" hidden="false" customHeight="false" outlineLevel="0" collapsed="false">
      <c r="A2250" s="26" t="s">
        <v>8225</v>
      </c>
      <c r="B2250" s="27" t="s">
        <v>8226</v>
      </c>
      <c r="C2250" s="27" t="s">
        <v>144</v>
      </c>
      <c r="D2250" s="26" t="s">
        <v>8227</v>
      </c>
      <c r="E2250" s="27" t="s">
        <v>8228</v>
      </c>
      <c r="F2250" s="28" t="s">
        <v>146</v>
      </c>
      <c r="G2250" s="27" t="s">
        <v>3537</v>
      </c>
      <c r="H2250" s="27" t="s">
        <v>56</v>
      </c>
      <c r="I2250" s="27" t="s">
        <v>38</v>
      </c>
      <c r="J2250" s="28" t="s">
        <v>913</v>
      </c>
      <c r="K2250" s="27" t="s">
        <v>38</v>
      </c>
      <c r="L2250" s="27"/>
    </row>
    <row r="2251" customFormat="false" ht="15" hidden="false" customHeight="false" outlineLevel="0" collapsed="false">
      <c r="A2251" s="26" t="s">
        <v>8229</v>
      </c>
      <c r="B2251" s="27" t="s">
        <v>8230</v>
      </c>
      <c r="C2251" s="27" t="s">
        <v>144</v>
      </c>
      <c r="D2251" s="26" t="s">
        <v>8231</v>
      </c>
      <c r="E2251" s="27" t="s">
        <v>8232</v>
      </c>
      <c r="F2251" s="28" t="s">
        <v>146</v>
      </c>
      <c r="G2251" s="27" t="s">
        <v>3537</v>
      </c>
      <c r="H2251" s="27" t="s">
        <v>56</v>
      </c>
      <c r="I2251" s="27" t="s">
        <v>38</v>
      </c>
      <c r="J2251" s="28" t="s">
        <v>913</v>
      </c>
      <c r="K2251" s="27" t="s">
        <v>38</v>
      </c>
      <c r="L2251" s="27"/>
    </row>
    <row r="2252" customFormat="false" ht="15" hidden="false" customHeight="false" outlineLevel="0" collapsed="false">
      <c r="A2252" s="26" t="s">
        <v>8233</v>
      </c>
      <c r="B2252" s="27" t="s">
        <v>8234</v>
      </c>
      <c r="C2252" s="27" t="s">
        <v>144</v>
      </c>
      <c r="D2252" s="26" t="s">
        <v>8235</v>
      </c>
      <c r="E2252" s="27" t="s">
        <v>8236</v>
      </c>
      <c r="F2252" s="28" t="s">
        <v>146</v>
      </c>
      <c r="G2252" s="27" t="s">
        <v>3537</v>
      </c>
      <c r="H2252" s="27" t="s">
        <v>56</v>
      </c>
      <c r="I2252" s="27" t="s">
        <v>38</v>
      </c>
      <c r="J2252" s="28" t="s">
        <v>913</v>
      </c>
      <c r="K2252" s="27" t="s">
        <v>38</v>
      </c>
      <c r="L2252" s="27"/>
    </row>
    <row r="2253" customFormat="false" ht="15" hidden="false" customHeight="false" outlineLevel="0" collapsed="false">
      <c r="A2253" s="26" t="s">
        <v>8237</v>
      </c>
      <c r="B2253" s="27" t="s">
        <v>8238</v>
      </c>
      <c r="C2253" s="27" t="s">
        <v>144</v>
      </c>
      <c r="D2253" s="26" t="s">
        <v>8115</v>
      </c>
      <c r="E2253" s="27" t="s">
        <v>8116</v>
      </c>
      <c r="F2253" s="28" t="s">
        <v>146</v>
      </c>
      <c r="G2253" s="27" t="s">
        <v>3537</v>
      </c>
      <c r="H2253" s="27" t="s">
        <v>57</v>
      </c>
      <c r="I2253" s="27" t="s">
        <v>4159</v>
      </c>
      <c r="J2253" s="28" t="s">
        <v>913</v>
      </c>
      <c r="K2253" s="27" t="s">
        <v>38</v>
      </c>
      <c r="L2253" s="27"/>
    </row>
    <row r="2254" customFormat="false" ht="15" hidden="false" customHeight="false" outlineLevel="0" collapsed="false">
      <c r="A2254" s="26" t="s">
        <v>8239</v>
      </c>
      <c r="B2254" s="27" t="s">
        <v>8240</v>
      </c>
      <c r="C2254" s="27" t="s">
        <v>144</v>
      </c>
      <c r="D2254" s="26" t="s">
        <v>8241</v>
      </c>
      <c r="E2254" s="27" t="s">
        <v>8242</v>
      </c>
      <c r="F2254" s="28" t="s">
        <v>146</v>
      </c>
      <c r="G2254" s="27" t="s">
        <v>3537</v>
      </c>
      <c r="H2254" s="27" t="s">
        <v>56</v>
      </c>
      <c r="I2254" s="27" t="s">
        <v>38</v>
      </c>
      <c r="J2254" s="28" t="s">
        <v>913</v>
      </c>
      <c r="K2254" s="27" t="s">
        <v>38</v>
      </c>
      <c r="L2254" s="27"/>
    </row>
    <row r="2255" customFormat="false" ht="15" hidden="false" customHeight="false" outlineLevel="0" collapsed="false">
      <c r="A2255" s="26" t="s">
        <v>8243</v>
      </c>
      <c r="B2255" s="27" t="s">
        <v>8244</v>
      </c>
      <c r="C2255" s="27" t="s">
        <v>144</v>
      </c>
      <c r="D2255" s="26" t="s">
        <v>920</v>
      </c>
      <c r="E2255" s="27" t="s">
        <v>921</v>
      </c>
      <c r="F2255" s="28" t="s">
        <v>146</v>
      </c>
      <c r="G2255" s="27" t="s">
        <v>3537</v>
      </c>
      <c r="H2255" s="27" t="s">
        <v>56</v>
      </c>
      <c r="I2255" s="27" t="s">
        <v>38</v>
      </c>
      <c r="J2255" s="28" t="s">
        <v>913</v>
      </c>
      <c r="K2255" s="27" t="s">
        <v>38</v>
      </c>
      <c r="L2255" s="27"/>
    </row>
    <row r="2256" customFormat="false" ht="15" hidden="false" customHeight="false" outlineLevel="0" collapsed="false">
      <c r="A2256" s="26" t="s">
        <v>8245</v>
      </c>
      <c r="B2256" s="27" t="s">
        <v>8246</v>
      </c>
      <c r="C2256" s="27" t="s">
        <v>144</v>
      </c>
      <c r="D2256" s="26" t="s">
        <v>8085</v>
      </c>
      <c r="E2256" s="27" t="s">
        <v>8086</v>
      </c>
      <c r="F2256" s="28" t="s">
        <v>146</v>
      </c>
      <c r="G2256" s="27" t="s">
        <v>3537</v>
      </c>
      <c r="H2256" s="27" t="s">
        <v>56</v>
      </c>
      <c r="I2256" s="27" t="s">
        <v>38</v>
      </c>
      <c r="J2256" s="28" t="s">
        <v>913</v>
      </c>
      <c r="K2256" s="27" t="s">
        <v>38</v>
      </c>
      <c r="L2256" s="27"/>
    </row>
    <row r="2257" customFormat="false" ht="15" hidden="false" customHeight="false" outlineLevel="0" collapsed="false">
      <c r="A2257" s="26" t="s">
        <v>8247</v>
      </c>
      <c r="B2257" s="27" t="s">
        <v>8248</v>
      </c>
      <c r="C2257" s="27" t="s">
        <v>144</v>
      </c>
      <c r="D2257" s="26" t="s">
        <v>8099</v>
      </c>
      <c r="E2257" s="27" t="s">
        <v>8100</v>
      </c>
      <c r="F2257" s="28" t="s">
        <v>146</v>
      </c>
      <c r="G2257" s="27" t="s">
        <v>3537</v>
      </c>
      <c r="H2257" s="27" t="s">
        <v>56</v>
      </c>
      <c r="I2257" s="27" t="s">
        <v>38</v>
      </c>
      <c r="J2257" s="28" t="s">
        <v>913</v>
      </c>
      <c r="K2257" s="27" t="s">
        <v>38</v>
      </c>
      <c r="L2257" s="27"/>
    </row>
    <row r="2258" customFormat="false" ht="15" hidden="false" customHeight="false" outlineLevel="0" collapsed="false">
      <c r="A2258" s="26" t="s">
        <v>8249</v>
      </c>
      <c r="B2258" s="27" t="s">
        <v>8250</v>
      </c>
      <c r="C2258" s="27" t="s">
        <v>144</v>
      </c>
      <c r="D2258" s="26" t="s">
        <v>8251</v>
      </c>
      <c r="E2258" s="27" t="s">
        <v>8252</v>
      </c>
      <c r="F2258" s="28" t="s">
        <v>146</v>
      </c>
      <c r="G2258" s="27" t="s">
        <v>3537</v>
      </c>
      <c r="H2258" s="27" t="s">
        <v>56</v>
      </c>
      <c r="I2258" s="27" t="s">
        <v>38</v>
      </c>
      <c r="J2258" s="28" t="s">
        <v>913</v>
      </c>
      <c r="K2258" s="27" t="s">
        <v>38</v>
      </c>
      <c r="L2258" s="27"/>
    </row>
    <row r="2259" customFormat="false" ht="15" hidden="false" customHeight="false" outlineLevel="0" collapsed="false">
      <c r="A2259" s="26" t="s">
        <v>8253</v>
      </c>
      <c r="B2259" s="27" t="s">
        <v>8254</v>
      </c>
      <c r="C2259" s="27" t="s">
        <v>144</v>
      </c>
      <c r="D2259" s="26" t="s">
        <v>8255</v>
      </c>
      <c r="E2259" s="27" t="s">
        <v>8256</v>
      </c>
      <c r="F2259" s="28" t="s">
        <v>146</v>
      </c>
      <c r="G2259" s="27" t="s">
        <v>3537</v>
      </c>
      <c r="H2259" s="27" t="s">
        <v>56</v>
      </c>
      <c r="I2259" s="27" t="s">
        <v>38</v>
      </c>
      <c r="J2259" s="28" t="s">
        <v>913</v>
      </c>
      <c r="K2259" s="27" t="s">
        <v>38</v>
      </c>
      <c r="L2259" s="27"/>
    </row>
    <row r="2260" customFormat="false" ht="15" hidden="false" customHeight="false" outlineLevel="0" collapsed="false">
      <c r="A2260" s="26" t="s">
        <v>8257</v>
      </c>
      <c r="B2260" s="27" t="s">
        <v>8258</v>
      </c>
      <c r="C2260" s="27" t="s">
        <v>144</v>
      </c>
      <c r="D2260" s="26" t="s">
        <v>8259</v>
      </c>
      <c r="E2260" s="27" t="s">
        <v>8260</v>
      </c>
      <c r="F2260" s="28" t="s">
        <v>146</v>
      </c>
      <c r="G2260" s="27" t="s">
        <v>3537</v>
      </c>
      <c r="H2260" s="27" t="s">
        <v>56</v>
      </c>
      <c r="I2260" s="27" t="s">
        <v>38</v>
      </c>
      <c r="J2260" s="28" t="s">
        <v>913</v>
      </c>
      <c r="K2260" s="27" t="s">
        <v>38</v>
      </c>
      <c r="L2260" s="27"/>
    </row>
    <row r="2261" customFormat="false" ht="15" hidden="false" customHeight="false" outlineLevel="0" collapsed="false">
      <c r="A2261" s="26" t="s">
        <v>8261</v>
      </c>
      <c r="B2261" s="27" t="s">
        <v>8262</v>
      </c>
      <c r="C2261" s="27" t="s">
        <v>144</v>
      </c>
      <c r="D2261" s="26" t="s">
        <v>8263</v>
      </c>
      <c r="E2261" s="27" t="s">
        <v>8264</v>
      </c>
      <c r="F2261" s="28" t="s">
        <v>146</v>
      </c>
      <c r="G2261" s="27" t="s">
        <v>3537</v>
      </c>
      <c r="H2261" s="27" t="s">
        <v>57</v>
      </c>
      <c r="I2261" s="27" t="s">
        <v>4159</v>
      </c>
      <c r="J2261" s="28" t="s">
        <v>913</v>
      </c>
      <c r="K2261" s="27" t="s">
        <v>38</v>
      </c>
      <c r="L2261" s="27"/>
    </row>
    <row r="2262" customFormat="false" ht="15" hidden="false" customHeight="false" outlineLevel="0" collapsed="false">
      <c r="A2262" s="26" t="s">
        <v>8265</v>
      </c>
      <c r="B2262" s="27" t="s">
        <v>8266</v>
      </c>
      <c r="C2262" s="27" t="s">
        <v>144</v>
      </c>
      <c r="D2262" s="26" t="s">
        <v>8267</v>
      </c>
      <c r="E2262" s="27" t="s">
        <v>8268</v>
      </c>
      <c r="F2262" s="28" t="s">
        <v>146</v>
      </c>
      <c r="G2262" s="27" t="s">
        <v>3537</v>
      </c>
      <c r="H2262" s="27" t="s">
        <v>56</v>
      </c>
      <c r="I2262" s="27" t="s">
        <v>38</v>
      </c>
      <c r="J2262" s="28" t="s">
        <v>913</v>
      </c>
      <c r="K2262" s="27" t="s">
        <v>38</v>
      </c>
      <c r="L2262" s="27"/>
    </row>
    <row r="2263" customFormat="false" ht="15" hidden="false" customHeight="false" outlineLevel="0" collapsed="false">
      <c r="A2263" s="26" t="s">
        <v>8269</v>
      </c>
      <c r="B2263" s="27" t="s">
        <v>8270</v>
      </c>
      <c r="C2263" s="27" t="s">
        <v>144</v>
      </c>
      <c r="D2263" s="26" t="s">
        <v>8089</v>
      </c>
      <c r="E2263" s="27" t="s">
        <v>8090</v>
      </c>
      <c r="F2263" s="28" t="s">
        <v>146</v>
      </c>
      <c r="G2263" s="27" t="s">
        <v>3537</v>
      </c>
      <c r="H2263" s="27" t="s">
        <v>56</v>
      </c>
      <c r="I2263" s="27" t="s">
        <v>38</v>
      </c>
      <c r="J2263" s="28" t="s">
        <v>913</v>
      </c>
      <c r="K2263" s="27" t="s">
        <v>38</v>
      </c>
      <c r="L2263" s="27"/>
    </row>
    <row r="2264" customFormat="false" ht="15" hidden="false" customHeight="false" outlineLevel="0" collapsed="false">
      <c r="A2264" s="26" t="s">
        <v>8271</v>
      </c>
      <c r="B2264" s="27" t="s">
        <v>8272</v>
      </c>
      <c r="C2264" s="27" t="s">
        <v>144</v>
      </c>
      <c r="D2264" s="26" t="s">
        <v>8139</v>
      </c>
      <c r="E2264" s="27" t="s">
        <v>8140</v>
      </c>
      <c r="F2264" s="28" t="s">
        <v>146</v>
      </c>
      <c r="G2264" s="27" t="s">
        <v>3537</v>
      </c>
      <c r="H2264" s="27" t="s">
        <v>56</v>
      </c>
      <c r="I2264" s="27" t="s">
        <v>38</v>
      </c>
      <c r="J2264" s="28" t="s">
        <v>913</v>
      </c>
      <c r="K2264" s="27" t="s">
        <v>38</v>
      </c>
      <c r="L2264" s="27"/>
    </row>
    <row r="2265" customFormat="false" ht="15" hidden="false" customHeight="false" outlineLevel="0" collapsed="false">
      <c r="A2265" s="26" t="s">
        <v>8273</v>
      </c>
      <c r="B2265" s="27" t="s">
        <v>8274</v>
      </c>
      <c r="C2265" s="27" t="s">
        <v>144</v>
      </c>
      <c r="D2265" s="26" t="s">
        <v>8275</v>
      </c>
      <c r="E2265" s="27" t="s">
        <v>8276</v>
      </c>
      <c r="F2265" s="28" t="s">
        <v>146</v>
      </c>
      <c r="G2265" s="27" t="s">
        <v>3537</v>
      </c>
      <c r="H2265" s="27" t="s">
        <v>56</v>
      </c>
      <c r="I2265" s="27" t="s">
        <v>38</v>
      </c>
      <c r="J2265" s="28" t="s">
        <v>913</v>
      </c>
      <c r="K2265" s="27" t="s">
        <v>38</v>
      </c>
      <c r="L2265" s="27"/>
    </row>
    <row r="2266" customFormat="false" ht="15" hidden="false" customHeight="false" outlineLevel="0" collapsed="false">
      <c r="A2266" s="26" t="s">
        <v>8277</v>
      </c>
      <c r="B2266" s="27" t="s">
        <v>8278</v>
      </c>
      <c r="C2266" s="27" t="s">
        <v>144</v>
      </c>
      <c r="D2266" s="26" t="s">
        <v>8275</v>
      </c>
      <c r="E2266" s="27" t="s">
        <v>8276</v>
      </c>
      <c r="F2266" s="28" t="s">
        <v>146</v>
      </c>
      <c r="G2266" s="27" t="s">
        <v>3537</v>
      </c>
      <c r="H2266" s="27" t="s">
        <v>56</v>
      </c>
      <c r="I2266" s="27" t="s">
        <v>38</v>
      </c>
      <c r="J2266" s="28" t="s">
        <v>913</v>
      </c>
      <c r="K2266" s="27" t="s">
        <v>38</v>
      </c>
      <c r="L2266" s="27"/>
    </row>
    <row r="2267" customFormat="false" ht="15" hidden="false" customHeight="false" outlineLevel="0" collapsed="false">
      <c r="A2267" s="26" t="s">
        <v>8279</v>
      </c>
      <c r="B2267" s="27" t="s">
        <v>8280</v>
      </c>
      <c r="C2267" s="27" t="s">
        <v>144</v>
      </c>
      <c r="D2267" s="26" t="s">
        <v>8267</v>
      </c>
      <c r="E2267" s="27" t="s">
        <v>8268</v>
      </c>
      <c r="F2267" s="28" t="s">
        <v>146</v>
      </c>
      <c r="G2267" s="27" t="s">
        <v>3537</v>
      </c>
      <c r="H2267" s="27" t="s">
        <v>56</v>
      </c>
      <c r="I2267" s="27" t="s">
        <v>38</v>
      </c>
      <c r="J2267" s="28" t="s">
        <v>913</v>
      </c>
      <c r="K2267" s="27" t="s">
        <v>38</v>
      </c>
      <c r="L2267" s="27"/>
    </row>
    <row r="2268" customFormat="false" ht="15" hidden="false" customHeight="false" outlineLevel="0" collapsed="false">
      <c r="A2268" s="26" t="s">
        <v>8281</v>
      </c>
      <c r="B2268" s="27" t="s">
        <v>8282</v>
      </c>
      <c r="C2268" s="27" t="s">
        <v>144</v>
      </c>
      <c r="D2268" s="26" t="s">
        <v>8283</v>
      </c>
      <c r="E2268" s="27" t="s">
        <v>8284</v>
      </c>
      <c r="F2268" s="28" t="s">
        <v>146</v>
      </c>
      <c r="G2268" s="27" t="s">
        <v>3537</v>
      </c>
      <c r="H2268" s="27" t="s">
        <v>56</v>
      </c>
      <c r="I2268" s="27" t="s">
        <v>38</v>
      </c>
      <c r="J2268" s="28" t="s">
        <v>913</v>
      </c>
      <c r="K2268" s="27" t="s">
        <v>38</v>
      </c>
      <c r="L2268" s="27"/>
    </row>
    <row r="2269" customFormat="false" ht="15" hidden="false" customHeight="false" outlineLevel="0" collapsed="false">
      <c r="A2269" s="26" t="s">
        <v>8285</v>
      </c>
      <c r="B2269" s="27" t="s">
        <v>8286</v>
      </c>
      <c r="C2269" s="27" t="s">
        <v>144</v>
      </c>
      <c r="D2269" s="26" t="s">
        <v>8283</v>
      </c>
      <c r="E2269" s="27" t="s">
        <v>8284</v>
      </c>
      <c r="F2269" s="28" t="s">
        <v>146</v>
      </c>
      <c r="G2269" s="27" t="s">
        <v>3537</v>
      </c>
      <c r="H2269" s="27" t="s">
        <v>56</v>
      </c>
      <c r="I2269" s="27" t="s">
        <v>38</v>
      </c>
      <c r="J2269" s="28" t="s">
        <v>913</v>
      </c>
      <c r="K2269" s="27" t="s">
        <v>38</v>
      </c>
      <c r="L2269" s="27"/>
    </row>
    <row r="2270" customFormat="false" ht="15" hidden="false" customHeight="false" outlineLevel="0" collapsed="false">
      <c r="A2270" s="26" t="s">
        <v>8287</v>
      </c>
      <c r="B2270" s="27" t="s">
        <v>8288</v>
      </c>
      <c r="C2270" s="27" t="s">
        <v>144</v>
      </c>
      <c r="D2270" s="26" t="s">
        <v>8289</v>
      </c>
      <c r="E2270" s="27" t="s">
        <v>8290</v>
      </c>
      <c r="F2270" s="28" t="s">
        <v>146</v>
      </c>
      <c r="G2270" s="27" t="s">
        <v>3537</v>
      </c>
      <c r="H2270" s="27" t="s">
        <v>56</v>
      </c>
      <c r="I2270" s="27" t="s">
        <v>38</v>
      </c>
      <c r="J2270" s="28" t="s">
        <v>913</v>
      </c>
      <c r="K2270" s="27" t="s">
        <v>38</v>
      </c>
      <c r="L2270" s="27"/>
    </row>
    <row r="2271" customFormat="false" ht="15" hidden="false" customHeight="false" outlineLevel="0" collapsed="false">
      <c r="A2271" s="26" t="s">
        <v>8291</v>
      </c>
      <c r="B2271" s="27" t="s">
        <v>8292</v>
      </c>
      <c r="C2271" s="27" t="s">
        <v>144</v>
      </c>
      <c r="D2271" s="26" t="s">
        <v>8293</v>
      </c>
      <c r="E2271" s="27" t="s">
        <v>8294</v>
      </c>
      <c r="F2271" s="28" t="s">
        <v>146</v>
      </c>
      <c r="G2271" s="27" t="s">
        <v>3537</v>
      </c>
      <c r="H2271" s="27" t="s">
        <v>56</v>
      </c>
      <c r="I2271" s="27" t="s">
        <v>38</v>
      </c>
      <c r="J2271" s="28" t="s">
        <v>913</v>
      </c>
      <c r="K2271" s="27" t="s">
        <v>38</v>
      </c>
      <c r="L2271" s="27"/>
    </row>
    <row r="2272" customFormat="false" ht="15" hidden="false" customHeight="false" outlineLevel="0" collapsed="false">
      <c r="A2272" s="26" t="s">
        <v>8295</v>
      </c>
      <c r="B2272" s="27" t="s">
        <v>8296</v>
      </c>
      <c r="C2272" s="27" t="s">
        <v>144</v>
      </c>
      <c r="D2272" s="26" t="s">
        <v>8297</v>
      </c>
      <c r="E2272" s="27" t="s">
        <v>8298</v>
      </c>
      <c r="F2272" s="28" t="s">
        <v>146</v>
      </c>
      <c r="G2272" s="27" t="s">
        <v>3537</v>
      </c>
      <c r="H2272" s="27" t="s">
        <v>56</v>
      </c>
      <c r="I2272" s="27" t="s">
        <v>38</v>
      </c>
      <c r="J2272" s="28" t="s">
        <v>913</v>
      </c>
      <c r="K2272" s="27" t="s">
        <v>38</v>
      </c>
      <c r="L2272" s="27"/>
    </row>
    <row r="2273" customFormat="false" ht="15" hidden="false" customHeight="false" outlineLevel="0" collapsed="false">
      <c r="A2273" s="26" t="s">
        <v>8299</v>
      </c>
      <c r="B2273" s="27" t="s">
        <v>8300</v>
      </c>
      <c r="C2273" s="27" t="s">
        <v>144</v>
      </c>
      <c r="D2273" s="26" t="s">
        <v>8301</v>
      </c>
      <c r="E2273" s="27" t="s">
        <v>8302</v>
      </c>
      <c r="F2273" s="28" t="s">
        <v>146</v>
      </c>
      <c r="G2273" s="27" t="s">
        <v>3537</v>
      </c>
      <c r="H2273" s="27" t="s">
        <v>57</v>
      </c>
      <c r="I2273" s="27" t="s">
        <v>40</v>
      </c>
      <c r="J2273" s="28" t="s">
        <v>913</v>
      </c>
      <c r="K2273" s="27" t="s">
        <v>38</v>
      </c>
      <c r="L2273" s="27"/>
    </row>
    <row r="2274" customFormat="false" ht="15" hidden="false" customHeight="false" outlineLevel="0" collapsed="false">
      <c r="A2274" s="26" t="s">
        <v>8303</v>
      </c>
      <c r="B2274" s="27" t="s">
        <v>8304</v>
      </c>
      <c r="C2274" s="27" t="s">
        <v>144</v>
      </c>
      <c r="D2274" s="26" t="s">
        <v>8305</v>
      </c>
      <c r="E2274" s="27" t="s">
        <v>8306</v>
      </c>
      <c r="F2274" s="28" t="s">
        <v>146</v>
      </c>
      <c r="G2274" s="27" t="s">
        <v>3537</v>
      </c>
      <c r="H2274" s="27" t="s">
        <v>56</v>
      </c>
      <c r="I2274" s="27" t="s">
        <v>38</v>
      </c>
      <c r="J2274" s="28" t="s">
        <v>913</v>
      </c>
      <c r="K2274" s="27" t="s">
        <v>38</v>
      </c>
      <c r="L2274" s="27"/>
    </row>
    <row r="2275" customFormat="false" ht="15" hidden="false" customHeight="false" outlineLevel="0" collapsed="false">
      <c r="A2275" s="26" t="s">
        <v>8307</v>
      </c>
      <c r="B2275" s="27" t="s">
        <v>8308</v>
      </c>
      <c r="C2275" s="27" t="s">
        <v>144</v>
      </c>
      <c r="D2275" s="26" t="s">
        <v>8215</v>
      </c>
      <c r="E2275" s="27" t="s">
        <v>8216</v>
      </c>
      <c r="F2275" s="28" t="s">
        <v>146</v>
      </c>
      <c r="G2275" s="27" t="s">
        <v>3537</v>
      </c>
      <c r="H2275" s="27" t="s">
        <v>56</v>
      </c>
      <c r="I2275" s="27" t="s">
        <v>38</v>
      </c>
      <c r="J2275" s="28" t="s">
        <v>913</v>
      </c>
      <c r="K2275" s="27" t="s">
        <v>38</v>
      </c>
      <c r="L2275" s="27"/>
    </row>
    <row r="2276" customFormat="false" ht="15" hidden="false" customHeight="false" outlineLevel="0" collapsed="false">
      <c r="A2276" s="26" t="s">
        <v>8309</v>
      </c>
      <c r="B2276" s="27" t="s">
        <v>8310</v>
      </c>
      <c r="C2276" s="27" t="s">
        <v>144</v>
      </c>
      <c r="D2276" s="26" t="s">
        <v>8311</v>
      </c>
      <c r="E2276" s="27" t="s">
        <v>8312</v>
      </c>
      <c r="F2276" s="28" t="s">
        <v>146</v>
      </c>
      <c r="G2276" s="27" t="s">
        <v>3537</v>
      </c>
      <c r="H2276" s="27" t="s">
        <v>56</v>
      </c>
      <c r="I2276" s="27" t="s">
        <v>38</v>
      </c>
      <c r="J2276" s="28" t="s">
        <v>913</v>
      </c>
      <c r="K2276" s="27" t="s">
        <v>38</v>
      </c>
      <c r="L2276" s="27"/>
    </row>
    <row r="2277" customFormat="false" ht="15" hidden="false" customHeight="false" outlineLevel="0" collapsed="false">
      <c r="A2277" s="26" t="s">
        <v>8313</v>
      </c>
      <c r="B2277" s="27" t="s">
        <v>8314</v>
      </c>
      <c r="C2277" s="27" t="s">
        <v>144</v>
      </c>
      <c r="D2277" s="26" t="s">
        <v>8293</v>
      </c>
      <c r="E2277" s="27" t="s">
        <v>8294</v>
      </c>
      <c r="F2277" s="28" t="s">
        <v>146</v>
      </c>
      <c r="G2277" s="27" t="s">
        <v>3537</v>
      </c>
      <c r="H2277" s="27" t="s">
        <v>56</v>
      </c>
      <c r="I2277" s="27" t="s">
        <v>38</v>
      </c>
      <c r="J2277" s="28" t="s">
        <v>913</v>
      </c>
      <c r="K2277" s="27" t="s">
        <v>38</v>
      </c>
      <c r="L2277" s="27"/>
    </row>
    <row r="2278" customFormat="false" ht="15" hidden="false" customHeight="false" outlineLevel="0" collapsed="false">
      <c r="A2278" s="26" t="s">
        <v>8315</v>
      </c>
      <c r="B2278" s="27" t="s">
        <v>8316</v>
      </c>
      <c r="C2278" s="27" t="s">
        <v>144</v>
      </c>
      <c r="D2278" s="26" t="s">
        <v>8317</v>
      </c>
      <c r="E2278" s="27" t="s">
        <v>8318</v>
      </c>
      <c r="F2278" s="28" t="s">
        <v>146</v>
      </c>
      <c r="G2278" s="27" t="s">
        <v>3537</v>
      </c>
      <c r="H2278" s="27" t="s">
        <v>56</v>
      </c>
      <c r="I2278" s="27" t="s">
        <v>38</v>
      </c>
      <c r="J2278" s="28" t="s">
        <v>913</v>
      </c>
      <c r="K2278" s="27" t="s">
        <v>38</v>
      </c>
      <c r="L2278" s="27"/>
    </row>
    <row r="2279" customFormat="false" ht="15" hidden="false" customHeight="false" outlineLevel="0" collapsed="false">
      <c r="A2279" s="26" t="s">
        <v>8319</v>
      </c>
      <c r="B2279" s="27" t="s">
        <v>8320</v>
      </c>
      <c r="C2279" s="27" t="s">
        <v>144</v>
      </c>
      <c r="D2279" s="26" t="s">
        <v>8321</v>
      </c>
      <c r="E2279" s="27" t="s">
        <v>8322</v>
      </c>
      <c r="F2279" s="28" t="s">
        <v>146</v>
      </c>
      <c r="G2279" s="27" t="s">
        <v>3537</v>
      </c>
      <c r="H2279" s="27" t="s">
        <v>56</v>
      </c>
      <c r="I2279" s="27" t="s">
        <v>38</v>
      </c>
      <c r="J2279" s="28" t="s">
        <v>913</v>
      </c>
      <c r="K2279" s="27" t="s">
        <v>38</v>
      </c>
      <c r="L2279" s="27"/>
    </row>
    <row r="2280" customFormat="false" ht="15" hidden="false" customHeight="false" outlineLevel="0" collapsed="false">
      <c r="A2280" s="26" t="s">
        <v>8323</v>
      </c>
      <c r="B2280" s="27" t="s">
        <v>8324</v>
      </c>
      <c r="C2280" s="27" t="s">
        <v>144</v>
      </c>
      <c r="D2280" s="26" t="s">
        <v>8325</v>
      </c>
      <c r="E2280" s="27" t="s">
        <v>8326</v>
      </c>
      <c r="F2280" s="28" t="s">
        <v>146</v>
      </c>
      <c r="G2280" s="27" t="s">
        <v>3537</v>
      </c>
      <c r="H2280" s="27" t="s">
        <v>56</v>
      </c>
      <c r="I2280" s="27" t="s">
        <v>38</v>
      </c>
      <c r="J2280" s="28" t="s">
        <v>913</v>
      </c>
      <c r="K2280" s="27" t="s">
        <v>38</v>
      </c>
      <c r="L2280" s="27"/>
    </row>
    <row r="2281" customFormat="false" ht="15" hidden="false" customHeight="false" outlineLevel="0" collapsed="false">
      <c r="A2281" s="26" t="s">
        <v>8327</v>
      </c>
      <c r="B2281" s="27" t="s">
        <v>8328</v>
      </c>
      <c r="C2281" s="27" t="s">
        <v>144</v>
      </c>
      <c r="D2281" s="26" t="s">
        <v>8325</v>
      </c>
      <c r="E2281" s="27" t="s">
        <v>8326</v>
      </c>
      <c r="F2281" s="28" t="s">
        <v>146</v>
      </c>
      <c r="G2281" s="27" t="s">
        <v>3537</v>
      </c>
      <c r="H2281" s="27" t="s">
        <v>56</v>
      </c>
      <c r="I2281" s="27" t="s">
        <v>38</v>
      </c>
      <c r="J2281" s="28" t="s">
        <v>913</v>
      </c>
      <c r="K2281" s="27" t="s">
        <v>38</v>
      </c>
      <c r="L2281" s="27"/>
    </row>
    <row r="2282" customFormat="false" ht="15" hidden="false" customHeight="false" outlineLevel="0" collapsed="false">
      <c r="A2282" s="26" t="s">
        <v>8329</v>
      </c>
      <c r="B2282" s="27" t="s">
        <v>8330</v>
      </c>
      <c r="C2282" s="27" t="s">
        <v>144</v>
      </c>
      <c r="D2282" s="26" t="s">
        <v>8331</v>
      </c>
      <c r="E2282" s="27" t="s">
        <v>8332</v>
      </c>
      <c r="F2282" s="28" t="s">
        <v>146</v>
      </c>
      <c r="G2282" s="27" t="s">
        <v>3537</v>
      </c>
      <c r="H2282" s="27" t="s">
        <v>56</v>
      </c>
      <c r="I2282" s="27" t="s">
        <v>38</v>
      </c>
      <c r="J2282" s="28" t="s">
        <v>913</v>
      </c>
      <c r="K2282" s="27" t="s">
        <v>38</v>
      </c>
      <c r="L2282" s="27"/>
    </row>
    <row r="2283" customFormat="false" ht="15" hidden="false" customHeight="false" outlineLevel="0" collapsed="false">
      <c r="A2283" s="26" t="s">
        <v>8333</v>
      </c>
      <c r="B2283" s="27" t="s">
        <v>8334</v>
      </c>
      <c r="C2283" s="27" t="s">
        <v>144</v>
      </c>
      <c r="D2283" s="26" t="s">
        <v>8311</v>
      </c>
      <c r="E2283" s="27" t="s">
        <v>8312</v>
      </c>
      <c r="F2283" s="28" t="s">
        <v>146</v>
      </c>
      <c r="G2283" s="27" t="s">
        <v>3537</v>
      </c>
      <c r="H2283" s="27" t="s">
        <v>56</v>
      </c>
      <c r="I2283" s="27" t="s">
        <v>38</v>
      </c>
      <c r="J2283" s="28" t="s">
        <v>913</v>
      </c>
      <c r="K2283" s="27" t="s">
        <v>38</v>
      </c>
      <c r="L2283" s="27"/>
    </row>
    <row r="2284" customFormat="false" ht="15" hidden="false" customHeight="false" outlineLevel="0" collapsed="false">
      <c r="A2284" s="26" t="s">
        <v>8335</v>
      </c>
      <c r="B2284" s="27" t="s">
        <v>8336</v>
      </c>
      <c r="C2284" s="27" t="s">
        <v>144</v>
      </c>
      <c r="D2284" s="26" t="s">
        <v>8311</v>
      </c>
      <c r="E2284" s="27" t="s">
        <v>8312</v>
      </c>
      <c r="F2284" s="28" t="s">
        <v>146</v>
      </c>
      <c r="G2284" s="27" t="s">
        <v>3537</v>
      </c>
      <c r="H2284" s="27" t="s">
        <v>56</v>
      </c>
      <c r="I2284" s="27" t="s">
        <v>38</v>
      </c>
      <c r="J2284" s="28" t="s">
        <v>913</v>
      </c>
      <c r="K2284" s="27" t="s">
        <v>38</v>
      </c>
      <c r="L2284" s="27"/>
    </row>
    <row r="2285" customFormat="false" ht="15" hidden="false" customHeight="false" outlineLevel="0" collapsed="false">
      <c r="A2285" s="26" t="s">
        <v>8337</v>
      </c>
      <c r="B2285" s="27" t="s">
        <v>8338</v>
      </c>
      <c r="C2285" s="27" t="s">
        <v>144</v>
      </c>
      <c r="D2285" s="26" t="s">
        <v>8339</v>
      </c>
      <c r="E2285" s="27" t="s">
        <v>8340</v>
      </c>
      <c r="F2285" s="28" t="s">
        <v>146</v>
      </c>
      <c r="G2285" s="27" t="s">
        <v>3537</v>
      </c>
      <c r="H2285" s="27" t="s">
        <v>56</v>
      </c>
      <c r="I2285" s="27" t="s">
        <v>38</v>
      </c>
      <c r="J2285" s="28" t="s">
        <v>913</v>
      </c>
      <c r="K2285" s="27" t="s">
        <v>38</v>
      </c>
      <c r="L2285" s="27"/>
    </row>
    <row r="2286" customFormat="false" ht="15" hidden="false" customHeight="false" outlineLevel="0" collapsed="false">
      <c r="A2286" s="26" t="s">
        <v>8341</v>
      </c>
      <c r="B2286" s="27" t="s">
        <v>8342</v>
      </c>
      <c r="C2286" s="27" t="s">
        <v>144</v>
      </c>
      <c r="D2286" s="26" t="s">
        <v>8343</v>
      </c>
      <c r="E2286" s="27" t="s">
        <v>8344</v>
      </c>
      <c r="F2286" s="28" t="s">
        <v>146</v>
      </c>
      <c r="G2286" s="27" t="s">
        <v>3537</v>
      </c>
      <c r="H2286" s="27" t="s">
        <v>56</v>
      </c>
      <c r="I2286" s="27" t="s">
        <v>38</v>
      </c>
      <c r="J2286" s="28" t="s">
        <v>913</v>
      </c>
      <c r="K2286" s="27" t="s">
        <v>38</v>
      </c>
      <c r="L2286" s="27"/>
    </row>
    <row r="2287" customFormat="false" ht="15" hidden="false" customHeight="false" outlineLevel="0" collapsed="false">
      <c r="A2287" s="26" t="s">
        <v>8345</v>
      </c>
      <c r="B2287" s="27" t="s">
        <v>8346</v>
      </c>
      <c r="C2287" s="27" t="s">
        <v>144</v>
      </c>
      <c r="D2287" s="26" t="s">
        <v>8347</v>
      </c>
      <c r="E2287" s="27" t="s">
        <v>8348</v>
      </c>
      <c r="F2287" s="28" t="s">
        <v>146</v>
      </c>
      <c r="G2287" s="27" t="s">
        <v>3537</v>
      </c>
      <c r="H2287" s="27" t="s">
        <v>56</v>
      </c>
      <c r="I2287" s="27" t="s">
        <v>38</v>
      </c>
      <c r="J2287" s="28" t="s">
        <v>913</v>
      </c>
      <c r="K2287" s="27" t="s">
        <v>38</v>
      </c>
      <c r="L2287" s="27"/>
    </row>
    <row r="2288" customFormat="false" ht="15" hidden="false" customHeight="false" outlineLevel="0" collapsed="false">
      <c r="A2288" s="26" t="s">
        <v>8349</v>
      </c>
      <c r="B2288" s="27" t="s">
        <v>8350</v>
      </c>
      <c r="C2288" s="27" t="s">
        <v>144</v>
      </c>
      <c r="D2288" s="26" t="s">
        <v>8347</v>
      </c>
      <c r="E2288" s="27" t="s">
        <v>8348</v>
      </c>
      <c r="F2288" s="28" t="s">
        <v>146</v>
      </c>
      <c r="G2288" s="27" t="s">
        <v>3537</v>
      </c>
      <c r="H2288" s="27" t="s">
        <v>56</v>
      </c>
      <c r="I2288" s="27" t="s">
        <v>38</v>
      </c>
      <c r="J2288" s="28" t="s">
        <v>913</v>
      </c>
      <c r="K2288" s="27" t="s">
        <v>38</v>
      </c>
      <c r="L2288" s="27"/>
    </row>
    <row r="2289" customFormat="false" ht="15" hidden="false" customHeight="false" outlineLevel="0" collapsed="false">
      <c r="A2289" s="26" t="s">
        <v>8351</v>
      </c>
      <c r="B2289" s="27" t="s">
        <v>8352</v>
      </c>
      <c r="C2289" s="27" t="s">
        <v>144</v>
      </c>
      <c r="D2289" s="26" t="s">
        <v>8353</v>
      </c>
      <c r="E2289" s="27" t="s">
        <v>8354</v>
      </c>
      <c r="F2289" s="28" t="s">
        <v>146</v>
      </c>
      <c r="G2289" s="27" t="s">
        <v>3537</v>
      </c>
      <c r="H2289" s="27" t="s">
        <v>56</v>
      </c>
      <c r="I2289" s="27" t="s">
        <v>38</v>
      </c>
      <c r="J2289" s="28" t="s">
        <v>913</v>
      </c>
      <c r="K2289" s="27" t="s">
        <v>38</v>
      </c>
      <c r="L2289" s="27"/>
    </row>
    <row r="2290" customFormat="false" ht="15" hidden="false" customHeight="false" outlineLevel="0" collapsed="false">
      <c r="A2290" s="26" t="s">
        <v>8355</v>
      </c>
      <c r="B2290" s="27" t="s">
        <v>8356</v>
      </c>
      <c r="C2290" s="27" t="s">
        <v>144</v>
      </c>
      <c r="D2290" s="26" t="s">
        <v>8353</v>
      </c>
      <c r="E2290" s="27" t="s">
        <v>8354</v>
      </c>
      <c r="F2290" s="28" t="s">
        <v>146</v>
      </c>
      <c r="G2290" s="27" t="s">
        <v>3537</v>
      </c>
      <c r="H2290" s="27" t="s">
        <v>56</v>
      </c>
      <c r="I2290" s="27" t="s">
        <v>38</v>
      </c>
      <c r="J2290" s="28" t="s">
        <v>913</v>
      </c>
      <c r="K2290" s="27" t="s">
        <v>38</v>
      </c>
      <c r="L2290" s="27"/>
    </row>
    <row r="2291" customFormat="false" ht="15" hidden="false" customHeight="false" outlineLevel="0" collapsed="false">
      <c r="A2291" s="26" t="s">
        <v>8357</v>
      </c>
      <c r="B2291" s="27" t="s">
        <v>8358</v>
      </c>
      <c r="C2291" s="27" t="s">
        <v>144</v>
      </c>
      <c r="D2291" s="26" t="s">
        <v>8267</v>
      </c>
      <c r="E2291" s="27" t="s">
        <v>8268</v>
      </c>
      <c r="F2291" s="28" t="s">
        <v>146</v>
      </c>
      <c r="G2291" s="27" t="s">
        <v>3537</v>
      </c>
      <c r="H2291" s="27" t="s">
        <v>56</v>
      </c>
      <c r="I2291" s="27" t="s">
        <v>38</v>
      </c>
      <c r="J2291" s="28" t="s">
        <v>913</v>
      </c>
      <c r="K2291" s="27" t="s">
        <v>38</v>
      </c>
      <c r="L2291" s="27"/>
    </row>
    <row r="2292" customFormat="false" ht="15" hidden="false" customHeight="false" outlineLevel="0" collapsed="false">
      <c r="A2292" s="26" t="s">
        <v>8359</v>
      </c>
      <c r="B2292" s="27" t="s">
        <v>8360</v>
      </c>
      <c r="C2292" s="27" t="s">
        <v>144</v>
      </c>
      <c r="D2292" s="26" t="s">
        <v>8361</v>
      </c>
      <c r="E2292" s="27" t="s">
        <v>8362</v>
      </c>
      <c r="F2292" s="28" t="s">
        <v>146</v>
      </c>
      <c r="G2292" s="27" t="s">
        <v>3537</v>
      </c>
      <c r="H2292" s="27" t="s">
        <v>56</v>
      </c>
      <c r="I2292" s="27" t="s">
        <v>38</v>
      </c>
      <c r="J2292" s="28" t="s">
        <v>913</v>
      </c>
      <c r="K2292" s="27" t="s">
        <v>38</v>
      </c>
      <c r="L2292" s="27"/>
    </row>
    <row r="2293" customFormat="false" ht="15" hidden="false" customHeight="false" outlineLevel="0" collapsed="false">
      <c r="A2293" s="26" t="s">
        <v>8363</v>
      </c>
      <c r="B2293" s="27" t="s">
        <v>8364</v>
      </c>
      <c r="C2293" s="27" t="s">
        <v>144</v>
      </c>
      <c r="D2293" s="26" t="s">
        <v>8365</v>
      </c>
      <c r="E2293" s="27" t="s">
        <v>8366</v>
      </c>
      <c r="F2293" s="28" t="s">
        <v>146</v>
      </c>
      <c r="G2293" s="27" t="s">
        <v>3537</v>
      </c>
      <c r="H2293" s="27" t="s">
        <v>56</v>
      </c>
      <c r="I2293" s="27" t="s">
        <v>38</v>
      </c>
      <c r="J2293" s="28" t="s">
        <v>913</v>
      </c>
      <c r="K2293" s="27" t="s">
        <v>38</v>
      </c>
      <c r="L2293" s="27"/>
    </row>
    <row r="2294" customFormat="false" ht="15" hidden="false" customHeight="false" outlineLevel="0" collapsed="false">
      <c r="A2294" s="26" t="s">
        <v>8367</v>
      </c>
      <c r="B2294" s="27" t="s">
        <v>8368</v>
      </c>
      <c r="C2294" s="27" t="s">
        <v>144</v>
      </c>
      <c r="D2294" s="26" t="s">
        <v>8369</v>
      </c>
      <c r="E2294" s="27" t="s">
        <v>8370</v>
      </c>
      <c r="F2294" s="28" t="s">
        <v>146</v>
      </c>
      <c r="G2294" s="27" t="s">
        <v>3537</v>
      </c>
      <c r="H2294" s="27" t="s">
        <v>56</v>
      </c>
      <c r="I2294" s="27" t="s">
        <v>38</v>
      </c>
      <c r="J2294" s="28" t="s">
        <v>913</v>
      </c>
      <c r="K2294" s="27" t="s">
        <v>38</v>
      </c>
      <c r="L2294" s="27"/>
    </row>
    <row r="2295" customFormat="false" ht="15" hidden="false" customHeight="false" outlineLevel="0" collapsed="false">
      <c r="A2295" s="26" t="s">
        <v>8371</v>
      </c>
      <c r="B2295" s="27" t="s">
        <v>8372</v>
      </c>
      <c r="C2295" s="27" t="s">
        <v>144</v>
      </c>
      <c r="D2295" s="26" t="s">
        <v>8373</v>
      </c>
      <c r="E2295" s="27" t="s">
        <v>8374</v>
      </c>
      <c r="F2295" s="28" t="s">
        <v>146</v>
      </c>
      <c r="G2295" s="27" t="s">
        <v>3537</v>
      </c>
      <c r="H2295" s="27" t="s">
        <v>56</v>
      </c>
      <c r="I2295" s="27" t="s">
        <v>38</v>
      </c>
      <c r="J2295" s="28" t="s">
        <v>913</v>
      </c>
      <c r="K2295" s="27" t="s">
        <v>38</v>
      </c>
      <c r="L2295" s="27"/>
    </row>
    <row r="2296" customFormat="false" ht="15" hidden="false" customHeight="false" outlineLevel="0" collapsed="false">
      <c r="A2296" s="26" t="s">
        <v>8375</v>
      </c>
      <c r="B2296" s="27" t="s">
        <v>8376</v>
      </c>
      <c r="C2296" s="27" t="s">
        <v>144</v>
      </c>
      <c r="D2296" s="26" t="s">
        <v>8377</v>
      </c>
      <c r="E2296" s="27" t="s">
        <v>8378</v>
      </c>
      <c r="F2296" s="28" t="s">
        <v>146</v>
      </c>
      <c r="G2296" s="27" t="s">
        <v>3537</v>
      </c>
      <c r="H2296" s="27" t="s">
        <v>56</v>
      </c>
      <c r="I2296" s="27" t="s">
        <v>38</v>
      </c>
      <c r="J2296" s="28" t="s">
        <v>913</v>
      </c>
      <c r="K2296" s="27" t="s">
        <v>38</v>
      </c>
      <c r="L2296" s="27"/>
    </row>
    <row r="2297" customFormat="false" ht="15" hidden="false" customHeight="false" outlineLevel="0" collapsed="false">
      <c r="A2297" s="26" t="s">
        <v>8379</v>
      </c>
      <c r="B2297" s="27" t="s">
        <v>8380</v>
      </c>
      <c r="C2297" s="27" t="s">
        <v>144</v>
      </c>
      <c r="D2297" s="26" t="s">
        <v>8381</v>
      </c>
      <c r="E2297" s="27" t="s">
        <v>8382</v>
      </c>
      <c r="F2297" s="28" t="s">
        <v>146</v>
      </c>
      <c r="G2297" s="27" t="s">
        <v>3537</v>
      </c>
      <c r="H2297" s="27" t="s">
        <v>56</v>
      </c>
      <c r="I2297" s="27" t="s">
        <v>38</v>
      </c>
      <c r="J2297" s="28" t="s">
        <v>913</v>
      </c>
      <c r="K2297" s="27" t="s">
        <v>38</v>
      </c>
      <c r="L2297" s="27"/>
    </row>
    <row r="2298" customFormat="false" ht="15" hidden="false" customHeight="false" outlineLevel="0" collapsed="false">
      <c r="A2298" s="26" t="s">
        <v>8383</v>
      </c>
      <c r="B2298" s="27" t="s">
        <v>8384</v>
      </c>
      <c r="C2298" s="27" t="s">
        <v>144</v>
      </c>
      <c r="D2298" s="26" t="s">
        <v>8385</v>
      </c>
      <c r="E2298" s="27" t="s">
        <v>8386</v>
      </c>
      <c r="F2298" s="28" t="s">
        <v>146</v>
      </c>
      <c r="G2298" s="27" t="s">
        <v>3537</v>
      </c>
      <c r="H2298" s="27" t="s">
        <v>56</v>
      </c>
      <c r="I2298" s="27" t="s">
        <v>38</v>
      </c>
      <c r="J2298" s="28" t="s">
        <v>913</v>
      </c>
      <c r="K2298" s="27" t="s">
        <v>38</v>
      </c>
      <c r="L2298" s="27"/>
    </row>
    <row r="2299" customFormat="false" ht="15" hidden="false" customHeight="false" outlineLevel="0" collapsed="false">
      <c r="A2299" s="26" t="s">
        <v>8387</v>
      </c>
      <c r="B2299" s="27" t="s">
        <v>8388</v>
      </c>
      <c r="C2299" s="27" t="s">
        <v>144</v>
      </c>
      <c r="D2299" s="26" t="s">
        <v>8385</v>
      </c>
      <c r="E2299" s="27" t="s">
        <v>8386</v>
      </c>
      <c r="F2299" s="28" t="s">
        <v>146</v>
      </c>
      <c r="G2299" s="27" t="s">
        <v>3537</v>
      </c>
      <c r="H2299" s="27" t="s">
        <v>56</v>
      </c>
      <c r="I2299" s="27" t="s">
        <v>38</v>
      </c>
      <c r="J2299" s="28" t="s">
        <v>913</v>
      </c>
      <c r="K2299" s="27" t="s">
        <v>38</v>
      </c>
      <c r="L2299" s="27"/>
    </row>
    <row r="2300" customFormat="false" ht="15" hidden="false" customHeight="false" outlineLevel="0" collapsed="false">
      <c r="A2300" s="26" t="s">
        <v>8389</v>
      </c>
      <c r="B2300" s="27" t="s">
        <v>8390</v>
      </c>
      <c r="C2300" s="27" t="s">
        <v>144</v>
      </c>
      <c r="D2300" s="26" t="s">
        <v>8391</v>
      </c>
      <c r="E2300" s="27" t="s">
        <v>8392</v>
      </c>
      <c r="F2300" s="28" t="s">
        <v>146</v>
      </c>
      <c r="G2300" s="27" t="s">
        <v>3537</v>
      </c>
      <c r="H2300" s="27" t="s">
        <v>56</v>
      </c>
      <c r="I2300" s="27" t="s">
        <v>38</v>
      </c>
      <c r="J2300" s="28" t="s">
        <v>913</v>
      </c>
      <c r="K2300" s="27" t="s">
        <v>38</v>
      </c>
      <c r="L2300" s="27"/>
    </row>
    <row r="2301" customFormat="false" ht="15" hidden="false" customHeight="false" outlineLevel="0" collapsed="false">
      <c r="A2301" s="26" t="s">
        <v>8393</v>
      </c>
      <c r="B2301" s="27" t="s">
        <v>8394</v>
      </c>
      <c r="C2301" s="27" t="s">
        <v>144</v>
      </c>
      <c r="D2301" s="26" t="s">
        <v>8395</v>
      </c>
      <c r="E2301" s="27" t="s">
        <v>8396</v>
      </c>
      <c r="F2301" s="28" t="s">
        <v>146</v>
      </c>
      <c r="G2301" s="27" t="s">
        <v>3537</v>
      </c>
      <c r="H2301" s="27" t="s">
        <v>56</v>
      </c>
      <c r="I2301" s="27" t="s">
        <v>38</v>
      </c>
      <c r="J2301" s="28" t="s">
        <v>913</v>
      </c>
      <c r="K2301" s="27" t="s">
        <v>38</v>
      </c>
      <c r="L2301" s="27"/>
    </row>
    <row r="2302" customFormat="false" ht="15" hidden="false" customHeight="false" outlineLevel="0" collapsed="false">
      <c r="A2302" s="26" t="s">
        <v>8397</v>
      </c>
      <c r="B2302" s="27" t="s">
        <v>8398</v>
      </c>
      <c r="C2302" s="27" t="s">
        <v>144</v>
      </c>
      <c r="D2302" s="26" t="s">
        <v>8399</v>
      </c>
      <c r="E2302" s="27" t="s">
        <v>8400</v>
      </c>
      <c r="F2302" s="28" t="s">
        <v>146</v>
      </c>
      <c r="G2302" s="27" t="s">
        <v>3537</v>
      </c>
      <c r="H2302" s="27" t="s">
        <v>56</v>
      </c>
      <c r="I2302" s="27" t="s">
        <v>38</v>
      </c>
      <c r="J2302" s="28" t="s">
        <v>913</v>
      </c>
      <c r="K2302" s="27" t="s">
        <v>38</v>
      </c>
      <c r="L2302" s="27"/>
    </row>
    <row r="2303" customFormat="false" ht="15" hidden="false" customHeight="false" outlineLevel="0" collapsed="false">
      <c r="A2303" s="26" t="s">
        <v>8401</v>
      </c>
      <c r="B2303" s="27" t="s">
        <v>8402</v>
      </c>
      <c r="C2303" s="27" t="s">
        <v>144</v>
      </c>
      <c r="D2303" s="26" t="s">
        <v>8403</v>
      </c>
      <c r="E2303" s="27" t="s">
        <v>8404</v>
      </c>
      <c r="F2303" s="28" t="s">
        <v>146</v>
      </c>
      <c r="G2303" s="27" t="s">
        <v>3537</v>
      </c>
      <c r="H2303" s="27" t="s">
        <v>56</v>
      </c>
      <c r="I2303" s="27" t="s">
        <v>38</v>
      </c>
      <c r="J2303" s="28" t="s">
        <v>913</v>
      </c>
      <c r="K2303" s="27" t="s">
        <v>38</v>
      </c>
      <c r="L2303" s="27"/>
    </row>
    <row r="2304" customFormat="false" ht="15" hidden="false" customHeight="false" outlineLevel="0" collapsed="false">
      <c r="A2304" s="26" t="s">
        <v>8405</v>
      </c>
      <c r="B2304" s="27" t="s">
        <v>8406</v>
      </c>
      <c r="C2304" s="27" t="s">
        <v>144</v>
      </c>
      <c r="D2304" s="26" t="s">
        <v>8407</v>
      </c>
      <c r="E2304" s="27" t="s">
        <v>8408</v>
      </c>
      <c r="F2304" s="28" t="s">
        <v>146</v>
      </c>
      <c r="G2304" s="27" t="s">
        <v>3537</v>
      </c>
      <c r="H2304" s="27" t="s">
        <v>56</v>
      </c>
      <c r="I2304" s="27" t="s">
        <v>38</v>
      </c>
      <c r="J2304" s="28" t="s">
        <v>913</v>
      </c>
      <c r="K2304" s="27" t="s">
        <v>38</v>
      </c>
      <c r="L2304" s="27"/>
    </row>
    <row r="2305" customFormat="false" ht="15" hidden="false" customHeight="false" outlineLevel="0" collapsed="false">
      <c r="A2305" s="26" t="s">
        <v>8409</v>
      </c>
      <c r="B2305" s="27" t="s">
        <v>8410</v>
      </c>
      <c r="C2305" s="27" t="s">
        <v>144</v>
      </c>
      <c r="D2305" s="26" t="s">
        <v>8411</v>
      </c>
      <c r="E2305" s="27" t="s">
        <v>8412</v>
      </c>
      <c r="F2305" s="28" t="s">
        <v>146</v>
      </c>
      <c r="G2305" s="27" t="s">
        <v>3537</v>
      </c>
      <c r="H2305" s="27" t="s">
        <v>56</v>
      </c>
      <c r="I2305" s="27" t="s">
        <v>38</v>
      </c>
      <c r="J2305" s="28" t="s">
        <v>913</v>
      </c>
      <c r="K2305" s="27" t="s">
        <v>38</v>
      </c>
      <c r="L2305" s="27"/>
    </row>
    <row r="2306" customFormat="false" ht="15" hidden="false" customHeight="false" outlineLevel="0" collapsed="false">
      <c r="A2306" s="26" t="s">
        <v>8413</v>
      </c>
      <c r="B2306" s="27" t="s">
        <v>8414</v>
      </c>
      <c r="C2306" s="27" t="s">
        <v>144</v>
      </c>
      <c r="D2306" s="26" t="s">
        <v>8415</v>
      </c>
      <c r="E2306" s="27" t="s">
        <v>8416</v>
      </c>
      <c r="F2306" s="28" t="s">
        <v>146</v>
      </c>
      <c r="G2306" s="27" t="s">
        <v>3537</v>
      </c>
      <c r="H2306" s="27" t="s">
        <v>56</v>
      </c>
      <c r="I2306" s="27" t="s">
        <v>38</v>
      </c>
      <c r="J2306" s="28" t="s">
        <v>913</v>
      </c>
      <c r="K2306" s="27" t="s">
        <v>38</v>
      </c>
      <c r="L2306" s="27"/>
    </row>
    <row r="2307" customFormat="false" ht="15" hidden="false" customHeight="false" outlineLevel="0" collapsed="false">
      <c r="A2307" s="26" t="s">
        <v>8417</v>
      </c>
      <c r="B2307" s="27" t="s">
        <v>8418</v>
      </c>
      <c r="C2307" s="27" t="s">
        <v>144</v>
      </c>
      <c r="D2307" s="26" t="s">
        <v>8411</v>
      </c>
      <c r="E2307" s="27" t="s">
        <v>8412</v>
      </c>
      <c r="F2307" s="28" t="s">
        <v>146</v>
      </c>
      <c r="G2307" s="27" t="s">
        <v>3537</v>
      </c>
      <c r="H2307" s="27" t="s">
        <v>56</v>
      </c>
      <c r="I2307" s="27" t="s">
        <v>38</v>
      </c>
      <c r="J2307" s="28" t="s">
        <v>913</v>
      </c>
      <c r="K2307" s="27" t="s">
        <v>38</v>
      </c>
      <c r="L2307" s="27"/>
    </row>
    <row r="2308" customFormat="false" ht="15" hidden="false" customHeight="false" outlineLevel="0" collapsed="false">
      <c r="A2308" s="26" t="s">
        <v>8419</v>
      </c>
      <c r="B2308" s="27" t="s">
        <v>8420</v>
      </c>
      <c r="C2308" s="27" t="s">
        <v>144</v>
      </c>
      <c r="D2308" s="26" t="s">
        <v>8421</v>
      </c>
      <c r="E2308" s="27" t="s">
        <v>8422</v>
      </c>
      <c r="F2308" s="28" t="s">
        <v>146</v>
      </c>
      <c r="G2308" s="27" t="s">
        <v>3537</v>
      </c>
      <c r="H2308" s="27" t="s">
        <v>56</v>
      </c>
      <c r="I2308" s="27" t="s">
        <v>38</v>
      </c>
      <c r="J2308" s="28" t="s">
        <v>913</v>
      </c>
      <c r="K2308" s="27" t="s">
        <v>38</v>
      </c>
      <c r="L2308" s="27"/>
    </row>
    <row r="2309" customFormat="false" ht="15" hidden="false" customHeight="false" outlineLevel="0" collapsed="false">
      <c r="A2309" s="26" t="s">
        <v>8423</v>
      </c>
      <c r="B2309" s="27" t="s">
        <v>8424</v>
      </c>
      <c r="C2309" s="27" t="s">
        <v>144</v>
      </c>
      <c r="D2309" s="26" t="s">
        <v>8425</v>
      </c>
      <c r="E2309" s="27" t="s">
        <v>8426</v>
      </c>
      <c r="F2309" s="28" t="s">
        <v>146</v>
      </c>
      <c r="G2309" s="27" t="s">
        <v>3537</v>
      </c>
      <c r="H2309" s="27" t="s">
        <v>56</v>
      </c>
      <c r="I2309" s="27" t="s">
        <v>38</v>
      </c>
      <c r="J2309" s="28" t="s">
        <v>913</v>
      </c>
      <c r="K2309" s="27" t="s">
        <v>38</v>
      </c>
      <c r="L2309" s="27"/>
    </row>
    <row r="2310" customFormat="false" ht="15" hidden="false" customHeight="false" outlineLevel="0" collapsed="false">
      <c r="A2310" s="26" t="s">
        <v>8427</v>
      </c>
      <c r="B2310" s="27" t="s">
        <v>8428</v>
      </c>
      <c r="C2310" s="27" t="s">
        <v>144</v>
      </c>
      <c r="D2310" s="26" t="s">
        <v>8429</v>
      </c>
      <c r="E2310" s="27" t="s">
        <v>8430</v>
      </c>
      <c r="F2310" s="28" t="s">
        <v>146</v>
      </c>
      <c r="G2310" s="27" t="s">
        <v>3537</v>
      </c>
      <c r="H2310" s="27" t="s">
        <v>56</v>
      </c>
      <c r="I2310" s="27" t="s">
        <v>38</v>
      </c>
      <c r="J2310" s="28" t="s">
        <v>913</v>
      </c>
      <c r="K2310" s="27" t="s">
        <v>38</v>
      </c>
      <c r="L2310" s="27"/>
    </row>
    <row r="2311" customFormat="false" ht="15" hidden="false" customHeight="false" outlineLevel="0" collapsed="false">
      <c r="A2311" s="26" t="s">
        <v>8431</v>
      </c>
      <c r="B2311" s="27" t="s">
        <v>8432</v>
      </c>
      <c r="C2311" s="27" t="s">
        <v>144</v>
      </c>
      <c r="D2311" s="26" t="s">
        <v>2344</v>
      </c>
      <c r="E2311" s="27" t="s">
        <v>2345</v>
      </c>
      <c r="F2311" s="28" t="s">
        <v>146</v>
      </c>
      <c r="G2311" s="27" t="s">
        <v>3537</v>
      </c>
      <c r="H2311" s="27" t="s">
        <v>57</v>
      </c>
      <c r="I2311" s="27" t="s">
        <v>40</v>
      </c>
      <c r="J2311" s="28" t="s">
        <v>913</v>
      </c>
      <c r="K2311" s="27" t="s">
        <v>38</v>
      </c>
      <c r="L2311" s="27"/>
    </row>
    <row r="2312" customFormat="false" ht="15" hidden="false" customHeight="false" outlineLevel="0" collapsed="false">
      <c r="A2312" s="26" t="s">
        <v>8433</v>
      </c>
      <c r="B2312" s="27" t="s">
        <v>8434</v>
      </c>
      <c r="C2312" s="27" t="s">
        <v>144</v>
      </c>
      <c r="D2312" s="26" t="s">
        <v>2344</v>
      </c>
      <c r="E2312" s="27" t="s">
        <v>2345</v>
      </c>
      <c r="F2312" s="28" t="s">
        <v>146</v>
      </c>
      <c r="G2312" s="27" t="s">
        <v>3537</v>
      </c>
      <c r="H2312" s="27" t="s">
        <v>57</v>
      </c>
      <c r="I2312" s="27" t="s">
        <v>40</v>
      </c>
      <c r="J2312" s="28" t="s">
        <v>913</v>
      </c>
      <c r="K2312" s="27" t="s">
        <v>38</v>
      </c>
      <c r="L2312" s="27"/>
    </row>
    <row r="2313" customFormat="false" ht="15" hidden="false" customHeight="false" outlineLevel="0" collapsed="false">
      <c r="A2313" s="26" t="s">
        <v>8435</v>
      </c>
      <c r="B2313" s="27" t="s">
        <v>8436</v>
      </c>
      <c r="C2313" s="27" t="s">
        <v>144</v>
      </c>
      <c r="D2313" s="26" t="s">
        <v>952</v>
      </c>
      <c r="E2313" s="27" t="s">
        <v>953</v>
      </c>
      <c r="F2313" s="28" t="s">
        <v>146</v>
      </c>
      <c r="G2313" s="27" t="s">
        <v>3537</v>
      </c>
      <c r="H2313" s="27" t="s">
        <v>56</v>
      </c>
      <c r="I2313" s="27" t="s">
        <v>38</v>
      </c>
      <c r="J2313" s="28" t="s">
        <v>913</v>
      </c>
      <c r="K2313" s="27" t="s">
        <v>38</v>
      </c>
      <c r="L2313" s="27"/>
    </row>
    <row r="2314" customFormat="false" ht="15" hidden="false" customHeight="false" outlineLevel="0" collapsed="false">
      <c r="A2314" s="26" t="s">
        <v>8437</v>
      </c>
      <c r="B2314" s="27" t="s">
        <v>8438</v>
      </c>
      <c r="C2314" s="27" t="s">
        <v>144</v>
      </c>
      <c r="D2314" s="26" t="s">
        <v>8439</v>
      </c>
      <c r="E2314" s="27" t="s">
        <v>8440</v>
      </c>
      <c r="F2314" s="28" t="s">
        <v>146</v>
      </c>
      <c r="G2314" s="27" t="s">
        <v>3537</v>
      </c>
      <c r="H2314" s="27" t="s">
        <v>56</v>
      </c>
      <c r="I2314" s="27" t="s">
        <v>38</v>
      </c>
      <c r="J2314" s="28" t="s">
        <v>913</v>
      </c>
      <c r="K2314" s="27" t="s">
        <v>38</v>
      </c>
      <c r="L2314" s="27"/>
    </row>
    <row r="2315" customFormat="false" ht="15" hidden="false" customHeight="false" outlineLevel="0" collapsed="false">
      <c r="A2315" s="26" t="s">
        <v>8441</v>
      </c>
      <c r="B2315" s="27" t="s">
        <v>8442</v>
      </c>
      <c r="C2315" s="27" t="s">
        <v>144</v>
      </c>
      <c r="D2315" s="26" t="s">
        <v>8443</v>
      </c>
      <c r="E2315" s="27" t="s">
        <v>8444</v>
      </c>
      <c r="F2315" s="28" t="s">
        <v>146</v>
      </c>
      <c r="G2315" s="27" t="s">
        <v>3537</v>
      </c>
      <c r="H2315" s="27" t="s">
        <v>56</v>
      </c>
      <c r="I2315" s="27" t="s">
        <v>38</v>
      </c>
      <c r="J2315" s="28" t="s">
        <v>913</v>
      </c>
      <c r="K2315" s="27" t="s">
        <v>38</v>
      </c>
      <c r="L2315" s="27"/>
    </row>
    <row r="2316" customFormat="false" ht="15" hidden="false" customHeight="false" outlineLevel="0" collapsed="false">
      <c r="A2316" s="26" t="s">
        <v>8445</v>
      </c>
      <c r="B2316" s="27" t="s">
        <v>8446</v>
      </c>
      <c r="C2316" s="27" t="s">
        <v>144</v>
      </c>
      <c r="D2316" s="26" t="s">
        <v>8447</v>
      </c>
      <c r="E2316" s="27" t="s">
        <v>8448</v>
      </c>
      <c r="F2316" s="28" t="s">
        <v>146</v>
      </c>
      <c r="G2316" s="27" t="s">
        <v>3537</v>
      </c>
      <c r="H2316" s="27" t="s">
        <v>56</v>
      </c>
      <c r="I2316" s="27" t="s">
        <v>38</v>
      </c>
      <c r="J2316" s="28" t="s">
        <v>913</v>
      </c>
      <c r="K2316" s="27" t="s">
        <v>38</v>
      </c>
      <c r="L2316" s="27"/>
    </row>
    <row r="2317" customFormat="false" ht="15" hidden="false" customHeight="false" outlineLevel="0" collapsed="false">
      <c r="A2317" s="26" t="s">
        <v>8449</v>
      </c>
      <c r="B2317" s="27" t="s">
        <v>8450</v>
      </c>
      <c r="C2317" s="27" t="s">
        <v>144</v>
      </c>
      <c r="D2317" s="26" t="s">
        <v>8451</v>
      </c>
      <c r="E2317" s="27" t="s">
        <v>8452</v>
      </c>
      <c r="F2317" s="28" t="s">
        <v>146</v>
      </c>
      <c r="G2317" s="27" t="s">
        <v>3537</v>
      </c>
      <c r="H2317" s="27" t="s">
        <v>56</v>
      </c>
      <c r="I2317" s="27" t="s">
        <v>38</v>
      </c>
      <c r="J2317" s="28" t="s">
        <v>913</v>
      </c>
      <c r="K2317" s="27" t="s">
        <v>38</v>
      </c>
      <c r="L2317" s="27"/>
    </row>
    <row r="2318" customFormat="false" ht="15" hidden="false" customHeight="false" outlineLevel="0" collapsed="false">
      <c r="A2318" s="26" t="s">
        <v>8453</v>
      </c>
      <c r="B2318" s="27" t="s">
        <v>8454</v>
      </c>
      <c r="C2318" s="27" t="s">
        <v>144</v>
      </c>
      <c r="D2318" s="26" t="s">
        <v>8455</v>
      </c>
      <c r="E2318" s="27" t="s">
        <v>8456</v>
      </c>
      <c r="F2318" s="28" t="s">
        <v>146</v>
      </c>
      <c r="G2318" s="27" t="s">
        <v>3537</v>
      </c>
      <c r="H2318" s="27" t="s">
        <v>56</v>
      </c>
      <c r="I2318" s="27" t="s">
        <v>38</v>
      </c>
      <c r="J2318" s="28" t="s">
        <v>913</v>
      </c>
      <c r="K2318" s="27" t="s">
        <v>38</v>
      </c>
      <c r="L2318" s="27"/>
    </row>
    <row r="2319" customFormat="false" ht="15" hidden="false" customHeight="false" outlineLevel="0" collapsed="false">
      <c r="A2319" s="26" t="s">
        <v>8457</v>
      </c>
      <c r="B2319" s="27" t="s">
        <v>8458</v>
      </c>
      <c r="C2319" s="27" t="s">
        <v>144</v>
      </c>
      <c r="D2319" s="26" t="s">
        <v>8459</v>
      </c>
      <c r="E2319" s="27" t="s">
        <v>8460</v>
      </c>
      <c r="F2319" s="28" t="s">
        <v>146</v>
      </c>
      <c r="G2319" s="27" t="s">
        <v>3537</v>
      </c>
      <c r="H2319" s="27" t="s">
        <v>56</v>
      </c>
      <c r="I2319" s="27" t="s">
        <v>38</v>
      </c>
      <c r="J2319" s="28" t="s">
        <v>913</v>
      </c>
      <c r="K2319" s="27" t="s">
        <v>38</v>
      </c>
      <c r="L2319" s="27"/>
    </row>
    <row r="2320" customFormat="false" ht="15" hidden="false" customHeight="false" outlineLevel="0" collapsed="false">
      <c r="A2320" s="26" t="s">
        <v>8461</v>
      </c>
      <c r="B2320" s="27" t="s">
        <v>8462</v>
      </c>
      <c r="C2320" s="27" t="s">
        <v>144</v>
      </c>
      <c r="D2320" s="26" t="s">
        <v>8463</v>
      </c>
      <c r="E2320" s="27" t="s">
        <v>8464</v>
      </c>
      <c r="F2320" s="28" t="s">
        <v>146</v>
      </c>
      <c r="G2320" s="27" t="s">
        <v>3537</v>
      </c>
      <c r="H2320" s="27" t="s">
        <v>56</v>
      </c>
      <c r="I2320" s="27" t="s">
        <v>38</v>
      </c>
      <c r="J2320" s="28" t="s">
        <v>913</v>
      </c>
      <c r="K2320" s="27" t="s">
        <v>38</v>
      </c>
      <c r="L2320" s="27"/>
    </row>
    <row r="2321" customFormat="false" ht="15" hidden="false" customHeight="false" outlineLevel="0" collapsed="false">
      <c r="A2321" s="26" t="s">
        <v>8465</v>
      </c>
      <c r="B2321" s="27" t="s">
        <v>8466</v>
      </c>
      <c r="C2321" s="27" t="s">
        <v>144</v>
      </c>
      <c r="D2321" s="26" t="s">
        <v>8467</v>
      </c>
      <c r="E2321" s="27" t="s">
        <v>8468</v>
      </c>
      <c r="F2321" s="28" t="s">
        <v>146</v>
      </c>
      <c r="G2321" s="27" t="s">
        <v>3537</v>
      </c>
      <c r="H2321" s="27" t="s">
        <v>56</v>
      </c>
      <c r="I2321" s="27" t="s">
        <v>38</v>
      </c>
      <c r="J2321" s="28" t="s">
        <v>913</v>
      </c>
      <c r="K2321" s="27" t="s">
        <v>38</v>
      </c>
      <c r="L2321" s="27"/>
    </row>
    <row r="2322" customFormat="false" ht="15" hidden="false" customHeight="false" outlineLevel="0" collapsed="false">
      <c r="A2322" s="26" t="s">
        <v>8469</v>
      </c>
      <c r="B2322" s="27" t="s">
        <v>8470</v>
      </c>
      <c r="C2322" s="27" t="s">
        <v>144</v>
      </c>
      <c r="D2322" s="26" t="s">
        <v>8301</v>
      </c>
      <c r="E2322" s="27" t="s">
        <v>8302</v>
      </c>
      <c r="F2322" s="28" t="s">
        <v>146</v>
      </c>
      <c r="G2322" s="27" t="s">
        <v>3537</v>
      </c>
      <c r="H2322" s="27" t="s">
        <v>57</v>
      </c>
      <c r="I2322" s="27" t="s">
        <v>40</v>
      </c>
      <c r="J2322" s="28" t="s">
        <v>913</v>
      </c>
      <c r="K2322" s="27" t="s">
        <v>38</v>
      </c>
      <c r="L2322" s="27"/>
    </row>
    <row r="2323" customFormat="false" ht="15" hidden="false" customHeight="false" outlineLevel="0" collapsed="false">
      <c r="A2323" s="26" t="s">
        <v>8471</v>
      </c>
      <c r="B2323" s="27" t="s">
        <v>8472</v>
      </c>
      <c r="C2323" s="27" t="s">
        <v>144</v>
      </c>
      <c r="D2323" s="26" t="s">
        <v>8473</v>
      </c>
      <c r="E2323" s="27" t="s">
        <v>8474</v>
      </c>
      <c r="F2323" s="28" t="s">
        <v>146</v>
      </c>
      <c r="G2323" s="27" t="s">
        <v>3537</v>
      </c>
      <c r="H2323" s="27" t="s">
        <v>56</v>
      </c>
      <c r="I2323" s="27" t="s">
        <v>38</v>
      </c>
      <c r="J2323" s="28" t="s">
        <v>913</v>
      </c>
      <c r="K2323" s="27" t="s">
        <v>38</v>
      </c>
      <c r="L2323" s="27"/>
    </row>
    <row r="2324" customFormat="false" ht="15" hidden="false" customHeight="false" outlineLevel="0" collapsed="false">
      <c r="A2324" s="26" t="s">
        <v>8475</v>
      </c>
      <c r="B2324" s="27" t="s">
        <v>8476</v>
      </c>
      <c r="C2324" s="27" t="s">
        <v>144</v>
      </c>
      <c r="D2324" s="26" t="s">
        <v>8477</v>
      </c>
      <c r="E2324" s="27" t="s">
        <v>8478</v>
      </c>
      <c r="F2324" s="28" t="s">
        <v>146</v>
      </c>
      <c r="G2324" s="27" t="s">
        <v>3537</v>
      </c>
      <c r="H2324" s="27" t="s">
        <v>56</v>
      </c>
      <c r="I2324" s="27" t="s">
        <v>38</v>
      </c>
      <c r="J2324" s="28" t="s">
        <v>913</v>
      </c>
      <c r="K2324" s="27" t="s">
        <v>38</v>
      </c>
      <c r="L2324" s="27"/>
    </row>
    <row r="2325" customFormat="false" ht="15" hidden="false" customHeight="false" outlineLevel="0" collapsed="false">
      <c r="A2325" s="26" t="s">
        <v>8479</v>
      </c>
      <c r="B2325" s="27" t="s">
        <v>8480</v>
      </c>
      <c r="C2325" s="27" t="s">
        <v>144</v>
      </c>
      <c r="D2325" s="26" t="s">
        <v>8481</v>
      </c>
      <c r="E2325" s="27" t="s">
        <v>8482</v>
      </c>
      <c r="F2325" s="28" t="s">
        <v>146</v>
      </c>
      <c r="G2325" s="27" t="s">
        <v>3537</v>
      </c>
      <c r="H2325" s="27" t="s">
        <v>56</v>
      </c>
      <c r="I2325" s="27" t="s">
        <v>38</v>
      </c>
      <c r="J2325" s="28" t="s">
        <v>913</v>
      </c>
      <c r="K2325" s="27" t="s">
        <v>38</v>
      </c>
      <c r="L2325" s="27"/>
    </row>
    <row r="2326" customFormat="false" ht="15" hidden="false" customHeight="false" outlineLevel="0" collapsed="false">
      <c r="A2326" s="26" t="s">
        <v>8483</v>
      </c>
      <c r="B2326" s="27" t="s">
        <v>8484</v>
      </c>
      <c r="C2326" s="27" t="s">
        <v>144</v>
      </c>
      <c r="D2326" s="26" t="s">
        <v>8485</v>
      </c>
      <c r="E2326" s="27" t="s">
        <v>8486</v>
      </c>
      <c r="F2326" s="28" t="s">
        <v>146</v>
      </c>
      <c r="G2326" s="27" t="s">
        <v>3537</v>
      </c>
      <c r="H2326" s="27" t="s">
        <v>56</v>
      </c>
      <c r="I2326" s="27" t="s">
        <v>38</v>
      </c>
      <c r="J2326" s="28" t="s">
        <v>913</v>
      </c>
      <c r="K2326" s="27" t="s">
        <v>38</v>
      </c>
      <c r="L2326" s="27"/>
    </row>
    <row r="2327" customFormat="false" ht="15" hidden="false" customHeight="false" outlineLevel="0" collapsed="false">
      <c r="A2327" s="26" t="s">
        <v>8487</v>
      </c>
      <c r="B2327" s="27" t="s">
        <v>8488</v>
      </c>
      <c r="C2327" s="27" t="s">
        <v>144</v>
      </c>
      <c r="D2327" s="26" t="s">
        <v>8489</v>
      </c>
      <c r="E2327" s="27" t="s">
        <v>8490</v>
      </c>
      <c r="F2327" s="28" t="s">
        <v>146</v>
      </c>
      <c r="G2327" s="27" t="s">
        <v>3537</v>
      </c>
      <c r="H2327" s="27" t="s">
        <v>56</v>
      </c>
      <c r="I2327" s="27" t="s">
        <v>38</v>
      </c>
      <c r="J2327" s="28" t="s">
        <v>913</v>
      </c>
      <c r="K2327" s="27" t="s">
        <v>38</v>
      </c>
      <c r="L2327" s="27"/>
    </row>
    <row r="2328" customFormat="false" ht="15" hidden="false" customHeight="false" outlineLevel="0" collapsed="false">
      <c r="A2328" s="26" t="s">
        <v>8491</v>
      </c>
      <c r="B2328" s="27" t="s">
        <v>8492</v>
      </c>
      <c r="C2328" s="27" t="s">
        <v>144</v>
      </c>
      <c r="D2328" s="26" t="s">
        <v>8493</v>
      </c>
      <c r="E2328" s="27" t="s">
        <v>8494</v>
      </c>
      <c r="F2328" s="28" t="s">
        <v>146</v>
      </c>
      <c r="G2328" s="27" t="s">
        <v>3537</v>
      </c>
      <c r="H2328" s="27" t="s">
        <v>56</v>
      </c>
      <c r="I2328" s="27" t="s">
        <v>38</v>
      </c>
      <c r="J2328" s="28" t="s">
        <v>913</v>
      </c>
      <c r="K2328" s="27" t="s">
        <v>38</v>
      </c>
      <c r="L2328" s="27"/>
    </row>
    <row r="2329" customFormat="false" ht="15" hidden="false" customHeight="false" outlineLevel="0" collapsed="false">
      <c r="A2329" s="26" t="s">
        <v>8495</v>
      </c>
      <c r="B2329" s="27" t="s">
        <v>8496</v>
      </c>
      <c r="C2329" s="27" t="s">
        <v>144</v>
      </c>
      <c r="D2329" s="26" t="s">
        <v>8497</v>
      </c>
      <c r="E2329" s="27" t="s">
        <v>8498</v>
      </c>
      <c r="F2329" s="28" t="s">
        <v>146</v>
      </c>
      <c r="G2329" s="27" t="s">
        <v>3537</v>
      </c>
      <c r="H2329" s="27" t="s">
        <v>56</v>
      </c>
      <c r="I2329" s="27" t="s">
        <v>38</v>
      </c>
      <c r="J2329" s="28" t="s">
        <v>913</v>
      </c>
      <c r="K2329" s="27" t="s">
        <v>38</v>
      </c>
      <c r="L2329" s="27"/>
    </row>
    <row r="2330" customFormat="false" ht="15" hidden="false" customHeight="false" outlineLevel="0" collapsed="false">
      <c r="A2330" s="26" t="s">
        <v>8499</v>
      </c>
      <c r="B2330" s="27" t="s">
        <v>8500</v>
      </c>
      <c r="C2330" s="27" t="s">
        <v>144</v>
      </c>
      <c r="D2330" s="26" t="s">
        <v>8501</v>
      </c>
      <c r="E2330" s="27" t="s">
        <v>8502</v>
      </c>
      <c r="F2330" s="28" t="s">
        <v>146</v>
      </c>
      <c r="G2330" s="27" t="s">
        <v>3537</v>
      </c>
      <c r="H2330" s="27" t="s">
        <v>56</v>
      </c>
      <c r="I2330" s="27" t="s">
        <v>38</v>
      </c>
      <c r="J2330" s="28" t="s">
        <v>913</v>
      </c>
      <c r="K2330" s="27" t="s">
        <v>38</v>
      </c>
      <c r="L2330" s="27"/>
    </row>
    <row r="2331" customFormat="false" ht="15" hidden="false" customHeight="false" outlineLevel="0" collapsed="false">
      <c r="A2331" s="26" t="s">
        <v>8503</v>
      </c>
      <c r="B2331" s="27" t="s">
        <v>8504</v>
      </c>
      <c r="C2331" s="27" t="s">
        <v>144</v>
      </c>
      <c r="D2331" s="26" t="s">
        <v>8505</v>
      </c>
      <c r="E2331" s="27" t="s">
        <v>8506</v>
      </c>
      <c r="F2331" s="28" t="s">
        <v>146</v>
      </c>
      <c r="G2331" s="27" t="s">
        <v>3537</v>
      </c>
      <c r="H2331" s="27" t="s">
        <v>56</v>
      </c>
      <c r="I2331" s="27" t="s">
        <v>38</v>
      </c>
      <c r="J2331" s="28" t="s">
        <v>913</v>
      </c>
      <c r="K2331" s="27" t="s">
        <v>38</v>
      </c>
      <c r="L2331" s="27"/>
    </row>
    <row r="2332" customFormat="false" ht="15" hidden="false" customHeight="false" outlineLevel="0" collapsed="false">
      <c r="A2332" s="26" t="s">
        <v>8507</v>
      </c>
      <c r="B2332" s="27" t="s">
        <v>8508</v>
      </c>
      <c r="C2332" s="27" t="s">
        <v>144</v>
      </c>
      <c r="D2332" s="26" t="s">
        <v>956</v>
      </c>
      <c r="E2332" s="27" t="s">
        <v>957</v>
      </c>
      <c r="F2332" s="28" t="s">
        <v>146</v>
      </c>
      <c r="G2332" s="27" t="s">
        <v>3537</v>
      </c>
      <c r="H2332" s="27" t="s">
        <v>56</v>
      </c>
      <c r="I2332" s="27" t="s">
        <v>38</v>
      </c>
      <c r="J2332" s="28" t="s">
        <v>913</v>
      </c>
      <c r="K2332" s="27" t="s">
        <v>38</v>
      </c>
      <c r="L2332" s="27"/>
    </row>
    <row r="2333" customFormat="false" ht="15" hidden="false" customHeight="false" outlineLevel="0" collapsed="false">
      <c r="A2333" s="26" t="s">
        <v>8509</v>
      </c>
      <c r="B2333" s="27" t="s">
        <v>8510</v>
      </c>
      <c r="C2333" s="27" t="s">
        <v>144</v>
      </c>
      <c r="D2333" s="26" t="s">
        <v>8511</v>
      </c>
      <c r="E2333" s="27" t="s">
        <v>8512</v>
      </c>
      <c r="F2333" s="28" t="s">
        <v>146</v>
      </c>
      <c r="G2333" s="27" t="s">
        <v>3537</v>
      </c>
      <c r="H2333" s="27" t="s">
        <v>56</v>
      </c>
      <c r="I2333" s="27" t="s">
        <v>38</v>
      </c>
      <c r="J2333" s="28" t="s">
        <v>913</v>
      </c>
      <c r="K2333" s="27" t="s">
        <v>38</v>
      </c>
      <c r="L2333" s="27"/>
    </row>
    <row r="2334" customFormat="false" ht="15" hidden="false" customHeight="false" outlineLevel="0" collapsed="false">
      <c r="A2334" s="26" t="s">
        <v>8513</v>
      </c>
      <c r="B2334" s="27" t="s">
        <v>8514</v>
      </c>
      <c r="C2334" s="27" t="s">
        <v>144</v>
      </c>
      <c r="D2334" s="26" t="s">
        <v>8515</v>
      </c>
      <c r="E2334" s="27" t="s">
        <v>8516</v>
      </c>
      <c r="F2334" s="28" t="s">
        <v>146</v>
      </c>
      <c r="G2334" s="27" t="s">
        <v>3537</v>
      </c>
      <c r="H2334" s="27" t="s">
        <v>56</v>
      </c>
      <c r="I2334" s="27" t="s">
        <v>38</v>
      </c>
      <c r="J2334" s="28" t="s">
        <v>913</v>
      </c>
      <c r="K2334" s="27" t="s">
        <v>38</v>
      </c>
      <c r="L2334" s="27"/>
    </row>
    <row r="2335" customFormat="false" ht="15" hidden="false" customHeight="false" outlineLevel="0" collapsed="false">
      <c r="A2335" s="26" t="s">
        <v>8517</v>
      </c>
      <c r="B2335" s="27" t="s">
        <v>8518</v>
      </c>
      <c r="C2335" s="27" t="s">
        <v>144</v>
      </c>
      <c r="D2335" s="26" t="s">
        <v>8519</v>
      </c>
      <c r="E2335" s="27" t="s">
        <v>8520</v>
      </c>
      <c r="F2335" s="28" t="s">
        <v>146</v>
      </c>
      <c r="G2335" s="27" t="s">
        <v>3537</v>
      </c>
      <c r="H2335" s="27" t="s">
        <v>56</v>
      </c>
      <c r="I2335" s="27" t="s">
        <v>38</v>
      </c>
      <c r="J2335" s="28" t="s">
        <v>913</v>
      </c>
      <c r="K2335" s="27" t="s">
        <v>38</v>
      </c>
      <c r="L2335" s="27"/>
    </row>
    <row r="2336" customFormat="false" ht="15" hidden="false" customHeight="false" outlineLevel="0" collapsed="false">
      <c r="A2336" s="26" t="s">
        <v>8521</v>
      </c>
      <c r="B2336" s="27" t="s">
        <v>8522</v>
      </c>
      <c r="C2336" s="27" t="s">
        <v>144</v>
      </c>
      <c r="D2336" s="26" t="s">
        <v>8523</v>
      </c>
      <c r="E2336" s="27" t="s">
        <v>8524</v>
      </c>
      <c r="F2336" s="28" t="s">
        <v>146</v>
      </c>
      <c r="G2336" s="27" t="s">
        <v>3537</v>
      </c>
      <c r="H2336" s="27" t="s">
        <v>56</v>
      </c>
      <c r="I2336" s="27" t="s">
        <v>38</v>
      </c>
      <c r="J2336" s="28" t="s">
        <v>913</v>
      </c>
      <c r="K2336" s="27" t="s">
        <v>38</v>
      </c>
      <c r="L2336" s="27"/>
    </row>
    <row r="2337" customFormat="false" ht="15" hidden="false" customHeight="false" outlineLevel="0" collapsed="false">
      <c r="A2337" s="26" t="s">
        <v>8525</v>
      </c>
      <c r="B2337" s="27" t="s">
        <v>8526</v>
      </c>
      <c r="C2337" s="27" t="s">
        <v>144</v>
      </c>
      <c r="D2337" s="26" t="s">
        <v>8527</v>
      </c>
      <c r="E2337" s="27" t="s">
        <v>8528</v>
      </c>
      <c r="F2337" s="28" t="s">
        <v>146</v>
      </c>
      <c r="G2337" s="27" t="s">
        <v>3537</v>
      </c>
      <c r="H2337" s="27" t="s">
        <v>56</v>
      </c>
      <c r="I2337" s="27" t="s">
        <v>38</v>
      </c>
      <c r="J2337" s="28" t="s">
        <v>913</v>
      </c>
      <c r="K2337" s="27" t="s">
        <v>38</v>
      </c>
      <c r="L2337" s="27"/>
    </row>
    <row r="2338" customFormat="false" ht="15" hidden="false" customHeight="false" outlineLevel="0" collapsed="false">
      <c r="A2338" s="26" t="s">
        <v>8529</v>
      </c>
      <c r="B2338" s="27" t="s">
        <v>8530</v>
      </c>
      <c r="C2338" s="27" t="s">
        <v>144</v>
      </c>
      <c r="D2338" s="26" t="s">
        <v>8497</v>
      </c>
      <c r="E2338" s="27" t="s">
        <v>8498</v>
      </c>
      <c r="F2338" s="28" t="s">
        <v>146</v>
      </c>
      <c r="G2338" s="27" t="s">
        <v>3537</v>
      </c>
      <c r="H2338" s="27" t="s">
        <v>56</v>
      </c>
      <c r="I2338" s="27" t="s">
        <v>38</v>
      </c>
      <c r="J2338" s="28" t="s">
        <v>913</v>
      </c>
      <c r="K2338" s="27" t="s">
        <v>38</v>
      </c>
      <c r="L2338" s="27"/>
    </row>
    <row r="2339" customFormat="false" ht="15" hidden="false" customHeight="false" outlineLevel="0" collapsed="false">
      <c r="A2339" s="26" t="s">
        <v>8531</v>
      </c>
      <c r="B2339" s="27" t="s">
        <v>8532</v>
      </c>
      <c r="C2339" s="27" t="s">
        <v>144</v>
      </c>
      <c r="D2339" s="26" t="s">
        <v>8533</v>
      </c>
      <c r="E2339" s="27" t="s">
        <v>8534</v>
      </c>
      <c r="F2339" s="28" t="s">
        <v>146</v>
      </c>
      <c r="G2339" s="27" t="s">
        <v>3537</v>
      </c>
      <c r="H2339" s="27" t="s">
        <v>56</v>
      </c>
      <c r="I2339" s="27" t="s">
        <v>38</v>
      </c>
      <c r="J2339" s="28" t="s">
        <v>913</v>
      </c>
      <c r="K2339" s="27" t="s">
        <v>38</v>
      </c>
      <c r="L2339" s="27"/>
    </row>
    <row r="2340" customFormat="false" ht="15" hidden="false" customHeight="false" outlineLevel="0" collapsed="false">
      <c r="A2340" s="26" t="s">
        <v>8535</v>
      </c>
      <c r="B2340" s="27" t="s">
        <v>8536</v>
      </c>
      <c r="C2340" s="27" t="s">
        <v>144</v>
      </c>
      <c r="D2340" s="26" t="s">
        <v>8537</v>
      </c>
      <c r="E2340" s="27" t="s">
        <v>8538</v>
      </c>
      <c r="F2340" s="28" t="s">
        <v>146</v>
      </c>
      <c r="G2340" s="27" t="s">
        <v>3537</v>
      </c>
      <c r="H2340" s="27" t="s">
        <v>56</v>
      </c>
      <c r="I2340" s="27" t="s">
        <v>38</v>
      </c>
      <c r="J2340" s="28" t="s">
        <v>913</v>
      </c>
      <c r="K2340" s="27" t="s">
        <v>38</v>
      </c>
      <c r="L2340" s="27"/>
    </row>
    <row r="2341" customFormat="false" ht="15" hidden="false" customHeight="false" outlineLevel="0" collapsed="false">
      <c r="A2341" s="26" t="s">
        <v>8539</v>
      </c>
      <c r="B2341" s="27" t="s">
        <v>8540</v>
      </c>
      <c r="C2341" s="27" t="s">
        <v>144</v>
      </c>
      <c r="D2341" s="26" t="s">
        <v>8505</v>
      </c>
      <c r="E2341" s="27" t="s">
        <v>8506</v>
      </c>
      <c r="F2341" s="28" t="s">
        <v>146</v>
      </c>
      <c r="G2341" s="27" t="s">
        <v>3537</v>
      </c>
      <c r="H2341" s="27" t="s">
        <v>56</v>
      </c>
      <c r="I2341" s="27" t="s">
        <v>38</v>
      </c>
      <c r="J2341" s="28" t="s">
        <v>913</v>
      </c>
      <c r="K2341" s="27" t="s">
        <v>38</v>
      </c>
      <c r="L2341" s="27"/>
    </row>
    <row r="2342" customFormat="false" ht="15" hidden="false" customHeight="false" outlineLevel="0" collapsed="false">
      <c r="A2342" s="26" t="s">
        <v>8541</v>
      </c>
      <c r="B2342" s="27" t="s">
        <v>8542</v>
      </c>
      <c r="C2342" s="27" t="s">
        <v>144</v>
      </c>
      <c r="D2342" s="26" t="s">
        <v>8505</v>
      </c>
      <c r="E2342" s="27" t="s">
        <v>8506</v>
      </c>
      <c r="F2342" s="28" t="s">
        <v>146</v>
      </c>
      <c r="G2342" s="27" t="s">
        <v>3537</v>
      </c>
      <c r="H2342" s="27" t="s">
        <v>56</v>
      </c>
      <c r="I2342" s="27" t="s">
        <v>38</v>
      </c>
      <c r="J2342" s="28" t="s">
        <v>913</v>
      </c>
      <c r="K2342" s="27" t="s">
        <v>38</v>
      </c>
      <c r="L2342" s="27"/>
    </row>
    <row r="2343" customFormat="false" ht="15" hidden="false" customHeight="false" outlineLevel="0" collapsed="false">
      <c r="A2343" s="26" t="s">
        <v>8543</v>
      </c>
      <c r="B2343" s="27" t="s">
        <v>8544</v>
      </c>
      <c r="C2343" s="27" t="s">
        <v>144</v>
      </c>
      <c r="D2343" s="26" t="s">
        <v>8255</v>
      </c>
      <c r="E2343" s="27" t="s">
        <v>8256</v>
      </c>
      <c r="F2343" s="28" t="s">
        <v>146</v>
      </c>
      <c r="G2343" s="27" t="s">
        <v>3537</v>
      </c>
      <c r="H2343" s="27" t="s">
        <v>56</v>
      </c>
      <c r="I2343" s="27" t="s">
        <v>38</v>
      </c>
      <c r="J2343" s="28" t="s">
        <v>913</v>
      </c>
      <c r="K2343" s="27" t="s">
        <v>38</v>
      </c>
      <c r="L2343" s="27"/>
    </row>
    <row r="2344" customFormat="false" ht="15" hidden="false" customHeight="false" outlineLevel="0" collapsed="false">
      <c r="A2344" s="26" t="s">
        <v>8545</v>
      </c>
      <c r="B2344" s="27" t="s">
        <v>8546</v>
      </c>
      <c r="C2344" s="27" t="s">
        <v>144</v>
      </c>
      <c r="D2344" s="26" t="s">
        <v>8489</v>
      </c>
      <c r="E2344" s="27" t="s">
        <v>8490</v>
      </c>
      <c r="F2344" s="28" t="s">
        <v>146</v>
      </c>
      <c r="G2344" s="27" t="s">
        <v>3537</v>
      </c>
      <c r="H2344" s="27" t="s">
        <v>56</v>
      </c>
      <c r="I2344" s="27" t="s">
        <v>38</v>
      </c>
      <c r="J2344" s="28" t="s">
        <v>913</v>
      </c>
      <c r="K2344" s="27" t="s">
        <v>38</v>
      </c>
      <c r="L2344" s="27"/>
    </row>
    <row r="2345" customFormat="false" ht="15" hidden="false" customHeight="false" outlineLevel="0" collapsed="false">
      <c r="A2345" s="26" t="s">
        <v>8547</v>
      </c>
      <c r="B2345" s="27" t="s">
        <v>8548</v>
      </c>
      <c r="C2345" s="27" t="s">
        <v>144</v>
      </c>
      <c r="D2345" s="26" t="s">
        <v>8549</v>
      </c>
      <c r="E2345" s="27" t="s">
        <v>8550</v>
      </c>
      <c r="F2345" s="28" t="s">
        <v>146</v>
      </c>
      <c r="G2345" s="27" t="s">
        <v>3537</v>
      </c>
      <c r="H2345" s="27" t="s">
        <v>56</v>
      </c>
      <c r="I2345" s="27" t="s">
        <v>38</v>
      </c>
      <c r="J2345" s="28" t="s">
        <v>913</v>
      </c>
      <c r="K2345" s="27" t="s">
        <v>38</v>
      </c>
      <c r="L2345" s="27"/>
    </row>
    <row r="2346" customFormat="false" ht="15" hidden="false" customHeight="false" outlineLevel="0" collapsed="false">
      <c r="A2346" s="26" t="s">
        <v>8551</v>
      </c>
      <c r="B2346" s="27" t="s">
        <v>8552</v>
      </c>
      <c r="C2346" s="27" t="s">
        <v>144</v>
      </c>
      <c r="D2346" s="26" t="s">
        <v>8553</v>
      </c>
      <c r="E2346" s="27" t="s">
        <v>8554</v>
      </c>
      <c r="F2346" s="28" t="s">
        <v>146</v>
      </c>
      <c r="G2346" s="27" t="s">
        <v>3537</v>
      </c>
      <c r="H2346" s="27" t="s">
        <v>56</v>
      </c>
      <c r="I2346" s="27" t="s">
        <v>38</v>
      </c>
      <c r="J2346" s="28" t="s">
        <v>913</v>
      </c>
      <c r="K2346" s="27" t="s">
        <v>38</v>
      </c>
      <c r="L2346" s="27"/>
    </row>
    <row r="2347" customFormat="false" ht="15" hidden="false" customHeight="false" outlineLevel="0" collapsed="false">
      <c r="A2347" s="26" t="s">
        <v>8555</v>
      </c>
      <c r="B2347" s="27" t="s">
        <v>8556</v>
      </c>
      <c r="C2347" s="27" t="s">
        <v>144</v>
      </c>
      <c r="D2347" s="26" t="s">
        <v>8557</v>
      </c>
      <c r="E2347" s="27" t="s">
        <v>8558</v>
      </c>
      <c r="F2347" s="28" t="s">
        <v>146</v>
      </c>
      <c r="G2347" s="27" t="s">
        <v>3537</v>
      </c>
      <c r="H2347" s="27" t="s">
        <v>56</v>
      </c>
      <c r="I2347" s="27" t="s">
        <v>38</v>
      </c>
      <c r="J2347" s="28" t="s">
        <v>913</v>
      </c>
      <c r="K2347" s="27" t="s">
        <v>38</v>
      </c>
      <c r="L2347" s="27"/>
    </row>
    <row r="2348" customFormat="false" ht="15" hidden="false" customHeight="false" outlineLevel="0" collapsed="false">
      <c r="A2348" s="26" t="s">
        <v>8559</v>
      </c>
      <c r="B2348" s="27" t="s">
        <v>8560</v>
      </c>
      <c r="C2348" s="27" t="s">
        <v>144</v>
      </c>
      <c r="D2348" s="26" t="s">
        <v>8561</v>
      </c>
      <c r="E2348" s="27" t="s">
        <v>8562</v>
      </c>
      <c r="F2348" s="28" t="s">
        <v>146</v>
      </c>
      <c r="G2348" s="27" t="s">
        <v>3537</v>
      </c>
      <c r="H2348" s="27" t="s">
        <v>56</v>
      </c>
      <c r="I2348" s="27" t="s">
        <v>38</v>
      </c>
      <c r="J2348" s="28" t="s">
        <v>913</v>
      </c>
      <c r="K2348" s="27" t="s">
        <v>38</v>
      </c>
      <c r="L2348" s="27"/>
    </row>
    <row r="2349" customFormat="false" ht="15" hidden="false" customHeight="false" outlineLevel="0" collapsed="false">
      <c r="A2349" s="26" t="s">
        <v>8563</v>
      </c>
      <c r="B2349" s="27" t="s">
        <v>8564</v>
      </c>
      <c r="C2349" s="27" t="s">
        <v>144</v>
      </c>
      <c r="D2349" s="26" t="s">
        <v>8565</v>
      </c>
      <c r="E2349" s="27" t="s">
        <v>8566</v>
      </c>
      <c r="F2349" s="28" t="s">
        <v>146</v>
      </c>
      <c r="G2349" s="27" t="s">
        <v>3537</v>
      </c>
      <c r="H2349" s="27" t="s">
        <v>56</v>
      </c>
      <c r="I2349" s="27" t="s">
        <v>38</v>
      </c>
      <c r="J2349" s="28" t="s">
        <v>913</v>
      </c>
      <c r="K2349" s="27" t="s">
        <v>38</v>
      </c>
      <c r="L2349" s="27"/>
    </row>
    <row r="2350" customFormat="false" ht="15" hidden="false" customHeight="false" outlineLevel="0" collapsed="false">
      <c r="A2350" s="26" t="s">
        <v>8567</v>
      </c>
      <c r="B2350" s="27" t="s">
        <v>8568</v>
      </c>
      <c r="C2350" s="27" t="s">
        <v>144</v>
      </c>
      <c r="D2350" s="26" t="s">
        <v>8275</v>
      </c>
      <c r="E2350" s="27" t="s">
        <v>8276</v>
      </c>
      <c r="F2350" s="28" t="s">
        <v>146</v>
      </c>
      <c r="G2350" s="27" t="s">
        <v>3537</v>
      </c>
      <c r="H2350" s="27" t="s">
        <v>56</v>
      </c>
      <c r="I2350" s="27" t="s">
        <v>38</v>
      </c>
      <c r="J2350" s="28" t="s">
        <v>913</v>
      </c>
      <c r="K2350" s="27" t="s">
        <v>38</v>
      </c>
      <c r="L2350" s="27"/>
    </row>
    <row r="2351" customFormat="false" ht="15" hidden="false" customHeight="false" outlineLevel="0" collapsed="false">
      <c r="A2351" s="26" t="s">
        <v>8569</v>
      </c>
      <c r="B2351" s="27" t="s">
        <v>8570</v>
      </c>
      <c r="C2351" s="27" t="s">
        <v>144</v>
      </c>
      <c r="D2351" s="26" t="s">
        <v>8571</v>
      </c>
      <c r="E2351" s="27" t="s">
        <v>8572</v>
      </c>
      <c r="F2351" s="28" t="s">
        <v>146</v>
      </c>
      <c r="G2351" s="27" t="s">
        <v>3537</v>
      </c>
      <c r="H2351" s="27" t="s">
        <v>57</v>
      </c>
      <c r="I2351" s="28" t="s">
        <v>50</v>
      </c>
      <c r="J2351" s="28" t="s">
        <v>913</v>
      </c>
      <c r="K2351" s="27" t="s">
        <v>38</v>
      </c>
      <c r="L2351" s="27"/>
    </row>
    <row r="2352" customFormat="false" ht="15" hidden="false" customHeight="false" outlineLevel="0" collapsed="false">
      <c r="A2352" s="26" t="s">
        <v>8573</v>
      </c>
      <c r="B2352" s="27" t="s">
        <v>8574</v>
      </c>
      <c r="C2352" s="27" t="s">
        <v>144</v>
      </c>
      <c r="D2352" s="26" t="s">
        <v>8575</v>
      </c>
      <c r="E2352" s="27" t="s">
        <v>8576</v>
      </c>
      <c r="F2352" s="28" t="s">
        <v>146</v>
      </c>
      <c r="G2352" s="27" t="s">
        <v>3537</v>
      </c>
      <c r="H2352" s="27" t="s">
        <v>56</v>
      </c>
      <c r="I2352" s="27" t="s">
        <v>38</v>
      </c>
      <c r="J2352" s="28" t="s">
        <v>913</v>
      </c>
      <c r="K2352" s="27" t="s">
        <v>38</v>
      </c>
      <c r="L2352" s="27"/>
    </row>
    <row r="2353" customFormat="false" ht="15" hidden="false" customHeight="false" outlineLevel="0" collapsed="false">
      <c r="A2353" s="26" t="s">
        <v>8577</v>
      </c>
      <c r="B2353" s="27" t="s">
        <v>8578</v>
      </c>
      <c r="C2353" s="27" t="s">
        <v>144</v>
      </c>
      <c r="D2353" s="26" t="s">
        <v>8579</v>
      </c>
      <c r="E2353" s="27" t="s">
        <v>8580</v>
      </c>
      <c r="F2353" s="28" t="s">
        <v>146</v>
      </c>
      <c r="G2353" s="27" t="s">
        <v>3537</v>
      </c>
      <c r="H2353" s="27" t="s">
        <v>56</v>
      </c>
      <c r="I2353" s="27" t="s">
        <v>38</v>
      </c>
      <c r="J2353" s="28" t="s">
        <v>913</v>
      </c>
      <c r="K2353" s="27" t="s">
        <v>38</v>
      </c>
      <c r="L2353" s="27"/>
    </row>
    <row r="2354" customFormat="false" ht="15" hidden="false" customHeight="false" outlineLevel="0" collapsed="false">
      <c r="A2354" s="26" t="s">
        <v>8581</v>
      </c>
      <c r="B2354" s="27" t="s">
        <v>8582</v>
      </c>
      <c r="C2354" s="27" t="s">
        <v>144</v>
      </c>
      <c r="D2354" s="26" t="s">
        <v>8583</v>
      </c>
      <c r="E2354" s="27" t="s">
        <v>8584</v>
      </c>
      <c r="F2354" s="28" t="s">
        <v>146</v>
      </c>
      <c r="G2354" s="27" t="s">
        <v>3537</v>
      </c>
      <c r="H2354" s="27" t="s">
        <v>56</v>
      </c>
      <c r="I2354" s="27" t="s">
        <v>38</v>
      </c>
      <c r="J2354" s="28" t="s">
        <v>913</v>
      </c>
      <c r="K2354" s="27" t="s">
        <v>38</v>
      </c>
      <c r="L2354" s="27"/>
    </row>
    <row r="2355" customFormat="false" ht="15" hidden="false" customHeight="false" outlineLevel="0" collapsed="false">
      <c r="A2355" s="26" t="s">
        <v>8585</v>
      </c>
      <c r="B2355" s="27" t="s">
        <v>8586</v>
      </c>
      <c r="C2355" s="27" t="s">
        <v>144</v>
      </c>
      <c r="D2355" s="26" t="s">
        <v>8587</v>
      </c>
      <c r="E2355" s="27" t="s">
        <v>8588</v>
      </c>
      <c r="F2355" s="28" t="s">
        <v>146</v>
      </c>
      <c r="G2355" s="27" t="s">
        <v>3537</v>
      </c>
      <c r="H2355" s="27" t="s">
        <v>56</v>
      </c>
      <c r="I2355" s="27" t="s">
        <v>38</v>
      </c>
      <c r="J2355" s="28" t="s">
        <v>913</v>
      </c>
      <c r="K2355" s="27" t="s">
        <v>38</v>
      </c>
      <c r="L2355" s="27"/>
    </row>
    <row r="2356" customFormat="false" ht="15" hidden="false" customHeight="false" outlineLevel="0" collapsed="false">
      <c r="A2356" s="26" t="s">
        <v>8589</v>
      </c>
      <c r="B2356" s="27" t="s">
        <v>8590</v>
      </c>
      <c r="C2356" s="27" t="s">
        <v>144</v>
      </c>
      <c r="D2356" s="26" t="s">
        <v>8267</v>
      </c>
      <c r="E2356" s="27" t="s">
        <v>8268</v>
      </c>
      <c r="F2356" s="28" t="s">
        <v>146</v>
      </c>
      <c r="G2356" s="27" t="s">
        <v>3537</v>
      </c>
      <c r="H2356" s="27" t="s">
        <v>56</v>
      </c>
      <c r="I2356" s="27" t="s">
        <v>38</v>
      </c>
      <c r="J2356" s="28" t="s">
        <v>913</v>
      </c>
      <c r="K2356" s="27" t="s">
        <v>38</v>
      </c>
      <c r="L2356" s="27"/>
    </row>
    <row r="2357" customFormat="false" ht="15" hidden="false" customHeight="false" outlineLevel="0" collapsed="false">
      <c r="A2357" s="26" t="s">
        <v>8591</v>
      </c>
      <c r="B2357" s="27" t="s">
        <v>8592</v>
      </c>
      <c r="C2357" s="27" t="s">
        <v>144</v>
      </c>
      <c r="D2357" s="26" t="s">
        <v>8343</v>
      </c>
      <c r="E2357" s="27" t="s">
        <v>8344</v>
      </c>
      <c r="F2357" s="28" t="s">
        <v>146</v>
      </c>
      <c r="G2357" s="27" t="s">
        <v>3537</v>
      </c>
      <c r="H2357" s="27" t="s">
        <v>56</v>
      </c>
      <c r="I2357" s="27" t="s">
        <v>38</v>
      </c>
      <c r="J2357" s="28" t="s">
        <v>913</v>
      </c>
      <c r="K2357" s="27" t="s">
        <v>38</v>
      </c>
      <c r="L2357" s="27"/>
    </row>
    <row r="2358" customFormat="false" ht="15" hidden="false" customHeight="false" outlineLevel="0" collapsed="false">
      <c r="A2358" s="26" t="s">
        <v>8593</v>
      </c>
      <c r="B2358" s="27" t="s">
        <v>8594</v>
      </c>
      <c r="C2358" s="27" t="s">
        <v>144</v>
      </c>
      <c r="D2358" s="26" t="s">
        <v>8595</v>
      </c>
      <c r="E2358" s="27" t="s">
        <v>8596</v>
      </c>
      <c r="F2358" s="28" t="s">
        <v>146</v>
      </c>
      <c r="G2358" s="27" t="s">
        <v>3537</v>
      </c>
      <c r="H2358" s="27" t="s">
        <v>56</v>
      </c>
      <c r="I2358" s="27" t="s">
        <v>38</v>
      </c>
      <c r="J2358" s="28" t="s">
        <v>913</v>
      </c>
      <c r="K2358" s="27" t="s">
        <v>38</v>
      </c>
      <c r="L2358" s="27"/>
    </row>
    <row r="2359" customFormat="false" ht="15" hidden="false" customHeight="false" outlineLevel="0" collapsed="false">
      <c r="A2359" s="26" t="s">
        <v>8597</v>
      </c>
      <c r="B2359" s="27" t="s">
        <v>8598</v>
      </c>
      <c r="C2359" s="27" t="s">
        <v>144</v>
      </c>
      <c r="D2359" s="26" t="s">
        <v>8599</v>
      </c>
      <c r="E2359" s="27" t="s">
        <v>8600</v>
      </c>
      <c r="F2359" s="28" t="s">
        <v>146</v>
      </c>
      <c r="G2359" s="27" t="s">
        <v>3537</v>
      </c>
      <c r="H2359" s="27" t="s">
        <v>56</v>
      </c>
      <c r="I2359" s="27" t="s">
        <v>38</v>
      </c>
      <c r="J2359" s="28" t="s">
        <v>913</v>
      </c>
      <c r="K2359" s="27" t="s">
        <v>38</v>
      </c>
      <c r="L2359" s="27"/>
    </row>
    <row r="2360" customFormat="false" ht="15" hidden="false" customHeight="false" outlineLevel="0" collapsed="false">
      <c r="A2360" s="26" t="s">
        <v>8601</v>
      </c>
      <c r="B2360" s="27" t="s">
        <v>8602</v>
      </c>
      <c r="C2360" s="27" t="s">
        <v>144</v>
      </c>
      <c r="D2360" s="26" t="s">
        <v>8603</v>
      </c>
      <c r="E2360" s="27" t="s">
        <v>8604</v>
      </c>
      <c r="F2360" s="28" t="s">
        <v>146</v>
      </c>
      <c r="G2360" s="27" t="s">
        <v>3537</v>
      </c>
      <c r="H2360" s="27" t="s">
        <v>56</v>
      </c>
      <c r="I2360" s="27" t="s">
        <v>38</v>
      </c>
      <c r="J2360" s="28" t="s">
        <v>913</v>
      </c>
      <c r="K2360" s="27" t="s">
        <v>38</v>
      </c>
      <c r="L2360" s="27"/>
    </row>
    <row r="2361" customFormat="false" ht="15" hidden="false" customHeight="false" outlineLevel="0" collapsed="false">
      <c r="A2361" s="26" t="s">
        <v>8605</v>
      </c>
      <c r="B2361" s="27" t="s">
        <v>8606</v>
      </c>
      <c r="C2361" s="27" t="s">
        <v>144</v>
      </c>
      <c r="D2361" s="26" t="s">
        <v>8347</v>
      </c>
      <c r="E2361" s="27" t="s">
        <v>8348</v>
      </c>
      <c r="F2361" s="28" t="s">
        <v>146</v>
      </c>
      <c r="G2361" s="27" t="s">
        <v>3537</v>
      </c>
      <c r="H2361" s="27" t="s">
        <v>56</v>
      </c>
      <c r="I2361" s="27" t="s">
        <v>38</v>
      </c>
      <c r="J2361" s="28" t="s">
        <v>913</v>
      </c>
      <c r="K2361" s="27" t="s">
        <v>38</v>
      </c>
      <c r="L2361" s="27"/>
    </row>
    <row r="2362" customFormat="false" ht="15" hidden="false" customHeight="false" outlineLevel="0" collapsed="false">
      <c r="A2362" s="26" t="s">
        <v>8607</v>
      </c>
      <c r="B2362" s="27" t="s">
        <v>8608</v>
      </c>
      <c r="C2362" s="27" t="s">
        <v>144</v>
      </c>
      <c r="D2362" s="26" t="s">
        <v>8609</v>
      </c>
      <c r="E2362" s="27" t="s">
        <v>8610</v>
      </c>
      <c r="F2362" s="28" t="s">
        <v>146</v>
      </c>
      <c r="G2362" s="27" t="s">
        <v>3537</v>
      </c>
      <c r="H2362" s="27" t="s">
        <v>56</v>
      </c>
      <c r="I2362" s="27" t="s">
        <v>38</v>
      </c>
      <c r="J2362" s="28" t="s">
        <v>913</v>
      </c>
      <c r="K2362" s="27" t="s">
        <v>38</v>
      </c>
      <c r="L2362" s="27"/>
    </row>
    <row r="2363" customFormat="false" ht="15" hidden="false" customHeight="false" outlineLevel="0" collapsed="false">
      <c r="A2363" s="26" t="s">
        <v>8611</v>
      </c>
      <c r="B2363" s="27" t="s">
        <v>8612</v>
      </c>
      <c r="C2363" s="27" t="s">
        <v>144</v>
      </c>
      <c r="D2363" s="26" t="s">
        <v>8613</v>
      </c>
      <c r="E2363" s="27" t="s">
        <v>8614</v>
      </c>
      <c r="F2363" s="28" t="s">
        <v>146</v>
      </c>
      <c r="G2363" s="27" t="s">
        <v>3537</v>
      </c>
      <c r="H2363" s="27" t="s">
        <v>56</v>
      </c>
      <c r="I2363" s="27" t="s">
        <v>38</v>
      </c>
      <c r="J2363" s="28" t="s">
        <v>913</v>
      </c>
      <c r="K2363" s="27" t="s">
        <v>38</v>
      </c>
      <c r="L2363" s="27"/>
    </row>
    <row r="2364" customFormat="false" ht="15" hidden="false" customHeight="false" outlineLevel="0" collapsed="false">
      <c r="A2364" s="26" t="s">
        <v>8615</v>
      </c>
      <c r="B2364" s="27" t="s">
        <v>8616</v>
      </c>
      <c r="C2364" s="27" t="s">
        <v>144</v>
      </c>
      <c r="D2364" s="26" t="s">
        <v>8617</v>
      </c>
      <c r="E2364" s="27" t="s">
        <v>8618</v>
      </c>
      <c r="F2364" s="28" t="s">
        <v>146</v>
      </c>
      <c r="G2364" s="27" t="s">
        <v>3537</v>
      </c>
      <c r="H2364" s="27" t="s">
        <v>56</v>
      </c>
      <c r="I2364" s="27" t="s">
        <v>38</v>
      </c>
      <c r="J2364" s="28" t="s">
        <v>913</v>
      </c>
      <c r="K2364" s="27" t="s">
        <v>38</v>
      </c>
      <c r="L2364" s="27"/>
    </row>
    <row r="2365" customFormat="false" ht="15" hidden="false" customHeight="false" outlineLevel="0" collapsed="false">
      <c r="A2365" s="26" t="s">
        <v>8619</v>
      </c>
      <c r="B2365" s="27" t="s">
        <v>8620</v>
      </c>
      <c r="C2365" s="27" t="s">
        <v>144</v>
      </c>
      <c r="D2365" s="26" t="s">
        <v>8621</v>
      </c>
      <c r="E2365" s="27" t="s">
        <v>8622</v>
      </c>
      <c r="F2365" s="28" t="s">
        <v>146</v>
      </c>
      <c r="G2365" s="27" t="s">
        <v>3537</v>
      </c>
      <c r="H2365" s="27" t="s">
        <v>56</v>
      </c>
      <c r="I2365" s="27" t="s">
        <v>38</v>
      </c>
      <c r="J2365" s="28" t="s">
        <v>913</v>
      </c>
      <c r="K2365" s="27" t="s">
        <v>38</v>
      </c>
      <c r="L2365" s="27"/>
    </row>
    <row r="2366" customFormat="false" ht="15" hidden="false" customHeight="false" outlineLevel="0" collapsed="false">
      <c r="A2366" s="26" t="s">
        <v>8623</v>
      </c>
      <c r="B2366" s="27" t="s">
        <v>8624</v>
      </c>
      <c r="C2366" s="27" t="s">
        <v>144</v>
      </c>
      <c r="D2366" s="26" t="s">
        <v>8617</v>
      </c>
      <c r="E2366" s="27" t="s">
        <v>8618</v>
      </c>
      <c r="F2366" s="28" t="s">
        <v>146</v>
      </c>
      <c r="G2366" s="27" t="s">
        <v>3537</v>
      </c>
      <c r="H2366" s="27" t="s">
        <v>56</v>
      </c>
      <c r="I2366" s="27" t="s">
        <v>38</v>
      </c>
      <c r="J2366" s="28" t="s">
        <v>913</v>
      </c>
      <c r="K2366" s="27" t="s">
        <v>38</v>
      </c>
      <c r="L2366" s="27"/>
    </row>
    <row r="2367" customFormat="false" ht="15" hidden="false" customHeight="false" outlineLevel="0" collapsed="false">
      <c r="A2367" s="26" t="s">
        <v>8625</v>
      </c>
      <c r="B2367" s="27" t="s">
        <v>8626</v>
      </c>
      <c r="C2367" s="27" t="s">
        <v>144</v>
      </c>
      <c r="D2367" s="26" t="s">
        <v>8627</v>
      </c>
      <c r="E2367" s="27" t="s">
        <v>8628</v>
      </c>
      <c r="F2367" s="28" t="s">
        <v>146</v>
      </c>
      <c r="G2367" s="27" t="s">
        <v>3537</v>
      </c>
      <c r="H2367" s="27" t="s">
        <v>56</v>
      </c>
      <c r="I2367" s="27" t="s">
        <v>38</v>
      </c>
      <c r="J2367" s="28" t="s">
        <v>913</v>
      </c>
      <c r="K2367" s="27" t="s">
        <v>38</v>
      </c>
      <c r="L2367" s="27"/>
    </row>
    <row r="2368" customFormat="false" ht="15" hidden="false" customHeight="false" outlineLevel="0" collapsed="false">
      <c r="A2368" s="26" t="s">
        <v>8629</v>
      </c>
      <c r="B2368" s="27" t="s">
        <v>8630</v>
      </c>
      <c r="C2368" s="27" t="s">
        <v>144</v>
      </c>
      <c r="D2368" s="26" t="s">
        <v>8631</v>
      </c>
      <c r="E2368" s="27" t="s">
        <v>8632</v>
      </c>
      <c r="F2368" s="28" t="s">
        <v>146</v>
      </c>
      <c r="G2368" s="27" t="s">
        <v>3537</v>
      </c>
      <c r="H2368" s="27" t="s">
        <v>56</v>
      </c>
      <c r="I2368" s="27" t="s">
        <v>38</v>
      </c>
      <c r="J2368" s="28" t="s">
        <v>913</v>
      </c>
      <c r="K2368" s="27" t="s">
        <v>38</v>
      </c>
      <c r="L2368" s="27"/>
    </row>
    <row r="2369" customFormat="false" ht="15" hidden="false" customHeight="false" outlineLevel="0" collapsed="false">
      <c r="A2369" s="26" t="s">
        <v>8633</v>
      </c>
      <c r="B2369" s="27" t="s">
        <v>8634</v>
      </c>
      <c r="C2369" s="27" t="s">
        <v>144</v>
      </c>
      <c r="D2369" s="26" t="s">
        <v>8635</v>
      </c>
      <c r="E2369" s="27" t="s">
        <v>8636</v>
      </c>
      <c r="F2369" s="28" t="s">
        <v>146</v>
      </c>
      <c r="G2369" s="27" t="s">
        <v>3537</v>
      </c>
      <c r="H2369" s="27" t="s">
        <v>56</v>
      </c>
      <c r="I2369" s="27" t="s">
        <v>38</v>
      </c>
      <c r="J2369" s="28" t="s">
        <v>913</v>
      </c>
      <c r="K2369" s="27" t="s">
        <v>38</v>
      </c>
      <c r="L2369" s="27"/>
    </row>
    <row r="2370" customFormat="false" ht="15" hidden="false" customHeight="false" outlineLevel="0" collapsed="false">
      <c r="A2370" s="26" t="s">
        <v>8637</v>
      </c>
      <c r="B2370" s="27" t="s">
        <v>8638</v>
      </c>
      <c r="C2370" s="27" t="s">
        <v>144</v>
      </c>
      <c r="D2370" s="26" t="s">
        <v>8599</v>
      </c>
      <c r="E2370" s="27" t="s">
        <v>8600</v>
      </c>
      <c r="F2370" s="28" t="s">
        <v>146</v>
      </c>
      <c r="G2370" s="27" t="s">
        <v>3537</v>
      </c>
      <c r="H2370" s="27" t="s">
        <v>56</v>
      </c>
      <c r="I2370" s="27" t="s">
        <v>38</v>
      </c>
      <c r="J2370" s="28" t="s">
        <v>913</v>
      </c>
      <c r="K2370" s="27" t="s">
        <v>38</v>
      </c>
      <c r="L2370" s="27"/>
    </row>
    <row r="2371" customFormat="false" ht="15" hidden="false" customHeight="false" outlineLevel="0" collapsed="false">
      <c r="A2371" s="26" t="s">
        <v>8639</v>
      </c>
      <c r="B2371" s="27" t="s">
        <v>8640</v>
      </c>
      <c r="C2371" s="27" t="s">
        <v>144</v>
      </c>
      <c r="D2371" s="26" t="s">
        <v>8609</v>
      </c>
      <c r="E2371" s="27" t="s">
        <v>8610</v>
      </c>
      <c r="F2371" s="28" t="s">
        <v>146</v>
      </c>
      <c r="G2371" s="27" t="s">
        <v>3537</v>
      </c>
      <c r="H2371" s="27" t="s">
        <v>56</v>
      </c>
      <c r="I2371" s="27" t="s">
        <v>38</v>
      </c>
      <c r="J2371" s="28" t="s">
        <v>913</v>
      </c>
      <c r="K2371" s="27" t="s">
        <v>38</v>
      </c>
      <c r="L2371" s="27"/>
    </row>
    <row r="2372" customFormat="false" ht="15" hidden="false" customHeight="false" outlineLevel="0" collapsed="false">
      <c r="A2372" s="26" t="s">
        <v>8641</v>
      </c>
      <c r="B2372" s="27" t="s">
        <v>8642</v>
      </c>
      <c r="C2372" s="27" t="s">
        <v>144</v>
      </c>
      <c r="D2372" s="26" t="s">
        <v>8635</v>
      </c>
      <c r="E2372" s="27" t="s">
        <v>8636</v>
      </c>
      <c r="F2372" s="28" t="s">
        <v>146</v>
      </c>
      <c r="G2372" s="27" t="s">
        <v>3537</v>
      </c>
      <c r="H2372" s="27" t="s">
        <v>56</v>
      </c>
      <c r="I2372" s="27" t="s">
        <v>38</v>
      </c>
      <c r="J2372" s="28" t="s">
        <v>913</v>
      </c>
      <c r="K2372" s="27" t="s">
        <v>38</v>
      </c>
      <c r="L2372" s="27"/>
    </row>
    <row r="2373" customFormat="false" ht="15" hidden="false" customHeight="false" outlineLevel="0" collapsed="false">
      <c r="A2373" s="26" t="s">
        <v>8643</v>
      </c>
      <c r="B2373" s="27" t="s">
        <v>8644</v>
      </c>
      <c r="C2373" s="27" t="s">
        <v>144</v>
      </c>
      <c r="D2373" s="26" t="s">
        <v>8599</v>
      </c>
      <c r="E2373" s="27" t="s">
        <v>8600</v>
      </c>
      <c r="F2373" s="28" t="s">
        <v>146</v>
      </c>
      <c r="G2373" s="27" t="s">
        <v>3537</v>
      </c>
      <c r="H2373" s="27" t="s">
        <v>56</v>
      </c>
      <c r="I2373" s="27" t="s">
        <v>38</v>
      </c>
      <c r="J2373" s="28" t="s">
        <v>913</v>
      </c>
      <c r="K2373" s="27" t="s">
        <v>38</v>
      </c>
      <c r="L2373" s="27"/>
    </row>
    <row r="2374" customFormat="false" ht="15" hidden="false" customHeight="false" outlineLevel="0" collapsed="false">
      <c r="A2374" s="26" t="s">
        <v>8645</v>
      </c>
      <c r="B2374" s="27" t="s">
        <v>8646</v>
      </c>
      <c r="C2374" s="27" t="s">
        <v>144</v>
      </c>
      <c r="D2374" s="26" t="s">
        <v>8621</v>
      </c>
      <c r="E2374" s="27" t="s">
        <v>8622</v>
      </c>
      <c r="F2374" s="28" t="s">
        <v>146</v>
      </c>
      <c r="G2374" s="27" t="s">
        <v>3537</v>
      </c>
      <c r="H2374" s="27" t="s">
        <v>56</v>
      </c>
      <c r="I2374" s="27" t="s">
        <v>38</v>
      </c>
      <c r="J2374" s="28" t="s">
        <v>913</v>
      </c>
      <c r="K2374" s="27" t="s">
        <v>38</v>
      </c>
      <c r="L2374" s="27"/>
    </row>
    <row r="2375" customFormat="false" ht="15" hidden="false" customHeight="false" outlineLevel="0" collapsed="false">
      <c r="A2375" s="26" t="s">
        <v>8647</v>
      </c>
      <c r="B2375" s="27" t="s">
        <v>8648</v>
      </c>
      <c r="C2375" s="27" t="s">
        <v>144</v>
      </c>
      <c r="D2375" s="26" t="s">
        <v>8649</v>
      </c>
      <c r="E2375" s="27" t="s">
        <v>8650</v>
      </c>
      <c r="F2375" s="28" t="s">
        <v>146</v>
      </c>
      <c r="G2375" s="27" t="s">
        <v>3537</v>
      </c>
      <c r="H2375" s="27" t="s">
        <v>56</v>
      </c>
      <c r="I2375" s="27" t="s">
        <v>38</v>
      </c>
      <c r="J2375" s="28" t="s">
        <v>913</v>
      </c>
      <c r="K2375" s="27" t="s">
        <v>38</v>
      </c>
      <c r="L2375" s="27"/>
    </row>
    <row r="2376" customFormat="false" ht="15" hidden="false" customHeight="false" outlineLevel="0" collapsed="false">
      <c r="A2376" s="26" t="s">
        <v>8651</v>
      </c>
      <c r="B2376" s="27" t="s">
        <v>8652</v>
      </c>
      <c r="C2376" s="27" t="s">
        <v>144</v>
      </c>
      <c r="D2376" s="26" t="s">
        <v>8653</v>
      </c>
      <c r="E2376" s="27" t="s">
        <v>8654</v>
      </c>
      <c r="F2376" s="28" t="s">
        <v>146</v>
      </c>
      <c r="G2376" s="27" t="s">
        <v>3537</v>
      </c>
      <c r="H2376" s="27" t="s">
        <v>56</v>
      </c>
      <c r="I2376" s="27" t="s">
        <v>38</v>
      </c>
      <c r="J2376" s="28" t="s">
        <v>913</v>
      </c>
      <c r="K2376" s="27" t="s">
        <v>38</v>
      </c>
      <c r="L2376" s="27"/>
    </row>
    <row r="2377" customFormat="false" ht="15" hidden="false" customHeight="false" outlineLevel="0" collapsed="false">
      <c r="A2377" s="26" t="s">
        <v>8655</v>
      </c>
      <c r="B2377" s="27" t="s">
        <v>8656</v>
      </c>
      <c r="C2377" s="27" t="s">
        <v>144</v>
      </c>
      <c r="D2377" s="26" t="s">
        <v>8617</v>
      </c>
      <c r="E2377" s="27" t="s">
        <v>8618</v>
      </c>
      <c r="F2377" s="28" t="s">
        <v>146</v>
      </c>
      <c r="G2377" s="27" t="s">
        <v>3537</v>
      </c>
      <c r="H2377" s="27" t="s">
        <v>56</v>
      </c>
      <c r="I2377" s="27" t="s">
        <v>38</v>
      </c>
      <c r="J2377" s="28" t="s">
        <v>913</v>
      </c>
      <c r="K2377" s="27" t="s">
        <v>38</v>
      </c>
      <c r="L2377" s="27"/>
    </row>
    <row r="2378" customFormat="false" ht="15" hidden="false" customHeight="false" outlineLevel="0" collapsed="false">
      <c r="A2378" s="26" t="s">
        <v>8657</v>
      </c>
      <c r="B2378" s="27" t="s">
        <v>8658</v>
      </c>
      <c r="C2378" s="27" t="s">
        <v>144</v>
      </c>
      <c r="D2378" s="26" t="s">
        <v>8283</v>
      </c>
      <c r="E2378" s="27" t="s">
        <v>8284</v>
      </c>
      <c r="F2378" s="28" t="s">
        <v>146</v>
      </c>
      <c r="G2378" s="27" t="s">
        <v>3537</v>
      </c>
      <c r="H2378" s="27" t="s">
        <v>56</v>
      </c>
      <c r="I2378" s="27" t="s">
        <v>38</v>
      </c>
      <c r="J2378" s="28" t="s">
        <v>913</v>
      </c>
      <c r="K2378" s="27" t="s">
        <v>38</v>
      </c>
      <c r="L2378" s="27"/>
    </row>
    <row r="2379" customFormat="false" ht="15" hidden="false" customHeight="false" outlineLevel="0" collapsed="false">
      <c r="A2379" s="26" t="s">
        <v>8659</v>
      </c>
      <c r="B2379" s="27" t="s">
        <v>8660</v>
      </c>
      <c r="C2379" s="27" t="s">
        <v>144</v>
      </c>
      <c r="D2379" s="26" t="s">
        <v>8283</v>
      </c>
      <c r="E2379" s="27" t="s">
        <v>8284</v>
      </c>
      <c r="F2379" s="28" t="s">
        <v>146</v>
      </c>
      <c r="G2379" s="27" t="s">
        <v>3537</v>
      </c>
      <c r="H2379" s="27" t="s">
        <v>56</v>
      </c>
      <c r="I2379" s="27" t="s">
        <v>38</v>
      </c>
      <c r="J2379" s="28" t="s">
        <v>913</v>
      </c>
      <c r="K2379" s="27" t="s">
        <v>38</v>
      </c>
      <c r="L2379" s="27"/>
    </row>
    <row r="2380" customFormat="false" ht="15" hidden="false" customHeight="false" outlineLevel="0" collapsed="false">
      <c r="A2380" s="26" t="s">
        <v>8661</v>
      </c>
      <c r="B2380" s="27" t="s">
        <v>8662</v>
      </c>
      <c r="C2380" s="27" t="s">
        <v>144</v>
      </c>
      <c r="D2380" s="26" t="s">
        <v>8283</v>
      </c>
      <c r="E2380" s="27" t="s">
        <v>8284</v>
      </c>
      <c r="F2380" s="28" t="s">
        <v>146</v>
      </c>
      <c r="G2380" s="27" t="s">
        <v>3537</v>
      </c>
      <c r="H2380" s="27" t="s">
        <v>56</v>
      </c>
      <c r="I2380" s="27" t="s">
        <v>38</v>
      </c>
      <c r="J2380" s="28" t="s">
        <v>913</v>
      </c>
      <c r="K2380" s="27" t="s">
        <v>38</v>
      </c>
      <c r="L2380" s="27"/>
    </row>
    <row r="2381" customFormat="false" ht="15" hidden="false" customHeight="false" outlineLevel="0" collapsed="false">
      <c r="A2381" s="26" t="s">
        <v>8663</v>
      </c>
      <c r="B2381" s="27" t="s">
        <v>8664</v>
      </c>
      <c r="C2381" s="27" t="s">
        <v>144</v>
      </c>
      <c r="D2381" s="26" t="s">
        <v>8665</v>
      </c>
      <c r="E2381" s="27" t="s">
        <v>8666</v>
      </c>
      <c r="F2381" s="28" t="s">
        <v>146</v>
      </c>
      <c r="G2381" s="27" t="s">
        <v>3537</v>
      </c>
      <c r="H2381" s="27" t="s">
        <v>56</v>
      </c>
      <c r="I2381" s="27" t="s">
        <v>38</v>
      </c>
      <c r="J2381" s="28" t="s">
        <v>913</v>
      </c>
      <c r="K2381" s="27" t="s">
        <v>38</v>
      </c>
      <c r="L2381" s="27"/>
    </row>
    <row r="2382" customFormat="false" ht="15" hidden="false" customHeight="false" outlineLevel="0" collapsed="false">
      <c r="A2382" s="26" t="s">
        <v>8667</v>
      </c>
      <c r="B2382" s="27" t="s">
        <v>8668</v>
      </c>
      <c r="C2382" s="27" t="s">
        <v>144</v>
      </c>
      <c r="D2382" s="26" t="s">
        <v>8669</v>
      </c>
      <c r="E2382" s="27" t="s">
        <v>8670</v>
      </c>
      <c r="F2382" s="28" t="s">
        <v>146</v>
      </c>
      <c r="G2382" s="27" t="s">
        <v>3537</v>
      </c>
      <c r="H2382" s="27" t="s">
        <v>56</v>
      </c>
      <c r="I2382" s="27" t="s">
        <v>38</v>
      </c>
      <c r="J2382" s="28" t="s">
        <v>913</v>
      </c>
      <c r="K2382" s="27" t="s">
        <v>38</v>
      </c>
      <c r="L2382" s="27"/>
    </row>
    <row r="2383" customFormat="false" ht="15" hidden="false" customHeight="false" outlineLevel="0" collapsed="false">
      <c r="A2383" s="26" t="s">
        <v>8671</v>
      </c>
      <c r="B2383" s="27" t="s">
        <v>8672</v>
      </c>
      <c r="C2383" s="27" t="s">
        <v>144</v>
      </c>
      <c r="D2383" s="26" t="s">
        <v>8673</v>
      </c>
      <c r="E2383" s="27" t="s">
        <v>8674</v>
      </c>
      <c r="F2383" s="28" t="s">
        <v>146</v>
      </c>
      <c r="G2383" s="27" t="s">
        <v>3537</v>
      </c>
      <c r="H2383" s="27" t="s">
        <v>56</v>
      </c>
      <c r="I2383" s="27" t="s">
        <v>38</v>
      </c>
      <c r="J2383" s="28" t="s">
        <v>913</v>
      </c>
      <c r="K2383" s="27" t="s">
        <v>38</v>
      </c>
      <c r="L2383" s="27"/>
    </row>
    <row r="2384" customFormat="false" ht="15" hidden="false" customHeight="false" outlineLevel="0" collapsed="false">
      <c r="A2384" s="26" t="s">
        <v>8675</v>
      </c>
      <c r="B2384" s="27" t="s">
        <v>8676</v>
      </c>
      <c r="C2384" s="27" t="s">
        <v>144</v>
      </c>
      <c r="D2384" s="26" t="s">
        <v>8677</v>
      </c>
      <c r="E2384" s="27" t="s">
        <v>8678</v>
      </c>
      <c r="F2384" s="28" t="s">
        <v>146</v>
      </c>
      <c r="G2384" s="27" t="s">
        <v>3537</v>
      </c>
      <c r="H2384" s="27" t="s">
        <v>56</v>
      </c>
      <c r="I2384" s="27" t="s">
        <v>38</v>
      </c>
      <c r="J2384" s="28" t="s">
        <v>913</v>
      </c>
      <c r="K2384" s="27" t="s">
        <v>38</v>
      </c>
      <c r="L2384" s="27"/>
    </row>
    <row r="2385" customFormat="false" ht="15" hidden="false" customHeight="false" outlineLevel="0" collapsed="false">
      <c r="A2385" s="26" t="s">
        <v>8679</v>
      </c>
      <c r="B2385" s="27" t="s">
        <v>8680</v>
      </c>
      <c r="C2385" s="27" t="s">
        <v>144</v>
      </c>
      <c r="D2385" s="26" t="s">
        <v>8681</v>
      </c>
      <c r="E2385" s="27" t="s">
        <v>8682</v>
      </c>
      <c r="F2385" s="28" t="s">
        <v>146</v>
      </c>
      <c r="G2385" s="27" t="s">
        <v>3537</v>
      </c>
      <c r="H2385" s="27" t="s">
        <v>56</v>
      </c>
      <c r="I2385" s="27" t="s">
        <v>38</v>
      </c>
      <c r="J2385" s="28" t="s">
        <v>913</v>
      </c>
      <c r="K2385" s="27" t="s">
        <v>38</v>
      </c>
      <c r="L2385" s="27"/>
    </row>
    <row r="2386" customFormat="false" ht="15" hidden="false" customHeight="false" outlineLevel="0" collapsed="false">
      <c r="A2386" s="26" t="s">
        <v>8683</v>
      </c>
      <c r="B2386" s="27" t="s">
        <v>8684</v>
      </c>
      <c r="C2386" s="27" t="s">
        <v>144</v>
      </c>
      <c r="D2386" s="26" t="s">
        <v>8685</v>
      </c>
      <c r="E2386" s="27" t="s">
        <v>8686</v>
      </c>
      <c r="F2386" s="28" t="s">
        <v>146</v>
      </c>
      <c r="G2386" s="27" t="s">
        <v>3537</v>
      </c>
      <c r="H2386" s="27" t="s">
        <v>56</v>
      </c>
      <c r="I2386" s="27" t="s">
        <v>38</v>
      </c>
      <c r="J2386" s="28" t="s">
        <v>913</v>
      </c>
      <c r="K2386" s="27" t="s">
        <v>38</v>
      </c>
      <c r="L2386" s="27"/>
    </row>
    <row r="2387" customFormat="false" ht="15" hidden="false" customHeight="false" outlineLevel="0" collapsed="false">
      <c r="A2387" s="26" t="s">
        <v>8687</v>
      </c>
      <c r="B2387" s="27" t="s">
        <v>8688</v>
      </c>
      <c r="C2387" s="27" t="s">
        <v>144</v>
      </c>
      <c r="D2387" s="26" t="s">
        <v>8689</v>
      </c>
      <c r="E2387" s="27" t="s">
        <v>8690</v>
      </c>
      <c r="F2387" s="28" t="s">
        <v>146</v>
      </c>
      <c r="G2387" s="27" t="s">
        <v>3537</v>
      </c>
      <c r="H2387" s="27" t="s">
        <v>56</v>
      </c>
      <c r="I2387" s="27" t="s">
        <v>38</v>
      </c>
      <c r="J2387" s="28" t="s">
        <v>913</v>
      </c>
      <c r="K2387" s="27" t="s">
        <v>38</v>
      </c>
      <c r="L2387" s="27"/>
    </row>
    <row r="2388" customFormat="false" ht="15" hidden="false" customHeight="false" outlineLevel="0" collapsed="false">
      <c r="A2388" s="26" t="s">
        <v>8691</v>
      </c>
      <c r="B2388" s="27" t="s">
        <v>8692</v>
      </c>
      <c r="C2388" s="27" t="s">
        <v>144</v>
      </c>
      <c r="D2388" s="26" t="s">
        <v>8693</v>
      </c>
      <c r="E2388" s="27" t="s">
        <v>8694</v>
      </c>
      <c r="F2388" s="28" t="s">
        <v>146</v>
      </c>
      <c r="G2388" s="27" t="s">
        <v>3537</v>
      </c>
      <c r="H2388" s="27" t="s">
        <v>56</v>
      </c>
      <c r="I2388" s="27" t="s">
        <v>38</v>
      </c>
      <c r="J2388" s="28" t="s">
        <v>913</v>
      </c>
      <c r="K2388" s="27" t="s">
        <v>38</v>
      </c>
      <c r="L2388" s="27"/>
    </row>
    <row r="2389" customFormat="false" ht="15" hidden="false" customHeight="false" outlineLevel="0" collapsed="false">
      <c r="A2389" s="26" t="s">
        <v>8695</v>
      </c>
      <c r="B2389" s="27" t="s">
        <v>8696</v>
      </c>
      <c r="C2389" s="27" t="s">
        <v>144</v>
      </c>
      <c r="D2389" s="26" t="s">
        <v>8697</v>
      </c>
      <c r="E2389" s="27" t="s">
        <v>8698</v>
      </c>
      <c r="F2389" s="28" t="s">
        <v>146</v>
      </c>
      <c r="G2389" s="27" t="s">
        <v>3537</v>
      </c>
      <c r="H2389" s="27" t="s">
        <v>56</v>
      </c>
      <c r="I2389" s="27" t="s">
        <v>38</v>
      </c>
      <c r="J2389" s="28" t="s">
        <v>913</v>
      </c>
      <c r="K2389" s="27" t="s">
        <v>38</v>
      </c>
      <c r="L2389" s="27"/>
    </row>
    <row r="2390" customFormat="false" ht="15" hidden="false" customHeight="false" outlineLevel="0" collapsed="false">
      <c r="A2390" s="26" t="s">
        <v>8699</v>
      </c>
      <c r="B2390" s="27" t="s">
        <v>8700</v>
      </c>
      <c r="C2390" s="27" t="s">
        <v>144</v>
      </c>
      <c r="D2390" s="26" t="s">
        <v>8701</v>
      </c>
      <c r="E2390" s="27" t="s">
        <v>8702</v>
      </c>
      <c r="F2390" s="28" t="s">
        <v>146</v>
      </c>
      <c r="G2390" s="27" t="s">
        <v>3537</v>
      </c>
      <c r="H2390" s="27" t="s">
        <v>56</v>
      </c>
      <c r="I2390" s="27" t="s">
        <v>38</v>
      </c>
      <c r="J2390" s="28" t="s">
        <v>913</v>
      </c>
      <c r="K2390" s="27" t="s">
        <v>38</v>
      </c>
      <c r="L2390" s="27"/>
    </row>
    <row r="2391" customFormat="false" ht="15" hidden="false" customHeight="false" outlineLevel="0" collapsed="false">
      <c r="A2391" s="26" t="s">
        <v>8703</v>
      </c>
      <c r="B2391" s="27" t="s">
        <v>8704</v>
      </c>
      <c r="C2391" s="27" t="s">
        <v>144</v>
      </c>
      <c r="D2391" s="26" t="s">
        <v>8705</v>
      </c>
      <c r="E2391" s="27" t="s">
        <v>8706</v>
      </c>
      <c r="F2391" s="28" t="s">
        <v>146</v>
      </c>
      <c r="G2391" s="27" t="s">
        <v>3537</v>
      </c>
      <c r="H2391" s="27" t="s">
        <v>56</v>
      </c>
      <c r="I2391" s="27" t="s">
        <v>38</v>
      </c>
      <c r="J2391" s="28" t="s">
        <v>913</v>
      </c>
      <c r="K2391" s="27" t="s">
        <v>38</v>
      </c>
      <c r="L2391" s="27"/>
    </row>
    <row r="2392" customFormat="false" ht="15" hidden="false" customHeight="false" outlineLevel="0" collapsed="false">
      <c r="A2392" s="26" t="s">
        <v>8707</v>
      </c>
      <c r="B2392" s="27" t="s">
        <v>8708</v>
      </c>
      <c r="C2392" s="27" t="s">
        <v>144</v>
      </c>
      <c r="D2392" s="26" t="s">
        <v>8709</v>
      </c>
      <c r="E2392" s="27" t="s">
        <v>8710</v>
      </c>
      <c r="F2392" s="28" t="s">
        <v>146</v>
      </c>
      <c r="G2392" s="27" t="s">
        <v>3537</v>
      </c>
      <c r="H2392" s="27" t="s">
        <v>56</v>
      </c>
      <c r="I2392" s="27" t="s">
        <v>38</v>
      </c>
      <c r="J2392" s="28" t="s">
        <v>913</v>
      </c>
      <c r="K2392" s="27" t="s">
        <v>38</v>
      </c>
      <c r="L2392" s="27"/>
    </row>
    <row r="2393" customFormat="false" ht="15" hidden="false" customHeight="false" outlineLevel="0" collapsed="false">
      <c r="A2393" s="26" t="s">
        <v>8711</v>
      </c>
      <c r="B2393" s="27" t="s">
        <v>8712</v>
      </c>
      <c r="C2393" s="27" t="s">
        <v>144</v>
      </c>
      <c r="D2393" s="26" t="s">
        <v>8697</v>
      </c>
      <c r="E2393" s="27" t="s">
        <v>8698</v>
      </c>
      <c r="F2393" s="28" t="s">
        <v>146</v>
      </c>
      <c r="G2393" s="27" t="s">
        <v>3537</v>
      </c>
      <c r="H2393" s="27" t="s">
        <v>56</v>
      </c>
      <c r="I2393" s="27" t="s">
        <v>38</v>
      </c>
      <c r="J2393" s="28" t="s">
        <v>913</v>
      </c>
      <c r="K2393" s="27" t="s">
        <v>38</v>
      </c>
      <c r="L2393" s="27"/>
    </row>
    <row r="2394" customFormat="false" ht="15" hidden="false" customHeight="false" outlineLevel="0" collapsed="false">
      <c r="A2394" s="26" t="s">
        <v>8713</v>
      </c>
      <c r="B2394" s="27" t="s">
        <v>8714</v>
      </c>
      <c r="C2394" s="27" t="s">
        <v>144</v>
      </c>
      <c r="D2394" s="26" t="s">
        <v>8715</v>
      </c>
      <c r="E2394" s="27" t="s">
        <v>8716</v>
      </c>
      <c r="F2394" s="28" t="s">
        <v>146</v>
      </c>
      <c r="G2394" s="27" t="s">
        <v>3537</v>
      </c>
      <c r="H2394" s="27" t="s">
        <v>56</v>
      </c>
      <c r="I2394" s="27" t="s">
        <v>38</v>
      </c>
      <c r="J2394" s="28" t="s">
        <v>913</v>
      </c>
      <c r="K2394" s="27" t="s">
        <v>38</v>
      </c>
      <c r="L2394" s="27"/>
    </row>
    <row r="2395" customFormat="false" ht="15" hidden="false" customHeight="false" outlineLevel="0" collapsed="false">
      <c r="A2395" s="26" t="s">
        <v>8717</v>
      </c>
      <c r="B2395" s="27" t="s">
        <v>8718</v>
      </c>
      <c r="C2395" s="27" t="s">
        <v>144</v>
      </c>
      <c r="D2395" s="26" t="s">
        <v>8719</v>
      </c>
      <c r="E2395" s="27" t="s">
        <v>8720</v>
      </c>
      <c r="F2395" s="28" t="s">
        <v>146</v>
      </c>
      <c r="G2395" s="27" t="s">
        <v>3537</v>
      </c>
      <c r="H2395" s="27" t="s">
        <v>56</v>
      </c>
      <c r="I2395" s="27" t="s">
        <v>38</v>
      </c>
      <c r="J2395" s="28" t="s">
        <v>913</v>
      </c>
      <c r="K2395" s="27" t="s">
        <v>38</v>
      </c>
      <c r="L2395" s="27"/>
    </row>
    <row r="2396" customFormat="false" ht="15" hidden="false" customHeight="false" outlineLevel="0" collapsed="false">
      <c r="A2396" s="26" t="s">
        <v>8721</v>
      </c>
      <c r="B2396" s="27" t="s">
        <v>8722</v>
      </c>
      <c r="C2396" s="27" t="s">
        <v>144</v>
      </c>
      <c r="D2396" s="26" t="s">
        <v>8723</v>
      </c>
      <c r="E2396" s="27" t="s">
        <v>8724</v>
      </c>
      <c r="F2396" s="28" t="s">
        <v>146</v>
      </c>
      <c r="G2396" s="27" t="s">
        <v>3537</v>
      </c>
      <c r="H2396" s="27" t="s">
        <v>56</v>
      </c>
      <c r="I2396" s="27" t="s">
        <v>38</v>
      </c>
      <c r="J2396" s="28" t="s">
        <v>913</v>
      </c>
      <c r="K2396" s="27" t="s">
        <v>38</v>
      </c>
      <c r="L2396" s="27"/>
    </row>
    <row r="2397" customFormat="false" ht="15" hidden="false" customHeight="false" outlineLevel="0" collapsed="false">
      <c r="A2397" s="26" t="s">
        <v>8725</v>
      </c>
      <c r="B2397" s="27" t="s">
        <v>8726</v>
      </c>
      <c r="C2397" s="27" t="s">
        <v>144</v>
      </c>
      <c r="D2397" s="26" t="s">
        <v>8727</v>
      </c>
      <c r="E2397" s="27" t="s">
        <v>8728</v>
      </c>
      <c r="F2397" s="28" t="s">
        <v>146</v>
      </c>
      <c r="G2397" s="27" t="s">
        <v>3537</v>
      </c>
      <c r="H2397" s="27" t="s">
        <v>56</v>
      </c>
      <c r="I2397" s="27" t="s">
        <v>38</v>
      </c>
      <c r="J2397" s="28" t="s">
        <v>913</v>
      </c>
      <c r="K2397" s="27" t="s">
        <v>38</v>
      </c>
      <c r="L2397" s="27"/>
    </row>
    <row r="2398" customFormat="false" ht="15" hidden="false" customHeight="false" outlineLevel="0" collapsed="false">
      <c r="A2398" s="26" t="s">
        <v>8729</v>
      </c>
      <c r="B2398" s="27" t="s">
        <v>8730</v>
      </c>
      <c r="C2398" s="27" t="s">
        <v>144</v>
      </c>
      <c r="D2398" s="26" t="s">
        <v>8731</v>
      </c>
      <c r="E2398" s="27" t="s">
        <v>8732</v>
      </c>
      <c r="F2398" s="28" t="s">
        <v>146</v>
      </c>
      <c r="G2398" s="27" t="s">
        <v>3537</v>
      </c>
      <c r="H2398" s="27" t="s">
        <v>56</v>
      </c>
      <c r="I2398" s="27" t="s">
        <v>38</v>
      </c>
      <c r="J2398" s="28" t="s">
        <v>913</v>
      </c>
      <c r="K2398" s="27" t="s">
        <v>38</v>
      </c>
      <c r="L2398" s="27"/>
    </row>
    <row r="2399" customFormat="false" ht="15" hidden="false" customHeight="false" outlineLevel="0" collapsed="false">
      <c r="A2399" s="26" t="s">
        <v>8733</v>
      </c>
      <c r="B2399" s="27" t="s">
        <v>8734</v>
      </c>
      <c r="C2399" s="27" t="s">
        <v>144</v>
      </c>
      <c r="D2399" s="26" t="s">
        <v>8735</v>
      </c>
      <c r="E2399" s="27" t="s">
        <v>8736</v>
      </c>
      <c r="F2399" s="28" t="s">
        <v>146</v>
      </c>
      <c r="G2399" s="27" t="s">
        <v>3537</v>
      </c>
      <c r="H2399" s="27" t="s">
        <v>56</v>
      </c>
      <c r="I2399" s="27" t="s">
        <v>38</v>
      </c>
      <c r="J2399" s="28" t="s">
        <v>913</v>
      </c>
      <c r="K2399" s="27" t="s">
        <v>38</v>
      </c>
      <c r="L2399" s="27"/>
    </row>
    <row r="2400" customFormat="false" ht="15" hidden="false" customHeight="false" outlineLevel="0" collapsed="false">
      <c r="A2400" s="26" t="s">
        <v>8737</v>
      </c>
      <c r="B2400" s="27" t="s">
        <v>8738</v>
      </c>
      <c r="C2400" s="27" t="s">
        <v>144</v>
      </c>
      <c r="D2400" s="26" t="s">
        <v>8739</v>
      </c>
      <c r="E2400" s="27" t="s">
        <v>8740</v>
      </c>
      <c r="F2400" s="28" t="s">
        <v>146</v>
      </c>
      <c r="G2400" s="27" t="s">
        <v>3537</v>
      </c>
      <c r="H2400" s="27" t="s">
        <v>56</v>
      </c>
      <c r="I2400" s="27" t="s">
        <v>38</v>
      </c>
      <c r="J2400" s="28" t="s">
        <v>913</v>
      </c>
      <c r="K2400" s="27" t="s">
        <v>38</v>
      </c>
      <c r="L2400" s="27"/>
    </row>
    <row r="2401" customFormat="false" ht="15" hidden="false" customHeight="false" outlineLevel="0" collapsed="false">
      <c r="A2401" s="26" t="s">
        <v>8741</v>
      </c>
      <c r="B2401" s="27" t="s">
        <v>8742</v>
      </c>
      <c r="C2401" s="27" t="s">
        <v>144</v>
      </c>
      <c r="D2401" s="26" t="s">
        <v>8739</v>
      </c>
      <c r="E2401" s="27" t="s">
        <v>8740</v>
      </c>
      <c r="F2401" s="28" t="s">
        <v>146</v>
      </c>
      <c r="G2401" s="27" t="s">
        <v>3537</v>
      </c>
      <c r="H2401" s="27" t="s">
        <v>56</v>
      </c>
      <c r="I2401" s="27" t="s">
        <v>38</v>
      </c>
      <c r="J2401" s="28" t="s">
        <v>913</v>
      </c>
      <c r="K2401" s="27" t="s">
        <v>38</v>
      </c>
      <c r="L2401" s="27"/>
    </row>
    <row r="2402" customFormat="false" ht="15" hidden="false" customHeight="false" outlineLevel="0" collapsed="false">
      <c r="A2402" s="26" t="s">
        <v>8743</v>
      </c>
      <c r="B2402" s="27" t="s">
        <v>8744</v>
      </c>
      <c r="C2402" s="27" t="s">
        <v>144</v>
      </c>
      <c r="D2402" s="26" t="s">
        <v>8745</v>
      </c>
      <c r="E2402" s="27" t="s">
        <v>8746</v>
      </c>
      <c r="F2402" s="28" t="s">
        <v>146</v>
      </c>
      <c r="G2402" s="27" t="s">
        <v>3537</v>
      </c>
      <c r="H2402" s="27" t="s">
        <v>56</v>
      </c>
      <c r="I2402" s="27" t="s">
        <v>38</v>
      </c>
      <c r="J2402" s="28" t="s">
        <v>913</v>
      </c>
      <c r="K2402" s="27" t="s">
        <v>38</v>
      </c>
      <c r="L2402" s="27"/>
    </row>
    <row r="2403" customFormat="false" ht="15" hidden="false" customHeight="false" outlineLevel="0" collapsed="false">
      <c r="A2403" s="26" t="s">
        <v>8747</v>
      </c>
      <c r="B2403" s="27" t="s">
        <v>8748</v>
      </c>
      <c r="C2403" s="27" t="s">
        <v>144</v>
      </c>
      <c r="D2403" s="26" t="s">
        <v>8749</v>
      </c>
      <c r="E2403" s="27" t="s">
        <v>8750</v>
      </c>
      <c r="F2403" s="28" t="s">
        <v>146</v>
      </c>
      <c r="G2403" s="27" t="s">
        <v>3537</v>
      </c>
      <c r="H2403" s="27" t="s">
        <v>56</v>
      </c>
      <c r="I2403" s="27" t="s">
        <v>38</v>
      </c>
      <c r="J2403" s="28" t="s">
        <v>913</v>
      </c>
      <c r="K2403" s="27" t="s">
        <v>38</v>
      </c>
      <c r="L2403" s="27"/>
    </row>
    <row r="2404" customFormat="false" ht="15" hidden="false" customHeight="false" outlineLevel="0" collapsed="false">
      <c r="A2404" s="26" t="s">
        <v>8751</v>
      </c>
      <c r="B2404" s="27" t="s">
        <v>8752</v>
      </c>
      <c r="C2404" s="27" t="s">
        <v>144</v>
      </c>
      <c r="D2404" s="26" t="s">
        <v>8739</v>
      </c>
      <c r="E2404" s="27" t="s">
        <v>8740</v>
      </c>
      <c r="F2404" s="28" t="s">
        <v>146</v>
      </c>
      <c r="G2404" s="27" t="s">
        <v>3537</v>
      </c>
      <c r="H2404" s="27" t="s">
        <v>56</v>
      </c>
      <c r="I2404" s="27" t="s">
        <v>38</v>
      </c>
      <c r="J2404" s="28" t="s">
        <v>913</v>
      </c>
      <c r="K2404" s="27" t="s">
        <v>38</v>
      </c>
      <c r="L2404" s="27"/>
    </row>
    <row r="2405" customFormat="false" ht="15" hidden="false" customHeight="false" outlineLevel="0" collapsed="false">
      <c r="A2405" s="26" t="s">
        <v>8753</v>
      </c>
      <c r="B2405" s="27" t="s">
        <v>8754</v>
      </c>
      <c r="C2405" s="27" t="s">
        <v>144</v>
      </c>
      <c r="D2405" s="26" t="s">
        <v>8755</v>
      </c>
      <c r="E2405" s="27" t="s">
        <v>8756</v>
      </c>
      <c r="F2405" s="28" t="s">
        <v>146</v>
      </c>
      <c r="G2405" s="27" t="s">
        <v>3537</v>
      </c>
      <c r="H2405" s="27" t="s">
        <v>56</v>
      </c>
      <c r="I2405" s="27" t="s">
        <v>38</v>
      </c>
      <c r="J2405" s="28" t="s">
        <v>913</v>
      </c>
      <c r="K2405" s="27" t="s">
        <v>38</v>
      </c>
      <c r="L2405" s="27"/>
    </row>
    <row r="2406" customFormat="false" ht="15" hidden="false" customHeight="false" outlineLevel="0" collapsed="false">
      <c r="A2406" s="26" t="s">
        <v>8757</v>
      </c>
      <c r="B2406" s="27" t="s">
        <v>8758</v>
      </c>
      <c r="C2406" s="27" t="s">
        <v>144</v>
      </c>
      <c r="D2406" s="26" t="s">
        <v>8759</v>
      </c>
      <c r="E2406" s="27" t="s">
        <v>8760</v>
      </c>
      <c r="F2406" s="28" t="s">
        <v>146</v>
      </c>
      <c r="G2406" s="27" t="s">
        <v>3537</v>
      </c>
      <c r="H2406" s="27" t="s">
        <v>56</v>
      </c>
      <c r="I2406" s="27" t="s">
        <v>38</v>
      </c>
      <c r="J2406" s="28" t="s">
        <v>913</v>
      </c>
      <c r="K2406" s="27" t="s">
        <v>38</v>
      </c>
      <c r="L2406" s="27"/>
    </row>
    <row r="2407" customFormat="false" ht="15" hidden="false" customHeight="false" outlineLevel="0" collapsed="false">
      <c r="A2407" s="26" t="s">
        <v>8761</v>
      </c>
      <c r="B2407" s="27" t="s">
        <v>8762</v>
      </c>
      <c r="C2407" s="27" t="s">
        <v>144</v>
      </c>
      <c r="D2407" s="26" t="s">
        <v>8763</v>
      </c>
      <c r="E2407" s="27" t="s">
        <v>8764</v>
      </c>
      <c r="F2407" s="28" t="s">
        <v>146</v>
      </c>
      <c r="G2407" s="27" t="s">
        <v>3537</v>
      </c>
      <c r="H2407" s="27" t="s">
        <v>56</v>
      </c>
      <c r="I2407" s="27" t="s">
        <v>38</v>
      </c>
      <c r="J2407" s="28" t="s">
        <v>913</v>
      </c>
      <c r="K2407" s="27" t="s">
        <v>38</v>
      </c>
      <c r="L2407" s="27"/>
    </row>
    <row r="2408" customFormat="false" ht="15" hidden="false" customHeight="false" outlineLevel="0" collapsed="false">
      <c r="A2408" s="26" t="s">
        <v>8765</v>
      </c>
      <c r="B2408" s="27" t="s">
        <v>8766</v>
      </c>
      <c r="C2408" s="27" t="s">
        <v>144</v>
      </c>
      <c r="D2408" s="26" t="s">
        <v>8755</v>
      </c>
      <c r="E2408" s="27" t="s">
        <v>8756</v>
      </c>
      <c r="F2408" s="28" t="s">
        <v>146</v>
      </c>
      <c r="G2408" s="27" t="s">
        <v>3537</v>
      </c>
      <c r="H2408" s="27" t="s">
        <v>56</v>
      </c>
      <c r="I2408" s="27" t="s">
        <v>38</v>
      </c>
      <c r="J2408" s="28" t="s">
        <v>913</v>
      </c>
      <c r="K2408" s="27" t="s">
        <v>38</v>
      </c>
      <c r="L2408" s="27"/>
    </row>
    <row r="2409" customFormat="false" ht="15" hidden="false" customHeight="false" outlineLevel="0" collapsed="false">
      <c r="A2409" s="26" t="s">
        <v>8767</v>
      </c>
      <c r="B2409" s="27" t="s">
        <v>8768</v>
      </c>
      <c r="C2409" s="27" t="s">
        <v>144</v>
      </c>
      <c r="D2409" s="26" t="s">
        <v>8759</v>
      </c>
      <c r="E2409" s="27" t="s">
        <v>8760</v>
      </c>
      <c r="F2409" s="28" t="s">
        <v>146</v>
      </c>
      <c r="G2409" s="27" t="s">
        <v>3537</v>
      </c>
      <c r="H2409" s="27" t="s">
        <v>56</v>
      </c>
      <c r="I2409" s="27" t="s">
        <v>38</v>
      </c>
      <c r="J2409" s="28" t="s">
        <v>913</v>
      </c>
      <c r="K2409" s="27" t="s">
        <v>38</v>
      </c>
      <c r="L2409" s="27"/>
    </row>
    <row r="2410" customFormat="false" ht="15" hidden="false" customHeight="false" outlineLevel="0" collapsed="false">
      <c r="A2410" s="26" t="s">
        <v>8769</v>
      </c>
      <c r="B2410" s="27" t="s">
        <v>8770</v>
      </c>
      <c r="C2410" s="27" t="s">
        <v>144</v>
      </c>
      <c r="D2410" s="26" t="s">
        <v>8771</v>
      </c>
      <c r="E2410" s="27" t="s">
        <v>8772</v>
      </c>
      <c r="F2410" s="28" t="s">
        <v>146</v>
      </c>
      <c r="G2410" s="27" t="s">
        <v>3537</v>
      </c>
      <c r="H2410" s="27" t="s">
        <v>56</v>
      </c>
      <c r="I2410" s="27" t="s">
        <v>38</v>
      </c>
      <c r="J2410" s="28" t="s">
        <v>913</v>
      </c>
      <c r="K2410" s="27" t="s">
        <v>38</v>
      </c>
      <c r="L2410" s="27"/>
    </row>
    <row r="2411" customFormat="false" ht="15" hidden="false" customHeight="false" outlineLevel="0" collapsed="false">
      <c r="A2411" s="26" t="s">
        <v>8773</v>
      </c>
      <c r="B2411" s="27" t="s">
        <v>8774</v>
      </c>
      <c r="C2411" s="27" t="s">
        <v>144</v>
      </c>
      <c r="D2411" s="26" t="s">
        <v>8775</v>
      </c>
      <c r="E2411" s="27" t="s">
        <v>8776</v>
      </c>
      <c r="F2411" s="28" t="s">
        <v>146</v>
      </c>
      <c r="G2411" s="27" t="s">
        <v>3537</v>
      </c>
      <c r="H2411" s="27" t="s">
        <v>56</v>
      </c>
      <c r="I2411" s="27" t="s">
        <v>38</v>
      </c>
      <c r="J2411" s="28" t="s">
        <v>913</v>
      </c>
      <c r="K2411" s="27" t="s">
        <v>38</v>
      </c>
      <c r="L2411" s="27"/>
    </row>
    <row r="2412" customFormat="false" ht="15" hidden="false" customHeight="false" outlineLevel="0" collapsed="false">
      <c r="A2412" s="26" t="s">
        <v>8777</v>
      </c>
      <c r="B2412" s="27" t="s">
        <v>8778</v>
      </c>
      <c r="C2412" s="27" t="s">
        <v>144</v>
      </c>
      <c r="D2412" s="26" t="s">
        <v>8775</v>
      </c>
      <c r="E2412" s="27" t="s">
        <v>8776</v>
      </c>
      <c r="F2412" s="28" t="s">
        <v>146</v>
      </c>
      <c r="G2412" s="27" t="s">
        <v>3537</v>
      </c>
      <c r="H2412" s="27" t="s">
        <v>56</v>
      </c>
      <c r="I2412" s="27" t="s">
        <v>38</v>
      </c>
      <c r="J2412" s="28" t="s">
        <v>913</v>
      </c>
      <c r="K2412" s="27" t="s">
        <v>38</v>
      </c>
      <c r="L2412" s="27"/>
    </row>
    <row r="2413" customFormat="false" ht="15" hidden="false" customHeight="false" outlineLevel="0" collapsed="false">
      <c r="A2413" s="26" t="s">
        <v>8779</v>
      </c>
      <c r="B2413" s="27" t="s">
        <v>8780</v>
      </c>
      <c r="C2413" s="27" t="s">
        <v>144</v>
      </c>
      <c r="D2413" s="26" t="s">
        <v>8781</v>
      </c>
      <c r="E2413" s="27" t="s">
        <v>8782</v>
      </c>
      <c r="F2413" s="28" t="s">
        <v>146</v>
      </c>
      <c r="G2413" s="27" t="s">
        <v>3537</v>
      </c>
      <c r="H2413" s="27" t="s">
        <v>56</v>
      </c>
      <c r="I2413" s="27" t="s">
        <v>38</v>
      </c>
      <c r="J2413" s="28" t="s">
        <v>913</v>
      </c>
      <c r="K2413" s="27" t="s">
        <v>38</v>
      </c>
      <c r="L2413" s="27"/>
    </row>
    <row r="2414" customFormat="false" ht="15" hidden="false" customHeight="false" outlineLevel="0" collapsed="false">
      <c r="A2414" s="26" t="s">
        <v>8783</v>
      </c>
      <c r="B2414" s="27" t="s">
        <v>8784</v>
      </c>
      <c r="C2414" s="27" t="s">
        <v>144</v>
      </c>
      <c r="D2414" s="26" t="s">
        <v>8775</v>
      </c>
      <c r="E2414" s="27" t="s">
        <v>8776</v>
      </c>
      <c r="F2414" s="28" t="s">
        <v>146</v>
      </c>
      <c r="G2414" s="27" t="s">
        <v>3537</v>
      </c>
      <c r="H2414" s="27" t="s">
        <v>56</v>
      </c>
      <c r="I2414" s="27" t="s">
        <v>38</v>
      </c>
      <c r="J2414" s="28" t="s">
        <v>913</v>
      </c>
      <c r="K2414" s="27" t="s">
        <v>38</v>
      </c>
      <c r="L2414" s="27"/>
    </row>
    <row r="2415" customFormat="false" ht="15" hidden="false" customHeight="false" outlineLevel="0" collapsed="false">
      <c r="A2415" s="26" t="s">
        <v>8785</v>
      </c>
      <c r="B2415" s="27" t="s">
        <v>8786</v>
      </c>
      <c r="C2415" s="27" t="s">
        <v>144</v>
      </c>
      <c r="D2415" s="26" t="s">
        <v>8787</v>
      </c>
      <c r="E2415" s="27" t="s">
        <v>8788</v>
      </c>
      <c r="F2415" s="28" t="s">
        <v>146</v>
      </c>
      <c r="G2415" s="27" t="s">
        <v>3537</v>
      </c>
      <c r="H2415" s="27" t="s">
        <v>56</v>
      </c>
      <c r="I2415" s="27" t="s">
        <v>38</v>
      </c>
      <c r="J2415" s="28" t="s">
        <v>913</v>
      </c>
      <c r="K2415" s="27" t="s">
        <v>38</v>
      </c>
      <c r="L2415" s="27"/>
    </row>
    <row r="2416" customFormat="false" ht="15" hidden="false" customHeight="false" outlineLevel="0" collapsed="false">
      <c r="A2416" s="26" t="s">
        <v>8789</v>
      </c>
      <c r="B2416" s="27" t="s">
        <v>8790</v>
      </c>
      <c r="C2416" s="27" t="s">
        <v>144</v>
      </c>
      <c r="D2416" s="26" t="s">
        <v>8727</v>
      </c>
      <c r="E2416" s="27" t="s">
        <v>8728</v>
      </c>
      <c r="F2416" s="28" t="s">
        <v>146</v>
      </c>
      <c r="G2416" s="27" t="s">
        <v>3537</v>
      </c>
      <c r="H2416" s="27" t="s">
        <v>56</v>
      </c>
      <c r="I2416" s="27" t="s">
        <v>38</v>
      </c>
      <c r="J2416" s="28" t="s">
        <v>913</v>
      </c>
      <c r="K2416" s="27" t="s">
        <v>38</v>
      </c>
      <c r="L2416" s="27"/>
    </row>
    <row r="2417" customFormat="false" ht="15" hidden="false" customHeight="false" outlineLevel="0" collapsed="false">
      <c r="A2417" s="26" t="s">
        <v>8791</v>
      </c>
      <c r="B2417" s="27" t="s">
        <v>8792</v>
      </c>
      <c r="C2417" s="27" t="s">
        <v>144</v>
      </c>
      <c r="D2417" s="26" t="s">
        <v>8739</v>
      </c>
      <c r="E2417" s="27" t="s">
        <v>8740</v>
      </c>
      <c r="F2417" s="28" t="s">
        <v>146</v>
      </c>
      <c r="G2417" s="27" t="s">
        <v>3537</v>
      </c>
      <c r="H2417" s="27" t="s">
        <v>56</v>
      </c>
      <c r="I2417" s="27" t="s">
        <v>38</v>
      </c>
      <c r="J2417" s="28" t="s">
        <v>913</v>
      </c>
      <c r="K2417" s="27" t="s">
        <v>38</v>
      </c>
      <c r="L2417" s="27"/>
    </row>
    <row r="2418" customFormat="false" ht="15" hidden="false" customHeight="false" outlineLevel="0" collapsed="false">
      <c r="A2418" s="26" t="s">
        <v>8793</v>
      </c>
      <c r="B2418" s="27" t="s">
        <v>8794</v>
      </c>
      <c r="C2418" s="27" t="s">
        <v>144</v>
      </c>
      <c r="D2418" s="26" t="s">
        <v>8775</v>
      </c>
      <c r="E2418" s="27" t="s">
        <v>8776</v>
      </c>
      <c r="F2418" s="28" t="s">
        <v>146</v>
      </c>
      <c r="G2418" s="27" t="s">
        <v>3537</v>
      </c>
      <c r="H2418" s="27" t="s">
        <v>56</v>
      </c>
      <c r="I2418" s="27" t="s">
        <v>38</v>
      </c>
      <c r="J2418" s="28" t="s">
        <v>913</v>
      </c>
      <c r="K2418" s="27" t="s">
        <v>38</v>
      </c>
      <c r="L2418" s="27"/>
    </row>
    <row r="2419" customFormat="false" ht="15" hidden="false" customHeight="false" outlineLevel="0" collapsed="false">
      <c r="A2419" s="26" t="s">
        <v>8795</v>
      </c>
      <c r="B2419" s="27" t="s">
        <v>8796</v>
      </c>
      <c r="C2419" s="27" t="s">
        <v>144</v>
      </c>
      <c r="D2419" s="26" t="s">
        <v>8797</v>
      </c>
      <c r="E2419" s="27" t="s">
        <v>8798</v>
      </c>
      <c r="F2419" s="28" t="s">
        <v>146</v>
      </c>
      <c r="G2419" s="27" t="s">
        <v>3537</v>
      </c>
      <c r="H2419" s="27" t="s">
        <v>56</v>
      </c>
      <c r="I2419" s="27" t="s">
        <v>38</v>
      </c>
      <c r="J2419" s="28" t="s">
        <v>913</v>
      </c>
      <c r="K2419" s="27" t="s">
        <v>38</v>
      </c>
      <c r="L2419" s="27"/>
    </row>
    <row r="2420" customFormat="false" ht="15" hidden="false" customHeight="false" outlineLevel="0" collapsed="false">
      <c r="A2420" s="26" t="s">
        <v>8799</v>
      </c>
      <c r="B2420" s="27" t="s">
        <v>8800</v>
      </c>
      <c r="C2420" s="27" t="s">
        <v>144</v>
      </c>
      <c r="D2420" s="26" t="s">
        <v>8801</v>
      </c>
      <c r="E2420" s="27" t="s">
        <v>8802</v>
      </c>
      <c r="F2420" s="28" t="s">
        <v>146</v>
      </c>
      <c r="G2420" s="27" t="s">
        <v>3537</v>
      </c>
      <c r="H2420" s="27" t="s">
        <v>56</v>
      </c>
      <c r="I2420" s="27" t="s">
        <v>38</v>
      </c>
      <c r="J2420" s="28" t="s">
        <v>913</v>
      </c>
      <c r="K2420" s="27" t="s">
        <v>38</v>
      </c>
      <c r="L2420" s="27"/>
    </row>
    <row r="2421" customFormat="false" ht="15" hidden="false" customHeight="false" outlineLevel="0" collapsed="false">
      <c r="A2421" s="26" t="s">
        <v>8803</v>
      </c>
      <c r="B2421" s="27" t="s">
        <v>8804</v>
      </c>
      <c r="C2421" s="27" t="s">
        <v>144</v>
      </c>
      <c r="D2421" s="26" t="s">
        <v>8805</v>
      </c>
      <c r="E2421" s="27" t="s">
        <v>8806</v>
      </c>
      <c r="F2421" s="28" t="s">
        <v>146</v>
      </c>
      <c r="G2421" s="27" t="s">
        <v>3537</v>
      </c>
      <c r="H2421" s="27" t="s">
        <v>57</v>
      </c>
      <c r="I2421" s="27" t="s">
        <v>41</v>
      </c>
      <c r="J2421" s="28" t="s">
        <v>913</v>
      </c>
      <c r="K2421" s="27" t="s">
        <v>38</v>
      </c>
      <c r="L2421" s="27"/>
    </row>
    <row r="2422" customFormat="false" ht="15" hidden="false" customHeight="false" outlineLevel="0" collapsed="false">
      <c r="A2422" s="26" t="s">
        <v>8807</v>
      </c>
      <c r="B2422" s="27" t="s">
        <v>8808</v>
      </c>
      <c r="C2422" s="27" t="s">
        <v>144</v>
      </c>
      <c r="D2422" s="26" t="s">
        <v>8805</v>
      </c>
      <c r="E2422" s="27" t="s">
        <v>8806</v>
      </c>
      <c r="F2422" s="28" t="s">
        <v>146</v>
      </c>
      <c r="G2422" s="27" t="s">
        <v>3537</v>
      </c>
      <c r="H2422" s="27" t="s">
        <v>57</v>
      </c>
      <c r="I2422" s="27" t="s">
        <v>41</v>
      </c>
      <c r="J2422" s="28" t="s">
        <v>913</v>
      </c>
      <c r="K2422" s="27" t="s">
        <v>38</v>
      </c>
      <c r="L2422" s="27"/>
    </row>
    <row r="2423" customFormat="false" ht="15" hidden="false" customHeight="false" outlineLevel="0" collapsed="false">
      <c r="A2423" s="26" t="s">
        <v>8809</v>
      </c>
      <c r="B2423" s="27" t="s">
        <v>8810</v>
      </c>
      <c r="C2423" s="27" t="s">
        <v>144</v>
      </c>
      <c r="D2423" s="26" t="s">
        <v>8811</v>
      </c>
      <c r="E2423" s="27" t="s">
        <v>8812</v>
      </c>
      <c r="F2423" s="28" t="s">
        <v>146</v>
      </c>
      <c r="G2423" s="27" t="s">
        <v>3537</v>
      </c>
      <c r="H2423" s="27" t="s">
        <v>56</v>
      </c>
      <c r="I2423" s="27" t="s">
        <v>38</v>
      </c>
      <c r="J2423" s="28" t="s">
        <v>913</v>
      </c>
      <c r="K2423" s="27" t="s">
        <v>38</v>
      </c>
      <c r="L2423" s="27"/>
    </row>
    <row r="2424" customFormat="false" ht="15" hidden="false" customHeight="false" outlineLevel="0" collapsed="false">
      <c r="A2424" s="26" t="s">
        <v>8813</v>
      </c>
      <c r="B2424" s="27" t="s">
        <v>8814</v>
      </c>
      <c r="C2424" s="27" t="s">
        <v>144</v>
      </c>
      <c r="D2424" s="26" t="s">
        <v>8815</v>
      </c>
      <c r="E2424" s="27" t="s">
        <v>8816</v>
      </c>
      <c r="F2424" s="28" t="s">
        <v>146</v>
      </c>
      <c r="G2424" s="27" t="s">
        <v>3537</v>
      </c>
      <c r="H2424" s="27" t="s">
        <v>56</v>
      </c>
      <c r="I2424" s="27" t="s">
        <v>38</v>
      </c>
      <c r="J2424" s="28" t="s">
        <v>913</v>
      </c>
      <c r="K2424" s="27" t="s">
        <v>38</v>
      </c>
      <c r="L2424" s="27"/>
    </row>
    <row r="2425" customFormat="false" ht="15" hidden="false" customHeight="false" outlineLevel="0" collapsed="false">
      <c r="A2425" s="26" t="s">
        <v>8817</v>
      </c>
      <c r="B2425" s="27" t="s">
        <v>8818</v>
      </c>
      <c r="C2425" s="27" t="s">
        <v>144</v>
      </c>
      <c r="D2425" s="26" t="s">
        <v>8819</v>
      </c>
      <c r="E2425" s="27" t="s">
        <v>8820</v>
      </c>
      <c r="F2425" s="28" t="s">
        <v>146</v>
      </c>
      <c r="G2425" s="27" t="s">
        <v>3537</v>
      </c>
      <c r="H2425" s="27" t="s">
        <v>56</v>
      </c>
      <c r="I2425" s="27" t="s">
        <v>38</v>
      </c>
      <c r="J2425" s="28" t="s">
        <v>913</v>
      </c>
      <c r="K2425" s="27" t="s">
        <v>38</v>
      </c>
      <c r="L2425" s="27"/>
    </row>
    <row r="2426" customFormat="false" ht="15" hidden="false" customHeight="false" outlineLevel="0" collapsed="false">
      <c r="A2426" s="26" t="s">
        <v>8821</v>
      </c>
      <c r="B2426" s="27" t="s">
        <v>8822</v>
      </c>
      <c r="C2426" s="27" t="s">
        <v>144</v>
      </c>
      <c r="D2426" s="26" t="s">
        <v>8823</v>
      </c>
      <c r="E2426" s="27" t="s">
        <v>8824</v>
      </c>
      <c r="F2426" s="28" t="s">
        <v>146</v>
      </c>
      <c r="G2426" s="27" t="s">
        <v>3537</v>
      </c>
      <c r="H2426" s="27" t="s">
        <v>56</v>
      </c>
      <c r="I2426" s="27" t="s">
        <v>38</v>
      </c>
      <c r="J2426" s="28" t="s">
        <v>913</v>
      </c>
      <c r="K2426" s="27" t="s">
        <v>38</v>
      </c>
      <c r="L2426" s="27"/>
    </row>
    <row r="2427" customFormat="false" ht="15" hidden="false" customHeight="false" outlineLevel="0" collapsed="false">
      <c r="A2427" s="26" t="s">
        <v>8825</v>
      </c>
      <c r="B2427" s="27" t="s">
        <v>8826</v>
      </c>
      <c r="C2427" s="27" t="s">
        <v>144</v>
      </c>
      <c r="D2427" s="26" t="s">
        <v>8827</v>
      </c>
      <c r="E2427" s="27" t="s">
        <v>8828</v>
      </c>
      <c r="F2427" s="28" t="s">
        <v>146</v>
      </c>
      <c r="G2427" s="27" t="s">
        <v>3537</v>
      </c>
      <c r="H2427" s="27" t="s">
        <v>56</v>
      </c>
      <c r="I2427" s="27" t="s">
        <v>38</v>
      </c>
      <c r="J2427" s="28" t="s">
        <v>913</v>
      </c>
      <c r="K2427" s="27" t="s">
        <v>38</v>
      </c>
      <c r="L2427" s="27"/>
    </row>
    <row r="2428" customFormat="false" ht="15" hidden="false" customHeight="false" outlineLevel="0" collapsed="false">
      <c r="A2428" s="26" t="s">
        <v>8829</v>
      </c>
      <c r="B2428" s="27" t="s">
        <v>8830</v>
      </c>
      <c r="C2428" s="27" t="s">
        <v>144</v>
      </c>
      <c r="D2428" s="26" t="s">
        <v>8831</v>
      </c>
      <c r="E2428" s="27" t="s">
        <v>8832</v>
      </c>
      <c r="F2428" s="28" t="s">
        <v>146</v>
      </c>
      <c r="G2428" s="27" t="s">
        <v>3537</v>
      </c>
      <c r="H2428" s="27" t="s">
        <v>57</v>
      </c>
      <c r="I2428" s="27" t="s">
        <v>41</v>
      </c>
      <c r="J2428" s="28" t="s">
        <v>913</v>
      </c>
      <c r="K2428" s="27" t="s">
        <v>38</v>
      </c>
      <c r="L2428" s="27"/>
    </row>
    <row r="2429" customFormat="false" ht="15" hidden="false" customHeight="false" outlineLevel="0" collapsed="false">
      <c r="A2429" s="26" t="s">
        <v>8833</v>
      </c>
      <c r="B2429" s="27" t="s">
        <v>8834</v>
      </c>
      <c r="C2429" s="27" t="s">
        <v>144</v>
      </c>
      <c r="D2429" s="26" t="s">
        <v>8835</v>
      </c>
      <c r="E2429" s="27" t="s">
        <v>8836</v>
      </c>
      <c r="F2429" s="28" t="s">
        <v>146</v>
      </c>
      <c r="G2429" s="27" t="s">
        <v>3537</v>
      </c>
      <c r="H2429" s="27" t="s">
        <v>56</v>
      </c>
      <c r="I2429" s="27" t="s">
        <v>38</v>
      </c>
      <c r="J2429" s="28" t="s">
        <v>913</v>
      </c>
      <c r="K2429" s="27" t="s">
        <v>38</v>
      </c>
      <c r="L2429" s="27"/>
    </row>
    <row r="2430" customFormat="false" ht="15" hidden="false" customHeight="false" outlineLevel="0" collapsed="false">
      <c r="A2430" s="26" t="s">
        <v>8837</v>
      </c>
      <c r="B2430" s="27" t="s">
        <v>8838</v>
      </c>
      <c r="C2430" s="27" t="s">
        <v>144</v>
      </c>
      <c r="D2430" s="26" t="s">
        <v>8839</v>
      </c>
      <c r="E2430" s="27" t="s">
        <v>8840</v>
      </c>
      <c r="F2430" s="28" t="s">
        <v>146</v>
      </c>
      <c r="G2430" s="27" t="s">
        <v>3537</v>
      </c>
      <c r="H2430" s="27" t="s">
        <v>57</v>
      </c>
      <c r="I2430" s="27" t="s">
        <v>39</v>
      </c>
      <c r="J2430" s="28" t="s">
        <v>913</v>
      </c>
      <c r="K2430" s="27" t="s">
        <v>38</v>
      </c>
      <c r="L2430" s="27"/>
    </row>
    <row r="2431" customFormat="false" ht="15" hidden="false" customHeight="false" outlineLevel="0" collapsed="false">
      <c r="A2431" s="26" t="s">
        <v>8841</v>
      </c>
      <c r="B2431" s="27" t="s">
        <v>8842</v>
      </c>
      <c r="C2431" s="27" t="s">
        <v>144</v>
      </c>
      <c r="D2431" s="26" t="s">
        <v>8843</v>
      </c>
      <c r="E2431" s="27" t="s">
        <v>8844</v>
      </c>
      <c r="F2431" s="28" t="s">
        <v>146</v>
      </c>
      <c r="G2431" s="27" t="s">
        <v>3537</v>
      </c>
      <c r="H2431" s="27" t="s">
        <v>56</v>
      </c>
      <c r="I2431" s="27" t="s">
        <v>38</v>
      </c>
      <c r="J2431" s="28" t="s">
        <v>913</v>
      </c>
      <c r="K2431" s="27" t="s">
        <v>38</v>
      </c>
      <c r="L2431" s="27"/>
    </row>
    <row r="2432" customFormat="false" ht="15" hidden="false" customHeight="false" outlineLevel="0" collapsed="false">
      <c r="A2432" s="26" t="s">
        <v>8845</v>
      </c>
      <c r="B2432" s="27" t="s">
        <v>8846</v>
      </c>
      <c r="C2432" s="27" t="s">
        <v>144</v>
      </c>
      <c r="D2432" s="26" t="s">
        <v>8847</v>
      </c>
      <c r="E2432" s="27" t="s">
        <v>8848</v>
      </c>
      <c r="F2432" s="28" t="s">
        <v>146</v>
      </c>
      <c r="G2432" s="27" t="s">
        <v>3537</v>
      </c>
      <c r="H2432" s="27" t="s">
        <v>57</v>
      </c>
      <c r="I2432" s="27" t="s">
        <v>41</v>
      </c>
      <c r="J2432" s="28" t="s">
        <v>913</v>
      </c>
      <c r="K2432" s="27" t="s">
        <v>38</v>
      </c>
      <c r="L2432" s="27"/>
    </row>
    <row r="2433" customFormat="false" ht="15" hidden="false" customHeight="false" outlineLevel="0" collapsed="false">
      <c r="A2433" s="26" t="s">
        <v>8849</v>
      </c>
      <c r="B2433" s="27" t="s">
        <v>8850</v>
      </c>
      <c r="C2433" s="27" t="s">
        <v>144</v>
      </c>
      <c r="D2433" s="26" t="s">
        <v>8851</v>
      </c>
      <c r="E2433" s="27" t="s">
        <v>8852</v>
      </c>
      <c r="F2433" s="28" t="s">
        <v>146</v>
      </c>
      <c r="G2433" s="27" t="s">
        <v>3537</v>
      </c>
      <c r="H2433" s="27" t="s">
        <v>56</v>
      </c>
      <c r="I2433" s="27" t="s">
        <v>38</v>
      </c>
      <c r="J2433" s="28" t="s">
        <v>913</v>
      </c>
      <c r="K2433" s="27" t="s">
        <v>38</v>
      </c>
      <c r="L2433" s="27"/>
    </row>
    <row r="2434" customFormat="false" ht="15" hidden="false" customHeight="false" outlineLevel="0" collapsed="false">
      <c r="A2434" s="26" t="s">
        <v>8853</v>
      </c>
      <c r="B2434" s="27" t="s">
        <v>8854</v>
      </c>
      <c r="C2434" s="27" t="s">
        <v>144</v>
      </c>
      <c r="D2434" s="26" t="s">
        <v>8855</v>
      </c>
      <c r="E2434" s="27" t="s">
        <v>8856</v>
      </c>
      <c r="F2434" s="28" t="s">
        <v>146</v>
      </c>
      <c r="G2434" s="27" t="s">
        <v>3537</v>
      </c>
      <c r="H2434" s="27" t="s">
        <v>56</v>
      </c>
      <c r="I2434" s="27" t="s">
        <v>38</v>
      </c>
      <c r="J2434" s="28" t="s">
        <v>913</v>
      </c>
      <c r="K2434" s="27" t="s">
        <v>38</v>
      </c>
      <c r="L2434" s="27"/>
    </row>
    <row r="2435" customFormat="false" ht="15" hidden="false" customHeight="false" outlineLevel="0" collapsed="false">
      <c r="A2435" s="26" t="s">
        <v>8857</v>
      </c>
      <c r="B2435" s="27" t="s">
        <v>8858</v>
      </c>
      <c r="C2435" s="27" t="s">
        <v>144</v>
      </c>
      <c r="D2435" s="26" t="s">
        <v>8859</v>
      </c>
      <c r="E2435" s="27" t="s">
        <v>8860</v>
      </c>
      <c r="F2435" s="28" t="s">
        <v>146</v>
      </c>
      <c r="G2435" s="27" t="s">
        <v>3537</v>
      </c>
      <c r="H2435" s="27" t="s">
        <v>56</v>
      </c>
      <c r="I2435" s="27" t="s">
        <v>38</v>
      </c>
      <c r="J2435" s="28" t="s">
        <v>913</v>
      </c>
      <c r="K2435" s="27" t="s">
        <v>38</v>
      </c>
      <c r="L2435" s="27"/>
    </row>
    <row r="2436" customFormat="false" ht="15" hidden="false" customHeight="false" outlineLevel="0" collapsed="false">
      <c r="A2436" s="26" t="s">
        <v>8861</v>
      </c>
      <c r="B2436" s="27" t="s">
        <v>8862</v>
      </c>
      <c r="C2436" s="27" t="s">
        <v>144</v>
      </c>
      <c r="D2436" s="26" t="s">
        <v>8863</v>
      </c>
      <c r="E2436" s="27" t="s">
        <v>8864</v>
      </c>
      <c r="F2436" s="28" t="s">
        <v>146</v>
      </c>
      <c r="G2436" s="27" t="s">
        <v>3537</v>
      </c>
      <c r="H2436" s="27" t="s">
        <v>57</v>
      </c>
      <c r="I2436" s="27" t="s">
        <v>41</v>
      </c>
      <c r="J2436" s="28" t="s">
        <v>913</v>
      </c>
      <c r="K2436" s="27" t="s">
        <v>38</v>
      </c>
      <c r="L2436" s="27"/>
    </row>
    <row r="2437" customFormat="false" ht="15" hidden="false" customHeight="false" outlineLevel="0" collapsed="false">
      <c r="A2437" s="26" t="s">
        <v>8865</v>
      </c>
      <c r="B2437" s="27" t="s">
        <v>8866</v>
      </c>
      <c r="C2437" s="27" t="s">
        <v>144</v>
      </c>
      <c r="D2437" s="26" t="s">
        <v>8867</v>
      </c>
      <c r="E2437" s="27" t="s">
        <v>8868</v>
      </c>
      <c r="F2437" s="28" t="s">
        <v>146</v>
      </c>
      <c r="G2437" s="27" t="s">
        <v>3537</v>
      </c>
      <c r="H2437" s="27" t="s">
        <v>56</v>
      </c>
      <c r="I2437" s="27" t="s">
        <v>38</v>
      </c>
      <c r="J2437" s="28" t="s">
        <v>913</v>
      </c>
      <c r="K2437" s="27" t="s">
        <v>38</v>
      </c>
      <c r="L2437" s="27"/>
    </row>
    <row r="2438" customFormat="false" ht="15" hidden="false" customHeight="false" outlineLevel="0" collapsed="false">
      <c r="A2438" s="26" t="s">
        <v>8869</v>
      </c>
      <c r="B2438" s="27" t="s">
        <v>8870</v>
      </c>
      <c r="C2438" s="27" t="s">
        <v>144</v>
      </c>
      <c r="D2438" s="26" t="s">
        <v>8871</v>
      </c>
      <c r="E2438" s="27" t="s">
        <v>8872</v>
      </c>
      <c r="F2438" s="28" t="s">
        <v>146</v>
      </c>
      <c r="G2438" s="27" t="s">
        <v>3537</v>
      </c>
      <c r="H2438" s="27" t="s">
        <v>56</v>
      </c>
      <c r="I2438" s="27" t="s">
        <v>38</v>
      </c>
      <c r="J2438" s="28" t="s">
        <v>913</v>
      </c>
      <c r="K2438" s="27" t="s">
        <v>38</v>
      </c>
      <c r="L2438" s="27"/>
    </row>
    <row r="2439" customFormat="false" ht="15" hidden="false" customHeight="false" outlineLevel="0" collapsed="false">
      <c r="A2439" s="26" t="s">
        <v>8873</v>
      </c>
      <c r="B2439" s="27" t="s">
        <v>8874</v>
      </c>
      <c r="C2439" s="27" t="s">
        <v>144</v>
      </c>
      <c r="D2439" s="26" t="s">
        <v>8859</v>
      </c>
      <c r="E2439" s="27" t="s">
        <v>8860</v>
      </c>
      <c r="F2439" s="28" t="s">
        <v>146</v>
      </c>
      <c r="G2439" s="27" t="s">
        <v>3537</v>
      </c>
      <c r="H2439" s="27" t="s">
        <v>56</v>
      </c>
      <c r="I2439" s="27" t="s">
        <v>38</v>
      </c>
      <c r="J2439" s="28" t="s">
        <v>913</v>
      </c>
      <c r="K2439" s="27" t="s">
        <v>38</v>
      </c>
      <c r="L2439" s="27"/>
    </row>
    <row r="2440" customFormat="false" ht="15" hidden="false" customHeight="false" outlineLevel="0" collapsed="false">
      <c r="A2440" s="26" t="s">
        <v>8875</v>
      </c>
      <c r="B2440" s="27" t="s">
        <v>8876</v>
      </c>
      <c r="C2440" s="27" t="s">
        <v>144</v>
      </c>
      <c r="D2440" s="26" t="s">
        <v>8877</v>
      </c>
      <c r="E2440" s="27" t="s">
        <v>8878</v>
      </c>
      <c r="F2440" s="28" t="s">
        <v>146</v>
      </c>
      <c r="G2440" s="27" t="s">
        <v>3537</v>
      </c>
      <c r="H2440" s="27" t="s">
        <v>56</v>
      </c>
      <c r="I2440" s="27" t="s">
        <v>38</v>
      </c>
      <c r="J2440" s="28" t="s">
        <v>913</v>
      </c>
      <c r="K2440" s="27" t="s">
        <v>38</v>
      </c>
      <c r="L2440" s="27"/>
    </row>
    <row r="2441" customFormat="false" ht="15" hidden="false" customHeight="false" outlineLevel="0" collapsed="false">
      <c r="A2441" s="26" t="s">
        <v>8879</v>
      </c>
      <c r="B2441" s="27" t="s">
        <v>8880</v>
      </c>
      <c r="C2441" s="27" t="s">
        <v>144</v>
      </c>
      <c r="D2441" s="26" t="s">
        <v>8881</v>
      </c>
      <c r="E2441" s="27" t="s">
        <v>8882</v>
      </c>
      <c r="F2441" s="28" t="s">
        <v>146</v>
      </c>
      <c r="G2441" s="27" t="s">
        <v>3537</v>
      </c>
      <c r="H2441" s="27" t="s">
        <v>57</v>
      </c>
      <c r="I2441" s="27" t="s">
        <v>40</v>
      </c>
      <c r="J2441" s="28" t="s">
        <v>913</v>
      </c>
      <c r="K2441" s="27" t="s">
        <v>38</v>
      </c>
      <c r="L2441" s="27"/>
    </row>
    <row r="2442" customFormat="false" ht="15" hidden="false" customHeight="false" outlineLevel="0" collapsed="false">
      <c r="A2442" s="26" t="s">
        <v>8883</v>
      </c>
      <c r="B2442" s="27" t="s">
        <v>8884</v>
      </c>
      <c r="C2442" s="27" t="s">
        <v>144</v>
      </c>
      <c r="D2442" s="26" t="s">
        <v>8885</v>
      </c>
      <c r="E2442" s="27" t="s">
        <v>8886</v>
      </c>
      <c r="F2442" s="28" t="s">
        <v>146</v>
      </c>
      <c r="G2442" s="27" t="s">
        <v>3537</v>
      </c>
      <c r="H2442" s="27" t="s">
        <v>56</v>
      </c>
      <c r="I2442" s="27" t="s">
        <v>38</v>
      </c>
      <c r="J2442" s="28" t="s">
        <v>913</v>
      </c>
      <c r="K2442" s="27" t="s">
        <v>38</v>
      </c>
      <c r="L2442" s="27"/>
    </row>
    <row r="2443" customFormat="false" ht="15" hidden="false" customHeight="false" outlineLevel="0" collapsed="false">
      <c r="A2443" s="26" t="s">
        <v>8887</v>
      </c>
      <c r="B2443" s="27" t="s">
        <v>8888</v>
      </c>
      <c r="C2443" s="27" t="s">
        <v>144</v>
      </c>
      <c r="D2443" s="26" t="s">
        <v>8889</v>
      </c>
      <c r="E2443" s="27" t="s">
        <v>8890</v>
      </c>
      <c r="F2443" s="28" t="s">
        <v>146</v>
      </c>
      <c r="G2443" s="27" t="s">
        <v>3537</v>
      </c>
      <c r="H2443" s="27" t="s">
        <v>57</v>
      </c>
      <c r="I2443" s="27" t="s">
        <v>41</v>
      </c>
      <c r="J2443" s="28" t="s">
        <v>913</v>
      </c>
      <c r="K2443" s="27" t="s">
        <v>38</v>
      </c>
      <c r="L2443" s="27"/>
    </row>
    <row r="2444" customFormat="false" ht="15" hidden="false" customHeight="false" outlineLevel="0" collapsed="false">
      <c r="A2444" s="26" t="s">
        <v>8891</v>
      </c>
      <c r="B2444" s="27" t="s">
        <v>8892</v>
      </c>
      <c r="C2444" s="27" t="s">
        <v>144</v>
      </c>
      <c r="D2444" s="26" t="s">
        <v>8893</v>
      </c>
      <c r="E2444" s="27" t="s">
        <v>8894</v>
      </c>
      <c r="F2444" s="28" t="s">
        <v>146</v>
      </c>
      <c r="G2444" s="27" t="s">
        <v>3537</v>
      </c>
      <c r="H2444" s="27" t="s">
        <v>56</v>
      </c>
      <c r="I2444" s="27" t="s">
        <v>38</v>
      </c>
      <c r="J2444" s="28" t="s">
        <v>913</v>
      </c>
      <c r="K2444" s="27" t="s">
        <v>38</v>
      </c>
      <c r="L2444" s="27"/>
    </row>
    <row r="2445" customFormat="false" ht="15" hidden="false" customHeight="false" outlineLevel="0" collapsed="false">
      <c r="A2445" s="26" t="s">
        <v>8895</v>
      </c>
      <c r="B2445" s="27" t="s">
        <v>8896</v>
      </c>
      <c r="C2445" s="27" t="s">
        <v>144</v>
      </c>
      <c r="D2445" s="26" t="s">
        <v>8897</v>
      </c>
      <c r="E2445" s="27" t="s">
        <v>8898</v>
      </c>
      <c r="F2445" s="28" t="s">
        <v>146</v>
      </c>
      <c r="G2445" s="27" t="s">
        <v>3537</v>
      </c>
      <c r="H2445" s="27" t="s">
        <v>56</v>
      </c>
      <c r="I2445" s="27" t="s">
        <v>38</v>
      </c>
      <c r="J2445" s="28" t="s">
        <v>913</v>
      </c>
      <c r="K2445" s="27" t="s">
        <v>38</v>
      </c>
      <c r="L2445" s="27"/>
    </row>
    <row r="2446" customFormat="false" ht="15" hidden="false" customHeight="false" outlineLevel="0" collapsed="false">
      <c r="A2446" s="26" t="s">
        <v>8899</v>
      </c>
      <c r="B2446" s="27" t="s">
        <v>8900</v>
      </c>
      <c r="C2446" s="27" t="s">
        <v>144</v>
      </c>
      <c r="D2446" s="26" t="s">
        <v>8901</v>
      </c>
      <c r="E2446" s="27" t="s">
        <v>8902</v>
      </c>
      <c r="F2446" s="28" t="s">
        <v>146</v>
      </c>
      <c r="G2446" s="27" t="s">
        <v>3537</v>
      </c>
      <c r="H2446" s="27" t="s">
        <v>57</v>
      </c>
      <c r="I2446" s="28" t="s">
        <v>50</v>
      </c>
      <c r="J2446" s="28" t="s">
        <v>913</v>
      </c>
      <c r="K2446" s="27" t="s">
        <v>38</v>
      </c>
      <c r="L2446" s="27"/>
    </row>
    <row r="2447" customFormat="false" ht="15" hidden="false" customHeight="false" outlineLevel="0" collapsed="false">
      <c r="A2447" s="26" t="s">
        <v>8903</v>
      </c>
      <c r="B2447" s="27" t="s">
        <v>8904</v>
      </c>
      <c r="C2447" s="27" t="s">
        <v>137</v>
      </c>
      <c r="D2447" s="26" t="s">
        <v>8905</v>
      </c>
      <c r="E2447" s="27" t="s">
        <v>8906</v>
      </c>
      <c r="F2447" s="28" t="s">
        <v>140</v>
      </c>
      <c r="G2447" s="27" t="s">
        <v>3537</v>
      </c>
      <c r="H2447" s="27" t="s">
        <v>56</v>
      </c>
      <c r="I2447" s="27" t="s">
        <v>38</v>
      </c>
      <c r="J2447" s="28" t="s">
        <v>913</v>
      </c>
      <c r="K2447" s="27" t="s">
        <v>38</v>
      </c>
      <c r="L2447" s="27"/>
    </row>
    <row r="2448" customFormat="false" ht="15" hidden="false" customHeight="false" outlineLevel="0" collapsed="false">
      <c r="A2448" s="26" t="s">
        <v>8907</v>
      </c>
      <c r="B2448" s="27" t="s">
        <v>8908</v>
      </c>
      <c r="C2448" s="27" t="s">
        <v>137</v>
      </c>
      <c r="D2448" s="26" t="s">
        <v>8909</v>
      </c>
      <c r="E2448" s="27" t="s">
        <v>8910</v>
      </c>
      <c r="F2448" s="28" t="s">
        <v>140</v>
      </c>
      <c r="G2448" s="27" t="s">
        <v>3537</v>
      </c>
      <c r="H2448" s="27" t="s">
        <v>57</v>
      </c>
      <c r="I2448" s="27" t="s">
        <v>41</v>
      </c>
      <c r="J2448" s="28" t="s">
        <v>913</v>
      </c>
      <c r="K2448" s="27" t="s">
        <v>38</v>
      </c>
      <c r="L2448" s="27"/>
    </row>
    <row r="2449" customFormat="false" ht="15" hidden="false" customHeight="false" outlineLevel="0" collapsed="false">
      <c r="A2449" s="26" t="s">
        <v>8911</v>
      </c>
      <c r="B2449" s="27" t="s">
        <v>8912</v>
      </c>
      <c r="C2449" s="27" t="s">
        <v>137</v>
      </c>
      <c r="D2449" s="26" t="s">
        <v>8913</v>
      </c>
      <c r="E2449" s="27" t="s">
        <v>8914</v>
      </c>
      <c r="F2449" s="28" t="s">
        <v>140</v>
      </c>
      <c r="G2449" s="27" t="s">
        <v>3537</v>
      </c>
      <c r="H2449" s="27" t="s">
        <v>57</v>
      </c>
      <c r="I2449" s="27" t="s">
        <v>41</v>
      </c>
      <c r="J2449" s="28" t="s">
        <v>913</v>
      </c>
      <c r="K2449" s="27" t="s">
        <v>38</v>
      </c>
      <c r="L2449" s="27"/>
    </row>
    <row r="2450" customFormat="false" ht="15" hidden="false" customHeight="false" outlineLevel="0" collapsed="false">
      <c r="A2450" s="26" t="s">
        <v>8915</v>
      </c>
      <c r="B2450" s="27" t="s">
        <v>8916</v>
      </c>
      <c r="C2450" s="27" t="s">
        <v>137</v>
      </c>
      <c r="D2450" s="26" t="s">
        <v>8913</v>
      </c>
      <c r="E2450" s="27" t="s">
        <v>8914</v>
      </c>
      <c r="F2450" s="28" t="s">
        <v>140</v>
      </c>
      <c r="G2450" s="27" t="s">
        <v>3537</v>
      </c>
      <c r="H2450" s="27" t="s">
        <v>57</v>
      </c>
      <c r="I2450" s="27" t="s">
        <v>41</v>
      </c>
      <c r="J2450" s="28" t="s">
        <v>913</v>
      </c>
      <c r="K2450" s="27" t="s">
        <v>38</v>
      </c>
      <c r="L2450" s="27"/>
    </row>
    <row r="2451" customFormat="false" ht="15" hidden="false" customHeight="false" outlineLevel="0" collapsed="false">
      <c r="A2451" s="26" t="s">
        <v>8917</v>
      </c>
      <c r="B2451" s="27" t="s">
        <v>8918</v>
      </c>
      <c r="C2451" s="27" t="s">
        <v>137</v>
      </c>
      <c r="D2451" s="26" t="s">
        <v>8919</v>
      </c>
      <c r="E2451" s="27" t="s">
        <v>8920</v>
      </c>
      <c r="F2451" s="28" t="s">
        <v>140</v>
      </c>
      <c r="G2451" s="27" t="s">
        <v>3537</v>
      </c>
      <c r="H2451" s="27" t="s">
        <v>57</v>
      </c>
      <c r="I2451" s="27" t="s">
        <v>41</v>
      </c>
      <c r="J2451" s="28" t="s">
        <v>913</v>
      </c>
      <c r="K2451" s="27" t="s">
        <v>38</v>
      </c>
      <c r="L2451" s="27"/>
    </row>
    <row r="2452" customFormat="false" ht="15" hidden="false" customHeight="false" outlineLevel="0" collapsed="false">
      <c r="A2452" s="26" t="s">
        <v>8921</v>
      </c>
      <c r="B2452" s="27" t="s">
        <v>8922</v>
      </c>
      <c r="C2452" s="27" t="s">
        <v>137</v>
      </c>
      <c r="D2452" s="26" t="s">
        <v>8923</v>
      </c>
      <c r="E2452" s="27" t="s">
        <v>8924</v>
      </c>
      <c r="F2452" s="28" t="s">
        <v>140</v>
      </c>
      <c r="G2452" s="27" t="s">
        <v>3537</v>
      </c>
      <c r="H2452" s="27" t="s">
        <v>57</v>
      </c>
      <c r="I2452" s="27" t="s">
        <v>41</v>
      </c>
      <c r="J2452" s="28" t="s">
        <v>913</v>
      </c>
      <c r="K2452" s="27" t="s">
        <v>38</v>
      </c>
      <c r="L2452" s="27"/>
    </row>
    <row r="2453" customFormat="false" ht="15" hidden="false" customHeight="false" outlineLevel="0" collapsed="false">
      <c r="A2453" s="26" t="s">
        <v>8925</v>
      </c>
      <c r="B2453" s="27" t="s">
        <v>8926</v>
      </c>
      <c r="C2453" s="27" t="s">
        <v>144</v>
      </c>
      <c r="D2453" s="26" t="s">
        <v>8927</v>
      </c>
      <c r="E2453" s="27" t="s">
        <v>8928</v>
      </c>
      <c r="F2453" s="28" t="s">
        <v>146</v>
      </c>
      <c r="G2453" s="27" t="s">
        <v>3537</v>
      </c>
      <c r="H2453" s="27" t="s">
        <v>57</v>
      </c>
      <c r="I2453" s="27" t="s">
        <v>39</v>
      </c>
      <c r="J2453" s="28" t="s">
        <v>913</v>
      </c>
      <c r="K2453" s="27" t="s">
        <v>38</v>
      </c>
      <c r="L2453" s="27"/>
    </row>
    <row r="2454" customFormat="false" ht="15" hidden="false" customHeight="false" outlineLevel="0" collapsed="false">
      <c r="A2454" s="26" t="s">
        <v>8929</v>
      </c>
      <c r="B2454" s="27" t="s">
        <v>8930</v>
      </c>
      <c r="C2454" s="27" t="s">
        <v>137</v>
      </c>
      <c r="D2454" s="26" t="s">
        <v>8931</v>
      </c>
      <c r="E2454" s="27" t="s">
        <v>8932</v>
      </c>
      <c r="F2454" s="28" t="s">
        <v>140</v>
      </c>
      <c r="G2454" s="27" t="s">
        <v>3537</v>
      </c>
      <c r="H2454" s="27" t="s">
        <v>57</v>
      </c>
      <c r="I2454" s="27" t="s">
        <v>37</v>
      </c>
      <c r="J2454" s="28" t="s">
        <v>913</v>
      </c>
      <c r="K2454" s="27" t="s">
        <v>38</v>
      </c>
      <c r="L2454" s="27"/>
    </row>
    <row r="2455" customFormat="false" ht="15" hidden="false" customHeight="false" outlineLevel="0" collapsed="false">
      <c r="A2455" s="26" t="s">
        <v>8933</v>
      </c>
      <c r="B2455" s="27" t="s">
        <v>8934</v>
      </c>
      <c r="C2455" s="27" t="s">
        <v>137</v>
      </c>
      <c r="D2455" s="26" t="s">
        <v>8935</v>
      </c>
      <c r="E2455" s="27" t="s">
        <v>8936</v>
      </c>
      <c r="F2455" s="28" t="s">
        <v>140</v>
      </c>
      <c r="G2455" s="27" t="s">
        <v>3537</v>
      </c>
      <c r="H2455" s="27" t="s">
        <v>56</v>
      </c>
      <c r="I2455" s="27" t="s">
        <v>38</v>
      </c>
      <c r="J2455" s="28" t="s">
        <v>913</v>
      </c>
      <c r="K2455" s="27" t="s">
        <v>38</v>
      </c>
      <c r="L2455" s="27"/>
    </row>
    <row r="2456" customFormat="false" ht="15" hidden="false" customHeight="false" outlineLevel="0" collapsed="false">
      <c r="A2456" s="26" t="s">
        <v>8937</v>
      </c>
      <c r="B2456" s="27" t="s">
        <v>8938</v>
      </c>
      <c r="C2456" s="27" t="s">
        <v>137</v>
      </c>
      <c r="D2456" s="26" t="s">
        <v>8939</v>
      </c>
      <c r="E2456" s="27" t="s">
        <v>8940</v>
      </c>
      <c r="F2456" s="28" t="s">
        <v>140</v>
      </c>
      <c r="G2456" s="27" t="s">
        <v>3537</v>
      </c>
      <c r="H2456" s="27" t="s">
        <v>56</v>
      </c>
      <c r="I2456" s="27" t="s">
        <v>38</v>
      </c>
      <c r="J2456" s="28" t="s">
        <v>913</v>
      </c>
      <c r="K2456" s="27" t="s">
        <v>38</v>
      </c>
      <c r="L2456" s="27"/>
    </row>
    <row r="2457" customFormat="false" ht="15" hidden="false" customHeight="false" outlineLevel="0" collapsed="false">
      <c r="A2457" s="26" t="s">
        <v>8941</v>
      </c>
      <c r="B2457" s="27" t="s">
        <v>8942</v>
      </c>
      <c r="C2457" s="27" t="s">
        <v>137</v>
      </c>
      <c r="D2457" s="26" t="s">
        <v>8935</v>
      </c>
      <c r="E2457" s="27" t="s">
        <v>8936</v>
      </c>
      <c r="F2457" s="28" t="s">
        <v>140</v>
      </c>
      <c r="G2457" s="27" t="s">
        <v>3537</v>
      </c>
      <c r="H2457" s="27" t="s">
        <v>56</v>
      </c>
      <c r="I2457" s="27" t="s">
        <v>38</v>
      </c>
      <c r="J2457" s="28" t="s">
        <v>913</v>
      </c>
      <c r="K2457" s="27" t="s">
        <v>38</v>
      </c>
      <c r="L2457" s="27"/>
    </row>
    <row r="2458" customFormat="false" ht="15" hidden="false" customHeight="false" outlineLevel="0" collapsed="false">
      <c r="A2458" s="26" t="s">
        <v>8943</v>
      </c>
      <c r="B2458" s="27" t="s">
        <v>8944</v>
      </c>
      <c r="C2458" s="27" t="s">
        <v>137</v>
      </c>
      <c r="D2458" s="26" t="s">
        <v>8905</v>
      </c>
      <c r="E2458" s="27" t="s">
        <v>8906</v>
      </c>
      <c r="F2458" s="28" t="s">
        <v>140</v>
      </c>
      <c r="G2458" s="27" t="s">
        <v>3537</v>
      </c>
      <c r="H2458" s="27" t="s">
        <v>56</v>
      </c>
      <c r="I2458" s="27" t="s">
        <v>38</v>
      </c>
      <c r="J2458" s="28" t="s">
        <v>913</v>
      </c>
      <c r="K2458" s="27" t="s">
        <v>38</v>
      </c>
      <c r="L2458" s="27"/>
    </row>
    <row r="2459" customFormat="false" ht="15" hidden="false" customHeight="false" outlineLevel="0" collapsed="false">
      <c r="A2459" s="26" t="s">
        <v>8945</v>
      </c>
      <c r="B2459" s="27" t="s">
        <v>8946</v>
      </c>
      <c r="C2459" s="27" t="s">
        <v>144</v>
      </c>
      <c r="D2459" s="26" t="s">
        <v>8947</v>
      </c>
      <c r="E2459" s="27" t="s">
        <v>8948</v>
      </c>
      <c r="F2459" s="28" t="s">
        <v>146</v>
      </c>
      <c r="G2459" s="27" t="s">
        <v>3537</v>
      </c>
      <c r="H2459" s="27" t="s">
        <v>56</v>
      </c>
      <c r="I2459" s="27" t="s">
        <v>38</v>
      </c>
      <c r="J2459" s="28" t="s">
        <v>913</v>
      </c>
      <c r="K2459" s="27" t="s">
        <v>38</v>
      </c>
      <c r="L2459" s="27"/>
    </row>
    <row r="2460" customFormat="false" ht="15" hidden="false" customHeight="false" outlineLevel="0" collapsed="false">
      <c r="A2460" s="26" t="s">
        <v>8949</v>
      </c>
      <c r="B2460" s="27" t="s">
        <v>8950</v>
      </c>
      <c r="C2460" s="27" t="s">
        <v>144</v>
      </c>
      <c r="D2460" s="26" t="s">
        <v>8951</v>
      </c>
      <c r="E2460" s="27" t="s">
        <v>8952</v>
      </c>
      <c r="F2460" s="28" t="s">
        <v>146</v>
      </c>
      <c r="G2460" s="27" t="s">
        <v>3537</v>
      </c>
      <c r="H2460" s="27" t="s">
        <v>56</v>
      </c>
      <c r="I2460" s="27" t="s">
        <v>38</v>
      </c>
      <c r="J2460" s="28" t="s">
        <v>913</v>
      </c>
      <c r="K2460" s="27" t="s">
        <v>38</v>
      </c>
      <c r="L2460" s="27"/>
    </row>
    <row r="2461" customFormat="false" ht="15" hidden="false" customHeight="false" outlineLevel="0" collapsed="false">
      <c r="A2461" s="26" t="s">
        <v>8953</v>
      </c>
      <c r="B2461" s="27" t="s">
        <v>8954</v>
      </c>
      <c r="C2461" s="27" t="s">
        <v>137</v>
      </c>
      <c r="D2461" s="26" t="s">
        <v>968</v>
      </c>
      <c r="E2461" s="27" t="s">
        <v>969</v>
      </c>
      <c r="F2461" s="28" t="s">
        <v>140</v>
      </c>
      <c r="G2461" s="27" t="s">
        <v>3537</v>
      </c>
      <c r="H2461" s="27" t="s">
        <v>56</v>
      </c>
      <c r="I2461" s="27" t="s">
        <v>38</v>
      </c>
      <c r="J2461" s="28" t="s">
        <v>913</v>
      </c>
      <c r="K2461" s="27" t="s">
        <v>38</v>
      </c>
      <c r="L2461" s="27"/>
    </row>
    <row r="2462" customFormat="false" ht="15" hidden="false" customHeight="false" outlineLevel="0" collapsed="false">
      <c r="A2462" s="26" t="s">
        <v>8955</v>
      </c>
      <c r="B2462" s="27" t="s">
        <v>8956</v>
      </c>
      <c r="C2462" s="27" t="s">
        <v>144</v>
      </c>
      <c r="D2462" s="26" t="s">
        <v>8951</v>
      </c>
      <c r="E2462" s="27" t="s">
        <v>8952</v>
      </c>
      <c r="F2462" s="28" t="s">
        <v>146</v>
      </c>
      <c r="G2462" s="27" t="s">
        <v>3537</v>
      </c>
      <c r="H2462" s="27" t="s">
        <v>56</v>
      </c>
      <c r="I2462" s="27" t="s">
        <v>38</v>
      </c>
      <c r="J2462" s="28" t="s">
        <v>913</v>
      </c>
      <c r="K2462" s="27" t="s">
        <v>38</v>
      </c>
      <c r="L2462" s="27"/>
    </row>
    <row r="2463" customFormat="false" ht="15" hidden="false" customHeight="false" outlineLevel="0" collapsed="false">
      <c r="A2463" s="26" t="s">
        <v>8957</v>
      </c>
      <c r="B2463" s="27" t="s">
        <v>8958</v>
      </c>
      <c r="C2463" s="27" t="s">
        <v>137</v>
      </c>
      <c r="D2463" s="26" t="s">
        <v>8959</v>
      </c>
      <c r="E2463" s="27" t="s">
        <v>8960</v>
      </c>
      <c r="F2463" s="28" t="s">
        <v>140</v>
      </c>
      <c r="G2463" s="27" t="s">
        <v>3537</v>
      </c>
      <c r="H2463" s="27" t="s">
        <v>56</v>
      </c>
      <c r="I2463" s="27" t="s">
        <v>38</v>
      </c>
      <c r="J2463" s="28" t="s">
        <v>913</v>
      </c>
      <c r="K2463" s="27" t="s">
        <v>38</v>
      </c>
      <c r="L2463" s="27"/>
    </row>
    <row r="2464" customFormat="false" ht="15" hidden="false" customHeight="false" outlineLevel="0" collapsed="false">
      <c r="A2464" s="26" t="s">
        <v>8961</v>
      </c>
      <c r="B2464" s="27" t="s">
        <v>8962</v>
      </c>
      <c r="C2464" s="27" t="s">
        <v>144</v>
      </c>
      <c r="D2464" s="26" t="s">
        <v>8927</v>
      </c>
      <c r="E2464" s="27" t="s">
        <v>8928</v>
      </c>
      <c r="F2464" s="28" t="s">
        <v>146</v>
      </c>
      <c r="G2464" s="27" t="s">
        <v>3537</v>
      </c>
      <c r="H2464" s="27" t="s">
        <v>57</v>
      </c>
      <c r="I2464" s="27" t="s">
        <v>39</v>
      </c>
      <c r="J2464" s="28" t="s">
        <v>913</v>
      </c>
      <c r="K2464" s="27" t="s">
        <v>38</v>
      </c>
      <c r="L2464" s="27"/>
    </row>
    <row r="2465" customFormat="false" ht="15" hidden="false" customHeight="false" outlineLevel="0" collapsed="false">
      <c r="A2465" s="26" t="s">
        <v>8963</v>
      </c>
      <c r="B2465" s="27" t="s">
        <v>8964</v>
      </c>
      <c r="C2465" s="27" t="s">
        <v>137</v>
      </c>
      <c r="D2465" s="26" t="s">
        <v>3733</v>
      </c>
      <c r="E2465" s="27" t="s">
        <v>3734</v>
      </c>
      <c r="F2465" s="28" t="s">
        <v>140</v>
      </c>
      <c r="G2465" s="27" t="s">
        <v>3537</v>
      </c>
      <c r="H2465" s="27" t="s">
        <v>57</v>
      </c>
      <c r="I2465" s="27" t="s">
        <v>37</v>
      </c>
      <c r="J2465" s="28" t="s">
        <v>913</v>
      </c>
      <c r="K2465" s="27" t="s">
        <v>38</v>
      </c>
      <c r="L2465" s="27"/>
    </row>
    <row r="2466" customFormat="false" ht="15" hidden="false" customHeight="false" outlineLevel="0" collapsed="false">
      <c r="A2466" s="26" t="s">
        <v>8965</v>
      </c>
      <c r="B2466" s="27" t="s">
        <v>8966</v>
      </c>
      <c r="C2466" s="27" t="s">
        <v>137</v>
      </c>
      <c r="D2466" s="26" t="s">
        <v>3733</v>
      </c>
      <c r="E2466" s="27" t="s">
        <v>3734</v>
      </c>
      <c r="F2466" s="28" t="s">
        <v>140</v>
      </c>
      <c r="G2466" s="27" t="s">
        <v>3537</v>
      </c>
      <c r="H2466" s="27" t="s">
        <v>57</v>
      </c>
      <c r="I2466" s="27" t="s">
        <v>37</v>
      </c>
      <c r="J2466" s="28" t="s">
        <v>913</v>
      </c>
      <c r="K2466" s="27" t="s">
        <v>38</v>
      </c>
      <c r="L2466" s="27"/>
    </row>
    <row r="2467" customFormat="false" ht="15" hidden="false" customHeight="false" outlineLevel="0" collapsed="false">
      <c r="A2467" s="26" t="s">
        <v>8967</v>
      </c>
      <c r="B2467" s="27" t="s">
        <v>8968</v>
      </c>
      <c r="C2467" s="27" t="s">
        <v>137</v>
      </c>
      <c r="D2467" s="26" t="s">
        <v>968</v>
      </c>
      <c r="E2467" s="27" t="s">
        <v>969</v>
      </c>
      <c r="F2467" s="28" t="s">
        <v>140</v>
      </c>
      <c r="G2467" s="27" t="s">
        <v>3537</v>
      </c>
      <c r="H2467" s="27" t="s">
        <v>56</v>
      </c>
      <c r="I2467" s="27" t="s">
        <v>38</v>
      </c>
      <c r="J2467" s="28" t="s">
        <v>913</v>
      </c>
      <c r="K2467" s="27" t="s">
        <v>38</v>
      </c>
      <c r="L2467" s="27"/>
    </row>
    <row r="2468" customFormat="false" ht="15" hidden="false" customHeight="false" outlineLevel="0" collapsed="false">
      <c r="A2468" s="26" t="s">
        <v>8969</v>
      </c>
      <c r="B2468" s="27" t="s">
        <v>8970</v>
      </c>
      <c r="C2468" s="27" t="s">
        <v>137</v>
      </c>
      <c r="D2468" s="26" t="s">
        <v>8971</v>
      </c>
      <c r="E2468" s="27" t="s">
        <v>8972</v>
      </c>
      <c r="F2468" s="28" t="s">
        <v>140</v>
      </c>
      <c r="G2468" s="27" t="s">
        <v>3537</v>
      </c>
      <c r="H2468" s="27" t="s">
        <v>57</v>
      </c>
      <c r="I2468" s="27" t="s">
        <v>41</v>
      </c>
      <c r="J2468" s="28" t="s">
        <v>913</v>
      </c>
      <c r="K2468" s="27" t="s">
        <v>38</v>
      </c>
      <c r="L2468" s="27"/>
    </row>
    <row r="2469" customFormat="false" ht="15" hidden="false" customHeight="false" outlineLevel="0" collapsed="false">
      <c r="A2469" s="26" t="s">
        <v>8973</v>
      </c>
      <c r="B2469" s="27" t="s">
        <v>8974</v>
      </c>
      <c r="C2469" s="27" t="s">
        <v>137</v>
      </c>
      <c r="D2469" s="26" t="s">
        <v>3733</v>
      </c>
      <c r="E2469" s="27" t="s">
        <v>3734</v>
      </c>
      <c r="F2469" s="28" t="s">
        <v>140</v>
      </c>
      <c r="G2469" s="27" t="s">
        <v>3537</v>
      </c>
      <c r="H2469" s="27" t="s">
        <v>57</v>
      </c>
      <c r="I2469" s="27" t="s">
        <v>37</v>
      </c>
      <c r="J2469" s="28" t="s">
        <v>913</v>
      </c>
      <c r="K2469" s="27" t="s">
        <v>38</v>
      </c>
      <c r="L2469" s="27"/>
    </row>
    <row r="2470" customFormat="false" ht="15" hidden="false" customHeight="false" outlineLevel="0" collapsed="false">
      <c r="A2470" s="26" t="s">
        <v>8975</v>
      </c>
      <c r="B2470" s="27" t="s">
        <v>8976</v>
      </c>
      <c r="C2470" s="27" t="s">
        <v>144</v>
      </c>
      <c r="D2470" s="26" t="s">
        <v>8977</v>
      </c>
      <c r="E2470" s="27" t="s">
        <v>8978</v>
      </c>
      <c r="F2470" s="28" t="s">
        <v>146</v>
      </c>
      <c r="G2470" s="27" t="s">
        <v>3537</v>
      </c>
      <c r="H2470" s="27" t="s">
        <v>57</v>
      </c>
      <c r="I2470" s="28" t="s">
        <v>50</v>
      </c>
      <c r="J2470" s="28" t="s">
        <v>913</v>
      </c>
      <c r="K2470" s="27" t="s">
        <v>38</v>
      </c>
      <c r="L2470" s="27"/>
    </row>
    <row r="2471" customFormat="false" ht="15" hidden="false" customHeight="false" outlineLevel="0" collapsed="false">
      <c r="A2471" s="26" t="s">
        <v>8979</v>
      </c>
      <c r="B2471" s="27" t="s">
        <v>8980</v>
      </c>
      <c r="C2471" s="27" t="s">
        <v>137</v>
      </c>
      <c r="D2471" s="26" t="s">
        <v>8981</v>
      </c>
      <c r="E2471" s="27" t="s">
        <v>8982</v>
      </c>
      <c r="F2471" s="28" t="s">
        <v>140</v>
      </c>
      <c r="G2471" s="27" t="s">
        <v>3537</v>
      </c>
      <c r="H2471" s="27" t="s">
        <v>57</v>
      </c>
      <c r="I2471" s="27" t="s">
        <v>39</v>
      </c>
      <c r="J2471" s="28" t="s">
        <v>913</v>
      </c>
      <c r="K2471" s="27" t="s">
        <v>38</v>
      </c>
      <c r="L2471" s="27"/>
    </row>
    <row r="2472" customFormat="false" ht="15" hidden="false" customHeight="false" outlineLevel="0" collapsed="false">
      <c r="A2472" s="26" t="s">
        <v>8983</v>
      </c>
      <c r="B2472" s="27" t="s">
        <v>8984</v>
      </c>
      <c r="C2472" s="27" t="s">
        <v>137</v>
      </c>
      <c r="D2472" s="26" t="s">
        <v>8985</v>
      </c>
      <c r="E2472" s="27" t="s">
        <v>8986</v>
      </c>
      <c r="F2472" s="28" t="s">
        <v>140</v>
      </c>
      <c r="G2472" s="27" t="s">
        <v>3537</v>
      </c>
      <c r="H2472" s="27" t="s">
        <v>57</v>
      </c>
      <c r="I2472" s="27" t="s">
        <v>39</v>
      </c>
      <c r="J2472" s="28" t="s">
        <v>913</v>
      </c>
      <c r="K2472" s="27" t="s">
        <v>38</v>
      </c>
      <c r="L2472" s="27"/>
    </row>
    <row r="2473" customFormat="false" ht="15" hidden="false" customHeight="false" outlineLevel="0" collapsed="false">
      <c r="A2473" s="26" t="s">
        <v>8987</v>
      </c>
      <c r="B2473" s="27" t="s">
        <v>8988</v>
      </c>
      <c r="C2473" s="27" t="s">
        <v>144</v>
      </c>
      <c r="D2473" s="26" t="s">
        <v>8989</v>
      </c>
      <c r="E2473" s="27" t="s">
        <v>8990</v>
      </c>
      <c r="F2473" s="28" t="s">
        <v>146</v>
      </c>
      <c r="G2473" s="27" t="s">
        <v>3537</v>
      </c>
      <c r="H2473" s="27" t="s">
        <v>56</v>
      </c>
      <c r="I2473" s="27" t="s">
        <v>38</v>
      </c>
      <c r="J2473" s="28" t="s">
        <v>913</v>
      </c>
      <c r="K2473" s="27" t="s">
        <v>38</v>
      </c>
      <c r="L2473" s="27"/>
    </row>
    <row r="2474" customFormat="false" ht="15" hidden="false" customHeight="false" outlineLevel="0" collapsed="false">
      <c r="A2474" s="26" t="s">
        <v>8991</v>
      </c>
      <c r="B2474" s="27" t="s">
        <v>8992</v>
      </c>
      <c r="C2474" s="27" t="s">
        <v>144</v>
      </c>
      <c r="D2474" s="26" t="s">
        <v>8993</v>
      </c>
      <c r="E2474" s="27" t="s">
        <v>8994</v>
      </c>
      <c r="F2474" s="28" t="s">
        <v>146</v>
      </c>
      <c r="G2474" s="27" t="s">
        <v>3537</v>
      </c>
      <c r="H2474" s="27" t="s">
        <v>56</v>
      </c>
      <c r="I2474" s="27" t="s">
        <v>38</v>
      </c>
      <c r="J2474" s="28" t="s">
        <v>913</v>
      </c>
      <c r="K2474" s="27" t="s">
        <v>38</v>
      </c>
      <c r="L2474" s="27"/>
    </row>
    <row r="2475" customFormat="false" ht="15" hidden="false" customHeight="false" outlineLevel="0" collapsed="false">
      <c r="A2475" s="26" t="s">
        <v>8995</v>
      </c>
      <c r="B2475" s="27" t="s">
        <v>8996</v>
      </c>
      <c r="C2475" s="27" t="s">
        <v>144</v>
      </c>
      <c r="D2475" s="26" t="s">
        <v>8997</v>
      </c>
      <c r="E2475" s="27" t="s">
        <v>8998</v>
      </c>
      <c r="F2475" s="28" t="s">
        <v>146</v>
      </c>
      <c r="G2475" s="27" t="s">
        <v>3537</v>
      </c>
      <c r="H2475" s="27" t="s">
        <v>56</v>
      </c>
      <c r="I2475" s="27" t="s">
        <v>38</v>
      </c>
      <c r="J2475" s="28" t="s">
        <v>913</v>
      </c>
      <c r="K2475" s="27" t="s">
        <v>38</v>
      </c>
      <c r="L2475" s="27"/>
    </row>
    <row r="2476" customFormat="false" ht="15" hidden="false" customHeight="false" outlineLevel="0" collapsed="false">
      <c r="A2476" s="26" t="s">
        <v>8999</v>
      </c>
      <c r="B2476" s="27" t="s">
        <v>9000</v>
      </c>
      <c r="C2476" s="27" t="s">
        <v>144</v>
      </c>
      <c r="D2476" s="26" t="s">
        <v>9001</v>
      </c>
      <c r="E2476" s="27" t="s">
        <v>9002</v>
      </c>
      <c r="F2476" s="28" t="s">
        <v>146</v>
      </c>
      <c r="G2476" s="27" t="s">
        <v>3537</v>
      </c>
      <c r="H2476" s="27" t="s">
        <v>56</v>
      </c>
      <c r="I2476" s="27" t="s">
        <v>38</v>
      </c>
      <c r="J2476" s="28" t="s">
        <v>913</v>
      </c>
      <c r="K2476" s="27" t="s">
        <v>38</v>
      </c>
      <c r="L2476" s="27"/>
    </row>
    <row r="2477" customFormat="false" ht="15" hidden="false" customHeight="false" outlineLevel="0" collapsed="false">
      <c r="A2477" s="26" t="s">
        <v>9003</v>
      </c>
      <c r="B2477" s="27" t="s">
        <v>9004</v>
      </c>
      <c r="C2477" s="27" t="s">
        <v>144</v>
      </c>
      <c r="D2477" s="26" t="s">
        <v>9005</v>
      </c>
      <c r="E2477" s="27" t="s">
        <v>9006</v>
      </c>
      <c r="F2477" s="28" t="s">
        <v>146</v>
      </c>
      <c r="G2477" s="27" t="s">
        <v>3537</v>
      </c>
      <c r="H2477" s="27" t="s">
        <v>56</v>
      </c>
      <c r="I2477" s="27" t="s">
        <v>38</v>
      </c>
      <c r="J2477" s="28" t="s">
        <v>913</v>
      </c>
      <c r="K2477" s="27" t="s">
        <v>38</v>
      </c>
      <c r="L2477" s="27"/>
    </row>
    <row r="2478" customFormat="false" ht="15" hidden="false" customHeight="false" outlineLevel="0" collapsed="false">
      <c r="A2478" s="26" t="s">
        <v>9007</v>
      </c>
      <c r="B2478" s="27" t="s">
        <v>9008</v>
      </c>
      <c r="C2478" s="27" t="s">
        <v>144</v>
      </c>
      <c r="D2478" s="26" t="s">
        <v>9009</v>
      </c>
      <c r="E2478" s="27" t="s">
        <v>9010</v>
      </c>
      <c r="F2478" s="28" t="s">
        <v>146</v>
      </c>
      <c r="G2478" s="27" t="s">
        <v>3537</v>
      </c>
      <c r="H2478" s="27" t="s">
        <v>56</v>
      </c>
      <c r="I2478" s="27" t="s">
        <v>38</v>
      </c>
      <c r="J2478" s="28" t="s">
        <v>913</v>
      </c>
      <c r="K2478" s="27" t="s">
        <v>38</v>
      </c>
      <c r="L2478" s="27"/>
    </row>
    <row r="2479" customFormat="false" ht="15" hidden="false" customHeight="false" outlineLevel="0" collapsed="false">
      <c r="A2479" s="26" t="s">
        <v>9011</v>
      </c>
      <c r="B2479" s="27" t="s">
        <v>9012</v>
      </c>
      <c r="C2479" s="27" t="s">
        <v>144</v>
      </c>
      <c r="D2479" s="26" t="s">
        <v>9013</v>
      </c>
      <c r="E2479" s="27" t="s">
        <v>9014</v>
      </c>
      <c r="F2479" s="28" t="s">
        <v>146</v>
      </c>
      <c r="G2479" s="27" t="s">
        <v>3537</v>
      </c>
      <c r="H2479" s="27" t="s">
        <v>56</v>
      </c>
      <c r="I2479" s="27" t="s">
        <v>38</v>
      </c>
      <c r="J2479" s="28" t="s">
        <v>913</v>
      </c>
      <c r="K2479" s="27" t="s">
        <v>38</v>
      </c>
      <c r="L2479" s="27"/>
    </row>
    <row r="2480" customFormat="false" ht="15" hidden="false" customHeight="false" outlineLevel="0" collapsed="false">
      <c r="A2480" s="26" t="s">
        <v>9015</v>
      </c>
      <c r="B2480" s="27" t="s">
        <v>9016</v>
      </c>
      <c r="C2480" s="27" t="s">
        <v>144</v>
      </c>
      <c r="D2480" s="26" t="s">
        <v>9017</v>
      </c>
      <c r="E2480" s="27" t="s">
        <v>9018</v>
      </c>
      <c r="F2480" s="28" t="s">
        <v>146</v>
      </c>
      <c r="G2480" s="27" t="s">
        <v>3537</v>
      </c>
      <c r="H2480" s="27" t="s">
        <v>56</v>
      </c>
      <c r="I2480" s="27" t="s">
        <v>38</v>
      </c>
      <c r="J2480" s="28" t="s">
        <v>913</v>
      </c>
      <c r="K2480" s="27" t="s">
        <v>38</v>
      </c>
      <c r="L2480" s="27"/>
    </row>
    <row r="2481" customFormat="false" ht="15" hidden="false" customHeight="false" outlineLevel="0" collapsed="false">
      <c r="A2481" s="26" t="s">
        <v>9019</v>
      </c>
      <c r="B2481" s="27" t="s">
        <v>9020</v>
      </c>
      <c r="C2481" s="27" t="s">
        <v>144</v>
      </c>
      <c r="D2481" s="26" t="s">
        <v>9001</v>
      </c>
      <c r="E2481" s="27" t="s">
        <v>9002</v>
      </c>
      <c r="F2481" s="28" t="s">
        <v>146</v>
      </c>
      <c r="G2481" s="27" t="s">
        <v>3537</v>
      </c>
      <c r="H2481" s="27" t="s">
        <v>56</v>
      </c>
      <c r="I2481" s="27" t="s">
        <v>38</v>
      </c>
      <c r="J2481" s="28" t="s">
        <v>913</v>
      </c>
      <c r="K2481" s="27" t="s">
        <v>38</v>
      </c>
      <c r="L2481" s="27"/>
    </row>
    <row r="2482" customFormat="false" ht="15" hidden="false" customHeight="false" outlineLevel="0" collapsed="false">
      <c r="A2482" s="26" t="s">
        <v>9021</v>
      </c>
      <c r="B2482" s="27" t="s">
        <v>9022</v>
      </c>
      <c r="C2482" s="27" t="s">
        <v>137</v>
      </c>
      <c r="D2482" s="26" t="s">
        <v>2669</v>
      </c>
      <c r="E2482" s="27" t="s">
        <v>2670</v>
      </c>
      <c r="F2482" s="28" t="s">
        <v>140</v>
      </c>
      <c r="G2482" s="27" t="s">
        <v>3537</v>
      </c>
      <c r="H2482" s="27" t="s">
        <v>56</v>
      </c>
      <c r="I2482" s="27" t="s">
        <v>38</v>
      </c>
      <c r="J2482" s="28" t="s">
        <v>913</v>
      </c>
      <c r="K2482" s="27" t="s">
        <v>38</v>
      </c>
      <c r="L2482" s="27"/>
    </row>
    <row r="2483" customFormat="false" ht="15" hidden="false" customHeight="false" outlineLevel="0" collapsed="false">
      <c r="A2483" s="26" t="s">
        <v>9023</v>
      </c>
      <c r="B2483" s="27" t="s">
        <v>9024</v>
      </c>
      <c r="C2483" s="27" t="s">
        <v>137</v>
      </c>
      <c r="D2483" s="26" t="s">
        <v>9025</v>
      </c>
      <c r="E2483" s="27" t="s">
        <v>9026</v>
      </c>
      <c r="F2483" s="28" t="s">
        <v>140</v>
      </c>
      <c r="G2483" s="27" t="s">
        <v>3537</v>
      </c>
      <c r="H2483" s="27" t="s">
        <v>57</v>
      </c>
      <c r="I2483" s="27" t="s">
        <v>41</v>
      </c>
      <c r="J2483" s="28" t="s">
        <v>913</v>
      </c>
      <c r="K2483" s="27" t="s">
        <v>38</v>
      </c>
      <c r="L2483" s="27"/>
    </row>
    <row r="2484" customFormat="false" ht="15" hidden="false" customHeight="false" outlineLevel="0" collapsed="false">
      <c r="A2484" s="26" t="s">
        <v>9027</v>
      </c>
      <c r="B2484" s="27" t="s">
        <v>9028</v>
      </c>
      <c r="C2484" s="27" t="s">
        <v>137</v>
      </c>
      <c r="D2484" s="26" t="s">
        <v>2742</v>
      </c>
      <c r="E2484" s="27" t="s">
        <v>2743</v>
      </c>
      <c r="F2484" s="28" t="s">
        <v>140</v>
      </c>
      <c r="G2484" s="27" t="s">
        <v>3537</v>
      </c>
      <c r="H2484" s="27" t="s">
        <v>56</v>
      </c>
      <c r="I2484" s="27" t="s">
        <v>38</v>
      </c>
      <c r="J2484" s="28" t="s">
        <v>913</v>
      </c>
      <c r="K2484" s="27" t="s">
        <v>38</v>
      </c>
      <c r="L2484" s="27"/>
    </row>
    <row r="2485" customFormat="false" ht="15" hidden="false" customHeight="false" outlineLevel="0" collapsed="false">
      <c r="A2485" s="26" t="s">
        <v>9029</v>
      </c>
      <c r="B2485" s="27" t="s">
        <v>9030</v>
      </c>
      <c r="C2485" s="27" t="s">
        <v>144</v>
      </c>
      <c r="D2485" s="26" t="s">
        <v>9031</v>
      </c>
      <c r="E2485" s="27" t="s">
        <v>9032</v>
      </c>
      <c r="F2485" s="28" t="s">
        <v>146</v>
      </c>
      <c r="G2485" s="27" t="s">
        <v>3537</v>
      </c>
      <c r="H2485" s="27" t="s">
        <v>56</v>
      </c>
      <c r="I2485" s="27" t="s">
        <v>38</v>
      </c>
      <c r="J2485" s="28" t="s">
        <v>913</v>
      </c>
      <c r="K2485" s="27" t="s">
        <v>38</v>
      </c>
      <c r="L2485" s="27"/>
    </row>
    <row r="2486" customFormat="false" ht="15" hidden="false" customHeight="false" outlineLevel="0" collapsed="false">
      <c r="A2486" s="26" t="s">
        <v>9033</v>
      </c>
      <c r="B2486" s="27" t="s">
        <v>9034</v>
      </c>
      <c r="C2486" s="27" t="s">
        <v>144</v>
      </c>
      <c r="D2486" s="26" t="s">
        <v>9035</v>
      </c>
      <c r="E2486" s="27" t="s">
        <v>9036</v>
      </c>
      <c r="F2486" s="28" t="s">
        <v>146</v>
      </c>
      <c r="G2486" s="27" t="s">
        <v>3537</v>
      </c>
      <c r="H2486" s="27" t="s">
        <v>56</v>
      </c>
      <c r="I2486" s="27" t="s">
        <v>38</v>
      </c>
      <c r="J2486" s="28" t="s">
        <v>913</v>
      </c>
      <c r="K2486" s="27" t="s">
        <v>38</v>
      </c>
      <c r="L2486" s="27"/>
    </row>
    <row r="2487" customFormat="false" ht="15" hidden="false" customHeight="false" outlineLevel="0" collapsed="false">
      <c r="A2487" s="26" t="s">
        <v>9037</v>
      </c>
      <c r="B2487" s="27" t="s">
        <v>9038</v>
      </c>
      <c r="C2487" s="27" t="s">
        <v>144</v>
      </c>
      <c r="D2487" s="26" t="s">
        <v>9035</v>
      </c>
      <c r="E2487" s="27" t="s">
        <v>9036</v>
      </c>
      <c r="F2487" s="28" t="s">
        <v>146</v>
      </c>
      <c r="G2487" s="27" t="s">
        <v>3537</v>
      </c>
      <c r="H2487" s="27" t="s">
        <v>56</v>
      </c>
      <c r="I2487" s="27" t="s">
        <v>38</v>
      </c>
      <c r="J2487" s="28" t="s">
        <v>913</v>
      </c>
      <c r="K2487" s="27" t="s">
        <v>38</v>
      </c>
      <c r="L2487" s="27"/>
    </row>
    <row r="2488" customFormat="false" ht="15" hidden="false" customHeight="false" outlineLevel="0" collapsed="false">
      <c r="A2488" s="26" t="s">
        <v>9039</v>
      </c>
      <c r="B2488" s="27" t="s">
        <v>9040</v>
      </c>
      <c r="C2488" s="27" t="s">
        <v>144</v>
      </c>
      <c r="D2488" s="26" t="s">
        <v>8993</v>
      </c>
      <c r="E2488" s="27" t="s">
        <v>8994</v>
      </c>
      <c r="F2488" s="28" t="s">
        <v>146</v>
      </c>
      <c r="G2488" s="27" t="s">
        <v>3537</v>
      </c>
      <c r="H2488" s="27" t="s">
        <v>56</v>
      </c>
      <c r="I2488" s="27" t="s">
        <v>38</v>
      </c>
      <c r="J2488" s="28" t="s">
        <v>913</v>
      </c>
      <c r="K2488" s="27" t="s">
        <v>38</v>
      </c>
      <c r="L2488" s="27"/>
    </row>
    <row r="2489" customFormat="false" ht="15" hidden="false" customHeight="false" outlineLevel="0" collapsed="false">
      <c r="A2489" s="26" t="s">
        <v>9041</v>
      </c>
      <c r="B2489" s="27" t="s">
        <v>9042</v>
      </c>
      <c r="C2489" s="27" t="s">
        <v>144</v>
      </c>
      <c r="D2489" s="26" t="s">
        <v>9043</v>
      </c>
      <c r="E2489" s="27" t="s">
        <v>9044</v>
      </c>
      <c r="F2489" s="28" t="s">
        <v>146</v>
      </c>
      <c r="G2489" s="27" t="s">
        <v>3537</v>
      </c>
      <c r="H2489" s="27" t="s">
        <v>56</v>
      </c>
      <c r="I2489" s="27" t="s">
        <v>38</v>
      </c>
      <c r="J2489" s="28" t="s">
        <v>913</v>
      </c>
      <c r="K2489" s="27" t="s">
        <v>38</v>
      </c>
      <c r="L2489" s="27"/>
    </row>
    <row r="2490" customFormat="false" ht="15" hidden="false" customHeight="false" outlineLevel="0" collapsed="false">
      <c r="A2490" s="26" t="s">
        <v>9045</v>
      </c>
      <c r="B2490" s="27" t="s">
        <v>9046</v>
      </c>
      <c r="C2490" s="27" t="s">
        <v>137</v>
      </c>
      <c r="D2490" s="26" t="s">
        <v>9047</v>
      </c>
      <c r="E2490" s="27" t="s">
        <v>9048</v>
      </c>
      <c r="F2490" s="28" t="s">
        <v>140</v>
      </c>
      <c r="G2490" s="27" t="s">
        <v>3537</v>
      </c>
      <c r="H2490" s="27" t="s">
        <v>57</v>
      </c>
      <c r="I2490" s="27" t="s">
        <v>4159</v>
      </c>
      <c r="J2490" s="28" t="s">
        <v>913</v>
      </c>
      <c r="K2490" s="27" t="s">
        <v>38</v>
      </c>
      <c r="L2490" s="27"/>
    </row>
    <row r="2491" customFormat="false" ht="15" hidden="false" customHeight="false" outlineLevel="0" collapsed="false">
      <c r="A2491" s="26" t="s">
        <v>9049</v>
      </c>
      <c r="B2491" s="27" t="s">
        <v>9050</v>
      </c>
      <c r="C2491" s="27" t="s">
        <v>137</v>
      </c>
      <c r="D2491" s="26" t="s">
        <v>9051</v>
      </c>
      <c r="E2491" s="27" t="s">
        <v>9052</v>
      </c>
      <c r="F2491" s="28" t="s">
        <v>140</v>
      </c>
      <c r="G2491" s="27" t="s">
        <v>3537</v>
      </c>
      <c r="H2491" s="27" t="s">
        <v>56</v>
      </c>
      <c r="I2491" s="27" t="s">
        <v>38</v>
      </c>
      <c r="J2491" s="28" t="s">
        <v>913</v>
      </c>
      <c r="K2491" s="27" t="s">
        <v>38</v>
      </c>
      <c r="L2491" s="27"/>
    </row>
    <row r="2492" customFormat="false" ht="15" hidden="false" customHeight="false" outlineLevel="0" collapsed="false">
      <c r="A2492" s="26" t="s">
        <v>9053</v>
      </c>
      <c r="B2492" s="27" t="s">
        <v>9054</v>
      </c>
      <c r="C2492" s="27" t="s">
        <v>137</v>
      </c>
      <c r="D2492" s="26" t="s">
        <v>9055</v>
      </c>
      <c r="E2492" s="27" t="s">
        <v>9056</v>
      </c>
      <c r="F2492" s="28" t="s">
        <v>140</v>
      </c>
      <c r="G2492" s="27" t="s">
        <v>3537</v>
      </c>
      <c r="H2492" s="27" t="s">
        <v>56</v>
      </c>
      <c r="I2492" s="27" t="s">
        <v>38</v>
      </c>
      <c r="J2492" s="28" t="s">
        <v>913</v>
      </c>
      <c r="K2492" s="27" t="s">
        <v>38</v>
      </c>
      <c r="L2492" s="27"/>
    </row>
    <row r="2493" customFormat="false" ht="15" hidden="false" customHeight="false" outlineLevel="0" collapsed="false">
      <c r="A2493" s="26" t="s">
        <v>9057</v>
      </c>
      <c r="B2493" s="27" t="s">
        <v>9058</v>
      </c>
      <c r="C2493" s="27" t="s">
        <v>137</v>
      </c>
      <c r="D2493" s="26" t="s">
        <v>9059</v>
      </c>
      <c r="E2493" s="27" t="s">
        <v>9060</v>
      </c>
      <c r="F2493" s="28" t="s">
        <v>140</v>
      </c>
      <c r="G2493" s="27" t="s">
        <v>3537</v>
      </c>
      <c r="H2493" s="27" t="s">
        <v>56</v>
      </c>
      <c r="I2493" s="27" t="s">
        <v>38</v>
      </c>
      <c r="J2493" s="28" t="s">
        <v>913</v>
      </c>
      <c r="K2493" s="27" t="s">
        <v>38</v>
      </c>
      <c r="L2493" s="27"/>
    </row>
    <row r="2494" customFormat="false" ht="15" hidden="false" customHeight="false" outlineLevel="0" collapsed="false">
      <c r="A2494" s="26" t="s">
        <v>9061</v>
      </c>
      <c r="B2494" s="27" t="s">
        <v>9062</v>
      </c>
      <c r="C2494" s="27" t="s">
        <v>137</v>
      </c>
      <c r="D2494" s="26" t="s">
        <v>2829</v>
      </c>
      <c r="E2494" s="27" t="s">
        <v>2830</v>
      </c>
      <c r="F2494" s="28" t="s">
        <v>140</v>
      </c>
      <c r="G2494" s="27" t="s">
        <v>3537</v>
      </c>
      <c r="H2494" s="27" t="s">
        <v>56</v>
      </c>
      <c r="I2494" s="27" t="s">
        <v>38</v>
      </c>
      <c r="J2494" s="28" t="s">
        <v>913</v>
      </c>
      <c r="K2494" s="27" t="s">
        <v>38</v>
      </c>
      <c r="L2494" s="27"/>
    </row>
    <row r="2495" customFormat="false" ht="15" hidden="false" customHeight="false" outlineLevel="0" collapsed="false">
      <c r="A2495" s="26" t="s">
        <v>9063</v>
      </c>
      <c r="B2495" s="27" t="s">
        <v>9064</v>
      </c>
      <c r="C2495" s="27" t="s">
        <v>137</v>
      </c>
      <c r="D2495" s="26" t="s">
        <v>9065</v>
      </c>
      <c r="E2495" s="27" t="s">
        <v>9066</v>
      </c>
      <c r="F2495" s="28" t="s">
        <v>140</v>
      </c>
      <c r="G2495" s="27" t="s">
        <v>3537</v>
      </c>
      <c r="H2495" s="27" t="s">
        <v>56</v>
      </c>
      <c r="I2495" s="27" t="s">
        <v>38</v>
      </c>
      <c r="J2495" s="28" t="s">
        <v>913</v>
      </c>
      <c r="K2495" s="27" t="s">
        <v>38</v>
      </c>
      <c r="L2495" s="27"/>
    </row>
    <row r="2496" customFormat="false" ht="15" hidden="false" customHeight="false" outlineLevel="0" collapsed="false">
      <c r="A2496" s="26" t="s">
        <v>9067</v>
      </c>
      <c r="B2496" s="27" t="s">
        <v>9068</v>
      </c>
      <c r="C2496" s="27" t="s">
        <v>137</v>
      </c>
      <c r="D2496" s="26" t="s">
        <v>2829</v>
      </c>
      <c r="E2496" s="27" t="s">
        <v>2830</v>
      </c>
      <c r="F2496" s="28" t="s">
        <v>140</v>
      </c>
      <c r="G2496" s="27" t="s">
        <v>3537</v>
      </c>
      <c r="H2496" s="27" t="s">
        <v>56</v>
      </c>
      <c r="I2496" s="27" t="s">
        <v>38</v>
      </c>
      <c r="J2496" s="28" t="s">
        <v>913</v>
      </c>
      <c r="K2496" s="27" t="s">
        <v>38</v>
      </c>
      <c r="L2496" s="27"/>
    </row>
    <row r="2497" customFormat="false" ht="15" hidden="false" customHeight="false" outlineLevel="0" collapsed="false">
      <c r="A2497" s="26" t="s">
        <v>9069</v>
      </c>
      <c r="B2497" s="27" t="s">
        <v>9070</v>
      </c>
      <c r="C2497" s="27" t="s">
        <v>144</v>
      </c>
      <c r="D2497" s="26" t="s">
        <v>9071</v>
      </c>
      <c r="E2497" s="27" t="s">
        <v>9072</v>
      </c>
      <c r="F2497" s="28" t="s">
        <v>146</v>
      </c>
      <c r="G2497" s="27" t="s">
        <v>3537</v>
      </c>
      <c r="H2497" s="27" t="s">
        <v>56</v>
      </c>
      <c r="I2497" s="27" t="s">
        <v>38</v>
      </c>
      <c r="J2497" s="28" t="s">
        <v>913</v>
      </c>
      <c r="K2497" s="27" t="s">
        <v>38</v>
      </c>
      <c r="L2497" s="27"/>
    </row>
    <row r="2498" customFormat="false" ht="15" hidden="false" customHeight="false" outlineLevel="0" collapsed="false">
      <c r="A2498" s="26" t="s">
        <v>9073</v>
      </c>
      <c r="B2498" s="27" t="s">
        <v>9074</v>
      </c>
      <c r="C2498" s="27" t="s">
        <v>144</v>
      </c>
      <c r="D2498" s="26" t="s">
        <v>9075</v>
      </c>
      <c r="E2498" s="27" t="s">
        <v>9076</v>
      </c>
      <c r="F2498" s="28" t="s">
        <v>146</v>
      </c>
      <c r="G2498" s="27" t="s">
        <v>3537</v>
      </c>
      <c r="H2498" s="27" t="s">
        <v>56</v>
      </c>
      <c r="I2498" s="27" t="s">
        <v>38</v>
      </c>
      <c r="J2498" s="28" t="s">
        <v>913</v>
      </c>
      <c r="K2498" s="27" t="s">
        <v>38</v>
      </c>
      <c r="L2498" s="27"/>
    </row>
    <row r="2499" customFormat="false" ht="15" hidden="false" customHeight="false" outlineLevel="0" collapsed="false">
      <c r="A2499" s="26" t="s">
        <v>9077</v>
      </c>
      <c r="B2499" s="27" t="s">
        <v>9078</v>
      </c>
      <c r="C2499" s="27" t="s">
        <v>144</v>
      </c>
      <c r="D2499" s="26" t="s">
        <v>9079</v>
      </c>
      <c r="E2499" s="27" t="s">
        <v>9080</v>
      </c>
      <c r="F2499" s="28" t="s">
        <v>146</v>
      </c>
      <c r="G2499" s="27" t="s">
        <v>3537</v>
      </c>
      <c r="H2499" s="27" t="s">
        <v>56</v>
      </c>
      <c r="I2499" s="27" t="s">
        <v>38</v>
      </c>
      <c r="J2499" s="28" t="s">
        <v>913</v>
      </c>
      <c r="K2499" s="27" t="s">
        <v>38</v>
      </c>
      <c r="L2499" s="27"/>
    </row>
    <row r="2500" customFormat="false" ht="15" hidden="false" customHeight="false" outlineLevel="0" collapsed="false">
      <c r="A2500" s="26" t="s">
        <v>9081</v>
      </c>
      <c r="B2500" s="27" t="s">
        <v>9082</v>
      </c>
      <c r="C2500" s="27" t="s">
        <v>144</v>
      </c>
      <c r="D2500" s="26" t="s">
        <v>9083</v>
      </c>
      <c r="E2500" s="27" t="s">
        <v>9084</v>
      </c>
      <c r="F2500" s="28" t="s">
        <v>146</v>
      </c>
      <c r="G2500" s="27" t="s">
        <v>3537</v>
      </c>
      <c r="H2500" s="27" t="s">
        <v>56</v>
      </c>
      <c r="I2500" s="27" t="s">
        <v>38</v>
      </c>
      <c r="J2500" s="28" t="s">
        <v>913</v>
      </c>
      <c r="K2500" s="27" t="s">
        <v>38</v>
      </c>
      <c r="L2500" s="27"/>
    </row>
    <row r="2501" customFormat="false" ht="15" hidden="false" customHeight="false" outlineLevel="0" collapsed="false">
      <c r="A2501" s="26" t="s">
        <v>9085</v>
      </c>
      <c r="B2501" s="27" t="s">
        <v>9086</v>
      </c>
      <c r="C2501" s="27" t="s">
        <v>144</v>
      </c>
      <c r="D2501" s="26" t="s">
        <v>9087</v>
      </c>
      <c r="E2501" s="27" t="s">
        <v>9088</v>
      </c>
      <c r="F2501" s="28" t="s">
        <v>146</v>
      </c>
      <c r="G2501" s="27" t="s">
        <v>3537</v>
      </c>
      <c r="H2501" s="27" t="s">
        <v>57</v>
      </c>
      <c r="I2501" s="27" t="s">
        <v>37</v>
      </c>
      <c r="J2501" s="28" t="s">
        <v>913</v>
      </c>
      <c r="K2501" s="27" t="s">
        <v>38</v>
      </c>
      <c r="L2501" s="27"/>
    </row>
    <row r="2502" customFormat="false" ht="15" hidden="false" customHeight="false" outlineLevel="0" collapsed="false">
      <c r="A2502" s="26" t="s">
        <v>9089</v>
      </c>
      <c r="B2502" s="27" t="s">
        <v>9090</v>
      </c>
      <c r="C2502" s="27" t="s">
        <v>144</v>
      </c>
      <c r="D2502" s="26" t="s">
        <v>3737</v>
      </c>
      <c r="E2502" s="27" t="s">
        <v>3738</v>
      </c>
      <c r="F2502" s="28" t="s">
        <v>146</v>
      </c>
      <c r="G2502" s="27" t="s">
        <v>3537</v>
      </c>
      <c r="H2502" s="27" t="s">
        <v>56</v>
      </c>
      <c r="I2502" s="27" t="s">
        <v>38</v>
      </c>
      <c r="J2502" s="28" t="s">
        <v>913</v>
      </c>
      <c r="K2502" s="27" t="s">
        <v>38</v>
      </c>
      <c r="L2502" s="27"/>
    </row>
    <row r="2503" customFormat="false" ht="15" hidden="false" customHeight="false" outlineLevel="0" collapsed="false">
      <c r="A2503" s="26" t="s">
        <v>9091</v>
      </c>
      <c r="B2503" s="27" t="s">
        <v>9092</v>
      </c>
      <c r="C2503" s="27" t="s">
        <v>144</v>
      </c>
      <c r="D2503" s="26" t="s">
        <v>9093</v>
      </c>
      <c r="E2503" s="27" t="s">
        <v>9094</v>
      </c>
      <c r="F2503" s="28" t="s">
        <v>146</v>
      </c>
      <c r="G2503" s="27" t="s">
        <v>3537</v>
      </c>
      <c r="H2503" s="27" t="s">
        <v>57</v>
      </c>
      <c r="I2503" s="27" t="s">
        <v>37</v>
      </c>
      <c r="J2503" s="28" t="s">
        <v>913</v>
      </c>
      <c r="K2503" s="27" t="s">
        <v>38</v>
      </c>
      <c r="L2503" s="27"/>
    </row>
    <row r="2504" customFormat="false" ht="15" hidden="false" customHeight="false" outlineLevel="0" collapsed="false">
      <c r="A2504" s="26" t="s">
        <v>9095</v>
      </c>
      <c r="B2504" s="27" t="s">
        <v>9096</v>
      </c>
      <c r="C2504" s="27" t="s">
        <v>144</v>
      </c>
      <c r="D2504" s="26" t="s">
        <v>9083</v>
      </c>
      <c r="E2504" s="27" t="s">
        <v>9084</v>
      </c>
      <c r="F2504" s="28" t="s">
        <v>146</v>
      </c>
      <c r="G2504" s="27" t="s">
        <v>3537</v>
      </c>
      <c r="H2504" s="27" t="s">
        <v>56</v>
      </c>
      <c r="I2504" s="27" t="s">
        <v>38</v>
      </c>
      <c r="J2504" s="28" t="s">
        <v>913</v>
      </c>
      <c r="K2504" s="27" t="s">
        <v>38</v>
      </c>
      <c r="L2504" s="27"/>
    </row>
    <row r="2505" customFormat="false" ht="15" hidden="false" customHeight="false" outlineLevel="0" collapsed="false">
      <c r="A2505" s="26" t="s">
        <v>9097</v>
      </c>
      <c r="B2505" s="27" t="s">
        <v>9098</v>
      </c>
      <c r="C2505" s="27" t="s">
        <v>144</v>
      </c>
      <c r="D2505" s="26" t="s">
        <v>9099</v>
      </c>
      <c r="E2505" s="27" t="s">
        <v>9100</v>
      </c>
      <c r="F2505" s="28" t="s">
        <v>146</v>
      </c>
      <c r="G2505" s="27" t="s">
        <v>3537</v>
      </c>
      <c r="H2505" s="27" t="s">
        <v>56</v>
      </c>
      <c r="I2505" s="27" t="s">
        <v>38</v>
      </c>
      <c r="J2505" s="28" t="s">
        <v>913</v>
      </c>
      <c r="K2505" s="27" t="s">
        <v>38</v>
      </c>
      <c r="L2505" s="27"/>
    </row>
    <row r="2506" customFormat="false" ht="15" hidden="false" customHeight="false" outlineLevel="0" collapsed="false">
      <c r="A2506" s="26" t="s">
        <v>9101</v>
      </c>
      <c r="B2506" s="27" t="s">
        <v>9102</v>
      </c>
      <c r="C2506" s="27" t="s">
        <v>144</v>
      </c>
      <c r="D2506" s="26" t="s">
        <v>9103</v>
      </c>
      <c r="E2506" s="27" t="s">
        <v>9104</v>
      </c>
      <c r="F2506" s="28" t="s">
        <v>146</v>
      </c>
      <c r="G2506" s="27" t="s">
        <v>3537</v>
      </c>
      <c r="H2506" s="27" t="s">
        <v>56</v>
      </c>
      <c r="I2506" s="27" t="s">
        <v>38</v>
      </c>
      <c r="J2506" s="28" t="s">
        <v>913</v>
      </c>
      <c r="K2506" s="27" t="s">
        <v>38</v>
      </c>
      <c r="L2506" s="27"/>
    </row>
    <row r="2507" customFormat="false" ht="15" hidden="false" customHeight="false" outlineLevel="0" collapsed="false">
      <c r="A2507" s="26" t="s">
        <v>9105</v>
      </c>
      <c r="B2507" s="27" t="s">
        <v>9106</v>
      </c>
      <c r="C2507" s="27" t="s">
        <v>144</v>
      </c>
      <c r="D2507" s="26" t="s">
        <v>9107</v>
      </c>
      <c r="E2507" s="27" t="s">
        <v>9108</v>
      </c>
      <c r="F2507" s="28" t="s">
        <v>146</v>
      </c>
      <c r="G2507" s="27" t="s">
        <v>3537</v>
      </c>
      <c r="H2507" s="27" t="s">
        <v>56</v>
      </c>
      <c r="I2507" s="27" t="s">
        <v>38</v>
      </c>
      <c r="J2507" s="28" t="s">
        <v>913</v>
      </c>
      <c r="K2507" s="27" t="s">
        <v>38</v>
      </c>
      <c r="L2507" s="27"/>
    </row>
    <row r="2508" customFormat="false" ht="15" hidden="false" customHeight="false" outlineLevel="0" collapsed="false">
      <c r="A2508" s="26" t="s">
        <v>9109</v>
      </c>
      <c r="B2508" s="27" t="s">
        <v>9110</v>
      </c>
      <c r="C2508" s="27" t="s">
        <v>144</v>
      </c>
      <c r="D2508" s="26" t="s">
        <v>9075</v>
      </c>
      <c r="E2508" s="27" t="s">
        <v>9076</v>
      </c>
      <c r="F2508" s="28" t="s">
        <v>146</v>
      </c>
      <c r="G2508" s="27" t="s">
        <v>3537</v>
      </c>
      <c r="H2508" s="27" t="s">
        <v>56</v>
      </c>
      <c r="I2508" s="27" t="s">
        <v>38</v>
      </c>
      <c r="J2508" s="28" t="s">
        <v>913</v>
      </c>
      <c r="K2508" s="27" t="s">
        <v>38</v>
      </c>
      <c r="L2508" s="27"/>
    </row>
    <row r="2509" customFormat="false" ht="15" hidden="false" customHeight="false" outlineLevel="0" collapsed="false">
      <c r="A2509" s="26" t="s">
        <v>9111</v>
      </c>
      <c r="B2509" s="27" t="s">
        <v>9112</v>
      </c>
      <c r="C2509" s="27" t="s">
        <v>144</v>
      </c>
      <c r="D2509" s="26" t="s">
        <v>3741</v>
      </c>
      <c r="E2509" s="27" t="s">
        <v>3742</v>
      </c>
      <c r="F2509" s="28" t="s">
        <v>146</v>
      </c>
      <c r="G2509" s="27" t="s">
        <v>3537</v>
      </c>
      <c r="H2509" s="27" t="s">
        <v>56</v>
      </c>
      <c r="I2509" s="27" t="s">
        <v>38</v>
      </c>
      <c r="J2509" s="28" t="s">
        <v>913</v>
      </c>
      <c r="K2509" s="27" t="s">
        <v>38</v>
      </c>
      <c r="L2509" s="27"/>
    </row>
    <row r="2510" customFormat="false" ht="15" hidden="false" customHeight="false" outlineLevel="0" collapsed="false">
      <c r="A2510" s="26" t="s">
        <v>9113</v>
      </c>
      <c r="B2510" s="27" t="s">
        <v>9114</v>
      </c>
      <c r="C2510" s="27" t="s">
        <v>144</v>
      </c>
      <c r="D2510" s="26" t="s">
        <v>9115</v>
      </c>
      <c r="E2510" s="27" t="s">
        <v>9116</v>
      </c>
      <c r="F2510" s="28" t="s">
        <v>146</v>
      </c>
      <c r="G2510" s="27" t="s">
        <v>3537</v>
      </c>
      <c r="H2510" s="27" t="s">
        <v>56</v>
      </c>
      <c r="I2510" s="27" t="s">
        <v>38</v>
      </c>
      <c r="J2510" s="28" t="s">
        <v>913</v>
      </c>
      <c r="K2510" s="27" t="s">
        <v>38</v>
      </c>
      <c r="L2510" s="27"/>
    </row>
    <row r="2511" customFormat="false" ht="15" hidden="false" customHeight="false" outlineLevel="0" collapsed="false">
      <c r="A2511" s="26" t="s">
        <v>9117</v>
      </c>
      <c r="B2511" s="27" t="s">
        <v>9118</v>
      </c>
      <c r="C2511" s="27" t="s">
        <v>144</v>
      </c>
      <c r="D2511" s="26" t="s">
        <v>9119</v>
      </c>
      <c r="E2511" s="27" t="s">
        <v>9120</v>
      </c>
      <c r="F2511" s="28" t="s">
        <v>146</v>
      </c>
      <c r="G2511" s="27" t="s">
        <v>3537</v>
      </c>
      <c r="H2511" s="27" t="s">
        <v>56</v>
      </c>
      <c r="I2511" s="27" t="s">
        <v>38</v>
      </c>
      <c r="J2511" s="28" t="s">
        <v>913</v>
      </c>
      <c r="K2511" s="27" t="s">
        <v>38</v>
      </c>
      <c r="L2511" s="27"/>
    </row>
    <row r="2512" customFormat="false" ht="15" hidden="false" customHeight="false" outlineLevel="0" collapsed="false">
      <c r="A2512" s="26" t="s">
        <v>9121</v>
      </c>
      <c r="B2512" s="27" t="s">
        <v>9122</v>
      </c>
      <c r="C2512" s="27" t="s">
        <v>144</v>
      </c>
      <c r="D2512" s="26" t="s">
        <v>9123</v>
      </c>
      <c r="E2512" s="27" t="s">
        <v>9124</v>
      </c>
      <c r="F2512" s="28" t="s">
        <v>146</v>
      </c>
      <c r="G2512" s="27" t="s">
        <v>3537</v>
      </c>
      <c r="H2512" s="27" t="s">
        <v>56</v>
      </c>
      <c r="I2512" s="27" t="s">
        <v>38</v>
      </c>
      <c r="J2512" s="28" t="s">
        <v>913</v>
      </c>
      <c r="K2512" s="27" t="s">
        <v>38</v>
      </c>
      <c r="L2512" s="27"/>
    </row>
    <row r="2513" customFormat="false" ht="15" hidden="false" customHeight="false" outlineLevel="0" collapsed="false">
      <c r="A2513" s="26" t="s">
        <v>9125</v>
      </c>
      <c r="B2513" s="27" t="s">
        <v>9126</v>
      </c>
      <c r="C2513" s="27" t="s">
        <v>144</v>
      </c>
      <c r="D2513" s="26" t="s">
        <v>9123</v>
      </c>
      <c r="E2513" s="27" t="s">
        <v>9124</v>
      </c>
      <c r="F2513" s="28" t="s">
        <v>146</v>
      </c>
      <c r="G2513" s="27" t="s">
        <v>3537</v>
      </c>
      <c r="H2513" s="27" t="s">
        <v>56</v>
      </c>
      <c r="I2513" s="27" t="s">
        <v>38</v>
      </c>
      <c r="J2513" s="28" t="s">
        <v>913</v>
      </c>
      <c r="K2513" s="27" t="s">
        <v>38</v>
      </c>
      <c r="L2513" s="27"/>
    </row>
    <row r="2514" customFormat="false" ht="15" hidden="false" customHeight="false" outlineLevel="0" collapsed="false">
      <c r="A2514" s="26" t="s">
        <v>9127</v>
      </c>
      <c r="B2514" s="27" t="s">
        <v>9128</v>
      </c>
      <c r="C2514" s="27" t="s">
        <v>144</v>
      </c>
      <c r="D2514" s="26" t="s">
        <v>9129</v>
      </c>
      <c r="E2514" s="27" t="s">
        <v>9130</v>
      </c>
      <c r="F2514" s="28" t="s">
        <v>146</v>
      </c>
      <c r="G2514" s="27" t="s">
        <v>3537</v>
      </c>
      <c r="H2514" s="27" t="s">
        <v>57</v>
      </c>
      <c r="I2514" s="28" t="s">
        <v>50</v>
      </c>
      <c r="J2514" s="28" t="s">
        <v>913</v>
      </c>
      <c r="K2514" s="27" t="s">
        <v>38</v>
      </c>
      <c r="L2514" s="27"/>
    </row>
    <row r="2515" customFormat="false" ht="15" hidden="false" customHeight="false" outlineLevel="0" collapsed="false">
      <c r="A2515" s="26" t="s">
        <v>9131</v>
      </c>
      <c r="B2515" s="27" t="s">
        <v>9132</v>
      </c>
      <c r="C2515" s="27" t="s">
        <v>144</v>
      </c>
      <c r="D2515" s="26" t="s">
        <v>9133</v>
      </c>
      <c r="E2515" s="27" t="s">
        <v>9134</v>
      </c>
      <c r="F2515" s="28" t="s">
        <v>146</v>
      </c>
      <c r="G2515" s="27" t="s">
        <v>3537</v>
      </c>
      <c r="H2515" s="27" t="s">
        <v>57</v>
      </c>
      <c r="I2515" s="27" t="s">
        <v>37</v>
      </c>
      <c r="J2515" s="28" t="s">
        <v>913</v>
      </c>
      <c r="K2515" s="27" t="s">
        <v>38</v>
      </c>
      <c r="L2515" s="27"/>
    </row>
    <row r="2516" customFormat="false" ht="15" hidden="false" customHeight="false" outlineLevel="0" collapsed="false">
      <c r="A2516" s="26" t="s">
        <v>9135</v>
      </c>
      <c r="B2516" s="27" t="s">
        <v>9136</v>
      </c>
      <c r="C2516" s="27" t="s">
        <v>144</v>
      </c>
      <c r="D2516" s="26" t="s">
        <v>9137</v>
      </c>
      <c r="E2516" s="27" t="s">
        <v>9138</v>
      </c>
      <c r="F2516" s="28" t="s">
        <v>146</v>
      </c>
      <c r="G2516" s="27" t="s">
        <v>3537</v>
      </c>
      <c r="H2516" s="27" t="s">
        <v>57</v>
      </c>
      <c r="I2516" s="27" t="s">
        <v>37</v>
      </c>
      <c r="J2516" s="28" t="s">
        <v>913</v>
      </c>
      <c r="K2516" s="27" t="s">
        <v>38</v>
      </c>
      <c r="L2516" s="27"/>
    </row>
    <row r="2517" customFormat="false" ht="15" hidden="false" customHeight="false" outlineLevel="0" collapsed="false">
      <c r="A2517" s="26" t="s">
        <v>9139</v>
      </c>
      <c r="B2517" s="27" t="s">
        <v>9140</v>
      </c>
      <c r="C2517" s="27" t="s">
        <v>144</v>
      </c>
      <c r="D2517" s="26" t="s">
        <v>9141</v>
      </c>
      <c r="E2517" s="27" t="s">
        <v>9142</v>
      </c>
      <c r="F2517" s="28" t="s">
        <v>146</v>
      </c>
      <c r="G2517" s="27" t="s">
        <v>3537</v>
      </c>
      <c r="H2517" s="27" t="s">
        <v>57</v>
      </c>
      <c r="I2517" s="27" t="s">
        <v>37</v>
      </c>
      <c r="J2517" s="28" t="s">
        <v>913</v>
      </c>
      <c r="K2517" s="27" t="s">
        <v>38</v>
      </c>
      <c r="L2517" s="27"/>
    </row>
    <row r="2518" customFormat="false" ht="15" hidden="false" customHeight="false" outlineLevel="0" collapsed="false">
      <c r="A2518" s="26" t="s">
        <v>9143</v>
      </c>
      <c r="B2518" s="27" t="s">
        <v>9144</v>
      </c>
      <c r="C2518" s="27" t="s">
        <v>144</v>
      </c>
      <c r="D2518" s="26" t="s">
        <v>9145</v>
      </c>
      <c r="E2518" s="27" t="s">
        <v>9146</v>
      </c>
      <c r="F2518" s="28" t="s">
        <v>146</v>
      </c>
      <c r="G2518" s="27" t="s">
        <v>3537</v>
      </c>
      <c r="H2518" s="27" t="s">
        <v>57</v>
      </c>
      <c r="I2518" s="27" t="s">
        <v>41</v>
      </c>
      <c r="J2518" s="28" t="s">
        <v>913</v>
      </c>
      <c r="K2518" s="27" t="s">
        <v>38</v>
      </c>
      <c r="L2518" s="27"/>
    </row>
    <row r="2519" customFormat="false" ht="15" hidden="false" customHeight="false" outlineLevel="0" collapsed="false">
      <c r="A2519" s="26" t="s">
        <v>9147</v>
      </c>
      <c r="B2519" s="27" t="s">
        <v>9148</v>
      </c>
      <c r="C2519" s="27" t="s">
        <v>144</v>
      </c>
      <c r="D2519" s="26" t="s">
        <v>9149</v>
      </c>
      <c r="E2519" s="27" t="s">
        <v>9150</v>
      </c>
      <c r="F2519" s="28" t="s">
        <v>146</v>
      </c>
      <c r="G2519" s="27" t="s">
        <v>3537</v>
      </c>
      <c r="H2519" s="27" t="s">
        <v>57</v>
      </c>
      <c r="I2519" s="27" t="s">
        <v>41</v>
      </c>
      <c r="J2519" s="28" t="s">
        <v>913</v>
      </c>
      <c r="K2519" s="27" t="s">
        <v>38</v>
      </c>
      <c r="L2519" s="27"/>
    </row>
    <row r="2520" customFormat="false" ht="15" hidden="false" customHeight="false" outlineLevel="0" collapsed="false">
      <c r="A2520" s="26" t="s">
        <v>9151</v>
      </c>
      <c r="B2520" s="27" t="s">
        <v>9152</v>
      </c>
      <c r="C2520" s="27" t="s">
        <v>144</v>
      </c>
      <c r="D2520" s="26" t="s">
        <v>9153</v>
      </c>
      <c r="E2520" s="27" t="s">
        <v>9154</v>
      </c>
      <c r="F2520" s="28" t="s">
        <v>146</v>
      </c>
      <c r="G2520" s="27" t="s">
        <v>3537</v>
      </c>
      <c r="H2520" s="27" t="s">
        <v>57</v>
      </c>
      <c r="I2520" s="27" t="s">
        <v>41</v>
      </c>
      <c r="J2520" s="28" t="s">
        <v>913</v>
      </c>
      <c r="K2520" s="27" t="s">
        <v>38</v>
      </c>
      <c r="L2520" s="27"/>
    </row>
    <row r="2521" customFormat="false" ht="15" hidden="false" customHeight="false" outlineLevel="0" collapsed="false">
      <c r="A2521" s="26" t="s">
        <v>9155</v>
      </c>
      <c r="B2521" s="27" t="s">
        <v>9156</v>
      </c>
      <c r="C2521" s="27" t="s">
        <v>144</v>
      </c>
      <c r="D2521" s="26" t="s">
        <v>9157</v>
      </c>
      <c r="E2521" s="27" t="s">
        <v>9158</v>
      </c>
      <c r="F2521" s="28" t="s">
        <v>146</v>
      </c>
      <c r="G2521" s="27" t="s">
        <v>3537</v>
      </c>
      <c r="H2521" s="27" t="s">
        <v>57</v>
      </c>
      <c r="I2521" s="27" t="s">
        <v>41</v>
      </c>
      <c r="J2521" s="28" t="s">
        <v>913</v>
      </c>
      <c r="K2521" s="27" t="s">
        <v>38</v>
      </c>
      <c r="L2521" s="27"/>
    </row>
    <row r="2522" customFormat="false" ht="15" hidden="false" customHeight="false" outlineLevel="0" collapsed="false">
      <c r="A2522" s="26" t="s">
        <v>9159</v>
      </c>
      <c r="B2522" s="27" t="s">
        <v>9160</v>
      </c>
      <c r="C2522" s="27" t="s">
        <v>144</v>
      </c>
      <c r="D2522" s="26" t="s">
        <v>9161</v>
      </c>
      <c r="E2522" s="27" t="s">
        <v>9162</v>
      </c>
      <c r="F2522" s="28" t="s">
        <v>146</v>
      </c>
      <c r="G2522" s="27" t="s">
        <v>3537</v>
      </c>
      <c r="H2522" s="27" t="s">
        <v>57</v>
      </c>
      <c r="I2522" s="27" t="s">
        <v>39</v>
      </c>
      <c r="J2522" s="28" t="s">
        <v>913</v>
      </c>
      <c r="K2522" s="27" t="s">
        <v>38</v>
      </c>
      <c r="L2522" s="27"/>
    </row>
    <row r="2523" customFormat="false" ht="15" hidden="false" customHeight="false" outlineLevel="0" collapsed="false">
      <c r="A2523" s="26" t="s">
        <v>9163</v>
      </c>
      <c r="B2523" s="27" t="s">
        <v>9164</v>
      </c>
      <c r="C2523" s="27" t="s">
        <v>144</v>
      </c>
      <c r="D2523" s="26" t="s">
        <v>9165</v>
      </c>
      <c r="E2523" s="27" t="s">
        <v>9166</v>
      </c>
      <c r="F2523" s="28" t="s">
        <v>146</v>
      </c>
      <c r="G2523" s="27" t="s">
        <v>3537</v>
      </c>
      <c r="H2523" s="27" t="s">
        <v>57</v>
      </c>
      <c r="I2523" s="27" t="s">
        <v>39</v>
      </c>
      <c r="J2523" s="28" t="s">
        <v>913</v>
      </c>
      <c r="K2523" s="27" t="s">
        <v>38</v>
      </c>
      <c r="L2523" s="27"/>
    </row>
    <row r="2524" customFormat="false" ht="15" hidden="false" customHeight="false" outlineLevel="0" collapsed="false">
      <c r="A2524" s="26" t="s">
        <v>9167</v>
      </c>
      <c r="B2524" s="27" t="s">
        <v>9168</v>
      </c>
      <c r="C2524" s="27" t="s">
        <v>144</v>
      </c>
      <c r="D2524" s="26" t="s">
        <v>9169</v>
      </c>
      <c r="E2524" s="27" t="s">
        <v>9170</v>
      </c>
      <c r="F2524" s="28" t="s">
        <v>146</v>
      </c>
      <c r="G2524" s="27" t="s">
        <v>3537</v>
      </c>
      <c r="H2524" s="27" t="s">
        <v>57</v>
      </c>
      <c r="I2524" s="27" t="s">
        <v>39</v>
      </c>
      <c r="J2524" s="28" t="s">
        <v>913</v>
      </c>
      <c r="K2524" s="27" t="s">
        <v>38</v>
      </c>
      <c r="L2524" s="27"/>
    </row>
    <row r="2525" customFormat="false" ht="15" hidden="false" customHeight="false" outlineLevel="0" collapsed="false">
      <c r="A2525" s="26" t="s">
        <v>9171</v>
      </c>
      <c r="B2525" s="27" t="s">
        <v>9172</v>
      </c>
      <c r="C2525" s="27" t="s">
        <v>144</v>
      </c>
      <c r="D2525" s="26" t="s">
        <v>9173</v>
      </c>
      <c r="E2525" s="27" t="s">
        <v>9174</v>
      </c>
      <c r="F2525" s="28" t="s">
        <v>146</v>
      </c>
      <c r="G2525" s="27" t="s">
        <v>3537</v>
      </c>
      <c r="H2525" s="27" t="s">
        <v>57</v>
      </c>
      <c r="I2525" s="27" t="s">
        <v>41</v>
      </c>
      <c r="J2525" s="28" t="s">
        <v>913</v>
      </c>
      <c r="K2525" s="27" t="s">
        <v>38</v>
      </c>
      <c r="L2525" s="27"/>
    </row>
    <row r="2526" customFormat="false" ht="15" hidden="false" customHeight="false" outlineLevel="0" collapsed="false">
      <c r="A2526" s="26" t="s">
        <v>9175</v>
      </c>
      <c r="B2526" s="27" t="s">
        <v>9176</v>
      </c>
      <c r="C2526" s="27" t="s">
        <v>1087</v>
      </c>
      <c r="D2526" s="26" t="s">
        <v>9177</v>
      </c>
      <c r="E2526" s="27" t="s">
        <v>9178</v>
      </c>
      <c r="F2526" s="28" t="s">
        <v>1090</v>
      </c>
      <c r="G2526" s="27" t="s">
        <v>3537</v>
      </c>
      <c r="H2526" s="27" t="s">
        <v>57</v>
      </c>
      <c r="I2526" s="27" t="s">
        <v>44</v>
      </c>
      <c r="J2526" s="28" t="s">
        <v>913</v>
      </c>
      <c r="K2526" s="27" t="s">
        <v>38</v>
      </c>
      <c r="L2526" s="27"/>
    </row>
    <row r="2527" customFormat="false" ht="15" hidden="false" customHeight="false" outlineLevel="0" collapsed="false">
      <c r="A2527" s="26" t="s">
        <v>9179</v>
      </c>
      <c r="B2527" s="27" t="s">
        <v>9180</v>
      </c>
      <c r="C2527" s="27" t="s">
        <v>1087</v>
      </c>
      <c r="D2527" s="26" t="s">
        <v>9181</v>
      </c>
      <c r="E2527" s="27" t="s">
        <v>9182</v>
      </c>
      <c r="F2527" s="28" t="s">
        <v>1090</v>
      </c>
      <c r="G2527" s="27" t="s">
        <v>3537</v>
      </c>
      <c r="H2527" s="27" t="s">
        <v>57</v>
      </c>
      <c r="I2527" s="27" t="s">
        <v>44</v>
      </c>
      <c r="J2527" s="28" t="s">
        <v>913</v>
      </c>
      <c r="K2527" s="27" t="s">
        <v>38</v>
      </c>
      <c r="L2527" s="27"/>
    </row>
    <row r="2528" customFormat="false" ht="15" hidden="false" customHeight="false" outlineLevel="0" collapsed="false">
      <c r="A2528" s="26" t="s">
        <v>9183</v>
      </c>
      <c r="B2528" s="27" t="s">
        <v>9184</v>
      </c>
      <c r="C2528" s="27" t="s">
        <v>144</v>
      </c>
      <c r="D2528" s="26" t="s">
        <v>9185</v>
      </c>
      <c r="E2528" s="27" t="s">
        <v>9186</v>
      </c>
      <c r="F2528" s="28" t="s">
        <v>146</v>
      </c>
      <c r="G2528" s="27" t="s">
        <v>3537</v>
      </c>
      <c r="H2528" s="27" t="s">
        <v>57</v>
      </c>
      <c r="I2528" s="27" t="s">
        <v>39</v>
      </c>
      <c r="J2528" s="28" t="s">
        <v>913</v>
      </c>
      <c r="K2528" s="27" t="s">
        <v>38</v>
      </c>
      <c r="L2528" s="27"/>
    </row>
    <row r="2529" customFormat="false" ht="15" hidden="false" customHeight="false" outlineLevel="0" collapsed="false">
      <c r="A2529" s="26" t="s">
        <v>9187</v>
      </c>
      <c r="B2529" s="27" t="s">
        <v>9188</v>
      </c>
      <c r="C2529" s="27" t="s">
        <v>144</v>
      </c>
      <c r="D2529" s="26" t="s">
        <v>9189</v>
      </c>
      <c r="E2529" s="27" t="s">
        <v>9190</v>
      </c>
      <c r="F2529" s="28" t="s">
        <v>146</v>
      </c>
      <c r="G2529" s="27" t="s">
        <v>3537</v>
      </c>
      <c r="H2529" s="27" t="s">
        <v>57</v>
      </c>
      <c r="I2529" s="27" t="s">
        <v>39</v>
      </c>
      <c r="J2529" s="28" t="s">
        <v>913</v>
      </c>
      <c r="K2529" s="27" t="s">
        <v>38</v>
      </c>
      <c r="L2529" s="27"/>
    </row>
    <row r="2530" customFormat="false" ht="15" hidden="false" customHeight="false" outlineLevel="0" collapsed="false">
      <c r="A2530" s="26" t="s">
        <v>9191</v>
      </c>
      <c r="B2530" s="27" t="s">
        <v>9192</v>
      </c>
      <c r="C2530" s="27" t="s">
        <v>144</v>
      </c>
      <c r="D2530" s="26" t="s">
        <v>9193</v>
      </c>
      <c r="E2530" s="27" t="s">
        <v>9194</v>
      </c>
      <c r="F2530" s="28" t="s">
        <v>146</v>
      </c>
      <c r="G2530" s="27" t="s">
        <v>3537</v>
      </c>
      <c r="H2530" s="27" t="s">
        <v>56</v>
      </c>
      <c r="I2530" s="27" t="s">
        <v>39</v>
      </c>
      <c r="J2530" s="28" t="s">
        <v>997</v>
      </c>
      <c r="K2530" s="27" t="s">
        <v>39</v>
      </c>
      <c r="L2530" s="27"/>
    </row>
    <row r="2531" customFormat="false" ht="15" hidden="false" customHeight="false" outlineLevel="0" collapsed="false">
      <c r="A2531" s="26" t="s">
        <v>9195</v>
      </c>
      <c r="B2531" s="27" t="s">
        <v>9196</v>
      </c>
      <c r="C2531" s="27" t="s">
        <v>144</v>
      </c>
      <c r="D2531" s="26" t="s">
        <v>9197</v>
      </c>
      <c r="E2531" s="27" t="s">
        <v>9198</v>
      </c>
      <c r="F2531" s="28" t="s">
        <v>146</v>
      </c>
      <c r="G2531" s="27" t="s">
        <v>3537</v>
      </c>
      <c r="H2531" s="27" t="s">
        <v>57</v>
      </c>
      <c r="I2531" s="27" t="s">
        <v>37</v>
      </c>
      <c r="J2531" s="28" t="s">
        <v>997</v>
      </c>
      <c r="K2531" s="27" t="s">
        <v>39</v>
      </c>
      <c r="L2531" s="27"/>
    </row>
    <row r="2532" customFormat="false" ht="15" hidden="false" customHeight="false" outlineLevel="0" collapsed="false">
      <c r="A2532" s="26" t="s">
        <v>9199</v>
      </c>
      <c r="B2532" s="27" t="s">
        <v>9200</v>
      </c>
      <c r="C2532" s="27" t="s">
        <v>144</v>
      </c>
      <c r="D2532" s="26" t="s">
        <v>9197</v>
      </c>
      <c r="E2532" s="27" t="s">
        <v>9198</v>
      </c>
      <c r="F2532" s="28" t="s">
        <v>146</v>
      </c>
      <c r="G2532" s="27" t="s">
        <v>3537</v>
      </c>
      <c r="H2532" s="27" t="s">
        <v>57</v>
      </c>
      <c r="I2532" s="27" t="s">
        <v>37</v>
      </c>
      <c r="J2532" s="28" t="s">
        <v>997</v>
      </c>
      <c r="K2532" s="27" t="s">
        <v>39</v>
      </c>
      <c r="L2532" s="27"/>
    </row>
    <row r="2533" customFormat="false" ht="15" hidden="false" customHeight="false" outlineLevel="0" collapsed="false">
      <c r="A2533" s="26" t="s">
        <v>9201</v>
      </c>
      <c r="B2533" s="27" t="s">
        <v>9202</v>
      </c>
      <c r="C2533" s="27" t="s">
        <v>144</v>
      </c>
      <c r="D2533" s="26" t="s">
        <v>9197</v>
      </c>
      <c r="E2533" s="27" t="s">
        <v>9198</v>
      </c>
      <c r="F2533" s="28" t="s">
        <v>146</v>
      </c>
      <c r="G2533" s="27" t="s">
        <v>3537</v>
      </c>
      <c r="H2533" s="27" t="s">
        <v>57</v>
      </c>
      <c r="I2533" s="27" t="s">
        <v>37</v>
      </c>
      <c r="J2533" s="28" t="s">
        <v>997</v>
      </c>
      <c r="K2533" s="27" t="s">
        <v>39</v>
      </c>
      <c r="L2533" s="27"/>
    </row>
    <row r="2534" customFormat="false" ht="15" hidden="false" customHeight="false" outlineLevel="0" collapsed="false">
      <c r="A2534" s="26" t="s">
        <v>9203</v>
      </c>
      <c r="B2534" s="27" t="s">
        <v>9204</v>
      </c>
      <c r="C2534" s="27" t="s">
        <v>144</v>
      </c>
      <c r="D2534" s="26" t="s">
        <v>9205</v>
      </c>
      <c r="E2534" s="27" t="s">
        <v>9206</v>
      </c>
      <c r="F2534" s="28" t="s">
        <v>146</v>
      </c>
      <c r="G2534" s="27" t="s">
        <v>3537</v>
      </c>
      <c r="H2534" s="27" t="s">
        <v>56</v>
      </c>
      <c r="I2534" s="27" t="s">
        <v>39</v>
      </c>
      <c r="J2534" s="28" t="s">
        <v>997</v>
      </c>
      <c r="K2534" s="27" t="s">
        <v>39</v>
      </c>
      <c r="L2534" s="27"/>
    </row>
    <row r="2535" customFormat="false" ht="15" hidden="false" customHeight="false" outlineLevel="0" collapsed="false">
      <c r="A2535" s="26" t="s">
        <v>9207</v>
      </c>
      <c r="B2535" s="27" t="s">
        <v>9208</v>
      </c>
      <c r="C2535" s="27" t="s">
        <v>144</v>
      </c>
      <c r="D2535" s="26" t="s">
        <v>9209</v>
      </c>
      <c r="E2535" s="27" t="s">
        <v>9210</v>
      </c>
      <c r="F2535" s="28" t="s">
        <v>146</v>
      </c>
      <c r="G2535" s="27" t="s">
        <v>3537</v>
      </c>
      <c r="H2535" s="27" t="s">
        <v>56</v>
      </c>
      <c r="I2535" s="27" t="s">
        <v>39</v>
      </c>
      <c r="J2535" s="28" t="s">
        <v>997</v>
      </c>
      <c r="K2535" s="27" t="s">
        <v>39</v>
      </c>
      <c r="L2535" s="27"/>
    </row>
    <row r="2536" customFormat="false" ht="15" hidden="false" customHeight="false" outlineLevel="0" collapsed="false">
      <c r="A2536" s="26" t="s">
        <v>9211</v>
      </c>
      <c r="B2536" s="27" t="s">
        <v>9212</v>
      </c>
      <c r="C2536" s="27" t="s">
        <v>144</v>
      </c>
      <c r="D2536" s="26" t="s">
        <v>9213</v>
      </c>
      <c r="E2536" s="27" t="s">
        <v>9214</v>
      </c>
      <c r="F2536" s="28" t="s">
        <v>146</v>
      </c>
      <c r="G2536" s="27" t="s">
        <v>3537</v>
      </c>
      <c r="H2536" s="27" t="s">
        <v>56</v>
      </c>
      <c r="I2536" s="27" t="s">
        <v>39</v>
      </c>
      <c r="J2536" s="28" t="s">
        <v>997</v>
      </c>
      <c r="K2536" s="27" t="s">
        <v>39</v>
      </c>
      <c r="L2536" s="27"/>
    </row>
    <row r="2537" customFormat="false" ht="15" hidden="false" customHeight="false" outlineLevel="0" collapsed="false">
      <c r="A2537" s="26" t="s">
        <v>9215</v>
      </c>
      <c r="B2537" s="27" t="s">
        <v>9216</v>
      </c>
      <c r="C2537" s="27" t="s">
        <v>144</v>
      </c>
      <c r="D2537" s="26" t="s">
        <v>9217</v>
      </c>
      <c r="E2537" s="27" t="s">
        <v>9218</v>
      </c>
      <c r="F2537" s="28" t="s">
        <v>146</v>
      </c>
      <c r="G2537" s="27" t="s">
        <v>3537</v>
      </c>
      <c r="H2537" s="27" t="s">
        <v>56</v>
      </c>
      <c r="I2537" s="27" t="s">
        <v>39</v>
      </c>
      <c r="J2537" s="28" t="s">
        <v>997</v>
      </c>
      <c r="K2537" s="27" t="s">
        <v>39</v>
      </c>
      <c r="L2537" s="27"/>
    </row>
    <row r="2538" customFormat="false" ht="15" hidden="false" customHeight="false" outlineLevel="0" collapsed="false">
      <c r="A2538" s="26" t="s">
        <v>9219</v>
      </c>
      <c r="B2538" s="27" t="s">
        <v>9220</v>
      </c>
      <c r="C2538" s="27" t="s">
        <v>144</v>
      </c>
      <c r="D2538" s="26" t="s">
        <v>9221</v>
      </c>
      <c r="E2538" s="27" t="s">
        <v>9222</v>
      </c>
      <c r="F2538" s="28" t="s">
        <v>146</v>
      </c>
      <c r="G2538" s="27" t="s">
        <v>3537</v>
      </c>
      <c r="H2538" s="27" t="s">
        <v>56</v>
      </c>
      <c r="I2538" s="27" t="s">
        <v>39</v>
      </c>
      <c r="J2538" s="28" t="s">
        <v>997</v>
      </c>
      <c r="K2538" s="27" t="s">
        <v>39</v>
      </c>
      <c r="L2538" s="27"/>
    </row>
    <row r="2539" customFormat="false" ht="15" hidden="false" customHeight="false" outlineLevel="0" collapsed="false">
      <c r="A2539" s="26" t="s">
        <v>9223</v>
      </c>
      <c r="B2539" s="27" t="s">
        <v>9224</v>
      </c>
      <c r="C2539" s="27" t="s">
        <v>144</v>
      </c>
      <c r="D2539" s="26" t="s">
        <v>9225</v>
      </c>
      <c r="E2539" s="27" t="s">
        <v>9226</v>
      </c>
      <c r="F2539" s="28" t="s">
        <v>146</v>
      </c>
      <c r="G2539" s="27" t="s">
        <v>3537</v>
      </c>
      <c r="H2539" s="27" t="s">
        <v>56</v>
      </c>
      <c r="I2539" s="27" t="s">
        <v>39</v>
      </c>
      <c r="J2539" s="28" t="s">
        <v>997</v>
      </c>
      <c r="K2539" s="27" t="s">
        <v>39</v>
      </c>
      <c r="L2539" s="27"/>
    </row>
    <row r="2540" customFormat="false" ht="15" hidden="false" customHeight="false" outlineLevel="0" collapsed="false">
      <c r="A2540" s="26" t="s">
        <v>9227</v>
      </c>
      <c r="B2540" s="27" t="s">
        <v>9228</v>
      </c>
      <c r="C2540" s="27" t="s">
        <v>144</v>
      </c>
      <c r="D2540" s="26" t="s">
        <v>9229</v>
      </c>
      <c r="E2540" s="27" t="s">
        <v>9230</v>
      </c>
      <c r="F2540" s="28" t="s">
        <v>146</v>
      </c>
      <c r="G2540" s="27" t="s">
        <v>3537</v>
      </c>
      <c r="H2540" s="27" t="s">
        <v>56</v>
      </c>
      <c r="I2540" s="27" t="s">
        <v>39</v>
      </c>
      <c r="J2540" s="28" t="s">
        <v>997</v>
      </c>
      <c r="K2540" s="27" t="s">
        <v>39</v>
      </c>
      <c r="L2540" s="27"/>
    </row>
    <row r="2541" customFormat="false" ht="15" hidden="false" customHeight="false" outlineLevel="0" collapsed="false">
      <c r="A2541" s="26" t="s">
        <v>9231</v>
      </c>
      <c r="B2541" s="27" t="s">
        <v>9232</v>
      </c>
      <c r="C2541" s="27" t="s">
        <v>144</v>
      </c>
      <c r="D2541" s="26" t="s">
        <v>9233</v>
      </c>
      <c r="E2541" s="27" t="s">
        <v>9234</v>
      </c>
      <c r="F2541" s="28" t="s">
        <v>146</v>
      </c>
      <c r="G2541" s="27" t="s">
        <v>3537</v>
      </c>
      <c r="H2541" s="27" t="s">
        <v>56</v>
      </c>
      <c r="I2541" s="27" t="s">
        <v>39</v>
      </c>
      <c r="J2541" s="28" t="s">
        <v>997</v>
      </c>
      <c r="K2541" s="27" t="s">
        <v>39</v>
      </c>
      <c r="L2541" s="27"/>
    </row>
    <row r="2542" customFormat="false" ht="15" hidden="false" customHeight="false" outlineLevel="0" collapsed="false">
      <c r="A2542" s="26" t="s">
        <v>9235</v>
      </c>
      <c r="B2542" s="27" t="s">
        <v>9236</v>
      </c>
      <c r="C2542" s="27" t="s">
        <v>144</v>
      </c>
      <c r="D2542" s="26" t="s">
        <v>9237</v>
      </c>
      <c r="E2542" s="27" t="s">
        <v>9238</v>
      </c>
      <c r="F2542" s="28" t="s">
        <v>146</v>
      </c>
      <c r="G2542" s="27" t="s">
        <v>3537</v>
      </c>
      <c r="H2542" s="27" t="s">
        <v>56</v>
      </c>
      <c r="I2542" s="27" t="s">
        <v>39</v>
      </c>
      <c r="J2542" s="28" t="s">
        <v>997</v>
      </c>
      <c r="K2542" s="27" t="s">
        <v>39</v>
      </c>
      <c r="L2542" s="27"/>
    </row>
    <row r="2543" customFormat="false" ht="15" hidden="false" customHeight="false" outlineLevel="0" collapsed="false">
      <c r="A2543" s="26" t="s">
        <v>9239</v>
      </c>
      <c r="B2543" s="27" t="s">
        <v>9240</v>
      </c>
      <c r="C2543" s="27" t="s">
        <v>144</v>
      </c>
      <c r="D2543" s="26" t="s">
        <v>9221</v>
      </c>
      <c r="E2543" s="27" t="s">
        <v>9222</v>
      </c>
      <c r="F2543" s="28" t="s">
        <v>146</v>
      </c>
      <c r="G2543" s="27" t="s">
        <v>3537</v>
      </c>
      <c r="H2543" s="27" t="s">
        <v>56</v>
      </c>
      <c r="I2543" s="27" t="s">
        <v>39</v>
      </c>
      <c r="J2543" s="28" t="s">
        <v>997</v>
      </c>
      <c r="K2543" s="27" t="s">
        <v>39</v>
      </c>
      <c r="L2543" s="27"/>
    </row>
    <row r="2544" customFormat="false" ht="15" hidden="false" customHeight="false" outlineLevel="0" collapsed="false">
      <c r="A2544" s="26" t="s">
        <v>9241</v>
      </c>
      <c r="B2544" s="27" t="s">
        <v>9242</v>
      </c>
      <c r="C2544" s="27" t="s">
        <v>144</v>
      </c>
      <c r="D2544" s="26" t="s">
        <v>9243</v>
      </c>
      <c r="E2544" s="27" t="s">
        <v>9244</v>
      </c>
      <c r="F2544" s="28" t="s">
        <v>146</v>
      </c>
      <c r="G2544" s="27" t="s">
        <v>3537</v>
      </c>
      <c r="H2544" s="27" t="s">
        <v>56</v>
      </c>
      <c r="I2544" s="27" t="s">
        <v>39</v>
      </c>
      <c r="J2544" s="28" t="s">
        <v>997</v>
      </c>
      <c r="K2544" s="27" t="s">
        <v>39</v>
      </c>
      <c r="L2544" s="27"/>
    </row>
    <row r="2545" customFormat="false" ht="15" hidden="false" customHeight="false" outlineLevel="0" collapsed="false">
      <c r="A2545" s="26" t="s">
        <v>9245</v>
      </c>
      <c r="B2545" s="27" t="s">
        <v>9246</v>
      </c>
      <c r="C2545" s="27" t="s">
        <v>144</v>
      </c>
      <c r="D2545" s="26" t="s">
        <v>9247</v>
      </c>
      <c r="E2545" s="27" t="s">
        <v>9248</v>
      </c>
      <c r="F2545" s="28" t="s">
        <v>146</v>
      </c>
      <c r="G2545" s="27" t="s">
        <v>3537</v>
      </c>
      <c r="H2545" s="27" t="s">
        <v>56</v>
      </c>
      <c r="I2545" s="27" t="s">
        <v>39</v>
      </c>
      <c r="J2545" s="28" t="s">
        <v>997</v>
      </c>
      <c r="K2545" s="27" t="s">
        <v>39</v>
      </c>
      <c r="L2545" s="27"/>
    </row>
    <row r="2546" customFormat="false" ht="15" hidden="false" customHeight="false" outlineLevel="0" collapsed="false">
      <c r="A2546" s="26" t="s">
        <v>9249</v>
      </c>
      <c r="B2546" s="27" t="s">
        <v>9250</v>
      </c>
      <c r="C2546" s="27" t="s">
        <v>144</v>
      </c>
      <c r="D2546" s="26" t="s">
        <v>9251</v>
      </c>
      <c r="E2546" s="27" t="s">
        <v>9252</v>
      </c>
      <c r="F2546" s="28" t="s">
        <v>146</v>
      </c>
      <c r="G2546" s="27" t="s">
        <v>3537</v>
      </c>
      <c r="H2546" s="27" t="s">
        <v>56</v>
      </c>
      <c r="I2546" s="27" t="s">
        <v>39</v>
      </c>
      <c r="J2546" s="28" t="s">
        <v>997</v>
      </c>
      <c r="K2546" s="27" t="s">
        <v>39</v>
      </c>
      <c r="L2546" s="27"/>
    </row>
    <row r="2547" customFormat="false" ht="15" hidden="false" customHeight="false" outlineLevel="0" collapsed="false">
      <c r="A2547" s="26" t="s">
        <v>9253</v>
      </c>
      <c r="B2547" s="27" t="s">
        <v>9254</v>
      </c>
      <c r="C2547" s="27" t="s">
        <v>144</v>
      </c>
      <c r="D2547" s="26" t="s">
        <v>9255</v>
      </c>
      <c r="E2547" s="27" t="s">
        <v>9256</v>
      </c>
      <c r="F2547" s="28" t="s">
        <v>146</v>
      </c>
      <c r="G2547" s="27" t="s">
        <v>3537</v>
      </c>
      <c r="H2547" s="27" t="s">
        <v>56</v>
      </c>
      <c r="I2547" s="27" t="s">
        <v>39</v>
      </c>
      <c r="J2547" s="28" t="s">
        <v>997</v>
      </c>
      <c r="K2547" s="27" t="s">
        <v>39</v>
      </c>
      <c r="L2547" s="27"/>
    </row>
    <row r="2548" customFormat="false" ht="15" hidden="false" customHeight="false" outlineLevel="0" collapsed="false">
      <c r="A2548" s="26" t="s">
        <v>9257</v>
      </c>
      <c r="B2548" s="27" t="s">
        <v>9258</v>
      </c>
      <c r="C2548" s="27" t="s">
        <v>144</v>
      </c>
      <c r="D2548" s="26" t="s">
        <v>9259</v>
      </c>
      <c r="E2548" s="27" t="s">
        <v>9260</v>
      </c>
      <c r="F2548" s="28" t="s">
        <v>146</v>
      </c>
      <c r="G2548" s="27" t="s">
        <v>3537</v>
      </c>
      <c r="H2548" s="27" t="s">
        <v>56</v>
      </c>
      <c r="I2548" s="27" t="s">
        <v>39</v>
      </c>
      <c r="J2548" s="28" t="s">
        <v>997</v>
      </c>
      <c r="K2548" s="27" t="s">
        <v>39</v>
      </c>
      <c r="L2548" s="27"/>
    </row>
    <row r="2549" customFormat="false" ht="15" hidden="false" customHeight="false" outlineLevel="0" collapsed="false">
      <c r="A2549" s="26" t="s">
        <v>9261</v>
      </c>
      <c r="B2549" s="27" t="s">
        <v>9262</v>
      </c>
      <c r="C2549" s="27" t="s">
        <v>144</v>
      </c>
      <c r="D2549" s="26" t="s">
        <v>9263</v>
      </c>
      <c r="E2549" s="27" t="s">
        <v>9264</v>
      </c>
      <c r="F2549" s="28" t="s">
        <v>146</v>
      </c>
      <c r="G2549" s="27" t="s">
        <v>3537</v>
      </c>
      <c r="H2549" s="27" t="s">
        <v>56</v>
      </c>
      <c r="I2549" s="27" t="s">
        <v>39</v>
      </c>
      <c r="J2549" s="28" t="s">
        <v>997</v>
      </c>
      <c r="K2549" s="27" t="s">
        <v>39</v>
      </c>
      <c r="L2549" s="27"/>
    </row>
    <row r="2550" customFormat="false" ht="15" hidden="false" customHeight="false" outlineLevel="0" collapsed="false">
      <c r="A2550" s="26" t="s">
        <v>9265</v>
      </c>
      <c r="B2550" s="27" t="s">
        <v>9266</v>
      </c>
      <c r="C2550" s="27" t="s">
        <v>144</v>
      </c>
      <c r="D2550" s="26" t="s">
        <v>9267</v>
      </c>
      <c r="E2550" s="27" t="s">
        <v>9268</v>
      </c>
      <c r="F2550" s="28" t="s">
        <v>146</v>
      </c>
      <c r="G2550" s="27" t="s">
        <v>3537</v>
      </c>
      <c r="H2550" s="27" t="s">
        <v>56</v>
      </c>
      <c r="I2550" s="27" t="s">
        <v>39</v>
      </c>
      <c r="J2550" s="28" t="s">
        <v>997</v>
      </c>
      <c r="K2550" s="27" t="s">
        <v>39</v>
      </c>
      <c r="L2550" s="27"/>
    </row>
    <row r="2551" customFormat="false" ht="15" hidden="false" customHeight="false" outlineLevel="0" collapsed="false">
      <c r="A2551" s="26" t="s">
        <v>9269</v>
      </c>
      <c r="B2551" s="27" t="s">
        <v>9270</v>
      </c>
      <c r="C2551" s="27" t="s">
        <v>144</v>
      </c>
      <c r="D2551" s="26" t="s">
        <v>9271</v>
      </c>
      <c r="E2551" s="27" t="s">
        <v>9272</v>
      </c>
      <c r="F2551" s="28" t="s">
        <v>146</v>
      </c>
      <c r="G2551" s="27" t="s">
        <v>3537</v>
      </c>
      <c r="H2551" s="27" t="s">
        <v>56</v>
      </c>
      <c r="I2551" s="27" t="s">
        <v>39</v>
      </c>
      <c r="J2551" s="28" t="s">
        <v>997</v>
      </c>
      <c r="K2551" s="27" t="s">
        <v>39</v>
      </c>
      <c r="L2551" s="27"/>
    </row>
    <row r="2552" customFormat="false" ht="15" hidden="false" customHeight="false" outlineLevel="0" collapsed="false">
      <c r="A2552" s="26" t="s">
        <v>9273</v>
      </c>
      <c r="B2552" s="27" t="s">
        <v>9274</v>
      </c>
      <c r="C2552" s="27" t="s">
        <v>144</v>
      </c>
      <c r="D2552" s="26" t="s">
        <v>9275</v>
      </c>
      <c r="E2552" s="27" t="s">
        <v>9276</v>
      </c>
      <c r="F2552" s="28" t="s">
        <v>146</v>
      </c>
      <c r="G2552" s="27" t="s">
        <v>3537</v>
      </c>
      <c r="H2552" s="27" t="s">
        <v>56</v>
      </c>
      <c r="I2552" s="27" t="s">
        <v>39</v>
      </c>
      <c r="J2552" s="28" t="s">
        <v>997</v>
      </c>
      <c r="K2552" s="27" t="s">
        <v>39</v>
      </c>
      <c r="L2552" s="27"/>
    </row>
    <row r="2553" customFormat="false" ht="15" hidden="false" customHeight="false" outlineLevel="0" collapsed="false">
      <c r="A2553" s="26" t="s">
        <v>9277</v>
      </c>
      <c r="B2553" s="27" t="s">
        <v>9278</v>
      </c>
      <c r="C2553" s="27" t="s">
        <v>144</v>
      </c>
      <c r="D2553" s="26" t="s">
        <v>9279</v>
      </c>
      <c r="E2553" s="27" t="s">
        <v>9280</v>
      </c>
      <c r="F2553" s="28" t="s">
        <v>146</v>
      </c>
      <c r="G2553" s="27" t="s">
        <v>3537</v>
      </c>
      <c r="H2553" s="27" t="s">
        <v>56</v>
      </c>
      <c r="I2553" s="27" t="s">
        <v>39</v>
      </c>
      <c r="J2553" s="28" t="s">
        <v>997</v>
      </c>
      <c r="K2553" s="27" t="s">
        <v>39</v>
      </c>
      <c r="L2553" s="27"/>
    </row>
    <row r="2554" customFormat="false" ht="15" hidden="false" customHeight="false" outlineLevel="0" collapsed="false">
      <c r="A2554" s="26" t="s">
        <v>9281</v>
      </c>
      <c r="B2554" s="27" t="s">
        <v>9282</v>
      </c>
      <c r="C2554" s="27" t="s">
        <v>144</v>
      </c>
      <c r="D2554" s="26" t="s">
        <v>9283</v>
      </c>
      <c r="E2554" s="27" t="s">
        <v>9284</v>
      </c>
      <c r="F2554" s="28" t="s">
        <v>146</v>
      </c>
      <c r="G2554" s="27" t="s">
        <v>3537</v>
      </c>
      <c r="H2554" s="27" t="s">
        <v>56</v>
      </c>
      <c r="I2554" s="27" t="s">
        <v>39</v>
      </c>
      <c r="J2554" s="28" t="s">
        <v>997</v>
      </c>
      <c r="K2554" s="27" t="s">
        <v>39</v>
      </c>
      <c r="L2554" s="27"/>
    </row>
    <row r="2555" customFormat="false" ht="15" hidden="false" customHeight="false" outlineLevel="0" collapsed="false">
      <c r="A2555" s="26" t="s">
        <v>9285</v>
      </c>
      <c r="B2555" s="27" t="s">
        <v>9286</v>
      </c>
      <c r="C2555" s="27" t="s">
        <v>144</v>
      </c>
      <c r="D2555" s="26" t="s">
        <v>9287</v>
      </c>
      <c r="E2555" s="27" t="s">
        <v>9288</v>
      </c>
      <c r="F2555" s="28" t="s">
        <v>146</v>
      </c>
      <c r="G2555" s="27" t="s">
        <v>3537</v>
      </c>
      <c r="H2555" s="27" t="s">
        <v>56</v>
      </c>
      <c r="I2555" s="27" t="s">
        <v>39</v>
      </c>
      <c r="J2555" s="28" t="s">
        <v>997</v>
      </c>
      <c r="K2555" s="27" t="s">
        <v>39</v>
      </c>
      <c r="L2555" s="27"/>
    </row>
    <row r="2556" customFormat="false" ht="15" hidden="false" customHeight="false" outlineLevel="0" collapsed="false">
      <c r="A2556" s="26" t="s">
        <v>9289</v>
      </c>
      <c r="B2556" s="27" t="s">
        <v>9290</v>
      </c>
      <c r="C2556" s="27" t="s">
        <v>144</v>
      </c>
      <c r="D2556" s="26" t="s">
        <v>9291</v>
      </c>
      <c r="E2556" s="27" t="s">
        <v>9292</v>
      </c>
      <c r="F2556" s="28" t="s">
        <v>146</v>
      </c>
      <c r="G2556" s="27" t="s">
        <v>3537</v>
      </c>
      <c r="H2556" s="27" t="s">
        <v>56</v>
      </c>
      <c r="I2556" s="27" t="s">
        <v>39</v>
      </c>
      <c r="J2556" s="28" t="s">
        <v>997</v>
      </c>
      <c r="K2556" s="27" t="s">
        <v>39</v>
      </c>
      <c r="L2556" s="27"/>
    </row>
    <row r="2557" customFormat="false" ht="15" hidden="false" customHeight="false" outlineLevel="0" collapsed="false">
      <c r="A2557" s="26" t="s">
        <v>9293</v>
      </c>
      <c r="B2557" s="27" t="s">
        <v>9294</v>
      </c>
      <c r="C2557" s="27" t="s">
        <v>144</v>
      </c>
      <c r="D2557" s="26" t="s">
        <v>9295</v>
      </c>
      <c r="E2557" s="27" t="s">
        <v>9296</v>
      </c>
      <c r="F2557" s="28" t="s">
        <v>146</v>
      </c>
      <c r="G2557" s="27" t="s">
        <v>3537</v>
      </c>
      <c r="H2557" s="27" t="s">
        <v>56</v>
      </c>
      <c r="I2557" s="27" t="s">
        <v>39</v>
      </c>
      <c r="J2557" s="28" t="s">
        <v>997</v>
      </c>
      <c r="K2557" s="27" t="s">
        <v>39</v>
      </c>
      <c r="L2557" s="27"/>
    </row>
    <row r="2558" customFormat="false" ht="15" hidden="false" customHeight="false" outlineLevel="0" collapsed="false">
      <c r="A2558" s="26" t="s">
        <v>9297</v>
      </c>
      <c r="B2558" s="27" t="s">
        <v>9298</v>
      </c>
      <c r="C2558" s="27" t="s">
        <v>144</v>
      </c>
      <c r="D2558" s="26" t="s">
        <v>9299</v>
      </c>
      <c r="E2558" s="27" t="s">
        <v>9300</v>
      </c>
      <c r="F2558" s="28" t="s">
        <v>146</v>
      </c>
      <c r="G2558" s="27" t="s">
        <v>3537</v>
      </c>
      <c r="H2558" s="27" t="s">
        <v>56</v>
      </c>
      <c r="I2558" s="27" t="s">
        <v>39</v>
      </c>
      <c r="J2558" s="28" t="s">
        <v>997</v>
      </c>
      <c r="K2558" s="27" t="s">
        <v>39</v>
      </c>
      <c r="L2558" s="27"/>
    </row>
    <row r="2559" customFormat="false" ht="15" hidden="false" customHeight="false" outlineLevel="0" collapsed="false">
      <c r="A2559" s="26" t="s">
        <v>9301</v>
      </c>
      <c r="B2559" s="27" t="s">
        <v>9302</v>
      </c>
      <c r="C2559" s="27" t="s">
        <v>144</v>
      </c>
      <c r="D2559" s="26" t="s">
        <v>9303</v>
      </c>
      <c r="E2559" s="27" t="s">
        <v>9304</v>
      </c>
      <c r="F2559" s="28" t="s">
        <v>146</v>
      </c>
      <c r="G2559" s="27" t="s">
        <v>3537</v>
      </c>
      <c r="H2559" s="27" t="s">
        <v>56</v>
      </c>
      <c r="I2559" s="27" t="s">
        <v>39</v>
      </c>
      <c r="J2559" s="28" t="s">
        <v>997</v>
      </c>
      <c r="K2559" s="27" t="s">
        <v>39</v>
      </c>
      <c r="L2559" s="27"/>
    </row>
    <row r="2560" customFormat="false" ht="15" hidden="false" customHeight="false" outlineLevel="0" collapsed="false">
      <c r="A2560" s="26" t="s">
        <v>9305</v>
      </c>
      <c r="B2560" s="27" t="s">
        <v>9306</v>
      </c>
      <c r="C2560" s="27" t="s">
        <v>144</v>
      </c>
      <c r="D2560" s="26" t="s">
        <v>9307</v>
      </c>
      <c r="E2560" s="27" t="s">
        <v>9308</v>
      </c>
      <c r="F2560" s="28" t="s">
        <v>146</v>
      </c>
      <c r="G2560" s="27" t="s">
        <v>3537</v>
      </c>
      <c r="H2560" s="27" t="s">
        <v>56</v>
      </c>
      <c r="I2560" s="27" t="s">
        <v>39</v>
      </c>
      <c r="J2560" s="28" t="s">
        <v>997</v>
      </c>
      <c r="K2560" s="27" t="s">
        <v>39</v>
      </c>
      <c r="L2560" s="27"/>
    </row>
    <row r="2561" customFormat="false" ht="15" hidden="false" customHeight="false" outlineLevel="0" collapsed="false">
      <c r="A2561" s="26" t="s">
        <v>9309</v>
      </c>
      <c r="B2561" s="27" t="s">
        <v>9310</v>
      </c>
      <c r="C2561" s="27" t="s">
        <v>144</v>
      </c>
      <c r="D2561" s="26" t="s">
        <v>1205</v>
      </c>
      <c r="E2561" s="27" t="s">
        <v>1206</v>
      </c>
      <c r="F2561" s="28" t="s">
        <v>146</v>
      </c>
      <c r="G2561" s="27" t="s">
        <v>3537</v>
      </c>
      <c r="H2561" s="27" t="s">
        <v>56</v>
      </c>
      <c r="I2561" s="27" t="s">
        <v>39</v>
      </c>
      <c r="J2561" s="28" t="s">
        <v>997</v>
      </c>
      <c r="K2561" s="27" t="s">
        <v>39</v>
      </c>
      <c r="L2561" s="27"/>
    </row>
    <row r="2562" customFormat="false" ht="15" hidden="false" customHeight="false" outlineLevel="0" collapsed="false">
      <c r="A2562" s="26" t="s">
        <v>9311</v>
      </c>
      <c r="B2562" s="27" t="s">
        <v>9312</v>
      </c>
      <c r="C2562" s="27" t="s">
        <v>144</v>
      </c>
      <c r="D2562" s="26" t="s">
        <v>9313</v>
      </c>
      <c r="E2562" s="27" t="s">
        <v>9314</v>
      </c>
      <c r="F2562" s="28" t="s">
        <v>146</v>
      </c>
      <c r="G2562" s="27" t="s">
        <v>3537</v>
      </c>
      <c r="H2562" s="27" t="s">
        <v>56</v>
      </c>
      <c r="I2562" s="27" t="s">
        <v>39</v>
      </c>
      <c r="J2562" s="28" t="s">
        <v>997</v>
      </c>
      <c r="K2562" s="27" t="s">
        <v>39</v>
      </c>
      <c r="L2562" s="27"/>
    </row>
    <row r="2563" customFormat="false" ht="15" hidden="false" customHeight="false" outlineLevel="0" collapsed="false">
      <c r="A2563" s="26" t="s">
        <v>9315</v>
      </c>
      <c r="B2563" s="27" t="s">
        <v>9316</v>
      </c>
      <c r="C2563" s="27" t="s">
        <v>144</v>
      </c>
      <c r="D2563" s="26" t="s">
        <v>9317</v>
      </c>
      <c r="E2563" s="27" t="s">
        <v>9318</v>
      </c>
      <c r="F2563" s="28" t="s">
        <v>146</v>
      </c>
      <c r="G2563" s="27" t="s">
        <v>3537</v>
      </c>
      <c r="H2563" s="27" t="s">
        <v>56</v>
      </c>
      <c r="I2563" s="27" t="s">
        <v>39</v>
      </c>
      <c r="J2563" s="28" t="s">
        <v>997</v>
      </c>
      <c r="K2563" s="27" t="s">
        <v>39</v>
      </c>
      <c r="L2563" s="27"/>
    </row>
    <row r="2564" customFormat="false" ht="15" hidden="false" customHeight="false" outlineLevel="0" collapsed="false">
      <c r="A2564" s="26" t="s">
        <v>9319</v>
      </c>
      <c r="B2564" s="27" t="s">
        <v>9320</v>
      </c>
      <c r="C2564" s="27" t="s">
        <v>144</v>
      </c>
      <c r="D2564" s="26" t="s">
        <v>1140</v>
      </c>
      <c r="E2564" s="27" t="s">
        <v>1141</v>
      </c>
      <c r="F2564" s="28" t="s">
        <v>146</v>
      </c>
      <c r="G2564" s="27" t="s">
        <v>3537</v>
      </c>
      <c r="H2564" s="27" t="s">
        <v>56</v>
      </c>
      <c r="I2564" s="27" t="s">
        <v>39</v>
      </c>
      <c r="J2564" s="28" t="s">
        <v>997</v>
      </c>
      <c r="K2564" s="27" t="s">
        <v>39</v>
      </c>
      <c r="L2564" s="27"/>
    </row>
    <row r="2565" customFormat="false" ht="15" hidden="false" customHeight="false" outlineLevel="0" collapsed="false">
      <c r="A2565" s="26" t="s">
        <v>9321</v>
      </c>
      <c r="B2565" s="27" t="s">
        <v>9322</v>
      </c>
      <c r="C2565" s="27" t="s">
        <v>144</v>
      </c>
      <c r="D2565" s="26" t="s">
        <v>1205</v>
      </c>
      <c r="E2565" s="27" t="s">
        <v>1206</v>
      </c>
      <c r="F2565" s="28" t="s">
        <v>146</v>
      </c>
      <c r="G2565" s="27" t="s">
        <v>3537</v>
      </c>
      <c r="H2565" s="27" t="s">
        <v>56</v>
      </c>
      <c r="I2565" s="27" t="s">
        <v>39</v>
      </c>
      <c r="J2565" s="28" t="s">
        <v>997</v>
      </c>
      <c r="K2565" s="27" t="s">
        <v>39</v>
      </c>
      <c r="L2565" s="27"/>
    </row>
    <row r="2566" customFormat="false" ht="15" hidden="false" customHeight="false" outlineLevel="0" collapsed="false">
      <c r="A2566" s="26" t="s">
        <v>9323</v>
      </c>
      <c r="B2566" s="27" t="s">
        <v>9324</v>
      </c>
      <c r="C2566" s="27" t="s">
        <v>144</v>
      </c>
      <c r="D2566" s="26" t="s">
        <v>9313</v>
      </c>
      <c r="E2566" s="27" t="s">
        <v>9314</v>
      </c>
      <c r="F2566" s="28" t="s">
        <v>146</v>
      </c>
      <c r="G2566" s="27" t="s">
        <v>3537</v>
      </c>
      <c r="H2566" s="27" t="s">
        <v>56</v>
      </c>
      <c r="I2566" s="27" t="s">
        <v>39</v>
      </c>
      <c r="J2566" s="28" t="s">
        <v>997</v>
      </c>
      <c r="K2566" s="27" t="s">
        <v>39</v>
      </c>
      <c r="L2566" s="27"/>
    </row>
    <row r="2567" customFormat="false" ht="15" hidden="false" customHeight="false" outlineLevel="0" collapsed="false">
      <c r="A2567" s="26" t="s">
        <v>9325</v>
      </c>
      <c r="B2567" s="27" t="s">
        <v>9326</v>
      </c>
      <c r="C2567" s="27" t="s">
        <v>144</v>
      </c>
      <c r="D2567" s="26" t="s">
        <v>9327</v>
      </c>
      <c r="E2567" s="27" t="s">
        <v>9328</v>
      </c>
      <c r="F2567" s="28" t="s">
        <v>146</v>
      </c>
      <c r="G2567" s="27" t="s">
        <v>3537</v>
      </c>
      <c r="H2567" s="27" t="s">
        <v>56</v>
      </c>
      <c r="I2567" s="27" t="s">
        <v>39</v>
      </c>
      <c r="J2567" s="28" t="s">
        <v>997</v>
      </c>
      <c r="K2567" s="27" t="s">
        <v>39</v>
      </c>
      <c r="L2567" s="27"/>
    </row>
    <row r="2568" customFormat="false" ht="15" hidden="false" customHeight="false" outlineLevel="0" collapsed="false">
      <c r="A2568" s="26" t="s">
        <v>9329</v>
      </c>
      <c r="B2568" s="27" t="s">
        <v>9330</v>
      </c>
      <c r="C2568" s="27" t="s">
        <v>144</v>
      </c>
      <c r="D2568" s="26" t="s">
        <v>1140</v>
      </c>
      <c r="E2568" s="27" t="s">
        <v>1141</v>
      </c>
      <c r="F2568" s="28" t="s">
        <v>146</v>
      </c>
      <c r="G2568" s="27" t="s">
        <v>3537</v>
      </c>
      <c r="H2568" s="27" t="s">
        <v>56</v>
      </c>
      <c r="I2568" s="27" t="s">
        <v>39</v>
      </c>
      <c r="J2568" s="28" t="s">
        <v>997</v>
      </c>
      <c r="K2568" s="27" t="s">
        <v>39</v>
      </c>
      <c r="L2568" s="27"/>
    </row>
    <row r="2569" customFormat="false" ht="15" hidden="false" customHeight="false" outlineLevel="0" collapsed="false">
      <c r="A2569" s="26" t="s">
        <v>9331</v>
      </c>
      <c r="B2569" s="27" t="s">
        <v>9332</v>
      </c>
      <c r="C2569" s="27" t="s">
        <v>144</v>
      </c>
      <c r="D2569" s="26" t="s">
        <v>9333</v>
      </c>
      <c r="E2569" s="27" t="s">
        <v>9334</v>
      </c>
      <c r="F2569" s="28" t="s">
        <v>146</v>
      </c>
      <c r="G2569" s="27" t="s">
        <v>3537</v>
      </c>
      <c r="H2569" s="27" t="s">
        <v>56</v>
      </c>
      <c r="I2569" s="27" t="s">
        <v>39</v>
      </c>
      <c r="J2569" s="28" t="s">
        <v>997</v>
      </c>
      <c r="K2569" s="27" t="s">
        <v>39</v>
      </c>
      <c r="L2569" s="27"/>
    </row>
    <row r="2570" customFormat="false" ht="15" hidden="false" customHeight="false" outlineLevel="0" collapsed="false">
      <c r="A2570" s="26" t="s">
        <v>9335</v>
      </c>
      <c r="B2570" s="27" t="s">
        <v>9336</v>
      </c>
      <c r="C2570" s="27" t="s">
        <v>144</v>
      </c>
      <c r="D2570" s="26" t="s">
        <v>1014</v>
      </c>
      <c r="E2570" s="27" t="s">
        <v>1013</v>
      </c>
      <c r="F2570" s="28" t="s">
        <v>146</v>
      </c>
      <c r="G2570" s="27" t="s">
        <v>3537</v>
      </c>
      <c r="H2570" s="27" t="s">
        <v>56</v>
      </c>
      <c r="I2570" s="27" t="s">
        <v>39</v>
      </c>
      <c r="J2570" s="28" t="s">
        <v>997</v>
      </c>
      <c r="K2570" s="27" t="s">
        <v>39</v>
      </c>
      <c r="L2570" s="27"/>
    </row>
    <row r="2571" customFormat="false" ht="15" hidden="false" customHeight="false" outlineLevel="0" collapsed="false">
      <c r="A2571" s="26" t="s">
        <v>9337</v>
      </c>
      <c r="B2571" s="27" t="s">
        <v>9338</v>
      </c>
      <c r="C2571" s="27" t="s">
        <v>144</v>
      </c>
      <c r="D2571" s="26" t="s">
        <v>1205</v>
      </c>
      <c r="E2571" s="27" t="s">
        <v>1206</v>
      </c>
      <c r="F2571" s="28" t="s">
        <v>146</v>
      </c>
      <c r="G2571" s="27" t="s">
        <v>3537</v>
      </c>
      <c r="H2571" s="27" t="s">
        <v>56</v>
      </c>
      <c r="I2571" s="27" t="s">
        <v>39</v>
      </c>
      <c r="J2571" s="28" t="s">
        <v>997</v>
      </c>
      <c r="K2571" s="27" t="s">
        <v>39</v>
      </c>
      <c r="L2571" s="27"/>
    </row>
    <row r="2572" customFormat="false" ht="15" hidden="false" customHeight="false" outlineLevel="0" collapsed="false">
      <c r="A2572" s="26" t="s">
        <v>9339</v>
      </c>
      <c r="B2572" s="27" t="s">
        <v>9340</v>
      </c>
      <c r="C2572" s="27" t="s">
        <v>144</v>
      </c>
      <c r="D2572" s="26" t="s">
        <v>9341</v>
      </c>
      <c r="E2572" s="27" t="s">
        <v>9342</v>
      </c>
      <c r="F2572" s="28" t="s">
        <v>146</v>
      </c>
      <c r="G2572" s="27" t="s">
        <v>3537</v>
      </c>
      <c r="H2572" s="27" t="s">
        <v>56</v>
      </c>
      <c r="I2572" s="27" t="s">
        <v>39</v>
      </c>
      <c r="J2572" s="28" t="s">
        <v>997</v>
      </c>
      <c r="K2572" s="27" t="s">
        <v>39</v>
      </c>
      <c r="L2572" s="27"/>
    </row>
    <row r="2573" customFormat="false" ht="15" hidden="false" customHeight="false" outlineLevel="0" collapsed="false">
      <c r="A2573" s="26" t="s">
        <v>9343</v>
      </c>
      <c r="B2573" s="27" t="s">
        <v>9344</v>
      </c>
      <c r="C2573" s="27" t="s">
        <v>144</v>
      </c>
      <c r="D2573" s="26" t="s">
        <v>9345</v>
      </c>
      <c r="E2573" s="27" t="s">
        <v>9346</v>
      </c>
      <c r="F2573" s="28" t="s">
        <v>146</v>
      </c>
      <c r="G2573" s="27" t="s">
        <v>3537</v>
      </c>
      <c r="H2573" s="27" t="s">
        <v>56</v>
      </c>
      <c r="I2573" s="27" t="s">
        <v>39</v>
      </c>
      <c r="J2573" s="28" t="s">
        <v>997</v>
      </c>
      <c r="K2573" s="27" t="s">
        <v>39</v>
      </c>
      <c r="L2573" s="27"/>
    </row>
    <row r="2574" customFormat="false" ht="15" hidden="false" customHeight="false" outlineLevel="0" collapsed="false">
      <c r="A2574" s="26" t="s">
        <v>9347</v>
      </c>
      <c r="B2574" s="27" t="s">
        <v>9348</v>
      </c>
      <c r="C2574" s="27" t="s">
        <v>144</v>
      </c>
      <c r="D2574" s="26" t="s">
        <v>9349</v>
      </c>
      <c r="E2574" s="27" t="s">
        <v>9350</v>
      </c>
      <c r="F2574" s="28" t="s">
        <v>1158</v>
      </c>
      <c r="G2574" s="27" t="s">
        <v>3537</v>
      </c>
      <c r="H2574" s="27" t="s">
        <v>56</v>
      </c>
      <c r="I2574" s="27" t="s">
        <v>39</v>
      </c>
      <c r="J2574" s="28" t="s">
        <v>997</v>
      </c>
      <c r="K2574" s="27" t="s">
        <v>39</v>
      </c>
      <c r="L2574" s="27"/>
    </row>
    <row r="2575" customFormat="false" ht="15" hidden="false" customHeight="false" outlineLevel="0" collapsed="false">
      <c r="A2575" s="26" t="s">
        <v>9351</v>
      </c>
      <c r="B2575" s="27" t="s">
        <v>9352</v>
      </c>
      <c r="C2575" s="27" t="s">
        <v>1187</v>
      </c>
      <c r="D2575" s="26" t="s">
        <v>9353</v>
      </c>
      <c r="E2575" s="27" t="s">
        <v>9354</v>
      </c>
      <c r="F2575" s="28" t="s">
        <v>1190</v>
      </c>
      <c r="G2575" s="27" t="s">
        <v>3537</v>
      </c>
      <c r="H2575" s="27" t="s">
        <v>56</v>
      </c>
      <c r="I2575" s="27" t="s">
        <v>39</v>
      </c>
      <c r="J2575" s="28" t="s">
        <v>997</v>
      </c>
      <c r="K2575" s="27" t="s">
        <v>39</v>
      </c>
      <c r="L2575" s="27"/>
    </row>
    <row r="2576" customFormat="false" ht="15" hidden="false" customHeight="false" outlineLevel="0" collapsed="false">
      <c r="A2576" s="26" t="s">
        <v>9355</v>
      </c>
      <c r="B2576" s="27" t="s">
        <v>9356</v>
      </c>
      <c r="C2576" s="27" t="s">
        <v>144</v>
      </c>
      <c r="D2576" s="26" t="s">
        <v>1205</v>
      </c>
      <c r="E2576" s="27" t="s">
        <v>1206</v>
      </c>
      <c r="F2576" s="28" t="s">
        <v>146</v>
      </c>
      <c r="G2576" s="27" t="s">
        <v>3537</v>
      </c>
      <c r="H2576" s="27" t="s">
        <v>56</v>
      </c>
      <c r="I2576" s="27" t="s">
        <v>39</v>
      </c>
      <c r="J2576" s="28" t="s">
        <v>997</v>
      </c>
      <c r="K2576" s="27" t="s">
        <v>39</v>
      </c>
      <c r="L2576" s="27"/>
    </row>
    <row r="2577" customFormat="false" ht="15" hidden="false" customHeight="false" outlineLevel="0" collapsed="false">
      <c r="A2577" s="26" t="s">
        <v>9357</v>
      </c>
      <c r="B2577" s="27" t="s">
        <v>9358</v>
      </c>
      <c r="C2577" s="27" t="s">
        <v>144</v>
      </c>
      <c r="D2577" s="26" t="s">
        <v>9359</v>
      </c>
      <c r="E2577" s="27" t="s">
        <v>9360</v>
      </c>
      <c r="F2577" s="28" t="s">
        <v>146</v>
      </c>
      <c r="G2577" s="27" t="s">
        <v>3537</v>
      </c>
      <c r="H2577" s="27" t="s">
        <v>56</v>
      </c>
      <c r="I2577" s="27" t="s">
        <v>39</v>
      </c>
      <c r="J2577" s="28" t="s">
        <v>997</v>
      </c>
      <c r="K2577" s="27" t="s">
        <v>39</v>
      </c>
      <c r="L2577" s="27"/>
    </row>
    <row r="2578" customFormat="false" ht="15" hidden="false" customHeight="false" outlineLevel="0" collapsed="false">
      <c r="A2578" s="26" t="s">
        <v>9361</v>
      </c>
      <c r="B2578" s="27" t="s">
        <v>9362</v>
      </c>
      <c r="C2578" s="27" t="s">
        <v>144</v>
      </c>
      <c r="D2578" s="26" t="s">
        <v>9363</v>
      </c>
      <c r="E2578" s="27" t="s">
        <v>9364</v>
      </c>
      <c r="F2578" s="28" t="s">
        <v>146</v>
      </c>
      <c r="G2578" s="27" t="s">
        <v>3537</v>
      </c>
      <c r="H2578" s="27" t="s">
        <v>56</v>
      </c>
      <c r="I2578" s="27" t="s">
        <v>39</v>
      </c>
      <c r="J2578" s="28" t="s">
        <v>997</v>
      </c>
      <c r="K2578" s="27" t="s">
        <v>39</v>
      </c>
      <c r="L2578" s="27"/>
    </row>
    <row r="2579" customFormat="false" ht="15" hidden="false" customHeight="false" outlineLevel="0" collapsed="false">
      <c r="A2579" s="26" t="s">
        <v>9365</v>
      </c>
      <c r="B2579" s="27" t="s">
        <v>9366</v>
      </c>
      <c r="C2579" s="27" t="s">
        <v>144</v>
      </c>
      <c r="D2579" s="26" t="s">
        <v>9367</v>
      </c>
      <c r="E2579" s="27" t="s">
        <v>9368</v>
      </c>
      <c r="F2579" s="28" t="s">
        <v>146</v>
      </c>
      <c r="G2579" s="27" t="s">
        <v>3537</v>
      </c>
      <c r="H2579" s="27" t="s">
        <v>56</v>
      </c>
      <c r="I2579" s="27" t="s">
        <v>39</v>
      </c>
      <c r="J2579" s="28" t="s">
        <v>997</v>
      </c>
      <c r="K2579" s="27" t="s">
        <v>39</v>
      </c>
      <c r="L2579" s="27"/>
    </row>
    <row r="2580" customFormat="false" ht="15" hidden="false" customHeight="false" outlineLevel="0" collapsed="false">
      <c r="A2580" s="26" t="s">
        <v>9369</v>
      </c>
      <c r="B2580" s="27" t="s">
        <v>9370</v>
      </c>
      <c r="C2580" s="27" t="s">
        <v>144</v>
      </c>
      <c r="D2580" s="26" t="s">
        <v>9371</v>
      </c>
      <c r="E2580" s="27" t="s">
        <v>9372</v>
      </c>
      <c r="F2580" s="28" t="s">
        <v>146</v>
      </c>
      <c r="G2580" s="27" t="s">
        <v>3537</v>
      </c>
      <c r="H2580" s="27" t="s">
        <v>56</v>
      </c>
      <c r="I2580" s="27" t="s">
        <v>39</v>
      </c>
      <c r="J2580" s="28" t="s">
        <v>997</v>
      </c>
      <c r="K2580" s="27" t="s">
        <v>39</v>
      </c>
      <c r="L2580" s="27"/>
    </row>
    <row r="2581" customFormat="false" ht="15" hidden="false" customHeight="false" outlineLevel="0" collapsed="false">
      <c r="A2581" s="26" t="s">
        <v>9373</v>
      </c>
      <c r="B2581" s="27" t="s">
        <v>9374</v>
      </c>
      <c r="C2581" s="27" t="s">
        <v>144</v>
      </c>
      <c r="D2581" s="26" t="s">
        <v>9375</v>
      </c>
      <c r="E2581" s="27" t="s">
        <v>9376</v>
      </c>
      <c r="F2581" s="28" t="s">
        <v>146</v>
      </c>
      <c r="G2581" s="27" t="s">
        <v>3537</v>
      </c>
      <c r="H2581" s="27" t="s">
        <v>56</v>
      </c>
      <c r="I2581" s="27" t="s">
        <v>39</v>
      </c>
      <c r="J2581" s="28" t="s">
        <v>997</v>
      </c>
      <c r="K2581" s="27" t="s">
        <v>39</v>
      </c>
      <c r="L2581" s="27"/>
    </row>
    <row r="2582" customFormat="false" ht="15" hidden="false" customHeight="false" outlineLevel="0" collapsed="false">
      <c r="A2582" s="26" t="s">
        <v>9377</v>
      </c>
      <c r="B2582" s="27" t="s">
        <v>9378</v>
      </c>
      <c r="C2582" s="27" t="s">
        <v>144</v>
      </c>
      <c r="D2582" s="26" t="s">
        <v>9379</v>
      </c>
      <c r="E2582" s="27" t="s">
        <v>9380</v>
      </c>
      <c r="F2582" s="28" t="s">
        <v>146</v>
      </c>
      <c r="G2582" s="27" t="s">
        <v>3537</v>
      </c>
      <c r="H2582" s="27" t="s">
        <v>56</v>
      </c>
      <c r="I2582" s="27" t="s">
        <v>39</v>
      </c>
      <c r="J2582" s="28" t="s">
        <v>997</v>
      </c>
      <c r="K2582" s="27" t="s">
        <v>39</v>
      </c>
      <c r="L2582" s="27"/>
    </row>
    <row r="2583" customFormat="false" ht="15" hidden="false" customHeight="false" outlineLevel="0" collapsed="false">
      <c r="A2583" s="26" t="s">
        <v>9381</v>
      </c>
      <c r="B2583" s="27" t="s">
        <v>9382</v>
      </c>
      <c r="C2583" s="27" t="s">
        <v>144</v>
      </c>
      <c r="D2583" s="26" t="s">
        <v>1171</v>
      </c>
      <c r="E2583" s="27" t="s">
        <v>1172</v>
      </c>
      <c r="F2583" s="28" t="s">
        <v>146</v>
      </c>
      <c r="G2583" s="27" t="s">
        <v>3537</v>
      </c>
      <c r="H2583" s="27" t="s">
        <v>56</v>
      </c>
      <c r="I2583" s="27" t="s">
        <v>39</v>
      </c>
      <c r="J2583" s="28" t="s">
        <v>997</v>
      </c>
      <c r="K2583" s="27" t="s">
        <v>39</v>
      </c>
      <c r="L2583" s="27"/>
    </row>
    <row r="2584" customFormat="false" ht="15" hidden="false" customHeight="false" outlineLevel="0" collapsed="false">
      <c r="A2584" s="26" t="s">
        <v>9383</v>
      </c>
      <c r="B2584" s="27" t="s">
        <v>9384</v>
      </c>
      <c r="C2584" s="27" t="s">
        <v>144</v>
      </c>
      <c r="D2584" s="26" t="s">
        <v>1027</v>
      </c>
      <c r="E2584" s="27" t="s">
        <v>1028</v>
      </c>
      <c r="F2584" s="28" t="s">
        <v>146</v>
      </c>
      <c r="G2584" s="27" t="s">
        <v>3537</v>
      </c>
      <c r="H2584" s="27" t="s">
        <v>56</v>
      </c>
      <c r="I2584" s="27" t="s">
        <v>39</v>
      </c>
      <c r="J2584" s="28" t="s">
        <v>997</v>
      </c>
      <c r="K2584" s="27" t="s">
        <v>39</v>
      </c>
      <c r="L2584" s="27"/>
    </row>
    <row r="2585" customFormat="false" ht="15" hidden="false" customHeight="false" outlineLevel="0" collapsed="false">
      <c r="A2585" s="26" t="s">
        <v>9385</v>
      </c>
      <c r="B2585" s="27" t="s">
        <v>9386</v>
      </c>
      <c r="C2585" s="27" t="s">
        <v>144</v>
      </c>
      <c r="D2585" s="26" t="s">
        <v>9387</v>
      </c>
      <c r="E2585" s="27" t="s">
        <v>9388</v>
      </c>
      <c r="F2585" s="28" t="s">
        <v>146</v>
      </c>
      <c r="G2585" s="27" t="s">
        <v>3537</v>
      </c>
      <c r="H2585" s="27" t="s">
        <v>57</v>
      </c>
      <c r="I2585" s="27" t="s">
        <v>43</v>
      </c>
      <c r="J2585" s="28" t="s">
        <v>997</v>
      </c>
      <c r="K2585" s="27" t="s">
        <v>39</v>
      </c>
      <c r="L2585" s="27"/>
    </row>
    <row r="2586" customFormat="false" ht="15" hidden="false" customHeight="false" outlineLevel="0" collapsed="false">
      <c r="A2586" s="26" t="s">
        <v>9389</v>
      </c>
      <c r="B2586" s="27" t="s">
        <v>9390</v>
      </c>
      <c r="C2586" s="27" t="s">
        <v>144</v>
      </c>
      <c r="D2586" s="26" t="s">
        <v>9391</v>
      </c>
      <c r="E2586" s="27" t="s">
        <v>9392</v>
      </c>
      <c r="F2586" s="28" t="s">
        <v>146</v>
      </c>
      <c r="G2586" s="27" t="s">
        <v>3537</v>
      </c>
      <c r="H2586" s="27" t="s">
        <v>56</v>
      </c>
      <c r="I2586" s="27" t="s">
        <v>39</v>
      </c>
      <c r="J2586" s="28" t="s">
        <v>997</v>
      </c>
      <c r="K2586" s="27" t="s">
        <v>39</v>
      </c>
      <c r="L2586" s="27"/>
    </row>
    <row r="2587" customFormat="false" ht="15" hidden="false" customHeight="false" outlineLevel="0" collapsed="false">
      <c r="A2587" s="26" t="s">
        <v>9393</v>
      </c>
      <c r="B2587" s="27" t="s">
        <v>9394</v>
      </c>
      <c r="C2587" s="27" t="s">
        <v>144</v>
      </c>
      <c r="D2587" s="26" t="s">
        <v>9395</v>
      </c>
      <c r="E2587" s="27" t="s">
        <v>9396</v>
      </c>
      <c r="F2587" s="28" t="s">
        <v>146</v>
      </c>
      <c r="G2587" s="27" t="s">
        <v>3537</v>
      </c>
      <c r="H2587" s="27" t="s">
        <v>57</v>
      </c>
      <c r="I2587" s="27" t="s">
        <v>1344</v>
      </c>
      <c r="J2587" s="28" t="s">
        <v>997</v>
      </c>
      <c r="K2587" s="27" t="s">
        <v>39</v>
      </c>
      <c r="L2587" s="27"/>
    </row>
    <row r="2588" customFormat="false" ht="15" hidden="false" customHeight="false" outlineLevel="0" collapsed="false">
      <c r="A2588" s="26" t="s">
        <v>9397</v>
      </c>
      <c r="B2588" s="27" t="s">
        <v>9398</v>
      </c>
      <c r="C2588" s="27" t="s">
        <v>144</v>
      </c>
      <c r="D2588" s="26" t="s">
        <v>9399</v>
      </c>
      <c r="E2588" s="27" t="s">
        <v>9400</v>
      </c>
      <c r="F2588" s="28" t="s">
        <v>146</v>
      </c>
      <c r="G2588" s="27" t="s">
        <v>3537</v>
      </c>
      <c r="H2588" s="27" t="s">
        <v>57</v>
      </c>
      <c r="I2588" s="27" t="s">
        <v>1067</v>
      </c>
      <c r="J2588" s="28" t="s">
        <v>997</v>
      </c>
      <c r="K2588" s="27" t="s">
        <v>39</v>
      </c>
      <c r="L2588" s="27"/>
    </row>
    <row r="2589" customFormat="false" ht="15" hidden="false" customHeight="false" outlineLevel="0" collapsed="false">
      <c r="A2589" s="26" t="s">
        <v>9401</v>
      </c>
      <c r="B2589" s="27" t="s">
        <v>9402</v>
      </c>
      <c r="C2589" s="27" t="s">
        <v>144</v>
      </c>
      <c r="D2589" s="26" t="s">
        <v>9403</v>
      </c>
      <c r="E2589" s="27" t="s">
        <v>9404</v>
      </c>
      <c r="F2589" s="28" t="s">
        <v>146</v>
      </c>
      <c r="G2589" s="27" t="s">
        <v>3537</v>
      </c>
      <c r="H2589" s="27" t="s">
        <v>56</v>
      </c>
      <c r="I2589" s="27" t="s">
        <v>39</v>
      </c>
      <c r="J2589" s="28" t="s">
        <v>997</v>
      </c>
      <c r="K2589" s="27" t="s">
        <v>39</v>
      </c>
      <c r="L2589" s="27"/>
    </row>
    <row r="2590" customFormat="false" ht="15" hidden="false" customHeight="false" outlineLevel="0" collapsed="false">
      <c r="A2590" s="26" t="s">
        <v>9405</v>
      </c>
      <c r="B2590" s="27" t="s">
        <v>9406</v>
      </c>
      <c r="C2590" s="27" t="s">
        <v>144</v>
      </c>
      <c r="D2590" s="26" t="s">
        <v>9403</v>
      </c>
      <c r="E2590" s="27" t="s">
        <v>9404</v>
      </c>
      <c r="F2590" s="28" t="s">
        <v>146</v>
      </c>
      <c r="G2590" s="27" t="s">
        <v>3537</v>
      </c>
      <c r="H2590" s="27" t="s">
        <v>56</v>
      </c>
      <c r="I2590" s="27" t="s">
        <v>39</v>
      </c>
      <c r="J2590" s="28" t="s">
        <v>997</v>
      </c>
      <c r="K2590" s="27" t="s">
        <v>39</v>
      </c>
      <c r="L2590" s="27"/>
    </row>
    <row r="2591" customFormat="false" ht="15" hidden="false" customHeight="false" outlineLevel="0" collapsed="false">
      <c r="A2591" s="26" t="s">
        <v>9407</v>
      </c>
      <c r="B2591" s="27" t="s">
        <v>9408</v>
      </c>
      <c r="C2591" s="27" t="s">
        <v>144</v>
      </c>
      <c r="D2591" s="26" t="s">
        <v>1224</v>
      </c>
      <c r="E2591" s="27" t="s">
        <v>1225</v>
      </c>
      <c r="F2591" s="28" t="s">
        <v>146</v>
      </c>
      <c r="G2591" s="27" t="s">
        <v>3537</v>
      </c>
      <c r="H2591" s="27" t="s">
        <v>56</v>
      </c>
      <c r="I2591" s="27" t="s">
        <v>39</v>
      </c>
      <c r="J2591" s="28" t="s">
        <v>997</v>
      </c>
      <c r="K2591" s="27" t="s">
        <v>39</v>
      </c>
      <c r="L2591" s="27"/>
    </row>
    <row r="2592" customFormat="false" ht="15" hidden="false" customHeight="false" outlineLevel="0" collapsed="false">
      <c r="A2592" s="26" t="s">
        <v>9409</v>
      </c>
      <c r="B2592" s="27" t="s">
        <v>9410</v>
      </c>
      <c r="C2592" s="27" t="s">
        <v>144</v>
      </c>
      <c r="D2592" s="26" t="s">
        <v>9411</v>
      </c>
      <c r="E2592" s="27" t="s">
        <v>9412</v>
      </c>
      <c r="F2592" s="28" t="s">
        <v>146</v>
      </c>
      <c r="G2592" s="27" t="s">
        <v>3537</v>
      </c>
      <c r="H2592" s="27" t="s">
        <v>56</v>
      </c>
      <c r="I2592" s="27" t="s">
        <v>39</v>
      </c>
      <c r="J2592" s="28" t="s">
        <v>997</v>
      </c>
      <c r="K2592" s="27" t="s">
        <v>39</v>
      </c>
      <c r="L2592" s="27"/>
    </row>
    <row r="2593" customFormat="false" ht="15" hidden="false" customHeight="false" outlineLevel="0" collapsed="false">
      <c r="A2593" s="26" t="s">
        <v>9413</v>
      </c>
      <c r="B2593" s="27" t="s">
        <v>9414</v>
      </c>
      <c r="C2593" s="27" t="s">
        <v>370</v>
      </c>
      <c r="D2593" s="26" t="s">
        <v>9415</v>
      </c>
      <c r="E2593" s="27" t="s">
        <v>9416</v>
      </c>
      <c r="F2593" s="28" t="s">
        <v>373</v>
      </c>
      <c r="G2593" s="27" t="s">
        <v>3537</v>
      </c>
      <c r="H2593" s="27" t="s">
        <v>56</v>
      </c>
      <c r="I2593" s="27" t="s">
        <v>39</v>
      </c>
      <c r="J2593" s="28" t="s">
        <v>997</v>
      </c>
      <c r="K2593" s="27" t="s">
        <v>39</v>
      </c>
      <c r="L2593" s="27"/>
    </row>
    <row r="2594" customFormat="false" ht="15" hidden="false" customHeight="false" outlineLevel="0" collapsed="false">
      <c r="A2594" s="26" t="s">
        <v>9417</v>
      </c>
      <c r="B2594" s="27" t="s">
        <v>9418</v>
      </c>
      <c r="C2594" s="27" t="s">
        <v>144</v>
      </c>
      <c r="D2594" s="26" t="s">
        <v>9419</v>
      </c>
      <c r="E2594" s="27" t="s">
        <v>9420</v>
      </c>
      <c r="F2594" s="28" t="s">
        <v>146</v>
      </c>
      <c r="G2594" s="27" t="s">
        <v>3537</v>
      </c>
      <c r="H2594" s="27" t="s">
        <v>57</v>
      </c>
      <c r="I2594" s="27" t="s">
        <v>40</v>
      </c>
      <c r="J2594" s="28" t="s">
        <v>997</v>
      </c>
      <c r="K2594" s="27" t="s">
        <v>39</v>
      </c>
      <c r="L2594" s="27"/>
    </row>
    <row r="2595" customFormat="false" ht="15" hidden="false" customHeight="false" outlineLevel="0" collapsed="false">
      <c r="A2595" s="26" t="s">
        <v>9421</v>
      </c>
      <c r="B2595" s="27" t="s">
        <v>9422</v>
      </c>
      <c r="C2595" s="27" t="s">
        <v>144</v>
      </c>
      <c r="D2595" s="26" t="s">
        <v>9423</v>
      </c>
      <c r="E2595" s="27" t="s">
        <v>9424</v>
      </c>
      <c r="F2595" s="28" t="s">
        <v>146</v>
      </c>
      <c r="G2595" s="27" t="s">
        <v>3537</v>
      </c>
      <c r="H2595" s="27" t="s">
        <v>57</v>
      </c>
      <c r="I2595" s="28" t="s">
        <v>50</v>
      </c>
      <c r="J2595" s="28" t="s">
        <v>997</v>
      </c>
      <c r="K2595" s="27" t="s">
        <v>39</v>
      </c>
      <c r="L2595" s="27"/>
    </row>
    <row r="2596" customFormat="false" ht="15" hidden="false" customHeight="false" outlineLevel="0" collapsed="false">
      <c r="A2596" s="26" t="s">
        <v>9425</v>
      </c>
      <c r="B2596" s="27" t="s">
        <v>9426</v>
      </c>
      <c r="C2596" s="27" t="s">
        <v>144</v>
      </c>
      <c r="D2596" s="26" t="s">
        <v>9427</v>
      </c>
      <c r="E2596" s="27" t="s">
        <v>9428</v>
      </c>
      <c r="F2596" s="28" t="s">
        <v>146</v>
      </c>
      <c r="G2596" s="27" t="s">
        <v>3537</v>
      </c>
      <c r="H2596" s="27" t="s">
        <v>56</v>
      </c>
      <c r="I2596" s="27" t="s">
        <v>39</v>
      </c>
      <c r="J2596" s="28" t="s">
        <v>997</v>
      </c>
      <c r="K2596" s="27" t="s">
        <v>39</v>
      </c>
      <c r="L2596" s="27"/>
    </row>
    <row r="2597" customFormat="false" ht="15" hidden="false" customHeight="false" outlineLevel="0" collapsed="false">
      <c r="A2597" s="26" t="s">
        <v>9429</v>
      </c>
      <c r="B2597" s="27" t="s">
        <v>9430</v>
      </c>
      <c r="C2597" s="27" t="s">
        <v>1612</v>
      </c>
      <c r="D2597" s="26" t="s">
        <v>9431</v>
      </c>
      <c r="E2597" s="27" t="s">
        <v>9432</v>
      </c>
      <c r="F2597" s="28" t="s">
        <v>1614</v>
      </c>
      <c r="G2597" s="27" t="s">
        <v>3537</v>
      </c>
      <c r="H2597" s="27" t="s">
        <v>57</v>
      </c>
      <c r="I2597" s="27" t="s">
        <v>1296</v>
      </c>
      <c r="J2597" s="28" t="s">
        <v>997</v>
      </c>
      <c r="K2597" s="27" t="s">
        <v>39</v>
      </c>
      <c r="L2597" s="27"/>
    </row>
    <row r="2598" customFormat="false" ht="15" hidden="false" customHeight="false" outlineLevel="0" collapsed="false">
      <c r="A2598" s="26" t="s">
        <v>9433</v>
      </c>
      <c r="B2598" s="27" t="s">
        <v>9434</v>
      </c>
      <c r="C2598" s="27" t="s">
        <v>144</v>
      </c>
      <c r="D2598" s="26" t="s">
        <v>9435</v>
      </c>
      <c r="E2598" s="27" t="s">
        <v>9436</v>
      </c>
      <c r="F2598" s="28" t="s">
        <v>146</v>
      </c>
      <c r="G2598" s="27" t="s">
        <v>3537</v>
      </c>
      <c r="H2598" s="27" t="s">
        <v>57</v>
      </c>
      <c r="I2598" s="27" t="s">
        <v>37</v>
      </c>
      <c r="J2598" s="28" t="s">
        <v>997</v>
      </c>
      <c r="K2598" s="27" t="s">
        <v>39</v>
      </c>
      <c r="L2598" s="27"/>
    </row>
    <row r="2599" customFormat="false" ht="15" hidden="false" customHeight="false" outlineLevel="0" collapsed="false">
      <c r="A2599" s="26" t="s">
        <v>9437</v>
      </c>
      <c r="B2599" s="27" t="s">
        <v>9438</v>
      </c>
      <c r="C2599" s="27" t="s">
        <v>144</v>
      </c>
      <c r="D2599" s="26" t="s">
        <v>9439</v>
      </c>
      <c r="E2599" s="27" t="s">
        <v>9440</v>
      </c>
      <c r="F2599" s="28" t="s">
        <v>146</v>
      </c>
      <c r="G2599" s="27" t="s">
        <v>3537</v>
      </c>
      <c r="H2599" s="27" t="s">
        <v>57</v>
      </c>
      <c r="I2599" s="27" t="s">
        <v>1296</v>
      </c>
      <c r="J2599" s="28" t="s">
        <v>997</v>
      </c>
      <c r="K2599" s="27" t="s">
        <v>39</v>
      </c>
      <c r="L2599" s="27"/>
    </row>
    <row r="2600" customFormat="false" ht="15" hidden="false" customHeight="false" outlineLevel="0" collapsed="false">
      <c r="A2600" s="26" t="s">
        <v>9441</v>
      </c>
      <c r="B2600" s="27" t="s">
        <v>9442</v>
      </c>
      <c r="C2600" s="27" t="s">
        <v>144</v>
      </c>
      <c r="D2600" s="26" t="s">
        <v>9443</v>
      </c>
      <c r="E2600" s="27" t="s">
        <v>9444</v>
      </c>
      <c r="F2600" s="28" t="s">
        <v>146</v>
      </c>
      <c r="G2600" s="27" t="s">
        <v>3537</v>
      </c>
      <c r="H2600" s="27" t="s">
        <v>57</v>
      </c>
      <c r="I2600" s="27" t="s">
        <v>42</v>
      </c>
      <c r="J2600" s="28" t="s">
        <v>997</v>
      </c>
      <c r="K2600" s="27" t="s">
        <v>39</v>
      </c>
      <c r="L2600" s="27"/>
    </row>
    <row r="2601" customFormat="false" ht="15" hidden="false" customHeight="false" outlineLevel="0" collapsed="false">
      <c r="A2601" s="26" t="s">
        <v>9445</v>
      </c>
      <c r="B2601" s="27" t="s">
        <v>9446</v>
      </c>
      <c r="C2601" s="27" t="s">
        <v>144</v>
      </c>
      <c r="D2601" s="26" t="s">
        <v>1894</v>
      </c>
      <c r="E2601" s="27" t="s">
        <v>1893</v>
      </c>
      <c r="F2601" s="28" t="s">
        <v>146</v>
      </c>
      <c r="G2601" s="27" t="s">
        <v>3537</v>
      </c>
      <c r="H2601" s="27" t="s">
        <v>57</v>
      </c>
      <c r="I2601" s="27" t="s">
        <v>1067</v>
      </c>
      <c r="J2601" s="28" t="s">
        <v>997</v>
      </c>
      <c r="K2601" s="27" t="s">
        <v>39</v>
      </c>
      <c r="L2601" s="27"/>
    </row>
    <row r="2602" customFormat="false" ht="15" hidden="false" customHeight="false" outlineLevel="0" collapsed="false">
      <c r="A2602" s="26" t="s">
        <v>9447</v>
      </c>
      <c r="B2602" s="27" t="s">
        <v>9448</v>
      </c>
      <c r="C2602" s="27" t="s">
        <v>1612</v>
      </c>
      <c r="D2602" s="26" t="s">
        <v>9449</v>
      </c>
      <c r="E2602" s="27" t="s">
        <v>9450</v>
      </c>
      <c r="F2602" s="28" t="s">
        <v>1614</v>
      </c>
      <c r="G2602" s="27" t="s">
        <v>3537</v>
      </c>
      <c r="H2602" s="27" t="s">
        <v>57</v>
      </c>
      <c r="I2602" s="27" t="s">
        <v>1296</v>
      </c>
      <c r="J2602" s="28" t="s">
        <v>997</v>
      </c>
      <c r="K2602" s="27" t="s">
        <v>39</v>
      </c>
      <c r="L2602" s="27"/>
    </row>
    <row r="2603" customFormat="false" ht="15" hidden="false" customHeight="false" outlineLevel="0" collapsed="false">
      <c r="A2603" s="26" t="s">
        <v>9451</v>
      </c>
      <c r="B2603" s="27" t="s">
        <v>9452</v>
      </c>
      <c r="C2603" s="27" t="s">
        <v>1612</v>
      </c>
      <c r="D2603" s="26" t="s">
        <v>2880</v>
      </c>
      <c r="E2603" s="27" t="s">
        <v>2881</v>
      </c>
      <c r="F2603" s="28" t="s">
        <v>1614</v>
      </c>
      <c r="G2603" s="27" t="s">
        <v>3537</v>
      </c>
      <c r="H2603" s="27" t="s">
        <v>57</v>
      </c>
      <c r="I2603" s="27" t="s">
        <v>1067</v>
      </c>
      <c r="J2603" s="28" t="s">
        <v>997</v>
      </c>
      <c r="K2603" s="27" t="s">
        <v>39</v>
      </c>
      <c r="L2603" s="27"/>
    </row>
    <row r="2604" customFormat="false" ht="15" hidden="false" customHeight="false" outlineLevel="0" collapsed="false">
      <c r="A2604" s="26" t="s">
        <v>9453</v>
      </c>
      <c r="B2604" s="27" t="s">
        <v>9454</v>
      </c>
      <c r="C2604" s="27" t="s">
        <v>1612</v>
      </c>
      <c r="D2604" s="26" t="s">
        <v>9455</v>
      </c>
      <c r="E2604" s="27" t="s">
        <v>9456</v>
      </c>
      <c r="F2604" s="28" t="s">
        <v>1614</v>
      </c>
      <c r="G2604" s="27" t="s">
        <v>3537</v>
      </c>
      <c r="H2604" s="27" t="s">
        <v>57</v>
      </c>
      <c r="I2604" s="28" t="s">
        <v>50</v>
      </c>
      <c r="J2604" s="28" t="s">
        <v>997</v>
      </c>
      <c r="K2604" s="27" t="s">
        <v>39</v>
      </c>
      <c r="L2604" s="27"/>
    </row>
    <row r="2605" customFormat="false" ht="15" hidden="false" customHeight="false" outlineLevel="0" collapsed="false">
      <c r="A2605" s="26" t="s">
        <v>9457</v>
      </c>
      <c r="B2605" s="27" t="s">
        <v>9458</v>
      </c>
      <c r="C2605" s="27" t="s">
        <v>1612</v>
      </c>
      <c r="D2605" s="26" t="s">
        <v>9459</v>
      </c>
      <c r="E2605" s="27" t="s">
        <v>9460</v>
      </c>
      <c r="F2605" s="28" t="s">
        <v>1614</v>
      </c>
      <c r="G2605" s="27" t="s">
        <v>3537</v>
      </c>
      <c r="H2605" s="27" t="s">
        <v>57</v>
      </c>
      <c r="I2605" s="27" t="s">
        <v>1296</v>
      </c>
      <c r="J2605" s="28" t="s">
        <v>997</v>
      </c>
      <c r="K2605" s="27" t="s">
        <v>39</v>
      </c>
      <c r="L2605" s="27"/>
    </row>
    <row r="2606" customFormat="false" ht="15" hidden="false" customHeight="false" outlineLevel="0" collapsed="false">
      <c r="A2606" s="26" t="s">
        <v>9461</v>
      </c>
      <c r="B2606" s="27" t="s">
        <v>9462</v>
      </c>
      <c r="C2606" s="27" t="s">
        <v>1612</v>
      </c>
      <c r="D2606" s="26" t="s">
        <v>9463</v>
      </c>
      <c r="E2606" s="27" t="s">
        <v>9464</v>
      </c>
      <c r="F2606" s="28" t="s">
        <v>1614</v>
      </c>
      <c r="G2606" s="27" t="s">
        <v>3537</v>
      </c>
      <c r="H2606" s="27" t="s">
        <v>57</v>
      </c>
      <c r="I2606" s="27" t="s">
        <v>1296</v>
      </c>
      <c r="J2606" s="28" t="s">
        <v>997</v>
      </c>
      <c r="K2606" s="27" t="s">
        <v>39</v>
      </c>
      <c r="L2606" s="27"/>
    </row>
    <row r="2607" customFormat="false" ht="15" hidden="false" customHeight="false" outlineLevel="0" collapsed="false">
      <c r="A2607" s="26" t="s">
        <v>9465</v>
      </c>
      <c r="B2607" s="27" t="s">
        <v>9466</v>
      </c>
      <c r="C2607" s="27" t="s">
        <v>144</v>
      </c>
      <c r="D2607" s="26" t="s">
        <v>5249</v>
      </c>
      <c r="E2607" s="27" t="s">
        <v>5250</v>
      </c>
      <c r="F2607" s="28" t="s">
        <v>146</v>
      </c>
      <c r="G2607" s="27" t="s">
        <v>3537</v>
      </c>
      <c r="H2607" s="27" t="s">
        <v>57</v>
      </c>
      <c r="I2607" s="28" t="s">
        <v>50</v>
      </c>
      <c r="J2607" s="28" t="s">
        <v>997</v>
      </c>
      <c r="K2607" s="27" t="s">
        <v>39</v>
      </c>
      <c r="L2607" s="27"/>
    </row>
    <row r="2608" customFormat="false" ht="15" hidden="false" customHeight="false" outlineLevel="0" collapsed="false">
      <c r="A2608" s="26" t="s">
        <v>9467</v>
      </c>
      <c r="B2608" s="27" t="s">
        <v>9468</v>
      </c>
      <c r="C2608" s="27" t="s">
        <v>144</v>
      </c>
      <c r="D2608" s="26" t="s">
        <v>1295</v>
      </c>
      <c r="E2608" s="27" t="s">
        <v>1294</v>
      </c>
      <c r="F2608" s="28" t="s">
        <v>146</v>
      </c>
      <c r="G2608" s="27" t="s">
        <v>3537</v>
      </c>
      <c r="H2608" s="27" t="s">
        <v>57</v>
      </c>
      <c r="I2608" s="27" t="s">
        <v>1296</v>
      </c>
      <c r="J2608" s="28" t="s">
        <v>997</v>
      </c>
      <c r="K2608" s="27" t="s">
        <v>39</v>
      </c>
      <c r="L2608" s="27"/>
    </row>
    <row r="2609" customFormat="false" ht="15" hidden="false" customHeight="false" outlineLevel="0" collapsed="false">
      <c r="A2609" s="26" t="s">
        <v>9469</v>
      </c>
      <c r="B2609" s="27" t="s">
        <v>9470</v>
      </c>
      <c r="C2609" s="27" t="s">
        <v>144</v>
      </c>
      <c r="D2609" s="26" t="s">
        <v>9471</v>
      </c>
      <c r="E2609" s="27" t="s">
        <v>9472</v>
      </c>
      <c r="F2609" s="28" t="s">
        <v>146</v>
      </c>
      <c r="G2609" s="27" t="s">
        <v>3537</v>
      </c>
      <c r="H2609" s="27" t="s">
        <v>57</v>
      </c>
      <c r="I2609" s="27" t="s">
        <v>1296</v>
      </c>
      <c r="J2609" s="28" t="s">
        <v>997</v>
      </c>
      <c r="K2609" s="27" t="s">
        <v>39</v>
      </c>
      <c r="L2609" s="27"/>
    </row>
    <row r="2610" customFormat="false" ht="15" hidden="false" customHeight="false" outlineLevel="0" collapsed="false">
      <c r="A2610" s="26" t="s">
        <v>9473</v>
      </c>
      <c r="B2610" s="27" t="s">
        <v>9474</v>
      </c>
      <c r="C2610" s="27" t="s">
        <v>144</v>
      </c>
      <c r="D2610" s="26" t="s">
        <v>9475</v>
      </c>
      <c r="E2610" s="27" t="s">
        <v>9476</v>
      </c>
      <c r="F2610" s="28" t="s">
        <v>146</v>
      </c>
      <c r="G2610" s="27" t="s">
        <v>3537</v>
      </c>
      <c r="H2610" s="27" t="s">
        <v>56</v>
      </c>
      <c r="I2610" s="27" t="s">
        <v>39</v>
      </c>
      <c r="J2610" s="28" t="s">
        <v>997</v>
      </c>
      <c r="K2610" s="27" t="s">
        <v>39</v>
      </c>
      <c r="L2610" s="27"/>
    </row>
    <row r="2611" customFormat="false" ht="15" hidden="false" customHeight="false" outlineLevel="0" collapsed="false">
      <c r="A2611" s="26" t="s">
        <v>9477</v>
      </c>
      <c r="B2611" s="27" t="s">
        <v>9478</v>
      </c>
      <c r="C2611" s="27" t="s">
        <v>144</v>
      </c>
      <c r="D2611" s="26" t="s">
        <v>9479</v>
      </c>
      <c r="E2611" s="27" t="s">
        <v>9480</v>
      </c>
      <c r="F2611" s="28" t="s">
        <v>146</v>
      </c>
      <c r="G2611" s="27" t="s">
        <v>3537</v>
      </c>
      <c r="H2611" s="27" t="s">
        <v>56</v>
      </c>
      <c r="I2611" s="27" t="s">
        <v>39</v>
      </c>
      <c r="J2611" s="28" t="s">
        <v>997</v>
      </c>
      <c r="K2611" s="27" t="s">
        <v>39</v>
      </c>
      <c r="L2611" s="27"/>
    </row>
    <row r="2612" customFormat="false" ht="15" hidden="false" customHeight="false" outlineLevel="0" collapsed="false">
      <c r="A2612" s="26" t="s">
        <v>9481</v>
      </c>
      <c r="B2612" s="27" t="s">
        <v>9482</v>
      </c>
      <c r="C2612" s="27" t="s">
        <v>144</v>
      </c>
      <c r="D2612" s="26" t="s">
        <v>9483</v>
      </c>
      <c r="E2612" s="27" t="s">
        <v>9484</v>
      </c>
      <c r="F2612" s="28" t="s">
        <v>146</v>
      </c>
      <c r="G2612" s="27" t="s">
        <v>3537</v>
      </c>
      <c r="H2612" s="27" t="s">
        <v>56</v>
      </c>
      <c r="I2612" s="27" t="s">
        <v>39</v>
      </c>
      <c r="J2612" s="28" t="s">
        <v>997</v>
      </c>
      <c r="K2612" s="27" t="s">
        <v>39</v>
      </c>
      <c r="L2612" s="27"/>
    </row>
    <row r="2613" customFormat="false" ht="15" hidden="false" customHeight="false" outlineLevel="0" collapsed="false">
      <c r="A2613" s="26" t="s">
        <v>9485</v>
      </c>
      <c r="B2613" s="27" t="s">
        <v>9486</v>
      </c>
      <c r="C2613" s="27" t="s">
        <v>144</v>
      </c>
      <c r="D2613" s="26" t="s">
        <v>9487</v>
      </c>
      <c r="E2613" s="27" t="s">
        <v>9488</v>
      </c>
      <c r="F2613" s="28" t="s">
        <v>146</v>
      </c>
      <c r="G2613" s="27" t="s">
        <v>3537</v>
      </c>
      <c r="H2613" s="27" t="s">
        <v>56</v>
      </c>
      <c r="I2613" s="27" t="s">
        <v>39</v>
      </c>
      <c r="J2613" s="28" t="s">
        <v>997</v>
      </c>
      <c r="K2613" s="27" t="s">
        <v>39</v>
      </c>
      <c r="L2613" s="27"/>
    </row>
    <row r="2614" customFormat="false" ht="15" hidden="false" customHeight="false" outlineLevel="0" collapsed="false">
      <c r="A2614" s="26" t="s">
        <v>9489</v>
      </c>
      <c r="B2614" s="27" t="s">
        <v>9490</v>
      </c>
      <c r="C2614" s="27" t="s">
        <v>144</v>
      </c>
      <c r="D2614" s="26" t="s">
        <v>9491</v>
      </c>
      <c r="E2614" s="27" t="s">
        <v>9492</v>
      </c>
      <c r="F2614" s="28" t="s">
        <v>1158</v>
      </c>
      <c r="G2614" s="27" t="s">
        <v>3537</v>
      </c>
      <c r="H2614" s="27" t="s">
        <v>56</v>
      </c>
      <c r="I2614" s="27" t="s">
        <v>39</v>
      </c>
      <c r="J2614" s="28" t="s">
        <v>997</v>
      </c>
      <c r="K2614" s="27" t="s">
        <v>39</v>
      </c>
      <c r="L2614" s="27"/>
    </row>
    <row r="2615" customFormat="false" ht="15" hidden="false" customHeight="false" outlineLevel="0" collapsed="false">
      <c r="A2615" s="26" t="s">
        <v>9493</v>
      </c>
      <c r="B2615" s="27" t="s">
        <v>9494</v>
      </c>
      <c r="C2615" s="27" t="s">
        <v>144</v>
      </c>
      <c r="D2615" s="26" t="s">
        <v>9495</v>
      </c>
      <c r="E2615" s="27" t="s">
        <v>9496</v>
      </c>
      <c r="F2615" s="28" t="s">
        <v>146</v>
      </c>
      <c r="G2615" s="27" t="s">
        <v>3537</v>
      </c>
      <c r="H2615" s="27" t="s">
        <v>57</v>
      </c>
      <c r="I2615" s="27" t="s">
        <v>1296</v>
      </c>
      <c r="J2615" s="28" t="s">
        <v>997</v>
      </c>
      <c r="K2615" s="27" t="s">
        <v>39</v>
      </c>
      <c r="L2615" s="27"/>
    </row>
    <row r="2616" customFormat="false" ht="15" hidden="false" customHeight="false" outlineLevel="0" collapsed="false">
      <c r="A2616" s="26" t="s">
        <v>9497</v>
      </c>
      <c r="B2616" s="27" t="s">
        <v>9498</v>
      </c>
      <c r="C2616" s="27" t="s">
        <v>1845</v>
      </c>
      <c r="D2616" s="26" t="s">
        <v>2236</v>
      </c>
      <c r="E2616" s="27" t="s">
        <v>2237</v>
      </c>
      <c r="F2616" s="28" t="s">
        <v>2232</v>
      </c>
      <c r="G2616" s="27" t="s">
        <v>3537</v>
      </c>
      <c r="H2616" s="27" t="s">
        <v>56</v>
      </c>
      <c r="I2616" s="27" t="s">
        <v>45</v>
      </c>
      <c r="J2616" s="28" t="s">
        <v>1047</v>
      </c>
      <c r="K2616" s="27" t="s">
        <v>45</v>
      </c>
      <c r="L2616" s="27"/>
    </row>
    <row r="2617" customFormat="false" ht="15" hidden="false" customHeight="false" outlineLevel="0" collapsed="false">
      <c r="A2617" s="26" t="s">
        <v>9499</v>
      </c>
      <c r="B2617" s="27" t="s">
        <v>9500</v>
      </c>
      <c r="C2617" s="27" t="s">
        <v>380</v>
      </c>
      <c r="D2617" s="26" t="s">
        <v>2901</v>
      </c>
      <c r="E2617" s="27" t="s">
        <v>2902</v>
      </c>
      <c r="F2617" s="28" t="s">
        <v>383</v>
      </c>
      <c r="G2617" s="27" t="s">
        <v>3537</v>
      </c>
      <c r="H2617" s="27" t="s">
        <v>57</v>
      </c>
      <c r="I2617" s="27" t="s">
        <v>44</v>
      </c>
      <c r="J2617" s="28" t="s">
        <v>1047</v>
      </c>
      <c r="K2617" s="27" t="s">
        <v>45</v>
      </c>
      <c r="L2617" s="27"/>
    </row>
    <row r="2618" customFormat="false" ht="15" hidden="false" customHeight="false" outlineLevel="0" collapsed="false">
      <c r="A2618" s="26" t="s">
        <v>9501</v>
      </c>
      <c r="B2618" s="27" t="s">
        <v>9502</v>
      </c>
      <c r="C2618" s="27" t="s">
        <v>137</v>
      </c>
      <c r="D2618" s="26" t="s">
        <v>9503</v>
      </c>
      <c r="E2618" s="27" t="s">
        <v>9504</v>
      </c>
      <c r="F2618" s="28" t="s">
        <v>140</v>
      </c>
      <c r="G2618" s="27" t="s">
        <v>3537</v>
      </c>
      <c r="H2618" s="27" t="s">
        <v>57</v>
      </c>
      <c r="I2618" s="27" t="s">
        <v>40</v>
      </c>
      <c r="J2618" s="28" t="s">
        <v>1047</v>
      </c>
      <c r="K2618" s="27" t="s">
        <v>45</v>
      </c>
      <c r="L2618" s="27"/>
    </row>
    <row r="2619" customFormat="false" ht="15" hidden="false" customHeight="false" outlineLevel="0" collapsed="false">
      <c r="A2619" s="26" t="s">
        <v>9505</v>
      </c>
      <c r="B2619" s="27" t="s">
        <v>9506</v>
      </c>
      <c r="C2619" s="27" t="s">
        <v>144</v>
      </c>
      <c r="D2619" s="26" t="s">
        <v>9507</v>
      </c>
      <c r="E2619" s="27" t="s">
        <v>9508</v>
      </c>
      <c r="F2619" s="28" t="s">
        <v>146</v>
      </c>
      <c r="G2619" s="27" t="s">
        <v>3537</v>
      </c>
      <c r="H2619" s="27" t="s">
        <v>57</v>
      </c>
      <c r="I2619" s="27" t="s">
        <v>40</v>
      </c>
      <c r="J2619" s="28" t="s">
        <v>1047</v>
      </c>
      <c r="K2619" s="27" t="s">
        <v>45</v>
      </c>
      <c r="L2619" s="27"/>
    </row>
    <row r="2620" customFormat="false" ht="15" hidden="false" customHeight="false" outlineLevel="0" collapsed="false">
      <c r="A2620" s="26" t="s">
        <v>9509</v>
      </c>
      <c r="B2620" s="27" t="s">
        <v>9510</v>
      </c>
      <c r="C2620" s="27" t="s">
        <v>144</v>
      </c>
      <c r="D2620" s="26" t="s">
        <v>9511</v>
      </c>
      <c r="E2620" s="27" t="s">
        <v>9512</v>
      </c>
      <c r="F2620" s="28" t="s">
        <v>146</v>
      </c>
      <c r="G2620" s="27" t="s">
        <v>3537</v>
      </c>
      <c r="H2620" s="27" t="s">
        <v>57</v>
      </c>
      <c r="I2620" s="27" t="s">
        <v>41</v>
      </c>
      <c r="J2620" s="28" t="s">
        <v>1047</v>
      </c>
      <c r="K2620" s="27" t="s">
        <v>45</v>
      </c>
      <c r="L2620" s="27"/>
    </row>
    <row r="2621" customFormat="false" ht="15" hidden="false" customHeight="false" outlineLevel="0" collapsed="false">
      <c r="A2621" s="26" t="s">
        <v>9513</v>
      </c>
      <c r="B2621" s="27" t="s">
        <v>9514</v>
      </c>
      <c r="C2621" s="27" t="s">
        <v>144</v>
      </c>
      <c r="D2621" s="26" t="s">
        <v>1255</v>
      </c>
      <c r="E2621" s="27" t="s">
        <v>1256</v>
      </c>
      <c r="F2621" s="28" t="s">
        <v>146</v>
      </c>
      <c r="G2621" s="27" t="s">
        <v>3537</v>
      </c>
      <c r="H2621" s="27" t="s">
        <v>57</v>
      </c>
      <c r="I2621" s="28" t="s">
        <v>50</v>
      </c>
      <c r="J2621" s="28" t="s">
        <v>1047</v>
      </c>
      <c r="K2621" s="27" t="s">
        <v>45</v>
      </c>
      <c r="L2621" s="27"/>
    </row>
    <row r="2622" customFormat="false" ht="15" hidden="false" customHeight="false" outlineLevel="0" collapsed="false">
      <c r="A2622" s="26" t="s">
        <v>9515</v>
      </c>
      <c r="B2622" s="27" t="s">
        <v>9516</v>
      </c>
      <c r="C2622" s="27" t="s">
        <v>144</v>
      </c>
      <c r="D2622" s="26" t="s">
        <v>9517</v>
      </c>
      <c r="E2622" s="27" t="s">
        <v>9518</v>
      </c>
      <c r="F2622" s="28" t="s">
        <v>146</v>
      </c>
      <c r="G2622" s="27" t="s">
        <v>3537</v>
      </c>
      <c r="H2622" s="27" t="s">
        <v>57</v>
      </c>
      <c r="I2622" s="27" t="s">
        <v>41</v>
      </c>
      <c r="J2622" s="28" t="s">
        <v>1047</v>
      </c>
      <c r="K2622" s="27" t="s">
        <v>45</v>
      </c>
      <c r="L2622" s="27"/>
    </row>
    <row r="2623" customFormat="false" ht="15" hidden="false" customHeight="false" outlineLevel="0" collapsed="false">
      <c r="A2623" s="26" t="s">
        <v>9519</v>
      </c>
      <c r="B2623" s="27" t="s">
        <v>9520</v>
      </c>
      <c r="C2623" s="27" t="s">
        <v>144</v>
      </c>
      <c r="D2623" s="26" t="s">
        <v>9511</v>
      </c>
      <c r="E2623" s="27" t="s">
        <v>9512</v>
      </c>
      <c r="F2623" s="28" t="s">
        <v>146</v>
      </c>
      <c r="G2623" s="27" t="s">
        <v>3537</v>
      </c>
      <c r="H2623" s="27" t="s">
        <v>57</v>
      </c>
      <c r="I2623" s="27" t="s">
        <v>41</v>
      </c>
      <c r="J2623" s="28" t="s">
        <v>1047</v>
      </c>
      <c r="K2623" s="27" t="s">
        <v>45</v>
      </c>
      <c r="L2623" s="27"/>
    </row>
    <row r="2624" customFormat="false" ht="15" hidden="false" customHeight="false" outlineLevel="0" collapsed="false">
      <c r="A2624" s="26" t="s">
        <v>9521</v>
      </c>
      <c r="B2624" s="27" t="s">
        <v>9522</v>
      </c>
      <c r="C2624" s="27" t="s">
        <v>144</v>
      </c>
      <c r="D2624" s="26" t="s">
        <v>9523</v>
      </c>
      <c r="E2624" s="27" t="s">
        <v>9524</v>
      </c>
      <c r="F2624" s="28" t="s">
        <v>146</v>
      </c>
      <c r="G2624" s="27" t="s">
        <v>3537</v>
      </c>
      <c r="H2624" s="27" t="s">
        <v>57</v>
      </c>
      <c r="I2624" s="27" t="s">
        <v>39</v>
      </c>
      <c r="J2624" s="28" t="s">
        <v>1047</v>
      </c>
      <c r="K2624" s="27" t="s">
        <v>45</v>
      </c>
      <c r="L2624" s="27"/>
    </row>
    <row r="2625" customFormat="false" ht="15" hidden="false" customHeight="false" outlineLevel="0" collapsed="false">
      <c r="A2625" s="26" t="s">
        <v>9525</v>
      </c>
      <c r="B2625" s="27" t="s">
        <v>9526</v>
      </c>
      <c r="C2625" s="27" t="s">
        <v>144</v>
      </c>
      <c r="D2625" s="26" t="s">
        <v>9527</v>
      </c>
      <c r="E2625" s="27" t="s">
        <v>9528</v>
      </c>
      <c r="F2625" s="28" t="s">
        <v>146</v>
      </c>
      <c r="G2625" s="27" t="s">
        <v>3537</v>
      </c>
      <c r="H2625" s="27" t="s">
        <v>57</v>
      </c>
      <c r="I2625" s="28" t="s">
        <v>50</v>
      </c>
      <c r="J2625" s="28" t="s">
        <v>1047</v>
      </c>
      <c r="K2625" s="27" t="s">
        <v>45</v>
      </c>
      <c r="L2625" s="27"/>
    </row>
    <row r="2626" customFormat="false" ht="15" hidden="false" customHeight="false" outlineLevel="0" collapsed="false">
      <c r="A2626" s="26" t="s">
        <v>9529</v>
      </c>
      <c r="B2626" s="27" t="s">
        <v>9530</v>
      </c>
      <c r="C2626" s="27" t="s">
        <v>144</v>
      </c>
      <c r="D2626" s="26" t="s">
        <v>9531</v>
      </c>
      <c r="E2626" s="27" t="s">
        <v>9532</v>
      </c>
      <c r="F2626" s="28" t="s">
        <v>146</v>
      </c>
      <c r="G2626" s="27" t="s">
        <v>3537</v>
      </c>
      <c r="H2626" s="27" t="s">
        <v>57</v>
      </c>
      <c r="I2626" s="28" t="s">
        <v>50</v>
      </c>
      <c r="J2626" s="28" t="s">
        <v>1047</v>
      </c>
      <c r="K2626" s="27" t="s">
        <v>45</v>
      </c>
      <c r="L2626" s="27"/>
    </row>
    <row r="2627" customFormat="false" ht="15" hidden="false" customHeight="false" outlineLevel="0" collapsed="false">
      <c r="A2627" s="26" t="s">
        <v>9533</v>
      </c>
      <c r="B2627" s="27" t="s">
        <v>9534</v>
      </c>
      <c r="C2627" s="27" t="s">
        <v>144</v>
      </c>
      <c r="D2627" s="26" t="s">
        <v>9531</v>
      </c>
      <c r="E2627" s="27" t="s">
        <v>9532</v>
      </c>
      <c r="F2627" s="28" t="s">
        <v>146</v>
      </c>
      <c r="G2627" s="27" t="s">
        <v>3537</v>
      </c>
      <c r="H2627" s="27" t="s">
        <v>57</v>
      </c>
      <c r="I2627" s="28" t="s">
        <v>50</v>
      </c>
      <c r="J2627" s="28" t="s">
        <v>1047</v>
      </c>
      <c r="K2627" s="27" t="s">
        <v>45</v>
      </c>
      <c r="L2627" s="27"/>
    </row>
    <row r="2628" customFormat="false" ht="15" hidden="false" customHeight="false" outlineLevel="0" collapsed="false">
      <c r="A2628" s="26" t="s">
        <v>9535</v>
      </c>
      <c r="B2628" s="27" t="s">
        <v>9536</v>
      </c>
      <c r="C2628" s="27" t="s">
        <v>100</v>
      </c>
      <c r="D2628" s="26" t="s">
        <v>9537</v>
      </c>
      <c r="E2628" s="27" t="s">
        <v>9538</v>
      </c>
      <c r="F2628" s="28" t="s">
        <v>102</v>
      </c>
      <c r="G2628" s="27" t="s">
        <v>3537</v>
      </c>
      <c r="H2628" s="27" t="s">
        <v>56</v>
      </c>
      <c r="I2628" s="27" t="s">
        <v>45</v>
      </c>
      <c r="J2628" s="28" t="s">
        <v>1047</v>
      </c>
      <c r="K2628" s="27" t="s">
        <v>45</v>
      </c>
      <c r="L2628" s="27"/>
    </row>
    <row r="2629" customFormat="false" ht="15" hidden="false" customHeight="false" outlineLevel="0" collapsed="false">
      <c r="A2629" s="26" t="s">
        <v>9539</v>
      </c>
      <c r="B2629" s="27" t="s">
        <v>9540</v>
      </c>
      <c r="C2629" s="27" t="s">
        <v>144</v>
      </c>
      <c r="D2629" s="26" t="s">
        <v>9541</v>
      </c>
      <c r="E2629" s="27" t="s">
        <v>9542</v>
      </c>
      <c r="F2629" s="28" t="s">
        <v>146</v>
      </c>
      <c r="G2629" s="27" t="s">
        <v>3537</v>
      </c>
      <c r="H2629" s="27" t="s">
        <v>57</v>
      </c>
      <c r="I2629" s="27" t="s">
        <v>49</v>
      </c>
      <c r="J2629" s="28" t="s">
        <v>1047</v>
      </c>
      <c r="K2629" s="27" t="s">
        <v>45</v>
      </c>
      <c r="L2629" s="27"/>
    </row>
    <row r="2630" customFormat="false" ht="15" hidden="false" customHeight="false" outlineLevel="0" collapsed="false">
      <c r="A2630" s="26" t="s">
        <v>9543</v>
      </c>
      <c r="B2630" s="27" t="s">
        <v>9544</v>
      </c>
      <c r="C2630" s="27" t="s">
        <v>144</v>
      </c>
      <c r="D2630" s="26" t="s">
        <v>9545</v>
      </c>
      <c r="E2630" s="27" t="s">
        <v>9546</v>
      </c>
      <c r="F2630" s="28" t="s">
        <v>146</v>
      </c>
      <c r="G2630" s="27" t="s">
        <v>3537</v>
      </c>
      <c r="H2630" s="27" t="s">
        <v>57</v>
      </c>
      <c r="I2630" s="27" t="s">
        <v>49</v>
      </c>
      <c r="J2630" s="28" t="s">
        <v>1047</v>
      </c>
      <c r="K2630" s="27" t="s">
        <v>45</v>
      </c>
      <c r="L2630" s="27"/>
    </row>
    <row r="2631" customFormat="false" ht="15" hidden="false" customHeight="false" outlineLevel="0" collapsed="false">
      <c r="A2631" s="26" t="s">
        <v>9547</v>
      </c>
      <c r="B2631" s="27" t="s">
        <v>9548</v>
      </c>
      <c r="C2631" s="27" t="s">
        <v>144</v>
      </c>
      <c r="D2631" s="26" t="s">
        <v>9549</v>
      </c>
      <c r="E2631" s="27" t="s">
        <v>9550</v>
      </c>
      <c r="F2631" s="28" t="s">
        <v>146</v>
      </c>
      <c r="G2631" s="27" t="s">
        <v>3537</v>
      </c>
      <c r="H2631" s="27" t="s">
        <v>57</v>
      </c>
      <c r="I2631" s="27" t="s">
        <v>41</v>
      </c>
      <c r="J2631" s="28" t="s">
        <v>1047</v>
      </c>
      <c r="K2631" s="27" t="s">
        <v>45</v>
      </c>
      <c r="L2631" s="27"/>
    </row>
    <row r="2632" customFormat="false" ht="15" hidden="false" customHeight="false" outlineLevel="0" collapsed="false">
      <c r="A2632" s="26" t="s">
        <v>9551</v>
      </c>
      <c r="B2632" s="27" t="s">
        <v>9552</v>
      </c>
      <c r="C2632" s="27" t="s">
        <v>144</v>
      </c>
      <c r="D2632" s="26" t="s">
        <v>9553</v>
      </c>
      <c r="E2632" s="27" t="s">
        <v>9554</v>
      </c>
      <c r="F2632" s="28" t="s">
        <v>146</v>
      </c>
      <c r="G2632" s="27" t="s">
        <v>3537</v>
      </c>
      <c r="H2632" s="27" t="s">
        <v>57</v>
      </c>
      <c r="I2632" s="27" t="s">
        <v>41</v>
      </c>
      <c r="J2632" s="28" t="s">
        <v>1047</v>
      </c>
      <c r="K2632" s="27" t="s">
        <v>45</v>
      </c>
      <c r="L2632" s="27"/>
    </row>
    <row r="2633" customFormat="false" ht="15" hidden="false" customHeight="false" outlineLevel="0" collapsed="false">
      <c r="A2633" s="26" t="s">
        <v>9555</v>
      </c>
      <c r="B2633" s="27" t="s">
        <v>9556</v>
      </c>
      <c r="C2633" s="27" t="s">
        <v>144</v>
      </c>
      <c r="D2633" s="26" t="s">
        <v>9557</v>
      </c>
      <c r="E2633" s="27" t="s">
        <v>9558</v>
      </c>
      <c r="F2633" s="28" t="s">
        <v>146</v>
      </c>
      <c r="G2633" s="27" t="s">
        <v>3537</v>
      </c>
      <c r="H2633" s="27" t="s">
        <v>57</v>
      </c>
      <c r="I2633" s="27" t="s">
        <v>41</v>
      </c>
      <c r="J2633" s="28" t="s">
        <v>1047</v>
      </c>
      <c r="K2633" s="27" t="s">
        <v>45</v>
      </c>
      <c r="L2633" s="27"/>
    </row>
    <row r="2634" customFormat="false" ht="15" hidden="false" customHeight="false" outlineLevel="0" collapsed="false">
      <c r="A2634" s="26" t="s">
        <v>9559</v>
      </c>
      <c r="B2634" s="27" t="s">
        <v>9560</v>
      </c>
      <c r="C2634" s="27" t="s">
        <v>144</v>
      </c>
      <c r="D2634" s="26" t="s">
        <v>9561</v>
      </c>
      <c r="E2634" s="27" t="s">
        <v>9562</v>
      </c>
      <c r="F2634" s="28" t="s">
        <v>146</v>
      </c>
      <c r="G2634" s="27" t="s">
        <v>3537</v>
      </c>
      <c r="H2634" s="27" t="s">
        <v>57</v>
      </c>
      <c r="I2634" s="27" t="s">
        <v>39</v>
      </c>
      <c r="J2634" s="28" t="s">
        <v>1047</v>
      </c>
      <c r="K2634" s="27" t="s">
        <v>45</v>
      </c>
      <c r="L2634" s="27"/>
    </row>
    <row r="2635" customFormat="false" ht="15" hidden="false" customHeight="false" outlineLevel="0" collapsed="false">
      <c r="A2635" s="26" t="s">
        <v>9563</v>
      </c>
      <c r="B2635" s="27" t="s">
        <v>9564</v>
      </c>
      <c r="C2635" s="27" t="s">
        <v>144</v>
      </c>
      <c r="D2635" s="26" t="s">
        <v>9565</v>
      </c>
      <c r="E2635" s="27" t="s">
        <v>9566</v>
      </c>
      <c r="F2635" s="28" t="s">
        <v>146</v>
      </c>
      <c r="G2635" s="27" t="s">
        <v>3537</v>
      </c>
      <c r="H2635" s="27" t="s">
        <v>57</v>
      </c>
      <c r="I2635" s="27" t="s">
        <v>42</v>
      </c>
      <c r="J2635" s="28" t="s">
        <v>1047</v>
      </c>
      <c r="K2635" s="27" t="s">
        <v>45</v>
      </c>
      <c r="L2635" s="27"/>
    </row>
    <row r="2636" customFormat="false" ht="15" hidden="false" customHeight="false" outlineLevel="0" collapsed="false">
      <c r="A2636" s="26" t="s">
        <v>9567</v>
      </c>
      <c r="B2636" s="27" t="s">
        <v>9568</v>
      </c>
      <c r="C2636" s="27" t="s">
        <v>144</v>
      </c>
      <c r="D2636" s="26" t="s">
        <v>9569</v>
      </c>
      <c r="E2636" s="27" t="s">
        <v>9570</v>
      </c>
      <c r="F2636" s="28" t="s">
        <v>146</v>
      </c>
      <c r="G2636" s="27" t="s">
        <v>3537</v>
      </c>
      <c r="H2636" s="27" t="s">
        <v>57</v>
      </c>
      <c r="I2636" s="27" t="s">
        <v>41</v>
      </c>
      <c r="J2636" s="28" t="s">
        <v>1047</v>
      </c>
      <c r="K2636" s="27" t="s">
        <v>45</v>
      </c>
      <c r="L2636" s="27"/>
    </row>
    <row r="2637" customFormat="false" ht="15" hidden="false" customHeight="false" outlineLevel="0" collapsed="false">
      <c r="A2637" s="26" t="s">
        <v>9571</v>
      </c>
      <c r="B2637" s="27" t="s">
        <v>9572</v>
      </c>
      <c r="C2637" s="27" t="s">
        <v>144</v>
      </c>
      <c r="D2637" s="26" t="s">
        <v>9573</v>
      </c>
      <c r="E2637" s="27" t="s">
        <v>9574</v>
      </c>
      <c r="F2637" s="28" t="s">
        <v>146</v>
      </c>
      <c r="G2637" s="27" t="s">
        <v>3537</v>
      </c>
      <c r="H2637" s="27" t="s">
        <v>57</v>
      </c>
      <c r="I2637" s="27" t="s">
        <v>39</v>
      </c>
      <c r="J2637" s="28" t="s">
        <v>1047</v>
      </c>
      <c r="K2637" s="27" t="s">
        <v>45</v>
      </c>
      <c r="L2637" s="27"/>
    </row>
    <row r="2638" customFormat="false" ht="15" hidden="false" customHeight="false" outlineLevel="0" collapsed="false">
      <c r="A2638" s="26" t="s">
        <v>9575</v>
      </c>
      <c r="B2638" s="27" t="s">
        <v>9576</v>
      </c>
      <c r="C2638" s="27" t="s">
        <v>144</v>
      </c>
      <c r="D2638" s="26" t="s">
        <v>9573</v>
      </c>
      <c r="E2638" s="27" t="s">
        <v>9574</v>
      </c>
      <c r="F2638" s="28" t="s">
        <v>146</v>
      </c>
      <c r="G2638" s="27" t="s">
        <v>3537</v>
      </c>
      <c r="H2638" s="27" t="s">
        <v>57</v>
      </c>
      <c r="I2638" s="27" t="s">
        <v>39</v>
      </c>
      <c r="J2638" s="28" t="s">
        <v>1047</v>
      </c>
      <c r="K2638" s="27" t="s">
        <v>45</v>
      </c>
      <c r="L2638" s="27"/>
    </row>
    <row r="2639" customFormat="false" ht="15" hidden="false" customHeight="false" outlineLevel="0" collapsed="false">
      <c r="A2639" s="26" t="s">
        <v>9577</v>
      </c>
      <c r="B2639" s="27" t="s">
        <v>9578</v>
      </c>
      <c r="C2639" s="27" t="s">
        <v>144</v>
      </c>
      <c r="D2639" s="26" t="s">
        <v>9579</v>
      </c>
      <c r="E2639" s="27" t="s">
        <v>9580</v>
      </c>
      <c r="F2639" s="28" t="s">
        <v>146</v>
      </c>
      <c r="G2639" s="27" t="s">
        <v>3537</v>
      </c>
      <c r="H2639" s="27" t="s">
        <v>57</v>
      </c>
      <c r="I2639" s="28" t="s">
        <v>50</v>
      </c>
      <c r="J2639" s="28" t="s">
        <v>1047</v>
      </c>
      <c r="K2639" s="27" t="s">
        <v>45</v>
      </c>
      <c r="L2639" s="27"/>
    </row>
    <row r="2640" customFormat="false" ht="15" hidden="false" customHeight="false" outlineLevel="0" collapsed="false">
      <c r="A2640" s="26" t="s">
        <v>9581</v>
      </c>
      <c r="B2640" s="27" t="s">
        <v>9582</v>
      </c>
      <c r="C2640" s="27" t="s">
        <v>144</v>
      </c>
      <c r="D2640" s="26" t="s">
        <v>9583</v>
      </c>
      <c r="E2640" s="27" t="s">
        <v>9584</v>
      </c>
      <c r="F2640" s="28" t="s">
        <v>146</v>
      </c>
      <c r="G2640" s="27" t="s">
        <v>3537</v>
      </c>
      <c r="H2640" s="27" t="s">
        <v>57</v>
      </c>
      <c r="I2640" s="27" t="s">
        <v>42</v>
      </c>
      <c r="J2640" s="28" t="s">
        <v>1047</v>
      </c>
      <c r="K2640" s="27" t="s">
        <v>45</v>
      </c>
      <c r="L2640" s="27"/>
    </row>
    <row r="2641" customFormat="false" ht="15" hidden="false" customHeight="false" outlineLevel="0" collapsed="false">
      <c r="A2641" s="26" t="s">
        <v>9585</v>
      </c>
      <c r="B2641" s="27" t="s">
        <v>9586</v>
      </c>
      <c r="C2641" s="27" t="s">
        <v>144</v>
      </c>
      <c r="D2641" s="26" t="s">
        <v>9587</v>
      </c>
      <c r="E2641" s="27" t="s">
        <v>9588</v>
      </c>
      <c r="F2641" s="28" t="s">
        <v>146</v>
      </c>
      <c r="G2641" s="27" t="s">
        <v>3537</v>
      </c>
      <c r="H2641" s="27" t="s">
        <v>57</v>
      </c>
      <c r="I2641" s="27" t="s">
        <v>41</v>
      </c>
      <c r="J2641" s="28" t="s">
        <v>1047</v>
      </c>
      <c r="K2641" s="27" t="s">
        <v>45</v>
      </c>
      <c r="L2641" s="27"/>
    </row>
    <row r="2642" customFormat="false" ht="15" hidden="false" customHeight="false" outlineLevel="0" collapsed="false">
      <c r="A2642" s="26" t="s">
        <v>9589</v>
      </c>
      <c r="B2642" s="27" t="s">
        <v>9590</v>
      </c>
      <c r="C2642" s="27" t="s">
        <v>137</v>
      </c>
      <c r="D2642" s="26" t="s">
        <v>9591</v>
      </c>
      <c r="E2642" s="27" t="s">
        <v>9592</v>
      </c>
      <c r="F2642" s="28" t="s">
        <v>140</v>
      </c>
      <c r="G2642" s="27" t="s">
        <v>3537</v>
      </c>
      <c r="H2642" s="27" t="s">
        <v>57</v>
      </c>
      <c r="I2642" s="27" t="s">
        <v>41</v>
      </c>
      <c r="J2642" s="28" t="s">
        <v>1047</v>
      </c>
      <c r="K2642" s="27" t="s">
        <v>45</v>
      </c>
      <c r="L2642" s="27"/>
    </row>
    <row r="2643" customFormat="false" ht="15" hidden="false" customHeight="false" outlineLevel="0" collapsed="false">
      <c r="A2643" s="26" t="s">
        <v>9593</v>
      </c>
      <c r="B2643" s="27" t="s">
        <v>9594</v>
      </c>
      <c r="C2643" s="27" t="s">
        <v>137</v>
      </c>
      <c r="D2643" s="26" t="s">
        <v>9595</v>
      </c>
      <c r="E2643" s="27" t="s">
        <v>9596</v>
      </c>
      <c r="F2643" s="28" t="s">
        <v>140</v>
      </c>
      <c r="G2643" s="27" t="s">
        <v>3537</v>
      </c>
      <c r="H2643" s="27" t="s">
        <v>57</v>
      </c>
      <c r="I2643" s="27" t="s">
        <v>41</v>
      </c>
      <c r="J2643" s="28" t="s">
        <v>1047</v>
      </c>
      <c r="K2643" s="27" t="s">
        <v>45</v>
      </c>
      <c r="L2643" s="27"/>
    </row>
    <row r="2644" customFormat="false" ht="15" hidden="false" customHeight="false" outlineLevel="0" collapsed="false">
      <c r="A2644" s="26" t="s">
        <v>9597</v>
      </c>
      <c r="B2644" s="27" t="s">
        <v>9598</v>
      </c>
      <c r="C2644" s="27" t="s">
        <v>137</v>
      </c>
      <c r="D2644" s="26" t="s">
        <v>9599</v>
      </c>
      <c r="E2644" s="27" t="s">
        <v>9600</v>
      </c>
      <c r="F2644" s="28" t="s">
        <v>140</v>
      </c>
      <c r="G2644" s="27" t="s">
        <v>3537</v>
      </c>
      <c r="H2644" s="27" t="s">
        <v>57</v>
      </c>
      <c r="I2644" s="27" t="s">
        <v>41</v>
      </c>
      <c r="J2644" s="28" t="s">
        <v>1047</v>
      </c>
      <c r="K2644" s="27" t="s">
        <v>45</v>
      </c>
      <c r="L2644" s="27"/>
    </row>
    <row r="2645" customFormat="false" ht="15" hidden="false" customHeight="false" outlineLevel="0" collapsed="false">
      <c r="A2645" s="26" t="s">
        <v>9601</v>
      </c>
      <c r="B2645" s="27" t="s">
        <v>9602</v>
      </c>
      <c r="C2645" s="27" t="s">
        <v>137</v>
      </c>
      <c r="D2645" s="26" t="s">
        <v>9603</v>
      </c>
      <c r="E2645" s="27" t="s">
        <v>9604</v>
      </c>
      <c r="F2645" s="28" t="s">
        <v>140</v>
      </c>
      <c r="G2645" s="27" t="s">
        <v>3537</v>
      </c>
      <c r="H2645" s="27" t="s">
        <v>57</v>
      </c>
      <c r="I2645" s="27" t="s">
        <v>41</v>
      </c>
      <c r="J2645" s="28" t="s">
        <v>1047</v>
      </c>
      <c r="K2645" s="27" t="s">
        <v>45</v>
      </c>
      <c r="L2645" s="27"/>
    </row>
    <row r="2646" customFormat="false" ht="15" hidden="false" customHeight="false" outlineLevel="0" collapsed="false">
      <c r="A2646" s="26" t="s">
        <v>9605</v>
      </c>
      <c r="B2646" s="27" t="s">
        <v>9606</v>
      </c>
      <c r="C2646" s="27" t="s">
        <v>144</v>
      </c>
      <c r="D2646" s="26" t="s">
        <v>9607</v>
      </c>
      <c r="E2646" s="27" t="s">
        <v>9608</v>
      </c>
      <c r="F2646" s="28" t="s">
        <v>146</v>
      </c>
      <c r="G2646" s="27" t="s">
        <v>3537</v>
      </c>
      <c r="H2646" s="27" t="s">
        <v>57</v>
      </c>
      <c r="I2646" s="27" t="s">
        <v>40</v>
      </c>
      <c r="J2646" s="28" t="s">
        <v>1047</v>
      </c>
      <c r="K2646" s="27" t="s">
        <v>45</v>
      </c>
      <c r="L2646" s="27"/>
    </row>
    <row r="2647" customFormat="false" ht="15" hidden="false" customHeight="false" outlineLevel="0" collapsed="false">
      <c r="A2647" s="26" t="s">
        <v>9609</v>
      </c>
      <c r="B2647" s="27" t="s">
        <v>9610</v>
      </c>
      <c r="C2647" s="27" t="s">
        <v>144</v>
      </c>
      <c r="D2647" s="26" t="s">
        <v>9611</v>
      </c>
      <c r="E2647" s="27" t="s">
        <v>9612</v>
      </c>
      <c r="F2647" s="28" t="s">
        <v>146</v>
      </c>
      <c r="G2647" s="27" t="s">
        <v>3537</v>
      </c>
      <c r="H2647" s="27" t="s">
        <v>57</v>
      </c>
      <c r="I2647" s="28" t="s">
        <v>46</v>
      </c>
      <c r="J2647" s="28" t="s">
        <v>1047</v>
      </c>
      <c r="K2647" s="27" t="s">
        <v>45</v>
      </c>
      <c r="L2647" s="27"/>
    </row>
    <row r="2648" customFormat="false" ht="15" hidden="false" customHeight="false" outlineLevel="0" collapsed="false">
      <c r="A2648" s="26" t="s">
        <v>9613</v>
      </c>
      <c r="B2648" s="27" t="s">
        <v>9614</v>
      </c>
      <c r="C2648" s="27" t="s">
        <v>144</v>
      </c>
      <c r="D2648" s="26" t="s">
        <v>9615</v>
      </c>
      <c r="E2648" s="27" t="s">
        <v>9616</v>
      </c>
      <c r="F2648" s="28" t="s">
        <v>146</v>
      </c>
      <c r="G2648" s="27" t="s">
        <v>3537</v>
      </c>
      <c r="H2648" s="27" t="s">
        <v>57</v>
      </c>
      <c r="I2648" s="27" t="s">
        <v>41</v>
      </c>
      <c r="J2648" s="28" t="s">
        <v>1047</v>
      </c>
      <c r="K2648" s="27" t="s">
        <v>45</v>
      </c>
      <c r="L2648" s="27"/>
    </row>
    <row r="2649" customFormat="false" ht="15" hidden="false" customHeight="false" outlineLevel="0" collapsed="false">
      <c r="A2649" s="26" t="s">
        <v>9617</v>
      </c>
      <c r="B2649" s="27" t="s">
        <v>9618</v>
      </c>
      <c r="C2649" s="27" t="s">
        <v>144</v>
      </c>
      <c r="D2649" s="26" t="s">
        <v>9619</v>
      </c>
      <c r="E2649" s="27" t="s">
        <v>9620</v>
      </c>
      <c r="F2649" s="28" t="s">
        <v>146</v>
      </c>
      <c r="G2649" s="27" t="s">
        <v>3537</v>
      </c>
      <c r="H2649" s="27" t="s">
        <v>57</v>
      </c>
      <c r="I2649" s="27" t="s">
        <v>48</v>
      </c>
      <c r="J2649" s="28" t="s">
        <v>1047</v>
      </c>
      <c r="K2649" s="27" t="s">
        <v>45</v>
      </c>
      <c r="L2649" s="27"/>
    </row>
    <row r="2650" customFormat="false" ht="15" hidden="false" customHeight="false" outlineLevel="0" collapsed="false">
      <c r="A2650" s="26" t="s">
        <v>9621</v>
      </c>
      <c r="B2650" s="27" t="s">
        <v>9622</v>
      </c>
      <c r="C2650" s="27" t="s">
        <v>144</v>
      </c>
      <c r="D2650" s="26" t="s">
        <v>9623</v>
      </c>
      <c r="E2650" s="27" t="s">
        <v>9624</v>
      </c>
      <c r="F2650" s="28" t="s">
        <v>146</v>
      </c>
      <c r="G2650" s="27" t="s">
        <v>3537</v>
      </c>
      <c r="H2650" s="27" t="s">
        <v>57</v>
      </c>
      <c r="I2650" s="27" t="s">
        <v>40</v>
      </c>
      <c r="J2650" s="28" t="s">
        <v>1047</v>
      </c>
      <c r="K2650" s="27" t="s">
        <v>45</v>
      </c>
      <c r="L2650" s="27"/>
    </row>
    <row r="2651" customFormat="false" ht="15" hidden="false" customHeight="false" outlineLevel="0" collapsed="false">
      <c r="A2651" s="26" t="s">
        <v>9625</v>
      </c>
      <c r="B2651" s="27" t="s">
        <v>9626</v>
      </c>
      <c r="C2651" s="27" t="s">
        <v>144</v>
      </c>
      <c r="D2651" s="26" t="s">
        <v>9627</v>
      </c>
      <c r="E2651" s="27" t="s">
        <v>9628</v>
      </c>
      <c r="F2651" s="28" t="s">
        <v>1158</v>
      </c>
      <c r="G2651" s="27" t="s">
        <v>3537</v>
      </c>
      <c r="H2651" s="27" t="s">
        <v>57</v>
      </c>
      <c r="I2651" s="27" t="s">
        <v>40</v>
      </c>
      <c r="J2651" s="28" t="s">
        <v>1047</v>
      </c>
      <c r="K2651" s="27" t="s">
        <v>45</v>
      </c>
      <c r="L2651" s="27"/>
    </row>
    <row r="2652" customFormat="false" ht="15" hidden="false" customHeight="false" outlineLevel="0" collapsed="false">
      <c r="A2652" s="26" t="s">
        <v>9629</v>
      </c>
      <c r="B2652" s="27" t="s">
        <v>9630</v>
      </c>
      <c r="C2652" s="27" t="s">
        <v>144</v>
      </c>
      <c r="D2652" s="26" t="s">
        <v>9631</v>
      </c>
      <c r="E2652" s="27" t="s">
        <v>9632</v>
      </c>
      <c r="F2652" s="28" t="s">
        <v>146</v>
      </c>
      <c r="G2652" s="27" t="s">
        <v>3537</v>
      </c>
      <c r="H2652" s="27" t="s">
        <v>57</v>
      </c>
      <c r="I2652" s="28" t="s">
        <v>46</v>
      </c>
      <c r="J2652" s="28" t="s">
        <v>1047</v>
      </c>
      <c r="K2652" s="27" t="s">
        <v>45</v>
      </c>
      <c r="L2652" s="27"/>
    </row>
    <row r="2653" customFormat="false" ht="15" hidden="false" customHeight="false" outlineLevel="0" collapsed="false">
      <c r="A2653" s="26" t="s">
        <v>9633</v>
      </c>
      <c r="B2653" s="27" t="s">
        <v>9634</v>
      </c>
      <c r="C2653" s="27" t="s">
        <v>1527</v>
      </c>
      <c r="D2653" s="26" t="s">
        <v>9635</v>
      </c>
      <c r="E2653" s="27" t="s">
        <v>9636</v>
      </c>
      <c r="F2653" s="28" t="s">
        <v>1529</v>
      </c>
      <c r="G2653" s="27" t="s">
        <v>3537</v>
      </c>
      <c r="H2653" s="27" t="s">
        <v>57</v>
      </c>
      <c r="I2653" s="27" t="s">
        <v>42</v>
      </c>
      <c r="J2653" s="28" t="s">
        <v>1047</v>
      </c>
      <c r="K2653" s="27" t="s">
        <v>45</v>
      </c>
      <c r="L2653" s="27"/>
    </row>
    <row r="2654" customFormat="false" ht="15" hidden="false" customHeight="false" outlineLevel="0" collapsed="false">
      <c r="A2654" s="26" t="s">
        <v>9637</v>
      </c>
      <c r="B2654" s="27" t="s">
        <v>9638</v>
      </c>
      <c r="C2654" s="27" t="s">
        <v>144</v>
      </c>
      <c r="D2654" s="26" t="s">
        <v>9639</v>
      </c>
      <c r="E2654" s="27" t="s">
        <v>9640</v>
      </c>
      <c r="F2654" s="28" t="s">
        <v>146</v>
      </c>
      <c r="G2654" s="27" t="s">
        <v>3537</v>
      </c>
      <c r="H2654" s="27" t="s">
        <v>57</v>
      </c>
      <c r="I2654" s="27" t="s">
        <v>42</v>
      </c>
      <c r="J2654" s="28" t="s">
        <v>1047</v>
      </c>
      <c r="K2654" s="27" t="s">
        <v>45</v>
      </c>
      <c r="L2654" s="27"/>
    </row>
    <row r="2655" customFormat="false" ht="15" hidden="false" customHeight="false" outlineLevel="0" collapsed="false">
      <c r="A2655" s="26" t="s">
        <v>9641</v>
      </c>
      <c r="B2655" s="27" t="s">
        <v>9642</v>
      </c>
      <c r="C2655" s="27" t="s">
        <v>144</v>
      </c>
      <c r="D2655" s="26" t="s">
        <v>9643</v>
      </c>
      <c r="E2655" s="27" t="s">
        <v>9644</v>
      </c>
      <c r="F2655" s="28" t="s">
        <v>146</v>
      </c>
      <c r="G2655" s="27" t="s">
        <v>3537</v>
      </c>
      <c r="H2655" s="27" t="s">
        <v>57</v>
      </c>
      <c r="I2655" s="28" t="s">
        <v>46</v>
      </c>
      <c r="J2655" s="28" t="s">
        <v>1047</v>
      </c>
      <c r="K2655" s="27" t="s">
        <v>45</v>
      </c>
      <c r="L2655" s="27"/>
    </row>
    <row r="2656" customFormat="false" ht="15" hidden="false" customHeight="false" outlineLevel="0" collapsed="false">
      <c r="A2656" s="26" t="s">
        <v>9645</v>
      </c>
      <c r="B2656" s="27" t="s">
        <v>9646</v>
      </c>
      <c r="C2656" s="27" t="s">
        <v>144</v>
      </c>
      <c r="D2656" s="26" t="s">
        <v>9647</v>
      </c>
      <c r="E2656" s="27" t="s">
        <v>9648</v>
      </c>
      <c r="F2656" s="28" t="s">
        <v>146</v>
      </c>
      <c r="G2656" s="27" t="s">
        <v>3537</v>
      </c>
      <c r="H2656" s="27" t="s">
        <v>57</v>
      </c>
      <c r="I2656" s="27" t="s">
        <v>37</v>
      </c>
      <c r="J2656" s="28" t="s">
        <v>1047</v>
      </c>
      <c r="K2656" s="27" t="s">
        <v>45</v>
      </c>
      <c r="L2656" s="27"/>
    </row>
    <row r="2657" customFormat="false" ht="15" hidden="false" customHeight="false" outlineLevel="0" collapsed="false">
      <c r="A2657" s="26" t="s">
        <v>9649</v>
      </c>
      <c r="B2657" s="27" t="s">
        <v>9650</v>
      </c>
      <c r="C2657" s="27" t="s">
        <v>100</v>
      </c>
      <c r="D2657" s="26" t="s">
        <v>9651</v>
      </c>
      <c r="E2657" s="27" t="s">
        <v>9652</v>
      </c>
      <c r="F2657" s="28" t="s">
        <v>102</v>
      </c>
      <c r="G2657" s="27" t="s">
        <v>3537</v>
      </c>
      <c r="H2657" s="27" t="s">
        <v>56</v>
      </c>
      <c r="I2657" s="27" t="s">
        <v>44</v>
      </c>
      <c r="J2657" s="28" t="s">
        <v>1080</v>
      </c>
      <c r="K2657" s="27" t="s">
        <v>44</v>
      </c>
      <c r="L2657" s="27"/>
    </row>
    <row r="2658" customFormat="false" ht="15" hidden="false" customHeight="false" outlineLevel="0" collapsed="false">
      <c r="A2658" s="26" t="s">
        <v>9653</v>
      </c>
      <c r="B2658" s="27" t="s">
        <v>9654</v>
      </c>
      <c r="C2658" s="27" t="s">
        <v>144</v>
      </c>
      <c r="D2658" s="26" t="s">
        <v>9655</v>
      </c>
      <c r="E2658" s="27" t="s">
        <v>9656</v>
      </c>
      <c r="F2658" s="28" t="s">
        <v>146</v>
      </c>
      <c r="G2658" s="27" t="s">
        <v>3537</v>
      </c>
      <c r="H2658" s="27" t="s">
        <v>57</v>
      </c>
      <c r="I2658" s="27" t="s">
        <v>42</v>
      </c>
      <c r="J2658" s="28" t="s">
        <v>1080</v>
      </c>
      <c r="K2658" s="27" t="s">
        <v>44</v>
      </c>
      <c r="L2658" s="27"/>
    </row>
    <row r="2659" customFormat="false" ht="15" hidden="false" customHeight="false" outlineLevel="0" collapsed="false">
      <c r="A2659" s="26" t="s">
        <v>9657</v>
      </c>
      <c r="B2659" s="27" t="s">
        <v>9658</v>
      </c>
      <c r="C2659" s="27" t="s">
        <v>100</v>
      </c>
      <c r="D2659" s="26" t="s">
        <v>9659</v>
      </c>
      <c r="E2659" s="27" t="s">
        <v>9660</v>
      </c>
      <c r="F2659" s="28" t="s">
        <v>102</v>
      </c>
      <c r="G2659" s="27" t="s">
        <v>3537</v>
      </c>
      <c r="H2659" s="27" t="s">
        <v>57</v>
      </c>
      <c r="I2659" s="27" t="s">
        <v>49</v>
      </c>
      <c r="J2659" s="28" t="s">
        <v>1080</v>
      </c>
      <c r="K2659" s="27" t="s">
        <v>44</v>
      </c>
      <c r="L2659" s="27"/>
    </row>
    <row r="2660" customFormat="false" ht="15" hidden="false" customHeight="false" outlineLevel="0" collapsed="false">
      <c r="A2660" s="26" t="s">
        <v>9661</v>
      </c>
      <c r="B2660" s="27" t="s">
        <v>9662</v>
      </c>
      <c r="C2660" s="27" t="s">
        <v>100</v>
      </c>
      <c r="D2660" s="26" t="s">
        <v>9663</v>
      </c>
      <c r="E2660" s="27" t="s">
        <v>9664</v>
      </c>
      <c r="F2660" s="28" t="s">
        <v>102</v>
      </c>
      <c r="G2660" s="27" t="s">
        <v>3537</v>
      </c>
      <c r="H2660" s="27" t="s">
        <v>56</v>
      </c>
      <c r="I2660" s="27" t="s">
        <v>44</v>
      </c>
      <c r="J2660" s="28" t="s">
        <v>1080</v>
      </c>
      <c r="K2660" s="27" t="s">
        <v>44</v>
      </c>
      <c r="L2660" s="27"/>
    </row>
    <row r="2661" customFormat="false" ht="15" hidden="false" customHeight="false" outlineLevel="0" collapsed="false">
      <c r="A2661" s="26" t="s">
        <v>9665</v>
      </c>
      <c r="B2661" s="27" t="s">
        <v>9666</v>
      </c>
      <c r="C2661" s="27" t="s">
        <v>100</v>
      </c>
      <c r="D2661" s="26" t="s">
        <v>9667</v>
      </c>
      <c r="E2661" s="27" t="s">
        <v>9668</v>
      </c>
      <c r="F2661" s="28" t="s">
        <v>102</v>
      </c>
      <c r="G2661" s="27" t="s">
        <v>3537</v>
      </c>
      <c r="H2661" s="27" t="s">
        <v>56</v>
      </c>
      <c r="I2661" s="27" t="s">
        <v>44</v>
      </c>
      <c r="J2661" s="28" t="s">
        <v>1080</v>
      </c>
      <c r="K2661" s="27" t="s">
        <v>44</v>
      </c>
      <c r="L2661" s="27"/>
    </row>
    <row r="2662" customFormat="false" ht="15" hidden="false" customHeight="false" outlineLevel="0" collapsed="false">
      <c r="A2662" s="26" t="s">
        <v>9669</v>
      </c>
      <c r="B2662" s="27" t="s">
        <v>9670</v>
      </c>
      <c r="C2662" s="27" t="s">
        <v>1087</v>
      </c>
      <c r="D2662" s="26" t="s">
        <v>9671</v>
      </c>
      <c r="E2662" s="28" t="s">
        <v>9672</v>
      </c>
      <c r="F2662" s="28" t="s">
        <v>1090</v>
      </c>
      <c r="G2662" s="27" t="s">
        <v>3537</v>
      </c>
      <c r="H2662" s="27" t="s">
        <v>56</v>
      </c>
      <c r="I2662" s="27" t="s">
        <v>44</v>
      </c>
      <c r="J2662" s="28" t="s">
        <v>1080</v>
      </c>
      <c r="K2662" s="27" t="s">
        <v>44</v>
      </c>
      <c r="L2662" s="27"/>
    </row>
    <row r="2663" customFormat="false" ht="15" hidden="false" customHeight="false" outlineLevel="0" collapsed="false">
      <c r="A2663" s="26" t="s">
        <v>9673</v>
      </c>
      <c r="B2663" s="27" t="s">
        <v>9674</v>
      </c>
      <c r="C2663" s="27" t="s">
        <v>1087</v>
      </c>
      <c r="D2663" s="26" t="s">
        <v>9675</v>
      </c>
      <c r="E2663" s="27" t="s">
        <v>9676</v>
      </c>
      <c r="F2663" s="28" t="s">
        <v>1090</v>
      </c>
      <c r="G2663" s="27" t="s">
        <v>3537</v>
      </c>
      <c r="H2663" s="27" t="s">
        <v>56</v>
      </c>
      <c r="I2663" s="27" t="s">
        <v>44</v>
      </c>
      <c r="J2663" s="28" t="s">
        <v>1080</v>
      </c>
      <c r="K2663" s="27" t="s">
        <v>44</v>
      </c>
      <c r="L2663" s="27"/>
    </row>
    <row r="2664" customFormat="false" ht="15" hidden="false" customHeight="false" outlineLevel="0" collapsed="false">
      <c r="A2664" s="26" t="s">
        <v>9677</v>
      </c>
      <c r="B2664" s="27" t="s">
        <v>9678</v>
      </c>
      <c r="C2664" s="27" t="s">
        <v>1087</v>
      </c>
      <c r="D2664" s="26" t="s">
        <v>1088</v>
      </c>
      <c r="E2664" s="27" t="s">
        <v>1089</v>
      </c>
      <c r="F2664" s="28" t="s">
        <v>1090</v>
      </c>
      <c r="G2664" s="27" t="s">
        <v>3537</v>
      </c>
      <c r="H2664" s="27" t="s">
        <v>57</v>
      </c>
      <c r="I2664" s="27" t="s">
        <v>45</v>
      </c>
      <c r="J2664" s="28" t="s">
        <v>1080</v>
      </c>
      <c r="K2664" s="27" t="s">
        <v>44</v>
      </c>
      <c r="L2664" s="27"/>
    </row>
    <row r="2665" customFormat="false" ht="15" hidden="false" customHeight="false" outlineLevel="0" collapsed="false">
      <c r="A2665" s="26" t="s">
        <v>9679</v>
      </c>
      <c r="B2665" s="27" t="s">
        <v>9680</v>
      </c>
      <c r="C2665" s="27" t="s">
        <v>1087</v>
      </c>
      <c r="D2665" s="26" t="s">
        <v>9681</v>
      </c>
      <c r="E2665" s="27" t="s">
        <v>9682</v>
      </c>
      <c r="F2665" s="28" t="s">
        <v>1090</v>
      </c>
      <c r="G2665" s="27" t="s">
        <v>3537</v>
      </c>
      <c r="H2665" s="27" t="s">
        <v>56</v>
      </c>
      <c r="I2665" s="27" t="s">
        <v>44</v>
      </c>
      <c r="J2665" s="28" t="s">
        <v>1080</v>
      </c>
      <c r="K2665" s="27" t="s">
        <v>44</v>
      </c>
      <c r="L2665" s="27"/>
    </row>
    <row r="2666" customFormat="false" ht="15" hidden="false" customHeight="false" outlineLevel="0" collapsed="false">
      <c r="A2666" s="26" t="s">
        <v>9683</v>
      </c>
      <c r="B2666" s="27" t="s">
        <v>9684</v>
      </c>
      <c r="C2666" s="27" t="s">
        <v>137</v>
      </c>
      <c r="D2666" s="26" t="s">
        <v>9685</v>
      </c>
      <c r="E2666" s="27" t="s">
        <v>9686</v>
      </c>
      <c r="F2666" s="28" t="s">
        <v>140</v>
      </c>
      <c r="G2666" s="27" t="s">
        <v>3537</v>
      </c>
      <c r="H2666" s="27" t="s">
        <v>56</v>
      </c>
      <c r="I2666" s="27" t="s">
        <v>44</v>
      </c>
      <c r="J2666" s="28" t="s">
        <v>1080</v>
      </c>
      <c r="K2666" s="27" t="s">
        <v>44</v>
      </c>
      <c r="L2666" s="27"/>
    </row>
    <row r="2667" customFormat="false" ht="15" hidden="false" customHeight="false" outlineLevel="0" collapsed="false">
      <c r="A2667" s="26" t="s">
        <v>9687</v>
      </c>
      <c r="B2667" s="27" t="s">
        <v>9688</v>
      </c>
      <c r="C2667" s="27" t="s">
        <v>1087</v>
      </c>
      <c r="D2667" s="26" t="s">
        <v>9689</v>
      </c>
      <c r="E2667" s="27" t="s">
        <v>9690</v>
      </c>
      <c r="F2667" s="28" t="s">
        <v>1090</v>
      </c>
      <c r="G2667" s="27" t="s">
        <v>3537</v>
      </c>
      <c r="H2667" s="27" t="s">
        <v>56</v>
      </c>
      <c r="I2667" s="27" t="s">
        <v>44</v>
      </c>
      <c r="J2667" s="28" t="s">
        <v>1080</v>
      </c>
      <c r="K2667" s="27" t="s">
        <v>44</v>
      </c>
      <c r="L2667" s="27"/>
    </row>
    <row r="2668" customFormat="false" ht="15" hidden="false" customHeight="false" outlineLevel="0" collapsed="false">
      <c r="A2668" s="26" t="s">
        <v>9691</v>
      </c>
      <c r="B2668" s="27" t="s">
        <v>9692</v>
      </c>
      <c r="C2668" s="27" t="s">
        <v>1087</v>
      </c>
      <c r="D2668" s="26" t="s">
        <v>9675</v>
      </c>
      <c r="E2668" s="27" t="s">
        <v>9676</v>
      </c>
      <c r="F2668" s="28" t="s">
        <v>1090</v>
      </c>
      <c r="G2668" s="27" t="s">
        <v>3537</v>
      </c>
      <c r="H2668" s="27" t="s">
        <v>56</v>
      </c>
      <c r="I2668" s="27" t="s">
        <v>44</v>
      </c>
      <c r="J2668" s="28" t="s">
        <v>1080</v>
      </c>
      <c r="K2668" s="27" t="s">
        <v>44</v>
      </c>
      <c r="L2668" s="27"/>
    </row>
    <row r="2669" customFormat="false" ht="15" hidden="false" customHeight="false" outlineLevel="0" collapsed="false">
      <c r="A2669" s="26" t="s">
        <v>9693</v>
      </c>
      <c r="B2669" s="27" t="s">
        <v>9694</v>
      </c>
      <c r="C2669" s="27" t="s">
        <v>144</v>
      </c>
      <c r="D2669" s="26" t="s">
        <v>9695</v>
      </c>
      <c r="E2669" s="27" t="s">
        <v>9696</v>
      </c>
      <c r="F2669" s="28" t="s">
        <v>146</v>
      </c>
      <c r="G2669" s="27" t="s">
        <v>3537</v>
      </c>
      <c r="H2669" s="27" t="s">
        <v>56</v>
      </c>
      <c r="I2669" s="27" t="s">
        <v>44</v>
      </c>
      <c r="J2669" s="28" t="s">
        <v>1080</v>
      </c>
      <c r="K2669" s="27" t="s">
        <v>44</v>
      </c>
      <c r="L2669" s="27"/>
    </row>
    <row r="2670" customFormat="false" ht="15" hidden="false" customHeight="false" outlineLevel="0" collapsed="false">
      <c r="A2670" s="26" t="s">
        <v>9697</v>
      </c>
      <c r="B2670" s="27" t="s">
        <v>9698</v>
      </c>
      <c r="C2670" s="27" t="s">
        <v>1087</v>
      </c>
      <c r="D2670" s="26" t="s">
        <v>9699</v>
      </c>
      <c r="E2670" s="27" t="s">
        <v>9700</v>
      </c>
      <c r="F2670" s="28" t="s">
        <v>1090</v>
      </c>
      <c r="G2670" s="27" t="s">
        <v>3537</v>
      </c>
      <c r="H2670" s="27" t="s">
        <v>56</v>
      </c>
      <c r="I2670" s="27" t="s">
        <v>44</v>
      </c>
      <c r="J2670" s="28" t="s">
        <v>1080</v>
      </c>
      <c r="K2670" s="27" t="s">
        <v>44</v>
      </c>
      <c r="L2670" s="27"/>
    </row>
    <row r="2671" customFormat="false" ht="15" hidden="false" customHeight="false" outlineLevel="0" collapsed="false">
      <c r="A2671" s="26" t="s">
        <v>9701</v>
      </c>
      <c r="B2671" s="27" t="s">
        <v>9702</v>
      </c>
      <c r="C2671" s="27" t="s">
        <v>1087</v>
      </c>
      <c r="D2671" s="26" t="s">
        <v>9681</v>
      </c>
      <c r="E2671" s="27" t="s">
        <v>9682</v>
      </c>
      <c r="F2671" s="28" t="s">
        <v>1090</v>
      </c>
      <c r="G2671" s="27" t="s">
        <v>3537</v>
      </c>
      <c r="H2671" s="27" t="s">
        <v>56</v>
      </c>
      <c r="I2671" s="27" t="s">
        <v>44</v>
      </c>
      <c r="J2671" s="28" t="s">
        <v>1080</v>
      </c>
      <c r="K2671" s="27" t="s">
        <v>44</v>
      </c>
      <c r="L2671" s="27"/>
    </row>
    <row r="2672" customFormat="false" ht="15" hidden="false" customHeight="false" outlineLevel="0" collapsed="false">
      <c r="A2672" s="26" t="s">
        <v>9703</v>
      </c>
      <c r="B2672" s="27" t="s">
        <v>9704</v>
      </c>
      <c r="C2672" s="27" t="s">
        <v>1087</v>
      </c>
      <c r="D2672" s="26" t="s">
        <v>9675</v>
      </c>
      <c r="E2672" s="27" t="s">
        <v>9676</v>
      </c>
      <c r="F2672" s="28" t="s">
        <v>1090</v>
      </c>
      <c r="G2672" s="27" t="s">
        <v>3537</v>
      </c>
      <c r="H2672" s="27" t="s">
        <v>56</v>
      </c>
      <c r="I2672" s="27" t="s">
        <v>44</v>
      </c>
      <c r="J2672" s="28" t="s">
        <v>1080</v>
      </c>
      <c r="K2672" s="27" t="s">
        <v>44</v>
      </c>
      <c r="L2672" s="27"/>
    </row>
    <row r="2673" customFormat="false" ht="15" hidden="false" customHeight="false" outlineLevel="0" collapsed="false">
      <c r="A2673" s="26" t="s">
        <v>9705</v>
      </c>
      <c r="B2673" s="27" t="s">
        <v>9706</v>
      </c>
      <c r="C2673" s="27" t="s">
        <v>144</v>
      </c>
      <c r="D2673" s="26" t="s">
        <v>7438</v>
      </c>
      <c r="E2673" s="27" t="s">
        <v>7439</v>
      </c>
      <c r="F2673" s="28" t="s">
        <v>146</v>
      </c>
      <c r="G2673" s="27" t="s">
        <v>3537</v>
      </c>
      <c r="H2673" s="27" t="s">
        <v>57</v>
      </c>
      <c r="I2673" s="27" t="s">
        <v>38</v>
      </c>
      <c r="J2673" s="28" t="s">
        <v>9707</v>
      </c>
      <c r="K2673" s="28" t="s">
        <v>46</v>
      </c>
      <c r="L2673" s="27"/>
    </row>
    <row r="2674" customFormat="false" ht="15" hidden="false" customHeight="false" outlineLevel="0" collapsed="false">
      <c r="A2674" s="26" t="s">
        <v>9708</v>
      </c>
      <c r="B2674" s="27" t="s">
        <v>9709</v>
      </c>
      <c r="C2674" s="27" t="s">
        <v>144</v>
      </c>
      <c r="D2674" s="26" t="s">
        <v>9710</v>
      </c>
      <c r="E2674" s="27" t="s">
        <v>9711</v>
      </c>
      <c r="F2674" s="28" t="s">
        <v>146</v>
      </c>
      <c r="G2674" s="27" t="s">
        <v>3537</v>
      </c>
      <c r="H2674" s="27" t="s">
        <v>56</v>
      </c>
      <c r="I2674" s="28" t="s">
        <v>46</v>
      </c>
      <c r="J2674" s="28" t="s">
        <v>9707</v>
      </c>
      <c r="K2674" s="28" t="s">
        <v>46</v>
      </c>
      <c r="L2674" s="27"/>
    </row>
    <row r="2675" customFormat="false" ht="15" hidden="false" customHeight="false" outlineLevel="0" collapsed="false">
      <c r="A2675" s="26" t="s">
        <v>9712</v>
      </c>
      <c r="B2675" s="27" t="s">
        <v>9713</v>
      </c>
      <c r="C2675" s="27" t="s">
        <v>144</v>
      </c>
      <c r="D2675" s="26" t="s">
        <v>9714</v>
      </c>
      <c r="E2675" s="27" t="s">
        <v>9715</v>
      </c>
      <c r="F2675" s="28" t="s">
        <v>146</v>
      </c>
      <c r="G2675" s="27" t="s">
        <v>3537</v>
      </c>
      <c r="H2675" s="27" t="s">
        <v>56</v>
      </c>
      <c r="I2675" s="28" t="s">
        <v>46</v>
      </c>
      <c r="J2675" s="28" t="s">
        <v>9707</v>
      </c>
      <c r="K2675" s="28" t="s">
        <v>46</v>
      </c>
      <c r="L2675" s="27"/>
    </row>
    <row r="2676" customFormat="false" ht="15" hidden="false" customHeight="false" outlineLevel="0" collapsed="false">
      <c r="A2676" s="26" t="s">
        <v>9716</v>
      </c>
      <c r="B2676" s="27" t="s">
        <v>9717</v>
      </c>
      <c r="C2676" s="27" t="s">
        <v>144</v>
      </c>
      <c r="D2676" s="26" t="s">
        <v>3091</v>
      </c>
      <c r="E2676" s="27" t="s">
        <v>3092</v>
      </c>
      <c r="F2676" s="28" t="s">
        <v>146</v>
      </c>
      <c r="G2676" s="27" t="s">
        <v>3537</v>
      </c>
      <c r="H2676" s="27" t="s">
        <v>57</v>
      </c>
      <c r="I2676" s="28" t="s">
        <v>46</v>
      </c>
      <c r="J2676" s="28" t="s">
        <v>1106</v>
      </c>
      <c r="K2676" s="27" t="s">
        <v>40</v>
      </c>
      <c r="L2676" s="27"/>
    </row>
    <row r="2677" customFormat="false" ht="15" hidden="false" customHeight="false" outlineLevel="0" collapsed="false">
      <c r="A2677" s="26" t="s">
        <v>9718</v>
      </c>
      <c r="B2677" s="27" t="s">
        <v>9719</v>
      </c>
      <c r="C2677" s="27" t="s">
        <v>144</v>
      </c>
      <c r="D2677" s="26" t="s">
        <v>9720</v>
      </c>
      <c r="E2677" s="27" t="s">
        <v>9721</v>
      </c>
      <c r="F2677" s="28" t="s">
        <v>146</v>
      </c>
      <c r="G2677" s="27" t="s">
        <v>3537</v>
      </c>
      <c r="H2677" s="27" t="s">
        <v>56</v>
      </c>
      <c r="I2677" s="27" t="s">
        <v>40</v>
      </c>
      <c r="J2677" s="28" t="s">
        <v>1106</v>
      </c>
      <c r="K2677" s="27" t="s">
        <v>40</v>
      </c>
      <c r="L2677" s="27"/>
    </row>
    <row r="2678" customFormat="false" ht="15" hidden="false" customHeight="false" outlineLevel="0" collapsed="false">
      <c r="A2678" s="26" t="s">
        <v>9722</v>
      </c>
      <c r="B2678" s="27" t="s">
        <v>9723</v>
      </c>
      <c r="C2678" s="27" t="s">
        <v>144</v>
      </c>
      <c r="D2678" s="26" t="s">
        <v>9724</v>
      </c>
      <c r="E2678" s="27" t="s">
        <v>9725</v>
      </c>
      <c r="F2678" s="28" t="s">
        <v>146</v>
      </c>
      <c r="G2678" s="27" t="s">
        <v>3537</v>
      </c>
      <c r="H2678" s="27" t="s">
        <v>57</v>
      </c>
      <c r="I2678" s="27" t="s">
        <v>39</v>
      </c>
      <c r="J2678" s="28" t="s">
        <v>1106</v>
      </c>
      <c r="K2678" s="27" t="s">
        <v>40</v>
      </c>
      <c r="L2678" s="27"/>
    </row>
    <row r="2679" customFormat="false" ht="15" hidden="false" customHeight="false" outlineLevel="0" collapsed="false">
      <c r="A2679" s="26" t="s">
        <v>9726</v>
      </c>
      <c r="B2679" s="27" t="s">
        <v>9727</v>
      </c>
      <c r="C2679" s="27" t="s">
        <v>144</v>
      </c>
      <c r="D2679" s="26" t="s">
        <v>4344</v>
      </c>
      <c r="E2679" s="27" t="s">
        <v>4345</v>
      </c>
      <c r="F2679" s="28" t="s">
        <v>146</v>
      </c>
      <c r="G2679" s="27" t="s">
        <v>3537</v>
      </c>
      <c r="H2679" s="27" t="s">
        <v>56</v>
      </c>
      <c r="I2679" s="27" t="s">
        <v>40</v>
      </c>
      <c r="J2679" s="28" t="s">
        <v>1106</v>
      </c>
      <c r="K2679" s="27" t="s">
        <v>40</v>
      </c>
      <c r="L2679" s="27"/>
    </row>
    <row r="2680" customFormat="false" ht="15" hidden="false" customHeight="false" outlineLevel="0" collapsed="false">
      <c r="A2680" s="26" t="s">
        <v>9728</v>
      </c>
      <c r="B2680" s="27" t="s">
        <v>9729</v>
      </c>
      <c r="C2680" s="27" t="s">
        <v>370</v>
      </c>
      <c r="D2680" s="26" t="s">
        <v>9730</v>
      </c>
      <c r="E2680" s="27" t="s">
        <v>9731</v>
      </c>
      <c r="F2680" s="28" t="s">
        <v>373</v>
      </c>
      <c r="G2680" s="27" t="s">
        <v>3537</v>
      </c>
      <c r="H2680" s="27" t="s">
        <v>57</v>
      </c>
      <c r="I2680" s="27" t="s">
        <v>1800</v>
      </c>
      <c r="J2680" s="28" t="s">
        <v>1106</v>
      </c>
      <c r="K2680" s="27" t="s">
        <v>40</v>
      </c>
      <c r="L2680" s="27"/>
    </row>
    <row r="2681" customFormat="false" ht="15" hidden="false" customHeight="false" outlineLevel="0" collapsed="false">
      <c r="A2681" s="26" t="s">
        <v>9732</v>
      </c>
      <c r="B2681" s="27" t="s">
        <v>9733</v>
      </c>
      <c r="C2681" s="27" t="s">
        <v>144</v>
      </c>
      <c r="D2681" s="26" t="s">
        <v>9734</v>
      </c>
      <c r="E2681" s="27" t="s">
        <v>9735</v>
      </c>
      <c r="F2681" s="28" t="s">
        <v>146</v>
      </c>
      <c r="G2681" s="27" t="s">
        <v>3537</v>
      </c>
      <c r="H2681" s="27" t="s">
        <v>57</v>
      </c>
      <c r="I2681" s="27" t="s">
        <v>48</v>
      </c>
      <c r="J2681" s="28" t="s">
        <v>1106</v>
      </c>
      <c r="K2681" s="27" t="s">
        <v>40</v>
      </c>
      <c r="L2681" s="27"/>
    </row>
    <row r="2682" customFormat="false" ht="15" hidden="false" customHeight="false" outlineLevel="0" collapsed="false">
      <c r="A2682" s="26" t="s">
        <v>9736</v>
      </c>
      <c r="B2682" s="27" t="s">
        <v>9737</v>
      </c>
      <c r="C2682" s="27" t="s">
        <v>144</v>
      </c>
      <c r="D2682" s="26" t="s">
        <v>9738</v>
      </c>
      <c r="E2682" s="27" t="s">
        <v>9739</v>
      </c>
      <c r="F2682" s="28" t="s">
        <v>146</v>
      </c>
      <c r="G2682" s="27" t="s">
        <v>3537</v>
      </c>
      <c r="H2682" s="27" t="s">
        <v>57</v>
      </c>
      <c r="I2682" s="27" t="s">
        <v>39</v>
      </c>
      <c r="J2682" s="28" t="s">
        <v>1106</v>
      </c>
      <c r="K2682" s="27" t="s">
        <v>40</v>
      </c>
      <c r="L2682" s="27"/>
    </row>
    <row r="2683" customFormat="false" ht="15" hidden="false" customHeight="false" outlineLevel="0" collapsed="false">
      <c r="A2683" s="26" t="s">
        <v>9740</v>
      </c>
      <c r="B2683" s="27" t="s">
        <v>9741</v>
      </c>
      <c r="C2683" s="27" t="s">
        <v>144</v>
      </c>
      <c r="D2683" s="26" t="s">
        <v>4230</v>
      </c>
      <c r="E2683" s="27" t="s">
        <v>4231</v>
      </c>
      <c r="F2683" s="28" t="s">
        <v>146</v>
      </c>
      <c r="G2683" s="27" t="s">
        <v>3537</v>
      </c>
      <c r="H2683" s="27" t="s">
        <v>56</v>
      </c>
      <c r="I2683" s="27" t="s">
        <v>40</v>
      </c>
      <c r="J2683" s="28" t="s">
        <v>1106</v>
      </c>
      <c r="K2683" s="27" t="s">
        <v>40</v>
      </c>
      <c r="L2683" s="27"/>
    </row>
    <row r="2684" customFormat="false" ht="15" hidden="false" customHeight="false" outlineLevel="0" collapsed="false">
      <c r="A2684" s="26" t="s">
        <v>9742</v>
      </c>
      <c r="B2684" s="27" t="s">
        <v>9743</v>
      </c>
      <c r="C2684" s="27" t="s">
        <v>144</v>
      </c>
      <c r="D2684" s="26" t="s">
        <v>9744</v>
      </c>
      <c r="E2684" s="27" t="s">
        <v>9745</v>
      </c>
      <c r="F2684" s="28" t="s">
        <v>146</v>
      </c>
      <c r="G2684" s="27" t="s">
        <v>3537</v>
      </c>
      <c r="H2684" s="27" t="s">
        <v>57</v>
      </c>
      <c r="I2684" s="27" t="s">
        <v>43</v>
      </c>
      <c r="J2684" s="28" t="s">
        <v>1106</v>
      </c>
      <c r="K2684" s="27" t="s">
        <v>40</v>
      </c>
      <c r="L2684" s="27"/>
    </row>
    <row r="2685" customFormat="false" ht="15" hidden="false" customHeight="false" outlineLevel="0" collapsed="false">
      <c r="A2685" s="26" t="s">
        <v>9746</v>
      </c>
      <c r="B2685" s="27" t="s">
        <v>9747</v>
      </c>
      <c r="C2685" s="27" t="s">
        <v>144</v>
      </c>
      <c r="D2685" s="26" t="s">
        <v>9748</v>
      </c>
      <c r="E2685" s="27" t="s">
        <v>9749</v>
      </c>
      <c r="F2685" s="28" t="s">
        <v>146</v>
      </c>
      <c r="G2685" s="27" t="s">
        <v>3537</v>
      </c>
      <c r="H2685" s="27" t="s">
        <v>57</v>
      </c>
      <c r="I2685" s="27" t="s">
        <v>39</v>
      </c>
      <c r="J2685" s="28" t="s">
        <v>1106</v>
      </c>
      <c r="K2685" s="27" t="s">
        <v>40</v>
      </c>
      <c r="L2685" s="27"/>
    </row>
    <row r="2686" customFormat="false" ht="15" hidden="false" customHeight="false" outlineLevel="0" collapsed="false">
      <c r="A2686" s="26" t="s">
        <v>9750</v>
      </c>
      <c r="B2686" s="27" t="s">
        <v>9751</v>
      </c>
      <c r="C2686" s="27" t="s">
        <v>144</v>
      </c>
      <c r="D2686" s="26" t="s">
        <v>9752</v>
      </c>
      <c r="E2686" s="27" t="s">
        <v>9753</v>
      </c>
      <c r="F2686" s="28" t="s">
        <v>146</v>
      </c>
      <c r="G2686" s="27" t="s">
        <v>3537</v>
      </c>
      <c r="H2686" s="27" t="s">
        <v>57</v>
      </c>
      <c r="I2686" s="27" t="s">
        <v>39</v>
      </c>
      <c r="J2686" s="28" t="s">
        <v>1106</v>
      </c>
      <c r="K2686" s="27" t="s">
        <v>40</v>
      </c>
      <c r="L2686" s="27"/>
    </row>
    <row r="2687" customFormat="false" ht="15" hidden="false" customHeight="false" outlineLevel="0" collapsed="false">
      <c r="A2687" s="26" t="s">
        <v>9754</v>
      </c>
      <c r="B2687" s="27" t="s">
        <v>9755</v>
      </c>
      <c r="C2687" s="27" t="s">
        <v>144</v>
      </c>
      <c r="D2687" s="26" t="s">
        <v>9756</v>
      </c>
      <c r="E2687" s="27" t="s">
        <v>9757</v>
      </c>
      <c r="F2687" s="28" t="s">
        <v>146</v>
      </c>
      <c r="G2687" s="27" t="s">
        <v>3537</v>
      </c>
      <c r="H2687" s="27" t="s">
        <v>57</v>
      </c>
      <c r="I2687" s="27" t="s">
        <v>39</v>
      </c>
      <c r="J2687" s="28" t="s">
        <v>1106</v>
      </c>
      <c r="K2687" s="27" t="s">
        <v>40</v>
      </c>
      <c r="L2687" s="27"/>
    </row>
    <row r="2688" customFormat="false" ht="15" hidden="false" customHeight="false" outlineLevel="0" collapsed="false">
      <c r="A2688" s="26" t="s">
        <v>9758</v>
      </c>
      <c r="B2688" s="27" t="s">
        <v>9759</v>
      </c>
      <c r="C2688" s="27" t="s">
        <v>144</v>
      </c>
      <c r="D2688" s="26" t="s">
        <v>9760</v>
      </c>
      <c r="E2688" s="27" t="s">
        <v>9761</v>
      </c>
      <c r="F2688" s="28" t="s">
        <v>146</v>
      </c>
      <c r="G2688" s="27" t="s">
        <v>3537</v>
      </c>
      <c r="H2688" s="27" t="s">
        <v>57</v>
      </c>
      <c r="I2688" s="27" t="s">
        <v>4159</v>
      </c>
      <c r="J2688" s="28" t="s">
        <v>1106</v>
      </c>
      <c r="K2688" s="27" t="s">
        <v>40</v>
      </c>
      <c r="L2688" s="27"/>
    </row>
    <row r="2689" customFormat="false" ht="15" hidden="false" customHeight="false" outlineLevel="0" collapsed="false">
      <c r="A2689" s="26" t="s">
        <v>9762</v>
      </c>
      <c r="B2689" s="27" t="s">
        <v>9763</v>
      </c>
      <c r="C2689" s="27" t="s">
        <v>144</v>
      </c>
      <c r="D2689" s="26" t="s">
        <v>4246</v>
      </c>
      <c r="E2689" s="27" t="s">
        <v>4247</v>
      </c>
      <c r="F2689" s="28" t="s">
        <v>146</v>
      </c>
      <c r="G2689" s="27" t="s">
        <v>3537</v>
      </c>
      <c r="H2689" s="27" t="s">
        <v>56</v>
      </c>
      <c r="I2689" s="27" t="s">
        <v>40</v>
      </c>
      <c r="J2689" s="28" t="s">
        <v>1106</v>
      </c>
      <c r="K2689" s="27" t="s">
        <v>40</v>
      </c>
      <c r="L2689" s="27"/>
    </row>
    <row r="2690" customFormat="false" ht="15" hidden="false" customHeight="false" outlineLevel="0" collapsed="false">
      <c r="A2690" s="26" t="s">
        <v>9764</v>
      </c>
      <c r="B2690" s="27" t="s">
        <v>9765</v>
      </c>
      <c r="C2690" s="27" t="s">
        <v>144</v>
      </c>
      <c r="D2690" s="26" t="s">
        <v>3975</v>
      </c>
      <c r="E2690" s="27" t="s">
        <v>3976</v>
      </c>
      <c r="F2690" s="28" t="s">
        <v>146</v>
      </c>
      <c r="G2690" s="27" t="s">
        <v>3537</v>
      </c>
      <c r="H2690" s="27" t="s">
        <v>56</v>
      </c>
      <c r="I2690" s="27" t="s">
        <v>40</v>
      </c>
      <c r="J2690" s="28" t="s">
        <v>1106</v>
      </c>
      <c r="K2690" s="27" t="s">
        <v>40</v>
      </c>
      <c r="L2690" s="27"/>
    </row>
    <row r="2691" customFormat="false" ht="15" hidden="false" customHeight="false" outlineLevel="0" collapsed="false">
      <c r="A2691" s="26" t="s">
        <v>9766</v>
      </c>
      <c r="B2691" s="27" t="s">
        <v>9767</v>
      </c>
      <c r="C2691" s="27" t="s">
        <v>144</v>
      </c>
      <c r="D2691" s="26" t="s">
        <v>4234</v>
      </c>
      <c r="E2691" s="27" t="s">
        <v>4235</v>
      </c>
      <c r="F2691" s="28" t="s">
        <v>146</v>
      </c>
      <c r="G2691" s="27" t="s">
        <v>3537</v>
      </c>
      <c r="H2691" s="27" t="s">
        <v>56</v>
      </c>
      <c r="I2691" s="27" t="s">
        <v>40</v>
      </c>
      <c r="J2691" s="28" t="s">
        <v>1106</v>
      </c>
      <c r="K2691" s="27" t="s">
        <v>40</v>
      </c>
      <c r="L2691" s="27"/>
    </row>
    <row r="2692" customFormat="false" ht="15" hidden="false" customHeight="false" outlineLevel="0" collapsed="false">
      <c r="A2692" s="26" t="s">
        <v>9768</v>
      </c>
      <c r="B2692" s="27" t="s">
        <v>9769</v>
      </c>
      <c r="C2692" s="27" t="s">
        <v>144</v>
      </c>
      <c r="D2692" s="26" t="s">
        <v>9770</v>
      </c>
      <c r="E2692" s="27" t="s">
        <v>9771</v>
      </c>
      <c r="F2692" s="28" t="s">
        <v>146</v>
      </c>
      <c r="G2692" s="27" t="s">
        <v>3537</v>
      </c>
      <c r="H2692" s="27" t="s">
        <v>57</v>
      </c>
      <c r="I2692" s="28" t="s">
        <v>50</v>
      </c>
      <c r="J2692" s="28" t="s">
        <v>3115</v>
      </c>
      <c r="K2692" s="27" t="s">
        <v>44</v>
      </c>
      <c r="L2692" s="27"/>
    </row>
    <row r="2693" customFormat="false" ht="15" hidden="false" customHeight="false" outlineLevel="0" collapsed="false">
      <c r="A2693" s="26" t="s">
        <v>9772</v>
      </c>
      <c r="B2693" s="27" t="s">
        <v>9773</v>
      </c>
      <c r="C2693" s="27" t="s">
        <v>137</v>
      </c>
      <c r="D2693" s="26" t="s">
        <v>9595</v>
      </c>
      <c r="E2693" s="27" t="s">
        <v>9596</v>
      </c>
      <c r="F2693" s="28" t="s">
        <v>140</v>
      </c>
      <c r="G2693" s="27" t="s">
        <v>3537</v>
      </c>
      <c r="H2693" s="27" t="s">
        <v>57</v>
      </c>
      <c r="I2693" s="27" t="s">
        <v>41</v>
      </c>
      <c r="J2693" s="28" t="s">
        <v>3115</v>
      </c>
      <c r="K2693" s="27" t="s">
        <v>44</v>
      </c>
      <c r="L2693" s="27"/>
    </row>
    <row r="2694" customFormat="false" ht="15" hidden="false" customHeight="false" outlineLevel="0" collapsed="false">
      <c r="A2694" s="26" t="s">
        <v>9774</v>
      </c>
      <c r="B2694" s="27" t="s">
        <v>9775</v>
      </c>
      <c r="C2694" s="27" t="s">
        <v>144</v>
      </c>
      <c r="D2694" s="26" t="s">
        <v>4178</v>
      </c>
      <c r="E2694" s="27" t="s">
        <v>4179</v>
      </c>
      <c r="F2694" s="28" t="s">
        <v>146</v>
      </c>
      <c r="G2694" s="27" t="s">
        <v>3537</v>
      </c>
      <c r="H2694" s="27" t="s">
        <v>57</v>
      </c>
      <c r="I2694" s="27" t="s">
        <v>40</v>
      </c>
      <c r="J2694" s="28" t="s">
        <v>3115</v>
      </c>
      <c r="K2694" s="27" t="s">
        <v>44</v>
      </c>
      <c r="L2694" s="27"/>
    </row>
    <row r="2695" customFormat="false" ht="15" hidden="false" customHeight="false" outlineLevel="0" collapsed="false">
      <c r="A2695" s="26" t="s">
        <v>9776</v>
      </c>
      <c r="B2695" s="27" t="s">
        <v>9777</v>
      </c>
      <c r="C2695" s="27" t="s">
        <v>144</v>
      </c>
      <c r="D2695" s="26" t="s">
        <v>9778</v>
      </c>
      <c r="E2695" s="27" t="s">
        <v>9779</v>
      </c>
      <c r="F2695" s="28" t="s">
        <v>146</v>
      </c>
      <c r="G2695" s="27" t="s">
        <v>3537</v>
      </c>
      <c r="H2695" s="27" t="s">
        <v>56</v>
      </c>
      <c r="I2695" s="27" t="s">
        <v>39</v>
      </c>
      <c r="J2695" s="28" t="s">
        <v>9780</v>
      </c>
      <c r="K2695" s="27" t="s">
        <v>39</v>
      </c>
      <c r="L2695" s="27"/>
    </row>
    <row r="2696" customFormat="false" ht="15" hidden="false" customHeight="false" outlineLevel="0" collapsed="false">
      <c r="A2696" s="26" t="s">
        <v>9781</v>
      </c>
      <c r="B2696" s="27" t="s">
        <v>9782</v>
      </c>
      <c r="C2696" s="27" t="s">
        <v>144</v>
      </c>
      <c r="D2696" s="26" t="s">
        <v>9783</v>
      </c>
      <c r="E2696" s="27" t="s">
        <v>9784</v>
      </c>
      <c r="F2696" s="28" t="s">
        <v>146</v>
      </c>
      <c r="G2696" s="27" t="s">
        <v>3537</v>
      </c>
      <c r="H2696" s="27" t="s">
        <v>56</v>
      </c>
      <c r="I2696" s="27" t="s">
        <v>39</v>
      </c>
      <c r="J2696" s="28" t="s">
        <v>9780</v>
      </c>
      <c r="K2696" s="27" t="s">
        <v>39</v>
      </c>
      <c r="L2696" s="27"/>
    </row>
    <row r="2697" customFormat="false" ht="15" hidden="false" customHeight="false" outlineLevel="0" collapsed="false">
      <c r="A2697" s="26" t="s">
        <v>9785</v>
      </c>
      <c r="B2697" s="27" t="s">
        <v>9786</v>
      </c>
      <c r="C2697" s="27" t="s">
        <v>144</v>
      </c>
      <c r="D2697" s="26" t="s">
        <v>7993</v>
      </c>
      <c r="E2697" s="27" t="s">
        <v>7994</v>
      </c>
      <c r="F2697" s="28" t="s">
        <v>146</v>
      </c>
      <c r="G2697" s="27" t="s">
        <v>3537</v>
      </c>
      <c r="H2697" s="27" t="s">
        <v>57</v>
      </c>
      <c r="I2697" s="27" t="s">
        <v>4159</v>
      </c>
      <c r="J2697" s="28" t="s">
        <v>1114</v>
      </c>
      <c r="K2697" s="27" t="s">
        <v>44</v>
      </c>
      <c r="L2697" s="27"/>
    </row>
    <row r="2698" customFormat="false" ht="15" hidden="false" customHeight="false" outlineLevel="0" collapsed="false">
      <c r="A2698" s="26" t="s">
        <v>9787</v>
      </c>
      <c r="B2698" s="27" t="s">
        <v>9788</v>
      </c>
      <c r="C2698" s="27" t="s">
        <v>144</v>
      </c>
      <c r="D2698" s="26" t="s">
        <v>9789</v>
      </c>
      <c r="E2698" s="27" t="s">
        <v>9790</v>
      </c>
      <c r="F2698" s="28" t="s">
        <v>146</v>
      </c>
      <c r="G2698" s="27" t="s">
        <v>3537</v>
      </c>
      <c r="H2698" s="27" t="s">
        <v>57</v>
      </c>
      <c r="I2698" s="27" t="s">
        <v>38</v>
      </c>
      <c r="J2698" s="28" t="s">
        <v>1114</v>
      </c>
      <c r="K2698" s="27" t="s">
        <v>44</v>
      </c>
      <c r="L2698" s="27"/>
    </row>
    <row r="2699" customFormat="false" ht="15" hidden="false" customHeight="false" outlineLevel="0" collapsed="false">
      <c r="A2699" s="26" t="s">
        <v>9791</v>
      </c>
      <c r="B2699" s="27" t="s">
        <v>9792</v>
      </c>
      <c r="C2699" s="27" t="s">
        <v>144</v>
      </c>
      <c r="D2699" s="26" t="s">
        <v>9793</v>
      </c>
      <c r="E2699" s="27" t="s">
        <v>9794</v>
      </c>
      <c r="F2699" s="28" t="s">
        <v>146</v>
      </c>
      <c r="G2699" s="27" t="s">
        <v>3537</v>
      </c>
      <c r="H2699" s="27" t="s">
        <v>57</v>
      </c>
      <c r="I2699" s="28" t="s">
        <v>50</v>
      </c>
      <c r="J2699" s="28" t="s">
        <v>1114</v>
      </c>
      <c r="K2699" s="27" t="s">
        <v>44</v>
      </c>
      <c r="L2699" s="27"/>
    </row>
    <row r="2700" customFormat="false" ht="15" hidden="false" customHeight="false" outlineLevel="0" collapsed="false">
      <c r="A2700" s="26" t="s">
        <v>9795</v>
      </c>
      <c r="B2700" s="27" t="s">
        <v>9796</v>
      </c>
      <c r="C2700" s="27" t="s">
        <v>144</v>
      </c>
      <c r="D2700" s="26" t="s">
        <v>9797</v>
      </c>
      <c r="E2700" s="27" t="s">
        <v>9798</v>
      </c>
      <c r="F2700" s="28" t="s">
        <v>146</v>
      </c>
      <c r="G2700" s="27" t="s">
        <v>3537</v>
      </c>
      <c r="H2700" s="27" t="s">
        <v>56</v>
      </c>
      <c r="I2700" s="27" t="s">
        <v>44</v>
      </c>
      <c r="J2700" s="28" t="s">
        <v>1114</v>
      </c>
      <c r="K2700" s="27" t="s">
        <v>44</v>
      </c>
      <c r="L2700" s="27"/>
    </row>
    <row r="2701" customFormat="false" ht="15" hidden="false" customHeight="false" outlineLevel="0" collapsed="false">
      <c r="A2701" s="26" t="s">
        <v>9799</v>
      </c>
      <c r="B2701" s="27" t="s">
        <v>9180</v>
      </c>
      <c r="C2701" s="27" t="s">
        <v>1087</v>
      </c>
      <c r="D2701" s="26" t="s">
        <v>9181</v>
      </c>
      <c r="E2701" s="27" t="s">
        <v>9182</v>
      </c>
      <c r="F2701" s="28" t="s">
        <v>1090</v>
      </c>
      <c r="G2701" s="27" t="s">
        <v>3537</v>
      </c>
      <c r="H2701" s="27" t="s">
        <v>56</v>
      </c>
      <c r="I2701" s="27" t="s">
        <v>44</v>
      </c>
      <c r="J2701" s="28" t="s">
        <v>1114</v>
      </c>
      <c r="K2701" s="27" t="s">
        <v>44</v>
      </c>
      <c r="L2701" s="27"/>
    </row>
    <row r="2702" customFormat="false" ht="15" hidden="false" customHeight="false" outlineLevel="0" collapsed="false">
      <c r="A2702" s="26" t="s">
        <v>9800</v>
      </c>
      <c r="B2702" s="27" t="s">
        <v>9801</v>
      </c>
      <c r="C2702" s="27" t="s">
        <v>144</v>
      </c>
      <c r="D2702" s="26" t="s">
        <v>9802</v>
      </c>
      <c r="E2702" s="27" t="s">
        <v>9803</v>
      </c>
      <c r="F2702" s="28" t="s">
        <v>146</v>
      </c>
      <c r="G2702" s="27" t="s">
        <v>3537</v>
      </c>
      <c r="H2702" s="27" t="s">
        <v>56</v>
      </c>
      <c r="I2702" s="27" t="s">
        <v>39</v>
      </c>
      <c r="J2702" s="28" t="s">
        <v>1129</v>
      </c>
      <c r="K2702" s="27" t="s">
        <v>39</v>
      </c>
      <c r="L2702" s="27"/>
    </row>
    <row r="2703" customFormat="false" ht="15" hidden="false" customHeight="false" outlineLevel="0" collapsed="false">
      <c r="A2703" s="26" t="s">
        <v>9804</v>
      </c>
      <c r="B2703" s="27" t="s">
        <v>9805</v>
      </c>
      <c r="C2703" s="27" t="s">
        <v>144</v>
      </c>
      <c r="D2703" s="26" t="s">
        <v>9806</v>
      </c>
      <c r="E2703" s="27" t="s">
        <v>9807</v>
      </c>
      <c r="F2703" s="28" t="s">
        <v>146</v>
      </c>
      <c r="G2703" s="27" t="s">
        <v>3537</v>
      </c>
      <c r="H2703" s="27" t="s">
        <v>56</v>
      </c>
      <c r="I2703" s="27" t="s">
        <v>39</v>
      </c>
      <c r="J2703" s="28" t="s">
        <v>1129</v>
      </c>
      <c r="K2703" s="27" t="s">
        <v>39</v>
      </c>
      <c r="L2703" s="27"/>
    </row>
    <row r="2704" customFormat="false" ht="15" hidden="false" customHeight="false" outlineLevel="0" collapsed="false">
      <c r="A2704" s="26" t="s">
        <v>9808</v>
      </c>
      <c r="B2704" s="27" t="s">
        <v>9809</v>
      </c>
      <c r="C2704" s="27" t="s">
        <v>144</v>
      </c>
      <c r="D2704" s="26" t="s">
        <v>9333</v>
      </c>
      <c r="E2704" s="27" t="s">
        <v>9334</v>
      </c>
      <c r="F2704" s="28" t="s">
        <v>146</v>
      </c>
      <c r="G2704" s="27" t="s">
        <v>3537</v>
      </c>
      <c r="H2704" s="27" t="s">
        <v>56</v>
      </c>
      <c r="I2704" s="27" t="s">
        <v>39</v>
      </c>
      <c r="J2704" s="28" t="s">
        <v>1129</v>
      </c>
      <c r="K2704" s="27" t="s">
        <v>39</v>
      </c>
      <c r="L2704" s="27"/>
    </row>
    <row r="2705" customFormat="false" ht="15" hidden="false" customHeight="false" outlineLevel="0" collapsed="false">
      <c r="A2705" s="26" t="s">
        <v>9810</v>
      </c>
      <c r="B2705" s="27" t="s">
        <v>9811</v>
      </c>
      <c r="C2705" s="27" t="s">
        <v>144</v>
      </c>
      <c r="D2705" s="26" t="s">
        <v>9812</v>
      </c>
      <c r="E2705" s="27" t="s">
        <v>9813</v>
      </c>
      <c r="F2705" s="28" t="s">
        <v>1158</v>
      </c>
      <c r="G2705" s="27" t="s">
        <v>3537</v>
      </c>
      <c r="H2705" s="27" t="s">
        <v>57</v>
      </c>
      <c r="I2705" s="27" t="s">
        <v>37</v>
      </c>
      <c r="J2705" s="28" t="s">
        <v>1129</v>
      </c>
      <c r="K2705" s="27" t="s">
        <v>39</v>
      </c>
      <c r="L2705" s="27"/>
    </row>
    <row r="2706" customFormat="false" ht="15" hidden="false" customHeight="false" outlineLevel="0" collapsed="false">
      <c r="A2706" s="26" t="s">
        <v>9814</v>
      </c>
      <c r="B2706" s="27" t="s">
        <v>9815</v>
      </c>
      <c r="C2706" s="27" t="s">
        <v>144</v>
      </c>
      <c r="D2706" s="26" t="s">
        <v>9816</v>
      </c>
      <c r="E2706" s="27" t="s">
        <v>9817</v>
      </c>
      <c r="F2706" s="28" t="s">
        <v>146</v>
      </c>
      <c r="G2706" s="27" t="s">
        <v>3537</v>
      </c>
      <c r="H2706" s="27" t="s">
        <v>56</v>
      </c>
      <c r="I2706" s="27" t="s">
        <v>39</v>
      </c>
      <c r="J2706" s="28" t="s">
        <v>1129</v>
      </c>
      <c r="K2706" s="27" t="s">
        <v>39</v>
      </c>
      <c r="L2706" s="27"/>
    </row>
    <row r="2707" customFormat="false" ht="15" hidden="false" customHeight="false" outlineLevel="0" collapsed="false">
      <c r="A2707" s="26" t="s">
        <v>9818</v>
      </c>
      <c r="B2707" s="27" t="s">
        <v>9819</v>
      </c>
      <c r="C2707" s="27" t="s">
        <v>144</v>
      </c>
      <c r="D2707" s="26" t="s">
        <v>9487</v>
      </c>
      <c r="E2707" s="27" t="s">
        <v>9488</v>
      </c>
      <c r="F2707" s="28" t="s">
        <v>146</v>
      </c>
      <c r="G2707" s="27" t="s">
        <v>3537</v>
      </c>
      <c r="H2707" s="27" t="s">
        <v>56</v>
      </c>
      <c r="I2707" s="27" t="s">
        <v>39</v>
      </c>
      <c r="J2707" s="28" t="s">
        <v>1129</v>
      </c>
      <c r="K2707" s="27" t="s">
        <v>39</v>
      </c>
      <c r="L2707" s="27"/>
    </row>
    <row r="2708" customFormat="false" ht="15" hidden="false" customHeight="false" outlineLevel="0" collapsed="false">
      <c r="A2708" s="26" t="s">
        <v>9820</v>
      </c>
      <c r="B2708" s="27" t="s">
        <v>9821</v>
      </c>
      <c r="C2708" s="27" t="s">
        <v>144</v>
      </c>
      <c r="D2708" s="26" t="s">
        <v>9822</v>
      </c>
      <c r="E2708" s="27" t="s">
        <v>9823</v>
      </c>
      <c r="F2708" s="28" t="s">
        <v>146</v>
      </c>
      <c r="G2708" s="27" t="s">
        <v>3537</v>
      </c>
      <c r="H2708" s="27" t="s">
        <v>56</v>
      </c>
      <c r="I2708" s="27" t="s">
        <v>39</v>
      </c>
      <c r="J2708" s="28" t="s">
        <v>1129</v>
      </c>
      <c r="K2708" s="27" t="s">
        <v>39</v>
      </c>
      <c r="L2708" s="27"/>
    </row>
    <row r="2709" customFormat="false" ht="15" hidden="false" customHeight="false" outlineLevel="0" collapsed="false">
      <c r="A2709" s="26" t="s">
        <v>9824</v>
      </c>
      <c r="B2709" s="27" t="s">
        <v>9825</v>
      </c>
      <c r="C2709" s="27" t="s">
        <v>144</v>
      </c>
      <c r="D2709" s="26" t="s">
        <v>9826</v>
      </c>
      <c r="E2709" s="27" t="s">
        <v>9827</v>
      </c>
      <c r="F2709" s="28" t="s">
        <v>146</v>
      </c>
      <c r="G2709" s="27" t="s">
        <v>3537</v>
      </c>
      <c r="H2709" s="27" t="s">
        <v>56</v>
      </c>
      <c r="I2709" s="27" t="s">
        <v>39</v>
      </c>
      <c r="J2709" s="28" t="s">
        <v>1129</v>
      </c>
      <c r="K2709" s="27" t="s">
        <v>39</v>
      </c>
      <c r="L2709" s="27"/>
    </row>
    <row r="2710" customFormat="false" ht="15" hidden="false" customHeight="false" outlineLevel="0" collapsed="false">
      <c r="A2710" s="26" t="s">
        <v>9828</v>
      </c>
      <c r="B2710" s="27" t="s">
        <v>9829</v>
      </c>
      <c r="C2710" s="27" t="s">
        <v>144</v>
      </c>
      <c r="D2710" s="26" t="s">
        <v>9830</v>
      </c>
      <c r="E2710" s="27" t="s">
        <v>9831</v>
      </c>
      <c r="F2710" s="28" t="s">
        <v>146</v>
      </c>
      <c r="G2710" s="27" t="s">
        <v>3537</v>
      </c>
      <c r="H2710" s="27" t="s">
        <v>56</v>
      </c>
      <c r="I2710" s="27" t="s">
        <v>39</v>
      </c>
      <c r="J2710" s="28" t="s">
        <v>1129</v>
      </c>
      <c r="K2710" s="27" t="s">
        <v>39</v>
      </c>
      <c r="L2710" s="27"/>
    </row>
    <row r="2711" customFormat="false" ht="15" hidden="false" customHeight="false" outlineLevel="0" collapsed="false">
      <c r="A2711" s="26" t="s">
        <v>9832</v>
      </c>
      <c r="B2711" s="27" t="s">
        <v>9833</v>
      </c>
      <c r="C2711" s="27" t="s">
        <v>144</v>
      </c>
      <c r="D2711" s="26" t="s">
        <v>9834</v>
      </c>
      <c r="E2711" s="27" t="s">
        <v>9835</v>
      </c>
      <c r="F2711" s="28" t="s">
        <v>146</v>
      </c>
      <c r="G2711" s="27" t="s">
        <v>3537</v>
      </c>
      <c r="H2711" s="27" t="s">
        <v>56</v>
      </c>
      <c r="I2711" s="27" t="s">
        <v>39</v>
      </c>
      <c r="J2711" s="28" t="s">
        <v>1129</v>
      </c>
      <c r="K2711" s="27" t="s">
        <v>39</v>
      </c>
      <c r="L2711" s="27"/>
    </row>
    <row r="2712" customFormat="false" ht="15" hidden="false" customHeight="false" outlineLevel="0" collapsed="false">
      <c r="A2712" s="26" t="s">
        <v>9836</v>
      </c>
      <c r="B2712" s="27" t="s">
        <v>9837</v>
      </c>
      <c r="C2712" s="27" t="s">
        <v>144</v>
      </c>
      <c r="D2712" s="26" t="s">
        <v>9295</v>
      </c>
      <c r="E2712" s="27" t="s">
        <v>9296</v>
      </c>
      <c r="F2712" s="28" t="s">
        <v>146</v>
      </c>
      <c r="G2712" s="27" t="s">
        <v>3537</v>
      </c>
      <c r="H2712" s="27" t="s">
        <v>56</v>
      </c>
      <c r="I2712" s="27" t="s">
        <v>39</v>
      </c>
      <c r="J2712" s="28" t="s">
        <v>1129</v>
      </c>
      <c r="K2712" s="27" t="s">
        <v>39</v>
      </c>
      <c r="L2712" s="27"/>
    </row>
    <row r="2713" customFormat="false" ht="15" hidden="false" customHeight="false" outlineLevel="0" collapsed="false">
      <c r="A2713" s="26" t="s">
        <v>9838</v>
      </c>
      <c r="B2713" s="27" t="s">
        <v>9839</v>
      </c>
      <c r="C2713" s="27" t="s">
        <v>144</v>
      </c>
      <c r="D2713" s="26" t="s">
        <v>9327</v>
      </c>
      <c r="E2713" s="27" t="s">
        <v>9328</v>
      </c>
      <c r="F2713" s="28" t="s">
        <v>146</v>
      </c>
      <c r="G2713" s="27" t="s">
        <v>3537</v>
      </c>
      <c r="H2713" s="27" t="s">
        <v>56</v>
      </c>
      <c r="I2713" s="27" t="s">
        <v>39</v>
      </c>
      <c r="J2713" s="28" t="s">
        <v>1129</v>
      </c>
      <c r="K2713" s="27" t="s">
        <v>39</v>
      </c>
      <c r="L2713" s="27"/>
    </row>
    <row r="2714" customFormat="false" ht="15" hidden="false" customHeight="false" outlineLevel="0" collapsed="false">
      <c r="A2714" s="26" t="s">
        <v>9840</v>
      </c>
      <c r="B2714" s="27" t="s">
        <v>9841</v>
      </c>
      <c r="C2714" s="27" t="s">
        <v>144</v>
      </c>
      <c r="D2714" s="26" t="s">
        <v>9842</v>
      </c>
      <c r="E2714" s="27" t="s">
        <v>9843</v>
      </c>
      <c r="F2714" s="28" t="s">
        <v>146</v>
      </c>
      <c r="G2714" s="27" t="s">
        <v>3537</v>
      </c>
      <c r="H2714" s="27" t="s">
        <v>56</v>
      </c>
      <c r="I2714" s="27" t="s">
        <v>39</v>
      </c>
      <c r="J2714" s="28" t="s">
        <v>1129</v>
      </c>
      <c r="K2714" s="27" t="s">
        <v>39</v>
      </c>
      <c r="L2714" s="27"/>
    </row>
    <row r="2715" customFormat="false" ht="15" hidden="false" customHeight="false" outlineLevel="0" collapsed="false">
      <c r="A2715" s="26" t="s">
        <v>9844</v>
      </c>
      <c r="B2715" s="27" t="s">
        <v>9845</v>
      </c>
      <c r="C2715" s="27" t="s">
        <v>144</v>
      </c>
      <c r="D2715" s="26" t="s">
        <v>9371</v>
      </c>
      <c r="E2715" s="27" t="s">
        <v>9372</v>
      </c>
      <c r="F2715" s="28" t="s">
        <v>146</v>
      </c>
      <c r="G2715" s="27" t="s">
        <v>3537</v>
      </c>
      <c r="H2715" s="27" t="s">
        <v>56</v>
      </c>
      <c r="I2715" s="27" t="s">
        <v>39</v>
      </c>
      <c r="J2715" s="28" t="s">
        <v>1129</v>
      </c>
      <c r="K2715" s="27" t="s">
        <v>39</v>
      </c>
      <c r="L2715" s="27"/>
    </row>
    <row r="2716" customFormat="false" ht="15" hidden="false" customHeight="false" outlineLevel="0" collapsed="false">
      <c r="A2716" s="26" t="s">
        <v>9846</v>
      </c>
      <c r="B2716" s="27" t="s">
        <v>9847</v>
      </c>
      <c r="C2716" s="27" t="s">
        <v>144</v>
      </c>
      <c r="D2716" s="26" t="s">
        <v>9848</v>
      </c>
      <c r="E2716" s="27" t="s">
        <v>9849</v>
      </c>
      <c r="F2716" s="28" t="s">
        <v>146</v>
      </c>
      <c r="G2716" s="27" t="s">
        <v>3537</v>
      </c>
      <c r="H2716" s="27" t="s">
        <v>56</v>
      </c>
      <c r="I2716" s="27" t="s">
        <v>39</v>
      </c>
      <c r="J2716" s="28" t="s">
        <v>1129</v>
      </c>
      <c r="K2716" s="27" t="s">
        <v>39</v>
      </c>
      <c r="L2716" s="27"/>
    </row>
    <row r="2717" customFormat="false" ht="15" hidden="false" customHeight="false" outlineLevel="0" collapsed="false">
      <c r="A2717" s="26" t="s">
        <v>9850</v>
      </c>
      <c r="B2717" s="27" t="s">
        <v>9851</v>
      </c>
      <c r="C2717" s="27" t="s">
        <v>144</v>
      </c>
      <c r="D2717" s="26" t="s">
        <v>9367</v>
      </c>
      <c r="E2717" s="27" t="s">
        <v>9368</v>
      </c>
      <c r="F2717" s="28" t="s">
        <v>146</v>
      </c>
      <c r="G2717" s="27" t="s">
        <v>3537</v>
      </c>
      <c r="H2717" s="27" t="s">
        <v>56</v>
      </c>
      <c r="I2717" s="27" t="s">
        <v>39</v>
      </c>
      <c r="J2717" s="28" t="s">
        <v>1129</v>
      </c>
      <c r="K2717" s="27" t="s">
        <v>39</v>
      </c>
      <c r="L2717" s="27"/>
    </row>
    <row r="2718" customFormat="false" ht="15" hidden="false" customHeight="false" outlineLevel="0" collapsed="false">
      <c r="A2718" s="26" t="s">
        <v>9852</v>
      </c>
      <c r="B2718" s="27" t="s">
        <v>9853</v>
      </c>
      <c r="C2718" s="27" t="s">
        <v>144</v>
      </c>
      <c r="D2718" s="26" t="s">
        <v>9363</v>
      </c>
      <c r="E2718" s="27" t="s">
        <v>9364</v>
      </c>
      <c r="F2718" s="28" t="s">
        <v>146</v>
      </c>
      <c r="G2718" s="27" t="s">
        <v>3537</v>
      </c>
      <c r="H2718" s="27" t="s">
        <v>56</v>
      </c>
      <c r="I2718" s="27" t="s">
        <v>39</v>
      </c>
      <c r="J2718" s="28" t="s">
        <v>1129</v>
      </c>
      <c r="K2718" s="27" t="s">
        <v>39</v>
      </c>
      <c r="L2718" s="27"/>
    </row>
    <row r="2719" customFormat="false" ht="15" hidden="false" customHeight="false" outlineLevel="0" collapsed="false">
      <c r="A2719" s="26" t="s">
        <v>9854</v>
      </c>
      <c r="B2719" s="27" t="s">
        <v>9855</v>
      </c>
      <c r="C2719" s="27" t="s">
        <v>144</v>
      </c>
      <c r="D2719" s="26" t="s">
        <v>9375</v>
      </c>
      <c r="E2719" s="27" t="s">
        <v>9376</v>
      </c>
      <c r="F2719" s="28" t="s">
        <v>146</v>
      </c>
      <c r="G2719" s="27" t="s">
        <v>3537</v>
      </c>
      <c r="H2719" s="27" t="s">
        <v>56</v>
      </c>
      <c r="I2719" s="27" t="s">
        <v>39</v>
      </c>
      <c r="J2719" s="28" t="s">
        <v>1129</v>
      </c>
      <c r="K2719" s="27" t="s">
        <v>39</v>
      </c>
      <c r="L2719" s="27"/>
    </row>
    <row r="2720" customFormat="false" ht="15" hidden="false" customHeight="false" outlineLevel="0" collapsed="false">
      <c r="A2720" s="26" t="s">
        <v>9856</v>
      </c>
      <c r="B2720" s="27" t="s">
        <v>9857</v>
      </c>
      <c r="C2720" s="27" t="s">
        <v>144</v>
      </c>
      <c r="D2720" s="26" t="s">
        <v>9349</v>
      </c>
      <c r="E2720" s="27" t="s">
        <v>9350</v>
      </c>
      <c r="F2720" s="28" t="s">
        <v>1158</v>
      </c>
      <c r="G2720" s="27" t="s">
        <v>3537</v>
      </c>
      <c r="H2720" s="27" t="s">
        <v>56</v>
      </c>
      <c r="I2720" s="27" t="s">
        <v>39</v>
      </c>
      <c r="J2720" s="28" t="s">
        <v>1129</v>
      </c>
      <c r="K2720" s="27" t="s">
        <v>39</v>
      </c>
      <c r="L2720" s="27"/>
    </row>
    <row r="2721" customFormat="false" ht="15" hidden="false" customHeight="false" outlineLevel="0" collapsed="false">
      <c r="A2721" s="26" t="s">
        <v>9858</v>
      </c>
      <c r="B2721" s="27" t="s">
        <v>9859</v>
      </c>
      <c r="C2721" s="27" t="s">
        <v>144</v>
      </c>
      <c r="D2721" s="26" t="s">
        <v>9291</v>
      </c>
      <c r="E2721" s="27" t="s">
        <v>9292</v>
      </c>
      <c r="F2721" s="28" t="s">
        <v>146</v>
      </c>
      <c r="G2721" s="27" t="s">
        <v>3537</v>
      </c>
      <c r="H2721" s="27" t="s">
        <v>56</v>
      </c>
      <c r="I2721" s="27" t="s">
        <v>39</v>
      </c>
      <c r="J2721" s="28" t="s">
        <v>1129</v>
      </c>
      <c r="K2721" s="27" t="s">
        <v>39</v>
      </c>
      <c r="L2721" s="27"/>
    </row>
    <row r="2722" customFormat="false" ht="15" hidden="false" customHeight="false" outlineLevel="0" collapsed="false">
      <c r="A2722" s="26" t="s">
        <v>9860</v>
      </c>
      <c r="B2722" s="27" t="s">
        <v>9861</v>
      </c>
      <c r="C2722" s="27" t="s">
        <v>144</v>
      </c>
      <c r="D2722" s="26" t="s">
        <v>9327</v>
      </c>
      <c r="E2722" s="27" t="s">
        <v>9328</v>
      </c>
      <c r="F2722" s="28" t="s">
        <v>146</v>
      </c>
      <c r="G2722" s="27" t="s">
        <v>3537</v>
      </c>
      <c r="H2722" s="27" t="s">
        <v>56</v>
      </c>
      <c r="I2722" s="27" t="s">
        <v>39</v>
      </c>
      <c r="J2722" s="28" t="s">
        <v>1129</v>
      </c>
      <c r="K2722" s="27" t="s">
        <v>39</v>
      </c>
      <c r="L2722" s="27"/>
    </row>
    <row r="2723" customFormat="false" ht="15" hidden="false" customHeight="false" outlineLevel="0" collapsed="false">
      <c r="A2723" s="26" t="s">
        <v>9862</v>
      </c>
      <c r="B2723" s="27" t="s">
        <v>9863</v>
      </c>
      <c r="C2723" s="27" t="s">
        <v>144</v>
      </c>
      <c r="D2723" s="26" t="s">
        <v>9864</v>
      </c>
      <c r="E2723" s="27" t="s">
        <v>9865</v>
      </c>
      <c r="F2723" s="28" t="s">
        <v>146</v>
      </c>
      <c r="G2723" s="27" t="s">
        <v>3537</v>
      </c>
      <c r="H2723" s="27" t="s">
        <v>56</v>
      </c>
      <c r="I2723" s="27" t="s">
        <v>39</v>
      </c>
      <c r="J2723" s="28" t="s">
        <v>1129</v>
      </c>
      <c r="K2723" s="27" t="s">
        <v>39</v>
      </c>
      <c r="L2723" s="27"/>
    </row>
    <row r="2724" customFormat="false" ht="15" hidden="false" customHeight="false" outlineLevel="0" collapsed="false">
      <c r="A2724" s="26" t="s">
        <v>9866</v>
      </c>
      <c r="B2724" s="27" t="s">
        <v>9867</v>
      </c>
      <c r="C2724" s="27" t="s">
        <v>144</v>
      </c>
      <c r="D2724" s="26" t="s">
        <v>9868</v>
      </c>
      <c r="E2724" s="27" t="s">
        <v>9869</v>
      </c>
      <c r="F2724" s="28" t="s">
        <v>146</v>
      </c>
      <c r="G2724" s="27" t="s">
        <v>3537</v>
      </c>
      <c r="H2724" s="27" t="s">
        <v>56</v>
      </c>
      <c r="I2724" s="27" t="s">
        <v>39</v>
      </c>
      <c r="J2724" s="28" t="s">
        <v>1129</v>
      </c>
      <c r="K2724" s="27" t="s">
        <v>39</v>
      </c>
      <c r="L2724" s="27"/>
    </row>
    <row r="2725" customFormat="false" ht="15" hidden="false" customHeight="false" outlineLevel="0" collapsed="false">
      <c r="A2725" s="26" t="s">
        <v>9870</v>
      </c>
      <c r="B2725" s="27" t="s">
        <v>9871</v>
      </c>
      <c r="C2725" s="27" t="s">
        <v>144</v>
      </c>
      <c r="D2725" s="26" t="s">
        <v>9872</v>
      </c>
      <c r="E2725" s="27" t="s">
        <v>9873</v>
      </c>
      <c r="F2725" s="28" t="s">
        <v>146</v>
      </c>
      <c r="G2725" s="27" t="s">
        <v>3537</v>
      </c>
      <c r="H2725" s="27" t="s">
        <v>56</v>
      </c>
      <c r="I2725" s="27" t="s">
        <v>39</v>
      </c>
      <c r="J2725" s="28" t="s">
        <v>1129</v>
      </c>
      <c r="K2725" s="27" t="s">
        <v>39</v>
      </c>
      <c r="L2725" s="27"/>
    </row>
    <row r="2726" customFormat="false" ht="15" hidden="false" customHeight="false" outlineLevel="0" collapsed="false">
      <c r="A2726" s="26" t="s">
        <v>9874</v>
      </c>
      <c r="B2726" s="27" t="s">
        <v>9875</v>
      </c>
      <c r="C2726" s="27" t="s">
        <v>144</v>
      </c>
      <c r="D2726" s="26" t="s">
        <v>9876</v>
      </c>
      <c r="E2726" s="27" t="s">
        <v>9877</v>
      </c>
      <c r="F2726" s="28" t="s">
        <v>146</v>
      </c>
      <c r="G2726" s="27" t="s">
        <v>3537</v>
      </c>
      <c r="H2726" s="27" t="s">
        <v>56</v>
      </c>
      <c r="I2726" s="27" t="s">
        <v>39</v>
      </c>
      <c r="J2726" s="28" t="s">
        <v>1129</v>
      </c>
      <c r="K2726" s="27" t="s">
        <v>39</v>
      </c>
      <c r="L2726" s="27"/>
    </row>
    <row r="2727" customFormat="false" ht="15" hidden="false" customHeight="false" outlineLevel="0" collapsed="false">
      <c r="A2727" s="26" t="s">
        <v>9878</v>
      </c>
      <c r="B2727" s="27" t="s">
        <v>9879</v>
      </c>
      <c r="C2727" s="27" t="s">
        <v>144</v>
      </c>
      <c r="D2727" s="26" t="s">
        <v>9880</v>
      </c>
      <c r="E2727" s="27" t="s">
        <v>9881</v>
      </c>
      <c r="F2727" s="28" t="s">
        <v>146</v>
      </c>
      <c r="G2727" s="27" t="s">
        <v>3537</v>
      </c>
      <c r="H2727" s="27" t="s">
        <v>56</v>
      </c>
      <c r="I2727" s="27" t="s">
        <v>39</v>
      </c>
      <c r="J2727" s="28" t="s">
        <v>1129</v>
      </c>
      <c r="K2727" s="27" t="s">
        <v>39</v>
      </c>
      <c r="L2727" s="27"/>
    </row>
    <row r="2728" customFormat="false" ht="15" hidden="false" customHeight="false" outlineLevel="0" collapsed="false">
      <c r="A2728" s="26" t="s">
        <v>9882</v>
      </c>
      <c r="B2728" s="27" t="s">
        <v>9883</v>
      </c>
      <c r="C2728" s="27" t="s">
        <v>144</v>
      </c>
      <c r="D2728" s="26" t="s">
        <v>9884</v>
      </c>
      <c r="E2728" s="27" t="s">
        <v>9885</v>
      </c>
      <c r="F2728" s="28" t="s">
        <v>146</v>
      </c>
      <c r="G2728" s="27" t="s">
        <v>3537</v>
      </c>
      <c r="H2728" s="27" t="s">
        <v>56</v>
      </c>
      <c r="I2728" s="27" t="s">
        <v>39</v>
      </c>
      <c r="J2728" s="28" t="s">
        <v>1129</v>
      </c>
      <c r="K2728" s="27" t="s">
        <v>39</v>
      </c>
      <c r="L2728" s="27"/>
    </row>
    <row r="2729" customFormat="false" ht="15" hidden="false" customHeight="false" outlineLevel="0" collapsed="false">
      <c r="A2729" s="26" t="s">
        <v>9886</v>
      </c>
      <c r="B2729" s="27" t="s">
        <v>9887</v>
      </c>
      <c r="C2729" s="27" t="s">
        <v>144</v>
      </c>
      <c r="D2729" s="26" t="s">
        <v>9888</v>
      </c>
      <c r="E2729" s="27" t="s">
        <v>9889</v>
      </c>
      <c r="F2729" s="28" t="s">
        <v>146</v>
      </c>
      <c r="G2729" s="27" t="s">
        <v>3537</v>
      </c>
      <c r="H2729" s="27" t="s">
        <v>56</v>
      </c>
      <c r="I2729" s="27" t="s">
        <v>39</v>
      </c>
      <c r="J2729" s="28" t="s">
        <v>1129</v>
      </c>
      <c r="K2729" s="27" t="s">
        <v>39</v>
      </c>
      <c r="L2729" s="27"/>
    </row>
    <row r="2730" customFormat="false" ht="15" hidden="false" customHeight="false" outlineLevel="0" collapsed="false">
      <c r="A2730" s="26" t="s">
        <v>9890</v>
      </c>
      <c r="B2730" s="27" t="s">
        <v>9891</v>
      </c>
      <c r="C2730" s="27" t="s">
        <v>144</v>
      </c>
      <c r="D2730" s="26" t="s">
        <v>9892</v>
      </c>
      <c r="E2730" s="27" t="s">
        <v>9893</v>
      </c>
      <c r="F2730" s="28" t="s">
        <v>146</v>
      </c>
      <c r="G2730" s="27" t="s">
        <v>3537</v>
      </c>
      <c r="H2730" s="27" t="s">
        <v>56</v>
      </c>
      <c r="I2730" s="27" t="s">
        <v>39</v>
      </c>
      <c r="J2730" s="28" t="s">
        <v>1129</v>
      </c>
      <c r="K2730" s="27" t="s">
        <v>39</v>
      </c>
      <c r="L2730" s="27"/>
    </row>
    <row r="2731" customFormat="false" ht="15" hidden="false" customHeight="false" outlineLevel="0" collapsed="false">
      <c r="A2731" s="26" t="s">
        <v>9894</v>
      </c>
      <c r="B2731" s="27" t="s">
        <v>9895</v>
      </c>
      <c r="C2731" s="27" t="s">
        <v>144</v>
      </c>
      <c r="D2731" s="26" t="s">
        <v>9896</v>
      </c>
      <c r="E2731" s="27" t="s">
        <v>9897</v>
      </c>
      <c r="F2731" s="28" t="s">
        <v>146</v>
      </c>
      <c r="G2731" s="27" t="s">
        <v>3537</v>
      </c>
      <c r="H2731" s="27" t="s">
        <v>56</v>
      </c>
      <c r="I2731" s="27" t="s">
        <v>39</v>
      </c>
      <c r="J2731" s="28" t="s">
        <v>1129</v>
      </c>
      <c r="K2731" s="27" t="s">
        <v>39</v>
      </c>
      <c r="L2731" s="27"/>
    </row>
    <row r="2732" customFormat="false" ht="15" hidden="false" customHeight="false" outlineLevel="0" collapsed="false">
      <c r="A2732" s="26" t="s">
        <v>9898</v>
      </c>
      <c r="B2732" s="27" t="s">
        <v>9899</v>
      </c>
      <c r="C2732" s="27" t="s">
        <v>144</v>
      </c>
      <c r="D2732" s="26" t="s">
        <v>9900</v>
      </c>
      <c r="E2732" s="27" t="s">
        <v>9901</v>
      </c>
      <c r="F2732" s="28" t="s">
        <v>146</v>
      </c>
      <c r="G2732" s="27" t="s">
        <v>3537</v>
      </c>
      <c r="H2732" s="27" t="s">
        <v>56</v>
      </c>
      <c r="I2732" s="27" t="s">
        <v>39</v>
      </c>
      <c r="J2732" s="28" t="s">
        <v>1129</v>
      </c>
      <c r="K2732" s="27" t="s">
        <v>39</v>
      </c>
      <c r="L2732" s="27"/>
    </row>
    <row r="2733" customFormat="false" ht="15" hidden="false" customHeight="false" outlineLevel="0" collapsed="false">
      <c r="A2733" s="26" t="s">
        <v>9902</v>
      </c>
      <c r="B2733" s="27" t="s">
        <v>9903</v>
      </c>
      <c r="C2733" s="27" t="s">
        <v>144</v>
      </c>
      <c r="D2733" s="26" t="s">
        <v>9904</v>
      </c>
      <c r="E2733" s="27" t="s">
        <v>9905</v>
      </c>
      <c r="F2733" s="28" t="s">
        <v>146</v>
      </c>
      <c r="G2733" s="27" t="s">
        <v>3537</v>
      </c>
      <c r="H2733" s="27" t="s">
        <v>56</v>
      </c>
      <c r="I2733" s="27" t="s">
        <v>39</v>
      </c>
      <c r="J2733" s="28" t="s">
        <v>1129</v>
      </c>
      <c r="K2733" s="27" t="s">
        <v>39</v>
      </c>
      <c r="L2733" s="27"/>
    </row>
    <row r="2734" customFormat="false" ht="15" hidden="false" customHeight="false" outlineLevel="0" collapsed="false">
      <c r="A2734" s="26" t="s">
        <v>9906</v>
      </c>
      <c r="B2734" s="27" t="s">
        <v>9907</v>
      </c>
      <c r="C2734" s="27" t="s">
        <v>144</v>
      </c>
      <c r="D2734" s="26" t="s">
        <v>9908</v>
      </c>
      <c r="E2734" s="27" t="s">
        <v>9909</v>
      </c>
      <c r="F2734" s="28" t="s">
        <v>146</v>
      </c>
      <c r="G2734" s="27" t="s">
        <v>3537</v>
      </c>
      <c r="H2734" s="27" t="s">
        <v>56</v>
      </c>
      <c r="I2734" s="27" t="s">
        <v>39</v>
      </c>
      <c r="J2734" s="28" t="s">
        <v>1129</v>
      </c>
      <c r="K2734" s="27" t="s">
        <v>39</v>
      </c>
      <c r="L2734" s="27"/>
    </row>
    <row r="2735" customFormat="false" ht="15" hidden="false" customHeight="false" outlineLevel="0" collapsed="false">
      <c r="A2735" s="26" t="s">
        <v>9910</v>
      </c>
      <c r="B2735" s="27" t="s">
        <v>9911</v>
      </c>
      <c r="C2735" s="27" t="s">
        <v>144</v>
      </c>
      <c r="D2735" s="26" t="s">
        <v>1136</v>
      </c>
      <c r="E2735" s="27" t="s">
        <v>1137</v>
      </c>
      <c r="F2735" s="28" t="s">
        <v>146</v>
      </c>
      <c r="G2735" s="27" t="s">
        <v>3537</v>
      </c>
      <c r="H2735" s="27" t="s">
        <v>56</v>
      </c>
      <c r="I2735" s="27" t="s">
        <v>39</v>
      </c>
      <c r="J2735" s="28" t="s">
        <v>1129</v>
      </c>
      <c r="K2735" s="27" t="s">
        <v>39</v>
      </c>
      <c r="L2735" s="27"/>
    </row>
    <row r="2736" customFormat="false" ht="15" hidden="false" customHeight="false" outlineLevel="0" collapsed="false">
      <c r="A2736" s="26" t="s">
        <v>9912</v>
      </c>
      <c r="B2736" s="27" t="s">
        <v>9913</v>
      </c>
      <c r="C2736" s="27" t="s">
        <v>144</v>
      </c>
      <c r="D2736" s="26" t="s">
        <v>1923</v>
      </c>
      <c r="E2736" s="27" t="s">
        <v>1924</v>
      </c>
      <c r="F2736" s="28" t="s">
        <v>146</v>
      </c>
      <c r="G2736" s="27" t="s">
        <v>3537</v>
      </c>
      <c r="H2736" s="27" t="s">
        <v>56</v>
      </c>
      <c r="I2736" s="27" t="s">
        <v>39</v>
      </c>
      <c r="J2736" s="28" t="s">
        <v>1129</v>
      </c>
      <c r="K2736" s="27" t="s">
        <v>39</v>
      </c>
      <c r="L2736" s="27"/>
    </row>
    <row r="2737" customFormat="false" ht="15" hidden="false" customHeight="false" outlineLevel="0" collapsed="false">
      <c r="A2737" s="26" t="s">
        <v>9914</v>
      </c>
      <c r="B2737" s="27" t="s">
        <v>9915</v>
      </c>
      <c r="C2737" s="27" t="s">
        <v>144</v>
      </c>
      <c r="D2737" s="26" t="s">
        <v>9916</v>
      </c>
      <c r="E2737" s="27" t="s">
        <v>9917</v>
      </c>
      <c r="F2737" s="28" t="s">
        <v>146</v>
      </c>
      <c r="G2737" s="27" t="s">
        <v>3537</v>
      </c>
      <c r="H2737" s="27" t="s">
        <v>56</v>
      </c>
      <c r="I2737" s="27" t="s">
        <v>39</v>
      </c>
      <c r="J2737" s="28" t="s">
        <v>1129</v>
      </c>
      <c r="K2737" s="27" t="s">
        <v>39</v>
      </c>
      <c r="L2737" s="27"/>
    </row>
    <row r="2738" customFormat="false" ht="15" hidden="false" customHeight="false" outlineLevel="0" collapsed="false">
      <c r="A2738" s="26" t="s">
        <v>9918</v>
      </c>
      <c r="B2738" s="27" t="s">
        <v>9919</v>
      </c>
      <c r="C2738" s="27" t="s">
        <v>1187</v>
      </c>
      <c r="D2738" s="26" t="s">
        <v>9920</v>
      </c>
      <c r="E2738" s="27" t="s">
        <v>9921</v>
      </c>
      <c r="F2738" s="28" t="s">
        <v>1190</v>
      </c>
      <c r="G2738" s="27" t="s">
        <v>3537</v>
      </c>
      <c r="H2738" s="27" t="s">
        <v>56</v>
      </c>
      <c r="I2738" s="27" t="s">
        <v>39</v>
      </c>
      <c r="J2738" s="28" t="s">
        <v>1129</v>
      </c>
      <c r="K2738" s="27" t="s">
        <v>39</v>
      </c>
      <c r="L2738" s="27"/>
    </row>
    <row r="2739" customFormat="false" ht="15" hidden="false" customHeight="false" outlineLevel="0" collapsed="false">
      <c r="A2739" s="26" t="s">
        <v>9922</v>
      </c>
      <c r="B2739" s="27" t="s">
        <v>9923</v>
      </c>
      <c r="C2739" s="27" t="s">
        <v>144</v>
      </c>
      <c r="D2739" s="26" t="s">
        <v>1215</v>
      </c>
      <c r="E2739" s="27" t="s">
        <v>1216</v>
      </c>
      <c r="F2739" s="28" t="s">
        <v>146</v>
      </c>
      <c r="G2739" s="27" t="s">
        <v>3537</v>
      </c>
      <c r="H2739" s="27" t="s">
        <v>56</v>
      </c>
      <c r="I2739" s="27" t="s">
        <v>39</v>
      </c>
      <c r="J2739" s="28" t="s">
        <v>1129</v>
      </c>
      <c r="K2739" s="27" t="s">
        <v>39</v>
      </c>
      <c r="L2739" s="27"/>
    </row>
    <row r="2740" customFormat="false" ht="15" hidden="false" customHeight="false" outlineLevel="0" collapsed="false">
      <c r="A2740" s="26" t="s">
        <v>9924</v>
      </c>
      <c r="B2740" s="27" t="s">
        <v>9925</v>
      </c>
      <c r="C2740" s="27" t="s">
        <v>144</v>
      </c>
      <c r="D2740" s="26" t="s">
        <v>9926</v>
      </c>
      <c r="E2740" s="27" t="s">
        <v>9927</v>
      </c>
      <c r="F2740" s="28" t="s">
        <v>146</v>
      </c>
      <c r="G2740" s="27" t="s">
        <v>3537</v>
      </c>
      <c r="H2740" s="27" t="s">
        <v>56</v>
      </c>
      <c r="I2740" s="27" t="s">
        <v>39</v>
      </c>
      <c r="J2740" s="28" t="s">
        <v>1129</v>
      </c>
      <c r="K2740" s="27" t="s">
        <v>39</v>
      </c>
      <c r="L2740" s="27"/>
    </row>
    <row r="2741" customFormat="false" ht="15" hidden="false" customHeight="false" outlineLevel="0" collapsed="false">
      <c r="A2741" s="26" t="s">
        <v>9928</v>
      </c>
      <c r="B2741" s="27" t="s">
        <v>9929</v>
      </c>
      <c r="C2741" s="27" t="s">
        <v>144</v>
      </c>
      <c r="D2741" s="26" t="s">
        <v>9926</v>
      </c>
      <c r="E2741" s="27" t="s">
        <v>9927</v>
      </c>
      <c r="F2741" s="28" t="s">
        <v>146</v>
      </c>
      <c r="G2741" s="27" t="s">
        <v>3537</v>
      </c>
      <c r="H2741" s="27" t="s">
        <v>56</v>
      </c>
      <c r="I2741" s="27" t="s">
        <v>39</v>
      </c>
      <c r="J2741" s="28" t="s">
        <v>1129</v>
      </c>
      <c r="K2741" s="27" t="s">
        <v>39</v>
      </c>
      <c r="L2741" s="27"/>
    </row>
    <row r="2742" customFormat="false" ht="15" hidden="false" customHeight="false" outlineLevel="0" collapsed="false">
      <c r="A2742" s="26" t="s">
        <v>9930</v>
      </c>
      <c r="B2742" s="27" t="s">
        <v>9931</v>
      </c>
      <c r="C2742" s="27" t="s">
        <v>144</v>
      </c>
      <c r="D2742" s="26" t="s">
        <v>3164</v>
      </c>
      <c r="E2742" s="27" t="s">
        <v>3165</v>
      </c>
      <c r="F2742" s="28" t="s">
        <v>146</v>
      </c>
      <c r="G2742" s="27" t="s">
        <v>3537</v>
      </c>
      <c r="H2742" s="27" t="s">
        <v>56</v>
      </c>
      <c r="I2742" s="27" t="s">
        <v>39</v>
      </c>
      <c r="J2742" s="28" t="s">
        <v>1129</v>
      </c>
      <c r="K2742" s="27" t="s">
        <v>39</v>
      </c>
      <c r="L2742" s="27"/>
    </row>
    <row r="2743" customFormat="false" ht="15" hidden="false" customHeight="false" outlineLevel="0" collapsed="false">
      <c r="A2743" s="26" t="s">
        <v>9932</v>
      </c>
      <c r="B2743" s="27" t="s">
        <v>9933</v>
      </c>
      <c r="C2743" s="27" t="s">
        <v>144</v>
      </c>
      <c r="D2743" s="26" t="s">
        <v>9934</v>
      </c>
      <c r="E2743" s="27" t="s">
        <v>9935</v>
      </c>
      <c r="F2743" s="28" t="s">
        <v>146</v>
      </c>
      <c r="G2743" s="27" t="s">
        <v>3537</v>
      </c>
      <c r="H2743" s="27" t="s">
        <v>56</v>
      </c>
      <c r="I2743" s="27" t="s">
        <v>39</v>
      </c>
      <c r="J2743" s="28" t="s">
        <v>1129</v>
      </c>
      <c r="K2743" s="27" t="s">
        <v>39</v>
      </c>
      <c r="L2743" s="27"/>
    </row>
    <row r="2744" customFormat="false" ht="15" hidden="false" customHeight="false" outlineLevel="0" collapsed="false">
      <c r="A2744" s="26" t="s">
        <v>9936</v>
      </c>
      <c r="B2744" s="27" t="s">
        <v>9937</v>
      </c>
      <c r="C2744" s="27" t="s">
        <v>144</v>
      </c>
      <c r="D2744" s="26" t="s">
        <v>9938</v>
      </c>
      <c r="E2744" s="27" t="s">
        <v>9939</v>
      </c>
      <c r="F2744" s="28" t="s">
        <v>146</v>
      </c>
      <c r="G2744" s="27" t="s">
        <v>3537</v>
      </c>
      <c r="H2744" s="27" t="s">
        <v>56</v>
      </c>
      <c r="I2744" s="27" t="s">
        <v>39</v>
      </c>
      <c r="J2744" s="28" t="s">
        <v>1129</v>
      </c>
      <c r="K2744" s="27" t="s">
        <v>39</v>
      </c>
      <c r="L2744" s="27"/>
    </row>
    <row r="2745" customFormat="false" ht="15" hidden="false" customHeight="false" outlineLevel="0" collapsed="false">
      <c r="A2745" s="26" t="s">
        <v>9940</v>
      </c>
      <c r="B2745" s="27" t="s">
        <v>9941</v>
      </c>
      <c r="C2745" s="27" t="s">
        <v>144</v>
      </c>
      <c r="D2745" s="26" t="s">
        <v>9942</v>
      </c>
      <c r="E2745" s="27" t="s">
        <v>9943</v>
      </c>
      <c r="F2745" s="28" t="s">
        <v>146</v>
      </c>
      <c r="G2745" s="27" t="s">
        <v>3537</v>
      </c>
      <c r="H2745" s="27" t="s">
        <v>56</v>
      </c>
      <c r="I2745" s="27" t="s">
        <v>39</v>
      </c>
      <c r="J2745" s="28" t="s">
        <v>1129</v>
      </c>
      <c r="K2745" s="27" t="s">
        <v>39</v>
      </c>
      <c r="L2745" s="27"/>
    </row>
    <row r="2746" customFormat="false" ht="15" hidden="false" customHeight="false" outlineLevel="0" collapsed="false">
      <c r="A2746" s="26" t="s">
        <v>9944</v>
      </c>
      <c r="B2746" s="27" t="s">
        <v>9945</v>
      </c>
      <c r="C2746" s="27" t="s">
        <v>144</v>
      </c>
      <c r="D2746" s="26" t="s">
        <v>9942</v>
      </c>
      <c r="E2746" s="27" t="s">
        <v>9943</v>
      </c>
      <c r="F2746" s="28" t="s">
        <v>146</v>
      </c>
      <c r="G2746" s="27" t="s">
        <v>3537</v>
      </c>
      <c r="H2746" s="27" t="s">
        <v>56</v>
      </c>
      <c r="I2746" s="27" t="s">
        <v>39</v>
      </c>
      <c r="J2746" s="28" t="s">
        <v>1129</v>
      </c>
      <c r="K2746" s="27" t="s">
        <v>39</v>
      </c>
      <c r="L2746" s="27"/>
    </row>
    <row r="2747" customFormat="false" ht="15" hidden="false" customHeight="false" outlineLevel="0" collapsed="false">
      <c r="A2747" s="26" t="s">
        <v>9946</v>
      </c>
      <c r="B2747" s="27" t="s">
        <v>9947</v>
      </c>
      <c r="C2747" s="27" t="s">
        <v>144</v>
      </c>
      <c r="D2747" s="26" t="s">
        <v>9948</v>
      </c>
      <c r="E2747" s="27" t="s">
        <v>9949</v>
      </c>
      <c r="F2747" s="28" t="s">
        <v>146</v>
      </c>
      <c r="G2747" s="27" t="s">
        <v>3537</v>
      </c>
      <c r="H2747" s="27" t="s">
        <v>56</v>
      </c>
      <c r="I2747" s="27" t="s">
        <v>39</v>
      </c>
      <c r="J2747" s="28" t="s">
        <v>1129</v>
      </c>
      <c r="K2747" s="27" t="s">
        <v>39</v>
      </c>
      <c r="L2747" s="27"/>
    </row>
    <row r="2748" customFormat="false" ht="15" hidden="false" customHeight="false" outlineLevel="0" collapsed="false">
      <c r="A2748" s="26" t="s">
        <v>9950</v>
      </c>
      <c r="B2748" s="27" t="s">
        <v>9951</v>
      </c>
      <c r="C2748" s="27" t="s">
        <v>144</v>
      </c>
      <c r="D2748" s="26" t="s">
        <v>9952</v>
      </c>
      <c r="E2748" s="27" t="s">
        <v>9953</v>
      </c>
      <c r="F2748" s="28" t="s">
        <v>146</v>
      </c>
      <c r="G2748" s="27" t="s">
        <v>3537</v>
      </c>
      <c r="H2748" s="27" t="s">
        <v>57</v>
      </c>
      <c r="I2748" s="27" t="s">
        <v>49</v>
      </c>
      <c r="J2748" s="28" t="s">
        <v>1129</v>
      </c>
      <c r="K2748" s="27" t="s">
        <v>39</v>
      </c>
      <c r="L2748" s="27"/>
    </row>
    <row r="2749" customFormat="false" ht="15" hidden="false" customHeight="false" outlineLevel="0" collapsed="false">
      <c r="A2749" s="26" t="s">
        <v>9954</v>
      </c>
      <c r="B2749" s="27" t="s">
        <v>9955</v>
      </c>
      <c r="C2749" s="27" t="s">
        <v>1087</v>
      </c>
      <c r="D2749" s="26" t="s">
        <v>9956</v>
      </c>
      <c r="E2749" s="27" t="s">
        <v>9957</v>
      </c>
      <c r="F2749" s="28" t="s">
        <v>1090</v>
      </c>
      <c r="G2749" s="27" t="s">
        <v>3537</v>
      </c>
      <c r="H2749" s="27" t="s">
        <v>57</v>
      </c>
      <c r="I2749" s="27" t="s">
        <v>44</v>
      </c>
      <c r="J2749" s="28" t="s">
        <v>1232</v>
      </c>
      <c r="K2749" s="27" t="s">
        <v>49</v>
      </c>
      <c r="L2749" s="27"/>
    </row>
    <row r="2750" customFormat="false" ht="15" hidden="false" customHeight="false" outlineLevel="0" collapsed="false">
      <c r="A2750" s="26" t="s">
        <v>9958</v>
      </c>
      <c r="B2750" s="27" t="s">
        <v>9959</v>
      </c>
      <c r="C2750" s="27" t="s">
        <v>1845</v>
      </c>
      <c r="D2750" s="26" t="s">
        <v>9960</v>
      </c>
      <c r="E2750" s="27" t="s">
        <v>9961</v>
      </c>
      <c r="F2750" s="28" t="s">
        <v>2232</v>
      </c>
      <c r="G2750" s="27" t="s">
        <v>3537</v>
      </c>
      <c r="H2750" s="27" t="s">
        <v>57</v>
      </c>
      <c r="I2750" s="27" t="s">
        <v>45</v>
      </c>
      <c r="J2750" s="28" t="s">
        <v>1232</v>
      </c>
      <c r="K2750" s="27" t="s">
        <v>49</v>
      </c>
      <c r="L2750" s="27"/>
    </row>
    <row r="2751" customFormat="false" ht="15" hidden="false" customHeight="false" outlineLevel="0" collapsed="false">
      <c r="A2751" s="26" t="s">
        <v>9962</v>
      </c>
      <c r="B2751" s="27" t="s">
        <v>9963</v>
      </c>
      <c r="C2751" s="27" t="s">
        <v>1087</v>
      </c>
      <c r="D2751" s="26" t="s">
        <v>9964</v>
      </c>
      <c r="E2751" s="27" t="s">
        <v>9965</v>
      </c>
      <c r="F2751" s="28" t="s">
        <v>1090</v>
      </c>
      <c r="G2751" s="27" t="s">
        <v>3537</v>
      </c>
      <c r="H2751" s="27" t="s">
        <v>57</v>
      </c>
      <c r="I2751" s="27" t="s">
        <v>44</v>
      </c>
      <c r="J2751" s="28" t="s">
        <v>1232</v>
      </c>
      <c r="K2751" s="27" t="s">
        <v>49</v>
      </c>
      <c r="L2751" s="27"/>
    </row>
    <row r="2752" customFormat="false" ht="15" hidden="false" customHeight="false" outlineLevel="0" collapsed="false">
      <c r="A2752" s="26" t="s">
        <v>9966</v>
      </c>
      <c r="B2752" s="27" t="s">
        <v>9967</v>
      </c>
      <c r="C2752" s="27" t="s">
        <v>137</v>
      </c>
      <c r="D2752" s="26" t="s">
        <v>9968</v>
      </c>
      <c r="E2752" s="27" t="s">
        <v>9969</v>
      </c>
      <c r="F2752" s="28" t="s">
        <v>140</v>
      </c>
      <c r="G2752" s="27" t="s">
        <v>3537</v>
      </c>
      <c r="H2752" s="27" t="s">
        <v>57</v>
      </c>
      <c r="I2752" s="27" t="s">
        <v>44</v>
      </c>
      <c r="J2752" s="28" t="s">
        <v>1232</v>
      </c>
      <c r="K2752" s="27" t="s">
        <v>49</v>
      </c>
      <c r="L2752" s="27"/>
    </row>
    <row r="2753" customFormat="false" ht="15" hidden="false" customHeight="false" outlineLevel="0" collapsed="false">
      <c r="A2753" s="26" t="s">
        <v>9970</v>
      </c>
      <c r="B2753" s="27" t="s">
        <v>9971</v>
      </c>
      <c r="C2753" s="27" t="s">
        <v>137</v>
      </c>
      <c r="D2753" s="26" t="s">
        <v>8935</v>
      </c>
      <c r="E2753" s="27" t="s">
        <v>8936</v>
      </c>
      <c r="F2753" s="28" t="s">
        <v>140</v>
      </c>
      <c r="G2753" s="27" t="s">
        <v>3537</v>
      </c>
      <c r="H2753" s="27" t="s">
        <v>57</v>
      </c>
      <c r="I2753" s="27" t="s">
        <v>38</v>
      </c>
      <c r="J2753" s="28" t="s">
        <v>1232</v>
      </c>
      <c r="K2753" s="27" t="s">
        <v>49</v>
      </c>
      <c r="L2753" s="27"/>
    </row>
    <row r="2754" customFormat="false" ht="15" hidden="false" customHeight="false" outlineLevel="0" collapsed="false">
      <c r="A2754" s="26" t="s">
        <v>9972</v>
      </c>
      <c r="B2754" s="27" t="s">
        <v>9973</v>
      </c>
      <c r="C2754" s="27" t="s">
        <v>144</v>
      </c>
      <c r="D2754" s="26" t="s">
        <v>1054</v>
      </c>
      <c r="E2754" s="27" t="s">
        <v>1055</v>
      </c>
      <c r="F2754" s="28" t="s">
        <v>146</v>
      </c>
      <c r="G2754" s="27" t="s">
        <v>3537</v>
      </c>
      <c r="H2754" s="27" t="s">
        <v>56</v>
      </c>
      <c r="I2754" s="27" t="s">
        <v>49</v>
      </c>
      <c r="J2754" s="28" t="s">
        <v>1232</v>
      </c>
      <c r="K2754" s="27" t="s">
        <v>49</v>
      </c>
      <c r="L2754" s="27"/>
    </row>
    <row r="2755" customFormat="false" ht="15" hidden="false" customHeight="false" outlineLevel="0" collapsed="false">
      <c r="A2755" s="26" t="s">
        <v>9974</v>
      </c>
      <c r="B2755" s="27" t="s">
        <v>9975</v>
      </c>
      <c r="C2755" s="27" t="s">
        <v>100</v>
      </c>
      <c r="D2755" s="26" t="s">
        <v>9976</v>
      </c>
      <c r="E2755" s="27" t="s">
        <v>9977</v>
      </c>
      <c r="F2755" s="28" t="s">
        <v>102</v>
      </c>
      <c r="G2755" s="27" t="s">
        <v>3537</v>
      </c>
      <c r="H2755" s="27" t="s">
        <v>56</v>
      </c>
      <c r="I2755" s="27" t="s">
        <v>49</v>
      </c>
      <c r="J2755" s="28" t="s">
        <v>1232</v>
      </c>
      <c r="K2755" s="27" t="s">
        <v>49</v>
      </c>
      <c r="L2755" s="27"/>
    </row>
    <row r="2756" customFormat="false" ht="15" hidden="false" customHeight="false" outlineLevel="0" collapsed="false">
      <c r="A2756" s="26" t="s">
        <v>9978</v>
      </c>
      <c r="B2756" s="27" t="s">
        <v>9979</v>
      </c>
      <c r="C2756" s="27" t="s">
        <v>100</v>
      </c>
      <c r="D2756" s="26" t="s">
        <v>9980</v>
      </c>
      <c r="E2756" s="27" t="s">
        <v>9981</v>
      </c>
      <c r="F2756" s="28" t="s">
        <v>102</v>
      </c>
      <c r="G2756" s="27" t="s">
        <v>3537</v>
      </c>
      <c r="H2756" s="27" t="s">
        <v>56</v>
      </c>
      <c r="I2756" s="27" t="s">
        <v>49</v>
      </c>
      <c r="J2756" s="28" t="s">
        <v>1232</v>
      </c>
      <c r="K2756" s="27" t="s">
        <v>49</v>
      </c>
      <c r="L2756" s="27"/>
    </row>
    <row r="2757" customFormat="false" ht="15" hidden="false" customHeight="false" outlineLevel="0" collapsed="false">
      <c r="A2757" s="26" t="s">
        <v>9982</v>
      </c>
      <c r="B2757" s="27" t="s">
        <v>9983</v>
      </c>
      <c r="C2757" s="27" t="s">
        <v>131</v>
      </c>
      <c r="D2757" s="26" t="s">
        <v>9984</v>
      </c>
      <c r="E2757" s="27" t="s">
        <v>9985</v>
      </c>
      <c r="F2757" s="28" t="s">
        <v>134</v>
      </c>
      <c r="G2757" s="27" t="s">
        <v>3537</v>
      </c>
      <c r="H2757" s="27" t="s">
        <v>57</v>
      </c>
      <c r="I2757" s="27" t="s">
        <v>42</v>
      </c>
      <c r="J2757" s="28" t="s">
        <v>1232</v>
      </c>
      <c r="K2757" s="27" t="s">
        <v>49</v>
      </c>
      <c r="L2757" s="27"/>
    </row>
    <row r="2758" customFormat="false" ht="15" hidden="false" customHeight="false" outlineLevel="0" collapsed="false">
      <c r="A2758" s="26" t="s">
        <v>9986</v>
      </c>
      <c r="B2758" s="27" t="s">
        <v>9987</v>
      </c>
      <c r="C2758" s="27" t="s">
        <v>100</v>
      </c>
      <c r="D2758" s="26" t="s">
        <v>9988</v>
      </c>
      <c r="E2758" s="27" t="s">
        <v>9989</v>
      </c>
      <c r="F2758" s="28" t="s">
        <v>102</v>
      </c>
      <c r="G2758" s="27" t="s">
        <v>3537</v>
      </c>
      <c r="H2758" s="27" t="s">
        <v>56</v>
      </c>
      <c r="I2758" s="27" t="s">
        <v>49</v>
      </c>
      <c r="J2758" s="28" t="s">
        <v>1232</v>
      </c>
      <c r="K2758" s="27" t="s">
        <v>49</v>
      </c>
      <c r="L2758" s="27"/>
    </row>
    <row r="2759" customFormat="false" ht="15" hidden="false" customHeight="false" outlineLevel="0" collapsed="false">
      <c r="A2759" s="26" t="s">
        <v>9990</v>
      </c>
      <c r="B2759" s="27" t="s">
        <v>9991</v>
      </c>
      <c r="C2759" s="27" t="s">
        <v>100</v>
      </c>
      <c r="D2759" s="26" t="s">
        <v>9992</v>
      </c>
      <c r="E2759" s="27" t="s">
        <v>9993</v>
      </c>
      <c r="F2759" s="28" t="s">
        <v>102</v>
      </c>
      <c r="G2759" s="27" t="s">
        <v>3537</v>
      </c>
      <c r="H2759" s="27" t="s">
        <v>56</v>
      </c>
      <c r="I2759" s="27" t="s">
        <v>49</v>
      </c>
      <c r="J2759" s="28" t="s">
        <v>1232</v>
      </c>
      <c r="K2759" s="27" t="s">
        <v>49</v>
      </c>
      <c r="L2759" s="27"/>
    </row>
    <row r="2760" customFormat="false" ht="15" hidden="false" customHeight="false" outlineLevel="0" collapsed="false">
      <c r="A2760" s="26" t="s">
        <v>9994</v>
      </c>
      <c r="B2760" s="27" t="s">
        <v>9995</v>
      </c>
      <c r="C2760" s="27" t="s">
        <v>100</v>
      </c>
      <c r="D2760" s="26" t="s">
        <v>9996</v>
      </c>
      <c r="E2760" s="27" t="s">
        <v>9997</v>
      </c>
      <c r="F2760" s="28" t="s">
        <v>102</v>
      </c>
      <c r="G2760" s="27" t="s">
        <v>3537</v>
      </c>
      <c r="H2760" s="27" t="s">
        <v>56</v>
      </c>
      <c r="I2760" s="27" t="s">
        <v>49</v>
      </c>
      <c r="J2760" s="28" t="s">
        <v>1232</v>
      </c>
      <c r="K2760" s="27" t="s">
        <v>49</v>
      </c>
      <c r="L2760" s="27"/>
    </row>
    <row r="2761" customFormat="false" ht="15" hidden="false" customHeight="false" outlineLevel="0" collapsed="false">
      <c r="A2761" s="26" t="s">
        <v>9998</v>
      </c>
      <c r="B2761" s="27" t="s">
        <v>9999</v>
      </c>
      <c r="C2761" s="27" t="s">
        <v>100</v>
      </c>
      <c r="D2761" s="26" t="s">
        <v>10000</v>
      </c>
      <c r="E2761" s="27" t="s">
        <v>10001</v>
      </c>
      <c r="F2761" s="28" t="s">
        <v>102</v>
      </c>
      <c r="G2761" s="27" t="s">
        <v>3537</v>
      </c>
      <c r="H2761" s="27" t="s">
        <v>56</v>
      </c>
      <c r="I2761" s="27" t="s">
        <v>49</v>
      </c>
      <c r="J2761" s="28" t="s">
        <v>1232</v>
      </c>
      <c r="K2761" s="27" t="s">
        <v>49</v>
      </c>
      <c r="L2761" s="27"/>
    </row>
    <row r="2762" customFormat="false" ht="15" hidden="false" customHeight="false" outlineLevel="0" collapsed="false">
      <c r="A2762" s="26" t="s">
        <v>10002</v>
      </c>
      <c r="B2762" s="27" t="s">
        <v>10003</v>
      </c>
      <c r="C2762" s="27" t="s">
        <v>100</v>
      </c>
      <c r="D2762" s="26" t="s">
        <v>10004</v>
      </c>
      <c r="E2762" s="27" t="s">
        <v>10005</v>
      </c>
      <c r="F2762" s="28" t="s">
        <v>102</v>
      </c>
      <c r="G2762" s="27" t="s">
        <v>3537</v>
      </c>
      <c r="H2762" s="27" t="s">
        <v>56</v>
      </c>
      <c r="I2762" s="27" t="s">
        <v>49</v>
      </c>
      <c r="J2762" s="28" t="s">
        <v>1232</v>
      </c>
      <c r="K2762" s="27" t="s">
        <v>49</v>
      </c>
      <c r="L2762" s="27"/>
    </row>
    <row r="2763" customFormat="false" ht="15" hidden="false" customHeight="false" outlineLevel="0" collapsed="false">
      <c r="A2763" s="26" t="s">
        <v>10006</v>
      </c>
      <c r="B2763" s="27" t="s">
        <v>10007</v>
      </c>
      <c r="C2763" s="27" t="s">
        <v>100</v>
      </c>
      <c r="D2763" s="26" t="s">
        <v>10008</v>
      </c>
      <c r="E2763" s="27" t="s">
        <v>10009</v>
      </c>
      <c r="F2763" s="28" t="s">
        <v>102</v>
      </c>
      <c r="G2763" s="27" t="s">
        <v>3537</v>
      </c>
      <c r="H2763" s="27" t="s">
        <v>56</v>
      </c>
      <c r="I2763" s="27" t="s">
        <v>49</v>
      </c>
      <c r="J2763" s="28" t="s">
        <v>1232</v>
      </c>
      <c r="K2763" s="27" t="s">
        <v>49</v>
      </c>
      <c r="L2763" s="27"/>
    </row>
    <row r="2764" customFormat="false" ht="15" hidden="false" customHeight="false" outlineLevel="0" collapsed="false">
      <c r="A2764" s="26" t="s">
        <v>10010</v>
      </c>
      <c r="B2764" s="27" t="s">
        <v>10011</v>
      </c>
      <c r="C2764" s="27" t="s">
        <v>100</v>
      </c>
      <c r="D2764" s="26" t="s">
        <v>10008</v>
      </c>
      <c r="E2764" s="27" t="s">
        <v>10009</v>
      </c>
      <c r="F2764" s="28" t="s">
        <v>102</v>
      </c>
      <c r="G2764" s="27" t="s">
        <v>3537</v>
      </c>
      <c r="H2764" s="27" t="s">
        <v>56</v>
      </c>
      <c r="I2764" s="27" t="s">
        <v>49</v>
      </c>
      <c r="J2764" s="28" t="s">
        <v>1232</v>
      </c>
      <c r="K2764" s="27" t="s">
        <v>49</v>
      </c>
      <c r="L2764" s="27"/>
    </row>
    <row r="2765" customFormat="false" ht="15" hidden="false" customHeight="false" outlineLevel="0" collapsed="false">
      <c r="A2765" s="26" t="s">
        <v>10012</v>
      </c>
      <c r="B2765" s="27" t="s">
        <v>10013</v>
      </c>
      <c r="C2765" s="27" t="s">
        <v>100</v>
      </c>
      <c r="D2765" s="26" t="s">
        <v>10014</v>
      </c>
      <c r="E2765" s="27" t="s">
        <v>10015</v>
      </c>
      <c r="F2765" s="28" t="s">
        <v>102</v>
      </c>
      <c r="G2765" s="27" t="s">
        <v>3537</v>
      </c>
      <c r="H2765" s="27" t="s">
        <v>56</v>
      </c>
      <c r="I2765" s="27" t="s">
        <v>49</v>
      </c>
      <c r="J2765" s="28" t="s">
        <v>1232</v>
      </c>
      <c r="K2765" s="27" t="s">
        <v>49</v>
      </c>
      <c r="L2765" s="27"/>
    </row>
    <row r="2766" customFormat="false" ht="15" hidden="false" customHeight="false" outlineLevel="0" collapsed="false">
      <c r="A2766" s="26" t="s">
        <v>10016</v>
      </c>
      <c r="B2766" s="27" t="s">
        <v>10017</v>
      </c>
      <c r="C2766" s="27" t="s">
        <v>100</v>
      </c>
      <c r="D2766" s="26" t="s">
        <v>10018</v>
      </c>
      <c r="E2766" s="27" t="s">
        <v>10019</v>
      </c>
      <c r="F2766" s="28" t="s">
        <v>102</v>
      </c>
      <c r="G2766" s="27" t="s">
        <v>3537</v>
      </c>
      <c r="H2766" s="27" t="s">
        <v>56</v>
      </c>
      <c r="I2766" s="27" t="s">
        <v>49</v>
      </c>
      <c r="J2766" s="28" t="s">
        <v>1232</v>
      </c>
      <c r="K2766" s="27" t="s">
        <v>49</v>
      </c>
      <c r="L2766" s="27"/>
    </row>
    <row r="2767" customFormat="false" ht="15" hidden="false" customHeight="false" outlineLevel="0" collapsed="false">
      <c r="A2767" s="26" t="s">
        <v>10020</v>
      </c>
      <c r="B2767" s="27" t="s">
        <v>10021</v>
      </c>
      <c r="C2767" s="27" t="s">
        <v>100</v>
      </c>
      <c r="D2767" s="26" t="s">
        <v>10022</v>
      </c>
      <c r="E2767" s="27" t="s">
        <v>10023</v>
      </c>
      <c r="F2767" s="28" t="s">
        <v>102</v>
      </c>
      <c r="G2767" s="27" t="s">
        <v>3537</v>
      </c>
      <c r="H2767" s="27" t="s">
        <v>56</v>
      </c>
      <c r="I2767" s="27" t="s">
        <v>49</v>
      </c>
      <c r="J2767" s="28" t="s">
        <v>1232</v>
      </c>
      <c r="K2767" s="27" t="s">
        <v>49</v>
      </c>
      <c r="L2767" s="27"/>
    </row>
    <row r="2768" customFormat="false" ht="15" hidden="false" customHeight="false" outlineLevel="0" collapsed="false">
      <c r="A2768" s="26" t="s">
        <v>10024</v>
      </c>
      <c r="B2768" s="27" t="s">
        <v>10025</v>
      </c>
      <c r="C2768" s="27" t="s">
        <v>100</v>
      </c>
      <c r="D2768" s="26" t="s">
        <v>10026</v>
      </c>
      <c r="E2768" s="27" t="s">
        <v>10027</v>
      </c>
      <c r="F2768" s="28" t="s">
        <v>102</v>
      </c>
      <c r="G2768" s="27" t="s">
        <v>3537</v>
      </c>
      <c r="H2768" s="27" t="s">
        <v>56</v>
      </c>
      <c r="I2768" s="27" t="s">
        <v>49</v>
      </c>
      <c r="J2768" s="28" t="s">
        <v>1232</v>
      </c>
      <c r="K2768" s="27" t="s">
        <v>49</v>
      </c>
      <c r="L2768" s="27"/>
    </row>
    <row r="2769" customFormat="false" ht="15" hidden="false" customHeight="false" outlineLevel="0" collapsed="false">
      <c r="A2769" s="26" t="s">
        <v>10028</v>
      </c>
      <c r="B2769" s="27" t="s">
        <v>10029</v>
      </c>
      <c r="C2769" s="27" t="s">
        <v>100</v>
      </c>
      <c r="D2769" s="26" t="s">
        <v>10030</v>
      </c>
      <c r="E2769" s="27" t="s">
        <v>10031</v>
      </c>
      <c r="F2769" s="28" t="s">
        <v>102</v>
      </c>
      <c r="G2769" s="27" t="s">
        <v>3537</v>
      </c>
      <c r="H2769" s="27" t="s">
        <v>56</v>
      </c>
      <c r="I2769" s="27" t="s">
        <v>49</v>
      </c>
      <c r="J2769" s="28" t="s">
        <v>1232</v>
      </c>
      <c r="K2769" s="27" t="s">
        <v>49</v>
      </c>
      <c r="L2769" s="27"/>
    </row>
    <row r="2770" customFormat="false" ht="15" hidden="false" customHeight="false" outlineLevel="0" collapsed="false">
      <c r="A2770" s="26" t="s">
        <v>10032</v>
      </c>
      <c r="B2770" s="27" t="s">
        <v>10033</v>
      </c>
      <c r="C2770" s="27" t="s">
        <v>100</v>
      </c>
      <c r="D2770" s="26" t="s">
        <v>10034</v>
      </c>
      <c r="E2770" s="27" t="s">
        <v>10035</v>
      </c>
      <c r="F2770" s="28" t="s">
        <v>102</v>
      </c>
      <c r="G2770" s="27" t="s">
        <v>3537</v>
      </c>
      <c r="H2770" s="27" t="s">
        <v>56</v>
      </c>
      <c r="I2770" s="27" t="s">
        <v>49</v>
      </c>
      <c r="J2770" s="28" t="s">
        <v>1232</v>
      </c>
      <c r="K2770" s="27" t="s">
        <v>49</v>
      </c>
      <c r="L2770" s="27"/>
    </row>
    <row r="2771" customFormat="false" ht="15" hidden="false" customHeight="false" outlineLevel="0" collapsed="false">
      <c r="A2771" s="26" t="s">
        <v>10036</v>
      </c>
      <c r="B2771" s="27" t="s">
        <v>10037</v>
      </c>
      <c r="C2771" s="27" t="s">
        <v>100</v>
      </c>
      <c r="D2771" s="26" t="s">
        <v>10034</v>
      </c>
      <c r="E2771" s="27" t="s">
        <v>10035</v>
      </c>
      <c r="F2771" s="28" t="s">
        <v>102</v>
      </c>
      <c r="G2771" s="27" t="s">
        <v>3537</v>
      </c>
      <c r="H2771" s="27" t="s">
        <v>56</v>
      </c>
      <c r="I2771" s="27" t="s">
        <v>49</v>
      </c>
      <c r="J2771" s="28" t="s">
        <v>1232</v>
      </c>
      <c r="K2771" s="27" t="s">
        <v>49</v>
      </c>
      <c r="L2771" s="27"/>
    </row>
    <row r="2772" customFormat="false" ht="15" hidden="false" customHeight="false" outlineLevel="0" collapsed="false">
      <c r="A2772" s="26" t="s">
        <v>10038</v>
      </c>
      <c r="B2772" s="27" t="s">
        <v>10039</v>
      </c>
      <c r="C2772" s="27" t="s">
        <v>100</v>
      </c>
      <c r="D2772" s="26" t="s">
        <v>10034</v>
      </c>
      <c r="E2772" s="27" t="s">
        <v>10035</v>
      </c>
      <c r="F2772" s="28" t="s">
        <v>102</v>
      </c>
      <c r="G2772" s="27" t="s">
        <v>3537</v>
      </c>
      <c r="H2772" s="27" t="s">
        <v>56</v>
      </c>
      <c r="I2772" s="27" t="s">
        <v>49</v>
      </c>
      <c r="J2772" s="28" t="s">
        <v>1232</v>
      </c>
      <c r="K2772" s="27" t="s">
        <v>49</v>
      </c>
      <c r="L2772" s="27"/>
    </row>
    <row r="2773" customFormat="false" ht="15" hidden="false" customHeight="false" outlineLevel="0" collapsed="false">
      <c r="A2773" s="26" t="s">
        <v>10040</v>
      </c>
      <c r="B2773" s="27" t="s">
        <v>10041</v>
      </c>
      <c r="C2773" s="27" t="s">
        <v>100</v>
      </c>
      <c r="D2773" s="26" t="s">
        <v>10034</v>
      </c>
      <c r="E2773" s="27" t="s">
        <v>10035</v>
      </c>
      <c r="F2773" s="28" t="s">
        <v>102</v>
      </c>
      <c r="G2773" s="27" t="s">
        <v>3537</v>
      </c>
      <c r="H2773" s="27" t="s">
        <v>56</v>
      </c>
      <c r="I2773" s="27" t="s">
        <v>49</v>
      </c>
      <c r="J2773" s="28" t="s">
        <v>1232</v>
      </c>
      <c r="K2773" s="27" t="s">
        <v>49</v>
      </c>
      <c r="L2773" s="27"/>
    </row>
    <row r="2774" customFormat="false" ht="15" hidden="false" customHeight="false" outlineLevel="0" collapsed="false">
      <c r="A2774" s="26" t="s">
        <v>10042</v>
      </c>
      <c r="B2774" s="27" t="s">
        <v>10043</v>
      </c>
      <c r="C2774" s="27" t="s">
        <v>100</v>
      </c>
      <c r="D2774" s="26" t="s">
        <v>10034</v>
      </c>
      <c r="E2774" s="27" t="s">
        <v>10035</v>
      </c>
      <c r="F2774" s="28" t="s">
        <v>102</v>
      </c>
      <c r="G2774" s="27" t="s">
        <v>3537</v>
      </c>
      <c r="H2774" s="27" t="s">
        <v>56</v>
      </c>
      <c r="I2774" s="27" t="s">
        <v>49</v>
      </c>
      <c r="J2774" s="28" t="s">
        <v>1232</v>
      </c>
      <c r="K2774" s="27" t="s">
        <v>49</v>
      </c>
      <c r="L2774" s="27"/>
    </row>
    <row r="2775" customFormat="false" ht="15" hidden="false" customHeight="false" outlineLevel="0" collapsed="false">
      <c r="A2775" s="26" t="s">
        <v>10044</v>
      </c>
      <c r="B2775" s="27" t="s">
        <v>10045</v>
      </c>
      <c r="C2775" s="27" t="s">
        <v>100</v>
      </c>
      <c r="D2775" s="26" t="s">
        <v>10034</v>
      </c>
      <c r="E2775" s="27" t="s">
        <v>10035</v>
      </c>
      <c r="F2775" s="28" t="s">
        <v>102</v>
      </c>
      <c r="G2775" s="27" t="s">
        <v>3537</v>
      </c>
      <c r="H2775" s="27" t="s">
        <v>56</v>
      </c>
      <c r="I2775" s="27" t="s">
        <v>49</v>
      </c>
      <c r="J2775" s="28" t="s">
        <v>1232</v>
      </c>
      <c r="K2775" s="27" t="s">
        <v>49</v>
      </c>
      <c r="L2775" s="27"/>
    </row>
    <row r="2776" customFormat="false" ht="15" hidden="false" customHeight="false" outlineLevel="0" collapsed="false">
      <c r="A2776" s="26" t="s">
        <v>10046</v>
      </c>
      <c r="B2776" s="27" t="s">
        <v>10047</v>
      </c>
      <c r="C2776" s="27" t="s">
        <v>131</v>
      </c>
      <c r="D2776" s="26" t="s">
        <v>10048</v>
      </c>
      <c r="E2776" s="27" t="s">
        <v>10049</v>
      </c>
      <c r="F2776" s="28" t="s">
        <v>134</v>
      </c>
      <c r="G2776" s="27" t="s">
        <v>3537</v>
      </c>
      <c r="H2776" s="27" t="s">
        <v>56</v>
      </c>
      <c r="I2776" s="27" t="s">
        <v>49</v>
      </c>
      <c r="J2776" s="28" t="s">
        <v>1232</v>
      </c>
      <c r="K2776" s="27" t="s">
        <v>49</v>
      </c>
      <c r="L2776" s="27"/>
    </row>
    <row r="2777" customFormat="false" ht="15" hidden="false" customHeight="false" outlineLevel="0" collapsed="false">
      <c r="A2777" s="26" t="s">
        <v>10050</v>
      </c>
      <c r="B2777" s="27" t="s">
        <v>10051</v>
      </c>
      <c r="C2777" s="27" t="s">
        <v>131</v>
      </c>
      <c r="D2777" s="26" t="s">
        <v>10052</v>
      </c>
      <c r="E2777" s="27" t="s">
        <v>10053</v>
      </c>
      <c r="F2777" s="28" t="s">
        <v>134</v>
      </c>
      <c r="G2777" s="27" t="s">
        <v>3537</v>
      </c>
      <c r="H2777" s="27" t="s">
        <v>57</v>
      </c>
      <c r="I2777" s="27" t="s">
        <v>42</v>
      </c>
      <c r="J2777" s="28" t="s">
        <v>1232</v>
      </c>
      <c r="K2777" s="27" t="s">
        <v>49</v>
      </c>
      <c r="L2777" s="27"/>
    </row>
    <row r="2778" customFormat="false" ht="15" hidden="false" customHeight="false" outlineLevel="0" collapsed="false">
      <c r="A2778" s="26" t="s">
        <v>10054</v>
      </c>
      <c r="B2778" s="27" t="s">
        <v>10055</v>
      </c>
      <c r="C2778" s="27" t="s">
        <v>144</v>
      </c>
      <c r="D2778" s="26" t="s">
        <v>10056</v>
      </c>
      <c r="E2778" s="27" t="s">
        <v>10057</v>
      </c>
      <c r="F2778" s="28" t="s">
        <v>146</v>
      </c>
      <c r="G2778" s="27" t="s">
        <v>3537</v>
      </c>
      <c r="H2778" s="27" t="s">
        <v>57</v>
      </c>
      <c r="I2778" s="27" t="s">
        <v>42</v>
      </c>
      <c r="J2778" s="28" t="s">
        <v>1232</v>
      </c>
      <c r="K2778" s="27" t="s">
        <v>49</v>
      </c>
      <c r="L2778" s="27"/>
    </row>
    <row r="2779" customFormat="false" ht="15" hidden="false" customHeight="false" outlineLevel="0" collapsed="false">
      <c r="A2779" s="26" t="s">
        <v>10058</v>
      </c>
      <c r="B2779" s="27" t="s">
        <v>10059</v>
      </c>
      <c r="C2779" s="27" t="s">
        <v>100</v>
      </c>
      <c r="D2779" s="26" t="s">
        <v>9976</v>
      </c>
      <c r="E2779" s="27" t="s">
        <v>9977</v>
      </c>
      <c r="F2779" s="28" t="s">
        <v>102</v>
      </c>
      <c r="G2779" s="27" t="s">
        <v>3537</v>
      </c>
      <c r="H2779" s="27" t="s">
        <v>56</v>
      </c>
      <c r="I2779" s="27" t="s">
        <v>49</v>
      </c>
      <c r="J2779" s="28" t="s">
        <v>1232</v>
      </c>
      <c r="K2779" s="27" t="s">
        <v>49</v>
      </c>
      <c r="L2779" s="27"/>
    </row>
    <row r="2780" customFormat="false" ht="15" hidden="false" customHeight="false" outlineLevel="0" collapsed="false">
      <c r="A2780" s="26" t="s">
        <v>10060</v>
      </c>
      <c r="B2780" s="27" t="s">
        <v>10061</v>
      </c>
      <c r="C2780" s="27" t="s">
        <v>131</v>
      </c>
      <c r="D2780" s="26" t="s">
        <v>10062</v>
      </c>
      <c r="E2780" s="27" t="s">
        <v>10063</v>
      </c>
      <c r="F2780" s="28" t="s">
        <v>134</v>
      </c>
      <c r="G2780" s="27" t="s">
        <v>3537</v>
      </c>
      <c r="H2780" s="27" t="s">
        <v>56</v>
      </c>
      <c r="I2780" s="27" t="s">
        <v>49</v>
      </c>
      <c r="J2780" s="28" t="s">
        <v>1232</v>
      </c>
      <c r="K2780" s="27" t="s">
        <v>49</v>
      </c>
      <c r="L2780" s="27"/>
    </row>
    <row r="2781" customFormat="false" ht="15" hidden="false" customHeight="false" outlineLevel="0" collapsed="false">
      <c r="A2781" s="26" t="s">
        <v>10064</v>
      </c>
      <c r="B2781" s="27" t="s">
        <v>10065</v>
      </c>
      <c r="C2781" s="27" t="s">
        <v>144</v>
      </c>
      <c r="D2781" s="26" t="s">
        <v>10066</v>
      </c>
      <c r="E2781" s="27" t="s">
        <v>10067</v>
      </c>
      <c r="F2781" s="28" t="s">
        <v>146</v>
      </c>
      <c r="G2781" s="27" t="s">
        <v>3537</v>
      </c>
      <c r="H2781" s="27" t="s">
        <v>57</v>
      </c>
      <c r="I2781" s="27" t="s">
        <v>1067</v>
      </c>
      <c r="J2781" s="28" t="s">
        <v>1232</v>
      </c>
      <c r="K2781" s="27" t="s">
        <v>49</v>
      </c>
      <c r="L2781" s="27"/>
    </row>
    <row r="2782" customFormat="false" ht="15" hidden="false" customHeight="false" outlineLevel="0" collapsed="false">
      <c r="A2782" s="26" t="s">
        <v>10068</v>
      </c>
      <c r="B2782" s="27" t="s">
        <v>10069</v>
      </c>
      <c r="C2782" s="27" t="s">
        <v>100</v>
      </c>
      <c r="D2782" s="26" t="s">
        <v>10070</v>
      </c>
      <c r="E2782" s="27" t="s">
        <v>10071</v>
      </c>
      <c r="F2782" s="28" t="s">
        <v>102</v>
      </c>
      <c r="G2782" s="27" t="s">
        <v>3537</v>
      </c>
      <c r="H2782" s="27" t="s">
        <v>56</v>
      </c>
      <c r="I2782" s="27" t="s">
        <v>49</v>
      </c>
      <c r="J2782" s="28" t="s">
        <v>1232</v>
      </c>
      <c r="K2782" s="27" t="s">
        <v>49</v>
      </c>
      <c r="L2782" s="27"/>
    </row>
    <row r="2783" customFormat="false" ht="15" hidden="false" customHeight="false" outlineLevel="0" collapsed="false">
      <c r="A2783" s="26" t="s">
        <v>10072</v>
      </c>
      <c r="B2783" s="27" t="s">
        <v>10073</v>
      </c>
      <c r="C2783" s="27" t="s">
        <v>100</v>
      </c>
      <c r="D2783" s="26" t="s">
        <v>10074</v>
      </c>
      <c r="E2783" s="27" t="s">
        <v>10075</v>
      </c>
      <c r="F2783" s="28" t="s">
        <v>102</v>
      </c>
      <c r="G2783" s="27" t="s">
        <v>3537</v>
      </c>
      <c r="H2783" s="27" t="s">
        <v>56</v>
      </c>
      <c r="I2783" s="27" t="s">
        <v>49</v>
      </c>
      <c r="J2783" s="28" t="s">
        <v>1232</v>
      </c>
      <c r="K2783" s="27" t="s">
        <v>49</v>
      </c>
      <c r="L2783" s="27"/>
    </row>
    <row r="2784" customFormat="false" ht="15" hidden="false" customHeight="false" outlineLevel="0" collapsed="false">
      <c r="A2784" s="26" t="s">
        <v>10076</v>
      </c>
      <c r="B2784" s="27" t="s">
        <v>10077</v>
      </c>
      <c r="C2784" s="27" t="s">
        <v>144</v>
      </c>
      <c r="D2784" s="26" t="s">
        <v>10078</v>
      </c>
      <c r="E2784" s="27" t="s">
        <v>10079</v>
      </c>
      <c r="F2784" s="28" t="s">
        <v>146</v>
      </c>
      <c r="G2784" s="27" t="s">
        <v>3537</v>
      </c>
      <c r="H2784" s="27" t="s">
        <v>57</v>
      </c>
      <c r="I2784" s="27" t="s">
        <v>39</v>
      </c>
      <c r="J2784" s="28" t="s">
        <v>1232</v>
      </c>
      <c r="K2784" s="27" t="s">
        <v>49</v>
      </c>
      <c r="L2784" s="27"/>
    </row>
    <row r="2785" customFormat="false" ht="15" hidden="false" customHeight="false" outlineLevel="0" collapsed="false">
      <c r="A2785" s="26" t="s">
        <v>10080</v>
      </c>
      <c r="B2785" s="27" t="s">
        <v>10081</v>
      </c>
      <c r="C2785" s="27" t="s">
        <v>144</v>
      </c>
      <c r="D2785" s="26" t="s">
        <v>10082</v>
      </c>
      <c r="E2785" s="27" t="s">
        <v>10083</v>
      </c>
      <c r="F2785" s="28" t="s">
        <v>146</v>
      </c>
      <c r="G2785" s="27" t="s">
        <v>3537</v>
      </c>
      <c r="H2785" s="27" t="s">
        <v>57</v>
      </c>
      <c r="I2785" s="27" t="s">
        <v>42</v>
      </c>
      <c r="J2785" s="28" t="s">
        <v>1232</v>
      </c>
      <c r="K2785" s="27" t="s">
        <v>49</v>
      </c>
      <c r="L2785" s="27"/>
    </row>
    <row r="2786" customFormat="false" ht="15" hidden="false" customHeight="false" outlineLevel="0" collapsed="false">
      <c r="A2786" s="26" t="s">
        <v>10084</v>
      </c>
      <c r="B2786" s="27" t="s">
        <v>9390</v>
      </c>
      <c r="C2786" s="27" t="s">
        <v>144</v>
      </c>
      <c r="D2786" s="26" t="s">
        <v>9391</v>
      </c>
      <c r="E2786" s="27" t="s">
        <v>9392</v>
      </c>
      <c r="F2786" s="28" t="s">
        <v>146</v>
      </c>
      <c r="G2786" s="27" t="s">
        <v>3537</v>
      </c>
      <c r="H2786" s="27" t="s">
        <v>57</v>
      </c>
      <c r="I2786" s="27" t="s">
        <v>39</v>
      </c>
      <c r="J2786" s="28" t="s">
        <v>1232</v>
      </c>
      <c r="K2786" s="27" t="s">
        <v>49</v>
      </c>
      <c r="L2786" s="27"/>
    </row>
    <row r="2787" customFormat="false" ht="15" hidden="false" customHeight="false" outlineLevel="0" collapsed="false">
      <c r="A2787" s="26" t="s">
        <v>10085</v>
      </c>
      <c r="B2787" s="27" t="s">
        <v>10086</v>
      </c>
      <c r="C2787" s="27" t="s">
        <v>144</v>
      </c>
      <c r="D2787" s="26" t="s">
        <v>10087</v>
      </c>
      <c r="E2787" s="27" t="s">
        <v>10088</v>
      </c>
      <c r="F2787" s="28" t="s">
        <v>146</v>
      </c>
      <c r="G2787" s="27" t="s">
        <v>3537</v>
      </c>
      <c r="H2787" s="27" t="s">
        <v>57</v>
      </c>
      <c r="I2787" s="28" t="s">
        <v>50</v>
      </c>
      <c r="J2787" s="28" t="s">
        <v>1232</v>
      </c>
      <c r="K2787" s="27" t="s">
        <v>49</v>
      </c>
      <c r="L2787" s="27"/>
    </row>
    <row r="2788" customFormat="false" ht="15" hidden="false" customHeight="false" outlineLevel="0" collapsed="false">
      <c r="A2788" s="26" t="s">
        <v>10089</v>
      </c>
      <c r="B2788" s="27" t="s">
        <v>10090</v>
      </c>
      <c r="C2788" s="27" t="s">
        <v>144</v>
      </c>
      <c r="D2788" s="26" t="s">
        <v>10091</v>
      </c>
      <c r="E2788" s="27" t="s">
        <v>10092</v>
      </c>
      <c r="F2788" s="28" t="s">
        <v>146</v>
      </c>
      <c r="G2788" s="27" t="s">
        <v>3537</v>
      </c>
      <c r="H2788" s="27" t="s">
        <v>57</v>
      </c>
      <c r="I2788" s="28" t="s">
        <v>50</v>
      </c>
      <c r="J2788" s="28" t="s">
        <v>1232</v>
      </c>
      <c r="K2788" s="27" t="s">
        <v>49</v>
      </c>
      <c r="L2788" s="27"/>
    </row>
    <row r="2789" customFormat="false" ht="15" hidden="false" customHeight="false" outlineLevel="0" collapsed="false">
      <c r="A2789" s="26" t="s">
        <v>10093</v>
      </c>
      <c r="B2789" s="27" t="s">
        <v>10094</v>
      </c>
      <c r="C2789" s="27" t="s">
        <v>144</v>
      </c>
      <c r="D2789" s="26" t="s">
        <v>10095</v>
      </c>
      <c r="E2789" s="27" t="s">
        <v>10096</v>
      </c>
      <c r="F2789" s="28" t="s">
        <v>146</v>
      </c>
      <c r="G2789" s="27" t="s">
        <v>3537</v>
      </c>
      <c r="H2789" s="27" t="s">
        <v>57</v>
      </c>
      <c r="I2789" s="27" t="s">
        <v>37</v>
      </c>
      <c r="J2789" s="28" t="s">
        <v>1232</v>
      </c>
      <c r="K2789" s="27" t="s">
        <v>49</v>
      </c>
      <c r="L2789" s="27"/>
    </row>
    <row r="2790" customFormat="false" ht="15" hidden="false" customHeight="false" outlineLevel="0" collapsed="false">
      <c r="A2790" s="26" t="s">
        <v>10097</v>
      </c>
      <c r="B2790" s="27" t="s">
        <v>10098</v>
      </c>
      <c r="C2790" s="27" t="s">
        <v>144</v>
      </c>
      <c r="D2790" s="26" t="s">
        <v>10099</v>
      </c>
      <c r="E2790" s="27" t="s">
        <v>10100</v>
      </c>
      <c r="F2790" s="28" t="s">
        <v>146</v>
      </c>
      <c r="G2790" s="27" t="s">
        <v>3537</v>
      </c>
      <c r="H2790" s="27" t="s">
        <v>57</v>
      </c>
      <c r="I2790" s="27" t="s">
        <v>43</v>
      </c>
      <c r="J2790" s="28" t="s">
        <v>1232</v>
      </c>
      <c r="K2790" s="27" t="s">
        <v>49</v>
      </c>
      <c r="L2790" s="27"/>
    </row>
    <row r="2791" customFormat="false" ht="15" hidden="false" customHeight="false" outlineLevel="0" collapsed="false">
      <c r="A2791" s="26" t="s">
        <v>10101</v>
      </c>
      <c r="B2791" s="27" t="s">
        <v>10102</v>
      </c>
      <c r="C2791" s="27" t="s">
        <v>144</v>
      </c>
      <c r="D2791" s="26" t="s">
        <v>4586</v>
      </c>
      <c r="E2791" s="27" t="s">
        <v>4587</v>
      </c>
      <c r="F2791" s="28" t="s">
        <v>146</v>
      </c>
      <c r="G2791" s="27" t="s">
        <v>3537</v>
      </c>
      <c r="H2791" s="27" t="s">
        <v>57</v>
      </c>
      <c r="I2791" s="27" t="s">
        <v>40</v>
      </c>
      <c r="J2791" s="28" t="s">
        <v>1232</v>
      </c>
      <c r="K2791" s="27" t="s">
        <v>49</v>
      </c>
      <c r="L2791" s="27"/>
    </row>
    <row r="2792" customFormat="false" ht="15" hidden="false" customHeight="false" outlineLevel="0" collapsed="false">
      <c r="A2792" s="26" t="s">
        <v>10103</v>
      </c>
      <c r="B2792" s="27" t="s">
        <v>10104</v>
      </c>
      <c r="C2792" s="27" t="s">
        <v>1087</v>
      </c>
      <c r="D2792" s="26" t="s">
        <v>10105</v>
      </c>
      <c r="E2792" s="27" t="s">
        <v>10106</v>
      </c>
      <c r="F2792" s="28" t="s">
        <v>1090</v>
      </c>
      <c r="G2792" s="27" t="s">
        <v>3537</v>
      </c>
      <c r="H2792" s="27" t="s">
        <v>57</v>
      </c>
      <c r="I2792" s="27" t="s">
        <v>44</v>
      </c>
      <c r="J2792" s="28" t="s">
        <v>1232</v>
      </c>
      <c r="K2792" s="27" t="s">
        <v>49</v>
      </c>
      <c r="L2792" s="27"/>
    </row>
    <row r="2793" customFormat="false" ht="15" hidden="false" customHeight="false" outlineLevel="0" collapsed="false">
      <c r="A2793" s="26" t="s">
        <v>10107</v>
      </c>
      <c r="B2793" s="27" t="s">
        <v>10108</v>
      </c>
      <c r="C2793" s="27" t="s">
        <v>1087</v>
      </c>
      <c r="D2793" s="26" t="s">
        <v>10109</v>
      </c>
      <c r="E2793" s="27" t="s">
        <v>10110</v>
      </c>
      <c r="F2793" s="28" t="s">
        <v>1090</v>
      </c>
      <c r="G2793" s="27" t="s">
        <v>3537</v>
      </c>
      <c r="H2793" s="27" t="s">
        <v>57</v>
      </c>
      <c r="I2793" s="27" t="s">
        <v>44</v>
      </c>
      <c r="J2793" s="28" t="s">
        <v>1232</v>
      </c>
      <c r="K2793" s="27" t="s">
        <v>49</v>
      </c>
      <c r="L2793" s="27"/>
    </row>
    <row r="2794" customFormat="false" ht="15" hidden="false" customHeight="false" outlineLevel="0" collapsed="false">
      <c r="A2794" s="26" t="s">
        <v>10111</v>
      </c>
      <c r="B2794" s="27" t="s">
        <v>10112</v>
      </c>
      <c r="C2794" s="27" t="s">
        <v>1087</v>
      </c>
      <c r="D2794" s="26" t="s">
        <v>10109</v>
      </c>
      <c r="E2794" s="27" t="s">
        <v>10110</v>
      </c>
      <c r="F2794" s="28" t="s">
        <v>1090</v>
      </c>
      <c r="G2794" s="27" t="s">
        <v>3537</v>
      </c>
      <c r="H2794" s="27" t="s">
        <v>57</v>
      </c>
      <c r="I2794" s="27" t="s">
        <v>44</v>
      </c>
      <c r="J2794" s="28" t="s">
        <v>1232</v>
      </c>
      <c r="K2794" s="27" t="s">
        <v>49</v>
      </c>
      <c r="L2794" s="27"/>
    </row>
    <row r="2795" customFormat="false" ht="15" hidden="false" customHeight="false" outlineLevel="0" collapsed="false">
      <c r="A2795" s="26" t="s">
        <v>10113</v>
      </c>
      <c r="B2795" s="27" t="s">
        <v>10114</v>
      </c>
      <c r="C2795" s="27" t="s">
        <v>370</v>
      </c>
      <c r="D2795" s="26" t="s">
        <v>10115</v>
      </c>
      <c r="E2795" s="27" t="s">
        <v>10116</v>
      </c>
      <c r="F2795" s="28" t="s">
        <v>373</v>
      </c>
      <c r="G2795" s="27" t="s">
        <v>3537</v>
      </c>
      <c r="H2795" s="27" t="s">
        <v>57</v>
      </c>
      <c r="I2795" s="27" t="s">
        <v>41</v>
      </c>
      <c r="J2795" s="28" t="s">
        <v>1232</v>
      </c>
      <c r="K2795" s="27" t="s">
        <v>49</v>
      </c>
      <c r="L2795" s="27"/>
    </row>
    <row r="2796" customFormat="false" ht="15" hidden="false" customHeight="false" outlineLevel="0" collapsed="false">
      <c r="A2796" s="26" t="s">
        <v>10117</v>
      </c>
      <c r="B2796" s="27" t="s">
        <v>10118</v>
      </c>
      <c r="C2796" s="27" t="s">
        <v>370</v>
      </c>
      <c r="D2796" s="26" t="s">
        <v>10119</v>
      </c>
      <c r="E2796" s="27" t="s">
        <v>10120</v>
      </c>
      <c r="F2796" s="28" t="s">
        <v>373</v>
      </c>
      <c r="G2796" s="27" t="s">
        <v>3537</v>
      </c>
      <c r="H2796" s="27" t="s">
        <v>57</v>
      </c>
      <c r="I2796" s="27" t="s">
        <v>41</v>
      </c>
      <c r="J2796" s="28" t="s">
        <v>1232</v>
      </c>
      <c r="K2796" s="27" t="s">
        <v>49</v>
      </c>
      <c r="L2796" s="27"/>
    </row>
    <row r="2797" customFormat="false" ht="15" hidden="false" customHeight="false" outlineLevel="0" collapsed="false">
      <c r="A2797" s="26" t="s">
        <v>10121</v>
      </c>
      <c r="B2797" s="27" t="s">
        <v>10122</v>
      </c>
      <c r="C2797" s="27" t="s">
        <v>370</v>
      </c>
      <c r="D2797" s="26" t="s">
        <v>10123</v>
      </c>
      <c r="E2797" s="27" t="s">
        <v>10124</v>
      </c>
      <c r="F2797" s="28" t="s">
        <v>373</v>
      </c>
      <c r="G2797" s="27" t="s">
        <v>3537</v>
      </c>
      <c r="H2797" s="27" t="s">
        <v>57</v>
      </c>
      <c r="I2797" s="27" t="s">
        <v>41</v>
      </c>
      <c r="J2797" s="28" t="s">
        <v>1232</v>
      </c>
      <c r="K2797" s="27" t="s">
        <v>49</v>
      </c>
      <c r="L2797" s="27"/>
    </row>
    <row r="2798" customFormat="false" ht="15" hidden="false" customHeight="false" outlineLevel="0" collapsed="false">
      <c r="A2798" s="26" t="s">
        <v>10125</v>
      </c>
      <c r="B2798" s="27" t="s">
        <v>10126</v>
      </c>
      <c r="C2798" s="27" t="s">
        <v>1087</v>
      </c>
      <c r="D2798" s="26" t="s">
        <v>10127</v>
      </c>
      <c r="E2798" s="27" t="s">
        <v>10128</v>
      </c>
      <c r="F2798" s="28" t="s">
        <v>1090</v>
      </c>
      <c r="G2798" s="27" t="s">
        <v>3537</v>
      </c>
      <c r="H2798" s="27" t="s">
        <v>57</v>
      </c>
      <c r="I2798" s="27" t="s">
        <v>37</v>
      </c>
      <c r="J2798" s="28" t="s">
        <v>1232</v>
      </c>
      <c r="K2798" s="27" t="s">
        <v>49</v>
      </c>
      <c r="L2798" s="27"/>
    </row>
    <row r="2799" customFormat="false" ht="15" hidden="false" customHeight="false" outlineLevel="0" collapsed="false">
      <c r="A2799" s="26" t="s">
        <v>10129</v>
      </c>
      <c r="B2799" s="27" t="s">
        <v>10130</v>
      </c>
      <c r="C2799" s="27" t="s">
        <v>370</v>
      </c>
      <c r="D2799" s="26" t="s">
        <v>10131</v>
      </c>
      <c r="E2799" s="27" t="s">
        <v>10132</v>
      </c>
      <c r="F2799" s="28" t="s">
        <v>373</v>
      </c>
      <c r="G2799" s="27" t="s">
        <v>3537</v>
      </c>
      <c r="H2799" s="27" t="s">
        <v>57</v>
      </c>
      <c r="I2799" s="27" t="s">
        <v>40</v>
      </c>
      <c r="J2799" s="28" t="s">
        <v>1232</v>
      </c>
      <c r="K2799" s="27" t="s">
        <v>49</v>
      </c>
      <c r="L2799" s="27"/>
    </row>
    <row r="2800" customFormat="false" ht="15" hidden="false" customHeight="false" outlineLevel="0" collapsed="false">
      <c r="A2800" s="26" t="s">
        <v>10133</v>
      </c>
      <c r="B2800" s="27" t="s">
        <v>10134</v>
      </c>
      <c r="C2800" s="27" t="s">
        <v>370</v>
      </c>
      <c r="D2800" s="26" t="s">
        <v>3353</v>
      </c>
      <c r="E2800" s="27" t="s">
        <v>3354</v>
      </c>
      <c r="F2800" s="28" t="s">
        <v>373</v>
      </c>
      <c r="G2800" s="27" t="s">
        <v>3537</v>
      </c>
      <c r="H2800" s="27" t="s">
        <v>57</v>
      </c>
      <c r="I2800" s="27" t="s">
        <v>42</v>
      </c>
      <c r="J2800" s="28" t="s">
        <v>1232</v>
      </c>
      <c r="K2800" s="27" t="s">
        <v>49</v>
      </c>
      <c r="L2800" s="27"/>
    </row>
    <row r="2801" customFormat="false" ht="15" hidden="false" customHeight="false" outlineLevel="0" collapsed="false">
      <c r="A2801" s="26" t="s">
        <v>10135</v>
      </c>
      <c r="B2801" s="27" t="s">
        <v>10136</v>
      </c>
      <c r="C2801" s="27" t="s">
        <v>144</v>
      </c>
      <c r="D2801" s="26" t="s">
        <v>10137</v>
      </c>
      <c r="E2801" s="27" t="s">
        <v>10138</v>
      </c>
      <c r="F2801" s="28" t="s">
        <v>146</v>
      </c>
      <c r="G2801" s="27" t="s">
        <v>3537</v>
      </c>
      <c r="H2801" s="27" t="s">
        <v>57</v>
      </c>
      <c r="I2801" s="28" t="s">
        <v>46</v>
      </c>
      <c r="J2801" s="28" t="s">
        <v>1932</v>
      </c>
      <c r="K2801" s="27" t="s">
        <v>39</v>
      </c>
      <c r="L2801" s="27"/>
    </row>
    <row r="2802" customFormat="false" ht="15" hidden="false" customHeight="false" outlineLevel="0" collapsed="false">
      <c r="A2802" s="26" t="s">
        <v>10139</v>
      </c>
      <c r="B2802" s="27" t="s">
        <v>10140</v>
      </c>
      <c r="C2802" s="27" t="s">
        <v>370</v>
      </c>
      <c r="D2802" s="26" t="s">
        <v>10141</v>
      </c>
      <c r="E2802" s="27" t="s">
        <v>10142</v>
      </c>
      <c r="F2802" s="28" t="s">
        <v>373</v>
      </c>
      <c r="G2802" s="27" t="s">
        <v>3537</v>
      </c>
      <c r="H2802" s="27" t="s">
        <v>56</v>
      </c>
      <c r="I2802" s="27" t="s">
        <v>39</v>
      </c>
      <c r="J2802" s="28" t="s">
        <v>1932</v>
      </c>
      <c r="K2802" s="27" t="s">
        <v>39</v>
      </c>
      <c r="L2802" s="27"/>
    </row>
    <row r="2803" customFormat="false" ht="15" hidden="false" customHeight="false" outlineLevel="0" collapsed="false">
      <c r="A2803" s="26" t="s">
        <v>10143</v>
      </c>
      <c r="B2803" s="27" t="s">
        <v>10144</v>
      </c>
      <c r="C2803" s="27" t="s">
        <v>370</v>
      </c>
      <c r="D2803" s="26" t="s">
        <v>10145</v>
      </c>
      <c r="E2803" s="27" t="s">
        <v>10146</v>
      </c>
      <c r="F2803" s="28" t="s">
        <v>373</v>
      </c>
      <c r="G2803" s="27" t="s">
        <v>3537</v>
      </c>
      <c r="H2803" s="27" t="s">
        <v>56</v>
      </c>
      <c r="I2803" s="27" t="s">
        <v>39</v>
      </c>
      <c r="J2803" s="28" t="s">
        <v>1932</v>
      </c>
      <c r="K2803" s="27" t="s">
        <v>39</v>
      </c>
      <c r="L2803" s="27"/>
    </row>
    <row r="2804" customFormat="false" ht="15" hidden="false" customHeight="false" outlineLevel="0" collapsed="false">
      <c r="A2804" s="26" t="s">
        <v>10147</v>
      </c>
      <c r="B2804" s="27" t="s">
        <v>10148</v>
      </c>
      <c r="C2804" s="27" t="s">
        <v>370</v>
      </c>
      <c r="D2804" s="26" t="s">
        <v>10149</v>
      </c>
      <c r="E2804" s="27" t="s">
        <v>10150</v>
      </c>
      <c r="F2804" s="28" t="s">
        <v>373</v>
      </c>
      <c r="G2804" s="27" t="s">
        <v>3537</v>
      </c>
      <c r="H2804" s="27" t="s">
        <v>56</v>
      </c>
      <c r="I2804" s="27" t="s">
        <v>39</v>
      </c>
      <c r="J2804" s="28" t="s">
        <v>1932</v>
      </c>
      <c r="K2804" s="27" t="s">
        <v>39</v>
      </c>
      <c r="L2804" s="27"/>
    </row>
    <row r="2805" customFormat="false" ht="15" hidden="false" customHeight="false" outlineLevel="0" collapsed="false">
      <c r="A2805" s="26" t="s">
        <v>10151</v>
      </c>
      <c r="B2805" s="27" t="s">
        <v>10152</v>
      </c>
      <c r="C2805" s="27" t="s">
        <v>370</v>
      </c>
      <c r="D2805" s="26" t="s">
        <v>10153</v>
      </c>
      <c r="E2805" s="27" t="s">
        <v>10154</v>
      </c>
      <c r="F2805" s="28" t="s">
        <v>373</v>
      </c>
      <c r="G2805" s="27" t="s">
        <v>3537</v>
      </c>
      <c r="H2805" s="27" t="s">
        <v>56</v>
      </c>
      <c r="I2805" s="27" t="s">
        <v>39</v>
      </c>
      <c r="J2805" s="28" t="s">
        <v>1932</v>
      </c>
      <c r="K2805" s="27" t="s">
        <v>39</v>
      </c>
      <c r="L2805" s="27"/>
    </row>
    <row r="2806" customFormat="false" ht="15" hidden="false" customHeight="false" outlineLevel="0" collapsed="false">
      <c r="A2806" s="26" t="s">
        <v>10155</v>
      </c>
      <c r="B2806" s="27" t="s">
        <v>10156</v>
      </c>
      <c r="C2806" s="27" t="s">
        <v>370</v>
      </c>
      <c r="D2806" s="26" t="s">
        <v>10157</v>
      </c>
      <c r="E2806" s="27" t="s">
        <v>10158</v>
      </c>
      <c r="F2806" s="28" t="s">
        <v>373</v>
      </c>
      <c r="G2806" s="27" t="s">
        <v>3537</v>
      </c>
      <c r="H2806" s="27" t="s">
        <v>57</v>
      </c>
      <c r="I2806" s="27" t="s">
        <v>37</v>
      </c>
      <c r="J2806" s="28" t="s">
        <v>1932</v>
      </c>
      <c r="K2806" s="27" t="s">
        <v>39</v>
      </c>
      <c r="L2806" s="27"/>
    </row>
    <row r="2807" customFormat="false" ht="15" hidden="false" customHeight="false" outlineLevel="0" collapsed="false">
      <c r="A2807" s="26" t="s">
        <v>10159</v>
      </c>
      <c r="B2807" s="27" t="s">
        <v>10160</v>
      </c>
      <c r="C2807" s="27" t="s">
        <v>370</v>
      </c>
      <c r="D2807" s="26" t="s">
        <v>10123</v>
      </c>
      <c r="E2807" s="27" t="s">
        <v>10124</v>
      </c>
      <c r="F2807" s="28" t="s">
        <v>373</v>
      </c>
      <c r="G2807" s="27" t="s">
        <v>3537</v>
      </c>
      <c r="H2807" s="27" t="s">
        <v>57</v>
      </c>
      <c r="I2807" s="27" t="s">
        <v>41</v>
      </c>
      <c r="J2807" s="28" t="s">
        <v>1932</v>
      </c>
      <c r="K2807" s="27" t="s">
        <v>39</v>
      </c>
      <c r="L2807" s="27"/>
    </row>
    <row r="2808" customFormat="false" ht="15" hidden="false" customHeight="false" outlineLevel="0" collapsed="false">
      <c r="A2808" s="26" t="s">
        <v>10161</v>
      </c>
      <c r="B2808" s="27" t="s">
        <v>10162</v>
      </c>
      <c r="C2808" s="27" t="s">
        <v>370</v>
      </c>
      <c r="D2808" s="26" t="s">
        <v>10163</v>
      </c>
      <c r="E2808" s="27" t="s">
        <v>10164</v>
      </c>
      <c r="F2808" s="28" t="s">
        <v>373</v>
      </c>
      <c r="G2808" s="27" t="s">
        <v>3537</v>
      </c>
      <c r="H2808" s="27" t="s">
        <v>57</v>
      </c>
      <c r="I2808" s="27" t="s">
        <v>42</v>
      </c>
      <c r="J2808" s="28" t="s">
        <v>1932</v>
      </c>
      <c r="K2808" s="27" t="s">
        <v>39</v>
      </c>
      <c r="L2808" s="27"/>
    </row>
    <row r="2809" customFormat="false" ht="15" hidden="false" customHeight="false" outlineLevel="0" collapsed="false">
      <c r="A2809" s="26" t="s">
        <v>10165</v>
      </c>
      <c r="B2809" s="27" t="s">
        <v>10166</v>
      </c>
      <c r="C2809" s="27" t="s">
        <v>137</v>
      </c>
      <c r="D2809" s="26" t="s">
        <v>10167</v>
      </c>
      <c r="E2809" s="27" t="s">
        <v>10168</v>
      </c>
      <c r="F2809" s="28" t="s">
        <v>140</v>
      </c>
      <c r="G2809" s="27" t="s">
        <v>3537</v>
      </c>
      <c r="H2809" s="27" t="s">
        <v>57</v>
      </c>
      <c r="I2809" s="27" t="s">
        <v>44</v>
      </c>
      <c r="J2809" s="28" t="s">
        <v>1264</v>
      </c>
      <c r="K2809" s="27" t="s">
        <v>42</v>
      </c>
      <c r="L2809" s="27"/>
    </row>
    <row r="2810" customFormat="false" ht="15" hidden="false" customHeight="false" outlineLevel="0" collapsed="false">
      <c r="A2810" s="26" t="s">
        <v>10169</v>
      </c>
      <c r="B2810" s="27" t="s">
        <v>10170</v>
      </c>
      <c r="C2810" s="27" t="s">
        <v>370</v>
      </c>
      <c r="D2810" s="26" t="s">
        <v>10171</v>
      </c>
      <c r="E2810" s="27" t="s">
        <v>10172</v>
      </c>
      <c r="F2810" s="28" t="s">
        <v>373</v>
      </c>
      <c r="G2810" s="27" t="s">
        <v>3537</v>
      </c>
      <c r="H2810" s="27" t="s">
        <v>56</v>
      </c>
      <c r="I2810" s="27" t="s">
        <v>42</v>
      </c>
      <c r="J2810" s="28" t="s">
        <v>1264</v>
      </c>
      <c r="K2810" s="27" t="s">
        <v>42</v>
      </c>
      <c r="L2810" s="27"/>
    </row>
    <row r="2811" customFormat="false" ht="15" hidden="false" customHeight="false" outlineLevel="0" collapsed="false">
      <c r="A2811" s="26" t="s">
        <v>10173</v>
      </c>
      <c r="B2811" s="27" t="s">
        <v>10174</v>
      </c>
      <c r="C2811" s="27" t="s">
        <v>370</v>
      </c>
      <c r="D2811" s="26" t="s">
        <v>10175</v>
      </c>
      <c r="E2811" s="27" t="s">
        <v>10176</v>
      </c>
      <c r="F2811" s="28" t="s">
        <v>373</v>
      </c>
      <c r="G2811" s="27" t="s">
        <v>3537</v>
      </c>
      <c r="H2811" s="27" t="s">
        <v>56</v>
      </c>
      <c r="I2811" s="27" t="s">
        <v>42</v>
      </c>
      <c r="J2811" s="28" t="s">
        <v>1264</v>
      </c>
      <c r="K2811" s="27" t="s">
        <v>42</v>
      </c>
      <c r="L2811" s="27"/>
    </row>
    <row r="2812" customFormat="false" ht="15" hidden="false" customHeight="false" outlineLevel="0" collapsed="false">
      <c r="A2812" s="26" t="s">
        <v>10177</v>
      </c>
      <c r="B2812" s="27" t="s">
        <v>10178</v>
      </c>
      <c r="C2812" s="27" t="s">
        <v>370</v>
      </c>
      <c r="D2812" s="26" t="s">
        <v>10179</v>
      </c>
      <c r="E2812" s="27" t="s">
        <v>10180</v>
      </c>
      <c r="F2812" s="28" t="s">
        <v>373</v>
      </c>
      <c r="G2812" s="27" t="s">
        <v>3537</v>
      </c>
      <c r="H2812" s="27" t="s">
        <v>56</v>
      </c>
      <c r="I2812" s="27" t="s">
        <v>42</v>
      </c>
      <c r="J2812" s="28" t="s">
        <v>1264</v>
      </c>
      <c r="K2812" s="27" t="s">
        <v>42</v>
      </c>
      <c r="L2812" s="27"/>
    </row>
    <row r="2813" customFormat="false" ht="15" hidden="false" customHeight="false" outlineLevel="0" collapsed="false">
      <c r="A2813" s="26" t="s">
        <v>10181</v>
      </c>
      <c r="B2813" s="27" t="s">
        <v>10182</v>
      </c>
      <c r="C2813" s="27" t="s">
        <v>370</v>
      </c>
      <c r="D2813" s="26" t="s">
        <v>3353</v>
      </c>
      <c r="E2813" s="27" t="s">
        <v>3354</v>
      </c>
      <c r="F2813" s="28" t="s">
        <v>373</v>
      </c>
      <c r="G2813" s="27" t="s">
        <v>3537</v>
      </c>
      <c r="H2813" s="27" t="s">
        <v>56</v>
      </c>
      <c r="I2813" s="27" t="s">
        <v>42</v>
      </c>
      <c r="J2813" s="28" t="s">
        <v>1264</v>
      </c>
      <c r="K2813" s="27" t="s">
        <v>42</v>
      </c>
      <c r="L2813" s="27"/>
    </row>
    <row r="2814" customFormat="false" ht="15" hidden="false" customHeight="false" outlineLevel="0" collapsed="false">
      <c r="A2814" s="26" t="s">
        <v>10183</v>
      </c>
      <c r="B2814" s="27" t="s">
        <v>10184</v>
      </c>
      <c r="C2814" s="27" t="s">
        <v>370</v>
      </c>
      <c r="D2814" s="26" t="s">
        <v>10119</v>
      </c>
      <c r="E2814" s="27" t="s">
        <v>10120</v>
      </c>
      <c r="F2814" s="28" t="s">
        <v>373</v>
      </c>
      <c r="G2814" s="27" t="s">
        <v>3537</v>
      </c>
      <c r="H2814" s="27" t="s">
        <v>57</v>
      </c>
      <c r="I2814" s="27" t="s">
        <v>41</v>
      </c>
      <c r="J2814" s="28" t="s">
        <v>1264</v>
      </c>
      <c r="K2814" s="27" t="s">
        <v>42</v>
      </c>
      <c r="L2814" s="27"/>
    </row>
    <row r="2815" customFormat="false" ht="15" hidden="false" customHeight="false" outlineLevel="0" collapsed="false">
      <c r="A2815" s="26" t="s">
        <v>10185</v>
      </c>
      <c r="B2815" s="27" t="s">
        <v>10186</v>
      </c>
      <c r="C2815" s="27" t="s">
        <v>144</v>
      </c>
      <c r="D2815" s="26" t="s">
        <v>10187</v>
      </c>
      <c r="E2815" s="27" t="s">
        <v>10188</v>
      </c>
      <c r="F2815" s="28" t="s">
        <v>146</v>
      </c>
      <c r="G2815" s="27" t="s">
        <v>3537</v>
      </c>
      <c r="H2815" s="27" t="s">
        <v>57</v>
      </c>
      <c r="I2815" s="27" t="s">
        <v>37</v>
      </c>
      <c r="J2815" s="28" t="s">
        <v>1264</v>
      </c>
      <c r="K2815" s="27" t="s">
        <v>42</v>
      </c>
      <c r="L2815" s="27"/>
    </row>
    <row r="2816" customFormat="false" ht="15" hidden="false" customHeight="false" outlineLevel="0" collapsed="false">
      <c r="A2816" s="26" t="s">
        <v>10189</v>
      </c>
      <c r="B2816" s="27" t="s">
        <v>10190</v>
      </c>
      <c r="C2816" s="27" t="s">
        <v>137</v>
      </c>
      <c r="D2816" s="26" t="s">
        <v>10191</v>
      </c>
      <c r="E2816" s="27" t="s">
        <v>10192</v>
      </c>
      <c r="F2816" s="28" t="s">
        <v>140</v>
      </c>
      <c r="G2816" s="27" t="s">
        <v>3537</v>
      </c>
      <c r="H2816" s="27" t="s">
        <v>57</v>
      </c>
      <c r="I2816" s="27" t="s">
        <v>40</v>
      </c>
      <c r="J2816" s="28" t="s">
        <v>1264</v>
      </c>
      <c r="K2816" s="27" t="s">
        <v>42</v>
      </c>
      <c r="L2816" s="27"/>
    </row>
    <row r="2817" customFormat="false" ht="15" hidden="false" customHeight="false" outlineLevel="0" collapsed="false">
      <c r="A2817" s="26" t="s">
        <v>10193</v>
      </c>
      <c r="B2817" s="27" t="s">
        <v>10194</v>
      </c>
      <c r="C2817" s="27" t="s">
        <v>144</v>
      </c>
      <c r="D2817" s="26" t="s">
        <v>1267</v>
      </c>
      <c r="E2817" s="27" t="s">
        <v>1266</v>
      </c>
      <c r="F2817" s="28" t="s">
        <v>146</v>
      </c>
      <c r="G2817" s="27" t="s">
        <v>3537</v>
      </c>
      <c r="H2817" s="27" t="s">
        <v>56</v>
      </c>
      <c r="I2817" s="27" t="s">
        <v>42</v>
      </c>
      <c r="J2817" s="28" t="s">
        <v>1268</v>
      </c>
      <c r="K2817" s="27" t="s">
        <v>42</v>
      </c>
      <c r="L2817" s="27"/>
    </row>
    <row r="2818" customFormat="false" ht="15" hidden="false" customHeight="false" outlineLevel="0" collapsed="false">
      <c r="A2818" s="26" t="s">
        <v>10195</v>
      </c>
      <c r="B2818" s="27" t="s">
        <v>10196</v>
      </c>
      <c r="C2818" s="27" t="s">
        <v>144</v>
      </c>
      <c r="D2818" s="26" t="s">
        <v>10197</v>
      </c>
      <c r="E2818" s="27" t="s">
        <v>10198</v>
      </c>
      <c r="F2818" s="28" t="s">
        <v>146</v>
      </c>
      <c r="G2818" s="27" t="s">
        <v>3537</v>
      </c>
      <c r="H2818" s="27" t="s">
        <v>56</v>
      </c>
      <c r="I2818" s="27" t="s">
        <v>42</v>
      </c>
      <c r="J2818" s="28" t="s">
        <v>1268</v>
      </c>
      <c r="K2818" s="27" t="s">
        <v>42</v>
      </c>
      <c r="L2818" s="27"/>
    </row>
    <row r="2819" customFormat="false" ht="15" hidden="false" customHeight="false" outlineLevel="0" collapsed="false">
      <c r="A2819" s="26" t="s">
        <v>10199</v>
      </c>
      <c r="B2819" s="27" t="s">
        <v>10200</v>
      </c>
      <c r="C2819" s="27" t="s">
        <v>144</v>
      </c>
      <c r="D2819" s="26" t="s">
        <v>10201</v>
      </c>
      <c r="E2819" s="27" t="s">
        <v>10202</v>
      </c>
      <c r="F2819" s="28" t="s">
        <v>1158</v>
      </c>
      <c r="G2819" s="27" t="s">
        <v>3537</v>
      </c>
      <c r="H2819" s="27" t="s">
        <v>57</v>
      </c>
      <c r="I2819" s="27" t="s">
        <v>1800</v>
      </c>
      <c r="J2819" s="28" t="s">
        <v>1268</v>
      </c>
      <c r="K2819" s="27" t="s">
        <v>42</v>
      </c>
      <c r="L2819" s="27"/>
    </row>
    <row r="2820" customFormat="false" ht="15" hidden="false" customHeight="false" outlineLevel="0" collapsed="false">
      <c r="A2820" s="26" t="s">
        <v>10203</v>
      </c>
      <c r="B2820" s="27" t="s">
        <v>10204</v>
      </c>
      <c r="C2820" s="27" t="s">
        <v>144</v>
      </c>
      <c r="D2820" s="26" t="s">
        <v>1267</v>
      </c>
      <c r="E2820" s="27" t="s">
        <v>1266</v>
      </c>
      <c r="F2820" s="28" t="s">
        <v>146</v>
      </c>
      <c r="G2820" s="27" t="s">
        <v>3537</v>
      </c>
      <c r="H2820" s="27" t="s">
        <v>56</v>
      </c>
      <c r="I2820" s="27" t="s">
        <v>42</v>
      </c>
      <c r="J2820" s="28" t="s">
        <v>1268</v>
      </c>
      <c r="K2820" s="27" t="s">
        <v>42</v>
      </c>
      <c r="L2820" s="27"/>
    </row>
    <row r="2821" customFormat="false" ht="15" hidden="false" customHeight="false" outlineLevel="0" collapsed="false">
      <c r="A2821" s="26" t="s">
        <v>10205</v>
      </c>
      <c r="B2821" s="27" t="s">
        <v>10206</v>
      </c>
      <c r="C2821" s="27" t="s">
        <v>144</v>
      </c>
      <c r="D2821" s="26" t="s">
        <v>10207</v>
      </c>
      <c r="E2821" s="27" t="s">
        <v>10208</v>
      </c>
      <c r="F2821" s="28" t="s">
        <v>146</v>
      </c>
      <c r="G2821" s="27" t="s">
        <v>3537</v>
      </c>
      <c r="H2821" s="27" t="s">
        <v>56</v>
      </c>
      <c r="I2821" s="27" t="s">
        <v>42</v>
      </c>
      <c r="J2821" s="28" t="s">
        <v>1268</v>
      </c>
      <c r="K2821" s="27" t="s">
        <v>42</v>
      </c>
      <c r="L2821" s="27"/>
    </row>
    <row r="2822" customFormat="false" ht="15" hidden="false" customHeight="false" outlineLevel="0" collapsed="false">
      <c r="A2822" s="26" t="s">
        <v>10209</v>
      </c>
      <c r="B2822" s="27" t="s">
        <v>10210</v>
      </c>
      <c r="C2822" s="27" t="s">
        <v>144</v>
      </c>
      <c r="D2822" s="26" t="s">
        <v>10211</v>
      </c>
      <c r="E2822" s="27" t="s">
        <v>10212</v>
      </c>
      <c r="F2822" s="28" t="s">
        <v>146</v>
      </c>
      <c r="G2822" s="27" t="s">
        <v>3537</v>
      </c>
      <c r="H2822" s="27" t="s">
        <v>57</v>
      </c>
      <c r="I2822" s="27" t="s">
        <v>37</v>
      </c>
      <c r="J2822" s="28" t="s">
        <v>1268</v>
      </c>
      <c r="K2822" s="27" t="s">
        <v>42</v>
      </c>
      <c r="L2822" s="27"/>
    </row>
    <row r="2823" customFormat="false" ht="15" hidden="false" customHeight="false" outlineLevel="0" collapsed="false">
      <c r="A2823" s="26" t="s">
        <v>10213</v>
      </c>
      <c r="B2823" s="27" t="s">
        <v>10214</v>
      </c>
      <c r="C2823" s="27" t="s">
        <v>144</v>
      </c>
      <c r="D2823" s="26" t="s">
        <v>10215</v>
      </c>
      <c r="E2823" s="27" t="s">
        <v>10216</v>
      </c>
      <c r="F2823" s="28" t="s">
        <v>146</v>
      </c>
      <c r="G2823" s="27" t="s">
        <v>3537</v>
      </c>
      <c r="H2823" s="27" t="s">
        <v>57</v>
      </c>
      <c r="I2823" s="27" t="s">
        <v>3271</v>
      </c>
      <c r="J2823" s="28" t="s">
        <v>1268</v>
      </c>
      <c r="K2823" s="27" t="s">
        <v>42</v>
      </c>
      <c r="L2823" s="27"/>
    </row>
    <row r="2824" customFormat="false" ht="15" hidden="false" customHeight="false" outlineLevel="0" collapsed="false">
      <c r="A2824" s="26" t="s">
        <v>10217</v>
      </c>
      <c r="B2824" s="27" t="s">
        <v>10218</v>
      </c>
      <c r="C2824" s="27" t="s">
        <v>144</v>
      </c>
      <c r="D2824" s="26" t="s">
        <v>10197</v>
      </c>
      <c r="E2824" s="27" t="s">
        <v>10198</v>
      </c>
      <c r="F2824" s="28" t="s">
        <v>146</v>
      </c>
      <c r="G2824" s="27" t="s">
        <v>3537</v>
      </c>
      <c r="H2824" s="27" t="s">
        <v>56</v>
      </c>
      <c r="I2824" s="27" t="s">
        <v>42</v>
      </c>
      <c r="J2824" s="28" t="s">
        <v>1268</v>
      </c>
      <c r="K2824" s="27" t="s">
        <v>42</v>
      </c>
      <c r="L2824" s="27"/>
    </row>
    <row r="2825" customFormat="false" ht="15" hidden="false" customHeight="false" outlineLevel="0" collapsed="false">
      <c r="A2825" s="26" t="s">
        <v>10219</v>
      </c>
      <c r="B2825" s="27" t="s">
        <v>10220</v>
      </c>
      <c r="C2825" s="27" t="s">
        <v>144</v>
      </c>
      <c r="D2825" s="26" t="s">
        <v>145</v>
      </c>
      <c r="E2825" s="27" t="s">
        <v>143</v>
      </c>
      <c r="F2825" s="28" t="s">
        <v>146</v>
      </c>
      <c r="G2825" s="27" t="s">
        <v>3537</v>
      </c>
      <c r="H2825" s="27" t="s">
        <v>56</v>
      </c>
      <c r="I2825" s="27" t="s">
        <v>42</v>
      </c>
      <c r="J2825" s="28" t="s">
        <v>1268</v>
      </c>
      <c r="K2825" s="27" t="s">
        <v>42</v>
      </c>
      <c r="L2825" s="27"/>
    </row>
    <row r="2826" customFormat="false" ht="15" hidden="false" customHeight="false" outlineLevel="0" collapsed="false">
      <c r="A2826" s="26" t="s">
        <v>10221</v>
      </c>
      <c r="B2826" s="27" t="s">
        <v>10222</v>
      </c>
      <c r="C2826" s="27" t="s">
        <v>144</v>
      </c>
      <c r="D2826" s="26" t="s">
        <v>145</v>
      </c>
      <c r="E2826" s="27" t="s">
        <v>143</v>
      </c>
      <c r="F2826" s="28" t="s">
        <v>146</v>
      </c>
      <c r="G2826" s="27" t="s">
        <v>3537</v>
      </c>
      <c r="H2826" s="27" t="s">
        <v>56</v>
      </c>
      <c r="I2826" s="27" t="s">
        <v>42</v>
      </c>
      <c r="J2826" s="28" t="s">
        <v>1268</v>
      </c>
      <c r="K2826" s="27" t="s">
        <v>42</v>
      </c>
      <c r="L2826" s="27"/>
    </row>
    <row r="2827" customFormat="false" ht="15" hidden="false" customHeight="false" outlineLevel="0" collapsed="false">
      <c r="A2827" s="26" t="s">
        <v>10223</v>
      </c>
      <c r="B2827" s="27" t="s">
        <v>10224</v>
      </c>
      <c r="C2827" s="27" t="s">
        <v>144</v>
      </c>
      <c r="D2827" s="26" t="s">
        <v>145</v>
      </c>
      <c r="E2827" s="27" t="s">
        <v>143</v>
      </c>
      <c r="F2827" s="28" t="s">
        <v>146</v>
      </c>
      <c r="G2827" s="27" t="s">
        <v>3537</v>
      </c>
      <c r="H2827" s="27" t="s">
        <v>56</v>
      </c>
      <c r="I2827" s="27" t="s">
        <v>42</v>
      </c>
      <c r="J2827" s="28" t="s">
        <v>1268</v>
      </c>
      <c r="K2827" s="27" t="s">
        <v>42</v>
      </c>
      <c r="L2827" s="27"/>
    </row>
    <row r="2828" customFormat="false" ht="15" hidden="false" customHeight="false" outlineLevel="0" collapsed="false">
      <c r="A2828" s="26" t="s">
        <v>10225</v>
      </c>
      <c r="B2828" s="27" t="s">
        <v>10226</v>
      </c>
      <c r="C2828" s="27" t="s">
        <v>137</v>
      </c>
      <c r="D2828" s="26" t="s">
        <v>9968</v>
      </c>
      <c r="E2828" s="27" t="s">
        <v>9969</v>
      </c>
      <c r="F2828" s="28" t="s">
        <v>140</v>
      </c>
      <c r="G2828" s="27" t="s">
        <v>3537</v>
      </c>
      <c r="H2828" s="27" t="s">
        <v>57</v>
      </c>
      <c r="I2828" s="27" t="s">
        <v>44</v>
      </c>
      <c r="J2828" s="28" t="s">
        <v>1268</v>
      </c>
      <c r="K2828" s="27" t="s">
        <v>42</v>
      </c>
      <c r="L2828" s="27"/>
    </row>
    <row r="2829" customFormat="false" ht="15" hidden="false" customHeight="false" outlineLevel="0" collapsed="false">
      <c r="A2829" s="26" t="s">
        <v>10227</v>
      </c>
      <c r="B2829" s="27" t="s">
        <v>10228</v>
      </c>
      <c r="C2829" s="27" t="s">
        <v>144</v>
      </c>
      <c r="D2829" s="26" t="s">
        <v>10229</v>
      </c>
      <c r="E2829" s="27" t="s">
        <v>10230</v>
      </c>
      <c r="F2829" s="28" t="s">
        <v>146</v>
      </c>
      <c r="G2829" s="27" t="s">
        <v>3537</v>
      </c>
      <c r="H2829" s="27" t="s">
        <v>57</v>
      </c>
      <c r="I2829" s="27" t="s">
        <v>41</v>
      </c>
      <c r="J2829" s="28" t="s">
        <v>1268</v>
      </c>
      <c r="K2829" s="27" t="s">
        <v>42</v>
      </c>
      <c r="L2829" s="27"/>
    </row>
    <row r="2830" customFormat="false" ht="15" hidden="false" customHeight="false" outlineLevel="0" collapsed="false">
      <c r="A2830" s="26" t="s">
        <v>10231</v>
      </c>
      <c r="B2830" s="27" t="s">
        <v>10232</v>
      </c>
      <c r="C2830" s="27" t="s">
        <v>144</v>
      </c>
      <c r="D2830" s="26" t="s">
        <v>10233</v>
      </c>
      <c r="E2830" s="27" t="s">
        <v>10234</v>
      </c>
      <c r="F2830" s="28" t="s">
        <v>146</v>
      </c>
      <c r="G2830" s="27" t="s">
        <v>3537</v>
      </c>
      <c r="H2830" s="27" t="s">
        <v>57</v>
      </c>
      <c r="I2830" s="27" t="s">
        <v>41</v>
      </c>
      <c r="J2830" s="28" t="s">
        <v>1268</v>
      </c>
      <c r="K2830" s="27" t="s">
        <v>42</v>
      </c>
      <c r="L2830" s="27"/>
    </row>
    <row r="2831" customFormat="false" ht="15" hidden="false" customHeight="false" outlineLevel="0" collapsed="false">
      <c r="A2831" s="26" t="s">
        <v>10235</v>
      </c>
      <c r="B2831" s="27" t="s">
        <v>10236</v>
      </c>
      <c r="C2831" s="27" t="s">
        <v>144</v>
      </c>
      <c r="D2831" s="26" t="s">
        <v>5263</v>
      </c>
      <c r="E2831" s="27" t="s">
        <v>5264</v>
      </c>
      <c r="F2831" s="28" t="s">
        <v>146</v>
      </c>
      <c r="G2831" s="27" t="s">
        <v>3537</v>
      </c>
      <c r="H2831" s="27" t="s">
        <v>57</v>
      </c>
      <c r="I2831" s="27" t="s">
        <v>37</v>
      </c>
      <c r="J2831" s="28" t="s">
        <v>1268</v>
      </c>
      <c r="K2831" s="27" t="s">
        <v>42</v>
      </c>
      <c r="L2831" s="27"/>
    </row>
    <row r="2832" customFormat="false" ht="15" hidden="false" customHeight="false" outlineLevel="0" collapsed="false">
      <c r="A2832" s="26" t="s">
        <v>10237</v>
      </c>
      <c r="B2832" s="27" t="s">
        <v>10238</v>
      </c>
      <c r="C2832" s="27" t="s">
        <v>100</v>
      </c>
      <c r="D2832" s="26" t="s">
        <v>10239</v>
      </c>
      <c r="E2832" s="27" t="s">
        <v>10240</v>
      </c>
      <c r="F2832" s="28" t="s">
        <v>102</v>
      </c>
      <c r="G2832" s="27" t="s">
        <v>3537</v>
      </c>
      <c r="H2832" s="27" t="s">
        <v>56</v>
      </c>
      <c r="I2832" s="27" t="s">
        <v>3271</v>
      </c>
      <c r="J2832" s="28" t="s">
        <v>3270</v>
      </c>
      <c r="K2832" s="27" t="s">
        <v>3271</v>
      </c>
      <c r="L2832" s="27"/>
    </row>
    <row r="2833" customFormat="false" ht="15" hidden="false" customHeight="false" outlineLevel="0" collapsed="false">
      <c r="A2833" s="26" t="s">
        <v>10241</v>
      </c>
      <c r="B2833" s="27" t="s">
        <v>10242</v>
      </c>
      <c r="C2833" s="27" t="s">
        <v>144</v>
      </c>
      <c r="D2833" s="26" t="s">
        <v>10243</v>
      </c>
      <c r="E2833" s="27" t="s">
        <v>10244</v>
      </c>
      <c r="F2833" s="28" t="s">
        <v>146</v>
      </c>
      <c r="G2833" s="27" t="s">
        <v>3537</v>
      </c>
      <c r="H2833" s="27" t="s">
        <v>56</v>
      </c>
      <c r="I2833" s="27" t="s">
        <v>40</v>
      </c>
      <c r="J2833" s="28" t="s">
        <v>1288</v>
      </c>
      <c r="K2833" s="27" t="s">
        <v>40</v>
      </c>
      <c r="L2833" s="27"/>
    </row>
    <row r="2834" customFormat="false" ht="15" hidden="false" customHeight="false" outlineLevel="0" collapsed="false">
      <c r="A2834" s="26" t="s">
        <v>10245</v>
      </c>
      <c r="B2834" s="27" t="s">
        <v>7185</v>
      </c>
      <c r="C2834" s="27" t="s">
        <v>144</v>
      </c>
      <c r="D2834" s="26" t="s">
        <v>7186</v>
      </c>
      <c r="E2834" s="27" t="s">
        <v>7187</v>
      </c>
      <c r="F2834" s="28" t="s">
        <v>146</v>
      </c>
      <c r="G2834" s="27" t="s">
        <v>3537</v>
      </c>
      <c r="H2834" s="27" t="s">
        <v>57</v>
      </c>
      <c r="I2834" s="27" t="s">
        <v>42</v>
      </c>
      <c r="J2834" s="28" t="s">
        <v>1292</v>
      </c>
      <c r="K2834" s="27" t="s">
        <v>39</v>
      </c>
      <c r="L2834" s="27"/>
    </row>
    <row r="2835" customFormat="false" ht="15" hidden="false" customHeight="false" outlineLevel="0" collapsed="false">
      <c r="A2835" s="26" t="s">
        <v>10246</v>
      </c>
      <c r="B2835" s="27" t="s">
        <v>10247</v>
      </c>
      <c r="C2835" s="27" t="s">
        <v>144</v>
      </c>
      <c r="D2835" s="26" t="s">
        <v>10248</v>
      </c>
      <c r="E2835" s="27" t="s">
        <v>10249</v>
      </c>
      <c r="F2835" s="28" t="s">
        <v>146</v>
      </c>
      <c r="G2835" s="27" t="s">
        <v>3537</v>
      </c>
      <c r="H2835" s="27" t="s">
        <v>56</v>
      </c>
      <c r="I2835" s="27" t="s">
        <v>41</v>
      </c>
      <c r="J2835" s="28" t="s">
        <v>10250</v>
      </c>
      <c r="K2835" s="27" t="s">
        <v>41</v>
      </c>
      <c r="L2835" s="27"/>
    </row>
    <row r="2836" customFormat="false" ht="15" hidden="false" customHeight="false" outlineLevel="0" collapsed="false">
      <c r="A2836" s="26" t="s">
        <v>10251</v>
      </c>
      <c r="B2836" s="27" t="s">
        <v>10252</v>
      </c>
      <c r="C2836" s="27" t="s">
        <v>137</v>
      </c>
      <c r="D2836" s="26" t="s">
        <v>9065</v>
      </c>
      <c r="E2836" s="27" t="s">
        <v>9066</v>
      </c>
      <c r="F2836" s="28" t="s">
        <v>140</v>
      </c>
      <c r="G2836" s="27" t="s">
        <v>3537</v>
      </c>
      <c r="H2836" s="27" t="s">
        <v>57</v>
      </c>
      <c r="I2836" s="27" t="s">
        <v>38</v>
      </c>
      <c r="J2836" s="28" t="s">
        <v>10250</v>
      </c>
      <c r="K2836" s="27" t="s">
        <v>41</v>
      </c>
      <c r="L2836" s="27"/>
    </row>
    <row r="2837" customFormat="false" ht="15" hidden="false" customHeight="false" outlineLevel="0" collapsed="false">
      <c r="A2837" s="26" t="s">
        <v>10253</v>
      </c>
      <c r="B2837" s="27" t="s">
        <v>10254</v>
      </c>
      <c r="C2837" s="27" t="s">
        <v>137</v>
      </c>
      <c r="D2837" s="26" t="s">
        <v>9055</v>
      </c>
      <c r="E2837" s="27" t="s">
        <v>9056</v>
      </c>
      <c r="F2837" s="28" t="s">
        <v>140</v>
      </c>
      <c r="G2837" s="27" t="s">
        <v>3537</v>
      </c>
      <c r="H2837" s="27" t="s">
        <v>57</v>
      </c>
      <c r="I2837" s="27" t="s">
        <v>38</v>
      </c>
      <c r="J2837" s="28" t="s">
        <v>10250</v>
      </c>
      <c r="K2837" s="27" t="s">
        <v>41</v>
      </c>
      <c r="L2837" s="27"/>
    </row>
    <row r="2838" customFormat="false" ht="15" hidden="false" customHeight="false" outlineLevel="0" collapsed="false">
      <c r="A2838" s="26" t="s">
        <v>10255</v>
      </c>
      <c r="B2838" s="27" t="s">
        <v>10256</v>
      </c>
      <c r="C2838" s="27" t="s">
        <v>137</v>
      </c>
      <c r="D2838" s="26" t="s">
        <v>9025</v>
      </c>
      <c r="E2838" s="27" t="s">
        <v>9026</v>
      </c>
      <c r="F2838" s="28" t="s">
        <v>140</v>
      </c>
      <c r="G2838" s="27" t="s">
        <v>3537</v>
      </c>
      <c r="H2838" s="27" t="s">
        <v>56</v>
      </c>
      <c r="I2838" s="27" t="s">
        <v>41</v>
      </c>
      <c r="J2838" s="28" t="s">
        <v>10250</v>
      </c>
      <c r="K2838" s="27" t="s">
        <v>41</v>
      </c>
      <c r="L2838" s="27"/>
    </row>
    <row r="2839" customFormat="false" ht="15" hidden="false" customHeight="false" outlineLevel="0" collapsed="false">
      <c r="A2839" s="26" t="s">
        <v>10257</v>
      </c>
      <c r="B2839" s="27" t="s">
        <v>10258</v>
      </c>
      <c r="C2839" s="27" t="s">
        <v>137</v>
      </c>
      <c r="D2839" s="26" t="s">
        <v>9025</v>
      </c>
      <c r="E2839" s="27" t="s">
        <v>9026</v>
      </c>
      <c r="F2839" s="28" t="s">
        <v>140</v>
      </c>
      <c r="G2839" s="27" t="s">
        <v>3537</v>
      </c>
      <c r="H2839" s="27" t="s">
        <v>56</v>
      </c>
      <c r="I2839" s="27" t="s">
        <v>41</v>
      </c>
      <c r="J2839" s="28" t="s">
        <v>10250</v>
      </c>
      <c r="K2839" s="27" t="s">
        <v>41</v>
      </c>
      <c r="L2839" s="27"/>
    </row>
    <row r="2840" customFormat="false" ht="15" hidden="false" customHeight="false" outlineLevel="0" collapsed="false">
      <c r="A2840" s="26" t="s">
        <v>10259</v>
      </c>
      <c r="B2840" s="27" t="s">
        <v>10260</v>
      </c>
      <c r="C2840" s="27" t="s">
        <v>144</v>
      </c>
      <c r="D2840" s="26" t="s">
        <v>9099</v>
      </c>
      <c r="E2840" s="27" t="s">
        <v>9100</v>
      </c>
      <c r="F2840" s="28" t="s">
        <v>146</v>
      </c>
      <c r="G2840" s="27" t="s">
        <v>3537</v>
      </c>
      <c r="H2840" s="27" t="s">
        <v>57</v>
      </c>
      <c r="I2840" s="27" t="s">
        <v>38</v>
      </c>
      <c r="J2840" s="28" t="s">
        <v>10250</v>
      </c>
      <c r="K2840" s="27" t="s">
        <v>41</v>
      </c>
      <c r="L2840" s="27"/>
    </row>
    <row r="2841" customFormat="false" ht="15" hidden="false" customHeight="false" outlineLevel="0" collapsed="false">
      <c r="A2841" s="26" t="s">
        <v>10261</v>
      </c>
      <c r="B2841" s="27" t="s">
        <v>10262</v>
      </c>
      <c r="C2841" s="27" t="s">
        <v>144</v>
      </c>
      <c r="D2841" s="26" t="s">
        <v>10263</v>
      </c>
      <c r="E2841" s="27" t="s">
        <v>10264</v>
      </c>
      <c r="F2841" s="28" t="s">
        <v>146</v>
      </c>
      <c r="G2841" s="27" t="s">
        <v>3537</v>
      </c>
      <c r="H2841" s="27" t="s">
        <v>57</v>
      </c>
      <c r="I2841" s="27" t="s">
        <v>49</v>
      </c>
      <c r="J2841" s="28" t="s">
        <v>3286</v>
      </c>
      <c r="K2841" s="28" t="s">
        <v>50</v>
      </c>
      <c r="L2841" s="27"/>
    </row>
    <row r="2842" customFormat="false" ht="15" hidden="false" customHeight="false" outlineLevel="0" collapsed="false">
      <c r="A2842" s="26" t="s">
        <v>10265</v>
      </c>
      <c r="B2842" s="27" t="s">
        <v>10266</v>
      </c>
      <c r="C2842" s="27" t="s">
        <v>144</v>
      </c>
      <c r="D2842" s="26" t="s">
        <v>9531</v>
      </c>
      <c r="E2842" s="27" t="s">
        <v>9532</v>
      </c>
      <c r="F2842" s="28" t="s">
        <v>146</v>
      </c>
      <c r="G2842" s="27" t="s">
        <v>3537</v>
      </c>
      <c r="H2842" s="27" t="s">
        <v>56</v>
      </c>
      <c r="I2842" s="28" t="s">
        <v>50</v>
      </c>
      <c r="J2842" s="28" t="s">
        <v>3286</v>
      </c>
      <c r="K2842" s="28" t="s">
        <v>50</v>
      </c>
      <c r="L2842" s="27"/>
    </row>
    <row r="2843" customFormat="false" ht="15" hidden="false" customHeight="false" outlineLevel="0" collapsed="false">
      <c r="A2843" s="26" t="s">
        <v>10267</v>
      </c>
      <c r="B2843" s="27" t="s">
        <v>10268</v>
      </c>
      <c r="C2843" s="27" t="s">
        <v>144</v>
      </c>
      <c r="D2843" s="26" t="s">
        <v>10087</v>
      </c>
      <c r="E2843" s="27" t="s">
        <v>10088</v>
      </c>
      <c r="F2843" s="28" t="s">
        <v>146</v>
      </c>
      <c r="G2843" s="27" t="s">
        <v>3537</v>
      </c>
      <c r="H2843" s="27" t="s">
        <v>56</v>
      </c>
      <c r="I2843" s="28" t="s">
        <v>50</v>
      </c>
      <c r="J2843" s="28" t="s">
        <v>3286</v>
      </c>
      <c r="K2843" s="28" t="s">
        <v>50</v>
      </c>
      <c r="L2843" s="27"/>
    </row>
    <row r="2844" customFormat="false" ht="15" hidden="false" customHeight="false" outlineLevel="0" collapsed="false">
      <c r="A2844" s="26" t="s">
        <v>10269</v>
      </c>
      <c r="B2844" s="27" t="s">
        <v>10270</v>
      </c>
      <c r="C2844" s="27" t="s">
        <v>144</v>
      </c>
      <c r="D2844" s="26" t="s">
        <v>10271</v>
      </c>
      <c r="E2844" s="27" t="s">
        <v>10272</v>
      </c>
      <c r="F2844" s="28" t="s">
        <v>146</v>
      </c>
      <c r="G2844" s="27" t="s">
        <v>3537</v>
      </c>
      <c r="H2844" s="27" t="s">
        <v>57</v>
      </c>
      <c r="I2844" s="27" t="s">
        <v>38</v>
      </c>
      <c r="J2844" s="28" t="s">
        <v>3286</v>
      </c>
      <c r="K2844" s="28" t="s">
        <v>50</v>
      </c>
      <c r="L2844" s="27"/>
    </row>
    <row r="2845" customFormat="false" ht="15" hidden="false" customHeight="false" outlineLevel="0" collapsed="false">
      <c r="A2845" s="26" t="s">
        <v>10273</v>
      </c>
      <c r="B2845" s="27" t="s">
        <v>10274</v>
      </c>
      <c r="C2845" s="27" t="s">
        <v>100</v>
      </c>
      <c r="D2845" s="26" t="s">
        <v>10275</v>
      </c>
      <c r="E2845" s="27" t="s">
        <v>10276</v>
      </c>
      <c r="F2845" s="28" t="s">
        <v>102</v>
      </c>
      <c r="G2845" s="27" t="s">
        <v>3537</v>
      </c>
      <c r="H2845" s="27" t="s">
        <v>56</v>
      </c>
      <c r="I2845" s="27" t="s">
        <v>1302</v>
      </c>
      <c r="J2845" s="28" t="s">
        <v>1303</v>
      </c>
      <c r="K2845" s="27" t="s">
        <v>1302</v>
      </c>
      <c r="L2845" s="27"/>
    </row>
    <row r="2846" customFormat="false" ht="15" hidden="false" customHeight="false" outlineLevel="0" collapsed="false">
      <c r="A2846" s="26" t="s">
        <v>10277</v>
      </c>
      <c r="B2846" s="27" t="s">
        <v>10278</v>
      </c>
      <c r="C2846" s="27" t="s">
        <v>144</v>
      </c>
      <c r="D2846" s="26" t="s">
        <v>10279</v>
      </c>
      <c r="E2846" s="27" t="s">
        <v>10280</v>
      </c>
      <c r="F2846" s="28" t="s">
        <v>146</v>
      </c>
      <c r="G2846" s="27" t="s">
        <v>3537</v>
      </c>
      <c r="H2846" s="27" t="s">
        <v>56</v>
      </c>
      <c r="I2846" s="27" t="s">
        <v>42</v>
      </c>
      <c r="J2846" s="28" t="s">
        <v>10281</v>
      </c>
      <c r="K2846" s="27" t="s">
        <v>42</v>
      </c>
      <c r="L2846" s="27"/>
    </row>
    <row r="2847" customFormat="false" ht="15" hidden="false" customHeight="false" outlineLevel="0" collapsed="false">
      <c r="A2847" s="26" t="s">
        <v>10282</v>
      </c>
      <c r="B2847" s="27" t="s">
        <v>10283</v>
      </c>
      <c r="C2847" s="27" t="s">
        <v>100</v>
      </c>
      <c r="D2847" s="26" t="s">
        <v>10284</v>
      </c>
      <c r="E2847" s="27" t="s">
        <v>10285</v>
      </c>
      <c r="F2847" s="28" t="s">
        <v>102</v>
      </c>
      <c r="G2847" s="27" t="s">
        <v>3537</v>
      </c>
      <c r="H2847" s="27" t="s">
        <v>57</v>
      </c>
      <c r="I2847" s="27" t="s">
        <v>3536</v>
      </c>
      <c r="J2847" s="28" t="s">
        <v>1308</v>
      </c>
      <c r="K2847" s="27" t="s">
        <v>1309</v>
      </c>
      <c r="L2847" s="27"/>
    </row>
    <row r="2848" customFormat="false" ht="15" hidden="false" customHeight="false" outlineLevel="0" collapsed="false">
      <c r="A2848" s="26" t="s">
        <v>10286</v>
      </c>
      <c r="B2848" s="27" t="s">
        <v>10287</v>
      </c>
      <c r="C2848" s="27" t="s">
        <v>100</v>
      </c>
      <c r="D2848" s="26" t="s">
        <v>10288</v>
      </c>
      <c r="E2848" s="27" t="s">
        <v>10289</v>
      </c>
      <c r="F2848" s="28" t="s">
        <v>102</v>
      </c>
      <c r="G2848" s="27" t="s">
        <v>3537</v>
      </c>
      <c r="H2848" s="27" t="s">
        <v>57</v>
      </c>
      <c r="I2848" s="27" t="s">
        <v>108</v>
      </c>
      <c r="J2848" s="28" t="s">
        <v>1308</v>
      </c>
      <c r="K2848" s="27" t="s">
        <v>1309</v>
      </c>
      <c r="L2848" s="27"/>
    </row>
    <row r="2849" customFormat="false" ht="15" hidden="false" customHeight="false" outlineLevel="0" collapsed="false">
      <c r="A2849" s="26" t="s">
        <v>10290</v>
      </c>
      <c r="B2849" s="27" t="s">
        <v>10291</v>
      </c>
      <c r="C2849" s="27" t="s">
        <v>100</v>
      </c>
      <c r="D2849" s="26" t="s">
        <v>10292</v>
      </c>
      <c r="E2849" s="27" t="s">
        <v>10293</v>
      </c>
      <c r="F2849" s="28" t="s">
        <v>102</v>
      </c>
      <c r="G2849" s="27" t="s">
        <v>3537</v>
      </c>
      <c r="H2849" s="27" t="s">
        <v>56</v>
      </c>
      <c r="I2849" s="27" t="s">
        <v>1309</v>
      </c>
      <c r="J2849" s="28" t="s">
        <v>1308</v>
      </c>
      <c r="K2849" s="27" t="s">
        <v>1309</v>
      </c>
      <c r="L2849" s="27"/>
    </row>
    <row r="2850" customFormat="false" ht="15" hidden="false" customHeight="false" outlineLevel="0" collapsed="false">
      <c r="A2850" s="26" t="s">
        <v>10294</v>
      </c>
      <c r="B2850" s="27" t="s">
        <v>10295</v>
      </c>
      <c r="C2850" s="27" t="s">
        <v>100</v>
      </c>
      <c r="D2850" s="26" t="s">
        <v>10292</v>
      </c>
      <c r="E2850" s="27" t="s">
        <v>10293</v>
      </c>
      <c r="F2850" s="28" t="s">
        <v>102</v>
      </c>
      <c r="G2850" s="27" t="s">
        <v>3537</v>
      </c>
      <c r="H2850" s="27" t="s">
        <v>56</v>
      </c>
      <c r="I2850" s="27" t="s">
        <v>1309</v>
      </c>
      <c r="J2850" s="28" t="s">
        <v>1308</v>
      </c>
      <c r="K2850" s="27" t="s">
        <v>1309</v>
      </c>
      <c r="L2850" s="27"/>
    </row>
    <row r="2851" customFormat="false" ht="15" hidden="false" customHeight="false" outlineLevel="0" collapsed="false">
      <c r="A2851" s="26" t="s">
        <v>10296</v>
      </c>
      <c r="B2851" s="27" t="s">
        <v>10297</v>
      </c>
      <c r="C2851" s="27" t="s">
        <v>100</v>
      </c>
      <c r="D2851" s="26" t="s">
        <v>3562</v>
      </c>
      <c r="E2851" s="27" t="s">
        <v>3563</v>
      </c>
      <c r="F2851" s="28" t="s">
        <v>102</v>
      </c>
      <c r="G2851" s="27" t="s">
        <v>3537</v>
      </c>
      <c r="H2851" s="27" t="s">
        <v>57</v>
      </c>
      <c r="I2851" s="27" t="s">
        <v>3564</v>
      </c>
      <c r="J2851" s="28" t="s">
        <v>1308</v>
      </c>
      <c r="K2851" s="27" t="s">
        <v>1309</v>
      </c>
      <c r="L2851" s="27"/>
    </row>
    <row r="2852" customFormat="false" ht="15" hidden="false" customHeight="false" outlineLevel="0" collapsed="false">
      <c r="A2852" s="26" t="s">
        <v>10298</v>
      </c>
      <c r="B2852" s="27" t="s">
        <v>10299</v>
      </c>
      <c r="C2852" s="27" t="s">
        <v>100</v>
      </c>
      <c r="D2852" s="26" t="s">
        <v>10300</v>
      </c>
      <c r="E2852" s="27" t="s">
        <v>10301</v>
      </c>
      <c r="F2852" s="28" t="s">
        <v>102</v>
      </c>
      <c r="G2852" s="27" t="s">
        <v>3537</v>
      </c>
      <c r="H2852" s="27" t="s">
        <v>56</v>
      </c>
      <c r="I2852" s="27" t="s">
        <v>1309</v>
      </c>
      <c r="J2852" s="28" t="s">
        <v>1308</v>
      </c>
      <c r="K2852" s="27" t="s">
        <v>1309</v>
      </c>
      <c r="L2852" s="27"/>
    </row>
    <row r="2853" customFormat="false" ht="15" hidden="false" customHeight="false" outlineLevel="0" collapsed="false">
      <c r="A2853" s="26" t="s">
        <v>10302</v>
      </c>
      <c r="B2853" s="27" t="s">
        <v>10303</v>
      </c>
      <c r="C2853" s="27" t="s">
        <v>100</v>
      </c>
      <c r="D2853" s="26" t="s">
        <v>10300</v>
      </c>
      <c r="E2853" s="27" t="s">
        <v>10301</v>
      </c>
      <c r="F2853" s="28" t="s">
        <v>102</v>
      </c>
      <c r="G2853" s="27" t="s">
        <v>3537</v>
      </c>
      <c r="H2853" s="27" t="s">
        <v>56</v>
      </c>
      <c r="I2853" s="27" t="s">
        <v>1309</v>
      </c>
      <c r="J2853" s="28" t="s">
        <v>1308</v>
      </c>
      <c r="K2853" s="27" t="s">
        <v>1309</v>
      </c>
      <c r="L2853" s="27"/>
    </row>
    <row r="2854" customFormat="false" ht="15" hidden="false" customHeight="false" outlineLevel="0" collapsed="false">
      <c r="A2854" s="26" t="s">
        <v>10304</v>
      </c>
      <c r="B2854" s="27" t="s">
        <v>10305</v>
      </c>
      <c r="C2854" s="27" t="s">
        <v>100</v>
      </c>
      <c r="D2854" s="26" t="s">
        <v>10306</v>
      </c>
      <c r="E2854" s="27" t="s">
        <v>10307</v>
      </c>
      <c r="F2854" s="28" t="s">
        <v>102</v>
      </c>
      <c r="G2854" s="27" t="s">
        <v>3537</v>
      </c>
      <c r="H2854" s="27" t="s">
        <v>56</v>
      </c>
      <c r="I2854" s="27" t="s">
        <v>1309</v>
      </c>
      <c r="J2854" s="28" t="s">
        <v>1308</v>
      </c>
      <c r="K2854" s="27" t="s">
        <v>1309</v>
      </c>
      <c r="L2854" s="27"/>
    </row>
    <row r="2855" customFormat="false" ht="15" hidden="false" customHeight="false" outlineLevel="0" collapsed="false">
      <c r="A2855" s="26" t="s">
        <v>10308</v>
      </c>
      <c r="B2855" s="27" t="s">
        <v>10309</v>
      </c>
      <c r="C2855" s="27" t="s">
        <v>100</v>
      </c>
      <c r="D2855" s="26" t="s">
        <v>10292</v>
      </c>
      <c r="E2855" s="27" t="s">
        <v>10293</v>
      </c>
      <c r="F2855" s="28" t="s">
        <v>102</v>
      </c>
      <c r="G2855" s="27" t="s">
        <v>3537</v>
      </c>
      <c r="H2855" s="27" t="s">
        <v>56</v>
      </c>
      <c r="I2855" s="27" t="s">
        <v>1309</v>
      </c>
      <c r="J2855" s="28" t="s">
        <v>1308</v>
      </c>
      <c r="K2855" s="27" t="s">
        <v>1309</v>
      </c>
      <c r="L2855" s="27"/>
    </row>
    <row r="2856" customFormat="false" ht="15" hidden="false" customHeight="false" outlineLevel="0" collapsed="false">
      <c r="A2856" s="26" t="s">
        <v>10310</v>
      </c>
      <c r="B2856" s="27" t="s">
        <v>10311</v>
      </c>
      <c r="C2856" s="27" t="s">
        <v>100</v>
      </c>
      <c r="D2856" s="26" t="s">
        <v>10292</v>
      </c>
      <c r="E2856" s="27" t="s">
        <v>10293</v>
      </c>
      <c r="F2856" s="28" t="s">
        <v>102</v>
      </c>
      <c r="G2856" s="27" t="s">
        <v>3537</v>
      </c>
      <c r="H2856" s="27" t="s">
        <v>56</v>
      </c>
      <c r="I2856" s="27" t="s">
        <v>1309</v>
      </c>
      <c r="J2856" s="28" t="s">
        <v>1308</v>
      </c>
      <c r="K2856" s="27" t="s">
        <v>1309</v>
      </c>
      <c r="L2856" s="27"/>
    </row>
    <row r="2857" customFormat="false" ht="15" hidden="false" customHeight="false" outlineLevel="0" collapsed="false">
      <c r="A2857" s="26" t="s">
        <v>10312</v>
      </c>
      <c r="B2857" s="27" t="s">
        <v>10313</v>
      </c>
      <c r="C2857" s="27" t="s">
        <v>100</v>
      </c>
      <c r="D2857" s="26" t="s">
        <v>10292</v>
      </c>
      <c r="E2857" s="27" t="s">
        <v>10293</v>
      </c>
      <c r="F2857" s="28" t="s">
        <v>102</v>
      </c>
      <c r="G2857" s="27" t="s">
        <v>3537</v>
      </c>
      <c r="H2857" s="27" t="s">
        <v>56</v>
      </c>
      <c r="I2857" s="27" t="s">
        <v>1309</v>
      </c>
      <c r="J2857" s="28" t="s">
        <v>1308</v>
      </c>
      <c r="K2857" s="27" t="s">
        <v>1309</v>
      </c>
      <c r="L2857" s="27"/>
    </row>
    <row r="2858" customFormat="false" ht="15" hidden="false" customHeight="false" outlineLevel="0" collapsed="false">
      <c r="A2858" s="26" t="s">
        <v>10314</v>
      </c>
      <c r="B2858" s="27" t="s">
        <v>10315</v>
      </c>
      <c r="C2858" s="27" t="s">
        <v>100</v>
      </c>
      <c r="D2858" s="26" t="s">
        <v>10316</v>
      </c>
      <c r="E2858" s="27" t="s">
        <v>10317</v>
      </c>
      <c r="F2858" s="28" t="s">
        <v>102</v>
      </c>
      <c r="G2858" s="27" t="s">
        <v>3537</v>
      </c>
      <c r="H2858" s="27" t="s">
        <v>57</v>
      </c>
      <c r="I2858" s="27" t="s">
        <v>10317</v>
      </c>
      <c r="J2858" s="28" t="s">
        <v>1314</v>
      </c>
      <c r="K2858" s="27" t="s">
        <v>47</v>
      </c>
      <c r="L2858" s="27"/>
    </row>
    <row r="2859" customFormat="false" ht="15" hidden="false" customHeight="false" outlineLevel="0" collapsed="false">
      <c r="A2859" s="26" t="s">
        <v>10318</v>
      </c>
      <c r="B2859" s="27" t="s">
        <v>10319</v>
      </c>
      <c r="C2859" s="27" t="s">
        <v>100</v>
      </c>
      <c r="D2859" s="26" t="s">
        <v>3544</v>
      </c>
      <c r="E2859" s="27" t="s">
        <v>3545</v>
      </c>
      <c r="F2859" s="28" t="s">
        <v>102</v>
      </c>
      <c r="G2859" s="27" t="s">
        <v>3537</v>
      </c>
      <c r="H2859" s="27" t="s">
        <v>57</v>
      </c>
      <c r="I2859" s="27" t="s">
        <v>108</v>
      </c>
      <c r="J2859" s="28" t="s">
        <v>1314</v>
      </c>
      <c r="K2859" s="27" t="s">
        <v>47</v>
      </c>
      <c r="L2859" s="27"/>
    </row>
    <row r="2860" customFormat="false" ht="15" hidden="false" customHeight="false" outlineLevel="0" collapsed="false">
      <c r="A2860" s="26" t="s">
        <v>10320</v>
      </c>
      <c r="B2860" s="27" t="s">
        <v>10321</v>
      </c>
      <c r="C2860" s="27" t="s">
        <v>100</v>
      </c>
      <c r="D2860" s="26" t="s">
        <v>10275</v>
      </c>
      <c r="E2860" s="27" t="s">
        <v>10276</v>
      </c>
      <c r="F2860" s="28" t="s">
        <v>102</v>
      </c>
      <c r="G2860" s="27" t="s">
        <v>3537</v>
      </c>
      <c r="H2860" s="27" t="s">
        <v>57</v>
      </c>
      <c r="I2860" s="27" t="s">
        <v>1302</v>
      </c>
      <c r="J2860" s="28" t="s">
        <v>1314</v>
      </c>
      <c r="K2860" s="27" t="s">
        <v>47</v>
      </c>
      <c r="L2860" s="27"/>
    </row>
    <row r="2861" customFormat="false" ht="15" hidden="false" customHeight="false" outlineLevel="0" collapsed="false">
      <c r="A2861" s="26" t="s">
        <v>10322</v>
      </c>
      <c r="B2861" s="27" t="s">
        <v>10323</v>
      </c>
      <c r="C2861" s="27" t="s">
        <v>100</v>
      </c>
      <c r="D2861" s="26" t="s">
        <v>10324</v>
      </c>
      <c r="E2861" s="27" t="s">
        <v>10325</v>
      </c>
      <c r="F2861" s="28" t="s">
        <v>102</v>
      </c>
      <c r="G2861" s="27" t="s">
        <v>3537</v>
      </c>
      <c r="H2861" s="27" t="s">
        <v>57</v>
      </c>
      <c r="I2861" s="27" t="s">
        <v>10326</v>
      </c>
      <c r="J2861" s="28" t="s">
        <v>1314</v>
      </c>
      <c r="K2861" s="27" t="s">
        <v>47</v>
      </c>
      <c r="L2861" s="27"/>
    </row>
    <row r="2862" customFormat="false" ht="15" hidden="false" customHeight="false" outlineLevel="0" collapsed="false">
      <c r="A2862" s="26" t="s">
        <v>10327</v>
      </c>
      <c r="B2862" s="27" t="s">
        <v>10328</v>
      </c>
      <c r="C2862" s="27" t="s">
        <v>100</v>
      </c>
      <c r="D2862" s="26" t="s">
        <v>1074</v>
      </c>
      <c r="E2862" s="27" t="s">
        <v>1075</v>
      </c>
      <c r="F2862" s="28" t="s">
        <v>102</v>
      </c>
      <c r="G2862" s="27" t="s">
        <v>3537</v>
      </c>
      <c r="H2862" s="27" t="s">
        <v>57</v>
      </c>
      <c r="I2862" s="27" t="s">
        <v>1075</v>
      </c>
      <c r="J2862" s="28" t="s">
        <v>1314</v>
      </c>
      <c r="K2862" s="27" t="s">
        <v>47</v>
      </c>
      <c r="L2862" s="27"/>
    </row>
    <row r="2863" customFormat="false" ht="15" hidden="false" customHeight="false" outlineLevel="0" collapsed="false">
      <c r="A2863" s="26" t="s">
        <v>10329</v>
      </c>
      <c r="B2863" s="27" t="s">
        <v>10330</v>
      </c>
      <c r="C2863" s="27" t="s">
        <v>100</v>
      </c>
      <c r="D2863" s="26" t="s">
        <v>1312</v>
      </c>
      <c r="E2863" s="27" t="s">
        <v>1313</v>
      </c>
      <c r="F2863" s="28" t="s">
        <v>102</v>
      </c>
      <c r="G2863" s="27" t="s">
        <v>3537</v>
      </c>
      <c r="H2863" s="27" t="s">
        <v>56</v>
      </c>
      <c r="I2863" s="27" t="s">
        <v>47</v>
      </c>
      <c r="J2863" s="28" t="s">
        <v>1314</v>
      </c>
      <c r="K2863" s="27" t="s">
        <v>47</v>
      </c>
      <c r="L2863" s="27"/>
    </row>
    <row r="2864" customFormat="false" ht="15" hidden="false" customHeight="false" outlineLevel="0" collapsed="false">
      <c r="A2864" s="26" t="s">
        <v>10331</v>
      </c>
      <c r="B2864" s="27" t="s">
        <v>10332</v>
      </c>
      <c r="C2864" s="27" t="s">
        <v>100</v>
      </c>
      <c r="D2864" s="26" t="s">
        <v>10288</v>
      </c>
      <c r="E2864" s="27" t="s">
        <v>10289</v>
      </c>
      <c r="F2864" s="28" t="s">
        <v>102</v>
      </c>
      <c r="G2864" s="27" t="s">
        <v>3537</v>
      </c>
      <c r="H2864" s="27" t="s">
        <v>57</v>
      </c>
      <c r="I2864" s="27" t="s">
        <v>108</v>
      </c>
      <c r="J2864" s="28" t="s">
        <v>1314</v>
      </c>
      <c r="K2864" s="27" t="s">
        <v>47</v>
      </c>
      <c r="L2864" s="27"/>
    </row>
    <row r="2865" customFormat="false" ht="15" hidden="false" customHeight="false" outlineLevel="0" collapsed="false">
      <c r="A2865" s="26" t="s">
        <v>10333</v>
      </c>
      <c r="B2865" s="27" t="s">
        <v>10334</v>
      </c>
      <c r="C2865" s="27" t="s">
        <v>100</v>
      </c>
      <c r="D2865" s="26" t="s">
        <v>10335</v>
      </c>
      <c r="E2865" s="27" t="s">
        <v>10336</v>
      </c>
      <c r="F2865" s="28" t="s">
        <v>102</v>
      </c>
      <c r="G2865" s="27" t="s">
        <v>3537</v>
      </c>
      <c r="H2865" s="27" t="s">
        <v>57</v>
      </c>
      <c r="I2865" s="27" t="s">
        <v>10337</v>
      </c>
      <c r="J2865" s="28" t="s">
        <v>1314</v>
      </c>
      <c r="K2865" s="27" t="s">
        <v>47</v>
      </c>
      <c r="L2865" s="27"/>
    </row>
    <row r="2866" customFormat="false" ht="15" hidden="false" customHeight="false" outlineLevel="0" collapsed="false">
      <c r="A2866" s="26" t="s">
        <v>10338</v>
      </c>
      <c r="B2866" s="27" t="s">
        <v>10339</v>
      </c>
      <c r="C2866" s="27" t="s">
        <v>100</v>
      </c>
      <c r="D2866" s="26" t="s">
        <v>10340</v>
      </c>
      <c r="E2866" s="27" t="s">
        <v>10341</v>
      </c>
      <c r="F2866" s="28" t="s">
        <v>102</v>
      </c>
      <c r="G2866" s="27" t="s">
        <v>3537</v>
      </c>
      <c r="H2866" s="27" t="s">
        <v>57</v>
      </c>
      <c r="I2866" s="27" t="s">
        <v>3536</v>
      </c>
      <c r="J2866" s="28" t="s">
        <v>1314</v>
      </c>
      <c r="K2866" s="27" t="s">
        <v>47</v>
      </c>
      <c r="L2866" s="27"/>
    </row>
    <row r="2867" customFormat="false" ht="15" hidden="false" customHeight="false" outlineLevel="0" collapsed="false">
      <c r="A2867" s="26" t="s">
        <v>10342</v>
      </c>
      <c r="B2867" s="27" t="s">
        <v>10343</v>
      </c>
      <c r="C2867" s="27" t="s">
        <v>100</v>
      </c>
      <c r="D2867" s="26" t="s">
        <v>10344</v>
      </c>
      <c r="E2867" s="27" t="s">
        <v>10345</v>
      </c>
      <c r="F2867" s="28" t="s">
        <v>102</v>
      </c>
      <c r="G2867" s="27" t="s">
        <v>3537</v>
      </c>
      <c r="H2867" s="27" t="s">
        <v>57</v>
      </c>
      <c r="I2867" s="27" t="s">
        <v>10337</v>
      </c>
      <c r="J2867" s="28" t="s">
        <v>1314</v>
      </c>
      <c r="K2867" s="27" t="s">
        <v>47</v>
      </c>
      <c r="L2867" s="27"/>
    </row>
    <row r="2868" customFormat="false" ht="15" hidden="false" customHeight="false" outlineLevel="0" collapsed="false">
      <c r="A2868" s="26" t="s">
        <v>10346</v>
      </c>
      <c r="B2868" s="27" t="s">
        <v>10347</v>
      </c>
      <c r="C2868" s="27" t="s">
        <v>100</v>
      </c>
      <c r="D2868" s="26" t="s">
        <v>127</v>
      </c>
      <c r="E2868" s="27" t="s">
        <v>128</v>
      </c>
      <c r="F2868" s="28" t="s">
        <v>102</v>
      </c>
      <c r="G2868" s="27" t="s">
        <v>3537</v>
      </c>
      <c r="H2868" s="27" t="s">
        <v>57</v>
      </c>
      <c r="I2868" s="27" t="s">
        <v>43</v>
      </c>
      <c r="J2868" s="28" t="s">
        <v>1314</v>
      </c>
      <c r="K2868" s="27" t="s">
        <v>47</v>
      </c>
      <c r="L2868" s="27"/>
    </row>
    <row r="2869" customFormat="false" ht="15" hidden="false" customHeight="false" outlineLevel="0" collapsed="false">
      <c r="A2869" s="26" t="s">
        <v>10348</v>
      </c>
      <c r="B2869" s="27" t="s">
        <v>10349</v>
      </c>
      <c r="C2869" s="27" t="s">
        <v>100</v>
      </c>
      <c r="D2869" s="26" t="s">
        <v>1321</v>
      </c>
      <c r="E2869" s="27" t="s">
        <v>1322</v>
      </c>
      <c r="F2869" s="28" t="s">
        <v>102</v>
      </c>
      <c r="G2869" s="27" t="s">
        <v>3537</v>
      </c>
      <c r="H2869" s="27" t="s">
        <v>56</v>
      </c>
      <c r="I2869" s="27" t="s">
        <v>47</v>
      </c>
      <c r="J2869" s="28" t="s">
        <v>1314</v>
      </c>
      <c r="K2869" s="27" t="s">
        <v>47</v>
      </c>
      <c r="L2869" s="27"/>
    </row>
    <row r="2870" customFormat="false" ht="15" hidden="false" customHeight="false" outlineLevel="0" collapsed="false">
      <c r="A2870" s="26" t="s">
        <v>10350</v>
      </c>
      <c r="B2870" s="27" t="s">
        <v>10351</v>
      </c>
      <c r="C2870" s="27" t="s">
        <v>100</v>
      </c>
      <c r="D2870" s="26" t="s">
        <v>10352</v>
      </c>
      <c r="E2870" s="27" t="s">
        <v>10353</v>
      </c>
      <c r="F2870" s="28" t="s">
        <v>102</v>
      </c>
      <c r="G2870" s="27" t="s">
        <v>3537</v>
      </c>
      <c r="H2870" s="27" t="s">
        <v>57</v>
      </c>
      <c r="I2870" s="27" t="s">
        <v>10337</v>
      </c>
      <c r="J2870" s="28" t="s">
        <v>1314</v>
      </c>
      <c r="K2870" s="27" t="s">
        <v>47</v>
      </c>
      <c r="L2870" s="27"/>
    </row>
    <row r="2871" customFormat="false" ht="15" hidden="false" customHeight="false" outlineLevel="0" collapsed="false">
      <c r="A2871" s="26" t="s">
        <v>10354</v>
      </c>
      <c r="B2871" s="27" t="s">
        <v>10355</v>
      </c>
      <c r="C2871" s="27" t="s">
        <v>100</v>
      </c>
      <c r="D2871" s="26" t="s">
        <v>10356</v>
      </c>
      <c r="E2871" s="27" t="s">
        <v>10357</v>
      </c>
      <c r="F2871" s="28" t="s">
        <v>102</v>
      </c>
      <c r="G2871" s="27" t="s">
        <v>3537</v>
      </c>
      <c r="H2871" s="27" t="s">
        <v>57</v>
      </c>
      <c r="I2871" s="27" t="s">
        <v>10317</v>
      </c>
      <c r="J2871" s="28" t="s">
        <v>1314</v>
      </c>
      <c r="K2871" s="27" t="s">
        <v>47</v>
      </c>
      <c r="L2871" s="27"/>
    </row>
    <row r="2872" customFormat="false" ht="15" hidden="false" customHeight="false" outlineLevel="0" collapsed="false">
      <c r="A2872" s="26" t="s">
        <v>10358</v>
      </c>
      <c r="B2872" s="27" t="s">
        <v>10359</v>
      </c>
      <c r="C2872" s="27" t="s">
        <v>100</v>
      </c>
      <c r="D2872" s="26" t="s">
        <v>10360</v>
      </c>
      <c r="E2872" s="27" t="s">
        <v>10361</v>
      </c>
      <c r="F2872" s="28" t="s">
        <v>102</v>
      </c>
      <c r="G2872" s="27" t="s">
        <v>3537</v>
      </c>
      <c r="H2872" s="27" t="s">
        <v>57</v>
      </c>
      <c r="I2872" s="27" t="s">
        <v>10362</v>
      </c>
      <c r="J2872" s="28" t="s">
        <v>1325</v>
      </c>
      <c r="K2872" s="27" t="s">
        <v>47</v>
      </c>
      <c r="L2872" s="27"/>
    </row>
    <row r="2873" customFormat="false" ht="15" hidden="false" customHeight="false" outlineLevel="0" collapsed="false">
      <c r="A2873" s="26" t="s">
        <v>10363</v>
      </c>
      <c r="B2873" s="27" t="s">
        <v>10364</v>
      </c>
      <c r="C2873" s="27" t="s">
        <v>100</v>
      </c>
      <c r="D2873" s="26" t="s">
        <v>10365</v>
      </c>
      <c r="E2873" s="27" t="s">
        <v>10366</v>
      </c>
      <c r="F2873" s="28" t="s">
        <v>102</v>
      </c>
      <c r="G2873" s="27" t="s">
        <v>3537</v>
      </c>
      <c r="H2873" s="27" t="s">
        <v>56</v>
      </c>
      <c r="I2873" s="27" t="s">
        <v>47</v>
      </c>
      <c r="J2873" s="28" t="s">
        <v>1325</v>
      </c>
      <c r="K2873" s="27" t="s">
        <v>47</v>
      </c>
      <c r="L2873" s="27"/>
    </row>
    <row r="2874" customFormat="false" ht="15" hidden="false" customHeight="false" outlineLevel="0" collapsed="false">
      <c r="A2874" s="26" t="s">
        <v>10367</v>
      </c>
      <c r="B2874" s="27" t="s">
        <v>10368</v>
      </c>
      <c r="C2874" s="27" t="s">
        <v>100</v>
      </c>
      <c r="D2874" s="26" t="s">
        <v>10369</v>
      </c>
      <c r="E2874" s="27" t="s">
        <v>10370</v>
      </c>
      <c r="F2874" s="28" t="s">
        <v>102</v>
      </c>
      <c r="G2874" s="27" t="s">
        <v>3537</v>
      </c>
      <c r="H2874" s="27" t="s">
        <v>57</v>
      </c>
      <c r="I2874" s="27" t="s">
        <v>3536</v>
      </c>
      <c r="J2874" s="28" t="s">
        <v>1325</v>
      </c>
      <c r="K2874" s="27" t="s">
        <v>47</v>
      </c>
      <c r="L2874" s="27"/>
    </row>
    <row r="2875" customFormat="false" ht="15" hidden="false" customHeight="false" outlineLevel="0" collapsed="false">
      <c r="A2875" s="26" t="s">
        <v>10371</v>
      </c>
      <c r="B2875" s="27" t="s">
        <v>10372</v>
      </c>
      <c r="C2875" s="27" t="s">
        <v>100</v>
      </c>
      <c r="D2875" s="26" t="s">
        <v>3535</v>
      </c>
      <c r="E2875" s="27" t="s">
        <v>3536</v>
      </c>
      <c r="F2875" s="28" t="s">
        <v>102</v>
      </c>
      <c r="G2875" s="27" t="s">
        <v>3537</v>
      </c>
      <c r="H2875" s="27" t="s">
        <v>57</v>
      </c>
      <c r="I2875" s="27" t="s">
        <v>64</v>
      </c>
      <c r="J2875" s="28" t="s">
        <v>1325</v>
      </c>
      <c r="K2875" s="27" t="s">
        <v>47</v>
      </c>
      <c r="L2875" s="27"/>
    </row>
    <row r="2876" customFormat="false" ht="15" hidden="false" customHeight="false" outlineLevel="0" collapsed="false">
      <c r="A2876" s="26" t="s">
        <v>10373</v>
      </c>
      <c r="B2876" s="27" t="s">
        <v>10374</v>
      </c>
      <c r="C2876" s="27" t="s">
        <v>100</v>
      </c>
      <c r="D2876" s="26" t="s">
        <v>10375</v>
      </c>
      <c r="E2876" s="27" t="s">
        <v>10376</v>
      </c>
      <c r="F2876" s="28" t="s">
        <v>102</v>
      </c>
      <c r="G2876" s="27" t="s">
        <v>3537</v>
      </c>
      <c r="H2876" s="27" t="s">
        <v>57</v>
      </c>
      <c r="I2876" s="27" t="s">
        <v>3536</v>
      </c>
      <c r="J2876" s="28" t="s">
        <v>1325</v>
      </c>
      <c r="K2876" s="27" t="s">
        <v>47</v>
      </c>
      <c r="L2876" s="27"/>
    </row>
    <row r="2877" customFormat="false" ht="15" hidden="false" customHeight="false" outlineLevel="0" collapsed="false">
      <c r="A2877" s="26" t="s">
        <v>10377</v>
      </c>
      <c r="B2877" s="27" t="s">
        <v>10378</v>
      </c>
      <c r="C2877" s="27" t="s">
        <v>100</v>
      </c>
      <c r="D2877" s="26" t="s">
        <v>10379</v>
      </c>
      <c r="E2877" s="27" t="s">
        <v>10380</v>
      </c>
      <c r="F2877" s="28" t="s">
        <v>102</v>
      </c>
      <c r="G2877" s="27" t="s">
        <v>3537</v>
      </c>
      <c r="H2877" s="27" t="s">
        <v>56</v>
      </c>
      <c r="I2877" s="27" t="s">
        <v>47</v>
      </c>
      <c r="J2877" s="28" t="s">
        <v>1325</v>
      </c>
      <c r="K2877" s="27" t="s">
        <v>47</v>
      </c>
      <c r="L2877" s="27"/>
    </row>
    <row r="2878" customFormat="false" ht="15" hidden="false" customHeight="false" outlineLevel="0" collapsed="false">
      <c r="A2878" s="26" t="s">
        <v>10381</v>
      </c>
      <c r="B2878" s="27" t="s">
        <v>10382</v>
      </c>
      <c r="C2878" s="27" t="s">
        <v>100</v>
      </c>
      <c r="D2878" s="26" t="s">
        <v>107</v>
      </c>
      <c r="E2878" s="27" t="s">
        <v>106</v>
      </c>
      <c r="F2878" s="28" t="s">
        <v>102</v>
      </c>
      <c r="G2878" s="27" t="s">
        <v>3537</v>
      </c>
      <c r="H2878" s="27" t="s">
        <v>56</v>
      </c>
      <c r="I2878" s="27" t="s">
        <v>108</v>
      </c>
      <c r="J2878" s="28" t="s">
        <v>10383</v>
      </c>
      <c r="K2878" s="27" t="s">
        <v>108</v>
      </c>
      <c r="L2878" s="27"/>
    </row>
    <row r="2879" customFormat="false" ht="15" hidden="false" customHeight="false" outlineLevel="0" collapsed="false">
      <c r="A2879" s="26" t="s">
        <v>10384</v>
      </c>
      <c r="B2879" s="27" t="s">
        <v>10385</v>
      </c>
      <c r="C2879" s="27" t="s">
        <v>100</v>
      </c>
      <c r="D2879" s="26" t="s">
        <v>3562</v>
      </c>
      <c r="E2879" s="27" t="s">
        <v>3563</v>
      </c>
      <c r="F2879" s="28" t="s">
        <v>102</v>
      </c>
      <c r="G2879" s="27" t="s">
        <v>3537</v>
      </c>
      <c r="H2879" s="27" t="s">
        <v>57</v>
      </c>
      <c r="I2879" s="27" t="s">
        <v>3564</v>
      </c>
      <c r="J2879" s="28" t="s">
        <v>10383</v>
      </c>
      <c r="K2879" s="27" t="s">
        <v>108</v>
      </c>
      <c r="L2879" s="27"/>
    </row>
    <row r="2880" customFormat="false" ht="15" hidden="false" customHeight="false" outlineLevel="0" collapsed="false">
      <c r="A2880" s="26" t="s">
        <v>10386</v>
      </c>
      <c r="B2880" s="27" t="s">
        <v>10387</v>
      </c>
      <c r="C2880" s="27" t="s">
        <v>144</v>
      </c>
      <c r="D2880" s="26" t="s">
        <v>10388</v>
      </c>
      <c r="E2880" s="27" t="s">
        <v>10389</v>
      </c>
      <c r="F2880" s="28" t="s">
        <v>146</v>
      </c>
      <c r="G2880" s="27" t="s">
        <v>3537</v>
      </c>
      <c r="H2880" s="27" t="s">
        <v>57</v>
      </c>
      <c r="I2880" s="27" t="s">
        <v>42</v>
      </c>
      <c r="J2880" s="28" t="s">
        <v>1329</v>
      </c>
      <c r="K2880" s="27" t="s">
        <v>64</v>
      </c>
      <c r="L2880" s="27"/>
    </row>
    <row r="2881" customFormat="false" ht="15" hidden="false" customHeight="false" outlineLevel="0" collapsed="false">
      <c r="A2881" s="26" t="s">
        <v>10390</v>
      </c>
      <c r="B2881" s="27" t="s">
        <v>10391</v>
      </c>
      <c r="C2881" s="27" t="s">
        <v>144</v>
      </c>
      <c r="D2881" s="26" t="s">
        <v>10392</v>
      </c>
      <c r="E2881" s="27" t="s">
        <v>10393</v>
      </c>
      <c r="F2881" s="28" t="s">
        <v>146</v>
      </c>
      <c r="G2881" s="27" t="s">
        <v>3537</v>
      </c>
      <c r="H2881" s="27" t="s">
        <v>57</v>
      </c>
      <c r="I2881" s="27" t="s">
        <v>42</v>
      </c>
      <c r="J2881" s="28" t="s">
        <v>1329</v>
      </c>
      <c r="K2881" s="27" t="s">
        <v>64</v>
      </c>
      <c r="L2881" s="27"/>
    </row>
    <row r="2882" customFormat="false" ht="15" hidden="false" customHeight="false" outlineLevel="0" collapsed="false">
      <c r="A2882" s="26" t="s">
        <v>10394</v>
      </c>
      <c r="B2882" s="27" t="s">
        <v>10395</v>
      </c>
      <c r="C2882" s="27" t="s">
        <v>144</v>
      </c>
      <c r="D2882" s="26" t="s">
        <v>10388</v>
      </c>
      <c r="E2882" s="27" t="s">
        <v>10389</v>
      </c>
      <c r="F2882" s="28" t="s">
        <v>146</v>
      </c>
      <c r="G2882" s="27" t="s">
        <v>3537</v>
      </c>
      <c r="H2882" s="27" t="s">
        <v>57</v>
      </c>
      <c r="I2882" s="27" t="s">
        <v>42</v>
      </c>
      <c r="J2882" s="28" t="s">
        <v>1329</v>
      </c>
      <c r="K2882" s="27" t="s">
        <v>64</v>
      </c>
      <c r="L2882" s="27"/>
    </row>
    <row r="2883" customFormat="false" ht="15" hidden="false" customHeight="false" outlineLevel="0" collapsed="false">
      <c r="A2883" s="26" t="s">
        <v>10396</v>
      </c>
      <c r="B2883" s="27" t="s">
        <v>10397</v>
      </c>
      <c r="C2883" s="27" t="s">
        <v>144</v>
      </c>
      <c r="D2883" s="26" t="s">
        <v>10398</v>
      </c>
      <c r="E2883" s="27" t="s">
        <v>10399</v>
      </c>
      <c r="F2883" s="28" t="s">
        <v>146</v>
      </c>
      <c r="G2883" s="27" t="s">
        <v>3537</v>
      </c>
      <c r="H2883" s="27" t="s">
        <v>57</v>
      </c>
      <c r="I2883" s="27" t="s">
        <v>42</v>
      </c>
      <c r="J2883" s="28" t="s">
        <v>1329</v>
      </c>
      <c r="K2883" s="27" t="s">
        <v>64</v>
      </c>
      <c r="L2883" s="27"/>
    </row>
    <row r="2884" customFormat="false" ht="15" hidden="false" customHeight="false" outlineLevel="0" collapsed="false">
      <c r="A2884" s="26" t="s">
        <v>10400</v>
      </c>
      <c r="B2884" s="27" t="s">
        <v>10401</v>
      </c>
      <c r="C2884" s="27" t="s">
        <v>144</v>
      </c>
      <c r="D2884" s="26" t="s">
        <v>10402</v>
      </c>
      <c r="E2884" s="27" t="s">
        <v>10403</v>
      </c>
      <c r="F2884" s="28" t="s">
        <v>146</v>
      </c>
      <c r="G2884" s="27" t="s">
        <v>3537</v>
      </c>
      <c r="H2884" s="27" t="s">
        <v>57</v>
      </c>
      <c r="I2884" s="27" t="s">
        <v>42</v>
      </c>
      <c r="J2884" s="28" t="s">
        <v>1329</v>
      </c>
      <c r="K2884" s="27" t="s">
        <v>64</v>
      </c>
      <c r="L2884" s="27"/>
    </row>
    <row r="2885" customFormat="false" ht="15" hidden="false" customHeight="false" outlineLevel="0" collapsed="false">
      <c r="A2885" s="26" t="s">
        <v>10404</v>
      </c>
      <c r="B2885" s="27" t="s">
        <v>10405</v>
      </c>
      <c r="C2885" s="27" t="s">
        <v>1187</v>
      </c>
      <c r="D2885" s="26" t="s">
        <v>10406</v>
      </c>
      <c r="E2885" s="27" t="s">
        <v>10407</v>
      </c>
      <c r="F2885" s="28" t="s">
        <v>1190</v>
      </c>
      <c r="G2885" s="27" t="s">
        <v>3537</v>
      </c>
      <c r="H2885" s="27" t="s">
        <v>57</v>
      </c>
      <c r="I2885" s="27" t="s">
        <v>1344</v>
      </c>
      <c r="J2885" s="28" t="s">
        <v>1329</v>
      </c>
      <c r="K2885" s="27" t="s">
        <v>64</v>
      </c>
      <c r="L2885" s="27"/>
    </row>
    <row r="2886" customFormat="false" ht="15" hidden="false" customHeight="false" outlineLevel="0" collapsed="false">
      <c r="A2886" s="26" t="s">
        <v>10408</v>
      </c>
      <c r="B2886" s="27" t="s">
        <v>10409</v>
      </c>
      <c r="C2886" s="27" t="s">
        <v>144</v>
      </c>
      <c r="D2886" s="26" t="s">
        <v>10410</v>
      </c>
      <c r="E2886" s="27" t="s">
        <v>10411</v>
      </c>
      <c r="F2886" s="28" t="s">
        <v>146</v>
      </c>
      <c r="G2886" s="27" t="s">
        <v>3537</v>
      </c>
      <c r="H2886" s="27" t="s">
        <v>57</v>
      </c>
      <c r="I2886" s="27" t="s">
        <v>42</v>
      </c>
      <c r="J2886" s="28" t="s">
        <v>1329</v>
      </c>
      <c r="K2886" s="27" t="s">
        <v>64</v>
      </c>
      <c r="L2886" s="27"/>
    </row>
    <row r="2887" customFormat="false" ht="15" hidden="false" customHeight="false" outlineLevel="0" collapsed="false">
      <c r="A2887" s="26" t="s">
        <v>10412</v>
      </c>
      <c r="B2887" s="27" t="s">
        <v>10413</v>
      </c>
      <c r="C2887" s="27" t="s">
        <v>144</v>
      </c>
      <c r="D2887" s="26" t="s">
        <v>10388</v>
      </c>
      <c r="E2887" s="27" t="s">
        <v>10389</v>
      </c>
      <c r="F2887" s="28" t="s">
        <v>146</v>
      </c>
      <c r="G2887" s="27" t="s">
        <v>3537</v>
      </c>
      <c r="H2887" s="27" t="s">
        <v>57</v>
      </c>
      <c r="I2887" s="27" t="s">
        <v>42</v>
      </c>
      <c r="J2887" s="28" t="s">
        <v>1329</v>
      </c>
      <c r="K2887" s="27" t="s">
        <v>64</v>
      </c>
      <c r="L2887" s="27"/>
    </row>
    <row r="2888" customFormat="false" ht="15" hidden="false" customHeight="false" outlineLevel="0" collapsed="false">
      <c r="A2888" s="26" t="s">
        <v>10414</v>
      </c>
      <c r="B2888" s="27" t="s">
        <v>10415</v>
      </c>
      <c r="C2888" s="27" t="s">
        <v>144</v>
      </c>
      <c r="D2888" s="26" t="s">
        <v>10416</v>
      </c>
      <c r="E2888" s="27" t="s">
        <v>10417</v>
      </c>
      <c r="F2888" s="28" t="s">
        <v>146</v>
      </c>
      <c r="G2888" s="27" t="s">
        <v>3537</v>
      </c>
      <c r="H2888" s="27" t="s">
        <v>57</v>
      </c>
      <c r="I2888" s="27" t="s">
        <v>42</v>
      </c>
      <c r="J2888" s="28" t="s">
        <v>1329</v>
      </c>
      <c r="K2888" s="27" t="s">
        <v>64</v>
      </c>
      <c r="L2888" s="27"/>
    </row>
    <row r="2889" customFormat="false" ht="15" hidden="false" customHeight="false" outlineLevel="0" collapsed="false">
      <c r="A2889" s="26" t="s">
        <v>10418</v>
      </c>
      <c r="B2889" s="27" t="s">
        <v>10419</v>
      </c>
      <c r="C2889" s="27" t="s">
        <v>144</v>
      </c>
      <c r="D2889" s="26" t="s">
        <v>10416</v>
      </c>
      <c r="E2889" s="27" t="s">
        <v>10417</v>
      </c>
      <c r="F2889" s="28" t="s">
        <v>146</v>
      </c>
      <c r="G2889" s="27" t="s">
        <v>3537</v>
      </c>
      <c r="H2889" s="27" t="s">
        <v>57</v>
      </c>
      <c r="I2889" s="27" t="s">
        <v>42</v>
      </c>
      <c r="J2889" s="28" t="s">
        <v>1329</v>
      </c>
      <c r="K2889" s="27" t="s">
        <v>64</v>
      </c>
      <c r="L2889" s="27"/>
    </row>
    <row r="2890" customFormat="false" ht="15" hidden="false" customHeight="false" outlineLevel="0" collapsed="false">
      <c r="A2890" s="26" t="s">
        <v>10420</v>
      </c>
      <c r="B2890" s="27" t="s">
        <v>10421</v>
      </c>
      <c r="C2890" s="27" t="s">
        <v>144</v>
      </c>
      <c r="D2890" s="26" t="s">
        <v>10416</v>
      </c>
      <c r="E2890" s="27" t="s">
        <v>10417</v>
      </c>
      <c r="F2890" s="28" t="s">
        <v>146</v>
      </c>
      <c r="G2890" s="27" t="s">
        <v>3537</v>
      </c>
      <c r="H2890" s="27" t="s">
        <v>57</v>
      </c>
      <c r="I2890" s="27" t="s">
        <v>42</v>
      </c>
      <c r="J2890" s="28" t="s">
        <v>1329</v>
      </c>
      <c r="K2890" s="27" t="s">
        <v>64</v>
      </c>
      <c r="L2890" s="27"/>
    </row>
    <row r="2891" customFormat="false" ht="15" hidden="false" customHeight="false" outlineLevel="0" collapsed="false">
      <c r="A2891" s="26" t="s">
        <v>10422</v>
      </c>
      <c r="B2891" s="27" t="s">
        <v>10423</v>
      </c>
      <c r="C2891" s="27" t="s">
        <v>144</v>
      </c>
      <c r="D2891" s="26" t="s">
        <v>10416</v>
      </c>
      <c r="E2891" s="27" t="s">
        <v>10417</v>
      </c>
      <c r="F2891" s="28" t="s">
        <v>146</v>
      </c>
      <c r="G2891" s="27" t="s">
        <v>3537</v>
      </c>
      <c r="H2891" s="27" t="s">
        <v>57</v>
      </c>
      <c r="I2891" s="27" t="s">
        <v>42</v>
      </c>
      <c r="J2891" s="28" t="s">
        <v>1329</v>
      </c>
      <c r="K2891" s="27" t="s">
        <v>64</v>
      </c>
      <c r="L2891" s="27"/>
    </row>
    <row r="2892" customFormat="false" ht="15" hidden="false" customHeight="false" outlineLevel="0" collapsed="false">
      <c r="A2892" s="26" t="s">
        <v>10424</v>
      </c>
      <c r="B2892" s="27" t="s">
        <v>10425</v>
      </c>
      <c r="C2892" s="27" t="s">
        <v>144</v>
      </c>
      <c r="D2892" s="26" t="s">
        <v>10426</v>
      </c>
      <c r="E2892" s="27" t="s">
        <v>10427</v>
      </c>
      <c r="F2892" s="28" t="s">
        <v>146</v>
      </c>
      <c r="G2892" s="27" t="s">
        <v>3537</v>
      </c>
      <c r="H2892" s="27" t="s">
        <v>57</v>
      </c>
      <c r="I2892" s="27" t="s">
        <v>42</v>
      </c>
      <c r="J2892" s="28" t="s">
        <v>1329</v>
      </c>
      <c r="K2892" s="27" t="s">
        <v>64</v>
      </c>
      <c r="L2892" s="27"/>
    </row>
    <row r="2893" customFormat="false" ht="15" hidden="false" customHeight="false" outlineLevel="0" collapsed="false">
      <c r="A2893" s="26" t="s">
        <v>10428</v>
      </c>
      <c r="B2893" s="27" t="s">
        <v>10429</v>
      </c>
      <c r="C2893" s="27" t="s">
        <v>144</v>
      </c>
      <c r="D2893" s="26" t="s">
        <v>10426</v>
      </c>
      <c r="E2893" s="27" t="s">
        <v>10427</v>
      </c>
      <c r="F2893" s="28" t="s">
        <v>146</v>
      </c>
      <c r="G2893" s="27" t="s">
        <v>3537</v>
      </c>
      <c r="H2893" s="27" t="s">
        <v>57</v>
      </c>
      <c r="I2893" s="27" t="s">
        <v>42</v>
      </c>
      <c r="J2893" s="28" t="s">
        <v>1329</v>
      </c>
      <c r="K2893" s="27" t="s">
        <v>64</v>
      </c>
      <c r="L2893" s="27"/>
    </row>
    <row r="2894" customFormat="false" ht="15" hidden="false" customHeight="false" outlineLevel="0" collapsed="false">
      <c r="A2894" s="26" t="s">
        <v>10430</v>
      </c>
      <c r="B2894" s="27" t="s">
        <v>10431</v>
      </c>
      <c r="C2894" s="27" t="s">
        <v>144</v>
      </c>
      <c r="D2894" s="26" t="s">
        <v>10432</v>
      </c>
      <c r="E2894" s="27" t="s">
        <v>10433</v>
      </c>
      <c r="F2894" s="28" t="s">
        <v>146</v>
      </c>
      <c r="G2894" s="27" t="s">
        <v>3537</v>
      </c>
      <c r="H2894" s="27" t="s">
        <v>57</v>
      </c>
      <c r="I2894" s="27" t="s">
        <v>42</v>
      </c>
      <c r="J2894" s="28" t="s">
        <v>1329</v>
      </c>
      <c r="K2894" s="27" t="s">
        <v>64</v>
      </c>
      <c r="L2894" s="27"/>
    </row>
    <row r="2895" customFormat="false" ht="15" hidden="false" customHeight="false" outlineLevel="0" collapsed="false">
      <c r="A2895" s="26" t="s">
        <v>10434</v>
      </c>
      <c r="B2895" s="27" t="s">
        <v>10435</v>
      </c>
      <c r="C2895" s="27" t="s">
        <v>144</v>
      </c>
      <c r="D2895" s="26" t="s">
        <v>10436</v>
      </c>
      <c r="E2895" s="27" t="s">
        <v>10437</v>
      </c>
      <c r="F2895" s="28" t="s">
        <v>146</v>
      </c>
      <c r="G2895" s="27" t="s">
        <v>3537</v>
      </c>
      <c r="H2895" s="27" t="s">
        <v>57</v>
      </c>
      <c r="I2895" s="27" t="s">
        <v>42</v>
      </c>
      <c r="J2895" s="28" t="s">
        <v>1329</v>
      </c>
      <c r="K2895" s="27" t="s">
        <v>64</v>
      </c>
      <c r="L2895" s="27"/>
    </row>
    <row r="2896" customFormat="false" ht="15" hidden="false" customHeight="false" outlineLevel="0" collapsed="false">
      <c r="A2896" s="26" t="s">
        <v>10438</v>
      </c>
      <c r="B2896" s="27" t="s">
        <v>10439</v>
      </c>
      <c r="C2896" s="27" t="s">
        <v>144</v>
      </c>
      <c r="D2896" s="26" t="s">
        <v>10440</v>
      </c>
      <c r="E2896" s="27" t="s">
        <v>10441</v>
      </c>
      <c r="F2896" s="28" t="s">
        <v>146</v>
      </c>
      <c r="G2896" s="27" t="s">
        <v>3537</v>
      </c>
      <c r="H2896" s="27" t="s">
        <v>57</v>
      </c>
      <c r="I2896" s="27" t="s">
        <v>1067</v>
      </c>
      <c r="J2896" s="28" t="s">
        <v>1329</v>
      </c>
      <c r="K2896" s="27" t="s">
        <v>64</v>
      </c>
      <c r="L2896" s="27"/>
    </row>
    <row r="2897" customFormat="false" ht="15" hidden="false" customHeight="false" outlineLevel="0" collapsed="false">
      <c r="A2897" s="26" t="s">
        <v>10442</v>
      </c>
      <c r="B2897" s="27" t="s">
        <v>10443</v>
      </c>
      <c r="C2897" s="27" t="s">
        <v>144</v>
      </c>
      <c r="D2897" s="26" t="s">
        <v>10444</v>
      </c>
      <c r="E2897" s="27" t="s">
        <v>10445</v>
      </c>
      <c r="F2897" s="28" t="s">
        <v>146</v>
      </c>
      <c r="G2897" s="27" t="s">
        <v>3537</v>
      </c>
      <c r="H2897" s="27" t="s">
        <v>57</v>
      </c>
      <c r="I2897" s="27" t="s">
        <v>1067</v>
      </c>
      <c r="J2897" s="28" t="s">
        <v>1329</v>
      </c>
      <c r="K2897" s="27" t="s">
        <v>64</v>
      </c>
      <c r="L2897" s="27"/>
    </row>
    <row r="2898" customFormat="false" ht="15" hidden="false" customHeight="false" outlineLevel="0" collapsed="false">
      <c r="A2898" s="26" t="s">
        <v>10446</v>
      </c>
      <c r="B2898" s="27" t="s">
        <v>10447</v>
      </c>
      <c r="C2898" s="27" t="s">
        <v>1187</v>
      </c>
      <c r="D2898" s="26" t="s">
        <v>1377</v>
      </c>
      <c r="E2898" s="27" t="s">
        <v>1378</v>
      </c>
      <c r="F2898" s="28" t="s">
        <v>1190</v>
      </c>
      <c r="G2898" s="27" t="s">
        <v>3537</v>
      </c>
      <c r="H2898" s="27" t="s">
        <v>57</v>
      </c>
      <c r="I2898" s="27" t="s">
        <v>42</v>
      </c>
      <c r="J2898" s="28" t="s">
        <v>1329</v>
      </c>
      <c r="K2898" s="27" t="s">
        <v>64</v>
      </c>
      <c r="L2898" s="27"/>
    </row>
    <row r="2899" customFormat="false" ht="15" hidden="false" customHeight="false" outlineLevel="0" collapsed="false">
      <c r="A2899" s="26" t="s">
        <v>10448</v>
      </c>
      <c r="B2899" s="27" t="s">
        <v>10449</v>
      </c>
      <c r="C2899" s="27" t="s">
        <v>1187</v>
      </c>
      <c r="D2899" s="26" t="s">
        <v>10450</v>
      </c>
      <c r="E2899" s="27" t="s">
        <v>10451</v>
      </c>
      <c r="F2899" s="28" t="s">
        <v>1190</v>
      </c>
      <c r="G2899" s="27" t="s">
        <v>3537</v>
      </c>
      <c r="H2899" s="27" t="s">
        <v>57</v>
      </c>
      <c r="I2899" s="27" t="s">
        <v>42</v>
      </c>
      <c r="J2899" s="28" t="s">
        <v>1329</v>
      </c>
      <c r="K2899" s="27" t="s">
        <v>64</v>
      </c>
      <c r="L2899" s="27"/>
    </row>
    <row r="2900" customFormat="false" ht="15" hidden="false" customHeight="false" outlineLevel="0" collapsed="false">
      <c r="A2900" s="26" t="s">
        <v>10452</v>
      </c>
      <c r="B2900" s="27" t="s">
        <v>10453</v>
      </c>
      <c r="C2900" s="27" t="s">
        <v>131</v>
      </c>
      <c r="D2900" s="26" t="s">
        <v>1389</v>
      </c>
      <c r="E2900" s="27" t="s">
        <v>1390</v>
      </c>
      <c r="F2900" s="28" t="s">
        <v>134</v>
      </c>
      <c r="G2900" s="27" t="s">
        <v>3537</v>
      </c>
      <c r="H2900" s="27" t="s">
        <v>57</v>
      </c>
      <c r="I2900" s="27" t="s">
        <v>1067</v>
      </c>
      <c r="J2900" s="28" t="s">
        <v>1329</v>
      </c>
      <c r="K2900" s="27" t="s">
        <v>64</v>
      </c>
      <c r="L2900" s="27"/>
    </row>
    <row r="2901" customFormat="false" ht="15" hidden="false" customHeight="false" outlineLevel="0" collapsed="false">
      <c r="A2901" s="26" t="s">
        <v>10454</v>
      </c>
      <c r="B2901" s="27" t="s">
        <v>10455</v>
      </c>
      <c r="C2901" s="27" t="s">
        <v>100</v>
      </c>
      <c r="D2901" s="26" t="s">
        <v>1396</v>
      </c>
      <c r="E2901" s="27" t="s">
        <v>1395</v>
      </c>
      <c r="F2901" s="28" t="s">
        <v>102</v>
      </c>
      <c r="G2901" s="27" t="s">
        <v>3537</v>
      </c>
      <c r="H2901" s="27" t="s">
        <v>56</v>
      </c>
      <c r="I2901" s="27" t="s">
        <v>64</v>
      </c>
      <c r="J2901" s="28" t="s">
        <v>1329</v>
      </c>
      <c r="K2901" s="27" t="s">
        <v>64</v>
      </c>
      <c r="L2901" s="27"/>
    </row>
    <row r="2902" customFormat="false" ht="15" hidden="false" customHeight="false" outlineLevel="0" collapsed="false">
      <c r="A2902" s="26" t="s">
        <v>10456</v>
      </c>
      <c r="B2902" s="27" t="s">
        <v>10457</v>
      </c>
      <c r="C2902" s="27" t="s">
        <v>100</v>
      </c>
      <c r="D2902" s="26" t="s">
        <v>10458</v>
      </c>
      <c r="E2902" s="27" t="s">
        <v>10459</v>
      </c>
      <c r="F2902" s="28" t="s">
        <v>102</v>
      </c>
      <c r="G2902" s="27" t="s">
        <v>3537</v>
      </c>
      <c r="H2902" s="27" t="s">
        <v>56</v>
      </c>
      <c r="I2902" s="27" t="s">
        <v>64</v>
      </c>
      <c r="J2902" s="28" t="s">
        <v>1329</v>
      </c>
      <c r="K2902" s="27" t="s">
        <v>64</v>
      </c>
      <c r="L2902" s="27"/>
    </row>
    <row r="2903" customFormat="false" ht="15" hidden="false" customHeight="false" outlineLevel="0" collapsed="false">
      <c r="A2903" s="26" t="s">
        <v>10460</v>
      </c>
      <c r="B2903" s="27" t="s">
        <v>10461</v>
      </c>
      <c r="C2903" s="27" t="s">
        <v>144</v>
      </c>
      <c r="D2903" s="26" t="s">
        <v>10462</v>
      </c>
      <c r="E2903" s="27" t="s">
        <v>10463</v>
      </c>
      <c r="F2903" s="28" t="s">
        <v>146</v>
      </c>
      <c r="G2903" s="27" t="s">
        <v>3537</v>
      </c>
      <c r="H2903" s="27" t="s">
        <v>56</v>
      </c>
      <c r="I2903" s="27" t="s">
        <v>64</v>
      </c>
      <c r="J2903" s="28" t="s">
        <v>1329</v>
      </c>
      <c r="K2903" s="27" t="s">
        <v>64</v>
      </c>
      <c r="L2903" s="27"/>
    </row>
    <row r="2904" customFormat="false" ht="15" hidden="false" customHeight="false" outlineLevel="0" collapsed="false">
      <c r="A2904" s="26" t="s">
        <v>10464</v>
      </c>
      <c r="B2904" s="27" t="s">
        <v>10465</v>
      </c>
      <c r="C2904" s="27" t="s">
        <v>144</v>
      </c>
      <c r="D2904" s="26" t="s">
        <v>10462</v>
      </c>
      <c r="E2904" s="27" t="s">
        <v>10463</v>
      </c>
      <c r="F2904" s="28" t="s">
        <v>146</v>
      </c>
      <c r="G2904" s="27" t="s">
        <v>3537</v>
      </c>
      <c r="H2904" s="27" t="s">
        <v>56</v>
      </c>
      <c r="I2904" s="27" t="s">
        <v>64</v>
      </c>
      <c r="J2904" s="28" t="s">
        <v>1329</v>
      </c>
      <c r="K2904" s="27" t="s">
        <v>64</v>
      </c>
      <c r="L2904" s="27"/>
    </row>
    <row r="2905" customFormat="false" ht="15" hidden="false" customHeight="false" outlineLevel="0" collapsed="false">
      <c r="A2905" s="26" t="s">
        <v>10466</v>
      </c>
      <c r="B2905" s="27" t="s">
        <v>10467</v>
      </c>
      <c r="C2905" s="27" t="s">
        <v>100</v>
      </c>
      <c r="D2905" s="26" t="s">
        <v>10468</v>
      </c>
      <c r="E2905" s="27" t="s">
        <v>10469</v>
      </c>
      <c r="F2905" s="28" t="s">
        <v>102</v>
      </c>
      <c r="G2905" s="27" t="s">
        <v>3537</v>
      </c>
      <c r="H2905" s="27" t="s">
        <v>56</v>
      </c>
      <c r="I2905" s="27" t="s">
        <v>64</v>
      </c>
      <c r="J2905" s="28" t="s">
        <v>1329</v>
      </c>
      <c r="K2905" s="27" t="s">
        <v>64</v>
      </c>
      <c r="L2905" s="27"/>
    </row>
    <row r="2906" customFormat="false" ht="15" hidden="false" customHeight="false" outlineLevel="0" collapsed="false">
      <c r="A2906" s="26" t="s">
        <v>10470</v>
      </c>
      <c r="B2906" s="27" t="s">
        <v>10471</v>
      </c>
      <c r="C2906" s="27" t="s">
        <v>144</v>
      </c>
      <c r="D2906" s="26" t="s">
        <v>10472</v>
      </c>
      <c r="E2906" s="27" t="s">
        <v>10473</v>
      </c>
      <c r="F2906" s="28" t="s">
        <v>146</v>
      </c>
      <c r="G2906" s="27" t="s">
        <v>3537</v>
      </c>
      <c r="H2906" s="27" t="s">
        <v>57</v>
      </c>
      <c r="I2906" s="27" t="s">
        <v>1067</v>
      </c>
      <c r="J2906" s="28" t="s">
        <v>1329</v>
      </c>
      <c r="K2906" s="27" t="s">
        <v>64</v>
      </c>
      <c r="L2906" s="27"/>
    </row>
    <row r="2907" customFormat="false" ht="15" hidden="false" customHeight="false" outlineLevel="0" collapsed="false">
      <c r="A2907" s="26" t="s">
        <v>10474</v>
      </c>
      <c r="B2907" s="27" t="s">
        <v>10475</v>
      </c>
      <c r="C2907" s="27" t="s">
        <v>144</v>
      </c>
      <c r="D2907" s="26" t="s">
        <v>1986</v>
      </c>
      <c r="E2907" s="27" t="s">
        <v>1987</v>
      </c>
      <c r="F2907" s="28" t="s">
        <v>146</v>
      </c>
      <c r="G2907" s="27" t="s">
        <v>3537</v>
      </c>
      <c r="H2907" s="27" t="s">
        <v>57</v>
      </c>
      <c r="I2907" s="27" t="s">
        <v>1344</v>
      </c>
      <c r="J2907" s="28" t="s">
        <v>1329</v>
      </c>
      <c r="K2907" s="27" t="s">
        <v>64</v>
      </c>
      <c r="L2907" s="27"/>
    </row>
    <row r="2908" customFormat="false" ht="15" hidden="false" customHeight="false" outlineLevel="0" collapsed="false">
      <c r="A2908" s="26" t="s">
        <v>10476</v>
      </c>
      <c r="B2908" s="27" t="s">
        <v>10477</v>
      </c>
      <c r="C2908" s="27" t="s">
        <v>144</v>
      </c>
      <c r="D2908" s="26" t="s">
        <v>10478</v>
      </c>
      <c r="E2908" s="27" t="s">
        <v>10479</v>
      </c>
      <c r="F2908" s="28" t="s">
        <v>146</v>
      </c>
      <c r="G2908" s="27" t="s">
        <v>3537</v>
      </c>
      <c r="H2908" s="27" t="s">
        <v>57</v>
      </c>
      <c r="I2908" s="27" t="s">
        <v>1344</v>
      </c>
      <c r="J2908" s="28" t="s">
        <v>1329</v>
      </c>
      <c r="K2908" s="27" t="s">
        <v>64</v>
      </c>
      <c r="L2908" s="27"/>
    </row>
    <row r="2909" customFormat="false" ht="15" hidden="false" customHeight="false" outlineLevel="0" collapsed="false">
      <c r="A2909" s="26" t="s">
        <v>10480</v>
      </c>
      <c r="B2909" s="27" t="s">
        <v>10481</v>
      </c>
      <c r="C2909" s="27" t="s">
        <v>144</v>
      </c>
      <c r="D2909" s="26" t="s">
        <v>10482</v>
      </c>
      <c r="E2909" s="27" t="s">
        <v>10483</v>
      </c>
      <c r="F2909" s="28" t="s">
        <v>146</v>
      </c>
      <c r="G2909" s="27" t="s">
        <v>3537</v>
      </c>
      <c r="H2909" s="27" t="s">
        <v>57</v>
      </c>
      <c r="I2909" s="27" t="s">
        <v>1344</v>
      </c>
      <c r="J2909" s="28" t="s">
        <v>1329</v>
      </c>
      <c r="K2909" s="27" t="s">
        <v>64</v>
      </c>
      <c r="L2909" s="27"/>
    </row>
    <row r="2910" customFormat="false" ht="15" hidden="false" customHeight="false" outlineLevel="0" collapsed="false">
      <c r="A2910" s="26" t="s">
        <v>10484</v>
      </c>
      <c r="B2910" s="27" t="s">
        <v>10485</v>
      </c>
      <c r="C2910" s="27" t="s">
        <v>144</v>
      </c>
      <c r="D2910" s="26" t="s">
        <v>10486</v>
      </c>
      <c r="E2910" s="27" t="s">
        <v>10487</v>
      </c>
      <c r="F2910" s="28" t="s">
        <v>146</v>
      </c>
      <c r="G2910" s="27" t="s">
        <v>3537</v>
      </c>
      <c r="H2910" s="27" t="s">
        <v>57</v>
      </c>
      <c r="I2910" s="27" t="s">
        <v>42</v>
      </c>
      <c r="J2910" s="28" t="s">
        <v>1329</v>
      </c>
      <c r="K2910" s="27" t="s">
        <v>64</v>
      </c>
      <c r="L2910" s="27"/>
    </row>
    <row r="2911" customFormat="false" ht="15" hidden="false" customHeight="false" outlineLevel="0" collapsed="false">
      <c r="A2911" s="26" t="s">
        <v>10488</v>
      </c>
      <c r="B2911" s="27" t="s">
        <v>10489</v>
      </c>
      <c r="C2911" s="27" t="s">
        <v>144</v>
      </c>
      <c r="D2911" s="26" t="s">
        <v>10490</v>
      </c>
      <c r="E2911" s="27" t="s">
        <v>10491</v>
      </c>
      <c r="F2911" s="28" t="s">
        <v>146</v>
      </c>
      <c r="G2911" s="27" t="s">
        <v>3537</v>
      </c>
      <c r="H2911" s="27" t="s">
        <v>57</v>
      </c>
      <c r="I2911" s="27" t="s">
        <v>1344</v>
      </c>
      <c r="J2911" s="28" t="s">
        <v>1329</v>
      </c>
      <c r="K2911" s="27" t="s">
        <v>64</v>
      </c>
      <c r="L2911" s="27"/>
    </row>
    <row r="2912" customFormat="false" ht="15" hidden="false" customHeight="false" outlineLevel="0" collapsed="false">
      <c r="A2912" s="26" t="s">
        <v>10492</v>
      </c>
      <c r="B2912" s="27" t="s">
        <v>10493</v>
      </c>
      <c r="C2912" s="27" t="s">
        <v>1187</v>
      </c>
      <c r="D2912" s="26" t="s">
        <v>1976</v>
      </c>
      <c r="E2912" s="27" t="s">
        <v>1975</v>
      </c>
      <c r="F2912" s="28" t="s">
        <v>1190</v>
      </c>
      <c r="G2912" s="27" t="s">
        <v>3537</v>
      </c>
      <c r="H2912" s="27" t="s">
        <v>57</v>
      </c>
      <c r="I2912" s="27" t="s">
        <v>42</v>
      </c>
      <c r="J2912" s="28" t="s">
        <v>1329</v>
      </c>
      <c r="K2912" s="27" t="s">
        <v>64</v>
      </c>
      <c r="L2912" s="27"/>
    </row>
    <row r="2913" customFormat="false" ht="15" hidden="false" customHeight="false" outlineLevel="0" collapsed="false">
      <c r="A2913" s="26" t="s">
        <v>10494</v>
      </c>
      <c r="B2913" s="27" t="s">
        <v>10495</v>
      </c>
      <c r="C2913" s="27" t="s">
        <v>144</v>
      </c>
      <c r="D2913" s="26" t="s">
        <v>10496</v>
      </c>
      <c r="E2913" s="27" t="s">
        <v>10497</v>
      </c>
      <c r="F2913" s="28" t="s">
        <v>146</v>
      </c>
      <c r="G2913" s="27" t="s">
        <v>3537</v>
      </c>
      <c r="H2913" s="27" t="s">
        <v>57</v>
      </c>
      <c r="I2913" s="27" t="s">
        <v>42</v>
      </c>
      <c r="J2913" s="28" t="s">
        <v>1329</v>
      </c>
      <c r="K2913" s="27" t="s">
        <v>64</v>
      </c>
      <c r="L2913" s="27"/>
    </row>
    <row r="2914" customFormat="false" ht="15" hidden="false" customHeight="false" outlineLevel="0" collapsed="false">
      <c r="A2914" s="26" t="s">
        <v>10498</v>
      </c>
      <c r="B2914" s="27" t="s">
        <v>10499</v>
      </c>
      <c r="C2914" s="27" t="s">
        <v>144</v>
      </c>
      <c r="D2914" s="26" t="s">
        <v>10500</v>
      </c>
      <c r="E2914" s="27" t="s">
        <v>10501</v>
      </c>
      <c r="F2914" s="28" t="s">
        <v>146</v>
      </c>
      <c r="G2914" s="27" t="s">
        <v>3537</v>
      </c>
      <c r="H2914" s="27" t="s">
        <v>57</v>
      </c>
      <c r="I2914" s="27" t="s">
        <v>42</v>
      </c>
      <c r="J2914" s="28" t="s">
        <v>1329</v>
      </c>
      <c r="K2914" s="27" t="s">
        <v>64</v>
      </c>
      <c r="L2914" s="27"/>
    </row>
    <row r="2915" customFormat="false" ht="15" hidden="false" customHeight="false" outlineLevel="0" collapsed="false">
      <c r="A2915" s="26" t="s">
        <v>10502</v>
      </c>
      <c r="B2915" s="27" t="s">
        <v>10503</v>
      </c>
      <c r="C2915" s="27" t="s">
        <v>144</v>
      </c>
      <c r="D2915" s="26" t="s">
        <v>10504</v>
      </c>
      <c r="E2915" s="27" t="s">
        <v>10505</v>
      </c>
      <c r="F2915" s="28" t="s">
        <v>146</v>
      </c>
      <c r="G2915" s="27" t="s">
        <v>3537</v>
      </c>
      <c r="H2915" s="27" t="s">
        <v>56</v>
      </c>
      <c r="I2915" s="27" t="s">
        <v>64</v>
      </c>
      <c r="J2915" s="28" t="s">
        <v>1329</v>
      </c>
      <c r="K2915" s="27" t="s">
        <v>64</v>
      </c>
      <c r="L2915" s="27"/>
    </row>
    <row r="2916" customFormat="false" ht="15" hidden="false" customHeight="false" outlineLevel="0" collapsed="false">
      <c r="A2916" s="26" t="s">
        <v>10506</v>
      </c>
      <c r="B2916" s="27" t="s">
        <v>10507</v>
      </c>
      <c r="C2916" s="27" t="s">
        <v>144</v>
      </c>
      <c r="D2916" s="26" t="s">
        <v>10508</v>
      </c>
      <c r="E2916" s="27" t="s">
        <v>10509</v>
      </c>
      <c r="F2916" s="28" t="s">
        <v>146</v>
      </c>
      <c r="G2916" s="27" t="s">
        <v>3537</v>
      </c>
      <c r="H2916" s="27" t="s">
        <v>57</v>
      </c>
      <c r="I2916" s="27" t="s">
        <v>10510</v>
      </c>
      <c r="J2916" s="28" t="s">
        <v>1329</v>
      </c>
      <c r="K2916" s="27" t="s">
        <v>64</v>
      </c>
      <c r="L2916" s="27"/>
    </row>
    <row r="2917" customFormat="false" ht="15" hidden="false" customHeight="false" outlineLevel="0" collapsed="false">
      <c r="A2917" s="26" t="s">
        <v>10511</v>
      </c>
      <c r="B2917" s="27" t="s">
        <v>10512</v>
      </c>
      <c r="C2917" s="27" t="s">
        <v>144</v>
      </c>
      <c r="D2917" s="26" t="s">
        <v>10513</v>
      </c>
      <c r="E2917" s="27" t="s">
        <v>10514</v>
      </c>
      <c r="F2917" s="28" t="s">
        <v>146</v>
      </c>
      <c r="G2917" s="27" t="s">
        <v>3537</v>
      </c>
      <c r="H2917" s="27" t="s">
        <v>57</v>
      </c>
      <c r="I2917" s="27" t="s">
        <v>152</v>
      </c>
      <c r="J2917" s="28" t="s">
        <v>1329</v>
      </c>
      <c r="K2917" s="27" t="s">
        <v>64</v>
      </c>
      <c r="L2917" s="27"/>
    </row>
    <row r="2918" customFormat="false" ht="15" hidden="false" customHeight="false" outlineLevel="0" collapsed="false">
      <c r="A2918" s="26" t="s">
        <v>10515</v>
      </c>
      <c r="B2918" s="27" t="s">
        <v>10516</v>
      </c>
      <c r="C2918" s="27" t="s">
        <v>1187</v>
      </c>
      <c r="D2918" s="26" t="s">
        <v>10517</v>
      </c>
      <c r="E2918" s="27" t="s">
        <v>10518</v>
      </c>
      <c r="F2918" s="28" t="s">
        <v>1190</v>
      </c>
      <c r="G2918" s="27" t="s">
        <v>3537</v>
      </c>
      <c r="H2918" s="27" t="s">
        <v>57</v>
      </c>
      <c r="I2918" s="27" t="s">
        <v>1344</v>
      </c>
      <c r="J2918" s="28" t="s">
        <v>1329</v>
      </c>
      <c r="K2918" s="27" t="s">
        <v>64</v>
      </c>
      <c r="L2918" s="27"/>
    </row>
    <row r="2919" customFormat="false" ht="15" hidden="false" customHeight="false" outlineLevel="0" collapsed="false">
      <c r="A2919" s="26" t="s">
        <v>10519</v>
      </c>
      <c r="B2919" s="27" t="s">
        <v>10520</v>
      </c>
      <c r="C2919" s="27" t="s">
        <v>100</v>
      </c>
      <c r="D2919" s="26" t="s">
        <v>10521</v>
      </c>
      <c r="E2919" s="27" t="s">
        <v>10522</v>
      </c>
      <c r="F2919" s="28" t="s">
        <v>102</v>
      </c>
      <c r="G2919" s="27" t="s">
        <v>3537</v>
      </c>
      <c r="H2919" s="27" t="s">
        <v>56</v>
      </c>
      <c r="I2919" s="27" t="s">
        <v>43</v>
      </c>
      <c r="J2919" s="28" t="s">
        <v>1483</v>
      </c>
      <c r="K2919" s="27" t="s">
        <v>43</v>
      </c>
      <c r="L2919" s="27"/>
    </row>
    <row r="2920" customFormat="false" ht="15" hidden="false" customHeight="false" outlineLevel="0" collapsed="false">
      <c r="A2920" s="26" t="s">
        <v>10523</v>
      </c>
      <c r="B2920" s="27" t="s">
        <v>10524</v>
      </c>
      <c r="C2920" s="27" t="s">
        <v>1493</v>
      </c>
      <c r="D2920" s="26" t="s">
        <v>10525</v>
      </c>
      <c r="E2920" s="27" t="s">
        <v>10526</v>
      </c>
      <c r="F2920" s="28" t="s">
        <v>1496</v>
      </c>
      <c r="G2920" s="27" t="s">
        <v>3537</v>
      </c>
      <c r="H2920" s="27" t="s">
        <v>56</v>
      </c>
      <c r="I2920" s="27" t="s">
        <v>43</v>
      </c>
      <c r="J2920" s="28" t="s">
        <v>1483</v>
      </c>
      <c r="K2920" s="27" t="s">
        <v>43</v>
      </c>
      <c r="L2920" s="27"/>
    </row>
    <row r="2921" customFormat="false" ht="15" hidden="false" customHeight="false" outlineLevel="0" collapsed="false">
      <c r="A2921" s="26" t="s">
        <v>10527</v>
      </c>
      <c r="B2921" s="27" t="s">
        <v>10528</v>
      </c>
      <c r="C2921" s="27" t="s">
        <v>144</v>
      </c>
      <c r="D2921" s="26" t="s">
        <v>10529</v>
      </c>
      <c r="E2921" s="27" t="s">
        <v>10530</v>
      </c>
      <c r="F2921" s="28" t="s">
        <v>146</v>
      </c>
      <c r="G2921" s="27" t="s">
        <v>3537</v>
      </c>
      <c r="H2921" s="27" t="s">
        <v>56</v>
      </c>
      <c r="I2921" s="27" t="s">
        <v>43</v>
      </c>
      <c r="J2921" s="28" t="s">
        <v>1483</v>
      </c>
      <c r="K2921" s="27" t="s">
        <v>43</v>
      </c>
      <c r="L2921" s="27"/>
    </row>
    <row r="2922" customFormat="false" ht="15" hidden="false" customHeight="false" outlineLevel="0" collapsed="false">
      <c r="A2922" s="26" t="s">
        <v>10531</v>
      </c>
      <c r="B2922" s="27" t="s">
        <v>10532</v>
      </c>
      <c r="C2922" s="27" t="s">
        <v>144</v>
      </c>
      <c r="D2922" s="26" t="s">
        <v>10533</v>
      </c>
      <c r="E2922" s="27" t="s">
        <v>10534</v>
      </c>
      <c r="F2922" s="28" t="s">
        <v>146</v>
      </c>
      <c r="G2922" s="27" t="s">
        <v>3537</v>
      </c>
      <c r="H2922" s="27" t="s">
        <v>56</v>
      </c>
      <c r="I2922" s="27" t="s">
        <v>43</v>
      </c>
      <c r="J2922" s="28" t="s">
        <v>1483</v>
      </c>
      <c r="K2922" s="27" t="s">
        <v>43</v>
      </c>
      <c r="L2922" s="27"/>
    </row>
    <row r="2923" customFormat="false" ht="15" hidden="false" customHeight="false" outlineLevel="0" collapsed="false">
      <c r="A2923" s="26" t="s">
        <v>10535</v>
      </c>
      <c r="B2923" s="27" t="s">
        <v>10536</v>
      </c>
      <c r="C2923" s="27" t="s">
        <v>144</v>
      </c>
      <c r="D2923" s="26" t="s">
        <v>393</v>
      </c>
      <c r="E2923" s="27" t="s">
        <v>394</v>
      </c>
      <c r="F2923" s="28" t="s">
        <v>146</v>
      </c>
      <c r="G2923" s="27" t="s">
        <v>3537</v>
      </c>
      <c r="H2923" s="27" t="s">
        <v>56</v>
      </c>
      <c r="I2923" s="27" t="s">
        <v>43</v>
      </c>
      <c r="J2923" s="28" t="s">
        <v>1483</v>
      </c>
      <c r="K2923" s="27" t="s">
        <v>43</v>
      </c>
      <c r="L2923" s="27"/>
    </row>
    <row r="2924" customFormat="false" ht="15" hidden="false" customHeight="false" outlineLevel="0" collapsed="false">
      <c r="A2924" s="26" t="s">
        <v>10537</v>
      </c>
      <c r="B2924" s="27" t="s">
        <v>10538</v>
      </c>
      <c r="C2924" s="27" t="s">
        <v>1527</v>
      </c>
      <c r="D2924" s="26" t="s">
        <v>10539</v>
      </c>
      <c r="E2924" s="27" t="s">
        <v>10540</v>
      </c>
      <c r="F2924" s="28" t="s">
        <v>1529</v>
      </c>
      <c r="G2924" s="27" t="s">
        <v>3537</v>
      </c>
      <c r="H2924" s="27" t="s">
        <v>56</v>
      </c>
      <c r="I2924" s="27" t="s">
        <v>43</v>
      </c>
      <c r="J2924" s="28" t="s">
        <v>1483</v>
      </c>
      <c r="K2924" s="27" t="s">
        <v>43</v>
      </c>
      <c r="L2924" s="27"/>
    </row>
    <row r="2925" customFormat="false" ht="15" hidden="false" customHeight="false" outlineLevel="0" collapsed="false">
      <c r="A2925" s="26" t="s">
        <v>10541</v>
      </c>
      <c r="B2925" s="27" t="s">
        <v>10542</v>
      </c>
      <c r="C2925" s="27" t="s">
        <v>144</v>
      </c>
      <c r="D2925" s="26" t="s">
        <v>10543</v>
      </c>
      <c r="E2925" s="27" t="s">
        <v>10544</v>
      </c>
      <c r="F2925" s="28" t="s">
        <v>146</v>
      </c>
      <c r="G2925" s="27" t="s">
        <v>3537</v>
      </c>
      <c r="H2925" s="27" t="s">
        <v>56</v>
      </c>
      <c r="I2925" s="27" t="s">
        <v>43</v>
      </c>
      <c r="J2925" s="28" t="s">
        <v>1483</v>
      </c>
      <c r="K2925" s="27" t="s">
        <v>43</v>
      </c>
      <c r="L2925" s="27"/>
    </row>
    <row r="2926" customFormat="false" ht="15" hidden="false" customHeight="false" outlineLevel="0" collapsed="false">
      <c r="A2926" s="26" t="s">
        <v>10545</v>
      </c>
      <c r="B2926" s="28" t="s">
        <v>10546</v>
      </c>
      <c r="C2926" s="27" t="s">
        <v>370</v>
      </c>
      <c r="D2926" s="26" t="s">
        <v>10547</v>
      </c>
      <c r="E2926" s="28" t="s">
        <v>10548</v>
      </c>
      <c r="F2926" s="28" t="s">
        <v>373</v>
      </c>
      <c r="G2926" s="27" t="s">
        <v>3537</v>
      </c>
      <c r="H2926" s="27" t="s">
        <v>56</v>
      </c>
      <c r="I2926" s="27" t="s">
        <v>43</v>
      </c>
      <c r="J2926" s="28" t="s">
        <v>1483</v>
      </c>
      <c r="K2926" s="27" t="s">
        <v>43</v>
      </c>
      <c r="L2926" s="27"/>
    </row>
    <row r="2927" customFormat="false" ht="15" hidden="false" customHeight="false" outlineLevel="0" collapsed="false">
      <c r="A2927" s="26" t="s">
        <v>10549</v>
      </c>
      <c r="B2927" s="27" t="s">
        <v>10550</v>
      </c>
      <c r="C2927" s="27" t="s">
        <v>2031</v>
      </c>
      <c r="D2927" s="26" t="s">
        <v>10551</v>
      </c>
      <c r="E2927" s="27" t="s">
        <v>10552</v>
      </c>
      <c r="F2927" s="28" t="s">
        <v>3381</v>
      </c>
      <c r="G2927" s="27" t="s">
        <v>3537</v>
      </c>
      <c r="H2927" s="27" t="s">
        <v>56</v>
      </c>
      <c r="I2927" s="27" t="s">
        <v>43</v>
      </c>
      <c r="J2927" s="28" t="s">
        <v>1483</v>
      </c>
      <c r="K2927" s="27" t="s">
        <v>43</v>
      </c>
      <c r="L2927" s="27"/>
    </row>
    <row r="2928" customFormat="false" ht="15" hidden="false" customHeight="false" outlineLevel="0" collapsed="false">
      <c r="A2928" s="26" t="s">
        <v>10553</v>
      </c>
      <c r="B2928" s="27" t="s">
        <v>10554</v>
      </c>
      <c r="C2928" s="27" t="s">
        <v>144</v>
      </c>
      <c r="D2928" s="26" t="s">
        <v>10555</v>
      </c>
      <c r="E2928" s="27" t="s">
        <v>10556</v>
      </c>
      <c r="F2928" s="28" t="s">
        <v>146</v>
      </c>
      <c r="G2928" s="27" t="s">
        <v>3537</v>
      </c>
      <c r="H2928" s="27" t="s">
        <v>56</v>
      </c>
      <c r="I2928" s="27" t="s">
        <v>43</v>
      </c>
      <c r="J2928" s="28" t="s">
        <v>1483</v>
      </c>
      <c r="K2928" s="27" t="s">
        <v>43</v>
      </c>
      <c r="L2928" s="27"/>
    </row>
    <row r="2929" customFormat="false" ht="15" hidden="false" customHeight="false" outlineLevel="0" collapsed="false">
      <c r="A2929" s="26" t="s">
        <v>10557</v>
      </c>
      <c r="B2929" s="27" t="s">
        <v>10558</v>
      </c>
      <c r="C2929" s="27" t="s">
        <v>1493</v>
      </c>
      <c r="D2929" s="26" t="s">
        <v>10559</v>
      </c>
      <c r="E2929" s="27" t="s">
        <v>10560</v>
      </c>
      <c r="F2929" s="28" t="s">
        <v>1496</v>
      </c>
      <c r="G2929" s="27" t="s">
        <v>3537</v>
      </c>
      <c r="H2929" s="27" t="s">
        <v>56</v>
      </c>
      <c r="I2929" s="27" t="s">
        <v>43</v>
      </c>
      <c r="J2929" s="28" t="s">
        <v>1483</v>
      </c>
      <c r="K2929" s="27" t="s">
        <v>43</v>
      </c>
      <c r="L2929" s="27"/>
    </row>
    <row r="2930" customFormat="false" ht="15" hidden="false" customHeight="false" outlineLevel="0" collapsed="false">
      <c r="A2930" s="26" t="s">
        <v>10561</v>
      </c>
      <c r="B2930" s="27" t="s">
        <v>10562</v>
      </c>
      <c r="C2930" s="27" t="s">
        <v>1493</v>
      </c>
      <c r="D2930" s="26" t="s">
        <v>10563</v>
      </c>
      <c r="E2930" s="27" t="s">
        <v>10564</v>
      </c>
      <c r="F2930" s="28" t="s">
        <v>1496</v>
      </c>
      <c r="G2930" s="27" t="s">
        <v>3537</v>
      </c>
      <c r="H2930" s="27" t="s">
        <v>56</v>
      </c>
      <c r="I2930" s="27" t="s">
        <v>43</v>
      </c>
      <c r="J2930" s="28" t="s">
        <v>1483</v>
      </c>
      <c r="K2930" s="27" t="s">
        <v>43</v>
      </c>
      <c r="L2930" s="27"/>
    </row>
    <row r="2931" customFormat="false" ht="15" hidden="false" customHeight="false" outlineLevel="0" collapsed="false">
      <c r="A2931" s="26" t="s">
        <v>10565</v>
      </c>
      <c r="B2931" s="27" t="s">
        <v>10566</v>
      </c>
      <c r="C2931" s="27" t="s">
        <v>1493</v>
      </c>
      <c r="D2931" s="26" t="s">
        <v>10567</v>
      </c>
      <c r="E2931" s="27" t="s">
        <v>10568</v>
      </c>
      <c r="F2931" s="28" t="s">
        <v>1496</v>
      </c>
      <c r="G2931" s="27" t="s">
        <v>3537</v>
      </c>
      <c r="H2931" s="27" t="s">
        <v>57</v>
      </c>
      <c r="I2931" s="27" t="s">
        <v>47</v>
      </c>
      <c r="J2931" s="28" t="s">
        <v>1483</v>
      </c>
      <c r="K2931" s="27" t="s">
        <v>43</v>
      </c>
      <c r="L2931" s="27"/>
    </row>
    <row r="2932" customFormat="false" ht="15" hidden="false" customHeight="false" outlineLevel="0" collapsed="false">
      <c r="A2932" s="26" t="s">
        <v>10569</v>
      </c>
      <c r="B2932" s="27" t="s">
        <v>10570</v>
      </c>
      <c r="C2932" s="27" t="s">
        <v>1493</v>
      </c>
      <c r="D2932" s="26" t="s">
        <v>10563</v>
      </c>
      <c r="E2932" s="27" t="s">
        <v>10564</v>
      </c>
      <c r="F2932" s="28" t="s">
        <v>1496</v>
      </c>
      <c r="G2932" s="27" t="s">
        <v>3537</v>
      </c>
      <c r="H2932" s="27" t="s">
        <v>56</v>
      </c>
      <c r="I2932" s="27" t="s">
        <v>43</v>
      </c>
      <c r="J2932" s="28" t="s">
        <v>1483</v>
      </c>
      <c r="K2932" s="27" t="s">
        <v>43</v>
      </c>
      <c r="L2932" s="27"/>
    </row>
    <row r="2933" customFormat="false" ht="15" hidden="false" customHeight="false" outlineLevel="0" collapsed="false">
      <c r="A2933" s="26" t="s">
        <v>10571</v>
      </c>
      <c r="B2933" s="27" t="s">
        <v>10572</v>
      </c>
      <c r="C2933" s="27" t="s">
        <v>144</v>
      </c>
      <c r="D2933" s="26" t="s">
        <v>10573</v>
      </c>
      <c r="E2933" s="27" t="s">
        <v>10574</v>
      </c>
      <c r="F2933" s="28" t="s">
        <v>146</v>
      </c>
      <c r="G2933" s="27" t="s">
        <v>3537</v>
      </c>
      <c r="H2933" s="27" t="s">
        <v>56</v>
      </c>
      <c r="I2933" s="27" t="s">
        <v>43</v>
      </c>
      <c r="J2933" s="28" t="s">
        <v>1483</v>
      </c>
      <c r="K2933" s="27" t="s">
        <v>43</v>
      </c>
      <c r="L2933" s="27"/>
    </row>
    <row r="2934" customFormat="false" ht="15" hidden="false" customHeight="false" outlineLevel="0" collapsed="false">
      <c r="A2934" s="26" t="s">
        <v>10575</v>
      </c>
      <c r="B2934" s="27" t="s">
        <v>10576</v>
      </c>
      <c r="C2934" s="27" t="s">
        <v>100</v>
      </c>
      <c r="D2934" s="26" t="s">
        <v>10577</v>
      </c>
      <c r="E2934" s="27" t="s">
        <v>10578</v>
      </c>
      <c r="F2934" s="28" t="s">
        <v>102</v>
      </c>
      <c r="G2934" s="27" t="s">
        <v>3537</v>
      </c>
      <c r="H2934" s="27" t="s">
        <v>57</v>
      </c>
      <c r="I2934" s="27" t="s">
        <v>108</v>
      </c>
      <c r="J2934" s="28" t="s">
        <v>1483</v>
      </c>
      <c r="K2934" s="27" t="s">
        <v>43</v>
      </c>
      <c r="L2934" s="27"/>
    </row>
    <row r="2935" customFormat="false" ht="15" hidden="false" customHeight="false" outlineLevel="0" collapsed="false">
      <c r="A2935" s="26" t="s">
        <v>10579</v>
      </c>
      <c r="B2935" s="27" t="s">
        <v>10580</v>
      </c>
      <c r="C2935" s="27" t="s">
        <v>131</v>
      </c>
      <c r="D2935" s="26" t="s">
        <v>1572</v>
      </c>
      <c r="E2935" s="27" t="s">
        <v>1573</v>
      </c>
      <c r="F2935" s="28" t="s">
        <v>134</v>
      </c>
      <c r="G2935" s="27" t="s">
        <v>3537</v>
      </c>
      <c r="H2935" s="27" t="s">
        <v>56</v>
      </c>
      <c r="I2935" s="27" t="s">
        <v>43</v>
      </c>
      <c r="J2935" s="28" t="s">
        <v>1483</v>
      </c>
      <c r="K2935" s="27" t="s">
        <v>43</v>
      </c>
      <c r="L2935" s="27"/>
    </row>
    <row r="2936" customFormat="false" ht="15" hidden="false" customHeight="false" outlineLevel="0" collapsed="false">
      <c r="A2936" s="26" t="s">
        <v>10581</v>
      </c>
      <c r="B2936" s="27" t="s">
        <v>10582</v>
      </c>
      <c r="C2936" s="27" t="s">
        <v>144</v>
      </c>
      <c r="D2936" s="26" t="s">
        <v>10583</v>
      </c>
      <c r="E2936" s="27" t="s">
        <v>10584</v>
      </c>
      <c r="F2936" s="28" t="s">
        <v>146</v>
      </c>
      <c r="G2936" s="27" t="s">
        <v>3537</v>
      </c>
      <c r="H2936" s="27" t="s">
        <v>56</v>
      </c>
      <c r="I2936" s="27" t="s">
        <v>43</v>
      </c>
      <c r="J2936" s="28" t="s">
        <v>1483</v>
      </c>
      <c r="K2936" s="27" t="s">
        <v>43</v>
      </c>
      <c r="L2936" s="27"/>
    </row>
    <row r="2937" customFormat="false" ht="15" hidden="false" customHeight="false" outlineLevel="0" collapsed="false">
      <c r="A2937" s="26" t="s">
        <v>10585</v>
      </c>
      <c r="B2937" s="27" t="s">
        <v>10586</v>
      </c>
      <c r="C2937" s="27" t="s">
        <v>1527</v>
      </c>
      <c r="D2937" s="26" t="s">
        <v>10587</v>
      </c>
      <c r="E2937" s="27" t="s">
        <v>10588</v>
      </c>
      <c r="F2937" s="28" t="s">
        <v>1529</v>
      </c>
      <c r="G2937" s="27" t="s">
        <v>3537</v>
      </c>
      <c r="H2937" s="27" t="s">
        <v>56</v>
      </c>
      <c r="I2937" s="27" t="s">
        <v>43</v>
      </c>
      <c r="J2937" s="28" t="s">
        <v>1483</v>
      </c>
      <c r="K2937" s="27" t="s">
        <v>43</v>
      </c>
      <c r="L2937" s="27"/>
    </row>
    <row r="2938" customFormat="false" ht="15" hidden="false" customHeight="false" outlineLevel="0" collapsed="false">
      <c r="A2938" s="26" t="s">
        <v>10589</v>
      </c>
      <c r="B2938" s="27" t="s">
        <v>10590</v>
      </c>
      <c r="C2938" s="27" t="s">
        <v>1493</v>
      </c>
      <c r="D2938" s="26" t="s">
        <v>10591</v>
      </c>
      <c r="E2938" s="27" t="s">
        <v>10592</v>
      </c>
      <c r="F2938" s="28" t="s">
        <v>1496</v>
      </c>
      <c r="G2938" s="27" t="s">
        <v>3537</v>
      </c>
      <c r="H2938" s="27" t="s">
        <v>56</v>
      </c>
      <c r="I2938" s="27" t="s">
        <v>43</v>
      </c>
      <c r="J2938" s="28" t="s">
        <v>1483</v>
      </c>
      <c r="K2938" s="27" t="s">
        <v>43</v>
      </c>
      <c r="L2938" s="27"/>
    </row>
    <row r="2939" customFormat="false" ht="15" hidden="false" customHeight="false" outlineLevel="0" collapsed="false">
      <c r="A2939" s="26" t="s">
        <v>10593</v>
      </c>
      <c r="B2939" s="27" t="s">
        <v>10594</v>
      </c>
      <c r="C2939" s="27" t="s">
        <v>1527</v>
      </c>
      <c r="D2939" s="26" t="s">
        <v>10595</v>
      </c>
      <c r="E2939" s="27" t="s">
        <v>10596</v>
      </c>
      <c r="F2939" s="28" t="s">
        <v>1529</v>
      </c>
      <c r="G2939" s="27" t="s">
        <v>3537</v>
      </c>
      <c r="H2939" s="27" t="s">
        <v>56</v>
      </c>
      <c r="I2939" s="27" t="s">
        <v>43</v>
      </c>
      <c r="J2939" s="28" t="s">
        <v>1483</v>
      </c>
      <c r="K2939" s="27" t="s">
        <v>43</v>
      </c>
      <c r="L2939" s="27"/>
    </row>
    <row r="2940" customFormat="false" ht="15" hidden="false" customHeight="false" outlineLevel="0" collapsed="false">
      <c r="A2940" s="26" t="s">
        <v>10597</v>
      </c>
      <c r="B2940" s="27" t="s">
        <v>10598</v>
      </c>
      <c r="C2940" s="27" t="s">
        <v>144</v>
      </c>
      <c r="D2940" s="26" t="s">
        <v>10599</v>
      </c>
      <c r="E2940" s="27" t="s">
        <v>10600</v>
      </c>
      <c r="F2940" s="28" t="s">
        <v>146</v>
      </c>
      <c r="G2940" s="27" t="s">
        <v>3537</v>
      </c>
      <c r="H2940" s="27" t="s">
        <v>56</v>
      </c>
      <c r="I2940" s="27" t="s">
        <v>43</v>
      </c>
      <c r="J2940" s="28" t="s">
        <v>1483</v>
      </c>
      <c r="K2940" s="27" t="s">
        <v>43</v>
      </c>
      <c r="L2940" s="27"/>
    </row>
    <row r="2941" customFormat="false" ht="15" hidden="false" customHeight="false" outlineLevel="0" collapsed="false">
      <c r="A2941" s="26" t="s">
        <v>10601</v>
      </c>
      <c r="B2941" s="27" t="s">
        <v>10602</v>
      </c>
      <c r="C2941" s="27" t="s">
        <v>144</v>
      </c>
      <c r="D2941" s="26" t="s">
        <v>10603</v>
      </c>
      <c r="E2941" s="27" t="s">
        <v>10604</v>
      </c>
      <c r="F2941" s="28" t="s">
        <v>146</v>
      </c>
      <c r="G2941" s="27" t="s">
        <v>3537</v>
      </c>
      <c r="H2941" s="27" t="s">
        <v>56</v>
      </c>
      <c r="I2941" s="27" t="s">
        <v>43</v>
      </c>
      <c r="J2941" s="28" t="s">
        <v>1483</v>
      </c>
      <c r="K2941" s="27" t="s">
        <v>43</v>
      </c>
      <c r="L2941" s="27"/>
    </row>
    <row r="2942" customFormat="false" ht="15" hidden="false" customHeight="false" outlineLevel="0" collapsed="false">
      <c r="A2942" s="26" t="s">
        <v>10605</v>
      </c>
      <c r="B2942" s="27" t="s">
        <v>10606</v>
      </c>
      <c r="C2942" s="27" t="s">
        <v>144</v>
      </c>
      <c r="D2942" s="26" t="s">
        <v>10607</v>
      </c>
      <c r="E2942" s="27" t="s">
        <v>10608</v>
      </c>
      <c r="F2942" s="28" t="s">
        <v>146</v>
      </c>
      <c r="G2942" s="27" t="s">
        <v>3537</v>
      </c>
      <c r="H2942" s="27" t="s">
        <v>56</v>
      </c>
      <c r="I2942" s="27" t="s">
        <v>43</v>
      </c>
      <c r="J2942" s="28" t="s">
        <v>1483</v>
      </c>
      <c r="K2942" s="27" t="s">
        <v>43</v>
      </c>
      <c r="L2942" s="27"/>
    </row>
    <row r="2943" customFormat="false" ht="15" hidden="false" customHeight="false" outlineLevel="0" collapsed="false">
      <c r="A2943" s="26" t="s">
        <v>10609</v>
      </c>
      <c r="B2943" s="27" t="s">
        <v>10610</v>
      </c>
      <c r="C2943" s="27" t="s">
        <v>144</v>
      </c>
      <c r="D2943" s="26" t="s">
        <v>10611</v>
      </c>
      <c r="E2943" s="27" t="s">
        <v>10612</v>
      </c>
      <c r="F2943" s="28" t="s">
        <v>146</v>
      </c>
      <c r="G2943" s="27" t="s">
        <v>3537</v>
      </c>
      <c r="H2943" s="27" t="s">
        <v>56</v>
      </c>
      <c r="I2943" s="27" t="s">
        <v>43</v>
      </c>
      <c r="J2943" s="28" t="s">
        <v>1483</v>
      </c>
      <c r="K2943" s="27" t="s">
        <v>43</v>
      </c>
      <c r="L2943" s="27"/>
    </row>
    <row r="2944" customFormat="false" ht="15" hidden="false" customHeight="false" outlineLevel="0" collapsed="false">
      <c r="A2944" s="26" t="s">
        <v>10613</v>
      </c>
      <c r="B2944" s="27" t="s">
        <v>10614</v>
      </c>
      <c r="C2944" s="27" t="s">
        <v>144</v>
      </c>
      <c r="D2944" s="26" t="s">
        <v>10615</v>
      </c>
      <c r="E2944" s="27" t="s">
        <v>10616</v>
      </c>
      <c r="F2944" s="28" t="s">
        <v>146</v>
      </c>
      <c r="G2944" s="27" t="s">
        <v>3537</v>
      </c>
      <c r="H2944" s="27" t="s">
        <v>56</v>
      </c>
      <c r="I2944" s="27" t="s">
        <v>43</v>
      </c>
      <c r="J2944" s="28" t="s">
        <v>1483</v>
      </c>
      <c r="K2944" s="27" t="s">
        <v>43</v>
      </c>
      <c r="L2944" s="27"/>
    </row>
    <row r="2945" customFormat="false" ht="15" hidden="false" customHeight="false" outlineLevel="0" collapsed="false">
      <c r="A2945" s="26" t="s">
        <v>10617</v>
      </c>
      <c r="B2945" s="27" t="s">
        <v>10618</v>
      </c>
      <c r="C2945" s="27" t="s">
        <v>144</v>
      </c>
      <c r="D2945" s="26" t="s">
        <v>10619</v>
      </c>
      <c r="E2945" s="27" t="s">
        <v>10620</v>
      </c>
      <c r="F2945" s="28" t="s">
        <v>146</v>
      </c>
      <c r="G2945" s="27" t="s">
        <v>3537</v>
      </c>
      <c r="H2945" s="27" t="s">
        <v>56</v>
      </c>
      <c r="I2945" s="27" t="s">
        <v>43</v>
      </c>
      <c r="J2945" s="28" t="s">
        <v>1483</v>
      </c>
      <c r="K2945" s="27" t="s">
        <v>43</v>
      </c>
      <c r="L2945" s="27"/>
    </row>
    <row r="2946" customFormat="false" ht="15" hidden="false" customHeight="false" outlineLevel="0" collapsed="false">
      <c r="A2946" s="26" t="s">
        <v>10621</v>
      </c>
      <c r="B2946" s="27" t="s">
        <v>10622</v>
      </c>
      <c r="C2946" s="27" t="s">
        <v>144</v>
      </c>
      <c r="D2946" s="26" t="s">
        <v>10623</v>
      </c>
      <c r="E2946" s="27" t="s">
        <v>10624</v>
      </c>
      <c r="F2946" s="28" t="s">
        <v>146</v>
      </c>
      <c r="G2946" s="27" t="s">
        <v>3537</v>
      </c>
      <c r="H2946" s="27" t="s">
        <v>56</v>
      </c>
      <c r="I2946" s="27" t="s">
        <v>43</v>
      </c>
      <c r="J2946" s="28" t="s">
        <v>1483</v>
      </c>
      <c r="K2946" s="27" t="s">
        <v>43</v>
      </c>
      <c r="L2946" s="27"/>
    </row>
    <row r="2947" customFormat="false" ht="15" hidden="false" customHeight="false" outlineLevel="0" collapsed="false">
      <c r="A2947" s="26" t="s">
        <v>10625</v>
      </c>
      <c r="B2947" s="27" t="s">
        <v>10626</v>
      </c>
      <c r="C2947" s="27" t="s">
        <v>144</v>
      </c>
      <c r="D2947" s="26" t="s">
        <v>10627</v>
      </c>
      <c r="E2947" s="27" t="s">
        <v>10628</v>
      </c>
      <c r="F2947" s="28" t="s">
        <v>146</v>
      </c>
      <c r="G2947" s="27" t="s">
        <v>3537</v>
      </c>
      <c r="H2947" s="27" t="s">
        <v>56</v>
      </c>
      <c r="I2947" s="27" t="s">
        <v>43</v>
      </c>
      <c r="J2947" s="28" t="s">
        <v>1483</v>
      </c>
      <c r="K2947" s="27" t="s">
        <v>43</v>
      </c>
      <c r="L2947" s="27"/>
    </row>
    <row r="2948" customFormat="false" ht="15" hidden="false" customHeight="false" outlineLevel="0" collapsed="false">
      <c r="A2948" s="26" t="s">
        <v>10629</v>
      </c>
      <c r="B2948" s="27" t="s">
        <v>10630</v>
      </c>
      <c r="C2948" s="27" t="s">
        <v>144</v>
      </c>
      <c r="D2948" s="26" t="s">
        <v>10631</v>
      </c>
      <c r="E2948" s="27" t="s">
        <v>10632</v>
      </c>
      <c r="F2948" s="28" t="s">
        <v>146</v>
      </c>
      <c r="G2948" s="27" t="s">
        <v>3537</v>
      </c>
      <c r="H2948" s="27" t="s">
        <v>56</v>
      </c>
      <c r="I2948" s="27" t="s">
        <v>43</v>
      </c>
      <c r="J2948" s="28" t="s">
        <v>1483</v>
      </c>
      <c r="K2948" s="27" t="s">
        <v>43</v>
      </c>
      <c r="L2948" s="27"/>
    </row>
    <row r="2949" customFormat="false" ht="15" hidden="false" customHeight="false" outlineLevel="0" collapsed="false">
      <c r="A2949" s="26" t="s">
        <v>10633</v>
      </c>
      <c r="B2949" s="27" t="s">
        <v>10634</v>
      </c>
      <c r="C2949" s="27" t="s">
        <v>144</v>
      </c>
      <c r="D2949" s="26" t="s">
        <v>10635</v>
      </c>
      <c r="E2949" s="27" t="s">
        <v>10636</v>
      </c>
      <c r="F2949" s="28" t="s">
        <v>146</v>
      </c>
      <c r="G2949" s="27" t="s">
        <v>3537</v>
      </c>
      <c r="H2949" s="27" t="s">
        <v>56</v>
      </c>
      <c r="I2949" s="27" t="s">
        <v>43</v>
      </c>
      <c r="J2949" s="28" t="s">
        <v>1483</v>
      </c>
      <c r="K2949" s="27" t="s">
        <v>43</v>
      </c>
      <c r="L2949" s="27"/>
    </row>
    <row r="2950" customFormat="false" ht="15" hidden="false" customHeight="false" outlineLevel="0" collapsed="false">
      <c r="A2950" s="26" t="s">
        <v>10637</v>
      </c>
      <c r="B2950" s="27" t="s">
        <v>10638</v>
      </c>
      <c r="C2950" s="27" t="s">
        <v>144</v>
      </c>
      <c r="D2950" s="26" t="s">
        <v>1041</v>
      </c>
      <c r="E2950" s="27" t="s">
        <v>1042</v>
      </c>
      <c r="F2950" s="28" t="s">
        <v>146</v>
      </c>
      <c r="G2950" s="27" t="s">
        <v>3537</v>
      </c>
      <c r="H2950" s="27" t="s">
        <v>57</v>
      </c>
      <c r="I2950" s="27" t="s">
        <v>42</v>
      </c>
      <c r="J2950" s="28" t="s">
        <v>1483</v>
      </c>
      <c r="K2950" s="27" t="s">
        <v>43</v>
      </c>
      <c r="L2950" s="27"/>
    </row>
    <row r="2951" customFormat="false" ht="15" hidden="false" customHeight="false" outlineLevel="0" collapsed="false">
      <c r="A2951" s="26" t="s">
        <v>10639</v>
      </c>
      <c r="B2951" s="27" t="s">
        <v>10640</v>
      </c>
      <c r="C2951" s="27" t="s">
        <v>144</v>
      </c>
      <c r="D2951" s="26" t="s">
        <v>10641</v>
      </c>
      <c r="E2951" s="27" t="s">
        <v>10642</v>
      </c>
      <c r="F2951" s="28" t="s">
        <v>146</v>
      </c>
      <c r="G2951" s="27" t="s">
        <v>3537</v>
      </c>
      <c r="H2951" s="27" t="s">
        <v>56</v>
      </c>
      <c r="I2951" s="27" t="s">
        <v>43</v>
      </c>
      <c r="J2951" s="28" t="s">
        <v>1483</v>
      </c>
      <c r="K2951" s="27" t="s">
        <v>43</v>
      </c>
      <c r="L2951" s="27"/>
    </row>
    <row r="2952" customFormat="false" ht="15" hidden="false" customHeight="false" outlineLevel="0" collapsed="false">
      <c r="A2952" s="26" t="s">
        <v>10643</v>
      </c>
      <c r="B2952" s="27" t="s">
        <v>10644</v>
      </c>
      <c r="C2952" s="27" t="s">
        <v>144</v>
      </c>
      <c r="D2952" s="26" t="s">
        <v>10645</v>
      </c>
      <c r="E2952" s="27" t="s">
        <v>10646</v>
      </c>
      <c r="F2952" s="28" t="s">
        <v>146</v>
      </c>
      <c r="G2952" s="27" t="s">
        <v>3537</v>
      </c>
      <c r="H2952" s="27" t="s">
        <v>56</v>
      </c>
      <c r="I2952" s="27" t="s">
        <v>43</v>
      </c>
      <c r="J2952" s="28" t="s">
        <v>1483</v>
      </c>
      <c r="K2952" s="27" t="s">
        <v>43</v>
      </c>
      <c r="L2952" s="27"/>
    </row>
    <row r="2953" customFormat="false" ht="15" hidden="false" customHeight="false" outlineLevel="0" collapsed="false">
      <c r="A2953" s="26" t="s">
        <v>10647</v>
      </c>
      <c r="B2953" s="27" t="s">
        <v>10648</v>
      </c>
      <c r="C2953" s="27" t="s">
        <v>144</v>
      </c>
      <c r="D2953" s="26" t="s">
        <v>10649</v>
      </c>
      <c r="E2953" s="27" t="s">
        <v>10650</v>
      </c>
      <c r="F2953" s="28" t="s">
        <v>146</v>
      </c>
      <c r="G2953" s="27" t="s">
        <v>3537</v>
      </c>
      <c r="H2953" s="27" t="s">
        <v>56</v>
      </c>
      <c r="I2953" s="27" t="s">
        <v>43</v>
      </c>
      <c r="J2953" s="28" t="s">
        <v>1483</v>
      </c>
      <c r="K2953" s="27" t="s">
        <v>43</v>
      </c>
      <c r="L2953" s="27"/>
    </row>
    <row r="2954" customFormat="false" ht="15" hidden="false" customHeight="false" outlineLevel="0" collapsed="false">
      <c r="A2954" s="26" t="s">
        <v>10651</v>
      </c>
      <c r="B2954" s="27" t="s">
        <v>10652</v>
      </c>
      <c r="C2954" s="27" t="s">
        <v>144</v>
      </c>
      <c r="D2954" s="26" t="s">
        <v>10653</v>
      </c>
      <c r="E2954" s="27" t="s">
        <v>10654</v>
      </c>
      <c r="F2954" s="28" t="s">
        <v>146</v>
      </c>
      <c r="G2954" s="27" t="s">
        <v>3537</v>
      </c>
      <c r="H2954" s="27" t="s">
        <v>56</v>
      </c>
      <c r="I2954" s="27" t="s">
        <v>43</v>
      </c>
      <c r="J2954" s="28" t="s">
        <v>1483</v>
      </c>
      <c r="K2954" s="27" t="s">
        <v>43</v>
      </c>
      <c r="L2954" s="27"/>
    </row>
    <row r="2955" customFormat="false" ht="15" hidden="false" customHeight="false" outlineLevel="0" collapsed="false">
      <c r="A2955" s="26" t="s">
        <v>10655</v>
      </c>
      <c r="B2955" s="27" t="s">
        <v>10656</v>
      </c>
      <c r="C2955" s="27" t="s">
        <v>144</v>
      </c>
      <c r="D2955" s="26" t="s">
        <v>5437</v>
      </c>
      <c r="E2955" s="27" t="s">
        <v>5438</v>
      </c>
      <c r="F2955" s="28" t="s">
        <v>146</v>
      </c>
      <c r="G2955" s="27" t="s">
        <v>3537</v>
      </c>
      <c r="H2955" s="27" t="s">
        <v>56</v>
      </c>
      <c r="I2955" s="27" t="s">
        <v>43</v>
      </c>
      <c r="J2955" s="28" t="s">
        <v>1483</v>
      </c>
      <c r="K2955" s="27" t="s">
        <v>43</v>
      </c>
      <c r="L2955" s="27"/>
    </row>
    <row r="2956" customFormat="false" ht="15" hidden="false" customHeight="false" outlineLevel="0" collapsed="false">
      <c r="A2956" s="26" t="s">
        <v>10657</v>
      </c>
      <c r="B2956" s="27" t="s">
        <v>10658</v>
      </c>
      <c r="C2956" s="27" t="s">
        <v>1612</v>
      </c>
      <c r="D2956" s="26" t="s">
        <v>10659</v>
      </c>
      <c r="E2956" s="27" t="s">
        <v>10660</v>
      </c>
      <c r="F2956" s="28" t="s">
        <v>1614</v>
      </c>
      <c r="G2956" s="27" t="s">
        <v>3537</v>
      </c>
      <c r="H2956" s="27" t="s">
        <v>57</v>
      </c>
      <c r="I2956" s="27" t="s">
        <v>1296</v>
      </c>
      <c r="J2956" s="28" t="s">
        <v>1483</v>
      </c>
      <c r="K2956" s="27" t="s">
        <v>43</v>
      </c>
      <c r="L2956" s="27"/>
    </row>
    <row r="2957" customFormat="false" ht="15" hidden="false" customHeight="false" outlineLevel="0" collapsed="false">
      <c r="A2957" s="26" t="s">
        <v>10661</v>
      </c>
      <c r="B2957" s="27" t="s">
        <v>10662</v>
      </c>
      <c r="C2957" s="27" t="s">
        <v>144</v>
      </c>
      <c r="D2957" s="26" t="s">
        <v>10663</v>
      </c>
      <c r="E2957" s="27" t="s">
        <v>10664</v>
      </c>
      <c r="F2957" s="28" t="s">
        <v>146</v>
      </c>
      <c r="G2957" s="27" t="s">
        <v>3537</v>
      </c>
      <c r="H2957" s="27" t="s">
        <v>56</v>
      </c>
      <c r="I2957" s="27" t="s">
        <v>43</v>
      </c>
      <c r="J2957" s="28" t="s">
        <v>1483</v>
      </c>
      <c r="K2957" s="27" t="s">
        <v>43</v>
      </c>
      <c r="L2957" s="27"/>
    </row>
    <row r="2958" customFormat="false" ht="15" hidden="false" customHeight="false" outlineLevel="0" collapsed="false">
      <c r="A2958" s="26" t="s">
        <v>10665</v>
      </c>
      <c r="B2958" s="27" t="s">
        <v>10666</v>
      </c>
      <c r="C2958" s="27" t="s">
        <v>144</v>
      </c>
      <c r="D2958" s="26" t="s">
        <v>10667</v>
      </c>
      <c r="E2958" s="27" t="s">
        <v>10668</v>
      </c>
      <c r="F2958" s="28" t="s">
        <v>146</v>
      </c>
      <c r="G2958" s="27" t="s">
        <v>3537</v>
      </c>
      <c r="H2958" s="27" t="s">
        <v>56</v>
      </c>
      <c r="I2958" s="27" t="s">
        <v>43</v>
      </c>
      <c r="J2958" s="28" t="s">
        <v>1483</v>
      </c>
      <c r="K2958" s="27" t="s">
        <v>43</v>
      </c>
      <c r="L2958" s="27"/>
    </row>
    <row r="2959" customFormat="false" ht="15" hidden="false" customHeight="false" outlineLevel="0" collapsed="false">
      <c r="A2959" s="26" t="s">
        <v>10669</v>
      </c>
      <c r="B2959" s="27" t="s">
        <v>10670</v>
      </c>
      <c r="C2959" s="27" t="s">
        <v>144</v>
      </c>
      <c r="D2959" s="26" t="s">
        <v>10671</v>
      </c>
      <c r="E2959" s="27" t="s">
        <v>10672</v>
      </c>
      <c r="F2959" s="28" t="s">
        <v>146</v>
      </c>
      <c r="G2959" s="27" t="s">
        <v>3537</v>
      </c>
      <c r="H2959" s="27" t="s">
        <v>57</v>
      </c>
      <c r="I2959" s="27" t="s">
        <v>152</v>
      </c>
      <c r="J2959" s="28" t="s">
        <v>1483</v>
      </c>
      <c r="K2959" s="27" t="s">
        <v>43</v>
      </c>
      <c r="L2959" s="27"/>
    </row>
    <row r="2960" customFormat="false" ht="15" hidden="false" customHeight="false" outlineLevel="0" collapsed="false">
      <c r="A2960" s="26" t="s">
        <v>10673</v>
      </c>
      <c r="B2960" s="27" t="s">
        <v>10674</v>
      </c>
      <c r="C2960" s="27" t="s">
        <v>1493</v>
      </c>
      <c r="D2960" s="26" t="s">
        <v>10675</v>
      </c>
      <c r="E2960" s="27" t="s">
        <v>10676</v>
      </c>
      <c r="F2960" s="28" t="s">
        <v>1496</v>
      </c>
      <c r="G2960" s="27" t="s">
        <v>3537</v>
      </c>
      <c r="H2960" s="27" t="s">
        <v>56</v>
      </c>
      <c r="I2960" s="27" t="s">
        <v>43</v>
      </c>
      <c r="J2960" s="28" t="s">
        <v>1483</v>
      </c>
      <c r="K2960" s="27" t="s">
        <v>43</v>
      </c>
      <c r="L2960" s="27"/>
    </row>
    <row r="2961" customFormat="false" ht="15" hidden="false" customHeight="false" outlineLevel="0" collapsed="false">
      <c r="A2961" s="26" t="s">
        <v>10677</v>
      </c>
      <c r="B2961" s="27" t="s">
        <v>10678</v>
      </c>
      <c r="C2961" s="27" t="s">
        <v>2034</v>
      </c>
      <c r="D2961" s="26" t="s">
        <v>10551</v>
      </c>
      <c r="E2961" s="27" t="s">
        <v>10552</v>
      </c>
      <c r="F2961" s="28" t="s">
        <v>3381</v>
      </c>
      <c r="G2961" s="27" t="s">
        <v>3537</v>
      </c>
      <c r="H2961" s="27" t="s">
        <v>56</v>
      </c>
      <c r="I2961" s="27" t="s">
        <v>43</v>
      </c>
      <c r="J2961" s="28" t="s">
        <v>1483</v>
      </c>
      <c r="K2961" s="27" t="s">
        <v>43</v>
      </c>
      <c r="L2961" s="27"/>
    </row>
    <row r="2962" customFormat="false" ht="15" hidden="false" customHeight="false" outlineLevel="0" collapsed="false">
      <c r="A2962" s="26" t="s">
        <v>10679</v>
      </c>
      <c r="B2962" s="27" t="s">
        <v>10680</v>
      </c>
      <c r="C2962" s="27" t="s">
        <v>1493</v>
      </c>
      <c r="D2962" s="26" t="s">
        <v>10681</v>
      </c>
      <c r="E2962" s="27" t="s">
        <v>10682</v>
      </c>
      <c r="F2962" s="28" t="s">
        <v>1496</v>
      </c>
      <c r="G2962" s="27" t="s">
        <v>3537</v>
      </c>
      <c r="H2962" s="27" t="s">
        <v>56</v>
      </c>
      <c r="I2962" s="27" t="s">
        <v>43</v>
      </c>
      <c r="J2962" s="28" t="s">
        <v>1483</v>
      </c>
      <c r="K2962" s="27" t="s">
        <v>43</v>
      </c>
      <c r="L2962" s="27"/>
    </row>
    <row r="2963" customFormat="false" ht="15" hidden="false" customHeight="false" outlineLevel="0" collapsed="false">
      <c r="A2963" s="26" t="s">
        <v>10683</v>
      </c>
      <c r="B2963" s="27" t="s">
        <v>10684</v>
      </c>
      <c r="C2963" s="27" t="s">
        <v>1493</v>
      </c>
      <c r="D2963" s="26" t="s">
        <v>10685</v>
      </c>
      <c r="E2963" s="27" t="s">
        <v>10686</v>
      </c>
      <c r="F2963" s="28" t="s">
        <v>1496</v>
      </c>
      <c r="G2963" s="27" t="s">
        <v>3537</v>
      </c>
      <c r="H2963" s="27" t="s">
        <v>56</v>
      </c>
      <c r="I2963" s="27" t="s">
        <v>43</v>
      </c>
      <c r="J2963" s="28" t="s">
        <v>1483</v>
      </c>
      <c r="K2963" s="27" t="s">
        <v>43</v>
      </c>
      <c r="L2963" s="27"/>
    </row>
    <row r="2964" customFormat="false" ht="15" hidden="false" customHeight="false" outlineLevel="0" collapsed="false">
      <c r="A2964" s="26" t="s">
        <v>10687</v>
      </c>
      <c r="B2964" s="27" t="s">
        <v>10688</v>
      </c>
      <c r="C2964" s="27" t="s">
        <v>131</v>
      </c>
      <c r="D2964" s="26" t="s">
        <v>10689</v>
      </c>
      <c r="E2964" s="27" t="s">
        <v>10690</v>
      </c>
      <c r="F2964" s="28" t="s">
        <v>134</v>
      </c>
      <c r="G2964" s="27" t="s">
        <v>3537</v>
      </c>
      <c r="H2964" s="27" t="s">
        <v>57</v>
      </c>
      <c r="I2964" s="27" t="s">
        <v>47</v>
      </c>
      <c r="J2964" s="28" t="s">
        <v>1483</v>
      </c>
      <c r="K2964" s="27" t="s">
        <v>43</v>
      </c>
      <c r="L2964" s="27"/>
    </row>
    <row r="2965" customFormat="false" ht="15" hidden="false" customHeight="false" outlineLevel="0" collapsed="false">
      <c r="A2965" s="26" t="s">
        <v>10691</v>
      </c>
      <c r="B2965" s="27" t="s">
        <v>10692</v>
      </c>
      <c r="C2965" s="27" t="s">
        <v>1493</v>
      </c>
      <c r="D2965" s="26" t="s">
        <v>10567</v>
      </c>
      <c r="E2965" s="27" t="s">
        <v>10568</v>
      </c>
      <c r="F2965" s="28" t="s">
        <v>1496</v>
      </c>
      <c r="G2965" s="27" t="s">
        <v>3537</v>
      </c>
      <c r="H2965" s="27" t="s">
        <v>57</v>
      </c>
      <c r="I2965" s="27" t="s">
        <v>47</v>
      </c>
      <c r="J2965" s="28" t="s">
        <v>1483</v>
      </c>
      <c r="K2965" s="27" t="s">
        <v>43</v>
      </c>
      <c r="L2965" s="27"/>
    </row>
    <row r="2966" customFormat="false" ht="15" hidden="false" customHeight="false" outlineLevel="0" collapsed="false">
      <c r="A2966" s="26" t="s">
        <v>10693</v>
      </c>
      <c r="B2966" s="27" t="s">
        <v>10694</v>
      </c>
      <c r="C2966" s="27" t="s">
        <v>1493</v>
      </c>
      <c r="D2966" s="26" t="s">
        <v>3389</v>
      </c>
      <c r="E2966" s="27" t="s">
        <v>3390</v>
      </c>
      <c r="F2966" s="28" t="s">
        <v>1496</v>
      </c>
      <c r="G2966" s="27" t="s">
        <v>3537</v>
      </c>
      <c r="H2966" s="27" t="s">
        <v>56</v>
      </c>
      <c r="I2966" s="27" t="s">
        <v>43</v>
      </c>
      <c r="J2966" s="28" t="s">
        <v>1483</v>
      </c>
      <c r="K2966" s="27" t="s">
        <v>43</v>
      </c>
      <c r="L2966" s="27"/>
    </row>
    <row r="2967" customFormat="false" ht="15" hidden="false" customHeight="false" outlineLevel="0" collapsed="false">
      <c r="A2967" s="26" t="s">
        <v>10695</v>
      </c>
      <c r="B2967" s="27" t="s">
        <v>10696</v>
      </c>
      <c r="C2967" s="27" t="s">
        <v>1493</v>
      </c>
      <c r="D2967" s="26" t="s">
        <v>10567</v>
      </c>
      <c r="E2967" s="27" t="s">
        <v>10568</v>
      </c>
      <c r="F2967" s="28" t="s">
        <v>1496</v>
      </c>
      <c r="G2967" s="27" t="s">
        <v>3537</v>
      </c>
      <c r="H2967" s="27" t="s">
        <v>57</v>
      </c>
      <c r="I2967" s="27" t="s">
        <v>47</v>
      </c>
      <c r="J2967" s="28" t="s">
        <v>1483</v>
      </c>
      <c r="K2967" s="27" t="s">
        <v>43</v>
      </c>
      <c r="L2967" s="27"/>
    </row>
    <row r="2968" customFormat="false" ht="15" hidden="false" customHeight="false" outlineLevel="0" collapsed="false">
      <c r="A2968" s="26" t="s">
        <v>10697</v>
      </c>
      <c r="B2968" s="27" t="s">
        <v>10698</v>
      </c>
      <c r="C2968" s="27" t="s">
        <v>1493</v>
      </c>
      <c r="D2968" s="26" t="s">
        <v>10699</v>
      </c>
      <c r="E2968" s="28" t="s">
        <v>10700</v>
      </c>
      <c r="F2968" s="28" t="s">
        <v>1496</v>
      </c>
      <c r="G2968" s="27" t="s">
        <v>3537</v>
      </c>
      <c r="H2968" s="27" t="s">
        <v>56</v>
      </c>
      <c r="I2968" s="27" t="s">
        <v>43</v>
      </c>
      <c r="J2968" s="28" t="s">
        <v>1483</v>
      </c>
      <c r="K2968" s="27" t="s">
        <v>43</v>
      </c>
      <c r="L2968" s="27"/>
    </row>
    <row r="2969" customFormat="false" ht="15" hidden="false" customHeight="false" outlineLevel="0" collapsed="false">
      <c r="A2969" s="26" t="s">
        <v>10701</v>
      </c>
      <c r="B2969" s="27" t="s">
        <v>10702</v>
      </c>
      <c r="C2969" s="27" t="s">
        <v>144</v>
      </c>
      <c r="D2969" s="26" t="s">
        <v>10703</v>
      </c>
      <c r="E2969" s="27" t="s">
        <v>10704</v>
      </c>
      <c r="F2969" s="28" t="s">
        <v>146</v>
      </c>
      <c r="G2969" s="27" t="s">
        <v>3537</v>
      </c>
      <c r="H2969" s="27" t="s">
        <v>56</v>
      </c>
      <c r="I2969" s="27" t="s">
        <v>43</v>
      </c>
      <c r="J2969" s="28" t="s">
        <v>1483</v>
      </c>
      <c r="K2969" s="27" t="s">
        <v>43</v>
      </c>
      <c r="L2969" s="27"/>
    </row>
    <row r="2970" customFormat="false" ht="15" hidden="false" customHeight="false" outlineLevel="0" collapsed="false">
      <c r="A2970" s="26" t="s">
        <v>10705</v>
      </c>
      <c r="B2970" s="27" t="s">
        <v>10706</v>
      </c>
      <c r="C2970" s="27" t="s">
        <v>1493</v>
      </c>
      <c r="D2970" s="26" t="s">
        <v>10567</v>
      </c>
      <c r="E2970" s="27" t="s">
        <v>10568</v>
      </c>
      <c r="F2970" s="28" t="s">
        <v>1496</v>
      </c>
      <c r="G2970" s="27" t="s">
        <v>3537</v>
      </c>
      <c r="H2970" s="27" t="s">
        <v>57</v>
      </c>
      <c r="I2970" s="27" t="s">
        <v>47</v>
      </c>
      <c r="J2970" s="28" t="s">
        <v>1483</v>
      </c>
      <c r="K2970" s="27" t="s">
        <v>43</v>
      </c>
      <c r="L2970" s="27"/>
    </row>
    <row r="2971" customFormat="false" ht="15" hidden="false" customHeight="false" outlineLevel="0" collapsed="false">
      <c r="A2971" s="26" t="s">
        <v>10707</v>
      </c>
      <c r="B2971" s="27" t="s">
        <v>10708</v>
      </c>
      <c r="C2971" s="27" t="s">
        <v>144</v>
      </c>
      <c r="D2971" s="26" t="s">
        <v>10709</v>
      </c>
      <c r="E2971" s="27" t="s">
        <v>10710</v>
      </c>
      <c r="F2971" s="28" t="s">
        <v>146</v>
      </c>
      <c r="G2971" s="27" t="s">
        <v>3537</v>
      </c>
      <c r="H2971" s="27" t="s">
        <v>56</v>
      </c>
      <c r="I2971" s="27" t="s">
        <v>43</v>
      </c>
      <c r="J2971" s="28" t="s">
        <v>1483</v>
      </c>
      <c r="K2971" s="27" t="s">
        <v>43</v>
      </c>
      <c r="L2971" s="27"/>
    </row>
    <row r="2972" customFormat="false" ht="15" hidden="false" customHeight="false" outlineLevel="0" collapsed="false">
      <c r="A2972" s="26" t="s">
        <v>10711</v>
      </c>
      <c r="B2972" s="27" t="s">
        <v>10712</v>
      </c>
      <c r="C2972" s="27" t="s">
        <v>1493</v>
      </c>
      <c r="D2972" s="26" t="s">
        <v>10563</v>
      </c>
      <c r="E2972" s="27" t="s">
        <v>10564</v>
      </c>
      <c r="F2972" s="28" t="s">
        <v>1496</v>
      </c>
      <c r="G2972" s="27" t="s">
        <v>3537</v>
      </c>
      <c r="H2972" s="27" t="s">
        <v>56</v>
      </c>
      <c r="I2972" s="27" t="s">
        <v>43</v>
      </c>
      <c r="J2972" s="28" t="s">
        <v>1483</v>
      </c>
      <c r="K2972" s="27" t="s">
        <v>43</v>
      </c>
      <c r="L2972" s="27"/>
    </row>
    <row r="2973" customFormat="false" ht="15" hidden="false" customHeight="false" outlineLevel="0" collapsed="false">
      <c r="A2973" s="26" t="s">
        <v>10713</v>
      </c>
      <c r="B2973" s="27" t="s">
        <v>10714</v>
      </c>
      <c r="C2973" s="27" t="s">
        <v>1493</v>
      </c>
      <c r="D2973" s="26" t="s">
        <v>10563</v>
      </c>
      <c r="E2973" s="27" t="s">
        <v>10564</v>
      </c>
      <c r="F2973" s="28" t="s">
        <v>1496</v>
      </c>
      <c r="G2973" s="27" t="s">
        <v>3537</v>
      </c>
      <c r="H2973" s="27" t="s">
        <v>56</v>
      </c>
      <c r="I2973" s="27" t="s">
        <v>43</v>
      </c>
      <c r="J2973" s="28" t="s">
        <v>1483</v>
      </c>
      <c r="K2973" s="27" t="s">
        <v>43</v>
      </c>
      <c r="L2973" s="27"/>
    </row>
    <row r="2974" customFormat="false" ht="15" hidden="false" customHeight="false" outlineLevel="0" collapsed="false">
      <c r="A2974" s="26" t="s">
        <v>10715</v>
      </c>
      <c r="B2974" s="27" t="s">
        <v>10716</v>
      </c>
      <c r="C2974" s="27" t="s">
        <v>144</v>
      </c>
      <c r="D2974" s="26" t="s">
        <v>10717</v>
      </c>
      <c r="E2974" s="27" t="s">
        <v>10718</v>
      </c>
      <c r="F2974" s="28" t="s">
        <v>146</v>
      </c>
      <c r="G2974" s="27" t="s">
        <v>3537</v>
      </c>
      <c r="H2974" s="27" t="s">
        <v>56</v>
      </c>
      <c r="I2974" s="27" t="s">
        <v>43</v>
      </c>
      <c r="J2974" s="28" t="s">
        <v>1483</v>
      </c>
      <c r="K2974" s="27" t="s">
        <v>43</v>
      </c>
      <c r="L2974" s="27"/>
    </row>
    <row r="2975" customFormat="false" ht="15" hidden="false" customHeight="false" outlineLevel="0" collapsed="false">
      <c r="A2975" s="26" t="s">
        <v>10719</v>
      </c>
      <c r="B2975" s="27" t="s">
        <v>10720</v>
      </c>
      <c r="C2975" s="27" t="s">
        <v>144</v>
      </c>
      <c r="D2975" s="26" t="s">
        <v>10721</v>
      </c>
      <c r="E2975" s="27" t="s">
        <v>10722</v>
      </c>
      <c r="F2975" s="28" t="s">
        <v>146</v>
      </c>
      <c r="G2975" s="27" t="s">
        <v>3537</v>
      </c>
      <c r="H2975" s="27" t="s">
        <v>56</v>
      </c>
      <c r="I2975" s="27" t="s">
        <v>42</v>
      </c>
      <c r="J2975" s="28" t="s">
        <v>1579</v>
      </c>
      <c r="K2975" s="27" t="s">
        <v>42</v>
      </c>
      <c r="L2975" s="27"/>
    </row>
    <row r="2976" customFormat="false" ht="15" hidden="false" customHeight="false" outlineLevel="0" collapsed="false">
      <c r="A2976" s="26" t="s">
        <v>10723</v>
      </c>
      <c r="B2976" s="27" t="s">
        <v>10724</v>
      </c>
      <c r="C2976" s="27" t="s">
        <v>144</v>
      </c>
      <c r="D2976" s="26" t="s">
        <v>10725</v>
      </c>
      <c r="E2976" s="27" t="s">
        <v>10726</v>
      </c>
      <c r="F2976" s="28" t="s">
        <v>146</v>
      </c>
      <c r="G2976" s="27" t="s">
        <v>3537</v>
      </c>
      <c r="H2976" s="27" t="s">
        <v>57</v>
      </c>
      <c r="I2976" s="27" t="s">
        <v>1067</v>
      </c>
      <c r="J2976" s="28" t="s">
        <v>1579</v>
      </c>
      <c r="K2976" s="27" t="s">
        <v>42</v>
      </c>
      <c r="L2976" s="27"/>
    </row>
    <row r="2977" customFormat="false" ht="15" hidden="false" customHeight="false" outlineLevel="0" collapsed="false">
      <c r="A2977" s="26" t="s">
        <v>10727</v>
      </c>
      <c r="B2977" s="27" t="s">
        <v>10728</v>
      </c>
      <c r="C2977" s="27" t="s">
        <v>144</v>
      </c>
      <c r="D2977" s="26" t="s">
        <v>1986</v>
      </c>
      <c r="E2977" s="27" t="s">
        <v>1987</v>
      </c>
      <c r="F2977" s="28" t="s">
        <v>146</v>
      </c>
      <c r="G2977" s="27" t="s">
        <v>3537</v>
      </c>
      <c r="H2977" s="27" t="s">
        <v>57</v>
      </c>
      <c r="I2977" s="27" t="s">
        <v>1344</v>
      </c>
      <c r="J2977" s="28" t="s">
        <v>1579</v>
      </c>
      <c r="K2977" s="27" t="s">
        <v>42</v>
      </c>
      <c r="L2977" s="27"/>
    </row>
    <row r="2978" customFormat="false" ht="15" hidden="false" customHeight="false" outlineLevel="0" collapsed="false">
      <c r="A2978" s="26" t="s">
        <v>10729</v>
      </c>
      <c r="B2978" s="27" t="s">
        <v>10730</v>
      </c>
      <c r="C2978" s="27" t="s">
        <v>144</v>
      </c>
      <c r="D2978" s="26" t="s">
        <v>10731</v>
      </c>
      <c r="E2978" s="27" t="s">
        <v>10732</v>
      </c>
      <c r="F2978" s="28" t="s">
        <v>146</v>
      </c>
      <c r="G2978" s="27" t="s">
        <v>3537</v>
      </c>
      <c r="H2978" s="27" t="s">
        <v>57</v>
      </c>
      <c r="I2978" s="27" t="s">
        <v>1344</v>
      </c>
      <c r="J2978" s="28" t="s">
        <v>1579</v>
      </c>
      <c r="K2978" s="27" t="s">
        <v>42</v>
      </c>
      <c r="L2978" s="27"/>
    </row>
    <row r="2979" customFormat="false" ht="15" hidden="false" customHeight="false" outlineLevel="0" collapsed="false">
      <c r="A2979" s="26" t="s">
        <v>10733</v>
      </c>
      <c r="B2979" s="27" t="s">
        <v>10734</v>
      </c>
      <c r="C2979" s="27" t="s">
        <v>144</v>
      </c>
      <c r="D2979" s="26" t="s">
        <v>10731</v>
      </c>
      <c r="E2979" s="27" t="s">
        <v>10732</v>
      </c>
      <c r="F2979" s="28" t="s">
        <v>146</v>
      </c>
      <c r="G2979" s="27" t="s">
        <v>3537</v>
      </c>
      <c r="H2979" s="27" t="s">
        <v>57</v>
      </c>
      <c r="I2979" s="27" t="s">
        <v>1344</v>
      </c>
      <c r="J2979" s="28" t="s">
        <v>1579</v>
      </c>
      <c r="K2979" s="27" t="s">
        <v>42</v>
      </c>
      <c r="L2979" s="27"/>
    </row>
    <row r="2980" customFormat="false" ht="15" hidden="false" customHeight="false" outlineLevel="0" collapsed="false">
      <c r="A2980" s="26" t="s">
        <v>10735</v>
      </c>
      <c r="B2980" s="27" t="s">
        <v>10736</v>
      </c>
      <c r="C2980" s="27" t="s">
        <v>144</v>
      </c>
      <c r="D2980" s="26" t="s">
        <v>10737</v>
      </c>
      <c r="E2980" s="27" t="s">
        <v>10738</v>
      </c>
      <c r="F2980" s="28" t="s">
        <v>146</v>
      </c>
      <c r="G2980" s="27" t="s">
        <v>3537</v>
      </c>
      <c r="H2980" s="27" t="s">
        <v>56</v>
      </c>
      <c r="I2980" s="27" t="s">
        <v>42</v>
      </c>
      <c r="J2980" s="28" t="s">
        <v>1579</v>
      </c>
      <c r="K2980" s="27" t="s">
        <v>42</v>
      </c>
      <c r="L2980" s="27"/>
    </row>
    <row r="2981" customFormat="false" ht="15" hidden="false" customHeight="false" outlineLevel="0" collapsed="false">
      <c r="A2981" s="26" t="s">
        <v>10739</v>
      </c>
      <c r="B2981" s="27" t="s">
        <v>10740</v>
      </c>
      <c r="C2981" s="27" t="s">
        <v>144</v>
      </c>
      <c r="D2981" s="26" t="s">
        <v>1973</v>
      </c>
      <c r="E2981" s="27" t="s">
        <v>1972</v>
      </c>
      <c r="F2981" s="28" t="s">
        <v>146</v>
      </c>
      <c r="G2981" s="27" t="s">
        <v>3537</v>
      </c>
      <c r="H2981" s="27" t="s">
        <v>56</v>
      </c>
      <c r="I2981" s="27" t="s">
        <v>42</v>
      </c>
      <c r="J2981" s="28" t="s">
        <v>1579</v>
      </c>
      <c r="K2981" s="27" t="s">
        <v>42</v>
      </c>
      <c r="L2981" s="27"/>
    </row>
    <row r="2982" customFormat="false" ht="15" hidden="false" customHeight="false" outlineLevel="0" collapsed="false">
      <c r="A2982" s="26" t="s">
        <v>10741</v>
      </c>
      <c r="B2982" s="27" t="s">
        <v>10742</v>
      </c>
      <c r="C2982" s="27" t="s">
        <v>144</v>
      </c>
      <c r="D2982" s="26" t="s">
        <v>10743</v>
      </c>
      <c r="E2982" s="27" t="s">
        <v>10744</v>
      </c>
      <c r="F2982" s="28" t="s">
        <v>146</v>
      </c>
      <c r="G2982" s="27" t="s">
        <v>3537</v>
      </c>
      <c r="H2982" s="27" t="s">
        <v>57</v>
      </c>
      <c r="I2982" s="27" t="s">
        <v>1344</v>
      </c>
      <c r="J2982" s="28" t="s">
        <v>1579</v>
      </c>
      <c r="K2982" s="27" t="s">
        <v>42</v>
      </c>
      <c r="L2982" s="27"/>
    </row>
    <row r="2983" customFormat="false" ht="15" hidden="false" customHeight="false" outlineLevel="0" collapsed="false">
      <c r="A2983" s="26" t="s">
        <v>10745</v>
      </c>
      <c r="B2983" s="27" t="s">
        <v>10746</v>
      </c>
      <c r="C2983" s="27" t="s">
        <v>144</v>
      </c>
      <c r="D2983" s="26" t="s">
        <v>1973</v>
      </c>
      <c r="E2983" s="27" t="s">
        <v>1972</v>
      </c>
      <c r="F2983" s="28" t="s">
        <v>146</v>
      </c>
      <c r="G2983" s="27" t="s">
        <v>3537</v>
      </c>
      <c r="H2983" s="27" t="s">
        <v>56</v>
      </c>
      <c r="I2983" s="27" t="s">
        <v>42</v>
      </c>
      <c r="J2983" s="28" t="s">
        <v>1579</v>
      </c>
      <c r="K2983" s="27" t="s">
        <v>42</v>
      </c>
      <c r="L2983" s="27"/>
    </row>
    <row r="2984" customFormat="false" ht="15" hidden="false" customHeight="false" outlineLevel="0" collapsed="false">
      <c r="A2984" s="26" t="s">
        <v>10747</v>
      </c>
      <c r="B2984" s="27" t="s">
        <v>10748</v>
      </c>
      <c r="C2984" s="27" t="s">
        <v>1187</v>
      </c>
      <c r="D2984" s="26" t="s">
        <v>10749</v>
      </c>
      <c r="E2984" s="27" t="s">
        <v>10750</v>
      </c>
      <c r="F2984" s="28" t="s">
        <v>1190</v>
      </c>
      <c r="G2984" s="27" t="s">
        <v>3537</v>
      </c>
      <c r="H2984" s="27" t="s">
        <v>56</v>
      </c>
      <c r="I2984" s="27" t="s">
        <v>42</v>
      </c>
      <c r="J2984" s="28" t="s">
        <v>1579</v>
      </c>
      <c r="K2984" s="27" t="s">
        <v>42</v>
      </c>
      <c r="L2984" s="27"/>
    </row>
    <row r="2985" customFormat="false" ht="15" hidden="false" customHeight="false" outlineLevel="0" collapsed="false">
      <c r="A2985" s="26" t="s">
        <v>10751</v>
      </c>
      <c r="B2985" s="27" t="s">
        <v>10752</v>
      </c>
      <c r="C2985" s="27" t="s">
        <v>1187</v>
      </c>
      <c r="D2985" s="26" t="s">
        <v>10753</v>
      </c>
      <c r="E2985" s="27" t="s">
        <v>10754</v>
      </c>
      <c r="F2985" s="28" t="s">
        <v>1190</v>
      </c>
      <c r="G2985" s="27" t="s">
        <v>3537</v>
      </c>
      <c r="H2985" s="27" t="s">
        <v>56</v>
      </c>
      <c r="I2985" s="27" t="s">
        <v>42</v>
      </c>
      <c r="J2985" s="28" t="s">
        <v>1579</v>
      </c>
      <c r="K2985" s="27" t="s">
        <v>42</v>
      </c>
      <c r="L2985" s="27"/>
    </row>
    <row r="2986" customFormat="false" ht="15" hidden="false" customHeight="false" outlineLevel="0" collapsed="false">
      <c r="A2986" s="26" t="s">
        <v>10755</v>
      </c>
      <c r="B2986" s="27" t="s">
        <v>10756</v>
      </c>
      <c r="C2986" s="27" t="s">
        <v>144</v>
      </c>
      <c r="D2986" s="26" t="s">
        <v>10757</v>
      </c>
      <c r="E2986" s="27" t="s">
        <v>10758</v>
      </c>
      <c r="F2986" s="28" t="s">
        <v>146</v>
      </c>
      <c r="G2986" s="27" t="s">
        <v>3537</v>
      </c>
      <c r="H2986" s="27" t="s">
        <v>57</v>
      </c>
      <c r="I2986" s="27" t="s">
        <v>1578</v>
      </c>
      <c r="J2986" s="28" t="s">
        <v>1579</v>
      </c>
      <c r="K2986" s="27" t="s">
        <v>42</v>
      </c>
      <c r="L2986" s="27"/>
    </row>
    <row r="2987" customFormat="false" ht="15" hidden="false" customHeight="false" outlineLevel="0" collapsed="false">
      <c r="A2987" s="26" t="s">
        <v>10759</v>
      </c>
      <c r="B2987" s="27" t="s">
        <v>10760</v>
      </c>
      <c r="C2987" s="27" t="s">
        <v>144</v>
      </c>
      <c r="D2987" s="26" t="s">
        <v>10761</v>
      </c>
      <c r="E2987" s="27" t="s">
        <v>10762</v>
      </c>
      <c r="F2987" s="28" t="s">
        <v>146</v>
      </c>
      <c r="G2987" s="27" t="s">
        <v>3537</v>
      </c>
      <c r="H2987" s="27" t="s">
        <v>57</v>
      </c>
      <c r="I2987" s="27" t="s">
        <v>1578</v>
      </c>
      <c r="J2987" s="28" t="s">
        <v>1579</v>
      </c>
      <c r="K2987" s="27" t="s">
        <v>42</v>
      </c>
      <c r="L2987" s="27"/>
    </row>
    <row r="2988" customFormat="false" ht="15" hidden="false" customHeight="false" outlineLevel="0" collapsed="false">
      <c r="A2988" s="26" t="s">
        <v>10763</v>
      </c>
      <c r="B2988" s="27" t="s">
        <v>10764</v>
      </c>
      <c r="C2988" s="27" t="s">
        <v>144</v>
      </c>
      <c r="D2988" s="26" t="s">
        <v>10765</v>
      </c>
      <c r="E2988" s="27" t="s">
        <v>10766</v>
      </c>
      <c r="F2988" s="28" t="s">
        <v>146</v>
      </c>
      <c r="G2988" s="27" t="s">
        <v>3537</v>
      </c>
      <c r="H2988" s="27" t="s">
        <v>57</v>
      </c>
      <c r="I2988" s="27" t="s">
        <v>1578</v>
      </c>
      <c r="J2988" s="28" t="s">
        <v>1579</v>
      </c>
      <c r="K2988" s="27" t="s">
        <v>42</v>
      </c>
      <c r="L2988" s="27"/>
    </row>
    <row r="2989" customFormat="false" ht="15" hidden="false" customHeight="false" outlineLevel="0" collapsed="false">
      <c r="A2989" s="26" t="s">
        <v>10767</v>
      </c>
      <c r="B2989" s="27" t="s">
        <v>10768</v>
      </c>
      <c r="C2989" s="27" t="s">
        <v>144</v>
      </c>
      <c r="D2989" s="26" t="s">
        <v>10769</v>
      </c>
      <c r="E2989" s="27" t="s">
        <v>10770</v>
      </c>
      <c r="F2989" s="28" t="s">
        <v>146</v>
      </c>
      <c r="G2989" s="27" t="s">
        <v>3537</v>
      </c>
      <c r="H2989" s="27" t="s">
        <v>57</v>
      </c>
      <c r="I2989" s="27" t="s">
        <v>1578</v>
      </c>
      <c r="J2989" s="28" t="s">
        <v>1579</v>
      </c>
      <c r="K2989" s="27" t="s">
        <v>42</v>
      </c>
      <c r="L2989" s="27"/>
    </row>
    <row r="2990" customFormat="false" ht="15" hidden="false" customHeight="false" outlineLevel="0" collapsed="false">
      <c r="A2990" s="26" t="s">
        <v>10771</v>
      </c>
      <c r="B2990" s="27" t="s">
        <v>10772</v>
      </c>
      <c r="C2990" s="27" t="s">
        <v>1187</v>
      </c>
      <c r="D2990" s="26" t="s">
        <v>10773</v>
      </c>
      <c r="E2990" s="27" t="s">
        <v>10774</v>
      </c>
      <c r="F2990" s="28" t="s">
        <v>1190</v>
      </c>
      <c r="G2990" s="27" t="s">
        <v>3537</v>
      </c>
      <c r="H2990" s="27" t="s">
        <v>56</v>
      </c>
      <c r="I2990" s="27" t="s">
        <v>42</v>
      </c>
      <c r="J2990" s="28" t="s">
        <v>1579</v>
      </c>
      <c r="K2990" s="27" t="s">
        <v>42</v>
      </c>
      <c r="L2990" s="27"/>
    </row>
    <row r="2991" customFormat="false" ht="15" hidden="false" customHeight="false" outlineLevel="0" collapsed="false">
      <c r="A2991" s="26" t="s">
        <v>10775</v>
      </c>
      <c r="B2991" s="27" t="s">
        <v>10776</v>
      </c>
      <c r="C2991" s="27" t="s">
        <v>144</v>
      </c>
      <c r="D2991" s="26" t="s">
        <v>10777</v>
      </c>
      <c r="E2991" s="27" t="s">
        <v>10778</v>
      </c>
      <c r="F2991" s="28" t="s">
        <v>146</v>
      </c>
      <c r="G2991" s="27" t="s">
        <v>3537</v>
      </c>
      <c r="H2991" s="27" t="s">
        <v>57</v>
      </c>
      <c r="I2991" s="27" t="s">
        <v>1578</v>
      </c>
      <c r="J2991" s="28" t="s">
        <v>1579</v>
      </c>
      <c r="K2991" s="27" t="s">
        <v>42</v>
      </c>
      <c r="L2991" s="27"/>
    </row>
    <row r="2992" customFormat="false" ht="15" hidden="false" customHeight="false" outlineLevel="0" collapsed="false">
      <c r="A2992" s="26" t="s">
        <v>10779</v>
      </c>
      <c r="B2992" s="27" t="s">
        <v>10780</v>
      </c>
      <c r="C2992" s="27" t="s">
        <v>144</v>
      </c>
      <c r="D2992" s="26" t="s">
        <v>10781</v>
      </c>
      <c r="E2992" s="27" t="s">
        <v>10782</v>
      </c>
      <c r="F2992" s="28" t="s">
        <v>146</v>
      </c>
      <c r="G2992" s="27" t="s">
        <v>3537</v>
      </c>
      <c r="H2992" s="27" t="s">
        <v>56</v>
      </c>
      <c r="I2992" s="27" t="s">
        <v>42</v>
      </c>
      <c r="J2992" s="28" t="s">
        <v>1579</v>
      </c>
      <c r="K2992" s="27" t="s">
        <v>42</v>
      </c>
      <c r="L2992" s="27"/>
    </row>
    <row r="2993" customFormat="false" ht="15" hidden="false" customHeight="false" outlineLevel="0" collapsed="false">
      <c r="A2993" s="26" t="s">
        <v>10783</v>
      </c>
      <c r="B2993" s="27" t="s">
        <v>10784</v>
      </c>
      <c r="C2993" s="27" t="s">
        <v>1187</v>
      </c>
      <c r="D2993" s="26" t="s">
        <v>10785</v>
      </c>
      <c r="E2993" s="27" t="s">
        <v>10786</v>
      </c>
      <c r="F2993" s="28" t="s">
        <v>1190</v>
      </c>
      <c r="G2993" s="27" t="s">
        <v>3537</v>
      </c>
      <c r="H2993" s="27" t="s">
        <v>57</v>
      </c>
      <c r="I2993" s="27" t="s">
        <v>1578</v>
      </c>
      <c r="J2993" s="28" t="s">
        <v>1579</v>
      </c>
      <c r="K2993" s="27" t="s">
        <v>42</v>
      </c>
      <c r="L2993" s="27"/>
    </row>
    <row r="2994" customFormat="false" ht="15" hidden="false" customHeight="false" outlineLevel="0" collapsed="false">
      <c r="A2994" s="26" t="s">
        <v>10787</v>
      </c>
      <c r="B2994" s="27" t="s">
        <v>10788</v>
      </c>
      <c r="C2994" s="27" t="s">
        <v>144</v>
      </c>
      <c r="D2994" s="26" t="s">
        <v>10789</v>
      </c>
      <c r="E2994" s="27" t="s">
        <v>10790</v>
      </c>
      <c r="F2994" s="28" t="s">
        <v>146</v>
      </c>
      <c r="G2994" s="27" t="s">
        <v>3537</v>
      </c>
      <c r="H2994" s="27" t="s">
        <v>57</v>
      </c>
      <c r="I2994" s="27" t="s">
        <v>1296</v>
      </c>
      <c r="J2994" s="28" t="s">
        <v>1579</v>
      </c>
      <c r="K2994" s="27" t="s">
        <v>42</v>
      </c>
      <c r="L2994" s="27"/>
    </row>
    <row r="2995" customFormat="false" ht="15" hidden="false" customHeight="false" outlineLevel="0" collapsed="false">
      <c r="A2995" s="26" t="s">
        <v>10791</v>
      </c>
      <c r="B2995" s="27" t="s">
        <v>10792</v>
      </c>
      <c r="C2995" s="27" t="s">
        <v>144</v>
      </c>
      <c r="D2995" s="26" t="s">
        <v>10793</v>
      </c>
      <c r="E2995" s="27" t="s">
        <v>10794</v>
      </c>
      <c r="F2995" s="28" t="s">
        <v>146</v>
      </c>
      <c r="G2995" s="27" t="s">
        <v>3537</v>
      </c>
      <c r="H2995" s="27" t="s">
        <v>57</v>
      </c>
      <c r="I2995" s="27" t="s">
        <v>1578</v>
      </c>
      <c r="J2995" s="28" t="s">
        <v>1579</v>
      </c>
      <c r="K2995" s="27" t="s">
        <v>42</v>
      </c>
      <c r="L2995" s="27"/>
    </row>
    <row r="2996" customFormat="false" ht="15" hidden="false" customHeight="false" outlineLevel="0" collapsed="false">
      <c r="A2996" s="26" t="s">
        <v>10795</v>
      </c>
      <c r="B2996" s="27" t="s">
        <v>10796</v>
      </c>
      <c r="C2996" s="27" t="s">
        <v>144</v>
      </c>
      <c r="D2996" s="26" t="s">
        <v>10797</v>
      </c>
      <c r="E2996" s="27" t="s">
        <v>10798</v>
      </c>
      <c r="F2996" s="28" t="s">
        <v>146</v>
      </c>
      <c r="G2996" s="27" t="s">
        <v>3537</v>
      </c>
      <c r="H2996" s="27" t="s">
        <v>57</v>
      </c>
      <c r="I2996" s="27" t="s">
        <v>1067</v>
      </c>
      <c r="J2996" s="28" t="s">
        <v>1579</v>
      </c>
      <c r="K2996" s="27" t="s">
        <v>42</v>
      </c>
      <c r="L2996" s="27"/>
    </row>
    <row r="2997" customFormat="false" ht="15" hidden="false" customHeight="false" outlineLevel="0" collapsed="false">
      <c r="A2997" s="26" t="s">
        <v>10799</v>
      </c>
      <c r="B2997" s="27" t="s">
        <v>10800</v>
      </c>
      <c r="C2997" s="27" t="s">
        <v>144</v>
      </c>
      <c r="D2997" s="26" t="s">
        <v>10801</v>
      </c>
      <c r="E2997" s="27" t="s">
        <v>10802</v>
      </c>
      <c r="F2997" s="28" t="s">
        <v>146</v>
      </c>
      <c r="G2997" s="27" t="s">
        <v>3537</v>
      </c>
      <c r="H2997" s="27" t="s">
        <v>56</v>
      </c>
      <c r="I2997" s="27" t="s">
        <v>42</v>
      </c>
      <c r="J2997" s="28" t="s">
        <v>1579</v>
      </c>
      <c r="K2997" s="27" t="s">
        <v>42</v>
      </c>
      <c r="L2997" s="27"/>
    </row>
    <row r="2998" customFormat="false" ht="15" hidden="false" customHeight="false" outlineLevel="0" collapsed="false">
      <c r="A2998" s="26" t="s">
        <v>10803</v>
      </c>
      <c r="B2998" s="27" t="s">
        <v>10804</v>
      </c>
      <c r="C2998" s="27" t="s">
        <v>1612</v>
      </c>
      <c r="D2998" s="26" t="s">
        <v>10805</v>
      </c>
      <c r="E2998" s="27" t="s">
        <v>10806</v>
      </c>
      <c r="F2998" s="28" t="s">
        <v>1614</v>
      </c>
      <c r="G2998" s="27" t="s">
        <v>3537</v>
      </c>
      <c r="H2998" s="27" t="s">
        <v>56</v>
      </c>
      <c r="I2998" s="27" t="s">
        <v>42</v>
      </c>
      <c r="J2998" s="28" t="s">
        <v>1579</v>
      </c>
      <c r="K2998" s="27" t="s">
        <v>42</v>
      </c>
      <c r="L2998" s="27"/>
    </row>
    <row r="2999" customFormat="false" ht="15" hidden="false" customHeight="false" outlineLevel="0" collapsed="false">
      <c r="A2999" s="26" t="s">
        <v>10807</v>
      </c>
      <c r="B2999" s="27" t="s">
        <v>10808</v>
      </c>
      <c r="C2999" s="27" t="s">
        <v>144</v>
      </c>
      <c r="D2999" s="26" t="s">
        <v>10809</v>
      </c>
      <c r="E2999" s="27" t="s">
        <v>10810</v>
      </c>
      <c r="F2999" s="28" t="s">
        <v>146</v>
      </c>
      <c r="G2999" s="27" t="s">
        <v>3537</v>
      </c>
      <c r="H2999" s="27" t="s">
        <v>57</v>
      </c>
      <c r="I2999" s="27" t="s">
        <v>41</v>
      </c>
      <c r="J2999" s="28" t="s">
        <v>1579</v>
      </c>
      <c r="K2999" s="27" t="s">
        <v>42</v>
      </c>
      <c r="L2999" s="27"/>
    </row>
    <row r="3000" customFormat="false" ht="15" hidden="false" customHeight="false" outlineLevel="0" collapsed="false">
      <c r="A3000" s="26" t="s">
        <v>10811</v>
      </c>
      <c r="B3000" s="27" t="s">
        <v>10812</v>
      </c>
      <c r="C3000" s="27" t="s">
        <v>144</v>
      </c>
      <c r="D3000" s="26" t="s">
        <v>10813</v>
      </c>
      <c r="E3000" s="27" t="s">
        <v>10814</v>
      </c>
      <c r="F3000" s="28" t="s">
        <v>146</v>
      </c>
      <c r="G3000" s="27" t="s">
        <v>3537</v>
      </c>
      <c r="H3000" s="27" t="s">
        <v>56</v>
      </c>
      <c r="I3000" s="27" t="s">
        <v>42</v>
      </c>
      <c r="J3000" s="28" t="s">
        <v>1579</v>
      </c>
      <c r="K3000" s="27" t="s">
        <v>42</v>
      </c>
      <c r="L3000" s="27"/>
    </row>
    <row r="3001" customFormat="false" ht="15" hidden="false" customHeight="false" outlineLevel="0" collapsed="false">
      <c r="A3001" s="26" t="s">
        <v>10815</v>
      </c>
      <c r="B3001" s="27" t="s">
        <v>10816</v>
      </c>
      <c r="C3001" s="27" t="s">
        <v>10817</v>
      </c>
      <c r="D3001" s="26" t="s">
        <v>3458</v>
      </c>
      <c r="E3001" s="27" t="s">
        <v>3459</v>
      </c>
      <c r="F3001" s="28" t="s">
        <v>2073</v>
      </c>
      <c r="G3001" s="27" t="s">
        <v>3537</v>
      </c>
      <c r="H3001" s="27" t="s">
        <v>56</v>
      </c>
      <c r="I3001" s="27" t="s">
        <v>42</v>
      </c>
      <c r="J3001" s="28" t="s">
        <v>1579</v>
      </c>
      <c r="K3001" s="27" t="s">
        <v>42</v>
      </c>
      <c r="L3001" s="27"/>
    </row>
    <row r="3002" customFormat="false" ht="15" hidden="false" customHeight="false" outlineLevel="0" collapsed="false">
      <c r="A3002" s="26" t="s">
        <v>10818</v>
      </c>
      <c r="B3002" s="27" t="s">
        <v>10819</v>
      </c>
      <c r="C3002" s="27" t="s">
        <v>10817</v>
      </c>
      <c r="D3002" s="26" t="s">
        <v>3458</v>
      </c>
      <c r="E3002" s="27" t="s">
        <v>3459</v>
      </c>
      <c r="F3002" s="28" t="s">
        <v>2073</v>
      </c>
      <c r="G3002" s="27" t="s">
        <v>3537</v>
      </c>
      <c r="H3002" s="27" t="s">
        <v>56</v>
      </c>
      <c r="I3002" s="27" t="s">
        <v>42</v>
      </c>
      <c r="J3002" s="28" t="s">
        <v>1579</v>
      </c>
      <c r="K3002" s="27" t="s">
        <v>42</v>
      </c>
      <c r="L3002" s="27"/>
    </row>
    <row r="3003" customFormat="false" ht="15" hidden="false" customHeight="false" outlineLevel="0" collapsed="false">
      <c r="A3003" s="26" t="s">
        <v>10820</v>
      </c>
      <c r="B3003" s="27" t="s">
        <v>10821</v>
      </c>
      <c r="C3003" s="27" t="s">
        <v>10817</v>
      </c>
      <c r="D3003" s="26" t="s">
        <v>3458</v>
      </c>
      <c r="E3003" s="27" t="s">
        <v>3459</v>
      </c>
      <c r="F3003" s="28" t="s">
        <v>2073</v>
      </c>
      <c r="G3003" s="27" t="s">
        <v>3537</v>
      </c>
      <c r="H3003" s="27" t="s">
        <v>56</v>
      </c>
      <c r="I3003" s="27" t="s">
        <v>42</v>
      </c>
      <c r="J3003" s="28" t="s">
        <v>1579</v>
      </c>
      <c r="K3003" s="27" t="s">
        <v>42</v>
      </c>
      <c r="L3003" s="27"/>
    </row>
    <row r="3004" customFormat="false" ht="15" hidden="false" customHeight="false" outlineLevel="0" collapsed="false">
      <c r="A3004" s="26" t="s">
        <v>10822</v>
      </c>
      <c r="B3004" s="27" t="s">
        <v>10823</v>
      </c>
      <c r="C3004" s="27" t="s">
        <v>10817</v>
      </c>
      <c r="D3004" s="26" t="s">
        <v>10824</v>
      </c>
      <c r="E3004" s="27" t="s">
        <v>10825</v>
      </c>
      <c r="F3004" s="28" t="s">
        <v>2073</v>
      </c>
      <c r="G3004" s="27" t="s">
        <v>3537</v>
      </c>
      <c r="H3004" s="27" t="s">
        <v>56</v>
      </c>
      <c r="I3004" s="27" t="s">
        <v>42</v>
      </c>
      <c r="J3004" s="28" t="s">
        <v>1579</v>
      </c>
      <c r="K3004" s="27" t="s">
        <v>42</v>
      </c>
      <c r="L3004" s="27"/>
    </row>
    <row r="3005" customFormat="false" ht="15" hidden="false" customHeight="false" outlineLevel="0" collapsed="false">
      <c r="A3005" s="26" t="s">
        <v>10826</v>
      </c>
      <c r="B3005" s="27" t="s">
        <v>10827</v>
      </c>
      <c r="C3005" s="27" t="s">
        <v>144</v>
      </c>
      <c r="D3005" s="26" t="s">
        <v>10828</v>
      </c>
      <c r="E3005" s="27" t="s">
        <v>10829</v>
      </c>
      <c r="F3005" s="28" t="s">
        <v>146</v>
      </c>
      <c r="G3005" s="27" t="s">
        <v>3537</v>
      </c>
      <c r="H3005" s="27" t="s">
        <v>56</v>
      </c>
      <c r="I3005" s="27" t="s">
        <v>42</v>
      </c>
      <c r="J3005" s="28" t="s">
        <v>1579</v>
      </c>
      <c r="K3005" s="27" t="s">
        <v>42</v>
      </c>
      <c r="L3005" s="27"/>
    </row>
    <row r="3006" customFormat="false" ht="15" hidden="false" customHeight="false" outlineLevel="0" collapsed="false">
      <c r="A3006" s="26" t="s">
        <v>10830</v>
      </c>
      <c r="B3006" s="27" t="s">
        <v>10831</v>
      </c>
      <c r="C3006" s="27" t="s">
        <v>144</v>
      </c>
      <c r="D3006" s="26" t="s">
        <v>10832</v>
      </c>
      <c r="E3006" s="27" t="s">
        <v>10833</v>
      </c>
      <c r="F3006" s="28" t="s">
        <v>146</v>
      </c>
      <c r="G3006" s="27" t="s">
        <v>3537</v>
      </c>
      <c r="H3006" s="27" t="s">
        <v>56</v>
      </c>
      <c r="I3006" s="27" t="s">
        <v>42</v>
      </c>
      <c r="J3006" s="28" t="s">
        <v>1579</v>
      </c>
      <c r="K3006" s="27" t="s">
        <v>42</v>
      </c>
      <c r="L3006" s="27"/>
    </row>
    <row r="3007" customFormat="false" ht="15" hidden="false" customHeight="false" outlineLevel="0" collapsed="false">
      <c r="A3007" s="26" t="s">
        <v>10834</v>
      </c>
      <c r="B3007" s="27" t="s">
        <v>10835</v>
      </c>
      <c r="C3007" s="27" t="s">
        <v>1527</v>
      </c>
      <c r="D3007" s="26" t="s">
        <v>10836</v>
      </c>
      <c r="E3007" s="27" t="s">
        <v>10837</v>
      </c>
      <c r="F3007" s="28" t="s">
        <v>1529</v>
      </c>
      <c r="G3007" s="27" t="s">
        <v>3537</v>
      </c>
      <c r="H3007" s="27" t="s">
        <v>56</v>
      </c>
      <c r="I3007" s="27" t="s">
        <v>42</v>
      </c>
      <c r="J3007" s="28" t="s">
        <v>1579</v>
      </c>
      <c r="K3007" s="27" t="s">
        <v>42</v>
      </c>
      <c r="L3007" s="27"/>
    </row>
    <row r="3008" customFormat="false" ht="15" hidden="false" customHeight="false" outlineLevel="0" collapsed="false">
      <c r="A3008" s="26" t="s">
        <v>10838</v>
      </c>
      <c r="B3008" s="27" t="s">
        <v>10839</v>
      </c>
      <c r="C3008" s="27" t="s">
        <v>144</v>
      </c>
      <c r="D3008" s="26" t="s">
        <v>10840</v>
      </c>
      <c r="E3008" s="27" t="s">
        <v>10841</v>
      </c>
      <c r="F3008" s="28" t="s">
        <v>146</v>
      </c>
      <c r="G3008" s="27" t="s">
        <v>3537</v>
      </c>
      <c r="H3008" s="27" t="s">
        <v>56</v>
      </c>
      <c r="I3008" s="27" t="s">
        <v>42</v>
      </c>
      <c r="J3008" s="28" t="s">
        <v>1579</v>
      </c>
      <c r="K3008" s="27" t="s">
        <v>42</v>
      </c>
      <c r="L3008" s="27"/>
    </row>
    <row r="3009" customFormat="false" ht="15" hidden="false" customHeight="false" outlineLevel="0" collapsed="false">
      <c r="A3009" s="26" t="s">
        <v>10842</v>
      </c>
      <c r="B3009" s="27" t="s">
        <v>10843</v>
      </c>
      <c r="C3009" s="27" t="s">
        <v>144</v>
      </c>
      <c r="D3009" s="26" t="s">
        <v>10844</v>
      </c>
      <c r="E3009" s="27" t="s">
        <v>10845</v>
      </c>
      <c r="F3009" s="28" t="s">
        <v>146</v>
      </c>
      <c r="G3009" s="27" t="s">
        <v>3537</v>
      </c>
      <c r="H3009" s="27" t="s">
        <v>56</v>
      </c>
      <c r="I3009" s="27" t="s">
        <v>42</v>
      </c>
      <c r="J3009" s="28" t="s">
        <v>1579</v>
      </c>
      <c r="K3009" s="27" t="s">
        <v>42</v>
      </c>
      <c r="L3009" s="27"/>
    </row>
    <row r="3010" customFormat="false" ht="15" hidden="false" customHeight="false" outlineLevel="0" collapsed="false">
      <c r="A3010" s="26" t="s">
        <v>10846</v>
      </c>
      <c r="B3010" s="27" t="s">
        <v>10847</v>
      </c>
      <c r="C3010" s="27" t="s">
        <v>1527</v>
      </c>
      <c r="D3010" s="26" t="s">
        <v>10848</v>
      </c>
      <c r="E3010" s="27" t="s">
        <v>10849</v>
      </c>
      <c r="F3010" s="28" t="s">
        <v>1529</v>
      </c>
      <c r="G3010" s="27" t="s">
        <v>3537</v>
      </c>
      <c r="H3010" s="27" t="s">
        <v>56</v>
      </c>
      <c r="I3010" s="27" t="s">
        <v>42</v>
      </c>
      <c r="J3010" s="28" t="s">
        <v>1579</v>
      </c>
      <c r="K3010" s="27" t="s">
        <v>42</v>
      </c>
      <c r="L3010" s="27"/>
    </row>
    <row r="3011" customFormat="false" ht="15" hidden="false" customHeight="false" outlineLevel="0" collapsed="false">
      <c r="A3011" s="26" t="s">
        <v>10850</v>
      </c>
      <c r="B3011" s="27" t="s">
        <v>10851</v>
      </c>
      <c r="C3011" s="27" t="s">
        <v>144</v>
      </c>
      <c r="D3011" s="26" t="s">
        <v>10852</v>
      </c>
      <c r="E3011" s="27" t="s">
        <v>10853</v>
      </c>
      <c r="F3011" s="28" t="s">
        <v>146</v>
      </c>
      <c r="G3011" s="27" t="s">
        <v>3537</v>
      </c>
      <c r="H3011" s="27" t="s">
        <v>56</v>
      </c>
      <c r="I3011" s="27" t="s">
        <v>42</v>
      </c>
      <c r="J3011" s="28" t="s">
        <v>1579</v>
      </c>
      <c r="K3011" s="27" t="s">
        <v>42</v>
      </c>
      <c r="L3011" s="27"/>
    </row>
    <row r="3012" customFormat="false" ht="15" hidden="false" customHeight="false" outlineLevel="0" collapsed="false">
      <c r="A3012" s="26" t="s">
        <v>10854</v>
      </c>
      <c r="B3012" s="27" t="s">
        <v>10855</v>
      </c>
      <c r="C3012" s="27" t="s">
        <v>144</v>
      </c>
      <c r="D3012" s="26" t="s">
        <v>1661</v>
      </c>
      <c r="E3012" s="27" t="s">
        <v>1660</v>
      </c>
      <c r="F3012" s="28" t="s">
        <v>146</v>
      </c>
      <c r="G3012" s="27" t="s">
        <v>3537</v>
      </c>
      <c r="H3012" s="27" t="s">
        <v>56</v>
      </c>
      <c r="I3012" s="27" t="s">
        <v>42</v>
      </c>
      <c r="J3012" s="28" t="s">
        <v>1579</v>
      </c>
      <c r="K3012" s="27" t="s">
        <v>42</v>
      </c>
      <c r="L3012" s="27"/>
    </row>
    <row r="3013" customFormat="false" ht="15" hidden="false" customHeight="false" outlineLevel="0" collapsed="false">
      <c r="A3013" s="26" t="s">
        <v>10856</v>
      </c>
      <c r="B3013" s="27" t="s">
        <v>10857</v>
      </c>
      <c r="C3013" s="27" t="s">
        <v>144</v>
      </c>
      <c r="D3013" s="26" t="s">
        <v>10858</v>
      </c>
      <c r="E3013" s="27" t="s">
        <v>10859</v>
      </c>
      <c r="F3013" s="28" t="s">
        <v>146</v>
      </c>
      <c r="G3013" s="27" t="s">
        <v>3537</v>
      </c>
      <c r="H3013" s="27" t="s">
        <v>56</v>
      </c>
      <c r="I3013" s="27" t="s">
        <v>42</v>
      </c>
      <c r="J3013" s="28" t="s">
        <v>1579</v>
      </c>
      <c r="K3013" s="27" t="s">
        <v>42</v>
      </c>
      <c r="L3013" s="27"/>
    </row>
    <row r="3014" customFormat="false" ht="15" hidden="false" customHeight="false" outlineLevel="0" collapsed="false">
      <c r="A3014" s="26" t="s">
        <v>10860</v>
      </c>
      <c r="B3014" s="27" t="s">
        <v>10861</v>
      </c>
      <c r="C3014" s="27" t="s">
        <v>144</v>
      </c>
      <c r="D3014" s="26" t="s">
        <v>10862</v>
      </c>
      <c r="E3014" s="27" t="s">
        <v>10863</v>
      </c>
      <c r="F3014" s="28" t="s">
        <v>146</v>
      </c>
      <c r="G3014" s="27" t="s">
        <v>3537</v>
      </c>
      <c r="H3014" s="27" t="s">
        <v>56</v>
      </c>
      <c r="I3014" s="27" t="s">
        <v>42</v>
      </c>
      <c r="J3014" s="28" t="s">
        <v>1579</v>
      </c>
      <c r="K3014" s="27" t="s">
        <v>42</v>
      </c>
      <c r="L3014" s="27"/>
    </row>
    <row r="3015" customFormat="false" ht="15" hidden="false" customHeight="false" outlineLevel="0" collapsed="false">
      <c r="A3015" s="26" t="s">
        <v>10864</v>
      </c>
      <c r="B3015" s="27" t="s">
        <v>10865</v>
      </c>
      <c r="C3015" s="27" t="s">
        <v>144</v>
      </c>
      <c r="D3015" s="26" t="s">
        <v>10866</v>
      </c>
      <c r="E3015" s="27" t="s">
        <v>10867</v>
      </c>
      <c r="F3015" s="28" t="s">
        <v>146</v>
      </c>
      <c r="G3015" s="27" t="s">
        <v>3537</v>
      </c>
      <c r="H3015" s="27" t="s">
        <v>56</v>
      </c>
      <c r="I3015" s="27" t="s">
        <v>42</v>
      </c>
      <c r="J3015" s="28" t="s">
        <v>1579</v>
      </c>
      <c r="K3015" s="27" t="s">
        <v>42</v>
      </c>
      <c r="L3015" s="27"/>
    </row>
    <row r="3016" customFormat="false" ht="15" hidden="false" customHeight="false" outlineLevel="0" collapsed="false">
      <c r="A3016" s="26" t="s">
        <v>10868</v>
      </c>
      <c r="B3016" s="27" t="s">
        <v>10869</v>
      </c>
      <c r="C3016" s="27" t="s">
        <v>144</v>
      </c>
      <c r="D3016" s="26" t="s">
        <v>10870</v>
      </c>
      <c r="E3016" s="27" t="s">
        <v>10871</v>
      </c>
      <c r="F3016" s="28" t="s">
        <v>146</v>
      </c>
      <c r="G3016" s="27" t="s">
        <v>3537</v>
      </c>
      <c r="H3016" s="27" t="s">
        <v>56</v>
      </c>
      <c r="I3016" s="27" t="s">
        <v>42</v>
      </c>
      <c r="J3016" s="28" t="s">
        <v>1579</v>
      </c>
      <c r="K3016" s="27" t="s">
        <v>42</v>
      </c>
      <c r="L3016" s="27"/>
    </row>
    <row r="3017" customFormat="false" ht="15" hidden="false" customHeight="false" outlineLevel="0" collapsed="false">
      <c r="A3017" s="26" t="s">
        <v>10872</v>
      </c>
      <c r="B3017" s="27" t="s">
        <v>10873</v>
      </c>
      <c r="C3017" s="27" t="s">
        <v>144</v>
      </c>
      <c r="D3017" s="26" t="s">
        <v>10874</v>
      </c>
      <c r="E3017" s="27" t="s">
        <v>10875</v>
      </c>
      <c r="F3017" s="28" t="s">
        <v>146</v>
      </c>
      <c r="G3017" s="27" t="s">
        <v>3537</v>
      </c>
      <c r="H3017" s="27" t="s">
        <v>56</v>
      </c>
      <c r="I3017" s="27" t="s">
        <v>42</v>
      </c>
      <c r="J3017" s="28" t="s">
        <v>1579</v>
      </c>
      <c r="K3017" s="27" t="s">
        <v>42</v>
      </c>
      <c r="L3017" s="27"/>
    </row>
    <row r="3018" customFormat="false" ht="15" hidden="false" customHeight="false" outlineLevel="0" collapsed="false">
      <c r="A3018" s="26" t="s">
        <v>10876</v>
      </c>
      <c r="B3018" s="27" t="s">
        <v>10877</v>
      </c>
      <c r="C3018" s="27" t="s">
        <v>144</v>
      </c>
      <c r="D3018" s="26" t="s">
        <v>1702</v>
      </c>
      <c r="E3018" s="27" t="s">
        <v>1701</v>
      </c>
      <c r="F3018" s="28" t="s">
        <v>146</v>
      </c>
      <c r="G3018" s="27" t="s">
        <v>3537</v>
      </c>
      <c r="H3018" s="27" t="s">
        <v>56</v>
      </c>
      <c r="I3018" s="27" t="s">
        <v>42</v>
      </c>
      <c r="J3018" s="28" t="s">
        <v>1579</v>
      </c>
      <c r="K3018" s="27" t="s">
        <v>42</v>
      </c>
      <c r="L3018" s="27"/>
    </row>
    <row r="3019" customFormat="false" ht="15" hidden="false" customHeight="false" outlineLevel="0" collapsed="false">
      <c r="A3019" s="26" t="s">
        <v>10878</v>
      </c>
      <c r="B3019" s="27" t="s">
        <v>10879</v>
      </c>
      <c r="C3019" s="27" t="s">
        <v>144</v>
      </c>
      <c r="D3019" s="26" t="s">
        <v>10880</v>
      </c>
      <c r="E3019" s="27" t="s">
        <v>10881</v>
      </c>
      <c r="F3019" s="28" t="s">
        <v>146</v>
      </c>
      <c r="G3019" s="27" t="s">
        <v>3537</v>
      </c>
      <c r="H3019" s="27" t="s">
        <v>56</v>
      </c>
      <c r="I3019" s="27" t="s">
        <v>42</v>
      </c>
      <c r="J3019" s="28" t="s">
        <v>1579</v>
      </c>
      <c r="K3019" s="27" t="s">
        <v>42</v>
      </c>
      <c r="L3019" s="27"/>
    </row>
    <row r="3020" customFormat="false" ht="15" hidden="false" customHeight="false" outlineLevel="0" collapsed="false">
      <c r="A3020" s="26" t="s">
        <v>10882</v>
      </c>
      <c r="B3020" s="27" t="s">
        <v>10883</v>
      </c>
      <c r="C3020" s="27" t="s">
        <v>144</v>
      </c>
      <c r="D3020" s="26" t="s">
        <v>10884</v>
      </c>
      <c r="E3020" s="27" t="s">
        <v>10885</v>
      </c>
      <c r="F3020" s="28" t="s">
        <v>146</v>
      </c>
      <c r="G3020" s="27" t="s">
        <v>3537</v>
      </c>
      <c r="H3020" s="27" t="s">
        <v>56</v>
      </c>
      <c r="I3020" s="27" t="s">
        <v>42</v>
      </c>
      <c r="J3020" s="28" t="s">
        <v>1579</v>
      </c>
      <c r="K3020" s="27" t="s">
        <v>42</v>
      </c>
      <c r="L3020" s="27"/>
    </row>
    <row r="3021" customFormat="false" ht="15" hidden="false" customHeight="false" outlineLevel="0" collapsed="false">
      <c r="A3021" s="26" t="s">
        <v>10886</v>
      </c>
      <c r="B3021" s="27" t="s">
        <v>10887</v>
      </c>
      <c r="C3021" s="27" t="s">
        <v>144</v>
      </c>
      <c r="D3021" s="26" t="s">
        <v>10888</v>
      </c>
      <c r="E3021" s="27" t="s">
        <v>10889</v>
      </c>
      <c r="F3021" s="28" t="s">
        <v>146</v>
      </c>
      <c r="G3021" s="27" t="s">
        <v>3537</v>
      </c>
      <c r="H3021" s="27" t="s">
        <v>56</v>
      </c>
      <c r="I3021" s="27" t="s">
        <v>42</v>
      </c>
      <c r="J3021" s="28" t="s">
        <v>1579</v>
      </c>
      <c r="K3021" s="27" t="s">
        <v>42</v>
      </c>
      <c r="L3021" s="27"/>
    </row>
    <row r="3022" customFormat="false" ht="15" hidden="false" customHeight="false" outlineLevel="0" collapsed="false">
      <c r="A3022" s="26" t="s">
        <v>10890</v>
      </c>
      <c r="B3022" s="27" t="s">
        <v>10891</v>
      </c>
      <c r="C3022" s="27" t="s">
        <v>144</v>
      </c>
      <c r="D3022" s="26" t="s">
        <v>1714</v>
      </c>
      <c r="E3022" s="27" t="s">
        <v>1715</v>
      </c>
      <c r="F3022" s="28" t="s">
        <v>146</v>
      </c>
      <c r="G3022" s="27" t="s">
        <v>3537</v>
      </c>
      <c r="H3022" s="27" t="s">
        <v>56</v>
      </c>
      <c r="I3022" s="27" t="s">
        <v>42</v>
      </c>
      <c r="J3022" s="28" t="s">
        <v>1579</v>
      </c>
      <c r="K3022" s="27" t="s">
        <v>42</v>
      </c>
      <c r="L3022" s="27"/>
    </row>
    <row r="3023" customFormat="false" ht="15" hidden="false" customHeight="false" outlineLevel="0" collapsed="false">
      <c r="A3023" s="26" t="s">
        <v>10892</v>
      </c>
      <c r="B3023" s="27" t="s">
        <v>10893</v>
      </c>
      <c r="C3023" s="27" t="s">
        <v>1527</v>
      </c>
      <c r="D3023" s="26" t="s">
        <v>9635</v>
      </c>
      <c r="E3023" s="27" t="s">
        <v>9636</v>
      </c>
      <c r="F3023" s="28" t="s">
        <v>1529</v>
      </c>
      <c r="G3023" s="27" t="s">
        <v>3537</v>
      </c>
      <c r="H3023" s="27" t="s">
        <v>56</v>
      </c>
      <c r="I3023" s="27" t="s">
        <v>42</v>
      </c>
      <c r="J3023" s="28" t="s">
        <v>1579</v>
      </c>
      <c r="K3023" s="27" t="s">
        <v>42</v>
      </c>
      <c r="L3023" s="27"/>
    </row>
    <row r="3024" customFormat="false" ht="15" hidden="false" customHeight="false" outlineLevel="0" collapsed="false">
      <c r="A3024" s="26" t="s">
        <v>10894</v>
      </c>
      <c r="B3024" s="27" t="s">
        <v>10895</v>
      </c>
      <c r="C3024" s="27" t="s">
        <v>144</v>
      </c>
      <c r="D3024" s="26" t="s">
        <v>10896</v>
      </c>
      <c r="E3024" s="27" t="s">
        <v>10897</v>
      </c>
      <c r="F3024" s="28" t="s">
        <v>146</v>
      </c>
      <c r="G3024" s="27" t="s">
        <v>3537</v>
      </c>
      <c r="H3024" s="27" t="s">
        <v>56</v>
      </c>
      <c r="I3024" s="27" t="s">
        <v>42</v>
      </c>
      <c r="J3024" s="28" t="s">
        <v>1579</v>
      </c>
      <c r="K3024" s="27" t="s">
        <v>42</v>
      </c>
      <c r="L3024" s="27"/>
    </row>
    <row r="3025" customFormat="false" ht="15" hidden="false" customHeight="false" outlineLevel="0" collapsed="false">
      <c r="A3025" s="26" t="s">
        <v>10898</v>
      </c>
      <c r="B3025" s="27" t="s">
        <v>10899</v>
      </c>
      <c r="C3025" s="27" t="s">
        <v>370</v>
      </c>
      <c r="D3025" s="26" t="s">
        <v>3478</v>
      </c>
      <c r="E3025" s="27" t="s">
        <v>3479</v>
      </c>
      <c r="F3025" s="28" t="s">
        <v>373</v>
      </c>
      <c r="G3025" s="27" t="s">
        <v>3537</v>
      </c>
      <c r="H3025" s="27" t="s">
        <v>56</v>
      </c>
      <c r="I3025" s="27" t="s">
        <v>42</v>
      </c>
      <c r="J3025" s="28" t="s">
        <v>1579</v>
      </c>
      <c r="K3025" s="27" t="s">
        <v>42</v>
      </c>
      <c r="L3025" s="27"/>
    </row>
    <row r="3026" customFormat="false" ht="15" hidden="false" customHeight="false" outlineLevel="0" collapsed="false">
      <c r="A3026" s="26" t="s">
        <v>10900</v>
      </c>
      <c r="B3026" s="27" t="s">
        <v>10901</v>
      </c>
      <c r="C3026" s="27" t="s">
        <v>144</v>
      </c>
      <c r="D3026" s="26" t="s">
        <v>10902</v>
      </c>
      <c r="E3026" s="27" t="s">
        <v>10903</v>
      </c>
      <c r="F3026" s="28" t="s">
        <v>146</v>
      </c>
      <c r="G3026" s="27" t="s">
        <v>3537</v>
      </c>
      <c r="H3026" s="27" t="s">
        <v>56</v>
      </c>
      <c r="I3026" s="27" t="s">
        <v>42</v>
      </c>
      <c r="J3026" s="28" t="s">
        <v>1579</v>
      </c>
      <c r="K3026" s="27" t="s">
        <v>42</v>
      </c>
      <c r="L3026" s="27"/>
    </row>
    <row r="3027" customFormat="false" ht="15" hidden="false" customHeight="false" outlineLevel="0" collapsed="false">
      <c r="A3027" s="26" t="s">
        <v>10904</v>
      </c>
      <c r="B3027" s="27" t="s">
        <v>10905</v>
      </c>
      <c r="C3027" s="27" t="s">
        <v>144</v>
      </c>
      <c r="D3027" s="26" t="s">
        <v>10858</v>
      </c>
      <c r="E3027" s="27" t="s">
        <v>10859</v>
      </c>
      <c r="F3027" s="28" t="s">
        <v>146</v>
      </c>
      <c r="G3027" s="27" t="s">
        <v>3537</v>
      </c>
      <c r="H3027" s="27" t="s">
        <v>56</v>
      </c>
      <c r="I3027" s="27" t="s">
        <v>42</v>
      </c>
      <c r="J3027" s="28" t="s">
        <v>1579</v>
      </c>
      <c r="K3027" s="27" t="s">
        <v>42</v>
      </c>
      <c r="L3027" s="27"/>
    </row>
    <row r="3028" customFormat="false" ht="15" hidden="false" customHeight="false" outlineLevel="0" collapsed="false">
      <c r="A3028" s="26" t="s">
        <v>10906</v>
      </c>
      <c r="B3028" s="27" t="s">
        <v>10907</v>
      </c>
      <c r="C3028" s="27" t="s">
        <v>144</v>
      </c>
      <c r="D3028" s="26" t="s">
        <v>3474</v>
      </c>
      <c r="E3028" s="27" t="s">
        <v>3475</v>
      </c>
      <c r="F3028" s="28" t="s">
        <v>146</v>
      </c>
      <c r="G3028" s="27" t="s">
        <v>3537</v>
      </c>
      <c r="H3028" s="27" t="s">
        <v>56</v>
      </c>
      <c r="I3028" s="27" t="s">
        <v>42</v>
      </c>
      <c r="J3028" s="28" t="s">
        <v>1579</v>
      </c>
      <c r="K3028" s="27" t="s">
        <v>42</v>
      </c>
      <c r="L3028" s="27"/>
    </row>
    <row r="3029" customFormat="false" ht="15" hidden="false" customHeight="false" outlineLevel="0" collapsed="false">
      <c r="A3029" s="26" t="s">
        <v>10908</v>
      </c>
      <c r="B3029" s="27" t="s">
        <v>10909</v>
      </c>
      <c r="C3029" s="27" t="s">
        <v>144</v>
      </c>
      <c r="D3029" s="26" t="s">
        <v>3474</v>
      </c>
      <c r="E3029" s="27" t="s">
        <v>3475</v>
      </c>
      <c r="F3029" s="28" t="s">
        <v>146</v>
      </c>
      <c r="G3029" s="27" t="s">
        <v>3537</v>
      </c>
      <c r="H3029" s="27" t="s">
        <v>56</v>
      </c>
      <c r="I3029" s="27" t="s">
        <v>42</v>
      </c>
      <c r="J3029" s="28" t="s">
        <v>1579</v>
      </c>
      <c r="K3029" s="27" t="s">
        <v>42</v>
      </c>
      <c r="L3029" s="27"/>
    </row>
    <row r="3030" customFormat="false" ht="15" hidden="false" customHeight="false" outlineLevel="0" collapsed="false">
      <c r="A3030" s="26" t="s">
        <v>10910</v>
      </c>
      <c r="B3030" s="27" t="s">
        <v>10911</v>
      </c>
      <c r="C3030" s="27" t="s">
        <v>144</v>
      </c>
      <c r="D3030" s="26" t="s">
        <v>3474</v>
      </c>
      <c r="E3030" s="27" t="s">
        <v>3475</v>
      </c>
      <c r="F3030" s="28" t="s">
        <v>146</v>
      </c>
      <c r="G3030" s="27" t="s">
        <v>3537</v>
      </c>
      <c r="H3030" s="27" t="s">
        <v>56</v>
      </c>
      <c r="I3030" s="27" t="s">
        <v>42</v>
      </c>
      <c r="J3030" s="28" t="s">
        <v>1579</v>
      </c>
      <c r="K3030" s="27" t="s">
        <v>42</v>
      </c>
      <c r="L3030" s="27"/>
    </row>
    <row r="3031" customFormat="false" ht="15" hidden="false" customHeight="false" outlineLevel="0" collapsed="false">
      <c r="A3031" s="26" t="s">
        <v>10912</v>
      </c>
      <c r="B3031" s="27" t="s">
        <v>10913</v>
      </c>
      <c r="C3031" s="27" t="s">
        <v>144</v>
      </c>
      <c r="D3031" s="26" t="s">
        <v>3474</v>
      </c>
      <c r="E3031" s="27" t="s">
        <v>3475</v>
      </c>
      <c r="F3031" s="28" t="s">
        <v>146</v>
      </c>
      <c r="G3031" s="27" t="s">
        <v>3537</v>
      </c>
      <c r="H3031" s="27" t="s">
        <v>56</v>
      </c>
      <c r="I3031" s="27" t="s">
        <v>42</v>
      </c>
      <c r="J3031" s="28" t="s">
        <v>1579</v>
      </c>
      <c r="K3031" s="27" t="s">
        <v>42</v>
      </c>
      <c r="L3031" s="27"/>
    </row>
    <row r="3032" customFormat="false" ht="15" hidden="false" customHeight="false" outlineLevel="0" collapsed="false">
      <c r="A3032" s="26" t="s">
        <v>10914</v>
      </c>
      <c r="B3032" s="27" t="s">
        <v>10915</v>
      </c>
      <c r="C3032" s="27" t="s">
        <v>144</v>
      </c>
      <c r="D3032" s="26" t="s">
        <v>1679</v>
      </c>
      <c r="E3032" s="27" t="s">
        <v>1680</v>
      </c>
      <c r="F3032" s="28" t="s">
        <v>146</v>
      </c>
      <c r="G3032" s="27" t="s">
        <v>3537</v>
      </c>
      <c r="H3032" s="27" t="s">
        <v>56</v>
      </c>
      <c r="I3032" s="27" t="s">
        <v>42</v>
      </c>
      <c r="J3032" s="28" t="s">
        <v>1579</v>
      </c>
      <c r="K3032" s="27" t="s">
        <v>42</v>
      </c>
      <c r="L3032" s="27"/>
    </row>
    <row r="3033" customFormat="false" ht="15" hidden="false" customHeight="false" outlineLevel="0" collapsed="false">
      <c r="A3033" s="26" t="s">
        <v>10916</v>
      </c>
      <c r="B3033" s="27" t="s">
        <v>10917</v>
      </c>
      <c r="C3033" s="27" t="s">
        <v>1527</v>
      </c>
      <c r="D3033" s="26" t="s">
        <v>1627</v>
      </c>
      <c r="E3033" s="27" t="s">
        <v>1628</v>
      </c>
      <c r="F3033" s="28" t="s">
        <v>1529</v>
      </c>
      <c r="G3033" s="27" t="s">
        <v>3537</v>
      </c>
      <c r="H3033" s="27" t="s">
        <v>56</v>
      </c>
      <c r="I3033" s="27" t="s">
        <v>42</v>
      </c>
      <c r="J3033" s="28" t="s">
        <v>1579</v>
      </c>
      <c r="K3033" s="27" t="s">
        <v>42</v>
      </c>
      <c r="L3033" s="27"/>
    </row>
    <row r="3034" customFormat="false" ht="15" hidden="false" customHeight="false" outlineLevel="0" collapsed="false">
      <c r="A3034" s="26" t="s">
        <v>10918</v>
      </c>
      <c r="B3034" s="27" t="s">
        <v>10919</v>
      </c>
      <c r="C3034" s="27" t="s">
        <v>1527</v>
      </c>
      <c r="D3034" s="26" t="s">
        <v>1627</v>
      </c>
      <c r="E3034" s="27" t="s">
        <v>1628</v>
      </c>
      <c r="F3034" s="28" t="s">
        <v>1529</v>
      </c>
      <c r="G3034" s="27" t="s">
        <v>3537</v>
      </c>
      <c r="H3034" s="27" t="s">
        <v>56</v>
      </c>
      <c r="I3034" s="27" t="s">
        <v>42</v>
      </c>
      <c r="J3034" s="28" t="s">
        <v>1579</v>
      </c>
      <c r="K3034" s="27" t="s">
        <v>42</v>
      </c>
      <c r="L3034" s="27"/>
    </row>
    <row r="3035" customFormat="false" ht="15" hidden="false" customHeight="false" outlineLevel="0" collapsed="false">
      <c r="A3035" s="26" t="s">
        <v>10920</v>
      </c>
      <c r="B3035" s="27" t="s">
        <v>10921</v>
      </c>
      <c r="C3035" s="27" t="s">
        <v>370</v>
      </c>
      <c r="D3035" s="26" t="s">
        <v>3478</v>
      </c>
      <c r="E3035" s="27" t="s">
        <v>3479</v>
      </c>
      <c r="F3035" s="28" t="s">
        <v>373</v>
      </c>
      <c r="G3035" s="27" t="s">
        <v>3537</v>
      </c>
      <c r="H3035" s="27" t="s">
        <v>56</v>
      </c>
      <c r="I3035" s="27" t="s">
        <v>42</v>
      </c>
      <c r="J3035" s="28" t="s">
        <v>1579</v>
      </c>
      <c r="K3035" s="27" t="s">
        <v>42</v>
      </c>
      <c r="L3035" s="27"/>
    </row>
    <row r="3036" customFormat="false" ht="15" hidden="false" customHeight="false" outlineLevel="0" collapsed="false">
      <c r="A3036" s="26" t="s">
        <v>10922</v>
      </c>
      <c r="B3036" s="27" t="s">
        <v>10923</v>
      </c>
      <c r="C3036" s="27" t="s">
        <v>144</v>
      </c>
      <c r="D3036" s="26" t="s">
        <v>10924</v>
      </c>
      <c r="E3036" s="27" t="s">
        <v>10925</v>
      </c>
      <c r="F3036" s="28" t="s">
        <v>146</v>
      </c>
      <c r="G3036" s="27" t="s">
        <v>3537</v>
      </c>
      <c r="H3036" s="27" t="s">
        <v>57</v>
      </c>
      <c r="I3036" s="28" t="s">
        <v>50</v>
      </c>
      <c r="J3036" s="28" t="s">
        <v>1579</v>
      </c>
      <c r="K3036" s="27" t="s">
        <v>42</v>
      </c>
      <c r="L3036" s="27"/>
    </row>
    <row r="3037" customFormat="false" ht="15" hidden="false" customHeight="false" outlineLevel="0" collapsed="false">
      <c r="A3037" s="26" t="s">
        <v>10926</v>
      </c>
      <c r="B3037" s="27" t="s">
        <v>10927</v>
      </c>
      <c r="C3037" s="27" t="s">
        <v>144</v>
      </c>
      <c r="D3037" s="26" t="s">
        <v>1007</v>
      </c>
      <c r="E3037" s="27" t="s">
        <v>1008</v>
      </c>
      <c r="F3037" s="28" t="s">
        <v>146</v>
      </c>
      <c r="G3037" s="27" t="s">
        <v>3537</v>
      </c>
      <c r="H3037" s="27" t="s">
        <v>57</v>
      </c>
      <c r="I3037" s="27" t="s">
        <v>39</v>
      </c>
      <c r="J3037" s="28" t="s">
        <v>1579</v>
      </c>
      <c r="K3037" s="27" t="s">
        <v>42</v>
      </c>
      <c r="L3037" s="27"/>
    </row>
    <row r="3038" customFormat="false" ht="15" hidden="false" customHeight="false" outlineLevel="0" collapsed="false">
      <c r="A3038" s="26" t="s">
        <v>10928</v>
      </c>
      <c r="B3038" s="27" t="s">
        <v>10929</v>
      </c>
      <c r="C3038" s="27" t="s">
        <v>1527</v>
      </c>
      <c r="D3038" s="26" t="s">
        <v>1620</v>
      </c>
      <c r="E3038" s="27" t="s">
        <v>1619</v>
      </c>
      <c r="F3038" s="28" t="s">
        <v>1529</v>
      </c>
      <c r="G3038" s="27" t="s">
        <v>3537</v>
      </c>
      <c r="H3038" s="27" t="s">
        <v>56</v>
      </c>
      <c r="I3038" s="27" t="s">
        <v>42</v>
      </c>
      <c r="J3038" s="28" t="s">
        <v>1579</v>
      </c>
      <c r="K3038" s="27" t="s">
        <v>42</v>
      </c>
      <c r="L3038" s="27"/>
    </row>
    <row r="3039" customFormat="false" ht="15" hidden="false" customHeight="false" outlineLevel="0" collapsed="false">
      <c r="A3039" s="26" t="s">
        <v>10930</v>
      </c>
      <c r="B3039" s="27" t="s">
        <v>10931</v>
      </c>
      <c r="C3039" s="27" t="s">
        <v>1527</v>
      </c>
      <c r="D3039" s="26" t="s">
        <v>1620</v>
      </c>
      <c r="E3039" s="27" t="s">
        <v>1619</v>
      </c>
      <c r="F3039" s="28" t="s">
        <v>1529</v>
      </c>
      <c r="G3039" s="27" t="s">
        <v>3537</v>
      </c>
      <c r="H3039" s="27" t="s">
        <v>56</v>
      </c>
      <c r="I3039" s="27" t="s">
        <v>42</v>
      </c>
      <c r="J3039" s="28" t="s">
        <v>1579</v>
      </c>
      <c r="K3039" s="27" t="s">
        <v>42</v>
      </c>
      <c r="L3039" s="27"/>
    </row>
    <row r="3040" customFormat="false" ht="15" hidden="false" customHeight="false" outlineLevel="0" collapsed="false">
      <c r="A3040" s="26" t="s">
        <v>10932</v>
      </c>
      <c r="B3040" s="27" t="s">
        <v>10933</v>
      </c>
      <c r="C3040" s="27" t="s">
        <v>144</v>
      </c>
      <c r="D3040" s="26" t="s">
        <v>10934</v>
      </c>
      <c r="E3040" s="27" t="s">
        <v>10935</v>
      </c>
      <c r="F3040" s="28" t="s">
        <v>146</v>
      </c>
      <c r="G3040" s="27" t="s">
        <v>3537</v>
      </c>
      <c r="H3040" s="27" t="s">
        <v>56</v>
      </c>
      <c r="I3040" s="27" t="s">
        <v>42</v>
      </c>
      <c r="J3040" s="28" t="s">
        <v>1579</v>
      </c>
      <c r="K3040" s="27" t="s">
        <v>42</v>
      </c>
      <c r="L3040" s="27"/>
    </row>
    <row r="3041" customFormat="false" ht="15" hidden="false" customHeight="false" outlineLevel="0" collapsed="false">
      <c r="A3041" s="26" t="s">
        <v>10936</v>
      </c>
      <c r="B3041" s="27" t="s">
        <v>10937</v>
      </c>
      <c r="C3041" s="27" t="s">
        <v>1612</v>
      </c>
      <c r="D3041" s="26" t="s">
        <v>3426</v>
      </c>
      <c r="E3041" s="27" t="s">
        <v>3427</v>
      </c>
      <c r="F3041" s="28" t="s">
        <v>1614</v>
      </c>
      <c r="G3041" s="27" t="s">
        <v>3537</v>
      </c>
      <c r="H3041" s="27" t="s">
        <v>56</v>
      </c>
      <c r="I3041" s="27" t="s">
        <v>42</v>
      </c>
      <c r="J3041" s="28" t="s">
        <v>1579</v>
      </c>
      <c r="K3041" s="27" t="s">
        <v>42</v>
      </c>
      <c r="L3041" s="27"/>
    </row>
    <row r="3042" customFormat="false" ht="15" hidden="false" customHeight="false" outlineLevel="0" collapsed="false">
      <c r="A3042" s="26" t="s">
        <v>10938</v>
      </c>
      <c r="B3042" s="27" t="s">
        <v>10939</v>
      </c>
      <c r="C3042" s="27" t="s">
        <v>144</v>
      </c>
      <c r="D3042" s="26" t="s">
        <v>10874</v>
      </c>
      <c r="E3042" s="27" t="s">
        <v>10875</v>
      </c>
      <c r="F3042" s="28" t="s">
        <v>146</v>
      </c>
      <c r="G3042" s="27" t="s">
        <v>3537</v>
      </c>
      <c r="H3042" s="27" t="s">
        <v>56</v>
      </c>
      <c r="I3042" s="27" t="s">
        <v>42</v>
      </c>
      <c r="J3042" s="28" t="s">
        <v>1579</v>
      </c>
      <c r="K3042" s="27" t="s">
        <v>42</v>
      </c>
      <c r="L3042" s="27"/>
    </row>
    <row r="3043" customFormat="false" ht="15" hidden="false" customHeight="false" outlineLevel="0" collapsed="false">
      <c r="A3043" s="26" t="s">
        <v>10940</v>
      </c>
      <c r="B3043" s="27" t="s">
        <v>10941</v>
      </c>
      <c r="C3043" s="27" t="s">
        <v>144</v>
      </c>
      <c r="D3043" s="26" t="s">
        <v>10942</v>
      </c>
      <c r="E3043" s="27" t="s">
        <v>10943</v>
      </c>
      <c r="F3043" s="28" t="s">
        <v>146</v>
      </c>
      <c r="G3043" s="27" t="s">
        <v>3537</v>
      </c>
      <c r="H3043" s="27" t="s">
        <v>56</v>
      </c>
      <c r="I3043" s="27" t="s">
        <v>42</v>
      </c>
      <c r="J3043" s="28" t="s">
        <v>1579</v>
      </c>
      <c r="K3043" s="27" t="s">
        <v>42</v>
      </c>
      <c r="L3043" s="27"/>
    </row>
    <row r="3044" customFormat="false" ht="15" hidden="false" customHeight="false" outlineLevel="0" collapsed="false">
      <c r="A3044" s="26" t="s">
        <v>10944</v>
      </c>
      <c r="B3044" s="27" t="s">
        <v>10945</v>
      </c>
      <c r="C3044" s="27" t="s">
        <v>144</v>
      </c>
      <c r="D3044" s="26" t="s">
        <v>10870</v>
      </c>
      <c r="E3044" s="27" t="s">
        <v>10871</v>
      </c>
      <c r="F3044" s="28" t="s">
        <v>146</v>
      </c>
      <c r="G3044" s="27" t="s">
        <v>3537</v>
      </c>
      <c r="H3044" s="27" t="s">
        <v>56</v>
      </c>
      <c r="I3044" s="27" t="s">
        <v>42</v>
      </c>
      <c r="J3044" s="28" t="s">
        <v>1579</v>
      </c>
      <c r="K3044" s="27" t="s">
        <v>42</v>
      </c>
      <c r="L3044" s="27"/>
    </row>
    <row r="3045" customFormat="false" ht="15" hidden="false" customHeight="false" outlineLevel="0" collapsed="false">
      <c r="A3045" s="26" t="s">
        <v>10946</v>
      </c>
      <c r="B3045" s="27" t="s">
        <v>10947</v>
      </c>
      <c r="C3045" s="27" t="s">
        <v>144</v>
      </c>
      <c r="D3045" s="26" t="s">
        <v>10934</v>
      </c>
      <c r="E3045" s="27" t="s">
        <v>10935</v>
      </c>
      <c r="F3045" s="28" t="s">
        <v>146</v>
      </c>
      <c r="G3045" s="27" t="s">
        <v>3537</v>
      </c>
      <c r="H3045" s="27" t="s">
        <v>56</v>
      </c>
      <c r="I3045" s="27" t="s">
        <v>42</v>
      </c>
      <c r="J3045" s="28" t="s">
        <v>1579</v>
      </c>
      <c r="K3045" s="27" t="s">
        <v>42</v>
      </c>
      <c r="L3045" s="27"/>
    </row>
    <row r="3046" customFormat="false" ht="15" hidden="false" customHeight="false" outlineLevel="0" collapsed="false">
      <c r="A3046" s="26" t="s">
        <v>10948</v>
      </c>
      <c r="B3046" s="27" t="s">
        <v>10949</v>
      </c>
      <c r="C3046" s="27" t="s">
        <v>144</v>
      </c>
      <c r="D3046" s="26" t="s">
        <v>10950</v>
      </c>
      <c r="E3046" s="27" t="s">
        <v>10951</v>
      </c>
      <c r="F3046" s="28" t="s">
        <v>146</v>
      </c>
      <c r="G3046" s="27" t="s">
        <v>3537</v>
      </c>
      <c r="H3046" s="27" t="s">
        <v>56</v>
      </c>
      <c r="I3046" s="27" t="s">
        <v>42</v>
      </c>
      <c r="J3046" s="28" t="s">
        <v>1579</v>
      </c>
      <c r="K3046" s="27" t="s">
        <v>42</v>
      </c>
      <c r="L3046" s="27"/>
    </row>
    <row r="3047" customFormat="false" ht="15" hidden="false" customHeight="false" outlineLevel="0" collapsed="false">
      <c r="A3047" s="26" t="s">
        <v>10952</v>
      </c>
      <c r="B3047" s="27" t="s">
        <v>10953</v>
      </c>
      <c r="C3047" s="27" t="s">
        <v>144</v>
      </c>
      <c r="D3047" s="26" t="s">
        <v>1262</v>
      </c>
      <c r="E3047" s="27" t="s">
        <v>1263</v>
      </c>
      <c r="F3047" s="28" t="s">
        <v>146</v>
      </c>
      <c r="G3047" s="27" t="s">
        <v>3537</v>
      </c>
      <c r="H3047" s="27" t="s">
        <v>57</v>
      </c>
      <c r="I3047" s="28" t="s">
        <v>46</v>
      </c>
      <c r="J3047" s="28" t="s">
        <v>1579</v>
      </c>
      <c r="K3047" s="27" t="s">
        <v>42</v>
      </c>
      <c r="L3047" s="27"/>
    </row>
    <row r="3048" customFormat="false" ht="15" hidden="false" customHeight="false" outlineLevel="0" collapsed="false">
      <c r="A3048" s="26" t="s">
        <v>10954</v>
      </c>
      <c r="B3048" s="27" t="s">
        <v>10955</v>
      </c>
      <c r="C3048" s="27" t="s">
        <v>10817</v>
      </c>
      <c r="D3048" s="26" t="s">
        <v>10956</v>
      </c>
      <c r="E3048" s="27" t="s">
        <v>10957</v>
      </c>
      <c r="F3048" s="28" t="s">
        <v>2073</v>
      </c>
      <c r="G3048" s="27" t="s">
        <v>3537</v>
      </c>
      <c r="H3048" s="27" t="s">
        <v>56</v>
      </c>
      <c r="I3048" s="27" t="s">
        <v>42</v>
      </c>
      <c r="J3048" s="28" t="s">
        <v>1579</v>
      </c>
      <c r="K3048" s="27" t="s">
        <v>42</v>
      </c>
      <c r="L3048" s="27"/>
    </row>
    <row r="3049" customFormat="false" ht="15" hidden="false" customHeight="false" outlineLevel="0" collapsed="false">
      <c r="A3049" s="26" t="s">
        <v>10958</v>
      </c>
      <c r="B3049" s="27" t="s">
        <v>10959</v>
      </c>
      <c r="C3049" s="27" t="s">
        <v>100</v>
      </c>
      <c r="D3049" s="26" t="s">
        <v>1654</v>
      </c>
      <c r="E3049" s="27" t="s">
        <v>1655</v>
      </c>
      <c r="F3049" s="28" t="s">
        <v>102</v>
      </c>
      <c r="G3049" s="27" t="s">
        <v>3537</v>
      </c>
      <c r="H3049" s="27" t="s">
        <v>57</v>
      </c>
      <c r="I3049" s="27" t="s">
        <v>1067</v>
      </c>
      <c r="J3049" s="28" t="s">
        <v>1579</v>
      </c>
      <c r="K3049" s="27" t="s">
        <v>42</v>
      </c>
      <c r="L3049" s="27"/>
    </row>
    <row r="3050" customFormat="false" ht="15" hidden="false" customHeight="false" outlineLevel="0" collapsed="false">
      <c r="A3050" s="26" t="s">
        <v>10960</v>
      </c>
      <c r="B3050" s="27" t="s">
        <v>10961</v>
      </c>
      <c r="C3050" s="27" t="s">
        <v>144</v>
      </c>
      <c r="D3050" s="26" t="s">
        <v>10962</v>
      </c>
      <c r="E3050" s="27" t="s">
        <v>10963</v>
      </c>
      <c r="F3050" s="28" t="s">
        <v>146</v>
      </c>
      <c r="G3050" s="27" t="s">
        <v>3537</v>
      </c>
      <c r="H3050" s="27" t="s">
        <v>56</v>
      </c>
      <c r="I3050" s="27" t="s">
        <v>42</v>
      </c>
      <c r="J3050" s="28" t="s">
        <v>1579</v>
      </c>
      <c r="K3050" s="27" t="s">
        <v>42</v>
      </c>
      <c r="L3050" s="27"/>
    </row>
    <row r="3051" customFormat="false" ht="15" hidden="false" customHeight="false" outlineLevel="0" collapsed="false">
      <c r="A3051" s="26" t="s">
        <v>10964</v>
      </c>
      <c r="B3051" s="27" t="s">
        <v>10965</v>
      </c>
      <c r="C3051" s="27" t="s">
        <v>144</v>
      </c>
      <c r="D3051" s="26" t="s">
        <v>10966</v>
      </c>
      <c r="E3051" s="27" t="s">
        <v>10967</v>
      </c>
      <c r="F3051" s="28" t="s">
        <v>1158</v>
      </c>
      <c r="G3051" s="27" t="s">
        <v>3537</v>
      </c>
      <c r="H3051" s="27" t="s">
        <v>57</v>
      </c>
      <c r="I3051" s="28" t="s">
        <v>50</v>
      </c>
      <c r="J3051" s="28" t="s">
        <v>1579</v>
      </c>
      <c r="K3051" s="27" t="s">
        <v>42</v>
      </c>
      <c r="L3051" s="27"/>
    </row>
    <row r="3052" customFormat="false" ht="15" hidden="false" customHeight="false" outlineLevel="0" collapsed="false">
      <c r="A3052" s="26" t="s">
        <v>10968</v>
      </c>
      <c r="B3052" s="27" t="s">
        <v>10969</v>
      </c>
      <c r="C3052" s="27" t="s">
        <v>144</v>
      </c>
      <c r="D3052" s="26" t="s">
        <v>10970</v>
      </c>
      <c r="E3052" s="27" t="s">
        <v>10971</v>
      </c>
      <c r="F3052" s="28" t="s">
        <v>146</v>
      </c>
      <c r="G3052" s="27" t="s">
        <v>3537</v>
      </c>
      <c r="H3052" s="27" t="s">
        <v>56</v>
      </c>
      <c r="I3052" s="27" t="s">
        <v>42</v>
      </c>
      <c r="J3052" s="28" t="s">
        <v>1579</v>
      </c>
      <c r="K3052" s="27" t="s">
        <v>42</v>
      </c>
      <c r="L3052" s="27"/>
    </row>
    <row r="3053" customFormat="false" ht="15" hidden="false" customHeight="false" outlineLevel="0" collapsed="false">
      <c r="A3053" s="26" t="s">
        <v>10972</v>
      </c>
      <c r="B3053" s="27" t="s">
        <v>10973</v>
      </c>
      <c r="C3053" s="27" t="s">
        <v>1527</v>
      </c>
      <c r="D3053" s="26" t="s">
        <v>1667</v>
      </c>
      <c r="E3053" s="27" t="s">
        <v>1668</v>
      </c>
      <c r="F3053" s="28" t="s">
        <v>1529</v>
      </c>
      <c r="G3053" s="27" t="s">
        <v>3537</v>
      </c>
      <c r="H3053" s="27" t="s">
        <v>56</v>
      </c>
      <c r="I3053" s="27" t="s">
        <v>42</v>
      </c>
      <c r="J3053" s="28" t="s">
        <v>1579</v>
      </c>
      <c r="K3053" s="27" t="s">
        <v>42</v>
      </c>
      <c r="L3053" s="27"/>
    </row>
    <row r="3054" customFormat="false" ht="15" hidden="false" customHeight="false" outlineLevel="0" collapsed="false">
      <c r="A3054" s="26" t="s">
        <v>10974</v>
      </c>
      <c r="B3054" s="27" t="s">
        <v>10975</v>
      </c>
      <c r="C3054" s="27" t="s">
        <v>10817</v>
      </c>
      <c r="D3054" s="26" t="s">
        <v>3458</v>
      </c>
      <c r="E3054" s="27" t="s">
        <v>3459</v>
      </c>
      <c r="F3054" s="28" t="s">
        <v>2073</v>
      </c>
      <c r="G3054" s="27" t="s">
        <v>3537</v>
      </c>
      <c r="H3054" s="27" t="s">
        <v>56</v>
      </c>
      <c r="I3054" s="27" t="s">
        <v>42</v>
      </c>
      <c r="J3054" s="28" t="s">
        <v>1579</v>
      </c>
      <c r="K3054" s="27" t="s">
        <v>42</v>
      </c>
      <c r="L3054" s="27"/>
    </row>
    <row r="3055" customFormat="false" ht="15" hidden="false" customHeight="false" outlineLevel="0" collapsed="false">
      <c r="A3055" s="26" t="s">
        <v>10976</v>
      </c>
      <c r="B3055" s="27" t="s">
        <v>10977</v>
      </c>
      <c r="C3055" s="27" t="s">
        <v>10817</v>
      </c>
      <c r="D3055" s="26" t="s">
        <v>3458</v>
      </c>
      <c r="E3055" s="27" t="s">
        <v>3459</v>
      </c>
      <c r="F3055" s="28" t="s">
        <v>2073</v>
      </c>
      <c r="G3055" s="27" t="s">
        <v>3537</v>
      </c>
      <c r="H3055" s="27" t="s">
        <v>56</v>
      </c>
      <c r="I3055" s="27" t="s">
        <v>42</v>
      </c>
      <c r="J3055" s="28" t="s">
        <v>1579</v>
      </c>
      <c r="K3055" s="27" t="s">
        <v>42</v>
      </c>
      <c r="L3055" s="27"/>
    </row>
    <row r="3056" customFormat="false" ht="15" hidden="false" customHeight="false" outlineLevel="0" collapsed="false">
      <c r="A3056" s="26" t="s">
        <v>10978</v>
      </c>
      <c r="B3056" s="27" t="s">
        <v>10979</v>
      </c>
      <c r="C3056" s="27" t="s">
        <v>10817</v>
      </c>
      <c r="D3056" s="26" t="s">
        <v>3458</v>
      </c>
      <c r="E3056" s="27" t="s">
        <v>3459</v>
      </c>
      <c r="F3056" s="28" t="s">
        <v>2073</v>
      </c>
      <c r="G3056" s="27" t="s">
        <v>3537</v>
      </c>
      <c r="H3056" s="27" t="s">
        <v>56</v>
      </c>
      <c r="I3056" s="27" t="s">
        <v>42</v>
      </c>
      <c r="J3056" s="28" t="s">
        <v>1579</v>
      </c>
      <c r="K3056" s="27" t="s">
        <v>42</v>
      </c>
      <c r="L3056" s="27"/>
    </row>
    <row r="3057" customFormat="false" ht="15" hidden="false" customHeight="false" outlineLevel="0" collapsed="false">
      <c r="A3057" s="26" t="s">
        <v>10980</v>
      </c>
      <c r="B3057" s="27" t="s">
        <v>10981</v>
      </c>
      <c r="C3057" s="27" t="s">
        <v>10817</v>
      </c>
      <c r="D3057" s="26" t="s">
        <v>10824</v>
      </c>
      <c r="E3057" s="27" t="s">
        <v>10825</v>
      </c>
      <c r="F3057" s="28" t="s">
        <v>2073</v>
      </c>
      <c r="G3057" s="27" t="s">
        <v>3537</v>
      </c>
      <c r="H3057" s="27" t="s">
        <v>56</v>
      </c>
      <c r="I3057" s="27" t="s">
        <v>42</v>
      </c>
      <c r="J3057" s="28" t="s">
        <v>1579</v>
      </c>
      <c r="K3057" s="27" t="s">
        <v>42</v>
      </c>
      <c r="L3057" s="27"/>
    </row>
    <row r="3058" customFormat="false" ht="15" hidden="false" customHeight="false" outlineLevel="0" collapsed="false">
      <c r="A3058" s="26" t="s">
        <v>10982</v>
      </c>
      <c r="B3058" s="27" t="s">
        <v>10983</v>
      </c>
      <c r="C3058" s="27" t="s">
        <v>144</v>
      </c>
      <c r="D3058" s="26" t="s">
        <v>10984</v>
      </c>
      <c r="E3058" s="27" t="s">
        <v>10985</v>
      </c>
      <c r="F3058" s="28" t="s">
        <v>1158</v>
      </c>
      <c r="G3058" s="27" t="s">
        <v>3537</v>
      </c>
      <c r="H3058" s="27" t="s">
        <v>57</v>
      </c>
      <c r="I3058" s="28" t="s">
        <v>50</v>
      </c>
      <c r="J3058" s="28" t="s">
        <v>1579</v>
      </c>
      <c r="K3058" s="27" t="s">
        <v>42</v>
      </c>
      <c r="L3058" s="27"/>
    </row>
    <row r="3059" customFormat="false" ht="15" hidden="false" customHeight="false" outlineLevel="0" collapsed="false">
      <c r="A3059" s="26" t="s">
        <v>10986</v>
      </c>
      <c r="B3059" s="27" t="s">
        <v>10987</v>
      </c>
      <c r="C3059" s="27" t="s">
        <v>144</v>
      </c>
      <c r="D3059" s="26" t="s">
        <v>10988</v>
      </c>
      <c r="E3059" s="27" t="s">
        <v>10989</v>
      </c>
      <c r="F3059" s="28" t="s">
        <v>146</v>
      </c>
      <c r="G3059" s="27" t="s">
        <v>3537</v>
      </c>
      <c r="H3059" s="27" t="s">
        <v>56</v>
      </c>
      <c r="I3059" s="27" t="s">
        <v>42</v>
      </c>
      <c r="J3059" s="28" t="s">
        <v>1579</v>
      </c>
      <c r="K3059" s="27" t="s">
        <v>42</v>
      </c>
      <c r="L3059" s="27"/>
    </row>
    <row r="3060" customFormat="false" ht="15" hidden="false" customHeight="false" outlineLevel="0" collapsed="false">
      <c r="A3060" s="26" t="s">
        <v>10990</v>
      </c>
      <c r="B3060" s="27" t="s">
        <v>10991</v>
      </c>
      <c r="C3060" s="27" t="s">
        <v>144</v>
      </c>
      <c r="D3060" s="26" t="s">
        <v>10992</v>
      </c>
      <c r="E3060" s="27" t="s">
        <v>10993</v>
      </c>
      <c r="F3060" s="28" t="s">
        <v>1158</v>
      </c>
      <c r="G3060" s="27" t="s">
        <v>3537</v>
      </c>
      <c r="H3060" s="27" t="s">
        <v>57</v>
      </c>
      <c r="I3060" s="28" t="s">
        <v>50</v>
      </c>
      <c r="J3060" s="28" t="s">
        <v>1579</v>
      </c>
      <c r="K3060" s="27" t="s">
        <v>42</v>
      </c>
      <c r="L3060" s="27"/>
    </row>
    <row r="3061" customFormat="false" ht="15" hidden="false" customHeight="false" outlineLevel="0" collapsed="false">
      <c r="A3061" s="26" t="s">
        <v>10994</v>
      </c>
      <c r="B3061" s="27" t="s">
        <v>10995</v>
      </c>
      <c r="C3061" s="27" t="s">
        <v>144</v>
      </c>
      <c r="D3061" s="26" t="s">
        <v>10996</v>
      </c>
      <c r="E3061" s="27" t="s">
        <v>10997</v>
      </c>
      <c r="F3061" s="28" t="s">
        <v>146</v>
      </c>
      <c r="G3061" s="27" t="s">
        <v>3537</v>
      </c>
      <c r="H3061" s="27" t="s">
        <v>57</v>
      </c>
      <c r="I3061" s="28" t="s">
        <v>50</v>
      </c>
      <c r="J3061" s="28" t="s">
        <v>1579</v>
      </c>
      <c r="K3061" s="27" t="s">
        <v>42</v>
      </c>
      <c r="L3061" s="27"/>
    </row>
    <row r="3062" customFormat="false" ht="15" hidden="false" customHeight="false" outlineLevel="0" collapsed="false">
      <c r="A3062" s="26" t="s">
        <v>10998</v>
      </c>
      <c r="B3062" s="27" t="s">
        <v>10999</v>
      </c>
      <c r="C3062" s="27" t="s">
        <v>144</v>
      </c>
      <c r="D3062" s="26" t="s">
        <v>11000</v>
      </c>
      <c r="E3062" s="27" t="s">
        <v>11001</v>
      </c>
      <c r="F3062" s="28" t="s">
        <v>1158</v>
      </c>
      <c r="G3062" s="27" t="s">
        <v>3537</v>
      </c>
      <c r="H3062" s="27" t="s">
        <v>57</v>
      </c>
      <c r="I3062" s="28" t="s">
        <v>50</v>
      </c>
      <c r="J3062" s="28" t="s">
        <v>1579</v>
      </c>
      <c r="K3062" s="27" t="s">
        <v>42</v>
      </c>
      <c r="L3062" s="27"/>
    </row>
    <row r="3063" customFormat="false" ht="15" hidden="false" customHeight="false" outlineLevel="0" collapsed="false">
      <c r="A3063" s="26" t="s">
        <v>11002</v>
      </c>
      <c r="B3063" s="27" t="s">
        <v>11003</v>
      </c>
      <c r="C3063" s="27" t="s">
        <v>144</v>
      </c>
      <c r="D3063" s="26" t="s">
        <v>10934</v>
      </c>
      <c r="E3063" s="27" t="s">
        <v>10935</v>
      </c>
      <c r="F3063" s="28" t="s">
        <v>146</v>
      </c>
      <c r="G3063" s="27" t="s">
        <v>3537</v>
      </c>
      <c r="H3063" s="27" t="s">
        <v>56</v>
      </c>
      <c r="I3063" s="27" t="s">
        <v>42</v>
      </c>
      <c r="J3063" s="28" t="s">
        <v>1579</v>
      </c>
      <c r="K3063" s="27" t="s">
        <v>42</v>
      </c>
      <c r="L3063" s="27"/>
    </row>
    <row r="3064" customFormat="false" ht="15" hidden="false" customHeight="false" outlineLevel="0" collapsed="false">
      <c r="A3064" s="26" t="s">
        <v>11004</v>
      </c>
      <c r="B3064" s="27" t="s">
        <v>11005</v>
      </c>
      <c r="C3064" s="27" t="s">
        <v>144</v>
      </c>
      <c r="D3064" s="26" t="s">
        <v>11006</v>
      </c>
      <c r="E3064" s="27" t="s">
        <v>11007</v>
      </c>
      <c r="F3064" s="28" t="s">
        <v>146</v>
      </c>
      <c r="G3064" s="27" t="s">
        <v>3537</v>
      </c>
      <c r="H3064" s="27" t="s">
        <v>57</v>
      </c>
      <c r="I3064" s="27" t="s">
        <v>1067</v>
      </c>
      <c r="J3064" s="28" t="s">
        <v>1579</v>
      </c>
      <c r="K3064" s="27" t="s">
        <v>42</v>
      </c>
      <c r="L3064" s="27"/>
    </row>
    <row r="3065" customFormat="false" ht="15" hidden="false" customHeight="false" outlineLevel="0" collapsed="false">
      <c r="A3065" s="26" t="s">
        <v>11008</v>
      </c>
      <c r="B3065" s="27" t="s">
        <v>11009</v>
      </c>
      <c r="C3065" s="27" t="s">
        <v>144</v>
      </c>
      <c r="D3065" s="26" t="s">
        <v>11010</v>
      </c>
      <c r="E3065" s="27" t="s">
        <v>11011</v>
      </c>
      <c r="F3065" s="28" t="s">
        <v>146</v>
      </c>
      <c r="G3065" s="27" t="s">
        <v>3537</v>
      </c>
      <c r="H3065" s="27" t="s">
        <v>56</v>
      </c>
      <c r="I3065" s="27" t="s">
        <v>42</v>
      </c>
      <c r="J3065" s="28" t="s">
        <v>1579</v>
      </c>
      <c r="K3065" s="27" t="s">
        <v>42</v>
      </c>
      <c r="L3065" s="27"/>
    </row>
    <row r="3066" customFormat="false" ht="15" hidden="false" customHeight="false" outlineLevel="0" collapsed="false">
      <c r="A3066" s="26" t="s">
        <v>11012</v>
      </c>
      <c r="B3066" s="27" t="s">
        <v>11013</v>
      </c>
      <c r="C3066" s="27" t="s">
        <v>144</v>
      </c>
      <c r="D3066" s="26" t="s">
        <v>11014</v>
      </c>
      <c r="E3066" s="27" t="s">
        <v>11015</v>
      </c>
      <c r="F3066" s="28" t="s">
        <v>146</v>
      </c>
      <c r="G3066" s="27" t="s">
        <v>3537</v>
      </c>
      <c r="H3066" s="27" t="s">
        <v>57</v>
      </c>
      <c r="I3066" s="28" t="s">
        <v>50</v>
      </c>
      <c r="J3066" s="28" t="s">
        <v>1579</v>
      </c>
      <c r="K3066" s="27" t="s">
        <v>42</v>
      </c>
      <c r="L3066" s="27"/>
    </row>
    <row r="3067" customFormat="false" ht="15" hidden="false" customHeight="false" outlineLevel="0" collapsed="false">
      <c r="A3067" s="26" t="s">
        <v>11016</v>
      </c>
      <c r="B3067" s="27" t="s">
        <v>11017</v>
      </c>
      <c r="C3067" s="27" t="s">
        <v>144</v>
      </c>
      <c r="D3067" s="26" t="s">
        <v>10934</v>
      </c>
      <c r="E3067" s="27" t="s">
        <v>10935</v>
      </c>
      <c r="F3067" s="28" t="s">
        <v>146</v>
      </c>
      <c r="G3067" s="27" t="s">
        <v>3537</v>
      </c>
      <c r="H3067" s="27" t="s">
        <v>56</v>
      </c>
      <c r="I3067" s="27" t="s">
        <v>42</v>
      </c>
      <c r="J3067" s="28" t="s">
        <v>1579</v>
      </c>
      <c r="K3067" s="27" t="s">
        <v>42</v>
      </c>
      <c r="L3067" s="27"/>
    </row>
    <row r="3068" customFormat="false" ht="15" hidden="false" customHeight="false" outlineLevel="0" collapsed="false">
      <c r="A3068" s="26" t="s">
        <v>11018</v>
      </c>
      <c r="B3068" s="27" t="s">
        <v>11019</v>
      </c>
      <c r="C3068" s="27" t="s">
        <v>144</v>
      </c>
      <c r="D3068" s="26" t="s">
        <v>10934</v>
      </c>
      <c r="E3068" s="27" t="s">
        <v>10935</v>
      </c>
      <c r="F3068" s="28" t="s">
        <v>146</v>
      </c>
      <c r="G3068" s="27" t="s">
        <v>3537</v>
      </c>
      <c r="H3068" s="27" t="s">
        <v>56</v>
      </c>
      <c r="I3068" s="27" t="s">
        <v>42</v>
      </c>
      <c r="J3068" s="28" t="s">
        <v>1579</v>
      </c>
      <c r="K3068" s="27" t="s">
        <v>42</v>
      </c>
      <c r="L3068" s="27"/>
    </row>
    <row r="3069" customFormat="false" ht="15" hidden="false" customHeight="false" outlineLevel="0" collapsed="false">
      <c r="A3069" s="26" t="s">
        <v>11020</v>
      </c>
      <c r="B3069" s="27" t="s">
        <v>11021</v>
      </c>
      <c r="C3069" s="27" t="s">
        <v>144</v>
      </c>
      <c r="D3069" s="26" t="s">
        <v>11022</v>
      </c>
      <c r="E3069" s="27" t="s">
        <v>11023</v>
      </c>
      <c r="F3069" s="28" t="s">
        <v>146</v>
      </c>
      <c r="G3069" s="27" t="s">
        <v>3537</v>
      </c>
      <c r="H3069" s="27" t="s">
        <v>56</v>
      </c>
      <c r="I3069" s="27" t="s">
        <v>42</v>
      </c>
      <c r="J3069" s="28" t="s">
        <v>1579</v>
      </c>
      <c r="K3069" s="27" t="s">
        <v>42</v>
      </c>
      <c r="L3069" s="27"/>
    </row>
    <row r="3070" customFormat="false" ht="15" hidden="false" customHeight="false" outlineLevel="0" collapsed="false">
      <c r="A3070" s="26" t="s">
        <v>11024</v>
      </c>
      <c r="B3070" s="27" t="s">
        <v>11025</v>
      </c>
      <c r="C3070" s="27" t="s">
        <v>144</v>
      </c>
      <c r="D3070" s="26" t="s">
        <v>10721</v>
      </c>
      <c r="E3070" s="27" t="s">
        <v>10722</v>
      </c>
      <c r="F3070" s="28" t="s">
        <v>146</v>
      </c>
      <c r="G3070" s="27" t="s">
        <v>3537</v>
      </c>
      <c r="H3070" s="27" t="s">
        <v>56</v>
      </c>
      <c r="I3070" s="27" t="s">
        <v>42</v>
      </c>
      <c r="J3070" s="28" t="s">
        <v>1579</v>
      </c>
      <c r="K3070" s="27" t="s">
        <v>42</v>
      </c>
      <c r="L3070" s="27"/>
    </row>
    <row r="3071" customFormat="false" ht="15" hidden="false" customHeight="false" outlineLevel="0" collapsed="false">
      <c r="A3071" s="26" t="s">
        <v>11026</v>
      </c>
      <c r="B3071" s="27" t="s">
        <v>11027</v>
      </c>
      <c r="C3071" s="27" t="s">
        <v>144</v>
      </c>
      <c r="D3071" s="26" t="s">
        <v>11028</v>
      </c>
      <c r="E3071" s="27" t="s">
        <v>11029</v>
      </c>
      <c r="F3071" s="28" t="s">
        <v>146</v>
      </c>
      <c r="G3071" s="27" t="s">
        <v>3537</v>
      </c>
      <c r="H3071" s="27" t="s">
        <v>56</v>
      </c>
      <c r="I3071" s="27" t="s">
        <v>42</v>
      </c>
      <c r="J3071" s="28" t="s">
        <v>1579</v>
      </c>
      <c r="K3071" s="27" t="s">
        <v>42</v>
      </c>
      <c r="L3071" s="27"/>
    </row>
    <row r="3072" customFormat="false" ht="15" hidden="false" customHeight="false" outlineLevel="0" collapsed="false">
      <c r="A3072" s="26" t="s">
        <v>11030</v>
      </c>
      <c r="B3072" s="27" t="s">
        <v>11031</v>
      </c>
      <c r="C3072" s="27" t="s">
        <v>144</v>
      </c>
      <c r="D3072" s="26" t="s">
        <v>11032</v>
      </c>
      <c r="E3072" s="27" t="s">
        <v>11033</v>
      </c>
      <c r="F3072" s="28" t="s">
        <v>146</v>
      </c>
      <c r="G3072" s="27" t="s">
        <v>3537</v>
      </c>
      <c r="H3072" s="27" t="s">
        <v>56</v>
      </c>
      <c r="I3072" s="27" t="s">
        <v>42</v>
      </c>
      <c r="J3072" s="28" t="s">
        <v>1579</v>
      </c>
      <c r="K3072" s="27" t="s">
        <v>42</v>
      </c>
      <c r="L3072" s="27"/>
    </row>
    <row r="3073" customFormat="false" ht="15" hidden="false" customHeight="false" outlineLevel="0" collapsed="false">
      <c r="A3073" s="26" t="s">
        <v>11034</v>
      </c>
      <c r="B3073" s="27" t="s">
        <v>11035</v>
      </c>
      <c r="C3073" s="27" t="s">
        <v>144</v>
      </c>
      <c r="D3073" s="26" t="s">
        <v>11036</v>
      </c>
      <c r="E3073" s="27" t="s">
        <v>11037</v>
      </c>
      <c r="F3073" s="28" t="s">
        <v>146</v>
      </c>
      <c r="G3073" s="27" t="s">
        <v>3537</v>
      </c>
      <c r="H3073" s="27" t="s">
        <v>56</v>
      </c>
      <c r="I3073" s="27" t="s">
        <v>42</v>
      </c>
      <c r="J3073" s="28" t="s">
        <v>1579</v>
      </c>
      <c r="K3073" s="27" t="s">
        <v>42</v>
      </c>
      <c r="L3073" s="27"/>
    </row>
    <row r="3074" customFormat="false" ht="15" hidden="false" customHeight="false" outlineLevel="0" collapsed="false">
      <c r="A3074" s="26" t="s">
        <v>11038</v>
      </c>
      <c r="B3074" s="27" t="s">
        <v>11039</v>
      </c>
      <c r="C3074" s="27" t="s">
        <v>144</v>
      </c>
      <c r="D3074" s="26" t="s">
        <v>1724</v>
      </c>
      <c r="E3074" s="27" t="s">
        <v>1723</v>
      </c>
      <c r="F3074" s="28" t="s">
        <v>146</v>
      </c>
      <c r="G3074" s="27" t="s">
        <v>3537</v>
      </c>
      <c r="H3074" s="27" t="s">
        <v>57</v>
      </c>
      <c r="I3074" s="27" t="s">
        <v>39</v>
      </c>
      <c r="J3074" s="28" t="s">
        <v>1579</v>
      </c>
      <c r="K3074" s="27" t="s">
        <v>42</v>
      </c>
      <c r="L3074" s="27"/>
    </row>
    <row r="3075" customFormat="false" ht="15" hidden="false" customHeight="false" outlineLevel="0" collapsed="false">
      <c r="A3075" s="26" t="s">
        <v>11040</v>
      </c>
      <c r="B3075" s="27" t="s">
        <v>11041</v>
      </c>
      <c r="C3075" s="27" t="s">
        <v>144</v>
      </c>
      <c r="D3075" s="26" t="s">
        <v>11042</v>
      </c>
      <c r="E3075" s="27" t="s">
        <v>11043</v>
      </c>
      <c r="F3075" s="28" t="s">
        <v>146</v>
      </c>
      <c r="G3075" s="27" t="s">
        <v>3537</v>
      </c>
      <c r="H3075" s="27" t="s">
        <v>56</v>
      </c>
      <c r="I3075" s="27" t="s">
        <v>42</v>
      </c>
      <c r="J3075" s="28" t="s">
        <v>1579</v>
      </c>
      <c r="K3075" s="27" t="s">
        <v>42</v>
      </c>
      <c r="L3075" s="27"/>
    </row>
    <row r="3076" customFormat="false" ht="15" hidden="false" customHeight="false" outlineLevel="0" collapsed="false">
      <c r="A3076" s="26" t="s">
        <v>11044</v>
      </c>
      <c r="B3076" s="27" t="s">
        <v>11045</v>
      </c>
      <c r="C3076" s="27" t="s">
        <v>144</v>
      </c>
      <c r="D3076" s="26" t="s">
        <v>11046</v>
      </c>
      <c r="E3076" s="27" t="s">
        <v>11047</v>
      </c>
      <c r="F3076" s="28" t="s">
        <v>146</v>
      </c>
      <c r="G3076" s="27" t="s">
        <v>3537</v>
      </c>
      <c r="H3076" s="27" t="s">
        <v>56</v>
      </c>
      <c r="I3076" s="27" t="s">
        <v>42</v>
      </c>
      <c r="J3076" s="28" t="s">
        <v>1579</v>
      </c>
      <c r="K3076" s="27" t="s">
        <v>42</v>
      </c>
      <c r="L3076" s="27"/>
    </row>
    <row r="3077" customFormat="false" ht="15" hidden="false" customHeight="false" outlineLevel="0" collapsed="false">
      <c r="A3077" s="26" t="s">
        <v>11048</v>
      </c>
      <c r="B3077" s="27" t="s">
        <v>11049</v>
      </c>
      <c r="C3077" s="27" t="s">
        <v>144</v>
      </c>
      <c r="D3077" s="26" t="s">
        <v>11050</v>
      </c>
      <c r="E3077" s="27" t="s">
        <v>11051</v>
      </c>
      <c r="F3077" s="28" t="s">
        <v>146</v>
      </c>
      <c r="G3077" s="27" t="s">
        <v>3537</v>
      </c>
      <c r="H3077" s="27" t="s">
        <v>57</v>
      </c>
      <c r="I3077" s="27" t="s">
        <v>1067</v>
      </c>
      <c r="J3077" s="28" t="s">
        <v>1579</v>
      </c>
      <c r="K3077" s="27" t="s">
        <v>42</v>
      </c>
      <c r="L3077" s="27"/>
    </row>
    <row r="3078" customFormat="false" ht="15" hidden="false" customHeight="false" outlineLevel="0" collapsed="false">
      <c r="A3078" s="26" t="s">
        <v>11052</v>
      </c>
      <c r="B3078" s="27" t="s">
        <v>11053</v>
      </c>
      <c r="C3078" s="27" t="s">
        <v>144</v>
      </c>
      <c r="D3078" s="26" t="s">
        <v>10988</v>
      </c>
      <c r="E3078" s="27" t="s">
        <v>10989</v>
      </c>
      <c r="F3078" s="28" t="s">
        <v>146</v>
      </c>
      <c r="G3078" s="27" t="s">
        <v>3537</v>
      </c>
      <c r="H3078" s="27" t="s">
        <v>56</v>
      </c>
      <c r="I3078" s="27" t="s">
        <v>42</v>
      </c>
      <c r="J3078" s="28" t="s">
        <v>1579</v>
      </c>
      <c r="K3078" s="27" t="s">
        <v>42</v>
      </c>
      <c r="L3078" s="27"/>
    </row>
    <row r="3079" customFormat="false" ht="15" hidden="false" customHeight="false" outlineLevel="0" collapsed="false">
      <c r="A3079" s="26" t="s">
        <v>11054</v>
      </c>
      <c r="B3079" s="27" t="s">
        <v>11055</v>
      </c>
      <c r="C3079" s="27" t="s">
        <v>144</v>
      </c>
      <c r="D3079" s="26" t="s">
        <v>11056</v>
      </c>
      <c r="E3079" s="27" t="s">
        <v>11057</v>
      </c>
      <c r="F3079" s="28" t="s">
        <v>146</v>
      </c>
      <c r="G3079" s="27" t="s">
        <v>3537</v>
      </c>
      <c r="H3079" s="27" t="s">
        <v>57</v>
      </c>
      <c r="I3079" s="28" t="s">
        <v>46</v>
      </c>
      <c r="J3079" s="28" t="s">
        <v>1579</v>
      </c>
      <c r="K3079" s="27" t="s">
        <v>42</v>
      </c>
      <c r="L3079" s="27"/>
    </row>
    <row r="3080" customFormat="false" ht="15" hidden="false" customHeight="false" outlineLevel="0" collapsed="false">
      <c r="A3080" s="26" t="s">
        <v>11058</v>
      </c>
      <c r="B3080" s="27" t="s">
        <v>11059</v>
      </c>
      <c r="C3080" s="27" t="s">
        <v>144</v>
      </c>
      <c r="D3080" s="26" t="s">
        <v>11060</v>
      </c>
      <c r="E3080" s="27" t="s">
        <v>11061</v>
      </c>
      <c r="F3080" s="28" t="s">
        <v>146</v>
      </c>
      <c r="G3080" s="27" t="s">
        <v>3537</v>
      </c>
      <c r="H3080" s="27" t="s">
        <v>56</v>
      </c>
      <c r="I3080" s="27" t="s">
        <v>42</v>
      </c>
      <c r="J3080" s="28" t="s">
        <v>1579</v>
      </c>
      <c r="K3080" s="27" t="s">
        <v>42</v>
      </c>
      <c r="L3080" s="27"/>
    </row>
    <row r="3081" customFormat="false" ht="15" hidden="false" customHeight="false" outlineLevel="0" collapsed="false">
      <c r="A3081" s="26" t="s">
        <v>11062</v>
      </c>
      <c r="B3081" s="27" t="s">
        <v>11063</v>
      </c>
      <c r="C3081" s="27" t="s">
        <v>144</v>
      </c>
      <c r="D3081" s="26" t="s">
        <v>11064</v>
      </c>
      <c r="E3081" s="27" t="s">
        <v>11065</v>
      </c>
      <c r="F3081" s="28" t="s">
        <v>146</v>
      </c>
      <c r="G3081" s="27" t="s">
        <v>3537</v>
      </c>
      <c r="H3081" s="27" t="s">
        <v>57</v>
      </c>
      <c r="I3081" s="28" t="s">
        <v>46</v>
      </c>
      <c r="J3081" s="28" t="s">
        <v>1579</v>
      </c>
      <c r="K3081" s="27" t="s">
        <v>42</v>
      </c>
      <c r="L3081" s="27"/>
    </row>
    <row r="3082" customFormat="false" ht="15" hidden="false" customHeight="false" outlineLevel="0" collapsed="false">
      <c r="A3082" s="26" t="s">
        <v>11066</v>
      </c>
      <c r="B3082" s="27" t="s">
        <v>11067</v>
      </c>
      <c r="C3082" s="27" t="s">
        <v>144</v>
      </c>
      <c r="D3082" s="26" t="s">
        <v>11068</v>
      </c>
      <c r="E3082" s="27" t="s">
        <v>11069</v>
      </c>
      <c r="F3082" s="28" t="s">
        <v>146</v>
      </c>
      <c r="G3082" s="27" t="s">
        <v>3537</v>
      </c>
      <c r="H3082" s="27" t="s">
        <v>57</v>
      </c>
      <c r="I3082" s="27" t="s">
        <v>39</v>
      </c>
      <c r="J3082" s="28" t="s">
        <v>1579</v>
      </c>
      <c r="K3082" s="27" t="s">
        <v>42</v>
      </c>
      <c r="L3082" s="27"/>
    </row>
    <row r="3083" customFormat="false" ht="15" hidden="false" customHeight="false" outlineLevel="0" collapsed="false">
      <c r="A3083" s="26" t="s">
        <v>11070</v>
      </c>
      <c r="B3083" s="27" t="s">
        <v>11071</v>
      </c>
      <c r="C3083" s="27" t="s">
        <v>144</v>
      </c>
      <c r="D3083" s="26" t="s">
        <v>11072</v>
      </c>
      <c r="E3083" s="27" t="s">
        <v>11073</v>
      </c>
      <c r="F3083" s="28" t="s">
        <v>146</v>
      </c>
      <c r="G3083" s="27" t="s">
        <v>3537</v>
      </c>
      <c r="H3083" s="27" t="s">
        <v>56</v>
      </c>
      <c r="I3083" s="27" t="s">
        <v>42</v>
      </c>
      <c r="J3083" s="28" t="s">
        <v>1579</v>
      </c>
      <c r="K3083" s="27" t="s">
        <v>42</v>
      </c>
      <c r="L3083" s="27"/>
    </row>
    <row r="3084" customFormat="false" ht="15" hidden="false" customHeight="false" outlineLevel="0" collapsed="false">
      <c r="A3084" s="26" t="s">
        <v>11074</v>
      </c>
      <c r="B3084" s="27" t="s">
        <v>11075</v>
      </c>
      <c r="C3084" s="27" t="s">
        <v>1527</v>
      </c>
      <c r="D3084" s="26" t="s">
        <v>11076</v>
      </c>
      <c r="E3084" s="27" t="s">
        <v>11077</v>
      </c>
      <c r="F3084" s="28" t="s">
        <v>1529</v>
      </c>
      <c r="G3084" s="27" t="s">
        <v>3537</v>
      </c>
      <c r="H3084" s="27" t="s">
        <v>57</v>
      </c>
      <c r="I3084" s="27" t="s">
        <v>1067</v>
      </c>
      <c r="J3084" s="28" t="s">
        <v>1579</v>
      </c>
      <c r="K3084" s="27" t="s">
        <v>42</v>
      </c>
      <c r="L3084" s="27"/>
    </row>
    <row r="3085" customFormat="false" ht="15" hidden="false" customHeight="false" outlineLevel="0" collapsed="false">
      <c r="A3085" s="26" t="s">
        <v>11078</v>
      </c>
      <c r="B3085" s="27" t="s">
        <v>11079</v>
      </c>
      <c r="C3085" s="27" t="s">
        <v>144</v>
      </c>
      <c r="D3085" s="26" t="s">
        <v>11080</v>
      </c>
      <c r="E3085" s="27" t="s">
        <v>11081</v>
      </c>
      <c r="F3085" s="28" t="s">
        <v>146</v>
      </c>
      <c r="G3085" s="27" t="s">
        <v>3537</v>
      </c>
      <c r="H3085" s="27" t="s">
        <v>56</v>
      </c>
      <c r="I3085" s="27" t="s">
        <v>42</v>
      </c>
      <c r="J3085" s="28" t="s">
        <v>1579</v>
      </c>
      <c r="K3085" s="27" t="s">
        <v>42</v>
      </c>
      <c r="L3085" s="27"/>
    </row>
    <row r="3086" customFormat="false" ht="15" hidden="false" customHeight="false" outlineLevel="0" collapsed="false">
      <c r="A3086" s="26" t="s">
        <v>11082</v>
      </c>
      <c r="B3086" s="27" t="s">
        <v>11083</v>
      </c>
      <c r="C3086" s="27" t="s">
        <v>144</v>
      </c>
      <c r="D3086" s="26" t="s">
        <v>11084</v>
      </c>
      <c r="E3086" s="27" t="s">
        <v>11085</v>
      </c>
      <c r="F3086" s="28" t="s">
        <v>146</v>
      </c>
      <c r="G3086" s="27" t="s">
        <v>3537</v>
      </c>
      <c r="H3086" s="27" t="s">
        <v>57</v>
      </c>
      <c r="I3086" s="28" t="s">
        <v>50</v>
      </c>
      <c r="J3086" s="28" t="s">
        <v>1579</v>
      </c>
      <c r="K3086" s="27" t="s">
        <v>42</v>
      </c>
      <c r="L3086" s="27"/>
    </row>
    <row r="3087" customFormat="false" ht="15" hidden="false" customHeight="false" outlineLevel="0" collapsed="false">
      <c r="A3087" s="26" t="s">
        <v>11086</v>
      </c>
      <c r="B3087" s="27" t="s">
        <v>11087</v>
      </c>
      <c r="C3087" s="27" t="s">
        <v>144</v>
      </c>
      <c r="D3087" s="26" t="s">
        <v>11088</v>
      </c>
      <c r="E3087" s="27" t="s">
        <v>11089</v>
      </c>
      <c r="F3087" s="28" t="s">
        <v>146</v>
      </c>
      <c r="G3087" s="27" t="s">
        <v>3537</v>
      </c>
      <c r="H3087" s="27" t="s">
        <v>56</v>
      </c>
      <c r="I3087" s="27" t="s">
        <v>42</v>
      </c>
      <c r="J3087" s="28" t="s">
        <v>1579</v>
      </c>
      <c r="K3087" s="27" t="s">
        <v>42</v>
      </c>
      <c r="L3087" s="27"/>
    </row>
    <row r="3088" customFormat="false" ht="15" hidden="false" customHeight="false" outlineLevel="0" collapsed="false">
      <c r="A3088" s="26" t="s">
        <v>11090</v>
      </c>
      <c r="B3088" s="27" t="s">
        <v>11091</v>
      </c>
      <c r="C3088" s="27" t="s">
        <v>144</v>
      </c>
      <c r="D3088" s="26" t="s">
        <v>3317</v>
      </c>
      <c r="E3088" s="27" t="s">
        <v>3318</v>
      </c>
      <c r="F3088" s="28" t="s">
        <v>146</v>
      </c>
      <c r="G3088" s="27" t="s">
        <v>3537</v>
      </c>
      <c r="H3088" s="27" t="s">
        <v>57</v>
      </c>
      <c r="I3088" s="27" t="s">
        <v>1067</v>
      </c>
      <c r="J3088" s="28" t="s">
        <v>1579</v>
      </c>
      <c r="K3088" s="27" t="s">
        <v>42</v>
      </c>
      <c r="L3088" s="27"/>
    </row>
    <row r="3089" customFormat="false" ht="15" hidden="false" customHeight="false" outlineLevel="0" collapsed="false">
      <c r="A3089" s="26" t="s">
        <v>11092</v>
      </c>
      <c r="B3089" s="27" t="s">
        <v>11093</v>
      </c>
      <c r="C3089" s="27" t="s">
        <v>144</v>
      </c>
      <c r="D3089" s="26" t="s">
        <v>11094</v>
      </c>
      <c r="E3089" s="27" t="s">
        <v>11095</v>
      </c>
      <c r="F3089" s="28" t="s">
        <v>146</v>
      </c>
      <c r="G3089" s="27" t="s">
        <v>3537</v>
      </c>
      <c r="H3089" s="27" t="s">
        <v>56</v>
      </c>
      <c r="I3089" s="27" t="s">
        <v>42</v>
      </c>
      <c r="J3089" s="28" t="s">
        <v>1579</v>
      </c>
      <c r="K3089" s="27" t="s">
        <v>42</v>
      </c>
      <c r="L3089" s="27"/>
    </row>
    <row r="3090" customFormat="false" ht="15" hidden="false" customHeight="false" outlineLevel="0" collapsed="false">
      <c r="A3090" s="26" t="s">
        <v>11096</v>
      </c>
      <c r="B3090" s="27" t="s">
        <v>11097</v>
      </c>
      <c r="C3090" s="27" t="s">
        <v>144</v>
      </c>
      <c r="D3090" s="26" t="s">
        <v>11098</v>
      </c>
      <c r="E3090" s="27" t="s">
        <v>11099</v>
      </c>
      <c r="F3090" s="28" t="s">
        <v>146</v>
      </c>
      <c r="G3090" s="27" t="s">
        <v>3537</v>
      </c>
      <c r="H3090" s="27" t="s">
        <v>56</v>
      </c>
      <c r="I3090" s="27" t="s">
        <v>42</v>
      </c>
      <c r="J3090" s="28" t="s">
        <v>1579</v>
      </c>
      <c r="K3090" s="27" t="s">
        <v>42</v>
      </c>
      <c r="L3090" s="27"/>
    </row>
    <row r="3091" customFormat="false" ht="15" hidden="false" customHeight="false" outlineLevel="0" collapsed="false">
      <c r="A3091" s="26" t="s">
        <v>11100</v>
      </c>
      <c r="B3091" s="27" t="s">
        <v>11101</v>
      </c>
      <c r="C3091" s="27" t="s">
        <v>144</v>
      </c>
      <c r="D3091" s="26" t="s">
        <v>1766</v>
      </c>
      <c r="E3091" s="27" t="s">
        <v>1765</v>
      </c>
      <c r="F3091" s="28" t="s">
        <v>146</v>
      </c>
      <c r="G3091" s="27" t="s">
        <v>3537</v>
      </c>
      <c r="H3091" s="27" t="s">
        <v>56</v>
      </c>
      <c r="I3091" s="27" t="s">
        <v>42</v>
      </c>
      <c r="J3091" s="28" t="s">
        <v>1579</v>
      </c>
      <c r="K3091" s="27" t="s">
        <v>42</v>
      </c>
      <c r="L3091" s="27"/>
    </row>
    <row r="3092" customFormat="false" ht="15" hidden="false" customHeight="false" outlineLevel="0" collapsed="false">
      <c r="A3092" s="26" t="s">
        <v>11102</v>
      </c>
      <c r="B3092" s="27" t="s">
        <v>11103</v>
      </c>
      <c r="C3092" s="27" t="s">
        <v>144</v>
      </c>
      <c r="D3092" s="26" t="s">
        <v>11104</v>
      </c>
      <c r="E3092" s="27" t="s">
        <v>11105</v>
      </c>
      <c r="F3092" s="28" t="s">
        <v>146</v>
      </c>
      <c r="G3092" s="27" t="s">
        <v>3537</v>
      </c>
      <c r="H3092" s="27" t="s">
        <v>57</v>
      </c>
      <c r="I3092" s="27" t="s">
        <v>1296</v>
      </c>
      <c r="J3092" s="28" t="s">
        <v>1579</v>
      </c>
      <c r="K3092" s="27" t="s">
        <v>42</v>
      </c>
      <c r="L3092" s="27"/>
    </row>
    <row r="3093" customFormat="false" ht="15" hidden="false" customHeight="false" outlineLevel="0" collapsed="false">
      <c r="A3093" s="26" t="s">
        <v>11106</v>
      </c>
      <c r="B3093" s="27" t="s">
        <v>11107</v>
      </c>
      <c r="C3093" s="27" t="s">
        <v>144</v>
      </c>
      <c r="D3093" s="26" t="s">
        <v>10099</v>
      </c>
      <c r="E3093" s="27" t="s">
        <v>10100</v>
      </c>
      <c r="F3093" s="28" t="s">
        <v>146</v>
      </c>
      <c r="G3093" s="27" t="s">
        <v>3537</v>
      </c>
      <c r="H3093" s="27" t="s">
        <v>57</v>
      </c>
      <c r="I3093" s="27" t="s">
        <v>43</v>
      </c>
      <c r="J3093" s="28" t="s">
        <v>1579</v>
      </c>
      <c r="K3093" s="27" t="s">
        <v>42</v>
      </c>
      <c r="L3093" s="27"/>
    </row>
    <row r="3094" customFormat="false" ht="15" hidden="false" customHeight="false" outlineLevel="0" collapsed="false">
      <c r="A3094" s="26" t="s">
        <v>11108</v>
      </c>
      <c r="B3094" s="27" t="s">
        <v>11109</v>
      </c>
      <c r="C3094" s="27" t="s">
        <v>144</v>
      </c>
      <c r="D3094" s="26" t="s">
        <v>11046</v>
      </c>
      <c r="E3094" s="27" t="s">
        <v>11047</v>
      </c>
      <c r="F3094" s="28" t="s">
        <v>146</v>
      </c>
      <c r="G3094" s="27" t="s">
        <v>3537</v>
      </c>
      <c r="H3094" s="27" t="s">
        <v>56</v>
      </c>
      <c r="I3094" s="27" t="s">
        <v>42</v>
      </c>
      <c r="J3094" s="28" t="s">
        <v>1579</v>
      </c>
      <c r="K3094" s="27" t="s">
        <v>42</v>
      </c>
      <c r="L3094" s="27"/>
    </row>
    <row r="3095" customFormat="false" ht="15" hidden="false" customHeight="false" outlineLevel="0" collapsed="false">
      <c r="A3095" s="26" t="s">
        <v>11110</v>
      </c>
      <c r="B3095" s="27" t="s">
        <v>11111</v>
      </c>
      <c r="C3095" s="27" t="s">
        <v>144</v>
      </c>
      <c r="D3095" s="26" t="s">
        <v>11112</v>
      </c>
      <c r="E3095" s="27" t="s">
        <v>11113</v>
      </c>
      <c r="F3095" s="28" t="s">
        <v>146</v>
      </c>
      <c r="G3095" s="27" t="s">
        <v>3537</v>
      </c>
      <c r="H3095" s="27" t="s">
        <v>56</v>
      </c>
      <c r="I3095" s="27" t="s">
        <v>42</v>
      </c>
      <c r="J3095" s="28" t="s">
        <v>1579</v>
      </c>
      <c r="K3095" s="27" t="s">
        <v>42</v>
      </c>
      <c r="L3095" s="27"/>
    </row>
    <row r="3096" customFormat="false" ht="15" hidden="false" customHeight="false" outlineLevel="0" collapsed="false">
      <c r="A3096" s="26" t="s">
        <v>11114</v>
      </c>
      <c r="B3096" s="27" t="s">
        <v>11115</v>
      </c>
      <c r="C3096" s="27" t="s">
        <v>144</v>
      </c>
      <c r="D3096" s="26" t="s">
        <v>11116</v>
      </c>
      <c r="E3096" s="27" t="s">
        <v>11117</v>
      </c>
      <c r="F3096" s="28" t="s">
        <v>146</v>
      </c>
      <c r="G3096" s="27" t="s">
        <v>3537</v>
      </c>
      <c r="H3096" s="27" t="s">
        <v>57</v>
      </c>
      <c r="I3096" s="27" t="s">
        <v>1067</v>
      </c>
      <c r="J3096" s="28" t="s">
        <v>1579</v>
      </c>
      <c r="K3096" s="27" t="s">
        <v>42</v>
      </c>
      <c r="L3096" s="27"/>
    </row>
    <row r="3097" customFormat="false" ht="15" hidden="false" customHeight="false" outlineLevel="0" collapsed="false">
      <c r="A3097" s="26" t="s">
        <v>11118</v>
      </c>
      <c r="B3097" s="27" t="s">
        <v>11119</v>
      </c>
      <c r="C3097" s="27" t="s">
        <v>144</v>
      </c>
      <c r="D3097" s="26" t="s">
        <v>3450</v>
      </c>
      <c r="E3097" s="27" t="s">
        <v>3451</v>
      </c>
      <c r="F3097" s="28" t="s">
        <v>146</v>
      </c>
      <c r="G3097" s="27" t="s">
        <v>3537</v>
      </c>
      <c r="H3097" s="27" t="s">
        <v>56</v>
      </c>
      <c r="I3097" s="27" t="s">
        <v>42</v>
      </c>
      <c r="J3097" s="28" t="s">
        <v>1579</v>
      </c>
      <c r="K3097" s="27" t="s">
        <v>42</v>
      </c>
      <c r="L3097" s="27"/>
    </row>
    <row r="3098" customFormat="false" ht="15" hidden="false" customHeight="false" outlineLevel="0" collapsed="false">
      <c r="A3098" s="26" t="s">
        <v>11120</v>
      </c>
      <c r="B3098" s="27" t="s">
        <v>11121</v>
      </c>
      <c r="C3098" s="27" t="s">
        <v>100</v>
      </c>
      <c r="D3098" s="26"/>
      <c r="E3098" s="27"/>
      <c r="F3098" s="27"/>
      <c r="G3098" s="27" t="s">
        <v>11122</v>
      </c>
      <c r="H3098" s="27" t="s">
        <v>35</v>
      </c>
      <c r="I3098" s="27" t="s">
        <v>1307</v>
      </c>
      <c r="J3098" s="28" t="s">
        <v>104</v>
      </c>
      <c r="K3098" s="27" t="s">
        <v>47</v>
      </c>
      <c r="L3098" s="27"/>
    </row>
    <row r="3099" customFormat="false" ht="15" hidden="false" customHeight="false" outlineLevel="0" collapsed="false">
      <c r="A3099" s="26" t="s">
        <v>11123</v>
      </c>
      <c r="B3099" s="27" t="s">
        <v>11124</v>
      </c>
      <c r="C3099" s="27" t="s">
        <v>100</v>
      </c>
      <c r="D3099" s="26"/>
      <c r="E3099" s="27"/>
      <c r="F3099" s="27"/>
      <c r="G3099" s="27" t="s">
        <v>11122</v>
      </c>
      <c r="H3099" s="27" t="s">
        <v>35</v>
      </c>
      <c r="I3099" s="27" t="s">
        <v>1309</v>
      </c>
      <c r="J3099" s="28" t="s">
        <v>109</v>
      </c>
      <c r="K3099" s="27" t="s">
        <v>108</v>
      </c>
      <c r="L3099" s="27"/>
    </row>
    <row r="3100" customFormat="false" ht="15" hidden="false" customHeight="false" outlineLevel="0" collapsed="false">
      <c r="A3100" s="26" t="s">
        <v>11125</v>
      </c>
      <c r="B3100" s="27" t="s">
        <v>11126</v>
      </c>
      <c r="C3100" s="27" t="s">
        <v>100</v>
      </c>
      <c r="D3100" s="26"/>
      <c r="E3100" s="27"/>
      <c r="F3100" s="27"/>
      <c r="G3100" s="27" t="s">
        <v>11122</v>
      </c>
      <c r="H3100" s="27" t="s">
        <v>35</v>
      </c>
      <c r="I3100" s="27" t="s">
        <v>1309</v>
      </c>
      <c r="J3100" s="28" t="s">
        <v>109</v>
      </c>
      <c r="K3100" s="27" t="s">
        <v>108</v>
      </c>
      <c r="L3100" s="27"/>
    </row>
    <row r="3101" customFormat="false" ht="15" hidden="false" customHeight="false" outlineLevel="0" collapsed="false">
      <c r="A3101" s="26" t="s">
        <v>11127</v>
      </c>
      <c r="B3101" s="27" t="s">
        <v>11128</v>
      </c>
      <c r="C3101" s="27" t="s">
        <v>100</v>
      </c>
      <c r="D3101" s="26"/>
      <c r="E3101" s="27"/>
      <c r="F3101" s="27"/>
      <c r="G3101" s="27" t="s">
        <v>11122</v>
      </c>
      <c r="H3101" s="27" t="s">
        <v>35</v>
      </c>
      <c r="I3101" s="27" t="s">
        <v>47</v>
      </c>
      <c r="J3101" s="28" t="s">
        <v>109</v>
      </c>
      <c r="K3101" s="27" t="s">
        <v>108</v>
      </c>
      <c r="L3101" s="27"/>
    </row>
    <row r="3102" customFormat="false" ht="15" hidden="false" customHeight="false" outlineLevel="0" collapsed="false">
      <c r="A3102" s="26" t="s">
        <v>11129</v>
      </c>
      <c r="B3102" s="27" t="s">
        <v>11130</v>
      </c>
      <c r="C3102" s="27" t="s">
        <v>100</v>
      </c>
      <c r="D3102" s="26"/>
      <c r="E3102" s="27"/>
      <c r="F3102" s="27"/>
      <c r="G3102" s="27" t="s">
        <v>11122</v>
      </c>
      <c r="H3102" s="27" t="s">
        <v>35</v>
      </c>
      <c r="I3102" s="27" t="s">
        <v>47</v>
      </c>
      <c r="J3102" s="28" t="s">
        <v>109</v>
      </c>
      <c r="K3102" s="27" t="s">
        <v>108</v>
      </c>
      <c r="L3102" s="27"/>
    </row>
    <row r="3103" customFormat="false" ht="15" hidden="false" customHeight="false" outlineLevel="0" collapsed="false">
      <c r="A3103" s="26" t="s">
        <v>11131</v>
      </c>
      <c r="B3103" s="27" t="s">
        <v>11132</v>
      </c>
      <c r="C3103" s="27" t="s">
        <v>100</v>
      </c>
      <c r="D3103" s="26"/>
      <c r="E3103" s="27"/>
      <c r="F3103" s="27"/>
      <c r="G3103" s="27" t="s">
        <v>11122</v>
      </c>
      <c r="H3103" s="27" t="s">
        <v>35</v>
      </c>
      <c r="I3103" s="27" t="s">
        <v>40</v>
      </c>
      <c r="J3103" s="28" t="s">
        <v>109</v>
      </c>
      <c r="K3103" s="27" t="s">
        <v>108</v>
      </c>
      <c r="L3103" s="27"/>
    </row>
    <row r="3104" customFormat="false" ht="15" hidden="false" customHeight="false" outlineLevel="0" collapsed="false">
      <c r="A3104" s="26" t="s">
        <v>11133</v>
      </c>
      <c r="B3104" s="27" t="s">
        <v>11134</v>
      </c>
      <c r="C3104" s="27" t="s">
        <v>131</v>
      </c>
      <c r="D3104" s="26"/>
      <c r="E3104" s="27"/>
      <c r="F3104" s="27"/>
      <c r="G3104" s="27" t="s">
        <v>11122</v>
      </c>
      <c r="H3104" s="27" t="s">
        <v>35</v>
      </c>
      <c r="I3104" s="27" t="s">
        <v>1067</v>
      </c>
      <c r="J3104" s="28" t="s">
        <v>109</v>
      </c>
      <c r="K3104" s="27" t="s">
        <v>108</v>
      </c>
      <c r="L3104" s="27"/>
    </row>
    <row r="3105" customFormat="false" ht="15" hidden="false" customHeight="false" outlineLevel="0" collapsed="false">
      <c r="A3105" s="26" t="s">
        <v>11135</v>
      </c>
      <c r="B3105" s="27" t="s">
        <v>11136</v>
      </c>
      <c r="C3105" s="27" t="s">
        <v>100</v>
      </c>
      <c r="D3105" s="26"/>
      <c r="E3105" s="27"/>
      <c r="F3105" s="27"/>
      <c r="G3105" s="27" t="s">
        <v>11122</v>
      </c>
      <c r="H3105" s="27" t="s">
        <v>35</v>
      </c>
      <c r="I3105" s="27" t="s">
        <v>38</v>
      </c>
      <c r="J3105" s="28" t="s">
        <v>109</v>
      </c>
      <c r="K3105" s="27" t="s">
        <v>108</v>
      </c>
      <c r="L3105" s="27"/>
    </row>
    <row r="3106" customFormat="false" ht="15" hidden="false" customHeight="false" outlineLevel="0" collapsed="false">
      <c r="A3106" s="26" t="s">
        <v>11137</v>
      </c>
      <c r="B3106" s="27" t="s">
        <v>11138</v>
      </c>
      <c r="C3106" s="27" t="s">
        <v>100</v>
      </c>
      <c r="D3106" s="26"/>
      <c r="E3106" s="27"/>
      <c r="F3106" s="27"/>
      <c r="G3106" s="27" t="s">
        <v>11122</v>
      </c>
      <c r="H3106" s="27" t="s">
        <v>35</v>
      </c>
      <c r="I3106" s="27" t="s">
        <v>47</v>
      </c>
      <c r="J3106" s="28" t="s">
        <v>109</v>
      </c>
      <c r="K3106" s="27" t="s">
        <v>108</v>
      </c>
      <c r="L3106" s="27"/>
    </row>
    <row r="3107" customFormat="false" ht="15" hidden="false" customHeight="false" outlineLevel="0" collapsed="false">
      <c r="A3107" s="26" t="s">
        <v>11139</v>
      </c>
      <c r="B3107" s="27" t="s">
        <v>11140</v>
      </c>
      <c r="C3107" s="27" t="s">
        <v>100</v>
      </c>
      <c r="D3107" s="26"/>
      <c r="E3107" s="27"/>
      <c r="F3107" s="27"/>
      <c r="G3107" s="27" t="s">
        <v>11122</v>
      </c>
      <c r="H3107" s="27" t="s">
        <v>35</v>
      </c>
      <c r="I3107" s="27" t="s">
        <v>64</v>
      </c>
      <c r="J3107" s="28" t="s">
        <v>109</v>
      </c>
      <c r="K3107" s="27" t="s">
        <v>108</v>
      </c>
      <c r="L3107" s="27"/>
    </row>
    <row r="3108" customFormat="false" ht="15" hidden="false" customHeight="false" outlineLevel="0" collapsed="false">
      <c r="A3108" s="26" t="s">
        <v>11141</v>
      </c>
      <c r="B3108" s="27" t="s">
        <v>11142</v>
      </c>
      <c r="C3108" s="27" t="s">
        <v>100</v>
      </c>
      <c r="D3108" s="26"/>
      <c r="E3108" s="27"/>
      <c r="F3108" s="27"/>
      <c r="G3108" s="27" t="s">
        <v>11122</v>
      </c>
      <c r="H3108" s="27" t="s">
        <v>35</v>
      </c>
      <c r="I3108" s="27" t="s">
        <v>49</v>
      </c>
      <c r="J3108" s="28" t="s">
        <v>109</v>
      </c>
      <c r="K3108" s="27" t="s">
        <v>108</v>
      </c>
      <c r="L3108" s="27"/>
    </row>
    <row r="3109" customFormat="false" ht="15" hidden="false" customHeight="false" outlineLevel="0" collapsed="false">
      <c r="A3109" s="26" t="s">
        <v>11143</v>
      </c>
      <c r="B3109" s="27" t="s">
        <v>11144</v>
      </c>
      <c r="C3109" s="27" t="s">
        <v>100</v>
      </c>
      <c r="D3109" s="26"/>
      <c r="E3109" s="27"/>
      <c r="F3109" s="27"/>
      <c r="G3109" s="27" t="s">
        <v>11122</v>
      </c>
      <c r="H3109" s="27" t="s">
        <v>35</v>
      </c>
      <c r="I3109" s="27" t="s">
        <v>1296</v>
      </c>
      <c r="J3109" s="28" t="s">
        <v>109</v>
      </c>
      <c r="K3109" s="27" t="s">
        <v>108</v>
      </c>
      <c r="L3109" s="27"/>
    </row>
    <row r="3110" customFormat="false" ht="15" hidden="false" customHeight="false" outlineLevel="0" collapsed="false">
      <c r="A3110" s="26" t="s">
        <v>11145</v>
      </c>
      <c r="B3110" s="27" t="s">
        <v>11146</v>
      </c>
      <c r="C3110" s="27" t="s">
        <v>100</v>
      </c>
      <c r="D3110" s="26"/>
      <c r="E3110" s="27"/>
      <c r="F3110" s="27"/>
      <c r="G3110" s="27" t="s">
        <v>11122</v>
      </c>
      <c r="H3110" s="27" t="s">
        <v>35</v>
      </c>
      <c r="I3110" s="27" t="s">
        <v>1296</v>
      </c>
      <c r="J3110" s="28" t="s">
        <v>109</v>
      </c>
      <c r="K3110" s="27" t="s">
        <v>108</v>
      </c>
      <c r="L3110" s="27"/>
    </row>
    <row r="3111" customFormat="false" ht="15" hidden="false" customHeight="false" outlineLevel="0" collapsed="false">
      <c r="A3111" s="26" t="s">
        <v>11147</v>
      </c>
      <c r="B3111" s="27" t="s">
        <v>11148</v>
      </c>
      <c r="C3111" s="27" t="s">
        <v>100</v>
      </c>
      <c r="D3111" s="26"/>
      <c r="E3111" s="27"/>
      <c r="F3111" s="27"/>
      <c r="G3111" s="27" t="s">
        <v>11122</v>
      </c>
      <c r="H3111" s="27" t="s">
        <v>35</v>
      </c>
      <c r="I3111" s="27" t="s">
        <v>43</v>
      </c>
      <c r="J3111" s="28" t="s">
        <v>113</v>
      </c>
      <c r="K3111" s="27" t="s">
        <v>108</v>
      </c>
      <c r="L3111" s="27"/>
    </row>
    <row r="3112" customFormat="false" ht="15" hidden="false" customHeight="false" outlineLevel="0" collapsed="false">
      <c r="A3112" s="26" t="s">
        <v>11149</v>
      </c>
      <c r="B3112" s="27" t="s">
        <v>11150</v>
      </c>
      <c r="C3112" s="27" t="s">
        <v>100</v>
      </c>
      <c r="D3112" s="26"/>
      <c r="E3112" s="27"/>
      <c r="F3112" s="27"/>
      <c r="G3112" s="27" t="s">
        <v>11122</v>
      </c>
      <c r="H3112" s="27" t="s">
        <v>35</v>
      </c>
      <c r="I3112" s="27" t="s">
        <v>47</v>
      </c>
      <c r="J3112" s="28" t="s">
        <v>113</v>
      </c>
      <c r="K3112" s="27" t="s">
        <v>108</v>
      </c>
      <c r="L3112" s="27"/>
    </row>
    <row r="3113" customFormat="false" ht="15" hidden="false" customHeight="false" outlineLevel="0" collapsed="false">
      <c r="A3113" s="26" t="s">
        <v>11151</v>
      </c>
      <c r="B3113" s="27" t="s">
        <v>11152</v>
      </c>
      <c r="C3113" s="27" t="s">
        <v>100</v>
      </c>
      <c r="D3113" s="26"/>
      <c r="E3113" s="27"/>
      <c r="F3113" s="27"/>
      <c r="G3113" s="27" t="s">
        <v>11122</v>
      </c>
      <c r="H3113" s="27" t="s">
        <v>35</v>
      </c>
      <c r="I3113" s="27" t="s">
        <v>42</v>
      </c>
      <c r="J3113" s="28" t="s">
        <v>113</v>
      </c>
      <c r="K3113" s="27" t="s">
        <v>108</v>
      </c>
      <c r="L3113" s="27"/>
    </row>
    <row r="3114" customFormat="false" ht="15" hidden="false" customHeight="false" outlineLevel="0" collapsed="false">
      <c r="A3114" s="26" t="s">
        <v>11153</v>
      </c>
      <c r="B3114" s="27" t="s">
        <v>11154</v>
      </c>
      <c r="C3114" s="27" t="s">
        <v>100</v>
      </c>
      <c r="D3114" s="26"/>
      <c r="E3114" s="27"/>
      <c r="F3114" s="27"/>
      <c r="G3114" s="27" t="s">
        <v>11122</v>
      </c>
      <c r="H3114" s="27" t="s">
        <v>35</v>
      </c>
      <c r="I3114" s="27" t="s">
        <v>108</v>
      </c>
      <c r="J3114" s="28" t="s">
        <v>113</v>
      </c>
      <c r="K3114" s="27" t="s">
        <v>108</v>
      </c>
      <c r="L3114" s="27"/>
    </row>
    <row r="3115" customFormat="false" ht="15" hidden="false" customHeight="false" outlineLevel="0" collapsed="false">
      <c r="A3115" s="26" t="s">
        <v>11155</v>
      </c>
      <c r="B3115" s="27" t="s">
        <v>11156</v>
      </c>
      <c r="C3115" s="27" t="s">
        <v>100</v>
      </c>
      <c r="D3115" s="26"/>
      <c r="E3115" s="27"/>
      <c r="F3115" s="27"/>
      <c r="G3115" s="27" t="s">
        <v>11122</v>
      </c>
      <c r="H3115" s="27" t="s">
        <v>35</v>
      </c>
      <c r="I3115" s="27" t="s">
        <v>64</v>
      </c>
      <c r="J3115" s="28" t="s">
        <v>113</v>
      </c>
      <c r="K3115" s="27" t="s">
        <v>108</v>
      </c>
      <c r="L3115" s="27"/>
    </row>
    <row r="3116" customFormat="false" ht="15" hidden="false" customHeight="false" outlineLevel="0" collapsed="false">
      <c r="A3116" s="26" t="s">
        <v>11157</v>
      </c>
      <c r="B3116" s="27" t="s">
        <v>11158</v>
      </c>
      <c r="C3116" s="27" t="s">
        <v>131</v>
      </c>
      <c r="D3116" s="26"/>
      <c r="E3116" s="27"/>
      <c r="F3116" s="27"/>
      <c r="G3116" s="27" t="s">
        <v>11122</v>
      </c>
      <c r="H3116" s="27" t="s">
        <v>35</v>
      </c>
      <c r="I3116" s="27" t="s">
        <v>39</v>
      </c>
      <c r="J3116" s="28" t="s">
        <v>113</v>
      </c>
      <c r="K3116" s="27" t="s">
        <v>108</v>
      </c>
      <c r="L3116" s="27"/>
    </row>
    <row r="3117" customFormat="false" ht="15" hidden="false" customHeight="false" outlineLevel="0" collapsed="false">
      <c r="A3117" s="26" t="s">
        <v>11159</v>
      </c>
      <c r="B3117" s="27" t="s">
        <v>11160</v>
      </c>
      <c r="C3117" s="27" t="s">
        <v>100</v>
      </c>
      <c r="D3117" s="26"/>
      <c r="E3117" s="27"/>
      <c r="F3117" s="27"/>
      <c r="G3117" s="27" t="s">
        <v>11122</v>
      </c>
      <c r="H3117" s="27" t="s">
        <v>35</v>
      </c>
      <c r="I3117" s="27" t="s">
        <v>43</v>
      </c>
      <c r="J3117" s="28" t="s">
        <v>113</v>
      </c>
      <c r="K3117" s="27" t="s">
        <v>108</v>
      </c>
      <c r="L3117" s="27"/>
    </row>
    <row r="3118" customFormat="false" ht="15" hidden="false" customHeight="false" outlineLevel="0" collapsed="false">
      <c r="A3118" s="26" t="s">
        <v>11161</v>
      </c>
      <c r="B3118" s="27" t="s">
        <v>11162</v>
      </c>
      <c r="C3118" s="27" t="s">
        <v>131</v>
      </c>
      <c r="D3118" s="26"/>
      <c r="E3118" s="27"/>
      <c r="F3118" s="27"/>
      <c r="G3118" s="27" t="s">
        <v>11122</v>
      </c>
      <c r="H3118" s="27" t="s">
        <v>35</v>
      </c>
      <c r="I3118" s="27" t="s">
        <v>43</v>
      </c>
      <c r="J3118" s="28" t="s">
        <v>113</v>
      </c>
      <c r="K3118" s="27" t="s">
        <v>108</v>
      </c>
      <c r="L3118" s="27"/>
    </row>
    <row r="3119" customFormat="false" ht="15" hidden="false" customHeight="false" outlineLevel="0" collapsed="false">
      <c r="A3119" s="26" t="s">
        <v>11163</v>
      </c>
      <c r="B3119" s="27" t="s">
        <v>11164</v>
      </c>
      <c r="C3119" s="27" t="s">
        <v>100</v>
      </c>
      <c r="D3119" s="26"/>
      <c r="E3119" s="27"/>
      <c r="F3119" s="27"/>
      <c r="G3119" s="27" t="s">
        <v>11122</v>
      </c>
      <c r="H3119" s="27" t="s">
        <v>35</v>
      </c>
      <c r="I3119" s="27" t="s">
        <v>43</v>
      </c>
      <c r="J3119" s="28" t="s">
        <v>113</v>
      </c>
      <c r="K3119" s="27" t="s">
        <v>108</v>
      </c>
      <c r="L3119" s="27"/>
    </row>
    <row r="3120" customFormat="false" ht="15" hidden="false" customHeight="false" outlineLevel="0" collapsed="false">
      <c r="A3120" s="26" t="s">
        <v>11165</v>
      </c>
      <c r="B3120" s="27" t="s">
        <v>11166</v>
      </c>
      <c r="C3120" s="27" t="s">
        <v>100</v>
      </c>
      <c r="D3120" s="26"/>
      <c r="E3120" s="27"/>
      <c r="F3120" s="27"/>
      <c r="G3120" s="27" t="s">
        <v>11122</v>
      </c>
      <c r="H3120" s="27" t="s">
        <v>35</v>
      </c>
      <c r="I3120" s="27" t="s">
        <v>43</v>
      </c>
      <c r="J3120" s="28" t="s">
        <v>113</v>
      </c>
      <c r="K3120" s="27" t="s">
        <v>108</v>
      </c>
      <c r="L3120" s="27"/>
    </row>
    <row r="3121" customFormat="false" ht="15" hidden="false" customHeight="false" outlineLevel="0" collapsed="false">
      <c r="A3121" s="26" t="s">
        <v>11167</v>
      </c>
      <c r="B3121" s="27" t="s">
        <v>11168</v>
      </c>
      <c r="C3121" s="27" t="s">
        <v>100</v>
      </c>
      <c r="D3121" s="26"/>
      <c r="E3121" s="27"/>
      <c r="F3121" s="27"/>
      <c r="G3121" s="27" t="s">
        <v>11122</v>
      </c>
      <c r="H3121" s="27" t="s">
        <v>35</v>
      </c>
      <c r="I3121" s="27" t="s">
        <v>108</v>
      </c>
      <c r="J3121" s="28" t="s">
        <v>113</v>
      </c>
      <c r="K3121" s="27" t="s">
        <v>108</v>
      </c>
      <c r="L3121" s="27"/>
    </row>
    <row r="3122" customFormat="false" ht="15" hidden="false" customHeight="false" outlineLevel="0" collapsed="false">
      <c r="A3122" s="26" t="s">
        <v>11169</v>
      </c>
      <c r="B3122" s="28" t="s">
        <v>11170</v>
      </c>
      <c r="C3122" s="27" t="s">
        <v>100</v>
      </c>
      <c r="D3122" s="26"/>
      <c r="E3122" s="27"/>
      <c r="F3122" s="27"/>
      <c r="G3122" s="27" t="s">
        <v>11122</v>
      </c>
      <c r="H3122" s="27" t="s">
        <v>35</v>
      </c>
      <c r="I3122" s="27" t="s">
        <v>43</v>
      </c>
      <c r="J3122" s="28" t="s">
        <v>113</v>
      </c>
      <c r="K3122" s="27" t="s">
        <v>108</v>
      </c>
      <c r="L3122" s="27"/>
    </row>
    <row r="3123" customFormat="false" ht="15" hidden="false" customHeight="false" outlineLevel="0" collapsed="false">
      <c r="A3123" s="26" t="s">
        <v>11171</v>
      </c>
      <c r="B3123" s="27" t="s">
        <v>11172</v>
      </c>
      <c r="C3123" s="27" t="s">
        <v>131</v>
      </c>
      <c r="D3123" s="26"/>
      <c r="E3123" s="27"/>
      <c r="F3123" s="27"/>
      <c r="G3123" s="27" t="s">
        <v>11122</v>
      </c>
      <c r="H3123" s="27" t="s">
        <v>35</v>
      </c>
      <c r="I3123" s="27" t="s">
        <v>47</v>
      </c>
      <c r="J3123" s="28" t="s">
        <v>113</v>
      </c>
      <c r="K3123" s="27" t="s">
        <v>108</v>
      </c>
      <c r="L3123" s="27"/>
    </row>
    <row r="3124" customFormat="false" ht="15" hidden="false" customHeight="false" outlineLevel="0" collapsed="false">
      <c r="A3124" s="26" t="s">
        <v>11173</v>
      </c>
      <c r="B3124" s="27" t="s">
        <v>11174</v>
      </c>
      <c r="C3124" s="27" t="s">
        <v>144</v>
      </c>
      <c r="D3124" s="26"/>
      <c r="E3124" s="27"/>
      <c r="F3124" s="27"/>
      <c r="G3124" s="27" t="s">
        <v>11122</v>
      </c>
      <c r="H3124" s="27" t="s">
        <v>35</v>
      </c>
      <c r="I3124" s="27" t="s">
        <v>47</v>
      </c>
      <c r="J3124" s="28" t="s">
        <v>113</v>
      </c>
      <c r="K3124" s="27" t="s">
        <v>108</v>
      </c>
      <c r="L3124" s="27"/>
    </row>
    <row r="3125" customFormat="false" ht="15" hidden="false" customHeight="false" outlineLevel="0" collapsed="false">
      <c r="A3125" s="26" t="s">
        <v>11175</v>
      </c>
      <c r="B3125" s="27" t="s">
        <v>11176</v>
      </c>
      <c r="C3125" s="27" t="s">
        <v>144</v>
      </c>
      <c r="D3125" s="26"/>
      <c r="E3125" s="27"/>
      <c r="F3125" s="27"/>
      <c r="G3125" s="27" t="s">
        <v>11122</v>
      </c>
      <c r="H3125" s="27" t="s">
        <v>35</v>
      </c>
      <c r="I3125" s="27" t="s">
        <v>47</v>
      </c>
      <c r="J3125" s="28" t="s">
        <v>113</v>
      </c>
      <c r="K3125" s="27" t="s">
        <v>108</v>
      </c>
      <c r="L3125" s="27"/>
    </row>
    <row r="3126" customFormat="false" ht="15" hidden="false" customHeight="false" outlineLevel="0" collapsed="false">
      <c r="A3126" s="26" t="s">
        <v>11177</v>
      </c>
      <c r="B3126" s="27" t="s">
        <v>11178</v>
      </c>
      <c r="C3126" s="27" t="s">
        <v>100</v>
      </c>
      <c r="D3126" s="26"/>
      <c r="E3126" s="27"/>
      <c r="F3126" s="27"/>
      <c r="G3126" s="27" t="s">
        <v>11122</v>
      </c>
      <c r="H3126" s="27" t="s">
        <v>35</v>
      </c>
      <c r="I3126" s="27" t="s">
        <v>43</v>
      </c>
      <c r="J3126" s="28" t="s">
        <v>113</v>
      </c>
      <c r="K3126" s="27" t="s">
        <v>108</v>
      </c>
      <c r="L3126" s="27"/>
    </row>
    <row r="3127" customFormat="false" ht="15" hidden="false" customHeight="false" outlineLevel="0" collapsed="false">
      <c r="A3127" s="26" t="s">
        <v>11179</v>
      </c>
      <c r="B3127" s="27" t="s">
        <v>11180</v>
      </c>
      <c r="C3127" s="27" t="s">
        <v>131</v>
      </c>
      <c r="D3127" s="26"/>
      <c r="E3127" s="27"/>
      <c r="F3127" s="27"/>
      <c r="G3127" s="27" t="s">
        <v>11122</v>
      </c>
      <c r="H3127" s="27" t="s">
        <v>35</v>
      </c>
      <c r="I3127" s="27" t="s">
        <v>47</v>
      </c>
      <c r="J3127" s="28" t="s">
        <v>113</v>
      </c>
      <c r="K3127" s="27" t="s">
        <v>108</v>
      </c>
      <c r="L3127" s="27"/>
    </row>
    <row r="3128" customFormat="false" ht="15" hidden="false" customHeight="false" outlineLevel="0" collapsed="false">
      <c r="A3128" s="26" t="s">
        <v>11181</v>
      </c>
      <c r="B3128" s="27" t="s">
        <v>11182</v>
      </c>
      <c r="C3128" s="27" t="s">
        <v>144</v>
      </c>
      <c r="D3128" s="26"/>
      <c r="E3128" s="27"/>
      <c r="F3128" s="27"/>
      <c r="G3128" s="27" t="s">
        <v>11122</v>
      </c>
      <c r="H3128" s="27" t="s">
        <v>35</v>
      </c>
      <c r="I3128" s="27" t="s">
        <v>49</v>
      </c>
      <c r="J3128" s="28" t="s">
        <v>113</v>
      </c>
      <c r="K3128" s="27" t="s">
        <v>108</v>
      </c>
      <c r="L3128" s="27"/>
    </row>
    <row r="3129" customFormat="false" ht="15" hidden="false" customHeight="false" outlineLevel="0" collapsed="false">
      <c r="A3129" s="26" t="s">
        <v>11183</v>
      </c>
      <c r="B3129" s="27" t="s">
        <v>11184</v>
      </c>
      <c r="C3129" s="27" t="s">
        <v>144</v>
      </c>
      <c r="D3129" s="26"/>
      <c r="E3129" s="27"/>
      <c r="F3129" s="27"/>
      <c r="G3129" s="27" t="s">
        <v>11122</v>
      </c>
      <c r="H3129" s="27" t="s">
        <v>35</v>
      </c>
      <c r="I3129" s="27" t="s">
        <v>47</v>
      </c>
      <c r="J3129" s="28" t="s">
        <v>113</v>
      </c>
      <c r="K3129" s="27" t="s">
        <v>108</v>
      </c>
      <c r="L3129" s="27"/>
    </row>
    <row r="3130" customFormat="false" ht="15" hidden="false" customHeight="false" outlineLevel="0" collapsed="false">
      <c r="A3130" s="26" t="s">
        <v>11185</v>
      </c>
      <c r="B3130" s="27" t="s">
        <v>11186</v>
      </c>
      <c r="C3130" s="27" t="s">
        <v>144</v>
      </c>
      <c r="D3130" s="26"/>
      <c r="E3130" s="27"/>
      <c r="F3130" s="27"/>
      <c r="G3130" s="27" t="s">
        <v>11122</v>
      </c>
      <c r="H3130" s="27" t="s">
        <v>35</v>
      </c>
      <c r="I3130" s="27" t="s">
        <v>49</v>
      </c>
      <c r="J3130" s="28" t="s">
        <v>113</v>
      </c>
      <c r="K3130" s="27" t="s">
        <v>108</v>
      </c>
      <c r="L3130" s="27"/>
    </row>
    <row r="3131" customFormat="false" ht="15" hidden="false" customHeight="false" outlineLevel="0" collapsed="false">
      <c r="A3131" s="26" t="s">
        <v>11187</v>
      </c>
      <c r="B3131" s="27" t="s">
        <v>11188</v>
      </c>
      <c r="C3131" s="27" t="s">
        <v>100</v>
      </c>
      <c r="D3131" s="26"/>
      <c r="E3131" s="27"/>
      <c r="F3131" s="27"/>
      <c r="G3131" s="27" t="s">
        <v>11122</v>
      </c>
      <c r="H3131" s="27" t="s">
        <v>35</v>
      </c>
      <c r="I3131" s="27" t="s">
        <v>43</v>
      </c>
      <c r="J3131" s="28" t="s">
        <v>113</v>
      </c>
      <c r="K3131" s="27" t="s">
        <v>108</v>
      </c>
      <c r="L3131" s="27"/>
    </row>
    <row r="3132" customFormat="false" ht="15" hidden="false" customHeight="false" outlineLevel="0" collapsed="false">
      <c r="A3132" s="26" t="s">
        <v>11189</v>
      </c>
      <c r="B3132" s="28" t="s">
        <v>11190</v>
      </c>
      <c r="C3132" s="27" t="s">
        <v>144</v>
      </c>
      <c r="D3132" s="26"/>
      <c r="E3132" s="27"/>
      <c r="F3132" s="27"/>
      <c r="G3132" s="27" t="s">
        <v>11122</v>
      </c>
      <c r="H3132" s="27" t="s">
        <v>35</v>
      </c>
      <c r="I3132" s="27" t="s">
        <v>108</v>
      </c>
      <c r="J3132" s="28" t="s">
        <v>113</v>
      </c>
      <c r="K3132" s="27" t="s">
        <v>108</v>
      </c>
      <c r="L3132" s="27"/>
    </row>
    <row r="3133" customFormat="false" ht="15" hidden="false" customHeight="false" outlineLevel="0" collapsed="false">
      <c r="A3133" s="26" t="s">
        <v>11191</v>
      </c>
      <c r="B3133" s="27" t="s">
        <v>11192</v>
      </c>
      <c r="C3133" s="27" t="s">
        <v>144</v>
      </c>
      <c r="D3133" s="26"/>
      <c r="E3133" s="27"/>
      <c r="F3133" s="27"/>
      <c r="G3133" s="27" t="s">
        <v>11122</v>
      </c>
      <c r="H3133" s="27" t="s">
        <v>35</v>
      </c>
      <c r="I3133" s="27" t="s">
        <v>38</v>
      </c>
      <c r="J3133" s="28" t="s">
        <v>113</v>
      </c>
      <c r="K3133" s="27" t="s">
        <v>108</v>
      </c>
      <c r="L3133" s="27"/>
    </row>
    <row r="3134" customFormat="false" ht="15" hidden="false" customHeight="false" outlineLevel="0" collapsed="false">
      <c r="A3134" s="26" t="s">
        <v>11193</v>
      </c>
      <c r="B3134" s="27" t="s">
        <v>11194</v>
      </c>
      <c r="C3134" s="27" t="s">
        <v>100</v>
      </c>
      <c r="D3134" s="26"/>
      <c r="E3134" s="27"/>
      <c r="F3134" s="27"/>
      <c r="G3134" s="27" t="s">
        <v>11122</v>
      </c>
      <c r="H3134" s="27" t="s">
        <v>35</v>
      </c>
      <c r="I3134" s="27" t="s">
        <v>47</v>
      </c>
      <c r="J3134" s="28" t="s">
        <v>113</v>
      </c>
      <c r="K3134" s="27" t="s">
        <v>108</v>
      </c>
      <c r="L3134" s="27"/>
    </row>
    <row r="3135" customFormat="false" ht="15" hidden="false" customHeight="false" outlineLevel="0" collapsed="false">
      <c r="A3135" s="26" t="s">
        <v>11195</v>
      </c>
      <c r="B3135" s="27" t="s">
        <v>11196</v>
      </c>
      <c r="C3135" s="27" t="s">
        <v>100</v>
      </c>
      <c r="D3135" s="26"/>
      <c r="E3135" s="27"/>
      <c r="F3135" s="27"/>
      <c r="G3135" s="27" t="s">
        <v>11122</v>
      </c>
      <c r="H3135" s="27" t="s">
        <v>35</v>
      </c>
      <c r="I3135" s="27" t="s">
        <v>108</v>
      </c>
      <c r="J3135" s="28" t="s">
        <v>113</v>
      </c>
      <c r="K3135" s="27" t="s">
        <v>108</v>
      </c>
      <c r="L3135" s="27"/>
    </row>
    <row r="3136" customFormat="false" ht="15" hidden="false" customHeight="false" outlineLevel="0" collapsed="false">
      <c r="A3136" s="26" t="s">
        <v>11197</v>
      </c>
      <c r="B3136" s="27" t="s">
        <v>11198</v>
      </c>
      <c r="C3136" s="27" t="s">
        <v>144</v>
      </c>
      <c r="D3136" s="26"/>
      <c r="E3136" s="27"/>
      <c r="F3136" s="27"/>
      <c r="G3136" s="27" t="s">
        <v>11122</v>
      </c>
      <c r="H3136" s="27" t="s">
        <v>35</v>
      </c>
      <c r="I3136" s="27" t="s">
        <v>40</v>
      </c>
      <c r="J3136" s="28" t="s">
        <v>141</v>
      </c>
      <c r="K3136" s="27" t="s">
        <v>40</v>
      </c>
      <c r="L3136" s="27"/>
    </row>
    <row r="3137" customFormat="false" ht="15" hidden="false" customHeight="false" outlineLevel="0" collapsed="false">
      <c r="A3137" s="26" t="s">
        <v>11199</v>
      </c>
      <c r="B3137" s="27" t="s">
        <v>11200</v>
      </c>
      <c r="C3137" s="27" t="s">
        <v>144</v>
      </c>
      <c r="D3137" s="26"/>
      <c r="E3137" s="27"/>
      <c r="F3137" s="27"/>
      <c r="G3137" s="27" t="s">
        <v>11122</v>
      </c>
      <c r="H3137" s="27" t="s">
        <v>35</v>
      </c>
      <c r="I3137" s="27" t="s">
        <v>40</v>
      </c>
      <c r="J3137" s="28" t="s">
        <v>141</v>
      </c>
      <c r="K3137" s="27" t="s">
        <v>40</v>
      </c>
      <c r="L3137" s="27"/>
    </row>
    <row r="3138" customFormat="false" ht="15" hidden="false" customHeight="false" outlineLevel="0" collapsed="false">
      <c r="A3138" s="26" t="s">
        <v>11201</v>
      </c>
      <c r="B3138" s="27" t="s">
        <v>11202</v>
      </c>
      <c r="C3138" s="27" t="s">
        <v>144</v>
      </c>
      <c r="D3138" s="26"/>
      <c r="E3138" s="27"/>
      <c r="F3138" s="27"/>
      <c r="G3138" s="27" t="s">
        <v>11122</v>
      </c>
      <c r="H3138" s="27" t="s">
        <v>35</v>
      </c>
      <c r="I3138" s="27" t="s">
        <v>40</v>
      </c>
      <c r="J3138" s="28" t="s">
        <v>141</v>
      </c>
      <c r="K3138" s="27" t="s">
        <v>40</v>
      </c>
      <c r="L3138" s="27"/>
    </row>
    <row r="3139" customFormat="false" ht="15" hidden="false" customHeight="false" outlineLevel="0" collapsed="false">
      <c r="A3139" s="26" t="s">
        <v>11203</v>
      </c>
      <c r="B3139" s="27" t="s">
        <v>11204</v>
      </c>
      <c r="C3139" s="27" t="s">
        <v>144</v>
      </c>
      <c r="D3139" s="26"/>
      <c r="E3139" s="27"/>
      <c r="F3139" s="27"/>
      <c r="G3139" s="27" t="s">
        <v>11122</v>
      </c>
      <c r="H3139" s="27" t="s">
        <v>35</v>
      </c>
      <c r="I3139" s="27" t="s">
        <v>40</v>
      </c>
      <c r="J3139" s="28" t="s">
        <v>141</v>
      </c>
      <c r="K3139" s="27" t="s">
        <v>40</v>
      </c>
      <c r="L3139" s="27"/>
    </row>
    <row r="3140" customFormat="false" ht="15" hidden="false" customHeight="false" outlineLevel="0" collapsed="false">
      <c r="A3140" s="26" t="s">
        <v>11205</v>
      </c>
      <c r="B3140" s="27" t="s">
        <v>11206</v>
      </c>
      <c r="C3140" s="27" t="s">
        <v>144</v>
      </c>
      <c r="D3140" s="26"/>
      <c r="E3140" s="27"/>
      <c r="F3140" s="27"/>
      <c r="G3140" s="27" t="s">
        <v>11122</v>
      </c>
      <c r="H3140" s="27" t="s">
        <v>35</v>
      </c>
      <c r="I3140" s="27" t="s">
        <v>40</v>
      </c>
      <c r="J3140" s="28" t="s">
        <v>141</v>
      </c>
      <c r="K3140" s="27" t="s">
        <v>40</v>
      </c>
      <c r="L3140" s="27"/>
    </row>
    <row r="3141" customFormat="false" ht="15" hidden="false" customHeight="false" outlineLevel="0" collapsed="false">
      <c r="A3141" s="26" t="s">
        <v>11207</v>
      </c>
      <c r="B3141" s="27" t="s">
        <v>11208</v>
      </c>
      <c r="C3141" s="27" t="s">
        <v>144</v>
      </c>
      <c r="D3141" s="26"/>
      <c r="E3141" s="27"/>
      <c r="F3141" s="27"/>
      <c r="G3141" s="27" t="s">
        <v>11122</v>
      </c>
      <c r="H3141" s="27" t="s">
        <v>35</v>
      </c>
      <c r="I3141" s="27" t="s">
        <v>40</v>
      </c>
      <c r="J3141" s="28" t="s">
        <v>141</v>
      </c>
      <c r="K3141" s="27" t="s">
        <v>40</v>
      </c>
      <c r="L3141" s="27"/>
    </row>
    <row r="3142" customFormat="false" ht="15" hidden="false" customHeight="false" outlineLevel="0" collapsed="false">
      <c r="A3142" s="26" t="s">
        <v>11209</v>
      </c>
      <c r="B3142" s="27" t="s">
        <v>11210</v>
      </c>
      <c r="C3142" s="27" t="s">
        <v>144</v>
      </c>
      <c r="D3142" s="26"/>
      <c r="E3142" s="27"/>
      <c r="F3142" s="27"/>
      <c r="G3142" s="27" t="s">
        <v>11122</v>
      </c>
      <c r="H3142" s="27" t="s">
        <v>35</v>
      </c>
      <c r="I3142" s="27" t="s">
        <v>42</v>
      </c>
      <c r="J3142" s="28" t="s">
        <v>141</v>
      </c>
      <c r="K3142" s="27" t="s">
        <v>40</v>
      </c>
      <c r="L3142" s="27"/>
    </row>
    <row r="3143" customFormat="false" ht="15" hidden="false" customHeight="false" outlineLevel="0" collapsed="false">
      <c r="A3143" s="26" t="s">
        <v>11211</v>
      </c>
      <c r="B3143" s="27" t="s">
        <v>11212</v>
      </c>
      <c r="C3143" s="27" t="s">
        <v>144</v>
      </c>
      <c r="D3143" s="26"/>
      <c r="E3143" s="27"/>
      <c r="F3143" s="27"/>
      <c r="G3143" s="27" t="s">
        <v>11122</v>
      </c>
      <c r="H3143" s="27" t="s">
        <v>35</v>
      </c>
      <c r="I3143" s="27" t="s">
        <v>40</v>
      </c>
      <c r="J3143" s="28" t="s">
        <v>141</v>
      </c>
      <c r="K3143" s="27" t="s">
        <v>40</v>
      </c>
      <c r="L3143" s="27"/>
    </row>
    <row r="3144" customFormat="false" ht="15" hidden="false" customHeight="false" outlineLevel="0" collapsed="false">
      <c r="A3144" s="26" t="s">
        <v>11213</v>
      </c>
      <c r="B3144" s="27" t="s">
        <v>11214</v>
      </c>
      <c r="C3144" s="27" t="s">
        <v>144</v>
      </c>
      <c r="D3144" s="26"/>
      <c r="E3144" s="27"/>
      <c r="F3144" s="27"/>
      <c r="G3144" s="27" t="s">
        <v>11122</v>
      </c>
      <c r="H3144" s="27" t="s">
        <v>35</v>
      </c>
      <c r="I3144" s="27" t="s">
        <v>40</v>
      </c>
      <c r="J3144" s="28" t="s">
        <v>141</v>
      </c>
      <c r="K3144" s="27" t="s">
        <v>40</v>
      </c>
      <c r="L3144" s="27"/>
    </row>
    <row r="3145" customFormat="false" ht="15" hidden="false" customHeight="false" outlineLevel="0" collapsed="false">
      <c r="A3145" s="26" t="s">
        <v>11215</v>
      </c>
      <c r="B3145" s="27" t="s">
        <v>11216</v>
      </c>
      <c r="C3145" s="27" t="s">
        <v>144</v>
      </c>
      <c r="D3145" s="26"/>
      <c r="E3145" s="27"/>
      <c r="F3145" s="27"/>
      <c r="G3145" s="27" t="s">
        <v>11122</v>
      </c>
      <c r="H3145" s="27" t="s">
        <v>35</v>
      </c>
      <c r="I3145" s="27" t="s">
        <v>40</v>
      </c>
      <c r="J3145" s="28" t="s">
        <v>141</v>
      </c>
      <c r="K3145" s="27" t="s">
        <v>40</v>
      </c>
      <c r="L3145" s="27"/>
    </row>
    <row r="3146" customFormat="false" ht="15" hidden="false" customHeight="false" outlineLevel="0" collapsed="false">
      <c r="A3146" s="26" t="s">
        <v>11217</v>
      </c>
      <c r="B3146" s="27" t="s">
        <v>11218</v>
      </c>
      <c r="C3146" s="27" t="s">
        <v>144</v>
      </c>
      <c r="D3146" s="26"/>
      <c r="E3146" s="27"/>
      <c r="F3146" s="27"/>
      <c r="G3146" s="27" t="s">
        <v>11122</v>
      </c>
      <c r="H3146" s="27" t="s">
        <v>35</v>
      </c>
      <c r="I3146" s="27" t="s">
        <v>108</v>
      </c>
      <c r="J3146" s="28" t="s">
        <v>141</v>
      </c>
      <c r="K3146" s="27" t="s">
        <v>40</v>
      </c>
      <c r="L3146" s="27"/>
    </row>
    <row r="3147" customFormat="false" ht="15" hidden="false" customHeight="false" outlineLevel="0" collapsed="false">
      <c r="A3147" s="26" t="s">
        <v>11219</v>
      </c>
      <c r="B3147" s="27" t="s">
        <v>11220</v>
      </c>
      <c r="C3147" s="27" t="s">
        <v>144</v>
      </c>
      <c r="D3147" s="26"/>
      <c r="E3147" s="27"/>
      <c r="F3147" s="27"/>
      <c r="G3147" s="27" t="s">
        <v>11122</v>
      </c>
      <c r="H3147" s="27" t="s">
        <v>35</v>
      </c>
      <c r="I3147" s="27" t="s">
        <v>38</v>
      </c>
      <c r="J3147" s="28" t="s">
        <v>141</v>
      </c>
      <c r="K3147" s="27" t="s">
        <v>40</v>
      </c>
      <c r="L3147" s="27"/>
    </row>
    <row r="3148" customFormat="false" ht="15" hidden="false" customHeight="false" outlineLevel="0" collapsed="false">
      <c r="A3148" s="26" t="s">
        <v>11221</v>
      </c>
      <c r="B3148" s="27" t="s">
        <v>11222</v>
      </c>
      <c r="C3148" s="27" t="s">
        <v>144</v>
      </c>
      <c r="D3148" s="26"/>
      <c r="E3148" s="27"/>
      <c r="F3148" s="27"/>
      <c r="G3148" s="27" t="s">
        <v>11122</v>
      </c>
      <c r="H3148" s="27" t="s">
        <v>35</v>
      </c>
      <c r="I3148" s="27" t="s">
        <v>49</v>
      </c>
      <c r="J3148" s="28" t="s">
        <v>141</v>
      </c>
      <c r="K3148" s="27" t="s">
        <v>40</v>
      </c>
      <c r="L3148" s="27"/>
    </row>
    <row r="3149" customFormat="false" ht="15" hidden="false" customHeight="false" outlineLevel="0" collapsed="false">
      <c r="A3149" s="26" t="s">
        <v>11223</v>
      </c>
      <c r="B3149" s="27" t="s">
        <v>11224</v>
      </c>
      <c r="C3149" s="27" t="s">
        <v>144</v>
      </c>
      <c r="D3149" s="26"/>
      <c r="E3149" s="27"/>
      <c r="F3149" s="27"/>
      <c r="G3149" s="27" t="s">
        <v>11122</v>
      </c>
      <c r="H3149" s="27" t="s">
        <v>35</v>
      </c>
      <c r="I3149" s="27" t="s">
        <v>40</v>
      </c>
      <c r="J3149" s="28" t="s">
        <v>141</v>
      </c>
      <c r="K3149" s="27" t="s">
        <v>40</v>
      </c>
      <c r="L3149" s="27"/>
    </row>
    <row r="3150" customFormat="false" ht="15" hidden="false" customHeight="false" outlineLevel="0" collapsed="false">
      <c r="A3150" s="26" t="s">
        <v>11225</v>
      </c>
      <c r="B3150" s="27" t="s">
        <v>11226</v>
      </c>
      <c r="C3150" s="27" t="s">
        <v>137</v>
      </c>
      <c r="D3150" s="26"/>
      <c r="E3150" s="27"/>
      <c r="F3150" s="27"/>
      <c r="G3150" s="27" t="s">
        <v>11122</v>
      </c>
      <c r="H3150" s="27" t="s">
        <v>35</v>
      </c>
      <c r="I3150" s="27" t="s">
        <v>42</v>
      </c>
      <c r="J3150" s="28" t="s">
        <v>141</v>
      </c>
      <c r="K3150" s="27" t="s">
        <v>40</v>
      </c>
      <c r="L3150" s="27"/>
    </row>
    <row r="3151" customFormat="false" ht="15" hidden="false" customHeight="false" outlineLevel="0" collapsed="false">
      <c r="A3151" s="26" t="s">
        <v>11227</v>
      </c>
      <c r="B3151" s="27" t="s">
        <v>11228</v>
      </c>
      <c r="C3151" s="27" t="s">
        <v>137</v>
      </c>
      <c r="D3151" s="26"/>
      <c r="E3151" s="27"/>
      <c r="F3151" s="27"/>
      <c r="G3151" s="27" t="s">
        <v>11122</v>
      </c>
      <c r="H3151" s="27" t="s">
        <v>35</v>
      </c>
      <c r="I3151" s="27" t="s">
        <v>40</v>
      </c>
      <c r="J3151" s="28" t="s">
        <v>141</v>
      </c>
      <c r="K3151" s="27" t="s">
        <v>40</v>
      </c>
      <c r="L3151" s="27"/>
    </row>
    <row r="3152" customFormat="false" ht="15" hidden="false" customHeight="false" outlineLevel="0" collapsed="false">
      <c r="A3152" s="26" t="s">
        <v>11229</v>
      </c>
      <c r="B3152" s="27" t="s">
        <v>11230</v>
      </c>
      <c r="C3152" s="27" t="s">
        <v>137</v>
      </c>
      <c r="D3152" s="26"/>
      <c r="E3152" s="27"/>
      <c r="F3152" s="27"/>
      <c r="G3152" s="27" t="s">
        <v>11122</v>
      </c>
      <c r="H3152" s="27" t="s">
        <v>35</v>
      </c>
      <c r="I3152" s="27" t="s">
        <v>40</v>
      </c>
      <c r="J3152" s="28" t="s">
        <v>141</v>
      </c>
      <c r="K3152" s="27" t="s">
        <v>40</v>
      </c>
      <c r="L3152" s="27"/>
    </row>
    <row r="3153" customFormat="false" ht="15" hidden="false" customHeight="false" outlineLevel="0" collapsed="false">
      <c r="A3153" s="26" t="s">
        <v>11231</v>
      </c>
      <c r="B3153" s="27" t="s">
        <v>11232</v>
      </c>
      <c r="C3153" s="27" t="s">
        <v>144</v>
      </c>
      <c r="D3153" s="26"/>
      <c r="E3153" s="27"/>
      <c r="F3153" s="27"/>
      <c r="G3153" s="27" t="s">
        <v>11122</v>
      </c>
      <c r="H3153" s="27" t="s">
        <v>35</v>
      </c>
      <c r="I3153" s="27" t="s">
        <v>40</v>
      </c>
      <c r="J3153" s="28" t="s">
        <v>141</v>
      </c>
      <c r="K3153" s="27" t="s">
        <v>40</v>
      </c>
      <c r="L3153" s="27"/>
    </row>
    <row r="3154" customFormat="false" ht="15" hidden="false" customHeight="false" outlineLevel="0" collapsed="false">
      <c r="A3154" s="26" t="s">
        <v>11233</v>
      </c>
      <c r="B3154" s="27" t="s">
        <v>11234</v>
      </c>
      <c r="C3154" s="27" t="s">
        <v>144</v>
      </c>
      <c r="D3154" s="26"/>
      <c r="E3154" s="27"/>
      <c r="F3154" s="27"/>
      <c r="G3154" s="27" t="s">
        <v>11122</v>
      </c>
      <c r="H3154" s="27" t="s">
        <v>35</v>
      </c>
      <c r="I3154" s="27" t="s">
        <v>40</v>
      </c>
      <c r="J3154" s="28" t="s">
        <v>141</v>
      </c>
      <c r="K3154" s="27" t="s">
        <v>40</v>
      </c>
      <c r="L3154" s="27"/>
    </row>
    <row r="3155" customFormat="false" ht="15" hidden="false" customHeight="false" outlineLevel="0" collapsed="false">
      <c r="A3155" s="26" t="s">
        <v>11235</v>
      </c>
      <c r="B3155" s="27" t="s">
        <v>11236</v>
      </c>
      <c r="C3155" s="27" t="s">
        <v>144</v>
      </c>
      <c r="D3155" s="26"/>
      <c r="E3155" s="27"/>
      <c r="F3155" s="27"/>
      <c r="G3155" s="27" t="s">
        <v>11122</v>
      </c>
      <c r="H3155" s="27" t="s">
        <v>35</v>
      </c>
      <c r="I3155" s="27" t="s">
        <v>40</v>
      </c>
      <c r="J3155" s="28" t="s">
        <v>141</v>
      </c>
      <c r="K3155" s="27" t="s">
        <v>40</v>
      </c>
      <c r="L3155" s="27"/>
    </row>
    <row r="3156" customFormat="false" ht="15" hidden="false" customHeight="false" outlineLevel="0" collapsed="false">
      <c r="A3156" s="26" t="s">
        <v>11237</v>
      </c>
      <c r="B3156" s="27" t="s">
        <v>11238</v>
      </c>
      <c r="C3156" s="27" t="s">
        <v>144</v>
      </c>
      <c r="D3156" s="26"/>
      <c r="E3156" s="27"/>
      <c r="F3156" s="27"/>
      <c r="G3156" s="27" t="s">
        <v>11122</v>
      </c>
      <c r="H3156" s="27" t="s">
        <v>35</v>
      </c>
      <c r="I3156" s="27" t="s">
        <v>40</v>
      </c>
      <c r="J3156" s="28" t="s">
        <v>141</v>
      </c>
      <c r="K3156" s="27" t="s">
        <v>40</v>
      </c>
      <c r="L3156" s="27"/>
    </row>
    <row r="3157" customFormat="false" ht="15" hidden="false" customHeight="false" outlineLevel="0" collapsed="false">
      <c r="A3157" s="26" t="s">
        <v>11239</v>
      </c>
      <c r="B3157" s="27" t="s">
        <v>11240</v>
      </c>
      <c r="C3157" s="27" t="s">
        <v>144</v>
      </c>
      <c r="D3157" s="26"/>
      <c r="E3157" s="27"/>
      <c r="F3157" s="27"/>
      <c r="G3157" s="27" t="s">
        <v>11122</v>
      </c>
      <c r="H3157" s="27" t="s">
        <v>35</v>
      </c>
      <c r="I3157" s="27" t="s">
        <v>40</v>
      </c>
      <c r="J3157" s="28" t="s">
        <v>141</v>
      </c>
      <c r="K3157" s="27" t="s">
        <v>40</v>
      </c>
      <c r="L3157" s="27"/>
    </row>
    <row r="3158" customFormat="false" ht="15" hidden="false" customHeight="false" outlineLevel="0" collapsed="false">
      <c r="A3158" s="26" t="s">
        <v>11241</v>
      </c>
      <c r="B3158" s="27" t="s">
        <v>11242</v>
      </c>
      <c r="C3158" s="27" t="s">
        <v>144</v>
      </c>
      <c r="D3158" s="26"/>
      <c r="E3158" s="27"/>
      <c r="F3158" s="27"/>
      <c r="G3158" s="27" t="s">
        <v>11122</v>
      </c>
      <c r="H3158" s="27" t="s">
        <v>35</v>
      </c>
      <c r="I3158" s="27" t="s">
        <v>40</v>
      </c>
      <c r="J3158" s="28" t="s">
        <v>141</v>
      </c>
      <c r="K3158" s="27" t="s">
        <v>40</v>
      </c>
      <c r="L3158" s="27"/>
    </row>
    <row r="3159" customFormat="false" ht="15" hidden="false" customHeight="false" outlineLevel="0" collapsed="false">
      <c r="A3159" s="26" t="s">
        <v>11243</v>
      </c>
      <c r="B3159" s="27" t="s">
        <v>11244</v>
      </c>
      <c r="C3159" s="27" t="s">
        <v>144</v>
      </c>
      <c r="D3159" s="26"/>
      <c r="E3159" s="27"/>
      <c r="F3159" s="27"/>
      <c r="G3159" s="27" t="s">
        <v>11122</v>
      </c>
      <c r="H3159" s="27" t="s">
        <v>35</v>
      </c>
      <c r="I3159" s="27" t="s">
        <v>41</v>
      </c>
      <c r="J3159" s="28" t="s">
        <v>141</v>
      </c>
      <c r="K3159" s="27" t="s">
        <v>40</v>
      </c>
      <c r="L3159" s="27"/>
    </row>
    <row r="3160" customFormat="false" ht="15" hidden="false" customHeight="false" outlineLevel="0" collapsed="false">
      <c r="A3160" s="26" t="s">
        <v>11245</v>
      </c>
      <c r="B3160" s="27" t="s">
        <v>11246</v>
      </c>
      <c r="C3160" s="27" t="s">
        <v>144</v>
      </c>
      <c r="D3160" s="26"/>
      <c r="E3160" s="27"/>
      <c r="F3160" s="27"/>
      <c r="G3160" s="27" t="s">
        <v>11122</v>
      </c>
      <c r="H3160" s="27" t="s">
        <v>35</v>
      </c>
      <c r="I3160" s="27" t="s">
        <v>40</v>
      </c>
      <c r="J3160" s="28" t="s">
        <v>141</v>
      </c>
      <c r="K3160" s="27" t="s">
        <v>40</v>
      </c>
      <c r="L3160" s="27"/>
    </row>
    <row r="3161" customFormat="false" ht="15" hidden="false" customHeight="false" outlineLevel="0" collapsed="false">
      <c r="A3161" s="26" t="s">
        <v>11247</v>
      </c>
      <c r="B3161" s="27" t="s">
        <v>11248</v>
      </c>
      <c r="C3161" s="27" t="s">
        <v>144</v>
      </c>
      <c r="D3161" s="26"/>
      <c r="E3161" s="27"/>
      <c r="F3161" s="27"/>
      <c r="G3161" s="27" t="s">
        <v>11122</v>
      </c>
      <c r="H3161" s="27" t="s">
        <v>35</v>
      </c>
      <c r="I3161" s="27" t="s">
        <v>40</v>
      </c>
      <c r="J3161" s="28" t="s">
        <v>141</v>
      </c>
      <c r="K3161" s="27" t="s">
        <v>40</v>
      </c>
      <c r="L3161" s="27"/>
    </row>
    <row r="3162" customFormat="false" ht="15" hidden="false" customHeight="false" outlineLevel="0" collapsed="false">
      <c r="A3162" s="26" t="s">
        <v>11249</v>
      </c>
      <c r="B3162" s="27" t="s">
        <v>11250</v>
      </c>
      <c r="C3162" s="27" t="s">
        <v>144</v>
      </c>
      <c r="D3162" s="26"/>
      <c r="E3162" s="27"/>
      <c r="F3162" s="27"/>
      <c r="G3162" s="27" t="s">
        <v>11122</v>
      </c>
      <c r="H3162" s="27" t="s">
        <v>35</v>
      </c>
      <c r="I3162" s="27" t="s">
        <v>40</v>
      </c>
      <c r="J3162" s="28" t="s">
        <v>141</v>
      </c>
      <c r="K3162" s="27" t="s">
        <v>40</v>
      </c>
      <c r="L3162" s="27"/>
    </row>
    <row r="3163" customFormat="false" ht="15" hidden="false" customHeight="false" outlineLevel="0" collapsed="false">
      <c r="A3163" s="26" t="s">
        <v>11251</v>
      </c>
      <c r="B3163" s="27" t="s">
        <v>11252</v>
      </c>
      <c r="C3163" s="27" t="s">
        <v>144</v>
      </c>
      <c r="D3163" s="26"/>
      <c r="E3163" s="27"/>
      <c r="F3163" s="27"/>
      <c r="G3163" s="27" t="s">
        <v>11122</v>
      </c>
      <c r="H3163" s="27" t="s">
        <v>35</v>
      </c>
      <c r="I3163" s="27" t="s">
        <v>40</v>
      </c>
      <c r="J3163" s="28" t="s">
        <v>141</v>
      </c>
      <c r="K3163" s="27" t="s">
        <v>40</v>
      </c>
      <c r="L3163" s="27"/>
    </row>
    <row r="3164" customFormat="false" ht="15" hidden="false" customHeight="false" outlineLevel="0" collapsed="false">
      <c r="A3164" s="26" t="s">
        <v>11253</v>
      </c>
      <c r="B3164" s="27" t="s">
        <v>11254</v>
      </c>
      <c r="C3164" s="27" t="s">
        <v>144</v>
      </c>
      <c r="D3164" s="26"/>
      <c r="E3164" s="27"/>
      <c r="F3164" s="27"/>
      <c r="G3164" s="27" t="s">
        <v>11122</v>
      </c>
      <c r="H3164" s="27" t="s">
        <v>35</v>
      </c>
      <c r="I3164" s="27" t="s">
        <v>37</v>
      </c>
      <c r="J3164" s="28" t="s">
        <v>141</v>
      </c>
      <c r="K3164" s="27" t="s">
        <v>40</v>
      </c>
      <c r="L3164" s="27"/>
    </row>
    <row r="3165" customFormat="false" ht="15" hidden="false" customHeight="false" outlineLevel="0" collapsed="false">
      <c r="A3165" s="26" t="s">
        <v>11255</v>
      </c>
      <c r="B3165" s="27" t="s">
        <v>11256</v>
      </c>
      <c r="C3165" s="27" t="s">
        <v>144</v>
      </c>
      <c r="D3165" s="26"/>
      <c r="E3165" s="27"/>
      <c r="F3165" s="27"/>
      <c r="G3165" s="27" t="s">
        <v>11122</v>
      </c>
      <c r="H3165" s="27" t="s">
        <v>35</v>
      </c>
      <c r="I3165" s="27" t="s">
        <v>37</v>
      </c>
      <c r="J3165" s="28" t="s">
        <v>141</v>
      </c>
      <c r="K3165" s="27" t="s">
        <v>40</v>
      </c>
      <c r="L3165" s="27"/>
    </row>
    <row r="3166" customFormat="false" ht="15" hidden="false" customHeight="false" outlineLevel="0" collapsed="false">
      <c r="A3166" s="26" t="s">
        <v>11257</v>
      </c>
      <c r="B3166" s="27" t="s">
        <v>11258</v>
      </c>
      <c r="C3166" s="27" t="s">
        <v>144</v>
      </c>
      <c r="D3166" s="26"/>
      <c r="E3166" s="27"/>
      <c r="F3166" s="27"/>
      <c r="G3166" s="27" t="s">
        <v>11122</v>
      </c>
      <c r="H3166" s="27" t="s">
        <v>35</v>
      </c>
      <c r="I3166" s="27" t="s">
        <v>40</v>
      </c>
      <c r="J3166" s="28" t="s">
        <v>141</v>
      </c>
      <c r="K3166" s="27" t="s">
        <v>40</v>
      </c>
      <c r="L3166" s="27"/>
    </row>
    <row r="3167" customFormat="false" ht="15" hidden="false" customHeight="false" outlineLevel="0" collapsed="false">
      <c r="A3167" s="26" t="s">
        <v>11259</v>
      </c>
      <c r="B3167" s="27" t="s">
        <v>11260</v>
      </c>
      <c r="C3167" s="27" t="s">
        <v>144</v>
      </c>
      <c r="D3167" s="26"/>
      <c r="E3167" s="27"/>
      <c r="F3167" s="27"/>
      <c r="G3167" s="27" t="s">
        <v>11122</v>
      </c>
      <c r="H3167" s="27" t="s">
        <v>35</v>
      </c>
      <c r="I3167" s="27" t="s">
        <v>40</v>
      </c>
      <c r="J3167" s="28" t="s">
        <v>141</v>
      </c>
      <c r="K3167" s="27" t="s">
        <v>40</v>
      </c>
      <c r="L3167" s="27"/>
    </row>
    <row r="3168" customFormat="false" ht="15" hidden="false" customHeight="false" outlineLevel="0" collapsed="false">
      <c r="A3168" s="26" t="s">
        <v>11261</v>
      </c>
      <c r="B3168" s="27" t="s">
        <v>11262</v>
      </c>
      <c r="C3168" s="27" t="s">
        <v>144</v>
      </c>
      <c r="D3168" s="26"/>
      <c r="E3168" s="27"/>
      <c r="F3168" s="27"/>
      <c r="G3168" s="27" t="s">
        <v>11122</v>
      </c>
      <c r="H3168" s="27" t="s">
        <v>35</v>
      </c>
      <c r="I3168" s="27" t="s">
        <v>40</v>
      </c>
      <c r="J3168" s="28" t="s">
        <v>141</v>
      </c>
      <c r="K3168" s="27" t="s">
        <v>40</v>
      </c>
      <c r="L3168" s="27"/>
    </row>
    <row r="3169" customFormat="false" ht="15" hidden="false" customHeight="false" outlineLevel="0" collapsed="false">
      <c r="A3169" s="26" t="s">
        <v>11263</v>
      </c>
      <c r="B3169" s="27" t="s">
        <v>11264</v>
      </c>
      <c r="C3169" s="27" t="s">
        <v>144</v>
      </c>
      <c r="D3169" s="26"/>
      <c r="E3169" s="27"/>
      <c r="F3169" s="27"/>
      <c r="G3169" s="27" t="s">
        <v>11122</v>
      </c>
      <c r="H3169" s="27" t="s">
        <v>35</v>
      </c>
      <c r="I3169" s="27" t="s">
        <v>37</v>
      </c>
      <c r="J3169" s="28" t="s">
        <v>141</v>
      </c>
      <c r="K3169" s="27" t="s">
        <v>40</v>
      </c>
      <c r="L3169" s="27"/>
    </row>
    <row r="3170" customFormat="false" ht="15" hidden="false" customHeight="false" outlineLevel="0" collapsed="false">
      <c r="A3170" s="26" t="s">
        <v>11265</v>
      </c>
      <c r="B3170" s="27" t="s">
        <v>11266</v>
      </c>
      <c r="C3170" s="27" t="s">
        <v>144</v>
      </c>
      <c r="D3170" s="26"/>
      <c r="E3170" s="27"/>
      <c r="F3170" s="27"/>
      <c r="G3170" s="27" t="s">
        <v>11122</v>
      </c>
      <c r="H3170" s="27" t="s">
        <v>35</v>
      </c>
      <c r="I3170" s="27" t="s">
        <v>40</v>
      </c>
      <c r="J3170" s="28" t="s">
        <v>141</v>
      </c>
      <c r="K3170" s="27" t="s">
        <v>40</v>
      </c>
      <c r="L3170" s="27"/>
    </row>
    <row r="3171" customFormat="false" ht="15" hidden="false" customHeight="false" outlineLevel="0" collapsed="false">
      <c r="A3171" s="26" t="s">
        <v>11267</v>
      </c>
      <c r="B3171" s="27" t="s">
        <v>11268</v>
      </c>
      <c r="C3171" s="27" t="s">
        <v>144</v>
      </c>
      <c r="D3171" s="26"/>
      <c r="E3171" s="27"/>
      <c r="F3171" s="27"/>
      <c r="G3171" s="27" t="s">
        <v>11122</v>
      </c>
      <c r="H3171" s="27" t="s">
        <v>35</v>
      </c>
      <c r="I3171" s="27" t="s">
        <v>37</v>
      </c>
      <c r="J3171" s="28" t="s">
        <v>141</v>
      </c>
      <c r="K3171" s="27" t="s">
        <v>40</v>
      </c>
      <c r="L3171" s="27"/>
    </row>
    <row r="3172" customFormat="false" ht="15" hidden="false" customHeight="false" outlineLevel="0" collapsed="false">
      <c r="A3172" s="26" t="s">
        <v>11269</v>
      </c>
      <c r="B3172" s="27" t="s">
        <v>11270</v>
      </c>
      <c r="C3172" s="27" t="s">
        <v>144</v>
      </c>
      <c r="D3172" s="26"/>
      <c r="E3172" s="27"/>
      <c r="F3172" s="27"/>
      <c r="G3172" s="27" t="s">
        <v>11122</v>
      </c>
      <c r="H3172" s="27" t="s">
        <v>35</v>
      </c>
      <c r="I3172" s="27" t="s">
        <v>40</v>
      </c>
      <c r="J3172" s="28" t="s">
        <v>141</v>
      </c>
      <c r="K3172" s="27" t="s">
        <v>40</v>
      </c>
      <c r="L3172" s="27"/>
    </row>
    <row r="3173" customFormat="false" ht="15" hidden="false" customHeight="false" outlineLevel="0" collapsed="false">
      <c r="A3173" s="26" t="s">
        <v>11271</v>
      </c>
      <c r="B3173" s="27" t="s">
        <v>11272</v>
      </c>
      <c r="C3173" s="27" t="s">
        <v>144</v>
      </c>
      <c r="D3173" s="26"/>
      <c r="E3173" s="27"/>
      <c r="F3173" s="27"/>
      <c r="G3173" s="27" t="s">
        <v>11122</v>
      </c>
      <c r="H3173" s="27" t="s">
        <v>35</v>
      </c>
      <c r="I3173" s="27" t="s">
        <v>40</v>
      </c>
      <c r="J3173" s="28" t="s">
        <v>141</v>
      </c>
      <c r="K3173" s="27" t="s">
        <v>40</v>
      </c>
      <c r="L3173" s="27"/>
    </row>
    <row r="3174" customFormat="false" ht="15" hidden="false" customHeight="false" outlineLevel="0" collapsed="false">
      <c r="A3174" s="26" t="s">
        <v>11273</v>
      </c>
      <c r="B3174" s="27" t="s">
        <v>11274</v>
      </c>
      <c r="C3174" s="27" t="s">
        <v>144</v>
      </c>
      <c r="D3174" s="26"/>
      <c r="E3174" s="27"/>
      <c r="F3174" s="27"/>
      <c r="G3174" s="27" t="s">
        <v>11122</v>
      </c>
      <c r="H3174" s="27" t="s">
        <v>35</v>
      </c>
      <c r="I3174" s="27" t="s">
        <v>37</v>
      </c>
      <c r="J3174" s="28" t="s">
        <v>141</v>
      </c>
      <c r="K3174" s="27" t="s">
        <v>40</v>
      </c>
      <c r="L3174" s="27"/>
    </row>
    <row r="3175" customFormat="false" ht="15" hidden="false" customHeight="false" outlineLevel="0" collapsed="false">
      <c r="A3175" s="26" t="s">
        <v>11275</v>
      </c>
      <c r="B3175" s="27" t="s">
        <v>11276</v>
      </c>
      <c r="C3175" s="27" t="s">
        <v>144</v>
      </c>
      <c r="D3175" s="26"/>
      <c r="E3175" s="27"/>
      <c r="F3175" s="27"/>
      <c r="G3175" s="27" t="s">
        <v>11122</v>
      </c>
      <c r="H3175" s="27" t="s">
        <v>35</v>
      </c>
      <c r="I3175" s="27" t="s">
        <v>40</v>
      </c>
      <c r="J3175" s="28" t="s">
        <v>141</v>
      </c>
      <c r="K3175" s="27" t="s">
        <v>40</v>
      </c>
      <c r="L3175" s="27"/>
    </row>
    <row r="3176" customFormat="false" ht="15" hidden="false" customHeight="false" outlineLevel="0" collapsed="false">
      <c r="A3176" s="26" t="s">
        <v>11277</v>
      </c>
      <c r="B3176" s="27" t="s">
        <v>11278</v>
      </c>
      <c r="C3176" s="27" t="s">
        <v>144</v>
      </c>
      <c r="D3176" s="26"/>
      <c r="E3176" s="27"/>
      <c r="F3176" s="27"/>
      <c r="G3176" s="27" t="s">
        <v>11122</v>
      </c>
      <c r="H3176" s="27" t="s">
        <v>35</v>
      </c>
      <c r="I3176" s="27" t="s">
        <v>39</v>
      </c>
      <c r="J3176" s="28" t="s">
        <v>141</v>
      </c>
      <c r="K3176" s="27" t="s">
        <v>40</v>
      </c>
      <c r="L3176" s="27"/>
    </row>
    <row r="3177" customFormat="false" ht="15" hidden="false" customHeight="false" outlineLevel="0" collapsed="false">
      <c r="A3177" s="26" t="s">
        <v>11279</v>
      </c>
      <c r="B3177" s="27" t="s">
        <v>11280</v>
      </c>
      <c r="C3177" s="27" t="s">
        <v>144</v>
      </c>
      <c r="D3177" s="26"/>
      <c r="E3177" s="27"/>
      <c r="F3177" s="27"/>
      <c r="G3177" s="27" t="s">
        <v>11122</v>
      </c>
      <c r="H3177" s="27" t="s">
        <v>35</v>
      </c>
      <c r="I3177" s="27" t="s">
        <v>40</v>
      </c>
      <c r="J3177" s="28" t="s">
        <v>141</v>
      </c>
      <c r="K3177" s="27" t="s">
        <v>40</v>
      </c>
      <c r="L3177" s="27"/>
    </row>
    <row r="3178" customFormat="false" ht="15" hidden="false" customHeight="false" outlineLevel="0" collapsed="false">
      <c r="A3178" s="26" t="s">
        <v>11281</v>
      </c>
      <c r="B3178" s="27" t="s">
        <v>11282</v>
      </c>
      <c r="C3178" s="27" t="s">
        <v>144</v>
      </c>
      <c r="D3178" s="26"/>
      <c r="E3178" s="27"/>
      <c r="F3178" s="27"/>
      <c r="G3178" s="27" t="s">
        <v>11122</v>
      </c>
      <c r="H3178" s="27" t="s">
        <v>35</v>
      </c>
      <c r="I3178" s="27" t="s">
        <v>40</v>
      </c>
      <c r="J3178" s="28" t="s">
        <v>141</v>
      </c>
      <c r="K3178" s="27" t="s">
        <v>40</v>
      </c>
      <c r="L3178" s="27"/>
    </row>
    <row r="3179" customFormat="false" ht="15" hidden="false" customHeight="false" outlineLevel="0" collapsed="false">
      <c r="A3179" s="26" t="s">
        <v>11283</v>
      </c>
      <c r="B3179" s="27" t="s">
        <v>11284</v>
      </c>
      <c r="C3179" s="27" t="s">
        <v>144</v>
      </c>
      <c r="D3179" s="26"/>
      <c r="E3179" s="27"/>
      <c r="F3179" s="27"/>
      <c r="G3179" s="27" t="s">
        <v>11122</v>
      </c>
      <c r="H3179" s="27" t="s">
        <v>35</v>
      </c>
      <c r="I3179" s="27" t="s">
        <v>37</v>
      </c>
      <c r="J3179" s="28" t="s">
        <v>141</v>
      </c>
      <c r="K3179" s="27" t="s">
        <v>40</v>
      </c>
      <c r="L3179" s="27"/>
    </row>
    <row r="3180" customFormat="false" ht="15" hidden="false" customHeight="false" outlineLevel="0" collapsed="false">
      <c r="A3180" s="26" t="s">
        <v>11285</v>
      </c>
      <c r="B3180" s="27" t="s">
        <v>11286</v>
      </c>
      <c r="C3180" s="27" t="s">
        <v>144</v>
      </c>
      <c r="D3180" s="26"/>
      <c r="E3180" s="27"/>
      <c r="F3180" s="27"/>
      <c r="G3180" s="27" t="s">
        <v>11122</v>
      </c>
      <c r="H3180" s="27" t="s">
        <v>35</v>
      </c>
      <c r="I3180" s="27" t="s">
        <v>37</v>
      </c>
      <c r="J3180" s="28" t="s">
        <v>141</v>
      </c>
      <c r="K3180" s="27" t="s">
        <v>40</v>
      </c>
      <c r="L3180" s="27"/>
    </row>
    <row r="3181" customFormat="false" ht="15" hidden="false" customHeight="false" outlineLevel="0" collapsed="false">
      <c r="A3181" s="26" t="s">
        <v>11287</v>
      </c>
      <c r="B3181" s="27" t="s">
        <v>11288</v>
      </c>
      <c r="C3181" s="27" t="s">
        <v>144</v>
      </c>
      <c r="D3181" s="26"/>
      <c r="E3181" s="27"/>
      <c r="F3181" s="27"/>
      <c r="G3181" s="27" t="s">
        <v>11122</v>
      </c>
      <c r="H3181" s="27" t="s">
        <v>35</v>
      </c>
      <c r="I3181" s="27" t="s">
        <v>37</v>
      </c>
      <c r="J3181" s="28" t="s">
        <v>141</v>
      </c>
      <c r="K3181" s="27" t="s">
        <v>40</v>
      </c>
      <c r="L3181" s="27"/>
    </row>
    <row r="3182" customFormat="false" ht="15" hidden="false" customHeight="false" outlineLevel="0" collapsed="false">
      <c r="A3182" s="26" t="s">
        <v>11289</v>
      </c>
      <c r="B3182" s="27" t="s">
        <v>11290</v>
      </c>
      <c r="C3182" s="27" t="s">
        <v>144</v>
      </c>
      <c r="D3182" s="26"/>
      <c r="E3182" s="27"/>
      <c r="F3182" s="27"/>
      <c r="G3182" s="27" t="s">
        <v>11122</v>
      </c>
      <c r="H3182" s="27" t="s">
        <v>35</v>
      </c>
      <c r="I3182" s="27" t="s">
        <v>40</v>
      </c>
      <c r="J3182" s="28" t="s">
        <v>141</v>
      </c>
      <c r="K3182" s="27" t="s">
        <v>40</v>
      </c>
      <c r="L3182" s="27"/>
    </row>
    <row r="3183" customFormat="false" ht="15" hidden="false" customHeight="false" outlineLevel="0" collapsed="false">
      <c r="A3183" s="26" t="s">
        <v>11291</v>
      </c>
      <c r="B3183" s="27" t="s">
        <v>11292</v>
      </c>
      <c r="C3183" s="27" t="s">
        <v>144</v>
      </c>
      <c r="D3183" s="26"/>
      <c r="E3183" s="27"/>
      <c r="F3183" s="27"/>
      <c r="G3183" s="27" t="s">
        <v>11122</v>
      </c>
      <c r="H3183" s="27" t="s">
        <v>35</v>
      </c>
      <c r="I3183" s="27" t="s">
        <v>40</v>
      </c>
      <c r="J3183" s="28" t="s">
        <v>141</v>
      </c>
      <c r="K3183" s="27" t="s">
        <v>40</v>
      </c>
      <c r="L3183" s="27"/>
    </row>
    <row r="3184" customFormat="false" ht="15" hidden="false" customHeight="false" outlineLevel="0" collapsed="false">
      <c r="A3184" s="26" t="s">
        <v>11293</v>
      </c>
      <c r="B3184" s="27" t="s">
        <v>11294</v>
      </c>
      <c r="C3184" s="27" t="s">
        <v>144</v>
      </c>
      <c r="D3184" s="26"/>
      <c r="E3184" s="27"/>
      <c r="F3184" s="27"/>
      <c r="G3184" s="27" t="s">
        <v>11122</v>
      </c>
      <c r="H3184" s="27" t="s">
        <v>35</v>
      </c>
      <c r="I3184" s="27" t="s">
        <v>40</v>
      </c>
      <c r="J3184" s="28" t="s">
        <v>141</v>
      </c>
      <c r="K3184" s="27" t="s">
        <v>40</v>
      </c>
      <c r="L3184" s="27"/>
    </row>
    <row r="3185" customFormat="false" ht="15" hidden="false" customHeight="false" outlineLevel="0" collapsed="false">
      <c r="A3185" s="26" t="s">
        <v>11295</v>
      </c>
      <c r="B3185" s="27" t="s">
        <v>11296</v>
      </c>
      <c r="C3185" s="27" t="s">
        <v>144</v>
      </c>
      <c r="D3185" s="26"/>
      <c r="E3185" s="27"/>
      <c r="F3185" s="27"/>
      <c r="G3185" s="27" t="s">
        <v>11122</v>
      </c>
      <c r="H3185" s="27" t="s">
        <v>35</v>
      </c>
      <c r="I3185" s="27" t="s">
        <v>40</v>
      </c>
      <c r="J3185" s="28" t="s">
        <v>141</v>
      </c>
      <c r="K3185" s="27" t="s">
        <v>40</v>
      </c>
      <c r="L3185" s="27"/>
    </row>
    <row r="3186" customFormat="false" ht="15" hidden="false" customHeight="false" outlineLevel="0" collapsed="false">
      <c r="A3186" s="26" t="s">
        <v>11297</v>
      </c>
      <c r="B3186" s="27" t="s">
        <v>11298</v>
      </c>
      <c r="C3186" s="27" t="s">
        <v>144</v>
      </c>
      <c r="D3186" s="26"/>
      <c r="E3186" s="27"/>
      <c r="F3186" s="27"/>
      <c r="G3186" s="27" t="s">
        <v>11122</v>
      </c>
      <c r="H3186" s="27" t="s">
        <v>35</v>
      </c>
      <c r="I3186" s="27" t="s">
        <v>40</v>
      </c>
      <c r="J3186" s="28" t="s">
        <v>141</v>
      </c>
      <c r="K3186" s="27" t="s">
        <v>40</v>
      </c>
      <c r="L3186" s="27"/>
    </row>
    <row r="3187" customFormat="false" ht="15" hidden="false" customHeight="false" outlineLevel="0" collapsed="false">
      <c r="A3187" s="26" t="s">
        <v>11299</v>
      </c>
      <c r="B3187" s="27" t="s">
        <v>11300</v>
      </c>
      <c r="C3187" s="27" t="s">
        <v>144</v>
      </c>
      <c r="D3187" s="26"/>
      <c r="E3187" s="27"/>
      <c r="F3187" s="27"/>
      <c r="G3187" s="27" t="s">
        <v>11122</v>
      </c>
      <c r="H3187" s="27" t="s">
        <v>35</v>
      </c>
      <c r="I3187" s="27" t="s">
        <v>37</v>
      </c>
      <c r="J3187" s="28" t="s">
        <v>141</v>
      </c>
      <c r="K3187" s="27" t="s">
        <v>40</v>
      </c>
      <c r="L3187" s="27"/>
    </row>
    <row r="3188" customFormat="false" ht="15" hidden="false" customHeight="false" outlineLevel="0" collapsed="false">
      <c r="A3188" s="26" t="s">
        <v>11301</v>
      </c>
      <c r="B3188" s="27" t="s">
        <v>11302</v>
      </c>
      <c r="C3188" s="27" t="s">
        <v>144</v>
      </c>
      <c r="D3188" s="26"/>
      <c r="E3188" s="27"/>
      <c r="F3188" s="27"/>
      <c r="G3188" s="27" t="s">
        <v>11122</v>
      </c>
      <c r="H3188" s="27" t="s">
        <v>35</v>
      </c>
      <c r="I3188" s="27" t="s">
        <v>39</v>
      </c>
      <c r="J3188" s="28" t="s">
        <v>141</v>
      </c>
      <c r="K3188" s="27" t="s">
        <v>40</v>
      </c>
      <c r="L3188" s="27"/>
    </row>
    <row r="3189" customFormat="false" ht="15" hidden="false" customHeight="false" outlineLevel="0" collapsed="false">
      <c r="A3189" s="26" t="s">
        <v>11303</v>
      </c>
      <c r="B3189" s="27" t="s">
        <v>11304</v>
      </c>
      <c r="C3189" s="27" t="s">
        <v>144</v>
      </c>
      <c r="D3189" s="26"/>
      <c r="E3189" s="27"/>
      <c r="F3189" s="27"/>
      <c r="G3189" s="27" t="s">
        <v>11122</v>
      </c>
      <c r="H3189" s="27" t="s">
        <v>35</v>
      </c>
      <c r="I3189" s="27" t="s">
        <v>40</v>
      </c>
      <c r="J3189" s="28" t="s">
        <v>141</v>
      </c>
      <c r="K3189" s="27" t="s">
        <v>40</v>
      </c>
      <c r="L3189" s="27"/>
    </row>
    <row r="3190" customFormat="false" ht="15" hidden="false" customHeight="false" outlineLevel="0" collapsed="false">
      <c r="A3190" s="26" t="s">
        <v>11305</v>
      </c>
      <c r="B3190" s="27" t="s">
        <v>11306</v>
      </c>
      <c r="C3190" s="27" t="s">
        <v>144</v>
      </c>
      <c r="D3190" s="26"/>
      <c r="E3190" s="27"/>
      <c r="F3190" s="27"/>
      <c r="G3190" s="27" t="s">
        <v>11122</v>
      </c>
      <c r="H3190" s="27" t="s">
        <v>35</v>
      </c>
      <c r="I3190" s="27" t="s">
        <v>40</v>
      </c>
      <c r="J3190" s="28" t="s">
        <v>141</v>
      </c>
      <c r="K3190" s="27" t="s">
        <v>40</v>
      </c>
      <c r="L3190" s="27"/>
    </row>
    <row r="3191" customFormat="false" ht="15" hidden="false" customHeight="false" outlineLevel="0" collapsed="false">
      <c r="A3191" s="26" t="s">
        <v>11307</v>
      </c>
      <c r="B3191" s="27" t="s">
        <v>11308</v>
      </c>
      <c r="C3191" s="27" t="s">
        <v>144</v>
      </c>
      <c r="D3191" s="26"/>
      <c r="E3191" s="27"/>
      <c r="F3191" s="27"/>
      <c r="G3191" s="27" t="s">
        <v>11122</v>
      </c>
      <c r="H3191" s="27" t="s">
        <v>35</v>
      </c>
      <c r="I3191" s="27" t="s">
        <v>40</v>
      </c>
      <c r="J3191" s="28" t="s">
        <v>141</v>
      </c>
      <c r="K3191" s="27" t="s">
        <v>40</v>
      </c>
      <c r="L3191" s="27"/>
    </row>
    <row r="3192" customFormat="false" ht="15" hidden="false" customHeight="false" outlineLevel="0" collapsed="false">
      <c r="A3192" s="26" t="s">
        <v>11309</v>
      </c>
      <c r="B3192" s="27" t="s">
        <v>11310</v>
      </c>
      <c r="C3192" s="27" t="s">
        <v>144</v>
      </c>
      <c r="D3192" s="26"/>
      <c r="E3192" s="27"/>
      <c r="F3192" s="27"/>
      <c r="G3192" s="27" t="s">
        <v>11122</v>
      </c>
      <c r="H3192" s="27" t="s">
        <v>35</v>
      </c>
      <c r="I3192" s="27" t="s">
        <v>37</v>
      </c>
      <c r="J3192" s="28" t="s">
        <v>141</v>
      </c>
      <c r="K3192" s="27" t="s">
        <v>40</v>
      </c>
      <c r="L3192" s="27"/>
    </row>
    <row r="3193" customFormat="false" ht="15" hidden="false" customHeight="false" outlineLevel="0" collapsed="false">
      <c r="A3193" s="26" t="s">
        <v>11311</v>
      </c>
      <c r="B3193" s="27" t="s">
        <v>11312</v>
      </c>
      <c r="C3193" s="27" t="s">
        <v>144</v>
      </c>
      <c r="D3193" s="26"/>
      <c r="E3193" s="27"/>
      <c r="F3193" s="27"/>
      <c r="G3193" s="27" t="s">
        <v>11122</v>
      </c>
      <c r="H3193" s="27" t="s">
        <v>35</v>
      </c>
      <c r="I3193" s="27" t="s">
        <v>37</v>
      </c>
      <c r="J3193" s="28" t="s">
        <v>141</v>
      </c>
      <c r="K3193" s="27" t="s">
        <v>40</v>
      </c>
      <c r="L3193" s="27"/>
    </row>
    <row r="3194" customFormat="false" ht="15" hidden="false" customHeight="false" outlineLevel="0" collapsed="false">
      <c r="A3194" s="26" t="s">
        <v>11313</v>
      </c>
      <c r="B3194" s="27" t="s">
        <v>11314</v>
      </c>
      <c r="C3194" s="27" t="s">
        <v>144</v>
      </c>
      <c r="D3194" s="26"/>
      <c r="E3194" s="27"/>
      <c r="F3194" s="27"/>
      <c r="G3194" s="27" t="s">
        <v>11122</v>
      </c>
      <c r="H3194" s="27" t="s">
        <v>35</v>
      </c>
      <c r="I3194" s="27" t="s">
        <v>37</v>
      </c>
      <c r="J3194" s="28" t="s">
        <v>141</v>
      </c>
      <c r="K3194" s="27" t="s">
        <v>40</v>
      </c>
      <c r="L3194" s="27"/>
    </row>
    <row r="3195" customFormat="false" ht="15" hidden="false" customHeight="false" outlineLevel="0" collapsed="false">
      <c r="A3195" s="26" t="s">
        <v>11315</v>
      </c>
      <c r="B3195" s="27" t="s">
        <v>11316</v>
      </c>
      <c r="C3195" s="27" t="s">
        <v>144</v>
      </c>
      <c r="D3195" s="26"/>
      <c r="E3195" s="27"/>
      <c r="F3195" s="27"/>
      <c r="G3195" s="27" t="s">
        <v>11122</v>
      </c>
      <c r="H3195" s="27" t="s">
        <v>35</v>
      </c>
      <c r="I3195" s="27" t="s">
        <v>37</v>
      </c>
      <c r="J3195" s="28" t="s">
        <v>141</v>
      </c>
      <c r="K3195" s="27" t="s">
        <v>40</v>
      </c>
      <c r="L3195" s="27"/>
    </row>
    <row r="3196" customFormat="false" ht="15" hidden="false" customHeight="false" outlineLevel="0" collapsed="false">
      <c r="A3196" s="26" t="s">
        <v>11317</v>
      </c>
      <c r="B3196" s="27" t="s">
        <v>11318</v>
      </c>
      <c r="C3196" s="27" t="s">
        <v>144</v>
      </c>
      <c r="D3196" s="26"/>
      <c r="E3196" s="27"/>
      <c r="F3196" s="27"/>
      <c r="G3196" s="27" t="s">
        <v>11122</v>
      </c>
      <c r="H3196" s="27" t="s">
        <v>35</v>
      </c>
      <c r="I3196" s="27" t="s">
        <v>37</v>
      </c>
      <c r="J3196" s="28" t="s">
        <v>141</v>
      </c>
      <c r="K3196" s="27" t="s">
        <v>40</v>
      </c>
      <c r="L3196" s="27"/>
    </row>
    <row r="3197" customFormat="false" ht="15" hidden="false" customHeight="false" outlineLevel="0" collapsed="false">
      <c r="A3197" s="26" t="s">
        <v>11319</v>
      </c>
      <c r="B3197" s="27" t="s">
        <v>11320</v>
      </c>
      <c r="C3197" s="27" t="s">
        <v>144</v>
      </c>
      <c r="D3197" s="26"/>
      <c r="E3197" s="27"/>
      <c r="F3197" s="27"/>
      <c r="G3197" s="27" t="s">
        <v>11122</v>
      </c>
      <c r="H3197" s="27" t="s">
        <v>35</v>
      </c>
      <c r="I3197" s="27" t="s">
        <v>37</v>
      </c>
      <c r="J3197" s="28" t="s">
        <v>141</v>
      </c>
      <c r="K3197" s="27" t="s">
        <v>40</v>
      </c>
      <c r="L3197" s="27"/>
    </row>
    <row r="3198" customFormat="false" ht="15" hidden="false" customHeight="false" outlineLevel="0" collapsed="false">
      <c r="A3198" s="26" t="s">
        <v>11321</v>
      </c>
      <c r="B3198" s="27" t="s">
        <v>11322</v>
      </c>
      <c r="C3198" s="27" t="s">
        <v>144</v>
      </c>
      <c r="D3198" s="26"/>
      <c r="E3198" s="27"/>
      <c r="F3198" s="27"/>
      <c r="G3198" s="27" t="s">
        <v>11122</v>
      </c>
      <c r="H3198" s="27" t="s">
        <v>35</v>
      </c>
      <c r="I3198" s="27" t="s">
        <v>37</v>
      </c>
      <c r="J3198" s="28" t="s">
        <v>141</v>
      </c>
      <c r="K3198" s="27" t="s">
        <v>40</v>
      </c>
      <c r="L3198" s="27"/>
    </row>
    <row r="3199" customFormat="false" ht="15" hidden="false" customHeight="false" outlineLevel="0" collapsed="false">
      <c r="A3199" s="26" t="s">
        <v>11323</v>
      </c>
      <c r="B3199" s="27" t="s">
        <v>11324</v>
      </c>
      <c r="C3199" s="27" t="s">
        <v>144</v>
      </c>
      <c r="D3199" s="26"/>
      <c r="E3199" s="27"/>
      <c r="F3199" s="27"/>
      <c r="G3199" s="27" t="s">
        <v>11122</v>
      </c>
      <c r="H3199" s="27" t="s">
        <v>35</v>
      </c>
      <c r="I3199" s="27" t="s">
        <v>37</v>
      </c>
      <c r="J3199" s="28" t="s">
        <v>141</v>
      </c>
      <c r="K3199" s="27" t="s">
        <v>40</v>
      </c>
      <c r="L3199" s="27"/>
    </row>
    <row r="3200" customFormat="false" ht="15" hidden="false" customHeight="false" outlineLevel="0" collapsed="false">
      <c r="A3200" s="26" t="s">
        <v>11325</v>
      </c>
      <c r="B3200" s="27" t="s">
        <v>11326</v>
      </c>
      <c r="C3200" s="27" t="s">
        <v>144</v>
      </c>
      <c r="D3200" s="26"/>
      <c r="E3200" s="27"/>
      <c r="F3200" s="27"/>
      <c r="G3200" s="27" t="s">
        <v>11122</v>
      </c>
      <c r="H3200" s="27" t="s">
        <v>35</v>
      </c>
      <c r="I3200" s="27" t="s">
        <v>37</v>
      </c>
      <c r="J3200" s="28" t="s">
        <v>141</v>
      </c>
      <c r="K3200" s="27" t="s">
        <v>40</v>
      </c>
      <c r="L3200" s="27"/>
    </row>
    <row r="3201" customFormat="false" ht="15" hidden="false" customHeight="false" outlineLevel="0" collapsed="false">
      <c r="A3201" s="26" t="s">
        <v>11327</v>
      </c>
      <c r="B3201" s="27" t="s">
        <v>11328</v>
      </c>
      <c r="C3201" s="27" t="s">
        <v>144</v>
      </c>
      <c r="D3201" s="26"/>
      <c r="E3201" s="27"/>
      <c r="F3201" s="27"/>
      <c r="G3201" s="27" t="s">
        <v>11122</v>
      </c>
      <c r="H3201" s="27" t="s">
        <v>35</v>
      </c>
      <c r="I3201" s="27" t="s">
        <v>37</v>
      </c>
      <c r="J3201" s="28" t="s">
        <v>141</v>
      </c>
      <c r="K3201" s="27" t="s">
        <v>40</v>
      </c>
      <c r="L3201" s="27"/>
    </row>
    <row r="3202" customFormat="false" ht="15" hidden="false" customHeight="false" outlineLevel="0" collapsed="false">
      <c r="A3202" s="26" t="s">
        <v>11329</v>
      </c>
      <c r="B3202" s="27" t="s">
        <v>11330</v>
      </c>
      <c r="C3202" s="27" t="s">
        <v>144</v>
      </c>
      <c r="D3202" s="26"/>
      <c r="E3202" s="27"/>
      <c r="F3202" s="27"/>
      <c r="G3202" s="27" t="s">
        <v>11122</v>
      </c>
      <c r="H3202" s="27" t="s">
        <v>35</v>
      </c>
      <c r="I3202" s="27" t="s">
        <v>37</v>
      </c>
      <c r="J3202" s="28" t="s">
        <v>141</v>
      </c>
      <c r="K3202" s="27" t="s">
        <v>40</v>
      </c>
      <c r="L3202" s="27"/>
    </row>
    <row r="3203" customFormat="false" ht="15" hidden="false" customHeight="false" outlineLevel="0" collapsed="false">
      <c r="A3203" s="26" t="s">
        <v>11331</v>
      </c>
      <c r="B3203" s="27" t="s">
        <v>11332</v>
      </c>
      <c r="C3203" s="27" t="s">
        <v>144</v>
      </c>
      <c r="D3203" s="26"/>
      <c r="E3203" s="27"/>
      <c r="F3203" s="27"/>
      <c r="G3203" s="27" t="s">
        <v>11122</v>
      </c>
      <c r="H3203" s="27" t="s">
        <v>35</v>
      </c>
      <c r="I3203" s="27" t="s">
        <v>37</v>
      </c>
      <c r="J3203" s="28" t="s">
        <v>141</v>
      </c>
      <c r="K3203" s="27" t="s">
        <v>40</v>
      </c>
      <c r="L3203" s="27"/>
    </row>
    <row r="3204" customFormat="false" ht="15" hidden="false" customHeight="false" outlineLevel="0" collapsed="false">
      <c r="A3204" s="26" t="s">
        <v>11333</v>
      </c>
      <c r="B3204" s="27" t="s">
        <v>11334</v>
      </c>
      <c r="C3204" s="27" t="s">
        <v>144</v>
      </c>
      <c r="D3204" s="26"/>
      <c r="E3204" s="27"/>
      <c r="F3204" s="27"/>
      <c r="G3204" s="27" t="s">
        <v>11122</v>
      </c>
      <c r="H3204" s="27" t="s">
        <v>35</v>
      </c>
      <c r="I3204" s="27" t="s">
        <v>41</v>
      </c>
      <c r="J3204" s="28" t="s">
        <v>141</v>
      </c>
      <c r="K3204" s="27" t="s">
        <v>40</v>
      </c>
      <c r="L3204" s="27"/>
    </row>
    <row r="3205" customFormat="false" ht="15" hidden="false" customHeight="false" outlineLevel="0" collapsed="false">
      <c r="A3205" s="26" t="s">
        <v>11335</v>
      </c>
      <c r="B3205" s="27" t="s">
        <v>11336</v>
      </c>
      <c r="C3205" s="27" t="s">
        <v>144</v>
      </c>
      <c r="D3205" s="26"/>
      <c r="E3205" s="27"/>
      <c r="F3205" s="27"/>
      <c r="G3205" s="27" t="s">
        <v>11122</v>
      </c>
      <c r="H3205" s="27" t="s">
        <v>35</v>
      </c>
      <c r="I3205" s="27" t="s">
        <v>37</v>
      </c>
      <c r="J3205" s="28" t="s">
        <v>141</v>
      </c>
      <c r="K3205" s="27" t="s">
        <v>40</v>
      </c>
      <c r="L3205" s="27"/>
    </row>
    <row r="3206" customFormat="false" ht="15" hidden="false" customHeight="false" outlineLevel="0" collapsed="false">
      <c r="A3206" s="26" t="s">
        <v>11337</v>
      </c>
      <c r="B3206" s="27" t="s">
        <v>11338</v>
      </c>
      <c r="C3206" s="27" t="s">
        <v>144</v>
      </c>
      <c r="D3206" s="26"/>
      <c r="E3206" s="27"/>
      <c r="F3206" s="27"/>
      <c r="G3206" s="27" t="s">
        <v>11122</v>
      </c>
      <c r="H3206" s="27" t="s">
        <v>35</v>
      </c>
      <c r="I3206" s="27" t="s">
        <v>37</v>
      </c>
      <c r="J3206" s="28" t="s">
        <v>141</v>
      </c>
      <c r="K3206" s="27" t="s">
        <v>40</v>
      </c>
      <c r="L3206" s="27"/>
    </row>
    <row r="3207" customFormat="false" ht="15" hidden="false" customHeight="false" outlineLevel="0" collapsed="false">
      <c r="A3207" s="26" t="s">
        <v>11339</v>
      </c>
      <c r="B3207" s="27" t="s">
        <v>11340</v>
      </c>
      <c r="C3207" s="27" t="s">
        <v>144</v>
      </c>
      <c r="D3207" s="26"/>
      <c r="E3207" s="27"/>
      <c r="F3207" s="27"/>
      <c r="G3207" s="27" t="s">
        <v>11122</v>
      </c>
      <c r="H3207" s="27" t="s">
        <v>35</v>
      </c>
      <c r="I3207" s="27" t="s">
        <v>37</v>
      </c>
      <c r="J3207" s="28" t="s">
        <v>141</v>
      </c>
      <c r="K3207" s="27" t="s">
        <v>40</v>
      </c>
      <c r="L3207" s="27"/>
    </row>
    <row r="3208" customFormat="false" ht="15" hidden="false" customHeight="false" outlineLevel="0" collapsed="false">
      <c r="A3208" s="26" t="s">
        <v>11341</v>
      </c>
      <c r="B3208" s="27" t="s">
        <v>11342</v>
      </c>
      <c r="C3208" s="27" t="s">
        <v>144</v>
      </c>
      <c r="D3208" s="26"/>
      <c r="E3208" s="27"/>
      <c r="F3208" s="27"/>
      <c r="G3208" s="27" t="s">
        <v>11122</v>
      </c>
      <c r="H3208" s="27" t="s">
        <v>35</v>
      </c>
      <c r="I3208" s="27" t="s">
        <v>37</v>
      </c>
      <c r="J3208" s="28" t="s">
        <v>141</v>
      </c>
      <c r="K3208" s="27" t="s">
        <v>40</v>
      </c>
      <c r="L3208" s="27"/>
    </row>
    <row r="3209" customFormat="false" ht="15" hidden="false" customHeight="false" outlineLevel="0" collapsed="false">
      <c r="A3209" s="26" t="s">
        <v>11343</v>
      </c>
      <c r="B3209" s="27" t="s">
        <v>11344</v>
      </c>
      <c r="C3209" s="27" t="s">
        <v>144</v>
      </c>
      <c r="D3209" s="26"/>
      <c r="E3209" s="27"/>
      <c r="F3209" s="27"/>
      <c r="G3209" s="27" t="s">
        <v>11122</v>
      </c>
      <c r="H3209" s="27" t="s">
        <v>35</v>
      </c>
      <c r="I3209" s="27" t="s">
        <v>42</v>
      </c>
      <c r="J3209" s="28" t="s">
        <v>141</v>
      </c>
      <c r="K3209" s="27" t="s">
        <v>40</v>
      </c>
      <c r="L3209" s="27"/>
    </row>
    <row r="3210" customFormat="false" ht="15" hidden="false" customHeight="false" outlineLevel="0" collapsed="false">
      <c r="A3210" s="26" t="s">
        <v>11345</v>
      </c>
      <c r="B3210" s="27" t="s">
        <v>11346</v>
      </c>
      <c r="C3210" s="27" t="s">
        <v>144</v>
      </c>
      <c r="D3210" s="26"/>
      <c r="E3210" s="27"/>
      <c r="F3210" s="27"/>
      <c r="G3210" s="27" t="s">
        <v>11122</v>
      </c>
      <c r="H3210" s="27" t="s">
        <v>35</v>
      </c>
      <c r="I3210" s="27" t="s">
        <v>37</v>
      </c>
      <c r="J3210" s="28" t="s">
        <v>141</v>
      </c>
      <c r="K3210" s="27" t="s">
        <v>40</v>
      </c>
      <c r="L3210" s="27"/>
    </row>
    <row r="3211" customFormat="false" ht="15" hidden="false" customHeight="false" outlineLevel="0" collapsed="false">
      <c r="A3211" s="26" t="s">
        <v>11347</v>
      </c>
      <c r="B3211" s="27" t="s">
        <v>11348</v>
      </c>
      <c r="C3211" s="27" t="s">
        <v>144</v>
      </c>
      <c r="D3211" s="26"/>
      <c r="E3211" s="27"/>
      <c r="F3211" s="27"/>
      <c r="G3211" s="27" t="s">
        <v>11122</v>
      </c>
      <c r="H3211" s="27" t="s">
        <v>35</v>
      </c>
      <c r="I3211" s="27" t="s">
        <v>37</v>
      </c>
      <c r="J3211" s="28" t="s">
        <v>141</v>
      </c>
      <c r="K3211" s="27" t="s">
        <v>40</v>
      </c>
      <c r="L3211" s="27"/>
    </row>
    <row r="3212" customFormat="false" ht="15" hidden="false" customHeight="false" outlineLevel="0" collapsed="false">
      <c r="A3212" s="26" t="s">
        <v>11349</v>
      </c>
      <c r="B3212" s="27" t="s">
        <v>11350</v>
      </c>
      <c r="C3212" s="27" t="s">
        <v>144</v>
      </c>
      <c r="D3212" s="26"/>
      <c r="E3212" s="27"/>
      <c r="F3212" s="27"/>
      <c r="G3212" s="27" t="s">
        <v>11122</v>
      </c>
      <c r="H3212" s="27" t="s">
        <v>35</v>
      </c>
      <c r="I3212" s="27" t="s">
        <v>37</v>
      </c>
      <c r="J3212" s="28" t="s">
        <v>141</v>
      </c>
      <c r="K3212" s="27" t="s">
        <v>40</v>
      </c>
      <c r="L3212" s="27"/>
    </row>
    <row r="3213" customFormat="false" ht="15" hidden="false" customHeight="false" outlineLevel="0" collapsed="false">
      <c r="A3213" s="26" t="s">
        <v>11351</v>
      </c>
      <c r="B3213" s="27" t="s">
        <v>11352</v>
      </c>
      <c r="C3213" s="27" t="s">
        <v>144</v>
      </c>
      <c r="D3213" s="26"/>
      <c r="E3213" s="27"/>
      <c r="F3213" s="27"/>
      <c r="G3213" s="27" t="s">
        <v>11122</v>
      </c>
      <c r="H3213" s="27" t="s">
        <v>35</v>
      </c>
      <c r="I3213" s="27" t="s">
        <v>37</v>
      </c>
      <c r="J3213" s="28" t="s">
        <v>141</v>
      </c>
      <c r="K3213" s="27" t="s">
        <v>40</v>
      </c>
      <c r="L3213" s="27"/>
    </row>
    <row r="3214" customFormat="false" ht="15" hidden="false" customHeight="false" outlineLevel="0" collapsed="false">
      <c r="A3214" s="26" t="s">
        <v>11353</v>
      </c>
      <c r="B3214" s="27" t="s">
        <v>11354</v>
      </c>
      <c r="C3214" s="27" t="s">
        <v>144</v>
      </c>
      <c r="D3214" s="26"/>
      <c r="E3214" s="27"/>
      <c r="F3214" s="27"/>
      <c r="G3214" s="27" t="s">
        <v>11122</v>
      </c>
      <c r="H3214" s="27" t="s">
        <v>35</v>
      </c>
      <c r="I3214" s="27" t="s">
        <v>37</v>
      </c>
      <c r="J3214" s="28" t="s">
        <v>141</v>
      </c>
      <c r="K3214" s="27" t="s">
        <v>40</v>
      </c>
      <c r="L3214" s="27"/>
    </row>
    <row r="3215" customFormat="false" ht="15" hidden="false" customHeight="false" outlineLevel="0" collapsed="false">
      <c r="A3215" s="26" t="s">
        <v>11355</v>
      </c>
      <c r="B3215" s="27" t="s">
        <v>11356</v>
      </c>
      <c r="C3215" s="27" t="s">
        <v>144</v>
      </c>
      <c r="D3215" s="26"/>
      <c r="E3215" s="27"/>
      <c r="F3215" s="27"/>
      <c r="G3215" s="27" t="s">
        <v>11122</v>
      </c>
      <c r="H3215" s="27" t="s">
        <v>35</v>
      </c>
      <c r="I3215" s="27" t="s">
        <v>39</v>
      </c>
      <c r="J3215" s="28" t="s">
        <v>141</v>
      </c>
      <c r="K3215" s="27" t="s">
        <v>40</v>
      </c>
      <c r="L3215" s="27"/>
    </row>
    <row r="3216" customFormat="false" ht="15" hidden="false" customHeight="false" outlineLevel="0" collapsed="false">
      <c r="A3216" s="26" t="s">
        <v>11357</v>
      </c>
      <c r="B3216" s="27" t="s">
        <v>11358</v>
      </c>
      <c r="C3216" s="27" t="s">
        <v>144</v>
      </c>
      <c r="D3216" s="26"/>
      <c r="E3216" s="27"/>
      <c r="F3216" s="27"/>
      <c r="G3216" s="27" t="s">
        <v>11122</v>
      </c>
      <c r="H3216" s="27" t="s">
        <v>35</v>
      </c>
      <c r="I3216" s="27" t="s">
        <v>37</v>
      </c>
      <c r="J3216" s="28" t="s">
        <v>141</v>
      </c>
      <c r="K3216" s="27" t="s">
        <v>40</v>
      </c>
      <c r="L3216" s="27"/>
    </row>
    <row r="3217" customFormat="false" ht="15" hidden="false" customHeight="false" outlineLevel="0" collapsed="false">
      <c r="A3217" s="26" t="s">
        <v>11359</v>
      </c>
      <c r="B3217" s="27" t="s">
        <v>11360</v>
      </c>
      <c r="C3217" s="27" t="s">
        <v>144</v>
      </c>
      <c r="D3217" s="26"/>
      <c r="E3217" s="27"/>
      <c r="F3217" s="27"/>
      <c r="G3217" s="27" t="s">
        <v>11122</v>
      </c>
      <c r="H3217" s="27" t="s">
        <v>35</v>
      </c>
      <c r="I3217" s="27" t="s">
        <v>39</v>
      </c>
      <c r="J3217" s="28" t="s">
        <v>141</v>
      </c>
      <c r="K3217" s="27" t="s">
        <v>40</v>
      </c>
      <c r="L3217" s="27"/>
    </row>
    <row r="3218" customFormat="false" ht="15" hidden="false" customHeight="false" outlineLevel="0" collapsed="false">
      <c r="A3218" s="26" t="s">
        <v>11361</v>
      </c>
      <c r="B3218" s="27" t="s">
        <v>11362</v>
      </c>
      <c r="C3218" s="27" t="s">
        <v>144</v>
      </c>
      <c r="D3218" s="26"/>
      <c r="E3218" s="27"/>
      <c r="F3218" s="27"/>
      <c r="G3218" s="27" t="s">
        <v>11122</v>
      </c>
      <c r="H3218" s="27" t="s">
        <v>35</v>
      </c>
      <c r="I3218" s="27" t="s">
        <v>37</v>
      </c>
      <c r="J3218" s="28" t="s">
        <v>141</v>
      </c>
      <c r="K3218" s="27" t="s">
        <v>40</v>
      </c>
      <c r="L3218" s="27"/>
    </row>
    <row r="3219" customFormat="false" ht="15" hidden="false" customHeight="false" outlineLevel="0" collapsed="false">
      <c r="A3219" s="26" t="s">
        <v>11363</v>
      </c>
      <c r="B3219" s="27" t="s">
        <v>11364</v>
      </c>
      <c r="C3219" s="27" t="s">
        <v>144</v>
      </c>
      <c r="D3219" s="26"/>
      <c r="E3219" s="27"/>
      <c r="F3219" s="27"/>
      <c r="G3219" s="27" t="s">
        <v>11122</v>
      </c>
      <c r="H3219" s="27" t="s">
        <v>35</v>
      </c>
      <c r="I3219" s="27" t="s">
        <v>37</v>
      </c>
      <c r="J3219" s="28" t="s">
        <v>141</v>
      </c>
      <c r="K3219" s="27" t="s">
        <v>40</v>
      </c>
      <c r="L3219" s="27"/>
    </row>
    <row r="3220" customFormat="false" ht="15" hidden="false" customHeight="false" outlineLevel="0" collapsed="false">
      <c r="A3220" s="26" t="s">
        <v>11365</v>
      </c>
      <c r="B3220" s="27" t="s">
        <v>11366</v>
      </c>
      <c r="C3220" s="27" t="s">
        <v>144</v>
      </c>
      <c r="D3220" s="26"/>
      <c r="E3220" s="27"/>
      <c r="F3220" s="27"/>
      <c r="G3220" s="27" t="s">
        <v>11122</v>
      </c>
      <c r="H3220" s="27" t="s">
        <v>35</v>
      </c>
      <c r="I3220" s="27" t="s">
        <v>37</v>
      </c>
      <c r="J3220" s="28" t="s">
        <v>141</v>
      </c>
      <c r="K3220" s="27" t="s">
        <v>40</v>
      </c>
      <c r="L3220" s="27"/>
    </row>
    <row r="3221" customFormat="false" ht="15" hidden="false" customHeight="false" outlineLevel="0" collapsed="false">
      <c r="A3221" s="26" t="s">
        <v>11367</v>
      </c>
      <c r="B3221" s="27" t="s">
        <v>11368</v>
      </c>
      <c r="C3221" s="27" t="s">
        <v>144</v>
      </c>
      <c r="D3221" s="26"/>
      <c r="E3221" s="27"/>
      <c r="F3221" s="27"/>
      <c r="G3221" s="27" t="s">
        <v>11122</v>
      </c>
      <c r="H3221" s="27" t="s">
        <v>35</v>
      </c>
      <c r="I3221" s="27" t="s">
        <v>37</v>
      </c>
      <c r="J3221" s="28" t="s">
        <v>141</v>
      </c>
      <c r="K3221" s="27" t="s">
        <v>40</v>
      </c>
      <c r="L3221" s="27"/>
    </row>
    <row r="3222" customFormat="false" ht="15" hidden="false" customHeight="false" outlineLevel="0" collapsed="false">
      <c r="A3222" s="26" t="s">
        <v>11369</v>
      </c>
      <c r="B3222" s="27" t="s">
        <v>11370</v>
      </c>
      <c r="C3222" s="27" t="s">
        <v>144</v>
      </c>
      <c r="D3222" s="26"/>
      <c r="E3222" s="27"/>
      <c r="F3222" s="27"/>
      <c r="G3222" s="27" t="s">
        <v>11122</v>
      </c>
      <c r="H3222" s="27" t="s">
        <v>35</v>
      </c>
      <c r="I3222" s="27" t="s">
        <v>37</v>
      </c>
      <c r="J3222" s="28" t="s">
        <v>141</v>
      </c>
      <c r="K3222" s="27" t="s">
        <v>40</v>
      </c>
      <c r="L3222" s="27"/>
    </row>
    <row r="3223" customFormat="false" ht="15" hidden="false" customHeight="false" outlineLevel="0" collapsed="false">
      <c r="A3223" s="26" t="s">
        <v>11371</v>
      </c>
      <c r="B3223" s="27" t="s">
        <v>11372</v>
      </c>
      <c r="C3223" s="27" t="s">
        <v>370</v>
      </c>
      <c r="D3223" s="26"/>
      <c r="E3223" s="27"/>
      <c r="F3223" s="27"/>
      <c r="G3223" s="27" t="s">
        <v>11122</v>
      </c>
      <c r="H3223" s="27" t="s">
        <v>35</v>
      </c>
      <c r="I3223" s="27" t="s">
        <v>37</v>
      </c>
      <c r="J3223" s="28" t="s">
        <v>141</v>
      </c>
      <c r="K3223" s="27" t="s">
        <v>40</v>
      </c>
      <c r="L3223" s="27"/>
    </row>
    <row r="3224" customFormat="false" ht="15" hidden="false" customHeight="false" outlineLevel="0" collapsed="false">
      <c r="A3224" s="26" t="s">
        <v>11373</v>
      </c>
      <c r="B3224" s="27" t="s">
        <v>11374</v>
      </c>
      <c r="C3224" s="27" t="s">
        <v>144</v>
      </c>
      <c r="D3224" s="26"/>
      <c r="E3224" s="27"/>
      <c r="F3224" s="27"/>
      <c r="G3224" s="27" t="s">
        <v>11122</v>
      </c>
      <c r="H3224" s="27" t="s">
        <v>35</v>
      </c>
      <c r="I3224" s="27" t="s">
        <v>37</v>
      </c>
      <c r="J3224" s="28" t="s">
        <v>141</v>
      </c>
      <c r="K3224" s="27" t="s">
        <v>40</v>
      </c>
      <c r="L3224" s="27"/>
    </row>
    <row r="3225" customFormat="false" ht="15" hidden="false" customHeight="false" outlineLevel="0" collapsed="false">
      <c r="A3225" s="26" t="s">
        <v>11375</v>
      </c>
      <c r="B3225" s="27" t="s">
        <v>11376</v>
      </c>
      <c r="C3225" s="27" t="s">
        <v>144</v>
      </c>
      <c r="D3225" s="26"/>
      <c r="E3225" s="27"/>
      <c r="F3225" s="27"/>
      <c r="G3225" s="27" t="s">
        <v>11122</v>
      </c>
      <c r="H3225" s="27" t="s">
        <v>35</v>
      </c>
      <c r="I3225" s="27" t="s">
        <v>37</v>
      </c>
      <c r="J3225" s="28" t="s">
        <v>141</v>
      </c>
      <c r="K3225" s="27" t="s">
        <v>40</v>
      </c>
      <c r="L3225" s="27"/>
    </row>
    <row r="3226" customFormat="false" ht="15" hidden="false" customHeight="false" outlineLevel="0" collapsed="false">
      <c r="A3226" s="26" t="s">
        <v>11377</v>
      </c>
      <c r="B3226" s="27" t="s">
        <v>11378</v>
      </c>
      <c r="C3226" s="27" t="s">
        <v>144</v>
      </c>
      <c r="D3226" s="26"/>
      <c r="E3226" s="27"/>
      <c r="F3226" s="27"/>
      <c r="G3226" s="27" t="s">
        <v>11122</v>
      </c>
      <c r="H3226" s="27" t="s">
        <v>35</v>
      </c>
      <c r="I3226" s="27" t="s">
        <v>37</v>
      </c>
      <c r="J3226" s="28" t="s">
        <v>141</v>
      </c>
      <c r="K3226" s="27" t="s">
        <v>40</v>
      </c>
      <c r="L3226" s="27"/>
    </row>
    <row r="3227" customFormat="false" ht="15" hidden="false" customHeight="false" outlineLevel="0" collapsed="false">
      <c r="A3227" s="26" t="s">
        <v>11379</v>
      </c>
      <c r="B3227" s="27" t="s">
        <v>11380</v>
      </c>
      <c r="C3227" s="27" t="s">
        <v>144</v>
      </c>
      <c r="D3227" s="26"/>
      <c r="E3227" s="27"/>
      <c r="F3227" s="27"/>
      <c r="G3227" s="27" t="s">
        <v>11122</v>
      </c>
      <c r="H3227" s="27" t="s">
        <v>35</v>
      </c>
      <c r="I3227" s="27" t="s">
        <v>37</v>
      </c>
      <c r="J3227" s="28" t="s">
        <v>141</v>
      </c>
      <c r="K3227" s="27" t="s">
        <v>40</v>
      </c>
      <c r="L3227" s="27"/>
    </row>
    <row r="3228" customFormat="false" ht="15" hidden="false" customHeight="false" outlineLevel="0" collapsed="false">
      <c r="A3228" s="26" t="s">
        <v>11381</v>
      </c>
      <c r="B3228" s="27" t="s">
        <v>11382</v>
      </c>
      <c r="C3228" s="27" t="s">
        <v>144</v>
      </c>
      <c r="D3228" s="26"/>
      <c r="E3228" s="27"/>
      <c r="F3228" s="27"/>
      <c r="G3228" s="27" t="s">
        <v>11122</v>
      </c>
      <c r="H3228" s="27" t="s">
        <v>35</v>
      </c>
      <c r="I3228" s="27" t="s">
        <v>37</v>
      </c>
      <c r="J3228" s="28" t="s">
        <v>141</v>
      </c>
      <c r="K3228" s="27" t="s">
        <v>40</v>
      </c>
      <c r="L3228" s="27"/>
    </row>
    <row r="3229" customFormat="false" ht="15" hidden="false" customHeight="false" outlineLevel="0" collapsed="false">
      <c r="A3229" s="26" t="s">
        <v>11383</v>
      </c>
      <c r="B3229" s="27" t="s">
        <v>11384</v>
      </c>
      <c r="C3229" s="27" t="s">
        <v>144</v>
      </c>
      <c r="D3229" s="26"/>
      <c r="E3229" s="27"/>
      <c r="F3229" s="27"/>
      <c r="G3229" s="27" t="s">
        <v>11122</v>
      </c>
      <c r="H3229" s="27" t="s">
        <v>35</v>
      </c>
      <c r="I3229" s="27" t="s">
        <v>37</v>
      </c>
      <c r="J3229" s="28" t="s">
        <v>141</v>
      </c>
      <c r="K3229" s="27" t="s">
        <v>40</v>
      </c>
      <c r="L3229" s="27"/>
    </row>
    <row r="3230" customFormat="false" ht="15" hidden="false" customHeight="false" outlineLevel="0" collapsed="false">
      <c r="A3230" s="26" t="s">
        <v>11385</v>
      </c>
      <c r="B3230" s="27" t="s">
        <v>11386</v>
      </c>
      <c r="C3230" s="27" t="s">
        <v>144</v>
      </c>
      <c r="D3230" s="26"/>
      <c r="E3230" s="27"/>
      <c r="F3230" s="27"/>
      <c r="G3230" s="27" t="s">
        <v>11122</v>
      </c>
      <c r="H3230" s="27" t="s">
        <v>35</v>
      </c>
      <c r="I3230" s="27" t="s">
        <v>37</v>
      </c>
      <c r="J3230" s="28" t="s">
        <v>141</v>
      </c>
      <c r="K3230" s="27" t="s">
        <v>40</v>
      </c>
      <c r="L3230" s="27"/>
    </row>
    <row r="3231" customFormat="false" ht="15" hidden="false" customHeight="false" outlineLevel="0" collapsed="false">
      <c r="A3231" s="26" t="s">
        <v>11387</v>
      </c>
      <c r="B3231" s="27" t="s">
        <v>11388</v>
      </c>
      <c r="C3231" s="27" t="s">
        <v>144</v>
      </c>
      <c r="D3231" s="26"/>
      <c r="E3231" s="27"/>
      <c r="F3231" s="27"/>
      <c r="G3231" s="27" t="s">
        <v>11122</v>
      </c>
      <c r="H3231" s="27" t="s">
        <v>35</v>
      </c>
      <c r="I3231" s="27" t="s">
        <v>37</v>
      </c>
      <c r="J3231" s="28" t="s">
        <v>141</v>
      </c>
      <c r="K3231" s="27" t="s">
        <v>40</v>
      </c>
      <c r="L3231" s="27"/>
    </row>
    <row r="3232" customFormat="false" ht="15" hidden="false" customHeight="false" outlineLevel="0" collapsed="false">
      <c r="A3232" s="26" t="s">
        <v>11389</v>
      </c>
      <c r="B3232" s="27" t="s">
        <v>11390</v>
      </c>
      <c r="C3232" s="27" t="s">
        <v>144</v>
      </c>
      <c r="D3232" s="26"/>
      <c r="E3232" s="27"/>
      <c r="F3232" s="27"/>
      <c r="G3232" s="27" t="s">
        <v>11122</v>
      </c>
      <c r="H3232" s="27" t="s">
        <v>35</v>
      </c>
      <c r="I3232" s="27" t="s">
        <v>37</v>
      </c>
      <c r="J3232" s="28" t="s">
        <v>141</v>
      </c>
      <c r="K3232" s="27" t="s">
        <v>40</v>
      </c>
      <c r="L3232" s="27"/>
    </row>
    <row r="3233" customFormat="false" ht="15" hidden="false" customHeight="false" outlineLevel="0" collapsed="false">
      <c r="A3233" s="26" t="s">
        <v>11391</v>
      </c>
      <c r="B3233" s="27" t="s">
        <v>11392</v>
      </c>
      <c r="C3233" s="27" t="s">
        <v>144</v>
      </c>
      <c r="D3233" s="26"/>
      <c r="E3233" s="27"/>
      <c r="F3233" s="27"/>
      <c r="G3233" s="27" t="s">
        <v>11122</v>
      </c>
      <c r="H3233" s="27" t="s">
        <v>35</v>
      </c>
      <c r="I3233" s="27" t="s">
        <v>37</v>
      </c>
      <c r="J3233" s="28" t="s">
        <v>141</v>
      </c>
      <c r="K3233" s="27" t="s">
        <v>40</v>
      </c>
      <c r="L3233" s="27"/>
    </row>
    <row r="3234" customFormat="false" ht="15" hidden="false" customHeight="false" outlineLevel="0" collapsed="false">
      <c r="A3234" s="26" t="s">
        <v>11393</v>
      </c>
      <c r="B3234" s="27" t="s">
        <v>11394</v>
      </c>
      <c r="C3234" s="27" t="s">
        <v>144</v>
      </c>
      <c r="D3234" s="26"/>
      <c r="E3234" s="27"/>
      <c r="F3234" s="27"/>
      <c r="G3234" s="27" t="s">
        <v>11122</v>
      </c>
      <c r="H3234" s="27" t="s">
        <v>35</v>
      </c>
      <c r="I3234" s="27" t="s">
        <v>37</v>
      </c>
      <c r="J3234" s="28" t="s">
        <v>141</v>
      </c>
      <c r="K3234" s="27" t="s">
        <v>40</v>
      </c>
      <c r="L3234" s="27"/>
    </row>
    <row r="3235" customFormat="false" ht="15" hidden="false" customHeight="false" outlineLevel="0" collapsed="false">
      <c r="A3235" s="26" t="s">
        <v>11395</v>
      </c>
      <c r="B3235" s="27" t="s">
        <v>11396</v>
      </c>
      <c r="C3235" s="27" t="s">
        <v>144</v>
      </c>
      <c r="D3235" s="26"/>
      <c r="E3235" s="27"/>
      <c r="F3235" s="27"/>
      <c r="G3235" s="27" t="s">
        <v>11122</v>
      </c>
      <c r="H3235" s="27" t="s">
        <v>35</v>
      </c>
      <c r="I3235" s="27" t="s">
        <v>37</v>
      </c>
      <c r="J3235" s="28" t="s">
        <v>141</v>
      </c>
      <c r="K3235" s="27" t="s">
        <v>40</v>
      </c>
      <c r="L3235" s="27"/>
    </row>
    <row r="3236" customFormat="false" ht="15" hidden="false" customHeight="false" outlineLevel="0" collapsed="false">
      <c r="A3236" s="26" t="s">
        <v>11397</v>
      </c>
      <c r="B3236" s="27" t="s">
        <v>11398</v>
      </c>
      <c r="C3236" s="27" t="s">
        <v>144</v>
      </c>
      <c r="D3236" s="26"/>
      <c r="E3236" s="27"/>
      <c r="F3236" s="27"/>
      <c r="G3236" s="27" t="s">
        <v>11122</v>
      </c>
      <c r="H3236" s="27" t="s">
        <v>35</v>
      </c>
      <c r="I3236" s="27" t="s">
        <v>37</v>
      </c>
      <c r="J3236" s="28" t="s">
        <v>141</v>
      </c>
      <c r="K3236" s="27" t="s">
        <v>40</v>
      </c>
      <c r="L3236" s="27"/>
    </row>
    <row r="3237" customFormat="false" ht="15" hidden="false" customHeight="false" outlineLevel="0" collapsed="false">
      <c r="A3237" s="26" t="s">
        <v>11399</v>
      </c>
      <c r="B3237" s="27" t="s">
        <v>11400</v>
      </c>
      <c r="C3237" s="27" t="s">
        <v>144</v>
      </c>
      <c r="D3237" s="26"/>
      <c r="E3237" s="27"/>
      <c r="F3237" s="27"/>
      <c r="G3237" s="27" t="s">
        <v>11122</v>
      </c>
      <c r="H3237" s="27" t="s">
        <v>35</v>
      </c>
      <c r="I3237" s="27" t="s">
        <v>37</v>
      </c>
      <c r="J3237" s="28" t="s">
        <v>141</v>
      </c>
      <c r="K3237" s="27" t="s">
        <v>40</v>
      </c>
      <c r="L3237" s="27"/>
    </row>
    <row r="3238" customFormat="false" ht="15" hidden="false" customHeight="false" outlineLevel="0" collapsed="false">
      <c r="A3238" s="26" t="s">
        <v>11401</v>
      </c>
      <c r="B3238" s="27" t="s">
        <v>11402</v>
      </c>
      <c r="C3238" s="27" t="s">
        <v>144</v>
      </c>
      <c r="D3238" s="26"/>
      <c r="E3238" s="27"/>
      <c r="F3238" s="27"/>
      <c r="G3238" s="27" t="s">
        <v>11122</v>
      </c>
      <c r="H3238" s="27" t="s">
        <v>35</v>
      </c>
      <c r="I3238" s="27" t="s">
        <v>37</v>
      </c>
      <c r="J3238" s="28" t="s">
        <v>141</v>
      </c>
      <c r="K3238" s="27" t="s">
        <v>40</v>
      </c>
      <c r="L3238" s="27"/>
    </row>
    <row r="3239" customFormat="false" ht="15" hidden="false" customHeight="false" outlineLevel="0" collapsed="false">
      <c r="A3239" s="26" t="s">
        <v>11403</v>
      </c>
      <c r="B3239" s="27" t="s">
        <v>11404</v>
      </c>
      <c r="C3239" s="27" t="s">
        <v>144</v>
      </c>
      <c r="D3239" s="26"/>
      <c r="E3239" s="27"/>
      <c r="F3239" s="27"/>
      <c r="G3239" s="27" t="s">
        <v>11122</v>
      </c>
      <c r="H3239" s="27" t="s">
        <v>35</v>
      </c>
      <c r="I3239" s="27" t="s">
        <v>40</v>
      </c>
      <c r="J3239" s="28" t="s">
        <v>141</v>
      </c>
      <c r="K3239" s="27" t="s">
        <v>40</v>
      </c>
      <c r="L3239" s="27"/>
    </row>
    <row r="3240" customFormat="false" ht="15" hidden="false" customHeight="false" outlineLevel="0" collapsed="false">
      <c r="A3240" s="26" t="s">
        <v>11405</v>
      </c>
      <c r="B3240" s="27" t="s">
        <v>11406</v>
      </c>
      <c r="C3240" s="27" t="s">
        <v>144</v>
      </c>
      <c r="D3240" s="26"/>
      <c r="E3240" s="27"/>
      <c r="F3240" s="27"/>
      <c r="G3240" s="27" t="s">
        <v>11122</v>
      </c>
      <c r="H3240" s="27" t="s">
        <v>35</v>
      </c>
      <c r="I3240" s="27" t="s">
        <v>37</v>
      </c>
      <c r="J3240" s="28" t="s">
        <v>141</v>
      </c>
      <c r="K3240" s="27" t="s">
        <v>40</v>
      </c>
      <c r="L3240" s="27"/>
    </row>
    <row r="3241" customFormat="false" ht="15" hidden="false" customHeight="false" outlineLevel="0" collapsed="false">
      <c r="A3241" s="26" t="s">
        <v>11407</v>
      </c>
      <c r="B3241" s="27" t="s">
        <v>11408</v>
      </c>
      <c r="C3241" s="27" t="s">
        <v>144</v>
      </c>
      <c r="D3241" s="26"/>
      <c r="E3241" s="27"/>
      <c r="F3241" s="27"/>
      <c r="G3241" s="27" t="s">
        <v>11122</v>
      </c>
      <c r="H3241" s="27" t="s">
        <v>35</v>
      </c>
      <c r="I3241" s="27" t="s">
        <v>37</v>
      </c>
      <c r="J3241" s="28" t="s">
        <v>141</v>
      </c>
      <c r="K3241" s="27" t="s">
        <v>40</v>
      </c>
      <c r="L3241" s="27"/>
    </row>
    <row r="3242" customFormat="false" ht="15" hidden="false" customHeight="false" outlineLevel="0" collapsed="false">
      <c r="A3242" s="26" t="s">
        <v>11409</v>
      </c>
      <c r="B3242" s="27" t="s">
        <v>11410</v>
      </c>
      <c r="C3242" s="27" t="s">
        <v>144</v>
      </c>
      <c r="D3242" s="26"/>
      <c r="E3242" s="27"/>
      <c r="F3242" s="27"/>
      <c r="G3242" s="27" t="s">
        <v>11122</v>
      </c>
      <c r="H3242" s="27" t="s">
        <v>35</v>
      </c>
      <c r="I3242" s="27" t="s">
        <v>40</v>
      </c>
      <c r="J3242" s="28" t="s">
        <v>141</v>
      </c>
      <c r="K3242" s="27" t="s">
        <v>40</v>
      </c>
      <c r="L3242" s="27"/>
    </row>
    <row r="3243" customFormat="false" ht="15" hidden="false" customHeight="false" outlineLevel="0" collapsed="false">
      <c r="A3243" s="26" t="s">
        <v>11411</v>
      </c>
      <c r="B3243" s="27" t="s">
        <v>11412</v>
      </c>
      <c r="C3243" s="27" t="s">
        <v>144</v>
      </c>
      <c r="D3243" s="26"/>
      <c r="E3243" s="27"/>
      <c r="F3243" s="27"/>
      <c r="G3243" s="27" t="s">
        <v>11122</v>
      </c>
      <c r="H3243" s="27" t="s">
        <v>35</v>
      </c>
      <c r="I3243" s="27" t="s">
        <v>40</v>
      </c>
      <c r="J3243" s="28" t="s">
        <v>141</v>
      </c>
      <c r="K3243" s="27" t="s">
        <v>40</v>
      </c>
      <c r="L3243" s="27"/>
    </row>
    <row r="3244" customFormat="false" ht="15" hidden="false" customHeight="false" outlineLevel="0" collapsed="false">
      <c r="A3244" s="26" t="s">
        <v>11413</v>
      </c>
      <c r="B3244" s="27" t="s">
        <v>11414</v>
      </c>
      <c r="C3244" s="27" t="s">
        <v>144</v>
      </c>
      <c r="D3244" s="26"/>
      <c r="E3244" s="27"/>
      <c r="F3244" s="27"/>
      <c r="G3244" s="27" t="s">
        <v>11122</v>
      </c>
      <c r="H3244" s="27" t="s">
        <v>35</v>
      </c>
      <c r="I3244" s="27" t="s">
        <v>41</v>
      </c>
      <c r="J3244" s="28" t="s">
        <v>141</v>
      </c>
      <c r="K3244" s="27" t="s">
        <v>40</v>
      </c>
      <c r="L3244" s="27"/>
    </row>
    <row r="3245" customFormat="false" ht="15" hidden="false" customHeight="false" outlineLevel="0" collapsed="false">
      <c r="A3245" s="26" t="s">
        <v>11415</v>
      </c>
      <c r="B3245" s="27" t="s">
        <v>11416</v>
      </c>
      <c r="C3245" s="27" t="s">
        <v>144</v>
      </c>
      <c r="D3245" s="26"/>
      <c r="E3245" s="27"/>
      <c r="F3245" s="27"/>
      <c r="G3245" s="27" t="s">
        <v>11122</v>
      </c>
      <c r="H3245" s="27" t="s">
        <v>35</v>
      </c>
      <c r="I3245" s="27" t="s">
        <v>43</v>
      </c>
      <c r="J3245" s="28" t="s">
        <v>141</v>
      </c>
      <c r="K3245" s="27" t="s">
        <v>40</v>
      </c>
      <c r="L3245" s="27"/>
    </row>
    <row r="3246" customFormat="false" ht="15" hidden="false" customHeight="false" outlineLevel="0" collapsed="false">
      <c r="A3246" s="26" t="s">
        <v>11417</v>
      </c>
      <c r="B3246" s="27" t="s">
        <v>11418</v>
      </c>
      <c r="C3246" s="27" t="s">
        <v>144</v>
      </c>
      <c r="D3246" s="26"/>
      <c r="E3246" s="27"/>
      <c r="F3246" s="27"/>
      <c r="G3246" s="27" t="s">
        <v>11122</v>
      </c>
      <c r="H3246" s="27" t="s">
        <v>35</v>
      </c>
      <c r="I3246" s="27" t="s">
        <v>43</v>
      </c>
      <c r="J3246" s="28" t="s">
        <v>141</v>
      </c>
      <c r="K3246" s="27" t="s">
        <v>40</v>
      </c>
      <c r="L3246" s="27"/>
    </row>
    <row r="3247" customFormat="false" ht="15" hidden="false" customHeight="false" outlineLevel="0" collapsed="false">
      <c r="A3247" s="26" t="s">
        <v>11419</v>
      </c>
      <c r="B3247" s="27" t="s">
        <v>11420</v>
      </c>
      <c r="C3247" s="27" t="s">
        <v>144</v>
      </c>
      <c r="D3247" s="26"/>
      <c r="E3247" s="27"/>
      <c r="F3247" s="27"/>
      <c r="G3247" s="27" t="s">
        <v>11122</v>
      </c>
      <c r="H3247" s="27" t="s">
        <v>35</v>
      </c>
      <c r="I3247" s="27" t="s">
        <v>38</v>
      </c>
      <c r="J3247" s="28" t="s">
        <v>141</v>
      </c>
      <c r="K3247" s="27" t="s">
        <v>40</v>
      </c>
      <c r="L3247" s="27"/>
    </row>
    <row r="3248" customFormat="false" ht="15" hidden="false" customHeight="false" outlineLevel="0" collapsed="false">
      <c r="A3248" s="26" t="s">
        <v>11421</v>
      </c>
      <c r="B3248" s="27" t="s">
        <v>11422</v>
      </c>
      <c r="C3248" s="27" t="s">
        <v>144</v>
      </c>
      <c r="D3248" s="26"/>
      <c r="E3248" s="27"/>
      <c r="F3248" s="27"/>
      <c r="G3248" s="27" t="s">
        <v>11122</v>
      </c>
      <c r="H3248" s="27" t="s">
        <v>35</v>
      </c>
      <c r="I3248" s="27" t="s">
        <v>37</v>
      </c>
      <c r="J3248" s="28" t="s">
        <v>141</v>
      </c>
      <c r="K3248" s="27" t="s">
        <v>40</v>
      </c>
      <c r="L3248" s="27"/>
    </row>
    <row r="3249" customFormat="false" ht="15" hidden="false" customHeight="false" outlineLevel="0" collapsed="false">
      <c r="A3249" s="26" t="s">
        <v>11423</v>
      </c>
      <c r="B3249" s="27" t="s">
        <v>11424</v>
      </c>
      <c r="C3249" s="27" t="s">
        <v>144</v>
      </c>
      <c r="D3249" s="26"/>
      <c r="E3249" s="27"/>
      <c r="F3249" s="27"/>
      <c r="G3249" s="27" t="s">
        <v>11122</v>
      </c>
      <c r="H3249" s="27" t="s">
        <v>35</v>
      </c>
      <c r="I3249" s="27" t="s">
        <v>39</v>
      </c>
      <c r="J3249" s="28" t="s">
        <v>141</v>
      </c>
      <c r="K3249" s="27" t="s">
        <v>40</v>
      </c>
      <c r="L3249" s="27"/>
    </row>
    <row r="3250" customFormat="false" ht="15" hidden="false" customHeight="false" outlineLevel="0" collapsed="false">
      <c r="A3250" s="26" t="s">
        <v>11425</v>
      </c>
      <c r="B3250" s="27" t="s">
        <v>11426</v>
      </c>
      <c r="C3250" s="27" t="s">
        <v>144</v>
      </c>
      <c r="D3250" s="26"/>
      <c r="E3250" s="27"/>
      <c r="F3250" s="27"/>
      <c r="G3250" s="27" t="s">
        <v>11122</v>
      </c>
      <c r="H3250" s="27" t="s">
        <v>35</v>
      </c>
      <c r="I3250" s="27" t="s">
        <v>41</v>
      </c>
      <c r="J3250" s="28" t="s">
        <v>141</v>
      </c>
      <c r="K3250" s="27" t="s">
        <v>40</v>
      </c>
      <c r="L3250" s="27"/>
    </row>
    <row r="3251" customFormat="false" ht="15" hidden="false" customHeight="false" outlineLevel="0" collapsed="false">
      <c r="A3251" s="26" t="s">
        <v>11427</v>
      </c>
      <c r="B3251" s="27" t="s">
        <v>11428</v>
      </c>
      <c r="C3251" s="27" t="s">
        <v>144</v>
      </c>
      <c r="D3251" s="26"/>
      <c r="E3251" s="27"/>
      <c r="F3251" s="27"/>
      <c r="G3251" s="27" t="s">
        <v>11122</v>
      </c>
      <c r="H3251" s="27" t="s">
        <v>35</v>
      </c>
      <c r="I3251" s="27" t="s">
        <v>41</v>
      </c>
      <c r="J3251" s="28" t="s">
        <v>141</v>
      </c>
      <c r="K3251" s="27" t="s">
        <v>40</v>
      </c>
      <c r="L3251" s="27"/>
    </row>
    <row r="3252" customFormat="false" ht="15" hidden="false" customHeight="false" outlineLevel="0" collapsed="false">
      <c r="A3252" s="26" t="s">
        <v>11429</v>
      </c>
      <c r="B3252" s="27" t="s">
        <v>11430</v>
      </c>
      <c r="C3252" s="27" t="s">
        <v>144</v>
      </c>
      <c r="D3252" s="26"/>
      <c r="E3252" s="27"/>
      <c r="F3252" s="27"/>
      <c r="G3252" s="27" t="s">
        <v>11122</v>
      </c>
      <c r="H3252" s="27" t="s">
        <v>35</v>
      </c>
      <c r="I3252" s="27" t="s">
        <v>37</v>
      </c>
      <c r="J3252" s="28" t="s">
        <v>141</v>
      </c>
      <c r="K3252" s="27" t="s">
        <v>40</v>
      </c>
      <c r="L3252" s="27"/>
    </row>
    <row r="3253" customFormat="false" ht="15" hidden="false" customHeight="false" outlineLevel="0" collapsed="false">
      <c r="A3253" s="26" t="s">
        <v>11431</v>
      </c>
      <c r="B3253" s="27" t="s">
        <v>11432</v>
      </c>
      <c r="C3253" s="27" t="s">
        <v>144</v>
      </c>
      <c r="D3253" s="26"/>
      <c r="E3253" s="27"/>
      <c r="F3253" s="27"/>
      <c r="G3253" s="27" t="s">
        <v>11122</v>
      </c>
      <c r="H3253" s="27" t="s">
        <v>35</v>
      </c>
      <c r="I3253" s="27" t="s">
        <v>41</v>
      </c>
      <c r="J3253" s="28" t="s">
        <v>141</v>
      </c>
      <c r="K3253" s="27" t="s">
        <v>40</v>
      </c>
      <c r="L3253" s="27"/>
    </row>
    <row r="3254" customFormat="false" ht="15" hidden="false" customHeight="false" outlineLevel="0" collapsed="false">
      <c r="A3254" s="26" t="s">
        <v>11433</v>
      </c>
      <c r="B3254" s="27" t="s">
        <v>11434</v>
      </c>
      <c r="C3254" s="27" t="s">
        <v>144</v>
      </c>
      <c r="D3254" s="26"/>
      <c r="E3254" s="27"/>
      <c r="F3254" s="27"/>
      <c r="G3254" s="27" t="s">
        <v>11122</v>
      </c>
      <c r="H3254" s="27" t="s">
        <v>35</v>
      </c>
      <c r="I3254" s="27" t="s">
        <v>37</v>
      </c>
      <c r="J3254" s="28" t="s">
        <v>141</v>
      </c>
      <c r="K3254" s="27" t="s">
        <v>40</v>
      </c>
      <c r="L3254" s="27"/>
    </row>
    <row r="3255" customFormat="false" ht="15" hidden="false" customHeight="false" outlineLevel="0" collapsed="false">
      <c r="A3255" s="26" t="s">
        <v>11435</v>
      </c>
      <c r="B3255" s="27" t="s">
        <v>11436</v>
      </c>
      <c r="C3255" s="27" t="s">
        <v>144</v>
      </c>
      <c r="D3255" s="26"/>
      <c r="E3255" s="27"/>
      <c r="F3255" s="27"/>
      <c r="G3255" s="27" t="s">
        <v>11122</v>
      </c>
      <c r="H3255" s="27" t="s">
        <v>35</v>
      </c>
      <c r="I3255" s="27" t="s">
        <v>41</v>
      </c>
      <c r="J3255" s="28" t="s">
        <v>141</v>
      </c>
      <c r="K3255" s="27" t="s">
        <v>40</v>
      </c>
      <c r="L3255" s="27"/>
    </row>
    <row r="3256" customFormat="false" ht="15" hidden="false" customHeight="false" outlineLevel="0" collapsed="false">
      <c r="A3256" s="26" t="s">
        <v>11437</v>
      </c>
      <c r="B3256" s="27" t="s">
        <v>11438</v>
      </c>
      <c r="C3256" s="27" t="s">
        <v>144</v>
      </c>
      <c r="D3256" s="26"/>
      <c r="E3256" s="27"/>
      <c r="F3256" s="27"/>
      <c r="G3256" s="27" t="s">
        <v>11122</v>
      </c>
      <c r="H3256" s="27" t="s">
        <v>35</v>
      </c>
      <c r="I3256" s="27" t="s">
        <v>37</v>
      </c>
      <c r="J3256" s="28" t="s">
        <v>141</v>
      </c>
      <c r="K3256" s="27" t="s">
        <v>40</v>
      </c>
      <c r="L3256" s="27"/>
    </row>
    <row r="3257" customFormat="false" ht="15" hidden="false" customHeight="false" outlineLevel="0" collapsed="false">
      <c r="A3257" s="26" t="s">
        <v>11439</v>
      </c>
      <c r="B3257" s="27" t="s">
        <v>11440</v>
      </c>
      <c r="C3257" s="27" t="s">
        <v>144</v>
      </c>
      <c r="D3257" s="26"/>
      <c r="E3257" s="27"/>
      <c r="F3257" s="27"/>
      <c r="G3257" s="27" t="s">
        <v>11122</v>
      </c>
      <c r="H3257" s="27" t="s">
        <v>35</v>
      </c>
      <c r="I3257" s="27" t="s">
        <v>37</v>
      </c>
      <c r="J3257" s="28" t="s">
        <v>141</v>
      </c>
      <c r="K3257" s="27" t="s">
        <v>40</v>
      </c>
      <c r="L3257" s="27"/>
    </row>
    <row r="3258" customFormat="false" ht="15" hidden="false" customHeight="false" outlineLevel="0" collapsed="false">
      <c r="A3258" s="26" t="s">
        <v>11441</v>
      </c>
      <c r="B3258" s="27" t="s">
        <v>11442</v>
      </c>
      <c r="C3258" s="27" t="s">
        <v>144</v>
      </c>
      <c r="D3258" s="26"/>
      <c r="E3258" s="27"/>
      <c r="F3258" s="27"/>
      <c r="G3258" s="27" t="s">
        <v>11122</v>
      </c>
      <c r="H3258" s="27" t="s">
        <v>35</v>
      </c>
      <c r="I3258" s="27" t="s">
        <v>37</v>
      </c>
      <c r="J3258" s="28" t="s">
        <v>141</v>
      </c>
      <c r="K3258" s="27" t="s">
        <v>40</v>
      </c>
      <c r="L3258" s="27"/>
    </row>
    <row r="3259" customFormat="false" ht="15" hidden="false" customHeight="false" outlineLevel="0" collapsed="false">
      <c r="A3259" s="26" t="s">
        <v>11443</v>
      </c>
      <c r="B3259" s="27" t="s">
        <v>11444</v>
      </c>
      <c r="C3259" s="27" t="s">
        <v>144</v>
      </c>
      <c r="D3259" s="26"/>
      <c r="E3259" s="27"/>
      <c r="F3259" s="27"/>
      <c r="G3259" s="27" t="s">
        <v>11122</v>
      </c>
      <c r="H3259" s="27" t="s">
        <v>35</v>
      </c>
      <c r="I3259" s="27" t="s">
        <v>41</v>
      </c>
      <c r="J3259" s="28" t="s">
        <v>141</v>
      </c>
      <c r="K3259" s="27" t="s">
        <v>40</v>
      </c>
      <c r="L3259" s="27"/>
    </row>
    <row r="3260" customFormat="false" ht="15" hidden="false" customHeight="false" outlineLevel="0" collapsed="false">
      <c r="A3260" s="26" t="s">
        <v>11445</v>
      </c>
      <c r="B3260" s="27" t="s">
        <v>11446</v>
      </c>
      <c r="C3260" s="27" t="s">
        <v>144</v>
      </c>
      <c r="D3260" s="26"/>
      <c r="E3260" s="27"/>
      <c r="F3260" s="27"/>
      <c r="G3260" s="27" t="s">
        <v>11122</v>
      </c>
      <c r="H3260" s="27" t="s">
        <v>35</v>
      </c>
      <c r="I3260" s="27" t="s">
        <v>37</v>
      </c>
      <c r="J3260" s="28" t="s">
        <v>141</v>
      </c>
      <c r="K3260" s="27" t="s">
        <v>40</v>
      </c>
      <c r="L3260" s="27"/>
    </row>
    <row r="3261" customFormat="false" ht="15" hidden="false" customHeight="false" outlineLevel="0" collapsed="false">
      <c r="A3261" s="26" t="s">
        <v>11447</v>
      </c>
      <c r="B3261" s="27" t="s">
        <v>11448</v>
      </c>
      <c r="C3261" s="27" t="s">
        <v>144</v>
      </c>
      <c r="D3261" s="26"/>
      <c r="E3261" s="27"/>
      <c r="F3261" s="27"/>
      <c r="G3261" s="27" t="s">
        <v>11122</v>
      </c>
      <c r="H3261" s="27" t="s">
        <v>35</v>
      </c>
      <c r="I3261" s="27" t="s">
        <v>41</v>
      </c>
      <c r="J3261" s="28" t="s">
        <v>141</v>
      </c>
      <c r="K3261" s="27" t="s">
        <v>40</v>
      </c>
      <c r="L3261" s="27"/>
    </row>
    <row r="3262" customFormat="false" ht="15" hidden="false" customHeight="false" outlineLevel="0" collapsed="false">
      <c r="A3262" s="26" t="s">
        <v>11449</v>
      </c>
      <c r="B3262" s="27" t="s">
        <v>11450</v>
      </c>
      <c r="C3262" s="27" t="s">
        <v>144</v>
      </c>
      <c r="D3262" s="26"/>
      <c r="E3262" s="27"/>
      <c r="F3262" s="27"/>
      <c r="G3262" s="27" t="s">
        <v>11122</v>
      </c>
      <c r="H3262" s="27" t="s">
        <v>35</v>
      </c>
      <c r="I3262" s="27" t="s">
        <v>41</v>
      </c>
      <c r="J3262" s="28" t="s">
        <v>141</v>
      </c>
      <c r="K3262" s="27" t="s">
        <v>40</v>
      </c>
      <c r="L3262" s="27"/>
    </row>
    <row r="3263" customFormat="false" ht="15" hidden="false" customHeight="false" outlineLevel="0" collapsed="false">
      <c r="A3263" s="26" t="s">
        <v>11451</v>
      </c>
      <c r="B3263" s="27" t="s">
        <v>11452</v>
      </c>
      <c r="C3263" s="27" t="s">
        <v>144</v>
      </c>
      <c r="D3263" s="26"/>
      <c r="E3263" s="27"/>
      <c r="F3263" s="27"/>
      <c r="G3263" s="27" t="s">
        <v>11122</v>
      </c>
      <c r="H3263" s="27" t="s">
        <v>35</v>
      </c>
      <c r="I3263" s="27" t="s">
        <v>41</v>
      </c>
      <c r="J3263" s="28" t="s">
        <v>141</v>
      </c>
      <c r="K3263" s="27" t="s">
        <v>40</v>
      </c>
      <c r="L3263" s="27"/>
    </row>
    <row r="3264" customFormat="false" ht="15" hidden="false" customHeight="false" outlineLevel="0" collapsed="false">
      <c r="A3264" s="26" t="s">
        <v>11453</v>
      </c>
      <c r="B3264" s="27" t="s">
        <v>11454</v>
      </c>
      <c r="C3264" s="27" t="s">
        <v>144</v>
      </c>
      <c r="D3264" s="26"/>
      <c r="E3264" s="27"/>
      <c r="F3264" s="27"/>
      <c r="G3264" s="27" t="s">
        <v>11122</v>
      </c>
      <c r="H3264" s="27" t="s">
        <v>35</v>
      </c>
      <c r="I3264" s="27" t="s">
        <v>41</v>
      </c>
      <c r="J3264" s="28" t="s">
        <v>141</v>
      </c>
      <c r="K3264" s="27" t="s">
        <v>40</v>
      </c>
      <c r="L3264" s="27"/>
    </row>
    <row r="3265" customFormat="false" ht="15" hidden="false" customHeight="false" outlineLevel="0" collapsed="false">
      <c r="A3265" s="26" t="s">
        <v>11455</v>
      </c>
      <c r="B3265" s="27" t="s">
        <v>11456</v>
      </c>
      <c r="C3265" s="27" t="s">
        <v>144</v>
      </c>
      <c r="D3265" s="26"/>
      <c r="E3265" s="27"/>
      <c r="F3265" s="27"/>
      <c r="G3265" s="27" t="s">
        <v>11122</v>
      </c>
      <c r="H3265" s="27" t="s">
        <v>35</v>
      </c>
      <c r="I3265" s="27" t="s">
        <v>43</v>
      </c>
      <c r="J3265" s="28" t="s">
        <v>141</v>
      </c>
      <c r="K3265" s="27" t="s">
        <v>40</v>
      </c>
      <c r="L3265" s="27"/>
    </row>
    <row r="3266" customFormat="false" ht="15" hidden="false" customHeight="false" outlineLevel="0" collapsed="false">
      <c r="A3266" s="26" t="s">
        <v>11457</v>
      </c>
      <c r="B3266" s="27" t="s">
        <v>11458</v>
      </c>
      <c r="C3266" s="27" t="s">
        <v>144</v>
      </c>
      <c r="D3266" s="26"/>
      <c r="E3266" s="27"/>
      <c r="F3266" s="27"/>
      <c r="G3266" s="27" t="s">
        <v>11122</v>
      </c>
      <c r="H3266" s="27" t="s">
        <v>35</v>
      </c>
      <c r="I3266" s="27" t="s">
        <v>43</v>
      </c>
      <c r="J3266" s="28" t="s">
        <v>141</v>
      </c>
      <c r="K3266" s="27" t="s">
        <v>40</v>
      </c>
      <c r="L3266" s="27"/>
    </row>
    <row r="3267" customFormat="false" ht="15" hidden="false" customHeight="false" outlineLevel="0" collapsed="false">
      <c r="A3267" s="26" t="s">
        <v>11459</v>
      </c>
      <c r="B3267" s="27" t="s">
        <v>11460</v>
      </c>
      <c r="C3267" s="27" t="s">
        <v>144</v>
      </c>
      <c r="D3267" s="26"/>
      <c r="E3267" s="27"/>
      <c r="F3267" s="27"/>
      <c r="G3267" s="27" t="s">
        <v>11122</v>
      </c>
      <c r="H3267" s="27" t="s">
        <v>35</v>
      </c>
      <c r="I3267" s="27" t="s">
        <v>41</v>
      </c>
      <c r="J3267" s="28" t="s">
        <v>141</v>
      </c>
      <c r="K3267" s="27" t="s">
        <v>40</v>
      </c>
      <c r="L3267" s="27"/>
    </row>
    <row r="3268" customFormat="false" ht="15" hidden="false" customHeight="false" outlineLevel="0" collapsed="false">
      <c r="A3268" s="26" t="s">
        <v>11461</v>
      </c>
      <c r="B3268" s="27" t="s">
        <v>11462</v>
      </c>
      <c r="C3268" s="27" t="s">
        <v>144</v>
      </c>
      <c r="D3268" s="26"/>
      <c r="E3268" s="27"/>
      <c r="F3268" s="27"/>
      <c r="G3268" s="27" t="s">
        <v>11122</v>
      </c>
      <c r="H3268" s="27" t="s">
        <v>35</v>
      </c>
      <c r="I3268" s="27" t="s">
        <v>41</v>
      </c>
      <c r="J3268" s="28" t="s">
        <v>141</v>
      </c>
      <c r="K3268" s="27" t="s">
        <v>40</v>
      </c>
      <c r="L3268" s="27"/>
    </row>
    <row r="3269" customFormat="false" ht="15" hidden="false" customHeight="false" outlineLevel="0" collapsed="false">
      <c r="A3269" s="26" t="s">
        <v>11463</v>
      </c>
      <c r="B3269" s="27" t="s">
        <v>11464</v>
      </c>
      <c r="C3269" s="27" t="s">
        <v>144</v>
      </c>
      <c r="D3269" s="26"/>
      <c r="E3269" s="27"/>
      <c r="F3269" s="27"/>
      <c r="G3269" s="27" t="s">
        <v>11122</v>
      </c>
      <c r="H3269" s="27" t="s">
        <v>35</v>
      </c>
      <c r="I3269" s="27" t="s">
        <v>41</v>
      </c>
      <c r="J3269" s="28" t="s">
        <v>141</v>
      </c>
      <c r="K3269" s="27" t="s">
        <v>40</v>
      </c>
      <c r="L3269" s="27"/>
    </row>
    <row r="3270" customFormat="false" ht="15" hidden="false" customHeight="false" outlineLevel="0" collapsed="false">
      <c r="A3270" s="26" t="s">
        <v>11465</v>
      </c>
      <c r="B3270" s="27" t="s">
        <v>11466</v>
      </c>
      <c r="C3270" s="27" t="s">
        <v>144</v>
      </c>
      <c r="D3270" s="26"/>
      <c r="E3270" s="27"/>
      <c r="F3270" s="27"/>
      <c r="G3270" s="27" t="s">
        <v>11122</v>
      </c>
      <c r="H3270" s="27" t="s">
        <v>35</v>
      </c>
      <c r="I3270" s="27" t="s">
        <v>41</v>
      </c>
      <c r="J3270" s="28" t="s">
        <v>141</v>
      </c>
      <c r="K3270" s="27" t="s">
        <v>40</v>
      </c>
      <c r="L3270" s="27"/>
    </row>
    <row r="3271" customFormat="false" ht="15" hidden="false" customHeight="false" outlineLevel="0" collapsed="false">
      <c r="A3271" s="26" t="s">
        <v>11467</v>
      </c>
      <c r="B3271" s="27" t="s">
        <v>11468</v>
      </c>
      <c r="C3271" s="27" t="s">
        <v>144</v>
      </c>
      <c r="D3271" s="26"/>
      <c r="E3271" s="27"/>
      <c r="F3271" s="27"/>
      <c r="G3271" s="27" t="s">
        <v>11122</v>
      </c>
      <c r="H3271" s="27" t="s">
        <v>35</v>
      </c>
      <c r="I3271" s="27" t="s">
        <v>41</v>
      </c>
      <c r="J3271" s="28" t="s">
        <v>141</v>
      </c>
      <c r="K3271" s="27" t="s">
        <v>40</v>
      </c>
      <c r="L3271" s="27"/>
    </row>
    <row r="3272" customFormat="false" ht="15" hidden="false" customHeight="false" outlineLevel="0" collapsed="false">
      <c r="A3272" s="26" t="s">
        <v>11469</v>
      </c>
      <c r="B3272" s="27" t="s">
        <v>11470</v>
      </c>
      <c r="C3272" s="27" t="s">
        <v>144</v>
      </c>
      <c r="D3272" s="26"/>
      <c r="E3272" s="27"/>
      <c r="F3272" s="27"/>
      <c r="G3272" s="27" t="s">
        <v>11122</v>
      </c>
      <c r="H3272" s="27" t="s">
        <v>35</v>
      </c>
      <c r="I3272" s="27" t="s">
        <v>37</v>
      </c>
      <c r="J3272" s="28" t="s">
        <v>141</v>
      </c>
      <c r="K3272" s="27" t="s">
        <v>40</v>
      </c>
      <c r="L3272" s="27"/>
    </row>
    <row r="3273" customFormat="false" ht="15" hidden="false" customHeight="false" outlineLevel="0" collapsed="false">
      <c r="A3273" s="26" t="s">
        <v>11471</v>
      </c>
      <c r="B3273" s="27" t="s">
        <v>11472</v>
      </c>
      <c r="C3273" s="27" t="s">
        <v>144</v>
      </c>
      <c r="D3273" s="26"/>
      <c r="E3273" s="27"/>
      <c r="F3273" s="27"/>
      <c r="G3273" s="27" t="s">
        <v>11122</v>
      </c>
      <c r="H3273" s="27" t="s">
        <v>35</v>
      </c>
      <c r="I3273" s="27" t="s">
        <v>37</v>
      </c>
      <c r="J3273" s="28" t="s">
        <v>141</v>
      </c>
      <c r="K3273" s="27" t="s">
        <v>40</v>
      </c>
      <c r="L3273" s="27"/>
    </row>
    <row r="3274" customFormat="false" ht="15" hidden="false" customHeight="false" outlineLevel="0" collapsed="false">
      <c r="A3274" s="26" t="s">
        <v>11473</v>
      </c>
      <c r="B3274" s="27" t="s">
        <v>11474</v>
      </c>
      <c r="C3274" s="27" t="s">
        <v>144</v>
      </c>
      <c r="D3274" s="26"/>
      <c r="E3274" s="27"/>
      <c r="F3274" s="27"/>
      <c r="G3274" s="27" t="s">
        <v>11122</v>
      </c>
      <c r="H3274" s="27" t="s">
        <v>35</v>
      </c>
      <c r="I3274" s="27" t="s">
        <v>41</v>
      </c>
      <c r="J3274" s="28" t="s">
        <v>141</v>
      </c>
      <c r="K3274" s="27" t="s">
        <v>40</v>
      </c>
      <c r="L3274" s="27"/>
    </row>
    <row r="3275" customFormat="false" ht="15" hidden="false" customHeight="false" outlineLevel="0" collapsed="false">
      <c r="A3275" s="26" t="s">
        <v>11475</v>
      </c>
      <c r="B3275" s="27" t="s">
        <v>11476</v>
      </c>
      <c r="C3275" s="27" t="s">
        <v>144</v>
      </c>
      <c r="D3275" s="26"/>
      <c r="E3275" s="27"/>
      <c r="F3275" s="27"/>
      <c r="G3275" s="27" t="s">
        <v>11122</v>
      </c>
      <c r="H3275" s="27" t="s">
        <v>35</v>
      </c>
      <c r="I3275" s="27" t="s">
        <v>37</v>
      </c>
      <c r="J3275" s="28" t="s">
        <v>141</v>
      </c>
      <c r="K3275" s="27" t="s">
        <v>40</v>
      </c>
      <c r="L3275" s="27"/>
    </row>
    <row r="3276" customFormat="false" ht="15" hidden="false" customHeight="false" outlineLevel="0" collapsed="false">
      <c r="A3276" s="26" t="s">
        <v>11477</v>
      </c>
      <c r="B3276" s="27" t="s">
        <v>11478</v>
      </c>
      <c r="C3276" s="27" t="s">
        <v>144</v>
      </c>
      <c r="D3276" s="26"/>
      <c r="E3276" s="27"/>
      <c r="F3276" s="27"/>
      <c r="G3276" s="27" t="s">
        <v>11122</v>
      </c>
      <c r="H3276" s="27" t="s">
        <v>35</v>
      </c>
      <c r="I3276" s="27" t="s">
        <v>39</v>
      </c>
      <c r="J3276" s="28" t="s">
        <v>141</v>
      </c>
      <c r="K3276" s="27" t="s">
        <v>40</v>
      </c>
      <c r="L3276" s="27"/>
    </row>
    <row r="3277" customFormat="false" ht="15" hidden="false" customHeight="false" outlineLevel="0" collapsed="false">
      <c r="A3277" s="26" t="s">
        <v>11479</v>
      </c>
      <c r="B3277" s="27" t="s">
        <v>11480</v>
      </c>
      <c r="C3277" s="27" t="s">
        <v>144</v>
      </c>
      <c r="D3277" s="26"/>
      <c r="E3277" s="27"/>
      <c r="F3277" s="27"/>
      <c r="G3277" s="27" t="s">
        <v>11122</v>
      </c>
      <c r="H3277" s="27" t="s">
        <v>35</v>
      </c>
      <c r="I3277" s="27" t="s">
        <v>37</v>
      </c>
      <c r="J3277" s="28" t="s">
        <v>141</v>
      </c>
      <c r="K3277" s="27" t="s">
        <v>40</v>
      </c>
      <c r="L3277" s="27"/>
    </row>
    <row r="3278" customFormat="false" ht="15" hidden="false" customHeight="false" outlineLevel="0" collapsed="false">
      <c r="A3278" s="26" t="s">
        <v>11481</v>
      </c>
      <c r="B3278" s="27" t="s">
        <v>11482</v>
      </c>
      <c r="C3278" s="27" t="s">
        <v>144</v>
      </c>
      <c r="D3278" s="26"/>
      <c r="E3278" s="27"/>
      <c r="F3278" s="27"/>
      <c r="G3278" s="27" t="s">
        <v>11122</v>
      </c>
      <c r="H3278" s="27" t="s">
        <v>35</v>
      </c>
      <c r="I3278" s="27" t="s">
        <v>42</v>
      </c>
      <c r="J3278" s="28" t="s">
        <v>141</v>
      </c>
      <c r="K3278" s="27" t="s">
        <v>40</v>
      </c>
      <c r="L3278" s="27"/>
    </row>
    <row r="3279" customFormat="false" ht="15" hidden="false" customHeight="false" outlineLevel="0" collapsed="false">
      <c r="A3279" s="26" t="s">
        <v>11483</v>
      </c>
      <c r="B3279" s="27" t="s">
        <v>11484</v>
      </c>
      <c r="C3279" s="27" t="s">
        <v>144</v>
      </c>
      <c r="D3279" s="26"/>
      <c r="E3279" s="27"/>
      <c r="F3279" s="27"/>
      <c r="G3279" s="27" t="s">
        <v>11122</v>
      </c>
      <c r="H3279" s="27" t="s">
        <v>35</v>
      </c>
      <c r="I3279" s="27" t="s">
        <v>37</v>
      </c>
      <c r="J3279" s="28" t="s">
        <v>141</v>
      </c>
      <c r="K3279" s="27" t="s">
        <v>40</v>
      </c>
      <c r="L3279" s="27"/>
    </row>
    <row r="3280" customFormat="false" ht="15" hidden="false" customHeight="false" outlineLevel="0" collapsed="false">
      <c r="A3280" s="26" t="s">
        <v>11485</v>
      </c>
      <c r="B3280" s="27" t="s">
        <v>11486</v>
      </c>
      <c r="C3280" s="27" t="s">
        <v>144</v>
      </c>
      <c r="D3280" s="26"/>
      <c r="E3280" s="27"/>
      <c r="F3280" s="27"/>
      <c r="G3280" s="27" t="s">
        <v>11122</v>
      </c>
      <c r="H3280" s="27" t="s">
        <v>35</v>
      </c>
      <c r="I3280" s="27" t="s">
        <v>37</v>
      </c>
      <c r="J3280" s="28" t="s">
        <v>141</v>
      </c>
      <c r="K3280" s="27" t="s">
        <v>40</v>
      </c>
      <c r="L3280" s="27"/>
    </row>
    <row r="3281" customFormat="false" ht="15" hidden="false" customHeight="false" outlineLevel="0" collapsed="false">
      <c r="A3281" s="26" t="s">
        <v>11487</v>
      </c>
      <c r="B3281" s="27" t="s">
        <v>11488</v>
      </c>
      <c r="C3281" s="27" t="s">
        <v>144</v>
      </c>
      <c r="D3281" s="26"/>
      <c r="E3281" s="27"/>
      <c r="F3281" s="27"/>
      <c r="G3281" s="27" t="s">
        <v>11122</v>
      </c>
      <c r="H3281" s="27" t="s">
        <v>35</v>
      </c>
      <c r="I3281" s="27" t="s">
        <v>41</v>
      </c>
      <c r="J3281" s="28" t="s">
        <v>141</v>
      </c>
      <c r="K3281" s="27" t="s">
        <v>40</v>
      </c>
      <c r="L3281" s="27"/>
    </row>
    <row r="3282" customFormat="false" ht="15" hidden="false" customHeight="false" outlineLevel="0" collapsed="false">
      <c r="A3282" s="26" t="s">
        <v>11489</v>
      </c>
      <c r="B3282" s="27" t="s">
        <v>11490</v>
      </c>
      <c r="C3282" s="27" t="s">
        <v>144</v>
      </c>
      <c r="D3282" s="26"/>
      <c r="E3282" s="27"/>
      <c r="F3282" s="27"/>
      <c r="G3282" s="27" t="s">
        <v>11122</v>
      </c>
      <c r="H3282" s="27" t="s">
        <v>35</v>
      </c>
      <c r="I3282" s="27" t="s">
        <v>43</v>
      </c>
      <c r="J3282" s="28" t="s">
        <v>141</v>
      </c>
      <c r="K3282" s="27" t="s">
        <v>40</v>
      </c>
      <c r="L3282" s="27"/>
    </row>
    <row r="3283" customFormat="false" ht="15" hidden="false" customHeight="false" outlineLevel="0" collapsed="false">
      <c r="A3283" s="26" t="s">
        <v>11491</v>
      </c>
      <c r="B3283" s="27" t="s">
        <v>11492</v>
      </c>
      <c r="C3283" s="27" t="s">
        <v>144</v>
      </c>
      <c r="D3283" s="26"/>
      <c r="E3283" s="27"/>
      <c r="F3283" s="27"/>
      <c r="G3283" s="27" t="s">
        <v>11122</v>
      </c>
      <c r="H3283" s="27" t="s">
        <v>35</v>
      </c>
      <c r="I3283" s="27" t="s">
        <v>41</v>
      </c>
      <c r="J3283" s="28" t="s">
        <v>141</v>
      </c>
      <c r="K3283" s="27" t="s">
        <v>40</v>
      </c>
      <c r="L3283" s="27"/>
    </row>
    <row r="3284" customFormat="false" ht="15" hidden="false" customHeight="false" outlineLevel="0" collapsed="false">
      <c r="A3284" s="26" t="s">
        <v>11493</v>
      </c>
      <c r="B3284" s="27" t="s">
        <v>11494</v>
      </c>
      <c r="C3284" s="27" t="s">
        <v>144</v>
      </c>
      <c r="D3284" s="26"/>
      <c r="E3284" s="27"/>
      <c r="F3284" s="27"/>
      <c r="G3284" s="27" t="s">
        <v>11122</v>
      </c>
      <c r="H3284" s="27" t="s">
        <v>35</v>
      </c>
      <c r="I3284" s="27" t="s">
        <v>40</v>
      </c>
      <c r="J3284" s="28" t="s">
        <v>141</v>
      </c>
      <c r="K3284" s="27" t="s">
        <v>40</v>
      </c>
      <c r="L3284" s="27"/>
    </row>
    <row r="3285" customFormat="false" ht="15" hidden="false" customHeight="false" outlineLevel="0" collapsed="false">
      <c r="A3285" s="26" t="s">
        <v>11495</v>
      </c>
      <c r="B3285" s="27" t="s">
        <v>11496</v>
      </c>
      <c r="C3285" s="27" t="s">
        <v>144</v>
      </c>
      <c r="D3285" s="26"/>
      <c r="E3285" s="27"/>
      <c r="F3285" s="27"/>
      <c r="G3285" s="27" t="s">
        <v>11122</v>
      </c>
      <c r="H3285" s="27" t="s">
        <v>35</v>
      </c>
      <c r="I3285" s="27" t="s">
        <v>41</v>
      </c>
      <c r="J3285" s="28" t="s">
        <v>141</v>
      </c>
      <c r="K3285" s="27" t="s">
        <v>40</v>
      </c>
      <c r="L3285" s="27"/>
    </row>
    <row r="3286" customFormat="false" ht="15" hidden="false" customHeight="false" outlineLevel="0" collapsed="false">
      <c r="A3286" s="26" t="s">
        <v>11497</v>
      </c>
      <c r="B3286" s="27" t="s">
        <v>11498</v>
      </c>
      <c r="C3286" s="27" t="s">
        <v>144</v>
      </c>
      <c r="D3286" s="26"/>
      <c r="E3286" s="27"/>
      <c r="F3286" s="27"/>
      <c r="G3286" s="27" t="s">
        <v>11122</v>
      </c>
      <c r="H3286" s="27" t="s">
        <v>35</v>
      </c>
      <c r="I3286" s="27" t="s">
        <v>40</v>
      </c>
      <c r="J3286" s="28" t="s">
        <v>141</v>
      </c>
      <c r="K3286" s="27" t="s">
        <v>40</v>
      </c>
      <c r="L3286" s="27"/>
    </row>
    <row r="3287" customFormat="false" ht="15" hidden="false" customHeight="false" outlineLevel="0" collapsed="false">
      <c r="A3287" s="26" t="s">
        <v>11499</v>
      </c>
      <c r="B3287" s="27" t="s">
        <v>11500</v>
      </c>
      <c r="C3287" s="27" t="s">
        <v>144</v>
      </c>
      <c r="D3287" s="26"/>
      <c r="E3287" s="27"/>
      <c r="F3287" s="27"/>
      <c r="G3287" s="27" t="s">
        <v>11122</v>
      </c>
      <c r="H3287" s="27" t="s">
        <v>35</v>
      </c>
      <c r="I3287" s="27" t="s">
        <v>38</v>
      </c>
      <c r="J3287" s="28" t="s">
        <v>141</v>
      </c>
      <c r="K3287" s="27" t="s">
        <v>40</v>
      </c>
      <c r="L3287" s="27"/>
    </row>
    <row r="3288" customFormat="false" ht="15" hidden="false" customHeight="false" outlineLevel="0" collapsed="false">
      <c r="A3288" s="26" t="s">
        <v>11501</v>
      </c>
      <c r="B3288" s="27" t="s">
        <v>11502</v>
      </c>
      <c r="C3288" s="27" t="s">
        <v>144</v>
      </c>
      <c r="D3288" s="26"/>
      <c r="E3288" s="27"/>
      <c r="F3288" s="27"/>
      <c r="G3288" s="27" t="s">
        <v>11122</v>
      </c>
      <c r="H3288" s="27" t="s">
        <v>35</v>
      </c>
      <c r="I3288" s="27" t="s">
        <v>41</v>
      </c>
      <c r="J3288" s="28" t="s">
        <v>141</v>
      </c>
      <c r="K3288" s="27" t="s">
        <v>40</v>
      </c>
      <c r="L3288" s="27"/>
    </row>
    <row r="3289" customFormat="false" ht="15" hidden="false" customHeight="false" outlineLevel="0" collapsed="false">
      <c r="A3289" s="26" t="s">
        <v>11503</v>
      </c>
      <c r="B3289" s="27" t="s">
        <v>11504</v>
      </c>
      <c r="C3289" s="27" t="s">
        <v>144</v>
      </c>
      <c r="D3289" s="26"/>
      <c r="E3289" s="27"/>
      <c r="F3289" s="27"/>
      <c r="G3289" s="27" t="s">
        <v>11122</v>
      </c>
      <c r="H3289" s="27" t="s">
        <v>35</v>
      </c>
      <c r="I3289" s="27" t="s">
        <v>43</v>
      </c>
      <c r="J3289" s="28" t="s">
        <v>141</v>
      </c>
      <c r="K3289" s="27" t="s">
        <v>40</v>
      </c>
      <c r="L3289" s="27"/>
    </row>
    <row r="3290" customFormat="false" ht="15" hidden="false" customHeight="false" outlineLevel="0" collapsed="false">
      <c r="A3290" s="26" t="s">
        <v>11505</v>
      </c>
      <c r="B3290" s="27" t="s">
        <v>11506</v>
      </c>
      <c r="C3290" s="27" t="s">
        <v>144</v>
      </c>
      <c r="D3290" s="26"/>
      <c r="E3290" s="27"/>
      <c r="F3290" s="27"/>
      <c r="G3290" s="27" t="s">
        <v>11122</v>
      </c>
      <c r="H3290" s="27" t="s">
        <v>35</v>
      </c>
      <c r="I3290" s="27" t="s">
        <v>37</v>
      </c>
      <c r="J3290" s="28" t="s">
        <v>141</v>
      </c>
      <c r="K3290" s="27" t="s">
        <v>40</v>
      </c>
      <c r="L3290" s="27"/>
    </row>
    <row r="3291" customFormat="false" ht="15" hidden="false" customHeight="false" outlineLevel="0" collapsed="false">
      <c r="A3291" s="26" t="s">
        <v>11507</v>
      </c>
      <c r="B3291" s="27" t="s">
        <v>11508</v>
      </c>
      <c r="C3291" s="27" t="s">
        <v>144</v>
      </c>
      <c r="D3291" s="26"/>
      <c r="E3291" s="27"/>
      <c r="F3291" s="27"/>
      <c r="G3291" s="27" t="s">
        <v>11122</v>
      </c>
      <c r="H3291" s="27" t="s">
        <v>35</v>
      </c>
      <c r="I3291" s="27" t="s">
        <v>41</v>
      </c>
      <c r="J3291" s="28" t="s">
        <v>141</v>
      </c>
      <c r="K3291" s="27" t="s">
        <v>40</v>
      </c>
      <c r="L3291" s="27"/>
    </row>
    <row r="3292" customFormat="false" ht="15" hidden="false" customHeight="false" outlineLevel="0" collapsed="false">
      <c r="A3292" s="26" t="s">
        <v>11509</v>
      </c>
      <c r="B3292" s="27" t="s">
        <v>11510</v>
      </c>
      <c r="C3292" s="27" t="s">
        <v>144</v>
      </c>
      <c r="D3292" s="26"/>
      <c r="E3292" s="27"/>
      <c r="F3292" s="27"/>
      <c r="G3292" s="27" t="s">
        <v>11122</v>
      </c>
      <c r="H3292" s="27" t="s">
        <v>35</v>
      </c>
      <c r="I3292" s="27" t="s">
        <v>41</v>
      </c>
      <c r="J3292" s="28" t="s">
        <v>141</v>
      </c>
      <c r="K3292" s="27" t="s">
        <v>40</v>
      </c>
      <c r="L3292" s="27"/>
    </row>
    <row r="3293" customFormat="false" ht="15" hidden="false" customHeight="false" outlineLevel="0" collapsed="false">
      <c r="A3293" s="26" t="s">
        <v>11511</v>
      </c>
      <c r="B3293" s="27" t="s">
        <v>11512</v>
      </c>
      <c r="C3293" s="27" t="s">
        <v>144</v>
      </c>
      <c r="D3293" s="26"/>
      <c r="E3293" s="27"/>
      <c r="F3293" s="27"/>
      <c r="G3293" s="27" t="s">
        <v>11122</v>
      </c>
      <c r="H3293" s="27" t="s">
        <v>35</v>
      </c>
      <c r="I3293" s="27" t="s">
        <v>41</v>
      </c>
      <c r="J3293" s="28" t="s">
        <v>141</v>
      </c>
      <c r="K3293" s="27" t="s">
        <v>40</v>
      </c>
      <c r="L3293" s="27"/>
    </row>
    <row r="3294" customFormat="false" ht="15" hidden="false" customHeight="false" outlineLevel="0" collapsed="false">
      <c r="A3294" s="26" t="s">
        <v>11513</v>
      </c>
      <c r="B3294" s="27" t="s">
        <v>11514</v>
      </c>
      <c r="C3294" s="27" t="s">
        <v>144</v>
      </c>
      <c r="D3294" s="26"/>
      <c r="E3294" s="27"/>
      <c r="F3294" s="27"/>
      <c r="G3294" s="27" t="s">
        <v>11122</v>
      </c>
      <c r="H3294" s="27" t="s">
        <v>35</v>
      </c>
      <c r="I3294" s="27" t="s">
        <v>41</v>
      </c>
      <c r="J3294" s="28" t="s">
        <v>141</v>
      </c>
      <c r="K3294" s="27" t="s">
        <v>40</v>
      </c>
      <c r="L3294" s="27"/>
    </row>
    <row r="3295" customFormat="false" ht="15" hidden="false" customHeight="false" outlineLevel="0" collapsed="false">
      <c r="A3295" s="26" t="s">
        <v>11515</v>
      </c>
      <c r="B3295" s="27" t="s">
        <v>11516</v>
      </c>
      <c r="C3295" s="27" t="s">
        <v>144</v>
      </c>
      <c r="D3295" s="26"/>
      <c r="E3295" s="27"/>
      <c r="F3295" s="27"/>
      <c r="G3295" s="27" t="s">
        <v>11122</v>
      </c>
      <c r="H3295" s="27" t="s">
        <v>35</v>
      </c>
      <c r="I3295" s="27" t="s">
        <v>37</v>
      </c>
      <c r="J3295" s="28" t="s">
        <v>141</v>
      </c>
      <c r="K3295" s="27" t="s">
        <v>40</v>
      </c>
      <c r="L3295" s="27"/>
    </row>
    <row r="3296" customFormat="false" ht="15" hidden="false" customHeight="false" outlineLevel="0" collapsed="false">
      <c r="A3296" s="26" t="s">
        <v>11517</v>
      </c>
      <c r="B3296" s="27" t="s">
        <v>11518</v>
      </c>
      <c r="C3296" s="27" t="s">
        <v>144</v>
      </c>
      <c r="D3296" s="26"/>
      <c r="E3296" s="27"/>
      <c r="F3296" s="27"/>
      <c r="G3296" s="27" t="s">
        <v>11122</v>
      </c>
      <c r="H3296" s="27" t="s">
        <v>35</v>
      </c>
      <c r="I3296" s="27" t="s">
        <v>41</v>
      </c>
      <c r="J3296" s="28" t="s">
        <v>141</v>
      </c>
      <c r="K3296" s="27" t="s">
        <v>40</v>
      </c>
      <c r="L3296" s="27"/>
    </row>
    <row r="3297" customFormat="false" ht="15" hidden="false" customHeight="false" outlineLevel="0" collapsed="false">
      <c r="A3297" s="26" t="s">
        <v>11519</v>
      </c>
      <c r="B3297" s="27" t="s">
        <v>11520</v>
      </c>
      <c r="C3297" s="27" t="s">
        <v>144</v>
      </c>
      <c r="D3297" s="26"/>
      <c r="E3297" s="27"/>
      <c r="F3297" s="27"/>
      <c r="G3297" s="27" t="s">
        <v>11122</v>
      </c>
      <c r="H3297" s="27" t="s">
        <v>35</v>
      </c>
      <c r="I3297" s="27" t="s">
        <v>49</v>
      </c>
      <c r="J3297" s="28" t="s">
        <v>141</v>
      </c>
      <c r="K3297" s="27" t="s">
        <v>40</v>
      </c>
      <c r="L3297" s="27"/>
    </row>
    <row r="3298" customFormat="false" ht="15" hidden="false" customHeight="false" outlineLevel="0" collapsed="false">
      <c r="A3298" s="26" t="s">
        <v>11521</v>
      </c>
      <c r="B3298" s="27" t="s">
        <v>11522</v>
      </c>
      <c r="C3298" s="27" t="s">
        <v>144</v>
      </c>
      <c r="D3298" s="26"/>
      <c r="E3298" s="27"/>
      <c r="F3298" s="27"/>
      <c r="G3298" s="27" t="s">
        <v>11122</v>
      </c>
      <c r="H3298" s="27" t="s">
        <v>35</v>
      </c>
      <c r="I3298" s="27" t="s">
        <v>37</v>
      </c>
      <c r="J3298" s="28" t="s">
        <v>141</v>
      </c>
      <c r="K3298" s="27" t="s">
        <v>40</v>
      </c>
      <c r="L3298" s="27"/>
    </row>
    <row r="3299" customFormat="false" ht="15" hidden="false" customHeight="false" outlineLevel="0" collapsed="false">
      <c r="A3299" s="26" t="s">
        <v>11523</v>
      </c>
      <c r="B3299" s="27" t="s">
        <v>11524</v>
      </c>
      <c r="C3299" s="27" t="s">
        <v>144</v>
      </c>
      <c r="D3299" s="26"/>
      <c r="E3299" s="27"/>
      <c r="F3299" s="27"/>
      <c r="G3299" s="27" t="s">
        <v>11122</v>
      </c>
      <c r="H3299" s="27" t="s">
        <v>35</v>
      </c>
      <c r="I3299" s="27" t="s">
        <v>41</v>
      </c>
      <c r="J3299" s="28" t="s">
        <v>141</v>
      </c>
      <c r="K3299" s="27" t="s">
        <v>40</v>
      </c>
      <c r="L3299" s="27"/>
    </row>
    <row r="3300" customFormat="false" ht="15" hidden="false" customHeight="false" outlineLevel="0" collapsed="false">
      <c r="A3300" s="26" t="s">
        <v>11525</v>
      </c>
      <c r="B3300" s="27" t="s">
        <v>11526</v>
      </c>
      <c r="C3300" s="27" t="s">
        <v>144</v>
      </c>
      <c r="D3300" s="26"/>
      <c r="E3300" s="27"/>
      <c r="F3300" s="27"/>
      <c r="G3300" s="27" t="s">
        <v>11122</v>
      </c>
      <c r="H3300" s="27" t="s">
        <v>35</v>
      </c>
      <c r="I3300" s="27" t="s">
        <v>41</v>
      </c>
      <c r="J3300" s="28" t="s">
        <v>141</v>
      </c>
      <c r="K3300" s="27" t="s">
        <v>40</v>
      </c>
      <c r="L3300" s="27"/>
    </row>
    <row r="3301" customFormat="false" ht="15" hidden="false" customHeight="false" outlineLevel="0" collapsed="false">
      <c r="A3301" s="26" t="s">
        <v>11527</v>
      </c>
      <c r="B3301" s="27" t="s">
        <v>11528</v>
      </c>
      <c r="C3301" s="27" t="s">
        <v>144</v>
      </c>
      <c r="D3301" s="26"/>
      <c r="E3301" s="27"/>
      <c r="F3301" s="27"/>
      <c r="G3301" s="27" t="s">
        <v>11122</v>
      </c>
      <c r="H3301" s="27" t="s">
        <v>35</v>
      </c>
      <c r="I3301" s="27" t="s">
        <v>37</v>
      </c>
      <c r="J3301" s="28" t="s">
        <v>141</v>
      </c>
      <c r="K3301" s="27" t="s">
        <v>40</v>
      </c>
      <c r="L3301" s="27"/>
    </row>
    <row r="3302" customFormat="false" ht="15" hidden="false" customHeight="false" outlineLevel="0" collapsed="false">
      <c r="A3302" s="26" t="s">
        <v>11529</v>
      </c>
      <c r="B3302" s="27" t="s">
        <v>11530</v>
      </c>
      <c r="C3302" s="27" t="s">
        <v>144</v>
      </c>
      <c r="D3302" s="26"/>
      <c r="E3302" s="27"/>
      <c r="F3302" s="27"/>
      <c r="G3302" s="27" t="s">
        <v>11122</v>
      </c>
      <c r="H3302" s="27" t="s">
        <v>35</v>
      </c>
      <c r="I3302" s="27" t="s">
        <v>37</v>
      </c>
      <c r="J3302" s="28" t="s">
        <v>141</v>
      </c>
      <c r="K3302" s="27" t="s">
        <v>40</v>
      </c>
      <c r="L3302" s="27"/>
    </row>
    <row r="3303" customFormat="false" ht="15" hidden="false" customHeight="false" outlineLevel="0" collapsed="false">
      <c r="A3303" s="26" t="s">
        <v>11531</v>
      </c>
      <c r="B3303" s="27" t="s">
        <v>11532</v>
      </c>
      <c r="C3303" s="27" t="s">
        <v>144</v>
      </c>
      <c r="D3303" s="26"/>
      <c r="E3303" s="27"/>
      <c r="F3303" s="27"/>
      <c r="G3303" s="27" t="s">
        <v>11122</v>
      </c>
      <c r="H3303" s="27" t="s">
        <v>35</v>
      </c>
      <c r="I3303" s="27" t="s">
        <v>41</v>
      </c>
      <c r="J3303" s="28" t="s">
        <v>141</v>
      </c>
      <c r="K3303" s="27" t="s">
        <v>40</v>
      </c>
      <c r="L3303" s="27"/>
    </row>
    <row r="3304" customFormat="false" ht="15" hidden="false" customHeight="false" outlineLevel="0" collapsed="false">
      <c r="A3304" s="26" t="s">
        <v>11533</v>
      </c>
      <c r="B3304" s="27" t="s">
        <v>11534</v>
      </c>
      <c r="C3304" s="27" t="s">
        <v>144</v>
      </c>
      <c r="D3304" s="26"/>
      <c r="E3304" s="27"/>
      <c r="F3304" s="27"/>
      <c r="G3304" s="27" t="s">
        <v>11122</v>
      </c>
      <c r="H3304" s="27" t="s">
        <v>35</v>
      </c>
      <c r="I3304" s="27" t="s">
        <v>37</v>
      </c>
      <c r="J3304" s="28" t="s">
        <v>141</v>
      </c>
      <c r="K3304" s="27" t="s">
        <v>40</v>
      </c>
      <c r="L3304" s="27"/>
    </row>
    <row r="3305" customFormat="false" ht="15" hidden="false" customHeight="false" outlineLevel="0" collapsed="false">
      <c r="A3305" s="26" t="s">
        <v>11535</v>
      </c>
      <c r="B3305" s="27" t="s">
        <v>11536</v>
      </c>
      <c r="C3305" s="27" t="s">
        <v>144</v>
      </c>
      <c r="D3305" s="26"/>
      <c r="E3305" s="27"/>
      <c r="F3305" s="27"/>
      <c r="G3305" s="27" t="s">
        <v>11122</v>
      </c>
      <c r="H3305" s="27" t="s">
        <v>35</v>
      </c>
      <c r="I3305" s="27" t="s">
        <v>41</v>
      </c>
      <c r="J3305" s="28" t="s">
        <v>141</v>
      </c>
      <c r="K3305" s="27" t="s">
        <v>40</v>
      </c>
      <c r="L3305" s="27"/>
    </row>
    <row r="3306" customFormat="false" ht="15" hidden="false" customHeight="false" outlineLevel="0" collapsed="false">
      <c r="A3306" s="26" t="s">
        <v>11537</v>
      </c>
      <c r="B3306" s="27" t="s">
        <v>11538</v>
      </c>
      <c r="C3306" s="27" t="s">
        <v>144</v>
      </c>
      <c r="D3306" s="26"/>
      <c r="E3306" s="27"/>
      <c r="F3306" s="27"/>
      <c r="G3306" s="27" t="s">
        <v>11122</v>
      </c>
      <c r="H3306" s="27" t="s">
        <v>35</v>
      </c>
      <c r="I3306" s="27" t="s">
        <v>41</v>
      </c>
      <c r="J3306" s="28" t="s">
        <v>141</v>
      </c>
      <c r="K3306" s="27" t="s">
        <v>40</v>
      </c>
      <c r="L3306" s="27"/>
    </row>
    <row r="3307" customFormat="false" ht="15" hidden="false" customHeight="false" outlineLevel="0" collapsed="false">
      <c r="A3307" s="26" t="s">
        <v>11539</v>
      </c>
      <c r="B3307" s="27" t="s">
        <v>11540</v>
      </c>
      <c r="C3307" s="27" t="s">
        <v>144</v>
      </c>
      <c r="D3307" s="26"/>
      <c r="E3307" s="27"/>
      <c r="F3307" s="27"/>
      <c r="G3307" s="27" t="s">
        <v>11122</v>
      </c>
      <c r="H3307" s="27" t="s">
        <v>35</v>
      </c>
      <c r="I3307" s="27" t="s">
        <v>37</v>
      </c>
      <c r="J3307" s="28" t="s">
        <v>141</v>
      </c>
      <c r="K3307" s="27" t="s">
        <v>40</v>
      </c>
      <c r="L3307" s="27"/>
    </row>
    <row r="3308" customFormat="false" ht="15" hidden="false" customHeight="false" outlineLevel="0" collapsed="false">
      <c r="A3308" s="26" t="s">
        <v>11541</v>
      </c>
      <c r="B3308" s="27" t="s">
        <v>11542</v>
      </c>
      <c r="C3308" s="27" t="s">
        <v>144</v>
      </c>
      <c r="D3308" s="26"/>
      <c r="E3308" s="27"/>
      <c r="F3308" s="27"/>
      <c r="G3308" s="27" t="s">
        <v>11122</v>
      </c>
      <c r="H3308" s="27" t="s">
        <v>35</v>
      </c>
      <c r="I3308" s="27" t="s">
        <v>43</v>
      </c>
      <c r="J3308" s="28" t="s">
        <v>141</v>
      </c>
      <c r="K3308" s="27" t="s">
        <v>40</v>
      </c>
      <c r="L3308" s="27"/>
    </row>
    <row r="3309" customFormat="false" ht="15" hidden="false" customHeight="false" outlineLevel="0" collapsed="false">
      <c r="A3309" s="26" t="s">
        <v>11543</v>
      </c>
      <c r="B3309" s="27" t="s">
        <v>11544</v>
      </c>
      <c r="C3309" s="27" t="s">
        <v>144</v>
      </c>
      <c r="D3309" s="26"/>
      <c r="E3309" s="27"/>
      <c r="F3309" s="27"/>
      <c r="G3309" s="27" t="s">
        <v>11122</v>
      </c>
      <c r="H3309" s="27" t="s">
        <v>35</v>
      </c>
      <c r="I3309" s="27" t="s">
        <v>40</v>
      </c>
      <c r="J3309" s="28" t="s">
        <v>141</v>
      </c>
      <c r="K3309" s="27" t="s">
        <v>40</v>
      </c>
      <c r="L3309" s="27"/>
    </row>
    <row r="3310" customFormat="false" ht="15" hidden="false" customHeight="false" outlineLevel="0" collapsed="false">
      <c r="A3310" s="26" t="s">
        <v>11545</v>
      </c>
      <c r="B3310" s="27" t="s">
        <v>11546</v>
      </c>
      <c r="C3310" s="27" t="s">
        <v>144</v>
      </c>
      <c r="D3310" s="26"/>
      <c r="E3310" s="27"/>
      <c r="F3310" s="27"/>
      <c r="G3310" s="27" t="s">
        <v>11122</v>
      </c>
      <c r="H3310" s="27" t="s">
        <v>35</v>
      </c>
      <c r="I3310" s="27" t="s">
        <v>40</v>
      </c>
      <c r="J3310" s="28" t="s">
        <v>141</v>
      </c>
      <c r="K3310" s="27" t="s">
        <v>40</v>
      </c>
      <c r="L3310" s="27"/>
    </row>
    <row r="3311" customFormat="false" ht="15" hidden="false" customHeight="false" outlineLevel="0" collapsed="false">
      <c r="A3311" s="26" t="s">
        <v>11547</v>
      </c>
      <c r="B3311" s="27" t="s">
        <v>11548</v>
      </c>
      <c r="C3311" s="27" t="s">
        <v>144</v>
      </c>
      <c r="D3311" s="26"/>
      <c r="E3311" s="27"/>
      <c r="F3311" s="27"/>
      <c r="G3311" s="27" t="s">
        <v>11122</v>
      </c>
      <c r="H3311" s="27" t="s">
        <v>35</v>
      </c>
      <c r="I3311" s="27" t="s">
        <v>37</v>
      </c>
      <c r="J3311" s="28" t="s">
        <v>141</v>
      </c>
      <c r="K3311" s="27" t="s">
        <v>40</v>
      </c>
      <c r="L3311" s="27"/>
    </row>
    <row r="3312" customFormat="false" ht="15" hidden="false" customHeight="false" outlineLevel="0" collapsed="false">
      <c r="A3312" s="26" t="s">
        <v>11549</v>
      </c>
      <c r="B3312" s="27" t="s">
        <v>11550</v>
      </c>
      <c r="C3312" s="27" t="s">
        <v>144</v>
      </c>
      <c r="D3312" s="26"/>
      <c r="E3312" s="27"/>
      <c r="F3312" s="27"/>
      <c r="G3312" s="27" t="s">
        <v>11122</v>
      </c>
      <c r="H3312" s="27" t="s">
        <v>35</v>
      </c>
      <c r="I3312" s="27" t="s">
        <v>37</v>
      </c>
      <c r="J3312" s="28" t="s">
        <v>141</v>
      </c>
      <c r="K3312" s="27" t="s">
        <v>40</v>
      </c>
      <c r="L3312" s="27"/>
    </row>
    <row r="3313" customFormat="false" ht="15" hidden="false" customHeight="false" outlineLevel="0" collapsed="false">
      <c r="A3313" s="26" t="s">
        <v>11551</v>
      </c>
      <c r="B3313" s="27" t="s">
        <v>11552</v>
      </c>
      <c r="C3313" s="27" t="s">
        <v>144</v>
      </c>
      <c r="D3313" s="26"/>
      <c r="E3313" s="27"/>
      <c r="F3313" s="27"/>
      <c r="G3313" s="27" t="s">
        <v>11122</v>
      </c>
      <c r="H3313" s="27" t="s">
        <v>35</v>
      </c>
      <c r="I3313" s="28" t="s">
        <v>46</v>
      </c>
      <c r="J3313" s="28" t="s">
        <v>141</v>
      </c>
      <c r="K3313" s="27" t="s">
        <v>40</v>
      </c>
      <c r="L3313" s="27"/>
    </row>
    <row r="3314" customFormat="false" ht="15" hidden="false" customHeight="false" outlineLevel="0" collapsed="false">
      <c r="A3314" s="26" t="s">
        <v>11553</v>
      </c>
      <c r="B3314" s="27" t="s">
        <v>11554</v>
      </c>
      <c r="C3314" s="27" t="s">
        <v>144</v>
      </c>
      <c r="D3314" s="26"/>
      <c r="E3314" s="27"/>
      <c r="F3314" s="27"/>
      <c r="G3314" s="27" t="s">
        <v>11122</v>
      </c>
      <c r="H3314" s="27" t="s">
        <v>35</v>
      </c>
      <c r="I3314" s="27" t="s">
        <v>41</v>
      </c>
      <c r="J3314" s="28" t="s">
        <v>141</v>
      </c>
      <c r="K3314" s="27" t="s">
        <v>40</v>
      </c>
      <c r="L3314" s="27"/>
    </row>
    <row r="3315" customFormat="false" ht="15" hidden="false" customHeight="false" outlineLevel="0" collapsed="false">
      <c r="A3315" s="26" t="s">
        <v>11555</v>
      </c>
      <c r="B3315" s="27" t="s">
        <v>11556</v>
      </c>
      <c r="C3315" s="27" t="s">
        <v>144</v>
      </c>
      <c r="D3315" s="26"/>
      <c r="E3315" s="27"/>
      <c r="F3315" s="27"/>
      <c r="G3315" s="27" t="s">
        <v>11122</v>
      </c>
      <c r="H3315" s="27" t="s">
        <v>35</v>
      </c>
      <c r="I3315" s="27" t="s">
        <v>37</v>
      </c>
      <c r="J3315" s="28" t="s">
        <v>141</v>
      </c>
      <c r="K3315" s="27" t="s">
        <v>40</v>
      </c>
      <c r="L3315" s="27"/>
    </row>
    <row r="3316" customFormat="false" ht="15" hidden="false" customHeight="false" outlineLevel="0" collapsed="false">
      <c r="A3316" s="26" t="s">
        <v>11557</v>
      </c>
      <c r="B3316" s="27" t="s">
        <v>11558</v>
      </c>
      <c r="C3316" s="27" t="s">
        <v>144</v>
      </c>
      <c r="D3316" s="26"/>
      <c r="E3316" s="27"/>
      <c r="F3316" s="27"/>
      <c r="G3316" s="27" t="s">
        <v>11122</v>
      </c>
      <c r="H3316" s="27" t="s">
        <v>35</v>
      </c>
      <c r="I3316" s="27" t="s">
        <v>43</v>
      </c>
      <c r="J3316" s="28" t="s">
        <v>141</v>
      </c>
      <c r="K3316" s="27" t="s">
        <v>40</v>
      </c>
      <c r="L3316" s="27"/>
    </row>
    <row r="3317" customFormat="false" ht="15" hidden="false" customHeight="false" outlineLevel="0" collapsed="false">
      <c r="A3317" s="26" t="s">
        <v>11559</v>
      </c>
      <c r="B3317" s="27" t="s">
        <v>11560</v>
      </c>
      <c r="C3317" s="27" t="s">
        <v>144</v>
      </c>
      <c r="D3317" s="26"/>
      <c r="E3317" s="27"/>
      <c r="F3317" s="27"/>
      <c r="G3317" s="27" t="s">
        <v>11122</v>
      </c>
      <c r="H3317" s="27" t="s">
        <v>35</v>
      </c>
      <c r="I3317" s="27" t="s">
        <v>41</v>
      </c>
      <c r="J3317" s="28" t="s">
        <v>141</v>
      </c>
      <c r="K3317" s="27" t="s">
        <v>40</v>
      </c>
      <c r="L3317" s="27"/>
    </row>
    <row r="3318" customFormat="false" ht="15" hidden="false" customHeight="false" outlineLevel="0" collapsed="false">
      <c r="A3318" s="26" t="s">
        <v>11561</v>
      </c>
      <c r="B3318" s="27" t="s">
        <v>11562</v>
      </c>
      <c r="C3318" s="27" t="s">
        <v>144</v>
      </c>
      <c r="D3318" s="26"/>
      <c r="E3318" s="27"/>
      <c r="F3318" s="27"/>
      <c r="G3318" s="27" t="s">
        <v>11122</v>
      </c>
      <c r="H3318" s="27" t="s">
        <v>35</v>
      </c>
      <c r="I3318" s="27" t="s">
        <v>40</v>
      </c>
      <c r="J3318" s="28" t="s">
        <v>141</v>
      </c>
      <c r="K3318" s="27" t="s">
        <v>40</v>
      </c>
      <c r="L3318" s="27"/>
    </row>
    <row r="3319" customFormat="false" ht="15" hidden="false" customHeight="false" outlineLevel="0" collapsed="false">
      <c r="A3319" s="26" t="s">
        <v>11563</v>
      </c>
      <c r="B3319" s="27" t="s">
        <v>11564</v>
      </c>
      <c r="C3319" s="27" t="s">
        <v>370</v>
      </c>
      <c r="D3319" s="26"/>
      <c r="E3319" s="27"/>
      <c r="F3319" s="27"/>
      <c r="G3319" s="27" t="s">
        <v>11122</v>
      </c>
      <c r="H3319" s="27" t="s">
        <v>35</v>
      </c>
      <c r="I3319" s="27" t="s">
        <v>49</v>
      </c>
      <c r="J3319" s="28" t="s">
        <v>141</v>
      </c>
      <c r="K3319" s="27" t="s">
        <v>40</v>
      </c>
      <c r="L3319" s="27"/>
    </row>
    <row r="3320" customFormat="false" ht="15" hidden="false" customHeight="false" outlineLevel="0" collapsed="false">
      <c r="A3320" s="26" t="s">
        <v>11565</v>
      </c>
      <c r="B3320" s="27" t="s">
        <v>11566</v>
      </c>
      <c r="C3320" s="27" t="s">
        <v>1990</v>
      </c>
      <c r="D3320" s="26"/>
      <c r="E3320" s="27"/>
      <c r="F3320" s="27"/>
      <c r="G3320" s="27" t="s">
        <v>11122</v>
      </c>
      <c r="H3320" s="27" t="s">
        <v>35</v>
      </c>
      <c r="I3320" s="27" t="s">
        <v>37</v>
      </c>
      <c r="J3320" s="28" t="s">
        <v>141</v>
      </c>
      <c r="K3320" s="27" t="s">
        <v>40</v>
      </c>
      <c r="L3320" s="27"/>
    </row>
    <row r="3321" customFormat="false" ht="15" hidden="false" customHeight="false" outlineLevel="0" collapsed="false">
      <c r="A3321" s="26" t="s">
        <v>11567</v>
      </c>
      <c r="B3321" s="27" t="s">
        <v>11568</v>
      </c>
      <c r="C3321" s="27" t="s">
        <v>1990</v>
      </c>
      <c r="D3321" s="26"/>
      <c r="E3321" s="27"/>
      <c r="F3321" s="27"/>
      <c r="G3321" s="27" t="s">
        <v>11122</v>
      </c>
      <c r="H3321" s="27" t="s">
        <v>35</v>
      </c>
      <c r="I3321" s="27" t="s">
        <v>37</v>
      </c>
      <c r="J3321" s="28" t="s">
        <v>141</v>
      </c>
      <c r="K3321" s="27" t="s">
        <v>40</v>
      </c>
      <c r="L3321" s="27"/>
    </row>
    <row r="3322" customFormat="false" ht="15" hidden="false" customHeight="false" outlineLevel="0" collapsed="false">
      <c r="A3322" s="26" t="s">
        <v>11569</v>
      </c>
      <c r="B3322" s="27" t="s">
        <v>11570</v>
      </c>
      <c r="C3322" s="27" t="s">
        <v>144</v>
      </c>
      <c r="D3322" s="26"/>
      <c r="E3322" s="27"/>
      <c r="F3322" s="27"/>
      <c r="G3322" s="27" t="s">
        <v>11122</v>
      </c>
      <c r="H3322" s="27" t="s">
        <v>35</v>
      </c>
      <c r="I3322" s="27" t="s">
        <v>40</v>
      </c>
      <c r="J3322" s="28" t="s">
        <v>141</v>
      </c>
      <c r="K3322" s="27" t="s">
        <v>40</v>
      </c>
      <c r="L3322" s="27"/>
    </row>
    <row r="3323" customFormat="false" ht="15" hidden="false" customHeight="false" outlineLevel="0" collapsed="false">
      <c r="A3323" s="26" t="s">
        <v>11571</v>
      </c>
      <c r="B3323" s="28" t="s">
        <v>11572</v>
      </c>
      <c r="C3323" s="27" t="s">
        <v>144</v>
      </c>
      <c r="D3323" s="26"/>
      <c r="E3323" s="27"/>
      <c r="F3323" s="27"/>
      <c r="G3323" s="27" t="s">
        <v>11122</v>
      </c>
      <c r="H3323" s="27" t="s">
        <v>35</v>
      </c>
      <c r="I3323" s="27" t="s">
        <v>38</v>
      </c>
      <c r="J3323" s="28" t="s">
        <v>141</v>
      </c>
      <c r="K3323" s="27" t="s">
        <v>40</v>
      </c>
      <c r="L3323" s="27"/>
    </row>
    <row r="3324" customFormat="false" ht="15" hidden="false" customHeight="false" outlineLevel="0" collapsed="false">
      <c r="A3324" s="26" t="s">
        <v>11573</v>
      </c>
      <c r="B3324" s="28" t="s">
        <v>11574</v>
      </c>
      <c r="C3324" s="27" t="s">
        <v>144</v>
      </c>
      <c r="D3324" s="26"/>
      <c r="E3324" s="27"/>
      <c r="F3324" s="27"/>
      <c r="G3324" s="27" t="s">
        <v>11122</v>
      </c>
      <c r="H3324" s="27" t="s">
        <v>35</v>
      </c>
      <c r="I3324" s="27" t="s">
        <v>38</v>
      </c>
      <c r="J3324" s="28" t="s">
        <v>141</v>
      </c>
      <c r="K3324" s="27" t="s">
        <v>40</v>
      </c>
      <c r="L3324" s="27"/>
    </row>
    <row r="3325" customFormat="false" ht="15" hidden="false" customHeight="false" outlineLevel="0" collapsed="false">
      <c r="A3325" s="26" t="s">
        <v>11575</v>
      </c>
      <c r="B3325" s="28" t="s">
        <v>11576</v>
      </c>
      <c r="C3325" s="27" t="s">
        <v>144</v>
      </c>
      <c r="D3325" s="26"/>
      <c r="E3325" s="27"/>
      <c r="F3325" s="27"/>
      <c r="G3325" s="27" t="s">
        <v>11122</v>
      </c>
      <c r="H3325" s="27" t="s">
        <v>35</v>
      </c>
      <c r="I3325" s="27" t="s">
        <v>39</v>
      </c>
      <c r="J3325" s="28" t="s">
        <v>141</v>
      </c>
      <c r="K3325" s="27" t="s">
        <v>40</v>
      </c>
      <c r="L3325" s="27"/>
    </row>
    <row r="3326" customFormat="false" ht="15" hidden="false" customHeight="false" outlineLevel="0" collapsed="false">
      <c r="A3326" s="26" t="s">
        <v>11577</v>
      </c>
      <c r="B3326" s="27" t="s">
        <v>11578</v>
      </c>
      <c r="C3326" s="27" t="s">
        <v>144</v>
      </c>
      <c r="D3326" s="26"/>
      <c r="E3326" s="27"/>
      <c r="F3326" s="27"/>
      <c r="G3326" s="27" t="s">
        <v>11122</v>
      </c>
      <c r="H3326" s="27" t="s">
        <v>35</v>
      </c>
      <c r="I3326" s="27" t="s">
        <v>40</v>
      </c>
      <c r="J3326" s="28" t="s">
        <v>141</v>
      </c>
      <c r="K3326" s="27" t="s">
        <v>40</v>
      </c>
      <c r="L3326" s="27"/>
    </row>
    <row r="3327" customFormat="false" ht="15" hidden="false" customHeight="false" outlineLevel="0" collapsed="false">
      <c r="A3327" s="26" t="s">
        <v>11579</v>
      </c>
      <c r="B3327" s="27" t="s">
        <v>11580</v>
      </c>
      <c r="C3327" s="27" t="s">
        <v>144</v>
      </c>
      <c r="D3327" s="26"/>
      <c r="E3327" s="27"/>
      <c r="F3327" s="27"/>
      <c r="G3327" s="27" t="s">
        <v>11122</v>
      </c>
      <c r="H3327" s="27" t="s">
        <v>35</v>
      </c>
      <c r="I3327" s="27" t="s">
        <v>40</v>
      </c>
      <c r="J3327" s="28" t="s">
        <v>141</v>
      </c>
      <c r="K3327" s="27" t="s">
        <v>40</v>
      </c>
      <c r="L3327" s="27"/>
    </row>
    <row r="3328" customFormat="false" ht="15" hidden="false" customHeight="false" outlineLevel="0" collapsed="false">
      <c r="A3328" s="26" t="s">
        <v>11581</v>
      </c>
      <c r="B3328" s="27" t="s">
        <v>11582</v>
      </c>
      <c r="C3328" s="27" t="s">
        <v>144</v>
      </c>
      <c r="D3328" s="26"/>
      <c r="E3328" s="27"/>
      <c r="F3328" s="27"/>
      <c r="G3328" s="27" t="s">
        <v>11122</v>
      </c>
      <c r="H3328" s="27" t="s">
        <v>35</v>
      </c>
      <c r="I3328" s="27" t="s">
        <v>40</v>
      </c>
      <c r="J3328" s="28" t="s">
        <v>141</v>
      </c>
      <c r="K3328" s="27" t="s">
        <v>40</v>
      </c>
      <c r="L3328" s="27"/>
    </row>
    <row r="3329" customFormat="false" ht="15" hidden="false" customHeight="false" outlineLevel="0" collapsed="false">
      <c r="A3329" s="26" t="s">
        <v>11583</v>
      </c>
      <c r="B3329" s="27" t="s">
        <v>11584</v>
      </c>
      <c r="C3329" s="27" t="s">
        <v>144</v>
      </c>
      <c r="D3329" s="26"/>
      <c r="E3329" s="27"/>
      <c r="F3329" s="27"/>
      <c r="G3329" s="27" t="s">
        <v>11122</v>
      </c>
      <c r="H3329" s="27" t="s">
        <v>35</v>
      </c>
      <c r="I3329" s="27" t="s">
        <v>40</v>
      </c>
      <c r="J3329" s="28" t="s">
        <v>141</v>
      </c>
      <c r="K3329" s="27" t="s">
        <v>40</v>
      </c>
      <c r="L3329" s="27"/>
    </row>
    <row r="3330" customFormat="false" ht="15" hidden="false" customHeight="false" outlineLevel="0" collapsed="false">
      <c r="A3330" s="26" t="s">
        <v>11585</v>
      </c>
      <c r="B3330" s="27" t="s">
        <v>11586</v>
      </c>
      <c r="C3330" s="27" t="s">
        <v>144</v>
      </c>
      <c r="D3330" s="26"/>
      <c r="E3330" s="27"/>
      <c r="F3330" s="27"/>
      <c r="G3330" s="27" t="s">
        <v>11122</v>
      </c>
      <c r="H3330" s="27" t="s">
        <v>35</v>
      </c>
      <c r="I3330" s="27" t="s">
        <v>37</v>
      </c>
      <c r="J3330" s="28" t="s">
        <v>2214</v>
      </c>
      <c r="K3330" s="27" t="s">
        <v>37</v>
      </c>
      <c r="L3330" s="27"/>
    </row>
    <row r="3331" customFormat="false" ht="15" hidden="false" customHeight="false" outlineLevel="0" collapsed="false">
      <c r="A3331" s="26" t="s">
        <v>11587</v>
      </c>
      <c r="B3331" s="27" t="s">
        <v>11588</v>
      </c>
      <c r="C3331" s="27" t="s">
        <v>144</v>
      </c>
      <c r="D3331" s="26"/>
      <c r="E3331" s="27"/>
      <c r="F3331" s="27"/>
      <c r="G3331" s="27" t="s">
        <v>11122</v>
      </c>
      <c r="H3331" s="27" t="s">
        <v>35</v>
      </c>
      <c r="I3331" s="27" t="s">
        <v>37</v>
      </c>
      <c r="J3331" s="28" t="s">
        <v>2214</v>
      </c>
      <c r="K3331" s="27" t="s">
        <v>37</v>
      </c>
      <c r="L3331" s="27"/>
    </row>
    <row r="3332" customFormat="false" ht="15" hidden="false" customHeight="false" outlineLevel="0" collapsed="false">
      <c r="A3332" s="26" t="s">
        <v>11589</v>
      </c>
      <c r="B3332" s="27" t="s">
        <v>11590</v>
      </c>
      <c r="C3332" s="27" t="s">
        <v>144</v>
      </c>
      <c r="D3332" s="26"/>
      <c r="E3332" s="27"/>
      <c r="F3332" s="27"/>
      <c r="G3332" s="27" t="s">
        <v>11122</v>
      </c>
      <c r="H3332" s="27" t="s">
        <v>35</v>
      </c>
      <c r="I3332" s="27" t="s">
        <v>37</v>
      </c>
      <c r="J3332" s="28" t="s">
        <v>2214</v>
      </c>
      <c r="K3332" s="27" t="s">
        <v>37</v>
      </c>
      <c r="L3332" s="27"/>
    </row>
    <row r="3333" customFormat="false" ht="15" hidden="false" customHeight="false" outlineLevel="0" collapsed="false">
      <c r="A3333" s="26" t="s">
        <v>11591</v>
      </c>
      <c r="B3333" s="27" t="s">
        <v>11592</v>
      </c>
      <c r="C3333" s="27" t="s">
        <v>144</v>
      </c>
      <c r="D3333" s="26"/>
      <c r="E3333" s="27"/>
      <c r="F3333" s="27"/>
      <c r="G3333" s="27" t="s">
        <v>11122</v>
      </c>
      <c r="H3333" s="27" t="s">
        <v>35</v>
      </c>
      <c r="I3333" s="27" t="s">
        <v>37</v>
      </c>
      <c r="J3333" s="28" t="s">
        <v>2214</v>
      </c>
      <c r="K3333" s="27" t="s">
        <v>37</v>
      </c>
      <c r="L3333" s="27"/>
    </row>
    <row r="3334" customFormat="false" ht="15" hidden="false" customHeight="false" outlineLevel="0" collapsed="false">
      <c r="A3334" s="26" t="s">
        <v>11593</v>
      </c>
      <c r="B3334" s="27" t="s">
        <v>11594</v>
      </c>
      <c r="C3334" s="27" t="s">
        <v>144</v>
      </c>
      <c r="D3334" s="26"/>
      <c r="E3334" s="27"/>
      <c r="F3334" s="27"/>
      <c r="G3334" s="27" t="s">
        <v>11122</v>
      </c>
      <c r="H3334" s="27" t="s">
        <v>35</v>
      </c>
      <c r="I3334" s="27" t="s">
        <v>37</v>
      </c>
      <c r="J3334" s="28" t="s">
        <v>2214</v>
      </c>
      <c r="K3334" s="27" t="s">
        <v>37</v>
      </c>
      <c r="L3334" s="27"/>
    </row>
    <row r="3335" customFormat="false" ht="15" hidden="false" customHeight="false" outlineLevel="0" collapsed="false">
      <c r="A3335" s="26" t="s">
        <v>11595</v>
      </c>
      <c r="B3335" s="27" t="s">
        <v>11596</v>
      </c>
      <c r="C3335" s="27" t="s">
        <v>144</v>
      </c>
      <c r="D3335" s="26"/>
      <c r="E3335" s="27"/>
      <c r="F3335" s="27"/>
      <c r="G3335" s="27" t="s">
        <v>11122</v>
      </c>
      <c r="H3335" s="27" t="s">
        <v>35</v>
      </c>
      <c r="I3335" s="27" t="s">
        <v>37</v>
      </c>
      <c r="J3335" s="28" t="s">
        <v>2214</v>
      </c>
      <c r="K3335" s="27" t="s">
        <v>37</v>
      </c>
      <c r="L3335" s="27"/>
    </row>
    <row r="3336" customFormat="false" ht="15" hidden="false" customHeight="false" outlineLevel="0" collapsed="false">
      <c r="A3336" s="26" t="s">
        <v>11597</v>
      </c>
      <c r="B3336" s="27" t="s">
        <v>11598</v>
      </c>
      <c r="C3336" s="27" t="s">
        <v>144</v>
      </c>
      <c r="D3336" s="26"/>
      <c r="E3336" s="27"/>
      <c r="F3336" s="27"/>
      <c r="G3336" s="27" t="s">
        <v>11122</v>
      </c>
      <c r="H3336" s="27" t="s">
        <v>35</v>
      </c>
      <c r="I3336" s="27" t="s">
        <v>43</v>
      </c>
      <c r="J3336" s="28" t="s">
        <v>2214</v>
      </c>
      <c r="K3336" s="27" t="s">
        <v>37</v>
      </c>
      <c r="L3336" s="27"/>
    </row>
    <row r="3337" customFormat="false" ht="15" hidden="false" customHeight="false" outlineLevel="0" collapsed="false">
      <c r="A3337" s="26" t="s">
        <v>11599</v>
      </c>
      <c r="B3337" s="27" t="s">
        <v>11600</v>
      </c>
      <c r="C3337" s="27" t="s">
        <v>144</v>
      </c>
      <c r="D3337" s="26"/>
      <c r="E3337" s="27"/>
      <c r="F3337" s="27"/>
      <c r="G3337" s="27" t="s">
        <v>11122</v>
      </c>
      <c r="H3337" s="27" t="s">
        <v>35</v>
      </c>
      <c r="I3337" s="27" t="s">
        <v>47</v>
      </c>
      <c r="J3337" s="28" t="s">
        <v>2214</v>
      </c>
      <c r="K3337" s="27" t="s">
        <v>37</v>
      </c>
      <c r="L3337" s="27"/>
    </row>
    <row r="3338" customFormat="false" ht="15" hidden="false" customHeight="false" outlineLevel="0" collapsed="false">
      <c r="A3338" s="26" t="s">
        <v>11601</v>
      </c>
      <c r="B3338" s="27" t="s">
        <v>11602</v>
      </c>
      <c r="C3338" s="27" t="s">
        <v>144</v>
      </c>
      <c r="D3338" s="26"/>
      <c r="E3338" s="27"/>
      <c r="F3338" s="27"/>
      <c r="G3338" s="27" t="s">
        <v>11122</v>
      </c>
      <c r="H3338" s="27" t="s">
        <v>35</v>
      </c>
      <c r="I3338" s="27" t="s">
        <v>47</v>
      </c>
      <c r="J3338" s="28" t="s">
        <v>2214</v>
      </c>
      <c r="K3338" s="27" t="s">
        <v>37</v>
      </c>
      <c r="L3338" s="27"/>
    </row>
    <row r="3339" customFormat="false" ht="15" hidden="false" customHeight="false" outlineLevel="0" collapsed="false">
      <c r="A3339" s="26" t="s">
        <v>11603</v>
      </c>
      <c r="B3339" s="27" t="s">
        <v>11604</v>
      </c>
      <c r="C3339" s="27" t="s">
        <v>144</v>
      </c>
      <c r="D3339" s="26"/>
      <c r="E3339" s="27"/>
      <c r="F3339" s="27"/>
      <c r="G3339" s="27" t="s">
        <v>11122</v>
      </c>
      <c r="H3339" s="27" t="s">
        <v>35</v>
      </c>
      <c r="I3339" s="27" t="s">
        <v>10510</v>
      </c>
      <c r="J3339" s="28" t="s">
        <v>2214</v>
      </c>
      <c r="K3339" s="27" t="s">
        <v>37</v>
      </c>
      <c r="L3339" s="27"/>
    </row>
    <row r="3340" customFormat="false" ht="15" hidden="false" customHeight="false" outlineLevel="0" collapsed="false">
      <c r="A3340" s="26" t="s">
        <v>11605</v>
      </c>
      <c r="B3340" s="27" t="s">
        <v>11606</v>
      </c>
      <c r="C3340" s="27" t="s">
        <v>144</v>
      </c>
      <c r="D3340" s="26"/>
      <c r="E3340" s="27"/>
      <c r="F3340" s="27"/>
      <c r="G3340" s="27" t="s">
        <v>11122</v>
      </c>
      <c r="H3340" s="27" t="s">
        <v>35</v>
      </c>
      <c r="I3340" s="27" t="s">
        <v>45</v>
      </c>
      <c r="J3340" s="28" t="s">
        <v>2214</v>
      </c>
      <c r="K3340" s="27" t="s">
        <v>37</v>
      </c>
      <c r="L3340" s="27"/>
    </row>
    <row r="3341" customFormat="false" ht="15" hidden="false" customHeight="false" outlineLevel="0" collapsed="false">
      <c r="A3341" s="26" t="s">
        <v>11607</v>
      </c>
      <c r="B3341" s="27" t="s">
        <v>11608</v>
      </c>
      <c r="C3341" s="27" t="s">
        <v>144</v>
      </c>
      <c r="D3341" s="26"/>
      <c r="E3341" s="27"/>
      <c r="F3341" s="27"/>
      <c r="G3341" s="27" t="s">
        <v>11122</v>
      </c>
      <c r="H3341" s="27" t="s">
        <v>35</v>
      </c>
      <c r="I3341" s="27" t="s">
        <v>47</v>
      </c>
      <c r="J3341" s="28" t="s">
        <v>2214</v>
      </c>
      <c r="K3341" s="27" t="s">
        <v>37</v>
      </c>
      <c r="L3341" s="27"/>
    </row>
    <row r="3342" customFormat="false" ht="15" hidden="false" customHeight="false" outlineLevel="0" collapsed="false">
      <c r="A3342" s="26" t="s">
        <v>11609</v>
      </c>
      <c r="B3342" s="27" t="s">
        <v>11610</v>
      </c>
      <c r="C3342" s="27" t="s">
        <v>144</v>
      </c>
      <c r="D3342" s="26"/>
      <c r="E3342" s="27"/>
      <c r="F3342" s="27"/>
      <c r="G3342" s="27" t="s">
        <v>11122</v>
      </c>
      <c r="H3342" s="27" t="s">
        <v>35</v>
      </c>
      <c r="I3342" s="27" t="s">
        <v>38</v>
      </c>
      <c r="J3342" s="28" t="s">
        <v>11611</v>
      </c>
      <c r="K3342" s="27"/>
      <c r="L3342" s="27"/>
    </row>
    <row r="3343" customFormat="false" ht="15" hidden="false" customHeight="false" outlineLevel="0" collapsed="false">
      <c r="A3343" s="26" t="s">
        <v>11612</v>
      </c>
      <c r="B3343" s="27" t="s">
        <v>11613</v>
      </c>
      <c r="C3343" s="27" t="s">
        <v>144</v>
      </c>
      <c r="D3343" s="26"/>
      <c r="E3343" s="27"/>
      <c r="F3343" s="27"/>
      <c r="G3343" s="27" t="s">
        <v>11122</v>
      </c>
      <c r="H3343" s="27" t="s">
        <v>35</v>
      </c>
      <c r="I3343" s="27" t="s">
        <v>38</v>
      </c>
      <c r="J3343" s="28" t="s">
        <v>11611</v>
      </c>
      <c r="K3343" s="27"/>
      <c r="L3343" s="27"/>
    </row>
    <row r="3344" customFormat="false" ht="15" hidden="false" customHeight="false" outlineLevel="0" collapsed="false">
      <c r="A3344" s="26" t="s">
        <v>11614</v>
      </c>
      <c r="B3344" s="27" t="s">
        <v>11615</v>
      </c>
      <c r="C3344" s="27" t="s">
        <v>144</v>
      </c>
      <c r="D3344" s="26"/>
      <c r="E3344" s="27"/>
      <c r="F3344" s="27"/>
      <c r="G3344" s="27" t="s">
        <v>11122</v>
      </c>
      <c r="H3344" s="27" t="s">
        <v>35</v>
      </c>
      <c r="I3344" s="27" t="s">
        <v>38</v>
      </c>
      <c r="J3344" s="28" t="s">
        <v>11611</v>
      </c>
      <c r="K3344" s="27"/>
      <c r="L3344" s="27"/>
    </row>
    <row r="3345" customFormat="false" ht="15" hidden="false" customHeight="false" outlineLevel="0" collapsed="false">
      <c r="A3345" s="26" t="s">
        <v>11616</v>
      </c>
      <c r="B3345" s="27" t="s">
        <v>11617</v>
      </c>
      <c r="C3345" s="27" t="s">
        <v>144</v>
      </c>
      <c r="D3345" s="26"/>
      <c r="E3345" s="27"/>
      <c r="F3345" s="27"/>
      <c r="G3345" s="27" t="s">
        <v>11122</v>
      </c>
      <c r="H3345" s="27" t="s">
        <v>35</v>
      </c>
      <c r="I3345" s="27" t="s">
        <v>37</v>
      </c>
      <c r="J3345" s="28" t="s">
        <v>11611</v>
      </c>
      <c r="K3345" s="27"/>
      <c r="L3345" s="27"/>
    </row>
    <row r="3346" customFormat="false" ht="15" hidden="false" customHeight="false" outlineLevel="0" collapsed="false">
      <c r="A3346" s="26" t="s">
        <v>11618</v>
      </c>
      <c r="B3346" s="27" t="s">
        <v>11619</v>
      </c>
      <c r="C3346" s="27" t="s">
        <v>144</v>
      </c>
      <c r="D3346" s="26"/>
      <c r="E3346" s="27"/>
      <c r="F3346" s="27"/>
      <c r="G3346" s="27" t="s">
        <v>11122</v>
      </c>
      <c r="H3346" s="27" t="s">
        <v>35</v>
      </c>
      <c r="I3346" s="27" t="s">
        <v>37</v>
      </c>
      <c r="J3346" s="28" t="s">
        <v>11611</v>
      </c>
      <c r="K3346" s="27"/>
      <c r="L3346" s="27"/>
    </row>
    <row r="3347" customFormat="false" ht="15" hidden="false" customHeight="false" outlineLevel="0" collapsed="false">
      <c r="A3347" s="26" t="s">
        <v>11620</v>
      </c>
      <c r="B3347" s="27" t="s">
        <v>11621</v>
      </c>
      <c r="C3347" s="27" t="s">
        <v>144</v>
      </c>
      <c r="D3347" s="26"/>
      <c r="E3347" s="27"/>
      <c r="F3347" s="27"/>
      <c r="G3347" s="27" t="s">
        <v>11122</v>
      </c>
      <c r="H3347" s="27" t="s">
        <v>35</v>
      </c>
      <c r="I3347" s="27" t="s">
        <v>37</v>
      </c>
      <c r="J3347" s="28" t="s">
        <v>11611</v>
      </c>
      <c r="K3347" s="27"/>
      <c r="L3347" s="27"/>
    </row>
    <row r="3348" customFormat="false" ht="15" hidden="false" customHeight="false" outlineLevel="0" collapsed="false">
      <c r="A3348" s="26" t="s">
        <v>11622</v>
      </c>
      <c r="B3348" s="27" t="s">
        <v>11623</v>
      </c>
      <c r="C3348" s="27" t="s">
        <v>144</v>
      </c>
      <c r="D3348" s="26"/>
      <c r="E3348" s="27"/>
      <c r="F3348" s="27"/>
      <c r="G3348" s="27" t="s">
        <v>11122</v>
      </c>
      <c r="H3348" s="27" t="s">
        <v>35</v>
      </c>
      <c r="I3348" s="27" t="s">
        <v>41</v>
      </c>
      <c r="J3348" s="28" t="s">
        <v>11611</v>
      </c>
      <c r="K3348" s="27"/>
      <c r="L3348" s="27"/>
    </row>
    <row r="3349" customFormat="false" ht="15" hidden="false" customHeight="false" outlineLevel="0" collapsed="false">
      <c r="A3349" s="26" t="s">
        <v>11624</v>
      </c>
      <c r="B3349" s="27" t="s">
        <v>11625</v>
      </c>
      <c r="C3349" s="27" t="s">
        <v>144</v>
      </c>
      <c r="D3349" s="26"/>
      <c r="E3349" s="27"/>
      <c r="F3349" s="27"/>
      <c r="G3349" s="27" t="s">
        <v>11122</v>
      </c>
      <c r="H3349" s="27" t="s">
        <v>35</v>
      </c>
      <c r="I3349" s="27" t="s">
        <v>37</v>
      </c>
      <c r="J3349" s="28" t="s">
        <v>11611</v>
      </c>
      <c r="K3349" s="27"/>
      <c r="L3349" s="27"/>
    </row>
    <row r="3350" customFormat="false" ht="15" hidden="false" customHeight="false" outlineLevel="0" collapsed="false">
      <c r="A3350" s="26" t="s">
        <v>11626</v>
      </c>
      <c r="B3350" s="27" t="s">
        <v>11627</v>
      </c>
      <c r="C3350" s="27" t="s">
        <v>144</v>
      </c>
      <c r="D3350" s="26"/>
      <c r="E3350" s="27"/>
      <c r="F3350" s="27"/>
      <c r="G3350" s="27" t="s">
        <v>11122</v>
      </c>
      <c r="H3350" s="27" t="s">
        <v>35</v>
      </c>
      <c r="I3350" s="27" t="s">
        <v>37</v>
      </c>
      <c r="J3350" s="28" t="s">
        <v>11611</v>
      </c>
      <c r="K3350" s="27"/>
      <c r="L3350" s="27"/>
    </row>
    <row r="3351" customFormat="false" ht="15" hidden="false" customHeight="false" outlineLevel="0" collapsed="false">
      <c r="A3351" s="26" t="s">
        <v>11628</v>
      </c>
      <c r="B3351" s="27" t="s">
        <v>11629</v>
      </c>
      <c r="C3351" s="27" t="s">
        <v>144</v>
      </c>
      <c r="D3351" s="26"/>
      <c r="E3351" s="27"/>
      <c r="F3351" s="27"/>
      <c r="G3351" s="27" t="s">
        <v>11122</v>
      </c>
      <c r="H3351" s="27" t="s">
        <v>35</v>
      </c>
      <c r="I3351" s="27" t="s">
        <v>37</v>
      </c>
      <c r="J3351" s="28" t="s">
        <v>11611</v>
      </c>
      <c r="K3351" s="27"/>
      <c r="L3351" s="27"/>
    </row>
    <row r="3352" customFormat="false" ht="15" hidden="false" customHeight="false" outlineLevel="0" collapsed="false">
      <c r="A3352" s="26" t="s">
        <v>11630</v>
      </c>
      <c r="B3352" s="27" t="s">
        <v>11631</v>
      </c>
      <c r="C3352" s="27" t="s">
        <v>144</v>
      </c>
      <c r="D3352" s="26"/>
      <c r="E3352" s="27"/>
      <c r="F3352" s="27"/>
      <c r="G3352" s="27" t="s">
        <v>11122</v>
      </c>
      <c r="H3352" s="27" t="s">
        <v>35</v>
      </c>
      <c r="I3352" s="27" t="s">
        <v>37</v>
      </c>
      <c r="J3352" s="28" t="s">
        <v>11611</v>
      </c>
      <c r="K3352" s="27"/>
      <c r="L3352" s="27"/>
    </row>
    <row r="3353" customFormat="false" ht="15" hidden="false" customHeight="false" outlineLevel="0" collapsed="false">
      <c r="A3353" s="26" t="s">
        <v>11632</v>
      </c>
      <c r="B3353" s="27" t="s">
        <v>11633</v>
      </c>
      <c r="C3353" s="27" t="s">
        <v>144</v>
      </c>
      <c r="D3353" s="26"/>
      <c r="E3353" s="27"/>
      <c r="F3353" s="27"/>
      <c r="G3353" s="27" t="s">
        <v>11122</v>
      </c>
      <c r="H3353" s="27" t="s">
        <v>35</v>
      </c>
      <c r="I3353" s="27" t="s">
        <v>41</v>
      </c>
      <c r="J3353" s="28" t="s">
        <v>11611</v>
      </c>
      <c r="K3353" s="27"/>
      <c r="L3353" s="27"/>
    </row>
    <row r="3354" customFormat="false" ht="15" hidden="false" customHeight="false" outlineLevel="0" collapsed="false">
      <c r="A3354" s="26" t="s">
        <v>11634</v>
      </c>
      <c r="B3354" s="27" t="s">
        <v>11635</v>
      </c>
      <c r="C3354" s="27" t="s">
        <v>144</v>
      </c>
      <c r="D3354" s="26"/>
      <c r="E3354" s="27"/>
      <c r="F3354" s="27"/>
      <c r="G3354" s="27" t="s">
        <v>11122</v>
      </c>
      <c r="H3354" s="27" t="s">
        <v>35</v>
      </c>
      <c r="I3354" s="27" t="s">
        <v>41</v>
      </c>
      <c r="J3354" s="28" t="s">
        <v>11611</v>
      </c>
      <c r="K3354" s="27"/>
      <c r="L3354" s="27"/>
    </row>
    <row r="3355" customFormat="false" ht="15" hidden="false" customHeight="false" outlineLevel="0" collapsed="false">
      <c r="A3355" s="26" t="s">
        <v>11636</v>
      </c>
      <c r="B3355" s="27" t="s">
        <v>11637</v>
      </c>
      <c r="C3355" s="27" t="s">
        <v>144</v>
      </c>
      <c r="D3355" s="26"/>
      <c r="E3355" s="27"/>
      <c r="F3355" s="27"/>
      <c r="G3355" s="27" t="s">
        <v>11122</v>
      </c>
      <c r="H3355" s="27" t="s">
        <v>35</v>
      </c>
      <c r="I3355" s="27" t="s">
        <v>37</v>
      </c>
      <c r="J3355" s="28" t="s">
        <v>11611</v>
      </c>
      <c r="K3355" s="27"/>
      <c r="L3355" s="27"/>
    </row>
    <row r="3356" customFormat="false" ht="15" hidden="false" customHeight="false" outlineLevel="0" collapsed="false">
      <c r="A3356" s="26" t="s">
        <v>11638</v>
      </c>
      <c r="B3356" s="27" t="s">
        <v>11639</v>
      </c>
      <c r="C3356" s="27" t="s">
        <v>144</v>
      </c>
      <c r="D3356" s="26"/>
      <c r="E3356" s="27"/>
      <c r="F3356" s="27"/>
      <c r="G3356" s="27" t="s">
        <v>11122</v>
      </c>
      <c r="H3356" s="27" t="s">
        <v>35</v>
      </c>
      <c r="I3356" s="27" t="s">
        <v>37</v>
      </c>
      <c r="J3356" s="28" t="s">
        <v>11611</v>
      </c>
      <c r="K3356" s="27"/>
      <c r="L3356" s="27"/>
    </row>
    <row r="3357" customFormat="false" ht="15" hidden="false" customHeight="false" outlineLevel="0" collapsed="false">
      <c r="A3357" s="26" t="s">
        <v>11640</v>
      </c>
      <c r="B3357" s="27" t="s">
        <v>11641</v>
      </c>
      <c r="C3357" s="27" t="s">
        <v>144</v>
      </c>
      <c r="D3357" s="26"/>
      <c r="E3357" s="27"/>
      <c r="F3357" s="27"/>
      <c r="G3357" s="27" t="s">
        <v>11122</v>
      </c>
      <c r="H3357" s="27" t="s">
        <v>35</v>
      </c>
      <c r="I3357" s="27" t="s">
        <v>37</v>
      </c>
      <c r="J3357" s="28" t="s">
        <v>11611</v>
      </c>
      <c r="K3357" s="27"/>
      <c r="L3357" s="27"/>
    </row>
    <row r="3358" customFormat="false" ht="15" hidden="false" customHeight="false" outlineLevel="0" collapsed="false">
      <c r="A3358" s="26" t="s">
        <v>11642</v>
      </c>
      <c r="B3358" s="27" t="s">
        <v>11643</v>
      </c>
      <c r="C3358" s="27" t="s">
        <v>144</v>
      </c>
      <c r="D3358" s="26"/>
      <c r="E3358" s="27"/>
      <c r="F3358" s="27"/>
      <c r="G3358" s="27" t="s">
        <v>11122</v>
      </c>
      <c r="H3358" s="27" t="s">
        <v>35</v>
      </c>
      <c r="I3358" s="27" t="s">
        <v>37</v>
      </c>
      <c r="J3358" s="28" t="s">
        <v>11611</v>
      </c>
      <c r="K3358" s="27"/>
      <c r="L3358" s="27"/>
    </row>
    <row r="3359" customFormat="false" ht="15" hidden="false" customHeight="false" outlineLevel="0" collapsed="false">
      <c r="A3359" s="26" t="s">
        <v>11644</v>
      </c>
      <c r="B3359" s="27" t="s">
        <v>11645</v>
      </c>
      <c r="C3359" s="27" t="s">
        <v>144</v>
      </c>
      <c r="D3359" s="26"/>
      <c r="E3359" s="27"/>
      <c r="F3359" s="27"/>
      <c r="G3359" s="27" t="s">
        <v>11122</v>
      </c>
      <c r="H3359" s="27" t="s">
        <v>35</v>
      </c>
      <c r="I3359" s="27" t="s">
        <v>37</v>
      </c>
      <c r="J3359" s="28" t="s">
        <v>11611</v>
      </c>
      <c r="K3359" s="27"/>
      <c r="L3359" s="27"/>
    </row>
    <row r="3360" customFormat="false" ht="15" hidden="false" customHeight="false" outlineLevel="0" collapsed="false">
      <c r="A3360" s="26" t="s">
        <v>11646</v>
      </c>
      <c r="B3360" s="27" t="s">
        <v>11647</v>
      </c>
      <c r="C3360" s="27" t="s">
        <v>144</v>
      </c>
      <c r="D3360" s="26"/>
      <c r="E3360" s="27"/>
      <c r="F3360" s="27"/>
      <c r="G3360" s="27" t="s">
        <v>11122</v>
      </c>
      <c r="H3360" s="27" t="s">
        <v>35</v>
      </c>
      <c r="I3360" s="27" t="s">
        <v>37</v>
      </c>
      <c r="J3360" s="28" t="s">
        <v>11611</v>
      </c>
      <c r="K3360" s="27"/>
      <c r="L3360" s="27"/>
    </row>
    <row r="3361" customFormat="false" ht="15" hidden="false" customHeight="false" outlineLevel="0" collapsed="false">
      <c r="A3361" s="26" t="s">
        <v>11648</v>
      </c>
      <c r="B3361" s="27" t="s">
        <v>11649</v>
      </c>
      <c r="C3361" s="27" t="s">
        <v>144</v>
      </c>
      <c r="D3361" s="26"/>
      <c r="E3361" s="27"/>
      <c r="F3361" s="27"/>
      <c r="G3361" s="27" t="s">
        <v>11122</v>
      </c>
      <c r="H3361" s="27" t="s">
        <v>35</v>
      </c>
      <c r="I3361" s="27" t="s">
        <v>37</v>
      </c>
      <c r="J3361" s="28" t="s">
        <v>11611</v>
      </c>
      <c r="K3361" s="27"/>
      <c r="L3361" s="27"/>
    </row>
    <row r="3362" customFormat="false" ht="15" hidden="false" customHeight="false" outlineLevel="0" collapsed="false">
      <c r="A3362" s="26" t="s">
        <v>11650</v>
      </c>
      <c r="B3362" s="27" t="s">
        <v>11651</v>
      </c>
      <c r="C3362" s="27" t="s">
        <v>144</v>
      </c>
      <c r="D3362" s="26"/>
      <c r="E3362" s="27"/>
      <c r="F3362" s="27"/>
      <c r="G3362" s="27" t="s">
        <v>11122</v>
      </c>
      <c r="H3362" s="27" t="s">
        <v>35</v>
      </c>
      <c r="I3362" s="27" t="s">
        <v>37</v>
      </c>
      <c r="J3362" s="28" t="s">
        <v>11611</v>
      </c>
      <c r="K3362" s="27"/>
      <c r="L3362" s="27"/>
    </row>
    <row r="3363" customFormat="false" ht="15" hidden="false" customHeight="false" outlineLevel="0" collapsed="false">
      <c r="A3363" s="26" t="s">
        <v>11652</v>
      </c>
      <c r="B3363" s="27" t="s">
        <v>11653</v>
      </c>
      <c r="C3363" s="27" t="s">
        <v>144</v>
      </c>
      <c r="D3363" s="26"/>
      <c r="E3363" s="27"/>
      <c r="F3363" s="27"/>
      <c r="G3363" s="27" t="s">
        <v>11122</v>
      </c>
      <c r="H3363" s="27" t="s">
        <v>35</v>
      </c>
      <c r="I3363" s="27" t="s">
        <v>37</v>
      </c>
      <c r="J3363" s="28" t="s">
        <v>11611</v>
      </c>
      <c r="K3363" s="27"/>
      <c r="L3363" s="27"/>
    </row>
    <row r="3364" customFormat="false" ht="15" hidden="false" customHeight="false" outlineLevel="0" collapsed="false">
      <c r="A3364" s="26" t="s">
        <v>11654</v>
      </c>
      <c r="B3364" s="27" t="s">
        <v>11655</v>
      </c>
      <c r="C3364" s="27" t="s">
        <v>1612</v>
      </c>
      <c r="D3364" s="26"/>
      <c r="E3364" s="27"/>
      <c r="F3364" s="27"/>
      <c r="G3364" s="27" t="s">
        <v>11122</v>
      </c>
      <c r="H3364" s="27" t="s">
        <v>35</v>
      </c>
      <c r="I3364" s="27" t="s">
        <v>37</v>
      </c>
      <c r="J3364" s="28" t="s">
        <v>11611</v>
      </c>
      <c r="K3364" s="27"/>
      <c r="L3364" s="27"/>
    </row>
    <row r="3365" customFormat="false" ht="15" hidden="false" customHeight="false" outlineLevel="0" collapsed="false">
      <c r="A3365" s="26" t="s">
        <v>11656</v>
      </c>
      <c r="B3365" s="27" t="s">
        <v>11657</v>
      </c>
      <c r="C3365" s="27" t="s">
        <v>144</v>
      </c>
      <c r="D3365" s="26"/>
      <c r="E3365" s="27"/>
      <c r="F3365" s="27"/>
      <c r="G3365" s="27" t="s">
        <v>11122</v>
      </c>
      <c r="H3365" s="27" t="s">
        <v>35</v>
      </c>
      <c r="I3365" s="27" t="s">
        <v>152</v>
      </c>
      <c r="J3365" s="28" t="s">
        <v>11611</v>
      </c>
      <c r="K3365" s="27"/>
      <c r="L3365" s="27"/>
    </row>
    <row r="3366" customFormat="false" ht="15" hidden="false" customHeight="false" outlineLevel="0" collapsed="false">
      <c r="A3366" s="26" t="s">
        <v>11658</v>
      </c>
      <c r="B3366" s="27" t="s">
        <v>11659</v>
      </c>
      <c r="C3366" s="27" t="s">
        <v>144</v>
      </c>
      <c r="D3366" s="26"/>
      <c r="E3366" s="27"/>
      <c r="F3366" s="27"/>
      <c r="G3366" s="27" t="s">
        <v>11122</v>
      </c>
      <c r="H3366" s="27" t="s">
        <v>35</v>
      </c>
      <c r="I3366" s="27" t="s">
        <v>47</v>
      </c>
      <c r="J3366" s="28" t="s">
        <v>2220</v>
      </c>
      <c r="K3366" s="27" t="s">
        <v>37</v>
      </c>
      <c r="L3366" s="27"/>
    </row>
    <row r="3367" customFormat="false" ht="15" hidden="false" customHeight="false" outlineLevel="0" collapsed="false">
      <c r="A3367" s="26" t="s">
        <v>11660</v>
      </c>
      <c r="B3367" s="27" t="s">
        <v>11661</v>
      </c>
      <c r="C3367" s="27" t="s">
        <v>144</v>
      </c>
      <c r="D3367" s="26"/>
      <c r="E3367" s="27"/>
      <c r="F3367" s="27"/>
      <c r="G3367" s="27" t="s">
        <v>11122</v>
      </c>
      <c r="H3367" s="27" t="s">
        <v>35</v>
      </c>
      <c r="I3367" s="28" t="s">
        <v>46</v>
      </c>
      <c r="J3367" s="28" t="s">
        <v>2220</v>
      </c>
      <c r="K3367" s="27" t="s">
        <v>37</v>
      </c>
      <c r="L3367" s="27"/>
    </row>
    <row r="3368" customFormat="false" ht="15" hidden="false" customHeight="false" outlineLevel="0" collapsed="false">
      <c r="A3368" s="26" t="s">
        <v>11662</v>
      </c>
      <c r="B3368" s="27" t="s">
        <v>11663</v>
      </c>
      <c r="C3368" s="27" t="s">
        <v>144</v>
      </c>
      <c r="D3368" s="26"/>
      <c r="E3368" s="27"/>
      <c r="F3368" s="27"/>
      <c r="G3368" s="27" t="s">
        <v>11122</v>
      </c>
      <c r="H3368" s="27" t="s">
        <v>35</v>
      </c>
      <c r="I3368" s="27" t="s">
        <v>37</v>
      </c>
      <c r="J3368" s="28" t="s">
        <v>2220</v>
      </c>
      <c r="K3368" s="27" t="s">
        <v>37</v>
      </c>
      <c r="L3368" s="27"/>
    </row>
    <row r="3369" customFormat="false" ht="15" hidden="false" customHeight="false" outlineLevel="0" collapsed="false">
      <c r="A3369" s="26" t="s">
        <v>11664</v>
      </c>
      <c r="B3369" s="27" t="s">
        <v>11665</v>
      </c>
      <c r="C3369" s="27" t="s">
        <v>144</v>
      </c>
      <c r="D3369" s="26"/>
      <c r="E3369" s="27"/>
      <c r="F3369" s="27"/>
      <c r="G3369" s="27" t="s">
        <v>11122</v>
      </c>
      <c r="H3369" s="27" t="s">
        <v>35</v>
      </c>
      <c r="I3369" s="28" t="s">
        <v>46</v>
      </c>
      <c r="J3369" s="28" t="s">
        <v>2220</v>
      </c>
      <c r="K3369" s="27" t="s">
        <v>37</v>
      </c>
      <c r="L3369" s="27"/>
    </row>
    <row r="3370" customFormat="false" ht="15" hidden="false" customHeight="false" outlineLevel="0" collapsed="false">
      <c r="A3370" s="26" t="s">
        <v>11666</v>
      </c>
      <c r="B3370" s="27" t="s">
        <v>11667</v>
      </c>
      <c r="C3370" s="27" t="s">
        <v>144</v>
      </c>
      <c r="D3370" s="26"/>
      <c r="E3370" s="27"/>
      <c r="F3370" s="27"/>
      <c r="G3370" s="27" t="s">
        <v>11122</v>
      </c>
      <c r="H3370" s="27" t="s">
        <v>35</v>
      </c>
      <c r="I3370" s="27" t="s">
        <v>37</v>
      </c>
      <c r="J3370" s="28" t="s">
        <v>2220</v>
      </c>
      <c r="K3370" s="27" t="s">
        <v>37</v>
      </c>
      <c r="L3370" s="27"/>
    </row>
    <row r="3371" customFormat="false" ht="15" hidden="false" customHeight="false" outlineLevel="0" collapsed="false">
      <c r="A3371" s="26" t="s">
        <v>11668</v>
      </c>
      <c r="B3371" s="27" t="s">
        <v>11669</v>
      </c>
      <c r="C3371" s="27" t="s">
        <v>144</v>
      </c>
      <c r="D3371" s="26"/>
      <c r="E3371" s="27"/>
      <c r="F3371" s="27"/>
      <c r="G3371" s="27" t="s">
        <v>11122</v>
      </c>
      <c r="H3371" s="27" t="s">
        <v>35</v>
      </c>
      <c r="I3371" s="27" t="s">
        <v>37</v>
      </c>
      <c r="J3371" s="28" t="s">
        <v>2220</v>
      </c>
      <c r="K3371" s="27" t="s">
        <v>37</v>
      </c>
      <c r="L3371" s="27"/>
    </row>
    <row r="3372" customFormat="false" ht="15" hidden="false" customHeight="false" outlineLevel="0" collapsed="false">
      <c r="A3372" s="26" t="s">
        <v>11670</v>
      </c>
      <c r="B3372" s="27" t="s">
        <v>11671</v>
      </c>
      <c r="C3372" s="27" t="s">
        <v>144</v>
      </c>
      <c r="D3372" s="26"/>
      <c r="E3372" s="27"/>
      <c r="F3372" s="27"/>
      <c r="G3372" s="27" t="s">
        <v>11122</v>
      </c>
      <c r="H3372" s="27" t="s">
        <v>35</v>
      </c>
      <c r="I3372" s="27" t="s">
        <v>37</v>
      </c>
      <c r="J3372" s="28" t="s">
        <v>2220</v>
      </c>
      <c r="K3372" s="27" t="s">
        <v>37</v>
      </c>
      <c r="L3372" s="27"/>
    </row>
    <row r="3373" customFormat="false" ht="15" hidden="false" customHeight="false" outlineLevel="0" collapsed="false">
      <c r="A3373" s="26" t="s">
        <v>11672</v>
      </c>
      <c r="B3373" s="27" t="s">
        <v>11673</v>
      </c>
      <c r="C3373" s="27" t="s">
        <v>144</v>
      </c>
      <c r="D3373" s="26"/>
      <c r="E3373" s="27"/>
      <c r="F3373" s="27"/>
      <c r="G3373" s="27" t="s">
        <v>11122</v>
      </c>
      <c r="H3373" s="27" t="s">
        <v>35</v>
      </c>
      <c r="I3373" s="27" t="s">
        <v>38</v>
      </c>
      <c r="J3373" s="28" t="s">
        <v>2220</v>
      </c>
      <c r="K3373" s="27" t="s">
        <v>37</v>
      </c>
      <c r="L3373" s="27"/>
    </row>
    <row r="3374" customFormat="false" ht="15" hidden="false" customHeight="false" outlineLevel="0" collapsed="false">
      <c r="A3374" s="26" t="s">
        <v>11674</v>
      </c>
      <c r="B3374" s="27" t="s">
        <v>11675</v>
      </c>
      <c r="C3374" s="27" t="s">
        <v>144</v>
      </c>
      <c r="D3374" s="26"/>
      <c r="E3374" s="27"/>
      <c r="F3374" s="27"/>
      <c r="G3374" s="27" t="s">
        <v>11122</v>
      </c>
      <c r="H3374" s="27" t="s">
        <v>35</v>
      </c>
      <c r="I3374" s="27" t="s">
        <v>42</v>
      </c>
      <c r="J3374" s="28" t="s">
        <v>2220</v>
      </c>
      <c r="K3374" s="27" t="s">
        <v>37</v>
      </c>
      <c r="L3374" s="27"/>
    </row>
    <row r="3375" customFormat="false" ht="15" hidden="false" customHeight="false" outlineLevel="0" collapsed="false">
      <c r="A3375" s="26" t="s">
        <v>11676</v>
      </c>
      <c r="B3375" s="27" t="s">
        <v>11677</v>
      </c>
      <c r="C3375" s="27" t="s">
        <v>144</v>
      </c>
      <c r="D3375" s="26"/>
      <c r="E3375" s="27"/>
      <c r="F3375" s="27"/>
      <c r="G3375" s="27" t="s">
        <v>11122</v>
      </c>
      <c r="H3375" s="27" t="s">
        <v>35</v>
      </c>
      <c r="I3375" s="27" t="s">
        <v>37</v>
      </c>
      <c r="J3375" s="28" t="s">
        <v>2220</v>
      </c>
      <c r="K3375" s="27" t="s">
        <v>37</v>
      </c>
      <c r="L3375" s="27"/>
    </row>
    <row r="3376" customFormat="false" ht="15" hidden="false" customHeight="false" outlineLevel="0" collapsed="false">
      <c r="A3376" s="26" t="s">
        <v>11678</v>
      </c>
      <c r="B3376" s="27" t="s">
        <v>11679</v>
      </c>
      <c r="C3376" s="27" t="s">
        <v>144</v>
      </c>
      <c r="D3376" s="26"/>
      <c r="E3376" s="27"/>
      <c r="F3376" s="27"/>
      <c r="G3376" s="27" t="s">
        <v>11122</v>
      </c>
      <c r="H3376" s="27" t="s">
        <v>35</v>
      </c>
      <c r="I3376" s="27" t="s">
        <v>37</v>
      </c>
      <c r="J3376" s="28" t="s">
        <v>2220</v>
      </c>
      <c r="K3376" s="27" t="s">
        <v>37</v>
      </c>
      <c r="L3376" s="27"/>
    </row>
    <row r="3377" customFormat="false" ht="15" hidden="false" customHeight="false" outlineLevel="0" collapsed="false">
      <c r="A3377" s="26" t="s">
        <v>11680</v>
      </c>
      <c r="B3377" s="27" t="s">
        <v>11681</v>
      </c>
      <c r="C3377" s="27" t="s">
        <v>144</v>
      </c>
      <c r="D3377" s="26"/>
      <c r="E3377" s="27"/>
      <c r="F3377" s="27"/>
      <c r="G3377" s="27" t="s">
        <v>11122</v>
      </c>
      <c r="H3377" s="27" t="s">
        <v>35</v>
      </c>
      <c r="I3377" s="27" t="s">
        <v>41</v>
      </c>
      <c r="J3377" s="28" t="s">
        <v>3667</v>
      </c>
      <c r="K3377" s="27" t="s">
        <v>37</v>
      </c>
      <c r="L3377" s="27"/>
    </row>
    <row r="3378" customFormat="false" ht="15" hidden="false" customHeight="false" outlineLevel="0" collapsed="false">
      <c r="A3378" s="26" t="s">
        <v>11682</v>
      </c>
      <c r="B3378" s="27" t="s">
        <v>11683</v>
      </c>
      <c r="C3378" s="27" t="s">
        <v>144</v>
      </c>
      <c r="D3378" s="26"/>
      <c r="E3378" s="27"/>
      <c r="F3378" s="27"/>
      <c r="G3378" s="27" t="s">
        <v>11122</v>
      </c>
      <c r="H3378" s="27" t="s">
        <v>35</v>
      </c>
      <c r="I3378" s="27" t="s">
        <v>37</v>
      </c>
      <c r="J3378" s="28" t="s">
        <v>3667</v>
      </c>
      <c r="K3378" s="27" t="s">
        <v>37</v>
      </c>
      <c r="L3378" s="27"/>
    </row>
    <row r="3379" customFormat="false" ht="15" hidden="false" customHeight="false" outlineLevel="0" collapsed="false">
      <c r="A3379" s="26" t="s">
        <v>11684</v>
      </c>
      <c r="B3379" s="27" t="s">
        <v>11685</v>
      </c>
      <c r="C3379" s="27" t="s">
        <v>144</v>
      </c>
      <c r="D3379" s="26"/>
      <c r="E3379" s="27"/>
      <c r="F3379" s="27"/>
      <c r="G3379" s="27" t="s">
        <v>11122</v>
      </c>
      <c r="H3379" s="27" t="s">
        <v>35</v>
      </c>
      <c r="I3379" s="27" t="s">
        <v>37</v>
      </c>
      <c r="J3379" s="28" t="s">
        <v>3667</v>
      </c>
      <c r="K3379" s="27" t="s">
        <v>37</v>
      </c>
      <c r="L3379" s="27"/>
    </row>
    <row r="3380" customFormat="false" ht="15" hidden="false" customHeight="false" outlineLevel="0" collapsed="false">
      <c r="A3380" s="26" t="s">
        <v>11686</v>
      </c>
      <c r="B3380" s="27" t="s">
        <v>11687</v>
      </c>
      <c r="C3380" s="27" t="s">
        <v>144</v>
      </c>
      <c r="D3380" s="26"/>
      <c r="E3380" s="27"/>
      <c r="F3380" s="27"/>
      <c r="G3380" s="27" t="s">
        <v>11122</v>
      </c>
      <c r="H3380" s="27" t="s">
        <v>35</v>
      </c>
      <c r="I3380" s="27" t="s">
        <v>38</v>
      </c>
      <c r="J3380" s="28" t="s">
        <v>3667</v>
      </c>
      <c r="K3380" s="27" t="s">
        <v>37</v>
      </c>
      <c r="L3380" s="27"/>
    </row>
    <row r="3381" customFormat="false" ht="15" hidden="false" customHeight="false" outlineLevel="0" collapsed="false">
      <c r="A3381" s="26" t="s">
        <v>11688</v>
      </c>
      <c r="B3381" s="27" t="s">
        <v>11689</v>
      </c>
      <c r="C3381" s="27" t="s">
        <v>144</v>
      </c>
      <c r="D3381" s="26"/>
      <c r="E3381" s="27"/>
      <c r="F3381" s="27"/>
      <c r="G3381" s="27" t="s">
        <v>11122</v>
      </c>
      <c r="H3381" s="27" t="s">
        <v>35</v>
      </c>
      <c r="I3381" s="27" t="s">
        <v>1067</v>
      </c>
      <c r="J3381" s="28" t="s">
        <v>3667</v>
      </c>
      <c r="K3381" s="27" t="s">
        <v>37</v>
      </c>
      <c r="L3381" s="27"/>
    </row>
    <row r="3382" customFormat="false" ht="15" hidden="false" customHeight="false" outlineLevel="0" collapsed="false">
      <c r="A3382" s="26" t="s">
        <v>11690</v>
      </c>
      <c r="B3382" s="27" t="s">
        <v>11691</v>
      </c>
      <c r="C3382" s="27" t="s">
        <v>144</v>
      </c>
      <c r="D3382" s="26"/>
      <c r="E3382" s="27"/>
      <c r="F3382" s="27"/>
      <c r="G3382" s="27" t="s">
        <v>11122</v>
      </c>
      <c r="H3382" s="27" t="s">
        <v>35</v>
      </c>
      <c r="I3382" s="27" t="s">
        <v>37</v>
      </c>
      <c r="J3382" s="28" t="s">
        <v>3667</v>
      </c>
      <c r="K3382" s="27" t="s">
        <v>37</v>
      </c>
      <c r="L3382" s="27"/>
    </row>
    <row r="3383" customFormat="false" ht="15" hidden="false" customHeight="false" outlineLevel="0" collapsed="false">
      <c r="A3383" s="26" t="s">
        <v>11692</v>
      </c>
      <c r="B3383" s="27" t="s">
        <v>11693</v>
      </c>
      <c r="C3383" s="27" t="s">
        <v>144</v>
      </c>
      <c r="D3383" s="26"/>
      <c r="E3383" s="27"/>
      <c r="F3383" s="27"/>
      <c r="G3383" s="27" t="s">
        <v>11122</v>
      </c>
      <c r="H3383" s="27" t="s">
        <v>35</v>
      </c>
      <c r="I3383" s="27" t="s">
        <v>37</v>
      </c>
      <c r="J3383" s="28" t="s">
        <v>3667</v>
      </c>
      <c r="K3383" s="27" t="s">
        <v>37</v>
      </c>
      <c r="L3383" s="27"/>
    </row>
    <row r="3384" customFormat="false" ht="15" hidden="false" customHeight="false" outlineLevel="0" collapsed="false">
      <c r="A3384" s="26" t="s">
        <v>11694</v>
      </c>
      <c r="B3384" s="27" t="s">
        <v>11695</v>
      </c>
      <c r="C3384" s="27" t="s">
        <v>144</v>
      </c>
      <c r="D3384" s="26"/>
      <c r="E3384" s="27"/>
      <c r="F3384" s="27"/>
      <c r="G3384" s="27" t="s">
        <v>11122</v>
      </c>
      <c r="H3384" s="27" t="s">
        <v>35</v>
      </c>
      <c r="I3384" s="27" t="s">
        <v>37</v>
      </c>
      <c r="J3384" s="28" t="s">
        <v>3667</v>
      </c>
      <c r="K3384" s="27" t="s">
        <v>37</v>
      </c>
      <c r="L3384" s="27"/>
    </row>
    <row r="3385" customFormat="false" ht="15" hidden="false" customHeight="false" outlineLevel="0" collapsed="false">
      <c r="A3385" s="26" t="s">
        <v>11696</v>
      </c>
      <c r="B3385" s="27" t="s">
        <v>11697</v>
      </c>
      <c r="C3385" s="27" t="s">
        <v>144</v>
      </c>
      <c r="D3385" s="26"/>
      <c r="E3385" s="27"/>
      <c r="F3385" s="27"/>
      <c r="G3385" s="27" t="s">
        <v>11122</v>
      </c>
      <c r="H3385" s="27" t="s">
        <v>35</v>
      </c>
      <c r="I3385" s="27" t="s">
        <v>37</v>
      </c>
      <c r="J3385" s="28" t="s">
        <v>3667</v>
      </c>
      <c r="K3385" s="27" t="s">
        <v>37</v>
      </c>
      <c r="L3385" s="27"/>
    </row>
    <row r="3386" customFormat="false" ht="15" hidden="false" customHeight="false" outlineLevel="0" collapsed="false">
      <c r="A3386" s="26" t="s">
        <v>11698</v>
      </c>
      <c r="B3386" s="27" t="s">
        <v>11699</v>
      </c>
      <c r="C3386" s="27" t="s">
        <v>144</v>
      </c>
      <c r="D3386" s="26"/>
      <c r="E3386" s="27"/>
      <c r="F3386" s="27"/>
      <c r="G3386" s="27" t="s">
        <v>11122</v>
      </c>
      <c r="H3386" s="27" t="s">
        <v>35</v>
      </c>
      <c r="I3386" s="27" t="s">
        <v>37</v>
      </c>
      <c r="J3386" s="28" t="s">
        <v>3667</v>
      </c>
      <c r="K3386" s="27" t="s">
        <v>37</v>
      </c>
      <c r="L3386" s="27"/>
    </row>
    <row r="3387" customFormat="false" ht="15" hidden="false" customHeight="false" outlineLevel="0" collapsed="false">
      <c r="A3387" s="26" t="s">
        <v>11700</v>
      </c>
      <c r="B3387" s="27" t="s">
        <v>11701</v>
      </c>
      <c r="C3387" s="27" t="s">
        <v>144</v>
      </c>
      <c r="D3387" s="26"/>
      <c r="E3387" s="27"/>
      <c r="F3387" s="27"/>
      <c r="G3387" s="27" t="s">
        <v>11122</v>
      </c>
      <c r="H3387" s="27" t="s">
        <v>35</v>
      </c>
      <c r="I3387" s="27" t="s">
        <v>37</v>
      </c>
      <c r="J3387" s="28" t="s">
        <v>3667</v>
      </c>
      <c r="K3387" s="27" t="s">
        <v>37</v>
      </c>
      <c r="L3387" s="27"/>
    </row>
    <row r="3388" customFormat="false" ht="15" hidden="false" customHeight="false" outlineLevel="0" collapsed="false">
      <c r="A3388" s="26" t="s">
        <v>11702</v>
      </c>
      <c r="B3388" s="27" t="s">
        <v>11703</v>
      </c>
      <c r="C3388" s="27" t="s">
        <v>144</v>
      </c>
      <c r="D3388" s="26"/>
      <c r="E3388" s="27"/>
      <c r="F3388" s="27"/>
      <c r="G3388" s="27" t="s">
        <v>11122</v>
      </c>
      <c r="H3388" s="27" t="s">
        <v>35</v>
      </c>
      <c r="I3388" s="27" t="s">
        <v>37</v>
      </c>
      <c r="J3388" s="28" t="s">
        <v>3667</v>
      </c>
      <c r="K3388" s="27" t="s">
        <v>37</v>
      </c>
      <c r="L3388" s="27"/>
    </row>
    <row r="3389" customFormat="false" ht="15" hidden="false" customHeight="false" outlineLevel="0" collapsed="false">
      <c r="A3389" s="26" t="s">
        <v>11704</v>
      </c>
      <c r="B3389" s="27" t="s">
        <v>11705</v>
      </c>
      <c r="C3389" s="27" t="s">
        <v>144</v>
      </c>
      <c r="D3389" s="26"/>
      <c r="E3389" s="27"/>
      <c r="F3389" s="27"/>
      <c r="G3389" s="27" t="s">
        <v>11122</v>
      </c>
      <c r="H3389" s="27" t="s">
        <v>35</v>
      </c>
      <c r="I3389" s="27" t="s">
        <v>37</v>
      </c>
      <c r="J3389" s="28" t="s">
        <v>3667</v>
      </c>
      <c r="K3389" s="27" t="s">
        <v>37</v>
      </c>
      <c r="L3389" s="27"/>
    </row>
    <row r="3390" customFormat="false" ht="15" hidden="false" customHeight="false" outlineLevel="0" collapsed="false">
      <c r="A3390" s="26" t="s">
        <v>11706</v>
      </c>
      <c r="B3390" s="27" t="s">
        <v>11707</v>
      </c>
      <c r="C3390" s="27" t="s">
        <v>144</v>
      </c>
      <c r="D3390" s="26"/>
      <c r="E3390" s="27"/>
      <c r="F3390" s="27"/>
      <c r="G3390" s="27" t="s">
        <v>11122</v>
      </c>
      <c r="H3390" s="27" t="s">
        <v>35</v>
      </c>
      <c r="I3390" s="27" t="s">
        <v>37</v>
      </c>
      <c r="J3390" s="28" t="s">
        <v>3667</v>
      </c>
      <c r="K3390" s="27" t="s">
        <v>37</v>
      </c>
      <c r="L3390" s="27"/>
    </row>
    <row r="3391" customFormat="false" ht="15" hidden="false" customHeight="false" outlineLevel="0" collapsed="false">
      <c r="A3391" s="26" t="s">
        <v>11708</v>
      </c>
      <c r="B3391" s="27" t="s">
        <v>11709</v>
      </c>
      <c r="C3391" s="27" t="s">
        <v>144</v>
      </c>
      <c r="D3391" s="26"/>
      <c r="E3391" s="27"/>
      <c r="F3391" s="27"/>
      <c r="G3391" s="27" t="s">
        <v>11122</v>
      </c>
      <c r="H3391" s="27" t="s">
        <v>35</v>
      </c>
      <c r="I3391" s="27" t="s">
        <v>1296</v>
      </c>
      <c r="J3391" s="28" t="s">
        <v>3667</v>
      </c>
      <c r="K3391" s="27" t="s">
        <v>37</v>
      </c>
      <c r="L3391" s="27"/>
    </row>
    <row r="3392" customFormat="false" ht="15" hidden="false" customHeight="false" outlineLevel="0" collapsed="false">
      <c r="A3392" s="26" t="s">
        <v>11710</v>
      </c>
      <c r="B3392" s="27" t="s">
        <v>11711</v>
      </c>
      <c r="C3392" s="27" t="s">
        <v>144</v>
      </c>
      <c r="D3392" s="26"/>
      <c r="E3392" s="27"/>
      <c r="F3392" s="27"/>
      <c r="G3392" s="27" t="s">
        <v>11122</v>
      </c>
      <c r="H3392" s="27" t="s">
        <v>35</v>
      </c>
      <c r="I3392" s="27" t="s">
        <v>37</v>
      </c>
      <c r="J3392" s="28" t="s">
        <v>3667</v>
      </c>
      <c r="K3392" s="27" t="s">
        <v>37</v>
      </c>
      <c r="L3392" s="27"/>
    </row>
    <row r="3393" customFormat="false" ht="15" hidden="false" customHeight="false" outlineLevel="0" collapsed="false">
      <c r="A3393" s="26" t="s">
        <v>11712</v>
      </c>
      <c r="B3393" s="27" t="s">
        <v>11713</v>
      </c>
      <c r="C3393" s="27" t="s">
        <v>144</v>
      </c>
      <c r="D3393" s="26"/>
      <c r="E3393" s="27"/>
      <c r="F3393" s="27"/>
      <c r="G3393" s="27" t="s">
        <v>11122</v>
      </c>
      <c r="H3393" s="27" t="s">
        <v>35</v>
      </c>
      <c r="I3393" s="27" t="s">
        <v>37</v>
      </c>
      <c r="J3393" s="28" t="s">
        <v>3667</v>
      </c>
      <c r="K3393" s="27" t="s">
        <v>37</v>
      </c>
      <c r="L3393" s="27"/>
    </row>
    <row r="3394" customFormat="false" ht="15" hidden="false" customHeight="false" outlineLevel="0" collapsed="false">
      <c r="A3394" s="26" t="s">
        <v>11714</v>
      </c>
      <c r="B3394" s="27" t="s">
        <v>11715</v>
      </c>
      <c r="C3394" s="27" t="s">
        <v>144</v>
      </c>
      <c r="D3394" s="26"/>
      <c r="E3394" s="27"/>
      <c r="F3394" s="27"/>
      <c r="G3394" s="27" t="s">
        <v>11122</v>
      </c>
      <c r="H3394" s="27" t="s">
        <v>35</v>
      </c>
      <c r="I3394" s="27" t="s">
        <v>37</v>
      </c>
      <c r="J3394" s="28" t="s">
        <v>3667</v>
      </c>
      <c r="K3394" s="27" t="s">
        <v>37</v>
      </c>
      <c r="L3394" s="27"/>
    </row>
    <row r="3395" customFormat="false" ht="15" hidden="false" customHeight="false" outlineLevel="0" collapsed="false">
      <c r="A3395" s="26" t="s">
        <v>11716</v>
      </c>
      <c r="B3395" s="27" t="s">
        <v>11717</v>
      </c>
      <c r="C3395" s="27" t="s">
        <v>144</v>
      </c>
      <c r="D3395" s="26"/>
      <c r="E3395" s="27"/>
      <c r="F3395" s="27"/>
      <c r="G3395" s="27" t="s">
        <v>11122</v>
      </c>
      <c r="H3395" s="27" t="s">
        <v>35</v>
      </c>
      <c r="I3395" s="27" t="s">
        <v>37</v>
      </c>
      <c r="J3395" s="28" t="s">
        <v>3667</v>
      </c>
      <c r="K3395" s="27" t="s">
        <v>37</v>
      </c>
      <c r="L3395" s="27"/>
    </row>
    <row r="3396" customFormat="false" ht="15" hidden="false" customHeight="false" outlineLevel="0" collapsed="false">
      <c r="A3396" s="26" t="s">
        <v>11718</v>
      </c>
      <c r="B3396" s="27" t="s">
        <v>11719</v>
      </c>
      <c r="C3396" s="27" t="s">
        <v>144</v>
      </c>
      <c r="D3396" s="26"/>
      <c r="E3396" s="27"/>
      <c r="F3396" s="27"/>
      <c r="G3396" s="27" t="s">
        <v>11122</v>
      </c>
      <c r="H3396" s="27" t="s">
        <v>35</v>
      </c>
      <c r="I3396" s="27" t="s">
        <v>37</v>
      </c>
      <c r="J3396" s="28" t="s">
        <v>3667</v>
      </c>
      <c r="K3396" s="27" t="s">
        <v>37</v>
      </c>
      <c r="L3396" s="27"/>
    </row>
    <row r="3397" customFormat="false" ht="15" hidden="false" customHeight="false" outlineLevel="0" collapsed="false">
      <c r="A3397" s="26" t="s">
        <v>11720</v>
      </c>
      <c r="B3397" s="27" t="s">
        <v>11721</v>
      </c>
      <c r="C3397" s="27" t="s">
        <v>144</v>
      </c>
      <c r="D3397" s="26"/>
      <c r="E3397" s="27"/>
      <c r="F3397" s="27"/>
      <c r="G3397" s="27" t="s">
        <v>11122</v>
      </c>
      <c r="H3397" s="27" t="s">
        <v>35</v>
      </c>
      <c r="I3397" s="27" t="s">
        <v>152</v>
      </c>
      <c r="J3397" s="28" t="s">
        <v>3667</v>
      </c>
      <c r="K3397" s="27" t="s">
        <v>37</v>
      </c>
      <c r="L3397" s="27"/>
    </row>
    <row r="3398" customFormat="false" ht="15" hidden="false" customHeight="false" outlineLevel="0" collapsed="false">
      <c r="A3398" s="26" t="s">
        <v>11722</v>
      </c>
      <c r="B3398" s="27" t="s">
        <v>11723</v>
      </c>
      <c r="C3398" s="27" t="s">
        <v>144</v>
      </c>
      <c r="D3398" s="26"/>
      <c r="E3398" s="27"/>
      <c r="F3398" s="27"/>
      <c r="G3398" s="27" t="s">
        <v>11122</v>
      </c>
      <c r="H3398" s="27" t="s">
        <v>35</v>
      </c>
      <c r="I3398" s="27" t="s">
        <v>37</v>
      </c>
      <c r="J3398" s="28" t="s">
        <v>3667</v>
      </c>
      <c r="K3398" s="27" t="s">
        <v>37</v>
      </c>
      <c r="L3398" s="27"/>
    </row>
    <row r="3399" customFormat="false" ht="15" hidden="false" customHeight="false" outlineLevel="0" collapsed="false">
      <c r="A3399" s="26" t="s">
        <v>11724</v>
      </c>
      <c r="B3399" s="27" t="s">
        <v>11725</v>
      </c>
      <c r="C3399" s="27" t="s">
        <v>144</v>
      </c>
      <c r="D3399" s="26"/>
      <c r="E3399" s="27"/>
      <c r="F3399" s="27"/>
      <c r="G3399" s="27" t="s">
        <v>11122</v>
      </c>
      <c r="H3399" s="27" t="s">
        <v>35</v>
      </c>
      <c r="I3399" s="27" t="s">
        <v>37</v>
      </c>
      <c r="J3399" s="28" t="s">
        <v>3667</v>
      </c>
      <c r="K3399" s="27" t="s">
        <v>37</v>
      </c>
      <c r="L3399" s="27"/>
    </row>
    <row r="3400" customFormat="false" ht="15" hidden="false" customHeight="false" outlineLevel="0" collapsed="false">
      <c r="A3400" s="26" t="s">
        <v>11726</v>
      </c>
      <c r="B3400" s="27" t="s">
        <v>11727</v>
      </c>
      <c r="C3400" s="27" t="s">
        <v>144</v>
      </c>
      <c r="D3400" s="26"/>
      <c r="E3400" s="27"/>
      <c r="F3400" s="27"/>
      <c r="G3400" s="27" t="s">
        <v>11122</v>
      </c>
      <c r="H3400" s="27" t="s">
        <v>35</v>
      </c>
      <c r="I3400" s="27" t="s">
        <v>37</v>
      </c>
      <c r="J3400" s="28" t="s">
        <v>3667</v>
      </c>
      <c r="K3400" s="27" t="s">
        <v>37</v>
      </c>
      <c r="L3400" s="27"/>
    </row>
    <row r="3401" customFormat="false" ht="15" hidden="false" customHeight="false" outlineLevel="0" collapsed="false">
      <c r="A3401" s="26" t="s">
        <v>11728</v>
      </c>
      <c r="B3401" s="27" t="s">
        <v>11729</v>
      </c>
      <c r="C3401" s="27" t="s">
        <v>144</v>
      </c>
      <c r="D3401" s="26"/>
      <c r="E3401" s="27"/>
      <c r="F3401" s="27"/>
      <c r="G3401" s="27" t="s">
        <v>11122</v>
      </c>
      <c r="H3401" s="27" t="s">
        <v>35</v>
      </c>
      <c r="I3401" s="27" t="s">
        <v>43</v>
      </c>
      <c r="J3401" s="28" t="s">
        <v>3667</v>
      </c>
      <c r="K3401" s="27" t="s">
        <v>37</v>
      </c>
      <c r="L3401" s="27"/>
    </row>
    <row r="3402" customFormat="false" ht="15" hidden="false" customHeight="false" outlineLevel="0" collapsed="false">
      <c r="A3402" s="26" t="s">
        <v>11730</v>
      </c>
      <c r="B3402" s="27" t="s">
        <v>11731</v>
      </c>
      <c r="C3402" s="27" t="s">
        <v>144</v>
      </c>
      <c r="D3402" s="26"/>
      <c r="E3402" s="27"/>
      <c r="F3402" s="27"/>
      <c r="G3402" s="27" t="s">
        <v>11122</v>
      </c>
      <c r="H3402" s="27" t="s">
        <v>35</v>
      </c>
      <c r="I3402" s="27" t="s">
        <v>41</v>
      </c>
      <c r="J3402" s="28" t="s">
        <v>3667</v>
      </c>
      <c r="K3402" s="27" t="s">
        <v>37</v>
      </c>
      <c r="L3402" s="27"/>
    </row>
    <row r="3403" customFormat="false" ht="15" hidden="false" customHeight="false" outlineLevel="0" collapsed="false">
      <c r="A3403" s="26" t="s">
        <v>11732</v>
      </c>
      <c r="B3403" s="27" t="s">
        <v>11733</v>
      </c>
      <c r="C3403" s="27" t="s">
        <v>144</v>
      </c>
      <c r="D3403" s="26"/>
      <c r="E3403" s="27"/>
      <c r="F3403" s="27"/>
      <c r="G3403" s="27" t="s">
        <v>11122</v>
      </c>
      <c r="H3403" s="27" t="s">
        <v>35</v>
      </c>
      <c r="I3403" s="27" t="s">
        <v>43</v>
      </c>
      <c r="J3403" s="28" t="s">
        <v>3667</v>
      </c>
      <c r="K3403" s="27" t="s">
        <v>37</v>
      </c>
      <c r="L3403" s="27"/>
    </row>
    <row r="3404" customFormat="false" ht="15" hidden="false" customHeight="false" outlineLevel="0" collapsed="false">
      <c r="A3404" s="26" t="s">
        <v>11734</v>
      </c>
      <c r="B3404" s="27" t="s">
        <v>11735</v>
      </c>
      <c r="C3404" s="27" t="s">
        <v>144</v>
      </c>
      <c r="D3404" s="26"/>
      <c r="E3404" s="27"/>
      <c r="F3404" s="27"/>
      <c r="G3404" s="27" t="s">
        <v>11122</v>
      </c>
      <c r="H3404" s="27" t="s">
        <v>35</v>
      </c>
      <c r="I3404" s="27" t="s">
        <v>43</v>
      </c>
      <c r="J3404" s="28" t="s">
        <v>3667</v>
      </c>
      <c r="K3404" s="27" t="s">
        <v>37</v>
      </c>
      <c r="L3404" s="27"/>
    </row>
    <row r="3405" customFormat="false" ht="15" hidden="false" customHeight="false" outlineLevel="0" collapsed="false">
      <c r="A3405" s="26" t="s">
        <v>11736</v>
      </c>
      <c r="B3405" s="27" t="s">
        <v>11737</v>
      </c>
      <c r="C3405" s="27" t="s">
        <v>144</v>
      </c>
      <c r="D3405" s="26"/>
      <c r="E3405" s="27"/>
      <c r="F3405" s="27"/>
      <c r="G3405" s="27" t="s">
        <v>11122</v>
      </c>
      <c r="H3405" s="27" t="s">
        <v>35</v>
      </c>
      <c r="I3405" s="27" t="s">
        <v>41</v>
      </c>
      <c r="J3405" s="28" t="s">
        <v>3667</v>
      </c>
      <c r="K3405" s="27" t="s">
        <v>37</v>
      </c>
      <c r="L3405" s="27"/>
    </row>
    <row r="3406" customFormat="false" ht="15" hidden="false" customHeight="false" outlineLevel="0" collapsed="false">
      <c r="A3406" s="26" t="s">
        <v>11738</v>
      </c>
      <c r="B3406" s="27" t="s">
        <v>11739</v>
      </c>
      <c r="C3406" s="27" t="s">
        <v>144</v>
      </c>
      <c r="D3406" s="26"/>
      <c r="E3406" s="27"/>
      <c r="F3406" s="27"/>
      <c r="G3406" s="27" t="s">
        <v>11122</v>
      </c>
      <c r="H3406" s="27" t="s">
        <v>35</v>
      </c>
      <c r="I3406" s="27" t="s">
        <v>37</v>
      </c>
      <c r="J3406" s="28" t="s">
        <v>3667</v>
      </c>
      <c r="K3406" s="27" t="s">
        <v>37</v>
      </c>
      <c r="L3406" s="27"/>
    </row>
    <row r="3407" customFormat="false" ht="15" hidden="false" customHeight="false" outlineLevel="0" collapsed="false">
      <c r="A3407" s="26" t="s">
        <v>11740</v>
      </c>
      <c r="B3407" s="27" t="s">
        <v>11741</v>
      </c>
      <c r="C3407" s="27" t="s">
        <v>144</v>
      </c>
      <c r="D3407" s="26"/>
      <c r="E3407" s="27"/>
      <c r="F3407" s="27"/>
      <c r="G3407" s="27" t="s">
        <v>11122</v>
      </c>
      <c r="H3407" s="27" t="s">
        <v>35</v>
      </c>
      <c r="I3407" s="27" t="s">
        <v>3536</v>
      </c>
      <c r="J3407" s="28" t="s">
        <v>3667</v>
      </c>
      <c r="K3407" s="27" t="s">
        <v>37</v>
      </c>
      <c r="L3407" s="27"/>
    </row>
    <row r="3408" customFormat="false" ht="15" hidden="false" customHeight="false" outlineLevel="0" collapsed="false">
      <c r="A3408" s="26" t="s">
        <v>11742</v>
      </c>
      <c r="B3408" s="27" t="s">
        <v>11743</v>
      </c>
      <c r="C3408" s="27" t="s">
        <v>144</v>
      </c>
      <c r="D3408" s="26"/>
      <c r="E3408" s="27"/>
      <c r="F3408" s="27"/>
      <c r="G3408" s="27" t="s">
        <v>11122</v>
      </c>
      <c r="H3408" s="27" t="s">
        <v>35</v>
      </c>
      <c r="I3408" s="27" t="s">
        <v>44</v>
      </c>
      <c r="J3408" s="28" t="s">
        <v>3667</v>
      </c>
      <c r="K3408" s="27" t="s">
        <v>37</v>
      </c>
      <c r="L3408" s="27"/>
    </row>
    <row r="3409" customFormat="false" ht="15" hidden="false" customHeight="false" outlineLevel="0" collapsed="false">
      <c r="A3409" s="26" t="s">
        <v>11744</v>
      </c>
      <c r="B3409" s="27" t="s">
        <v>11745</v>
      </c>
      <c r="C3409" s="27" t="s">
        <v>144</v>
      </c>
      <c r="D3409" s="26"/>
      <c r="E3409" s="27"/>
      <c r="F3409" s="27"/>
      <c r="G3409" s="27" t="s">
        <v>11122</v>
      </c>
      <c r="H3409" s="27" t="s">
        <v>35</v>
      </c>
      <c r="I3409" s="27" t="s">
        <v>41</v>
      </c>
      <c r="J3409" s="28" t="s">
        <v>3667</v>
      </c>
      <c r="K3409" s="27" t="s">
        <v>37</v>
      </c>
      <c r="L3409" s="27"/>
    </row>
    <row r="3410" customFormat="false" ht="15" hidden="false" customHeight="false" outlineLevel="0" collapsed="false">
      <c r="A3410" s="26" t="s">
        <v>11746</v>
      </c>
      <c r="B3410" s="27" t="s">
        <v>11747</v>
      </c>
      <c r="C3410" s="27" t="s">
        <v>144</v>
      </c>
      <c r="D3410" s="26"/>
      <c r="E3410" s="27"/>
      <c r="F3410" s="27"/>
      <c r="G3410" s="27" t="s">
        <v>11122</v>
      </c>
      <c r="H3410" s="27" t="s">
        <v>35</v>
      </c>
      <c r="I3410" s="27" t="s">
        <v>41</v>
      </c>
      <c r="J3410" s="28" t="s">
        <v>3667</v>
      </c>
      <c r="K3410" s="27" t="s">
        <v>37</v>
      </c>
      <c r="L3410" s="27"/>
    </row>
    <row r="3411" customFormat="false" ht="15" hidden="false" customHeight="false" outlineLevel="0" collapsed="false">
      <c r="A3411" s="26" t="s">
        <v>11748</v>
      </c>
      <c r="B3411" s="27" t="s">
        <v>11749</v>
      </c>
      <c r="C3411" s="27" t="s">
        <v>144</v>
      </c>
      <c r="D3411" s="26"/>
      <c r="E3411" s="27"/>
      <c r="F3411" s="27"/>
      <c r="G3411" s="27" t="s">
        <v>11122</v>
      </c>
      <c r="H3411" s="27" t="s">
        <v>35</v>
      </c>
      <c r="I3411" s="27" t="s">
        <v>41</v>
      </c>
      <c r="J3411" s="28" t="s">
        <v>3667</v>
      </c>
      <c r="K3411" s="27" t="s">
        <v>37</v>
      </c>
      <c r="L3411" s="27"/>
    </row>
    <row r="3412" customFormat="false" ht="15" hidden="false" customHeight="false" outlineLevel="0" collapsed="false">
      <c r="A3412" s="26" t="s">
        <v>11750</v>
      </c>
      <c r="B3412" s="27" t="s">
        <v>11751</v>
      </c>
      <c r="C3412" s="27" t="s">
        <v>144</v>
      </c>
      <c r="D3412" s="26"/>
      <c r="E3412" s="27"/>
      <c r="F3412" s="27"/>
      <c r="G3412" s="27" t="s">
        <v>11122</v>
      </c>
      <c r="H3412" s="27" t="s">
        <v>35</v>
      </c>
      <c r="I3412" s="27" t="s">
        <v>37</v>
      </c>
      <c r="J3412" s="28" t="s">
        <v>3667</v>
      </c>
      <c r="K3412" s="27" t="s">
        <v>37</v>
      </c>
      <c r="L3412" s="27"/>
    </row>
    <row r="3413" customFormat="false" ht="15" hidden="false" customHeight="false" outlineLevel="0" collapsed="false">
      <c r="A3413" s="26" t="s">
        <v>11752</v>
      </c>
      <c r="B3413" s="27" t="s">
        <v>11753</v>
      </c>
      <c r="C3413" s="27" t="s">
        <v>144</v>
      </c>
      <c r="D3413" s="26"/>
      <c r="E3413" s="27"/>
      <c r="F3413" s="27"/>
      <c r="G3413" s="27" t="s">
        <v>11122</v>
      </c>
      <c r="H3413" s="27" t="s">
        <v>35</v>
      </c>
      <c r="I3413" s="28" t="s">
        <v>46</v>
      </c>
      <c r="J3413" s="28" t="s">
        <v>3667</v>
      </c>
      <c r="K3413" s="27" t="s">
        <v>37</v>
      </c>
      <c r="L3413" s="27"/>
    </row>
    <row r="3414" customFormat="false" ht="15" hidden="false" customHeight="false" outlineLevel="0" collapsed="false">
      <c r="A3414" s="26" t="s">
        <v>11754</v>
      </c>
      <c r="B3414" s="27" t="s">
        <v>11755</v>
      </c>
      <c r="C3414" s="27" t="s">
        <v>144</v>
      </c>
      <c r="D3414" s="26"/>
      <c r="E3414" s="27"/>
      <c r="F3414" s="27"/>
      <c r="G3414" s="27" t="s">
        <v>11122</v>
      </c>
      <c r="H3414" s="27" t="s">
        <v>35</v>
      </c>
      <c r="I3414" s="27" t="s">
        <v>41</v>
      </c>
      <c r="J3414" s="28" t="s">
        <v>3667</v>
      </c>
      <c r="K3414" s="27" t="s">
        <v>37</v>
      </c>
      <c r="L3414" s="27"/>
    </row>
    <row r="3415" customFormat="false" ht="15" hidden="false" customHeight="false" outlineLevel="0" collapsed="false">
      <c r="A3415" s="26" t="s">
        <v>11756</v>
      </c>
      <c r="B3415" s="27" t="s">
        <v>11757</v>
      </c>
      <c r="C3415" s="27" t="s">
        <v>144</v>
      </c>
      <c r="D3415" s="26"/>
      <c r="E3415" s="27"/>
      <c r="F3415" s="27"/>
      <c r="G3415" s="27" t="s">
        <v>11122</v>
      </c>
      <c r="H3415" s="27" t="s">
        <v>35</v>
      </c>
      <c r="I3415" s="27" t="s">
        <v>41</v>
      </c>
      <c r="J3415" s="28" t="s">
        <v>3667</v>
      </c>
      <c r="K3415" s="27" t="s">
        <v>37</v>
      </c>
      <c r="L3415" s="27"/>
    </row>
    <row r="3416" customFormat="false" ht="15" hidden="false" customHeight="false" outlineLevel="0" collapsed="false">
      <c r="A3416" s="26" t="s">
        <v>11758</v>
      </c>
      <c r="B3416" s="27" t="s">
        <v>11759</v>
      </c>
      <c r="C3416" s="27" t="s">
        <v>144</v>
      </c>
      <c r="D3416" s="26"/>
      <c r="E3416" s="27"/>
      <c r="F3416" s="27"/>
      <c r="G3416" s="27" t="s">
        <v>11122</v>
      </c>
      <c r="H3416" s="27" t="s">
        <v>35</v>
      </c>
      <c r="I3416" s="27" t="s">
        <v>41</v>
      </c>
      <c r="J3416" s="28" t="s">
        <v>3667</v>
      </c>
      <c r="K3416" s="27" t="s">
        <v>37</v>
      </c>
      <c r="L3416" s="27"/>
    </row>
    <row r="3417" customFormat="false" ht="15" hidden="false" customHeight="false" outlineLevel="0" collapsed="false">
      <c r="A3417" s="26" t="s">
        <v>11760</v>
      </c>
      <c r="B3417" s="27" t="s">
        <v>11761</v>
      </c>
      <c r="C3417" s="27" t="s">
        <v>144</v>
      </c>
      <c r="D3417" s="26"/>
      <c r="E3417" s="27"/>
      <c r="F3417" s="27"/>
      <c r="G3417" s="27" t="s">
        <v>11122</v>
      </c>
      <c r="H3417" s="27" t="s">
        <v>35</v>
      </c>
      <c r="I3417" s="27" t="s">
        <v>37</v>
      </c>
      <c r="J3417" s="28" t="s">
        <v>3667</v>
      </c>
      <c r="K3417" s="27" t="s">
        <v>37</v>
      </c>
      <c r="L3417" s="27"/>
    </row>
    <row r="3418" customFormat="false" ht="15" hidden="false" customHeight="false" outlineLevel="0" collapsed="false">
      <c r="A3418" s="26" t="s">
        <v>11762</v>
      </c>
      <c r="B3418" s="27" t="s">
        <v>11763</v>
      </c>
      <c r="C3418" s="27" t="s">
        <v>144</v>
      </c>
      <c r="D3418" s="26"/>
      <c r="E3418" s="27"/>
      <c r="F3418" s="27"/>
      <c r="G3418" s="27" t="s">
        <v>11122</v>
      </c>
      <c r="H3418" s="27" t="s">
        <v>35</v>
      </c>
      <c r="I3418" s="27" t="s">
        <v>38</v>
      </c>
      <c r="J3418" s="28" t="s">
        <v>3667</v>
      </c>
      <c r="K3418" s="27" t="s">
        <v>37</v>
      </c>
      <c r="L3418" s="27"/>
    </row>
    <row r="3419" customFormat="false" ht="15" hidden="false" customHeight="false" outlineLevel="0" collapsed="false">
      <c r="A3419" s="26" t="s">
        <v>11764</v>
      </c>
      <c r="B3419" s="27" t="s">
        <v>11765</v>
      </c>
      <c r="C3419" s="27" t="s">
        <v>100</v>
      </c>
      <c r="D3419" s="26"/>
      <c r="E3419" s="27"/>
      <c r="F3419" s="27"/>
      <c r="G3419" s="27" t="s">
        <v>11122</v>
      </c>
      <c r="H3419" s="27" t="s">
        <v>35</v>
      </c>
      <c r="I3419" s="27" t="s">
        <v>38</v>
      </c>
      <c r="J3419" s="28" t="s">
        <v>3694</v>
      </c>
      <c r="K3419" s="27" t="s">
        <v>37</v>
      </c>
      <c r="L3419" s="27"/>
    </row>
    <row r="3420" customFormat="false" ht="15" hidden="false" customHeight="false" outlineLevel="0" collapsed="false">
      <c r="A3420" s="26" t="s">
        <v>11766</v>
      </c>
      <c r="B3420" s="27" t="s">
        <v>11767</v>
      </c>
      <c r="C3420" s="27" t="s">
        <v>100</v>
      </c>
      <c r="D3420" s="26"/>
      <c r="E3420" s="27"/>
      <c r="F3420" s="27"/>
      <c r="G3420" s="27" t="s">
        <v>11122</v>
      </c>
      <c r="H3420" s="27" t="s">
        <v>35</v>
      </c>
      <c r="I3420" s="27" t="s">
        <v>38</v>
      </c>
      <c r="J3420" s="28" t="s">
        <v>3694</v>
      </c>
      <c r="K3420" s="27" t="s">
        <v>37</v>
      </c>
      <c r="L3420" s="27"/>
    </row>
    <row r="3421" customFormat="false" ht="15" hidden="false" customHeight="false" outlineLevel="0" collapsed="false">
      <c r="A3421" s="26" t="s">
        <v>11768</v>
      </c>
      <c r="B3421" s="27" t="s">
        <v>11769</v>
      </c>
      <c r="C3421" s="27" t="s">
        <v>100</v>
      </c>
      <c r="D3421" s="26"/>
      <c r="E3421" s="27"/>
      <c r="F3421" s="27"/>
      <c r="G3421" s="27" t="s">
        <v>11122</v>
      </c>
      <c r="H3421" s="27" t="s">
        <v>35</v>
      </c>
      <c r="I3421" s="27" t="s">
        <v>38</v>
      </c>
      <c r="J3421" s="28" t="s">
        <v>3694</v>
      </c>
      <c r="K3421" s="27" t="s">
        <v>37</v>
      </c>
      <c r="L3421" s="27"/>
    </row>
    <row r="3422" customFormat="false" ht="15" hidden="false" customHeight="false" outlineLevel="0" collapsed="false">
      <c r="A3422" s="26" t="s">
        <v>11770</v>
      </c>
      <c r="B3422" s="27" t="s">
        <v>11771</v>
      </c>
      <c r="C3422" s="27" t="s">
        <v>100</v>
      </c>
      <c r="D3422" s="26"/>
      <c r="E3422" s="27"/>
      <c r="F3422" s="27"/>
      <c r="G3422" s="27" t="s">
        <v>11122</v>
      </c>
      <c r="H3422" s="27" t="s">
        <v>35</v>
      </c>
      <c r="I3422" s="27" t="s">
        <v>43</v>
      </c>
      <c r="J3422" s="28" t="s">
        <v>3694</v>
      </c>
      <c r="K3422" s="27" t="s">
        <v>37</v>
      </c>
      <c r="L3422" s="27"/>
    </row>
    <row r="3423" customFormat="false" ht="15" hidden="false" customHeight="false" outlineLevel="0" collapsed="false">
      <c r="A3423" s="26" t="s">
        <v>11772</v>
      </c>
      <c r="B3423" s="27" t="s">
        <v>11773</v>
      </c>
      <c r="C3423" s="27" t="s">
        <v>100</v>
      </c>
      <c r="D3423" s="26"/>
      <c r="E3423" s="27"/>
      <c r="F3423" s="27"/>
      <c r="G3423" s="27" t="s">
        <v>11122</v>
      </c>
      <c r="H3423" s="27" t="s">
        <v>35</v>
      </c>
      <c r="I3423" s="27" t="s">
        <v>38</v>
      </c>
      <c r="J3423" s="28" t="s">
        <v>3694</v>
      </c>
      <c r="K3423" s="27" t="s">
        <v>37</v>
      </c>
      <c r="L3423" s="27"/>
    </row>
    <row r="3424" customFormat="false" ht="15" hidden="false" customHeight="false" outlineLevel="0" collapsed="false">
      <c r="A3424" s="26" t="s">
        <v>11774</v>
      </c>
      <c r="B3424" s="27" t="s">
        <v>11775</v>
      </c>
      <c r="C3424" s="27" t="s">
        <v>144</v>
      </c>
      <c r="D3424" s="26"/>
      <c r="E3424" s="27"/>
      <c r="F3424" s="27"/>
      <c r="G3424" s="27" t="s">
        <v>11122</v>
      </c>
      <c r="H3424" s="27" t="s">
        <v>35</v>
      </c>
      <c r="I3424" s="27" t="s">
        <v>39</v>
      </c>
      <c r="J3424" s="28" t="s">
        <v>3694</v>
      </c>
      <c r="K3424" s="27" t="s">
        <v>37</v>
      </c>
      <c r="L3424" s="27"/>
    </row>
    <row r="3425" customFormat="false" ht="15" hidden="false" customHeight="false" outlineLevel="0" collapsed="false">
      <c r="A3425" s="26" t="s">
        <v>11776</v>
      </c>
      <c r="B3425" s="27" t="s">
        <v>11777</v>
      </c>
      <c r="C3425" s="27" t="s">
        <v>100</v>
      </c>
      <c r="D3425" s="26"/>
      <c r="E3425" s="27"/>
      <c r="F3425" s="27"/>
      <c r="G3425" s="27" t="s">
        <v>11122</v>
      </c>
      <c r="H3425" s="27" t="s">
        <v>35</v>
      </c>
      <c r="I3425" s="27" t="s">
        <v>38</v>
      </c>
      <c r="J3425" s="28" t="s">
        <v>3694</v>
      </c>
      <c r="K3425" s="27" t="s">
        <v>37</v>
      </c>
      <c r="L3425" s="27"/>
    </row>
    <row r="3426" customFormat="false" ht="15" hidden="false" customHeight="false" outlineLevel="0" collapsed="false">
      <c r="A3426" s="26" t="s">
        <v>11778</v>
      </c>
      <c r="B3426" s="27" t="s">
        <v>11779</v>
      </c>
      <c r="C3426" s="27" t="s">
        <v>100</v>
      </c>
      <c r="D3426" s="26"/>
      <c r="E3426" s="27"/>
      <c r="F3426" s="27"/>
      <c r="G3426" s="27" t="s">
        <v>11122</v>
      </c>
      <c r="H3426" s="27" t="s">
        <v>35</v>
      </c>
      <c r="I3426" s="27" t="s">
        <v>43</v>
      </c>
      <c r="J3426" s="28" t="s">
        <v>3694</v>
      </c>
      <c r="K3426" s="27" t="s">
        <v>37</v>
      </c>
      <c r="L3426" s="27"/>
    </row>
    <row r="3427" customFormat="false" ht="15" hidden="false" customHeight="false" outlineLevel="0" collapsed="false">
      <c r="A3427" s="26" t="s">
        <v>11780</v>
      </c>
      <c r="B3427" s="27" t="s">
        <v>11781</v>
      </c>
      <c r="C3427" s="27" t="s">
        <v>144</v>
      </c>
      <c r="D3427" s="26"/>
      <c r="E3427" s="27"/>
      <c r="F3427" s="27"/>
      <c r="G3427" s="27" t="s">
        <v>11122</v>
      </c>
      <c r="H3427" s="27" t="s">
        <v>35</v>
      </c>
      <c r="I3427" s="27" t="s">
        <v>41</v>
      </c>
      <c r="J3427" s="28" t="s">
        <v>3694</v>
      </c>
      <c r="K3427" s="27" t="s">
        <v>37</v>
      </c>
      <c r="L3427" s="27"/>
    </row>
    <row r="3428" customFormat="false" ht="15" hidden="false" customHeight="false" outlineLevel="0" collapsed="false">
      <c r="A3428" s="26" t="s">
        <v>11782</v>
      </c>
      <c r="B3428" s="27" t="s">
        <v>11783</v>
      </c>
      <c r="C3428" s="27" t="s">
        <v>144</v>
      </c>
      <c r="D3428" s="26"/>
      <c r="E3428" s="27"/>
      <c r="F3428" s="27"/>
      <c r="G3428" s="27" t="s">
        <v>11122</v>
      </c>
      <c r="H3428" s="27" t="s">
        <v>35</v>
      </c>
      <c r="I3428" s="27" t="s">
        <v>41</v>
      </c>
      <c r="J3428" s="28" t="s">
        <v>3694</v>
      </c>
      <c r="K3428" s="27" t="s">
        <v>37</v>
      </c>
      <c r="L3428" s="27"/>
    </row>
    <row r="3429" customFormat="false" ht="15" hidden="false" customHeight="false" outlineLevel="0" collapsed="false">
      <c r="A3429" s="26" t="s">
        <v>11784</v>
      </c>
      <c r="B3429" s="27" t="s">
        <v>11785</v>
      </c>
      <c r="C3429" s="27" t="s">
        <v>144</v>
      </c>
      <c r="D3429" s="26"/>
      <c r="E3429" s="27"/>
      <c r="F3429" s="27"/>
      <c r="G3429" s="27" t="s">
        <v>11122</v>
      </c>
      <c r="H3429" s="27" t="s">
        <v>35</v>
      </c>
      <c r="I3429" s="27" t="s">
        <v>37</v>
      </c>
      <c r="J3429" s="28" t="s">
        <v>3694</v>
      </c>
      <c r="K3429" s="27" t="s">
        <v>37</v>
      </c>
      <c r="L3429" s="27"/>
    </row>
    <row r="3430" customFormat="false" ht="15" hidden="false" customHeight="false" outlineLevel="0" collapsed="false">
      <c r="A3430" s="26" t="s">
        <v>11786</v>
      </c>
      <c r="B3430" s="27" t="s">
        <v>11787</v>
      </c>
      <c r="C3430" s="27" t="s">
        <v>144</v>
      </c>
      <c r="D3430" s="26"/>
      <c r="E3430" s="27"/>
      <c r="F3430" s="27"/>
      <c r="G3430" s="27" t="s">
        <v>11122</v>
      </c>
      <c r="H3430" s="27" t="s">
        <v>35</v>
      </c>
      <c r="I3430" s="27" t="s">
        <v>37</v>
      </c>
      <c r="J3430" s="28" t="s">
        <v>3694</v>
      </c>
      <c r="K3430" s="27" t="s">
        <v>37</v>
      </c>
      <c r="L3430" s="27"/>
    </row>
    <row r="3431" customFormat="false" ht="15" hidden="false" customHeight="false" outlineLevel="0" collapsed="false">
      <c r="A3431" s="26" t="s">
        <v>11788</v>
      </c>
      <c r="B3431" s="27" t="s">
        <v>11789</v>
      </c>
      <c r="C3431" s="27" t="s">
        <v>144</v>
      </c>
      <c r="D3431" s="26"/>
      <c r="E3431" s="27"/>
      <c r="F3431" s="27"/>
      <c r="G3431" s="27" t="s">
        <v>11122</v>
      </c>
      <c r="H3431" s="27" t="s">
        <v>35</v>
      </c>
      <c r="I3431" s="27" t="s">
        <v>39</v>
      </c>
      <c r="J3431" s="28" t="s">
        <v>3694</v>
      </c>
      <c r="K3431" s="27" t="s">
        <v>37</v>
      </c>
      <c r="L3431" s="27"/>
    </row>
    <row r="3432" customFormat="false" ht="15" hidden="false" customHeight="false" outlineLevel="0" collapsed="false">
      <c r="A3432" s="26" t="s">
        <v>11790</v>
      </c>
      <c r="B3432" s="27" t="s">
        <v>11791</v>
      </c>
      <c r="C3432" s="27" t="s">
        <v>144</v>
      </c>
      <c r="D3432" s="26"/>
      <c r="E3432" s="27"/>
      <c r="F3432" s="27"/>
      <c r="G3432" s="27" t="s">
        <v>11122</v>
      </c>
      <c r="H3432" s="27" t="s">
        <v>35</v>
      </c>
      <c r="I3432" s="27" t="s">
        <v>39</v>
      </c>
      <c r="J3432" s="28" t="s">
        <v>3694</v>
      </c>
      <c r="K3432" s="27" t="s">
        <v>37</v>
      </c>
      <c r="L3432" s="27"/>
    </row>
    <row r="3433" customFormat="false" ht="15" hidden="false" customHeight="false" outlineLevel="0" collapsed="false">
      <c r="A3433" s="26" t="s">
        <v>11792</v>
      </c>
      <c r="B3433" s="27" t="s">
        <v>11793</v>
      </c>
      <c r="C3433" s="27" t="s">
        <v>144</v>
      </c>
      <c r="D3433" s="26"/>
      <c r="E3433" s="27"/>
      <c r="F3433" s="27"/>
      <c r="G3433" s="27" t="s">
        <v>11122</v>
      </c>
      <c r="H3433" s="27" t="s">
        <v>35</v>
      </c>
      <c r="I3433" s="27" t="s">
        <v>41</v>
      </c>
      <c r="J3433" s="28" t="s">
        <v>3694</v>
      </c>
      <c r="K3433" s="27" t="s">
        <v>37</v>
      </c>
      <c r="L3433" s="27"/>
    </row>
    <row r="3434" customFormat="false" ht="15" hidden="false" customHeight="false" outlineLevel="0" collapsed="false">
      <c r="A3434" s="26" t="s">
        <v>11794</v>
      </c>
      <c r="B3434" s="27" t="s">
        <v>11795</v>
      </c>
      <c r="C3434" s="27" t="s">
        <v>144</v>
      </c>
      <c r="D3434" s="26"/>
      <c r="E3434" s="27"/>
      <c r="F3434" s="27"/>
      <c r="G3434" s="27" t="s">
        <v>11122</v>
      </c>
      <c r="H3434" s="27" t="s">
        <v>35</v>
      </c>
      <c r="I3434" s="27" t="s">
        <v>37</v>
      </c>
      <c r="J3434" s="28" t="s">
        <v>3694</v>
      </c>
      <c r="K3434" s="27" t="s">
        <v>37</v>
      </c>
      <c r="L3434" s="27"/>
    </row>
    <row r="3435" customFormat="false" ht="15" hidden="false" customHeight="false" outlineLevel="0" collapsed="false">
      <c r="A3435" s="26" t="s">
        <v>11796</v>
      </c>
      <c r="B3435" s="27" t="s">
        <v>11797</v>
      </c>
      <c r="C3435" s="27" t="s">
        <v>144</v>
      </c>
      <c r="D3435" s="26"/>
      <c r="E3435" s="27"/>
      <c r="F3435" s="27"/>
      <c r="G3435" s="27" t="s">
        <v>11122</v>
      </c>
      <c r="H3435" s="27" t="s">
        <v>35</v>
      </c>
      <c r="I3435" s="27" t="s">
        <v>37</v>
      </c>
      <c r="J3435" s="28" t="s">
        <v>3694</v>
      </c>
      <c r="K3435" s="27" t="s">
        <v>37</v>
      </c>
      <c r="L3435" s="27"/>
    </row>
    <row r="3436" customFormat="false" ht="15" hidden="false" customHeight="false" outlineLevel="0" collapsed="false">
      <c r="A3436" s="26" t="s">
        <v>11798</v>
      </c>
      <c r="B3436" s="27" t="s">
        <v>11799</v>
      </c>
      <c r="C3436" s="27" t="s">
        <v>144</v>
      </c>
      <c r="D3436" s="26"/>
      <c r="E3436" s="27"/>
      <c r="F3436" s="27"/>
      <c r="G3436" s="27" t="s">
        <v>11122</v>
      </c>
      <c r="H3436" s="27" t="s">
        <v>35</v>
      </c>
      <c r="I3436" s="27" t="s">
        <v>37</v>
      </c>
      <c r="J3436" s="28" t="s">
        <v>3694</v>
      </c>
      <c r="K3436" s="27" t="s">
        <v>37</v>
      </c>
      <c r="L3436" s="27"/>
    </row>
    <row r="3437" customFormat="false" ht="15" hidden="false" customHeight="false" outlineLevel="0" collapsed="false">
      <c r="A3437" s="26" t="s">
        <v>11800</v>
      </c>
      <c r="B3437" s="27" t="s">
        <v>11801</v>
      </c>
      <c r="C3437" s="27" t="s">
        <v>144</v>
      </c>
      <c r="D3437" s="26"/>
      <c r="E3437" s="27"/>
      <c r="F3437" s="27"/>
      <c r="G3437" s="27" t="s">
        <v>11122</v>
      </c>
      <c r="H3437" s="27" t="s">
        <v>35</v>
      </c>
      <c r="I3437" s="27" t="s">
        <v>37</v>
      </c>
      <c r="J3437" s="28" t="s">
        <v>3694</v>
      </c>
      <c r="K3437" s="27" t="s">
        <v>37</v>
      </c>
      <c r="L3437" s="27"/>
    </row>
    <row r="3438" customFormat="false" ht="15" hidden="false" customHeight="false" outlineLevel="0" collapsed="false">
      <c r="A3438" s="26" t="s">
        <v>11802</v>
      </c>
      <c r="B3438" s="27" t="s">
        <v>11803</v>
      </c>
      <c r="C3438" s="27" t="s">
        <v>144</v>
      </c>
      <c r="D3438" s="26"/>
      <c r="E3438" s="27"/>
      <c r="F3438" s="27"/>
      <c r="G3438" s="27" t="s">
        <v>11122</v>
      </c>
      <c r="H3438" s="27" t="s">
        <v>35</v>
      </c>
      <c r="I3438" s="27" t="s">
        <v>40</v>
      </c>
      <c r="J3438" s="28" t="s">
        <v>3694</v>
      </c>
      <c r="K3438" s="27" t="s">
        <v>37</v>
      </c>
      <c r="L3438" s="27"/>
    </row>
    <row r="3439" customFormat="false" ht="15" hidden="false" customHeight="false" outlineLevel="0" collapsed="false">
      <c r="A3439" s="26" t="s">
        <v>11804</v>
      </c>
      <c r="B3439" s="27" t="s">
        <v>11805</v>
      </c>
      <c r="C3439" s="27" t="s">
        <v>144</v>
      </c>
      <c r="D3439" s="26"/>
      <c r="E3439" s="27"/>
      <c r="F3439" s="27"/>
      <c r="G3439" s="27" t="s">
        <v>11122</v>
      </c>
      <c r="H3439" s="27" t="s">
        <v>35</v>
      </c>
      <c r="I3439" s="27" t="s">
        <v>37</v>
      </c>
      <c r="J3439" s="28" t="s">
        <v>3694</v>
      </c>
      <c r="K3439" s="27" t="s">
        <v>37</v>
      </c>
      <c r="L3439" s="27"/>
    </row>
    <row r="3440" customFormat="false" ht="15" hidden="false" customHeight="false" outlineLevel="0" collapsed="false">
      <c r="A3440" s="26" t="s">
        <v>11806</v>
      </c>
      <c r="B3440" s="27" t="s">
        <v>11807</v>
      </c>
      <c r="C3440" s="27" t="s">
        <v>144</v>
      </c>
      <c r="D3440" s="26"/>
      <c r="E3440" s="27"/>
      <c r="F3440" s="27"/>
      <c r="G3440" s="27" t="s">
        <v>11122</v>
      </c>
      <c r="H3440" s="27" t="s">
        <v>35</v>
      </c>
      <c r="I3440" s="27" t="s">
        <v>41</v>
      </c>
      <c r="J3440" s="28" t="s">
        <v>3694</v>
      </c>
      <c r="K3440" s="27" t="s">
        <v>37</v>
      </c>
      <c r="L3440" s="27"/>
    </row>
    <row r="3441" customFormat="false" ht="15" hidden="false" customHeight="false" outlineLevel="0" collapsed="false">
      <c r="A3441" s="26" t="s">
        <v>11808</v>
      </c>
      <c r="B3441" s="27" t="s">
        <v>11809</v>
      </c>
      <c r="C3441" s="27" t="s">
        <v>144</v>
      </c>
      <c r="D3441" s="26"/>
      <c r="E3441" s="27"/>
      <c r="F3441" s="27"/>
      <c r="G3441" s="27" t="s">
        <v>11122</v>
      </c>
      <c r="H3441" s="27" t="s">
        <v>35</v>
      </c>
      <c r="I3441" s="27" t="s">
        <v>37</v>
      </c>
      <c r="J3441" s="28" t="s">
        <v>3694</v>
      </c>
      <c r="K3441" s="27" t="s">
        <v>37</v>
      </c>
      <c r="L3441" s="27"/>
    </row>
    <row r="3442" customFormat="false" ht="15" hidden="false" customHeight="false" outlineLevel="0" collapsed="false">
      <c r="A3442" s="26" t="s">
        <v>11810</v>
      </c>
      <c r="B3442" s="27" t="s">
        <v>11811</v>
      </c>
      <c r="C3442" s="27" t="s">
        <v>144</v>
      </c>
      <c r="D3442" s="26"/>
      <c r="E3442" s="27"/>
      <c r="F3442" s="27"/>
      <c r="G3442" s="27" t="s">
        <v>11122</v>
      </c>
      <c r="H3442" s="27" t="s">
        <v>35</v>
      </c>
      <c r="I3442" s="27" t="s">
        <v>41</v>
      </c>
      <c r="J3442" s="28" t="s">
        <v>3694</v>
      </c>
      <c r="K3442" s="27" t="s">
        <v>37</v>
      </c>
      <c r="L3442" s="27"/>
    </row>
    <row r="3443" customFormat="false" ht="15" hidden="false" customHeight="false" outlineLevel="0" collapsed="false">
      <c r="A3443" s="26" t="s">
        <v>11812</v>
      </c>
      <c r="B3443" s="27" t="s">
        <v>11813</v>
      </c>
      <c r="C3443" s="27" t="s">
        <v>144</v>
      </c>
      <c r="D3443" s="26"/>
      <c r="E3443" s="27"/>
      <c r="F3443" s="27"/>
      <c r="G3443" s="27" t="s">
        <v>11122</v>
      </c>
      <c r="H3443" s="27" t="s">
        <v>35</v>
      </c>
      <c r="I3443" s="27" t="s">
        <v>38</v>
      </c>
      <c r="J3443" s="28" t="s">
        <v>3694</v>
      </c>
      <c r="K3443" s="27" t="s">
        <v>37</v>
      </c>
      <c r="L3443" s="27"/>
    </row>
    <row r="3444" customFormat="false" ht="15" hidden="false" customHeight="false" outlineLevel="0" collapsed="false">
      <c r="A3444" s="26" t="s">
        <v>11814</v>
      </c>
      <c r="B3444" s="27" t="s">
        <v>11815</v>
      </c>
      <c r="C3444" s="27" t="s">
        <v>100</v>
      </c>
      <c r="D3444" s="26"/>
      <c r="E3444" s="27"/>
      <c r="F3444" s="27"/>
      <c r="G3444" s="27" t="s">
        <v>11122</v>
      </c>
      <c r="H3444" s="27" t="s">
        <v>35</v>
      </c>
      <c r="I3444" s="27" t="s">
        <v>44</v>
      </c>
      <c r="J3444" s="28" t="s">
        <v>3694</v>
      </c>
      <c r="K3444" s="27" t="s">
        <v>37</v>
      </c>
      <c r="L3444" s="27"/>
    </row>
    <row r="3445" customFormat="false" ht="15" hidden="false" customHeight="false" outlineLevel="0" collapsed="false">
      <c r="A3445" s="26" t="s">
        <v>11816</v>
      </c>
      <c r="B3445" s="27" t="s">
        <v>11817</v>
      </c>
      <c r="C3445" s="27" t="s">
        <v>144</v>
      </c>
      <c r="D3445" s="26"/>
      <c r="E3445" s="27"/>
      <c r="F3445" s="27"/>
      <c r="G3445" s="27" t="s">
        <v>11122</v>
      </c>
      <c r="H3445" s="27" t="s">
        <v>35</v>
      </c>
      <c r="I3445" s="27" t="s">
        <v>38</v>
      </c>
      <c r="J3445" s="28" t="s">
        <v>3694</v>
      </c>
      <c r="K3445" s="27" t="s">
        <v>37</v>
      </c>
      <c r="L3445" s="27"/>
    </row>
    <row r="3446" customFormat="false" ht="15" hidden="false" customHeight="false" outlineLevel="0" collapsed="false">
      <c r="A3446" s="26" t="s">
        <v>11818</v>
      </c>
      <c r="B3446" s="27" t="s">
        <v>11819</v>
      </c>
      <c r="C3446" s="27" t="s">
        <v>144</v>
      </c>
      <c r="D3446" s="26"/>
      <c r="E3446" s="27"/>
      <c r="F3446" s="27"/>
      <c r="G3446" s="27" t="s">
        <v>11122</v>
      </c>
      <c r="H3446" s="27" t="s">
        <v>35</v>
      </c>
      <c r="I3446" s="27" t="s">
        <v>37</v>
      </c>
      <c r="J3446" s="28" t="s">
        <v>2223</v>
      </c>
      <c r="K3446" s="27" t="s">
        <v>38</v>
      </c>
      <c r="L3446" s="27"/>
    </row>
    <row r="3447" customFormat="false" ht="15" hidden="false" customHeight="false" outlineLevel="0" collapsed="false">
      <c r="A3447" s="26" t="s">
        <v>11820</v>
      </c>
      <c r="B3447" s="27" t="s">
        <v>11821</v>
      </c>
      <c r="C3447" s="27" t="s">
        <v>144</v>
      </c>
      <c r="D3447" s="26"/>
      <c r="E3447" s="27"/>
      <c r="F3447" s="27"/>
      <c r="G3447" s="27" t="s">
        <v>11122</v>
      </c>
      <c r="H3447" s="27" t="s">
        <v>35</v>
      </c>
      <c r="I3447" s="27" t="s">
        <v>38</v>
      </c>
      <c r="J3447" s="28" t="s">
        <v>2223</v>
      </c>
      <c r="K3447" s="27" t="s">
        <v>38</v>
      </c>
      <c r="L3447" s="27"/>
    </row>
    <row r="3448" customFormat="false" ht="15" hidden="false" customHeight="false" outlineLevel="0" collapsed="false">
      <c r="A3448" s="26" t="s">
        <v>11822</v>
      </c>
      <c r="B3448" s="27" t="s">
        <v>11823</v>
      </c>
      <c r="C3448" s="27" t="s">
        <v>144</v>
      </c>
      <c r="D3448" s="26"/>
      <c r="E3448" s="27"/>
      <c r="F3448" s="27"/>
      <c r="G3448" s="27" t="s">
        <v>11122</v>
      </c>
      <c r="H3448" s="27" t="s">
        <v>35</v>
      </c>
      <c r="I3448" s="27" t="s">
        <v>37</v>
      </c>
      <c r="J3448" s="28" t="s">
        <v>2223</v>
      </c>
      <c r="K3448" s="27" t="s">
        <v>38</v>
      </c>
      <c r="L3448" s="27"/>
    </row>
    <row r="3449" customFormat="false" ht="15" hidden="false" customHeight="false" outlineLevel="0" collapsed="false">
      <c r="A3449" s="26" t="s">
        <v>11824</v>
      </c>
      <c r="B3449" s="27" t="s">
        <v>11825</v>
      </c>
      <c r="C3449" s="27" t="s">
        <v>144</v>
      </c>
      <c r="D3449" s="26"/>
      <c r="E3449" s="27"/>
      <c r="F3449" s="27"/>
      <c r="G3449" s="27" t="s">
        <v>11122</v>
      </c>
      <c r="H3449" s="27" t="s">
        <v>35</v>
      </c>
      <c r="I3449" s="27" t="s">
        <v>38</v>
      </c>
      <c r="J3449" s="28" t="s">
        <v>2223</v>
      </c>
      <c r="K3449" s="27" t="s">
        <v>38</v>
      </c>
      <c r="L3449" s="27"/>
    </row>
    <row r="3450" customFormat="false" ht="15" hidden="false" customHeight="false" outlineLevel="0" collapsed="false">
      <c r="A3450" s="26" t="s">
        <v>11826</v>
      </c>
      <c r="B3450" s="27" t="s">
        <v>11827</v>
      </c>
      <c r="C3450" s="27" t="s">
        <v>144</v>
      </c>
      <c r="D3450" s="26"/>
      <c r="E3450" s="27"/>
      <c r="F3450" s="27"/>
      <c r="G3450" s="27" t="s">
        <v>11122</v>
      </c>
      <c r="H3450" s="27" t="s">
        <v>35</v>
      </c>
      <c r="I3450" s="27" t="s">
        <v>38</v>
      </c>
      <c r="J3450" s="28" t="s">
        <v>2223</v>
      </c>
      <c r="K3450" s="27" t="s">
        <v>38</v>
      </c>
      <c r="L3450" s="27"/>
    </row>
    <row r="3451" customFormat="false" ht="15" hidden="false" customHeight="false" outlineLevel="0" collapsed="false">
      <c r="A3451" s="26" t="s">
        <v>11828</v>
      </c>
      <c r="B3451" s="27" t="s">
        <v>11829</v>
      </c>
      <c r="C3451" s="27" t="s">
        <v>144</v>
      </c>
      <c r="D3451" s="26"/>
      <c r="E3451" s="27"/>
      <c r="F3451" s="27"/>
      <c r="G3451" s="27" t="s">
        <v>11122</v>
      </c>
      <c r="H3451" s="27" t="s">
        <v>35</v>
      </c>
      <c r="I3451" s="27" t="s">
        <v>38</v>
      </c>
      <c r="J3451" s="28" t="s">
        <v>2223</v>
      </c>
      <c r="K3451" s="27" t="s">
        <v>38</v>
      </c>
      <c r="L3451" s="27"/>
    </row>
    <row r="3452" customFormat="false" ht="15" hidden="false" customHeight="false" outlineLevel="0" collapsed="false">
      <c r="A3452" s="26" t="s">
        <v>11830</v>
      </c>
      <c r="B3452" s="27" t="s">
        <v>11831</v>
      </c>
      <c r="C3452" s="27" t="s">
        <v>144</v>
      </c>
      <c r="D3452" s="26"/>
      <c r="E3452" s="27"/>
      <c r="F3452" s="27"/>
      <c r="G3452" s="27" t="s">
        <v>11122</v>
      </c>
      <c r="H3452" s="27" t="s">
        <v>35</v>
      </c>
      <c r="I3452" s="27" t="s">
        <v>38</v>
      </c>
      <c r="J3452" s="28" t="s">
        <v>2223</v>
      </c>
      <c r="K3452" s="27" t="s">
        <v>38</v>
      </c>
      <c r="L3452" s="27"/>
    </row>
    <row r="3453" customFormat="false" ht="15" hidden="false" customHeight="false" outlineLevel="0" collapsed="false">
      <c r="A3453" s="26" t="s">
        <v>11832</v>
      </c>
      <c r="B3453" s="27" t="s">
        <v>11833</v>
      </c>
      <c r="C3453" s="27" t="s">
        <v>144</v>
      </c>
      <c r="D3453" s="26"/>
      <c r="E3453" s="27"/>
      <c r="F3453" s="27"/>
      <c r="G3453" s="27" t="s">
        <v>11122</v>
      </c>
      <c r="H3453" s="27" t="s">
        <v>35</v>
      </c>
      <c r="I3453" s="27" t="s">
        <v>38</v>
      </c>
      <c r="J3453" s="28" t="s">
        <v>2223</v>
      </c>
      <c r="K3453" s="27" t="s">
        <v>38</v>
      </c>
      <c r="L3453" s="27"/>
    </row>
    <row r="3454" customFormat="false" ht="15" hidden="false" customHeight="false" outlineLevel="0" collapsed="false">
      <c r="A3454" s="26" t="s">
        <v>11834</v>
      </c>
      <c r="B3454" s="27" t="s">
        <v>11835</v>
      </c>
      <c r="C3454" s="27" t="s">
        <v>144</v>
      </c>
      <c r="D3454" s="26"/>
      <c r="E3454" s="27"/>
      <c r="F3454" s="27"/>
      <c r="G3454" s="27" t="s">
        <v>11122</v>
      </c>
      <c r="H3454" s="27" t="s">
        <v>35</v>
      </c>
      <c r="I3454" s="27" t="s">
        <v>38</v>
      </c>
      <c r="J3454" s="28" t="s">
        <v>2223</v>
      </c>
      <c r="K3454" s="27" t="s">
        <v>38</v>
      </c>
      <c r="L3454" s="27"/>
    </row>
    <row r="3455" customFormat="false" ht="15" hidden="false" customHeight="false" outlineLevel="0" collapsed="false">
      <c r="A3455" s="26" t="s">
        <v>11836</v>
      </c>
      <c r="B3455" s="27" t="s">
        <v>11837</v>
      </c>
      <c r="C3455" s="27" t="s">
        <v>144</v>
      </c>
      <c r="D3455" s="26"/>
      <c r="E3455" s="27"/>
      <c r="F3455" s="27"/>
      <c r="G3455" s="27" t="s">
        <v>11122</v>
      </c>
      <c r="H3455" s="27" t="s">
        <v>35</v>
      </c>
      <c r="I3455" s="27" t="s">
        <v>37</v>
      </c>
      <c r="J3455" s="28" t="s">
        <v>2223</v>
      </c>
      <c r="K3455" s="27" t="s">
        <v>38</v>
      </c>
      <c r="L3455" s="27"/>
    </row>
    <row r="3456" customFormat="false" ht="15" hidden="false" customHeight="false" outlineLevel="0" collapsed="false">
      <c r="A3456" s="26" t="s">
        <v>11838</v>
      </c>
      <c r="B3456" s="27" t="s">
        <v>11839</v>
      </c>
      <c r="C3456" s="27" t="s">
        <v>144</v>
      </c>
      <c r="D3456" s="26"/>
      <c r="E3456" s="27"/>
      <c r="F3456" s="27"/>
      <c r="G3456" s="27" t="s">
        <v>11122</v>
      </c>
      <c r="H3456" s="27" t="s">
        <v>35</v>
      </c>
      <c r="I3456" s="27" t="s">
        <v>38</v>
      </c>
      <c r="J3456" s="28" t="s">
        <v>2223</v>
      </c>
      <c r="K3456" s="27" t="s">
        <v>38</v>
      </c>
      <c r="L3456" s="27"/>
    </row>
    <row r="3457" customFormat="false" ht="15" hidden="false" customHeight="false" outlineLevel="0" collapsed="false">
      <c r="A3457" s="26" t="s">
        <v>11840</v>
      </c>
      <c r="B3457" s="27" t="s">
        <v>11841</v>
      </c>
      <c r="C3457" s="27" t="s">
        <v>144</v>
      </c>
      <c r="D3457" s="26"/>
      <c r="E3457" s="27"/>
      <c r="F3457" s="27"/>
      <c r="G3457" s="27" t="s">
        <v>11122</v>
      </c>
      <c r="H3457" s="27" t="s">
        <v>35</v>
      </c>
      <c r="I3457" s="27" t="s">
        <v>38</v>
      </c>
      <c r="J3457" s="28" t="s">
        <v>2223</v>
      </c>
      <c r="K3457" s="27" t="s">
        <v>38</v>
      </c>
      <c r="L3457" s="27"/>
    </row>
    <row r="3458" customFormat="false" ht="15" hidden="false" customHeight="false" outlineLevel="0" collapsed="false">
      <c r="A3458" s="26" t="s">
        <v>11842</v>
      </c>
      <c r="B3458" s="27" t="s">
        <v>11843</v>
      </c>
      <c r="C3458" s="27" t="s">
        <v>144</v>
      </c>
      <c r="D3458" s="26"/>
      <c r="E3458" s="27"/>
      <c r="F3458" s="27"/>
      <c r="G3458" s="27" t="s">
        <v>11122</v>
      </c>
      <c r="H3458" s="27" t="s">
        <v>35</v>
      </c>
      <c r="I3458" s="27" t="s">
        <v>64</v>
      </c>
      <c r="J3458" s="28" t="s">
        <v>2223</v>
      </c>
      <c r="K3458" s="27" t="s">
        <v>38</v>
      </c>
      <c r="L3458" s="27"/>
    </row>
    <row r="3459" customFormat="false" ht="15" hidden="false" customHeight="false" outlineLevel="0" collapsed="false">
      <c r="A3459" s="26" t="s">
        <v>11844</v>
      </c>
      <c r="B3459" s="27" t="s">
        <v>11845</v>
      </c>
      <c r="C3459" s="27" t="s">
        <v>144</v>
      </c>
      <c r="D3459" s="26"/>
      <c r="E3459" s="27"/>
      <c r="F3459" s="27"/>
      <c r="G3459" s="27" t="s">
        <v>11122</v>
      </c>
      <c r="H3459" s="27" t="s">
        <v>35</v>
      </c>
      <c r="I3459" s="27" t="s">
        <v>37</v>
      </c>
      <c r="J3459" s="28" t="s">
        <v>2223</v>
      </c>
      <c r="K3459" s="27" t="s">
        <v>38</v>
      </c>
      <c r="L3459" s="27"/>
    </row>
    <row r="3460" customFormat="false" ht="15" hidden="false" customHeight="false" outlineLevel="0" collapsed="false">
      <c r="A3460" s="26" t="s">
        <v>11846</v>
      </c>
      <c r="B3460" s="27" t="s">
        <v>11847</v>
      </c>
      <c r="C3460" s="27" t="s">
        <v>144</v>
      </c>
      <c r="D3460" s="26"/>
      <c r="E3460" s="27"/>
      <c r="F3460" s="27"/>
      <c r="G3460" s="27" t="s">
        <v>11122</v>
      </c>
      <c r="H3460" s="27" t="s">
        <v>35</v>
      </c>
      <c r="I3460" s="27" t="s">
        <v>38</v>
      </c>
      <c r="J3460" s="28" t="s">
        <v>2223</v>
      </c>
      <c r="K3460" s="27" t="s">
        <v>38</v>
      </c>
      <c r="L3460" s="27"/>
    </row>
    <row r="3461" customFormat="false" ht="15" hidden="false" customHeight="false" outlineLevel="0" collapsed="false">
      <c r="A3461" s="26" t="s">
        <v>11848</v>
      </c>
      <c r="B3461" s="27" t="s">
        <v>11849</v>
      </c>
      <c r="C3461" s="27" t="s">
        <v>144</v>
      </c>
      <c r="D3461" s="26"/>
      <c r="E3461" s="27"/>
      <c r="F3461" s="27"/>
      <c r="G3461" s="27" t="s">
        <v>11122</v>
      </c>
      <c r="H3461" s="27" t="s">
        <v>35</v>
      </c>
      <c r="I3461" s="27" t="s">
        <v>38</v>
      </c>
      <c r="J3461" s="28" t="s">
        <v>2223</v>
      </c>
      <c r="K3461" s="27" t="s">
        <v>38</v>
      </c>
      <c r="L3461" s="27"/>
    </row>
    <row r="3462" customFormat="false" ht="15" hidden="false" customHeight="false" outlineLevel="0" collapsed="false">
      <c r="A3462" s="26" t="s">
        <v>11850</v>
      </c>
      <c r="B3462" s="27" t="s">
        <v>11851</v>
      </c>
      <c r="C3462" s="27" t="s">
        <v>144</v>
      </c>
      <c r="D3462" s="26"/>
      <c r="E3462" s="27"/>
      <c r="F3462" s="27"/>
      <c r="G3462" s="27" t="s">
        <v>11122</v>
      </c>
      <c r="H3462" s="27" t="s">
        <v>35</v>
      </c>
      <c r="I3462" s="27" t="s">
        <v>37</v>
      </c>
      <c r="J3462" s="28" t="s">
        <v>2223</v>
      </c>
      <c r="K3462" s="27" t="s">
        <v>38</v>
      </c>
      <c r="L3462" s="27"/>
    </row>
    <row r="3463" customFormat="false" ht="15" hidden="false" customHeight="false" outlineLevel="0" collapsed="false">
      <c r="A3463" s="26" t="s">
        <v>11852</v>
      </c>
      <c r="B3463" s="27" t="s">
        <v>11853</v>
      </c>
      <c r="C3463" s="27" t="s">
        <v>144</v>
      </c>
      <c r="D3463" s="26"/>
      <c r="E3463" s="27"/>
      <c r="F3463" s="27"/>
      <c r="G3463" s="27" t="s">
        <v>11122</v>
      </c>
      <c r="H3463" s="27" t="s">
        <v>35</v>
      </c>
      <c r="I3463" s="27" t="s">
        <v>49</v>
      </c>
      <c r="J3463" s="28" t="s">
        <v>2223</v>
      </c>
      <c r="K3463" s="27" t="s">
        <v>38</v>
      </c>
      <c r="L3463" s="27"/>
    </row>
    <row r="3464" customFormat="false" ht="15" hidden="false" customHeight="false" outlineLevel="0" collapsed="false">
      <c r="A3464" s="26" t="s">
        <v>11854</v>
      </c>
      <c r="B3464" s="27" t="s">
        <v>11855</v>
      </c>
      <c r="C3464" s="27" t="s">
        <v>144</v>
      </c>
      <c r="D3464" s="26"/>
      <c r="E3464" s="27"/>
      <c r="F3464" s="27"/>
      <c r="G3464" s="27" t="s">
        <v>11122</v>
      </c>
      <c r="H3464" s="27" t="s">
        <v>35</v>
      </c>
      <c r="I3464" s="27" t="s">
        <v>37</v>
      </c>
      <c r="J3464" s="28" t="s">
        <v>2223</v>
      </c>
      <c r="K3464" s="27" t="s">
        <v>38</v>
      </c>
      <c r="L3464" s="27"/>
    </row>
    <row r="3465" customFormat="false" ht="15" hidden="false" customHeight="false" outlineLevel="0" collapsed="false">
      <c r="A3465" s="26" t="s">
        <v>11856</v>
      </c>
      <c r="B3465" s="27" t="s">
        <v>11857</v>
      </c>
      <c r="C3465" s="27" t="s">
        <v>144</v>
      </c>
      <c r="D3465" s="26"/>
      <c r="E3465" s="27"/>
      <c r="F3465" s="27"/>
      <c r="G3465" s="27" t="s">
        <v>11122</v>
      </c>
      <c r="H3465" s="27" t="s">
        <v>35</v>
      </c>
      <c r="I3465" s="27" t="s">
        <v>37</v>
      </c>
      <c r="J3465" s="28" t="s">
        <v>2223</v>
      </c>
      <c r="K3465" s="27" t="s">
        <v>38</v>
      </c>
      <c r="L3465" s="27"/>
    </row>
    <row r="3466" customFormat="false" ht="15" hidden="false" customHeight="false" outlineLevel="0" collapsed="false">
      <c r="A3466" s="26" t="s">
        <v>11858</v>
      </c>
      <c r="B3466" s="27" t="s">
        <v>11859</v>
      </c>
      <c r="C3466" s="27" t="s">
        <v>144</v>
      </c>
      <c r="D3466" s="26"/>
      <c r="E3466" s="27"/>
      <c r="F3466" s="27"/>
      <c r="G3466" s="27" t="s">
        <v>11122</v>
      </c>
      <c r="H3466" s="27" t="s">
        <v>35</v>
      </c>
      <c r="I3466" s="27" t="s">
        <v>37</v>
      </c>
      <c r="J3466" s="28" t="s">
        <v>2223</v>
      </c>
      <c r="K3466" s="27" t="s">
        <v>38</v>
      </c>
      <c r="L3466" s="27"/>
    </row>
    <row r="3467" customFormat="false" ht="15" hidden="false" customHeight="false" outlineLevel="0" collapsed="false">
      <c r="A3467" s="26" t="s">
        <v>11860</v>
      </c>
      <c r="B3467" s="27" t="s">
        <v>11861</v>
      </c>
      <c r="C3467" s="27" t="s">
        <v>144</v>
      </c>
      <c r="D3467" s="26"/>
      <c r="E3467" s="27"/>
      <c r="F3467" s="27"/>
      <c r="G3467" s="27" t="s">
        <v>11122</v>
      </c>
      <c r="H3467" s="27" t="s">
        <v>35</v>
      </c>
      <c r="I3467" s="27" t="s">
        <v>38</v>
      </c>
      <c r="J3467" s="28" t="s">
        <v>2223</v>
      </c>
      <c r="K3467" s="27" t="s">
        <v>38</v>
      </c>
      <c r="L3467" s="27"/>
    </row>
    <row r="3468" customFormat="false" ht="15" hidden="false" customHeight="false" outlineLevel="0" collapsed="false">
      <c r="A3468" s="26" t="s">
        <v>11862</v>
      </c>
      <c r="B3468" s="27" t="s">
        <v>11863</v>
      </c>
      <c r="C3468" s="27" t="s">
        <v>144</v>
      </c>
      <c r="D3468" s="26"/>
      <c r="E3468" s="27"/>
      <c r="F3468" s="27"/>
      <c r="G3468" s="27" t="s">
        <v>11122</v>
      </c>
      <c r="H3468" s="27" t="s">
        <v>35</v>
      </c>
      <c r="I3468" s="27" t="s">
        <v>37</v>
      </c>
      <c r="J3468" s="28" t="s">
        <v>2223</v>
      </c>
      <c r="K3468" s="27" t="s">
        <v>38</v>
      </c>
      <c r="L3468" s="27"/>
    </row>
    <row r="3469" customFormat="false" ht="15" hidden="false" customHeight="false" outlineLevel="0" collapsed="false">
      <c r="A3469" s="26" t="s">
        <v>11864</v>
      </c>
      <c r="B3469" s="27" t="s">
        <v>11865</v>
      </c>
      <c r="C3469" s="27" t="s">
        <v>144</v>
      </c>
      <c r="D3469" s="26"/>
      <c r="E3469" s="27"/>
      <c r="F3469" s="27"/>
      <c r="G3469" s="27" t="s">
        <v>11122</v>
      </c>
      <c r="H3469" s="27" t="s">
        <v>35</v>
      </c>
      <c r="I3469" s="27" t="s">
        <v>37</v>
      </c>
      <c r="J3469" s="28" t="s">
        <v>2223</v>
      </c>
      <c r="K3469" s="27" t="s">
        <v>38</v>
      </c>
      <c r="L3469" s="27"/>
    </row>
    <row r="3470" customFormat="false" ht="15" hidden="false" customHeight="false" outlineLevel="0" collapsed="false">
      <c r="A3470" s="26" t="s">
        <v>11866</v>
      </c>
      <c r="B3470" s="27" t="s">
        <v>11867</v>
      </c>
      <c r="C3470" s="27" t="s">
        <v>144</v>
      </c>
      <c r="D3470" s="26"/>
      <c r="E3470" s="27"/>
      <c r="F3470" s="27"/>
      <c r="G3470" s="27" t="s">
        <v>11122</v>
      </c>
      <c r="H3470" s="27" t="s">
        <v>35</v>
      </c>
      <c r="I3470" s="27" t="s">
        <v>38</v>
      </c>
      <c r="J3470" s="28" t="s">
        <v>2223</v>
      </c>
      <c r="K3470" s="27" t="s">
        <v>38</v>
      </c>
      <c r="L3470" s="27"/>
    </row>
    <row r="3471" customFormat="false" ht="15" hidden="false" customHeight="false" outlineLevel="0" collapsed="false">
      <c r="A3471" s="26" t="s">
        <v>11868</v>
      </c>
      <c r="B3471" s="27" t="s">
        <v>11869</v>
      </c>
      <c r="C3471" s="27" t="s">
        <v>144</v>
      </c>
      <c r="D3471" s="26"/>
      <c r="E3471" s="27"/>
      <c r="F3471" s="27"/>
      <c r="G3471" s="27" t="s">
        <v>11122</v>
      </c>
      <c r="H3471" s="27" t="s">
        <v>35</v>
      </c>
      <c r="I3471" s="27" t="s">
        <v>38</v>
      </c>
      <c r="J3471" s="28" t="s">
        <v>2223</v>
      </c>
      <c r="K3471" s="27" t="s">
        <v>38</v>
      </c>
      <c r="L3471" s="27"/>
    </row>
    <row r="3472" customFormat="false" ht="15" hidden="false" customHeight="false" outlineLevel="0" collapsed="false">
      <c r="A3472" s="26" t="s">
        <v>11870</v>
      </c>
      <c r="B3472" s="27" t="s">
        <v>11871</v>
      </c>
      <c r="C3472" s="27" t="s">
        <v>144</v>
      </c>
      <c r="D3472" s="26"/>
      <c r="E3472" s="27"/>
      <c r="F3472" s="27"/>
      <c r="G3472" s="27" t="s">
        <v>11122</v>
      </c>
      <c r="H3472" s="27" t="s">
        <v>35</v>
      </c>
      <c r="I3472" s="27" t="s">
        <v>37</v>
      </c>
      <c r="J3472" s="28" t="s">
        <v>2223</v>
      </c>
      <c r="K3472" s="27" t="s">
        <v>38</v>
      </c>
      <c r="L3472" s="27"/>
    </row>
    <row r="3473" customFormat="false" ht="15" hidden="false" customHeight="false" outlineLevel="0" collapsed="false">
      <c r="A3473" s="26" t="s">
        <v>11872</v>
      </c>
      <c r="B3473" s="27" t="s">
        <v>11873</v>
      </c>
      <c r="C3473" s="27" t="s">
        <v>144</v>
      </c>
      <c r="D3473" s="26"/>
      <c r="E3473" s="27"/>
      <c r="F3473" s="27"/>
      <c r="G3473" s="27" t="s">
        <v>11122</v>
      </c>
      <c r="H3473" s="27" t="s">
        <v>35</v>
      </c>
      <c r="I3473" s="27" t="s">
        <v>48</v>
      </c>
      <c r="J3473" s="28" t="s">
        <v>2223</v>
      </c>
      <c r="K3473" s="27" t="s">
        <v>38</v>
      </c>
      <c r="L3473" s="27"/>
    </row>
    <row r="3474" customFormat="false" ht="15" hidden="false" customHeight="false" outlineLevel="0" collapsed="false">
      <c r="A3474" s="26" t="s">
        <v>11874</v>
      </c>
      <c r="B3474" s="27" t="s">
        <v>11875</v>
      </c>
      <c r="C3474" s="27" t="s">
        <v>144</v>
      </c>
      <c r="D3474" s="26"/>
      <c r="E3474" s="27"/>
      <c r="F3474" s="27"/>
      <c r="G3474" s="27" t="s">
        <v>11122</v>
      </c>
      <c r="H3474" s="27" t="s">
        <v>35</v>
      </c>
      <c r="I3474" s="27" t="s">
        <v>38</v>
      </c>
      <c r="J3474" s="28" t="s">
        <v>2223</v>
      </c>
      <c r="K3474" s="27" t="s">
        <v>38</v>
      </c>
      <c r="L3474" s="27"/>
    </row>
    <row r="3475" customFormat="false" ht="15" hidden="false" customHeight="false" outlineLevel="0" collapsed="false">
      <c r="A3475" s="26" t="s">
        <v>11876</v>
      </c>
      <c r="B3475" s="27" t="s">
        <v>11877</v>
      </c>
      <c r="C3475" s="27" t="s">
        <v>144</v>
      </c>
      <c r="D3475" s="26"/>
      <c r="E3475" s="27"/>
      <c r="F3475" s="27"/>
      <c r="G3475" s="27" t="s">
        <v>11122</v>
      </c>
      <c r="H3475" s="27" t="s">
        <v>35</v>
      </c>
      <c r="I3475" s="27" t="s">
        <v>38</v>
      </c>
      <c r="J3475" s="28" t="s">
        <v>2223</v>
      </c>
      <c r="K3475" s="27" t="s">
        <v>38</v>
      </c>
      <c r="L3475" s="27"/>
    </row>
    <row r="3476" customFormat="false" ht="15" hidden="false" customHeight="false" outlineLevel="0" collapsed="false">
      <c r="A3476" s="26" t="s">
        <v>11878</v>
      </c>
      <c r="B3476" s="27" t="s">
        <v>11879</v>
      </c>
      <c r="C3476" s="27" t="s">
        <v>144</v>
      </c>
      <c r="D3476" s="26"/>
      <c r="E3476" s="27"/>
      <c r="F3476" s="27"/>
      <c r="G3476" s="27" t="s">
        <v>11122</v>
      </c>
      <c r="H3476" s="27" t="s">
        <v>35</v>
      </c>
      <c r="I3476" s="27" t="s">
        <v>38</v>
      </c>
      <c r="J3476" s="28" t="s">
        <v>2223</v>
      </c>
      <c r="K3476" s="27" t="s">
        <v>38</v>
      </c>
      <c r="L3476" s="27"/>
    </row>
    <row r="3477" customFormat="false" ht="15" hidden="false" customHeight="false" outlineLevel="0" collapsed="false">
      <c r="A3477" s="26" t="s">
        <v>11880</v>
      </c>
      <c r="B3477" s="27" t="s">
        <v>11881</v>
      </c>
      <c r="C3477" s="27" t="s">
        <v>144</v>
      </c>
      <c r="D3477" s="26"/>
      <c r="E3477" s="27"/>
      <c r="F3477" s="27"/>
      <c r="G3477" s="27" t="s">
        <v>11122</v>
      </c>
      <c r="H3477" s="27" t="s">
        <v>35</v>
      </c>
      <c r="I3477" s="27" t="s">
        <v>43</v>
      </c>
      <c r="J3477" s="28" t="s">
        <v>2223</v>
      </c>
      <c r="K3477" s="27" t="s">
        <v>38</v>
      </c>
      <c r="L3477" s="27"/>
    </row>
    <row r="3478" customFormat="false" ht="15" hidden="false" customHeight="false" outlineLevel="0" collapsed="false">
      <c r="A3478" s="26" t="s">
        <v>11882</v>
      </c>
      <c r="B3478" s="27" t="s">
        <v>11883</v>
      </c>
      <c r="C3478" s="27" t="s">
        <v>144</v>
      </c>
      <c r="D3478" s="26"/>
      <c r="E3478" s="27"/>
      <c r="F3478" s="27"/>
      <c r="G3478" s="27" t="s">
        <v>11122</v>
      </c>
      <c r="H3478" s="27" t="s">
        <v>35</v>
      </c>
      <c r="I3478" s="27" t="s">
        <v>38</v>
      </c>
      <c r="J3478" s="28" t="s">
        <v>2223</v>
      </c>
      <c r="K3478" s="27" t="s">
        <v>38</v>
      </c>
      <c r="L3478" s="27"/>
    </row>
    <row r="3479" customFormat="false" ht="15" hidden="false" customHeight="false" outlineLevel="0" collapsed="false">
      <c r="A3479" s="26" t="s">
        <v>11884</v>
      </c>
      <c r="B3479" s="27" t="s">
        <v>11885</v>
      </c>
      <c r="C3479" s="27" t="s">
        <v>144</v>
      </c>
      <c r="D3479" s="26"/>
      <c r="E3479" s="27"/>
      <c r="F3479" s="27"/>
      <c r="G3479" s="27" t="s">
        <v>11122</v>
      </c>
      <c r="H3479" s="27" t="s">
        <v>35</v>
      </c>
      <c r="I3479" s="27" t="s">
        <v>38</v>
      </c>
      <c r="J3479" s="28" t="s">
        <v>2223</v>
      </c>
      <c r="K3479" s="27" t="s">
        <v>38</v>
      </c>
      <c r="L3479" s="27"/>
    </row>
    <row r="3480" customFormat="false" ht="15" hidden="false" customHeight="false" outlineLevel="0" collapsed="false">
      <c r="A3480" s="26" t="s">
        <v>11886</v>
      </c>
      <c r="B3480" s="27" t="s">
        <v>11887</v>
      </c>
      <c r="C3480" s="27" t="s">
        <v>144</v>
      </c>
      <c r="D3480" s="26"/>
      <c r="E3480" s="27"/>
      <c r="F3480" s="27"/>
      <c r="G3480" s="27" t="s">
        <v>11122</v>
      </c>
      <c r="H3480" s="27" t="s">
        <v>35</v>
      </c>
      <c r="I3480" s="27" t="s">
        <v>38</v>
      </c>
      <c r="J3480" s="28" t="s">
        <v>2223</v>
      </c>
      <c r="K3480" s="27" t="s">
        <v>38</v>
      </c>
      <c r="L3480" s="27"/>
    </row>
    <row r="3481" customFormat="false" ht="15" hidden="false" customHeight="false" outlineLevel="0" collapsed="false">
      <c r="A3481" s="26" t="s">
        <v>11888</v>
      </c>
      <c r="B3481" s="27" t="s">
        <v>11889</v>
      </c>
      <c r="C3481" s="27" t="s">
        <v>144</v>
      </c>
      <c r="D3481" s="26"/>
      <c r="E3481" s="27"/>
      <c r="F3481" s="27"/>
      <c r="G3481" s="27" t="s">
        <v>11122</v>
      </c>
      <c r="H3481" s="27" t="s">
        <v>35</v>
      </c>
      <c r="I3481" s="27" t="s">
        <v>43</v>
      </c>
      <c r="J3481" s="28" t="s">
        <v>2223</v>
      </c>
      <c r="K3481" s="27" t="s">
        <v>38</v>
      </c>
      <c r="L3481" s="27"/>
    </row>
    <row r="3482" customFormat="false" ht="15" hidden="false" customHeight="false" outlineLevel="0" collapsed="false">
      <c r="A3482" s="26" t="s">
        <v>11890</v>
      </c>
      <c r="B3482" s="27" t="s">
        <v>11891</v>
      </c>
      <c r="C3482" s="27" t="s">
        <v>144</v>
      </c>
      <c r="D3482" s="26"/>
      <c r="E3482" s="27"/>
      <c r="F3482" s="27"/>
      <c r="G3482" s="27" t="s">
        <v>11122</v>
      </c>
      <c r="H3482" s="27" t="s">
        <v>35</v>
      </c>
      <c r="I3482" s="27" t="s">
        <v>4159</v>
      </c>
      <c r="J3482" s="28" t="s">
        <v>2223</v>
      </c>
      <c r="K3482" s="27" t="s">
        <v>38</v>
      </c>
      <c r="L3482" s="27"/>
    </row>
    <row r="3483" customFormat="false" ht="15" hidden="false" customHeight="false" outlineLevel="0" collapsed="false">
      <c r="A3483" s="26" t="s">
        <v>11892</v>
      </c>
      <c r="B3483" s="27" t="s">
        <v>11893</v>
      </c>
      <c r="C3483" s="27" t="s">
        <v>144</v>
      </c>
      <c r="D3483" s="26"/>
      <c r="E3483" s="27"/>
      <c r="F3483" s="27"/>
      <c r="G3483" s="27" t="s">
        <v>11122</v>
      </c>
      <c r="H3483" s="27" t="s">
        <v>35</v>
      </c>
      <c r="I3483" s="27" t="s">
        <v>38</v>
      </c>
      <c r="J3483" s="28" t="s">
        <v>2223</v>
      </c>
      <c r="K3483" s="27" t="s">
        <v>38</v>
      </c>
      <c r="L3483" s="27"/>
    </row>
    <row r="3484" customFormat="false" ht="15" hidden="false" customHeight="false" outlineLevel="0" collapsed="false">
      <c r="A3484" s="26" t="s">
        <v>11894</v>
      </c>
      <c r="B3484" s="27" t="s">
        <v>11895</v>
      </c>
      <c r="C3484" s="27" t="s">
        <v>144</v>
      </c>
      <c r="D3484" s="26"/>
      <c r="E3484" s="27"/>
      <c r="F3484" s="27"/>
      <c r="G3484" s="27" t="s">
        <v>11122</v>
      </c>
      <c r="H3484" s="27" t="s">
        <v>35</v>
      </c>
      <c r="I3484" s="27" t="s">
        <v>40</v>
      </c>
      <c r="J3484" s="28" t="s">
        <v>2223</v>
      </c>
      <c r="K3484" s="27" t="s">
        <v>38</v>
      </c>
      <c r="L3484" s="27"/>
    </row>
    <row r="3485" customFormat="false" ht="15" hidden="false" customHeight="false" outlineLevel="0" collapsed="false">
      <c r="A3485" s="26" t="s">
        <v>11896</v>
      </c>
      <c r="B3485" s="27" t="s">
        <v>11897</v>
      </c>
      <c r="C3485" s="27" t="s">
        <v>144</v>
      </c>
      <c r="D3485" s="26"/>
      <c r="E3485" s="27"/>
      <c r="F3485" s="27"/>
      <c r="G3485" s="27" t="s">
        <v>11122</v>
      </c>
      <c r="H3485" s="27" t="s">
        <v>35</v>
      </c>
      <c r="I3485" s="27" t="s">
        <v>43</v>
      </c>
      <c r="J3485" s="28" t="s">
        <v>2223</v>
      </c>
      <c r="K3485" s="27" t="s">
        <v>38</v>
      </c>
      <c r="L3485" s="27"/>
    </row>
    <row r="3486" customFormat="false" ht="15" hidden="false" customHeight="false" outlineLevel="0" collapsed="false">
      <c r="A3486" s="26" t="s">
        <v>11898</v>
      </c>
      <c r="B3486" s="27" t="s">
        <v>11899</v>
      </c>
      <c r="C3486" s="27" t="s">
        <v>144</v>
      </c>
      <c r="D3486" s="26"/>
      <c r="E3486" s="27"/>
      <c r="F3486" s="27"/>
      <c r="G3486" s="27" t="s">
        <v>11122</v>
      </c>
      <c r="H3486" s="27" t="s">
        <v>35</v>
      </c>
      <c r="I3486" s="27" t="s">
        <v>38</v>
      </c>
      <c r="J3486" s="28" t="s">
        <v>2223</v>
      </c>
      <c r="K3486" s="27" t="s">
        <v>38</v>
      </c>
      <c r="L3486" s="27"/>
    </row>
    <row r="3487" customFormat="false" ht="15" hidden="false" customHeight="false" outlineLevel="0" collapsed="false">
      <c r="A3487" s="26" t="s">
        <v>11900</v>
      </c>
      <c r="B3487" s="27" t="s">
        <v>11901</v>
      </c>
      <c r="C3487" s="27" t="s">
        <v>144</v>
      </c>
      <c r="D3487" s="26"/>
      <c r="E3487" s="27"/>
      <c r="F3487" s="27"/>
      <c r="G3487" s="27" t="s">
        <v>11122</v>
      </c>
      <c r="H3487" s="27" t="s">
        <v>35</v>
      </c>
      <c r="I3487" s="27" t="s">
        <v>38</v>
      </c>
      <c r="J3487" s="28" t="s">
        <v>2223</v>
      </c>
      <c r="K3487" s="27" t="s">
        <v>38</v>
      </c>
      <c r="L3487" s="27"/>
    </row>
    <row r="3488" customFormat="false" ht="15" hidden="false" customHeight="false" outlineLevel="0" collapsed="false">
      <c r="A3488" s="26" t="s">
        <v>11902</v>
      </c>
      <c r="B3488" s="27" t="s">
        <v>11903</v>
      </c>
      <c r="C3488" s="27" t="s">
        <v>144</v>
      </c>
      <c r="D3488" s="26"/>
      <c r="E3488" s="27"/>
      <c r="F3488" s="27"/>
      <c r="G3488" s="27" t="s">
        <v>11122</v>
      </c>
      <c r="H3488" s="27" t="s">
        <v>35</v>
      </c>
      <c r="I3488" s="27" t="s">
        <v>38</v>
      </c>
      <c r="J3488" s="28" t="s">
        <v>2223</v>
      </c>
      <c r="K3488" s="27" t="s">
        <v>38</v>
      </c>
      <c r="L3488" s="27"/>
    </row>
    <row r="3489" customFormat="false" ht="15" hidden="false" customHeight="false" outlineLevel="0" collapsed="false">
      <c r="A3489" s="26" t="s">
        <v>11904</v>
      </c>
      <c r="B3489" s="27" t="s">
        <v>11905</v>
      </c>
      <c r="C3489" s="27" t="s">
        <v>144</v>
      </c>
      <c r="D3489" s="26"/>
      <c r="E3489" s="27"/>
      <c r="F3489" s="27"/>
      <c r="G3489" s="27" t="s">
        <v>11122</v>
      </c>
      <c r="H3489" s="27" t="s">
        <v>35</v>
      </c>
      <c r="I3489" s="27" t="s">
        <v>38</v>
      </c>
      <c r="J3489" s="28" t="s">
        <v>2223</v>
      </c>
      <c r="K3489" s="27" t="s">
        <v>38</v>
      </c>
      <c r="L3489" s="27"/>
    </row>
    <row r="3490" customFormat="false" ht="15" hidden="false" customHeight="false" outlineLevel="0" collapsed="false">
      <c r="A3490" s="26" t="s">
        <v>11906</v>
      </c>
      <c r="B3490" s="27" t="s">
        <v>11907</v>
      </c>
      <c r="C3490" s="27" t="s">
        <v>144</v>
      </c>
      <c r="D3490" s="26"/>
      <c r="E3490" s="27"/>
      <c r="F3490" s="27"/>
      <c r="G3490" s="27" t="s">
        <v>11122</v>
      </c>
      <c r="H3490" s="27" t="s">
        <v>35</v>
      </c>
      <c r="I3490" s="27" t="s">
        <v>38</v>
      </c>
      <c r="J3490" s="28" t="s">
        <v>2223</v>
      </c>
      <c r="K3490" s="27" t="s">
        <v>38</v>
      </c>
      <c r="L3490" s="27"/>
    </row>
    <row r="3491" customFormat="false" ht="15" hidden="false" customHeight="false" outlineLevel="0" collapsed="false">
      <c r="A3491" s="26" t="s">
        <v>11908</v>
      </c>
      <c r="B3491" s="27" t="s">
        <v>11909</v>
      </c>
      <c r="C3491" s="27" t="s">
        <v>144</v>
      </c>
      <c r="D3491" s="26"/>
      <c r="E3491" s="27"/>
      <c r="F3491" s="27"/>
      <c r="G3491" s="27" t="s">
        <v>11122</v>
      </c>
      <c r="H3491" s="27" t="s">
        <v>35</v>
      </c>
      <c r="I3491" s="27" t="s">
        <v>37</v>
      </c>
      <c r="J3491" s="28" t="s">
        <v>2223</v>
      </c>
      <c r="K3491" s="27" t="s">
        <v>38</v>
      </c>
      <c r="L3491" s="27"/>
    </row>
    <row r="3492" customFormat="false" ht="15" hidden="false" customHeight="false" outlineLevel="0" collapsed="false">
      <c r="A3492" s="26" t="s">
        <v>11910</v>
      </c>
      <c r="B3492" s="27" t="s">
        <v>11911</v>
      </c>
      <c r="C3492" s="27" t="s">
        <v>144</v>
      </c>
      <c r="D3492" s="26"/>
      <c r="E3492" s="27"/>
      <c r="F3492" s="27"/>
      <c r="G3492" s="27" t="s">
        <v>11122</v>
      </c>
      <c r="H3492" s="27" t="s">
        <v>35</v>
      </c>
      <c r="I3492" s="27" t="s">
        <v>43</v>
      </c>
      <c r="J3492" s="28" t="s">
        <v>2223</v>
      </c>
      <c r="K3492" s="27" t="s">
        <v>38</v>
      </c>
      <c r="L3492" s="27"/>
    </row>
    <row r="3493" customFormat="false" ht="15" hidden="false" customHeight="false" outlineLevel="0" collapsed="false">
      <c r="A3493" s="26" t="s">
        <v>11912</v>
      </c>
      <c r="B3493" s="27" t="s">
        <v>11913</v>
      </c>
      <c r="C3493" s="27" t="s">
        <v>144</v>
      </c>
      <c r="D3493" s="26"/>
      <c r="E3493" s="27"/>
      <c r="F3493" s="27"/>
      <c r="G3493" s="27" t="s">
        <v>11122</v>
      </c>
      <c r="H3493" s="27" t="s">
        <v>35</v>
      </c>
      <c r="I3493" s="27" t="s">
        <v>38</v>
      </c>
      <c r="J3493" s="28" t="s">
        <v>2223</v>
      </c>
      <c r="K3493" s="27" t="s">
        <v>38</v>
      </c>
      <c r="L3493" s="27"/>
    </row>
    <row r="3494" customFormat="false" ht="15" hidden="false" customHeight="false" outlineLevel="0" collapsed="false">
      <c r="A3494" s="26" t="s">
        <v>11914</v>
      </c>
      <c r="B3494" s="27" t="s">
        <v>11915</v>
      </c>
      <c r="C3494" s="27" t="s">
        <v>144</v>
      </c>
      <c r="D3494" s="26"/>
      <c r="E3494" s="27"/>
      <c r="F3494" s="27"/>
      <c r="G3494" s="27" t="s">
        <v>11122</v>
      </c>
      <c r="H3494" s="27" t="s">
        <v>35</v>
      </c>
      <c r="I3494" s="27" t="s">
        <v>38</v>
      </c>
      <c r="J3494" s="28" t="s">
        <v>2223</v>
      </c>
      <c r="K3494" s="27" t="s">
        <v>38</v>
      </c>
      <c r="L3494" s="27"/>
    </row>
    <row r="3495" customFormat="false" ht="15" hidden="false" customHeight="false" outlineLevel="0" collapsed="false">
      <c r="A3495" s="26" t="s">
        <v>11916</v>
      </c>
      <c r="B3495" s="27" t="s">
        <v>11917</v>
      </c>
      <c r="C3495" s="27" t="s">
        <v>144</v>
      </c>
      <c r="D3495" s="26"/>
      <c r="E3495" s="27"/>
      <c r="F3495" s="27"/>
      <c r="G3495" s="27" t="s">
        <v>11122</v>
      </c>
      <c r="H3495" s="27" t="s">
        <v>35</v>
      </c>
      <c r="I3495" s="27" t="s">
        <v>38</v>
      </c>
      <c r="J3495" s="28" t="s">
        <v>2223</v>
      </c>
      <c r="K3495" s="27" t="s">
        <v>38</v>
      </c>
      <c r="L3495" s="27"/>
    </row>
    <row r="3496" customFormat="false" ht="15" hidden="false" customHeight="false" outlineLevel="0" collapsed="false">
      <c r="A3496" s="26" t="s">
        <v>11918</v>
      </c>
      <c r="B3496" s="27" t="s">
        <v>11919</v>
      </c>
      <c r="C3496" s="27" t="s">
        <v>144</v>
      </c>
      <c r="D3496" s="26"/>
      <c r="E3496" s="27"/>
      <c r="F3496" s="27"/>
      <c r="G3496" s="27" t="s">
        <v>11122</v>
      </c>
      <c r="H3496" s="27" t="s">
        <v>35</v>
      </c>
      <c r="I3496" s="27" t="s">
        <v>37</v>
      </c>
      <c r="J3496" s="28" t="s">
        <v>2223</v>
      </c>
      <c r="K3496" s="27" t="s">
        <v>38</v>
      </c>
      <c r="L3496" s="27"/>
    </row>
    <row r="3497" customFormat="false" ht="15" hidden="false" customHeight="false" outlineLevel="0" collapsed="false">
      <c r="A3497" s="26" t="s">
        <v>11920</v>
      </c>
      <c r="B3497" s="27" t="s">
        <v>11921</v>
      </c>
      <c r="C3497" s="27" t="s">
        <v>144</v>
      </c>
      <c r="D3497" s="26"/>
      <c r="E3497" s="27"/>
      <c r="F3497" s="27"/>
      <c r="G3497" s="27" t="s">
        <v>11122</v>
      </c>
      <c r="H3497" s="27" t="s">
        <v>35</v>
      </c>
      <c r="I3497" s="27" t="s">
        <v>38</v>
      </c>
      <c r="J3497" s="28" t="s">
        <v>2223</v>
      </c>
      <c r="K3497" s="27" t="s">
        <v>38</v>
      </c>
      <c r="L3497" s="27"/>
    </row>
    <row r="3498" customFormat="false" ht="15" hidden="false" customHeight="false" outlineLevel="0" collapsed="false">
      <c r="A3498" s="26" t="s">
        <v>11922</v>
      </c>
      <c r="B3498" s="27" t="s">
        <v>11923</v>
      </c>
      <c r="C3498" s="27" t="s">
        <v>144</v>
      </c>
      <c r="D3498" s="26"/>
      <c r="E3498" s="27"/>
      <c r="F3498" s="27"/>
      <c r="G3498" s="27" t="s">
        <v>11122</v>
      </c>
      <c r="H3498" s="27" t="s">
        <v>35</v>
      </c>
      <c r="I3498" s="27" t="s">
        <v>43</v>
      </c>
      <c r="J3498" s="28" t="s">
        <v>2223</v>
      </c>
      <c r="K3498" s="27" t="s">
        <v>38</v>
      </c>
      <c r="L3498" s="27"/>
    </row>
    <row r="3499" customFormat="false" ht="15" hidden="false" customHeight="false" outlineLevel="0" collapsed="false">
      <c r="A3499" s="26" t="s">
        <v>11924</v>
      </c>
      <c r="B3499" s="27" t="s">
        <v>11925</v>
      </c>
      <c r="C3499" s="27" t="s">
        <v>144</v>
      </c>
      <c r="D3499" s="26"/>
      <c r="E3499" s="27"/>
      <c r="F3499" s="27"/>
      <c r="G3499" s="27" t="s">
        <v>11122</v>
      </c>
      <c r="H3499" s="27" t="s">
        <v>35</v>
      </c>
      <c r="I3499" s="27" t="s">
        <v>38</v>
      </c>
      <c r="J3499" s="28" t="s">
        <v>2223</v>
      </c>
      <c r="K3499" s="27" t="s">
        <v>38</v>
      </c>
      <c r="L3499" s="27"/>
    </row>
    <row r="3500" customFormat="false" ht="15" hidden="false" customHeight="false" outlineLevel="0" collapsed="false">
      <c r="A3500" s="26" t="s">
        <v>11926</v>
      </c>
      <c r="B3500" s="27" t="s">
        <v>11927</v>
      </c>
      <c r="C3500" s="27" t="s">
        <v>144</v>
      </c>
      <c r="D3500" s="26"/>
      <c r="E3500" s="27"/>
      <c r="F3500" s="27"/>
      <c r="G3500" s="27" t="s">
        <v>11122</v>
      </c>
      <c r="H3500" s="27" t="s">
        <v>35</v>
      </c>
      <c r="I3500" s="27" t="s">
        <v>39</v>
      </c>
      <c r="J3500" s="28" t="s">
        <v>2223</v>
      </c>
      <c r="K3500" s="27" t="s">
        <v>38</v>
      </c>
      <c r="L3500" s="27"/>
    </row>
    <row r="3501" customFormat="false" ht="15" hidden="false" customHeight="false" outlineLevel="0" collapsed="false">
      <c r="A3501" s="26" t="s">
        <v>11928</v>
      </c>
      <c r="B3501" s="27" t="s">
        <v>11929</v>
      </c>
      <c r="C3501" s="27" t="s">
        <v>144</v>
      </c>
      <c r="D3501" s="26"/>
      <c r="E3501" s="27"/>
      <c r="F3501" s="27"/>
      <c r="G3501" s="27" t="s">
        <v>11122</v>
      </c>
      <c r="H3501" s="27" t="s">
        <v>35</v>
      </c>
      <c r="I3501" s="27" t="s">
        <v>41</v>
      </c>
      <c r="J3501" s="28" t="s">
        <v>2223</v>
      </c>
      <c r="K3501" s="27" t="s">
        <v>38</v>
      </c>
      <c r="L3501" s="27"/>
    </row>
    <row r="3502" customFormat="false" ht="15" hidden="false" customHeight="false" outlineLevel="0" collapsed="false">
      <c r="A3502" s="26" t="s">
        <v>11930</v>
      </c>
      <c r="B3502" s="27" t="s">
        <v>11931</v>
      </c>
      <c r="C3502" s="27" t="s">
        <v>144</v>
      </c>
      <c r="D3502" s="26"/>
      <c r="E3502" s="27"/>
      <c r="F3502" s="27"/>
      <c r="G3502" s="27" t="s">
        <v>11122</v>
      </c>
      <c r="H3502" s="27" t="s">
        <v>35</v>
      </c>
      <c r="I3502" s="27" t="s">
        <v>38</v>
      </c>
      <c r="J3502" s="28" t="s">
        <v>2223</v>
      </c>
      <c r="K3502" s="27" t="s">
        <v>38</v>
      </c>
      <c r="L3502" s="27"/>
    </row>
    <row r="3503" customFormat="false" ht="15" hidden="false" customHeight="false" outlineLevel="0" collapsed="false">
      <c r="A3503" s="26" t="s">
        <v>11932</v>
      </c>
      <c r="B3503" s="27" t="s">
        <v>11933</v>
      </c>
      <c r="C3503" s="27" t="s">
        <v>144</v>
      </c>
      <c r="D3503" s="26"/>
      <c r="E3503" s="27"/>
      <c r="F3503" s="27"/>
      <c r="G3503" s="27" t="s">
        <v>11122</v>
      </c>
      <c r="H3503" s="27" t="s">
        <v>35</v>
      </c>
      <c r="I3503" s="27" t="s">
        <v>38</v>
      </c>
      <c r="J3503" s="28" t="s">
        <v>2223</v>
      </c>
      <c r="K3503" s="27" t="s">
        <v>38</v>
      </c>
      <c r="L3503" s="27"/>
    </row>
    <row r="3504" customFormat="false" ht="15" hidden="false" customHeight="false" outlineLevel="0" collapsed="false">
      <c r="A3504" s="26" t="s">
        <v>11934</v>
      </c>
      <c r="B3504" s="27" t="s">
        <v>11935</v>
      </c>
      <c r="C3504" s="27" t="s">
        <v>144</v>
      </c>
      <c r="D3504" s="26"/>
      <c r="E3504" s="27"/>
      <c r="F3504" s="27"/>
      <c r="G3504" s="27" t="s">
        <v>11122</v>
      </c>
      <c r="H3504" s="27" t="s">
        <v>35</v>
      </c>
      <c r="I3504" s="27" t="s">
        <v>41</v>
      </c>
      <c r="J3504" s="28" t="s">
        <v>2223</v>
      </c>
      <c r="K3504" s="27" t="s">
        <v>38</v>
      </c>
      <c r="L3504" s="27"/>
    </row>
    <row r="3505" customFormat="false" ht="15" hidden="false" customHeight="false" outlineLevel="0" collapsed="false">
      <c r="A3505" s="26" t="s">
        <v>11936</v>
      </c>
      <c r="B3505" s="27" t="s">
        <v>11937</v>
      </c>
      <c r="C3505" s="27" t="s">
        <v>144</v>
      </c>
      <c r="D3505" s="26"/>
      <c r="E3505" s="27"/>
      <c r="F3505" s="27"/>
      <c r="G3505" s="27" t="s">
        <v>11122</v>
      </c>
      <c r="H3505" s="27" t="s">
        <v>35</v>
      </c>
      <c r="I3505" s="27" t="s">
        <v>38</v>
      </c>
      <c r="J3505" s="28" t="s">
        <v>2223</v>
      </c>
      <c r="K3505" s="27" t="s">
        <v>38</v>
      </c>
      <c r="L3505" s="27"/>
    </row>
    <row r="3506" customFormat="false" ht="15" hidden="false" customHeight="false" outlineLevel="0" collapsed="false">
      <c r="A3506" s="26" t="s">
        <v>11938</v>
      </c>
      <c r="B3506" s="27" t="s">
        <v>11939</v>
      </c>
      <c r="C3506" s="27" t="s">
        <v>144</v>
      </c>
      <c r="D3506" s="26"/>
      <c r="E3506" s="27"/>
      <c r="F3506" s="27"/>
      <c r="G3506" s="27" t="s">
        <v>11122</v>
      </c>
      <c r="H3506" s="27" t="s">
        <v>35</v>
      </c>
      <c r="I3506" s="27" t="s">
        <v>43</v>
      </c>
      <c r="J3506" s="28" t="s">
        <v>2223</v>
      </c>
      <c r="K3506" s="27" t="s">
        <v>38</v>
      </c>
      <c r="L3506" s="27"/>
    </row>
    <row r="3507" customFormat="false" ht="15" hidden="false" customHeight="false" outlineLevel="0" collapsed="false">
      <c r="A3507" s="26" t="s">
        <v>11940</v>
      </c>
      <c r="B3507" s="27" t="s">
        <v>11941</v>
      </c>
      <c r="C3507" s="27" t="s">
        <v>144</v>
      </c>
      <c r="D3507" s="26"/>
      <c r="E3507" s="27"/>
      <c r="F3507" s="27"/>
      <c r="G3507" s="27" t="s">
        <v>11122</v>
      </c>
      <c r="H3507" s="27" t="s">
        <v>35</v>
      </c>
      <c r="I3507" s="27" t="s">
        <v>47</v>
      </c>
      <c r="J3507" s="28" t="s">
        <v>2223</v>
      </c>
      <c r="K3507" s="27" t="s">
        <v>38</v>
      </c>
      <c r="L3507" s="27"/>
    </row>
    <row r="3508" customFormat="false" ht="15" hidden="false" customHeight="false" outlineLevel="0" collapsed="false">
      <c r="A3508" s="26" t="s">
        <v>11942</v>
      </c>
      <c r="B3508" s="27" t="s">
        <v>11943</v>
      </c>
      <c r="C3508" s="27" t="s">
        <v>144</v>
      </c>
      <c r="D3508" s="26"/>
      <c r="E3508" s="27"/>
      <c r="F3508" s="27"/>
      <c r="G3508" s="27" t="s">
        <v>11122</v>
      </c>
      <c r="H3508" s="27" t="s">
        <v>35</v>
      </c>
      <c r="I3508" s="27" t="s">
        <v>39</v>
      </c>
      <c r="J3508" s="28" t="s">
        <v>2223</v>
      </c>
      <c r="K3508" s="27" t="s">
        <v>38</v>
      </c>
      <c r="L3508" s="27"/>
    </row>
    <row r="3509" customFormat="false" ht="15" hidden="false" customHeight="false" outlineLevel="0" collapsed="false">
      <c r="A3509" s="26" t="s">
        <v>11944</v>
      </c>
      <c r="B3509" s="27" t="s">
        <v>11945</v>
      </c>
      <c r="C3509" s="27" t="s">
        <v>144</v>
      </c>
      <c r="D3509" s="26"/>
      <c r="E3509" s="27"/>
      <c r="F3509" s="27"/>
      <c r="G3509" s="27" t="s">
        <v>11122</v>
      </c>
      <c r="H3509" s="27" t="s">
        <v>35</v>
      </c>
      <c r="I3509" s="27" t="s">
        <v>38</v>
      </c>
      <c r="J3509" s="28" t="s">
        <v>2223</v>
      </c>
      <c r="K3509" s="27" t="s">
        <v>38</v>
      </c>
      <c r="L3509" s="27"/>
    </row>
    <row r="3510" customFormat="false" ht="15" hidden="false" customHeight="false" outlineLevel="0" collapsed="false">
      <c r="A3510" s="26" t="s">
        <v>11946</v>
      </c>
      <c r="B3510" s="27" t="s">
        <v>11947</v>
      </c>
      <c r="C3510" s="27" t="s">
        <v>144</v>
      </c>
      <c r="D3510" s="26"/>
      <c r="E3510" s="27"/>
      <c r="F3510" s="27"/>
      <c r="G3510" s="27" t="s">
        <v>11122</v>
      </c>
      <c r="H3510" s="27" t="s">
        <v>35</v>
      </c>
      <c r="I3510" s="27" t="s">
        <v>38</v>
      </c>
      <c r="J3510" s="28" t="s">
        <v>2223</v>
      </c>
      <c r="K3510" s="27" t="s">
        <v>38</v>
      </c>
      <c r="L3510" s="27"/>
    </row>
    <row r="3511" customFormat="false" ht="15" hidden="false" customHeight="false" outlineLevel="0" collapsed="false">
      <c r="A3511" s="26" t="s">
        <v>11948</v>
      </c>
      <c r="B3511" s="27" t="s">
        <v>11949</v>
      </c>
      <c r="C3511" s="27" t="s">
        <v>144</v>
      </c>
      <c r="D3511" s="26"/>
      <c r="E3511" s="27"/>
      <c r="F3511" s="27"/>
      <c r="G3511" s="27" t="s">
        <v>11122</v>
      </c>
      <c r="H3511" s="27" t="s">
        <v>35</v>
      </c>
      <c r="I3511" s="27" t="s">
        <v>38</v>
      </c>
      <c r="J3511" s="28" t="s">
        <v>2223</v>
      </c>
      <c r="K3511" s="27" t="s">
        <v>38</v>
      </c>
      <c r="L3511" s="27"/>
    </row>
    <row r="3512" customFormat="false" ht="15" hidden="false" customHeight="false" outlineLevel="0" collapsed="false">
      <c r="A3512" s="26" t="s">
        <v>11950</v>
      </c>
      <c r="B3512" s="27" t="s">
        <v>11951</v>
      </c>
      <c r="C3512" s="27" t="s">
        <v>144</v>
      </c>
      <c r="D3512" s="26"/>
      <c r="E3512" s="27"/>
      <c r="F3512" s="27"/>
      <c r="G3512" s="27" t="s">
        <v>11122</v>
      </c>
      <c r="H3512" s="27" t="s">
        <v>35</v>
      </c>
      <c r="I3512" s="27" t="s">
        <v>38</v>
      </c>
      <c r="J3512" s="28" t="s">
        <v>2223</v>
      </c>
      <c r="K3512" s="27" t="s">
        <v>38</v>
      </c>
      <c r="L3512" s="27"/>
    </row>
    <row r="3513" customFormat="false" ht="15" hidden="false" customHeight="false" outlineLevel="0" collapsed="false">
      <c r="A3513" s="26" t="s">
        <v>11952</v>
      </c>
      <c r="B3513" s="27" t="s">
        <v>11953</v>
      </c>
      <c r="C3513" s="27" t="s">
        <v>144</v>
      </c>
      <c r="D3513" s="26"/>
      <c r="E3513" s="27"/>
      <c r="F3513" s="27"/>
      <c r="G3513" s="27" t="s">
        <v>11122</v>
      </c>
      <c r="H3513" s="27" t="s">
        <v>35</v>
      </c>
      <c r="I3513" s="27" t="s">
        <v>41</v>
      </c>
      <c r="J3513" s="28" t="s">
        <v>2223</v>
      </c>
      <c r="K3513" s="27" t="s">
        <v>38</v>
      </c>
      <c r="L3513" s="27"/>
    </row>
    <row r="3514" customFormat="false" ht="15" hidden="false" customHeight="false" outlineLevel="0" collapsed="false">
      <c r="A3514" s="26" t="s">
        <v>11954</v>
      </c>
      <c r="B3514" s="27" t="s">
        <v>11941</v>
      </c>
      <c r="C3514" s="27" t="s">
        <v>100</v>
      </c>
      <c r="D3514" s="26"/>
      <c r="E3514" s="27"/>
      <c r="F3514" s="27"/>
      <c r="G3514" s="27" t="s">
        <v>11122</v>
      </c>
      <c r="H3514" s="27" t="s">
        <v>35</v>
      </c>
      <c r="I3514" s="27" t="s">
        <v>47</v>
      </c>
      <c r="J3514" s="28" t="s">
        <v>2223</v>
      </c>
      <c r="K3514" s="27" t="s">
        <v>38</v>
      </c>
      <c r="L3514" s="27"/>
    </row>
    <row r="3515" customFormat="false" ht="15" hidden="false" customHeight="false" outlineLevel="0" collapsed="false">
      <c r="A3515" s="26" t="s">
        <v>11955</v>
      </c>
      <c r="B3515" s="27" t="s">
        <v>11943</v>
      </c>
      <c r="C3515" s="27" t="s">
        <v>100</v>
      </c>
      <c r="D3515" s="26"/>
      <c r="E3515" s="27"/>
      <c r="F3515" s="27"/>
      <c r="G3515" s="27" t="s">
        <v>11122</v>
      </c>
      <c r="H3515" s="27" t="s">
        <v>35</v>
      </c>
      <c r="I3515" s="27" t="s">
        <v>39</v>
      </c>
      <c r="J3515" s="28" t="s">
        <v>2223</v>
      </c>
      <c r="K3515" s="27" t="s">
        <v>38</v>
      </c>
      <c r="L3515" s="27"/>
    </row>
    <row r="3516" customFormat="false" ht="15" hidden="false" customHeight="false" outlineLevel="0" collapsed="false">
      <c r="A3516" s="26" t="s">
        <v>11956</v>
      </c>
      <c r="B3516" s="27" t="s">
        <v>11957</v>
      </c>
      <c r="C3516" s="27" t="s">
        <v>144</v>
      </c>
      <c r="D3516" s="26"/>
      <c r="E3516" s="27"/>
      <c r="F3516" s="27"/>
      <c r="G3516" s="27" t="s">
        <v>11122</v>
      </c>
      <c r="H3516" s="27" t="s">
        <v>35</v>
      </c>
      <c r="I3516" s="27" t="s">
        <v>39</v>
      </c>
      <c r="J3516" s="28" t="s">
        <v>2223</v>
      </c>
      <c r="K3516" s="27" t="s">
        <v>38</v>
      </c>
      <c r="L3516" s="27"/>
    </row>
    <row r="3517" customFormat="false" ht="15" hidden="false" customHeight="false" outlineLevel="0" collapsed="false">
      <c r="A3517" s="26" t="s">
        <v>11958</v>
      </c>
      <c r="B3517" s="27" t="s">
        <v>11959</v>
      </c>
      <c r="C3517" s="27" t="s">
        <v>144</v>
      </c>
      <c r="D3517" s="26"/>
      <c r="E3517" s="27"/>
      <c r="F3517" s="27"/>
      <c r="G3517" s="27" t="s">
        <v>11122</v>
      </c>
      <c r="H3517" s="27" t="s">
        <v>35</v>
      </c>
      <c r="I3517" s="27" t="s">
        <v>37</v>
      </c>
      <c r="J3517" s="28" t="s">
        <v>3751</v>
      </c>
      <c r="K3517" s="27" t="s">
        <v>37</v>
      </c>
      <c r="L3517" s="27"/>
    </row>
    <row r="3518" customFormat="false" ht="15" hidden="false" customHeight="false" outlineLevel="0" collapsed="false">
      <c r="A3518" s="26" t="s">
        <v>11960</v>
      </c>
      <c r="B3518" s="27" t="s">
        <v>11961</v>
      </c>
      <c r="C3518" s="27" t="s">
        <v>3373</v>
      </c>
      <c r="D3518" s="26"/>
      <c r="E3518" s="27"/>
      <c r="F3518" s="27"/>
      <c r="G3518" s="27" t="s">
        <v>11122</v>
      </c>
      <c r="H3518" s="27" t="s">
        <v>35</v>
      </c>
      <c r="I3518" s="27" t="s">
        <v>39</v>
      </c>
      <c r="J3518" s="28" t="s">
        <v>3751</v>
      </c>
      <c r="K3518" s="27" t="s">
        <v>37</v>
      </c>
      <c r="L3518" s="27"/>
    </row>
    <row r="3519" customFormat="false" ht="15" hidden="false" customHeight="false" outlineLevel="0" collapsed="false">
      <c r="A3519" s="26" t="s">
        <v>11962</v>
      </c>
      <c r="B3519" s="27" t="s">
        <v>11963</v>
      </c>
      <c r="C3519" s="27" t="s">
        <v>144</v>
      </c>
      <c r="D3519" s="26"/>
      <c r="E3519" s="27"/>
      <c r="F3519" s="27"/>
      <c r="G3519" s="27" t="s">
        <v>11122</v>
      </c>
      <c r="H3519" s="27" t="s">
        <v>35</v>
      </c>
      <c r="I3519" s="27" t="s">
        <v>37</v>
      </c>
      <c r="J3519" s="28" t="s">
        <v>3751</v>
      </c>
      <c r="K3519" s="27" t="s">
        <v>37</v>
      </c>
      <c r="L3519" s="27"/>
    </row>
    <row r="3520" customFormat="false" ht="15" hidden="false" customHeight="false" outlineLevel="0" collapsed="false">
      <c r="A3520" s="26" t="s">
        <v>11964</v>
      </c>
      <c r="B3520" s="27" t="s">
        <v>11965</v>
      </c>
      <c r="C3520" s="27" t="s">
        <v>144</v>
      </c>
      <c r="D3520" s="26"/>
      <c r="E3520" s="27"/>
      <c r="F3520" s="27"/>
      <c r="G3520" s="27" t="s">
        <v>11122</v>
      </c>
      <c r="H3520" s="27" t="s">
        <v>35</v>
      </c>
      <c r="I3520" s="27" t="s">
        <v>39</v>
      </c>
      <c r="J3520" s="28" t="s">
        <v>3751</v>
      </c>
      <c r="K3520" s="27" t="s">
        <v>37</v>
      </c>
      <c r="L3520" s="27"/>
    </row>
    <row r="3521" customFormat="false" ht="15" hidden="false" customHeight="false" outlineLevel="0" collapsed="false">
      <c r="A3521" s="26" t="s">
        <v>11966</v>
      </c>
      <c r="B3521" s="27" t="s">
        <v>11967</v>
      </c>
      <c r="C3521" s="27" t="s">
        <v>144</v>
      </c>
      <c r="D3521" s="26"/>
      <c r="E3521" s="27"/>
      <c r="F3521" s="27"/>
      <c r="G3521" s="27" t="s">
        <v>11122</v>
      </c>
      <c r="H3521" s="27" t="s">
        <v>35</v>
      </c>
      <c r="I3521" s="27" t="s">
        <v>39</v>
      </c>
      <c r="J3521" s="28" t="s">
        <v>147</v>
      </c>
      <c r="K3521" s="27" t="s">
        <v>45</v>
      </c>
      <c r="L3521" s="27"/>
    </row>
    <row r="3522" customFormat="false" ht="15" hidden="false" customHeight="false" outlineLevel="0" collapsed="false">
      <c r="A3522" s="26" t="s">
        <v>11968</v>
      </c>
      <c r="B3522" s="27" t="s">
        <v>11969</v>
      </c>
      <c r="C3522" s="27" t="s">
        <v>144</v>
      </c>
      <c r="D3522" s="26"/>
      <c r="E3522" s="27"/>
      <c r="F3522" s="27"/>
      <c r="G3522" s="27" t="s">
        <v>11122</v>
      </c>
      <c r="H3522" s="27" t="s">
        <v>35</v>
      </c>
      <c r="I3522" s="27" t="s">
        <v>45</v>
      </c>
      <c r="J3522" s="28" t="s">
        <v>147</v>
      </c>
      <c r="K3522" s="27" t="s">
        <v>45</v>
      </c>
      <c r="L3522" s="27"/>
    </row>
    <row r="3523" customFormat="false" ht="15" hidden="false" customHeight="false" outlineLevel="0" collapsed="false">
      <c r="A3523" s="26" t="s">
        <v>11970</v>
      </c>
      <c r="B3523" s="27" t="s">
        <v>11971</v>
      </c>
      <c r="C3523" s="27" t="s">
        <v>380</v>
      </c>
      <c r="D3523" s="26"/>
      <c r="E3523" s="27"/>
      <c r="F3523" s="27"/>
      <c r="G3523" s="27" t="s">
        <v>11122</v>
      </c>
      <c r="H3523" s="27" t="s">
        <v>35</v>
      </c>
      <c r="I3523" s="27" t="s">
        <v>45</v>
      </c>
      <c r="J3523" s="28" t="s">
        <v>147</v>
      </c>
      <c r="K3523" s="27" t="s">
        <v>45</v>
      </c>
      <c r="L3523" s="27"/>
    </row>
    <row r="3524" customFormat="false" ht="15" hidden="false" customHeight="false" outlineLevel="0" collapsed="false">
      <c r="A3524" s="26" t="s">
        <v>11972</v>
      </c>
      <c r="B3524" s="27" t="s">
        <v>11973</v>
      </c>
      <c r="C3524" s="27" t="s">
        <v>380</v>
      </c>
      <c r="D3524" s="26"/>
      <c r="E3524" s="27"/>
      <c r="F3524" s="27"/>
      <c r="G3524" s="27" t="s">
        <v>11122</v>
      </c>
      <c r="H3524" s="27" t="s">
        <v>35</v>
      </c>
      <c r="I3524" s="27" t="s">
        <v>45</v>
      </c>
      <c r="J3524" s="28" t="s">
        <v>147</v>
      </c>
      <c r="K3524" s="27" t="s">
        <v>45</v>
      </c>
      <c r="L3524" s="27"/>
    </row>
    <row r="3525" customFormat="false" ht="15" hidden="false" customHeight="false" outlineLevel="0" collapsed="false">
      <c r="A3525" s="26" t="s">
        <v>11974</v>
      </c>
      <c r="B3525" s="27" t="s">
        <v>11975</v>
      </c>
      <c r="C3525" s="27" t="s">
        <v>144</v>
      </c>
      <c r="D3525" s="26"/>
      <c r="E3525" s="27"/>
      <c r="F3525" s="27"/>
      <c r="G3525" s="27" t="s">
        <v>11122</v>
      </c>
      <c r="H3525" s="27" t="s">
        <v>35</v>
      </c>
      <c r="I3525" s="27" t="s">
        <v>44</v>
      </c>
      <c r="J3525" s="28" t="s">
        <v>147</v>
      </c>
      <c r="K3525" s="27" t="s">
        <v>45</v>
      </c>
      <c r="L3525" s="27"/>
    </row>
    <row r="3526" customFormat="false" ht="15" hidden="false" customHeight="false" outlineLevel="0" collapsed="false">
      <c r="A3526" s="26" t="s">
        <v>11976</v>
      </c>
      <c r="B3526" s="27" t="s">
        <v>11977</v>
      </c>
      <c r="C3526" s="27" t="s">
        <v>380</v>
      </c>
      <c r="D3526" s="26"/>
      <c r="E3526" s="27"/>
      <c r="F3526" s="27"/>
      <c r="G3526" s="27" t="s">
        <v>11122</v>
      </c>
      <c r="H3526" s="27" t="s">
        <v>35</v>
      </c>
      <c r="I3526" s="27" t="s">
        <v>45</v>
      </c>
      <c r="J3526" s="28" t="s">
        <v>147</v>
      </c>
      <c r="K3526" s="27" t="s">
        <v>45</v>
      </c>
      <c r="L3526" s="27"/>
    </row>
    <row r="3527" customFormat="false" ht="15" hidden="false" customHeight="false" outlineLevel="0" collapsed="false">
      <c r="A3527" s="26" t="s">
        <v>11978</v>
      </c>
      <c r="B3527" s="27" t="s">
        <v>11979</v>
      </c>
      <c r="C3527" s="27" t="s">
        <v>144</v>
      </c>
      <c r="D3527" s="26"/>
      <c r="E3527" s="27"/>
      <c r="F3527" s="27"/>
      <c r="G3527" s="27" t="s">
        <v>11122</v>
      </c>
      <c r="H3527" s="27" t="s">
        <v>35</v>
      </c>
      <c r="I3527" s="27" t="s">
        <v>45</v>
      </c>
      <c r="J3527" s="28" t="s">
        <v>147</v>
      </c>
      <c r="K3527" s="27" t="s">
        <v>45</v>
      </c>
      <c r="L3527" s="27"/>
    </row>
    <row r="3528" customFormat="false" ht="15" hidden="false" customHeight="false" outlineLevel="0" collapsed="false">
      <c r="A3528" s="26" t="s">
        <v>11980</v>
      </c>
      <c r="B3528" s="27" t="s">
        <v>11981</v>
      </c>
      <c r="C3528" s="27" t="s">
        <v>100</v>
      </c>
      <c r="D3528" s="26"/>
      <c r="E3528" s="27"/>
      <c r="F3528" s="27"/>
      <c r="G3528" s="27" t="s">
        <v>11122</v>
      </c>
      <c r="H3528" s="27" t="s">
        <v>35</v>
      </c>
      <c r="I3528" s="27" t="s">
        <v>45</v>
      </c>
      <c r="J3528" s="28" t="s">
        <v>147</v>
      </c>
      <c r="K3528" s="27" t="s">
        <v>45</v>
      </c>
      <c r="L3528" s="27"/>
    </row>
    <row r="3529" customFormat="false" ht="15" hidden="false" customHeight="false" outlineLevel="0" collapsed="false">
      <c r="A3529" s="26" t="s">
        <v>11982</v>
      </c>
      <c r="B3529" s="27" t="s">
        <v>11983</v>
      </c>
      <c r="C3529" s="27" t="s">
        <v>100</v>
      </c>
      <c r="D3529" s="26"/>
      <c r="E3529" s="27"/>
      <c r="F3529" s="27"/>
      <c r="G3529" s="27" t="s">
        <v>11122</v>
      </c>
      <c r="H3529" s="27" t="s">
        <v>35</v>
      </c>
      <c r="I3529" s="27" t="s">
        <v>45</v>
      </c>
      <c r="J3529" s="28" t="s">
        <v>147</v>
      </c>
      <c r="K3529" s="27" t="s">
        <v>45</v>
      </c>
      <c r="L3529" s="27"/>
    </row>
    <row r="3530" customFormat="false" ht="15" hidden="false" customHeight="false" outlineLevel="0" collapsed="false">
      <c r="A3530" s="26" t="s">
        <v>11984</v>
      </c>
      <c r="B3530" s="27" t="s">
        <v>11985</v>
      </c>
      <c r="C3530" s="27" t="s">
        <v>100</v>
      </c>
      <c r="D3530" s="26"/>
      <c r="E3530" s="27"/>
      <c r="F3530" s="27"/>
      <c r="G3530" s="27" t="s">
        <v>11122</v>
      </c>
      <c r="H3530" s="27" t="s">
        <v>35</v>
      </c>
      <c r="I3530" s="27" t="s">
        <v>42</v>
      </c>
      <c r="J3530" s="28" t="s">
        <v>147</v>
      </c>
      <c r="K3530" s="27" t="s">
        <v>45</v>
      </c>
      <c r="L3530" s="27"/>
    </row>
    <row r="3531" customFormat="false" ht="15" hidden="false" customHeight="false" outlineLevel="0" collapsed="false">
      <c r="A3531" s="26" t="s">
        <v>11986</v>
      </c>
      <c r="B3531" s="27" t="s">
        <v>11987</v>
      </c>
      <c r="C3531" s="27" t="s">
        <v>144</v>
      </c>
      <c r="D3531" s="26"/>
      <c r="E3531" s="27"/>
      <c r="F3531" s="27"/>
      <c r="G3531" s="27" t="s">
        <v>11122</v>
      </c>
      <c r="H3531" s="27" t="s">
        <v>35</v>
      </c>
      <c r="I3531" s="27" t="s">
        <v>45</v>
      </c>
      <c r="J3531" s="28" t="s">
        <v>147</v>
      </c>
      <c r="K3531" s="27" t="s">
        <v>45</v>
      </c>
      <c r="L3531" s="27"/>
    </row>
    <row r="3532" customFormat="false" ht="15" hidden="false" customHeight="false" outlineLevel="0" collapsed="false">
      <c r="A3532" s="26" t="s">
        <v>11988</v>
      </c>
      <c r="B3532" s="27" t="s">
        <v>11989</v>
      </c>
      <c r="C3532" s="27" t="s">
        <v>137</v>
      </c>
      <c r="D3532" s="26"/>
      <c r="E3532" s="27"/>
      <c r="F3532" s="27"/>
      <c r="G3532" s="27" t="s">
        <v>11122</v>
      </c>
      <c r="H3532" s="27" t="s">
        <v>35</v>
      </c>
      <c r="I3532" s="27" t="s">
        <v>45</v>
      </c>
      <c r="J3532" s="28" t="s">
        <v>147</v>
      </c>
      <c r="K3532" s="27" t="s">
        <v>45</v>
      </c>
      <c r="L3532" s="27"/>
    </row>
    <row r="3533" customFormat="false" ht="15" hidden="false" customHeight="false" outlineLevel="0" collapsed="false">
      <c r="A3533" s="26" t="s">
        <v>11990</v>
      </c>
      <c r="B3533" s="27" t="s">
        <v>11991</v>
      </c>
      <c r="C3533" s="27" t="s">
        <v>137</v>
      </c>
      <c r="D3533" s="26"/>
      <c r="E3533" s="27"/>
      <c r="F3533" s="27"/>
      <c r="G3533" s="27" t="s">
        <v>11122</v>
      </c>
      <c r="H3533" s="27" t="s">
        <v>35</v>
      </c>
      <c r="I3533" s="27" t="s">
        <v>45</v>
      </c>
      <c r="J3533" s="28" t="s">
        <v>147</v>
      </c>
      <c r="K3533" s="27" t="s">
        <v>45</v>
      </c>
      <c r="L3533" s="27"/>
    </row>
    <row r="3534" customFormat="false" ht="15" hidden="false" customHeight="false" outlineLevel="0" collapsed="false">
      <c r="A3534" s="26" t="s">
        <v>11992</v>
      </c>
      <c r="B3534" s="27" t="s">
        <v>11993</v>
      </c>
      <c r="C3534" s="27" t="s">
        <v>137</v>
      </c>
      <c r="D3534" s="26"/>
      <c r="E3534" s="27"/>
      <c r="F3534" s="27"/>
      <c r="G3534" s="27" t="s">
        <v>11122</v>
      </c>
      <c r="H3534" s="27" t="s">
        <v>35</v>
      </c>
      <c r="I3534" s="27" t="s">
        <v>45</v>
      </c>
      <c r="J3534" s="28" t="s">
        <v>147</v>
      </c>
      <c r="K3534" s="27" t="s">
        <v>45</v>
      </c>
      <c r="L3534" s="27"/>
    </row>
    <row r="3535" customFormat="false" ht="15" hidden="false" customHeight="false" outlineLevel="0" collapsed="false">
      <c r="A3535" s="26" t="s">
        <v>11994</v>
      </c>
      <c r="B3535" s="27" t="s">
        <v>11995</v>
      </c>
      <c r="C3535" s="27" t="s">
        <v>137</v>
      </c>
      <c r="D3535" s="26"/>
      <c r="E3535" s="27"/>
      <c r="F3535" s="27"/>
      <c r="G3535" s="27" t="s">
        <v>11122</v>
      </c>
      <c r="H3535" s="27" t="s">
        <v>35</v>
      </c>
      <c r="I3535" s="27" t="s">
        <v>45</v>
      </c>
      <c r="J3535" s="28" t="s">
        <v>147</v>
      </c>
      <c r="K3535" s="27" t="s">
        <v>45</v>
      </c>
      <c r="L3535" s="27"/>
    </row>
    <row r="3536" customFormat="false" ht="15" hidden="false" customHeight="false" outlineLevel="0" collapsed="false">
      <c r="A3536" s="26" t="s">
        <v>11996</v>
      </c>
      <c r="B3536" s="27" t="s">
        <v>11997</v>
      </c>
      <c r="C3536" s="27" t="s">
        <v>144</v>
      </c>
      <c r="D3536" s="26"/>
      <c r="E3536" s="27"/>
      <c r="F3536" s="27"/>
      <c r="G3536" s="27" t="s">
        <v>11122</v>
      </c>
      <c r="H3536" s="27" t="s">
        <v>35</v>
      </c>
      <c r="I3536" s="27" t="s">
        <v>45</v>
      </c>
      <c r="J3536" s="28" t="s">
        <v>147</v>
      </c>
      <c r="K3536" s="27" t="s">
        <v>45</v>
      </c>
      <c r="L3536" s="27"/>
    </row>
    <row r="3537" customFormat="false" ht="15" hidden="false" customHeight="false" outlineLevel="0" collapsed="false">
      <c r="A3537" s="26" t="s">
        <v>11998</v>
      </c>
      <c r="B3537" s="27" t="s">
        <v>11999</v>
      </c>
      <c r="C3537" s="27" t="s">
        <v>144</v>
      </c>
      <c r="D3537" s="26"/>
      <c r="E3537" s="27"/>
      <c r="F3537" s="27"/>
      <c r="G3537" s="27" t="s">
        <v>11122</v>
      </c>
      <c r="H3537" s="27" t="s">
        <v>35</v>
      </c>
      <c r="I3537" s="27" t="s">
        <v>45</v>
      </c>
      <c r="J3537" s="28" t="s">
        <v>147</v>
      </c>
      <c r="K3537" s="27" t="s">
        <v>45</v>
      </c>
      <c r="L3537" s="27"/>
    </row>
    <row r="3538" customFormat="false" ht="15" hidden="false" customHeight="false" outlineLevel="0" collapsed="false">
      <c r="A3538" s="26" t="s">
        <v>12000</v>
      </c>
      <c r="B3538" s="27" t="s">
        <v>12001</v>
      </c>
      <c r="C3538" s="27" t="s">
        <v>144</v>
      </c>
      <c r="D3538" s="26"/>
      <c r="E3538" s="27"/>
      <c r="F3538" s="27"/>
      <c r="G3538" s="27" t="s">
        <v>11122</v>
      </c>
      <c r="H3538" s="27" t="s">
        <v>35</v>
      </c>
      <c r="I3538" s="27" t="s">
        <v>44</v>
      </c>
      <c r="J3538" s="28" t="s">
        <v>147</v>
      </c>
      <c r="K3538" s="27" t="s">
        <v>45</v>
      </c>
      <c r="L3538" s="27"/>
    </row>
    <row r="3539" customFormat="false" ht="15" hidden="false" customHeight="false" outlineLevel="0" collapsed="false">
      <c r="A3539" s="26" t="s">
        <v>12002</v>
      </c>
      <c r="B3539" s="27" t="s">
        <v>12003</v>
      </c>
      <c r="C3539" s="27" t="s">
        <v>144</v>
      </c>
      <c r="D3539" s="26"/>
      <c r="E3539" s="27"/>
      <c r="F3539" s="27"/>
      <c r="G3539" s="27" t="s">
        <v>11122</v>
      </c>
      <c r="H3539" s="27" t="s">
        <v>35</v>
      </c>
      <c r="I3539" s="27" t="s">
        <v>45</v>
      </c>
      <c r="J3539" s="28" t="s">
        <v>147</v>
      </c>
      <c r="K3539" s="27" t="s">
        <v>45</v>
      </c>
      <c r="L3539" s="27"/>
    </row>
    <row r="3540" customFormat="false" ht="15" hidden="false" customHeight="false" outlineLevel="0" collapsed="false">
      <c r="A3540" s="26" t="s">
        <v>12004</v>
      </c>
      <c r="B3540" s="27" t="s">
        <v>12005</v>
      </c>
      <c r="C3540" s="27" t="s">
        <v>144</v>
      </c>
      <c r="D3540" s="26"/>
      <c r="E3540" s="27"/>
      <c r="F3540" s="27"/>
      <c r="G3540" s="27" t="s">
        <v>11122</v>
      </c>
      <c r="H3540" s="27" t="s">
        <v>35</v>
      </c>
      <c r="I3540" s="27" t="s">
        <v>45</v>
      </c>
      <c r="J3540" s="28" t="s">
        <v>147</v>
      </c>
      <c r="K3540" s="27" t="s">
        <v>45</v>
      </c>
      <c r="L3540" s="27"/>
    </row>
    <row r="3541" customFormat="false" ht="15" hidden="false" customHeight="false" outlineLevel="0" collapsed="false">
      <c r="A3541" s="26" t="s">
        <v>12006</v>
      </c>
      <c r="B3541" s="27" t="s">
        <v>12007</v>
      </c>
      <c r="C3541" s="27" t="s">
        <v>144</v>
      </c>
      <c r="D3541" s="26"/>
      <c r="E3541" s="27"/>
      <c r="F3541" s="27"/>
      <c r="G3541" s="27" t="s">
        <v>11122</v>
      </c>
      <c r="H3541" s="27" t="s">
        <v>35</v>
      </c>
      <c r="I3541" s="27" t="s">
        <v>45</v>
      </c>
      <c r="J3541" s="28" t="s">
        <v>147</v>
      </c>
      <c r="K3541" s="27" t="s">
        <v>45</v>
      </c>
      <c r="L3541" s="27"/>
    </row>
    <row r="3542" customFormat="false" ht="15" hidden="false" customHeight="false" outlineLevel="0" collapsed="false">
      <c r="A3542" s="26" t="s">
        <v>12008</v>
      </c>
      <c r="B3542" s="27" t="s">
        <v>12009</v>
      </c>
      <c r="C3542" s="27" t="s">
        <v>137</v>
      </c>
      <c r="D3542" s="26"/>
      <c r="E3542" s="27"/>
      <c r="F3542" s="27"/>
      <c r="G3542" s="27" t="s">
        <v>11122</v>
      </c>
      <c r="H3542" s="27" t="s">
        <v>35</v>
      </c>
      <c r="I3542" s="27" t="s">
        <v>45</v>
      </c>
      <c r="J3542" s="28" t="s">
        <v>147</v>
      </c>
      <c r="K3542" s="27" t="s">
        <v>45</v>
      </c>
      <c r="L3542" s="27"/>
    </row>
    <row r="3543" customFormat="false" ht="15" hidden="false" customHeight="false" outlineLevel="0" collapsed="false">
      <c r="A3543" s="26" t="s">
        <v>12010</v>
      </c>
      <c r="B3543" s="27" t="s">
        <v>12011</v>
      </c>
      <c r="C3543" s="27" t="s">
        <v>1845</v>
      </c>
      <c r="D3543" s="26"/>
      <c r="E3543" s="27"/>
      <c r="F3543" s="27"/>
      <c r="G3543" s="27" t="s">
        <v>11122</v>
      </c>
      <c r="H3543" s="27" t="s">
        <v>35</v>
      </c>
      <c r="I3543" s="27" t="s">
        <v>45</v>
      </c>
      <c r="J3543" s="28" t="s">
        <v>147</v>
      </c>
      <c r="K3543" s="27" t="s">
        <v>45</v>
      </c>
      <c r="L3543" s="27"/>
    </row>
    <row r="3544" customFormat="false" ht="15" hidden="false" customHeight="false" outlineLevel="0" collapsed="false">
      <c r="A3544" s="26" t="s">
        <v>12012</v>
      </c>
      <c r="B3544" s="27" t="s">
        <v>12013</v>
      </c>
      <c r="C3544" s="27" t="s">
        <v>1845</v>
      </c>
      <c r="D3544" s="26"/>
      <c r="E3544" s="27"/>
      <c r="F3544" s="27"/>
      <c r="G3544" s="27" t="s">
        <v>11122</v>
      </c>
      <c r="H3544" s="27" t="s">
        <v>35</v>
      </c>
      <c r="I3544" s="27" t="s">
        <v>45</v>
      </c>
      <c r="J3544" s="28" t="s">
        <v>147</v>
      </c>
      <c r="K3544" s="27" t="s">
        <v>45</v>
      </c>
      <c r="L3544" s="27"/>
    </row>
    <row r="3545" customFormat="false" ht="15" hidden="false" customHeight="false" outlineLevel="0" collapsed="false">
      <c r="A3545" s="26" t="s">
        <v>12014</v>
      </c>
      <c r="B3545" s="27" t="s">
        <v>12015</v>
      </c>
      <c r="C3545" s="27" t="s">
        <v>144</v>
      </c>
      <c r="D3545" s="26"/>
      <c r="E3545" s="27"/>
      <c r="F3545" s="27"/>
      <c r="G3545" s="27" t="s">
        <v>11122</v>
      </c>
      <c r="H3545" s="27" t="s">
        <v>35</v>
      </c>
      <c r="I3545" s="27" t="s">
        <v>45</v>
      </c>
      <c r="J3545" s="28" t="s">
        <v>147</v>
      </c>
      <c r="K3545" s="27" t="s">
        <v>45</v>
      </c>
      <c r="L3545" s="27"/>
    </row>
    <row r="3546" customFormat="false" ht="15" hidden="false" customHeight="false" outlineLevel="0" collapsed="false">
      <c r="A3546" s="26" t="s">
        <v>12016</v>
      </c>
      <c r="B3546" s="27" t="s">
        <v>12017</v>
      </c>
      <c r="C3546" s="27" t="s">
        <v>144</v>
      </c>
      <c r="D3546" s="26"/>
      <c r="E3546" s="27"/>
      <c r="F3546" s="27"/>
      <c r="G3546" s="27" t="s">
        <v>11122</v>
      </c>
      <c r="H3546" s="27" t="s">
        <v>35</v>
      </c>
      <c r="I3546" s="27" t="s">
        <v>38</v>
      </c>
      <c r="J3546" s="28" t="s">
        <v>147</v>
      </c>
      <c r="K3546" s="27" t="s">
        <v>45</v>
      </c>
      <c r="L3546" s="27"/>
    </row>
    <row r="3547" customFormat="false" ht="15" hidden="false" customHeight="false" outlineLevel="0" collapsed="false">
      <c r="A3547" s="26" t="s">
        <v>12018</v>
      </c>
      <c r="B3547" s="27" t="s">
        <v>12019</v>
      </c>
      <c r="C3547" s="27" t="s">
        <v>144</v>
      </c>
      <c r="D3547" s="26"/>
      <c r="E3547" s="27"/>
      <c r="F3547" s="27"/>
      <c r="G3547" s="27" t="s">
        <v>11122</v>
      </c>
      <c r="H3547" s="27" t="s">
        <v>35</v>
      </c>
      <c r="I3547" s="27" t="s">
        <v>42</v>
      </c>
      <c r="J3547" s="28" t="s">
        <v>147</v>
      </c>
      <c r="K3547" s="27" t="s">
        <v>45</v>
      </c>
      <c r="L3547" s="27"/>
    </row>
    <row r="3548" customFormat="false" ht="15" hidden="false" customHeight="false" outlineLevel="0" collapsed="false">
      <c r="A3548" s="26" t="s">
        <v>12020</v>
      </c>
      <c r="B3548" s="27" t="s">
        <v>12021</v>
      </c>
      <c r="C3548" s="27" t="s">
        <v>144</v>
      </c>
      <c r="D3548" s="26"/>
      <c r="E3548" s="27"/>
      <c r="F3548" s="27"/>
      <c r="G3548" s="27" t="s">
        <v>11122</v>
      </c>
      <c r="H3548" s="27" t="s">
        <v>35</v>
      </c>
      <c r="I3548" s="27" t="s">
        <v>41</v>
      </c>
      <c r="J3548" s="28" t="s">
        <v>147</v>
      </c>
      <c r="K3548" s="27" t="s">
        <v>45</v>
      </c>
      <c r="L3548" s="27"/>
    </row>
    <row r="3549" customFormat="false" ht="15" hidden="false" customHeight="false" outlineLevel="0" collapsed="false">
      <c r="A3549" s="26" t="s">
        <v>12022</v>
      </c>
      <c r="B3549" s="27" t="s">
        <v>12023</v>
      </c>
      <c r="C3549" s="27" t="s">
        <v>3373</v>
      </c>
      <c r="D3549" s="26"/>
      <c r="E3549" s="27"/>
      <c r="F3549" s="27"/>
      <c r="G3549" s="27" t="s">
        <v>11122</v>
      </c>
      <c r="H3549" s="27" t="s">
        <v>35</v>
      </c>
      <c r="I3549" s="27" t="s">
        <v>44</v>
      </c>
      <c r="J3549" s="28" t="s">
        <v>147</v>
      </c>
      <c r="K3549" s="27" t="s">
        <v>45</v>
      </c>
      <c r="L3549" s="27"/>
    </row>
    <row r="3550" customFormat="false" ht="15" hidden="false" customHeight="false" outlineLevel="0" collapsed="false">
      <c r="A3550" s="26" t="s">
        <v>12024</v>
      </c>
      <c r="B3550" s="27" t="s">
        <v>12025</v>
      </c>
      <c r="C3550" s="27" t="s">
        <v>144</v>
      </c>
      <c r="D3550" s="26"/>
      <c r="E3550" s="27"/>
      <c r="F3550" s="27"/>
      <c r="G3550" s="27" t="s">
        <v>11122</v>
      </c>
      <c r="H3550" s="27" t="s">
        <v>35</v>
      </c>
      <c r="I3550" s="27" t="s">
        <v>37</v>
      </c>
      <c r="J3550" s="28" t="s">
        <v>147</v>
      </c>
      <c r="K3550" s="27" t="s">
        <v>45</v>
      </c>
      <c r="L3550" s="27"/>
    </row>
    <row r="3551" customFormat="false" ht="15" hidden="false" customHeight="false" outlineLevel="0" collapsed="false">
      <c r="A3551" s="26" t="s">
        <v>12026</v>
      </c>
      <c r="B3551" s="27" t="s">
        <v>12027</v>
      </c>
      <c r="C3551" s="27" t="s">
        <v>144</v>
      </c>
      <c r="D3551" s="26"/>
      <c r="E3551" s="27"/>
      <c r="F3551" s="27"/>
      <c r="G3551" s="27" t="s">
        <v>11122</v>
      </c>
      <c r="H3551" s="27" t="s">
        <v>35</v>
      </c>
      <c r="I3551" s="27" t="s">
        <v>41</v>
      </c>
      <c r="J3551" s="28" t="s">
        <v>147</v>
      </c>
      <c r="K3551" s="27" t="s">
        <v>45</v>
      </c>
      <c r="L3551" s="27"/>
    </row>
    <row r="3552" customFormat="false" ht="15" hidden="false" customHeight="false" outlineLevel="0" collapsed="false">
      <c r="A3552" s="26" t="s">
        <v>12028</v>
      </c>
      <c r="B3552" s="27" t="s">
        <v>12029</v>
      </c>
      <c r="C3552" s="27" t="s">
        <v>144</v>
      </c>
      <c r="D3552" s="26"/>
      <c r="E3552" s="27"/>
      <c r="F3552" s="27"/>
      <c r="G3552" s="27" t="s">
        <v>11122</v>
      </c>
      <c r="H3552" s="27" t="s">
        <v>35</v>
      </c>
      <c r="I3552" s="27" t="s">
        <v>1309</v>
      </c>
      <c r="J3552" s="28" t="s">
        <v>147</v>
      </c>
      <c r="K3552" s="27" t="s">
        <v>45</v>
      </c>
      <c r="L3552" s="27"/>
    </row>
    <row r="3553" customFormat="false" ht="15" hidden="false" customHeight="false" outlineLevel="0" collapsed="false">
      <c r="A3553" s="26" t="s">
        <v>12030</v>
      </c>
      <c r="B3553" s="27" t="s">
        <v>12031</v>
      </c>
      <c r="C3553" s="27" t="s">
        <v>144</v>
      </c>
      <c r="D3553" s="26"/>
      <c r="E3553" s="27"/>
      <c r="F3553" s="27"/>
      <c r="G3553" s="27" t="s">
        <v>11122</v>
      </c>
      <c r="H3553" s="27" t="s">
        <v>35</v>
      </c>
      <c r="I3553" s="28" t="s">
        <v>46</v>
      </c>
      <c r="J3553" s="28" t="s">
        <v>147</v>
      </c>
      <c r="K3553" s="27" t="s">
        <v>45</v>
      </c>
      <c r="L3553" s="27"/>
    </row>
    <row r="3554" customFormat="false" ht="15" hidden="false" customHeight="false" outlineLevel="0" collapsed="false">
      <c r="A3554" s="26" t="s">
        <v>12032</v>
      </c>
      <c r="B3554" s="27" t="s">
        <v>12033</v>
      </c>
      <c r="C3554" s="27" t="s">
        <v>144</v>
      </c>
      <c r="D3554" s="26"/>
      <c r="E3554" s="27"/>
      <c r="F3554" s="27"/>
      <c r="G3554" s="27" t="s">
        <v>11122</v>
      </c>
      <c r="H3554" s="27" t="s">
        <v>35</v>
      </c>
      <c r="I3554" s="27" t="s">
        <v>40</v>
      </c>
      <c r="J3554" s="28" t="s">
        <v>147</v>
      </c>
      <c r="K3554" s="27" t="s">
        <v>45</v>
      </c>
      <c r="L3554" s="27"/>
    </row>
    <row r="3555" customFormat="false" ht="15" hidden="false" customHeight="false" outlineLevel="0" collapsed="false">
      <c r="A3555" s="26" t="s">
        <v>12034</v>
      </c>
      <c r="B3555" s="27" t="s">
        <v>12035</v>
      </c>
      <c r="C3555" s="27" t="s">
        <v>144</v>
      </c>
      <c r="D3555" s="26"/>
      <c r="E3555" s="27"/>
      <c r="F3555" s="27"/>
      <c r="G3555" s="27" t="s">
        <v>11122</v>
      </c>
      <c r="H3555" s="27" t="s">
        <v>35</v>
      </c>
      <c r="I3555" s="27" t="s">
        <v>40</v>
      </c>
      <c r="J3555" s="28" t="s">
        <v>147</v>
      </c>
      <c r="K3555" s="27" t="s">
        <v>45</v>
      </c>
      <c r="L3555" s="27"/>
    </row>
    <row r="3556" customFormat="false" ht="15" hidden="false" customHeight="false" outlineLevel="0" collapsed="false">
      <c r="A3556" s="26" t="s">
        <v>12036</v>
      </c>
      <c r="B3556" s="27" t="s">
        <v>12037</v>
      </c>
      <c r="C3556" s="27" t="s">
        <v>144</v>
      </c>
      <c r="D3556" s="26"/>
      <c r="E3556" s="27"/>
      <c r="F3556" s="27"/>
      <c r="G3556" s="27" t="s">
        <v>11122</v>
      </c>
      <c r="H3556" s="27" t="s">
        <v>35</v>
      </c>
      <c r="I3556" s="27" t="s">
        <v>40</v>
      </c>
      <c r="J3556" s="28" t="s">
        <v>147</v>
      </c>
      <c r="K3556" s="27" t="s">
        <v>45</v>
      </c>
      <c r="L3556" s="27"/>
    </row>
    <row r="3557" customFormat="false" ht="15" hidden="false" customHeight="false" outlineLevel="0" collapsed="false">
      <c r="A3557" s="26" t="s">
        <v>12038</v>
      </c>
      <c r="B3557" s="27" t="s">
        <v>12039</v>
      </c>
      <c r="C3557" s="27" t="s">
        <v>144</v>
      </c>
      <c r="D3557" s="26"/>
      <c r="E3557" s="27"/>
      <c r="F3557" s="27"/>
      <c r="G3557" s="27" t="s">
        <v>11122</v>
      </c>
      <c r="H3557" s="27" t="s">
        <v>35</v>
      </c>
      <c r="I3557" s="27" t="s">
        <v>37</v>
      </c>
      <c r="J3557" s="28" t="s">
        <v>147</v>
      </c>
      <c r="K3557" s="27" t="s">
        <v>45</v>
      </c>
      <c r="L3557" s="27"/>
    </row>
    <row r="3558" customFormat="false" ht="15" hidden="false" customHeight="false" outlineLevel="0" collapsed="false">
      <c r="A3558" s="26" t="s">
        <v>12040</v>
      </c>
      <c r="B3558" s="27" t="s">
        <v>12041</v>
      </c>
      <c r="C3558" s="27" t="s">
        <v>144</v>
      </c>
      <c r="D3558" s="26"/>
      <c r="E3558" s="27"/>
      <c r="F3558" s="27"/>
      <c r="G3558" s="27" t="s">
        <v>11122</v>
      </c>
      <c r="H3558" s="27" t="s">
        <v>35</v>
      </c>
      <c r="I3558" s="27" t="s">
        <v>40</v>
      </c>
      <c r="J3558" s="28" t="s">
        <v>147</v>
      </c>
      <c r="K3558" s="27" t="s">
        <v>45</v>
      </c>
      <c r="L3558" s="27"/>
    </row>
    <row r="3559" customFormat="false" ht="15" hidden="false" customHeight="false" outlineLevel="0" collapsed="false">
      <c r="A3559" s="26" t="s">
        <v>12042</v>
      </c>
      <c r="B3559" s="27" t="s">
        <v>12043</v>
      </c>
      <c r="C3559" s="27" t="s">
        <v>144</v>
      </c>
      <c r="D3559" s="26"/>
      <c r="E3559" s="27"/>
      <c r="F3559" s="27"/>
      <c r="G3559" s="27" t="s">
        <v>11122</v>
      </c>
      <c r="H3559" s="27" t="s">
        <v>35</v>
      </c>
      <c r="I3559" s="27" t="s">
        <v>40</v>
      </c>
      <c r="J3559" s="28" t="s">
        <v>147</v>
      </c>
      <c r="K3559" s="27" t="s">
        <v>45</v>
      </c>
      <c r="L3559" s="27"/>
    </row>
    <row r="3560" customFormat="false" ht="15" hidden="false" customHeight="false" outlineLevel="0" collapsed="false">
      <c r="A3560" s="26" t="s">
        <v>12044</v>
      </c>
      <c r="B3560" s="27" t="s">
        <v>12045</v>
      </c>
      <c r="C3560" s="27" t="s">
        <v>144</v>
      </c>
      <c r="D3560" s="26"/>
      <c r="E3560" s="27"/>
      <c r="F3560" s="27"/>
      <c r="G3560" s="27" t="s">
        <v>11122</v>
      </c>
      <c r="H3560" s="27" t="s">
        <v>35</v>
      </c>
      <c r="I3560" s="27" t="s">
        <v>40</v>
      </c>
      <c r="J3560" s="28" t="s">
        <v>147</v>
      </c>
      <c r="K3560" s="27" t="s">
        <v>45</v>
      </c>
      <c r="L3560" s="27"/>
    </row>
    <row r="3561" customFormat="false" ht="15" hidden="false" customHeight="false" outlineLevel="0" collapsed="false">
      <c r="A3561" s="26" t="s">
        <v>12046</v>
      </c>
      <c r="B3561" s="27" t="s">
        <v>12047</v>
      </c>
      <c r="C3561" s="27" t="s">
        <v>144</v>
      </c>
      <c r="D3561" s="26"/>
      <c r="E3561" s="27"/>
      <c r="F3561" s="27"/>
      <c r="G3561" s="27" t="s">
        <v>11122</v>
      </c>
      <c r="H3561" s="27" t="s">
        <v>35</v>
      </c>
      <c r="I3561" s="27" t="s">
        <v>37</v>
      </c>
      <c r="J3561" s="28" t="s">
        <v>147</v>
      </c>
      <c r="K3561" s="27" t="s">
        <v>45</v>
      </c>
      <c r="L3561" s="27"/>
    </row>
    <row r="3562" customFormat="false" ht="15" hidden="false" customHeight="false" outlineLevel="0" collapsed="false">
      <c r="A3562" s="26" t="s">
        <v>12048</v>
      </c>
      <c r="B3562" s="27" t="s">
        <v>12049</v>
      </c>
      <c r="C3562" s="27" t="s">
        <v>370</v>
      </c>
      <c r="D3562" s="26"/>
      <c r="E3562" s="27"/>
      <c r="F3562" s="27"/>
      <c r="G3562" s="27" t="s">
        <v>11122</v>
      </c>
      <c r="H3562" s="27" t="s">
        <v>35</v>
      </c>
      <c r="I3562" s="27" t="s">
        <v>47</v>
      </c>
      <c r="J3562" s="28" t="s">
        <v>147</v>
      </c>
      <c r="K3562" s="27" t="s">
        <v>45</v>
      </c>
      <c r="L3562" s="27"/>
    </row>
    <row r="3563" customFormat="false" ht="15" hidden="false" customHeight="false" outlineLevel="0" collapsed="false">
      <c r="A3563" s="26" t="s">
        <v>12050</v>
      </c>
      <c r="B3563" s="27" t="s">
        <v>12051</v>
      </c>
      <c r="C3563" s="27" t="s">
        <v>370</v>
      </c>
      <c r="D3563" s="26"/>
      <c r="E3563" s="27"/>
      <c r="F3563" s="27"/>
      <c r="G3563" s="27" t="s">
        <v>11122</v>
      </c>
      <c r="H3563" s="27" t="s">
        <v>35</v>
      </c>
      <c r="I3563" s="27" t="s">
        <v>47</v>
      </c>
      <c r="J3563" s="28" t="s">
        <v>147</v>
      </c>
      <c r="K3563" s="27" t="s">
        <v>45</v>
      </c>
      <c r="L3563" s="27"/>
    </row>
    <row r="3564" customFormat="false" ht="15" hidden="false" customHeight="false" outlineLevel="0" collapsed="false">
      <c r="A3564" s="26" t="s">
        <v>12052</v>
      </c>
      <c r="B3564" s="27" t="s">
        <v>12053</v>
      </c>
      <c r="C3564" s="27" t="s">
        <v>370</v>
      </c>
      <c r="D3564" s="26"/>
      <c r="E3564" s="27"/>
      <c r="F3564" s="27"/>
      <c r="G3564" s="27" t="s">
        <v>11122</v>
      </c>
      <c r="H3564" s="27" t="s">
        <v>35</v>
      </c>
      <c r="I3564" s="27" t="s">
        <v>37</v>
      </c>
      <c r="J3564" s="28" t="s">
        <v>147</v>
      </c>
      <c r="K3564" s="27" t="s">
        <v>45</v>
      </c>
      <c r="L3564" s="27"/>
    </row>
    <row r="3565" customFormat="false" ht="15" hidden="false" customHeight="false" outlineLevel="0" collapsed="false">
      <c r="A3565" s="26" t="s">
        <v>12054</v>
      </c>
      <c r="B3565" s="27" t="s">
        <v>12055</v>
      </c>
      <c r="C3565" s="27" t="s">
        <v>370</v>
      </c>
      <c r="D3565" s="26"/>
      <c r="E3565" s="27"/>
      <c r="F3565" s="27"/>
      <c r="G3565" s="27" t="s">
        <v>11122</v>
      </c>
      <c r="H3565" s="27" t="s">
        <v>35</v>
      </c>
      <c r="I3565" s="27" t="s">
        <v>42</v>
      </c>
      <c r="J3565" s="28" t="s">
        <v>147</v>
      </c>
      <c r="K3565" s="27" t="s">
        <v>45</v>
      </c>
      <c r="L3565" s="27"/>
    </row>
    <row r="3566" customFormat="false" ht="15" hidden="false" customHeight="false" outlineLevel="0" collapsed="false">
      <c r="A3566" s="26" t="s">
        <v>12056</v>
      </c>
      <c r="B3566" s="27" t="s">
        <v>12057</v>
      </c>
      <c r="C3566" s="27" t="s">
        <v>370</v>
      </c>
      <c r="D3566" s="26"/>
      <c r="E3566" s="27"/>
      <c r="F3566" s="27"/>
      <c r="G3566" s="27" t="s">
        <v>11122</v>
      </c>
      <c r="H3566" s="27" t="s">
        <v>35</v>
      </c>
      <c r="I3566" s="27" t="s">
        <v>43</v>
      </c>
      <c r="J3566" s="28" t="s">
        <v>147</v>
      </c>
      <c r="K3566" s="27" t="s">
        <v>45</v>
      </c>
      <c r="L3566" s="27"/>
    </row>
    <row r="3567" customFormat="false" ht="15" hidden="false" customHeight="false" outlineLevel="0" collapsed="false">
      <c r="A3567" s="26" t="s">
        <v>12058</v>
      </c>
      <c r="B3567" s="27" t="s">
        <v>12059</v>
      </c>
      <c r="C3567" s="27" t="s">
        <v>370</v>
      </c>
      <c r="D3567" s="26"/>
      <c r="E3567" s="27"/>
      <c r="F3567" s="27"/>
      <c r="G3567" s="27" t="s">
        <v>11122</v>
      </c>
      <c r="H3567" s="27" t="s">
        <v>35</v>
      </c>
      <c r="I3567" s="27" t="s">
        <v>47</v>
      </c>
      <c r="J3567" s="28" t="s">
        <v>147</v>
      </c>
      <c r="K3567" s="27" t="s">
        <v>45</v>
      </c>
      <c r="L3567" s="27"/>
    </row>
    <row r="3568" customFormat="false" ht="15" hidden="false" customHeight="false" outlineLevel="0" collapsed="false">
      <c r="A3568" s="26" t="s">
        <v>12060</v>
      </c>
      <c r="B3568" s="27" t="s">
        <v>12061</v>
      </c>
      <c r="C3568" s="27" t="s">
        <v>370</v>
      </c>
      <c r="D3568" s="26"/>
      <c r="E3568" s="27"/>
      <c r="F3568" s="27"/>
      <c r="G3568" s="27" t="s">
        <v>11122</v>
      </c>
      <c r="H3568" s="27" t="s">
        <v>35</v>
      </c>
      <c r="I3568" s="27" t="s">
        <v>38</v>
      </c>
      <c r="J3568" s="28" t="s">
        <v>147</v>
      </c>
      <c r="K3568" s="27" t="s">
        <v>45</v>
      </c>
      <c r="L3568" s="27"/>
    </row>
    <row r="3569" customFormat="false" ht="15" hidden="false" customHeight="false" outlineLevel="0" collapsed="false">
      <c r="A3569" s="26" t="s">
        <v>12062</v>
      </c>
      <c r="B3569" s="27" t="s">
        <v>12063</v>
      </c>
      <c r="C3569" s="27" t="s">
        <v>144</v>
      </c>
      <c r="D3569" s="26"/>
      <c r="E3569" s="27"/>
      <c r="F3569" s="27"/>
      <c r="G3569" s="27" t="s">
        <v>11122</v>
      </c>
      <c r="H3569" s="27" t="s">
        <v>35</v>
      </c>
      <c r="I3569" s="27" t="s">
        <v>37</v>
      </c>
      <c r="J3569" s="28" t="s">
        <v>147</v>
      </c>
      <c r="K3569" s="27" t="s">
        <v>45</v>
      </c>
      <c r="L3569" s="27"/>
    </row>
    <row r="3570" customFormat="false" ht="15" hidden="false" customHeight="false" outlineLevel="0" collapsed="false">
      <c r="A3570" s="26" t="s">
        <v>12064</v>
      </c>
      <c r="B3570" s="27" t="s">
        <v>12065</v>
      </c>
      <c r="C3570" s="27" t="s">
        <v>370</v>
      </c>
      <c r="D3570" s="26"/>
      <c r="E3570" s="27"/>
      <c r="F3570" s="27"/>
      <c r="G3570" s="27" t="s">
        <v>11122</v>
      </c>
      <c r="H3570" s="27" t="s">
        <v>35</v>
      </c>
      <c r="I3570" s="27" t="s">
        <v>37</v>
      </c>
      <c r="J3570" s="28" t="s">
        <v>147</v>
      </c>
      <c r="K3570" s="27" t="s">
        <v>45</v>
      </c>
      <c r="L3570" s="27"/>
    </row>
    <row r="3571" customFormat="false" ht="15" hidden="false" customHeight="false" outlineLevel="0" collapsed="false">
      <c r="A3571" s="26" t="s">
        <v>12066</v>
      </c>
      <c r="B3571" s="27" t="s">
        <v>12067</v>
      </c>
      <c r="C3571" s="27" t="s">
        <v>144</v>
      </c>
      <c r="D3571" s="26"/>
      <c r="E3571" s="27"/>
      <c r="F3571" s="27"/>
      <c r="G3571" s="27" t="s">
        <v>11122</v>
      </c>
      <c r="H3571" s="27" t="s">
        <v>35</v>
      </c>
      <c r="I3571" s="27" t="s">
        <v>40</v>
      </c>
      <c r="J3571" s="28" t="s">
        <v>147</v>
      </c>
      <c r="K3571" s="27" t="s">
        <v>45</v>
      </c>
      <c r="L3571" s="27"/>
    </row>
    <row r="3572" customFormat="false" ht="15" hidden="false" customHeight="false" outlineLevel="0" collapsed="false">
      <c r="A3572" s="26" t="s">
        <v>12068</v>
      </c>
      <c r="B3572" s="27" t="s">
        <v>12069</v>
      </c>
      <c r="C3572" s="27" t="s">
        <v>144</v>
      </c>
      <c r="D3572" s="26"/>
      <c r="E3572" s="27"/>
      <c r="F3572" s="27"/>
      <c r="G3572" s="27" t="s">
        <v>11122</v>
      </c>
      <c r="H3572" s="27" t="s">
        <v>35</v>
      </c>
      <c r="I3572" s="27" t="s">
        <v>39</v>
      </c>
      <c r="J3572" s="28" t="s">
        <v>147</v>
      </c>
      <c r="K3572" s="27" t="s">
        <v>45</v>
      </c>
      <c r="L3572" s="27"/>
    </row>
    <row r="3573" customFormat="false" ht="15" hidden="false" customHeight="false" outlineLevel="0" collapsed="false">
      <c r="A3573" s="26" t="s">
        <v>12070</v>
      </c>
      <c r="B3573" s="27" t="s">
        <v>12071</v>
      </c>
      <c r="C3573" s="27" t="s">
        <v>144</v>
      </c>
      <c r="D3573" s="26"/>
      <c r="E3573" s="27"/>
      <c r="F3573" s="27"/>
      <c r="G3573" s="27" t="s">
        <v>11122</v>
      </c>
      <c r="H3573" s="27" t="s">
        <v>35</v>
      </c>
      <c r="I3573" s="27" t="s">
        <v>41</v>
      </c>
      <c r="J3573" s="28" t="s">
        <v>147</v>
      </c>
      <c r="K3573" s="27" t="s">
        <v>45</v>
      </c>
      <c r="L3573" s="27"/>
    </row>
    <row r="3574" customFormat="false" ht="15" hidden="false" customHeight="false" outlineLevel="0" collapsed="false">
      <c r="A3574" s="26" t="s">
        <v>12072</v>
      </c>
      <c r="B3574" s="27" t="s">
        <v>12073</v>
      </c>
      <c r="C3574" s="27" t="s">
        <v>144</v>
      </c>
      <c r="D3574" s="26"/>
      <c r="E3574" s="27"/>
      <c r="F3574" s="27"/>
      <c r="G3574" s="27" t="s">
        <v>11122</v>
      </c>
      <c r="H3574" s="27" t="s">
        <v>35</v>
      </c>
      <c r="I3574" s="27" t="s">
        <v>42</v>
      </c>
      <c r="J3574" s="28" t="s">
        <v>147</v>
      </c>
      <c r="K3574" s="27" t="s">
        <v>45</v>
      </c>
      <c r="L3574" s="27"/>
    </row>
    <row r="3575" customFormat="false" ht="15" hidden="false" customHeight="false" outlineLevel="0" collapsed="false">
      <c r="A3575" s="26" t="s">
        <v>12074</v>
      </c>
      <c r="B3575" s="27" t="s">
        <v>12075</v>
      </c>
      <c r="C3575" s="27" t="s">
        <v>370</v>
      </c>
      <c r="D3575" s="26"/>
      <c r="E3575" s="27"/>
      <c r="F3575" s="27"/>
      <c r="G3575" s="27" t="s">
        <v>11122</v>
      </c>
      <c r="H3575" s="27" t="s">
        <v>35</v>
      </c>
      <c r="I3575" s="27" t="s">
        <v>38</v>
      </c>
      <c r="J3575" s="28" t="s">
        <v>147</v>
      </c>
      <c r="K3575" s="27" t="s">
        <v>45</v>
      </c>
      <c r="L3575" s="27"/>
    </row>
    <row r="3576" customFormat="false" ht="15" hidden="false" customHeight="false" outlineLevel="0" collapsed="false">
      <c r="A3576" s="26" t="s">
        <v>12076</v>
      </c>
      <c r="B3576" s="27" t="s">
        <v>12077</v>
      </c>
      <c r="C3576" s="27" t="s">
        <v>370</v>
      </c>
      <c r="D3576" s="26"/>
      <c r="E3576" s="27"/>
      <c r="F3576" s="27"/>
      <c r="G3576" s="27" t="s">
        <v>11122</v>
      </c>
      <c r="H3576" s="27" t="s">
        <v>35</v>
      </c>
      <c r="I3576" s="27" t="s">
        <v>41</v>
      </c>
      <c r="J3576" s="28" t="s">
        <v>147</v>
      </c>
      <c r="K3576" s="27" t="s">
        <v>45</v>
      </c>
      <c r="L3576" s="27"/>
    </row>
    <row r="3577" customFormat="false" ht="15" hidden="false" customHeight="false" outlineLevel="0" collapsed="false">
      <c r="A3577" s="26" t="s">
        <v>12078</v>
      </c>
      <c r="B3577" s="27" t="s">
        <v>12079</v>
      </c>
      <c r="C3577" s="27" t="s">
        <v>370</v>
      </c>
      <c r="D3577" s="26"/>
      <c r="E3577" s="27"/>
      <c r="F3577" s="27"/>
      <c r="G3577" s="27" t="s">
        <v>11122</v>
      </c>
      <c r="H3577" s="27" t="s">
        <v>35</v>
      </c>
      <c r="I3577" s="27" t="s">
        <v>47</v>
      </c>
      <c r="J3577" s="28" t="s">
        <v>147</v>
      </c>
      <c r="K3577" s="27" t="s">
        <v>45</v>
      </c>
      <c r="L3577" s="27"/>
    </row>
    <row r="3578" customFormat="false" ht="15" hidden="false" customHeight="false" outlineLevel="0" collapsed="false">
      <c r="A3578" s="26" t="s">
        <v>12080</v>
      </c>
      <c r="B3578" s="27" t="s">
        <v>12081</v>
      </c>
      <c r="C3578" s="27" t="s">
        <v>370</v>
      </c>
      <c r="D3578" s="26"/>
      <c r="E3578" s="27"/>
      <c r="F3578" s="27"/>
      <c r="G3578" s="27" t="s">
        <v>11122</v>
      </c>
      <c r="H3578" s="27" t="s">
        <v>35</v>
      </c>
      <c r="I3578" s="27" t="s">
        <v>43</v>
      </c>
      <c r="J3578" s="28" t="s">
        <v>147</v>
      </c>
      <c r="K3578" s="27" t="s">
        <v>45</v>
      </c>
      <c r="L3578" s="27"/>
    </row>
    <row r="3579" customFormat="false" ht="15" hidden="false" customHeight="false" outlineLevel="0" collapsed="false">
      <c r="A3579" s="26" t="s">
        <v>12082</v>
      </c>
      <c r="B3579" s="27" t="s">
        <v>12083</v>
      </c>
      <c r="C3579" s="27" t="s">
        <v>370</v>
      </c>
      <c r="D3579" s="26"/>
      <c r="E3579" s="27"/>
      <c r="F3579" s="27"/>
      <c r="G3579" s="27" t="s">
        <v>11122</v>
      </c>
      <c r="H3579" s="27" t="s">
        <v>35</v>
      </c>
      <c r="I3579" s="27" t="s">
        <v>43</v>
      </c>
      <c r="J3579" s="28" t="s">
        <v>147</v>
      </c>
      <c r="K3579" s="27" t="s">
        <v>45</v>
      </c>
      <c r="L3579" s="27"/>
    </row>
    <row r="3580" customFormat="false" ht="15" hidden="false" customHeight="false" outlineLevel="0" collapsed="false">
      <c r="A3580" s="26" t="s">
        <v>12084</v>
      </c>
      <c r="B3580" s="27" t="s">
        <v>12085</v>
      </c>
      <c r="C3580" s="27" t="s">
        <v>370</v>
      </c>
      <c r="D3580" s="26"/>
      <c r="E3580" s="27"/>
      <c r="F3580" s="27"/>
      <c r="G3580" s="27" t="s">
        <v>11122</v>
      </c>
      <c r="H3580" s="27" t="s">
        <v>35</v>
      </c>
      <c r="I3580" s="27" t="s">
        <v>41</v>
      </c>
      <c r="J3580" s="28" t="s">
        <v>147</v>
      </c>
      <c r="K3580" s="27" t="s">
        <v>45</v>
      </c>
      <c r="L3580" s="27"/>
    </row>
    <row r="3581" customFormat="false" ht="15" hidden="false" customHeight="false" outlineLevel="0" collapsed="false">
      <c r="A3581" s="26" t="s">
        <v>12086</v>
      </c>
      <c r="B3581" s="27" t="s">
        <v>12087</v>
      </c>
      <c r="C3581" s="27" t="s">
        <v>370</v>
      </c>
      <c r="D3581" s="26"/>
      <c r="E3581" s="27"/>
      <c r="F3581" s="27"/>
      <c r="G3581" s="27" t="s">
        <v>11122</v>
      </c>
      <c r="H3581" s="27" t="s">
        <v>35</v>
      </c>
      <c r="I3581" s="27" t="s">
        <v>42</v>
      </c>
      <c r="J3581" s="28" t="s">
        <v>147</v>
      </c>
      <c r="K3581" s="27" t="s">
        <v>45</v>
      </c>
      <c r="L3581" s="27"/>
    </row>
    <row r="3582" customFormat="false" ht="15" hidden="false" customHeight="false" outlineLevel="0" collapsed="false">
      <c r="A3582" s="26" t="s">
        <v>12088</v>
      </c>
      <c r="B3582" s="27" t="s">
        <v>12089</v>
      </c>
      <c r="C3582" s="27" t="s">
        <v>144</v>
      </c>
      <c r="D3582" s="26"/>
      <c r="E3582" s="27"/>
      <c r="F3582" s="27"/>
      <c r="G3582" s="27" t="s">
        <v>11122</v>
      </c>
      <c r="H3582" s="27" t="s">
        <v>35</v>
      </c>
      <c r="I3582" s="27" t="s">
        <v>44</v>
      </c>
      <c r="J3582" s="28" t="s">
        <v>147</v>
      </c>
      <c r="K3582" s="27" t="s">
        <v>45</v>
      </c>
      <c r="L3582" s="27"/>
    </row>
    <row r="3583" customFormat="false" ht="15" hidden="false" customHeight="false" outlineLevel="0" collapsed="false">
      <c r="A3583" s="26" t="s">
        <v>12090</v>
      </c>
      <c r="B3583" s="27" t="s">
        <v>12091</v>
      </c>
      <c r="C3583" s="27" t="s">
        <v>144</v>
      </c>
      <c r="D3583" s="26"/>
      <c r="E3583" s="27"/>
      <c r="F3583" s="27"/>
      <c r="G3583" s="27" t="s">
        <v>11122</v>
      </c>
      <c r="H3583" s="27" t="s">
        <v>35</v>
      </c>
      <c r="I3583" s="27" t="s">
        <v>40</v>
      </c>
      <c r="J3583" s="28" t="s">
        <v>147</v>
      </c>
      <c r="K3583" s="27" t="s">
        <v>45</v>
      </c>
      <c r="L3583" s="27"/>
    </row>
    <row r="3584" customFormat="false" ht="15" hidden="false" customHeight="false" outlineLevel="0" collapsed="false">
      <c r="A3584" s="26" t="s">
        <v>12092</v>
      </c>
      <c r="B3584" s="27" t="s">
        <v>12093</v>
      </c>
      <c r="C3584" s="27" t="s">
        <v>144</v>
      </c>
      <c r="D3584" s="26"/>
      <c r="E3584" s="27"/>
      <c r="F3584" s="27"/>
      <c r="G3584" s="27" t="s">
        <v>11122</v>
      </c>
      <c r="H3584" s="27" t="s">
        <v>35</v>
      </c>
      <c r="I3584" s="27" t="s">
        <v>41</v>
      </c>
      <c r="J3584" s="28" t="s">
        <v>147</v>
      </c>
      <c r="K3584" s="27" t="s">
        <v>45</v>
      </c>
      <c r="L3584" s="27"/>
    </row>
    <row r="3585" customFormat="false" ht="15" hidden="false" customHeight="false" outlineLevel="0" collapsed="false">
      <c r="A3585" s="26" t="s">
        <v>12094</v>
      </c>
      <c r="B3585" s="27" t="s">
        <v>12095</v>
      </c>
      <c r="C3585" s="27" t="s">
        <v>144</v>
      </c>
      <c r="D3585" s="26"/>
      <c r="E3585" s="27"/>
      <c r="F3585" s="27"/>
      <c r="G3585" s="27" t="s">
        <v>11122</v>
      </c>
      <c r="H3585" s="27" t="s">
        <v>35</v>
      </c>
      <c r="I3585" s="27" t="s">
        <v>10510</v>
      </c>
      <c r="J3585" s="28" t="s">
        <v>147</v>
      </c>
      <c r="K3585" s="27" t="s">
        <v>45</v>
      </c>
      <c r="L3585" s="27"/>
    </row>
    <row r="3586" customFormat="false" ht="15" hidden="false" customHeight="false" outlineLevel="0" collapsed="false">
      <c r="A3586" s="26" t="s">
        <v>12096</v>
      </c>
      <c r="B3586" s="27" t="s">
        <v>12097</v>
      </c>
      <c r="C3586" s="27" t="s">
        <v>144</v>
      </c>
      <c r="D3586" s="26"/>
      <c r="E3586" s="27"/>
      <c r="F3586" s="27"/>
      <c r="G3586" s="27" t="s">
        <v>11122</v>
      </c>
      <c r="H3586" s="27" t="s">
        <v>35</v>
      </c>
      <c r="I3586" s="27" t="s">
        <v>43</v>
      </c>
      <c r="J3586" s="28" t="s">
        <v>147</v>
      </c>
      <c r="K3586" s="27" t="s">
        <v>45</v>
      </c>
      <c r="L3586" s="27"/>
    </row>
    <row r="3587" customFormat="false" ht="15" hidden="false" customHeight="false" outlineLevel="0" collapsed="false">
      <c r="A3587" s="26" t="s">
        <v>12098</v>
      </c>
      <c r="B3587" s="27" t="s">
        <v>12099</v>
      </c>
      <c r="C3587" s="27" t="s">
        <v>370</v>
      </c>
      <c r="D3587" s="26"/>
      <c r="E3587" s="27"/>
      <c r="F3587" s="27"/>
      <c r="G3587" s="27" t="s">
        <v>11122</v>
      </c>
      <c r="H3587" s="27" t="s">
        <v>35</v>
      </c>
      <c r="I3587" s="27" t="s">
        <v>42</v>
      </c>
      <c r="J3587" s="28" t="s">
        <v>147</v>
      </c>
      <c r="K3587" s="27" t="s">
        <v>45</v>
      </c>
      <c r="L3587" s="27"/>
    </row>
    <row r="3588" customFormat="false" ht="15" hidden="false" customHeight="false" outlineLevel="0" collapsed="false">
      <c r="A3588" s="26" t="s">
        <v>12100</v>
      </c>
      <c r="B3588" s="27" t="s">
        <v>12101</v>
      </c>
      <c r="C3588" s="27" t="s">
        <v>370</v>
      </c>
      <c r="D3588" s="26"/>
      <c r="E3588" s="27"/>
      <c r="F3588" s="27"/>
      <c r="G3588" s="27" t="s">
        <v>11122</v>
      </c>
      <c r="H3588" s="27" t="s">
        <v>35</v>
      </c>
      <c r="I3588" s="27" t="s">
        <v>38</v>
      </c>
      <c r="J3588" s="28" t="s">
        <v>147</v>
      </c>
      <c r="K3588" s="27" t="s">
        <v>45</v>
      </c>
      <c r="L3588" s="27"/>
    </row>
    <row r="3589" customFormat="false" ht="15" hidden="false" customHeight="false" outlineLevel="0" collapsed="false">
      <c r="A3589" s="26" t="s">
        <v>12102</v>
      </c>
      <c r="B3589" s="27" t="s">
        <v>12103</v>
      </c>
      <c r="C3589" s="27" t="s">
        <v>144</v>
      </c>
      <c r="D3589" s="26"/>
      <c r="E3589" s="27"/>
      <c r="F3589" s="27"/>
      <c r="G3589" s="27" t="s">
        <v>11122</v>
      </c>
      <c r="H3589" s="27" t="s">
        <v>35</v>
      </c>
      <c r="I3589" s="27" t="s">
        <v>41</v>
      </c>
      <c r="J3589" s="28" t="s">
        <v>147</v>
      </c>
      <c r="K3589" s="27" t="s">
        <v>45</v>
      </c>
      <c r="L3589" s="27"/>
    </row>
    <row r="3590" customFormat="false" ht="15" hidden="false" customHeight="false" outlineLevel="0" collapsed="false">
      <c r="A3590" s="26" t="s">
        <v>12104</v>
      </c>
      <c r="B3590" s="27" t="s">
        <v>12105</v>
      </c>
      <c r="C3590" s="27" t="s">
        <v>144</v>
      </c>
      <c r="D3590" s="26"/>
      <c r="E3590" s="27"/>
      <c r="F3590" s="27"/>
      <c r="G3590" s="27" t="s">
        <v>11122</v>
      </c>
      <c r="H3590" s="27" t="s">
        <v>35</v>
      </c>
      <c r="I3590" s="27" t="s">
        <v>41</v>
      </c>
      <c r="J3590" s="28" t="s">
        <v>147</v>
      </c>
      <c r="K3590" s="27" t="s">
        <v>45</v>
      </c>
      <c r="L3590" s="27"/>
    </row>
    <row r="3591" customFormat="false" ht="15" hidden="false" customHeight="false" outlineLevel="0" collapsed="false">
      <c r="A3591" s="26" t="s">
        <v>12106</v>
      </c>
      <c r="B3591" s="27" t="s">
        <v>12107</v>
      </c>
      <c r="C3591" s="27" t="s">
        <v>144</v>
      </c>
      <c r="D3591" s="26"/>
      <c r="E3591" s="27"/>
      <c r="F3591" s="27"/>
      <c r="G3591" s="27" t="s">
        <v>11122</v>
      </c>
      <c r="H3591" s="27" t="s">
        <v>35</v>
      </c>
      <c r="I3591" s="27" t="s">
        <v>39</v>
      </c>
      <c r="J3591" s="28" t="s">
        <v>147</v>
      </c>
      <c r="K3591" s="27" t="s">
        <v>45</v>
      </c>
      <c r="L3591" s="27"/>
    </row>
    <row r="3592" customFormat="false" ht="15" hidden="false" customHeight="false" outlineLevel="0" collapsed="false">
      <c r="A3592" s="26" t="s">
        <v>12108</v>
      </c>
      <c r="B3592" s="27" t="s">
        <v>12109</v>
      </c>
      <c r="C3592" s="27" t="s">
        <v>144</v>
      </c>
      <c r="D3592" s="26"/>
      <c r="E3592" s="27"/>
      <c r="F3592" s="27"/>
      <c r="G3592" s="27" t="s">
        <v>11122</v>
      </c>
      <c r="H3592" s="27" t="s">
        <v>35</v>
      </c>
      <c r="I3592" s="27" t="s">
        <v>47</v>
      </c>
      <c r="J3592" s="28" t="s">
        <v>147</v>
      </c>
      <c r="K3592" s="27" t="s">
        <v>45</v>
      </c>
      <c r="L3592" s="27"/>
    </row>
    <row r="3593" customFormat="false" ht="15" hidden="false" customHeight="false" outlineLevel="0" collapsed="false">
      <c r="A3593" s="26" t="s">
        <v>12110</v>
      </c>
      <c r="B3593" s="27" t="s">
        <v>12111</v>
      </c>
      <c r="C3593" s="27" t="s">
        <v>370</v>
      </c>
      <c r="D3593" s="26"/>
      <c r="E3593" s="27"/>
      <c r="F3593" s="27"/>
      <c r="G3593" s="27" t="s">
        <v>11122</v>
      </c>
      <c r="H3593" s="27" t="s">
        <v>35</v>
      </c>
      <c r="I3593" s="27" t="s">
        <v>42</v>
      </c>
      <c r="J3593" s="28" t="s">
        <v>147</v>
      </c>
      <c r="K3593" s="27" t="s">
        <v>45</v>
      </c>
      <c r="L3593" s="27"/>
    </row>
    <row r="3594" customFormat="false" ht="15" hidden="false" customHeight="false" outlineLevel="0" collapsed="false">
      <c r="A3594" s="26" t="s">
        <v>12112</v>
      </c>
      <c r="B3594" s="27" t="s">
        <v>12113</v>
      </c>
      <c r="C3594" s="27" t="s">
        <v>370</v>
      </c>
      <c r="D3594" s="26"/>
      <c r="E3594" s="27"/>
      <c r="F3594" s="27"/>
      <c r="G3594" s="27" t="s">
        <v>11122</v>
      </c>
      <c r="H3594" s="27" t="s">
        <v>35</v>
      </c>
      <c r="I3594" s="27" t="s">
        <v>43</v>
      </c>
      <c r="J3594" s="28" t="s">
        <v>147</v>
      </c>
      <c r="K3594" s="27" t="s">
        <v>45</v>
      </c>
      <c r="L3594" s="27"/>
    </row>
    <row r="3595" customFormat="false" ht="15" hidden="false" customHeight="false" outlineLevel="0" collapsed="false">
      <c r="A3595" s="26" t="s">
        <v>12114</v>
      </c>
      <c r="B3595" s="27" t="s">
        <v>12115</v>
      </c>
      <c r="C3595" s="27" t="s">
        <v>370</v>
      </c>
      <c r="D3595" s="26"/>
      <c r="E3595" s="27"/>
      <c r="F3595" s="27"/>
      <c r="G3595" s="27" t="s">
        <v>11122</v>
      </c>
      <c r="H3595" s="27" t="s">
        <v>35</v>
      </c>
      <c r="I3595" s="27" t="s">
        <v>38</v>
      </c>
      <c r="J3595" s="28" t="s">
        <v>147</v>
      </c>
      <c r="K3595" s="27" t="s">
        <v>45</v>
      </c>
      <c r="L3595" s="27"/>
    </row>
    <row r="3596" customFormat="false" ht="15" hidden="false" customHeight="false" outlineLevel="0" collapsed="false">
      <c r="A3596" s="26" t="s">
        <v>12116</v>
      </c>
      <c r="B3596" s="27" t="s">
        <v>12117</v>
      </c>
      <c r="C3596" s="27" t="s">
        <v>370</v>
      </c>
      <c r="D3596" s="26"/>
      <c r="E3596" s="27"/>
      <c r="F3596" s="27"/>
      <c r="G3596" s="27" t="s">
        <v>11122</v>
      </c>
      <c r="H3596" s="27" t="s">
        <v>35</v>
      </c>
      <c r="I3596" s="27" t="s">
        <v>47</v>
      </c>
      <c r="J3596" s="28" t="s">
        <v>147</v>
      </c>
      <c r="K3596" s="27" t="s">
        <v>45</v>
      </c>
      <c r="L3596" s="27"/>
    </row>
    <row r="3597" customFormat="false" ht="15" hidden="false" customHeight="false" outlineLevel="0" collapsed="false">
      <c r="A3597" s="26" t="s">
        <v>12118</v>
      </c>
      <c r="B3597" s="27" t="s">
        <v>12119</v>
      </c>
      <c r="C3597" s="27" t="s">
        <v>370</v>
      </c>
      <c r="D3597" s="26"/>
      <c r="E3597" s="27"/>
      <c r="F3597" s="27"/>
      <c r="G3597" s="27" t="s">
        <v>11122</v>
      </c>
      <c r="H3597" s="27" t="s">
        <v>35</v>
      </c>
      <c r="I3597" s="27" t="s">
        <v>37</v>
      </c>
      <c r="J3597" s="28" t="s">
        <v>147</v>
      </c>
      <c r="K3597" s="27" t="s">
        <v>45</v>
      </c>
      <c r="L3597" s="27"/>
    </row>
    <row r="3598" customFormat="false" ht="15" hidden="false" customHeight="false" outlineLevel="0" collapsed="false">
      <c r="A3598" s="26" t="s">
        <v>12120</v>
      </c>
      <c r="B3598" s="27" t="s">
        <v>12121</v>
      </c>
      <c r="C3598" s="27" t="s">
        <v>370</v>
      </c>
      <c r="D3598" s="26"/>
      <c r="E3598" s="27"/>
      <c r="F3598" s="27"/>
      <c r="G3598" s="27" t="s">
        <v>11122</v>
      </c>
      <c r="H3598" s="27" t="s">
        <v>35</v>
      </c>
      <c r="I3598" s="27" t="s">
        <v>41</v>
      </c>
      <c r="J3598" s="28" t="s">
        <v>147</v>
      </c>
      <c r="K3598" s="27" t="s">
        <v>45</v>
      </c>
      <c r="L3598" s="27"/>
    </row>
    <row r="3599" customFormat="false" ht="15" hidden="false" customHeight="false" outlineLevel="0" collapsed="false">
      <c r="A3599" s="26" t="s">
        <v>12122</v>
      </c>
      <c r="B3599" s="27" t="s">
        <v>12123</v>
      </c>
      <c r="C3599" s="27" t="s">
        <v>144</v>
      </c>
      <c r="D3599" s="26"/>
      <c r="E3599" s="27"/>
      <c r="F3599" s="27"/>
      <c r="G3599" s="27" t="s">
        <v>11122</v>
      </c>
      <c r="H3599" s="27" t="s">
        <v>35</v>
      </c>
      <c r="I3599" s="27" t="s">
        <v>41</v>
      </c>
      <c r="J3599" s="28" t="s">
        <v>147</v>
      </c>
      <c r="K3599" s="27" t="s">
        <v>45</v>
      </c>
      <c r="L3599" s="27"/>
    </row>
    <row r="3600" customFormat="false" ht="15" hidden="false" customHeight="false" outlineLevel="0" collapsed="false">
      <c r="A3600" s="26" t="s">
        <v>12124</v>
      </c>
      <c r="B3600" s="27" t="s">
        <v>12125</v>
      </c>
      <c r="C3600" s="27" t="s">
        <v>144</v>
      </c>
      <c r="D3600" s="26"/>
      <c r="E3600" s="27"/>
      <c r="F3600" s="27"/>
      <c r="G3600" s="27" t="s">
        <v>11122</v>
      </c>
      <c r="H3600" s="27" t="s">
        <v>35</v>
      </c>
      <c r="I3600" s="27" t="s">
        <v>108</v>
      </c>
      <c r="J3600" s="28" t="s">
        <v>3782</v>
      </c>
      <c r="K3600" s="27" t="s">
        <v>152</v>
      </c>
      <c r="L3600" s="27"/>
    </row>
    <row r="3601" customFormat="false" ht="15" hidden="false" customHeight="false" outlineLevel="0" collapsed="false">
      <c r="A3601" s="26" t="s">
        <v>12126</v>
      </c>
      <c r="B3601" s="27" t="s">
        <v>12127</v>
      </c>
      <c r="C3601" s="27" t="s">
        <v>144</v>
      </c>
      <c r="D3601" s="26"/>
      <c r="E3601" s="27"/>
      <c r="F3601" s="27"/>
      <c r="G3601" s="27" t="s">
        <v>11122</v>
      </c>
      <c r="H3601" s="27" t="s">
        <v>35</v>
      </c>
      <c r="I3601" s="27" t="s">
        <v>10337</v>
      </c>
      <c r="J3601" s="28" t="s">
        <v>3782</v>
      </c>
      <c r="K3601" s="27" t="s">
        <v>152</v>
      </c>
      <c r="L3601" s="27"/>
    </row>
    <row r="3602" customFormat="false" ht="15" hidden="false" customHeight="false" outlineLevel="0" collapsed="false">
      <c r="A3602" s="26" t="s">
        <v>12128</v>
      </c>
      <c r="B3602" s="27" t="s">
        <v>12129</v>
      </c>
      <c r="C3602" s="27" t="s">
        <v>144</v>
      </c>
      <c r="D3602" s="26"/>
      <c r="E3602" s="27"/>
      <c r="F3602" s="27"/>
      <c r="G3602" s="27" t="s">
        <v>11122</v>
      </c>
      <c r="H3602" s="27" t="s">
        <v>35</v>
      </c>
      <c r="I3602" s="27" t="s">
        <v>37</v>
      </c>
      <c r="J3602" s="28" t="s">
        <v>3782</v>
      </c>
      <c r="K3602" s="27" t="s">
        <v>152</v>
      </c>
      <c r="L3602" s="27"/>
    </row>
    <row r="3603" customFormat="false" ht="15" hidden="false" customHeight="false" outlineLevel="0" collapsed="false">
      <c r="A3603" s="26" t="s">
        <v>12130</v>
      </c>
      <c r="B3603" s="27" t="s">
        <v>12131</v>
      </c>
      <c r="C3603" s="27" t="s">
        <v>144</v>
      </c>
      <c r="D3603" s="26"/>
      <c r="E3603" s="27"/>
      <c r="F3603" s="27"/>
      <c r="G3603" s="27" t="s">
        <v>11122</v>
      </c>
      <c r="H3603" s="27" t="s">
        <v>35</v>
      </c>
      <c r="I3603" s="27" t="s">
        <v>10317</v>
      </c>
      <c r="J3603" s="28" t="s">
        <v>3782</v>
      </c>
      <c r="K3603" s="27" t="s">
        <v>152</v>
      </c>
      <c r="L3603" s="27"/>
    </row>
    <row r="3604" customFormat="false" ht="15" hidden="false" customHeight="false" outlineLevel="0" collapsed="false">
      <c r="A3604" s="26" t="s">
        <v>12132</v>
      </c>
      <c r="B3604" s="27" t="s">
        <v>12133</v>
      </c>
      <c r="C3604" s="27" t="s">
        <v>144</v>
      </c>
      <c r="D3604" s="26"/>
      <c r="E3604" s="27"/>
      <c r="F3604" s="27"/>
      <c r="G3604" s="27" t="s">
        <v>11122</v>
      </c>
      <c r="H3604" s="27" t="s">
        <v>35</v>
      </c>
      <c r="I3604" s="27" t="s">
        <v>12134</v>
      </c>
      <c r="J3604" s="28" t="s">
        <v>3782</v>
      </c>
      <c r="K3604" s="27" t="s">
        <v>152</v>
      </c>
      <c r="L3604" s="27"/>
    </row>
    <row r="3605" customFormat="false" ht="15" hidden="false" customHeight="false" outlineLevel="0" collapsed="false">
      <c r="A3605" s="26" t="s">
        <v>12135</v>
      </c>
      <c r="B3605" s="27" t="s">
        <v>12136</v>
      </c>
      <c r="C3605" s="27" t="s">
        <v>144</v>
      </c>
      <c r="D3605" s="26"/>
      <c r="E3605" s="27"/>
      <c r="F3605" s="27"/>
      <c r="G3605" s="27" t="s">
        <v>11122</v>
      </c>
      <c r="H3605" s="27" t="s">
        <v>35</v>
      </c>
      <c r="I3605" s="27" t="s">
        <v>3536</v>
      </c>
      <c r="J3605" s="28" t="s">
        <v>3782</v>
      </c>
      <c r="K3605" s="27" t="s">
        <v>152</v>
      </c>
      <c r="L3605" s="27"/>
    </row>
    <row r="3606" customFormat="false" ht="15" hidden="false" customHeight="false" outlineLevel="0" collapsed="false">
      <c r="A3606" s="26" t="s">
        <v>12137</v>
      </c>
      <c r="B3606" s="27" t="s">
        <v>12138</v>
      </c>
      <c r="C3606" s="27" t="s">
        <v>144</v>
      </c>
      <c r="D3606" s="26"/>
      <c r="E3606" s="27"/>
      <c r="F3606" s="27"/>
      <c r="G3606" s="27" t="s">
        <v>11122</v>
      </c>
      <c r="H3606" s="27" t="s">
        <v>35</v>
      </c>
      <c r="I3606" s="27" t="s">
        <v>47</v>
      </c>
      <c r="J3606" s="28" t="s">
        <v>3782</v>
      </c>
      <c r="K3606" s="27" t="s">
        <v>152</v>
      </c>
      <c r="L3606" s="27"/>
    </row>
    <row r="3607" customFormat="false" ht="15" hidden="false" customHeight="false" outlineLevel="0" collapsed="false">
      <c r="A3607" s="26" t="s">
        <v>12139</v>
      </c>
      <c r="B3607" s="27" t="s">
        <v>12140</v>
      </c>
      <c r="C3607" s="27" t="s">
        <v>144</v>
      </c>
      <c r="D3607" s="26"/>
      <c r="E3607" s="27"/>
      <c r="F3607" s="27"/>
      <c r="G3607" s="27" t="s">
        <v>11122</v>
      </c>
      <c r="H3607" s="27" t="s">
        <v>35</v>
      </c>
      <c r="I3607" s="27" t="s">
        <v>152</v>
      </c>
      <c r="J3607" s="28" t="s">
        <v>3782</v>
      </c>
      <c r="K3607" s="27" t="s">
        <v>152</v>
      </c>
      <c r="L3607" s="27"/>
    </row>
    <row r="3608" customFormat="false" ht="15" hidden="false" customHeight="false" outlineLevel="0" collapsed="false">
      <c r="A3608" s="26" t="s">
        <v>12141</v>
      </c>
      <c r="B3608" s="27" t="s">
        <v>12142</v>
      </c>
      <c r="C3608" s="27" t="s">
        <v>144</v>
      </c>
      <c r="D3608" s="26"/>
      <c r="E3608" s="27"/>
      <c r="F3608" s="27"/>
      <c r="G3608" s="27" t="s">
        <v>11122</v>
      </c>
      <c r="H3608" s="27" t="s">
        <v>35</v>
      </c>
      <c r="I3608" s="27" t="s">
        <v>12134</v>
      </c>
      <c r="J3608" s="28" t="s">
        <v>3782</v>
      </c>
      <c r="K3608" s="27" t="s">
        <v>152</v>
      </c>
      <c r="L3608" s="27"/>
    </row>
    <row r="3609" customFormat="false" ht="15" hidden="false" customHeight="false" outlineLevel="0" collapsed="false">
      <c r="A3609" s="26" t="s">
        <v>12143</v>
      </c>
      <c r="B3609" s="27" t="s">
        <v>12144</v>
      </c>
      <c r="C3609" s="27" t="s">
        <v>144</v>
      </c>
      <c r="D3609" s="26"/>
      <c r="E3609" s="27"/>
      <c r="F3609" s="27"/>
      <c r="G3609" s="27" t="s">
        <v>11122</v>
      </c>
      <c r="H3609" s="27" t="s">
        <v>35</v>
      </c>
      <c r="I3609" s="27" t="s">
        <v>3536</v>
      </c>
      <c r="J3609" s="28" t="s">
        <v>3782</v>
      </c>
      <c r="K3609" s="27" t="s">
        <v>152</v>
      </c>
      <c r="L3609" s="27"/>
    </row>
    <row r="3610" customFormat="false" ht="15" hidden="false" customHeight="false" outlineLevel="0" collapsed="false">
      <c r="A3610" s="26" t="s">
        <v>12145</v>
      </c>
      <c r="B3610" s="27" t="s">
        <v>12146</v>
      </c>
      <c r="C3610" s="27" t="s">
        <v>144</v>
      </c>
      <c r="D3610" s="26"/>
      <c r="E3610" s="27"/>
      <c r="F3610" s="27"/>
      <c r="G3610" s="27" t="s">
        <v>11122</v>
      </c>
      <c r="H3610" s="27" t="s">
        <v>35</v>
      </c>
      <c r="I3610" s="27" t="s">
        <v>47</v>
      </c>
      <c r="J3610" s="28" t="s">
        <v>3782</v>
      </c>
      <c r="K3610" s="27" t="s">
        <v>152</v>
      </c>
      <c r="L3610" s="27"/>
    </row>
    <row r="3611" customFormat="false" ht="15" hidden="false" customHeight="false" outlineLevel="0" collapsed="false">
      <c r="A3611" s="26" t="s">
        <v>12147</v>
      </c>
      <c r="B3611" s="27" t="s">
        <v>12148</v>
      </c>
      <c r="C3611" s="27" t="s">
        <v>144</v>
      </c>
      <c r="D3611" s="26"/>
      <c r="E3611" s="27"/>
      <c r="F3611" s="27"/>
      <c r="G3611" s="27" t="s">
        <v>11122</v>
      </c>
      <c r="H3611" s="27" t="s">
        <v>35</v>
      </c>
      <c r="I3611" s="27" t="s">
        <v>152</v>
      </c>
      <c r="J3611" s="28" t="s">
        <v>3782</v>
      </c>
      <c r="K3611" s="27" t="s">
        <v>152</v>
      </c>
      <c r="L3611" s="27"/>
    </row>
    <row r="3612" customFormat="false" ht="15" hidden="false" customHeight="false" outlineLevel="0" collapsed="false">
      <c r="A3612" s="26" t="s">
        <v>12149</v>
      </c>
      <c r="B3612" s="27" t="s">
        <v>12150</v>
      </c>
      <c r="C3612" s="27" t="s">
        <v>144</v>
      </c>
      <c r="D3612" s="26"/>
      <c r="E3612" s="27"/>
      <c r="F3612" s="27"/>
      <c r="G3612" s="27" t="s">
        <v>11122</v>
      </c>
      <c r="H3612" s="27" t="s">
        <v>35</v>
      </c>
      <c r="I3612" s="27" t="s">
        <v>47</v>
      </c>
      <c r="J3612" s="28" t="s">
        <v>3782</v>
      </c>
      <c r="K3612" s="27" t="s">
        <v>152</v>
      </c>
      <c r="L3612" s="27"/>
    </row>
    <row r="3613" customFormat="false" ht="15" hidden="false" customHeight="false" outlineLevel="0" collapsed="false">
      <c r="A3613" s="26" t="s">
        <v>12151</v>
      </c>
      <c r="B3613" s="27" t="s">
        <v>12152</v>
      </c>
      <c r="C3613" s="27" t="s">
        <v>144</v>
      </c>
      <c r="D3613" s="26"/>
      <c r="E3613" s="27"/>
      <c r="F3613" s="27"/>
      <c r="G3613" s="27" t="s">
        <v>11122</v>
      </c>
      <c r="H3613" s="27" t="s">
        <v>35</v>
      </c>
      <c r="I3613" s="27" t="s">
        <v>41</v>
      </c>
      <c r="J3613" s="28" t="s">
        <v>3782</v>
      </c>
      <c r="K3613" s="27" t="s">
        <v>152</v>
      </c>
      <c r="L3613" s="27"/>
    </row>
    <row r="3614" customFormat="false" ht="15" hidden="false" customHeight="false" outlineLevel="0" collapsed="false">
      <c r="A3614" s="26" t="s">
        <v>12153</v>
      </c>
      <c r="B3614" s="27" t="s">
        <v>12154</v>
      </c>
      <c r="C3614" s="27" t="s">
        <v>144</v>
      </c>
      <c r="D3614" s="26"/>
      <c r="E3614" s="27"/>
      <c r="F3614" s="27"/>
      <c r="G3614" s="27" t="s">
        <v>11122</v>
      </c>
      <c r="H3614" s="27" t="s">
        <v>35</v>
      </c>
      <c r="I3614" s="27" t="s">
        <v>108</v>
      </c>
      <c r="J3614" s="28" t="s">
        <v>3782</v>
      </c>
      <c r="K3614" s="27" t="s">
        <v>152</v>
      </c>
      <c r="L3614" s="27"/>
    </row>
    <row r="3615" customFormat="false" ht="15" hidden="false" customHeight="false" outlineLevel="0" collapsed="false">
      <c r="A3615" s="26" t="s">
        <v>12155</v>
      </c>
      <c r="B3615" s="27" t="s">
        <v>12156</v>
      </c>
      <c r="C3615" s="27" t="s">
        <v>144</v>
      </c>
      <c r="D3615" s="26"/>
      <c r="E3615" s="27"/>
      <c r="F3615" s="27"/>
      <c r="G3615" s="27" t="s">
        <v>11122</v>
      </c>
      <c r="H3615" s="27" t="s">
        <v>35</v>
      </c>
      <c r="I3615" s="27" t="s">
        <v>47</v>
      </c>
      <c r="J3615" s="28" t="s">
        <v>3782</v>
      </c>
      <c r="K3615" s="27" t="s">
        <v>152</v>
      </c>
      <c r="L3615" s="27"/>
    </row>
    <row r="3616" customFormat="false" ht="15" hidden="false" customHeight="false" outlineLevel="0" collapsed="false">
      <c r="A3616" s="26" t="s">
        <v>12157</v>
      </c>
      <c r="B3616" s="27" t="s">
        <v>12158</v>
      </c>
      <c r="C3616" s="27" t="s">
        <v>144</v>
      </c>
      <c r="D3616" s="26"/>
      <c r="E3616" s="27"/>
      <c r="F3616" s="27"/>
      <c r="G3616" s="27" t="s">
        <v>11122</v>
      </c>
      <c r="H3616" s="27" t="s">
        <v>35</v>
      </c>
      <c r="I3616" s="27" t="s">
        <v>41</v>
      </c>
      <c r="J3616" s="28" t="s">
        <v>3782</v>
      </c>
      <c r="K3616" s="27" t="s">
        <v>152</v>
      </c>
      <c r="L3616" s="27"/>
    </row>
    <row r="3617" customFormat="false" ht="15" hidden="false" customHeight="false" outlineLevel="0" collapsed="false">
      <c r="A3617" s="26" t="s">
        <v>12159</v>
      </c>
      <c r="B3617" s="27" t="s">
        <v>12160</v>
      </c>
      <c r="C3617" s="27" t="s">
        <v>144</v>
      </c>
      <c r="D3617" s="26"/>
      <c r="E3617" s="27"/>
      <c r="F3617" s="27"/>
      <c r="G3617" s="27" t="s">
        <v>11122</v>
      </c>
      <c r="H3617" s="27" t="s">
        <v>35</v>
      </c>
      <c r="I3617" s="27" t="s">
        <v>12161</v>
      </c>
      <c r="J3617" s="28" t="s">
        <v>3782</v>
      </c>
      <c r="K3617" s="27" t="s">
        <v>152</v>
      </c>
      <c r="L3617" s="27"/>
    </row>
    <row r="3618" customFormat="false" ht="15" hidden="false" customHeight="false" outlineLevel="0" collapsed="false">
      <c r="A3618" s="26" t="s">
        <v>12162</v>
      </c>
      <c r="B3618" s="27" t="s">
        <v>12163</v>
      </c>
      <c r="C3618" s="27" t="s">
        <v>144</v>
      </c>
      <c r="D3618" s="26"/>
      <c r="E3618" s="27"/>
      <c r="F3618" s="27"/>
      <c r="G3618" s="27" t="s">
        <v>11122</v>
      </c>
      <c r="H3618" s="27" t="s">
        <v>35</v>
      </c>
      <c r="I3618" s="27" t="s">
        <v>108</v>
      </c>
      <c r="J3618" s="28" t="s">
        <v>3782</v>
      </c>
      <c r="K3618" s="27" t="s">
        <v>152</v>
      </c>
      <c r="L3618" s="27"/>
    </row>
    <row r="3619" customFormat="false" ht="15" hidden="false" customHeight="false" outlineLevel="0" collapsed="false">
      <c r="A3619" s="26" t="s">
        <v>12164</v>
      </c>
      <c r="B3619" s="27" t="s">
        <v>12165</v>
      </c>
      <c r="C3619" s="27" t="s">
        <v>144</v>
      </c>
      <c r="D3619" s="26"/>
      <c r="E3619" s="27"/>
      <c r="F3619" s="27"/>
      <c r="G3619" s="27" t="s">
        <v>11122</v>
      </c>
      <c r="H3619" s="27" t="s">
        <v>35</v>
      </c>
      <c r="I3619" s="27" t="s">
        <v>47</v>
      </c>
      <c r="J3619" s="28" t="s">
        <v>3782</v>
      </c>
      <c r="K3619" s="27" t="s">
        <v>152</v>
      </c>
      <c r="L3619" s="27"/>
    </row>
    <row r="3620" customFormat="false" ht="15" hidden="false" customHeight="false" outlineLevel="0" collapsed="false">
      <c r="A3620" s="26" t="s">
        <v>12166</v>
      </c>
      <c r="B3620" s="27" t="s">
        <v>12167</v>
      </c>
      <c r="C3620" s="27" t="s">
        <v>144</v>
      </c>
      <c r="D3620" s="26"/>
      <c r="E3620" s="27"/>
      <c r="F3620" s="27"/>
      <c r="G3620" s="27" t="s">
        <v>11122</v>
      </c>
      <c r="H3620" s="27" t="s">
        <v>35</v>
      </c>
      <c r="I3620" s="27" t="s">
        <v>47</v>
      </c>
      <c r="J3620" s="28" t="s">
        <v>3782</v>
      </c>
      <c r="K3620" s="27" t="s">
        <v>152</v>
      </c>
      <c r="L3620" s="27"/>
    </row>
    <row r="3621" customFormat="false" ht="15" hidden="false" customHeight="false" outlineLevel="0" collapsed="false">
      <c r="A3621" s="26" t="s">
        <v>12168</v>
      </c>
      <c r="B3621" s="27" t="s">
        <v>12169</v>
      </c>
      <c r="C3621" s="27" t="s">
        <v>380</v>
      </c>
      <c r="D3621" s="26"/>
      <c r="E3621" s="27"/>
      <c r="F3621" s="27"/>
      <c r="G3621" s="27" t="s">
        <v>11122</v>
      </c>
      <c r="H3621" s="27" t="s">
        <v>35</v>
      </c>
      <c r="I3621" s="27" t="s">
        <v>47</v>
      </c>
      <c r="J3621" s="28" t="s">
        <v>3782</v>
      </c>
      <c r="K3621" s="27" t="s">
        <v>152</v>
      </c>
      <c r="L3621" s="27"/>
    </row>
    <row r="3622" customFormat="false" ht="15" hidden="false" customHeight="false" outlineLevel="0" collapsed="false">
      <c r="A3622" s="26" t="s">
        <v>12170</v>
      </c>
      <c r="B3622" s="27" t="s">
        <v>12171</v>
      </c>
      <c r="C3622" s="27" t="s">
        <v>144</v>
      </c>
      <c r="D3622" s="26"/>
      <c r="E3622" s="27"/>
      <c r="F3622" s="27"/>
      <c r="G3622" s="27" t="s">
        <v>11122</v>
      </c>
      <c r="H3622" s="27" t="s">
        <v>35</v>
      </c>
      <c r="I3622" s="27" t="s">
        <v>3536</v>
      </c>
      <c r="J3622" s="28" t="s">
        <v>3782</v>
      </c>
      <c r="K3622" s="27" t="s">
        <v>152</v>
      </c>
      <c r="L3622" s="27"/>
    </row>
    <row r="3623" customFormat="false" ht="15" hidden="false" customHeight="false" outlineLevel="0" collapsed="false">
      <c r="A3623" s="26" t="s">
        <v>12172</v>
      </c>
      <c r="B3623" s="27" t="s">
        <v>12173</v>
      </c>
      <c r="C3623" s="27" t="s">
        <v>144</v>
      </c>
      <c r="D3623" s="26"/>
      <c r="E3623" s="27"/>
      <c r="F3623" s="27"/>
      <c r="G3623" s="27" t="s">
        <v>11122</v>
      </c>
      <c r="H3623" s="27" t="s">
        <v>35</v>
      </c>
      <c r="I3623" s="27" t="s">
        <v>47</v>
      </c>
      <c r="J3623" s="28" t="s">
        <v>3782</v>
      </c>
      <c r="K3623" s="27" t="s">
        <v>152</v>
      </c>
      <c r="L3623" s="27"/>
    </row>
    <row r="3624" customFormat="false" ht="15" hidden="false" customHeight="false" outlineLevel="0" collapsed="false">
      <c r="A3624" s="26" t="s">
        <v>12174</v>
      </c>
      <c r="B3624" s="27" t="s">
        <v>12175</v>
      </c>
      <c r="C3624" s="27" t="s">
        <v>144</v>
      </c>
      <c r="D3624" s="26"/>
      <c r="E3624" s="27"/>
      <c r="F3624" s="27"/>
      <c r="G3624" s="27" t="s">
        <v>11122</v>
      </c>
      <c r="H3624" s="27" t="s">
        <v>35</v>
      </c>
      <c r="I3624" s="27" t="s">
        <v>64</v>
      </c>
      <c r="J3624" s="28" t="s">
        <v>3782</v>
      </c>
      <c r="K3624" s="27" t="s">
        <v>152</v>
      </c>
      <c r="L3624" s="27"/>
    </row>
    <row r="3625" customFormat="false" ht="15" hidden="false" customHeight="false" outlineLevel="0" collapsed="false">
      <c r="A3625" s="26" t="s">
        <v>12176</v>
      </c>
      <c r="B3625" s="27" t="s">
        <v>12177</v>
      </c>
      <c r="C3625" s="27" t="s">
        <v>144</v>
      </c>
      <c r="D3625" s="26"/>
      <c r="E3625" s="27"/>
      <c r="F3625" s="27"/>
      <c r="G3625" s="27" t="s">
        <v>11122</v>
      </c>
      <c r="H3625" s="27" t="s">
        <v>35</v>
      </c>
      <c r="I3625" s="27" t="s">
        <v>44</v>
      </c>
      <c r="J3625" s="28" t="s">
        <v>3782</v>
      </c>
      <c r="K3625" s="27" t="s">
        <v>152</v>
      </c>
      <c r="L3625" s="27"/>
    </row>
    <row r="3626" customFormat="false" ht="15" hidden="false" customHeight="false" outlineLevel="0" collapsed="false">
      <c r="A3626" s="26" t="s">
        <v>12178</v>
      </c>
      <c r="B3626" s="27" t="s">
        <v>12179</v>
      </c>
      <c r="C3626" s="27" t="s">
        <v>144</v>
      </c>
      <c r="D3626" s="26"/>
      <c r="E3626" s="27"/>
      <c r="F3626" s="27"/>
      <c r="G3626" s="27" t="s">
        <v>11122</v>
      </c>
      <c r="H3626" s="27" t="s">
        <v>35</v>
      </c>
      <c r="I3626" s="27" t="s">
        <v>42</v>
      </c>
      <c r="J3626" s="28" t="s">
        <v>3782</v>
      </c>
      <c r="K3626" s="27" t="s">
        <v>152</v>
      </c>
      <c r="L3626" s="27"/>
    </row>
    <row r="3627" customFormat="false" ht="15" hidden="false" customHeight="false" outlineLevel="0" collapsed="false">
      <c r="A3627" s="26" t="s">
        <v>12180</v>
      </c>
      <c r="B3627" s="27" t="s">
        <v>12181</v>
      </c>
      <c r="C3627" s="27" t="s">
        <v>144</v>
      </c>
      <c r="D3627" s="26"/>
      <c r="E3627" s="27"/>
      <c r="F3627" s="27"/>
      <c r="G3627" s="27" t="s">
        <v>11122</v>
      </c>
      <c r="H3627" s="27" t="s">
        <v>35</v>
      </c>
      <c r="I3627" s="27" t="s">
        <v>49</v>
      </c>
      <c r="J3627" s="28" t="s">
        <v>3782</v>
      </c>
      <c r="K3627" s="27" t="s">
        <v>152</v>
      </c>
      <c r="L3627" s="27"/>
    </row>
    <row r="3628" customFormat="false" ht="15" hidden="false" customHeight="false" outlineLevel="0" collapsed="false">
      <c r="A3628" s="26" t="s">
        <v>12182</v>
      </c>
      <c r="B3628" s="27" t="s">
        <v>12183</v>
      </c>
      <c r="C3628" s="27" t="s">
        <v>144</v>
      </c>
      <c r="D3628" s="26"/>
      <c r="E3628" s="27"/>
      <c r="F3628" s="27"/>
      <c r="G3628" s="27" t="s">
        <v>11122</v>
      </c>
      <c r="H3628" s="27" t="s">
        <v>35</v>
      </c>
      <c r="I3628" s="27" t="s">
        <v>152</v>
      </c>
      <c r="J3628" s="28" t="s">
        <v>3782</v>
      </c>
      <c r="K3628" s="27" t="s">
        <v>152</v>
      </c>
      <c r="L3628" s="27"/>
    </row>
    <row r="3629" customFormat="false" ht="15" hidden="false" customHeight="false" outlineLevel="0" collapsed="false">
      <c r="A3629" s="26" t="s">
        <v>12184</v>
      </c>
      <c r="B3629" s="27" t="s">
        <v>12185</v>
      </c>
      <c r="C3629" s="27" t="s">
        <v>144</v>
      </c>
      <c r="D3629" s="26"/>
      <c r="E3629" s="27"/>
      <c r="F3629" s="27"/>
      <c r="G3629" s="27" t="s">
        <v>11122</v>
      </c>
      <c r="H3629" s="27" t="s">
        <v>35</v>
      </c>
      <c r="I3629" s="27" t="s">
        <v>3536</v>
      </c>
      <c r="J3629" s="28" t="s">
        <v>3782</v>
      </c>
      <c r="K3629" s="27" t="s">
        <v>152</v>
      </c>
      <c r="L3629" s="27"/>
    </row>
    <row r="3630" customFormat="false" ht="15" hidden="false" customHeight="false" outlineLevel="0" collapsed="false">
      <c r="A3630" s="26" t="s">
        <v>12186</v>
      </c>
      <c r="B3630" s="27" t="s">
        <v>12187</v>
      </c>
      <c r="C3630" s="27" t="s">
        <v>144</v>
      </c>
      <c r="D3630" s="26"/>
      <c r="E3630" s="27"/>
      <c r="F3630" s="27"/>
      <c r="G3630" s="27" t="s">
        <v>11122</v>
      </c>
      <c r="H3630" s="27" t="s">
        <v>35</v>
      </c>
      <c r="I3630" s="27" t="s">
        <v>38</v>
      </c>
      <c r="J3630" s="28" t="s">
        <v>3782</v>
      </c>
      <c r="K3630" s="27" t="s">
        <v>152</v>
      </c>
      <c r="L3630" s="27"/>
    </row>
    <row r="3631" customFormat="false" ht="15" hidden="false" customHeight="false" outlineLevel="0" collapsed="false">
      <c r="A3631" s="26" t="s">
        <v>12188</v>
      </c>
      <c r="B3631" s="27" t="s">
        <v>12189</v>
      </c>
      <c r="C3631" s="27" t="s">
        <v>144</v>
      </c>
      <c r="D3631" s="26"/>
      <c r="E3631" s="27"/>
      <c r="F3631" s="27"/>
      <c r="G3631" s="27" t="s">
        <v>11122</v>
      </c>
      <c r="H3631" s="27" t="s">
        <v>35</v>
      </c>
      <c r="I3631" s="27" t="s">
        <v>3564</v>
      </c>
      <c r="J3631" s="28" t="s">
        <v>3782</v>
      </c>
      <c r="K3631" s="27" t="s">
        <v>152</v>
      </c>
      <c r="L3631" s="27"/>
    </row>
    <row r="3632" customFormat="false" ht="15" hidden="false" customHeight="false" outlineLevel="0" collapsed="false">
      <c r="A3632" s="26" t="s">
        <v>12190</v>
      </c>
      <c r="B3632" s="27" t="s">
        <v>12191</v>
      </c>
      <c r="C3632" s="27" t="s">
        <v>144</v>
      </c>
      <c r="D3632" s="26"/>
      <c r="E3632" s="27"/>
      <c r="F3632" s="27"/>
      <c r="G3632" s="27" t="s">
        <v>11122</v>
      </c>
      <c r="H3632" s="27" t="s">
        <v>35</v>
      </c>
      <c r="I3632" s="27" t="s">
        <v>42</v>
      </c>
      <c r="J3632" s="28" t="s">
        <v>3782</v>
      </c>
      <c r="K3632" s="27" t="s">
        <v>152</v>
      </c>
      <c r="L3632" s="27"/>
    </row>
    <row r="3633" customFormat="false" ht="15" hidden="false" customHeight="false" outlineLevel="0" collapsed="false">
      <c r="A3633" s="26" t="s">
        <v>12192</v>
      </c>
      <c r="B3633" s="27" t="s">
        <v>12193</v>
      </c>
      <c r="C3633" s="27" t="s">
        <v>144</v>
      </c>
      <c r="D3633" s="26"/>
      <c r="E3633" s="27"/>
      <c r="F3633" s="27"/>
      <c r="G3633" s="27" t="s">
        <v>11122</v>
      </c>
      <c r="H3633" s="27" t="s">
        <v>35</v>
      </c>
      <c r="I3633" s="27" t="s">
        <v>47</v>
      </c>
      <c r="J3633" s="28" t="s">
        <v>3782</v>
      </c>
      <c r="K3633" s="27" t="s">
        <v>152</v>
      </c>
      <c r="L3633" s="27"/>
    </row>
    <row r="3634" customFormat="false" ht="15" hidden="false" customHeight="false" outlineLevel="0" collapsed="false">
      <c r="A3634" s="26" t="s">
        <v>12194</v>
      </c>
      <c r="B3634" s="27" t="s">
        <v>12195</v>
      </c>
      <c r="C3634" s="27" t="s">
        <v>144</v>
      </c>
      <c r="D3634" s="26"/>
      <c r="E3634" s="27"/>
      <c r="F3634" s="27"/>
      <c r="G3634" s="27" t="s">
        <v>11122</v>
      </c>
      <c r="H3634" s="27" t="s">
        <v>35</v>
      </c>
      <c r="I3634" s="27" t="s">
        <v>152</v>
      </c>
      <c r="J3634" s="28" t="s">
        <v>12196</v>
      </c>
      <c r="K3634" s="27"/>
      <c r="L3634" s="27"/>
    </row>
    <row r="3635" customFormat="false" ht="15" hidden="false" customHeight="false" outlineLevel="0" collapsed="false">
      <c r="A3635" s="26" t="s">
        <v>12197</v>
      </c>
      <c r="B3635" s="27" t="s">
        <v>12198</v>
      </c>
      <c r="C3635" s="27" t="s">
        <v>144</v>
      </c>
      <c r="D3635" s="26"/>
      <c r="E3635" s="27"/>
      <c r="F3635" s="27"/>
      <c r="G3635" s="27" t="s">
        <v>11122</v>
      </c>
      <c r="H3635" s="27" t="s">
        <v>35</v>
      </c>
      <c r="I3635" s="27" t="s">
        <v>152</v>
      </c>
      <c r="J3635" s="28" t="s">
        <v>12199</v>
      </c>
      <c r="K3635" s="27"/>
      <c r="L3635" s="27"/>
    </row>
    <row r="3636" customFormat="false" ht="15" hidden="false" customHeight="false" outlineLevel="0" collapsed="false">
      <c r="A3636" s="26" t="s">
        <v>12200</v>
      </c>
      <c r="B3636" s="27" t="s">
        <v>12201</v>
      </c>
      <c r="C3636" s="27" t="s">
        <v>144</v>
      </c>
      <c r="D3636" s="26"/>
      <c r="E3636" s="27"/>
      <c r="F3636" s="27"/>
      <c r="G3636" s="27" t="s">
        <v>11122</v>
      </c>
      <c r="H3636" s="27" t="s">
        <v>35</v>
      </c>
      <c r="I3636" s="27" t="s">
        <v>47</v>
      </c>
      <c r="J3636" s="28" t="s">
        <v>12199</v>
      </c>
      <c r="K3636" s="27"/>
      <c r="L3636" s="27"/>
    </row>
    <row r="3637" customFormat="false" ht="15" hidden="false" customHeight="false" outlineLevel="0" collapsed="false">
      <c r="A3637" s="26" t="s">
        <v>12202</v>
      </c>
      <c r="B3637" s="27" t="s">
        <v>12203</v>
      </c>
      <c r="C3637" s="27" t="s">
        <v>144</v>
      </c>
      <c r="D3637" s="26"/>
      <c r="E3637" s="27"/>
      <c r="F3637" s="27"/>
      <c r="G3637" s="27" t="s">
        <v>11122</v>
      </c>
      <c r="H3637" s="27" t="s">
        <v>35</v>
      </c>
      <c r="I3637" s="27" t="s">
        <v>64</v>
      </c>
      <c r="J3637" s="28" t="s">
        <v>12199</v>
      </c>
      <c r="K3637" s="27"/>
      <c r="L3637" s="27"/>
    </row>
    <row r="3638" customFormat="false" ht="15" hidden="false" customHeight="false" outlineLevel="0" collapsed="false">
      <c r="A3638" s="26" t="s">
        <v>12204</v>
      </c>
      <c r="B3638" s="27" t="s">
        <v>12205</v>
      </c>
      <c r="C3638" s="27" t="s">
        <v>144</v>
      </c>
      <c r="D3638" s="26"/>
      <c r="E3638" s="27"/>
      <c r="F3638" s="27"/>
      <c r="G3638" s="27" t="s">
        <v>11122</v>
      </c>
      <c r="H3638" s="27" t="s">
        <v>35</v>
      </c>
      <c r="I3638" s="27" t="s">
        <v>152</v>
      </c>
      <c r="J3638" s="28" t="s">
        <v>12199</v>
      </c>
      <c r="K3638" s="27"/>
      <c r="L3638" s="27"/>
    </row>
    <row r="3639" customFormat="false" ht="15" hidden="false" customHeight="false" outlineLevel="0" collapsed="false">
      <c r="A3639" s="26" t="s">
        <v>12206</v>
      </c>
      <c r="B3639" s="27" t="s">
        <v>12207</v>
      </c>
      <c r="C3639" s="27" t="s">
        <v>144</v>
      </c>
      <c r="D3639" s="26"/>
      <c r="E3639" s="27"/>
      <c r="F3639" s="27"/>
      <c r="G3639" s="27" t="s">
        <v>11122</v>
      </c>
      <c r="H3639" s="27" t="s">
        <v>35</v>
      </c>
      <c r="I3639" s="27" t="s">
        <v>152</v>
      </c>
      <c r="J3639" s="28" t="s">
        <v>12208</v>
      </c>
      <c r="K3639" s="27"/>
      <c r="L3639" s="27"/>
    </row>
    <row r="3640" customFormat="false" ht="15" hidden="false" customHeight="false" outlineLevel="0" collapsed="false">
      <c r="A3640" s="26" t="s">
        <v>12209</v>
      </c>
      <c r="B3640" s="27" t="s">
        <v>12210</v>
      </c>
      <c r="C3640" s="27" t="s">
        <v>144</v>
      </c>
      <c r="D3640" s="26"/>
      <c r="E3640" s="27"/>
      <c r="F3640" s="27"/>
      <c r="G3640" s="27" t="s">
        <v>11122</v>
      </c>
      <c r="H3640" s="27" t="s">
        <v>35</v>
      </c>
      <c r="I3640" s="27" t="s">
        <v>152</v>
      </c>
      <c r="J3640" s="28" t="s">
        <v>12208</v>
      </c>
      <c r="K3640" s="27"/>
      <c r="L3640" s="27"/>
    </row>
    <row r="3641" customFormat="false" ht="15" hidden="false" customHeight="false" outlineLevel="0" collapsed="false">
      <c r="A3641" s="26" t="s">
        <v>12211</v>
      </c>
      <c r="B3641" s="27" t="s">
        <v>12212</v>
      </c>
      <c r="C3641" s="27" t="s">
        <v>1612</v>
      </c>
      <c r="D3641" s="26"/>
      <c r="E3641" s="27"/>
      <c r="F3641" s="27"/>
      <c r="G3641" s="27" t="s">
        <v>11122</v>
      </c>
      <c r="H3641" s="27" t="s">
        <v>35</v>
      </c>
      <c r="I3641" s="27" t="s">
        <v>44</v>
      </c>
      <c r="J3641" s="28" t="s">
        <v>12208</v>
      </c>
      <c r="K3641" s="27"/>
      <c r="L3641" s="27"/>
    </row>
    <row r="3642" customFormat="false" ht="15" hidden="false" customHeight="false" outlineLevel="0" collapsed="false">
      <c r="A3642" s="26" t="s">
        <v>12213</v>
      </c>
      <c r="B3642" s="27" t="s">
        <v>12214</v>
      </c>
      <c r="C3642" s="27" t="s">
        <v>144</v>
      </c>
      <c r="D3642" s="26"/>
      <c r="E3642" s="27"/>
      <c r="F3642" s="27"/>
      <c r="G3642" s="27" t="s">
        <v>11122</v>
      </c>
      <c r="H3642" s="27" t="s">
        <v>35</v>
      </c>
      <c r="I3642" s="27" t="s">
        <v>64</v>
      </c>
      <c r="J3642" s="28" t="s">
        <v>12208</v>
      </c>
      <c r="K3642" s="27"/>
      <c r="L3642" s="27"/>
    </row>
    <row r="3643" customFormat="false" ht="15" hidden="false" customHeight="false" outlineLevel="0" collapsed="false">
      <c r="A3643" s="26" t="s">
        <v>12215</v>
      </c>
      <c r="B3643" s="27" t="s">
        <v>12216</v>
      </c>
      <c r="C3643" s="27" t="s">
        <v>144</v>
      </c>
      <c r="D3643" s="26"/>
      <c r="E3643" s="27"/>
      <c r="F3643" s="27"/>
      <c r="G3643" s="27" t="s">
        <v>11122</v>
      </c>
      <c r="H3643" s="27" t="s">
        <v>35</v>
      </c>
      <c r="I3643" s="27" t="s">
        <v>64</v>
      </c>
      <c r="J3643" s="28" t="s">
        <v>12208</v>
      </c>
      <c r="K3643" s="27"/>
      <c r="L3643" s="27"/>
    </row>
    <row r="3644" customFormat="false" ht="15" hidden="false" customHeight="false" outlineLevel="0" collapsed="false">
      <c r="A3644" s="26" t="s">
        <v>12217</v>
      </c>
      <c r="B3644" s="27" t="s">
        <v>12218</v>
      </c>
      <c r="C3644" s="27" t="s">
        <v>144</v>
      </c>
      <c r="D3644" s="26"/>
      <c r="E3644" s="27"/>
      <c r="F3644" s="27"/>
      <c r="G3644" s="27" t="s">
        <v>11122</v>
      </c>
      <c r="H3644" s="27" t="s">
        <v>35</v>
      </c>
      <c r="I3644" s="27" t="s">
        <v>44</v>
      </c>
      <c r="J3644" s="28" t="s">
        <v>3789</v>
      </c>
      <c r="K3644" s="27" t="s">
        <v>44</v>
      </c>
      <c r="L3644" s="27"/>
    </row>
    <row r="3645" customFormat="false" ht="15" hidden="false" customHeight="false" outlineLevel="0" collapsed="false">
      <c r="A3645" s="26" t="s">
        <v>12219</v>
      </c>
      <c r="B3645" s="27" t="s">
        <v>12220</v>
      </c>
      <c r="C3645" s="27" t="s">
        <v>144</v>
      </c>
      <c r="D3645" s="26"/>
      <c r="E3645" s="27"/>
      <c r="F3645" s="27"/>
      <c r="G3645" s="27" t="s">
        <v>11122</v>
      </c>
      <c r="H3645" s="27" t="s">
        <v>35</v>
      </c>
      <c r="I3645" s="27" t="s">
        <v>44</v>
      </c>
      <c r="J3645" s="28" t="s">
        <v>3789</v>
      </c>
      <c r="K3645" s="27" t="s">
        <v>44</v>
      </c>
      <c r="L3645" s="27"/>
    </row>
    <row r="3646" customFormat="false" ht="15" hidden="false" customHeight="false" outlineLevel="0" collapsed="false">
      <c r="A3646" s="26" t="s">
        <v>12221</v>
      </c>
      <c r="B3646" s="27" t="s">
        <v>12222</v>
      </c>
      <c r="C3646" s="27" t="s">
        <v>144</v>
      </c>
      <c r="D3646" s="26"/>
      <c r="E3646" s="27"/>
      <c r="F3646" s="27"/>
      <c r="G3646" s="27" t="s">
        <v>11122</v>
      </c>
      <c r="H3646" s="27" t="s">
        <v>35</v>
      </c>
      <c r="I3646" s="27" t="s">
        <v>44</v>
      </c>
      <c r="J3646" s="28" t="s">
        <v>3789</v>
      </c>
      <c r="K3646" s="27" t="s">
        <v>44</v>
      </c>
      <c r="L3646" s="27"/>
    </row>
    <row r="3647" customFormat="false" ht="15" hidden="false" customHeight="false" outlineLevel="0" collapsed="false">
      <c r="A3647" s="26" t="s">
        <v>12223</v>
      </c>
      <c r="B3647" s="27" t="s">
        <v>12224</v>
      </c>
      <c r="C3647" s="27" t="s">
        <v>144</v>
      </c>
      <c r="D3647" s="26"/>
      <c r="E3647" s="27"/>
      <c r="F3647" s="27"/>
      <c r="G3647" s="27" t="s">
        <v>11122</v>
      </c>
      <c r="H3647" s="27" t="s">
        <v>35</v>
      </c>
      <c r="I3647" s="27" t="s">
        <v>41</v>
      </c>
      <c r="J3647" s="28" t="s">
        <v>3789</v>
      </c>
      <c r="K3647" s="27" t="s">
        <v>44</v>
      </c>
      <c r="L3647" s="27"/>
    </row>
    <row r="3648" customFormat="false" ht="15" hidden="false" customHeight="false" outlineLevel="0" collapsed="false">
      <c r="A3648" s="26" t="s">
        <v>12225</v>
      </c>
      <c r="B3648" s="27" t="s">
        <v>12226</v>
      </c>
      <c r="C3648" s="27" t="s">
        <v>144</v>
      </c>
      <c r="D3648" s="26"/>
      <c r="E3648" s="27"/>
      <c r="F3648" s="27"/>
      <c r="G3648" s="27" t="s">
        <v>11122</v>
      </c>
      <c r="H3648" s="27" t="s">
        <v>35</v>
      </c>
      <c r="I3648" s="27" t="s">
        <v>64</v>
      </c>
      <c r="J3648" s="28" t="s">
        <v>3802</v>
      </c>
      <c r="K3648" s="27" t="s">
        <v>47</v>
      </c>
      <c r="L3648" s="27"/>
    </row>
    <row r="3649" customFormat="false" ht="15" hidden="false" customHeight="false" outlineLevel="0" collapsed="false">
      <c r="A3649" s="26" t="s">
        <v>12227</v>
      </c>
      <c r="B3649" s="27" t="s">
        <v>12228</v>
      </c>
      <c r="C3649" s="27" t="s">
        <v>144</v>
      </c>
      <c r="D3649" s="26"/>
      <c r="E3649" s="27"/>
      <c r="F3649" s="27"/>
      <c r="G3649" s="27" t="s">
        <v>11122</v>
      </c>
      <c r="H3649" s="27" t="s">
        <v>35</v>
      </c>
      <c r="I3649" s="27" t="s">
        <v>47</v>
      </c>
      <c r="J3649" s="28" t="s">
        <v>3802</v>
      </c>
      <c r="K3649" s="27" t="s">
        <v>47</v>
      </c>
      <c r="L3649" s="27"/>
    </row>
    <row r="3650" customFormat="false" ht="15" hidden="false" customHeight="false" outlineLevel="0" collapsed="false">
      <c r="A3650" s="26" t="s">
        <v>12229</v>
      </c>
      <c r="B3650" s="27" t="s">
        <v>12230</v>
      </c>
      <c r="C3650" s="27" t="s">
        <v>144</v>
      </c>
      <c r="D3650" s="26"/>
      <c r="E3650" s="27"/>
      <c r="F3650" s="27"/>
      <c r="G3650" s="27" t="s">
        <v>11122</v>
      </c>
      <c r="H3650" s="27" t="s">
        <v>35</v>
      </c>
      <c r="I3650" s="27" t="s">
        <v>44</v>
      </c>
      <c r="J3650" s="28" t="s">
        <v>3802</v>
      </c>
      <c r="K3650" s="27" t="s">
        <v>47</v>
      </c>
      <c r="L3650" s="27"/>
    </row>
    <row r="3651" customFormat="false" ht="15" hidden="false" customHeight="false" outlineLevel="0" collapsed="false">
      <c r="A3651" s="26" t="s">
        <v>12231</v>
      </c>
      <c r="B3651" s="27" t="s">
        <v>12232</v>
      </c>
      <c r="C3651" s="27" t="s">
        <v>144</v>
      </c>
      <c r="D3651" s="26"/>
      <c r="E3651" s="27"/>
      <c r="F3651" s="27"/>
      <c r="G3651" s="27" t="s">
        <v>11122</v>
      </c>
      <c r="H3651" s="27" t="s">
        <v>35</v>
      </c>
      <c r="I3651" s="27" t="s">
        <v>64</v>
      </c>
      <c r="J3651" s="28" t="s">
        <v>3802</v>
      </c>
      <c r="K3651" s="27" t="s">
        <v>47</v>
      </c>
      <c r="L3651" s="27"/>
    </row>
    <row r="3652" customFormat="false" ht="15" hidden="false" customHeight="false" outlineLevel="0" collapsed="false">
      <c r="A3652" s="26" t="s">
        <v>12233</v>
      </c>
      <c r="B3652" s="27" t="s">
        <v>12234</v>
      </c>
      <c r="C3652" s="27" t="s">
        <v>144</v>
      </c>
      <c r="D3652" s="26"/>
      <c r="E3652" s="27"/>
      <c r="F3652" s="27"/>
      <c r="G3652" s="27" t="s">
        <v>11122</v>
      </c>
      <c r="H3652" s="27" t="s">
        <v>35</v>
      </c>
      <c r="I3652" s="27" t="s">
        <v>44</v>
      </c>
      <c r="J3652" s="28" t="s">
        <v>3802</v>
      </c>
      <c r="K3652" s="27" t="s">
        <v>47</v>
      </c>
      <c r="L3652" s="27"/>
    </row>
    <row r="3653" customFormat="false" ht="15" hidden="false" customHeight="false" outlineLevel="0" collapsed="false">
      <c r="A3653" s="26" t="s">
        <v>12235</v>
      </c>
      <c r="B3653" s="27" t="s">
        <v>12236</v>
      </c>
      <c r="C3653" s="27" t="s">
        <v>144</v>
      </c>
      <c r="D3653" s="26"/>
      <c r="E3653" s="27"/>
      <c r="F3653" s="27"/>
      <c r="G3653" s="27" t="s">
        <v>11122</v>
      </c>
      <c r="H3653" s="27" t="s">
        <v>35</v>
      </c>
      <c r="I3653" s="27" t="s">
        <v>47</v>
      </c>
      <c r="J3653" s="28" t="s">
        <v>2259</v>
      </c>
      <c r="K3653" s="27" t="s">
        <v>152</v>
      </c>
      <c r="L3653" s="27"/>
    </row>
    <row r="3654" customFormat="false" ht="15" hidden="false" customHeight="false" outlineLevel="0" collapsed="false">
      <c r="A3654" s="26" t="s">
        <v>12237</v>
      </c>
      <c r="B3654" s="27" t="s">
        <v>12238</v>
      </c>
      <c r="C3654" s="27" t="s">
        <v>144</v>
      </c>
      <c r="D3654" s="26"/>
      <c r="E3654" s="27"/>
      <c r="F3654" s="27"/>
      <c r="G3654" s="27" t="s">
        <v>11122</v>
      </c>
      <c r="H3654" s="27" t="s">
        <v>35</v>
      </c>
      <c r="I3654" s="27" t="s">
        <v>152</v>
      </c>
      <c r="J3654" s="28" t="s">
        <v>2259</v>
      </c>
      <c r="K3654" s="27" t="s">
        <v>152</v>
      </c>
      <c r="L3654" s="27"/>
    </row>
    <row r="3655" customFormat="false" ht="15" hidden="false" customHeight="false" outlineLevel="0" collapsed="false">
      <c r="A3655" s="26" t="s">
        <v>12239</v>
      </c>
      <c r="B3655" s="27" t="s">
        <v>12240</v>
      </c>
      <c r="C3655" s="27" t="s">
        <v>144</v>
      </c>
      <c r="D3655" s="26"/>
      <c r="E3655" s="27"/>
      <c r="F3655" s="27"/>
      <c r="G3655" s="27" t="s">
        <v>11122</v>
      </c>
      <c r="H3655" s="27" t="s">
        <v>35</v>
      </c>
      <c r="I3655" s="27" t="s">
        <v>64</v>
      </c>
      <c r="J3655" s="28" t="s">
        <v>2259</v>
      </c>
      <c r="K3655" s="27" t="s">
        <v>152</v>
      </c>
      <c r="L3655" s="27"/>
    </row>
    <row r="3656" customFormat="false" ht="15" hidden="false" customHeight="false" outlineLevel="0" collapsed="false">
      <c r="A3656" s="26" t="s">
        <v>12241</v>
      </c>
      <c r="B3656" s="27" t="s">
        <v>12242</v>
      </c>
      <c r="C3656" s="27" t="s">
        <v>144</v>
      </c>
      <c r="D3656" s="26"/>
      <c r="E3656" s="27"/>
      <c r="F3656" s="27"/>
      <c r="G3656" s="27" t="s">
        <v>11122</v>
      </c>
      <c r="H3656" s="27" t="s">
        <v>35</v>
      </c>
      <c r="I3656" s="27" t="s">
        <v>38</v>
      </c>
      <c r="J3656" s="28" t="s">
        <v>2259</v>
      </c>
      <c r="K3656" s="27" t="s">
        <v>152</v>
      </c>
      <c r="L3656" s="27"/>
    </row>
    <row r="3657" customFormat="false" ht="15" hidden="false" customHeight="false" outlineLevel="0" collapsed="false">
      <c r="A3657" s="26" t="s">
        <v>12243</v>
      </c>
      <c r="B3657" s="27" t="s">
        <v>12244</v>
      </c>
      <c r="C3657" s="27" t="s">
        <v>144</v>
      </c>
      <c r="D3657" s="26"/>
      <c r="E3657" s="27"/>
      <c r="F3657" s="27"/>
      <c r="G3657" s="27" t="s">
        <v>11122</v>
      </c>
      <c r="H3657" s="27" t="s">
        <v>35</v>
      </c>
      <c r="I3657" s="27" t="s">
        <v>42</v>
      </c>
      <c r="J3657" s="28" t="s">
        <v>2259</v>
      </c>
      <c r="K3657" s="27" t="s">
        <v>152</v>
      </c>
      <c r="L3657" s="27"/>
    </row>
    <row r="3658" customFormat="false" ht="15" hidden="false" customHeight="false" outlineLevel="0" collapsed="false">
      <c r="A3658" s="26" t="s">
        <v>12245</v>
      </c>
      <c r="B3658" s="27" t="s">
        <v>12246</v>
      </c>
      <c r="C3658" s="27" t="s">
        <v>144</v>
      </c>
      <c r="D3658" s="26"/>
      <c r="E3658" s="27"/>
      <c r="F3658" s="27"/>
      <c r="G3658" s="27" t="s">
        <v>11122</v>
      </c>
      <c r="H3658" s="27" t="s">
        <v>35</v>
      </c>
      <c r="I3658" s="27" t="s">
        <v>47</v>
      </c>
      <c r="J3658" s="28" t="s">
        <v>2259</v>
      </c>
      <c r="K3658" s="27" t="s">
        <v>152</v>
      </c>
      <c r="L3658" s="27"/>
    </row>
    <row r="3659" customFormat="false" ht="15" hidden="false" customHeight="false" outlineLevel="0" collapsed="false">
      <c r="A3659" s="26" t="s">
        <v>12247</v>
      </c>
      <c r="B3659" s="27" t="s">
        <v>12248</v>
      </c>
      <c r="C3659" s="27" t="s">
        <v>144</v>
      </c>
      <c r="D3659" s="26"/>
      <c r="E3659" s="27"/>
      <c r="F3659" s="27"/>
      <c r="G3659" s="27" t="s">
        <v>11122</v>
      </c>
      <c r="H3659" s="27" t="s">
        <v>35</v>
      </c>
      <c r="I3659" s="27" t="s">
        <v>64</v>
      </c>
      <c r="J3659" s="28" t="s">
        <v>2259</v>
      </c>
      <c r="K3659" s="27" t="s">
        <v>152</v>
      </c>
      <c r="L3659" s="27"/>
    </row>
    <row r="3660" customFormat="false" ht="15" hidden="false" customHeight="false" outlineLevel="0" collapsed="false">
      <c r="A3660" s="26" t="s">
        <v>12249</v>
      </c>
      <c r="B3660" s="27" t="s">
        <v>12250</v>
      </c>
      <c r="C3660" s="27" t="s">
        <v>144</v>
      </c>
      <c r="D3660" s="26"/>
      <c r="E3660" s="27"/>
      <c r="F3660" s="27"/>
      <c r="G3660" s="27" t="s">
        <v>11122</v>
      </c>
      <c r="H3660" s="27" t="s">
        <v>35</v>
      </c>
      <c r="I3660" s="27" t="s">
        <v>64</v>
      </c>
      <c r="J3660" s="28" t="s">
        <v>2259</v>
      </c>
      <c r="K3660" s="27" t="s">
        <v>152</v>
      </c>
      <c r="L3660" s="27"/>
    </row>
    <row r="3661" customFormat="false" ht="15" hidden="false" customHeight="false" outlineLevel="0" collapsed="false">
      <c r="A3661" s="26" t="s">
        <v>12251</v>
      </c>
      <c r="B3661" s="27" t="s">
        <v>12252</v>
      </c>
      <c r="C3661" s="27" t="s">
        <v>144</v>
      </c>
      <c r="D3661" s="26"/>
      <c r="E3661" s="27"/>
      <c r="F3661" s="27"/>
      <c r="G3661" s="27" t="s">
        <v>11122</v>
      </c>
      <c r="H3661" s="27" t="s">
        <v>35</v>
      </c>
      <c r="I3661" s="27" t="s">
        <v>64</v>
      </c>
      <c r="J3661" s="28" t="s">
        <v>2259</v>
      </c>
      <c r="K3661" s="27" t="s">
        <v>152</v>
      </c>
      <c r="L3661" s="27"/>
    </row>
    <row r="3662" customFormat="false" ht="15" hidden="false" customHeight="false" outlineLevel="0" collapsed="false">
      <c r="A3662" s="26" t="s">
        <v>12253</v>
      </c>
      <c r="B3662" s="27" t="s">
        <v>12254</v>
      </c>
      <c r="C3662" s="27" t="s">
        <v>144</v>
      </c>
      <c r="D3662" s="26"/>
      <c r="E3662" s="27"/>
      <c r="F3662" s="27"/>
      <c r="G3662" s="27" t="s">
        <v>11122</v>
      </c>
      <c r="H3662" s="27" t="s">
        <v>35</v>
      </c>
      <c r="I3662" s="27" t="s">
        <v>64</v>
      </c>
      <c r="J3662" s="28" t="s">
        <v>2259</v>
      </c>
      <c r="K3662" s="27" t="s">
        <v>152</v>
      </c>
      <c r="L3662" s="27"/>
    </row>
    <row r="3663" customFormat="false" ht="15" hidden="false" customHeight="false" outlineLevel="0" collapsed="false">
      <c r="A3663" s="26" t="s">
        <v>12255</v>
      </c>
      <c r="B3663" s="27" t="s">
        <v>12256</v>
      </c>
      <c r="C3663" s="27" t="s">
        <v>100</v>
      </c>
      <c r="D3663" s="26"/>
      <c r="E3663" s="27"/>
      <c r="F3663" s="27"/>
      <c r="G3663" s="27" t="s">
        <v>11122</v>
      </c>
      <c r="H3663" s="27" t="s">
        <v>35</v>
      </c>
      <c r="I3663" s="27" t="s">
        <v>47</v>
      </c>
      <c r="J3663" s="28" t="s">
        <v>153</v>
      </c>
      <c r="K3663" s="27" t="s">
        <v>152</v>
      </c>
      <c r="L3663" s="27"/>
    </row>
    <row r="3664" customFormat="false" ht="15" hidden="false" customHeight="false" outlineLevel="0" collapsed="false">
      <c r="A3664" s="26" t="s">
        <v>12257</v>
      </c>
      <c r="B3664" s="27" t="s">
        <v>12258</v>
      </c>
      <c r="C3664" s="27" t="s">
        <v>100</v>
      </c>
      <c r="D3664" s="26"/>
      <c r="E3664" s="27"/>
      <c r="F3664" s="27"/>
      <c r="G3664" s="27" t="s">
        <v>11122</v>
      </c>
      <c r="H3664" s="27" t="s">
        <v>35</v>
      </c>
      <c r="I3664" s="27" t="s">
        <v>10337</v>
      </c>
      <c r="J3664" s="28" t="s">
        <v>153</v>
      </c>
      <c r="K3664" s="27" t="s">
        <v>152</v>
      </c>
      <c r="L3664" s="27"/>
    </row>
    <row r="3665" customFormat="false" ht="15" hidden="false" customHeight="false" outlineLevel="0" collapsed="false">
      <c r="A3665" s="26" t="s">
        <v>12259</v>
      </c>
      <c r="B3665" s="27" t="s">
        <v>12260</v>
      </c>
      <c r="C3665" s="27" t="s">
        <v>100</v>
      </c>
      <c r="D3665" s="26"/>
      <c r="E3665" s="27"/>
      <c r="F3665" s="27"/>
      <c r="G3665" s="27" t="s">
        <v>11122</v>
      </c>
      <c r="H3665" s="27" t="s">
        <v>35</v>
      </c>
      <c r="I3665" s="27" t="s">
        <v>1067</v>
      </c>
      <c r="J3665" s="28" t="s">
        <v>153</v>
      </c>
      <c r="K3665" s="27" t="s">
        <v>152</v>
      </c>
      <c r="L3665" s="27"/>
    </row>
    <row r="3666" customFormat="false" ht="15" hidden="false" customHeight="false" outlineLevel="0" collapsed="false">
      <c r="A3666" s="26" t="s">
        <v>12261</v>
      </c>
      <c r="B3666" s="27" t="s">
        <v>12262</v>
      </c>
      <c r="C3666" s="27" t="s">
        <v>100</v>
      </c>
      <c r="D3666" s="26"/>
      <c r="E3666" s="27"/>
      <c r="F3666" s="27"/>
      <c r="G3666" s="27" t="s">
        <v>11122</v>
      </c>
      <c r="H3666" s="27" t="s">
        <v>35</v>
      </c>
      <c r="I3666" s="27" t="s">
        <v>47</v>
      </c>
      <c r="J3666" s="28" t="s">
        <v>153</v>
      </c>
      <c r="K3666" s="27" t="s">
        <v>152</v>
      </c>
      <c r="L3666" s="27"/>
    </row>
    <row r="3667" customFormat="false" ht="15" hidden="false" customHeight="false" outlineLevel="0" collapsed="false">
      <c r="A3667" s="26" t="s">
        <v>12263</v>
      </c>
      <c r="B3667" s="27" t="s">
        <v>12264</v>
      </c>
      <c r="C3667" s="27" t="s">
        <v>144</v>
      </c>
      <c r="D3667" s="26"/>
      <c r="E3667" s="27"/>
      <c r="F3667" s="27"/>
      <c r="G3667" s="27" t="s">
        <v>11122</v>
      </c>
      <c r="H3667" s="27" t="s">
        <v>35</v>
      </c>
      <c r="I3667" s="27" t="s">
        <v>47</v>
      </c>
      <c r="J3667" s="28" t="s">
        <v>153</v>
      </c>
      <c r="K3667" s="27" t="s">
        <v>152</v>
      </c>
      <c r="L3667" s="27"/>
    </row>
    <row r="3668" customFormat="false" ht="15" hidden="false" customHeight="false" outlineLevel="0" collapsed="false">
      <c r="A3668" s="26" t="s">
        <v>12265</v>
      </c>
      <c r="B3668" s="27" t="s">
        <v>12266</v>
      </c>
      <c r="C3668" s="27" t="s">
        <v>100</v>
      </c>
      <c r="D3668" s="26"/>
      <c r="E3668" s="27"/>
      <c r="F3668" s="27"/>
      <c r="G3668" s="27" t="s">
        <v>11122</v>
      </c>
      <c r="H3668" s="27" t="s">
        <v>35</v>
      </c>
      <c r="I3668" s="27" t="s">
        <v>37</v>
      </c>
      <c r="J3668" s="28" t="s">
        <v>153</v>
      </c>
      <c r="K3668" s="27" t="s">
        <v>152</v>
      </c>
      <c r="L3668" s="27"/>
    </row>
    <row r="3669" customFormat="false" ht="15" hidden="false" customHeight="false" outlineLevel="0" collapsed="false">
      <c r="A3669" s="26" t="s">
        <v>12267</v>
      </c>
      <c r="B3669" s="27" t="s">
        <v>12268</v>
      </c>
      <c r="C3669" s="27" t="s">
        <v>100</v>
      </c>
      <c r="D3669" s="26"/>
      <c r="E3669" s="27"/>
      <c r="F3669" s="27"/>
      <c r="G3669" s="27" t="s">
        <v>11122</v>
      </c>
      <c r="H3669" s="27" t="s">
        <v>35</v>
      </c>
      <c r="I3669" s="27" t="s">
        <v>47</v>
      </c>
      <c r="J3669" s="28" t="s">
        <v>153</v>
      </c>
      <c r="K3669" s="27" t="s">
        <v>152</v>
      </c>
      <c r="L3669" s="27"/>
    </row>
    <row r="3670" customFormat="false" ht="15" hidden="false" customHeight="false" outlineLevel="0" collapsed="false">
      <c r="A3670" s="26" t="s">
        <v>12269</v>
      </c>
      <c r="B3670" s="27" t="s">
        <v>12270</v>
      </c>
      <c r="C3670" s="27" t="s">
        <v>144</v>
      </c>
      <c r="D3670" s="26"/>
      <c r="E3670" s="27"/>
      <c r="F3670" s="27"/>
      <c r="G3670" s="27" t="s">
        <v>11122</v>
      </c>
      <c r="H3670" s="27" t="s">
        <v>35</v>
      </c>
      <c r="I3670" s="27" t="s">
        <v>47</v>
      </c>
      <c r="J3670" s="28" t="s">
        <v>153</v>
      </c>
      <c r="K3670" s="27" t="s">
        <v>152</v>
      </c>
      <c r="L3670" s="27"/>
    </row>
    <row r="3671" customFormat="false" ht="15" hidden="false" customHeight="false" outlineLevel="0" collapsed="false">
      <c r="A3671" s="26" t="s">
        <v>12271</v>
      </c>
      <c r="B3671" s="27" t="s">
        <v>12272</v>
      </c>
      <c r="C3671" s="27" t="s">
        <v>144</v>
      </c>
      <c r="D3671" s="26"/>
      <c r="E3671" s="27"/>
      <c r="F3671" s="27"/>
      <c r="G3671" s="27" t="s">
        <v>11122</v>
      </c>
      <c r="H3671" s="27" t="s">
        <v>35</v>
      </c>
      <c r="I3671" s="27" t="s">
        <v>47</v>
      </c>
      <c r="J3671" s="28" t="s">
        <v>153</v>
      </c>
      <c r="K3671" s="27" t="s">
        <v>152</v>
      </c>
      <c r="L3671" s="27"/>
    </row>
    <row r="3672" customFormat="false" ht="15" hidden="false" customHeight="false" outlineLevel="0" collapsed="false">
      <c r="A3672" s="26" t="s">
        <v>12273</v>
      </c>
      <c r="B3672" s="27" t="s">
        <v>12274</v>
      </c>
      <c r="C3672" s="27" t="s">
        <v>100</v>
      </c>
      <c r="D3672" s="26"/>
      <c r="E3672" s="27"/>
      <c r="F3672" s="27"/>
      <c r="G3672" s="27" t="s">
        <v>11122</v>
      </c>
      <c r="H3672" s="27" t="s">
        <v>35</v>
      </c>
      <c r="I3672" s="27" t="s">
        <v>47</v>
      </c>
      <c r="J3672" s="28" t="s">
        <v>153</v>
      </c>
      <c r="K3672" s="27" t="s">
        <v>152</v>
      </c>
      <c r="L3672" s="27"/>
    </row>
    <row r="3673" customFormat="false" ht="15" hidden="false" customHeight="false" outlineLevel="0" collapsed="false">
      <c r="A3673" s="26" t="s">
        <v>12275</v>
      </c>
      <c r="B3673" s="27" t="s">
        <v>12276</v>
      </c>
      <c r="C3673" s="27" t="s">
        <v>100</v>
      </c>
      <c r="D3673" s="26"/>
      <c r="E3673" s="27"/>
      <c r="F3673" s="27"/>
      <c r="G3673" s="27" t="s">
        <v>11122</v>
      </c>
      <c r="H3673" s="27" t="s">
        <v>35</v>
      </c>
      <c r="I3673" s="27" t="s">
        <v>47</v>
      </c>
      <c r="J3673" s="28" t="s">
        <v>153</v>
      </c>
      <c r="K3673" s="27" t="s">
        <v>152</v>
      </c>
      <c r="L3673" s="27"/>
    </row>
    <row r="3674" customFormat="false" ht="15" hidden="false" customHeight="false" outlineLevel="0" collapsed="false">
      <c r="A3674" s="26" t="s">
        <v>12277</v>
      </c>
      <c r="B3674" s="27" t="s">
        <v>12278</v>
      </c>
      <c r="C3674" s="27" t="s">
        <v>144</v>
      </c>
      <c r="D3674" s="26"/>
      <c r="E3674" s="27"/>
      <c r="F3674" s="27"/>
      <c r="G3674" s="27" t="s">
        <v>11122</v>
      </c>
      <c r="H3674" s="27" t="s">
        <v>35</v>
      </c>
      <c r="I3674" s="27" t="s">
        <v>152</v>
      </c>
      <c r="J3674" s="28" t="s">
        <v>12279</v>
      </c>
      <c r="K3674" s="27"/>
      <c r="L3674" s="27"/>
    </row>
    <row r="3675" customFormat="false" ht="15" hidden="false" customHeight="false" outlineLevel="0" collapsed="false">
      <c r="A3675" s="26" t="s">
        <v>12280</v>
      </c>
      <c r="B3675" s="27" t="s">
        <v>12281</v>
      </c>
      <c r="C3675" s="27" t="s">
        <v>144</v>
      </c>
      <c r="D3675" s="26"/>
      <c r="E3675" s="27"/>
      <c r="F3675" s="27"/>
      <c r="G3675" s="27" t="s">
        <v>11122</v>
      </c>
      <c r="H3675" s="27" t="s">
        <v>35</v>
      </c>
      <c r="I3675" s="27" t="s">
        <v>47</v>
      </c>
      <c r="J3675" s="28" t="s">
        <v>12279</v>
      </c>
      <c r="K3675" s="27"/>
      <c r="L3675" s="27"/>
    </row>
    <row r="3676" customFormat="false" ht="15" hidden="false" customHeight="false" outlineLevel="0" collapsed="false">
      <c r="A3676" s="26" t="s">
        <v>12282</v>
      </c>
      <c r="B3676" s="27" t="s">
        <v>12283</v>
      </c>
      <c r="C3676" s="27" t="s">
        <v>144</v>
      </c>
      <c r="D3676" s="26"/>
      <c r="E3676" s="27"/>
      <c r="F3676" s="27"/>
      <c r="G3676" s="27" t="s">
        <v>11122</v>
      </c>
      <c r="H3676" s="27" t="s">
        <v>35</v>
      </c>
      <c r="I3676" s="27" t="s">
        <v>47</v>
      </c>
      <c r="J3676" s="28" t="s">
        <v>12279</v>
      </c>
      <c r="K3676" s="27"/>
      <c r="L3676" s="27"/>
    </row>
    <row r="3677" customFormat="false" ht="15" hidden="false" customHeight="false" outlineLevel="0" collapsed="false">
      <c r="A3677" s="26" t="s">
        <v>12284</v>
      </c>
      <c r="B3677" s="27" t="s">
        <v>12285</v>
      </c>
      <c r="C3677" s="27" t="s">
        <v>144</v>
      </c>
      <c r="D3677" s="26"/>
      <c r="E3677" s="27"/>
      <c r="F3677" s="27"/>
      <c r="G3677" s="27" t="s">
        <v>11122</v>
      </c>
      <c r="H3677" s="27" t="s">
        <v>35</v>
      </c>
      <c r="I3677" s="27" t="s">
        <v>152</v>
      </c>
      <c r="J3677" s="28" t="s">
        <v>12279</v>
      </c>
      <c r="K3677" s="27"/>
      <c r="L3677" s="27"/>
    </row>
    <row r="3678" customFormat="false" ht="15" hidden="false" customHeight="false" outlineLevel="0" collapsed="false">
      <c r="A3678" s="26" t="s">
        <v>12286</v>
      </c>
      <c r="B3678" s="27" t="s">
        <v>12287</v>
      </c>
      <c r="C3678" s="27" t="s">
        <v>144</v>
      </c>
      <c r="D3678" s="26"/>
      <c r="E3678" s="27"/>
      <c r="F3678" s="27"/>
      <c r="G3678" s="27" t="s">
        <v>11122</v>
      </c>
      <c r="H3678" s="27" t="s">
        <v>35</v>
      </c>
      <c r="I3678" s="27" t="s">
        <v>152</v>
      </c>
      <c r="J3678" s="28" t="s">
        <v>12288</v>
      </c>
      <c r="K3678" s="27"/>
      <c r="L3678" s="27"/>
    </row>
    <row r="3679" customFormat="false" ht="15" hidden="false" customHeight="false" outlineLevel="0" collapsed="false">
      <c r="A3679" s="26" t="s">
        <v>12289</v>
      </c>
      <c r="B3679" s="27" t="s">
        <v>12290</v>
      </c>
      <c r="C3679" s="27" t="s">
        <v>144</v>
      </c>
      <c r="D3679" s="26"/>
      <c r="E3679" s="27"/>
      <c r="F3679" s="27"/>
      <c r="G3679" s="27" t="s">
        <v>11122</v>
      </c>
      <c r="H3679" s="27" t="s">
        <v>35</v>
      </c>
      <c r="I3679" s="27" t="s">
        <v>47</v>
      </c>
      <c r="J3679" s="28" t="s">
        <v>12291</v>
      </c>
      <c r="K3679" s="27"/>
      <c r="L3679" s="27"/>
    </row>
    <row r="3680" customFormat="false" ht="15" hidden="false" customHeight="false" outlineLevel="0" collapsed="false">
      <c r="A3680" s="26" t="s">
        <v>12292</v>
      </c>
      <c r="B3680" s="27" t="s">
        <v>12293</v>
      </c>
      <c r="C3680" s="27" t="s">
        <v>1612</v>
      </c>
      <c r="D3680" s="26"/>
      <c r="E3680" s="27"/>
      <c r="F3680" s="27"/>
      <c r="G3680" s="27" t="s">
        <v>11122</v>
      </c>
      <c r="H3680" s="27" t="s">
        <v>35</v>
      </c>
      <c r="I3680" s="27" t="s">
        <v>152</v>
      </c>
      <c r="J3680" s="28" t="s">
        <v>12291</v>
      </c>
      <c r="K3680" s="27"/>
      <c r="L3680" s="27"/>
    </row>
    <row r="3681" customFormat="false" ht="15" hidden="false" customHeight="false" outlineLevel="0" collapsed="false">
      <c r="A3681" s="26" t="s">
        <v>12294</v>
      </c>
      <c r="B3681" s="27" t="s">
        <v>12295</v>
      </c>
      <c r="C3681" s="27" t="s">
        <v>144</v>
      </c>
      <c r="D3681" s="26"/>
      <c r="E3681" s="27"/>
      <c r="F3681" s="27"/>
      <c r="G3681" s="27" t="s">
        <v>11122</v>
      </c>
      <c r="H3681" s="27" t="s">
        <v>35</v>
      </c>
      <c r="I3681" s="27" t="s">
        <v>152</v>
      </c>
      <c r="J3681" s="28" t="s">
        <v>12291</v>
      </c>
      <c r="K3681" s="27"/>
      <c r="L3681" s="27"/>
    </row>
    <row r="3682" customFormat="false" ht="15" hidden="false" customHeight="false" outlineLevel="0" collapsed="false">
      <c r="A3682" s="26" t="s">
        <v>12296</v>
      </c>
      <c r="B3682" s="27" t="s">
        <v>12297</v>
      </c>
      <c r="C3682" s="27" t="s">
        <v>144</v>
      </c>
      <c r="D3682" s="26"/>
      <c r="E3682" s="27"/>
      <c r="F3682" s="27"/>
      <c r="G3682" s="27" t="s">
        <v>11122</v>
      </c>
      <c r="H3682" s="27" t="s">
        <v>35</v>
      </c>
      <c r="I3682" s="27" t="s">
        <v>152</v>
      </c>
      <c r="J3682" s="28" t="s">
        <v>12291</v>
      </c>
      <c r="K3682" s="27"/>
      <c r="L3682" s="27"/>
    </row>
    <row r="3683" customFormat="false" ht="15" hidden="false" customHeight="false" outlineLevel="0" collapsed="false">
      <c r="A3683" s="26" t="s">
        <v>12298</v>
      </c>
      <c r="B3683" s="27" t="s">
        <v>12299</v>
      </c>
      <c r="C3683" s="27" t="s">
        <v>144</v>
      </c>
      <c r="D3683" s="26"/>
      <c r="E3683" s="27"/>
      <c r="F3683" s="27"/>
      <c r="G3683" s="27" t="s">
        <v>11122</v>
      </c>
      <c r="H3683" s="27" t="s">
        <v>35</v>
      </c>
      <c r="I3683" s="27" t="s">
        <v>152</v>
      </c>
      <c r="J3683" s="28" t="s">
        <v>12300</v>
      </c>
      <c r="K3683" s="27"/>
      <c r="L3683" s="27"/>
    </row>
    <row r="3684" customFormat="false" ht="15" hidden="false" customHeight="false" outlineLevel="0" collapsed="false">
      <c r="A3684" s="26" t="s">
        <v>12301</v>
      </c>
      <c r="B3684" s="27" t="s">
        <v>12302</v>
      </c>
      <c r="C3684" s="27" t="s">
        <v>144</v>
      </c>
      <c r="D3684" s="26"/>
      <c r="E3684" s="27"/>
      <c r="F3684" s="27"/>
      <c r="G3684" s="27" t="s">
        <v>11122</v>
      </c>
      <c r="H3684" s="27" t="s">
        <v>35</v>
      </c>
      <c r="I3684" s="27" t="s">
        <v>44</v>
      </c>
      <c r="J3684" s="28" t="s">
        <v>12303</v>
      </c>
      <c r="K3684" s="27"/>
      <c r="L3684" s="27"/>
    </row>
    <row r="3685" customFormat="false" ht="15" hidden="false" customHeight="false" outlineLevel="0" collapsed="false">
      <c r="A3685" s="26" t="s">
        <v>12304</v>
      </c>
      <c r="B3685" s="27" t="s">
        <v>12305</v>
      </c>
      <c r="C3685" s="27" t="s">
        <v>100</v>
      </c>
      <c r="D3685" s="26"/>
      <c r="E3685" s="27"/>
      <c r="F3685" s="27"/>
      <c r="G3685" s="27" t="s">
        <v>11122</v>
      </c>
      <c r="H3685" s="27" t="s">
        <v>35</v>
      </c>
      <c r="I3685" s="27" t="s">
        <v>1302</v>
      </c>
      <c r="J3685" s="28" t="s">
        <v>12306</v>
      </c>
      <c r="K3685" s="27"/>
      <c r="L3685" s="27"/>
    </row>
    <row r="3686" customFormat="false" ht="15" hidden="false" customHeight="false" outlineLevel="0" collapsed="false">
      <c r="A3686" s="26" t="s">
        <v>12307</v>
      </c>
      <c r="B3686" s="27" t="s">
        <v>12308</v>
      </c>
      <c r="C3686" s="27" t="s">
        <v>144</v>
      </c>
      <c r="D3686" s="26"/>
      <c r="E3686" s="27"/>
      <c r="F3686" s="27"/>
      <c r="G3686" s="27" t="s">
        <v>11122</v>
      </c>
      <c r="H3686" s="27" t="s">
        <v>35</v>
      </c>
      <c r="I3686" s="27" t="s">
        <v>41</v>
      </c>
      <c r="J3686" s="28" t="s">
        <v>3836</v>
      </c>
      <c r="K3686" s="27" t="s">
        <v>42</v>
      </c>
      <c r="L3686" s="27"/>
    </row>
    <row r="3687" customFormat="false" ht="15" hidden="false" customHeight="false" outlineLevel="0" collapsed="false">
      <c r="A3687" s="26" t="s">
        <v>12309</v>
      </c>
      <c r="B3687" s="27" t="s">
        <v>12310</v>
      </c>
      <c r="C3687" s="27" t="s">
        <v>100</v>
      </c>
      <c r="D3687" s="26"/>
      <c r="E3687" s="27"/>
      <c r="F3687" s="27"/>
      <c r="G3687" s="27" t="s">
        <v>11122</v>
      </c>
      <c r="H3687" s="27" t="s">
        <v>35</v>
      </c>
      <c r="I3687" s="27" t="s">
        <v>1067</v>
      </c>
      <c r="J3687" s="28" t="s">
        <v>12311</v>
      </c>
      <c r="K3687" s="27"/>
      <c r="L3687" s="27"/>
    </row>
    <row r="3688" customFormat="false" ht="15" hidden="false" customHeight="false" outlineLevel="0" collapsed="false">
      <c r="A3688" s="26" t="s">
        <v>12312</v>
      </c>
      <c r="B3688" s="27" t="s">
        <v>12313</v>
      </c>
      <c r="C3688" s="27" t="s">
        <v>144</v>
      </c>
      <c r="D3688" s="26"/>
      <c r="E3688" s="27"/>
      <c r="F3688" s="27"/>
      <c r="G3688" s="27" t="s">
        <v>11122</v>
      </c>
      <c r="H3688" s="27" t="s">
        <v>35</v>
      </c>
      <c r="I3688" s="27" t="s">
        <v>48</v>
      </c>
      <c r="J3688" s="28" t="s">
        <v>161</v>
      </c>
      <c r="K3688" s="27" t="s">
        <v>40</v>
      </c>
      <c r="L3688" s="27"/>
    </row>
    <row r="3689" customFormat="false" ht="15" hidden="false" customHeight="false" outlineLevel="0" collapsed="false">
      <c r="A3689" s="26" t="s">
        <v>12314</v>
      </c>
      <c r="B3689" s="27" t="s">
        <v>12315</v>
      </c>
      <c r="C3689" s="27" t="s">
        <v>144</v>
      </c>
      <c r="D3689" s="26"/>
      <c r="E3689" s="27"/>
      <c r="F3689" s="27"/>
      <c r="G3689" s="27" t="s">
        <v>11122</v>
      </c>
      <c r="H3689" s="27" t="s">
        <v>35</v>
      </c>
      <c r="I3689" s="27" t="s">
        <v>40</v>
      </c>
      <c r="J3689" s="28" t="s">
        <v>161</v>
      </c>
      <c r="K3689" s="27" t="s">
        <v>40</v>
      </c>
      <c r="L3689" s="27"/>
    </row>
    <row r="3690" customFormat="false" ht="15" hidden="false" customHeight="false" outlineLevel="0" collapsed="false">
      <c r="A3690" s="26" t="s">
        <v>12316</v>
      </c>
      <c r="B3690" s="27" t="s">
        <v>12317</v>
      </c>
      <c r="C3690" s="27" t="s">
        <v>144</v>
      </c>
      <c r="D3690" s="26"/>
      <c r="E3690" s="27"/>
      <c r="F3690" s="27"/>
      <c r="G3690" s="27" t="s">
        <v>11122</v>
      </c>
      <c r="H3690" s="27" t="s">
        <v>35</v>
      </c>
      <c r="I3690" s="27" t="s">
        <v>40</v>
      </c>
      <c r="J3690" s="28" t="s">
        <v>161</v>
      </c>
      <c r="K3690" s="27" t="s">
        <v>40</v>
      </c>
      <c r="L3690" s="27"/>
    </row>
    <row r="3691" customFormat="false" ht="15" hidden="false" customHeight="false" outlineLevel="0" collapsed="false">
      <c r="A3691" s="26" t="s">
        <v>12318</v>
      </c>
      <c r="B3691" s="27" t="s">
        <v>12319</v>
      </c>
      <c r="C3691" s="27" t="s">
        <v>144</v>
      </c>
      <c r="D3691" s="26"/>
      <c r="E3691" s="27"/>
      <c r="F3691" s="27"/>
      <c r="G3691" s="27" t="s">
        <v>11122</v>
      </c>
      <c r="H3691" s="27" t="s">
        <v>35</v>
      </c>
      <c r="I3691" s="28" t="s">
        <v>46</v>
      </c>
      <c r="J3691" s="28" t="s">
        <v>161</v>
      </c>
      <c r="K3691" s="27" t="s">
        <v>40</v>
      </c>
      <c r="L3691" s="27"/>
    </row>
    <row r="3692" customFormat="false" ht="15" hidden="false" customHeight="false" outlineLevel="0" collapsed="false">
      <c r="A3692" s="26" t="s">
        <v>12320</v>
      </c>
      <c r="B3692" s="27" t="s">
        <v>12321</v>
      </c>
      <c r="C3692" s="27" t="s">
        <v>144</v>
      </c>
      <c r="D3692" s="26"/>
      <c r="E3692" s="27"/>
      <c r="F3692" s="27"/>
      <c r="G3692" s="27" t="s">
        <v>11122</v>
      </c>
      <c r="H3692" s="27" t="s">
        <v>35</v>
      </c>
      <c r="I3692" s="27" t="s">
        <v>40</v>
      </c>
      <c r="J3692" s="28" t="s">
        <v>161</v>
      </c>
      <c r="K3692" s="27" t="s">
        <v>40</v>
      </c>
      <c r="L3692" s="27"/>
    </row>
    <row r="3693" customFormat="false" ht="15" hidden="false" customHeight="false" outlineLevel="0" collapsed="false">
      <c r="A3693" s="26" t="s">
        <v>12322</v>
      </c>
      <c r="B3693" s="27" t="s">
        <v>12323</v>
      </c>
      <c r="C3693" s="27" t="s">
        <v>144</v>
      </c>
      <c r="D3693" s="26"/>
      <c r="E3693" s="27"/>
      <c r="F3693" s="27"/>
      <c r="G3693" s="27" t="s">
        <v>11122</v>
      </c>
      <c r="H3693" s="27" t="s">
        <v>35</v>
      </c>
      <c r="I3693" s="27" t="s">
        <v>40</v>
      </c>
      <c r="J3693" s="28" t="s">
        <v>161</v>
      </c>
      <c r="K3693" s="27" t="s">
        <v>40</v>
      </c>
      <c r="L3693" s="27"/>
    </row>
    <row r="3694" customFormat="false" ht="15" hidden="false" customHeight="false" outlineLevel="0" collapsed="false">
      <c r="A3694" s="26" t="s">
        <v>12324</v>
      </c>
      <c r="B3694" s="27" t="s">
        <v>12325</v>
      </c>
      <c r="C3694" s="27" t="s">
        <v>144</v>
      </c>
      <c r="D3694" s="26"/>
      <c r="E3694" s="27"/>
      <c r="F3694" s="27"/>
      <c r="G3694" s="27" t="s">
        <v>11122</v>
      </c>
      <c r="H3694" s="27" t="s">
        <v>35</v>
      </c>
      <c r="I3694" s="27" t="s">
        <v>40</v>
      </c>
      <c r="J3694" s="28" t="s">
        <v>161</v>
      </c>
      <c r="K3694" s="27" t="s">
        <v>40</v>
      </c>
      <c r="L3694" s="27"/>
    </row>
    <row r="3695" customFormat="false" ht="15" hidden="false" customHeight="false" outlineLevel="0" collapsed="false">
      <c r="A3695" s="26" t="s">
        <v>12326</v>
      </c>
      <c r="B3695" s="28" t="s">
        <v>12327</v>
      </c>
      <c r="C3695" s="27" t="s">
        <v>144</v>
      </c>
      <c r="D3695" s="26"/>
      <c r="E3695" s="27"/>
      <c r="F3695" s="27"/>
      <c r="G3695" s="27" t="s">
        <v>11122</v>
      </c>
      <c r="H3695" s="27" t="s">
        <v>35</v>
      </c>
      <c r="I3695" s="27" t="s">
        <v>48</v>
      </c>
      <c r="J3695" s="28" t="s">
        <v>161</v>
      </c>
      <c r="K3695" s="27" t="s">
        <v>40</v>
      </c>
      <c r="L3695" s="27"/>
    </row>
    <row r="3696" customFormat="false" ht="15" hidden="false" customHeight="false" outlineLevel="0" collapsed="false">
      <c r="A3696" s="26" t="s">
        <v>12328</v>
      </c>
      <c r="B3696" s="27" t="s">
        <v>12329</v>
      </c>
      <c r="C3696" s="27" t="s">
        <v>144</v>
      </c>
      <c r="D3696" s="26"/>
      <c r="E3696" s="27"/>
      <c r="F3696" s="27"/>
      <c r="G3696" s="27" t="s">
        <v>11122</v>
      </c>
      <c r="H3696" s="27" t="s">
        <v>35</v>
      </c>
      <c r="I3696" s="27" t="s">
        <v>40</v>
      </c>
      <c r="J3696" s="28" t="s">
        <v>161</v>
      </c>
      <c r="K3696" s="27" t="s">
        <v>40</v>
      </c>
      <c r="L3696" s="27"/>
    </row>
    <row r="3697" customFormat="false" ht="15" hidden="false" customHeight="false" outlineLevel="0" collapsed="false">
      <c r="A3697" s="26" t="s">
        <v>12330</v>
      </c>
      <c r="B3697" s="27" t="s">
        <v>12331</v>
      </c>
      <c r="C3697" s="27" t="s">
        <v>370</v>
      </c>
      <c r="D3697" s="26"/>
      <c r="E3697" s="27"/>
      <c r="F3697" s="27"/>
      <c r="G3697" s="27" t="s">
        <v>11122</v>
      </c>
      <c r="H3697" s="27" t="s">
        <v>35</v>
      </c>
      <c r="I3697" s="27" t="s">
        <v>48</v>
      </c>
      <c r="J3697" s="28" t="s">
        <v>161</v>
      </c>
      <c r="K3697" s="27" t="s">
        <v>40</v>
      </c>
      <c r="L3697" s="27"/>
    </row>
    <row r="3698" customFormat="false" ht="15" hidden="false" customHeight="false" outlineLevel="0" collapsed="false">
      <c r="A3698" s="26" t="s">
        <v>12332</v>
      </c>
      <c r="B3698" s="27" t="s">
        <v>12333</v>
      </c>
      <c r="C3698" s="27" t="s">
        <v>144</v>
      </c>
      <c r="D3698" s="26"/>
      <c r="E3698" s="27"/>
      <c r="F3698" s="27"/>
      <c r="G3698" s="27" t="s">
        <v>11122</v>
      </c>
      <c r="H3698" s="27" t="s">
        <v>35</v>
      </c>
      <c r="I3698" s="27" t="s">
        <v>40</v>
      </c>
      <c r="J3698" s="28" t="s">
        <v>161</v>
      </c>
      <c r="K3698" s="27" t="s">
        <v>40</v>
      </c>
      <c r="L3698" s="27"/>
    </row>
    <row r="3699" customFormat="false" ht="15" hidden="false" customHeight="false" outlineLevel="0" collapsed="false">
      <c r="A3699" s="26" t="s">
        <v>12334</v>
      </c>
      <c r="B3699" s="27" t="s">
        <v>12335</v>
      </c>
      <c r="C3699" s="27" t="s">
        <v>144</v>
      </c>
      <c r="D3699" s="26"/>
      <c r="E3699" s="27"/>
      <c r="F3699" s="27"/>
      <c r="G3699" s="27" t="s">
        <v>11122</v>
      </c>
      <c r="H3699" s="27" t="s">
        <v>35</v>
      </c>
      <c r="I3699" s="27" t="s">
        <v>40</v>
      </c>
      <c r="J3699" s="28" t="s">
        <v>161</v>
      </c>
      <c r="K3699" s="27" t="s">
        <v>40</v>
      </c>
      <c r="L3699" s="27"/>
    </row>
    <row r="3700" customFormat="false" ht="15" hidden="false" customHeight="false" outlineLevel="0" collapsed="false">
      <c r="A3700" s="26" t="s">
        <v>12336</v>
      </c>
      <c r="B3700" s="28" t="s">
        <v>12337</v>
      </c>
      <c r="C3700" s="27" t="s">
        <v>144</v>
      </c>
      <c r="D3700" s="26"/>
      <c r="E3700" s="27"/>
      <c r="F3700" s="27"/>
      <c r="G3700" s="27" t="s">
        <v>11122</v>
      </c>
      <c r="H3700" s="27" t="s">
        <v>35</v>
      </c>
      <c r="I3700" s="27" t="s">
        <v>40</v>
      </c>
      <c r="J3700" s="28" t="s">
        <v>161</v>
      </c>
      <c r="K3700" s="27" t="s">
        <v>40</v>
      </c>
      <c r="L3700" s="27"/>
    </row>
    <row r="3701" customFormat="false" ht="15" hidden="false" customHeight="false" outlineLevel="0" collapsed="false">
      <c r="A3701" s="26" t="s">
        <v>12338</v>
      </c>
      <c r="B3701" s="27" t="s">
        <v>12339</v>
      </c>
      <c r="C3701" s="27" t="s">
        <v>144</v>
      </c>
      <c r="D3701" s="26"/>
      <c r="E3701" s="27"/>
      <c r="F3701" s="27"/>
      <c r="G3701" s="27" t="s">
        <v>11122</v>
      </c>
      <c r="H3701" s="27" t="s">
        <v>35</v>
      </c>
      <c r="I3701" s="27" t="s">
        <v>41</v>
      </c>
      <c r="J3701" s="28" t="s">
        <v>161</v>
      </c>
      <c r="K3701" s="27" t="s">
        <v>40</v>
      </c>
      <c r="L3701" s="27"/>
    </row>
    <row r="3702" customFormat="false" ht="15" hidden="false" customHeight="false" outlineLevel="0" collapsed="false">
      <c r="A3702" s="26" t="s">
        <v>12340</v>
      </c>
      <c r="B3702" s="27" t="s">
        <v>12341</v>
      </c>
      <c r="C3702" s="27" t="s">
        <v>144</v>
      </c>
      <c r="D3702" s="26"/>
      <c r="E3702" s="27"/>
      <c r="F3702" s="27"/>
      <c r="G3702" s="27" t="s">
        <v>11122</v>
      </c>
      <c r="H3702" s="27" t="s">
        <v>35</v>
      </c>
      <c r="I3702" s="27" t="s">
        <v>40</v>
      </c>
      <c r="J3702" s="28" t="s">
        <v>161</v>
      </c>
      <c r="K3702" s="27" t="s">
        <v>40</v>
      </c>
      <c r="L3702" s="27"/>
    </row>
    <row r="3703" customFormat="false" ht="15" hidden="false" customHeight="false" outlineLevel="0" collapsed="false">
      <c r="A3703" s="26" t="s">
        <v>12342</v>
      </c>
      <c r="B3703" s="28" t="s">
        <v>12343</v>
      </c>
      <c r="C3703" s="27" t="s">
        <v>370</v>
      </c>
      <c r="D3703" s="26"/>
      <c r="E3703" s="27"/>
      <c r="F3703" s="27"/>
      <c r="G3703" s="27" t="s">
        <v>11122</v>
      </c>
      <c r="H3703" s="27" t="s">
        <v>35</v>
      </c>
      <c r="I3703" s="27" t="s">
        <v>40</v>
      </c>
      <c r="J3703" s="28" t="s">
        <v>161</v>
      </c>
      <c r="K3703" s="27" t="s">
        <v>40</v>
      </c>
      <c r="L3703" s="27"/>
    </row>
    <row r="3704" customFormat="false" ht="15" hidden="false" customHeight="false" outlineLevel="0" collapsed="false">
      <c r="A3704" s="26" t="s">
        <v>12344</v>
      </c>
      <c r="B3704" s="27" t="s">
        <v>12345</v>
      </c>
      <c r="C3704" s="27" t="s">
        <v>144</v>
      </c>
      <c r="D3704" s="26"/>
      <c r="E3704" s="27"/>
      <c r="F3704" s="27"/>
      <c r="G3704" s="27" t="s">
        <v>11122</v>
      </c>
      <c r="H3704" s="27" t="s">
        <v>35</v>
      </c>
      <c r="I3704" s="27" t="s">
        <v>41</v>
      </c>
      <c r="J3704" s="28" t="s">
        <v>161</v>
      </c>
      <c r="K3704" s="27" t="s">
        <v>40</v>
      </c>
      <c r="L3704" s="27"/>
    </row>
    <row r="3705" customFormat="false" ht="15" hidden="false" customHeight="false" outlineLevel="0" collapsed="false">
      <c r="A3705" s="26" t="s">
        <v>12346</v>
      </c>
      <c r="B3705" s="27" t="s">
        <v>12347</v>
      </c>
      <c r="C3705" s="27" t="s">
        <v>144</v>
      </c>
      <c r="D3705" s="26"/>
      <c r="E3705" s="27"/>
      <c r="F3705" s="27"/>
      <c r="G3705" s="27" t="s">
        <v>11122</v>
      </c>
      <c r="H3705" s="27" t="s">
        <v>35</v>
      </c>
      <c r="I3705" s="27" t="s">
        <v>40</v>
      </c>
      <c r="J3705" s="28" t="s">
        <v>161</v>
      </c>
      <c r="K3705" s="27" t="s">
        <v>40</v>
      </c>
      <c r="L3705" s="27"/>
    </row>
    <row r="3706" customFormat="false" ht="15" hidden="false" customHeight="false" outlineLevel="0" collapsed="false">
      <c r="A3706" s="26" t="s">
        <v>12348</v>
      </c>
      <c r="B3706" s="27" t="s">
        <v>12349</v>
      </c>
      <c r="C3706" s="27" t="s">
        <v>144</v>
      </c>
      <c r="D3706" s="26"/>
      <c r="E3706" s="27"/>
      <c r="F3706" s="27"/>
      <c r="G3706" s="27" t="s">
        <v>11122</v>
      </c>
      <c r="H3706" s="27" t="s">
        <v>35</v>
      </c>
      <c r="I3706" s="27" t="s">
        <v>47</v>
      </c>
      <c r="J3706" s="28" t="s">
        <v>161</v>
      </c>
      <c r="K3706" s="27" t="s">
        <v>40</v>
      </c>
      <c r="L3706" s="27"/>
    </row>
    <row r="3707" customFormat="false" ht="15" hidden="false" customHeight="false" outlineLevel="0" collapsed="false">
      <c r="A3707" s="26" t="s">
        <v>12350</v>
      </c>
      <c r="B3707" s="27" t="s">
        <v>12351</v>
      </c>
      <c r="C3707" s="27" t="s">
        <v>144</v>
      </c>
      <c r="D3707" s="26"/>
      <c r="E3707" s="27"/>
      <c r="F3707" s="27"/>
      <c r="G3707" s="27" t="s">
        <v>11122</v>
      </c>
      <c r="H3707" s="27" t="s">
        <v>35</v>
      </c>
      <c r="I3707" s="27" t="s">
        <v>40</v>
      </c>
      <c r="J3707" s="28" t="s">
        <v>161</v>
      </c>
      <c r="K3707" s="27" t="s">
        <v>40</v>
      </c>
      <c r="L3707" s="27"/>
    </row>
    <row r="3708" customFormat="false" ht="15" hidden="false" customHeight="false" outlineLevel="0" collapsed="false">
      <c r="A3708" s="26" t="s">
        <v>12352</v>
      </c>
      <c r="B3708" s="27" t="s">
        <v>12353</v>
      </c>
      <c r="C3708" s="27" t="s">
        <v>144</v>
      </c>
      <c r="D3708" s="26"/>
      <c r="E3708" s="27"/>
      <c r="F3708" s="27"/>
      <c r="G3708" s="27" t="s">
        <v>11122</v>
      </c>
      <c r="H3708" s="27" t="s">
        <v>35</v>
      </c>
      <c r="I3708" s="27" t="s">
        <v>40</v>
      </c>
      <c r="J3708" s="28" t="s">
        <v>161</v>
      </c>
      <c r="K3708" s="27" t="s">
        <v>40</v>
      </c>
      <c r="L3708" s="27"/>
    </row>
    <row r="3709" customFormat="false" ht="15" hidden="false" customHeight="false" outlineLevel="0" collapsed="false">
      <c r="A3709" s="26" t="s">
        <v>12354</v>
      </c>
      <c r="B3709" s="27" t="s">
        <v>12355</v>
      </c>
      <c r="C3709" s="27" t="s">
        <v>144</v>
      </c>
      <c r="D3709" s="26"/>
      <c r="E3709" s="27"/>
      <c r="F3709" s="27"/>
      <c r="G3709" s="27" t="s">
        <v>11122</v>
      </c>
      <c r="H3709" s="27" t="s">
        <v>35</v>
      </c>
      <c r="I3709" s="27" t="s">
        <v>40</v>
      </c>
      <c r="J3709" s="28" t="s">
        <v>161</v>
      </c>
      <c r="K3709" s="27" t="s">
        <v>40</v>
      </c>
      <c r="L3709" s="27"/>
    </row>
    <row r="3710" customFormat="false" ht="15" hidden="false" customHeight="false" outlineLevel="0" collapsed="false">
      <c r="A3710" s="26" t="s">
        <v>12356</v>
      </c>
      <c r="B3710" s="27" t="s">
        <v>12357</v>
      </c>
      <c r="C3710" s="27" t="s">
        <v>144</v>
      </c>
      <c r="D3710" s="26"/>
      <c r="E3710" s="27"/>
      <c r="F3710" s="27"/>
      <c r="G3710" s="27" t="s">
        <v>11122</v>
      </c>
      <c r="H3710" s="27" t="s">
        <v>35</v>
      </c>
      <c r="I3710" s="27" t="s">
        <v>40</v>
      </c>
      <c r="J3710" s="28" t="s">
        <v>161</v>
      </c>
      <c r="K3710" s="27" t="s">
        <v>40</v>
      </c>
      <c r="L3710" s="27"/>
    </row>
    <row r="3711" customFormat="false" ht="15" hidden="false" customHeight="false" outlineLevel="0" collapsed="false">
      <c r="A3711" s="26" t="s">
        <v>12358</v>
      </c>
      <c r="B3711" s="27" t="s">
        <v>12359</v>
      </c>
      <c r="C3711" s="27" t="s">
        <v>144</v>
      </c>
      <c r="D3711" s="26"/>
      <c r="E3711" s="27"/>
      <c r="F3711" s="27"/>
      <c r="G3711" s="27" t="s">
        <v>11122</v>
      </c>
      <c r="H3711" s="27" t="s">
        <v>35</v>
      </c>
      <c r="I3711" s="27" t="s">
        <v>40</v>
      </c>
      <c r="J3711" s="28" t="s">
        <v>161</v>
      </c>
      <c r="K3711" s="27" t="s">
        <v>40</v>
      </c>
      <c r="L3711" s="27"/>
    </row>
    <row r="3712" customFormat="false" ht="15" hidden="false" customHeight="false" outlineLevel="0" collapsed="false">
      <c r="A3712" s="26" t="s">
        <v>12360</v>
      </c>
      <c r="B3712" s="27" t="s">
        <v>12361</v>
      </c>
      <c r="C3712" s="27" t="s">
        <v>144</v>
      </c>
      <c r="D3712" s="26"/>
      <c r="E3712" s="27"/>
      <c r="F3712" s="27"/>
      <c r="G3712" s="27" t="s">
        <v>11122</v>
      </c>
      <c r="H3712" s="27" t="s">
        <v>35</v>
      </c>
      <c r="I3712" s="27" t="s">
        <v>42</v>
      </c>
      <c r="J3712" s="28" t="s">
        <v>161</v>
      </c>
      <c r="K3712" s="27" t="s">
        <v>40</v>
      </c>
      <c r="L3712" s="27"/>
    </row>
    <row r="3713" customFormat="false" ht="15" hidden="false" customHeight="false" outlineLevel="0" collapsed="false">
      <c r="A3713" s="26" t="s">
        <v>12362</v>
      </c>
      <c r="B3713" s="27" t="s">
        <v>12363</v>
      </c>
      <c r="C3713" s="27" t="s">
        <v>144</v>
      </c>
      <c r="D3713" s="26"/>
      <c r="E3713" s="27"/>
      <c r="F3713" s="27"/>
      <c r="G3713" s="27" t="s">
        <v>11122</v>
      </c>
      <c r="H3713" s="27" t="s">
        <v>35</v>
      </c>
      <c r="I3713" s="27" t="s">
        <v>40</v>
      </c>
      <c r="J3713" s="28" t="s">
        <v>161</v>
      </c>
      <c r="K3713" s="27" t="s">
        <v>40</v>
      </c>
      <c r="L3713" s="27"/>
    </row>
    <row r="3714" customFormat="false" ht="15" hidden="false" customHeight="false" outlineLevel="0" collapsed="false">
      <c r="A3714" s="26" t="s">
        <v>12364</v>
      </c>
      <c r="B3714" s="27" t="s">
        <v>12365</v>
      </c>
      <c r="C3714" s="27" t="s">
        <v>144</v>
      </c>
      <c r="D3714" s="26"/>
      <c r="E3714" s="27"/>
      <c r="F3714" s="27"/>
      <c r="G3714" s="27" t="s">
        <v>11122</v>
      </c>
      <c r="H3714" s="27" t="s">
        <v>35</v>
      </c>
      <c r="I3714" s="27" t="s">
        <v>40</v>
      </c>
      <c r="J3714" s="28" t="s">
        <v>161</v>
      </c>
      <c r="K3714" s="27" t="s">
        <v>40</v>
      </c>
      <c r="L3714" s="27"/>
    </row>
    <row r="3715" customFormat="false" ht="15" hidden="false" customHeight="false" outlineLevel="0" collapsed="false">
      <c r="A3715" s="26" t="s">
        <v>12366</v>
      </c>
      <c r="B3715" s="27" t="s">
        <v>12367</v>
      </c>
      <c r="C3715" s="27" t="s">
        <v>144</v>
      </c>
      <c r="D3715" s="26"/>
      <c r="E3715" s="27"/>
      <c r="F3715" s="27"/>
      <c r="G3715" s="27" t="s">
        <v>11122</v>
      </c>
      <c r="H3715" s="27" t="s">
        <v>35</v>
      </c>
      <c r="I3715" s="27" t="s">
        <v>40</v>
      </c>
      <c r="J3715" s="28" t="s">
        <v>161</v>
      </c>
      <c r="K3715" s="27" t="s">
        <v>40</v>
      </c>
      <c r="L3715" s="27"/>
    </row>
    <row r="3716" customFormat="false" ht="15" hidden="false" customHeight="false" outlineLevel="0" collapsed="false">
      <c r="A3716" s="26" t="s">
        <v>12368</v>
      </c>
      <c r="B3716" s="27" t="s">
        <v>12369</v>
      </c>
      <c r="C3716" s="27" t="s">
        <v>144</v>
      </c>
      <c r="D3716" s="26"/>
      <c r="E3716" s="27"/>
      <c r="F3716" s="27"/>
      <c r="G3716" s="27" t="s">
        <v>11122</v>
      </c>
      <c r="H3716" s="27" t="s">
        <v>35</v>
      </c>
      <c r="I3716" s="27" t="s">
        <v>48</v>
      </c>
      <c r="J3716" s="28" t="s">
        <v>161</v>
      </c>
      <c r="K3716" s="27" t="s">
        <v>40</v>
      </c>
      <c r="L3716" s="27"/>
    </row>
    <row r="3717" customFormat="false" ht="15" hidden="false" customHeight="false" outlineLevel="0" collapsed="false">
      <c r="A3717" s="26" t="s">
        <v>12370</v>
      </c>
      <c r="B3717" s="27" t="s">
        <v>12371</v>
      </c>
      <c r="C3717" s="27" t="s">
        <v>144</v>
      </c>
      <c r="D3717" s="26"/>
      <c r="E3717" s="27"/>
      <c r="F3717" s="27"/>
      <c r="G3717" s="27" t="s">
        <v>11122</v>
      </c>
      <c r="H3717" s="27" t="s">
        <v>35</v>
      </c>
      <c r="I3717" s="27" t="s">
        <v>40</v>
      </c>
      <c r="J3717" s="28" t="s">
        <v>161</v>
      </c>
      <c r="K3717" s="27" t="s">
        <v>40</v>
      </c>
      <c r="L3717" s="27"/>
    </row>
    <row r="3718" customFormat="false" ht="15" hidden="false" customHeight="false" outlineLevel="0" collapsed="false">
      <c r="A3718" s="26" t="s">
        <v>12372</v>
      </c>
      <c r="B3718" s="27" t="s">
        <v>12373</v>
      </c>
      <c r="C3718" s="27" t="s">
        <v>144</v>
      </c>
      <c r="D3718" s="26"/>
      <c r="E3718" s="27"/>
      <c r="F3718" s="27"/>
      <c r="G3718" s="27" t="s">
        <v>11122</v>
      </c>
      <c r="H3718" s="27" t="s">
        <v>35</v>
      </c>
      <c r="I3718" s="27" t="s">
        <v>40</v>
      </c>
      <c r="J3718" s="28" t="s">
        <v>161</v>
      </c>
      <c r="K3718" s="27" t="s">
        <v>40</v>
      </c>
      <c r="L3718" s="27"/>
    </row>
    <row r="3719" customFormat="false" ht="15" hidden="false" customHeight="false" outlineLevel="0" collapsed="false">
      <c r="A3719" s="26" t="s">
        <v>12374</v>
      </c>
      <c r="B3719" s="27" t="s">
        <v>12375</v>
      </c>
      <c r="C3719" s="27" t="s">
        <v>144</v>
      </c>
      <c r="D3719" s="26"/>
      <c r="E3719" s="27"/>
      <c r="F3719" s="27"/>
      <c r="G3719" s="27" t="s">
        <v>11122</v>
      </c>
      <c r="H3719" s="27" t="s">
        <v>35</v>
      </c>
      <c r="I3719" s="27" t="s">
        <v>40</v>
      </c>
      <c r="J3719" s="28" t="s">
        <v>161</v>
      </c>
      <c r="K3719" s="27" t="s">
        <v>40</v>
      </c>
      <c r="L3719" s="27"/>
    </row>
    <row r="3720" customFormat="false" ht="15" hidden="false" customHeight="false" outlineLevel="0" collapsed="false">
      <c r="A3720" s="26" t="s">
        <v>12376</v>
      </c>
      <c r="B3720" s="27" t="s">
        <v>12377</v>
      </c>
      <c r="C3720" s="27" t="s">
        <v>144</v>
      </c>
      <c r="D3720" s="26"/>
      <c r="E3720" s="27"/>
      <c r="F3720" s="27"/>
      <c r="G3720" s="27" t="s">
        <v>11122</v>
      </c>
      <c r="H3720" s="27" t="s">
        <v>35</v>
      </c>
      <c r="I3720" s="27" t="s">
        <v>40</v>
      </c>
      <c r="J3720" s="28" t="s">
        <v>161</v>
      </c>
      <c r="K3720" s="27" t="s">
        <v>40</v>
      </c>
      <c r="L3720" s="27"/>
    </row>
    <row r="3721" customFormat="false" ht="15" hidden="false" customHeight="false" outlineLevel="0" collapsed="false">
      <c r="A3721" s="26" t="s">
        <v>12378</v>
      </c>
      <c r="B3721" s="27" t="s">
        <v>12379</v>
      </c>
      <c r="C3721" s="27" t="s">
        <v>144</v>
      </c>
      <c r="D3721" s="26"/>
      <c r="E3721" s="27"/>
      <c r="F3721" s="27"/>
      <c r="G3721" s="27" t="s">
        <v>11122</v>
      </c>
      <c r="H3721" s="27" t="s">
        <v>35</v>
      </c>
      <c r="I3721" s="27" t="s">
        <v>48</v>
      </c>
      <c r="J3721" s="28" t="s">
        <v>161</v>
      </c>
      <c r="K3721" s="27" t="s">
        <v>40</v>
      </c>
      <c r="L3721" s="27"/>
    </row>
    <row r="3722" customFormat="false" ht="15" hidden="false" customHeight="false" outlineLevel="0" collapsed="false">
      <c r="A3722" s="26" t="s">
        <v>12380</v>
      </c>
      <c r="B3722" s="27" t="s">
        <v>12381</v>
      </c>
      <c r="C3722" s="27" t="s">
        <v>144</v>
      </c>
      <c r="D3722" s="26"/>
      <c r="E3722" s="27"/>
      <c r="F3722" s="27"/>
      <c r="G3722" s="27" t="s">
        <v>11122</v>
      </c>
      <c r="H3722" s="27" t="s">
        <v>35</v>
      </c>
      <c r="I3722" s="27" t="s">
        <v>39</v>
      </c>
      <c r="J3722" s="28" t="s">
        <v>161</v>
      </c>
      <c r="K3722" s="27" t="s">
        <v>40</v>
      </c>
      <c r="L3722" s="27"/>
    </row>
    <row r="3723" customFormat="false" ht="15" hidden="false" customHeight="false" outlineLevel="0" collapsed="false">
      <c r="A3723" s="26" t="s">
        <v>12382</v>
      </c>
      <c r="B3723" s="27" t="s">
        <v>12383</v>
      </c>
      <c r="C3723" s="27" t="s">
        <v>144</v>
      </c>
      <c r="D3723" s="26"/>
      <c r="E3723" s="27"/>
      <c r="F3723" s="27"/>
      <c r="G3723" s="27" t="s">
        <v>11122</v>
      </c>
      <c r="H3723" s="27" t="s">
        <v>35</v>
      </c>
      <c r="I3723" s="27" t="s">
        <v>40</v>
      </c>
      <c r="J3723" s="28" t="s">
        <v>161</v>
      </c>
      <c r="K3723" s="27" t="s">
        <v>40</v>
      </c>
      <c r="L3723" s="27"/>
    </row>
    <row r="3724" customFormat="false" ht="15" hidden="false" customHeight="false" outlineLevel="0" collapsed="false">
      <c r="A3724" s="26" t="s">
        <v>12384</v>
      </c>
      <c r="B3724" s="27" t="s">
        <v>12385</v>
      </c>
      <c r="C3724" s="27" t="s">
        <v>144</v>
      </c>
      <c r="D3724" s="26"/>
      <c r="E3724" s="27"/>
      <c r="F3724" s="27"/>
      <c r="G3724" s="27" t="s">
        <v>11122</v>
      </c>
      <c r="H3724" s="27" t="s">
        <v>35</v>
      </c>
      <c r="I3724" s="27" t="s">
        <v>40</v>
      </c>
      <c r="J3724" s="28" t="s">
        <v>161</v>
      </c>
      <c r="K3724" s="27" t="s">
        <v>40</v>
      </c>
      <c r="L3724" s="27"/>
    </row>
    <row r="3725" customFormat="false" ht="15" hidden="false" customHeight="false" outlineLevel="0" collapsed="false">
      <c r="A3725" s="26" t="s">
        <v>12386</v>
      </c>
      <c r="B3725" s="27" t="s">
        <v>12387</v>
      </c>
      <c r="C3725" s="27" t="s">
        <v>144</v>
      </c>
      <c r="D3725" s="26"/>
      <c r="E3725" s="27"/>
      <c r="F3725" s="27"/>
      <c r="G3725" s="27" t="s">
        <v>11122</v>
      </c>
      <c r="H3725" s="27" t="s">
        <v>35</v>
      </c>
      <c r="I3725" s="27" t="s">
        <v>40</v>
      </c>
      <c r="J3725" s="28" t="s">
        <v>161</v>
      </c>
      <c r="K3725" s="27" t="s">
        <v>40</v>
      </c>
      <c r="L3725" s="27"/>
    </row>
    <row r="3726" customFormat="false" ht="15" hidden="false" customHeight="false" outlineLevel="0" collapsed="false">
      <c r="A3726" s="26" t="s">
        <v>12388</v>
      </c>
      <c r="B3726" s="27" t="s">
        <v>12389</v>
      </c>
      <c r="C3726" s="27" t="s">
        <v>144</v>
      </c>
      <c r="D3726" s="26"/>
      <c r="E3726" s="27"/>
      <c r="F3726" s="27"/>
      <c r="G3726" s="27" t="s">
        <v>11122</v>
      </c>
      <c r="H3726" s="27" t="s">
        <v>35</v>
      </c>
      <c r="I3726" s="27" t="s">
        <v>40</v>
      </c>
      <c r="J3726" s="28" t="s">
        <v>161</v>
      </c>
      <c r="K3726" s="27" t="s">
        <v>40</v>
      </c>
      <c r="L3726" s="27"/>
    </row>
    <row r="3727" customFormat="false" ht="15" hidden="false" customHeight="false" outlineLevel="0" collapsed="false">
      <c r="A3727" s="26" t="s">
        <v>12390</v>
      </c>
      <c r="B3727" s="27" t="s">
        <v>12391</v>
      </c>
      <c r="C3727" s="27" t="s">
        <v>144</v>
      </c>
      <c r="D3727" s="26"/>
      <c r="E3727" s="27"/>
      <c r="F3727" s="27"/>
      <c r="G3727" s="27" t="s">
        <v>11122</v>
      </c>
      <c r="H3727" s="27" t="s">
        <v>35</v>
      </c>
      <c r="I3727" s="27" t="s">
        <v>40</v>
      </c>
      <c r="J3727" s="28" t="s">
        <v>161</v>
      </c>
      <c r="K3727" s="27" t="s">
        <v>40</v>
      </c>
      <c r="L3727" s="27"/>
    </row>
    <row r="3728" customFormat="false" ht="15" hidden="false" customHeight="false" outlineLevel="0" collapsed="false">
      <c r="A3728" s="26" t="s">
        <v>12392</v>
      </c>
      <c r="B3728" s="27" t="s">
        <v>12393</v>
      </c>
      <c r="C3728" s="27" t="s">
        <v>144</v>
      </c>
      <c r="D3728" s="26"/>
      <c r="E3728" s="27"/>
      <c r="F3728" s="27"/>
      <c r="G3728" s="27" t="s">
        <v>11122</v>
      </c>
      <c r="H3728" s="27" t="s">
        <v>35</v>
      </c>
      <c r="I3728" s="27" t="s">
        <v>43</v>
      </c>
      <c r="J3728" s="28" t="s">
        <v>161</v>
      </c>
      <c r="K3728" s="27" t="s">
        <v>40</v>
      </c>
      <c r="L3728" s="27"/>
    </row>
    <row r="3729" customFormat="false" ht="15" hidden="false" customHeight="false" outlineLevel="0" collapsed="false">
      <c r="A3729" s="26" t="s">
        <v>12394</v>
      </c>
      <c r="B3729" s="27" t="s">
        <v>12395</v>
      </c>
      <c r="C3729" s="27" t="s">
        <v>370</v>
      </c>
      <c r="D3729" s="26"/>
      <c r="E3729" s="27"/>
      <c r="F3729" s="27"/>
      <c r="G3729" s="27" t="s">
        <v>11122</v>
      </c>
      <c r="H3729" s="27" t="s">
        <v>35</v>
      </c>
      <c r="I3729" s="27" t="s">
        <v>40</v>
      </c>
      <c r="J3729" s="28" t="s">
        <v>161</v>
      </c>
      <c r="K3729" s="27" t="s">
        <v>40</v>
      </c>
      <c r="L3729" s="27"/>
    </row>
    <row r="3730" customFormat="false" ht="15" hidden="false" customHeight="false" outlineLevel="0" collapsed="false">
      <c r="A3730" s="26" t="s">
        <v>12396</v>
      </c>
      <c r="B3730" s="27" t="s">
        <v>12397</v>
      </c>
      <c r="C3730" s="27" t="s">
        <v>370</v>
      </c>
      <c r="D3730" s="26"/>
      <c r="E3730" s="27"/>
      <c r="F3730" s="27"/>
      <c r="G3730" s="27" t="s">
        <v>11122</v>
      </c>
      <c r="H3730" s="27" t="s">
        <v>35</v>
      </c>
      <c r="I3730" s="27" t="s">
        <v>40</v>
      </c>
      <c r="J3730" s="28" t="s">
        <v>161</v>
      </c>
      <c r="K3730" s="27" t="s">
        <v>40</v>
      </c>
      <c r="L3730" s="27"/>
    </row>
    <row r="3731" customFormat="false" ht="15" hidden="false" customHeight="false" outlineLevel="0" collapsed="false">
      <c r="A3731" s="26" t="s">
        <v>12398</v>
      </c>
      <c r="B3731" s="27" t="s">
        <v>12399</v>
      </c>
      <c r="C3731" s="27" t="s">
        <v>370</v>
      </c>
      <c r="D3731" s="26"/>
      <c r="E3731" s="27"/>
      <c r="F3731" s="27"/>
      <c r="G3731" s="27" t="s">
        <v>11122</v>
      </c>
      <c r="H3731" s="27" t="s">
        <v>35</v>
      </c>
      <c r="I3731" s="27" t="s">
        <v>48</v>
      </c>
      <c r="J3731" s="28" t="s">
        <v>161</v>
      </c>
      <c r="K3731" s="27" t="s">
        <v>40</v>
      </c>
      <c r="L3731" s="27"/>
    </row>
    <row r="3732" customFormat="false" ht="15" hidden="false" customHeight="false" outlineLevel="0" collapsed="false">
      <c r="A3732" s="26" t="s">
        <v>12400</v>
      </c>
      <c r="B3732" s="27" t="s">
        <v>12401</v>
      </c>
      <c r="C3732" s="27" t="s">
        <v>370</v>
      </c>
      <c r="D3732" s="26"/>
      <c r="E3732" s="27"/>
      <c r="F3732" s="27"/>
      <c r="G3732" s="27" t="s">
        <v>11122</v>
      </c>
      <c r="H3732" s="27" t="s">
        <v>35</v>
      </c>
      <c r="I3732" s="27" t="s">
        <v>40</v>
      </c>
      <c r="J3732" s="28" t="s">
        <v>161</v>
      </c>
      <c r="K3732" s="27" t="s">
        <v>40</v>
      </c>
      <c r="L3732" s="27"/>
    </row>
    <row r="3733" customFormat="false" ht="15" hidden="false" customHeight="false" outlineLevel="0" collapsed="false">
      <c r="A3733" s="26" t="s">
        <v>12402</v>
      </c>
      <c r="B3733" s="27" t="s">
        <v>12403</v>
      </c>
      <c r="C3733" s="27" t="s">
        <v>370</v>
      </c>
      <c r="D3733" s="26"/>
      <c r="E3733" s="27"/>
      <c r="F3733" s="27"/>
      <c r="G3733" s="27" t="s">
        <v>11122</v>
      </c>
      <c r="H3733" s="27" t="s">
        <v>35</v>
      </c>
      <c r="I3733" s="27" t="s">
        <v>40</v>
      </c>
      <c r="J3733" s="28" t="s">
        <v>161</v>
      </c>
      <c r="K3733" s="27" t="s">
        <v>40</v>
      </c>
      <c r="L3733" s="27"/>
    </row>
    <row r="3734" customFormat="false" ht="15" hidden="false" customHeight="false" outlineLevel="0" collapsed="false">
      <c r="A3734" s="26" t="s">
        <v>12404</v>
      </c>
      <c r="B3734" s="27" t="s">
        <v>12405</v>
      </c>
      <c r="C3734" s="27" t="s">
        <v>370</v>
      </c>
      <c r="D3734" s="26"/>
      <c r="E3734" s="27"/>
      <c r="F3734" s="27"/>
      <c r="G3734" s="27" t="s">
        <v>11122</v>
      </c>
      <c r="H3734" s="27" t="s">
        <v>35</v>
      </c>
      <c r="I3734" s="27" t="s">
        <v>40</v>
      </c>
      <c r="J3734" s="28" t="s">
        <v>161</v>
      </c>
      <c r="K3734" s="27" t="s">
        <v>40</v>
      </c>
      <c r="L3734" s="27"/>
    </row>
    <row r="3735" customFormat="false" ht="15" hidden="false" customHeight="false" outlineLevel="0" collapsed="false">
      <c r="A3735" s="26" t="s">
        <v>12406</v>
      </c>
      <c r="B3735" s="27" t="s">
        <v>12407</v>
      </c>
      <c r="C3735" s="27" t="s">
        <v>370</v>
      </c>
      <c r="D3735" s="26"/>
      <c r="E3735" s="27"/>
      <c r="F3735" s="27"/>
      <c r="G3735" s="27" t="s">
        <v>11122</v>
      </c>
      <c r="H3735" s="27" t="s">
        <v>35</v>
      </c>
      <c r="I3735" s="27" t="s">
        <v>40</v>
      </c>
      <c r="J3735" s="28" t="s">
        <v>161</v>
      </c>
      <c r="K3735" s="27" t="s">
        <v>40</v>
      </c>
      <c r="L3735" s="27"/>
    </row>
    <row r="3736" customFormat="false" ht="15" hidden="false" customHeight="false" outlineLevel="0" collapsed="false">
      <c r="A3736" s="26" t="s">
        <v>12408</v>
      </c>
      <c r="B3736" s="27" t="s">
        <v>12409</v>
      </c>
      <c r="C3736" s="27" t="s">
        <v>370</v>
      </c>
      <c r="D3736" s="26"/>
      <c r="E3736" s="27"/>
      <c r="F3736" s="27"/>
      <c r="G3736" s="27" t="s">
        <v>11122</v>
      </c>
      <c r="H3736" s="27" t="s">
        <v>35</v>
      </c>
      <c r="I3736" s="27" t="s">
        <v>40</v>
      </c>
      <c r="J3736" s="28" t="s">
        <v>161</v>
      </c>
      <c r="K3736" s="27" t="s">
        <v>40</v>
      </c>
      <c r="L3736" s="27"/>
    </row>
    <row r="3737" customFormat="false" ht="15" hidden="false" customHeight="false" outlineLevel="0" collapsed="false">
      <c r="A3737" s="26" t="s">
        <v>12410</v>
      </c>
      <c r="B3737" s="27" t="s">
        <v>12411</v>
      </c>
      <c r="C3737" s="27" t="s">
        <v>370</v>
      </c>
      <c r="D3737" s="26"/>
      <c r="E3737" s="27"/>
      <c r="F3737" s="27"/>
      <c r="G3737" s="27" t="s">
        <v>11122</v>
      </c>
      <c r="H3737" s="27" t="s">
        <v>35</v>
      </c>
      <c r="I3737" s="27" t="s">
        <v>40</v>
      </c>
      <c r="J3737" s="28" t="s">
        <v>161</v>
      </c>
      <c r="K3737" s="27" t="s">
        <v>40</v>
      </c>
      <c r="L3737" s="27"/>
    </row>
    <row r="3738" customFormat="false" ht="15" hidden="false" customHeight="false" outlineLevel="0" collapsed="false">
      <c r="A3738" s="26" t="s">
        <v>12412</v>
      </c>
      <c r="B3738" s="27" t="s">
        <v>12413</v>
      </c>
      <c r="C3738" s="27" t="s">
        <v>144</v>
      </c>
      <c r="D3738" s="26"/>
      <c r="E3738" s="27"/>
      <c r="F3738" s="27"/>
      <c r="G3738" s="27" t="s">
        <v>11122</v>
      </c>
      <c r="H3738" s="27" t="s">
        <v>35</v>
      </c>
      <c r="I3738" s="27" t="s">
        <v>40</v>
      </c>
      <c r="J3738" s="28" t="s">
        <v>161</v>
      </c>
      <c r="K3738" s="27" t="s">
        <v>40</v>
      </c>
      <c r="L3738" s="27"/>
    </row>
    <row r="3739" customFormat="false" ht="15" hidden="false" customHeight="false" outlineLevel="0" collapsed="false">
      <c r="A3739" s="26" t="s">
        <v>12414</v>
      </c>
      <c r="B3739" s="27" t="s">
        <v>12415</v>
      </c>
      <c r="C3739" s="27" t="s">
        <v>144</v>
      </c>
      <c r="D3739" s="26"/>
      <c r="E3739" s="27"/>
      <c r="F3739" s="27"/>
      <c r="G3739" s="27" t="s">
        <v>11122</v>
      </c>
      <c r="H3739" s="27" t="s">
        <v>35</v>
      </c>
      <c r="I3739" s="27" t="s">
        <v>40</v>
      </c>
      <c r="J3739" s="28" t="s">
        <v>161</v>
      </c>
      <c r="K3739" s="27" t="s">
        <v>40</v>
      </c>
      <c r="L3739" s="27"/>
    </row>
    <row r="3740" customFormat="false" ht="15" hidden="false" customHeight="false" outlineLevel="0" collapsed="false">
      <c r="A3740" s="26" t="s">
        <v>12416</v>
      </c>
      <c r="B3740" s="27" t="s">
        <v>12417</v>
      </c>
      <c r="C3740" s="27" t="s">
        <v>144</v>
      </c>
      <c r="D3740" s="26"/>
      <c r="E3740" s="27"/>
      <c r="F3740" s="27"/>
      <c r="G3740" s="27" t="s">
        <v>11122</v>
      </c>
      <c r="H3740" s="27" t="s">
        <v>35</v>
      </c>
      <c r="I3740" s="27" t="s">
        <v>48</v>
      </c>
      <c r="J3740" s="28" t="s">
        <v>161</v>
      </c>
      <c r="K3740" s="27" t="s">
        <v>40</v>
      </c>
      <c r="L3740" s="27"/>
    </row>
    <row r="3741" customFormat="false" ht="15" hidden="false" customHeight="false" outlineLevel="0" collapsed="false">
      <c r="A3741" s="26" t="s">
        <v>12418</v>
      </c>
      <c r="B3741" s="27" t="s">
        <v>12419</v>
      </c>
      <c r="C3741" s="27" t="s">
        <v>144</v>
      </c>
      <c r="D3741" s="26"/>
      <c r="E3741" s="27"/>
      <c r="F3741" s="27"/>
      <c r="G3741" s="27" t="s">
        <v>11122</v>
      </c>
      <c r="H3741" s="27" t="s">
        <v>35</v>
      </c>
      <c r="I3741" s="27" t="s">
        <v>40</v>
      </c>
      <c r="J3741" s="28" t="s">
        <v>161</v>
      </c>
      <c r="K3741" s="27" t="s">
        <v>40</v>
      </c>
      <c r="L3741" s="27"/>
    </row>
    <row r="3742" customFormat="false" ht="15" hidden="false" customHeight="false" outlineLevel="0" collapsed="false">
      <c r="A3742" s="26" t="s">
        <v>12420</v>
      </c>
      <c r="B3742" s="27" t="s">
        <v>12421</v>
      </c>
      <c r="C3742" s="27" t="s">
        <v>144</v>
      </c>
      <c r="D3742" s="26"/>
      <c r="E3742" s="27"/>
      <c r="F3742" s="27"/>
      <c r="G3742" s="27" t="s">
        <v>11122</v>
      </c>
      <c r="H3742" s="27" t="s">
        <v>35</v>
      </c>
      <c r="I3742" s="27" t="s">
        <v>40</v>
      </c>
      <c r="J3742" s="28" t="s">
        <v>161</v>
      </c>
      <c r="K3742" s="27" t="s">
        <v>40</v>
      </c>
      <c r="L3742" s="27"/>
    </row>
    <row r="3743" customFormat="false" ht="15" hidden="false" customHeight="false" outlineLevel="0" collapsed="false">
      <c r="A3743" s="26" t="s">
        <v>12422</v>
      </c>
      <c r="B3743" s="27" t="s">
        <v>12423</v>
      </c>
      <c r="C3743" s="27" t="s">
        <v>144</v>
      </c>
      <c r="D3743" s="26"/>
      <c r="E3743" s="27"/>
      <c r="F3743" s="27"/>
      <c r="G3743" s="27" t="s">
        <v>11122</v>
      </c>
      <c r="H3743" s="27" t="s">
        <v>35</v>
      </c>
      <c r="I3743" s="27" t="s">
        <v>40</v>
      </c>
      <c r="J3743" s="28" t="s">
        <v>161</v>
      </c>
      <c r="K3743" s="27" t="s">
        <v>40</v>
      </c>
      <c r="L3743" s="27"/>
    </row>
    <row r="3744" customFormat="false" ht="15" hidden="false" customHeight="false" outlineLevel="0" collapsed="false">
      <c r="A3744" s="26" t="s">
        <v>12424</v>
      </c>
      <c r="B3744" s="27" t="s">
        <v>12425</v>
      </c>
      <c r="C3744" s="27" t="s">
        <v>144</v>
      </c>
      <c r="D3744" s="26"/>
      <c r="E3744" s="27"/>
      <c r="F3744" s="27"/>
      <c r="G3744" s="27" t="s">
        <v>11122</v>
      </c>
      <c r="H3744" s="27" t="s">
        <v>35</v>
      </c>
      <c r="I3744" s="27" t="s">
        <v>48</v>
      </c>
      <c r="J3744" s="28" t="s">
        <v>161</v>
      </c>
      <c r="K3744" s="27" t="s">
        <v>40</v>
      </c>
      <c r="L3744" s="27"/>
    </row>
    <row r="3745" customFormat="false" ht="15" hidden="false" customHeight="false" outlineLevel="0" collapsed="false">
      <c r="A3745" s="26" t="s">
        <v>12426</v>
      </c>
      <c r="B3745" s="27" t="s">
        <v>12427</v>
      </c>
      <c r="C3745" s="27" t="s">
        <v>144</v>
      </c>
      <c r="D3745" s="26"/>
      <c r="E3745" s="27"/>
      <c r="F3745" s="27"/>
      <c r="G3745" s="27" t="s">
        <v>11122</v>
      </c>
      <c r="H3745" s="27" t="s">
        <v>35</v>
      </c>
      <c r="I3745" s="28" t="s">
        <v>46</v>
      </c>
      <c r="J3745" s="28" t="s">
        <v>161</v>
      </c>
      <c r="K3745" s="27" t="s">
        <v>40</v>
      </c>
      <c r="L3745" s="27"/>
    </row>
    <row r="3746" customFormat="false" ht="15" hidden="false" customHeight="false" outlineLevel="0" collapsed="false">
      <c r="A3746" s="26" t="s">
        <v>12428</v>
      </c>
      <c r="B3746" s="27" t="s">
        <v>12429</v>
      </c>
      <c r="C3746" s="27" t="s">
        <v>144</v>
      </c>
      <c r="D3746" s="26"/>
      <c r="E3746" s="27"/>
      <c r="F3746" s="27"/>
      <c r="G3746" s="27" t="s">
        <v>11122</v>
      </c>
      <c r="H3746" s="27" t="s">
        <v>35</v>
      </c>
      <c r="I3746" s="27" t="s">
        <v>40</v>
      </c>
      <c r="J3746" s="28" t="s">
        <v>161</v>
      </c>
      <c r="K3746" s="27" t="s">
        <v>40</v>
      </c>
      <c r="L3746" s="27"/>
    </row>
    <row r="3747" customFormat="false" ht="15" hidden="false" customHeight="false" outlineLevel="0" collapsed="false">
      <c r="A3747" s="26" t="s">
        <v>12430</v>
      </c>
      <c r="B3747" s="27" t="s">
        <v>12431</v>
      </c>
      <c r="C3747" s="27" t="s">
        <v>144</v>
      </c>
      <c r="D3747" s="26"/>
      <c r="E3747" s="27"/>
      <c r="F3747" s="27"/>
      <c r="G3747" s="27" t="s">
        <v>11122</v>
      </c>
      <c r="H3747" s="27" t="s">
        <v>35</v>
      </c>
      <c r="I3747" s="27" t="s">
        <v>40</v>
      </c>
      <c r="J3747" s="28" t="s">
        <v>161</v>
      </c>
      <c r="K3747" s="27" t="s">
        <v>40</v>
      </c>
      <c r="L3747" s="27"/>
    </row>
    <row r="3748" customFormat="false" ht="15" hidden="false" customHeight="false" outlineLevel="0" collapsed="false">
      <c r="A3748" s="26" t="s">
        <v>12432</v>
      </c>
      <c r="B3748" s="27" t="s">
        <v>12433</v>
      </c>
      <c r="C3748" s="27" t="s">
        <v>144</v>
      </c>
      <c r="D3748" s="26"/>
      <c r="E3748" s="27"/>
      <c r="F3748" s="27"/>
      <c r="G3748" s="27" t="s">
        <v>11122</v>
      </c>
      <c r="H3748" s="27" t="s">
        <v>35</v>
      </c>
      <c r="I3748" s="27" t="s">
        <v>40</v>
      </c>
      <c r="J3748" s="28" t="s">
        <v>161</v>
      </c>
      <c r="K3748" s="27" t="s">
        <v>40</v>
      </c>
      <c r="L3748" s="27"/>
    </row>
    <row r="3749" customFormat="false" ht="15" hidden="false" customHeight="false" outlineLevel="0" collapsed="false">
      <c r="A3749" s="26" t="s">
        <v>12434</v>
      </c>
      <c r="B3749" s="27" t="s">
        <v>12435</v>
      </c>
      <c r="C3749" s="27" t="s">
        <v>144</v>
      </c>
      <c r="D3749" s="26"/>
      <c r="E3749" s="27"/>
      <c r="F3749" s="27"/>
      <c r="G3749" s="27" t="s">
        <v>11122</v>
      </c>
      <c r="H3749" s="27" t="s">
        <v>35</v>
      </c>
      <c r="I3749" s="27" t="s">
        <v>40</v>
      </c>
      <c r="J3749" s="28" t="s">
        <v>161</v>
      </c>
      <c r="K3749" s="27" t="s">
        <v>40</v>
      </c>
      <c r="L3749" s="27"/>
    </row>
    <row r="3750" customFormat="false" ht="15" hidden="false" customHeight="false" outlineLevel="0" collapsed="false">
      <c r="A3750" s="26" t="s">
        <v>12436</v>
      </c>
      <c r="B3750" s="27" t="s">
        <v>12437</v>
      </c>
      <c r="C3750" s="27" t="s">
        <v>144</v>
      </c>
      <c r="D3750" s="26"/>
      <c r="E3750" s="27"/>
      <c r="F3750" s="27"/>
      <c r="G3750" s="27" t="s">
        <v>11122</v>
      </c>
      <c r="H3750" s="27" t="s">
        <v>35</v>
      </c>
      <c r="I3750" s="27" t="s">
        <v>40</v>
      </c>
      <c r="J3750" s="28" t="s">
        <v>161</v>
      </c>
      <c r="K3750" s="27" t="s">
        <v>40</v>
      </c>
      <c r="L3750" s="27"/>
    </row>
    <row r="3751" customFormat="false" ht="15" hidden="false" customHeight="false" outlineLevel="0" collapsed="false">
      <c r="A3751" s="26" t="s">
        <v>12438</v>
      </c>
      <c r="B3751" s="27" t="s">
        <v>12439</v>
      </c>
      <c r="C3751" s="27" t="s">
        <v>144</v>
      </c>
      <c r="D3751" s="26"/>
      <c r="E3751" s="27"/>
      <c r="F3751" s="27"/>
      <c r="G3751" s="27" t="s">
        <v>11122</v>
      </c>
      <c r="H3751" s="27" t="s">
        <v>35</v>
      </c>
      <c r="I3751" s="27" t="s">
        <v>40</v>
      </c>
      <c r="J3751" s="28" t="s">
        <v>161</v>
      </c>
      <c r="K3751" s="27" t="s">
        <v>40</v>
      </c>
      <c r="L3751" s="27"/>
    </row>
    <row r="3752" customFormat="false" ht="15" hidden="false" customHeight="false" outlineLevel="0" collapsed="false">
      <c r="A3752" s="26" t="s">
        <v>12440</v>
      </c>
      <c r="B3752" s="27" t="s">
        <v>12441</v>
      </c>
      <c r="C3752" s="27" t="s">
        <v>144</v>
      </c>
      <c r="D3752" s="26"/>
      <c r="E3752" s="27"/>
      <c r="F3752" s="27"/>
      <c r="G3752" s="27" t="s">
        <v>11122</v>
      </c>
      <c r="H3752" s="27" t="s">
        <v>35</v>
      </c>
      <c r="I3752" s="27" t="s">
        <v>40</v>
      </c>
      <c r="J3752" s="28" t="s">
        <v>161</v>
      </c>
      <c r="K3752" s="27" t="s">
        <v>40</v>
      </c>
      <c r="L3752" s="27"/>
    </row>
    <row r="3753" customFormat="false" ht="15" hidden="false" customHeight="false" outlineLevel="0" collapsed="false">
      <c r="A3753" s="26" t="s">
        <v>12442</v>
      </c>
      <c r="B3753" s="27" t="s">
        <v>12443</v>
      </c>
      <c r="C3753" s="27" t="s">
        <v>144</v>
      </c>
      <c r="D3753" s="26"/>
      <c r="E3753" s="27"/>
      <c r="F3753" s="27"/>
      <c r="G3753" s="27" t="s">
        <v>11122</v>
      </c>
      <c r="H3753" s="27" t="s">
        <v>35</v>
      </c>
      <c r="I3753" s="27" t="s">
        <v>40</v>
      </c>
      <c r="J3753" s="28" t="s">
        <v>161</v>
      </c>
      <c r="K3753" s="27" t="s">
        <v>40</v>
      </c>
      <c r="L3753" s="27"/>
    </row>
    <row r="3754" customFormat="false" ht="15" hidden="false" customHeight="false" outlineLevel="0" collapsed="false">
      <c r="A3754" s="26" t="s">
        <v>12444</v>
      </c>
      <c r="B3754" s="27" t="s">
        <v>12445</v>
      </c>
      <c r="C3754" s="27" t="s">
        <v>370</v>
      </c>
      <c r="D3754" s="26"/>
      <c r="E3754" s="27"/>
      <c r="F3754" s="27"/>
      <c r="G3754" s="27" t="s">
        <v>11122</v>
      </c>
      <c r="H3754" s="27" t="s">
        <v>35</v>
      </c>
      <c r="I3754" s="27" t="s">
        <v>48</v>
      </c>
      <c r="J3754" s="28" t="s">
        <v>161</v>
      </c>
      <c r="K3754" s="27" t="s">
        <v>40</v>
      </c>
      <c r="L3754" s="27"/>
    </row>
    <row r="3755" customFormat="false" ht="15" hidden="false" customHeight="false" outlineLevel="0" collapsed="false">
      <c r="A3755" s="26" t="s">
        <v>12446</v>
      </c>
      <c r="B3755" s="27" t="s">
        <v>12447</v>
      </c>
      <c r="C3755" s="27" t="s">
        <v>370</v>
      </c>
      <c r="D3755" s="26"/>
      <c r="E3755" s="27"/>
      <c r="F3755" s="27"/>
      <c r="G3755" s="27" t="s">
        <v>11122</v>
      </c>
      <c r="H3755" s="27" t="s">
        <v>35</v>
      </c>
      <c r="I3755" s="27" t="s">
        <v>40</v>
      </c>
      <c r="J3755" s="28" t="s">
        <v>161</v>
      </c>
      <c r="K3755" s="27" t="s">
        <v>40</v>
      </c>
      <c r="L3755" s="27"/>
    </row>
    <row r="3756" customFormat="false" ht="15" hidden="false" customHeight="false" outlineLevel="0" collapsed="false">
      <c r="A3756" s="26" t="s">
        <v>12448</v>
      </c>
      <c r="B3756" s="27" t="s">
        <v>12449</v>
      </c>
      <c r="C3756" s="27" t="s">
        <v>370</v>
      </c>
      <c r="D3756" s="26"/>
      <c r="E3756" s="27"/>
      <c r="F3756" s="27"/>
      <c r="G3756" s="27" t="s">
        <v>11122</v>
      </c>
      <c r="H3756" s="27" t="s">
        <v>35</v>
      </c>
      <c r="I3756" s="27" t="s">
        <v>40</v>
      </c>
      <c r="J3756" s="28" t="s">
        <v>161</v>
      </c>
      <c r="K3756" s="27" t="s">
        <v>40</v>
      </c>
      <c r="L3756" s="27"/>
    </row>
    <row r="3757" customFormat="false" ht="15" hidden="false" customHeight="false" outlineLevel="0" collapsed="false">
      <c r="A3757" s="26" t="s">
        <v>12450</v>
      </c>
      <c r="B3757" s="27" t="s">
        <v>12451</v>
      </c>
      <c r="C3757" s="27" t="s">
        <v>370</v>
      </c>
      <c r="D3757" s="26"/>
      <c r="E3757" s="27"/>
      <c r="F3757" s="27"/>
      <c r="G3757" s="27" t="s">
        <v>11122</v>
      </c>
      <c r="H3757" s="27" t="s">
        <v>35</v>
      </c>
      <c r="I3757" s="27" t="s">
        <v>40</v>
      </c>
      <c r="J3757" s="28" t="s">
        <v>161</v>
      </c>
      <c r="K3757" s="27" t="s">
        <v>40</v>
      </c>
      <c r="L3757" s="27"/>
    </row>
    <row r="3758" customFormat="false" ht="15" hidden="false" customHeight="false" outlineLevel="0" collapsed="false">
      <c r="A3758" s="26" t="s">
        <v>12452</v>
      </c>
      <c r="B3758" s="27" t="s">
        <v>12453</v>
      </c>
      <c r="C3758" s="27" t="s">
        <v>370</v>
      </c>
      <c r="D3758" s="26"/>
      <c r="E3758" s="27"/>
      <c r="F3758" s="27"/>
      <c r="G3758" s="27" t="s">
        <v>11122</v>
      </c>
      <c r="H3758" s="27" t="s">
        <v>35</v>
      </c>
      <c r="I3758" s="27" t="s">
        <v>48</v>
      </c>
      <c r="J3758" s="28" t="s">
        <v>161</v>
      </c>
      <c r="K3758" s="27" t="s">
        <v>40</v>
      </c>
      <c r="L3758" s="27"/>
    </row>
    <row r="3759" customFormat="false" ht="15" hidden="false" customHeight="false" outlineLevel="0" collapsed="false">
      <c r="A3759" s="26" t="s">
        <v>12454</v>
      </c>
      <c r="B3759" s="27" t="s">
        <v>12455</v>
      </c>
      <c r="C3759" s="27" t="s">
        <v>144</v>
      </c>
      <c r="D3759" s="26"/>
      <c r="E3759" s="27"/>
      <c r="F3759" s="27"/>
      <c r="G3759" s="27" t="s">
        <v>11122</v>
      </c>
      <c r="H3759" s="27" t="s">
        <v>35</v>
      </c>
      <c r="I3759" s="27" t="s">
        <v>40</v>
      </c>
      <c r="J3759" s="28" t="s">
        <v>161</v>
      </c>
      <c r="K3759" s="27" t="s">
        <v>40</v>
      </c>
      <c r="L3759" s="27"/>
    </row>
    <row r="3760" customFormat="false" ht="15" hidden="false" customHeight="false" outlineLevel="0" collapsed="false">
      <c r="A3760" s="26" t="s">
        <v>12456</v>
      </c>
      <c r="B3760" s="27" t="s">
        <v>12457</v>
      </c>
      <c r="C3760" s="27" t="s">
        <v>144</v>
      </c>
      <c r="D3760" s="26"/>
      <c r="E3760" s="27"/>
      <c r="F3760" s="27"/>
      <c r="G3760" s="27" t="s">
        <v>11122</v>
      </c>
      <c r="H3760" s="27" t="s">
        <v>35</v>
      </c>
      <c r="I3760" s="27" t="s">
        <v>48</v>
      </c>
      <c r="J3760" s="28" t="s">
        <v>161</v>
      </c>
      <c r="K3760" s="27" t="s">
        <v>40</v>
      </c>
      <c r="L3760" s="27"/>
    </row>
    <row r="3761" customFormat="false" ht="15" hidden="false" customHeight="false" outlineLevel="0" collapsed="false">
      <c r="A3761" s="26" t="s">
        <v>12458</v>
      </c>
      <c r="B3761" s="27" t="s">
        <v>12459</v>
      </c>
      <c r="C3761" s="27" t="s">
        <v>144</v>
      </c>
      <c r="D3761" s="26"/>
      <c r="E3761" s="27"/>
      <c r="F3761" s="27"/>
      <c r="G3761" s="27" t="s">
        <v>11122</v>
      </c>
      <c r="H3761" s="27" t="s">
        <v>35</v>
      </c>
      <c r="I3761" s="27" t="s">
        <v>40</v>
      </c>
      <c r="J3761" s="28" t="s">
        <v>161</v>
      </c>
      <c r="K3761" s="27" t="s">
        <v>40</v>
      </c>
      <c r="L3761" s="27"/>
    </row>
    <row r="3762" customFormat="false" ht="15" hidden="false" customHeight="false" outlineLevel="0" collapsed="false">
      <c r="A3762" s="26" t="s">
        <v>12460</v>
      </c>
      <c r="B3762" s="27" t="s">
        <v>12461</v>
      </c>
      <c r="C3762" s="27" t="s">
        <v>144</v>
      </c>
      <c r="D3762" s="26"/>
      <c r="E3762" s="27"/>
      <c r="F3762" s="27"/>
      <c r="G3762" s="27" t="s">
        <v>11122</v>
      </c>
      <c r="H3762" s="27" t="s">
        <v>35</v>
      </c>
      <c r="I3762" s="27" t="s">
        <v>40</v>
      </c>
      <c r="J3762" s="28" t="s">
        <v>161</v>
      </c>
      <c r="K3762" s="27" t="s">
        <v>40</v>
      </c>
      <c r="L3762" s="27"/>
    </row>
    <row r="3763" customFormat="false" ht="15" hidden="false" customHeight="false" outlineLevel="0" collapsed="false">
      <c r="A3763" s="26" t="s">
        <v>12462</v>
      </c>
      <c r="B3763" s="27" t="s">
        <v>12463</v>
      </c>
      <c r="C3763" s="27" t="s">
        <v>144</v>
      </c>
      <c r="D3763" s="26"/>
      <c r="E3763" s="27"/>
      <c r="F3763" s="27"/>
      <c r="G3763" s="27" t="s">
        <v>11122</v>
      </c>
      <c r="H3763" s="27" t="s">
        <v>35</v>
      </c>
      <c r="I3763" s="27" t="s">
        <v>40</v>
      </c>
      <c r="J3763" s="28" t="s">
        <v>161</v>
      </c>
      <c r="K3763" s="27" t="s">
        <v>40</v>
      </c>
      <c r="L3763" s="27"/>
    </row>
    <row r="3764" customFormat="false" ht="15" hidden="false" customHeight="false" outlineLevel="0" collapsed="false">
      <c r="A3764" s="26" t="s">
        <v>12464</v>
      </c>
      <c r="B3764" s="27" t="s">
        <v>12465</v>
      </c>
      <c r="C3764" s="27" t="s">
        <v>144</v>
      </c>
      <c r="D3764" s="26"/>
      <c r="E3764" s="27"/>
      <c r="F3764" s="27"/>
      <c r="G3764" s="27" t="s">
        <v>11122</v>
      </c>
      <c r="H3764" s="27" t="s">
        <v>35</v>
      </c>
      <c r="I3764" s="28" t="s">
        <v>46</v>
      </c>
      <c r="J3764" s="28" t="s">
        <v>161</v>
      </c>
      <c r="K3764" s="27" t="s">
        <v>40</v>
      </c>
      <c r="L3764" s="27"/>
    </row>
    <row r="3765" customFormat="false" ht="15" hidden="false" customHeight="false" outlineLevel="0" collapsed="false">
      <c r="A3765" s="26" t="s">
        <v>12466</v>
      </c>
      <c r="B3765" s="27" t="s">
        <v>12467</v>
      </c>
      <c r="C3765" s="27" t="s">
        <v>144</v>
      </c>
      <c r="D3765" s="26"/>
      <c r="E3765" s="27"/>
      <c r="F3765" s="27"/>
      <c r="G3765" s="27" t="s">
        <v>11122</v>
      </c>
      <c r="H3765" s="27" t="s">
        <v>35</v>
      </c>
      <c r="I3765" s="27" t="s">
        <v>40</v>
      </c>
      <c r="J3765" s="28" t="s">
        <v>161</v>
      </c>
      <c r="K3765" s="27" t="s">
        <v>40</v>
      </c>
      <c r="L3765" s="27"/>
    </row>
    <row r="3766" customFormat="false" ht="15" hidden="false" customHeight="false" outlineLevel="0" collapsed="false">
      <c r="A3766" s="26" t="s">
        <v>12468</v>
      </c>
      <c r="B3766" s="27" t="s">
        <v>12469</v>
      </c>
      <c r="C3766" s="27" t="s">
        <v>144</v>
      </c>
      <c r="D3766" s="26"/>
      <c r="E3766" s="27"/>
      <c r="F3766" s="27"/>
      <c r="G3766" s="27" t="s">
        <v>11122</v>
      </c>
      <c r="H3766" s="27" t="s">
        <v>35</v>
      </c>
      <c r="I3766" s="28" t="s">
        <v>46</v>
      </c>
      <c r="J3766" s="28" t="s">
        <v>161</v>
      </c>
      <c r="K3766" s="27" t="s">
        <v>40</v>
      </c>
      <c r="L3766" s="27"/>
    </row>
    <row r="3767" customFormat="false" ht="15" hidden="false" customHeight="false" outlineLevel="0" collapsed="false">
      <c r="A3767" s="26" t="s">
        <v>12470</v>
      </c>
      <c r="B3767" s="27" t="s">
        <v>12471</v>
      </c>
      <c r="C3767" s="27" t="s">
        <v>370</v>
      </c>
      <c r="D3767" s="26"/>
      <c r="E3767" s="27"/>
      <c r="F3767" s="27"/>
      <c r="G3767" s="27" t="s">
        <v>11122</v>
      </c>
      <c r="H3767" s="27" t="s">
        <v>35</v>
      </c>
      <c r="I3767" s="27" t="s">
        <v>40</v>
      </c>
      <c r="J3767" s="28" t="s">
        <v>161</v>
      </c>
      <c r="K3767" s="27" t="s">
        <v>40</v>
      </c>
      <c r="L3767" s="27"/>
    </row>
    <row r="3768" customFormat="false" ht="15" hidden="false" customHeight="false" outlineLevel="0" collapsed="false">
      <c r="A3768" s="26" t="s">
        <v>12472</v>
      </c>
      <c r="B3768" s="27" t="s">
        <v>12473</v>
      </c>
      <c r="C3768" s="27" t="s">
        <v>144</v>
      </c>
      <c r="D3768" s="26"/>
      <c r="E3768" s="27"/>
      <c r="F3768" s="27"/>
      <c r="G3768" s="27" t="s">
        <v>11122</v>
      </c>
      <c r="H3768" s="27" t="s">
        <v>35</v>
      </c>
      <c r="I3768" s="27" t="s">
        <v>40</v>
      </c>
      <c r="J3768" s="28" t="s">
        <v>161</v>
      </c>
      <c r="K3768" s="27" t="s">
        <v>40</v>
      </c>
      <c r="L3768" s="27"/>
    </row>
    <row r="3769" customFormat="false" ht="15" hidden="false" customHeight="false" outlineLevel="0" collapsed="false">
      <c r="A3769" s="26" t="s">
        <v>12474</v>
      </c>
      <c r="B3769" s="27" t="s">
        <v>12475</v>
      </c>
      <c r="C3769" s="27" t="s">
        <v>144</v>
      </c>
      <c r="D3769" s="26"/>
      <c r="E3769" s="27"/>
      <c r="F3769" s="27"/>
      <c r="G3769" s="27" t="s">
        <v>11122</v>
      </c>
      <c r="H3769" s="27" t="s">
        <v>35</v>
      </c>
      <c r="I3769" s="27" t="s">
        <v>40</v>
      </c>
      <c r="J3769" s="28" t="s">
        <v>161</v>
      </c>
      <c r="K3769" s="27" t="s">
        <v>40</v>
      </c>
      <c r="L3769" s="27"/>
    </row>
    <row r="3770" customFormat="false" ht="15" hidden="false" customHeight="false" outlineLevel="0" collapsed="false">
      <c r="A3770" s="26" t="s">
        <v>12476</v>
      </c>
      <c r="B3770" s="27" t="s">
        <v>12477</v>
      </c>
      <c r="C3770" s="27" t="s">
        <v>144</v>
      </c>
      <c r="D3770" s="26"/>
      <c r="E3770" s="27"/>
      <c r="F3770" s="27"/>
      <c r="G3770" s="27" t="s">
        <v>11122</v>
      </c>
      <c r="H3770" s="27" t="s">
        <v>35</v>
      </c>
      <c r="I3770" s="27" t="s">
        <v>40</v>
      </c>
      <c r="J3770" s="28" t="s">
        <v>161</v>
      </c>
      <c r="K3770" s="27" t="s">
        <v>40</v>
      </c>
      <c r="L3770" s="27"/>
    </row>
    <row r="3771" customFormat="false" ht="15" hidden="false" customHeight="false" outlineLevel="0" collapsed="false">
      <c r="A3771" s="26" t="s">
        <v>12478</v>
      </c>
      <c r="B3771" s="27" t="s">
        <v>12479</v>
      </c>
      <c r="C3771" s="27" t="s">
        <v>144</v>
      </c>
      <c r="D3771" s="26"/>
      <c r="E3771" s="27"/>
      <c r="F3771" s="27"/>
      <c r="G3771" s="27" t="s">
        <v>11122</v>
      </c>
      <c r="H3771" s="27" t="s">
        <v>35</v>
      </c>
      <c r="I3771" s="28" t="s">
        <v>46</v>
      </c>
      <c r="J3771" s="28" t="s">
        <v>161</v>
      </c>
      <c r="K3771" s="27" t="s">
        <v>40</v>
      </c>
      <c r="L3771" s="27"/>
    </row>
    <row r="3772" customFormat="false" ht="15" hidden="false" customHeight="false" outlineLevel="0" collapsed="false">
      <c r="A3772" s="26" t="s">
        <v>12480</v>
      </c>
      <c r="B3772" s="27" t="s">
        <v>12481</v>
      </c>
      <c r="C3772" s="27" t="s">
        <v>144</v>
      </c>
      <c r="D3772" s="26"/>
      <c r="E3772" s="27"/>
      <c r="F3772" s="27"/>
      <c r="G3772" s="27" t="s">
        <v>11122</v>
      </c>
      <c r="H3772" s="27" t="s">
        <v>35</v>
      </c>
      <c r="I3772" s="28" t="s">
        <v>46</v>
      </c>
      <c r="J3772" s="28" t="s">
        <v>161</v>
      </c>
      <c r="K3772" s="27" t="s">
        <v>40</v>
      </c>
      <c r="L3772" s="27"/>
    </row>
    <row r="3773" customFormat="false" ht="15" hidden="false" customHeight="false" outlineLevel="0" collapsed="false">
      <c r="A3773" s="26" t="s">
        <v>12482</v>
      </c>
      <c r="B3773" s="27" t="s">
        <v>12483</v>
      </c>
      <c r="C3773" s="27" t="s">
        <v>144</v>
      </c>
      <c r="D3773" s="26"/>
      <c r="E3773" s="27"/>
      <c r="F3773" s="27"/>
      <c r="G3773" s="27" t="s">
        <v>11122</v>
      </c>
      <c r="H3773" s="27" t="s">
        <v>35</v>
      </c>
      <c r="I3773" s="28" t="s">
        <v>46</v>
      </c>
      <c r="J3773" s="28" t="s">
        <v>161</v>
      </c>
      <c r="K3773" s="27" t="s">
        <v>40</v>
      </c>
      <c r="L3773" s="27"/>
    </row>
    <row r="3774" customFormat="false" ht="15" hidden="false" customHeight="false" outlineLevel="0" collapsed="false">
      <c r="A3774" s="26" t="s">
        <v>12484</v>
      </c>
      <c r="B3774" s="27" t="s">
        <v>12485</v>
      </c>
      <c r="C3774" s="27" t="s">
        <v>144</v>
      </c>
      <c r="D3774" s="26"/>
      <c r="E3774" s="27"/>
      <c r="F3774" s="27"/>
      <c r="G3774" s="27" t="s">
        <v>11122</v>
      </c>
      <c r="H3774" s="27" t="s">
        <v>35</v>
      </c>
      <c r="I3774" s="27" t="s">
        <v>40</v>
      </c>
      <c r="J3774" s="28" t="s">
        <v>161</v>
      </c>
      <c r="K3774" s="27" t="s">
        <v>40</v>
      </c>
      <c r="L3774" s="27"/>
    </row>
    <row r="3775" customFormat="false" ht="15" hidden="false" customHeight="false" outlineLevel="0" collapsed="false">
      <c r="A3775" s="26" t="s">
        <v>12486</v>
      </c>
      <c r="B3775" s="27" t="s">
        <v>12487</v>
      </c>
      <c r="C3775" s="27" t="s">
        <v>144</v>
      </c>
      <c r="D3775" s="26"/>
      <c r="E3775" s="27"/>
      <c r="F3775" s="27"/>
      <c r="G3775" s="27" t="s">
        <v>11122</v>
      </c>
      <c r="H3775" s="27" t="s">
        <v>35</v>
      </c>
      <c r="I3775" s="27" t="s">
        <v>48</v>
      </c>
      <c r="J3775" s="28" t="s">
        <v>161</v>
      </c>
      <c r="K3775" s="27" t="s">
        <v>40</v>
      </c>
      <c r="L3775" s="27"/>
    </row>
    <row r="3776" customFormat="false" ht="15" hidden="false" customHeight="false" outlineLevel="0" collapsed="false">
      <c r="A3776" s="26" t="s">
        <v>12488</v>
      </c>
      <c r="B3776" s="27" t="s">
        <v>12489</v>
      </c>
      <c r="C3776" s="27" t="s">
        <v>144</v>
      </c>
      <c r="D3776" s="26"/>
      <c r="E3776" s="27"/>
      <c r="F3776" s="27"/>
      <c r="G3776" s="27" t="s">
        <v>11122</v>
      </c>
      <c r="H3776" s="27" t="s">
        <v>35</v>
      </c>
      <c r="I3776" s="27" t="s">
        <v>40</v>
      </c>
      <c r="J3776" s="28" t="s">
        <v>161</v>
      </c>
      <c r="K3776" s="27" t="s">
        <v>40</v>
      </c>
      <c r="L3776" s="27"/>
    </row>
    <row r="3777" customFormat="false" ht="15" hidden="false" customHeight="false" outlineLevel="0" collapsed="false">
      <c r="A3777" s="26" t="s">
        <v>12490</v>
      </c>
      <c r="B3777" s="27" t="s">
        <v>12491</v>
      </c>
      <c r="C3777" s="27" t="s">
        <v>144</v>
      </c>
      <c r="D3777" s="26"/>
      <c r="E3777" s="27"/>
      <c r="F3777" s="27"/>
      <c r="G3777" s="27" t="s">
        <v>11122</v>
      </c>
      <c r="H3777" s="27" t="s">
        <v>35</v>
      </c>
      <c r="I3777" s="27" t="s">
        <v>4159</v>
      </c>
      <c r="J3777" s="28" t="s">
        <v>161</v>
      </c>
      <c r="K3777" s="27" t="s">
        <v>40</v>
      </c>
      <c r="L3777" s="27"/>
    </row>
    <row r="3778" customFormat="false" ht="15" hidden="false" customHeight="false" outlineLevel="0" collapsed="false">
      <c r="A3778" s="26" t="s">
        <v>12492</v>
      </c>
      <c r="B3778" s="27" t="s">
        <v>12493</v>
      </c>
      <c r="C3778" s="27" t="s">
        <v>144</v>
      </c>
      <c r="D3778" s="26"/>
      <c r="E3778" s="27"/>
      <c r="F3778" s="27"/>
      <c r="G3778" s="27" t="s">
        <v>11122</v>
      </c>
      <c r="H3778" s="27" t="s">
        <v>35</v>
      </c>
      <c r="I3778" s="27" t="s">
        <v>40</v>
      </c>
      <c r="J3778" s="28" t="s">
        <v>161</v>
      </c>
      <c r="K3778" s="27" t="s">
        <v>40</v>
      </c>
      <c r="L3778" s="27"/>
    </row>
    <row r="3779" customFormat="false" ht="15" hidden="false" customHeight="false" outlineLevel="0" collapsed="false">
      <c r="A3779" s="26" t="s">
        <v>12494</v>
      </c>
      <c r="B3779" s="27" t="s">
        <v>12495</v>
      </c>
      <c r="C3779" s="27" t="s">
        <v>144</v>
      </c>
      <c r="D3779" s="26"/>
      <c r="E3779" s="27"/>
      <c r="F3779" s="27"/>
      <c r="G3779" s="27" t="s">
        <v>11122</v>
      </c>
      <c r="H3779" s="27" t="s">
        <v>35</v>
      </c>
      <c r="I3779" s="28" t="s">
        <v>46</v>
      </c>
      <c r="J3779" s="28" t="s">
        <v>161</v>
      </c>
      <c r="K3779" s="27" t="s">
        <v>40</v>
      </c>
      <c r="L3779" s="27"/>
    </row>
    <row r="3780" customFormat="false" ht="15" hidden="false" customHeight="false" outlineLevel="0" collapsed="false">
      <c r="A3780" s="26" t="s">
        <v>12496</v>
      </c>
      <c r="B3780" s="27" t="s">
        <v>12497</v>
      </c>
      <c r="C3780" s="27" t="s">
        <v>144</v>
      </c>
      <c r="D3780" s="26"/>
      <c r="E3780" s="27"/>
      <c r="F3780" s="27"/>
      <c r="G3780" s="27" t="s">
        <v>11122</v>
      </c>
      <c r="H3780" s="27" t="s">
        <v>35</v>
      </c>
      <c r="I3780" s="27" t="s">
        <v>47</v>
      </c>
      <c r="J3780" s="28" t="s">
        <v>161</v>
      </c>
      <c r="K3780" s="27" t="s">
        <v>40</v>
      </c>
      <c r="L3780" s="27"/>
    </row>
    <row r="3781" customFormat="false" ht="15" hidden="false" customHeight="false" outlineLevel="0" collapsed="false">
      <c r="A3781" s="26" t="s">
        <v>12498</v>
      </c>
      <c r="B3781" s="27" t="s">
        <v>12499</v>
      </c>
      <c r="C3781" s="27" t="s">
        <v>144</v>
      </c>
      <c r="D3781" s="26"/>
      <c r="E3781" s="27"/>
      <c r="F3781" s="27"/>
      <c r="G3781" s="27" t="s">
        <v>11122</v>
      </c>
      <c r="H3781" s="27" t="s">
        <v>35</v>
      </c>
      <c r="I3781" s="27" t="s">
        <v>40</v>
      </c>
      <c r="J3781" s="28" t="s">
        <v>161</v>
      </c>
      <c r="K3781" s="27" t="s">
        <v>40</v>
      </c>
      <c r="L3781" s="27"/>
    </row>
    <row r="3782" customFormat="false" ht="15" hidden="false" customHeight="false" outlineLevel="0" collapsed="false">
      <c r="A3782" s="26" t="s">
        <v>12500</v>
      </c>
      <c r="B3782" s="27" t="s">
        <v>12501</v>
      </c>
      <c r="C3782" s="27" t="s">
        <v>144</v>
      </c>
      <c r="D3782" s="26"/>
      <c r="E3782" s="27"/>
      <c r="F3782" s="27"/>
      <c r="G3782" s="27" t="s">
        <v>11122</v>
      </c>
      <c r="H3782" s="27" t="s">
        <v>35</v>
      </c>
      <c r="I3782" s="27" t="s">
        <v>40</v>
      </c>
      <c r="J3782" s="28" t="s">
        <v>161</v>
      </c>
      <c r="K3782" s="27" t="s">
        <v>40</v>
      </c>
      <c r="L3782" s="27"/>
    </row>
    <row r="3783" customFormat="false" ht="15" hidden="false" customHeight="false" outlineLevel="0" collapsed="false">
      <c r="A3783" s="26" t="s">
        <v>12502</v>
      </c>
      <c r="B3783" s="27" t="s">
        <v>12503</v>
      </c>
      <c r="C3783" s="27" t="s">
        <v>144</v>
      </c>
      <c r="D3783" s="26"/>
      <c r="E3783" s="27"/>
      <c r="F3783" s="27"/>
      <c r="G3783" s="27" t="s">
        <v>11122</v>
      </c>
      <c r="H3783" s="27" t="s">
        <v>35</v>
      </c>
      <c r="I3783" s="27" t="s">
        <v>39</v>
      </c>
      <c r="J3783" s="28" t="s">
        <v>161</v>
      </c>
      <c r="K3783" s="27" t="s">
        <v>40</v>
      </c>
      <c r="L3783" s="27"/>
    </row>
    <row r="3784" customFormat="false" ht="15" hidden="false" customHeight="false" outlineLevel="0" collapsed="false">
      <c r="A3784" s="26" t="s">
        <v>12504</v>
      </c>
      <c r="B3784" s="27" t="s">
        <v>12505</v>
      </c>
      <c r="C3784" s="27" t="s">
        <v>144</v>
      </c>
      <c r="D3784" s="26"/>
      <c r="E3784" s="27"/>
      <c r="F3784" s="27"/>
      <c r="G3784" s="27" t="s">
        <v>11122</v>
      </c>
      <c r="H3784" s="27" t="s">
        <v>35</v>
      </c>
      <c r="I3784" s="27" t="s">
        <v>39</v>
      </c>
      <c r="J3784" s="28" t="s">
        <v>161</v>
      </c>
      <c r="K3784" s="27" t="s">
        <v>40</v>
      </c>
      <c r="L3784" s="27"/>
    </row>
    <row r="3785" customFormat="false" ht="15" hidden="false" customHeight="false" outlineLevel="0" collapsed="false">
      <c r="A3785" s="26" t="s">
        <v>12506</v>
      </c>
      <c r="B3785" s="27" t="s">
        <v>12507</v>
      </c>
      <c r="C3785" s="27" t="s">
        <v>144</v>
      </c>
      <c r="D3785" s="26"/>
      <c r="E3785" s="27"/>
      <c r="F3785" s="27"/>
      <c r="G3785" s="27" t="s">
        <v>11122</v>
      </c>
      <c r="H3785" s="27" t="s">
        <v>35</v>
      </c>
      <c r="I3785" s="27" t="s">
        <v>40</v>
      </c>
      <c r="J3785" s="28" t="s">
        <v>161</v>
      </c>
      <c r="K3785" s="27" t="s">
        <v>40</v>
      </c>
      <c r="L3785" s="27"/>
    </row>
    <row r="3786" customFormat="false" ht="15" hidden="false" customHeight="false" outlineLevel="0" collapsed="false">
      <c r="A3786" s="26" t="s">
        <v>12508</v>
      </c>
      <c r="B3786" s="27" t="s">
        <v>12509</v>
      </c>
      <c r="C3786" s="27" t="s">
        <v>144</v>
      </c>
      <c r="D3786" s="26"/>
      <c r="E3786" s="27"/>
      <c r="F3786" s="27"/>
      <c r="G3786" s="27" t="s">
        <v>11122</v>
      </c>
      <c r="H3786" s="27" t="s">
        <v>35</v>
      </c>
      <c r="I3786" s="27" t="s">
        <v>39</v>
      </c>
      <c r="J3786" s="28" t="s">
        <v>161</v>
      </c>
      <c r="K3786" s="27" t="s">
        <v>40</v>
      </c>
      <c r="L3786" s="27"/>
    </row>
    <row r="3787" customFormat="false" ht="15" hidden="false" customHeight="false" outlineLevel="0" collapsed="false">
      <c r="A3787" s="26" t="s">
        <v>12510</v>
      </c>
      <c r="B3787" s="27" t="s">
        <v>12511</v>
      </c>
      <c r="C3787" s="27" t="s">
        <v>144</v>
      </c>
      <c r="D3787" s="26"/>
      <c r="E3787" s="27"/>
      <c r="F3787" s="27"/>
      <c r="G3787" s="27" t="s">
        <v>11122</v>
      </c>
      <c r="H3787" s="27" t="s">
        <v>35</v>
      </c>
      <c r="I3787" s="27" t="s">
        <v>40</v>
      </c>
      <c r="J3787" s="28" t="s">
        <v>161</v>
      </c>
      <c r="K3787" s="27" t="s">
        <v>40</v>
      </c>
      <c r="L3787" s="27"/>
    </row>
    <row r="3788" customFormat="false" ht="15" hidden="false" customHeight="false" outlineLevel="0" collapsed="false">
      <c r="A3788" s="26" t="s">
        <v>12512</v>
      </c>
      <c r="B3788" s="27" t="s">
        <v>12513</v>
      </c>
      <c r="C3788" s="27" t="s">
        <v>144</v>
      </c>
      <c r="D3788" s="26"/>
      <c r="E3788" s="27"/>
      <c r="F3788" s="27"/>
      <c r="G3788" s="27" t="s">
        <v>11122</v>
      </c>
      <c r="H3788" s="27" t="s">
        <v>35</v>
      </c>
      <c r="I3788" s="27" t="s">
        <v>40</v>
      </c>
      <c r="J3788" s="28" t="s">
        <v>161</v>
      </c>
      <c r="K3788" s="27" t="s">
        <v>40</v>
      </c>
      <c r="L3788" s="27"/>
    </row>
    <row r="3789" customFormat="false" ht="15" hidden="false" customHeight="false" outlineLevel="0" collapsed="false">
      <c r="A3789" s="26" t="s">
        <v>12514</v>
      </c>
      <c r="B3789" s="27" t="s">
        <v>12515</v>
      </c>
      <c r="C3789" s="27" t="s">
        <v>144</v>
      </c>
      <c r="D3789" s="26"/>
      <c r="E3789" s="27"/>
      <c r="F3789" s="27"/>
      <c r="G3789" s="27" t="s">
        <v>11122</v>
      </c>
      <c r="H3789" s="27" t="s">
        <v>35</v>
      </c>
      <c r="I3789" s="27" t="s">
        <v>39</v>
      </c>
      <c r="J3789" s="28" t="s">
        <v>161</v>
      </c>
      <c r="K3789" s="27" t="s">
        <v>40</v>
      </c>
      <c r="L3789" s="27"/>
    </row>
    <row r="3790" customFormat="false" ht="15" hidden="false" customHeight="false" outlineLevel="0" collapsed="false">
      <c r="A3790" s="26" t="s">
        <v>12516</v>
      </c>
      <c r="B3790" s="27" t="s">
        <v>12517</v>
      </c>
      <c r="C3790" s="27" t="s">
        <v>144</v>
      </c>
      <c r="D3790" s="26"/>
      <c r="E3790" s="27"/>
      <c r="F3790" s="27"/>
      <c r="G3790" s="27" t="s">
        <v>11122</v>
      </c>
      <c r="H3790" s="27" t="s">
        <v>35</v>
      </c>
      <c r="I3790" s="27" t="s">
        <v>40</v>
      </c>
      <c r="J3790" s="28" t="s">
        <v>161</v>
      </c>
      <c r="K3790" s="27" t="s">
        <v>40</v>
      </c>
      <c r="L3790" s="27"/>
    </row>
    <row r="3791" customFormat="false" ht="15" hidden="false" customHeight="false" outlineLevel="0" collapsed="false">
      <c r="A3791" s="26" t="s">
        <v>12518</v>
      </c>
      <c r="B3791" s="27" t="s">
        <v>12519</v>
      </c>
      <c r="C3791" s="27" t="s">
        <v>144</v>
      </c>
      <c r="D3791" s="26"/>
      <c r="E3791" s="27"/>
      <c r="F3791" s="27"/>
      <c r="G3791" s="27" t="s">
        <v>11122</v>
      </c>
      <c r="H3791" s="27" t="s">
        <v>35</v>
      </c>
      <c r="I3791" s="27" t="s">
        <v>40</v>
      </c>
      <c r="J3791" s="28" t="s">
        <v>161</v>
      </c>
      <c r="K3791" s="27" t="s">
        <v>40</v>
      </c>
      <c r="L3791" s="27"/>
    </row>
    <row r="3792" customFormat="false" ht="15" hidden="false" customHeight="false" outlineLevel="0" collapsed="false">
      <c r="A3792" s="26" t="s">
        <v>12520</v>
      </c>
      <c r="B3792" s="27" t="s">
        <v>12521</v>
      </c>
      <c r="C3792" s="27" t="s">
        <v>144</v>
      </c>
      <c r="D3792" s="26"/>
      <c r="E3792" s="27"/>
      <c r="F3792" s="27"/>
      <c r="G3792" s="27" t="s">
        <v>11122</v>
      </c>
      <c r="H3792" s="27" t="s">
        <v>35</v>
      </c>
      <c r="I3792" s="27" t="s">
        <v>40</v>
      </c>
      <c r="J3792" s="28" t="s">
        <v>161</v>
      </c>
      <c r="K3792" s="27" t="s">
        <v>40</v>
      </c>
      <c r="L3792" s="27"/>
    </row>
    <row r="3793" customFormat="false" ht="15" hidden="false" customHeight="false" outlineLevel="0" collapsed="false">
      <c r="A3793" s="26" t="s">
        <v>12522</v>
      </c>
      <c r="B3793" s="27" t="s">
        <v>12523</v>
      </c>
      <c r="C3793" s="27" t="s">
        <v>144</v>
      </c>
      <c r="D3793" s="26"/>
      <c r="E3793" s="27"/>
      <c r="F3793" s="27"/>
      <c r="G3793" s="27" t="s">
        <v>11122</v>
      </c>
      <c r="H3793" s="27" t="s">
        <v>35</v>
      </c>
      <c r="I3793" s="27" t="s">
        <v>40</v>
      </c>
      <c r="J3793" s="28" t="s">
        <v>161</v>
      </c>
      <c r="K3793" s="27" t="s">
        <v>40</v>
      </c>
      <c r="L3793" s="27"/>
    </row>
    <row r="3794" customFormat="false" ht="15" hidden="false" customHeight="false" outlineLevel="0" collapsed="false">
      <c r="A3794" s="26" t="s">
        <v>12524</v>
      </c>
      <c r="B3794" s="27" t="s">
        <v>12525</v>
      </c>
      <c r="C3794" s="27" t="s">
        <v>144</v>
      </c>
      <c r="D3794" s="26"/>
      <c r="E3794" s="27"/>
      <c r="F3794" s="27"/>
      <c r="G3794" s="27" t="s">
        <v>11122</v>
      </c>
      <c r="H3794" s="27" t="s">
        <v>35</v>
      </c>
      <c r="I3794" s="27" t="s">
        <v>40</v>
      </c>
      <c r="J3794" s="28" t="s">
        <v>161</v>
      </c>
      <c r="K3794" s="27" t="s">
        <v>40</v>
      </c>
      <c r="L3794" s="27"/>
    </row>
    <row r="3795" customFormat="false" ht="15" hidden="false" customHeight="false" outlineLevel="0" collapsed="false">
      <c r="A3795" s="26" t="s">
        <v>12526</v>
      </c>
      <c r="B3795" s="27" t="s">
        <v>12527</v>
      </c>
      <c r="C3795" s="27" t="s">
        <v>144</v>
      </c>
      <c r="D3795" s="26"/>
      <c r="E3795" s="27"/>
      <c r="F3795" s="27"/>
      <c r="G3795" s="27" t="s">
        <v>11122</v>
      </c>
      <c r="H3795" s="27" t="s">
        <v>35</v>
      </c>
      <c r="I3795" s="27" t="s">
        <v>40</v>
      </c>
      <c r="J3795" s="28" t="s">
        <v>161</v>
      </c>
      <c r="K3795" s="27" t="s">
        <v>40</v>
      </c>
      <c r="L3795" s="27"/>
    </row>
    <row r="3796" customFormat="false" ht="15" hidden="false" customHeight="false" outlineLevel="0" collapsed="false">
      <c r="A3796" s="26" t="s">
        <v>12528</v>
      </c>
      <c r="B3796" s="27" t="s">
        <v>12529</v>
      </c>
      <c r="C3796" s="27" t="s">
        <v>144</v>
      </c>
      <c r="D3796" s="26"/>
      <c r="E3796" s="27"/>
      <c r="F3796" s="27"/>
      <c r="G3796" s="27" t="s">
        <v>11122</v>
      </c>
      <c r="H3796" s="27" t="s">
        <v>35</v>
      </c>
      <c r="I3796" s="27" t="s">
        <v>40</v>
      </c>
      <c r="J3796" s="28" t="s">
        <v>161</v>
      </c>
      <c r="K3796" s="27" t="s">
        <v>40</v>
      </c>
      <c r="L3796" s="27"/>
    </row>
    <row r="3797" customFormat="false" ht="15" hidden="false" customHeight="false" outlineLevel="0" collapsed="false">
      <c r="A3797" s="26" t="s">
        <v>12530</v>
      </c>
      <c r="B3797" s="27" t="s">
        <v>12531</v>
      </c>
      <c r="C3797" s="27" t="s">
        <v>144</v>
      </c>
      <c r="D3797" s="26"/>
      <c r="E3797" s="27"/>
      <c r="F3797" s="27"/>
      <c r="G3797" s="27" t="s">
        <v>11122</v>
      </c>
      <c r="H3797" s="27" t="s">
        <v>35</v>
      </c>
      <c r="I3797" s="27" t="s">
        <v>40</v>
      </c>
      <c r="J3797" s="28" t="s">
        <v>161</v>
      </c>
      <c r="K3797" s="27" t="s">
        <v>40</v>
      </c>
      <c r="L3797" s="27"/>
    </row>
    <row r="3798" customFormat="false" ht="15" hidden="false" customHeight="false" outlineLevel="0" collapsed="false">
      <c r="A3798" s="26" t="s">
        <v>12532</v>
      </c>
      <c r="B3798" s="27" t="s">
        <v>12533</v>
      </c>
      <c r="C3798" s="27" t="s">
        <v>144</v>
      </c>
      <c r="D3798" s="26"/>
      <c r="E3798" s="27"/>
      <c r="F3798" s="27"/>
      <c r="G3798" s="27" t="s">
        <v>11122</v>
      </c>
      <c r="H3798" s="27" t="s">
        <v>35</v>
      </c>
      <c r="I3798" s="27" t="s">
        <v>40</v>
      </c>
      <c r="J3798" s="28" t="s">
        <v>161</v>
      </c>
      <c r="K3798" s="27" t="s">
        <v>40</v>
      </c>
      <c r="L3798" s="27"/>
    </row>
    <row r="3799" customFormat="false" ht="15" hidden="false" customHeight="false" outlineLevel="0" collapsed="false">
      <c r="A3799" s="26" t="s">
        <v>12534</v>
      </c>
      <c r="B3799" s="27" t="s">
        <v>12535</v>
      </c>
      <c r="C3799" s="27" t="s">
        <v>144</v>
      </c>
      <c r="D3799" s="26"/>
      <c r="E3799" s="27"/>
      <c r="F3799" s="27"/>
      <c r="G3799" s="27" t="s">
        <v>11122</v>
      </c>
      <c r="H3799" s="27" t="s">
        <v>35</v>
      </c>
      <c r="I3799" s="27" t="s">
        <v>42</v>
      </c>
      <c r="J3799" s="28" t="s">
        <v>161</v>
      </c>
      <c r="K3799" s="27" t="s">
        <v>40</v>
      </c>
      <c r="L3799" s="27"/>
    </row>
    <row r="3800" customFormat="false" ht="15" hidden="false" customHeight="false" outlineLevel="0" collapsed="false">
      <c r="A3800" s="26" t="s">
        <v>12536</v>
      </c>
      <c r="B3800" s="27" t="s">
        <v>12537</v>
      </c>
      <c r="C3800" s="27" t="s">
        <v>144</v>
      </c>
      <c r="D3800" s="26"/>
      <c r="E3800" s="27"/>
      <c r="F3800" s="27"/>
      <c r="G3800" s="27" t="s">
        <v>11122</v>
      </c>
      <c r="H3800" s="27" t="s">
        <v>35</v>
      </c>
      <c r="I3800" s="27" t="s">
        <v>40</v>
      </c>
      <c r="J3800" s="28" t="s">
        <v>161</v>
      </c>
      <c r="K3800" s="27" t="s">
        <v>40</v>
      </c>
      <c r="L3800" s="27"/>
    </row>
    <row r="3801" customFormat="false" ht="15" hidden="false" customHeight="false" outlineLevel="0" collapsed="false">
      <c r="A3801" s="26" t="s">
        <v>12538</v>
      </c>
      <c r="B3801" s="27" t="s">
        <v>12539</v>
      </c>
      <c r="C3801" s="27" t="s">
        <v>144</v>
      </c>
      <c r="D3801" s="26"/>
      <c r="E3801" s="27"/>
      <c r="F3801" s="27"/>
      <c r="G3801" s="27" t="s">
        <v>11122</v>
      </c>
      <c r="H3801" s="27" t="s">
        <v>35</v>
      </c>
      <c r="I3801" s="27" t="s">
        <v>38</v>
      </c>
      <c r="J3801" s="28" t="s">
        <v>161</v>
      </c>
      <c r="K3801" s="27" t="s">
        <v>40</v>
      </c>
      <c r="L3801" s="27"/>
    </row>
    <row r="3802" customFormat="false" ht="15" hidden="false" customHeight="false" outlineLevel="0" collapsed="false">
      <c r="A3802" s="26" t="s">
        <v>12540</v>
      </c>
      <c r="B3802" s="27" t="s">
        <v>12541</v>
      </c>
      <c r="C3802" s="27" t="s">
        <v>144</v>
      </c>
      <c r="D3802" s="26"/>
      <c r="E3802" s="27"/>
      <c r="F3802" s="27"/>
      <c r="G3802" s="27" t="s">
        <v>11122</v>
      </c>
      <c r="H3802" s="27" t="s">
        <v>35</v>
      </c>
      <c r="I3802" s="27" t="s">
        <v>38</v>
      </c>
      <c r="J3802" s="28" t="s">
        <v>161</v>
      </c>
      <c r="K3802" s="27" t="s">
        <v>40</v>
      </c>
      <c r="L3802" s="27"/>
    </row>
    <row r="3803" customFormat="false" ht="15" hidden="false" customHeight="false" outlineLevel="0" collapsed="false">
      <c r="A3803" s="26" t="s">
        <v>12542</v>
      </c>
      <c r="B3803" s="27" t="s">
        <v>12543</v>
      </c>
      <c r="C3803" s="27" t="s">
        <v>144</v>
      </c>
      <c r="D3803" s="26"/>
      <c r="E3803" s="27"/>
      <c r="F3803" s="27"/>
      <c r="G3803" s="27" t="s">
        <v>11122</v>
      </c>
      <c r="H3803" s="27" t="s">
        <v>35</v>
      </c>
      <c r="I3803" s="27" t="s">
        <v>42</v>
      </c>
      <c r="J3803" s="28" t="s">
        <v>161</v>
      </c>
      <c r="K3803" s="27" t="s">
        <v>40</v>
      </c>
      <c r="L3803" s="27"/>
    </row>
    <row r="3804" customFormat="false" ht="15" hidden="false" customHeight="false" outlineLevel="0" collapsed="false">
      <c r="A3804" s="26" t="s">
        <v>12544</v>
      </c>
      <c r="B3804" s="27" t="s">
        <v>12545</v>
      </c>
      <c r="C3804" s="27" t="s">
        <v>144</v>
      </c>
      <c r="D3804" s="26"/>
      <c r="E3804" s="27"/>
      <c r="F3804" s="27"/>
      <c r="G3804" s="27" t="s">
        <v>11122</v>
      </c>
      <c r="H3804" s="27" t="s">
        <v>35</v>
      </c>
      <c r="I3804" s="27" t="s">
        <v>40</v>
      </c>
      <c r="J3804" s="28" t="s">
        <v>161</v>
      </c>
      <c r="K3804" s="27" t="s">
        <v>40</v>
      </c>
      <c r="L3804" s="27"/>
    </row>
    <row r="3805" customFormat="false" ht="15" hidden="false" customHeight="false" outlineLevel="0" collapsed="false">
      <c r="A3805" s="26" t="s">
        <v>12546</v>
      </c>
      <c r="B3805" s="27" t="s">
        <v>12547</v>
      </c>
      <c r="C3805" s="27" t="s">
        <v>144</v>
      </c>
      <c r="D3805" s="26"/>
      <c r="E3805" s="27"/>
      <c r="F3805" s="27"/>
      <c r="G3805" s="27" t="s">
        <v>11122</v>
      </c>
      <c r="H3805" s="27" t="s">
        <v>35</v>
      </c>
      <c r="I3805" s="27" t="s">
        <v>40</v>
      </c>
      <c r="J3805" s="28" t="s">
        <v>161</v>
      </c>
      <c r="K3805" s="27" t="s">
        <v>40</v>
      </c>
      <c r="L3805" s="27"/>
    </row>
    <row r="3806" customFormat="false" ht="15" hidden="false" customHeight="false" outlineLevel="0" collapsed="false">
      <c r="A3806" s="26" t="s">
        <v>12548</v>
      </c>
      <c r="B3806" s="27" t="s">
        <v>12549</v>
      </c>
      <c r="C3806" s="27" t="s">
        <v>144</v>
      </c>
      <c r="D3806" s="26"/>
      <c r="E3806" s="27"/>
      <c r="F3806" s="27"/>
      <c r="G3806" s="27" t="s">
        <v>11122</v>
      </c>
      <c r="H3806" s="27" t="s">
        <v>35</v>
      </c>
      <c r="I3806" s="27" t="s">
        <v>40</v>
      </c>
      <c r="J3806" s="28" t="s">
        <v>161</v>
      </c>
      <c r="K3806" s="27" t="s">
        <v>40</v>
      </c>
      <c r="L3806" s="27"/>
    </row>
    <row r="3807" customFormat="false" ht="15" hidden="false" customHeight="false" outlineLevel="0" collapsed="false">
      <c r="A3807" s="26" t="s">
        <v>12550</v>
      </c>
      <c r="B3807" s="27" t="s">
        <v>12551</v>
      </c>
      <c r="C3807" s="27" t="s">
        <v>144</v>
      </c>
      <c r="D3807" s="26"/>
      <c r="E3807" s="27"/>
      <c r="F3807" s="27"/>
      <c r="G3807" s="27" t="s">
        <v>11122</v>
      </c>
      <c r="H3807" s="27" t="s">
        <v>35</v>
      </c>
      <c r="I3807" s="27" t="s">
        <v>4159</v>
      </c>
      <c r="J3807" s="28" t="s">
        <v>161</v>
      </c>
      <c r="K3807" s="27" t="s">
        <v>40</v>
      </c>
      <c r="L3807" s="27"/>
    </row>
    <row r="3808" customFormat="false" ht="15" hidden="false" customHeight="false" outlineLevel="0" collapsed="false">
      <c r="A3808" s="26" t="s">
        <v>12552</v>
      </c>
      <c r="B3808" s="27" t="s">
        <v>12553</v>
      </c>
      <c r="C3808" s="27" t="s">
        <v>144</v>
      </c>
      <c r="D3808" s="26"/>
      <c r="E3808" s="27"/>
      <c r="F3808" s="27"/>
      <c r="G3808" s="27" t="s">
        <v>11122</v>
      </c>
      <c r="H3808" s="27" t="s">
        <v>35</v>
      </c>
      <c r="I3808" s="27" t="s">
        <v>4159</v>
      </c>
      <c r="J3808" s="28" t="s">
        <v>161</v>
      </c>
      <c r="K3808" s="27" t="s">
        <v>40</v>
      </c>
      <c r="L3808" s="27"/>
    </row>
    <row r="3809" customFormat="false" ht="15" hidden="false" customHeight="false" outlineLevel="0" collapsed="false">
      <c r="A3809" s="26" t="s">
        <v>12554</v>
      </c>
      <c r="B3809" s="27" t="s">
        <v>12555</v>
      </c>
      <c r="C3809" s="27" t="s">
        <v>144</v>
      </c>
      <c r="D3809" s="26"/>
      <c r="E3809" s="27"/>
      <c r="F3809" s="27"/>
      <c r="G3809" s="27" t="s">
        <v>11122</v>
      </c>
      <c r="H3809" s="27" t="s">
        <v>35</v>
      </c>
      <c r="I3809" s="27" t="s">
        <v>39</v>
      </c>
      <c r="J3809" s="28" t="s">
        <v>161</v>
      </c>
      <c r="K3809" s="27" t="s">
        <v>40</v>
      </c>
      <c r="L3809" s="27"/>
    </row>
    <row r="3810" customFormat="false" ht="15" hidden="false" customHeight="false" outlineLevel="0" collapsed="false">
      <c r="A3810" s="26" t="s">
        <v>12556</v>
      </c>
      <c r="B3810" s="27" t="s">
        <v>12557</v>
      </c>
      <c r="C3810" s="27" t="s">
        <v>144</v>
      </c>
      <c r="D3810" s="26"/>
      <c r="E3810" s="27"/>
      <c r="F3810" s="27"/>
      <c r="G3810" s="27" t="s">
        <v>11122</v>
      </c>
      <c r="H3810" s="27" t="s">
        <v>35</v>
      </c>
      <c r="I3810" s="27" t="s">
        <v>42</v>
      </c>
      <c r="J3810" s="28" t="s">
        <v>161</v>
      </c>
      <c r="K3810" s="27" t="s">
        <v>40</v>
      </c>
      <c r="L3810" s="27"/>
    </row>
    <row r="3811" customFormat="false" ht="15" hidden="false" customHeight="false" outlineLevel="0" collapsed="false">
      <c r="A3811" s="26" t="s">
        <v>12558</v>
      </c>
      <c r="B3811" s="27" t="s">
        <v>12559</v>
      </c>
      <c r="C3811" s="27" t="s">
        <v>144</v>
      </c>
      <c r="D3811" s="26"/>
      <c r="E3811" s="27"/>
      <c r="F3811" s="27"/>
      <c r="G3811" s="27" t="s">
        <v>11122</v>
      </c>
      <c r="H3811" s="27" t="s">
        <v>35</v>
      </c>
      <c r="I3811" s="27" t="s">
        <v>42</v>
      </c>
      <c r="J3811" s="28" t="s">
        <v>161</v>
      </c>
      <c r="K3811" s="27" t="s">
        <v>40</v>
      </c>
      <c r="L3811" s="27"/>
    </row>
    <row r="3812" customFormat="false" ht="15" hidden="false" customHeight="false" outlineLevel="0" collapsed="false">
      <c r="A3812" s="26" t="s">
        <v>12560</v>
      </c>
      <c r="B3812" s="27" t="s">
        <v>12561</v>
      </c>
      <c r="C3812" s="27" t="s">
        <v>144</v>
      </c>
      <c r="D3812" s="26"/>
      <c r="E3812" s="27"/>
      <c r="F3812" s="27"/>
      <c r="G3812" s="27" t="s">
        <v>11122</v>
      </c>
      <c r="H3812" s="27" t="s">
        <v>35</v>
      </c>
      <c r="I3812" s="27" t="s">
        <v>40</v>
      </c>
      <c r="J3812" s="28" t="s">
        <v>161</v>
      </c>
      <c r="K3812" s="27" t="s">
        <v>40</v>
      </c>
      <c r="L3812" s="27"/>
    </row>
    <row r="3813" customFormat="false" ht="15" hidden="false" customHeight="false" outlineLevel="0" collapsed="false">
      <c r="A3813" s="26" t="s">
        <v>12562</v>
      </c>
      <c r="B3813" s="27" t="s">
        <v>12563</v>
      </c>
      <c r="C3813" s="27" t="s">
        <v>144</v>
      </c>
      <c r="D3813" s="26"/>
      <c r="E3813" s="27"/>
      <c r="F3813" s="27"/>
      <c r="G3813" s="27" t="s">
        <v>11122</v>
      </c>
      <c r="H3813" s="27" t="s">
        <v>35</v>
      </c>
      <c r="I3813" s="27" t="s">
        <v>39</v>
      </c>
      <c r="J3813" s="28" t="s">
        <v>161</v>
      </c>
      <c r="K3813" s="27" t="s">
        <v>40</v>
      </c>
      <c r="L3813" s="27"/>
    </row>
    <row r="3814" customFormat="false" ht="15" hidden="false" customHeight="false" outlineLevel="0" collapsed="false">
      <c r="A3814" s="26" t="s">
        <v>12564</v>
      </c>
      <c r="B3814" s="27" t="s">
        <v>12565</v>
      </c>
      <c r="C3814" s="27" t="s">
        <v>144</v>
      </c>
      <c r="D3814" s="26"/>
      <c r="E3814" s="27"/>
      <c r="F3814" s="27"/>
      <c r="G3814" s="27" t="s">
        <v>11122</v>
      </c>
      <c r="H3814" s="27" t="s">
        <v>35</v>
      </c>
      <c r="I3814" s="27" t="s">
        <v>42</v>
      </c>
      <c r="J3814" s="28" t="s">
        <v>161</v>
      </c>
      <c r="K3814" s="27" t="s">
        <v>40</v>
      </c>
      <c r="L3814" s="27"/>
    </row>
    <row r="3815" customFormat="false" ht="15" hidden="false" customHeight="false" outlineLevel="0" collapsed="false">
      <c r="A3815" s="26" t="s">
        <v>12566</v>
      </c>
      <c r="B3815" s="27" t="s">
        <v>12567</v>
      </c>
      <c r="C3815" s="27" t="s">
        <v>144</v>
      </c>
      <c r="D3815" s="26"/>
      <c r="E3815" s="27"/>
      <c r="F3815" s="27"/>
      <c r="G3815" s="27" t="s">
        <v>11122</v>
      </c>
      <c r="H3815" s="27" t="s">
        <v>35</v>
      </c>
      <c r="I3815" s="27" t="s">
        <v>40</v>
      </c>
      <c r="J3815" s="28" t="s">
        <v>161</v>
      </c>
      <c r="K3815" s="27" t="s">
        <v>40</v>
      </c>
      <c r="L3815" s="27"/>
    </row>
    <row r="3816" customFormat="false" ht="15" hidden="false" customHeight="false" outlineLevel="0" collapsed="false">
      <c r="A3816" s="26" t="s">
        <v>12568</v>
      </c>
      <c r="B3816" s="27" t="s">
        <v>12569</v>
      </c>
      <c r="C3816" s="27" t="s">
        <v>144</v>
      </c>
      <c r="D3816" s="26"/>
      <c r="E3816" s="27"/>
      <c r="F3816" s="27"/>
      <c r="G3816" s="27" t="s">
        <v>11122</v>
      </c>
      <c r="H3816" s="27" t="s">
        <v>35</v>
      </c>
      <c r="I3816" s="27" t="s">
        <v>40</v>
      </c>
      <c r="J3816" s="28" t="s">
        <v>161</v>
      </c>
      <c r="K3816" s="27" t="s">
        <v>40</v>
      </c>
      <c r="L3816" s="27"/>
    </row>
    <row r="3817" customFormat="false" ht="15" hidden="false" customHeight="false" outlineLevel="0" collapsed="false">
      <c r="A3817" s="26" t="s">
        <v>12570</v>
      </c>
      <c r="B3817" s="27" t="s">
        <v>12571</v>
      </c>
      <c r="C3817" s="27" t="s">
        <v>144</v>
      </c>
      <c r="D3817" s="26"/>
      <c r="E3817" s="27"/>
      <c r="F3817" s="27"/>
      <c r="G3817" s="27" t="s">
        <v>11122</v>
      </c>
      <c r="H3817" s="27" t="s">
        <v>35</v>
      </c>
      <c r="I3817" s="27" t="s">
        <v>39</v>
      </c>
      <c r="J3817" s="28" t="s">
        <v>161</v>
      </c>
      <c r="K3817" s="27" t="s">
        <v>40</v>
      </c>
      <c r="L3817" s="27"/>
    </row>
    <row r="3818" customFormat="false" ht="15" hidden="false" customHeight="false" outlineLevel="0" collapsed="false">
      <c r="A3818" s="26" t="s">
        <v>12572</v>
      </c>
      <c r="B3818" s="27" t="s">
        <v>12573</v>
      </c>
      <c r="C3818" s="27" t="s">
        <v>144</v>
      </c>
      <c r="D3818" s="26"/>
      <c r="E3818" s="27"/>
      <c r="F3818" s="27"/>
      <c r="G3818" s="27" t="s">
        <v>11122</v>
      </c>
      <c r="H3818" s="27" t="s">
        <v>35</v>
      </c>
      <c r="I3818" s="27" t="s">
        <v>40</v>
      </c>
      <c r="J3818" s="28" t="s">
        <v>161</v>
      </c>
      <c r="K3818" s="27" t="s">
        <v>40</v>
      </c>
      <c r="L3818" s="27"/>
    </row>
    <row r="3819" customFormat="false" ht="15" hidden="false" customHeight="false" outlineLevel="0" collapsed="false">
      <c r="A3819" s="26" t="s">
        <v>12574</v>
      </c>
      <c r="B3819" s="27" t="s">
        <v>12575</v>
      </c>
      <c r="C3819" s="27" t="s">
        <v>144</v>
      </c>
      <c r="D3819" s="26"/>
      <c r="E3819" s="27"/>
      <c r="F3819" s="27"/>
      <c r="G3819" s="27" t="s">
        <v>11122</v>
      </c>
      <c r="H3819" s="27" t="s">
        <v>35</v>
      </c>
      <c r="I3819" s="27" t="s">
        <v>40</v>
      </c>
      <c r="J3819" s="28" t="s">
        <v>161</v>
      </c>
      <c r="K3819" s="27" t="s">
        <v>40</v>
      </c>
      <c r="L3819" s="27"/>
    </row>
    <row r="3820" customFormat="false" ht="15" hidden="false" customHeight="false" outlineLevel="0" collapsed="false">
      <c r="A3820" s="26" t="s">
        <v>12576</v>
      </c>
      <c r="B3820" s="27" t="s">
        <v>12577</v>
      </c>
      <c r="C3820" s="27" t="s">
        <v>144</v>
      </c>
      <c r="D3820" s="26"/>
      <c r="E3820" s="27"/>
      <c r="F3820" s="27"/>
      <c r="G3820" s="27" t="s">
        <v>11122</v>
      </c>
      <c r="H3820" s="27" t="s">
        <v>35</v>
      </c>
      <c r="I3820" s="27" t="s">
        <v>40</v>
      </c>
      <c r="J3820" s="28" t="s">
        <v>161</v>
      </c>
      <c r="K3820" s="27" t="s">
        <v>40</v>
      </c>
      <c r="L3820" s="27"/>
    </row>
    <row r="3821" customFormat="false" ht="15" hidden="false" customHeight="false" outlineLevel="0" collapsed="false">
      <c r="A3821" s="26" t="s">
        <v>12578</v>
      </c>
      <c r="B3821" s="27" t="s">
        <v>12579</v>
      </c>
      <c r="C3821" s="27" t="s">
        <v>144</v>
      </c>
      <c r="D3821" s="26"/>
      <c r="E3821" s="27"/>
      <c r="F3821" s="27"/>
      <c r="G3821" s="27" t="s">
        <v>11122</v>
      </c>
      <c r="H3821" s="27" t="s">
        <v>35</v>
      </c>
      <c r="I3821" s="27" t="s">
        <v>40</v>
      </c>
      <c r="J3821" s="28" t="s">
        <v>161</v>
      </c>
      <c r="K3821" s="27" t="s">
        <v>40</v>
      </c>
      <c r="L3821" s="27"/>
    </row>
    <row r="3822" customFormat="false" ht="15" hidden="false" customHeight="false" outlineLevel="0" collapsed="false">
      <c r="A3822" s="26" t="s">
        <v>12580</v>
      </c>
      <c r="B3822" s="27" t="s">
        <v>12581</v>
      </c>
      <c r="C3822" s="27" t="s">
        <v>144</v>
      </c>
      <c r="D3822" s="26"/>
      <c r="E3822" s="27"/>
      <c r="F3822" s="27"/>
      <c r="G3822" s="27" t="s">
        <v>11122</v>
      </c>
      <c r="H3822" s="27" t="s">
        <v>35</v>
      </c>
      <c r="I3822" s="27" t="s">
        <v>40</v>
      </c>
      <c r="J3822" s="28" t="s">
        <v>161</v>
      </c>
      <c r="K3822" s="27" t="s">
        <v>40</v>
      </c>
      <c r="L3822" s="27"/>
    </row>
    <row r="3823" customFormat="false" ht="15" hidden="false" customHeight="false" outlineLevel="0" collapsed="false">
      <c r="A3823" s="26" t="s">
        <v>12582</v>
      </c>
      <c r="B3823" s="27" t="s">
        <v>12583</v>
      </c>
      <c r="C3823" s="27" t="s">
        <v>144</v>
      </c>
      <c r="D3823" s="26"/>
      <c r="E3823" s="27"/>
      <c r="F3823" s="27"/>
      <c r="G3823" s="27" t="s">
        <v>11122</v>
      </c>
      <c r="H3823" s="27" t="s">
        <v>35</v>
      </c>
      <c r="I3823" s="27" t="s">
        <v>40</v>
      </c>
      <c r="J3823" s="28" t="s">
        <v>161</v>
      </c>
      <c r="K3823" s="27" t="s">
        <v>40</v>
      </c>
      <c r="L3823" s="27"/>
    </row>
    <row r="3824" customFormat="false" ht="15" hidden="false" customHeight="false" outlineLevel="0" collapsed="false">
      <c r="A3824" s="26" t="s">
        <v>12584</v>
      </c>
      <c r="B3824" s="27" t="s">
        <v>12585</v>
      </c>
      <c r="C3824" s="27" t="s">
        <v>144</v>
      </c>
      <c r="D3824" s="26"/>
      <c r="E3824" s="27"/>
      <c r="F3824" s="27"/>
      <c r="G3824" s="27" t="s">
        <v>11122</v>
      </c>
      <c r="H3824" s="27" t="s">
        <v>35</v>
      </c>
      <c r="I3824" s="27" t="s">
        <v>39</v>
      </c>
      <c r="J3824" s="28" t="s">
        <v>161</v>
      </c>
      <c r="K3824" s="27" t="s">
        <v>40</v>
      </c>
      <c r="L3824" s="27"/>
    </row>
    <row r="3825" customFormat="false" ht="15" hidden="false" customHeight="false" outlineLevel="0" collapsed="false">
      <c r="A3825" s="26" t="s">
        <v>12586</v>
      </c>
      <c r="B3825" s="27" t="s">
        <v>12587</v>
      </c>
      <c r="C3825" s="27" t="s">
        <v>144</v>
      </c>
      <c r="D3825" s="26"/>
      <c r="E3825" s="27"/>
      <c r="F3825" s="27"/>
      <c r="G3825" s="27" t="s">
        <v>11122</v>
      </c>
      <c r="H3825" s="27" t="s">
        <v>35</v>
      </c>
      <c r="I3825" s="27" t="s">
        <v>40</v>
      </c>
      <c r="J3825" s="28" t="s">
        <v>161</v>
      </c>
      <c r="K3825" s="27" t="s">
        <v>40</v>
      </c>
      <c r="L3825" s="27"/>
    </row>
    <row r="3826" customFormat="false" ht="15" hidden="false" customHeight="false" outlineLevel="0" collapsed="false">
      <c r="A3826" s="26" t="s">
        <v>12588</v>
      </c>
      <c r="B3826" s="27" t="s">
        <v>12589</v>
      </c>
      <c r="C3826" s="27" t="s">
        <v>144</v>
      </c>
      <c r="D3826" s="26"/>
      <c r="E3826" s="27"/>
      <c r="F3826" s="27"/>
      <c r="G3826" s="27" t="s">
        <v>11122</v>
      </c>
      <c r="H3826" s="27" t="s">
        <v>35</v>
      </c>
      <c r="I3826" s="27" t="s">
        <v>40</v>
      </c>
      <c r="J3826" s="28" t="s">
        <v>161</v>
      </c>
      <c r="K3826" s="27" t="s">
        <v>40</v>
      </c>
      <c r="L3826" s="27"/>
    </row>
    <row r="3827" customFormat="false" ht="15" hidden="false" customHeight="false" outlineLevel="0" collapsed="false">
      <c r="A3827" s="26" t="s">
        <v>12590</v>
      </c>
      <c r="B3827" s="27" t="s">
        <v>12591</v>
      </c>
      <c r="C3827" s="27" t="s">
        <v>144</v>
      </c>
      <c r="D3827" s="26"/>
      <c r="E3827" s="27"/>
      <c r="F3827" s="27"/>
      <c r="G3827" s="27" t="s">
        <v>11122</v>
      </c>
      <c r="H3827" s="27" t="s">
        <v>35</v>
      </c>
      <c r="I3827" s="27" t="s">
        <v>40</v>
      </c>
      <c r="J3827" s="28" t="s">
        <v>161</v>
      </c>
      <c r="K3827" s="27" t="s">
        <v>40</v>
      </c>
      <c r="L3827" s="27"/>
    </row>
    <row r="3828" customFormat="false" ht="15" hidden="false" customHeight="false" outlineLevel="0" collapsed="false">
      <c r="A3828" s="26" t="s">
        <v>12592</v>
      </c>
      <c r="B3828" s="27" t="s">
        <v>12593</v>
      </c>
      <c r="C3828" s="27" t="s">
        <v>144</v>
      </c>
      <c r="D3828" s="26"/>
      <c r="E3828" s="27"/>
      <c r="F3828" s="27"/>
      <c r="G3828" s="27" t="s">
        <v>11122</v>
      </c>
      <c r="H3828" s="27" t="s">
        <v>35</v>
      </c>
      <c r="I3828" s="27" t="s">
        <v>40</v>
      </c>
      <c r="J3828" s="28" t="s">
        <v>161</v>
      </c>
      <c r="K3828" s="27" t="s">
        <v>40</v>
      </c>
      <c r="L3828" s="27"/>
    </row>
    <row r="3829" customFormat="false" ht="15" hidden="false" customHeight="false" outlineLevel="0" collapsed="false">
      <c r="A3829" s="26" t="s">
        <v>12594</v>
      </c>
      <c r="B3829" s="27" t="s">
        <v>12595</v>
      </c>
      <c r="C3829" s="27" t="s">
        <v>144</v>
      </c>
      <c r="D3829" s="26"/>
      <c r="E3829" s="27"/>
      <c r="F3829" s="27"/>
      <c r="G3829" s="27" t="s">
        <v>11122</v>
      </c>
      <c r="H3829" s="27" t="s">
        <v>35</v>
      </c>
      <c r="I3829" s="27" t="s">
        <v>40</v>
      </c>
      <c r="J3829" s="28" t="s">
        <v>161</v>
      </c>
      <c r="K3829" s="27" t="s">
        <v>40</v>
      </c>
      <c r="L3829" s="27"/>
    </row>
    <row r="3830" customFormat="false" ht="15" hidden="false" customHeight="false" outlineLevel="0" collapsed="false">
      <c r="A3830" s="26" t="s">
        <v>12596</v>
      </c>
      <c r="B3830" s="27" t="s">
        <v>12597</v>
      </c>
      <c r="C3830" s="27" t="s">
        <v>144</v>
      </c>
      <c r="D3830" s="26"/>
      <c r="E3830" s="27"/>
      <c r="F3830" s="27"/>
      <c r="G3830" s="27" t="s">
        <v>11122</v>
      </c>
      <c r="H3830" s="27" t="s">
        <v>35</v>
      </c>
      <c r="I3830" s="27" t="s">
        <v>40</v>
      </c>
      <c r="J3830" s="28" t="s">
        <v>161</v>
      </c>
      <c r="K3830" s="27" t="s">
        <v>40</v>
      </c>
      <c r="L3830" s="27"/>
    </row>
    <row r="3831" customFormat="false" ht="15" hidden="false" customHeight="false" outlineLevel="0" collapsed="false">
      <c r="A3831" s="26" t="s">
        <v>12598</v>
      </c>
      <c r="B3831" s="27" t="s">
        <v>12599</v>
      </c>
      <c r="C3831" s="27" t="s">
        <v>144</v>
      </c>
      <c r="D3831" s="26"/>
      <c r="E3831" s="27"/>
      <c r="F3831" s="27"/>
      <c r="G3831" s="27" t="s">
        <v>11122</v>
      </c>
      <c r="H3831" s="27" t="s">
        <v>35</v>
      </c>
      <c r="I3831" s="27" t="s">
        <v>40</v>
      </c>
      <c r="J3831" s="28" t="s">
        <v>161</v>
      </c>
      <c r="K3831" s="27" t="s">
        <v>40</v>
      </c>
      <c r="L3831" s="27"/>
    </row>
    <row r="3832" customFormat="false" ht="15" hidden="false" customHeight="false" outlineLevel="0" collapsed="false">
      <c r="A3832" s="26" t="s">
        <v>12600</v>
      </c>
      <c r="B3832" s="27" t="s">
        <v>12601</v>
      </c>
      <c r="C3832" s="27" t="s">
        <v>144</v>
      </c>
      <c r="D3832" s="26"/>
      <c r="E3832" s="27"/>
      <c r="F3832" s="27"/>
      <c r="G3832" s="27" t="s">
        <v>11122</v>
      </c>
      <c r="H3832" s="27" t="s">
        <v>35</v>
      </c>
      <c r="I3832" s="27" t="s">
        <v>40</v>
      </c>
      <c r="J3832" s="28" t="s">
        <v>161</v>
      </c>
      <c r="K3832" s="27" t="s">
        <v>40</v>
      </c>
      <c r="L3832" s="27"/>
    </row>
    <row r="3833" customFormat="false" ht="15" hidden="false" customHeight="false" outlineLevel="0" collapsed="false">
      <c r="A3833" s="26" t="s">
        <v>12602</v>
      </c>
      <c r="B3833" s="27" t="s">
        <v>12603</v>
      </c>
      <c r="C3833" s="27" t="s">
        <v>144</v>
      </c>
      <c r="D3833" s="26"/>
      <c r="E3833" s="27"/>
      <c r="F3833" s="27"/>
      <c r="G3833" s="27" t="s">
        <v>11122</v>
      </c>
      <c r="H3833" s="27" t="s">
        <v>35</v>
      </c>
      <c r="I3833" s="27" t="s">
        <v>40</v>
      </c>
      <c r="J3833" s="28" t="s">
        <v>161</v>
      </c>
      <c r="K3833" s="27" t="s">
        <v>40</v>
      </c>
      <c r="L3833" s="27"/>
    </row>
    <row r="3834" customFormat="false" ht="15" hidden="false" customHeight="false" outlineLevel="0" collapsed="false">
      <c r="A3834" s="26" t="s">
        <v>12604</v>
      </c>
      <c r="B3834" s="27" t="s">
        <v>12605</v>
      </c>
      <c r="C3834" s="27" t="s">
        <v>144</v>
      </c>
      <c r="D3834" s="26"/>
      <c r="E3834" s="27"/>
      <c r="F3834" s="27"/>
      <c r="G3834" s="27" t="s">
        <v>11122</v>
      </c>
      <c r="H3834" s="27" t="s">
        <v>35</v>
      </c>
      <c r="I3834" s="27" t="s">
        <v>40</v>
      </c>
      <c r="J3834" s="28" t="s">
        <v>161</v>
      </c>
      <c r="K3834" s="27" t="s">
        <v>40</v>
      </c>
      <c r="L3834" s="27"/>
    </row>
    <row r="3835" customFormat="false" ht="15" hidden="false" customHeight="false" outlineLevel="0" collapsed="false">
      <c r="A3835" s="26" t="s">
        <v>12606</v>
      </c>
      <c r="B3835" s="27" t="s">
        <v>12607</v>
      </c>
      <c r="C3835" s="27" t="s">
        <v>144</v>
      </c>
      <c r="D3835" s="26"/>
      <c r="E3835" s="27"/>
      <c r="F3835" s="27"/>
      <c r="G3835" s="27" t="s">
        <v>11122</v>
      </c>
      <c r="H3835" s="27" t="s">
        <v>35</v>
      </c>
      <c r="I3835" s="27" t="s">
        <v>40</v>
      </c>
      <c r="J3835" s="28" t="s">
        <v>161</v>
      </c>
      <c r="K3835" s="27" t="s">
        <v>40</v>
      </c>
      <c r="L3835" s="27"/>
    </row>
    <row r="3836" customFormat="false" ht="15" hidden="false" customHeight="false" outlineLevel="0" collapsed="false">
      <c r="A3836" s="26" t="s">
        <v>12608</v>
      </c>
      <c r="B3836" s="27" t="s">
        <v>12609</v>
      </c>
      <c r="C3836" s="27" t="s">
        <v>144</v>
      </c>
      <c r="D3836" s="26"/>
      <c r="E3836" s="27"/>
      <c r="F3836" s="27"/>
      <c r="G3836" s="27" t="s">
        <v>11122</v>
      </c>
      <c r="H3836" s="27" t="s">
        <v>35</v>
      </c>
      <c r="I3836" s="27" t="s">
        <v>40</v>
      </c>
      <c r="J3836" s="28" t="s">
        <v>161</v>
      </c>
      <c r="K3836" s="27" t="s">
        <v>40</v>
      </c>
      <c r="L3836" s="27"/>
    </row>
    <row r="3837" customFormat="false" ht="15" hidden="false" customHeight="false" outlineLevel="0" collapsed="false">
      <c r="A3837" s="26" t="s">
        <v>12610</v>
      </c>
      <c r="B3837" s="27" t="s">
        <v>12611</v>
      </c>
      <c r="C3837" s="27" t="s">
        <v>144</v>
      </c>
      <c r="D3837" s="26"/>
      <c r="E3837" s="27"/>
      <c r="F3837" s="27"/>
      <c r="G3837" s="27" t="s">
        <v>11122</v>
      </c>
      <c r="H3837" s="27" t="s">
        <v>35</v>
      </c>
      <c r="I3837" s="27" t="s">
        <v>40</v>
      </c>
      <c r="J3837" s="28" t="s">
        <v>161</v>
      </c>
      <c r="K3837" s="27" t="s">
        <v>40</v>
      </c>
      <c r="L3837" s="27"/>
    </row>
    <row r="3838" customFormat="false" ht="15" hidden="false" customHeight="false" outlineLevel="0" collapsed="false">
      <c r="A3838" s="26" t="s">
        <v>12612</v>
      </c>
      <c r="B3838" s="27" t="s">
        <v>12613</v>
      </c>
      <c r="C3838" s="27" t="s">
        <v>144</v>
      </c>
      <c r="D3838" s="26"/>
      <c r="E3838" s="27"/>
      <c r="F3838" s="27"/>
      <c r="G3838" s="27" t="s">
        <v>11122</v>
      </c>
      <c r="H3838" s="27" t="s">
        <v>35</v>
      </c>
      <c r="I3838" s="27" t="s">
        <v>40</v>
      </c>
      <c r="J3838" s="28" t="s">
        <v>161</v>
      </c>
      <c r="K3838" s="27" t="s">
        <v>40</v>
      </c>
      <c r="L3838" s="27"/>
    </row>
    <row r="3839" customFormat="false" ht="15" hidden="false" customHeight="false" outlineLevel="0" collapsed="false">
      <c r="A3839" s="26" t="s">
        <v>12614</v>
      </c>
      <c r="B3839" s="27" t="s">
        <v>12615</v>
      </c>
      <c r="C3839" s="27" t="s">
        <v>144</v>
      </c>
      <c r="D3839" s="26"/>
      <c r="E3839" s="27"/>
      <c r="F3839" s="27"/>
      <c r="G3839" s="27" t="s">
        <v>11122</v>
      </c>
      <c r="H3839" s="27" t="s">
        <v>35</v>
      </c>
      <c r="I3839" s="27" t="s">
        <v>40</v>
      </c>
      <c r="J3839" s="28" t="s">
        <v>161</v>
      </c>
      <c r="K3839" s="27" t="s">
        <v>40</v>
      </c>
      <c r="L3839" s="27"/>
    </row>
    <row r="3840" customFormat="false" ht="15" hidden="false" customHeight="false" outlineLevel="0" collapsed="false">
      <c r="A3840" s="26" t="s">
        <v>12616</v>
      </c>
      <c r="B3840" s="27" t="s">
        <v>12617</v>
      </c>
      <c r="C3840" s="27" t="s">
        <v>144</v>
      </c>
      <c r="D3840" s="26"/>
      <c r="E3840" s="27"/>
      <c r="F3840" s="27"/>
      <c r="G3840" s="27" t="s">
        <v>11122</v>
      </c>
      <c r="H3840" s="27" t="s">
        <v>35</v>
      </c>
      <c r="I3840" s="27" t="s">
        <v>40</v>
      </c>
      <c r="J3840" s="28" t="s">
        <v>161</v>
      </c>
      <c r="K3840" s="27" t="s">
        <v>40</v>
      </c>
      <c r="L3840" s="27"/>
    </row>
    <row r="3841" customFormat="false" ht="15" hidden="false" customHeight="false" outlineLevel="0" collapsed="false">
      <c r="A3841" s="26" t="s">
        <v>12618</v>
      </c>
      <c r="B3841" s="27" t="s">
        <v>12619</v>
      </c>
      <c r="C3841" s="27" t="s">
        <v>144</v>
      </c>
      <c r="D3841" s="26"/>
      <c r="E3841" s="27"/>
      <c r="F3841" s="27"/>
      <c r="G3841" s="27" t="s">
        <v>11122</v>
      </c>
      <c r="H3841" s="27" t="s">
        <v>35</v>
      </c>
      <c r="I3841" s="27" t="s">
        <v>40</v>
      </c>
      <c r="J3841" s="28" t="s">
        <v>161</v>
      </c>
      <c r="K3841" s="27" t="s">
        <v>40</v>
      </c>
      <c r="L3841" s="27"/>
    </row>
    <row r="3842" customFormat="false" ht="15" hidden="false" customHeight="false" outlineLevel="0" collapsed="false">
      <c r="A3842" s="26" t="s">
        <v>12620</v>
      </c>
      <c r="B3842" s="27" t="s">
        <v>12621</v>
      </c>
      <c r="C3842" s="27" t="s">
        <v>144</v>
      </c>
      <c r="D3842" s="26"/>
      <c r="E3842" s="27"/>
      <c r="F3842" s="27"/>
      <c r="G3842" s="27" t="s">
        <v>11122</v>
      </c>
      <c r="H3842" s="27" t="s">
        <v>35</v>
      </c>
      <c r="I3842" s="27" t="s">
        <v>40</v>
      </c>
      <c r="J3842" s="28" t="s">
        <v>161</v>
      </c>
      <c r="K3842" s="27" t="s">
        <v>40</v>
      </c>
      <c r="L3842" s="27"/>
    </row>
    <row r="3843" customFormat="false" ht="15" hidden="false" customHeight="false" outlineLevel="0" collapsed="false">
      <c r="A3843" s="26" t="s">
        <v>12622</v>
      </c>
      <c r="B3843" s="27" t="s">
        <v>12623</v>
      </c>
      <c r="C3843" s="27" t="s">
        <v>144</v>
      </c>
      <c r="D3843" s="26"/>
      <c r="E3843" s="27"/>
      <c r="F3843" s="27"/>
      <c r="G3843" s="27" t="s">
        <v>11122</v>
      </c>
      <c r="H3843" s="27" t="s">
        <v>35</v>
      </c>
      <c r="I3843" s="27" t="s">
        <v>40</v>
      </c>
      <c r="J3843" s="28" t="s">
        <v>161</v>
      </c>
      <c r="K3843" s="27" t="s">
        <v>40</v>
      </c>
      <c r="L3843" s="27"/>
    </row>
    <row r="3844" customFormat="false" ht="15" hidden="false" customHeight="false" outlineLevel="0" collapsed="false">
      <c r="A3844" s="26" t="s">
        <v>12624</v>
      </c>
      <c r="B3844" s="27" t="s">
        <v>12625</v>
      </c>
      <c r="C3844" s="27" t="s">
        <v>144</v>
      </c>
      <c r="D3844" s="26"/>
      <c r="E3844" s="27"/>
      <c r="F3844" s="27"/>
      <c r="G3844" s="27" t="s">
        <v>11122</v>
      </c>
      <c r="H3844" s="27" t="s">
        <v>35</v>
      </c>
      <c r="I3844" s="27" t="s">
        <v>42</v>
      </c>
      <c r="J3844" s="28" t="s">
        <v>161</v>
      </c>
      <c r="K3844" s="27" t="s">
        <v>40</v>
      </c>
      <c r="L3844" s="27"/>
    </row>
    <row r="3845" customFormat="false" ht="15" hidden="false" customHeight="false" outlineLevel="0" collapsed="false">
      <c r="A3845" s="26" t="s">
        <v>12626</v>
      </c>
      <c r="B3845" s="27" t="s">
        <v>12627</v>
      </c>
      <c r="C3845" s="27" t="s">
        <v>144</v>
      </c>
      <c r="D3845" s="26"/>
      <c r="E3845" s="27"/>
      <c r="F3845" s="27"/>
      <c r="G3845" s="27" t="s">
        <v>11122</v>
      </c>
      <c r="H3845" s="27" t="s">
        <v>35</v>
      </c>
      <c r="I3845" s="27" t="s">
        <v>40</v>
      </c>
      <c r="J3845" s="28" t="s">
        <v>161</v>
      </c>
      <c r="K3845" s="27" t="s">
        <v>40</v>
      </c>
      <c r="L3845" s="27"/>
    </row>
    <row r="3846" customFormat="false" ht="15" hidden="false" customHeight="false" outlineLevel="0" collapsed="false">
      <c r="A3846" s="26" t="s">
        <v>12628</v>
      </c>
      <c r="B3846" s="27" t="s">
        <v>12629</v>
      </c>
      <c r="C3846" s="27" t="s">
        <v>144</v>
      </c>
      <c r="D3846" s="26"/>
      <c r="E3846" s="27"/>
      <c r="F3846" s="27"/>
      <c r="G3846" s="27" t="s">
        <v>11122</v>
      </c>
      <c r="H3846" s="27" t="s">
        <v>35</v>
      </c>
      <c r="I3846" s="27" t="s">
        <v>40</v>
      </c>
      <c r="J3846" s="28" t="s">
        <v>161</v>
      </c>
      <c r="K3846" s="27" t="s">
        <v>40</v>
      </c>
      <c r="L3846" s="27"/>
    </row>
    <row r="3847" customFormat="false" ht="15" hidden="false" customHeight="false" outlineLevel="0" collapsed="false">
      <c r="A3847" s="26" t="s">
        <v>12630</v>
      </c>
      <c r="B3847" s="27" t="s">
        <v>12631</v>
      </c>
      <c r="C3847" s="27" t="s">
        <v>144</v>
      </c>
      <c r="D3847" s="26"/>
      <c r="E3847" s="27"/>
      <c r="F3847" s="27"/>
      <c r="G3847" s="27" t="s">
        <v>11122</v>
      </c>
      <c r="H3847" s="27" t="s">
        <v>35</v>
      </c>
      <c r="I3847" s="27" t="s">
        <v>39</v>
      </c>
      <c r="J3847" s="28" t="s">
        <v>161</v>
      </c>
      <c r="K3847" s="27" t="s">
        <v>40</v>
      </c>
      <c r="L3847" s="27"/>
    </row>
    <row r="3848" customFormat="false" ht="15" hidden="false" customHeight="false" outlineLevel="0" collapsed="false">
      <c r="A3848" s="26" t="s">
        <v>12632</v>
      </c>
      <c r="B3848" s="27" t="s">
        <v>12633</v>
      </c>
      <c r="C3848" s="27" t="s">
        <v>144</v>
      </c>
      <c r="D3848" s="26"/>
      <c r="E3848" s="27"/>
      <c r="F3848" s="27"/>
      <c r="G3848" s="27" t="s">
        <v>11122</v>
      </c>
      <c r="H3848" s="27" t="s">
        <v>35</v>
      </c>
      <c r="I3848" s="27" t="s">
        <v>40</v>
      </c>
      <c r="J3848" s="28" t="s">
        <v>161</v>
      </c>
      <c r="K3848" s="27" t="s">
        <v>40</v>
      </c>
      <c r="L3848" s="27"/>
    </row>
    <row r="3849" customFormat="false" ht="15" hidden="false" customHeight="false" outlineLevel="0" collapsed="false">
      <c r="A3849" s="26" t="s">
        <v>12634</v>
      </c>
      <c r="B3849" s="27" t="s">
        <v>12635</v>
      </c>
      <c r="C3849" s="27" t="s">
        <v>144</v>
      </c>
      <c r="D3849" s="26"/>
      <c r="E3849" s="27"/>
      <c r="F3849" s="27"/>
      <c r="G3849" s="27" t="s">
        <v>11122</v>
      </c>
      <c r="H3849" s="27" t="s">
        <v>35</v>
      </c>
      <c r="I3849" s="27" t="s">
        <v>40</v>
      </c>
      <c r="J3849" s="28" t="s">
        <v>161</v>
      </c>
      <c r="K3849" s="27" t="s">
        <v>40</v>
      </c>
      <c r="L3849" s="27"/>
    </row>
    <row r="3850" customFormat="false" ht="15" hidden="false" customHeight="false" outlineLevel="0" collapsed="false">
      <c r="A3850" s="26" t="s">
        <v>12636</v>
      </c>
      <c r="B3850" s="27" t="s">
        <v>12637</v>
      </c>
      <c r="C3850" s="27" t="s">
        <v>144</v>
      </c>
      <c r="D3850" s="26"/>
      <c r="E3850" s="27"/>
      <c r="F3850" s="27"/>
      <c r="G3850" s="27" t="s">
        <v>11122</v>
      </c>
      <c r="H3850" s="27" t="s">
        <v>35</v>
      </c>
      <c r="I3850" s="27" t="s">
        <v>40</v>
      </c>
      <c r="J3850" s="28" t="s">
        <v>161</v>
      </c>
      <c r="K3850" s="27" t="s">
        <v>40</v>
      </c>
      <c r="L3850" s="27"/>
    </row>
    <row r="3851" customFormat="false" ht="15" hidden="false" customHeight="false" outlineLevel="0" collapsed="false">
      <c r="A3851" s="26" t="s">
        <v>12638</v>
      </c>
      <c r="B3851" s="27" t="s">
        <v>12639</v>
      </c>
      <c r="C3851" s="27" t="s">
        <v>144</v>
      </c>
      <c r="D3851" s="26"/>
      <c r="E3851" s="27"/>
      <c r="F3851" s="27"/>
      <c r="G3851" s="27" t="s">
        <v>11122</v>
      </c>
      <c r="H3851" s="27" t="s">
        <v>35</v>
      </c>
      <c r="I3851" s="27" t="s">
        <v>4159</v>
      </c>
      <c r="J3851" s="28" t="s">
        <v>161</v>
      </c>
      <c r="K3851" s="27" t="s">
        <v>40</v>
      </c>
      <c r="L3851" s="27"/>
    </row>
    <row r="3852" customFormat="false" ht="15" hidden="false" customHeight="false" outlineLevel="0" collapsed="false">
      <c r="A3852" s="26" t="s">
        <v>12640</v>
      </c>
      <c r="B3852" s="27" t="s">
        <v>12641</v>
      </c>
      <c r="C3852" s="27" t="s">
        <v>144</v>
      </c>
      <c r="D3852" s="26"/>
      <c r="E3852" s="27"/>
      <c r="F3852" s="27"/>
      <c r="G3852" s="27" t="s">
        <v>11122</v>
      </c>
      <c r="H3852" s="27" t="s">
        <v>35</v>
      </c>
      <c r="I3852" s="28" t="s">
        <v>46</v>
      </c>
      <c r="J3852" s="28" t="s">
        <v>161</v>
      </c>
      <c r="K3852" s="27" t="s">
        <v>40</v>
      </c>
      <c r="L3852" s="27"/>
    </row>
    <row r="3853" customFormat="false" ht="15" hidden="false" customHeight="false" outlineLevel="0" collapsed="false">
      <c r="A3853" s="26" t="s">
        <v>12642</v>
      </c>
      <c r="B3853" s="27" t="s">
        <v>12643</v>
      </c>
      <c r="C3853" s="27" t="s">
        <v>144</v>
      </c>
      <c r="D3853" s="26"/>
      <c r="E3853" s="27"/>
      <c r="F3853" s="27"/>
      <c r="G3853" s="27" t="s">
        <v>11122</v>
      </c>
      <c r="H3853" s="27" t="s">
        <v>35</v>
      </c>
      <c r="I3853" s="27" t="s">
        <v>40</v>
      </c>
      <c r="J3853" s="28" t="s">
        <v>161</v>
      </c>
      <c r="K3853" s="27" t="s">
        <v>40</v>
      </c>
      <c r="L3853" s="27"/>
    </row>
    <row r="3854" customFormat="false" ht="15" hidden="false" customHeight="false" outlineLevel="0" collapsed="false">
      <c r="A3854" s="26" t="s">
        <v>12644</v>
      </c>
      <c r="B3854" s="27" t="s">
        <v>12645</v>
      </c>
      <c r="C3854" s="27" t="s">
        <v>144</v>
      </c>
      <c r="D3854" s="26"/>
      <c r="E3854" s="27"/>
      <c r="F3854" s="27"/>
      <c r="G3854" s="27" t="s">
        <v>11122</v>
      </c>
      <c r="H3854" s="27" t="s">
        <v>35</v>
      </c>
      <c r="I3854" s="27" t="s">
        <v>40</v>
      </c>
      <c r="J3854" s="28" t="s">
        <v>161</v>
      </c>
      <c r="K3854" s="27" t="s">
        <v>40</v>
      </c>
      <c r="L3854" s="27"/>
    </row>
    <row r="3855" customFormat="false" ht="15" hidden="false" customHeight="false" outlineLevel="0" collapsed="false">
      <c r="A3855" s="26" t="s">
        <v>12646</v>
      </c>
      <c r="B3855" s="27" t="s">
        <v>12647</v>
      </c>
      <c r="C3855" s="27" t="s">
        <v>144</v>
      </c>
      <c r="D3855" s="26"/>
      <c r="E3855" s="27"/>
      <c r="F3855" s="27"/>
      <c r="G3855" s="27" t="s">
        <v>11122</v>
      </c>
      <c r="H3855" s="27" t="s">
        <v>35</v>
      </c>
      <c r="I3855" s="27" t="s">
        <v>40</v>
      </c>
      <c r="J3855" s="28" t="s">
        <v>161</v>
      </c>
      <c r="K3855" s="27" t="s">
        <v>40</v>
      </c>
      <c r="L3855" s="27"/>
    </row>
    <row r="3856" customFormat="false" ht="15" hidden="false" customHeight="false" outlineLevel="0" collapsed="false">
      <c r="A3856" s="26" t="s">
        <v>12648</v>
      </c>
      <c r="B3856" s="27" t="s">
        <v>12649</v>
      </c>
      <c r="C3856" s="27" t="s">
        <v>144</v>
      </c>
      <c r="D3856" s="26"/>
      <c r="E3856" s="27"/>
      <c r="F3856" s="27"/>
      <c r="G3856" s="27" t="s">
        <v>11122</v>
      </c>
      <c r="H3856" s="27" t="s">
        <v>35</v>
      </c>
      <c r="I3856" s="27" t="s">
        <v>39</v>
      </c>
      <c r="J3856" s="28" t="s">
        <v>161</v>
      </c>
      <c r="K3856" s="27" t="s">
        <v>40</v>
      </c>
      <c r="L3856" s="27"/>
    </row>
    <row r="3857" customFormat="false" ht="15" hidden="false" customHeight="false" outlineLevel="0" collapsed="false">
      <c r="A3857" s="26" t="s">
        <v>12650</v>
      </c>
      <c r="B3857" s="27" t="s">
        <v>12651</v>
      </c>
      <c r="C3857" s="27" t="s">
        <v>144</v>
      </c>
      <c r="D3857" s="26"/>
      <c r="E3857" s="27"/>
      <c r="F3857" s="27"/>
      <c r="G3857" s="27" t="s">
        <v>11122</v>
      </c>
      <c r="H3857" s="27" t="s">
        <v>35</v>
      </c>
      <c r="I3857" s="27" t="s">
        <v>40</v>
      </c>
      <c r="J3857" s="28" t="s">
        <v>161</v>
      </c>
      <c r="K3857" s="27" t="s">
        <v>40</v>
      </c>
      <c r="L3857" s="27"/>
    </row>
    <row r="3858" customFormat="false" ht="15" hidden="false" customHeight="false" outlineLevel="0" collapsed="false">
      <c r="A3858" s="26" t="s">
        <v>12652</v>
      </c>
      <c r="B3858" s="27" t="s">
        <v>12653</v>
      </c>
      <c r="C3858" s="27" t="s">
        <v>144</v>
      </c>
      <c r="D3858" s="26"/>
      <c r="E3858" s="27"/>
      <c r="F3858" s="27"/>
      <c r="G3858" s="27" t="s">
        <v>11122</v>
      </c>
      <c r="H3858" s="27" t="s">
        <v>35</v>
      </c>
      <c r="I3858" s="27" t="s">
        <v>41</v>
      </c>
      <c r="J3858" s="28" t="s">
        <v>161</v>
      </c>
      <c r="K3858" s="27" t="s">
        <v>40</v>
      </c>
      <c r="L3858" s="27"/>
    </row>
    <row r="3859" customFormat="false" ht="15" hidden="false" customHeight="false" outlineLevel="0" collapsed="false">
      <c r="A3859" s="26" t="s">
        <v>12654</v>
      </c>
      <c r="B3859" s="27" t="s">
        <v>12655</v>
      </c>
      <c r="C3859" s="27" t="s">
        <v>144</v>
      </c>
      <c r="D3859" s="26"/>
      <c r="E3859" s="27"/>
      <c r="F3859" s="27"/>
      <c r="G3859" s="27" t="s">
        <v>11122</v>
      </c>
      <c r="H3859" s="27" t="s">
        <v>35</v>
      </c>
      <c r="I3859" s="28" t="s">
        <v>46</v>
      </c>
      <c r="J3859" s="28" t="s">
        <v>161</v>
      </c>
      <c r="K3859" s="27" t="s">
        <v>40</v>
      </c>
      <c r="L3859" s="27"/>
    </row>
    <row r="3860" customFormat="false" ht="15" hidden="false" customHeight="false" outlineLevel="0" collapsed="false">
      <c r="A3860" s="26" t="s">
        <v>12656</v>
      </c>
      <c r="B3860" s="27" t="s">
        <v>12657</v>
      </c>
      <c r="C3860" s="27" t="s">
        <v>144</v>
      </c>
      <c r="D3860" s="26"/>
      <c r="E3860" s="27"/>
      <c r="F3860" s="27"/>
      <c r="G3860" s="27" t="s">
        <v>11122</v>
      </c>
      <c r="H3860" s="27" t="s">
        <v>35</v>
      </c>
      <c r="I3860" s="27" t="s">
        <v>40</v>
      </c>
      <c r="J3860" s="28" t="s">
        <v>161</v>
      </c>
      <c r="K3860" s="27" t="s">
        <v>40</v>
      </c>
      <c r="L3860" s="27"/>
    </row>
    <row r="3861" customFormat="false" ht="15" hidden="false" customHeight="false" outlineLevel="0" collapsed="false">
      <c r="A3861" s="26" t="s">
        <v>12658</v>
      </c>
      <c r="B3861" s="27" t="s">
        <v>12659</v>
      </c>
      <c r="C3861" s="27" t="s">
        <v>144</v>
      </c>
      <c r="D3861" s="26"/>
      <c r="E3861" s="27"/>
      <c r="F3861" s="27"/>
      <c r="G3861" s="27" t="s">
        <v>11122</v>
      </c>
      <c r="H3861" s="27" t="s">
        <v>35</v>
      </c>
      <c r="I3861" s="27" t="s">
        <v>40</v>
      </c>
      <c r="J3861" s="28" t="s">
        <v>161</v>
      </c>
      <c r="K3861" s="27" t="s">
        <v>40</v>
      </c>
      <c r="L3861" s="27"/>
    </row>
    <row r="3862" customFormat="false" ht="15" hidden="false" customHeight="false" outlineLevel="0" collapsed="false">
      <c r="A3862" s="26" t="s">
        <v>12660</v>
      </c>
      <c r="B3862" s="27" t="s">
        <v>12661</v>
      </c>
      <c r="C3862" s="27" t="s">
        <v>144</v>
      </c>
      <c r="D3862" s="26"/>
      <c r="E3862" s="27"/>
      <c r="F3862" s="27"/>
      <c r="G3862" s="27" t="s">
        <v>11122</v>
      </c>
      <c r="H3862" s="27" t="s">
        <v>35</v>
      </c>
      <c r="I3862" s="27" t="s">
        <v>40</v>
      </c>
      <c r="J3862" s="28" t="s">
        <v>161</v>
      </c>
      <c r="K3862" s="27" t="s">
        <v>40</v>
      </c>
      <c r="L3862" s="27"/>
    </row>
    <row r="3863" customFormat="false" ht="15" hidden="false" customHeight="false" outlineLevel="0" collapsed="false">
      <c r="A3863" s="26" t="s">
        <v>12662</v>
      </c>
      <c r="B3863" s="27" t="s">
        <v>12663</v>
      </c>
      <c r="C3863" s="27" t="s">
        <v>144</v>
      </c>
      <c r="D3863" s="26"/>
      <c r="E3863" s="27"/>
      <c r="F3863" s="27"/>
      <c r="G3863" s="27" t="s">
        <v>11122</v>
      </c>
      <c r="H3863" s="27" t="s">
        <v>35</v>
      </c>
      <c r="I3863" s="27" t="s">
        <v>40</v>
      </c>
      <c r="J3863" s="28" t="s">
        <v>161</v>
      </c>
      <c r="K3863" s="27" t="s">
        <v>40</v>
      </c>
      <c r="L3863" s="27"/>
    </row>
    <row r="3864" customFormat="false" ht="15" hidden="false" customHeight="false" outlineLevel="0" collapsed="false">
      <c r="A3864" s="26" t="s">
        <v>12664</v>
      </c>
      <c r="B3864" s="27" t="s">
        <v>12665</v>
      </c>
      <c r="C3864" s="27" t="s">
        <v>144</v>
      </c>
      <c r="D3864" s="26"/>
      <c r="E3864" s="27"/>
      <c r="F3864" s="27"/>
      <c r="G3864" s="27" t="s">
        <v>11122</v>
      </c>
      <c r="H3864" s="27" t="s">
        <v>35</v>
      </c>
      <c r="I3864" s="27" t="s">
        <v>40</v>
      </c>
      <c r="J3864" s="28" t="s">
        <v>161</v>
      </c>
      <c r="K3864" s="27" t="s">
        <v>40</v>
      </c>
      <c r="L3864" s="27"/>
    </row>
    <row r="3865" customFormat="false" ht="15" hidden="false" customHeight="false" outlineLevel="0" collapsed="false">
      <c r="A3865" s="26" t="s">
        <v>12666</v>
      </c>
      <c r="B3865" s="27" t="s">
        <v>12667</v>
      </c>
      <c r="C3865" s="27" t="s">
        <v>144</v>
      </c>
      <c r="D3865" s="26"/>
      <c r="E3865" s="27"/>
      <c r="F3865" s="27"/>
      <c r="G3865" s="27" t="s">
        <v>11122</v>
      </c>
      <c r="H3865" s="27" t="s">
        <v>35</v>
      </c>
      <c r="I3865" s="27" t="s">
        <v>40</v>
      </c>
      <c r="J3865" s="28" t="s">
        <v>161</v>
      </c>
      <c r="K3865" s="27" t="s">
        <v>40</v>
      </c>
      <c r="L3865" s="27"/>
    </row>
    <row r="3866" customFormat="false" ht="15" hidden="false" customHeight="false" outlineLevel="0" collapsed="false">
      <c r="A3866" s="26" t="s">
        <v>12668</v>
      </c>
      <c r="B3866" s="27" t="s">
        <v>12669</v>
      </c>
      <c r="C3866" s="27" t="s">
        <v>144</v>
      </c>
      <c r="D3866" s="26"/>
      <c r="E3866" s="27"/>
      <c r="F3866" s="27"/>
      <c r="G3866" s="27" t="s">
        <v>11122</v>
      </c>
      <c r="H3866" s="27" t="s">
        <v>35</v>
      </c>
      <c r="I3866" s="27" t="s">
        <v>40</v>
      </c>
      <c r="J3866" s="28" t="s">
        <v>161</v>
      </c>
      <c r="K3866" s="27" t="s">
        <v>40</v>
      </c>
      <c r="L3866" s="27"/>
    </row>
    <row r="3867" customFormat="false" ht="15" hidden="false" customHeight="false" outlineLevel="0" collapsed="false">
      <c r="A3867" s="26" t="s">
        <v>12670</v>
      </c>
      <c r="B3867" s="27" t="s">
        <v>12671</v>
      </c>
      <c r="C3867" s="27" t="s">
        <v>144</v>
      </c>
      <c r="D3867" s="26"/>
      <c r="E3867" s="27"/>
      <c r="F3867" s="27"/>
      <c r="G3867" s="27" t="s">
        <v>11122</v>
      </c>
      <c r="H3867" s="27" t="s">
        <v>35</v>
      </c>
      <c r="I3867" s="27" t="s">
        <v>40</v>
      </c>
      <c r="J3867" s="28" t="s">
        <v>161</v>
      </c>
      <c r="K3867" s="27" t="s">
        <v>40</v>
      </c>
      <c r="L3867" s="27"/>
    </row>
    <row r="3868" customFormat="false" ht="15" hidden="false" customHeight="false" outlineLevel="0" collapsed="false">
      <c r="A3868" s="26" t="s">
        <v>12672</v>
      </c>
      <c r="B3868" s="27" t="s">
        <v>12673</v>
      </c>
      <c r="C3868" s="27" t="s">
        <v>144</v>
      </c>
      <c r="D3868" s="26"/>
      <c r="E3868" s="27"/>
      <c r="F3868" s="27"/>
      <c r="G3868" s="27" t="s">
        <v>11122</v>
      </c>
      <c r="H3868" s="27" t="s">
        <v>35</v>
      </c>
      <c r="I3868" s="27" t="s">
        <v>40</v>
      </c>
      <c r="J3868" s="28" t="s">
        <v>161</v>
      </c>
      <c r="K3868" s="27" t="s">
        <v>40</v>
      </c>
      <c r="L3868" s="27"/>
    </row>
    <row r="3869" customFormat="false" ht="15" hidden="false" customHeight="false" outlineLevel="0" collapsed="false">
      <c r="A3869" s="26" t="s">
        <v>12674</v>
      </c>
      <c r="B3869" s="27" t="s">
        <v>12675</v>
      </c>
      <c r="C3869" s="27" t="s">
        <v>144</v>
      </c>
      <c r="D3869" s="26"/>
      <c r="E3869" s="27"/>
      <c r="F3869" s="27"/>
      <c r="G3869" s="27" t="s">
        <v>11122</v>
      </c>
      <c r="H3869" s="27" t="s">
        <v>35</v>
      </c>
      <c r="I3869" s="27" t="s">
        <v>40</v>
      </c>
      <c r="J3869" s="28" t="s">
        <v>161</v>
      </c>
      <c r="K3869" s="27" t="s">
        <v>40</v>
      </c>
      <c r="L3869" s="27"/>
    </row>
    <row r="3870" customFormat="false" ht="15" hidden="false" customHeight="false" outlineLevel="0" collapsed="false">
      <c r="A3870" s="26" t="s">
        <v>12676</v>
      </c>
      <c r="B3870" s="27" t="s">
        <v>12677</v>
      </c>
      <c r="C3870" s="27" t="s">
        <v>144</v>
      </c>
      <c r="D3870" s="26"/>
      <c r="E3870" s="27"/>
      <c r="F3870" s="27"/>
      <c r="G3870" s="27" t="s">
        <v>11122</v>
      </c>
      <c r="H3870" s="27" t="s">
        <v>35</v>
      </c>
      <c r="I3870" s="27" t="s">
        <v>40</v>
      </c>
      <c r="J3870" s="28" t="s">
        <v>161</v>
      </c>
      <c r="K3870" s="27" t="s">
        <v>40</v>
      </c>
      <c r="L3870" s="27"/>
    </row>
    <row r="3871" customFormat="false" ht="15" hidden="false" customHeight="false" outlineLevel="0" collapsed="false">
      <c r="A3871" s="26" t="s">
        <v>12678</v>
      </c>
      <c r="B3871" s="27" t="s">
        <v>12679</v>
      </c>
      <c r="C3871" s="27" t="s">
        <v>144</v>
      </c>
      <c r="D3871" s="26"/>
      <c r="E3871" s="27"/>
      <c r="F3871" s="27"/>
      <c r="G3871" s="27" t="s">
        <v>11122</v>
      </c>
      <c r="H3871" s="27" t="s">
        <v>35</v>
      </c>
      <c r="I3871" s="27" t="s">
        <v>40</v>
      </c>
      <c r="J3871" s="28" t="s">
        <v>161</v>
      </c>
      <c r="K3871" s="27" t="s">
        <v>40</v>
      </c>
      <c r="L3871" s="27"/>
    </row>
    <row r="3872" customFormat="false" ht="15" hidden="false" customHeight="false" outlineLevel="0" collapsed="false">
      <c r="A3872" s="26" t="s">
        <v>12680</v>
      </c>
      <c r="B3872" s="27" t="s">
        <v>12681</v>
      </c>
      <c r="C3872" s="27" t="s">
        <v>144</v>
      </c>
      <c r="D3872" s="26"/>
      <c r="E3872" s="27"/>
      <c r="F3872" s="27"/>
      <c r="G3872" s="27" t="s">
        <v>11122</v>
      </c>
      <c r="H3872" s="27" t="s">
        <v>35</v>
      </c>
      <c r="I3872" s="27" t="s">
        <v>40</v>
      </c>
      <c r="J3872" s="28" t="s">
        <v>161</v>
      </c>
      <c r="K3872" s="27" t="s">
        <v>40</v>
      </c>
      <c r="L3872" s="27"/>
    </row>
    <row r="3873" customFormat="false" ht="15" hidden="false" customHeight="false" outlineLevel="0" collapsed="false">
      <c r="A3873" s="26" t="s">
        <v>12682</v>
      </c>
      <c r="B3873" s="27" t="s">
        <v>12683</v>
      </c>
      <c r="C3873" s="27" t="s">
        <v>144</v>
      </c>
      <c r="D3873" s="26"/>
      <c r="E3873" s="27"/>
      <c r="F3873" s="27"/>
      <c r="G3873" s="27" t="s">
        <v>11122</v>
      </c>
      <c r="H3873" s="27" t="s">
        <v>35</v>
      </c>
      <c r="I3873" s="27" t="s">
        <v>40</v>
      </c>
      <c r="J3873" s="28" t="s">
        <v>161</v>
      </c>
      <c r="K3873" s="27" t="s">
        <v>40</v>
      </c>
      <c r="L3873" s="27"/>
    </row>
    <row r="3874" customFormat="false" ht="15" hidden="false" customHeight="false" outlineLevel="0" collapsed="false">
      <c r="A3874" s="26" t="s">
        <v>12684</v>
      </c>
      <c r="B3874" s="27" t="s">
        <v>12685</v>
      </c>
      <c r="C3874" s="27" t="s">
        <v>144</v>
      </c>
      <c r="D3874" s="26"/>
      <c r="E3874" s="27"/>
      <c r="F3874" s="27"/>
      <c r="G3874" s="27" t="s">
        <v>11122</v>
      </c>
      <c r="H3874" s="27" t="s">
        <v>35</v>
      </c>
      <c r="I3874" s="27" t="s">
        <v>40</v>
      </c>
      <c r="J3874" s="28" t="s">
        <v>161</v>
      </c>
      <c r="K3874" s="27" t="s">
        <v>40</v>
      </c>
      <c r="L3874" s="27"/>
    </row>
    <row r="3875" customFormat="false" ht="15" hidden="false" customHeight="false" outlineLevel="0" collapsed="false">
      <c r="A3875" s="26" t="s">
        <v>12686</v>
      </c>
      <c r="B3875" s="27" t="s">
        <v>12687</v>
      </c>
      <c r="C3875" s="27" t="s">
        <v>144</v>
      </c>
      <c r="D3875" s="26"/>
      <c r="E3875" s="27"/>
      <c r="F3875" s="27"/>
      <c r="G3875" s="27" t="s">
        <v>11122</v>
      </c>
      <c r="H3875" s="27" t="s">
        <v>35</v>
      </c>
      <c r="I3875" s="27" t="s">
        <v>43</v>
      </c>
      <c r="J3875" s="28" t="s">
        <v>161</v>
      </c>
      <c r="K3875" s="27" t="s">
        <v>40</v>
      </c>
      <c r="L3875" s="27"/>
    </row>
    <row r="3876" customFormat="false" ht="15" hidden="false" customHeight="false" outlineLevel="0" collapsed="false">
      <c r="A3876" s="26" t="s">
        <v>12688</v>
      </c>
      <c r="B3876" s="27" t="s">
        <v>12689</v>
      </c>
      <c r="C3876" s="27" t="s">
        <v>144</v>
      </c>
      <c r="D3876" s="26"/>
      <c r="E3876" s="27"/>
      <c r="F3876" s="27"/>
      <c r="G3876" s="27" t="s">
        <v>11122</v>
      </c>
      <c r="H3876" s="27" t="s">
        <v>35</v>
      </c>
      <c r="I3876" s="27" t="s">
        <v>43</v>
      </c>
      <c r="J3876" s="28" t="s">
        <v>161</v>
      </c>
      <c r="K3876" s="27" t="s">
        <v>40</v>
      </c>
      <c r="L3876" s="27"/>
    </row>
    <row r="3877" customFormat="false" ht="15" hidden="false" customHeight="false" outlineLevel="0" collapsed="false">
      <c r="A3877" s="26" t="s">
        <v>12690</v>
      </c>
      <c r="B3877" s="27" t="s">
        <v>12691</v>
      </c>
      <c r="C3877" s="27" t="s">
        <v>144</v>
      </c>
      <c r="D3877" s="26"/>
      <c r="E3877" s="27"/>
      <c r="F3877" s="27"/>
      <c r="G3877" s="27" t="s">
        <v>11122</v>
      </c>
      <c r="H3877" s="27" t="s">
        <v>35</v>
      </c>
      <c r="I3877" s="27" t="s">
        <v>40</v>
      </c>
      <c r="J3877" s="28" t="s">
        <v>161</v>
      </c>
      <c r="K3877" s="27" t="s">
        <v>40</v>
      </c>
      <c r="L3877" s="27"/>
    </row>
    <row r="3878" customFormat="false" ht="15" hidden="false" customHeight="false" outlineLevel="0" collapsed="false">
      <c r="A3878" s="26" t="s">
        <v>12692</v>
      </c>
      <c r="B3878" s="27" t="s">
        <v>12693</v>
      </c>
      <c r="C3878" s="27" t="s">
        <v>144</v>
      </c>
      <c r="D3878" s="26"/>
      <c r="E3878" s="27"/>
      <c r="F3878" s="27"/>
      <c r="G3878" s="27" t="s">
        <v>11122</v>
      </c>
      <c r="H3878" s="27" t="s">
        <v>35</v>
      </c>
      <c r="I3878" s="27" t="s">
        <v>40</v>
      </c>
      <c r="J3878" s="28" t="s">
        <v>161</v>
      </c>
      <c r="K3878" s="27" t="s">
        <v>40</v>
      </c>
      <c r="L3878" s="27"/>
    </row>
    <row r="3879" customFormat="false" ht="15" hidden="false" customHeight="false" outlineLevel="0" collapsed="false">
      <c r="A3879" s="26" t="s">
        <v>12694</v>
      </c>
      <c r="B3879" s="27" t="s">
        <v>12695</v>
      </c>
      <c r="C3879" s="27" t="s">
        <v>144</v>
      </c>
      <c r="D3879" s="26"/>
      <c r="E3879" s="27"/>
      <c r="F3879" s="27"/>
      <c r="G3879" s="27" t="s">
        <v>11122</v>
      </c>
      <c r="H3879" s="27" t="s">
        <v>35</v>
      </c>
      <c r="I3879" s="27" t="s">
        <v>40</v>
      </c>
      <c r="J3879" s="28" t="s">
        <v>161</v>
      </c>
      <c r="K3879" s="27" t="s">
        <v>40</v>
      </c>
      <c r="L3879" s="27"/>
    </row>
    <row r="3880" customFormat="false" ht="15" hidden="false" customHeight="false" outlineLevel="0" collapsed="false">
      <c r="A3880" s="26" t="s">
        <v>12696</v>
      </c>
      <c r="B3880" s="27" t="s">
        <v>12697</v>
      </c>
      <c r="C3880" s="27" t="s">
        <v>144</v>
      </c>
      <c r="D3880" s="26"/>
      <c r="E3880" s="27"/>
      <c r="F3880" s="27"/>
      <c r="G3880" s="27" t="s">
        <v>11122</v>
      </c>
      <c r="H3880" s="27" t="s">
        <v>35</v>
      </c>
      <c r="I3880" s="27" t="s">
        <v>40</v>
      </c>
      <c r="J3880" s="28" t="s">
        <v>161</v>
      </c>
      <c r="K3880" s="27" t="s">
        <v>40</v>
      </c>
      <c r="L3880" s="27"/>
    </row>
    <row r="3881" customFormat="false" ht="15" hidden="false" customHeight="false" outlineLevel="0" collapsed="false">
      <c r="A3881" s="26" t="s">
        <v>12698</v>
      </c>
      <c r="B3881" s="27" t="s">
        <v>12699</v>
      </c>
      <c r="C3881" s="27" t="s">
        <v>144</v>
      </c>
      <c r="D3881" s="26"/>
      <c r="E3881" s="27"/>
      <c r="F3881" s="27"/>
      <c r="G3881" s="27" t="s">
        <v>11122</v>
      </c>
      <c r="H3881" s="27" t="s">
        <v>35</v>
      </c>
      <c r="I3881" s="27" t="s">
        <v>43</v>
      </c>
      <c r="J3881" s="28" t="s">
        <v>161</v>
      </c>
      <c r="K3881" s="27" t="s">
        <v>40</v>
      </c>
      <c r="L3881" s="27"/>
    </row>
    <row r="3882" customFormat="false" ht="15" hidden="false" customHeight="false" outlineLevel="0" collapsed="false">
      <c r="A3882" s="26" t="s">
        <v>12700</v>
      </c>
      <c r="B3882" s="27" t="s">
        <v>12701</v>
      </c>
      <c r="C3882" s="27" t="s">
        <v>144</v>
      </c>
      <c r="D3882" s="26"/>
      <c r="E3882" s="27"/>
      <c r="F3882" s="27"/>
      <c r="G3882" s="27" t="s">
        <v>11122</v>
      </c>
      <c r="H3882" s="27" t="s">
        <v>35</v>
      </c>
      <c r="I3882" s="27" t="s">
        <v>40</v>
      </c>
      <c r="J3882" s="28" t="s">
        <v>161</v>
      </c>
      <c r="K3882" s="27" t="s">
        <v>40</v>
      </c>
      <c r="L3882" s="27"/>
    </row>
    <row r="3883" customFormat="false" ht="15" hidden="false" customHeight="false" outlineLevel="0" collapsed="false">
      <c r="A3883" s="26" t="s">
        <v>12702</v>
      </c>
      <c r="B3883" s="27" t="s">
        <v>12703</v>
      </c>
      <c r="C3883" s="27" t="s">
        <v>144</v>
      </c>
      <c r="D3883" s="26"/>
      <c r="E3883" s="27"/>
      <c r="F3883" s="27"/>
      <c r="G3883" s="27" t="s">
        <v>11122</v>
      </c>
      <c r="H3883" s="27" t="s">
        <v>35</v>
      </c>
      <c r="I3883" s="27" t="s">
        <v>40</v>
      </c>
      <c r="J3883" s="28" t="s">
        <v>161</v>
      </c>
      <c r="K3883" s="27" t="s">
        <v>40</v>
      </c>
      <c r="L3883" s="27"/>
    </row>
    <row r="3884" customFormat="false" ht="15" hidden="false" customHeight="false" outlineLevel="0" collapsed="false">
      <c r="A3884" s="26" t="s">
        <v>12704</v>
      </c>
      <c r="B3884" s="27" t="s">
        <v>12705</v>
      </c>
      <c r="C3884" s="27" t="s">
        <v>144</v>
      </c>
      <c r="D3884" s="26"/>
      <c r="E3884" s="27"/>
      <c r="F3884" s="27"/>
      <c r="G3884" s="27" t="s">
        <v>11122</v>
      </c>
      <c r="H3884" s="27" t="s">
        <v>35</v>
      </c>
      <c r="I3884" s="27" t="s">
        <v>40</v>
      </c>
      <c r="J3884" s="28" t="s">
        <v>161</v>
      </c>
      <c r="K3884" s="27" t="s">
        <v>40</v>
      </c>
      <c r="L3884" s="27"/>
    </row>
    <row r="3885" customFormat="false" ht="15" hidden="false" customHeight="false" outlineLevel="0" collapsed="false">
      <c r="A3885" s="26" t="s">
        <v>12706</v>
      </c>
      <c r="B3885" s="27" t="s">
        <v>12707</v>
      </c>
      <c r="C3885" s="27" t="s">
        <v>144</v>
      </c>
      <c r="D3885" s="26"/>
      <c r="E3885" s="27"/>
      <c r="F3885" s="27"/>
      <c r="G3885" s="27" t="s">
        <v>11122</v>
      </c>
      <c r="H3885" s="27" t="s">
        <v>35</v>
      </c>
      <c r="I3885" s="27" t="s">
        <v>40</v>
      </c>
      <c r="J3885" s="28" t="s">
        <v>161</v>
      </c>
      <c r="K3885" s="27" t="s">
        <v>40</v>
      </c>
      <c r="L3885" s="27"/>
    </row>
    <row r="3886" customFormat="false" ht="15" hidden="false" customHeight="false" outlineLevel="0" collapsed="false">
      <c r="A3886" s="26" t="s">
        <v>12708</v>
      </c>
      <c r="B3886" s="27" t="s">
        <v>12709</v>
      </c>
      <c r="C3886" s="27" t="s">
        <v>144</v>
      </c>
      <c r="D3886" s="26"/>
      <c r="E3886" s="27"/>
      <c r="F3886" s="27"/>
      <c r="G3886" s="27" t="s">
        <v>11122</v>
      </c>
      <c r="H3886" s="27" t="s">
        <v>35</v>
      </c>
      <c r="I3886" s="27" t="s">
        <v>40</v>
      </c>
      <c r="J3886" s="28" t="s">
        <v>161</v>
      </c>
      <c r="K3886" s="27" t="s">
        <v>40</v>
      </c>
      <c r="L3886" s="27"/>
    </row>
    <row r="3887" customFormat="false" ht="15" hidden="false" customHeight="false" outlineLevel="0" collapsed="false">
      <c r="A3887" s="26" t="s">
        <v>12710</v>
      </c>
      <c r="B3887" s="27" t="s">
        <v>12711</v>
      </c>
      <c r="C3887" s="27" t="s">
        <v>144</v>
      </c>
      <c r="D3887" s="26"/>
      <c r="E3887" s="27"/>
      <c r="F3887" s="27"/>
      <c r="G3887" s="27" t="s">
        <v>11122</v>
      </c>
      <c r="H3887" s="27" t="s">
        <v>35</v>
      </c>
      <c r="I3887" s="27" t="s">
        <v>40</v>
      </c>
      <c r="J3887" s="28" t="s">
        <v>161</v>
      </c>
      <c r="K3887" s="27" t="s">
        <v>40</v>
      </c>
      <c r="L3887" s="27"/>
    </row>
    <row r="3888" customFormat="false" ht="15" hidden="false" customHeight="false" outlineLevel="0" collapsed="false">
      <c r="A3888" s="26" t="s">
        <v>12712</v>
      </c>
      <c r="B3888" s="27" t="s">
        <v>12713</v>
      </c>
      <c r="C3888" s="27" t="s">
        <v>144</v>
      </c>
      <c r="D3888" s="26"/>
      <c r="E3888" s="27"/>
      <c r="F3888" s="27"/>
      <c r="G3888" s="27" t="s">
        <v>11122</v>
      </c>
      <c r="H3888" s="27" t="s">
        <v>35</v>
      </c>
      <c r="I3888" s="27" t="s">
        <v>40</v>
      </c>
      <c r="J3888" s="28" t="s">
        <v>161</v>
      </c>
      <c r="K3888" s="27" t="s">
        <v>40</v>
      </c>
      <c r="L3888" s="27"/>
    </row>
    <row r="3889" customFormat="false" ht="15" hidden="false" customHeight="false" outlineLevel="0" collapsed="false">
      <c r="A3889" s="26" t="s">
        <v>12714</v>
      </c>
      <c r="B3889" s="27" t="s">
        <v>12715</v>
      </c>
      <c r="C3889" s="27" t="s">
        <v>144</v>
      </c>
      <c r="D3889" s="26"/>
      <c r="E3889" s="27"/>
      <c r="F3889" s="27"/>
      <c r="G3889" s="27" t="s">
        <v>11122</v>
      </c>
      <c r="H3889" s="27" t="s">
        <v>35</v>
      </c>
      <c r="I3889" s="27" t="s">
        <v>40</v>
      </c>
      <c r="J3889" s="28" t="s">
        <v>161</v>
      </c>
      <c r="K3889" s="27" t="s">
        <v>40</v>
      </c>
      <c r="L3889" s="27"/>
    </row>
    <row r="3890" customFormat="false" ht="15" hidden="false" customHeight="false" outlineLevel="0" collapsed="false">
      <c r="A3890" s="26" t="s">
        <v>12716</v>
      </c>
      <c r="B3890" s="27" t="s">
        <v>12717</v>
      </c>
      <c r="C3890" s="27" t="s">
        <v>144</v>
      </c>
      <c r="D3890" s="26"/>
      <c r="E3890" s="27"/>
      <c r="F3890" s="27"/>
      <c r="G3890" s="27" t="s">
        <v>11122</v>
      </c>
      <c r="H3890" s="27" t="s">
        <v>35</v>
      </c>
      <c r="I3890" s="27" t="s">
        <v>40</v>
      </c>
      <c r="J3890" s="28" t="s">
        <v>161</v>
      </c>
      <c r="K3890" s="27" t="s">
        <v>40</v>
      </c>
      <c r="L3890" s="27"/>
    </row>
    <row r="3891" customFormat="false" ht="15" hidden="false" customHeight="false" outlineLevel="0" collapsed="false">
      <c r="A3891" s="26" t="s">
        <v>12718</v>
      </c>
      <c r="B3891" s="27" t="s">
        <v>12719</v>
      </c>
      <c r="C3891" s="27" t="s">
        <v>144</v>
      </c>
      <c r="D3891" s="26"/>
      <c r="E3891" s="27"/>
      <c r="F3891" s="27"/>
      <c r="G3891" s="27" t="s">
        <v>11122</v>
      </c>
      <c r="H3891" s="27" t="s">
        <v>35</v>
      </c>
      <c r="I3891" s="27" t="s">
        <v>40</v>
      </c>
      <c r="J3891" s="28" t="s">
        <v>161</v>
      </c>
      <c r="K3891" s="27" t="s">
        <v>40</v>
      </c>
      <c r="L3891" s="27"/>
    </row>
    <row r="3892" customFormat="false" ht="15" hidden="false" customHeight="false" outlineLevel="0" collapsed="false">
      <c r="A3892" s="26" t="s">
        <v>12720</v>
      </c>
      <c r="B3892" s="27" t="s">
        <v>12721</v>
      </c>
      <c r="C3892" s="27" t="s">
        <v>144</v>
      </c>
      <c r="D3892" s="26"/>
      <c r="E3892" s="27"/>
      <c r="F3892" s="27"/>
      <c r="G3892" s="27" t="s">
        <v>11122</v>
      </c>
      <c r="H3892" s="27" t="s">
        <v>35</v>
      </c>
      <c r="I3892" s="27" t="s">
        <v>40</v>
      </c>
      <c r="J3892" s="28" t="s">
        <v>161</v>
      </c>
      <c r="K3892" s="27" t="s">
        <v>40</v>
      </c>
      <c r="L3892" s="27"/>
    </row>
    <row r="3893" customFormat="false" ht="15" hidden="false" customHeight="false" outlineLevel="0" collapsed="false">
      <c r="A3893" s="26" t="s">
        <v>12722</v>
      </c>
      <c r="B3893" s="27" t="s">
        <v>12723</v>
      </c>
      <c r="C3893" s="27" t="s">
        <v>144</v>
      </c>
      <c r="D3893" s="26"/>
      <c r="E3893" s="27"/>
      <c r="F3893" s="27"/>
      <c r="G3893" s="27" t="s">
        <v>11122</v>
      </c>
      <c r="H3893" s="27" t="s">
        <v>35</v>
      </c>
      <c r="I3893" s="27" t="s">
        <v>40</v>
      </c>
      <c r="J3893" s="28" t="s">
        <v>161</v>
      </c>
      <c r="K3893" s="27" t="s">
        <v>40</v>
      </c>
      <c r="L3893" s="27"/>
    </row>
    <row r="3894" customFormat="false" ht="15" hidden="false" customHeight="false" outlineLevel="0" collapsed="false">
      <c r="A3894" s="26" t="s">
        <v>12724</v>
      </c>
      <c r="B3894" s="27" t="s">
        <v>12725</v>
      </c>
      <c r="C3894" s="27" t="s">
        <v>144</v>
      </c>
      <c r="D3894" s="26"/>
      <c r="E3894" s="27"/>
      <c r="F3894" s="27"/>
      <c r="G3894" s="27" t="s">
        <v>11122</v>
      </c>
      <c r="H3894" s="27" t="s">
        <v>35</v>
      </c>
      <c r="I3894" s="27" t="s">
        <v>40</v>
      </c>
      <c r="J3894" s="28" t="s">
        <v>161</v>
      </c>
      <c r="K3894" s="27" t="s">
        <v>40</v>
      </c>
      <c r="L3894" s="27"/>
    </row>
    <row r="3895" customFormat="false" ht="15" hidden="false" customHeight="false" outlineLevel="0" collapsed="false">
      <c r="A3895" s="26" t="s">
        <v>12726</v>
      </c>
      <c r="B3895" s="27" t="s">
        <v>12727</v>
      </c>
      <c r="C3895" s="27" t="s">
        <v>144</v>
      </c>
      <c r="D3895" s="26"/>
      <c r="E3895" s="27"/>
      <c r="F3895" s="27"/>
      <c r="G3895" s="27" t="s">
        <v>11122</v>
      </c>
      <c r="H3895" s="27" t="s">
        <v>35</v>
      </c>
      <c r="I3895" s="27" t="s">
        <v>40</v>
      </c>
      <c r="J3895" s="28" t="s">
        <v>161</v>
      </c>
      <c r="K3895" s="27" t="s">
        <v>40</v>
      </c>
      <c r="L3895" s="27"/>
    </row>
    <row r="3896" customFormat="false" ht="15" hidden="false" customHeight="false" outlineLevel="0" collapsed="false">
      <c r="A3896" s="26" t="s">
        <v>12728</v>
      </c>
      <c r="B3896" s="27" t="s">
        <v>12729</v>
      </c>
      <c r="C3896" s="27" t="s">
        <v>144</v>
      </c>
      <c r="D3896" s="26"/>
      <c r="E3896" s="27"/>
      <c r="F3896" s="27"/>
      <c r="G3896" s="27" t="s">
        <v>11122</v>
      </c>
      <c r="H3896" s="27" t="s">
        <v>35</v>
      </c>
      <c r="I3896" s="27" t="s">
        <v>40</v>
      </c>
      <c r="J3896" s="28" t="s">
        <v>161</v>
      </c>
      <c r="K3896" s="27" t="s">
        <v>40</v>
      </c>
      <c r="L3896" s="27"/>
    </row>
    <row r="3897" customFormat="false" ht="15" hidden="false" customHeight="false" outlineLevel="0" collapsed="false">
      <c r="A3897" s="26" t="s">
        <v>12730</v>
      </c>
      <c r="B3897" s="27" t="s">
        <v>12731</v>
      </c>
      <c r="C3897" s="27" t="s">
        <v>144</v>
      </c>
      <c r="D3897" s="26"/>
      <c r="E3897" s="27"/>
      <c r="F3897" s="27"/>
      <c r="G3897" s="27" t="s">
        <v>11122</v>
      </c>
      <c r="H3897" s="27" t="s">
        <v>35</v>
      </c>
      <c r="I3897" s="27" t="s">
        <v>40</v>
      </c>
      <c r="J3897" s="28" t="s">
        <v>161</v>
      </c>
      <c r="K3897" s="27" t="s">
        <v>40</v>
      </c>
      <c r="L3897" s="27"/>
    </row>
    <row r="3898" customFormat="false" ht="15" hidden="false" customHeight="false" outlineLevel="0" collapsed="false">
      <c r="A3898" s="26" t="s">
        <v>12732</v>
      </c>
      <c r="B3898" s="27" t="s">
        <v>12733</v>
      </c>
      <c r="C3898" s="27" t="s">
        <v>144</v>
      </c>
      <c r="D3898" s="26"/>
      <c r="E3898" s="27"/>
      <c r="F3898" s="27"/>
      <c r="G3898" s="27" t="s">
        <v>11122</v>
      </c>
      <c r="H3898" s="27" t="s">
        <v>35</v>
      </c>
      <c r="I3898" s="27" t="s">
        <v>40</v>
      </c>
      <c r="J3898" s="28" t="s">
        <v>161</v>
      </c>
      <c r="K3898" s="27" t="s">
        <v>40</v>
      </c>
      <c r="L3898" s="27"/>
    </row>
    <row r="3899" customFormat="false" ht="15" hidden="false" customHeight="false" outlineLevel="0" collapsed="false">
      <c r="A3899" s="26" t="s">
        <v>12734</v>
      </c>
      <c r="B3899" s="27" t="s">
        <v>12735</v>
      </c>
      <c r="C3899" s="27" t="s">
        <v>144</v>
      </c>
      <c r="D3899" s="26"/>
      <c r="E3899" s="27"/>
      <c r="F3899" s="27"/>
      <c r="G3899" s="27" t="s">
        <v>11122</v>
      </c>
      <c r="H3899" s="27" t="s">
        <v>35</v>
      </c>
      <c r="I3899" s="27" t="s">
        <v>40</v>
      </c>
      <c r="J3899" s="28" t="s">
        <v>161</v>
      </c>
      <c r="K3899" s="27" t="s">
        <v>40</v>
      </c>
      <c r="L3899" s="27"/>
    </row>
    <row r="3900" customFormat="false" ht="15" hidden="false" customHeight="false" outlineLevel="0" collapsed="false">
      <c r="A3900" s="26" t="s">
        <v>12736</v>
      </c>
      <c r="B3900" s="27" t="s">
        <v>12737</v>
      </c>
      <c r="C3900" s="27" t="s">
        <v>144</v>
      </c>
      <c r="D3900" s="26"/>
      <c r="E3900" s="27"/>
      <c r="F3900" s="27"/>
      <c r="G3900" s="27" t="s">
        <v>11122</v>
      </c>
      <c r="H3900" s="27" t="s">
        <v>35</v>
      </c>
      <c r="I3900" s="27" t="s">
        <v>40</v>
      </c>
      <c r="J3900" s="28" t="s">
        <v>161</v>
      </c>
      <c r="K3900" s="27" t="s">
        <v>40</v>
      </c>
      <c r="L3900" s="27"/>
    </row>
    <row r="3901" customFormat="false" ht="15" hidden="false" customHeight="false" outlineLevel="0" collapsed="false">
      <c r="A3901" s="26" t="s">
        <v>12738</v>
      </c>
      <c r="B3901" s="27" t="s">
        <v>12739</v>
      </c>
      <c r="C3901" s="27" t="s">
        <v>144</v>
      </c>
      <c r="D3901" s="26"/>
      <c r="E3901" s="27"/>
      <c r="F3901" s="27"/>
      <c r="G3901" s="27" t="s">
        <v>11122</v>
      </c>
      <c r="H3901" s="27" t="s">
        <v>35</v>
      </c>
      <c r="I3901" s="27" t="s">
        <v>40</v>
      </c>
      <c r="J3901" s="28" t="s">
        <v>161</v>
      </c>
      <c r="K3901" s="27" t="s">
        <v>40</v>
      </c>
      <c r="L3901" s="27"/>
    </row>
    <row r="3902" customFormat="false" ht="15" hidden="false" customHeight="false" outlineLevel="0" collapsed="false">
      <c r="A3902" s="26" t="s">
        <v>12740</v>
      </c>
      <c r="B3902" s="27" t="s">
        <v>12741</v>
      </c>
      <c r="C3902" s="27" t="s">
        <v>144</v>
      </c>
      <c r="D3902" s="26"/>
      <c r="E3902" s="27"/>
      <c r="F3902" s="27"/>
      <c r="G3902" s="27" t="s">
        <v>11122</v>
      </c>
      <c r="H3902" s="27" t="s">
        <v>35</v>
      </c>
      <c r="I3902" s="27" t="s">
        <v>48</v>
      </c>
      <c r="J3902" s="28" t="s">
        <v>161</v>
      </c>
      <c r="K3902" s="27" t="s">
        <v>40</v>
      </c>
      <c r="L3902" s="27"/>
    </row>
    <row r="3903" customFormat="false" ht="15" hidden="false" customHeight="false" outlineLevel="0" collapsed="false">
      <c r="A3903" s="26" t="s">
        <v>12742</v>
      </c>
      <c r="B3903" s="27" t="s">
        <v>12743</v>
      </c>
      <c r="C3903" s="27" t="s">
        <v>144</v>
      </c>
      <c r="D3903" s="26"/>
      <c r="E3903" s="27"/>
      <c r="F3903" s="27"/>
      <c r="G3903" s="27" t="s">
        <v>11122</v>
      </c>
      <c r="H3903" s="27" t="s">
        <v>35</v>
      </c>
      <c r="I3903" s="27" t="s">
        <v>48</v>
      </c>
      <c r="J3903" s="28" t="s">
        <v>161</v>
      </c>
      <c r="K3903" s="27" t="s">
        <v>40</v>
      </c>
      <c r="L3903" s="27"/>
    </row>
    <row r="3904" customFormat="false" ht="15" hidden="false" customHeight="false" outlineLevel="0" collapsed="false">
      <c r="A3904" s="26" t="s">
        <v>12744</v>
      </c>
      <c r="B3904" s="27" t="s">
        <v>12745</v>
      </c>
      <c r="C3904" s="27" t="s">
        <v>144</v>
      </c>
      <c r="D3904" s="26"/>
      <c r="E3904" s="27"/>
      <c r="F3904" s="27"/>
      <c r="G3904" s="27" t="s">
        <v>11122</v>
      </c>
      <c r="H3904" s="27" t="s">
        <v>35</v>
      </c>
      <c r="I3904" s="27" t="s">
        <v>48</v>
      </c>
      <c r="J3904" s="28" t="s">
        <v>161</v>
      </c>
      <c r="K3904" s="27" t="s">
        <v>40</v>
      </c>
      <c r="L3904" s="27"/>
    </row>
    <row r="3905" customFormat="false" ht="15" hidden="false" customHeight="false" outlineLevel="0" collapsed="false">
      <c r="A3905" s="26" t="s">
        <v>12746</v>
      </c>
      <c r="B3905" s="27" t="s">
        <v>12747</v>
      </c>
      <c r="C3905" s="27" t="s">
        <v>144</v>
      </c>
      <c r="D3905" s="26"/>
      <c r="E3905" s="27"/>
      <c r="F3905" s="27"/>
      <c r="G3905" s="27" t="s">
        <v>11122</v>
      </c>
      <c r="H3905" s="27" t="s">
        <v>35</v>
      </c>
      <c r="I3905" s="27" t="s">
        <v>41</v>
      </c>
      <c r="J3905" s="28" t="s">
        <v>161</v>
      </c>
      <c r="K3905" s="27" t="s">
        <v>40</v>
      </c>
      <c r="L3905" s="27"/>
    </row>
    <row r="3906" customFormat="false" ht="15" hidden="false" customHeight="false" outlineLevel="0" collapsed="false">
      <c r="A3906" s="26" t="s">
        <v>12748</v>
      </c>
      <c r="B3906" s="27" t="s">
        <v>12749</v>
      </c>
      <c r="C3906" s="27" t="s">
        <v>144</v>
      </c>
      <c r="D3906" s="26"/>
      <c r="E3906" s="27"/>
      <c r="F3906" s="27"/>
      <c r="G3906" s="27" t="s">
        <v>11122</v>
      </c>
      <c r="H3906" s="27" t="s">
        <v>35</v>
      </c>
      <c r="I3906" s="27" t="s">
        <v>48</v>
      </c>
      <c r="J3906" s="28" t="s">
        <v>161</v>
      </c>
      <c r="K3906" s="27" t="s">
        <v>40</v>
      </c>
      <c r="L3906" s="27"/>
    </row>
    <row r="3907" customFormat="false" ht="15" hidden="false" customHeight="false" outlineLevel="0" collapsed="false">
      <c r="A3907" s="26" t="s">
        <v>12750</v>
      </c>
      <c r="B3907" s="27" t="s">
        <v>12751</v>
      </c>
      <c r="C3907" s="27" t="s">
        <v>370</v>
      </c>
      <c r="D3907" s="26"/>
      <c r="E3907" s="27"/>
      <c r="F3907" s="27"/>
      <c r="G3907" s="27" t="s">
        <v>11122</v>
      </c>
      <c r="H3907" s="27" t="s">
        <v>35</v>
      </c>
      <c r="I3907" s="27" t="s">
        <v>40</v>
      </c>
      <c r="J3907" s="28" t="s">
        <v>161</v>
      </c>
      <c r="K3907" s="27" t="s">
        <v>40</v>
      </c>
      <c r="L3907" s="27"/>
    </row>
    <row r="3908" customFormat="false" ht="15" hidden="false" customHeight="false" outlineLevel="0" collapsed="false">
      <c r="A3908" s="26" t="s">
        <v>12752</v>
      </c>
      <c r="B3908" s="27" t="s">
        <v>12753</v>
      </c>
      <c r="C3908" s="27" t="s">
        <v>144</v>
      </c>
      <c r="D3908" s="26"/>
      <c r="E3908" s="27"/>
      <c r="F3908" s="27"/>
      <c r="G3908" s="27" t="s">
        <v>11122</v>
      </c>
      <c r="H3908" s="27" t="s">
        <v>35</v>
      </c>
      <c r="I3908" s="27" t="s">
        <v>48</v>
      </c>
      <c r="J3908" s="28" t="s">
        <v>161</v>
      </c>
      <c r="K3908" s="27" t="s">
        <v>40</v>
      </c>
      <c r="L3908" s="27"/>
    </row>
    <row r="3909" customFormat="false" ht="15" hidden="false" customHeight="false" outlineLevel="0" collapsed="false">
      <c r="A3909" s="26" t="s">
        <v>12754</v>
      </c>
      <c r="B3909" s="27" t="s">
        <v>12755</v>
      </c>
      <c r="C3909" s="27" t="s">
        <v>144</v>
      </c>
      <c r="D3909" s="26"/>
      <c r="E3909" s="27"/>
      <c r="F3909" s="27"/>
      <c r="G3909" s="27" t="s">
        <v>11122</v>
      </c>
      <c r="H3909" s="27" t="s">
        <v>35</v>
      </c>
      <c r="I3909" s="27" t="s">
        <v>48</v>
      </c>
      <c r="J3909" s="28" t="s">
        <v>161</v>
      </c>
      <c r="K3909" s="27" t="s">
        <v>40</v>
      </c>
      <c r="L3909" s="27"/>
    </row>
    <row r="3910" customFormat="false" ht="15" hidden="false" customHeight="false" outlineLevel="0" collapsed="false">
      <c r="A3910" s="26" t="s">
        <v>12756</v>
      </c>
      <c r="B3910" s="27" t="s">
        <v>12757</v>
      </c>
      <c r="C3910" s="27" t="s">
        <v>144</v>
      </c>
      <c r="D3910" s="26"/>
      <c r="E3910" s="27"/>
      <c r="F3910" s="27"/>
      <c r="G3910" s="27" t="s">
        <v>11122</v>
      </c>
      <c r="H3910" s="27" t="s">
        <v>35</v>
      </c>
      <c r="I3910" s="27" t="s">
        <v>41</v>
      </c>
      <c r="J3910" s="28" t="s">
        <v>161</v>
      </c>
      <c r="K3910" s="27" t="s">
        <v>40</v>
      </c>
      <c r="L3910" s="27"/>
    </row>
    <row r="3911" customFormat="false" ht="15" hidden="false" customHeight="false" outlineLevel="0" collapsed="false">
      <c r="A3911" s="26" t="s">
        <v>12758</v>
      </c>
      <c r="B3911" s="27" t="s">
        <v>12759</v>
      </c>
      <c r="C3911" s="27" t="s">
        <v>144</v>
      </c>
      <c r="D3911" s="26"/>
      <c r="E3911" s="27"/>
      <c r="F3911" s="27"/>
      <c r="G3911" s="27" t="s">
        <v>11122</v>
      </c>
      <c r="H3911" s="27" t="s">
        <v>35</v>
      </c>
      <c r="I3911" s="27" t="s">
        <v>37</v>
      </c>
      <c r="J3911" s="28" t="s">
        <v>161</v>
      </c>
      <c r="K3911" s="27" t="s">
        <v>40</v>
      </c>
      <c r="L3911" s="27"/>
    </row>
    <row r="3912" customFormat="false" ht="15" hidden="false" customHeight="false" outlineLevel="0" collapsed="false">
      <c r="A3912" s="26" t="s">
        <v>12760</v>
      </c>
      <c r="B3912" s="27" t="s">
        <v>12761</v>
      </c>
      <c r="C3912" s="27" t="s">
        <v>144</v>
      </c>
      <c r="D3912" s="26"/>
      <c r="E3912" s="27"/>
      <c r="F3912" s="27"/>
      <c r="G3912" s="27" t="s">
        <v>11122</v>
      </c>
      <c r="H3912" s="27" t="s">
        <v>35</v>
      </c>
      <c r="I3912" s="27" t="s">
        <v>41</v>
      </c>
      <c r="J3912" s="28" t="s">
        <v>161</v>
      </c>
      <c r="K3912" s="27" t="s">
        <v>40</v>
      </c>
      <c r="L3912" s="27"/>
    </row>
    <row r="3913" customFormat="false" ht="15" hidden="false" customHeight="false" outlineLevel="0" collapsed="false">
      <c r="A3913" s="26" t="s">
        <v>12762</v>
      </c>
      <c r="B3913" s="27" t="s">
        <v>12763</v>
      </c>
      <c r="C3913" s="27" t="s">
        <v>144</v>
      </c>
      <c r="D3913" s="26"/>
      <c r="E3913" s="27"/>
      <c r="F3913" s="27"/>
      <c r="G3913" s="27" t="s">
        <v>11122</v>
      </c>
      <c r="H3913" s="27" t="s">
        <v>35</v>
      </c>
      <c r="I3913" s="27" t="s">
        <v>43</v>
      </c>
      <c r="J3913" s="28" t="s">
        <v>161</v>
      </c>
      <c r="K3913" s="27" t="s">
        <v>40</v>
      </c>
      <c r="L3913" s="27"/>
    </row>
    <row r="3914" customFormat="false" ht="15" hidden="false" customHeight="false" outlineLevel="0" collapsed="false">
      <c r="A3914" s="26" t="s">
        <v>12764</v>
      </c>
      <c r="B3914" s="27" t="s">
        <v>12765</v>
      </c>
      <c r="C3914" s="27" t="s">
        <v>144</v>
      </c>
      <c r="D3914" s="26"/>
      <c r="E3914" s="27"/>
      <c r="F3914" s="27"/>
      <c r="G3914" s="27" t="s">
        <v>11122</v>
      </c>
      <c r="H3914" s="27" t="s">
        <v>35</v>
      </c>
      <c r="I3914" s="27" t="s">
        <v>41</v>
      </c>
      <c r="J3914" s="28" t="s">
        <v>161</v>
      </c>
      <c r="K3914" s="27" t="s">
        <v>40</v>
      </c>
      <c r="L3914" s="27"/>
    </row>
    <row r="3915" customFormat="false" ht="15" hidden="false" customHeight="false" outlineLevel="0" collapsed="false">
      <c r="A3915" s="26" t="s">
        <v>12766</v>
      </c>
      <c r="B3915" s="27" t="s">
        <v>12767</v>
      </c>
      <c r="C3915" s="27" t="s">
        <v>370</v>
      </c>
      <c r="D3915" s="26"/>
      <c r="E3915" s="27"/>
      <c r="F3915" s="27"/>
      <c r="G3915" s="27" t="s">
        <v>11122</v>
      </c>
      <c r="H3915" s="27" t="s">
        <v>35</v>
      </c>
      <c r="I3915" s="27" t="s">
        <v>48</v>
      </c>
      <c r="J3915" s="28" t="s">
        <v>161</v>
      </c>
      <c r="K3915" s="27" t="s">
        <v>40</v>
      </c>
      <c r="L3915" s="27"/>
    </row>
    <row r="3916" customFormat="false" ht="15" hidden="false" customHeight="false" outlineLevel="0" collapsed="false">
      <c r="A3916" s="26" t="s">
        <v>12768</v>
      </c>
      <c r="B3916" s="27" t="s">
        <v>12769</v>
      </c>
      <c r="C3916" s="27" t="s">
        <v>370</v>
      </c>
      <c r="D3916" s="26"/>
      <c r="E3916" s="27"/>
      <c r="F3916" s="27"/>
      <c r="G3916" s="27" t="s">
        <v>11122</v>
      </c>
      <c r="H3916" s="27" t="s">
        <v>35</v>
      </c>
      <c r="I3916" s="27" t="s">
        <v>48</v>
      </c>
      <c r="J3916" s="28" t="s">
        <v>161</v>
      </c>
      <c r="K3916" s="27" t="s">
        <v>40</v>
      </c>
      <c r="L3916" s="27"/>
    </row>
    <row r="3917" customFormat="false" ht="15" hidden="false" customHeight="false" outlineLevel="0" collapsed="false">
      <c r="A3917" s="26" t="s">
        <v>12770</v>
      </c>
      <c r="B3917" s="27" t="s">
        <v>12771</v>
      </c>
      <c r="C3917" s="27" t="s">
        <v>370</v>
      </c>
      <c r="D3917" s="26"/>
      <c r="E3917" s="27"/>
      <c r="F3917" s="27"/>
      <c r="G3917" s="27" t="s">
        <v>11122</v>
      </c>
      <c r="H3917" s="27" t="s">
        <v>35</v>
      </c>
      <c r="I3917" s="27" t="s">
        <v>48</v>
      </c>
      <c r="J3917" s="28" t="s">
        <v>161</v>
      </c>
      <c r="K3917" s="27" t="s">
        <v>40</v>
      </c>
      <c r="L3917" s="27"/>
    </row>
    <row r="3918" customFormat="false" ht="15" hidden="false" customHeight="false" outlineLevel="0" collapsed="false">
      <c r="A3918" s="26" t="s">
        <v>12772</v>
      </c>
      <c r="B3918" s="27" t="s">
        <v>12773</v>
      </c>
      <c r="C3918" s="27" t="s">
        <v>370</v>
      </c>
      <c r="D3918" s="26"/>
      <c r="E3918" s="27"/>
      <c r="F3918" s="27"/>
      <c r="G3918" s="27" t="s">
        <v>11122</v>
      </c>
      <c r="H3918" s="27" t="s">
        <v>35</v>
      </c>
      <c r="I3918" s="27" t="s">
        <v>40</v>
      </c>
      <c r="J3918" s="28" t="s">
        <v>161</v>
      </c>
      <c r="K3918" s="27" t="s">
        <v>40</v>
      </c>
      <c r="L3918" s="27"/>
    </row>
    <row r="3919" customFormat="false" ht="15" hidden="false" customHeight="false" outlineLevel="0" collapsed="false">
      <c r="A3919" s="26" t="s">
        <v>12774</v>
      </c>
      <c r="B3919" s="27" t="s">
        <v>12775</v>
      </c>
      <c r="C3919" s="27" t="s">
        <v>144</v>
      </c>
      <c r="D3919" s="26"/>
      <c r="E3919" s="27"/>
      <c r="F3919" s="27"/>
      <c r="G3919" s="27" t="s">
        <v>11122</v>
      </c>
      <c r="H3919" s="27" t="s">
        <v>35</v>
      </c>
      <c r="I3919" s="27" t="s">
        <v>40</v>
      </c>
      <c r="J3919" s="28" t="s">
        <v>161</v>
      </c>
      <c r="K3919" s="27" t="s">
        <v>40</v>
      </c>
      <c r="L3919" s="27"/>
    </row>
    <row r="3920" customFormat="false" ht="15" hidden="false" customHeight="false" outlineLevel="0" collapsed="false">
      <c r="A3920" s="26" t="s">
        <v>12776</v>
      </c>
      <c r="B3920" s="27" t="s">
        <v>12777</v>
      </c>
      <c r="C3920" s="27" t="s">
        <v>144</v>
      </c>
      <c r="D3920" s="26"/>
      <c r="E3920" s="27"/>
      <c r="F3920" s="27"/>
      <c r="G3920" s="27" t="s">
        <v>11122</v>
      </c>
      <c r="H3920" s="27" t="s">
        <v>35</v>
      </c>
      <c r="I3920" s="27" t="s">
        <v>48</v>
      </c>
      <c r="J3920" s="28" t="s">
        <v>161</v>
      </c>
      <c r="K3920" s="27" t="s">
        <v>40</v>
      </c>
      <c r="L3920" s="27"/>
    </row>
    <row r="3921" customFormat="false" ht="15" hidden="false" customHeight="false" outlineLevel="0" collapsed="false">
      <c r="A3921" s="26" t="s">
        <v>12778</v>
      </c>
      <c r="B3921" s="27" t="s">
        <v>12779</v>
      </c>
      <c r="C3921" s="27" t="s">
        <v>144</v>
      </c>
      <c r="D3921" s="26"/>
      <c r="E3921" s="27"/>
      <c r="F3921" s="27"/>
      <c r="G3921" s="27" t="s">
        <v>11122</v>
      </c>
      <c r="H3921" s="27" t="s">
        <v>35</v>
      </c>
      <c r="I3921" s="27" t="s">
        <v>40</v>
      </c>
      <c r="J3921" s="28" t="s">
        <v>161</v>
      </c>
      <c r="K3921" s="27" t="s">
        <v>40</v>
      </c>
      <c r="L3921" s="27"/>
    </row>
    <row r="3922" customFormat="false" ht="15" hidden="false" customHeight="false" outlineLevel="0" collapsed="false">
      <c r="A3922" s="26" t="s">
        <v>12780</v>
      </c>
      <c r="B3922" s="27" t="s">
        <v>12781</v>
      </c>
      <c r="C3922" s="27" t="s">
        <v>144</v>
      </c>
      <c r="D3922" s="26"/>
      <c r="E3922" s="27"/>
      <c r="F3922" s="27"/>
      <c r="G3922" s="27" t="s">
        <v>11122</v>
      </c>
      <c r="H3922" s="27" t="s">
        <v>35</v>
      </c>
      <c r="I3922" s="27" t="s">
        <v>41</v>
      </c>
      <c r="J3922" s="28" t="s">
        <v>161</v>
      </c>
      <c r="K3922" s="27" t="s">
        <v>40</v>
      </c>
      <c r="L3922" s="27"/>
    </row>
    <row r="3923" customFormat="false" ht="15" hidden="false" customHeight="false" outlineLevel="0" collapsed="false">
      <c r="A3923" s="26" t="s">
        <v>12782</v>
      </c>
      <c r="B3923" s="27" t="s">
        <v>12783</v>
      </c>
      <c r="C3923" s="27" t="s">
        <v>144</v>
      </c>
      <c r="D3923" s="26"/>
      <c r="E3923" s="27"/>
      <c r="F3923" s="27"/>
      <c r="G3923" s="27" t="s">
        <v>11122</v>
      </c>
      <c r="H3923" s="27" t="s">
        <v>35</v>
      </c>
      <c r="I3923" s="27" t="s">
        <v>48</v>
      </c>
      <c r="J3923" s="28" t="s">
        <v>161</v>
      </c>
      <c r="K3923" s="27" t="s">
        <v>40</v>
      </c>
      <c r="L3923" s="27"/>
    </row>
    <row r="3924" customFormat="false" ht="15" hidden="false" customHeight="false" outlineLevel="0" collapsed="false">
      <c r="A3924" s="26" t="s">
        <v>12784</v>
      </c>
      <c r="B3924" s="27" t="s">
        <v>12785</v>
      </c>
      <c r="C3924" s="27" t="s">
        <v>144</v>
      </c>
      <c r="D3924" s="26"/>
      <c r="E3924" s="27"/>
      <c r="F3924" s="27"/>
      <c r="G3924" s="27" t="s">
        <v>11122</v>
      </c>
      <c r="H3924" s="27" t="s">
        <v>35</v>
      </c>
      <c r="I3924" s="27" t="s">
        <v>40</v>
      </c>
      <c r="J3924" s="28" t="s">
        <v>161</v>
      </c>
      <c r="K3924" s="27" t="s">
        <v>40</v>
      </c>
      <c r="L3924" s="27"/>
    </row>
    <row r="3925" customFormat="false" ht="15" hidden="false" customHeight="false" outlineLevel="0" collapsed="false">
      <c r="A3925" s="26" t="s">
        <v>12786</v>
      </c>
      <c r="B3925" s="27" t="s">
        <v>12787</v>
      </c>
      <c r="C3925" s="27" t="s">
        <v>144</v>
      </c>
      <c r="D3925" s="26"/>
      <c r="E3925" s="27"/>
      <c r="F3925" s="27"/>
      <c r="G3925" s="27" t="s">
        <v>11122</v>
      </c>
      <c r="H3925" s="27" t="s">
        <v>35</v>
      </c>
      <c r="I3925" s="27" t="s">
        <v>48</v>
      </c>
      <c r="J3925" s="28" t="s">
        <v>161</v>
      </c>
      <c r="K3925" s="27" t="s">
        <v>40</v>
      </c>
      <c r="L3925" s="27"/>
    </row>
    <row r="3926" customFormat="false" ht="15" hidden="false" customHeight="false" outlineLevel="0" collapsed="false">
      <c r="A3926" s="26" t="s">
        <v>12788</v>
      </c>
      <c r="B3926" s="27" t="s">
        <v>12789</v>
      </c>
      <c r="C3926" s="27" t="s">
        <v>144</v>
      </c>
      <c r="D3926" s="26"/>
      <c r="E3926" s="27"/>
      <c r="F3926" s="27"/>
      <c r="G3926" s="27" t="s">
        <v>11122</v>
      </c>
      <c r="H3926" s="27" t="s">
        <v>35</v>
      </c>
      <c r="I3926" s="27" t="s">
        <v>40</v>
      </c>
      <c r="J3926" s="28" t="s">
        <v>161</v>
      </c>
      <c r="K3926" s="27" t="s">
        <v>40</v>
      </c>
      <c r="L3926" s="27"/>
    </row>
    <row r="3927" customFormat="false" ht="15" hidden="false" customHeight="false" outlineLevel="0" collapsed="false">
      <c r="A3927" s="26" t="s">
        <v>12790</v>
      </c>
      <c r="B3927" s="27" t="s">
        <v>12791</v>
      </c>
      <c r="C3927" s="27" t="s">
        <v>144</v>
      </c>
      <c r="D3927" s="26"/>
      <c r="E3927" s="27"/>
      <c r="F3927" s="27"/>
      <c r="G3927" s="27" t="s">
        <v>11122</v>
      </c>
      <c r="H3927" s="27" t="s">
        <v>35</v>
      </c>
      <c r="I3927" s="27" t="s">
        <v>40</v>
      </c>
      <c r="J3927" s="28" t="s">
        <v>161</v>
      </c>
      <c r="K3927" s="27" t="s">
        <v>40</v>
      </c>
      <c r="L3927" s="27"/>
    </row>
    <row r="3928" customFormat="false" ht="15" hidden="false" customHeight="false" outlineLevel="0" collapsed="false">
      <c r="A3928" s="26" t="s">
        <v>12792</v>
      </c>
      <c r="B3928" s="27" t="s">
        <v>12793</v>
      </c>
      <c r="C3928" s="27" t="s">
        <v>144</v>
      </c>
      <c r="D3928" s="26"/>
      <c r="E3928" s="27"/>
      <c r="F3928" s="27"/>
      <c r="G3928" s="27" t="s">
        <v>11122</v>
      </c>
      <c r="H3928" s="27" t="s">
        <v>35</v>
      </c>
      <c r="I3928" s="28" t="s">
        <v>46</v>
      </c>
      <c r="J3928" s="28" t="s">
        <v>161</v>
      </c>
      <c r="K3928" s="27" t="s">
        <v>40</v>
      </c>
      <c r="L3928" s="27"/>
    </row>
    <row r="3929" customFormat="false" ht="15" hidden="false" customHeight="false" outlineLevel="0" collapsed="false">
      <c r="A3929" s="26" t="s">
        <v>12794</v>
      </c>
      <c r="B3929" s="27" t="s">
        <v>12795</v>
      </c>
      <c r="C3929" s="27" t="s">
        <v>144</v>
      </c>
      <c r="D3929" s="26"/>
      <c r="E3929" s="27"/>
      <c r="F3929" s="27"/>
      <c r="G3929" s="27" t="s">
        <v>11122</v>
      </c>
      <c r="H3929" s="27" t="s">
        <v>35</v>
      </c>
      <c r="I3929" s="27" t="s">
        <v>48</v>
      </c>
      <c r="J3929" s="28" t="s">
        <v>161</v>
      </c>
      <c r="K3929" s="27" t="s">
        <v>40</v>
      </c>
      <c r="L3929" s="27"/>
    </row>
    <row r="3930" customFormat="false" ht="15" hidden="false" customHeight="false" outlineLevel="0" collapsed="false">
      <c r="A3930" s="26" t="s">
        <v>12796</v>
      </c>
      <c r="B3930" s="27" t="s">
        <v>12797</v>
      </c>
      <c r="C3930" s="27" t="s">
        <v>144</v>
      </c>
      <c r="D3930" s="26"/>
      <c r="E3930" s="27"/>
      <c r="F3930" s="27"/>
      <c r="G3930" s="27" t="s">
        <v>11122</v>
      </c>
      <c r="H3930" s="27" t="s">
        <v>35</v>
      </c>
      <c r="I3930" s="27" t="s">
        <v>40</v>
      </c>
      <c r="J3930" s="28" t="s">
        <v>161</v>
      </c>
      <c r="K3930" s="27" t="s">
        <v>40</v>
      </c>
      <c r="L3930" s="27"/>
    </row>
    <row r="3931" customFormat="false" ht="15" hidden="false" customHeight="false" outlineLevel="0" collapsed="false">
      <c r="A3931" s="26" t="s">
        <v>12798</v>
      </c>
      <c r="B3931" s="27" t="s">
        <v>12799</v>
      </c>
      <c r="C3931" s="27" t="s">
        <v>144</v>
      </c>
      <c r="D3931" s="26"/>
      <c r="E3931" s="27"/>
      <c r="F3931" s="27"/>
      <c r="G3931" s="27" t="s">
        <v>11122</v>
      </c>
      <c r="H3931" s="27" t="s">
        <v>35</v>
      </c>
      <c r="I3931" s="27" t="s">
        <v>48</v>
      </c>
      <c r="J3931" s="28" t="s">
        <v>161</v>
      </c>
      <c r="K3931" s="27" t="s">
        <v>40</v>
      </c>
      <c r="L3931" s="27"/>
    </row>
    <row r="3932" customFormat="false" ht="15" hidden="false" customHeight="false" outlineLevel="0" collapsed="false">
      <c r="A3932" s="26" t="s">
        <v>12800</v>
      </c>
      <c r="B3932" s="27" t="s">
        <v>12801</v>
      </c>
      <c r="C3932" s="27" t="s">
        <v>144</v>
      </c>
      <c r="D3932" s="26"/>
      <c r="E3932" s="27"/>
      <c r="F3932" s="27"/>
      <c r="G3932" s="27" t="s">
        <v>11122</v>
      </c>
      <c r="H3932" s="27" t="s">
        <v>35</v>
      </c>
      <c r="I3932" s="27" t="s">
        <v>40</v>
      </c>
      <c r="J3932" s="28" t="s">
        <v>161</v>
      </c>
      <c r="K3932" s="27" t="s">
        <v>40</v>
      </c>
      <c r="L3932" s="27"/>
    </row>
    <row r="3933" customFormat="false" ht="15" hidden="false" customHeight="false" outlineLevel="0" collapsed="false">
      <c r="A3933" s="26" t="s">
        <v>12802</v>
      </c>
      <c r="B3933" s="27" t="s">
        <v>12803</v>
      </c>
      <c r="C3933" s="27" t="s">
        <v>144</v>
      </c>
      <c r="D3933" s="26"/>
      <c r="E3933" s="27"/>
      <c r="F3933" s="27"/>
      <c r="G3933" s="27" t="s">
        <v>11122</v>
      </c>
      <c r="H3933" s="27" t="s">
        <v>35</v>
      </c>
      <c r="I3933" s="27" t="s">
        <v>48</v>
      </c>
      <c r="J3933" s="28" t="s">
        <v>161</v>
      </c>
      <c r="K3933" s="27" t="s">
        <v>40</v>
      </c>
      <c r="L3933" s="27"/>
    </row>
    <row r="3934" customFormat="false" ht="15" hidden="false" customHeight="false" outlineLevel="0" collapsed="false">
      <c r="A3934" s="26" t="s">
        <v>12804</v>
      </c>
      <c r="B3934" s="27" t="s">
        <v>12805</v>
      </c>
      <c r="C3934" s="27" t="s">
        <v>144</v>
      </c>
      <c r="D3934" s="26"/>
      <c r="E3934" s="27"/>
      <c r="F3934" s="27"/>
      <c r="G3934" s="27" t="s">
        <v>11122</v>
      </c>
      <c r="H3934" s="27" t="s">
        <v>35</v>
      </c>
      <c r="I3934" s="27" t="s">
        <v>48</v>
      </c>
      <c r="J3934" s="28" t="s">
        <v>161</v>
      </c>
      <c r="K3934" s="27" t="s">
        <v>40</v>
      </c>
      <c r="L3934" s="27"/>
    </row>
    <row r="3935" customFormat="false" ht="15" hidden="false" customHeight="false" outlineLevel="0" collapsed="false">
      <c r="A3935" s="26" t="s">
        <v>12806</v>
      </c>
      <c r="B3935" s="27" t="s">
        <v>12807</v>
      </c>
      <c r="C3935" s="27" t="s">
        <v>144</v>
      </c>
      <c r="D3935" s="26"/>
      <c r="E3935" s="27"/>
      <c r="F3935" s="27"/>
      <c r="G3935" s="27" t="s">
        <v>11122</v>
      </c>
      <c r="H3935" s="27" t="s">
        <v>35</v>
      </c>
      <c r="I3935" s="27" t="s">
        <v>48</v>
      </c>
      <c r="J3935" s="28" t="s">
        <v>161</v>
      </c>
      <c r="K3935" s="27" t="s">
        <v>40</v>
      </c>
      <c r="L3935" s="27"/>
    </row>
    <row r="3936" customFormat="false" ht="15" hidden="false" customHeight="false" outlineLevel="0" collapsed="false">
      <c r="A3936" s="26" t="s">
        <v>12808</v>
      </c>
      <c r="B3936" s="27" t="s">
        <v>12809</v>
      </c>
      <c r="C3936" s="27" t="s">
        <v>144</v>
      </c>
      <c r="D3936" s="26"/>
      <c r="E3936" s="27"/>
      <c r="F3936" s="27"/>
      <c r="G3936" s="27" t="s">
        <v>11122</v>
      </c>
      <c r="H3936" s="27" t="s">
        <v>35</v>
      </c>
      <c r="I3936" s="27" t="s">
        <v>48</v>
      </c>
      <c r="J3936" s="28" t="s">
        <v>161</v>
      </c>
      <c r="K3936" s="27" t="s">
        <v>40</v>
      </c>
      <c r="L3936" s="27"/>
    </row>
    <row r="3937" customFormat="false" ht="15" hidden="false" customHeight="false" outlineLevel="0" collapsed="false">
      <c r="A3937" s="26" t="s">
        <v>12810</v>
      </c>
      <c r="B3937" s="27" t="s">
        <v>12811</v>
      </c>
      <c r="C3937" s="27" t="s">
        <v>144</v>
      </c>
      <c r="D3937" s="26"/>
      <c r="E3937" s="27"/>
      <c r="F3937" s="27"/>
      <c r="G3937" s="27" t="s">
        <v>11122</v>
      </c>
      <c r="H3937" s="27" t="s">
        <v>35</v>
      </c>
      <c r="I3937" s="27" t="s">
        <v>48</v>
      </c>
      <c r="J3937" s="28" t="s">
        <v>161</v>
      </c>
      <c r="K3937" s="27" t="s">
        <v>40</v>
      </c>
      <c r="L3937" s="27"/>
    </row>
    <row r="3938" customFormat="false" ht="15" hidden="false" customHeight="false" outlineLevel="0" collapsed="false">
      <c r="A3938" s="26" t="s">
        <v>12812</v>
      </c>
      <c r="B3938" s="27" t="s">
        <v>12813</v>
      </c>
      <c r="C3938" s="27" t="s">
        <v>144</v>
      </c>
      <c r="D3938" s="26"/>
      <c r="E3938" s="27"/>
      <c r="F3938" s="27"/>
      <c r="G3938" s="27" t="s">
        <v>11122</v>
      </c>
      <c r="H3938" s="27" t="s">
        <v>35</v>
      </c>
      <c r="I3938" s="27" t="s">
        <v>41</v>
      </c>
      <c r="J3938" s="28" t="s">
        <v>161</v>
      </c>
      <c r="K3938" s="27" t="s">
        <v>40</v>
      </c>
      <c r="L3938" s="27"/>
    </row>
    <row r="3939" customFormat="false" ht="15" hidden="false" customHeight="false" outlineLevel="0" collapsed="false">
      <c r="A3939" s="26" t="s">
        <v>12814</v>
      </c>
      <c r="B3939" s="27" t="s">
        <v>12815</v>
      </c>
      <c r="C3939" s="27" t="s">
        <v>144</v>
      </c>
      <c r="D3939" s="26"/>
      <c r="E3939" s="27"/>
      <c r="F3939" s="27"/>
      <c r="G3939" s="27" t="s">
        <v>11122</v>
      </c>
      <c r="H3939" s="27" t="s">
        <v>35</v>
      </c>
      <c r="I3939" s="27" t="s">
        <v>48</v>
      </c>
      <c r="J3939" s="28" t="s">
        <v>161</v>
      </c>
      <c r="K3939" s="27" t="s">
        <v>40</v>
      </c>
      <c r="L3939" s="27"/>
    </row>
    <row r="3940" customFormat="false" ht="15" hidden="false" customHeight="false" outlineLevel="0" collapsed="false">
      <c r="A3940" s="26" t="s">
        <v>12816</v>
      </c>
      <c r="B3940" s="27" t="s">
        <v>12817</v>
      </c>
      <c r="C3940" s="27" t="s">
        <v>144</v>
      </c>
      <c r="D3940" s="26"/>
      <c r="E3940" s="27"/>
      <c r="F3940" s="27"/>
      <c r="G3940" s="27" t="s">
        <v>11122</v>
      </c>
      <c r="H3940" s="27" t="s">
        <v>35</v>
      </c>
      <c r="I3940" s="27" t="s">
        <v>40</v>
      </c>
      <c r="J3940" s="28" t="s">
        <v>161</v>
      </c>
      <c r="K3940" s="27" t="s">
        <v>40</v>
      </c>
      <c r="L3940" s="27"/>
    </row>
    <row r="3941" customFormat="false" ht="15" hidden="false" customHeight="false" outlineLevel="0" collapsed="false">
      <c r="A3941" s="26" t="s">
        <v>12818</v>
      </c>
      <c r="B3941" s="27" t="s">
        <v>12819</v>
      </c>
      <c r="C3941" s="27" t="s">
        <v>144</v>
      </c>
      <c r="D3941" s="26"/>
      <c r="E3941" s="27"/>
      <c r="F3941" s="27"/>
      <c r="G3941" s="27" t="s">
        <v>11122</v>
      </c>
      <c r="H3941" s="27" t="s">
        <v>35</v>
      </c>
      <c r="I3941" s="27" t="s">
        <v>38</v>
      </c>
      <c r="J3941" s="28" t="s">
        <v>161</v>
      </c>
      <c r="K3941" s="27" t="s">
        <v>40</v>
      </c>
      <c r="L3941" s="27"/>
    </row>
    <row r="3942" customFormat="false" ht="15" hidden="false" customHeight="false" outlineLevel="0" collapsed="false">
      <c r="A3942" s="26" t="s">
        <v>12820</v>
      </c>
      <c r="B3942" s="27" t="s">
        <v>12821</v>
      </c>
      <c r="C3942" s="27" t="s">
        <v>144</v>
      </c>
      <c r="D3942" s="26"/>
      <c r="E3942" s="27"/>
      <c r="F3942" s="27"/>
      <c r="G3942" s="27" t="s">
        <v>11122</v>
      </c>
      <c r="H3942" s="27" t="s">
        <v>35</v>
      </c>
      <c r="I3942" s="27" t="s">
        <v>40</v>
      </c>
      <c r="J3942" s="28" t="s">
        <v>161</v>
      </c>
      <c r="K3942" s="27" t="s">
        <v>40</v>
      </c>
      <c r="L3942" s="27"/>
    </row>
    <row r="3943" customFormat="false" ht="15" hidden="false" customHeight="false" outlineLevel="0" collapsed="false">
      <c r="A3943" s="26" t="s">
        <v>12822</v>
      </c>
      <c r="B3943" s="27" t="s">
        <v>12823</v>
      </c>
      <c r="C3943" s="27" t="s">
        <v>144</v>
      </c>
      <c r="D3943" s="26"/>
      <c r="E3943" s="27"/>
      <c r="F3943" s="27"/>
      <c r="G3943" s="27" t="s">
        <v>11122</v>
      </c>
      <c r="H3943" s="27" t="s">
        <v>35</v>
      </c>
      <c r="I3943" s="27" t="s">
        <v>48</v>
      </c>
      <c r="J3943" s="28" t="s">
        <v>161</v>
      </c>
      <c r="K3943" s="27" t="s">
        <v>40</v>
      </c>
      <c r="L3943" s="27"/>
    </row>
    <row r="3944" customFormat="false" ht="15" hidden="false" customHeight="false" outlineLevel="0" collapsed="false">
      <c r="A3944" s="26" t="s">
        <v>12824</v>
      </c>
      <c r="B3944" s="27" t="s">
        <v>12825</v>
      </c>
      <c r="C3944" s="27" t="s">
        <v>144</v>
      </c>
      <c r="D3944" s="26"/>
      <c r="E3944" s="27"/>
      <c r="F3944" s="27"/>
      <c r="G3944" s="27" t="s">
        <v>11122</v>
      </c>
      <c r="H3944" s="27" t="s">
        <v>35</v>
      </c>
      <c r="I3944" s="27" t="s">
        <v>40</v>
      </c>
      <c r="J3944" s="28" t="s">
        <v>161</v>
      </c>
      <c r="K3944" s="27" t="s">
        <v>40</v>
      </c>
      <c r="L3944" s="27"/>
    </row>
    <row r="3945" customFormat="false" ht="15" hidden="false" customHeight="false" outlineLevel="0" collapsed="false">
      <c r="A3945" s="26" t="s">
        <v>12826</v>
      </c>
      <c r="B3945" s="27" t="s">
        <v>12827</v>
      </c>
      <c r="C3945" s="27" t="s">
        <v>144</v>
      </c>
      <c r="D3945" s="26"/>
      <c r="E3945" s="27"/>
      <c r="F3945" s="27"/>
      <c r="G3945" s="27" t="s">
        <v>11122</v>
      </c>
      <c r="H3945" s="27" t="s">
        <v>35</v>
      </c>
      <c r="I3945" s="27" t="s">
        <v>40</v>
      </c>
      <c r="J3945" s="28" t="s">
        <v>161</v>
      </c>
      <c r="K3945" s="27" t="s">
        <v>40</v>
      </c>
      <c r="L3945" s="27"/>
    </row>
    <row r="3946" customFormat="false" ht="15" hidden="false" customHeight="false" outlineLevel="0" collapsed="false">
      <c r="A3946" s="26" t="s">
        <v>12828</v>
      </c>
      <c r="B3946" s="27" t="s">
        <v>12829</v>
      </c>
      <c r="C3946" s="27" t="s">
        <v>144</v>
      </c>
      <c r="D3946" s="26"/>
      <c r="E3946" s="27"/>
      <c r="F3946" s="27"/>
      <c r="G3946" s="27" t="s">
        <v>11122</v>
      </c>
      <c r="H3946" s="27" t="s">
        <v>35</v>
      </c>
      <c r="I3946" s="27" t="s">
        <v>40</v>
      </c>
      <c r="J3946" s="28" t="s">
        <v>161</v>
      </c>
      <c r="K3946" s="27" t="s">
        <v>40</v>
      </c>
      <c r="L3946" s="27"/>
    </row>
    <row r="3947" customFormat="false" ht="15" hidden="false" customHeight="false" outlineLevel="0" collapsed="false">
      <c r="A3947" s="26" t="s">
        <v>12830</v>
      </c>
      <c r="B3947" s="27" t="s">
        <v>12831</v>
      </c>
      <c r="C3947" s="27" t="s">
        <v>144</v>
      </c>
      <c r="D3947" s="26"/>
      <c r="E3947" s="27"/>
      <c r="F3947" s="27"/>
      <c r="G3947" s="27" t="s">
        <v>11122</v>
      </c>
      <c r="H3947" s="27" t="s">
        <v>35</v>
      </c>
      <c r="I3947" s="27" t="s">
        <v>48</v>
      </c>
      <c r="J3947" s="28" t="s">
        <v>161</v>
      </c>
      <c r="K3947" s="27" t="s">
        <v>40</v>
      </c>
      <c r="L3947" s="27"/>
    </row>
    <row r="3948" customFormat="false" ht="15" hidden="false" customHeight="false" outlineLevel="0" collapsed="false">
      <c r="A3948" s="26" t="s">
        <v>12832</v>
      </c>
      <c r="B3948" s="27" t="s">
        <v>12833</v>
      </c>
      <c r="C3948" s="27" t="s">
        <v>144</v>
      </c>
      <c r="D3948" s="26"/>
      <c r="E3948" s="27"/>
      <c r="F3948" s="27"/>
      <c r="G3948" s="27" t="s">
        <v>11122</v>
      </c>
      <c r="H3948" s="27" t="s">
        <v>35</v>
      </c>
      <c r="I3948" s="27" t="s">
        <v>37</v>
      </c>
      <c r="J3948" s="28" t="s">
        <v>161</v>
      </c>
      <c r="K3948" s="27" t="s">
        <v>40</v>
      </c>
      <c r="L3948" s="27"/>
    </row>
    <row r="3949" customFormat="false" ht="15" hidden="false" customHeight="false" outlineLevel="0" collapsed="false">
      <c r="A3949" s="26" t="s">
        <v>12834</v>
      </c>
      <c r="B3949" s="27" t="s">
        <v>12835</v>
      </c>
      <c r="C3949" s="27" t="s">
        <v>144</v>
      </c>
      <c r="D3949" s="26"/>
      <c r="E3949" s="27"/>
      <c r="F3949" s="27"/>
      <c r="G3949" s="27" t="s">
        <v>11122</v>
      </c>
      <c r="H3949" s="27" t="s">
        <v>35</v>
      </c>
      <c r="I3949" s="27" t="s">
        <v>48</v>
      </c>
      <c r="J3949" s="28" t="s">
        <v>161</v>
      </c>
      <c r="K3949" s="27" t="s">
        <v>40</v>
      </c>
      <c r="L3949" s="27"/>
    </row>
    <row r="3950" customFormat="false" ht="15" hidden="false" customHeight="false" outlineLevel="0" collapsed="false">
      <c r="A3950" s="26" t="s">
        <v>12836</v>
      </c>
      <c r="B3950" s="27" t="s">
        <v>12837</v>
      </c>
      <c r="C3950" s="27" t="s">
        <v>144</v>
      </c>
      <c r="D3950" s="26"/>
      <c r="E3950" s="27"/>
      <c r="F3950" s="27"/>
      <c r="G3950" s="27" t="s">
        <v>11122</v>
      </c>
      <c r="H3950" s="27" t="s">
        <v>35</v>
      </c>
      <c r="I3950" s="27" t="s">
        <v>48</v>
      </c>
      <c r="J3950" s="28" t="s">
        <v>161</v>
      </c>
      <c r="K3950" s="27" t="s">
        <v>40</v>
      </c>
      <c r="L3950" s="27"/>
    </row>
    <row r="3951" customFormat="false" ht="15" hidden="false" customHeight="false" outlineLevel="0" collapsed="false">
      <c r="A3951" s="26" t="s">
        <v>12838</v>
      </c>
      <c r="B3951" s="27" t="s">
        <v>12839</v>
      </c>
      <c r="C3951" s="27" t="s">
        <v>144</v>
      </c>
      <c r="D3951" s="26"/>
      <c r="E3951" s="27"/>
      <c r="F3951" s="27"/>
      <c r="G3951" s="27" t="s">
        <v>11122</v>
      </c>
      <c r="H3951" s="27" t="s">
        <v>35</v>
      </c>
      <c r="I3951" s="27" t="s">
        <v>37</v>
      </c>
      <c r="J3951" s="28" t="s">
        <v>161</v>
      </c>
      <c r="K3951" s="27" t="s">
        <v>40</v>
      </c>
      <c r="L3951" s="27"/>
    </row>
    <row r="3952" customFormat="false" ht="15" hidden="false" customHeight="false" outlineLevel="0" collapsed="false">
      <c r="A3952" s="26" t="s">
        <v>12840</v>
      </c>
      <c r="B3952" s="27" t="s">
        <v>12841</v>
      </c>
      <c r="C3952" s="27" t="s">
        <v>144</v>
      </c>
      <c r="D3952" s="26"/>
      <c r="E3952" s="27"/>
      <c r="F3952" s="27"/>
      <c r="G3952" s="27" t="s">
        <v>11122</v>
      </c>
      <c r="H3952" s="27" t="s">
        <v>35</v>
      </c>
      <c r="I3952" s="27" t="s">
        <v>40</v>
      </c>
      <c r="J3952" s="28" t="s">
        <v>161</v>
      </c>
      <c r="K3952" s="27" t="s">
        <v>40</v>
      </c>
      <c r="L3952" s="27"/>
    </row>
    <row r="3953" customFormat="false" ht="15" hidden="false" customHeight="false" outlineLevel="0" collapsed="false">
      <c r="A3953" s="26" t="s">
        <v>12842</v>
      </c>
      <c r="B3953" s="27" t="s">
        <v>12843</v>
      </c>
      <c r="C3953" s="27" t="s">
        <v>370</v>
      </c>
      <c r="D3953" s="26"/>
      <c r="E3953" s="27"/>
      <c r="F3953" s="27"/>
      <c r="G3953" s="27" t="s">
        <v>11122</v>
      </c>
      <c r="H3953" s="27" t="s">
        <v>35</v>
      </c>
      <c r="I3953" s="28" t="s">
        <v>46</v>
      </c>
      <c r="J3953" s="28" t="s">
        <v>161</v>
      </c>
      <c r="K3953" s="27" t="s">
        <v>40</v>
      </c>
      <c r="L3953" s="27"/>
    </row>
    <row r="3954" customFormat="false" ht="15" hidden="false" customHeight="false" outlineLevel="0" collapsed="false">
      <c r="A3954" s="26" t="s">
        <v>12844</v>
      </c>
      <c r="B3954" s="27" t="s">
        <v>12845</v>
      </c>
      <c r="C3954" s="27" t="s">
        <v>144</v>
      </c>
      <c r="D3954" s="26"/>
      <c r="E3954" s="27"/>
      <c r="F3954" s="27"/>
      <c r="G3954" s="27" t="s">
        <v>11122</v>
      </c>
      <c r="H3954" s="27" t="s">
        <v>35</v>
      </c>
      <c r="I3954" s="27" t="s">
        <v>40</v>
      </c>
      <c r="J3954" s="28" t="s">
        <v>161</v>
      </c>
      <c r="K3954" s="27" t="s">
        <v>40</v>
      </c>
      <c r="L3954" s="27"/>
    </row>
    <row r="3955" customFormat="false" ht="15" hidden="false" customHeight="false" outlineLevel="0" collapsed="false">
      <c r="A3955" s="26" t="s">
        <v>12846</v>
      </c>
      <c r="B3955" s="27" t="s">
        <v>12847</v>
      </c>
      <c r="C3955" s="27" t="s">
        <v>144</v>
      </c>
      <c r="D3955" s="26"/>
      <c r="E3955" s="27"/>
      <c r="F3955" s="27"/>
      <c r="G3955" s="27" t="s">
        <v>11122</v>
      </c>
      <c r="H3955" s="27" t="s">
        <v>35</v>
      </c>
      <c r="I3955" s="27" t="s">
        <v>40</v>
      </c>
      <c r="J3955" s="28" t="s">
        <v>161</v>
      </c>
      <c r="K3955" s="27" t="s">
        <v>40</v>
      </c>
      <c r="L3955" s="27"/>
    </row>
    <row r="3956" customFormat="false" ht="15" hidden="false" customHeight="false" outlineLevel="0" collapsed="false">
      <c r="A3956" s="26" t="s">
        <v>12848</v>
      </c>
      <c r="B3956" s="27" t="s">
        <v>12849</v>
      </c>
      <c r="C3956" s="27" t="s">
        <v>144</v>
      </c>
      <c r="D3956" s="26"/>
      <c r="E3956" s="27"/>
      <c r="F3956" s="27"/>
      <c r="G3956" s="27" t="s">
        <v>11122</v>
      </c>
      <c r="H3956" s="27" t="s">
        <v>35</v>
      </c>
      <c r="I3956" s="27" t="s">
        <v>40</v>
      </c>
      <c r="J3956" s="28" t="s">
        <v>161</v>
      </c>
      <c r="K3956" s="27" t="s">
        <v>40</v>
      </c>
      <c r="L3956" s="27"/>
    </row>
    <row r="3957" customFormat="false" ht="15" hidden="false" customHeight="false" outlineLevel="0" collapsed="false">
      <c r="A3957" s="26" t="s">
        <v>12850</v>
      </c>
      <c r="B3957" s="27" t="s">
        <v>12851</v>
      </c>
      <c r="C3957" s="27" t="s">
        <v>370</v>
      </c>
      <c r="D3957" s="26"/>
      <c r="E3957" s="27"/>
      <c r="F3957" s="27"/>
      <c r="G3957" s="27" t="s">
        <v>11122</v>
      </c>
      <c r="H3957" s="27" t="s">
        <v>35</v>
      </c>
      <c r="I3957" s="28" t="s">
        <v>46</v>
      </c>
      <c r="J3957" s="28" t="s">
        <v>161</v>
      </c>
      <c r="K3957" s="27" t="s">
        <v>40</v>
      </c>
      <c r="L3957" s="27"/>
    </row>
    <row r="3958" customFormat="false" ht="15" hidden="false" customHeight="false" outlineLevel="0" collapsed="false">
      <c r="A3958" s="26" t="s">
        <v>12852</v>
      </c>
      <c r="B3958" s="27" t="s">
        <v>12853</v>
      </c>
      <c r="C3958" s="27" t="s">
        <v>370</v>
      </c>
      <c r="D3958" s="26"/>
      <c r="E3958" s="27"/>
      <c r="F3958" s="27"/>
      <c r="G3958" s="27" t="s">
        <v>11122</v>
      </c>
      <c r="H3958" s="27" t="s">
        <v>35</v>
      </c>
      <c r="I3958" s="28" t="s">
        <v>46</v>
      </c>
      <c r="J3958" s="28" t="s">
        <v>161</v>
      </c>
      <c r="K3958" s="27" t="s">
        <v>40</v>
      </c>
      <c r="L3958" s="27"/>
    </row>
    <row r="3959" customFormat="false" ht="15" hidden="false" customHeight="false" outlineLevel="0" collapsed="false">
      <c r="A3959" s="26" t="s">
        <v>12854</v>
      </c>
      <c r="B3959" s="27" t="s">
        <v>12855</v>
      </c>
      <c r="C3959" s="27" t="s">
        <v>144</v>
      </c>
      <c r="D3959" s="26"/>
      <c r="E3959" s="27"/>
      <c r="F3959" s="27"/>
      <c r="G3959" s="27" t="s">
        <v>11122</v>
      </c>
      <c r="H3959" s="27" t="s">
        <v>35</v>
      </c>
      <c r="I3959" s="27" t="s">
        <v>40</v>
      </c>
      <c r="J3959" s="28" t="s">
        <v>161</v>
      </c>
      <c r="K3959" s="27" t="s">
        <v>40</v>
      </c>
      <c r="L3959" s="27"/>
    </row>
    <row r="3960" customFormat="false" ht="15" hidden="false" customHeight="false" outlineLevel="0" collapsed="false">
      <c r="A3960" s="26" t="s">
        <v>12856</v>
      </c>
      <c r="B3960" s="27" t="s">
        <v>12857</v>
      </c>
      <c r="C3960" s="27" t="s">
        <v>144</v>
      </c>
      <c r="D3960" s="26"/>
      <c r="E3960" s="27"/>
      <c r="F3960" s="27"/>
      <c r="G3960" s="27" t="s">
        <v>11122</v>
      </c>
      <c r="H3960" s="27" t="s">
        <v>35</v>
      </c>
      <c r="I3960" s="27" t="s">
        <v>40</v>
      </c>
      <c r="J3960" s="28" t="s">
        <v>161</v>
      </c>
      <c r="K3960" s="27" t="s">
        <v>40</v>
      </c>
      <c r="L3960" s="27"/>
    </row>
    <row r="3961" customFormat="false" ht="15" hidden="false" customHeight="false" outlineLevel="0" collapsed="false">
      <c r="A3961" s="26" t="s">
        <v>12858</v>
      </c>
      <c r="B3961" s="27" t="s">
        <v>12859</v>
      </c>
      <c r="C3961" s="27" t="s">
        <v>144</v>
      </c>
      <c r="D3961" s="26"/>
      <c r="E3961" s="27"/>
      <c r="F3961" s="27"/>
      <c r="G3961" s="27" t="s">
        <v>11122</v>
      </c>
      <c r="H3961" s="27" t="s">
        <v>35</v>
      </c>
      <c r="I3961" s="27" t="s">
        <v>48</v>
      </c>
      <c r="J3961" s="28" t="s">
        <v>161</v>
      </c>
      <c r="K3961" s="27" t="s">
        <v>40</v>
      </c>
      <c r="L3961" s="27"/>
    </row>
    <row r="3962" customFormat="false" ht="15" hidden="false" customHeight="false" outlineLevel="0" collapsed="false">
      <c r="A3962" s="26" t="s">
        <v>12860</v>
      </c>
      <c r="B3962" s="27" t="s">
        <v>12861</v>
      </c>
      <c r="C3962" s="27" t="s">
        <v>144</v>
      </c>
      <c r="D3962" s="26"/>
      <c r="E3962" s="27"/>
      <c r="F3962" s="27"/>
      <c r="G3962" s="27" t="s">
        <v>11122</v>
      </c>
      <c r="H3962" s="27" t="s">
        <v>35</v>
      </c>
      <c r="I3962" s="27" t="s">
        <v>40</v>
      </c>
      <c r="J3962" s="28" t="s">
        <v>161</v>
      </c>
      <c r="K3962" s="27" t="s">
        <v>40</v>
      </c>
      <c r="L3962" s="27"/>
    </row>
    <row r="3963" customFormat="false" ht="15" hidden="false" customHeight="false" outlineLevel="0" collapsed="false">
      <c r="A3963" s="26" t="s">
        <v>12862</v>
      </c>
      <c r="B3963" s="27" t="s">
        <v>12863</v>
      </c>
      <c r="C3963" s="27" t="s">
        <v>144</v>
      </c>
      <c r="D3963" s="26"/>
      <c r="E3963" s="27"/>
      <c r="F3963" s="27"/>
      <c r="G3963" s="27" t="s">
        <v>11122</v>
      </c>
      <c r="H3963" s="27" t="s">
        <v>35</v>
      </c>
      <c r="I3963" s="27" t="s">
        <v>40</v>
      </c>
      <c r="J3963" s="28" t="s">
        <v>161</v>
      </c>
      <c r="K3963" s="27" t="s">
        <v>40</v>
      </c>
      <c r="L3963" s="27"/>
    </row>
    <row r="3964" customFormat="false" ht="15" hidden="false" customHeight="false" outlineLevel="0" collapsed="false">
      <c r="A3964" s="26" t="s">
        <v>12864</v>
      </c>
      <c r="B3964" s="27" t="s">
        <v>12865</v>
      </c>
      <c r="C3964" s="27" t="s">
        <v>144</v>
      </c>
      <c r="D3964" s="26"/>
      <c r="E3964" s="27"/>
      <c r="F3964" s="27"/>
      <c r="G3964" s="27" t="s">
        <v>11122</v>
      </c>
      <c r="H3964" s="27" t="s">
        <v>35</v>
      </c>
      <c r="I3964" s="27" t="s">
        <v>40</v>
      </c>
      <c r="J3964" s="28" t="s">
        <v>161</v>
      </c>
      <c r="K3964" s="27" t="s">
        <v>40</v>
      </c>
      <c r="L3964" s="27"/>
    </row>
    <row r="3965" customFormat="false" ht="15" hidden="false" customHeight="false" outlineLevel="0" collapsed="false">
      <c r="A3965" s="26" t="s">
        <v>12866</v>
      </c>
      <c r="B3965" s="27" t="s">
        <v>12867</v>
      </c>
      <c r="C3965" s="27" t="s">
        <v>144</v>
      </c>
      <c r="D3965" s="26"/>
      <c r="E3965" s="27"/>
      <c r="F3965" s="27"/>
      <c r="G3965" s="27" t="s">
        <v>11122</v>
      </c>
      <c r="H3965" s="27" t="s">
        <v>35</v>
      </c>
      <c r="I3965" s="27" t="s">
        <v>48</v>
      </c>
      <c r="J3965" s="28" t="s">
        <v>161</v>
      </c>
      <c r="K3965" s="27" t="s">
        <v>40</v>
      </c>
      <c r="L3965" s="27"/>
    </row>
    <row r="3966" customFormat="false" ht="15" hidden="false" customHeight="false" outlineLevel="0" collapsed="false">
      <c r="A3966" s="26" t="s">
        <v>12868</v>
      </c>
      <c r="B3966" s="27" t="s">
        <v>12869</v>
      </c>
      <c r="C3966" s="27" t="s">
        <v>144</v>
      </c>
      <c r="D3966" s="26"/>
      <c r="E3966" s="27"/>
      <c r="F3966" s="27"/>
      <c r="G3966" s="27" t="s">
        <v>11122</v>
      </c>
      <c r="H3966" s="27" t="s">
        <v>35</v>
      </c>
      <c r="I3966" s="27" t="s">
        <v>48</v>
      </c>
      <c r="J3966" s="28" t="s">
        <v>161</v>
      </c>
      <c r="K3966" s="27" t="s">
        <v>40</v>
      </c>
      <c r="L3966" s="27"/>
    </row>
    <row r="3967" customFormat="false" ht="15" hidden="false" customHeight="false" outlineLevel="0" collapsed="false">
      <c r="A3967" s="26" t="s">
        <v>12870</v>
      </c>
      <c r="B3967" s="27" t="s">
        <v>12871</v>
      </c>
      <c r="C3967" s="27" t="s">
        <v>144</v>
      </c>
      <c r="D3967" s="26"/>
      <c r="E3967" s="27"/>
      <c r="F3967" s="27"/>
      <c r="G3967" s="27" t="s">
        <v>11122</v>
      </c>
      <c r="H3967" s="27" t="s">
        <v>35</v>
      </c>
      <c r="I3967" s="27" t="s">
        <v>41</v>
      </c>
      <c r="J3967" s="28" t="s">
        <v>161</v>
      </c>
      <c r="K3967" s="27" t="s">
        <v>40</v>
      </c>
      <c r="L3967" s="27"/>
    </row>
    <row r="3968" customFormat="false" ht="15" hidden="false" customHeight="false" outlineLevel="0" collapsed="false">
      <c r="A3968" s="26" t="s">
        <v>12872</v>
      </c>
      <c r="B3968" s="27" t="s">
        <v>12873</v>
      </c>
      <c r="C3968" s="27" t="s">
        <v>144</v>
      </c>
      <c r="D3968" s="26"/>
      <c r="E3968" s="27"/>
      <c r="F3968" s="27"/>
      <c r="G3968" s="27" t="s">
        <v>11122</v>
      </c>
      <c r="H3968" s="27" t="s">
        <v>35</v>
      </c>
      <c r="I3968" s="28" t="s">
        <v>46</v>
      </c>
      <c r="J3968" s="28" t="s">
        <v>161</v>
      </c>
      <c r="K3968" s="27" t="s">
        <v>40</v>
      </c>
      <c r="L3968" s="27"/>
    </row>
    <row r="3969" customFormat="false" ht="15" hidden="false" customHeight="false" outlineLevel="0" collapsed="false">
      <c r="A3969" s="26" t="s">
        <v>12874</v>
      </c>
      <c r="B3969" s="27" t="s">
        <v>12875</v>
      </c>
      <c r="C3969" s="27" t="s">
        <v>144</v>
      </c>
      <c r="D3969" s="26"/>
      <c r="E3969" s="27"/>
      <c r="F3969" s="27"/>
      <c r="G3969" s="27" t="s">
        <v>11122</v>
      </c>
      <c r="H3969" s="27" t="s">
        <v>35</v>
      </c>
      <c r="I3969" s="27" t="s">
        <v>48</v>
      </c>
      <c r="J3969" s="28" t="s">
        <v>161</v>
      </c>
      <c r="K3969" s="27" t="s">
        <v>40</v>
      </c>
      <c r="L3969" s="27"/>
    </row>
    <row r="3970" customFormat="false" ht="15" hidden="false" customHeight="false" outlineLevel="0" collapsed="false">
      <c r="A3970" s="26" t="s">
        <v>12876</v>
      </c>
      <c r="B3970" s="27" t="s">
        <v>12877</v>
      </c>
      <c r="C3970" s="27" t="s">
        <v>144</v>
      </c>
      <c r="D3970" s="26"/>
      <c r="E3970" s="27"/>
      <c r="F3970" s="27"/>
      <c r="G3970" s="27" t="s">
        <v>11122</v>
      </c>
      <c r="H3970" s="27" t="s">
        <v>35</v>
      </c>
      <c r="I3970" s="27" t="s">
        <v>49</v>
      </c>
      <c r="J3970" s="28" t="s">
        <v>161</v>
      </c>
      <c r="K3970" s="27" t="s">
        <v>40</v>
      </c>
      <c r="L3970" s="27"/>
    </row>
    <row r="3971" customFormat="false" ht="15" hidden="false" customHeight="false" outlineLevel="0" collapsed="false">
      <c r="A3971" s="26" t="s">
        <v>12878</v>
      </c>
      <c r="B3971" s="27" t="s">
        <v>12879</v>
      </c>
      <c r="C3971" s="27" t="s">
        <v>144</v>
      </c>
      <c r="D3971" s="26"/>
      <c r="E3971" s="27"/>
      <c r="F3971" s="27"/>
      <c r="G3971" s="27" t="s">
        <v>11122</v>
      </c>
      <c r="H3971" s="27" t="s">
        <v>35</v>
      </c>
      <c r="I3971" s="27" t="s">
        <v>43</v>
      </c>
      <c r="J3971" s="28" t="s">
        <v>161</v>
      </c>
      <c r="K3971" s="27" t="s">
        <v>40</v>
      </c>
      <c r="L3971" s="27"/>
    </row>
    <row r="3972" customFormat="false" ht="15" hidden="false" customHeight="false" outlineLevel="0" collapsed="false">
      <c r="A3972" s="26" t="s">
        <v>12880</v>
      </c>
      <c r="B3972" s="27" t="s">
        <v>12881</v>
      </c>
      <c r="C3972" s="27" t="s">
        <v>144</v>
      </c>
      <c r="D3972" s="26"/>
      <c r="E3972" s="27"/>
      <c r="F3972" s="27"/>
      <c r="G3972" s="27" t="s">
        <v>11122</v>
      </c>
      <c r="H3972" s="27" t="s">
        <v>35</v>
      </c>
      <c r="I3972" s="27" t="s">
        <v>40</v>
      </c>
      <c r="J3972" s="28" t="s">
        <v>161</v>
      </c>
      <c r="K3972" s="27" t="s">
        <v>40</v>
      </c>
      <c r="L3972" s="27"/>
    </row>
    <row r="3973" customFormat="false" ht="15" hidden="false" customHeight="false" outlineLevel="0" collapsed="false">
      <c r="A3973" s="26" t="s">
        <v>12882</v>
      </c>
      <c r="B3973" s="27" t="s">
        <v>12883</v>
      </c>
      <c r="C3973" s="27" t="s">
        <v>144</v>
      </c>
      <c r="D3973" s="26"/>
      <c r="E3973" s="27"/>
      <c r="F3973" s="27"/>
      <c r="G3973" s="27" t="s">
        <v>11122</v>
      </c>
      <c r="H3973" s="27" t="s">
        <v>35</v>
      </c>
      <c r="I3973" s="27" t="s">
        <v>40</v>
      </c>
      <c r="J3973" s="28" t="s">
        <v>161</v>
      </c>
      <c r="K3973" s="27" t="s">
        <v>40</v>
      </c>
      <c r="L3973" s="27"/>
    </row>
    <row r="3974" customFormat="false" ht="15" hidden="false" customHeight="false" outlineLevel="0" collapsed="false">
      <c r="A3974" s="26" t="s">
        <v>12884</v>
      </c>
      <c r="B3974" s="27" t="s">
        <v>12885</v>
      </c>
      <c r="C3974" s="27" t="s">
        <v>144</v>
      </c>
      <c r="D3974" s="26"/>
      <c r="E3974" s="27"/>
      <c r="F3974" s="27"/>
      <c r="G3974" s="27" t="s">
        <v>11122</v>
      </c>
      <c r="H3974" s="27" t="s">
        <v>35</v>
      </c>
      <c r="I3974" s="27" t="s">
        <v>40</v>
      </c>
      <c r="J3974" s="28" t="s">
        <v>161</v>
      </c>
      <c r="K3974" s="27" t="s">
        <v>40</v>
      </c>
      <c r="L3974" s="27"/>
    </row>
    <row r="3975" customFormat="false" ht="15" hidden="false" customHeight="false" outlineLevel="0" collapsed="false">
      <c r="A3975" s="26" t="s">
        <v>12886</v>
      </c>
      <c r="B3975" s="27" t="s">
        <v>12887</v>
      </c>
      <c r="C3975" s="27" t="s">
        <v>1845</v>
      </c>
      <c r="D3975" s="26"/>
      <c r="E3975" s="27"/>
      <c r="F3975" s="27"/>
      <c r="G3975" s="27" t="s">
        <v>11122</v>
      </c>
      <c r="H3975" s="27" t="s">
        <v>35</v>
      </c>
      <c r="I3975" s="27" t="s">
        <v>40</v>
      </c>
      <c r="J3975" s="28" t="s">
        <v>161</v>
      </c>
      <c r="K3975" s="27" t="s">
        <v>40</v>
      </c>
      <c r="L3975" s="27"/>
    </row>
    <row r="3976" customFormat="false" ht="15" hidden="false" customHeight="false" outlineLevel="0" collapsed="false">
      <c r="A3976" s="26" t="s">
        <v>12888</v>
      </c>
      <c r="B3976" s="27" t="s">
        <v>12889</v>
      </c>
      <c r="C3976" s="27" t="s">
        <v>1845</v>
      </c>
      <c r="D3976" s="26"/>
      <c r="E3976" s="27"/>
      <c r="F3976" s="27"/>
      <c r="G3976" s="27" t="s">
        <v>11122</v>
      </c>
      <c r="H3976" s="27" t="s">
        <v>35</v>
      </c>
      <c r="I3976" s="27" t="s">
        <v>40</v>
      </c>
      <c r="J3976" s="28" t="s">
        <v>161</v>
      </c>
      <c r="K3976" s="27" t="s">
        <v>40</v>
      </c>
      <c r="L3976" s="27"/>
    </row>
    <row r="3977" customFormat="false" ht="15" hidden="false" customHeight="false" outlineLevel="0" collapsed="false">
      <c r="A3977" s="26" t="s">
        <v>12890</v>
      </c>
      <c r="B3977" s="27" t="s">
        <v>12891</v>
      </c>
      <c r="C3977" s="27" t="s">
        <v>144</v>
      </c>
      <c r="D3977" s="26"/>
      <c r="E3977" s="27"/>
      <c r="F3977" s="27"/>
      <c r="G3977" s="27" t="s">
        <v>11122</v>
      </c>
      <c r="H3977" s="27" t="s">
        <v>35</v>
      </c>
      <c r="I3977" s="27" t="s">
        <v>48</v>
      </c>
      <c r="J3977" s="28" t="s">
        <v>161</v>
      </c>
      <c r="K3977" s="27" t="s">
        <v>40</v>
      </c>
      <c r="L3977" s="27"/>
    </row>
    <row r="3978" customFormat="false" ht="15" hidden="false" customHeight="false" outlineLevel="0" collapsed="false">
      <c r="A3978" s="26" t="s">
        <v>12892</v>
      </c>
      <c r="B3978" s="27" t="s">
        <v>12893</v>
      </c>
      <c r="C3978" s="27" t="s">
        <v>144</v>
      </c>
      <c r="D3978" s="26"/>
      <c r="E3978" s="27"/>
      <c r="F3978" s="27"/>
      <c r="G3978" s="27" t="s">
        <v>11122</v>
      </c>
      <c r="H3978" s="27" t="s">
        <v>35</v>
      </c>
      <c r="I3978" s="27" t="s">
        <v>48</v>
      </c>
      <c r="J3978" s="28" t="s">
        <v>161</v>
      </c>
      <c r="K3978" s="27" t="s">
        <v>40</v>
      </c>
      <c r="L3978" s="27"/>
    </row>
    <row r="3979" customFormat="false" ht="15" hidden="false" customHeight="false" outlineLevel="0" collapsed="false">
      <c r="A3979" s="26" t="s">
        <v>12894</v>
      </c>
      <c r="B3979" s="27" t="s">
        <v>12895</v>
      </c>
      <c r="C3979" s="27" t="s">
        <v>144</v>
      </c>
      <c r="D3979" s="26"/>
      <c r="E3979" s="27"/>
      <c r="F3979" s="27"/>
      <c r="G3979" s="27" t="s">
        <v>11122</v>
      </c>
      <c r="H3979" s="27" t="s">
        <v>35</v>
      </c>
      <c r="I3979" s="27" t="s">
        <v>40</v>
      </c>
      <c r="J3979" s="28" t="s">
        <v>161</v>
      </c>
      <c r="K3979" s="27" t="s">
        <v>40</v>
      </c>
      <c r="L3979" s="27"/>
    </row>
    <row r="3980" customFormat="false" ht="15" hidden="false" customHeight="false" outlineLevel="0" collapsed="false">
      <c r="A3980" s="26" t="s">
        <v>12896</v>
      </c>
      <c r="B3980" s="27" t="s">
        <v>12897</v>
      </c>
      <c r="C3980" s="27" t="s">
        <v>144</v>
      </c>
      <c r="D3980" s="26"/>
      <c r="E3980" s="27"/>
      <c r="F3980" s="27"/>
      <c r="G3980" s="27" t="s">
        <v>11122</v>
      </c>
      <c r="H3980" s="27" t="s">
        <v>35</v>
      </c>
      <c r="I3980" s="27" t="s">
        <v>40</v>
      </c>
      <c r="J3980" s="28" t="s">
        <v>161</v>
      </c>
      <c r="K3980" s="27" t="s">
        <v>40</v>
      </c>
      <c r="L3980" s="27"/>
    </row>
    <row r="3981" customFormat="false" ht="15" hidden="false" customHeight="false" outlineLevel="0" collapsed="false">
      <c r="A3981" s="26" t="s">
        <v>12898</v>
      </c>
      <c r="B3981" s="27" t="s">
        <v>12899</v>
      </c>
      <c r="C3981" s="27" t="s">
        <v>144</v>
      </c>
      <c r="D3981" s="26"/>
      <c r="E3981" s="27"/>
      <c r="F3981" s="27"/>
      <c r="G3981" s="27" t="s">
        <v>11122</v>
      </c>
      <c r="H3981" s="27" t="s">
        <v>35</v>
      </c>
      <c r="I3981" s="27" t="s">
        <v>40</v>
      </c>
      <c r="J3981" s="28" t="s">
        <v>161</v>
      </c>
      <c r="K3981" s="27" t="s">
        <v>40</v>
      </c>
      <c r="L3981" s="27"/>
    </row>
    <row r="3982" customFormat="false" ht="15" hidden="false" customHeight="false" outlineLevel="0" collapsed="false">
      <c r="A3982" s="26" t="s">
        <v>12900</v>
      </c>
      <c r="B3982" s="27" t="s">
        <v>12901</v>
      </c>
      <c r="C3982" s="27" t="s">
        <v>144</v>
      </c>
      <c r="D3982" s="26"/>
      <c r="E3982" s="27"/>
      <c r="F3982" s="27"/>
      <c r="G3982" s="27" t="s">
        <v>11122</v>
      </c>
      <c r="H3982" s="27" t="s">
        <v>35</v>
      </c>
      <c r="I3982" s="27" t="s">
        <v>40</v>
      </c>
      <c r="J3982" s="28" t="s">
        <v>161</v>
      </c>
      <c r="K3982" s="27" t="s">
        <v>40</v>
      </c>
      <c r="L3982" s="27"/>
    </row>
    <row r="3983" customFormat="false" ht="15" hidden="false" customHeight="false" outlineLevel="0" collapsed="false">
      <c r="A3983" s="26" t="s">
        <v>12902</v>
      </c>
      <c r="B3983" s="27" t="s">
        <v>12903</v>
      </c>
      <c r="C3983" s="27" t="s">
        <v>144</v>
      </c>
      <c r="D3983" s="26"/>
      <c r="E3983" s="27"/>
      <c r="F3983" s="27"/>
      <c r="G3983" s="27" t="s">
        <v>11122</v>
      </c>
      <c r="H3983" s="27" t="s">
        <v>35</v>
      </c>
      <c r="I3983" s="27" t="s">
        <v>40</v>
      </c>
      <c r="J3983" s="28" t="s">
        <v>161</v>
      </c>
      <c r="K3983" s="27" t="s">
        <v>40</v>
      </c>
      <c r="L3983" s="27"/>
    </row>
    <row r="3984" customFormat="false" ht="15" hidden="false" customHeight="false" outlineLevel="0" collapsed="false">
      <c r="A3984" s="26" t="s">
        <v>12904</v>
      </c>
      <c r="B3984" s="27" t="s">
        <v>12905</v>
      </c>
      <c r="C3984" s="27" t="s">
        <v>144</v>
      </c>
      <c r="D3984" s="26"/>
      <c r="E3984" s="27"/>
      <c r="F3984" s="27"/>
      <c r="G3984" s="27" t="s">
        <v>11122</v>
      </c>
      <c r="H3984" s="27" t="s">
        <v>35</v>
      </c>
      <c r="I3984" s="27" t="s">
        <v>40</v>
      </c>
      <c r="J3984" s="28" t="s">
        <v>161</v>
      </c>
      <c r="K3984" s="27" t="s">
        <v>40</v>
      </c>
      <c r="L3984" s="27"/>
    </row>
    <row r="3985" customFormat="false" ht="15" hidden="false" customHeight="false" outlineLevel="0" collapsed="false">
      <c r="A3985" s="26" t="s">
        <v>12906</v>
      </c>
      <c r="B3985" s="27" t="s">
        <v>12907</v>
      </c>
      <c r="C3985" s="27" t="s">
        <v>144</v>
      </c>
      <c r="D3985" s="26"/>
      <c r="E3985" s="27"/>
      <c r="F3985" s="27"/>
      <c r="G3985" s="27" t="s">
        <v>11122</v>
      </c>
      <c r="H3985" s="27" t="s">
        <v>35</v>
      </c>
      <c r="I3985" s="27" t="s">
        <v>40</v>
      </c>
      <c r="J3985" s="28" t="s">
        <v>161</v>
      </c>
      <c r="K3985" s="27" t="s">
        <v>40</v>
      </c>
      <c r="L3985" s="27"/>
    </row>
    <row r="3986" customFormat="false" ht="15" hidden="false" customHeight="false" outlineLevel="0" collapsed="false">
      <c r="A3986" s="26" t="s">
        <v>12908</v>
      </c>
      <c r="B3986" s="27" t="s">
        <v>12909</v>
      </c>
      <c r="C3986" s="27" t="s">
        <v>144</v>
      </c>
      <c r="D3986" s="26"/>
      <c r="E3986" s="27"/>
      <c r="F3986" s="27"/>
      <c r="G3986" s="27" t="s">
        <v>11122</v>
      </c>
      <c r="H3986" s="27" t="s">
        <v>35</v>
      </c>
      <c r="I3986" s="27" t="s">
        <v>47</v>
      </c>
      <c r="J3986" s="28" t="s">
        <v>161</v>
      </c>
      <c r="K3986" s="27" t="s">
        <v>40</v>
      </c>
      <c r="L3986" s="27"/>
    </row>
    <row r="3987" customFormat="false" ht="15" hidden="false" customHeight="false" outlineLevel="0" collapsed="false">
      <c r="A3987" s="26" t="s">
        <v>12910</v>
      </c>
      <c r="B3987" s="27" t="s">
        <v>12911</v>
      </c>
      <c r="C3987" s="27" t="s">
        <v>144</v>
      </c>
      <c r="D3987" s="26"/>
      <c r="E3987" s="27"/>
      <c r="F3987" s="27"/>
      <c r="G3987" s="27" t="s">
        <v>11122</v>
      </c>
      <c r="H3987" s="27" t="s">
        <v>35</v>
      </c>
      <c r="I3987" s="27" t="s">
        <v>48</v>
      </c>
      <c r="J3987" s="28" t="s">
        <v>161</v>
      </c>
      <c r="K3987" s="27" t="s">
        <v>40</v>
      </c>
      <c r="L3987" s="27"/>
    </row>
    <row r="3988" customFormat="false" ht="15" hidden="false" customHeight="false" outlineLevel="0" collapsed="false">
      <c r="A3988" s="26" t="s">
        <v>12912</v>
      </c>
      <c r="B3988" s="27" t="s">
        <v>12913</v>
      </c>
      <c r="C3988" s="27" t="s">
        <v>144</v>
      </c>
      <c r="D3988" s="26"/>
      <c r="E3988" s="27"/>
      <c r="F3988" s="27"/>
      <c r="G3988" s="27" t="s">
        <v>11122</v>
      </c>
      <c r="H3988" s="27" t="s">
        <v>35</v>
      </c>
      <c r="I3988" s="27" t="s">
        <v>40</v>
      </c>
      <c r="J3988" s="28" t="s">
        <v>161</v>
      </c>
      <c r="K3988" s="27" t="s">
        <v>40</v>
      </c>
      <c r="L3988" s="27"/>
    </row>
    <row r="3989" customFormat="false" ht="15" hidden="false" customHeight="false" outlineLevel="0" collapsed="false">
      <c r="A3989" s="26" t="s">
        <v>12914</v>
      </c>
      <c r="B3989" s="27" t="s">
        <v>12915</v>
      </c>
      <c r="C3989" s="27" t="s">
        <v>144</v>
      </c>
      <c r="D3989" s="26"/>
      <c r="E3989" s="27"/>
      <c r="F3989" s="27"/>
      <c r="G3989" s="27" t="s">
        <v>11122</v>
      </c>
      <c r="H3989" s="27" t="s">
        <v>35</v>
      </c>
      <c r="I3989" s="27" t="s">
        <v>39</v>
      </c>
      <c r="J3989" s="28" t="s">
        <v>161</v>
      </c>
      <c r="K3989" s="27" t="s">
        <v>40</v>
      </c>
      <c r="L3989" s="27"/>
    </row>
    <row r="3990" customFormat="false" ht="15" hidden="false" customHeight="false" outlineLevel="0" collapsed="false">
      <c r="A3990" s="26" t="s">
        <v>12916</v>
      </c>
      <c r="B3990" s="27" t="s">
        <v>12917</v>
      </c>
      <c r="C3990" s="27" t="s">
        <v>144</v>
      </c>
      <c r="D3990" s="26"/>
      <c r="E3990" s="27"/>
      <c r="F3990" s="27"/>
      <c r="G3990" s="27" t="s">
        <v>11122</v>
      </c>
      <c r="H3990" s="27" t="s">
        <v>35</v>
      </c>
      <c r="I3990" s="27" t="s">
        <v>40</v>
      </c>
      <c r="J3990" s="28" t="s">
        <v>161</v>
      </c>
      <c r="K3990" s="27" t="s">
        <v>40</v>
      </c>
      <c r="L3990" s="27"/>
    </row>
    <row r="3991" customFormat="false" ht="15" hidden="false" customHeight="false" outlineLevel="0" collapsed="false">
      <c r="A3991" s="26" t="s">
        <v>12918</v>
      </c>
      <c r="B3991" s="27" t="s">
        <v>12919</v>
      </c>
      <c r="C3991" s="27" t="s">
        <v>144</v>
      </c>
      <c r="D3991" s="26"/>
      <c r="E3991" s="27"/>
      <c r="F3991" s="27"/>
      <c r="G3991" s="27" t="s">
        <v>11122</v>
      </c>
      <c r="H3991" s="27" t="s">
        <v>35</v>
      </c>
      <c r="I3991" s="27" t="s">
        <v>40</v>
      </c>
      <c r="J3991" s="28" t="s">
        <v>161</v>
      </c>
      <c r="K3991" s="27" t="s">
        <v>40</v>
      </c>
      <c r="L3991" s="27"/>
    </row>
    <row r="3992" customFormat="false" ht="15" hidden="false" customHeight="false" outlineLevel="0" collapsed="false">
      <c r="A3992" s="26" t="s">
        <v>12920</v>
      </c>
      <c r="B3992" s="27" t="s">
        <v>12921</v>
      </c>
      <c r="C3992" s="27" t="s">
        <v>144</v>
      </c>
      <c r="D3992" s="26"/>
      <c r="E3992" s="27"/>
      <c r="F3992" s="27"/>
      <c r="G3992" s="27" t="s">
        <v>11122</v>
      </c>
      <c r="H3992" s="27" t="s">
        <v>35</v>
      </c>
      <c r="I3992" s="27" t="s">
        <v>42</v>
      </c>
      <c r="J3992" s="28" t="s">
        <v>161</v>
      </c>
      <c r="K3992" s="27" t="s">
        <v>40</v>
      </c>
      <c r="L3992" s="27"/>
    </row>
    <row r="3993" customFormat="false" ht="15" hidden="false" customHeight="false" outlineLevel="0" collapsed="false">
      <c r="A3993" s="26" t="s">
        <v>12922</v>
      </c>
      <c r="B3993" s="27" t="s">
        <v>12923</v>
      </c>
      <c r="C3993" s="27" t="s">
        <v>144</v>
      </c>
      <c r="D3993" s="26"/>
      <c r="E3993" s="27"/>
      <c r="F3993" s="27"/>
      <c r="G3993" s="27" t="s">
        <v>11122</v>
      </c>
      <c r="H3993" s="27" t="s">
        <v>35</v>
      </c>
      <c r="I3993" s="27" t="s">
        <v>40</v>
      </c>
      <c r="J3993" s="28" t="s">
        <v>161</v>
      </c>
      <c r="K3993" s="27" t="s">
        <v>40</v>
      </c>
      <c r="L3993" s="27"/>
    </row>
    <row r="3994" customFormat="false" ht="15" hidden="false" customHeight="false" outlineLevel="0" collapsed="false">
      <c r="A3994" s="26" t="s">
        <v>12924</v>
      </c>
      <c r="B3994" s="27" t="s">
        <v>12925</v>
      </c>
      <c r="C3994" s="27" t="s">
        <v>144</v>
      </c>
      <c r="D3994" s="26"/>
      <c r="E3994" s="27"/>
      <c r="F3994" s="27"/>
      <c r="G3994" s="27" t="s">
        <v>11122</v>
      </c>
      <c r="H3994" s="27" t="s">
        <v>35</v>
      </c>
      <c r="I3994" s="27" t="s">
        <v>40</v>
      </c>
      <c r="J3994" s="28" t="s">
        <v>161</v>
      </c>
      <c r="K3994" s="27" t="s">
        <v>40</v>
      </c>
      <c r="L3994" s="27"/>
    </row>
    <row r="3995" customFormat="false" ht="15" hidden="false" customHeight="false" outlineLevel="0" collapsed="false">
      <c r="A3995" s="26" t="s">
        <v>12926</v>
      </c>
      <c r="B3995" s="27" t="s">
        <v>12927</v>
      </c>
      <c r="C3995" s="27" t="s">
        <v>144</v>
      </c>
      <c r="D3995" s="26"/>
      <c r="E3995" s="27"/>
      <c r="F3995" s="27"/>
      <c r="G3995" s="27" t="s">
        <v>11122</v>
      </c>
      <c r="H3995" s="27" t="s">
        <v>35</v>
      </c>
      <c r="I3995" s="27" t="s">
        <v>40</v>
      </c>
      <c r="J3995" s="28" t="s">
        <v>161</v>
      </c>
      <c r="K3995" s="27" t="s">
        <v>40</v>
      </c>
      <c r="L3995" s="27"/>
    </row>
    <row r="3996" customFormat="false" ht="15" hidden="false" customHeight="false" outlineLevel="0" collapsed="false">
      <c r="A3996" s="26" t="s">
        <v>12928</v>
      </c>
      <c r="B3996" s="27" t="s">
        <v>12929</v>
      </c>
      <c r="C3996" s="27" t="s">
        <v>144</v>
      </c>
      <c r="D3996" s="26"/>
      <c r="E3996" s="27"/>
      <c r="F3996" s="27"/>
      <c r="G3996" s="27" t="s">
        <v>11122</v>
      </c>
      <c r="H3996" s="27" t="s">
        <v>35</v>
      </c>
      <c r="I3996" s="27" t="s">
        <v>40</v>
      </c>
      <c r="J3996" s="28" t="s">
        <v>161</v>
      </c>
      <c r="K3996" s="27" t="s">
        <v>40</v>
      </c>
      <c r="L3996" s="27"/>
    </row>
    <row r="3997" customFormat="false" ht="15" hidden="false" customHeight="false" outlineLevel="0" collapsed="false">
      <c r="A3997" s="26" t="s">
        <v>12930</v>
      </c>
      <c r="B3997" s="27" t="s">
        <v>12931</v>
      </c>
      <c r="C3997" s="27" t="s">
        <v>144</v>
      </c>
      <c r="D3997" s="26"/>
      <c r="E3997" s="27"/>
      <c r="F3997" s="27"/>
      <c r="G3997" s="27" t="s">
        <v>11122</v>
      </c>
      <c r="H3997" s="27" t="s">
        <v>35</v>
      </c>
      <c r="I3997" s="27" t="s">
        <v>4159</v>
      </c>
      <c r="J3997" s="28" t="s">
        <v>161</v>
      </c>
      <c r="K3997" s="27" t="s">
        <v>40</v>
      </c>
      <c r="L3997" s="27"/>
    </row>
    <row r="3998" customFormat="false" ht="15" hidden="false" customHeight="false" outlineLevel="0" collapsed="false">
      <c r="A3998" s="26" t="s">
        <v>12932</v>
      </c>
      <c r="B3998" s="27" t="s">
        <v>12933</v>
      </c>
      <c r="C3998" s="27" t="s">
        <v>144</v>
      </c>
      <c r="D3998" s="26"/>
      <c r="E3998" s="27"/>
      <c r="F3998" s="27"/>
      <c r="G3998" s="27" t="s">
        <v>11122</v>
      </c>
      <c r="H3998" s="27" t="s">
        <v>35</v>
      </c>
      <c r="I3998" s="27" t="s">
        <v>40</v>
      </c>
      <c r="J3998" s="28" t="s">
        <v>161</v>
      </c>
      <c r="K3998" s="27" t="s">
        <v>40</v>
      </c>
      <c r="L3998" s="27"/>
    </row>
    <row r="3999" customFormat="false" ht="15" hidden="false" customHeight="false" outlineLevel="0" collapsed="false">
      <c r="A3999" s="26" t="s">
        <v>12934</v>
      </c>
      <c r="B3999" s="27" t="s">
        <v>12935</v>
      </c>
      <c r="C3999" s="27" t="s">
        <v>144</v>
      </c>
      <c r="D3999" s="26"/>
      <c r="E3999" s="27"/>
      <c r="F3999" s="27"/>
      <c r="G3999" s="27" t="s">
        <v>11122</v>
      </c>
      <c r="H3999" s="27" t="s">
        <v>35</v>
      </c>
      <c r="I3999" s="27" t="s">
        <v>40</v>
      </c>
      <c r="J3999" s="28" t="s">
        <v>161</v>
      </c>
      <c r="K3999" s="27" t="s">
        <v>40</v>
      </c>
      <c r="L3999" s="27"/>
    </row>
    <row r="4000" customFormat="false" ht="15" hidden="false" customHeight="false" outlineLevel="0" collapsed="false">
      <c r="A4000" s="26" t="s">
        <v>12936</v>
      </c>
      <c r="B4000" s="27" t="s">
        <v>12937</v>
      </c>
      <c r="C4000" s="27" t="s">
        <v>144</v>
      </c>
      <c r="D4000" s="26"/>
      <c r="E4000" s="27"/>
      <c r="F4000" s="27"/>
      <c r="G4000" s="27" t="s">
        <v>11122</v>
      </c>
      <c r="H4000" s="27" t="s">
        <v>35</v>
      </c>
      <c r="I4000" s="27" t="s">
        <v>40</v>
      </c>
      <c r="J4000" s="28" t="s">
        <v>161</v>
      </c>
      <c r="K4000" s="27" t="s">
        <v>40</v>
      </c>
      <c r="L4000" s="27"/>
    </row>
    <row r="4001" customFormat="false" ht="15" hidden="false" customHeight="false" outlineLevel="0" collapsed="false">
      <c r="A4001" s="26" t="s">
        <v>12938</v>
      </c>
      <c r="B4001" s="27" t="s">
        <v>12939</v>
      </c>
      <c r="C4001" s="27" t="s">
        <v>144</v>
      </c>
      <c r="D4001" s="26"/>
      <c r="E4001" s="27"/>
      <c r="F4001" s="27"/>
      <c r="G4001" s="27" t="s">
        <v>11122</v>
      </c>
      <c r="H4001" s="27" t="s">
        <v>35</v>
      </c>
      <c r="I4001" s="27" t="s">
        <v>40</v>
      </c>
      <c r="J4001" s="28" t="s">
        <v>161</v>
      </c>
      <c r="K4001" s="27" t="s">
        <v>40</v>
      </c>
      <c r="L4001" s="27"/>
    </row>
    <row r="4002" customFormat="false" ht="15" hidden="false" customHeight="false" outlineLevel="0" collapsed="false">
      <c r="A4002" s="26" t="s">
        <v>12940</v>
      </c>
      <c r="B4002" s="27" t="s">
        <v>12941</v>
      </c>
      <c r="C4002" s="27" t="s">
        <v>144</v>
      </c>
      <c r="D4002" s="26"/>
      <c r="E4002" s="27"/>
      <c r="F4002" s="27"/>
      <c r="G4002" s="27" t="s">
        <v>11122</v>
      </c>
      <c r="H4002" s="27" t="s">
        <v>35</v>
      </c>
      <c r="I4002" s="27" t="s">
        <v>38</v>
      </c>
      <c r="J4002" s="28" t="s">
        <v>161</v>
      </c>
      <c r="K4002" s="27" t="s">
        <v>40</v>
      </c>
      <c r="L4002" s="27"/>
    </row>
    <row r="4003" customFormat="false" ht="15" hidden="false" customHeight="false" outlineLevel="0" collapsed="false">
      <c r="A4003" s="26" t="s">
        <v>12942</v>
      </c>
      <c r="B4003" s="27" t="s">
        <v>12943</v>
      </c>
      <c r="C4003" s="27" t="s">
        <v>144</v>
      </c>
      <c r="D4003" s="26"/>
      <c r="E4003" s="27"/>
      <c r="F4003" s="27"/>
      <c r="G4003" s="27" t="s">
        <v>11122</v>
      </c>
      <c r="H4003" s="27" t="s">
        <v>35</v>
      </c>
      <c r="I4003" s="27" t="s">
        <v>40</v>
      </c>
      <c r="J4003" s="28" t="s">
        <v>161</v>
      </c>
      <c r="K4003" s="27" t="s">
        <v>40</v>
      </c>
      <c r="L4003" s="27"/>
    </row>
    <row r="4004" customFormat="false" ht="15" hidden="false" customHeight="false" outlineLevel="0" collapsed="false">
      <c r="A4004" s="26" t="s">
        <v>12944</v>
      </c>
      <c r="B4004" s="27" t="s">
        <v>12945</v>
      </c>
      <c r="C4004" s="27" t="s">
        <v>144</v>
      </c>
      <c r="D4004" s="26"/>
      <c r="E4004" s="27"/>
      <c r="F4004" s="27"/>
      <c r="G4004" s="27" t="s">
        <v>11122</v>
      </c>
      <c r="H4004" s="27" t="s">
        <v>35</v>
      </c>
      <c r="I4004" s="27" t="s">
        <v>40</v>
      </c>
      <c r="J4004" s="28" t="s">
        <v>161</v>
      </c>
      <c r="K4004" s="27" t="s">
        <v>40</v>
      </c>
      <c r="L4004" s="27"/>
    </row>
    <row r="4005" customFormat="false" ht="15" hidden="false" customHeight="false" outlineLevel="0" collapsed="false">
      <c r="A4005" s="26" t="s">
        <v>12946</v>
      </c>
      <c r="B4005" s="27" t="s">
        <v>12947</v>
      </c>
      <c r="C4005" s="27" t="s">
        <v>144</v>
      </c>
      <c r="D4005" s="26"/>
      <c r="E4005" s="27"/>
      <c r="F4005" s="27"/>
      <c r="G4005" s="27" t="s">
        <v>11122</v>
      </c>
      <c r="H4005" s="27" t="s">
        <v>35</v>
      </c>
      <c r="I4005" s="27" t="s">
        <v>40</v>
      </c>
      <c r="J4005" s="28" t="s">
        <v>161</v>
      </c>
      <c r="K4005" s="27" t="s">
        <v>40</v>
      </c>
      <c r="L4005" s="27"/>
    </row>
    <row r="4006" customFormat="false" ht="15" hidden="false" customHeight="false" outlineLevel="0" collapsed="false">
      <c r="A4006" s="26" t="s">
        <v>12948</v>
      </c>
      <c r="B4006" s="27" t="s">
        <v>12949</v>
      </c>
      <c r="C4006" s="27" t="s">
        <v>144</v>
      </c>
      <c r="D4006" s="26"/>
      <c r="E4006" s="27"/>
      <c r="F4006" s="27"/>
      <c r="G4006" s="27" t="s">
        <v>11122</v>
      </c>
      <c r="H4006" s="27" t="s">
        <v>35</v>
      </c>
      <c r="I4006" s="27" t="s">
        <v>40</v>
      </c>
      <c r="J4006" s="28" t="s">
        <v>161</v>
      </c>
      <c r="K4006" s="27" t="s">
        <v>40</v>
      </c>
      <c r="L4006" s="27"/>
    </row>
    <row r="4007" customFormat="false" ht="15" hidden="false" customHeight="false" outlineLevel="0" collapsed="false">
      <c r="A4007" s="26" t="s">
        <v>12950</v>
      </c>
      <c r="B4007" s="27" t="s">
        <v>12951</v>
      </c>
      <c r="C4007" s="27" t="s">
        <v>144</v>
      </c>
      <c r="D4007" s="26"/>
      <c r="E4007" s="27"/>
      <c r="F4007" s="27"/>
      <c r="G4007" s="27" t="s">
        <v>11122</v>
      </c>
      <c r="H4007" s="27" t="s">
        <v>35</v>
      </c>
      <c r="I4007" s="28" t="s">
        <v>46</v>
      </c>
      <c r="J4007" s="28" t="s">
        <v>161</v>
      </c>
      <c r="K4007" s="27" t="s">
        <v>40</v>
      </c>
      <c r="L4007" s="27"/>
    </row>
    <row r="4008" customFormat="false" ht="15" hidden="false" customHeight="false" outlineLevel="0" collapsed="false">
      <c r="A4008" s="26" t="s">
        <v>12952</v>
      </c>
      <c r="B4008" s="27" t="s">
        <v>12953</v>
      </c>
      <c r="C4008" s="27" t="s">
        <v>144</v>
      </c>
      <c r="D4008" s="26"/>
      <c r="E4008" s="27"/>
      <c r="F4008" s="27"/>
      <c r="G4008" s="27" t="s">
        <v>11122</v>
      </c>
      <c r="H4008" s="27" t="s">
        <v>35</v>
      </c>
      <c r="I4008" s="27" t="s">
        <v>40</v>
      </c>
      <c r="J4008" s="28" t="s">
        <v>161</v>
      </c>
      <c r="K4008" s="27" t="s">
        <v>40</v>
      </c>
      <c r="L4008" s="27"/>
    </row>
    <row r="4009" customFormat="false" ht="15" hidden="false" customHeight="false" outlineLevel="0" collapsed="false">
      <c r="A4009" s="26" t="s">
        <v>12954</v>
      </c>
      <c r="B4009" s="27" t="s">
        <v>12955</v>
      </c>
      <c r="C4009" s="27" t="s">
        <v>144</v>
      </c>
      <c r="D4009" s="26"/>
      <c r="E4009" s="27"/>
      <c r="F4009" s="27"/>
      <c r="G4009" s="27" t="s">
        <v>11122</v>
      </c>
      <c r="H4009" s="27" t="s">
        <v>35</v>
      </c>
      <c r="I4009" s="27" t="s">
        <v>40</v>
      </c>
      <c r="J4009" s="28" t="s">
        <v>161</v>
      </c>
      <c r="K4009" s="27" t="s">
        <v>40</v>
      </c>
      <c r="L4009" s="27"/>
    </row>
    <row r="4010" customFormat="false" ht="15" hidden="false" customHeight="false" outlineLevel="0" collapsed="false">
      <c r="A4010" s="26" t="s">
        <v>12956</v>
      </c>
      <c r="B4010" s="27" t="s">
        <v>12957</v>
      </c>
      <c r="C4010" s="27" t="s">
        <v>144</v>
      </c>
      <c r="D4010" s="26"/>
      <c r="E4010" s="27"/>
      <c r="F4010" s="27"/>
      <c r="G4010" s="27" t="s">
        <v>11122</v>
      </c>
      <c r="H4010" s="27" t="s">
        <v>35</v>
      </c>
      <c r="I4010" s="27" t="s">
        <v>44</v>
      </c>
      <c r="J4010" s="28" t="s">
        <v>161</v>
      </c>
      <c r="K4010" s="27" t="s">
        <v>40</v>
      </c>
      <c r="L4010" s="27"/>
    </row>
    <row r="4011" customFormat="false" ht="15" hidden="false" customHeight="false" outlineLevel="0" collapsed="false">
      <c r="A4011" s="26" t="s">
        <v>12958</v>
      </c>
      <c r="B4011" s="27" t="s">
        <v>12959</v>
      </c>
      <c r="C4011" s="27" t="s">
        <v>144</v>
      </c>
      <c r="D4011" s="26"/>
      <c r="E4011" s="27"/>
      <c r="F4011" s="27"/>
      <c r="G4011" s="27" t="s">
        <v>11122</v>
      </c>
      <c r="H4011" s="27" t="s">
        <v>35</v>
      </c>
      <c r="I4011" s="27" t="s">
        <v>4159</v>
      </c>
      <c r="J4011" s="28" t="s">
        <v>161</v>
      </c>
      <c r="K4011" s="27" t="s">
        <v>40</v>
      </c>
      <c r="L4011" s="27"/>
    </row>
    <row r="4012" customFormat="false" ht="15" hidden="false" customHeight="false" outlineLevel="0" collapsed="false">
      <c r="A4012" s="26" t="s">
        <v>12960</v>
      </c>
      <c r="B4012" s="27" t="s">
        <v>12961</v>
      </c>
      <c r="C4012" s="27" t="s">
        <v>144</v>
      </c>
      <c r="D4012" s="26"/>
      <c r="E4012" s="27"/>
      <c r="F4012" s="27"/>
      <c r="G4012" s="27" t="s">
        <v>11122</v>
      </c>
      <c r="H4012" s="27" t="s">
        <v>35</v>
      </c>
      <c r="I4012" s="27" t="s">
        <v>38</v>
      </c>
      <c r="J4012" s="28" t="s">
        <v>161</v>
      </c>
      <c r="K4012" s="27" t="s">
        <v>40</v>
      </c>
      <c r="L4012" s="27"/>
    </row>
    <row r="4013" customFormat="false" ht="15" hidden="false" customHeight="false" outlineLevel="0" collapsed="false">
      <c r="A4013" s="26" t="s">
        <v>12962</v>
      </c>
      <c r="B4013" s="27" t="s">
        <v>12963</v>
      </c>
      <c r="C4013" s="27" t="s">
        <v>144</v>
      </c>
      <c r="D4013" s="26"/>
      <c r="E4013" s="27"/>
      <c r="F4013" s="27"/>
      <c r="G4013" s="27" t="s">
        <v>11122</v>
      </c>
      <c r="H4013" s="27" t="s">
        <v>35</v>
      </c>
      <c r="I4013" s="27" t="s">
        <v>40</v>
      </c>
      <c r="J4013" s="28" t="s">
        <v>161</v>
      </c>
      <c r="K4013" s="27" t="s">
        <v>40</v>
      </c>
      <c r="L4013" s="27"/>
    </row>
    <row r="4014" customFormat="false" ht="15" hidden="false" customHeight="false" outlineLevel="0" collapsed="false">
      <c r="A4014" s="26" t="s">
        <v>12964</v>
      </c>
      <c r="B4014" s="27" t="s">
        <v>12965</v>
      </c>
      <c r="C4014" s="27" t="s">
        <v>144</v>
      </c>
      <c r="D4014" s="26"/>
      <c r="E4014" s="27"/>
      <c r="F4014" s="27"/>
      <c r="G4014" s="27" t="s">
        <v>11122</v>
      </c>
      <c r="H4014" s="27" t="s">
        <v>35</v>
      </c>
      <c r="I4014" s="27" t="s">
        <v>40</v>
      </c>
      <c r="J4014" s="28" t="s">
        <v>161</v>
      </c>
      <c r="K4014" s="27" t="s">
        <v>40</v>
      </c>
      <c r="L4014" s="27"/>
    </row>
    <row r="4015" customFormat="false" ht="15" hidden="false" customHeight="false" outlineLevel="0" collapsed="false">
      <c r="A4015" s="26" t="s">
        <v>12966</v>
      </c>
      <c r="B4015" s="27" t="s">
        <v>12967</v>
      </c>
      <c r="C4015" s="27" t="s">
        <v>144</v>
      </c>
      <c r="D4015" s="26"/>
      <c r="E4015" s="27"/>
      <c r="F4015" s="27"/>
      <c r="G4015" s="27" t="s">
        <v>11122</v>
      </c>
      <c r="H4015" s="27" t="s">
        <v>35</v>
      </c>
      <c r="I4015" s="27" t="s">
        <v>40</v>
      </c>
      <c r="J4015" s="28" t="s">
        <v>161</v>
      </c>
      <c r="K4015" s="27" t="s">
        <v>40</v>
      </c>
      <c r="L4015" s="27"/>
    </row>
    <row r="4016" customFormat="false" ht="15" hidden="false" customHeight="false" outlineLevel="0" collapsed="false">
      <c r="A4016" s="26" t="s">
        <v>12968</v>
      </c>
      <c r="B4016" s="27" t="s">
        <v>12969</v>
      </c>
      <c r="C4016" s="27" t="s">
        <v>144</v>
      </c>
      <c r="D4016" s="26"/>
      <c r="E4016" s="27"/>
      <c r="F4016" s="27"/>
      <c r="G4016" s="27" t="s">
        <v>11122</v>
      </c>
      <c r="H4016" s="27" t="s">
        <v>35</v>
      </c>
      <c r="I4016" s="27" t="s">
        <v>40</v>
      </c>
      <c r="J4016" s="28" t="s">
        <v>161</v>
      </c>
      <c r="K4016" s="27" t="s">
        <v>40</v>
      </c>
      <c r="L4016" s="27"/>
    </row>
    <row r="4017" customFormat="false" ht="15" hidden="false" customHeight="false" outlineLevel="0" collapsed="false">
      <c r="A4017" s="26" t="s">
        <v>12970</v>
      </c>
      <c r="B4017" s="27" t="s">
        <v>12971</v>
      </c>
      <c r="C4017" s="27" t="s">
        <v>144</v>
      </c>
      <c r="D4017" s="26"/>
      <c r="E4017" s="27"/>
      <c r="F4017" s="27"/>
      <c r="G4017" s="27" t="s">
        <v>11122</v>
      </c>
      <c r="H4017" s="27" t="s">
        <v>35</v>
      </c>
      <c r="I4017" s="27" t="s">
        <v>40</v>
      </c>
      <c r="J4017" s="28" t="s">
        <v>161</v>
      </c>
      <c r="K4017" s="27" t="s">
        <v>40</v>
      </c>
      <c r="L4017" s="27"/>
    </row>
    <row r="4018" customFormat="false" ht="15" hidden="false" customHeight="false" outlineLevel="0" collapsed="false">
      <c r="A4018" s="26" t="s">
        <v>12972</v>
      </c>
      <c r="B4018" s="27" t="s">
        <v>12973</v>
      </c>
      <c r="C4018" s="27" t="s">
        <v>144</v>
      </c>
      <c r="D4018" s="26"/>
      <c r="E4018" s="27"/>
      <c r="F4018" s="27"/>
      <c r="G4018" s="27" t="s">
        <v>11122</v>
      </c>
      <c r="H4018" s="27" t="s">
        <v>35</v>
      </c>
      <c r="I4018" s="27" t="s">
        <v>40</v>
      </c>
      <c r="J4018" s="28" t="s">
        <v>161</v>
      </c>
      <c r="K4018" s="27" t="s">
        <v>40</v>
      </c>
      <c r="L4018" s="27"/>
    </row>
    <row r="4019" customFormat="false" ht="15" hidden="false" customHeight="false" outlineLevel="0" collapsed="false">
      <c r="A4019" s="26" t="s">
        <v>12974</v>
      </c>
      <c r="B4019" s="27" t="s">
        <v>12975</v>
      </c>
      <c r="C4019" s="27" t="s">
        <v>144</v>
      </c>
      <c r="D4019" s="26"/>
      <c r="E4019" s="27"/>
      <c r="F4019" s="27"/>
      <c r="G4019" s="27" t="s">
        <v>11122</v>
      </c>
      <c r="H4019" s="27" t="s">
        <v>35</v>
      </c>
      <c r="I4019" s="27" t="s">
        <v>40</v>
      </c>
      <c r="J4019" s="28" t="s">
        <v>161</v>
      </c>
      <c r="K4019" s="27" t="s">
        <v>40</v>
      </c>
      <c r="L4019" s="27"/>
    </row>
    <row r="4020" customFormat="false" ht="15" hidden="false" customHeight="false" outlineLevel="0" collapsed="false">
      <c r="A4020" s="26" t="s">
        <v>12976</v>
      </c>
      <c r="B4020" s="27" t="s">
        <v>12977</v>
      </c>
      <c r="C4020" s="27" t="s">
        <v>144</v>
      </c>
      <c r="D4020" s="26"/>
      <c r="E4020" s="27"/>
      <c r="F4020" s="27"/>
      <c r="G4020" s="27" t="s">
        <v>11122</v>
      </c>
      <c r="H4020" s="27" t="s">
        <v>35</v>
      </c>
      <c r="I4020" s="27" t="s">
        <v>42</v>
      </c>
      <c r="J4020" s="28" t="s">
        <v>161</v>
      </c>
      <c r="K4020" s="27" t="s">
        <v>40</v>
      </c>
      <c r="L4020" s="27"/>
    </row>
    <row r="4021" customFormat="false" ht="15" hidden="false" customHeight="false" outlineLevel="0" collapsed="false">
      <c r="A4021" s="26" t="s">
        <v>12978</v>
      </c>
      <c r="B4021" s="27" t="s">
        <v>12979</v>
      </c>
      <c r="C4021" s="27" t="s">
        <v>144</v>
      </c>
      <c r="D4021" s="26"/>
      <c r="E4021" s="27"/>
      <c r="F4021" s="27"/>
      <c r="G4021" s="27" t="s">
        <v>11122</v>
      </c>
      <c r="H4021" s="27" t="s">
        <v>35</v>
      </c>
      <c r="I4021" s="27" t="s">
        <v>40</v>
      </c>
      <c r="J4021" s="28" t="s">
        <v>161</v>
      </c>
      <c r="K4021" s="27" t="s">
        <v>40</v>
      </c>
      <c r="L4021" s="27"/>
    </row>
    <row r="4022" customFormat="false" ht="15" hidden="false" customHeight="false" outlineLevel="0" collapsed="false">
      <c r="A4022" s="26" t="s">
        <v>12980</v>
      </c>
      <c r="B4022" s="27" t="s">
        <v>12981</v>
      </c>
      <c r="C4022" s="27" t="s">
        <v>144</v>
      </c>
      <c r="D4022" s="26"/>
      <c r="E4022" s="27"/>
      <c r="F4022" s="27"/>
      <c r="G4022" s="27" t="s">
        <v>11122</v>
      </c>
      <c r="H4022" s="27" t="s">
        <v>35</v>
      </c>
      <c r="I4022" s="27" t="s">
        <v>38</v>
      </c>
      <c r="J4022" s="28" t="s">
        <v>161</v>
      </c>
      <c r="K4022" s="27" t="s">
        <v>40</v>
      </c>
      <c r="L4022" s="27"/>
    </row>
    <row r="4023" customFormat="false" ht="15" hidden="false" customHeight="false" outlineLevel="0" collapsed="false">
      <c r="A4023" s="26" t="s">
        <v>12982</v>
      </c>
      <c r="B4023" s="27" t="s">
        <v>12983</v>
      </c>
      <c r="C4023" s="27" t="s">
        <v>370</v>
      </c>
      <c r="D4023" s="26"/>
      <c r="E4023" s="27"/>
      <c r="F4023" s="27"/>
      <c r="G4023" s="27" t="s">
        <v>11122</v>
      </c>
      <c r="H4023" s="27" t="s">
        <v>35</v>
      </c>
      <c r="I4023" s="27" t="s">
        <v>39</v>
      </c>
      <c r="J4023" s="28" t="s">
        <v>161</v>
      </c>
      <c r="K4023" s="27" t="s">
        <v>40</v>
      </c>
      <c r="L4023" s="27"/>
    </row>
    <row r="4024" customFormat="false" ht="15" hidden="false" customHeight="false" outlineLevel="0" collapsed="false">
      <c r="A4024" s="26" t="s">
        <v>12984</v>
      </c>
      <c r="B4024" s="27" t="s">
        <v>12985</v>
      </c>
      <c r="C4024" s="27" t="s">
        <v>144</v>
      </c>
      <c r="D4024" s="26"/>
      <c r="E4024" s="27"/>
      <c r="F4024" s="27"/>
      <c r="G4024" s="27" t="s">
        <v>11122</v>
      </c>
      <c r="H4024" s="27" t="s">
        <v>35</v>
      </c>
      <c r="I4024" s="27" t="s">
        <v>40</v>
      </c>
      <c r="J4024" s="28" t="s">
        <v>161</v>
      </c>
      <c r="K4024" s="27" t="s">
        <v>40</v>
      </c>
      <c r="L4024" s="27"/>
    </row>
    <row r="4025" customFormat="false" ht="15" hidden="false" customHeight="false" outlineLevel="0" collapsed="false">
      <c r="A4025" s="26" t="s">
        <v>12986</v>
      </c>
      <c r="B4025" s="27" t="s">
        <v>12987</v>
      </c>
      <c r="C4025" s="27" t="s">
        <v>144</v>
      </c>
      <c r="D4025" s="26"/>
      <c r="E4025" s="27"/>
      <c r="F4025" s="27"/>
      <c r="G4025" s="27" t="s">
        <v>11122</v>
      </c>
      <c r="H4025" s="27" t="s">
        <v>35</v>
      </c>
      <c r="I4025" s="27" t="s">
        <v>40</v>
      </c>
      <c r="J4025" s="28" t="s">
        <v>161</v>
      </c>
      <c r="K4025" s="27" t="s">
        <v>40</v>
      </c>
      <c r="L4025" s="27"/>
    </row>
    <row r="4026" customFormat="false" ht="15" hidden="false" customHeight="false" outlineLevel="0" collapsed="false">
      <c r="A4026" s="26" t="s">
        <v>12988</v>
      </c>
      <c r="B4026" s="27" t="s">
        <v>12989</v>
      </c>
      <c r="C4026" s="27" t="s">
        <v>144</v>
      </c>
      <c r="D4026" s="26"/>
      <c r="E4026" s="27"/>
      <c r="F4026" s="27"/>
      <c r="G4026" s="27" t="s">
        <v>11122</v>
      </c>
      <c r="H4026" s="27" t="s">
        <v>35</v>
      </c>
      <c r="I4026" s="28" t="s">
        <v>46</v>
      </c>
      <c r="J4026" s="28" t="s">
        <v>161</v>
      </c>
      <c r="K4026" s="27" t="s">
        <v>40</v>
      </c>
      <c r="L4026" s="27"/>
    </row>
    <row r="4027" customFormat="false" ht="15" hidden="false" customHeight="false" outlineLevel="0" collapsed="false">
      <c r="A4027" s="26" t="s">
        <v>12990</v>
      </c>
      <c r="B4027" s="27" t="s">
        <v>12991</v>
      </c>
      <c r="C4027" s="27" t="s">
        <v>144</v>
      </c>
      <c r="D4027" s="26"/>
      <c r="E4027" s="27"/>
      <c r="F4027" s="27"/>
      <c r="G4027" s="27" t="s">
        <v>11122</v>
      </c>
      <c r="H4027" s="27" t="s">
        <v>35</v>
      </c>
      <c r="I4027" s="27" t="s">
        <v>38</v>
      </c>
      <c r="J4027" s="28" t="s">
        <v>161</v>
      </c>
      <c r="K4027" s="27" t="s">
        <v>40</v>
      </c>
      <c r="L4027" s="27"/>
    </row>
    <row r="4028" customFormat="false" ht="15" hidden="false" customHeight="false" outlineLevel="0" collapsed="false">
      <c r="A4028" s="26" t="s">
        <v>12992</v>
      </c>
      <c r="B4028" s="27" t="s">
        <v>12993</v>
      </c>
      <c r="C4028" s="27" t="s">
        <v>144</v>
      </c>
      <c r="D4028" s="26"/>
      <c r="E4028" s="27"/>
      <c r="F4028" s="27"/>
      <c r="G4028" s="27" t="s">
        <v>11122</v>
      </c>
      <c r="H4028" s="27" t="s">
        <v>35</v>
      </c>
      <c r="I4028" s="27" t="s">
        <v>40</v>
      </c>
      <c r="J4028" s="28" t="s">
        <v>161</v>
      </c>
      <c r="K4028" s="27" t="s">
        <v>40</v>
      </c>
      <c r="L4028" s="27"/>
    </row>
    <row r="4029" customFormat="false" ht="15" hidden="false" customHeight="false" outlineLevel="0" collapsed="false">
      <c r="A4029" s="26" t="s">
        <v>12994</v>
      </c>
      <c r="B4029" s="27" t="s">
        <v>12995</v>
      </c>
      <c r="C4029" s="27" t="s">
        <v>144</v>
      </c>
      <c r="D4029" s="26"/>
      <c r="E4029" s="27"/>
      <c r="F4029" s="27"/>
      <c r="G4029" s="27" t="s">
        <v>11122</v>
      </c>
      <c r="H4029" s="27" t="s">
        <v>35</v>
      </c>
      <c r="I4029" s="27" t="s">
        <v>38</v>
      </c>
      <c r="J4029" s="28" t="s">
        <v>161</v>
      </c>
      <c r="K4029" s="27" t="s">
        <v>40</v>
      </c>
      <c r="L4029" s="27"/>
    </row>
    <row r="4030" customFormat="false" ht="15" hidden="false" customHeight="false" outlineLevel="0" collapsed="false">
      <c r="A4030" s="26" t="s">
        <v>12996</v>
      </c>
      <c r="B4030" s="27" t="s">
        <v>12997</v>
      </c>
      <c r="C4030" s="27" t="s">
        <v>144</v>
      </c>
      <c r="D4030" s="26"/>
      <c r="E4030" s="27"/>
      <c r="F4030" s="27"/>
      <c r="G4030" s="27" t="s">
        <v>11122</v>
      </c>
      <c r="H4030" s="27" t="s">
        <v>35</v>
      </c>
      <c r="I4030" s="27" t="s">
        <v>40</v>
      </c>
      <c r="J4030" s="28" t="s">
        <v>161</v>
      </c>
      <c r="K4030" s="27" t="s">
        <v>40</v>
      </c>
      <c r="L4030" s="27"/>
    </row>
    <row r="4031" customFormat="false" ht="15" hidden="false" customHeight="false" outlineLevel="0" collapsed="false">
      <c r="A4031" s="26" t="s">
        <v>12998</v>
      </c>
      <c r="B4031" s="27" t="s">
        <v>12999</v>
      </c>
      <c r="C4031" s="27" t="s">
        <v>144</v>
      </c>
      <c r="D4031" s="26"/>
      <c r="E4031" s="27"/>
      <c r="F4031" s="27"/>
      <c r="G4031" s="27" t="s">
        <v>11122</v>
      </c>
      <c r="H4031" s="27" t="s">
        <v>35</v>
      </c>
      <c r="I4031" s="27" t="s">
        <v>40</v>
      </c>
      <c r="J4031" s="28" t="s">
        <v>161</v>
      </c>
      <c r="K4031" s="27" t="s">
        <v>40</v>
      </c>
      <c r="L4031" s="27"/>
    </row>
    <row r="4032" customFormat="false" ht="15" hidden="false" customHeight="false" outlineLevel="0" collapsed="false">
      <c r="A4032" s="26" t="s">
        <v>13000</v>
      </c>
      <c r="B4032" s="27" t="s">
        <v>13001</v>
      </c>
      <c r="C4032" s="27" t="s">
        <v>144</v>
      </c>
      <c r="D4032" s="26"/>
      <c r="E4032" s="27"/>
      <c r="F4032" s="27"/>
      <c r="G4032" s="27" t="s">
        <v>11122</v>
      </c>
      <c r="H4032" s="27" t="s">
        <v>35</v>
      </c>
      <c r="I4032" s="27" t="s">
        <v>40</v>
      </c>
      <c r="J4032" s="28" t="s">
        <v>161</v>
      </c>
      <c r="K4032" s="27" t="s">
        <v>40</v>
      </c>
      <c r="L4032" s="27"/>
    </row>
    <row r="4033" customFormat="false" ht="15" hidden="false" customHeight="false" outlineLevel="0" collapsed="false">
      <c r="A4033" s="26" t="s">
        <v>13002</v>
      </c>
      <c r="B4033" s="27" t="s">
        <v>13003</v>
      </c>
      <c r="C4033" s="27" t="s">
        <v>144</v>
      </c>
      <c r="D4033" s="26"/>
      <c r="E4033" s="27"/>
      <c r="F4033" s="27"/>
      <c r="G4033" s="27" t="s">
        <v>11122</v>
      </c>
      <c r="H4033" s="27" t="s">
        <v>35</v>
      </c>
      <c r="I4033" s="27" t="s">
        <v>40</v>
      </c>
      <c r="J4033" s="28" t="s">
        <v>161</v>
      </c>
      <c r="K4033" s="27" t="s">
        <v>40</v>
      </c>
      <c r="L4033" s="27"/>
    </row>
    <row r="4034" customFormat="false" ht="15" hidden="false" customHeight="false" outlineLevel="0" collapsed="false">
      <c r="A4034" s="26" t="s">
        <v>13004</v>
      </c>
      <c r="B4034" s="27" t="s">
        <v>13005</v>
      </c>
      <c r="C4034" s="27" t="s">
        <v>144</v>
      </c>
      <c r="D4034" s="26"/>
      <c r="E4034" s="27"/>
      <c r="F4034" s="27"/>
      <c r="G4034" s="27" t="s">
        <v>11122</v>
      </c>
      <c r="H4034" s="27" t="s">
        <v>35</v>
      </c>
      <c r="I4034" s="28" t="s">
        <v>46</v>
      </c>
      <c r="J4034" s="28" t="s">
        <v>161</v>
      </c>
      <c r="K4034" s="27" t="s">
        <v>40</v>
      </c>
      <c r="L4034" s="27"/>
    </row>
    <row r="4035" customFormat="false" ht="15" hidden="false" customHeight="false" outlineLevel="0" collapsed="false">
      <c r="A4035" s="26" t="s">
        <v>13006</v>
      </c>
      <c r="B4035" s="27" t="s">
        <v>13007</v>
      </c>
      <c r="C4035" s="27" t="s">
        <v>144</v>
      </c>
      <c r="D4035" s="26"/>
      <c r="E4035" s="27"/>
      <c r="F4035" s="27"/>
      <c r="G4035" s="27" t="s">
        <v>11122</v>
      </c>
      <c r="H4035" s="27" t="s">
        <v>35</v>
      </c>
      <c r="I4035" s="28" t="s">
        <v>46</v>
      </c>
      <c r="J4035" s="28" t="s">
        <v>161</v>
      </c>
      <c r="K4035" s="27" t="s">
        <v>40</v>
      </c>
      <c r="L4035" s="27"/>
    </row>
    <row r="4036" customFormat="false" ht="15" hidden="false" customHeight="false" outlineLevel="0" collapsed="false">
      <c r="A4036" s="26" t="s">
        <v>13008</v>
      </c>
      <c r="B4036" s="27" t="s">
        <v>13009</v>
      </c>
      <c r="C4036" s="27" t="s">
        <v>144</v>
      </c>
      <c r="D4036" s="26"/>
      <c r="E4036" s="27"/>
      <c r="F4036" s="27"/>
      <c r="G4036" s="27" t="s">
        <v>11122</v>
      </c>
      <c r="H4036" s="27" t="s">
        <v>35</v>
      </c>
      <c r="I4036" s="27" t="s">
        <v>40</v>
      </c>
      <c r="J4036" s="28" t="s">
        <v>161</v>
      </c>
      <c r="K4036" s="27" t="s">
        <v>40</v>
      </c>
      <c r="L4036" s="27"/>
    </row>
    <row r="4037" customFormat="false" ht="15" hidden="false" customHeight="false" outlineLevel="0" collapsed="false">
      <c r="A4037" s="26" t="s">
        <v>13010</v>
      </c>
      <c r="B4037" s="27" t="s">
        <v>13011</v>
      </c>
      <c r="C4037" s="27" t="s">
        <v>144</v>
      </c>
      <c r="D4037" s="26"/>
      <c r="E4037" s="27"/>
      <c r="F4037" s="27"/>
      <c r="G4037" s="27" t="s">
        <v>11122</v>
      </c>
      <c r="H4037" s="27" t="s">
        <v>35</v>
      </c>
      <c r="I4037" s="27" t="s">
        <v>40</v>
      </c>
      <c r="J4037" s="28" t="s">
        <v>161</v>
      </c>
      <c r="K4037" s="27" t="s">
        <v>40</v>
      </c>
      <c r="L4037" s="27"/>
    </row>
    <row r="4038" customFormat="false" ht="15" hidden="false" customHeight="false" outlineLevel="0" collapsed="false">
      <c r="A4038" s="26" t="s">
        <v>13012</v>
      </c>
      <c r="B4038" s="27" t="s">
        <v>13013</v>
      </c>
      <c r="C4038" s="27" t="s">
        <v>144</v>
      </c>
      <c r="D4038" s="26"/>
      <c r="E4038" s="27"/>
      <c r="F4038" s="27"/>
      <c r="G4038" s="27" t="s">
        <v>11122</v>
      </c>
      <c r="H4038" s="27" t="s">
        <v>35</v>
      </c>
      <c r="I4038" s="27" t="s">
        <v>37</v>
      </c>
      <c r="J4038" s="28" t="s">
        <v>161</v>
      </c>
      <c r="K4038" s="27" t="s">
        <v>40</v>
      </c>
      <c r="L4038" s="27"/>
    </row>
    <row r="4039" customFormat="false" ht="15" hidden="false" customHeight="false" outlineLevel="0" collapsed="false">
      <c r="A4039" s="26" t="s">
        <v>13014</v>
      </c>
      <c r="B4039" s="27" t="s">
        <v>13015</v>
      </c>
      <c r="C4039" s="27" t="s">
        <v>144</v>
      </c>
      <c r="D4039" s="26"/>
      <c r="E4039" s="27"/>
      <c r="F4039" s="27"/>
      <c r="G4039" s="27" t="s">
        <v>11122</v>
      </c>
      <c r="H4039" s="27" t="s">
        <v>35</v>
      </c>
      <c r="I4039" s="28" t="s">
        <v>46</v>
      </c>
      <c r="J4039" s="28" t="s">
        <v>161</v>
      </c>
      <c r="K4039" s="27" t="s">
        <v>40</v>
      </c>
      <c r="L4039" s="27"/>
    </row>
    <row r="4040" customFormat="false" ht="15" hidden="false" customHeight="false" outlineLevel="0" collapsed="false">
      <c r="A4040" s="26" t="s">
        <v>13016</v>
      </c>
      <c r="B4040" s="27" t="s">
        <v>13017</v>
      </c>
      <c r="C4040" s="27" t="s">
        <v>144</v>
      </c>
      <c r="D4040" s="26"/>
      <c r="E4040" s="27"/>
      <c r="F4040" s="27"/>
      <c r="G4040" s="27" t="s">
        <v>11122</v>
      </c>
      <c r="H4040" s="27" t="s">
        <v>35</v>
      </c>
      <c r="I4040" s="27" t="s">
        <v>40</v>
      </c>
      <c r="J4040" s="28" t="s">
        <v>161</v>
      </c>
      <c r="K4040" s="27" t="s">
        <v>40</v>
      </c>
      <c r="L4040" s="27"/>
    </row>
    <row r="4041" customFormat="false" ht="15" hidden="false" customHeight="false" outlineLevel="0" collapsed="false">
      <c r="A4041" s="26" t="s">
        <v>13018</v>
      </c>
      <c r="B4041" s="27" t="s">
        <v>13019</v>
      </c>
      <c r="C4041" s="27" t="s">
        <v>144</v>
      </c>
      <c r="D4041" s="26"/>
      <c r="E4041" s="27"/>
      <c r="F4041" s="27"/>
      <c r="G4041" s="27" t="s">
        <v>11122</v>
      </c>
      <c r="H4041" s="27" t="s">
        <v>35</v>
      </c>
      <c r="I4041" s="27" t="s">
        <v>40</v>
      </c>
      <c r="J4041" s="28" t="s">
        <v>161</v>
      </c>
      <c r="K4041" s="27" t="s">
        <v>40</v>
      </c>
      <c r="L4041" s="27"/>
    </row>
    <row r="4042" customFormat="false" ht="15" hidden="false" customHeight="false" outlineLevel="0" collapsed="false">
      <c r="A4042" s="26" t="s">
        <v>13020</v>
      </c>
      <c r="B4042" s="27" t="s">
        <v>13021</v>
      </c>
      <c r="C4042" s="27" t="s">
        <v>144</v>
      </c>
      <c r="D4042" s="26"/>
      <c r="E4042" s="27"/>
      <c r="F4042" s="27"/>
      <c r="G4042" s="27" t="s">
        <v>11122</v>
      </c>
      <c r="H4042" s="27" t="s">
        <v>35</v>
      </c>
      <c r="I4042" s="27" t="s">
        <v>40</v>
      </c>
      <c r="J4042" s="28" t="s">
        <v>161</v>
      </c>
      <c r="K4042" s="27" t="s">
        <v>40</v>
      </c>
      <c r="L4042" s="27"/>
    </row>
    <row r="4043" customFormat="false" ht="15" hidden="false" customHeight="false" outlineLevel="0" collapsed="false">
      <c r="A4043" s="26" t="s">
        <v>13022</v>
      </c>
      <c r="B4043" s="27" t="s">
        <v>13023</v>
      </c>
      <c r="C4043" s="27" t="s">
        <v>144</v>
      </c>
      <c r="D4043" s="26"/>
      <c r="E4043" s="27"/>
      <c r="F4043" s="27"/>
      <c r="G4043" s="27" t="s">
        <v>11122</v>
      </c>
      <c r="H4043" s="27" t="s">
        <v>35</v>
      </c>
      <c r="I4043" s="27" t="s">
        <v>40</v>
      </c>
      <c r="J4043" s="28" t="s">
        <v>161</v>
      </c>
      <c r="K4043" s="27" t="s">
        <v>40</v>
      </c>
      <c r="L4043" s="27"/>
    </row>
    <row r="4044" customFormat="false" ht="15" hidden="false" customHeight="false" outlineLevel="0" collapsed="false">
      <c r="A4044" s="26" t="s">
        <v>13024</v>
      </c>
      <c r="B4044" s="27" t="s">
        <v>13025</v>
      </c>
      <c r="C4044" s="27" t="s">
        <v>144</v>
      </c>
      <c r="D4044" s="26"/>
      <c r="E4044" s="27"/>
      <c r="F4044" s="27"/>
      <c r="G4044" s="27" t="s">
        <v>11122</v>
      </c>
      <c r="H4044" s="27" t="s">
        <v>35</v>
      </c>
      <c r="I4044" s="27" t="s">
        <v>40</v>
      </c>
      <c r="J4044" s="28" t="s">
        <v>161</v>
      </c>
      <c r="K4044" s="27" t="s">
        <v>40</v>
      </c>
      <c r="L4044" s="27"/>
    </row>
    <row r="4045" customFormat="false" ht="15" hidden="false" customHeight="false" outlineLevel="0" collapsed="false">
      <c r="A4045" s="26" t="s">
        <v>13026</v>
      </c>
      <c r="B4045" s="27" t="s">
        <v>13027</v>
      </c>
      <c r="C4045" s="27" t="s">
        <v>144</v>
      </c>
      <c r="D4045" s="26"/>
      <c r="E4045" s="27"/>
      <c r="F4045" s="27"/>
      <c r="G4045" s="27" t="s">
        <v>11122</v>
      </c>
      <c r="H4045" s="27" t="s">
        <v>35</v>
      </c>
      <c r="I4045" s="27" t="s">
        <v>40</v>
      </c>
      <c r="J4045" s="28" t="s">
        <v>161</v>
      </c>
      <c r="K4045" s="27" t="s">
        <v>40</v>
      </c>
      <c r="L4045" s="27"/>
    </row>
    <row r="4046" customFormat="false" ht="15" hidden="false" customHeight="false" outlineLevel="0" collapsed="false">
      <c r="A4046" s="26" t="s">
        <v>13028</v>
      </c>
      <c r="B4046" s="27" t="s">
        <v>13029</v>
      </c>
      <c r="C4046" s="27" t="s">
        <v>144</v>
      </c>
      <c r="D4046" s="26"/>
      <c r="E4046" s="27"/>
      <c r="F4046" s="27"/>
      <c r="G4046" s="27" t="s">
        <v>11122</v>
      </c>
      <c r="H4046" s="27" t="s">
        <v>35</v>
      </c>
      <c r="I4046" s="27" t="s">
        <v>40</v>
      </c>
      <c r="J4046" s="28" t="s">
        <v>161</v>
      </c>
      <c r="K4046" s="27" t="s">
        <v>40</v>
      </c>
      <c r="L4046" s="27"/>
    </row>
    <row r="4047" customFormat="false" ht="15" hidden="false" customHeight="false" outlineLevel="0" collapsed="false">
      <c r="A4047" s="26" t="s">
        <v>13030</v>
      </c>
      <c r="B4047" s="27" t="s">
        <v>13031</v>
      </c>
      <c r="C4047" s="27" t="s">
        <v>144</v>
      </c>
      <c r="D4047" s="26"/>
      <c r="E4047" s="27"/>
      <c r="F4047" s="27"/>
      <c r="G4047" s="27" t="s">
        <v>11122</v>
      </c>
      <c r="H4047" s="27" t="s">
        <v>35</v>
      </c>
      <c r="I4047" s="27" t="s">
        <v>40</v>
      </c>
      <c r="J4047" s="28" t="s">
        <v>161</v>
      </c>
      <c r="K4047" s="27" t="s">
        <v>40</v>
      </c>
      <c r="L4047" s="27"/>
    </row>
    <row r="4048" customFormat="false" ht="15" hidden="false" customHeight="false" outlineLevel="0" collapsed="false">
      <c r="A4048" s="26" t="s">
        <v>13032</v>
      </c>
      <c r="B4048" s="27" t="s">
        <v>13033</v>
      </c>
      <c r="C4048" s="27" t="s">
        <v>144</v>
      </c>
      <c r="D4048" s="26"/>
      <c r="E4048" s="27"/>
      <c r="F4048" s="27"/>
      <c r="G4048" s="27" t="s">
        <v>11122</v>
      </c>
      <c r="H4048" s="27" t="s">
        <v>35</v>
      </c>
      <c r="I4048" s="27" t="s">
        <v>38</v>
      </c>
      <c r="J4048" s="28" t="s">
        <v>161</v>
      </c>
      <c r="K4048" s="27" t="s">
        <v>40</v>
      </c>
      <c r="L4048" s="27"/>
    </row>
    <row r="4049" customFormat="false" ht="15" hidden="false" customHeight="false" outlineLevel="0" collapsed="false">
      <c r="A4049" s="26" t="s">
        <v>13034</v>
      </c>
      <c r="B4049" s="27" t="s">
        <v>13035</v>
      </c>
      <c r="C4049" s="27" t="s">
        <v>144</v>
      </c>
      <c r="D4049" s="26"/>
      <c r="E4049" s="27"/>
      <c r="F4049" s="27"/>
      <c r="G4049" s="27" t="s">
        <v>11122</v>
      </c>
      <c r="H4049" s="27" t="s">
        <v>35</v>
      </c>
      <c r="I4049" s="27" t="s">
        <v>40</v>
      </c>
      <c r="J4049" s="28" t="s">
        <v>161</v>
      </c>
      <c r="K4049" s="27" t="s">
        <v>40</v>
      </c>
      <c r="L4049" s="27"/>
    </row>
    <row r="4050" customFormat="false" ht="15" hidden="false" customHeight="false" outlineLevel="0" collapsed="false">
      <c r="A4050" s="26" t="s">
        <v>13036</v>
      </c>
      <c r="B4050" s="27" t="s">
        <v>13037</v>
      </c>
      <c r="C4050" s="27" t="s">
        <v>144</v>
      </c>
      <c r="D4050" s="26"/>
      <c r="E4050" s="27"/>
      <c r="F4050" s="27"/>
      <c r="G4050" s="27" t="s">
        <v>11122</v>
      </c>
      <c r="H4050" s="27" t="s">
        <v>35</v>
      </c>
      <c r="I4050" s="27" t="s">
        <v>40</v>
      </c>
      <c r="J4050" s="28" t="s">
        <v>161</v>
      </c>
      <c r="K4050" s="27" t="s">
        <v>40</v>
      </c>
      <c r="L4050" s="27"/>
    </row>
    <row r="4051" customFormat="false" ht="15" hidden="false" customHeight="false" outlineLevel="0" collapsed="false">
      <c r="A4051" s="26" t="s">
        <v>13038</v>
      </c>
      <c r="B4051" s="27" t="s">
        <v>13039</v>
      </c>
      <c r="C4051" s="27" t="s">
        <v>144</v>
      </c>
      <c r="D4051" s="26"/>
      <c r="E4051" s="27"/>
      <c r="F4051" s="27"/>
      <c r="G4051" s="27" t="s">
        <v>11122</v>
      </c>
      <c r="H4051" s="27" t="s">
        <v>35</v>
      </c>
      <c r="I4051" s="27" t="s">
        <v>40</v>
      </c>
      <c r="J4051" s="28" t="s">
        <v>161</v>
      </c>
      <c r="K4051" s="27" t="s">
        <v>40</v>
      </c>
      <c r="L4051" s="27"/>
    </row>
    <row r="4052" customFormat="false" ht="15" hidden="false" customHeight="false" outlineLevel="0" collapsed="false">
      <c r="A4052" s="26" t="s">
        <v>13040</v>
      </c>
      <c r="B4052" s="27" t="s">
        <v>13041</v>
      </c>
      <c r="C4052" s="27" t="s">
        <v>144</v>
      </c>
      <c r="D4052" s="26"/>
      <c r="E4052" s="27"/>
      <c r="F4052" s="27"/>
      <c r="G4052" s="27" t="s">
        <v>11122</v>
      </c>
      <c r="H4052" s="27" t="s">
        <v>35</v>
      </c>
      <c r="I4052" s="27" t="s">
        <v>40</v>
      </c>
      <c r="J4052" s="28" t="s">
        <v>161</v>
      </c>
      <c r="K4052" s="27" t="s">
        <v>40</v>
      </c>
      <c r="L4052" s="27"/>
    </row>
    <row r="4053" customFormat="false" ht="15" hidden="false" customHeight="false" outlineLevel="0" collapsed="false">
      <c r="A4053" s="26" t="s">
        <v>13042</v>
      </c>
      <c r="B4053" s="27" t="s">
        <v>13043</v>
      </c>
      <c r="C4053" s="27" t="s">
        <v>144</v>
      </c>
      <c r="D4053" s="26"/>
      <c r="E4053" s="27"/>
      <c r="F4053" s="27"/>
      <c r="G4053" s="27" t="s">
        <v>11122</v>
      </c>
      <c r="H4053" s="27" t="s">
        <v>35</v>
      </c>
      <c r="I4053" s="27" t="s">
        <v>40</v>
      </c>
      <c r="J4053" s="28" t="s">
        <v>161</v>
      </c>
      <c r="K4053" s="27" t="s">
        <v>40</v>
      </c>
      <c r="L4053" s="27"/>
    </row>
    <row r="4054" customFormat="false" ht="15" hidden="false" customHeight="false" outlineLevel="0" collapsed="false">
      <c r="A4054" s="26" t="s">
        <v>13044</v>
      </c>
      <c r="B4054" s="27" t="s">
        <v>13045</v>
      </c>
      <c r="C4054" s="27" t="s">
        <v>144</v>
      </c>
      <c r="D4054" s="26"/>
      <c r="E4054" s="27"/>
      <c r="F4054" s="27"/>
      <c r="G4054" s="27" t="s">
        <v>11122</v>
      </c>
      <c r="H4054" s="27" t="s">
        <v>35</v>
      </c>
      <c r="I4054" s="27" t="s">
        <v>40</v>
      </c>
      <c r="J4054" s="28" t="s">
        <v>161</v>
      </c>
      <c r="K4054" s="27" t="s">
        <v>40</v>
      </c>
      <c r="L4054" s="27"/>
    </row>
    <row r="4055" customFormat="false" ht="15" hidden="false" customHeight="false" outlineLevel="0" collapsed="false">
      <c r="A4055" s="26" t="s">
        <v>13046</v>
      </c>
      <c r="B4055" s="27" t="s">
        <v>13047</v>
      </c>
      <c r="C4055" s="27" t="s">
        <v>144</v>
      </c>
      <c r="D4055" s="26"/>
      <c r="E4055" s="27"/>
      <c r="F4055" s="27"/>
      <c r="G4055" s="27" t="s">
        <v>11122</v>
      </c>
      <c r="H4055" s="27" t="s">
        <v>35</v>
      </c>
      <c r="I4055" s="27" t="s">
        <v>40</v>
      </c>
      <c r="J4055" s="28" t="s">
        <v>161</v>
      </c>
      <c r="K4055" s="27" t="s">
        <v>40</v>
      </c>
      <c r="L4055" s="27"/>
    </row>
    <row r="4056" customFormat="false" ht="15" hidden="false" customHeight="false" outlineLevel="0" collapsed="false">
      <c r="A4056" s="26" t="s">
        <v>13048</v>
      </c>
      <c r="B4056" s="27" t="s">
        <v>13049</v>
      </c>
      <c r="C4056" s="27" t="s">
        <v>144</v>
      </c>
      <c r="D4056" s="26"/>
      <c r="E4056" s="27"/>
      <c r="F4056" s="27"/>
      <c r="G4056" s="27" t="s">
        <v>11122</v>
      </c>
      <c r="H4056" s="27" t="s">
        <v>35</v>
      </c>
      <c r="I4056" s="27" t="s">
        <v>40</v>
      </c>
      <c r="J4056" s="28" t="s">
        <v>161</v>
      </c>
      <c r="K4056" s="27" t="s">
        <v>40</v>
      </c>
      <c r="L4056" s="27"/>
    </row>
    <row r="4057" customFormat="false" ht="15" hidden="false" customHeight="false" outlineLevel="0" collapsed="false">
      <c r="A4057" s="26" t="s">
        <v>13050</v>
      </c>
      <c r="B4057" s="27" t="s">
        <v>13051</v>
      </c>
      <c r="C4057" s="27" t="s">
        <v>370</v>
      </c>
      <c r="D4057" s="26"/>
      <c r="E4057" s="27"/>
      <c r="F4057" s="27"/>
      <c r="G4057" s="27" t="s">
        <v>11122</v>
      </c>
      <c r="H4057" s="27" t="s">
        <v>35</v>
      </c>
      <c r="I4057" s="27" t="s">
        <v>40</v>
      </c>
      <c r="J4057" s="28" t="s">
        <v>161</v>
      </c>
      <c r="K4057" s="27" t="s">
        <v>40</v>
      </c>
      <c r="L4057" s="27"/>
    </row>
    <row r="4058" customFormat="false" ht="15" hidden="false" customHeight="false" outlineLevel="0" collapsed="false">
      <c r="A4058" s="26" t="s">
        <v>13052</v>
      </c>
      <c r="B4058" s="27" t="s">
        <v>13053</v>
      </c>
      <c r="C4058" s="27" t="s">
        <v>144</v>
      </c>
      <c r="D4058" s="26"/>
      <c r="E4058" s="27"/>
      <c r="F4058" s="27"/>
      <c r="G4058" s="27" t="s">
        <v>11122</v>
      </c>
      <c r="H4058" s="27" t="s">
        <v>35</v>
      </c>
      <c r="I4058" s="27" t="s">
        <v>40</v>
      </c>
      <c r="J4058" s="28" t="s">
        <v>161</v>
      </c>
      <c r="K4058" s="27" t="s">
        <v>40</v>
      </c>
      <c r="L4058" s="27"/>
    </row>
    <row r="4059" customFormat="false" ht="15" hidden="false" customHeight="false" outlineLevel="0" collapsed="false">
      <c r="A4059" s="26" t="s">
        <v>13054</v>
      </c>
      <c r="B4059" s="27" t="s">
        <v>13055</v>
      </c>
      <c r="C4059" s="27" t="s">
        <v>144</v>
      </c>
      <c r="D4059" s="26"/>
      <c r="E4059" s="27"/>
      <c r="F4059" s="27"/>
      <c r="G4059" s="27" t="s">
        <v>11122</v>
      </c>
      <c r="H4059" s="27" t="s">
        <v>35</v>
      </c>
      <c r="I4059" s="27" t="s">
        <v>40</v>
      </c>
      <c r="J4059" s="28" t="s">
        <v>161</v>
      </c>
      <c r="K4059" s="27" t="s">
        <v>40</v>
      </c>
      <c r="L4059" s="27"/>
    </row>
    <row r="4060" customFormat="false" ht="15" hidden="false" customHeight="false" outlineLevel="0" collapsed="false">
      <c r="A4060" s="26" t="s">
        <v>13056</v>
      </c>
      <c r="B4060" s="27" t="s">
        <v>13057</v>
      </c>
      <c r="C4060" s="27" t="s">
        <v>144</v>
      </c>
      <c r="D4060" s="26"/>
      <c r="E4060" s="27"/>
      <c r="F4060" s="27"/>
      <c r="G4060" s="27" t="s">
        <v>11122</v>
      </c>
      <c r="H4060" s="27" t="s">
        <v>35</v>
      </c>
      <c r="I4060" s="27" t="s">
        <v>40</v>
      </c>
      <c r="J4060" s="28" t="s">
        <v>161</v>
      </c>
      <c r="K4060" s="27" t="s">
        <v>40</v>
      </c>
      <c r="L4060" s="27"/>
    </row>
    <row r="4061" customFormat="false" ht="15" hidden="false" customHeight="false" outlineLevel="0" collapsed="false">
      <c r="A4061" s="26" t="s">
        <v>13058</v>
      </c>
      <c r="B4061" s="27" t="s">
        <v>13059</v>
      </c>
      <c r="C4061" s="27" t="s">
        <v>144</v>
      </c>
      <c r="D4061" s="26"/>
      <c r="E4061" s="27"/>
      <c r="F4061" s="27"/>
      <c r="G4061" s="27" t="s">
        <v>11122</v>
      </c>
      <c r="H4061" s="27" t="s">
        <v>35</v>
      </c>
      <c r="I4061" s="27" t="s">
        <v>40</v>
      </c>
      <c r="J4061" s="28" t="s">
        <v>161</v>
      </c>
      <c r="K4061" s="27" t="s">
        <v>40</v>
      </c>
      <c r="L4061" s="27"/>
    </row>
    <row r="4062" customFormat="false" ht="15" hidden="false" customHeight="false" outlineLevel="0" collapsed="false">
      <c r="A4062" s="26" t="s">
        <v>13060</v>
      </c>
      <c r="B4062" s="27" t="s">
        <v>13061</v>
      </c>
      <c r="C4062" s="27" t="s">
        <v>144</v>
      </c>
      <c r="D4062" s="26"/>
      <c r="E4062" s="27"/>
      <c r="F4062" s="27"/>
      <c r="G4062" s="27" t="s">
        <v>11122</v>
      </c>
      <c r="H4062" s="27" t="s">
        <v>35</v>
      </c>
      <c r="I4062" s="27" t="s">
        <v>40</v>
      </c>
      <c r="J4062" s="28" t="s">
        <v>161</v>
      </c>
      <c r="K4062" s="27" t="s">
        <v>40</v>
      </c>
      <c r="L4062" s="27"/>
    </row>
    <row r="4063" customFormat="false" ht="15" hidden="false" customHeight="false" outlineLevel="0" collapsed="false">
      <c r="A4063" s="26" t="s">
        <v>13062</v>
      </c>
      <c r="B4063" s="27" t="s">
        <v>13063</v>
      </c>
      <c r="C4063" s="27" t="s">
        <v>370</v>
      </c>
      <c r="D4063" s="26"/>
      <c r="E4063" s="27"/>
      <c r="F4063" s="27"/>
      <c r="G4063" s="27" t="s">
        <v>11122</v>
      </c>
      <c r="H4063" s="27" t="s">
        <v>35</v>
      </c>
      <c r="I4063" s="27" t="s">
        <v>40</v>
      </c>
      <c r="J4063" s="28" t="s">
        <v>161</v>
      </c>
      <c r="K4063" s="27" t="s">
        <v>40</v>
      </c>
      <c r="L4063" s="27"/>
    </row>
    <row r="4064" customFormat="false" ht="15" hidden="false" customHeight="false" outlineLevel="0" collapsed="false">
      <c r="A4064" s="26" t="s">
        <v>13064</v>
      </c>
      <c r="B4064" s="27" t="s">
        <v>13065</v>
      </c>
      <c r="C4064" s="27" t="s">
        <v>144</v>
      </c>
      <c r="D4064" s="26"/>
      <c r="E4064" s="27"/>
      <c r="F4064" s="27"/>
      <c r="G4064" s="27" t="s">
        <v>11122</v>
      </c>
      <c r="H4064" s="27" t="s">
        <v>35</v>
      </c>
      <c r="I4064" s="27" t="s">
        <v>40</v>
      </c>
      <c r="J4064" s="28" t="s">
        <v>161</v>
      </c>
      <c r="K4064" s="27" t="s">
        <v>40</v>
      </c>
      <c r="L4064" s="27"/>
    </row>
    <row r="4065" customFormat="false" ht="15" hidden="false" customHeight="false" outlineLevel="0" collapsed="false">
      <c r="A4065" s="26" t="s">
        <v>13066</v>
      </c>
      <c r="B4065" s="27" t="s">
        <v>13067</v>
      </c>
      <c r="C4065" s="27" t="s">
        <v>144</v>
      </c>
      <c r="D4065" s="26"/>
      <c r="E4065" s="27"/>
      <c r="F4065" s="27"/>
      <c r="G4065" s="27" t="s">
        <v>11122</v>
      </c>
      <c r="H4065" s="27" t="s">
        <v>35</v>
      </c>
      <c r="I4065" s="27" t="s">
        <v>40</v>
      </c>
      <c r="J4065" s="28" t="s">
        <v>161</v>
      </c>
      <c r="K4065" s="27" t="s">
        <v>40</v>
      </c>
      <c r="L4065" s="27"/>
    </row>
    <row r="4066" customFormat="false" ht="15" hidden="false" customHeight="false" outlineLevel="0" collapsed="false">
      <c r="A4066" s="26" t="s">
        <v>13068</v>
      </c>
      <c r="B4066" s="27" t="s">
        <v>13069</v>
      </c>
      <c r="C4066" s="27" t="s">
        <v>144</v>
      </c>
      <c r="D4066" s="26"/>
      <c r="E4066" s="27"/>
      <c r="F4066" s="27"/>
      <c r="G4066" s="27" t="s">
        <v>11122</v>
      </c>
      <c r="H4066" s="27" t="s">
        <v>35</v>
      </c>
      <c r="I4066" s="27" t="s">
        <v>40</v>
      </c>
      <c r="J4066" s="28" t="s">
        <v>161</v>
      </c>
      <c r="K4066" s="27" t="s">
        <v>40</v>
      </c>
      <c r="L4066" s="27"/>
    </row>
    <row r="4067" customFormat="false" ht="15" hidden="false" customHeight="false" outlineLevel="0" collapsed="false">
      <c r="A4067" s="26" t="s">
        <v>13070</v>
      </c>
      <c r="B4067" s="27" t="s">
        <v>13071</v>
      </c>
      <c r="C4067" s="27" t="s">
        <v>370</v>
      </c>
      <c r="D4067" s="26"/>
      <c r="E4067" s="27"/>
      <c r="F4067" s="27"/>
      <c r="G4067" s="27" t="s">
        <v>11122</v>
      </c>
      <c r="H4067" s="27" t="s">
        <v>35</v>
      </c>
      <c r="I4067" s="27" t="s">
        <v>40</v>
      </c>
      <c r="J4067" s="28" t="s">
        <v>161</v>
      </c>
      <c r="K4067" s="27" t="s">
        <v>40</v>
      </c>
      <c r="L4067" s="27"/>
    </row>
    <row r="4068" customFormat="false" ht="15" hidden="false" customHeight="false" outlineLevel="0" collapsed="false">
      <c r="A4068" s="26" t="s">
        <v>13072</v>
      </c>
      <c r="B4068" s="27" t="s">
        <v>13073</v>
      </c>
      <c r="C4068" s="27" t="s">
        <v>144</v>
      </c>
      <c r="D4068" s="26"/>
      <c r="E4068" s="27"/>
      <c r="F4068" s="27"/>
      <c r="G4068" s="27" t="s">
        <v>11122</v>
      </c>
      <c r="H4068" s="27" t="s">
        <v>35</v>
      </c>
      <c r="I4068" s="27" t="s">
        <v>40</v>
      </c>
      <c r="J4068" s="28" t="s">
        <v>161</v>
      </c>
      <c r="K4068" s="27" t="s">
        <v>40</v>
      </c>
      <c r="L4068" s="27"/>
    </row>
    <row r="4069" customFormat="false" ht="15" hidden="false" customHeight="false" outlineLevel="0" collapsed="false">
      <c r="A4069" s="26" t="s">
        <v>13074</v>
      </c>
      <c r="B4069" s="27" t="s">
        <v>13075</v>
      </c>
      <c r="C4069" s="27" t="s">
        <v>144</v>
      </c>
      <c r="D4069" s="26"/>
      <c r="E4069" s="27"/>
      <c r="F4069" s="27"/>
      <c r="G4069" s="27" t="s">
        <v>11122</v>
      </c>
      <c r="H4069" s="27" t="s">
        <v>35</v>
      </c>
      <c r="I4069" s="27" t="s">
        <v>40</v>
      </c>
      <c r="J4069" s="28" t="s">
        <v>161</v>
      </c>
      <c r="K4069" s="27" t="s">
        <v>40</v>
      </c>
      <c r="L4069" s="27"/>
    </row>
    <row r="4070" customFormat="false" ht="15" hidden="false" customHeight="false" outlineLevel="0" collapsed="false">
      <c r="A4070" s="26" t="s">
        <v>13076</v>
      </c>
      <c r="B4070" s="27" t="s">
        <v>13077</v>
      </c>
      <c r="C4070" s="27" t="s">
        <v>144</v>
      </c>
      <c r="D4070" s="26"/>
      <c r="E4070" s="27"/>
      <c r="F4070" s="27"/>
      <c r="G4070" s="27" t="s">
        <v>11122</v>
      </c>
      <c r="H4070" s="27" t="s">
        <v>35</v>
      </c>
      <c r="I4070" s="27" t="s">
        <v>40</v>
      </c>
      <c r="J4070" s="28" t="s">
        <v>161</v>
      </c>
      <c r="K4070" s="27" t="s">
        <v>40</v>
      </c>
      <c r="L4070" s="27"/>
    </row>
    <row r="4071" customFormat="false" ht="15" hidden="false" customHeight="false" outlineLevel="0" collapsed="false">
      <c r="A4071" s="26" t="s">
        <v>13078</v>
      </c>
      <c r="B4071" s="27" t="s">
        <v>13079</v>
      </c>
      <c r="C4071" s="27" t="s">
        <v>144</v>
      </c>
      <c r="D4071" s="26"/>
      <c r="E4071" s="27"/>
      <c r="F4071" s="27"/>
      <c r="G4071" s="27" t="s">
        <v>11122</v>
      </c>
      <c r="H4071" s="27" t="s">
        <v>35</v>
      </c>
      <c r="I4071" s="27" t="s">
        <v>40</v>
      </c>
      <c r="J4071" s="28" t="s">
        <v>161</v>
      </c>
      <c r="K4071" s="27" t="s">
        <v>40</v>
      </c>
      <c r="L4071" s="27"/>
    </row>
    <row r="4072" customFormat="false" ht="15" hidden="false" customHeight="false" outlineLevel="0" collapsed="false">
      <c r="A4072" s="26" t="s">
        <v>13080</v>
      </c>
      <c r="B4072" s="27" t="s">
        <v>13081</v>
      </c>
      <c r="C4072" s="27" t="s">
        <v>144</v>
      </c>
      <c r="D4072" s="26"/>
      <c r="E4072" s="27"/>
      <c r="F4072" s="27"/>
      <c r="G4072" s="27" t="s">
        <v>11122</v>
      </c>
      <c r="H4072" s="27" t="s">
        <v>35</v>
      </c>
      <c r="I4072" s="27" t="s">
        <v>40</v>
      </c>
      <c r="J4072" s="28" t="s">
        <v>161</v>
      </c>
      <c r="K4072" s="27" t="s">
        <v>40</v>
      </c>
      <c r="L4072" s="27"/>
    </row>
    <row r="4073" customFormat="false" ht="15" hidden="false" customHeight="false" outlineLevel="0" collapsed="false">
      <c r="A4073" s="26" t="s">
        <v>13082</v>
      </c>
      <c r="B4073" s="27" t="s">
        <v>13083</v>
      </c>
      <c r="C4073" s="27" t="s">
        <v>144</v>
      </c>
      <c r="D4073" s="26"/>
      <c r="E4073" s="27"/>
      <c r="F4073" s="27"/>
      <c r="G4073" s="27" t="s">
        <v>11122</v>
      </c>
      <c r="H4073" s="27" t="s">
        <v>35</v>
      </c>
      <c r="I4073" s="27" t="s">
        <v>40</v>
      </c>
      <c r="J4073" s="28" t="s">
        <v>161</v>
      </c>
      <c r="K4073" s="27" t="s">
        <v>40</v>
      </c>
      <c r="L4073" s="27"/>
    </row>
    <row r="4074" customFormat="false" ht="15" hidden="false" customHeight="false" outlineLevel="0" collapsed="false">
      <c r="A4074" s="26" t="s">
        <v>13084</v>
      </c>
      <c r="B4074" s="27" t="s">
        <v>13085</v>
      </c>
      <c r="C4074" s="27" t="s">
        <v>144</v>
      </c>
      <c r="D4074" s="26"/>
      <c r="E4074" s="27"/>
      <c r="F4074" s="27"/>
      <c r="G4074" s="27" t="s">
        <v>11122</v>
      </c>
      <c r="H4074" s="27" t="s">
        <v>35</v>
      </c>
      <c r="I4074" s="27" t="s">
        <v>40</v>
      </c>
      <c r="J4074" s="28" t="s">
        <v>161</v>
      </c>
      <c r="K4074" s="27" t="s">
        <v>40</v>
      </c>
      <c r="L4074" s="27"/>
    </row>
    <row r="4075" customFormat="false" ht="15" hidden="false" customHeight="false" outlineLevel="0" collapsed="false">
      <c r="A4075" s="26" t="s">
        <v>13086</v>
      </c>
      <c r="B4075" s="27" t="s">
        <v>13087</v>
      </c>
      <c r="C4075" s="27" t="s">
        <v>144</v>
      </c>
      <c r="D4075" s="26"/>
      <c r="E4075" s="27"/>
      <c r="F4075" s="27"/>
      <c r="G4075" s="27" t="s">
        <v>11122</v>
      </c>
      <c r="H4075" s="27" t="s">
        <v>35</v>
      </c>
      <c r="I4075" s="27" t="s">
        <v>40</v>
      </c>
      <c r="J4075" s="28" t="s">
        <v>161</v>
      </c>
      <c r="K4075" s="27" t="s">
        <v>40</v>
      </c>
      <c r="L4075" s="27"/>
    </row>
    <row r="4076" customFormat="false" ht="15" hidden="false" customHeight="false" outlineLevel="0" collapsed="false">
      <c r="A4076" s="26" t="s">
        <v>13088</v>
      </c>
      <c r="B4076" s="27" t="s">
        <v>13089</v>
      </c>
      <c r="C4076" s="27" t="s">
        <v>144</v>
      </c>
      <c r="D4076" s="26"/>
      <c r="E4076" s="27"/>
      <c r="F4076" s="27"/>
      <c r="G4076" s="27" t="s">
        <v>11122</v>
      </c>
      <c r="H4076" s="27" t="s">
        <v>35</v>
      </c>
      <c r="I4076" s="27" t="s">
        <v>40</v>
      </c>
      <c r="J4076" s="28" t="s">
        <v>161</v>
      </c>
      <c r="K4076" s="27" t="s">
        <v>40</v>
      </c>
      <c r="L4076" s="27"/>
    </row>
    <row r="4077" customFormat="false" ht="15" hidden="false" customHeight="false" outlineLevel="0" collapsed="false">
      <c r="A4077" s="26" t="s">
        <v>13090</v>
      </c>
      <c r="B4077" s="27" t="s">
        <v>13091</v>
      </c>
      <c r="C4077" s="27" t="s">
        <v>144</v>
      </c>
      <c r="D4077" s="26"/>
      <c r="E4077" s="27"/>
      <c r="F4077" s="27"/>
      <c r="G4077" s="27" t="s">
        <v>11122</v>
      </c>
      <c r="H4077" s="27" t="s">
        <v>35</v>
      </c>
      <c r="I4077" s="27" t="s">
        <v>40</v>
      </c>
      <c r="J4077" s="28" t="s">
        <v>161</v>
      </c>
      <c r="K4077" s="27" t="s">
        <v>40</v>
      </c>
      <c r="L4077" s="27"/>
    </row>
    <row r="4078" customFormat="false" ht="15" hidden="false" customHeight="false" outlineLevel="0" collapsed="false">
      <c r="A4078" s="26" t="s">
        <v>13092</v>
      </c>
      <c r="B4078" s="27" t="s">
        <v>13093</v>
      </c>
      <c r="C4078" s="27" t="s">
        <v>144</v>
      </c>
      <c r="D4078" s="26"/>
      <c r="E4078" s="27"/>
      <c r="F4078" s="27"/>
      <c r="G4078" s="27" t="s">
        <v>11122</v>
      </c>
      <c r="H4078" s="27" t="s">
        <v>35</v>
      </c>
      <c r="I4078" s="27" t="s">
        <v>42</v>
      </c>
      <c r="J4078" s="28" t="s">
        <v>161</v>
      </c>
      <c r="K4078" s="27" t="s">
        <v>40</v>
      </c>
      <c r="L4078" s="27"/>
    </row>
    <row r="4079" customFormat="false" ht="15" hidden="false" customHeight="false" outlineLevel="0" collapsed="false">
      <c r="A4079" s="26" t="s">
        <v>13094</v>
      </c>
      <c r="B4079" s="27" t="s">
        <v>13095</v>
      </c>
      <c r="C4079" s="27" t="s">
        <v>144</v>
      </c>
      <c r="D4079" s="26"/>
      <c r="E4079" s="27"/>
      <c r="F4079" s="27"/>
      <c r="G4079" s="27" t="s">
        <v>11122</v>
      </c>
      <c r="H4079" s="27" t="s">
        <v>35</v>
      </c>
      <c r="I4079" s="27" t="s">
        <v>40</v>
      </c>
      <c r="J4079" s="28" t="s">
        <v>161</v>
      </c>
      <c r="K4079" s="27" t="s">
        <v>40</v>
      </c>
      <c r="L4079" s="27"/>
    </row>
    <row r="4080" customFormat="false" ht="15" hidden="false" customHeight="false" outlineLevel="0" collapsed="false">
      <c r="A4080" s="26" t="s">
        <v>13096</v>
      </c>
      <c r="B4080" s="27" t="s">
        <v>13097</v>
      </c>
      <c r="C4080" s="27" t="s">
        <v>144</v>
      </c>
      <c r="D4080" s="26"/>
      <c r="E4080" s="27"/>
      <c r="F4080" s="27"/>
      <c r="G4080" s="27" t="s">
        <v>11122</v>
      </c>
      <c r="H4080" s="27" t="s">
        <v>35</v>
      </c>
      <c r="I4080" s="27" t="s">
        <v>40</v>
      </c>
      <c r="J4080" s="28" t="s">
        <v>161</v>
      </c>
      <c r="K4080" s="27" t="s">
        <v>40</v>
      </c>
      <c r="L4080" s="27"/>
    </row>
    <row r="4081" customFormat="false" ht="15" hidden="false" customHeight="false" outlineLevel="0" collapsed="false">
      <c r="A4081" s="26" t="s">
        <v>13098</v>
      </c>
      <c r="B4081" s="27" t="s">
        <v>13099</v>
      </c>
      <c r="C4081" s="27" t="s">
        <v>144</v>
      </c>
      <c r="D4081" s="26"/>
      <c r="E4081" s="27"/>
      <c r="F4081" s="27"/>
      <c r="G4081" s="27" t="s">
        <v>11122</v>
      </c>
      <c r="H4081" s="27" t="s">
        <v>35</v>
      </c>
      <c r="I4081" s="27" t="s">
        <v>40</v>
      </c>
      <c r="J4081" s="28" t="s">
        <v>161</v>
      </c>
      <c r="K4081" s="27" t="s">
        <v>40</v>
      </c>
      <c r="L4081" s="27"/>
    </row>
    <row r="4082" customFormat="false" ht="15" hidden="false" customHeight="false" outlineLevel="0" collapsed="false">
      <c r="A4082" s="26" t="s">
        <v>13100</v>
      </c>
      <c r="B4082" s="27" t="s">
        <v>13101</v>
      </c>
      <c r="C4082" s="27" t="s">
        <v>144</v>
      </c>
      <c r="D4082" s="26"/>
      <c r="E4082" s="27"/>
      <c r="F4082" s="27"/>
      <c r="G4082" s="27" t="s">
        <v>11122</v>
      </c>
      <c r="H4082" s="27" t="s">
        <v>35</v>
      </c>
      <c r="I4082" s="27" t="s">
        <v>40</v>
      </c>
      <c r="J4082" s="28" t="s">
        <v>161</v>
      </c>
      <c r="K4082" s="27" t="s">
        <v>40</v>
      </c>
      <c r="L4082" s="27"/>
    </row>
    <row r="4083" customFormat="false" ht="15" hidden="false" customHeight="false" outlineLevel="0" collapsed="false">
      <c r="A4083" s="26" t="s">
        <v>13102</v>
      </c>
      <c r="B4083" s="27" t="s">
        <v>13103</v>
      </c>
      <c r="C4083" s="27" t="s">
        <v>144</v>
      </c>
      <c r="D4083" s="26"/>
      <c r="E4083" s="27"/>
      <c r="F4083" s="27"/>
      <c r="G4083" s="27" t="s">
        <v>11122</v>
      </c>
      <c r="H4083" s="27" t="s">
        <v>35</v>
      </c>
      <c r="I4083" s="27" t="s">
        <v>47</v>
      </c>
      <c r="J4083" s="28" t="s">
        <v>161</v>
      </c>
      <c r="K4083" s="27" t="s">
        <v>40</v>
      </c>
      <c r="L4083" s="27"/>
    </row>
    <row r="4084" customFormat="false" ht="15" hidden="false" customHeight="false" outlineLevel="0" collapsed="false">
      <c r="A4084" s="26" t="s">
        <v>13104</v>
      </c>
      <c r="B4084" s="27" t="s">
        <v>13105</v>
      </c>
      <c r="C4084" s="27" t="s">
        <v>144</v>
      </c>
      <c r="D4084" s="26"/>
      <c r="E4084" s="27"/>
      <c r="F4084" s="27"/>
      <c r="G4084" s="27" t="s">
        <v>11122</v>
      </c>
      <c r="H4084" s="27" t="s">
        <v>35</v>
      </c>
      <c r="I4084" s="27" t="s">
        <v>40</v>
      </c>
      <c r="J4084" s="28" t="s">
        <v>161</v>
      </c>
      <c r="K4084" s="27" t="s">
        <v>40</v>
      </c>
      <c r="L4084" s="27"/>
    </row>
    <row r="4085" customFormat="false" ht="15" hidden="false" customHeight="false" outlineLevel="0" collapsed="false">
      <c r="A4085" s="26" t="s">
        <v>13106</v>
      </c>
      <c r="B4085" s="27" t="s">
        <v>13107</v>
      </c>
      <c r="C4085" s="27" t="s">
        <v>144</v>
      </c>
      <c r="D4085" s="26"/>
      <c r="E4085" s="27"/>
      <c r="F4085" s="27"/>
      <c r="G4085" s="27" t="s">
        <v>11122</v>
      </c>
      <c r="H4085" s="27" t="s">
        <v>35</v>
      </c>
      <c r="I4085" s="27" t="s">
        <v>40</v>
      </c>
      <c r="J4085" s="28" t="s">
        <v>161</v>
      </c>
      <c r="K4085" s="27" t="s">
        <v>40</v>
      </c>
      <c r="L4085" s="27"/>
    </row>
    <row r="4086" customFormat="false" ht="15" hidden="false" customHeight="false" outlineLevel="0" collapsed="false">
      <c r="A4086" s="26" t="s">
        <v>13108</v>
      </c>
      <c r="B4086" s="27" t="s">
        <v>13109</v>
      </c>
      <c r="C4086" s="27" t="s">
        <v>144</v>
      </c>
      <c r="D4086" s="26"/>
      <c r="E4086" s="27"/>
      <c r="F4086" s="27"/>
      <c r="G4086" s="27" t="s">
        <v>11122</v>
      </c>
      <c r="H4086" s="27" t="s">
        <v>35</v>
      </c>
      <c r="I4086" s="27" t="s">
        <v>40</v>
      </c>
      <c r="J4086" s="28" t="s">
        <v>161</v>
      </c>
      <c r="K4086" s="27" t="s">
        <v>40</v>
      </c>
      <c r="L4086" s="27"/>
    </row>
    <row r="4087" customFormat="false" ht="15" hidden="false" customHeight="false" outlineLevel="0" collapsed="false">
      <c r="A4087" s="26" t="s">
        <v>13110</v>
      </c>
      <c r="B4087" s="27" t="s">
        <v>13111</v>
      </c>
      <c r="C4087" s="27" t="s">
        <v>144</v>
      </c>
      <c r="D4087" s="26"/>
      <c r="E4087" s="27"/>
      <c r="F4087" s="27"/>
      <c r="G4087" s="27" t="s">
        <v>11122</v>
      </c>
      <c r="H4087" s="27" t="s">
        <v>35</v>
      </c>
      <c r="I4087" s="27" t="s">
        <v>40</v>
      </c>
      <c r="J4087" s="28" t="s">
        <v>161</v>
      </c>
      <c r="K4087" s="27" t="s">
        <v>40</v>
      </c>
      <c r="L4087" s="27"/>
    </row>
    <row r="4088" customFormat="false" ht="15" hidden="false" customHeight="false" outlineLevel="0" collapsed="false">
      <c r="A4088" s="26" t="s">
        <v>13112</v>
      </c>
      <c r="B4088" s="27" t="s">
        <v>13113</v>
      </c>
      <c r="C4088" s="27" t="s">
        <v>144</v>
      </c>
      <c r="D4088" s="26"/>
      <c r="E4088" s="27"/>
      <c r="F4088" s="27"/>
      <c r="G4088" s="27" t="s">
        <v>11122</v>
      </c>
      <c r="H4088" s="27" t="s">
        <v>35</v>
      </c>
      <c r="I4088" s="27" t="s">
        <v>40</v>
      </c>
      <c r="J4088" s="28" t="s">
        <v>161</v>
      </c>
      <c r="K4088" s="27" t="s">
        <v>40</v>
      </c>
      <c r="L4088" s="27"/>
    </row>
    <row r="4089" customFormat="false" ht="15" hidden="false" customHeight="false" outlineLevel="0" collapsed="false">
      <c r="A4089" s="26" t="s">
        <v>13114</v>
      </c>
      <c r="B4089" s="27" t="s">
        <v>13115</v>
      </c>
      <c r="C4089" s="27" t="s">
        <v>144</v>
      </c>
      <c r="D4089" s="26"/>
      <c r="E4089" s="27"/>
      <c r="F4089" s="27"/>
      <c r="G4089" s="27" t="s">
        <v>11122</v>
      </c>
      <c r="H4089" s="27" t="s">
        <v>35</v>
      </c>
      <c r="I4089" s="27" t="s">
        <v>40</v>
      </c>
      <c r="J4089" s="28" t="s">
        <v>161</v>
      </c>
      <c r="K4089" s="27" t="s">
        <v>40</v>
      </c>
      <c r="L4089" s="27"/>
    </row>
    <row r="4090" customFormat="false" ht="15" hidden="false" customHeight="false" outlineLevel="0" collapsed="false">
      <c r="A4090" s="26" t="s">
        <v>13116</v>
      </c>
      <c r="B4090" s="27" t="s">
        <v>13117</v>
      </c>
      <c r="C4090" s="27" t="s">
        <v>144</v>
      </c>
      <c r="D4090" s="26"/>
      <c r="E4090" s="27"/>
      <c r="F4090" s="27"/>
      <c r="G4090" s="27" t="s">
        <v>11122</v>
      </c>
      <c r="H4090" s="27" t="s">
        <v>35</v>
      </c>
      <c r="I4090" s="27" t="s">
        <v>40</v>
      </c>
      <c r="J4090" s="28" t="s">
        <v>161</v>
      </c>
      <c r="K4090" s="27" t="s">
        <v>40</v>
      </c>
      <c r="L4090" s="27"/>
    </row>
    <row r="4091" customFormat="false" ht="15" hidden="false" customHeight="false" outlineLevel="0" collapsed="false">
      <c r="A4091" s="26" t="s">
        <v>13118</v>
      </c>
      <c r="B4091" s="27" t="s">
        <v>13119</v>
      </c>
      <c r="C4091" s="27" t="s">
        <v>144</v>
      </c>
      <c r="D4091" s="26"/>
      <c r="E4091" s="27"/>
      <c r="F4091" s="27"/>
      <c r="G4091" s="27" t="s">
        <v>11122</v>
      </c>
      <c r="H4091" s="27" t="s">
        <v>35</v>
      </c>
      <c r="I4091" s="27" t="s">
        <v>38</v>
      </c>
      <c r="J4091" s="28" t="s">
        <v>161</v>
      </c>
      <c r="K4091" s="27" t="s">
        <v>40</v>
      </c>
      <c r="L4091" s="27"/>
    </row>
    <row r="4092" customFormat="false" ht="15" hidden="false" customHeight="false" outlineLevel="0" collapsed="false">
      <c r="A4092" s="26" t="s">
        <v>13120</v>
      </c>
      <c r="B4092" s="27" t="s">
        <v>13121</v>
      </c>
      <c r="C4092" s="27" t="s">
        <v>144</v>
      </c>
      <c r="D4092" s="26"/>
      <c r="E4092" s="27"/>
      <c r="F4092" s="27"/>
      <c r="G4092" s="27" t="s">
        <v>11122</v>
      </c>
      <c r="H4092" s="27" t="s">
        <v>35</v>
      </c>
      <c r="I4092" s="27" t="s">
        <v>40</v>
      </c>
      <c r="J4092" s="28" t="s">
        <v>161</v>
      </c>
      <c r="K4092" s="27" t="s">
        <v>40</v>
      </c>
      <c r="L4092" s="27"/>
    </row>
    <row r="4093" customFormat="false" ht="15" hidden="false" customHeight="false" outlineLevel="0" collapsed="false">
      <c r="A4093" s="26" t="s">
        <v>13122</v>
      </c>
      <c r="B4093" s="27" t="s">
        <v>13123</v>
      </c>
      <c r="C4093" s="27" t="s">
        <v>144</v>
      </c>
      <c r="D4093" s="26"/>
      <c r="E4093" s="27"/>
      <c r="F4093" s="27"/>
      <c r="G4093" s="27" t="s">
        <v>11122</v>
      </c>
      <c r="H4093" s="27" t="s">
        <v>35</v>
      </c>
      <c r="I4093" s="27" t="s">
        <v>40</v>
      </c>
      <c r="J4093" s="28" t="s">
        <v>161</v>
      </c>
      <c r="K4093" s="27" t="s">
        <v>40</v>
      </c>
      <c r="L4093" s="27"/>
    </row>
    <row r="4094" customFormat="false" ht="15" hidden="false" customHeight="false" outlineLevel="0" collapsed="false">
      <c r="A4094" s="26" t="s">
        <v>13124</v>
      </c>
      <c r="B4094" s="27" t="s">
        <v>13125</v>
      </c>
      <c r="C4094" s="27" t="s">
        <v>144</v>
      </c>
      <c r="D4094" s="26"/>
      <c r="E4094" s="27"/>
      <c r="F4094" s="27"/>
      <c r="G4094" s="27" t="s">
        <v>11122</v>
      </c>
      <c r="H4094" s="27" t="s">
        <v>35</v>
      </c>
      <c r="I4094" s="27" t="s">
        <v>40</v>
      </c>
      <c r="J4094" s="28" t="s">
        <v>161</v>
      </c>
      <c r="K4094" s="27" t="s">
        <v>40</v>
      </c>
      <c r="L4094" s="27"/>
    </row>
    <row r="4095" customFormat="false" ht="15" hidden="false" customHeight="false" outlineLevel="0" collapsed="false">
      <c r="A4095" s="26" t="s">
        <v>13126</v>
      </c>
      <c r="B4095" s="27" t="s">
        <v>13127</v>
      </c>
      <c r="C4095" s="27" t="s">
        <v>144</v>
      </c>
      <c r="D4095" s="26"/>
      <c r="E4095" s="27"/>
      <c r="F4095" s="27"/>
      <c r="G4095" s="27" t="s">
        <v>11122</v>
      </c>
      <c r="H4095" s="27" t="s">
        <v>35</v>
      </c>
      <c r="I4095" s="27" t="s">
        <v>40</v>
      </c>
      <c r="J4095" s="28" t="s">
        <v>161</v>
      </c>
      <c r="K4095" s="27" t="s">
        <v>40</v>
      </c>
      <c r="L4095" s="27"/>
    </row>
    <row r="4096" customFormat="false" ht="15" hidden="false" customHeight="false" outlineLevel="0" collapsed="false">
      <c r="A4096" s="26" t="s">
        <v>13128</v>
      </c>
      <c r="B4096" s="27" t="s">
        <v>13129</v>
      </c>
      <c r="C4096" s="27" t="s">
        <v>144</v>
      </c>
      <c r="D4096" s="26"/>
      <c r="E4096" s="27"/>
      <c r="F4096" s="27"/>
      <c r="G4096" s="27" t="s">
        <v>11122</v>
      </c>
      <c r="H4096" s="27" t="s">
        <v>35</v>
      </c>
      <c r="I4096" s="27" t="s">
        <v>40</v>
      </c>
      <c r="J4096" s="28" t="s">
        <v>161</v>
      </c>
      <c r="K4096" s="27" t="s">
        <v>40</v>
      </c>
      <c r="L4096" s="27"/>
    </row>
    <row r="4097" customFormat="false" ht="15" hidden="false" customHeight="false" outlineLevel="0" collapsed="false">
      <c r="A4097" s="26" t="s">
        <v>13130</v>
      </c>
      <c r="B4097" s="27" t="s">
        <v>13131</v>
      </c>
      <c r="C4097" s="27" t="s">
        <v>144</v>
      </c>
      <c r="D4097" s="26"/>
      <c r="E4097" s="27"/>
      <c r="F4097" s="27"/>
      <c r="G4097" s="27" t="s">
        <v>11122</v>
      </c>
      <c r="H4097" s="27" t="s">
        <v>35</v>
      </c>
      <c r="I4097" s="27" t="s">
        <v>40</v>
      </c>
      <c r="J4097" s="28" t="s">
        <v>161</v>
      </c>
      <c r="K4097" s="27" t="s">
        <v>40</v>
      </c>
      <c r="L4097" s="27"/>
    </row>
    <row r="4098" customFormat="false" ht="15" hidden="false" customHeight="false" outlineLevel="0" collapsed="false">
      <c r="A4098" s="26" t="s">
        <v>13132</v>
      </c>
      <c r="B4098" s="27" t="s">
        <v>13133</v>
      </c>
      <c r="C4098" s="27" t="s">
        <v>144</v>
      </c>
      <c r="D4098" s="26"/>
      <c r="E4098" s="27"/>
      <c r="F4098" s="27"/>
      <c r="G4098" s="27" t="s">
        <v>11122</v>
      </c>
      <c r="H4098" s="27" t="s">
        <v>35</v>
      </c>
      <c r="I4098" s="27" t="s">
        <v>40</v>
      </c>
      <c r="J4098" s="28" t="s">
        <v>161</v>
      </c>
      <c r="K4098" s="27" t="s">
        <v>40</v>
      </c>
      <c r="L4098" s="27"/>
    </row>
    <row r="4099" customFormat="false" ht="15" hidden="false" customHeight="false" outlineLevel="0" collapsed="false">
      <c r="A4099" s="26" t="s">
        <v>13134</v>
      </c>
      <c r="B4099" s="27" t="s">
        <v>13135</v>
      </c>
      <c r="C4099" s="27" t="s">
        <v>144</v>
      </c>
      <c r="D4099" s="26"/>
      <c r="E4099" s="27"/>
      <c r="F4099" s="27"/>
      <c r="G4099" s="27" t="s">
        <v>11122</v>
      </c>
      <c r="H4099" s="27" t="s">
        <v>35</v>
      </c>
      <c r="I4099" s="27" t="s">
        <v>40</v>
      </c>
      <c r="J4099" s="28" t="s">
        <v>161</v>
      </c>
      <c r="K4099" s="27" t="s">
        <v>40</v>
      </c>
      <c r="L4099" s="27"/>
    </row>
    <row r="4100" customFormat="false" ht="15" hidden="false" customHeight="false" outlineLevel="0" collapsed="false">
      <c r="A4100" s="26" t="s">
        <v>13136</v>
      </c>
      <c r="B4100" s="27" t="s">
        <v>13137</v>
      </c>
      <c r="C4100" s="27" t="s">
        <v>144</v>
      </c>
      <c r="D4100" s="26"/>
      <c r="E4100" s="27"/>
      <c r="F4100" s="27"/>
      <c r="G4100" s="27" t="s">
        <v>11122</v>
      </c>
      <c r="H4100" s="27" t="s">
        <v>35</v>
      </c>
      <c r="I4100" s="27" t="s">
        <v>47</v>
      </c>
      <c r="J4100" s="28" t="s">
        <v>161</v>
      </c>
      <c r="K4100" s="27" t="s">
        <v>40</v>
      </c>
      <c r="L4100" s="27"/>
    </row>
    <row r="4101" customFormat="false" ht="15" hidden="false" customHeight="false" outlineLevel="0" collapsed="false">
      <c r="A4101" s="26" t="s">
        <v>13138</v>
      </c>
      <c r="B4101" s="28" t="s">
        <v>13139</v>
      </c>
      <c r="C4101" s="27" t="s">
        <v>144</v>
      </c>
      <c r="D4101" s="26"/>
      <c r="E4101" s="27"/>
      <c r="F4101" s="27"/>
      <c r="G4101" s="27" t="s">
        <v>11122</v>
      </c>
      <c r="H4101" s="27" t="s">
        <v>35</v>
      </c>
      <c r="I4101" s="27" t="s">
        <v>37</v>
      </c>
      <c r="J4101" s="28" t="s">
        <v>161</v>
      </c>
      <c r="K4101" s="27" t="s">
        <v>40</v>
      </c>
      <c r="L4101" s="27"/>
    </row>
    <row r="4102" customFormat="false" ht="15" hidden="false" customHeight="false" outlineLevel="0" collapsed="false">
      <c r="A4102" s="26" t="s">
        <v>13140</v>
      </c>
      <c r="B4102" s="27" t="s">
        <v>13141</v>
      </c>
      <c r="C4102" s="27" t="s">
        <v>144</v>
      </c>
      <c r="D4102" s="26"/>
      <c r="E4102" s="27"/>
      <c r="F4102" s="27"/>
      <c r="G4102" s="27" t="s">
        <v>11122</v>
      </c>
      <c r="H4102" s="27" t="s">
        <v>35</v>
      </c>
      <c r="I4102" s="27" t="s">
        <v>40</v>
      </c>
      <c r="J4102" s="28" t="s">
        <v>161</v>
      </c>
      <c r="K4102" s="27" t="s">
        <v>40</v>
      </c>
      <c r="L4102" s="27"/>
    </row>
    <row r="4103" customFormat="false" ht="15" hidden="false" customHeight="false" outlineLevel="0" collapsed="false">
      <c r="A4103" s="26" t="s">
        <v>13142</v>
      </c>
      <c r="B4103" s="27" t="s">
        <v>13143</v>
      </c>
      <c r="C4103" s="27" t="s">
        <v>144</v>
      </c>
      <c r="D4103" s="26"/>
      <c r="E4103" s="27"/>
      <c r="F4103" s="27"/>
      <c r="G4103" s="27" t="s">
        <v>11122</v>
      </c>
      <c r="H4103" s="27" t="s">
        <v>35</v>
      </c>
      <c r="I4103" s="27" t="s">
        <v>40</v>
      </c>
      <c r="J4103" s="28" t="s">
        <v>161</v>
      </c>
      <c r="K4103" s="27" t="s">
        <v>40</v>
      </c>
      <c r="L4103" s="27"/>
    </row>
    <row r="4104" customFormat="false" ht="15" hidden="false" customHeight="false" outlineLevel="0" collapsed="false">
      <c r="A4104" s="26" t="s">
        <v>13144</v>
      </c>
      <c r="B4104" s="27" t="s">
        <v>13145</v>
      </c>
      <c r="C4104" s="27" t="s">
        <v>370</v>
      </c>
      <c r="D4104" s="26"/>
      <c r="E4104" s="27"/>
      <c r="F4104" s="27"/>
      <c r="G4104" s="27" t="s">
        <v>11122</v>
      </c>
      <c r="H4104" s="27" t="s">
        <v>35</v>
      </c>
      <c r="I4104" s="27" t="s">
        <v>37</v>
      </c>
      <c r="J4104" s="28" t="s">
        <v>161</v>
      </c>
      <c r="K4104" s="27" t="s">
        <v>40</v>
      </c>
      <c r="L4104" s="27"/>
    </row>
    <row r="4105" customFormat="false" ht="15" hidden="false" customHeight="false" outlineLevel="0" collapsed="false">
      <c r="A4105" s="26" t="s">
        <v>13146</v>
      </c>
      <c r="B4105" s="27" t="s">
        <v>13147</v>
      </c>
      <c r="C4105" s="27" t="s">
        <v>144</v>
      </c>
      <c r="D4105" s="26"/>
      <c r="E4105" s="27"/>
      <c r="F4105" s="27"/>
      <c r="G4105" s="27" t="s">
        <v>11122</v>
      </c>
      <c r="H4105" s="27" t="s">
        <v>35</v>
      </c>
      <c r="I4105" s="27" t="s">
        <v>48</v>
      </c>
      <c r="J4105" s="28" t="s">
        <v>161</v>
      </c>
      <c r="K4105" s="27" t="s">
        <v>40</v>
      </c>
      <c r="L4105" s="27"/>
    </row>
    <row r="4106" customFormat="false" ht="15" hidden="false" customHeight="false" outlineLevel="0" collapsed="false">
      <c r="A4106" s="26" t="s">
        <v>13148</v>
      </c>
      <c r="B4106" s="27" t="s">
        <v>13149</v>
      </c>
      <c r="C4106" s="27" t="s">
        <v>144</v>
      </c>
      <c r="D4106" s="26"/>
      <c r="E4106" s="27"/>
      <c r="F4106" s="27"/>
      <c r="G4106" s="27" t="s">
        <v>11122</v>
      </c>
      <c r="H4106" s="27" t="s">
        <v>35</v>
      </c>
      <c r="I4106" s="27" t="s">
        <v>48</v>
      </c>
      <c r="J4106" s="28" t="s">
        <v>161</v>
      </c>
      <c r="K4106" s="27" t="s">
        <v>40</v>
      </c>
      <c r="L4106" s="27"/>
    </row>
    <row r="4107" customFormat="false" ht="15" hidden="false" customHeight="false" outlineLevel="0" collapsed="false">
      <c r="A4107" s="26" t="s">
        <v>13150</v>
      </c>
      <c r="B4107" s="27" t="s">
        <v>13151</v>
      </c>
      <c r="C4107" s="27" t="s">
        <v>144</v>
      </c>
      <c r="D4107" s="26"/>
      <c r="E4107" s="27"/>
      <c r="F4107" s="27"/>
      <c r="G4107" s="27" t="s">
        <v>11122</v>
      </c>
      <c r="H4107" s="27" t="s">
        <v>35</v>
      </c>
      <c r="I4107" s="28" t="s">
        <v>46</v>
      </c>
      <c r="J4107" s="28" t="s">
        <v>161</v>
      </c>
      <c r="K4107" s="27" t="s">
        <v>40</v>
      </c>
      <c r="L4107" s="27"/>
    </row>
    <row r="4108" customFormat="false" ht="15" hidden="false" customHeight="false" outlineLevel="0" collapsed="false">
      <c r="A4108" s="26" t="s">
        <v>13152</v>
      </c>
      <c r="B4108" s="27" t="s">
        <v>13153</v>
      </c>
      <c r="C4108" s="27" t="s">
        <v>144</v>
      </c>
      <c r="D4108" s="26"/>
      <c r="E4108" s="27"/>
      <c r="F4108" s="27"/>
      <c r="G4108" s="27" t="s">
        <v>11122</v>
      </c>
      <c r="H4108" s="27" t="s">
        <v>35</v>
      </c>
      <c r="I4108" s="27" t="s">
        <v>40</v>
      </c>
      <c r="J4108" s="28" t="s">
        <v>161</v>
      </c>
      <c r="K4108" s="27" t="s">
        <v>40</v>
      </c>
      <c r="L4108" s="27"/>
    </row>
    <row r="4109" customFormat="false" ht="15" hidden="false" customHeight="false" outlineLevel="0" collapsed="false">
      <c r="A4109" s="26" t="s">
        <v>13154</v>
      </c>
      <c r="B4109" s="27" t="s">
        <v>13155</v>
      </c>
      <c r="C4109" s="27" t="s">
        <v>144</v>
      </c>
      <c r="D4109" s="26"/>
      <c r="E4109" s="27"/>
      <c r="F4109" s="27"/>
      <c r="G4109" s="27" t="s">
        <v>11122</v>
      </c>
      <c r="H4109" s="27" t="s">
        <v>35</v>
      </c>
      <c r="I4109" s="27" t="s">
        <v>40</v>
      </c>
      <c r="J4109" s="28" t="s">
        <v>161</v>
      </c>
      <c r="K4109" s="27" t="s">
        <v>40</v>
      </c>
      <c r="L4109" s="27"/>
    </row>
    <row r="4110" customFormat="false" ht="15" hidden="false" customHeight="false" outlineLevel="0" collapsed="false">
      <c r="A4110" s="26" t="s">
        <v>13156</v>
      </c>
      <c r="B4110" s="27" t="s">
        <v>13157</v>
      </c>
      <c r="C4110" s="27" t="s">
        <v>144</v>
      </c>
      <c r="D4110" s="26"/>
      <c r="E4110" s="27"/>
      <c r="F4110" s="27"/>
      <c r="G4110" s="27" t="s">
        <v>11122</v>
      </c>
      <c r="H4110" s="27" t="s">
        <v>35</v>
      </c>
      <c r="I4110" s="27" t="s">
        <v>40</v>
      </c>
      <c r="J4110" s="28" t="s">
        <v>161</v>
      </c>
      <c r="K4110" s="27" t="s">
        <v>40</v>
      </c>
      <c r="L4110" s="27"/>
    </row>
    <row r="4111" customFormat="false" ht="15" hidden="false" customHeight="false" outlineLevel="0" collapsed="false">
      <c r="A4111" s="26" t="s">
        <v>13158</v>
      </c>
      <c r="B4111" s="27" t="s">
        <v>13159</v>
      </c>
      <c r="C4111" s="27" t="s">
        <v>144</v>
      </c>
      <c r="D4111" s="26"/>
      <c r="E4111" s="27"/>
      <c r="F4111" s="27"/>
      <c r="G4111" s="27" t="s">
        <v>11122</v>
      </c>
      <c r="H4111" s="27" t="s">
        <v>35</v>
      </c>
      <c r="I4111" s="27" t="s">
        <v>40</v>
      </c>
      <c r="J4111" s="28" t="s">
        <v>161</v>
      </c>
      <c r="K4111" s="27" t="s">
        <v>40</v>
      </c>
      <c r="L4111" s="27"/>
    </row>
    <row r="4112" customFormat="false" ht="15" hidden="false" customHeight="false" outlineLevel="0" collapsed="false">
      <c r="A4112" s="26" t="s">
        <v>13160</v>
      </c>
      <c r="B4112" s="27" t="s">
        <v>13161</v>
      </c>
      <c r="C4112" s="27" t="s">
        <v>144</v>
      </c>
      <c r="D4112" s="26"/>
      <c r="E4112" s="27"/>
      <c r="F4112" s="27"/>
      <c r="G4112" s="27" t="s">
        <v>11122</v>
      </c>
      <c r="H4112" s="27" t="s">
        <v>35</v>
      </c>
      <c r="I4112" s="27" t="s">
        <v>40</v>
      </c>
      <c r="J4112" s="28" t="s">
        <v>161</v>
      </c>
      <c r="K4112" s="27" t="s">
        <v>40</v>
      </c>
      <c r="L4112" s="27"/>
    </row>
    <row r="4113" customFormat="false" ht="15" hidden="false" customHeight="false" outlineLevel="0" collapsed="false">
      <c r="A4113" s="26" t="s">
        <v>13162</v>
      </c>
      <c r="B4113" s="27" t="s">
        <v>13163</v>
      </c>
      <c r="C4113" s="27" t="s">
        <v>144</v>
      </c>
      <c r="D4113" s="26"/>
      <c r="E4113" s="27"/>
      <c r="F4113" s="27"/>
      <c r="G4113" s="27" t="s">
        <v>11122</v>
      </c>
      <c r="H4113" s="27" t="s">
        <v>35</v>
      </c>
      <c r="I4113" s="27" t="s">
        <v>40</v>
      </c>
      <c r="J4113" s="28" t="s">
        <v>161</v>
      </c>
      <c r="K4113" s="27" t="s">
        <v>40</v>
      </c>
      <c r="L4113" s="27"/>
    </row>
    <row r="4114" customFormat="false" ht="15" hidden="false" customHeight="false" outlineLevel="0" collapsed="false">
      <c r="A4114" s="26" t="s">
        <v>13164</v>
      </c>
      <c r="B4114" s="27" t="s">
        <v>13165</v>
      </c>
      <c r="C4114" s="27" t="s">
        <v>144</v>
      </c>
      <c r="D4114" s="26"/>
      <c r="E4114" s="27"/>
      <c r="F4114" s="27"/>
      <c r="G4114" s="27" t="s">
        <v>11122</v>
      </c>
      <c r="H4114" s="27" t="s">
        <v>35</v>
      </c>
      <c r="I4114" s="27" t="s">
        <v>40</v>
      </c>
      <c r="J4114" s="28" t="s">
        <v>161</v>
      </c>
      <c r="K4114" s="27" t="s">
        <v>40</v>
      </c>
      <c r="L4114" s="27"/>
    </row>
    <row r="4115" customFormat="false" ht="15" hidden="false" customHeight="false" outlineLevel="0" collapsed="false">
      <c r="A4115" s="26" t="s">
        <v>13166</v>
      </c>
      <c r="B4115" s="27" t="s">
        <v>13167</v>
      </c>
      <c r="C4115" s="27" t="s">
        <v>144</v>
      </c>
      <c r="D4115" s="26"/>
      <c r="E4115" s="27"/>
      <c r="F4115" s="27"/>
      <c r="G4115" s="27" t="s">
        <v>11122</v>
      </c>
      <c r="H4115" s="27" t="s">
        <v>35</v>
      </c>
      <c r="I4115" s="27" t="s">
        <v>4159</v>
      </c>
      <c r="J4115" s="28" t="s">
        <v>161</v>
      </c>
      <c r="K4115" s="27" t="s">
        <v>40</v>
      </c>
      <c r="L4115" s="27"/>
    </row>
    <row r="4116" customFormat="false" ht="15" hidden="false" customHeight="false" outlineLevel="0" collapsed="false">
      <c r="A4116" s="26" t="s">
        <v>13168</v>
      </c>
      <c r="B4116" s="27" t="s">
        <v>13169</v>
      </c>
      <c r="C4116" s="27" t="s">
        <v>144</v>
      </c>
      <c r="D4116" s="26"/>
      <c r="E4116" s="27"/>
      <c r="F4116" s="27"/>
      <c r="G4116" s="27" t="s">
        <v>11122</v>
      </c>
      <c r="H4116" s="27" t="s">
        <v>35</v>
      </c>
      <c r="I4116" s="27" t="s">
        <v>40</v>
      </c>
      <c r="J4116" s="28" t="s">
        <v>161</v>
      </c>
      <c r="K4116" s="27" t="s">
        <v>40</v>
      </c>
      <c r="L4116" s="27"/>
    </row>
    <row r="4117" customFormat="false" ht="15" hidden="false" customHeight="false" outlineLevel="0" collapsed="false">
      <c r="A4117" s="26" t="s">
        <v>13170</v>
      </c>
      <c r="B4117" s="27" t="s">
        <v>13171</v>
      </c>
      <c r="C4117" s="27" t="s">
        <v>144</v>
      </c>
      <c r="D4117" s="26"/>
      <c r="E4117" s="27"/>
      <c r="F4117" s="27"/>
      <c r="G4117" s="27" t="s">
        <v>11122</v>
      </c>
      <c r="H4117" s="27" t="s">
        <v>35</v>
      </c>
      <c r="I4117" s="27" t="s">
        <v>40</v>
      </c>
      <c r="J4117" s="28" t="s">
        <v>161</v>
      </c>
      <c r="K4117" s="27" t="s">
        <v>40</v>
      </c>
      <c r="L4117" s="27"/>
    </row>
    <row r="4118" customFormat="false" ht="15" hidden="false" customHeight="false" outlineLevel="0" collapsed="false">
      <c r="A4118" s="26" t="s">
        <v>13172</v>
      </c>
      <c r="B4118" s="27" t="s">
        <v>13173</v>
      </c>
      <c r="C4118" s="27" t="s">
        <v>144</v>
      </c>
      <c r="D4118" s="26"/>
      <c r="E4118" s="27"/>
      <c r="F4118" s="27"/>
      <c r="G4118" s="27" t="s">
        <v>11122</v>
      </c>
      <c r="H4118" s="27" t="s">
        <v>35</v>
      </c>
      <c r="I4118" s="27" t="s">
        <v>40</v>
      </c>
      <c r="J4118" s="28" t="s">
        <v>161</v>
      </c>
      <c r="K4118" s="27" t="s">
        <v>40</v>
      </c>
      <c r="L4118" s="27"/>
    </row>
    <row r="4119" customFormat="false" ht="15" hidden="false" customHeight="false" outlineLevel="0" collapsed="false">
      <c r="A4119" s="26" t="s">
        <v>13174</v>
      </c>
      <c r="B4119" s="27" t="s">
        <v>13175</v>
      </c>
      <c r="C4119" s="27" t="s">
        <v>144</v>
      </c>
      <c r="D4119" s="26"/>
      <c r="E4119" s="27"/>
      <c r="F4119" s="27"/>
      <c r="G4119" s="27" t="s">
        <v>11122</v>
      </c>
      <c r="H4119" s="27" t="s">
        <v>35</v>
      </c>
      <c r="I4119" s="27" t="s">
        <v>40</v>
      </c>
      <c r="J4119" s="28" t="s">
        <v>161</v>
      </c>
      <c r="K4119" s="27" t="s">
        <v>40</v>
      </c>
      <c r="L4119" s="27"/>
    </row>
    <row r="4120" customFormat="false" ht="15" hidden="false" customHeight="false" outlineLevel="0" collapsed="false">
      <c r="A4120" s="26" t="s">
        <v>13176</v>
      </c>
      <c r="B4120" s="27" t="s">
        <v>13177</v>
      </c>
      <c r="C4120" s="27" t="s">
        <v>144</v>
      </c>
      <c r="D4120" s="26"/>
      <c r="E4120" s="27"/>
      <c r="F4120" s="27"/>
      <c r="G4120" s="27" t="s">
        <v>11122</v>
      </c>
      <c r="H4120" s="27" t="s">
        <v>35</v>
      </c>
      <c r="I4120" s="27" t="s">
        <v>42</v>
      </c>
      <c r="J4120" s="28" t="s">
        <v>161</v>
      </c>
      <c r="K4120" s="27" t="s">
        <v>40</v>
      </c>
      <c r="L4120" s="27"/>
    </row>
    <row r="4121" customFormat="false" ht="15" hidden="false" customHeight="false" outlineLevel="0" collapsed="false">
      <c r="A4121" s="26" t="s">
        <v>13178</v>
      </c>
      <c r="B4121" s="27" t="s">
        <v>13179</v>
      </c>
      <c r="C4121" s="27" t="s">
        <v>144</v>
      </c>
      <c r="D4121" s="26"/>
      <c r="E4121" s="27"/>
      <c r="F4121" s="27"/>
      <c r="G4121" s="27" t="s">
        <v>11122</v>
      </c>
      <c r="H4121" s="27" t="s">
        <v>35</v>
      </c>
      <c r="I4121" s="27" t="s">
        <v>39</v>
      </c>
      <c r="J4121" s="28" t="s">
        <v>161</v>
      </c>
      <c r="K4121" s="27" t="s">
        <v>40</v>
      </c>
      <c r="L4121" s="27"/>
    </row>
    <row r="4122" customFormat="false" ht="15" hidden="false" customHeight="false" outlineLevel="0" collapsed="false">
      <c r="A4122" s="26" t="s">
        <v>13180</v>
      </c>
      <c r="B4122" s="27" t="s">
        <v>13181</v>
      </c>
      <c r="C4122" s="27" t="s">
        <v>144</v>
      </c>
      <c r="D4122" s="26"/>
      <c r="E4122" s="27"/>
      <c r="F4122" s="27"/>
      <c r="G4122" s="27" t="s">
        <v>11122</v>
      </c>
      <c r="H4122" s="27" t="s">
        <v>35</v>
      </c>
      <c r="I4122" s="27" t="s">
        <v>40</v>
      </c>
      <c r="J4122" s="28" t="s">
        <v>161</v>
      </c>
      <c r="K4122" s="27" t="s">
        <v>40</v>
      </c>
      <c r="L4122" s="27"/>
    </row>
    <row r="4123" customFormat="false" ht="15" hidden="false" customHeight="false" outlineLevel="0" collapsed="false">
      <c r="A4123" s="26" t="s">
        <v>13182</v>
      </c>
      <c r="B4123" s="27" t="s">
        <v>13183</v>
      </c>
      <c r="C4123" s="27" t="s">
        <v>144</v>
      </c>
      <c r="D4123" s="26"/>
      <c r="E4123" s="27"/>
      <c r="F4123" s="27"/>
      <c r="G4123" s="27" t="s">
        <v>11122</v>
      </c>
      <c r="H4123" s="27" t="s">
        <v>35</v>
      </c>
      <c r="I4123" s="27" t="s">
        <v>40</v>
      </c>
      <c r="J4123" s="28" t="s">
        <v>161</v>
      </c>
      <c r="K4123" s="27" t="s">
        <v>40</v>
      </c>
      <c r="L4123" s="27"/>
    </row>
    <row r="4124" customFormat="false" ht="15" hidden="false" customHeight="false" outlineLevel="0" collapsed="false">
      <c r="A4124" s="26" t="s">
        <v>13184</v>
      </c>
      <c r="B4124" s="27" t="s">
        <v>13185</v>
      </c>
      <c r="C4124" s="27" t="s">
        <v>144</v>
      </c>
      <c r="D4124" s="26"/>
      <c r="E4124" s="27"/>
      <c r="F4124" s="27"/>
      <c r="G4124" s="27" t="s">
        <v>11122</v>
      </c>
      <c r="H4124" s="27" t="s">
        <v>35</v>
      </c>
      <c r="I4124" s="27" t="s">
        <v>48</v>
      </c>
      <c r="J4124" s="28" t="s">
        <v>161</v>
      </c>
      <c r="K4124" s="27" t="s">
        <v>40</v>
      </c>
      <c r="L4124" s="27"/>
    </row>
    <row r="4125" customFormat="false" ht="15" hidden="false" customHeight="false" outlineLevel="0" collapsed="false">
      <c r="A4125" s="26" t="s">
        <v>13186</v>
      </c>
      <c r="B4125" s="27" t="s">
        <v>13187</v>
      </c>
      <c r="C4125" s="27" t="s">
        <v>144</v>
      </c>
      <c r="D4125" s="26"/>
      <c r="E4125" s="27"/>
      <c r="F4125" s="27"/>
      <c r="G4125" s="27" t="s">
        <v>11122</v>
      </c>
      <c r="H4125" s="27" t="s">
        <v>35</v>
      </c>
      <c r="I4125" s="27" t="s">
        <v>48</v>
      </c>
      <c r="J4125" s="28" t="s">
        <v>161</v>
      </c>
      <c r="K4125" s="27" t="s">
        <v>40</v>
      </c>
      <c r="L4125" s="27"/>
    </row>
    <row r="4126" customFormat="false" ht="15" hidden="false" customHeight="false" outlineLevel="0" collapsed="false">
      <c r="A4126" s="26" t="s">
        <v>13188</v>
      </c>
      <c r="B4126" s="27" t="s">
        <v>13189</v>
      </c>
      <c r="C4126" s="27" t="s">
        <v>144</v>
      </c>
      <c r="D4126" s="26"/>
      <c r="E4126" s="27"/>
      <c r="F4126" s="27"/>
      <c r="G4126" s="27" t="s">
        <v>11122</v>
      </c>
      <c r="H4126" s="27" t="s">
        <v>35</v>
      </c>
      <c r="I4126" s="27" t="s">
        <v>48</v>
      </c>
      <c r="J4126" s="28" t="s">
        <v>161</v>
      </c>
      <c r="K4126" s="27" t="s">
        <v>40</v>
      </c>
      <c r="L4126" s="27"/>
    </row>
    <row r="4127" customFormat="false" ht="15" hidden="false" customHeight="false" outlineLevel="0" collapsed="false">
      <c r="A4127" s="26" t="s">
        <v>13190</v>
      </c>
      <c r="B4127" s="27" t="s">
        <v>13191</v>
      </c>
      <c r="C4127" s="27" t="s">
        <v>144</v>
      </c>
      <c r="D4127" s="26"/>
      <c r="E4127" s="27"/>
      <c r="F4127" s="27"/>
      <c r="G4127" s="27" t="s">
        <v>11122</v>
      </c>
      <c r="H4127" s="27" t="s">
        <v>35</v>
      </c>
      <c r="I4127" s="27" t="s">
        <v>48</v>
      </c>
      <c r="J4127" s="28" t="s">
        <v>161</v>
      </c>
      <c r="K4127" s="27" t="s">
        <v>40</v>
      </c>
      <c r="L4127" s="27"/>
    </row>
    <row r="4128" customFormat="false" ht="15" hidden="false" customHeight="false" outlineLevel="0" collapsed="false">
      <c r="A4128" s="26" t="s">
        <v>13192</v>
      </c>
      <c r="B4128" s="27" t="s">
        <v>13193</v>
      </c>
      <c r="C4128" s="27" t="s">
        <v>144</v>
      </c>
      <c r="D4128" s="26"/>
      <c r="E4128" s="27"/>
      <c r="F4128" s="27"/>
      <c r="G4128" s="27" t="s">
        <v>11122</v>
      </c>
      <c r="H4128" s="27" t="s">
        <v>35</v>
      </c>
      <c r="I4128" s="27" t="s">
        <v>48</v>
      </c>
      <c r="J4128" s="28" t="s">
        <v>161</v>
      </c>
      <c r="K4128" s="27" t="s">
        <v>40</v>
      </c>
      <c r="L4128" s="27"/>
    </row>
    <row r="4129" customFormat="false" ht="15" hidden="false" customHeight="false" outlineLevel="0" collapsed="false">
      <c r="A4129" s="26" t="s">
        <v>13194</v>
      </c>
      <c r="B4129" s="27" t="s">
        <v>13195</v>
      </c>
      <c r="C4129" s="27" t="s">
        <v>144</v>
      </c>
      <c r="D4129" s="26"/>
      <c r="E4129" s="27"/>
      <c r="F4129" s="27"/>
      <c r="G4129" s="27" t="s">
        <v>11122</v>
      </c>
      <c r="H4129" s="27" t="s">
        <v>35</v>
      </c>
      <c r="I4129" s="27" t="s">
        <v>48</v>
      </c>
      <c r="J4129" s="28" t="s">
        <v>161</v>
      </c>
      <c r="K4129" s="27" t="s">
        <v>40</v>
      </c>
      <c r="L4129" s="27"/>
    </row>
    <row r="4130" customFormat="false" ht="15" hidden="false" customHeight="false" outlineLevel="0" collapsed="false">
      <c r="A4130" s="26" t="s">
        <v>13196</v>
      </c>
      <c r="B4130" s="27" t="s">
        <v>13197</v>
      </c>
      <c r="C4130" s="27" t="s">
        <v>144</v>
      </c>
      <c r="D4130" s="26"/>
      <c r="E4130" s="27"/>
      <c r="F4130" s="27"/>
      <c r="G4130" s="27" t="s">
        <v>11122</v>
      </c>
      <c r="H4130" s="27" t="s">
        <v>35</v>
      </c>
      <c r="I4130" s="27" t="s">
        <v>40</v>
      </c>
      <c r="J4130" s="28" t="s">
        <v>161</v>
      </c>
      <c r="K4130" s="27" t="s">
        <v>40</v>
      </c>
      <c r="L4130" s="27"/>
    </row>
    <row r="4131" customFormat="false" ht="15" hidden="false" customHeight="false" outlineLevel="0" collapsed="false">
      <c r="A4131" s="26" t="s">
        <v>13198</v>
      </c>
      <c r="B4131" s="27" t="s">
        <v>13199</v>
      </c>
      <c r="C4131" s="27" t="s">
        <v>144</v>
      </c>
      <c r="D4131" s="26"/>
      <c r="E4131" s="27"/>
      <c r="F4131" s="27"/>
      <c r="G4131" s="27" t="s">
        <v>11122</v>
      </c>
      <c r="H4131" s="27" t="s">
        <v>35</v>
      </c>
      <c r="I4131" s="27" t="s">
        <v>40</v>
      </c>
      <c r="J4131" s="28" t="s">
        <v>161</v>
      </c>
      <c r="K4131" s="27" t="s">
        <v>40</v>
      </c>
      <c r="L4131" s="27"/>
    </row>
    <row r="4132" customFormat="false" ht="15" hidden="false" customHeight="false" outlineLevel="0" collapsed="false">
      <c r="A4132" s="26" t="s">
        <v>13200</v>
      </c>
      <c r="B4132" s="27" t="s">
        <v>13201</v>
      </c>
      <c r="C4132" s="27" t="s">
        <v>144</v>
      </c>
      <c r="D4132" s="26"/>
      <c r="E4132" s="27"/>
      <c r="F4132" s="27"/>
      <c r="G4132" s="27" t="s">
        <v>11122</v>
      </c>
      <c r="H4132" s="27" t="s">
        <v>35</v>
      </c>
      <c r="I4132" s="27" t="s">
        <v>43</v>
      </c>
      <c r="J4132" s="28" t="s">
        <v>161</v>
      </c>
      <c r="K4132" s="27" t="s">
        <v>40</v>
      </c>
      <c r="L4132" s="27"/>
    </row>
    <row r="4133" customFormat="false" ht="15" hidden="false" customHeight="false" outlineLevel="0" collapsed="false">
      <c r="A4133" s="26" t="s">
        <v>13202</v>
      </c>
      <c r="B4133" s="27" t="s">
        <v>13203</v>
      </c>
      <c r="C4133" s="27" t="s">
        <v>144</v>
      </c>
      <c r="D4133" s="26"/>
      <c r="E4133" s="27"/>
      <c r="F4133" s="27"/>
      <c r="G4133" s="27" t="s">
        <v>11122</v>
      </c>
      <c r="H4133" s="27" t="s">
        <v>35</v>
      </c>
      <c r="I4133" s="27" t="s">
        <v>40</v>
      </c>
      <c r="J4133" s="28" t="s">
        <v>161</v>
      </c>
      <c r="K4133" s="27" t="s">
        <v>40</v>
      </c>
      <c r="L4133" s="27"/>
    </row>
    <row r="4134" customFormat="false" ht="15" hidden="false" customHeight="false" outlineLevel="0" collapsed="false">
      <c r="A4134" s="26" t="s">
        <v>13204</v>
      </c>
      <c r="B4134" s="27" t="s">
        <v>13205</v>
      </c>
      <c r="C4134" s="27" t="s">
        <v>144</v>
      </c>
      <c r="D4134" s="26"/>
      <c r="E4134" s="27"/>
      <c r="F4134" s="27"/>
      <c r="G4134" s="27" t="s">
        <v>11122</v>
      </c>
      <c r="H4134" s="27" t="s">
        <v>35</v>
      </c>
      <c r="I4134" s="27" t="s">
        <v>39</v>
      </c>
      <c r="J4134" s="28" t="s">
        <v>161</v>
      </c>
      <c r="K4134" s="27" t="s">
        <v>40</v>
      </c>
      <c r="L4134" s="27"/>
    </row>
    <row r="4135" customFormat="false" ht="15" hidden="false" customHeight="false" outlineLevel="0" collapsed="false">
      <c r="A4135" s="26" t="s">
        <v>13206</v>
      </c>
      <c r="B4135" s="27" t="s">
        <v>13207</v>
      </c>
      <c r="C4135" s="27" t="s">
        <v>144</v>
      </c>
      <c r="D4135" s="26"/>
      <c r="E4135" s="27"/>
      <c r="F4135" s="27"/>
      <c r="G4135" s="27" t="s">
        <v>11122</v>
      </c>
      <c r="H4135" s="27" t="s">
        <v>35</v>
      </c>
      <c r="I4135" s="27" t="s">
        <v>39</v>
      </c>
      <c r="J4135" s="28" t="s">
        <v>161</v>
      </c>
      <c r="K4135" s="27" t="s">
        <v>40</v>
      </c>
      <c r="L4135" s="27"/>
    </row>
    <row r="4136" customFormat="false" ht="15" hidden="false" customHeight="false" outlineLevel="0" collapsed="false">
      <c r="A4136" s="26" t="s">
        <v>13208</v>
      </c>
      <c r="B4136" s="27" t="s">
        <v>13209</v>
      </c>
      <c r="C4136" s="27" t="s">
        <v>144</v>
      </c>
      <c r="D4136" s="26"/>
      <c r="E4136" s="27"/>
      <c r="F4136" s="27"/>
      <c r="G4136" s="27" t="s">
        <v>11122</v>
      </c>
      <c r="H4136" s="27" t="s">
        <v>35</v>
      </c>
      <c r="I4136" s="27" t="s">
        <v>43</v>
      </c>
      <c r="J4136" s="28" t="s">
        <v>161</v>
      </c>
      <c r="K4136" s="27" t="s">
        <v>40</v>
      </c>
      <c r="L4136" s="27"/>
    </row>
    <row r="4137" customFormat="false" ht="15" hidden="false" customHeight="false" outlineLevel="0" collapsed="false">
      <c r="A4137" s="26" t="s">
        <v>13210</v>
      </c>
      <c r="B4137" s="27" t="s">
        <v>13211</v>
      </c>
      <c r="C4137" s="27" t="s">
        <v>144</v>
      </c>
      <c r="D4137" s="26"/>
      <c r="E4137" s="27"/>
      <c r="F4137" s="27"/>
      <c r="G4137" s="27" t="s">
        <v>11122</v>
      </c>
      <c r="H4137" s="27" t="s">
        <v>35</v>
      </c>
      <c r="I4137" s="27" t="s">
        <v>43</v>
      </c>
      <c r="J4137" s="28" t="s">
        <v>161</v>
      </c>
      <c r="K4137" s="27" t="s">
        <v>40</v>
      </c>
      <c r="L4137" s="27"/>
    </row>
    <row r="4138" customFormat="false" ht="15" hidden="false" customHeight="false" outlineLevel="0" collapsed="false">
      <c r="A4138" s="26" t="s">
        <v>13212</v>
      </c>
      <c r="B4138" s="27" t="s">
        <v>13213</v>
      </c>
      <c r="C4138" s="27" t="s">
        <v>144</v>
      </c>
      <c r="D4138" s="26"/>
      <c r="E4138" s="27"/>
      <c r="F4138" s="27"/>
      <c r="G4138" s="27" t="s">
        <v>11122</v>
      </c>
      <c r="H4138" s="27" t="s">
        <v>35</v>
      </c>
      <c r="I4138" s="27" t="s">
        <v>40</v>
      </c>
      <c r="J4138" s="28" t="s">
        <v>161</v>
      </c>
      <c r="K4138" s="27" t="s">
        <v>40</v>
      </c>
      <c r="L4138" s="27"/>
    </row>
    <row r="4139" customFormat="false" ht="15" hidden="false" customHeight="false" outlineLevel="0" collapsed="false">
      <c r="A4139" s="26" t="s">
        <v>13214</v>
      </c>
      <c r="B4139" s="27" t="s">
        <v>13215</v>
      </c>
      <c r="C4139" s="27" t="s">
        <v>144</v>
      </c>
      <c r="D4139" s="26"/>
      <c r="E4139" s="27"/>
      <c r="F4139" s="27"/>
      <c r="G4139" s="27" t="s">
        <v>11122</v>
      </c>
      <c r="H4139" s="27" t="s">
        <v>35</v>
      </c>
      <c r="I4139" s="27" t="s">
        <v>43</v>
      </c>
      <c r="J4139" s="28" t="s">
        <v>161</v>
      </c>
      <c r="K4139" s="27" t="s">
        <v>40</v>
      </c>
      <c r="L4139" s="27"/>
    </row>
    <row r="4140" customFormat="false" ht="15" hidden="false" customHeight="false" outlineLevel="0" collapsed="false">
      <c r="A4140" s="26" t="s">
        <v>13216</v>
      </c>
      <c r="B4140" s="27" t="s">
        <v>13217</v>
      </c>
      <c r="C4140" s="27" t="s">
        <v>144</v>
      </c>
      <c r="D4140" s="26"/>
      <c r="E4140" s="27"/>
      <c r="F4140" s="27"/>
      <c r="G4140" s="27" t="s">
        <v>11122</v>
      </c>
      <c r="H4140" s="27" t="s">
        <v>35</v>
      </c>
      <c r="I4140" s="27" t="s">
        <v>43</v>
      </c>
      <c r="J4140" s="28" t="s">
        <v>161</v>
      </c>
      <c r="K4140" s="27" t="s">
        <v>40</v>
      </c>
      <c r="L4140" s="27"/>
    </row>
    <row r="4141" customFormat="false" ht="15" hidden="false" customHeight="false" outlineLevel="0" collapsed="false">
      <c r="A4141" s="26" t="s">
        <v>13218</v>
      </c>
      <c r="B4141" s="27" t="s">
        <v>13219</v>
      </c>
      <c r="C4141" s="27" t="s">
        <v>144</v>
      </c>
      <c r="D4141" s="26"/>
      <c r="E4141" s="27"/>
      <c r="F4141" s="27"/>
      <c r="G4141" s="27" t="s">
        <v>11122</v>
      </c>
      <c r="H4141" s="27" t="s">
        <v>35</v>
      </c>
      <c r="I4141" s="27" t="s">
        <v>40</v>
      </c>
      <c r="J4141" s="28" t="s">
        <v>161</v>
      </c>
      <c r="K4141" s="27" t="s">
        <v>40</v>
      </c>
      <c r="L4141" s="27"/>
    </row>
    <row r="4142" customFormat="false" ht="15" hidden="false" customHeight="false" outlineLevel="0" collapsed="false">
      <c r="A4142" s="26" t="s">
        <v>13220</v>
      </c>
      <c r="B4142" s="27" t="s">
        <v>13221</v>
      </c>
      <c r="C4142" s="27" t="s">
        <v>144</v>
      </c>
      <c r="D4142" s="26"/>
      <c r="E4142" s="27"/>
      <c r="F4142" s="27"/>
      <c r="G4142" s="27" t="s">
        <v>11122</v>
      </c>
      <c r="H4142" s="27" t="s">
        <v>35</v>
      </c>
      <c r="I4142" s="27" t="s">
        <v>43</v>
      </c>
      <c r="J4142" s="28" t="s">
        <v>161</v>
      </c>
      <c r="K4142" s="27" t="s">
        <v>40</v>
      </c>
      <c r="L4142" s="27"/>
    </row>
    <row r="4143" customFormat="false" ht="15" hidden="false" customHeight="false" outlineLevel="0" collapsed="false">
      <c r="A4143" s="26" t="s">
        <v>13222</v>
      </c>
      <c r="B4143" s="27" t="s">
        <v>13223</v>
      </c>
      <c r="C4143" s="27" t="s">
        <v>144</v>
      </c>
      <c r="D4143" s="26"/>
      <c r="E4143" s="27"/>
      <c r="F4143" s="27"/>
      <c r="G4143" s="27" t="s">
        <v>11122</v>
      </c>
      <c r="H4143" s="27" t="s">
        <v>35</v>
      </c>
      <c r="I4143" s="27" t="s">
        <v>43</v>
      </c>
      <c r="J4143" s="28" t="s">
        <v>161</v>
      </c>
      <c r="K4143" s="27" t="s">
        <v>40</v>
      </c>
      <c r="L4143" s="27"/>
    </row>
    <row r="4144" customFormat="false" ht="15" hidden="false" customHeight="false" outlineLevel="0" collapsed="false">
      <c r="A4144" s="26" t="s">
        <v>13224</v>
      </c>
      <c r="B4144" s="27" t="s">
        <v>13225</v>
      </c>
      <c r="C4144" s="27" t="s">
        <v>144</v>
      </c>
      <c r="D4144" s="26"/>
      <c r="E4144" s="27"/>
      <c r="F4144" s="27"/>
      <c r="G4144" s="27" t="s">
        <v>11122</v>
      </c>
      <c r="H4144" s="27" t="s">
        <v>35</v>
      </c>
      <c r="I4144" s="27" t="s">
        <v>43</v>
      </c>
      <c r="J4144" s="28" t="s">
        <v>161</v>
      </c>
      <c r="K4144" s="27" t="s">
        <v>40</v>
      </c>
      <c r="L4144" s="27"/>
    </row>
    <row r="4145" customFormat="false" ht="15" hidden="false" customHeight="false" outlineLevel="0" collapsed="false">
      <c r="A4145" s="26" t="s">
        <v>13226</v>
      </c>
      <c r="B4145" s="27" t="s">
        <v>13227</v>
      </c>
      <c r="C4145" s="27" t="s">
        <v>144</v>
      </c>
      <c r="D4145" s="26"/>
      <c r="E4145" s="27"/>
      <c r="F4145" s="27"/>
      <c r="G4145" s="27" t="s">
        <v>11122</v>
      </c>
      <c r="H4145" s="27" t="s">
        <v>35</v>
      </c>
      <c r="I4145" s="27" t="s">
        <v>40</v>
      </c>
      <c r="J4145" s="28" t="s">
        <v>161</v>
      </c>
      <c r="K4145" s="27" t="s">
        <v>40</v>
      </c>
      <c r="L4145" s="27"/>
    </row>
    <row r="4146" customFormat="false" ht="15" hidden="false" customHeight="false" outlineLevel="0" collapsed="false">
      <c r="A4146" s="26" t="s">
        <v>13228</v>
      </c>
      <c r="B4146" s="27" t="s">
        <v>13229</v>
      </c>
      <c r="C4146" s="27" t="s">
        <v>144</v>
      </c>
      <c r="D4146" s="26"/>
      <c r="E4146" s="27"/>
      <c r="F4146" s="27"/>
      <c r="G4146" s="27" t="s">
        <v>11122</v>
      </c>
      <c r="H4146" s="27" t="s">
        <v>35</v>
      </c>
      <c r="I4146" s="27" t="s">
        <v>39</v>
      </c>
      <c r="J4146" s="28" t="s">
        <v>161</v>
      </c>
      <c r="K4146" s="27" t="s">
        <v>40</v>
      </c>
      <c r="L4146" s="27"/>
    </row>
    <row r="4147" customFormat="false" ht="15" hidden="false" customHeight="false" outlineLevel="0" collapsed="false">
      <c r="A4147" s="26" t="s">
        <v>13230</v>
      </c>
      <c r="B4147" s="27" t="s">
        <v>13231</v>
      </c>
      <c r="C4147" s="27" t="s">
        <v>144</v>
      </c>
      <c r="D4147" s="26"/>
      <c r="E4147" s="27"/>
      <c r="F4147" s="27"/>
      <c r="G4147" s="27" t="s">
        <v>11122</v>
      </c>
      <c r="H4147" s="27" t="s">
        <v>35</v>
      </c>
      <c r="I4147" s="27" t="s">
        <v>48</v>
      </c>
      <c r="J4147" s="28" t="s">
        <v>161</v>
      </c>
      <c r="K4147" s="27" t="s">
        <v>40</v>
      </c>
      <c r="L4147" s="27"/>
    </row>
    <row r="4148" customFormat="false" ht="15" hidden="false" customHeight="false" outlineLevel="0" collapsed="false">
      <c r="A4148" s="26" t="s">
        <v>13232</v>
      </c>
      <c r="B4148" s="27" t="s">
        <v>13233</v>
      </c>
      <c r="C4148" s="27" t="s">
        <v>144</v>
      </c>
      <c r="D4148" s="26"/>
      <c r="E4148" s="27"/>
      <c r="F4148" s="27"/>
      <c r="G4148" s="27" t="s">
        <v>11122</v>
      </c>
      <c r="H4148" s="27" t="s">
        <v>35</v>
      </c>
      <c r="I4148" s="27" t="s">
        <v>39</v>
      </c>
      <c r="J4148" s="28" t="s">
        <v>161</v>
      </c>
      <c r="K4148" s="27" t="s">
        <v>40</v>
      </c>
      <c r="L4148" s="27"/>
    </row>
    <row r="4149" customFormat="false" ht="15" hidden="false" customHeight="false" outlineLevel="0" collapsed="false">
      <c r="A4149" s="26" t="s">
        <v>13234</v>
      </c>
      <c r="B4149" s="27" t="s">
        <v>13235</v>
      </c>
      <c r="C4149" s="27" t="s">
        <v>144</v>
      </c>
      <c r="D4149" s="26"/>
      <c r="E4149" s="27"/>
      <c r="F4149" s="27"/>
      <c r="G4149" s="27" t="s">
        <v>11122</v>
      </c>
      <c r="H4149" s="27" t="s">
        <v>35</v>
      </c>
      <c r="I4149" s="27" t="s">
        <v>43</v>
      </c>
      <c r="J4149" s="28" t="s">
        <v>161</v>
      </c>
      <c r="K4149" s="27" t="s">
        <v>40</v>
      </c>
      <c r="L4149" s="27"/>
    </row>
    <row r="4150" customFormat="false" ht="15" hidden="false" customHeight="false" outlineLevel="0" collapsed="false">
      <c r="A4150" s="26" t="s">
        <v>13236</v>
      </c>
      <c r="B4150" s="27" t="s">
        <v>13237</v>
      </c>
      <c r="C4150" s="27" t="s">
        <v>144</v>
      </c>
      <c r="D4150" s="26"/>
      <c r="E4150" s="27"/>
      <c r="F4150" s="27"/>
      <c r="G4150" s="27" t="s">
        <v>11122</v>
      </c>
      <c r="H4150" s="27" t="s">
        <v>35</v>
      </c>
      <c r="I4150" s="27" t="s">
        <v>39</v>
      </c>
      <c r="J4150" s="28" t="s">
        <v>161</v>
      </c>
      <c r="K4150" s="27" t="s">
        <v>40</v>
      </c>
      <c r="L4150" s="27"/>
    </row>
    <row r="4151" customFormat="false" ht="15" hidden="false" customHeight="false" outlineLevel="0" collapsed="false">
      <c r="A4151" s="26" t="s">
        <v>13238</v>
      </c>
      <c r="B4151" s="27" t="s">
        <v>13239</v>
      </c>
      <c r="C4151" s="27" t="s">
        <v>144</v>
      </c>
      <c r="D4151" s="26"/>
      <c r="E4151" s="27"/>
      <c r="F4151" s="27"/>
      <c r="G4151" s="27" t="s">
        <v>11122</v>
      </c>
      <c r="H4151" s="27" t="s">
        <v>35</v>
      </c>
      <c r="I4151" s="27" t="s">
        <v>40</v>
      </c>
      <c r="J4151" s="28" t="s">
        <v>161</v>
      </c>
      <c r="K4151" s="27" t="s">
        <v>40</v>
      </c>
      <c r="L4151" s="27"/>
    </row>
    <row r="4152" customFormat="false" ht="15" hidden="false" customHeight="false" outlineLevel="0" collapsed="false">
      <c r="A4152" s="26" t="s">
        <v>13240</v>
      </c>
      <c r="B4152" s="27" t="s">
        <v>13241</v>
      </c>
      <c r="C4152" s="27" t="s">
        <v>144</v>
      </c>
      <c r="D4152" s="26"/>
      <c r="E4152" s="27"/>
      <c r="F4152" s="27"/>
      <c r="G4152" s="27" t="s">
        <v>11122</v>
      </c>
      <c r="H4152" s="27" t="s">
        <v>35</v>
      </c>
      <c r="I4152" s="27" t="s">
        <v>4159</v>
      </c>
      <c r="J4152" s="28" t="s">
        <v>161</v>
      </c>
      <c r="K4152" s="27" t="s">
        <v>40</v>
      </c>
      <c r="L4152" s="27"/>
    </row>
    <row r="4153" customFormat="false" ht="15" hidden="false" customHeight="false" outlineLevel="0" collapsed="false">
      <c r="A4153" s="26" t="s">
        <v>13242</v>
      </c>
      <c r="B4153" s="27" t="s">
        <v>13243</v>
      </c>
      <c r="C4153" s="27" t="s">
        <v>144</v>
      </c>
      <c r="D4153" s="26"/>
      <c r="E4153" s="27"/>
      <c r="F4153" s="27"/>
      <c r="G4153" s="27" t="s">
        <v>11122</v>
      </c>
      <c r="H4153" s="27" t="s">
        <v>35</v>
      </c>
      <c r="I4153" s="27" t="s">
        <v>39</v>
      </c>
      <c r="J4153" s="28" t="s">
        <v>161</v>
      </c>
      <c r="K4153" s="27" t="s">
        <v>40</v>
      </c>
      <c r="L4153" s="27"/>
    </row>
    <row r="4154" customFormat="false" ht="15" hidden="false" customHeight="false" outlineLevel="0" collapsed="false">
      <c r="A4154" s="26" t="s">
        <v>13244</v>
      </c>
      <c r="B4154" s="27" t="s">
        <v>13245</v>
      </c>
      <c r="C4154" s="27" t="s">
        <v>144</v>
      </c>
      <c r="D4154" s="26"/>
      <c r="E4154" s="27"/>
      <c r="F4154" s="27"/>
      <c r="G4154" s="27" t="s">
        <v>11122</v>
      </c>
      <c r="H4154" s="27" t="s">
        <v>35</v>
      </c>
      <c r="I4154" s="27" t="s">
        <v>40</v>
      </c>
      <c r="J4154" s="28" t="s">
        <v>161</v>
      </c>
      <c r="K4154" s="27" t="s">
        <v>40</v>
      </c>
      <c r="L4154" s="27"/>
    </row>
    <row r="4155" customFormat="false" ht="15" hidden="false" customHeight="false" outlineLevel="0" collapsed="false">
      <c r="A4155" s="26" t="s">
        <v>13246</v>
      </c>
      <c r="B4155" s="27" t="s">
        <v>13247</v>
      </c>
      <c r="C4155" s="27" t="s">
        <v>144</v>
      </c>
      <c r="D4155" s="26"/>
      <c r="E4155" s="27"/>
      <c r="F4155" s="27"/>
      <c r="G4155" s="27" t="s">
        <v>11122</v>
      </c>
      <c r="H4155" s="27" t="s">
        <v>35</v>
      </c>
      <c r="I4155" s="27" t="s">
        <v>40</v>
      </c>
      <c r="J4155" s="28" t="s">
        <v>161</v>
      </c>
      <c r="K4155" s="27" t="s">
        <v>40</v>
      </c>
      <c r="L4155" s="27"/>
    </row>
    <row r="4156" customFormat="false" ht="15" hidden="false" customHeight="false" outlineLevel="0" collapsed="false">
      <c r="A4156" s="26" t="s">
        <v>13248</v>
      </c>
      <c r="B4156" s="27" t="s">
        <v>13249</v>
      </c>
      <c r="C4156" s="27" t="s">
        <v>144</v>
      </c>
      <c r="D4156" s="26"/>
      <c r="E4156" s="27"/>
      <c r="F4156" s="27"/>
      <c r="G4156" s="27" t="s">
        <v>11122</v>
      </c>
      <c r="H4156" s="27" t="s">
        <v>35</v>
      </c>
      <c r="I4156" s="27" t="s">
        <v>4159</v>
      </c>
      <c r="J4156" s="28" t="s">
        <v>161</v>
      </c>
      <c r="K4156" s="27" t="s">
        <v>40</v>
      </c>
      <c r="L4156" s="27"/>
    </row>
    <row r="4157" customFormat="false" ht="15" hidden="false" customHeight="false" outlineLevel="0" collapsed="false">
      <c r="A4157" s="26" t="s">
        <v>13250</v>
      </c>
      <c r="B4157" s="27" t="s">
        <v>13251</v>
      </c>
      <c r="C4157" s="27" t="s">
        <v>144</v>
      </c>
      <c r="D4157" s="26"/>
      <c r="E4157" s="27"/>
      <c r="F4157" s="27"/>
      <c r="G4157" s="27" t="s">
        <v>11122</v>
      </c>
      <c r="H4157" s="27" t="s">
        <v>35</v>
      </c>
      <c r="I4157" s="27" t="s">
        <v>4159</v>
      </c>
      <c r="J4157" s="28" t="s">
        <v>161</v>
      </c>
      <c r="K4157" s="27" t="s">
        <v>40</v>
      </c>
      <c r="L4157" s="27"/>
    </row>
    <row r="4158" customFormat="false" ht="15" hidden="false" customHeight="false" outlineLevel="0" collapsed="false">
      <c r="A4158" s="26" t="s">
        <v>13252</v>
      </c>
      <c r="B4158" s="27" t="s">
        <v>13253</v>
      </c>
      <c r="C4158" s="27" t="s">
        <v>1527</v>
      </c>
      <c r="D4158" s="26"/>
      <c r="E4158" s="27"/>
      <c r="F4158" s="27"/>
      <c r="G4158" s="27" t="s">
        <v>11122</v>
      </c>
      <c r="H4158" s="27" t="s">
        <v>35</v>
      </c>
      <c r="I4158" s="27" t="s">
        <v>39</v>
      </c>
      <c r="J4158" s="28" t="s">
        <v>161</v>
      </c>
      <c r="K4158" s="27" t="s">
        <v>40</v>
      </c>
      <c r="L4158" s="27"/>
    </row>
    <row r="4159" customFormat="false" ht="15" hidden="false" customHeight="false" outlineLevel="0" collapsed="false">
      <c r="A4159" s="26" t="s">
        <v>13254</v>
      </c>
      <c r="B4159" s="27" t="s">
        <v>13255</v>
      </c>
      <c r="C4159" s="27" t="s">
        <v>1527</v>
      </c>
      <c r="D4159" s="26"/>
      <c r="E4159" s="27"/>
      <c r="F4159" s="27"/>
      <c r="G4159" s="27" t="s">
        <v>11122</v>
      </c>
      <c r="H4159" s="27" t="s">
        <v>35</v>
      </c>
      <c r="I4159" s="27" t="s">
        <v>39</v>
      </c>
      <c r="J4159" s="28" t="s">
        <v>161</v>
      </c>
      <c r="K4159" s="27" t="s">
        <v>40</v>
      </c>
      <c r="L4159" s="27"/>
    </row>
    <row r="4160" customFormat="false" ht="15" hidden="false" customHeight="false" outlineLevel="0" collapsed="false">
      <c r="A4160" s="26" t="s">
        <v>13256</v>
      </c>
      <c r="B4160" s="27" t="s">
        <v>13257</v>
      </c>
      <c r="C4160" s="27" t="s">
        <v>144</v>
      </c>
      <c r="D4160" s="26"/>
      <c r="E4160" s="27"/>
      <c r="F4160" s="27"/>
      <c r="G4160" s="27" t="s">
        <v>11122</v>
      </c>
      <c r="H4160" s="27" t="s">
        <v>35</v>
      </c>
      <c r="I4160" s="27" t="s">
        <v>47</v>
      </c>
      <c r="J4160" s="28" t="s">
        <v>161</v>
      </c>
      <c r="K4160" s="27" t="s">
        <v>40</v>
      </c>
      <c r="L4160" s="27"/>
    </row>
    <row r="4161" customFormat="false" ht="15" hidden="false" customHeight="false" outlineLevel="0" collapsed="false">
      <c r="A4161" s="26" t="s">
        <v>13258</v>
      </c>
      <c r="B4161" s="27" t="s">
        <v>13259</v>
      </c>
      <c r="C4161" s="27" t="s">
        <v>144</v>
      </c>
      <c r="D4161" s="26"/>
      <c r="E4161" s="27"/>
      <c r="F4161" s="27"/>
      <c r="G4161" s="27" t="s">
        <v>11122</v>
      </c>
      <c r="H4161" s="27" t="s">
        <v>35</v>
      </c>
      <c r="I4161" s="27" t="s">
        <v>40</v>
      </c>
      <c r="J4161" s="28" t="s">
        <v>161</v>
      </c>
      <c r="K4161" s="27" t="s">
        <v>40</v>
      </c>
      <c r="L4161" s="27"/>
    </row>
    <row r="4162" customFormat="false" ht="15" hidden="false" customHeight="false" outlineLevel="0" collapsed="false">
      <c r="A4162" s="26" t="s">
        <v>13260</v>
      </c>
      <c r="B4162" s="27" t="s">
        <v>13261</v>
      </c>
      <c r="C4162" s="27" t="s">
        <v>144</v>
      </c>
      <c r="D4162" s="26"/>
      <c r="E4162" s="27"/>
      <c r="F4162" s="27"/>
      <c r="G4162" s="27" t="s">
        <v>11122</v>
      </c>
      <c r="H4162" s="27" t="s">
        <v>35</v>
      </c>
      <c r="I4162" s="27" t="s">
        <v>39</v>
      </c>
      <c r="J4162" s="28" t="s">
        <v>161</v>
      </c>
      <c r="K4162" s="27" t="s">
        <v>40</v>
      </c>
      <c r="L4162" s="27"/>
    </row>
    <row r="4163" customFormat="false" ht="15" hidden="false" customHeight="false" outlineLevel="0" collapsed="false">
      <c r="A4163" s="26" t="s">
        <v>13262</v>
      </c>
      <c r="B4163" s="27" t="s">
        <v>13263</v>
      </c>
      <c r="C4163" s="27" t="s">
        <v>144</v>
      </c>
      <c r="D4163" s="26"/>
      <c r="E4163" s="27"/>
      <c r="F4163" s="27"/>
      <c r="G4163" s="27" t="s">
        <v>11122</v>
      </c>
      <c r="H4163" s="27" t="s">
        <v>35</v>
      </c>
      <c r="I4163" s="27" t="s">
        <v>4159</v>
      </c>
      <c r="J4163" s="28" t="s">
        <v>161</v>
      </c>
      <c r="K4163" s="27" t="s">
        <v>40</v>
      </c>
      <c r="L4163" s="27"/>
    </row>
    <row r="4164" customFormat="false" ht="15" hidden="false" customHeight="false" outlineLevel="0" collapsed="false">
      <c r="A4164" s="26" t="s">
        <v>13264</v>
      </c>
      <c r="B4164" s="27" t="s">
        <v>13265</v>
      </c>
      <c r="C4164" s="27" t="s">
        <v>1527</v>
      </c>
      <c r="D4164" s="26"/>
      <c r="E4164" s="27"/>
      <c r="F4164" s="27"/>
      <c r="G4164" s="27" t="s">
        <v>11122</v>
      </c>
      <c r="H4164" s="27" t="s">
        <v>35</v>
      </c>
      <c r="I4164" s="28" t="s">
        <v>46</v>
      </c>
      <c r="J4164" s="28" t="s">
        <v>161</v>
      </c>
      <c r="K4164" s="27" t="s">
        <v>40</v>
      </c>
      <c r="L4164" s="27"/>
    </row>
    <row r="4165" customFormat="false" ht="15" hidden="false" customHeight="false" outlineLevel="0" collapsed="false">
      <c r="A4165" s="26" t="s">
        <v>13266</v>
      </c>
      <c r="B4165" s="27" t="s">
        <v>13267</v>
      </c>
      <c r="C4165" s="27" t="s">
        <v>144</v>
      </c>
      <c r="D4165" s="26"/>
      <c r="E4165" s="27"/>
      <c r="F4165" s="27"/>
      <c r="G4165" s="27" t="s">
        <v>11122</v>
      </c>
      <c r="H4165" s="27" t="s">
        <v>35</v>
      </c>
      <c r="I4165" s="27" t="s">
        <v>40</v>
      </c>
      <c r="J4165" s="28" t="s">
        <v>161</v>
      </c>
      <c r="K4165" s="27" t="s">
        <v>40</v>
      </c>
      <c r="L4165" s="27"/>
    </row>
    <row r="4166" customFormat="false" ht="15" hidden="false" customHeight="false" outlineLevel="0" collapsed="false">
      <c r="A4166" s="26" t="s">
        <v>13268</v>
      </c>
      <c r="B4166" s="27" t="s">
        <v>13269</v>
      </c>
      <c r="C4166" s="27" t="s">
        <v>144</v>
      </c>
      <c r="D4166" s="26"/>
      <c r="E4166" s="27"/>
      <c r="F4166" s="27"/>
      <c r="G4166" s="27" t="s">
        <v>11122</v>
      </c>
      <c r="H4166" s="27" t="s">
        <v>35</v>
      </c>
      <c r="I4166" s="27" t="s">
        <v>39</v>
      </c>
      <c r="J4166" s="28" t="s">
        <v>161</v>
      </c>
      <c r="K4166" s="27" t="s">
        <v>40</v>
      </c>
      <c r="L4166" s="27"/>
    </row>
    <row r="4167" customFormat="false" ht="15" hidden="false" customHeight="false" outlineLevel="0" collapsed="false">
      <c r="A4167" s="26" t="s">
        <v>13270</v>
      </c>
      <c r="B4167" s="27" t="s">
        <v>13271</v>
      </c>
      <c r="C4167" s="27" t="s">
        <v>144</v>
      </c>
      <c r="D4167" s="26"/>
      <c r="E4167" s="27"/>
      <c r="F4167" s="27"/>
      <c r="G4167" s="27" t="s">
        <v>11122</v>
      </c>
      <c r="H4167" s="27" t="s">
        <v>35</v>
      </c>
      <c r="I4167" s="27" t="s">
        <v>43</v>
      </c>
      <c r="J4167" s="28" t="s">
        <v>161</v>
      </c>
      <c r="K4167" s="27" t="s">
        <v>40</v>
      </c>
      <c r="L4167" s="27"/>
    </row>
    <row r="4168" customFormat="false" ht="15" hidden="false" customHeight="false" outlineLevel="0" collapsed="false">
      <c r="A4168" s="26" t="s">
        <v>13272</v>
      </c>
      <c r="B4168" s="27" t="s">
        <v>13273</v>
      </c>
      <c r="C4168" s="27" t="s">
        <v>144</v>
      </c>
      <c r="D4168" s="26"/>
      <c r="E4168" s="27"/>
      <c r="F4168" s="27"/>
      <c r="G4168" s="27" t="s">
        <v>11122</v>
      </c>
      <c r="H4168" s="27" t="s">
        <v>35</v>
      </c>
      <c r="I4168" s="27" t="s">
        <v>38</v>
      </c>
      <c r="J4168" s="28" t="s">
        <v>161</v>
      </c>
      <c r="K4168" s="27" t="s">
        <v>40</v>
      </c>
      <c r="L4168" s="27"/>
    </row>
    <row r="4169" customFormat="false" ht="15" hidden="false" customHeight="false" outlineLevel="0" collapsed="false">
      <c r="A4169" s="26" t="s">
        <v>13274</v>
      </c>
      <c r="B4169" s="27" t="s">
        <v>13275</v>
      </c>
      <c r="C4169" s="27" t="s">
        <v>144</v>
      </c>
      <c r="D4169" s="26"/>
      <c r="E4169" s="27"/>
      <c r="F4169" s="27"/>
      <c r="G4169" s="27" t="s">
        <v>11122</v>
      </c>
      <c r="H4169" s="27" t="s">
        <v>35</v>
      </c>
      <c r="I4169" s="27" t="s">
        <v>48</v>
      </c>
      <c r="J4169" s="28" t="s">
        <v>161</v>
      </c>
      <c r="K4169" s="27" t="s">
        <v>40</v>
      </c>
      <c r="L4169" s="27"/>
    </row>
    <row r="4170" customFormat="false" ht="15" hidden="false" customHeight="false" outlineLevel="0" collapsed="false">
      <c r="A4170" s="26" t="s">
        <v>13276</v>
      </c>
      <c r="B4170" s="27" t="s">
        <v>13277</v>
      </c>
      <c r="C4170" s="27" t="s">
        <v>144</v>
      </c>
      <c r="D4170" s="26"/>
      <c r="E4170" s="27"/>
      <c r="F4170" s="27"/>
      <c r="G4170" s="27" t="s">
        <v>11122</v>
      </c>
      <c r="H4170" s="27" t="s">
        <v>35</v>
      </c>
      <c r="I4170" s="27" t="s">
        <v>40</v>
      </c>
      <c r="J4170" s="28" t="s">
        <v>161</v>
      </c>
      <c r="K4170" s="27" t="s">
        <v>40</v>
      </c>
      <c r="L4170" s="27"/>
    </row>
    <row r="4171" customFormat="false" ht="15" hidden="false" customHeight="false" outlineLevel="0" collapsed="false">
      <c r="A4171" s="26" t="s">
        <v>13278</v>
      </c>
      <c r="B4171" s="27" t="s">
        <v>13279</v>
      </c>
      <c r="C4171" s="27" t="s">
        <v>144</v>
      </c>
      <c r="D4171" s="26"/>
      <c r="E4171" s="27"/>
      <c r="F4171" s="27"/>
      <c r="G4171" s="27" t="s">
        <v>11122</v>
      </c>
      <c r="H4171" s="27" t="s">
        <v>35</v>
      </c>
      <c r="I4171" s="27" t="s">
        <v>4159</v>
      </c>
      <c r="J4171" s="28" t="s">
        <v>161</v>
      </c>
      <c r="K4171" s="27" t="s">
        <v>40</v>
      </c>
      <c r="L4171" s="27"/>
    </row>
    <row r="4172" customFormat="false" ht="15" hidden="false" customHeight="false" outlineLevel="0" collapsed="false">
      <c r="A4172" s="26" t="s">
        <v>13280</v>
      </c>
      <c r="B4172" s="27" t="s">
        <v>13281</v>
      </c>
      <c r="C4172" s="27" t="s">
        <v>144</v>
      </c>
      <c r="D4172" s="26"/>
      <c r="E4172" s="27"/>
      <c r="F4172" s="27"/>
      <c r="G4172" s="27" t="s">
        <v>11122</v>
      </c>
      <c r="H4172" s="27" t="s">
        <v>35</v>
      </c>
      <c r="I4172" s="27" t="s">
        <v>4159</v>
      </c>
      <c r="J4172" s="28" t="s">
        <v>161</v>
      </c>
      <c r="K4172" s="27" t="s">
        <v>40</v>
      </c>
      <c r="L4172" s="27"/>
    </row>
    <row r="4173" customFormat="false" ht="15" hidden="false" customHeight="false" outlineLevel="0" collapsed="false">
      <c r="A4173" s="26" t="s">
        <v>13282</v>
      </c>
      <c r="B4173" s="27" t="s">
        <v>13283</v>
      </c>
      <c r="C4173" s="27" t="s">
        <v>144</v>
      </c>
      <c r="D4173" s="26"/>
      <c r="E4173" s="27"/>
      <c r="F4173" s="27"/>
      <c r="G4173" s="27" t="s">
        <v>11122</v>
      </c>
      <c r="H4173" s="27" t="s">
        <v>35</v>
      </c>
      <c r="I4173" s="27" t="s">
        <v>4159</v>
      </c>
      <c r="J4173" s="28" t="s">
        <v>161</v>
      </c>
      <c r="K4173" s="27" t="s">
        <v>40</v>
      </c>
      <c r="L4173" s="27"/>
    </row>
    <row r="4174" customFormat="false" ht="15" hidden="false" customHeight="false" outlineLevel="0" collapsed="false">
      <c r="A4174" s="26" t="s">
        <v>13284</v>
      </c>
      <c r="B4174" s="27" t="s">
        <v>13285</v>
      </c>
      <c r="C4174" s="27" t="s">
        <v>144</v>
      </c>
      <c r="D4174" s="26"/>
      <c r="E4174" s="27"/>
      <c r="F4174" s="27"/>
      <c r="G4174" s="27" t="s">
        <v>11122</v>
      </c>
      <c r="H4174" s="27" t="s">
        <v>35</v>
      </c>
      <c r="I4174" s="27" t="s">
        <v>40</v>
      </c>
      <c r="J4174" s="28" t="s">
        <v>161</v>
      </c>
      <c r="K4174" s="27" t="s">
        <v>40</v>
      </c>
      <c r="L4174" s="27"/>
    </row>
    <row r="4175" customFormat="false" ht="15" hidden="false" customHeight="false" outlineLevel="0" collapsed="false">
      <c r="A4175" s="26" t="s">
        <v>13286</v>
      </c>
      <c r="B4175" s="27" t="s">
        <v>13287</v>
      </c>
      <c r="C4175" s="27" t="s">
        <v>370</v>
      </c>
      <c r="D4175" s="26"/>
      <c r="E4175" s="27"/>
      <c r="F4175" s="27"/>
      <c r="G4175" s="27" t="s">
        <v>11122</v>
      </c>
      <c r="H4175" s="27" t="s">
        <v>35</v>
      </c>
      <c r="I4175" s="27" t="s">
        <v>48</v>
      </c>
      <c r="J4175" s="28" t="s">
        <v>161</v>
      </c>
      <c r="K4175" s="27" t="s">
        <v>40</v>
      </c>
      <c r="L4175" s="27"/>
    </row>
    <row r="4176" customFormat="false" ht="15" hidden="false" customHeight="false" outlineLevel="0" collapsed="false">
      <c r="A4176" s="26" t="s">
        <v>13288</v>
      </c>
      <c r="B4176" s="27" t="s">
        <v>13289</v>
      </c>
      <c r="C4176" s="27" t="s">
        <v>144</v>
      </c>
      <c r="D4176" s="26"/>
      <c r="E4176" s="27"/>
      <c r="F4176" s="27"/>
      <c r="G4176" s="27" t="s">
        <v>11122</v>
      </c>
      <c r="H4176" s="27" t="s">
        <v>35</v>
      </c>
      <c r="I4176" s="27" t="s">
        <v>40</v>
      </c>
      <c r="J4176" s="28" t="s">
        <v>161</v>
      </c>
      <c r="K4176" s="27" t="s">
        <v>40</v>
      </c>
      <c r="L4176" s="27"/>
    </row>
    <row r="4177" customFormat="false" ht="15" hidden="false" customHeight="false" outlineLevel="0" collapsed="false">
      <c r="A4177" s="26" t="s">
        <v>13290</v>
      </c>
      <c r="B4177" s="27" t="s">
        <v>13291</v>
      </c>
      <c r="C4177" s="27" t="s">
        <v>144</v>
      </c>
      <c r="D4177" s="26"/>
      <c r="E4177" s="27"/>
      <c r="F4177" s="27"/>
      <c r="G4177" s="27" t="s">
        <v>11122</v>
      </c>
      <c r="H4177" s="27" t="s">
        <v>35</v>
      </c>
      <c r="I4177" s="27" t="s">
        <v>40</v>
      </c>
      <c r="J4177" s="28" t="s">
        <v>161</v>
      </c>
      <c r="K4177" s="27" t="s">
        <v>40</v>
      </c>
      <c r="L4177" s="27"/>
    </row>
    <row r="4178" customFormat="false" ht="15" hidden="false" customHeight="false" outlineLevel="0" collapsed="false">
      <c r="A4178" s="26" t="s">
        <v>13292</v>
      </c>
      <c r="B4178" s="27" t="s">
        <v>13293</v>
      </c>
      <c r="C4178" s="27" t="s">
        <v>144</v>
      </c>
      <c r="D4178" s="26"/>
      <c r="E4178" s="27"/>
      <c r="F4178" s="27"/>
      <c r="G4178" s="27" t="s">
        <v>11122</v>
      </c>
      <c r="H4178" s="27" t="s">
        <v>35</v>
      </c>
      <c r="I4178" s="27" t="s">
        <v>40</v>
      </c>
      <c r="J4178" s="28" t="s">
        <v>161</v>
      </c>
      <c r="K4178" s="27" t="s">
        <v>40</v>
      </c>
      <c r="L4178" s="27"/>
    </row>
    <row r="4179" customFormat="false" ht="15" hidden="false" customHeight="false" outlineLevel="0" collapsed="false">
      <c r="A4179" s="26" t="s">
        <v>13294</v>
      </c>
      <c r="B4179" s="27" t="s">
        <v>13295</v>
      </c>
      <c r="C4179" s="27" t="s">
        <v>144</v>
      </c>
      <c r="D4179" s="26"/>
      <c r="E4179" s="27"/>
      <c r="F4179" s="27"/>
      <c r="G4179" s="27" t="s">
        <v>11122</v>
      </c>
      <c r="H4179" s="27" t="s">
        <v>35</v>
      </c>
      <c r="I4179" s="27" t="s">
        <v>40</v>
      </c>
      <c r="J4179" s="28" t="s">
        <v>161</v>
      </c>
      <c r="K4179" s="27" t="s">
        <v>40</v>
      </c>
      <c r="L4179" s="27"/>
    </row>
    <row r="4180" customFormat="false" ht="15" hidden="false" customHeight="false" outlineLevel="0" collapsed="false">
      <c r="A4180" s="26" t="s">
        <v>13296</v>
      </c>
      <c r="B4180" s="27" t="s">
        <v>13297</v>
      </c>
      <c r="C4180" s="27" t="s">
        <v>144</v>
      </c>
      <c r="D4180" s="26"/>
      <c r="E4180" s="27"/>
      <c r="F4180" s="27"/>
      <c r="G4180" s="27" t="s">
        <v>11122</v>
      </c>
      <c r="H4180" s="27" t="s">
        <v>35</v>
      </c>
      <c r="I4180" s="27" t="s">
        <v>40</v>
      </c>
      <c r="J4180" s="28" t="s">
        <v>161</v>
      </c>
      <c r="K4180" s="27" t="s">
        <v>40</v>
      </c>
      <c r="L4180" s="27"/>
    </row>
    <row r="4181" customFormat="false" ht="15" hidden="false" customHeight="false" outlineLevel="0" collapsed="false">
      <c r="A4181" s="26" t="s">
        <v>13298</v>
      </c>
      <c r="B4181" s="27" t="s">
        <v>13299</v>
      </c>
      <c r="C4181" s="27" t="s">
        <v>144</v>
      </c>
      <c r="D4181" s="26"/>
      <c r="E4181" s="27"/>
      <c r="F4181" s="27"/>
      <c r="G4181" s="27" t="s">
        <v>11122</v>
      </c>
      <c r="H4181" s="27" t="s">
        <v>35</v>
      </c>
      <c r="I4181" s="27" t="s">
        <v>40</v>
      </c>
      <c r="J4181" s="28" t="s">
        <v>161</v>
      </c>
      <c r="K4181" s="27" t="s">
        <v>40</v>
      </c>
      <c r="L4181" s="27"/>
    </row>
    <row r="4182" customFormat="false" ht="15" hidden="false" customHeight="false" outlineLevel="0" collapsed="false">
      <c r="A4182" s="26" t="s">
        <v>13300</v>
      </c>
      <c r="B4182" s="27" t="s">
        <v>13301</v>
      </c>
      <c r="C4182" s="27" t="s">
        <v>144</v>
      </c>
      <c r="D4182" s="26"/>
      <c r="E4182" s="27"/>
      <c r="F4182" s="27"/>
      <c r="G4182" s="27" t="s">
        <v>11122</v>
      </c>
      <c r="H4182" s="27" t="s">
        <v>35</v>
      </c>
      <c r="I4182" s="27" t="s">
        <v>40</v>
      </c>
      <c r="J4182" s="28" t="s">
        <v>161</v>
      </c>
      <c r="K4182" s="27" t="s">
        <v>40</v>
      </c>
      <c r="L4182" s="27"/>
    </row>
    <row r="4183" customFormat="false" ht="15" hidden="false" customHeight="false" outlineLevel="0" collapsed="false">
      <c r="A4183" s="26" t="s">
        <v>13302</v>
      </c>
      <c r="B4183" s="27" t="s">
        <v>13303</v>
      </c>
      <c r="C4183" s="27" t="s">
        <v>144</v>
      </c>
      <c r="D4183" s="26"/>
      <c r="E4183" s="27"/>
      <c r="F4183" s="27"/>
      <c r="G4183" s="27" t="s">
        <v>11122</v>
      </c>
      <c r="H4183" s="27" t="s">
        <v>35</v>
      </c>
      <c r="I4183" s="27" t="s">
        <v>40</v>
      </c>
      <c r="J4183" s="28" t="s">
        <v>161</v>
      </c>
      <c r="K4183" s="27" t="s">
        <v>40</v>
      </c>
      <c r="L4183" s="27"/>
    </row>
    <row r="4184" customFormat="false" ht="15" hidden="false" customHeight="false" outlineLevel="0" collapsed="false">
      <c r="A4184" s="26" t="s">
        <v>13304</v>
      </c>
      <c r="B4184" s="27" t="s">
        <v>13305</v>
      </c>
      <c r="C4184" s="27" t="s">
        <v>144</v>
      </c>
      <c r="D4184" s="26"/>
      <c r="E4184" s="27"/>
      <c r="F4184" s="27"/>
      <c r="G4184" s="27" t="s">
        <v>11122</v>
      </c>
      <c r="H4184" s="27" t="s">
        <v>35</v>
      </c>
      <c r="I4184" s="27" t="s">
        <v>40</v>
      </c>
      <c r="J4184" s="28" t="s">
        <v>161</v>
      </c>
      <c r="K4184" s="27" t="s">
        <v>40</v>
      </c>
      <c r="L4184" s="27"/>
    </row>
    <row r="4185" customFormat="false" ht="15" hidden="false" customHeight="false" outlineLevel="0" collapsed="false">
      <c r="A4185" s="26" t="s">
        <v>13306</v>
      </c>
      <c r="B4185" s="27" t="s">
        <v>13307</v>
      </c>
      <c r="C4185" s="27" t="s">
        <v>144</v>
      </c>
      <c r="D4185" s="26"/>
      <c r="E4185" s="27"/>
      <c r="F4185" s="27"/>
      <c r="G4185" s="27" t="s">
        <v>11122</v>
      </c>
      <c r="H4185" s="27" t="s">
        <v>35</v>
      </c>
      <c r="I4185" s="27" t="s">
        <v>40</v>
      </c>
      <c r="J4185" s="28" t="s">
        <v>161</v>
      </c>
      <c r="K4185" s="27" t="s">
        <v>40</v>
      </c>
      <c r="L4185" s="27"/>
    </row>
    <row r="4186" customFormat="false" ht="15" hidden="false" customHeight="false" outlineLevel="0" collapsed="false">
      <c r="A4186" s="26" t="s">
        <v>13308</v>
      </c>
      <c r="B4186" s="27" t="s">
        <v>13309</v>
      </c>
      <c r="C4186" s="27" t="s">
        <v>144</v>
      </c>
      <c r="D4186" s="26"/>
      <c r="E4186" s="27"/>
      <c r="F4186" s="27"/>
      <c r="G4186" s="27" t="s">
        <v>11122</v>
      </c>
      <c r="H4186" s="27" t="s">
        <v>35</v>
      </c>
      <c r="I4186" s="27" t="s">
        <v>40</v>
      </c>
      <c r="J4186" s="28" t="s">
        <v>161</v>
      </c>
      <c r="K4186" s="27" t="s">
        <v>40</v>
      </c>
      <c r="L4186" s="27"/>
    </row>
    <row r="4187" customFormat="false" ht="15" hidden="false" customHeight="false" outlineLevel="0" collapsed="false">
      <c r="A4187" s="26" t="s">
        <v>13310</v>
      </c>
      <c r="B4187" s="27" t="s">
        <v>13311</v>
      </c>
      <c r="C4187" s="27" t="s">
        <v>144</v>
      </c>
      <c r="D4187" s="26"/>
      <c r="E4187" s="27"/>
      <c r="F4187" s="27"/>
      <c r="G4187" s="27" t="s">
        <v>11122</v>
      </c>
      <c r="H4187" s="27" t="s">
        <v>35</v>
      </c>
      <c r="I4187" s="27" t="s">
        <v>40</v>
      </c>
      <c r="J4187" s="28" t="s">
        <v>161</v>
      </c>
      <c r="K4187" s="27" t="s">
        <v>40</v>
      </c>
      <c r="L4187" s="27"/>
    </row>
    <row r="4188" customFormat="false" ht="15" hidden="false" customHeight="false" outlineLevel="0" collapsed="false">
      <c r="A4188" s="26" t="s">
        <v>13312</v>
      </c>
      <c r="B4188" s="27" t="s">
        <v>13313</v>
      </c>
      <c r="C4188" s="27" t="s">
        <v>144</v>
      </c>
      <c r="D4188" s="26"/>
      <c r="E4188" s="27"/>
      <c r="F4188" s="27"/>
      <c r="G4188" s="27" t="s">
        <v>11122</v>
      </c>
      <c r="H4188" s="27" t="s">
        <v>35</v>
      </c>
      <c r="I4188" s="27" t="s">
        <v>40</v>
      </c>
      <c r="J4188" s="28" t="s">
        <v>161</v>
      </c>
      <c r="K4188" s="27" t="s">
        <v>40</v>
      </c>
      <c r="L4188" s="27"/>
    </row>
    <row r="4189" customFormat="false" ht="15" hidden="false" customHeight="false" outlineLevel="0" collapsed="false">
      <c r="A4189" s="26" t="s">
        <v>13314</v>
      </c>
      <c r="B4189" s="27" t="s">
        <v>13315</v>
      </c>
      <c r="C4189" s="27" t="s">
        <v>144</v>
      </c>
      <c r="D4189" s="26"/>
      <c r="E4189" s="27"/>
      <c r="F4189" s="27"/>
      <c r="G4189" s="27" t="s">
        <v>11122</v>
      </c>
      <c r="H4189" s="27" t="s">
        <v>35</v>
      </c>
      <c r="I4189" s="27" t="s">
        <v>40</v>
      </c>
      <c r="J4189" s="28" t="s">
        <v>161</v>
      </c>
      <c r="K4189" s="27" t="s">
        <v>40</v>
      </c>
      <c r="L4189" s="27"/>
    </row>
    <row r="4190" customFormat="false" ht="15" hidden="false" customHeight="false" outlineLevel="0" collapsed="false">
      <c r="A4190" s="26" t="s">
        <v>13316</v>
      </c>
      <c r="B4190" s="27" t="s">
        <v>13317</v>
      </c>
      <c r="C4190" s="27" t="s">
        <v>144</v>
      </c>
      <c r="D4190" s="26"/>
      <c r="E4190" s="27"/>
      <c r="F4190" s="27"/>
      <c r="G4190" s="27" t="s">
        <v>11122</v>
      </c>
      <c r="H4190" s="27" t="s">
        <v>35</v>
      </c>
      <c r="I4190" s="27" t="s">
        <v>40</v>
      </c>
      <c r="J4190" s="28" t="s">
        <v>161</v>
      </c>
      <c r="K4190" s="27" t="s">
        <v>40</v>
      </c>
      <c r="L4190" s="27"/>
    </row>
    <row r="4191" customFormat="false" ht="15" hidden="false" customHeight="false" outlineLevel="0" collapsed="false">
      <c r="A4191" s="26" t="s">
        <v>13318</v>
      </c>
      <c r="B4191" s="27" t="s">
        <v>13319</v>
      </c>
      <c r="C4191" s="27" t="s">
        <v>144</v>
      </c>
      <c r="D4191" s="26"/>
      <c r="E4191" s="27"/>
      <c r="F4191" s="27"/>
      <c r="G4191" s="27" t="s">
        <v>11122</v>
      </c>
      <c r="H4191" s="27" t="s">
        <v>35</v>
      </c>
      <c r="I4191" s="27" t="s">
        <v>40</v>
      </c>
      <c r="J4191" s="28" t="s">
        <v>161</v>
      </c>
      <c r="K4191" s="27" t="s">
        <v>40</v>
      </c>
      <c r="L4191" s="27"/>
    </row>
    <row r="4192" customFormat="false" ht="15" hidden="false" customHeight="false" outlineLevel="0" collapsed="false">
      <c r="A4192" s="26" t="s">
        <v>13320</v>
      </c>
      <c r="B4192" s="27" t="s">
        <v>13321</v>
      </c>
      <c r="C4192" s="27" t="s">
        <v>144</v>
      </c>
      <c r="D4192" s="26"/>
      <c r="E4192" s="27"/>
      <c r="F4192" s="27"/>
      <c r="G4192" s="27" t="s">
        <v>11122</v>
      </c>
      <c r="H4192" s="27" t="s">
        <v>35</v>
      </c>
      <c r="I4192" s="27" t="s">
        <v>40</v>
      </c>
      <c r="J4192" s="28" t="s">
        <v>161</v>
      </c>
      <c r="K4192" s="27" t="s">
        <v>40</v>
      </c>
      <c r="L4192" s="27"/>
    </row>
    <row r="4193" customFormat="false" ht="15" hidden="false" customHeight="false" outlineLevel="0" collapsed="false">
      <c r="A4193" s="26" t="s">
        <v>13322</v>
      </c>
      <c r="B4193" s="27" t="s">
        <v>13323</v>
      </c>
      <c r="C4193" s="27" t="s">
        <v>144</v>
      </c>
      <c r="D4193" s="26"/>
      <c r="E4193" s="27"/>
      <c r="F4193" s="27"/>
      <c r="G4193" s="27" t="s">
        <v>11122</v>
      </c>
      <c r="H4193" s="27" t="s">
        <v>35</v>
      </c>
      <c r="I4193" s="27" t="s">
        <v>40</v>
      </c>
      <c r="J4193" s="28" t="s">
        <v>161</v>
      </c>
      <c r="K4193" s="27" t="s">
        <v>40</v>
      </c>
      <c r="L4193" s="27"/>
    </row>
    <row r="4194" customFormat="false" ht="15" hidden="false" customHeight="false" outlineLevel="0" collapsed="false">
      <c r="A4194" s="26" t="s">
        <v>13324</v>
      </c>
      <c r="B4194" s="27" t="s">
        <v>13325</v>
      </c>
      <c r="C4194" s="27" t="s">
        <v>144</v>
      </c>
      <c r="D4194" s="26"/>
      <c r="E4194" s="27"/>
      <c r="F4194" s="27"/>
      <c r="G4194" s="27" t="s">
        <v>11122</v>
      </c>
      <c r="H4194" s="27" t="s">
        <v>35</v>
      </c>
      <c r="I4194" s="27" t="s">
        <v>40</v>
      </c>
      <c r="J4194" s="28" t="s">
        <v>161</v>
      </c>
      <c r="K4194" s="27" t="s">
        <v>40</v>
      </c>
      <c r="L4194" s="27"/>
    </row>
    <row r="4195" customFormat="false" ht="15" hidden="false" customHeight="false" outlineLevel="0" collapsed="false">
      <c r="A4195" s="26" t="s">
        <v>13326</v>
      </c>
      <c r="B4195" s="27" t="s">
        <v>13327</v>
      </c>
      <c r="C4195" s="27" t="s">
        <v>144</v>
      </c>
      <c r="D4195" s="26"/>
      <c r="E4195" s="27"/>
      <c r="F4195" s="27"/>
      <c r="G4195" s="27" t="s">
        <v>11122</v>
      </c>
      <c r="H4195" s="27" t="s">
        <v>35</v>
      </c>
      <c r="I4195" s="27" t="s">
        <v>40</v>
      </c>
      <c r="J4195" s="28" t="s">
        <v>161</v>
      </c>
      <c r="K4195" s="27" t="s">
        <v>40</v>
      </c>
      <c r="L4195" s="27"/>
    </row>
    <row r="4196" customFormat="false" ht="15" hidden="false" customHeight="false" outlineLevel="0" collapsed="false">
      <c r="A4196" s="26" t="s">
        <v>13328</v>
      </c>
      <c r="B4196" s="27" t="s">
        <v>13329</v>
      </c>
      <c r="C4196" s="27" t="s">
        <v>144</v>
      </c>
      <c r="D4196" s="26"/>
      <c r="E4196" s="27"/>
      <c r="F4196" s="27"/>
      <c r="G4196" s="27" t="s">
        <v>11122</v>
      </c>
      <c r="H4196" s="27" t="s">
        <v>35</v>
      </c>
      <c r="I4196" s="27" t="s">
        <v>40</v>
      </c>
      <c r="J4196" s="28" t="s">
        <v>161</v>
      </c>
      <c r="K4196" s="27" t="s">
        <v>40</v>
      </c>
      <c r="L4196" s="27"/>
    </row>
    <row r="4197" customFormat="false" ht="15" hidden="false" customHeight="false" outlineLevel="0" collapsed="false">
      <c r="A4197" s="26" t="s">
        <v>13330</v>
      </c>
      <c r="B4197" s="27" t="s">
        <v>13331</v>
      </c>
      <c r="C4197" s="27" t="s">
        <v>144</v>
      </c>
      <c r="D4197" s="26"/>
      <c r="E4197" s="27"/>
      <c r="F4197" s="27"/>
      <c r="G4197" s="27" t="s">
        <v>11122</v>
      </c>
      <c r="H4197" s="27" t="s">
        <v>35</v>
      </c>
      <c r="I4197" s="27" t="s">
        <v>40</v>
      </c>
      <c r="J4197" s="28" t="s">
        <v>161</v>
      </c>
      <c r="K4197" s="27" t="s">
        <v>40</v>
      </c>
      <c r="L4197" s="27"/>
    </row>
    <row r="4198" customFormat="false" ht="15" hidden="false" customHeight="false" outlineLevel="0" collapsed="false">
      <c r="A4198" s="26" t="s">
        <v>13332</v>
      </c>
      <c r="B4198" s="27" t="s">
        <v>13333</v>
      </c>
      <c r="C4198" s="27" t="s">
        <v>144</v>
      </c>
      <c r="D4198" s="26"/>
      <c r="E4198" s="27"/>
      <c r="F4198" s="27"/>
      <c r="G4198" s="27" t="s">
        <v>11122</v>
      </c>
      <c r="H4198" s="27" t="s">
        <v>35</v>
      </c>
      <c r="I4198" s="27" t="s">
        <v>40</v>
      </c>
      <c r="J4198" s="28" t="s">
        <v>161</v>
      </c>
      <c r="K4198" s="27" t="s">
        <v>40</v>
      </c>
      <c r="L4198" s="27"/>
    </row>
    <row r="4199" customFormat="false" ht="15" hidden="false" customHeight="false" outlineLevel="0" collapsed="false">
      <c r="A4199" s="26" t="s">
        <v>13334</v>
      </c>
      <c r="B4199" s="27" t="s">
        <v>13335</v>
      </c>
      <c r="C4199" s="27" t="s">
        <v>144</v>
      </c>
      <c r="D4199" s="26"/>
      <c r="E4199" s="27"/>
      <c r="F4199" s="27"/>
      <c r="G4199" s="27" t="s">
        <v>11122</v>
      </c>
      <c r="H4199" s="27" t="s">
        <v>35</v>
      </c>
      <c r="I4199" s="27" t="s">
        <v>40</v>
      </c>
      <c r="J4199" s="28" t="s">
        <v>161</v>
      </c>
      <c r="K4199" s="27" t="s">
        <v>40</v>
      </c>
      <c r="L4199" s="27"/>
    </row>
    <row r="4200" customFormat="false" ht="15" hidden="false" customHeight="false" outlineLevel="0" collapsed="false">
      <c r="A4200" s="26" t="s">
        <v>13336</v>
      </c>
      <c r="B4200" s="27" t="s">
        <v>13337</v>
      </c>
      <c r="C4200" s="27" t="s">
        <v>144</v>
      </c>
      <c r="D4200" s="26"/>
      <c r="E4200" s="27"/>
      <c r="F4200" s="27"/>
      <c r="G4200" s="27" t="s">
        <v>11122</v>
      </c>
      <c r="H4200" s="27" t="s">
        <v>35</v>
      </c>
      <c r="I4200" s="27" t="s">
        <v>40</v>
      </c>
      <c r="J4200" s="28" t="s">
        <v>161</v>
      </c>
      <c r="K4200" s="27" t="s">
        <v>40</v>
      </c>
      <c r="L4200" s="27"/>
    </row>
    <row r="4201" customFormat="false" ht="15" hidden="false" customHeight="false" outlineLevel="0" collapsed="false">
      <c r="A4201" s="26" t="s">
        <v>13338</v>
      </c>
      <c r="B4201" s="27" t="s">
        <v>13339</v>
      </c>
      <c r="C4201" s="27" t="s">
        <v>144</v>
      </c>
      <c r="D4201" s="26"/>
      <c r="E4201" s="27"/>
      <c r="F4201" s="27"/>
      <c r="G4201" s="27" t="s">
        <v>11122</v>
      </c>
      <c r="H4201" s="27" t="s">
        <v>35</v>
      </c>
      <c r="I4201" s="27" t="s">
        <v>40</v>
      </c>
      <c r="J4201" s="28" t="s">
        <v>161</v>
      </c>
      <c r="K4201" s="27" t="s">
        <v>40</v>
      </c>
      <c r="L4201" s="27"/>
    </row>
    <row r="4202" customFormat="false" ht="15" hidden="false" customHeight="false" outlineLevel="0" collapsed="false">
      <c r="A4202" s="26" t="s">
        <v>13340</v>
      </c>
      <c r="B4202" s="27" t="s">
        <v>13341</v>
      </c>
      <c r="C4202" s="27" t="s">
        <v>144</v>
      </c>
      <c r="D4202" s="26"/>
      <c r="E4202" s="27"/>
      <c r="F4202" s="27"/>
      <c r="G4202" s="27" t="s">
        <v>11122</v>
      </c>
      <c r="H4202" s="27" t="s">
        <v>35</v>
      </c>
      <c r="I4202" s="27" t="s">
        <v>40</v>
      </c>
      <c r="J4202" s="28" t="s">
        <v>161</v>
      </c>
      <c r="K4202" s="27" t="s">
        <v>40</v>
      </c>
      <c r="L4202" s="27"/>
    </row>
    <row r="4203" customFormat="false" ht="15" hidden="false" customHeight="false" outlineLevel="0" collapsed="false">
      <c r="A4203" s="26" t="s">
        <v>13342</v>
      </c>
      <c r="B4203" s="27" t="s">
        <v>13343</v>
      </c>
      <c r="C4203" s="27" t="s">
        <v>144</v>
      </c>
      <c r="D4203" s="26"/>
      <c r="E4203" s="27"/>
      <c r="F4203" s="27"/>
      <c r="G4203" s="27" t="s">
        <v>11122</v>
      </c>
      <c r="H4203" s="27" t="s">
        <v>35</v>
      </c>
      <c r="I4203" s="27" t="s">
        <v>43</v>
      </c>
      <c r="J4203" s="28" t="s">
        <v>161</v>
      </c>
      <c r="K4203" s="27" t="s">
        <v>40</v>
      </c>
      <c r="L4203" s="27"/>
    </row>
    <row r="4204" customFormat="false" ht="15" hidden="false" customHeight="false" outlineLevel="0" collapsed="false">
      <c r="A4204" s="26" t="s">
        <v>13344</v>
      </c>
      <c r="B4204" s="27" t="s">
        <v>13345</v>
      </c>
      <c r="C4204" s="27" t="s">
        <v>144</v>
      </c>
      <c r="D4204" s="26"/>
      <c r="E4204" s="27"/>
      <c r="F4204" s="27"/>
      <c r="G4204" s="27" t="s">
        <v>11122</v>
      </c>
      <c r="H4204" s="27" t="s">
        <v>35</v>
      </c>
      <c r="I4204" s="27" t="s">
        <v>40</v>
      </c>
      <c r="J4204" s="28" t="s">
        <v>161</v>
      </c>
      <c r="K4204" s="27" t="s">
        <v>40</v>
      </c>
      <c r="L4204" s="27"/>
    </row>
    <row r="4205" customFormat="false" ht="15" hidden="false" customHeight="false" outlineLevel="0" collapsed="false">
      <c r="A4205" s="26" t="s">
        <v>13346</v>
      </c>
      <c r="B4205" s="27" t="s">
        <v>13347</v>
      </c>
      <c r="C4205" s="27" t="s">
        <v>144</v>
      </c>
      <c r="D4205" s="26"/>
      <c r="E4205" s="27"/>
      <c r="F4205" s="27"/>
      <c r="G4205" s="27" t="s">
        <v>11122</v>
      </c>
      <c r="H4205" s="27" t="s">
        <v>35</v>
      </c>
      <c r="I4205" s="27" t="s">
        <v>40</v>
      </c>
      <c r="J4205" s="28" t="s">
        <v>161</v>
      </c>
      <c r="K4205" s="27" t="s">
        <v>40</v>
      </c>
      <c r="L4205" s="27"/>
    </row>
    <row r="4206" customFormat="false" ht="15" hidden="false" customHeight="false" outlineLevel="0" collapsed="false">
      <c r="A4206" s="26" t="s">
        <v>13348</v>
      </c>
      <c r="B4206" s="27" t="s">
        <v>13349</v>
      </c>
      <c r="C4206" s="27" t="s">
        <v>144</v>
      </c>
      <c r="D4206" s="26"/>
      <c r="E4206" s="27"/>
      <c r="F4206" s="27"/>
      <c r="G4206" s="27" t="s">
        <v>11122</v>
      </c>
      <c r="H4206" s="27" t="s">
        <v>35</v>
      </c>
      <c r="I4206" s="27" t="s">
        <v>49</v>
      </c>
      <c r="J4206" s="28" t="s">
        <v>161</v>
      </c>
      <c r="K4206" s="27" t="s">
        <v>40</v>
      </c>
      <c r="L4206" s="27"/>
    </row>
    <row r="4207" customFormat="false" ht="15" hidden="false" customHeight="false" outlineLevel="0" collapsed="false">
      <c r="A4207" s="26" t="s">
        <v>13350</v>
      </c>
      <c r="B4207" s="27" t="s">
        <v>13351</v>
      </c>
      <c r="C4207" s="27" t="s">
        <v>144</v>
      </c>
      <c r="D4207" s="26"/>
      <c r="E4207" s="27"/>
      <c r="F4207" s="27"/>
      <c r="G4207" s="27" t="s">
        <v>11122</v>
      </c>
      <c r="H4207" s="27" t="s">
        <v>35</v>
      </c>
      <c r="I4207" s="27" t="s">
        <v>41</v>
      </c>
      <c r="J4207" s="28" t="s">
        <v>161</v>
      </c>
      <c r="K4207" s="27" t="s">
        <v>40</v>
      </c>
      <c r="L4207" s="27"/>
    </row>
    <row r="4208" customFormat="false" ht="15" hidden="false" customHeight="false" outlineLevel="0" collapsed="false">
      <c r="A4208" s="26" t="s">
        <v>13352</v>
      </c>
      <c r="B4208" s="27" t="s">
        <v>13353</v>
      </c>
      <c r="C4208" s="27" t="s">
        <v>144</v>
      </c>
      <c r="D4208" s="26"/>
      <c r="E4208" s="27"/>
      <c r="F4208" s="27"/>
      <c r="G4208" s="27" t="s">
        <v>11122</v>
      </c>
      <c r="H4208" s="27" t="s">
        <v>35</v>
      </c>
      <c r="I4208" s="27" t="s">
        <v>39</v>
      </c>
      <c r="J4208" s="28" t="s">
        <v>161</v>
      </c>
      <c r="K4208" s="27" t="s">
        <v>40</v>
      </c>
      <c r="L4208" s="27"/>
    </row>
    <row r="4209" customFormat="false" ht="15" hidden="false" customHeight="false" outlineLevel="0" collapsed="false">
      <c r="A4209" s="26" t="s">
        <v>13354</v>
      </c>
      <c r="B4209" s="27" t="s">
        <v>13355</v>
      </c>
      <c r="C4209" s="27" t="s">
        <v>144</v>
      </c>
      <c r="D4209" s="26"/>
      <c r="E4209" s="27"/>
      <c r="F4209" s="27"/>
      <c r="G4209" s="27" t="s">
        <v>11122</v>
      </c>
      <c r="H4209" s="27" t="s">
        <v>35</v>
      </c>
      <c r="I4209" s="27" t="s">
        <v>38</v>
      </c>
      <c r="J4209" s="28" t="s">
        <v>161</v>
      </c>
      <c r="K4209" s="27" t="s">
        <v>40</v>
      </c>
      <c r="L4209" s="27"/>
    </row>
    <row r="4210" customFormat="false" ht="15" hidden="false" customHeight="false" outlineLevel="0" collapsed="false">
      <c r="A4210" s="26" t="s">
        <v>13356</v>
      </c>
      <c r="B4210" s="27" t="s">
        <v>13357</v>
      </c>
      <c r="C4210" s="27" t="s">
        <v>100</v>
      </c>
      <c r="D4210" s="26"/>
      <c r="E4210" s="27"/>
      <c r="F4210" s="27"/>
      <c r="G4210" s="27" t="s">
        <v>11122</v>
      </c>
      <c r="H4210" s="27" t="s">
        <v>35</v>
      </c>
      <c r="I4210" s="27" t="s">
        <v>40</v>
      </c>
      <c r="J4210" s="28" t="s">
        <v>161</v>
      </c>
      <c r="K4210" s="27" t="s">
        <v>40</v>
      </c>
      <c r="L4210" s="27"/>
    </row>
    <row r="4211" customFormat="false" ht="15" hidden="false" customHeight="false" outlineLevel="0" collapsed="false">
      <c r="A4211" s="26" t="s">
        <v>13358</v>
      </c>
      <c r="B4211" s="27" t="s">
        <v>13359</v>
      </c>
      <c r="C4211" s="27" t="s">
        <v>2434</v>
      </c>
      <c r="D4211" s="26"/>
      <c r="E4211" s="27"/>
      <c r="F4211" s="27"/>
      <c r="G4211" s="27" t="s">
        <v>11122</v>
      </c>
      <c r="H4211" s="27" t="s">
        <v>35</v>
      </c>
      <c r="I4211" s="27" t="s">
        <v>40</v>
      </c>
      <c r="J4211" s="28" t="s">
        <v>161</v>
      </c>
      <c r="K4211" s="27" t="s">
        <v>40</v>
      </c>
      <c r="L4211" s="27"/>
    </row>
    <row r="4212" customFormat="false" ht="15" hidden="false" customHeight="false" outlineLevel="0" collapsed="false">
      <c r="A4212" s="26" t="s">
        <v>13360</v>
      </c>
      <c r="B4212" s="27" t="s">
        <v>13361</v>
      </c>
      <c r="C4212" s="27" t="s">
        <v>144</v>
      </c>
      <c r="D4212" s="26"/>
      <c r="E4212" s="27"/>
      <c r="F4212" s="27"/>
      <c r="G4212" s="27" t="s">
        <v>11122</v>
      </c>
      <c r="H4212" s="27" t="s">
        <v>35</v>
      </c>
      <c r="I4212" s="27" t="s">
        <v>40</v>
      </c>
      <c r="J4212" s="28" t="s">
        <v>161</v>
      </c>
      <c r="K4212" s="27" t="s">
        <v>40</v>
      </c>
      <c r="L4212" s="27"/>
    </row>
    <row r="4213" customFormat="false" ht="15" hidden="false" customHeight="false" outlineLevel="0" collapsed="false">
      <c r="A4213" s="26" t="s">
        <v>13362</v>
      </c>
      <c r="B4213" s="27" t="s">
        <v>13363</v>
      </c>
      <c r="C4213" s="27" t="s">
        <v>144</v>
      </c>
      <c r="D4213" s="26"/>
      <c r="E4213" s="27"/>
      <c r="F4213" s="27"/>
      <c r="G4213" s="27" t="s">
        <v>11122</v>
      </c>
      <c r="H4213" s="27" t="s">
        <v>35</v>
      </c>
      <c r="I4213" s="27" t="s">
        <v>40</v>
      </c>
      <c r="J4213" s="28" t="s">
        <v>161</v>
      </c>
      <c r="K4213" s="27" t="s">
        <v>40</v>
      </c>
      <c r="L4213" s="27"/>
    </row>
    <row r="4214" customFormat="false" ht="15" hidden="false" customHeight="false" outlineLevel="0" collapsed="false">
      <c r="A4214" s="26" t="s">
        <v>13364</v>
      </c>
      <c r="B4214" s="27" t="s">
        <v>13365</v>
      </c>
      <c r="C4214" s="27" t="s">
        <v>144</v>
      </c>
      <c r="D4214" s="26"/>
      <c r="E4214" s="27"/>
      <c r="F4214" s="27"/>
      <c r="G4214" s="27" t="s">
        <v>11122</v>
      </c>
      <c r="H4214" s="27" t="s">
        <v>35</v>
      </c>
      <c r="I4214" s="27" t="s">
        <v>40</v>
      </c>
      <c r="J4214" s="28" t="s">
        <v>161</v>
      </c>
      <c r="K4214" s="27" t="s">
        <v>40</v>
      </c>
      <c r="L4214" s="27"/>
    </row>
    <row r="4215" customFormat="false" ht="15" hidden="false" customHeight="false" outlineLevel="0" collapsed="false">
      <c r="A4215" s="26" t="s">
        <v>13366</v>
      </c>
      <c r="B4215" s="27" t="s">
        <v>13367</v>
      </c>
      <c r="C4215" s="27" t="s">
        <v>144</v>
      </c>
      <c r="D4215" s="26"/>
      <c r="E4215" s="27"/>
      <c r="F4215" s="27"/>
      <c r="G4215" s="27" t="s">
        <v>11122</v>
      </c>
      <c r="H4215" s="27" t="s">
        <v>35</v>
      </c>
      <c r="I4215" s="27" t="s">
        <v>40</v>
      </c>
      <c r="J4215" s="28" t="s">
        <v>161</v>
      </c>
      <c r="K4215" s="27" t="s">
        <v>40</v>
      </c>
      <c r="L4215" s="27"/>
    </row>
    <row r="4216" customFormat="false" ht="15" hidden="false" customHeight="false" outlineLevel="0" collapsed="false">
      <c r="A4216" s="26" t="s">
        <v>13368</v>
      </c>
      <c r="B4216" s="27" t="s">
        <v>13369</v>
      </c>
      <c r="C4216" s="27" t="s">
        <v>144</v>
      </c>
      <c r="D4216" s="26"/>
      <c r="E4216" s="27"/>
      <c r="F4216" s="27"/>
      <c r="G4216" s="27" t="s">
        <v>11122</v>
      </c>
      <c r="H4216" s="27" t="s">
        <v>35</v>
      </c>
      <c r="I4216" s="27" t="s">
        <v>40</v>
      </c>
      <c r="J4216" s="28" t="s">
        <v>161</v>
      </c>
      <c r="K4216" s="27" t="s">
        <v>40</v>
      </c>
      <c r="L4216" s="27"/>
    </row>
    <row r="4217" customFormat="false" ht="15" hidden="false" customHeight="false" outlineLevel="0" collapsed="false">
      <c r="A4217" s="26" t="s">
        <v>13370</v>
      </c>
      <c r="B4217" s="27" t="s">
        <v>13371</v>
      </c>
      <c r="C4217" s="27" t="s">
        <v>144</v>
      </c>
      <c r="D4217" s="26"/>
      <c r="E4217" s="27"/>
      <c r="F4217" s="27"/>
      <c r="G4217" s="27" t="s">
        <v>11122</v>
      </c>
      <c r="H4217" s="27" t="s">
        <v>35</v>
      </c>
      <c r="I4217" s="27" t="s">
        <v>40</v>
      </c>
      <c r="J4217" s="28" t="s">
        <v>161</v>
      </c>
      <c r="K4217" s="27" t="s">
        <v>40</v>
      </c>
      <c r="L4217" s="27"/>
    </row>
    <row r="4218" customFormat="false" ht="15" hidden="false" customHeight="false" outlineLevel="0" collapsed="false">
      <c r="A4218" s="26" t="s">
        <v>13372</v>
      </c>
      <c r="B4218" s="27" t="s">
        <v>13373</v>
      </c>
      <c r="C4218" s="27" t="s">
        <v>144</v>
      </c>
      <c r="D4218" s="26"/>
      <c r="E4218" s="27"/>
      <c r="F4218" s="27"/>
      <c r="G4218" s="27" t="s">
        <v>11122</v>
      </c>
      <c r="H4218" s="27" t="s">
        <v>35</v>
      </c>
      <c r="I4218" s="27" t="s">
        <v>42</v>
      </c>
      <c r="J4218" s="28" t="s">
        <v>161</v>
      </c>
      <c r="K4218" s="27" t="s">
        <v>40</v>
      </c>
      <c r="L4218" s="27"/>
    </row>
    <row r="4219" customFormat="false" ht="15" hidden="false" customHeight="false" outlineLevel="0" collapsed="false">
      <c r="A4219" s="26" t="s">
        <v>13374</v>
      </c>
      <c r="B4219" s="27" t="s">
        <v>13375</v>
      </c>
      <c r="C4219" s="27" t="s">
        <v>144</v>
      </c>
      <c r="D4219" s="26"/>
      <c r="E4219" s="27"/>
      <c r="F4219" s="27"/>
      <c r="G4219" s="27" t="s">
        <v>11122</v>
      </c>
      <c r="H4219" s="27" t="s">
        <v>35</v>
      </c>
      <c r="I4219" s="27" t="s">
        <v>37</v>
      </c>
      <c r="J4219" s="28" t="s">
        <v>161</v>
      </c>
      <c r="K4219" s="27" t="s">
        <v>40</v>
      </c>
      <c r="L4219" s="27"/>
    </row>
    <row r="4220" customFormat="false" ht="15" hidden="false" customHeight="false" outlineLevel="0" collapsed="false">
      <c r="A4220" s="26" t="s">
        <v>13376</v>
      </c>
      <c r="B4220" s="27" t="s">
        <v>13377</v>
      </c>
      <c r="C4220" s="27" t="s">
        <v>144</v>
      </c>
      <c r="D4220" s="26"/>
      <c r="E4220" s="27"/>
      <c r="F4220" s="27"/>
      <c r="G4220" s="27" t="s">
        <v>11122</v>
      </c>
      <c r="H4220" s="27" t="s">
        <v>35</v>
      </c>
      <c r="I4220" s="27" t="s">
        <v>40</v>
      </c>
      <c r="J4220" s="28" t="s">
        <v>161</v>
      </c>
      <c r="K4220" s="27" t="s">
        <v>40</v>
      </c>
      <c r="L4220" s="27"/>
    </row>
    <row r="4221" customFormat="false" ht="15" hidden="false" customHeight="false" outlineLevel="0" collapsed="false">
      <c r="A4221" s="26" t="s">
        <v>13378</v>
      </c>
      <c r="B4221" s="27" t="s">
        <v>13379</v>
      </c>
      <c r="C4221" s="27" t="s">
        <v>144</v>
      </c>
      <c r="D4221" s="26"/>
      <c r="E4221" s="27"/>
      <c r="F4221" s="27"/>
      <c r="G4221" s="27" t="s">
        <v>11122</v>
      </c>
      <c r="H4221" s="27" t="s">
        <v>35</v>
      </c>
      <c r="I4221" s="27" t="s">
        <v>40</v>
      </c>
      <c r="J4221" s="28" t="s">
        <v>161</v>
      </c>
      <c r="K4221" s="27" t="s">
        <v>40</v>
      </c>
      <c r="L4221" s="27"/>
    </row>
    <row r="4222" customFormat="false" ht="15" hidden="false" customHeight="false" outlineLevel="0" collapsed="false">
      <c r="A4222" s="26" t="s">
        <v>13380</v>
      </c>
      <c r="B4222" s="27" t="s">
        <v>13381</v>
      </c>
      <c r="C4222" s="27" t="s">
        <v>144</v>
      </c>
      <c r="D4222" s="26"/>
      <c r="E4222" s="27"/>
      <c r="F4222" s="27"/>
      <c r="G4222" s="27" t="s">
        <v>11122</v>
      </c>
      <c r="H4222" s="27" t="s">
        <v>35</v>
      </c>
      <c r="I4222" s="27" t="s">
        <v>40</v>
      </c>
      <c r="J4222" s="28" t="s">
        <v>161</v>
      </c>
      <c r="K4222" s="27" t="s">
        <v>40</v>
      </c>
      <c r="L4222" s="27"/>
    </row>
    <row r="4223" customFormat="false" ht="15" hidden="false" customHeight="false" outlineLevel="0" collapsed="false">
      <c r="A4223" s="26" t="s">
        <v>13382</v>
      </c>
      <c r="B4223" s="27" t="s">
        <v>13383</v>
      </c>
      <c r="C4223" s="27" t="s">
        <v>144</v>
      </c>
      <c r="D4223" s="26"/>
      <c r="E4223" s="27"/>
      <c r="F4223" s="27"/>
      <c r="G4223" s="27" t="s">
        <v>11122</v>
      </c>
      <c r="H4223" s="27" t="s">
        <v>35</v>
      </c>
      <c r="I4223" s="27" t="s">
        <v>40</v>
      </c>
      <c r="J4223" s="28" t="s">
        <v>161</v>
      </c>
      <c r="K4223" s="27" t="s">
        <v>40</v>
      </c>
      <c r="L4223" s="27"/>
    </row>
    <row r="4224" customFormat="false" ht="15" hidden="false" customHeight="false" outlineLevel="0" collapsed="false">
      <c r="A4224" s="26" t="s">
        <v>13384</v>
      </c>
      <c r="B4224" s="27" t="s">
        <v>13385</v>
      </c>
      <c r="C4224" s="27" t="s">
        <v>144</v>
      </c>
      <c r="D4224" s="26"/>
      <c r="E4224" s="27"/>
      <c r="F4224" s="27"/>
      <c r="G4224" s="27" t="s">
        <v>11122</v>
      </c>
      <c r="H4224" s="27" t="s">
        <v>35</v>
      </c>
      <c r="I4224" s="28" t="s">
        <v>46</v>
      </c>
      <c r="J4224" s="28" t="s">
        <v>161</v>
      </c>
      <c r="K4224" s="27" t="s">
        <v>40</v>
      </c>
      <c r="L4224" s="27"/>
    </row>
    <row r="4225" customFormat="false" ht="15" hidden="false" customHeight="false" outlineLevel="0" collapsed="false">
      <c r="A4225" s="26" t="s">
        <v>13386</v>
      </c>
      <c r="B4225" s="27" t="s">
        <v>13387</v>
      </c>
      <c r="C4225" s="27" t="s">
        <v>144</v>
      </c>
      <c r="D4225" s="26"/>
      <c r="E4225" s="27"/>
      <c r="F4225" s="27"/>
      <c r="G4225" s="27" t="s">
        <v>11122</v>
      </c>
      <c r="H4225" s="27" t="s">
        <v>35</v>
      </c>
      <c r="I4225" s="27" t="s">
        <v>40</v>
      </c>
      <c r="J4225" s="28" t="s">
        <v>161</v>
      </c>
      <c r="K4225" s="27" t="s">
        <v>40</v>
      </c>
      <c r="L4225" s="27"/>
    </row>
    <row r="4226" customFormat="false" ht="15" hidden="false" customHeight="false" outlineLevel="0" collapsed="false">
      <c r="A4226" s="26" t="s">
        <v>13388</v>
      </c>
      <c r="B4226" s="27" t="s">
        <v>13389</v>
      </c>
      <c r="C4226" s="27" t="s">
        <v>144</v>
      </c>
      <c r="D4226" s="26"/>
      <c r="E4226" s="27"/>
      <c r="F4226" s="27"/>
      <c r="G4226" s="27" t="s">
        <v>11122</v>
      </c>
      <c r="H4226" s="27" t="s">
        <v>35</v>
      </c>
      <c r="I4226" s="27" t="s">
        <v>40</v>
      </c>
      <c r="J4226" s="28" t="s">
        <v>161</v>
      </c>
      <c r="K4226" s="27" t="s">
        <v>40</v>
      </c>
      <c r="L4226" s="27"/>
    </row>
    <row r="4227" customFormat="false" ht="15" hidden="false" customHeight="false" outlineLevel="0" collapsed="false">
      <c r="A4227" s="26" t="s">
        <v>13390</v>
      </c>
      <c r="B4227" s="27" t="s">
        <v>13391</v>
      </c>
      <c r="C4227" s="27" t="s">
        <v>144</v>
      </c>
      <c r="D4227" s="26"/>
      <c r="E4227" s="27"/>
      <c r="F4227" s="27"/>
      <c r="G4227" s="27" t="s">
        <v>11122</v>
      </c>
      <c r="H4227" s="27" t="s">
        <v>35</v>
      </c>
      <c r="I4227" s="28" t="s">
        <v>46</v>
      </c>
      <c r="J4227" s="28" t="s">
        <v>161</v>
      </c>
      <c r="K4227" s="27" t="s">
        <v>40</v>
      </c>
      <c r="L4227" s="27"/>
    </row>
    <row r="4228" customFormat="false" ht="15" hidden="false" customHeight="false" outlineLevel="0" collapsed="false">
      <c r="A4228" s="26" t="s">
        <v>13392</v>
      </c>
      <c r="B4228" s="27" t="s">
        <v>13393</v>
      </c>
      <c r="C4228" s="27" t="s">
        <v>144</v>
      </c>
      <c r="D4228" s="26"/>
      <c r="E4228" s="27"/>
      <c r="F4228" s="27"/>
      <c r="G4228" s="27" t="s">
        <v>11122</v>
      </c>
      <c r="H4228" s="27" t="s">
        <v>35</v>
      </c>
      <c r="I4228" s="27" t="s">
        <v>41</v>
      </c>
      <c r="J4228" s="28" t="s">
        <v>161</v>
      </c>
      <c r="K4228" s="27" t="s">
        <v>40</v>
      </c>
      <c r="L4228" s="27"/>
    </row>
    <row r="4229" customFormat="false" ht="15" hidden="false" customHeight="false" outlineLevel="0" collapsed="false">
      <c r="A4229" s="26" t="s">
        <v>13394</v>
      </c>
      <c r="B4229" s="27" t="s">
        <v>13395</v>
      </c>
      <c r="C4229" s="27" t="s">
        <v>144</v>
      </c>
      <c r="D4229" s="26"/>
      <c r="E4229" s="27"/>
      <c r="F4229" s="27"/>
      <c r="G4229" s="27" t="s">
        <v>11122</v>
      </c>
      <c r="H4229" s="27" t="s">
        <v>35</v>
      </c>
      <c r="I4229" s="27" t="s">
        <v>41</v>
      </c>
      <c r="J4229" s="28" t="s">
        <v>161</v>
      </c>
      <c r="K4229" s="27" t="s">
        <v>40</v>
      </c>
      <c r="L4229" s="27"/>
    </row>
    <row r="4230" customFormat="false" ht="15" hidden="false" customHeight="false" outlineLevel="0" collapsed="false">
      <c r="A4230" s="26" t="s">
        <v>13396</v>
      </c>
      <c r="B4230" s="27" t="s">
        <v>13397</v>
      </c>
      <c r="C4230" s="27" t="s">
        <v>144</v>
      </c>
      <c r="D4230" s="26"/>
      <c r="E4230" s="27"/>
      <c r="F4230" s="27"/>
      <c r="G4230" s="27" t="s">
        <v>11122</v>
      </c>
      <c r="H4230" s="27" t="s">
        <v>35</v>
      </c>
      <c r="I4230" s="27" t="s">
        <v>38</v>
      </c>
      <c r="J4230" s="28" t="s">
        <v>161</v>
      </c>
      <c r="K4230" s="27" t="s">
        <v>40</v>
      </c>
      <c r="L4230" s="27"/>
    </row>
    <row r="4231" customFormat="false" ht="15" hidden="false" customHeight="false" outlineLevel="0" collapsed="false">
      <c r="A4231" s="26" t="s">
        <v>13398</v>
      </c>
      <c r="B4231" s="27" t="s">
        <v>13399</v>
      </c>
      <c r="C4231" s="27" t="s">
        <v>144</v>
      </c>
      <c r="D4231" s="26"/>
      <c r="E4231" s="27"/>
      <c r="F4231" s="27"/>
      <c r="G4231" s="27" t="s">
        <v>11122</v>
      </c>
      <c r="H4231" s="27" t="s">
        <v>35</v>
      </c>
      <c r="I4231" s="27" t="s">
        <v>40</v>
      </c>
      <c r="J4231" s="28" t="s">
        <v>161</v>
      </c>
      <c r="K4231" s="27" t="s">
        <v>40</v>
      </c>
      <c r="L4231" s="27"/>
    </row>
    <row r="4232" customFormat="false" ht="15" hidden="false" customHeight="false" outlineLevel="0" collapsed="false">
      <c r="A4232" s="26" t="s">
        <v>13400</v>
      </c>
      <c r="B4232" s="27" t="s">
        <v>13401</v>
      </c>
      <c r="C4232" s="27" t="s">
        <v>144</v>
      </c>
      <c r="D4232" s="26"/>
      <c r="E4232" s="27"/>
      <c r="F4232" s="27"/>
      <c r="G4232" s="27" t="s">
        <v>11122</v>
      </c>
      <c r="H4232" s="27" t="s">
        <v>35</v>
      </c>
      <c r="I4232" s="27" t="s">
        <v>40</v>
      </c>
      <c r="J4232" s="28" t="s">
        <v>161</v>
      </c>
      <c r="K4232" s="27" t="s">
        <v>40</v>
      </c>
      <c r="L4232" s="27"/>
    </row>
    <row r="4233" customFormat="false" ht="15" hidden="false" customHeight="false" outlineLevel="0" collapsed="false">
      <c r="A4233" s="26" t="s">
        <v>13402</v>
      </c>
      <c r="B4233" s="27" t="s">
        <v>13403</v>
      </c>
      <c r="C4233" s="27" t="s">
        <v>144</v>
      </c>
      <c r="D4233" s="26"/>
      <c r="E4233" s="27"/>
      <c r="F4233" s="27"/>
      <c r="G4233" s="27" t="s">
        <v>11122</v>
      </c>
      <c r="H4233" s="27" t="s">
        <v>35</v>
      </c>
      <c r="I4233" s="27" t="s">
        <v>40</v>
      </c>
      <c r="J4233" s="28" t="s">
        <v>161</v>
      </c>
      <c r="K4233" s="27" t="s">
        <v>40</v>
      </c>
      <c r="L4233" s="27"/>
    </row>
    <row r="4234" customFormat="false" ht="15" hidden="false" customHeight="false" outlineLevel="0" collapsed="false">
      <c r="A4234" s="26" t="s">
        <v>13404</v>
      </c>
      <c r="B4234" s="27" t="s">
        <v>13405</v>
      </c>
      <c r="C4234" s="27" t="s">
        <v>144</v>
      </c>
      <c r="D4234" s="26"/>
      <c r="E4234" s="27"/>
      <c r="F4234" s="27"/>
      <c r="G4234" s="27" t="s">
        <v>11122</v>
      </c>
      <c r="H4234" s="27" t="s">
        <v>35</v>
      </c>
      <c r="I4234" s="27" t="s">
        <v>40</v>
      </c>
      <c r="J4234" s="28" t="s">
        <v>161</v>
      </c>
      <c r="K4234" s="27" t="s">
        <v>40</v>
      </c>
      <c r="L4234" s="27"/>
    </row>
    <row r="4235" customFormat="false" ht="15" hidden="false" customHeight="false" outlineLevel="0" collapsed="false">
      <c r="A4235" s="26" t="s">
        <v>13406</v>
      </c>
      <c r="B4235" s="27" t="s">
        <v>13407</v>
      </c>
      <c r="C4235" s="27" t="s">
        <v>144</v>
      </c>
      <c r="D4235" s="26"/>
      <c r="E4235" s="27"/>
      <c r="F4235" s="27"/>
      <c r="G4235" s="27" t="s">
        <v>11122</v>
      </c>
      <c r="H4235" s="27" t="s">
        <v>35</v>
      </c>
      <c r="I4235" s="27" t="s">
        <v>40</v>
      </c>
      <c r="J4235" s="28" t="s">
        <v>161</v>
      </c>
      <c r="K4235" s="27" t="s">
        <v>40</v>
      </c>
      <c r="L4235" s="27"/>
    </row>
    <row r="4236" customFormat="false" ht="15" hidden="false" customHeight="false" outlineLevel="0" collapsed="false">
      <c r="A4236" s="26" t="s">
        <v>13408</v>
      </c>
      <c r="B4236" s="27" t="s">
        <v>13409</v>
      </c>
      <c r="C4236" s="27" t="s">
        <v>144</v>
      </c>
      <c r="D4236" s="26"/>
      <c r="E4236" s="27"/>
      <c r="F4236" s="27"/>
      <c r="G4236" s="27" t="s">
        <v>11122</v>
      </c>
      <c r="H4236" s="27" t="s">
        <v>35</v>
      </c>
      <c r="I4236" s="27" t="s">
        <v>40</v>
      </c>
      <c r="J4236" s="28" t="s">
        <v>161</v>
      </c>
      <c r="K4236" s="27" t="s">
        <v>40</v>
      </c>
      <c r="L4236" s="27"/>
    </row>
    <row r="4237" customFormat="false" ht="15" hidden="false" customHeight="false" outlineLevel="0" collapsed="false">
      <c r="A4237" s="26" t="s">
        <v>13410</v>
      </c>
      <c r="B4237" s="27" t="s">
        <v>13411</v>
      </c>
      <c r="C4237" s="27" t="s">
        <v>144</v>
      </c>
      <c r="D4237" s="26"/>
      <c r="E4237" s="27"/>
      <c r="F4237" s="27"/>
      <c r="G4237" s="27" t="s">
        <v>11122</v>
      </c>
      <c r="H4237" s="27" t="s">
        <v>35</v>
      </c>
      <c r="I4237" s="27" t="s">
        <v>40</v>
      </c>
      <c r="J4237" s="28" t="s">
        <v>161</v>
      </c>
      <c r="K4237" s="27" t="s">
        <v>40</v>
      </c>
      <c r="L4237" s="27"/>
    </row>
    <row r="4238" customFormat="false" ht="15" hidden="false" customHeight="false" outlineLevel="0" collapsed="false">
      <c r="A4238" s="26" t="s">
        <v>13412</v>
      </c>
      <c r="B4238" s="27" t="s">
        <v>13413</v>
      </c>
      <c r="C4238" s="27" t="s">
        <v>144</v>
      </c>
      <c r="D4238" s="26"/>
      <c r="E4238" s="27"/>
      <c r="F4238" s="27"/>
      <c r="G4238" s="27" t="s">
        <v>11122</v>
      </c>
      <c r="H4238" s="27" t="s">
        <v>35</v>
      </c>
      <c r="I4238" s="27" t="s">
        <v>40</v>
      </c>
      <c r="J4238" s="28" t="s">
        <v>161</v>
      </c>
      <c r="K4238" s="27" t="s">
        <v>40</v>
      </c>
      <c r="L4238" s="27"/>
    </row>
    <row r="4239" customFormat="false" ht="15" hidden="false" customHeight="false" outlineLevel="0" collapsed="false">
      <c r="A4239" s="26" t="s">
        <v>13414</v>
      </c>
      <c r="B4239" s="27" t="s">
        <v>13415</v>
      </c>
      <c r="C4239" s="27" t="s">
        <v>144</v>
      </c>
      <c r="D4239" s="26"/>
      <c r="E4239" s="27"/>
      <c r="F4239" s="27"/>
      <c r="G4239" s="27" t="s">
        <v>11122</v>
      </c>
      <c r="H4239" s="27" t="s">
        <v>35</v>
      </c>
      <c r="I4239" s="27" t="s">
        <v>40</v>
      </c>
      <c r="J4239" s="28" t="s">
        <v>161</v>
      </c>
      <c r="K4239" s="27" t="s">
        <v>40</v>
      </c>
      <c r="L4239" s="27"/>
    </row>
    <row r="4240" customFormat="false" ht="15" hidden="false" customHeight="false" outlineLevel="0" collapsed="false">
      <c r="A4240" s="26" t="s">
        <v>13416</v>
      </c>
      <c r="B4240" s="27" t="s">
        <v>13417</v>
      </c>
      <c r="C4240" s="27" t="s">
        <v>144</v>
      </c>
      <c r="D4240" s="26"/>
      <c r="E4240" s="27"/>
      <c r="F4240" s="27"/>
      <c r="G4240" s="27" t="s">
        <v>11122</v>
      </c>
      <c r="H4240" s="27" t="s">
        <v>35</v>
      </c>
      <c r="I4240" s="27" t="s">
        <v>40</v>
      </c>
      <c r="J4240" s="28" t="s">
        <v>161</v>
      </c>
      <c r="K4240" s="27" t="s">
        <v>40</v>
      </c>
      <c r="L4240" s="27"/>
    </row>
    <row r="4241" customFormat="false" ht="15" hidden="false" customHeight="false" outlineLevel="0" collapsed="false">
      <c r="A4241" s="26" t="s">
        <v>13418</v>
      </c>
      <c r="B4241" s="27" t="s">
        <v>13419</v>
      </c>
      <c r="C4241" s="27" t="s">
        <v>144</v>
      </c>
      <c r="D4241" s="26"/>
      <c r="E4241" s="27"/>
      <c r="F4241" s="27"/>
      <c r="G4241" s="27" t="s">
        <v>11122</v>
      </c>
      <c r="H4241" s="27" t="s">
        <v>35</v>
      </c>
      <c r="I4241" s="27" t="s">
        <v>40</v>
      </c>
      <c r="J4241" s="28" t="s">
        <v>161</v>
      </c>
      <c r="K4241" s="27" t="s">
        <v>40</v>
      </c>
      <c r="L4241" s="27"/>
    </row>
    <row r="4242" customFormat="false" ht="15" hidden="false" customHeight="false" outlineLevel="0" collapsed="false">
      <c r="A4242" s="26" t="s">
        <v>13420</v>
      </c>
      <c r="B4242" s="27" t="s">
        <v>13421</v>
      </c>
      <c r="C4242" s="27" t="s">
        <v>144</v>
      </c>
      <c r="D4242" s="26"/>
      <c r="E4242" s="27"/>
      <c r="F4242" s="27"/>
      <c r="G4242" s="27" t="s">
        <v>11122</v>
      </c>
      <c r="H4242" s="27" t="s">
        <v>35</v>
      </c>
      <c r="I4242" s="27" t="s">
        <v>40</v>
      </c>
      <c r="J4242" s="28" t="s">
        <v>161</v>
      </c>
      <c r="K4242" s="27" t="s">
        <v>40</v>
      </c>
      <c r="L4242" s="27"/>
    </row>
    <row r="4243" customFormat="false" ht="15" hidden="false" customHeight="false" outlineLevel="0" collapsed="false">
      <c r="A4243" s="26" t="s">
        <v>13422</v>
      </c>
      <c r="B4243" s="27" t="s">
        <v>13423</v>
      </c>
      <c r="C4243" s="27" t="s">
        <v>144</v>
      </c>
      <c r="D4243" s="26"/>
      <c r="E4243" s="27"/>
      <c r="F4243" s="27"/>
      <c r="G4243" s="27" t="s">
        <v>11122</v>
      </c>
      <c r="H4243" s="27" t="s">
        <v>35</v>
      </c>
      <c r="I4243" s="27" t="s">
        <v>40</v>
      </c>
      <c r="J4243" s="28" t="s">
        <v>161</v>
      </c>
      <c r="K4243" s="27" t="s">
        <v>40</v>
      </c>
      <c r="L4243" s="27"/>
    </row>
    <row r="4244" customFormat="false" ht="15" hidden="false" customHeight="false" outlineLevel="0" collapsed="false">
      <c r="A4244" s="26" t="s">
        <v>13424</v>
      </c>
      <c r="B4244" s="27" t="s">
        <v>13425</v>
      </c>
      <c r="C4244" s="27" t="s">
        <v>144</v>
      </c>
      <c r="D4244" s="26"/>
      <c r="E4244" s="27"/>
      <c r="F4244" s="27"/>
      <c r="G4244" s="27" t="s">
        <v>11122</v>
      </c>
      <c r="H4244" s="27" t="s">
        <v>35</v>
      </c>
      <c r="I4244" s="27" t="s">
        <v>40</v>
      </c>
      <c r="J4244" s="28" t="s">
        <v>161</v>
      </c>
      <c r="K4244" s="27" t="s">
        <v>40</v>
      </c>
      <c r="L4244" s="27"/>
    </row>
    <row r="4245" customFormat="false" ht="15" hidden="false" customHeight="false" outlineLevel="0" collapsed="false">
      <c r="A4245" s="26" t="s">
        <v>13426</v>
      </c>
      <c r="B4245" s="27" t="s">
        <v>13427</v>
      </c>
      <c r="C4245" s="27" t="s">
        <v>144</v>
      </c>
      <c r="D4245" s="26"/>
      <c r="E4245" s="27"/>
      <c r="F4245" s="27"/>
      <c r="G4245" s="27" t="s">
        <v>11122</v>
      </c>
      <c r="H4245" s="27" t="s">
        <v>35</v>
      </c>
      <c r="I4245" s="27" t="s">
        <v>40</v>
      </c>
      <c r="J4245" s="28" t="s">
        <v>161</v>
      </c>
      <c r="K4245" s="27" t="s">
        <v>40</v>
      </c>
      <c r="L4245" s="27"/>
    </row>
    <row r="4246" customFormat="false" ht="15" hidden="false" customHeight="false" outlineLevel="0" collapsed="false">
      <c r="A4246" s="26" t="s">
        <v>13428</v>
      </c>
      <c r="B4246" s="27" t="s">
        <v>13429</v>
      </c>
      <c r="C4246" s="27" t="s">
        <v>144</v>
      </c>
      <c r="D4246" s="26"/>
      <c r="E4246" s="27"/>
      <c r="F4246" s="27"/>
      <c r="G4246" s="27" t="s">
        <v>11122</v>
      </c>
      <c r="H4246" s="27" t="s">
        <v>35</v>
      </c>
      <c r="I4246" s="27" t="s">
        <v>40</v>
      </c>
      <c r="J4246" s="28" t="s">
        <v>161</v>
      </c>
      <c r="K4246" s="27" t="s">
        <v>40</v>
      </c>
      <c r="L4246" s="27"/>
    </row>
    <row r="4247" customFormat="false" ht="15" hidden="false" customHeight="false" outlineLevel="0" collapsed="false">
      <c r="A4247" s="26" t="s">
        <v>13430</v>
      </c>
      <c r="B4247" s="27" t="s">
        <v>13431</v>
      </c>
      <c r="C4247" s="27" t="s">
        <v>144</v>
      </c>
      <c r="D4247" s="26"/>
      <c r="E4247" s="27"/>
      <c r="F4247" s="27"/>
      <c r="G4247" s="27" t="s">
        <v>11122</v>
      </c>
      <c r="H4247" s="27" t="s">
        <v>35</v>
      </c>
      <c r="I4247" s="27" t="s">
        <v>40</v>
      </c>
      <c r="J4247" s="28" t="s">
        <v>161</v>
      </c>
      <c r="K4247" s="27" t="s">
        <v>40</v>
      </c>
      <c r="L4247" s="27"/>
    </row>
    <row r="4248" customFormat="false" ht="15" hidden="false" customHeight="false" outlineLevel="0" collapsed="false">
      <c r="A4248" s="26" t="s">
        <v>13432</v>
      </c>
      <c r="B4248" s="27" t="s">
        <v>13433</v>
      </c>
      <c r="C4248" s="27" t="s">
        <v>144</v>
      </c>
      <c r="D4248" s="26"/>
      <c r="E4248" s="27"/>
      <c r="F4248" s="27"/>
      <c r="G4248" s="27" t="s">
        <v>11122</v>
      </c>
      <c r="H4248" s="27" t="s">
        <v>35</v>
      </c>
      <c r="I4248" s="27" t="s">
        <v>40</v>
      </c>
      <c r="J4248" s="28" t="s">
        <v>161</v>
      </c>
      <c r="K4248" s="27" t="s">
        <v>40</v>
      </c>
      <c r="L4248" s="27"/>
    </row>
    <row r="4249" customFormat="false" ht="15" hidden="false" customHeight="false" outlineLevel="0" collapsed="false">
      <c r="A4249" s="26" t="s">
        <v>13434</v>
      </c>
      <c r="B4249" s="27" t="s">
        <v>13435</v>
      </c>
      <c r="C4249" s="27" t="s">
        <v>144</v>
      </c>
      <c r="D4249" s="26"/>
      <c r="E4249" s="27"/>
      <c r="F4249" s="27"/>
      <c r="G4249" s="27" t="s">
        <v>11122</v>
      </c>
      <c r="H4249" s="27" t="s">
        <v>35</v>
      </c>
      <c r="I4249" s="27" t="s">
        <v>40</v>
      </c>
      <c r="J4249" s="28" t="s">
        <v>161</v>
      </c>
      <c r="K4249" s="27" t="s">
        <v>40</v>
      </c>
      <c r="L4249" s="27"/>
    </row>
    <row r="4250" customFormat="false" ht="15" hidden="false" customHeight="false" outlineLevel="0" collapsed="false">
      <c r="A4250" s="26" t="s">
        <v>13436</v>
      </c>
      <c r="B4250" s="27" t="s">
        <v>13437</v>
      </c>
      <c r="C4250" s="27" t="s">
        <v>144</v>
      </c>
      <c r="D4250" s="26"/>
      <c r="E4250" s="27"/>
      <c r="F4250" s="27"/>
      <c r="G4250" s="27" t="s">
        <v>11122</v>
      </c>
      <c r="H4250" s="27" t="s">
        <v>35</v>
      </c>
      <c r="I4250" s="27" t="s">
        <v>40</v>
      </c>
      <c r="J4250" s="28" t="s">
        <v>161</v>
      </c>
      <c r="K4250" s="27" t="s">
        <v>40</v>
      </c>
      <c r="L4250" s="27"/>
    </row>
    <row r="4251" customFormat="false" ht="15" hidden="false" customHeight="false" outlineLevel="0" collapsed="false">
      <c r="A4251" s="26" t="s">
        <v>13438</v>
      </c>
      <c r="B4251" s="27" t="s">
        <v>13439</v>
      </c>
      <c r="C4251" s="27" t="s">
        <v>144</v>
      </c>
      <c r="D4251" s="26"/>
      <c r="E4251" s="27"/>
      <c r="F4251" s="27"/>
      <c r="G4251" s="27" t="s">
        <v>11122</v>
      </c>
      <c r="H4251" s="27" t="s">
        <v>35</v>
      </c>
      <c r="I4251" s="27" t="s">
        <v>40</v>
      </c>
      <c r="J4251" s="28" t="s">
        <v>161</v>
      </c>
      <c r="K4251" s="27" t="s">
        <v>40</v>
      </c>
      <c r="L4251" s="27"/>
    </row>
    <row r="4252" customFormat="false" ht="15" hidden="false" customHeight="false" outlineLevel="0" collapsed="false">
      <c r="A4252" s="26" t="s">
        <v>13440</v>
      </c>
      <c r="B4252" s="27" t="s">
        <v>13441</v>
      </c>
      <c r="C4252" s="27" t="s">
        <v>144</v>
      </c>
      <c r="D4252" s="26"/>
      <c r="E4252" s="27"/>
      <c r="F4252" s="27"/>
      <c r="G4252" s="27" t="s">
        <v>11122</v>
      </c>
      <c r="H4252" s="27" t="s">
        <v>35</v>
      </c>
      <c r="I4252" s="27" t="s">
        <v>40</v>
      </c>
      <c r="J4252" s="28" t="s">
        <v>161</v>
      </c>
      <c r="K4252" s="27" t="s">
        <v>40</v>
      </c>
      <c r="L4252" s="27"/>
    </row>
    <row r="4253" customFormat="false" ht="15" hidden="false" customHeight="false" outlineLevel="0" collapsed="false">
      <c r="A4253" s="26" t="s">
        <v>13442</v>
      </c>
      <c r="B4253" s="27" t="s">
        <v>13443</v>
      </c>
      <c r="C4253" s="27" t="s">
        <v>144</v>
      </c>
      <c r="D4253" s="26"/>
      <c r="E4253" s="27"/>
      <c r="F4253" s="27"/>
      <c r="G4253" s="27" t="s">
        <v>11122</v>
      </c>
      <c r="H4253" s="27" t="s">
        <v>35</v>
      </c>
      <c r="I4253" s="27" t="s">
        <v>41</v>
      </c>
      <c r="J4253" s="28" t="s">
        <v>161</v>
      </c>
      <c r="K4253" s="27" t="s">
        <v>40</v>
      </c>
      <c r="L4253" s="27"/>
    </row>
    <row r="4254" customFormat="false" ht="15" hidden="false" customHeight="false" outlineLevel="0" collapsed="false">
      <c r="A4254" s="26" t="s">
        <v>13444</v>
      </c>
      <c r="B4254" s="27" t="s">
        <v>13445</v>
      </c>
      <c r="C4254" s="27" t="s">
        <v>370</v>
      </c>
      <c r="D4254" s="26"/>
      <c r="E4254" s="27"/>
      <c r="F4254" s="27"/>
      <c r="G4254" s="27" t="s">
        <v>11122</v>
      </c>
      <c r="H4254" s="27" t="s">
        <v>35</v>
      </c>
      <c r="I4254" s="27" t="s">
        <v>48</v>
      </c>
      <c r="J4254" s="28" t="s">
        <v>161</v>
      </c>
      <c r="K4254" s="27" t="s">
        <v>40</v>
      </c>
      <c r="L4254" s="27"/>
    </row>
    <row r="4255" customFormat="false" ht="15" hidden="false" customHeight="false" outlineLevel="0" collapsed="false">
      <c r="A4255" s="26" t="s">
        <v>13446</v>
      </c>
      <c r="B4255" s="27" t="s">
        <v>13447</v>
      </c>
      <c r="C4255" s="27" t="s">
        <v>370</v>
      </c>
      <c r="D4255" s="26"/>
      <c r="E4255" s="27"/>
      <c r="F4255" s="27"/>
      <c r="G4255" s="27" t="s">
        <v>11122</v>
      </c>
      <c r="H4255" s="27" t="s">
        <v>35</v>
      </c>
      <c r="I4255" s="27" t="s">
        <v>48</v>
      </c>
      <c r="J4255" s="28" t="s">
        <v>161</v>
      </c>
      <c r="K4255" s="27" t="s">
        <v>40</v>
      </c>
      <c r="L4255" s="27"/>
    </row>
    <row r="4256" customFormat="false" ht="15" hidden="false" customHeight="false" outlineLevel="0" collapsed="false">
      <c r="A4256" s="26" t="s">
        <v>13448</v>
      </c>
      <c r="B4256" s="27" t="s">
        <v>13449</v>
      </c>
      <c r="C4256" s="27" t="s">
        <v>370</v>
      </c>
      <c r="D4256" s="26"/>
      <c r="E4256" s="27"/>
      <c r="F4256" s="27"/>
      <c r="G4256" s="27" t="s">
        <v>11122</v>
      </c>
      <c r="H4256" s="27" t="s">
        <v>35</v>
      </c>
      <c r="I4256" s="27" t="s">
        <v>48</v>
      </c>
      <c r="J4256" s="28" t="s">
        <v>161</v>
      </c>
      <c r="K4256" s="27" t="s">
        <v>40</v>
      </c>
      <c r="L4256" s="27"/>
    </row>
    <row r="4257" customFormat="false" ht="15" hidden="false" customHeight="false" outlineLevel="0" collapsed="false">
      <c r="A4257" s="26" t="s">
        <v>13450</v>
      </c>
      <c r="B4257" s="27" t="s">
        <v>13451</v>
      </c>
      <c r="C4257" s="27" t="s">
        <v>370</v>
      </c>
      <c r="D4257" s="26"/>
      <c r="E4257" s="27"/>
      <c r="F4257" s="27"/>
      <c r="G4257" s="27" t="s">
        <v>11122</v>
      </c>
      <c r="H4257" s="27" t="s">
        <v>35</v>
      </c>
      <c r="I4257" s="27" t="s">
        <v>48</v>
      </c>
      <c r="J4257" s="28" t="s">
        <v>161</v>
      </c>
      <c r="K4257" s="27" t="s">
        <v>40</v>
      </c>
      <c r="L4257" s="27"/>
    </row>
    <row r="4258" customFormat="false" ht="15" hidden="false" customHeight="false" outlineLevel="0" collapsed="false">
      <c r="A4258" s="26" t="s">
        <v>13452</v>
      </c>
      <c r="B4258" s="27" t="s">
        <v>13453</v>
      </c>
      <c r="C4258" s="27" t="s">
        <v>370</v>
      </c>
      <c r="D4258" s="26"/>
      <c r="E4258" s="27"/>
      <c r="F4258" s="27"/>
      <c r="G4258" s="27" t="s">
        <v>11122</v>
      </c>
      <c r="H4258" s="27" t="s">
        <v>35</v>
      </c>
      <c r="I4258" s="27" t="s">
        <v>48</v>
      </c>
      <c r="J4258" s="28" t="s">
        <v>161</v>
      </c>
      <c r="K4258" s="27" t="s">
        <v>40</v>
      </c>
      <c r="L4258" s="27"/>
    </row>
    <row r="4259" customFormat="false" ht="15" hidden="false" customHeight="false" outlineLevel="0" collapsed="false">
      <c r="A4259" s="26" t="s">
        <v>13454</v>
      </c>
      <c r="B4259" s="27" t="s">
        <v>13455</v>
      </c>
      <c r="C4259" s="27" t="s">
        <v>370</v>
      </c>
      <c r="D4259" s="26"/>
      <c r="E4259" s="27"/>
      <c r="F4259" s="27"/>
      <c r="G4259" s="27" t="s">
        <v>11122</v>
      </c>
      <c r="H4259" s="27" t="s">
        <v>35</v>
      </c>
      <c r="I4259" s="27" t="s">
        <v>48</v>
      </c>
      <c r="J4259" s="28" t="s">
        <v>161</v>
      </c>
      <c r="K4259" s="27" t="s">
        <v>40</v>
      </c>
      <c r="L4259" s="27"/>
    </row>
    <row r="4260" customFormat="false" ht="15" hidden="false" customHeight="false" outlineLevel="0" collapsed="false">
      <c r="A4260" s="26" t="s">
        <v>13456</v>
      </c>
      <c r="B4260" s="27" t="s">
        <v>13457</v>
      </c>
      <c r="C4260" s="27" t="s">
        <v>370</v>
      </c>
      <c r="D4260" s="26"/>
      <c r="E4260" s="27"/>
      <c r="F4260" s="27"/>
      <c r="G4260" s="27" t="s">
        <v>11122</v>
      </c>
      <c r="H4260" s="27" t="s">
        <v>35</v>
      </c>
      <c r="I4260" s="27" t="s">
        <v>48</v>
      </c>
      <c r="J4260" s="28" t="s">
        <v>161</v>
      </c>
      <c r="K4260" s="27" t="s">
        <v>40</v>
      </c>
      <c r="L4260" s="27"/>
    </row>
    <row r="4261" customFormat="false" ht="15" hidden="false" customHeight="false" outlineLevel="0" collapsed="false">
      <c r="A4261" s="26" t="s">
        <v>13458</v>
      </c>
      <c r="B4261" s="27" t="s">
        <v>13459</v>
      </c>
      <c r="C4261" s="27" t="s">
        <v>370</v>
      </c>
      <c r="D4261" s="26"/>
      <c r="E4261" s="27"/>
      <c r="F4261" s="27"/>
      <c r="G4261" s="27" t="s">
        <v>11122</v>
      </c>
      <c r="H4261" s="27" t="s">
        <v>35</v>
      </c>
      <c r="I4261" s="27" t="s">
        <v>48</v>
      </c>
      <c r="J4261" s="28" t="s">
        <v>161</v>
      </c>
      <c r="K4261" s="27" t="s">
        <v>40</v>
      </c>
      <c r="L4261" s="27"/>
    </row>
    <row r="4262" customFormat="false" ht="15" hidden="false" customHeight="false" outlineLevel="0" collapsed="false">
      <c r="A4262" s="26" t="s">
        <v>13460</v>
      </c>
      <c r="B4262" s="27" t="s">
        <v>13461</v>
      </c>
      <c r="C4262" s="27" t="s">
        <v>370</v>
      </c>
      <c r="D4262" s="26"/>
      <c r="E4262" s="27"/>
      <c r="F4262" s="27"/>
      <c r="G4262" s="27" t="s">
        <v>11122</v>
      </c>
      <c r="H4262" s="27" t="s">
        <v>35</v>
      </c>
      <c r="I4262" s="27" t="s">
        <v>48</v>
      </c>
      <c r="J4262" s="28" t="s">
        <v>161</v>
      </c>
      <c r="K4262" s="27" t="s">
        <v>40</v>
      </c>
      <c r="L4262" s="27"/>
    </row>
    <row r="4263" customFormat="false" ht="15" hidden="false" customHeight="false" outlineLevel="0" collapsed="false">
      <c r="A4263" s="26" t="s">
        <v>13462</v>
      </c>
      <c r="B4263" s="27" t="s">
        <v>13463</v>
      </c>
      <c r="C4263" s="27" t="s">
        <v>370</v>
      </c>
      <c r="D4263" s="26"/>
      <c r="E4263" s="27"/>
      <c r="F4263" s="27"/>
      <c r="G4263" s="27" t="s">
        <v>11122</v>
      </c>
      <c r="H4263" s="27" t="s">
        <v>35</v>
      </c>
      <c r="I4263" s="27" t="s">
        <v>48</v>
      </c>
      <c r="J4263" s="28" t="s">
        <v>161</v>
      </c>
      <c r="K4263" s="27" t="s">
        <v>40</v>
      </c>
      <c r="L4263" s="27"/>
    </row>
    <row r="4264" customFormat="false" ht="15" hidden="false" customHeight="false" outlineLevel="0" collapsed="false">
      <c r="A4264" s="26" t="s">
        <v>13464</v>
      </c>
      <c r="B4264" s="27" t="s">
        <v>13465</v>
      </c>
      <c r="C4264" s="27" t="s">
        <v>370</v>
      </c>
      <c r="D4264" s="26"/>
      <c r="E4264" s="27"/>
      <c r="F4264" s="27"/>
      <c r="G4264" s="27" t="s">
        <v>11122</v>
      </c>
      <c r="H4264" s="27" t="s">
        <v>35</v>
      </c>
      <c r="I4264" s="27" t="s">
        <v>48</v>
      </c>
      <c r="J4264" s="28" t="s">
        <v>161</v>
      </c>
      <c r="K4264" s="27" t="s">
        <v>40</v>
      </c>
      <c r="L4264" s="27"/>
    </row>
    <row r="4265" customFormat="false" ht="15" hidden="false" customHeight="false" outlineLevel="0" collapsed="false">
      <c r="A4265" s="26" t="s">
        <v>13466</v>
      </c>
      <c r="B4265" s="27" t="s">
        <v>13467</v>
      </c>
      <c r="C4265" s="27" t="s">
        <v>370</v>
      </c>
      <c r="D4265" s="26"/>
      <c r="E4265" s="27"/>
      <c r="F4265" s="27"/>
      <c r="G4265" s="27" t="s">
        <v>11122</v>
      </c>
      <c r="H4265" s="27" t="s">
        <v>35</v>
      </c>
      <c r="I4265" s="27" t="s">
        <v>48</v>
      </c>
      <c r="J4265" s="28" t="s">
        <v>161</v>
      </c>
      <c r="K4265" s="27" t="s">
        <v>40</v>
      </c>
      <c r="L4265" s="27"/>
    </row>
    <row r="4266" customFormat="false" ht="15" hidden="false" customHeight="false" outlineLevel="0" collapsed="false">
      <c r="A4266" s="26" t="s">
        <v>13468</v>
      </c>
      <c r="B4266" s="27" t="s">
        <v>13469</v>
      </c>
      <c r="C4266" s="27" t="s">
        <v>370</v>
      </c>
      <c r="D4266" s="26"/>
      <c r="E4266" s="27"/>
      <c r="F4266" s="27"/>
      <c r="G4266" s="27" t="s">
        <v>11122</v>
      </c>
      <c r="H4266" s="27" t="s">
        <v>35</v>
      </c>
      <c r="I4266" s="27" t="s">
        <v>48</v>
      </c>
      <c r="J4266" s="28" t="s">
        <v>161</v>
      </c>
      <c r="K4266" s="27" t="s">
        <v>40</v>
      </c>
      <c r="L4266" s="27"/>
    </row>
    <row r="4267" customFormat="false" ht="15" hidden="false" customHeight="false" outlineLevel="0" collapsed="false">
      <c r="A4267" s="26" t="s">
        <v>13470</v>
      </c>
      <c r="B4267" s="27" t="s">
        <v>13471</v>
      </c>
      <c r="C4267" s="27" t="s">
        <v>370</v>
      </c>
      <c r="D4267" s="26"/>
      <c r="E4267" s="27"/>
      <c r="F4267" s="27"/>
      <c r="G4267" s="27" t="s">
        <v>11122</v>
      </c>
      <c r="H4267" s="27" t="s">
        <v>35</v>
      </c>
      <c r="I4267" s="27" t="s">
        <v>48</v>
      </c>
      <c r="J4267" s="28" t="s">
        <v>161</v>
      </c>
      <c r="K4267" s="27" t="s">
        <v>40</v>
      </c>
      <c r="L4267" s="27"/>
    </row>
    <row r="4268" customFormat="false" ht="15" hidden="false" customHeight="false" outlineLevel="0" collapsed="false">
      <c r="A4268" s="26" t="s">
        <v>13472</v>
      </c>
      <c r="B4268" s="27" t="s">
        <v>13473</v>
      </c>
      <c r="C4268" s="27" t="s">
        <v>370</v>
      </c>
      <c r="D4268" s="26"/>
      <c r="E4268" s="27"/>
      <c r="F4268" s="27"/>
      <c r="G4268" s="27" t="s">
        <v>11122</v>
      </c>
      <c r="H4268" s="27" t="s">
        <v>35</v>
      </c>
      <c r="I4268" s="27" t="s">
        <v>48</v>
      </c>
      <c r="J4268" s="28" t="s">
        <v>161</v>
      </c>
      <c r="K4268" s="27" t="s">
        <v>40</v>
      </c>
      <c r="L4268" s="27"/>
    </row>
    <row r="4269" customFormat="false" ht="15" hidden="false" customHeight="false" outlineLevel="0" collapsed="false">
      <c r="A4269" s="26" t="s">
        <v>13474</v>
      </c>
      <c r="B4269" s="27" t="s">
        <v>13475</v>
      </c>
      <c r="C4269" s="27" t="s">
        <v>370</v>
      </c>
      <c r="D4269" s="26"/>
      <c r="E4269" s="27"/>
      <c r="F4269" s="27"/>
      <c r="G4269" s="27" t="s">
        <v>11122</v>
      </c>
      <c r="H4269" s="27" t="s">
        <v>35</v>
      </c>
      <c r="I4269" s="27" t="s">
        <v>48</v>
      </c>
      <c r="J4269" s="28" t="s">
        <v>161</v>
      </c>
      <c r="K4269" s="27" t="s">
        <v>40</v>
      </c>
      <c r="L4269" s="27"/>
    </row>
    <row r="4270" customFormat="false" ht="15" hidden="false" customHeight="false" outlineLevel="0" collapsed="false">
      <c r="A4270" s="26" t="s">
        <v>13476</v>
      </c>
      <c r="B4270" s="27" t="s">
        <v>13477</v>
      </c>
      <c r="C4270" s="27" t="s">
        <v>370</v>
      </c>
      <c r="D4270" s="26"/>
      <c r="E4270" s="27"/>
      <c r="F4270" s="27"/>
      <c r="G4270" s="27" t="s">
        <v>11122</v>
      </c>
      <c r="H4270" s="27" t="s">
        <v>35</v>
      </c>
      <c r="I4270" s="27" t="s">
        <v>48</v>
      </c>
      <c r="J4270" s="28" t="s">
        <v>161</v>
      </c>
      <c r="K4270" s="27" t="s">
        <v>40</v>
      </c>
      <c r="L4270" s="27"/>
    </row>
    <row r="4271" customFormat="false" ht="15" hidden="false" customHeight="false" outlineLevel="0" collapsed="false">
      <c r="A4271" s="26" t="s">
        <v>13478</v>
      </c>
      <c r="B4271" s="27" t="s">
        <v>13479</v>
      </c>
      <c r="C4271" s="27" t="s">
        <v>370</v>
      </c>
      <c r="D4271" s="26"/>
      <c r="E4271" s="27"/>
      <c r="F4271" s="27"/>
      <c r="G4271" s="27" t="s">
        <v>11122</v>
      </c>
      <c r="H4271" s="27" t="s">
        <v>35</v>
      </c>
      <c r="I4271" s="27" t="s">
        <v>48</v>
      </c>
      <c r="J4271" s="28" t="s">
        <v>161</v>
      </c>
      <c r="K4271" s="27" t="s">
        <v>40</v>
      </c>
      <c r="L4271" s="27"/>
    </row>
    <row r="4272" customFormat="false" ht="15" hidden="false" customHeight="false" outlineLevel="0" collapsed="false">
      <c r="A4272" s="26" t="s">
        <v>13480</v>
      </c>
      <c r="B4272" s="27" t="s">
        <v>13481</v>
      </c>
      <c r="C4272" s="27" t="s">
        <v>370</v>
      </c>
      <c r="D4272" s="26"/>
      <c r="E4272" s="27"/>
      <c r="F4272" s="27"/>
      <c r="G4272" s="27" t="s">
        <v>11122</v>
      </c>
      <c r="H4272" s="27" t="s">
        <v>35</v>
      </c>
      <c r="I4272" s="27" t="s">
        <v>48</v>
      </c>
      <c r="J4272" s="28" t="s">
        <v>161</v>
      </c>
      <c r="K4272" s="27" t="s">
        <v>40</v>
      </c>
      <c r="L4272" s="27"/>
    </row>
    <row r="4273" customFormat="false" ht="15" hidden="false" customHeight="false" outlineLevel="0" collapsed="false">
      <c r="A4273" s="26" t="s">
        <v>13482</v>
      </c>
      <c r="B4273" s="27" t="s">
        <v>13483</v>
      </c>
      <c r="C4273" s="27" t="s">
        <v>370</v>
      </c>
      <c r="D4273" s="26"/>
      <c r="E4273" s="27"/>
      <c r="F4273" s="27"/>
      <c r="G4273" s="27" t="s">
        <v>11122</v>
      </c>
      <c r="H4273" s="27" t="s">
        <v>35</v>
      </c>
      <c r="I4273" s="27" t="s">
        <v>48</v>
      </c>
      <c r="J4273" s="28" t="s">
        <v>161</v>
      </c>
      <c r="K4273" s="27" t="s">
        <v>40</v>
      </c>
      <c r="L4273" s="27"/>
    </row>
    <row r="4274" customFormat="false" ht="15" hidden="false" customHeight="false" outlineLevel="0" collapsed="false">
      <c r="A4274" s="26" t="s">
        <v>13484</v>
      </c>
      <c r="B4274" s="27" t="s">
        <v>13485</v>
      </c>
      <c r="C4274" s="27" t="s">
        <v>370</v>
      </c>
      <c r="D4274" s="26"/>
      <c r="E4274" s="27"/>
      <c r="F4274" s="27"/>
      <c r="G4274" s="27" t="s">
        <v>11122</v>
      </c>
      <c r="H4274" s="27" t="s">
        <v>35</v>
      </c>
      <c r="I4274" s="27" t="s">
        <v>48</v>
      </c>
      <c r="J4274" s="28" t="s">
        <v>161</v>
      </c>
      <c r="K4274" s="27" t="s">
        <v>40</v>
      </c>
      <c r="L4274" s="27"/>
    </row>
    <row r="4275" customFormat="false" ht="15" hidden="false" customHeight="false" outlineLevel="0" collapsed="false">
      <c r="A4275" s="26" t="s">
        <v>13486</v>
      </c>
      <c r="B4275" s="27" t="s">
        <v>13487</v>
      </c>
      <c r="C4275" s="27" t="s">
        <v>370</v>
      </c>
      <c r="D4275" s="26"/>
      <c r="E4275" s="27"/>
      <c r="F4275" s="27"/>
      <c r="G4275" s="27" t="s">
        <v>11122</v>
      </c>
      <c r="H4275" s="27" t="s">
        <v>35</v>
      </c>
      <c r="I4275" s="27" t="s">
        <v>48</v>
      </c>
      <c r="J4275" s="28" t="s">
        <v>161</v>
      </c>
      <c r="K4275" s="27" t="s">
        <v>40</v>
      </c>
      <c r="L4275" s="27"/>
    </row>
    <row r="4276" customFormat="false" ht="15" hidden="false" customHeight="false" outlineLevel="0" collapsed="false">
      <c r="A4276" s="26" t="s">
        <v>13488</v>
      </c>
      <c r="B4276" s="27" t="s">
        <v>13489</v>
      </c>
      <c r="C4276" s="27" t="s">
        <v>370</v>
      </c>
      <c r="D4276" s="26"/>
      <c r="E4276" s="27"/>
      <c r="F4276" s="27"/>
      <c r="G4276" s="27" t="s">
        <v>11122</v>
      </c>
      <c r="H4276" s="27" t="s">
        <v>35</v>
      </c>
      <c r="I4276" s="27" t="s">
        <v>48</v>
      </c>
      <c r="J4276" s="28" t="s">
        <v>161</v>
      </c>
      <c r="K4276" s="27" t="s">
        <v>40</v>
      </c>
      <c r="L4276" s="27"/>
    </row>
    <row r="4277" customFormat="false" ht="15" hidden="false" customHeight="false" outlineLevel="0" collapsed="false">
      <c r="A4277" s="26" t="s">
        <v>13490</v>
      </c>
      <c r="B4277" s="27" t="s">
        <v>13491</v>
      </c>
      <c r="C4277" s="27" t="s">
        <v>370</v>
      </c>
      <c r="D4277" s="26"/>
      <c r="E4277" s="27"/>
      <c r="F4277" s="27"/>
      <c r="G4277" s="27" t="s">
        <v>11122</v>
      </c>
      <c r="H4277" s="27" t="s">
        <v>35</v>
      </c>
      <c r="I4277" s="27" t="s">
        <v>48</v>
      </c>
      <c r="J4277" s="28" t="s">
        <v>161</v>
      </c>
      <c r="K4277" s="27" t="s">
        <v>40</v>
      </c>
      <c r="L4277" s="27"/>
    </row>
    <row r="4278" customFormat="false" ht="15" hidden="false" customHeight="false" outlineLevel="0" collapsed="false">
      <c r="A4278" s="26" t="s">
        <v>13492</v>
      </c>
      <c r="B4278" s="27" t="s">
        <v>13493</v>
      </c>
      <c r="C4278" s="27" t="s">
        <v>370</v>
      </c>
      <c r="D4278" s="26"/>
      <c r="E4278" s="27"/>
      <c r="F4278" s="27"/>
      <c r="G4278" s="27" t="s">
        <v>11122</v>
      </c>
      <c r="H4278" s="27" t="s">
        <v>35</v>
      </c>
      <c r="I4278" s="27" t="s">
        <v>48</v>
      </c>
      <c r="J4278" s="28" t="s">
        <v>161</v>
      </c>
      <c r="K4278" s="27" t="s">
        <v>40</v>
      </c>
      <c r="L4278" s="27"/>
    </row>
    <row r="4279" customFormat="false" ht="15" hidden="false" customHeight="false" outlineLevel="0" collapsed="false">
      <c r="A4279" s="26" t="s">
        <v>13494</v>
      </c>
      <c r="B4279" s="27" t="s">
        <v>13495</v>
      </c>
      <c r="C4279" s="27" t="s">
        <v>370</v>
      </c>
      <c r="D4279" s="26"/>
      <c r="E4279" s="27"/>
      <c r="F4279" s="27"/>
      <c r="G4279" s="27" t="s">
        <v>11122</v>
      </c>
      <c r="H4279" s="27" t="s">
        <v>35</v>
      </c>
      <c r="I4279" s="27" t="s">
        <v>48</v>
      </c>
      <c r="J4279" s="28" t="s">
        <v>161</v>
      </c>
      <c r="K4279" s="27" t="s">
        <v>40</v>
      </c>
      <c r="L4279" s="27"/>
    </row>
    <row r="4280" customFormat="false" ht="15" hidden="false" customHeight="false" outlineLevel="0" collapsed="false">
      <c r="A4280" s="26" t="s">
        <v>13496</v>
      </c>
      <c r="B4280" s="27" t="s">
        <v>13497</v>
      </c>
      <c r="C4280" s="27" t="s">
        <v>370</v>
      </c>
      <c r="D4280" s="26"/>
      <c r="E4280" s="27"/>
      <c r="F4280" s="27"/>
      <c r="G4280" s="27" t="s">
        <v>11122</v>
      </c>
      <c r="H4280" s="27" t="s">
        <v>35</v>
      </c>
      <c r="I4280" s="27" t="s">
        <v>48</v>
      </c>
      <c r="J4280" s="28" t="s">
        <v>161</v>
      </c>
      <c r="K4280" s="27" t="s">
        <v>40</v>
      </c>
      <c r="L4280" s="27"/>
    </row>
    <row r="4281" customFormat="false" ht="15" hidden="false" customHeight="false" outlineLevel="0" collapsed="false">
      <c r="A4281" s="26" t="s">
        <v>13498</v>
      </c>
      <c r="B4281" s="27" t="s">
        <v>13499</v>
      </c>
      <c r="C4281" s="27" t="s">
        <v>370</v>
      </c>
      <c r="D4281" s="26"/>
      <c r="E4281" s="27"/>
      <c r="F4281" s="27"/>
      <c r="G4281" s="27" t="s">
        <v>11122</v>
      </c>
      <c r="H4281" s="27" t="s">
        <v>35</v>
      </c>
      <c r="I4281" s="27" t="s">
        <v>48</v>
      </c>
      <c r="J4281" s="28" t="s">
        <v>161</v>
      </c>
      <c r="K4281" s="27" t="s">
        <v>40</v>
      </c>
      <c r="L4281" s="27"/>
    </row>
    <row r="4282" customFormat="false" ht="15" hidden="false" customHeight="false" outlineLevel="0" collapsed="false">
      <c r="A4282" s="26" t="s">
        <v>13500</v>
      </c>
      <c r="B4282" s="27" t="s">
        <v>13501</v>
      </c>
      <c r="C4282" s="27" t="s">
        <v>370</v>
      </c>
      <c r="D4282" s="26"/>
      <c r="E4282" s="27"/>
      <c r="F4282" s="27"/>
      <c r="G4282" s="27" t="s">
        <v>11122</v>
      </c>
      <c r="H4282" s="27" t="s">
        <v>35</v>
      </c>
      <c r="I4282" s="27" t="s">
        <v>48</v>
      </c>
      <c r="J4282" s="28" t="s">
        <v>161</v>
      </c>
      <c r="K4282" s="27" t="s">
        <v>40</v>
      </c>
      <c r="L4282" s="27"/>
    </row>
    <row r="4283" customFormat="false" ht="15" hidden="false" customHeight="false" outlineLevel="0" collapsed="false">
      <c r="A4283" s="26" t="s">
        <v>13502</v>
      </c>
      <c r="B4283" s="27" t="s">
        <v>13503</v>
      </c>
      <c r="C4283" s="27" t="s">
        <v>370</v>
      </c>
      <c r="D4283" s="26"/>
      <c r="E4283" s="27"/>
      <c r="F4283" s="27"/>
      <c r="G4283" s="27" t="s">
        <v>11122</v>
      </c>
      <c r="H4283" s="27" t="s">
        <v>35</v>
      </c>
      <c r="I4283" s="27" t="s">
        <v>48</v>
      </c>
      <c r="J4283" s="28" t="s">
        <v>161</v>
      </c>
      <c r="K4283" s="27" t="s">
        <v>40</v>
      </c>
      <c r="L4283" s="27"/>
    </row>
    <row r="4284" customFormat="false" ht="15" hidden="false" customHeight="false" outlineLevel="0" collapsed="false">
      <c r="A4284" s="26" t="s">
        <v>13504</v>
      </c>
      <c r="B4284" s="27" t="s">
        <v>13505</v>
      </c>
      <c r="C4284" s="27" t="s">
        <v>370</v>
      </c>
      <c r="D4284" s="26"/>
      <c r="E4284" s="27"/>
      <c r="F4284" s="27"/>
      <c r="G4284" s="27" t="s">
        <v>11122</v>
      </c>
      <c r="H4284" s="27" t="s">
        <v>35</v>
      </c>
      <c r="I4284" s="27" t="s">
        <v>48</v>
      </c>
      <c r="J4284" s="28" t="s">
        <v>161</v>
      </c>
      <c r="K4284" s="27" t="s">
        <v>40</v>
      </c>
      <c r="L4284" s="27"/>
    </row>
    <row r="4285" customFormat="false" ht="15" hidden="false" customHeight="false" outlineLevel="0" collapsed="false">
      <c r="A4285" s="26" t="s">
        <v>13506</v>
      </c>
      <c r="B4285" s="27" t="s">
        <v>13507</v>
      </c>
      <c r="C4285" s="27" t="s">
        <v>144</v>
      </c>
      <c r="D4285" s="26"/>
      <c r="E4285" s="27"/>
      <c r="F4285" s="27"/>
      <c r="G4285" s="27" t="s">
        <v>11122</v>
      </c>
      <c r="H4285" s="27" t="s">
        <v>35</v>
      </c>
      <c r="I4285" s="27" t="s">
        <v>48</v>
      </c>
      <c r="J4285" s="28" t="s">
        <v>161</v>
      </c>
      <c r="K4285" s="27" t="s">
        <v>40</v>
      </c>
      <c r="L4285" s="27"/>
    </row>
    <row r="4286" customFormat="false" ht="15" hidden="false" customHeight="false" outlineLevel="0" collapsed="false">
      <c r="A4286" s="26" t="s">
        <v>13508</v>
      </c>
      <c r="B4286" s="27" t="s">
        <v>13509</v>
      </c>
      <c r="C4286" s="27" t="s">
        <v>144</v>
      </c>
      <c r="D4286" s="26"/>
      <c r="E4286" s="27"/>
      <c r="F4286" s="27"/>
      <c r="G4286" s="27" t="s">
        <v>11122</v>
      </c>
      <c r="H4286" s="27" t="s">
        <v>35</v>
      </c>
      <c r="I4286" s="27" t="s">
        <v>48</v>
      </c>
      <c r="J4286" s="28" t="s">
        <v>161</v>
      </c>
      <c r="K4286" s="27" t="s">
        <v>40</v>
      </c>
      <c r="L4286" s="27"/>
    </row>
    <row r="4287" customFormat="false" ht="15" hidden="false" customHeight="false" outlineLevel="0" collapsed="false">
      <c r="A4287" s="26" t="s">
        <v>13510</v>
      </c>
      <c r="B4287" s="27" t="s">
        <v>13511</v>
      </c>
      <c r="C4287" s="27" t="s">
        <v>144</v>
      </c>
      <c r="D4287" s="26"/>
      <c r="E4287" s="27"/>
      <c r="F4287" s="27"/>
      <c r="G4287" s="27" t="s">
        <v>11122</v>
      </c>
      <c r="H4287" s="27" t="s">
        <v>35</v>
      </c>
      <c r="I4287" s="27" t="s">
        <v>48</v>
      </c>
      <c r="J4287" s="28" t="s">
        <v>161</v>
      </c>
      <c r="K4287" s="27" t="s">
        <v>40</v>
      </c>
      <c r="L4287" s="27"/>
    </row>
    <row r="4288" customFormat="false" ht="15" hidden="false" customHeight="false" outlineLevel="0" collapsed="false">
      <c r="A4288" s="26" t="s">
        <v>13512</v>
      </c>
      <c r="B4288" s="27" t="s">
        <v>13513</v>
      </c>
      <c r="C4288" s="27" t="s">
        <v>144</v>
      </c>
      <c r="D4288" s="26"/>
      <c r="E4288" s="27"/>
      <c r="F4288" s="27"/>
      <c r="G4288" s="27" t="s">
        <v>11122</v>
      </c>
      <c r="H4288" s="27" t="s">
        <v>35</v>
      </c>
      <c r="I4288" s="27" t="s">
        <v>48</v>
      </c>
      <c r="J4288" s="28" t="s">
        <v>161</v>
      </c>
      <c r="K4288" s="27" t="s">
        <v>40</v>
      </c>
      <c r="L4288" s="27"/>
    </row>
    <row r="4289" customFormat="false" ht="15" hidden="false" customHeight="false" outlineLevel="0" collapsed="false">
      <c r="A4289" s="26" t="s">
        <v>13514</v>
      </c>
      <c r="B4289" s="27" t="s">
        <v>13515</v>
      </c>
      <c r="C4289" s="27" t="s">
        <v>144</v>
      </c>
      <c r="D4289" s="26"/>
      <c r="E4289" s="27"/>
      <c r="F4289" s="27"/>
      <c r="G4289" s="27" t="s">
        <v>11122</v>
      </c>
      <c r="H4289" s="27" t="s">
        <v>35</v>
      </c>
      <c r="I4289" s="27" t="s">
        <v>48</v>
      </c>
      <c r="J4289" s="28" t="s">
        <v>161</v>
      </c>
      <c r="K4289" s="27" t="s">
        <v>40</v>
      </c>
      <c r="L4289" s="27"/>
    </row>
    <row r="4290" customFormat="false" ht="15" hidden="false" customHeight="false" outlineLevel="0" collapsed="false">
      <c r="A4290" s="26" t="s">
        <v>13516</v>
      </c>
      <c r="B4290" s="27" t="s">
        <v>13517</v>
      </c>
      <c r="C4290" s="27" t="s">
        <v>370</v>
      </c>
      <c r="D4290" s="26"/>
      <c r="E4290" s="27"/>
      <c r="F4290" s="27"/>
      <c r="G4290" s="27" t="s">
        <v>11122</v>
      </c>
      <c r="H4290" s="27" t="s">
        <v>35</v>
      </c>
      <c r="I4290" s="27" t="s">
        <v>41</v>
      </c>
      <c r="J4290" s="28" t="s">
        <v>161</v>
      </c>
      <c r="K4290" s="27" t="s">
        <v>40</v>
      </c>
      <c r="L4290" s="27"/>
    </row>
    <row r="4291" customFormat="false" ht="15" hidden="false" customHeight="false" outlineLevel="0" collapsed="false">
      <c r="A4291" s="26" t="s">
        <v>13518</v>
      </c>
      <c r="B4291" s="27" t="s">
        <v>13519</v>
      </c>
      <c r="C4291" s="27" t="s">
        <v>370</v>
      </c>
      <c r="D4291" s="26"/>
      <c r="E4291" s="27"/>
      <c r="F4291" s="27"/>
      <c r="G4291" s="27" t="s">
        <v>11122</v>
      </c>
      <c r="H4291" s="27" t="s">
        <v>35</v>
      </c>
      <c r="I4291" s="27" t="s">
        <v>48</v>
      </c>
      <c r="J4291" s="28" t="s">
        <v>161</v>
      </c>
      <c r="K4291" s="27" t="s">
        <v>40</v>
      </c>
      <c r="L4291" s="27"/>
    </row>
    <row r="4292" customFormat="false" ht="15" hidden="false" customHeight="false" outlineLevel="0" collapsed="false">
      <c r="A4292" s="26" t="s">
        <v>13520</v>
      </c>
      <c r="B4292" s="27" t="s">
        <v>13521</v>
      </c>
      <c r="C4292" s="27" t="s">
        <v>370</v>
      </c>
      <c r="D4292" s="26"/>
      <c r="E4292" s="27"/>
      <c r="F4292" s="27"/>
      <c r="G4292" s="27" t="s">
        <v>11122</v>
      </c>
      <c r="H4292" s="27" t="s">
        <v>35</v>
      </c>
      <c r="I4292" s="27" t="s">
        <v>48</v>
      </c>
      <c r="J4292" s="28" t="s">
        <v>161</v>
      </c>
      <c r="K4292" s="27" t="s">
        <v>40</v>
      </c>
      <c r="L4292" s="27"/>
    </row>
    <row r="4293" customFormat="false" ht="15" hidden="false" customHeight="false" outlineLevel="0" collapsed="false">
      <c r="A4293" s="26" t="s">
        <v>13522</v>
      </c>
      <c r="B4293" s="27" t="s">
        <v>13523</v>
      </c>
      <c r="C4293" s="27" t="s">
        <v>144</v>
      </c>
      <c r="D4293" s="26"/>
      <c r="E4293" s="27"/>
      <c r="F4293" s="27"/>
      <c r="G4293" s="27" t="s">
        <v>11122</v>
      </c>
      <c r="H4293" s="27" t="s">
        <v>35</v>
      </c>
      <c r="I4293" s="27" t="s">
        <v>48</v>
      </c>
      <c r="J4293" s="28" t="s">
        <v>161</v>
      </c>
      <c r="K4293" s="27" t="s">
        <v>40</v>
      </c>
      <c r="L4293" s="27"/>
    </row>
    <row r="4294" customFormat="false" ht="15" hidden="false" customHeight="false" outlineLevel="0" collapsed="false">
      <c r="A4294" s="26" t="s">
        <v>13524</v>
      </c>
      <c r="B4294" s="27" t="s">
        <v>13525</v>
      </c>
      <c r="C4294" s="27" t="s">
        <v>137</v>
      </c>
      <c r="D4294" s="26"/>
      <c r="E4294" s="27"/>
      <c r="F4294" s="27"/>
      <c r="G4294" s="27" t="s">
        <v>11122</v>
      </c>
      <c r="H4294" s="27" t="s">
        <v>35</v>
      </c>
      <c r="I4294" s="27" t="s">
        <v>40</v>
      </c>
      <c r="J4294" s="28" t="s">
        <v>161</v>
      </c>
      <c r="K4294" s="27" t="s">
        <v>40</v>
      </c>
      <c r="L4294" s="27"/>
    </row>
    <row r="4295" customFormat="false" ht="15" hidden="false" customHeight="false" outlineLevel="0" collapsed="false">
      <c r="A4295" s="26" t="s">
        <v>13526</v>
      </c>
      <c r="B4295" s="27" t="s">
        <v>13527</v>
      </c>
      <c r="C4295" s="27" t="s">
        <v>137</v>
      </c>
      <c r="D4295" s="26"/>
      <c r="E4295" s="27"/>
      <c r="F4295" s="27"/>
      <c r="G4295" s="27" t="s">
        <v>11122</v>
      </c>
      <c r="H4295" s="27" t="s">
        <v>35</v>
      </c>
      <c r="I4295" s="27" t="s">
        <v>40</v>
      </c>
      <c r="J4295" s="28" t="s">
        <v>161</v>
      </c>
      <c r="K4295" s="27" t="s">
        <v>40</v>
      </c>
      <c r="L4295" s="27"/>
    </row>
    <row r="4296" customFormat="false" ht="15" hidden="false" customHeight="false" outlineLevel="0" collapsed="false">
      <c r="A4296" s="26" t="s">
        <v>13528</v>
      </c>
      <c r="B4296" s="27" t="s">
        <v>13529</v>
      </c>
      <c r="C4296" s="27" t="s">
        <v>144</v>
      </c>
      <c r="D4296" s="26"/>
      <c r="E4296" s="27"/>
      <c r="F4296" s="27"/>
      <c r="G4296" s="27" t="s">
        <v>11122</v>
      </c>
      <c r="H4296" s="27" t="s">
        <v>35</v>
      </c>
      <c r="I4296" s="28" t="s">
        <v>46</v>
      </c>
      <c r="J4296" s="28" t="s">
        <v>161</v>
      </c>
      <c r="K4296" s="27" t="s">
        <v>40</v>
      </c>
      <c r="L4296" s="27"/>
    </row>
    <row r="4297" customFormat="false" ht="15" hidden="false" customHeight="false" outlineLevel="0" collapsed="false">
      <c r="A4297" s="26" t="s">
        <v>13530</v>
      </c>
      <c r="B4297" s="27" t="s">
        <v>13531</v>
      </c>
      <c r="C4297" s="27" t="s">
        <v>137</v>
      </c>
      <c r="D4297" s="26"/>
      <c r="E4297" s="27"/>
      <c r="F4297" s="27"/>
      <c r="G4297" s="27" t="s">
        <v>11122</v>
      </c>
      <c r="H4297" s="27" t="s">
        <v>35</v>
      </c>
      <c r="I4297" s="27" t="s">
        <v>40</v>
      </c>
      <c r="J4297" s="28" t="s">
        <v>161</v>
      </c>
      <c r="K4297" s="27" t="s">
        <v>40</v>
      </c>
      <c r="L4297" s="27"/>
    </row>
    <row r="4298" customFormat="false" ht="15" hidden="false" customHeight="false" outlineLevel="0" collapsed="false">
      <c r="A4298" s="26" t="s">
        <v>13532</v>
      </c>
      <c r="B4298" s="27" t="s">
        <v>13533</v>
      </c>
      <c r="C4298" s="27" t="s">
        <v>144</v>
      </c>
      <c r="D4298" s="26"/>
      <c r="E4298" s="27"/>
      <c r="F4298" s="27"/>
      <c r="G4298" s="27" t="s">
        <v>11122</v>
      </c>
      <c r="H4298" s="27" t="s">
        <v>35</v>
      </c>
      <c r="I4298" s="28" t="s">
        <v>46</v>
      </c>
      <c r="J4298" s="28" t="s">
        <v>161</v>
      </c>
      <c r="K4298" s="27" t="s">
        <v>40</v>
      </c>
      <c r="L4298" s="27"/>
    </row>
    <row r="4299" customFormat="false" ht="15" hidden="false" customHeight="false" outlineLevel="0" collapsed="false">
      <c r="A4299" s="26" t="s">
        <v>13534</v>
      </c>
      <c r="B4299" s="27" t="s">
        <v>13535</v>
      </c>
      <c r="C4299" s="27" t="s">
        <v>137</v>
      </c>
      <c r="D4299" s="26"/>
      <c r="E4299" s="27"/>
      <c r="F4299" s="27"/>
      <c r="G4299" s="27" t="s">
        <v>11122</v>
      </c>
      <c r="H4299" s="27" t="s">
        <v>35</v>
      </c>
      <c r="I4299" s="27" t="s">
        <v>40</v>
      </c>
      <c r="J4299" s="28" t="s">
        <v>161</v>
      </c>
      <c r="K4299" s="27" t="s">
        <v>40</v>
      </c>
      <c r="L4299" s="27"/>
    </row>
    <row r="4300" customFormat="false" ht="15" hidden="false" customHeight="false" outlineLevel="0" collapsed="false">
      <c r="A4300" s="26" t="s">
        <v>13536</v>
      </c>
      <c r="B4300" s="27" t="s">
        <v>13537</v>
      </c>
      <c r="C4300" s="27" t="s">
        <v>100</v>
      </c>
      <c r="D4300" s="26"/>
      <c r="E4300" s="27"/>
      <c r="F4300" s="27"/>
      <c r="G4300" s="27" t="s">
        <v>11122</v>
      </c>
      <c r="H4300" s="27" t="s">
        <v>35</v>
      </c>
      <c r="I4300" s="27" t="s">
        <v>40</v>
      </c>
      <c r="J4300" s="28" t="s">
        <v>161</v>
      </c>
      <c r="K4300" s="27" t="s">
        <v>40</v>
      </c>
      <c r="L4300" s="27"/>
    </row>
    <row r="4301" customFormat="false" ht="15" hidden="false" customHeight="false" outlineLevel="0" collapsed="false">
      <c r="A4301" s="26" t="s">
        <v>13538</v>
      </c>
      <c r="B4301" s="27" t="s">
        <v>13539</v>
      </c>
      <c r="C4301" s="27" t="s">
        <v>137</v>
      </c>
      <c r="D4301" s="26"/>
      <c r="E4301" s="27"/>
      <c r="F4301" s="27"/>
      <c r="G4301" s="27" t="s">
        <v>11122</v>
      </c>
      <c r="H4301" s="27" t="s">
        <v>35</v>
      </c>
      <c r="I4301" s="27" t="s">
        <v>40</v>
      </c>
      <c r="J4301" s="28" t="s">
        <v>161</v>
      </c>
      <c r="K4301" s="27" t="s">
        <v>40</v>
      </c>
      <c r="L4301" s="27"/>
    </row>
    <row r="4302" customFormat="false" ht="15" hidden="false" customHeight="false" outlineLevel="0" collapsed="false">
      <c r="A4302" s="26" t="s">
        <v>13540</v>
      </c>
      <c r="B4302" s="27" t="s">
        <v>13541</v>
      </c>
      <c r="C4302" s="27" t="s">
        <v>137</v>
      </c>
      <c r="D4302" s="26"/>
      <c r="E4302" s="27"/>
      <c r="F4302" s="27"/>
      <c r="G4302" s="27" t="s">
        <v>11122</v>
      </c>
      <c r="H4302" s="27" t="s">
        <v>35</v>
      </c>
      <c r="I4302" s="28" t="s">
        <v>46</v>
      </c>
      <c r="J4302" s="28" t="s">
        <v>161</v>
      </c>
      <c r="K4302" s="27" t="s">
        <v>40</v>
      </c>
      <c r="L4302" s="27"/>
    </row>
    <row r="4303" customFormat="false" ht="15" hidden="false" customHeight="false" outlineLevel="0" collapsed="false">
      <c r="A4303" s="26" t="s">
        <v>13542</v>
      </c>
      <c r="B4303" s="27" t="s">
        <v>13543</v>
      </c>
      <c r="C4303" s="27" t="s">
        <v>137</v>
      </c>
      <c r="D4303" s="26"/>
      <c r="E4303" s="27"/>
      <c r="F4303" s="27"/>
      <c r="G4303" s="27" t="s">
        <v>11122</v>
      </c>
      <c r="H4303" s="27" t="s">
        <v>35</v>
      </c>
      <c r="I4303" s="27" t="s">
        <v>40</v>
      </c>
      <c r="J4303" s="28" t="s">
        <v>161</v>
      </c>
      <c r="K4303" s="27" t="s">
        <v>40</v>
      </c>
      <c r="L4303" s="27"/>
    </row>
    <row r="4304" customFormat="false" ht="15" hidden="false" customHeight="false" outlineLevel="0" collapsed="false">
      <c r="A4304" s="26" t="s">
        <v>13544</v>
      </c>
      <c r="B4304" s="27" t="s">
        <v>13545</v>
      </c>
      <c r="C4304" s="27" t="s">
        <v>137</v>
      </c>
      <c r="D4304" s="26"/>
      <c r="E4304" s="27"/>
      <c r="F4304" s="27"/>
      <c r="G4304" s="27" t="s">
        <v>11122</v>
      </c>
      <c r="H4304" s="27" t="s">
        <v>35</v>
      </c>
      <c r="I4304" s="27" t="s">
        <v>40</v>
      </c>
      <c r="J4304" s="28" t="s">
        <v>161</v>
      </c>
      <c r="K4304" s="27" t="s">
        <v>40</v>
      </c>
      <c r="L4304" s="27"/>
    </row>
    <row r="4305" customFormat="false" ht="15" hidden="false" customHeight="false" outlineLevel="0" collapsed="false">
      <c r="A4305" s="26" t="s">
        <v>13546</v>
      </c>
      <c r="B4305" s="27" t="s">
        <v>13547</v>
      </c>
      <c r="C4305" s="27" t="s">
        <v>137</v>
      </c>
      <c r="D4305" s="26"/>
      <c r="E4305" s="27"/>
      <c r="F4305" s="27"/>
      <c r="G4305" s="27" t="s">
        <v>11122</v>
      </c>
      <c r="H4305" s="27" t="s">
        <v>35</v>
      </c>
      <c r="I4305" s="27" t="s">
        <v>40</v>
      </c>
      <c r="J4305" s="28" t="s">
        <v>161</v>
      </c>
      <c r="K4305" s="27" t="s">
        <v>40</v>
      </c>
      <c r="L4305" s="27"/>
    </row>
    <row r="4306" customFormat="false" ht="15" hidden="false" customHeight="false" outlineLevel="0" collapsed="false">
      <c r="A4306" s="26" t="s">
        <v>13548</v>
      </c>
      <c r="B4306" s="27" t="s">
        <v>13549</v>
      </c>
      <c r="C4306" s="27" t="s">
        <v>144</v>
      </c>
      <c r="D4306" s="26"/>
      <c r="E4306" s="27"/>
      <c r="F4306" s="27"/>
      <c r="G4306" s="27" t="s">
        <v>11122</v>
      </c>
      <c r="H4306" s="27" t="s">
        <v>35</v>
      </c>
      <c r="I4306" s="28" t="s">
        <v>46</v>
      </c>
      <c r="J4306" s="28" t="s">
        <v>161</v>
      </c>
      <c r="K4306" s="27" t="s">
        <v>40</v>
      </c>
      <c r="L4306" s="27"/>
    </row>
    <row r="4307" customFormat="false" ht="15" hidden="false" customHeight="false" outlineLevel="0" collapsed="false">
      <c r="A4307" s="26" t="s">
        <v>13550</v>
      </c>
      <c r="B4307" s="27" t="s">
        <v>13551</v>
      </c>
      <c r="C4307" s="27" t="s">
        <v>144</v>
      </c>
      <c r="D4307" s="26"/>
      <c r="E4307" s="27"/>
      <c r="F4307" s="27"/>
      <c r="G4307" s="27" t="s">
        <v>11122</v>
      </c>
      <c r="H4307" s="27" t="s">
        <v>35</v>
      </c>
      <c r="I4307" s="27" t="s">
        <v>47</v>
      </c>
      <c r="J4307" s="28" t="s">
        <v>161</v>
      </c>
      <c r="K4307" s="27" t="s">
        <v>40</v>
      </c>
      <c r="L4307" s="27"/>
    </row>
    <row r="4308" customFormat="false" ht="15" hidden="false" customHeight="false" outlineLevel="0" collapsed="false">
      <c r="A4308" s="26" t="s">
        <v>13552</v>
      </c>
      <c r="B4308" s="27" t="s">
        <v>13553</v>
      </c>
      <c r="C4308" s="27" t="s">
        <v>144</v>
      </c>
      <c r="D4308" s="26"/>
      <c r="E4308" s="27"/>
      <c r="F4308" s="27"/>
      <c r="G4308" s="27" t="s">
        <v>11122</v>
      </c>
      <c r="H4308" s="27" t="s">
        <v>35</v>
      </c>
      <c r="I4308" s="28" t="s">
        <v>46</v>
      </c>
      <c r="J4308" s="28" t="s">
        <v>161</v>
      </c>
      <c r="K4308" s="27" t="s">
        <v>40</v>
      </c>
      <c r="L4308" s="27"/>
    </row>
    <row r="4309" customFormat="false" ht="15" hidden="false" customHeight="false" outlineLevel="0" collapsed="false">
      <c r="A4309" s="26" t="s">
        <v>13554</v>
      </c>
      <c r="B4309" s="27" t="s">
        <v>13555</v>
      </c>
      <c r="C4309" s="27" t="s">
        <v>144</v>
      </c>
      <c r="D4309" s="26"/>
      <c r="E4309" s="27"/>
      <c r="F4309" s="27"/>
      <c r="G4309" s="27" t="s">
        <v>11122</v>
      </c>
      <c r="H4309" s="27" t="s">
        <v>35</v>
      </c>
      <c r="I4309" s="28" t="s">
        <v>46</v>
      </c>
      <c r="J4309" s="28" t="s">
        <v>161</v>
      </c>
      <c r="K4309" s="27" t="s">
        <v>40</v>
      </c>
      <c r="L4309" s="27"/>
    </row>
    <row r="4310" customFormat="false" ht="15" hidden="false" customHeight="false" outlineLevel="0" collapsed="false">
      <c r="A4310" s="26" t="s">
        <v>13556</v>
      </c>
      <c r="B4310" s="27" t="s">
        <v>13557</v>
      </c>
      <c r="C4310" s="27" t="s">
        <v>137</v>
      </c>
      <c r="D4310" s="26"/>
      <c r="E4310" s="27"/>
      <c r="F4310" s="27"/>
      <c r="G4310" s="27" t="s">
        <v>11122</v>
      </c>
      <c r="H4310" s="27" t="s">
        <v>35</v>
      </c>
      <c r="I4310" s="27" t="s">
        <v>40</v>
      </c>
      <c r="J4310" s="28" t="s">
        <v>161</v>
      </c>
      <c r="K4310" s="27" t="s">
        <v>40</v>
      </c>
      <c r="L4310" s="27"/>
    </row>
    <row r="4311" customFormat="false" ht="15" hidden="false" customHeight="false" outlineLevel="0" collapsed="false">
      <c r="A4311" s="26" t="s">
        <v>13558</v>
      </c>
      <c r="B4311" s="27" t="s">
        <v>13559</v>
      </c>
      <c r="C4311" s="27" t="s">
        <v>144</v>
      </c>
      <c r="D4311" s="26"/>
      <c r="E4311" s="27"/>
      <c r="F4311" s="27"/>
      <c r="G4311" s="27" t="s">
        <v>11122</v>
      </c>
      <c r="H4311" s="27" t="s">
        <v>35</v>
      </c>
      <c r="I4311" s="27" t="s">
        <v>40</v>
      </c>
      <c r="J4311" s="28" t="s">
        <v>161</v>
      </c>
      <c r="K4311" s="27" t="s">
        <v>40</v>
      </c>
      <c r="L4311" s="27"/>
    </row>
    <row r="4312" customFormat="false" ht="15" hidden="false" customHeight="false" outlineLevel="0" collapsed="false">
      <c r="A4312" s="26" t="s">
        <v>13560</v>
      </c>
      <c r="B4312" s="27" t="s">
        <v>13561</v>
      </c>
      <c r="C4312" s="27" t="s">
        <v>144</v>
      </c>
      <c r="D4312" s="26"/>
      <c r="E4312" s="27"/>
      <c r="F4312" s="27"/>
      <c r="G4312" s="27" t="s">
        <v>11122</v>
      </c>
      <c r="H4312" s="27" t="s">
        <v>35</v>
      </c>
      <c r="I4312" s="27" t="s">
        <v>37</v>
      </c>
      <c r="J4312" s="28" t="s">
        <v>161</v>
      </c>
      <c r="K4312" s="27" t="s">
        <v>40</v>
      </c>
      <c r="L4312" s="27"/>
    </row>
    <row r="4313" customFormat="false" ht="15" hidden="false" customHeight="false" outlineLevel="0" collapsed="false">
      <c r="A4313" s="26" t="s">
        <v>13562</v>
      </c>
      <c r="B4313" s="27" t="s">
        <v>13563</v>
      </c>
      <c r="C4313" s="27" t="s">
        <v>137</v>
      </c>
      <c r="D4313" s="26"/>
      <c r="E4313" s="27"/>
      <c r="F4313" s="27"/>
      <c r="G4313" s="27" t="s">
        <v>11122</v>
      </c>
      <c r="H4313" s="27" t="s">
        <v>35</v>
      </c>
      <c r="I4313" s="27" t="s">
        <v>40</v>
      </c>
      <c r="J4313" s="28" t="s">
        <v>161</v>
      </c>
      <c r="K4313" s="27" t="s">
        <v>40</v>
      </c>
      <c r="L4313" s="27"/>
    </row>
    <row r="4314" customFormat="false" ht="15" hidden="false" customHeight="false" outlineLevel="0" collapsed="false">
      <c r="A4314" s="26" t="s">
        <v>13564</v>
      </c>
      <c r="B4314" s="27" t="s">
        <v>13565</v>
      </c>
      <c r="C4314" s="27" t="s">
        <v>144</v>
      </c>
      <c r="D4314" s="26"/>
      <c r="E4314" s="27"/>
      <c r="F4314" s="27"/>
      <c r="G4314" s="27" t="s">
        <v>11122</v>
      </c>
      <c r="H4314" s="27" t="s">
        <v>35</v>
      </c>
      <c r="I4314" s="27" t="s">
        <v>40</v>
      </c>
      <c r="J4314" s="28" t="s">
        <v>161</v>
      </c>
      <c r="K4314" s="27" t="s">
        <v>40</v>
      </c>
      <c r="L4314" s="27"/>
    </row>
    <row r="4315" customFormat="false" ht="15" hidden="false" customHeight="false" outlineLevel="0" collapsed="false">
      <c r="A4315" s="26" t="s">
        <v>13566</v>
      </c>
      <c r="B4315" s="27" t="s">
        <v>13567</v>
      </c>
      <c r="C4315" s="27" t="s">
        <v>144</v>
      </c>
      <c r="D4315" s="26"/>
      <c r="E4315" s="27"/>
      <c r="F4315" s="27"/>
      <c r="G4315" s="27" t="s">
        <v>11122</v>
      </c>
      <c r="H4315" s="27" t="s">
        <v>35</v>
      </c>
      <c r="I4315" s="27" t="s">
        <v>40</v>
      </c>
      <c r="J4315" s="28" t="s">
        <v>161</v>
      </c>
      <c r="K4315" s="27" t="s">
        <v>40</v>
      </c>
      <c r="L4315" s="27"/>
    </row>
    <row r="4316" customFormat="false" ht="15" hidden="false" customHeight="false" outlineLevel="0" collapsed="false">
      <c r="A4316" s="26" t="s">
        <v>13568</v>
      </c>
      <c r="B4316" s="27" t="s">
        <v>13569</v>
      </c>
      <c r="C4316" s="27" t="s">
        <v>144</v>
      </c>
      <c r="D4316" s="26"/>
      <c r="E4316" s="27"/>
      <c r="F4316" s="27"/>
      <c r="G4316" s="27" t="s">
        <v>11122</v>
      </c>
      <c r="H4316" s="27" t="s">
        <v>35</v>
      </c>
      <c r="I4316" s="28" t="s">
        <v>46</v>
      </c>
      <c r="J4316" s="28" t="s">
        <v>161</v>
      </c>
      <c r="K4316" s="27" t="s">
        <v>40</v>
      </c>
      <c r="L4316" s="27"/>
    </row>
    <row r="4317" customFormat="false" ht="15" hidden="false" customHeight="false" outlineLevel="0" collapsed="false">
      <c r="A4317" s="26" t="s">
        <v>13570</v>
      </c>
      <c r="B4317" s="27" t="s">
        <v>13571</v>
      </c>
      <c r="C4317" s="27" t="s">
        <v>137</v>
      </c>
      <c r="D4317" s="26"/>
      <c r="E4317" s="27"/>
      <c r="F4317" s="27"/>
      <c r="G4317" s="27" t="s">
        <v>11122</v>
      </c>
      <c r="H4317" s="27" t="s">
        <v>35</v>
      </c>
      <c r="I4317" s="27" t="s">
        <v>42</v>
      </c>
      <c r="J4317" s="28" t="s">
        <v>161</v>
      </c>
      <c r="K4317" s="27" t="s">
        <v>40</v>
      </c>
      <c r="L4317" s="27"/>
    </row>
    <row r="4318" customFormat="false" ht="15" hidden="false" customHeight="false" outlineLevel="0" collapsed="false">
      <c r="A4318" s="26" t="s">
        <v>13572</v>
      </c>
      <c r="B4318" s="27" t="s">
        <v>13573</v>
      </c>
      <c r="C4318" s="27" t="s">
        <v>137</v>
      </c>
      <c r="D4318" s="26"/>
      <c r="E4318" s="27"/>
      <c r="F4318" s="27"/>
      <c r="G4318" s="27" t="s">
        <v>11122</v>
      </c>
      <c r="H4318" s="27" t="s">
        <v>35</v>
      </c>
      <c r="I4318" s="27" t="s">
        <v>37</v>
      </c>
      <c r="J4318" s="28" t="s">
        <v>161</v>
      </c>
      <c r="K4318" s="27" t="s">
        <v>40</v>
      </c>
      <c r="L4318" s="27"/>
    </row>
    <row r="4319" customFormat="false" ht="15" hidden="false" customHeight="false" outlineLevel="0" collapsed="false">
      <c r="A4319" s="26" t="s">
        <v>13574</v>
      </c>
      <c r="B4319" s="27" t="s">
        <v>13575</v>
      </c>
      <c r="C4319" s="27" t="s">
        <v>137</v>
      </c>
      <c r="D4319" s="26"/>
      <c r="E4319" s="27"/>
      <c r="F4319" s="27"/>
      <c r="G4319" s="27" t="s">
        <v>11122</v>
      </c>
      <c r="H4319" s="27" t="s">
        <v>35</v>
      </c>
      <c r="I4319" s="27" t="s">
        <v>40</v>
      </c>
      <c r="J4319" s="28" t="s">
        <v>161</v>
      </c>
      <c r="K4319" s="27" t="s">
        <v>40</v>
      </c>
      <c r="L4319" s="27"/>
    </row>
    <row r="4320" customFormat="false" ht="15" hidden="false" customHeight="false" outlineLevel="0" collapsed="false">
      <c r="A4320" s="26" t="s">
        <v>13576</v>
      </c>
      <c r="B4320" s="27" t="s">
        <v>13577</v>
      </c>
      <c r="C4320" s="27" t="s">
        <v>137</v>
      </c>
      <c r="D4320" s="26"/>
      <c r="E4320" s="27"/>
      <c r="F4320" s="27"/>
      <c r="G4320" s="27" t="s">
        <v>11122</v>
      </c>
      <c r="H4320" s="27" t="s">
        <v>35</v>
      </c>
      <c r="I4320" s="27" t="s">
        <v>42</v>
      </c>
      <c r="J4320" s="28" t="s">
        <v>161</v>
      </c>
      <c r="K4320" s="27" t="s">
        <v>40</v>
      </c>
      <c r="L4320" s="27"/>
    </row>
    <row r="4321" customFormat="false" ht="15" hidden="false" customHeight="false" outlineLevel="0" collapsed="false">
      <c r="A4321" s="26" t="s">
        <v>13578</v>
      </c>
      <c r="B4321" s="27" t="s">
        <v>13579</v>
      </c>
      <c r="C4321" s="27" t="s">
        <v>144</v>
      </c>
      <c r="D4321" s="26"/>
      <c r="E4321" s="27"/>
      <c r="F4321" s="27"/>
      <c r="G4321" s="27" t="s">
        <v>11122</v>
      </c>
      <c r="H4321" s="27" t="s">
        <v>35</v>
      </c>
      <c r="I4321" s="27" t="s">
        <v>43</v>
      </c>
      <c r="J4321" s="28" t="s">
        <v>161</v>
      </c>
      <c r="K4321" s="27" t="s">
        <v>40</v>
      </c>
      <c r="L4321" s="27"/>
    </row>
    <row r="4322" customFormat="false" ht="15" hidden="false" customHeight="false" outlineLevel="0" collapsed="false">
      <c r="A4322" s="26" t="s">
        <v>13580</v>
      </c>
      <c r="B4322" s="27" t="s">
        <v>13581</v>
      </c>
      <c r="C4322" s="27" t="s">
        <v>144</v>
      </c>
      <c r="D4322" s="26"/>
      <c r="E4322" s="27"/>
      <c r="F4322" s="27"/>
      <c r="G4322" s="27" t="s">
        <v>11122</v>
      </c>
      <c r="H4322" s="27" t="s">
        <v>35</v>
      </c>
      <c r="I4322" s="27" t="s">
        <v>40</v>
      </c>
      <c r="J4322" s="28" t="s">
        <v>161</v>
      </c>
      <c r="K4322" s="27" t="s">
        <v>40</v>
      </c>
      <c r="L4322" s="27"/>
    </row>
    <row r="4323" customFormat="false" ht="15" hidden="false" customHeight="false" outlineLevel="0" collapsed="false">
      <c r="A4323" s="26" t="s">
        <v>13582</v>
      </c>
      <c r="B4323" s="27" t="s">
        <v>13583</v>
      </c>
      <c r="C4323" s="27" t="s">
        <v>137</v>
      </c>
      <c r="D4323" s="26"/>
      <c r="E4323" s="27"/>
      <c r="F4323" s="27"/>
      <c r="G4323" s="27" t="s">
        <v>11122</v>
      </c>
      <c r="H4323" s="27" t="s">
        <v>35</v>
      </c>
      <c r="I4323" s="27" t="s">
        <v>42</v>
      </c>
      <c r="J4323" s="28" t="s">
        <v>161</v>
      </c>
      <c r="K4323" s="27" t="s">
        <v>40</v>
      </c>
      <c r="L4323" s="27"/>
    </row>
    <row r="4324" customFormat="false" ht="15" hidden="false" customHeight="false" outlineLevel="0" collapsed="false">
      <c r="A4324" s="26" t="s">
        <v>13584</v>
      </c>
      <c r="B4324" s="27" t="s">
        <v>13585</v>
      </c>
      <c r="C4324" s="27" t="s">
        <v>137</v>
      </c>
      <c r="D4324" s="26"/>
      <c r="E4324" s="27"/>
      <c r="F4324" s="27"/>
      <c r="G4324" s="27" t="s">
        <v>11122</v>
      </c>
      <c r="H4324" s="27" t="s">
        <v>35</v>
      </c>
      <c r="I4324" s="27" t="s">
        <v>40</v>
      </c>
      <c r="J4324" s="28" t="s">
        <v>161</v>
      </c>
      <c r="K4324" s="27" t="s">
        <v>40</v>
      </c>
      <c r="L4324" s="27"/>
    </row>
    <row r="4325" customFormat="false" ht="15" hidden="false" customHeight="false" outlineLevel="0" collapsed="false">
      <c r="A4325" s="26" t="s">
        <v>13586</v>
      </c>
      <c r="B4325" s="27" t="s">
        <v>13587</v>
      </c>
      <c r="C4325" s="27" t="s">
        <v>144</v>
      </c>
      <c r="D4325" s="26"/>
      <c r="E4325" s="27"/>
      <c r="F4325" s="27"/>
      <c r="G4325" s="27" t="s">
        <v>11122</v>
      </c>
      <c r="H4325" s="27" t="s">
        <v>35</v>
      </c>
      <c r="I4325" s="28" t="s">
        <v>46</v>
      </c>
      <c r="J4325" s="28" t="s">
        <v>161</v>
      </c>
      <c r="K4325" s="27" t="s">
        <v>40</v>
      </c>
      <c r="L4325" s="27"/>
    </row>
    <row r="4326" customFormat="false" ht="15" hidden="false" customHeight="false" outlineLevel="0" collapsed="false">
      <c r="A4326" s="26" t="s">
        <v>13588</v>
      </c>
      <c r="B4326" s="27" t="s">
        <v>13589</v>
      </c>
      <c r="C4326" s="27" t="s">
        <v>144</v>
      </c>
      <c r="D4326" s="26"/>
      <c r="E4326" s="27"/>
      <c r="F4326" s="27"/>
      <c r="G4326" s="27" t="s">
        <v>11122</v>
      </c>
      <c r="H4326" s="27" t="s">
        <v>35</v>
      </c>
      <c r="I4326" s="27" t="s">
        <v>40</v>
      </c>
      <c r="J4326" s="28" t="s">
        <v>161</v>
      </c>
      <c r="K4326" s="27" t="s">
        <v>40</v>
      </c>
      <c r="L4326" s="27"/>
    </row>
    <row r="4327" customFormat="false" ht="15" hidden="false" customHeight="false" outlineLevel="0" collapsed="false">
      <c r="A4327" s="26" t="s">
        <v>13590</v>
      </c>
      <c r="B4327" s="27" t="s">
        <v>13591</v>
      </c>
      <c r="C4327" s="27" t="s">
        <v>144</v>
      </c>
      <c r="D4327" s="26"/>
      <c r="E4327" s="27"/>
      <c r="F4327" s="27"/>
      <c r="G4327" s="27" t="s">
        <v>11122</v>
      </c>
      <c r="H4327" s="27" t="s">
        <v>35</v>
      </c>
      <c r="I4327" s="28" t="s">
        <v>46</v>
      </c>
      <c r="J4327" s="28" t="s">
        <v>161</v>
      </c>
      <c r="K4327" s="27" t="s">
        <v>40</v>
      </c>
      <c r="L4327" s="27"/>
    </row>
    <row r="4328" customFormat="false" ht="15" hidden="false" customHeight="false" outlineLevel="0" collapsed="false">
      <c r="A4328" s="26" t="s">
        <v>13592</v>
      </c>
      <c r="B4328" s="27" t="s">
        <v>13593</v>
      </c>
      <c r="C4328" s="27" t="s">
        <v>137</v>
      </c>
      <c r="D4328" s="26"/>
      <c r="E4328" s="27"/>
      <c r="F4328" s="27"/>
      <c r="G4328" s="27" t="s">
        <v>11122</v>
      </c>
      <c r="H4328" s="27" t="s">
        <v>35</v>
      </c>
      <c r="I4328" s="28" t="s">
        <v>46</v>
      </c>
      <c r="J4328" s="28" t="s">
        <v>161</v>
      </c>
      <c r="K4328" s="27" t="s">
        <v>40</v>
      </c>
      <c r="L4328" s="27"/>
    </row>
    <row r="4329" customFormat="false" ht="15" hidden="false" customHeight="false" outlineLevel="0" collapsed="false">
      <c r="A4329" s="26" t="s">
        <v>13594</v>
      </c>
      <c r="B4329" s="27" t="s">
        <v>13595</v>
      </c>
      <c r="C4329" s="27" t="s">
        <v>137</v>
      </c>
      <c r="D4329" s="26"/>
      <c r="E4329" s="27"/>
      <c r="F4329" s="27"/>
      <c r="G4329" s="27" t="s">
        <v>11122</v>
      </c>
      <c r="H4329" s="27" t="s">
        <v>35</v>
      </c>
      <c r="I4329" s="27" t="s">
        <v>40</v>
      </c>
      <c r="J4329" s="28" t="s">
        <v>161</v>
      </c>
      <c r="K4329" s="27" t="s">
        <v>40</v>
      </c>
      <c r="L4329" s="27"/>
    </row>
    <row r="4330" customFormat="false" ht="15" hidden="false" customHeight="false" outlineLevel="0" collapsed="false">
      <c r="A4330" s="26" t="s">
        <v>13596</v>
      </c>
      <c r="B4330" s="27" t="s">
        <v>13597</v>
      </c>
      <c r="C4330" s="27" t="s">
        <v>137</v>
      </c>
      <c r="D4330" s="26"/>
      <c r="E4330" s="27"/>
      <c r="F4330" s="27"/>
      <c r="G4330" s="27" t="s">
        <v>11122</v>
      </c>
      <c r="H4330" s="27" t="s">
        <v>35</v>
      </c>
      <c r="I4330" s="27" t="s">
        <v>40</v>
      </c>
      <c r="J4330" s="28" t="s">
        <v>161</v>
      </c>
      <c r="K4330" s="27" t="s">
        <v>40</v>
      </c>
      <c r="L4330" s="27"/>
    </row>
    <row r="4331" customFormat="false" ht="15" hidden="false" customHeight="false" outlineLevel="0" collapsed="false">
      <c r="A4331" s="26" t="s">
        <v>13598</v>
      </c>
      <c r="B4331" s="27" t="s">
        <v>13599</v>
      </c>
      <c r="C4331" s="27" t="s">
        <v>144</v>
      </c>
      <c r="D4331" s="26"/>
      <c r="E4331" s="27"/>
      <c r="F4331" s="27"/>
      <c r="G4331" s="27" t="s">
        <v>11122</v>
      </c>
      <c r="H4331" s="27" t="s">
        <v>35</v>
      </c>
      <c r="I4331" s="28" t="s">
        <v>46</v>
      </c>
      <c r="J4331" s="28" t="s">
        <v>161</v>
      </c>
      <c r="K4331" s="27" t="s">
        <v>40</v>
      </c>
      <c r="L4331" s="27"/>
    </row>
    <row r="4332" customFormat="false" ht="15" hidden="false" customHeight="false" outlineLevel="0" collapsed="false">
      <c r="A4332" s="26" t="s">
        <v>13600</v>
      </c>
      <c r="B4332" s="27" t="s">
        <v>13601</v>
      </c>
      <c r="C4332" s="27" t="s">
        <v>144</v>
      </c>
      <c r="D4332" s="26"/>
      <c r="E4332" s="27"/>
      <c r="F4332" s="27"/>
      <c r="G4332" s="27" t="s">
        <v>11122</v>
      </c>
      <c r="H4332" s="27" t="s">
        <v>35</v>
      </c>
      <c r="I4332" s="28" t="s">
        <v>46</v>
      </c>
      <c r="J4332" s="28" t="s">
        <v>161</v>
      </c>
      <c r="K4332" s="27" t="s">
        <v>40</v>
      </c>
      <c r="L4332" s="27"/>
    </row>
    <row r="4333" customFormat="false" ht="15" hidden="false" customHeight="false" outlineLevel="0" collapsed="false">
      <c r="A4333" s="26" t="s">
        <v>13602</v>
      </c>
      <c r="B4333" s="27" t="s">
        <v>13603</v>
      </c>
      <c r="C4333" s="27" t="s">
        <v>137</v>
      </c>
      <c r="D4333" s="26"/>
      <c r="E4333" s="27"/>
      <c r="F4333" s="27"/>
      <c r="G4333" s="27" t="s">
        <v>11122</v>
      </c>
      <c r="H4333" s="27" t="s">
        <v>35</v>
      </c>
      <c r="I4333" s="27" t="s">
        <v>40</v>
      </c>
      <c r="J4333" s="28" t="s">
        <v>161</v>
      </c>
      <c r="K4333" s="27" t="s">
        <v>40</v>
      </c>
      <c r="L4333" s="27"/>
    </row>
    <row r="4334" customFormat="false" ht="15" hidden="false" customHeight="false" outlineLevel="0" collapsed="false">
      <c r="A4334" s="26" t="s">
        <v>13604</v>
      </c>
      <c r="B4334" s="27" t="s">
        <v>13605</v>
      </c>
      <c r="C4334" s="27" t="s">
        <v>144</v>
      </c>
      <c r="D4334" s="26"/>
      <c r="E4334" s="27"/>
      <c r="F4334" s="27"/>
      <c r="G4334" s="27" t="s">
        <v>11122</v>
      </c>
      <c r="H4334" s="27" t="s">
        <v>35</v>
      </c>
      <c r="I4334" s="27" t="s">
        <v>48</v>
      </c>
      <c r="J4334" s="28" t="s">
        <v>161</v>
      </c>
      <c r="K4334" s="27" t="s">
        <v>40</v>
      </c>
      <c r="L4334" s="27"/>
    </row>
    <row r="4335" customFormat="false" ht="15" hidden="false" customHeight="false" outlineLevel="0" collapsed="false">
      <c r="A4335" s="26" t="s">
        <v>13606</v>
      </c>
      <c r="B4335" s="27" t="s">
        <v>13607</v>
      </c>
      <c r="C4335" s="27" t="s">
        <v>137</v>
      </c>
      <c r="D4335" s="26"/>
      <c r="E4335" s="27"/>
      <c r="F4335" s="27"/>
      <c r="G4335" s="27" t="s">
        <v>11122</v>
      </c>
      <c r="H4335" s="27" t="s">
        <v>35</v>
      </c>
      <c r="I4335" s="27" t="s">
        <v>41</v>
      </c>
      <c r="J4335" s="28" t="s">
        <v>161</v>
      </c>
      <c r="K4335" s="27" t="s">
        <v>40</v>
      </c>
      <c r="L4335" s="27"/>
    </row>
    <row r="4336" customFormat="false" ht="15" hidden="false" customHeight="false" outlineLevel="0" collapsed="false">
      <c r="A4336" s="26" t="s">
        <v>13608</v>
      </c>
      <c r="B4336" s="27" t="s">
        <v>13609</v>
      </c>
      <c r="C4336" s="27" t="s">
        <v>137</v>
      </c>
      <c r="D4336" s="26"/>
      <c r="E4336" s="27"/>
      <c r="F4336" s="27"/>
      <c r="G4336" s="27" t="s">
        <v>11122</v>
      </c>
      <c r="H4336" s="27" t="s">
        <v>35</v>
      </c>
      <c r="I4336" s="27" t="s">
        <v>40</v>
      </c>
      <c r="J4336" s="28" t="s">
        <v>161</v>
      </c>
      <c r="K4336" s="27" t="s">
        <v>40</v>
      </c>
      <c r="L4336" s="27"/>
    </row>
    <row r="4337" customFormat="false" ht="15" hidden="false" customHeight="false" outlineLevel="0" collapsed="false">
      <c r="A4337" s="26" t="s">
        <v>13610</v>
      </c>
      <c r="B4337" s="27" t="s">
        <v>13611</v>
      </c>
      <c r="C4337" s="27" t="s">
        <v>137</v>
      </c>
      <c r="D4337" s="26"/>
      <c r="E4337" s="27"/>
      <c r="F4337" s="27"/>
      <c r="G4337" s="27" t="s">
        <v>11122</v>
      </c>
      <c r="H4337" s="27" t="s">
        <v>35</v>
      </c>
      <c r="I4337" s="27" t="s">
        <v>40</v>
      </c>
      <c r="J4337" s="28" t="s">
        <v>161</v>
      </c>
      <c r="K4337" s="27" t="s">
        <v>40</v>
      </c>
      <c r="L4337" s="27"/>
    </row>
    <row r="4338" customFormat="false" ht="15" hidden="false" customHeight="false" outlineLevel="0" collapsed="false">
      <c r="A4338" s="26" t="s">
        <v>13612</v>
      </c>
      <c r="B4338" s="27" t="s">
        <v>13613</v>
      </c>
      <c r="C4338" s="27" t="s">
        <v>137</v>
      </c>
      <c r="D4338" s="26"/>
      <c r="E4338" s="27"/>
      <c r="F4338" s="27"/>
      <c r="G4338" s="27" t="s">
        <v>11122</v>
      </c>
      <c r="H4338" s="27" t="s">
        <v>35</v>
      </c>
      <c r="I4338" s="27" t="s">
        <v>40</v>
      </c>
      <c r="J4338" s="28" t="s">
        <v>161</v>
      </c>
      <c r="K4338" s="27" t="s">
        <v>40</v>
      </c>
      <c r="L4338" s="27"/>
    </row>
    <row r="4339" customFormat="false" ht="15" hidden="false" customHeight="false" outlineLevel="0" collapsed="false">
      <c r="A4339" s="26" t="s">
        <v>13614</v>
      </c>
      <c r="B4339" s="27" t="s">
        <v>13615</v>
      </c>
      <c r="C4339" s="27" t="s">
        <v>144</v>
      </c>
      <c r="D4339" s="26"/>
      <c r="E4339" s="27"/>
      <c r="F4339" s="27"/>
      <c r="G4339" s="27" t="s">
        <v>11122</v>
      </c>
      <c r="H4339" s="27" t="s">
        <v>35</v>
      </c>
      <c r="I4339" s="27" t="s">
        <v>43</v>
      </c>
      <c r="J4339" s="28" t="s">
        <v>161</v>
      </c>
      <c r="K4339" s="27" t="s">
        <v>40</v>
      </c>
      <c r="L4339" s="27"/>
    </row>
    <row r="4340" customFormat="false" ht="15" hidden="false" customHeight="false" outlineLevel="0" collapsed="false">
      <c r="A4340" s="26" t="s">
        <v>13616</v>
      </c>
      <c r="B4340" s="27" t="s">
        <v>13617</v>
      </c>
      <c r="C4340" s="27" t="s">
        <v>370</v>
      </c>
      <c r="D4340" s="26"/>
      <c r="E4340" s="27"/>
      <c r="F4340" s="27"/>
      <c r="G4340" s="27" t="s">
        <v>11122</v>
      </c>
      <c r="H4340" s="27" t="s">
        <v>35</v>
      </c>
      <c r="I4340" s="27" t="s">
        <v>48</v>
      </c>
      <c r="J4340" s="28" t="s">
        <v>161</v>
      </c>
      <c r="K4340" s="27" t="s">
        <v>40</v>
      </c>
      <c r="L4340" s="27"/>
    </row>
    <row r="4341" customFormat="false" ht="15" hidden="false" customHeight="false" outlineLevel="0" collapsed="false">
      <c r="A4341" s="26" t="s">
        <v>13618</v>
      </c>
      <c r="B4341" s="27" t="s">
        <v>13619</v>
      </c>
      <c r="C4341" s="27" t="s">
        <v>144</v>
      </c>
      <c r="D4341" s="26"/>
      <c r="E4341" s="27"/>
      <c r="F4341" s="27"/>
      <c r="G4341" s="27" t="s">
        <v>11122</v>
      </c>
      <c r="H4341" s="27" t="s">
        <v>35</v>
      </c>
      <c r="I4341" s="28" t="s">
        <v>46</v>
      </c>
      <c r="J4341" s="28" t="s">
        <v>161</v>
      </c>
      <c r="K4341" s="27" t="s">
        <v>40</v>
      </c>
      <c r="L4341" s="27"/>
    </row>
    <row r="4342" customFormat="false" ht="15" hidden="false" customHeight="false" outlineLevel="0" collapsed="false">
      <c r="A4342" s="26" t="s">
        <v>13620</v>
      </c>
      <c r="B4342" s="27" t="s">
        <v>13621</v>
      </c>
      <c r="C4342" s="27" t="s">
        <v>144</v>
      </c>
      <c r="D4342" s="26"/>
      <c r="E4342" s="27"/>
      <c r="F4342" s="27"/>
      <c r="G4342" s="27" t="s">
        <v>11122</v>
      </c>
      <c r="H4342" s="27" t="s">
        <v>35</v>
      </c>
      <c r="I4342" s="27" t="s">
        <v>38</v>
      </c>
      <c r="J4342" s="28" t="s">
        <v>161</v>
      </c>
      <c r="K4342" s="27" t="s">
        <v>40</v>
      </c>
      <c r="L4342" s="27"/>
    </row>
    <row r="4343" customFormat="false" ht="15" hidden="false" customHeight="false" outlineLevel="0" collapsed="false">
      <c r="A4343" s="26" t="s">
        <v>13622</v>
      </c>
      <c r="B4343" s="27" t="s">
        <v>13623</v>
      </c>
      <c r="C4343" s="27" t="s">
        <v>144</v>
      </c>
      <c r="D4343" s="26"/>
      <c r="E4343" s="27"/>
      <c r="F4343" s="27"/>
      <c r="G4343" s="27" t="s">
        <v>11122</v>
      </c>
      <c r="H4343" s="27" t="s">
        <v>35</v>
      </c>
      <c r="I4343" s="28" t="s">
        <v>46</v>
      </c>
      <c r="J4343" s="28" t="s">
        <v>161</v>
      </c>
      <c r="K4343" s="27" t="s">
        <v>40</v>
      </c>
      <c r="L4343" s="27"/>
    </row>
    <row r="4344" customFormat="false" ht="15" hidden="false" customHeight="false" outlineLevel="0" collapsed="false">
      <c r="A4344" s="26" t="s">
        <v>13624</v>
      </c>
      <c r="B4344" s="27" t="s">
        <v>13625</v>
      </c>
      <c r="C4344" s="27" t="s">
        <v>137</v>
      </c>
      <c r="D4344" s="26"/>
      <c r="E4344" s="27"/>
      <c r="F4344" s="27"/>
      <c r="G4344" s="27" t="s">
        <v>11122</v>
      </c>
      <c r="H4344" s="27" t="s">
        <v>35</v>
      </c>
      <c r="I4344" s="27" t="s">
        <v>39</v>
      </c>
      <c r="J4344" s="28" t="s">
        <v>161</v>
      </c>
      <c r="K4344" s="27" t="s">
        <v>40</v>
      </c>
      <c r="L4344" s="27"/>
    </row>
    <row r="4345" customFormat="false" ht="15" hidden="false" customHeight="false" outlineLevel="0" collapsed="false">
      <c r="A4345" s="26" t="s">
        <v>13626</v>
      </c>
      <c r="B4345" s="27" t="s">
        <v>13627</v>
      </c>
      <c r="C4345" s="27" t="s">
        <v>144</v>
      </c>
      <c r="D4345" s="26"/>
      <c r="E4345" s="27"/>
      <c r="F4345" s="27"/>
      <c r="G4345" s="27" t="s">
        <v>11122</v>
      </c>
      <c r="H4345" s="27" t="s">
        <v>35</v>
      </c>
      <c r="I4345" s="27" t="s">
        <v>37</v>
      </c>
      <c r="J4345" s="28" t="s">
        <v>161</v>
      </c>
      <c r="K4345" s="27" t="s">
        <v>40</v>
      </c>
      <c r="L4345" s="27"/>
    </row>
    <row r="4346" customFormat="false" ht="15" hidden="false" customHeight="false" outlineLevel="0" collapsed="false">
      <c r="A4346" s="26" t="s">
        <v>13628</v>
      </c>
      <c r="B4346" s="27" t="s">
        <v>13629</v>
      </c>
      <c r="C4346" s="27" t="s">
        <v>137</v>
      </c>
      <c r="D4346" s="26"/>
      <c r="E4346" s="27"/>
      <c r="F4346" s="27"/>
      <c r="G4346" s="27" t="s">
        <v>11122</v>
      </c>
      <c r="H4346" s="27" t="s">
        <v>35</v>
      </c>
      <c r="I4346" s="27" t="s">
        <v>40</v>
      </c>
      <c r="J4346" s="28" t="s">
        <v>161</v>
      </c>
      <c r="K4346" s="27" t="s">
        <v>40</v>
      </c>
      <c r="L4346" s="27"/>
    </row>
    <row r="4347" customFormat="false" ht="15" hidden="false" customHeight="false" outlineLevel="0" collapsed="false">
      <c r="A4347" s="26" t="s">
        <v>13630</v>
      </c>
      <c r="B4347" s="27" t="s">
        <v>13631</v>
      </c>
      <c r="C4347" s="27" t="s">
        <v>137</v>
      </c>
      <c r="D4347" s="26"/>
      <c r="E4347" s="27"/>
      <c r="F4347" s="27"/>
      <c r="G4347" s="27" t="s">
        <v>11122</v>
      </c>
      <c r="H4347" s="27" t="s">
        <v>35</v>
      </c>
      <c r="I4347" s="27" t="s">
        <v>42</v>
      </c>
      <c r="J4347" s="28" t="s">
        <v>161</v>
      </c>
      <c r="K4347" s="27" t="s">
        <v>40</v>
      </c>
      <c r="L4347" s="27"/>
    </row>
    <row r="4348" customFormat="false" ht="15" hidden="false" customHeight="false" outlineLevel="0" collapsed="false">
      <c r="A4348" s="26" t="s">
        <v>13632</v>
      </c>
      <c r="B4348" s="27" t="s">
        <v>13633</v>
      </c>
      <c r="C4348" s="27" t="s">
        <v>137</v>
      </c>
      <c r="D4348" s="26"/>
      <c r="E4348" s="27"/>
      <c r="F4348" s="27"/>
      <c r="G4348" s="27" t="s">
        <v>11122</v>
      </c>
      <c r="H4348" s="27" t="s">
        <v>35</v>
      </c>
      <c r="I4348" s="27" t="s">
        <v>40</v>
      </c>
      <c r="J4348" s="28" t="s">
        <v>161</v>
      </c>
      <c r="K4348" s="27" t="s">
        <v>40</v>
      </c>
      <c r="L4348" s="27"/>
    </row>
    <row r="4349" customFormat="false" ht="15" hidden="false" customHeight="false" outlineLevel="0" collapsed="false">
      <c r="A4349" s="26" t="s">
        <v>13634</v>
      </c>
      <c r="B4349" s="27" t="s">
        <v>13635</v>
      </c>
      <c r="C4349" s="27" t="s">
        <v>144</v>
      </c>
      <c r="D4349" s="26"/>
      <c r="E4349" s="27"/>
      <c r="F4349" s="27"/>
      <c r="G4349" s="27" t="s">
        <v>11122</v>
      </c>
      <c r="H4349" s="27" t="s">
        <v>35</v>
      </c>
      <c r="I4349" s="27" t="s">
        <v>40</v>
      </c>
      <c r="J4349" s="28" t="s">
        <v>161</v>
      </c>
      <c r="K4349" s="27" t="s">
        <v>40</v>
      </c>
      <c r="L4349" s="27"/>
    </row>
    <row r="4350" customFormat="false" ht="15" hidden="false" customHeight="false" outlineLevel="0" collapsed="false">
      <c r="A4350" s="26" t="s">
        <v>13636</v>
      </c>
      <c r="B4350" s="27" t="s">
        <v>13637</v>
      </c>
      <c r="C4350" s="27" t="s">
        <v>144</v>
      </c>
      <c r="D4350" s="26"/>
      <c r="E4350" s="27"/>
      <c r="F4350" s="27"/>
      <c r="G4350" s="27" t="s">
        <v>11122</v>
      </c>
      <c r="H4350" s="27" t="s">
        <v>35</v>
      </c>
      <c r="I4350" s="28" t="s">
        <v>46</v>
      </c>
      <c r="J4350" s="28" t="s">
        <v>161</v>
      </c>
      <c r="K4350" s="27" t="s">
        <v>40</v>
      </c>
      <c r="L4350" s="27"/>
    </row>
    <row r="4351" customFormat="false" ht="15" hidden="false" customHeight="false" outlineLevel="0" collapsed="false">
      <c r="A4351" s="26" t="s">
        <v>13638</v>
      </c>
      <c r="B4351" s="27" t="s">
        <v>13639</v>
      </c>
      <c r="C4351" s="27" t="s">
        <v>144</v>
      </c>
      <c r="D4351" s="26"/>
      <c r="E4351" s="27"/>
      <c r="F4351" s="27"/>
      <c r="G4351" s="27" t="s">
        <v>11122</v>
      </c>
      <c r="H4351" s="27" t="s">
        <v>35</v>
      </c>
      <c r="I4351" s="27" t="s">
        <v>43</v>
      </c>
      <c r="J4351" s="28" t="s">
        <v>161</v>
      </c>
      <c r="K4351" s="27" t="s">
        <v>40</v>
      </c>
      <c r="L4351" s="27"/>
    </row>
    <row r="4352" customFormat="false" ht="15" hidden="false" customHeight="false" outlineLevel="0" collapsed="false">
      <c r="A4352" s="26" t="s">
        <v>13640</v>
      </c>
      <c r="B4352" s="27" t="s">
        <v>13641</v>
      </c>
      <c r="C4352" s="27" t="s">
        <v>137</v>
      </c>
      <c r="D4352" s="26"/>
      <c r="E4352" s="27"/>
      <c r="F4352" s="27"/>
      <c r="G4352" s="27" t="s">
        <v>11122</v>
      </c>
      <c r="H4352" s="27" t="s">
        <v>35</v>
      </c>
      <c r="I4352" s="27" t="s">
        <v>39</v>
      </c>
      <c r="J4352" s="28" t="s">
        <v>161</v>
      </c>
      <c r="K4352" s="27" t="s">
        <v>40</v>
      </c>
      <c r="L4352" s="27"/>
    </row>
    <row r="4353" customFormat="false" ht="15" hidden="false" customHeight="false" outlineLevel="0" collapsed="false">
      <c r="A4353" s="26" t="s">
        <v>13642</v>
      </c>
      <c r="B4353" s="27" t="s">
        <v>13643</v>
      </c>
      <c r="C4353" s="27" t="s">
        <v>144</v>
      </c>
      <c r="D4353" s="26"/>
      <c r="E4353" s="27"/>
      <c r="F4353" s="27"/>
      <c r="G4353" s="27" t="s">
        <v>11122</v>
      </c>
      <c r="H4353" s="27" t="s">
        <v>35</v>
      </c>
      <c r="I4353" s="27" t="s">
        <v>40</v>
      </c>
      <c r="J4353" s="28" t="s">
        <v>161</v>
      </c>
      <c r="K4353" s="27" t="s">
        <v>40</v>
      </c>
      <c r="L4353" s="27"/>
    </row>
    <row r="4354" customFormat="false" ht="15" hidden="false" customHeight="false" outlineLevel="0" collapsed="false">
      <c r="A4354" s="26" t="s">
        <v>13644</v>
      </c>
      <c r="B4354" s="27" t="s">
        <v>13645</v>
      </c>
      <c r="C4354" s="27" t="s">
        <v>144</v>
      </c>
      <c r="D4354" s="26"/>
      <c r="E4354" s="27"/>
      <c r="F4354" s="27"/>
      <c r="G4354" s="27" t="s">
        <v>11122</v>
      </c>
      <c r="H4354" s="27" t="s">
        <v>35</v>
      </c>
      <c r="I4354" s="27" t="s">
        <v>37</v>
      </c>
      <c r="J4354" s="28" t="s">
        <v>161</v>
      </c>
      <c r="K4354" s="27" t="s">
        <v>40</v>
      </c>
      <c r="L4354" s="27"/>
    </row>
    <row r="4355" customFormat="false" ht="15" hidden="false" customHeight="false" outlineLevel="0" collapsed="false">
      <c r="A4355" s="26" t="s">
        <v>13646</v>
      </c>
      <c r="B4355" s="27" t="s">
        <v>13647</v>
      </c>
      <c r="C4355" s="27" t="s">
        <v>144</v>
      </c>
      <c r="D4355" s="26"/>
      <c r="E4355" s="27"/>
      <c r="F4355" s="27"/>
      <c r="G4355" s="27" t="s">
        <v>11122</v>
      </c>
      <c r="H4355" s="27" t="s">
        <v>35</v>
      </c>
      <c r="I4355" s="27" t="s">
        <v>39</v>
      </c>
      <c r="J4355" s="28" t="s">
        <v>161</v>
      </c>
      <c r="K4355" s="27" t="s">
        <v>40</v>
      </c>
      <c r="L4355" s="27"/>
    </row>
    <row r="4356" customFormat="false" ht="15" hidden="false" customHeight="false" outlineLevel="0" collapsed="false">
      <c r="A4356" s="26" t="s">
        <v>13648</v>
      </c>
      <c r="B4356" s="27" t="s">
        <v>13649</v>
      </c>
      <c r="C4356" s="27" t="s">
        <v>144</v>
      </c>
      <c r="D4356" s="26"/>
      <c r="E4356" s="27"/>
      <c r="F4356" s="27"/>
      <c r="G4356" s="27" t="s">
        <v>11122</v>
      </c>
      <c r="H4356" s="27" t="s">
        <v>35</v>
      </c>
      <c r="I4356" s="27" t="s">
        <v>39</v>
      </c>
      <c r="J4356" s="28" t="s">
        <v>161</v>
      </c>
      <c r="K4356" s="27" t="s">
        <v>40</v>
      </c>
      <c r="L4356" s="27"/>
    </row>
    <row r="4357" customFormat="false" ht="15" hidden="false" customHeight="false" outlineLevel="0" collapsed="false">
      <c r="A4357" s="26" t="s">
        <v>13650</v>
      </c>
      <c r="B4357" s="27" t="s">
        <v>13651</v>
      </c>
      <c r="C4357" s="27" t="s">
        <v>144</v>
      </c>
      <c r="D4357" s="26"/>
      <c r="E4357" s="27"/>
      <c r="F4357" s="27"/>
      <c r="G4357" s="27" t="s">
        <v>11122</v>
      </c>
      <c r="H4357" s="27" t="s">
        <v>35</v>
      </c>
      <c r="I4357" s="27" t="s">
        <v>40</v>
      </c>
      <c r="J4357" s="28" t="s">
        <v>161</v>
      </c>
      <c r="K4357" s="27" t="s">
        <v>40</v>
      </c>
      <c r="L4357" s="27"/>
    </row>
    <row r="4358" customFormat="false" ht="15" hidden="false" customHeight="false" outlineLevel="0" collapsed="false">
      <c r="A4358" s="26" t="s">
        <v>13652</v>
      </c>
      <c r="B4358" s="27" t="s">
        <v>13653</v>
      </c>
      <c r="C4358" s="27" t="s">
        <v>144</v>
      </c>
      <c r="D4358" s="26"/>
      <c r="E4358" s="27"/>
      <c r="F4358" s="27"/>
      <c r="G4358" s="27" t="s">
        <v>11122</v>
      </c>
      <c r="H4358" s="27" t="s">
        <v>35</v>
      </c>
      <c r="I4358" s="27" t="s">
        <v>4159</v>
      </c>
      <c r="J4358" s="28" t="s">
        <v>161</v>
      </c>
      <c r="K4358" s="27" t="s">
        <v>40</v>
      </c>
      <c r="L4358" s="27"/>
    </row>
    <row r="4359" customFormat="false" ht="15" hidden="false" customHeight="false" outlineLevel="0" collapsed="false">
      <c r="A4359" s="26" t="s">
        <v>13654</v>
      </c>
      <c r="B4359" s="27" t="s">
        <v>13655</v>
      </c>
      <c r="C4359" s="27" t="s">
        <v>144</v>
      </c>
      <c r="D4359" s="26"/>
      <c r="E4359" s="27"/>
      <c r="F4359" s="27"/>
      <c r="G4359" s="27" t="s">
        <v>11122</v>
      </c>
      <c r="H4359" s="27" t="s">
        <v>35</v>
      </c>
      <c r="I4359" s="27" t="s">
        <v>4159</v>
      </c>
      <c r="J4359" s="28" t="s">
        <v>161</v>
      </c>
      <c r="K4359" s="27" t="s">
        <v>40</v>
      </c>
      <c r="L4359" s="27"/>
    </row>
    <row r="4360" customFormat="false" ht="15" hidden="false" customHeight="false" outlineLevel="0" collapsed="false">
      <c r="A4360" s="26" t="s">
        <v>13656</v>
      </c>
      <c r="B4360" s="27" t="s">
        <v>13657</v>
      </c>
      <c r="C4360" s="27" t="s">
        <v>144</v>
      </c>
      <c r="D4360" s="26"/>
      <c r="E4360" s="27"/>
      <c r="F4360" s="27"/>
      <c r="G4360" s="27" t="s">
        <v>11122</v>
      </c>
      <c r="H4360" s="27" t="s">
        <v>35</v>
      </c>
      <c r="I4360" s="27" t="s">
        <v>38</v>
      </c>
      <c r="J4360" s="28" t="s">
        <v>161</v>
      </c>
      <c r="K4360" s="27" t="s">
        <v>40</v>
      </c>
      <c r="L4360" s="27"/>
    </row>
    <row r="4361" customFormat="false" ht="15" hidden="false" customHeight="false" outlineLevel="0" collapsed="false">
      <c r="A4361" s="26" t="s">
        <v>13658</v>
      </c>
      <c r="B4361" s="27" t="s">
        <v>13659</v>
      </c>
      <c r="C4361" s="27" t="s">
        <v>144</v>
      </c>
      <c r="D4361" s="26"/>
      <c r="E4361" s="27"/>
      <c r="F4361" s="27"/>
      <c r="G4361" s="27" t="s">
        <v>11122</v>
      </c>
      <c r="H4361" s="27" t="s">
        <v>35</v>
      </c>
      <c r="I4361" s="27" t="s">
        <v>4159</v>
      </c>
      <c r="J4361" s="28" t="s">
        <v>161</v>
      </c>
      <c r="K4361" s="27" t="s">
        <v>40</v>
      </c>
      <c r="L4361" s="27"/>
    </row>
    <row r="4362" customFormat="false" ht="15" hidden="false" customHeight="false" outlineLevel="0" collapsed="false">
      <c r="A4362" s="26" t="s">
        <v>13660</v>
      </c>
      <c r="B4362" s="27" t="s">
        <v>13661</v>
      </c>
      <c r="C4362" s="27" t="s">
        <v>144</v>
      </c>
      <c r="D4362" s="26"/>
      <c r="E4362" s="27"/>
      <c r="F4362" s="27"/>
      <c r="G4362" s="27" t="s">
        <v>11122</v>
      </c>
      <c r="H4362" s="27" t="s">
        <v>35</v>
      </c>
      <c r="I4362" s="27" t="s">
        <v>38</v>
      </c>
      <c r="J4362" s="28" t="s">
        <v>161</v>
      </c>
      <c r="K4362" s="27" t="s">
        <v>40</v>
      </c>
      <c r="L4362" s="27"/>
    </row>
    <row r="4363" customFormat="false" ht="15" hidden="false" customHeight="false" outlineLevel="0" collapsed="false">
      <c r="A4363" s="26" t="s">
        <v>13662</v>
      </c>
      <c r="B4363" s="27" t="s">
        <v>13663</v>
      </c>
      <c r="C4363" s="27" t="s">
        <v>144</v>
      </c>
      <c r="D4363" s="26"/>
      <c r="E4363" s="27"/>
      <c r="F4363" s="27"/>
      <c r="G4363" s="27" t="s">
        <v>11122</v>
      </c>
      <c r="H4363" s="27" t="s">
        <v>35</v>
      </c>
      <c r="I4363" s="27" t="s">
        <v>4159</v>
      </c>
      <c r="J4363" s="28" t="s">
        <v>161</v>
      </c>
      <c r="K4363" s="27" t="s">
        <v>40</v>
      </c>
      <c r="L4363" s="27"/>
    </row>
    <row r="4364" customFormat="false" ht="15" hidden="false" customHeight="false" outlineLevel="0" collapsed="false">
      <c r="A4364" s="26" t="s">
        <v>13664</v>
      </c>
      <c r="B4364" s="27" t="s">
        <v>13665</v>
      </c>
      <c r="C4364" s="27" t="s">
        <v>144</v>
      </c>
      <c r="D4364" s="26"/>
      <c r="E4364" s="27"/>
      <c r="F4364" s="27"/>
      <c r="G4364" s="27" t="s">
        <v>11122</v>
      </c>
      <c r="H4364" s="27" t="s">
        <v>35</v>
      </c>
      <c r="I4364" s="27" t="s">
        <v>40</v>
      </c>
      <c r="J4364" s="28" t="s">
        <v>161</v>
      </c>
      <c r="K4364" s="27" t="s">
        <v>40</v>
      </c>
      <c r="L4364" s="27"/>
    </row>
    <row r="4365" customFormat="false" ht="15" hidden="false" customHeight="false" outlineLevel="0" collapsed="false">
      <c r="A4365" s="26" t="s">
        <v>13666</v>
      </c>
      <c r="B4365" s="27" t="s">
        <v>13667</v>
      </c>
      <c r="C4365" s="27" t="s">
        <v>144</v>
      </c>
      <c r="D4365" s="26"/>
      <c r="E4365" s="27"/>
      <c r="F4365" s="27"/>
      <c r="G4365" s="27" t="s">
        <v>11122</v>
      </c>
      <c r="H4365" s="27" t="s">
        <v>35</v>
      </c>
      <c r="I4365" s="27" t="s">
        <v>40</v>
      </c>
      <c r="J4365" s="28" t="s">
        <v>161</v>
      </c>
      <c r="K4365" s="27" t="s">
        <v>40</v>
      </c>
      <c r="L4365" s="27"/>
    </row>
    <row r="4366" customFormat="false" ht="15" hidden="false" customHeight="false" outlineLevel="0" collapsed="false">
      <c r="A4366" s="26" t="s">
        <v>13668</v>
      </c>
      <c r="B4366" s="27" t="s">
        <v>13669</v>
      </c>
      <c r="C4366" s="27" t="s">
        <v>144</v>
      </c>
      <c r="D4366" s="26"/>
      <c r="E4366" s="27"/>
      <c r="F4366" s="27"/>
      <c r="G4366" s="27" t="s">
        <v>11122</v>
      </c>
      <c r="H4366" s="27" t="s">
        <v>35</v>
      </c>
      <c r="I4366" s="27" t="s">
        <v>40</v>
      </c>
      <c r="J4366" s="28" t="s">
        <v>161</v>
      </c>
      <c r="K4366" s="27" t="s">
        <v>40</v>
      </c>
      <c r="L4366" s="27"/>
    </row>
    <row r="4367" customFormat="false" ht="15" hidden="false" customHeight="false" outlineLevel="0" collapsed="false">
      <c r="A4367" s="26" t="s">
        <v>13670</v>
      </c>
      <c r="B4367" s="27" t="s">
        <v>13671</v>
      </c>
      <c r="C4367" s="27" t="s">
        <v>144</v>
      </c>
      <c r="D4367" s="26"/>
      <c r="E4367" s="27"/>
      <c r="F4367" s="27"/>
      <c r="G4367" s="27" t="s">
        <v>11122</v>
      </c>
      <c r="H4367" s="27" t="s">
        <v>35</v>
      </c>
      <c r="I4367" s="27" t="s">
        <v>40</v>
      </c>
      <c r="J4367" s="28" t="s">
        <v>161</v>
      </c>
      <c r="K4367" s="27" t="s">
        <v>40</v>
      </c>
      <c r="L4367" s="27"/>
    </row>
    <row r="4368" customFormat="false" ht="15" hidden="false" customHeight="false" outlineLevel="0" collapsed="false">
      <c r="A4368" s="26" t="s">
        <v>13672</v>
      </c>
      <c r="B4368" s="27" t="s">
        <v>13673</v>
      </c>
      <c r="C4368" s="27" t="s">
        <v>144</v>
      </c>
      <c r="D4368" s="26"/>
      <c r="E4368" s="27"/>
      <c r="F4368" s="27"/>
      <c r="G4368" s="27" t="s">
        <v>11122</v>
      </c>
      <c r="H4368" s="27" t="s">
        <v>35</v>
      </c>
      <c r="I4368" s="27" t="s">
        <v>40</v>
      </c>
      <c r="J4368" s="28" t="s">
        <v>161</v>
      </c>
      <c r="K4368" s="27" t="s">
        <v>40</v>
      </c>
      <c r="L4368" s="27"/>
    </row>
    <row r="4369" customFormat="false" ht="15" hidden="false" customHeight="false" outlineLevel="0" collapsed="false">
      <c r="A4369" s="26" t="s">
        <v>13674</v>
      </c>
      <c r="B4369" s="27" t="s">
        <v>13675</v>
      </c>
      <c r="C4369" s="27" t="s">
        <v>144</v>
      </c>
      <c r="D4369" s="26"/>
      <c r="E4369" s="27"/>
      <c r="F4369" s="27"/>
      <c r="G4369" s="27" t="s">
        <v>11122</v>
      </c>
      <c r="H4369" s="27" t="s">
        <v>35</v>
      </c>
      <c r="I4369" s="27" t="s">
        <v>40</v>
      </c>
      <c r="J4369" s="28" t="s">
        <v>161</v>
      </c>
      <c r="K4369" s="27" t="s">
        <v>40</v>
      </c>
      <c r="L4369" s="27"/>
    </row>
    <row r="4370" customFormat="false" ht="15" hidden="false" customHeight="false" outlineLevel="0" collapsed="false">
      <c r="A4370" s="26" t="s">
        <v>13676</v>
      </c>
      <c r="B4370" s="27" t="s">
        <v>13677</v>
      </c>
      <c r="C4370" s="27" t="s">
        <v>144</v>
      </c>
      <c r="D4370" s="26"/>
      <c r="E4370" s="27"/>
      <c r="F4370" s="27"/>
      <c r="G4370" s="27" t="s">
        <v>11122</v>
      </c>
      <c r="H4370" s="27" t="s">
        <v>35</v>
      </c>
      <c r="I4370" s="27" t="s">
        <v>40</v>
      </c>
      <c r="J4370" s="28" t="s">
        <v>161</v>
      </c>
      <c r="K4370" s="27" t="s">
        <v>40</v>
      </c>
      <c r="L4370" s="27"/>
    </row>
    <row r="4371" customFormat="false" ht="15" hidden="false" customHeight="false" outlineLevel="0" collapsed="false">
      <c r="A4371" s="26" t="s">
        <v>13678</v>
      </c>
      <c r="B4371" s="27" t="s">
        <v>13679</v>
      </c>
      <c r="C4371" s="27" t="s">
        <v>144</v>
      </c>
      <c r="D4371" s="26"/>
      <c r="E4371" s="27"/>
      <c r="F4371" s="27"/>
      <c r="G4371" s="27" t="s">
        <v>11122</v>
      </c>
      <c r="H4371" s="27" t="s">
        <v>35</v>
      </c>
      <c r="I4371" s="27" t="s">
        <v>40</v>
      </c>
      <c r="J4371" s="28" t="s">
        <v>161</v>
      </c>
      <c r="K4371" s="27" t="s">
        <v>40</v>
      </c>
      <c r="L4371" s="27"/>
    </row>
    <row r="4372" customFormat="false" ht="15" hidden="false" customHeight="false" outlineLevel="0" collapsed="false">
      <c r="A4372" s="26" t="s">
        <v>13680</v>
      </c>
      <c r="B4372" s="27" t="s">
        <v>13681</v>
      </c>
      <c r="C4372" s="27" t="s">
        <v>144</v>
      </c>
      <c r="D4372" s="26"/>
      <c r="E4372" s="27"/>
      <c r="F4372" s="27"/>
      <c r="G4372" s="27" t="s">
        <v>11122</v>
      </c>
      <c r="H4372" s="27" t="s">
        <v>35</v>
      </c>
      <c r="I4372" s="27" t="s">
        <v>40</v>
      </c>
      <c r="J4372" s="28" t="s">
        <v>161</v>
      </c>
      <c r="K4372" s="27" t="s">
        <v>40</v>
      </c>
      <c r="L4372" s="27"/>
    </row>
    <row r="4373" customFormat="false" ht="15" hidden="false" customHeight="false" outlineLevel="0" collapsed="false">
      <c r="A4373" s="26" t="s">
        <v>13682</v>
      </c>
      <c r="B4373" s="27" t="s">
        <v>13683</v>
      </c>
      <c r="C4373" s="27" t="s">
        <v>144</v>
      </c>
      <c r="D4373" s="26"/>
      <c r="E4373" s="27"/>
      <c r="F4373" s="27"/>
      <c r="G4373" s="27" t="s">
        <v>11122</v>
      </c>
      <c r="H4373" s="27" t="s">
        <v>35</v>
      </c>
      <c r="I4373" s="27" t="s">
        <v>40</v>
      </c>
      <c r="J4373" s="28" t="s">
        <v>161</v>
      </c>
      <c r="K4373" s="27" t="s">
        <v>40</v>
      </c>
      <c r="L4373" s="27"/>
    </row>
    <row r="4374" customFormat="false" ht="15" hidden="false" customHeight="false" outlineLevel="0" collapsed="false">
      <c r="A4374" s="26" t="s">
        <v>13684</v>
      </c>
      <c r="B4374" s="27" t="s">
        <v>13685</v>
      </c>
      <c r="C4374" s="27" t="s">
        <v>144</v>
      </c>
      <c r="D4374" s="26"/>
      <c r="E4374" s="27"/>
      <c r="F4374" s="27"/>
      <c r="G4374" s="27" t="s">
        <v>11122</v>
      </c>
      <c r="H4374" s="27" t="s">
        <v>35</v>
      </c>
      <c r="I4374" s="27" t="s">
        <v>40</v>
      </c>
      <c r="J4374" s="28" t="s">
        <v>161</v>
      </c>
      <c r="K4374" s="27" t="s">
        <v>40</v>
      </c>
      <c r="L4374" s="27"/>
    </row>
    <row r="4375" customFormat="false" ht="15" hidden="false" customHeight="false" outlineLevel="0" collapsed="false">
      <c r="A4375" s="26" t="s">
        <v>13686</v>
      </c>
      <c r="B4375" s="27" t="s">
        <v>13687</v>
      </c>
      <c r="C4375" s="27" t="s">
        <v>1845</v>
      </c>
      <c r="D4375" s="26"/>
      <c r="E4375" s="27"/>
      <c r="F4375" s="27"/>
      <c r="G4375" s="27" t="s">
        <v>11122</v>
      </c>
      <c r="H4375" s="27" t="s">
        <v>35</v>
      </c>
      <c r="I4375" s="27" t="s">
        <v>39</v>
      </c>
      <c r="J4375" s="28" t="s">
        <v>161</v>
      </c>
      <c r="K4375" s="27" t="s">
        <v>40</v>
      </c>
      <c r="L4375" s="27"/>
    </row>
    <row r="4376" customFormat="false" ht="15" hidden="false" customHeight="false" outlineLevel="0" collapsed="false">
      <c r="A4376" s="26" t="s">
        <v>13688</v>
      </c>
      <c r="B4376" s="27" t="s">
        <v>13689</v>
      </c>
      <c r="C4376" s="27" t="s">
        <v>1845</v>
      </c>
      <c r="D4376" s="26"/>
      <c r="E4376" s="27"/>
      <c r="F4376" s="27"/>
      <c r="G4376" s="27" t="s">
        <v>11122</v>
      </c>
      <c r="H4376" s="27" t="s">
        <v>35</v>
      </c>
      <c r="I4376" s="27" t="s">
        <v>40</v>
      </c>
      <c r="J4376" s="28" t="s">
        <v>161</v>
      </c>
      <c r="K4376" s="27" t="s">
        <v>40</v>
      </c>
      <c r="L4376" s="27"/>
    </row>
    <row r="4377" customFormat="false" ht="15" hidden="false" customHeight="false" outlineLevel="0" collapsed="false">
      <c r="A4377" s="26" t="s">
        <v>13690</v>
      </c>
      <c r="B4377" s="27" t="s">
        <v>13691</v>
      </c>
      <c r="C4377" s="27" t="s">
        <v>1845</v>
      </c>
      <c r="D4377" s="26"/>
      <c r="E4377" s="27"/>
      <c r="F4377" s="27"/>
      <c r="G4377" s="27" t="s">
        <v>11122</v>
      </c>
      <c r="H4377" s="27" t="s">
        <v>35</v>
      </c>
      <c r="I4377" s="27" t="s">
        <v>4159</v>
      </c>
      <c r="J4377" s="28" t="s">
        <v>161</v>
      </c>
      <c r="K4377" s="27" t="s">
        <v>40</v>
      </c>
      <c r="L4377" s="27"/>
    </row>
    <row r="4378" customFormat="false" ht="15" hidden="false" customHeight="false" outlineLevel="0" collapsed="false">
      <c r="A4378" s="26" t="s">
        <v>13692</v>
      </c>
      <c r="B4378" s="27" t="s">
        <v>13693</v>
      </c>
      <c r="C4378" s="27" t="s">
        <v>137</v>
      </c>
      <c r="D4378" s="26"/>
      <c r="E4378" s="27"/>
      <c r="F4378" s="27"/>
      <c r="G4378" s="27" t="s">
        <v>11122</v>
      </c>
      <c r="H4378" s="27" t="s">
        <v>35</v>
      </c>
      <c r="I4378" s="27" t="s">
        <v>40</v>
      </c>
      <c r="J4378" s="28" t="s">
        <v>161</v>
      </c>
      <c r="K4378" s="27" t="s">
        <v>40</v>
      </c>
      <c r="L4378" s="27"/>
    </row>
    <row r="4379" customFormat="false" ht="15" hidden="false" customHeight="false" outlineLevel="0" collapsed="false">
      <c r="A4379" s="26" t="s">
        <v>13694</v>
      </c>
      <c r="B4379" s="27" t="s">
        <v>13695</v>
      </c>
      <c r="C4379" s="27" t="s">
        <v>137</v>
      </c>
      <c r="D4379" s="26"/>
      <c r="E4379" s="27"/>
      <c r="F4379" s="27"/>
      <c r="G4379" s="27" t="s">
        <v>11122</v>
      </c>
      <c r="H4379" s="27" t="s">
        <v>35</v>
      </c>
      <c r="I4379" s="27" t="s">
        <v>41</v>
      </c>
      <c r="J4379" s="28" t="s">
        <v>161</v>
      </c>
      <c r="K4379" s="27" t="s">
        <v>40</v>
      </c>
      <c r="L4379" s="27"/>
    </row>
    <row r="4380" customFormat="false" ht="15" hidden="false" customHeight="false" outlineLevel="0" collapsed="false">
      <c r="A4380" s="26" t="s">
        <v>13696</v>
      </c>
      <c r="B4380" s="27" t="s">
        <v>13697</v>
      </c>
      <c r="C4380" s="27" t="s">
        <v>137</v>
      </c>
      <c r="D4380" s="26"/>
      <c r="E4380" s="27"/>
      <c r="F4380" s="27"/>
      <c r="G4380" s="27" t="s">
        <v>11122</v>
      </c>
      <c r="H4380" s="27" t="s">
        <v>35</v>
      </c>
      <c r="I4380" s="27" t="s">
        <v>40</v>
      </c>
      <c r="J4380" s="28" t="s">
        <v>161</v>
      </c>
      <c r="K4380" s="27" t="s">
        <v>40</v>
      </c>
      <c r="L4380" s="27"/>
    </row>
    <row r="4381" customFormat="false" ht="15" hidden="false" customHeight="false" outlineLevel="0" collapsed="false">
      <c r="A4381" s="26" t="s">
        <v>13698</v>
      </c>
      <c r="B4381" s="27" t="s">
        <v>13699</v>
      </c>
      <c r="C4381" s="27" t="s">
        <v>137</v>
      </c>
      <c r="D4381" s="26"/>
      <c r="E4381" s="27"/>
      <c r="F4381" s="27"/>
      <c r="G4381" s="27" t="s">
        <v>11122</v>
      </c>
      <c r="H4381" s="27" t="s">
        <v>35</v>
      </c>
      <c r="I4381" s="27" t="s">
        <v>4159</v>
      </c>
      <c r="J4381" s="28" t="s">
        <v>161</v>
      </c>
      <c r="K4381" s="27" t="s">
        <v>40</v>
      </c>
      <c r="L4381" s="27"/>
    </row>
    <row r="4382" customFormat="false" ht="15" hidden="false" customHeight="false" outlineLevel="0" collapsed="false">
      <c r="A4382" s="26" t="s">
        <v>13700</v>
      </c>
      <c r="B4382" s="27" t="s">
        <v>13701</v>
      </c>
      <c r="C4382" s="27" t="s">
        <v>137</v>
      </c>
      <c r="D4382" s="26"/>
      <c r="E4382" s="27"/>
      <c r="F4382" s="27"/>
      <c r="G4382" s="27" t="s">
        <v>11122</v>
      </c>
      <c r="H4382" s="27" t="s">
        <v>35</v>
      </c>
      <c r="I4382" s="27" t="s">
        <v>40</v>
      </c>
      <c r="J4382" s="28" t="s">
        <v>161</v>
      </c>
      <c r="K4382" s="27" t="s">
        <v>40</v>
      </c>
      <c r="L4382" s="27"/>
    </row>
    <row r="4383" customFormat="false" ht="15" hidden="false" customHeight="false" outlineLevel="0" collapsed="false">
      <c r="A4383" s="26" t="s">
        <v>13702</v>
      </c>
      <c r="B4383" s="27" t="s">
        <v>13703</v>
      </c>
      <c r="C4383" s="27" t="s">
        <v>1845</v>
      </c>
      <c r="D4383" s="26"/>
      <c r="E4383" s="27"/>
      <c r="F4383" s="27"/>
      <c r="G4383" s="27" t="s">
        <v>11122</v>
      </c>
      <c r="H4383" s="27" t="s">
        <v>35</v>
      </c>
      <c r="I4383" s="27" t="s">
        <v>40</v>
      </c>
      <c r="J4383" s="28" t="s">
        <v>161</v>
      </c>
      <c r="K4383" s="27" t="s">
        <v>40</v>
      </c>
      <c r="L4383" s="27"/>
    </row>
    <row r="4384" customFormat="false" ht="15" hidden="false" customHeight="false" outlineLevel="0" collapsed="false">
      <c r="A4384" s="26" t="s">
        <v>13704</v>
      </c>
      <c r="B4384" s="27" t="s">
        <v>13705</v>
      </c>
      <c r="C4384" s="27" t="s">
        <v>144</v>
      </c>
      <c r="D4384" s="26"/>
      <c r="E4384" s="27"/>
      <c r="F4384" s="27"/>
      <c r="G4384" s="27" t="s">
        <v>11122</v>
      </c>
      <c r="H4384" s="27" t="s">
        <v>35</v>
      </c>
      <c r="I4384" s="27" t="s">
        <v>40</v>
      </c>
      <c r="J4384" s="28" t="s">
        <v>161</v>
      </c>
      <c r="K4384" s="27" t="s">
        <v>40</v>
      </c>
      <c r="L4384" s="27"/>
    </row>
    <row r="4385" customFormat="false" ht="15" hidden="false" customHeight="false" outlineLevel="0" collapsed="false">
      <c r="A4385" s="26" t="s">
        <v>13706</v>
      </c>
      <c r="B4385" s="27" t="s">
        <v>13707</v>
      </c>
      <c r="C4385" s="27" t="s">
        <v>144</v>
      </c>
      <c r="D4385" s="26"/>
      <c r="E4385" s="27"/>
      <c r="F4385" s="27"/>
      <c r="G4385" s="27" t="s">
        <v>11122</v>
      </c>
      <c r="H4385" s="27" t="s">
        <v>35</v>
      </c>
      <c r="I4385" s="27" t="s">
        <v>40</v>
      </c>
      <c r="J4385" s="28" t="s">
        <v>161</v>
      </c>
      <c r="K4385" s="27" t="s">
        <v>40</v>
      </c>
      <c r="L4385" s="27"/>
    </row>
    <row r="4386" customFormat="false" ht="15" hidden="false" customHeight="false" outlineLevel="0" collapsed="false">
      <c r="A4386" s="26" t="s">
        <v>13708</v>
      </c>
      <c r="B4386" s="27" t="s">
        <v>13709</v>
      </c>
      <c r="C4386" s="27" t="s">
        <v>144</v>
      </c>
      <c r="D4386" s="26"/>
      <c r="E4386" s="27"/>
      <c r="F4386" s="27"/>
      <c r="G4386" s="27" t="s">
        <v>11122</v>
      </c>
      <c r="H4386" s="27" t="s">
        <v>35</v>
      </c>
      <c r="I4386" s="27" t="s">
        <v>4159</v>
      </c>
      <c r="J4386" s="28" t="s">
        <v>161</v>
      </c>
      <c r="K4386" s="27" t="s">
        <v>40</v>
      </c>
      <c r="L4386" s="27"/>
    </row>
    <row r="4387" customFormat="false" ht="15" hidden="false" customHeight="false" outlineLevel="0" collapsed="false">
      <c r="A4387" s="26" t="s">
        <v>13710</v>
      </c>
      <c r="B4387" s="27" t="s">
        <v>13711</v>
      </c>
      <c r="C4387" s="27" t="s">
        <v>144</v>
      </c>
      <c r="D4387" s="26"/>
      <c r="E4387" s="27"/>
      <c r="F4387" s="27"/>
      <c r="G4387" s="27" t="s">
        <v>11122</v>
      </c>
      <c r="H4387" s="27" t="s">
        <v>35</v>
      </c>
      <c r="I4387" s="27" t="s">
        <v>4159</v>
      </c>
      <c r="J4387" s="28" t="s">
        <v>161</v>
      </c>
      <c r="K4387" s="27" t="s">
        <v>40</v>
      </c>
      <c r="L4387" s="27"/>
    </row>
    <row r="4388" customFormat="false" ht="15" hidden="false" customHeight="false" outlineLevel="0" collapsed="false">
      <c r="A4388" s="26" t="s">
        <v>13712</v>
      </c>
      <c r="B4388" s="27" t="s">
        <v>13713</v>
      </c>
      <c r="C4388" s="27" t="s">
        <v>1845</v>
      </c>
      <c r="D4388" s="26"/>
      <c r="E4388" s="27"/>
      <c r="F4388" s="27"/>
      <c r="G4388" s="27" t="s">
        <v>11122</v>
      </c>
      <c r="H4388" s="27" t="s">
        <v>35</v>
      </c>
      <c r="I4388" s="27" t="s">
        <v>4159</v>
      </c>
      <c r="J4388" s="28" t="s">
        <v>161</v>
      </c>
      <c r="K4388" s="27" t="s">
        <v>40</v>
      </c>
      <c r="L4388" s="27"/>
    </row>
    <row r="4389" customFormat="false" ht="15" hidden="false" customHeight="false" outlineLevel="0" collapsed="false">
      <c r="A4389" s="26" t="s">
        <v>13714</v>
      </c>
      <c r="B4389" s="27" t="s">
        <v>13715</v>
      </c>
      <c r="C4389" s="27" t="s">
        <v>1845</v>
      </c>
      <c r="D4389" s="26"/>
      <c r="E4389" s="27"/>
      <c r="F4389" s="27"/>
      <c r="G4389" s="27" t="s">
        <v>11122</v>
      </c>
      <c r="H4389" s="27" t="s">
        <v>35</v>
      </c>
      <c r="I4389" s="27" t="s">
        <v>4159</v>
      </c>
      <c r="J4389" s="28" t="s">
        <v>161</v>
      </c>
      <c r="K4389" s="27" t="s">
        <v>40</v>
      </c>
      <c r="L4389" s="27"/>
    </row>
    <row r="4390" customFormat="false" ht="15" hidden="false" customHeight="false" outlineLevel="0" collapsed="false">
      <c r="A4390" s="26" t="s">
        <v>13716</v>
      </c>
      <c r="B4390" s="27" t="s">
        <v>13717</v>
      </c>
      <c r="C4390" s="27" t="s">
        <v>1845</v>
      </c>
      <c r="D4390" s="26"/>
      <c r="E4390" s="27"/>
      <c r="F4390" s="27"/>
      <c r="G4390" s="27" t="s">
        <v>11122</v>
      </c>
      <c r="H4390" s="27" t="s">
        <v>35</v>
      </c>
      <c r="I4390" s="27" t="s">
        <v>40</v>
      </c>
      <c r="J4390" s="28" t="s">
        <v>161</v>
      </c>
      <c r="K4390" s="27" t="s">
        <v>40</v>
      </c>
      <c r="L4390" s="27"/>
    </row>
    <row r="4391" customFormat="false" ht="15" hidden="false" customHeight="false" outlineLevel="0" collapsed="false">
      <c r="A4391" s="26" t="s">
        <v>13718</v>
      </c>
      <c r="B4391" s="27" t="s">
        <v>13719</v>
      </c>
      <c r="C4391" s="27" t="s">
        <v>1845</v>
      </c>
      <c r="D4391" s="26"/>
      <c r="E4391" s="27"/>
      <c r="F4391" s="27"/>
      <c r="G4391" s="27" t="s">
        <v>11122</v>
      </c>
      <c r="H4391" s="27" t="s">
        <v>35</v>
      </c>
      <c r="I4391" s="27" t="s">
        <v>40</v>
      </c>
      <c r="J4391" s="28" t="s">
        <v>161</v>
      </c>
      <c r="K4391" s="27" t="s">
        <v>40</v>
      </c>
      <c r="L4391" s="27"/>
    </row>
    <row r="4392" customFormat="false" ht="15" hidden="false" customHeight="false" outlineLevel="0" collapsed="false">
      <c r="A4392" s="26" t="s">
        <v>13720</v>
      </c>
      <c r="B4392" s="27" t="s">
        <v>13721</v>
      </c>
      <c r="C4392" s="27" t="s">
        <v>1845</v>
      </c>
      <c r="D4392" s="26"/>
      <c r="E4392" s="27"/>
      <c r="F4392" s="27"/>
      <c r="G4392" s="27" t="s">
        <v>11122</v>
      </c>
      <c r="H4392" s="27" t="s">
        <v>35</v>
      </c>
      <c r="I4392" s="27" t="s">
        <v>40</v>
      </c>
      <c r="J4392" s="28" t="s">
        <v>161</v>
      </c>
      <c r="K4392" s="27" t="s">
        <v>40</v>
      </c>
      <c r="L4392" s="27"/>
    </row>
    <row r="4393" customFormat="false" ht="15" hidden="false" customHeight="false" outlineLevel="0" collapsed="false">
      <c r="A4393" s="26" t="s">
        <v>13722</v>
      </c>
      <c r="B4393" s="27" t="s">
        <v>13723</v>
      </c>
      <c r="C4393" s="27" t="s">
        <v>1845</v>
      </c>
      <c r="D4393" s="26"/>
      <c r="E4393" s="27"/>
      <c r="F4393" s="27"/>
      <c r="G4393" s="27" t="s">
        <v>11122</v>
      </c>
      <c r="H4393" s="27" t="s">
        <v>35</v>
      </c>
      <c r="I4393" s="27" t="s">
        <v>39</v>
      </c>
      <c r="J4393" s="28" t="s">
        <v>161</v>
      </c>
      <c r="K4393" s="27" t="s">
        <v>40</v>
      </c>
      <c r="L4393" s="27"/>
    </row>
    <row r="4394" customFormat="false" ht="15" hidden="false" customHeight="false" outlineLevel="0" collapsed="false">
      <c r="A4394" s="26" t="s">
        <v>13724</v>
      </c>
      <c r="B4394" s="27" t="s">
        <v>13725</v>
      </c>
      <c r="C4394" s="27" t="s">
        <v>1845</v>
      </c>
      <c r="D4394" s="26"/>
      <c r="E4394" s="27"/>
      <c r="F4394" s="27"/>
      <c r="G4394" s="27" t="s">
        <v>11122</v>
      </c>
      <c r="H4394" s="27" t="s">
        <v>35</v>
      </c>
      <c r="I4394" s="27" t="s">
        <v>40</v>
      </c>
      <c r="J4394" s="28" t="s">
        <v>161</v>
      </c>
      <c r="K4394" s="27" t="s">
        <v>40</v>
      </c>
      <c r="L4394" s="27"/>
    </row>
    <row r="4395" customFormat="false" ht="15" hidden="false" customHeight="false" outlineLevel="0" collapsed="false">
      <c r="A4395" s="26" t="s">
        <v>13726</v>
      </c>
      <c r="B4395" s="27" t="s">
        <v>13727</v>
      </c>
      <c r="C4395" s="27" t="s">
        <v>1845</v>
      </c>
      <c r="D4395" s="26"/>
      <c r="E4395" s="27"/>
      <c r="F4395" s="27"/>
      <c r="G4395" s="27" t="s">
        <v>11122</v>
      </c>
      <c r="H4395" s="27" t="s">
        <v>35</v>
      </c>
      <c r="I4395" s="27" t="s">
        <v>40</v>
      </c>
      <c r="J4395" s="28" t="s">
        <v>161</v>
      </c>
      <c r="K4395" s="27" t="s">
        <v>40</v>
      </c>
      <c r="L4395" s="27"/>
    </row>
    <row r="4396" customFormat="false" ht="15" hidden="false" customHeight="false" outlineLevel="0" collapsed="false">
      <c r="A4396" s="26" t="s">
        <v>13728</v>
      </c>
      <c r="B4396" s="27" t="s">
        <v>13729</v>
      </c>
      <c r="C4396" s="27" t="s">
        <v>1845</v>
      </c>
      <c r="D4396" s="26"/>
      <c r="E4396" s="27"/>
      <c r="F4396" s="27"/>
      <c r="G4396" s="27" t="s">
        <v>11122</v>
      </c>
      <c r="H4396" s="27" t="s">
        <v>35</v>
      </c>
      <c r="I4396" s="27" t="s">
        <v>40</v>
      </c>
      <c r="J4396" s="28" t="s">
        <v>161</v>
      </c>
      <c r="K4396" s="27" t="s">
        <v>40</v>
      </c>
      <c r="L4396" s="27"/>
    </row>
    <row r="4397" customFormat="false" ht="15" hidden="false" customHeight="false" outlineLevel="0" collapsed="false">
      <c r="A4397" s="26" t="s">
        <v>13730</v>
      </c>
      <c r="B4397" s="27" t="s">
        <v>13731</v>
      </c>
      <c r="C4397" s="27" t="s">
        <v>1845</v>
      </c>
      <c r="D4397" s="26"/>
      <c r="E4397" s="27"/>
      <c r="F4397" s="27"/>
      <c r="G4397" s="27" t="s">
        <v>11122</v>
      </c>
      <c r="H4397" s="27" t="s">
        <v>35</v>
      </c>
      <c r="I4397" s="27" t="s">
        <v>40</v>
      </c>
      <c r="J4397" s="28" t="s">
        <v>161</v>
      </c>
      <c r="K4397" s="27" t="s">
        <v>40</v>
      </c>
      <c r="L4397" s="27"/>
    </row>
    <row r="4398" customFormat="false" ht="15" hidden="false" customHeight="false" outlineLevel="0" collapsed="false">
      <c r="A4398" s="26" t="s">
        <v>13732</v>
      </c>
      <c r="B4398" s="27" t="s">
        <v>13733</v>
      </c>
      <c r="C4398" s="27" t="s">
        <v>144</v>
      </c>
      <c r="D4398" s="26"/>
      <c r="E4398" s="27"/>
      <c r="F4398" s="27"/>
      <c r="G4398" s="27" t="s">
        <v>11122</v>
      </c>
      <c r="H4398" s="27" t="s">
        <v>35</v>
      </c>
      <c r="I4398" s="27" t="s">
        <v>49</v>
      </c>
      <c r="J4398" s="28" t="s">
        <v>161</v>
      </c>
      <c r="K4398" s="27" t="s">
        <v>40</v>
      </c>
      <c r="L4398" s="27"/>
    </row>
    <row r="4399" customFormat="false" ht="15" hidden="false" customHeight="false" outlineLevel="0" collapsed="false">
      <c r="A4399" s="26" t="s">
        <v>13734</v>
      </c>
      <c r="B4399" s="27" t="s">
        <v>13735</v>
      </c>
      <c r="C4399" s="27" t="s">
        <v>144</v>
      </c>
      <c r="D4399" s="26"/>
      <c r="E4399" s="27"/>
      <c r="F4399" s="27"/>
      <c r="G4399" s="27" t="s">
        <v>11122</v>
      </c>
      <c r="H4399" s="27" t="s">
        <v>35</v>
      </c>
      <c r="I4399" s="27" t="s">
        <v>40</v>
      </c>
      <c r="J4399" s="28" t="s">
        <v>161</v>
      </c>
      <c r="K4399" s="27" t="s">
        <v>40</v>
      </c>
      <c r="L4399" s="27"/>
    </row>
    <row r="4400" customFormat="false" ht="15" hidden="false" customHeight="false" outlineLevel="0" collapsed="false">
      <c r="A4400" s="26" t="s">
        <v>13736</v>
      </c>
      <c r="B4400" s="27" t="s">
        <v>13737</v>
      </c>
      <c r="C4400" s="27" t="s">
        <v>144</v>
      </c>
      <c r="D4400" s="26"/>
      <c r="E4400" s="27"/>
      <c r="F4400" s="27"/>
      <c r="G4400" s="27" t="s">
        <v>11122</v>
      </c>
      <c r="H4400" s="27" t="s">
        <v>35</v>
      </c>
      <c r="I4400" s="27" t="s">
        <v>40</v>
      </c>
      <c r="J4400" s="28" t="s">
        <v>161</v>
      </c>
      <c r="K4400" s="27" t="s">
        <v>40</v>
      </c>
      <c r="L4400" s="27"/>
    </row>
    <row r="4401" customFormat="false" ht="15" hidden="false" customHeight="false" outlineLevel="0" collapsed="false">
      <c r="A4401" s="26" t="s">
        <v>13738</v>
      </c>
      <c r="B4401" s="27" t="s">
        <v>13739</v>
      </c>
      <c r="C4401" s="27" t="s">
        <v>144</v>
      </c>
      <c r="D4401" s="26"/>
      <c r="E4401" s="27"/>
      <c r="F4401" s="27"/>
      <c r="G4401" s="27" t="s">
        <v>11122</v>
      </c>
      <c r="H4401" s="27" t="s">
        <v>35</v>
      </c>
      <c r="I4401" s="27" t="s">
        <v>40</v>
      </c>
      <c r="J4401" s="28" t="s">
        <v>161</v>
      </c>
      <c r="K4401" s="27" t="s">
        <v>40</v>
      </c>
      <c r="L4401" s="27"/>
    </row>
    <row r="4402" customFormat="false" ht="15" hidden="false" customHeight="false" outlineLevel="0" collapsed="false">
      <c r="A4402" s="26" t="s">
        <v>13740</v>
      </c>
      <c r="B4402" s="27" t="s">
        <v>13741</v>
      </c>
      <c r="C4402" s="27" t="s">
        <v>144</v>
      </c>
      <c r="D4402" s="26"/>
      <c r="E4402" s="27"/>
      <c r="F4402" s="27"/>
      <c r="G4402" s="27" t="s">
        <v>11122</v>
      </c>
      <c r="H4402" s="27" t="s">
        <v>35</v>
      </c>
      <c r="I4402" s="27" t="s">
        <v>40</v>
      </c>
      <c r="J4402" s="28" t="s">
        <v>161</v>
      </c>
      <c r="K4402" s="27" t="s">
        <v>40</v>
      </c>
      <c r="L4402" s="27"/>
    </row>
    <row r="4403" customFormat="false" ht="15" hidden="false" customHeight="false" outlineLevel="0" collapsed="false">
      <c r="A4403" s="26" t="s">
        <v>13742</v>
      </c>
      <c r="B4403" s="27" t="s">
        <v>13743</v>
      </c>
      <c r="C4403" s="27" t="s">
        <v>144</v>
      </c>
      <c r="D4403" s="26"/>
      <c r="E4403" s="27"/>
      <c r="F4403" s="27"/>
      <c r="G4403" s="27" t="s">
        <v>11122</v>
      </c>
      <c r="H4403" s="27" t="s">
        <v>35</v>
      </c>
      <c r="I4403" s="27" t="s">
        <v>40</v>
      </c>
      <c r="J4403" s="28" t="s">
        <v>161</v>
      </c>
      <c r="K4403" s="27" t="s">
        <v>40</v>
      </c>
      <c r="L4403" s="27"/>
    </row>
    <row r="4404" customFormat="false" ht="15" hidden="false" customHeight="false" outlineLevel="0" collapsed="false">
      <c r="A4404" s="26" t="s">
        <v>13744</v>
      </c>
      <c r="B4404" s="27" t="s">
        <v>13745</v>
      </c>
      <c r="C4404" s="27" t="s">
        <v>1845</v>
      </c>
      <c r="D4404" s="26"/>
      <c r="E4404" s="27"/>
      <c r="F4404" s="27"/>
      <c r="G4404" s="27" t="s">
        <v>11122</v>
      </c>
      <c r="H4404" s="27" t="s">
        <v>35</v>
      </c>
      <c r="I4404" s="27" t="s">
        <v>39</v>
      </c>
      <c r="J4404" s="28" t="s">
        <v>161</v>
      </c>
      <c r="K4404" s="27" t="s">
        <v>40</v>
      </c>
      <c r="L4404" s="27"/>
    </row>
    <row r="4405" customFormat="false" ht="15" hidden="false" customHeight="false" outlineLevel="0" collapsed="false">
      <c r="A4405" s="26" t="s">
        <v>13746</v>
      </c>
      <c r="B4405" s="27" t="s">
        <v>13747</v>
      </c>
      <c r="C4405" s="27" t="s">
        <v>144</v>
      </c>
      <c r="D4405" s="26"/>
      <c r="E4405" s="27"/>
      <c r="F4405" s="27"/>
      <c r="G4405" s="27" t="s">
        <v>11122</v>
      </c>
      <c r="H4405" s="27" t="s">
        <v>35</v>
      </c>
      <c r="I4405" s="27" t="s">
        <v>41</v>
      </c>
      <c r="J4405" s="28" t="s">
        <v>161</v>
      </c>
      <c r="K4405" s="27" t="s">
        <v>40</v>
      </c>
      <c r="L4405" s="27"/>
    </row>
    <row r="4406" customFormat="false" ht="15" hidden="false" customHeight="false" outlineLevel="0" collapsed="false">
      <c r="A4406" s="26" t="s">
        <v>13748</v>
      </c>
      <c r="B4406" s="27" t="s">
        <v>13749</v>
      </c>
      <c r="C4406" s="27" t="s">
        <v>144</v>
      </c>
      <c r="D4406" s="26"/>
      <c r="E4406" s="27"/>
      <c r="F4406" s="27"/>
      <c r="G4406" s="27" t="s">
        <v>11122</v>
      </c>
      <c r="H4406" s="27" t="s">
        <v>35</v>
      </c>
      <c r="I4406" s="27" t="s">
        <v>37</v>
      </c>
      <c r="J4406" s="28" t="s">
        <v>161</v>
      </c>
      <c r="K4406" s="27" t="s">
        <v>40</v>
      </c>
      <c r="L4406" s="27"/>
    </row>
    <row r="4407" customFormat="false" ht="15" hidden="false" customHeight="false" outlineLevel="0" collapsed="false">
      <c r="A4407" s="26" t="s">
        <v>13750</v>
      </c>
      <c r="B4407" s="27" t="s">
        <v>13751</v>
      </c>
      <c r="C4407" s="27" t="s">
        <v>144</v>
      </c>
      <c r="D4407" s="26"/>
      <c r="E4407" s="27"/>
      <c r="F4407" s="27"/>
      <c r="G4407" s="27" t="s">
        <v>11122</v>
      </c>
      <c r="H4407" s="27" t="s">
        <v>35</v>
      </c>
      <c r="I4407" s="27" t="s">
        <v>41</v>
      </c>
      <c r="J4407" s="28" t="s">
        <v>161</v>
      </c>
      <c r="K4407" s="27" t="s">
        <v>40</v>
      </c>
      <c r="L4407" s="27"/>
    </row>
    <row r="4408" customFormat="false" ht="15" hidden="false" customHeight="false" outlineLevel="0" collapsed="false">
      <c r="A4408" s="26" t="s">
        <v>13752</v>
      </c>
      <c r="B4408" s="27" t="s">
        <v>13753</v>
      </c>
      <c r="C4408" s="27" t="s">
        <v>144</v>
      </c>
      <c r="D4408" s="26"/>
      <c r="E4408" s="27"/>
      <c r="F4408" s="27"/>
      <c r="G4408" s="27" t="s">
        <v>11122</v>
      </c>
      <c r="H4408" s="27" t="s">
        <v>35</v>
      </c>
      <c r="I4408" s="27" t="s">
        <v>40</v>
      </c>
      <c r="J4408" s="28" t="s">
        <v>161</v>
      </c>
      <c r="K4408" s="27" t="s">
        <v>40</v>
      </c>
      <c r="L4408" s="27"/>
    </row>
    <row r="4409" customFormat="false" ht="15" hidden="false" customHeight="false" outlineLevel="0" collapsed="false">
      <c r="A4409" s="26" t="s">
        <v>13754</v>
      </c>
      <c r="B4409" s="27" t="s">
        <v>13755</v>
      </c>
      <c r="C4409" s="27" t="s">
        <v>144</v>
      </c>
      <c r="D4409" s="26"/>
      <c r="E4409" s="27"/>
      <c r="F4409" s="27"/>
      <c r="G4409" s="27" t="s">
        <v>11122</v>
      </c>
      <c r="H4409" s="27" t="s">
        <v>35</v>
      </c>
      <c r="I4409" s="27" t="s">
        <v>42</v>
      </c>
      <c r="J4409" s="28" t="s">
        <v>161</v>
      </c>
      <c r="K4409" s="27" t="s">
        <v>40</v>
      </c>
      <c r="L4409" s="27"/>
    </row>
    <row r="4410" customFormat="false" ht="15" hidden="false" customHeight="false" outlineLevel="0" collapsed="false">
      <c r="A4410" s="26" t="s">
        <v>13756</v>
      </c>
      <c r="B4410" s="27" t="s">
        <v>13757</v>
      </c>
      <c r="C4410" s="27" t="s">
        <v>144</v>
      </c>
      <c r="D4410" s="26"/>
      <c r="E4410" s="27"/>
      <c r="F4410" s="27"/>
      <c r="G4410" s="27" t="s">
        <v>11122</v>
      </c>
      <c r="H4410" s="27" t="s">
        <v>35</v>
      </c>
      <c r="I4410" s="27" t="s">
        <v>40</v>
      </c>
      <c r="J4410" s="28" t="s">
        <v>161</v>
      </c>
      <c r="K4410" s="27" t="s">
        <v>40</v>
      </c>
      <c r="L4410" s="27"/>
    </row>
    <row r="4411" customFormat="false" ht="15" hidden="false" customHeight="false" outlineLevel="0" collapsed="false">
      <c r="A4411" s="26" t="s">
        <v>13758</v>
      </c>
      <c r="B4411" s="27" t="s">
        <v>13759</v>
      </c>
      <c r="C4411" s="27" t="s">
        <v>144</v>
      </c>
      <c r="D4411" s="26"/>
      <c r="E4411" s="27"/>
      <c r="F4411" s="27"/>
      <c r="G4411" s="27" t="s">
        <v>11122</v>
      </c>
      <c r="H4411" s="27" t="s">
        <v>35</v>
      </c>
      <c r="I4411" s="27" t="s">
        <v>38</v>
      </c>
      <c r="J4411" s="28" t="s">
        <v>161</v>
      </c>
      <c r="K4411" s="27" t="s">
        <v>40</v>
      </c>
      <c r="L4411" s="27"/>
    </row>
    <row r="4412" customFormat="false" ht="15" hidden="false" customHeight="false" outlineLevel="0" collapsed="false">
      <c r="A4412" s="26" t="s">
        <v>13760</v>
      </c>
      <c r="B4412" s="27" t="s">
        <v>13761</v>
      </c>
      <c r="C4412" s="27" t="s">
        <v>144</v>
      </c>
      <c r="D4412" s="26"/>
      <c r="E4412" s="27"/>
      <c r="F4412" s="27"/>
      <c r="G4412" s="27" t="s">
        <v>11122</v>
      </c>
      <c r="H4412" s="27" t="s">
        <v>35</v>
      </c>
      <c r="I4412" s="27" t="s">
        <v>40</v>
      </c>
      <c r="J4412" s="28" t="s">
        <v>161</v>
      </c>
      <c r="K4412" s="27" t="s">
        <v>40</v>
      </c>
      <c r="L4412" s="27"/>
    </row>
    <row r="4413" customFormat="false" ht="15" hidden="false" customHeight="false" outlineLevel="0" collapsed="false">
      <c r="A4413" s="26" t="s">
        <v>13762</v>
      </c>
      <c r="B4413" s="27" t="s">
        <v>13763</v>
      </c>
      <c r="C4413" s="27" t="s">
        <v>144</v>
      </c>
      <c r="D4413" s="26"/>
      <c r="E4413" s="27"/>
      <c r="F4413" s="27"/>
      <c r="G4413" s="27" t="s">
        <v>11122</v>
      </c>
      <c r="H4413" s="27" t="s">
        <v>35</v>
      </c>
      <c r="I4413" s="27" t="s">
        <v>48</v>
      </c>
      <c r="J4413" s="28" t="s">
        <v>161</v>
      </c>
      <c r="K4413" s="27" t="s">
        <v>40</v>
      </c>
      <c r="L4413" s="27"/>
    </row>
    <row r="4414" customFormat="false" ht="15" hidden="false" customHeight="false" outlineLevel="0" collapsed="false">
      <c r="A4414" s="26" t="s">
        <v>13764</v>
      </c>
      <c r="B4414" s="27" t="s">
        <v>13765</v>
      </c>
      <c r="C4414" s="27" t="s">
        <v>144</v>
      </c>
      <c r="D4414" s="26"/>
      <c r="E4414" s="27"/>
      <c r="F4414" s="27"/>
      <c r="G4414" s="27" t="s">
        <v>11122</v>
      </c>
      <c r="H4414" s="27" t="s">
        <v>35</v>
      </c>
      <c r="I4414" s="28" t="s">
        <v>46</v>
      </c>
      <c r="J4414" s="28" t="s">
        <v>161</v>
      </c>
      <c r="K4414" s="27" t="s">
        <v>40</v>
      </c>
      <c r="L4414" s="27"/>
    </row>
    <row r="4415" customFormat="false" ht="15" hidden="false" customHeight="false" outlineLevel="0" collapsed="false">
      <c r="A4415" s="26" t="s">
        <v>13766</v>
      </c>
      <c r="B4415" s="27" t="s">
        <v>13767</v>
      </c>
      <c r="C4415" s="27" t="s">
        <v>144</v>
      </c>
      <c r="D4415" s="26"/>
      <c r="E4415" s="27"/>
      <c r="F4415" s="27"/>
      <c r="G4415" s="27" t="s">
        <v>11122</v>
      </c>
      <c r="H4415" s="27" t="s">
        <v>35</v>
      </c>
      <c r="I4415" s="27" t="s">
        <v>48</v>
      </c>
      <c r="J4415" s="28" t="s">
        <v>161</v>
      </c>
      <c r="K4415" s="27" t="s">
        <v>40</v>
      </c>
      <c r="L4415" s="27"/>
    </row>
    <row r="4416" customFormat="false" ht="15" hidden="false" customHeight="false" outlineLevel="0" collapsed="false">
      <c r="A4416" s="26" t="s">
        <v>13768</v>
      </c>
      <c r="B4416" s="27" t="s">
        <v>13769</v>
      </c>
      <c r="C4416" s="27" t="s">
        <v>144</v>
      </c>
      <c r="D4416" s="26"/>
      <c r="E4416" s="27"/>
      <c r="F4416" s="27"/>
      <c r="G4416" s="27" t="s">
        <v>11122</v>
      </c>
      <c r="H4416" s="27" t="s">
        <v>35</v>
      </c>
      <c r="I4416" s="27" t="s">
        <v>40</v>
      </c>
      <c r="J4416" s="28" t="s">
        <v>161</v>
      </c>
      <c r="K4416" s="27" t="s">
        <v>40</v>
      </c>
      <c r="L4416" s="27"/>
    </row>
    <row r="4417" customFormat="false" ht="15" hidden="false" customHeight="false" outlineLevel="0" collapsed="false">
      <c r="A4417" s="26" t="s">
        <v>13770</v>
      </c>
      <c r="B4417" s="27" t="s">
        <v>13771</v>
      </c>
      <c r="C4417" s="27" t="s">
        <v>144</v>
      </c>
      <c r="D4417" s="26"/>
      <c r="E4417" s="27"/>
      <c r="F4417" s="27"/>
      <c r="G4417" s="27" t="s">
        <v>11122</v>
      </c>
      <c r="H4417" s="27" t="s">
        <v>35</v>
      </c>
      <c r="I4417" s="27" t="s">
        <v>48</v>
      </c>
      <c r="J4417" s="28" t="s">
        <v>161</v>
      </c>
      <c r="K4417" s="27" t="s">
        <v>40</v>
      </c>
      <c r="L4417" s="27"/>
    </row>
    <row r="4418" customFormat="false" ht="15" hidden="false" customHeight="false" outlineLevel="0" collapsed="false">
      <c r="A4418" s="26" t="s">
        <v>13772</v>
      </c>
      <c r="B4418" s="27" t="s">
        <v>13773</v>
      </c>
      <c r="C4418" s="27" t="s">
        <v>144</v>
      </c>
      <c r="D4418" s="26"/>
      <c r="E4418" s="27"/>
      <c r="F4418" s="27"/>
      <c r="G4418" s="27" t="s">
        <v>11122</v>
      </c>
      <c r="H4418" s="27" t="s">
        <v>35</v>
      </c>
      <c r="I4418" s="27" t="s">
        <v>40</v>
      </c>
      <c r="J4418" s="28" t="s">
        <v>161</v>
      </c>
      <c r="K4418" s="27" t="s">
        <v>40</v>
      </c>
      <c r="L4418" s="27"/>
    </row>
    <row r="4419" customFormat="false" ht="15" hidden="false" customHeight="false" outlineLevel="0" collapsed="false">
      <c r="A4419" s="26" t="s">
        <v>13774</v>
      </c>
      <c r="B4419" s="27" t="s">
        <v>13775</v>
      </c>
      <c r="C4419" s="27" t="s">
        <v>144</v>
      </c>
      <c r="D4419" s="26"/>
      <c r="E4419" s="27"/>
      <c r="F4419" s="27"/>
      <c r="G4419" s="27" t="s">
        <v>11122</v>
      </c>
      <c r="H4419" s="27" t="s">
        <v>35</v>
      </c>
      <c r="I4419" s="27" t="s">
        <v>42</v>
      </c>
      <c r="J4419" s="28" t="s">
        <v>161</v>
      </c>
      <c r="K4419" s="27" t="s">
        <v>40</v>
      </c>
      <c r="L4419" s="27"/>
    </row>
    <row r="4420" customFormat="false" ht="15" hidden="false" customHeight="false" outlineLevel="0" collapsed="false">
      <c r="A4420" s="26" t="s">
        <v>13776</v>
      </c>
      <c r="B4420" s="27" t="s">
        <v>13777</v>
      </c>
      <c r="C4420" s="27" t="s">
        <v>370</v>
      </c>
      <c r="D4420" s="26"/>
      <c r="E4420" s="27"/>
      <c r="F4420" s="27"/>
      <c r="G4420" s="27" t="s">
        <v>11122</v>
      </c>
      <c r="H4420" s="27" t="s">
        <v>35</v>
      </c>
      <c r="I4420" s="27" t="s">
        <v>40</v>
      </c>
      <c r="J4420" s="28" t="s">
        <v>161</v>
      </c>
      <c r="K4420" s="27" t="s">
        <v>40</v>
      </c>
      <c r="L4420" s="27"/>
    </row>
    <row r="4421" customFormat="false" ht="15" hidden="false" customHeight="false" outlineLevel="0" collapsed="false">
      <c r="A4421" s="26" t="s">
        <v>13778</v>
      </c>
      <c r="B4421" s="27" t="s">
        <v>13779</v>
      </c>
      <c r="C4421" s="27" t="s">
        <v>370</v>
      </c>
      <c r="D4421" s="26"/>
      <c r="E4421" s="27"/>
      <c r="F4421" s="27"/>
      <c r="G4421" s="27" t="s">
        <v>11122</v>
      </c>
      <c r="H4421" s="27" t="s">
        <v>35</v>
      </c>
      <c r="I4421" s="28" t="s">
        <v>46</v>
      </c>
      <c r="J4421" s="28" t="s">
        <v>161</v>
      </c>
      <c r="K4421" s="27" t="s">
        <v>40</v>
      </c>
      <c r="L4421" s="27"/>
    </row>
    <row r="4422" customFormat="false" ht="15" hidden="false" customHeight="false" outlineLevel="0" collapsed="false">
      <c r="A4422" s="26" t="s">
        <v>13780</v>
      </c>
      <c r="B4422" s="27" t="s">
        <v>13781</v>
      </c>
      <c r="C4422" s="27" t="s">
        <v>370</v>
      </c>
      <c r="D4422" s="26"/>
      <c r="E4422" s="27"/>
      <c r="F4422" s="27"/>
      <c r="G4422" s="27" t="s">
        <v>11122</v>
      </c>
      <c r="H4422" s="27" t="s">
        <v>35</v>
      </c>
      <c r="I4422" s="27" t="s">
        <v>40</v>
      </c>
      <c r="J4422" s="28" t="s">
        <v>161</v>
      </c>
      <c r="K4422" s="27" t="s">
        <v>40</v>
      </c>
      <c r="L4422" s="27"/>
    </row>
    <row r="4423" customFormat="false" ht="15" hidden="false" customHeight="false" outlineLevel="0" collapsed="false">
      <c r="A4423" s="26" t="s">
        <v>13782</v>
      </c>
      <c r="B4423" s="27" t="s">
        <v>13783</v>
      </c>
      <c r="C4423" s="27" t="s">
        <v>370</v>
      </c>
      <c r="D4423" s="26"/>
      <c r="E4423" s="27"/>
      <c r="F4423" s="27"/>
      <c r="G4423" s="27" t="s">
        <v>11122</v>
      </c>
      <c r="H4423" s="27" t="s">
        <v>35</v>
      </c>
      <c r="I4423" s="27" t="s">
        <v>40</v>
      </c>
      <c r="J4423" s="28" t="s">
        <v>161</v>
      </c>
      <c r="K4423" s="27" t="s">
        <v>40</v>
      </c>
      <c r="L4423" s="27"/>
    </row>
    <row r="4424" customFormat="false" ht="15" hidden="false" customHeight="false" outlineLevel="0" collapsed="false">
      <c r="A4424" s="26" t="s">
        <v>13784</v>
      </c>
      <c r="B4424" s="27" t="s">
        <v>13785</v>
      </c>
      <c r="C4424" s="27" t="s">
        <v>144</v>
      </c>
      <c r="D4424" s="26"/>
      <c r="E4424" s="27"/>
      <c r="F4424" s="27"/>
      <c r="G4424" s="27" t="s">
        <v>11122</v>
      </c>
      <c r="H4424" s="27" t="s">
        <v>35</v>
      </c>
      <c r="I4424" s="27" t="s">
        <v>40</v>
      </c>
      <c r="J4424" s="28" t="s">
        <v>161</v>
      </c>
      <c r="K4424" s="27" t="s">
        <v>40</v>
      </c>
      <c r="L4424" s="27"/>
    </row>
    <row r="4425" customFormat="false" ht="15" hidden="false" customHeight="false" outlineLevel="0" collapsed="false">
      <c r="A4425" s="26" t="s">
        <v>13786</v>
      </c>
      <c r="B4425" s="27" t="s">
        <v>13787</v>
      </c>
      <c r="C4425" s="27" t="s">
        <v>144</v>
      </c>
      <c r="D4425" s="26"/>
      <c r="E4425" s="27"/>
      <c r="F4425" s="27"/>
      <c r="G4425" s="27" t="s">
        <v>11122</v>
      </c>
      <c r="H4425" s="27" t="s">
        <v>35</v>
      </c>
      <c r="I4425" s="27" t="s">
        <v>40</v>
      </c>
      <c r="J4425" s="28" t="s">
        <v>161</v>
      </c>
      <c r="K4425" s="27" t="s">
        <v>40</v>
      </c>
      <c r="L4425" s="27"/>
    </row>
    <row r="4426" customFormat="false" ht="15" hidden="false" customHeight="false" outlineLevel="0" collapsed="false">
      <c r="A4426" s="26" t="s">
        <v>13788</v>
      </c>
      <c r="B4426" s="27" t="s">
        <v>13789</v>
      </c>
      <c r="C4426" s="27" t="s">
        <v>144</v>
      </c>
      <c r="D4426" s="26"/>
      <c r="E4426" s="27"/>
      <c r="F4426" s="27"/>
      <c r="G4426" s="27" t="s">
        <v>11122</v>
      </c>
      <c r="H4426" s="27" t="s">
        <v>35</v>
      </c>
      <c r="I4426" s="27" t="s">
        <v>40</v>
      </c>
      <c r="J4426" s="28" t="s">
        <v>161</v>
      </c>
      <c r="K4426" s="27" t="s">
        <v>40</v>
      </c>
      <c r="L4426" s="27"/>
    </row>
    <row r="4427" customFormat="false" ht="15" hidden="false" customHeight="false" outlineLevel="0" collapsed="false">
      <c r="A4427" s="26" t="s">
        <v>13790</v>
      </c>
      <c r="B4427" s="27" t="s">
        <v>13791</v>
      </c>
      <c r="C4427" s="27" t="s">
        <v>144</v>
      </c>
      <c r="D4427" s="26"/>
      <c r="E4427" s="27"/>
      <c r="F4427" s="27"/>
      <c r="G4427" s="27" t="s">
        <v>11122</v>
      </c>
      <c r="H4427" s="27" t="s">
        <v>35</v>
      </c>
      <c r="I4427" s="27" t="s">
        <v>40</v>
      </c>
      <c r="J4427" s="28" t="s">
        <v>161</v>
      </c>
      <c r="K4427" s="27" t="s">
        <v>40</v>
      </c>
      <c r="L4427" s="27"/>
    </row>
    <row r="4428" customFormat="false" ht="15" hidden="false" customHeight="false" outlineLevel="0" collapsed="false">
      <c r="A4428" s="26" t="s">
        <v>13792</v>
      </c>
      <c r="B4428" s="27" t="s">
        <v>13793</v>
      </c>
      <c r="C4428" s="27" t="s">
        <v>144</v>
      </c>
      <c r="D4428" s="26"/>
      <c r="E4428" s="27"/>
      <c r="F4428" s="27"/>
      <c r="G4428" s="27" t="s">
        <v>11122</v>
      </c>
      <c r="H4428" s="27" t="s">
        <v>35</v>
      </c>
      <c r="I4428" s="27" t="s">
        <v>37</v>
      </c>
      <c r="J4428" s="28" t="s">
        <v>161</v>
      </c>
      <c r="K4428" s="27" t="s">
        <v>40</v>
      </c>
      <c r="L4428" s="27"/>
    </row>
    <row r="4429" customFormat="false" ht="15" hidden="false" customHeight="false" outlineLevel="0" collapsed="false">
      <c r="A4429" s="26" t="s">
        <v>13794</v>
      </c>
      <c r="B4429" s="27" t="s">
        <v>13795</v>
      </c>
      <c r="C4429" s="27" t="s">
        <v>144</v>
      </c>
      <c r="D4429" s="26"/>
      <c r="E4429" s="27"/>
      <c r="F4429" s="27"/>
      <c r="G4429" s="27" t="s">
        <v>11122</v>
      </c>
      <c r="H4429" s="27" t="s">
        <v>35</v>
      </c>
      <c r="I4429" s="27" t="s">
        <v>40</v>
      </c>
      <c r="J4429" s="28" t="s">
        <v>161</v>
      </c>
      <c r="K4429" s="27" t="s">
        <v>40</v>
      </c>
      <c r="L4429" s="27"/>
    </row>
    <row r="4430" customFormat="false" ht="15" hidden="false" customHeight="false" outlineLevel="0" collapsed="false">
      <c r="A4430" s="26" t="s">
        <v>13796</v>
      </c>
      <c r="B4430" s="27" t="s">
        <v>13797</v>
      </c>
      <c r="C4430" s="27" t="s">
        <v>144</v>
      </c>
      <c r="D4430" s="26"/>
      <c r="E4430" s="27"/>
      <c r="F4430" s="27"/>
      <c r="G4430" s="27" t="s">
        <v>11122</v>
      </c>
      <c r="H4430" s="27" t="s">
        <v>35</v>
      </c>
      <c r="I4430" s="27" t="s">
        <v>40</v>
      </c>
      <c r="J4430" s="28" t="s">
        <v>161</v>
      </c>
      <c r="K4430" s="27" t="s">
        <v>40</v>
      </c>
      <c r="L4430" s="27"/>
    </row>
    <row r="4431" customFormat="false" ht="15" hidden="false" customHeight="false" outlineLevel="0" collapsed="false">
      <c r="A4431" s="26" t="s">
        <v>13798</v>
      </c>
      <c r="B4431" s="27" t="s">
        <v>13799</v>
      </c>
      <c r="C4431" s="27" t="s">
        <v>144</v>
      </c>
      <c r="D4431" s="26"/>
      <c r="E4431" s="27"/>
      <c r="F4431" s="27"/>
      <c r="G4431" s="27" t="s">
        <v>11122</v>
      </c>
      <c r="H4431" s="27" t="s">
        <v>35</v>
      </c>
      <c r="I4431" s="27" t="s">
        <v>40</v>
      </c>
      <c r="J4431" s="28" t="s">
        <v>161</v>
      </c>
      <c r="K4431" s="27" t="s">
        <v>40</v>
      </c>
      <c r="L4431" s="27"/>
    </row>
    <row r="4432" customFormat="false" ht="15" hidden="false" customHeight="false" outlineLevel="0" collapsed="false">
      <c r="A4432" s="26" t="s">
        <v>13800</v>
      </c>
      <c r="B4432" s="27" t="s">
        <v>13801</v>
      </c>
      <c r="C4432" s="27" t="s">
        <v>144</v>
      </c>
      <c r="D4432" s="26"/>
      <c r="E4432" s="27"/>
      <c r="F4432" s="27"/>
      <c r="G4432" s="27" t="s">
        <v>11122</v>
      </c>
      <c r="H4432" s="27" t="s">
        <v>35</v>
      </c>
      <c r="I4432" s="27" t="s">
        <v>41</v>
      </c>
      <c r="J4432" s="28" t="s">
        <v>161</v>
      </c>
      <c r="K4432" s="27" t="s">
        <v>40</v>
      </c>
      <c r="L4432" s="27"/>
    </row>
    <row r="4433" customFormat="false" ht="15" hidden="false" customHeight="false" outlineLevel="0" collapsed="false">
      <c r="A4433" s="26" t="s">
        <v>13802</v>
      </c>
      <c r="B4433" s="27" t="s">
        <v>13803</v>
      </c>
      <c r="C4433" s="27" t="s">
        <v>144</v>
      </c>
      <c r="D4433" s="26"/>
      <c r="E4433" s="27"/>
      <c r="F4433" s="27"/>
      <c r="G4433" s="27" t="s">
        <v>11122</v>
      </c>
      <c r="H4433" s="27" t="s">
        <v>35</v>
      </c>
      <c r="I4433" s="27" t="s">
        <v>40</v>
      </c>
      <c r="J4433" s="28" t="s">
        <v>161</v>
      </c>
      <c r="K4433" s="27" t="s">
        <v>40</v>
      </c>
      <c r="L4433" s="27"/>
    </row>
    <row r="4434" customFormat="false" ht="15" hidden="false" customHeight="false" outlineLevel="0" collapsed="false">
      <c r="A4434" s="26" t="s">
        <v>13804</v>
      </c>
      <c r="B4434" s="27" t="s">
        <v>13805</v>
      </c>
      <c r="C4434" s="27" t="s">
        <v>144</v>
      </c>
      <c r="D4434" s="26"/>
      <c r="E4434" s="27"/>
      <c r="F4434" s="27"/>
      <c r="G4434" s="27" t="s">
        <v>11122</v>
      </c>
      <c r="H4434" s="27" t="s">
        <v>35</v>
      </c>
      <c r="I4434" s="27" t="s">
        <v>40</v>
      </c>
      <c r="J4434" s="28" t="s">
        <v>161</v>
      </c>
      <c r="K4434" s="27" t="s">
        <v>40</v>
      </c>
      <c r="L4434" s="27"/>
    </row>
    <row r="4435" customFormat="false" ht="15" hidden="false" customHeight="false" outlineLevel="0" collapsed="false">
      <c r="A4435" s="26" t="s">
        <v>13806</v>
      </c>
      <c r="B4435" s="27" t="s">
        <v>13807</v>
      </c>
      <c r="C4435" s="27" t="s">
        <v>144</v>
      </c>
      <c r="D4435" s="26"/>
      <c r="E4435" s="27"/>
      <c r="F4435" s="27"/>
      <c r="G4435" s="27" t="s">
        <v>11122</v>
      </c>
      <c r="H4435" s="27" t="s">
        <v>35</v>
      </c>
      <c r="I4435" s="27" t="s">
        <v>40</v>
      </c>
      <c r="J4435" s="28" t="s">
        <v>161</v>
      </c>
      <c r="K4435" s="27" t="s">
        <v>40</v>
      </c>
      <c r="L4435" s="27"/>
    </row>
    <row r="4436" customFormat="false" ht="15" hidden="false" customHeight="false" outlineLevel="0" collapsed="false">
      <c r="A4436" s="26" t="s">
        <v>13808</v>
      </c>
      <c r="B4436" s="27" t="s">
        <v>13809</v>
      </c>
      <c r="C4436" s="27" t="s">
        <v>144</v>
      </c>
      <c r="D4436" s="26"/>
      <c r="E4436" s="27"/>
      <c r="F4436" s="27"/>
      <c r="G4436" s="27" t="s">
        <v>11122</v>
      </c>
      <c r="H4436" s="27" t="s">
        <v>35</v>
      </c>
      <c r="I4436" s="27" t="s">
        <v>40</v>
      </c>
      <c r="J4436" s="28" t="s">
        <v>161</v>
      </c>
      <c r="K4436" s="27" t="s">
        <v>40</v>
      </c>
      <c r="L4436" s="27"/>
    </row>
    <row r="4437" customFormat="false" ht="15" hidden="false" customHeight="false" outlineLevel="0" collapsed="false">
      <c r="A4437" s="26" t="s">
        <v>13810</v>
      </c>
      <c r="B4437" s="27" t="s">
        <v>13811</v>
      </c>
      <c r="C4437" s="27" t="s">
        <v>144</v>
      </c>
      <c r="D4437" s="26"/>
      <c r="E4437" s="27"/>
      <c r="F4437" s="27"/>
      <c r="G4437" s="27" t="s">
        <v>11122</v>
      </c>
      <c r="H4437" s="27" t="s">
        <v>35</v>
      </c>
      <c r="I4437" s="27" t="s">
        <v>40</v>
      </c>
      <c r="J4437" s="28" t="s">
        <v>161</v>
      </c>
      <c r="K4437" s="27" t="s">
        <v>40</v>
      </c>
      <c r="L4437" s="27"/>
    </row>
    <row r="4438" customFormat="false" ht="15" hidden="false" customHeight="false" outlineLevel="0" collapsed="false">
      <c r="A4438" s="26" t="s">
        <v>13812</v>
      </c>
      <c r="B4438" s="27" t="s">
        <v>13813</v>
      </c>
      <c r="C4438" s="27" t="s">
        <v>144</v>
      </c>
      <c r="D4438" s="26"/>
      <c r="E4438" s="27"/>
      <c r="F4438" s="27"/>
      <c r="G4438" s="27" t="s">
        <v>11122</v>
      </c>
      <c r="H4438" s="27" t="s">
        <v>35</v>
      </c>
      <c r="I4438" s="27" t="s">
        <v>40</v>
      </c>
      <c r="J4438" s="28" t="s">
        <v>161</v>
      </c>
      <c r="K4438" s="27" t="s">
        <v>40</v>
      </c>
      <c r="L4438" s="27"/>
    </row>
    <row r="4439" customFormat="false" ht="15" hidden="false" customHeight="false" outlineLevel="0" collapsed="false">
      <c r="A4439" s="26" t="s">
        <v>13814</v>
      </c>
      <c r="B4439" s="27" t="s">
        <v>13815</v>
      </c>
      <c r="C4439" s="27" t="s">
        <v>144</v>
      </c>
      <c r="D4439" s="26"/>
      <c r="E4439" s="27"/>
      <c r="F4439" s="27"/>
      <c r="G4439" s="27" t="s">
        <v>11122</v>
      </c>
      <c r="H4439" s="27" t="s">
        <v>35</v>
      </c>
      <c r="I4439" s="27" t="s">
        <v>40</v>
      </c>
      <c r="J4439" s="28" t="s">
        <v>161</v>
      </c>
      <c r="K4439" s="27" t="s">
        <v>40</v>
      </c>
      <c r="L4439" s="27"/>
    </row>
    <row r="4440" customFormat="false" ht="15" hidden="false" customHeight="false" outlineLevel="0" collapsed="false">
      <c r="A4440" s="26" t="s">
        <v>13816</v>
      </c>
      <c r="B4440" s="27" t="s">
        <v>13817</v>
      </c>
      <c r="C4440" s="27" t="s">
        <v>144</v>
      </c>
      <c r="D4440" s="26"/>
      <c r="E4440" s="27"/>
      <c r="F4440" s="27"/>
      <c r="G4440" s="27" t="s">
        <v>11122</v>
      </c>
      <c r="H4440" s="27" t="s">
        <v>35</v>
      </c>
      <c r="I4440" s="27" t="s">
        <v>40</v>
      </c>
      <c r="J4440" s="28" t="s">
        <v>161</v>
      </c>
      <c r="K4440" s="27" t="s">
        <v>40</v>
      </c>
      <c r="L4440" s="27"/>
    </row>
    <row r="4441" customFormat="false" ht="15" hidden="false" customHeight="false" outlineLevel="0" collapsed="false">
      <c r="A4441" s="26" t="s">
        <v>13818</v>
      </c>
      <c r="B4441" s="27" t="s">
        <v>13819</v>
      </c>
      <c r="C4441" s="27" t="s">
        <v>144</v>
      </c>
      <c r="D4441" s="26"/>
      <c r="E4441" s="27"/>
      <c r="F4441" s="27"/>
      <c r="G4441" s="27" t="s">
        <v>11122</v>
      </c>
      <c r="H4441" s="27" t="s">
        <v>35</v>
      </c>
      <c r="I4441" s="27" t="s">
        <v>40</v>
      </c>
      <c r="J4441" s="28" t="s">
        <v>161</v>
      </c>
      <c r="K4441" s="27" t="s">
        <v>40</v>
      </c>
      <c r="L4441" s="27"/>
    </row>
    <row r="4442" customFormat="false" ht="15" hidden="false" customHeight="false" outlineLevel="0" collapsed="false">
      <c r="A4442" s="26" t="s">
        <v>13820</v>
      </c>
      <c r="B4442" s="27" t="s">
        <v>13821</v>
      </c>
      <c r="C4442" s="27" t="s">
        <v>144</v>
      </c>
      <c r="D4442" s="26"/>
      <c r="E4442" s="27"/>
      <c r="F4442" s="27"/>
      <c r="G4442" s="27" t="s">
        <v>11122</v>
      </c>
      <c r="H4442" s="27" t="s">
        <v>35</v>
      </c>
      <c r="I4442" s="27" t="s">
        <v>40</v>
      </c>
      <c r="J4442" s="28" t="s">
        <v>161</v>
      </c>
      <c r="K4442" s="27" t="s">
        <v>40</v>
      </c>
      <c r="L4442" s="27"/>
    </row>
    <row r="4443" customFormat="false" ht="15" hidden="false" customHeight="false" outlineLevel="0" collapsed="false">
      <c r="A4443" s="26" t="s">
        <v>13822</v>
      </c>
      <c r="B4443" s="27" t="s">
        <v>13823</v>
      </c>
      <c r="C4443" s="27" t="s">
        <v>144</v>
      </c>
      <c r="D4443" s="26"/>
      <c r="E4443" s="27"/>
      <c r="F4443" s="27"/>
      <c r="G4443" s="27" t="s">
        <v>11122</v>
      </c>
      <c r="H4443" s="27" t="s">
        <v>35</v>
      </c>
      <c r="I4443" s="27" t="s">
        <v>40</v>
      </c>
      <c r="J4443" s="28" t="s">
        <v>161</v>
      </c>
      <c r="K4443" s="27" t="s">
        <v>40</v>
      </c>
      <c r="L4443" s="27"/>
    </row>
    <row r="4444" customFormat="false" ht="15" hidden="false" customHeight="false" outlineLevel="0" collapsed="false">
      <c r="A4444" s="26" t="s">
        <v>13824</v>
      </c>
      <c r="B4444" s="27" t="s">
        <v>13825</v>
      </c>
      <c r="C4444" s="27" t="s">
        <v>144</v>
      </c>
      <c r="D4444" s="26"/>
      <c r="E4444" s="27"/>
      <c r="F4444" s="27"/>
      <c r="G4444" s="27" t="s">
        <v>11122</v>
      </c>
      <c r="H4444" s="27" t="s">
        <v>35</v>
      </c>
      <c r="I4444" s="27" t="s">
        <v>48</v>
      </c>
      <c r="J4444" s="28" t="s">
        <v>161</v>
      </c>
      <c r="K4444" s="27" t="s">
        <v>40</v>
      </c>
      <c r="L4444" s="27"/>
    </row>
    <row r="4445" customFormat="false" ht="15" hidden="false" customHeight="false" outlineLevel="0" collapsed="false">
      <c r="A4445" s="26" t="s">
        <v>13826</v>
      </c>
      <c r="B4445" s="27" t="s">
        <v>13827</v>
      </c>
      <c r="C4445" s="27" t="s">
        <v>144</v>
      </c>
      <c r="D4445" s="26"/>
      <c r="E4445" s="27"/>
      <c r="F4445" s="27"/>
      <c r="G4445" s="27" t="s">
        <v>11122</v>
      </c>
      <c r="H4445" s="27" t="s">
        <v>35</v>
      </c>
      <c r="I4445" s="27" t="s">
        <v>40</v>
      </c>
      <c r="J4445" s="28" t="s">
        <v>161</v>
      </c>
      <c r="K4445" s="27" t="s">
        <v>40</v>
      </c>
      <c r="L4445" s="27"/>
    </row>
    <row r="4446" customFormat="false" ht="15" hidden="false" customHeight="false" outlineLevel="0" collapsed="false">
      <c r="A4446" s="26" t="s">
        <v>13828</v>
      </c>
      <c r="B4446" s="27" t="s">
        <v>13829</v>
      </c>
      <c r="C4446" s="27" t="s">
        <v>144</v>
      </c>
      <c r="D4446" s="26"/>
      <c r="E4446" s="27"/>
      <c r="F4446" s="27"/>
      <c r="G4446" s="27" t="s">
        <v>11122</v>
      </c>
      <c r="H4446" s="27" t="s">
        <v>35</v>
      </c>
      <c r="I4446" s="27" t="s">
        <v>40</v>
      </c>
      <c r="J4446" s="28" t="s">
        <v>161</v>
      </c>
      <c r="K4446" s="27" t="s">
        <v>40</v>
      </c>
      <c r="L4446" s="27"/>
    </row>
    <row r="4447" customFormat="false" ht="15" hidden="false" customHeight="false" outlineLevel="0" collapsed="false">
      <c r="A4447" s="26" t="s">
        <v>13830</v>
      </c>
      <c r="B4447" s="27" t="s">
        <v>13831</v>
      </c>
      <c r="C4447" s="27" t="s">
        <v>144</v>
      </c>
      <c r="D4447" s="26"/>
      <c r="E4447" s="27"/>
      <c r="F4447" s="27"/>
      <c r="G4447" s="27" t="s">
        <v>11122</v>
      </c>
      <c r="H4447" s="27" t="s">
        <v>35</v>
      </c>
      <c r="I4447" s="27" t="s">
        <v>40</v>
      </c>
      <c r="J4447" s="28" t="s">
        <v>161</v>
      </c>
      <c r="K4447" s="27" t="s">
        <v>40</v>
      </c>
      <c r="L4447" s="27"/>
    </row>
    <row r="4448" customFormat="false" ht="15" hidden="false" customHeight="false" outlineLevel="0" collapsed="false">
      <c r="A4448" s="26" t="s">
        <v>13832</v>
      </c>
      <c r="B4448" s="27" t="s">
        <v>13833</v>
      </c>
      <c r="C4448" s="27" t="s">
        <v>144</v>
      </c>
      <c r="D4448" s="26"/>
      <c r="E4448" s="27"/>
      <c r="F4448" s="27"/>
      <c r="G4448" s="27" t="s">
        <v>11122</v>
      </c>
      <c r="H4448" s="27" t="s">
        <v>35</v>
      </c>
      <c r="I4448" s="27" t="s">
        <v>40</v>
      </c>
      <c r="J4448" s="28" t="s">
        <v>161</v>
      </c>
      <c r="K4448" s="27" t="s">
        <v>40</v>
      </c>
      <c r="L4448" s="27"/>
    </row>
    <row r="4449" customFormat="false" ht="15" hidden="false" customHeight="false" outlineLevel="0" collapsed="false">
      <c r="A4449" s="26" t="s">
        <v>13834</v>
      </c>
      <c r="B4449" s="27" t="s">
        <v>13835</v>
      </c>
      <c r="C4449" s="27" t="s">
        <v>144</v>
      </c>
      <c r="D4449" s="26"/>
      <c r="E4449" s="27"/>
      <c r="F4449" s="27"/>
      <c r="G4449" s="27" t="s">
        <v>11122</v>
      </c>
      <c r="H4449" s="27" t="s">
        <v>35</v>
      </c>
      <c r="I4449" s="27" t="s">
        <v>48</v>
      </c>
      <c r="J4449" s="28" t="s">
        <v>161</v>
      </c>
      <c r="K4449" s="27" t="s">
        <v>40</v>
      </c>
      <c r="L4449" s="27"/>
    </row>
    <row r="4450" customFormat="false" ht="15" hidden="false" customHeight="false" outlineLevel="0" collapsed="false">
      <c r="A4450" s="26" t="s">
        <v>13836</v>
      </c>
      <c r="B4450" s="27" t="s">
        <v>13837</v>
      </c>
      <c r="C4450" s="27" t="s">
        <v>144</v>
      </c>
      <c r="D4450" s="26"/>
      <c r="E4450" s="27"/>
      <c r="F4450" s="27"/>
      <c r="G4450" s="27" t="s">
        <v>11122</v>
      </c>
      <c r="H4450" s="27" t="s">
        <v>35</v>
      </c>
      <c r="I4450" s="27" t="s">
        <v>40</v>
      </c>
      <c r="J4450" s="28" t="s">
        <v>161</v>
      </c>
      <c r="K4450" s="27" t="s">
        <v>40</v>
      </c>
      <c r="L4450" s="27"/>
    </row>
    <row r="4451" customFormat="false" ht="15" hidden="false" customHeight="false" outlineLevel="0" collapsed="false">
      <c r="A4451" s="26" t="s">
        <v>13838</v>
      </c>
      <c r="B4451" s="27" t="s">
        <v>13839</v>
      </c>
      <c r="C4451" s="27" t="s">
        <v>144</v>
      </c>
      <c r="D4451" s="26"/>
      <c r="E4451" s="27"/>
      <c r="F4451" s="27"/>
      <c r="G4451" s="27" t="s">
        <v>11122</v>
      </c>
      <c r="H4451" s="27" t="s">
        <v>35</v>
      </c>
      <c r="I4451" s="27" t="s">
        <v>40</v>
      </c>
      <c r="J4451" s="28" t="s">
        <v>161</v>
      </c>
      <c r="K4451" s="27" t="s">
        <v>40</v>
      </c>
      <c r="L4451" s="27"/>
    </row>
    <row r="4452" customFormat="false" ht="15" hidden="false" customHeight="false" outlineLevel="0" collapsed="false">
      <c r="A4452" s="26" t="s">
        <v>13840</v>
      </c>
      <c r="B4452" s="27" t="s">
        <v>13841</v>
      </c>
      <c r="C4452" s="27" t="s">
        <v>144</v>
      </c>
      <c r="D4452" s="26"/>
      <c r="E4452" s="27"/>
      <c r="F4452" s="27"/>
      <c r="G4452" s="27" t="s">
        <v>11122</v>
      </c>
      <c r="H4452" s="27" t="s">
        <v>35</v>
      </c>
      <c r="I4452" s="28" t="s">
        <v>46</v>
      </c>
      <c r="J4452" s="28" t="s">
        <v>161</v>
      </c>
      <c r="K4452" s="27" t="s">
        <v>40</v>
      </c>
      <c r="L4452" s="27"/>
    </row>
    <row r="4453" customFormat="false" ht="15" hidden="false" customHeight="false" outlineLevel="0" collapsed="false">
      <c r="A4453" s="26" t="s">
        <v>13842</v>
      </c>
      <c r="B4453" s="27" t="s">
        <v>13843</v>
      </c>
      <c r="C4453" s="27" t="s">
        <v>144</v>
      </c>
      <c r="D4453" s="26"/>
      <c r="E4453" s="27"/>
      <c r="F4453" s="27"/>
      <c r="G4453" s="27" t="s">
        <v>11122</v>
      </c>
      <c r="H4453" s="27" t="s">
        <v>35</v>
      </c>
      <c r="I4453" s="27" t="s">
        <v>48</v>
      </c>
      <c r="J4453" s="28" t="s">
        <v>161</v>
      </c>
      <c r="K4453" s="27" t="s">
        <v>40</v>
      </c>
      <c r="L4453" s="27"/>
    </row>
    <row r="4454" customFormat="false" ht="15" hidden="false" customHeight="false" outlineLevel="0" collapsed="false">
      <c r="A4454" s="26" t="s">
        <v>13844</v>
      </c>
      <c r="B4454" s="27" t="s">
        <v>13845</v>
      </c>
      <c r="C4454" s="27" t="s">
        <v>144</v>
      </c>
      <c r="D4454" s="26"/>
      <c r="E4454" s="27"/>
      <c r="F4454" s="27"/>
      <c r="G4454" s="27" t="s">
        <v>11122</v>
      </c>
      <c r="H4454" s="27" t="s">
        <v>35</v>
      </c>
      <c r="I4454" s="27" t="s">
        <v>40</v>
      </c>
      <c r="J4454" s="28" t="s">
        <v>161</v>
      </c>
      <c r="K4454" s="27" t="s">
        <v>40</v>
      </c>
      <c r="L4454" s="27"/>
    </row>
    <row r="4455" customFormat="false" ht="15" hidden="false" customHeight="false" outlineLevel="0" collapsed="false">
      <c r="A4455" s="26" t="s">
        <v>13846</v>
      </c>
      <c r="B4455" s="27" t="s">
        <v>13847</v>
      </c>
      <c r="C4455" s="27" t="s">
        <v>144</v>
      </c>
      <c r="D4455" s="26"/>
      <c r="E4455" s="27"/>
      <c r="F4455" s="27"/>
      <c r="G4455" s="27" t="s">
        <v>11122</v>
      </c>
      <c r="H4455" s="27" t="s">
        <v>35</v>
      </c>
      <c r="I4455" s="28" t="s">
        <v>46</v>
      </c>
      <c r="J4455" s="28" t="s">
        <v>161</v>
      </c>
      <c r="K4455" s="27" t="s">
        <v>40</v>
      </c>
      <c r="L4455" s="27"/>
    </row>
    <row r="4456" customFormat="false" ht="15" hidden="false" customHeight="false" outlineLevel="0" collapsed="false">
      <c r="A4456" s="26" t="s">
        <v>13848</v>
      </c>
      <c r="B4456" s="27" t="s">
        <v>13849</v>
      </c>
      <c r="C4456" s="27" t="s">
        <v>144</v>
      </c>
      <c r="D4456" s="26"/>
      <c r="E4456" s="27"/>
      <c r="F4456" s="27"/>
      <c r="G4456" s="27" t="s">
        <v>11122</v>
      </c>
      <c r="H4456" s="27" t="s">
        <v>35</v>
      </c>
      <c r="I4456" s="28" t="s">
        <v>46</v>
      </c>
      <c r="J4456" s="28" t="s">
        <v>161</v>
      </c>
      <c r="K4456" s="27" t="s">
        <v>40</v>
      </c>
      <c r="L4456" s="27"/>
    </row>
    <row r="4457" customFormat="false" ht="15" hidden="false" customHeight="false" outlineLevel="0" collapsed="false">
      <c r="A4457" s="26" t="s">
        <v>13850</v>
      </c>
      <c r="B4457" s="27" t="s">
        <v>13851</v>
      </c>
      <c r="C4457" s="27" t="s">
        <v>144</v>
      </c>
      <c r="D4457" s="26"/>
      <c r="E4457" s="27"/>
      <c r="F4457" s="27"/>
      <c r="G4457" s="27" t="s">
        <v>11122</v>
      </c>
      <c r="H4457" s="27" t="s">
        <v>35</v>
      </c>
      <c r="I4457" s="27" t="s">
        <v>40</v>
      </c>
      <c r="J4457" s="28" t="s">
        <v>161</v>
      </c>
      <c r="K4457" s="27" t="s">
        <v>40</v>
      </c>
      <c r="L4457" s="27"/>
    </row>
    <row r="4458" customFormat="false" ht="15" hidden="false" customHeight="false" outlineLevel="0" collapsed="false">
      <c r="A4458" s="26" t="s">
        <v>13852</v>
      </c>
      <c r="B4458" s="27" t="s">
        <v>13853</v>
      </c>
      <c r="C4458" s="27" t="s">
        <v>144</v>
      </c>
      <c r="D4458" s="26"/>
      <c r="E4458" s="27"/>
      <c r="F4458" s="27"/>
      <c r="G4458" s="27" t="s">
        <v>11122</v>
      </c>
      <c r="H4458" s="27" t="s">
        <v>35</v>
      </c>
      <c r="I4458" s="27" t="s">
        <v>48</v>
      </c>
      <c r="J4458" s="28" t="s">
        <v>161</v>
      </c>
      <c r="K4458" s="27" t="s">
        <v>40</v>
      </c>
      <c r="L4458" s="27"/>
    </row>
    <row r="4459" customFormat="false" ht="15" hidden="false" customHeight="false" outlineLevel="0" collapsed="false">
      <c r="A4459" s="26" t="s">
        <v>13854</v>
      </c>
      <c r="B4459" s="27" t="s">
        <v>13855</v>
      </c>
      <c r="C4459" s="27" t="s">
        <v>144</v>
      </c>
      <c r="D4459" s="26"/>
      <c r="E4459" s="27"/>
      <c r="F4459" s="27"/>
      <c r="G4459" s="27" t="s">
        <v>11122</v>
      </c>
      <c r="H4459" s="27" t="s">
        <v>35</v>
      </c>
      <c r="I4459" s="27" t="s">
        <v>40</v>
      </c>
      <c r="J4459" s="28" t="s">
        <v>161</v>
      </c>
      <c r="K4459" s="27" t="s">
        <v>40</v>
      </c>
      <c r="L4459" s="27"/>
    </row>
    <row r="4460" customFormat="false" ht="15" hidden="false" customHeight="false" outlineLevel="0" collapsed="false">
      <c r="A4460" s="26" t="s">
        <v>13856</v>
      </c>
      <c r="B4460" s="27" t="s">
        <v>13857</v>
      </c>
      <c r="C4460" s="27" t="s">
        <v>144</v>
      </c>
      <c r="D4460" s="26"/>
      <c r="E4460" s="27"/>
      <c r="F4460" s="27"/>
      <c r="G4460" s="27" t="s">
        <v>11122</v>
      </c>
      <c r="H4460" s="27" t="s">
        <v>35</v>
      </c>
      <c r="I4460" s="27" t="s">
        <v>40</v>
      </c>
      <c r="J4460" s="28" t="s">
        <v>161</v>
      </c>
      <c r="K4460" s="27" t="s">
        <v>40</v>
      </c>
      <c r="L4460" s="27"/>
    </row>
    <row r="4461" customFormat="false" ht="15" hidden="false" customHeight="false" outlineLevel="0" collapsed="false">
      <c r="A4461" s="26" t="s">
        <v>13858</v>
      </c>
      <c r="B4461" s="27" t="s">
        <v>13859</v>
      </c>
      <c r="C4461" s="27" t="s">
        <v>144</v>
      </c>
      <c r="D4461" s="26"/>
      <c r="E4461" s="27"/>
      <c r="F4461" s="27"/>
      <c r="G4461" s="27" t="s">
        <v>11122</v>
      </c>
      <c r="H4461" s="27" t="s">
        <v>35</v>
      </c>
      <c r="I4461" s="27" t="s">
        <v>40</v>
      </c>
      <c r="J4461" s="28" t="s">
        <v>161</v>
      </c>
      <c r="K4461" s="27" t="s">
        <v>40</v>
      </c>
      <c r="L4461" s="27"/>
    </row>
    <row r="4462" customFormat="false" ht="15" hidden="false" customHeight="false" outlineLevel="0" collapsed="false">
      <c r="A4462" s="26" t="s">
        <v>13860</v>
      </c>
      <c r="B4462" s="27" t="s">
        <v>13861</v>
      </c>
      <c r="C4462" s="27" t="s">
        <v>144</v>
      </c>
      <c r="D4462" s="26"/>
      <c r="E4462" s="27"/>
      <c r="F4462" s="27"/>
      <c r="G4462" s="27" t="s">
        <v>11122</v>
      </c>
      <c r="H4462" s="27" t="s">
        <v>35</v>
      </c>
      <c r="I4462" s="27" t="s">
        <v>40</v>
      </c>
      <c r="J4462" s="28" t="s">
        <v>161</v>
      </c>
      <c r="K4462" s="27" t="s">
        <v>40</v>
      </c>
      <c r="L4462" s="27"/>
    </row>
    <row r="4463" customFormat="false" ht="15" hidden="false" customHeight="false" outlineLevel="0" collapsed="false">
      <c r="A4463" s="26" t="s">
        <v>13862</v>
      </c>
      <c r="B4463" s="27" t="s">
        <v>13863</v>
      </c>
      <c r="C4463" s="27" t="s">
        <v>144</v>
      </c>
      <c r="D4463" s="26"/>
      <c r="E4463" s="27"/>
      <c r="F4463" s="27"/>
      <c r="G4463" s="27" t="s">
        <v>11122</v>
      </c>
      <c r="H4463" s="27" t="s">
        <v>35</v>
      </c>
      <c r="I4463" s="27" t="s">
        <v>48</v>
      </c>
      <c r="J4463" s="28" t="s">
        <v>161</v>
      </c>
      <c r="K4463" s="27" t="s">
        <v>40</v>
      </c>
      <c r="L4463" s="27"/>
    </row>
    <row r="4464" customFormat="false" ht="15" hidden="false" customHeight="false" outlineLevel="0" collapsed="false">
      <c r="A4464" s="26" t="s">
        <v>13864</v>
      </c>
      <c r="B4464" s="27" t="s">
        <v>13865</v>
      </c>
      <c r="C4464" s="27" t="s">
        <v>144</v>
      </c>
      <c r="D4464" s="26"/>
      <c r="E4464" s="27"/>
      <c r="F4464" s="27"/>
      <c r="G4464" s="27" t="s">
        <v>11122</v>
      </c>
      <c r="H4464" s="27" t="s">
        <v>35</v>
      </c>
      <c r="I4464" s="27" t="s">
        <v>40</v>
      </c>
      <c r="J4464" s="28" t="s">
        <v>161</v>
      </c>
      <c r="K4464" s="27" t="s">
        <v>40</v>
      </c>
      <c r="L4464" s="27"/>
    </row>
    <row r="4465" customFormat="false" ht="15" hidden="false" customHeight="false" outlineLevel="0" collapsed="false">
      <c r="A4465" s="26" t="s">
        <v>13866</v>
      </c>
      <c r="B4465" s="27" t="s">
        <v>13867</v>
      </c>
      <c r="C4465" s="27" t="s">
        <v>144</v>
      </c>
      <c r="D4465" s="26"/>
      <c r="E4465" s="27"/>
      <c r="F4465" s="27"/>
      <c r="G4465" s="27" t="s">
        <v>11122</v>
      </c>
      <c r="H4465" s="27" t="s">
        <v>35</v>
      </c>
      <c r="I4465" s="27" t="s">
        <v>48</v>
      </c>
      <c r="J4465" s="28" t="s">
        <v>161</v>
      </c>
      <c r="K4465" s="27" t="s">
        <v>40</v>
      </c>
      <c r="L4465" s="27"/>
    </row>
    <row r="4466" customFormat="false" ht="15" hidden="false" customHeight="false" outlineLevel="0" collapsed="false">
      <c r="A4466" s="26" t="s">
        <v>13868</v>
      </c>
      <c r="B4466" s="27" t="s">
        <v>13869</v>
      </c>
      <c r="C4466" s="27" t="s">
        <v>144</v>
      </c>
      <c r="D4466" s="26"/>
      <c r="E4466" s="27"/>
      <c r="F4466" s="27"/>
      <c r="G4466" s="27" t="s">
        <v>11122</v>
      </c>
      <c r="H4466" s="27" t="s">
        <v>35</v>
      </c>
      <c r="I4466" s="27" t="s">
        <v>40</v>
      </c>
      <c r="J4466" s="28" t="s">
        <v>161</v>
      </c>
      <c r="K4466" s="27" t="s">
        <v>40</v>
      </c>
      <c r="L4466" s="27"/>
    </row>
    <row r="4467" customFormat="false" ht="15" hidden="false" customHeight="false" outlineLevel="0" collapsed="false">
      <c r="A4467" s="26" t="s">
        <v>13870</v>
      </c>
      <c r="B4467" s="27" t="s">
        <v>13871</v>
      </c>
      <c r="C4467" s="27" t="s">
        <v>144</v>
      </c>
      <c r="D4467" s="26"/>
      <c r="E4467" s="27"/>
      <c r="F4467" s="27"/>
      <c r="G4467" s="27" t="s">
        <v>11122</v>
      </c>
      <c r="H4467" s="27" t="s">
        <v>35</v>
      </c>
      <c r="I4467" s="28" t="s">
        <v>46</v>
      </c>
      <c r="J4467" s="28" t="s">
        <v>161</v>
      </c>
      <c r="K4467" s="27" t="s">
        <v>40</v>
      </c>
      <c r="L4467" s="27"/>
    </row>
    <row r="4468" customFormat="false" ht="15" hidden="false" customHeight="false" outlineLevel="0" collapsed="false">
      <c r="A4468" s="26" t="s">
        <v>13872</v>
      </c>
      <c r="B4468" s="27" t="s">
        <v>13873</v>
      </c>
      <c r="C4468" s="27" t="s">
        <v>144</v>
      </c>
      <c r="D4468" s="26"/>
      <c r="E4468" s="27"/>
      <c r="F4468" s="27"/>
      <c r="G4468" s="27" t="s">
        <v>11122</v>
      </c>
      <c r="H4468" s="27" t="s">
        <v>35</v>
      </c>
      <c r="I4468" s="27" t="s">
        <v>40</v>
      </c>
      <c r="J4468" s="28" t="s">
        <v>161</v>
      </c>
      <c r="K4468" s="27" t="s">
        <v>40</v>
      </c>
      <c r="L4468" s="27"/>
    </row>
    <row r="4469" customFormat="false" ht="15" hidden="false" customHeight="false" outlineLevel="0" collapsed="false">
      <c r="A4469" s="26" t="s">
        <v>13874</v>
      </c>
      <c r="B4469" s="27" t="s">
        <v>13875</v>
      </c>
      <c r="C4469" s="27" t="s">
        <v>144</v>
      </c>
      <c r="D4469" s="26"/>
      <c r="E4469" s="27"/>
      <c r="F4469" s="27"/>
      <c r="G4469" s="27" t="s">
        <v>11122</v>
      </c>
      <c r="H4469" s="27" t="s">
        <v>35</v>
      </c>
      <c r="I4469" s="27" t="s">
        <v>40</v>
      </c>
      <c r="J4469" s="28" t="s">
        <v>161</v>
      </c>
      <c r="K4469" s="27" t="s">
        <v>40</v>
      </c>
      <c r="L4469" s="27"/>
    </row>
    <row r="4470" customFormat="false" ht="15" hidden="false" customHeight="false" outlineLevel="0" collapsed="false">
      <c r="A4470" s="26" t="s">
        <v>13876</v>
      </c>
      <c r="B4470" s="27" t="s">
        <v>13877</v>
      </c>
      <c r="C4470" s="27" t="s">
        <v>144</v>
      </c>
      <c r="D4470" s="26"/>
      <c r="E4470" s="27"/>
      <c r="F4470" s="27"/>
      <c r="G4470" s="27" t="s">
        <v>11122</v>
      </c>
      <c r="H4470" s="27" t="s">
        <v>35</v>
      </c>
      <c r="I4470" s="28" t="s">
        <v>46</v>
      </c>
      <c r="J4470" s="28" t="s">
        <v>161</v>
      </c>
      <c r="K4470" s="27" t="s">
        <v>40</v>
      </c>
      <c r="L4470" s="27"/>
    </row>
    <row r="4471" customFormat="false" ht="15" hidden="false" customHeight="false" outlineLevel="0" collapsed="false">
      <c r="A4471" s="26" t="s">
        <v>13878</v>
      </c>
      <c r="B4471" s="27" t="s">
        <v>13879</v>
      </c>
      <c r="C4471" s="27" t="s">
        <v>144</v>
      </c>
      <c r="D4471" s="26"/>
      <c r="E4471" s="27"/>
      <c r="F4471" s="27"/>
      <c r="G4471" s="27" t="s">
        <v>11122</v>
      </c>
      <c r="H4471" s="27" t="s">
        <v>35</v>
      </c>
      <c r="I4471" s="28" t="s">
        <v>46</v>
      </c>
      <c r="J4471" s="28" t="s">
        <v>161</v>
      </c>
      <c r="K4471" s="27" t="s">
        <v>40</v>
      </c>
      <c r="L4471" s="27"/>
    </row>
    <row r="4472" customFormat="false" ht="15" hidden="false" customHeight="false" outlineLevel="0" collapsed="false">
      <c r="A4472" s="26" t="s">
        <v>13880</v>
      </c>
      <c r="B4472" s="27" t="s">
        <v>13881</v>
      </c>
      <c r="C4472" s="27" t="s">
        <v>144</v>
      </c>
      <c r="D4472" s="26"/>
      <c r="E4472" s="27"/>
      <c r="F4472" s="27"/>
      <c r="G4472" s="27" t="s">
        <v>11122</v>
      </c>
      <c r="H4472" s="27" t="s">
        <v>35</v>
      </c>
      <c r="I4472" s="27" t="s">
        <v>40</v>
      </c>
      <c r="J4472" s="28" t="s">
        <v>161</v>
      </c>
      <c r="K4472" s="27" t="s">
        <v>40</v>
      </c>
      <c r="L4472" s="27"/>
    </row>
    <row r="4473" customFormat="false" ht="15" hidden="false" customHeight="false" outlineLevel="0" collapsed="false">
      <c r="A4473" s="26" t="s">
        <v>13882</v>
      </c>
      <c r="B4473" s="27" t="s">
        <v>13883</v>
      </c>
      <c r="C4473" s="27" t="s">
        <v>144</v>
      </c>
      <c r="D4473" s="26"/>
      <c r="E4473" s="27"/>
      <c r="F4473" s="27"/>
      <c r="G4473" s="27" t="s">
        <v>11122</v>
      </c>
      <c r="H4473" s="27" t="s">
        <v>35</v>
      </c>
      <c r="I4473" s="27" t="s">
        <v>40</v>
      </c>
      <c r="J4473" s="28" t="s">
        <v>161</v>
      </c>
      <c r="K4473" s="27" t="s">
        <v>40</v>
      </c>
      <c r="L4473" s="27"/>
    </row>
    <row r="4474" customFormat="false" ht="15" hidden="false" customHeight="false" outlineLevel="0" collapsed="false">
      <c r="A4474" s="26" t="s">
        <v>13884</v>
      </c>
      <c r="B4474" s="27" t="s">
        <v>13885</v>
      </c>
      <c r="C4474" s="27" t="s">
        <v>144</v>
      </c>
      <c r="D4474" s="26"/>
      <c r="E4474" s="27"/>
      <c r="F4474" s="27"/>
      <c r="G4474" s="27" t="s">
        <v>11122</v>
      </c>
      <c r="H4474" s="27" t="s">
        <v>35</v>
      </c>
      <c r="I4474" s="27" t="s">
        <v>40</v>
      </c>
      <c r="J4474" s="28" t="s">
        <v>161</v>
      </c>
      <c r="K4474" s="27" t="s">
        <v>40</v>
      </c>
      <c r="L4474" s="27"/>
    </row>
    <row r="4475" customFormat="false" ht="15" hidden="false" customHeight="false" outlineLevel="0" collapsed="false">
      <c r="A4475" s="26" t="s">
        <v>13886</v>
      </c>
      <c r="B4475" s="27" t="s">
        <v>13887</v>
      </c>
      <c r="C4475" s="27" t="s">
        <v>144</v>
      </c>
      <c r="D4475" s="26"/>
      <c r="E4475" s="27"/>
      <c r="F4475" s="27"/>
      <c r="G4475" s="27" t="s">
        <v>11122</v>
      </c>
      <c r="H4475" s="27" t="s">
        <v>35</v>
      </c>
      <c r="I4475" s="27" t="s">
        <v>40</v>
      </c>
      <c r="J4475" s="28" t="s">
        <v>161</v>
      </c>
      <c r="K4475" s="27" t="s">
        <v>40</v>
      </c>
      <c r="L4475" s="27"/>
    </row>
    <row r="4476" customFormat="false" ht="15" hidden="false" customHeight="false" outlineLevel="0" collapsed="false">
      <c r="A4476" s="26" t="s">
        <v>13888</v>
      </c>
      <c r="B4476" s="27" t="s">
        <v>13889</v>
      </c>
      <c r="C4476" s="27" t="s">
        <v>144</v>
      </c>
      <c r="D4476" s="26"/>
      <c r="E4476" s="27"/>
      <c r="F4476" s="27"/>
      <c r="G4476" s="27" t="s">
        <v>11122</v>
      </c>
      <c r="H4476" s="27" t="s">
        <v>35</v>
      </c>
      <c r="I4476" s="27" t="s">
        <v>40</v>
      </c>
      <c r="J4476" s="28" t="s">
        <v>161</v>
      </c>
      <c r="K4476" s="27" t="s">
        <v>40</v>
      </c>
      <c r="L4476" s="27"/>
    </row>
    <row r="4477" customFormat="false" ht="15" hidden="false" customHeight="false" outlineLevel="0" collapsed="false">
      <c r="A4477" s="26" t="s">
        <v>13890</v>
      </c>
      <c r="B4477" s="27" t="s">
        <v>13891</v>
      </c>
      <c r="C4477" s="27" t="s">
        <v>144</v>
      </c>
      <c r="D4477" s="26"/>
      <c r="E4477" s="27"/>
      <c r="F4477" s="27"/>
      <c r="G4477" s="27" t="s">
        <v>11122</v>
      </c>
      <c r="H4477" s="27" t="s">
        <v>35</v>
      </c>
      <c r="I4477" s="27" t="s">
        <v>40</v>
      </c>
      <c r="J4477" s="28" t="s">
        <v>161</v>
      </c>
      <c r="K4477" s="27" t="s">
        <v>40</v>
      </c>
      <c r="L4477" s="27"/>
    </row>
    <row r="4478" customFormat="false" ht="15" hidden="false" customHeight="false" outlineLevel="0" collapsed="false">
      <c r="A4478" s="26" t="s">
        <v>13892</v>
      </c>
      <c r="B4478" s="27" t="s">
        <v>13893</v>
      </c>
      <c r="C4478" s="27" t="s">
        <v>144</v>
      </c>
      <c r="D4478" s="26"/>
      <c r="E4478" s="27"/>
      <c r="F4478" s="27"/>
      <c r="G4478" s="27" t="s">
        <v>11122</v>
      </c>
      <c r="H4478" s="27" t="s">
        <v>35</v>
      </c>
      <c r="I4478" s="27" t="s">
        <v>40</v>
      </c>
      <c r="J4478" s="28" t="s">
        <v>161</v>
      </c>
      <c r="K4478" s="27" t="s">
        <v>40</v>
      </c>
      <c r="L4478" s="27"/>
    </row>
    <row r="4479" customFormat="false" ht="15" hidden="false" customHeight="false" outlineLevel="0" collapsed="false">
      <c r="A4479" s="26" t="s">
        <v>13894</v>
      </c>
      <c r="B4479" s="27" t="s">
        <v>13895</v>
      </c>
      <c r="C4479" s="27" t="s">
        <v>144</v>
      </c>
      <c r="D4479" s="26"/>
      <c r="E4479" s="27"/>
      <c r="F4479" s="27"/>
      <c r="G4479" s="27" t="s">
        <v>11122</v>
      </c>
      <c r="H4479" s="27" t="s">
        <v>35</v>
      </c>
      <c r="I4479" s="27" t="s">
        <v>40</v>
      </c>
      <c r="J4479" s="28" t="s">
        <v>161</v>
      </c>
      <c r="K4479" s="27" t="s">
        <v>40</v>
      </c>
      <c r="L4479" s="27"/>
    </row>
    <row r="4480" customFormat="false" ht="15" hidden="false" customHeight="false" outlineLevel="0" collapsed="false">
      <c r="A4480" s="26" t="s">
        <v>13896</v>
      </c>
      <c r="B4480" s="27" t="s">
        <v>13897</v>
      </c>
      <c r="C4480" s="27" t="s">
        <v>144</v>
      </c>
      <c r="D4480" s="26"/>
      <c r="E4480" s="27"/>
      <c r="F4480" s="27"/>
      <c r="G4480" s="27" t="s">
        <v>11122</v>
      </c>
      <c r="H4480" s="27" t="s">
        <v>35</v>
      </c>
      <c r="I4480" s="27" t="s">
        <v>40</v>
      </c>
      <c r="J4480" s="28" t="s">
        <v>161</v>
      </c>
      <c r="K4480" s="27" t="s">
        <v>40</v>
      </c>
      <c r="L4480" s="27"/>
    </row>
    <row r="4481" customFormat="false" ht="15" hidden="false" customHeight="false" outlineLevel="0" collapsed="false">
      <c r="A4481" s="26" t="s">
        <v>13898</v>
      </c>
      <c r="B4481" s="27" t="s">
        <v>13899</v>
      </c>
      <c r="C4481" s="27" t="s">
        <v>144</v>
      </c>
      <c r="D4481" s="26"/>
      <c r="E4481" s="27"/>
      <c r="F4481" s="27"/>
      <c r="G4481" s="27" t="s">
        <v>11122</v>
      </c>
      <c r="H4481" s="27" t="s">
        <v>35</v>
      </c>
      <c r="I4481" s="27" t="s">
        <v>40</v>
      </c>
      <c r="J4481" s="28" t="s">
        <v>161</v>
      </c>
      <c r="K4481" s="27" t="s">
        <v>40</v>
      </c>
      <c r="L4481" s="27"/>
    </row>
    <row r="4482" customFormat="false" ht="15" hidden="false" customHeight="false" outlineLevel="0" collapsed="false">
      <c r="A4482" s="26" t="s">
        <v>13900</v>
      </c>
      <c r="B4482" s="27" t="s">
        <v>13901</v>
      </c>
      <c r="C4482" s="27" t="s">
        <v>370</v>
      </c>
      <c r="D4482" s="26"/>
      <c r="E4482" s="27"/>
      <c r="F4482" s="27"/>
      <c r="G4482" s="27" t="s">
        <v>11122</v>
      </c>
      <c r="H4482" s="27" t="s">
        <v>35</v>
      </c>
      <c r="I4482" s="27" t="s">
        <v>40</v>
      </c>
      <c r="J4482" s="28" t="s">
        <v>161</v>
      </c>
      <c r="K4482" s="27" t="s">
        <v>40</v>
      </c>
      <c r="L4482" s="27"/>
    </row>
    <row r="4483" customFormat="false" ht="15" hidden="false" customHeight="false" outlineLevel="0" collapsed="false">
      <c r="A4483" s="26" t="s">
        <v>13902</v>
      </c>
      <c r="B4483" s="27" t="s">
        <v>13903</v>
      </c>
      <c r="C4483" s="27" t="s">
        <v>144</v>
      </c>
      <c r="D4483" s="26"/>
      <c r="E4483" s="27"/>
      <c r="F4483" s="27"/>
      <c r="G4483" s="27" t="s">
        <v>11122</v>
      </c>
      <c r="H4483" s="27" t="s">
        <v>35</v>
      </c>
      <c r="I4483" s="27" t="s">
        <v>40</v>
      </c>
      <c r="J4483" s="28" t="s">
        <v>161</v>
      </c>
      <c r="K4483" s="27" t="s">
        <v>40</v>
      </c>
      <c r="L4483" s="27"/>
    </row>
    <row r="4484" customFormat="false" ht="15" hidden="false" customHeight="false" outlineLevel="0" collapsed="false">
      <c r="A4484" s="26" t="s">
        <v>13904</v>
      </c>
      <c r="B4484" s="27" t="s">
        <v>13905</v>
      </c>
      <c r="C4484" s="27" t="s">
        <v>144</v>
      </c>
      <c r="D4484" s="26"/>
      <c r="E4484" s="27"/>
      <c r="F4484" s="27"/>
      <c r="G4484" s="27" t="s">
        <v>11122</v>
      </c>
      <c r="H4484" s="27" t="s">
        <v>35</v>
      </c>
      <c r="I4484" s="27" t="s">
        <v>40</v>
      </c>
      <c r="J4484" s="28" t="s">
        <v>161</v>
      </c>
      <c r="K4484" s="27" t="s">
        <v>40</v>
      </c>
      <c r="L4484" s="27"/>
    </row>
    <row r="4485" customFormat="false" ht="15" hidden="false" customHeight="false" outlineLevel="0" collapsed="false">
      <c r="A4485" s="26" t="s">
        <v>13906</v>
      </c>
      <c r="B4485" s="27" t="s">
        <v>13907</v>
      </c>
      <c r="C4485" s="27" t="s">
        <v>144</v>
      </c>
      <c r="D4485" s="26"/>
      <c r="E4485" s="27"/>
      <c r="F4485" s="27"/>
      <c r="G4485" s="27" t="s">
        <v>11122</v>
      </c>
      <c r="H4485" s="27" t="s">
        <v>35</v>
      </c>
      <c r="I4485" s="28" t="s">
        <v>46</v>
      </c>
      <c r="J4485" s="28" t="s">
        <v>161</v>
      </c>
      <c r="K4485" s="27" t="s">
        <v>40</v>
      </c>
      <c r="L4485" s="27"/>
    </row>
    <row r="4486" customFormat="false" ht="15" hidden="false" customHeight="false" outlineLevel="0" collapsed="false">
      <c r="A4486" s="26" t="s">
        <v>13908</v>
      </c>
      <c r="B4486" s="27" t="s">
        <v>13909</v>
      </c>
      <c r="C4486" s="27" t="s">
        <v>144</v>
      </c>
      <c r="D4486" s="26"/>
      <c r="E4486" s="27"/>
      <c r="F4486" s="27"/>
      <c r="G4486" s="27" t="s">
        <v>11122</v>
      </c>
      <c r="H4486" s="27" t="s">
        <v>35</v>
      </c>
      <c r="I4486" s="27" t="s">
        <v>40</v>
      </c>
      <c r="J4486" s="28" t="s">
        <v>161</v>
      </c>
      <c r="K4486" s="27" t="s">
        <v>40</v>
      </c>
      <c r="L4486" s="27"/>
    </row>
    <row r="4487" customFormat="false" ht="15" hidden="false" customHeight="false" outlineLevel="0" collapsed="false">
      <c r="A4487" s="26" t="s">
        <v>13910</v>
      </c>
      <c r="B4487" s="27" t="s">
        <v>13911</v>
      </c>
      <c r="C4487" s="27" t="s">
        <v>144</v>
      </c>
      <c r="D4487" s="26"/>
      <c r="E4487" s="27"/>
      <c r="F4487" s="27"/>
      <c r="G4487" s="27" t="s">
        <v>11122</v>
      </c>
      <c r="H4487" s="27" t="s">
        <v>35</v>
      </c>
      <c r="I4487" s="27" t="s">
        <v>40</v>
      </c>
      <c r="J4487" s="28" t="s">
        <v>161</v>
      </c>
      <c r="K4487" s="27" t="s">
        <v>40</v>
      </c>
      <c r="L4487" s="27"/>
    </row>
    <row r="4488" customFormat="false" ht="15" hidden="false" customHeight="false" outlineLevel="0" collapsed="false">
      <c r="A4488" s="26" t="s">
        <v>13912</v>
      </c>
      <c r="B4488" s="27" t="s">
        <v>13913</v>
      </c>
      <c r="C4488" s="27" t="s">
        <v>144</v>
      </c>
      <c r="D4488" s="26"/>
      <c r="E4488" s="27"/>
      <c r="F4488" s="27"/>
      <c r="G4488" s="27" t="s">
        <v>11122</v>
      </c>
      <c r="H4488" s="27" t="s">
        <v>35</v>
      </c>
      <c r="I4488" s="27" t="s">
        <v>48</v>
      </c>
      <c r="J4488" s="28" t="s">
        <v>161</v>
      </c>
      <c r="K4488" s="27" t="s">
        <v>40</v>
      </c>
      <c r="L4488" s="27"/>
    </row>
    <row r="4489" customFormat="false" ht="15" hidden="false" customHeight="false" outlineLevel="0" collapsed="false">
      <c r="A4489" s="26" t="s">
        <v>13914</v>
      </c>
      <c r="B4489" s="27" t="s">
        <v>13915</v>
      </c>
      <c r="C4489" s="27" t="s">
        <v>144</v>
      </c>
      <c r="D4489" s="26"/>
      <c r="E4489" s="27"/>
      <c r="F4489" s="27"/>
      <c r="G4489" s="27" t="s">
        <v>11122</v>
      </c>
      <c r="H4489" s="27" t="s">
        <v>35</v>
      </c>
      <c r="I4489" s="27" t="s">
        <v>40</v>
      </c>
      <c r="J4489" s="28" t="s">
        <v>161</v>
      </c>
      <c r="K4489" s="27" t="s">
        <v>40</v>
      </c>
      <c r="L4489" s="27"/>
    </row>
    <row r="4490" customFormat="false" ht="15" hidden="false" customHeight="false" outlineLevel="0" collapsed="false">
      <c r="A4490" s="26" t="s">
        <v>13916</v>
      </c>
      <c r="B4490" s="27" t="s">
        <v>13917</v>
      </c>
      <c r="C4490" s="27" t="s">
        <v>144</v>
      </c>
      <c r="D4490" s="26"/>
      <c r="E4490" s="27"/>
      <c r="F4490" s="27"/>
      <c r="G4490" s="27" t="s">
        <v>11122</v>
      </c>
      <c r="H4490" s="27" t="s">
        <v>35</v>
      </c>
      <c r="I4490" s="28" t="s">
        <v>46</v>
      </c>
      <c r="J4490" s="28" t="s">
        <v>161</v>
      </c>
      <c r="K4490" s="27" t="s">
        <v>40</v>
      </c>
      <c r="L4490" s="27"/>
    </row>
    <row r="4491" customFormat="false" ht="15" hidden="false" customHeight="false" outlineLevel="0" collapsed="false">
      <c r="A4491" s="26" t="s">
        <v>13918</v>
      </c>
      <c r="B4491" s="27" t="s">
        <v>13919</v>
      </c>
      <c r="C4491" s="27" t="s">
        <v>144</v>
      </c>
      <c r="D4491" s="26"/>
      <c r="E4491" s="27"/>
      <c r="F4491" s="27"/>
      <c r="G4491" s="27" t="s">
        <v>11122</v>
      </c>
      <c r="H4491" s="27" t="s">
        <v>35</v>
      </c>
      <c r="I4491" s="28" t="s">
        <v>46</v>
      </c>
      <c r="J4491" s="28" t="s">
        <v>161</v>
      </c>
      <c r="K4491" s="27" t="s">
        <v>40</v>
      </c>
      <c r="L4491" s="27"/>
    </row>
    <row r="4492" customFormat="false" ht="15" hidden="false" customHeight="false" outlineLevel="0" collapsed="false">
      <c r="A4492" s="26" t="s">
        <v>13920</v>
      </c>
      <c r="B4492" s="27" t="s">
        <v>13921</v>
      </c>
      <c r="C4492" s="27" t="s">
        <v>144</v>
      </c>
      <c r="D4492" s="26"/>
      <c r="E4492" s="27"/>
      <c r="F4492" s="27"/>
      <c r="G4492" s="27" t="s">
        <v>11122</v>
      </c>
      <c r="H4492" s="27" t="s">
        <v>35</v>
      </c>
      <c r="I4492" s="28" t="s">
        <v>46</v>
      </c>
      <c r="J4492" s="28" t="s">
        <v>161</v>
      </c>
      <c r="K4492" s="27" t="s">
        <v>40</v>
      </c>
      <c r="L4492" s="27"/>
    </row>
    <row r="4493" customFormat="false" ht="15" hidden="false" customHeight="false" outlineLevel="0" collapsed="false">
      <c r="A4493" s="26" t="s">
        <v>13922</v>
      </c>
      <c r="B4493" s="27" t="s">
        <v>13923</v>
      </c>
      <c r="C4493" s="27" t="s">
        <v>144</v>
      </c>
      <c r="D4493" s="26"/>
      <c r="E4493" s="27"/>
      <c r="F4493" s="27"/>
      <c r="G4493" s="27" t="s">
        <v>11122</v>
      </c>
      <c r="H4493" s="27" t="s">
        <v>35</v>
      </c>
      <c r="I4493" s="28" t="s">
        <v>46</v>
      </c>
      <c r="J4493" s="28" t="s">
        <v>161</v>
      </c>
      <c r="K4493" s="27" t="s">
        <v>40</v>
      </c>
      <c r="L4493" s="27"/>
    </row>
    <row r="4494" customFormat="false" ht="15" hidden="false" customHeight="false" outlineLevel="0" collapsed="false">
      <c r="A4494" s="26" t="s">
        <v>13924</v>
      </c>
      <c r="B4494" s="27" t="s">
        <v>13925</v>
      </c>
      <c r="C4494" s="27" t="s">
        <v>370</v>
      </c>
      <c r="D4494" s="26"/>
      <c r="E4494" s="27"/>
      <c r="F4494" s="27"/>
      <c r="G4494" s="27" t="s">
        <v>11122</v>
      </c>
      <c r="H4494" s="27" t="s">
        <v>35</v>
      </c>
      <c r="I4494" s="28" t="s">
        <v>46</v>
      </c>
      <c r="J4494" s="28" t="s">
        <v>161</v>
      </c>
      <c r="K4494" s="27" t="s">
        <v>40</v>
      </c>
      <c r="L4494" s="27"/>
    </row>
    <row r="4495" customFormat="false" ht="15" hidden="false" customHeight="false" outlineLevel="0" collapsed="false">
      <c r="A4495" s="26" t="s">
        <v>13926</v>
      </c>
      <c r="B4495" s="27" t="s">
        <v>13927</v>
      </c>
      <c r="C4495" s="27" t="s">
        <v>144</v>
      </c>
      <c r="D4495" s="26"/>
      <c r="E4495" s="27"/>
      <c r="F4495" s="27"/>
      <c r="G4495" s="27" t="s">
        <v>11122</v>
      </c>
      <c r="H4495" s="27" t="s">
        <v>35</v>
      </c>
      <c r="I4495" s="28" t="s">
        <v>46</v>
      </c>
      <c r="J4495" s="28" t="s">
        <v>161</v>
      </c>
      <c r="K4495" s="27" t="s">
        <v>40</v>
      </c>
      <c r="L4495" s="27"/>
    </row>
    <row r="4496" customFormat="false" ht="15" hidden="false" customHeight="false" outlineLevel="0" collapsed="false">
      <c r="A4496" s="26" t="s">
        <v>13928</v>
      </c>
      <c r="B4496" s="27" t="s">
        <v>13929</v>
      </c>
      <c r="C4496" s="27" t="s">
        <v>144</v>
      </c>
      <c r="D4496" s="26"/>
      <c r="E4496" s="27"/>
      <c r="F4496" s="27"/>
      <c r="G4496" s="27" t="s">
        <v>11122</v>
      </c>
      <c r="H4496" s="27" t="s">
        <v>35</v>
      </c>
      <c r="I4496" s="28" t="s">
        <v>46</v>
      </c>
      <c r="J4496" s="28" t="s">
        <v>161</v>
      </c>
      <c r="K4496" s="27" t="s">
        <v>40</v>
      </c>
      <c r="L4496" s="27"/>
    </row>
    <row r="4497" customFormat="false" ht="15" hidden="false" customHeight="false" outlineLevel="0" collapsed="false">
      <c r="A4497" s="26" t="s">
        <v>13930</v>
      </c>
      <c r="B4497" s="27" t="s">
        <v>13931</v>
      </c>
      <c r="C4497" s="27" t="s">
        <v>144</v>
      </c>
      <c r="D4497" s="26"/>
      <c r="E4497" s="27"/>
      <c r="F4497" s="27"/>
      <c r="G4497" s="27" t="s">
        <v>11122</v>
      </c>
      <c r="H4497" s="27" t="s">
        <v>35</v>
      </c>
      <c r="I4497" s="28" t="s">
        <v>46</v>
      </c>
      <c r="J4497" s="28" t="s">
        <v>161</v>
      </c>
      <c r="K4497" s="27" t="s">
        <v>40</v>
      </c>
      <c r="L4497" s="27"/>
    </row>
    <row r="4498" customFormat="false" ht="15" hidden="false" customHeight="false" outlineLevel="0" collapsed="false">
      <c r="A4498" s="26" t="s">
        <v>13932</v>
      </c>
      <c r="B4498" s="27" t="s">
        <v>13933</v>
      </c>
      <c r="C4498" s="27" t="s">
        <v>144</v>
      </c>
      <c r="D4498" s="26"/>
      <c r="E4498" s="27"/>
      <c r="F4498" s="27"/>
      <c r="G4498" s="27" t="s">
        <v>11122</v>
      </c>
      <c r="H4498" s="27" t="s">
        <v>35</v>
      </c>
      <c r="I4498" s="28" t="s">
        <v>46</v>
      </c>
      <c r="J4498" s="28" t="s">
        <v>161</v>
      </c>
      <c r="K4498" s="27" t="s">
        <v>40</v>
      </c>
      <c r="L4498" s="27"/>
    </row>
    <row r="4499" customFormat="false" ht="15" hidden="false" customHeight="false" outlineLevel="0" collapsed="false">
      <c r="A4499" s="26" t="s">
        <v>13934</v>
      </c>
      <c r="B4499" s="27" t="s">
        <v>13935</v>
      </c>
      <c r="C4499" s="27" t="s">
        <v>144</v>
      </c>
      <c r="D4499" s="26"/>
      <c r="E4499" s="27"/>
      <c r="F4499" s="27"/>
      <c r="G4499" s="27" t="s">
        <v>11122</v>
      </c>
      <c r="H4499" s="27" t="s">
        <v>35</v>
      </c>
      <c r="I4499" s="27" t="s">
        <v>43</v>
      </c>
      <c r="J4499" s="28" t="s">
        <v>161</v>
      </c>
      <c r="K4499" s="27" t="s">
        <v>40</v>
      </c>
      <c r="L4499" s="27"/>
    </row>
    <row r="4500" customFormat="false" ht="15" hidden="false" customHeight="false" outlineLevel="0" collapsed="false">
      <c r="A4500" s="26" t="s">
        <v>13936</v>
      </c>
      <c r="B4500" s="27" t="s">
        <v>13937</v>
      </c>
      <c r="C4500" s="27" t="s">
        <v>144</v>
      </c>
      <c r="D4500" s="26"/>
      <c r="E4500" s="27"/>
      <c r="F4500" s="27"/>
      <c r="G4500" s="27" t="s">
        <v>11122</v>
      </c>
      <c r="H4500" s="27" t="s">
        <v>35</v>
      </c>
      <c r="I4500" s="28" t="s">
        <v>46</v>
      </c>
      <c r="J4500" s="28" t="s">
        <v>161</v>
      </c>
      <c r="K4500" s="27" t="s">
        <v>40</v>
      </c>
      <c r="L4500" s="27"/>
    </row>
    <row r="4501" customFormat="false" ht="15" hidden="false" customHeight="false" outlineLevel="0" collapsed="false">
      <c r="A4501" s="26" t="s">
        <v>13938</v>
      </c>
      <c r="B4501" s="27" t="s">
        <v>13939</v>
      </c>
      <c r="C4501" s="27" t="s">
        <v>144</v>
      </c>
      <c r="D4501" s="26"/>
      <c r="E4501" s="27"/>
      <c r="F4501" s="27"/>
      <c r="G4501" s="27" t="s">
        <v>11122</v>
      </c>
      <c r="H4501" s="27" t="s">
        <v>35</v>
      </c>
      <c r="I4501" s="28" t="s">
        <v>46</v>
      </c>
      <c r="J4501" s="28" t="s">
        <v>161</v>
      </c>
      <c r="K4501" s="27" t="s">
        <v>40</v>
      </c>
      <c r="L4501" s="27"/>
    </row>
    <row r="4502" customFormat="false" ht="15" hidden="false" customHeight="false" outlineLevel="0" collapsed="false">
      <c r="A4502" s="26" t="s">
        <v>13940</v>
      </c>
      <c r="B4502" s="27" t="s">
        <v>13941</v>
      </c>
      <c r="C4502" s="27" t="s">
        <v>144</v>
      </c>
      <c r="D4502" s="26"/>
      <c r="E4502" s="27"/>
      <c r="F4502" s="27"/>
      <c r="G4502" s="27" t="s">
        <v>11122</v>
      </c>
      <c r="H4502" s="27" t="s">
        <v>35</v>
      </c>
      <c r="I4502" s="28" t="s">
        <v>46</v>
      </c>
      <c r="J4502" s="28" t="s">
        <v>161</v>
      </c>
      <c r="K4502" s="27" t="s">
        <v>40</v>
      </c>
      <c r="L4502" s="27"/>
    </row>
    <row r="4503" customFormat="false" ht="15" hidden="false" customHeight="false" outlineLevel="0" collapsed="false">
      <c r="A4503" s="26" t="s">
        <v>13942</v>
      </c>
      <c r="B4503" s="27" t="s">
        <v>13943</v>
      </c>
      <c r="C4503" s="27" t="s">
        <v>144</v>
      </c>
      <c r="D4503" s="26"/>
      <c r="E4503" s="27"/>
      <c r="F4503" s="27"/>
      <c r="G4503" s="27" t="s">
        <v>11122</v>
      </c>
      <c r="H4503" s="27" t="s">
        <v>35</v>
      </c>
      <c r="I4503" s="27" t="s">
        <v>39</v>
      </c>
      <c r="J4503" s="28" t="s">
        <v>161</v>
      </c>
      <c r="K4503" s="27" t="s">
        <v>40</v>
      </c>
      <c r="L4503" s="27"/>
    </row>
    <row r="4504" customFormat="false" ht="15" hidden="false" customHeight="false" outlineLevel="0" collapsed="false">
      <c r="A4504" s="26" t="s">
        <v>13944</v>
      </c>
      <c r="B4504" s="27" t="s">
        <v>13945</v>
      </c>
      <c r="C4504" s="27" t="s">
        <v>144</v>
      </c>
      <c r="D4504" s="26"/>
      <c r="E4504" s="27"/>
      <c r="F4504" s="27"/>
      <c r="G4504" s="27" t="s">
        <v>11122</v>
      </c>
      <c r="H4504" s="27" t="s">
        <v>35</v>
      </c>
      <c r="I4504" s="27" t="s">
        <v>39</v>
      </c>
      <c r="J4504" s="28" t="s">
        <v>161</v>
      </c>
      <c r="K4504" s="27" t="s">
        <v>40</v>
      </c>
      <c r="L4504" s="27"/>
    </row>
    <row r="4505" customFormat="false" ht="15" hidden="false" customHeight="false" outlineLevel="0" collapsed="false">
      <c r="A4505" s="26" t="s">
        <v>13946</v>
      </c>
      <c r="B4505" s="27" t="s">
        <v>13947</v>
      </c>
      <c r="C4505" s="27" t="s">
        <v>144</v>
      </c>
      <c r="D4505" s="26"/>
      <c r="E4505" s="27"/>
      <c r="F4505" s="27"/>
      <c r="G4505" s="27" t="s">
        <v>11122</v>
      </c>
      <c r="H4505" s="27" t="s">
        <v>35</v>
      </c>
      <c r="I4505" s="27" t="s">
        <v>44</v>
      </c>
      <c r="J4505" s="28" t="s">
        <v>161</v>
      </c>
      <c r="K4505" s="27" t="s">
        <v>40</v>
      </c>
      <c r="L4505" s="27"/>
    </row>
    <row r="4506" customFormat="false" ht="15" hidden="false" customHeight="false" outlineLevel="0" collapsed="false">
      <c r="A4506" s="26" t="s">
        <v>13948</v>
      </c>
      <c r="B4506" s="27" t="s">
        <v>13949</v>
      </c>
      <c r="C4506" s="27" t="s">
        <v>144</v>
      </c>
      <c r="D4506" s="26"/>
      <c r="E4506" s="27"/>
      <c r="F4506" s="27"/>
      <c r="G4506" s="27" t="s">
        <v>11122</v>
      </c>
      <c r="H4506" s="27" t="s">
        <v>35</v>
      </c>
      <c r="I4506" s="27" t="s">
        <v>44</v>
      </c>
      <c r="J4506" s="28" t="s">
        <v>161</v>
      </c>
      <c r="K4506" s="27" t="s">
        <v>40</v>
      </c>
      <c r="L4506" s="27"/>
    </row>
    <row r="4507" customFormat="false" ht="15" hidden="false" customHeight="false" outlineLevel="0" collapsed="false">
      <c r="A4507" s="26" t="s">
        <v>13950</v>
      </c>
      <c r="B4507" s="27" t="s">
        <v>13951</v>
      </c>
      <c r="C4507" s="27" t="s">
        <v>144</v>
      </c>
      <c r="D4507" s="26"/>
      <c r="E4507" s="27"/>
      <c r="F4507" s="27"/>
      <c r="G4507" s="27" t="s">
        <v>11122</v>
      </c>
      <c r="H4507" s="27" t="s">
        <v>35</v>
      </c>
      <c r="I4507" s="27" t="s">
        <v>40</v>
      </c>
      <c r="J4507" s="28" t="s">
        <v>161</v>
      </c>
      <c r="K4507" s="27" t="s">
        <v>40</v>
      </c>
      <c r="L4507" s="27"/>
    </row>
    <row r="4508" customFormat="false" ht="15" hidden="false" customHeight="false" outlineLevel="0" collapsed="false">
      <c r="A4508" s="26" t="s">
        <v>13952</v>
      </c>
      <c r="B4508" s="27" t="s">
        <v>13953</v>
      </c>
      <c r="C4508" s="27" t="s">
        <v>144</v>
      </c>
      <c r="D4508" s="26"/>
      <c r="E4508" s="27"/>
      <c r="F4508" s="27"/>
      <c r="G4508" s="27" t="s">
        <v>11122</v>
      </c>
      <c r="H4508" s="27" t="s">
        <v>35</v>
      </c>
      <c r="I4508" s="27" t="s">
        <v>4159</v>
      </c>
      <c r="J4508" s="28" t="s">
        <v>161</v>
      </c>
      <c r="K4508" s="27" t="s">
        <v>40</v>
      </c>
      <c r="L4508" s="27"/>
    </row>
    <row r="4509" customFormat="false" ht="15" hidden="false" customHeight="false" outlineLevel="0" collapsed="false">
      <c r="A4509" s="26" t="s">
        <v>13954</v>
      </c>
      <c r="B4509" s="27" t="s">
        <v>13955</v>
      </c>
      <c r="C4509" s="27" t="s">
        <v>144</v>
      </c>
      <c r="D4509" s="26"/>
      <c r="E4509" s="27"/>
      <c r="F4509" s="27"/>
      <c r="G4509" s="27" t="s">
        <v>11122</v>
      </c>
      <c r="H4509" s="27" t="s">
        <v>35</v>
      </c>
      <c r="I4509" s="27" t="s">
        <v>40</v>
      </c>
      <c r="J4509" s="28" t="s">
        <v>161</v>
      </c>
      <c r="K4509" s="27" t="s">
        <v>40</v>
      </c>
      <c r="L4509" s="27"/>
    </row>
    <row r="4510" customFormat="false" ht="15" hidden="false" customHeight="false" outlineLevel="0" collapsed="false">
      <c r="A4510" s="26" t="s">
        <v>13956</v>
      </c>
      <c r="B4510" s="27" t="s">
        <v>13957</v>
      </c>
      <c r="C4510" s="27" t="s">
        <v>144</v>
      </c>
      <c r="D4510" s="26"/>
      <c r="E4510" s="27"/>
      <c r="F4510" s="27"/>
      <c r="G4510" s="27" t="s">
        <v>11122</v>
      </c>
      <c r="H4510" s="27" t="s">
        <v>35</v>
      </c>
      <c r="I4510" s="27" t="s">
        <v>40</v>
      </c>
      <c r="J4510" s="28" t="s">
        <v>161</v>
      </c>
      <c r="K4510" s="27" t="s">
        <v>40</v>
      </c>
      <c r="L4510" s="27"/>
    </row>
    <row r="4511" customFormat="false" ht="15" hidden="false" customHeight="false" outlineLevel="0" collapsed="false">
      <c r="A4511" s="26" t="s">
        <v>13958</v>
      </c>
      <c r="B4511" s="27" t="s">
        <v>13959</v>
      </c>
      <c r="C4511" s="27" t="s">
        <v>144</v>
      </c>
      <c r="D4511" s="26"/>
      <c r="E4511" s="27"/>
      <c r="F4511" s="27"/>
      <c r="G4511" s="27" t="s">
        <v>11122</v>
      </c>
      <c r="H4511" s="27" t="s">
        <v>35</v>
      </c>
      <c r="I4511" s="27" t="s">
        <v>40</v>
      </c>
      <c r="J4511" s="28" t="s">
        <v>161</v>
      </c>
      <c r="K4511" s="27" t="s">
        <v>40</v>
      </c>
      <c r="L4511" s="27"/>
    </row>
    <row r="4512" customFormat="false" ht="15" hidden="false" customHeight="false" outlineLevel="0" collapsed="false">
      <c r="A4512" s="26" t="s">
        <v>13960</v>
      </c>
      <c r="B4512" s="27" t="s">
        <v>13961</v>
      </c>
      <c r="C4512" s="27" t="s">
        <v>144</v>
      </c>
      <c r="D4512" s="26"/>
      <c r="E4512" s="27"/>
      <c r="F4512" s="27"/>
      <c r="G4512" s="27" t="s">
        <v>11122</v>
      </c>
      <c r="H4512" s="27" t="s">
        <v>35</v>
      </c>
      <c r="I4512" s="27" t="s">
        <v>44</v>
      </c>
      <c r="J4512" s="28" t="s">
        <v>161</v>
      </c>
      <c r="K4512" s="27" t="s">
        <v>40</v>
      </c>
      <c r="L4512" s="27"/>
    </row>
    <row r="4513" customFormat="false" ht="15" hidden="false" customHeight="false" outlineLevel="0" collapsed="false">
      <c r="A4513" s="26" t="s">
        <v>13962</v>
      </c>
      <c r="B4513" s="27" t="s">
        <v>13963</v>
      </c>
      <c r="C4513" s="27" t="s">
        <v>144</v>
      </c>
      <c r="D4513" s="26"/>
      <c r="E4513" s="27"/>
      <c r="F4513" s="27"/>
      <c r="G4513" s="27" t="s">
        <v>11122</v>
      </c>
      <c r="H4513" s="27" t="s">
        <v>35</v>
      </c>
      <c r="I4513" s="27" t="s">
        <v>43</v>
      </c>
      <c r="J4513" s="28" t="s">
        <v>161</v>
      </c>
      <c r="K4513" s="27" t="s">
        <v>40</v>
      </c>
      <c r="L4513" s="27"/>
    </row>
    <row r="4514" customFormat="false" ht="15" hidden="false" customHeight="false" outlineLevel="0" collapsed="false">
      <c r="A4514" s="26" t="s">
        <v>13964</v>
      </c>
      <c r="B4514" s="27" t="s">
        <v>13965</v>
      </c>
      <c r="C4514" s="27" t="s">
        <v>144</v>
      </c>
      <c r="D4514" s="26"/>
      <c r="E4514" s="27"/>
      <c r="F4514" s="27"/>
      <c r="G4514" s="27" t="s">
        <v>11122</v>
      </c>
      <c r="H4514" s="27" t="s">
        <v>35</v>
      </c>
      <c r="I4514" s="27" t="s">
        <v>40</v>
      </c>
      <c r="J4514" s="28" t="s">
        <v>161</v>
      </c>
      <c r="K4514" s="27" t="s">
        <v>40</v>
      </c>
      <c r="L4514" s="27"/>
    </row>
    <row r="4515" customFormat="false" ht="15" hidden="false" customHeight="false" outlineLevel="0" collapsed="false">
      <c r="A4515" s="26" t="s">
        <v>13966</v>
      </c>
      <c r="B4515" s="27" t="s">
        <v>13967</v>
      </c>
      <c r="C4515" s="27" t="s">
        <v>144</v>
      </c>
      <c r="D4515" s="26"/>
      <c r="E4515" s="27"/>
      <c r="F4515" s="27"/>
      <c r="G4515" s="27" t="s">
        <v>11122</v>
      </c>
      <c r="H4515" s="27" t="s">
        <v>35</v>
      </c>
      <c r="I4515" s="27" t="s">
        <v>37</v>
      </c>
      <c r="J4515" s="28" t="s">
        <v>161</v>
      </c>
      <c r="K4515" s="27" t="s">
        <v>40</v>
      </c>
      <c r="L4515" s="27"/>
    </row>
    <row r="4516" customFormat="false" ht="15" hidden="false" customHeight="false" outlineLevel="0" collapsed="false">
      <c r="A4516" s="26" t="s">
        <v>13968</v>
      </c>
      <c r="B4516" s="27" t="s">
        <v>13969</v>
      </c>
      <c r="C4516" s="27" t="s">
        <v>144</v>
      </c>
      <c r="D4516" s="26"/>
      <c r="E4516" s="27"/>
      <c r="F4516" s="27"/>
      <c r="G4516" s="27" t="s">
        <v>11122</v>
      </c>
      <c r="H4516" s="27" t="s">
        <v>35</v>
      </c>
      <c r="I4516" s="27" t="s">
        <v>37</v>
      </c>
      <c r="J4516" s="28" t="s">
        <v>161</v>
      </c>
      <c r="K4516" s="27" t="s">
        <v>40</v>
      </c>
      <c r="L4516" s="27"/>
    </row>
    <row r="4517" customFormat="false" ht="15" hidden="false" customHeight="false" outlineLevel="0" collapsed="false">
      <c r="A4517" s="26" t="s">
        <v>13970</v>
      </c>
      <c r="B4517" s="27" t="s">
        <v>13971</v>
      </c>
      <c r="C4517" s="27" t="s">
        <v>144</v>
      </c>
      <c r="D4517" s="26"/>
      <c r="E4517" s="27"/>
      <c r="F4517" s="27"/>
      <c r="G4517" s="27" t="s">
        <v>11122</v>
      </c>
      <c r="H4517" s="27" t="s">
        <v>35</v>
      </c>
      <c r="I4517" s="27" t="s">
        <v>37</v>
      </c>
      <c r="J4517" s="28" t="s">
        <v>161</v>
      </c>
      <c r="K4517" s="27" t="s">
        <v>40</v>
      </c>
      <c r="L4517" s="27"/>
    </row>
    <row r="4518" customFormat="false" ht="15" hidden="false" customHeight="false" outlineLevel="0" collapsed="false">
      <c r="A4518" s="26" t="s">
        <v>13972</v>
      </c>
      <c r="B4518" s="27" t="s">
        <v>13973</v>
      </c>
      <c r="C4518" s="27" t="s">
        <v>144</v>
      </c>
      <c r="D4518" s="26"/>
      <c r="E4518" s="27"/>
      <c r="F4518" s="27"/>
      <c r="G4518" s="27" t="s">
        <v>11122</v>
      </c>
      <c r="H4518" s="27" t="s">
        <v>35</v>
      </c>
      <c r="I4518" s="27" t="s">
        <v>37</v>
      </c>
      <c r="J4518" s="28" t="s">
        <v>161</v>
      </c>
      <c r="K4518" s="27" t="s">
        <v>40</v>
      </c>
      <c r="L4518" s="27"/>
    </row>
    <row r="4519" customFormat="false" ht="15" hidden="false" customHeight="false" outlineLevel="0" collapsed="false">
      <c r="A4519" s="26" t="s">
        <v>13974</v>
      </c>
      <c r="B4519" s="27" t="s">
        <v>13975</v>
      </c>
      <c r="C4519" s="27" t="s">
        <v>144</v>
      </c>
      <c r="D4519" s="26"/>
      <c r="E4519" s="27"/>
      <c r="F4519" s="27"/>
      <c r="G4519" s="27" t="s">
        <v>11122</v>
      </c>
      <c r="H4519" s="27" t="s">
        <v>35</v>
      </c>
      <c r="I4519" s="27" t="s">
        <v>37</v>
      </c>
      <c r="J4519" s="28" t="s">
        <v>161</v>
      </c>
      <c r="K4519" s="27" t="s">
        <v>40</v>
      </c>
      <c r="L4519" s="27"/>
    </row>
    <row r="4520" customFormat="false" ht="15" hidden="false" customHeight="false" outlineLevel="0" collapsed="false">
      <c r="A4520" s="26" t="s">
        <v>13976</v>
      </c>
      <c r="B4520" s="27" t="s">
        <v>13977</v>
      </c>
      <c r="C4520" s="27" t="s">
        <v>144</v>
      </c>
      <c r="D4520" s="26"/>
      <c r="E4520" s="27"/>
      <c r="F4520" s="27"/>
      <c r="G4520" s="27" t="s">
        <v>11122</v>
      </c>
      <c r="H4520" s="27" t="s">
        <v>35</v>
      </c>
      <c r="I4520" s="27" t="s">
        <v>48</v>
      </c>
      <c r="J4520" s="28" t="s">
        <v>161</v>
      </c>
      <c r="K4520" s="27" t="s">
        <v>40</v>
      </c>
      <c r="L4520" s="27"/>
    </row>
    <row r="4521" customFormat="false" ht="15" hidden="false" customHeight="false" outlineLevel="0" collapsed="false">
      <c r="A4521" s="26" t="s">
        <v>13978</v>
      </c>
      <c r="B4521" s="27" t="s">
        <v>13979</v>
      </c>
      <c r="C4521" s="27" t="s">
        <v>144</v>
      </c>
      <c r="D4521" s="26"/>
      <c r="E4521" s="27"/>
      <c r="F4521" s="27"/>
      <c r="G4521" s="27" t="s">
        <v>11122</v>
      </c>
      <c r="H4521" s="27" t="s">
        <v>35</v>
      </c>
      <c r="I4521" s="27" t="s">
        <v>41</v>
      </c>
      <c r="J4521" s="28" t="s">
        <v>161</v>
      </c>
      <c r="K4521" s="27" t="s">
        <v>40</v>
      </c>
      <c r="L4521" s="27"/>
    </row>
    <row r="4522" customFormat="false" ht="15" hidden="false" customHeight="false" outlineLevel="0" collapsed="false">
      <c r="A4522" s="26" t="s">
        <v>13980</v>
      </c>
      <c r="B4522" s="27" t="s">
        <v>13981</v>
      </c>
      <c r="C4522" s="27" t="s">
        <v>144</v>
      </c>
      <c r="D4522" s="26"/>
      <c r="E4522" s="27"/>
      <c r="F4522" s="27"/>
      <c r="G4522" s="27" t="s">
        <v>11122</v>
      </c>
      <c r="H4522" s="27" t="s">
        <v>35</v>
      </c>
      <c r="I4522" s="27" t="s">
        <v>41</v>
      </c>
      <c r="J4522" s="28" t="s">
        <v>161</v>
      </c>
      <c r="K4522" s="27" t="s">
        <v>40</v>
      </c>
      <c r="L4522" s="27"/>
    </row>
    <row r="4523" customFormat="false" ht="15" hidden="false" customHeight="false" outlineLevel="0" collapsed="false">
      <c r="A4523" s="26" t="s">
        <v>13982</v>
      </c>
      <c r="B4523" s="27" t="s">
        <v>13983</v>
      </c>
      <c r="C4523" s="27" t="s">
        <v>144</v>
      </c>
      <c r="D4523" s="26"/>
      <c r="E4523" s="27"/>
      <c r="F4523" s="27"/>
      <c r="G4523" s="27" t="s">
        <v>11122</v>
      </c>
      <c r="H4523" s="27" t="s">
        <v>35</v>
      </c>
      <c r="I4523" s="27" t="s">
        <v>41</v>
      </c>
      <c r="J4523" s="28" t="s">
        <v>161</v>
      </c>
      <c r="K4523" s="27" t="s">
        <v>40</v>
      </c>
      <c r="L4523" s="27"/>
    </row>
    <row r="4524" customFormat="false" ht="15" hidden="false" customHeight="false" outlineLevel="0" collapsed="false">
      <c r="A4524" s="26" t="s">
        <v>13984</v>
      </c>
      <c r="B4524" s="27" t="s">
        <v>13985</v>
      </c>
      <c r="C4524" s="27" t="s">
        <v>144</v>
      </c>
      <c r="D4524" s="26"/>
      <c r="E4524" s="27"/>
      <c r="F4524" s="27"/>
      <c r="G4524" s="27" t="s">
        <v>11122</v>
      </c>
      <c r="H4524" s="27" t="s">
        <v>35</v>
      </c>
      <c r="I4524" s="27" t="s">
        <v>41</v>
      </c>
      <c r="J4524" s="28" t="s">
        <v>161</v>
      </c>
      <c r="K4524" s="27" t="s">
        <v>40</v>
      </c>
      <c r="L4524" s="27"/>
    </row>
    <row r="4525" customFormat="false" ht="15" hidden="false" customHeight="false" outlineLevel="0" collapsed="false">
      <c r="A4525" s="26" t="s">
        <v>13986</v>
      </c>
      <c r="B4525" s="27" t="s">
        <v>13987</v>
      </c>
      <c r="C4525" s="27" t="s">
        <v>144</v>
      </c>
      <c r="D4525" s="26"/>
      <c r="E4525" s="27"/>
      <c r="F4525" s="27"/>
      <c r="G4525" s="27" t="s">
        <v>11122</v>
      </c>
      <c r="H4525" s="27" t="s">
        <v>35</v>
      </c>
      <c r="I4525" s="27" t="s">
        <v>41</v>
      </c>
      <c r="J4525" s="28" t="s">
        <v>161</v>
      </c>
      <c r="K4525" s="27" t="s">
        <v>40</v>
      </c>
      <c r="L4525" s="27"/>
    </row>
    <row r="4526" customFormat="false" ht="15" hidden="false" customHeight="false" outlineLevel="0" collapsed="false">
      <c r="A4526" s="26" t="s">
        <v>13988</v>
      </c>
      <c r="B4526" s="27" t="s">
        <v>13989</v>
      </c>
      <c r="C4526" s="27" t="s">
        <v>370</v>
      </c>
      <c r="D4526" s="26"/>
      <c r="E4526" s="27"/>
      <c r="F4526" s="27"/>
      <c r="G4526" s="27" t="s">
        <v>11122</v>
      </c>
      <c r="H4526" s="27" t="s">
        <v>35</v>
      </c>
      <c r="I4526" s="27" t="s">
        <v>40</v>
      </c>
      <c r="J4526" s="28" t="s">
        <v>161</v>
      </c>
      <c r="K4526" s="27" t="s">
        <v>40</v>
      </c>
      <c r="L4526" s="27"/>
    </row>
    <row r="4527" customFormat="false" ht="15" hidden="false" customHeight="false" outlineLevel="0" collapsed="false">
      <c r="A4527" s="26" t="s">
        <v>13990</v>
      </c>
      <c r="B4527" s="27" t="s">
        <v>13991</v>
      </c>
      <c r="C4527" s="27" t="s">
        <v>144</v>
      </c>
      <c r="D4527" s="26"/>
      <c r="E4527" s="27"/>
      <c r="F4527" s="27"/>
      <c r="G4527" s="27" t="s">
        <v>11122</v>
      </c>
      <c r="H4527" s="27" t="s">
        <v>35</v>
      </c>
      <c r="I4527" s="27" t="s">
        <v>41</v>
      </c>
      <c r="J4527" s="28" t="s">
        <v>161</v>
      </c>
      <c r="K4527" s="27" t="s">
        <v>40</v>
      </c>
      <c r="L4527" s="27"/>
    </row>
    <row r="4528" customFormat="false" ht="15" hidden="false" customHeight="false" outlineLevel="0" collapsed="false">
      <c r="A4528" s="26" t="s">
        <v>13992</v>
      </c>
      <c r="B4528" s="27" t="s">
        <v>13993</v>
      </c>
      <c r="C4528" s="27" t="s">
        <v>144</v>
      </c>
      <c r="D4528" s="26"/>
      <c r="E4528" s="27"/>
      <c r="F4528" s="27"/>
      <c r="G4528" s="27" t="s">
        <v>11122</v>
      </c>
      <c r="H4528" s="27" t="s">
        <v>35</v>
      </c>
      <c r="I4528" s="27" t="s">
        <v>40</v>
      </c>
      <c r="J4528" s="28" t="s">
        <v>161</v>
      </c>
      <c r="K4528" s="27" t="s">
        <v>40</v>
      </c>
      <c r="L4528" s="27"/>
    </row>
    <row r="4529" customFormat="false" ht="15" hidden="false" customHeight="false" outlineLevel="0" collapsed="false">
      <c r="A4529" s="26" t="s">
        <v>13994</v>
      </c>
      <c r="B4529" s="27" t="s">
        <v>13995</v>
      </c>
      <c r="C4529" s="27" t="s">
        <v>144</v>
      </c>
      <c r="D4529" s="26"/>
      <c r="E4529" s="27"/>
      <c r="F4529" s="27"/>
      <c r="G4529" s="27" t="s">
        <v>11122</v>
      </c>
      <c r="H4529" s="27" t="s">
        <v>35</v>
      </c>
      <c r="I4529" s="27" t="s">
        <v>41</v>
      </c>
      <c r="J4529" s="28" t="s">
        <v>161</v>
      </c>
      <c r="K4529" s="27" t="s">
        <v>40</v>
      </c>
      <c r="L4529" s="27"/>
    </row>
    <row r="4530" customFormat="false" ht="15" hidden="false" customHeight="false" outlineLevel="0" collapsed="false">
      <c r="A4530" s="26" t="s">
        <v>13996</v>
      </c>
      <c r="B4530" s="27" t="s">
        <v>13997</v>
      </c>
      <c r="C4530" s="27" t="s">
        <v>144</v>
      </c>
      <c r="D4530" s="26"/>
      <c r="E4530" s="27"/>
      <c r="F4530" s="27"/>
      <c r="G4530" s="27" t="s">
        <v>11122</v>
      </c>
      <c r="H4530" s="27" t="s">
        <v>35</v>
      </c>
      <c r="I4530" s="27" t="s">
        <v>41</v>
      </c>
      <c r="J4530" s="28" t="s">
        <v>161</v>
      </c>
      <c r="K4530" s="27" t="s">
        <v>40</v>
      </c>
      <c r="L4530" s="27"/>
    </row>
    <row r="4531" customFormat="false" ht="15" hidden="false" customHeight="false" outlineLevel="0" collapsed="false">
      <c r="A4531" s="26" t="s">
        <v>13998</v>
      </c>
      <c r="B4531" s="27" t="s">
        <v>13999</v>
      </c>
      <c r="C4531" s="27" t="s">
        <v>144</v>
      </c>
      <c r="D4531" s="26"/>
      <c r="E4531" s="27"/>
      <c r="F4531" s="27"/>
      <c r="G4531" s="27" t="s">
        <v>11122</v>
      </c>
      <c r="H4531" s="27" t="s">
        <v>35</v>
      </c>
      <c r="I4531" s="27" t="s">
        <v>41</v>
      </c>
      <c r="J4531" s="28" t="s">
        <v>161</v>
      </c>
      <c r="K4531" s="27" t="s">
        <v>40</v>
      </c>
      <c r="L4531" s="27"/>
    </row>
    <row r="4532" customFormat="false" ht="15" hidden="false" customHeight="false" outlineLevel="0" collapsed="false">
      <c r="A4532" s="26" t="s">
        <v>14000</v>
      </c>
      <c r="B4532" s="27" t="s">
        <v>14001</v>
      </c>
      <c r="C4532" s="27" t="s">
        <v>144</v>
      </c>
      <c r="D4532" s="26"/>
      <c r="E4532" s="27"/>
      <c r="F4532" s="27"/>
      <c r="G4532" s="27" t="s">
        <v>11122</v>
      </c>
      <c r="H4532" s="27" t="s">
        <v>35</v>
      </c>
      <c r="I4532" s="27" t="s">
        <v>41</v>
      </c>
      <c r="J4532" s="28" t="s">
        <v>161</v>
      </c>
      <c r="K4532" s="27" t="s">
        <v>40</v>
      </c>
      <c r="L4532" s="27"/>
    </row>
    <row r="4533" customFormat="false" ht="15" hidden="false" customHeight="false" outlineLevel="0" collapsed="false">
      <c r="A4533" s="26" t="s">
        <v>14002</v>
      </c>
      <c r="B4533" s="27" t="s">
        <v>14003</v>
      </c>
      <c r="C4533" s="27" t="s">
        <v>144</v>
      </c>
      <c r="D4533" s="26"/>
      <c r="E4533" s="27"/>
      <c r="F4533" s="27"/>
      <c r="G4533" s="27" t="s">
        <v>11122</v>
      </c>
      <c r="H4533" s="27" t="s">
        <v>35</v>
      </c>
      <c r="I4533" s="27" t="s">
        <v>41</v>
      </c>
      <c r="J4533" s="28" t="s">
        <v>161</v>
      </c>
      <c r="K4533" s="27" t="s">
        <v>40</v>
      </c>
      <c r="L4533" s="27"/>
    </row>
    <row r="4534" customFormat="false" ht="15" hidden="false" customHeight="false" outlineLevel="0" collapsed="false">
      <c r="A4534" s="26" t="s">
        <v>14004</v>
      </c>
      <c r="B4534" s="27" t="s">
        <v>14005</v>
      </c>
      <c r="C4534" s="27" t="s">
        <v>370</v>
      </c>
      <c r="D4534" s="26"/>
      <c r="E4534" s="27"/>
      <c r="F4534" s="27"/>
      <c r="G4534" s="27" t="s">
        <v>11122</v>
      </c>
      <c r="H4534" s="27" t="s">
        <v>35</v>
      </c>
      <c r="I4534" s="27" t="s">
        <v>37</v>
      </c>
      <c r="J4534" s="28" t="s">
        <v>161</v>
      </c>
      <c r="K4534" s="27" t="s">
        <v>40</v>
      </c>
      <c r="L4534" s="27"/>
    </row>
    <row r="4535" customFormat="false" ht="15" hidden="false" customHeight="false" outlineLevel="0" collapsed="false">
      <c r="A4535" s="26" t="s">
        <v>14006</v>
      </c>
      <c r="B4535" s="27" t="s">
        <v>14007</v>
      </c>
      <c r="C4535" s="27" t="s">
        <v>144</v>
      </c>
      <c r="D4535" s="26"/>
      <c r="E4535" s="27"/>
      <c r="F4535" s="27"/>
      <c r="G4535" s="27" t="s">
        <v>11122</v>
      </c>
      <c r="H4535" s="27" t="s">
        <v>35</v>
      </c>
      <c r="I4535" s="27" t="s">
        <v>41</v>
      </c>
      <c r="J4535" s="28" t="s">
        <v>161</v>
      </c>
      <c r="K4535" s="27" t="s">
        <v>40</v>
      </c>
      <c r="L4535" s="27"/>
    </row>
    <row r="4536" customFormat="false" ht="15" hidden="false" customHeight="false" outlineLevel="0" collapsed="false">
      <c r="A4536" s="26" t="s">
        <v>14008</v>
      </c>
      <c r="B4536" s="27" t="s">
        <v>14009</v>
      </c>
      <c r="C4536" s="27" t="s">
        <v>144</v>
      </c>
      <c r="D4536" s="26"/>
      <c r="E4536" s="27"/>
      <c r="F4536" s="27"/>
      <c r="G4536" s="27" t="s">
        <v>11122</v>
      </c>
      <c r="H4536" s="27" t="s">
        <v>35</v>
      </c>
      <c r="I4536" s="27" t="s">
        <v>40</v>
      </c>
      <c r="J4536" s="28" t="s">
        <v>161</v>
      </c>
      <c r="K4536" s="27" t="s">
        <v>40</v>
      </c>
      <c r="L4536" s="27"/>
    </row>
    <row r="4537" customFormat="false" ht="15" hidden="false" customHeight="false" outlineLevel="0" collapsed="false">
      <c r="A4537" s="26" t="s">
        <v>14010</v>
      </c>
      <c r="B4537" s="27" t="s">
        <v>14011</v>
      </c>
      <c r="C4537" s="27" t="s">
        <v>144</v>
      </c>
      <c r="D4537" s="26"/>
      <c r="E4537" s="27"/>
      <c r="F4537" s="27"/>
      <c r="G4537" s="27" t="s">
        <v>11122</v>
      </c>
      <c r="H4537" s="27" t="s">
        <v>35</v>
      </c>
      <c r="I4537" s="27" t="s">
        <v>40</v>
      </c>
      <c r="J4537" s="28" t="s">
        <v>161</v>
      </c>
      <c r="K4537" s="27" t="s">
        <v>40</v>
      </c>
      <c r="L4537" s="27"/>
    </row>
    <row r="4538" customFormat="false" ht="15" hidden="false" customHeight="false" outlineLevel="0" collapsed="false">
      <c r="A4538" s="26" t="s">
        <v>14012</v>
      </c>
      <c r="B4538" s="27" t="s">
        <v>14013</v>
      </c>
      <c r="C4538" s="27" t="s">
        <v>144</v>
      </c>
      <c r="D4538" s="26"/>
      <c r="E4538" s="27"/>
      <c r="F4538" s="27"/>
      <c r="G4538" s="27" t="s">
        <v>11122</v>
      </c>
      <c r="H4538" s="27" t="s">
        <v>35</v>
      </c>
      <c r="I4538" s="27" t="s">
        <v>41</v>
      </c>
      <c r="J4538" s="28" t="s">
        <v>161</v>
      </c>
      <c r="K4538" s="27" t="s">
        <v>40</v>
      </c>
      <c r="L4538" s="27"/>
    </row>
    <row r="4539" customFormat="false" ht="15" hidden="false" customHeight="false" outlineLevel="0" collapsed="false">
      <c r="A4539" s="26" t="s">
        <v>14014</v>
      </c>
      <c r="B4539" s="27" t="s">
        <v>14015</v>
      </c>
      <c r="C4539" s="27" t="s">
        <v>144</v>
      </c>
      <c r="D4539" s="26"/>
      <c r="E4539" s="27"/>
      <c r="F4539" s="27"/>
      <c r="G4539" s="27" t="s">
        <v>11122</v>
      </c>
      <c r="H4539" s="27" t="s">
        <v>35</v>
      </c>
      <c r="I4539" s="27" t="s">
        <v>41</v>
      </c>
      <c r="J4539" s="28" t="s">
        <v>161</v>
      </c>
      <c r="K4539" s="27" t="s">
        <v>40</v>
      </c>
      <c r="L4539" s="27"/>
    </row>
    <row r="4540" customFormat="false" ht="15" hidden="false" customHeight="false" outlineLevel="0" collapsed="false">
      <c r="A4540" s="26" t="s">
        <v>14016</v>
      </c>
      <c r="B4540" s="27" t="s">
        <v>14017</v>
      </c>
      <c r="C4540" s="27" t="s">
        <v>144</v>
      </c>
      <c r="D4540" s="26"/>
      <c r="E4540" s="27"/>
      <c r="F4540" s="27"/>
      <c r="G4540" s="27" t="s">
        <v>11122</v>
      </c>
      <c r="H4540" s="27" t="s">
        <v>35</v>
      </c>
      <c r="I4540" s="27" t="s">
        <v>41</v>
      </c>
      <c r="J4540" s="28" t="s">
        <v>161</v>
      </c>
      <c r="K4540" s="27" t="s">
        <v>40</v>
      </c>
      <c r="L4540" s="27"/>
    </row>
    <row r="4541" customFormat="false" ht="15" hidden="false" customHeight="false" outlineLevel="0" collapsed="false">
      <c r="A4541" s="26" t="s">
        <v>14018</v>
      </c>
      <c r="B4541" s="27" t="s">
        <v>14019</v>
      </c>
      <c r="C4541" s="27" t="s">
        <v>144</v>
      </c>
      <c r="D4541" s="26"/>
      <c r="E4541" s="27"/>
      <c r="F4541" s="27"/>
      <c r="G4541" s="27" t="s">
        <v>11122</v>
      </c>
      <c r="H4541" s="27" t="s">
        <v>35</v>
      </c>
      <c r="I4541" s="28" t="s">
        <v>46</v>
      </c>
      <c r="J4541" s="28" t="s">
        <v>161</v>
      </c>
      <c r="K4541" s="27" t="s">
        <v>40</v>
      </c>
      <c r="L4541" s="27"/>
    </row>
    <row r="4542" customFormat="false" ht="15" hidden="false" customHeight="false" outlineLevel="0" collapsed="false">
      <c r="A4542" s="26" t="s">
        <v>14020</v>
      </c>
      <c r="B4542" s="27" t="s">
        <v>14021</v>
      </c>
      <c r="C4542" s="27" t="s">
        <v>144</v>
      </c>
      <c r="D4542" s="26"/>
      <c r="E4542" s="27"/>
      <c r="F4542" s="27"/>
      <c r="G4542" s="27" t="s">
        <v>11122</v>
      </c>
      <c r="H4542" s="27" t="s">
        <v>35</v>
      </c>
      <c r="I4542" s="27" t="s">
        <v>41</v>
      </c>
      <c r="J4542" s="28" t="s">
        <v>161</v>
      </c>
      <c r="K4542" s="27" t="s">
        <v>40</v>
      </c>
      <c r="L4542" s="27"/>
    </row>
    <row r="4543" customFormat="false" ht="15" hidden="false" customHeight="false" outlineLevel="0" collapsed="false">
      <c r="A4543" s="26" t="s">
        <v>14022</v>
      </c>
      <c r="B4543" s="27" t="s">
        <v>14023</v>
      </c>
      <c r="C4543" s="27" t="s">
        <v>144</v>
      </c>
      <c r="D4543" s="26"/>
      <c r="E4543" s="27"/>
      <c r="F4543" s="27"/>
      <c r="G4543" s="27" t="s">
        <v>11122</v>
      </c>
      <c r="H4543" s="27" t="s">
        <v>35</v>
      </c>
      <c r="I4543" s="27" t="s">
        <v>41</v>
      </c>
      <c r="J4543" s="28" t="s">
        <v>161</v>
      </c>
      <c r="K4543" s="27" t="s">
        <v>40</v>
      </c>
      <c r="L4543" s="27"/>
    </row>
    <row r="4544" customFormat="false" ht="15" hidden="false" customHeight="false" outlineLevel="0" collapsed="false">
      <c r="A4544" s="26" t="s">
        <v>14024</v>
      </c>
      <c r="B4544" s="27" t="s">
        <v>14025</v>
      </c>
      <c r="C4544" s="27" t="s">
        <v>144</v>
      </c>
      <c r="D4544" s="26"/>
      <c r="E4544" s="27"/>
      <c r="F4544" s="27"/>
      <c r="G4544" s="27" t="s">
        <v>11122</v>
      </c>
      <c r="H4544" s="27" t="s">
        <v>35</v>
      </c>
      <c r="I4544" s="27" t="s">
        <v>41</v>
      </c>
      <c r="J4544" s="28" t="s">
        <v>161</v>
      </c>
      <c r="K4544" s="27" t="s">
        <v>40</v>
      </c>
      <c r="L4544" s="27"/>
    </row>
    <row r="4545" customFormat="false" ht="15" hidden="false" customHeight="false" outlineLevel="0" collapsed="false">
      <c r="A4545" s="26" t="s">
        <v>14026</v>
      </c>
      <c r="B4545" s="27" t="s">
        <v>14027</v>
      </c>
      <c r="C4545" s="27" t="s">
        <v>144</v>
      </c>
      <c r="D4545" s="26"/>
      <c r="E4545" s="27"/>
      <c r="F4545" s="27"/>
      <c r="G4545" s="27" t="s">
        <v>11122</v>
      </c>
      <c r="H4545" s="27" t="s">
        <v>35</v>
      </c>
      <c r="I4545" s="27" t="s">
        <v>41</v>
      </c>
      <c r="J4545" s="28" t="s">
        <v>161</v>
      </c>
      <c r="K4545" s="27" t="s">
        <v>40</v>
      </c>
      <c r="L4545" s="27"/>
    </row>
    <row r="4546" customFormat="false" ht="15" hidden="false" customHeight="false" outlineLevel="0" collapsed="false">
      <c r="A4546" s="26" t="s">
        <v>14028</v>
      </c>
      <c r="B4546" s="27" t="s">
        <v>14029</v>
      </c>
      <c r="C4546" s="27" t="s">
        <v>144</v>
      </c>
      <c r="D4546" s="26"/>
      <c r="E4546" s="27"/>
      <c r="F4546" s="27"/>
      <c r="G4546" s="27" t="s">
        <v>11122</v>
      </c>
      <c r="H4546" s="27" t="s">
        <v>35</v>
      </c>
      <c r="I4546" s="27" t="s">
        <v>41</v>
      </c>
      <c r="J4546" s="28" t="s">
        <v>161</v>
      </c>
      <c r="K4546" s="27" t="s">
        <v>40</v>
      </c>
      <c r="L4546" s="27"/>
    </row>
    <row r="4547" customFormat="false" ht="15" hidden="false" customHeight="false" outlineLevel="0" collapsed="false">
      <c r="A4547" s="26" t="s">
        <v>14030</v>
      </c>
      <c r="B4547" s="27" t="s">
        <v>14031</v>
      </c>
      <c r="C4547" s="27" t="s">
        <v>144</v>
      </c>
      <c r="D4547" s="26"/>
      <c r="E4547" s="27"/>
      <c r="F4547" s="27"/>
      <c r="G4547" s="27" t="s">
        <v>11122</v>
      </c>
      <c r="H4547" s="27" t="s">
        <v>35</v>
      </c>
      <c r="I4547" s="27" t="s">
        <v>41</v>
      </c>
      <c r="J4547" s="28" t="s">
        <v>161</v>
      </c>
      <c r="K4547" s="27" t="s">
        <v>40</v>
      </c>
      <c r="L4547" s="27"/>
    </row>
    <row r="4548" customFormat="false" ht="15" hidden="false" customHeight="false" outlineLevel="0" collapsed="false">
      <c r="A4548" s="26" t="s">
        <v>14032</v>
      </c>
      <c r="B4548" s="27" t="s">
        <v>14033</v>
      </c>
      <c r="C4548" s="27" t="s">
        <v>144</v>
      </c>
      <c r="D4548" s="26"/>
      <c r="E4548" s="27"/>
      <c r="F4548" s="27"/>
      <c r="G4548" s="27" t="s">
        <v>11122</v>
      </c>
      <c r="H4548" s="27" t="s">
        <v>35</v>
      </c>
      <c r="I4548" s="27" t="s">
        <v>38</v>
      </c>
      <c r="J4548" s="28" t="s">
        <v>161</v>
      </c>
      <c r="K4548" s="27" t="s">
        <v>40</v>
      </c>
      <c r="L4548" s="27"/>
    </row>
    <row r="4549" customFormat="false" ht="15" hidden="false" customHeight="false" outlineLevel="0" collapsed="false">
      <c r="A4549" s="26" t="s">
        <v>14034</v>
      </c>
      <c r="B4549" s="27" t="s">
        <v>14035</v>
      </c>
      <c r="C4549" s="27" t="s">
        <v>370</v>
      </c>
      <c r="D4549" s="26"/>
      <c r="E4549" s="27"/>
      <c r="F4549" s="27"/>
      <c r="G4549" s="27" t="s">
        <v>11122</v>
      </c>
      <c r="H4549" s="27" t="s">
        <v>35</v>
      </c>
      <c r="I4549" s="27" t="s">
        <v>37</v>
      </c>
      <c r="J4549" s="28" t="s">
        <v>161</v>
      </c>
      <c r="K4549" s="27" t="s">
        <v>40</v>
      </c>
      <c r="L4549" s="27"/>
    </row>
    <row r="4550" customFormat="false" ht="15" hidden="false" customHeight="false" outlineLevel="0" collapsed="false">
      <c r="A4550" s="26" t="s">
        <v>14036</v>
      </c>
      <c r="B4550" s="27" t="s">
        <v>14037</v>
      </c>
      <c r="C4550" s="27" t="s">
        <v>144</v>
      </c>
      <c r="D4550" s="26"/>
      <c r="E4550" s="27"/>
      <c r="F4550" s="27"/>
      <c r="G4550" s="27" t="s">
        <v>11122</v>
      </c>
      <c r="H4550" s="27" t="s">
        <v>35</v>
      </c>
      <c r="I4550" s="27" t="s">
        <v>41</v>
      </c>
      <c r="J4550" s="28" t="s">
        <v>161</v>
      </c>
      <c r="K4550" s="27" t="s">
        <v>40</v>
      </c>
      <c r="L4550" s="27"/>
    </row>
    <row r="4551" customFormat="false" ht="15" hidden="false" customHeight="false" outlineLevel="0" collapsed="false">
      <c r="A4551" s="26" t="s">
        <v>14038</v>
      </c>
      <c r="B4551" s="27" t="s">
        <v>14039</v>
      </c>
      <c r="C4551" s="27" t="s">
        <v>144</v>
      </c>
      <c r="D4551" s="26"/>
      <c r="E4551" s="27"/>
      <c r="F4551" s="27"/>
      <c r="G4551" s="27" t="s">
        <v>11122</v>
      </c>
      <c r="H4551" s="27" t="s">
        <v>35</v>
      </c>
      <c r="I4551" s="27" t="s">
        <v>41</v>
      </c>
      <c r="J4551" s="28" t="s">
        <v>161</v>
      </c>
      <c r="K4551" s="27" t="s">
        <v>40</v>
      </c>
      <c r="L4551" s="27"/>
    </row>
    <row r="4552" customFormat="false" ht="15" hidden="false" customHeight="false" outlineLevel="0" collapsed="false">
      <c r="A4552" s="26" t="s">
        <v>14040</v>
      </c>
      <c r="B4552" s="27" t="s">
        <v>14041</v>
      </c>
      <c r="C4552" s="27" t="s">
        <v>144</v>
      </c>
      <c r="D4552" s="26"/>
      <c r="E4552" s="27"/>
      <c r="F4552" s="27"/>
      <c r="G4552" s="27" t="s">
        <v>11122</v>
      </c>
      <c r="H4552" s="27" t="s">
        <v>35</v>
      </c>
      <c r="I4552" s="27" t="s">
        <v>37</v>
      </c>
      <c r="J4552" s="28" t="s">
        <v>161</v>
      </c>
      <c r="K4552" s="27" t="s">
        <v>40</v>
      </c>
      <c r="L4552" s="27"/>
    </row>
    <row r="4553" customFormat="false" ht="15" hidden="false" customHeight="false" outlineLevel="0" collapsed="false">
      <c r="A4553" s="26" t="s">
        <v>14042</v>
      </c>
      <c r="B4553" s="27" t="s">
        <v>14043</v>
      </c>
      <c r="C4553" s="27" t="s">
        <v>144</v>
      </c>
      <c r="D4553" s="26"/>
      <c r="E4553" s="27"/>
      <c r="F4553" s="27"/>
      <c r="G4553" s="27" t="s">
        <v>11122</v>
      </c>
      <c r="H4553" s="27" t="s">
        <v>35</v>
      </c>
      <c r="I4553" s="27" t="s">
        <v>41</v>
      </c>
      <c r="J4553" s="28" t="s">
        <v>161</v>
      </c>
      <c r="K4553" s="27" t="s">
        <v>40</v>
      </c>
      <c r="L4553" s="27"/>
    </row>
    <row r="4554" customFormat="false" ht="15" hidden="false" customHeight="false" outlineLevel="0" collapsed="false">
      <c r="A4554" s="26" t="s">
        <v>14044</v>
      </c>
      <c r="B4554" s="27" t="s">
        <v>14045</v>
      </c>
      <c r="C4554" s="27" t="s">
        <v>144</v>
      </c>
      <c r="D4554" s="26"/>
      <c r="E4554" s="27"/>
      <c r="F4554" s="27"/>
      <c r="G4554" s="27" t="s">
        <v>11122</v>
      </c>
      <c r="H4554" s="27" t="s">
        <v>35</v>
      </c>
      <c r="I4554" s="27" t="s">
        <v>41</v>
      </c>
      <c r="J4554" s="28" t="s">
        <v>161</v>
      </c>
      <c r="K4554" s="27" t="s">
        <v>40</v>
      </c>
      <c r="L4554" s="27"/>
    </row>
    <row r="4555" customFormat="false" ht="15" hidden="false" customHeight="false" outlineLevel="0" collapsed="false">
      <c r="A4555" s="26" t="s">
        <v>14046</v>
      </c>
      <c r="B4555" s="27" t="s">
        <v>14047</v>
      </c>
      <c r="C4555" s="27" t="s">
        <v>144</v>
      </c>
      <c r="D4555" s="26"/>
      <c r="E4555" s="27"/>
      <c r="F4555" s="27"/>
      <c r="G4555" s="27" t="s">
        <v>11122</v>
      </c>
      <c r="H4555" s="27" t="s">
        <v>35</v>
      </c>
      <c r="I4555" s="27" t="s">
        <v>39</v>
      </c>
      <c r="J4555" s="28" t="s">
        <v>161</v>
      </c>
      <c r="K4555" s="27" t="s">
        <v>40</v>
      </c>
      <c r="L4555" s="27"/>
    </row>
    <row r="4556" customFormat="false" ht="15" hidden="false" customHeight="false" outlineLevel="0" collapsed="false">
      <c r="A4556" s="26" t="s">
        <v>14048</v>
      </c>
      <c r="B4556" s="27" t="s">
        <v>14049</v>
      </c>
      <c r="C4556" s="27" t="s">
        <v>144</v>
      </c>
      <c r="D4556" s="26"/>
      <c r="E4556" s="27"/>
      <c r="F4556" s="27"/>
      <c r="G4556" s="27" t="s">
        <v>11122</v>
      </c>
      <c r="H4556" s="27" t="s">
        <v>35</v>
      </c>
      <c r="I4556" s="27" t="s">
        <v>41</v>
      </c>
      <c r="J4556" s="28" t="s">
        <v>161</v>
      </c>
      <c r="K4556" s="27" t="s">
        <v>40</v>
      </c>
      <c r="L4556" s="27"/>
    </row>
    <row r="4557" customFormat="false" ht="15" hidden="false" customHeight="false" outlineLevel="0" collapsed="false">
      <c r="A4557" s="26" t="s">
        <v>14050</v>
      </c>
      <c r="B4557" s="27" t="s">
        <v>14051</v>
      </c>
      <c r="C4557" s="27" t="s">
        <v>144</v>
      </c>
      <c r="D4557" s="26"/>
      <c r="E4557" s="27"/>
      <c r="F4557" s="27"/>
      <c r="G4557" s="27" t="s">
        <v>11122</v>
      </c>
      <c r="H4557" s="27" t="s">
        <v>35</v>
      </c>
      <c r="I4557" s="27" t="s">
        <v>41</v>
      </c>
      <c r="J4557" s="28" t="s">
        <v>161</v>
      </c>
      <c r="K4557" s="27" t="s">
        <v>40</v>
      </c>
      <c r="L4557" s="27"/>
    </row>
    <row r="4558" customFormat="false" ht="15" hidden="false" customHeight="false" outlineLevel="0" collapsed="false">
      <c r="A4558" s="26" t="s">
        <v>14052</v>
      </c>
      <c r="B4558" s="27" t="s">
        <v>14053</v>
      </c>
      <c r="C4558" s="27" t="s">
        <v>144</v>
      </c>
      <c r="D4558" s="26"/>
      <c r="E4558" s="27"/>
      <c r="F4558" s="27"/>
      <c r="G4558" s="27" t="s">
        <v>11122</v>
      </c>
      <c r="H4558" s="27" t="s">
        <v>35</v>
      </c>
      <c r="I4558" s="27" t="s">
        <v>41</v>
      </c>
      <c r="J4558" s="28" t="s">
        <v>161</v>
      </c>
      <c r="K4558" s="27" t="s">
        <v>40</v>
      </c>
      <c r="L4558" s="27"/>
    </row>
    <row r="4559" customFormat="false" ht="15" hidden="false" customHeight="false" outlineLevel="0" collapsed="false">
      <c r="A4559" s="26" t="s">
        <v>14054</v>
      </c>
      <c r="B4559" s="27" t="s">
        <v>14055</v>
      </c>
      <c r="C4559" s="27" t="s">
        <v>370</v>
      </c>
      <c r="D4559" s="26"/>
      <c r="E4559" s="27"/>
      <c r="F4559" s="27"/>
      <c r="G4559" s="27" t="s">
        <v>11122</v>
      </c>
      <c r="H4559" s="27" t="s">
        <v>35</v>
      </c>
      <c r="I4559" s="27" t="s">
        <v>41</v>
      </c>
      <c r="J4559" s="28" t="s">
        <v>161</v>
      </c>
      <c r="K4559" s="27" t="s">
        <v>40</v>
      </c>
      <c r="L4559" s="27"/>
    </row>
    <row r="4560" customFormat="false" ht="15" hidden="false" customHeight="false" outlineLevel="0" collapsed="false">
      <c r="A4560" s="26" t="s">
        <v>14056</v>
      </c>
      <c r="B4560" s="27" t="s">
        <v>14057</v>
      </c>
      <c r="C4560" s="27" t="s">
        <v>144</v>
      </c>
      <c r="D4560" s="26"/>
      <c r="E4560" s="27"/>
      <c r="F4560" s="27"/>
      <c r="G4560" s="27" t="s">
        <v>11122</v>
      </c>
      <c r="H4560" s="27" t="s">
        <v>35</v>
      </c>
      <c r="I4560" s="27" t="s">
        <v>37</v>
      </c>
      <c r="J4560" s="28" t="s">
        <v>161</v>
      </c>
      <c r="K4560" s="27" t="s">
        <v>40</v>
      </c>
      <c r="L4560" s="27"/>
    </row>
    <row r="4561" customFormat="false" ht="15" hidden="false" customHeight="false" outlineLevel="0" collapsed="false">
      <c r="A4561" s="26" t="s">
        <v>14058</v>
      </c>
      <c r="B4561" s="27" t="s">
        <v>14059</v>
      </c>
      <c r="C4561" s="27" t="s">
        <v>144</v>
      </c>
      <c r="D4561" s="26"/>
      <c r="E4561" s="27"/>
      <c r="F4561" s="27"/>
      <c r="G4561" s="27" t="s">
        <v>11122</v>
      </c>
      <c r="H4561" s="27" t="s">
        <v>35</v>
      </c>
      <c r="I4561" s="27" t="s">
        <v>38</v>
      </c>
      <c r="J4561" s="28" t="s">
        <v>161</v>
      </c>
      <c r="K4561" s="27" t="s">
        <v>40</v>
      </c>
      <c r="L4561" s="27"/>
    </row>
    <row r="4562" customFormat="false" ht="15" hidden="false" customHeight="false" outlineLevel="0" collapsed="false">
      <c r="A4562" s="26" t="s">
        <v>14060</v>
      </c>
      <c r="B4562" s="27" t="s">
        <v>14061</v>
      </c>
      <c r="C4562" s="27" t="s">
        <v>144</v>
      </c>
      <c r="D4562" s="26"/>
      <c r="E4562" s="27"/>
      <c r="F4562" s="27"/>
      <c r="G4562" s="27" t="s">
        <v>11122</v>
      </c>
      <c r="H4562" s="27" t="s">
        <v>35</v>
      </c>
      <c r="I4562" s="27" t="s">
        <v>39</v>
      </c>
      <c r="J4562" s="28" t="s">
        <v>161</v>
      </c>
      <c r="K4562" s="27" t="s">
        <v>40</v>
      </c>
      <c r="L4562" s="27"/>
    </row>
    <row r="4563" customFormat="false" ht="15" hidden="false" customHeight="false" outlineLevel="0" collapsed="false">
      <c r="A4563" s="26" t="s">
        <v>14062</v>
      </c>
      <c r="B4563" s="27" t="s">
        <v>14063</v>
      </c>
      <c r="C4563" s="27" t="s">
        <v>144</v>
      </c>
      <c r="D4563" s="26"/>
      <c r="E4563" s="27"/>
      <c r="F4563" s="27"/>
      <c r="G4563" s="27" t="s">
        <v>11122</v>
      </c>
      <c r="H4563" s="27" t="s">
        <v>35</v>
      </c>
      <c r="I4563" s="27" t="s">
        <v>37</v>
      </c>
      <c r="J4563" s="28" t="s">
        <v>161</v>
      </c>
      <c r="K4563" s="27" t="s">
        <v>40</v>
      </c>
      <c r="L4563" s="27"/>
    </row>
    <row r="4564" customFormat="false" ht="15" hidden="false" customHeight="false" outlineLevel="0" collapsed="false">
      <c r="A4564" s="26" t="s">
        <v>14064</v>
      </c>
      <c r="B4564" s="27" t="s">
        <v>14065</v>
      </c>
      <c r="C4564" s="27" t="s">
        <v>144</v>
      </c>
      <c r="D4564" s="26"/>
      <c r="E4564" s="27"/>
      <c r="F4564" s="27"/>
      <c r="G4564" s="27" t="s">
        <v>11122</v>
      </c>
      <c r="H4564" s="27" t="s">
        <v>35</v>
      </c>
      <c r="I4564" s="28" t="s">
        <v>46</v>
      </c>
      <c r="J4564" s="28" t="s">
        <v>161</v>
      </c>
      <c r="K4564" s="27" t="s">
        <v>40</v>
      </c>
      <c r="L4564" s="27"/>
    </row>
    <row r="4565" customFormat="false" ht="15" hidden="false" customHeight="false" outlineLevel="0" collapsed="false">
      <c r="A4565" s="26" t="s">
        <v>14066</v>
      </c>
      <c r="B4565" s="27" t="s">
        <v>14067</v>
      </c>
      <c r="C4565" s="27" t="s">
        <v>144</v>
      </c>
      <c r="D4565" s="26"/>
      <c r="E4565" s="27"/>
      <c r="F4565" s="27"/>
      <c r="G4565" s="27" t="s">
        <v>11122</v>
      </c>
      <c r="H4565" s="27" t="s">
        <v>35</v>
      </c>
      <c r="I4565" s="28" t="s">
        <v>46</v>
      </c>
      <c r="J4565" s="28" t="s">
        <v>161</v>
      </c>
      <c r="K4565" s="27" t="s">
        <v>40</v>
      </c>
      <c r="L4565" s="27"/>
    </row>
    <row r="4566" customFormat="false" ht="15" hidden="false" customHeight="false" outlineLevel="0" collapsed="false">
      <c r="A4566" s="26" t="s">
        <v>14068</v>
      </c>
      <c r="B4566" s="27" t="s">
        <v>14069</v>
      </c>
      <c r="C4566" s="27" t="s">
        <v>370</v>
      </c>
      <c r="D4566" s="26"/>
      <c r="E4566" s="27"/>
      <c r="F4566" s="27"/>
      <c r="G4566" s="27" t="s">
        <v>11122</v>
      </c>
      <c r="H4566" s="27" t="s">
        <v>35</v>
      </c>
      <c r="I4566" s="27" t="s">
        <v>40</v>
      </c>
      <c r="J4566" s="28" t="s">
        <v>161</v>
      </c>
      <c r="K4566" s="27" t="s">
        <v>40</v>
      </c>
      <c r="L4566" s="27"/>
    </row>
    <row r="4567" customFormat="false" ht="15" hidden="false" customHeight="false" outlineLevel="0" collapsed="false">
      <c r="A4567" s="26" t="s">
        <v>14070</v>
      </c>
      <c r="B4567" s="27" t="s">
        <v>14071</v>
      </c>
      <c r="C4567" s="27" t="s">
        <v>144</v>
      </c>
      <c r="D4567" s="26"/>
      <c r="E4567" s="27"/>
      <c r="F4567" s="27"/>
      <c r="G4567" s="27" t="s">
        <v>11122</v>
      </c>
      <c r="H4567" s="27" t="s">
        <v>35</v>
      </c>
      <c r="I4567" s="28" t="s">
        <v>46</v>
      </c>
      <c r="J4567" s="28" t="s">
        <v>161</v>
      </c>
      <c r="K4567" s="27" t="s">
        <v>40</v>
      </c>
      <c r="L4567" s="27"/>
    </row>
    <row r="4568" customFormat="false" ht="15" hidden="false" customHeight="false" outlineLevel="0" collapsed="false">
      <c r="A4568" s="26" t="s">
        <v>14072</v>
      </c>
      <c r="B4568" s="27" t="s">
        <v>14073</v>
      </c>
      <c r="C4568" s="27" t="s">
        <v>144</v>
      </c>
      <c r="D4568" s="26"/>
      <c r="E4568" s="27"/>
      <c r="F4568" s="27"/>
      <c r="G4568" s="27" t="s">
        <v>11122</v>
      </c>
      <c r="H4568" s="27" t="s">
        <v>35</v>
      </c>
      <c r="I4568" s="27" t="s">
        <v>40</v>
      </c>
      <c r="J4568" s="28" t="s">
        <v>161</v>
      </c>
      <c r="K4568" s="27" t="s">
        <v>40</v>
      </c>
      <c r="L4568" s="27"/>
    </row>
    <row r="4569" customFormat="false" ht="15" hidden="false" customHeight="false" outlineLevel="0" collapsed="false">
      <c r="A4569" s="26" t="s">
        <v>14074</v>
      </c>
      <c r="B4569" s="27" t="s">
        <v>14075</v>
      </c>
      <c r="C4569" s="27" t="s">
        <v>144</v>
      </c>
      <c r="D4569" s="26"/>
      <c r="E4569" s="27"/>
      <c r="F4569" s="27"/>
      <c r="G4569" s="27" t="s">
        <v>11122</v>
      </c>
      <c r="H4569" s="27" t="s">
        <v>35</v>
      </c>
      <c r="I4569" s="27" t="s">
        <v>41</v>
      </c>
      <c r="J4569" s="28" t="s">
        <v>161</v>
      </c>
      <c r="K4569" s="27" t="s">
        <v>40</v>
      </c>
      <c r="L4569" s="27"/>
    </row>
    <row r="4570" customFormat="false" ht="15" hidden="false" customHeight="false" outlineLevel="0" collapsed="false">
      <c r="A4570" s="26" t="s">
        <v>14076</v>
      </c>
      <c r="B4570" s="27" t="s">
        <v>14077</v>
      </c>
      <c r="C4570" s="27" t="s">
        <v>144</v>
      </c>
      <c r="D4570" s="26"/>
      <c r="E4570" s="27"/>
      <c r="F4570" s="27"/>
      <c r="G4570" s="27" t="s">
        <v>11122</v>
      </c>
      <c r="H4570" s="27" t="s">
        <v>35</v>
      </c>
      <c r="I4570" s="27" t="s">
        <v>43</v>
      </c>
      <c r="J4570" s="28" t="s">
        <v>161</v>
      </c>
      <c r="K4570" s="27" t="s">
        <v>40</v>
      </c>
      <c r="L4570" s="27"/>
    </row>
    <row r="4571" customFormat="false" ht="15" hidden="false" customHeight="false" outlineLevel="0" collapsed="false">
      <c r="A4571" s="26" t="s">
        <v>14078</v>
      </c>
      <c r="B4571" s="27" t="s">
        <v>14079</v>
      </c>
      <c r="C4571" s="27" t="s">
        <v>144</v>
      </c>
      <c r="D4571" s="26"/>
      <c r="E4571" s="27"/>
      <c r="F4571" s="27"/>
      <c r="G4571" s="27" t="s">
        <v>11122</v>
      </c>
      <c r="H4571" s="27" t="s">
        <v>35</v>
      </c>
      <c r="I4571" s="27" t="s">
        <v>41</v>
      </c>
      <c r="J4571" s="28" t="s">
        <v>161</v>
      </c>
      <c r="K4571" s="27" t="s">
        <v>40</v>
      </c>
      <c r="L4571" s="27"/>
    </row>
    <row r="4572" customFormat="false" ht="15" hidden="false" customHeight="false" outlineLevel="0" collapsed="false">
      <c r="A4572" s="26" t="s">
        <v>14080</v>
      </c>
      <c r="B4572" s="27" t="s">
        <v>14081</v>
      </c>
      <c r="C4572" s="27" t="s">
        <v>144</v>
      </c>
      <c r="D4572" s="26"/>
      <c r="E4572" s="27"/>
      <c r="F4572" s="27"/>
      <c r="G4572" s="27" t="s">
        <v>11122</v>
      </c>
      <c r="H4572" s="27" t="s">
        <v>35</v>
      </c>
      <c r="I4572" s="27" t="s">
        <v>41</v>
      </c>
      <c r="J4572" s="28" t="s">
        <v>161</v>
      </c>
      <c r="K4572" s="27" t="s">
        <v>40</v>
      </c>
      <c r="L4572" s="27"/>
    </row>
    <row r="4573" customFormat="false" ht="15" hidden="false" customHeight="false" outlineLevel="0" collapsed="false">
      <c r="A4573" s="26" t="s">
        <v>14082</v>
      </c>
      <c r="B4573" s="27" t="s">
        <v>14083</v>
      </c>
      <c r="C4573" s="27" t="s">
        <v>370</v>
      </c>
      <c r="D4573" s="26"/>
      <c r="E4573" s="27"/>
      <c r="F4573" s="27"/>
      <c r="G4573" s="27" t="s">
        <v>11122</v>
      </c>
      <c r="H4573" s="27" t="s">
        <v>35</v>
      </c>
      <c r="I4573" s="27" t="s">
        <v>37</v>
      </c>
      <c r="J4573" s="28" t="s">
        <v>161</v>
      </c>
      <c r="K4573" s="27" t="s">
        <v>40</v>
      </c>
      <c r="L4573" s="27"/>
    </row>
    <row r="4574" customFormat="false" ht="15" hidden="false" customHeight="false" outlineLevel="0" collapsed="false">
      <c r="A4574" s="26" t="s">
        <v>14084</v>
      </c>
      <c r="B4574" s="27" t="s">
        <v>14085</v>
      </c>
      <c r="C4574" s="27" t="s">
        <v>144</v>
      </c>
      <c r="D4574" s="26"/>
      <c r="E4574" s="27"/>
      <c r="F4574" s="27"/>
      <c r="G4574" s="27" t="s">
        <v>11122</v>
      </c>
      <c r="H4574" s="27" t="s">
        <v>35</v>
      </c>
      <c r="I4574" s="27" t="s">
        <v>37</v>
      </c>
      <c r="J4574" s="28" t="s">
        <v>161</v>
      </c>
      <c r="K4574" s="27" t="s">
        <v>40</v>
      </c>
      <c r="L4574" s="27"/>
    </row>
    <row r="4575" customFormat="false" ht="15" hidden="false" customHeight="false" outlineLevel="0" collapsed="false">
      <c r="A4575" s="26" t="s">
        <v>14086</v>
      </c>
      <c r="B4575" s="27" t="s">
        <v>14087</v>
      </c>
      <c r="C4575" s="27" t="s">
        <v>370</v>
      </c>
      <c r="D4575" s="26"/>
      <c r="E4575" s="27"/>
      <c r="F4575" s="27"/>
      <c r="G4575" s="27" t="s">
        <v>11122</v>
      </c>
      <c r="H4575" s="27" t="s">
        <v>35</v>
      </c>
      <c r="I4575" s="27" t="s">
        <v>41</v>
      </c>
      <c r="J4575" s="28" t="s">
        <v>161</v>
      </c>
      <c r="K4575" s="27" t="s">
        <v>40</v>
      </c>
      <c r="L4575" s="27"/>
    </row>
    <row r="4576" customFormat="false" ht="15" hidden="false" customHeight="false" outlineLevel="0" collapsed="false">
      <c r="A4576" s="26" t="s">
        <v>14088</v>
      </c>
      <c r="B4576" s="27" t="s">
        <v>14089</v>
      </c>
      <c r="C4576" s="27" t="s">
        <v>144</v>
      </c>
      <c r="D4576" s="26"/>
      <c r="E4576" s="27"/>
      <c r="F4576" s="27"/>
      <c r="G4576" s="27" t="s">
        <v>11122</v>
      </c>
      <c r="H4576" s="27" t="s">
        <v>35</v>
      </c>
      <c r="I4576" s="27" t="s">
        <v>40</v>
      </c>
      <c r="J4576" s="28" t="s">
        <v>161</v>
      </c>
      <c r="K4576" s="27" t="s">
        <v>40</v>
      </c>
      <c r="L4576" s="27"/>
    </row>
    <row r="4577" customFormat="false" ht="15" hidden="false" customHeight="false" outlineLevel="0" collapsed="false">
      <c r="A4577" s="26" t="s">
        <v>14090</v>
      </c>
      <c r="B4577" s="27" t="s">
        <v>14091</v>
      </c>
      <c r="C4577" s="27" t="s">
        <v>144</v>
      </c>
      <c r="D4577" s="26"/>
      <c r="E4577" s="27"/>
      <c r="F4577" s="27"/>
      <c r="G4577" s="27" t="s">
        <v>11122</v>
      </c>
      <c r="H4577" s="27" t="s">
        <v>35</v>
      </c>
      <c r="I4577" s="27" t="s">
        <v>41</v>
      </c>
      <c r="J4577" s="28" t="s">
        <v>161</v>
      </c>
      <c r="K4577" s="27" t="s">
        <v>40</v>
      </c>
      <c r="L4577" s="27"/>
    </row>
    <row r="4578" customFormat="false" ht="15" hidden="false" customHeight="false" outlineLevel="0" collapsed="false">
      <c r="A4578" s="26" t="s">
        <v>14092</v>
      </c>
      <c r="B4578" s="27" t="s">
        <v>14093</v>
      </c>
      <c r="C4578" s="27" t="s">
        <v>144</v>
      </c>
      <c r="D4578" s="26"/>
      <c r="E4578" s="27"/>
      <c r="F4578" s="27"/>
      <c r="G4578" s="27" t="s">
        <v>11122</v>
      </c>
      <c r="H4578" s="27" t="s">
        <v>35</v>
      </c>
      <c r="I4578" s="27" t="s">
        <v>39</v>
      </c>
      <c r="J4578" s="28" t="s">
        <v>161</v>
      </c>
      <c r="K4578" s="27" t="s">
        <v>40</v>
      </c>
      <c r="L4578" s="27"/>
    </row>
    <row r="4579" customFormat="false" ht="15" hidden="false" customHeight="false" outlineLevel="0" collapsed="false">
      <c r="A4579" s="26" t="s">
        <v>14094</v>
      </c>
      <c r="B4579" s="27" t="s">
        <v>14095</v>
      </c>
      <c r="C4579" s="27" t="s">
        <v>144</v>
      </c>
      <c r="D4579" s="26"/>
      <c r="E4579" s="27"/>
      <c r="F4579" s="27"/>
      <c r="G4579" s="27" t="s">
        <v>11122</v>
      </c>
      <c r="H4579" s="27" t="s">
        <v>35</v>
      </c>
      <c r="I4579" s="27" t="s">
        <v>41</v>
      </c>
      <c r="J4579" s="28" t="s">
        <v>161</v>
      </c>
      <c r="K4579" s="27" t="s">
        <v>40</v>
      </c>
      <c r="L4579" s="27"/>
    </row>
    <row r="4580" customFormat="false" ht="15" hidden="false" customHeight="false" outlineLevel="0" collapsed="false">
      <c r="A4580" s="26" t="s">
        <v>14096</v>
      </c>
      <c r="B4580" s="27" t="s">
        <v>14097</v>
      </c>
      <c r="C4580" s="27" t="s">
        <v>370</v>
      </c>
      <c r="D4580" s="26"/>
      <c r="E4580" s="27"/>
      <c r="F4580" s="27"/>
      <c r="G4580" s="27" t="s">
        <v>11122</v>
      </c>
      <c r="H4580" s="27" t="s">
        <v>35</v>
      </c>
      <c r="I4580" s="27" t="s">
        <v>37</v>
      </c>
      <c r="J4580" s="28" t="s">
        <v>161</v>
      </c>
      <c r="K4580" s="27" t="s">
        <v>40</v>
      </c>
      <c r="L4580" s="27"/>
    </row>
    <row r="4581" customFormat="false" ht="15" hidden="false" customHeight="false" outlineLevel="0" collapsed="false">
      <c r="A4581" s="26" t="s">
        <v>14098</v>
      </c>
      <c r="B4581" s="27" t="s">
        <v>14099</v>
      </c>
      <c r="C4581" s="27" t="s">
        <v>370</v>
      </c>
      <c r="D4581" s="26"/>
      <c r="E4581" s="27"/>
      <c r="F4581" s="27"/>
      <c r="G4581" s="27" t="s">
        <v>11122</v>
      </c>
      <c r="H4581" s="27" t="s">
        <v>35</v>
      </c>
      <c r="I4581" s="27" t="s">
        <v>40</v>
      </c>
      <c r="J4581" s="28" t="s">
        <v>161</v>
      </c>
      <c r="K4581" s="27" t="s">
        <v>40</v>
      </c>
      <c r="L4581" s="27"/>
    </row>
    <row r="4582" customFormat="false" ht="15" hidden="false" customHeight="false" outlineLevel="0" collapsed="false">
      <c r="A4582" s="26" t="s">
        <v>14100</v>
      </c>
      <c r="B4582" s="27" t="s">
        <v>14101</v>
      </c>
      <c r="C4582" s="27" t="s">
        <v>370</v>
      </c>
      <c r="D4582" s="26"/>
      <c r="E4582" s="27"/>
      <c r="F4582" s="27"/>
      <c r="G4582" s="27" t="s">
        <v>11122</v>
      </c>
      <c r="H4582" s="27" t="s">
        <v>35</v>
      </c>
      <c r="I4582" s="27" t="s">
        <v>40</v>
      </c>
      <c r="J4582" s="28" t="s">
        <v>161</v>
      </c>
      <c r="K4582" s="27" t="s">
        <v>40</v>
      </c>
      <c r="L4582" s="27"/>
    </row>
    <row r="4583" customFormat="false" ht="15" hidden="false" customHeight="false" outlineLevel="0" collapsed="false">
      <c r="A4583" s="26" t="s">
        <v>14102</v>
      </c>
      <c r="B4583" s="27" t="s">
        <v>14103</v>
      </c>
      <c r="C4583" s="27" t="s">
        <v>370</v>
      </c>
      <c r="D4583" s="26"/>
      <c r="E4583" s="27"/>
      <c r="F4583" s="27"/>
      <c r="G4583" s="27" t="s">
        <v>11122</v>
      </c>
      <c r="H4583" s="27" t="s">
        <v>35</v>
      </c>
      <c r="I4583" s="27" t="s">
        <v>40</v>
      </c>
      <c r="J4583" s="28" t="s">
        <v>161</v>
      </c>
      <c r="K4583" s="27" t="s">
        <v>40</v>
      </c>
      <c r="L4583" s="27"/>
    </row>
    <row r="4584" customFormat="false" ht="15" hidden="false" customHeight="false" outlineLevel="0" collapsed="false">
      <c r="A4584" s="26" t="s">
        <v>14104</v>
      </c>
      <c r="B4584" s="27" t="s">
        <v>14105</v>
      </c>
      <c r="C4584" s="27" t="s">
        <v>370</v>
      </c>
      <c r="D4584" s="26"/>
      <c r="E4584" s="27"/>
      <c r="F4584" s="27"/>
      <c r="G4584" s="27" t="s">
        <v>11122</v>
      </c>
      <c r="H4584" s="27" t="s">
        <v>35</v>
      </c>
      <c r="I4584" s="27" t="s">
        <v>40</v>
      </c>
      <c r="J4584" s="28" t="s">
        <v>161</v>
      </c>
      <c r="K4584" s="27" t="s">
        <v>40</v>
      </c>
      <c r="L4584" s="27"/>
    </row>
    <row r="4585" customFormat="false" ht="15" hidden="false" customHeight="false" outlineLevel="0" collapsed="false">
      <c r="A4585" s="26" t="s">
        <v>14106</v>
      </c>
      <c r="B4585" s="27" t="s">
        <v>14107</v>
      </c>
      <c r="C4585" s="27" t="s">
        <v>370</v>
      </c>
      <c r="D4585" s="26"/>
      <c r="E4585" s="27"/>
      <c r="F4585" s="27"/>
      <c r="G4585" s="27" t="s">
        <v>11122</v>
      </c>
      <c r="H4585" s="27" t="s">
        <v>35</v>
      </c>
      <c r="I4585" s="27" t="s">
        <v>40</v>
      </c>
      <c r="J4585" s="28" t="s">
        <v>161</v>
      </c>
      <c r="K4585" s="27" t="s">
        <v>40</v>
      </c>
      <c r="L4585" s="27"/>
    </row>
    <row r="4586" customFormat="false" ht="15" hidden="false" customHeight="false" outlineLevel="0" collapsed="false">
      <c r="A4586" s="26" t="s">
        <v>14108</v>
      </c>
      <c r="B4586" s="27" t="s">
        <v>14109</v>
      </c>
      <c r="C4586" s="27" t="s">
        <v>370</v>
      </c>
      <c r="D4586" s="26"/>
      <c r="E4586" s="27"/>
      <c r="F4586" s="27"/>
      <c r="G4586" s="27" t="s">
        <v>11122</v>
      </c>
      <c r="H4586" s="27" t="s">
        <v>35</v>
      </c>
      <c r="I4586" s="27" t="s">
        <v>40</v>
      </c>
      <c r="J4586" s="28" t="s">
        <v>161</v>
      </c>
      <c r="K4586" s="27" t="s">
        <v>40</v>
      </c>
      <c r="L4586" s="27"/>
    </row>
    <row r="4587" customFormat="false" ht="15" hidden="false" customHeight="false" outlineLevel="0" collapsed="false">
      <c r="A4587" s="26" t="s">
        <v>14110</v>
      </c>
      <c r="B4587" s="27" t="s">
        <v>14111</v>
      </c>
      <c r="C4587" s="27" t="s">
        <v>370</v>
      </c>
      <c r="D4587" s="26"/>
      <c r="E4587" s="27"/>
      <c r="F4587" s="27"/>
      <c r="G4587" s="27" t="s">
        <v>11122</v>
      </c>
      <c r="H4587" s="27" t="s">
        <v>35</v>
      </c>
      <c r="I4587" s="27" t="s">
        <v>37</v>
      </c>
      <c r="J4587" s="28" t="s">
        <v>161</v>
      </c>
      <c r="K4587" s="27" t="s">
        <v>40</v>
      </c>
      <c r="L4587" s="27"/>
    </row>
    <row r="4588" customFormat="false" ht="15" hidden="false" customHeight="false" outlineLevel="0" collapsed="false">
      <c r="A4588" s="26" t="s">
        <v>14112</v>
      </c>
      <c r="B4588" s="27" t="s">
        <v>14113</v>
      </c>
      <c r="C4588" s="27" t="s">
        <v>370</v>
      </c>
      <c r="D4588" s="26"/>
      <c r="E4588" s="27"/>
      <c r="F4588" s="27"/>
      <c r="G4588" s="27" t="s">
        <v>11122</v>
      </c>
      <c r="H4588" s="27" t="s">
        <v>35</v>
      </c>
      <c r="I4588" s="27" t="s">
        <v>40</v>
      </c>
      <c r="J4588" s="28" t="s">
        <v>161</v>
      </c>
      <c r="K4588" s="27" t="s">
        <v>40</v>
      </c>
      <c r="L4588" s="27"/>
    </row>
    <row r="4589" customFormat="false" ht="15" hidden="false" customHeight="false" outlineLevel="0" collapsed="false">
      <c r="A4589" s="26" t="s">
        <v>14114</v>
      </c>
      <c r="B4589" s="27" t="s">
        <v>14115</v>
      </c>
      <c r="C4589" s="27" t="s">
        <v>370</v>
      </c>
      <c r="D4589" s="26"/>
      <c r="E4589" s="27"/>
      <c r="F4589" s="27"/>
      <c r="G4589" s="27" t="s">
        <v>11122</v>
      </c>
      <c r="H4589" s="27" t="s">
        <v>35</v>
      </c>
      <c r="I4589" s="27" t="s">
        <v>40</v>
      </c>
      <c r="J4589" s="28" t="s">
        <v>161</v>
      </c>
      <c r="K4589" s="27" t="s">
        <v>40</v>
      </c>
      <c r="L4589" s="27"/>
    </row>
    <row r="4590" customFormat="false" ht="15" hidden="false" customHeight="false" outlineLevel="0" collapsed="false">
      <c r="A4590" s="26" t="s">
        <v>14116</v>
      </c>
      <c r="B4590" s="27" t="s">
        <v>14117</v>
      </c>
      <c r="C4590" s="27" t="s">
        <v>370</v>
      </c>
      <c r="D4590" s="26"/>
      <c r="E4590" s="27"/>
      <c r="F4590" s="27"/>
      <c r="G4590" s="27" t="s">
        <v>11122</v>
      </c>
      <c r="H4590" s="27" t="s">
        <v>35</v>
      </c>
      <c r="I4590" s="27" t="s">
        <v>40</v>
      </c>
      <c r="J4590" s="28" t="s">
        <v>161</v>
      </c>
      <c r="K4590" s="27" t="s">
        <v>40</v>
      </c>
      <c r="L4590" s="27"/>
    </row>
    <row r="4591" customFormat="false" ht="15" hidden="false" customHeight="false" outlineLevel="0" collapsed="false">
      <c r="A4591" s="26" t="s">
        <v>14118</v>
      </c>
      <c r="B4591" s="27" t="s">
        <v>14119</v>
      </c>
      <c r="C4591" s="27" t="s">
        <v>370</v>
      </c>
      <c r="D4591" s="26"/>
      <c r="E4591" s="27"/>
      <c r="F4591" s="27"/>
      <c r="G4591" s="27" t="s">
        <v>11122</v>
      </c>
      <c r="H4591" s="27" t="s">
        <v>35</v>
      </c>
      <c r="I4591" s="27" t="s">
        <v>37</v>
      </c>
      <c r="J4591" s="28" t="s">
        <v>161</v>
      </c>
      <c r="K4591" s="27" t="s">
        <v>40</v>
      </c>
      <c r="L4591" s="27"/>
    </row>
    <row r="4592" customFormat="false" ht="15" hidden="false" customHeight="false" outlineLevel="0" collapsed="false">
      <c r="A4592" s="26" t="s">
        <v>14120</v>
      </c>
      <c r="B4592" s="27" t="s">
        <v>14121</v>
      </c>
      <c r="C4592" s="27" t="s">
        <v>370</v>
      </c>
      <c r="D4592" s="26"/>
      <c r="E4592" s="27"/>
      <c r="F4592" s="27"/>
      <c r="G4592" s="27" t="s">
        <v>11122</v>
      </c>
      <c r="H4592" s="27" t="s">
        <v>35</v>
      </c>
      <c r="I4592" s="27" t="s">
        <v>41</v>
      </c>
      <c r="J4592" s="28" t="s">
        <v>161</v>
      </c>
      <c r="K4592" s="27" t="s">
        <v>40</v>
      </c>
      <c r="L4592" s="27"/>
    </row>
    <row r="4593" customFormat="false" ht="15" hidden="false" customHeight="false" outlineLevel="0" collapsed="false">
      <c r="A4593" s="26" t="s">
        <v>14122</v>
      </c>
      <c r="B4593" s="27" t="s">
        <v>14123</v>
      </c>
      <c r="C4593" s="27" t="s">
        <v>370</v>
      </c>
      <c r="D4593" s="26"/>
      <c r="E4593" s="27"/>
      <c r="F4593" s="27"/>
      <c r="G4593" s="27" t="s">
        <v>11122</v>
      </c>
      <c r="H4593" s="27" t="s">
        <v>35</v>
      </c>
      <c r="I4593" s="27" t="s">
        <v>40</v>
      </c>
      <c r="J4593" s="28" t="s">
        <v>161</v>
      </c>
      <c r="K4593" s="27" t="s">
        <v>40</v>
      </c>
      <c r="L4593" s="27"/>
    </row>
    <row r="4594" customFormat="false" ht="15" hidden="false" customHeight="false" outlineLevel="0" collapsed="false">
      <c r="A4594" s="26" t="s">
        <v>14124</v>
      </c>
      <c r="B4594" s="27" t="s">
        <v>14125</v>
      </c>
      <c r="C4594" s="27" t="s">
        <v>144</v>
      </c>
      <c r="D4594" s="26"/>
      <c r="E4594" s="27"/>
      <c r="F4594" s="27"/>
      <c r="G4594" s="27" t="s">
        <v>11122</v>
      </c>
      <c r="H4594" s="27" t="s">
        <v>35</v>
      </c>
      <c r="I4594" s="27" t="s">
        <v>37</v>
      </c>
      <c r="J4594" s="28" t="s">
        <v>161</v>
      </c>
      <c r="K4594" s="27" t="s">
        <v>40</v>
      </c>
      <c r="L4594" s="27"/>
    </row>
    <row r="4595" customFormat="false" ht="15" hidden="false" customHeight="false" outlineLevel="0" collapsed="false">
      <c r="A4595" s="26" t="s">
        <v>14126</v>
      </c>
      <c r="B4595" s="27" t="s">
        <v>14127</v>
      </c>
      <c r="C4595" s="27" t="s">
        <v>144</v>
      </c>
      <c r="D4595" s="26"/>
      <c r="E4595" s="27"/>
      <c r="F4595" s="27"/>
      <c r="G4595" s="27" t="s">
        <v>11122</v>
      </c>
      <c r="H4595" s="27" t="s">
        <v>35</v>
      </c>
      <c r="I4595" s="27" t="s">
        <v>39</v>
      </c>
      <c r="J4595" s="28" t="s">
        <v>161</v>
      </c>
      <c r="K4595" s="27" t="s">
        <v>40</v>
      </c>
      <c r="L4595" s="27"/>
    </row>
    <row r="4596" customFormat="false" ht="15" hidden="false" customHeight="false" outlineLevel="0" collapsed="false">
      <c r="A4596" s="26" t="s">
        <v>14128</v>
      </c>
      <c r="B4596" s="27" t="s">
        <v>14129</v>
      </c>
      <c r="C4596" s="27" t="s">
        <v>370</v>
      </c>
      <c r="D4596" s="26"/>
      <c r="E4596" s="27"/>
      <c r="F4596" s="27"/>
      <c r="G4596" s="27" t="s">
        <v>11122</v>
      </c>
      <c r="H4596" s="27" t="s">
        <v>35</v>
      </c>
      <c r="I4596" s="27" t="s">
        <v>40</v>
      </c>
      <c r="J4596" s="28" t="s">
        <v>161</v>
      </c>
      <c r="K4596" s="27" t="s">
        <v>40</v>
      </c>
      <c r="L4596" s="27"/>
    </row>
    <row r="4597" customFormat="false" ht="15" hidden="false" customHeight="false" outlineLevel="0" collapsed="false">
      <c r="A4597" s="26" t="s">
        <v>14130</v>
      </c>
      <c r="B4597" s="27" t="s">
        <v>14131</v>
      </c>
      <c r="C4597" s="27" t="s">
        <v>370</v>
      </c>
      <c r="D4597" s="26"/>
      <c r="E4597" s="27"/>
      <c r="F4597" s="27"/>
      <c r="G4597" s="27" t="s">
        <v>11122</v>
      </c>
      <c r="H4597" s="27" t="s">
        <v>35</v>
      </c>
      <c r="I4597" s="27" t="s">
        <v>40</v>
      </c>
      <c r="J4597" s="28" t="s">
        <v>161</v>
      </c>
      <c r="K4597" s="27" t="s">
        <v>40</v>
      </c>
      <c r="L4597" s="27"/>
    </row>
    <row r="4598" customFormat="false" ht="15" hidden="false" customHeight="false" outlineLevel="0" collapsed="false">
      <c r="A4598" s="26" t="s">
        <v>14132</v>
      </c>
      <c r="B4598" s="27" t="s">
        <v>14133</v>
      </c>
      <c r="C4598" s="27" t="s">
        <v>144</v>
      </c>
      <c r="D4598" s="26"/>
      <c r="E4598" s="27"/>
      <c r="F4598" s="27"/>
      <c r="G4598" s="27" t="s">
        <v>11122</v>
      </c>
      <c r="H4598" s="27" t="s">
        <v>35</v>
      </c>
      <c r="I4598" s="27" t="s">
        <v>40</v>
      </c>
      <c r="J4598" s="28" t="s">
        <v>161</v>
      </c>
      <c r="K4598" s="27" t="s">
        <v>40</v>
      </c>
      <c r="L4598" s="27"/>
    </row>
    <row r="4599" customFormat="false" ht="15" hidden="false" customHeight="false" outlineLevel="0" collapsed="false">
      <c r="A4599" s="26" t="s">
        <v>14134</v>
      </c>
      <c r="B4599" s="27" t="s">
        <v>14135</v>
      </c>
      <c r="C4599" s="27" t="s">
        <v>370</v>
      </c>
      <c r="D4599" s="26"/>
      <c r="E4599" s="27"/>
      <c r="F4599" s="27"/>
      <c r="G4599" s="27" t="s">
        <v>11122</v>
      </c>
      <c r="H4599" s="27" t="s">
        <v>35</v>
      </c>
      <c r="I4599" s="27" t="s">
        <v>41</v>
      </c>
      <c r="J4599" s="28" t="s">
        <v>161</v>
      </c>
      <c r="K4599" s="27" t="s">
        <v>40</v>
      </c>
      <c r="L4599" s="27"/>
    </row>
    <row r="4600" customFormat="false" ht="15" hidden="false" customHeight="false" outlineLevel="0" collapsed="false">
      <c r="A4600" s="26" t="s">
        <v>14136</v>
      </c>
      <c r="B4600" s="27" t="s">
        <v>14137</v>
      </c>
      <c r="C4600" s="27" t="s">
        <v>370</v>
      </c>
      <c r="D4600" s="26"/>
      <c r="E4600" s="27"/>
      <c r="F4600" s="27"/>
      <c r="G4600" s="27" t="s">
        <v>11122</v>
      </c>
      <c r="H4600" s="27" t="s">
        <v>35</v>
      </c>
      <c r="I4600" s="27" t="s">
        <v>40</v>
      </c>
      <c r="J4600" s="28" t="s">
        <v>161</v>
      </c>
      <c r="K4600" s="27" t="s">
        <v>40</v>
      </c>
      <c r="L4600" s="27"/>
    </row>
    <row r="4601" customFormat="false" ht="15" hidden="false" customHeight="false" outlineLevel="0" collapsed="false">
      <c r="A4601" s="26" t="s">
        <v>14138</v>
      </c>
      <c r="B4601" s="27" t="s">
        <v>14139</v>
      </c>
      <c r="C4601" s="27" t="s">
        <v>144</v>
      </c>
      <c r="D4601" s="26"/>
      <c r="E4601" s="27"/>
      <c r="F4601" s="27"/>
      <c r="G4601" s="27" t="s">
        <v>11122</v>
      </c>
      <c r="H4601" s="27" t="s">
        <v>35</v>
      </c>
      <c r="I4601" s="27" t="s">
        <v>39</v>
      </c>
      <c r="J4601" s="28" t="s">
        <v>161</v>
      </c>
      <c r="K4601" s="27" t="s">
        <v>40</v>
      </c>
      <c r="L4601" s="27"/>
    </row>
    <row r="4602" customFormat="false" ht="15" hidden="false" customHeight="false" outlineLevel="0" collapsed="false">
      <c r="A4602" s="26" t="s">
        <v>14140</v>
      </c>
      <c r="B4602" s="27" t="s">
        <v>14141</v>
      </c>
      <c r="C4602" s="27" t="s">
        <v>370</v>
      </c>
      <c r="D4602" s="26"/>
      <c r="E4602" s="27"/>
      <c r="F4602" s="27"/>
      <c r="G4602" s="27" t="s">
        <v>11122</v>
      </c>
      <c r="H4602" s="27" t="s">
        <v>35</v>
      </c>
      <c r="I4602" s="27" t="s">
        <v>40</v>
      </c>
      <c r="J4602" s="28" t="s">
        <v>161</v>
      </c>
      <c r="K4602" s="27" t="s">
        <v>40</v>
      </c>
      <c r="L4602" s="27"/>
    </row>
    <row r="4603" customFormat="false" ht="15" hidden="false" customHeight="false" outlineLevel="0" collapsed="false">
      <c r="A4603" s="26" t="s">
        <v>14142</v>
      </c>
      <c r="B4603" s="27" t="s">
        <v>14143</v>
      </c>
      <c r="C4603" s="27" t="s">
        <v>370</v>
      </c>
      <c r="D4603" s="26"/>
      <c r="E4603" s="27"/>
      <c r="F4603" s="27"/>
      <c r="G4603" s="27" t="s">
        <v>11122</v>
      </c>
      <c r="H4603" s="27" t="s">
        <v>35</v>
      </c>
      <c r="I4603" s="27" t="s">
        <v>37</v>
      </c>
      <c r="J4603" s="28" t="s">
        <v>161</v>
      </c>
      <c r="K4603" s="27" t="s">
        <v>40</v>
      </c>
      <c r="L4603" s="27"/>
    </row>
    <row r="4604" customFormat="false" ht="15" hidden="false" customHeight="false" outlineLevel="0" collapsed="false">
      <c r="A4604" s="26" t="s">
        <v>14144</v>
      </c>
      <c r="B4604" s="27" t="s">
        <v>14145</v>
      </c>
      <c r="C4604" s="27" t="s">
        <v>370</v>
      </c>
      <c r="D4604" s="26"/>
      <c r="E4604" s="27"/>
      <c r="F4604" s="27"/>
      <c r="G4604" s="27" t="s">
        <v>11122</v>
      </c>
      <c r="H4604" s="27" t="s">
        <v>35</v>
      </c>
      <c r="I4604" s="27" t="s">
        <v>40</v>
      </c>
      <c r="J4604" s="28" t="s">
        <v>161</v>
      </c>
      <c r="K4604" s="27" t="s">
        <v>40</v>
      </c>
      <c r="L4604" s="27"/>
    </row>
    <row r="4605" customFormat="false" ht="15" hidden="false" customHeight="false" outlineLevel="0" collapsed="false">
      <c r="A4605" s="26" t="s">
        <v>14146</v>
      </c>
      <c r="B4605" s="27" t="s">
        <v>14147</v>
      </c>
      <c r="C4605" s="27" t="s">
        <v>144</v>
      </c>
      <c r="D4605" s="26"/>
      <c r="E4605" s="27"/>
      <c r="F4605" s="27"/>
      <c r="G4605" s="27" t="s">
        <v>11122</v>
      </c>
      <c r="H4605" s="27" t="s">
        <v>35</v>
      </c>
      <c r="I4605" s="27" t="s">
        <v>41</v>
      </c>
      <c r="J4605" s="28" t="s">
        <v>161</v>
      </c>
      <c r="K4605" s="27" t="s">
        <v>40</v>
      </c>
      <c r="L4605" s="27"/>
    </row>
    <row r="4606" customFormat="false" ht="15" hidden="false" customHeight="false" outlineLevel="0" collapsed="false">
      <c r="A4606" s="26" t="s">
        <v>14148</v>
      </c>
      <c r="B4606" s="27" t="s">
        <v>14149</v>
      </c>
      <c r="C4606" s="27" t="s">
        <v>370</v>
      </c>
      <c r="D4606" s="26"/>
      <c r="E4606" s="27"/>
      <c r="F4606" s="27"/>
      <c r="G4606" s="27" t="s">
        <v>11122</v>
      </c>
      <c r="H4606" s="27" t="s">
        <v>35</v>
      </c>
      <c r="I4606" s="27" t="s">
        <v>37</v>
      </c>
      <c r="J4606" s="28" t="s">
        <v>161</v>
      </c>
      <c r="K4606" s="27" t="s">
        <v>40</v>
      </c>
      <c r="L4606" s="27"/>
    </row>
    <row r="4607" customFormat="false" ht="15" hidden="false" customHeight="false" outlineLevel="0" collapsed="false">
      <c r="A4607" s="26" t="s">
        <v>14150</v>
      </c>
      <c r="B4607" s="27" t="s">
        <v>14151</v>
      </c>
      <c r="C4607" s="27" t="s">
        <v>370</v>
      </c>
      <c r="D4607" s="26"/>
      <c r="E4607" s="27"/>
      <c r="F4607" s="27"/>
      <c r="G4607" s="27" t="s">
        <v>11122</v>
      </c>
      <c r="H4607" s="27" t="s">
        <v>35</v>
      </c>
      <c r="I4607" s="27" t="s">
        <v>37</v>
      </c>
      <c r="J4607" s="28" t="s">
        <v>161</v>
      </c>
      <c r="K4607" s="27" t="s">
        <v>40</v>
      </c>
      <c r="L4607" s="27"/>
    </row>
    <row r="4608" customFormat="false" ht="15" hidden="false" customHeight="false" outlineLevel="0" collapsed="false">
      <c r="A4608" s="26" t="s">
        <v>14152</v>
      </c>
      <c r="B4608" s="27" t="s">
        <v>14153</v>
      </c>
      <c r="C4608" s="27" t="s">
        <v>370</v>
      </c>
      <c r="D4608" s="26"/>
      <c r="E4608" s="27"/>
      <c r="F4608" s="27"/>
      <c r="G4608" s="27" t="s">
        <v>11122</v>
      </c>
      <c r="H4608" s="27" t="s">
        <v>35</v>
      </c>
      <c r="I4608" s="27" t="s">
        <v>37</v>
      </c>
      <c r="J4608" s="28" t="s">
        <v>161</v>
      </c>
      <c r="K4608" s="27" t="s">
        <v>40</v>
      </c>
      <c r="L4608" s="27"/>
    </row>
    <row r="4609" customFormat="false" ht="15" hidden="false" customHeight="false" outlineLevel="0" collapsed="false">
      <c r="A4609" s="26" t="s">
        <v>14154</v>
      </c>
      <c r="B4609" s="27" t="s">
        <v>14155</v>
      </c>
      <c r="C4609" s="27" t="s">
        <v>370</v>
      </c>
      <c r="D4609" s="26"/>
      <c r="E4609" s="27"/>
      <c r="F4609" s="27"/>
      <c r="G4609" s="27" t="s">
        <v>11122</v>
      </c>
      <c r="H4609" s="27" t="s">
        <v>35</v>
      </c>
      <c r="I4609" s="27" t="s">
        <v>37</v>
      </c>
      <c r="J4609" s="28" t="s">
        <v>161</v>
      </c>
      <c r="K4609" s="27" t="s">
        <v>40</v>
      </c>
      <c r="L4609" s="27"/>
    </row>
    <row r="4610" customFormat="false" ht="15" hidden="false" customHeight="false" outlineLevel="0" collapsed="false">
      <c r="A4610" s="26" t="s">
        <v>14156</v>
      </c>
      <c r="B4610" s="27" t="s">
        <v>14157</v>
      </c>
      <c r="C4610" s="27" t="s">
        <v>370</v>
      </c>
      <c r="D4610" s="26"/>
      <c r="E4610" s="27"/>
      <c r="F4610" s="27"/>
      <c r="G4610" s="27" t="s">
        <v>11122</v>
      </c>
      <c r="H4610" s="27" t="s">
        <v>35</v>
      </c>
      <c r="I4610" s="27" t="s">
        <v>37</v>
      </c>
      <c r="J4610" s="28" t="s">
        <v>161</v>
      </c>
      <c r="K4610" s="27" t="s">
        <v>40</v>
      </c>
      <c r="L4610" s="27"/>
    </row>
    <row r="4611" customFormat="false" ht="15" hidden="false" customHeight="false" outlineLevel="0" collapsed="false">
      <c r="A4611" s="26" t="s">
        <v>14158</v>
      </c>
      <c r="B4611" s="27" t="s">
        <v>14159</v>
      </c>
      <c r="C4611" s="27" t="s">
        <v>144</v>
      </c>
      <c r="D4611" s="26"/>
      <c r="E4611" s="27"/>
      <c r="F4611" s="27"/>
      <c r="G4611" s="27" t="s">
        <v>11122</v>
      </c>
      <c r="H4611" s="27" t="s">
        <v>35</v>
      </c>
      <c r="I4611" s="27" t="s">
        <v>37</v>
      </c>
      <c r="J4611" s="28" t="s">
        <v>161</v>
      </c>
      <c r="K4611" s="27" t="s">
        <v>40</v>
      </c>
      <c r="L4611" s="27"/>
    </row>
    <row r="4612" customFormat="false" ht="15" hidden="false" customHeight="false" outlineLevel="0" collapsed="false">
      <c r="A4612" s="26" t="s">
        <v>14160</v>
      </c>
      <c r="B4612" s="27" t="s">
        <v>14161</v>
      </c>
      <c r="C4612" s="27" t="s">
        <v>370</v>
      </c>
      <c r="D4612" s="26"/>
      <c r="E4612" s="27"/>
      <c r="F4612" s="27"/>
      <c r="G4612" s="27" t="s">
        <v>11122</v>
      </c>
      <c r="H4612" s="27" t="s">
        <v>35</v>
      </c>
      <c r="I4612" s="27" t="s">
        <v>37</v>
      </c>
      <c r="J4612" s="28" t="s">
        <v>161</v>
      </c>
      <c r="K4612" s="27" t="s">
        <v>40</v>
      </c>
      <c r="L4612" s="27"/>
    </row>
    <row r="4613" customFormat="false" ht="15" hidden="false" customHeight="false" outlineLevel="0" collapsed="false">
      <c r="A4613" s="26" t="s">
        <v>14162</v>
      </c>
      <c r="B4613" s="27" t="s">
        <v>14163</v>
      </c>
      <c r="C4613" s="27" t="s">
        <v>370</v>
      </c>
      <c r="D4613" s="26"/>
      <c r="E4613" s="27"/>
      <c r="F4613" s="27"/>
      <c r="G4613" s="27" t="s">
        <v>11122</v>
      </c>
      <c r="H4613" s="27" t="s">
        <v>35</v>
      </c>
      <c r="I4613" s="27" t="s">
        <v>40</v>
      </c>
      <c r="J4613" s="28" t="s">
        <v>161</v>
      </c>
      <c r="K4613" s="27" t="s">
        <v>40</v>
      </c>
      <c r="L4613" s="27"/>
    </row>
    <row r="4614" customFormat="false" ht="15" hidden="false" customHeight="false" outlineLevel="0" collapsed="false">
      <c r="A4614" s="26" t="s">
        <v>14164</v>
      </c>
      <c r="B4614" s="27" t="s">
        <v>14165</v>
      </c>
      <c r="C4614" s="27" t="s">
        <v>144</v>
      </c>
      <c r="D4614" s="26"/>
      <c r="E4614" s="27"/>
      <c r="F4614" s="27"/>
      <c r="G4614" s="27" t="s">
        <v>11122</v>
      </c>
      <c r="H4614" s="27" t="s">
        <v>35</v>
      </c>
      <c r="I4614" s="27" t="s">
        <v>37</v>
      </c>
      <c r="J4614" s="28" t="s">
        <v>161</v>
      </c>
      <c r="K4614" s="27" t="s">
        <v>40</v>
      </c>
      <c r="L4614" s="27"/>
    </row>
    <row r="4615" customFormat="false" ht="15" hidden="false" customHeight="false" outlineLevel="0" collapsed="false">
      <c r="A4615" s="26" t="s">
        <v>14166</v>
      </c>
      <c r="B4615" s="27" t="s">
        <v>14167</v>
      </c>
      <c r="C4615" s="27" t="s">
        <v>370</v>
      </c>
      <c r="D4615" s="26"/>
      <c r="E4615" s="27"/>
      <c r="F4615" s="27"/>
      <c r="G4615" s="27" t="s">
        <v>11122</v>
      </c>
      <c r="H4615" s="27" t="s">
        <v>35</v>
      </c>
      <c r="I4615" s="27" t="s">
        <v>38</v>
      </c>
      <c r="J4615" s="28" t="s">
        <v>161</v>
      </c>
      <c r="K4615" s="27" t="s">
        <v>40</v>
      </c>
      <c r="L4615" s="27"/>
    </row>
    <row r="4616" customFormat="false" ht="15" hidden="false" customHeight="false" outlineLevel="0" collapsed="false">
      <c r="A4616" s="26" t="s">
        <v>14168</v>
      </c>
      <c r="B4616" s="27" t="s">
        <v>14169</v>
      </c>
      <c r="C4616" s="27" t="s">
        <v>370</v>
      </c>
      <c r="D4616" s="26"/>
      <c r="E4616" s="27"/>
      <c r="F4616" s="27"/>
      <c r="G4616" s="27" t="s">
        <v>11122</v>
      </c>
      <c r="H4616" s="27" t="s">
        <v>35</v>
      </c>
      <c r="I4616" s="27" t="s">
        <v>40</v>
      </c>
      <c r="J4616" s="28" t="s">
        <v>161</v>
      </c>
      <c r="K4616" s="27" t="s">
        <v>40</v>
      </c>
      <c r="L4616" s="27"/>
    </row>
    <row r="4617" customFormat="false" ht="15" hidden="false" customHeight="false" outlineLevel="0" collapsed="false">
      <c r="A4617" s="26" t="s">
        <v>14170</v>
      </c>
      <c r="B4617" s="27" t="s">
        <v>14171</v>
      </c>
      <c r="C4617" s="27" t="s">
        <v>370</v>
      </c>
      <c r="D4617" s="26"/>
      <c r="E4617" s="27"/>
      <c r="F4617" s="27"/>
      <c r="G4617" s="27" t="s">
        <v>11122</v>
      </c>
      <c r="H4617" s="27" t="s">
        <v>35</v>
      </c>
      <c r="I4617" s="27" t="s">
        <v>40</v>
      </c>
      <c r="J4617" s="28" t="s">
        <v>161</v>
      </c>
      <c r="K4617" s="27" t="s">
        <v>40</v>
      </c>
      <c r="L4617" s="27"/>
    </row>
    <row r="4618" customFormat="false" ht="15" hidden="false" customHeight="false" outlineLevel="0" collapsed="false">
      <c r="A4618" s="26" t="s">
        <v>14172</v>
      </c>
      <c r="B4618" s="27" t="s">
        <v>14173</v>
      </c>
      <c r="C4618" s="27" t="s">
        <v>370</v>
      </c>
      <c r="D4618" s="26"/>
      <c r="E4618" s="27"/>
      <c r="F4618" s="27"/>
      <c r="G4618" s="27" t="s">
        <v>11122</v>
      </c>
      <c r="H4618" s="27" t="s">
        <v>35</v>
      </c>
      <c r="I4618" s="27" t="s">
        <v>40</v>
      </c>
      <c r="J4618" s="28" t="s">
        <v>161</v>
      </c>
      <c r="K4618" s="27" t="s">
        <v>40</v>
      </c>
      <c r="L4618" s="27"/>
    </row>
    <row r="4619" customFormat="false" ht="15" hidden="false" customHeight="false" outlineLevel="0" collapsed="false">
      <c r="A4619" s="26" t="s">
        <v>14174</v>
      </c>
      <c r="B4619" s="27" t="s">
        <v>14175</v>
      </c>
      <c r="C4619" s="27" t="s">
        <v>370</v>
      </c>
      <c r="D4619" s="26"/>
      <c r="E4619" s="27"/>
      <c r="F4619" s="27"/>
      <c r="G4619" s="27" t="s">
        <v>11122</v>
      </c>
      <c r="H4619" s="27" t="s">
        <v>35</v>
      </c>
      <c r="I4619" s="27" t="s">
        <v>40</v>
      </c>
      <c r="J4619" s="28" t="s">
        <v>161</v>
      </c>
      <c r="K4619" s="27" t="s">
        <v>40</v>
      </c>
      <c r="L4619" s="27"/>
    </row>
    <row r="4620" customFormat="false" ht="15" hidden="false" customHeight="false" outlineLevel="0" collapsed="false">
      <c r="A4620" s="26" t="s">
        <v>14176</v>
      </c>
      <c r="B4620" s="27" t="s">
        <v>14177</v>
      </c>
      <c r="C4620" s="27" t="s">
        <v>370</v>
      </c>
      <c r="D4620" s="26"/>
      <c r="E4620" s="27"/>
      <c r="F4620" s="27"/>
      <c r="G4620" s="27" t="s">
        <v>11122</v>
      </c>
      <c r="H4620" s="27" t="s">
        <v>35</v>
      </c>
      <c r="I4620" s="27" t="s">
        <v>40</v>
      </c>
      <c r="J4620" s="28" t="s">
        <v>161</v>
      </c>
      <c r="K4620" s="27" t="s">
        <v>40</v>
      </c>
      <c r="L4620" s="27"/>
    </row>
    <row r="4621" customFormat="false" ht="15" hidden="false" customHeight="false" outlineLevel="0" collapsed="false">
      <c r="A4621" s="26" t="s">
        <v>14178</v>
      </c>
      <c r="B4621" s="27" t="s">
        <v>14179</v>
      </c>
      <c r="C4621" s="27" t="s">
        <v>370</v>
      </c>
      <c r="D4621" s="26"/>
      <c r="E4621" s="27"/>
      <c r="F4621" s="27"/>
      <c r="G4621" s="27" t="s">
        <v>11122</v>
      </c>
      <c r="H4621" s="27" t="s">
        <v>35</v>
      </c>
      <c r="I4621" s="27" t="s">
        <v>37</v>
      </c>
      <c r="J4621" s="28" t="s">
        <v>161</v>
      </c>
      <c r="K4621" s="27" t="s">
        <v>40</v>
      </c>
      <c r="L4621" s="27"/>
    </row>
    <row r="4622" customFormat="false" ht="15" hidden="false" customHeight="false" outlineLevel="0" collapsed="false">
      <c r="A4622" s="26" t="s">
        <v>14180</v>
      </c>
      <c r="B4622" s="27" t="s">
        <v>14181</v>
      </c>
      <c r="C4622" s="27" t="s">
        <v>370</v>
      </c>
      <c r="D4622" s="26"/>
      <c r="E4622" s="27"/>
      <c r="F4622" s="27"/>
      <c r="G4622" s="27" t="s">
        <v>11122</v>
      </c>
      <c r="H4622" s="27" t="s">
        <v>35</v>
      </c>
      <c r="I4622" s="27" t="s">
        <v>37</v>
      </c>
      <c r="J4622" s="28" t="s">
        <v>161</v>
      </c>
      <c r="K4622" s="27" t="s">
        <v>40</v>
      </c>
      <c r="L4622" s="27"/>
    </row>
    <row r="4623" customFormat="false" ht="15" hidden="false" customHeight="false" outlineLevel="0" collapsed="false">
      <c r="A4623" s="26" t="s">
        <v>14182</v>
      </c>
      <c r="B4623" s="27" t="s">
        <v>14183</v>
      </c>
      <c r="C4623" s="27" t="s">
        <v>370</v>
      </c>
      <c r="D4623" s="26"/>
      <c r="E4623" s="27"/>
      <c r="F4623" s="27"/>
      <c r="G4623" s="27" t="s">
        <v>11122</v>
      </c>
      <c r="H4623" s="27" t="s">
        <v>35</v>
      </c>
      <c r="I4623" s="27" t="s">
        <v>37</v>
      </c>
      <c r="J4623" s="28" t="s">
        <v>161</v>
      </c>
      <c r="K4623" s="27" t="s">
        <v>40</v>
      </c>
      <c r="L4623" s="27"/>
    </row>
    <row r="4624" customFormat="false" ht="15" hidden="false" customHeight="false" outlineLevel="0" collapsed="false">
      <c r="A4624" s="26" t="s">
        <v>14184</v>
      </c>
      <c r="B4624" s="27" t="s">
        <v>14185</v>
      </c>
      <c r="C4624" s="27" t="s">
        <v>370</v>
      </c>
      <c r="D4624" s="26"/>
      <c r="E4624" s="27"/>
      <c r="F4624" s="27"/>
      <c r="G4624" s="27" t="s">
        <v>11122</v>
      </c>
      <c r="H4624" s="27" t="s">
        <v>35</v>
      </c>
      <c r="I4624" s="27" t="s">
        <v>37</v>
      </c>
      <c r="J4624" s="28" t="s">
        <v>161</v>
      </c>
      <c r="K4624" s="27" t="s">
        <v>40</v>
      </c>
      <c r="L4624" s="27"/>
    </row>
    <row r="4625" customFormat="false" ht="15" hidden="false" customHeight="false" outlineLevel="0" collapsed="false">
      <c r="A4625" s="26" t="s">
        <v>14186</v>
      </c>
      <c r="B4625" s="27" t="s">
        <v>14187</v>
      </c>
      <c r="C4625" s="27" t="s">
        <v>370</v>
      </c>
      <c r="D4625" s="26"/>
      <c r="E4625" s="27"/>
      <c r="F4625" s="27"/>
      <c r="G4625" s="27" t="s">
        <v>11122</v>
      </c>
      <c r="H4625" s="27" t="s">
        <v>35</v>
      </c>
      <c r="I4625" s="27" t="s">
        <v>37</v>
      </c>
      <c r="J4625" s="28" t="s">
        <v>161</v>
      </c>
      <c r="K4625" s="27" t="s">
        <v>40</v>
      </c>
      <c r="L4625" s="27"/>
    </row>
    <row r="4626" customFormat="false" ht="15" hidden="false" customHeight="false" outlineLevel="0" collapsed="false">
      <c r="A4626" s="26" t="s">
        <v>14188</v>
      </c>
      <c r="B4626" s="27" t="s">
        <v>14189</v>
      </c>
      <c r="C4626" s="27" t="s">
        <v>370</v>
      </c>
      <c r="D4626" s="26"/>
      <c r="E4626" s="27"/>
      <c r="F4626" s="27"/>
      <c r="G4626" s="27" t="s">
        <v>11122</v>
      </c>
      <c r="H4626" s="27" t="s">
        <v>35</v>
      </c>
      <c r="I4626" s="27" t="s">
        <v>42</v>
      </c>
      <c r="J4626" s="28" t="s">
        <v>161</v>
      </c>
      <c r="K4626" s="27" t="s">
        <v>40</v>
      </c>
      <c r="L4626" s="27"/>
    </row>
    <row r="4627" customFormat="false" ht="15" hidden="false" customHeight="false" outlineLevel="0" collapsed="false">
      <c r="A4627" s="26" t="s">
        <v>14190</v>
      </c>
      <c r="B4627" s="27" t="s">
        <v>14191</v>
      </c>
      <c r="C4627" s="27" t="s">
        <v>144</v>
      </c>
      <c r="D4627" s="26"/>
      <c r="E4627" s="27"/>
      <c r="F4627" s="27"/>
      <c r="G4627" s="27" t="s">
        <v>11122</v>
      </c>
      <c r="H4627" s="27" t="s">
        <v>35</v>
      </c>
      <c r="I4627" s="27" t="s">
        <v>41</v>
      </c>
      <c r="J4627" s="28" t="s">
        <v>161</v>
      </c>
      <c r="K4627" s="27" t="s">
        <v>40</v>
      </c>
      <c r="L4627" s="27"/>
    </row>
    <row r="4628" customFormat="false" ht="15" hidden="false" customHeight="false" outlineLevel="0" collapsed="false">
      <c r="A4628" s="26" t="s">
        <v>14192</v>
      </c>
      <c r="B4628" s="27" t="s">
        <v>14193</v>
      </c>
      <c r="C4628" s="27" t="s">
        <v>370</v>
      </c>
      <c r="D4628" s="26"/>
      <c r="E4628" s="27"/>
      <c r="F4628" s="27"/>
      <c r="G4628" s="27" t="s">
        <v>11122</v>
      </c>
      <c r="H4628" s="27" t="s">
        <v>35</v>
      </c>
      <c r="I4628" s="27" t="s">
        <v>37</v>
      </c>
      <c r="J4628" s="28" t="s">
        <v>161</v>
      </c>
      <c r="K4628" s="27" t="s">
        <v>40</v>
      </c>
      <c r="L4628" s="27"/>
    </row>
    <row r="4629" customFormat="false" ht="15" hidden="false" customHeight="false" outlineLevel="0" collapsed="false">
      <c r="A4629" s="26" t="s">
        <v>14194</v>
      </c>
      <c r="B4629" s="27" t="s">
        <v>14195</v>
      </c>
      <c r="C4629" s="27" t="s">
        <v>144</v>
      </c>
      <c r="D4629" s="26"/>
      <c r="E4629" s="27"/>
      <c r="F4629" s="27"/>
      <c r="G4629" s="27" t="s">
        <v>11122</v>
      </c>
      <c r="H4629" s="27" t="s">
        <v>35</v>
      </c>
      <c r="I4629" s="27" t="s">
        <v>39</v>
      </c>
      <c r="J4629" s="28" t="s">
        <v>161</v>
      </c>
      <c r="K4629" s="27" t="s">
        <v>40</v>
      </c>
      <c r="L4629" s="27"/>
    </row>
    <row r="4630" customFormat="false" ht="15" hidden="false" customHeight="false" outlineLevel="0" collapsed="false">
      <c r="A4630" s="26" t="s">
        <v>14196</v>
      </c>
      <c r="B4630" s="27" t="s">
        <v>14197</v>
      </c>
      <c r="C4630" s="27" t="s">
        <v>144</v>
      </c>
      <c r="D4630" s="26"/>
      <c r="E4630" s="27"/>
      <c r="F4630" s="27"/>
      <c r="G4630" s="27" t="s">
        <v>11122</v>
      </c>
      <c r="H4630" s="27" t="s">
        <v>35</v>
      </c>
      <c r="I4630" s="27" t="s">
        <v>41</v>
      </c>
      <c r="J4630" s="28" t="s">
        <v>161</v>
      </c>
      <c r="K4630" s="27" t="s">
        <v>40</v>
      </c>
      <c r="L4630" s="27"/>
    </row>
    <row r="4631" customFormat="false" ht="15" hidden="false" customHeight="false" outlineLevel="0" collapsed="false">
      <c r="A4631" s="26" t="s">
        <v>14198</v>
      </c>
      <c r="B4631" s="27" t="s">
        <v>14199</v>
      </c>
      <c r="C4631" s="27" t="s">
        <v>144</v>
      </c>
      <c r="D4631" s="26"/>
      <c r="E4631" s="27"/>
      <c r="F4631" s="27"/>
      <c r="G4631" s="27" t="s">
        <v>11122</v>
      </c>
      <c r="H4631" s="27" t="s">
        <v>35</v>
      </c>
      <c r="I4631" s="27" t="s">
        <v>41</v>
      </c>
      <c r="J4631" s="28" t="s">
        <v>161</v>
      </c>
      <c r="K4631" s="27" t="s">
        <v>40</v>
      </c>
      <c r="L4631" s="27"/>
    </row>
    <row r="4632" customFormat="false" ht="15" hidden="false" customHeight="false" outlineLevel="0" collapsed="false">
      <c r="A4632" s="26" t="s">
        <v>14200</v>
      </c>
      <c r="B4632" s="27" t="s">
        <v>14201</v>
      </c>
      <c r="C4632" s="27" t="s">
        <v>370</v>
      </c>
      <c r="D4632" s="26"/>
      <c r="E4632" s="27"/>
      <c r="F4632" s="27"/>
      <c r="G4632" s="27" t="s">
        <v>11122</v>
      </c>
      <c r="H4632" s="27" t="s">
        <v>35</v>
      </c>
      <c r="I4632" s="27" t="s">
        <v>41</v>
      </c>
      <c r="J4632" s="28" t="s">
        <v>161</v>
      </c>
      <c r="K4632" s="27" t="s">
        <v>40</v>
      </c>
      <c r="L4632" s="27"/>
    </row>
    <row r="4633" customFormat="false" ht="15" hidden="false" customHeight="false" outlineLevel="0" collapsed="false">
      <c r="A4633" s="26" t="s">
        <v>14202</v>
      </c>
      <c r="B4633" s="27" t="s">
        <v>14203</v>
      </c>
      <c r="C4633" s="27" t="s">
        <v>370</v>
      </c>
      <c r="D4633" s="26"/>
      <c r="E4633" s="27"/>
      <c r="F4633" s="27"/>
      <c r="G4633" s="27" t="s">
        <v>11122</v>
      </c>
      <c r="H4633" s="27" t="s">
        <v>35</v>
      </c>
      <c r="I4633" s="27" t="s">
        <v>37</v>
      </c>
      <c r="J4633" s="28" t="s">
        <v>161</v>
      </c>
      <c r="K4633" s="27" t="s">
        <v>40</v>
      </c>
      <c r="L4633" s="27"/>
    </row>
    <row r="4634" customFormat="false" ht="15" hidden="false" customHeight="false" outlineLevel="0" collapsed="false">
      <c r="A4634" s="26" t="s">
        <v>14204</v>
      </c>
      <c r="B4634" s="27" t="s">
        <v>14205</v>
      </c>
      <c r="C4634" s="27" t="s">
        <v>144</v>
      </c>
      <c r="D4634" s="26"/>
      <c r="E4634" s="27"/>
      <c r="F4634" s="27"/>
      <c r="G4634" s="27" t="s">
        <v>11122</v>
      </c>
      <c r="H4634" s="27" t="s">
        <v>35</v>
      </c>
      <c r="I4634" s="27" t="s">
        <v>37</v>
      </c>
      <c r="J4634" s="28" t="s">
        <v>161</v>
      </c>
      <c r="K4634" s="27" t="s">
        <v>40</v>
      </c>
      <c r="L4634" s="27"/>
    </row>
    <row r="4635" customFormat="false" ht="15" hidden="false" customHeight="false" outlineLevel="0" collapsed="false">
      <c r="A4635" s="26" t="s">
        <v>14206</v>
      </c>
      <c r="B4635" s="27" t="s">
        <v>14207</v>
      </c>
      <c r="C4635" s="27" t="s">
        <v>370</v>
      </c>
      <c r="D4635" s="26"/>
      <c r="E4635" s="27"/>
      <c r="F4635" s="27"/>
      <c r="G4635" s="27" t="s">
        <v>11122</v>
      </c>
      <c r="H4635" s="27" t="s">
        <v>35</v>
      </c>
      <c r="I4635" s="27" t="s">
        <v>41</v>
      </c>
      <c r="J4635" s="28" t="s">
        <v>161</v>
      </c>
      <c r="K4635" s="27" t="s">
        <v>40</v>
      </c>
      <c r="L4635" s="27"/>
    </row>
    <row r="4636" customFormat="false" ht="15" hidden="false" customHeight="false" outlineLevel="0" collapsed="false">
      <c r="A4636" s="26" t="s">
        <v>14208</v>
      </c>
      <c r="B4636" s="27" t="s">
        <v>14209</v>
      </c>
      <c r="C4636" s="27" t="s">
        <v>144</v>
      </c>
      <c r="D4636" s="26"/>
      <c r="E4636" s="27"/>
      <c r="F4636" s="27"/>
      <c r="G4636" s="27" t="s">
        <v>11122</v>
      </c>
      <c r="H4636" s="27" t="s">
        <v>35</v>
      </c>
      <c r="I4636" s="27" t="s">
        <v>37</v>
      </c>
      <c r="J4636" s="28" t="s">
        <v>161</v>
      </c>
      <c r="K4636" s="27" t="s">
        <v>40</v>
      </c>
      <c r="L4636" s="27"/>
    </row>
    <row r="4637" customFormat="false" ht="15" hidden="false" customHeight="false" outlineLevel="0" collapsed="false">
      <c r="A4637" s="26" t="s">
        <v>14210</v>
      </c>
      <c r="B4637" s="27" t="s">
        <v>14211</v>
      </c>
      <c r="C4637" s="27" t="s">
        <v>370</v>
      </c>
      <c r="D4637" s="26"/>
      <c r="E4637" s="27"/>
      <c r="F4637" s="27"/>
      <c r="G4637" s="27" t="s">
        <v>11122</v>
      </c>
      <c r="H4637" s="27" t="s">
        <v>35</v>
      </c>
      <c r="I4637" s="27" t="s">
        <v>41</v>
      </c>
      <c r="J4637" s="28" t="s">
        <v>161</v>
      </c>
      <c r="K4637" s="27" t="s">
        <v>40</v>
      </c>
      <c r="L4637" s="27"/>
    </row>
    <row r="4638" customFormat="false" ht="15" hidden="false" customHeight="false" outlineLevel="0" collapsed="false">
      <c r="A4638" s="26" t="s">
        <v>14212</v>
      </c>
      <c r="B4638" s="27" t="s">
        <v>14213</v>
      </c>
      <c r="C4638" s="27" t="s">
        <v>370</v>
      </c>
      <c r="D4638" s="26"/>
      <c r="E4638" s="27"/>
      <c r="F4638" s="27"/>
      <c r="G4638" s="27" t="s">
        <v>11122</v>
      </c>
      <c r="H4638" s="27" t="s">
        <v>35</v>
      </c>
      <c r="I4638" s="27" t="s">
        <v>37</v>
      </c>
      <c r="J4638" s="28" t="s">
        <v>161</v>
      </c>
      <c r="K4638" s="27" t="s">
        <v>40</v>
      </c>
      <c r="L4638" s="27"/>
    </row>
    <row r="4639" customFormat="false" ht="15" hidden="false" customHeight="false" outlineLevel="0" collapsed="false">
      <c r="A4639" s="26" t="s">
        <v>14214</v>
      </c>
      <c r="B4639" s="27" t="s">
        <v>14215</v>
      </c>
      <c r="C4639" s="27" t="s">
        <v>370</v>
      </c>
      <c r="D4639" s="26"/>
      <c r="E4639" s="27"/>
      <c r="F4639" s="27"/>
      <c r="G4639" s="27" t="s">
        <v>11122</v>
      </c>
      <c r="H4639" s="27" t="s">
        <v>35</v>
      </c>
      <c r="I4639" s="27" t="s">
        <v>37</v>
      </c>
      <c r="J4639" s="28" t="s">
        <v>161</v>
      </c>
      <c r="K4639" s="27" t="s">
        <v>40</v>
      </c>
      <c r="L4639" s="27"/>
    </row>
    <row r="4640" customFormat="false" ht="15" hidden="false" customHeight="false" outlineLevel="0" collapsed="false">
      <c r="A4640" s="26" t="s">
        <v>14216</v>
      </c>
      <c r="B4640" s="27" t="s">
        <v>14217</v>
      </c>
      <c r="C4640" s="27" t="s">
        <v>370</v>
      </c>
      <c r="D4640" s="26"/>
      <c r="E4640" s="27"/>
      <c r="F4640" s="27"/>
      <c r="G4640" s="27" t="s">
        <v>11122</v>
      </c>
      <c r="H4640" s="27" t="s">
        <v>35</v>
      </c>
      <c r="I4640" s="27" t="s">
        <v>47</v>
      </c>
      <c r="J4640" s="28" t="s">
        <v>161</v>
      </c>
      <c r="K4640" s="27" t="s">
        <v>40</v>
      </c>
      <c r="L4640" s="27"/>
    </row>
    <row r="4641" customFormat="false" ht="15" hidden="false" customHeight="false" outlineLevel="0" collapsed="false">
      <c r="A4641" s="26" t="s">
        <v>14218</v>
      </c>
      <c r="B4641" s="27" t="s">
        <v>14219</v>
      </c>
      <c r="C4641" s="27" t="s">
        <v>144</v>
      </c>
      <c r="D4641" s="26"/>
      <c r="E4641" s="27"/>
      <c r="F4641" s="27"/>
      <c r="G4641" s="27" t="s">
        <v>11122</v>
      </c>
      <c r="H4641" s="27" t="s">
        <v>35</v>
      </c>
      <c r="I4641" s="27" t="s">
        <v>41</v>
      </c>
      <c r="J4641" s="28" t="s">
        <v>161</v>
      </c>
      <c r="K4641" s="27" t="s">
        <v>40</v>
      </c>
      <c r="L4641" s="27"/>
    </row>
    <row r="4642" customFormat="false" ht="15" hidden="false" customHeight="false" outlineLevel="0" collapsed="false">
      <c r="A4642" s="26" t="s">
        <v>14220</v>
      </c>
      <c r="B4642" s="27" t="s">
        <v>14221</v>
      </c>
      <c r="C4642" s="27" t="s">
        <v>370</v>
      </c>
      <c r="D4642" s="26"/>
      <c r="E4642" s="27"/>
      <c r="F4642" s="27"/>
      <c r="G4642" s="27" t="s">
        <v>11122</v>
      </c>
      <c r="H4642" s="27" t="s">
        <v>35</v>
      </c>
      <c r="I4642" s="27" t="s">
        <v>40</v>
      </c>
      <c r="J4642" s="28" t="s">
        <v>161</v>
      </c>
      <c r="K4642" s="27" t="s">
        <v>40</v>
      </c>
      <c r="L4642" s="27"/>
    </row>
    <row r="4643" customFormat="false" ht="15" hidden="false" customHeight="false" outlineLevel="0" collapsed="false">
      <c r="A4643" s="26" t="s">
        <v>14222</v>
      </c>
      <c r="B4643" s="27" t="s">
        <v>14223</v>
      </c>
      <c r="C4643" s="27" t="s">
        <v>370</v>
      </c>
      <c r="D4643" s="26"/>
      <c r="E4643" s="27"/>
      <c r="F4643" s="27"/>
      <c r="G4643" s="27" t="s">
        <v>11122</v>
      </c>
      <c r="H4643" s="27" t="s">
        <v>35</v>
      </c>
      <c r="I4643" s="27" t="s">
        <v>43</v>
      </c>
      <c r="J4643" s="28" t="s">
        <v>161</v>
      </c>
      <c r="K4643" s="27" t="s">
        <v>40</v>
      </c>
      <c r="L4643" s="27"/>
    </row>
    <row r="4644" customFormat="false" ht="15" hidden="false" customHeight="false" outlineLevel="0" collapsed="false">
      <c r="A4644" s="26" t="s">
        <v>14224</v>
      </c>
      <c r="B4644" s="27" t="s">
        <v>14225</v>
      </c>
      <c r="C4644" s="27" t="s">
        <v>144</v>
      </c>
      <c r="D4644" s="26"/>
      <c r="E4644" s="27"/>
      <c r="F4644" s="27"/>
      <c r="G4644" s="27" t="s">
        <v>11122</v>
      </c>
      <c r="H4644" s="27" t="s">
        <v>35</v>
      </c>
      <c r="I4644" s="27" t="s">
        <v>48</v>
      </c>
      <c r="J4644" s="28" t="s">
        <v>161</v>
      </c>
      <c r="K4644" s="27" t="s">
        <v>40</v>
      </c>
      <c r="L4644" s="27"/>
    </row>
    <row r="4645" customFormat="false" ht="15" hidden="false" customHeight="false" outlineLevel="0" collapsed="false">
      <c r="A4645" s="26" t="s">
        <v>14226</v>
      </c>
      <c r="B4645" s="27" t="s">
        <v>14227</v>
      </c>
      <c r="C4645" s="27" t="s">
        <v>144</v>
      </c>
      <c r="D4645" s="26"/>
      <c r="E4645" s="27"/>
      <c r="F4645" s="27"/>
      <c r="G4645" s="27" t="s">
        <v>11122</v>
      </c>
      <c r="H4645" s="27" t="s">
        <v>35</v>
      </c>
      <c r="I4645" s="27" t="s">
        <v>41</v>
      </c>
      <c r="J4645" s="28" t="s">
        <v>161</v>
      </c>
      <c r="K4645" s="27" t="s">
        <v>40</v>
      </c>
      <c r="L4645" s="27"/>
    </row>
    <row r="4646" customFormat="false" ht="15" hidden="false" customHeight="false" outlineLevel="0" collapsed="false">
      <c r="A4646" s="26" t="s">
        <v>14228</v>
      </c>
      <c r="B4646" s="27" t="s">
        <v>14229</v>
      </c>
      <c r="C4646" s="27" t="s">
        <v>144</v>
      </c>
      <c r="D4646" s="26"/>
      <c r="E4646" s="27"/>
      <c r="F4646" s="27"/>
      <c r="G4646" s="27" t="s">
        <v>11122</v>
      </c>
      <c r="H4646" s="27" t="s">
        <v>35</v>
      </c>
      <c r="I4646" s="27" t="s">
        <v>41</v>
      </c>
      <c r="J4646" s="28" t="s">
        <v>161</v>
      </c>
      <c r="K4646" s="27" t="s">
        <v>40</v>
      </c>
      <c r="L4646" s="27"/>
    </row>
    <row r="4647" customFormat="false" ht="15" hidden="false" customHeight="false" outlineLevel="0" collapsed="false">
      <c r="A4647" s="26" t="s">
        <v>14230</v>
      </c>
      <c r="B4647" s="27" t="s">
        <v>14231</v>
      </c>
      <c r="C4647" s="27" t="s">
        <v>144</v>
      </c>
      <c r="D4647" s="26"/>
      <c r="E4647" s="27"/>
      <c r="F4647" s="27"/>
      <c r="G4647" s="27" t="s">
        <v>11122</v>
      </c>
      <c r="H4647" s="27" t="s">
        <v>35</v>
      </c>
      <c r="I4647" s="27" t="s">
        <v>41</v>
      </c>
      <c r="J4647" s="28" t="s">
        <v>161</v>
      </c>
      <c r="K4647" s="27" t="s">
        <v>40</v>
      </c>
      <c r="L4647" s="27"/>
    </row>
    <row r="4648" customFormat="false" ht="15" hidden="false" customHeight="false" outlineLevel="0" collapsed="false">
      <c r="A4648" s="26" t="s">
        <v>14232</v>
      </c>
      <c r="B4648" s="27" t="s">
        <v>14233</v>
      </c>
      <c r="C4648" s="27" t="s">
        <v>144</v>
      </c>
      <c r="D4648" s="26"/>
      <c r="E4648" s="27"/>
      <c r="F4648" s="27"/>
      <c r="G4648" s="27" t="s">
        <v>11122</v>
      </c>
      <c r="H4648" s="27" t="s">
        <v>35</v>
      </c>
      <c r="I4648" s="27" t="s">
        <v>41</v>
      </c>
      <c r="J4648" s="28" t="s">
        <v>161</v>
      </c>
      <c r="K4648" s="27" t="s">
        <v>40</v>
      </c>
      <c r="L4648" s="27"/>
    </row>
    <row r="4649" customFormat="false" ht="15" hidden="false" customHeight="false" outlineLevel="0" collapsed="false">
      <c r="A4649" s="26" t="s">
        <v>14234</v>
      </c>
      <c r="B4649" s="27" t="s">
        <v>14235</v>
      </c>
      <c r="C4649" s="27" t="s">
        <v>370</v>
      </c>
      <c r="D4649" s="26"/>
      <c r="E4649" s="27"/>
      <c r="F4649" s="27"/>
      <c r="G4649" s="27" t="s">
        <v>11122</v>
      </c>
      <c r="H4649" s="27" t="s">
        <v>35</v>
      </c>
      <c r="I4649" s="27" t="s">
        <v>37</v>
      </c>
      <c r="J4649" s="28" t="s">
        <v>161</v>
      </c>
      <c r="K4649" s="27" t="s">
        <v>40</v>
      </c>
      <c r="L4649" s="27"/>
    </row>
    <row r="4650" customFormat="false" ht="15" hidden="false" customHeight="false" outlineLevel="0" collapsed="false">
      <c r="A4650" s="26" t="s">
        <v>14236</v>
      </c>
      <c r="B4650" s="27" t="s">
        <v>14237</v>
      </c>
      <c r="C4650" s="27" t="s">
        <v>370</v>
      </c>
      <c r="D4650" s="26"/>
      <c r="E4650" s="27"/>
      <c r="F4650" s="27"/>
      <c r="G4650" s="27" t="s">
        <v>11122</v>
      </c>
      <c r="H4650" s="27" t="s">
        <v>35</v>
      </c>
      <c r="I4650" s="27" t="s">
        <v>40</v>
      </c>
      <c r="J4650" s="28" t="s">
        <v>161</v>
      </c>
      <c r="K4650" s="27" t="s">
        <v>40</v>
      </c>
      <c r="L4650" s="27"/>
    </row>
    <row r="4651" customFormat="false" ht="15" hidden="false" customHeight="false" outlineLevel="0" collapsed="false">
      <c r="A4651" s="26" t="s">
        <v>14238</v>
      </c>
      <c r="B4651" s="27" t="s">
        <v>14239</v>
      </c>
      <c r="C4651" s="27" t="s">
        <v>144</v>
      </c>
      <c r="D4651" s="26"/>
      <c r="E4651" s="27"/>
      <c r="F4651" s="27"/>
      <c r="G4651" s="27" t="s">
        <v>11122</v>
      </c>
      <c r="H4651" s="27" t="s">
        <v>35</v>
      </c>
      <c r="I4651" s="27" t="s">
        <v>41</v>
      </c>
      <c r="J4651" s="28" t="s">
        <v>161</v>
      </c>
      <c r="K4651" s="27" t="s">
        <v>40</v>
      </c>
      <c r="L4651" s="27"/>
    </row>
    <row r="4652" customFormat="false" ht="15" hidden="false" customHeight="false" outlineLevel="0" collapsed="false">
      <c r="A4652" s="26" t="s">
        <v>14240</v>
      </c>
      <c r="B4652" s="27" t="s">
        <v>14241</v>
      </c>
      <c r="C4652" s="27" t="s">
        <v>370</v>
      </c>
      <c r="D4652" s="26"/>
      <c r="E4652" s="27"/>
      <c r="F4652" s="27"/>
      <c r="G4652" s="27" t="s">
        <v>11122</v>
      </c>
      <c r="H4652" s="27" t="s">
        <v>35</v>
      </c>
      <c r="I4652" s="27" t="s">
        <v>37</v>
      </c>
      <c r="J4652" s="28" t="s">
        <v>161</v>
      </c>
      <c r="K4652" s="27" t="s">
        <v>40</v>
      </c>
      <c r="L4652" s="27"/>
    </row>
    <row r="4653" customFormat="false" ht="15" hidden="false" customHeight="false" outlineLevel="0" collapsed="false">
      <c r="A4653" s="26" t="s">
        <v>14242</v>
      </c>
      <c r="B4653" s="27" t="s">
        <v>14243</v>
      </c>
      <c r="C4653" s="27" t="s">
        <v>144</v>
      </c>
      <c r="D4653" s="26"/>
      <c r="E4653" s="27"/>
      <c r="F4653" s="27"/>
      <c r="G4653" s="27" t="s">
        <v>11122</v>
      </c>
      <c r="H4653" s="27" t="s">
        <v>35</v>
      </c>
      <c r="I4653" s="27" t="s">
        <v>39</v>
      </c>
      <c r="J4653" s="28" t="s">
        <v>161</v>
      </c>
      <c r="K4653" s="27" t="s">
        <v>40</v>
      </c>
      <c r="L4653" s="27"/>
    </row>
    <row r="4654" customFormat="false" ht="15" hidden="false" customHeight="false" outlineLevel="0" collapsed="false">
      <c r="A4654" s="26" t="s">
        <v>14244</v>
      </c>
      <c r="B4654" s="27" t="s">
        <v>14245</v>
      </c>
      <c r="C4654" s="27" t="s">
        <v>144</v>
      </c>
      <c r="D4654" s="26"/>
      <c r="E4654" s="27"/>
      <c r="F4654" s="27"/>
      <c r="G4654" s="27" t="s">
        <v>11122</v>
      </c>
      <c r="H4654" s="27" t="s">
        <v>35</v>
      </c>
      <c r="I4654" s="27" t="s">
        <v>41</v>
      </c>
      <c r="J4654" s="28" t="s">
        <v>161</v>
      </c>
      <c r="K4654" s="27" t="s">
        <v>40</v>
      </c>
      <c r="L4654" s="27"/>
    </row>
    <row r="4655" customFormat="false" ht="15" hidden="false" customHeight="false" outlineLevel="0" collapsed="false">
      <c r="A4655" s="26" t="s">
        <v>14246</v>
      </c>
      <c r="B4655" s="27" t="s">
        <v>14247</v>
      </c>
      <c r="C4655" s="27" t="s">
        <v>144</v>
      </c>
      <c r="D4655" s="26"/>
      <c r="E4655" s="27"/>
      <c r="F4655" s="27"/>
      <c r="G4655" s="27" t="s">
        <v>11122</v>
      </c>
      <c r="H4655" s="27" t="s">
        <v>35</v>
      </c>
      <c r="I4655" s="27" t="s">
        <v>41</v>
      </c>
      <c r="J4655" s="28" t="s">
        <v>161</v>
      </c>
      <c r="K4655" s="27" t="s">
        <v>40</v>
      </c>
      <c r="L4655" s="27"/>
    </row>
    <row r="4656" customFormat="false" ht="15" hidden="false" customHeight="false" outlineLevel="0" collapsed="false">
      <c r="A4656" s="26" t="s">
        <v>14248</v>
      </c>
      <c r="B4656" s="27" t="s">
        <v>14249</v>
      </c>
      <c r="C4656" s="27" t="s">
        <v>144</v>
      </c>
      <c r="D4656" s="26"/>
      <c r="E4656" s="27"/>
      <c r="F4656" s="27"/>
      <c r="G4656" s="27" t="s">
        <v>11122</v>
      </c>
      <c r="H4656" s="27" t="s">
        <v>35</v>
      </c>
      <c r="I4656" s="27" t="s">
        <v>41</v>
      </c>
      <c r="J4656" s="28" t="s">
        <v>161</v>
      </c>
      <c r="K4656" s="27" t="s">
        <v>40</v>
      </c>
      <c r="L4656" s="27"/>
    </row>
    <row r="4657" customFormat="false" ht="15" hidden="false" customHeight="false" outlineLevel="0" collapsed="false">
      <c r="A4657" s="26" t="s">
        <v>14250</v>
      </c>
      <c r="B4657" s="27" t="s">
        <v>14251</v>
      </c>
      <c r="C4657" s="27" t="s">
        <v>144</v>
      </c>
      <c r="D4657" s="26"/>
      <c r="E4657" s="27"/>
      <c r="F4657" s="27"/>
      <c r="G4657" s="27" t="s">
        <v>11122</v>
      </c>
      <c r="H4657" s="27" t="s">
        <v>35</v>
      </c>
      <c r="I4657" s="27" t="s">
        <v>37</v>
      </c>
      <c r="J4657" s="28" t="s">
        <v>161</v>
      </c>
      <c r="K4657" s="27" t="s">
        <v>40</v>
      </c>
      <c r="L4657" s="27"/>
    </row>
    <row r="4658" customFormat="false" ht="15" hidden="false" customHeight="false" outlineLevel="0" collapsed="false">
      <c r="A4658" s="26" t="s">
        <v>14252</v>
      </c>
      <c r="B4658" s="27" t="s">
        <v>14253</v>
      </c>
      <c r="C4658" s="27" t="s">
        <v>144</v>
      </c>
      <c r="D4658" s="26"/>
      <c r="E4658" s="27"/>
      <c r="F4658" s="27"/>
      <c r="G4658" s="27" t="s">
        <v>11122</v>
      </c>
      <c r="H4658" s="27" t="s">
        <v>35</v>
      </c>
      <c r="I4658" s="27" t="s">
        <v>41</v>
      </c>
      <c r="J4658" s="28" t="s">
        <v>161</v>
      </c>
      <c r="K4658" s="27" t="s">
        <v>40</v>
      </c>
      <c r="L4658" s="27"/>
    </row>
    <row r="4659" customFormat="false" ht="15" hidden="false" customHeight="false" outlineLevel="0" collapsed="false">
      <c r="A4659" s="26" t="s">
        <v>14254</v>
      </c>
      <c r="B4659" s="27" t="s">
        <v>14255</v>
      </c>
      <c r="C4659" s="27" t="s">
        <v>144</v>
      </c>
      <c r="D4659" s="26"/>
      <c r="E4659" s="27"/>
      <c r="F4659" s="27"/>
      <c r="G4659" s="27" t="s">
        <v>11122</v>
      </c>
      <c r="H4659" s="27" t="s">
        <v>35</v>
      </c>
      <c r="I4659" s="27" t="s">
        <v>41</v>
      </c>
      <c r="J4659" s="28" t="s">
        <v>161</v>
      </c>
      <c r="K4659" s="27" t="s">
        <v>40</v>
      </c>
      <c r="L4659" s="27"/>
    </row>
    <row r="4660" customFormat="false" ht="15" hidden="false" customHeight="false" outlineLevel="0" collapsed="false">
      <c r="A4660" s="26" t="s">
        <v>14256</v>
      </c>
      <c r="B4660" s="27" t="s">
        <v>14257</v>
      </c>
      <c r="C4660" s="27" t="s">
        <v>144</v>
      </c>
      <c r="D4660" s="26"/>
      <c r="E4660" s="27"/>
      <c r="F4660" s="27"/>
      <c r="G4660" s="27" t="s">
        <v>11122</v>
      </c>
      <c r="H4660" s="27" t="s">
        <v>35</v>
      </c>
      <c r="I4660" s="27" t="s">
        <v>41</v>
      </c>
      <c r="J4660" s="28" t="s">
        <v>161</v>
      </c>
      <c r="K4660" s="27" t="s">
        <v>40</v>
      </c>
      <c r="L4660" s="27"/>
    </row>
    <row r="4661" customFormat="false" ht="15" hidden="false" customHeight="false" outlineLevel="0" collapsed="false">
      <c r="A4661" s="26" t="s">
        <v>14258</v>
      </c>
      <c r="B4661" s="27" t="s">
        <v>14259</v>
      </c>
      <c r="C4661" s="27" t="s">
        <v>144</v>
      </c>
      <c r="D4661" s="26"/>
      <c r="E4661" s="27"/>
      <c r="F4661" s="27"/>
      <c r="G4661" s="27" t="s">
        <v>11122</v>
      </c>
      <c r="H4661" s="27" t="s">
        <v>35</v>
      </c>
      <c r="I4661" s="27" t="s">
        <v>41</v>
      </c>
      <c r="J4661" s="28" t="s">
        <v>161</v>
      </c>
      <c r="K4661" s="27" t="s">
        <v>40</v>
      </c>
      <c r="L4661" s="27"/>
    </row>
    <row r="4662" customFormat="false" ht="15" hidden="false" customHeight="false" outlineLevel="0" collapsed="false">
      <c r="A4662" s="26" t="s">
        <v>14260</v>
      </c>
      <c r="B4662" s="27" t="s">
        <v>14261</v>
      </c>
      <c r="C4662" s="27" t="s">
        <v>144</v>
      </c>
      <c r="D4662" s="26"/>
      <c r="E4662" s="27"/>
      <c r="F4662" s="27"/>
      <c r="G4662" s="27" t="s">
        <v>11122</v>
      </c>
      <c r="H4662" s="27" t="s">
        <v>35</v>
      </c>
      <c r="I4662" s="27" t="s">
        <v>41</v>
      </c>
      <c r="J4662" s="28" t="s">
        <v>161</v>
      </c>
      <c r="K4662" s="27" t="s">
        <v>40</v>
      </c>
      <c r="L4662" s="27"/>
    </row>
    <row r="4663" customFormat="false" ht="15" hidden="false" customHeight="false" outlineLevel="0" collapsed="false">
      <c r="A4663" s="26" t="s">
        <v>14262</v>
      </c>
      <c r="B4663" s="27" t="s">
        <v>14263</v>
      </c>
      <c r="C4663" s="27" t="s">
        <v>144</v>
      </c>
      <c r="D4663" s="26"/>
      <c r="E4663" s="27"/>
      <c r="F4663" s="27"/>
      <c r="G4663" s="27" t="s">
        <v>11122</v>
      </c>
      <c r="H4663" s="27" t="s">
        <v>35</v>
      </c>
      <c r="I4663" s="27" t="s">
        <v>37</v>
      </c>
      <c r="J4663" s="28" t="s">
        <v>161</v>
      </c>
      <c r="K4663" s="27" t="s">
        <v>40</v>
      </c>
      <c r="L4663" s="27"/>
    </row>
    <row r="4664" customFormat="false" ht="15" hidden="false" customHeight="false" outlineLevel="0" collapsed="false">
      <c r="A4664" s="26" t="s">
        <v>14264</v>
      </c>
      <c r="B4664" s="27" t="s">
        <v>14265</v>
      </c>
      <c r="C4664" s="27" t="s">
        <v>144</v>
      </c>
      <c r="D4664" s="26"/>
      <c r="E4664" s="27"/>
      <c r="F4664" s="27"/>
      <c r="G4664" s="27" t="s">
        <v>11122</v>
      </c>
      <c r="H4664" s="27" t="s">
        <v>35</v>
      </c>
      <c r="I4664" s="27" t="s">
        <v>41</v>
      </c>
      <c r="J4664" s="28" t="s">
        <v>161</v>
      </c>
      <c r="K4664" s="27" t="s">
        <v>40</v>
      </c>
      <c r="L4664" s="27"/>
    </row>
    <row r="4665" customFormat="false" ht="15" hidden="false" customHeight="false" outlineLevel="0" collapsed="false">
      <c r="A4665" s="26" t="s">
        <v>14266</v>
      </c>
      <c r="B4665" s="27" t="s">
        <v>14267</v>
      </c>
      <c r="C4665" s="27" t="s">
        <v>144</v>
      </c>
      <c r="D4665" s="26"/>
      <c r="E4665" s="27"/>
      <c r="F4665" s="27"/>
      <c r="G4665" s="27" t="s">
        <v>11122</v>
      </c>
      <c r="H4665" s="27" t="s">
        <v>35</v>
      </c>
      <c r="I4665" s="27" t="s">
        <v>37</v>
      </c>
      <c r="J4665" s="28" t="s">
        <v>161</v>
      </c>
      <c r="K4665" s="27" t="s">
        <v>40</v>
      </c>
      <c r="L4665" s="27"/>
    </row>
    <row r="4666" customFormat="false" ht="15" hidden="false" customHeight="false" outlineLevel="0" collapsed="false">
      <c r="A4666" s="26" t="s">
        <v>14268</v>
      </c>
      <c r="B4666" s="27" t="s">
        <v>14269</v>
      </c>
      <c r="C4666" s="27" t="s">
        <v>370</v>
      </c>
      <c r="D4666" s="26"/>
      <c r="E4666" s="27"/>
      <c r="F4666" s="27"/>
      <c r="G4666" s="27" t="s">
        <v>11122</v>
      </c>
      <c r="H4666" s="27" t="s">
        <v>35</v>
      </c>
      <c r="I4666" s="27" t="s">
        <v>41</v>
      </c>
      <c r="J4666" s="28" t="s">
        <v>161</v>
      </c>
      <c r="K4666" s="27" t="s">
        <v>40</v>
      </c>
      <c r="L4666" s="27"/>
    </row>
    <row r="4667" customFormat="false" ht="15" hidden="false" customHeight="false" outlineLevel="0" collapsed="false">
      <c r="A4667" s="26" t="s">
        <v>14270</v>
      </c>
      <c r="B4667" s="27" t="s">
        <v>14271</v>
      </c>
      <c r="C4667" s="27" t="s">
        <v>137</v>
      </c>
      <c r="D4667" s="26"/>
      <c r="E4667" s="27"/>
      <c r="F4667" s="27"/>
      <c r="G4667" s="27" t="s">
        <v>11122</v>
      </c>
      <c r="H4667" s="27" t="s">
        <v>35</v>
      </c>
      <c r="I4667" s="27" t="s">
        <v>40</v>
      </c>
      <c r="J4667" s="28" t="s">
        <v>161</v>
      </c>
      <c r="K4667" s="27" t="s">
        <v>40</v>
      </c>
      <c r="L4667" s="27"/>
    </row>
    <row r="4668" customFormat="false" ht="15" hidden="false" customHeight="false" outlineLevel="0" collapsed="false">
      <c r="A4668" s="26" t="s">
        <v>14272</v>
      </c>
      <c r="B4668" s="27" t="s">
        <v>14273</v>
      </c>
      <c r="C4668" s="27" t="s">
        <v>137</v>
      </c>
      <c r="D4668" s="26"/>
      <c r="E4668" s="27"/>
      <c r="F4668" s="27"/>
      <c r="G4668" s="27" t="s">
        <v>11122</v>
      </c>
      <c r="H4668" s="27" t="s">
        <v>35</v>
      </c>
      <c r="I4668" s="27" t="s">
        <v>40</v>
      </c>
      <c r="J4668" s="28" t="s">
        <v>161</v>
      </c>
      <c r="K4668" s="27" t="s">
        <v>40</v>
      </c>
      <c r="L4668" s="27"/>
    </row>
    <row r="4669" customFormat="false" ht="15" hidden="false" customHeight="false" outlineLevel="0" collapsed="false">
      <c r="A4669" s="26" t="s">
        <v>14274</v>
      </c>
      <c r="B4669" s="27" t="s">
        <v>14275</v>
      </c>
      <c r="C4669" s="27" t="s">
        <v>137</v>
      </c>
      <c r="D4669" s="26"/>
      <c r="E4669" s="27"/>
      <c r="F4669" s="27"/>
      <c r="G4669" s="27" t="s">
        <v>11122</v>
      </c>
      <c r="H4669" s="27" t="s">
        <v>35</v>
      </c>
      <c r="I4669" s="27" t="s">
        <v>40</v>
      </c>
      <c r="J4669" s="28" t="s">
        <v>161</v>
      </c>
      <c r="K4669" s="27" t="s">
        <v>40</v>
      </c>
      <c r="L4669" s="27"/>
    </row>
    <row r="4670" customFormat="false" ht="15" hidden="false" customHeight="false" outlineLevel="0" collapsed="false">
      <c r="A4670" s="26" t="s">
        <v>14276</v>
      </c>
      <c r="B4670" s="27" t="s">
        <v>14277</v>
      </c>
      <c r="C4670" s="27" t="s">
        <v>137</v>
      </c>
      <c r="D4670" s="26"/>
      <c r="E4670" s="27"/>
      <c r="F4670" s="27"/>
      <c r="G4670" s="27" t="s">
        <v>11122</v>
      </c>
      <c r="H4670" s="27" t="s">
        <v>35</v>
      </c>
      <c r="I4670" s="27" t="s">
        <v>40</v>
      </c>
      <c r="J4670" s="28" t="s">
        <v>161</v>
      </c>
      <c r="K4670" s="27" t="s">
        <v>40</v>
      </c>
      <c r="L4670" s="27"/>
    </row>
    <row r="4671" customFormat="false" ht="15" hidden="false" customHeight="false" outlineLevel="0" collapsed="false">
      <c r="A4671" s="26" t="s">
        <v>14278</v>
      </c>
      <c r="B4671" s="27" t="s">
        <v>14279</v>
      </c>
      <c r="C4671" s="27" t="s">
        <v>144</v>
      </c>
      <c r="D4671" s="26"/>
      <c r="E4671" s="27"/>
      <c r="F4671" s="27"/>
      <c r="G4671" s="27" t="s">
        <v>11122</v>
      </c>
      <c r="H4671" s="27" t="s">
        <v>35</v>
      </c>
      <c r="I4671" s="27" t="s">
        <v>41</v>
      </c>
      <c r="J4671" s="28" t="s">
        <v>161</v>
      </c>
      <c r="K4671" s="27" t="s">
        <v>40</v>
      </c>
      <c r="L4671" s="27"/>
    </row>
    <row r="4672" customFormat="false" ht="15" hidden="false" customHeight="false" outlineLevel="0" collapsed="false">
      <c r="A4672" s="26" t="s">
        <v>14280</v>
      </c>
      <c r="B4672" s="27" t="s">
        <v>14281</v>
      </c>
      <c r="C4672" s="27" t="s">
        <v>370</v>
      </c>
      <c r="D4672" s="26"/>
      <c r="E4672" s="27"/>
      <c r="F4672" s="27"/>
      <c r="G4672" s="27" t="s">
        <v>11122</v>
      </c>
      <c r="H4672" s="27" t="s">
        <v>35</v>
      </c>
      <c r="I4672" s="27" t="s">
        <v>40</v>
      </c>
      <c r="J4672" s="28" t="s">
        <v>161</v>
      </c>
      <c r="K4672" s="27" t="s">
        <v>40</v>
      </c>
      <c r="L4672" s="27"/>
    </row>
    <row r="4673" customFormat="false" ht="15" hidden="false" customHeight="false" outlineLevel="0" collapsed="false">
      <c r="A4673" s="26" t="s">
        <v>14282</v>
      </c>
      <c r="B4673" s="27" t="s">
        <v>14283</v>
      </c>
      <c r="C4673" s="27" t="s">
        <v>370</v>
      </c>
      <c r="D4673" s="26"/>
      <c r="E4673" s="27"/>
      <c r="F4673" s="27"/>
      <c r="G4673" s="27" t="s">
        <v>11122</v>
      </c>
      <c r="H4673" s="27" t="s">
        <v>35</v>
      </c>
      <c r="I4673" s="27" t="s">
        <v>40</v>
      </c>
      <c r="J4673" s="28" t="s">
        <v>161</v>
      </c>
      <c r="K4673" s="27" t="s">
        <v>40</v>
      </c>
      <c r="L4673" s="27"/>
    </row>
    <row r="4674" customFormat="false" ht="15" hidden="false" customHeight="false" outlineLevel="0" collapsed="false">
      <c r="A4674" s="26" t="s">
        <v>14284</v>
      </c>
      <c r="B4674" s="27" t="s">
        <v>14285</v>
      </c>
      <c r="C4674" s="27" t="s">
        <v>370</v>
      </c>
      <c r="D4674" s="26"/>
      <c r="E4674" s="27"/>
      <c r="F4674" s="27"/>
      <c r="G4674" s="27" t="s">
        <v>11122</v>
      </c>
      <c r="H4674" s="27" t="s">
        <v>35</v>
      </c>
      <c r="I4674" s="27" t="s">
        <v>49</v>
      </c>
      <c r="J4674" s="28" t="s">
        <v>161</v>
      </c>
      <c r="K4674" s="27" t="s">
        <v>40</v>
      </c>
      <c r="L4674" s="27"/>
    </row>
    <row r="4675" customFormat="false" ht="15" hidden="false" customHeight="false" outlineLevel="0" collapsed="false">
      <c r="A4675" s="26" t="s">
        <v>14286</v>
      </c>
      <c r="B4675" s="27" t="s">
        <v>14287</v>
      </c>
      <c r="C4675" s="27" t="s">
        <v>144</v>
      </c>
      <c r="D4675" s="26"/>
      <c r="E4675" s="27"/>
      <c r="F4675" s="27"/>
      <c r="G4675" s="27" t="s">
        <v>11122</v>
      </c>
      <c r="H4675" s="27" t="s">
        <v>35</v>
      </c>
      <c r="I4675" s="27" t="s">
        <v>41</v>
      </c>
      <c r="J4675" s="28" t="s">
        <v>161</v>
      </c>
      <c r="K4675" s="27" t="s">
        <v>40</v>
      </c>
      <c r="L4675" s="27"/>
    </row>
    <row r="4676" customFormat="false" ht="15" hidden="false" customHeight="false" outlineLevel="0" collapsed="false">
      <c r="A4676" s="26" t="s">
        <v>14288</v>
      </c>
      <c r="B4676" s="27" t="s">
        <v>14289</v>
      </c>
      <c r="C4676" s="27" t="s">
        <v>370</v>
      </c>
      <c r="D4676" s="26"/>
      <c r="E4676" s="27"/>
      <c r="F4676" s="27"/>
      <c r="G4676" s="27" t="s">
        <v>11122</v>
      </c>
      <c r="H4676" s="27" t="s">
        <v>35</v>
      </c>
      <c r="I4676" s="27" t="s">
        <v>37</v>
      </c>
      <c r="J4676" s="28" t="s">
        <v>161</v>
      </c>
      <c r="K4676" s="27" t="s">
        <v>40</v>
      </c>
      <c r="L4676" s="27"/>
    </row>
    <row r="4677" customFormat="false" ht="15" hidden="false" customHeight="false" outlineLevel="0" collapsed="false">
      <c r="A4677" s="26" t="s">
        <v>14290</v>
      </c>
      <c r="B4677" s="27" t="s">
        <v>14291</v>
      </c>
      <c r="C4677" s="27" t="s">
        <v>370</v>
      </c>
      <c r="D4677" s="26"/>
      <c r="E4677" s="27"/>
      <c r="F4677" s="27"/>
      <c r="G4677" s="27" t="s">
        <v>11122</v>
      </c>
      <c r="H4677" s="27" t="s">
        <v>35</v>
      </c>
      <c r="I4677" s="27" t="s">
        <v>40</v>
      </c>
      <c r="J4677" s="28" t="s">
        <v>161</v>
      </c>
      <c r="K4677" s="27" t="s">
        <v>40</v>
      </c>
      <c r="L4677" s="27"/>
    </row>
    <row r="4678" customFormat="false" ht="15" hidden="false" customHeight="false" outlineLevel="0" collapsed="false">
      <c r="A4678" s="26" t="s">
        <v>14292</v>
      </c>
      <c r="B4678" s="27" t="s">
        <v>14293</v>
      </c>
      <c r="C4678" s="27" t="s">
        <v>370</v>
      </c>
      <c r="D4678" s="26"/>
      <c r="E4678" s="27"/>
      <c r="F4678" s="27"/>
      <c r="G4678" s="27" t="s">
        <v>11122</v>
      </c>
      <c r="H4678" s="27" t="s">
        <v>35</v>
      </c>
      <c r="I4678" s="27" t="s">
        <v>37</v>
      </c>
      <c r="J4678" s="28" t="s">
        <v>161</v>
      </c>
      <c r="K4678" s="27" t="s">
        <v>40</v>
      </c>
      <c r="L4678" s="27"/>
    </row>
    <row r="4679" customFormat="false" ht="15" hidden="false" customHeight="false" outlineLevel="0" collapsed="false">
      <c r="A4679" s="26" t="s">
        <v>14294</v>
      </c>
      <c r="B4679" s="27" t="s">
        <v>14295</v>
      </c>
      <c r="C4679" s="27" t="s">
        <v>370</v>
      </c>
      <c r="D4679" s="26"/>
      <c r="E4679" s="27"/>
      <c r="F4679" s="27"/>
      <c r="G4679" s="27" t="s">
        <v>11122</v>
      </c>
      <c r="H4679" s="27" t="s">
        <v>35</v>
      </c>
      <c r="I4679" s="27" t="s">
        <v>37</v>
      </c>
      <c r="J4679" s="28" t="s">
        <v>161</v>
      </c>
      <c r="K4679" s="27" t="s">
        <v>40</v>
      </c>
      <c r="L4679" s="27"/>
    </row>
    <row r="4680" customFormat="false" ht="15" hidden="false" customHeight="false" outlineLevel="0" collapsed="false">
      <c r="A4680" s="26" t="s">
        <v>14296</v>
      </c>
      <c r="B4680" s="27" t="s">
        <v>14297</v>
      </c>
      <c r="C4680" s="27" t="s">
        <v>370</v>
      </c>
      <c r="D4680" s="26"/>
      <c r="E4680" s="27"/>
      <c r="F4680" s="27"/>
      <c r="G4680" s="27" t="s">
        <v>11122</v>
      </c>
      <c r="H4680" s="27" t="s">
        <v>35</v>
      </c>
      <c r="I4680" s="27" t="s">
        <v>37</v>
      </c>
      <c r="J4680" s="28" t="s">
        <v>161</v>
      </c>
      <c r="K4680" s="27" t="s">
        <v>40</v>
      </c>
      <c r="L4680" s="27"/>
    </row>
    <row r="4681" customFormat="false" ht="15" hidden="false" customHeight="false" outlineLevel="0" collapsed="false">
      <c r="A4681" s="26" t="s">
        <v>14298</v>
      </c>
      <c r="B4681" s="27" t="s">
        <v>14299</v>
      </c>
      <c r="C4681" s="27" t="s">
        <v>370</v>
      </c>
      <c r="D4681" s="26"/>
      <c r="E4681" s="27"/>
      <c r="F4681" s="27"/>
      <c r="G4681" s="27" t="s">
        <v>11122</v>
      </c>
      <c r="H4681" s="27" t="s">
        <v>35</v>
      </c>
      <c r="I4681" s="27" t="s">
        <v>41</v>
      </c>
      <c r="J4681" s="28" t="s">
        <v>161</v>
      </c>
      <c r="K4681" s="27" t="s">
        <v>40</v>
      </c>
      <c r="L4681" s="27"/>
    </row>
    <row r="4682" customFormat="false" ht="15" hidden="false" customHeight="false" outlineLevel="0" collapsed="false">
      <c r="A4682" s="26" t="s">
        <v>14300</v>
      </c>
      <c r="B4682" s="27" t="s">
        <v>14301</v>
      </c>
      <c r="C4682" s="27" t="s">
        <v>144</v>
      </c>
      <c r="D4682" s="26"/>
      <c r="E4682" s="27"/>
      <c r="F4682" s="27"/>
      <c r="G4682" s="27" t="s">
        <v>11122</v>
      </c>
      <c r="H4682" s="27" t="s">
        <v>35</v>
      </c>
      <c r="I4682" s="27" t="s">
        <v>40</v>
      </c>
      <c r="J4682" s="28" t="s">
        <v>161</v>
      </c>
      <c r="K4682" s="27" t="s">
        <v>40</v>
      </c>
      <c r="L4682" s="27"/>
    </row>
    <row r="4683" customFormat="false" ht="15" hidden="false" customHeight="false" outlineLevel="0" collapsed="false">
      <c r="A4683" s="26" t="s">
        <v>14302</v>
      </c>
      <c r="B4683" s="27" t="s">
        <v>14303</v>
      </c>
      <c r="C4683" s="27" t="s">
        <v>370</v>
      </c>
      <c r="D4683" s="26"/>
      <c r="E4683" s="27"/>
      <c r="F4683" s="27"/>
      <c r="G4683" s="27" t="s">
        <v>11122</v>
      </c>
      <c r="H4683" s="27" t="s">
        <v>35</v>
      </c>
      <c r="I4683" s="27" t="s">
        <v>37</v>
      </c>
      <c r="J4683" s="28" t="s">
        <v>161</v>
      </c>
      <c r="K4683" s="27" t="s">
        <v>40</v>
      </c>
      <c r="L4683" s="27"/>
    </row>
    <row r="4684" customFormat="false" ht="15" hidden="false" customHeight="false" outlineLevel="0" collapsed="false">
      <c r="A4684" s="26" t="s">
        <v>14304</v>
      </c>
      <c r="B4684" s="27" t="s">
        <v>14305</v>
      </c>
      <c r="C4684" s="27" t="s">
        <v>370</v>
      </c>
      <c r="D4684" s="26"/>
      <c r="E4684" s="27"/>
      <c r="F4684" s="27"/>
      <c r="G4684" s="27" t="s">
        <v>11122</v>
      </c>
      <c r="H4684" s="27" t="s">
        <v>35</v>
      </c>
      <c r="I4684" s="27" t="s">
        <v>37</v>
      </c>
      <c r="J4684" s="28" t="s">
        <v>161</v>
      </c>
      <c r="K4684" s="27" t="s">
        <v>40</v>
      </c>
      <c r="L4684" s="27"/>
    </row>
    <row r="4685" customFormat="false" ht="15" hidden="false" customHeight="false" outlineLevel="0" collapsed="false">
      <c r="A4685" s="26" t="s">
        <v>14306</v>
      </c>
      <c r="B4685" s="27" t="s">
        <v>14307</v>
      </c>
      <c r="C4685" s="27" t="s">
        <v>144</v>
      </c>
      <c r="D4685" s="26"/>
      <c r="E4685" s="27"/>
      <c r="F4685" s="27"/>
      <c r="G4685" s="27" t="s">
        <v>11122</v>
      </c>
      <c r="H4685" s="27" t="s">
        <v>35</v>
      </c>
      <c r="I4685" s="27" t="s">
        <v>40</v>
      </c>
      <c r="J4685" s="28" t="s">
        <v>161</v>
      </c>
      <c r="K4685" s="27" t="s">
        <v>40</v>
      </c>
      <c r="L4685" s="27"/>
    </row>
    <row r="4686" customFormat="false" ht="15" hidden="false" customHeight="false" outlineLevel="0" collapsed="false">
      <c r="A4686" s="26" t="s">
        <v>14308</v>
      </c>
      <c r="B4686" s="27" t="s">
        <v>14309</v>
      </c>
      <c r="C4686" s="27" t="s">
        <v>144</v>
      </c>
      <c r="D4686" s="26"/>
      <c r="E4686" s="27"/>
      <c r="F4686" s="27"/>
      <c r="G4686" s="27" t="s">
        <v>11122</v>
      </c>
      <c r="H4686" s="27" t="s">
        <v>35</v>
      </c>
      <c r="I4686" s="27" t="s">
        <v>40</v>
      </c>
      <c r="J4686" s="28" t="s">
        <v>161</v>
      </c>
      <c r="K4686" s="27" t="s">
        <v>40</v>
      </c>
      <c r="L4686" s="27"/>
    </row>
    <row r="4687" customFormat="false" ht="15" hidden="false" customHeight="false" outlineLevel="0" collapsed="false">
      <c r="A4687" s="26" t="s">
        <v>14310</v>
      </c>
      <c r="B4687" s="27" t="s">
        <v>14311</v>
      </c>
      <c r="C4687" s="27" t="s">
        <v>370</v>
      </c>
      <c r="D4687" s="26"/>
      <c r="E4687" s="27"/>
      <c r="F4687" s="27"/>
      <c r="G4687" s="27" t="s">
        <v>11122</v>
      </c>
      <c r="H4687" s="27" t="s">
        <v>35</v>
      </c>
      <c r="I4687" s="27" t="s">
        <v>41</v>
      </c>
      <c r="J4687" s="28" t="s">
        <v>161</v>
      </c>
      <c r="K4687" s="27" t="s">
        <v>40</v>
      </c>
      <c r="L4687" s="27"/>
    </row>
    <row r="4688" customFormat="false" ht="15" hidden="false" customHeight="false" outlineLevel="0" collapsed="false">
      <c r="A4688" s="26" t="s">
        <v>14312</v>
      </c>
      <c r="B4688" s="27" t="s">
        <v>14313</v>
      </c>
      <c r="C4688" s="27" t="s">
        <v>370</v>
      </c>
      <c r="D4688" s="26"/>
      <c r="E4688" s="27"/>
      <c r="F4688" s="27"/>
      <c r="G4688" s="27" t="s">
        <v>11122</v>
      </c>
      <c r="H4688" s="27" t="s">
        <v>35</v>
      </c>
      <c r="I4688" s="27" t="s">
        <v>41</v>
      </c>
      <c r="J4688" s="28" t="s">
        <v>161</v>
      </c>
      <c r="K4688" s="27" t="s">
        <v>40</v>
      </c>
      <c r="L4688" s="27"/>
    </row>
    <row r="4689" customFormat="false" ht="15" hidden="false" customHeight="false" outlineLevel="0" collapsed="false">
      <c r="A4689" s="26" t="s">
        <v>14314</v>
      </c>
      <c r="B4689" s="27" t="s">
        <v>14315</v>
      </c>
      <c r="C4689" s="27" t="s">
        <v>144</v>
      </c>
      <c r="D4689" s="26"/>
      <c r="E4689" s="27"/>
      <c r="F4689" s="27"/>
      <c r="G4689" s="27" t="s">
        <v>11122</v>
      </c>
      <c r="H4689" s="27" t="s">
        <v>35</v>
      </c>
      <c r="I4689" s="27" t="s">
        <v>43</v>
      </c>
      <c r="J4689" s="28" t="s">
        <v>161</v>
      </c>
      <c r="K4689" s="27" t="s">
        <v>40</v>
      </c>
      <c r="L4689" s="27"/>
    </row>
    <row r="4690" customFormat="false" ht="15" hidden="false" customHeight="false" outlineLevel="0" collapsed="false">
      <c r="A4690" s="26" t="s">
        <v>14316</v>
      </c>
      <c r="B4690" s="27" t="s">
        <v>14317</v>
      </c>
      <c r="C4690" s="27" t="s">
        <v>370</v>
      </c>
      <c r="D4690" s="26"/>
      <c r="E4690" s="27"/>
      <c r="F4690" s="27"/>
      <c r="G4690" s="27" t="s">
        <v>11122</v>
      </c>
      <c r="H4690" s="27" t="s">
        <v>35</v>
      </c>
      <c r="I4690" s="27" t="s">
        <v>39</v>
      </c>
      <c r="J4690" s="28" t="s">
        <v>161</v>
      </c>
      <c r="K4690" s="27" t="s">
        <v>40</v>
      </c>
      <c r="L4690" s="27"/>
    </row>
    <row r="4691" customFormat="false" ht="15" hidden="false" customHeight="false" outlineLevel="0" collapsed="false">
      <c r="A4691" s="26" t="s">
        <v>14318</v>
      </c>
      <c r="B4691" s="27" t="s">
        <v>14319</v>
      </c>
      <c r="C4691" s="27" t="s">
        <v>370</v>
      </c>
      <c r="D4691" s="26"/>
      <c r="E4691" s="27"/>
      <c r="F4691" s="27"/>
      <c r="G4691" s="27" t="s">
        <v>11122</v>
      </c>
      <c r="H4691" s="27" t="s">
        <v>35</v>
      </c>
      <c r="I4691" s="27" t="s">
        <v>38</v>
      </c>
      <c r="J4691" s="28" t="s">
        <v>161</v>
      </c>
      <c r="K4691" s="27" t="s">
        <v>40</v>
      </c>
      <c r="L4691" s="27"/>
    </row>
    <row r="4692" customFormat="false" ht="15" hidden="false" customHeight="false" outlineLevel="0" collapsed="false">
      <c r="A4692" s="26" t="s">
        <v>14320</v>
      </c>
      <c r="B4692" s="27" t="s">
        <v>14321</v>
      </c>
      <c r="C4692" s="27" t="s">
        <v>370</v>
      </c>
      <c r="D4692" s="26"/>
      <c r="E4692" s="27"/>
      <c r="F4692" s="27"/>
      <c r="G4692" s="27" t="s">
        <v>11122</v>
      </c>
      <c r="H4692" s="27" t="s">
        <v>35</v>
      </c>
      <c r="I4692" s="27" t="s">
        <v>41</v>
      </c>
      <c r="J4692" s="28" t="s">
        <v>161</v>
      </c>
      <c r="K4692" s="27" t="s">
        <v>40</v>
      </c>
      <c r="L4692" s="27"/>
    </row>
    <row r="4693" customFormat="false" ht="15" hidden="false" customHeight="false" outlineLevel="0" collapsed="false">
      <c r="A4693" s="26" t="s">
        <v>14322</v>
      </c>
      <c r="B4693" s="27" t="s">
        <v>14323</v>
      </c>
      <c r="C4693" s="27" t="s">
        <v>370</v>
      </c>
      <c r="D4693" s="26"/>
      <c r="E4693" s="27"/>
      <c r="F4693" s="27"/>
      <c r="G4693" s="27" t="s">
        <v>11122</v>
      </c>
      <c r="H4693" s="27" t="s">
        <v>35</v>
      </c>
      <c r="I4693" s="27" t="s">
        <v>41</v>
      </c>
      <c r="J4693" s="28" t="s">
        <v>161</v>
      </c>
      <c r="K4693" s="27" t="s">
        <v>40</v>
      </c>
      <c r="L4693" s="27"/>
    </row>
    <row r="4694" customFormat="false" ht="15" hidden="false" customHeight="false" outlineLevel="0" collapsed="false">
      <c r="A4694" s="26" t="s">
        <v>14324</v>
      </c>
      <c r="B4694" s="27" t="s">
        <v>14325</v>
      </c>
      <c r="C4694" s="27" t="s">
        <v>144</v>
      </c>
      <c r="D4694" s="26"/>
      <c r="E4694" s="27"/>
      <c r="F4694" s="27"/>
      <c r="G4694" s="27" t="s">
        <v>11122</v>
      </c>
      <c r="H4694" s="27" t="s">
        <v>35</v>
      </c>
      <c r="I4694" s="27" t="s">
        <v>37</v>
      </c>
      <c r="J4694" s="28" t="s">
        <v>161</v>
      </c>
      <c r="K4694" s="27" t="s">
        <v>40</v>
      </c>
      <c r="L4694" s="27"/>
    </row>
    <row r="4695" customFormat="false" ht="15" hidden="false" customHeight="false" outlineLevel="0" collapsed="false">
      <c r="A4695" s="26" t="s">
        <v>14326</v>
      </c>
      <c r="B4695" s="27" t="s">
        <v>14327</v>
      </c>
      <c r="C4695" s="27" t="s">
        <v>144</v>
      </c>
      <c r="D4695" s="26"/>
      <c r="E4695" s="27"/>
      <c r="F4695" s="27"/>
      <c r="G4695" s="27" t="s">
        <v>11122</v>
      </c>
      <c r="H4695" s="27" t="s">
        <v>35</v>
      </c>
      <c r="I4695" s="27" t="s">
        <v>37</v>
      </c>
      <c r="J4695" s="28" t="s">
        <v>161</v>
      </c>
      <c r="K4695" s="27" t="s">
        <v>40</v>
      </c>
      <c r="L4695" s="27"/>
    </row>
    <row r="4696" customFormat="false" ht="15" hidden="false" customHeight="false" outlineLevel="0" collapsed="false">
      <c r="A4696" s="26" t="s">
        <v>14328</v>
      </c>
      <c r="B4696" s="27" t="s">
        <v>14329</v>
      </c>
      <c r="C4696" s="27" t="s">
        <v>370</v>
      </c>
      <c r="D4696" s="26"/>
      <c r="E4696" s="27"/>
      <c r="F4696" s="27"/>
      <c r="G4696" s="27" t="s">
        <v>11122</v>
      </c>
      <c r="H4696" s="27" t="s">
        <v>35</v>
      </c>
      <c r="I4696" s="27" t="s">
        <v>40</v>
      </c>
      <c r="J4696" s="28" t="s">
        <v>161</v>
      </c>
      <c r="K4696" s="27" t="s">
        <v>40</v>
      </c>
      <c r="L4696" s="27"/>
    </row>
    <row r="4697" customFormat="false" ht="15" hidden="false" customHeight="false" outlineLevel="0" collapsed="false">
      <c r="A4697" s="26" t="s">
        <v>14330</v>
      </c>
      <c r="B4697" s="27" t="s">
        <v>14331</v>
      </c>
      <c r="C4697" s="27" t="s">
        <v>144</v>
      </c>
      <c r="D4697" s="26"/>
      <c r="E4697" s="27"/>
      <c r="F4697" s="27"/>
      <c r="G4697" s="27" t="s">
        <v>11122</v>
      </c>
      <c r="H4697" s="27" t="s">
        <v>35</v>
      </c>
      <c r="I4697" s="27" t="s">
        <v>37</v>
      </c>
      <c r="J4697" s="28" t="s">
        <v>161</v>
      </c>
      <c r="K4697" s="27" t="s">
        <v>40</v>
      </c>
      <c r="L4697" s="27"/>
    </row>
    <row r="4698" customFormat="false" ht="15" hidden="false" customHeight="false" outlineLevel="0" collapsed="false">
      <c r="A4698" s="26" t="s">
        <v>14332</v>
      </c>
      <c r="B4698" s="27" t="s">
        <v>14333</v>
      </c>
      <c r="C4698" s="27" t="s">
        <v>144</v>
      </c>
      <c r="D4698" s="26"/>
      <c r="E4698" s="27"/>
      <c r="F4698" s="27"/>
      <c r="G4698" s="27" t="s">
        <v>11122</v>
      </c>
      <c r="H4698" s="27" t="s">
        <v>35</v>
      </c>
      <c r="I4698" s="27" t="s">
        <v>37</v>
      </c>
      <c r="J4698" s="28" t="s">
        <v>161</v>
      </c>
      <c r="K4698" s="27" t="s">
        <v>40</v>
      </c>
      <c r="L4698" s="27"/>
    </row>
    <row r="4699" customFormat="false" ht="15" hidden="false" customHeight="false" outlineLevel="0" collapsed="false">
      <c r="A4699" s="26" t="s">
        <v>14334</v>
      </c>
      <c r="B4699" s="27" t="s">
        <v>14335</v>
      </c>
      <c r="C4699" s="27" t="s">
        <v>370</v>
      </c>
      <c r="D4699" s="26"/>
      <c r="E4699" s="27"/>
      <c r="F4699" s="27"/>
      <c r="G4699" s="27" t="s">
        <v>11122</v>
      </c>
      <c r="H4699" s="27" t="s">
        <v>35</v>
      </c>
      <c r="I4699" s="27" t="s">
        <v>37</v>
      </c>
      <c r="J4699" s="28" t="s">
        <v>161</v>
      </c>
      <c r="K4699" s="27" t="s">
        <v>40</v>
      </c>
      <c r="L4699" s="27"/>
    </row>
    <row r="4700" customFormat="false" ht="15" hidden="false" customHeight="false" outlineLevel="0" collapsed="false">
      <c r="A4700" s="26" t="s">
        <v>14336</v>
      </c>
      <c r="B4700" s="27" t="s">
        <v>14337</v>
      </c>
      <c r="C4700" s="27" t="s">
        <v>370</v>
      </c>
      <c r="D4700" s="26"/>
      <c r="E4700" s="27"/>
      <c r="F4700" s="27"/>
      <c r="G4700" s="27" t="s">
        <v>11122</v>
      </c>
      <c r="H4700" s="27" t="s">
        <v>35</v>
      </c>
      <c r="I4700" s="27" t="s">
        <v>40</v>
      </c>
      <c r="J4700" s="28" t="s">
        <v>161</v>
      </c>
      <c r="K4700" s="27" t="s">
        <v>40</v>
      </c>
      <c r="L4700" s="27"/>
    </row>
    <row r="4701" customFormat="false" ht="15" hidden="false" customHeight="false" outlineLevel="0" collapsed="false">
      <c r="A4701" s="26" t="s">
        <v>14338</v>
      </c>
      <c r="B4701" s="27" t="s">
        <v>14339</v>
      </c>
      <c r="C4701" s="27" t="s">
        <v>370</v>
      </c>
      <c r="D4701" s="26"/>
      <c r="E4701" s="27"/>
      <c r="F4701" s="27"/>
      <c r="G4701" s="27" t="s">
        <v>11122</v>
      </c>
      <c r="H4701" s="27" t="s">
        <v>35</v>
      </c>
      <c r="I4701" s="27" t="s">
        <v>41</v>
      </c>
      <c r="J4701" s="28" t="s">
        <v>161</v>
      </c>
      <c r="K4701" s="27" t="s">
        <v>40</v>
      </c>
      <c r="L4701" s="27"/>
    </row>
    <row r="4702" customFormat="false" ht="15" hidden="false" customHeight="false" outlineLevel="0" collapsed="false">
      <c r="A4702" s="26" t="s">
        <v>14340</v>
      </c>
      <c r="B4702" s="27" t="s">
        <v>14341</v>
      </c>
      <c r="C4702" s="27" t="s">
        <v>144</v>
      </c>
      <c r="D4702" s="26"/>
      <c r="E4702" s="27"/>
      <c r="F4702" s="27"/>
      <c r="G4702" s="27" t="s">
        <v>11122</v>
      </c>
      <c r="H4702" s="27" t="s">
        <v>35</v>
      </c>
      <c r="I4702" s="27" t="s">
        <v>38</v>
      </c>
      <c r="J4702" s="28" t="s">
        <v>161</v>
      </c>
      <c r="K4702" s="27" t="s">
        <v>40</v>
      </c>
      <c r="L4702" s="27"/>
    </row>
    <row r="4703" customFormat="false" ht="15" hidden="false" customHeight="false" outlineLevel="0" collapsed="false">
      <c r="A4703" s="26" t="s">
        <v>14342</v>
      </c>
      <c r="B4703" s="27" t="s">
        <v>14343</v>
      </c>
      <c r="C4703" s="27" t="s">
        <v>144</v>
      </c>
      <c r="D4703" s="26"/>
      <c r="E4703" s="27"/>
      <c r="F4703" s="27"/>
      <c r="G4703" s="27" t="s">
        <v>11122</v>
      </c>
      <c r="H4703" s="27" t="s">
        <v>35</v>
      </c>
      <c r="I4703" s="27" t="s">
        <v>37</v>
      </c>
      <c r="J4703" s="28" t="s">
        <v>161</v>
      </c>
      <c r="K4703" s="27" t="s">
        <v>40</v>
      </c>
      <c r="L4703" s="27"/>
    </row>
    <row r="4704" customFormat="false" ht="15" hidden="false" customHeight="false" outlineLevel="0" collapsed="false">
      <c r="A4704" s="26" t="s">
        <v>14344</v>
      </c>
      <c r="B4704" s="27" t="s">
        <v>14345</v>
      </c>
      <c r="C4704" s="27" t="s">
        <v>370</v>
      </c>
      <c r="D4704" s="26"/>
      <c r="E4704" s="27"/>
      <c r="F4704" s="27"/>
      <c r="G4704" s="27" t="s">
        <v>11122</v>
      </c>
      <c r="H4704" s="27" t="s">
        <v>35</v>
      </c>
      <c r="I4704" s="27" t="s">
        <v>43</v>
      </c>
      <c r="J4704" s="28" t="s">
        <v>161</v>
      </c>
      <c r="K4704" s="27" t="s">
        <v>40</v>
      </c>
      <c r="L4704" s="27"/>
    </row>
    <row r="4705" customFormat="false" ht="15" hidden="false" customHeight="false" outlineLevel="0" collapsed="false">
      <c r="A4705" s="26" t="s">
        <v>14346</v>
      </c>
      <c r="B4705" s="27" t="s">
        <v>14347</v>
      </c>
      <c r="C4705" s="27" t="s">
        <v>144</v>
      </c>
      <c r="D4705" s="26"/>
      <c r="E4705" s="27"/>
      <c r="F4705" s="27"/>
      <c r="G4705" s="27" t="s">
        <v>11122</v>
      </c>
      <c r="H4705" s="27" t="s">
        <v>35</v>
      </c>
      <c r="I4705" s="27" t="s">
        <v>38</v>
      </c>
      <c r="J4705" s="28" t="s">
        <v>161</v>
      </c>
      <c r="K4705" s="27" t="s">
        <v>40</v>
      </c>
      <c r="L4705" s="27"/>
    </row>
    <row r="4706" customFormat="false" ht="15" hidden="false" customHeight="false" outlineLevel="0" collapsed="false">
      <c r="A4706" s="26" t="s">
        <v>14348</v>
      </c>
      <c r="B4706" s="27" t="s">
        <v>14349</v>
      </c>
      <c r="C4706" s="27" t="s">
        <v>370</v>
      </c>
      <c r="D4706" s="26"/>
      <c r="E4706" s="27"/>
      <c r="F4706" s="27"/>
      <c r="G4706" s="27" t="s">
        <v>11122</v>
      </c>
      <c r="H4706" s="27" t="s">
        <v>35</v>
      </c>
      <c r="I4706" s="27" t="s">
        <v>41</v>
      </c>
      <c r="J4706" s="28" t="s">
        <v>161</v>
      </c>
      <c r="K4706" s="27" t="s">
        <v>40</v>
      </c>
      <c r="L4706" s="27"/>
    </row>
    <row r="4707" customFormat="false" ht="15" hidden="false" customHeight="false" outlineLevel="0" collapsed="false">
      <c r="A4707" s="26" t="s">
        <v>14350</v>
      </c>
      <c r="B4707" s="27" t="s">
        <v>14351</v>
      </c>
      <c r="C4707" s="27" t="s">
        <v>144</v>
      </c>
      <c r="D4707" s="26"/>
      <c r="E4707" s="27"/>
      <c r="F4707" s="27"/>
      <c r="G4707" s="27" t="s">
        <v>11122</v>
      </c>
      <c r="H4707" s="27" t="s">
        <v>35</v>
      </c>
      <c r="I4707" s="27" t="s">
        <v>41</v>
      </c>
      <c r="J4707" s="28" t="s">
        <v>161</v>
      </c>
      <c r="K4707" s="27" t="s">
        <v>40</v>
      </c>
      <c r="L4707" s="27"/>
    </row>
    <row r="4708" customFormat="false" ht="15" hidden="false" customHeight="false" outlineLevel="0" collapsed="false">
      <c r="A4708" s="26" t="s">
        <v>14352</v>
      </c>
      <c r="B4708" s="27" t="s">
        <v>14353</v>
      </c>
      <c r="C4708" s="27" t="s">
        <v>370</v>
      </c>
      <c r="D4708" s="26"/>
      <c r="E4708" s="27"/>
      <c r="F4708" s="27"/>
      <c r="G4708" s="27" t="s">
        <v>11122</v>
      </c>
      <c r="H4708" s="27" t="s">
        <v>35</v>
      </c>
      <c r="I4708" s="27" t="s">
        <v>43</v>
      </c>
      <c r="J4708" s="28" t="s">
        <v>161</v>
      </c>
      <c r="K4708" s="27" t="s">
        <v>40</v>
      </c>
      <c r="L4708" s="27"/>
    </row>
    <row r="4709" customFormat="false" ht="15" hidden="false" customHeight="false" outlineLevel="0" collapsed="false">
      <c r="A4709" s="26" t="s">
        <v>14354</v>
      </c>
      <c r="B4709" s="27" t="s">
        <v>14355</v>
      </c>
      <c r="C4709" s="27" t="s">
        <v>370</v>
      </c>
      <c r="D4709" s="26"/>
      <c r="E4709" s="27"/>
      <c r="F4709" s="27"/>
      <c r="G4709" s="27" t="s">
        <v>11122</v>
      </c>
      <c r="H4709" s="27" t="s">
        <v>35</v>
      </c>
      <c r="I4709" s="27" t="s">
        <v>37</v>
      </c>
      <c r="J4709" s="28" t="s">
        <v>161</v>
      </c>
      <c r="K4709" s="27" t="s">
        <v>40</v>
      </c>
      <c r="L4709" s="27"/>
    </row>
    <row r="4710" customFormat="false" ht="15" hidden="false" customHeight="false" outlineLevel="0" collapsed="false">
      <c r="A4710" s="26" t="s">
        <v>14356</v>
      </c>
      <c r="B4710" s="27" t="s">
        <v>14357</v>
      </c>
      <c r="C4710" s="27" t="s">
        <v>144</v>
      </c>
      <c r="D4710" s="26"/>
      <c r="E4710" s="27"/>
      <c r="F4710" s="27"/>
      <c r="G4710" s="27" t="s">
        <v>11122</v>
      </c>
      <c r="H4710" s="27" t="s">
        <v>35</v>
      </c>
      <c r="I4710" s="27" t="s">
        <v>42</v>
      </c>
      <c r="J4710" s="28" t="s">
        <v>161</v>
      </c>
      <c r="K4710" s="27" t="s">
        <v>40</v>
      </c>
      <c r="L4710" s="27"/>
    </row>
    <row r="4711" customFormat="false" ht="15" hidden="false" customHeight="false" outlineLevel="0" collapsed="false">
      <c r="A4711" s="26" t="s">
        <v>14358</v>
      </c>
      <c r="B4711" s="27" t="s">
        <v>14359</v>
      </c>
      <c r="C4711" s="27" t="s">
        <v>370</v>
      </c>
      <c r="D4711" s="26"/>
      <c r="E4711" s="27"/>
      <c r="F4711" s="27"/>
      <c r="G4711" s="27" t="s">
        <v>11122</v>
      </c>
      <c r="H4711" s="27" t="s">
        <v>35</v>
      </c>
      <c r="I4711" s="27" t="s">
        <v>40</v>
      </c>
      <c r="J4711" s="28" t="s">
        <v>161</v>
      </c>
      <c r="K4711" s="27" t="s">
        <v>40</v>
      </c>
      <c r="L4711" s="27"/>
    </row>
    <row r="4712" customFormat="false" ht="15" hidden="false" customHeight="false" outlineLevel="0" collapsed="false">
      <c r="A4712" s="26" t="s">
        <v>14360</v>
      </c>
      <c r="B4712" s="27" t="s">
        <v>14361</v>
      </c>
      <c r="C4712" s="27" t="s">
        <v>144</v>
      </c>
      <c r="D4712" s="26"/>
      <c r="E4712" s="27"/>
      <c r="F4712" s="27"/>
      <c r="G4712" s="27" t="s">
        <v>11122</v>
      </c>
      <c r="H4712" s="27" t="s">
        <v>35</v>
      </c>
      <c r="I4712" s="27" t="s">
        <v>37</v>
      </c>
      <c r="J4712" s="28" t="s">
        <v>161</v>
      </c>
      <c r="K4712" s="27" t="s">
        <v>40</v>
      </c>
      <c r="L4712" s="27"/>
    </row>
    <row r="4713" customFormat="false" ht="15" hidden="false" customHeight="false" outlineLevel="0" collapsed="false">
      <c r="A4713" s="26" t="s">
        <v>14362</v>
      </c>
      <c r="B4713" s="27" t="s">
        <v>14363</v>
      </c>
      <c r="C4713" s="27" t="s">
        <v>144</v>
      </c>
      <c r="D4713" s="26"/>
      <c r="E4713" s="27"/>
      <c r="F4713" s="27"/>
      <c r="G4713" s="27" t="s">
        <v>11122</v>
      </c>
      <c r="H4713" s="27" t="s">
        <v>35</v>
      </c>
      <c r="I4713" s="27" t="s">
        <v>41</v>
      </c>
      <c r="J4713" s="28" t="s">
        <v>161</v>
      </c>
      <c r="K4713" s="27" t="s">
        <v>40</v>
      </c>
      <c r="L4713" s="27"/>
    </row>
    <row r="4714" customFormat="false" ht="15" hidden="false" customHeight="false" outlineLevel="0" collapsed="false">
      <c r="A4714" s="26" t="s">
        <v>14364</v>
      </c>
      <c r="B4714" s="27" t="s">
        <v>14365</v>
      </c>
      <c r="C4714" s="27" t="s">
        <v>144</v>
      </c>
      <c r="D4714" s="26"/>
      <c r="E4714" s="27"/>
      <c r="F4714" s="27"/>
      <c r="G4714" s="27" t="s">
        <v>11122</v>
      </c>
      <c r="H4714" s="27" t="s">
        <v>35</v>
      </c>
      <c r="I4714" s="27" t="s">
        <v>37</v>
      </c>
      <c r="J4714" s="28" t="s">
        <v>161</v>
      </c>
      <c r="K4714" s="27" t="s">
        <v>40</v>
      </c>
      <c r="L4714" s="27"/>
    </row>
    <row r="4715" customFormat="false" ht="15" hidden="false" customHeight="false" outlineLevel="0" collapsed="false">
      <c r="A4715" s="26" t="s">
        <v>14366</v>
      </c>
      <c r="B4715" s="27" t="s">
        <v>14367</v>
      </c>
      <c r="C4715" s="27" t="s">
        <v>370</v>
      </c>
      <c r="D4715" s="26"/>
      <c r="E4715" s="27"/>
      <c r="F4715" s="27"/>
      <c r="G4715" s="27" t="s">
        <v>11122</v>
      </c>
      <c r="H4715" s="27" t="s">
        <v>35</v>
      </c>
      <c r="I4715" s="27" t="s">
        <v>40</v>
      </c>
      <c r="J4715" s="28" t="s">
        <v>161</v>
      </c>
      <c r="K4715" s="27" t="s">
        <v>40</v>
      </c>
      <c r="L4715" s="27"/>
    </row>
    <row r="4716" customFormat="false" ht="15" hidden="false" customHeight="false" outlineLevel="0" collapsed="false">
      <c r="A4716" s="26" t="s">
        <v>14368</v>
      </c>
      <c r="B4716" s="27" t="s">
        <v>14369</v>
      </c>
      <c r="C4716" s="27" t="s">
        <v>144</v>
      </c>
      <c r="D4716" s="26"/>
      <c r="E4716" s="27"/>
      <c r="F4716" s="27"/>
      <c r="G4716" s="27" t="s">
        <v>11122</v>
      </c>
      <c r="H4716" s="27" t="s">
        <v>35</v>
      </c>
      <c r="I4716" s="27" t="s">
        <v>41</v>
      </c>
      <c r="J4716" s="28" t="s">
        <v>161</v>
      </c>
      <c r="K4716" s="27" t="s">
        <v>40</v>
      </c>
      <c r="L4716" s="27"/>
    </row>
    <row r="4717" customFormat="false" ht="15" hidden="false" customHeight="false" outlineLevel="0" collapsed="false">
      <c r="A4717" s="26" t="s">
        <v>14370</v>
      </c>
      <c r="B4717" s="27" t="s">
        <v>14371</v>
      </c>
      <c r="C4717" s="27" t="s">
        <v>144</v>
      </c>
      <c r="D4717" s="26"/>
      <c r="E4717" s="27"/>
      <c r="F4717" s="27"/>
      <c r="G4717" s="27" t="s">
        <v>11122</v>
      </c>
      <c r="H4717" s="27" t="s">
        <v>35</v>
      </c>
      <c r="I4717" s="27" t="s">
        <v>41</v>
      </c>
      <c r="J4717" s="28" t="s">
        <v>161</v>
      </c>
      <c r="K4717" s="27" t="s">
        <v>40</v>
      </c>
      <c r="L4717" s="27"/>
    </row>
    <row r="4718" customFormat="false" ht="15" hidden="false" customHeight="false" outlineLevel="0" collapsed="false">
      <c r="A4718" s="26" t="s">
        <v>14372</v>
      </c>
      <c r="B4718" s="27" t="s">
        <v>14373</v>
      </c>
      <c r="C4718" s="27" t="s">
        <v>144</v>
      </c>
      <c r="D4718" s="26"/>
      <c r="E4718" s="27"/>
      <c r="F4718" s="27"/>
      <c r="G4718" s="27" t="s">
        <v>11122</v>
      </c>
      <c r="H4718" s="27" t="s">
        <v>35</v>
      </c>
      <c r="I4718" s="27" t="s">
        <v>39</v>
      </c>
      <c r="J4718" s="28" t="s">
        <v>161</v>
      </c>
      <c r="K4718" s="27" t="s">
        <v>40</v>
      </c>
      <c r="L4718" s="27"/>
    </row>
    <row r="4719" customFormat="false" ht="15" hidden="false" customHeight="false" outlineLevel="0" collapsed="false">
      <c r="A4719" s="26" t="s">
        <v>14374</v>
      </c>
      <c r="B4719" s="27" t="s">
        <v>14375</v>
      </c>
      <c r="C4719" s="27" t="s">
        <v>144</v>
      </c>
      <c r="D4719" s="26"/>
      <c r="E4719" s="27"/>
      <c r="F4719" s="27"/>
      <c r="G4719" s="27" t="s">
        <v>11122</v>
      </c>
      <c r="H4719" s="27" t="s">
        <v>35</v>
      </c>
      <c r="I4719" s="27" t="s">
        <v>41</v>
      </c>
      <c r="J4719" s="28" t="s">
        <v>161</v>
      </c>
      <c r="K4719" s="27" t="s">
        <v>40</v>
      </c>
      <c r="L4719" s="27"/>
    </row>
    <row r="4720" customFormat="false" ht="15" hidden="false" customHeight="false" outlineLevel="0" collapsed="false">
      <c r="A4720" s="26" t="s">
        <v>14376</v>
      </c>
      <c r="B4720" s="27" t="s">
        <v>14377</v>
      </c>
      <c r="C4720" s="27" t="s">
        <v>370</v>
      </c>
      <c r="D4720" s="26"/>
      <c r="E4720" s="27"/>
      <c r="F4720" s="27"/>
      <c r="G4720" s="27" t="s">
        <v>11122</v>
      </c>
      <c r="H4720" s="27" t="s">
        <v>35</v>
      </c>
      <c r="I4720" s="27" t="s">
        <v>37</v>
      </c>
      <c r="J4720" s="28" t="s">
        <v>161</v>
      </c>
      <c r="K4720" s="27" t="s">
        <v>40</v>
      </c>
      <c r="L4720" s="27"/>
    </row>
    <row r="4721" customFormat="false" ht="15" hidden="false" customHeight="false" outlineLevel="0" collapsed="false">
      <c r="A4721" s="26" t="s">
        <v>14378</v>
      </c>
      <c r="B4721" s="27" t="s">
        <v>14379</v>
      </c>
      <c r="C4721" s="27" t="s">
        <v>144</v>
      </c>
      <c r="D4721" s="26"/>
      <c r="E4721" s="27"/>
      <c r="F4721" s="27"/>
      <c r="G4721" s="27" t="s">
        <v>11122</v>
      </c>
      <c r="H4721" s="27" t="s">
        <v>35</v>
      </c>
      <c r="I4721" s="27" t="s">
        <v>37</v>
      </c>
      <c r="J4721" s="28" t="s">
        <v>161</v>
      </c>
      <c r="K4721" s="27" t="s">
        <v>40</v>
      </c>
      <c r="L4721" s="27"/>
    </row>
    <row r="4722" customFormat="false" ht="15" hidden="false" customHeight="false" outlineLevel="0" collapsed="false">
      <c r="A4722" s="26" t="s">
        <v>14380</v>
      </c>
      <c r="B4722" s="27" t="s">
        <v>14381</v>
      </c>
      <c r="C4722" s="27" t="s">
        <v>370</v>
      </c>
      <c r="D4722" s="26"/>
      <c r="E4722" s="27"/>
      <c r="F4722" s="27"/>
      <c r="G4722" s="27" t="s">
        <v>11122</v>
      </c>
      <c r="H4722" s="27" t="s">
        <v>35</v>
      </c>
      <c r="I4722" s="27" t="s">
        <v>37</v>
      </c>
      <c r="J4722" s="28" t="s">
        <v>161</v>
      </c>
      <c r="K4722" s="27" t="s">
        <v>40</v>
      </c>
      <c r="L4722" s="27"/>
    </row>
    <row r="4723" customFormat="false" ht="15" hidden="false" customHeight="false" outlineLevel="0" collapsed="false">
      <c r="A4723" s="26" t="s">
        <v>14382</v>
      </c>
      <c r="B4723" s="27" t="s">
        <v>14383</v>
      </c>
      <c r="C4723" s="27" t="s">
        <v>144</v>
      </c>
      <c r="D4723" s="26"/>
      <c r="E4723" s="27"/>
      <c r="F4723" s="27"/>
      <c r="G4723" s="27" t="s">
        <v>11122</v>
      </c>
      <c r="H4723" s="27" t="s">
        <v>35</v>
      </c>
      <c r="I4723" s="27" t="s">
        <v>39</v>
      </c>
      <c r="J4723" s="28" t="s">
        <v>161</v>
      </c>
      <c r="K4723" s="27" t="s">
        <v>40</v>
      </c>
      <c r="L4723" s="27"/>
    </row>
    <row r="4724" customFormat="false" ht="15" hidden="false" customHeight="false" outlineLevel="0" collapsed="false">
      <c r="A4724" s="26" t="s">
        <v>14384</v>
      </c>
      <c r="B4724" s="27" t="s">
        <v>14385</v>
      </c>
      <c r="C4724" s="27" t="s">
        <v>144</v>
      </c>
      <c r="D4724" s="26"/>
      <c r="E4724" s="27"/>
      <c r="F4724" s="27"/>
      <c r="G4724" s="27" t="s">
        <v>11122</v>
      </c>
      <c r="H4724" s="27" t="s">
        <v>35</v>
      </c>
      <c r="I4724" s="27" t="s">
        <v>37</v>
      </c>
      <c r="J4724" s="28" t="s">
        <v>161</v>
      </c>
      <c r="K4724" s="27" t="s">
        <v>40</v>
      </c>
      <c r="L4724" s="27"/>
    </row>
    <row r="4725" customFormat="false" ht="15" hidden="false" customHeight="false" outlineLevel="0" collapsed="false">
      <c r="A4725" s="26" t="s">
        <v>14386</v>
      </c>
      <c r="B4725" s="27" t="s">
        <v>14387</v>
      </c>
      <c r="C4725" s="27" t="s">
        <v>144</v>
      </c>
      <c r="D4725" s="26"/>
      <c r="E4725" s="27"/>
      <c r="F4725" s="27"/>
      <c r="G4725" s="27" t="s">
        <v>11122</v>
      </c>
      <c r="H4725" s="27" t="s">
        <v>35</v>
      </c>
      <c r="I4725" s="27" t="s">
        <v>39</v>
      </c>
      <c r="J4725" s="28" t="s">
        <v>161</v>
      </c>
      <c r="K4725" s="27" t="s">
        <v>40</v>
      </c>
      <c r="L4725" s="27"/>
    </row>
    <row r="4726" customFormat="false" ht="15" hidden="false" customHeight="false" outlineLevel="0" collapsed="false">
      <c r="A4726" s="26" t="s">
        <v>14388</v>
      </c>
      <c r="B4726" s="27" t="s">
        <v>14389</v>
      </c>
      <c r="C4726" s="27" t="s">
        <v>144</v>
      </c>
      <c r="D4726" s="26"/>
      <c r="E4726" s="27"/>
      <c r="F4726" s="27"/>
      <c r="G4726" s="27" t="s">
        <v>11122</v>
      </c>
      <c r="H4726" s="27" t="s">
        <v>35</v>
      </c>
      <c r="I4726" s="27" t="s">
        <v>37</v>
      </c>
      <c r="J4726" s="28" t="s">
        <v>161</v>
      </c>
      <c r="K4726" s="27" t="s">
        <v>40</v>
      </c>
      <c r="L4726" s="27"/>
    </row>
    <row r="4727" customFormat="false" ht="15" hidden="false" customHeight="false" outlineLevel="0" collapsed="false">
      <c r="A4727" s="26" t="s">
        <v>14390</v>
      </c>
      <c r="B4727" s="27" t="s">
        <v>14391</v>
      </c>
      <c r="C4727" s="27" t="s">
        <v>144</v>
      </c>
      <c r="D4727" s="26"/>
      <c r="E4727" s="27"/>
      <c r="F4727" s="27"/>
      <c r="G4727" s="27" t="s">
        <v>11122</v>
      </c>
      <c r="H4727" s="27" t="s">
        <v>35</v>
      </c>
      <c r="I4727" s="27" t="s">
        <v>37</v>
      </c>
      <c r="J4727" s="28" t="s">
        <v>161</v>
      </c>
      <c r="K4727" s="27" t="s">
        <v>40</v>
      </c>
      <c r="L4727" s="27"/>
    </row>
    <row r="4728" customFormat="false" ht="15" hidden="false" customHeight="false" outlineLevel="0" collapsed="false">
      <c r="A4728" s="26" t="s">
        <v>14392</v>
      </c>
      <c r="B4728" s="27" t="s">
        <v>14393</v>
      </c>
      <c r="C4728" s="27" t="s">
        <v>144</v>
      </c>
      <c r="D4728" s="26"/>
      <c r="E4728" s="27"/>
      <c r="F4728" s="27"/>
      <c r="G4728" s="27" t="s">
        <v>11122</v>
      </c>
      <c r="H4728" s="27" t="s">
        <v>35</v>
      </c>
      <c r="I4728" s="27" t="s">
        <v>43</v>
      </c>
      <c r="J4728" s="28" t="s">
        <v>161</v>
      </c>
      <c r="K4728" s="27" t="s">
        <v>40</v>
      </c>
      <c r="L4728" s="27"/>
    </row>
    <row r="4729" customFormat="false" ht="15" hidden="false" customHeight="false" outlineLevel="0" collapsed="false">
      <c r="A4729" s="26" t="s">
        <v>14394</v>
      </c>
      <c r="B4729" s="27" t="s">
        <v>14395</v>
      </c>
      <c r="C4729" s="27" t="s">
        <v>144</v>
      </c>
      <c r="D4729" s="26"/>
      <c r="E4729" s="27"/>
      <c r="F4729" s="27"/>
      <c r="G4729" s="27" t="s">
        <v>11122</v>
      </c>
      <c r="H4729" s="27" t="s">
        <v>35</v>
      </c>
      <c r="I4729" s="27" t="s">
        <v>37</v>
      </c>
      <c r="J4729" s="28" t="s">
        <v>161</v>
      </c>
      <c r="K4729" s="27" t="s">
        <v>40</v>
      </c>
      <c r="L4729" s="27"/>
    </row>
    <row r="4730" customFormat="false" ht="15" hidden="false" customHeight="false" outlineLevel="0" collapsed="false">
      <c r="A4730" s="26" t="s">
        <v>14396</v>
      </c>
      <c r="B4730" s="27" t="s">
        <v>14397</v>
      </c>
      <c r="C4730" s="27" t="s">
        <v>144</v>
      </c>
      <c r="D4730" s="26"/>
      <c r="E4730" s="27"/>
      <c r="F4730" s="27"/>
      <c r="G4730" s="27" t="s">
        <v>11122</v>
      </c>
      <c r="H4730" s="27" t="s">
        <v>35</v>
      </c>
      <c r="I4730" s="27" t="s">
        <v>41</v>
      </c>
      <c r="J4730" s="28" t="s">
        <v>161</v>
      </c>
      <c r="K4730" s="27" t="s">
        <v>40</v>
      </c>
      <c r="L4730" s="27"/>
    </row>
    <row r="4731" customFormat="false" ht="15" hidden="false" customHeight="false" outlineLevel="0" collapsed="false">
      <c r="A4731" s="26" t="s">
        <v>14398</v>
      </c>
      <c r="B4731" s="27" t="s">
        <v>14399</v>
      </c>
      <c r="C4731" s="27" t="s">
        <v>370</v>
      </c>
      <c r="D4731" s="26"/>
      <c r="E4731" s="27"/>
      <c r="F4731" s="27"/>
      <c r="G4731" s="27" t="s">
        <v>11122</v>
      </c>
      <c r="H4731" s="27" t="s">
        <v>35</v>
      </c>
      <c r="I4731" s="27" t="s">
        <v>41</v>
      </c>
      <c r="J4731" s="28" t="s">
        <v>161</v>
      </c>
      <c r="K4731" s="27" t="s">
        <v>40</v>
      </c>
      <c r="L4731" s="27"/>
    </row>
    <row r="4732" customFormat="false" ht="15" hidden="false" customHeight="false" outlineLevel="0" collapsed="false">
      <c r="A4732" s="26" t="s">
        <v>14400</v>
      </c>
      <c r="B4732" s="27" t="s">
        <v>14401</v>
      </c>
      <c r="C4732" s="27" t="s">
        <v>370</v>
      </c>
      <c r="D4732" s="26"/>
      <c r="E4732" s="27"/>
      <c r="F4732" s="27"/>
      <c r="G4732" s="27" t="s">
        <v>11122</v>
      </c>
      <c r="H4732" s="27" t="s">
        <v>35</v>
      </c>
      <c r="I4732" s="27" t="s">
        <v>40</v>
      </c>
      <c r="J4732" s="28" t="s">
        <v>161</v>
      </c>
      <c r="K4732" s="27" t="s">
        <v>40</v>
      </c>
      <c r="L4732" s="27"/>
    </row>
    <row r="4733" customFormat="false" ht="15" hidden="false" customHeight="false" outlineLevel="0" collapsed="false">
      <c r="A4733" s="26" t="s">
        <v>14402</v>
      </c>
      <c r="B4733" s="27" t="s">
        <v>14403</v>
      </c>
      <c r="C4733" s="27" t="s">
        <v>370</v>
      </c>
      <c r="D4733" s="26"/>
      <c r="E4733" s="27"/>
      <c r="F4733" s="27"/>
      <c r="G4733" s="27" t="s">
        <v>11122</v>
      </c>
      <c r="H4733" s="27" t="s">
        <v>35</v>
      </c>
      <c r="I4733" s="27" t="s">
        <v>41</v>
      </c>
      <c r="J4733" s="28" t="s">
        <v>161</v>
      </c>
      <c r="K4733" s="27" t="s">
        <v>40</v>
      </c>
      <c r="L4733" s="27"/>
    </row>
    <row r="4734" customFormat="false" ht="15" hidden="false" customHeight="false" outlineLevel="0" collapsed="false">
      <c r="A4734" s="26" t="s">
        <v>14404</v>
      </c>
      <c r="B4734" s="27" t="s">
        <v>14405</v>
      </c>
      <c r="C4734" s="27" t="s">
        <v>370</v>
      </c>
      <c r="D4734" s="26"/>
      <c r="E4734" s="27"/>
      <c r="F4734" s="27"/>
      <c r="G4734" s="27" t="s">
        <v>11122</v>
      </c>
      <c r="H4734" s="27" t="s">
        <v>35</v>
      </c>
      <c r="I4734" s="27" t="s">
        <v>40</v>
      </c>
      <c r="J4734" s="28" t="s">
        <v>161</v>
      </c>
      <c r="K4734" s="27" t="s">
        <v>40</v>
      </c>
      <c r="L4734" s="27"/>
    </row>
    <row r="4735" customFormat="false" ht="15" hidden="false" customHeight="false" outlineLevel="0" collapsed="false">
      <c r="A4735" s="26" t="s">
        <v>14406</v>
      </c>
      <c r="B4735" s="27" t="s">
        <v>14407</v>
      </c>
      <c r="C4735" s="27" t="s">
        <v>370</v>
      </c>
      <c r="D4735" s="26"/>
      <c r="E4735" s="27"/>
      <c r="F4735" s="27"/>
      <c r="G4735" s="27" t="s">
        <v>11122</v>
      </c>
      <c r="H4735" s="27" t="s">
        <v>35</v>
      </c>
      <c r="I4735" s="27" t="s">
        <v>41</v>
      </c>
      <c r="J4735" s="28" t="s">
        <v>161</v>
      </c>
      <c r="K4735" s="27" t="s">
        <v>40</v>
      </c>
      <c r="L4735" s="27"/>
    </row>
    <row r="4736" customFormat="false" ht="15" hidden="false" customHeight="false" outlineLevel="0" collapsed="false">
      <c r="A4736" s="26" t="s">
        <v>14408</v>
      </c>
      <c r="B4736" s="27" t="s">
        <v>14409</v>
      </c>
      <c r="C4736" s="27" t="s">
        <v>370</v>
      </c>
      <c r="D4736" s="26"/>
      <c r="E4736" s="27"/>
      <c r="F4736" s="27"/>
      <c r="G4736" s="27" t="s">
        <v>11122</v>
      </c>
      <c r="H4736" s="27" t="s">
        <v>35</v>
      </c>
      <c r="I4736" s="27" t="s">
        <v>41</v>
      </c>
      <c r="J4736" s="28" t="s">
        <v>161</v>
      </c>
      <c r="K4736" s="27" t="s">
        <v>40</v>
      </c>
      <c r="L4736" s="27"/>
    </row>
    <row r="4737" customFormat="false" ht="15" hidden="false" customHeight="false" outlineLevel="0" collapsed="false">
      <c r="A4737" s="26" t="s">
        <v>14410</v>
      </c>
      <c r="B4737" s="27" t="s">
        <v>14411</v>
      </c>
      <c r="C4737" s="27" t="s">
        <v>370</v>
      </c>
      <c r="D4737" s="26"/>
      <c r="E4737" s="27"/>
      <c r="F4737" s="27"/>
      <c r="G4737" s="27" t="s">
        <v>11122</v>
      </c>
      <c r="H4737" s="27" t="s">
        <v>35</v>
      </c>
      <c r="I4737" s="27" t="s">
        <v>40</v>
      </c>
      <c r="J4737" s="28" t="s">
        <v>161</v>
      </c>
      <c r="K4737" s="27" t="s">
        <v>40</v>
      </c>
      <c r="L4737" s="27"/>
    </row>
    <row r="4738" customFormat="false" ht="15" hidden="false" customHeight="false" outlineLevel="0" collapsed="false">
      <c r="A4738" s="26" t="s">
        <v>14412</v>
      </c>
      <c r="B4738" s="27" t="s">
        <v>14413</v>
      </c>
      <c r="C4738" s="27" t="s">
        <v>370</v>
      </c>
      <c r="D4738" s="26"/>
      <c r="E4738" s="27"/>
      <c r="F4738" s="27"/>
      <c r="G4738" s="27" t="s">
        <v>11122</v>
      </c>
      <c r="H4738" s="27" t="s">
        <v>35</v>
      </c>
      <c r="I4738" s="27" t="s">
        <v>37</v>
      </c>
      <c r="J4738" s="28" t="s">
        <v>161</v>
      </c>
      <c r="K4738" s="27" t="s">
        <v>40</v>
      </c>
      <c r="L4738" s="27"/>
    </row>
    <row r="4739" customFormat="false" ht="15" hidden="false" customHeight="false" outlineLevel="0" collapsed="false">
      <c r="A4739" s="26" t="s">
        <v>14414</v>
      </c>
      <c r="B4739" s="27" t="s">
        <v>14415</v>
      </c>
      <c r="C4739" s="27" t="s">
        <v>370</v>
      </c>
      <c r="D4739" s="26"/>
      <c r="E4739" s="27"/>
      <c r="F4739" s="27"/>
      <c r="G4739" s="27" t="s">
        <v>11122</v>
      </c>
      <c r="H4739" s="27" t="s">
        <v>35</v>
      </c>
      <c r="I4739" s="27" t="s">
        <v>41</v>
      </c>
      <c r="J4739" s="28" t="s">
        <v>161</v>
      </c>
      <c r="K4739" s="27" t="s">
        <v>40</v>
      </c>
      <c r="L4739" s="27"/>
    </row>
    <row r="4740" customFormat="false" ht="15" hidden="false" customHeight="false" outlineLevel="0" collapsed="false">
      <c r="A4740" s="26" t="s">
        <v>14416</v>
      </c>
      <c r="B4740" s="27" t="s">
        <v>14417</v>
      </c>
      <c r="C4740" s="27" t="s">
        <v>370</v>
      </c>
      <c r="D4740" s="26"/>
      <c r="E4740" s="27"/>
      <c r="F4740" s="27"/>
      <c r="G4740" s="27" t="s">
        <v>11122</v>
      </c>
      <c r="H4740" s="27" t="s">
        <v>35</v>
      </c>
      <c r="I4740" s="27" t="s">
        <v>37</v>
      </c>
      <c r="J4740" s="28" t="s">
        <v>161</v>
      </c>
      <c r="K4740" s="27" t="s">
        <v>40</v>
      </c>
      <c r="L4740" s="27"/>
    </row>
    <row r="4741" customFormat="false" ht="15" hidden="false" customHeight="false" outlineLevel="0" collapsed="false">
      <c r="A4741" s="26" t="s">
        <v>14418</v>
      </c>
      <c r="B4741" s="27" t="s">
        <v>14419</v>
      </c>
      <c r="C4741" s="27" t="s">
        <v>370</v>
      </c>
      <c r="D4741" s="26"/>
      <c r="E4741" s="27"/>
      <c r="F4741" s="27"/>
      <c r="G4741" s="27" t="s">
        <v>11122</v>
      </c>
      <c r="H4741" s="27" t="s">
        <v>35</v>
      </c>
      <c r="I4741" s="27" t="s">
        <v>37</v>
      </c>
      <c r="J4741" s="28" t="s">
        <v>161</v>
      </c>
      <c r="K4741" s="27" t="s">
        <v>40</v>
      </c>
      <c r="L4741" s="27"/>
    </row>
    <row r="4742" customFormat="false" ht="15" hidden="false" customHeight="false" outlineLevel="0" collapsed="false">
      <c r="A4742" s="26" t="s">
        <v>14420</v>
      </c>
      <c r="B4742" s="27" t="s">
        <v>14421</v>
      </c>
      <c r="C4742" s="27" t="s">
        <v>370</v>
      </c>
      <c r="D4742" s="26"/>
      <c r="E4742" s="27"/>
      <c r="F4742" s="27"/>
      <c r="G4742" s="27" t="s">
        <v>11122</v>
      </c>
      <c r="H4742" s="27" t="s">
        <v>35</v>
      </c>
      <c r="I4742" s="27" t="s">
        <v>41</v>
      </c>
      <c r="J4742" s="28" t="s">
        <v>161</v>
      </c>
      <c r="K4742" s="27" t="s">
        <v>40</v>
      </c>
      <c r="L4742" s="27"/>
    </row>
    <row r="4743" customFormat="false" ht="15" hidden="false" customHeight="false" outlineLevel="0" collapsed="false">
      <c r="A4743" s="26" t="s">
        <v>14422</v>
      </c>
      <c r="B4743" s="27" t="s">
        <v>14423</v>
      </c>
      <c r="C4743" s="27" t="s">
        <v>370</v>
      </c>
      <c r="D4743" s="26"/>
      <c r="E4743" s="27"/>
      <c r="F4743" s="27"/>
      <c r="G4743" s="27" t="s">
        <v>11122</v>
      </c>
      <c r="H4743" s="27" t="s">
        <v>35</v>
      </c>
      <c r="I4743" s="27" t="s">
        <v>40</v>
      </c>
      <c r="J4743" s="28" t="s">
        <v>161</v>
      </c>
      <c r="K4743" s="27" t="s">
        <v>40</v>
      </c>
      <c r="L4743" s="27"/>
    </row>
    <row r="4744" customFormat="false" ht="15" hidden="false" customHeight="false" outlineLevel="0" collapsed="false">
      <c r="A4744" s="26" t="s">
        <v>14424</v>
      </c>
      <c r="B4744" s="27" t="s">
        <v>14425</v>
      </c>
      <c r="C4744" s="27" t="s">
        <v>370</v>
      </c>
      <c r="D4744" s="26"/>
      <c r="E4744" s="27"/>
      <c r="F4744" s="27"/>
      <c r="G4744" s="27" t="s">
        <v>11122</v>
      </c>
      <c r="H4744" s="27" t="s">
        <v>35</v>
      </c>
      <c r="I4744" s="27" t="s">
        <v>37</v>
      </c>
      <c r="J4744" s="28" t="s">
        <v>161</v>
      </c>
      <c r="K4744" s="27" t="s">
        <v>40</v>
      </c>
      <c r="L4744" s="27"/>
    </row>
    <row r="4745" customFormat="false" ht="15" hidden="false" customHeight="false" outlineLevel="0" collapsed="false">
      <c r="A4745" s="26" t="s">
        <v>14426</v>
      </c>
      <c r="B4745" s="27" t="s">
        <v>14427</v>
      </c>
      <c r="C4745" s="27" t="s">
        <v>370</v>
      </c>
      <c r="D4745" s="26"/>
      <c r="E4745" s="27"/>
      <c r="F4745" s="27"/>
      <c r="G4745" s="27" t="s">
        <v>11122</v>
      </c>
      <c r="H4745" s="27" t="s">
        <v>35</v>
      </c>
      <c r="I4745" s="27" t="s">
        <v>41</v>
      </c>
      <c r="J4745" s="28" t="s">
        <v>161</v>
      </c>
      <c r="K4745" s="27" t="s">
        <v>40</v>
      </c>
      <c r="L4745" s="27"/>
    </row>
    <row r="4746" customFormat="false" ht="15" hidden="false" customHeight="false" outlineLevel="0" collapsed="false">
      <c r="A4746" s="26" t="s">
        <v>14428</v>
      </c>
      <c r="B4746" s="27" t="s">
        <v>14429</v>
      </c>
      <c r="C4746" s="27" t="s">
        <v>370</v>
      </c>
      <c r="D4746" s="26"/>
      <c r="E4746" s="27"/>
      <c r="F4746" s="27"/>
      <c r="G4746" s="27" t="s">
        <v>11122</v>
      </c>
      <c r="H4746" s="27" t="s">
        <v>35</v>
      </c>
      <c r="I4746" s="27" t="s">
        <v>37</v>
      </c>
      <c r="J4746" s="28" t="s">
        <v>161</v>
      </c>
      <c r="K4746" s="27" t="s">
        <v>40</v>
      </c>
      <c r="L4746" s="27"/>
    </row>
    <row r="4747" customFormat="false" ht="15" hidden="false" customHeight="false" outlineLevel="0" collapsed="false">
      <c r="A4747" s="26" t="s">
        <v>14430</v>
      </c>
      <c r="B4747" s="27" t="s">
        <v>14431</v>
      </c>
      <c r="C4747" s="27" t="s">
        <v>370</v>
      </c>
      <c r="D4747" s="26"/>
      <c r="E4747" s="27"/>
      <c r="F4747" s="27"/>
      <c r="G4747" s="27" t="s">
        <v>11122</v>
      </c>
      <c r="H4747" s="27" t="s">
        <v>35</v>
      </c>
      <c r="I4747" s="27" t="s">
        <v>41</v>
      </c>
      <c r="J4747" s="28" t="s">
        <v>161</v>
      </c>
      <c r="K4747" s="27" t="s">
        <v>40</v>
      </c>
      <c r="L4747" s="27"/>
    </row>
    <row r="4748" customFormat="false" ht="15" hidden="false" customHeight="false" outlineLevel="0" collapsed="false">
      <c r="A4748" s="26" t="s">
        <v>14432</v>
      </c>
      <c r="B4748" s="27" t="s">
        <v>14433</v>
      </c>
      <c r="C4748" s="27" t="s">
        <v>370</v>
      </c>
      <c r="D4748" s="26"/>
      <c r="E4748" s="27"/>
      <c r="F4748" s="27"/>
      <c r="G4748" s="27" t="s">
        <v>11122</v>
      </c>
      <c r="H4748" s="27" t="s">
        <v>35</v>
      </c>
      <c r="I4748" s="27" t="s">
        <v>37</v>
      </c>
      <c r="J4748" s="28" t="s">
        <v>161</v>
      </c>
      <c r="K4748" s="27" t="s">
        <v>40</v>
      </c>
      <c r="L4748" s="27"/>
    </row>
    <row r="4749" customFormat="false" ht="15" hidden="false" customHeight="false" outlineLevel="0" collapsed="false">
      <c r="A4749" s="26" t="s">
        <v>14434</v>
      </c>
      <c r="B4749" s="27" t="s">
        <v>14435</v>
      </c>
      <c r="C4749" s="27" t="s">
        <v>370</v>
      </c>
      <c r="D4749" s="26"/>
      <c r="E4749" s="27"/>
      <c r="F4749" s="27"/>
      <c r="G4749" s="27" t="s">
        <v>11122</v>
      </c>
      <c r="H4749" s="27" t="s">
        <v>35</v>
      </c>
      <c r="I4749" s="27" t="s">
        <v>41</v>
      </c>
      <c r="J4749" s="28" t="s">
        <v>161</v>
      </c>
      <c r="K4749" s="27" t="s">
        <v>40</v>
      </c>
      <c r="L4749" s="27"/>
    </row>
    <row r="4750" customFormat="false" ht="15" hidden="false" customHeight="false" outlineLevel="0" collapsed="false">
      <c r="A4750" s="26" t="s">
        <v>14436</v>
      </c>
      <c r="B4750" s="27" t="s">
        <v>14437</v>
      </c>
      <c r="C4750" s="27" t="s">
        <v>144</v>
      </c>
      <c r="D4750" s="26"/>
      <c r="E4750" s="27"/>
      <c r="F4750" s="27"/>
      <c r="G4750" s="27" t="s">
        <v>11122</v>
      </c>
      <c r="H4750" s="27" t="s">
        <v>35</v>
      </c>
      <c r="I4750" s="27" t="s">
        <v>38</v>
      </c>
      <c r="J4750" s="28" t="s">
        <v>161</v>
      </c>
      <c r="K4750" s="27" t="s">
        <v>40</v>
      </c>
      <c r="L4750" s="27"/>
    </row>
    <row r="4751" customFormat="false" ht="15" hidden="false" customHeight="false" outlineLevel="0" collapsed="false">
      <c r="A4751" s="26" t="s">
        <v>14438</v>
      </c>
      <c r="B4751" s="27" t="s">
        <v>14439</v>
      </c>
      <c r="C4751" s="27" t="s">
        <v>370</v>
      </c>
      <c r="D4751" s="26"/>
      <c r="E4751" s="27"/>
      <c r="F4751" s="27"/>
      <c r="G4751" s="27" t="s">
        <v>11122</v>
      </c>
      <c r="H4751" s="27" t="s">
        <v>35</v>
      </c>
      <c r="I4751" s="27" t="s">
        <v>37</v>
      </c>
      <c r="J4751" s="28" t="s">
        <v>161</v>
      </c>
      <c r="K4751" s="27" t="s">
        <v>40</v>
      </c>
      <c r="L4751" s="27"/>
    </row>
    <row r="4752" customFormat="false" ht="15" hidden="false" customHeight="false" outlineLevel="0" collapsed="false">
      <c r="A4752" s="26" t="s">
        <v>14440</v>
      </c>
      <c r="B4752" s="27" t="s">
        <v>14441</v>
      </c>
      <c r="C4752" s="27" t="s">
        <v>370</v>
      </c>
      <c r="D4752" s="26"/>
      <c r="E4752" s="27"/>
      <c r="F4752" s="27"/>
      <c r="G4752" s="27" t="s">
        <v>11122</v>
      </c>
      <c r="H4752" s="27" t="s">
        <v>35</v>
      </c>
      <c r="I4752" s="27" t="s">
        <v>41</v>
      </c>
      <c r="J4752" s="28" t="s">
        <v>161</v>
      </c>
      <c r="K4752" s="27" t="s">
        <v>40</v>
      </c>
      <c r="L4752" s="27"/>
    </row>
    <row r="4753" customFormat="false" ht="15" hidden="false" customHeight="false" outlineLevel="0" collapsed="false">
      <c r="A4753" s="26" t="s">
        <v>14442</v>
      </c>
      <c r="B4753" s="27" t="s">
        <v>14443</v>
      </c>
      <c r="C4753" s="27" t="s">
        <v>370</v>
      </c>
      <c r="D4753" s="26"/>
      <c r="E4753" s="27"/>
      <c r="F4753" s="27"/>
      <c r="G4753" s="27" t="s">
        <v>11122</v>
      </c>
      <c r="H4753" s="27" t="s">
        <v>35</v>
      </c>
      <c r="I4753" s="27" t="s">
        <v>37</v>
      </c>
      <c r="J4753" s="28" t="s">
        <v>161</v>
      </c>
      <c r="K4753" s="27" t="s">
        <v>40</v>
      </c>
      <c r="L4753" s="27"/>
    </row>
    <row r="4754" customFormat="false" ht="15" hidden="false" customHeight="false" outlineLevel="0" collapsed="false">
      <c r="A4754" s="26" t="s">
        <v>14444</v>
      </c>
      <c r="B4754" s="27" t="s">
        <v>14445</v>
      </c>
      <c r="C4754" s="27" t="s">
        <v>370</v>
      </c>
      <c r="D4754" s="26"/>
      <c r="E4754" s="27"/>
      <c r="F4754" s="27"/>
      <c r="G4754" s="27" t="s">
        <v>11122</v>
      </c>
      <c r="H4754" s="27" t="s">
        <v>35</v>
      </c>
      <c r="I4754" s="27" t="s">
        <v>41</v>
      </c>
      <c r="J4754" s="28" t="s">
        <v>161</v>
      </c>
      <c r="K4754" s="27" t="s">
        <v>40</v>
      </c>
      <c r="L4754" s="27"/>
    </row>
    <row r="4755" customFormat="false" ht="15" hidden="false" customHeight="false" outlineLevel="0" collapsed="false">
      <c r="A4755" s="26" t="s">
        <v>14446</v>
      </c>
      <c r="B4755" s="27" t="s">
        <v>14447</v>
      </c>
      <c r="C4755" s="27" t="s">
        <v>144</v>
      </c>
      <c r="D4755" s="26"/>
      <c r="E4755" s="27"/>
      <c r="F4755" s="27"/>
      <c r="G4755" s="27" t="s">
        <v>11122</v>
      </c>
      <c r="H4755" s="27" t="s">
        <v>35</v>
      </c>
      <c r="I4755" s="27" t="s">
        <v>40</v>
      </c>
      <c r="J4755" s="28" t="s">
        <v>161</v>
      </c>
      <c r="K4755" s="27" t="s">
        <v>40</v>
      </c>
      <c r="L4755" s="27"/>
    </row>
    <row r="4756" customFormat="false" ht="15" hidden="false" customHeight="false" outlineLevel="0" collapsed="false">
      <c r="A4756" s="26" t="s">
        <v>14448</v>
      </c>
      <c r="B4756" s="27" t="s">
        <v>14449</v>
      </c>
      <c r="C4756" s="27" t="s">
        <v>370</v>
      </c>
      <c r="D4756" s="26"/>
      <c r="E4756" s="27"/>
      <c r="F4756" s="27"/>
      <c r="G4756" s="27" t="s">
        <v>11122</v>
      </c>
      <c r="H4756" s="27" t="s">
        <v>35</v>
      </c>
      <c r="I4756" s="27" t="s">
        <v>40</v>
      </c>
      <c r="J4756" s="28" t="s">
        <v>161</v>
      </c>
      <c r="K4756" s="27" t="s">
        <v>40</v>
      </c>
      <c r="L4756" s="27"/>
    </row>
    <row r="4757" customFormat="false" ht="15" hidden="false" customHeight="false" outlineLevel="0" collapsed="false">
      <c r="A4757" s="26" t="s">
        <v>14450</v>
      </c>
      <c r="B4757" s="27" t="s">
        <v>14451</v>
      </c>
      <c r="C4757" s="27" t="s">
        <v>144</v>
      </c>
      <c r="D4757" s="26"/>
      <c r="E4757" s="27"/>
      <c r="F4757" s="27"/>
      <c r="G4757" s="27" t="s">
        <v>11122</v>
      </c>
      <c r="H4757" s="27" t="s">
        <v>35</v>
      </c>
      <c r="I4757" s="27" t="s">
        <v>43</v>
      </c>
      <c r="J4757" s="28" t="s">
        <v>161</v>
      </c>
      <c r="K4757" s="27" t="s">
        <v>40</v>
      </c>
      <c r="L4757" s="27"/>
    </row>
    <row r="4758" customFormat="false" ht="15" hidden="false" customHeight="false" outlineLevel="0" collapsed="false">
      <c r="A4758" s="26" t="s">
        <v>14452</v>
      </c>
      <c r="B4758" s="27" t="s">
        <v>14453</v>
      </c>
      <c r="C4758" s="27" t="s">
        <v>144</v>
      </c>
      <c r="D4758" s="26"/>
      <c r="E4758" s="27"/>
      <c r="F4758" s="27"/>
      <c r="G4758" s="27" t="s">
        <v>11122</v>
      </c>
      <c r="H4758" s="27" t="s">
        <v>35</v>
      </c>
      <c r="I4758" s="27" t="s">
        <v>43</v>
      </c>
      <c r="J4758" s="28" t="s">
        <v>161</v>
      </c>
      <c r="K4758" s="27" t="s">
        <v>40</v>
      </c>
      <c r="L4758" s="27"/>
    </row>
    <row r="4759" customFormat="false" ht="15" hidden="false" customHeight="false" outlineLevel="0" collapsed="false">
      <c r="A4759" s="26" t="s">
        <v>14454</v>
      </c>
      <c r="B4759" s="27" t="s">
        <v>14455</v>
      </c>
      <c r="C4759" s="27" t="s">
        <v>144</v>
      </c>
      <c r="D4759" s="26"/>
      <c r="E4759" s="27"/>
      <c r="F4759" s="27"/>
      <c r="G4759" s="27" t="s">
        <v>11122</v>
      </c>
      <c r="H4759" s="27" t="s">
        <v>35</v>
      </c>
      <c r="I4759" s="27" t="s">
        <v>41</v>
      </c>
      <c r="J4759" s="28" t="s">
        <v>161</v>
      </c>
      <c r="K4759" s="27" t="s">
        <v>40</v>
      </c>
      <c r="L4759" s="27"/>
    </row>
    <row r="4760" customFormat="false" ht="15" hidden="false" customHeight="false" outlineLevel="0" collapsed="false">
      <c r="A4760" s="26" t="s">
        <v>14456</v>
      </c>
      <c r="B4760" s="27" t="s">
        <v>14457</v>
      </c>
      <c r="C4760" s="27" t="s">
        <v>144</v>
      </c>
      <c r="D4760" s="26"/>
      <c r="E4760" s="27"/>
      <c r="F4760" s="27"/>
      <c r="G4760" s="27" t="s">
        <v>11122</v>
      </c>
      <c r="H4760" s="27" t="s">
        <v>35</v>
      </c>
      <c r="I4760" s="27" t="s">
        <v>41</v>
      </c>
      <c r="J4760" s="28" t="s">
        <v>161</v>
      </c>
      <c r="K4760" s="27" t="s">
        <v>40</v>
      </c>
      <c r="L4760" s="27"/>
    </row>
    <row r="4761" customFormat="false" ht="15" hidden="false" customHeight="false" outlineLevel="0" collapsed="false">
      <c r="A4761" s="26" t="s">
        <v>14458</v>
      </c>
      <c r="B4761" s="27" t="s">
        <v>14459</v>
      </c>
      <c r="C4761" s="27" t="s">
        <v>144</v>
      </c>
      <c r="D4761" s="26"/>
      <c r="E4761" s="27"/>
      <c r="F4761" s="27"/>
      <c r="G4761" s="27" t="s">
        <v>11122</v>
      </c>
      <c r="H4761" s="27" t="s">
        <v>35</v>
      </c>
      <c r="I4761" s="27" t="s">
        <v>41</v>
      </c>
      <c r="J4761" s="28" t="s">
        <v>161</v>
      </c>
      <c r="K4761" s="27" t="s">
        <v>40</v>
      </c>
      <c r="L4761" s="27"/>
    </row>
    <row r="4762" customFormat="false" ht="15" hidden="false" customHeight="false" outlineLevel="0" collapsed="false">
      <c r="A4762" s="26" t="s">
        <v>14460</v>
      </c>
      <c r="B4762" s="27" t="s">
        <v>14461</v>
      </c>
      <c r="C4762" s="27" t="s">
        <v>144</v>
      </c>
      <c r="D4762" s="26"/>
      <c r="E4762" s="27"/>
      <c r="F4762" s="27"/>
      <c r="G4762" s="27" t="s">
        <v>11122</v>
      </c>
      <c r="H4762" s="27" t="s">
        <v>35</v>
      </c>
      <c r="I4762" s="27" t="s">
        <v>37</v>
      </c>
      <c r="J4762" s="28" t="s">
        <v>161</v>
      </c>
      <c r="K4762" s="27" t="s">
        <v>40</v>
      </c>
      <c r="L4762" s="27"/>
    </row>
    <row r="4763" customFormat="false" ht="15" hidden="false" customHeight="false" outlineLevel="0" collapsed="false">
      <c r="A4763" s="26" t="s">
        <v>14462</v>
      </c>
      <c r="B4763" s="27" t="s">
        <v>14463</v>
      </c>
      <c r="C4763" s="27" t="s">
        <v>144</v>
      </c>
      <c r="D4763" s="26"/>
      <c r="E4763" s="27"/>
      <c r="F4763" s="27"/>
      <c r="G4763" s="27" t="s">
        <v>11122</v>
      </c>
      <c r="H4763" s="27" t="s">
        <v>35</v>
      </c>
      <c r="I4763" s="27" t="s">
        <v>3536</v>
      </c>
      <c r="J4763" s="28" t="s">
        <v>161</v>
      </c>
      <c r="K4763" s="27" t="s">
        <v>40</v>
      </c>
      <c r="L4763" s="27"/>
    </row>
    <row r="4764" customFormat="false" ht="15" hidden="false" customHeight="false" outlineLevel="0" collapsed="false">
      <c r="A4764" s="26" t="s">
        <v>14464</v>
      </c>
      <c r="B4764" s="27" t="s">
        <v>14465</v>
      </c>
      <c r="C4764" s="27" t="s">
        <v>144</v>
      </c>
      <c r="D4764" s="26"/>
      <c r="E4764" s="27"/>
      <c r="F4764" s="27"/>
      <c r="G4764" s="27" t="s">
        <v>11122</v>
      </c>
      <c r="H4764" s="27" t="s">
        <v>35</v>
      </c>
      <c r="I4764" s="27" t="s">
        <v>37</v>
      </c>
      <c r="J4764" s="28" t="s">
        <v>161</v>
      </c>
      <c r="K4764" s="27" t="s">
        <v>40</v>
      </c>
      <c r="L4764" s="27"/>
    </row>
    <row r="4765" customFormat="false" ht="15" hidden="false" customHeight="false" outlineLevel="0" collapsed="false">
      <c r="A4765" s="26" t="s">
        <v>14466</v>
      </c>
      <c r="B4765" s="27" t="s">
        <v>14467</v>
      </c>
      <c r="C4765" s="27" t="s">
        <v>370</v>
      </c>
      <c r="D4765" s="26"/>
      <c r="E4765" s="27"/>
      <c r="F4765" s="27"/>
      <c r="G4765" s="27" t="s">
        <v>11122</v>
      </c>
      <c r="H4765" s="27" t="s">
        <v>35</v>
      </c>
      <c r="I4765" s="27" t="s">
        <v>41</v>
      </c>
      <c r="J4765" s="28" t="s">
        <v>161</v>
      </c>
      <c r="K4765" s="27" t="s">
        <v>40</v>
      </c>
      <c r="L4765" s="27"/>
    </row>
    <row r="4766" customFormat="false" ht="15" hidden="false" customHeight="false" outlineLevel="0" collapsed="false">
      <c r="A4766" s="26" t="s">
        <v>14468</v>
      </c>
      <c r="B4766" s="27" t="s">
        <v>14469</v>
      </c>
      <c r="C4766" s="27" t="s">
        <v>370</v>
      </c>
      <c r="D4766" s="26"/>
      <c r="E4766" s="27"/>
      <c r="F4766" s="27"/>
      <c r="G4766" s="27" t="s">
        <v>11122</v>
      </c>
      <c r="H4766" s="27" t="s">
        <v>35</v>
      </c>
      <c r="I4766" s="27" t="s">
        <v>37</v>
      </c>
      <c r="J4766" s="28" t="s">
        <v>161</v>
      </c>
      <c r="K4766" s="27" t="s">
        <v>40</v>
      </c>
      <c r="L4766" s="27"/>
    </row>
    <row r="4767" customFormat="false" ht="15" hidden="false" customHeight="false" outlineLevel="0" collapsed="false">
      <c r="A4767" s="26" t="s">
        <v>14470</v>
      </c>
      <c r="B4767" s="27" t="s">
        <v>14471</v>
      </c>
      <c r="C4767" s="27" t="s">
        <v>144</v>
      </c>
      <c r="D4767" s="26"/>
      <c r="E4767" s="27"/>
      <c r="F4767" s="27"/>
      <c r="G4767" s="27" t="s">
        <v>11122</v>
      </c>
      <c r="H4767" s="27" t="s">
        <v>35</v>
      </c>
      <c r="I4767" s="27" t="s">
        <v>41</v>
      </c>
      <c r="J4767" s="28" t="s">
        <v>161</v>
      </c>
      <c r="K4767" s="27" t="s">
        <v>40</v>
      </c>
      <c r="L4767" s="27"/>
    </row>
    <row r="4768" customFormat="false" ht="15" hidden="false" customHeight="false" outlineLevel="0" collapsed="false">
      <c r="A4768" s="26" t="s">
        <v>14472</v>
      </c>
      <c r="B4768" s="27" t="s">
        <v>14473</v>
      </c>
      <c r="C4768" s="27" t="s">
        <v>370</v>
      </c>
      <c r="D4768" s="26"/>
      <c r="E4768" s="27"/>
      <c r="F4768" s="27"/>
      <c r="G4768" s="27" t="s">
        <v>11122</v>
      </c>
      <c r="H4768" s="27" t="s">
        <v>35</v>
      </c>
      <c r="I4768" s="27" t="s">
        <v>40</v>
      </c>
      <c r="J4768" s="28" t="s">
        <v>161</v>
      </c>
      <c r="K4768" s="27" t="s">
        <v>40</v>
      </c>
      <c r="L4768" s="27"/>
    </row>
    <row r="4769" customFormat="false" ht="15" hidden="false" customHeight="false" outlineLevel="0" collapsed="false">
      <c r="A4769" s="26" t="s">
        <v>14474</v>
      </c>
      <c r="B4769" s="27" t="s">
        <v>14475</v>
      </c>
      <c r="C4769" s="27" t="s">
        <v>144</v>
      </c>
      <c r="D4769" s="26"/>
      <c r="E4769" s="27"/>
      <c r="F4769" s="27"/>
      <c r="G4769" s="27" t="s">
        <v>11122</v>
      </c>
      <c r="H4769" s="27" t="s">
        <v>35</v>
      </c>
      <c r="I4769" s="27" t="s">
        <v>42</v>
      </c>
      <c r="J4769" s="28" t="s">
        <v>161</v>
      </c>
      <c r="K4769" s="27" t="s">
        <v>40</v>
      </c>
      <c r="L4769" s="27"/>
    </row>
    <row r="4770" customFormat="false" ht="15" hidden="false" customHeight="false" outlineLevel="0" collapsed="false">
      <c r="A4770" s="26" t="s">
        <v>14476</v>
      </c>
      <c r="B4770" s="27" t="s">
        <v>14477</v>
      </c>
      <c r="C4770" s="27" t="s">
        <v>370</v>
      </c>
      <c r="D4770" s="26"/>
      <c r="E4770" s="27"/>
      <c r="F4770" s="27"/>
      <c r="G4770" s="27" t="s">
        <v>11122</v>
      </c>
      <c r="H4770" s="27" t="s">
        <v>35</v>
      </c>
      <c r="I4770" s="27" t="s">
        <v>39</v>
      </c>
      <c r="J4770" s="28" t="s">
        <v>161</v>
      </c>
      <c r="K4770" s="27" t="s">
        <v>40</v>
      </c>
      <c r="L4770" s="27"/>
    </row>
    <row r="4771" customFormat="false" ht="15" hidden="false" customHeight="false" outlineLevel="0" collapsed="false">
      <c r="A4771" s="26" t="s">
        <v>14478</v>
      </c>
      <c r="B4771" s="27" t="s">
        <v>14479</v>
      </c>
      <c r="C4771" s="27" t="s">
        <v>144</v>
      </c>
      <c r="D4771" s="26"/>
      <c r="E4771" s="27"/>
      <c r="F4771" s="27"/>
      <c r="G4771" s="27" t="s">
        <v>11122</v>
      </c>
      <c r="H4771" s="27" t="s">
        <v>35</v>
      </c>
      <c r="I4771" s="27" t="s">
        <v>41</v>
      </c>
      <c r="J4771" s="28" t="s">
        <v>161</v>
      </c>
      <c r="K4771" s="27" t="s">
        <v>40</v>
      </c>
      <c r="L4771" s="27"/>
    </row>
    <row r="4772" customFormat="false" ht="15" hidden="false" customHeight="false" outlineLevel="0" collapsed="false">
      <c r="A4772" s="26" t="s">
        <v>14480</v>
      </c>
      <c r="B4772" s="27" t="s">
        <v>14481</v>
      </c>
      <c r="C4772" s="27" t="s">
        <v>370</v>
      </c>
      <c r="D4772" s="26"/>
      <c r="E4772" s="27"/>
      <c r="F4772" s="27"/>
      <c r="G4772" s="27" t="s">
        <v>11122</v>
      </c>
      <c r="H4772" s="27" t="s">
        <v>35</v>
      </c>
      <c r="I4772" s="27" t="s">
        <v>41</v>
      </c>
      <c r="J4772" s="28" t="s">
        <v>161</v>
      </c>
      <c r="K4772" s="27" t="s">
        <v>40</v>
      </c>
      <c r="L4772" s="27"/>
    </row>
    <row r="4773" customFormat="false" ht="15" hidden="false" customHeight="false" outlineLevel="0" collapsed="false">
      <c r="A4773" s="26" t="s">
        <v>14482</v>
      </c>
      <c r="B4773" s="27" t="s">
        <v>14483</v>
      </c>
      <c r="C4773" s="27" t="s">
        <v>370</v>
      </c>
      <c r="D4773" s="26"/>
      <c r="E4773" s="27"/>
      <c r="F4773" s="27"/>
      <c r="G4773" s="27" t="s">
        <v>11122</v>
      </c>
      <c r="H4773" s="27" t="s">
        <v>35</v>
      </c>
      <c r="I4773" s="27" t="s">
        <v>41</v>
      </c>
      <c r="J4773" s="28" t="s">
        <v>161</v>
      </c>
      <c r="K4773" s="27" t="s">
        <v>40</v>
      </c>
      <c r="L4773" s="27"/>
    </row>
    <row r="4774" customFormat="false" ht="15" hidden="false" customHeight="false" outlineLevel="0" collapsed="false">
      <c r="A4774" s="26" t="s">
        <v>14484</v>
      </c>
      <c r="B4774" s="27" t="s">
        <v>14485</v>
      </c>
      <c r="C4774" s="27" t="s">
        <v>2094</v>
      </c>
      <c r="D4774" s="26"/>
      <c r="E4774" s="27"/>
      <c r="F4774" s="27"/>
      <c r="G4774" s="27" t="s">
        <v>11122</v>
      </c>
      <c r="H4774" s="27" t="s">
        <v>35</v>
      </c>
      <c r="I4774" s="27" t="s">
        <v>43</v>
      </c>
      <c r="J4774" s="28" t="s">
        <v>161</v>
      </c>
      <c r="K4774" s="27" t="s">
        <v>40</v>
      </c>
      <c r="L4774" s="27"/>
    </row>
    <row r="4775" customFormat="false" ht="15" hidden="false" customHeight="false" outlineLevel="0" collapsed="false">
      <c r="A4775" s="26" t="s">
        <v>14486</v>
      </c>
      <c r="B4775" s="27" t="s">
        <v>14487</v>
      </c>
      <c r="C4775" s="27" t="s">
        <v>2094</v>
      </c>
      <c r="D4775" s="26"/>
      <c r="E4775" s="27"/>
      <c r="F4775" s="27"/>
      <c r="G4775" s="27" t="s">
        <v>11122</v>
      </c>
      <c r="H4775" s="27" t="s">
        <v>35</v>
      </c>
      <c r="I4775" s="27" t="s">
        <v>37</v>
      </c>
      <c r="J4775" s="28" t="s">
        <v>161</v>
      </c>
      <c r="K4775" s="27" t="s">
        <v>40</v>
      </c>
      <c r="L4775" s="27"/>
    </row>
    <row r="4776" customFormat="false" ht="15" hidden="false" customHeight="false" outlineLevel="0" collapsed="false">
      <c r="A4776" s="26" t="s">
        <v>14488</v>
      </c>
      <c r="B4776" s="27" t="s">
        <v>14489</v>
      </c>
      <c r="C4776" s="27" t="s">
        <v>144</v>
      </c>
      <c r="D4776" s="26"/>
      <c r="E4776" s="27"/>
      <c r="F4776" s="27"/>
      <c r="G4776" s="27" t="s">
        <v>11122</v>
      </c>
      <c r="H4776" s="27" t="s">
        <v>35</v>
      </c>
      <c r="I4776" s="27" t="s">
        <v>37</v>
      </c>
      <c r="J4776" s="28" t="s">
        <v>161</v>
      </c>
      <c r="K4776" s="27" t="s">
        <v>40</v>
      </c>
      <c r="L4776" s="27"/>
    </row>
    <row r="4777" customFormat="false" ht="15" hidden="false" customHeight="false" outlineLevel="0" collapsed="false">
      <c r="A4777" s="26" t="s">
        <v>14490</v>
      </c>
      <c r="B4777" s="27" t="s">
        <v>14491</v>
      </c>
      <c r="C4777" s="27" t="s">
        <v>144</v>
      </c>
      <c r="D4777" s="26"/>
      <c r="E4777" s="27"/>
      <c r="F4777" s="27"/>
      <c r="G4777" s="27" t="s">
        <v>11122</v>
      </c>
      <c r="H4777" s="27" t="s">
        <v>35</v>
      </c>
      <c r="I4777" s="27" t="s">
        <v>41</v>
      </c>
      <c r="J4777" s="28" t="s">
        <v>161</v>
      </c>
      <c r="K4777" s="27" t="s">
        <v>40</v>
      </c>
      <c r="L4777" s="27"/>
    </row>
    <row r="4778" customFormat="false" ht="15" hidden="false" customHeight="false" outlineLevel="0" collapsed="false">
      <c r="A4778" s="26" t="s">
        <v>14492</v>
      </c>
      <c r="B4778" s="27" t="s">
        <v>14493</v>
      </c>
      <c r="C4778" s="27" t="s">
        <v>144</v>
      </c>
      <c r="D4778" s="26"/>
      <c r="E4778" s="27"/>
      <c r="F4778" s="27"/>
      <c r="G4778" s="27" t="s">
        <v>11122</v>
      </c>
      <c r="H4778" s="27" t="s">
        <v>35</v>
      </c>
      <c r="I4778" s="27" t="s">
        <v>41</v>
      </c>
      <c r="J4778" s="28" t="s">
        <v>161</v>
      </c>
      <c r="K4778" s="27" t="s">
        <v>40</v>
      </c>
      <c r="L4778" s="27"/>
    </row>
    <row r="4779" customFormat="false" ht="15" hidden="false" customHeight="false" outlineLevel="0" collapsed="false">
      <c r="A4779" s="26" t="s">
        <v>14494</v>
      </c>
      <c r="B4779" s="27" t="s">
        <v>14495</v>
      </c>
      <c r="C4779" s="27" t="s">
        <v>144</v>
      </c>
      <c r="D4779" s="26"/>
      <c r="E4779" s="27"/>
      <c r="F4779" s="27"/>
      <c r="G4779" s="27" t="s">
        <v>11122</v>
      </c>
      <c r="H4779" s="27" t="s">
        <v>35</v>
      </c>
      <c r="I4779" s="27" t="s">
        <v>41</v>
      </c>
      <c r="J4779" s="28" t="s">
        <v>161</v>
      </c>
      <c r="K4779" s="27" t="s">
        <v>40</v>
      </c>
      <c r="L4779" s="27"/>
    </row>
    <row r="4780" customFormat="false" ht="15" hidden="false" customHeight="false" outlineLevel="0" collapsed="false">
      <c r="A4780" s="26" t="s">
        <v>14496</v>
      </c>
      <c r="B4780" s="27" t="s">
        <v>14497</v>
      </c>
      <c r="C4780" s="27" t="s">
        <v>144</v>
      </c>
      <c r="D4780" s="26"/>
      <c r="E4780" s="27"/>
      <c r="F4780" s="27"/>
      <c r="G4780" s="27" t="s">
        <v>11122</v>
      </c>
      <c r="H4780" s="27" t="s">
        <v>35</v>
      </c>
      <c r="I4780" s="27" t="s">
        <v>48</v>
      </c>
      <c r="J4780" s="28" t="s">
        <v>161</v>
      </c>
      <c r="K4780" s="27" t="s">
        <v>40</v>
      </c>
      <c r="L4780" s="27"/>
    </row>
    <row r="4781" customFormat="false" ht="15" hidden="false" customHeight="false" outlineLevel="0" collapsed="false">
      <c r="A4781" s="26" t="s">
        <v>14498</v>
      </c>
      <c r="B4781" s="27" t="s">
        <v>14499</v>
      </c>
      <c r="C4781" s="27" t="s">
        <v>144</v>
      </c>
      <c r="D4781" s="26"/>
      <c r="E4781" s="27"/>
      <c r="F4781" s="27"/>
      <c r="G4781" s="27" t="s">
        <v>11122</v>
      </c>
      <c r="H4781" s="27" t="s">
        <v>35</v>
      </c>
      <c r="I4781" s="27" t="s">
        <v>38</v>
      </c>
      <c r="J4781" s="28" t="s">
        <v>161</v>
      </c>
      <c r="K4781" s="27" t="s">
        <v>40</v>
      </c>
      <c r="L4781" s="27"/>
    </row>
    <row r="4782" customFormat="false" ht="15" hidden="false" customHeight="false" outlineLevel="0" collapsed="false">
      <c r="A4782" s="26" t="s">
        <v>14500</v>
      </c>
      <c r="B4782" s="27" t="s">
        <v>14501</v>
      </c>
      <c r="C4782" s="27" t="s">
        <v>2041</v>
      </c>
      <c r="D4782" s="26"/>
      <c r="E4782" s="27"/>
      <c r="F4782" s="27"/>
      <c r="G4782" s="27" t="s">
        <v>11122</v>
      </c>
      <c r="H4782" s="27" t="s">
        <v>35</v>
      </c>
      <c r="I4782" s="27" t="s">
        <v>49</v>
      </c>
      <c r="J4782" s="28" t="s">
        <v>161</v>
      </c>
      <c r="K4782" s="27" t="s">
        <v>40</v>
      </c>
      <c r="L4782" s="27"/>
    </row>
    <row r="4783" customFormat="false" ht="15" hidden="false" customHeight="false" outlineLevel="0" collapsed="false">
      <c r="A4783" s="26" t="s">
        <v>14502</v>
      </c>
      <c r="B4783" s="27" t="s">
        <v>14503</v>
      </c>
      <c r="C4783" s="27" t="s">
        <v>2041</v>
      </c>
      <c r="D4783" s="26"/>
      <c r="E4783" s="27"/>
      <c r="F4783" s="27"/>
      <c r="G4783" s="27" t="s">
        <v>11122</v>
      </c>
      <c r="H4783" s="27" t="s">
        <v>35</v>
      </c>
      <c r="I4783" s="27" t="s">
        <v>42</v>
      </c>
      <c r="J4783" s="28" t="s">
        <v>161</v>
      </c>
      <c r="K4783" s="27" t="s">
        <v>40</v>
      </c>
      <c r="L4783" s="27"/>
    </row>
    <row r="4784" customFormat="false" ht="15" hidden="false" customHeight="false" outlineLevel="0" collapsed="false">
      <c r="A4784" s="26" t="s">
        <v>14504</v>
      </c>
      <c r="B4784" s="27" t="s">
        <v>14505</v>
      </c>
      <c r="C4784" s="27" t="s">
        <v>2041</v>
      </c>
      <c r="D4784" s="26"/>
      <c r="E4784" s="27"/>
      <c r="F4784" s="27"/>
      <c r="G4784" s="27" t="s">
        <v>11122</v>
      </c>
      <c r="H4784" s="27" t="s">
        <v>35</v>
      </c>
      <c r="I4784" s="27" t="s">
        <v>42</v>
      </c>
      <c r="J4784" s="28" t="s">
        <v>161</v>
      </c>
      <c r="K4784" s="27" t="s">
        <v>40</v>
      </c>
      <c r="L4784" s="27"/>
    </row>
    <row r="4785" customFormat="false" ht="15" hidden="false" customHeight="false" outlineLevel="0" collapsed="false">
      <c r="A4785" s="26" t="s">
        <v>14506</v>
      </c>
      <c r="B4785" s="27" t="s">
        <v>14507</v>
      </c>
      <c r="C4785" s="27" t="s">
        <v>144</v>
      </c>
      <c r="D4785" s="26"/>
      <c r="E4785" s="27"/>
      <c r="F4785" s="27"/>
      <c r="G4785" s="27" t="s">
        <v>11122</v>
      </c>
      <c r="H4785" s="27" t="s">
        <v>35</v>
      </c>
      <c r="I4785" s="27" t="s">
        <v>40</v>
      </c>
      <c r="J4785" s="28" t="s">
        <v>161</v>
      </c>
      <c r="K4785" s="27" t="s">
        <v>40</v>
      </c>
      <c r="L4785" s="27"/>
    </row>
    <row r="4786" customFormat="false" ht="15" hidden="false" customHeight="false" outlineLevel="0" collapsed="false">
      <c r="A4786" s="26" t="s">
        <v>14508</v>
      </c>
      <c r="B4786" s="27" t="s">
        <v>14509</v>
      </c>
      <c r="C4786" s="27" t="s">
        <v>144</v>
      </c>
      <c r="D4786" s="26"/>
      <c r="E4786" s="27"/>
      <c r="F4786" s="27"/>
      <c r="G4786" s="27" t="s">
        <v>11122</v>
      </c>
      <c r="H4786" s="27" t="s">
        <v>35</v>
      </c>
      <c r="I4786" s="27" t="s">
        <v>40</v>
      </c>
      <c r="J4786" s="28" t="s">
        <v>161</v>
      </c>
      <c r="K4786" s="27" t="s">
        <v>40</v>
      </c>
      <c r="L4786" s="27"/>
    </row>
    <row r="4787" customFormat="false" ht="15" hidden="false" customHeight="false" outlineLevel="0" collapsed="false">
      <c r="A4787" s="26" t="s">
        <v>14510</v>
      </c>
      <c r="B4787" s="27" t="s">
        <v>14511</v>
      </c>
      <c r="C4787" s="27" t="s">
        <v>137</v>
      </c>
      <c r="D4787" s="26"/>
      <c r="E4787" s="27"/>
      <c r="F4787" s="27"/>
      <c r="G4787" s="27" t="s">
        <v>11122</v>
      </c>
      <c r="H4787" s="27" t="s">
        <v>35</v>
      </c>
      <c r="I4787" s="27" t="s">
        <v>47</v>
      </c>
      <c r="J4787" s="28" t="s">
        <v>161</v>
      </c>
      <c r="K4787" s="27" t="s">
        <v>40</v>
      </c>
      <c r="L4787" s="27"/>
    </row>
    <row r="4788" customFormat="false" ht="15" hidden="false" customHeight="false" outlineLevel="0" collapsed="false">
      <c r="A4788" s="26" t="s">
        <v>14512</v>
      </c>
      <c r="B4788" s="27" t="s">
        <v>14513</v>
      </c>
      <c r="C4788" s="27" t="s">
        <v>137</v>
      </c>
      <c r="D4788" s="26"/>
      <c r="E4788" s="27"/>
      <c r="F4788" s="27"/>
      <c r="G4788" s="27" t="s">
        <v>11122</v>
      </c>
      <c r="H4788" s="27" t="s">
        <v>35</v>
      </c>
      <c r="I4788" s="27" t="s">
        <v>47</v>
      </c>
      <c r="J4788" s="28" t="s">
        <v>161</v>
      </c>
      <c r="K4788" s="27" t="s">
        <v>40</v>
      </c>
      <c r="L4788" s="27"/>
    </row>
    <row r="4789" customFormat="false" ht="15" hidden="false" customHeight="false" outlineLevel="0" collapsed="false">
      <c r="A4789" s="26" t="s">
        <v>14514</v>
      </c>
      <c r="B4789" s="27" t="s">
        <v>14515</v>
      </c>
      <c r="C4789" s="27" t="s">
        <v>2041</v>
      </c>
      <c r="D4789" s="26"/>
      <c r="E4789" s="27"/>
      <c r="F4789" s="27"/>
      <c r="G4789" s="27" t="s">
        <v>11122</v>
      </c>
      <c r="H4789" s="27" t="s">
        <v>35</v>
      </c>
      <c r="I4789" s="27" t="s">
        <v>40</v>
      </c>
      <c r="J4789" s="28" t="s">
        <v>161</v>
      </c>
      <c r="K4789" s="27" t="s">
        <v>40</v>
      </c>
      <c r="L4789" s="27"/>
    </row>
    <row r="4790" customFormat="false" ht="15" hidden="false" customHeight="false" outlineLevel="0" collapsed="false">
      <c r="A4790" s="26" t="s">
        <v>14516</v>
      </c>
      <c r="B4790" s="27" t="s">
        <v>14517</v>
      </c>
      <c r="C4790" s="27" t="s">
        <v>137</v>
      </c>
      <c r="D4790" s="26"/>
      <c r="E4790" s="27"/>
      <c r="F4790" s="27"/>
      <c r="G4790" s="27" t="s">
        <v>11122</v>
      </c>
      <c r="H4790" s="27" t="s">
        <v>35</v>
      </c>
      <c r="I4790" s="27" t="s">
        <v>37</v>
      </c>
      <c r="J4790" s="28" t="s">
        <v>161</v>
      </c>
      <c r="K4790" s="27" t="s">
        <v>40</v>
      </c>
      <c r="L4790" s="27"/>
    </row>
    <row r="4791" customFormat="false" ht="15" hidden="false" customHeight="false" outlineLevel="0" collapsed="false">
      <c r="A4791" s="26" t="s">
        <v>14518</v>
      </c>
      <c r="B4791" s="27" t="s">
        <v>14519</v>
      </c>
      <c r="C4791" s="27" t="s">
        <v>137</v>
      </c>
      <c r="D4791" s="26"/>
      <c r="E4791" s="27"/>
      <c r="F4791" s="27"/>
      <c r="G4791" s="27" t="s">
        <v>11122</v>
      </c>
      <c r="H4791" s="27" t="s">
        <v>35</v>
      </c>
      <c r="I4791" s="27" t="s">
        <v>37</v>
      </c>
      <c r="J4791" s="28" t="s">
        <v>161</v>
      </c>
      <c r="K4791" s="27" t="s">
        <v>40</v>
      </c>
      <c r="L4791" s="27"/>
    </row>
    <row r="4792" customFormat="false" ht="15" hidden="false" customHeight="false" outlineLevel="0" collapsed="false">
      <c r="A4792" s="26" t="s">
        <v>14520</v>
      </c>
      <c r="B4792" s="27" t="s">
        <v>14521</v>
      </c>
      <c r="C4792" s="27" t="s">
        <v>137</v>
      </c>
      <c r="D4792" s="26"/>
      <c r="E4792" s="27"/>
      <c r="F4792" s="27"/>
      <c r="G4792" s="27" t="s">
        <v>11122</v>
      </c>
      <c r="H4792" s="27" t="s">
        <v>35</v>
      </c>
      <c r="I4792" s="27" t="s">
        <v>37</v>
      </c>
      <c r="J4792" s="28" t="s">
        <v>161</v>
      </c>
      <c r="K4792" s="27" t="s">
        <v>40</v>
      </c>
      <c r="L4792" s="27"/>
    </row>
    <row r="4793" customFormat="false" ht="15" hidden="false" customHeight="false" outlineLevel="0" collapsed="false">
      <c r="A4793" s="26" t="s">
        <v>14522</v>
      </c>
      <c r="B4793" s="27" t="s">
        <v>14523</v>
      </c>
      <c r="C4793" s="27" t="s">
        <v>137</v>
      </c>
      <c r="D4793" s="26"/>
      <c r="E4793" s="27"/>
      <c r="F4793" s="27"/>
      <c r="G4793" s="27" t="s">
        <v>11122</v>
      </c>
      <c r="H4793" s="27" t="s">
        <v>35</v>
      </c>
      <c r="I4793" s="27" t="s">
        <v>37</v>
      </c>
      <c r="J4793" s="28" t="s">
        <v>161</v>
      </c>
      <c r="K4793" s="27" t="s">
        <v>40</v>
      </c>
      <c r="L4793" s="27"/>
    </row>
    <row r="4794" customFormat="false" ht="15" hidden="false" customHeight="false" outlineLevel="0" collapsed="false">
      <c r="A4794" s="26" t="s">
        <v>14524</v>
      </c>
      <c r="B4794" s="27" t="s">
        <v>14525</v>
      </c>
      <c r="C4794" s="27" t="s">
        <v>137</v>
      </c>
      <c r="D4794" s="26"/>
      <c r="E4794" s="27"/>
      <c r="F4794" s="27"/>
      <c r="G4794" s="27" t="s">
        <v>11122</v>
      </c>
      <c r="H4794" s="27" t="s">
        <v>35</v>
      </c>
      <c r="I4794" s="27" t="s">
        <v>40</v>
      </c>
      <c r="J4794" s="28" t="s">
        <v>161</v>
      </c>
      <c r="K4794" s="27" t="s">
        <v>40</v>
      </c>
      <c r="L4794" s="27"/>
    </row>
    <row r="4795" customFormat="false" ht="15" hidden="false" customHeight="false" outlineLevel="0" collapsed="false">
      <c r="A4795" s="26" t="s">
        <v>14526</v>
      </c>
      <c r="B4795" s="27" t="s">
        <v>14527</v>
      </c>
      <c r="C4795" s="27" t="s">
        <v>137</v>
      </c>
      <c r="D4795" s="26"/>
      <c r="E4795" s="27"/>
      <c r="F4795" s="27"/>
      <c r="G4795" s="27" t="s">
        <v>11122</v>
      </c>
      <c r="H4795" s="27" t="s">
        <v>35</v>
      </c>
      <c r="I4795" s="27" t="s">
        <v>37</v>
      </c>
      <c r="J4795" s="28" t="s">
        <v>161</v>
      </c>
      <c r="K4795" s="27" t="s">
        <v>40</v>
      </c>
      <c r="L4795" s="27"/>
    </row>
    <row r="4796" customFormat="false" ht="15" hidden="false" customHeight="false" outlineLevel="0" collapsed="false">
      <c r="A4796" s="26" t="s">
        <v>14528</v>
      </c>
      <c r="B4796" s="27" t="s">
        <v>14529</v>
      </c>
      <c r="C4796" s="27" t="s">
        <v>144</v>
      </c>
      <c r="D4796" s="26"/>
      <c r="E4796" s="27"/>
      <c r="F4796" s="27"/>
      <c r="G4796" s="27" t="s">
        <v>11122</v>
      </c>
      <c r="H4796" s="27" t="s">
        <v>35</v>
      </c>
      <c r="I4796" s="27" t="s">
        <v>38</v>
      </c>
      <c r="J4796" s="28" t="s">
        <v>161</v>
      </c>
      <c r="K4796" s="27" t="s">
        <v>40</v>
      </c>
      <c r="L4796" s="27"/>
    </row>
    <row r="4797" customFormat="false" ht="15" hidden="false" customHeight="false" outlineLevel="0" collapsed="false">
      <c r="A4797" s="26" t="s">
        <v>14530</v>
      </c>
      <c r="B4797" s="27" t="s">
        <v>14531</v>
      </c>
      <c r="C4797" s="27" t="s">
        <v>137</v>
      </c>
      <c r="D4797" s="26"/>
      <c r="E4797" s="27"/>
      <c r="F4797" s="27"/>
      <c r="G4797" s="27" t="s">
        <v>11122</v>
      </c>
      <c r="H4797" s="27" t="s">
        <v>35</v>
      </c>
      <c r="I4797" s="27" t="s">
        <v>37</v>
      </c>
      <c r="J4797" s="28" t="s">
        <v>161</v>
      </c>
      <c r="K4797" s="27" t="s">
        <v>40</v>
      </c>
      <c r="L4797" s="27"/>
    </row>
    <row r="4798" customFormat="false" ht="15" hidden="false" customHeight="false" outlineLevel="0" collapsed="false">
      <c r="A4798" s="26" t="s">
        <v>14532</v>
      </c>
      <c r="B4798" s="27" t="s">
        <v>14533</v>
      </c>
      <c r="C4798" s="27" t="s">
        <v>137</v>
      </c>
      <c r="D4798" s="26"/>
      <c r="E4798" s="27"/>
      <c r="F4798" s="27"/>
      <c r="G4798" s="27" t="s">
        <v>11122</v>
      </c>
      <c r="H4798" s="27" t="s">
        <v>35</v>
      </c>
      <c r="I4798" s="27" t="s">
        <v>37</v>
      </c>
      <c r="J4798" s="28" t="s">
        <v>161</v>
      </c>
      <c r="K4798" s="27" t="s">
        <v>40</v>
      </c>
      <c r="L4798" s="27"/>
    </row>
    <row r="4799" customFormat="false" ht="15" hidden="false" customHeight="false" outlineLevel="0" collapsed="false">
      <c r="A4799" s="26" t="s">
        <v>14534</v>
      </c>
      <c r="B4799" s="27" t="s">
        <v>14535</v>
      </c>
      <c r="C4799" s="27" t="s">
        <v>137</v>
      </c>
      <c r="D4799" s="26"/>
      <c r="E4799" s="27"/>
      <c r="F4799" s="27"/>
      <c r="G4799" s="27" t="s">
        <v>11122</v>
      </c>
      <c r="H4799" s="27" t="s">
        <v>35</v>
      </c>
      <c r="I4799" s="27" t="s">
        <v>37</v>
      </c>
      <c r="J4799" s="28" t="s">
        <v>161</v>
      </c>
      <c r="K4799" s="27" t="s">
        <v>40</v>
      </c>
      <c r="L4799" s="27"/>
    </row>
    <row r="4800" customFormat="false" ht="15" hidden="false" customHeight="false" outlineLevel="0" collapsed="false">
      <c r="A4800" s="26" t="s">
        <v>14536</v>
      </c>
      <c r="B4800" s="27" t="s">
        <v>14537</v>
      </c>
      <c r="C4800" s="27" t="s">
        <v>137</v>
      </c>
      <c r="D4800" s="26"/>
      <c r="E4800" s="27"/>
      <c r="F4800" s="27"/>
      <c r="G4800" s="27" t="s">
        <v>11122</v>
      </c>
      <c r="H4800" s="27" t="s">
        <v>35</v>
      </c>
      <c r="I4800" s="27" t="s">
        <v>37</v>
      </c>
      <c r="J4800" s="28" t="s">
        <v>161</v>
      </c>
      <c r="K4800" s="27" t="s">
        <v>40</v>
      </c>
      <c r="L4800" s="27"/>
    </row>
    <row r="4801" customFormat="false" ht="15" hidden="false" customHeight="false" outlineLevel="0" collapsed="false">
      <c r="A4801" s="26" t="s">
        <v>14538</v>
      </c>
      <c r="B4801" s="27" t="s">
        <v>14539</v>
      </c>
      <c r="C4801" s="27" t="s">
        <v>137</v>
      </c>
      <c r="D4801" s="26"/>
      <c r="E4801" s="27"/>
      <c r="F4801" s="27"/>
      <c r="G4801" s="27" t="s">
        <v>11122</v>
      </c>
      <c r="H4801" s="27" t="s">
        <v>35</v>
      </c>
      <c r="I4801" s="27" t="s">
        <v>37</v>
      </c>
      <c r="J4801" s="28" t="s">
        <v>161</v>
      </c>
      <c r="K4801" s="27" t="s">
        <v>40</v>
      </c>
      <c r="L4801" s="27"/>
    </row>
    <row r="4802" customFormat="false" ht="15" hidden="false" customHeight="false" outlineLevel="0" collapsed="false">
      <c r="A4802" s="26" t="s">
        <v>14540</v>
      </c>
      <c r="B4802" s="27" t="s">
        <v>14541</v>
      </c>
      <c r="C4802" s="27" t="s">
        <v>137</v>
      </c>
      <c r="D4802" s="26"/>
      <c r="E4802" s="27"/>
      <c r="F4802" s="27"/>
      <c r="G4802" s="27" t="s">
        <v>11122</v>
      </c>
      <c r="H4802" s="27" t="s">
        <v>35</v>
      </c>
      <c r="I4802" s="27" t="s">
        <v>37</v>
      </c>
      <c r="J4802" s="28" t="s">
        <v>161</v>
      </c>
      <c r="K4802" s="27" t="s">
        <v>40</v>
      </c>
      <c r="L4802" s="27"/>
    </row>
    <row r="4803" customFormat="false" ht="15" hidden="false" customHeight="false" outlineLevel="0" collapsed="false">
      <c r="A4803" s="26" t="s">
        <v>14542</v>
      </c>
      <c r="B4803" s="27" t="s">
        <v>14543</v>
      </c>
      <c r="C4803" s="27" t="s">
        <v>137</v>
      </c>
      <c r="D4803" s="26"/>
      <c r="E4803" s="27"/>
      <c r="F4803" s="27"/>
      <c r="G4803" s="27" t="s">
        <v>11122</v>
      </c>
      <c r="H4803" s="27" t="s">
        <v>35</v>
      </c>
      <c r="I4803" s="27" t="s">
        <v>37</v>
      </c>
      <c r="J4803" s="28" t="s">
        <v>161</v>
      </c>
      <c r="K4803" s="27" t="s">
        <v>40</v>
      </c>
      <c r="L4803" s="27"/>
    </row>
    <row r="4804" customFormat="false" ht="15" hidden="false" customHeight="false" outlineLevel="0" collapsed="false">
      <c r="A4804" s="26" t="s">
        <v>14544</v>
      </c>
      <c r="B4804" s="27" t="s">
        <v>14545</v>
      </c>
      <c r="C4804" s="27" t="s">
        <v>14546</v>
      </c>
      <c r="D4804" s="26"/>
      <c r="E4804" s="27"/>
      <c r="F4804" s="27"/>
      <c r="G4804" s="27" t="s">
        <v>11122</v>
      </c>
      <c r="H4804" s="27" t="s">
        <v>35</v>
      </c>
      <c r="I4804" s="27" t="s">
        <v>39</v>
      </c>
      <c r="J4804" s="28" t="s">
        <v>161</v>
      </c>
      <c r="K4804" s="27" t="s">
        <v>40</v>
      </c>
      <c r="L4804" s="27"/>
    </row>
    <row r="4805" customFormat="false" ht="15" hidden="false" customHeight="false" outlineLevel="0" collapsed="false">
      <c r="A4805" s="26" t="s">
        <v>14547</v>
      </c>
      <c r="B4805" s="27" t="s">
        <v>14548</v>
      </c>
      <c r="C4805" s="27" t="s">
        <v>100</v>
      </c>
      <c r="D4805" s="26"/>
      <c r="E4805" s="27"/>
      <c r="F4805" s="27"/>
      <c r="G4805" s="27" t="s">
        <v>11122</v>
      </c>
      <c r="H4805" s="27" t="s">
        <v>35</v>
      </c>
      <c r="I4805" s="28" t="s">
        <v>50</v>
      </c>
      <c r="J4805" s="28" t="s">
        <v>161</v>
      </c>
      <c r="K4805" s="27" t="s">
        <v>40</v>
      </c>
      <c r="L4805" s="27"/>
    </row>
    <row r="4806" customFormat="false" ht="15" hidden="false" customHeight="false" outlineLevel="0" collapsed="false">
      <c r="A4806" s="26" t="s">
        <v>14549</v>
      </c>
      <c r="B4806" s="27" t="s">
        <v>14550</v>
      </c>
      <c r="C4806" s="27" t="s">
        <v>14546</v>
      </c>
      <c r="D4806" s="26"/>
      <c r="E4806" s="27"/>
      <c r="F4806" s="27"/>
      <c r="G4806" s="27" t="s">
        <v>11122</v>
      </c>
      <c r="H4806" s="27" t="s">
        <v>35</v>
      </c>
      <c r="I4806" s="27" t="s">
        <v>47</v>
      </c>
      <c r="J4806" s="28" t="s">
        <v>161</v>
      </c>
      <c r="K4806" s="27" t="s">
        <v>40</v>
      </c>
      <c r="L4806" s="27"/>
    </row>
    <row r="4807" customFormat="false" ht="15" hidden="false" customHeight="false" outlineLevel="0" collapsed="false">
      <c r="A4807" s="26" t="s">
        <v>14551</v>
      </c>
      <c r="B4807" s="27" t="s">
        <v>14552</v>
      </c>
      <c r="C4807" s="27" t="s">
        <v>137</v>
      </c>
      <c r="D4807" s="26"/>
      <c r="E4807" s="27"/>
      <c r="F4807" s="27"/>
      <c r="G4807" s="27" t="s">
        <v>11122</v>
      </c>
      <c r="H4807" s="27" t="s">
        <v>35</v>
      </c>
      <c r="I4807" s="27" t="s">
        <v>37</v>
      </c>
      <c r="J4807" s="28" t="s">
        <v>161</v>
      </c>
      <c r="K4807" s="27" t="s">
        <v>40</v>
      </c>
      <c r="L4807" s="27"/>
    </row>
    <row r="4808" customFormat="false" ht="15" hidden="false" customHeight="false" outlineLevel="0" collapsed="false">
      <c r="A4808" s="26" t="s">
        <v>14553</v>
      </c>
      <c r="B4808" s="27" t="s">
        <v>14554</v>
      </c>
      <c r="C4808" s="27" t="s">
        <v>137</v>
      </c>
      <c r="D4808" s="26"/>
      <c r="E4808" s="27"/>
      <c r="F4808" s="27"/>
      <c r="G4808" s="27" t="s">
        <v>11122</v>
      </c>
      <c r="H4808" s="27" t="s">
        <v>35</v>
      </c>
      <c r="I4808" s="27" t="s">
        <v>37</v>
      </c>
      <c r="J4808" s="28" t="s">
        <v>161</v>
      </c>
      <c r="K4808" s="27" t="s">
        <v>40</v>
      </c>
      <c r="L4808" s="27"/>
    </row>
    <row r="4809" customFormat="false" ht="15" hidden="false" customHeight="false" outlineLevel="0" collapsed="false">
      <c r="A4809" s="26" t="s">
        <v>14555</v>
      </c>
      <c r="B4809" s="27" t="s">
        <v>14556</v>
      </c>
      <c r="C4809" s="27" t="s">
        <v>137</v>
      </c>
      <c r="D4809" s="26"/>
      <c r="E4809" s="27"/>
      <c r="F4809" s="27"/>
      <c r="G4809" s="27" t="s">
        <v>11122</v>
      </c>
      <c r="H4809" s="27" t="s">
        <v>35</v>
      </c>
      <c r="I4809" s="27" t="s">
        <v>42</v>
      </c>
      <c r="J4809" s="28" t="s">
        <v>161</v>
      </c>
      <c r="K4809" s="27" t="s">
        <v>40</v>
      </c>
      <c r="L4809" s="27"/>
    </row>
    <row r="4810" customFormat="false" ht="15" hidden="false" customHeight="false" outlineLevel="0" collapsed="false">
      <c r="A4810" s="26" t="s">
        <v>14557</v>
      </c>
      <c r="B4810" s="27" t="s">
        <v>14558</v>
      </c>
      <c r="C4810" s="27" t="s">
        <v>144</v>
      </c>
      <c r="D4810" s="26"/>
      <c r="E4810" s="27"/>
      <c r="F4810" s="27"/>
      <c r="G4810" s="27" t="s">
        <v>11122</v>
      </c>
      <c r="H4810" s="27" t="s">
        <v>35</v>
      </c>
      <c r="I4810" s="27" t="s">
        <v>40</v>
      </c>
      <c r="J4810" s="28" t="s">
        <v>161</v>
      </c>
      <c r="K4810" s="27" t="s">
        <v>40</v>
      </c>
      <c r="L4810" s="27"/>
    </row>
    <row r="4811" customFormat="false" ht="15" hidden="false" customHeight="false" outlineLevel="0" collapsed="false">
      <c r="A4811" s="26" t="s">
        <v>14559</v>
      </c>
      <c r="B4811" s="27" t="s">
        <v>14560</v>
      </c>
      <c r="C4811" s="27" t="s">
        <v>144</v>
      </c>
      <c r="D4811" s="26"/>
      <c r="E4811" s="27"/>
      <c r="F4811" s="27"/>
      <c r="G4811" s="27" t="s">
        <v>11122</v>
      </c>
      <c r="H4811" s="27" t="s">
        <v>35</v>
      </c>
      <c r="I4811" s="27" t="s">
        <v>40</v>
      </c>
      <c r="J4811" s="28" t="s">
        <v>161</v>
      </c>
      <c r="K4811" s="27" t="s">
        <v>40</v>
      </c>
      <c r="L4811" s="27"/>
    </row>
    <row r="4812" customFormat="false" ht="15" hidden="false" customHeight="false" outlineLevel="0" collapsed="false">
      <c r="A4812" s="26" t="s">
        <v>14561</v>
      </c>
      <c r="B4812" s="27" t="s">
        <v>14562</v>
      </c>
      <c r="C4812" s="27" t="s">
        <v>144</v>
      </c>
      <c r="D4812" s="26"/>
      <c r="E4812" s="27"/>
      <c r="F4812" s="27"/>
      <c r="G4812" s="27" t="s">
        <v>11122</v>
      </c>
      <c r="H4812" s="27" t="s">
        <v>35</v>
      </c>
      <c r="I4812" s="27" t="s">
        <v>40</v>
      </c>
      <c r="J4812" s="28" t="s">
        <v>161</v>
      </c>
      <c r="K4812" s="27" t="s">
        <v>40</v>
      </c>
      <c r="L4812" s="27"/>
    </row>
    <row r="4813" customFormat="false" ht="15" hidden="false" customHeight="false" outlineLevel="0" collapsed="false">
      <c r="A4813" s="26" t="s">
        <v>14563</v>
      </c>
      <c r="B4813" s="27" t="s">
        <v>14564</v>
      </c>
      <c r="C4813" s="27" t="s">
        <v>144</v>
      </c>
      <c r="D4813" s="26"/>
      <c r="E4813" s="27"/>
      <c r="F4813" s="27"/>
      <c r="G4813" s="27" t="s">
        <v>11122</v>
      </c>
      <c r="H4813" s="27" t="s">
        <v>35</v>
      </c>
      <c r="I4813" s="27" t="s">
        <v>40</v>
      </c>
      <c r="J4813" s="28" t="s">
        <v>161</v>
      </c>
      <c r="K4813" s="27" t="s">
        <v>40</v>
      </c>
      <c r="L4813" s="27"/>
    </row>
    <row r="4814" customFormat="false" ht="15" hidden="false" customHeight="false" outlineLevel="0" collapsed="false">
      <c r="A4814" s="26" t="s">
        <v>14565</v>
      </c>
      <c r="B4814" s="27" t="s">
        <v>14566</v>
      </c>
      <c r="C4814" s="27" t="s">
        <v>144</v>
      </c>
      <c r="D4814" s="26"/>
      <c r="E4814" s="27"/>
      <c r="F4814" s="27"/>
      <c r="G4814" s="27" t="s">
        <v>11122</v>
      </c>
      <c r="H4814" s="27" t="s">
        <v>35</v>
      </c>
      <c r="I4814" s="27" t="s">
        <v>40</v>
      </c>
      <c r="J4814" s="28" t="s">
        <v>161</v>
      </c>
      <c r="K4814" s="27" t="s">
        <v>40</v>
      </c>
      <c r="L4814" s="27"/>
    </row>
    <row r="4815" customFormat="false" ht="15" hidden="false" customHeight="false" outlineLevel="0" collapsed="false">
      <c r="A4815" s="26" t="s">
        <v>14567</v>
      </c>
      <c r="B4815" s="27" t="s">
        <v>14568</v>
      </c>
      <c r="C4815" s="27" t="s">
        <v>144</v>
      </c>
      <c r="D4815" s="26"/>
      <c r="E4815" s="27"/>
      <c r="F4815" s="27"/>
      <c r="G4815" s="27" t="s">
        <v>11122</v>
      </c>
      <c r="H4815" s="27" t="s">
        <v>35</v>
      </c>
      <c r="I4815" s="27" t="s">
        <v>40</v>
      </c>
      <c r="J4815" s="28" t="s">
        <v>161</v>
      </c>
      <c r="K4815" s="27" t="s">
        <v>40</v>
      </c>
      <c r="L4815" s="27"/>
    </row>
    <row r="4816" customFormat="false" ht="15" hidden="false" customHeight="false" outlineLevel="0" collapsed="false">
      <c r="A4816" s="26" t="s">
        <v>14569</v>
      </c>
      <c r="B4816" s="27" t="s">
        <v>14570</v>
      </c>
      <c r="C4816" s="27" t="s">
        <v>144</v>
      </c>
      <c r="D4816" s="26"/>
      <c r="E4816" s="27"/>
      <c r="F4816" s="27"/>
      <c r="G4816" s="27" t="s">
        <v>11122</v>
      </c>
      <c r="H4816" s="27" t="s">
        <v>35</v>
      </c>
      <c r="I4816" s="27" t="s">
        <v>40</v>
      </c>
      <c r="J4816" s="28" t="s">
        <v>161</v>
      </c>
      <c r="K4816" s="27" t="s">
        <v>40</v>
      </c>
      <c r="L4816" s="27"/>
    </row>
    <row r="4817" customFormat="false" ht="15" hidden="false" customHeight="false" outlineLevel="0" collapsed="false">
      <c r="A4817" s="26" t="s">
        <v>14571</v>
      </c>
      <c r="B4817" s="27" t="s">
        <v>14572</v>
      </c>
      <c r="C4817" s="27" t="s">
        <v>144</v>
      </c>
      <c r="D4817" s="26"/>
      <c r="E4817" s="27"/>
      <c r="F4817" s="27"/>
      <c r="G4817" s="27" t="s">
        <v>11122</v>
      </c>
      <c r="H4817" s="27" t="s">
        <v>35</v>
      </c>
      <c r="I4817" s="27" t="s">
        <v>44</v>
      </c>
      <c r="J4817" s="28" t="s">
        <v>161</v>
      </c>
      <c r="K4817" s="27" t="s">
        <v>40</v>
      </c>
      <c r="L4817" s="27"/>
    </row>
    <row r="4818" customFormat="false" ht="15" hidden="false" customHeight="false" outlineLevel="0" collapsed="false">
      <c r="A4818" s="26" t="s">
        <v>14573</v>
      </c>
      <c r="B4818" s="27" t="s">
        <v>14574</v>
      </c>
      <c r="C4818" s="27" t="s">
        <v>144</v>
      </c>
      <c r="D4818" s="26"/>
      <c r="E4818" s="27"/>
      <c r="F4818" s="27"/>
      <c r="G4818" s="27" t="s">
        <v>11122</v>
      </c>
      <c r="H4818" s="27" t="s">
        <v>35</v>
      </c>
      <c r="I4818" s="27" t="s">
        <v>40</v>
      </c>
      <c r="J4818" s="28" t="s">
        <v>161</v>
      </c>
      <c r="K4818" s="27" t="s">
        <v>40</v>
      </c>
      <c r="L4818" s="27"/>
    </row>
    <row r="4819" customFormat="false" ht="15" hidden="false" customHeight="false" outlineLevel="0" collapsed="false">
      <c r="A4819" s="26" t="s">
        <v>14575</v>
      </c>
      <c r="B4819" s="27" t="s">
        <v>14576</v>
      </c>
      <c r="C4819" s="27" t="s">
        <v>144</v>
      </c>
      <c r="D4819" s="26"/>
      <c r="E4819" s="27"/>
      <c r="F4819" s="27"/>
      <c r="G4819" s="27" t="s">
        <v>11122</v>
      </c>
      <c r="H4819" s="27" t="s">
        <v>35</v>
      </c>
      <c r="I4819" s="27" t="s">
        <v>40</v>
      </c>
      <c r="J4819" s="28" t="s">
        <v>161</v>
      </c>
      <c r="K4819" s="27" t="s">
        <v>40</v>
      </c>
      <c r="L4819" s="27"/>
    </row>
    <row r="4820" customFormat="false" ht="15" hidden="false" customHeight="false" outlineLevel="0" collapsed="false">
      <c r="A4820" s="26" t="s">
        <v>14577</v>
      </c>
      <c r="B4820" s="27" t="s">
        <v>14578</v>
      </c>
      <c r="C4820" s="27" t="s">
        <v>144</v>
      </c>
      <c r="D4820" s="26"/>
      <c r="E4820" s="27"/>
      <c r="F4820" s="27"/>
      <c r="G4820" s="27" t="s">
        <v>11122</v>
      </c>
      <c r="H4820" s="27" t="s">
        <v>35</v>
      </c>
      <c r="I4820" s="27" t="s">
        <v>40</v>
      </c>
      <c r="J4820" s="28" t="s">
        <v>161</v>
      </c>
      <c r="K4820" s="27" t="s">
        <v>40</v>
      </c>
      <c r="L4820" s="27"/>
    </row>
    <row r="4821" customFormat="false" ht="15" hidden="false" customHeight="false" outlineLevel="0" collapsed="false">
      <c r="A4821" s="26" t="s">
        <v>14579</v>
      </c>
      <c r="B4821" s="27" t="s">
        <v>14580</v>
      </c>
      <c r="C4821" s="27" t="s">
        <v>144</v>
      </c>
      <c r="D4821" s="26"/>
      <c r="E4821" s="27"/>
      <c r="F4821" s="27"/>
      <c r="G4821" s="27" t="s">
        <v>11122</v>
      </c>
      <c r="H4821" s="27" t="s">
        <v>35</v>
      </c>
      <c r="I4821" s="27" t="s">
        <v>37</v>
      </c>
      <c r="J4821" s="28" t="s">
        <v>161</v>
      </c>
      <c r="K4821" s="27" t="s">
        <v>40</v>
      </c>
      <c r="L4821" s="27"/>
    </row>
    <row r="4822" customFormat="false" ht="15" hidden="false" customHeight="false" outlineLevel="0" collapsed="false">
      <c r="A4822" s="26" t="s">
        <v>14581</v>
      </c>
      <c r="B4822" s="27" t="s">
        <v>14582</v>
      </c>
      <c r="C4822" s="27" t="s">
        <v>144</v>
      </c>
      <c r="D4822" s="26"/>
      <c r="E4822" s="27"/>
      <c r="F4822" s="27"/>
      <c r="G4822" s="27" t="s">
        <v>11122</v>
      </c>
      <c r="H4822" s="27" t="s">
        <v>35</v>
      </c>
      <c r="I4822" s="27" t="s">
        <v>40</v>
      </c>
      <c r="J4822" s="28" t="s">
        <v>161</v>
      </c>
      <c r="K4822" s="27" t="s">
        <v>40</v>
      </c>
      <c r="L4822" s="27"/>
    </row>
    <row r="4823" customFormat="false" ht="15" hidden="false" customHeight="false" outlineLevel="0" collapsed="false">
      <c r="A4823" s="26" t="s">
        <v>14583</v>
      </c>
      <c r="B4823" s="27" t="s">
        <v>14584</v>
      </c>
      <c r="C4823" s="27" t="s">
        <v>144</v>
      </c>
      <c r="D4823" s="26"/>
      <c r="E4823" s="27"/>
      <c r="F4823" s="27"/>
      <c r="G4823" s="27" t="s">
        <v>11122</v>
      </c>
      <c r="H4823" s="27" t="s">
        <v>35</v>
      </c>
      <c r="I4823" s="27" t="s">
        <v>40</v>
      </c>
      <c r="J4823" s="28" t="s">
        <v>161</v>
      </c>
      <c r="K4823" s="27" t="s">
        <v>40</v>
      </c>
      <c r="L4823" s="27"/>
    </row>
    <row r="4824" customFormat="false" ht="15" hidden="false" customHeight="false" outlineLevel="0" collapsed="false">
      <c r="A4824" s="26" t="s">
        <v>14585</v>
      </c>
      <c r="B4824" s="27" t="s">
        <v>14586</v>
      </c>
      <c r="C4824" s="27" t="s">
        <v>144</v>
      </c>
      <c r="D4824" s="26"/>
      <c r="E4824" s="27"/>
      <c r="F4824" s="27"/>
      <c r="G4824" s="27" t="s">
        <v>11122</v>
      </c>
      <c r="H4824" s="27" t="s">
        <v>35</v>
      </c>
      <c r="I4824" s="27" t="s">
        <v>40</v>
      </c>
      <c r="J4824" s="28" t="s">
        <v>161</v>
      </c>
      <c r="K4824" s="27" t="s">
        <v>40</v>
      </c>
      <c r="L4824" s="27"/>
    </row>
    <row r="4825" customFormat="false" ht="15" hidden="false" customHeight="false" outlineLevel="0" collapsed="false">
      <c r="A4825" s="26" t="s">
        <v>14587</v>
      </c>
      <c r="B4825" s="27" t="s">
        <v>14588</v>
      </c>
      <c r="C4825" s="27" t="s">
        <v>144</v>
      </c>
      <c r="D4825" s="26"/>
      <c r="E4825" s="27"/>
      <c r="F4825" s="27"/>
      <c r="G4825" s="27" t="s">
        <v>11122</v>
      </c>
      <c r="H4825" s="27" t="s">
        <v>35</v>
      </c>
      <c r="I4825" s="27" t="s">
        <v>40</v>
      </c>
      <c r="J4825" s="28" t="s">
        <v>161</v>
      </c>
      <c r="K4825" s="27" t="s">
        <v>40</v>
      </c>
      <c r="L4825" s="27"/>
    </row>
    <row r="4826" customFormat="false" ht="15" hidden="false" customHeight="false" outlineLevel="0" collapsed="false">
      <c r="A4826" s="26" t="s">
        <v>14589</v>
      </c>
      <c r="B4826" s="27" t="s">
        <v>14590</v>
      </c>
      <c r="C4826" s="27" t="s">
        <v>144</v>
      </c>
      <c r="D4826" s="26"/>
      <c r="E4826" s="27"/>
      <c r="F4826" s="27"/>
      <c r="G4826" s="27" t="s">
        <v>11122</v>
      </c>
      <c r="H4826" s="27" t="s">
        <v>35</v>
      </c>
      <c r="I4826" s="27" t="s">
        <v>40</v>
      </c>
      <c r="J4826" s="28" t="s">
        <v>161</v>
      </c>
      <c r="K4826" s="27" t="s">
        <v>40</v>
      </c>
      <c r="L4826" s="27"/>
    </row>
    <row r="4827" customFormat="false" ht="15" hidden="false" customHeight="false" outlineLevel="0" collapsed="false">
      <c r="A4827" s="26" t="s">
        <v>14591</v>
      </c>
      <c r="B4827" s="27" t="s">
        <v>14592</v>
      </c>
      <c r="C4827" s="27" t="s">
        <v>144</v>
      </c>
      <c r="D4827" s="26"/>
      <c r="E4827" s="27"/>
      <c r="F4827" s="27"/>
      <c r="G4827" s="27" t="s">
        <v>11122</v>
      </c>
      <c r="H4827" s="27" t="s">
        <v>35</v>
      </c>
      <c r="I4827" s="27" t="s">
        <v>40</v>
      </c>
      <c r="J4827" s="28" t="s">
        <v>161</v>
      </c>
      <c r="K4827" s="27" t="s">
        <v>40</v>
      </c>
      <c r="L4827" s="27"/>
    </row>
    <row r="4828" customFormat="false" ht="15" hidden="false" customHeight="false" outlineLevel="0" collapsed="false">
      <c r="A4828" s="26" t="s">
        <v>14593</v>
      </c>
      <c r="B4828" s="28" t="s">
        <v>14594</v>
      </c>
      <c r="C4828" s="27" t="s">
        <v>144</v>
      </c>
      <c r="D4828" s="26"/>
      <c r="E4828" s="27"/>
      <c r="F4828" s="27"/>
      <c r="G4828" s="27" t="s">
        <v>11122</v>
      </c>
      <c r="H4828" s="27" t="s">
        <v>35</v>
      </c>
      <c r="I4828" s="27" t="s">
        <v>39</v>
      </c>
      <c r="J4828" s="28" t="s">
        <v>161</v>
      </c>
      <c r="K4828" s="27" t="s">
        <v>40</v>
      </c>
      <c r="L4828" s="27"/>
    </row>
    <row r="4829" customFormat="false" ht="15" hidden="false" customHeight="false" outlineLevel="0" collapsed="false">
      <c r="A4829" s="26" t="s">
        <v>14595</v>
      </c>
      <c r="B4829" s="27" t="s">
        <v>14596</v>
      </c>
      <c r="C4829" s="27" t="s">
        <v>144</v>
      </c>
      <c r="D4829" s="26"/>
      <c r="E4829" s="27"/>
      <c r="F4829" s="27"/>
      <c r="G4829" s="27" t="s">
        <v>11122</v>
      </c>
      <c r="H4829" s="27" t="s">
        <v>35</v>
      </c>
      <c r="I4829" s="27" t="s">
        <v>40</v>
      </c>
      <c r="J4829" s="28" t="s">
        <v>161</v>
      </c>
      <c r="K4829" s="27" t="s">
        <v>40</v>
      </c>
      <c r="L4829" s="27"/>
    </row>
    <row r="4830" customFormat="false" ht="15" hidden="false" customHeight="false" outlineLevel="0" collapsed="false">
      <c r="A4830" s="26" t="s">
        <v>14597</v>
      </c>
      <c r="B4830" s="27" t="s">
        <v>14598</v>
      </c>
      <c r="C4830" s="27" t="s">
        <v>144</v>
      </c>
      <c r="D4830" s="26"/>
      <c r="E4830" s="27"/>
      <c r="F4830" s="27"/>
      <c r="G4830" s="27" t="s">
        <v>11122</v>
      </c>
      <c r="H4830" s="27" t="s">
        <v>35</v>
      </c>
      <c r="I4830" s="27" t="s">
        <v>40</v>
      </c>
      <c r="J4830" s="28" t="s">
        <v>161</v>
      </c>
      <c r="K4830" s="27" t="s">
        <v>40</v>
      </c>
      <c r="L4830" s="27"/>
    </row>
    <row r="4831" customFormat="false" ht="15" hidden="false" customHeight="false" outlineLevel="0" collapsed="false">
      <c r="A4831" s="26" t="s">
        <v>14599</v>
      </c>
      <c r="B4831" s="27" t="s">
        <v>14600</v>
      </c>
      <c r="C4831" s="27" t="s">
        <v>144</v>
      </c>
      <c r="D4831" s="26"/>
      <c r="E4831" s="27"/>
      <c r="F4831" s="27"/>
      <c r="G4831" s="27" t="s">
        <v>11122</v>
      </c>
      <c r="H4831" s="27" t="s">
        <v>35</v>
      </c>
      <c r="I4831" s="27" t="s">
        <v>40</v>
      </c>
      <c r="J4831" s="28" t="s">
        <v>161</v>
      </c>
      <c r="K4831" s="27" t="s">
        <v>40</v>
      </c>
      <c r="L4831" s="27"/>
    </row>
    <row r="4832" customFormat="false" ht="15" hidden="false" customHeight="false" outlineLevel="0" collapsed="false">
      <c r="A4832" s="26" t="s">
        <v>14601</v>
      </c>
      <c r="B4832" s="27" t="s">
        <v>14602</v>
      </c>
      <c r="C4832" s="27" t="s">
        <v>144</v>
      </c>
      <c r="D4832" s="26"/>
      <c r="E4832" s="27"/>
      <c r="F4832" s="27"/>
      <c r="G4832" s="27" t="s">
        <v>11122</v>
      </c>
      <c r="H4832" s="27" t="s">
        <v>35</v>
      </c>
      <c r="I4832" s="27" t="s">
        <v>40</v>
      </c>
      <c r="J4832" s="28" t="s">
        <v>161</v>
      </c>
      <c r="K4832" s="27" t="s">
        <v>40</v>
      </c>
      <c r="L4832" s="27"/>
    </row>
    <row r="4833" customFormat="false" ht="15" hidden="false" customHeight="false" outlineLevel="0" collapsed="false">
      <c r="A4833" s="26" t="s">
        <v>14603</v>
      </c>
      <c r="B4833" s="27" t="s">
        <v>14604</v>
      </c>
      <c r="C4833" s="27" t="s">
        <v>144</v>
      </c>
      <c r="D4833" s="26"/>
      <c r="E4833" s="27"/>
      <c r="F4833" s="27"/>
      <c r="G4833" s="27" t="s">
        <v>11122</v>
      </c>
      <c r="H4833" s="27" t="s">
        <v>35</v>
      </c>
      <c r="I4833" s="27" t="s">
        <v>40</v>
      </c>
      <c r="J4833" s="28" t="s">
        <v>161</v>
      </c>
      <c r="K4833" s="27" t="s">
        <v>40</v>
      </c>
      <c r="L4833" s="27"/>
    </row>
    <row r="4834" customFormat="false" ht="15" hidden="false" customHeight="false" outlineLevel="0" collapsed="false">
      <c r="A4834" s="26" t="s">
        <v>14605</v>
      </c>
      <c r="B4834" s="27" t="s">
        <v>14606</v>
      </c>
      <c r="C4834" s="27" t="s">
        <v>144</v>
      </c>
      <c r="D4834" s="26"/>
      <c r="E4834" s="27"/>
      <c r="F4834" s="27"/>
      <c r="G4834" s="27" t="s">
        <v>11122</v>
      </c>
      <c r="H4834" s="27" t="s">
        <v>35</v>
      </c>
      <c r="I4834" s="27" t="s">
        <v>40</v>
      </c>
      <c r="J4834" s="28" t="s">
        <v>161</v>
      </c>
      <c r="K4834" s="27" t="s">
        <v>40</v>
      </c>
      <c r="L4834" s="27"/>
    </row>
    <row r="4835" customFormat="false" ht="15" hidden="false" customHeight="false" outlineLevel="0" collapsed="false">
      <c r="A4835" s="26" t="s">
        <v>14607</v>
      </c>
      <c r="B4835" s="27" t="s">
        <v>14608</v>
      </c>
      <c r="C4835" s="27" t="s">
        <v>144</v>
      </c>
      <c r="D4835" s="26"/>
      <c r="E4835" s="27"/>
      <c r="F4835" s="27"/>
      <c r="G4835" s="27" t="s">
        <v>11122</v>
      </c>
      <c r="H4835" s="27" t="s">
        <v>35</v>
      </c>
      <c r="I4835" s="27" t="s">
        <v>40</v>
      </c>
      <c r="J4835" s="28" t="s">
        <v>161</v>
      </c>
      <c r="K4835" s="27" t="s">
        <v>40</v>
      </c>
      <c r="L4835" s="27"/>
    </row>
    <row r="4836" customFormat="false" ht="15" hidden="false" customHeight="false" outlineLevel="0" collapsed="false">
      <c r="A4836" s="26" t="s">
        <v>14609</v>
      </c>
      <c r="B4836" s="27" t="s">
        <v>14610</v>
      </c>
      <c r="C4836" s="27" t="s">
        <v>144</v>
      </c>
      <c r="D4836" s="26"/>
      <c r="E4836" s="27"/>
      <c r="F4836" s="27"/>
      <c r="G4836" s="27" t="s">
        <v>11122</v>
      </c>
      <c r="H4836" s="27" t="s">
        <v>35</v>
      </c>
      <c r="I4836" s="27" t="s">
        <v>40</v>
      </c>
      <c r="J4836" s="28" t="s">
        <v>161</v>
      </c>
      <c r="K4836" s="27" t="s">
        <v>40</v>
      </c>
      <c r="L4836" s="27"/>
    </row>
    <row r="4837" customFormat="false" ht="15" hidden="false" customHeight="false" outlineLevel="0" collapsed="false">
      <c r="A4837" s="26" t="s">
        <v>14611</v>
      </c>
      <c r="B4837" s="27" t="s">
        <v>14612</v>
      </c>
      <c r="C4837" s="27" t="s">
        <v>144</v>
      </c>
      <c r="D4837" s="26"/>
      <c r="E4837" s="27"/>
      <c r="F4837" s="27"/>
      <c r="G4837" s="27" t="s">
        <v>11122</v>
      </c>
      <c r="H4837" s="27" t="s">
        <v>35</v>
      </c>
      <c r="I4837" s="27" t="s">
        <v>43</v>
      </c>
      <c r="J4837" s="28" t="s">
        <v>161</v>
      </c>
      <c r="K4837" s="27" t="s">
        <v>40</v>
      </c>
      <c r="L4837" s="27"/>
    </row>
    <row r="4838" customFormat="false" ht="15" hidden="false" customHeight="false" outlineLevel="0" collapsed="false">
      <c r="A4838" s="26" t="s">
        <v>14613</v>
      </c>
      <c r="B4838" s="27" t="s">
        <v>14614</v>
      </c>
      <c r="C4838" s="27" t="s">
        <v>144</v>
      </c>
      <c r="D4838" s="26"/>
      <c r="E4838" s="27"/>
      <c r="F4838" s="27"/>
      <c r="G4838" s="27" t="s">
        <v>11122</v>
      </c>
      <c r="H4838" s="27" t="s">
        <v>35</v>
      </c>
      <c r="I4838" s="27" t="s">
        <v>40</v>
      </c>
      <c r="J4838" s="28" t="s">
        <v>161</v>
      </c>
      <c r="K4838" s="27" t="s">
        <v>40</v>
      </c>
      <c r="L4838" s="27"/>
    </row>
    <row r="4839" customFormat="false" ht="15" hidden="false" customHeight="false" outlineLevel="0" collapsed="false">
      <c r="A4839" s="26" t="s">
        <v>14615</v>
      </c>
      <c r="B4839" s="27" t="s">
        <v>14616</v>
      </c>
      <c r="C4839" s="27" t="s">
        <v>144</v>
      </c>
      <c r="D4839" s="26"/>
      <c r="E4839" s="27"/>
      <c r="F4839" s="27"/>
      <c r="G4839" s="27" t="s">
        <v>11122</v>
      </c>
      <c r="H4839" s="27" t="s">
        <v>35</v>
      </c>
      <c r="I4839" s="27" t="s">
        <v>40</v>
      </c>
      <c r="J4839" s="28" t="s">
        <v>161</v>
      </c>
      <c r="K4839" s="27" t="s">
        <v>40</v>
      </c>
      <c r="L4839" s="27"/>
    </row>
    <row r="4840" customFormat="false" ht="15" hidden="false" customHeight="false" outlineLevel="0" collapsed="false">
      <c r="A4840" s="26" t="s">
        <v>14617</v>
      </c>
      <c r="B4840" s="27" t="s">
        <v>14618</v>
      </c>
      <c r="C4840" s="27" t="s">
        <v>144</v>
      </c>
      <c r="D4840" s="26"/>
      <c r="E4840" s="27"/>
      <c r="F4840" s="27"/>
      <c r="G4840" s="27" t="s">
        <v>11122</v>
      </c>
      <c r="H4840" s="27" t="s">
        <v>35</v>
      </c>
      <c r="I4840" s="27" t="s">
        <v>40</v>
      </c>
      <c r="J4840" s="28" t="s">
        <v>161</v>
      </c>
      <c r="K4840" s="27" t="s">
        <v>40</v>
      </c>
      <c r="L4840" s="27"/>
    </row>
    <row r="4841" customFormat="false" ht="15" hidden="false" customHeight="false" outlineLevel="0" collapsed="false">
      <c r="A4841" s="26" t="s">
        <v>14619</v>
      </c>
      <c r="B4841" s="27" t="s">
        <v>14620</v>
      </c>
      <c r="C4841" s="27" t="s">
        <v>144</v>
      </c>
      <c r="D4841" s="26"/>
      <c r="E4841" s="27"/>
      <c r="F4841" s="27"/>
      <c r="G4841" s="27" t="s">
        <v>11122</v>
      </c>
      <c r="H4841" s="27" t="s">
        <v>35</v>
      </c>
      <c r="I4841" s="27" t="s">
        <v>40</v>
      </c>
      <c r="J4841" s="28" t="s">
        <v>161</v>
      </c>
      <c r="K4841" s="27" t="s">
        <v>40</v>
      </c>
      <c r="L4841" s="27"/>
    </row>
    <row r="4842" customFormat="false" ht="15" hidden="false" customHeight="false" outlineLevel="0" collapsed="false">
      <c r="A4842" s="26" t="s">
        <v>14621</v>
      </c>
      <c r="B4842" s="27" t="s">
        <v>14622</v>
      </c>
      <c r="C4842" s="27" t="s">
        <v>1612</v>
      </c>
      <c r="D4842" s="26"/>
      <c r="E4842" s="27"/>
      <c r="F4842" s="27"/>
      <c r="G4842" s="27" t="s">
        <v>11122</v>
      </c>
      <c r="H4842" s="27" t="s">
        <v>35</v>
      </c>
      <c r="I4842" s="27" t="s">
        <v>37</v>
      </c>
      <c r="J4842" s="28" t="s">
        <v>161</v>
      </c>
      <c r="K4842" s="27" t="s">
        <v>40</v>
      </c>
      <c r="L4842" s="27"/>
    </row>
    <row r="4843" customFormat="false" ht="15" hidden="false" customHeight="false" outlineLevel="0" collapsed="false">
      <c r="A4843" s="26" t="s">
        <v>14623</v>
      </c>
      <c r="B4843" s="27" t="s">
        <v>14624</v>
      </c>
      <c r="C4843" s="27" t="s">
        <v>1612</v>
      </c>
      <c r="D4843" s="26"/>
      <c r="E4843" s="27"/>
      <c r="F4843" s="27"/>
      <c r="G4843" s="27" t="s">
        <v>11122</v>
      </c>
      <c r="H4843" s="27" t="s">
        <v>35</v>
      </c>
      <c r="I4843" s="27" t="s">
        <v>37</v>
      </c>
      <c r="J4843" s="28" t="s">
        <v>161</v>
      </c>
      <c r="K4843" s="27" t="s">
        <v>40</v>
      </c>
      <c r="L4843" s="27"/>
    </row>
    <row r="4844" customFormat="false" ht="15" hidden="false" customHeight="false" outlineLevel="0" collapsed="false">
      <c r="A4844" s="26" t="s">
        <v>14625</v>
      </c>
      <c r="B4844" s="27" t="s">
        <v>14626</v>
      </c>
      <c r="C4844" s="27" t="s">
        <v>144</v>
      </c>
      <c r="D4844" s="26"/>
      <c r="E4844" s="27"/>
      <c r="F4844" s="27"/>
      <c r="G4844" s="27" t="s">
        <v>11122</v>
      </c>
      <c r="H4844" s="27" t="s">
        <v>35</v>
      </c>
      <c r="I4844" s="27" t="s">
        <v>40</v>
      </c>
      <c r="J4844" s="28" t="s">
        <v>161</v>
      </c>
      <c r="K4844" s="27" t="s">
        <v>40</v>
      </c>
      <c r="L4844" s="27"/>
    </row>
    <row r="4845" customFormat="false" ht="15" hidden="false" customHeight="false" outlineLevel="0" collapsed="false">
      <c r="A4845" s="26" t="s">
        <v>14627</v>
      </c>
      <c r="B4845" s="27" t="s">
        <v>14628</v>
      </c>
      <c r="C4845" s="27" t="s">
        <v>144</v>
      </c>
      <c r="D4845" s="26"/>
      <c r="E4845" s="27"/>
      <c r="F4845" s="27"/>
      <c r="G4845" s="27" t="s">
        <v>11122</v>
      </c>
      <c r="H4845" s="27" t="s">
        <v>35</v>
      </c>
      <c r="I4845" s="27" t="s">
        <v>40</v>
      </c>
      <c r="J4845" s="28" t="s">
        <v>161</v>
      </c>
      <c r="K4845" s="27" t="s">
        <v>40</v>
      </c>
      <c r="L4845" s="27"/>
    </row>
    <row r="4846" customFormat="false" ht="15" hidden="false" customHeight="false" outlineLevel="0" collapsed="false">
      <c r="A4846" s="26" t="s">
        <v>14629</v>
      </c>
      <c r="B4846" s="27" t="s">
        <v>14630</v>
      </c>
      <c r="C4846" s="27" t="s">
        <v>144</v>
      </c>
      <c r="D4846" s="26"/>
      <c r="E4846" s="27"/>
      <c r="F4846" s="27"/>
      <c r="G4846" s="27" t="s">
        <v>11122</v>
      </c>
      <c r="H4846" s="27" t="s">
        <v>35</v>
      </c>
      <c r="I4846" s="27" t="s">
        <v>40</v>
      </c>
      <c r="J4846" s="28" t="s">
        <v>161</v>
      </c>
      <c r="K4846" s="27" t="s">
        <v>40</v>
      </c>
      <c r="L4846" s="27"/>
    </row>
    <row r="4847" customFormat="false" ht="15" hidden="false" customHeight="false" outlineLevel="0" collapsed="false">
      <c r="A4847" s="26" t="s">
        <v>14631</v>
      </c>
      <c r="B4847" s="27" t="s">
        <v>14632</v>
      </c>
      <c r="C4847" s="27" t="s">
        <v>144</v>
      </c>
      <c r="D4847" s="26"/>
      <c r="E4847" s="27"/>
      <c r="F4847" s="27"/>
      <c r="G4847" s="27" t="s">
        <v>11122</v>
      </c>
      <c r="H4847" s="27" t="s">
        <v>35</v>
      </c>
      <c r="I4847" s="27" t="s">
        <v>40</v>
      </c>
      <c r="J4847" s="28" t="s">
        <v>161</v>
      </c>
      <c r="K4847" s="27" t="s">
        <v>40</v>
      </c>
      <c r="L4847" s="27"/>
    </row>
    <row r="4848" customFormat="false" ht="15" hidden="false" customHeight="false" outlineLevel="0" collapsed="false">
      <c r="A4848" s="26" t="s">
        <v>14633</v>
      </c>
      <c r="B4848" s="27" t="s">
        <v>14634</v>
      </c>
      <c r="C4848" s="27" t="s">
        <v>144</v>
      </c>
      <c r="D4848" s="26"/>
      <c r="E4848" s="27"/>
      <c r="F4848" s="27"/>
      <c r="G4848" s="27" t="s">
        <v>11122</v>
      </c>
      <c r="H4848" s="27" t="s">
        <v>35</v>
      </c>
      <c r="I4848" s="27" t="s">
        <v>40</v>
      </c>
      <c r="J4848" s="28" t="s">
        <v>161</v>
      </c>
      <c r="K4848" s="27" t="s">
        <v>40</v>
      </c>
      <c r="L4848" s="27"/>
    </row>
    <row r="4849" customFormat="false" ht="15" hidden="false" customHeight="false" outlineLevel="0" collapsed="false">
      <c r="A4849" s="26" t="s">
        <v>14635</v>
      </c>
      <c r="B4849" s="27" t="s">
        <v>14636</v>
      </c>
      <c r="C4849" s="27" t="s">
        <v>144</v>
      </c>
      <c r="D4849" s="26"/>
      <c r="E4849" s="27"/>
      <c r="F4849" s="27"/>
      <c r="G4849" s="27" t="s">
        <v>11122</v>
      </c>
      <c r="H4849" s="27" t="s">
        <v>35</v>
      </c>
      <c r="I4849" s="27" t="s">
        <v>40</v>
      </c>
      <c r="J4849" s="28" t="s">
        <v>161</v>
      </c>
      <c r="K4849" s="27" t="s">
        <v>40</v>
      </c>
      <c r="L4849" s="27"/>
    </row>
    <row r="4850" customFormat="false" ht="15" hidden="false" customHeight="false" outlineLevel="0" collapsed="false">
      <c r="A4850" s="26" t="s">
        <v>14637</v>
      </c>
      <c r="B4850" s="27" t="s">
        <v>14638</v>
      </c>
      <c r="C4850" s="27" t="s">
        <v>144</v>
      </c>
      <c r="D4850" s="26"/>
      <c r="E4850" s="27"/>
      <c r="F4850" s="27"/>
      <c r="G4850" s="27" t="s">
        <v>11122</v>
      </c>
      <c r="H4850" s="27" t="s">
        <v>35</v>
      </c>
      <c r="I4850" s="27" t="s">
        <v>40</v>
      </c>
      <c r="J4850" s="28" t="s">
        <v>161</v>
      </c>
      <c r="K4850" s="27" t="s">
        <v>40</v>
      </c>
      <c r="L4850" s="27"/>
    </row>
    <row r="4851" customFormat="false" ht="15" hidden="false" customHeight="false" outlineLevel="0" collapsed="false">
      <c r="A4851" s="26" t="s">
        <v>14639</v>
      </c>
      <c r="B4851" s="27" t="s">
        <v>14640</v>
      </c>
      <c r="C4851" s="27" t="s">
        <v>144</v>
      </c>
      <c r="D4851" s="26"/>
      <c r="E4851" s="27"/>
      <c r="F4851" s="27"/>
      <c r="G4851" s="27" t="s">
        <v>11122</v>
      </c>
      <c r="H4851" s="27" t="s">
        <v>35</v>
      </c>
      <c r="I4851" s="27" t="s">
        <v>40</v>
      </c>
      <c r="J4851" s="28" t="s">
        <v>161</v>
      </c>
      <c r="K4851" s="27" t="s">
        <v>40</v>
      </c>
      <c r="L4851" s="27"/>
    </row>
    <row r="4852" customFormat="false" ht="15" hidden="false" customHeight="false" outlineLevel="0" collapsed="false">
      <c r="A4852" s="26" t="s">
        <v>14641</v>
      </c>
      <c r="B4852" s="27" t="s">
        <v>14642</v>
      </c>
      <c r="C4852" s="27" t="s">
        <v>144</v>
      </c>
      <c r="D4852" s="26"/>
      <c r="E4852" s="27"/>
      <c r="F4852" s="27"/>
      <c r="G4852" s="27" t="s">
        <v>11122</v>
      </c>
      <c r="H4852" s="27" t="s">
        <v>35</v>
      </c>
      <c r="I4852" s="27" t="s">
        <v>40</v>
      </c>
      <c r="J4852" s="28" t="s">
        <v>161</v>
      </c>
      <c r="K4852" s="27" t="s">
        <v>40</v>
      </c>
      <c r="L4852" s="27"/>
    </row>
    <row r="4853" customFormat="false" ht="15" hidden="false" customHeight="false" outlineLevel="0" collapsed="false">
      <c r="A4853" s="26" t="s">
        <v>14643</v>
      </c>
      <c r="B4853" s="27" t="s">
        <v>14644</v>
      </c>
      <c r="C4853" s="27" t="s">
        <v>144</v>
      </c>
      <c r="D4853" s="26"/>
      <c r="E4853" s="27"/>
      <c r="F4853" s="27"/>
      <c r="G4853" s="27" t="s">
        <v>11122</v>
      </c>
      <c r="H4853" s="27" t="s">
        <v>35</v>
      </c>
      <c r="I4853" s="27" t="s">
        <v>40</v>
      </c>
      <c r="J4853" s="28" t="s">
        <v>161</v>
      </c>
      <c r="K4853" s="27" t="s">
        <v>40</v>
      </c>
      <c r="L4853" s="27"/>
    </row>
    <row r="4854" customFormat="false" ht="15" hidden="false" customHeight="false" outlineLevel="0" collapsed="false">
      <c r="A4854" s="26" t="s">
        <v>14645</v>
      </c>
      <c r="B4854" s="27" t="s">
        <v>14646</v>
      </c>
      <c r="C4854" s="27" t="s">
        <v>144</v>
      </c>
      <c r="D4854" s="26"/>
      <c r="E4854" s="27"/>
      <c r="F4854" s="27"/>
      <c r="G4854" s="27" t="s">
        <v>11122</v>
      </c>
      <c r="H4854" s="27" t="s">
        <v>35</v>
      </c>
      <c r="I4854" s="27" t="s">
        <v>40</v>
      </c>
      <c r="J4854" s="28" t="s">
        <v>161</v>
      </c>
      <c r="K4854" s="27" t="s">
        <v>40</v>
      </c>
      <c r="L4854" s="27"/>
    </row>
    <row r="4855" customFormat="false" ht="15" hidden="false" customHeight="false" outlineLevel="0" collapsed="false">
      <c r="A4855" s="26" t="s">
        <v>14647</v>
      </c>
      <c r="B4855" s="27" t="s">
        <v>14648</v>
      </c>
      <c r="C4855" s="27" t="s">
        <v>144</v>
      </c>
      <c r="D4855" s="26"/>
      <c r="E4855" s="27"/>
      <c r="F4855" s="27"/>
      <c r="G4855" s="27" t="s">
        <v>11122</v>
      </c>
      <c r="H4855" s="27" t="s">
        <v>35</v>
      </c>
      <c r="I4855" s="27" t="s">
        <v>40</v>
      </c>
      <c r="J4855" s="28" t="s">
        <v>161</v>
      </c>
      <c r="K4855" s="27" t="s">
        <v>40</v>
      </c>
      <c r="L4855" s="27"/>
    </row>
    <row r="4856" customFormat="false" ht="15" hidden="false" customHeight="false" outlineLevel="0" collapsed="false">
      <c r="A4856" s="26" t="s">
        <v>14649</v>
      </c>
      <c r="B4856" s="27" t="s">
        <v>14650</v>
      </c>
      <c r="C4856" s="27" t="s">
        <v>144</v>
      </c>
      <c r="D4856" s="26"/>
      <c r="E4856" s="27"/>
      <c r="F4856" s="27"/>
      <c r="G4856" s="27" t="s">
        <v>11122</v>
      </c>
      <c r="H4856" s="27" t="s">
        <v>35</v>
      </c>
      <c r="I4856" s="27" t="s">
        <v>40</v>
      </c>
      <c r="J4856" s="28" t="s">
        <v>161</v>
      </c>
      <c r="K4856" s="27" t="s">
        <v>40</v>
      </c>
      <c r="L4856" s="27"/>
    </row>
    <row r="4857" customFormat="false" ht="15" hidden="false" customHeight="false" outlineLevel="0" collapsed="false">
      <c r="A4857" s="26" t="s">
        <v>14651</v>
      </c>
      <c r="B4857" s="27" t="s">
        <v>14652</v>
      </c>
      <c r="C4857" s="27" t="s">
        <v>144</v>
      </c>
      <c r="D4857" s="26"/>
      <c r="E4857" s="27"/>
      <c r="F4857" s="27"/>
      <c r="G4857" s="27" t="s">
        <v>11122</v>
      </c>
      <c r="H4857" s="27" t="s">
        <v>35</v>
      </c>
      <c r="I4857" s="27" t="s">
        <v>42</v>
      </c>
      <c r="J4857" s="28" t="s">
        <v>161</v>
      </c>
      <c r="K4857" s="27" t="s">
        <v>40</v>
      </c>
      <c r="L4857" s="27"/>
    </row>
    <row r="4858" customFormat="false" ht="15" hidden="false" customHeight="false" outlineLevel="0" collapsed="false">
      <c r="A4858" s="26" t="s">
        <v>14653</v>
      </c>
      <c r="B4858" s="27" t="s">
        <v>14654</v>
      </c>
      <c r="C4858" s="27" t="s">
        <v>144</v>
      </c>
      <c r="D4858" s="26"/>
      <c r="E4858" s="27"/>
      <c r="F4858" s="27"/>
      <c r="G4858" s="27" t="s">
        <v>11122</v>
      </c>
      <c r="H4858" s="27" t="s">
        <v>35</v>
      </c>
      <c r="I4858" s="27" t="s">
        <v>40</v>
      </c>
      <c r="J4858" s="28" t="s">
        <v>161</v>
      </c>
      <c r="K4858" s="27" t="s">
        <v>40</v>
      </c>
      <c r="L4858" s="27"/>
    </row>
    <row r="4859" customFormat="false" ht="15" hidden="false" customHeight="false" outlineLevel="0" collapsed="false">
      <c r="A4859" s="26" t="s">
        <v>14655</v>
      </c>
      <c r="B4859" s="27" t="s">
        <v>14656</v>
      </c>
      <c r="C4859" s="27" t="s">
        <v>144</v>
      </c>
      <c r="D4859" s="26"/>
      <c r="E4859" s="27"/>
      <c r="F4859" s="27"/>
      <c r="G4859" s="27" t="s">
        <v>11122</v>
      </c>
      <c r="H4859" s="27" t="s">
        <v>35</v>
      </c>
      <c r="I4859" s="27" t="s">
        <v>40</v>
      </c>
      <c r="J4859" s="28" t="s">
        <v>161</v>
      </c>
      <c r="K4859" s="27" t="s">
        <v>40</v>
      </c>
      <c r="L4859" s="27"/>
    </row>
    <row r="4860" customFormat="false" ht="15" hidden="false" customHeight="false" outlineLevel="0" collapsed="false">
      <c r="A4860" s="26" t="s">
        <v>14657</v>
      </c>
      <c r="B4860" s="27" t="s">
        <v>14658</v>
      </c>
      <c r="C4860" s="27" t="s">
        <v>144</v>
      </c>
      <c r="D4860" s="26"/>
      <c r="E4860" s="27"/>
      <c r="F4860" s="27"/>
      <c r="G4860" s="27" t="s">
        <v>11122</v>
      </c>
      <c r="H4860" s="27" t="s">
        <v>35</v>
      </c>
      <c r="I4860" s="27" t="s">
        <v>40</v>
      </c>
      <c r="J4860" s="28" t="s">
        <v>161</v>
      </c>
      <c r="K4860" s="27" t="s">
        <v>40</v>
      </c>
      <c r="L4860" s="27"/>
    </row>
    <row r="4861" customFormat="false" ht="15" hidden="false" customHeight="false" outlineLevel="0" collapsed="false">
      <c r="A4861" s="26" t="s">
        <v>14659</v>
      </c>
      <c r="B4861" s="27" t="s">
        <v>14660</v>
      </c>
      <c r="C4861" s="27" t="s">
        <v>137</v>
      </c>
      <c r="D4861" s="26"/>
      <c r="E4861" s="27"/>
      <c r="F4861" s="27"/>
      <c r="G4861" s="27" t="s">
        <v>11122</v>
      </c>
      <c r="H4861" s="27" t="s">
        <v>35</v>
      </c>
      <c r="I4861" s="27" t="s">
        <v>40</v>
      </c>
      <c r="J4861" s="28" t="s">
        <v>161</v>
      </c>
      <c r="K4861" s="27" t="s">
        <v>40</v>
      </c>
      <c r="L4861" s="27"/>
    </row>
    <row r="4862" customFormat="false" ht="15" hidden="false" customHeight="false" outlineLevel="0" collapsed="false">
      <c r="A4862" s="26" t="s">
        <v>14661</v>
      </c>
      <c r="B4862" s="27" t="s">
        <v>14662</v>
      </c>
      <c r="C4862" s="27" t="s">
        <v>144</v>
      </c>
      <c r="D4862" s="26"/>
      <c r="E4862" s="27"/>
      <c r="F4862" s="27"/>
      <c r="G4862" s="27" t="s">
        <v>11122</v>
      </c>
      <c r="H4862" s="27" t="s">
        <v>35</v>
      </c>
      <c r="I4862" s="27" t="s">
        <v>40</v>
      </c>
      <c r="J4862" s="28" t="s">
        <v>161</v>
      </c>
      <c r="K4862" s="27" t="s">
        <v>40</v>
      </c>
      <c r="L4862" s="27"/>
    </row>
    <row r="4863" customFormat="false" ht="15" hidden="false" customHeight="false" outlineLevel="0" collapsed="false">
      <c r="A4863" s="26" t="s">
        <v>14663</v>
      </c>
      <c r="B4863" s="27" t="s">
        <v>14664</v>
      </c>
      <c r="C4863" s="27" t="s">
        <v>137</v>
      </c>
      <c r="D4863" s="26"/>
      <c r="E4863" s="27"/>
      <c r="F4863" s="27"/>
      <c r="G4863" s="27" t="s">
        <v>11122</v>
      </c>
      <c r="H4863" s="27" t="s">
        <v>35</v>
      </c>
      <c r="I4863" s="27" t="s">
        <v>40</v>
      </c>
      <c r="J4863" s="28" t="s">
        <v>161</v>
      </c>
      <c r="K4863" s="27" t="s">
        <v>40</v>
      </c>
      <c r="L4863" s="27"/>
    </row>
    <row r="4864" customFormat="false" ht="15" hidden="false" customHeight="false" outlineLevel="0" collapsed="false">
      <c r="A4864" s="26" t="s">
        <v>14665</v>
      </c>
      <c r="B4864" s="28" t="s">
        <v>14666</v>
      </c>
      <c r="C4864" s="27" t="s">
        <v>144</v>
      </c>
      <c r="D4864" s="26"/>
      <c r="E4864" s="27"/>
      <c r="F4864" s="27"/>
      <c r="G4864" s="27" t="s">
        <v>11122</v>
      </c>
      <c r="H4864" s="27" t="s">
        <v>35</v>
      </c>
      <c r="I4864" s="27" t="s">
        <v>40</v>
      </c>
      <c r="J4864" s="28" t="s">
        <v>161</v>
      </c>
      <c r="K4864" s="27" t="s">
        <v>40</v>
      </c>
      <c r="L4864" s="27"/>
    </row>
    <row r="4865" customFormat="false" ht="15" hidden="false" customHeight="false" outlineLevel="0" collapsed="false">
      <c r="A4865" s="26" t="s">
        <v>14667</v>
      </c>
      <c r="B4865" s="27" t="s">
        <v>14668</v>
      </c>
      <c r="C4865" s="27" t="s">
        <v>137</v>
      </c>
      <c r="D4865" s="26"/>
      <c r="E4865" s="27"/>
      <c r="F4865" s="27"/>
      <c r="G4865" s="27" t="s">
        <v>11122</v>
      </c>
      <c r="H4865" s="27" t="s">
        <v>35</v>
      </c>
      <c r="I4865" s="27" t="s">
        <v>40</v>
      </c>
      <c r="J4865" s="28" t="s">
        <v>161</v>
      </c>
      <c r="K4865" s="27" t="s">
        <v>40</v>
      </c>
      <c r="L4865" s="27"/>
    </row>
    <row r="4866" customFormat="false" ht="15" hidden="false" customHeight="false" outlineLevel="0" collapsed="false">
      <c r="A4866" s="26" t="s">
        <v>14669</v>
      </c>
      <c r="B4866" s="27" t="s">
        <v>14670</v>
      </c>
      <c r="C4866" s="27" t="s">
        <v>144</v>
      </c>
      <c r="D4866" s="26"/>
      <c r="E4866" s="27"/>
      <c r="F4866" s="27"/>
      <c r="G4866" s="27" t="s">
        <v>11122</v>
      </c>
      <c r="H4866" s="27" t="s">
        <v>35</v>
      </c>
      <c r="I4866" s="27" t="s">
        <v>40</v>
      </c>
      <c r="J4866" s="28" t="s">
        <v>161</v>
      </c>
      <c r="K4866" s="27" t="s">
        <v>40</v>
      </c>
      <c r="L4866" s="27"/>
    </row>
    <row r="4867" customFormat="false" ht="15" hidden="false" customHeight="false" outlineLevel="0" collapsed="false">
      <c r="A4867" s="26" t="s">
        <v>14671</v>
      </c>
      <c r="B4867" s="27" t="s">
        <v>14672</v>
      </c>
      <c r="C4867" s="27" t="s">
        <v>144</v>
      </c>
      <c r="D4867" s="26"/>
      <c r="E4867" s="27"/>
      <c r="F4867" s="27"/>
      <c r="G4867" s="27" t="s">
        <v>11122</v>
      </c>
      <c r="H4867" s="27" t="s">
        <v>35</v>
      </c>
      <c r="I4867" s="27" t="s">
        <v>40</v>
      </c>
      <c r="J4867" s="28" t="s">
        <v>161</v>
      </c>
      <c r="K4867" s="27" t="s">
        <v>40</v>
      </c>
      <c r="L4867" s="27"/>
    </row>
    <row r="4868" customFormat="false" ht="15" hidden="false" customHeight="false" outlineLevel="0" collapsed="false">
      <c r="A4868" s="26" t="s">
        <v>14673</v>
      </c>
      <c r="B4868" s="27" t="s">
        <v>14674</v>
      </c>
      <c r="C4868" s="27" t="s">
        <v>370</v>
      </c>
      <c r="D4868" s="26"/>
      <c r="E4868" s="27"/>
      <c r="F4868" s="27"/>
      <c r="G4868" s="27" t="s">
        <v>11122</v>
      </c>
      <c r="H4868" s="27" t="s">
        <v>35</v>
      </c>
      <c r="I4868" s="27" t="s">
        <v>42</v>
      </c>
      <c r="J4868" s="28" t="s">
        <v>161</v>
      </c>
      <c r="K4868" s="27" t="s">
        <v>40</v>
      </c>
      <c r="L4868" s="27"/>
    </row>
    <row r="4869" customFormat="false" ht="15" hidden="false" customHeight="false" outlineLevel="0" collapsed="false">
      <c r="A4869" s="26" t="s">
        <v>14675</v>
      </c>
      <c r="B4869" s="27" t="s">
        <v>14676</v>
      </c>
      <c r="C4869" s="27" t="s">
        <v>370</v>
      </c>
      <c r="D4869" s="26"/>
      <c r="E4869" s="27"/>
      <c r="F4869" s="27"/>
      <c r="G4869" s="27" t="s">
        <v>11122</v>
      </c>
      <c r="H4869" s="27" t="s">
        <v>35</v>
      </c>
      <c r="I4869" s="27" t="s">
        <v>42</v>
      </c>
      <c r="J4869" s="28" t="s">
        <v>161</v>
      </c>
      <c r="K4869" s="27" t="s">
        <v>40</v>
      </c>
      <c r="L4869" s="27"/>
    </row>
    <row r="4870" customFormat="false" ht="15" hidden="false" customHeight="false" outlineLevel="0" collapsed="false">
      <c r="A4870" s="26" t="s">
        <v>14677</v>
      </c>
      <c r="B4870" s="27" t="s">
        <v>14678</v>
      </c>
      <c r="C4870" s="27" t="s">
        <v>144</v>
      </c>
      <c r="D4870" s="26"/>
      <c r="E4870" s="27"/>
      <c r="F4870" s="27"/>
      <c r="G4870" s="27" t="s">
        <v>11122</v>
      </c>
      <c r="H4870" s="27" t="s">
        <v>35</v>
      </c>
      <c r="I4870" s="27" t="s">
        <v>41</v>
      </c>
      <c r="J4870" s="28" t="s">
        <v>161</v>
      </c>
      <c r="K4870" s="27" t="s">
        <v>40</v>
      </c>
      <c r="L4870" s="27"/>
    </row>
    <row r="4871" customFormat="false" ht="15" hidden="false" customHeight="false" outlineLevel="0" collapsed="false">
      <c r="A4871" s="26" t="s">
        <v>14679</v>
      </c>
      <c r="B4871" s="27" t="s">
        <v>14680</v>
      </c>
      <c r="C4871" s="27" t="s">
        <v>144</v>
      </c>
      <c r="D4871" s="26"/>
      <c r="E4871" s="27"/>
      <c r="F4871" s="27"/>
      <c r="G4871" s="27" t="s">
        <v>11122</v>
      </c>
      <c r="H4871" s="27" t="s">
        <v>35</v>
      </c>
      <c r="I4871" s="27" t="s">
        <v>37</v>
      </c>
      <c r="J4871" s="28" t="s">
        <v>161</v>
      </c>
      <c r="K4871" s="27" t="s">
        <v>40</v>
      </c>
      <c r="L4871" s="27"/>
    </row>
    <row r="4872" customFormat="false" ht="15" hidden="false" customHeight="false" outlineLevel="0" collapsed="false">
      <c r="A4872" s="26" t="s">
        <v>14681</v>
      </c>
      <c r="B4872" s="27" t="s">
        <v>14682</v>
      </c>
      <c r="C4872" s="27" t="s">
        <v>370</v>
      </c>
      <c r="D4872" s="26"/>
      <c r="E4872" s="27"/>
      <c r="F4872" s="27"/>
      <c r="G4872" s="27" t="s">
        <v>11122</v>
      </c>
      <c r="H4872" s="27" t="s">
        <v>35</v>
      </c>
      <c r="I4872" s="27" t="s">
        <v>39</v>
      </c>
      <c r="J4872" s="28" t="s">
        <v>161</v>
      </c>
      <c r="K4872" s="27" t="s">
        <v>40</v>
      </c>
      <c r="L4872" s="27"/>
    </row>
    <row r="4873" customFormat="false" ht="15" hidden="false" customHeight="false" outlineLevel="0" collapsed="false">
      <c r="A4873" s="26" t="s">
        <v>14683</v>
      </c>
      <c r="B4873" s="27" t="s">
        <v>14684</v>
      </c>
      <c r="C4873" s="27" t="s">
        <v>144</v>
      </c>
      <c r="D4873" s="26"/>
      <c r="E4873" s="27"/>
      <c r="F4873" s="27"/>
      <c r="G4873" s="27" t="s">
        <v>11122</v>
      </c>
      <c r="H4873" s="27" t="s">
        <v>35</v>
      </c>
      <c r="I4873" s="27" t="s">
        <v>40</v>
      </c>
      <c r="J4873" s="28" t="s">
        <v>161</v>
      </c>
      <c r="K4873" s="27" t="s">
        <v>40</v>
      </c>
      <c r="L4873" s="27"/>
    </row>
    <row r="4874" customFormat="false" ht="15" hidden="false" customHeight="false" outlineLevel="0" collapsed="false">
      <c r="A4874" s="26" t="s">
        <v>14685</v>
      </c>
      <c r="B4874" s="27" t="s">
        <v>14686</v>
      </c>
      <c r="C4874" s="27" t="s">
        <v>144</v>
      </c>
      <c r="D4874" s="26"/>
      <c r="E4874" s="27"/>
      <c r="F4874" s="27"/>
      <c r="G4874" s="27" t="s">
        <v>11122</v>
      </c>
      <c r="H4874" s="27" t="s">
        <v>35</v>
      </c>
      <c r="I4874" s="27" t="s">
        <v>41</v>
      </c>
      <c r="J4874" s="28" t="s">
        <v>161</v>
      </c>
      <c r="K4874" s="27" t="s">
        <v>40</v>
      </c>
      <c r="L4874" s="27"/>
    </row>
    <row r="4875" customFormat="false" ht="15" hidden="false" customHeight="false" outlineLevel="0" collapsed="false">
      <c r="A4875" s="26" t="s">
        <v>14687</v>
      </c>
      <c r="B4875" s="27" t="s">
        <v>14688</v>
      </c>
      <c r="C4875" s="27" t="s">
        <v>144</v>
      </c>
      <c r="D4875" s="26"/>
      <c r="E4875" s="27"/>
      <c r="F4875" s="27"/>
      <c r="G4875" s="27" t="s">
        <v>11122</v>
      </c>
      <c r="H4875" s="27" t="s">
        <v>35</v>
      </c>
      <c r="I4875" s="27" t="s">
        <v>38</v>
      </c>
      <c r="J4875" s="28" t="s">
        <v>161</v>
      </c>
      <c r="K4875" s="27" t="s">
        <v>40</v>
      </c>
      <c r="L4875" s="27"/>
    </row>
    <row r="4876" customFormat="false" ht="15" hidden="false" customHeight="false" outlineLevel="0" collapsed="false">
      <c r="A4876" s="26" t="s">
        <v>14689</v>
      </c>
      <c r="B4876" s="27" t="s">
        <v>14690</v>
      </c>
      <c r="C4876" s="27" t="s">
        <v>370</v>
      </c>
      <c r="D4876" s="26"/>
      <c r="E4876" s="27"/>
      <c r="F4876" s="27"/>
      <c r="G4876" s="27" t="s">
        <v>11122</v>
      </c>
      <c r="H4876" s="27" t="s">
        <v>35</v>
      </c>
      <c r="I4876" s="27" t="s">
        <v>41</v>
      </c>
      <c r="J4876" s="28" t="s">
        <v>161</v>
      </c>
      <c r="K4876" s="27" t="s">
        <v>40</v>
      </c>
      <c r="L4876" s="27"/>
    </row>
    <row r="4877" customFormat="false" ht="15" hidden="false" customHeight="false" outlineLevel="0" collapsed="false">
      <c r="A4877" s="26" t="s">
        <v>14691</v>
      </c>
      <c r="B4877" s="27" t="s">
        <v>14692</v>
      </c>
      <c r="C4877" s="27" t="s">
        <v>144</v>
      </c>
      <c r="D4877" s="26"/>
      <c r="E4877" s="27"/>
      <c r="F4877" s="27"/>
      <c r="G4877" s="27" t="s">
        <v>11122</v>
      </c>
      <c r="H4877" s="27" t="s">
        <v>35</v>
      </c>
      <c r="I4877" s="27" t="s">
        <v>41</v>
      </c>
      <c r="J4877" s="28" t="s">
        <v>161</v>
      </c>
      <c r="K4877" s="27" t="s">
        <v>40</v>
      </c>
      <c r="L4877" s="27"/>
    </row>
    <row r="4878" customFormat="false" ht="15" hidden="false" customHeight="false" outlineLevel="0" collapsed="false">
      <c r="A4878" s="26" t="s">
        <v>14693</v>
      </c>
      <c r="B4878" s="27" t="s">
        <v>14694</v>
      </c>
      <c r="C4878" s="27" t="s">
        <v>144</v>
      </c>
      <c r="D4878" s="26"/>
      <c r="E4878" s="27"/>
      <c r="F4878" s="27"/>
      <c r="G4878" s="27" t="s">
        <v>11122</v>
      </c>
      <c r="H4878" s="27" t="s">
        <v>35</v>
      </c>
      <c r="I4878" s="27" t="s">
        <v>41</v>
      </c>
      <c r="J4878" s="28" t="s">
        <v>161</v>
      </c>
      <c r="K4878" s="27" t="s">
        <v>40</v>
      </c>
      <c r="L4878" s="27"/>
    </row>
    <row r="4879" customFormat="false" ht="15" hidden="false" customHeight="false" outlineLevel="0" collapsed="false">
      <c r="A4879" s="26" t="s">
        <v>14695</v>
      </c>
      <c r="B4879" s="27" t="s">
        <v>14696</v>
      </c>
      <c r="C4879" s="27" t="s">
        <v>144</v>
      </c>
      <c r="D4879" s="26"/>
      <c r="E4879" s="27"/>
      <c r="F4879" s="27"/>
      <c r="G4879" s="27" t="s">
        <v>11122</v>
      </c>
      <c r="H4879" s="27" t="s">
        <v>35</v>
      </c>
      <c r="I4879" s="27" t="s">
        <v>37</v>
      </c>
      <c r="J4879" s="28" t="s">
        <v>161</v>
      </c>
      <c r="K4879" s="27" t="s">
        <v>40</v>
      </c>
      <c r="L4879" s="27"/>
    </row>
    <row r="4880" customFormat="false" ht="15" hidden="false" customHeight="false" outlineLevel="0" collapsed="false">
      <c r="A4880" s="26" t="s">
        <v>14697</v>
      </c>
      <c r="B4880" s="27" t="s">
        <v>14698</v>
      </c>
      <c r="C4880" s="27" t="s">
        <v>144</v>
      </c>
      <c r="D4880" s="26"/>
      <c r="E4880" s="27"/>
      <c r="F4880" s="27"/>
      <c r="G4880" s="27" t="s">
        <v>11122</v>
      </c>
      <c r="H4880" s="27" t="s">
        <v>35</v>
      </c>
      <c r="I4880" s="27" t="s">
        <v>37</v>
      </c>
      <c r="J4880" s="28" t="s">
        <v>161</v>
      </c>
      <c r="K4880" s="27" t="s">
        <v>40</v>
      </c>
      <c r="L4880" s="27"/>
    </row>
    <row r="4881" customFormat="false" ht="15" hidden="false" customHeight="false" outlineLevel="0" collapsed="false">
      <c r="A4881" s="26" t="s">
        <v>14699</v>
      </c>
      <c r="B4881" s="27" t="s">
        <v>14700</v>
      </c>
      <c r="C4881" s="27" t="s">
        <v>144</v>
      </c>
      <c r="D4881" s="26"/>
      <c r="E4881" s="27"/>
      <c r="F4881" s="27"/>
      <c r="G4881" s="27" t="s">
        <v>11122</v>
      </c>
      <c r="H4881" s="27" t="s">
        <v>35</v>
      </c>
      <c r="I4881" s="27" t="s">
        <v>41</v>
      </c>
      <c r="J4881" s="28" t="s">
        <v>161</v>
      </c>
      <c r="K4881" s="27" t="s">
        <v>40</v>
      </c>
      <c r="L4881" s="27"/>
    </row>
    <row r="4882" customFormat="false" ht="15" hidden="false" customHeight="false" outlineLevel="0" collapsed="false">
      <c r="A4882" s="26" t="s">
        <v>14701</v>
      </c>
      <c r="B4882" s="27" t="s">
        <v>14702</v>
      </c>
      <c r="C4882" s="27" t="s">
        <v>370</v>
      </c>
      <c r="D4882" s="26"/>
      <c r="E4882" s="27"/>
      <c r="F4882" s="27"/>
      <c r="G4882" s="27" t="s">
        <v>11122</v>
      </c>
      <c r="H4882" s="27" t="s">
        <v>35</v>
      </c>
      <c r="I4882" s="27" t="s">
        <v>38</v>
      </c>
      <c r="J4882" s="28" t="s">
        <v>161</v>
      </c>
      <c r="K4882" s="27" t="s">
        <v>40</v>
      </c>
      <c r="L4882" s="27"/>
    </row>
    <row r="4883" customFormat="false" ht="15" hidden="false" customHeight="false" outlineLevel="0" collapsed="false">
      <c r="A4883" s="26" t="s">
        <v>14703</v>
      </c>
      <c r="B4883" s="27" t="s">
        <v>14704</v>
      </c>
      <c r="C4883" s="27" t="s">
        <v>144</v>
      </c>
      <c r="D4883" s="26"/>
      <c r="E4883" s="27"/>
      <c r="F4883" s="27"/>
      <c r="G4883" s="27" t="s">
        <v>11122</v>
      </c>
      <c r="H4883" s="27" t="s">
        <v>35</v>
      </c>
      <c r="I4883" s="27" t="s">
        <v>41</v>
      </c>
      <c r="J4883" s="28" t="s">
        <v>161</v>
      </c>
      <c r="K4883" s="27" t="s">
        <v>40</v>
      </c>
      <c r="L4883" s="27"/>
    </row>
    <row r="4884" customFormat="false" ht="15" hidden="false" customHeight="false" outlineLevel="0" collapsed="false">
      <c r="A4884" s="26" t="s">
        <v>14705</v>
      </c>
      <c r="B4884" s="27" t="s">
        <v>14706</v>
      </c>
      <c r="C4884" s="27" t="s">
        <v>144</v>
      </c>
      <c r="D4884" s="26"/>
      <c r="E4884" s="27"/>
      <c r="F4884" s="27"/>
      <c r="G4884" s="27" t="s">
        <v>11122</v>
      </c>
      <c r="H4884" s="27" t="s">
        <v>35</v>
      </c>
      <c r="I4884" s="27" t="s">
        <v>41</v>
      </c>
      <c r="J4884" s="28" t="s">
        <v>161</v>
      </c>
      <c r="K4884" s="27" t="s">
        <v>40</v>
      </c>
      <c r="L4884" s="27"/>
    </row>
    <row r="4885" customFormat="false" ht="15" hidden="false" customHeight="false" outlineLevel="0" collapsed="false">
      <c r="A4885" s="26" t="s">
        <v>14707</v>
      </c>
      <c r="B4885" s="27" t="s">
        <v>14708</v>
      </c>
      <c r="C4885" s="27" t="s">
        <v>144</v>
      </c>
      <c r="D4885" s="26"/>
      <c r="E4885" s="27"/>
      <c r="F4885" s="27"/>
      <c r="G4885" s="27" t="s">
        <v>11122</v>
      </c>
      <c r="H4885" s="27" t="s">
        <v>35</v>
      </c>
      <c r="I4885" s="27" t="s">
        <v>37</v>
      </c>
      <c r="J4885" s="28" t="s">
        <v>161</v>
      </c>
      <c r="K4885" s="27" t="s">
        <v>40</v>
      </c>
      <c r="L4885" s="27"/>
    </row>
    <row r="4886" customFormat="false" ht="15" hidden="false" customHeight="false" outlineLevel="0" collapsed="false">
      <c r="A4886" s="26" t="s">
        <v>14709</v>
      </c>
      <c r="B4886" s="27" t="s">
        <v>14710</v>
      </c>
      <c r="C4886" s="27" t="s">
        <v>370</v>
      </c>
      <c r="D4886" s="26"/>
      <c r="E4886" s="27"/>
      <c r="F4886" s="27"/>
      <c r="G4886" s="27" t="s">
        <v>11122</v>
      </c>
      <c r="H4886" s="27" t="s">
        <v>35</v>
      </c>
      <c r="I4886" s="27" t="s">
        <v>41</v>
      </c>
      <c r="J4886" s="28" t="s">
        <v>161</v>
      </c>
      <c r="K4886" s="27" t="s">
        <v>40</v>
      </c>
      <c r="L4886" s="27"/>
    </row>
    <row r="4887" customFormat="false" ht="15" hidden="false" customHeight="false" outlineLevel="0" collapsed="false">
      <c r="A4887" s="26" t="s">
        <v>14711</v>
      </c>
      <c r="B4887" s="27" t="s">
        <v>14712</v>
      </c>
      <c r="C4887" s="27" t="s">
        <v>370</v>
      </c>
      <c r="D4887" s="26"/>
      <c r="E4887" s="27"/>
      <c r="F4887" s="27"/>
      <c r="G4887" s="27" t="s">
        <v>11122</v>
      </c>
      <c r="H4887" s="27" t="s">
        <v>35</v>
      </c>
      <c r="I4887" s="27" t="s">
        <v>41</v>
      </c>
      <c r="J4887" s="28" t="s">
        <v>161</v>
      </c>
      <c r="K4887" s="27" t="s">
        <v>40</v>
      </c>
      <c r="L4887" s="27"/>
    </row>
    <row r="4888" customFormat="false" ht="15" hidden="false" customHeight="false" outlineLevel="0" collapsed="false">
      <c r="A4888" s="26" t="s">
        <v>14713</v>
      </c>
      <c r="B4888" s="27" t="s">
        <v>14714</v>
      </c>
      <c r="C4888" s="27" t="s">
        <v>144</v>
      </c>
      <c r="D4888" s="26"/>
      <c r="E4888" s="27"/>
      <c r="F4888" s="27"/>
      <c r="G4888" s="27" t="s">
        <v>11122</v>
      </c>
      <c r="H4888" s="27" t="s">
        <v>35</v>
      </c>
      <c r="I4888" s="27" t="s">
        <v>41</v>
      </c>
      <c r="J4888" s="28" t="s">
        <v>161</v>
      </c>
      <c r="K4888" s="27" t="s">
        <v>40</v>
      </c>
      <c r="L4888" s="27"/>
    </row>
    <row r="4889" customFormat="false" ht="15" hidden="false" customHeight="false" outlineLevel="0" collapsed="false">
      <c r="A4889" s="26" t="s">
        <v>14715</v>
      </c>
      <c r="B4889" s="27" t="s">
        <v>14716</v>
      </c>
      <c r="C4889" s="27" t="s">
        <v>144</v>
      </c>
      <c r="D4889" s="26"/>
      <c r="E4889" s="27"/>
      <c r="F4889" s="27"/>
      <c r="G4889" s="27" t="s">
        <v>11122</v>
      </c>
      <c r="H4889" s="27" t="s">
        <v>35</v>
      </c>
      <c r="I4889" s="27" t="s">
        <v>41</v>
      </c>
      <c r="J4889" s="28" t="s">
        <v>161</v>
      </c>
      <c r="K4889" s="27" t="s">
        <v>40</v>
      </c>
      <c r="L4889" s="27"/>
    </row>
    <row r="4890" customFormat="false" ht="15" hidden="false" customHeight="false" outlineLevel="0" collapsed="false">
      <c r="A4890" s="26" t="s">
        <v>14717</v>
      </c>
      <c r="B4890" s="27" t="s">
        <v>14718</v>
      </c>
      <c r="C4890" s="27" t="s">
        <v>144</v>
      </c>
      <c r="D4890" s="26"/>
      <c r="E4890" s="27"/>
      <c r="F4890" s="27"/>
      <c r="G4890" s="27" t="s">
        <v>11122</v>
      </c>
      <c r="H4890" s="27" t="s">
        <v>35</v>
      </c>
      <c r="I4890" s="27" t="s">
        <v>41</v>
      </c>
      <c r="J4890" s="28" t="s">
        <v>161</v>
      </c>
      <c r="K4890" s="27" t="s">
        <v>40</v>
      </c>
      <c r="L4890" s="27"/>
    </row>
    <row r="4891" customFormat="false" ht="15" hidden="false" customHeight="false" outlineLevel="0" collapsed="false">
      <c r="A4891" s="26" t="s">
        <v>14719</v>
      </c>
      <c r="B4891" s="27" t="s">
        <v>14720</v>
      </c>
      <c r="C4891" s="27" t="s">
        <v>144</v>
      </c>
      <c r="D4891" s="26"/>
      <c r="E4891" s="27"/>
      <c r="F4891" s="27"/>
      <c r="G4891" s="27" t="s">
        <v>11122</v>
      </c>
      <c r="H4891" s="27" t="s">
        <v>35</v>
      </c>
      <c r="I4891" s="27" t="s">
        <v>41</v>
      </c>
      <c r="J4891" s="28" t="s">
        <v>161</v>
      </c>
      <c r="K4891" s="27" t="s">
        <v>40</v>
      </c>
      <c r="L4891" s="27"/>
    </row>
    <row r="4892" customFormat="false" ht="15" hidden="false" customHeight="false" outlineLevel="0" collapsed="false">
      <c r="A4892" s="26" t="s">
        <v>14721</v>
      </c>
      <c r="B4892" s="27" t="s">
        <v>14722</v>
      </c>
      <c r="C4892" s="27" t="s">
        <v>144</v>
      </c>
      <c r="D4892" s="26"/>
      <c r="E4892" s="27"/>
      <c r="F4892" s="27"/>
      <c r="G4892" s="27" t="s">
        <v>11122</v>
      </c>
      <c r="H4892" s="27" t="s">
        <v>35</v>
      </c>
      <c r="I4892" s="27" t="s">
        <v>41</v>
      </c>
      <c r="J4892" s="28" t="s">
        <v>161</v>
      </c>
      <c r="K4892" s="27" t="s">
        <v>40</v>
      </c>
      <c r="L4892" s="27"/>
    </row>
    <row r="4893" customFormat="false" ht="15" hidden="false" customHeight="false" outlineLevel="0" collapsed="false">
      <c r="A4893" s="26" t="s">
        <v>14723</v>
      </c>
      <c r="B4893" s="27" t="s">
        <v>14724</v>
      </c>
      <c r="C4893" s="27" t="s">
        <v>144</v>
      </c>
      <c r="D4893" s="26"/>
      <c r="E4893" s="27"/>
      <c r="F4893" s="27"/>
      <c r="G4893" s="27" t="s">
        <v>11122</v>
      </c>
      <c r="H4893" s="27" t="s">
        <v>35</v>
      </c>
      <c r="I4893" s="27" t="s">
        <v>41</v>
      </c>
      <c r="J4893" s="28" t="s">
        <v>161</v>
      </c>
      <c r="K4893" s="27" t="s">
        <v>40</v>
      </c>
      <c r="L4893" s="27"/>
    </row>
    <row r="4894" customFormat="false" ht="15" hidden="false" customHeight="false" outlineLevel="0" collapsed="false">
      <c r="A4894" s="26" t="s">
        <v>14725</v>
      </c>
      <c r="B4894" s="27" t="s">
        <v>14726</v>
      </c>
      <c r="C4894" s="27" t="s">
        <v>144</v>
      </c>
      <c r="D4894" s="26"/>
      <c r="E4894" s="27"/>
      <c r="F4894" s="27"/>
      <c r="G4894" s="27" t="s">
        <v>11122</v>
      </c>
      <c r="H4894" s="27" t="s">
        <v>35</v>
      </c>
      <c r="I4894" s="27" t="s">
        <v>38</v>
      </c>
      <c r="J4894" s="28" t="s">
        <v>161</v>
      </c>
      <c r="K4894" s="27" t="s">
        <v>40</v>
      </c>
      <c r="L4894" s="27"/>
    </row>
    <row r="4895" customFormat="false" ht="15" hidden="false" customHeight="false" outlineLevel="0" collapsed="false">
      <c r="A4895" s="26" t="s">
        <v>14727</v>
      </c>
      <c r="B4895" s="27" t="s">
        <v>14728</v>
      </c>
      <c r="C4895" s="27" t="s">
        <v>144</v>
      </c>
      <c r="D4895" s="26"/>
      <c r="E4895" s="27"/>
      <c r="F4895" s="27"/>
      <c r="G4895" s="27" t="s">
        <v>11122</v>
      </c>
      <c r="H4895" s="27" t="s">
        <v>35</v>
      </c>
      <c r="I4895" s="27" t="s">
        <v>41</v>
      </c>
      <c r="J4895" s="28" t="s">
        <v>161</v>
      </c>
      <c r="K4895" s="27" t="s">
        <v>40</v>
      </c>
      <c r="L4895" s="27"/>
    </row>
    <row r="4896" customFormat="false" ht="15" hidden="false" customHeight="false" outlineLevel="0" collapsed="false">
      <c r="A4896" s="26" t="s">
        <v>14729</v>
      </c>
      <c r="B4896" s="27" t="s">
        <v>14730</v>
      </c>
      <c r="C4896" s="27" t="s">
        <v>144</v>
      </c>
      <c r="D4896" s="26"/>
      <c r="E4896" s="27"/>
      <c r="F4896" s="27"/>
      <c r="G4896" s="27" t="s">
        <v>11122</v>
      </c>
      <c r="H4896" s="27" t="s">
        <v>35</v>
      </c>
      <c r="I4896" s="27" t="s">
        <v>41</v>
      </c>
      <c r="J4896" s="28" t="s">
        <v>161</v>
      </c>
      <c r="K4896" s="27" t="s">
        <v>40</v>
      </c>
      <c r="L4896" s="27"/>
    </row>
    <row r="4897" customFormat="false" ht="15" hidden="false" customHeight="false" outlineLevel="0" collapsed="false">
      <c r="A4897" s="26" t="s">
        <v>14731</v>
      </c>
      <c r="B4897" s="27" t="s">
        <v>14732</v>
      </c>
      <c r="C4897" s="27" t="s">
        <v>144</v>
      </c>
      <c r="D4897" s="26"/>
      <c r="E4897" s="27"/>
      <c r="F4897" s="27"/>
      <c r="G4897" s="27" t="s">
        <v>11122</v>
      </c>
      <c r="H4897" s="27" t="s">
        <v>35</v>
      </c>
      <c r="I4897" s="27" t="s">
        <v>41</v>
      </c>
      <c r="J4897" s="28" t="s">
        <v>161</v>
      </c>
      <c r="K4897" s="27" t="s">
        <v>40</v>
      </c>
      <c r="L4897" s="27"/>
    </row>
    <row r="4898" customFormat="false" ht="15" hidden="false" customHeight="false" outlineLevel="0" collapsed="false">
      <c r="A4898" s="26" t="s">
        <v>14733</v>
      </c>
      <c r="B4898" s="27" t="s">
        <v>14734</v>
      </c>
      <c r="C4898" s="27" t="s">
        <v>144</v>
      </c>
      <c r="D4898" s="26"/>
      <c r="E4898" s="27"/>
      <c r="F4898" s="27"/>
      <c r="G4898" s="27" t="s">
        <v>11122</v>
      </c>
      <c r="H4898" s="27" t="s">
        <v>35</v>
      </c>
      <c r="I4898" s="27" t="s">
        <v>41</v>
      </c>
      <c r="J4898" s="28" t="s">
        <v>161</v>
      </c>
      <c r="K4898" s="27" t="s">
        <v>40</v>
      </c>
      <c r="L4898" s="27"/>
    </row>
    <row r="4899" customFormat="false" ht="15" hidden="false" customHeight="false" outlineLevel="0" collapsed="false">
      <c r="A4899" s="26" t="s">
        <v>14735</v>
      </c>
      <c r="B4899" s="27" t="s">
        <v>14736</v>
      </c>
      <c r="C4899" s="27" t="s">
        <v>144</v>
      </c>
      <c r="D4899" s="26"/>
      <c r="E4899" s="27"/>
      <c r="F4899" s="27"/>
      <c r="G4899" s="27" t="s">
        <v>11122</v>
      </c>
      <c r="H4899" s="27" t="s">
        <v>35</v>
      </c>
      <c r="I4899" s="27" t="s">
        <v>37</v>
      </c>
      <c r="J4899" s="28" t="s">
        <v>161</v>
      </c>
      <c r="K4899" s="27" t="s">
        <v>40</v>
      </c>
      <c r="L4899" s="27"/>
    </row>
    <row r="4900" customFormat="false" ht="15" hidden="false" customHeight="false" outlineLevel="0" collapsed="false">
      <c r="A4900" s="26" t="s">
        <v>14737</v>
      </c>
      <c r="B4900" s="27" t="s">
        <v>14738</v>
      </c>
      <c r="C4900" s="27" t="s">
        <v>144</v>
      </c>
      <c r="D4900" s="26"/>
      <c r="E4900" s="27"/>
      <c r="F4900" s="27"/>
      <c r="G4900" s="27" t="s">
        <v>11122</v>
      </c>
      <c r="H4900" s="27" t="s">
        <v>35</v>
      </c>
      <c r="I4900" s="27" t="s">
        <v>41</v>
      </c>
      <c r="J4900" s="28" t="s">
        <v>161</v>
      </c>
      <c r="K4900" s="27" t="s">
        <v>40</v>
      </c>
      <c r="L4900" s="27"/>
    </row>
    <row r="4901" customFormat="false" ht="15" hidden="false" customHeight="false" outlineLevel="0" collapsed="false">
      <c r="A4901" s="26" t="s">
        <v>14739</v>
      </c>
      <c r="B4901" s="27" t="s">
        <v>14740</v>
      </c>
      <c r="C4901" s="27" t="s">
        <v>370</v>
      </c>
      <c r="D4901" s="26"/>
      <c r="E4901" s="27"/>
      <c r="F4901" s="27"/>
      <c r="G4901" s="27" t="s">
        <v>11122</v>
      </c>
      <c r="H4901" s="27" t="s">
        <v>35</v>
      </c>
      <c r="I4901" s="27" t="s">
        <v>38</v>
      </c>
      <c r="J4901" s="28" t="s">
        <v>161</v>
      </c>
      <c r="K4901" s="27" t="s">
        <v>40</v>
      </c>
      <c r="L4901" s="27"/>
    </row>
    <row r="4902" customFormat="false" ht="15" hidden="false" customHeight="false" outlineLevel="0" collapsed="false">
      <c r="A4902" s="26" t="s">
        <v>14741</v>
      </c>
      <c r="B4902" s="27" t="s">
        <v>14742</v>
      </c>
      <c r="C4902" s="27" t="s">
        <v>370</v>
      </c>
      <c r="D4902" s="26"/>
      <c r="E4902" s="27"/>
      <c r="F4902" s="27"/>
      <c r="G4902" s="27" t="s">
        <v>11122</v>
      </c>
      <c r="H4902" s="27" t="s">
        <v>35</v>
      </c>
      <c r="I4902" s="27" t="s">
        <v>41</v>
      </c>
      <c r="J4902" s="28" t="s">
        <v>161</v>
      </c>
      <c r="K4902" s="27" t="s">
        <v>40</v>
      </c>
      <c r="L4902" s="27"/>
    </row>
    <row r="4903" customFormat="false" ht="15" hidden="false" customHeight="false" outlineLevel="0" collapsed="false">
      <c r="A4903" s="26" t="s">
        <v>14743</v>
      </c>
      <c r="B4903" s="27" t="s">
        <v>14744</v>
      </c>
      <c r="C4903" s="27" t="s">
        <v>144</v>
      </c>
      <c r="D4903" s="26"/>
      <c r="E4903" s="27"/>
      <c r="F4903" s="27"/>
      <c r="G4903" s="27" t="s">
        <v>11122</v>
      </c>
      <c r="H4903" s="27" t="s">
        <v>35</v>
      </c>
      <c r="I4903" s="27" t="s">
        <v>47</v>
      </c>
      <c r="J4903" s="28" t="s">
        <v>161</v>
      </c>
      <c r="K4903" s="27" t="s">
        <v>40</v>
      </c>
      <c r="L4903" s="27"/>
    </row>
    <row r="4904" customFormat="false" ht="15" hidden="false" customHeight="false" outlineLevel="0" collapsed="false">
      <c r="A4904" s="26" t="s">
        <v>14745</v>
      </c>
      <c r="B4904" s="27" t="s">
        <v>14746</v>
      </c>
      <c r="C4904" s="27" t="s">
        <v>144</v>
      </c>
      <c r="D4904" s="26"/>
      <c r="E4904" s="27"/>
      <c r="F4904" s="27"/>
      <c r="G4904" s="27" t="s">
        <v>11122</v>
      </c>
      <c r="H4904" s="27" t="s">
        <v>35</v>
      </c>
      <c r="I4904" s="27" t="s">
        <v>43</v>
      </c>
      <c r="J4904" s="28" t="s">
        <v>161</v>
      </c>
      <c r="K4904" s="27" t="s">
        <v>40</v>
      </c>
      <c r="L4904" s="27"/>
    </row>
    <row r="4905" customFormat="false" ht="15" hidden="false" customHeight="false" outlineLevel="0" collapsed="false">
      <c r="A4905" s="26" t="s">
        <v>14747</v>
      </c>
      <c r="B4905" s="27" t="s">
        <v>14748</v>
      </c>
      <c r="C4905" s="27" t="s">
        <v>144</v>
      </c>
      <c r="D4905" s="26"/>
      <c r="E4905" s="27"/>
      <c r="F4905" s="27"/>
      <c r="G4905" s="27" t="s">
        <v>11122</v>
      </c>
      <c r="H4905" s="27" t="s">
        <v>35</v>
      </c>
      <c r="I4905" s="27" t="s">
        <v>38</v>
      </c>
      <c r="J4905" s="28" t="s">
        <v>161</v>
      </c>
      <c r="K4905" s="27" t="s">
        <v>40</v>
      </c>
      <c r="L4905" s="27"/>
    </row>
    <row r="4906" customFormat="false" ht="15" hidden="false" customHeight="false" outlineLevel="0" collapsed="false">
      <c r="A4906" s="26" t="s">
        <v>14749</v>
      </c>
      <c r="B4906" s="27" t="s">
        <v>14750</v>
      </c>
      <c r="C4906" s="27" t="s">
        <v>144</v>
      </c>
      <c r="D4906" s="26"/>
      <c r="E4906" s="27"/>
      <c r="F4906" s="27"/>
      <c r="G4906" s="27" t="s">
        <v>11122</v>
      </c>
      <c r="H4906" s="27" t="s">
        <v>35</v>
      </c>
      <c r="I4906" s="27" t="s">
        <v>48</v>
      </c>
      <c r="J4906" s="28" t="s">
        <v>161</v>
      </c>
      <c r="K4906" s="27" t="s">
        <v>40</v>
      </c>
      <c r="L4906" s="27"/>
    </row>
    <row r="4907" customFormat="false" ht="15" hidden="false" customHeight="false" outlineLevel="0" collapsed="false">
      <c r="A4907" s="26" t="s">
        <v>14751</v>
      </c>
      <c r="B4907" s="27" t="s">
        <v>14752</v>
      </c>
      <c r="C4907" s="27" t="s">
        <v>144</v>
      </c>
      <c r="D4907" s="26"/>
      <c r="E4907" s="27"/>
      <c r="F4907" s="27"/>
      <c r="G4907" s="27" t="s">
        <v>11122</v>
      </c>
      <c r="H4907" s="27" t="s">
        <v>35</v>
      </c>
      <c r="I4907" s="27" t="s">
        <v>38</v>
      </c>
      <c r="J4907" s="28" t="s">
        <v>161</v>
      </c>
      <c r="K4907" s="27" t="s">
        <v>40</v>
      </c>
      <c r="L4907" s="27"/>
    </row>
    <row r="4908" customFormat="false" ht="15" hidden="false" customHeight="false" outlineLevel="0" collapsed="false">
      <c r="A4908" s="26" t="s">
        <v>14753</v>
      </c>
      <c r="B4908" s="27" t="s">
        <v>14754</v>
      </c>
      <c r="C4908" s="27" t="s">
        <v>144</v>
      </c>
      <c r="D4908" s="26"/>
      <c r="E4908" s="27"/>
      <c r="F4908" s="27"/>
      <c r="G4908" s="27" t="s">
        <v>11122</v>
      </c>
      <c r="H4908" s="27" t="s">
        <v>35</v>
      </c>
      <c r="I4908" s="27" t="s">
        <v>38</v>
      </c>
      <c r="J4908" s="28" t="s">
        <v>161</v>
      </c>
      <c r="K4908" s="27" t="s">
        <v>40</v>
      </c>
      <c r="L4908" s="27"/>
    </row>
    <row r="4909" customFormat="false" ht="15" hidden="false" customHeight="false" outlineLevel="0" collapsed="false">
      <c r="A4909" s="26" t="s">
        <v>14755</v>
      </c>
      <c r="B4909" s="27" t="s">
        <v>14756</v>
      </c>
      <c r="C4909" s="27" t="s">
        <v>144</v>
      </c>
      <c r="D4909" s="26"/>
      <c r="E4909" s="27"/>
      <c r="F4909" s="27"/>
      <c r="G4909" s="27" t="s">
        <v>11122</v>
      </c>
      <c r="H4909" s="27" t="s">
        <v>35</v>
      </c>
      <c r="I4909" s="27" t="s">
        <v>38</v>
      </c>
      <c r="J4909" s="28" t="s">
        <v>161</v>
      </c>
      <c r="K4909" s="27" t="s">
        <v>40</v>
      </c>
      <c r="L4909" s="27"/>
    </row>
    <row r="4910" customFormat="false" ht="15" hidden="false" customHeight="false" outlineLevel="0" collapsed="false">
      <c r="A4910" s="26" t="s">
        <v>14757</v>
      </c>
      <c r="B4910" s="27" t="s">
        <v>14758</v>
      </c>
      <c r="C4910" s="27" t="s">
        <v>144</v>
      </c>
      <c r="D4910" s="26"/>
      <c r="E4910" s="27"/>
      <c r="F4910" s="27"/>
      <c r="G4910" s="27" t="s">
        <v>11122</v>
      </c>
      <c r="H4910" s="27" t="s">
        <v>35</v>
      </c>
      <c r="I4910" s="27" t="s">
        <v>38</v>
      </c>
      <c r="J4910" s="28" t="s">
        <v>161</v>
      </c>
      <c r="K4910" s="27" t="s">
        <v>40</v>
      </c>
      <c r="L4910" s="27"/>
    </row>
    <row r="4911" customFormat="false" ht="15" hidden="false" customHeight="false" outlineLevel="0" collapsed="false">
      <c r="A4911" s="26" t="s">
        <v>14759</v>
      </c>
      <c r="B4911" s="27" t="s">
        <v>14760</v>
      </c>
      <c r="C4911" s="27" t="s">
        <v>144</v>
      </c>
      <c r="D4911" s="26"/>
      <c r="E4911" s="27"/>
      <c r="F4911" s="27"/>
      <c r="G4911" s="27" t="s">
        <v>11122</v>
      </c>
      <c r="H4911" s="27" t="s">
        <v>35</v>
      </c>
      <c r="I4911" s="28" t="s">
        <v>50</v>
      </c>
      <c r="J4911" s="28" t="s">
        <v>161</v>
      </c>
      <c r="K4911" s="27" t="s">
        <v>40</v>
      </c>
      <c r="L4911" s="27"/>
    </row>
    <row r="4912" customFormat="false" ht="15" hidden="false" customHeight="false" outlineLevel="0" collapsed="false">
      <c r="A4912" s="26" t="s">
        <v>14761</v>
      </c>
      <c r="B4912" s="27" t="s">
        <v>14762</v>
      </c>
      <c r="C4912" s="27" t="s">
        <v>144</v>
      </c>
      <c r="D4912" s="26"/>
      <c r="E4912" s="27"/>
      <c r="F4912" s="27"/>
      <c r="G4912" s="27" t="s">
        <v>11122</v>
      </c>
      <c r="H4912" s="27" t="s">
        <v>35</v>
      </c>
      <c r="I4912" s="27" t="s">
        <v>41</v>
      </c>
      <c r="J4912" s="28" t="s">
        <v>161</v>
      </c>
      <c r="K4912" s="27" t="s">
        <v>40</v>
      </c>
      <c r="L4912" s="27"/>
    </row>
    <row r="4913" customFormat="false" ht="15" hidden="false" customHeight="false" outlineLevel="0" collapsed="false">
      <c r="A4913" s="26" t="s">
        <v>14763</v>
      </c>
      <c r="B4913" s="27" t="s">
        <v>14764</v>
      </c>
      <c r="C4913" s="27" t="s">
        <v>144</v>
      </c>
      <c r="D4913" s="26"/>
      <c r="E4913" s="27"/>
      <c r="F4913" s="27"/>
      <c r="G4913" s="27" t="s">
        <v>11122</v>
      </c>
      <c r="H4913" s="27" t="s">
        <v>35</v>
      </c>
      <c r="I4913" s="27" t="s">
        <v>43</v>
      </c>
      <c r="J4913" s="28" t="s">
        <v>161</v>
      </c>
      <c r="K4913" s="27" t="s">
        <v>40</v>
      </c>
      <c r="L4913" s="27"/>
    </row>
    <row r="4914" customFormat="false" ht="15" hidden="false" customHeight="false" outlineLevel="0" collapsed="false">
      <c r="A4914" s="26" t="s">
        <v>14765</v>
      </c>
      <c r="B4914" s="27" t="s">
        <v>14766</v>
      </c>
      <c r="C4914" s="27" t="s">
        <v>144</v>
      </c>
      <c r="D4914" s="26"/>
      <c r="E4914" s="27"/>
      <c r="F4914" s="27"/>
      <c r="G4914" s="27" t="s">
        <v>11122</v>
      </c>
      <c r="H4914" s="27" t="s">
        <v>35</v>
      </c>
      <c r="I4914" s="27" t="s">
        <v>38</v>
      </c>
      <c r="J4914" s="28" t="s">
        <v>161</v>
      </c>
      <c r="K4914" s="27" t="s">
        <v>40</v>
      </c>
      <c r="L4914" s="27"/>
    </row>
    <row r="4915" customFormat="false" ht="15" hidden="false" customHeight="false" outlineLevel="0" collapsed="false">
      <c r="A4915" s="26" t="s">
        <v>14767</v>
      </c>
      <c r="B4915" s="27" t="s">
        <v>14768</v>
      </c>
      <c r="C4915" s="27" t="s">
        <v>370</v>
      </c>
      <c r="D4915" s="26"/>
      <c r="E4915" s="27"/>
      <c r="F4915" s="27"/>
      <c r="G4915" s="27" t="s">
        <v>11122</v>
      </c>
      <c r="H4915" s="27" t="s">
        <v>35</v>
      </c>
      <c r="I4915" s="27" t="s">
        <v>43</v>
      </c>
      <c r="J4915" s="28" t="s">
        <v>161</v>
      </c>
      <c r="K4915" s="27" t="s">
        <v>40</v>
      </c>
      <c r="L4915" s="27"/>
    </row>
    <row r="4916" customFormat="false" ht="15" hidden="false" customHeight="false" outlineLevel="0" collapsed="false">
      <c r="A4916" s="26" t="s">
        <v>14769</v>
      </c>
      <c r="B4916" s="27" t="s">
        <v>14770</v>
      </c>
      <c r="C4916" s="27" t="s">
        <v>144</v>
      </c>
      <c r="D4916" s="26"/>
      <c r="E4916" s="27"/>
      <c r="F4916" s="27"/>
      <c r="G4916" s="27" t="s">
        <v>11122</v>
      </c>
      <c r="H4916" s="27" t="s">
        <v>35</v>
      </c>
      <c r="I4916" s="27" t="s">
        <v>41</v>
      </c>
      <c r="J4916" s="28" t="s">
        <v>161</v>
      </c>
      <c r="K4916" s="27" t="s">
        <v>40</v>
      </c>
      <c r="L4916" s="27"/>
    </row>
    <row r="4917" customFormat="false" ht="15" hidden="false" customHeight="false" outlineLevel="0" collapsed="false">
      <c r="A4917" s="26" t="s">
        <v>14771</v>
      </c>
      <c r="B4917" s="27" t="s">
        <v>14772</v>
      </c>
      <c r="C4917" s="27" t="s">
        <v>144</v>
      </c>
      <c r="D4917" s="26"/>
      <c r="E4917" s="27"/>
      <c r="F4917" s="27"/>
      <c r="G4917" s="27" t="s">
        <v>11122</v>
      </c>
      <c r="H4917" s="27" t="s">
        <v>35</v>
      </c>
      <c r="I4917" s="27" t="s">
        <v>41</v>
      </c>
      <c r="J4917" s="28" t="s">
        <v>161</v>
      </c>
      <c r="K4917" s="27" t="s">
        <v>40</v>
      </c>
      <c r="L4917" s="27"/>
    </row>
    <row r="4918" customFormat="false" ht="15" hidden="false" customHeight="false" outlineLevel="0" collapsed="false">
      <c r="A4918" s="26" t="s">
        <v>14773</v>
      </c>
      <c r="B4918" s="27" t="s">
        <v>14774</v>
      </c>
      <c r="C4918" s="27" t="s">
        <v>370</v>
      </c>
      <c r="D4918" s="26"/>
      <c r="E4918" s="27"/>
      <c r="F4918" s="27"/>
      <c r="G4918" s="27" t="s">
        <v>11122</v>
      </c>
      <c r="H4918" s="27" t="s">
        <v>35</v>
      </c>
      <c r="I4918" s="27" t="s">
        <v>39</v>
      </c>
      <c r="J4918" s="28" t="s">
        <v>161</v>
      </c>
      <c r="K4918" s="27" t="s">
        <v>40</v>
      </c>
      <c r="L4918" s="27"/>
    </row>
    <row r="4919" customFormat="false" ht="15" hidden="false" customHeight="false" outlineLevel="0" collapsed="false">
      <c r="A4919" s="26" t="s">
        <v>14775</v>
      </c>
      <c r="B4919" s="27" t="s">
        <v>14776</v>
      </c>
      <c r="C4919" s="27" t="s">
        <v>144</v>
      </c>
      <c r="D4919" s="26"/>
      <c r="E4919" s="27"/>
      <c r="F4919" s="27"/>
      <c r="G4919" s="27" t="s">
        <v>11122</v>
      </c>
      <c r="H4919" s="27" t="s">
        <v>35</v>
      </c>
      <c r="I4919" s="27" t="s">
        <v>38</v>
      </c>
      <c r="J4919" s="28" t="s">
        <v>161</v>
      </c>
      <c r="K4919" s="27" t="s">
        <v>40</v>
      </c>
      <c r="L4919" s="27"/>
    </row>
    <row r="4920" customFormat="false" ht="15" hidden="false" customHeight="false" outlineLevel="0" collapsed="false">
      <c r="A4920" s="26" t="s">
        <v>14777</v>
      </c>
      <c r="B4920" s="27" t="s">
        <v>14778</v>
      </c>
      <c r="C4920" s="27" t="s">
        <v>144</v>
      </c>
      <c r="D4920" s="26"/>
      <c r="E4920" s="27"/>
      <c r="F4920" s="27"/>
      <c r="G4920" s="27" t="s">
        <v>11122</v>
      </c>
      <c r="H4920" s="27" t="s">
        <v>35</v>
      </c>
      <c r="I4920" s="27" t="s">
        <v>37</v>
      </c>
      <c r="J4920" s="28" t="s">
        <v>161</v>
      </c>
      <c r="K4920" s="27" t="s">
        <v>40</v>
      </c>
      <c r="L4920" s="27"/>
    </row>
    <row r="4921" customFormat="false" ht="15" hidden="false" customHeight="false" outlineLevel="0" collapsed="false">
      <c r="A4921" s="26" t="s">
        <v>14779</v>
      </c>
      <c r="B4921" s="27" t="s">
        <v>14780</v>
      </c>
      <c r="C4921" s="27" t="s">
        <v>144</v>
      </c>
      <c r="D4921" s="26"/>
      <c r="E4921" s="27"/>
      <c r="F4921" s="27"/>
      <c r="G4921" s="27" t="s">
        <v>11122</v>
      </c>
      <c r="H4921" s="27" t="s">
        <v>35</v>
      </c>
      <c r="I4921" s="27" t="s">
        <v>37</v>
      </c>
      <c r="J4921" s="28" t="s">
        <v>161</v>
      </c>
      <c r="K4921" s="27" t="s">
        <v>40</v>
      </c>
      <c r="L4921" s="27"/>
    </row>
    <row r="4922" customFormat="false" ht="15" hidden="false" customHeight="false" outlineLevel="0" collapsed="false">
      <c r="A4922" s="26" t="s">
        <v>14781</v>
      </c>
      <c r="B4922" s="27" t="s">
        <v>14782</v>
      </c>
      <c r="C4922" s="27" t="s">
        <v>144</v>
      </c>
      <c r="D4922" s="26"/>
      <c r="E4922" s="27"/>
      <c r="F4922" s="27"/>
      <c r="G4922" s="27" t="s">
        <v>11122</v>
      </c>
      <c r="H4922" s="27" t="s">
        <v>35</v>
      </c>
      <c r="I4922" s="27" t="s">
        <v>38</v>
      </c>
      <c r="J4922" s="28" t="s">
        <v>161</v>
      </c>
      <c r="K4922" s="27" t="s">
        <v>40</v>
      </c>
      <c r="L4922" s="27"/>
    </row>
    <row r="4923" customFormat="false" ht="15" hidden="false" customHeight="false" outlineLevel="0" collapsed="false">
      <c r="A4923" s="26" t="s">
        <v>14783</v>
      </c>
      <c r="B4923" s="27" t="s">
        <v>14784</v>
      </c>
      <c r="C4923" s="27" t="s">
        <v>144</v>
      </c>
      <c r="D4923" s="26"/>
      <c r="E4923" s="27"/>
      <c r="F4923" s="27"/>
      <c r="G4923" s="27" t="s">
        <v>11122</v>
      </c>
      <c r="H4923" s="27" t="s">
        <v>35</v>
      </c>
      <c r="I4923" s="27" t="s">
        <v>37</v>
      </c>
      <c r="J4923" s="28" t="s">
        <v>161</v>
      </c>
      <c r="K4923" s="27" t="s">
        <v>40</v>
      </c>
      <c r="L4923" s="27"/>
    </row>
    <row r="4924" customFormat="false" ht="15" hidden="false" customHeight="false" outlineLevel="0" collapsed="false">
      <c r="A4924" s="26" t="s">
        <v>14785</v>
      </c>
      <c r="B4924" s="27" t="s">
        <v>14786</v>
      </c>
      <c r="C4924" s="27" t="s">
        <v>144</v>
      </c>
      <c r="D4924" s="26"/>
      <c r="E4924" s="27"/>
      <c r="F4924" s="27"/>
      <c r="G4924" s="27" t="s">
        <v>11122</v>
      </c>
      <c r="H4924" s="27" t="s">
        <v>35</v>
      </c>
      <c r="I4924" s="27" t="s">
        <v>48</v>
      </c>
      <c r="J4924" s="28" t="s">
        <v>161</v>
      </c>
      <c r="K4924" s="27" t="s">
        <v>40</v>
      </c>
      <c r="L4924" s="27"/>
    </row>
    <row r="4925" customFormat="false" ht="15" hidden="false" customHeight="false" outlineLevel="0" collapsed="false">
      <c r="A4925" s="26" t="s">
        <v>14787</v>
      </c>
      <c r="B4925" s="27" t="s">
        <v>14788</v>
      </c>
      <c r="C4925" s="27" t="s">
        <v>144</v>
      </c>
      <c r="D4925" s="26"/>
      <c r="E4925" s="27"/>
      <c r="F4925" s="27"/>
      <c r="G4925" s="27" t="s">
        <v>11122</v>
      </c>
      <c r="H4925" s="27" t="s">
        <v>35</v>
      </c>
      <c r="I4925" s="27" t="s">
        <v>37</v>
      </c>
      <c r="J4925" s="28" t="s">
        <v>161</v>
      </c>
      <c r="K4925" s="27" t="s">
        <v>40</v>
      </c>
      <c r="L4925" s="27"/>
    </row>
    <row r="4926" customFormat="false" ht="15" hidden="false" customHeight="false" outlineLevel="0" collapsed="false">
      <c r="A4926" s="26" t="s">
        <v>14789</v>
      </c>
      <c r="B4926" s="27" t="s">
        <v>14790</v>
      </c>
      <c r="C4926" s="27" t="s">
        <v>144</v>
      </c>
      <c r="D4926" s="26"/>
      <c r="E4926" s="27"/>
      <c r="F4926" s="27"/>
      <c r="G4926" s="27" t="s">
        <v>11122</v>
      </c>
      <c r="H4926" s="27" t="s">
        <v>35</v>
      </c>
      <c r="I4926" s="27" t="s">
        <v>37</v>
      </c>
      <c r="J4926" s="28" t="s">
        <v>161</v>
      </c>
      <c r="K4926" s="27" t="s">
        <v>40</v>
      </c>
      <c r="L4926" s="27"/>
    </row>
    <row r="4927" customFormat="false" ht="15" hidden="false" customHeight="false" outlineLevel="0" collapsed="false">
      <c r="A4927" s="26" t="s">
        <v>14791</v>
      </c>
      <c r="B4927" s="27" t="s">
        <v>14792</v>
      </c>
      <c r="C4927" s="27" t="s">
        <v>144</v>
      </c>
      <c r="D4927" s="26"/>
      <c r="E4927" s="27"/>
      <c r="F4927" s="27"/>
      <c r="G4927" s="27" t="s">
        <v>11122</v>
      </c>
      <c r="H4927" s="27" t="s">
        <v>35</v>
      </c>
      <c r="I4927" s="27" t="s">
        <v>37</v>
      </c>
      <c r="J4927" s="28" t="s">
        <v>161</v>
      </c>
      <c r="K4927" s="27" t="s">
        <v>40</v>
      </c>
      <c r="L4927" s="27"/>
    </row>
    <row r="4928" customFormat="false" ht="15" hidden="false" customHeight="false" outlineLevel="0" collapsed="false">
      <c r="A4928" s="26" t="s">
        <v>14793</v>
      </c>
      <c r="B4928" s="27" t="s">
        <v>14794</v>
      </c>
      <c r="C4928" s="27" t="s">
        <v>144</v>
      </c>
      <c r="D4928" s="26"/>
      <c r="E4928" s="27"/>
      <c r="F4928" s="27"/>
      <c r="G4928" s="27" t="s">
        <v>11122</v>
      </c>
      <c r="H4928" s="27" t="s">
        <v>35</v>
      </c>
      <c r="I4928" s="28" t="s">
        <v>46</v>
      </c>
      <c r="J4928" s="28" t="s">
        <v>161</v>
      </c>
      <c r="K4928" s="27" t="s">
        <v>40</v>
      </c>
      <c r="L4928" s="27"/>
    </row>
    <row r="4929" customFormat="false" ht="15" hidden="false" customHeight="false" outlineLevel="0" collapsed="false">
      <c r="A4929" s="26" t="s">
        <v>14795</v>
      </c>
      <c r="B4929" s="27" t="s">
        <v>14796</v>
      </c>
      <c r="C4929" s="27" t="s">
        <v>144</v>
      </c>
      <c r="D4929" s="26"/>
      <c r="E4929" s="27"/>
      <c r="F4929" s="27"/>
      <c r="G4929" s="27" t="s">
        <v>11122</v>
      </c>
      <c r="H4929" s="27" t="s">
        <v>35</v>
      </c>
      <c r="I4929" s="28" t="s">
        <v>46</v>
      </c>
      <c r="J4929" s="28" t="s">
        <v>161</v>
      </c>
      <c r="K4929" s="27" t="s">
        <v>40</v>
      </c>
      <c r="L4929" s="27"/>
    </row>
    <row r="4930" customFormat="false" ht="15" hidden="false" customHeight="false" outlineLevel="0" collapsed="false">
      <c r="A4930" s="26" t="s">
        <v>14797</v>
      </c>
      <c r="B4930" s="27" t="s">
        <v>14798</v>
      </c>
      <c r="C4930" s="27" t="s">
        <v>144</v>
      </c>
      <c r="D4930" s="26"/>
      <c r="E4930" s="27"/>
      <c r="F4930" s="27"/>
      <c r="G4930" s="27" t="s">
        <v>11122</v>
      </c>
      <c r="H4930" s="27" t="s">
        <v>35</v>
      </c>
      <c r="I4930" s="27" t="s">
        <v>48</v>
      </c>
      <c r="J4930" s="28" t="s">
        <v>161</v>
      </c>
      <c r="K4930" s="27" t="s">
        <v>40</v>
      </c>
      <c r="L4930" s="27"/>
    </row>
    <row r="4931" customFormat="false" ht="15" hidden="false" customHeight="false" outlineLevel="0" collapsed="false">
      <c r="A4931" s="26" t="s">
        <v>14799</v>
      </c>
      <c r="B4931" s="27" t="s">
        <v>14800</v>
      </c>
      <c r="C4931" s="27" t="s">
        <v>144</v>
      </c>
      <c r="D4931" s="26"/>
      <c r="E4931" s="27"/>
      <c r="F4931" s="27"/>
      <c r="G4931" s="27" t="s">
        <v>11122</v>
      </c>
      <c r="H4931" s="27" t="s">
        <v>35</v>
      </c>
      <c r="I4931" s="27" t="s">
        <v>48</v>
      </c>
      <c r="J4931" s="28" t="s">
        <v>161</v>
      </c>
      <c r="K4931" s="27" t="s">
        <v>40</v>
      </c>
      <c r="L4931" s="27"/>
    </row>
    <row r="4932" customFormat="false" ht="15" hidden="false" customHeight="false" outlineLevel="0" collapsed="false">
      <c r="A4932" s="26" t="s">
        <v>14801</v>
      </c>
      <c r="B4932" s="27" t="s">
        <v>14802</v>
      </c>
      <c r="C4932" s="27" t="s">
        <v>144</v>
      </c>
      <c r="D4932" s="26"/>
      <c r="E4932" s="27"/>
      <c r="F4932" s="27"/>
      <c r="G4932" s="27" t="s">
        <v>11122</v>
      </c>
      <c r="H4932" s="27" t="s">
        <v>35</v>
      </c>
      <c r="I4932" s="27" t="s">
        <v>48</v>
      </c>
      <c r="J4932" s="28" t="s">
        <v>161</v>
      </c>
      <c r="K4932" s="27" t="s">
        <v>40</v>
      </c>
      <c r="L4932" s="27"/>
    </row>
    <row r="4933" customFormat="false" ht="15" hidden="false" customHeight="false" outlineLevel="0" collapsed="false">
      <c r="A4933" s="26" t="s">
        <v>14803</v>
      </c>
      <c r="B4933" s="27" t="s">
        <v>14804</v>
      </c>
      <c r="C4933" s="27" t="s">
        <v>144</v>
      </c>
      <c r="D4933" s="26"/>
      <c r="E4933" s="27"/>
      <c r="F4933" s="27"/>
      <c r="G4933" s="27" t="s">
        <v>11122</v>
      </c>
      <c r="H4933" s="27" t="s">
        <v>35</v>
      </c>
      <c r="I4933" s="28" t="s">
        <v>46</v>
      </c>
      <c r="J4933" s="28" t="s">
        <v>161</v>
      </c>
      <c r="K4933" s="27" t="s">
        <v>40</v>
      </c>
      <c r="L4933" s="27"/>
    </row>
    <row r="4934" customFormat="false" ht="15" hidden="false" customHeight="false" outlineLevel="0" collapsed="false">
      <c r="A4934" s="26" t="s">
        <v>14805</v>
      </c>
      <c r="B4934" s="27" t="s">
        <v>14806</v>
      </c>
      <c r="C4934" s="27" t="s">
        <v>144</v>
      </c>
      <c r="D4934" s="26"/>
      <c r="E4934" s="27"/>
      <c r="F4934" s="27"/>
      <c r="G4934" s="27" t="s">
        <v>11122</v>
      </c>
      <c r="H4934" s="27" t="s">
        <v>35</v>
      </c>
      <c r="I4934" s="28" t="s">
        <v>46</v>
      </c>
      <c r="J4934" s="28" t="s">
        <v>161</v>
      </c>
      <c r="K4934" s="27" t="s">
        <v>40</v>
      </c>
      <c r="L4934" s="27"/>
    </row>
    <row r="4935" customFormat="false" ht="15" hidden="false" customHeight="false" outlineLevel="0" collapsed="false">
      <c r="A4935" s="26" t="s">
        <v>14807</v>
      </c>
      <c r="B4935" s="27" t="s">
        <v>14808</v>
      </c>
      <c r="C4935" s="27" t="s">
        <v>144</v>
      </c>
      <c r="D4935" s="26"/>
      <c r="E4935" s="27"/>
      <c r="F4935" s="27"/>
      <c r="G4935" s="27" t="s">
        <v>11122</v>
      </c>
      <c r="H4935" s="27" t="s">
        <v>35</v>
      </c>
      <c r="I4935" s="27" t="s">
        <v>37</v>
      </c>
      <c r="J4935" s="28" t="s">
        <v>161</v>
      </c>
      <c r="K4935" s="27" t="s">
        <v>40</v>
      </c>
      <c r="L4935" s="27"/>
    </row>
    <row r="4936" customFormat="false" ht="15" hidden="false" customHeight="false" outlineLevel="0" collapsed="false">
      <c r="A4936" s="26" t="s">
        <v>14809</v>
      </c>
      <c r="B4936" s="27" t="s">
        <v>14810</v>
      </c>
      <c r="C4936" s="27" t="s">
        <v>144</v>
      </c>
      <c r="D4936" s="26"/>
      <c r="E4936" s="27"/>
      <c r="F4936" s="27"/>
      <c r="G4936" s="27" t="s">
        <v>11122</v>
      </c>
      <c r="H4936" s="27" t="s">
        <v>35</v>
      </c>
      <c r="I4936" s="27" t="s">
        <v>37</v>
      </c>
      <c r="J4936" s="28" t="s">
        <v>161</v>
      </c>
      <c r="K4936" s="27" t="s">
        <v>40</v>
      </c>
      <c r="L4936" s="27"/>
    </row>
    <row r="4937" customFormat="false" ht="15" hidden="false" customHeight="false" outlineLevel="0" collapsed="false">
      <c r="A4937" s="26" t="s">
        <v>14811</v>
      </c>
      <c r="B4937" s="27" t="s">
        <v>14812</v>
      </c>
      <c r="C4937" s="27" t="s">
        <v>144</v>
      </c>
      <c r="D4937" s="26"/>
      <c r="E4937" s="27"/>
      <c r="F4937" s="27"/>
      <c r="G4937" s="27" t="s">
        <v>11122</v>
      </c>
      <c r="H4937" s="27" t="s">
        <v>35</v>
      </c>
      <c r="I4937" s="27" t="s">
        <v>37</v>
      </c>
      <c r="J4937" s="28" t="s">
        <v>161</v>
      </c>
      <c r="K4937" s="27" t="s">
        <v>40</v>
      </c>
      <c r="L4937" s="27"/>
    </row>
    <row r="4938" customFormat="false" ht="15" hidden="false" customHeight="false" outlineLevel="0" collapsed="false">
      <c r="A4938" s="26" t="s">
        <v>14813</v>
      </c>
      <c r="B4938" s="27" t="s">
        <v>14814</v>
      </c>
      <c r="C4938" s="27" t="s">
        <v>144</v>
      </c>
      <c r="D4938" s="26"/>
      <c r="E4938" s="27"/>
      <c r="F4938" s="27"/>
      <c r="G4938" s="27" t="s">
        <v>11122</v>
      </c>
      <c r="H4938" s="27" t="s">
        <v>35</v>
      </c>
      <c r="I4938" s="28" t="s">
        <v>46</v>
      </c>
      <c r="J4938" s="28" t="s">
        <v>161</v>
      </c>
      <c r="K4938" s="27" t="s">
        <v>40</v>
      </c>
      <c r="L4938" s="27"/>
    </row>
    <row r="4939" customFormat="false" ht="15" hidden="false" customHeight="false" outlineLevel="0" collapsed="false">
      <c r="A4939" s="26" t="s">
        <v>14815</v>
      </c>
      <c r="B4939" s="27" t="s">
        <v>14816</v>
      </c>
      <c r="C4939" s="27" t="s">
        <v>144</v>
      </c>
      <c r="D4939" s="26"/>
      <c r="E4939" s="27"/>
      <c r="F4939" s="27"/>
      <c r="G4939" s="27" t="s">
        <v>11122</v>
      </c>
      <c r="H4939" s="27" t="s">
        <v>35</v>
      </c>
      <c r="I4939" s="28" t="s">
        <v>46</v>
      </c>
      <c r="J4939" s="28" t="s">
        <v>161</v>
      </c>
      <c r="K4939" s="27" t="s">
        <v>40</v>
      </c>
      <c r="L4939" s="27"/>
    </row>
    <row r="4940" customFormat="false" ht="15" hidden="false" customHeight="false" outlineLevel="0" collapsed="false">
      <c r="A4940" s="26" t="s">
        <v>14817</v>
      </c>
      <c r="B4940" s="27" t="s">
        <v>14818</v>
      </c>
      <c r="C4940" s="27" t="s">
        <v>144</v>
      </c>
      <c r="D4940" s="26"/>
      <c r="E4940" s="27"/>
      <c r="F4940" s="27"/>
      <c r="G4940" s="27" t="s">
        <v>11122</v>
      </c>
      <c r="H4940" s="27" t="s">
        <v>35</v>
      </c>
      <c r="I4940" s="27" t="s">
        <v>48</v>
      </c>
      <c r="J4940" s="28" t="s">
        <v>161</v>
      </c>
      <c r="K4940" s="27" t="s">
        <v>40</v>
      </c>
      <c r="L4940" s="27"/>
    </row>
    <row r="4941" customFormat="false" ht="15" hidden="false" customHeight="false" outlineLevel="0" collapsed="false">
      <c r="A4941" s="26" t="s">
        <v>14819</v>
      </c>
      <c r="B4941" s="27" t="s">
        <v>14820</v>
      </c>
      <c r="C4941" s="27" t="s">
        <v>144</v>
      </c>
      <c r="D4941" s="26"/>
      <c r="E4941" s="27"/>
      <c r="F4941" s="27"/>
      <c r="G4941" s="27" t="s">
        <v>11122</v>
      </c>
      <c r="H4941" s="27" t="s">
        <v>35</v>
      </c>
      <c r="I4941" s="28" t="s">
        <v>46</v>
      </c>
      <c r="J4941" s="28" t="s">
        <v>161</v>
      </c>
      <c r="K4941" s="27" t="s">
        <v>40</v>
      </c>
      <c r="L4941" s="27"/>
    </row>
    <row r="4942" customFormat="false" ht="15" hidden="false" customHeight="false" outlineLevel="0" collapsed="false">
      <c r="A4942" s="26" t="s">
        <v>14821</v>
      </c>
      <c r="B4942" s="27" t="s">
        <v>14822</v>
      </c>
      <c r="C4942" s="27" t="s">
        <v>144</v>
      </c>
      <c r="D4942" s="26"/>
      <c r="E4942" s="27"/>
      <c r="F4942" s="27"/>
      <c r="G4942" s="27" t="s">
        <v>11122</v>
      </c>
      <c r="H4942" s="27" t="s">
        <v>35</v>
      </c>
      <c r="I4942" s="28" t="s">
        <v>46</v>
      </c>
      <c r="J4942" s="28" t="s">
        <v>161</v>
      </c>
      <c r="K4942" s="27" t="s">
        <v>40</v>
      </c>
      <c r="L4942" s="27"/>
    </row>
    <row r="4943" customFormat="false" ht="15" hidden="false" customHeight="false" outlineLevel="0" collapsed="false">
      <c r="A4943" s="26" t="s">
        <v>14823</v>
      </c>
      <c r="B4943" s="27" t="s">
        <v>14824</v>
      </c>
      <c r="C4943" s="27" t="s">
        <v>144</v>
      </c>
      <c r="D4943" s="26"/>
      <c r="E4943" s="27"/>
      <c r="F4943" s="27"/>
      <c r="G4943" s="27" t="s">
        <v>11122</v>
      </c>
      <c r="H4943" s="27" t="s">
        <v>35</v>
      </c>
      <c r="I4943" s="28" t="s">
        <v>46</v>
      </c>
      <c r="J4943" s="28" t="s">
        <v>161</v>
      </c>
      <c r="K4943" s="27" t="s">
        <v>40</v>
      </c>
      <c r="L4943" s="27"/>
    </row>
    <row r="4944" customFormat="false" ht="15" hidden="false" customHeight="false" outlineLevel="0" collapsed="false">
      <c r="A4944" s="26" t="s">
        <v>14825</v>
      </c>
      <c r="B4944" s="27" t="s">
        <v>14826</v>
      </c>
      <c r="C4944" s="27" t="s">
        <v>144</v>
      </c>
      <c r="D4944" s="26"/>
      <c r="E4944" s="27"/>
      <c r="F4944" s="27"/>
      <c r="G4944" s="27" t="s">
        <v>11122</v>
      </c>
      <c r="H4944" s="27" t="s">
        <v>35</v>
      </c>
      <c r="I4944" s="27" t="s">
        <v>40</v>
      </c>
      <c r="J4944" s="28" t="s">
        <v>161</v>
      </c>
      <c r="K4944" s="27" t="s">
        <v>40</v>
      </c>
      <c r="L4944" s="27"/>
    </row>
    <row r="4945" customFormat="false" ht="15" hidden="false" customHeight="false" outlineLevel="0" collapsed="false">
      <c r="A4945" s="26" t="s">
        <v>14827</v>
      </c>
      <c r="B4945" s="27" t="s">
        <v>14828</v>
      </c>
      <c r="C4945" s="27" t="s">
        <v>144</v>
      </c>
      <c r="D4945" s="26"/>
      <c r="E4945" s="27"/>
      <c r="F4945" s="27"/>
      <c r="G4945" s="27" t="s">
        <v>11122</v>
      </c>
      <c r="H4945" s="27" t="s">
        <v>35</v>
      </c>
      <c r="I4945" s="27" t="s">
        <v>41</v>
      </c>
      <c r="J4945" s="28" t="s">
        <v>161</v>
      </c>
      <c r="K4945" s="27" t="s">
        <v>40</v>
      </c>
      <c r="L4945" s="27"/>
    </row>
    <row r="4946" customFormat="false" ht="15" hidden="false" customHeight="false" outlineLevel="0" collapsed="false">
      <c r="A4946" s="26" t="s">
        <v>14829</v>
      </c>
      <c r="B4946" s="27" t="s">
        <v>14830</v>
      </c>
      <c r="C4946" s="27" t="s">
        <v>1187</v>
      </c>
      <c r="D4946" s="26"/>
      <c r="E4946" s="27"/>
      <c r="F4946" s="27"/>
      <c r="G4946" s="27" t="s">
        <v>11122</v>
      </c>
      <c r="H4946" s="27" t="s">
        <v>35</v>
      </c>
      <c r="I4946" s="27" t="s">
        <v>38</v>
      </c>
      <c r="J4946" s="28" t="s">
        <v>161</v>
      </c>
      <c r="K4946" s="27" t="s">
        <v>40</v>
      </c>
      <c r="L4946" s="27"/>
    </row>
    <row r="4947" customFormat="false" ht="15" hidden="false" customHeight="false" outlineLevel="0" collapsed="false">
      <c r="A4947" s="26" t="s">
        <v>14831</v>
      </c>
      <c r="B4947" s="27" t="s">
        <v>14832</v>
      </c>
      <c r="C4947" s="27" t="s">
        <v>144</v>
      </c>
      <c r="D4947" s="26"/>
      <c r="E4947" s="27"/>
      <c r="F4947" s="27"/>
      <c r="G4947" s="27" t="s">
        <v>11122</v>
      </c>
      <c r="H4947" s="27" t="s">
        <v>35</v>
      </c>
      <c r="I4947" s="27" t="s">
        <v>47</v>
      </c>
      <c r="J4947" s="28" t="s">
        <v>161</v>
      </c>
      <c r="K4947" s="27" t="s">
        <v>40</v>
      </c>
      <c r="L4947" s="27"/>
    </row>
    <row r="4948" customFormat="false" ht="15" hidden="false" customHeight="false" outlineLevel="0" collapsed="false">
      <c r="A4948" s="26" t="s">
        <v>14833</v>
      </c>
      <c r="B4948" s="27" t="s">
        <v>14834</v>
      </c>
      <c r="C4948" s="27" t="s">
        <v>144</v>
      </c>
      <c r="D4948" s="26"/>
      <c r="E4948" s="27"/>
      <c r="F4948" s="27"/>
      <c r="G4948" s="27" t="s">
        <v>11122</v>
      </c>
      <c r="H4948" s="27" t="s">
        <v>35</v>
      </c>
      <c r="I4948" s="27" t="s">
        <v>37</v>
      </c>
      <c r="J4948" s="28" t="s">
        <v>161</v>
      </c>
      <c r="K4948" s="27" t="s">
        <v>40</v>
      </c>
      <c r="L4948" s="27"/>
    </row>
    <row r="4949" customFormat="false" ht="15" hidden="false" customHeight="false" outlineLevel="0" collapsed="false">
      <c r="A4949" s="26" t="s">
        <v>14835</v>
      </c>
      <c r="B4949" s="27" t="s">
        <v>14836</v>
      </c>
      <c r="C4949" s="27" t="s">
        <v>144</v>
      </c>
      <c r="D4949" s="26"/>
      <c r="E4949" s="27"/>
      <c r="F4949" s="27"/>
      <c r="G4949" s="27" t="s">
        <v>11122</v>
      </c>
      <c r="H4949" s="27" t="s">
        <v>35</v>
      </c>
      <c r="I4949" s="27" t="s">
        <v>38</v>
      </c>
      <c r="J4949" s="28" t="s">
        <v>161</v>
      </c>
      <c r="K4949" s="27" t="s">
        <v>40</v>
      </c>
      <c r="L4949" s="27"/>
    </row>
    <row r="4950" customFormat="false" ht="15" hidden="false" customHeight="false" outlineLevel="0" collapsed="false">
      <c r="A4950" s="26" t="s">
        <v>14837</v>
      </c>
      <c r="B4950" s="27" t="s">
        <v>14838</v>
      </c>
      <c r="C4950" s="27" t="s">
        <v>144</v>
      </c>
      <c r="D4950" s="26"/>
      <c r="E4950" s="27"/>
      <c r="F4950" s="27"/>
      <c r="G4950" s="27" t="s">
        <v>11122</v>
      </c>
      <c r="H4950" s="27" t="s">
        <v>35</v>
      </c>
      <c r="I4950" s="27" t="s">
        <v>37</v>
      </c>
      <c r="J4950" s="28" t="s">
        <v>161</v>
      </c>
      <c r="K4950" s="27" t="s">
        <v>40</v>
      </c>
      <c r="L4950" s="27"/>
    </row>
    <row r="4951" customFormat="false" ht="15" hidden="false" customHeight="false" outlineLevel="0" collapsed="false">
      <c r="A4951" s="26" t="s">
        <v>14839</v>
      </c>
      <c r="B4951" s="27" t="s">
        <v>14840</v>
      </c>
      <c r="C4951" s="27" t="s">
        <v>144</v>
      </c>
      <c r="D4951" s="26"/>
      <c r="E4951" s="27"/>
      <c r="F4951" s="27"/>
      <c r="G4951" s="27" t="s">
        <v>11122</v>
      </c>
      <c r="H4951" s="27" t="s">
        <v>35</v>
      </c>
      <c r="I4951" s="27" t="s">
        <v>37</v>
      </c>
      <c r="J4951" s="28" t="s">
        <v>161</v>
      </c>
      <c r="K4951" s="27" t="s">
        <v>40</v>
      </c>
      <c r="L4951" s="27"/>
    </row>
    <row r="4952" customFormat="false" ht="15" hidden="false" customHeight="false" outlineLevel="0" collapsed="false">
      <c r="A4952" s="26" t="s">
        <v>14841</v>
      </c>
      <c r="B4952" s="27" t="s">
        <v>14842</v>
      </c>
      <c r="C4952" s="27" t="s">
        <v>144</v>
      </c>
      <c r="D4952" s="26"/>
      <c r="E4952" s="27"/>
      <c r="F4952" s="27"/>
      <c r="G4952" s="27" t="s">
        <v>11122</v>
      </c>
      <c r="H4952" s="27" t="s">
        <v>35</v>
      </c>
      <c r="I4952" s="27" t="s">
        <v>38</v>
      </c>
      <c r="J4952" s="28" t="s">
        <v>161</v>
      </c>
      <c r="K4952" s="27" t="s">
        <v>40</v>
      </c>
      <c r="L4952" s="27"/>
    </row>
    <row r="4953" customFormat="false" ht="15" hidden="false" customHeight="false" outlineLevel="0" collapsed="false">
      <c r="A4953" s="26" t="s">
        <v>14843</v>
      </c>
      <c r="B4953" s="27" t="s">
        <v>14844</v>
      </c>
      <c r="C4953" s="27" t="s">
        <v>144</v>
      </c>
      <c r="D4953" s="26"/>
      <c r="E4953" s="27"/>
      <c r="F4953" s="27"/>
      <c r="G4953" s="27" t="s">
        <v>11122</v>
      </c>
      <c r="H4953" s="27" t="s">
        <v>35</v>
      </c>
      <c r="I4953" s="27" t="s">
        <v>38</v>
      </c>
      <c r="J4953" s="28" t="s">
        <v>161</v>
      </c>
      <c r="K4953" s="27" t="s">
        <v>40</v>
      </c>
      <c r="L4953" s="27"/>
    </row>
    <row r="4954" customFormat="false" ht="15" hidden="false" customHeight="false" outlineLevel="0" collapsed="false">
      <c r="A4954" s="26" t="s">
        <v>14845</v>
      </c>
      <c r="B4954" s="27" t="s">
        <v>14846</v>
      </c>
      <c r="C4954" s="27" t="s">
        <v>144</v>
      </c>
      <c r="D4954" s="26"/>
      <c r="E4954" s="27"/>
      <c r="F4954" s="27"/>
      <c r="G4954" s="27" t="s">
        <v>11122</v>
      </c>
      <c r="H4954" s="27" t="s">
        <v>35</v>
      </c>
      <c r="I4954" s="27" t="s">
        <v>37</v>
      </c>
      <c r="J4954" s="28" t="s">
        <v>161</v>
      </c>
      <c r="K4954" s="27" t="s">
        <v>40</v>
      </c>
      <c r="L4954" s="27"/>
    </row>
    <row r="4955" customFormat="false" ht="15" hidden="false" customHeight="false" outlineLevel="0" collapsed="false">
      <c r="A4955" s="26" t="s">
        <v>14847</v>
      </c>
      <c r="B4955" s="27" t="s">
        <v>14848</v>
      </c>
      <c r="C4955" s="27" t="s">
        <v>144</v>
      </c>
      <c r="D4955" s="26"/>
      <c r="E4955" s="27"/>
      <c r="F4955" s="27"/>
      <c r="G4955" s="27" t="s">
        <v>11122</v>
      </c>
      <c r="H4955" s="27" t="s">
        <v>35</v>
      </c>
      <c r="I4955" s="27" t="s">
        <v>37</v>
      </c>
      <c r="J4955" s="28" t="s">
        <v>161</v>
      </c>
      <c r="K4955" s="27" t="s">
        <v>40</v>
      </c>
      <c r="L4955" s="27"/>
    </row>
    <row r="4956" customFormat="false" ht="15" hidden="false" customHeight="false" outlineLevel="0" collapsed="false">
      <c r="A4956" s="26" t="s">
        <v>14849</v>
      </c>
      <c r="B4956" s="27" t="s">
        <v>14850</v>
      </c>
      <c r="C4956" s="27" t="s">
        <v>144</v>
      </c>
      <c r="D4956" s="26"/>
      <c r="E4956" s="27"/>
      <c r="F4956" s="27"/>
      <c r="G4956" s="27" t="s">
        <v>11122</v>
      </c>
      <c r="H4956" s="27" t="s">
        <v>35</v>
      </c>
      <c r="I4956" s="27" t="s">
        <v>37</v>
      </c>
      <c r="J4956" s="28" t="s">
        <v>161</v>
      </c>
      <c r="K4956" s="27" t="s">
        <v>40</v>
      </c>
      <c r="L4956" s="27"/>
    </row>
    <row r="4957" customFormat="false" ht="15" hidden="false" customHeight="false" outlineLevel="0" collapsed="false">
      <c r="A4957" s="26" t="s">
        <v>14851</v>
      </c>
      <c r="B4957" s="27" t="s">
        <v>14852</v>
      </c>
      <c r="C4957" s="27" t="s">
        <v>144</v>
      </c>
      <c r="D4957" s="26"/>
      <c r="E4957" s="27"/>
      <c r="F4957" s="27"/>
      <c r="G4957" s="27" t="s">
        <v>11122</v>
      </c>
      <c r="H4957" s="27" t="s">
        <v>35</v>
      </c>
      <c r="I4957" s="27" t="s">
        <v>37</v>
      </c>
      <c r="J4957" s="28" t="s">
        <v>161</v>
      </c>
      <c r="K4957" s="27" t="s">
        <v>40</v>
      </c>
      <c r="L4957" s="27"/>
    </row>
    <row r="4958" customFormat="false" ht="15" hidden="false" customHeight="false" outlineLevel="0" collapsed="false">
      <c r="A4958" s="26" t="s">
        <v>14853</v>
      </c>
      <c r="B4958" s="27" t="s">
        <v>14854</v>
      </c>
      <c r="C4958" s="27" t="s">
        <v>144</v>
      </c>
      <c r="D4958" s="26"/>
      <c r="E4958" s="27"/>
      <c r="F4958" s="27"/>
      <c r="G4958" s="27" t="s">
        <v>11122</v>
      </c>
      <c r="H4958" s="27" t="s">
        <v>35</v>
      </c>
      <c r="I4958" s="27" t="s">
        <v>37</v>
      </c>
      <c r="J4958" s="28" t="s">
        <v>161</v>
      </c>
      <c r="K4958" s="27" t="s">
        <v>40</v>
      </c>
      <c r="L4958" s="27"/>
    </row>
    <row r="4959" customFormat="false" ht="15" hidden="false" customHeight="false" outlineLevel="0" collapsed="false">
      <c r="A4959" s="26" t="s">
        <v>14855</v>
      </c>
      <c r="B4959" s="27" t="s">
        <v>14856</v>
      </c>
      <c r="C4959" s="27" t="s">
        <v>144</v>
      </c>
      <c r="D4959" s="26"/>
      <c r="E4959" s="27"/>
      <c r="F4959" s="27"/>
      <c r="G4959" s="27" t="s">
        <v>11122</v>
      </c>
      <c r="H4959" s="27" t="s">
        <v>35</v>
      </c>
      <c r="I4959" s="27" t="s">
        <v>38</v>
      </c>
      <c r="J4959" s="28" t="s">
        <v>161</v>
      </c>
      <c r="K4959" s="27" t="s">
        <v>40</v>
      </c>
      <c r="L4959" s="27"/>
    </row>
    <row r="4960" customFormat="false" ht="15" hidden="false" customHeight="false" outlineLevel="0" collapsed="false">
      <c r="A4960" s="26" t="s">
        <v>14857</v>
      </c>
      <c r="B4960" s="27" t="s">
        <v>14858</v>
      </c>
      <c r="C4960" s="27" t="s">
        <v>144</v>
      </c>
      <c r="D4960" s="26"/>
      <c r="E4960" s="27"/>
      <c r="F4960" s="27"/>
      <c r="G4960" s="27" t="s">
        <v>11122</v>
      </c>
      <c r="H4960" s="27" t="s">
        <v>35</v>
      </c>
      <c r="I4960" s="27" t="s">
        <v>39</v>
      </c>
      <c r="J4960" s="28" t="s">
        <v>161</v>
      </c>
      <c r="K4960" s="27" t="s">
        <v>40</v>
      </c>
      <c r="L4960" s="27"/>
    </row>
    <row r="4961" customFormat="false" ht="15" hidden="false" customHeight="false" outlineLevel="0" collapsed="false">
      <c r="A4961" s="26" t="s">
        <v>14859</v>
      </c>
      <c r="B4961" s="27" t="s">
        <v>14860</v>
      </c>
      <c r="C4961" s="27" t="s">
        <v>144</v>
      </c>
      <c r="D4961" s="26"/>
      <c r="E4961" s="27"/>
      <c r="F4961" s="27"/>
      <c r="G4961" s="27" t="s">
        <v>11122</v>
      </c>
      <c r="H4961" s="27" t="s">
        <v>35</v>
      </c>
      <c r="I4961" s="27" t="s">
        <v>41</v>
      </c>
      <c r="J4961" s="28" t="s">
        <v>161</v>
      </c>
      <c r="K4961" s="27" t="s">
        <v>40</v>
      </c>
      <c r="L4961" s="27"/>
    </row>
    <row r="4962" customFormat="false" ht="15" hidden="false" customHeight="false" outlineLevel="0" collapsed="false">
      <c r="A4962" s="26" t="s">
        <v>14861</v>
      </c>
      <c r="B4962" s="27" t="s">
        <v>14862</v>
      </c>
      <c r="C4962" s="27" t="s">
        <v>144</v>
      </c>
      <c r="D4962" s="26"/>
      <c r="E4962" s="27"/>
      <c r="F4962" s="27"/>
      <c r="G4962" s="27" t="s">
        <v>11122</v>
      </c>
      <c r="H4962" s="27" t="s">
        <v>35</v>
      </c>
      <c r="I4962" s="27" t="s">
        <v>38</v>
      </c>
      <c r="J4962" s="28" t="s">
        <v>161</v>
      </c>
      <c r="K4962" s="27" t="s">
        <v>40</v>
      </c>
      <c r="L4962" s="27"/>
    </row>
    <row r="4963" customFormat="false" ht="15" hidden="false" customHeight="false" outlineLevel="0" collapsed="false">
      <c r="A4963" s="26" t="s">
        <v>14863</v>
      </c>
      <c r="B4963" s="27" t="s">
        <v>14864</v>
      </c>
      <c r="C4963" s="27" t="s">
        <v>144</v>
      </c>
      <c r="D4963" s="26"/>
      <c r="E4963" s="27"/>
      <c r="F4963" s="27"/>
      <c r="G4963" s="27" t="s">
        <v>11122</v>
      </c>
      <c r="H4963" s="27" t="s">
        <v>35</v>
      </c>
      <c r="I4963" s="27" t="s">
        <v>38</v>
      </c>
      <c r="J4963" s="28" t="s">
        <v>161</v>
      </c>
      <c r="K4963" s="27" t="s">
        <v>40</v>
      </c>
      <c r="L4963" s="27"/>
    </row>
    <row r="4964" customFormat="false" ht="15" hidden="false" customHeight="false" outlineLevel="0" collapsed="false">
      <c r="A4964" s="26" t="s">
        <v>14865</v>
      </c>
      <c r="B4964" s="27" t="s">
        <v>14866</v>
      </c>
      <c r="C4964" s="27" t="s">
        <v>144</v>
      </c>
      <c r="D4964" s="26"/>
      <c r="E4964" s="27"/>
      <c r="F4964" s="27"/>
      <c r="G4964" s="27" t="s">
        <v>11122</v>
      </c>
      <c r="H4964" s="27" t="s">
        <v>35</v>
      </c>
      <c r="I4964" s="27" t="s">
        <v>38</v>
      </c>
      <c r="J4964" s="28" t="s">
        <v>161</v>
      </c>
      <c r="K4964" s="27" t="s">
        <v>40</v>
      </c>
      <c r="L4964" s="27"/>
    </row>
    <row r="4965" customFormat="false" ht="15" hidden="false" customHeight="false" outlineLevel="0" collapsed="false">
      <c r="A4965" s="26" t="s">
        <v>14867</v>
      </c>
      <c r="B4965" s="27" t="s">
        <v>14868</v>
      </c>
      <c r="C4965" s="27" t="s">
        <v>144</v>
      </c>
      <c r="D4965" s="26"/>
      <c r="E4965" s="27"/>
      <c r="F4965" s="27"/>
      <c r="G4965" s="27" t="s">
        <v>11122</v>
      </c>
      <c r="H4965" s="27" t="s">
        <v>35</v>
      </c>
      <c r="I4965" s="27" t="s">
        <v>38</v>
      </c>
      <c r="J4965" s="28" t="s">
        <v>161</v>
      </c>
      <c r="K4965" s="27" t="s">
        <v>40</v>
      </c>
      <c r="L4965" s="27"/>
    </row>
    <row r="4966" customFormat="false" ht="15" hidden="false" customHeight="false" outlineLevel="0" collapsed="false">
      <c r="A4966" s="26" t="s">
        <v>14869</v>
      </c>
      <c r="B4966" s="27" t="s">
        <v>14870</v>
      </c>
      <c r="C4966" s="27" t="s">
        <v>144</v>
      </c>
      <c r="D4966" s="26"/>
      <c r="E4966" s="27"/>
      <c r="F4966" s="27"/>
      <c r="G4966" s="27" t="s">
        <v>11122</v>
      </c>
      <c r="H4966" s="27" t="s">
        <v>35</v>
      </c>
      <c r="I4966" s="27" t="s">
        <v>37</v>
      </c>
      <c r="J4966" s="28" t="s">
        <v>161</v>
      </c>
      <c r="K4966" s="27" t="s">
        <v>40</v>
      </c>
      <c r="L4966" s="27"/>
    </row>
    <row r="4967" customFormat="false" ht="15" hidden="false" customHeight="false" outlineLevel="0" collapsed="false">
      <c r="A4967" s="26" t="s">
        <v>14871</v>
      </c>
      <c r="B4967" s="27" t="s">
        <v>14872</v>
      </c>
      <c r="C4967" s="27" t="s">
        <v>1187</v>
      </c>
      <c r="D4967" s="26"/>
      <c r="E4967" s="27"/>
      <c r="F4967" s="27"/>
      <c r="G4967" s="27" t="s">
        <v>11122</v>
      </c>
      <c r="H4967" s="27" t="s">
        <v>35</v>
      </c>
      <c r="I4967" s="27" t="s">
        <v>38</v>
      </c>
      <c r="J4967" s="28" t="s">
        <v>161</v>
      </c>
      <c r="K4967" s="27" t="s">
        <v>40</v>
      </c>
      <c r="L4967" s="27"/>
    </row>
    <row r="4968" customFormat="false" ht="15" hidden="false" customHeight="false" outlineLevel="0" collapsed="false">
      <c r="A4968" s="26" t="s">
        <v>14873</v>
      </c>
      <c r="B4968" s="27" t="s">
        <v>14874</v>
      </c>
      <c r="C4968" s="27" t="s">
        <v>144</v>
      </c>
      <c r="D4968" s="26"/>
      <c r="E4968" s="27"/>
      <c r="F4968" s="27"/>
      <c r="G4968" s="27" t="s">
        <v>11122</v>
      </c>
      <c r="H4968" s="27" t="s">
        <v>35</v>
      </c>
      <c r="I4968" s="27" t="s">
        <v>40</v>
      </c>
      <c r="J4968" s="28" t="s">
        <v>161</v>
      </c>
      <c r="K4968" s="27" t="s">
        <v>40</v>
      </c>
      <c r="L4968" s="27"/>
    </row>
    <row r="4969" customFormat="false" ht="15" hidden="false" customHeight="false" outlineLevel="0" collapsed="false">
      <c r="A4969" s="26" t="s">
        <v>14875</v>
      </c>
      <c r="B4969" s="27" t="s">
        <v>14876</v>
      </c>
      <c r="C4969" s="27" t="s">
        <v>370</v>
      </c>
      <c r="D4969" s="26"/>
      <c r="E4969" s="27"/>
      <c r="F4969" s="27"/>
      <c r="G4969" s="27" t="s">
        <v>11122</v>
      </c>
      <c r="H4969" s="27" t="s">
        <v>35</v>
      </c>
      <c r="I4969" s="27" t="s">
        <v>48</v>
      </c>
      <c r="J4969" s="28" t="s">
        <v>161</v>
      </c>
      <c r="K4969" s="27" t="s">
        <v>40</v>
      </c>
      <c r="L4969" s="27"/>
    </row>
    <row r="4970" customFormat="false" ht="15" hidden="false" customHeight="false" outlineLevel="0" collapsed="false">
      <c r="A4970" s="26" t="s">
        <v>14877</v>
      </c>
      <c r="B4970" s="27" t="s">
        <v>14878</v>
      </c>
      <c r="C4970" s="27" t="s">
        <v>144</v>
      </c>
      <c r="D4970" s="26"/>
      <c r="E4970" s="27"/>
      <c r="F4970" s="27"/>
      <c r="G4970" s="27" t="s">
        <v>11122</v>
      </c>
      <c r="H4970" s="27" t="s">
        <v>35</v>
      </c>
      <c r="I4970" s="27" t="s">
        <v>41</v>
      </c>
      <c r="J4970" s="28" t="s">
        <v>161</v>
      </c>
      <c r="K4970" s="27" t="s">
        <v>40</v>
      </c>
      <c r="L4970" s="27"/>
    </row>
    <row r="4971" customFormat="false" ht="15" hidden="false" customHeight="false" outlineLevel="0" collapsed="false">
      <c r="A4971" s="26" t="s">
        <v>14879</v>
      </c>
      <c r="B4971" s="27" t="s">
        <v>14880</v>
      </c>
      <c r="C4971" s="27" t="s">
        <v>144</v>
      </c>
      <c r="D4971" s="26"/>
      <c r="E4971" s="27"/>
      <c r="F4971" s="27"/>
      <c r="G4971" s="27" t="s">
        <v>11122</v>
      </c>
      <c r="H4971" s="27" t="s">
        <v>35</v>
      </c>
      <c r="I4971" s="28" t="s">
        <v>50</v>
      </c>
      <c r="J4971" s="28" t="s">
        <v>161</v>
      </c>
      <c r="K4971" s="27" t="s">
        <v>40</v>
      </c>
      <c r="L4971" s="27"/>
    </row>
    <row r="4972" customFormat="false" ht="15" hidden="false" customHeight="false" outlineLevel="0" collapsed="false">
      <c r="A4972" s="26" t="s">
        <v>14881</v>
      </c>
      <c r="B4972" s="27" t="s">
        <v>14882</v>
      </c>
      <c r="C4972" s="27" t="s">
        <v>144</v>
      </c>
      <c r="D4972" s="26"/>
      <c r="E4972" s="27"/>
      <c r="F4972" s="27"/>
      <c r="G4972" s="27" t="s">
        <v>11122</v>
      </c>
      <c r="H4972" s="27" t="s">
        <v>35</v>
      </c>
      <c r="I4972" s="27" t="s">
        <v>43</v>
      </c>
      <c r="J4972" s="28" t="s">
        <v>161</v>
      </c>
      <c r="K4972" s="27" t="s">
        <v>40</v>
      </c>
      <c r="L4972" s="27"/>
    </row>
    <row r="4973" customFormat="false" ht="15" hidden="false" customHeight="false" outlineLevel="0" collapsed="false">
      <c r="A4973" s="26" t="s">
        <v>14883</v>
      </c>
      <c r="B4973" s="27" t="s">
        <v>14884</v>
      </c>
      <c r="C4973" s="27" t="s">
        <v>144</v>
      </c>
      <c r="D4973" s="26"/>
      <c r="E4973" s="27"/>
      <c r="F4973" s="27"/>
      <c r="G4973" s="27" t="s">
        <v>11122</v>
      </c>
      <c r="H4973" s="27" t="s">
        <v>35</v>
      </c>
      <c r="I4973" s="27" t="s">
        <v>39</v>
      </c>
      <c r="J4973" s="28" t="s">
        <v>161</v>
      </c>
      <c r="K4973" s="27" t="s">
        <v>40</v>
      </c>
      <c r="L4973" s="27"/>
    </row>
    <row r="4974" customFormat="false" ht="15" hidden="false" customHeight="false" outlineLevel="0" collapsed="false">
      <c r="A4974" s="26" t="s">
        <v>14885</v>
      </c>
      <c r="B4974" s="27" t="s">
        <v>14886</v>
      </c>
      <c r="C4974" s="27" t="s">
        <v>144</v>
      </c>
      <c r="D4974" s="26"/>
      <c r="E4974" s="27"/>
      <c r="F4974" s="27"/>
      <c r="G4974" s="27" t="s">
        <v>11122</v>
      </c>
      <c r="H4974" s="27" t="s">
        <v>35</v>
      </c>
      <c r="I4974" s="27" t="s">
        <v>39</v>
      </c>
      <c r="J4974" s="28" t="s">
        <v>161</v>
      </c>
      <c r="K4974" s="27" t="s">
        <v>40</v>
      </c>
      <c r="L4974" s="27"/>
    </row>
    <row r="4975" customFormat="false" ht="15" hidden="false" customHeight="false" outlineLevel="0" collapsed="false">
      <c r="A4975" s="26" t="s">
        <v>14887</v>
      </c>
      <c r="B4975" s="27" t="s">
        <v>14888</v>
      </c>
      <c r="C4975" s="27" t="s">
        <v>144</v>
      </c>
      <c r="D4975" s="26"/>
      <c r="E4975" s="27"/>
      <c r="F4975" s="27"/>
      <c r="G4975" s="27" t="s">
        <v>11122</v>
      </c>
      <c r="H4975" s="27" t="s">
        <v>35</v>
      </c>
      <c r="I4975" s="27" t="s">
        <v>37</v>
      </c>
      <c r="J4975" s="28" t="s">
        <v>161</v>
      </c>
      <c r="K4975" s="27" t="s">
        <v>40</v>
      </c>
      <c r="L4975" s="27"/>
    </row>
    <row r="4976" customFormat="false" ht="15" hidden="false" customHeight="false" outlineLevel="0" collapsed="false">
      <c r="A4976" s="26" t="s">
        <v>14889</v>
      </c>
      <c r="B4976" s="27" t="s">
        <v>14890</v>
      </c>
      <c r="C4976" s="27" t="s">
        <v>144</v>
      </c>
      <c r="D4976" s="26"/>
      <c r="E4976" s="27"/>
      <c r="F4976" s="27"/>
      <c r="G4976" s="27" t="s">
        <v>11122</v>
      </c>
      <c r="H4976" s="27" t="s">
        <v>35</v>
      </c>
      <c r="I4976" s="27" t="s">
        <v>48</v>
      </c>
      <c r="J4976" s="28" t="s">
        <v>161</v>
      </c>
      <c r="K4976" s="27" t="s">
        <v>40</v>
      </c>
      <c r="L4976" s="27"/>
    </row>
    <row r="4977" customFormat="false" ht="15" hidden="false" customHeight="false" outlineLevel="0" collapsed="false">
      <c r="A4977" s="26" t="s">
        <v>14891</v>
      </c>
      <c r="B4977" s="27" t="s">
        <v>14892</v>
      </c>
      <c r="C4977" s="27" t="s">
        <v>144</v>
      </c>
      <c r="D4977" s="26"/>
      <c r="E4977" s="27"/>
      <c r="F4977" s="27"/>
      <c r="G4977" s="27" t="s">
        <v>11122</v>
      </c>
      <c r="H4977" s="27" t="s">
        <v>35</v>
      </c>
      <c r="I4977" s="27" t="s">
        <v>48</v>
      </c>
      <c r="J4977" s="28" t="s">
        <v>161</v>
      </c>
      <c r="K4977" s="27" t="s">
        <v>40</v>
      </c>
      <c r="L4977" s="27"/>
    </row>
    <row r="4978" customFormat="false" ht="15" hidden="false" customHeight="false" outlineLevel="0" collapsed="false">
      <c r="A4978" s="26" t="s">
        <v>14893</v>
      </c>
      <c r="B4978" s="27" t="s">
        <v>14894</v>
      </c>
      <c r="C4978" s="27" t="s">
        <v>144</v>
      </c>
      <c r="D4978" s="26"/>
      <c r="E4978" s="27"/>
      <c r="F4978" s="27"/>
      <c r="G4978" s="27" t="s">
        <v>11122</v>
      </c>
      <c r="H4978" s="27" t="s">
        <v>35</v>
      </c>
      <c r="I4978" s="27" t="s">
        <v>48</v>
      </c>
      <c r="J4978" s="28" t="s">
        <v>161</v>
      </c>
      <c r="K4978" s="27" t="s">
        <v>40</v>
      </c>
      <c r="L4978" s="27"/>
    </row>
    <row r="4979" customFormat="false" ht="15" hidden="false" customHeight="false" outlineLevel="0" collapsed="false">
      <c r="A4979" s="26" t="s">
        <v>14895</v>
      </c>
      <c r="B4979" s="27" t="s">
        <v>14896</v>
      </c>
      <c r="C4979" s="27" t="s">
        <v>144</v>
      </c>
      <c r="D4979" s="26"/>
      <c r="E4979" s="27"/>
      <c r="F4979" s="27"/>
      <c r="G4979" s="27" t="s">
        <v>11122</v>
      </c>
      <c r="H4979" s="27" t="s">
        <v>35</v>
      </c>
      <c r="I4979" s="27" t="s">
        <v>40</v>
      </c>
      <c r="J4979" s="28" t="s">
        <v>161</v>
      </c>
      <c r="K4979" s="27" t="s">
        <v>40</v>
      </c>
      <c r="L4979" s="27"/>
    </row>
    <row r="4980" customFormat="false" ht="15" hidden="false" customHeight="false" outlineLevel="0" collapsed="false">
      <c r="A4980" s="26" t="s">
        <v>14897</v>
      </c>
      <c r="B4980" s="27" t="s">
        <v>14898</v>
      </c>
      <c r="C4980" s="27" t="s">
        <v>144</v>
      </c>
      <c r="D4980" s="26"/>
      <c r="E4980" s="27"/>
      <c r="F4980" s="27"/>
      <c r="G4980" s="27" t="s">
        <v>11122</v>
      </c>
      <c r="H4980" s="27" t="s">
        <v>35</v>
      </c>
      <c r="I4980" s="27" t="s">
        <v>48</v>
      </c>
      <c r="J4980" s="28" t="s">
        <v>161</v>
      </c>
      <c r="K4980" s="27" t="s">
        <v>40</v>
      </c>
      <c r="L4980" s="27"/>
    </row>
    <row r="4981" customFormat="false" ht="15" hidden="false" customHeight="false" outlineLevel="0" collapsed="false">
      <c r="A4981" s="26" t="s">
        <v>14899</v>
      </c>
      <c r="B4981" s="27" t="s">
        <v>14900</v>
      </c>
      <c r="C4981" s="27" t="s">
        <v>144</v>
      </c>
      <c r="D4981" s="26"/>
      <c r="E4981" s="27"/>
      <c r="F4981" s="27"/>
      <c r="G4981" s="27" t="s">
        <v>11122</v>
      </c>
      <c r="H4981" s="27" t="s">
        <v>35</v>
      </c>
      <c r="I4981" s="27" t="s">
        <v>41</v>
      </c>
      <c r="J4981" s="28" t="s">
        <v>161</v>
      </c>
      <c r="K4981" s="27" t="s">
        <v>40</v>
      </c>
      <c r="L4981" s="27"/>
    </row>
    <row r="4982" customFormat="false" ht="15" hidden="false" customHeight="false" outlineLevel="0" collapsed="false">
      <c r="A4982" s="26" t="s">
        <v>14901</v>
      </c>
      <c r="B4982" s="27" t="s">
        <v>14902</v>
      </c>
      <c r="C4982" s="27" t="s">
        <v>144</v>
      </c>
      <c r="D4982" s="26"/>
      <c r="E4982" s="27"/>
      <c r="F4982" s="27"/>
      <c r="G4982" s="27" t="s">
        <v>11122</v>
      </c>
      <c r="H4982" s="27" t="s">
        <v>35</v>
      </c>
      <c r="I4982" s="27" t="s">
        <v>40</v>
      </c>
      <c r="J4982" s="28" t="s">
        <v>161</v>
      </c>
      <c r="K4982" s="27" t="s">
        <v>40</v>
      </c>
      <c r="L4982" s="27"/>
    </row>
    <row r="4983" customFormat="false" ht="15" hidden="false" customHeight="false" outlineLevel="0" collapsed="false">
      <c r="A4983" s="26" t="s">
        <v>14903</v>
      </c>
      <c r="B4983" s="27" t="s">
        <v>14904</v>
      </c>
      <c r="C4983" s="27" t="s">
        <v>144</v>
      </c>
      <c r="D4983" s="26"/>
      <c r="E4983" s="27"/>
      <c r="F4983" s="27"/>
      <c r="G4983" s="27" t="s">
        <v>11122</v>
      </c>
      <c r="H4983" s="27" t="s">
        <v>35</v>
      </c>
      <c r="I4983" s="27" t="s">
        <v>40</v>
      </c>
      <c r="J4983" s="28" t="s">
        <v>161</v>
      </c>
      <c r="K4983" s="27" t="s">
        <v>40</v>
      </c>
      <c r="L4983" s="27"/>
    </row>
    <row r="4984" customFormat="false" ht="15" hidden="false" customHeight="false" outlineLevel="0" collapsed="false">
      <c r="A4984" s="26" t="s">
        <v>14905</v>
      </c>
      <c r="B4984" s="27" t="s">
        <v>14906</v>
      </c>
      <c r="C4984" s="27" t="s">
        <v>144</v>
      </c>
      <c r="D4984" s="26"/>
      <c r="E4984" s="27"/>
      <c r="F4984" s="27"/>
      <c r="G4984" s="27" t="s">
        <v>11122</v>
      </c>
      <c r="H4984" s="27" t="s">
        <v>35</v>
      </c>
      <c r="I4984" s="27" t="s">
        <v>40</v>
      </c>
      <c r="J4984" s="28" t="s">
        <v>161</v>
      </c>
      <c r="K4984" s="27" t="s">
        <v>40</v>
      </c>
      <c r="L4984" s="27"/>
    </row>
    <row r="4985" customFormat="false" ht="15" hidden="false" customHeight="false" outlineLevel="0" collapsed="false">
      <c r="A4985" s="26" t="s">
        <v>14907</v>
      </c>
      <c r="B4985" s="27" t="s">
        <v>14908</v>
      </c>
      <c r="C4985" s="27" t="s">
        <v>144</v>
      </c>
      <c r="D4985" s="26"/>
      <c r="E4985" s="27"/>
      <c r="F4985" s="27"/>
      <c r="G4985" s="27" t="s">
        <v>11122</v>
      </c>
      <c r="H4985" s="27" t="s">
        <v>35</v>
      </c>
      <c r="I4985" s="27" t="s">
        <v>38</v>
      </c>
      <c r="J4985" s="28" t="s">
        <v>161</v>
      </c>
      <c r="K4985" s="27" t="s">
        <v>40</v>
      </c>
      <c r="L4985" s="27"/>
    </row>
    <row r="4986" customFormat="false" ht="15" hidden="false" customHeight="false" outlineLevel="0" collapsed="false">
      <c r="A4986" s="26" t="s">
        <v>14909</v>
      </c>
      <c r="B4986" s="27" t="s">
        <v>14910</v>
      </c>
      <c r="C4986" s="27" t="s">
        <v>144</v>
      </c>
      <c r="D4986" s="26"/>
      <c r="E4986" s="27"/>
      <c r="F4986" s="27"/>
      <c r="G4986" s="27" t="s">
        <v>11122</v>
      </c>
      <c r="H4986" s="27" t="s">
        <v>35</v>
      </c>
      <c r="I4986" s="27" t="s">
        <v>48</v>
      </c>
      <c r="J4986" s="28" t="s">
        <v>161</v>
      </c>
      <c r="K4986" s="27" t="s">
        <v>40</v>
      </c>
      <c r="L4986" s="27"/>
    </row>
    <row r="4987" customFormat="false" ht="15" hidden="false" customHeight="false" outlineLevel="0" collapsed="false">
      <c r="A4987" s="26" t="s">
        <v>14911</v>
      </c>
      <c r="B4987" s="27" t="s">
        <v>14912</v>
      </c>
      <c r="C4987" s="27" t="s">
        <v>144</v>
      </c>
      <c r="D4987" s="26"/>
      <c r="E4987" s="27"/>
      <c r="F4987" s="27"/>
      <c r="G4987" s="27" t="s">
        <v>11122</v>
      </c>
      <c r="H4987" s="27" t="s">
        <v>35</v>
      </c>
      <c r="I4987" s="27" t="s">
        <v>48</v>
      </c>
      <c r="J4987" s="28" t="s">
        <v>161</v>
      </c>
      <c r="K4987" s="27" t="s">
        <v>40</v>
      </c>
      <c r="L4987" s="27"/>
    </row>
    <row r="4988" customFormat="false" ht="15" hidden="false" customHeight="false" outlineLevel="0" collapsed="false">
      <c r="A4988" s="26" t="s">
        <v>14913</v>
      </c>
      <c r="B4988" s="27" t="s">
        <v>14914</v>
      </c>
      <c r="C4988" s="27" t="s">
        <v>144</v>
      </c>
      <c r="D4988" s="26"/>
      <c r="E4988" s="27"/>
      <c r="F4988" s="27"/>
      <c r="G4988" s="27" t="s">
        <v>11122</v>
      </c>
      <c r="H4988" s="27" t="s">
        <v>35</v>
      </c>
      <c r="I4988" s="27" t="s">
        <v>37</v>
      </c>
      <c r="J4988" s="28" t="s">
        <v>161</v>
      </c>
      <c r="K4988" s="27" t="s">
        <v>40</v>
      </c>
      <c r="L4988" s="27"/>
    </row>
    <row r="4989" customFormat="false" ht="15" hidden="false" customHeight="false" outlineLevel="0" collapsed="false">
      <c r="A4989" s="26" t="s">
        <v>14915</v>
      </c>
      <c r="B4989" s="27" t="s">
        <v>14916</v>
      </c>
      <c r="C4989" s="27" t="s">
        <v>144</v>
      </c>
      <c r="D4989" s="26"/>
      <c r="E4989" s="27"/>
      <c r="F4989" s="27"/>
      <c r="G4989" s="27" t="s">
        <v>11122</v>
      </c>
      <c r="H4989" s="27" t="s">
        <v>35</v>
      </c>
      <c r="I4989" s="27" t="s">
        <v>48</v>
      </c>
      <c r="J4989" s="28" t="s">
        <v>161</v>
      </c>
      <c r="K4989" s="27" t="s">
        <v>40</v>
      </c>
      <c r="L4989" s="27"/>
    </row>
    <row r="4990" customFormat="false" ht="15" hidden="false" customHeight="false" outlineLevel="0" collapsed="false">
      <c r="A4990" s="26" t="s">
        <v>14917</v>
      </c>
      <c r="B4990" s="27" t="s">
        <v>14918</v>
      </c>
      <c r="C4990" s="27" t="s">
        <v>144</v>
      </c>
      <c r="D4990" s="26"/>
      <c r="E4990" s="27"/>
      <c r="F4990" s="27"/>
      <c r="G4990" s="27" t="s">
        <v>11122</v>
      </c>
      <c r="H4990" s="27" t="s">
        <v>35</v>
      </c>
      <c r="I4990" s="27" t="s">
        <v>48</v>
      </c>
      <c r="J4990" s="28" t="s">
        <v>161</v>
      </c>
      <c r="K4990" s="27" t="s">
        <v>40</v>
      </c>
      <c r="L4990" s="27"/>
    </row>
    <row r="4991" customFormat="false" ht="15" hidden="false" customHeight="false" outlineLevel="0" collapsed="false">
      <c r="A4991" s="26" t="s">
        <v>14919</v>
      </c>
      <c r="B4991" s="27" t="s">
        <v>14920</v>
      </c>
      <c r="C4991" s="27" t="s">
        <v>144</v>
      </c>
      <c r="D4991" s="26"/>
      <c r="E4991" s="27"/>
      <c r="F4991" s="27"/>
      <c r="G4991" s="27" t="s">
        <v>11122</v>
      </c>
      <c r="H4991" s="27" t="s">
        <v>35</v>
      </c>
      <c r="I4991" s="27" t="s">
        <v>40</v>
      </c>
      <c r="J4991" s="28" t="s">
        <v>161</v>
      </c>
      <c r="K4991" s="27" t="s">
        <v>40</v>
      </c>
      <c r="L4991" s="27"/>
    </row>
    <row r="4992" customFormat="false" ht="15" hidden="false" customHeight="false" outlineLevel="0" collapsed="false">
      <c r="A4992" s="26" t="s">
        <v>14921</v>
      </c>
      <c r="B4992" s="27" t="s">
        <v>14922</v>
      </c>
      <c r="C4992" s="27" t="s">
        <v>144</v>
      </c>
      <c r="D4992" s="26"/>
      <c r="E4992" s="27"/>
      <c r="F4992" s="27"/>
      <c r="G4992" s="27" t="s">
        <v>11122</v>
      </c>
      <c r="H4992" s="27" t="s">
        <v>35</v>
      </c>
      <c r="I4992" s="27" t="s">
        <v>37</v>
      </c>
      <c r="J4992" s="28" t="s">
        <v>161</v>
      </c>
      <c r="K4992" s="27" t="s">
        <v>40</v>
      </c>
      <c r="L4992" s="27"/>
    </row>
    <row r="4993" customFormat="false" ht="15" hidden="false" customHeight="false" outlineLevel="0" collapsed="false">
      <c r="A4993" s="26" t="s">
        <v>14923</v>
      </c>
      <c r="B4993" s="27" t="s">
        <v>14924</v>
      </c>
      <c r="C4993" s="27" t="s">
        <v>144</v>
      </c>
      <c r="D4993" s="26"/>
      <c r="E4993" s="27"/>
      <c r="F4993" s="27"/>
      <c r="G4993" s="27" t="s">
        <v>11122</v>
      </c>
      <c r="H4993" s="27" t="s">
        <v>35</v>
      </c>
      <c r="I4993" s="27" t="s">
        <v>37</v>
      </c>
      <c r="J4993" s="28" t="s">
        <v>161</v>
      </c>
      <c r="K4993" s="27" t="s">
        <v>40</v>
      </c>
      <c r="L4993" s="27"/>
    </row>
    <row r="4994" customFormat="false" ht="15" hidden="false" customHeight="false" outlineLevel="0" collapsed="false">
      <c r="A4994" s="26" t="s">
        <v>14925</v>
      </c>
      <c r="B4994" s="27" t="s">
        <v>14926</v>
      </c>
      <c r="C4994" s="27" t="s">
        <v>144</v>
      </c>
      <c r="D4994" s="26"/>
      <c r="E4994" s="27"/>
      <c r="F4994" s="27"/>
      <c r="G4994" s="27" t="s">
        <v>11122</v>
      </c>
      <c r="H4994" s="27" t="s">
        <v>35</v>
      </c>
      <c r="I4994" s="27" t="s">
        <v>37</v>
      </c>
      <c r="J4994" s="28" t="s">
        <v>161</v>
      </c>
      <c r="K4994" s="27" t="s">
        <v>40</v>
      </c>
      <c r="L4994" s="27"/>
    </row>
    <row r="4995" customFormat="false" ht="15" hidden="false" customHeight="false" outlineLevel="0" collapsed="false">
      <c r="A4995" s="26" t="s">
        <v>14927</v>
      </c>
      <c r="B4995" s="27" t="s">
        <v>14928</v>
      </c>
      <c r="C4995" s="27" t="s">
        <v>144</v>
      </c>
      <c r="D4995" s="26"/>
      <c r="E4995" s="27"/>
      <c r="F4995" s="27"/>
      <c r="G4995" s="27" t="s">
        <v>11122</v>
      </c>
      <c r="H4995" s="27" t="s">
        <v>35</v>
      </c>
      <c r="I4995" s="27" t="s">
        <v>38</v>
      </c>
      <c r="J4995" s="28" t="s">
        <v>161</v>
      </c>
      <c r="K4995" s="27" t="s">
        <v>40</v>
      </c>
      <c r="L4995" s="27"/>
    </row>
    <row r="4996" customFormat="false" ht="15" hidden="false" customHeight="false" outlineLevel="0" collapsed="false">
      <c r="A4996" s="26" t="s">
        <v>14929</v>
      </c>
      <c r="B4996" s="27" t="s">
        <v>14930</v>
      </c>
      <c r="C4996" s="27" t="s">
        <v>144</v>
      </c>
      <c r="D4996" s="26"/>
      <c r="E4996" s="27"/>
      <c r="F4996" s="27"/>
      <c r="G4996" s="27" t="s">
        <v>11122</v>
      </c>
      <c r="H4996" s="27" t="s">
        <v>35</v>
      </c>
      <c r="I4996" s="27" t="s">
        <v>38</v>
      </c>
      <c r="J4996" s="28" t="s">
        <v>161</v>
      </c>
      <c r="K4996" s="27" t="s">
        <v>40</v>
      </c>
      <c r="L4996" s="27"/>
    </row>
    <row r="4997" customFormat="false" ht="15" hidden="false" customHeight="false" outlineLevel="0" collapsed="false">
      <c r="A4997" s="26" t="s">
        <v>14931</v>
      </c>
      <c r="B4997" s="27" t="s">
        <v>14932</v>
      </c>
      <c r="C4997" s="27" t="s">
        <v>144</v>
      </c>
      <c r="D4997" s="26"/>
      <c r="E4997" s="27"/>
      <c r="F4997" s="27"/>
      <c r="G4997" s="27" t="s">
        <v>11122</v>
      </c>
      <c r="H4997" s="27" t="s">
        <v>35</v>
      </c>
      <c r="I4997" s="27" t="s">
        <v>39</v>
      </c>
      <c r="J4997" s="28" t="s">
        <v>161</v>
      </c>
      <c r="K4997" s="27" t="s">
        <v>40</v>
      </c>
      <c r="L4997" s="27"/>
    </row>
    <row r="4998" customFormat="false" ht="15" hidden="false" customHeight="false" outlineLevel="0" collapsed="false">
      <c r="A4998" s="26" t="s">
        <v>14933</v>
      </c>
      <c r="B4998" s="27" t="s">
        <v>14934</v>
      </c>
      <c r="C4998" s="27" t="s">
        <v>144</v>
      </c>
      <c r="D4998" s="26"/>
      <c r="E4998" s="27"/>
      <c r="F4998" s="27"/>
      <c r="G4998" s="27" t="s">
        <v>11122</v>
      </c>
      <c r="H4998" s="27" t="s">
        <v>35</v>
      </c>
      <c r="I4998" s="27" t="s">
        <v>38</v>
      </c>
      <c r="J4998" s="28" t="s">
        <v>161</v>
      </c>
      <c r="K4998" s="27" t="s">
        <v>40</v>
      </c>
      <c r="L4998" s="27"/>
    </row>
    <row r="4999" customFormat="false" ht="15" hidden="false" customHeight="false" outlineLevel="0" collapsed="false">
      <c r="A4999" s="26" t="s">
        <v>14935</v>
      </c>
      <c r="B4999" s="27" t="s">
        <v>14936</v>
      </c>
      <c r="C4999" s="27" t="s">
        <v>144</v>
      </c>
      <c r="D4999" s="26"/>
      <c r="E4999" s="27"/>
      <c r="F4999" s="27"/>
      <c r="G4999" s="27" t="s">
        <v>11122</v>
      </c>
      <c r="H4999" s="27" t="s">
        <v>35</v>
      </c>
      <c r="I4999" s="28" t="s">
        <v>50</v>
      </c>
      <c r="J4999" s="28" t="s">
        <v>161</v>
      </c>
      <c r="K4999" s="27" t="s">
        <v>40</v>
      </c>
      <c r="L4999" s="27"/>
    </row>
    <row r="5000" customFormat="false" ht="15" hidden="false" customHeight="false" outlineLevel="0" collapsed="false">
      <c r="A5000" s="26" t="s">
        <v>14937</v>
      </c>
      <c r="B5000" s="27" t="s">
        <v>14938</v>
      </c>
      <c r="C5000" s="27" t="s">
        <v>144</v>
      </c>
      <c r="D5000" s="26"/>
      <c r="E5000" s="27"/>
      <c r="F5000" s="27"/>
      <c r="G5000" s="27" t="s">
        <v>11122</v>
      </c>
      <c r="H5000" s="27" t="s">
        <v>35</v>
      </c>
      <c r="I5000" s="27" t="s">
        <v>38</v>
      </c>
      <c r="J5000" s="28" t="s">
        <v>161</v>
      </c>
      <c r="K5000" s="27" t="s">
        <v>40</v>
      </c>
      <c r="L5000" s="27"/>
    </row>
    <row r="5001" customFormat="false" ht="15" hidden="false" customHeight="false" outlineLevel="0" collapsed="false">
      <c r="A5001" s="26" t="s">
        <v>14939</v>
      </c>
      <c r="B5001" s="27" t="s">
        <v>14940</v>
      </c>
      <c r="C5001" s="27" t="s">
        <v>370</v>
      </c>
      <c r="D5001" s="26"/>
      <c r="E5001" s="27"/>
      <c r="F5001" s="27"/>
      <c r="G5001" s="27" t="s">
        <v>11122</v>
      </c>
      <c r="H5001" s="27" t="s">
        <v>35</v>
      </c>
      <c r="I5001" s="27" t="s">
        <v>40</v>
      </c>
      <c r="J5001" s="28" t="s">
        <v>161</v>
      </c>
      <c r="K5001" s="27" t="s">
        <v>40</v>
      </c>
      <c r="L5001" s="27"/>
    </row>
    <row r="5002" customFormat="false" ht="15" hidden="false" customHeight="false" outlineLevel="0" collapsed="false">
      <c r="A5002" s="26" t="s">
        <v>14941</v>
      </c>
      <c r="B5002" s="27" t="s">
        <v>14942</v>
      </c>
      <c r="C5002" s="27" t="s">
        <v>144</v>
      </c>
      <c r="D5002" s="26"/>
      <c r="E5002" s="27"/>
      <c r="F5002" s="27"/>
      <c r="G5002" s="27" t="s">
        <v>11122</v>
      </c>
      <c r="H5002" s="27" t="s">
        <v>35</v>
      </c>
      <c r="I5002" s="27" t="s">
        <v>37</v>
      </c>
      <c r="J5002" s="28" t="s">
        <v>161</v>
      </c>
      <c r="K5002" s="27" t="s">
        <v>40</v>
      </c>
      <c r="L5002" s="27"/>
    </row>
    <row r="5003" customFormat="false" ht="15" hidden="false" customHeight="false" outlineLevel="0" collapsed="false">
      <c r="A5003" s="26" t="s">
        <v>14943</v>
      </c>
      <c r="B5003" s="27" t="s">
        <v>14944</v>
      </c>
      <c r="C5003" s="27" t="s">
        <v>144</v>
      </c>
      <c r="D5003" s="26"/>
      <c r="E5003" s="27"/>
      <c r="F5003" s="27"/>
      <c r="G5003" s="27" t="s">
        <v>11122</v>
      </c>
      <c r="H5003" s="27" t="s">
        <v>35</v>
      </c>
      <c r="I5003" s="27" t="s">
        <v>38</v>
      </c>
      <c r="J5003" s="28" t="s">
        <v>161</v>
      </c>
      <c r="K5003" s="27" t="s">
        <v>40</v>
      </c>
      <c r="L5003" s="27"/>
    </row>
    <row r="5004" customFormat="false" ht="15" hidden="false" customHeight="false" outlineLevel="0" collapsed="false">
      <c r="A5004" s="26" t="s">
        <v>14945</v>
      </c>
      <c r="B5004" s="27" t="s">
        <v>14946</v>
      </c>
      <c r="C5004" s="27" t="s">
        <v>144</v>
      </c>
      <c r="D5004" s="26"/>
      <c r="E5004" s="27"/>
      <c r="F5004" s="27"/>
      <c r="G5004" s="27" t="s">
        <v>11122</v>
      </c>
      <c r="H5004" s="27" t="s">
        <v>35</v>
      </c>
      <c r="I5004" s="27" t="s">
        <v>38</v>
      </c>
      <c r="J5004" s="28" t="s">
        <v>161</v>
      </c>
      <c r="K5004" s="27" t="s">
        <v>40</v>
      </c>
      <c r="L5004" s="27"/>
    </row>
    <row r="5005" customFormat="false" ht="15" hidden="false" customHeight="false" outlineLevel="0" collapsed="false">
      <c r="A5005" s="26" t="s">
        <v>14947</v>
      </c>
      <c r="B5005" s="27" t="s">
        <v>14948</v>
      </c>
      <c r="C5005" s="27" t="s">
        <v>144</v>
      </c>
      <c r="D5005" s="26"/>
      <c r="E5005" s="27"/>
      <c r="F5005" s="27"/>
      <c r="G5005" s="27" t="s">
        <v>11122</v>
      </c>
      <c r="H5005" s="27" t="s">
        <v>35</v>
      </c>
      <c r="I5005" s="27" t="s">
        <v>37</v>
      </c>
      <c r="J5005" s="28" t="s">
        <v>161</v>
      </c>
      <c r="K5005" s="27" t="s">
        <v>40</v>
      </c>
      <c r="L5005" s="27"/>
    </row>
    <row r="5006" customFormat="false" ht="15" hidden="false" customHeight="false" outlineLevel="0" collapsed="false">
      <c r="A5006" s="26" t="s">
        <v>14949</v>
      </c>
      <c r="B5006" s="27" t="s">
        <v>14950</v>
      </c>
      <c r="C5006" s="27" t="s">
        <v>144</v>
      </c>
      <c r="D5006" s="26"/>
      <c r="E5006" s="27"/>
      <c r="F5006" s="27"/>
      <c r="G5006" s="27" t="s">
        <v>11122</v>
      </c>
      <c r="H5006" s="27" t="s">
        <v>35</v>
      </c>
      <c r="I5006" s="27" t="s">
        <v>48</v>
      </c>
      <c r="J5006" s="28" t="s">
        <v>161</v>
      </c>
      <c r="K5006" s="27" t="s">
        <v>40</v>
      </c>
      <c r="L5006" s="27"/>
    </row>
    <row r="5007" customFormat="false" ht="15" hidden="false" customHeight="false" outlineLevel="0" collapsed="false">
      <c r="A5007" s="26" t="s">
        <v>14951</v>
      </c>
      <c r="B5007" s="27" t="s">
        <v>14952</v>
      </c>
      <c r="C5007" s="27" t="s">
        <v>144</v>
      </c>
      <c r="D5007" s="26"/>
      <c r="E5007" s="27"/>
      <c r="F5007" s="27"/>
      <c r="G5007" s="27" t="s">
        <v>11122</v>
      </c>
      <c r="H5007" s="27" t="s">
        <v>35</v>
      </c>
      <c r="I5007" s="27" t="s">
        <v>40</v>
      </c>
      <c r="J5007" s="28" t="s">
        <v>161</v>
      </c>
      <c r="K5007" s="27" t="s">
        <v>40</v>
      </c>
      <c r="L5007" s="27"/>
    </row>
    <row r="5008" customFormat="false" ht="15" hidden="false" customHeight="false" outlineLevel="0" collapsed="false">
      <c r="A5008" s="26" t="s">
        <v>14953</v>
      </c>
      <c r="B5008" s="27" t="s">
        <v>14954</v>
      </c>
      <c r="C5008" s="27" t="s">
        <v>370</v>
      </c>
      <c r="D5008" s="26"/>
      <c r="E5008" s="27"/>
      <c r="F5008" s="27"/>
      <c r="G5008" s="27" t="s">
        <v>11122</v>
      </c>
      <c r="H5008" s="27" t="s">
        <v>35</v>
      </c>
      <c r="I5008" s="28" t="s">
        <v>46</v>
      </c>
      <c r="J5008" s="28" t="s">
        <v>161</v>
      </c>
      <c r="K5008" s="27" t="s">
        <v>40</v>
      </c>
      <c r="L5008" s="27"/>
    </row>
    <row r="5009" customFormat="false" ht="15" hidden="false" customHeight="false" outlineLevel="0" collapsed="false">
      <c r="A5009" s="26" t="s">
        <v>14955</v>
      </c>
      <c r="B5009" s="27" t="s">
        <v>14956</v>
      </c>
      <c r="C5009" s="27" t="s">
        <v>144</v>
      </c>
      <c r="D5009" s="26"/>
      <c r="E5009" s="27"/>
      <c r="F5009" s="27"/>
      <c r="G5009" s="27" t="s">
        <v>11122</v>
      </c>
      <c r="H5009" s="27" t="s">
        <v>35</v>
      </c>
      <c r="I5009" s="27" t="s">
        <v>40</v>
      </c>
      <c r="J5009" s="28" t="s">
        <v>161</v>
      </c>
      <c r="K5009" s="27" t="s">
        <v>40</v>
      </c>
      <c r="L5009" s="27"/>
    </row>
    <row r="5010" customFormat="false" ht="15" hidden="false" customHeight="false" outlineLevel="0" collapsed="false">
      <c r="A5010" s="26" t="s">
        <v>14957</v>
      </c>
      <c r="B5010" s="27" t="s">
        <v>14958</v>
      </c>
      <c r="C5010" s="27" t="s">
        <v>370</v>
      </c>
      <c r="D5010" s="26"/>
      <c r="E5010" s="27"/>
      <c r="F5010" s="27"/>
      <c r="G5010" s="27" t="s">
        <v>11122</v>
      </c>
      <c r="H5010" s="27" t="s">
        <v>35</v>
      </c>
      <c r="I5010" s="27" t="s">
        <v>37</v>
      </c>
      <c r="J5010" s="28" t="s">
        <v>161</v>
      </c>
      <c r="K5010" s="27" t="s">
        <v>40</v>
      </c>
      <c r="L5010" s="27"/>
    </row>
    <row r="5011" customFormat="false" ht="15" hidden="false" customHeight="false" outlineLevel="0" collapsed="false">
      <c r="A5011" s="26" t="s">
        <v>14959</v>
      </c>
      <c r="B5011" s="27" t="s">
        <v>14960</v>
      </c>
      <c r="C5011" s="27" t="s">
        <v>144</v>
      </c>
      <c r="D5011" s="26"/>
      <c r="E5011" s="27"/>
      <c r="F5011" s="27"/>
      <c r="G5011" s="27" t="s">
        <v>11122</v>
      </c>
      <c r="H5011" s="27" t="s">
        <v>35</v>
      </c>
      <c r="I5011" s="27" t="s">
        <v>40</v>
      </c>
      <c r="J5011" s="28" t="s">
        <v>161</v>
      </c>
      <c r="K5011" s="27" t="s">
        <v>40</v>
      </c>
      <c r="L5011" s="27"/>
    </row>
    <row r="5012" customFormat="false" ht="15" hidden="false" customHeight="false" outlineLevel="0" collapsed="false">
      <c r="A5012" s="26" t="s">
        <v>14961</v>
      </c>
      <c r="B5012" s="27" t="s">
        <v>14962</v>
      </c>
      <c r="C5012" s="27" t="s">
        <v>370</v>
      </c>
      <c r="D5012" s="26"/>
      <c r="E5012" s="27"/>
      <c r="F5012" s="27"/>
      <c r="G5012" s="27" t="s">
        <v>11122</v>
      </c>
      <c r="H5012" s="27" t="s">
        <v>35</v>
      </c>
      <c r="I5012" s="27" t="s">
        <v>40</v>
      </c>
      <c r="J5012" s="28" t="s">
        <v>161</v>
      </c>
      <c r="K5012" s="27" t="s">
        <v>40</v>
      </c>
      <c r="L5012" s="27"/>
    </row>
    <row r="5013" customFormat="false" ht="15" hidden="false" customHeight="false" outlineLevel="0" collapsed="false">
      <c r="A5013" s="26" t="s">
        <v>14963</v>
      </c>
      <c r="B5013" s="27" t="s">
        <v>14964</v>
      </c>
      <c r="C5013" s="27" t="s">
        <v>144</v>
      </c>
      <c r="D5013" s="26"/>
      <c r="E5013" s="27"/>
      <c r="F5013" s="27"/>
      <c r="G5013" s="27" t="s">
        <v>11122</v>
      </c>
      <c r="H5013" s="27" t="s">
        <v>35</v>
      </c>
      <c r="I5013" s="27" t="s">
        <v>40</v>
      </c>
      <c r="J5013" s="28" t="s">
        <v>161</v>
      </c>
      <c r="K5013" s="27" t="s">
        <v>40</v>
      </c>
      <c r="L5013" s="27"/>
    </row>
    <row r="5014" customFormat="false" ht="15" hidden="false" customHeight="false" outlineLevel="0" collapsed="false">
      <c r="A5014" s="26" t="s">
        <v>14965</v>
      </c>
      <c r="B5014" s="27" t="s">
        <v>14966</v>
      </c>
      <c r="C5014" s="27" t="s">
        <v>144</v>
      </c>
      <c r="D5014" s="26"/>
      <c r="E5014" s="27"/>
      <c r="F5014" s="27"/>
      <c r="G5014" s="27" t="s">
        <v>11122</v>
      </c>
      <c r="H5014" s="27" t="s">
        <v>35</v>
      </c>
      <c r="I5014" s="27" t="s">
        <v>48</v>
      </c>
      <c r="J5014" s="28" t="s">
        <v>161</v>
      </c>
      <c r="K5014" s="27" t="s">
        <v>40</v>
      </c>
      <c r="L5014" s="27"/>
    </row>
    <row r="5015" customFormat="false" ht="15" hidden="false" customHeight="false" outlineLevel="0" collapsed="false">
      <c r="A5015" s="26" t="s">
        <v>14967</v>
      </c>
      <c r="B5015" s="27" t="s">
        <v>14968</v>
      </c>
      <c r="C5015" s="27" t="s">
        <v>144</v>
      </c>
      <c r="D5015" s="26"/>
      <c r="E5015" s="27"/>
      <c r="F5015" s="27"/>
      <c r="G5015" s="27" t="s">
        <v>11122</v>
      </c>
      <c r="H5015" s="27" t="s">
        <v>35</v>
      </c>
      <c r="I5015" s="27" t="s">
        <v>37</v>
      </c>
      <c r="J5015" s="28" t="s">
        <v>161</v>
      </c>
      <c r="K5015" s="27" t="s">
        <v>40</v>
      </c>
      <c r="L5015" s="27"/>
    </row>
    <row r="5016" customFormat="false" ht="15" hidden="false" customHeight="false" outlineLevel="0" collapsed="false">
      <c r="A5016" s="26" t="s">
        <v>14969</v>
      </c>
      <c r="B5016" s="27" t="s">
        <v>14970</v>
      </c>
      <c r="C5016" s="27" t="s">
        <v>370</v>
      </c>
      <c r="D5016" s="26"/>
      <c r="E5016" s="27"/>
      <c r="F5016" s="27"/>
      <c r="G5016" s="27" t="s">
        <v>11122</v>
      </c>
      <c r="H5016" s="27" t="s">
        <v>35</v>
      </c>
      <c r="I5016" s="27" t="s">
        <v>38</v>
      </c>
      <c r="J5016" s="28" t="s">
        <v>161</v>
      </c>
      <c r="K5016" s="27" t="s">
        <v>40</v>
      </c>
      <c r="L5016" s="27"/>
    </row>
    <row r="5017" customFormat="false" ht="15" hidden="false" customHeight="false" outlineLevel="0" collapsed="false">
      <c r="A5017" s="26" t="s">
        <v>14971</v>
      </c>
      <c r="B5017" s="27" t="s">
        <v>14972</v>
      </c>
      <c r="C5017" s="27" t="s">
        <v>144</v>
      </c>
      <c r="D5017" s="26"/>
      <c r="E5017" s="27"/>
      <c r="F5017" s="27"/>
      <c r="G5017" s="27" t="s">
        <v>11122</v>
      </c>
      <c r="H5017" s="27" t="s">
        <v>35</v>
      </c>
      <c r="I5017" s="27" t="s">
        <v>48</v>
      </c>
      <c r="J5017" s="28" t="s">
        <v>161</v>
      </c>
      <c r="K5017" s="27" t="s">
        <v>40</v>
      </c>
      <c r="L5017" s="27"/>
    </row>
    <row r="5018" customFormat="false" ht="15" hidden="false" customHeight="false" outlineLevel="0" collapsed="false">
      <c r="A5018" s="26" t="s">
        <v>14973</v>
      </c>
      <c r="B5018" s="27" t="s">
        <v>14974</v>
      </c>
      <c r="C5018" s="27" t="s">
        <v>144</v>
      </c>
      <c r="D5018" s="26"/>
      <c r="E5018" s="27"/>
      <c r="F5018" s="27"/>
      <c r="G5018" s="27" t="s">
        <v>11122</v>
      </c>
      <c r="H5018" s="27" t="s">
        <v>35</v>
      </c>
      <c r="I5018" s="27" t="s">
        <v>48</v>
      </c>
      <c r="J5018" s="28" t="s">
        <v>161</v>
      </c>
      <c r="K5018" s="27" t="s">
        <v>40</v>
      </c>
      <c r="L5018" s="27"/>
    </row>
    <row r="5019" customFormat="false" ht="15" hidden="false" customHeight="false" outlineLevel="0" collapsed="false">
      <c r="A5019" s="26" t="s">
        <v>14975</v>
      </c>
      <c r="B5019" s="27" t="s">
        <v>14976</v>
      </c>
      <c r="C5019" s="27" t="s">
        <v>144</v>
      </c>
      <c r="D5019" s="26"/>
      <c r="E5019" s="27"/>
      <c r="F5019" s="27"/>
      <c r="G5019" s="27" t="s">
        <v>11122</v>
      </c>
      <c r="H5019" s="27" t="s">
        <v>35</v>
      </c>
      <c r="I5019" s="27" t="s">
        <v>44</v>
      </c>
      <c r="J5019" s="28" t="s">
        <v>161</v>
      </c>
      <c r="K5019" s="27" t="s">
        <v>40</v>
      </c>
      <c r="L5019" s="27"/>
    </row>
    <row r="5020" customFormat="false" ht="15" hidden="false" customHeight="false" outlineLevel="0" collapsed="false">
      <c r="A5020" s="26" t="s">
        <v>14977</v>
      </c>
      <c r="B5020" s="27" t="s">
        <v>14978</v>
      </c>
      <c r="C5020" s="27" t="s">
        <v>144</v>
      </c>
      <c r="D5020" s="26"/>
      <c r="E5020" s="27"/>
      <c r="F5020" s="27"/>
      <c r="G5020" s="27" t="s">
        <v>11122</v>
      </c>
      <c r="H5020" s="27" t="s">
        <v>35</v>
      </c>
      <c r="I5020" s="27" t="s">
        <v>48</v>
      </c>
      <c r="J5020" s="28" t="s">
        <v>161</v>
      </c>
      <c r="K5020" s="27" t="s">
        <v>40</v>
      </c>
      <c r="L5020" s="27"/>
    </row>
    <row r="5021" customFormat="false" ht="15" hidden="false" customHeight="false" outlineLevel="0" collapsed="false">
      <c r="A5021" s="26" t="s">
        <v>14979</v>
      </c>
      <c r="B5021" s="27" t="s">
        <v>14980</v>
      </c>
      <c r="C5021" s="27" t="s">
        <v>144</v>
      </c>
      <c r="D5021" s="26"/>
      <c r="E5021" s="27"/>
      <c r="F5021" s="27"/>
      <c r="G5021" s="27" t="s">
        <v>11122</v>
      </c>
      <c r="H5021" s="27" t="s">
        <v>35</v>
      </c>
      <c r="I5021" s="27" t="s">
        <v>48</v>
      </c>
      <c r="J5021" s="28" t="s">
        <v>161</v>
      </c>
      <c r="K5021" s="27" t="s">
        <v>40</v>
      </c>
      <c r="L5021" s="27"/>
    </row>
    <row r="5022" customFormat="false" ht="15" hidden="false" customHeight="false" outlineLevel="0" collapsed="false">
      <c r="A5022" s="26" t="s">
        <v>14981</v>
      </c>
      <c r="B5022" s="27" t="s">
        <v>14982</v>
      </c>
      <c r="C5022" s="27" t="s">
        <v>144</v>
      </c>
      <c r="D5022" s="26"/>
      <c r="E5022" s="27"/>
      <c r="F5022" s="27"/>
      <c r="G5022" s="27" t="s">
        <v>11122</v>
      </c>
      <c r="H5022" s="27" t="s">
        <v>35</v>
      </c>
      <c r="I5022" s="27" t="s">
        <v>43</v>
      </c>
      <c r="J5022" s="28" t="s">
        <v>161</v>
      </c>
      <c r="K5022" s="27" t="s">
        <v>40</v>
      </c>
      <c r="L5022" s="27"/>
    </row>
    <row r="5023" customFormat="false" ht="15" hidden="false" customHeight="false" outlineLevel="0" collapsed="false">
      <c r="A5023" s="26" t="s">
        <v>14983</v>
      </c>
      <c r="B5023" s="27" t="s">
        <v>14984</v>
      </c>
      <c r="C5023" s="27" t="s">
        <v>144</v>
      </c>
      <c r="D5023" s="26"/>
      <c r="E5023" s="27"/>
      <c r="F5023" s="27"/>
      <c r="G5023" s="27" t="s">
        <v>11122</v>
      </c>
      <c r="H5023" s="27" t="s">
        <v>35</v>
      </c>
      <c r="I5023" s="27" t="s">
        <v>48</v>
      </c>
      <c r="J5023" s="28" t="s">
        <v>161</v>
      </c>
      <c r="K5023" s="27" t="s">
        <v>40</v>
      </c>
      <c r="L5023" s="27"/>
    </row>
    <row r="5024" customFormat="false" ht="15" hidden="false" customHeight="false" outlineLevel="0" collapsed="false">
      <c r="A5024" s="26" t="s">
        <v>14985</v>
      </c>
      <c r="B5024" s="27" t="s">
        <v>14986</v>
      </c>
      <c r="C5024" s="27" t="s">
        <v>144</v>
      </c>
      <c r="D5024" s="26"/>
      <c r="E5024" s="27"/>
      <c r="F5024" s="27"/>
      <c r="G5024" s="27" t="s">
        <v>11122</v>
      </c>
      <c r="H5024" s="27" t="s">
        <v>35</v>
      </c>
      <c r="I5024" s="27" t="s">
        <v>37</v>
      </c>
      <c r="J5024" s="28" t="s">
        <v>161</v>
      </c>
      <c r="K5024" s="27" t="s">
        <v>40</v>
      </c>
      <c r="L5024" s="27"/>
    </row>
    <row r="5025" customFormat="false" ht="15" hidden="false" customHeight="false" outlineLevel="0" collapsed="false">
      <c r="A5025" s="26" t="s">
        <v>14987</v>
      </c>
      <c r="B5025" s="27" t="s">
        <v>14988</v>
      </c>
      <c r="C5025" s="27" t="s">
        <v>144</v>
      </c>
      <c r="D5025" s="26"/>
      <c r="E5025" s="27"/>
      <c r="F5025" s="27"/>
      <c r="G5025" s="27" t="s">
        <v>11122</v>
      </c>
      <c r="H5025" s="27" t="s">
        <v>35</v>
      </c>
      <c r="I5025" s="27" t="s">
        <v>37</v>
      </c>
      <c r="J5025" s="28" t="s">
        <v>161</v>
      </c>
      <c r="K5025" s="27" t="s">
        <v>40</v>
      </c>
      <c r="L5025" s="27"/>
    </row>
    <row r="5026" customFormat="false" ht="15" hidden="false" customHeight="false" outlineLevel="0" collapsed="false">
      <c r="A5026" s="26" t="s">
        <v>14989</v>
      </c>
      <c r="B5026" s="27" t="s">
        <v>14990</v>
      </c>
      <c r="C5026" s="27" t="s">
        <v>144</v>
      </c>
      <c r="D5026" s="26"/>
      <c r="E5026" s="27"/>
      <c r="F5026" s="27"/>
      <c r="G5026" s="27" t="s">
        <v>11122</v>
      </c>
      <c r="H5026" s="27" t="s">
        <v>35</v>
      </c>
      <c r="I5026" s="27" t="s">
        <v>37</v>
      </c>
      <c r="J5026" s="28" t="s">
        <v>161</v>
      </c>
      <c r="K5026" s="27" t="s">
        <v>40</v>
      </c>
      <c r="L5026" s="27"/>
    </row>
    <row r="5027" customFormat="false" ht="15" hidden="false" customHeight="false" outlineLevel="0" collapsed="false">
      <c r="A5027" s="26" t="s">
        <v>14991</v>
      </c>
      <c r="B5027" s="27" t="s">
        <v>14992</v>
      </c>
      <c r="C5027" s="27" t="s">
        <v>370</v>
      </c>
      <c r="D5027" s="26"/>
      <c r="E5027" s="27"/>
      <c r="F5027" s="27"/>
      <c r="G5027" s="27" t="s">
        <v>11122</v>
      </c>
      <c r="H5027" s="27" t="s">
        <v>35</v>
      </c>
      <c r="I5027" s="27" t="s">
        <v>40</v>
      </c>
      <c r="J5027" s="28" t="s">
        <v>161</v>
      </c>
      <c r="K5027" s="27" t="s">
        <v>40</v>
      </c>
      <c r="L5027" s="27"/>
    </row>
    <row r="5028" customFormat="false" ht="15" hidden="false" customHeight="false" outlineLevel="0" collapsed="false">
      <c r="A5028" s="26" t="s">
        <v>14993</v>
      </c>
      <c r="B5028" s="27" t="s">
        <v>14994</v>
      </c>
      <c r="C5028" s="27" t="s">
        <v>144</v>
      </c>
      <c r="D5028" s="26"/>
      <c r="E5028" s="27"/>
      <c r="F5028" s="27"/>
      <c r="G5028" s="27" t="s">
        <v>11122</v>
      </c>
      <c r="H5028" s="27" t="s">
        <v>35</v>
      </c>
      <c r="I5028" s="27" t="s">
        <v>48</v>
      </c>
      <c r="J5028" s="28" t="s">
        <v>161</v>
      </c>
      <c r="K5028" s="27" t="s">
        <v>40</v>
      </c>
      <c r="L5028" s="27"/>
    </row>
    <row r="5029" customFormat="false" ht="15" hidden="false" customHeight="false" outlineLevel="0" collapsed="false">
      <c r="A5029" s="26" t="s">
        <v>14995</v>
      </c>
      <c r="B5029" s="27" t="s">
        <v>14996</v>
      </c>
      <c r="C5029" s="27" t="s">
        <v>144</v>
      </c>
      <c r="D5029" s="26"/>
      <c r="E5029" s="27"/>
      <c r="F5029" s="27"/>
      <c r="G5029" s="27" t="s">
        <v>11122</v>
      </c>
      <c r="H5029" s="27" t="s">
        <v>35</v>
      </c>
      <c r="I5029" s="27" t="s">
        <v>37</v>
      </c>
      <c r="J5029" s="28" t="s">
        <v>161</v>
      </c>
      <c r="K5029" s="27" t="s">
        <v>40</v>
      </c>
      <c r="L5029" s="27"/>
    </row>
    <row r="5030" customFormat="false" ht="15" hidden="false" customHeight="false" outlineLevel="0" collapsed="false">
      <c r="A5030" s="26" t="s">
        <v>14997</v>
      </c>
      <c r="B5030" s="27" t="s">
        <v>14998</v>
      </c>
      <c r="C5030" s="27" t="s">
        <v>144</v>
      </c>
      <c r="D5030" s="26"/>
      <c r="E5030" s="27"/>
      <c r="F5030" s="27"/>
      <c r="G5030" s="27" t="s">
        <v>11122</v>
      </c>
      <c r="H5030" s="27" t="s">
        <v>35</v>
      </c>
      <c r="I5030" s="27" t="s">
        <v>43</v>
      </c>
      <c r="J5030" s="28" t="s">
        <v>161</v>
      </c>
      <c r="K5030" s="27" t="s">
        <v>40</v>
      </c>
      <c r="L5030" s="27"/>
    </row>
    <row r="5031" customFormat="false" ht="15" hidden="false" customHeight="false" outlineLevel="0" collapsed="false">
      <c r="A5031" s="26" t="s">
        <v>14999</v>
      </c>
      <c r="B5031" s="27" t="s">
        <v>15000</v>
      </c>
      <c r="C5031" s="27" t="s">
        <v>144</v>
      </c>
      <c r="D5031" s="26"/>
      <c r="E5031" s="27"/>
      <c r="F5031" s="27"/>
      <c r="G5031" s="27" t="s">
        <v>11122</v>
      </c>
      <c r="H5031" s="27" t="s">
        <v>35</v>
      </c>
      <c r="I5031" s="27" t="s">
        <v>41</v>
      </c>
      <c r="J5031" s="28" t="s">
        <v>161</v>
      </c>
      <c r="K5031" s="27" t="s">
        <v>40</v>
      </c>
      <c r="L5031" s="27"/>
    </row>
    <row r="5032" customFormat="false" ht="15" hidden="false" customHeight="false" outlineLevel="0" collapsed="false">
      <c r="A5032" s="26" t="s">
        <v>15001</v>
      </c>
      <c r="B5032" s="27" t="s">
        <v>15002</v>
      </c>
      <c r="C5032" s="27" t="s">
        <v>144</v>
      </c>
      <c r="D5032" s="26"/>
      <c r="E5032" s="27"/>
      <c r="F5032" s="27"/>
      <c r="G5032" s="27" t="s">
        <v>11122</v>
      </c>
      <c r="H5032" s="27" t="s">
        <v>35</v>
      </c>
      <c r="I5032" s="27" t="s">
        <v>37</v>
      </c>
      <c r="J5032" s="28" t="s">
        <v>161</v>
      </c>
      <c r="K5032" s="27" t="s">
        <v>40</v>
      </c>
      <c r="L5032" s="27"/>
    </row>
    <row r="5033" customFormat="false" ht="15" hidden="false" customHeight="false" outlineLevel="0" collapsed="false">
      <c r="A5033" s="26" t="s">
        <v>15003</v>
      </c>
      <c r="B5033" s="27" t="s">
        <v>15004</v>
      </c>
      <c r="C5033" s="27" t="s">
        <v>144</v>
      </c>
      <c r="D5033" s="26"/>
      <c r="E5033" s="27"/>
      <c r="F5033" s="27"/>
      <c r="G5033" s="27" t="s">
        <v>11122</v>
      </c>
      <c r="H5033" s="27" t="s">
        <v>35</v>
      </c>
      <c r="I5033" s="27" t="s">
        <v>48</v>
      </c>
      <c r="J5033" s="28" t="s">
        <v>161</v>
      </c>
      <c r="K5033" s="27" t="s">
        <v>40</v>
      </c>
      <c r="L5033" s="27"/>
    </row>
    <row r="5034" customFormat="false" ht="15" hidden="false" customHeight="false" outlineLevel="0" collapsed="false">
      <c r="A5034" s="26" t="s">
        <v>15005</v>
      </c>
      <c r="B5034" s="27" t="s">
        <v>15006</v>
      </c>
      <c r="C5034" s="27" t="s">
        <v>144</v>
      </c>
      <c r="D5034" s="26"/>
      <c r="E5034" s="27"/>
      <c r="F5034" s="27"/>
      <c r="G5034" s="27" t="s">
        <v>11122</v>
      </c>
      <c r="H5034" s="27" t="s">
        <v>35</v>
      </c>
      <c r="I5034" s="27" t="s">
        <v>48</v>
      </c>
      <c r="J5034" s="28" t="s">
        <v>161</v>
      </c>
      <c r="K5034" s="27" t="s">
        <v>40</v>
      </c>
      <c r="L5034" s="27"/>
    </row>
    <row r="5035" customFormat="false" ht="15" hidden="false" customHeight="false" outlineLevel="0" collapsed="false">
      <c r="A5035" s="26" t="s">
        <v>15007</v>
      </c>
      <c r="B5035" s="27" t="s">
        <v>15008</v>
      </c>
      <c r="C5035" s="27" t="s">
        <v>144</v>
      </c>
      <c r="D5035" s="26"/>
      <c r="E5035" s="27"/>
      <c r="F5035" s="27"/>
      <c r="G5035" s="27" t="s">
        <v>11122</v>
      </c>
      <c r="H5035" s="27" t="s">
        <v>35</v>
      </c>
      <c r="I5035" s="27" t="s">
        <v>48</v>
      </c>
      <c r="J5035" s="28" t="s">
        <v>161</v>
      </c>
      <c r="K5035" s="27" t="s">
        <v>40</v>
      </c>
      <c r="L5035" s="27"/>
    </row>
    <row r="5036" customFormat="false" ht="15" hidden="false" customHeight="false" outlineLevel="0" collapsed="false">
      <c r="A5036" s="26" t="s">
        <v>15009</v>
      </c>
      <c r="B5036" s="27" t="s">
        <v>15010</v>
      </c>
      <c r="C5036" s="27" t="s">
        <v>144</v>
      </c>
      <c r="D5036" s="26"/>
      <c r="E5036" s="27"/>
      <c r="F5036" s="27"/>
      <c r="G5036" s="27" t="s">
        <v>11122</v>
      </c>
      <c r="H5036" s="27" t="s">
        <v>35</v>
      </c>
      <c r="I5036" s="27" t="s">
        <v>40</v>
      </c>
      <c r="J5036" s="28" t="s">
        <v>161</v>
      </c>
      <c r="K5036" s="27" t="s">
        <v>40</v>
      </c>
      <c r="L5036" s="27"/>
    </row>
    <row r="5037" customFormat="false" ht="15" hidden="false" customHeight="false" outlineLevel="0" collapsed="false">
      <c r="A5037" s="26" t="s">
        <v>15011</v>
      </c>
      <c r="B5037" s="27" t="s">
        <v>15012</v>
      </c>
      <c r="C5037" s="27" t="s">
        <v>144</v>
      </c>
      <c r="D5037" s="26"/>
      <c r="E5037" s="27"/>
      <c r="F5037" s="27"/>
      <c r="G5037" s="27" t="s">
        <v>11122</v>
      </c>
      <c r="H5037" s="27" t="s">
        <v>35</v>
      </c>
      <c r="I5037" s="27" t="s">
        <v>40</v>
      </c>
      <c r="J5037" s="28" t="s">
        <v>161</v>
      </c>
      <c r="K5037" s="27" t="s">
        <v>40</v>
      </c>
      <c r="L5037" s="27"/>
    </row>
    <row r="5038" customFormat="false" ht="15" hidden="false" customHeight="false" outlineLevel="0" collapsed="false">
      <c r="A5038" s="26" t="s">
        <v>15013</v>
      </c>
      <c r="B5038" s="27" t="s">
        <v>15014</v>
      </c>
      <c r="C5038" s="27" t="s">
        <v>144</v>
      </c>
      <c r="D5038" s="26"/>
      <c r="E5038" s="27"/>
      <c r="F5038" s="27"/>
      <c r="G5038" s="27" t="s">
        <v>11122</v>
      </c>
      <c r="H5038" s="27" t="s">
        <v>35</v>
      </c>
      <c r="I5038" s="27" t="s">
        <v>40</v>
      </c>
      <c r="J5038" s="28" t="s">
        <v>161</v>
      </c>
      <c r="K5038" s="27" t="s">
        <v>40</v>
      </c>
      <c r="L5038" s="27"/>
    </row>
    <row r="5039" customFormat="false" ht="15" hidden="false" customHeight="false" outlineLevel="0" collapsed="false">
      <c r="A5039" s="26" t="s">
        <v>15015</v>
      </c>
      <c r="B5039" s="27" t="s">
        <v>15016</v>
      </c>
      <c r="C5039" s="27" t="s">
        <v>144</v>
      </c>
      <c r="D5039" s="26"/>
      <c r="E5039" s="27"/>
      <c r="F5039" s="27"/>
      <c r="G5039" s="27" t="s">
        <v>11122</v>
      </c>
      <c r="H5039" s="27" t="s">
        <v>35</v>
      </c>
      <c r="I5039" s="27" t="s">
        <v>40</v>
      </c>
      <c r="J5039" s="28" t="s">
        <v>161</v>
      </c>
      <c r="K5039" s="27" t="s">
        <v>40</v>
      </c>
      <c r="L5039" s="27"/>
    </row>
    <row r="5040" customFormat="false" ht="15" hidden="false" customHeight="false" outlineLevel="0" collapsed="false">
      <c r="A5040" s="26" t="s">
        <v>15017</v>
      </c>
      <c r="B5040" s="27" t="s">
        <v>15018</v>
      </c>
      <c r="C5040" s="27" t="s">
        <v>144</v>
      </c>
      <c r="D5040" s="26"/>
      <c r="E5040" s="27"/>
      <c r="F5040" s="27"/>
      <c r="G5040" s="27" t="s">
        <v>11122</v>
      </c>
      <c r="H5040" s="27" t="s">
        <v>35</v>
      </c>
      <c r="I5040" s="27" t="s">
        <v>40</v>
      </c>
      <c r="J5040" s="28" t="s">
        <v>161</v>
      </c>
      <c r="K5040" s="27" t="s">
        <v>40</v>
      </c>
      <c r="L5040" s="27"/>
    </row>
    <row r="5041" customFormat="false" ht="15" hidden="false" customHeight="false" outlineLevel="0" collapsed="false">
      <c r="A5041" s="26" t="s">
        <v>15019</v>
      </c>
      <c r="B5041" s="27" t="s">
        <v>15020</v>
      </c>
      <c r="C5041" s="27" t="s">
        <v>144</v>
      </c>
      <c r="D5041" s="26"/>
      <c r="E5041" s="27"/>
      <c r="F5041" s="27"/>
      <c r="G5041" s="27" t="s">
        <v>11122</v>
      </c>
      <c r="H5041" s="27" t="s">
        <v>35</v>
      </c>
      <c r="I5041" s="27" t="s">
        <v>40</v>
      </c>
      <c r="J5041" s="28" t="s">
        <v>161</v>
      </c>
      <c r="K5041" s="27" t="s">
        <v>40</v>
      </c>
      <c r="L5041" s="27"/>
    </row>
    <row r="5042" customFormat="false" ht="15" hidden="false" customHeight="false" outlineLevel="0" collapsed="false">
      <c r="A5042" s="26" t="s">
        <v>15021</v>
      </c>
      <c r="B5042" s="27" t="s">
        <v>15022</v>
      </c>
      <c r="C5042" s="27" t="s">
        <v>144</v>
      </c>
      <c r="D5042" s="26"/>
      <c r="E5042" s="27"/>
      <c r="F5042" s="27"/>
      <c r="G5042" s="27" t="s">
        <v>11122</v>
      </c>
      <c r="H5042" s="27" t="s">
        <v>35</v>
      </c>
      <c r="I5042" s="27" t="s">
        <v>38</v>
      </c>
      <c r="J5042" s="28" t="s">
        <v>161</v>
      </c>
      <c r="K5042" s="27" t="s">
        <v>40</v>
      </c>
      <c r="L5042" s="27"/>
    </row>
    <row r="5043" customFormat="false" ht="15" hidden="false" customHeight="false" outlineLevel="0" collapsed="false">
      <c r="A5043" s="26" t="s">
        <v>15023</v>
      </c>
      <c r="B5043" s="27" t="s">
        <v>15024</v>
      </c>
      <c r="C5043" s="27" t="s">
        <v>144</v>
      </c>
      <c r="D5043" s="26"/>
      <c r="E5043" s="27"/>
      <c r="F5043" s="27"/>
      <c r="G5043" s="27" t="s">
        <v>11122</v>
      </c>
      <c r="H5043" s="27" t="s">
        <v>35</v>
      </c>
      <c r="I5043" s="27" t="s">
        <v>40</v>
      </c>
      <c r="J5043" s="28" t="s">
        <v>161</v>
      </c>
      <c r="K5043" s="27" t="s">
        <v>40</v>
      </c>
      <c r="L5043" s="27"/>
    </row>
    <row r="5044" customFormat="false" ht="15" hidden="false" customHeight="false" outlineLevel="0" collapsed="false">
      <c r="A5044" s="26" t="s">
        <v>15025</v>
      </c>
      <c r="B5044" s="27" t="s">
        <v>15026</v>
      </c>
      <c r="C5044" s="27" t="s">
        <v>144</v>
      </c>
      <c r="D5044" s="26"/>
      <c r="E5044" s="27"/>
      <c r="F5044" s="27"/>
      <c r="G5044" s="27" t="s">
        <v>11122</v>
      </c>
      <c r="H5044" s="27" t="s">
        <v>35</v>
      </c>
      <c r="I5044" s="27" t="s">
        <v>40</v>
      </c>
      <c r="J5044" s="28" t="s">
        <v>161</v>
      </c>
      <c r="K5044" s="27" t="s">
        <v>40</v>
      </c>
      <c r="L5044" s="27"/>
    </row>
    <row r="5045" customFormat="false" ht="15" hidden="false" customHeight="false" outlineLevel="0" collapsed="false">
      <c r="A5045" s="26" t="s">
        <v>15027</v>
      </c>
      <c r="B5045" s="27" t="s">
        <v>15028</v>
      </c>
      <c r="C5045" s="27" t="s">
        <v>144</v>
      </c>
      <c r="D5045" s="26"/>
      <c r="E5045" s="27"/>
      <c r="F5045" s="27"/>
      <c r="G5045" s="27" t="s">
        <v>11122</v>
      </c>
      <c r="H5045" s="27" t="s">
        <v>35</v>
      </c>
      <c r="I5045" s="27" t="s">
        <v>48</v>
      </c>
      <c r="J5045" s="28" t="s">
        <v>161</v>
      </c>
      <c r="K5045" s="27" t="s">
        <v>40</v>
      </c>
      <c r="L5045" s="27"/>
    </row>
    <row r="5046" customFormat="false" ht="15" hidden="false" customHeight="false" outlineLevel="0" collapsed="false">
      <c r="A5046" s="26" t="s">
        <v>15029</v>
      </c>
      <c r="B5046" s="27" t="s">
        <v>15030</v>
      </c>
      <c r="C5046" s="27" t="s">
        <v>144</v>
      </c>
      <c r="D5046" s="26"/>
      <c r="E5046" s="27"/>
      <c r="F5046" s="27"/>
      <c r="G5046" s="27" t="s">
        <v>11122</v>
      </c>
      <c r="H5046" s="27" t="s">
        <v>35</v>
      </c>
      <c r="I5046" s="27" t="s">
        <v>48</v>
      </c>
      <c r="J5046" s="28" t="s">
        <v>161</v>
      </c>
      <c r="K5046" s="27" t="s">
        <v>40</v>
      </c>
      <c r="L5046" s="27"/>
    </row>
    <row r="5047" customFormat="false" ht="15" hidden="false" customHeight="false" outlineLevel="0" collapsed="false">
      <c r="A5047" s="26" t="s">
        <v>15031</v>
      </c>
      <c r="B5047" s="27" t="s">
        <v>15032</v>
      </c>
      <c r="C5047" s="27" t="s">
        <v>144</v>
      </c>
      <c r="D5047" s="26"/>
      <c r="E5047" s="27"/>
      <c r="F5047" s="27"/>
      <c r="G5047" s="27" t="s">
        <v>11122</v>
      </c>
      <c r="H5047" s="27" t="s">
        <v>35</v>
      </c>
      <c r="I5047" s="27" t="s">
        <v>40</v>
      </c>
      <c r="J5047" s="28" t="s">
        <v>161</v>
      </c>
      <c r="K5047" s="27" t="s">
        <v>40</v>
      </c>
      <c r="L5047" s="27"/>
    </row>
    <row r="5048" customFormat="false" ht="15" hidden="false" customHeight="false" outlineLevel="0" collapsed="false">
      <c r="A5048" s="26" t="s">
        <v>15033</v>
      </c>
      <c r="B5048" s="27" t="s">
        <v>15034</v>
      </c>
      <c r="C5048" s="27" t="s">
        <v>144</v>
      </c>
      <c r="D5048" s="26"/>
      <c r="E5048" s="27"/>
      <c r="F5048" s="27"/>
      <c r="G5048" s="27" t="s">
        <v>11122</v>
      </c>
      <c r="H5048" s="27" t="s">
        <v>35</v>
      </c>
      <c r="I5048" s="27" t="s">
        <v>40</v>
      </c>
      <c r="J5048" s="28" t="s">
        <v>161</v>
      </c>
      <c r="K5048" s="27" t="s">
        <v>40</v>
      </c>
      <c r="L5048" s="27"/>
    </row>
    <row r="5049" customFormat="false" ht="15" hidden="false" customHeight="false" outlineLevel="0" collapsed="false">
      <c r="A5049" s="26" t="s">
        <v>15035</v>
      </c>
      <c r="B5049" s="27" t="s">
        <v>15036</v>
      </c>
      <c r="C5049" s="27" t="s">
        <v>144</v>
      </c>
      <c r="D5049" s="26"/>
      <c r="E5049" s="27"/>
      <c r="F5049" s="27"/>
      <c r="G5049" s="27" t="s">
        <v>11122</v>
      </c>
      <c r="H5049" s="27" t="s">
        <v>35</v>
      </c>
      <c r="I5049" s="27" t="s">
        <v>40</v>
      </c>
      <c r="J5049" s="28" t="s">
        <v>161</v>
      </c>
      <c r="K5049" s="27" t="s">
        <v>40</v>
      </c>
      <c r="L5049" s="27"/>
    </row>
    <row r="5050" customFormat="false" ht="15" hidden="false" customHeight="false" outlineLevel="0" collapsed="false">
      <c r="A5050" s="26" t="s">
        <v>15037</v>
      </c>
      <c r="B5050" s="27" t="s">
        <v>15038</v>
      </c>
      <c r="C5050" s="27" t="s">
        <v>144</v>
      </c>
      <c r="D5050" s="26"/>
      <c r="E5050" s="27"/>
      <c r="F5050" s="27"/>
      <c r="G5050" s="27" t="s">
        <v>11122</v>
      </c>
      <c r="H5050" s="27" t="s">
        <v>35</v>
      </c>
      <c r="I5050" s="27" t="s">
        <v>48</v>
      </c>
      <c r="J5050" s="28" t="s">
        <v>161</v>
      </c>
      <c r="K5050" s="27" t="s">
        <v>40</v>
      </c>
      <c r="L5050" s="27"/>
    </row>
    <row r="5051" customFormat="false" ht="15" hidden="false" customHeight="false" outlineLevel="0" collapsed="false">
      <c r="A5051" s="26" t="s">
        <v>15039</v>
      </c>
      <c r="B5051" s="27" t="s">
        <v>15040</v>
      </c>
      <c r="C5051" s="27" t="s">
        <v>370</v>
      </c>
      <c r="D5051" s="26"/>
      <c r="E5051" s="27"/>
      <c r="F5051" s="27"/>
      <c r="G5051" s="27" t="s">
        <v>11122</v>
      </c>
      <c r="H5051" s="27" t="s">
        <v>35</v>
      </c>
      <c r="I5051" s="27" t="s">
        <v>48</v>
      </c>
      <c r="J5051" s="28" t="s">
        <v>161</v>
      </c>
      <c r="K5051" s="27" t="s">
        <v>40</v>
      </c>
      <c r="L5051" s="27"/>
    </row>
    <row r="5052" customFormat="false" ht="15" hidden="false" customHeight="false" outlineLevel="0" collapsed="false">
      <c r="A5052" s="26" t="s">
        <v>15041</v>
      </c>
      <c r="B5052" s="27" t="s">
        <v>15042</v>
      </c>
      <c r="C5052" s="27" t="s">
        <v>144</v>
      </c>
      <c r="D5052" s="26"/>
      <c r="E5052" s="27"/>
      <c r="F5052" s="27"/>
      <c r="G5052" s="27" t="s">
        <v>11122</v>
      </c>
      <c r="H5052" s="27" t="s">
        <v>35</v>
      </c>
      <c r="I5052" s="27" t="s">
        <v>39</v>
      </c>
      <c r="J5052" s="28" t="s">
        <v>161</v>
      </c>
      <c r="K5052" s="27" t="s">
        <v>40</v>
      </c>
      <c r="L5052" s="27"/>
    </row>
    <row r="5053" customFormat="false" ht="15" hidden="false" customHeight="false" outlineLevel="0" collapsed="false">
      <c r="A5053" s="26" t="s">
        <v>15043</v>
      </c>
      <c r="B5053" s="27" t="s">
        <v>15044</v>
      </c>
      <c r="C5053" s="27" t="s">
        <v>144</v>
      </c>
      <c r="D5053" s="26"/>
      <c r="E5053" s="27"/>
      <c r="F5053" s="27"/>
      <c r="G5053" s="27" t="s">
        <v>11122</v>
      </c>
      <c r="H5053" s="27" t="s">
        <v>35</v>
      </c>
      <c r="I5053" s="27" t="s">
        <v>48</v>
      </c>
      <c r="J5053" s="28" t="s">
        <v>161</v>
      </c>
      <c r="K5053" s="27" t="s">
        <v>40</v>
      </c>
      <c r="L5053" s="27"/>
    </row>
    <row r="5054" customFormat="false" ht="15" hidden="false" customHeight="false" outlineLevel="0" collapsed="false">
      <c r="A5054" s="26" t="s">
        <v>15045</v>
      </c>
      <c r="B5054" s="27" t="s">
        <v>15046</v>
      </c>
      <c r="C5054" s="27" t="s">
        <v>144</v>
      </c>
      <c r="D5054" s="26"/>
      <c r="E5054" s="27"/>
      <c r="F5054" s="27"/>
      <c r="G5054" s="27" t="s">
        <v>11122</v>
      </c>
      <c r="H5054" s="27" t="s">
        <v>35</v>
      </c>
      <c r="I5054" s="27" t="s">
        <v>48</v>
      </c>
      <c r="J5054" s="28" t="s">
        <v>161</v>
      </c>
      <c r="K5054" s="27" t="s">
        <v>40</v>
      </c>
      <c r="L5054" s="27"/>
    </row>
    <row r="5055" customFormat="false" ht="15" hidden="false" customHeight="false" outlineLevel="0" collapsed="false">
      <c r="A5055" s="26" t="s">
        <v>15047</v>
      </c>
      <c r="B5055" s="27" t="s">
        <v>15048</v>
      </c>
      <c r="C5055" s="27" t="s">
        <v>144</v>
      </c>
      <c r="D5055" s="26"/>
      <c r="E5055" s="27"/>
      <c r="F5055" s="27"/>
      <c r="G5055" s="27" t="s">
        <v>11122</v>
      </c>
      <c r="H5055" s="27" t="s">
        <v>35</v>
      </c>
      <c r="I5055" s="27" t="s">
        <v>48</v>
      </c>
      <c r="J5055" s="28" t="s">
        <v>161</v>
      </c>
      <c r="K5055" s="27" t="s">
        <v>40</v>
      </c>
      <c r="L5055" s="27"/>
    </row>
    <row r="5056" customFormat="false" ht="15" hidden="false" customHeight="false" outlineLevel="0" collapsed="false">
      <c r="A5056" s="26" t="s">
        <v>15049</v>
      </c>
      <c r="B5056" s="27" t="s">
        <v>15050</v>
      </c>
      <c r="C5056" s="27" t="s">
        <v>144</v>
      </c>
      <c r="D5056" s="26"/>
      <c r="E5056" s="27"/>
      <c r="F5056" s="27"/>
      <c r="G5056" s="27" t="s">
        <v>11122</v>
      </c>
      <c r="H5056" s="27" t="s">
        <v>35</v>
      </c>
      <c r="I5056" s="27" t="s">
        <v>48</v>
      </c>
      <c r="J5056" s="28" t="s">
        <v>161</v>
      </c>
      <c r="K5056" s="27" t="s">
        <v>40</v>
      </c>
      <c r="L5056" s="27"/>
    </row>
    <row r="5057" customFormat="false" ht="15" hidden="false" customHeight="false" outlineLevel="0" collapsed="false">
      <c r="A5057" s="26" t="s">
        <v>15051</v>
      </c>
      <c r="B5057" s="27" t="s">
        <v>15052</v>
      </c>
      <c r="C5057" s="27" t="s">
        <v>144</v>
      </c>
      <c r="D5057" s="26"/>
      <c r="E5057" s="27"/>
      <c r="F5057" s="27"/>
      <c r="G5057" s="27" t="s">
        <v>11122</v>
      </c>
      <c r="H5057" s="27" t="s">
        <v>35</v>
      </c>
      <c r="I5057" s="27" t="s">
        <v>40</v>
      </c>
      <c r="J5057" s="28" t="s">
        <v>161</v>
      </c>
      <c r="K5057" s="27" t="s">
        <v>40</v>
      </c>
      <c r="L5057" s="27"/>
    </row>
    <row r="5058" customFormat="false" ht="15" hidden="false" customHeight="false" outlineLevel="0" collapsed="false">
      <c r="A5058" s="26" t="s">
        <v>15053</v>
      </c>
      <c r="B5058" s="27" t="s">
        <v>15054</v>
      </c>
      <c r="C5058" s="27" t="s">
        <v>144</v>
      </c>
      <c r="D5058" s="26"/>
      <c r="E5058" s="27"/>
      <c r="F5058" s="27"/>
      <c r="G5058" s="27" t="s">
        <v>11122</v>
      </c>
      <c r="H5058" s="27" t="s">
        <v>35</v>
      </c>
      <c r="I5058" s="27" t="s">
        <v>40</v>
      </c>
      <c r="J5058" s="28" t="s">
        <v>161</v>
      </c>
      <c r="K5058" s="27" t="s">
        <v>40</v>
      </c>
      <c r="L5058" s="27"/>
    </row>
    <row r="5059" customFormat="false" ht="15" hidden="false" customHeight="false" outlineLevel="0" collapsed="false">
      <c r="A5059" s="26" t="s">
        <v>15055</v>
      </c>
      <c r="B5059" s="27" t="s">
        <v>15056</v>
      </c>
      <c r="C5059" s="27" t="s">
        <v>144</v>
      </c>
      <c r="D5059" s="26"/>
      <c r="E5059" s="27"/>
      <c r="F5059" s="27"/>
      <c r="G5059" s="27" t="s">
        <v>11122</v>
      </c>
      <c r="H5059" s="27" t="s">
        <v>35</v>
      </c>
      <c r="I5059" s="27" t="s">
        <v>40</v>
      </c>
      <c r="J5059" s="28" t="s">
        <v>161</v>
      </c>
      <c r="K5059" s="27" t="s">
        <v>40</v>
      </c>
      <c r="L5059" s="27"/>
    </row>
    <row r="5060" customFormat="false" ht="15" hidden="false" customHeight="false" outlineLevel="0" collapsed="false">
      <c r="A5060" s="26" t="s">
        <v>15057</v>
      </c>
      <c r="B5060" s="27" t="s">
        <v>15058</v>
      </c>
      <c r="C5060" s="27" t="s">
        <v>144</v>
      </c>
      <c r="D5060" s="26"/>
      <c r="E5060" s="27"/>
      <c r="F5060" s="27"/>
      <c r="G5060" s="27" t="s">
        <v>11122</v>
      </c>
      <c r="H5060" s="27" t="s">
        <v>35</v>
      </c>
      <c r="I5060" s="27" t="s">
        <v>40</v>
      </c>
      <c r="J5060" s="28" t="s">
        <v>161</v>
      </c>
      <c r="K5060" s="27" t="s">
        <v>40</v>
      </c>
      <c r="L5060" s="27"/>
    </row>
    <row r="5061" customFormat="false" ht="15" hidden="false" customHeight="false" outlineLevel="0" collapsed="false">
      <c r="A5061" s="26" t="s">
        <v>15059</v>
      </c>
      <c r="B5061" s="27" t="s">
        <v>15060</v>
      </c>
      <c r="C5061" s="27" t="s">
        <v>144</v>
      </c>
      <c r="D5061" s="26"/>
      <c r="E5061" s="27"/>
      <c r="F5061" s="27"/>
      <c r="G5061" s="27" t="s">
        <v>11122</v>
      </c>
      <c r="H5061" s="27" t="s">
        <v>35</v>
      </c>
      <c r="I5061" s="27" t="s">
        <v>48</v>
      </c>
      <c r="J5061" s="28" t="s">
        <v>161</v>
      </c>
      <c r="K5061" s="27" t="s">
        <v>40</v>
      </c>
      <c r="L5061" s="27"/>
    </row>
    <row r="5062" customFormat="false" ht="15" hidden="false" customHeight="false" outlineLevel="0" collapsed="false">
      <c r="A5062" s="26" t="s">
        <v>15061</v>
      </c>
      <c r="B5062" s="27" t="s">
        <v>15062</v>
      </c>
      <c r="C5062" s="27" t="s">
        <v>144</v>
      </c>
      <c r="D5062" s="26"/>
      <c r="E5062" s="27"/>
      <c r="F5062" s="27"/>
      <c r="G5062" s="27" t="s">
        <v>11122</v>
      </c>
      <c r="H5062" s="27" t="s">
        <v>35</v>
      </c>
      <c r="I5062" s="27" t="s">
        <v>39</v>
      </c>
      <c r="J5062" s="28" t="s">
        <v>161</v>
      </c>
      <c r="K5062" s="27" t="s">
        <v>40</v>
      </c>
      <c r="L5062" s="27"/>
    </row>
    <row r="5063" customFormat="false" ht="15" hidden="false" customHeight="false" outlineLevel="0" collapsed="false">
      <c r="A5063" s="26" t="s">
        <v>15063</v>
      </c>
      <c r="B5063" s="27" t="s">
        <v>15064</v>
      </c>
      <c r="C5063" s="27" t="s">
        <v>144</v>
      </c>
      <c r="D5063" s="26"/>
      <c r="E5063" s="27"/>
      <c r="F5063" s="27"/>
      <c r="G5063" s="27" t="s">
        <v>11122</v>
      </c>
      <c r="H5063" s="27" t="s">
        <v>35</v>
      </c>
      <c r="I5063" s="27" t="s">
        <v>40</v>
      </c>
      <c r="J5063" s="28" t="s">
        <v>161</v>
      </c>
      <c r="K5063" s="27" t="s">
        <v>40</v>
      </c>
      <c r="L5063" s="27"/>
    </row>
    <row r="5064" customFormat="false" ht="15" hidden="false" customHeight="false" outlineLevel="0" collapsed="false">
      <c r="A5064" s="26" t="s">
        <v>15065</v>
      </c>
      <c r="B5064" s="27" t="s">
        <v>15066</v>
      </c>
      <c r="C5064" s="27" t="s">
        <v>144</v>
      </c>
      <c r="D5064" s="26"/>
      <c r="E5064" s="27"/>
      <c r="F5064" s="27"/>
      <c r="G5064" s="27" t="s">
        <v>11122</v>
      </c>
      <c r="H5064" s="27" t="s">
        <v>35</v>
      </c>
      <c r="I5064" s="27" t="s">
        <v>39</v>
      </c>
      <c r="J5064" s="28" t="s">
        <v>161</v>
      </c>
      <c r="K5064" s="27" t="s">
        <v>40</v>
      </c>
      <c r="L5064" s="27"/>
    </row>
    <row r="5065" customFormat="false" ht="15" hidden="false" customHeight="false" outlineLevel="0" collapsed="false">
      <c r="A5065" s="26" t="s">
        <v>15067</v>
      </c>
      <c r="B5065" s="27" t="s">
        <v>15068</v>
      </c>
      <c r="C5065" s="27" t="s">
        <v>144</v>
      </c>
      <c r="D5065" s="26"/>
      <c r="E5065" s="27"/>
      <c r="F5065" s="27"/>
      <c r="G5065" s="27" t="s">
        <v>11122</v>
      </c>
      <c r="H5065" s="27" t="s">
        <v>35</v>
      </c>
      <c r="I5065" s="27" t="s">
        <v>39</v>
      </c>
      <c r="J5065" s="28" t="s">
        <v>161</v>
      </c>
      <c r="K5065" s="27" t="s">
        <v>40</v>
      </c>
      <c r="L5065" s="27"/>
    </row>
    <row r="5066" customFormat="false" ht="15" hidden="false" customHeight="false" outlineLevel="0" collapsed="false">
      <c r="A5066" s="26" t="s">
        <v>15069</v>
      </c>
      <c r="B5066" s="27" t="s">
        <v>15070</v>
      </c>
      <c r="C5066" s="27" t="s">
        <v>144</v>
      </c>
      <c r="D5066" s="26"/>
      <c r="E5066" s="27"/>
      <c r="F5066" s="27"/>
      <c r="G5066" s="27" t="s">
        <v>11122</v>
      </c>
      <c r="H5066" s="27" t="s">
        <v>35</v>
      </c>
      <c r="I5066" s="27" t="s">
        <v>40</v>
      </c>
      <c r="J5066" s="28" t="s">
        <v>161</v>
      </c>
      <c r="K5066" s="27" t="s">
        <v>40</v>
      </c>
      <c r="L5066" s="27"/>
    </row>
    <row r="5067" customFormat="false" ht="15" hidden="false" customHeight="false" outlineLevel="0" collapsed="false">
      <c r="A5067" s="26" t="s">
        <v>15071</v>
      </c>
      <c r="B5067" s="27" t="s">
        <v>15072</v>
      </c>
      <c r="C5067" s="27" t="s">
        <v>144</v>
      </c>
      <c r="D5067" s="26"/>
      <c r="E5067" s="27"/>
      <c r="F5067" s="27"/>
      <c r="G5067" s="27" t="s">
        <v>11122</v>
      </c>
      <c r="H5067" s="27" t="s">
        <v>35</v>
      </c>
      <c r="I5067" s="27" t="s">
        <v>39</v>
      </c>
      <c r="J5067" s="28" t="s">
        <v>161</v>
      </c>
      <c r="K5067" s="27" t="s">
        <v>40</v>
      </c>
      <c r="L5067" s="27"/>
    </row>
    <row r="5068" customFormat="false" ht="15" hidden="false" customHeight="false" outlineLevel="0" collapsed="false">
      <c r="A5068" s="26" t="s">
        <v>15073</v>
      </c>
      <c r="B5068" s="27" t="s">
        <v>15074</v>
      </c>
      <c r="C5068" s="27" t="s">
        <v>144</v>
      </c>
      <c r="D5068" s="26"/>
      <c r="E5068" s="27"/>
      <c r="F5068" s="27"/>
      <c r="G5068" s="27" t="s">
        <v>11122</v>
      </c>
      <c r="H5068" s="27" t="s">
        <v>35</v>
      </c>
      <c r="I5068" s="27" t="s">
        <v>48</v>
      </c>
      <c r="J5068" s="28" t="s">
        <v>161</v>
      </c>
      <c r="K5068" s="27" t="s">
        <v>40</v>
      </c>
      <c r="L5068" s="27"/>
    </row>
    <row r="5069" customFormat="false" ht="15" hidden="false" customHeight="false" outlineLevel="0" collapsed="false">
      <c r="A5069" s="26" t="s">
        <v>15075</v>
      </c>
      <c r="B5069" s="27" t="s">
        <v>15076</v>
      </c>
      <c r="C5069" s="27" t="s">
        <v>144</v>
      </c>
      <c r="D5069" s="26"/>
      <c r="E5069" s="27"/>
      <c r="F5069" s="27"/>
      <c r="G5069" s="27" t="s">
        <v>11122</v>
      </c>
      <c r="H5069" s="27" t="s">
        <v>35</v>
      </c>
      <c r="I5069" s="27" t="s">
        <v>40</v>
      </c>
      <c r="J5069" s="28" t="s">
        <v>161</v>
      </c>
      <c r="K5069" s="27" t="s">
        <v>40</v>
      </c>
      <c r="L5069" s="27"/>
    </row>
    <row r="5070" customFormat="false" ht="15" hidden="false" customHeight="false" outlineLevel="0" collapsed="false">
      <c r="A5070" s="26" t="s">
        <v>15077</v>
      </c>
      <c r="B5070" s="27" t="s">
        <v>15078</v>
      </c>
      <c r="C5070" s="27" t="s">
        <v>144</v>
      </c>
      <c r="D5070" s="26"/>
      <c r="E5070" s="27"/>
      <c r="F5070" s="27"/>
      <c r="G5070" s="27" t="s">
        <v>11122</v>
      </c>
      <c r="H5070" s="27" t="s">
        <v>35</v>
      </c>
      <c r="I5070" s="27" t="s">
        <v>40</v>
      </c>
      <c r="J5070" s="28" t="s">
        <v>161</v>
      </c>
      <c r="K5070" s="27" t="s">
        <v>40</v>
      </c>
      <c r="L5070" s="27"/>
    </row>
    <row r="5071" customFormat="false" ht="15" hidden="false" customHeight="false" outlineLevel="0" collapsed="false">
      <c r="A5071" s="26" t="s">
        <v>15079</v>
      </c>
      <c r="B5071" s="27" t="s">
        <v>15080</v>
      </c>
      <c r="C5071" s="27" t="s">
        <v>144</v>
      </c>
      <c r="D5071" s="26"/>
      <c r="E5071" s="27"/>
      <c r="F5071" s="27"/>
      <c r="G5071" s="27" t="s">
        <v>11122</v>
      </c>
      <c r="H5071" s="27" t="s">
        <v>35</v>
      </c>
      <c r="I5071" s="27" t="s">
        <v>48</v>
      </c>
      <c r="J5071" s="28" t="s">
        <v>161</v>
      </c>
      <c r="K5071" s="27" t="s">
        <v>40</v>
      </c>
      <c r="L5071" s="27"/>
    </row>
    <row r="5072" customFormat="false" ht="15" hidden="false" customHeight="false" outlineLevel="0" collapsed="false">
      <c r="A5072" s="26" t="s">
        <v>15081</v>
      </c>
      <c r="B5072" s="27" t="s">
        <v>15082</v>
      </c>
      <c r="C5072" s="27" t="s">
        <v>144</v>
      </c>
      <c r="D5072" s="26"/>
      <c r="E5072" s="27"/>
      <c r="F5072" s="27"/>
      <c r="G5072" s="27" t="s">
        <v>11122</v>
      </c>
      <c r="H5072" s="27" t="s">
        <v>35</v>
      </c>
      <c r="I5072" s="27" t="s">
        <v>39</v>
      </c>
      <c r="J5072" s="28" t="s">
        <v>161</v>
      </c>
      <c r="K5072" s="27" t="s">
        <v>40</v>
      </c>
      <c r="L5072" s="27"/>
    </row>
    <row r="5073" customFormat="false" ht="15" hidden="false" customHeight="false" outlineLevel="0" collapsed="false">
      <c r="A5073" s="26" t="s">
        <v>15083</v>
      </c>
      <c r="B5073" s="27" t="s">
        <v>15084</v>
      </c>
      <c r="C5073" s="27" t="s">
        <v>144</v>
      </c>
      <c r="D5073" s="26"/>
      <c r="E5073" s="27"/>
      <c r="F5073" s="27"/>
      <c r="G5073" s="27" t="s">
        <v>11122</v>
      </c>
      <c r="H5073" s="27" t="s">
        <v>35</v>
      </c>
      <c r="I5073" s="27" t="s">
        <v>48</v>
      </c>
      <c r="J5073" s="28" t="s">
        <v>161</v>
      </c>
      <c r="K5073" s="27" t="s">
        <v>40</v>
      </c>
      <c r="L5073" s="27"/>
    </row>
    <row r="5074" customFormat="false" ht="15" hidden="false" customHeight="false" outlineLevel="0" collapsed="false">
      <c r="A5074" s="26" t="s">
        <v>15085</v>
      </c>
      <c r="B5074" s="27" t="s">
        <v>15086</v>
      </c>
      <c r="C5074" s="27" t="s">
        <v>370</v>
      </c>
      <c r="D5074" s="26"/>
      <c r="E5074" s="27"/>
      <c r="F5074" s="27"/>
      <c r="G5074" s="27" t="s">
        <v>11122</v>
      </c>
      <c r="H5074" s="27" t="s">
        <v>35</v>
      </c>
      <c r="I5074" s="27" t="s">
        <v>40</v>
      </c>
      <c r="J5074" s="28" t="s">
        <v>161</v>
      </c>
      <c r="K5074" s="27" t="s">
        <v>40</v>
      </c>
      <c r="L5074" s="27"/>
    </row>
    <row r="5075" customFormat="false" ht="15" hidden="false" customHeight="false" outlineLevel="0" collapsed="false">
      <c r="A5075" s="26" t="s">
        <v>15087</v>
      </c>
      <c r="B5075" s="27" t="s">
        <v>15088</v>
      </c>
      <c r="C5075" s="27" t="s">
        <v>144</v>
      </c>
      <c r="D5075" s="26"/>
      <c r="E5075" s="27"/>
      <c r="F5075" s="27"/>
      <c r="G5075" s="27" t="s">
        <v>11122</v>
      </c>
      <c r="H5075" s="27" t="s">
        <v>35</v>
      </c>
      <c r="I5075" s="27" t="s">
        <v>39</v>
      </c>
      <c r="J5075" s="28" t="s">
        <v>161</v>
      </c>
      <c r="K5075" s="27" t="s">
        <v>40</v>
      </c>
      <c r="L5075" s="27"/>
    </row>
    <row r="5076" customFormat="false" ht="15" hidden="false" customHeight="false" outlineLevel="0" collapsed="false">
      <c r="A5076" s="26" t="s">
        <v>15089</v>
      </c>
      <c r="B5076" s="27" t="s">
        <v>15090</v>
      </c>
      <c r="C5076" s="27" t="s">
        <v>144</v>
      </c>
      <c r="D5076" s="26"/>
      <c r="E5076" s="27"/>
      <c r="F5076" s="27"/>
      <c r="G5076" s="27" t="s">
        <v>11122</v>
      </c>
      <c r="H5076" s="27" t="s">
        <v>35</v>
      </c>
      <c r="I5076" s="27" t="s">
        <v>38</v>
      </c>
      <c r="J5076" s="28" t="s">
        <v>161</v>
      </c>
      <c r="K5076" s="27" t="s">
        <v>40</v>
      </c>
      <c r="L5076" s="27"/>
    </row>
    <row r="5077" customFormat="false" ht="15" hidden="false" customHeight="false" outlineLevel="0" collapsed="false">
      <c r="A5077" s="26" t="s">
        <v>15091</v>
      </c>
      <c r="B5077" s="27" t="s">
        <v>15092</v>
      </c>
      <c r="C5077" s="27" t="s">
        <v>144</v>
      </c>
      <c r="D5077" s="26"/>
      <c r="E5077" s="27"/>
      <c r="F5077" s="27"/>
      <c r="G5077" s="27" t="s">
        <v>11122</v>
      </c>
      <c r="H5077" s="27" t="s">
        <v>35</v>
      </c>
      <c r="I5077" s="27" t="s">
        <v>48</v>
      </c>
      <c r="J5077" s="28" t="s">
        <v>161</v>
      </c>
      <c r="K5077" s="27" t="s">
        <v>40</v>
      </c>
      <c r="L5077" s="27"/>
    </row>
    <row r="5078" customFormat="false" ht="15" hidden="false" customHeight="false" outlineLevel="0" collapsed="false">
      <c r="A5078" s="26" t="s">
        <v>15093</v>
      </c>
      <c r="B5078" s="27" t="s">
        <v>15094</v>
      </c>
      <c r="C5078" s="27" t="s">
        <v>144</v>
      </c>
      <c r="D5078" s="26"/>
      <c r="E5078" s="27"/>
      <c r="F5078" s="27"/>
      <c r="G5078" s="27" t="s">
        <v>11122</v>
      </c>
      <c r="H5078" s="27" t="s">
        <v>35</v>
      </c>
      <c r="I5078" s="27" t="s">
        <v>37</v>
      </c>
      <c r="J5078" s="28" t="s">
        <v>161</v>
      </c>
      <c r="K5078" s="27" t="s">
        <v>40</v>
      </c>
      <c r="L5078" s="27"/>
    </row>
    <row r="5079" customFormat="false" ht="15" hidden="false" customHeight="false" outlineLevel="0" collapsed="false">
      <c r="A5079" s="26" t="s">
        <v>15095</v>
      </c>
      <c r="B5079" s="27" t="s">
        <v>15096</v>
      </c>
      <c r="C5079" s="27" t="s">
        <v>144</v>
      </c>
      <c r="D5079" s="26"/>
      <c r="E5079" s="27"/>
      <c r="F5079" s="27"/>
      <c r="G5079" s="27" t="s">
        <v>11122</v>
      </c>
      <c r="H5079" s="27" t="s">
        <v>35</v>
      </c>
      <c r="I5079" s="27" t="s">
        <v>48</v>
      </c>
      <c r="J5079" s="28" t="s">
        <v>161</v>
      </c>
      <c r="K5079" s="27" t="s">
        <v>40</v>
      </c>
      <c r="L5079" s="27"/>
    </row>
    <row r="5080" customFormat="false" ht="15" hidden="false" customHeight="false" outlineLevel="0" collapsed="false">
      <c r="A5080" s="26" t="s">
        <v>15097</v>
      </c>
      <c r="B5080" s="27" t="s">
        <v>15098</v>
      </c>
      <c r="C5080" s="27" t="s">
        <v>370</v>
      </c>
      <c r="D5080" s="26"/>
      <c r="E5080" s="27"/>
      <c r="F5080" s="27"/>
      <c r="G5080" s="27" t="s">
        <v>11122</v>
      </c>
      <c r="H5080" s="27" t="s">
        <v>35</v>
      </c>
      <c r="I5080" s="27" t="s">
        <v>40</v>
      </c>
      <c r="J5080" s="28" t="s">
        <v>161</v>
      </c>
      <c r="K5080" s="27" t="s">
        <v>40</v>
      </c>
      <c r="L5080" s="27"/>
    </row>
    <row r="5081" customFormat="false" ht="15" hidden="false" customHeight="false" outlineLevel="0" collapsed="false">
      <c r="A5081" s="26" t="s">
        <v>15099</v>
      </c>
      <c r="B5081" s="27" t="s">
        <v>15100</v>
      </c>
      <c r="C5081" s="27" t="s">
        <v>144</v>
      </c>
      <c r="D5081" s="26"/>
      <c r="E5081" s="27"/>
      <c r="F5081" s="27"/>
      <c r="G5081" s="27" t="s">
        <v>11122</v>
      </c>
      <c r="H5081" s="27" t="s">
        <v>35</v>
      </c>
      <c r="I5081" s="27" t="s">
        <v>40</v>
      </c>
      <c r="J5081" s="28" t="s">
        <v>161</v>
      </c>
      <c r="K5081" s="27" t="s">
        <v>40</v>
      </c>
      <c r="L5081" s="27"/>
    </row>
    <row r="5082" customFormat="false" ht="15" hidden="false" customHeight="false" outlineLevel="0" collapsed="false">
      <c r="A5082" s="26" t="s">
        <v>15101</v>
      </c>
      <c r="B5082" s="27" t="s">
        <v>15102</v>
      </c>
      <c r="C5082" s="27" t="s">
        <v>144</v>
      </c>
      <c r="D5082" s="26"/>
      <c r="E5082" s="27"/>
      <c r="F5082" s="27"/>
      <c r="G5082" s="27" t="s">
        <v>11122</v>
      </c>
      <c r="H5082" s="27" t="s">
        <v>35</v>
      </c>
      <c r="I5082" s="27" t="s">
        <v>48</v>
      </c>
      <c r="J5082" s="28" t="s">
        <v>161</v>
      </c>
      <c r="K5082" s="27" t="s">
        <v>40</v>
      </c>
      <c r="L5082" s="27"/>
    </row>
    <row r="5083" customFormat="false" ht="15" hidden="false" customHeight="false" outlineLevel="0" collapsed="false">
      <c r="A5083" s="26" t="s">
        <v>15103</v>
      </c>
      <c r="B5083" s="27" t="s">
        <v>15104</v>
      </c>
      <c r="C5083" s="27" t="s">
        <v>144</v>
      </c>
      <c r="D5083" s="26"/>
      <c r="E5083" s="27"/>
      <c r="F5083" s="27"/>
      <c r="G5083" s="27" t="s">
        <v>11122</v>
      </c>
      <c r="H5083" s="27" t="s">
        <v>35</v>
      </c>
      <c r="I5083" s="27" t="s">
        <v>37</v>
      </c>
      <c r="J5083" s="28" t="s">
        <v>161</v>
      </c>
      <c r="K5083" s="27" t="s">
        <v>40</v>
      </c>
      <c r="L5083" s="27"/>
    </row>
    <row r="5084" customFormat="false" ht="15" hidden="false" customHeight="false" outlineLevel="0" collapsed="false">
      <c r="A5084" s="26" t="s">
        <v>15105</v>
      </c>
      <c r="B5084" s="27" t="s">
        <v>15106</v>
      </c>
      <c r="C5084" s="27" t="s">
        <v>144</v>
      </c>
      <c r="D5084" s="26"/>
      <c r="E5084" s="27"/>
      <c r="F5084" s="27"/>
      <c r="G5084" s="27" t="s">
        <v>11122</v>
      </c>
      <c r="H5084" s="27" t="s">
        <v>35</v>
      </c>
      <c r="I5084" s="28" t="s">
        <v>50</v>
      </c>
      <c r="J5084" s="28" t="s">
        <v>161</v>
      </c>
      <c r="K5084" s="27" t="s">
        <v>40</v>
      </c>
      <c r="L5084" s="27"/>
    </row>
    <row r="5085" customFormat="false" ht="15" hidden="false" customHeight="false" outlineLevel="0" collapsed="false">
      <c r="A5085" s="26" t="s">
        <v>15107</v>
      </c>
      <c r="B5085" s="27" t="s">
        <v>15108</v>
      </c>
      <c r="C5085" s="27" t="s">
        <v>144</v>
      </c>
      <c r="D5085" s="26"/>
      <c r="E5085" s="27"/>
      <c r="F5085" s="27"/>
      <c r="G5085" s="27" t="s">
        <v>11122</v>
      </c>
      <c r="H5085" s="27" t="s">
        <v>35</v>
      </c>
      <c r="I5085" s="27" t="s">
        <v>37</v>
      </c>
      <c r="J5085" s="28" t="s">
        <v>161</v>
      </c>
      <c r="K5085" s="27" t="s">
        <v>40</v>
      </c>
      <c r="L5085" s="27"/>
    </row>
    <row r="5086" customFormat="false" ht="15" hidden="false" customHeight="false" outlineLevel="0" collapsed="false">
      <c r="A5086" s="26" t="s">
        <v>15109</v>
      </c>
      <c r="B5086" s="27" t="s">
        <v>15110</v>
      </c>
      <c r="C5086" s="27" t="s">
        <v>144</v>
      </c>
      <c r="D5086" s="26"/>
      <c r="E5086" s="27"/>
      <c r="F5086" s="27"/>
      <c r="G5086" s="27" t="s">
        <v>11122</v>
      </c>
      <c r="H5086" s="27" t="s">
        <v>35</v>
      </c>
      <c r="I5086" s="27" t="s">
        <v>48</v>
      </c>
      <c r="J5086" s="28" t="s">
        <v>161</v>
      </c>
      <c r="K5086" s="27" t="s">
        <v>40</v>
      </c>
      <c r="L5086" s="27"/>
    </row>
    <row r="5087" customFormat="false" ht="15" hidden="false" customHeight="false" outlineLevel="0" collapsed="false">
      <c r="A5087" s="26" t="s">
        <v>15111</v>
      </c>
      <c r="B5087" s="28" t="s">
        <v>15112</v>
      </c>
      <c r="C5087" s="27" t="s">
        <v>144</v>
      </c>
      <c r="D5087" s="26"/>
      <c r="E5087" s="27"/>
      <c r="F5087" s="27"/>
      <c r="G5087" s="27" t="s">
        <v>11122</v>
      </c>
      <c r="H5087" s="27" t="s">
        <v>35</v>
      </c>
      <c r="I5087" s="27" t="s">
        <v>887</v>
      </c>
      <c r="J5087" s="28" t="s">
        <v>161</v>
      </c>
      <c r="K5087" s="27" t="s">
        <v>40</v>
      </c>
      <c r="L5087" s="27"/>
    </row>
    <row r="5088" customFormat="false" ht="15" hidden="false" customHeight="false" outlineLevel="0" collapsed="false">
      <c r="A5088" s="26" t="s">
        <v>15113</v>
      </c>
      <c r="B5088" s="27" t="s">
        <v>15114</v>
      </c>
      <c r="C5088" s="27" t="s">
        <v>144</v>
      </c>
      <c r="D5088" s="26"/>
      <c r="E5088" s="27"/>
      <c r="F5088" s="27"/>
      <c r="G5088" s="27" t="s">
        <v>11122</v>
      </c>
      <c r="H5088" s="27" t="s">
        <v>35</v>
      </c>
      <c r="I5088" s="27" t="s">
        <v>40</v>
      </c>
      <c r="J5088" s="28" t="s">
        <v>161</v>
      </c>
      <c r="K5088" s="27" t="s">
        <v>40</v>
      </c>
      <c r="L5088" s="27"/>
    </row>
    <row r="5089" customFormat="false" ht="15" hidden="false" customHeight="false" outlineLevel="0" collapsed="false">
      <c r="A5089" s="26" t="s">
        <v>15115</v>
      </c>
      <c r="B5089" s="27" t="s">
        <v>15116</v>
      </c>
      <c r="C5089" s="27" t="s">
        <v>144</v>
      </c>
      <c r="D5089" s="26"/>
      <c r="E5089" s="27"/>
      <c r="F5089" s="27"/>
      <c r="G5089" s="27" t="s">
        <v>11122</v>
      </c>
      <c r="H5089" s="27" t="s">
        <v>35</v>
      </c>
      <c r="I5089" s="27" t="s">
        <v>40</v>
      </c>
      <c r="J5089" s="28" t="s">
        <v>161</v>
      </c>
      <c r="K5089" s="27" t="s">
        <v>40</v>
      </c>
      <c r="L5089" s="27"/>
    </row>
    <row r="5090" customFormat="false" ht="15" hidden="false" customHeight="false" outlineLevel="0" collapsed="false">
      <c r="A5090" s="26" t="s">
        <v>15117</v>
      </c>
      <c r="B5090" s="27" t="s">
        <v>15118</v>
      </c>
      <c r="C5090" s="27" t="s">
        <v>144</v>
      </c>
      <c r="D5090" s="26"/>
      <c r="E5090" s="27"/>
      <c r="F5090" s="27"/>
      <c r="G5090" s="27" t="s">
        <v>11122</v>
      </c>
      <c r="H5090" s="27" t="s">
        <v>35</v>
      </c>
      <c r="I5090" s="27" t="s">
        <v>38</v>
      </c>
      <c r="J5090" s="28" t="s">
        <v>161</v>
      </c>
      <c r="K5090" s="27" t="s">
        <v>40</v>
      </c>
      <c r="L5090" s="27"/>
    </row>
    <row r="5091" customFormat="false" ht="15" hidden="false" customHeight="false" outlineLevel="0" collapsed="false">
      <c r="A5091" s="26" t="s">
        <v>15119</v>
      </c>
      <c r="B5091" s="27" t="s">
        <v>15120</v>
      </c>
      <c r="C5091" s="27" t="s">
        <v>144</v>
      </c>
      <c r="D5091" s="26"/>
      <c r="E5091" s="27"/>
      <c r="F5091" s="27"/>
      <c r="G5091" s="27" t="s">
        <v>11122</v>
      </c>
      <c r="H5091" s="27" t="s">
        <v>35</v>
      </c>
      <c r="I5091" s="27" t="s">
        <v>40</v>
      </c>
      <c r="J5091" s="28" t="s">
        <v>161</v>
      </c>
      <c r="K5091" s="27" t="s">
        <v>40</v>
      </c>
      <c r="L5091" s="27"/>
    </row>
    <row r="5092" customFormat="false" ht="15" hidden="false" customHeight="false" outlineLevel="0" collapsed="false">
      <c r="A5092" s="26" t="s">
        <v>15121</v>
      </c>
      <c r="B5092" s="27" t="s">
        <v>15122</v>
      </c>
      <c r="C5092" s="27" t="s">
        <v>144</v>
      </c>
      <c r="D5092" s="26"/>
      <c r="E5092" s="27"/>
      <c r="F5092" s="27"/>
      <c r="G5092" s="27" t="s">
        <v>11122</v>
      </c>
      <c r="H5092" s="27" t="s">
        <v>35</v>
      </c>
      <c r="I5092" s="27" t="s">
        <v>40</v>
      </c>
      <c r="J5092" s="28" t="s">
        <v>161</v>
      </c>
      <c r="K5092" s="27" t="s">
        <v>40</v>
      </c>
      <c r="L5092" s="27"/>
    </row>
    <row r="5093" customFormat="false" ht="15" hidden="false" customHeight="false" outlineLevel="0" collapsed="false">
      <c r="A5093" s="26" t="s">
        <v>15123</v>
      </c>
      <c r="B5093" s="27" t="s">
        <v>15124</v>
      </c>
      <c r="C5093" s="27" t="s">
        <v>144</v>
      </c>
      <c r="D5093" s="26"/>
      <c r="E5093" s="27"/>
      <c r="F5093" s="27"/>
      <c r="G5093" s="27" t="s">
        <v>11122</v>
      </c>
      <c r="H5093" s="27" t="s">
        <v>35</v>
      </c>
      <c r="I5093" s="27" t="s">
        <v>40</v>
      </c>
      <c r="J5093" s="28" t="s">
        <v>161</v>
      </c>
      <c r="K5093" s="27" t="s">
        <v>40</v>
      </c>
      <c r="L5093" s="27"/>
    </row>
    <row r="5094" customFormat="false" ht="15" hidden="false" customHeight="false" outlineLevel="0" collapsed="false">
      <c r="A5094" s="26" t="s">
        <v>15125</v>
      </c>
      <c r="B5094" s="27" t="s">
        <v>15126</v>
      </c>
      <c r="C5094" s="27" t="s">
        <v>144</v>
      </c>
      <c r="D5094" s="26"/>
      <c r="E5094" s="27"/>
      <c r="F5094" s="27"/>
      <c r="G5094" s="27" t="s">
        <v>11122</v>
      </c>
      <c r="H5094" s="27" t="s">
        <v>35</v>
      </c>
      <c r="I5094" s="27" t="s">
        <v>44</v>
      </c>
      <c r="J5094" s="28" t="s">
        <v>161</v>
      </c>
      <c r="K5094" s="27" t="s">
        <v>40</v>
      </c>
      <c r="L5094" s="27"/>
    </row>
    <row r="5095" customFormat="false" ht="15" hidden="false" customHeight="false" outlineLevel="0" collapsed="false">
      <c r="A5095" s="26" t="s">
        <v>15127</v>
      </c>
      <c r="B5095" s="27" t="s">
        <v>15128</v>
      </c>
      <c r="C5095" s="27" t="s">
        <v>144</v>
      </c>
      <c r="D5095" s="26"/>
      <c r="E5095" s="27"/>
      <c r="F5095" s="27"/>
      <c r="G5095" s="27" t="s">
        <v>11122</v>
      </c>
      <c r="H5095" s="27" t="s">
        <v>35</v>
      </c>
      <c r="I5095" s="27" t="s">
        <v>42</v>
      </c>
      <c r="J5095" s="28" t="s">
        <v>161</v>
      </c>
      <c r="K5095" s="27" t="s">
        <v>40</v>
      </c>
      <c r="L5095" s="27"/>
    </row>
    <row r="5096" customFormat="false" ht="15" hidden="false" customHeight="false" outlineLevel="0" collapsed="false">
      <c r="A5096" s="26" t="s">
        <v>15129</v>
      </c>
      <c r="B5096" s="27" t="s">
        <v>15130</v>
      </c>
      <c r="C5096" s="27" t="s">
        <v>144</v>
      </c>
      <c r="D5096" s="26"/>
      <c r="E5096" s="27"/>
      <c r="F5096" s="27"/>
      <c r="G5096" s="27" t="s">
        <v>11122</v>
      </c>
      <c r="H5096" s="27" t="s">
        <v>35</v>
      </c>
      <c r="I5096" s="27" t="s">
        <v>37</v>
      </c>
      <c r="J5096" s="28" t="s">
        <v>161</v>
      </c>
      <c r="K5096" s="27" t="s">
        <v>40</v>
      </c>
      <c r="L5096" s="27"/>
    </row>
    <row r="5097" customFormat="false" ht="15" hidden="false" customHeight="false" outlineLevel="0" collapsed="false">
      <c r="A5097" s="26" t="s">
        <v>15131</v>
      </c>
      <c r="B5097" s="27" t="s">
        <v>15132</v>
      </c>
      <c r="C5097" s="27" t="s">
        <v>144</v>
      </c>
      <c r="D5097" s="26"/>
      <c r="E5097" s="27"/>
      <c r="F5097" s="27"/>
      <c r="G5097" s="27" t="s">
        <v>11122</v>
      </c>
      <c r="H5097" s="27" t="s">
        <v>35</v>
      </c>
      <c r="I5097" s="27" t="s">
        <v>39</v>
      </c>
      <c r="J5097" s="28" t="s">
        <v>161</v>
      </c>
      <c r="K5097" s="27" t="s">
        <v>40</v>
      </c>
      <c r="L5097" s="27"/>
    </row>
    <row r="5098" customFormat="false" ht="15" hidden="false" customHeight="false" outlineLevel="0" collapsed="false">
      <c r="A5098" s="26" t="s">
        <v>15133</v>
      </c>
      <c r="B5098" s="27" t="s">
        <v>15134</v>
      </c>
      <c r="C5098" s="27" t="s">
        <v>370</v>
      </c>
      <c r="D5098" s="26"/>
      <c r="E5098" s="27"/>
      <c r="F5098" s="27"/>
      <c r="G5098" s="27" t="s">
        <v>11122</v>
      </c>
      <c r="H5098" s="27" t="s">
        <v>35</v>
      </c>
      <c r="I5098" s="28" t="s">
        <v>46</v>
      </c>
      <c r="J5098" s="28" t="s">
        <v>161</v>
      </c>
      <c r="K5098" s="27" t="s">
        <v>40</v>
      </c>
      <c r="L5098" s="27"/>
    </row>
    <row r="5099" customFormat="false" ht="15" hidden="false" customHeight="false" outlineLevel="0" collapsed="false">
      <c r="A5099" s="26" t="s">
        <v>15135</v>
      </c>
      <c r="B5099" s="27" t="s">
        <v>15136</v>
      </c>
      <c r="C5099" s="27" t="s">
        <v>144</v>
      </c>
      <c r="D5099" s="26"/>
      <c r="E5099" s="27"/>
      <c r="F5099" s="27"/>
      <c r="G5099" s="27" t="s">
        <v>11122</v>
      </c>
      <c r="H5099" s="27" t="s">
        <v>35</v>
      </c>
      <c r="I5099" s="27" t="s">
        <v>48</v>
      </c>
      <c r="J5099" s="28" t="s">
        <v>161</v>
      </c>
      <c r="K5099" s="27" t="s">
        <v>40</v>
      </c>
      <c r="L5099" s="27"/>
    </row>
    <row r="5100" customFormat="false" ht="15" hidden="false" customHeight="false" outlineLevel="0" collapsed="false">
      <c r="A5100" s="26" t="s">
        <v>15137</v>
      </c>
      <c r="B5100" s="28" t="s">
        <v>15138</v>
      </c>
      <c r="C5100" s="27" t="s">
        <v>144</v>
      </c>
      <c r="D5100" s="26"/>
      <c r="E5100" s="27"/>
      <c r="F5100" s="27"/>
      <c r="G5100" s="27" t="s">
        <v>11122</v>
      </c>
      <c r="H5100" s="27" t="s">
        <v>35</v>
      </c>
      <c r="I5100" s="27" t="s">
        <v>40</v>
      </c>
      <c r="J5100" s="28" t="s">
        <v>161</v>
      </c>
      <c r="K5100" s="27" t="s">
        <v>40</v>
      </c>
      <c r="L5100" s="27"/>
    </row>
    <row r="5101" customFormat="false" ht="15" hidden="false" customHeight="false" outlineLevel="0" collapsed="false">
      <c r="A5101" s="26" t="s">
        <v>15139</v>
      </c>
      <c r="B5101" s="27" t="s">
        <v>15140</v>
      </c>
      <c r="C5101" s="27" t="s">
        <v>144</v>
      </c>
      <c r="D5101" s="26"/>
      <c r="E5101" s="27"/>
      <c r="F5101" s="27"/>
      <c r="G5101" s="27" t="s">
        <v>11122</v>
      </c>
      <c r="H5101" s="27" t="s">
        <v>35</v>
      </c>
      <c r="I5101" s="27" t="s">
        <v>40</v>
      </c>
      <c r="J5101" s="28" t="s">
        <v>161</v>
      </c>
      <c r="K5101" s="27" t="s">
        <v>40</v>
      </c>
      <c r="L5101" s="27"/>
    </row>
    <row r="5102" customFormat="false" ht="15" hidden="false" customHeight="false" outlineLevel="0" collapsed="false">
      <c r="A5102" s="26" t="s">
        <v>15141</v>
      </c>
      <c r="B5102" s="27" t="s">
        <v>15142</v>
      </c>
      <c r="C5102" s="27" t="s">
        <v>144</v>
      </c>
      <c r="D5102" s="26"/>
      <c r="E5102" s="27"/>
      <c r="F5102" s="27"/>
      <c r="G5102" s="27" t="s">
        <v>11122</v>
      </c>
      <c r="H5102" s="27" t="s">
        <v>35</v>
      </c>
      <c r="I5102" s="27" t="s">
        <v>48</v>
      </c>
      <c r="J5102" s="28" t="s">
        <v>161</v>
      </c>
      <c r="K5102" s="27" t="s">
        <v>40</v>
      </c>
      <c r="L5102" s="27"/>
    </row>
    <row r="5103" customFormat="false" ht="15" hidden="false" customHeight="false" outlineLevel="0" collapsed="false">
      <c r="A5103" s="26" t="s">
        <v>15143</v>
      </c>
      <c r="B5103" s="27" t="s">
        <v>15144</v>
      </c>
      <c r="C5103" s="27" t="s">
        <v>144</v>
      </c>
      <c r="D5103" s="26"/>
      <c r="E5103" s="27"/>
      <c r="F5103" s="27"/>
      <c r="G5103" s="27" t="s">
        <v>11122</v>
      </c>
      <c r="H5103" s="27" t="s">
        <v>35</v>
      </c>
      <c r="I5103" s="27" t="s">
        <v>40</v>
      </c>
      <c r="J5103" s="28" t="s">
        <v>161</v>
      </c>
      <c r="K5103" s="27" t="s">
        <v>40</v>
      </c>
      <c r="L5103" s="27"/>
    </row>
    <row r="5104" customFormat="false" ht="15" hidden="false" customHeight="false" outlineLevel="0" collapsed="false">
      <c r="A5104" s="26" t="s">
        <v>15145</v>
      </c>
      <c r="B5104" s="27" t="s">
        <v>15146</v>
      </c>
      <c r="C5104" s="27" t="s">
        <v>144</v>
      </c>
      <c r="D5104" s="26"/>
      <c r="E5104" s="27"/>
      <c r="F5104" s="27"/>
      <c r="G5104" s="27" t="s">
        <v>11122</v>
      </c>
      <c r="H5104" s="27" t="s">
        <v>35</v>
      </c>
      <c r="I5104" s="27" t="s">
        <v>48</v>
      </c>
      <c r="J5104" s="28" t="s">
        <v>161</v>
      </c>
      <c r="K5104" s="27" t="s">
        <v>40</v>
      </c>
      <c r="L5104" s="27"/>
    </row>
    <row r="5105" customFormat="false" ht="15" hidden="false" customHeight="false" outlineLevel="0" collapsed="false">
      <c r="A5105" s="26" t="s">
        <v>15147</v>
      </c>
      <c r="B5105" s="27" t="s">
        <v>15148</v>
      </c>
      <c r="C5105" s="27" t="s">
        <v>144</v>
      </c>
      <c r="D5105" s="26"/>
      <c r="E5105" s="27"/>
      <c r="F5105" s="27"/>
      <c r="G5105" s="27" t="s">
        <v>11122</v>
      </c>
      <c r="H5105" s="27" t="s">
        <v>35</v>
      </c>
      <c r="I5105" s="27" t="s">
        <v>38</v>
      </c>
      <c r="J5105" s="28" t="s">
        <v>161</v>
      </c>
      <c r="K5105" s="27" t="s">
        <v>40</v>
      </c>
      <c r="L5105" s="27"/>
    </row>
    <row r="5106" customFormat="false" ht="15" hidden="false" customHeight="false" outlineLevel="0" collapsed="false">
      <c r="A5106" s="26" t="s">
        <v>15149</v>
      </c>
      <c r="B5106" s="27" t="s">
        <v>15150</v>
      </c>
      <c r="C5106" s="27" t="s">
        <v>144</v>
      </c>
      <c r="D5106" s="26"/>
      <c r="E5106" s="27"/>
      <c r="F5106" s="27"/>
      <c r="G5106" s="27" t="s">
        <v>11122</v>
      </c>
      <c r="H5106" s="27" t="s">
        <v>35</v>
      </c>
      <c r="I5106" s="27" t="s">
        <v>40</v>
      </c>
      <c r="J5106" s="28" t="s">
        <v>161</v>
      </c>
      <c r="K5106" s="27" t="s">
        <v>40</v>
      </c>
      <c r="L5106" s="27"/>
    </row>
    <row r="5107" customFormat="false" ht="15" hidden="false" customHeight="false" outlineLevel="0" collapsed="false">
      <c r="A5107" s="26" t="s">
        <v>15151</v>
      </c>
      <c r="B5107" s="27" t="s">
        <v>15152</v>
      </c>
      <c r="C5107" s="27" t="s">
        <v>370</v>
      </c>
      <c r="D5107" s="26"/>
      <c r="E5107" s="27"/>
      <c r="F5107" s="27"/>
      <c r="G5107" s="27" t="s">
        <v>11122</v>
      </c>
      <c r="H5107" s="27" t="s">
        <v>35</v>
      </c>
      <c r="I5107" s="27" t="s">
        <v>48</v>
      </c>
      <c r="J5107" s="28" t="s">
        <v>161</v>
      </c>
      <c r="K5107" s="27" t="s">
        <v>40</v>
      </c>
      <c r="L5107" s="27"/>
    </row>
    <row r="5108" customFormat="false" ht="15" hidden="false" customHeight="false" outlineLevel="0" collapsed="false">
      <c r="A5108" s="26" t="s">
        <v>15153</v>
      </c>
      <c r="B5108" s="27" t="s">
        <v>15154</v>
      </c>
      <c r="C5108" s="27" t="s">
        <v>144</v>
      </c>
      <c r="D5108" s="26"/>
      <c r="E5108" s="27"/>
      <c r="F5108" s="27"/>
      <c r="G5108" s="27" t="s">
        <v>11122</v>
      </c>
      <c r="H5108" s="27" t="s">
        <v>35</v>
      </c>
      <c r="I5108" s="27" t="s">
        <v>48</v>
      </c>
      <c r="J5108" s="28" t="s">
        <v>161</v>
      </c>
      <c r="K5108" s="27" t="s">
        <v>40</v>
      </c>
      <c r="L5108" s="27"/>
    </row>
    <row r="5109" customFormat="false" ht="15" hidden="false" customHeight="false" outlineLevel="0" collapsed="false">
      <c r="A5109" s="26" t="s">
        <v>15155</v>
      </c>
      <c r="B5109" s="27" t="s">
        <v>15156</v>
      </c>
      <c r="C5109" s="27" t="s">
        <v>144</v>
      </c>
      <c r="D5109" s="26"/>
      <c r="E5109" s="27"/>
      <c r="F5109" s="27"/>
      <c r="G5109" s="27" t="s">
        <v>11122</v>
      </c>
      <c r="H5109" s="27" t="s">
        <v>35</v>
      </c>
      <c r="I5109" s="27" t="s">
        <v>40</v>
      </c>
      <c r="J5109" s="28" t="s">
        <v>161</v>
      </c>
      <c r="K5109" s="27" t="s">
        <v>40</v>
      </c>
      <c r="L5109" s="27"/>
    </row>
    <row r="5110" customFormat="false" ht="15" hidden="false" customHeight="false" outlineLevel="0" collapsed="false">
      <c r="A5110" s="26" t="s">
        <v>15157</v>
      </c>
      <c r="B5110" s="27" t="s">
        <v>15158</v>
      </c>
      <c r="C5110" s="27" t="s">
        <v>144</v>
      </c>
      <c r="D5110" s="26"/>
      <c r="E5110" s="27"/>
      <c r="F5110" s="27"/>
      <c r="G5110" s="27" t="s">
        <v>11122</v>
      </c>
      <c r="H5110" s="27" t="s">
        <v>35</v>
      </c>
      <c r="I5110" s="28" t="s">
        <v>46</v>
      </c>
      <c r="J5110" s="28" t="s">
        <v>161</v>
      </c>
      <c r="K5110" s="27" t="s">
        <v>40</v>
      </c>
      <c r="L5110" s="27"/>
    </row>
    <row r="5111" customFormat="false" ht="15" hidden="false" customHeight="false" outlineLevel="0" collapsed="false">
      <c r="A5111" s="26" t="s">
        <v>15159</v>
      </c>
      <c r="B5111" s="27" t="s">
        <v>15160</v>
      </c>
      <c r="C5111" s="27" t="s">
        <v>144</v>
      </c>
      <c r="D5111" s="26"/>
      <c r="E5111" s="27"/>
      <c r="F5111" s="27"/>
      <c r="G5111" s="27" t="s">
        <v>11122</v>
      </c>
      <c r="H5111" s="27" t="s">
        <v>35</v>
      </c>
      <c r="I5111" s="28" t="s">
        <v>50</v>
      </c>
      <c r="J5111" s="28" t="s">
        <v>161</v>
      </c>
      <c r="K5111" s="27" t="s">
        <v>40</v>
      </c>
      <c r="L5111" s="27"/>
    </row>
    <row r="5112" customFormat="false" ht="15" hidden="false" customHeight="false" outlineLevel="0" collapsed="false">
      <c r="A5112" s="26" t="s">
        <v>15161</v>
      </c>
      <c r="B5112" s="27" t="s">
        <v>15162</v>
      </c>
      <c r="C5112" s="27" t="s">
        <v>144</v>
      </c>
      <c r="D5112" s="26"/>
      <c r="E5112" s="27"/>
      <c r="F5112" s="27"/>
      <c r="G5112" s="27" t="s">
        <v>11122</v>
      </c>
      <c r="H5112" s="27" t="s">
        <v>35</v>
      </c>
      <c r="I5112" s="27" t="s">
        <v>48</v>
      </c>
      <c r="J5112" s="28" t="s">
        <v>161</v>
      </c>
      <c r="K5112" s="27" t="s">
        <v>40</v>
      </c>
      <c r="L5112" s="27"/>
    </row>
    <row r="5113" customFormat="false" ht="15" hidden="false" customHeight="false" outlineLevel="0" collapsed="false">
      <c r="A5113" s="26" t="s">
        <v>15163</v>
      </c>
      <c r="B5113" s="27" t="s">
        <v>15164</v>
      </c>
      <c r="C5113" s="27" t="s">
        <v>144</v>
      </c>
      <c r="D5113" s="26"/>
      <c r="E5113" s="27"/>
      <c r="F5113" s="27"/>
      <c r="G5113" s="27" t="s">
        <v>11122</v>
      </c>
      <c r="H5113" s="27" t="s">
        <v>35</v>
      </c>
      <c r="I5113" s="27" t="s">
        <v>40</v>
      </c>
      <c r="J5113" s="28" t="s">
        <v>161</v>
      </c>
      <c r="K5113" s="27" t="s">
        <v>40</v>
      </c>
      <c r="L5113" s="27"/>
    </row>
    <row r="5114" customFormat="false" ht="15" hidden="false" customHeight="false" outlineLevel="0" collapsed="false">
      <c r="A5114" s="26" t="s">
        <v>15165</v>
      </c>
      <c r="B5114" s="27" t="s">
        <v>15166</v>
      </c>
      <c r="C5114" s="27" t="s">
        <v>144</v>
      </c>
      <c r="D5114" s="26"/>
      <c r="E5114" s="27"/>
      <c r="F5114" s="27"/>
      <c r="G5114" s="27" t="s">
        <v>11122</v>
      </c>
      <c r="H5114" s="27" t="s">
        <v>35</v>
      </c>
      <c r="I5114" s="27" t="s">
        <v>40</v>
      </c>
      <c r="J5114" s="28" t="s">
        <v>161</v>
      </c>
      <c r="K5114" s="27" t="s">
        <v>40</v>
      </c>
      <c r="L5114" s="27"/>
    </row>
    <row r="5115" customFormat="false" ht="15" hidden="false" customHeight="false" outlineLevel="0" collapsed="false">
      <c r="A5115" s="26" t="s">
        <v>15167</v>
      </c>
      <c r="B5115" s="27" t="s">
        <v>15168</v>
      </c>
      <c r="C5115" s="27" t="s">
        <v>144</v>
      </c>
      <c r="D5115" s="26"/>
      <c r="E5115" s="27"/>
      <c r="F5115" s="27"/>
      <c r="G5115" s="27" t="s">
        <v>11122</v>
      </c>
      <c r="H5115" s="27" t="s">
        <v>35</v>
      </c>
      <c r="I5115" s="27" t="s">
        <v>38</v>
      </c>
      <c r="J5115" s="28" t="s">
        <v>161</v>
      </c>
      <c r="K5115" s="27" t="s">
        <v>40</v>
      </c>
      <c r="L5115" s="27"/>
    </row>
    <row r="5116" customFormat="false" ht="15" hidden="false" customHeight="false" outlineLevel="0" collapsed="false">
      <c r="A5116" s="26" t="s">
        <v>15169</v>
      </c>
      <c r="B5116" s="27" t="s">
        <v>15170</v>
      </c>
      <c r="C5116" s="27" t="s">
        <v>144</v>
      </c>
      <c r="D5116" s="26"/>
      <c r="E5116" s="27"/>
      <c r="F5116" s="27"/>
      <c r="G5116" s="27" t="s">
        <v>11122</v>
      </c>
      <c r="H5116" s="27" t="s">
        <v>35</v>
      </c>
      <c r="I5116" s="27" t="s">
        <v>48</v>
      </c>
      <c r="J5116" s="28" t="s">
        <v>161</v>
      </c>
      <c r="K5116" s="27" t="s">
        <v>40</v>
      </c>
      <c r="L5116" s="27"/>
    </row>
    <row r="5117" customFormat="false" ht="15" hidden="false" customHeight="false" outlineLevel="0" collapsed="false">
      <c r="A5117" s="26" t="s">
        <v>15171</v>
      </c>
      <c r="B5117" s="28" t="s">
        <v>15172</v>
      </c>
      <c r="C5117" s="27" t="s">
        <v>144</v>
      </c>
      <c r="D5117" s="26"/>
      <c r="E5117" s="27"/>
      <c r="F5117" s="27"/>
      <c r="G5117" s="27" t="s">
        <v>11122</v>
      </c>
      <c r="H5117" s="27" t="s">
        <v>35</v>
      </c>
      <c r="I5117" s="27" t="s">
        <v>39</v>
      </c>
      <c r="J5117" s="28" t="s">
        <v>161</v>
      </c>
      <c r="K5117" s="27" t="s">
        <v>40</v>
      </c>
      <c r="L5117" s="27"/>
    </row>
    <row r="5118" customFormat="false" ht="15" hidden="false" customHeight="false" outlineLevel="0" collapsed="false">
      <c r="A5118" s="26" t="s">
        <v>15173</v>
      </c>
      <c r="B5118" s="27" t="s">
        <v>15174</v>
      </c>
      <c r="C5118" s="27" t="s">
        <v>144</v>
      </c>
      <c r="D5118" s="26"/>
      <c r="E5118" s="27"/>
      <c r="F5118" s="27"/>
      <c r="G5118" s="27" t="s">
        <v>11122</v>
      </c>
      <c r="H5118" s="27" t="s">
        <v>35</v>
      </c>
      <c r="I5118" s="27" t="s">
        <v>48</v>
      </c>
      <c r="J5118" s="28" t="s">
        <v>161</v>
      </c>
      <c r="K5118" s="27" t="s">
        <v>40</v>
      </c>
      <c r="L5118" s="27"/>
    </row>
    <row r="5119" customFormat="false" ht="15" hidden="false" customHeight="false" outlineLevel="0" collapsed="false">
      <c r="A5119" s="26" t="s">
        <v>15175</v>
      </c>
      <c r="B5119" s="27" t="s">
        <v>15176</v>
      </c>
      <c r="C5119" s="27" t="s">
        <v>370</v>
      </c>
      <c r="D5119" s="26"/>
      <c r="E5119" s="27"/>
      <c r="F5119" s="27"/>
      <c r="G5119" s="27" t="s">
        <v>11122</v>
      </c>
      <c r="H5119" s="27" t="s">
        <v>35</v>
      </c>
      <c r="I5119" s="27" t="s">
        <v>40</v>
      </c>
      <c r="J5119" s="28" t="s">
        <v>161</v>
      </c>
      <c r="K5119" s="27" t="s">
        <v>40</v>
      </c>
      <c r="L5119" s="27"/>
    </row>
    <row r="5120" customFormat="false" ht="15" hidden="false" customHeight="false" outlineLevel="0" collapsed="false">
      <c r="A5120" s="26" t="s">
        <v>15177</v>
      </c>
      <c r="B5120" s="27" t="s">
        <v>15178</v>
      </c>
      <c r="C5120" s="27" t="s">
        <v>144</v>
      </c>
      <c r="D5120" s="26"/>
      <c r="E5120" s="27"/>
      <c r="F5120" s="27"/>
      <c r="G5120" s="27" t="s">
        <v>11122</v>
      </c>
      <c r="H5120" s="27" t="s">
        <v>35</v>
      </c>
      <c r="I5120" s="27" t="s">
        <v>39</v>
      </c>
      <c r="J5120" s="28" t="s">
        <v>161</v>
      </c>
      <c r="K5120" s="27" t="s">
        <v>40</v>
      </c>
      <c r="L5120" s="27"/>
    </row>
    <row r="5121" customFormat="false" ht="15" hidden="false" customHeight="false" outlineLevel="0" collapsed="false">
      <c r="A5121" s="26" t="s">
        <v>15179</v>
      </c>
      <c r="B5121" s="27" t="s">
        <v>15180</v>
      </c>
      <c r="C5121" s="27" t="s">
        <v>144</v>
      </c>
      <c r="D5121" s="26"/>
      <c r="E5121" s="27"/>
      <c r="F5121" s="27"/>
      <c r="G5121" s="27" t="s">
        <v>11122</v>
      </c>
      <c r="H5121" s="27" t="s">
        <v>35</v>
      </c>
      <c r="I5121" s="27" t="s">
        <v>39</v>
      </c>
      <c r="J5121" s="28" t="s">
        <v>161</v>
      </c>
      <c r="K5121" s="27" t="s">
        <v>40</v>
      </c>
      <c r="L5121" s="27"/>
    </row>
    <row r="5122" customFormat="false" ht="15" hidden="false" customHeight="false" outlineLevel="0" collapsed="false">
      <c r="A5122" s="26" t="s">
        <v>15181</v>
      </c>
      <c r="B5122" s="27" t="s">
        <v>15182</v>
      </c>
      <c r="C5122" s="27" t="s">
        <v>370</v>
      </c>
      <c r="D5122" s="26"/>
      <c r="E5122" s="27"/>
      <c r="F5122" s="27"/>
      <c r="G5122" s="27" t="s">
        <v>11122</v>
      </c>
      <c r="H5122" s="27" t="s">
        <v>35</v>
      </c>
      <c r="I5122" s="27" t="s">
        <v>39</v>
      </c>
      <c r="J5122" s="28" t="s">
        <v>161</v>
      </c>
      <c r="K5122" s="27" t="s">
        <v>40</v>
      </c>
      <c r="L5122" s="27"/>
    </row>
    <row r="5123" customFormat="false" ht="15" hidden="false" customHeight="false" outlineLevel="0" collapsed="false">
      <c r="A5123" s="26" t="s">
        <v>15183</v>
      </c>
      <c r="B5123" s="27" t="s">
        <v>15184</v>
      </c>
      <c r="C5123" s="27" t="s">
        <v>144</v>
      </c>
      <c r="D5123" s="26"/>
      <c r="E5123" s="27"/>
      <c r="F5123" s="27"/>
      <c r="G5123" s="27" t="s">
        <v>11122</v>
      </c>
      <c r="H5123" s="27" t="s">
        <v>35</v>
      </c>
      <c r="I5123" s="27" t="s">
        <v>40</v>
      </c>
      <c r="J5123" s="28" t="s">
        <v>161</v>
      </c>
      <c r="K5123" s="27" t="s">
        <v>40</v>
      </c>
      <c r="L5123" s="27"/>
    </row>
    <row r="5124" customFormat="false" ht="15" hidden="false" customHeight="false" outlineLevel="0" collapsed="false">
      <c r="A5124" s="26" t="s">
        <v>15185</v>
      </c>
      <c r="B5124" s="27" t="s">
        <v>15186</v>
      </c>
      <c r="C5124" s="27" t="s">
        <v>144</v>
      </c>
      <c r="D5124" s="26"/>
      <c r="E5124" s="27"/>
      <c r="F5124" s="27"/>
      <c r="G5124" s="27" t="s">
        <v>11122</v>
      </c>
      <c r="H5124" s="27" t="s">
        <v>35</v>
      </c>
      <c r="I5124" s="27" t="s">
        <v>48</v>
      </c>
      <c r="J5124" s="28" t="s">
        <v>161</v>
      </c>
      <c r="K5124" s="27" t="s">
        <v>40</v>
      </c>
      <c r="L5124" s="27"/>
    </row>
    <row r="5125" customFormat="false" ht="15" hidden="false" customHeight="false" outlineLevel="0" collapsed="false">
      <c r="A5125" s="26" t="s">
        <v>15187</v>
      </c>
      <c r="B5125" s="27" t="s">
        <v>15188</v>
      </c>
      <c r="C5125" s="27" t="s">
        <v>144</v>
      </c>
      <c r="D5125" s="26"/>
      <c r="E5125" s="27"/>
      <c r="F5125" s="27"/>
      <c r="G5125" s="27" t="s">
        <v>11122</v>
      </c>
      <c r="H5125" s="27" t="s">
        <v>35</v>
      </c>
      <c r="I5125" s="27" t="s">
        <v>48</v>
      </c>
      <c r="J5125" s="28" t="s">
        <v>161</v>
      </c>
      <c r="K5125" s="27" t="s">
        <v>40</v>
      </c>
      <c r="L5125" s="27"/>
    </row>
    <row r="5126" customFormat="false" ht="15" hidden="false" customHeight="false" outlineLevel="0" collapsed="false">
      <c r="A5126" s="26" t="s">
        <v>15189</v>
      </c>
      <c r="B5126" s="27" t="s">
        <v>15190</v>
      </c>
      <c r="C5126" s="27" t="s">
        <v>144</v>
      </c>
      <c r="D5126" s="26"/>
      <c r="E5126" s="27"/>
      <c r="F5126" s="27"/>
      <c r="G5126" s="27" t="s">
        <v>11122</v>
      </c>
      <c r="H5126" s="27" t="s">
        <v>35</v>
      </c>
      <c r="I5126" s="28" t="s">
        <v>46</v>
      </c>
      <c r="J5126" s="28" t="s">
        <v>161</v>
      </c>
      <c r="K5126" s="27" t="s">
        <v>40</v>
      </c>
      <c r="L5126" s="27"/>
    </row>
    <row r="5127" customFormat="false" ht="15" hidden="false" customHeight="false" outlineLevel="0" collapsed="false">
      <c r="A5127" s="26" t="s">
        <v>15191</v>
      </c>
      <c r="B5127" s="27" t="s">
        <v>15192</v>
      </c>
      <c r="C5127" s="27" t="s">
        <v>370</v>
      </c>
      <c r="D5127" s="26"/>
      <c r="E5127" s="27"/>
      <c r="F5127" s="27"/>
      <c r="G5127" s="27" t="s">
        <v>11122</v>
      </c>
      <c r="H5127" s="27" t="s">
        <v>35</v>
      </c>
      <c r="I5127" s="27" t="s">
        <v>40</v>
      </c>
      <c r="J5127" s="28" t="s">
        <v>161</v>
      </c>
      <c r="K5127" s="27" t="s">
        <v>40</v>
      </c>
      <c r="L5127" s="27"/>
    </row>
    <row r="5128" customFormat="false" ht="15" hidden="false" customHeight="false" outlineLevel="0" collapsed="false">
      <c r="A5128" s="26" t="s">
        <v>15193</v>
      </c>
      <c r="B5128" s="27" t="s">
        <v>15194</v>
      </c>
      <c r="C5128" s="27" t="s">
        <v>370</v>
      </c>
      <c r="D5128" s="26"/>
      <c r="E5128" s="27"/>
      <c r="F5128" s="27"/>
      <c r="G5128" s="27" t="s">
        <v>11122</v>
      </c>
      <c r="H5128" s="27" t="s">
        <v>35</v>
      </c>
      <c r="I5128" s="27" t="s">
        <v>40</v>
      </c>
      <c r="J5128" s="28" t="s">
        <v>161</v>
      </c>
      <c r="K5128" s="27" t="s">
        <v>40</v>
      </c>
      <c r="L5128" s="27"/>
    </row>
    <row r="5129" customFormat="false" ht="15" hidden="false" customHeight="false" outlineLevel="0" collapsed="false">
      <c r="A5129" s="26" t="s">
        <v>15195</v>
      </c>
      <c r="B5129" s="27" t="s">
        <v>15196</v>
      </c>
      <c r="C5129" s="27" t="s">
        <v>144</v>
      </c>
      <c r="D5129" s="26"/>
      <c r="E5129" s="27"/>
      <c r="F5129" s="27"/>
      <c r="G5129" s="27" t="s">
        <v>11122</v>
      </c>
      <c r="H5129" s="27" t="s">
        <v>35</v>
      </c>
      <c r="I5129" s="27" t="s">
        <v>40</v>
      </c>
      <c r="J5129" s="28" t="s">
        <v>161</v>
      </c>
      <c r="K5129" s="27" t="s">
        <v>40</v>
      </c>
      <c r="L5129" s="27"/>
    </row>
    <row r="5130" customFormat="false" ht="15" hidden="false" customHeight="false" outlineLevel="0" collapsed="false">
      <c r="A5130" s="26" t="s">
        <v>15197</v>
      </c>
      <c r="B5130" s="27" t="s">
        <v>15198</v>
      </c>
      <c r="C5130" s="27" t="s">
        <v>144</v>
      </c>
      <c r="D5130" s="26"/>
      <c r="E5130" s="27"/>
      <c r="F5130" s="27"/>
      <c r="G5130" s="27" t="s">
        <v>11122</v>
      </c>
      <c r="H5130" s="27" t="s">
        <v>35</v>
      </c>
      <c r="I5130" s="27" t="s">
        <v>40</v>
      </c>
      <c r="J5130" s="28" t="s">
        <v>161</v>
      </c>
      <c r="K5130" s="27" t="s">
        <v>40</v>
      </c>
      <c r="L5130" s="27"/>
    </row>
    <row r="5131" customFormat="false" ht="15" hidden="false" customHeight="false" outlineLevel="0" collapsed="false">
      <c r="A5131" s="26" t="s">
        <v>15199</v>
      </c>
      <c r="B5131" s="27" t="s">
        <v>15200</v>
      </c>
      <c r="C5131" s="27" t="s">
        <v>144</v>
      </c>
      <c r="D5131" s="26"/>
      <c r="E5131" s="27"/>
      <c r="F5131" s="27"/>
      <c r="G5131" s="27" t="s">
        <v>11122</v>
      </c>
      <c r="H5131" s="27" t="s">
        <v>35</v>
      </c>
      <c r="I5131" s="27" t="s">
        <v>48</v>
      </c>
      <c r="J5131" s="28" t="s">
        <v>161</v>
      </c>
      <c r="K5131" s="27" t="s">
        <v>40</v>
      </c>
      <c r="L5131" s="27"/>
    </row>
    <row r="5132" customFormat="false" ht="15" hidden="false" customHeight="false" outlineLevel="0" collapsed="false">
      <c r="A5132" s="26" t="s">
        <v>15201</v>
      </c>
      <c r="B5132" s="27" t="s">
        <v>15202</v>
      </c>
      <c r="C5132" s="27" t="s">
        <v>370</v>
      </c>
      <c r="D5132" s="26"/>
      <c r="E5132" s="27"/>
      <c r="F5132" s="27"/>
      <c r="G5132" s="27" t="s">
        <v>11122</v>
      </c>
      <c r="H5132" s="27" t="s">
        <v>35</v>
      </c>
      <c r="I5132" s="27" t="s">
        <v>41</v>
      </c>
      <c r="J5132" s="28" t="s">
        <v>161</v>
      </c>
      <c r="K5132" s="27" t="s">
        <v>40</v>
      </c>
      <c r="L5132" s="27"/>
    </row>
    <row r="5133" customFormat="false" ht="15" hidden="false" customHeight="false" outlineLevel="0" collapsed="false">
      <c r="A5133" s="26" t="s">
        <v>15203</v>
      </c>
      <c r="B5133" s="27" t="s">
        <v>15204</v>
      </c>
      <c r="C5133" s="27" t="s">
        <v>370</v>
      </c>
      <c r="D5133" s="26"/>
      <c r="E5133" s="27"/>
      <c r="F5133" s="27"/>
      <c r="G5133" s="27" t="s">
        <v>11122</v>
      </c>
      <c r="H5133" s="27" t="s">
        <v>35</v>
      </c>
      <c r="I5133" s="27" t="s">
        <v>41</v>
      </c>
      <c r="J5133" s="28" t="s">
        <v>161</v>
      </c>
      <c r="K5133" s="27" t="s">
        <v>40</v>
      </c>
      <c r="L5133" s="27"/>
    </row>
    <row r="5134" customFormat="false" ht="15" hidden="false" customHeight="false" outlineLevel="0" collapsed="false">
      <c r="A5134" s="26" t="s">
        <v>15205</v>
      </c>
      <c r="B5134" s="27" t="s">
        <v>15206</v>
      </c>
      <c r="C5134" s="27" t="s">
        <v>144</v>
      </c>
      <c r="D5134" s="26"/>
      <c r="E5134" s="27"/>
      <c r="F5134" s="27"/>
      <c r="G5134" s="27" t="s">
        <v>11122</v>
      </c>
      <c r="H5134" s="27" t="s">
        <v>35</v>
      </c>
      <c r="I5134" s="27" t="s">
        <v>40</v>
      </c>
      <c r="J5134" s="28" t="s">
        <v>161</v>
      </c>
      <c r="K5134" s="27" t="s">
        <v>40</v>
      </c>
      <c r="L5134" s="27"/>
    </row>
    <row r="5135" customFormat="false" ht="15" hidden="false" customHeight="false" outlineLevel="0" collapsed="false">
      <c r="A5135" s="26" t="s">
        <v>15207</v>
      </c>
      <c r="B5135" s="27" t="s">
        <v>15208</v>
      </c>
      <c r="C5135" s="27" t="s">
        <v>144</v>
      </c>
      <c r="D5135" s="26"/>
      <c r="E5135" s="27"/>
      <c r="F5135" s="27"/>
      <c r="G5135" s="27" t="s">
        <v>11122</v>
      </c>
      <c r="H5135" s="27" t="s">
        <v>35</v>
      </c>
      <c r="I5135" s="27" t="s">
        <v>48</v>
      </c>
      <c r="J5135" s="28" t="s">
        <v>161</v>
      </c>
      <c r="K5135" s="27" t="s">
        <v>40</v>
      </c>
      <c r="L5135" s="27"/>
    </row>
    <row r="5136" customFormat="false" ht="15" hidden="false" customHeight="false" outlineLevel="0" collapsed="false">
      <c r="A5136" s="26" t="s">
        <v>15209</v>
      </c>
      <c r="B5136" s="27" t="s">
        <v>15210</v>
      </c>
      <c r="C5136" s="27" t="s">
        <v>144</v>
      </c>
      <c r="D5136" s="26"/>
      <c r="E5136" s="27"/>
      <c r="F5136" s="27"/>
      <c r="G5136" s="27" t="s">
        <v>11122</v>
      </c>
      <c r="H5136" s="27" t="s">
        <v>35</v>
      </c>
      <c r="I5136" s="27" t="s">
        <v>40</v>
      </c>
      <c r="J5136" s="28" t="s">
        <v>161</v>
      </c>
      <c r="K5136" s="27" t="s">
        <v>40</v>
      </c>
      <c r="L5136" s="27"/>
    </row>
    <row r="5137" customFormat="false" ht="15" hidden="false" customHeight="false" outlineLevel="0" collapsed="false">
      <c r="A5137" s="26" t="s">
        <v>15211</v>
      </c>
      <c r="B5137" s="27" t="s">
        <v>15212</v>
      </c>
      <c r="C5137" s="27" t="s">
        <v>144</v>
      </c>
      <c r="D5137" s="26"/>
      <c r="E5137" s="27"/>
      <c r="F5137" s="27"/>
      <c r="G5137" s="27" t="s">
        <v>11122</v>
      </c>
      <c r="H5137" s="27" t="s">
        <v>35</v>
      </c>
      <c r="I5137" s="27" t="s">
        <v>48</v>
      </c>
      <c r="J5137" s="28" t="s">
        <v>161</v>
      </c>
      <c r="K5137" s="27" t="s">
        <v>40</v>
      </c>
      <c r="L5137" s="27"/>
    </row>
    <row r="5138" customFormat="false" ht="15" hidden="false" customHeight="false" outlineLevel="0" collapsed="false">
      <c r="A5138" s="26" t="s">
        <v>15213</v>
      </c>
      <c r="B5138" s="27" t="s">
        <v>15214</v>
      </c>
      <c r="C5138" s="27" t="s">
        <v>144</v>
      </c>
      <c r="D5138" s="26"/>
      <c r="E5138" s="27"/>
      <c r="F5138" s="27"/>
      <c r="G5138" s="27" t="s">
        <v>11122</v>
      </c>
      <c r="H5138" s="27" t="s">
        <v>35</v>
      </c>
      <c r="I5138" s="27" t="s">
        <v>40</v>
      </c>
      <c r="J5138" s="28" t="s">
        <v>161</v>
      </c>
      <c r="K5138" s="27" t="s">
        <v>40</v>
      </c>
      <c r="L5138" s="27"/>
    </row>
    <row r="5139" customFormat="false" ht="15" hidden="false" customHeight="false" outlineLevel="0" collapsed="false">
      <c r="A5139" s="26" t="s">
        <v>15215</v>
      </c>
      <c r="B5139" s="27" t="s">
        <v>15216</v>
      </c>
      <c r="C5139" s="27" t="s">
        <v>144</v>
      </c>
      <c r="D5139" s="26"/>
      <c r="E5139" s="27"/>
      <c r="F5139" s="27"/>
      <c r="G5139" s="27" t="s">
        <v>11122</v>
      </c>
      <c r="H5139" s="27" t="s">
        <v>35</v>
      </c>
      <c r="I5139" s="27" t="s">
        <v>40</v>
      </c>
      <c r="J5139" s="28" t="s">
        <v>161</v>
      </c>
      <c r="K5139" s="27" t="s">
        <v>40</v>
      </c>
      <c r="L5139" s="27"/>
    </row>
    <row r="5140" customFormat="false" ht="15" hidden="false" customHeight="false" outlineLevel="0" collapsed="false">
      <c r="A5140" s="26" t="s">
        <v>15217</v>
      </c>
      <c r="B5140" s="27" t="s">
        <v>15218</v>
      </c>
      <c r="C5140" s="27" t="s">
        <v>144</v>
      </c>
      <c r="D5140" s="26"/>
      <c r="E5140" s="27"/>
      <c r="F5140" s="27"/>
      <c r="G5140" s="27" t="s">
        <v>11122</v>
      </c>
      <c r="H5140" s="27" t="s">
        <v>35</v>
      </c>
      <c r="I5140" s="27" t="s">
        <v>37</v>
      </c>
      <c r="J5140" s="28" t="s">
        <v>161</v>
      </c>
      <c r="K5140" s="27" t="s">
        <v>40</v>
      </c>
      <c r="L5140" s="27"/>
    </row>
    <row r="5141" customFormat="false" ht="15" hidden="false" customHeight="false" outlineLevel="0" collapsed="false">
      <c r="A5141" s="26" t="s">
        <v>15219</v>
      </c>
      <c r="B5141" s="27" t="s">
        <v>15220</v>
      </c>
      <c r="C5141" s="27" t="s">
        <v>144</v>
      </c>
      <c r="D5141" s="26"/>
      <c r="E5141" s="27"/>
      <c r="F5141" s="27"/>
      <c r="G5141" s="27" t="s">
        <v>11122</v>
      </c>
      <c r="H5141" s="27" t="s">
        <v>35</v>
      </c>
      <c r="I5141" s="27" t="s">
        <v>37</v>
      </c>
      <c r="J5141" s="28" t="s">
        <v>161</v>
      </c>
      <c r="K5141" s="27" t="s">
        <v>40</v>
      </c>
      <c r="L5141" s="27"/>
    </row>
    <row r="5142" customFormat="false" ht="15" hidden="false" customHeight="false" outlineLevel="0" collapsed="false">
      <c r="A5142" s="26" t="s">
        <v>15221</v>
      </c>
      <c r="B5142" s="27" t="s">
        <v>15222</v>
      </c>
      <c r="C5142" s="27" t="s">
        <v>144</v>
      </c>
      <c r="D5142" s="26"/>
      <c r="E5142" s="27"/>
      <c r="F5142" s="27"/>
      <c r="G5142" s="27" t="s">
        <v>11122</v>
      </c>
      <c r="H5142" s="27" t="s">
        <v>35</v>
      </c>
      <c r="I5142" s="27" t="s">
        <v>37</v>
      </c>
      <c r="J5142" s="28" t="s">
        <v>161</v>
      </c>
      <c r="K5142" s="27" t="s">
        <v>40</v>
      </c>
      <c r="L5142" s="27"/>
    </row>
    <row r="5143" customFormat="false" ht="15" hidden="false" customHeight="false" outlineLevel="0" collapsed="false">
      <c r="A5143" s="26" t="s">
        <v>15223</v>
      </c>
      <c r="B5143" s="27" t="s">
        <v>15224</v>
      </c>
      <c r="C5143" s="27" t="s">
        <v>144</v>
      </c>
      <c r="D5143" s="26"/>
      <c r="E5143" s="27"/>
      <c r="F5143" s="27"/>
      <c r="G5143" s="27" t="s">
        <v>11122</v>
      </c>
      <c r="H5143" s="27" t="s">
        <v>35</v>
      </c>
      <c r="I5143" s="27" t="s">
        <v>48</v>
      </c>
      <c r="J5143" s="28" t="s">
        <v>161</v>
      </c>
      <c r="K5143" s="27" t="s">
        <v>40</v>
      </c>
      <c r="L5143" s="27"/>
    </row>
    <row r="5144" customFormat="false" ht="15" hidden="false" customHeight="false" outlineLevel="0" collapsed="false">
      <c r="A5144" s="26" t="s">
        <v>15225</v>
      </c>
      <c r="B5144" s="27" t="s">
        <v>15226</v>
      </c>
      <c r="C5144" s="27" t="s">
        <v>144</v>
      </c>
      <c r="D5144" s="26"/>
      <c r="E5144" s="27"/>
      <c r="F5144" s="27"/>
      <c r="G5144" s="27" t="s">
        <v>11122</v>
      </c>
      <c r="H5144" s="27" t="s">
        <v>35</v>
      </c>
      <c r="I5144" s="27" t="s">
        <v>48</v>
      </c>
      <c r="J5144" s="28" t="s">
        <v>161</v>
      </c>
      <c r="K5144" s="27" t="s">
        <v>40</v>
      </c>
      <c r="L5144" s="27"/>
    </row>
    <row r="5145" customFormat="false" ht="15" hidden="false" customHeight="false" outlineLevel="0" collapsed="false">
      <c r="A5145" s="26" t="s">
        <v>15227</v>
      </c>
      <c r="B5145" s="27" t="s">
        <v>15228</v>
      </c>
      <c r="C5145" s="27" t="s">
        <v>144</v>
      </c>
      <c r="D5145" s="26"/>
      <c r="E5145" s="27"/>
      <c r="F5145" s="27"/>
      <c r="G5145" s="27" t="s">
        <v>11122</v>
      </c>
      <c r="H5145" s="27" t="s">
        <v>35</v>
      </c>
      <c r="I5145" s="27" t="s">
        <v>37</v>
      </c>
      <c r="J5145" s="28" t="s">
        <v>161</v>
      </c>
      <c r="K5145" s="27" t="s">
        <v>40</v>
      </c>
      <c r="L5145" s="27"/>
    </row>
    <row r="5146" customFormat="false" ht="15" hidden="false" customHeight="false" outlineLevel="0" collapsed="false">
      <c r="A5146" s="26" t="s">
        <v>15229</v>
      </c>
      <c r="B5146" s="27" t="s">
        <v>15230</v>
      </c>
      <c r="C5146" s="27" t="s">
        <v>144</v>
      </c>
      <c r="D5146" s="26"/>
      <c r="E5146" s="27"/>
      <c r="F5146" s="27"/>
      <c r="G5146" s="27" t="s">
        <v>11122</v>
      </c>
      <c r="H5146" s="27" t="s">
        <v>35</v>
      </c>
      <c r="I5146" s="27" t="s">
        <v>42</v>
      </c>
      <c r="J5146" s="28" t="s">
        <v>399</v>
      </c>
      <c r="K5146" s="27" t="s">
        <v>37</v>
      </c>
      <c r="L5146" s="27"/>
    </row>
    <row r="5147" customFormat="false" ht="15" hidden="false" customHeight="false" outlineLevel="0" collapsed="false">
      <c r="A5147" s="26" t="s">
        <v>15231</v>
      </c>
      <c r="B5147" s="27" t="s">
        <v>15232</v>
      </c>
      <c r="C5147" s="27" t="s">
        <v>144</v>
      </c>
      <c r="D5147" s="26"/>
      <c r="E5147" s="27"/>
      <c r="F5147" s="27"/>
      <c r="G5147" s="27" t="s">
        <v>11122</v>
      </c>
      <c r="H5147" s="27" t="s">
        <v>35</v>
      </c>
      <c r="I5147" s="27" t="s">
        <v>41</v>
      </c>
      <c r="J5147" s="28" t="s">
        <v>399</v>
      </c>
      <c r="K5147" s="27" t="s">
        <v>37</v>
      </c>
      <c r="L5147" s="27"/>
    </row>
    <row r="5148" customFormat="false" ht="15" hidden="false" customHeight="false" outlineLevel="0" collapsed="false">
      <c r="A5148" s="26" t="s">
        <v>15233</v>
      </c>
      <c r="B5148" s="27" t="s">
        <v>15234</v>
      </c>
      <c r="C5148" s="27" t="s">
        <v>2041</v>
      </c>
      <c r="D5148" s="26"/>
      <c r="E5148" s="27"/>
      <c r="F5148" s="27"/>
      <c r="G5148" s="27" t="s">
        <v>11122</v>
      </c>
      <c r="H5148" s="27" t="s">
        <v>35</v>
      </c>
      <c r="I5148" s="27" t="s">
        <v>42</v>
      </c>
      <c r="J5148" s="28" t="s">
        <v>399</v>
      </c>
      <c r="K5148" s="27" t="s">
        <v>37</v>
      </c>
      <c r="L5148" s="27"/>
    </row>
    <row r="5149" customFormat="false" ht="15" hidden="false" customHeight="false" outlineLevel="0" collapsed="false">
      <c r="A5149" s="26" t="s">
        <v>15235</v>
      </c>
      <c r="B5149" s="27" t="s">
        <v>15236</v>
      </c>
      <c r="C5149" s="27" t="s">
        <v>144</v>
      </c>
      <c r="D5149" s="26"/>
      <c r="E5149" s="27"/>
      <c r="F5149" s="27"/>
      <c r="G5149" s="27" t="s">
        <v>11122</v>
      </c>
      <c r="H5149" s="27" t="s">
        <v>35</v>
      </c>
      <c r="I5149" s="27" t="s">
        <v>37</v>
      </c>
      <c r="J5149" s="28" t="s">
        <v>399</v>
      </c>
      <c r="K5149" s="27" t="s">
        <v>37</v>
      </c>
      <c r="L5149" s="27"/>
    </row>
    <row r="5150" customFormat="false" ht="15" hidden="false" customHeight="false" outlineLevel="0" collapsed="false">
      <c r="A5150" s="26" t="s">
        <v>15237</v>
      </c>
      <c r="B5150" s="27" t="s">
        <v>15238</v>
      </c>
      <c r="C5150" s="27" t="s">
        <v>2041</v>
      </c>
      <c r="D5150" s="26"/>
      <c r="E5150" s="27"/>
      <c r="F5150" s="27"/>
      <c r="G5150" s="27" t="s">
        <v>11122</v>
      </c>
      <c r="H5150" s="27" t="s">
        <v>35</v>
      </c>
      <c r="I5150" s="27" t="s">
        <v>43</v>
      </c>
      <c r="J5150" s="28" t="s">
        <v>399</v>
      </c>
      <c r="K5150" s="27" t="s">
        <v>37</v>
      </c>
      <c r="L5150" s="27"/>
    </row>
    <row r="5151" customFormat="false" ht="15" hidden="false" customHeight="false" outlineLevel="0" collapsed="false">
      <c r="A5151" s="26" t="s">
        <v>15239</v>
      </c>
      <c r="B5151" s="27" t="s">
        <v>15240</v>
      </c>
      <c r="C5151" s="27" t="s">
        <v>144</v>
      </c>
      <c r="D5151" s="26"/>
      <c r="E5151" s="27"/>
      <c r="F5151" s="27"/>
      <c r="G5151" s="27" t="s">
        <v>11122</v>
      </c>
      <c r="H5151" s="27" t="s">
        <v>35</v>
      </c>
      <c r="I5151" s="27" t="s">
        <v>39</v>
      </c>
      <c r="J5151" s="28" t="s">
        <v>399</v>
      </c>
      <c r="K5151" s="27" t="s">
        <v>37</v>
      </c>
      <c r="L5151" s="27"/>
    </row>
    <row r="5152" customFormat="false" ht="15" hidden="false" customHeight="false" outlineLevel="0" collapsed="false">
      <c r="A5152" s="26" t="s">
        <v>15241</v>
      </c>
      <c r="B5152" s="27" t="s">
        <v>15242</v>
      </c>
      <c r="C5152" s="27" t="s">
        <v>144</v>
      </c>
      <c r="D5152" s="26"/>
      <c r="E5152" s="27"/>
      <c r="F5152" s="27"/>
      <c r="G5152" s="27" t="s">
        <v>11122</v>
      </c>
      <c r="H5152" s="27" t="s">
        <v>35</v>
      </c>
      <c r="I5152" s="27" t="s">
        <v>37</v>
      </c>
      <c r="J5152" s="28" t="s">
        <v>399</v>
      </c>
      <c r="K5152" s="27" t="s">
        <v>37</v>
      </c>
      <c r="L5152" s="27"/>
    </row>
    <row r="5153" customFormat="false" ht="15" hidden="false" customHeight="false" outlineLevel="0" collapsed="false">
      <c r="A5153" s="26" t="s">
        <v>15243</v>
      </c>
      <c r="B5153" s="27" t="s">
        <v>15244</v>
      </c>
      <c r="C5153" s="27" t="s">
        <v>144</v>
      </c>
      <c r="D5153" s="26"/>
      <c r="E5153" s="27"/>
      <c r="F5153" s="27"/>
      <c r="G5153" s="27" t="s">
        <v>11122</v>
      </c>
      <c r="H5153" s="27" t="s">
        <v>35</v>
      </c>
      <c r="I5153" s="27" t="s">
        <v>41</v>
      </c>
      <c r="J5153" s="28" t="s">
        <v>399</v>
      </c>
      <c r="K5153" s="27" t="s">
        <v>37</v>
      </c>
      <c r="L5153" s="27"/>
    </row>
    <row r="5154" customFormat="false" ht="15" hidden="false" customHeight="false" outlineLevel="0" collapsed="false">
      <c r="A5154" s="26" t="s">
        <v>15245</v>
      </c>
      <c r="B5154" s="27" t="s">
        <v>15246</v>
      </c>
      <c r="C5154" s="27" t="s">
        <v>144</v>
      </c>
      <c r="D5154" s="26"/>
      <c r="E5154" s="27"/>
      <c r="F5154" s="27"/>
      <c r="G5154" s="27" t="s">
        <v>11122</v>
      </c>
      <c r="H5154" s="27" t="s">
        <v>35</v>
      </c>
      <c r="I5154" s="27" t="s">
        <v>41</v>
      </c>
      <c r="J5154" s="28" t="s">
        <v>399</v>
      </c>
      <c r="K5154" s="27" t="s">
        <v>37</v>
      </c>
      <c r="L5154" s="27"/>
    </row>
    <row r="5155" customFormat="false" ht="15" hidden="false" customHeight="false" outlineLevel="0" collapsed="false">
      <c r="A5155" s="26" t="s">
        <v>15247</v>
      </c>
      <c r="B5155" s="27" t="s">
        <v>15248</v>
      </c>
      <c r="C5155" s="27" t="s">
        <v>144</v>
      </c>
      <c r="D5155" s="26"/>
      <c r="E5155" s="27"/>
      <c r="F5155" s="27"/>
      <c r="G5155" s="27" t="s">
        <v>11122</v>
      </c>
      <c r="H5155" s="27" t="s">
        <v>35</v>
      </c>
      <c r="I5155" s="27" t="s">
        <v>41</v>
      </c>
      <c r="J5155" s="28" t="s">
        <v>399</v>
      </c>
      <c r="K5155" s="27" t="s">
        <v>37</v>
      </c>
      <c r="L5155" s="27"/>
    </row>
    <row r="5156" customFormat="false" ht="15" hidden="false" customHeight="false" outlineLevel="0" collapsed="false">
      <c r="A5156" s="26" t="s">
        <v>15249</v>
      </c>
      <c r="B5156" s="27" t="s">
        <v>15250</v>
      </c>
      <c r="C5156" s="27" t="s">
        <v>144</v>
      </c>
      <c r="D5156" s="26"/>
      <c r="E5156" s="27"/>
      <c r="F5156" s="27"/>
      <c r="G5156" s="27" t="s">
        <v>11122</v>
      </c>
      <c r="H5156" s="27" t="s">
        <v>35</v>
      </c>
      <c r="I5156" s="27" t="s">
        <v>47</v>
      </c>
      <c r="J5156" s="28" t="s">
        <v>399</v>
      </c>
      <c r="K5156" s="27" t="s">
        <v>37</v>
      </c>
      <c r="L5156" s="27"/>
    </row>
    <row r="5157" customFormat="false" ht="15" hidden="false" customHeight="false" outlineLevel="0" collapsed="false">
      <c r="A5157" s="26" t="s">
        <v>15251</v>
      </c>
      <c r="B5157" s="27" t="s">
        <v>15252</v>
      </c>
      <c r="C5157" s="27" t="s">
        <v>144</v>
      </c>
      <c r="D5157" s="26"/>
      <c r="E5157" s="27"/>
      <c r="F5157" s="27"/>
      <c r="G5157" s="27" t="s">
        <v>11122</v>
      </c>
      <c r="H5157" s="27" t="s">
        <v>35</v>
      </c>
      <c r="I5157" s="27" t="s">
        <v>41</v>
      </c>
      <c r="J5157" s="28" t="s">
        <v>399</v>
      </c>
      <c r="K5157" s="27" t="s">
        <v>37</v>
      </c>
      <c r="L5157" s="27"/>
    </row>
    <row r="5158" customFormat="false" ht="15" hidden="false" customHeight="false" outlineLevel="0" collapsed="false">
      <c r="A5158" s="26" t="s">
        <v>15253</v>
      </c>
      <c r="B5158" s="27" t="s">
        <v>15254</v>
      </c>
      <c r="C5158" s="27" t="s">
        <v>144</v>
      </c>
      <c r="D5158" s="26"/>
      <c r="E5158" s="27"/>
      <c r="F5158" s="27"/>
      <c r="G5158" s="27" t="s">
        <v>11122</v>
      </c>
      <c r="H5158" s="27" t="s">
        <v>35</v>
      </c>
      <c r="I5158" s="27" t="s">
        <v>41</v>
      </c>
      <c r="J5158" s="28" t="s">
        <v>399</v>
      </c>
      <c r="K5158" s="27" t="s">
        <v>37</v>
      </c>
      <c r="L5158" s="27"/>
    </row>
    <row r="5159" customFormat="false" ht="15" hidden="false" customHeight="false" outlineLevel="0" collapsed="false">
      <c r="A5159" s="26" t="s">
        <v>15255</v>
      </c>
      <c r="B5159" s="27" t="s">
        <v>15256</v>
      </c>
      <c r="C5159" s="27" t="s">
        <v>144</v>
      </c>
      <c r="D5159" s="26"/>
      <c r="E5159" s="27"/>
      <c r="F5159" s="27"/>
      <c r="G5159" s="27" t="s">
        <v>11122</v>
      </c>
      <c r="H5159" s="27" t="s">
        <v>35</v>
      </c>
      <c r="I5159" s="27" t="s">
        <v>47</v>
      </c>
      <c r="J5159" s="28" t="s">
        <v>399</v>
      </c>
      <c r="K5159" s="27" t="s">
        <v>37</v>
      </c>
      <c r="L5159" s="27"/>
    </row>
    <row r="5160" customFormat="false" ht="15" hidden="false" customHeight="false" outlineLevel="0" collapsed="false">
      <c r="A5160" s="26" t="s">
        <v>15257</v>
      </c>
      <c r="B5160" s="27" t="s">
        <v>15258</v>
      </c>
      <c r="C5160" s="27" t="s">
        <v>144</v>
      </c>
      <c r="D5160" s="26"/>
      <c r="E5160" s="27"/>
      <c r="F5160" s="27"/>
      <c r="G5160" s="27" t="s">
        <v>11122</v>
      </c>
      <c r="H5160" s="27" t="s">
        <v>35</v>
      </c>
      <c r="I5160" s="27" t="s">
        <v>42</v>
      </c>
      <c r="J5160" s="28" t="s">
        <v>399</v>
      </c>
      <c r="K5160" s="27" t="s">
        <v>37</v>
      </c>
      <c r="L5160" s="27"/>
    </row>
    <row r="5161" customFormat="false" ht="15" hidden="false" customHeight="false" outlineLevel="0" collapsed="false">
      <c r="A5161" s="26" t="s">
        <v>15259</v>
      </c>
      <c r="B5161" s="27" t="s">
        <v>15260</v>
      </c>
      <c r="C5161" s="27" t="s">
        <v>144</v>
      </c>
      <c r="D5161" s="26"/>
      <c r="E5161" s="27"/>
      <c r="F5161" s="27"/>
      <c r="G5161" s="27" t="s">
        <v>11122</v>
      </c>
      <c r="H5161" s="27" t="s">
        <v>35</v>
      </c>
      <c r="I5161" s="27" t="s">
        <v>47</v>
      </c>
      <c r="J5161" s="28" t="s">
        <v>399</v>
      </c>
      <c r="K5161" s="27" t="s">
        <v>37</v>
      </c>
      <c r="L5161" s="27"/>
    </row>
    <row r="5162" customFormat="false" ht="15" hidden="false" customHeight="false" outlineLevel="0" collapsed="false">
      <c r="A5162" s="26" t="s">
        <v>15261</v>
      </c>
      <c r="B5162" s="27" t="s">
        <v>15262</v>
      </c>
      <c r="C5162" s="27" t="s">
        <v>144</v>
      </c>
      <c r="D5162" s="26"/>
      <c r="E5162" s="27"/>
      <c r="F5162" s="27"/>
      <c r="G5162" s="27" t="s">
        <v>11122</v>
      </c>
      <c r="H5162" s="27" t="s">
        <v>35</v>
      </c>
      <c r="I5162" s="27" t="s">
        <v>43</v>
      </c>
      <c r="J5162" s="28" t="s">
        <v>399</v>
      </c>
      <c r="K5162" s="27" t="s">
        <v>37</v>
      </c>
      <c r="L5162" s="27"/>
    </row>
    <row r="5163" customFormat="false" ht="15" hidden="false" customHeight="false" outlineLevel="0" collapsed="false">
      <c r="A5163" s="26" t="s">
        <v>15263</v>
      </c>
      <c r="B5163" s="27" t="s">
        <v>15264</v>
      </c>
      <c r="C5163" s="27" t="s">
        <v>144</v>
      </c>
      <c r="D5163" s="26"/>
      <c r="E5163" s="27"/>
      <c r="F5163" s="27"/>
      <c r="G5163" s="27" t="s">
        <v>11122</v>
      </c>
      <c r="H5163" s="27" t="s">
        <v>35</v>
      </c>
      <c r="I5163" s="27" t="s">
        <v>37</v>
      </c>
      <c r="J5163" s="28" t="s">
        <v>399</v>
      </c>
      <c r="K5163" s="27" t="s">
        <v>37</v>
      </c>
      <c r="L5163" s="27"/>
    </row>
    <row r="5164" customFormat="false" ht="15" hidden="false" customHeight="false" outlineLevel="0" collapsed="false">
      <c r="A5164" s="26" t="s">
        <v>15265</v>
      </c>
      <c r="B5164" s="27" t="s">
        <v>15266</v>
      </c>
      <c r="C5164" s="27" t="s">
        <v>144</v>
      </c>
      <c r="D5164" s="26"/>
      <c r="E5164" s="27"/>
      <c r="F5164" s="27"/>
      <c r="G5164" s="27" t="s">
        <v>11122</v>
      </c>
      <c r="H5164" s="27" t="s">
        <v>35</v>
      </c>
      <c r="I5164" s="27" t="s">
        <v>37</v>
      </c>
      <c r="J5164" s="28" t="s">
        <v>399</v>
      </c>
      <c r="K5164" s="27" t="s">
        <v>37</v>
      </c>
      <c r="L5164" s="27"/>
    </row>
    <row r="5165" customFormat="false" ht="15" hidden="false" customHeight="false" outlineLevel="0" collapsed="false">
      <c r="A5165" s="26" t="s">
        <v>15267</v>
      </c>
      <c r="B5165" s="27" t="s">
        <v>15268</v>
      </c>
      <c r="C5165" s="27" t="s">
        <v>144</v>
      </c>
      <c r="D5165" s="26"/>
      <c r="E5165" s="27"/>
      <c r="F5165" s="27"/>
      <c r="G5165" s="27" t="s">
        <v>11122</v>
      </c>
      <c r="H5165" s="27" t="s">
        <v>35</v>
      </c>
      <c r="I5165" s="27" t="s">
        <v>37</v>
      </c>
      <c r="J5165" s="28" t="s">
        <v>399</v>
      </c>
      <c r="K5165" s="27" t="s">
        <v>37</v>
      </c>
      <c r="L5165" s="27"/>
    </row>
    <row r="5166" customFormat="false" ht="15" hidden="false" customHeight="false" outlineLevel="0" collapsed="false">
      <c r="A5166" s="26" t="s">
        <v>15269</v>
      </c>
      <c r="B5166" s="27" t="s">
        <v>15270</v>
      </c>
      <c r="C5166" s="27" t="s">
        <v>144</v>
      </c>
      <c r="D5166" s="26"/>
      <c r="E5166" s="27"/>
      <c r="F5166" s="27"/>
      <c r="G5166" s="27" t="s">
        <v>11122</v>
      </c>
      <c r="H5166" s="27" t="s">
        <v>35</v>
      </c>
      <c r="I5166" s="27" t="s">
        <v>37</v>
      </c>
      <c r="J5166" s="28" t="s">
        <v>399</v>
      </c>
      <c r="K5166" s="27" t="s">
        <v>37</v>
      </c>
      <c r="L5166" s="27"/>
    </row>
    <row r="5167" customFormat="false" ht="15" hidden="false" customHeight="false" outlineLevel="0" collapsed="false">
      <c r="A5167" s="26" t="s">
        <v>15271</v>
      </c>
      <c r="B5167" s="27" t="s">
        <v>15272</v>
      </c>
      <c r="C5167" s="27" t="s">
        <v>144</v>
      </c>
      <c r="D5167" s="26"/>
      <c r="E5167" s="27"/>
      <c r="F5167" s="27"/>
      <c r="G5167" s="27" t="s">
        <v>11122</v>
      </c>
      <c r="H5167" s="27" t="s">
        <v>35</v>
      </c>
      <c r="I5167" s="27" t="s">
        <v>43</v>
      </c>
      <c r="J5167" s="28" t="s">
        <v>399</v>
      </c>
      <c r="K5167" s="27" t="s">
        <v>37</v>
      </c>
      <c r="L5167" s="27"/>
    </row>
    <row r="5168" customFormat="false" ht="15" hidden="false" customHeight="false" outlineLevel="0" collapsed="false">
      <c r="A5168" s="26" t="s">
        <v>15273</v>
      </c>
      <c r="B5168" s="27" t="s">
        <v>15274</v>
      </c>
      <c r="C5168" s="27" t="s">
        <v>144</v>
      </c>
      <c r="D5168" s="26"/>
      <c r="E5168" s="27"/>
      <c r="F5168" s="27"/>
      <c r="G5168" s="27" t="s">
        <v>11122</v>
      </c>
      <c r="H5168" s="27" t="s">
        <v>35</v>
      </c>
      <c r="I5168" s="27" t="s">
        <v>43</v>
      </c>
      <c r="J5168" s="28" t="s">
        <v>399</v>
      </c>
      <c r="K5168" s="27" t="s">
        <v>37</v>
      </c>
      <c r="L5168" s="27"/>
    </row>
    <row r="5169" customFormat="false" ht="15" hidden="false" customHeight="false" outlineLevel="0" collapsed="false">
      <c r="A5169" s="26" t="s">
        <v>15275</v>
      </c>
      <c r="B5169" s="27" t="s">
        <v>15276</v>
      </c>
      <c r="C5169" s="27" t="s">
        <v>144</v>
      </c>
      <c r="D5169" s="26"/>
      <c r="E5169" s="27"/>
      <c r="F5169" s="27"/>
      <c r="G5169" s="27" t="s">
        <v>11122</v>
      </c>
      <c r="H5169" s="27" t="s">
        <v>35</v>
      </c>
      <c r="I5169" s="27" t="s">
        <v>43</v>
      </c>
      <c r="J5169" s="28" t="s">
        <v>399</v>
      </c>
      <c r="K5169" s="27" t="s">
        <v>37</v>
      </c>
      <c r="L5169" s="27"/>
    </row>
    <row r="5170" customFormat="false" ht="15" hidden="false" customHeight="false" outlineLevel="0" collapsed="false">
      <c r="A5170" s="26" t="s">
        <v>15277</v>
      </c>
      <c r="B5170" s="27" t="s">
        <v>15278</v>
      </c>
      <c r="C5170" s="27" t="s">
        <v>144</v>
      </c>
      <c r="D5170" s="26"/>
      <c r="E5170" s="27"/>
      <c r="F5170" s="27"/>
      <c r="G5170" s="27" t="s">
        <v>11122</v>
      </c>
      <c r="H5170" s="27" t="s">
        <v>35</v>
      </c>
      <c r="I5170" s="27" t="s">
        <v>41</v>
      </c>
      <c r="J5170" s="28" t="s">
        <v>399</v>
      </c>
      <c r="K5170" s="27" t="s">
        <v>37</v>
      </c>
      <c r="L5170" s="27"/>
    </row>
    <row r="5171" customFormat="false" ht="15" hidden="false" customHeight="false" outlineLevel="0" collapsed="false">
      <c r="A5171" s="26" t="s">
        <v>15279</v>
      </c>
      <c r="B5171" s="27" t="s">
        <v>15280</v>
      </c>
      <c r="C5171" s="27" t="s">
        <v>144</v>
      </c>
      <c r="D5171" s="26"/>
      <c r="E5171" s="27"/>
      <c r="F5171" s="27"/>
      <c r="G5171" s="27" t="s">
        <v>11122</v>
      </c>
      <c r="H5171" s="27" t="s">
        <v>35</v>
      </c>
      <c r="I5171" s="27" t="s">
        <v>37</v>
      </c>
      <c r="J5171" s="28" t="s">
        <v>399</v>
      </c>
      <c r="K5171" s="27" t="s">
        <v>37</v>
      </c>
      <c r="L5171" s="27"/>
    </row>
    <row r="5172" customFormat="false" ht="15" hidden="false" customHeight="false" outlineLevel="0" collapsed="false">
      <c r="A5172" s="26" t="s">
        <v>15281</v>
      </c>
      <c r="B5172" s="27" t="s">
        <v>15282</v>
      </c>
      <c r="C5172" s="27" t="s">
        <v>144</v>
      </c>
      <c r="D5172" s="26"/>
      <c r="E5172" s="27"/>
      <c r="F5172" s="27"/>
      <c r="G5172" s="27" t="s">
        <v>11122</v>
      </c>
      <c r="H5172" s="27" t="s">
        <v>35</v>
      </c>
      <c r="I5172" s="27" t="s">
        <v>41</v>
      </c>
      <c r="J5172" s="28" t="s">
        <v>399</v>
      </c>
      <c r="K5172" s="27" t="s">
        <v>37</v>
      </c>
      <c r="L5172" s="27"/>
    </row>
    <row r="5173" customFormat="false" ht="15" hidden="false" customHeight="false" outlineLevel="0" collapsed="false">
      <c r="A5173" s="26" t="s">
        <v>15283</v>
      </c>
      <c r="B5173" s="27" t="s">
        <v>15284</v>
      </c>
      <c r="C5173" s="27" t="s">
        <v>144</v>
      </c>
      <c r="D5173" s="26"/>
      <c r="E5173" s="27"/>
      <c r="F5173" s="27"/>
      <c r="G5173" s="27" t="s">
        <v>11122</v>
      </c>
      <c r="H5173" s="27" t="s">
        <v>35</v>
      </c>
      <c r="I5173" s="27" t="s">
        <v>37</v>
      </c>
      <c r="J5173" s="28" t="s">
        <v>399</v>
      </c>
      <c r="K5173" s="27" t="s">
        <v>37</v>
      </c>
      <c r="L5173" s="27"/>
    </row>
    <row r="5174" customFormat="false" ht="15" hidden="false" customHeight="false" outlineLevel="0" collapsed="false">
      <c r="A5174" s="26" t="s">
        <v>15285</v>
      </c>
      <c r="B5174" s="27" t="s">
        <v>15286</v>
      </c>
      <c r="C5174" s="27" t="s">
        <v>144</v>
      </c>
      <c r="D5174" s="26"/>
      <c r="E5174" s="27"/>
      <c r="F5174" s="27"/>
      <c r="G5174" s="27" t="s">
        <v>11122</v>
      </c>
      <c r="H5174" s="27" t="s">
        <v>35</v>
      </c>
      <c r="I5174" s="27" t="s">
        <v>41</v>
      </c>
      <c r="J5174" s="28" t="s">
        <v>399</v>
      </c>
      <c r="K5174" s="27" t="s">
        <v>37</v>
      </c>
      <c r="L5174" s="27"/>
    </row>
    <row r="5175" customFormat="false" ht="15" hidden="false" customHeight="false" outlineLevel="0" collapsed="false">
      <c r="A5175" s="26" t="s">
        <v>15287</v>
      </c>
      <c r="B5175" s="27" t="s">
        <v>15288</v>
      </c>
      <c r="C5175" s="27" t="s">
        <v>144</v>
      </c>
      <c r="D5175" s="26"/>
      <c r="E5175" s="27"/>
      <c r="F5175" s="27"/>
      <c r="G5175" s="27" t="s">
        <v>11122</v>
      </c>
      <c r="H5175" s="27" t="s">
        <v>35</v>
      </c>
      <c r="I5175" s="27" t="s">
        <v>37</v>
      </c>
      <c r="J5175" s="28" t="s">
        <v>399</v>
      </c>
      <c r="K5175" s="27" t="s">
        <v>37</v>
      </c>
      <c r="L5175" s="27"/>
    </row>
    <row r="5176" customFormat="false" ht="15" hidden="false" customHeight="false" outlineLevel="0" collapsed="false">
      <c r="A5176" s="26" t="s">
        <v>15289</v>
      </c>
      <c r="B5176" s="27" t="s">
        <v>15290</v>
      </c>
      <c r="C5176" s="27" t="s">
        <v>144</v>
      </c>
      <c r="D5176" s="26"/>
      <c r="E5176" s="27"/>
      <c r="F5176" s="27"/>
      <c r="G5176" s="27" t="s">
        <v>11122</v>
      </c>
      <c r="H5176" s="27" t="s">
        <v>35</v>
      </c>
      <c r="I5176" s="27" t="s">
        <v>887</v>
      </c>
      <c r="J5176" s="28" t="s">
        <v>399</v>
      </c>
      <c r="K5176" s="27" t="s">
        <v>37</v>
      </c>
      <c r="L5176" s="27"/>
    </row>
    <row r="5177" customFormat="false" ht="15" hidden="false" customHeight="false" outlineLevel="0" collapsed="false">
      <c r="A5177" s="26" t="s">
        <v>15291</v>
      </c>
      <c r="B5177" s="27" t="s">
        <v>15292</v>
      </c>
      <c r="C5177" s="27" t="s">
        <v>144</v>
      </c>
      <c r="D5177" s="26"/>
      <c r="E5177" s="27"/>
      <c r="F5177" s="27"/>
      <c r="G5177" s="27" t="s">
        <v>11122</v>
      </c>
      <c r="H5177" s="27" t="s">
        <v>35</v>
      </c>
      <c r="I5177" s="27" t="s">
        <v>37</v>
      </c>
      <c r="J5177" s="28" t="s">
        <v>399</v>
      </c>
      <c r="K5177" s="27" t="s">
        <v>37</v>
      </c>
      <c r="L5177" s="27"/>
    </row>
    <row r="5178" customFormat="false" ht="15" hidden="false" customHeight="false" outlineLevel="0" collapsed="false">
      <c r="A5178" s="26" t="s">
        <v>15293</v>
      </c>
      <c r="B5178" s="27" t="s">
        <v>15294</v>
      </c>
      <c r="C5178" s="27" t="s">
        <v>144</v>
      </c>
      <c r="D5178" s="26"/>
      <c r="E5178" s="27"/>
      <c r="F5178" s="27"/>
      <c r="G5178" s="27" t="s">
        <v>11122</v>
      </c>
      <c r="H5178" s="27" t="s">
        <v>35</v>
      </c>
      <c r="I5178" s="27" t="s">
        <v>37</v>
      </c>
      <c r="J5178" s="28" t="s">
        <v>399</v>
      </c>
      <c r="K5178" s="27" t="s">
        <v>37</v>
      </c>
      <c r="L5178" s="27"/>
    </row>
    <row r="5179" customFormat="false" ht="15" hidden="false" customHeight="false" outlineLevel="0" collapsed="false">
      <c r="A5179" s="26" t="s">
        <v>15295</v>
      </c>
      <c r="B5179" s="27" t="s">
        <v>15296</v>
      </c>
      <c r="C5179" s="27" t="s">
        <v>144</v>
      </c>
      <c r="D5179" s="26"/>
      <c r="E5179" s="27"/>
      <c r="F5179" s="27"/>
      <c r="G5179" s="27" t="s">
        <v>11122</v>
      </c>
      <c r="H5179" s="27" t="s">
        <v>35</v>
      </c>
      <c r="I5179" s="27" t="s">
        <v>37</v>
      </c>
      <c r="J5179" s="28" t="s">
        <v>399</v>
      </c>
      <c r="K5179" s="27" t="s">
        <v>37</v>
      </c>
      <c r="L5179" s="27"/>
    </row>
    <row r="5180" customFormat="false" ht="15" hidden="false" customHeight="false" outlineLevel="0" collapsed="false">
      <c r="A5180" s="26" t="s">
        <v>15297</v>
      </c>
      <c r="B5180" s="27" t="s">
        <v>15298</v>
      </c>
      <c r="C5180" s="27" t="s">
        <v>144</v>
      </c>
      <c r="D5180" s="26"/>
      <c r="E5180" s="27"/>
      <c r="F5180" s="27"/>
      <c r="G5180" s="27" t="s">
        <v>11122</v>
      </c>
      <c r="H5180" s="27" t="s">
        <v>35</v>
      </c>
      <c r="I5180" s="27" t="s">
        <v>37</v>
      </c>
      <c r="J5180" s="28" t="s">
        <v>399</v>
      </c>
      <c r="K5180" s="27" t="s">
        <v>37</v>
      </c>
      <c r="L5180" s="27"/>
    </row>
    <row r="5181" customFormat="false" ht="15" hidden="false" customHeight="false" outlineLevel="0" collapsed="false">
      <c r="A5181" s="26" t="s">
        <v>15299</v>
      </c>
      <c r="B5181" s="27" t="s">
        <v>15300</v>
      </c>
      <c r="C5181" s="27" t="s">
        <v>144</v>
      </c>
      <c r="D5181" s="26"/>
      <c r="E5181" s="27"/>
      <c r="F5181" s="27"/>
      <c r="G5181" s="27" t="s">
        <v>11122</v>
      </c>
      <c r="H5181" s="27" t="s">
        <v>35</v>
      </c>
      <c r="I5181" s="27" t="s">
        <v>43</v>
      </c>
      <c r="J5181" s="28" t="s">
        <v>399</v>
      </c>
      <c r="K5181" s="27" t="s">
        <v>37</v>
      </c>
      <c r="L5181" s="27"/>
    </row>
    <row r="5182" customFormat="false" ht="15" hidden="false" customHeight="false" outlineLevel="0" collapsed="false">
      <c r="A5182" s="26" t="s">
        <v>15301</v>
      </c>
      <c r="B5182" s="27" t="s">
        <v>15302</v>
      </c>
      <c r="C5182" s="27" t="s">
        <v>144</v>
      </c>
      <c r="D5182" s="26"/>
      <c r="E5182" s="27"/>
      <c r="F5182" s="27"/>
      <c r="G5182" s="27" t="s">
        <v>11122</v>
      </c>
      <c r="H5182" s="27" t="s">
        <v>35</v>
      </c>
      <c r="I5182" s="27" t="s">
        <v>43</v>
      </c>
      <c r="J5182" s="28" t="s">
        <v>399</v>
      </c>
      <c r="K5182" s="27" t="s">
        <v>37</v>
      </c>
      <c r="L5182" s="27"/>
    </row>
    <row r="5183" customFormat="false" ht="15" hidden="false" customHeight="false" outlineLevel="0" collapsed="false">
      <c r="A5183" s="26" t="s">
        <v>15303</v>
      </c>
      <c r="B5183" s="27" t="s">
        <v>15304</v>
      </c>
      <c r="C5183" s="27" t="s">
        <v>144</v>
      </c>
      <c r="D5183" s="26"/>
      <c r="E5183" s="27"/>
      <c r="F5183" s="27"/>
      <c r="G5183" s="27" t="s">
        <v>11122</v>
      </c>
      <c r="H5183" s="27" t="s">
        <v>35</v>
      </c>
      <c r="I5183" s="27" t="s">
        <v>37</v>
      </c>
      <c r="J5183" s="28" t="s">
        <v>399</v>
      </c>
      <c r="K5183" s="27" t="s">
        <v>37</v>
      </c>
      <c r="L5183" s="27"/>
    </row>
    <row r="5184" customFormat="false" ht="15" hidden="false" customHeight="false" outlineLevel="0" collapsed="false">
      <c r="A5184" s="26" t="s">
        <v>15305</v>
      </c>
      <c r="B5184" s="27" t="s">
        <v>15306</v>
      </c>
      <c r="C5184" s="27" t="s">
        <v>144</v>
      </c>
      <c r="D5184" s="26"/>
      <c r="E5184" s="27"/>
      <c r="F5184" s="27"/>
      <c r="G5184" s="27" t="s">
        <v>11122</v>
      </c>
      <c r="H5184" s="27" t="s">
        <v>35</v>
      </c>
      <c r="I5184" s="27" t="s">
        <v>37</v>
      </c>
      <c r="J5184" s="28" t="s">
        <v>399</v>
      </c>
      <c r="K5184" s="27" t="s">
        <v>37</v>
      </c>
      <c r="L5184" s="27"/>
    </row>
    <row r="5185" customFormat="false" ht="15" hidden="false" customHeight="false" outlineLevel="0" collapsed="false">
      <c r="A5185" s="26" t="s">
        <v>15307</v>
      </c>
      <c r="B5185" s="27" t="s">
        <v>15308</v>
      </c>
      <c r="C5185" s="27" t="s">
        <v>144</v>
      </c>
      <c r="D5185" s="26"/>
      <c r="E5185" s="27"/>
      <c r="F5185" s="27"/>
      <c r="G5185" s="27" t="s">
        <v>11122</v>
      </c>
      <c r="H5185" s="27" t="s">
        <v>35</v>
      </c>
      <c r="I5185" s="27" t="s">
        <v>44</v>
      </c>
      <c r="J5185" s="28" t="s">
        <v>399</v>
      </c>
      <c r="K5185" s="27" t="s">
        <v>37</v>
      </c>
      <c r="L5185" s="27"/>
    </row>
    <row r="5186" customFormat="false" ht="15" hidden="false" customHeight="false" outlineLevel="0" collapsed="false">
      <c r="A5186" s="26" t="s">
        <v>15309</v>
      </c>
      <c r="B5186" s="27" t="s">
        <v>15310</v>
      </c>
      <c r="C5186" s="27" t="s">
        <v>144</v>
      </c>
      <c r="D5186" s="26"/>
      <c r="E5186" s="27"/>
      <c r="F5186" s="27"/>
      <c r="G5186" s="27" t="s">
        <v>11122</v>
      </c>
      <c r="H5186" s="27" t="s">
        <v>35</v>
      </c>
      <c r="I5186" s="27" t="s">
        <v>38</v>
      </c>
      <c r="J5186" s="28" t="s">
        <v>399</v>
      </c>
      <c r="K5186" s="27" t="s">
        <v>37</v>
      </c>
      <c r="L5186" s="27"/>
    </row>
    <row r="5187" customFormat="false" ht="15" hidden="false" customHeight="false" outlineLevel="0" collapsed="false">
      <c r="A5187" s="26" t="s">
        <v>15311</v>
      </c>
      <c r="B5187" s="27" t="s">
        <v>15312</v>
      </c>
      <c r="C5187" s="27" t="s">
        <v>144</v>
      </c>
      <c r="D5187" s="26"/>
      <c r="E5187" s="27"/>
      <c r="F5187" s="27"/>
      <c r="G5187" s="27" t="s">
        <v>11122</v>
      </c>
      <c r="H5187" s="27" t="s">
        <v>35</v>
      </c>
      <c r="I5187" s="27" t="s">
        <v>38</v>
      </c>
      <c r="J5187" s="28" t="s">
        <v>399</v>
      </c>
      <c r="K5187" s="27" t="s">
        <v>37</v>
      </c>
      <c r="L5187" s="27"/>
    </row>
    <row r="5188" customFormat="false" ht="15" hidden="false" customHeight="false" outlineLevel="0" collapsed="false">
      <c r="A5188" s="26" t="s">
        <v>15313</v>
      </c>
      <c r="B5188" s="27" t="s">
        <v>15314</v>
      </c>
      <c r="C5188" s="27" t="s">
        <v>144</v>
      </c>
      <c r="D5188" s="26"/>
      <c r="E5188" s="27"/>
      <c r="F5188" s="27"/>
      <c r="G5188" s="27" t="s">
        <v>11122</v>
      </c>
      <c r="H5188" s="27" t="s">
        <v>35</v>
      </c>
      <c r="I5188" s="27" t="s">
        <v>37</v>
      </c>
      <c r="J5188" s="28" t="s">
        <v>399</v>
      </c>
      <c r="K5188" s="27" t="s">
        <v>37</v>
      </c>
      <c r="L5188" s="27"/>
    </row>
    <row r="5189" customFormat="false" ht="15" hidden="false" customHeight="false" outlineLevel="0" collapsed="false">
      <c r="A5189" s="26" t="s">
        <v>15315</v>
      </c>
      <c r="B5189" s="27" t="s">
        <v>15316</v>
      </c>
      <c r="C5189" s="27" t="s">
        <v>1187</v>
      </c>
      <c r="D5189" s="26"/>
      <c r="E5189" s="27"/>
      <c r="F5189" s="27"/>
      <c r="G5189" s="27" t="s">
        <v>11122</v>
      </c>
      <c r="H5189" s="27" t="s">
        <v>35</v>
      </c>
      <c r="I5189" s="27" t="s">
        <v>37</v>
      </c>
      <c r="J5189" s="28" t="s">
        <v>399</v>
      </c>
      <c r="K5189" s="27" t="s">
        <v>37</v>
      </c>
      <c r="L5189" s="27"/>
    </row>
    <row r="5190" customFormat="false" ht="15" hidden="false" customHeight="false" outlineLevel="0" collapsed="false">
      <c r="A5190" s="26" t="s">
        <v>15317</v>
      </c>
      <c r="B5190" s="27" t="s">
        <v>15318</v>
      </c>
      <c r="C5190" s="27" t="s">
        <v>144</v>
      </c>
      <c r="D5190" s="26"/>
      <c r="E5190" s="27"/>
      <c r="F5190" s="27"/>
      <c r="G5190" s="27" t="s">
        <v>11122</v>
      </c>
      <c r="H5190" s="27" t="s">
        <v>35</v>
      </c>
      <c r="I5190" s="27" t="s">
        <v>37</v>
      </c>
      <c r="J5190" s="28" t="s">
        <v>399</v>
      </c>
      <c r="K5190" s="27" t="s">
        <v>37</v>
      </c>
      <c r="L5190" s="27"/>
    </row>
    <row r="5191" customFormat="false" ht="15" hidden="false" customHeight="false" outlineLevel="0" collapsed="false">
      <c r="A5191" s="26" t="s">
        <v>15319</v>
      </c>
      <c r="B5191" s="27" t="s">
        <v>15320</v>
      </c>
      <c r="C5191" s="27" t="s">
        <v>144</v>
      </c>
      <c r="D5191" s="26"/>
      <c r="E5191" s="27"/>
      <c r="F5191" s="27"/>
      <c r="G5191" s="27" t="s">
        <v>11122</v>
      </c>
      <c r="H5191" s="27" t="s">
        <v>35</v>
      </c>
      <c r="I5191" s="27" t="s">
        <v>37</v>
      </c>
      <c r="J5191" s="28" t="s">
        <v>399</v>
      </c>
      <c r="K5191" s="27" t="s">
        <v>37</v>
      </c>
      <c r="L5191" s="27"/>
    </row>
    <row r="5192" customFormat="false" ht="15" hidden="false" customHeight="false" outlineLevel="0" collapsed="false">
      <c r="A5192" s="26" t="s">
        <v>15321</v>
      </c>
      <c r="B5192" s="27" t="s">
        <v>15322</v>
      </c>
      <c r="C5192" s="27" t="s">
        <v>144</v>
      </c>
      <c r="D5192" s="26"/>
      <c r="E5192" s="27"/>
      <c r="F5192" s="27"/>
      <c r="G5192" s="27" t="s">
        <v>11122</v>
      </c>
      <c r="H5192" s="27" t="s">
        <v>35</v>
      </c>
      <c r="I5192" s="27" t="s">
        <v>39</v>
      </c>
      <c r="J5192" s="28" t="s">
        <v>399</v>
      </c>
      <c r="K5192" s="27" t="s">
        <v>37</v>
      </c>
      <c r="L5192" s="27"/>
    </row>
    <row r="5193" customFormat="false" ht="15" hidden="false" customHeight="false" outlineLevel="0" collapsed="false">
      <c r="A5193" s="26" t="s">
        <v>15323</v>
      </c>
      <c r="B5193" s="27" t="s">
        <v>15324</v>
      </c>
      <c r="C5193" s="27" t="s">
        <v>144</v>
      </c>
      <c r="D5193" s="26"/>
      <c r="E5193" s="27"/>
      <c r="F5193" s="27"/>
      <c r="G5193" s="27" t="s">
        <v>11122</v>
      </c>
      <c r="H5193" s="27" t="s">
        <v>35</v>
      </c>
      <c r="I5193" s="27" t="s">
        <v>37</v>
      </c>
      <c r="J5193" s="28" t="s">
        <v>399</v>
      </c>
      <c r="K5193" s="27" t="s">
        <v>37</v>
      </c>
      <c r="L5193" s="27"/>
    </row>
    <row r="5194" customFormat="false" ht="15" hidden="false" customHeight="false" outlineLevel="0" collapsed="false">
      <c r="A5194" s="26" t="s">
        <v>15325</v>
      </c>
      <c r="B5194" s="27" t="s">
        <v>15326</v>
      </c>
      <c r="C5194" s="27" t="s">
        <v>144</v>
      </c>
      <c r="D5194" s="26"/>
      <c r="E5194" s="27"/>
      <c r="F5194" s="27"/>
      <c r="G5194" s="27" t="s">
        <v>11122</v>
      </c>
      <c r="H5194" s="27" t="s">
        <v>35</v>
      </c>
      <c r="I5194" s="27" t="s">
        <v>38</v>
      </c>
      <c r="J5194" s="28" t="s">
        <v>399</v>
      </c>
      <c r="K5194" s="27" t="s">
        <v>37</v>
      </c>
      <c r="L5194" s="27"/>
    </row>
    <row r="5195" customFormat="false" ht="15" hidden="false" customHeight="false" outlineLevel="0" collapsed="false">
      <c r="A5195" s="26" t="s">
        <v>15327</v>
      </c>
      <c r="B5195" s="27" t="s">
        <v>15328</v>
      </c>
      <c r="C5195" s="27" t="s">
        <v>144</v>
      </c>
      <c r="D5195" s="26"/>
      <c r="E5195" s="27"/>
      <c r="F5195" s="27"/>
      <c r="G5195" s="27" t="s">
        <v>11122</v>
      </c>
      <c r="H5195" s="27" t="s">
        <v>35</v>
      </c>
      <c r="I5195" s="27" t="s">
        <v>41</v>
      </c>
      <c r="J5195" s="28" t="s">
        <v>399</v>
      </c>
      <c r="K5195" s="27" t="s">
        <v>37</v>
      </c>
      <c r="L5195" s="27"/>
    </row>
    <row r="5196" customFormat="false" ht="15" hidden="false" customHeight="false" outlineLevel="0" collapsed="false">
      <c r="A5196" s="26" t="s">
        <v>15329</v>
      </c>
      <c r="B5196" s="27" t="s">
        <v>15330</v>
      </c>
      <c r="C5196" s="27" t="s">
        <v>144</v>
      </c>
      <c r="D5196" s="26"/>
      <c r="E5196" s="27"/>
      <c r="F5196" s="27"/>
      <c r="G5196" s="27" t="s">
        <v>11122</v>
      </c>
      <c r="H5196" s="27" t="s">
        <v>35</v>
      </c>
      <c r="I5196" s="27" t="s">
        <v>41</v>
      </c>
      <c r="J5196" s="28" t="s">
        <v>399</v>
      </c>
      <c r="K5196" s="27" t="s">
        <v>37</v>
      </c>
      <c r="L5196" s="27"/>
    </row>
    <row r="5197" customFormat="false" ht="15" hidden="false" customHeight="false" outlineLevel="0" collapsed="false">
      <c r="A5197" s="26" t="s">
        <v>15331</v>
      </c>
      <c r="B5197" s="27" t="s">
        <v>15332</v>
      </c>
      <c r="C5197" s="27" t="s">
        <v>144</v>
      </c>
      <c r="D5197" s="26"/>
      <c r="E5197" s="27"/>
      <c r="F5197" s="27"/>
      <c r="G5197" s="27" t="s">
        <v>11122</v>
      </c>
      <c r="H5197" s="27" t="s">
        <v>35</v>
      </c>
      <c r="I5197" s="27" t="s">
        <v>37</v>
      </c>
      <c r="J5197" s="28" t="s">
        <v>399</v>
      </c>
      <c r="K5197" s="27" t="s">
        <v>37</v>
      </c>
      <c r="L5197" s="27"/>
    </row>
    <row r="5198" customFormat="false" ht="15" hidden="false" customHeight="false" outlineLevel="0" collapsed="false">
      <c r="A5198" s="26" t="s">
        <v>15333</v>
      </c>
      <c r="B5198" s="27" t="s">
        <v>15334</v>
      </c>
      <c r="C5198" s="27" t="s">
        <v>144</v>
      </c>
      <c r="D5198" s="26"/>
      <c r="E5198" s="27"/>
      <c r="F5198" s="27"/>
      <c r="G5198" s="27" t="s">
        <v>11122</v>
      </c>
      <c r="H5198" s="27" t="s">
        <v>35</v>
      </c>
      <c r="I5198" s="27" t="s">
        <v>49</v>
      </c>
      <c r="J5198" s="28" t="s">
        <v>399</v>
      </c>
      <c r="K5198" s="27" t="s">
        <v>37</v>
      </c>
      <c r="L5198" s="27"/>
    </row>
    <row r="5199" customFormat="false" ht="15" hidden="false" customHeight="false" outlineLevel="0" collapsed="false">
      <c r="A5199" s="26" t="s">
        <v>15335</v>
      </c>
      <c r="B5199" s="27" t="s">
        <v>15336</v>
      </c>
      <c r="C5199" s="27" t="s">
        <v>144</v>
      </c>
      <c r="D5199" s="26"/>
      <c r="E5199" s="27"/>
      <c r="F5199" s="27"/>
      <c r="G5199" s="27" t="s">
        <v>11122</v>
      </c>
      <c r="H5199" s="27" t="s">
        <v>35</v>
      </c>
      <c r="I5199" s="27" t="s">
        <v>37</v>
      </c>
      <c r="J5199" s="28" t="s">
        <v>399</v>
      </c>
      <c r="K5199" s="27" t="s">
        <v>37</v>
      </c>
      <c r="L5199" s="27"/>
    </row>
    <row r="5200" customFormat="false" ht="15" hidden="false" customHeight="false" outlineLevel="0" collapsed="false">
      <c r="A5200" s="26" t="s">
        <v>15337</v>
      </c>
      <c r="B5200" s="27" t="s">
        <v>15338</v>
      </c>
      <c r="C5200" s="27" t="s">
        <v>144</v>
      </c>
      <c r="D5200" s="26"/>
      <c r="E5200" s="27"/>
      <c r="F5200" s="27"/>
      <c r="G5200" s="27" t="s">
        <v>11122</v>
      </c>
      <c r="H5200" s="27" t="s">
        <v>35</v>
      </c>
      <c r="I5200" s="27" t="s">
        <v>37</v>
      </c>
      <c r="J5200" s="28" t="s">
        <v>399</v>
      </c>
      <c r="K5200" s="27" t="s">
        <v>37</v>
      </c>
      <c r="L5200" s="27"/>
    </row>
    <row r="5201" customFormat="false" ht="15" hidden="false" customHeight="false" outlineLevel="0" collapsed="false">
      <c r="A5201" s="26" t="s">
        <v>15339</v>
      </c>
      <c r="B5201" s="27" t="s">
        <v>15340</v>
      </c>
      <c r="C5201" s="27" t="s">
        <v>144</v>
      </c>
      <c r="D5201" s="26"/>
      <c r="E5201" s="27"/>
      <c r="F5201" s="27"/>
      <c r="G5201" s="27" t="s">
        <v>11122</v>
      </c>
      <c r="H5201" s="27" t="s">
        <v>35</v>
      </c>
      <c r="I5201" s="27" t="s">
        <v>42</v>
      </c>
      <c r="J5201" s="28" t="s">
        <v>399</v>
      </c>
      <c r="K5201" s="27" t="s">
        <v>37</v>
      </c>
      <c r="L5201" s="27"/>
    </row>
    <row r="5202" customFormat="false" ht="15" hidden="false" customHeight="false" outlineLevel="0" collapsed="false">
      <c r="A5202" s="26" t="s">
        <v>15341</v>
      </c>
      <c r="B5202" s="27" t="s">
        <v>15342</v>
      </c>
      <c r="C5202" s="27" t="s">
        <v>144</v>
      </c>
      <c r="D5202" s="26"/>
      <c r="E5202" s="27"/>
      <c r="F5202" s="27"/>
      <c r="G5202" s="27" t="s">
        <v>11122</v>
      </c>
      <c r="H5202" s="27" t="s">
        <v>35</v>
      </c>
      <c r="I5202" s="27" t="s">
        <v>42</v>
      </c>
      <c r="J5202" s="28" t="s">
        <v>399</v>
      </c>
      <c r="K5202" s="27" t="s">
        <v>37</v>
      </c>
      <c r="L5202" s="27"/>
    </row>
    <row r="5203" customFormat="false" ht="15" hidden="false" customHeight="false" outlineLevel="0" collapsed="false">
      <c r="A5203" s="26" t="s">
        <v>15343</v>
      </c>
      <c r="B5203" s="27" t="s">
        <v>15344</v>
      </c>
      <c r="C5203" s="27" t="s">
        <v>144</v>
      </c>
      <c r="D5203" s="26"/>
      <c r="E5203" s="27"/>
      <c r="F5203" s="27"/>
      <c r="G5203" s="27" t="s">
        <v>11122</v>
      </c>
      <c r="H5203" s="27" t="s">
        <v>35</v>
      </c>
      <c r="I5203" s="27" t="s">
        <v>37</v>
      </c>
      <c r="J5203" s="28" t="s">
        <v>399</v>
      </c>
      <c r="K5203" s="27" t="s">
        <v>37</v>
      </c>
      <c r="L5203" s="27"/>
    </row>
    <row r="5204" customFormat="false" ht="15" hidden="false" customHeight="false" outlineLevel="0" collapsed="false">
      <c r="A5204" s="26" t="s">
        <v>15345</v>
      </c>
      <c r="B5204" s="27" t="s">
        <v>15346</v>
      </c>
      <c r="C5204" s="27" t="s">
        <v>144</v>
      </c>
      <c r="D5204" s="26"/>
      <c r="E5204" s="27"/>
      <c r="F5204" s="27"/>
      <c r="G5204" s="27" t="s">
        <v>11122</v>
      </c>
      <c r="H5204" s="27" t="s">
        <v>35</v>
      </c>
      <c r="I5204" s="27" t="s">
        <v>41</v>
      </c>
      <c r="J5204" s="28" t="s">
        <v>399</v>
      </c>
      <c r="K5204" s="27" t="s">
        <v>37</v>
      </c>
      <c r="L5204" s="27"/>
    </row>
    <row r="5205" customFormat="false" ht="15" hidden="false" customHeight="false" outlineLevel="0" collapsed="false">
      <c r="A5205" s="26" t="s">
        <v>15347</v>
      </c>
      <c r="B5205" s="27" t="s">
        <v>15348</v>
      </c>
      <c r="C5205" s="27" t="s">
        <v>144</v>
      </c>
      <c r="D5205" s="26"/>
      <c r="E5205" s="27"/>
      <c r="F5205" s="27"/>
      <c r="G5205" s="27" t="s">
        <v>11122</v>
      </c>
      <c r="H5205" s="27" t="s">
        <v>35</v>
      </c>
      <c r="I5205" s="27" t="s">
        <v>1309</v>
      </c>
      <c r="J5205" s="28" t="s">
        <v>399</v>
      </c>
      <c r="K5205" s="27" t="s">
        <v>37</v>
      </c>
      <c r="L5205" s="27"/>
    </row>
    <row r="5206" customFormat="false" ht="15" hidden="false" customHeight="false" outlineLevel="0" collapsed="false">
      <c r="A5206" s="26" t="s">
        <v>15349</v>
      </c>
      <c r="B5206" s="27" t="s">
        <v>15350</v>
      </c>
      <c r="C5206" s="27" t="s">
        <v>144</v>
      </c>
      <c r="D5206" s="26"/>
      <c r="E5206" s="27"/>
      <c r="F5206" s="27"/>
      <c r="G5206" s="27" t="s">
        <v>11122</v>
      </c>
      <c r="H5206" s="27" t="s">
        <v>35</v>
      </c>
      <c r="I5206" s="27" t="s">
        <v>41</v>
      </c>
      <c r="J5206" s="28" t="s">
        <v>399</v>
      </c>
      <c r="K5206" s="27" t="s">
        <v>37</v>
      </c>
      <c r="L5206" s="27"/>
    </row>
    <row r="5207" customFormat="false" ht="15" hidden="false" customHeight="false" outlineLevel="0" collapsed="false">
      <c r="A5207" s="26" t="s">
        <v>15351</v>
      </c>
      <c r="B5207" s="27" t="s">
        <v>15352</v>
      </c>
      <c r="C5207" s="27" t="s">
        <v>144</v>
      </c>
      <c r="D5207" s="26"/>
      <c r="E5207" s="27"/>
      <c r="F5207" s="27"/>
      <c r="G5207" s="27" t="s">
        <v>11122</v>
      </c>
      <c r="H5207" s="27" t="s">
        <v>35</v>
      </c>
      <c r="I5207" s="27" t="s">
        <v>43</v>
      </c>
      <c r="J5207" s="28" t="s">
        <v>399</v>
      </c>
      <c r="K5207" s="27" t="s">
        <v>37</v>
      </c>
      <c r="L5207" s="27"/>
    </row>
    <row r="5208" customFormat="false" ht="15" hidden="false" customHeight="false" outlineLevel="0" collapsed="false">
      <c r="A5208" s="26" t="s">
        <v>15353</v>
      </c>
      <c r="B5208" s="27" t="s">
        <v>15354</v>
      </c>
      <c r="C5208" s="27" t="s">
        <v>144</v>
      </c>
      <c r="D5208" s="26"/>
      <c r="E5208" s="27"/>
      <c r="F5208" s="27"/>
      <c r="G5208" s="27" t="s">
        <v>11122</v>
      </c>
      <c r="H5208" s="27" t="s">
        <v>35</v>
      </c>
      <c r="I5208" s="27" t="s">
        <v>37</v>
      </c>
      <c r="J5208" s="28" t="s">
        <v>399</v>
      </c>
      <c r="K5208" s="27" t="s">
        <v>37</v>
      </c>
      <c r="L5208" s="27"/>
    </row>
    <row r="5209" customFormat="false" ht="15" hidden="false" customHeight="false" outlineLevel="0" collapsed="false">
      <c r="A5209" s="26" t="s">
        <v>15355</v>
      </c>
      <c r="B5209" s="27" t="s">
        <v>15356</v>
      </c>
      <c r="C5209" s="27" t="s">
        <v>144</v>
      </c>
      <c r="D5209" s="26"/>
      <c r="E5209" s="27"/>
      <c r="F5209" s="27"/>
      <c r="G5209" s="27" t="s">
        <v>11122</v>
      </c>
      <c r="H5209" s="27" t="s">
        <v>35</v>
      </c>
      <c r="I5209" s="27" t="s">
        <v>37</v>
      </c>
      <c r="J5209" s="28" t="s">
        <v>399</v>
      </c>
      <c r="K5209" s="27" t="s">
        <v>37</v>
      </c>
      <c r="L5209" s="27"/>
    </row>
    <row r="5210" customFormat="false" ht="15" hidden="false" customHeight="false" outlineLevel="0" collapsed="false">
      <c r="A5210" s="26" t="s">
        <v>15357</v>
      </c>
      <c r="B5210" s="27" t="s">
        <v>15358</v>
      </c>
      <c r="C5210" s="27" t="s">
        <v>144</v>
      </c>
      <c r="D5210" s="26"/>
      <c r="E5210" s="27"/>
      <c r="F5210" s="27"/>
      <c r="G5210" s="27" t="s">
        <v>11122</v>
      </c>
      <c r="H5210" s="27" t="s">
        <v>35</v>
      </c>
      <c r="I5210" s="27" t="s">
        <v>37</v>
      </c>
      <c r="J5210" s="28" t="s">
        <v>399</v>
      </c>
      <c r="K5210" s="27" t="s">
        <v>37</v>
      </c>
      <c r="L5210" s="27"/>
    </row>
    <row r="5211" customFormat="false" ht="15" hidden="false" customHeight="false" outlineLevel="0" collapsed="false">
      <c r="A5211" s="26" t="s">
        <v>15359</v>
      </c>
      <c r="B5211" s="27" t="s">
        <v>15360</v>
      </c>
      <c r="C5211" s="27" t="s">
        <v>144</v>
      </c>
      <c r="D5211" s="26"/>
      <c r="E5211" s="27"/>
      <c r="F5211" s="27"/>
      <c r="G5211" s="27" t="s">
        <v>11122</v>
      </c>
      <c r="H5211" s="27" t="s">
        <v>35</v>
      </c>
      <c r="I5211" s="27" t="s">
        <v>37</v>
      </c>
      <c r="J5211" s="28" t="s">
        <v>399</v>
      </c>
      <c r="K5211" s="27" t="s">
        <v>37</v>
      </c>
      <c r="L5211" s="27"/>
    </row>
    <row r="5212" customFormat="false" ht="15" hidden="false" customHeight="false" outlineLevel="0" collapsed="false">
      <c r="A5212" s="26" t="s">
        <v>15361</v>
      </c>
      <c r="B5212" s="27" t="s">
        <v>15362</v>
      </c>
      <c r="C5212" s="27" t="s">
        <v>1187</v>
      </c>
      <c r="D5212" s="26"/>
      <c r="E5212" s="27"/>
      <c r="F5212" s="27"/>
      <c r="G5212" s="27" t="s">
        <v>11122</v>
      </c>
      <c r="H5212" s="27" t="s">
        <v>35</v>
      </c>
      <c r="I5212" s="27" t="s">
        <v>43</v>
      </c>
      <c r="J5212" s="28" t="s">
        <v>399</v>
      </c>
      <c r="K5212" s="27" t="s">
        <v>37</v>
      </c>
      <c r="L5212" s="27"/>
    </row>
    <row r="5213" customFormat="false" ht="15" hidden="false" customHeight="false" outlineLevel="0" collapsed="false">
      <c r="A5213" s="26" t="s">
        <v>15363</v>
      </c>
      <c r="B5213" s="27" t="s">
        <v>15364</v>
      </c>
      <c r="C5213" s="27" t="s">
        <v>1187</v>
      </c>
      <c r="D5213" s="26"/>
      <c r="E5213" s="27"/>
      <c r="F5213" s="27"/>
      <c r="G5213" s="27" t="s">
        <v>11122</v>
      </c>
      <c r="H5213" s="27" t="s">
        <v>35</v>
      </c>
      <c r="I5213" s="27" t="s">
        <v>1067</v>
      </c>
      <c r="J5213" s="28" t="s">
        <v>399</v>
      </c>
      <c r="K5213" s="27" t="s">
        <v>37</v>
      </c>
      <c r="L5213" s="27"/>
    </row>
    <row r="5214" customFormat="false" ht="15" hidden="false" customHeight="false" outlineLevel="0" collapsed="false">
      <c r="A5214" s="26" t="s">
        <v>15365</v>
      </c>
      <c r="B5214" s="27" t="s">
        <v>15366</v>
      </c>
      <c r="C5214" s="27" t="s">
        <v>144</v>
      </c>
      <c r="D5214" s="26"/>
      <c r="E5214" s="27"/>
      <c r="F5214" s="27"/>
      <c r="G5214" s="27" t="s">
        <v>11122</v>
      </c>
      <c r="H5214" s="27" t="s">
        <v>35</v>
      </c>
      <c r="I5214" s="27" t="s">
        <v>37</v>
      </c>
      <c r="J5214" s="28" t="s">
        <v>399</v>
      </c>
      <c r="K5214" s="27" t="s">
        <v>37</v>
      </c>
      <c r="L5214" s="27"/>
    </row>
    <row r="5215" customFormat="false" ht="15" hidden="false" customHeight="false" outlineLevel="0" collapsed="false">
      <c r="A5215" s="26" t="s">
        <v>15367</v>
      </c>
      <c r="B5215" s="27" t="s">
        <v>15368</v>
      </c>
      <c r="C5215" s="27" t="s">
        <v>144</v>
      </c>
      <c r="D5215" s="26"/>
      <c r="E5215" s="27"/>
      <c r="F5215" s="27"/>
      <c r="G5215" s="27" t="s">
        <v>11122</v>
      </c>
      <c r="H5215" s="27" t="s">
        <v>35</v>
      </c>
      <c r="I5215" s="27" t="s">
        <v>37</v>
      </c>
      <c r="J5215" s="28" t="s">
        <v>399</v>
      </c>
      <c r="K5215" s="27" t="s">
        <v>37</v>
      </c>
      <c r="L5215" s="27"/>
    </row>
    <row r="5216" customFormat="false" ht="15" hidden="false" customHeight="false" outlineLevel="0" collapsed="false">
      <c r="A5216" s="26" t="s">
        <v>15369</v>
      </c>
      <c r="B5216" s="27" t="s">
        <v>15370</v>
      </c>
      <c r="C5216" s="27" t="s">
        <v>144</v>
      </c>
      <c r="D5216" s="26"/>
      <c r="E5216" s="27"/>
      <c r="F5216" s="27"/>
      <c r="G5216" s="27" t="s">
        <v>11122</v>
      </c>
      <c r="H5216" s="27" t="s">
        <v>35</v>
      </c>
      <c r="I5216" s="27" t="s">
        <v>38</v>
      </c>
      <c r="J5216" s="28" t="s">
        <v>399</v>
      </c>
      <c r="K5216" s="27" t="s">
        <v>37</v>
      </c>
      <c r="L5216" s="27"/>
    </row>
    <row r="5217" customFormat="false" ht="15" hidden="false" customHeight="false" outlineLevel="0" collapsed="false">
      <c r="A5217" s="26" t="s">
        <v>15371</v>
      </c>
      <c r="B5217" s="27" t="s">
        <v>15372</v>
      </c>
      <c r="C5217" s="27" t="s">
        <v>144</v>
      </c>
      <c r="D5217" s="26"/>
      <c r="E5217" s="27"/>
      <c r="F5217" s="27"/>
      <c r="G5217" s="27" t="s">
        <v>11122</v>
      </c>
      <c r="H5217" s="27" t="s">
        <v>35</v>
      </c>
      <c r="I5217" s="27" t="s">
        <v>37</v>
      </c>
      <c r="J5217" s="28" t="s">
        <v>399</v>
      </c>
      <c r="K5217" s="27" t="s">
        <v>37</v>
      </c>
      <c r="L5217" s="27"/>
    </row>
    <row r="5218" customFormat="false" ht="15" hidden="false" customHeight="false" outlineLevel="0" collapsed="false">
      <c r="A5218" s="26" t="s">
        <v>15373</v>
      </c>
      <c r="B5218" s="27" t="s">
        <v>15374</v>
      </c>
      <c r="C5218" s="27" t="s">
        <v>144</v>
      </c>
      <c r="D5218" s="26"/>
      <c r="E5218" s="27"/>
      <c r="F5218" s="27"/>
      <c r="G5218" s="27" t="s">
        <v>11122</v>
      </c>
      <c r="H5218" s="27" t="s">
        <v>35</v>
      </c>
      <c r="I5218" s="27" t="s">
        <v>37</v>
      </c>
      <c r="J5218" s="28" t="s">
        <v>399</v>
      </c>
      <c r="K5218" s="27" t="s">
        <v>37</v>
      </c>
      <c r="L5218" s="27"/>
    </row>
    <row r="5219" customFormat="false" ht="15" hidden="false" customHeight="false" outlineLevel="0" collapsed="false">
      <c r="A5219" s="26" t="s">
        <v>15375</v>
      </c>
      <c r="B5219" s="27" t="s">
        <v>15376</v>
      </c>
      <c r="C5219" s="27" t="s">
        <v>144</v>
      </c>
      <c r="D5219" s="26"/>
      <c r="E5219" s="27"/>
      <c r="F5219" s="27"/>
      <c r="G5219" s="27" t="s">
        <v>11122</v>
      </c>
      <c r="H5219" s="27" t="s">
        <v>35</v>
      </c>
      <c r="I5219" s="27" t="s">
        <v>42</v>
      </c>
      <c r="J5219" s="28" t="s">
        <v>399</v>
      </c>
      <c r="K5219" s="27" t="s">
        <v>37</v>
      </c>
      <c r="L5219" s="27"/>
    </row>
    <row r="5220" customFormat="false" ht="15" hidden="false" customHeight="false" outlineLevel="0" collapsed="false">
      <c r="A5220" s="26" t="s">
        <v>15377</v>
      </c>
      <c r="B5220" s="27" t="s">
        <v>15378</v>
      </c>
      <c r="C5220" s="27" t="s">
        <v>144</v>
      </c>
      <c r="D5220" s="26"/>
      <c r="E5220" s="27"/>
      <c r="F5220" s="27"/>
      <c r="G5220" s="27" t="s">
        <v>11122</v>
      </c>
      <c r="H5220" s="27" t="s">
        <v>35</v>
      </c>
      <c r="I5220" s="27" t="s">
        <v>38</v>
      </c>
      <c r="J5220" s="28" t="s">
        <v>399</v>
      </c>
      <c r="K5220" s="27" t="s">
        <v>37</v>
      </c>
      <c r="L5220" s="27"/>
    </row>
    <row r="5221" customFormat="false" ht="15" hidden="false" customHeight="false" outlineLevel="0" collapsed="false">
      <c r="A5221" s="26" t="s">
        <v>15379</v>
      </c>
      <c r="B5221" s="27" t="s">
        <v>15380</v>
      </c>
      <c r="C5221" s="27" t="s">
        <v>144</v>
      </c>
      <c r="D5221" s="26"/>
      <c r="E5221" s="27"/>
      <c r="F5221" s="27"/>
      <c r="G5221" s="27" t="s">
        <v>11122</v>
      </c>
      <c r="H5221" s="27" t="s">
        <v>35</v>
      </c>
      <c r="I5221" s="27" t="s">
        <v>37</v>
      </c>
      <c r="J5221" s="28" t="s">
        <v>399</v>
      </c>
      <c r="K5221" s="27" t="s">
        <v>37</v>
      </c>
      <c r="L5221" s="27"/>
    </row>
    <row r="5222" customFormat="false" ht="15" hidden="false" customHeight="false" outlineLevel="0" collapsed="false">
      <c r="A5222" s="26" t="s">
        <v>15381</v>
      </c>
      <c r="B5222" s="27" t="s">
        <v>15382</v>
      </c>
      <c r="C5222" s="27" t="s">
        <v>144</v>
      </c>
      <c r="D5222" s="26"/>
      <c r="E5222" s="27"/>
      <c r="F5222" s="27"/>
      <c r="G5222" s="27" t="s">
        <v>11122</v>
      </c>
      <c r="H5222" s="27" t="s">
        <v>35</v>
      </c>
      <c r="I5222" s="27" t="s">
        <v>47</v>
      </c>
      <c r="J5222" s="28" t="s">
        <v>399</v>
      </c>
      <c r="K5222" s="27" t="s">
        <v>37</v>
      </c>
      <c r="L5222" s="27"/>
    </row>
    <row r="5223" customFormat="false" ht="15" hidden="false" customHeight="false" outlineLevel="0" collapsed="false">
      <c r="A5223" s="26" t="s">
        <v>15383</v>
      </c>
      <c r="B5223" s="27" t="s">
        <v>15384</v>
      </c>
      <c r="C5223" s="27" t="s">
        <v>144</v>
      </c>
      <c r="D5223" s="26"/>
      <c r="E5223" s="27"/>
      <c r="F5223" s="27"/>
      <c r="G5223" s="27" t="s">
        <v>11122</v>
      </c>
      <c r="H5223" s="27" t="s">
        <v>35</v>
      </c>
      <c r="I5223" s="27" t="s">
        <v>37</v>
      </c>
      <c r="J5223" s="28" t="s">
        <v>399</v>
      </c>
      <c r="K5223" s="27" t="s">
        <v>37</v>
      </c>
      <c r="L5223" s="27"/>
    </row>
    <row r="5224" customFormat="false" ht="15" hidden="false" customHeight="false" outlineLevel="0" collapsed="false">
      <c r="A5224" s="26" t="s">
        <v>15385</v>
      </c>
      <c r="B5224" s="27" t="s">
        <v>15386</v>
      </c>
      <c r="C5224" s="27" t="s">
        <v>144</v>
      </c>
      <c r="D5224" s="26"/>
      <c r="E5224" s="27"/>
      <c r="F5224" s="27"/>
      <c r="G5224" s="27" t="s">
        <v>11122</v>
      </c>
      <c r="H5224" s="27" t="s">
        <v>35</v>
      </c>
      <c r="I5224" s="27" t="s">
        <v>39</v>
      </c>
      <c r="J5224" s="28" t="s">
        <v>399</v>
      </c>
      <c r="K5224" s="27" t="s">
        <v>37</v>
      </c>
      <c r="L5224" s="27"/>
    </row>
    <row r="5225" customFormat="false" ht="15" hidden="false" customHeight="false" outlineLevel="0" collapsed="false">
      <c r="A5225" s="26" t="s">
        <v>15387</v>
      </c>
      <c r="B5225" s="27" t="s">
        <v>15388</v>
      </c>
      <c r="C5225" s="27" t="s">
        <v>144</v>
      </c>
      <c r="D5225" s="26"/>
      <c r="E5225" s="27"/>
      <c r="F5225" s="27"/>
      <c r="G5225" s="27" t="s">
        <v>11122</v>
      </c>
      <c r="H5225" s="27" t="s">
        <v>35</v>
      </c>
      <c r="I5225" s="27" t="s">
        <v>39</v>
      </c>
      <c r="J5225" s="28" t="s">
        <v>399</v>
      </c>
      <c r="K5225" s="27" t="s">
        <v>37</v>
      </c>
      <c r="L5225" s="27"/>
    </row>
    <row r="5226" customFormat="false" ht="15" hidden="false" customHeight="false" outlineLevel="0" collapsed="false">
      <c r="A5226" s="26" t="s">
        <v>15389</v>
      </c>
      <c r="B5226" s="27" t="s">
        <v>15390</v>
      </c>
      <c r="C5226" s="27" t="s">
        <v>144</v>
      </c>
      <c r="D5226" s="26"/>
      <c r="E5226" s="27"/>
      <c r="F5226" s="27"/>
      <c r="G5226" s="27" t="s">
        <v>11122</v>
      </c>
      <c r="H5226" s="27" t="s">
        <v>35</v>
      </c>
      <c r="I5226" s="27" t="s">
        <v>43</v>
      </c>
      <c r="J5226" s="28" t="s">
        <v>399</v>
      </c>
      <c r="K5226" s="27" t="s">
        <v>37</v>
      </c>
      <c r="L5226" s="27"/>
    </row>
    <row r="5227" customFormat="false" ht="15" hidden="false" customHeight="false" outlineLevel="0" collapsed="false">
      <c r="A5227" s="26" t="s">
        <v>15391</v>
      </c>
      <c r="B5227" s="27" t="s">
        <v>15392</v>
      </c>
      <c r="C5227" s="27" t="s">
        <v>144</v>
      </c>
      <c r="D5227" s="26"/>
      <c r="E5227" s="27"/>
      <c r="F5227" s="27"/>
      <c r="G5227" s="27" t="s">
        <v>11122</v>
      </c>
      <c r="H5227" s="27" t="s">
        <v>35</v>
      </c>
      <c r="I5227" s="27" t="s">
        <v>38</v>
      </c>
      <c r="J5227" s="28" t="s">
        <v>399</v>
      </c>
      <c r="K5227" s="27" t="s">
        <v>37</v>
      </c>
      <c r="L5227" s="27"/>
    </row>
    <row r="5228" customFormat="false" ht="15" hidden="false" customHeight="false" outlineLevel="0" collapsed="false">
      <c r="A5228" s="26" t="s">
        <v>15393</v>
      </c>
      <c r="B5228" s="27" t="s">
        <v>15394</v>
      </c>
      <c r="C5228" s="27" t="s">
        <v>144</v>
      </c>
      <c r="D5228" s="26"/>
      <c r="E5228" s="27"/>
      <c r="F5228" s="27"/>
      <c r="G5228" s="27" t="s">
        <v>11122</v>
      </c>
      <c r="H5228" s="27" t="s">
        <v>35</v>
      </c>
      <c r="I5228" s="27" t="s">
        <v>37</v>
      </c>
      <c r="J5228" s="28" t="s">
        <v>399</v>
      </c>
      <c r="K5228" s="27" t="s">
        <v>37</v>
      </c>
      <c r="L5228" s="27"/>
    </row>
    <row r="5229" customFormat="false" ht="15" hidden="false" customHeight="false" outlineLevel="0" collapsed="false">
      <c r="A5229" s="26" t="s">
        <v>15395</v>
      </c>
      <c r="B5229" s="27" t="s">
        <v>15396</v>
      </c>
      <c r="C5229" s="27" t="s">
        <v>144</v>
      </c>
      <c r="D5229" s="26"/>
      <c r="E5229" s="27"/>
      <c r="F5229" s="27"/>
      <c r="G5229" s="27" t="s">
        <v>11122</v>
      </c>
      <c r="H5229" s="27" t="s">
        <v>35</v>
      </c>
      <c r="I5229" s="27" t="s">
        <v>45</v>
      </c>
      <c r="J5229" s="28" t="s">
        <v>399</v>
      </c>
      <c r="K5229" s="27" t="s">
        <v>37</v>
      </c>
      <c r="L5229" s="27"/>
    </row>
    <row r="5230" customFormat="false" ht="15" hidden="false" customHeight="false" outlineLevel="0" collapsed="false">
      <c r="A5230" s="26" t="s">
        <v>15397</v>
      </c>
      <c r="B5230" s="27" t="s">
        <v>15398</v>
      </c>
      <c r="C5230" s="27" t="s">
        <v>1187</v>
      </c>
      <c r="D5230" s="26"/>
      <c r="E5230" s="27"/>
      <c r="F5230" s="27"/>
      <c r="G5230" s="27" t="s">
        <v>11122</v>
      </c>
      <c r="H5230" s="27" t="s">
        <v>35</v>
      </c>
      <c r="I5230" s="27" t="s">
        <v>41</v>
      </c>
      <c r="J5230" s="28" t="s">
        <v>399</v>
      </c>
      <c r="K5230" s="27" t="s">
        <v>37</v>
      </c>
      <c r="L5230" s="27"/>
    </row>
    <row r="5231" customFormat="false" ht="15" hidden="false" customHeight="false" outlineLevel="0" collapsed="false">
      <c r="A5231" s="26" t="s">
        <v>15399</v>
      </c>
      <c r="B5231" s="27" t="s">
        <v>15400</v>
      </c>
      <c r="C5231" s="27" t="s">
        <v>144</v>
      </c>
      <c r="D5231" s="26"/>
      <c r="E5231" s="27"/>
      <c r="F5231" s="27"/>
      <c r="G5231" s="27" t="s">
        <v>11122</v>
      </c>
      <c r="H5231" s="27" t="s">
        <v>35</v>
      </c>
      <c r="I5231" s="27" t="s">
        <v>41</v>
      </c>
      <c r="J5231" s="28" t="s">
        <v>399</v>
      </c>
      <c r="K5231" s="27" t="s">
        <v>37</v>
      </c>
      <c r="L5231" s="27"/>
    </row>
    <row r="5232" customFormat="false" ht="15" hidden="false" customHeight="false" outlineLevel="0" collapsed="false">
      <c r="A5232" s="26" t="s">
        <v>15401</v>
      </c>
      <c r="B5232" s="27" t="s">
        <v>15402</v>
      </c>
      <c r="C5232" s="27" t="s">
        <v>144</v>
      </c>
      <c r="D5232" s="26"/>
      <c r="E5232" s="27"/>
      <c r="F5232" s="27"/>
      <c r="G5232" s="27" t="s">
        <v>11122</v>
      </c>
      <c r="H5232" s="27" t="s">
        <v>35</v>
      </c>
      <c r="I5232" s="27" t="s">
        <v>44</v>
      </c>
      <c r="J5232" s="28" t="s">
        <v>399</v>
      </c>
      <c r="K5232" s="27" t="s">
        <v>37</v>
      </c>
      <c r="L5232" s="27"/>
    </row>
    <row r="5233" customFormat="false" ht="15" hidden="false" customHeight="false" outlineLevel="0" collapsed="false">
      <c r="A5233" s="26" t="s">
        <v>15403</v>
      </c>
      <c r="B5233" s="27" t="s">
        <v>15404</v>
      </c>
      <c r="C5233" s="27" t="s">
        <v>144</v>
      </c>
      <c r="D5233" s="26"/>
      <c r="E5233" s="27"/>
      <c r="F5233" s="27"/>
      <c r="G5233" s="27" t="s">
        <v>11122</v>
      </c>
      <c r="H5233" s="27" t="s">
        <v>35</v>
      </c>
      <c r="I5233" s="27" t="s">
        <v>37</v>
      </c>
      <c r="J5233" s="28" t="s">
        <v>399</v>
      </c>
      <c r="K5233" s="27" t="s">
        <v>37</v>
      </c>
      <c r="L5233" s="27"/>
    </row>
    <row r="5234" customFormat="false" ht="15" hidden="false" customHeight="false" outlineLevel="0" collapsed="false">
      <c r="A5234" s="26" t="s">
        <v>15405</v>
      </c>
      <c r="B5234" s="27" t="s">
        <v>15406</v>
      </c>
      <c r="C5234" s="27" t="s">
        <v>144</v>
      </c>
      <c r="D5234" s="26"/>
      <c r="E5234" s="27"/>
      <c r="F5234" s="27"/>
      <c r="G5234" s="27" t="s">
        <v>11122</v>
      </c>
      <c r="H5234" s="27" t="s">
        <v>35</v>
      </c>
      <c r="I5234" s="27" t="s">
        <v>37</v>
      </c>
      <c r="J5234" s="28" t="s">
        <v>399</v>
      </c>
      <c r="K5234" s="27" t="s">
        <v>37</v>
      </c>
      <c r="L5234" s="27"/>
    </row>
    <row r="5235" customFormat="false" ht="15" hidden="false" customHeight="false" outlineLevel="0" collapsed="false">
      <c r="A5235" s="26" t="s">
        <v>15407</v>
      </c>
      <c r="B5235" s="27" t="s">
        <v>15408</v>
      </c>
      <c r="C5235" s="27" t="s">
        <v>144</v>
      </c>
      <c r="D5235" s="26"/>
      <c r="E5235" s="27"/>
      <c r="F5235" s="27"/>
      <c r="G5235" s="27" t="s">
        <v>11122</v>
      </c>
      <c r="H5235" s="27" t="s">
        <v>35</v>
      </c>
      <c r="I5235" s="27" t="s">
        <v>43</v>
      </c>
      <c r="J5235" s="28" t="s">
        <v>399</v>
      </c>
      <c r="K5235" s="27" t="s">
        <v>37</v>
      </c>
      <c r="L5235" s="27"/>
    </row>
    <row r="5236" customFormat="false" ht="15" hidden="false" customHeight="false" outlineLevel="0" collapsed="false">
      <c r="A5236" s="26" t="s">
        <v>15409</v>
      </c>
      <c r="B5236" s="27" t="s">
        <v>15410</v>
      </c>
      <c r="C5236" s="27" t="s">
        <v>144</v>
      </c>
      <c r="D5236" s="26"/>
      <c r="E5236" s="27"/>
      <c r="F5236" s="27"/>
      <c r="G5236" s="27" t="s">
        <v>11122</v>
      </c>
      <c r="H5236" s="27" t="s">
        <v>35</v>
      </c>
      <c r="I5236" s="27" t="s">
        <v>40</v>
      </c>
      <c r="J5236" s="28" t="s">
        <v>399</v>
      </c>
      <c r="K5236" s="27" t="s">
        <v>37</v>
      </c>
      <c r="L5236" s="27"/>
    </row>
    <row r="5237" customFormat="false" ht="15" hidden="false" customHeight="false" outlineLevel="0" collapsed="false">
      <c r="A5237" s="26" t="s">
        <v>15411</v>
      </c>
      <c r="B5237" s="27" t="s">
        <v>15412</v>
      </c>
      <c r="C5237" s="27" t="s">
        <v>144</v>
      </c>
      <c r="D5237" s="26"/>
      <c r="E5237" s="27"/>
      <c r="F5237" s="27"/>
      <c r="G5237" s="27" t="s">
        <v>11122</v>
      </c>
      <c r="H5237" s="27" t="s">
        <v>35</v>
      </c>
      <c r="I5237" s="27" t="s">
        <v>39</v>
      </c>
      <c r="J5237" s="28" t="s">
        <v>399</v>
      </c>
      <c r="K5237" s="27" t="s">
        <v>37</v>
      </c>
      <c r="L5237" s="27"/>
    </row>
    <row r="5238" customFormat="false" ht="15" hidden="false" customHeight="false" outlineLevel="0" collapsed="false">
      <c r="A5238" s="26" t="s">
        <v>15413</v>
      </c>
      <c r="B5238" s="27" t="s">
        <v>15414</v>
      </c>
      <c r="C5238" s="27" t="s">
        <v>144</v>
      </c>
      <c r="D5238" s="26"/>
      <c r="E5238" s="27"/>
      <c r="F5238" s="27"/>
      <c r="G5238" s="27" t="s">
        <v>11122</v>
      </c>
      <c r="H5238" s="27" t="s">
        <v>35</v>
      </c>
      <c r="I5238" s="27" t="s">
        <v>43</v>
      </c>
      <c r="J5238" s="28" t="s">
        <v>399</v>
      </c>
      <c r="K5238" s="27" t="s">
        <v>37</v>
      </c>
      <c r="L5238" s="27"/>
    </row>
    <row r="5239" customFormat="false" ht="15" hidden="false" customHeight="false" outlineLevel="0" collapsed="false">
      <c r="A5239" s="26" t="s">
        <v>15415</v>
      </c>
      <c r="B5239" s="27" t="s">
        <v>15416</v>
      </c>
      <c r="C5239" s="27" t="s">
        <v>144</v>
      </c>
      <c r="D5239" s="26"/>
      <c r="E5239" s="27"/>
      <c r="F5239" s="27"/>
      <c r="G5239" s="27" t="s">
        <v>11122</v>
      </c>
      <c r="H5239" s="27" t="s">
        <v>35</v>
      </c>
      <c r="I5239" s="27" t="s">
        <v>37</v>
      </c>
      <c r="J5239" s="28" t="s">
        <v>399</v>
      </c>
      <c r="K5239" s="27" t="s">
        <v>37</v>
      </c>
      <c r="L5239" s="27"/>
    </row>
    <row r="5240" customFormat="false" ht="15" hidden="false" customHeight="false" outlineLevel="0" collapsed="false">
      <c r="A5240" s="26" t="s">
        <v>15417</v>
      </c>
      <c r="B5240" s="27" t="s">
        <v>15418</v>
      </c>
      <c r="C5240" s="27" t="s">
        <v>144</v>
      </c>
      <c r="D5240" s="26"/>
      <c r="E5240" s="27"/>
      <c r="F5240" s="27"/>
      <c r="G5240" s="27" t="s">
        <v>11122</v>
      </c>
      <c r="H5240" s="27" t="s">
        <v>35</v>
      </c>
      <c r="I5240" s="27" t="s">
        <v>43</v>
      </c>
      <c r="J5240" s="28" t="s">
        <v>399</v>
      </c>
      <c r="K5240" s="27" t="s">
        <v>37</v>
      </c>
      <c r="L5240" s="27"/>
    </row>
    <row r="5241" customFormat="false" ht="15" hidden="false" customHeight="false" outlineLevel="0" collapsed="false">
      <c r="A5241" s="26" t="s">
        <v>15419</v>
      </c>
      <c r="B5241" s="27" t="s">
        <v>15420</v>
      </c>
      <c r="C5241" s="27" t="s">
        <v>144</v>
      </c>
      <c r="D5241" s="26"/>
      <c r="E5241" s="27"/>
      <c r="F5241" s="27"/>
      <c r="G5241" s="27" t="s">
        <v>11122</v>
      </c>
      <c r="H5241" s="27" t="s">
        <v>35</v>
      </c>
      <c r="I5241" s="27" t="s">
        <v>43</v>
      </c>
      <c r="J5241" s="28" t="s">
        <v>399</v>
      </c>
      <c r="K5241" s="27" t="s">
        <v>37</v>
      </c>
      <c r="L5241" s="27"/>
    </row>
    <row r="5242" customFormat="false" ht="15" hidden="false" customHeight="false" outlineLevel="0" collapsed="false">
      <c r="A5242" s="26" t="s">
        <v>15421</v>
      </c>
      <c r="B5242" s="27" t="s">
        <v>15422</v>
      </c>
      <c r="C5242" s="27" t="s">
        <v>144</v>
      </c>
      <c r="D5242" s="26"/>
      <c r="E5242" s="27"/>
      <c r="F5242" s="27"/>
      <c r="G5242" s="27" t="s">
        <v>11122</v>
      </c>
      <c r="H5242" s="27" t="s">
        <v>35</v>
      </c>
      <c r="I5242" s="27" t="s">
        <v>37</v>
      </c>
      <c r="J5242" s="28" t="s">
        <v>399</v>
      </c>
      <c r="K5242" s="27" t="s">
        <v>37</v>
      </c>
      <c r="L5242" s="27"/>
    </row>
    <row r="5243" customFormat="false" ht="15" hidden="false" customHeight="false" outlineLevel="0" collapsed="false">
      <c r="A5243" s="26" t="s">
        <v>15423</v>
      </c>
      <c r="B5243" s="27" t="s">
        <v>15424</v>
      </c>
      <c r="C5243" s="27" t="s">
        <v>144</v>
      </c>
      <c r="D5243" s="26"/>
      <c r="E5243" s="27"/>
      <c r="F5243" s="27"/>
      <c r="G5243" s="27" t="s">
        <v>11122</v>
      </c>
      <c r="H5243" s="27" t="s">
        <v>35</v>
      </c>
      <c r="I5243" s="27" t="s">
        <v>37</v>
      </c>
      <c r="J5243" s="28" t="s">
        <v>399</v>
      </c>
      <c r="K5243" s="27" t="s">
        <v>37</v>
      </c>
      <c r="L5243" s="27"/>
    </row>
    <row r="5244" customFormat="false" ht="15" hidden="false" customHeight="false" outlineLevel="0" collapsed="false">
      <c r="A5244" s="26" t="s">
        <v>15425</v>
      </c>
      <c r="B5244" s="27" t="s">
        <v>15426</v>
      </c>
      <c r="C5244" s="27" t="s">
        <v>144</v>
      </c>
      <c r="D5244" s="26"/>
      <c r="E5244" s="27"/>
      <c r="F5244" s="27"/>
      <c r="G5244" s="27" t="s">
        <v>11122</v>
      </c>
      <c r="H5244" s="27" t="s">
        <v>35</v>
      </c>
      <c r="I5244" s="27" t="s">
        <v>37</v>
      </c>
      <c r="J5244" s="28" t="s">
        <v>399</v>
      </c>
      <c r="K5244" s="27" t="s">
        <v>37</v>
      </c>
      <c r="L5244" s="27"/>
    </row>
    <row r="5245" customFormat="false" ht="15" hidden="false" customHeight="false" outlineLevel="0" collapsed="false">
      <c r="A5245" s="26" t="s">
        <v>15427</v>
      </c>
      <c r="B5245" s="27" t="s">
        <v>15428</v>
      </c>
      <c r="C5245" s="27" t="s">
        <v>144</v>
      </c>
      <c r="D5245" s="26"/>
      <c r="E5245" s="27"/>
      <c r="F5245" s="27"/>
      <c r="G5245" s="27" t="s">
        <v>11122</v>
      </c>
      <c r="H5245" s="27" t="s">
        <v>35</v>
      </c>
      <c r="I5245" s="27" t="s">
        <v>37</v>
      </c>
      <c r="J5245" s="28" t="s">
        <v>399</v>
      </c>
      <c r="K5245" s="27" t="s">
        <v>37</v>
      </c>
      <c r="L5245" s="27"/>
    </row>
    <row r="5246" customFormat="false" ht="15" hidden="false" customHeight="false" outlineLevel="0" collapsed="false">
      <c r="A5246" s="26" t="s">
        <v>15429</v>
      </c>
      <c r="B5246" s="27" t="s">
        <v>15430</v>
      </c>
      <c r="C5246" s="27" t="s">
        <v>144</v>
      </c>
      <c r="D5246" s="26"/>
      <c r="E5246" s="27"/>
      <c r="F5246" s="27"/>
      <c r="G5246" s="27" t="s">
        <v>11122</v>
      </c>
      <c r="H5246" s="27" t="s">
        <v>35</v>
      </c>
      <c r="I5246" s="27" t="s">
        <v>37</v>
      </c>
      <c r="J5246" s="28" t="s">
        <v>399</v>
      </c>
      <c r="K5246" s="27" t="s">
        <v>37</v>
      </c>
      <c r="L5246" s="27"/>
    </row>
    <row r="5247" customFormat="false" ht="15" hidden="false" customHeight="false" outlineLevel="0" collapsed="false">
      <c r="A5247" s="26" t="s">
        <v>15431</v>
      </c>
      <c r="B5247" s="27" t="s">
        <v>15432</v>
      </c>
      <c r="C5247" s="27" t="s">
        <v>144</v>
      </c>
      <c r="D5247" s="26"/>
      <c r="E5247" s="27"/>
      <c r="F5247" s="27"/>
      <c r="G5247" s="27" t="s">
        <v>11122</v>
      </c>
      <c r="H5247" s="27" t="s">
        <v>35</v>
      </c>
      <c r="I5247" s="27" t="s">
        <v>37</v>
      </c>
      <c r="J5247" s="28" t="s">
        <v>399</v>
      </c>
      <c r="K5247" s="27" t="s">
        <v>37</v>
      </c>
      <c r="L5247" s="27"/>
    </row>
    <row r="5248" customFormat="false" ht="15" hidden="false" customHeight="false" outlineLevel="0" collapsed="false">
      <c r="A5248" s="26" t="s">
        <v>15433</v>
      </c>
      <c r="B5248" s="27" t="s">
        <v>15434</v>
      </c>
      <c r="C5248" s="27" t="s">
        <v>144</v>
      </c>
      <c r="D5248" s="26"/>
      <c r="E5248" s="27"/>
      <c r="F5248" s="27"/>
      <c r="G5248" s="27" t="s">
        <v>11122</v>
      </c>
      <c r="H5248" s="27" t="s">
        <v>35</v>
      </c>
      <c r="I5248" s="27" t="s">
        <v>37</v>
      </c>
      <c r="J5248" s="28" t="s">
        <v>399</v>
      </c>
      <c r="K5248" s="27" t="s">
        <v>37</v>
      </c>
      <c r="L5248" s="27"/>
    </row>
    <row r="5249" customFormat="false" ht="15" hidden="false" customHeight="false" outlineLevel="0" collapsed="false">
      <c r="A5249" s="26" t="s">
        <v>15435</v>
      </c>
      <c r="B5249" s="27" t="s">
        <v>15436</v>
      </c>
      <c r="C5249" s="27" t="s">
        <v>144</v>
      </c>
      <c r="D5249" s="26"/>
      <c r="E5249" s="27"/>
      <c r="F5249" s="27"/>
      <c r="G5249" s="27" t="s">
        <v>11122</v>
      </c>
      <c r="H5249" s="27" t="s">
        <v>35</v>
      </c>
      <c r="I5249" s="27" t="s">
        <v>37</v>
      </c>
      <c r="J5249" s="28" t="s">
        <v>399</v>
      </c>
      <c r="K5249" s="27" t="s">
        <v>37</v>
      </c>
      <c r="L5249" s="27"/>
    </row>
    <row r="5250" customFormat="false" ht="15" hidden="false" customHeight="false" outlineLevel="0" collapsed="false">
      <c r="A5250" s="26" t="s">
        <v>15437</v>
      </c>
      <c r="B5250" s="27" t="s">
        <v>15438</v>
      </c>
      <c r="C5250" s="27" t="s">
        <v>144</v>
      </c>
      <c r="D5250" s="26"/>
      <c r="E5250" s="27"/>
      <c r="F5250" s="27"/>
      <c r="G5250" s="27" t="s">
        <v>11122</v>
      </c>
      <c r="H5250" s="27" t="s">
        <v>35</v>
      </c>
      <c r="I5250" s="27" t="s">
        <v>37</v>
      </c>
      <c r="J5250" s="28" t="s">
        <v>399</v>
      </c>
      <c r="K5250" s="27" t="s">
        <v>37</v>
      </c>
      <c r="L5250" s="27"/>
    </row>
    <row r="5251" customFormat="false" ht="15" hidden="false" customHeight="false" outlineLevel="0" collapsed="false">
      <c r="A5251" s="26" t="s">
        <v>15439</v>
      </c>
      <c r="B5251" s="27" t="s">
        <v>15440</v>
      </c>
      <c r="C5251" s="27" t="s">
        <v>144</v>
      </c>
      <c r="D5251" s="26"/>
      <c r="E5251" s="27"/>
      <c r="F5251" s="27"/>
      <c r="G5251" s="27" t="s">
        <v>11122</v>
      </c>
      <c r="H5251" s="27" t="s">
        <v>35</v>
      </c>
      <c r="I5251" s="27" t="s">
        <v>37</v>
      </c>
      <c r="J5251" s="28" t="s">
        <v>399</v>
      </c>
      <c r="K5251" s="27" t="s">
        <v>37</v>
      </c>
      <c r="L5251" s="27"/>
    </row>
    <row r="5252" customFormat="false" ht="15" hidden="false" customHeight="false" outlineLevel="0" collapsed="false">
      <c r="A5252" s="26" t="s">
        <v>15441</v>
      </c>
      <c r="B5252" s="27" t="s">
        <v>15442</v>
      </c>
      <c r="C5252" s="27" t="s">
        <v>144</v>
      </c>
      <c r="D5252" s="26"/>
      <c r="E5252" s="27"/>
      <c r="F5252" s="27"/>
      <c r="G5252" s="27" t="s">
        <v>11122</v>
      </c>
      <c r="H5252" s="27" t="s">
        <v>35</v>
      </c>
      <c r="I5252" s="27" t="s">
        <v>37</v>
      </c>
      <c r="J5252" s="28" t="s">
        <v>399</v>
      </c>
      <c r="K5252" s="27" t="s">
        <v>37</v>
      </c>
      <c r="L5252" s="27"/>
    </row>
    <row r="5253" customFormat="false" ht="15" hidden="false" customHeight="false" outlineLevel="0" collapsed="false">
      <c r="A5253" s="26" t="s">
        <v>15443</v>
      </c>
      <c r="B5253" s="27" t="s">
        <v>15444</v>
      </c>
      <c r="C5253" s="27" t="s">
        <v>144</v>
      </c>
      <c r="D5253" s="26"/>
      <c r="E5253" s="27"/>
      <c r="F5253" s="27"/>
      <c r="G5253" s="27" t="s">
        <v>11122</v>
      </c>
      <c r="H5253" s="27" t="s">
        <v>35</v>
      </c>
      <c r="I5253" s="27" t="s">
        <v>37</v>
      </c>
      <c r="J5253" s="28" t="s">
        <v>399</v>
      </c>
      <c r="K5253" s="27" t="s">
        <v>37</v>
      </c>
      <c r="L5253" s="27"/>
    </row>
    <row r="5254" customFormat="false" ht="15" hidden="false" customHeight="false" outlineLevel="0" collapsed="false">
      <c r="A5254" s="26" t="s">
        <v>15445</v>
      </c>
      <c r="B5254" s="27" t="s">
        <v>15446</v>
      </c>
      <c r="C5254" s="27" t="s">
        <v>144</v>
      </c>
      <c r="D5254" s="26"/>
      <c r="E5254" s="27"/>
      <c r="F5254" s="27"/>
      <c r="G5254" s="27" t="s">
        <v>11122</v>
      </c>
      <c r="H5254" s="27" t="s">
        <v>35</v>
      </c>
      <c r="I5254" s="27" t="s">
        <v>37</v>
      </c>
      <c r="J5254" s="28" t="s">
        <v>399</v>
      </c>
      <c r="K5254" s="27" t="s">
        <v>37</v>
      </c>
      <c r="L5254" s="27"/>
    </row>
    <row r="5255" customFormat="false" ht="15" hidden="false" customHeight="false" outlineLevel="0" collapsed="false">
      <c r="A5255" s="26" t="s">
        <v>15447</v>
      </c>
      <c r="B5255" s="27" t="s">
        <v>15448</v>
      </c>
      <c r="C5255" s="27" t="s">
        <v>144</v>
      </c>
      <c r="D5255" s="26"/>
      <c r="E5255" s="27"/>
      <c r="F5255" s="27"/>
      <c r="G5255" s="27" t="s">
        <v>11122</v>
      </c>
      <c r="H5255" s="27" t="s">
        <v>35</v>
      </c>
      <c r="I5255" s="27" t="s">
        <v>37</v>
      </c>
      <c r="J5255" s="28" t="s">
        <v>399</v>
      </c>
      <c r="K5255" s="27" t="s">
        <v>37</v>
      </c>
      <c r="L5255" s="27"/>
    </row>
    <row r="5256" customFormat="false" ht="15" hidden="false" customHeight="false" outlineLevel="0" collapsed="false">
      <c r="A5256" s="26" t="s">
        <v>15449</v>
      </c>
      <c r="B5256" s="27" t="s">
        <v>15450</v>
      </c>
      <c r="C5256" s="27" t="s">
        <v>144</v>
      </c>
      <c r="D5256" s="26"/>
      <c r="E5256" s="27"/>
      <c r="F5256" s="27"/>
      <c r="G5256" s="27" t="s">
        <v>11122</v>
      </c>
      <c r="H5256" s="27" t="s">
        <v>35</v>
      </c>
      <c r="I5256" s="27" t="s">
        <v>37</v>
      </c>
      <c r="J5256" s="28" t="s">
        <v>399</v>
      </c>
      <c r="K5256" s="27" t="s">
        <v>37</v>
      </c>
      <c r="L5256" s="27"/>
    </row>
    <row r="5257" customFormat="false" ht="15" hidden="false" customHeight="false" outlineLevel="0" collapsed="false">
      <c r="A5257" s="26" t="s">
        <v>15451</v>
      </c>
      <c r="B5257" s="27" t="s">
        <v>15452</v>
      </c>
      <c r="C5257" s="27" t="s">
        <v>144</v>
      </c>
      <c r="D5257" s="26"/>
      <c r="E5257" s="27"/>
      <c r="F5257" s="27"/>
      <c r="G5257" s="27" t="s">
        <v>11122</v>
      </c>
      <c r="H5257" s="27" t="s">
        <v>35</v>
      </c>
      <c r="I5257" s="27" t="s">
        <v>37</v>
      </c>
      <c r="J5257" s="28" t="s">
        <v>399</v>
      </c>
      <c r="K5257" s="27" t="s">
        <v>37</v>
      </c>
      <c r="L5257" s="27"/>
    </row>
    <row r="5258" customFormat="false" ht="15" hidden="false" customHeight="false" outlineLevel="0" collapsed="false">
      <c r="A5258" s="26" t="s">
        <v>15453</v>
      </c>
      <c r="B5258" s="27" t="s">
        <v>15454</v>
      </c>
      <c r="C5258" s="27" t="s">
        <v>144</v>
      </c>
      <c r="D5258" s="26"/>
      <c r="E5258" s="27"/>
      <c r="F5258" s="27"/>
      <c r="G5258" s="27" t="s">
        <v>11122</v>
      </c>
      <c r="H5258" s="27" t="s">
        <v>35</v>
      </c>
      <c r="I5258" s="27" t="s">
        <v>37</v>
      </c>
      <c r="J5258" s="28" t="s">
        <v>399</v>
      </c>
      <c r="K5258" s="27" t="s">
        <v>37</v>
      </c>
      <c r="L5258" s="27"/>
    </row>
    <row r="5259" customFormat="false" ht="15" hidden="false" customHeight="false" outlineLevel="0" collapsed="false">
      <c r="A5259" s="26" t="s">
        <v>15455</v>
      </c>
      <c r="B5259" s="27" t="s">
        <v>15456</v>
      </c>
      <c r="C5259" s="27" t="s">
        <v>144</v>
      </c>
      <c r="D5259" s="26"/>
      <c r="E5259" s="27"/>
      <c r="F5259" s="27"/>
      <c r="G5259" s="27" t="s">
        <v>11122</v>
      </c>
      <c r="H5259" s="27" t="s">
        <v>35</v>
      </c>
      <c r="I5259" s="27" t="s">
        <v>37</v>
      </c>
      <c r="J5259" s="28" t="s">
        <v>399</v>
      </c>
      <c r="K5259" s="27" t="s">
        <v>37</v>
      </c>
      <c r="L5259" s="27"/>
    </row>
    <row r="5260" customFormat="false" ht="15" hidden="false" customHeight="false" outlineLevel="0" collapsed="false">
      <c r="A5260" s="26" t="s">
        <v>15457</v>
      </c>
      <c r="B5260" s="27" t="s">
        <v>15458</v>
      </c>
      <c r="C5260" s="27" t="s">
        <v>144</v>
      </c>
      <c r="D5260" s="26"/>
      <c r="E5260" s="27"/>
      <c r="F5260" s="27"/>
      <c r="G5260" s="27" t="s">
        <v>11122</v>
      </c>
      <c r="H5260" s="27" t="s">
        <v>35</v>
      </c>
      <c r="I5260" s="27" t="s">
        <v>37</v>
      </c>
      <c r="J5260" s="28" t="s">
        <v>399</v>
      </c>
      <c r="K5260" s="27" t="s">
        <v>37</v>
      </c>
      <c r="L5260" s="27"/>
    </row>
    <row r="5261" customFormat="false" ht="15" hidden="false" customHeight="false" outlineLevel="0" collapsed="false">
      <c r="A5261" s="26" t="s">
        <v>15459</v>
      </c>
      <c r="B5261" s="27" t="s">
        <v>15460</v>
      </c>
      <c r="C5261" s="27" t="s">
        <v>144</v>
      </c>
      <c r="D5261" s="26"/>
      <c r="E5261" s="27"/>
      <c r="F5261" s="27"/>
      <c r="G5261" s="27" t="s">
        <v>11122</v>
      </c>
      <c r="H5261" s="27" t="s">
        <v>35</v>
      </c>
      <c r="I5261" s="27" t="s">
        <v>37</v>
      </c>
      <c r="J5261" s="28" t="s">
        <v>399</v>
      </c>
      <c r="K5261" s="27" t="s">
        <v>37</v>
      </c>
      <c r="L5261" s="27"/>
    </row>
    <row r="5262" customFormat="false" ht="15" hidden="false" customHeight="false" outlineLevel="0" collapsed="false">
      <c r="A5262" s="26" t="s">
        <v>15461</v>
      </c>
      <c r="B5262" s="27" t="s">
        <v>15462</v>
      </c>
      <c r="C5262" s="27" t="s">
        <v>144</v>
      </c>
      <c r="D5262" s="26"/>
      <c r="E5262" s="27"/>
      <c r="F5262" s="27"/>
      <c r="G5262" s="27" t="s">
        <v>11122</v>
      </c>
      <c r="H5262" s="27" t="s">
        <v>35</v>
      </c>
      <c r="I5262" s="27" t="s">
        <v>37</v>
      </c>
      <c r="J5262" s="28" t="s">
        <v>399</v>
      </c>
      <c r="K5262" s="27" t="s">
        <v>37</v>
      </c>
      <c r="L5262" s="27"/>
    </row>
    <row r="5263" customFormat="false" ht="15" hidden="false" customHeight="false" outlineLevel="0" collapsed="false">
      <c r="A5263" s="26" t="s">
        <v>15463</v>
      </c>
      <c r="B5263" s="27" t="s">
        <v>15464</v>
      </c>
      <c r="C5263" s="27" t="s">
        <v>144</v>
      </c>
      <c r="D5263" s="26"/>
      <c r="E5263" s="27"/>
      <c r="F5263" s="27"/>
      <c r="G5263" s="27" t="s">
        <v>11122</v>
      </c>
      <c r="H5263" s="27" t="s">
        <v>35</v>
      </c>
      <c r="I5263" s="27" t="s">
        <v>37</v>
      </c>
      <c r="J5263" s="28" t="s">
        <v>399</v>
      </c>
      <c r="K5263" s="27" t="s">
        <v>37</v>
      </c>
      <c r="L5263" s="27"/>
    </row>
    <row r="5264" customFormat="false" ht="15" hidden="false" customHeight="false" outlineLevel="0" collapsed="false">
      <c r="A5264" s="26" t="s">
        <v>15465</v>
      </c>
      <c r="B5264" s="27" t="s">
        <v>15466</v>
      </c>
      <c r="C5264" s="27" t="s">
        <v>144</v>
      </c>
      <c r="D5264" s="26"/>
      <c r="E5264" s="27"/>
      <c r="F5264" s="27"/>
      <c r="G5264" s="27" t="s">
        <v>11122</v>
      </c>
      <c r="H5264" s="27" t="s">
        <v>35</v>
      </c>
      <c r="I5264" s="27" t="s">
        <v>37</v>
      </c>
      <c r="J5264" s="28" t="s">
        <v>399</v>
      </c>
      <c r="K5264" s="27" t="s">
        <v>37</v>
      </c>
      <c r="L5264" s="27"/>
    </row>
    <row r="5265" customFormat="false" ht="15" hidden="false" customHeight="false" outlineLevel="0" collapsed="false">
      <c r="A5265" s="26" t="s">
        <v>15467</v>
      </c>
      <c r="B5265" s="27" t="s">
        <v>15468</v>
      </c>
      <c r="C5265" s="27" t="s">
        <v>144</v>
      </c>
      <c r="D5265" s="26"/>
      <c r="E5265" s="27"/>
      <c r="F5265" s="27"/>
      <c r="G5265" s="27" t="s">
        <v>11122</v>
      </c>
      <c r="H5265" s="27" t="s">
        <v>35</v>
      </c>
      <c r="I5265" s="27" t="s">
        <v>37</v>
      </c>
      <c r="J5265" s="28" t="s">
        <v>399</v>
      </c>
      <c r="K5265" s="27" t="s">
        <v>37</v>
      </c>
      <c r="L5265" s="27"/>
    </row>
    <row r="5266" customFormat="false" ht="15" hidden="false" customHeight="false" outlineLevel="0" collapsed="false">
      <c r="A5266" s="26" t="s">
        <v>15469</v>
      </c>
      <c r="B5266" s="27" t="s">
        <v>15470</v>
      </c>
      <c r="C5266" s="27" t="s">
        <v>144</v>
      </c>
      <c r="D5266" s="26"/>
      <c r="E5266" s="27"/>
      <c r="F5266" s="27"/>
      <c r="G5266" s="27" t="s">
        <v>11122</v>
      </c>
      <c r="H5266" s="27" t="s">
        <v>35</v>
      </c>
      <c r="I5266" s="27" t="s">
        <v>37</v>
      </c>
      <c r="J5266" s="28" t="s">
        <v>399</v>
      </c>
      <c r="K5266" s="27" t="s">
        <v>37</v>
      </c>
      <c r="L5266" s="27"/>
    </row>
    <row r="5267" customFormat="false" ht="15" hidden="false" customHeight="false" outlineLevel="0" collapsed="false">
      <c r="A5267" s="26" t="s">
        <v>15471</v>
      </c>
      <c r="B5267" s="27" t="s">
        <v>15472</v>
      </c>
      <c r="C5267" s="27" t="s">
        <v>144</v>
      </c>
      <c r="D5267" s="26"/>
      <c r="E5267" s="27"/>
      <c r="F5267" s="27"/>
      <c r="G5267" s="27" t="s">
        <v>11122</v>
      </c>
      <c r="H5267" s="27" t="s">
        <v>35</v>
      </c>
      <c r="I5267" s="27" t="s">
        <v>37</v>
      </c>
      <c r="J5267" s="28" t="s">
        <v>399</v>
      </c>
      <c r="K5267" s="27" t="s">
        <v>37</v>
      </c>
      <c r="L5267" s="27"/>
    </row>
    <row r="5268" customFormat="false" ht="15" hidden="false" customHeight="false" outlineLevel="0" collapsed="false">
      <c r="A5268" s="26" t="s">
        <v>15473</v>
      </c>
      <c r="B5268" s="27" t="s">
        <v>15474</v>
      </c>
      <c r="C5268" s="27" t="s">
        <v>144</v>
      </c>
      <c r="D5268" s="26"/>
      <c r="E5268" s="27"/>
      <c r="F5268" s="27"/>
      <c r="G5268" s="27" t="s">
        <v>11122</v>
      </c>
      <c r="H5268" s="27" t="s">
        <v>35</v>
      </c>
      <c r="I5268" s="27" t="s">
        <v>37</v>
      </c>
      <c r="J5268" s="28" t="s">
        <v>399</v>
      </c>
      <c r="K5268" s="27" t="s">
        <v>37</v>
      </c>
      <c r="L5268" s="27"/>
    </row>
    <row r="5269" customFormat="false" ht="15" hidden="false" customHeight="false" outlineLevel="0" collapsed="false">
      <c r="A5269" s="26" t="s">
        <v>15475</v>
      </c>
      <c r="B5269" s="27" t="s">
        <v>15476</v>
      </c>
      <c r="C5269" s="27" t="s">
        <v>144</v>
      </c>
      <c r="D5269" s="26"/>
      <c r="E5269" s="27"/>
      <c r="F5269" s="27"/>
      <c r="G5269" s="27" t="s">
        <v>11122</v>
      </c>
      <c r="H5269" s="27" t="s">
        <v>35</v>
      </c>
      <c r="I5269" s="27" t="s">
        <v>37</v>
      </c>
      <c r="J5269" s="28" t="s">
        <v>399</v>
      </c>
      <c r="K5269" s="27" t="s">
        <v>37</v>
      </c>
      <c r="L5269" s="27"/>
    </row>
    <row r="5270" customFormat="false" ht="15" hidden="false" customHeight="false" outlineLevel="0" collapsed="false">
      <c r="A5270" s="26" t="s">
        <v>15477</v>
      </c>
      <c r="B5270" s="27" t="s">
        <v>15478</v>
      </c>
      <c r="C5270" s="27" t="s">
        <v>144</v>
      </c>
      <c r="D5270" s="26"/>
      <c r="E5270" s="27"/>
      <c r="F5270" s="27"/>
      <c r="G5270" s="27" t="s">
        <v>11122</v>
      </c>
      <c r="H5270" s="27" t="s">
        <v>35</v>
      </c>
      <c r="I5270" s="27" t="s">
        <v>37</v>
      </c>
      <c r="J5270" s="28" t="s">
        <v>399</v>
      </c>
      <c r="K5270" s="27" t="s">
        <v>37</v>
      </c>
      <c r="L5270" s="27"/>
    </row>
    <row r="5271" customFormat="false" ht="15" hidden="false" customHeight="false" outlineLevel="0" collapsed="false">
      <c r="A5271" s="26" t="s">
        <v>15479</v>
      </c>
      <c r="B5271" s="27" t="s">
        <v>15480</v>
      </c>
      <c r="C5271" s="27" t="s">
        <v>144</v>
      </c>
      <c r="D5271" s="26"/>
      <c r="E5271" s="27"/>
      <c r="F5271" s="27"/>
      <c r="G5271" s="27" t="s">
        <v>11122</v>
      </c>
      <c r="H5271" s="27" t="s">
        <v>35</v>
      </c>
      <c r="I5271" s="27" t="s">
        <v>37</v>
      </c>
      <c r="J5271" s="28" t="s">
        <v>399</v>
      </c>
      <c r="K5271" s="27" t="s">
        <v>37</v>
      </c>
      <c r="L5271" s="27"/>
    </row>
    <row r="5272" customFormat="false" ht="15" hidden="false" customHeight="false" outlineLevel="0" collapsed="false">
      <c r="A5272" s="26" t="s">
        <v>15481</v>
      </c>
      <c r="B5272" s="27" t="s">
        <v>15482</v>
      </c>
      <c r="C5272" s="27" t="s">
        <v>144</v>
      </c>
      <c r="D5272" s="26"/>
      <c r="E5272" s="27"/>
      <c r="F5272" s="27"/>
      <c r="G5272" s="27" t="s">
        <v>11122</v>
      </c>
      <c r="H5272" s="27" t="s">
        <v>35</v>
      </c>
      <c r="I5272" s="27" t="s">
        <v>37</v>
      </c>
      <c r="J5272" s="28" t="s">
        <v>399</v>
      </c>
      <c r="K5272" s="27" t="s">
        <v>37</v>
      </c>
      <c r="L5272" s="27"/>
    </row>
    <row r="5273" customFormat="false" ht="15" hidden="false" customHeight="false" outlineLevel="0" collapsed="false">
      <c r="A5273" s="26" t="s">
        <v>15483</v>
      </c>
      <c r="B5273" s="27" t="s">
        <v>15484</v>
      </c>
      <c r="C5273" s="27" t="s">
        <v>144</v>
      </c>
      <c r="D5273" s="26"/>
      <c r="E5273" s="27"/>
      <c r="F5273" s="27"/>
      <c r="G5273" s="27" t="s">
        <v>11122</v>
      </c>
      <c r="H5273" s="27" t="s">
        <v>35</v>
      </c>
      <c r="I5273" s="27" t="s">
        <v>37</v>
      </c>
      <c r="J5273" s="28" t="s">
        <v>399</v>
      </c>
      <c r="K5273" s="27" t="s">
        <v>37</v>
      </c>
      <c r="L5273" s="27"/>
    </row>
    <row r="5274" customFormat="false" ht="15" hidden="false" customHeight="false" outlineLevel="0" collapsed="false">
      <c r="A5274" s="26" t="s">
        <v>15485</v>
      </c>
      <c r="B5274" s="27" t="s">
        <v>15486</v>
      </c>
      <c r="C5274" s="27" t="s">
        <v>144</v>
      </c>
      <c r="D5274" s="26"/>
      <c r="E5274" s="27"/>
      <c r="F5274" s="27"/>
      <c r="G5274" s="27" t="s">
        <v>11122</v>
      </c>
      <c r="H5274" s="27" t="s">
        <v>35</v>
      </c>
      <c r="I5274" s="27" t="s">
        <v>37</v>
      </c>
      <c r="J5274" s="28" t="s">
        <v>399</v>
      </c>
      <c r="K5274" s="27" t="s">
        <v>37</v>
      </c>
      <c r="L5274" s="27"/>
    </row>
    <row r="5275" customFormat="false" ht="15" hidden="false" customHeight="false" outlineLevel="0" collapsed="false">
      <c r="A5275" s="26" t="s">
        <v>15487</v>
      </c>
      <c r="B5275" s="27" t="s">
        <v>15488</v>
      </c>
      <c r="C5275" s="27" t="s">
        <v>144</v>
      </c>
      <c r="D5275" s="26"/>
      <c r="E5275" s="27"/>
      <c r="F5275" s="27"/>
      <c r="G5275" s="27" t="s">
        <v>11122</v>
      </c>
      <c r="H5275" s="27" t="s">
        <v>35</v>
      </c>
      <c r="I5275" s="27" t="s">
        <v>37</v>
      </c>
      <c r="J5275" s="28" t="s">
        <v>399</v>
      </c>
      <c r="K5275" s="27" t="s">
        <v>37</v>
      </c>
      <c r="L5275" s="27"/>
    </row>
    <row r="5276" customFormat="false" ht="15" hidden="false" customHeight="false" outlineLevel="0" collapsed="false">
      <c r="A5276" s="26" t="s">
        <v>15489</v>
      </c>
      <c r="B5276" s="27" t="s">
        <v>15490</v>
      </c>
      <c r="C5276" s="27" t="s">
        <v>144</v>
      </c>
      <c r="D5276" s="26"/>
      <c r="E5276" s="27"/>
      <c r="F5276" s="27"/>
      <c r="G5276" s="27" t="s">
        <v>11122</v>
      </c>
      <c r="H5276" s="27" t="s">
        <v>35</v>
      </c>
      <c r="I5276" s="27" t="s">
        <v>37</v>
      </c>
      <c r="J5276" s="28" t="s">
        <v>399</v>
      </c>
      <c r="K5276" s="27" t="s">
        <v>37</v>
      </c>
      <c r="L5276" s="27"/>
    </row>
    <row r="5277" customFormat="false" ht="15" hidden="false" customHeight="false" outlineLevel="0" collapsed="false">
      <c r="A5277" s="26" t="s">
        <v>15491</v>
      </c>
      <c r="B5277" s="27" t="s">
        <v>15492</v>
      </c>
      <c r="C5277" s="27" t="s">
        <v>144</v>
      </c>
      <c r="D5277" s="26"/>
      <c r="E5277" s="27"/>
      <c r="F5277" s="27"/>
      <c r="G5277" s="27" t="s">
        <v>11122</v>
      </c>
      <c r="H5277" s="27" t="s">
        <v>35</v>
      </c>
      <c r="I5277" s="27" t="s">
        <v>37</v>
      </c>
      <c r="J5277" s="28" t="s">
        <v>399</v>
      </c>
      <c r="K5277" s="27" t="s">
        <v>37</v>
      </c>
      <c r="L5277" s="27"/>
    </row>
    <row r="5278" customFormat="false" ht="15" hidden="false" customHeight="false" outlineLevel="0" collapsed="false">
      <c r="A5278" s="26" t="s">
        <v>15493</v>
      </c>
      <c r="B5278" s="27" t="s">
        <v>15494</v>
      </c>
      <c r="C5278" s="27" t="s">
        <v>144</v>
      </c>
      <c r="D5278" s="26"/>
      <c r="E5278" s="27"/>
      <c r="F5278" s="27"/>
      <c r="G5278" s="27" t="s">
        <v>11122</v>
      </c>
      <c r="H5278" s="27" t="s">
        <v>35</v>
      </c>
      <c r="I5278" s="27" t="s">
        <v>37</v>
      </c>
      <c r="J5278" s="28" t="s">
        <v>399</v>
      </c>
      <c r="K5278" s="27" t="s">
        <v>37</v>
      </c>
      <c r="L5278" s="27"/>
    </row>
    <row r="5279" customFormat="false" ht="15" hidden="false" customHeight="false" outlineLevel="0" collapsed="false">
      <c r="A5279" s="26" t="s">
        <v>15495</v>
      </c>
      <c r="B5279" s="27" t="s">
        <v>15496</v>
      </c>
      <c r="C5279" s="27" t="s">
        <v>144</v>
      </c>
      <c r="D5279" s="26"/>
      <c r="E5279" s="27"/>
      <c r="F5279" s="27"/>
      <c r="G5279" s="27" t="s">
        <v>11122</v>
      </c>
      <c r="H5279" s="27" t="s">
        <v>35</v>
      </c>
      <c r="I5279" s="27" t="s">
        <v>37</v>
      </c>
      <c r="J5279" s="28" t="s">
        <v>399</v>
      </c>
      <c r="K5279" s="27" t="s">
        <v>37</v>
      </c>
      <c r="L5279" s="27"/>
    </row>
    <row r="5280" customFormat="false" ht="15" hidden="false" customHeight="false" outlineLevel="0" collapsed="false">
      <c r="A5280" s="26" t="s">
        <v>15497</v>
      </c>
      <c r="B5280" s="27" t="s">
        <v>15498</v>
      </c>
      <c r="C5280" s="27" t="s">
        <v>144</v>
      </c>
      <c r="D5280" s="26"/>
      <c r="E5280" s="27"/>
      <c r="F5280" s="27"/>
      <c r="G5280" s="27" t="s">
        <v>11122</v>
      </c>
      <c r="H5280" s="27" t="s">
        <v>35</v>
      </c>
      <c r="I5280" s="27" t="s">
        <v>37</v>
      </c>
      <c r="J5280" s="28" t="s">
        <v>399</v>
      </c>
      <c r="K5280" s="27" t="s">
        <v>37</v>
      </c>
      <c r="L5280" s="27"/>
    </row>
    <row r="5281" customFormat="false" ht="15" hidden="false" customHeight="false" outlineLevel="0" collapsed="false">
      <c r="A5281" s="26" t="s">
        <v>15499</v>
      </c>
      <c r="B5281" s="27" t="s">
        <v>15500</v>
      </c>
      <c r="C5281" s="27" t="s">
        <v>144</v>
      </c>
      <c r="D5281" s="26"/>
      <c r="E5281" s="27"/>
      <c r="F5281" s="27"/>
      <c r="G5281" s="27" t="s">
        <v>11122</v>
      </c>
      <c r="H5281" s="27" t="s">
        <v>35</v>
      </c>
      <c r="I5281" s="27" t="s">
        <v>37</v>
      </c>
      <c r="J5281" s="28" t="s">
        <v>399</v>
      </c>
      <c r="K5281" s="27" t="s">
        <v>37</v>
      </c>
      <c r="L5281" s="27"/>
    </row>
    <row r="5282" customFormat="false" ht="15" hidden="false" customHeight="false" outlineLevel="0" collapsed="false">
      <c r="A5282" s="26" t="s">
        <v>15501</v>
      </c>
      <c r="B5282" s="27" t="s">
        <v>15502</v>
      </c>
      <c r="C5282" s="27" t="s">
        <v>144</v>
      </c>
      <c r="D5282" s="26"/>
      <c r="E5282" s="27"/>
      <c r="F5282" s="27"/>
      <c r="G5282" s="27" t="s">
        <v>11122</v>
      </c>
      <c r="H5282" s="27" t="s">
        <v>35</v>
      </c>
      <c r="I5282" s="27" t="s">
        <v>37</v>
      </c>
      <c r="J5282" s="28" t="s">
        <v>399</v>
      </c>
      <c r="K5282" s="27" t="s">
        <v>37</v>
      </c>
      <c r="L5282" s="27"/>
    </row>
    <row r="5283" customFormat="false" ht="15" hidden="false" customHeight="false" outlineLevel="0" collapsed="false">
      <c r="A5283" s="26" t="s">
        <v>15503</v>
      </c>
      <c r="B5283" s="27" t="s">
        <v>15504</v>
      </c>
      <c r="C5283" s="27" t="s">
        <v>144</v>
      </c>
      <c r="D5283" s="26"/>
      <c r="E5283" s="27"/>
      <c r="F5283" s="27"/>
      <c r="G5283" s="27" t="s">
        <v>11122</v>
      </c>
      <c r="H5283" s="27" t="s">
        <v>35</v>
      </c>
      <c r="I5283" s="27" t="s">
        <v>37</v>
      </c>
      <c r="J5283" s="28" t="s">
        <v>399</v>
      </c>
      <c r="K5283" s="27" t="s">
        <v>37</v>
      </c>
      <c r="L5283" s="27"/>
    </row>
    <row r="5284" customFormat="false" ht="15" hidden="false" customHeight="false" outlineLevel="0" collapsed="false">
      <c r="A5284" s="26" t="s">
        <v>15505</v>
      </c>
      <c r="B5284" s="27" t="s">
        <v>15506</v>
      </c>
      <c r="C5284" s="27" t="s">
        <v>144</v>
      </c>
      <c r="D5284" s="26"/>
      <c r="E5284" s="27"/>
      <c r="F5284" s="27"/>
      <c r="G5284" s="27" t="s">
        <v>11122</v>
      </c>
      <c r="H5284" s="27" t="s">
        <v>35</v>
      </c>
      <c r="I5284" s="27" t="s">
        <v>37</v>
      </c>
      <c r="J5284" s="28" t="s">
        <v>399</v>
      </c>
      <c r="K5284" s="27" t="s">
        <v>37</v>
      </c>
      <c r="L5284" s="27"/>
    </row>
    <row r="5285" customFormat="false" ht="15" hidden="false" customHeight="false" outlineLevel="0" collapsed="false">
      <c r="A5285" s="26" t="s">
        <v>15507</v>
      </c>
      <c r="B5285" s="27" t="s">
        <v>15508</v>
      </c>
      <c r="C5285" s="27" t="s">
        <v>144</v>
      </c>
      <c r="D5285" s="26"/>
      <c r="E5285" s="27"/>
      <c r="F5285" s="27"/>
      <c r="G5285" s="27" t="s">
        <v>11122</v>
      </c>
      <c r="H5285" s="27" t="s">
        <v>35</v>
      </c>
      <c r="I5285" s="27" t="s">
        <v>37</v>
      </c>
      <c r="J5285" s="28" t="s">
        <v>399</v>
      </c>
      <c r="K5285" s="27" t="s">
        <v>37</v>
      </c>
      <c r="L5285" s="27"/>
    </row>
    <row r="5286" customFormat="false" ht="15" hidden="false" customHeight="false" outlineLevel="0" collapsed="false">
      <c r="A5286" s="26" t="s">
        <v>15509</v>
      </c>
      <c r="B5286" s="27" t="s">
        <v>15510</v>
      </c>
      <c r="C5286" s="27" t="s">
        <v>144</v>
      </c>
      <c r="D5286" s="26"/>
      <c r="E5286" s="27"/>
      <c r="F5286" s="27"/>
      <c r="G5286" s="27" t="s">
        <v>11122</v>
      </c>
      <c r="H5286" s="27" t="s">
        <v>35</v>
      </c>
      <c r="I5286" s="27" t="s">
        <v>37</v>
      </c>
      <c r="J5286" s="28" t="s">
        <v>399</v>
      </c>
      <c r="K5286" s="27" t="s">
        <v>37</v>
      </c>
      <c r="L5286" s="27"/>
    </row>
    <row r="5287" customFormat="false" ht="15" hidden="false" customHeight="false" outlineLevel="0" collapsed="false">
      <c r="A5287" s="26" t="s">
        <v>15511</v>
      </c>
      <c r="B5287" s="27" t="s">
        <v>15512</v>
      </c>
      <c r="C5287" s="27" t="s">
        <v>144</v>
      </c>
      <c r="D5287" s="26"/>
      <c r="E5287" s="27"/>
      <c r="F5287" s="27"/>
      <c r="G5287" s="27" t="s">
        <v>11122</v>
      </c>
      <c r="H5287" s="27" t="s">
        <v>35</v>
      </c>
      <c r="I5287" s="27" t="s">
        <v>37</v>
      </c>
      <c r="J5287" s="28" t="s">
        <v>399</v>
      </c>
      <c r="K5287" s="27" t="s">
        <v>37</v>
      </c>
      <c r="L5287" s="27"/>
    </row>
    <row r="5288" customFormat="false" ht="15" hidden="false" customHeight="false" outlineLevel="0" collapsed="false">
      <c r="A5288" s="26" t="s">
        <v>15513</v>
      </c>
      <c r="B5288" s="27" t="s">
        <v>15514</v>
      </c>
      <c r="C5288" s="27" t="s">
        <v>144</v>
      </c>
      <c r="D5288" s="26"/>
      <c r="E5288" s="27"/>
      <c r="F5288" s="27"/>
      <c r="G5288" s="27" t="s">
        <v>11122</v>
      </c>
      <c r="H5288" s="27" t="s">
        <v>35</v>
      </c>
      <c r="I5288" s="27" t="s">
        <v>37</v>
      </c>
      <c r="J5288" s="28" t="s">
        <v>399</v>
      </c>
      <c r="K5288" s="27" t="s">
        <v>37</v>
      </c>
      <c r="L5288" s="27"/>
    </row>
    <row r="5289" customFormat="false" ht="15" hidden="false" customHeight="false" outlineLevel="0" collapsed="false">
      <c r="A5289" s="26" t="s">
        <v>15515</v>
      </c>
      <c r="B5289" s="27" t="s">
        <v>15516</v>
      </c>
      <c r="C5289" s="27" t="s">
        <v>144</v>
      </c>
      <c r="D5289" s="26"/>
      <c r="E5289" s="27"/>
      <c r="F5289" s="27"/>
      <c r="G5289" s="27" t="s">
        <v>11122</v>
      </c>
      <c r="H5289" s="27" t="s">
        <v>35</v>
      </c>
      <c r="I5289" s="27" t="s">
        <v>37</v>
      </c>
      <c r="J5289" s="28" t="s">
        <v>399</v>
      </c>
      <c r="K5289" s="27" t="s">
        <v>37</v>
      </c>
      <c r="L5289" s="27"/>
    </row>
    <row r="5290" customFormat="false" ht="15" hidden="false" customHeight="false" outlineLevel="0" collapsed="false">
      <c r="A5290" s="26" t="s">
        <v>15517</v>
      </c>
      <c r="B5290" s="27" t="s">
        <v>15518</v>
      </c>
      <c r="C5290" s="27" t="s">
        <v>144</v>
      </c>
      <c r="D5290" s="26"/>
      <c r="E5290" s="27"/>
      <c r="F5290" s="27"/>
      <c r="G5290" s="27" t="s">
        <v>11122</v>
      </c>
      <c r="H5290" s="27" t="s">
        <v>35</v>
      </c>
      <c r="I5290" s="27" t="s">
        <v>37</v>
      </c>
      <c r="J5290" s="28" t="s">
        <v>399</v>
      </c>
      <c r="K5290" s="27" t="s">
        <v>37</v>
      </c>
      <c r="L5290" s="27"/>
    </row>
    <row r="5291" customFormat="false" ht="15" hidden="false" customHeight="false" outlineLevel="0" collapsed="false">
      <c r="A5291" s="26" t="s">
        <v>15519</v>
      </c>
      <c r="B5291" s="27" t="s">
        <v>15520</v>
      </c>
      <c r="C5291" s="27" t="s">
        <v>144</v>
      </c>
      <c r="D5291" s="26"/>
      <c r="E5291" s="27"/>
      <c r="F5291" s="27"/>
      <c r="G5291" s="27" t="s">
        <v>11122</v>
      </c>
      <c r="H5291" s="27" t="s">
        <v>35</v>
      </c>
      <c r="I5291" s="27" t="s">
        <v>37</v>
      </c>
      <c r="J5291" s="28" t="s">
        <v>399</v>
      </c>
      <c r="K5291" s="27" t="s">
        <v>37</v>
      </c>
      <c r="L5291" s="27"/>
    </row>
    <row r="5292" customFormat="false" ht="15" hidden="false" customHeight="false" outlineLevel="0" collapsed="false">
      <c r="A5292" s="26" t="s">
        <v>15521</v>
      </c>
      <c r="B5292" s="27" t="s">
        <v>15522</v>
      </c>
      <c r="C5292" s="27" t="s">
        <v>144</v>
      </c>
      <c r="D5292" s="26"/>
      <c r="E5292" s="27"/>
      <c r="F5292" s="27"/>
      <c r="G5292" s="27" t="s">
        <v>11122</v>
      </c>
      <c r="H5292" s="27" t="s">
        <v>35</v>
      </c>
      <c r="I5292" s="27" t="s">
        <v>37</v>
      </c>
      <c r="J5292" s="28" t="s">
        <v>399</v>
      </c>
      <c r="K5292" s="27" t="s">
        <v>37</v>
      </c>
      <c r="L5292" s="27"/>
    </row>
    <row r="5293" customFormat="false" ht="15" hidden="false" customHeight="false" outlineLevel="0" collapsed="false">
      <c r="A5293" s="26" t="s">
        <v>15523</v>
      </c>
      <c r="B5293" s="27" t="s">
        <v>15524</v>
      </c>
      <c r="C5293" s="27" t="s">
        <v>144</v>
      </c>
      <c r="D5293" s="26"/>
      <c r="E5293" s="27"/>
      <c r="F5293" s="27"/>
      <c r="G5293" s="27" t="s">
        <v>11122</v>
      </c>
      <c r="H5293" s="27" t="s">
        <v>35</v>
      </c>
      <c r="I5293" s="27" t="s">
        <v>37</v>
      </c>
      <c r="J5293" s="28" t="s">
        <v>399</v>
      </c>
      <c r="K5293" s="27" t="s">
        <v>37</v>
      </c>
      <c r="L5293" s="27"/>
    </row>
    <row r="5294" customFormat="false" ht="15" hidden="false" customHeight="false" outlineLevel="0" collapsed="false">
      <c r="A5294" s="26" t="s">
        <v>15525</v>
      </c>
      <c r="B5294" s="27" t="s">
        <v>15526</v>
      </c>
      <c r="C5294" s="27" t="s">
        <v>144</v>
      </c>
      <c r="D5294" s="26"/>
      <c r="E5294" s="27"/>
      <c r="F5294" s="27"/>
      <c r="G5294" s="27" t="s">
        <v>11122</v>
      </c>
      <c r="H5294" s="27" t="s">
        <v>35</v>
      </c>
      <c r="I5294" s="27" t="s">
        <v>37</v>
      </c>
      <c r="J5294" s="28" t="s">
        <v>399</v>
      </c>
      <c r="K5294" s="27" t="s">
        <v>37</v>
      </c>
      <c r="L5294" s="27"/>
    </row>
    <row r="5295" customFormat="false" ht="15" hidden="false" customHeight="false" outlineLevel="0" collapsed="false">
      <c r="A5295" s="26" t="s">
        <v>15527</v>
      </c>
      <c r="B5295" s="27" t="s">
        <v>15528</v>
      </c>
      <c r="C5295" s="27" t="s">
        <v>144</v>
      </c>
      <c r="D5295" s="26"/>
      <c r="E5295" s="27"/>
      <c r="F5295" s="27"/>
      <c r="G5295" s="27" t="s">
        <v>11122</v>
      </c>
      <c r="H5295" s="27" t="s">
        <v>35</v>
      </c>
      <c r="I5295" s="27" t="s">
        <v>37</v>
      </c>
      <c r="J5295" s="28" t="s">
        <v>399</v>
      </c>
      <c r="K5295" s="27" t="s">
        <v>37</v>
      </c>
      <c r="L5295" s="27"/>
    </row>
    <row r="5296" customFormat="false" ht="15" hidden="false" customHeight="false" outlineLevel="0" collapsed="false">
      <c r="A5296" s="26" t="s">
        <v>15529</v>
      </c>
      <c r="B5296" s="27" t="s">
        <v>15530</v>
      </c>
      <c r="C5296" s="27" t="s">
        <v>144</v>
      </c>
      <c r="D5296" s="26"/>
      <c r="E5296" s="27"/>
      <c r="F5296" s="27"/>
      <c r="G5296" s="27" t="s">
        <v>11122</v>
      </c>
      <c r="H5296" s="27" t="s">
        <v>35</v>
      </c>
      <c r="I5296" s="27" t="s">
        <v>37</v>
      </c>
      <c r="J5296" s="28" t="s">
        <v>399</v>
      </c>
      <c r="K5296" s="27" t="s">
        <v>37</v>
      </c>
      <c r="L5296" s="27"/>
    </row>
    <row r="5297" customFormat="false" ht="15" hidden="false" customHeight="false" outlineLevel="0" collapsed="false">
      <c r="A5297" s="26" t="s">
        <v>15531</v>
      </c>
      <c r="B5297" s="27" t="s">
        <v>15532</v>
      </c>
      <c r="C5297" s="27" t="s">
        <v>144</v>
      </c>
      <c r="D5297" s="26"/>
      <c r="E5297" s="27"/>
      <c r="F5297" s="27"/>
      <c r="G5297" s="27" t="s">
        <v>11122</v>
      </c>
      <c r="H5297" s="27" t="s">
        <v>35</v>
      </c>
      <c r="I5297" s="27" t="s">
        <v>37</v>
      </c>
      <c r="J5297" s="28" t="s">
        <v>399</v>
      </c>
      <c r="K5297" s="27" t="s">
        <v>37</v>
      </c>
      <c r="L5297" s="27"/>
    </row>
    <row r="5298" customFormat="false" ht="15" hidden="false" customHeight="false" outlineLevel="0" collapsed="false">
      <c r="A5298" s="26" t="s">
        <v>15533</v>
      </c>
      <c r="B5298" s="27" t="s">
        <v>15534</v>
      </c>
      <c r="C5298" s="27" t="s">
        <v>144</v>
      </c>
      <c r="D5298" s="26"/>
      <c r="E5298" s="27"/>
      <c r="F5298" s="27"/>
      <c r="G5298" s="27" t="s">
        <v>11122</v>
      </c>
      <c r="H5298" s="27" t="s">
        <v>35</v>
      </c>
      <c r="I5298" s="27" t="s">
        <v>37</v>
      </c>
      <c r="J5298" s="28" t="s">
        <v>399</v>
      </c>
      <c r="K5298" s="27" t="s">
        <v>37</v>
      </c>
      <c r="L5298" s="27"/>
    </row>
    <row r="5299" customFormat="false" ht="15" hidden="false" customHeight="false" outlineLevel="0" collapsed="false">
      <c r="A5299" s="26" t="s">
        <v>15535</v>
      </c>
      <c r="B5299" s="27" t="s">
        <v>15536</v>
      </c>
      <c r="C5299" s="27" t="s">
        <v>144</v>
      </c>
      <c r="D5299" s="26"/>
      <c r="E5299" s="27"/>
      <c r="F5299" s="27"/>
      <c r="G5299" s="27" t="s">
        <v>11122</v>
      </c>
      <c r="H5299" s="27" t="s">
        <v>35</v>
      </c>
      <c r="I5299" s="27" t="s">
        <v>37</v>
      </c>
      <c r="J5299" s="28" t="s">
        <v>399</v>
      </c>
      <c r="K5299" s="27" t="s">
        <v>37</v>
      </c>
      <c r="L5299" s="27"/>
    </row>
    <row r="5300" customFormat="false" ht="15" hidden="false" customHeight="false" outlineLevel="0" collapsed="false">
      <c r="A5300" s="26" t="s">
        <v>15537</v>
      </c>
      <c r="B5300" s="27" t="s">
        <v>15538</v>
      </c>
      <c r="C5300" s="27" t="s">
        <v>144</v>
      </c>
      <c r="D5300" s="26"/>
      <c r="E5300" s="27"/>
      <c r="F5300" s="27"/>
      <c r="G5300" s="27" t="s">
        <v>11122</v>
      </c>
      <c r="H5300" s="27" t="s">
        <v>35</v>
      </c>
      <c r="I5300" s="27" t="s">
        <v>37</v>
      </c>
      <c r="J5300" s="28" t="s">
        <v>399</v>
      </c>
      <c r="K5300" s="27" t="s">
        <v>37</v>
      </c>
      <c r="L5300" s="27"/>
    </row>
    <row r="5301" customFormat="false" ht="15" hidden="false" customHeight="false" outlineLevel="0" collapsed="false">
      <c r="A5301" s="26" t="s">
        <v>15539</v>
      </c>
      <c r="B5301" s="27" t="s">
        <v>15540</v>
      </c>
      <c r="C5301" s="27" t="s">
        <v>144</v>
      </c>
      <c r="D5301" s="26"/>
      <c r="E5301" s="27"/>
      <c r="F5301" s="27"/>
      <c r="G5301" s="27" t="s">
        <v>11122</v>
      </c>
      <c r="H5301" s="27" t="s">
        <v>35</v>
      </c>
      <c r="I5301" s="27" t="s">
        <v>37</v>
      </c>
      <c r="J5301" s="28" t="s">
        <v>399</v>
      </c>
      <c r="K5301" s="27" t="s">
        <v>37</v>
      </c>
      <c r="L5301" s="27"/>
    </row>
    <row r="5302" customFormat="false" ht="15" hidden="false" customHeight="false" outlineLevel="0" collapsed="false">
      <c r="A5302" s="26" t="s">
        <v>15541</v>
      </c>
      <c r="B5302" s="27" t="s">
        <v>15542</v>
      </c>
      <c r="C5302" s="27" t="s">
        <v>144</v>
      </c>
      <c r="D5302" s="26"/>
      <c r="E5302" s="27"/>
      <c r="F5302" s="27"/>
      <c r="G5302" s="27" t="s">
        <v>11122</v>
      </c>
      <c r="H5302" s="27" t="s">
        <v>35</v>
      </c>
      <c r="I5302" s="27" t="s">
        <v>37</v>
      </c>
      <c r="J5302" s="28" t="s">
        <v>399</v>
      </c>
      <c r="K5302" s="27" t="s">
        <v>37</v>
      </c>
      <c r="L5302" s="27"/>
    </row>
    <row r="5303" customFormat="false" ht="15" hidden="false" customHeight="false" outlineLevel="0" collapsed="false">
      <c r="A5303" s="26" t="s">
        <v>15543</v>
      </c>
      <c r="B5303" s="27" t="s">
        <v>15544</v>
      </c>
      <c r="C5303" s="27" t="s">
        <v>144</v>
      </c>
      <c r="D5303" s="26"/>
      <c r="E5303" s="27"/>
      <c r="F5303" s="27"/>
      <c r="G5303" s="27" t="s">
        <v>11122</v>
      </c>
      <c r="H5303" s="27" t="s">
        <v>35</v>
      </c>
      <c r="I5303" s="27" t="s">
        <v>37</v>
      </c>
      <c r="J5303" s="28" t="s">
        <v>399</v>
      </c>
      <c r="K5303" s="27" t="s">
        <v>37</v>
      </c>
      <c r="L5303" s="27"/>
    </row>
    <row r="5304" customFormat="false" ht="15" hidden="false" customHeight="false" outlineLevel="0" collapsed="false">
      <c r="A5304" s="26" t="s">
        <v>15545</v>
      </c>
      <c r="B5304" s="27" t="s">
        <v>15546</v>
      </c>
      <c r="C5304" s="27" t="s">
        <v>144</v>
      </c>
      <c r="D5304" s="26"/>
      <c r="E5304" s="27"/>
      <c r="F5304" s="27"/>
      <c r="G5304" s="27" t="s">
        <v>11122</v>
      </c>
      <c r="H5304" s="27" t="s">
        <v>35</v>
      </c>
      <c r="I5304" s="27" t="s">
        <v>37</v>
      </c>
      <c r="J5304" s="28" t="s">
        <v>399</v>
      </c>
      <c r="K5304" s="27" t="s">
        <v>37</v>
      </c>
      <c r="L5304" s="27"/>
    </row>
    <row r="5305" customFormat="false" ht="15" hidden="false" customHeight="false" outlineLevel="0" collapsed="false">
      <c r="A5305" s="26" t="s">
        <v>15547</v>
      </c>
      <c r="B5305" s="27" t="s">
        <v>15548</v>
      </c>
      <c r="C5305" s="27" t="s">
        <v>144</v>
      </c>
      <c r="D5305" s="26"/>
      <c r="E5305" s="27"/>
      <c r="F5305" s="27"/>
      <c r="G5305" s="27" t="s">
        <v>11122</v>
      </c>
      <c r="H5305" s="27" t="s">
        <v>35</v>
      </c>
      <c r="I5305" s="27" t="s">
        <v>37</v>
      </c>
      <c r="J5305" s="28" t="s">
        <v>399</v>
      </c>
      <c r="K5305" s="27" t="s">
        <v>37</v>
      </c>
      <c r="L5305" s="27"/>
    </row>
    <row r="5306" customFormat="false" ht="15" hidden="false" customHeight="false" outlineLevel="0" collapsed="false">
      <c r="A5306" s="26" t="s">
        <v>15549</v>
      </c>
      <c r="B5306" s="27" t="s">
        <v>15550</v>
      </c>
      <c r="C5306" s="27" t="s">
        <v>144</v>
      </c>
      <c r="D5306" s="26"/>
      <c r="E5306" s="27"/>
      <c r="F5306" s="27"/>
      <c r="G5306" s="27" t="s">
        <v>11122</v>
      </c>
      <c r="H5306" s="27" t="s">
        <v>35</v>
      </c>
      <c r="I5306" s="27" t="s">
        <v>37</v>
      </c>
      <c r="J5306" s="28" t="s">
        <v>399</v>
      </c>
      <c r="K5306" s="27" t="s">
        <v>37</v>
      </c>
      <c r="L5306" s="27"/>
    </row>
    <row r="5307" customFormat="false" ht="15" hidden="false" customHeight="false" outlineLevel="0" collapsed="false">
      <c r="A5307" s="26" t="s">
        <v>15551</v>
      </c>
      <c r="B5307" s="27" t="s">
        <v>15552</v>
      </c>
      <c r="C5307" s="27" t="s">
        <v>144</v>
      </c>
      <c r="D5307" s="26"/>
      <c r="E5307" s="27"/>
      <c r="F5307" s="27"/>
      <c r="G5307" s="27" t="s">
        <v>11122</v>
      </c>
      <c r="H5307" s="27" t="s">
        <v>35</v>
      </c>
      <c r="I5307" s="27" t="s">
        <v>37</v>
      </c>
      <c r="J5307" s="28" t="s">
        <v>399</v>
      </c>
      <c r="K5307" s="27" t="s">
        <v>37</v>
      </c>
      <c r="L5307" s="27"/>
    </row>
    <row r="5308" customFormat="false" ht="15" hidden="false" customHeight="false" outlineLevel="0" collapsed="false">
      <c r="A5308" s="26" t="s">
        <v>15553</v>
      </c>
      <c r="B5308" s="27" t="s">
        <v>15554</v>
      </c>
      <c r="C5308" s="27" t="s">
        <v>144</v>
      </c>
      <c r="D5308" s="26"/>
      <c r="E5308" s="27"/>
      <c r="F5308" s="27"/>
      <c r="G5308" s="27" t="s">
        <v>11122</v>
      </c>
      <c r="H5308" s="27" t="s">
        <v>35</v>
      </c>
      <c r="I5308" s="27" t="s">
        <v>37</v>
      </c>
      <c r="J5308" s="28" t="s">
        <v>399</v>
      </c>
      <c r="K5308" s="27" t="s">
        <v>37</v>
      </c>
      <c r="L5308" s="27"/>
    </row>
    <row r="5309" customFormat="false" ht="15" hidden="false" customHeight="false" outlineLevel="0" collapsed="false">
      <c r="A5309" s="26" t="s">
        <v>15555</v>
      </c>
      <c r="B5309" s="27" t="s">
        <v>15556</v>
      </c>
      <c r="C5309" s="27" t="s">
        <v>144</v>
      </c>
      <c r="D5309" s="26"/>
      <c r="E5309" s="27"/>
      <c r="F5309" s="27"/>
      <c r="G5309" s="27" t="s">
        <v>11122</v>
      </c>
      <c r="H5309" s="27" t="s">
        <v>35</v>
      </c>
      <c r="I5309" s="27" t="s">
        <v>37</v>
      </c>
      <c r="J5309" s="28" t="s">
        <v>399</v>
      </c>
      <c r="K5309" s="27" t="s">
        <v>37</v>
      </c>
      <c r="L5309" s="27"/>
    </row>
    <row r="5310" customFormat="false" ht="15" hidden="false" customHeight="false" outlineLevel="0" collapsed="false">
      <c r="A5310" s="26" t="s">
        <v>15557</v>
      </c>
      <c r="B5310" s="27" t="s">
        <v>15558</v>
      </c>
      <c r="C5310" s="27" t="s">
        <v>144</v>
      </c>
      <c r="D5310" s="26"/>
      <c r="E5310" s="27"/>
      <c r="F5310" s="27"/>
      <c r="G5310" s="27" t="s">
        <v>11122</v>
      </c>
      <c r="H5310" s="27" t="s">
        <v>35</v>
      </c>
      <c r="I5310" s="27" t="s">
        <v>37</v>
      </c>
      <c r="J5310" s="28" t="s">
        <v>399</v>
      </c>
      <c r="K5310" s="27" t="s">
        <v>37</v>
      </c>
      <c r="L5310" s="27"/>
    </row>
    <row r="5311" customFormat="false" ht="15" hidden="false" customHeight="false" outlineLevel="0" collapsed="false">
      <c r="A5311" s="26" t="s">
        <v>15559</v>
      </c>
      <c r="B5311" s="27" t="s">
        <v>15560</v>
      </c>
      <c r="C5311" s="27" t="s">
        <v>144</v>
      </c>
      <c r="D5311" s="26"/>
      <c r="E5311" s="27"/>
      <c r="F5311" s="27"/>
      <c r="G5311" s="27" t="s">
        <v>11122</v>
      </c>
      <c r="H5311" s="27" t="s">
        <v>35</v>
      </c>
      <c r="I5311" s="27" t="s">
        <v>37</v>
      </c>
      <c r="J5311" s="28" t="s">
        <v>399</v>
      </c>
      <c r="K5311" s="27" t="s">
        <v>37</v>
      </c>
      <c r="L5311" s="27"/>
    </row>
    <row r="5312" customFormat="false" ht="15" hidden="false" customHeight="false" outlineLevel="0" collapsed="false">
      <c r="A5312" s="26" t="s">
        <v>15561</v>
      </c>
      <c r="B5312" s="27" t="s">
        <v>15562</v>
      </c>
      <c r="C5312" s="27" t="s">
        <v>144</v>
      </c>
      <c r="D5312" s="26"/>
      <c r="E5312" s="27"/>
      <c r="F5312" s="27"/>
      <c r="G5312" s="27" t="s">
        <v>11122</v>
      </c>
      <c r="H5312" s="27" t="s">
        <v>35</v>
      </c>
      <c r="I5312" s="27" t="s">
        <v>37</v>
      </c>
      <c r="J5312" s="28" t="s">
        <v>399</v>
      </c>
      <c r="K5312" s="27" t="s">
        <v>37</v>
      </c>
      <c r="L5312" s="27"/>
    </row>
    <row r="5313" customFormat="false" ht="15" hidden="false" customHeight="false" outlineLevel="0" collapsed="false">
      <c r="A5313" s="26" t="s">
        <v>15563</v>
      </c>
      <c r="B5313" s="27" t="s">
        <v>15564</v>
      </c>
      <c r="C5313" s="27" t="s">
        <v>144</v>
      </c>
      <c r="D5313" s="26"/>
      <c r="E5313" s="27"/>
      <c r="F5313" s="27"/>
      <c r="G5313" s="27" t="s">
        <v>11122</v>
      </c>
      <c r="H5313" s="27" t="s">
        <v>35</v>
      </c>
      <c r="I5313" s="27" t="s">
        <v>37</v>
      </c>
      <c r="J5313" s="28" t="s">
        <v>399</v>
      </c>
      <c r="K5313" s="27" t="s">
        <v>37</v>
      </c>
      <c r="L5313" s="27"/>
    </row>
    <row r="5314" customFormat="false" ht="15" hidden="false" customHeight="false" outlineLevel="0" collapsed="false">
      <c r="A5314" s="26" t="s">
        <v>15565</v>
      </c>
      <c r="B5314" s="27" t="s">
        <v>15566</v>
      </c>
      <c r="C5314" s="27" t="s">
        <v>144</v>
      </c>
      <c r="D5314" s="26"/>
      <c r="E5314" s="27"/>
      <c r="F5314" s="27"/>
      <c r="G5314" s="27" t="s">
        <v>11122</v>
      </c>
      <c r="H5314" s="27" t="s">
        <v>35</v>
      </c>
      <c r="I5314" s="27" t="s">
        <v>37</v>
      </c>
      <c r="J5314" s="28" t="s">
        <v>399</v>
      </c>
      <c r="K5314" s="27" t="s">
        <v>37</v>
      </c>
      <c r="L5314" s="27"/>
    </row>
    <row r="5315" customFormat="false" ht="15" hidden="false" customHeight="false" outlineLevel="0" collapsed="false">
      <c r="A5315" s="26" t="s">
        <v>15567</v>
      </c>
      <c r="B5315" s="27" t="s">
        <v>15568</v>
      </c>
      <c r="C5315" s="27" t="s">
        <v>144</v>
      </c>
      <c r="D5315" s="26"/>
      <c r="E5315" s="27"/>
      <c r="F5315" s="27"/>
      <c r="G5315" s="27" t="s">
        <v>11122</v>
      </c>
      <c r="H5315" s="27" t="s">
        <v>35</v>
      </c>
      <c r="I5315" s="27" t="s">
        <v>37</v>
      </c>
      <c r="J5315" s="28" t="s">
        <v>399</v>
      </c>
      <c r="K5315" s="27" t="s">
        <v>37</v>
      </c>
      <c r="L5315" s="27"/>
    </row>
    <row r="5316" customFormat="false" ht="15" hidden="false" customHeight="false" outlineLevel="0" collapsed="false">
      <c r="A5316" s="26" t="s">
        <v>15569</v>
      </c>
      <c r="B5316" s="27" t="s">
        <v>15570</v>
      </c>
      <c r="C5316" s="27" t="s">
        <v>144</v>
      </c>
      <c r="D5316" s="26"/>
      <c r="E5316" s="27"/>
      <c r="F5316" s="27"/>
      <c r="G5316" s="27" t="s">
        <v>11122</v>
      </c>
      <c r="H5316" s="27" t="s">
        <v>35</v>
      </c>
      <c r="I5316" s="27" t="s">
        <v>37</v>
      </c>
      <c r="J5316" s="28" t="s">
        <v>399</v>
      </c>
      <c r="K5316" s="27" t="s">
        <v>37</v>
      </c>
      <c r="L5316" s="27"/>
    </row>
    <row r="5317" customFormat="false" ht="15" hidden="false" customHeight="false" outlineLevel="0" collapsed="false">
      <c r="A5317" s="26" t="s">
        <v>15571</v>
      </c>
      <c r="B5317" s="27" t="s">
        <v>15572</v>
      </c>
      <c r="C5317" s="27" t="s">
        <v>144</v>
      </c>
      <c r="D5317" s="26"/>
      <c r="E5317" s="27"/>
      <c r="F5317" s="27"/>
      <c r="G5317" s="27" t="s">
        <v>11122</v>
      </c>
      <c r="H5317" s="27" t="s">
        <v>35</v>
      </c>
      <c r="I5317" s="27" t="s">
        <v>37</v>
      </c>
      <c r="J5317" s="28" t="s">
        <v>399</v>
      </c>
      <c r="K5317" s="27" t="s">
        <v>37</v>
      </c>
      <c r="L5317" s="27"/>
    </row>
    <row r="5318" customFormat="false" ht="15" hidden="false" customHeight="false" outlineLevel="0" collapsed="false">
      <c r="A5318" s="26" t="s">
        <v>15573</v>
      </c>
      <c r="B5318" s="27" t="s">
        <v>15574</v>
      </c>
      <c r="C5318" s="27" t="s">
        <v>144</v>
      </c>
      <c r="D5318" s="26"/>
      <c r="E5318" s="27"/>
      <c r="F5318" s="27"/>
      <c r="G5318" s="27" t="s">
        <v>11122</v>
      </c>
      <c r="H5318" s="27" t="s">
        <v>35</v>
      </c>
      <c r="I5318" s="27" t="s">
        <v>37</v>
      </c>
      <c r="J5318" s="28" t="s">
        <v>399</v>
      </c>
      <c r="K5318" s="27" t="s">
        <v>37</v>
      </c>
      <c r="L5318" s="27"/>
    </row>
    <row r="5319" customFormat="false" ht="15" hidden="false" customHeight="false" outlineLevel="0" collapsed="false">
      <c r="A5319" s="26" t="s">
        <v>15575</v>
      </c>
      <c r="B5319" s="27" t="s">
        <v>15576</v>
      </c>
      <c r="C5319" s="27" t="s">
        <v>144</v>
      </c>
      <c r="D5319" s="26"/>
      <c r="E5319" s="27"/>
      <c r="F5319" s="27"/>
      <c r="G5319" s="27" t="s">
        <v>11122</v>
      </c>
      <c r="H5319" s="27" t="s">
        <v>35</v>
      </c>
      <c r="I5319" s="27" t="s">
        <v>37</v>
      </c>
      <c r="J5319" s="28" t="s">
        <v>399</v>
      </c>
      <c r="K5319" s="27" t="s">
        <v>37</v>
      </c>
      <c r="L5319" s="27"/>
    </row>
    <row r="5320" customFormat="false" ht="15" hidden="false" customHeight="false" outlineLevel="0" collapsed="false">
      <c r="A5320" s="26" t="s">
        <v>15577</v>
      </c>
      <c r="B5320" s="27" t="s">
        <v>15578</v>
      </c>
      <c r="C5320" s="27" t="s">
        <v>144</v>
      </c>
      <c r="D5320" s="26"/>
      <c r="E5320" s="27"/>
      <c r="F5320" s="27"/>
      <c r="G5320" s="27" t="s">
        <v>11122</v>
      </c>
      <c r="H5320" s="27" t="s">
        <v>35</v>
      </c>
      <c r="I5320" s="27" t="s">
        <v>37</v>
      </c>
      <c r="J5320" s="28" t="s">
        <v>399</v>
      </c>
      <c r="K5320" s="27" t="s">
        <v>37</v>
      </c>
      <c r="L5320" s="27"/>
    </row>
    <row r="5321" customFormat="false" ht="15" hidden="false" customHeight="false" outlineLevel="0" collapsed="false">
      <c r="A5321" s="26" t="s">
        <v>15579</v>
      </c>
      <c r="B5321" s="27" t="s">
        <v>15580</v>
      </c>
      <c r="C5321" s="27" t="s">
        <v>144</v>
      </c>
      <c r="D5321" s="26"/>
      <c r="E5321" s="27"/>
      <c r="F5321" s="27"/>
      <c r="G5321" s="27" t="s">
        <v>11122</v>
      </c>
      <c r="H5321" s="27" t="s">
        <v>35</v>
      </c>
      <c r="I5321" s="27" t="s">
        <v>37</v>
      </c>
      <c r="J5321" s="28" t="s">
        <v>399</v>
      </c>
      <c r="K5321" s="27" t="s">
        <v>37</v>
      </c>
      <c r="L5321" s="27"/>
    </row>
    <row r="5322" customFormat="false" ht="15" hidden="false" customHeight="false" outlineLevel="0" collapsed="false">
      <c r="A5322" s="26" t="s">
        <v>15581</v>
      </c>
      <c r="B5322" s="27" t="s">
        <v>15582</v>
      </c>
      <c r="C5322" s="27" t="s">
        <v>144</v>
      </c>
      <c r="D5322" s="26"/>
      <c r="E5322" s="27"/>
      <c r="F5322" s="27"/>
      <c r="G5322" s="27" t="s">
        <v>11122</v>
      </c>
      <c r="H5322" s="27" t="s">
        <v>35</v>
      </c>
      <c r="I5322" s="27" t="s">
        <v>37</v>
      </c>
      <c r="J5322" s="28" t="s">
        <v>399</v>
      </c>
      <c r="K5322" s="27" t="s">
        <v>37</v>
      </c>
      <c r="L5322" s="27"/>
    </row>
    <row r="5323" customFormat="false" ht="15" hidden="false" customHeight="false" outlineLevel="0" collapsed="false">
      <c r="A5323" s="26" t="s">
        <v>15583</v>
      </c>
      <c r="B5323" s="27" t="s">
        <v>15584</v>
      </c>
      <c r="C5323" s="27" t="s">
        <v>144</v>
      </c>
      <c r="D5323" s="26"/>
      <c r="E5323" s="27"/>
      <c r="F5323" s="27"/>
      <c r="G5323" s="27" t="s">
        <v>11122</v>
      </c>
      <c r="H5323" s="27" t="s">
        <v>35</v>
      </c>
      <c r="I5323" s="27" t="s">
        <v>37</v>
      </c>
      <c r="J5323" s="28" t="s">
        <v>399</v>
      </c>
      <c r="K5323" s="27" t="s">
        <v>37</v>
      </c>
      <c r="L5323" s="27"/>
    </row>
    <row r="5324" customFormat="false" ht="15" hidden="false" customHeight="false" outlineLevel="0" collapsed="false">
      <c r="A5324" s="26" t="s">
        <v>15585</v>
      </c>
      <c r="B5324" s="27" t="s">
        <v>15586</v>
      </c>
      <c r="C5324" s="27" t="s">
        <v>144</v>
      </c>
      <c r="D5324" s="26"/>
      <c r="E5324" s="27"/>
      <c r="F5324" s="27"/>
      <c r="G5324" s="27" t="s">
        <v>11122</v>
      </c>
      <c r="H5324" s="27" t="s">
        <v>35</v>
      </c>
      <c r="I5324" s="27" t="s">
        <v>37</v>
      </c>
      <c r="J5324" s="28" t="s">
        <v>399</v>
      </c>
      <c r="K5324" s="27" t="s">
        <v>37</v>
      </c>
      <c r="L5324" s="27"/>
    </row>
    <row r="5325" customFormat="false" ht="15" hidden="false" customHeight="false" outlineLevel="0" collapsed="false">
      <c r="A5325" s="26" t="s">
        <v>15587</v>
      </c>
      <c r="B5325" s="27" t="s">
        <v>15588</v>
      </c>
      <c r="C5325" s="27" t="s">
        <v>144</v>
      </c>
      <c r="D5325" s="26"/>
      <c r="E5325" s="27"/>
      <c r="F5325" s="27"/>
      <c r="G5325" s="27" t="s">
        <v>11122</v>
      </c>
      <c r="H5325" s="27" t="s">
        <v>35</v>
      </c>
      <c r="I5325" s="27" t="s">
        <v>37</v>
      </c>
      <c r="J5325" s="28" t="s">
        <v>399</v>
      </c>
      <c r="K5325" s="27" t="s">
        <v>37</v>
      </c>
      <c r="L5325" s="27"/>
    </row>
    <row r="5326" customFormat="false" ht="15" hidden="false" customHeight="false" outlineLevel="0" collapsed="false">
      <c r="A5326" s="26" t="s">
        <v>15589</v>
      </c>
      <c r="B5326" s="27" t="s">
        <v>15590</v>
      </c>
      <c r="C5326" s="27" t="s">
        <v>144</v>
      </c>
      <c r="D5326" s="26"/>
      <c r="E5326" s="27"/>
      <c r="F5326" s="27"/>
      <c r="G5326" s="27" t="s">
        <v>11122</v>
      </c>
      <c r="H5326" s="27" t="s">
        <v>35</v>
      </c>
      <c r="I5326" s="27" t="s">
        <v>37</v>
      </c>
      <c r="J5326" s="28" t="s">
        <v>399</v>
      </c>
      <c r="K5326" s="27" t="s">
        <v>37</v>
      </c>
      <c r="L5326" s="27"/>
    </row>
    <row r="5327" customFormat="false" ht="15" hidden="false" customHeight="false" outlineLevel="0" collapsed="false">
      <c r="A5327" s="26" t="s">
        <v>15591</v>
      </c>
      <c r="B5327" s="27" t="s">
        <v>15592</v>
      </c>
      <c r="C5327" s="27" t="s">
        <v>144</v>
      </c>
      <c r="D5327" s="26"/>
      <c r="E5327" s="27"/>
      <c r="F5327" s="27"/>
      <c r="G5327" s="27" t="s">
        <v>11122</v>
      </c>
      <c r="H5327" s="27" t="s">
        <v>35</v>
      </c>
      <c r="I5327" s="27" t="s">
        <v>37</v>
      </c>
      <c r="J5327" s="28" t="s">
        <v>399</v>
      </c>
      <c r="K5327" s="27" t="s">
        <v>37</v>
      </c>
      <c r="L5327" s="27"/>
    </row>
    <row r="5328" customFormat="false" ht="15" hidden="false" customHeight="false" outlineLevel="0" collapsed="false">
      <c r="A5328" s="26" t="s">
        <v>15593</v>
      </c>
      <c r="B5328" s="27" t="s">
        <v>15594</v>
      </c>
      <c r="C5328" s="27" t="s">
        <v>144</v>
      </c>
      <c r="D5328" s="26"/>
      <c r="E5328" s="27"/>
      <c r="F5328" s="27"/>
      <c r="G5328" s="27" t="s">
        <v>11122</v>
      </c>
      <c r="H5328" s="27" t="s">
        <v>35</v>
      </c>
      <c r="I5328" s="27" t="s">
        <v>37</v>
      </c>
      <c r="J5328" s="28" t="s">
        <v>399</v>
      </c>
      <c r="K5328" s="27" t="s">
        <v>37</v>
      </c>
      <c r="L5328" s="27"/>
    </row>
    <row r="5329" customFormat="false" ht="15" hidden="false" customHeight="false" outlineLevel="0" collapsed="false">
      <c r="A5329" s="26" t="s">
        <v>15595</v>
      </c>
      <c r="B5329" s="27" t="s">
        <v>15596</v>
      </c>
      <c r="C5329" s="27" t="s">
        <v>144</v>
      </c>
      <c r="D5329" s="26"/>
      <c r="E5329" s="27"/>
      <c r="F5329" s="27"/>
      <c r="G5329" s="27" t="s">
        <v>11122</v>
      </c>
      <c r="H5329" s="27" t="s">
        <v>35</v>
      </c>
      <c r="I5329" s="27" t="s">
        <v>37</v>
      </c>
      <c r="J5329" s="28" t="s">
        <v>399</v>
      </c>
      <c r="K5329" s="27" t="s">
        <v>37</v>
      </c>
      <c r="L5329" s="27"/>
    </row>
    <row r="5330" customFormat="false" ht="15" hidden="false" customHeight="false" outlineLevel="0" collapsed="false">
      <c r="A5330" s="26" t="s">
        <v>15597</v>
      </c>
      <c r="B5330" s="27" t="s">
        <v>15598</v>
      </c>
      <c r="C5330" s="27" t="s">
        <v>144</v>
      </c>
      <c r="D5330" s="26"/>
      <c r="E5330" s="27"/>
      <c r="F5330" s="27"/>
      <c r="G5330" s="27" t="s">
        <v>11122</v>
      </c>
      <c r="H5330" s="27" t="s">
        <v>35</v>
      </c>
      <c r="I5330" s="27" t="s">
        <v>37</v>
      </c>
      <c r="J5330" s="28" t="s">
        <v>399</v>
      </c>
      <c r="K5330" s="27" t="s">
        <v>37</v>
      </c>
      <c r="L5330" s="27"/>
    </row>
    <row r="5331" customFormat="false" ht="15" hidden="false" customHeight="false" outlineLevel="0" collapsed="false">
      <c r="A5331" s="26" t="s">
        <v>15599</v>
      </c>
      <c r="B5331" s="27" t="s">
        <v>15600</v>
      </c>
      <c r="C5331" s="27" t="s">
        <v>144</v>
      </c>
      <c r="D5331" s="26"/>
      <c r="E5331" s="27"/>
      <c r="F5331" s="27"/>
      <c r="G5331" s="27" t="s">
        <v>11122</v>
      </c>
      <c r="H5331" s="27" t="s">
        <v>35</v>
      </c>
      <c r="I5331" s="27" t="s">
        <v>39</v>
      </c>
      <c r="J5331" s="28" t="s">
        <v>399</v>
      </c>
      <c r="K5331" s="27" t="s">
        <v>37</v>
      </c>
      <c r="L5331" s="27"/>
    </row>
    <row r="5332" customFormat="false" ht="15" hidden="false" customHeight="false" outlineLevel="0" collapsed="false">
      <c r="A5332" s="26" t="s">
        <v>15601</v>
      </c>
      <c r="B5332" s="27" t="s">
        <v>15602</v>
      </c>
      <c r="C5332" s="27" t="s">
        <v>144</v>
      </c>
      <c r="D5332" s="26"/>
      <c r="E5332" s="27"/>
      <c r="F5332" s="27"/>
      <c r="G5332" s="27" t="s">
        <v>11122</v>
      </c>
      <c r="H5332" s="27" t="s">
        <v>35</v>
      </c>
      <c r="I5332" s="27" t="s">
        <v>37</v>
      </c>
      <c r="J5332" s="28" t="s">
        <v>399</v>
      </c>
      <c r="K5332" s="27" t="s">
        <v>37</v>
      </c>
      <c r="L5332" s="27"/>
    </row>
    <row r="5333" customFormat="false" ht="15" hidden="false" customHeight="false" outlineLevel="0" collapsed="false">
      <c r="A5333" s="26" t="s">
        <v>15603</v>
      </c>
      <c r="B5333" s="27" t="s">
        <v>15604</v>
      </c>
      <c r="C5333" s="27" t="s">
        <v>144</v>
      </c>
      <c r="D5333" s="26"/>
      <c r="E5333" s="27"/>
      <c r="F5333" s="27"/>
      <c r="G5333" s="27" t="s">
        <v>11122</v>
      </c>
      <c r="H5333" s="27" t="s">
        <v>35</v>
      </c>
      <c r="I5333" s="27" t="s">
        <v>37</v>
      </c>
      <c r="J5333" s="28" t="s">
        <v>399</v>
      </c>
      <c r="K5333" s="27" t="s">
        <v>37</v>
      </c>
      <c r="L5333" s="27"/>
    </row>
    <row r="5334" customFormat="false" ht="15" hidden="false" customHeight="false" outlineLevel="0" collapsed="false">
      <c r="A5334" s="26" t="s">
        <v>15605</v>
      </c>
      <c r="B5334" s="27" t="s">
        <v>15606</v>
      </c>
      <c r="C5334" s="27" t="s">
        <v>144</v>
      </c>
      <c r="D5334" s="26"/>
      <c r="E5334" s="27"/>
      <c r="F5334" s="27"/>
      <c r="G5334" s="27" t="s">
        <v>11122</v>
      </c>
      <c r="H5334" s="27" t="s">
        <v>35</v>
      </c>
      <c r="I5334" s="27" t="s">
        <v>37</v>
      </c>
      <c r="J5334" s="28" t="s">
        <v>399</v>
      </c>
      <c r="K5334" s="27" t="s">
        <v>37</v>
      </c>
      <c r="L5334" s="27"/>
    </row>
    <row r="5335" customFormat="false" ht="15" hidden="false" customHeight="false" outlineLevel="0" collapsed="false">
      <c r="A5335" s="26" t="s">
        <v>15607</v>
      </c>
      <c r="B5335" s="27" t="s">
        <v>15608</v>
      </c>
      <c r="C5335" s="27" t="s">
        <v>144</v>
      </c>
      <c r="D5335" s="26"/>
      <c r="E5335" s="27"/>
      <c r="F5335" s="27"/>
      <c r="G5335" s="27" t="s">
        <v>11122</v>
      </c>
      <c r="H5335" s="27" t="s">
        <v>35</v>
      </c>
      <c r="I5335" s="27" t="s">
        <v>37</v>
      </c>
      <c r="J5335" s="28" t="s">
        <v>399</v>
      </c>
      <c r="K5335" s="27" t="s">
        <v>37</v>
      </c>
      <c r="L5335" s="27"/>
    </row>
    <row r="5336" customFormat="false" ht="15" hidden="false" customHeight="false" outlineLevel="0" collapsed="false">
      <c r="A5336" s="26" t="s">
        <v>15609</v>
      </c>
      <c r="B5336" s="27" t="s">
        <v>15610</v>
      </c>
      <c r="C5336" s="27" t="s">
        <v>144</v>
      </c>
      <c r="D5336" s="26"/>
      <c r="E5336" s="27"/>
      <c r="F5336" s="27"/>
      <c r="G5336" s="27" t="s">
        <v>11122</v>
      </c>
      <c r="H5336" s="27" t="s">
        <v>35</v>
      </c>
      <c r="I5336" s="27" t="s">
        <v>37</v>
      </c>
      <c r="J5336" s="28" t="s">
        <v>399</v>
      </c>
      <c r="K5336" s="27" t="s">
        <v>37</v>
      </c>
      <c r="L5336" s="27"/>
    </row>
    <row r="5337" customFormat="false" ht="15" hidden="false" customHeight="false" outlineLevel="0" collapsed="false">
      <c r="A5337" s="26" t="s">
        <v>15611</v>
      </c>
      <c r="B5337" s="27" t="s">
        <v>15612</v>
      </c>
      <c r="C5337" s="27" t="s">
        <v>144</v>
      </c>
      <c r="D5337" s="26"/>
      <c r="E5337" s="27"/>
      <c r="F5337" s="27"/>
      <c r="G5337" s="27" t="s">
        <v>11122</v>
      </c>
      <c r="H5337" s="27" t="s">
        <v>35</v>
      </c>
      <c r="I5337" s="27" t="s">
        <v>37</v>
      </c>
      <c r="J5337" s="28" t="s">
        <v>399</v>
      </c>
      <c r="K5337" s="27" t="s">
        <v>37</v>
      </c>
      <c r="L5337" s="27"/>
    </row>
    <row r="5338" customFormat="false" ht="15" hidden="false" customHeight="false" outlineLevel="0" collapsed="false">
      <c r="A5338" s="26" t="s">
        <v>15613</v>
      </c>
      <c r="B5338" s="27" t="s">
        <v>15614</v>
      </c>
      <c r="C5338" s="27" t="s">
        <v>144</v>
      </c>
      <c r="D5338" s="26"/>
      <c r="E5338" s="27"/>
      <c r="F5338" s="27"/>
      <c r="G5338" s="27" t="s">
        <v>11122</v>
      </c>
      <c r="H5338" s="27" t="s">
        <v>35</v>
      </c>
      <c r="I5338" s="27" t="s">
        <v>37</v>
      </c>
      <c r="J5338" s="28" t="s">
        <v>399</v>
      </c>
      <c r="K5338" s="27" t="s">
        <v>37</v>
      </c>
      <c r="L5338" s="27"/>
    </row>
    <row r="5339" customFormat="false" ht="15" hidden="false" customHeight="false" outlineLevel="0" collapsed="false">
      <c r="A5339" s="26" t="s">
        <v>15615</v>
      </c>
      <c r="B5339" s="27" t="s">
        <v>15616</v>
      </c>
      <c r="C5339" s="27" t="s">
        <v>144</v>
      </c>
      <c r="D5339" s="26"/>
      <c r="E5339" s="27"/>
      <c r="F5339" s="27"/>
      <c r="G5339" s="27" t="s">
        <v>11122</v>
      </c>
      <c r="H5339" s="27" t="s">
        <v>35</v>
      </c>
      <c r="I5339" s="27" t="s">
        <v>37</v>
      </c>
      <c r="J5339" s="28" t="s">
        <v>399</v>
      </c>
      <c r="K5339" s="27" t="s">
        <v>37</v>
      </c>
      <c r="L5339" s="27"/>
    </row>
    <row r="5340" customFormat="false" ht="15" hidden="false" customHeight="false" outlineLevel="0" collapsed="false">
      <c r="A5340" s="26" t="s">
        <v>15617</v>
      </c>
      <c r="B5340" s="27" t="s">
        <v>15618</v>
      </c>
      <c r="C5340" s="27" t="s">
        <v>144</v>
      </c>
      <c r="D5340" s="26"/>
      <c r="E5340" s="27"/>
      <c r="F5340" s="27"/>
      <c r="G5340" s="27" t="s">
        <v>11122</v>
      </c>
      <c r="H5340" s="27" t="s">
        <v>35</v>
      </c>
      <c r="I5340" s="27" t="s">
        <v>37</v>
      </c>
      <c r="J5340" s="28" t="s">
        <v>399</v>
      </c>
      <c r="K5340" s="27" t="s">
        <v>37</v>
      </c>
      <c r="L5340" s="27"/>
    </row>
    <row r="5341" customFormat="false" ht="15" hidden="false" customHeight="false" outlineLevel="0" collapsed="false">
      <c r="A5341" s="26" t="s">
        <v>15619</v>
      </c>
      <c r="B5341" s="27" t="s">
        <v>15620</v>
      </c>
      <c r="C5341" s="27" t="s">
        <v>144</v>
      </c>
      <c r="D5341" s="26"/>
      <c r="E5341" s="27"/>
      <c r="F5341" s="27"/>
      <c r="G5341" s="27" t="s">
        <v>11122</v>
      </c>
      <c r="H5341" s="27" t="s">
        <v>35</v>
      </c>
      <c r="I5341" s="27" t="s">
        <v>37</v>
      </c>
      <c r="J5341" s="28" t="s">
        <v>399</v>
      </c>
      <c r="K5341" s="27" t="s">
        <v>37</v>
      </c>
      <c r="L5341" s="27"/>
    </row>
    <row r="5342" customFormat="false" ht="15" hidden="false" customHeight="false" outlineLevel="0" collapsed="false">
      <c r="A5342" s="26" t="s">
        <v>15621</v>
      </c>
      <c r="B5342" s="27" t="s">
        <v>15622</v>
      </c>
      <c r="C5342" s="27" t="s">
        <v>144</v>
      </c>
      <c r="D5342" s="26"/>
      <c r="E5342" s="27"/>
      <c r="F5342" s="27"/>
      <c r="G5342" s="27" t="s">
        <v>11122</v>
      </c>
      <c r="H5342" s="27" t="s">
        <v>35</v>
      </c>
      <c r="I5342" s="27" t="s">
        <v>37</v>
      </c>
      <c r="J5342" s="28" t="s">
        <v>399</v>
      </c>
      <c r="K5342" s="27" t="s">
        <v>37</v>
      </c>
      <c r="L5342" s="27"/>
    </row>
    <row r="5343" customFormat="false" ht="15" hidden="false" customHeight="false" outlineLevel="0" collapsed="false">
      <c r="A5343" s="26" t="s">
        <v>15623</v>
      </c>
      <c r="B5343" s="27" t="s">
        <v>15624</v>
      </c>
      <c r="C5343" s="27" t="s">
        <v>144</v>
      </c>
      <c r="D5343" s="26"/>
      <c r="E5343" s="27"/>
      <c r="F5343" s="27"/>
      <c r="G5343" s="27" t="s">
        <v>11122</v>
      </c>
      <c r="H5343" s="27" t="s">
        <v>35</v>
      </c>
      <c r="I5343" s="27" t="s">
        <v>37</v>
      </c>
      <c r="J5343" s="28" t="s">
        <v>399</v>
      </c>
      <c r="K5343" s="27" t="s">
        <v>37</v>
      </c>
      <c r="L5343" s="27"/>
    </row>
    <row r="5344" customFormat="false" ht="15" hidden="false" customHeight="false" outlineLevel="0" collapsed="false">
      <c r="A5344" s="26" t="s">
        <v>15625</v>
      </c>
      <c r="B5344" s="27" t="s">
        <v>15626</v>
      </c>
      <c r="C5344" s="27" t="s">
        <v>144</v>
      </c>
      <c r="D5344" s="26"/>
      <c r="E5344" s="27"/>
      <c r="F5344" s="27"/>
      <c r="G5344" s="27" t="s">
        <v>11122</v>
      </c>
      <c r="H5344" s="27" t="s">
        <v>35</v>
      </c>
      <c r="I5344" s="27" t="s">
        <v>37</v>
      </c>
      <c r="J5344" s="28" t="s">
        <v>399</v>
      </c>
      <c r="K5344" s="27" t="s">
        <v>37</v>
      </c>
      <c r="L5344" s="27"/>
    </row>
    <row r="5345" customFormat="false" ht="15" hidden="false" customHeight="false" outlineLevel="0" collapsed="false">
      <c r="A5345" s="26" t="s">
        <v>15627</v>
      </c>
      <c r="B5345" s="27" t="s">
        <v>15628</v>
      </c>
      <c r="C5345" s="27" t="s">
        <v>144</v>
      </c>
      <c r="D5345" s="26"/>
      <c r="E5345" s="27"/>
      <c r="F5345" s="27"/>
      <c r="G5345" s="27" t="s">
        <v>11122</v>
      </c>
      <c r="H5345" s="27" t="s">
        <v>35</v>
      </c>
      <c r="I5345" s="27" t="s">
        <v>37</v>
      </c>
      <c r="J5345" s="28" t="s">
        <v>399</v>
      </c>
      <c r="K5345" s="27" t="s">
        <v>37</v>
      </c>
      <c r="L5345" s="27"/>
    </row>
    <row r="5346" customFormat="false" ht="15" hidden="false" customHeight="false" outlineLevel="0" collapsed="false">
      <c r="A5346" s="26" t="s">
        <v>15629</v>
      </c>
      <c r="B5346" s="27" t="s">
        <v>15630</v>
      </c>
      <c r="C5346" s="27" t="s">
        <v>144</v>
      </c>
      <c r="D5346" s="26"/>
      <c r="E5346" s="27"/>
      <c r="F5346" s="27"/>
      <c r="G5346" s="27" t="s">
        <v>11122</v>
      </c>
      <c r="H5346" s="27" t="s">
        <v>35</v>
      </c>
      <c r="I5346" s="27" t="s">
        <v>37</v>
      </c>
      <c r="J5346" s="28" t="s">
        <v>399</v>
      </c>
      <c r="K5346" s="27" t="s">
        <v>37</v>
      </c>
      <c r="L5346" s="27"/>
    </row>
    <row r="5347" customFormat="false" ht="15" hidden="false" customHeight="false" outlineLevel="0" collapsed="false">
      <c r="A5347" s="26" t="s">
        <v>15631</v>
      </c>
      <c r="B5347" s="27" t="s">
        <v>15632</v>
      </c>
      <c r="C5347" s="27" t="s">
        <v>144</v>
      </c>
      <c r="D5347" s="26"/>
      <c r="E5347" s="27"/>
      <c r="F5347" s="27"/>
      <c r="G5347" s="27" t="s">
        <v>11122</v>
      </c>
      <c r="H5347" s="27" t="s">
        <v>35</v>
      </c>
      <c r="I5347" s="27" t="s">
        <v>37</v>
      </c>
      <c r="J5347" s="28" t="s">
        <v>399</v>
      </c>
      <c r="K5347" s="27" t="s">
        <v>37</v>
      </c>
      <c r="L5347" s="27"/>
    </row>
    <row r="5348" customFormat="false" ht="15" hidden="false" customHeight="false" outlineLevel="0" collapsed="false">
      <c r="A5348" s="26" t="s">
        <v>15633</v>
      </c>
      <c r="B5348" s="27" t="s">
        <v>15634</v>
      </c>
      <c r="C5348" s="27" t="s">
        <v>144</v>
      </c>
      <c r="D5348" s="26"/>
      <c r="E5348" s="27"/>
      <c r="F5348" s="27"/>
      <c r="G5348" s="27" t="s">
        <v>11122</v>
      </c>
      <c r="H5348" s="27" t="s">
        <v>35</v>
      </c>
      <c r="I5348" s="27" t="s">
        <v>37</v>
      </c>
      <c r="J5348" s="28" t="s">
        <v>399</v>
      </c>
      <c r="K5348" s="27" t="s">
        <v>37</v>
      </c>
      <c r="L5348" s="27"/>
    </row>
    <row r="5349" customFormat="false" ht="15" hidden="false" customHeight="false" outlineLevel="0" collapsed="false">
      <c r="A5349" s="26" t="s">
        <v>15635</v>
      </c>
      <c r="B5349" s="27" t="s">
        <v>15636</v>
      </c>
      <c r="C5349" s="27" t="s">
        <v>144</v>
      </c>
      <c r="D5349" s="26"/>
      <c r="E5349" s="27"/>
      <c r="F5349" s="27"/>
      <c r="G5349" s="27" t="s">
        <v>11122</v>
      </c>
      <c r="H5349" s="27" t="s">
        <v>35</v>
      </c>
      <c r="I5349" s="27" t="s">
        <v>37</v>
      </c>
      <c r="J5349" s="28" t="s">
        <v>399</v>
      </c>
      <c r="K5349" s="27" t="s">
        <v>37</v>
      </c>
      <c r="L5349" s="27"/>
    </row>
    <row r="5350" customFormat="false" ht="15" hidden="false" customHeight="false" outlineLevel="0" collapsed="false">
      <c r="A5350" s="26" t="s">
        <v>15637</v>
      </c>
      <c r="B5350" s="27" t="s">
        <v>15638</v>
      </c>
      <c r="C5350" s="27" t="s">
        <v>144</v>
      </c>
      <c r="D5350" s="26"/>
      <c r="E5350" s="27"/>
      <c r="F5350" s="27"/>
      <c r="G5350" s="27" t="s">
        <v>11122</v>
      </c>
      <c r="H5350" s="27" t="s">
        <v>35</v>
      </c>
      <c r="I5350" s="27" t="s">
        <v>37</v>
      </c>
      <c r="J5350" s="28" t="s">
        <v>399</v>
      </c>
      <c r="K5350" s="27" t="s">
        <v>37</v>
      </c>
      <c r="L5350" s="27"/>
    </row>
    <row r="5351" customFormat="false" ht="15" hidden="false" customHeight="false" outlineLevel="0" collapsed="false">
      <c r="A5351" s="26" t="s">
        <v>15639</v>
      </c>
      <c r="B5351" s="27" t="s">
        <v>15640</v>
      </c>
      <c r="C5351" s="27" t="s">
        <v>144</v>
      </c>
      <c r="D5351" s="26"/>
      <c r="E5351" s="27"/>
      <c r="F5351" s="27"/>
      <c r="G5351" s="27" t="s">
        <v>11122</v>
      </c>
      <c r="H5351" s="27" t="s">
        <v>35</v>
      </c>
      <c r="I5351" s="27" t="s">
        <v>37</v>
      </c>
      <c r="J5351" s="28" t="s">
        <v>399</v>
      </c>
      <c r="K5351" s="27" t="s">
        <v>37</v>
      </c>
      <c r="L5351" s="27"/>
    </row>
    <row r="5352" customFormat="false" ht="15" hidden="false" customHeight="false" outlineLevel="0" collapsed="false">
      <c r="A5352" s="26" t="s">
        <v>15641</v>
      </c>
      <c r="B5352" s="27" t="s">
        <v>15642</v>
      </c>
      <c r="C5352" s="27" t="s">
        <v>144</v>
      </c>
      <c r="D5352" s="26"/>
      <c r="E5352" s="27"/>
      <c r="F5352" s="27"/>
      <c r="G5352" s="27" t="s">
        <v>11122</v>
      </c>
      <c r="H5352" s="27" t="s">
        <v>35</v>
      </c>
      <c r="I5352" s="27" t="s">
        <v>37</v>
      </c>
      <c r="J5352" s="28" t="s">
        <v>399</v>
      </c>
      <c r="K5352" s="27" t="s">
        <v>37</v>
      </c>
      <c r="L5352" s="27"/>
    </row>
    <row r="5353" customFormat="false" ht="15" hidden="false" customHeight="false" outlineLevel="0" collapsed="false">
      <c r="A5353" s="26" t="s">
        <v>15643</v>
      </c>
      <c r="B5353" s="27" t="s">
        <v>15644</v>
      </c>
      <c r="C5353" s="27" t="s">
        <v>144</v>
      </c>
      <c r="D5353" s="26"/>
      <c r="E5353" s="27"/>
      <c r="F5353" s="27"/>
      <c r="G5353" s="27" t="s">
        <v>11122</v>
      </c>
      <c r="H5353" s="27" t="s">
        <v>35</v>
      </c>
      <c r="I5353" s="27" t="s">
        <v>37</v>
      </c>
      <c r="J5353" s="28" t="s">
        <v>399</v>
      </c>
      <c r="K5353" s="27" t="s">
        <v>37</v>
      </c>
      <c r="L5353" s="27"/>
    </row>
    <row r="5354" customFormat="false" ht="15" hidden="false" customHeight="false" outlineLevel="0" collapsed="false">
      <c r="A5354" s="26" t="s">
        <v>15645</v>
      </c>
      <c r="B5354" s="27" t="s">
        <v>15646</v>
      </c>
      <c r="C5354" s="27" t="s">
        <v>144</v>
      </c>
      <c r="D5354" s="26"/>
      <c r="E5354" s="27"/>
      <c r="F5354" s="27"/>
      <c r="G5354" s="27" t="s">
        <v>11122</v>
      </c>
      <c r="H5354" s="27" t="s">
        <v>35</v>
      </c>
      <c r="I5354" s="27" t="s">
        <v>37</v>
      </c>
      <c r="J5354" s="28" t="s">
        <v>399</v>
      </c>
      <c r="K5354" s="27" t="s">
        <v>37</v>
      </c>
      <c r="L5354" s="27"/>
    </row>
    <row r="5355" customFormat="false" ht="15" hidden="false" customHeight="false" outlineLevel="0" collapsed="false">
      <c r="A5355" s="26" t="s">
        <v>15647</v>
      </c>
      <c r="B5355" s="27" t="s">
        <v>15648</v>
      </c>
      <c r="C5355" s="27" t="s">
        <v>144</v>
      </c>
      <c r="D5355" s="26"/>
      <c r="E5355" s="27"/>
      <c r="F5355" s="27"/>
      <c r="G5355" s="27" t="s">
        <v>11122</v>
      </c>
      <c r="H5355" s="27" t="s">
        <v>35</v>
      </c>
      <c r="I5355" s="27" t="s">
        <v>37</v>
      </c>
      <c r="J5355" s="28" t="s">
        <v>399</v>
      </c>
      <c r="K5355" s="27" t="s">
        <v>37</v>
      </c>
      <c r="L5355" s="27"/>
    </row>
    <row r="5356" customFormat="false" ht="15" hidden="false" customHeight="false" outlineLevel="0" collapsed="false">
      <c r="A5356" s="26" t="s">
        <v>15649</v>
      </c>
      <c r="B5356" s="27" t="s">
        <v>15650</v>
      </c>
      <c r="C5356" s="27" t="s">
        <v>144</v>
      </c>
      <c r="D5356" s="26"/>
      <c r="E5356" s="27"/>
      <c r="F5356" s="27"/>
      <c r="G5356" s="27" t="s">
        <v>11122</v>
      </c>
      <c r="H5356" s="27" t="s">
        <v>35</v>
      </c>
      <c r="I5356" s="27" t="s">
        <v>37</v>
      </c>
      <c r="J5356" s="28" t="s">
        <v>399</v>
      </c>
      <c r="K5356" s="27" t="s">
        <v>37</v>
      </c>
      <c r="L5356" s="27"/>
    </row>
    <row r="5357" customFormat="false" ht="15" hidden="false" customHeight="false" outlineLevel="0" collapsed="false">
      <c r="A5357" s="26" t="s">
        <v>15651</v>
      </c>
      <c r="B5357" s="27" t="s">
        <v>15652</v>
      </c>
      <c r="C5357" s="27" t="s">
        <v>144</v>
      </c>
      <c r="D5357" s="26"/>
      <c r="E5357" s="27"/>
      <c r="F5357" s="27"/>
      <c r="G5357" s="27" t="s">
        <v>11122</v>
      </c>
      <c r="H5357" s="27" t="s">
        <v>35</v>
      </c>
      <c r="I5357" s="27" t="s">
        <v>37</v>
      </c>
      <c r="J5357" s="28" t="s">
        <v>399</v>
      </c>
      <c r="K5357" s="27" t="s">
        <v>37</v>
      </c>
      <c r="L5357" s="27"/>
    </row>
    <row r="5358" customFormat="false" ht="15" hidden="false" customHeight="false" outlineLevel="0" collapsed="false">
      <c r="A5358" s="26" t="s">
        <v>15653</v>
      </c>
      <c r="B5358" s="27" t="s">
        <v>15654</v>
      </c>
      <c r="C5358" s="27" t="s">
        <v>144</v>
      </c>
      <c r="D5358" s="26"/>
      <c r="E5358" s="27"/>
      <c r="F5358" s="27"/>
      <c r="G5358" s="27" t="s">
        <v>11122</v>
      </c>
      <c r="H5358" s="27" t="s">
        <v>35</v>
      </c>
      <c r="I5358" s="27" t="s">
        <v>37</v>
      </c>
      <c r="J5358" s="28" t="s">
        <v>399</v>
      </c>
      <c r="K5358" s="27" t="s">
        <v>37</v>
      </c>
      <c r="L5358" s="27"/>
    </row>
    <row r="5359" customFormat="false" ht="15" hidden="false" customHeight="false" outlineLevel="0" collapsed="false">
      <c r="A5359" s="26" t="s">
        <v>15655</v>
      </c>
      <c r="B5359" s="27" t="s">
        <v>15656</v>
      </c>
      <c r="C5359" s="27" t="s">
        <v>144</v>
      </c>
      <c r="D5359" s="26"/>
      <c r="E5359" s="27"/>
      <c r="F5359" s="27"/>
      <c r="G5359" s="27" t="s">
        <v>11122</v>
      </c>
      <c r="H5359" s="27" t="s">
        <v>35</v>
      </c>
      <c r="I5359" s="27" t="s">
        <v>37</v>
      </c>
      <c r="J5359" s="28" t="s">
        <v>399</v>
      </c>
      <c r="K5359" s="27" t="s">
        <v>37</v>
      </c>
      <c r="L5359" s="27"/>
    </row>
    <row r="5360" customFormat="false" ht="15" hidden="false" customHeight="false" outlineLevel="0" collapsed="false">
      <c r="A5360" s="26" t="s">
        <v>15657</v>
      </c>
      <c r="B5360" s="27" t="s">
        <v>15658</v>
      </c>
      <c r="C5360" s="27" t="s">
        <v>144</v>
      </c>
      <c r="D5360" s="26"/>
      <c r="E5360" s="27"/>
      <c r="F5360" s="27"/>
      <c r="G5360" s="27" t="s">
        <v>11122</v>
      </c>
      <c r="H5360" s="27" t="s">
        <v>35</v>
      </c>
      <c r="I5360" s="27" t="s">
        <v>37</v>
      </c>
      <c r="J5360" s="28" t="s">
        <v>399</v>
      </c>
      <c r="K5360" s="27" t="s">
        <v>37</v>
      </c>
      <c r="L5360" s="27"/>
    </row>
    <row r="5361" customFormat="false" ht="15" hidden="false" customHeight="false" outlineLevel="0" collapsed="false">
      <c r="A5361" s="26" t="s">
        <v>15659</v>
      </c>
      <c r="B5361" s="27" t="s">
        <v>15660</v>
      </c>
      <c r="C5361" s="27" t="s">
        <v>144</v>
      </c>
      <c r="D5361" s="26"/>
      <c r="E5361" s="27"/>
      <c r="F5361" s="27"/>
      <c r="G5361" s="27" t="s">
        <v>11122</v>
      </c>
      <c r="H5361" s="27" t="s">
        <v>35</v>
      </c>
      <c r="I5361" s="27" t="s">
        <v>37</v>
      </c>
      <c r="J5361" s="28" t="s">
        <v>399</v>
      </c>
      <c r="K5361" s="27" t="s">
        <v>37</v>
      </c>
      <c r="L5361" s="27"/>
    </row>
    <row r="5362" customFormat="false" ht="15" hidden="false" customHeight="false" outlineLevel="0" collapsed="false">
      <c r="A5362" s="26" t="s">
        <v>15661</v>
      </c>
      <c r="B5362" s="27" t="s">
        <v>15662</v>
      </c>
      <c r="C5362" s="27" t="s">
        <v>144</v>
      </c>
      <c r="D5362" s="26"/>
      <c r="E5362" s="27"/>
      <c r="F5362" s="27"/>
      <c r="G5362" s="27" t="s">
        <v>11122</v>
      </c>
      <c r="H5362" s="27" t="s">
        <v>35</v>
      </c>
      <c r="I5362" s="27" t="s">
        <v>37</v>
      </c>
      <c r="J5362" s="28" t="s">
        <v>399</v>
      </c>
      <c r="K5362" s="27" t="s">
        <v>37</v>
      </c>
      <c r="L5362" s="27"/>
    </row>
    <row r="5363" customFormat="false" ht="15" hidden="false" customHeight="false" outlineLevel="0" collapsed="false">
      <c r="A5363" s="26" t="s">
        <v>15663</v>
      </c>
      <c r="B5363" s="27" t="s">
        <v>15664</v>
      </c>
      <c r="C5363" s="27" t="s">
        <v>144</v>
      </c>
      <c r="D5363" s="26"/>
      <c r="E5363" s="27"/>
      <c r="F5363" s="27"/>
      <c r="G5363" s="27" t="s">
        <v>11122</v>
      </c>
      <c r="H5363" s="27" t="s">
        <v>35</v>
      </c>
      <c r="I5363" s="27" t="s">
        <v>37</v>
      </c>
      <c r="J5363" s="28" t="s">
        <v>399</v>
      </c>
      <c r="K5363" s="27" t="s">
        <v>37</v>
      </c>
      <c r="L5363" s="27"/>
    </row>
    <row r="5364" customFormat="false" ht="15" hidden="false" customHeight="false" outlineLevel="0" collapsed="false">
      <c r="A5364" s="26" t="s">
        <v>15665</v>
      </c>
      <c r="B5364" s="27" t="s">
        <v>15666</v>
      </c>
      <c r="C5364" s="27" t="s">
        <v>144</v>
      </c>
      <c r="D5364" s="26"/>
      <c r="E5364" s="27"/>
      <c r="F5364" s="27"/>
      <c r="G5364" s="27" t="s">
        <v>11122</v>
      </c>
      <c r="H5364" s="27" t="s">
        <v>35</v>
      </c>
      <c r="I5364" s="27" t="s">
        <v>37</v>
      </c>
      <c r="J5364" s="28" t="s">
        <v>399</v>
      </c>
      <c r="K5364" s="27" t="s">
        <v>37</v>
      </c>
      <c r="L5364" s="27"/>
    </row>
    <row r="5365" customFormat="false" ht="15" hidden="false" customHeight="false" outlineLevel="0" collapsed="false">
      <c r="A5365" s="26" t="s">
        <v>15667</v>
      </c>
      <c r="B5365" s="27" t="s">
        <v>15668</v>
      </c>
      <c r="C5365" s="27" t="s">
        <v>144</v>
      </c>
      <c r="D5365" s="26"/>
      <c r="E5365" s="27"/>
      <c r="F5365" s="27"/>
      <c r="G5365" s="27" t="s">
        <v>11122</v>
      </c>
      <c r="H5365" s="27" t="s">
        <v>35</v>
      </c>
      <c r="I5365" s="27" t="s">
        <v>37</v>
      </c>
      <c r="J5365" s="28" t="s">
        <v>399</v>
      </c>
      <c r="K5365" s="27" t="s">
        <v>37</v>
      </c>
      <c r="L5365" s="27"/>
    </row>
    <row r="5366" customFormat="false" ht="15" hidden="false" customHeight="false" outlineLevel="0" collapsed="false">
      <c r="A5366" s="26" t="s">
        <v>15669</v>
      </c>
      <c r="B5366" s="27" t="s">
        <v>15670</v>
      </c>
      <c r="C5366" s="27" t="s">
        <v>144</v>
      </c>
      <c r="D5366" s="26"/>
      <c r="E5366" s="27"/>
      <c r="F5366" s="27"/>
      <c r="G5366" s="27" t="s">
        <v>11122</v>
      </c>
      <c r="H5366" s="27" t="s">
        <v>35</v>
      </c>
      <c r="I5366" s="27" t="s">
        <v>37</v>
      </c>
      <c r="J5366" s="28" t="s">
        <v>399</v>
      </c>
      <c r="K5366" s="27" t="s">
        <v>37</v>
      </c>
      <c r="L5366" s="27"/>
    </row>
    <row r="5367" customFormat="false" ht="15" hidden="false" customHeight="false" outlineLevel="0" collapsed="false">
      <c r="A5367" s="26" t="s">
        <v>15671</v>
      </c>
      <c r="B5367" s="27" t="s">
        <v>15672</v>
      </c>
      <c r="C5367" s="27" t="s">
        <v>144</v>
      </c>
      <c r="D5367" s="26"/>
      <c r="E5367" s="27"/>
      <c r="F5367" s="27"/>
      <c r="G5367" s="27" t="s">
        <v>11122</v>
      </c>
      <c r="H5367" s="27" t="s">
        <v>35</v>
      </c>
      <c r="I5367" s="27" t="s">
        <v>37</v>
      </c>
      <c r="J5367" s="28" t="s">
        <v>399</v>
      </c>
      <c r="K5367" s="27" t="s">
        <v>37</v>
      </c>
      <c r="L5367" s="27"/>
    </row>
    <row r="5368" customFormat="false" ht="15" hidden="false" customHeight="false" outlineLevel="0" collapsed="false">
      <c r="A5368" s="26" t="s">
        <v>15673</v>
      </c>
      <c r="B5368" s="27" t="s">
        <v>15674</v>
      </c>
      <c r="C5368" s="27" t="s">
        <v>144</v>
      </c>
      <c r="D5368" s="26"/>
      <c r="E5368" s="27"/>
      <c r="F5368" s="27"/>
      <c r="G5368" s="27" t="s">
        <v>11122</v>
      </c>
      <c r="H5368" s="27" t="s">
        <v>35</v>
      </c>
      <c r="I5368" s="27" t="s">
        <v>37</v>
      </c>
      <c r="J5368" s="28" t="s">
        <v>399</v>
      </c>
      <c r="K5368" s="27" t="s">
        <v>37</v>
      </c>
      <c r="L5368" s="27"/>
    </row>
    <row r="5369" customFormat="false" ht="15" hidden="false" customHeight="false" outlineLevel="0" collapsed="false">
      <c r="A5369" s="26" t="s">
        <v>15675</v>
      </c>
      <c r="B5369" s="27" t="s">
        <v>15676</v>
      </c>
      <c r="C5369" s="27" t="s">
        <v>144</v>
      </c>
      <c r="D5369" s="26"/>
      <c r="E5369" s="27"/>
      <c r="F5369" s="27"/>
      <c r="G5369" s="27" t="s">
        <v>11122</v>
      </c>
      <c r="H5369" s="27" t="s">
        <v>35</v>
      </c>
      <c r="I5369" s="27" t="s">
        <v>37</v>
      </c>
      <c r="J5369" s="28" t="s">
        <v>399</v>
      </c>
      <c r="K5369" s="27" t="s">
        <v>37</v>
      </c>
      <c r="L5369" s="27"/>
    </row>
    <row r="5370" customFormat="false" ht="15" hidden="false" customHeight="false" outlineLevel="0" collapsed="false">
      <c r="A5370" s="26" t="s">
        <v>15677</v>
      </c>
      <c r="B5370" s="27" t="s">
        <v>15678</v>
      </c>
      <c r="C5370" s="27" t="s">
        <v>144</v>
      </c>
      <c r="D5370" s="26"/>
      <c r="E5370" s="27"/>
      <c r="F5370" s="27"/>
      <c r="G5370" s="27" t="s">
        <v>11122</v>
      </c>
      <c r="H5370" s="27" t="s">
        <v>35</v>
      </c>
      <c r="I5370" s="27" t="s">
        <v>37</v>
      </c>
      <c r="J5370" s="28" t="s">
        <v>399</v>
      </c>
      <c r="K5370" s="27" t="s">
        <v>37</v>
      </c>
      <c r="L5370" s="27"/>
    </row>
    <row r="5371" customFormat="false" ht="15" hidden="false" customHeight="false" outlineLevel="0" collapsed="false">
      <c r="A5371" s="26" t="s">
        <v>15679</v>
      </c>
      <c r="B5371" s="27" t="s">
        <v>15680</v>
      </c>
      <c r="C5371" s="27" t="s">
        <v>144</v>
      </c>
      <c r="D5371" s="26"/>
      <c r="E5371" s="27"/>
      <c r="F5371" s="27"/>
      <c r="G5371" s="27" t="s">
        <v>11122</v>
      </c>
      <c r="H5371" s="27" t="s">
        <v>35</v>
      </c>
      <c r="I5371" s="27" t="s">
        <v>37</v>
      </c>
      <c r="J5371" s="28" t="s">
        <v>399</v>
      </c>
      <c r="K5371" s="27" t="s">
        <v>37</v>
      </c>
      <c r="L5371" s="27"/>
    </row>
    <row r="5372" customFormat="false" ht="15" hidden="false" customHeight="false" outlineLevel="0" collapsed="false">
      <c r="A5372" s="26" t="s">
        <v>15681</v>
      </c>
      <c r="B5372" s="27" t="s">
        <v>15682</v>
      </c>
      <c r="C5372" s="27" t="s">
        <v>144</v>
      </c>
      <c r="D5372" s="26"/>
      <c r="E5372" s="27"/>
      <c r="F5372" s="27"/>
      <c r="G5372" s="27" t="s">
        <v>11122</v>
      </c>
      <c r="H5372" s="27" t="s">
        <v>35</v>
      </c>
      <c r="I5372" s="27" t="s">
        <v>37</v>
      </c>
      <c r="J5372" s="28" t="s">
        <v>399</v>
      </c>
      <c r="K5372" s="27" t="s">
        <v>37</v>
      </c>
      <c r="L5372" s="27"/>
    </row>
    <row r="5373" customFormat="false" ht="15" hidden="false" customHeight="false" outlineLevel="0" collapsed="false">
      <c r="A5373" s="26" t="s">
        <v>15683</v>
      </c>
      <c r="B5373" s="27" t="s">
        <v>15684</v>
      </c>
      <c r="C5373" s="27" t="s">
        <v>144</v>
      </c>
      <c r="D5373" s="26"/>
      <c r="E5373" s="27"/>
      <c r="F5373" s="27"/>
      <c r="G5373" s="27" t="s">
        <v>11122</v>
      </c>
      <c r="H5373" s="27" t="s">
        <v>35</v>
      </c>
      <c r="I5373" s="27" t="s">
        <v>37</v>
      </c>
      <c r="J5373" s="28" t="s">
        <v>399</v>
      </c>
      <c r="K5373" s="27" t="s">
        <v>37</v>
      </c>
      <c r="L5373" s="27"/>
    </row>
    <row r="5374" customFormat="false" ht="15" hidden="false" customHeight="false" outlineLevel="0" collapsed="false">
      <c r="A5374" s="26" t="s">
        <v>15685</v>
      </c>
      <c r="B5374" s="27" t="s">
        <v>15686</v>
      </c>
      <c r="C5374" s="27" t="s">
        <v>144</v>
      </c>
      <c r="D5374" s="26"/>
      <c r="E5374" s="27"/>
      <c r="F5374" s="27"/>
      <c r="G5374" s="27" t="s">
        <v>11122</v>
      </c>
      <c r="H5374" s="27" t="s">
        <v>35</v>
      </c>
      <c r="I5374" s="27" t="s">
        <v>37</v>
      </c>
      <c r="J5374" s="28" t="s">
        <v>399</v>
      </c>
      <c r="K5374" s="27" t="s">
        <v>37</v>
      </c>
      <c r="L5374" s="27"/>
    </row>
    <row r="5375" customFormat="false" ht="15" hidden="false" customHeight="false" outlineLevel="0" collapsed="false">
      <c r="A5375" s="26" t="s">
        <v>15687</v>
      </c>
      <c r="B5375" s="27" t="s">
        <v>15688</v>
      </c>
      <c r="C5375" s="27" t="s">
        <v>144</v>
      </c>
      <c r="D5375" s="26"/>
      <c r="E5375" s="27"/>
      <c r="F5375" s="27"/>
      <c r="G5375" s="27" t="s">
        <v>11122</v>
      </c>
      <c r="H5375" s="27" t="s">
        <v>35</v>
      </c>
      <c r="I5375" s="27" t="s">
        <v>37</v>
      </c>
      <c r="J5375" s="28" t="s">
        <v>399</v>
      </c>
      <c r="K5375" s="27" t="s">
        <v>37</v>
      </c>
      <c r="L5375" s="27"/>
    </row>
    <row r="5376" customFormat="false" ht="15" hidden="false" customHeight="false" outlineLevel="0" collapsed="false">
      <c r="A5376" s="26" t="s">
        <v>15689</v>
      </c>
      <c r="B5376" s="27" t="s">
        <v>15690</v>
      </c>
      <c r="C5376" s="27" t="s">
        <v>144</v>
      </c>
      <c r="D5376" s="26"/>
      <c r="E5376" s="27"/>
      <c r="F5376" s="27"/>
      <c r="G5376" s="27" t="s">
        <v>11122</v>
      </c>
      <c r="H5376" s="27" t="s">
        <v>35</v>
      </c>
      <c r="I5376" s="27" t="s">
        <v>37</v>
      </c>
      <c r="J5376" s="28" t="s">
        <v>399</v>
      </c>
      <c r="K5376" s="27" t="s">
        <v>37</v>
      </c>
      <c r="L5376" s="27"/>
    </row>
    <row r="5377" customFormat="false" ht="15" hidden="false" customHeight="false" outlineLevel="0" collapsed="false">
      <c r="A5377" s="26" t="s">
        <v>15691</v>
      </c>
      <c r="B5377" s="27" t="s">
        <v>15692</v>
      </c>
      <c r="C5377" s="27" t="s">
        <v>144</v>
      </c>
      <c r="D5377" s="26"/>
      <c r="E5377" s="27"/>
      <c r="F5377" s="27"/>
      <c r="G5377" s="27" t="s">
        <v>11122</v>
      </c>
      <c r="H5377" s="27" t="s">
        <v>35</v>
      </c>
      <c r="I5377" s="27" t="s">
        <v>37</v>
      </c>
      <c r="J5377" s="28" t="s">
        <v>399</v>
      </c>
      <c r="K5377" s="27" t="s">
        <v>37</v>
      </c>
      <c r="L5377" s="27"/>
    </row>
    <row r="5378" customFormat="false" ht="15" hidden="false" customHeight="false" outlineLevel="0" collapsed="false">
      <c r="A5378" s="26" t="s">
        <v>15693</v>
      </c>
      <c r="B5378" s="27" t="s">
        <v>15694</v>
      </c>
      <c r="C5378" s="27" t="s">
        <v>144</v>
      </c>
      <c r="D5378" s="26"/>
      <c r="E5378" s="27"/>
      <c r="F5378" s="27"/>
      <c r="G5378" s="27" t="s">
        <v>11122</v>
      </c>
      <c r="H5378" s="27" t="s">
        <v>35</v>
      </c>
      <c r="I5378" s="27" t="s">
        <v>37</v>
      </c>
      <c r="J5378" s="28" t="s">
        <v>399</v>
      </c>
      <c r="K5378" s="27" t="s">
        <v>37</v>
      </c>
      <c r="L5378" s="27"/>
    </row>
    <row r="5379" customFormat="false" ht="15" hidden="false" customHeight="false" outlineLevel="0" collapsed="false">
      <c r="A5379" s="26" t="s">
        <v>15695</v>
      </c>
      <c r="B5379" s="27" t="s">
        <v>15696</v>
      </c>
      <c r="C5379" s="27" t="s">
        <v>144</v>
      </c>
      <c r="D5379" s="26"/>
      <c r="E5379" s="27"/>
      <c r="F5379" s="27"/>
      <c r="G5379" s="27" t="s">
        <v>11122</v>
      </c>
      <c r="H5379" s="27" t="s">
        <v>35</v>
      </c>
      <c r="I5379" s="27" t="s">
        <v>37</v>
      </c>
      <c r="J5379" s="28" t="s">
        <v>399</v>
      </c>
      <c r="K5379" s="27" t="s">
        <v>37</v>
      </c>
      <c r="L5379" s="27"/>
    </row>
    <row r="5380" customFormat="false" ht="15" hidden="false" customHeight="false" outlineLevel="0" collapsed="false">
      <c r="A5380" s="26" t="s">
        <v>15697</v>
      </c>
      <c r="B5380" s="27" t="s">
        <v>15698</v>
      </c>
      <c r="C5380" s="27" t="s">
        <v>144</v>
      </c>
      <c r="D5380" s="26"/>
      <c r="E5380" s="27"/>
      <c r="F5380" s="27"/>
      <c r="G5380" s="27" t="s">
        <v>11122</v>
      </c>
      <c r="H5380" s="27" t="s">
        <v>35</v>
      </c>
      <c r="I5380" s="27" t="s">
        <v>37</v>
      </c>
      <c r="J5380" s="28" t="s">
        <v>399</v>
      </c>
      <c r="K5380" s="27" t="s">
        <v>37</v>
      </c>
      <c r="L5380" s="27"/>
    </row>
    <row r="5381" customFormat="false" ht="15" hidden="false" customHeight="false" outlineLevel="0" collapsed="false">
      <c r="A5381" s="26" t="s">
        <v>15699</v>
      </c>
      <c r="B5381" s="27" t="s">
        <v>15700</v>
      </c>
      <c r="C5381" s="27" t="s">
        <v>144</v>
      </c>
      <c r="D5381" s="26"/>
      <c r="E5381" s="27"/>
      <c r="F5381" s="27"/>
      <c r="G5381" s="27" t="s">
        <v>11122</v>
      </c>
      <c r="H5381" s="27" t="s">
        <v>35</v>
      </c>
      <c r="I5381" s="27" t="s">
        <v>37</v>
      </c>
      <c r="J5381" s="28" t="s">
        <v>399</v>
      </c>
      <c r="K5381" s="27" t="s">
        <v>37</v>
      </c>
      <c r="L5381" s="27"/>
    </row>
    <row r="5382" customFormat="false" ht="15" hidden="false" customHeight="false" outlineLevel="0" collapsed="false">
      <c r="A5382" s="26" t="s">
        <v>15701</v>
      </c>
      <c r="B5382" s="27" t="s">
        <v>15702</v>
      </c>
      <c r="C5382" s="27" t="s">
        <v>144</v>
      </c>
      <c r="D5382" s="26"/>
      <c r="E5382" s="27"/>
      <c r="F5382" s="27"/>
      <c r="G5382" s="27" t="s">
        <v>11122</v>
      </c>
      <c r="H5382" s="27" t="s">
        <v>35</v>
      </c>
      <c r="I5382" s="27" t="s">
        <v>37</v>
      </c>
      <c r="J5382" s="28" t="s">
        <v>399</v>
      </c>
      <c r="K5382" s="27" t="s">
        <v>37</v>
      </c>
      <c r="L5382" s="27"/>
    </row>
    <row r="5383" customFormat="false" ht="15" hidden="false" customHeight="false" outlineLevel="0" collapsed="false">
      <c r="A5383" s="26" t="s">
        <v>15703</v>
      </c>
      <c r="B5383" s="27" t="s">
        <v>15704</v>
      </c>
      <c r="C5383" s="27" t="s">
        <v>144</v>
      </c>
      <c r="D5383" s="26"/>
      <c r="E5383" s="27"/>
      <c r="F5383" s="27"/>
      <c r="G5383" s="27" t="s">
        <v>11122</v>
      </c>
      <c r="H5383" s="27" t="s">
        <v>35</v>
      </c>
      <c r="I5383" s="27" t="s">
        <v>37</v>
      </c>
      <c r="J5383" s="28" t="s">
        <v>399</v>
      </c>
      <c r="K5383" s="27" t="s">
        <v>37</v>
      </c>
      <c r="L5383" s="27"/>
    </row>
    <row r="5384" customFormat="false" ht="15" hidden="false" customHeight="false" outlineLevel="0" collapsed="false">
      <c r="A5384" s="26" t="s">
        <v>15705</v>
      </c>
      <c r="B5384" s="27" t="s">
        <v>15706</v>
      </c>
      <c r="C5384" s="27" t="s">
        <v>144</v>
      </c>
      <c r="D5384" s="26"/>
      <c r="E5384" s="27"/>
      <c r="F5384" s="27"/>
      <c r="G5384" s="27" t="s">
        <v>11122</v>
      </c>
      <c r="H5384" s="27" t="s">
        <v>35</v>
      </c>
      <c r="I5384" s="27" t="s">
        <v>37</v>
      </c>
      <c r="J5384" s="28" t="s">
        <v>399</v>
      </c>
      <c r="K5384" s="27" t="s">
        <v>37</v>
      </c>
      <c r="L5384" s="27"/>
    </row>
    <row r="5385" customFormat="false" ht="15" hidden="false" customHeight="false" outlineLevel="0" collapsed="false">
      <c r="A5385" s="26" t="s">
        <v>15707</v>
      </c>
      <c r="B5385" s="27" t="s">
        <v>15708</v>
      </c>
      <c r="C5385" s="27" t="s">
        <v>144</v>
      </c>
      <c r="D5385" s="26"/>
      <c r="E5385" s="27"/>
      <c r="F5385" s="27"/>
      <c r="G5385" s="27" t="s">
        <v>11122</v>
      </c>
      <c r="H5385" s="27" t="s">
        <v>35</v>
      </c>
      <c r="I5385" s="27" t="s">
        <v>37</v>
      </c>
      <c r="J5385" s="28" t="s">
        <v>399</v>
      </c>
      <c r="K5385" s="27" t="s">
        <v>37</v>
      </c>
      <c r="L5385" s="27"/>
    </row>
    <row r="5386" customFormat="false" ht="15" hidden="false" customHeight="false" outlineLevel="0" collapsed="false">
      <c r="A5386" s="26" t="s">
        <v>15709</v>
      </c>
      <c r="B5386" s="27" t="s">
        <v>15710</v>
      </c>
      <c r="C5386" s="27" t="s">
        <v>144</v>
      </c>
      <c r="D5386" s="26"/>
      <c r="E5386" s="27"/>
      <c r="F5386" s="27"/>
      <c r="G5386" s="27" t="s">
        <v>11122</v>
      </c>
      <c r="H5386" s="27" t="s">
        <v>35</v>
      </c>
      <c r="I5386" s="27" t="s">
        <v>37</v>
      </c>
      <c r="J5386" s="28" t="s">
        <v>399</v>
      </c>
      <c r="K5386" s="27" t="s">
        <v>37</v>
      </c>
      <c r="L5386" s="27"/>
    </row>
    <row r="5387" customFormat="false" ht="15" hidden="false" customHeight="false" outlineLevel="0" collapsed="false">
      <c r="A5387" s="26" t="s">
        <v>15711</v>
      </c>
      <c r="B5387" s="27" t="s">
        <v>15712</v>
      </c>
      <c r="C5387" s="27" t="s">
        <v>144</v>
      </c>
      <c r="D5387" s="26"/>
      <c r="E5387" s="27"/>
      <c r="F5387" s="27"/>
      <c r="G5387" s="27" t="s">
        <v>11122</v>
      </c>
      <c r="H5387" s="27" t="s">
        <v>35</v>
      </c>
      <c r="I5387" s="27" t="s">
        <v>37</v>
      </c>
      <c r="J5387" s="28" t="s">
        <v>399</v>
      </c>
      <c r="K5387" s="27" t="s">
        <v>37</v>
      </c>
      <c r="L5387" s="27"/>
    </row>
    <row r="5388" customFormat="false" ht="15" hidden="false" customHeight="false" outlineLevel="0" collapsed="false">
      <c r="A5388" s="26" t="s">
        <v>15713</v>
      </c>
      <c r="B5388" s="27" t="s">
        <v>15714</v>
      </c>
      <c r="C5388" s="27" t="s">
        <v>144</v>
      </c>
      <c r="D5388" s="26"/>
      <c r="E5388" s="27"/>
      <c r="F5388" s="27"/>
      <c r="G5388" s="27" t="s">
        <v>11122</v>
      </c>
      <c r="H5388" s="27" t="s">
        <v>35</v>
      </c>
      <c r="I5388" s="27" t="s">
        <v>37</v>
      </c>
      <c r="J5388" s="28" t="s">
        <v>399</v>
      </c>
      <c r="K5388" s="27" t="s">
        <v>37</v>
      </c>
      <c r="L5388" s="27"/>
    </row>
    <row r="5389" customFormat="false" ht="15" hidden="false" customHeight="false" outlineLevel="0" collapsed="false">
      <c r="A5389" s="26" t="s">
        <v>15715</v>
      </c>
      <c r="B5389" s="27" t="s">
        <v>15716</v>
      </c>
      <c r="C5389" s="27" t="s">
        <v>144</v>
      </c>
      <c r="D5389" s="26"/>
      <c r="E5389" s="27"/>
      <c r="F5389" s="27"/>
      <c r="G5389" s="27" t="s">
        <v>11122</v>
      </c>
      <c r="H5389" s="27" t="s">
        <v>35</v>
      </c>
      <c r="I5389" s="27" t="s">
        <v>37</v>
      </c>
      <c r="J5389" s="28" t="s">
        <v>399</v>
      </c>
      <c r="K5389" s="27" t="s">
        <v>37</v>
      </c>
      <c r="L5389" s="27"/>
    </row>
    <row r="5390" customFormat="false" ht="15" hidden="false" customHeight="false" outlineLevel="0" collapsed="false">
      <c r="A5390" s="26" t="s">
        <v>15717</v>
      </c>
      <c r="B5390" s="27" t="s">
        <v>15718</v>
      </c>
      <c r="C5390" s="27" t="s">
        <v>144</v>
      </c>
      <c r="D5390" s="26"/>
      <c r="E5390" s="27"/>
      <c r="F5390" s="27"/>
      <c r="G5390" s="27" t="s">
        <v>11122</v>
      </c>
      <c r="H5390" s="27" t="s">
        <v>35</v>
      </c>
      <c r="I5390" s="27" t="s">
        <v>37</v>
      </c>
      <c r="J5390" s="28" t="s">
        <v>399</v>
      </c>
      <c r="K5390" s="27" t="s">
        <v>37</v>
      </c>
      <c r="L5390" s="27"/>
    </row>
    <row r="5391" customFormat="false" ht="15" hidden="false" customHeight="false" outlineLevel="0" collapsed="false">
      <c r="A5391" s="26" t="s">
        <v>15719</v>
      </c>
      <c r="B5391" s="27" t="s">
        <v>15720</v>
      </c>
      <c r="C5391" s="27" t="s">
        <v>144</v>
      </c>
      <c r="D5391" s="26"/>
      <c r="E5391" s="27"/>
      <c r="F5391" s="27"/>
      <c r="G5391" s="27" t="s">
        <v>11122</v>
      </c>
      <c r="H5391" s="27" t="s">
        <v>35</v>
      </c>
      <c r="I5391" s="27" t="s">
        <v>37</v>
      </c>
      <c r="J5391" s="28" t="s">
        <v>399</v>
      </c>
      <c r="K5391" s="27" t="s">
        <v>37</v>
      </c>
      <c r="L5391" s="27"/>
    </row>
    <row r="5392" customFormat="false" ht="15" hidden="false" customHeight="false" outlineLevel="0" collapsed="false">
      <c r="A5392" s="26" t="s">
        <v>15721</v>
      </c>
      <c r="B5392" s="27" t="s">
        <v>15722</v>
      </c>
      <c r="C5392" s="27" t="s">
        <v>144</v>
      </c>
      <c r="D5392" s="26"/>
      <c r="E5392" s="27"/>
      <c r="F5392" s="27"/>
      <c r="G5392" s="27" t="s">
        <v>11122</v>
      </c>
      <c r="H5392" s="27" t="s">
        <v>35</v>
      </c>
      <c r="I5392" s="27" t="s">
        <v>37</v>
      </c>
      <c r="J5392" s="28" t="s">
        <v>399</v>
      </c>
      <c r="K5392" s="27" t="s">
        <v>37</v>
      </c>
      <c r="L5392" s="27"/>
    </row>
    <row r="5393" customFormat="false" ht="15" hidden="false" customHeight="false" outlineLevel="0" collapsed="false">
      <c r="A5393" s="26" t="s">
        <v>15723</v>
      </c>
      <c r="B5393" s="27" t="s">
        <v>15724</v>
      </c>
      <c r="C5393" s="27" t="s">
        <v>144</v>
      </c>
      <c r="D5393" s="26"/>
      <c r="E5393" s="27"/>
      <c r="F5393" s="27"/>
      <c r="G5393" s="27" t="s">
        <v>11122</v>
      </c>
      <c r="H5393" s="27" t="s">
        <v>35</v>
      </c>
      <c r="I5393" s="27" t="s">
        <v>37</v>
      </c>
      <c r="J5393" s="28" t="s">
        <v>399</v>
      </c>
      <c r="K5393" s="27" t="s">
        <v>37</v>
      </c>
      <c r="L5393" s="27"/>
    </row>
    <row r="5394" customFormat="false" ht="15" hidden="false" customHeight="false" outlineLevel="0" collapsed="false">
      <c r="A5394" s="26" t="s">
        <v>15725</v>
      </c>
      <c r="B5394" s="27" t="s">
        <v>15726</v>
      </c>
      <c r="C5394" s="27" t="s">
        <v>144</v>
      </c>
      <c r="D5394" s="26"/>
      <c r="E5394" s="27"/>
      <c r="F5394" s="27"/>
      <c r="G5394" s="27" t="s">
        <v>11122</v>
      </c>
      <c r="H5394" s="27" t="s">
        <v>35</v>
      </c>
      <c r="I5394" s="27" t="s">
        <v>37</v>
      </c>
      <c r="J5394" s="28" t="s">
        <v>399</v>
      </c>
      <c r="K5394" s="27" t="s">
        <v>37</v>
      </c>
      <c r="L5394" s="27"/>
    </row>
    <row r="5395" customFormat="false" ht="15" hidden="false" customHeight="false" outlineLevel="0" collapsed="false">
      <c r="A5395" s="26" t="s">
        <v>15727</v>
      </c>
      <c r="B5395" s="27" t="s">
        <v>15728</v>
      </c>
      <c r="C5395" s="27" t="s">
        <v>144</v>
      </c>
      <c r="D5395" s="26"/>
      <c r="E5395" s="27"/>
      <c r="F5395" s="27"/>
      <c r="G5395" s="27" t="s">
        <v>11122</v>
      </c>
      <c r="H5395" s="27" t="s">
        <v>35</v>
      </c>
      <c r="I5395" s="27" t="s">
        <v>37</v>
      </c>
      <c r="J5395" s="28" t="s">
        <v>399</v>
      </c>
      <c r="K5395" s="27" t="s">
        <v>37</v>
      </c>
      <c r="L5395" s="27"/>
    </row>
    <row r="5396" customFormat="false" ht="15" hidden="false" customHeight="false" outlineLevel="0" collapsed="false">
      <c r="A5396" s="26" t="s">
        <v>15729</v>
      </c>
      <c r="B5396" s="27" t="s">
        <v>15730</v>
      </c>
      <c r="C5396" s="27" t="s">
        <v>144</v>
      </c>
      <c r="D5396" s="26"/>
      <c r="E5396" s="27"/>
      <c r="F5396" s="27"/>
      <c r="G5396" s="27" t="s">
        <v>11122</v>
      </c>
      <c r="H5396" s="27" t="s">
        <v>35</v>
      </c>
      <c r="I5396" s="27" t="s">
        <v>37</v>
      </c>
      <c r="J5396" s="28" t="s">
        <v>399</v>
      </c>
      <c r="K5396" s="27" t="s">
        <v>37</v>
      </c>
      <c r="L5396" s="27"/>
    </row>
    <row r="5397" customFormat="false" ht="15" hidden="false" customHeight="false" outlineLevel="0" collapsed="false">
      <c r="A5397" s="26" t="s">
        <v>15731</v>
      </c>
      <c r="B5397" s="27" t="s">
        <v>15732</v>
      </c>
      <c r="C5397" s="27" t="s">
        <v>144</v>
      </c>
      <c r="D5397" s="26"/>
      <c r="E5397" s="27"/>
      <c r="F5397" s="27"/>
      <c r="G5397" s="27" t="s">
        <v>11122</v>
      </c>
      <c r="H5397" s="27" t="s">
        <v>35</v>
      </c>
      <c r="I5397" s="27" t="s">
        <v>37</v>
      </c>
      <c r="J5397" s="28" t="s">
        <v>399</v>
      </c>
      <c r="K5397" s="27" t="s">
        <v>37</v>
      </c>
      <c r="L5397" s="27"/>
    </row>
    <row r="5398" customFormat="false" ht="15" hidden="false" customHeight="false" outlineLevel="0" collapsed="false">
      <c r="A5398" s="26" t="s">
        <v>15733</v>
      </c>
      <c r="B5398" s="27" t="s">
        <v>15734</v>
      </c>
      <c r="C5398" s="27" t="s">
        <v>144</v>
      </c>
      <c r="D5398" s="26"/>
      <c r="E5398" s="27"/>
      <c r="F5398" s="27"/>
      <c r="G5398" s="27" t="s">
        <v>11122</v>
      </c>
      <c r="H5398" s="27" t="s">
        <v>35</v>
      </c>
      <c r="I5398" s="27" t="s">
        <v>37</v>
      </c>
      <c r="J5398" s="28" t="s">
        <v>399</v>
      </c>
      <c r="K5398" s="27" t="s">
        <v>37</v>
      </c>
      <c r="L5398" s="27"/>
    </row>
    <row r="5399" customFormat="false" ht="15" hidden="false" customHeight="false" outlineLevel="0" collapsed="false">
      <c r="A5399" s="26" t="s">
        <v>15735</v>
      </c>
      <c r="B5399" s="27" t="s">
        <v>15736</v>
      </c>
      <c r="C5399" s="27" t="s">
        <v>144</v>
      </c>
      <c r="D5399" s="26"/>
      <c r="E5399" s="27"/>
      <c r="F5399" s="27"/>
      <c r="G5399" s="27" t="s">
        <v>11122</v>
      </c>
      <c r="H5399" s="27" t="s">
        <v>35</v>
      </c>
      <c r="I5399" s="27" t="s">
        <v>37</v>
      </c>
      <c r="J5399" s="28" t="s">
        <v>399</v>
      </c>
      <c r="K5399" s="27" t="s">
        <v>37</v>
      </c>
      <c r="L5399" s="27"/>
    </row>
    <row r="5400" customFormat="false" ht="15" hidden="false" customHeight="false" outlineLevel="0" collapsed="false">
      <c r="A5400" s="26" t="s">
        <v>15737</v>
      </c>
      <c r="B5400" s="27" t="s">
        <v>15738</v>
      </c>
      <c r="C5400" s="27" t="s">
        <v>144</v>
      </c>
      <c r="D5400" s="26"/>
      <c r="E5400" s="27"/>
      <c r="F5400" s="27"/>
      <c r="G5400" s="27" t="s">
        <v>11122</v>
      </c>
      <c r="H5400" s="27" t="s">
        <v>35</v>
      </c>
      <c r="I5400" s="27" t="s">
        <v>37</v>
      </c>
      <c r="J5400" s="28" t="s">
        <v>399</v>
      </c>
      <c r="K5400" s="27" t="s">
        <v>37</v>
      </c>
      <c r="L5400" s="27"/>
    </row>
    <row r="5401" customFormat="false" ht="15" hidden="false" customHeight="false" outlineLevel="0" collapsed="false">
      <c r="A5401" s="26" t="s">
        <v>15739</v>
      </c>
      <c r="B5401" s="27" t="s">
        <v>15740</v>
      </c>
      <c r="C5401" s="27" t="s">
        <v>144</v>
      </c>
      <c r="D5401" s="26"/>
      <c r="E5401" s="27"/>
      <c r="F5401" s="27"/>
      <c r="G5401" s="27" t="s">
        <v>11122</v>
      </c>
      <c r="H5401" s="27" t="s">
        <v>35</v>
      </c>
      <c r="I5401" s="27" t="s">
        <v>37</v>
      </c>
      <c r="J5401" s="28" t="s">
        <v>399</v>
      </c>
      <c r="K5401" s="27" t="s">
        <v>37</v>
      </c>
      <c r="L5401" s="27"/>
    </row>
    <row r="5402" customFormat="false" ht="15" hidden="false" customHeight="false" outlineLevel="0" collapsed="false">
      <c r="A5402" s="26" t="s">
        <v>15741</v>
      </c>
      <c r="B5402" s="27" t="s">
        <v>15742</v>
      </c>
      <c r="C5402" s="27" t="s">
        <v>144</v>
      </c>
      <c r="D5402" s="26"/>
      <c r="E5402" s="27"/>
      <c r="F5402" s="27"/>
      <c r="G5402" s="27" t="s">
        <v>11122</v>
      </c>
      <c r="H5402" s="27" t="s">
        <v>35</v>
      </c>
      <c r="I5402" s="27" t="s">
        <v>37</v>
      </c>
      <c r="J5402" s="28" t="s">
        <v>399</v>
      </c>
      <c r="K5402" s="27" t="s">
        <v>37</v>
      </c>
      <c r="L5402" s="27"/>
    </row>
    <row r="5403" customFormat="false" ht="15" hidden="false" customHeight="false" outlineLevel="0" collapsed="false">
      <c r="A5403" s="26" t="s">
        <v>15743</v>
      </c>
      <c r="B5403" s="27" t="s">
        <v>15744</v>
      </c>
      <c r="C5403" s="27" t="s">
        <v>144</v>
      </c>
      <c r="D5403" s="26"/>
      <c r="E5403" s="27"/>
      <c r="F5403" s="27"/>
      <c r="G5403" s="27" t="s">
        <v>11122</v>
      </c>
      <c r="H5403" s="27" t="s">
        <v>35</v>
      </c>
      <c r="I5403" s="27" t="s">
        <v>37</v>
      </c>
      <c r="J5403" s="28" t="s">
        <v>399</v>
      </c>
      <c r="K5403" s="27" t="s">
        <v>37</v>
      </c>
      <c r="L5403" s="27"/>
    </row>
    <row r="5404" customFormat="false" ht="15" hidden="false" customHeight="false" outlineLevel="0" collapsed="false">
      <c r="A5404" s="26" t="s">
        <v>15745</v>
      </c>
      <c r="B5404" s="27" t="s">
        <v>15746</v>
      </c>
      <c r="C5404" s="27" t="s">
        <v>144</v>
      </c>
      <c r="D5404" s="26"/>
      <c r="E5404" s="27"/>
      <c r="F5404" s="27"/>
      <c r="G5404" s="27" t="s">
        <v>11122</v>
      </c>
      <c r="H5404" s="27" t="s">
        <v>35</v>
      </c>
      <c r="I5404" s="27" t="s">
        <v>37</v>
      </c>
      <c r="J5404" s="28" t="s">
        <v>399</v>
      </c>
      <c r="K5404" s="27" t="s">
        <v>37</v>
      </c>
      <c r="L5404" s="27"/>
    </row>
    <row r="5405" customFormat="false" ht="15" hidden="false" customHeight="false" outlineLevel="0" collapsed="false">
      <c r="A5405" s="26" t="s">
        <v>15747</v>
      </c>
      <c r="B5405" s="27" t="s">
        <v>15748</v>
      </c>
      <c r="C5405" s="27" t="s">
        <v>144</v>
      </c>
      <c r="D5405" s="26"/>
      <c r="E5405" s="27"/>
      <c r="F5405" s="27"/>
      <c r="G5405" s="27" t="s">
        <v>11122</v>
      </c>
      <c r="H5405" s="27" t="s">
        <v>35</v>
      </c>
      <c r="I5405" s="27" t="s">
        <v>37</v>
      </c>
      <c r="J5405" s="28" t="s">
        <v>399</v>
      </c>
      <c r="K5405" s="27" t="s">
        <v>37</v>
      </c>
      <c r="L5405" s="27"/>
    </row>
    <row r="5406" customFormat="false" ht="15" hidden="false" customHeight="false" outlineLevel="0" collapsed="false">
      <c r="A5406" s="26" t="s">
        <v>15749</v>
      </c>
      <c r="B5406" s="27" t="s">
        <v>15750</v>
      </c>
      <c r="C5406" s="27" t="s">
        <v>144</v>
      </c>
      <c r="D5406" s="26"/>
      <c r="E5406" s="27"/>
      <c r="F5406" s="27"/>
      <c r="G5406" s="27" t="s">
        <v>11122</v>
      </c>
      <c r="H5406" s="27" t="s">
        <v>35</v>
      </c>
      <c r="I5406" s="27" t="s">
        <v>37</v>
      </c>
      <c r="J5406" s="28" t="s">
        <v>399</v>
      </c>
      <c r="K5406" s="27" t="s">
        <v>37</v>
      </c>
      <c r="L5406" s="27"/>
    </row>
    <row r="5407" customFormat="false" ht="15" hidden="false" customHeight="false" outlineLevel="0" collapsed="false">
      <c r="A5407" s="26" t="s">
        <v>15751</v>
      </c>
      <c r="B5407" s="27" t="s">
        <v>15752</v>
      </c>
      <c r="C5407" s="27" t="s">
        <v>144</v>
      </c>
      <c r="D5407" s="26"/>
      <c r="E5407" s="27"/>
      <c r="F5407" s="27"/>
      <c r="G5407" s="27" t="s">
        <v>11122</v>
      </c>
      <c r="H5407" s="27" t="s">
        <v>35</v>
      </c>
      <c r="I5407" s="27" t="s">
        <v>37</v>
      </c>
      <c r="J5407" s="28" t="s">
        <v>399</v>
      </c>
      <c r="K5407" s="27" t="s">
        <v>37</v>
      </c>
      <c r="L5407" s="27"/>
    </row>
    <row r="5408" customFormat="false" ht="15" hidden="false" customHeight="false" outlineLevel="0" collapsed="false">
      <c r="A5408" s="26" t="s">
        <v>15753</v>
      </c>
      <c r="B5408" s="27" t="s">
        <v>15754</v>
      </c>
      <c r="C5408" s="27" t="s">
        <v>144</v>
      </c>
      <c r="D5408" s="26"/>
      <c r="E5408" s="27"/>
      <c r="F5408" s="27"/>
      <c r="G5408" s="27" t="s">
        <v>11122</v>
      </c>
      <c r="H5408" s="27" t="s">
        <v>35</v>
      </c>
      <c r="I5408" s="27" t="s">
        <v>37</v>
      </c>
      <c r="J5408" s="28" t="s">
        <v>399</v>
      </c>
      <c r="K5408" s="27" t="s">
        <v>37</v>
      </c>
      <c r="L5408" s="27"/>
    </row>
    <row r="5409" customFormat="false" ht="15" hidden="false" customHeight="false" outlineLevel="0" collapsed="false">
      <c r="A5409" s="26" t="s">
        <v>15755</v>
      </c>
      <c r="B5409" s="27" t="s">
        <v>15756</v>
      </c>
      <c r="C5409" s="27" t="s">
        <v>144</v>
      </c>
      <c r="D5409" s="26"/>
      <c r="E5409" s="27"/>
      <c r="F5409" s="27"/>
      <c r="G5409" s="27" t="s">
        <v>11122</v>
      </c>
      <c r="H5409" s="27" t="s">
        <v>35</v>
      </c>
      <c r="I5409" s="27" t="s">
        <v>37</v>
      </c>
      <c r="J5409" s="28" t="s">
        <v>399</v>
      </c>
      <c r="K5409" s="27" t="s">
        <v>37</v>
      </c>
      <c r="L5409" s="27"/>
    </row>
    <row r="5410" customFormat="false" ht="15" hidden="false" customHeight="false" outlineLevel="0" collapsed="false">
      <c r="A5410" s="26" t="s">
        <v>15757</v>
      </c>
      <c r="B5410" s="27" t="s">
        <v>15758</v>
      </c>
      <c r="C5410" s="27" t="s">
        <v>144</v>
      </c>
      <c r="D5410" s="26"/>
      <c r="E5410" s="27"/>
      <c r="F5410" s="27"/>
      <c r="G5410" s="27" t="s">
        <v>11122</v>
      </c>
      <c r="H5410" s="27" t="s">
        <v>35</v>
      </c>
      <c r="I5410" s="27" t="s">
        <v>37</v>
      </c>
      <c r="J5410" s="28" t="s">
        <v>399</v>
      </c>
      <c r="K5410" s="27" t="s">
        <v>37</v>
      </c>
      <c r="L5410" s="27"/>
    </row>
    <row r="5411" customFormat="false" ht="15" hidden="false" customHeight="false" outlineLevel="0" collapsed="false">
      <c r="A5411" s="26" t="s">
        <v>15759</v>
      </c>
      <c r="B5411" s="27" t="s">
        <v>15760</v>
      </c>
      <c r="C5411" s="27" t="s">
        <v>144</v>
      </c>
      <c r="D5411" s="26"/>
      <c r="E5411" s="27"/>
      <c r="F5411" s="27"/>
      <c r="G5411" s="27" t="s">
        <v>11122</v>
      </c>
      <c r="H5411" s="27" t="s">
        <v>35</v>
      </c>
      <c r="I5411" s="27" t="s">
        <v>37</v>
      </c>
      <c r="J5411" s="28" t="s">
        <v>399</v>
      </c>
      <c r="K5411" s="27" t="s">
        <v>37</v>
      </c>
      <c r="L5411" s="27"/>
    </row>
    <row r="5412" customFormat="false" ht="15" hidden="false" customHeight="false" outlineLevel="0" collapsed="false">
      <c r="A5412" s="26" t="s">
        <v>15761</v>
      </c>
      <c r="B5412" s="27" t="s">
        <v>15762</v>
      </c>
      <c r="C5412" s="27" t="s">
        <v>144</v>
      </c>
      <c r="D5412" s="26"/>
      <c r="E5412" s="27"/>
      <c r="F5412" s="27"/>
      <c r="G5412" s="27" t="s">
        <v>11122</v>
      </c>
      <c r="H5412" s="27" t="s">
        <v>35</v>
      </c>
      <c r="I5412" s="27" t="s">
        <v>37</v>
      </c>
      <c r="J5412" s="28" t="s">
        <v>399</v>
      </c>
      <c r="K5412" s="27" t="s">
        <v>37</v>
      </c>
      <c r="L5412" s="27"/>
    </row>
    <row r="5413" customFormat="false" ht="15" hidden="false" customHeight="false" outlineLevel="0" collapsed="false">
      <c r="A5413" s="26" t="s">
        <v>15763</v>
      </c>
      <c r="B5413" s="27" t="s">
        <v>15764</v>
      </c>
      <c r="C5413" s="27" t="s">
        <v>144</v>
      </c>
      <c r="D5413" s="26"/>
      <c r="E5413" s="27"/>
      <c r="F5413" s="27"/>
      <c r="G5413" s="27" t="s">
        <v>11122</v>
      </c>
      <c r="H5413" s="27" t="s">
        <v>35</v>
      </c>
      <c r="I5413" s="27" t="s">
        <v>37</v>
      </c>
      <c r="J5413" s="28" t="s">
        <v>399</v>
      </c>
      <c r="K5413" s="27" t="s">
        <v>37</v>
      </c>
      <c r="L5413" s="27"/>
    </row>
    <row r="5414" customFormat="false" ht="15" hidden="false" customHeight="false" outlineLevel="0" collapsed="false">
      <c r="A5414" s="26" t="s">
        <v>15765</v>
      </c>
      <c r="B5414" s="27" t="s">
        <v>15766</v>
      </c>
      <c r="C5414" s="27" t="s">
        <v>144</v>
      </c>
      <c r="D5414" s="26"/>
      <c r="E5414" s="27"/>
      <c r="F5414" s="27"/>
      <c r="G5414" s="27" t="s">
        <v>11122</v>
      </c>
      <c r="H5414" s="27" t="s">
        <v>35</v>
      </c>
      <c r="I5414" s="27" t="s">
        <v>43</v>
      </c>
      <c r="J5414" s="28" t="s">
        <v>399</v>
      </c>
      <c r="K5414" s="27" t="s">
        <v>37</v>
      </c>
      <c r="L5414" s="27"/>
    </row>
    <row r="5415" customFormat="false" ht="15" hidden="false" customHeight="false" outlineLevel="0" collapsed="false">
      <c r="A5415" s="26" t="s">
        <v>15767</v>
      </c>
      <c r="B5415" s="27" t="s">
        <v>15768</v>
      </c>
      <c r="C5415" s="27" t="s">
        <v>144</v>
      </c>
      <c r="D5415" s="26"/>
      <c r="E5415" s="27"/>
      <c r="F5415" s="27"/>
      <c r="G5415" s="27" t="s">
        <v>11122</v>
      </c>
      <c r="H5415" s="27" t="s">
        <v>35</v>
      </c>
      <c r="I5415" s="27" t="s">
        <v>37</v>
      </c>
      <c r="J5415" s="28" t="s">
        <v>399</v>
      </c>
      <c r="K5415" s="27" t="s">
        <v>37</v>
      </c>
      <c r="L5415" s="27"/>
    </row>
    <row r="5416" customFormat="false" ht="15" hidden="false" customHeight="false" outlineLevel="0" collapsed="false">
      <c r="A5416" s="26" t="s">
        <v>15769</v>
      </c>
      <c r="B5416" s="27" t="s">
        <v>15770</v>
      </c>
      <c r="C5416" s="27" t="s">
        <v>144</v>
      </c>
      <c r="D5416" s="26"/>
      <c r="E5416" s="27"/>
      <c r="F5416" s="27"/>
      <c r="G5416" s="27" t="s">
        <v>11122</v>
      </c>
      <c r="H5416" s="27" t="s">
        <v>35</v>
      </c>
      <c r="I5416" s="27" t="s">
        <v>37</v>
      </c>
      <c r="J5416" s="28" t="s">
        <v>399</v>
      </c>
      <c r="K5416" s="27" t="s">
        <v>37</v>
      </c>
      <c r="L5416" s="27"/>
    </row>
    <row r="5417" customFormat="false" ht="15" hidden="false" customHeight="false" outlineLevel="0" collapsed="false">
      <c r="A5417" s="26" t="s">
        <v>15771</v>
      </c>
      <c r="B5417" s="27" t="s">
        <v>15772</v>
      </c>
      <c r="C5417" s="27" t="s">
        <v>144</v>
      </c>
      <c r="D5417" s="26"/>
      <c r="E5417" s="27"/>
      <c r="F5417" s="27"/>
      <c r="G5417" s="27" t="s">
        <v>11122</v>
      </c>
      <c r="H5417" s="27" t="s">
        <v>35</v>
      </c>
      <c r="I5417" s="27" t="s">
        <v>37</v>
      </c>
      <c r="J5417" s="28" t="s">
        <v>399</v>
      </c>
      <c r="K5417" s="27" t="s">
        <v>37</v>
      </c>
      <c r="L5417" s="27"/>
    </row>
    <row r="5418" customFormat="false" ht="15" hidden="false" customHeight="false" outlineLevel="0" collapsed="false">
      <c r="A5418" s="26" t="s">
        <v>15773</v>
      </c>
      <c r="B5418" s="27" t="s">
        <v>15774</v>
      </c>
      <c r="C5418" s="27" t="s">
        <v>144</v>
      </c>
      <c r="D5418" s="26"/>
      <c r="E5418" s="27"/>
      <c r="F5418" s="27"/>
      <c r="G5418" s="27" t="s">
        <v>11122</v>
      </c>
      <c r="H5418" s="27" t="s">
        <v>35</v>
      </c>
      <c r="I5418" s="27" t="s">
        <v>37</v>
      </c>
      <c r="J5418" s="28" t="s">
        <v>399</v>
      </c>
      <c r="K5418" s="27" t="s">
        <v>37</v>
      </c>
      <c r="L5418" s="27"/>
    </row>
    <row r="5419" customFormat="false" ht="15" hidden="false" customHeight="false" outlineLevel="0" collapsed="false">
      <c r="A5419" s="26" t="s">
        <v>15775</v>
      </c>
      <c r="B5419" s="27" t="s">
        <v>15776</v>
      </c>
      <c r="C5419" s="27" t="s">
        <v>144</v>
      </c>
      <c r="D5419" s="26"/>
      <c r="E5419" s="27"/>
      <c r="F5419" s="27"/>
      <c r="G5419" s="27" t="s">
        <v>11122</v>
      </c>
      <c r="H5419" s="27" t="s">
        <v>35</v>
      </c>
      <c r="I5419" s="27" t="s">
        <v>37</v>
      </c>
      <c r="J5419" s="28" t="s">
        <v>399</v>
      </c>
      <c r="K5419" s="27" t="s">
        <v>37</v>
      </c>
      <c r="L5419" s="27"/>
    </row>
    <row r="5420" customFormat="false" ht="15" hidden="false" customHeight="false" outlineLevel="0" collapsed="false">
      <c r="A5420" s="26" t="s">
        <v>15777</v>
      </c>
      <c r="B5420" s="27" t="s">
        <v>15778</v>
      </c>
      <c r="C5420" s="27" t="s">
        <v>144</v>
      </c>
      <c r="D5420" s="26"/>
      <c r="E5420" s="27"/>
      <c r="F5420" s="27"/>
      <c r="G5420" s="27" t="s">
        <v>11122</v>
      </c>
      <c r="H5420" s="27" t="s">
        <v>35</v>
      </c>
      <c r="I5420" s="27" t="s">
        <v>37</v>
      </c>
      <c r="J5420" s="28" t="s">
        <v>399</v>
      </c>
      <c r="K5420" s="27" t="s">
        <v>37</v>
      </c>
      <c r="L5420" s="27"/>
    </row>
    <row r="5421" customFormat="false" ht="15" hidden="false" customHeight="false" outlineLevel="0" collapsed="false">
      <c r="A5421" s="26" t="s">
        <v>15779</v>
      </c>
      <c r="B5421" s="27" t="s">
        <v>15780</v>
      </c>
      <c r="C5421" s="27" t="s">
        <v>144</v>
      </c>
      <c r="D5421" s="26"/>
      <c r="E5421" s="27"/>
      <c r="F5421" s="27"/>
      <c r="G5421" s="27" t="s">
        <v>11122</v>
      </c>
      <c r="H5421" s="27" t="s">
        <v>35</v>
      </c>
      <c r="I5421" s="27" t="s">
        <v>37</v>
      </c>
      <c r="J5421" s="28" t="s">
        <v>399</v>
      </c>
      <c r="K5421" s="27" t="s">
        <v>37</v>
      </c>
      <c r="L5421" s="27"/>
    </row>
    <row r="5422" customFormat="false" ht="15" hidden="false" customHeight="false" outlineLevel="0" collapsed="false">
      <c r="A5422" s="26" t="s">
        <v>15781</v>
      </c>
      <c r="B5422" s="27" t="s">
        <v>15782</v>
      </c>
      <c r="C5422" s="27" t="s">
        <v>137</v>
      </c>
      <c r="D5422" s="26"/>
      <c r="E5422" s="27"/>
      <c r="F5422" s="27"/>
      <c r="G5422" s="27" t="s">
        <v>11122</v>
      </c>
      <c r="H5422" s="27" t="s">
        <v>35</v>
      </c>
      <c r="I5422" s="27" t="s">
        <v>38</v>
      </c>
      <c r="J5422" s="28" t="s">
        <v>399</v>
      </c>
      <c r="K5422" s="27" t="s">
        <v>37</v>
      </c>
      <c r="L5422" s="27"/>
    </row>
    <row r="5423" customFormat="false" ht="15" hidden="false" customHeight="false" outlineLevel="0" collapsed="false">
      <c r="A5423" s="26" t="s">
        <v>15783</v>
      </c>
      <c r="B5423" s="27" t="s">
        <v>15784</v>
      </c>
      <c r="C5423" s="27" t="s">
        <v>144</v>
      </c>
      <c r="D5423" s="26"/>
      <c r="E5423" s="27"/>
      <c r="F5423" s="27"/>
      <c r="G5423" s="27" t="s">
        <v>11122</v>
      </c>
      <c r="H5423" s="27" t="s">
        <v>35</v>
      </c>
      <c r="I5423" s="27" t="s">
        <v>37</v>
      </c>
      <c r="J5423" s="28" t="s">
        <v>399</v>
      </c>
      <c r="K5423" s="27" t="s">
        <v>37</v>
      </c>
      <c r="L5423" s="27"/>
    </row>
    <row r="5424" customFormat="false" ht="15" hidden="false" customHeight="false" outlineLevel="0" collapsed="false">
      <c r="A5424" s="26" t="s">
        <v>15785</v>
      </c>
      <c r="B5424" s="27" t="s">
        <v>15786</v>
      </c>
      <c r="C5424" s="27" t="s">
        <v>144</v>
      </c>
      <c r="D5424" s="26"/>
      <c r="E5424" s="27"/>
      <c r="F5424" s="27"/>
      <c r="G5424" s="27" t="s">
        <v>11122</v>
      </c>
      <c r="H5424" s="27" t="s">
        <v>35</v>
      </c>
      <c r="I5424" s="27" t="s">
        <v>37</v>
      </c>
      <c r="J5424" s="28" t="s">
        <v>399</v>
      </c>
      <c r="K5424" s="27" t="s">
        <v>37</v>
      </c>
      <c r="L5424" s="27"/>
    </row>
    <row r="5425" customFormat="false" ht="15" hidden="false" customHeight="false" outlineLevel="0" collapsed="false">
      <c r="A5425" s="26" t="s">
        <v>15787</v>
      </c>
      <c r="B5425" s="27" t="s">
        <v>15788</v>
      </c>
      <c r="C5425" s="27" t="s">
        <v>144</v>
      </c>
      <c r="D5425" s="26"/>
      <c r="E5425" s="27"/>
      <c r="F5425" s="27"/>
      <c r="G5425" s="27" t="s">
        <v>11122</v>
      </c>
      <c r="H5425" s="27" t="s">
        <v>35</v>
      </c>
      <c r="I5425" s="27" t="s">
        <v>37</v>
      </c>
      <c r="J5425" s="28" t="s">
        <v>399</v>
      </c>
      <c r="K5425" s="27" t="s">
        <v>37</v>
      </c>
      <c r="L5425" s="27"/>
    </row>
    <row r="5426" customFormat="false" ht="15" hidden="false" customHeight="false" outlineLevel="0" collapsed="false">
      <c r="A5426" s="26" t="s">
        <v>15789</v>
      </c>
      <c r="B5426" s="27" t="s">
        <v>15790</v>
      </c>
      <c r="C5426" s="27" t="s">
        <v>144</v>
      </c>
      <c r="D5426" s="26"/>
      <c r="E5426" s="27"/>
      <c r="F5426" s="27"/>
      <c r="G5426" s="27" t="s">
        <v>11122</v>
      </c>
      <c r="H5426" s="27" t="s">
        <v>35</v>
      </c>
      <c r="I5426" s="27" t="s">
        <v>37</v>
      </c>
      <c r="J5426" s="28" t="s">
        <v>399</v>
      </c>
      <c r="K5426" s="27" t="s">
        <v>37</v>
      </c>
      <c r="L5426" s="27"/>
    </row>
    <row r="5427" customFormat="false" ht="15" hidden="false" customHeight="false" outlineLevel="0" collapsed="false">
      <c r="A5427" s="26" t="s">
        <v>15791</v>
      </c>
      <c r="B5427" s="27" t="s">
        <v>15792</v>
      </c>
      <c r="C5427" s="27" t="s">
        <v>144</v>
      </c>
      <c r="D5427" s="26"/>
      <c r="E5427" s="27"/>
      <c r="F5427" s="27"/>
      <c r="G5427" s="27" t="s">
        <v>11122</v>
      </c>
      <c r="H5427" s="27" t="s">
        <v>35</v>
      </c>
      <c r="I5427" s="27" t="s">
        <v>37</v>
      </c>
      <c r="J5427" s="28" t="s">
        <v>399</v>
      </c>
      <c r="K5427" s="27" t="s">
        <v>37</v>
      </c>
      <c r="L5427" s="27"/>
    </row>
    <row r="5428" customFormat="false" ht="15" hidden="false" customHeight="false" outlineLevel="0" collapsed="false">
      <c r="A5428" s="26" t="s">
        <v>15793</v>
      </c>
      <c r="B5428" s="27" t="s">
        <v>15794</v>
      </c>
      <c r="C5428" s="27" t="s">
        <v>144</v>
      </c>
      <c r="D5428" s="26"/>
      <c r="E5428" s="27"/>
      <c r="F5428" s="27"/>
      <c r="G5428" s="27" t="s">
        <v>11122</v>
      </c>
      <c r="H5428" s="27" t="s">
        <v>35</v>
      </c>
      <c r="I5428" s="27" t="s">
        <v>37</v>
      </c>
      <c r="J5428" s="28" t="s">
        <v>399</v>
      </c>
      <c r="K5428" s="27" t="s">
        <v>37</v>
      </c>
      <c r="L5428" s="27"/>
    </row>
    <row r="5429" customFormat="false" ht="15" hidden="false" customHeight="false" outlineLevel="0" collapsed="false">
      <c r="A5429" s="26" t="s">
        <v>15795</v>
      </c>
      <c r="B5429" s="27" t="s">
        <v>15796</v>
      </c>
      <c r="C5429" s="27" t="s">
        <v>144</v>
      </c>
      <c r="D5429" s="26"/>
      <c r="E5429" s="27"/>
      <c r="F5429" s="27"/>
      <c r="G5429" s="27" t="s">
        <v>11122</v>
      </c>
      <c r="H5429" s="27" t="s">
        <v>35</v>
      </c>
      <c r="I5429" s="27" t="s">
        <v>37</v>
      </c>
      <c r="J5429" s="28" t="s">
        <v>399</v>
      </c>
      <c r="K5429" s="27" t="s">
        <v>37</v>
      </c>
      <c r="L5429" s="27"/>
    </row>
    <row r="5430" customFormat="false" ht="15" hidden="false" customHeight="false" outlineLevel="0" collapsed="false">
      <c r="A5430" s="26" t="s">
        <v>15797</v>
      </c>
      <c r="B5430" s="27" t="s">
        <v>15798</v>
      </c>
      <c r="C5430" s="27" t="s">
        <v>144</v>
      </c>
      <c r="D5430" s="26"/>
      <c r="E5430" s="27"/>
      <c r="F5430" s="27"/>
      <c r="G5430" s="27" t="s">
        <v>11122</v>
      </c>
      <c r="H5430" s="27" t="s">
        <v>35</v>
      </c>
      <c r="I5430" s="27" t="s">
        <v>37</v>
      </c>
      <c r="J5430" s="28" t="s">
        <v>399</v>
      </c>
      <c r="K5430" s="27" t="s">
        <v>37</v>
      </c>
      <c r="L5430" s="27"/>
    </row>
    <row r="5431" customFormat="false" ht="15" hidden="false" customHeight="false" outlineLevel="0" collapsed="false">
      <c r="A5431" s="26" t="s">
        <v>15799</v>
      </c>
      <c r="B5431" s="27" t="s">
        <v>15800</v>
      </c>
      <c r="C5431" s="27" t="s">
        <v>144</v>
      </c>
      <c r="D5431" s="26"/>
      <c r="E5431" s="27"/>
      <c r="F5431" s="27"/>
      <c r="G5431" s="27" t="s">
        <v>11122</v>
      </c>
      <c r="H5431" s="27" t="s">
        <v>35</v>
      </c>
      <c r="I5431" s="27" t="s">
        <v>37</v>
      </c>
      <c r="J5431" s="28" t="s">
        <v>399</v>
      </c>
      <c r="K5431" s="27" t="s">
        <v>37</v>
      </c>
      <c r="L5431" s="27"/>
    </row>
    <row r="5432" customFormat="false" ht="15" hidden="false" customHeight="false" outlineLevel="0" collapsed="false">
      <c r="A5432" s="26" t="s">
        <v>15801</v>
      </c>
      <c r="B5432" s="27" t="s">
        <v>15802</v>
      </c>
      <c r="C5432" s="27" t="s">
        <v>144</v>
      </c>
      <c r="D5432" s="26"/>
      <c r="E5432" s="27"/>
      <c r="F5432" s="27"/>
      <c r="G5432" s="27" t="s">
        <v>11122</v>
      </c>
      <c r="H5432" s="27" t="s">
        <v>35</v>
      </c>
      <c r="I5432" s="27" t="s">
        <v>37</v>
      </c>
      <c r="J5432" s="28" t="s">
        <v>399</v>
      </c>
      <c r="K5432" s="27" t="s">
        <v>37</v>
      </c>
      <c r="L5432" s="27"/>
    </row>
    <row r="5433" customFormat="false" ht="15" hidden="false" customHeight="false" outlineLevel="0" collapsed="false">
      <c r="A5433" s="26" t="s">
        <v>15803</v>
      </c>
      <c r="B5433" s="27" t="s">
        <v>15804</v>
      </c>
      <c r="C5433" s="27" t="s">
        <v>144</v>
      </c>
      <c r="D5433" s="26"/>
      <c r="E5433" s="27"/>
      <c r="F5433" s="27"/>
      <c r="G5433" s="27" t="s">
        <v>11122</v>
      </c>
      <c r="H5433" s="27" t="s">
        <v>35</v>
      </c>
      <c r="I5433" s="27" t="s">
        <v>37</v>
      </c>
      <c r="J5433" s="28" t="s">
        <v>399</v>
      </c>
      <c r="K5433" s="27" t="s">
        <v>37</v>
      </c>
      <c r="L5433" s="27"/>
    </row>
    <row r="5434" customFormat="false" ht="15" hidden="false" customHeight="false" outlineLevel="0" collapsed="false">
      <c r="A5434" s="26" t="s">
        <v>15805</v>
      </c>
      <c r="B5434" s="27" t="s">
        <v>15806</v>
      </c>
      <c r="C5434" s="27" t="s">
        <v>144</v>
      </c>
      <c r="D5434" s="26"/>
      <c r="E5434" s="27"/>
      <c r="F5434" s="27"/>
      <c r="G5434" s="27" t="s">
        <v>11122</v>
      </c>
      <c r="H5434" s="27" t="s">
        <v>35</v>
      </c>
      <c r="I5434" s="27" t="s">
        <v>38</v>
      </c>
      <c r="J5434" s="28" t="s">
        <v>399</v>
      </c>
      <c r="K5434" s="27" t="s">
        <v>37</v>
      </c>
      <c r="L5434" s="27"/>
    </row>
    <row r="5435" customFormat="false" ht="15" hidden="false" customHeight="false" outlineLevel="0" collapsed="false">
      <c r="A5435" s="26" t="s">
        <v>15807</v>
      </c>
      <c r="B5435" s="27" t="s">
        <v>15808</v>
      </c>
      <c r="C5435" s="27" t="s">
        <v>144</v>
      </c>
      <c r="D5435" s="26"/>
      <c r="E5435" s="27"/>
      <c r="F5435" s="27"/>
      <c r="G5435" s="27" t="s">
        <v>11122</v>
      </c>
      <c r="H5435" s="27" t="s">
        <v>35</v>
      </c>
      <c r="I5435" s="27" t="s">
        <v>37</v>
      </c>
      <c r="J5435" s="28" t="s">
        <v>399</v>
      </c>
      <c r="K5435" s="27" t="s">
        <v>37</v>
      </c>
      <c r="L5435" s="27"/>
    </row>
    <row r="5436" customFormat="false" ht="15" hidden="false" customHeight="false" outlineLevel="0" collapsed="false">
      <c r="A5436" s="26" t="s">
        <v>15809</v>
      </c>
      <c r="B5436" s="27" t="s">
        <v>15810</v>
      </c>
      <c r="C5436" s="27" t="s">
        <v>144</v>
      </c>
      <c r="D5436" s="26"/>
      <c r="E5436" s="27"/>
      <c r="F5436" s="27"/>
      <c r="G5436" s="27" t="s">
        <v>11122</v>
      </c>
      <c r="H5436" s="27" t="s">
        <v>35</v>
      </c>
      <c r="I5436" s="27" t="s">
        <v>41</v>
      </c>
      <c r="J5436" s="28" t="s">
        <v>399</v>
      </c>
      <c r="K5436" s="27" t="s">
        <v>37</v>
      </c>
      <c r="L5436" s="27"/>
    </row>
    <row r="5437" customFormat="false" ht="15" hidden="false" customHeight="false" outlineLevel="0" collapsed="false">
      <c r="A5437" s="26" t="s">
        <v>15811</v>
      </c>
      <c r="B5437" s="27" t="s">
        <v>15812</v>
      </c>
      <c r="C5437" s="27" t="s">
        <v>144</v>
      </c>
      <c r="D5437" s="26"/>
      <c r="E5437" s="27"/>
      <c r="F5437" s="27"/>
      <c r="G5437" s="27" t="s">
        <v>11122</v>
      </c>
      <c r="H5437" s="27" t="s">
        <v>35</v>
      </c>
      <c r="I5437" s="27" t="s">
        <v>37</v>
      </c>
      <c r="J5437" s="28" t="s">
        <v>399</v>
      </c>
      <c r="K5437" s="27" t="s">
        <v>37</v>
      </c>
      <c r="L5437" s="27"/>
    </row>
    <row r="5438" customFormat="false" ht="15" hidden="false" customHeight="false" outlineLevel="0" collapsed="false">
      <c r="A5438" s="26" t="s">
        <v>15813</v>
      </c>
      <c r="B5438" s="27" t="s">
        <v>15814</v>
      </c>
      <c r="C5438" s="27" t="s">
        <v>144</v>
      </c>
      <c r="D5438" s="26"/>
      <c r="E5438" s="27"/>
      <c r="F5438" s="27"/>
      <c r="G5438" s="27" t="s">
        <v>11122</v>
      </c>
      <c r="H5438" s="27" t="s">
        <v>35</v>
      </c>
      <c r="I5438" s="27" t="s">
        <v>43</v>
      </c>
      <c r="J5438" s="28" t="s">
        <v>399</v>
      </c>
      <c r="K5438" s="27" t="s">
        <v>37</v>
      </c>
      <c r="L5438" s="27"/>
    </row>
    <row r="5439" customFormat="false" ht="15" hidden="false" customHeight="false" outlineLevel="0" collapsed="false">
      <c r="A5439" s="26" t="s">
        <v>15815</v>
      </c>
      <c r="B5439" s="27" t="s">
        <v>15816</v>
      </c>
      <c r="C5439" s="27" t="s">
        <v>144</v>
      </c>
      <c r="D5439" s="26"/>
      <c r="E5439" s="27"/>
      <c r="F5439" s="27"/>
      <c r="G5439" s="27" t="s">
        <v>11122</v>
      </c>
      <c r="H5439" s="27" t="s">
        <v>35</v>
      </c>
      <c r="I5439" s="27" t="s">
        <v>37</v>
      </c>
      <c r="J5439" s="28" t="s">
        <v>399</v>
      </c>
      <c r="K5439" s="27" t="s">
        <v>37</v>
      </c>
      <c r="L5439" s="27"/>
    </row>
    <row r="5440" customFormat="false" ht="15" hidden="false" customHeight="false" outlineLevel="0" collapsed="false">
      <c r="A5440" s="26" t="s">
        <v>15817</v>
      </c>
      <c r="B5440" s="27" t="s">
        <v>15818</v>
      </c>
      <c r="C5440" s="27" t="s">
        <v>144</v>
      </c>
      <c r="D5440" s="26"/>
      <c r="E5440" s="27"/>
      <c r="F5440" s="27"/>
      <c r="G5440" s="27" t="s">
        <v>11122</v>
      </c>
      <c r="H5440" s="27" t="s">
        <v>35</v>
      </c>
      <c r="I5440" s="27" t="s">
        <v>38</v>
      </c>
      <c r="J5440" s="28" t="s">
        <v>399</v>
      </c>
      <c r="K5440" s="27" t="s">
        <v>37</v>
      </c>
      <c r="L5440" s="27"/>
    </row>
    <row r="5441" customFormat="false" ht="15" hidden="false" customHeight="false" outlineLevel="0" collapsed="false">
      <c r="A5441" s="26" t="s">
        <v>15819</v>
      </c>
      <c r="B5441" s="27" t="s">
        <v>15820</v>
      </c>
      <c r="C5441" s="27" t="s">
        <v>144</v>
      </c>
      <c r="D5441" s="26"/>
      <c r="E5441" s="27"/>
      <c r="F5441" s="27"/>
      <c r="G5441" s="27" t="s">
        <v>11122</v>
      </c>
      <c r="H5441" s="27" t="s">
        <v>35</v>
      </c>
      <c r="I5441" s="27" t="s">
        <v>37</v>
      </c>
      <c r="J5441" s="28" t="s">
        <v>399</v>
      </c>
      <c r="K5441" s="27" t="s">
        <v>37</v>
      </c>
      <c r="L5441" s="27"/>
    </row>
    <row r="5442" customFormat="false" ht="15" hidden="false" customHeight="false" outlineLevel="0" collapsed="false">
      <c r="A5442" s="26" t="s">
        <v>15821</v>
      </c>
      <c r="B5442" s="27" t="s">
        <v>15822</v>
      </c>
      <c r="C5442" s="27" t="s">
        <v>144</v>
      </c>
      <c r="D5442" s="26"/>
      <c r="E5442" s="27"/>
      <c r="F5442" s="27"/>
      <c r="G5442" s="27" t="s">
        <v>11122</v>
      </c>
      <c r="H5442" s="27" t="s">
        <v>35</v>
      </c>
      <c r="I5442" s="27" t="s">
        <v>38</v>
      </c>
      <c r="J5442" s="28" t="s">
        <v>399</v>
      </c>
      <c r="K5442" s="27" t="s">
        <v>37</v>
      </c>
      <c r="L5442" s="27"/>
    </row>
    <row r="5443" customFormat="false" ht="15" hidden="false" customHeight="false" outlineLevel="0" collapsed="false">
      <c r="A5443" s="26" t="s">
        <v>15823</v>
      </c>
      <c r="B5443" s="27" t="s">
        <v>15824</v>
      </c>
      <c r="C5443" s="27" t="s">
        <v>144</v>
      </c>
      <c r="D5443" s="26"/>
      <c r="E5443" s="27"/>
      <c r="F5443" s="27"/>
      <c r="G5443" s="27" t="s">
        <v>11122</v>
      </c>
      <c r="H5443" s="27" t="s">
        <v>35</v>
      </c>
      <c r="I5443" s="27" t="s">
        <v>37</v>
      </c>
      <c r="J5443" s="28" t="s">
        <v>399</v>
      </c>
      <c r="K5443" s="27" t="s">
        <v>37</v>
      </c>
      <c r="L5443" s="27"/>
    </row>
    <row r="5444" customFormat="false" ht="15" hidden="false" customHeight="false" outlineLevel="0" collapsed="false">
      <c r="A5444" s="26" t="s">
        <v>15825</v>
      </c>
      <c r="B5444" s="27" t="s">
        <v>15826</v>
      </c>
      <c r="C5444" s="27" t="s">
        <v>144</v>
      </c>
      <c r="D5444" s="26"/>
      <c r="E5444" s="27"/>
      <c r="F5444" s="27"/>
      <c r="G5444" s="27" t="s">
        <v>11122</v>
      </c>
      <c r="H5444" s="27" t="s">
        <v>35</v>
      </c>
      <c r="I5444" s="27" t="s">
        <v>37</v>
      </c>
      <c r="J5444" s="28" t="s">
        <v>399</v>
      </c>
      <c r="K5444" s="27" t="s">
        <v>37</v>
      </c>
      <c r="L5444" s="27"/>
    </row>
    <row r="5445" customFormat="false" ht="15" hidden="false" customHeight="false" outlineLevel="0" collapsed="false">
      <c r="A5445" s="26" t="s">
        <v>15827</v>
      </c>
      <c r="B5445" s="27" t="s">
        <v>15828</v>
      </c>
      <c r="C5445" s="27" t="s">
        <v>144</v>
      </c>
      <c r="D5445" s="26"/>
      <c r="E5445" s="27"/>
      <c r="F5445" s="27"/>
      <c r="G5445" s="27" t="s">
        <v>11122</v>
      </c>
      <c r="H5445" s="27" t="s">
        <v>35</v>
      </c>
      <c r="I5445" s="27" t="s">
        <v>37</v>
      </c>
      <c r="J5445" s="28" t="s">
        <v>399</v>
      </c>
      <c r="K5445" s="27" t="s">
        <v>37</v>
      </c>
      <c r="L5445" s="27"/>
    </row>
    <row r="5446" customFormat="false" ht="15" hidden="false" customHeight="false" outlineLevel="0" collapsed="false">
      <c r="A5446" s="26" t="s">
        <v>15829</v>
      </c>
      <c r="B5446" s="27" t="s">
        <v>15830</v>
      </c>
      <c r="C5446" s="27" t="s">
        <v>144</v>
      </c>
      <c r="D5446" s="26"/>
      <c r="E5446" s="27"/>
      <c r="F5446" s="27"/>
      <c r="G5446" s="27" t="s">
        <v>11122</v>
      </c>
      <c r="H5446" s="27" t="s">
        <v>35</v>
      </c>
      <c r="I5446" s="27" t="s">
        <v>37</v>
      </c>
      <c r="J5446" s="28" t="s">
        <v>399</v>
      </c>
      <c r="K5446" s="27" t="s">
        <v>37</v>
      </c>
      <c r="L5446" s="27"/>
    </row>
    <row r="5447" customFormat="false" ht="15" hidden="false" customHeight="false" outlineLevel="0" collapsed="false">
      <c r="A5447" s="26" t="s">
        <v>15831</v>
      </c>
      <c r="B5447" s="27" t="s">
        <v>15832</v>
      </c>
      <c r="C5447" s="27" t="s">
        <v>144</v>
      </c>
      <c r="D5447" s="26"/>
      <c r="E5447" s="27"/>
      <c r="F5447" s="27"/>
      <c r="G5447" s="27" t="s">
        <v>11122</v>
      </c>
      <c r="H5447" s="27" t="s">
        <v>35</v>
      </c>
      <c r="I5447" s="27" t="s">
        <v>37</v>
      </c>
      <c r="J5447" s="28" t="s">
        <v>399</v>
      </c>
      <c r="K5447" s="27" t="s">
        <v>37</v>
      </c>
      <c r="L5447" s="27"/>
    </row>
    <row r="5448" customFormat="false" ht="15" hidden="false" customHeight="false" outlineLevel="0" collapsed="false">
      <c r="A5448" s="26" t="s">
        <v>15833</v>
      </c>
      <c r="B5448" s="27" t="s">
        <v>15834</v>
      </c>
      <c r="C5448" s="27" t="s">
        <v>144</v>
      </c>
      <c r="D5448" s="26"/>
      <c r="E5448" s="27"/>
      <c r="F5448" s="27"/>
      <c r="G5448" s="27" t="s">
        <v>11122</v>
      </c>
      <c r="H5448" s="27" t="s">
        <v>35</v>
      </c>
      <c r="I5448" s="27" t="s">
        <v>37</v>
      </c>
      <c r="J5448" s="28" t="s">
        <v>399</v>
      </c>
      <c r="K5448" s="27" t="s">
        <v>37</v>
      </c>
      <c r="L5448" s="27"/>
    </row>
    <row r="5449" customFormat="false" ht="15" hidden="false" customHeight="false" outlineLevel="0" collapsed="false">
      <c r="A5449" s="26" t="s">
        <v>15835</v>
      </c>
      <c r="B5449" s="27" t="s">
        <v>15836</v>
      </c>
      <c r="C5449" s="27" t="s">
        <v>144</v>
      </c>
      <c r="D5449" s="26"/>
      <c r="E5449" s="27"/>
      <c r="F5449" s="27"/>
      <c r="G5449" s="27" t="s">
        <v>11122</v>
      </c>
      <c r="H5449" s="27" t="s">
        <v>35</v>
      </c>
      <c r="I5449" s="27" t="s">
        <v>37</v>
      </c>
      <c r="J5449" s="28" t="s">
        <v>399</v>
      </c>
      <c r="K5449" s="27" t="s">
        <v>37</v>
      </c>
      <c r="L5449" s="27"/>
    </row>
    <row r="5450" customFormat="false" ht="15" hidden="false" customHeight="false" outlineLevel="0" collapsed="false">
      <c r="A5450" s="26" t="s">
        <v>15837</v>
      </c>
      <c r="B5450" s="27" t="s">
        <v>15838</v>
      </c>
      <c r="C5450" s="27" t="s">
        <v>144</v>
      </c>
      <c r="D5450" s="26"/>
      <c r="E5450" s="27"/>
      <c r="F5450" s="27"/>
      <c r="G5450" s="27" t="s">
        <v>11122</v>
      </c>
      <c r="H5450" s="27" t="s">
        <v>35</v>
      </c>
      <c r="I5450" s="27" t="s">
        <v>37</v>
      </c>
      <c r="J5450" s="28" t="s">
        <v>399</v>
      </c>
      <c r="K5450" s="27" t="s">
        <v>37</v>
      </c>
      <c r="L5450" s="27"/>
    </row>
    <row r="5451" customFormat="false" ht="15" hidden="false" customHeight="false" outlineLevel="0" collapsed="false">
      <c r="A5451" s="26" t="s">
        <v>15839</v>
      </c>
      <c r="B5451" s="27" t="s">
        <v>15840</v>
      </c>
      <c r="C5451" s="27" t="s">
        <v>144</v>
      </c>
      <c r="D5451" s="26"/>
      <c r="E5451" s="27"/>
      <c r="F5451" s="27"/>
      <c r="G5451" s="27" t="s">
        <v>11122</v>
      </c>
      <c r="H5451" s="27" t="s">
        <v>35</v>
      </c>
      <c r="I5451" s="27" t="s">
        <v>37</v>
      </c>
      <c r="J5451" s="28" t="s">
        <v>399</v>
      </c>
      <c r="K5451" s="27" t="s">
        <v>37</v>
      </c>
      <c r="L5451" s="27"/>
    </row>
    <row r="5452" customFormat="false" ht="15" hidden="false" customHeight="false" outlineLevel="0" collapsed="false">
      <c r="A5452" s="26" t="s">
        <v>15841</v>
      </c>
      <c r="B5452" s="27" t="s">
        <v>15842</v>
      </c>
      <c r="C5452" s="27" t="s">
        <v>144</v>
      </c>
      <c r="D5452" s="26"/>
      <c r="E5452" s="27"/>
      <c r="F5452" s="27"/>
      <c r="G5452" s="27" t="s">
        <v>11122</v>
      </c>
      <c r="H5452" s="27" t="s">
        <v>35</v>
      </c>
      <c r="I5452" s="27" t="s">
        <v>37</v>
      </c>
      <c r="J5452" s="28" t="s">
        <v>399</v>
      </c>
      <c r="K5452" s="27" t="s">
        <v>37</v>
      </c>
      <c r="L5452" s="27"/>
    </row>
    <row r="5453" customFormat="false" ht="15" hidden="false" customHeight="false" outlineLevel="0" collapsed="false">
      <c r="A5453" s="26" t="s">
        <v>15843</v>
      </c>
      <c r="B5453" s="27" t="s">
        <v>15844</v>
      </c>
      <c r="C5453" s="27" t="s">
        <v>144</v>
      </c>
      <c r="D5453" s="26"/>
      <c r="E5453" s="27"/>
      <c r="F5453" s="27"/>
      <c r="G5453" s="27" t="s">
        <v>11122</v>
      </c>
      <c r="H5453" s="27" t="s">
        <v>35</v>
      </c>
      <c r="I5453" s="27" t="s">
        <v>37</v>
      </c>
      <c r="J5453" s="28" t="s">
        <v>399</v>
      </c>
      <c r="K5453" s="27" t="s">
        <v>37</v>
      </c>
      <c r="L5453" s="27"/>
    </row>
    <row r="5454" customFormat="false" ht="15" hidden="false" customHeight="false" outlineLevel="0" collapsed="false">
      <c r="A5454" s="26" t="s">
        <v>15845</v>
      </c>
      <c r="B5454" s="27" t="s">
        <v>15846</v>
      </c>
      <c r="C5454" s="27" t="s">
        <v>144</v>
      </c>
      <c r="D5454" s="26"/>
      <c r="E5454" s="27"/>
      <c r="F5454" s="27"/>
      <c r="G5454" s="27" t="s">
        <v>11122</v>
      </c>
      <c r="H5454" s="27" t="s">
        <v>35</v>
      </c>
      <c r="I5454" s="27" t="s">
        <v>37</v>
      </c>
      <c r="J5454" s="28" t="s">
        <v>399</v>
      </c>
      <c r="K5454" s="27" t="s">
        <v>37</v>
      </c>
      <c r="L5454" s="27"/>
    </row>
    <row r="5455" customFormat="false" ht="15" hidden="false" customHeight="false" outlineLevel="0" collapsed="false">
      <c r="A5455" s="26" t="s">
        <v>15847</v>
      </c>
      <c r="B5455" s="27" t="s">
        <v>15848</v>
      </c>
      <c r="C5455" s="27" t="s">
        <v>144</v>
      </c>
      <c r="D5455" s="26"/>
      <c r="E5455" s="27"/>
      <c r="F5455" s="27"/>
      <c r="G5455" s="27" t="s">
        <v>11122</v>
      </c>
      <c r="H5455" s="27" t="s">
        <v>35</v>
      </c>
      <c r="I5455" s="27" t="s">
        <v>37</v>
      </c>
      <c r="J5455" s="28" t="s">
        <v>399</v>
      </c>
      <c r="K5455" s="27" t="s">
        <v>37</v>
      </c>
      <c r="L5455" s="27"/>
    </row>
    <row r="5456" customFormat="false" ht="15" hidden="false" customHeight="false" outlineLevel="0" collapsed="false">
      <c r="A5456" s="26" t="s">
        <v>15849</v>
      </c>
      <c r="B5456" s="27" t="s">
        <v>15850</v>
      </c>
      <c r="C5456" s="27" t="s">
        <v>144</v>
      </c>
      <c r="D5456" s="26"/>
      <c r="E5456" s="27"/>
      <c r="F5456" s="27"/>
      <c r="G5456" s="27" t="s">
        <v>11122</v>
      </c>
      <c r="H5456" s="27" t="s">
        <v>35</v>
      </c>
      <c r="I5456" s="27" t="s">
        <v>37</v>
      </c>
      <c r="J5456" s="28" t="s">
        <v>399</v>
      </c>
      <c r="K5456" s="27" t="s">
        <v>37</v>
      </c>
      <c r="L5456" s="27"/>
    </row>
    <row r="5457" customFormat="false" ht="15" hidden="false" customHeight="false" outlineLevel="0" collapsed="false">
      <c r="A5457" s="26" t="s">
        <v>15851</v>
      </c>
      <c r="B5457" s="27" t="s">
        <v>15852</v>
      </c>
      <c r="C5457" s="27" t="s">
        <v>144</v>
      </c>
      <c r="D5457" s="26"/>
      <c r="E5457" s="27"/>
      <c r="F5457" s="27"/>
      <c r="G5457" s="27" t="s">
        <v>11122</v>
      </c>
      <c r="H5457" s="27" t="s">
        <v>35</v>
      </c>
      <c r="I5457" s="27" t="s">
        <v>37</v>
      </c>
      <c r="J5457" s="28" t="s">
        <v>399</v>
      </c>
      <c r="K5457" s="27" t="s">
        <v>37</v>
      </c>
      <c r="L5457" s="27"/>
    </row>
    <row r="5458" customFormat="false" ht="15" hidden="false" customHeight="false" outlineLevel="0" collapsed="false">
      <c r="A5458" s="26" t="s">
        <v>15853</v>
      </c>
      <c r="B5458" s="27" t="s">
        <v>15854</v>
      </c>
      <c r="C5458" s="27" t="s">
        <v>144</v>
      </c>
      <c r="D5458" s="26"/>
      <c r="E5458" s="27"/>
      <c r="F5458" s="27"/>
      <c r="G5458" s="27" t="s">
        <v>11122</v>
      </c>
      <c r="H5458" s="27" t="s">
        <v>35</v>
      </c>
      <c r="I5458" s="27" t="s">
        <v>37</v>
      </c>
      <c r="J5458" s="28" t="s">
        <v>399</v>
      </c>
      <c r="K5458" s="27" t="s">
        <v>37</v>
      </c>
      <c r="L5458" s="27"/>
    </row>
    <row r="5459" customFormat="false" ht="15" hidden="false" customHeight="false" outlineLevel="0" collapsed="false">
      <c r="A5459" s="26" t="s">
        <v>15855</v>
      </c>
      <c r="B5459" s="27" t="s">
        <v>15856</v>
      </c>
      <c r="C5459" s="27" t="s">
        <v>144</v>
      </c>
      <c r="D5459" s="26"/>
      <c r="E5459" s="27"/>
      <c r="F5459" s="27"/>
      <c r="G5459" s="27" t="s">
        <v>11122</v>
      </c>
      <c r="H5459" s="27" t="s">
        <v>35</v>
      </c>
      <c r="I5459" s="27" t="s">
        <v>37</v>
      </c>
      <c r="J5459" s="28" t="s">
        <v>399</v>
      </c>
      <c r="K5459" s="27" t="s">
        <v>37</v>
      </c>
      <c r="L5459" s="27"/>
    </row>
    <row r="5460" customFormat="false" ht="15" hidden="false" customHeight="false" outlineLevel="0" collapsed="false">
      <c r="A5460" s="26" t="s">
        <v>15857</v>
      </c>
      <c r="B5460" s="27" t="s">
        <v>15858</v>
      </c>
      <c r="C5460" s="27" t="s">
        <v>144</v>
      </c>
      <c r="D5460" s="26"/>
      <c r="E5460" s="27"/>
      <c r="F5460" s="27"/>
      <c r="G5460" s="27" t="s">
        <v>11122</v>
      </c>
      <c r="H5460" s="27" t="s">
        <v>35</v>
      </c>
      <c r="I5460" s="27" t="s">
        <v>37</v>
      </c>
      <c r="J5460" s="28" t="s">
        <v>399</v>
      </c>
      <c r="K5460" s="27" t="s">
        <v>37</v>
      </c>
      <c r="L5460" s="27"/>
    </row>
    <row r="5461" customFormat="false" ht="15" hidden="false" customHeight="false" outlineLevel="0" collapsed="false">
      <c r="A5461" s="26" t="s">
        <v>15859</v>
      </c>
      <c r="B5461" s="27" t="s">
        <v>15860</v>
      </c>
      <c r="C5461" s="27" t="s">
        <v>144</v>
      </c>
      <c r="D5461" s="26"/>
      <c r="E5461" s="27"/>
      <c r="F5461" s="27"/>
      <c r="G5461" s="27" t="s">
        <v>11122</v>
      </c>
      <c r="H5461" s="27" t="s">
        <v>35</v>
      </c>
      <c r="I5461" s="27" t="s">
        <v>37</v>
      </c>
      <c r="J5461" s="28" t="s">
        <v>399</v>
      </c>
      <c r="K5461" s="27" t="s">
        <v>37</v>
      </c>
      <c r="L5461" s="27"/>
    </row>
    <row r="5462" customFormat="false" ht="15" hidden="false" customHeight="false" outlineLevel="0" collapsed="false">
      <c r="A5462" s="26" t="s">
        <v>15861</v>
      </c>
      <c r="B5462" s="27" t="s">
        <v>15862</v>
      </c>
      <c r="C5462" s="27" t="s">
        <v>144</v>
      </c>
      <c r="D5462" s="26"/>
      <c r="E5462" s="27"/>
      <c r="F5462" s="27"/>
      <c r="G5462" s="27" t="s">
        <v>11122</v>
      </c>
      <c r="H5462" s="27" t="s">
        <v>35</v>
      </c>
      <c r="I5462" s="27" t="s">
        <v>37</v>
      </c>
      <c r="J5462" s="28" t="s">
        <v>399</v>
      </c>
      <c r="K5462" s="27" t="s">
        <v>37</v>
      </c>
      <c r="L5462" s="27"/>
    </row>
    <row r="5463" customFormat="false" ht="15" hidden="false" customHeight="false" outlineLevel="0" collapsed="false">
      <c r="A5463" s="26" t="s">
        <v>15863</v>
      </c>
      <c r="B5463" s="27" t="s">
        <v>15864</v>
      </c>
      <c r="C5463" s="27" t="s">
        <v>144</v>
      </c>
      <c r="D5463" s="26"/>
      <c r="E5463" s="27"/>
      <c r="F5463" s="27"/>
      <c r="G5463" s="27" t="s">
        <v>11122</v>
      </c>
      <c r="H5463" s="27" t="s">
        <v>35</v>
      </c>
      <c r="I5463" s="27" t="s">
        <v>37</v>
      </c>
      <c r="J5463" s="28" t="s">
        <v>399</v>
      </c>
      <c r="K5463" s="27" t="s">
        <v>37</v>
      </c>
      <c r="L5463" s="27"/>
    </row>
    <row r="5464" customFormat="false" ht="15" hidden="false" customHeight="false" outlineLevel="0" collapsed="false">
      <c r="A5464" s="26" t="s">
        <v>15865</v>
      </c>
      <c r="B5464" s="27" t="s">
        <v>15866</v>
      </c>
      <c r="C5464" s="27" t="s">
        <v>144</v>
      </c>
      <c r="D5464" s="26"/>
      <c r="E5464" s="27"/>
      <c r="F5464" s="27"/>
      <c r="G5464" s="27" t="s">
        <v>11122</v>
      </c>
      <c r="H5464" s="27" t="s">
        <v>35</v>
      </c>
      <c r="I5464" s="27" t="s">
        <v>37</v>
      </c>
      <c r="J5464" s="28" t="s">
        <v>399</v>
      </c>
      <c r="K5464" s="27" t="s">
        <v>37</v>
      </c>
      <c r="L5464" s="27"/>
    </row>
    <row r="5465" customFormat="false" ht="15" hidden="false" customHeight="false" outlineLevel="0" collapsed="false">
      <c r="A5465" s="26" t="s">
        <v>15867</v>
      </c>
      <c r="B5465" s="27" t="s">
        <v>15868</v>
      </c>
      <c r="C5465" s="27" t="s">
        <v>144</v>
      </c>
      <c r="D5465" s="26"/>
      <c r="E5465" s="27"/>
      <c r="F5465" s="27"/>
      <c r="G5465" s="27" t="s">
        <v>11122</v>
      </c>
      <c r="H5465" s="27" t="s">
        <v>35</v>
      </c>
      <c r="I5465" s="27" t="s">
        <v>39</v>
      </c>
      <c r="J5465" s="28" t="s">
        <v>399</v>
      </c>
      <c r="K5465" s="27" t="s">
        <v>37</v>
      </c>
      <c r="L5465" s="27"/>
    </row>
    <row r="5466" customFormat="false" ht="15" hidden="false" customHeight="false" outlineLevel="0" collapsed="false">
      <c r="A5466" s="26" t="s">
        <v>15869</v>
      </c>
      <c r="B5466" s="27" t="s">
        <v>15870</v>
      </c>
      <c r="C5466" s="27" t="s">
        <v>144</v>
      </c>
      <c r="D5466" s="26"/>
      <c r="E5466" s="27"/>
      <c r="F5466" s="27"/>
      <c r="G5466" s="27" t="s">
        <v>11122</v>
      </c>
      <c r="H5466" s="27" t="s">
        <v>35</v>
      </c>
      <c r="I5466" s="27" t="s">
        <v>37</v>
      </c>
      <c r="J5466" s="28" t="s">
        <v>399</v>
      </c>
      <c r="K5466" s="27" t="s">
        <v>37</v>
      </c>
      <c r="L5466" s="27"/>
    </row>
    <row r="5467" customFormat="false" ht="15" hidden="false" customHeight="false" outlineLevel="0" collapsed="false">
      <c r="A5467" s="26" t="s">
        <v>15871</v>
      </c>
      <c r="B5467" s="27" t="s">
        <v>15872</v>
      </c>
      <c r="C5467" s="27" t="s">
        <v>3373</v>
      </c>
      <c r="D5467" s="26"/>
      <c r="E5467" s="27"/>
      <c r="F5467" s="27"/>
      <c r="G5467" s="27" t="s">
        <v>11122</v>
      </c>
      <c r="H5467" s="27" t="s">
        <v>35</v>
      </c>
      <c r="I5467" s="27" t="s">
        <v>42</v>
      </c>
      <c r="J5467" s="28" t="s">
        <v>399</v>
      </c>
      <c r="K5467" s="27" t="s">
        <v>37</v>
      </c>
      <c r="L5467" s="27"/>
    </row>
    <row r="5468" customFormat="false" ht="15" hidden="false" customHeight="false" outlineLevel="0" collapsed="false">
      <c r="A5468" s="26" t="s">
        <v>15873</v>
      </c>
      <c r="B5468" s="27" t="s">
        <v>15874</v>
      </c>
      <c r="C5468" s="27" t="s">
        <v>144</v>
      </c>
      <c r="D5468" s="26"/>
      <c r="E5468" s="27"/>
      <c r="F5468" s="27"/>
      <c r="G5468" s="27" t="s">
        <v>11122</v>
      </c>
      <c r="H5468" s="27" t="s">
        <v>35</v>
      </c>
      <c r="I5468" s="27" t="s">
        <v>37</v>
      </c>
      <c r="J5468" s="28" t="s">
        <v>399</v>
      </c>
      <c r="K5468" s="27" t="s">
        <v>37</v>
      </c>
      <c r="L5468" s="27"/>
    </row>
    <row r="5469" customFormat="false" ht="15" hidden="false" customHeight="false" outlineLevel="0" collapsed="false">
      <c r="A5469" s="26" t="s">
        <v>15875</v>
      </c>
      <c r="B5469" s="27" t="s">
        <v>15876</v>
      </c>
      <c r="C5469" s="27" t="s">
        <v>144</v>
      </c>
      <c r="D5469" s="26"/>
      <c r="E5469" s="27"/>
      <c r="F5469" s="27"/>
      <c r="G5469" s="27" t="s">
        <v>11122</v>
      </c>
      <c r="H5469" s="27" t="s">
        <v>35</v>
      </c>
      <c r="I5469" s="27" t="s">
        <v>37</v>
      </c>
      <c r="J5469" s="28" t="s">
        <v>399</v>
      </c>
      <c r="K5469" s="27" t="s">
        <v>37</v>
      </c>
      <c r="L5469" s="27"/>
    </row>
    <row r="5470" customFormat="false" ht="15" hidden="false" customHeight="false" outlineLevel="0" collapsed="false">
      <c r="A5470" s="26" t="s">
        <v>15877</v>
      </c>
      <c r="B5470" s="27" t="s">
        <v>15878</v>
      </c>
      <c r="C5470" s="27" t="s">
        <v>144</v>
      </c>
      <c r="D5470" s="26"/>
      <c r="E5470" s="27"/>
      <c r="F5470" s="27"/>
      <c r="G5470" s="27" t="s">
        <v>11122</v>
      </c>
      <c r="H5470" s="27" t="s">
        <v>35</v>
      </c>
      <c r="I5470" s="27" t="s">
        <v>38</v>
      </c>
      <c r="J5470" s="28" t="s">
        <v>399</v>
      </c>
      <c r="K5470" s="27" t="s">
        <v>37</v>
      </c>
      <c r="L5470" s="27"/>
    </row>
    <row r="5471" customFormat="false" ht="15" hidden="false" customHeight="false" outlineLevel="0" collapsed="false">
      <c r="A5471" s="26" t="s">
        <v>15879</v>
      </c>
      <c r="B5471" s="27" t="s">
        <v>15880</v>
      </c>
      <c r="C5471" s="27" t="s">
        <v>144</v>
      </c>
      <c r="D5471" s="26"/>
      <c r="E5471" s="27"/>
      <c r="F5471" s="27"/>
      <c r="G5471" s="27" t="s">
        <v>11122</v>
      </c>
      <c r="H5471" s="27" t="s">
        <v>35</v>
      </c>
      <c r="I5471" s="27" t="s">
        <v>37</v>
      </c>
      <c r="J5471" s="28" t="s">
        <v>399</v>
      </c>
      <c r="K5471" s="27" t="s">
        <v>37</v>
      </c>
      <c r="L5471" s="27"/>
    </row>
    <row r="5472" customFormat="false" ht="15" hidden="false" customHeight="false" outlineLevel="0" collapsed="false">
      <c r="A5472" s="26" t="s">
        <v>15881</v>
      </c>
      <c r="B5472" s="27" t="s">
        <v>15882</v>
      </c>
      <c r="C5472" s="27" t="s">
        <v>144</v>
      </c>
      <c r="D5472" s="26"/>
      <c r="E5472" s="27"/>
      <c r="F5472" s="27"/>
      <c r="G5472" s="27" t="s">
        <v>11122</v>
      </c>
      <c r="H5472" s="27" t="s">
        <v>35</v>
      </c>
      <c r="I5472" s="27" t="s">
        <v>37</v>
      </c>
      <c r="J5472" s="28" t="s">
        <v>399</v>
      </c>
      <c r="K5472" s="27" t="s">
        <v>37</v>
      </c>
      <c r="L5472" s="27"/>
    </row>
    <row r="5473" customFormat="false" ht="15" hidden="false" customHeight="false" outlineLevel="0" collapsed="false">
      <c r="A5473" s="26" t="s">
        <v>15883</v>
      </c>
      <c r="B5473" s="27" t="s">
        <v>15884</v>
      </c>
      <c r="C5473" s="27" t="s">
        <v>144</v>
      </c>
      <c r="D5473" s="26"/>
      <c r="E5473" s="27"/>
      <c r="F5473" s="27"/>
      <c r="G5473" s="27" t="s">
        <v>11122</v>
      </c>
      <c r="H5473" s="27" t="s">
        <v>35</v>
      </c>
      <c r="I5473" s="27" t="s">
        <v>37</v>
      </c>
      <c r="J5473" s="28" t="s">
        <v>399</v>
      </c>
      <c r="K5473" s="27" t="s">
        <v>37</v>
      </c>
      <c r="L5473" s="27"/>
    </row>
    <row r="5474" customFormat="false" ht="15" hidden="false" customHeight="false" outlineLevel="0" collapsed="false">
      <c r="A5474" s="26" t="s">
        <v>15885</v>
      </c>
      <c r="B5474" s="27" t="s">
        <v>15886</v>
      </c>
      <c r="C5474" s="27" t="s">
        <v>144</v>
      </c>
      <c r="D5474" s="26"/>
      <c r="E5474" s="27"/>
      <c r="F5474" s="27"/>
      <c r="G5474" s="27" t="s">
        <v>11122</v>
      </c>
      <c r="H5474" s="27" t="s">
        <v>35</v>
      </c>
      <c r="I5474" s="27" t="s">
        <v>37</v>
      </c>
      <c r="J5474" s="28" t="s">
        <v>399</v>
      </c>
      <c r="K5474" s="27" t="s">
        <v>37</v>
      </c>
      <c r="L5474" s="27"/>
    </row>
    <row r="5475" customFormat="false" ht="15" hidden="false" customHeight="false" outlineLevel="0" collapsed="false">
      <c r="A5475" s="26" t="s">
        <v>15887</v>
      </c>
      <c r="B5475" s="27" t="s">
        <v>15888</v>
      </c>
      <c r="C5475" s="27" t="s">
        <v>144</v>
      </c>
      <c r="D5475" s="26"/>
      <c r="E5475" s="27"/>
      <c r="F5475" s="27"/>
      <c r="G5475" s="27" t="s">
        <v>11122</v>
      </c>
      <c r="H5475" s="27" t="s">
        <v>35</v>
      </c>
      <c r="I5475" s="27" t="s">
        <v>37</v>
      </c>
      <c r="J5475" s="28" t="s">
        <v>399</v>
      </c>
      <c r="K5475" s="27" t="s">
        <v>37</v>
      </c>
      <c r="L5475" s="27"/>
    </row>
    <row r="5476" customFormat="false" ht="15" hidden="false" customHeight="false" outlineLevel="0" collapsed="false">
      <c r="A5476" s="26" t="s">
        <v>15889</v>
      </c>
      <c r="B5476" s="27" t="s">
        <v>15890</v>
      </c>
      <c r="C5476" s="27" t="s">
        <v>144</v>
      </c>
      <c r="D5476" s="26"/>
      <c r="E5476" s="27"/>
      <c r="F5476" s="27"/>
      <c r="G5476" s="27" t="s">
        <v>11122</v>
      </c>
      <c r="H5476" s="27" t="s">
        <v>35</v>
      </c>
      <c r="I5476" s="27" t="s">
        <v>37</v>
      </c>
      <c r="J5476" s="28" t="s">
        <v>399</v>
      </c>
      <c r="K5476" s="27" t="s">
        <v>37</v>
      </c>
      <c r="L5476" s="27"/>
    </row>
    <row r="5477" customFormat="false" ht="15" hidden="false" customHeight="false" outlineLevel="0" collapsed="false">
      <c r="A5477" s="26" t="s">
        <v>15891</v>
      </c>
      <c r="B5477" s="27" t="s">
        <v>15892</v>
      </c>
      <c r="C5477" s="27" t="s">
        <v>144</v>
      </c>
      <c r="D5477" s="26"/>
      <c r="E5477" s="27"/>
      <c r="F5477" s="27"/>
      <c r="G5477" s="27" t="s">
        <v>11122</v>
      </c>
      <c r="H5477" s="27" t="s">
        <v>35</v>
      </c>
      <c r="I5477" s="27" t="s">
        <v>37</v>
      </c>
      <c r="J5477" s="28" t="s">
        <v>399</v>
      </c>
      <c r="K5477" s="27" t="s">
        <v>37</v>
      </c>
      <c r="L5477" s="27"/>
    </row>
    <row r="5478" customFormat="false" ht="15" hidden="false" customHeight="false" outlineLevel="0" collapsed="false">
      <c r="A5478" s="26" t="s">
        <v>15893</v>
      </c>
      <c r="B5478" s="27" t="s">
        <v>15894</v>
      </c>
      <c r="C5478" s="27" t="s">
        <v>144</v>
      </c>
      <c r="D5478" s="26"/>
      <c r="E5478" s="27"/>
      <c r="F5478" s="27"/>
      <c r="G5478" s="27" t="s">
        <v>11122</v>
      </c>
      <c r="H5478" s="27" t="s">
        <v>35</v>
      </c>
      <c r="I5478" s="27" t="s">
        <v>37</v>
      </c>
      <c r="J5478" s="28" t="s">
        <v>399</v>
      </c>
      <c r="K5478" s="27" t="s">
        <v>37</v>
      </c>
      <c r="L5478" s="27"/>
    </row>
    <row r="5479" customFormat="false" ht="15" hidden="false" customHeight="false" outlineLevel="0" collapsed="false">
      <c r="A5479" s="26" t="s">
        <v>15895</v>
      </c>
      <c r="B5479" s="27" t="s">
        <v>15896</v>
      </c>
      <c r="C5479" s="27" t="s">
        <v>144</v>
      </c>
      <c r="D5479" s="26"/>
      <c r="E5479" s="27"/>
      <c r="F5479" s="27"/>
      <c r="G5479" s="27" t="s">
        <v>11122</v>
      </c>
      <c r="H5479" s="27" t="s">
        <v>35</v>
      </c>
      <c r="I5479" s="27" t="s">
        <v>37</v>
      </c>
      <c r="J5479" s="28" t="s">
        <v>399</v>
      </c>
      <c r="K5479" s="27" t="s">
        <v>37</v>
      </c>
      <c r="L5479" s="27"/>
    </row>
    <row r="5480" customFormat="false" ht="15" hidden="false" customHeight="false" outlineLevel="0" collapsed="false">
      <c r="A5480" s="26" t="s">
        <v>15897</v>
      </c>
      <c r="B5480" s="27" t="s">
        <v>15898</v>
      </c>
      <c r="C5480" s="27" t="s">
        <v>144</v>
      </c>
      <c r="D5480" s="26"/>
      <c r="E5480" s="27"/>
      <c r="F5480" s="27"/>
      <c r="G5480" s="27" t="s">
        <v>11122</v>
      </c>
      <c r="H5480" s="27" t="s">
        <v>35</v>
      </c>
      <c r="I5480" s="27" t="s">
        <v>37</v>
      </c>
      <c r="J5480" s="28" t="s">
        <v>399</v>
      </c>
      <c r="K5480" s="27" t="s">
        <v>37</v>
      </c>
      <c r="L5480" s="27"/>
    </row>
    <row r="5481" customFormat="false" ht="15" hidden="false" customHeight="false" outlineLevel="0" collapsed="false">
      <c r="A5481" s="26" t="s">
        <v>15899</v>
      </c>
      <c r="B5481" s="27" t="s">
        <v>15900</v>
      </c>
      <c r="C5481" s="27" t="s">
        <v>144</v>
      </c>
      <c r="D5481" s="26"/>
      <c r="E5481" s="27"/>
      <c r="F5481" s="27"/>
      <c r="G5481" s="27" t="s">
        <v>11122</v>
      </c>
      <c r="H5481" s="27" t="s">
        <v>35</v>
      </c>
      <c r="I5481" s="27" t="s">
        <v>37</v>
      </c>
      <c r="J5481" s="28" t="s">
        <v>399</v>
      </c>
      <c r="K5481" s="27" t="s">
        <v>37</v>
      </c>
      <c r="L5481" s="27"/>
    </row>
    <row r="5482" customFormat="false" ht="15" hidden="false" customHeight="false" outlineLevel="0" collapsed="false">
      <c r="A5482" s="26" t="s">
        <v>15901</v>
      </c>
      <c r="B5482" s="27" t="s">
        <v>15902</v>
      </c>
      <c r="C5482" s="27" t="s">
        <v>144</v>
      </c>
      <c r="D5482" s="26"/>
      <c r="E5482" s="27"/>
      <c r="F5482" s="27"/>
      <c r="G5482" s="27" t="s">
        <v>11122</v>
      </c>
      <c r="H5482" s="27" t="s">
        <v>35</v>
      </c>
      <c r="I5482" s="27" t="s">
        <v>37</v>
      </c>
      <c r="J5482" s="28" t="s">
        <v>399</v>
      </c>
      <c r="K5482" s="27" t="s">
        <v>37</v>
      </c>
      <c r="L5482" s="27"/>
    </row>
    <row r="5483" customFormat="false" ht="15" hidden="false" customHeight="false" outlineLevel="0" collapsed="false">
      <c r="A5483" s="26" t="s">
        <v>15903</v>
      </c>
      <c r="B5483" s="27" t="s">
        <v>15904</v>
      </c>
      <c r="C5483" s="27" t="s">
        <v>144</v>
      </c>
      <c r="D5483" s="26"/>
      <c r="E5483" s="27"/>
      <c r="F5483" s="27"/>
      <c r="G5483" s="27" t="s">
        <v>11122</v>
      </c>
      <c r="H5483" s="27" t="s">
        <v>35</v>
      </c>
      <c r="I5483" s="27" t="s">
        <v>37</v>
      </c>
      <c r="J5483" s="28" t="s">
        <v>399</v>
      </c>
      <c r="K5483" s="27" t="s">
        <v>37</v>
      </c>
      <c r="L5483" s="27"/>
    </row>
    <row r="5484" customFormat="false" ht="15" hidden="false" customHeight="false" outlineLevel="0" collapsed="false">
      <c r="A5484" s="26" t="s">
        <v>15905</v>
      </c>
      <c r="B5484" s="27" t="s">
        <v>15906</v>
      </c>
      <c r="C5484" s="27" t="s">
        <v>144</v>
      </c>
      <c r="D5484" s="26"/>
      <c r="E5484" s="27"/>
      <c r="F5484" s="27"/>
      <c r="G5484" s="27" t="s">
        <v>11122</v>
      </c>
      <c r="H5484" s="27" t="s">
        <v>35</v>
      </c>
      <c r="I5484" s="27" t="s">
        <v>37</v>
      </c>
      <c r="J5484" s="28" t="s">
        <v>399</v>
      </c>
      <c r="K5484" s="27" t="s">
        <v>37</v>
      </c>
      <c r="L5484" s="27"/>
    </row>
    <row r="5485" customFormat="false" ht="15" hidden="false" customHeight="false" outlineLevel="0" collapsed="false">
      <c r="A5485" s="26" t="s">
        <v>15907</v>
      </c>
      <c r="B5485" s="27" t="s">
        <v>15908</v>
      </c>
      <c r="C5485" s="27" t="s">
        <v>144</v>
      </c>
      <c r="D5485" s="26"/>
      <c r="E5485" s="27"/>
      <c r="F5485" s="27"/>
      <c r="G5485" s="27" t="s">
        <v>11122</v>
      </c>
      <c r="H5485" s="27" t="s">
        <v>35</v>
      </c>
      <c r="I5485" s="27" t="s">
        <v>37</v>
      </c>
      <c r="J5485" s="28" t="s">
        <v>399</v>
      </c>
      <c r="K5485" s="27" t="s">
        <v>37</v>
      </c>
      <c r="L5485" s="27"/>
    </row>
    <row r="5486" customFormat="false" ht="15" hidden="false" customHeight="false" outlineLevel="0" collapsed="false">
      <c r="A5486" s="26" t="s">
        <v>15909</v>
      </c>
      <c r="B5486" s="27" t="s">
        <v>15910</v>
      </c>
      <c r="C5486" s="27" t="s">
        <v>144</v>
      </c>
      <c r="D5486" s="26"/>
      <c r="E5486" s="27"/>
      <c r="F5486" s="27"/>
      <c r="G5486" s="27" t="s">
        <v>11122</v>
      </c>
      <c r="H5486" s="27" t="s">
        <v>35</v>
      </c>
      <c r="I5486" s="27" t="s">
        <v>37</v>
      </c>
      <c r="J5486" s="28" t="s">
        <v>399</v>
      </c>
      <c r="K5486" s="27" t="s">
        <v>37</v>
      </c>
      <c r="L5486" s="27"/>
    </row>
    <row r="5487" customFormat="false" ht="15" hidden="false" customHeight="false" outlineLevel="0" collapsed="false">
      <c r="A5487" s="26" t="s">
        <v>15911</v>
      </c>
      <c r="B5487" s="27" t="s">
        <v>15912</v>
      </c>
      <c r="C5487" s="27" t="s">
        <v>144</v>
      </c>
      <c r="D5487" s="26"/>
      <c r="E5487" s="27"/>
      <c r="F5487" s="27"/>
      <c r="G5487" s="27" t="s">
        <v>11122</v>
      </c>
      <c r="H5487" s="27" t="s">
        <v>35</v>
      </c>
      <c r="I5487" s="27" t="s">
        <v>37</v>
      </c>
      <c r="J5487" s="28" t="s">
        <v>399</v>
      </c>
      <c r="K5487" s="27" t="s">
        <v>37</v>
      </c>
      <c r="L5487" s="27"/>
    </row>
    <row r="5488" customFormat="false" ht="15" hidden="false" customHeight="false" outlineLevel="0" collapsed="false">
      <c r="A5488" s="26" t="s">
        <v>15913</v>
      </c>
      <c r="B5488" s="27" t="s">
        <v>15914</v>
      </c>
      <c r="C5488" s="27" t="s">
        <v>144</v>
      </c>
      <c r="D5488" s="26"/>
      <c r="E5488" s="27"/>
      <c r="F5488" s="27"/>
      <c r="G5488" s="27" t="s">
        <v>11122</v>
      </c>
      <c r="H5488" s="27" t="s">
        <v>35</v>
      </c>
      <c r="I5488" s="27" t="s">
        <v>37</v>
      </c>
      <c r="J5488" s="28" t="s">
        <v>399</v>
      </c>
      <c r="K5488" s="27" t="s">
        <v>37</v>
      </c>
      <c r="L5488" s="27"/>
    </row>
    <row r="5489" customFormat="false" ht="15" hidden="false" customHeight="false" outlineLevel="0" collapsed="false">
      <c r="A5489" s="26" t="s">
        <v>15915</v>
      </c>
      <c r="B5489" s="27" t="s">
        <v>15916</v>
      </c>
      <c r="C5489" s="27" t="s">
        <v>144</v>
      </c>
      <c r="D5489" s="26"/>
      <c r="E5489" s="27"/>
      <c r="F5489" s="27"/>
      <c r="G5489" s="27" t="s">
        <v>11122</v>
      </c>
      <c r="H5489" s="27" t="s">
        <v>35</v>
      </c>
      <c r="I5489" s="27" t="s">
        <v>37</v>
      </c>
      <c r="J5489" s="28" t="s">
        <v>399</v>
      </c>
      <c r="K5489" s="27" t="s">
        <v>37</v>
      </c>
      <c r="L5489" s="27"/>
    </row>
    <row r="5490" customFormat="false" ht="15" hidden="false" customHeight="false" outlineLevel="0" collapsed="false">
      <c r="A5490" s="26" t="s">
        <v>15917</v>
      </c>
      <c r="B5490" s="27" t="s">
        <v>15918</v>
      </c>
      <c r="C5490" s="27" t="s">
        <v>144</v>
      </c>
      <c r="D5490" s="26"/>
      <c r="E5490" s="27"/>
      <c r="F5490" s="27"/>
      <c r="G5490" s="27" t="s">
        <v>11122</v>
      </c>
      <c r="H5490" s="27" t="s">
        <v>35</v>
      </c>
      <c r="I5490" s="27" t="s">
        <v>37</v>
      </c>
      <c r="J5490" s="28" t="s">
        <v>399</v>
      </c>
      <c r="K5490" s="27" t="s">
        <v>37</v>
      </c>
      <c r="L5490" s="27"/>
    </row>
    <row r="5491" customFormat="false" ht="15" hidden="false" customHeight="false" outlineLevel="0" collapsed="false">
      <c r="A5491" s="26" t="s">
        <v>15919</v>
      </c>
      <c r="B5491" s="27" t="s">
        <v>15920</v>
      </c>
      <c r="C5491" s="27" t="s">
        <v>144</v>
      </c>
      <c r="D5491" s="26"/>
      <c r="E5491" s="27"/>
      <c r="F5491" s="27"/>
      <c r="G5491" s="27" t="s">
        <v>11122</v>
      </c>
      <c r="H5491" s="27" t="s">
        <v>35</v>
      </c>
      <c r="I5491" s="27" t="s">
        <v>37</v>
      </c>
      <c r="J5491" s="28" t="s">
        <v>399</v>
      </c>
      <c r="K5491" s="27" t="s">
        <v>37</v>
      </c>
      <c r="L5491" s="27"/>
    </row>
    <row r="5492" customFormat="false" ht="15" hidden="false" customHeight="false" outlineLevel="0" collapsed="false">
      <c r="A5492" s="26" t="s">
        <v>15921</v>
      </c>
      <c r="B5492" s="27" t="s">
        <v>15922</v>
      </c>
      <c r="C5492" s="27" t="s">
        <v>144</v>
      </c>
      <c r="D5492" s="26"/>
      <c r="E5492" s="27"/>
      <c r="F5492" s="27"/>
      <c r="G5492" s="27" t="s">
        <v>11122</v>
      </c>
      <c r="H5492" s="27" t="s">
        <v>35</v>
      </c>
      <c r="I5492" s="27" t="s">
        <v>37</v>
      </c>
      <c r="J5492" s="28" t="s">
        <v>399</v>
      </c>
      <c r="K5492" s="27" t="s">
        <v>37</v>
      </c>
      <c r="L5492" s="27"/>
    </row>
    <row r="5493" customFormat="false" ht="15" hidden="false" customHeight="false" outlineLevel="0" collapsed="false">
      <c r="A5493" s="26" t="s">
        <v>15923</v>
      </c>
      <c r="B5493" s="27" t="s">
        <v>15924</v>
      </c>
      <c r="C5493" s="27" t="s">
        <v>144</v>
      </c>
      <c r="D5493" s="26"/>
      <c r="E5493" s="27"/>
      <c r="F5493" s="27"/>
      <c r="G5493" s="27" t="s">
        <v>11122</v>
      </c>
      <c r="H5493" s="27" t="s">
        <v>35</v>
      </c>
      <c r="I5493" s="27" t="s">
        <v>37</v>
      </c>
      <c r="J5493" s="28" t="s">
        <v>399</v>
      </c>
      <c r="K5493" s="27" t="s">
        <v>37</v>
      </c>
      <c r="L5493" s="27"/>
    </row>
    <row r="5494" customFormat="false" ht="15" hidden="false" customHeight="false" outlineLevel="0" collapsed="false">
      <c r="A5494" s="26" t="s">
        <v>15925</v>
      </c>
      <c r="B5494" s="27" t="s">
        <v>15926</v>
      </c>
      <c r="C5494" s="27" t="s">
        <v>144</v>
      </c>
      <c r="D5494" s="26"/>
      <c r="E5494" s="27"/>
      <c r="F5494" s="27"/>
      <c r="G5494" s="27" t="s">
        <v>11122</v>
      </c>
      <c r="H5494" s="27" t="s">
        <v>35</v>
      </c>
      <c r="I5494" s="27" t="s">
        <v>37</v>
      </c>
      <c r="J5494" s="28" t="s">
        <v>399</v>
      </c>
      <c r="K5494" s="27" t="s">
        <v>37</v>
      </c>
      <c r="L5494" s="27"/>
    </row>
    <row r="5495" customFormat="false" ht="15" hidden="false" customHeight="false" outlineLevel="0" collapsed="false">
      <c r="A5495" s="26" t="s">
        <v>15927</v>
      </c>
      <c r="B5495" s="27" t="s">
        <v>15928</v>
      </c>
      <c r="C5495" s="27" t="s">
        <v>144</v>
      </c>
      <c r="D5495" s="26"/>
      <c r="E5495" s="27"/>
      <c r="F5495" s="27"/>
      <c r="G5495" s="27" t="s">
        <v>11122</v>
      </c>
      <c r="H5495" s="27" t="s">
        <v>35</v>
      </c>
      <c r="I5495" s="27" t="s">
        <v>37</v>
      </c>
      <c r="J5495" s="28" t="s">
        <v>399</v>
      </c>
      <c r="K5495" s="27" t="s">
        <v>37</v>
      </c>
      <c r="L5495" s="27"/>
    </row>
    <row r="5496" customFormat="false" ht="15" hidden="false" customHeight="false" outlineLevel="0" collapsed="false">
      <c r="A5496" s="26" t="s">
        <v>15929</v>
      </c>
      <c r="B5496" s="27" t="s">
        <v>15930</v>
      </c>
      <c r="C5496" s="27" t="s">
        <v>144</v>
      </c>
      <c r="D5496" s="26"/>
      <c r="E5496" s="27"/>
      <c r="F5496" s="27"/>
      <c r="G5496" s="27" t="s">
        <v>11122</v>
      </c>
      <c r="H5496" s="27" t="s">
        <v>35</v>
      </c>
      <c r="I5496" s="27" t="s">
        <v>37</v>
      </c>
      <c r="J5496" s="28" t="s">
        <v>399</v>
      </c>
      <c r="K5496" s="27" t="s">
        <v>37</v>
      </c>
      <c r="L5496" s="27"/>
    </row>
    <row r="5497" customFormat="false" ht="15" hidden="false" customHeight="false" outlineLevel="0" collapsed="false">
      <c r="A5497" s="26" t="s">
        <v>15931</v>
      </c>
      <c r="B5497" s="27" t="s">
        <v>15932</v>
      </c>
      <c r="C5497" s="27" t="s">
        <v>144</v>
      </c>
      <c r="D5497" s="26"/>
      <c r="E5497" s="27"/>
      <c r="F5497" s="27"/>
      <c r="G5497" s="27" t="s">
        <v>11122</v>
      </c>
      <c r="H5497" s="27" t="s">
        <v>35</v>
      </c>
      <c r="I5497" s="27" t="s">
        <v>37</v>
      </c>
      <c r="J5497" s="28" t="s">
        <v>399</v>
      </c>
      <c r="K5497" s="27" t="s">
        <v>37</v>
      </c>
      <c r="L5497" s="27"/>
    </row>
    <row r="5498" customFormat="false" ht="15" hidden="false" customHeight="false" outlineLevel="0" collapsed="false">
      <c r="A5498" s="26" t="s">
        <v>15933</v>
      </c>
      <c r="B5498" s="27" t="s">
        <v>15934</v>
      </c>
      <c r="C5498" s="27" t="s">
        <v>144</v>
      </c>
      <c r="D5498" s="26"/>
      <c r="E5498" s="27"/>
      <c r="F5498" s="27"/>
      <c r="G5498" s="27" t="s">
        <v>11122</v>
      </c>
      <c r="H5498" s="27" t="s">
        <v>35</v>
      </c>
      <c r="I5498" s="27" t="s">
        <v>37</v>
      </c>
      <c r="J5498" s="28" t="s">
        <v>399</v>
      </c>
      <c r="K5498" s="27" t="s">
        <v>37</v>
      </c>
      <c r="L5498" s="27"/>
    </row>
    <row r="5499" customFormat="false" ht="15" hidden="false" customHeight="false" outlineLevel="0" collapsed="false">
      <c r="A5499" s="26" t="s">
        <v>15935</v>
      </c>
      <c r="B5499" s="27" t="s">
        <v>15936</v>
      </c>
      <c r="C5499" s="27" t="s">
        <v>144</v>
      </c>
      <c r="D5499" s="26"/>
      <c r="E5499" s="27"/>
      <c r="F5499" s="27"/>
      <c r="G5499" s="27" t="s">
        <v>11122</v>
      </c>
      <c r="H5499" s="27" t="s">
        <v>35</v>
      </c>
      <c r="I5499" s="27" t="s">
        <v>37</v>
      </c>
      <c r="J5499" s="28" t="s">
        <v>399</v>
      </c>
      <c r="K5499" s="27" t="s">
        <v>37</v>
      </c>
      <c r="L5499" s="27"/>
    </row>
    <row r="5500" customFormat="false" ht="15" hidden="false" customHeight="false" outlineLevel="0" collapsed="false">
      <c r="A5500" s="26" t="s">
        <v>15937</v>
      </c>
      <c r="B5500" s="27" t="s">
        <v>15938</v>
      </c>
      <c r="C5500" s="27" t="s">
        <v>144</v>
      </c>
      <c r="D5500" s="26"/>
      <c r="E5500" s="27"/>
      <c r="F5500" s="27"/>
      <c r="G5500" s="27" t="s">
        <v>11122</v>
      </c>
      <c r="H5500" s="27" t="s">
        <v>35</v>
      </c>
      <c r="I5500" s="27" t="s">
        <v>37</v>
      </c>
      <c r="J5500" s="28" t="s">
        <v>399</v>
      </c>
      <c r="K5500" s="27" t="s">
        <v>37</v>
      </c>
      <c r="L5500" s="27"/>
    </row>
    <row r="5501" customFormat="false" ht="15" hidden="false" customHeight="false" outlineLevel="0" collapsed="false">
      <c r="A5501" s="26" t="s">
        <v>15939</v>
      </c>
      <c r="B5501" s="27" t="s">
        <v>15940</v>
      </c>
      <c r="C5501" s="27" t="s">
        <v>144</v>
      </c>
      <c r="D5501" s="26"/>
      <c r="E5501" s="27"/>
      <c r="F5501" s="27"/>
      <c r="G5501" s="27" t="s">
        <v>11122</v>
      </c>
      <c r="H5501" s="27" t="s">
        <v>35</v>
      </c>
      <c r="I5501" s="28" t="s">
        <v>46</v>
      </c>
      <c r="J5501" s="28" t="s">
        <v>399</v>
      </c>
      <c r="K5501" s="27" t="s">
        <v>37</v>
      </c>
      <c r="L5501" s="27"/>
    </row>
    <row r="5502" customFormat="false" ht="15" hidden="false" customHeight="false" outlineLevel="0" collapsed="false">
      <c r="A5502" s="26" t="s">
        <v>15941</v>
      </c>
      <c r="B5502" s="27" t="s">
        <v>15942</v>
      </c>
      <c r="C5502" s="27" t="s">
        <v>144</v>
      </c>
      <c r="D5502" s="26"/>
      <c r="E5502" s="27"/>
      <c r="F5502" s="27"/>
      <c r="G5502" s="27" t="s">
        <v>11122</v>
      </c>
      <c r="H5502" s="27" t="s">
        <v>35</v>
      </c>
      <c r="I5502" s="27" t="s">
        <v>37</v>
      </c>
      <c r="J5502" s="28" t="s">
        <v>399</v>
      </c>
      <c r="K5502" s="27" t="s">
        <v>37</v>
      </c>
      <c r="L5502" s="27"/>
    </row>
    <row r="5503" customFormat="false" ht="15" hidden="false" customHeight="false" outlineLevel="0" collapsed="false">
      <c r="A5503" s="26" t="s">
        <v>15943</v>
      </c>
      <c r="B5503" s="27" t="s">
        <v>15944</v>
      </c>
      <c r="C5503" s="27" t="s">
        <v>144</v>
      </c>
      <c r="D5503" s="26"/>
      <c r="E5503" s="27"/>
      <c r="F5503" s="27"/>
      <c r="G5503" s="27" t="s">
        <v>11122</v>
      </c>
      <c r="H5503" s="27" t="s">
        <v>35</v>
      </c>
      <c r="I5503" s="27" t="s">
        <v>37</v>
      </c>
      <c r="J5503" s="28" t="s">
        <v>399</v>
      </c>
      <c r="K5503" s="27" t="s">
        <v>37</v>
      </c>
      <c r="L5503" s="27"/>
    </row>
    <row r="5504" customFormat="false" ht="15" hidden="false" customHeight="false" outlineLevel="0" collapsed="false">
      <c r="A5504" s="26" t="s">
        <v>15945</v>
      </c>
      <c r="B5504" s="27" t="s">
        <v>15946</v>
      </c>
      <c r="C5504" s="27" t="s">
        <v>144</v>
      </c>
      <c r="D5504" s="26"/>
      <c r="E5504" s="27"/>
      <c r="F5504" s="27"/>
      <c r="G5504" s="27" t="s">
        <v>11122</v>
      </c>
      <c r="H5504" s="27" t="s">
        <v>35</v>
      </c>
      <c r="I5504" s="27" t="s">
        <v>37</v>
      </c>
      <c r="J5504" s="28" t="s">
        <v>399</v>
      </c>
      <c r="K5504" s="27" t="s">
        <v>37</v>
      </c>
      <c r="L5504" s="27"/>
    </row>
    <row r="5505" customFormat="false" ht="15" hidden="false" customHeight="false" outlineLevel="0" collapsed="false">
      <c r="A5505" s="26" t="s">
        <v>15947</v>
      </c>
      <c r="B5505" s="27" t="s">
        <v>15948</v>
      </c>
      <c r="C5505" s="27" t="s">
        <v>144</v>
      </c>
      <c r="D5505" s="26"/>
      <c r="E5505" s="27"/>
      <c r="F5505" s="27"/>
      <c r="G5505" s="27" t="s">
        <v>11122</v>
      </c>
      <c r="H5505" s="27" t="s">
        <v>35</v>
      </c>
      <c r="I5505" s="27" t="s">
        <v>38</v>
      </c>
      <c r="J5505" s="28" t="s">
        <v>399</v>
      </c>
      <c r="K5505" s="27" t="s">
        <v>37</v>
      </c>
      <c r="L5505" s="27"/>
    </row>
    <row r="5506" customFormat="false" ht="15" hidden="false" customHeight="false" outlineLevel="0" collapsed="false">
      <c r="A5506" s="26" t="s">
        <v>15949</v>
      </c>
      <c r="B5506" s="27" t="s">
        <v>15950</v>
      </c>
      <c r="C5506" s="27" t="s">
        <v>144</v>
      </c>
      <c r="D5506" s="26"/>
      <c r="E5506" s="27"/>
      <c r="F5506" s="27"/>
      <c r="G5506" s="27" t="s">
        <v>11122</v>
      </c>
      <c r="H5506" s="27" t="s">
        <v>35</v>
      </c>
      <c r="I5506" s="27" t="s">
        <v>37</v>
      </c>
      <c r="J5506" s="28" t="s">
        <v>399</v>
      </c>
      <c r="K5506" s="27" t="s">
        <v>37</v>
      </c>
      <c r="L5506" s="27"/>
    </row>
    <row r="5507" customFormat="false" ht="15" hidden="false" customHeight="false" outlineLevel="0" collapsed="false">
      <c r="A5507" s="26" t="s">
        <v>15951</v>
      </c>
      <c r="B5507" s="27" t="s">
        <v>15952</v>
      </c>
      <c r="C5507" s="27" t="s">
        <v>144</v>
      </c>
      <c r="D5507" s="26"/>
      <c r="E5507" s="27"/>
      <c r="F5507" s="27"/>
      <c r="G5507" s="27" t="s">
        <v>11122</v>
      </c>
      <c r="H5507" s="27" t="s">
        <v>35</v>
      </c>
      <c r="I5507" s="27" t="s">
        <v>37</v>
      </c>
      <c r="J5507" s="28" t="s">
        <v>399</v>
      </c>
      <c r="K5507" s="27" t="s">
        <v>37</v>
      </c>
      <c r="L5507" s="27"/>
    </row>
    <row r="5508" customFormat="false" ht="15" hidden="false" customHeight="false" outlineLevel="0" collapsed="false">
      <c r="A5508" s="26" t="s">
        <v>15953</v>
      </c>
      <c r="B5508" s="27" t="s">
        <v>15954</v>
      </c>
      <c r="C5508" s="27" t="s">
        <v>144</v>
      </c>
      <c r="D5508" s="26"/>
      <c r="E5508" s="27"/>
      <c r="F5508" s="27"/>
      <c r="G5508" s="27" t="s">
        <v>11122</v>
      </c>
      <c r="H5508" s="27" t="s">
        <v>35</v>
      </c>
      <c r="I5508" s="27" t="s">
        <v>37</v>
      </c>
      <c r="J5508" s="28" t="s">
        <v>399</v>
      </c>
      <c r="K5508" s="27" t="s">
        <v>37</v>
      </c>
      <c r="L5508" s="27"/>
    </row>
    <row r="5509" customFormat="false" ht="15" hidden="false" customHeight="false" outlineLevel="0" collapsed="false">
      <c r="A5509" s="26" t="s">
        <v>15955</v>
      </c>
      <c r="B5509" s="27" t="s">
        <v>15956</v>
      </c>
      <c r="C5509" s="27" t="s">
        <v>144</v>
      </c>
      <c r="D5509" s="26"/>
      <c r="E5509" s="27"/>
      <c r="F5509" s="27"/>
      <c r="G5509" s="27" t="s">
        <v>11122</v>
      </c>
      <c r="H5509" s="27" t="s">
        <v>35</v>
      </c>
      <c r="I5509" s="27" t="s">
        <v>37</v>
      </c>
      <c r="J5509" s="28" t="s">
        <v>399</v>
      </c>
      <c r="K5509" s="27" t="s">
        <v>37</v>
      </c>
      <c r="L5509" s="27"/>
    </row>
    <row r="5510" customFormat="false" ht="15" hidden="false" customHeight="false" outlineLevel="0" collapsed="false">
      <c r="A5510" s="26" t="s">
        <v>15957</v>
      </c>
      <c r="B5510" s="27" t="s">
        <v>15958</v>
      </c>
      <c r="C5510" s="27" t="s">
        <v>144</v>
      </c>
      <c r="D5510" s="26"/>
      <c r="E5510" s="27"/>
      <c r="F5510" s="27"/>
      <c r="G5510" s="27" t="s">
        <v>11122</v>
      </c>
      <c r="H5510" s="27" t="s">
        <v>35</v>
      </c>
      <c r="I5510" s="27" t="s">
        <v>37</v>
      </c>
      <c r="J5510" s="28" t="s">
        <v>399</v>
      </c>
      <c r="K5510" s="27" t="s">
        <v>37</v>
      </c>
      <c r="L5510" s="27"/>
    </row>
    <row r="5511" customFormat="false" ht="15" hidden="false" customHeight="false" outlineLevel="0" collapsed="false">
      <c r="A5511" s="26" t="s">
        <v>15959</v>
      </c>
      <c r="B5511" s="27" t="s">
        <v>15960</v>
      </c>
      <c r="C5511" s="27" t="s">
        <v>144</v>
      </c>
      <c r="D5511" s="26"/>
      <c r="E5511" s="27"/>
      <c r="F5511" s="27"/>
      <c r="G5511" s="27" t="s">
        <v>11122</v>
      </c>
      <c r="H5511" s="27" t="s">
        <v>35</v>
      </c>
      <c r="I5511" s="27" t="s">
        <v>37</v>
      </c>
      <c r="J5511" s="28" t="s">
        <v>399</v>
      </c>
      <c r="K5511" s="27" t="s">
        <v>37</v>
      </c>
      <c r="L5511" s="27"/>
    </row>
    <row r="5512" customFormat="false" ht="15" hidden="false" customHeight="false" outlineLevel="0" collapsed="false">
      <c r="A5512" s="26" t="s">
        <v>15961</v>
      </c>
      <c r="B5512" s="27" t="s">
        <v>15962</v>
      </c>
      <c r="C5512" s="27" t="s">
        <v>144</v>
      </c>
      <c r="D5512" s="26"/>
      <c r="E5512" s="27"/>
      <c r="F5512" s="27"/>
      <c r="G5512" s="27" t="s">
        <v>11122</v>
      </c>
      <c r="H5512" s="27" t="s">
        <v>35</v>
      </c>
      <c r="I5512" s="27" t="s">
        <v>37</v>
      </c>
      <c r="J5512" s="28" t="s">
        <v>399</v>
      </c>
      <c r="K5512" s="27" t="s">
        <v>37</v>
      </c>
      <c r="L5512" s="27"/>
    </row>
    <row r="5513" customFormat="false" ht="15" hidden="false" customHeight="false" outlineLevel="0" collapsed="false">
      <c r="A5513" s="26" t="s">
        <v>15963</v>
      </c>
      <c r="B5513" s="27" t="s">
        <v>15964</v>
      </c>
      <c r="C5513" s="27" t="s">
        <v>144</v>
      </c>
      <c r="D5513" s="26"/>
      <c r="E5513" s="27"/>
      <c r="F5513" s="27"/>
      <c r="G5513" s="27" t="s">
        <v>11122</v>
      </c>
      <c r="H5513" s="27" t="s">
        <v>35</v>
      </c>
      <c r="I5513" s="27" t="s">
        <v>37</v>
      </c>
      <c r="J5513" s="28" t="s">
        <v>399</v>
      </c>
      <c r="K5513" s="27" t="s">
        <v>37</v>
      </c>
      <c r="L5513" s="27"/>
    </row>
    <row r="5514" customFormat="false" ht="15" hidden="false" customHeight="false" outlineLevel="0" collapsed="false">
      <c r="A5514" s="26" t="s">
        <v>15965</v>
      </c>
      <c r="B5514" s="27" t="s">
        <v>15966</v>
      </c>
      <c r="C5514" s="27" t="s">
        <v>144</v>
      </c>
      <c r="D5514" s="26"/>
      <c r="E5514" s="27"/>
      <c r="F5514" s="27"/>
      <c r="G5514" s="27" t="s">
        <v>11122</v>
      </c>
      <c r="H5514" s="27" t="s">
        <v>35</v>
      </c>
      <c r="I5514" s="27" t="s">
        <v>37</v>
      </c>
      <c r="J5514" s="28" t="s">
        <v>399</v>
      </c>
      <c r="K5514" s="27" t="s">
        <v>37</v>
      </c>
      <c r="L5514" s="27"/>
    </row>
    <row r="5515" customFormat="false" ht="15" hidden="false" customHeight="false" outlineLevel="0" collapsed="false">
      <c r="A5515" s="26" t="s">
        <v>15967</v>
      </c>
      <c r="B5515" s="27" t="s">
        <v>15968</v>
      </c>
      <c r="C5515" s="27" t="s">
        <v>144</v>
      </c>
      <c r="D5515" s="26"/>
      <c r="E5515" s="27"/>
      <c r="F5515" s="27"/>
      <c r="G5515" s="27" t="s">
        <v>11122</v>
      </c>
      <c r="H5515" s="27" t="s">
        <v>35</v>
      </c>
      <c r="I5515" s="27" t="s">
        <v>37</v>
      </c>
      <c r="J5515" s="28" t="s">
        <v>399</v>
      </c>
      <c r="K5515" s="27" t="s">
        <v>37</v>
      </c>
      <c r="L5515" s="27"/>
    </row>
    <row r="5516" customFormat="false" ht="15" hidden="false" customHeight="false" outlineLevel="0" collapsed="false">
      <c r="A5516" s="26" t="s">
        <v>15969</v>
      </c>
      <c r="B5516" s="27" t="s">
        <v>15970</v>
      </c>
      <c r="C5516" s="27" t="s">
        <v>144</v>
      </c>
      <c r="D5516" s="26"/>
      <c r="E5516" s="27"/>
      <c r="F5516" s="27"/>
      <c r="G5516" s="27" t="s">
        <v>11122</v>
      </c>
      <c r="H5516" s="27" t="s">
        <v>35</v>
      </c>
      <c r="I5516" s="27" t="s">
        <v>37</v>
      </c>
      <c r="J5516" s="28" t="s">
        <v>399</v>
      </c>
      <c r="K5516" s="27" t="s">
        <v>37</v>
      </c>
      <c r="L5516" s="27"/>
    </row>
    <row r="5517" customFormat="false" ht="15" hidden="false" customHeight="false" outlineLevel="0" collapsed="false">
      <c r="A5517" s="26" t="s">
        <v>15971</v>
      </c>
      <c r="B5517" s="27" t="s">
        <v>15972</v>
      </c>
      <c r="C5517" s="27" t="s">
        <v>137</v>
      </c>
      <c r="D5517" s="26"/>
      <c r="E5517" s="27"/>
      <c r="F5517" s="27"/>
      <c r="G5517" s="27" t="s">
        <v>11122</v>
      </c>
      <c r="H5517" s="27" t="s">
        <v>35</v>
      </c>
      <c r="I5517" s="27" t="s">
        <v>37</v>
      </c>
      <c r="J5517" s="28" t="s">
        <v>399</v>
      </c>
      <c r="K5517" s="27" t="s">
        <v>37</v>
      </c>
      <c r="L5517" s="27"/>
    </row>
    <row r="5518" customFormat="false" ht="15" hidden="false" customHeight="false" outlineLevel="0" collapsed="false">
      <c r="A5518" s="26" t="s">
        <v>15973</v>
      </c>
      <c r="B5518" s="27" t="s">
        <v>15974</v>
      </c>
      <c r="C5518" s="27" t="s">
        <v>144</v>
      </c>
      <c r="D5518" s="26"/>
      <c r="E5518" s="27"/>
      <c r="F5518" s="27"/>
      <c r="G5518" s="27" t="s">
        <v>11122</v>
      </c>
      <c r="H5518" s="27" t="s">
        <v>35</v>
      </c>
      <c r="I5518" s="27" t="s">
        <v>37</v>
      </c>
      <c r="J5518" s="28" t="s">
        <v>399</v>
      </c>
      <c r="K5518" s="27" t="s">
        <v>37</v>
      </c>
      <c r="L5518" s="27"/>
    </row>
    <row r="5519" customFormat="false" ht="15" hidden="false" customHeight="false" outlineLevel="0" collapsed="false">
      <c r="A5519" s="26" t="s">
        <v>15975</v>
      </c>
      <c r="B5519" s="27" t="s">
        <v>15976</v>
      </c>
      <c r="C5519" s="27" t="s">
        <v>144</v>
      </c>
      <c r="D5519" s="26"/>
      <c r="E5519" s="27"/>
      <c r="F5519" s="27"/>
      <c r="G5519" s="27" t="s">
        <v>11122</v>
      </c>
      <c r="H5519" s="27" t="s">
        <v>35</v>
      </c>
      <c r="I5519" s="27" t="s">
        <v>37</v>
      </c>
      <c r="J5519" s="28" t="s">
        <v>399</v>
      </c>
      <c r="K5519" s="27" t="s">
        <v>37</v>
      </c>
      <c r="L5519" s="27"/>
    </row>
    <row r="5520" customFormat="false" ht="15" hidden="false" customHeight="false" outlineLevel="0" collapsed="false">
      <c r="A5520" s="26" t="s">
        <v>15977</v>
      </c>
      <c r="B5520" s="27" t="s">
        <v>15978</v>
      </c>
      <c r="C5520" s="27" t="s">
        <v>144</v>
      </c>
      <c r="D5520" s="26"/>
      <c r="E5520" s="27"/>
      <c r="F5520" s="27"/>
      <c r="G5520" s="27" t="s">
        <v>11122</v>
      </c>
      <c r="H5520" s="27" t="s">
        <v>35</v>
      </c>
      <c r="I5520" s="27" t="s">
        <v>37</v>
      </c>
      <c r="J5520" s="28" t="s">
        <v>399</v>
      </c>
      <c r="K5520" s="27" t="s">
        <v>37</v>
      </c>
      <c r="L5520" s="27"/>
    </row>
    <row r="5521" customFormat="false" ht="15" hidden="false" customHeight="false" outlineLevel="0" collapsed="false">
      <c r="A5521" s="26" t="s">
        <v>15979</v>
      </c>
      <c r="B5521" s="27" t="s">
        <v>15980</v>
      </c>
      <c r="C5521" s="27" t="s">
        <v>144</v>
      </c>
      <c r="D5521" s="26"/>
      <c r="E5521" s="27"/>
      <c r="F5521" s="27"/>
      <c r="G5521" s="27" t="s">
        <v>11122</v>
      </c>
      <c r="H5521" s="27" t="s">
        <v>35</v>
      </c>
      <c r="I5521" s="27" t="s">
        <v>37</v>
      </c>
      <c r="J5521" s="28" t="s">
        <v>399</v>
      </c>
      <c r="K5521" s="27" t="s">
        <v>37</v>
      </c>
      <c r="L5521" s="27"/>
    </row>
    <row r="5522" customFormat="false" ht="15" hidden="false" customHeight="false" outlineLevel="0" collapsed="false">
      <c r="A5522" s="26" t="s">
        <v>15981</v>
      </c>
      <c r="B5522" s="27" t="s">
        <v>15982</v>
      </c>
      <c r="C5522" s="27" t="s">
        <v>144</v>
      </c>
      <c r="D5522" s="26"/>
      <c r="E5522" s="27"/>
      <c r="F5522" s="27"/>
      <c r="G5522" s="27" t="s">
        <v>11122</v>
      </c>
      <c r="H5522" s="27" t="s">
        <v>35</v>
      </c>
      <c r="I5522" s="27" t="s">
        <v>37</v>
      </c>
      <c r="J5522" s="28" t="s">
        <v>399</v>
      </c>
      <c r="K5522" s="27" t="s">
        <v>37</v>
      </c>
      <c r="L5522" s="27"/>
    </row>
    <row r="5523" customFormat="false" ht="15" hidden="false" customHeight="false" outlineLevel="0" collapsed="false">
      <c r="A5523" s="26" t="s">
        <v>15983</v>
      </c>
      <c r="B5523" s="27" t="s">
        <v>15984</v>
      </c>
      <c r="C5523" s="27" t="s">
        <v>144</v>
      </c>
      <c r="D5523" s="26"/>
      <c r="E5523" s="27"/>
      <c r="F5523" s="27"/>
      <c r="G5523" s="27" t="s">
        <v>11122</v>
      </c>
      <c r="H5523" s="27" t="s">
        <v>35</v>
      </c>
      <c r="I5523" s="27" t="s">
        <v>37</v>
      </c>
      <c r="J5523" s="28" t="s">
        <v>399</v>
      </c>
      <c r="K5523" s="27" t="s">
        <v>37</v>
      </c>
      <c r="L5523" s="27"/>
    </row>
    <row r="5524" customFormat="false" ht="15" hidden="false" customHeight="false" outlineLevel="0" collapsed="false">
      <c r="A5524" s="26" t="s">
        <v>15985</v>
      </c>
      <c r="B5524" s="27" t="s">
        <v>15986</v>
      </c>
      <c r="C5524" s="27" t="s">
        <v>144</v>
      </c>
      <c r="D5524" s="26"/>
      <c r="E5524" s="27"/>
      <c r="F5524" s="27"/>
      <c r="G5524" s="27" t="s">
        <v>11122</v>
      </c>
      <c r="H5524" s="27" t="s">
        <v>35</v>
      </c>
      <c r="I5524" s="27" t="s">
        <v>37</v>
      </c>
      <c r="J5524" s="28" t="s">
        <v>399</v>
      </c>
      <c r="K5524" s="27" t="s">
        <v>37</v>
      </c>
      <c r="L5524" s="27"/>
    </row>
    <row r="5525" customFormat="false" ht="15" hidden="false" customHeight="false" outlineLevel="0" collapsed="false">
      <c r="A5525" s="26" t="s">
        <v>15987</v>
      </c>
      <c r="B5525" s="27" t="s">
        <v>15988</v>
      </c>
      <c r="C5525" s="27" t="s">
        <v>144</v>
      </c>
      <c r="D5525" s="26"/>
      <c r="E5525" s="27"/>
      <c r="F5525" s="27"/>
      <c r="G5525" s="27" t="s">
        <v>11122</v>
      </c>
      <c r="H5525" s="27" t="s">
        <v>35</v>
      </c>
      <c r="I5525" s="27" t="s">
        <v>37</v>
      </c>
      <c r="J5525" s="28" t="s">
        <v>399</v>
      </c>
      <c r="K5525" s="27" t="s">
        <v>37</v>
      </c>
      <c r="L5525" s="27"/>
    </row>
    <row r="5526" customFormat="false" ht="15" hidden="false" customHeight="false" outlineLevel="0" collapsed="false">
      <c r="A5526" s="26" t="s">
        <v>15989</v>
      </c>
      <c r="B5526" s="27" t="s">
        <v>15990</v>
      </c>
      <c r="C5526" s="27" t="s">
        <v>144</v>
      </c>
      <c r="D5526" s="26"/>
      <c r="E5526" s="27"/>
      <c r="F5526" s="27"/>
      <c r="G5526" s="27" t="s">
        <v>11122</v>
      </c>
      <c r="H5526" s="27" t="s">
        <v>35</v>
      </c>
      <c r="I5526" s="27" t="s">
        <v>37</v>
      </c>
      <c r="J5526" s="28" t="s">
        <v>399</v>
      </c>
      <c r="K5526" s="27" t="s">
        <v>37</v>
      </c>
      <c r="L5526" s="27"/>
    </row>
    <row r="5527" customFormat="false" ht="15" hidden="false" customHeight="false" outlineLevel="0" collapsed="false">
      <c r="A5527" s="26" t="s">
        <v>15991</v>
      </c>
      <c r="B5527" s="27" t="s">
        <v>15992</v>
      </c>
      <c r="C5527" s="27" t="s">
        <v>144</v>
      </c>
      <c r="D5527" s="26"/>
      <c r="E5527" s="27"/>
      <c r="F5527" s="27"/>
      <c r="G5527" s="27" t="s">
        <v>11122</v>
      </c>
      <c r="H5527" s="27" t="s">
        <v>35</v>
      </c>
      <c r="I5527" s="27" t="s">
        <v>37</v>
      </c>
      <c r="J5527" s="28" t="s">
        <v>399</v>
      </c>
      <c r="K5527" s="27" t="s">
        <v>37</v>
      </c>
      <c r="L5527" s="27"/>
    </row>
    <row r="5528" customFormat="false" ht="15" hidden="false" customHeight="false" outlineLevel="0" collapsed="false">
      <c r="A5528" s="26" t="s">
        <v>15993</v>
      </c>
      <c r="B5528" s="27" t="s">
        <v>15994</v>
      </c>
      <c r="C5528" s="27" t="s">
        <v>144</v>
      </c>
      <c r="D5528" s="26"/>
      <c r="E5528" s="27"/>
      <c r="F5528" s="27"/>
      <c r="G5528" s="27" t="s">
        <v>11122</v>
      </c>
      <c r="H5528" s="27" t="s">
        <v>35</v>
      </c>
      <c r="I5528" s="27" t="s">
        <v>37</v>
      </c>
      <c r="J5528" s="28" t="s">
        <v>399</v>
      </c>
      <c r="K5528" s="27" t="s">
        <v>37</v>
      </c>
      <c r="L5528" s="27"/>
    </row>
    <row r="5529" customFormat="false" ht="15" hidden="false" customHeight="false" outlineLevel="0" collapsed="false">
      <c r="A5529" s="26" t="s">
        <v>15995</v>
      </c>
      <c r="B5529" s="27" t="s">
        <v>15996</v>
      </c>
      <c r="C5529" s="27" t="s">
        <v>144</v>
      </c>
      <c r="D5529" s="26"/>
      <c r="E5529" s="27"/>
      <c r="F5529" s="27"/>
      <c r="G5529" s="27" t="s">
        <v>11122</v>
      </c>
      <c r="H5529" s="27" t="s">
        <v>35</v>
      </c>
      <c r="I5529" s="27" t="s">
        <v>37</v>
      </c>
      <c r="J5529" s="28" t="s">
        <v>399</v>
      </c>
      <c r="K5529" s="27" t="s">
        <v>37</v>
      </c>
      <c r="L5529" s="27"/>
    </row>
    <row r="5530" customFormat="false" ht="15" hidden="false" customHeight="false" outlineLevel="0" collapsed="false">
      <c r="A5530" s="26" t="s">
        <v>15997</v>
      </c>
      <c r="B5530" s="27" t="s">
        <v>15998</v>
      </c>
      <c r="C5530" s="27" t="s">
        <v>144</v>
      </c>
      <c r="D5530" s="26"/>
      <c r="E5530" s="27"/>
      <c r="F5530" s="27"/>
      <c r="G5530" s="27" t="s">
        <v>11122</v>
      </c>
      <c r="H5530" s="27" t="s">
        <v>35</v>
      </c>
      <c r="I5530" s="27" t="s">
        <v>37</v>
      </c>
      <c r="J5530" s="28" t="s">
        <v>399</v>
      </c>
      <c r="K5530" s="27" t="s">
        <v>37</v>
      </c>
      <c r="L5530" s="27"/>
    </row>
    <row r="5531" customFormat="false" ht="15" hidden="false" customHeight="false" outlineLevel="0" collapsed="false">
      <c r="A5531" s="26" t="s">
        <v>15999</v>
      </c>
      <c r="B5531" s="27" t="s">
        <v>16000</v>
      </c>
      <c r="C5531" s="27" t="s">
        <v>144</v>
      </c>
      <c r="D5531" s="26"/>
      <c r="E5531" s="27"/>
      <c r="F5531" s="27"/>
      <c r="G5531" s="27" t="s">
        <v>11122</v>
      </c>
      <c r="H5531" s="27" t="s">
        <v>35</v>
      </c>
      <c r="I5531" s="27" t="s">
        <v>37</v>
      </c>
      <c r="J5531" s="28" t="s">
        <v>399</v>
      </c>
      <c r="K5531" s="27" t="s">
        <v>37</v>
      </c>
      <c r="L5531" s="27"/>
    </row>
    <row r="5532" customFormat="false" ht="15" hidden="false" customHeight="false" outlineLevel="0" collapsed="false">
      <c r="A5532" s="26" t="s">
        <v>16001</v>
      </c>
      <c r="B5532" s="27" t="s">
        <v>16002</v>
      </c>
      <c r="C5532" s="27" t="s">
        <v>144</v>
      </c>
      <c r="D5532" s="26"/>
      <c r="E5532" s="27"/>
      <c r="F5532" s="27"/>
      <c r="G5532" s="27" t="s">
        <v>11122</v>
      </c>
      <c r="H5532" s="27" t="s">
        <v>35</v>
      </c>
      <c r="I5532" s="27" t="s">
        <v>37</v>
      </c>
      <c r="J5532" s="28" t="s">
        <v>399</v>
      </c>
      <c r="K5532" s="27" t="s">
        <v>37</v>
      </c>
      <c r="L5532" s="27"/>
    </row>
    <row r="5533" customFormat="false" ht="15" hidden="false" customHeight="false" outlineLevel="0" collapsed="false">
      <c r="A5533" s="26" t="s">
        <v>16003</v>
      </c>
      <c r="B5533" s="27" t="s">
        <v>16004</v>
      </c>
      <c r="C5533" s="27" t="s">
        <v>144</v>
      </c>
      <c r="D5533" s="26"/>
      <c r="E5533" s="27"/>
      <c r="F5533" s="27"/>
      <c r="G5533" s="27" t="s">
        <v>11122</v>
      </c>
      <c r="H5533" s="27" t="s">
        <v>35</v>
      </c>
      <c r="I5533" s="27" t="s">
        <v>37</v>
      </c>
      <c r="J5533" s="28" t="s">
        <v>399</v>
      </c>
      <c r="K5533" s="27" t="s">
        <v>37</v>
      </c>
      <c r="L5533" s="27"/>
    </row>
    <row r="5534" customFormat="false" ht="15" hidden="false" customHeight="false" outlineLevel="0" collapsed="false">
      <c r="A5534" s="26" t="s">
        <v>16005</v>
      </c>
      <c r="B5534" s="27" t="s">
        <v>16006</v>
      </c>
      <c r="C5534" s="27" t="s">
        <v>144</v>
      </c>
      <c r="D5534" s="26"/>
      <c r="E5534" s="27"/>
      <c r="F5534" s="27"/>
      <c r="G5534" s="27" t="s">
        <v>11122</v>
      </c>
      <c r="H5534" s="27" t="s">
        <v>35</v>
      </c>
      <c r="I5534" s="27" t="s">
        <v>37</v>
      </c>
      <c r="J5534" s="28" t="s">
        <v>399</v>
      </c>
      <c r="K5534" s="27" t="s">
        <v>37</v>
      </c>
      <c r="L5534" s="27"/>
    </row>
    <row r="5535" customFormat="false" ht="15" hidden="false" customHeight="false" outlineLevel="0" collapsed="false">
      <c r="A5535" s="26" t="s">
        <v>16007</v>
      </c>
      <c r="B5535" s="27" t="s">
        <v>16008</v>
      </c>
      <c r="C5535" s="27" t="s">
        <v>144</v>
      </c>
      <c r="D5535" s="26"/>
      <c r="E5535" s="27"/>
      <c r="F5535" s="27"/>
      <c r="G5535" s="27" t="s">
        <v>11122</v>
      </c>
      <c r="H5535" s="27" t="s">
        <v>35</v>
      </c>
      <c r="I5535" s="27" t="s">
        <v>37</v>
      </c>
      <c r="J5535" s="28" t="s">
        <v>399</v>
      </c>
      <c r="K5535" s="27" t="s">
        <v>37</v>
      </c>
      <c r="L5535" s="27"/>
    </row>
    <row r="5536" customFormat="false" ht="15" hidden="false" customHeight="false" outlineLevel="0" collapsed="false">
      <c r="A5536" s="26" t="s">
        <v>16009</v>
      </c>
      <c r="B5536" s="27" t="s">
        <v>16010</v>
      </c>
      <c r="C5536" s="27" t="s">
        <v>144</v>
      </c>
      <c r="D5536" s="26"/>
      <c r="E5536" s="27"/>
      <c r="F5536" s="27"/>
      <c r="G5536" s="27" t="s">
        <v>11122</v>
      </c>
      <c r="H5536" s="27" t="s">
        <v>35</v>
      </c>
      <c r="I5536" s="27" t="s">
        <v>37</v>
      </c>
      <c r="J5536" s="28" t="s">
        <v>399</v>
      </c>
      <c r="K5536" s="27" t="s">
        <v>37</v>
      </c>
      <c r="L5536" s="27"/>
    </row>
    <row r="5537" customFormat="false" ht="15" hidden="false" customHeight="false" outlineLevel="0" collapsed="false">
      <c r="A5537" s="26" t="s">
        <v>16011</v>
      </c>
      <c r="B5537" s="27" t="s">
        <v>16012</v>
      </c>
      <c r="C5537" s="27" t="s">
        <v>144</v>
      </c>
      <c r="D5537" s="26"/>
      <c r="E5537" s="27"/>
      <c r="F5537" s="27"/>
      <c r="G5537" s="27" t="s">
        <v>11122</v>
      </c>
      <c r="H5537" s="27" t="s">
        <v>35</v>
      </c>
      <c r="I5537" s="27" t="s">
        <v>37</v>
      </c>
      <c r="J5537" s="28" t="s">
        <v>399</v>
      </c>
      <c r="K5537" s="27" t="s">
        <v>37</v>
      </c>
      <c r="L5537" s="27"/>
    </row>
    <row r="5538" customFormat="false" ht="15" hidden="false" customHeight="false" outlineLevel="0" collapsed="false">
      <c r="A5538" s="26" t="s">
        <v>16013</v>
      </c>
      <c r="B5538" s="27" t="s">
        <v>16014</v>
      </c>
      <c r="C5538" s="27" t="s">
        <v>144</v>
      </c>
      <c r="D5538" s="26"/>
      <c r="E5538" s="27"/>
      <c r="F5538" s="27"/>
      <c r="G5538" s="27" t="s">
        <v>11122</v>
      </c>
      <c r="H5538" s="27" t="s">
        <v>35</v>
      </c>
      <c r="I5538" s="27" t="s">
        <v>37</v>
      </c>
      <c r="J5538" s="28" t="s">
        <v>399</v>
      </c>
      <c r="K5538" s="27" t="s">
        <v>37</v>
      </c>
      <c r="L5538" s="27"/>
    </row>
    <row r="5539" customFormat="false" ht="15" hidden="false" customHeight="false" outlineLevel="0" collapsed="false">
      <c r="A5539" s="26" t="s">
        <v>16015</v>
      </c>
      <c r="B5539" s="27" t="s">
        <v>16016</v>
      </c>
      <c r="C5539" s="27" t="s">
        <v>144</v>
      </c>
      <c r="D5539" s="26"/>
      <c r="E5539" s="27"/>
      <c r="F5539" s="27"/>
      <c r="G5539" s="27" t="s">
        <v>11122</v>
      </c>
      <c r="H5539" s="27" t="s">
        <v>35</v>
      </c>
      <c r="I5539" s="27" t="s">
        <v>37</v>
      </c>
      <c r="J5539" s="28" t="s">
        <v>399</v>
      </c>
      <c r="K5539" s="27" t="s">
        <v>37</v>
      </c>
      <c r="L5539" s="27"/>
    </row>
    <row r="5540" customFormat="false" ht="15" hidden="false" customHeight="false" outlineLevel="0" collapsed="false">
      <c r="A5540" s="26" t="s">
        <v>16017</v>
      </c>
      <c r="B5540" s="27" t="s">
        <v>16018</v>
      </c>
      <c r="C5540" s="27" t="s">
        <v>144</v>
      </c>
      <c r="D5540" s="26"/>
      <c r="E5540" s="27"/>
      <c r="F5540" s="27"/>
      <c r="G5540" s="27" t="s">
        <v>11122</v>
      </c>
      <c r="H5540" s="27" t="s">
        <v>35</v>
      </c>
      <c r="I5540" s="27" t="s">
        <v>37</v>
      </c>
      <c r="J5540" s="28" t="s">
        <v>399</v>
      </c>
      <c r="K5540" s="27" t="s">
        <v>37</v>
      </c>
      <c r="L5540" s="27"/>
    </row>
    <row r="5541" customFormat="false" ht="15" hidden="false" customHeight="false" outlineLevel="0" collapsed="false">
      <c r="A5541" s="26" t="s">
        <v>16019</v>
      </c>
      <c r="B5541" s="27" t="s">
        <v>16020</v>
      </c>
      <c r="C5541" s="27" t="s">
        <v>144</v>
      </c>
      <c r="D5541" s="26"/>
      <c r="E5541" s="27"/>
      <c r="F5541" s="27"/>
      <c r="G5541" s="27" t="s">
        <v>11122</v>
      </c>
      <c r="H5541" s="27" t="s">
        <v>35</v>
      </c>
      <c r="I5541" s="27" t="s">
        <v>37</v>
      </c>
      <c r="J5541" s="28" t="s">
        <v>399</v>
      </c>
      <c r="K5541" s="27" t="s">
        <v>37</v>
      </c>
      <c r="L5541" s="27"/>
    </row>
    <row r="5542" customFormat="false" ht="15" hidden="false" customHeight="false" outlineLevel="0" collapsed="false">
      <c r="A5542" s="26" t="s">
        <v>16021</v>
      </c>
      <c r="B5542" s="27" t="s">
        <v>16022</v>
      </c>
      <c r="C5542" s="27" t="s">
        <v>144</v>
      </c>
      <c r="D5542" s="26"/>
      <c r="E5542" s="27"/>
      <c r="F5542" s="27"/>
      <c r="G5542" s="27" t="s">
        <v>11122</v>
      </c>
      <c r="H5542" s="27" t="s">
        <v>35</v>
      </c>
      <c r="I5542" s="27" t="s">
        <v>37</v>
      </c>
      <c r="J5542" s="28" t="s">
        <v>399</v>
      </c>
      <c r="K5542" s="27" t="s">
        <v>37</v>
      </c>
      <c r="L5542" s="27"/>
    </row>
    <row r="5543" customFormat="false" ht="15" hidden="false" customHeight="false" outlineLevel="0" collapsed="false">
      <c r="A5543" s="26" t="s">
        <v>16023</v>
      </c>
      <c r="B5543" s="27" t="s">
        <v>16024</v>
      </c>
      <c r="C5543" s="27" t="s">
        <v>144</v>
      </c>
      <c r="D5543" s="26"/>
      <c r="E5543" s="27"/>
      <c r="F5543" s="27"/>
      <c r="G5543" s="27" t="s">
        <v>11122</v>
      </c>
      <c r="H5543" s="27" t="s">
        <v>35</v>
      </c>
      <c r="I5543" s="27" t="s">
        <v>37</v>
      </c>
      <c r="J5543" s="28" t="s">
        <v>399</v>
      </c>
      <c r="K5543" s="27" t="s">
        <v>37</v>
      </c>
      <c r="L5543" s="27"/>
    </row>
    <row r="5544" customFormat="false" ht="15" hidden="false" customHeight="false" outlineLevel="0" collapsed="false">
      <c r="A5544" s="26" t="s">
        <v>16025</v>
      </c>
      <c r="B5544" s="27" t="s">
        <v>16026</v>
      </c>
      <c r="C5544" s="27" t="s">
        <v>144</v>
      </c>
      <c r="D5544" s="26"/>
      <c r="E5544" s="27"/>
      <c r="F5544" s="27"/>
      <c r="G5544" s="27" t="s">
        <v>11122</v>
      </c>
      <c r="H5544" s="27" t="s">
        <v>35</v>
      </c>
      <c r="I5544" s="27" t="s">
        <v>37</v>
      </c>
      <c r="J5544" s="28" t="s">
        <v>399</v>
      </c>
      <c r="K5544" s="27" t="s">
        <v>37</v>
      </c>
      <c r="L5544" s="27"/>
    </row>
    <row r="5545" customFormat="false" ht="15" hidden="false" customHeight="false" outlineLevel="0" collapsed="false">
      <c r="A5545" s="26" t="s">
        <v>16027</v>
      </c>
      <c r="B5545" s="27" t="s">
        <v>16028</v>
      </c>
      <c r="C5545" s="27" t="s">
        <v>144</v>
      </c>
      <c r="D5545" s="26"/>
      <c r="E5545" s="27"/>
      <c r="F5545" s="27"/>
      <c r="G5545" s="27" t="s">
        <v>11122</v>
      </c>
      <c r="H5545" s="27" t="s">
        <v>35</v>
      </c>
      <c r="I5545" s="27" t="s">
        <v>37</v>
      </c>
      <c r="J5545" s="28" t="s">
        <v>399</v>
      </c>
      <c r="K5545" s="27" t="s">
        <v>37</v>
      </c>
      <c r="L5545" s="27"/>
    </row>
    <row r="5546" customFormat="false" ht="15" hidden="false" customHeight="false" outlineLevel="0" collapsed="false">
      <c r="A5546" s="26" t="s">
        <v>16029</v>
      </c>
      <c r="B5546" s="27" t="s">
        <v>16030</v>
      </c>
      <c r="C5546" s="27" t="s">
        <v>144</v>
      </c>
      <c r="D5546" s="26"/>
      <c r="E5546" s="27"/>
      <c r="F5546" s="27"/>
      <c r="G5546" s="27" t="s">
        <v>11122</v>
      </c>
      <c r="H5546" s="27" t="s">
        <v>35</v>
      </c>
      <c r="I5546" s="27" t="s">
        <v>37</v>
      </c>
      <c r="J5546" s="28" t="s">
        <v>399</v>
      </c>
      <c r="K5546" s="27" t="s">
        <v>37</v>
      </c>
      <c r="L5546" s="27"/>
    </row>
    <row r="5547" customFormat="false" ht="15" hidden="false" customHeight="false" outlineLevel="0" collapsed="false">
      <c r="A5547" s="26" t="s">
        <v>16031</v>
      </c>
      <c r="B5547" s="27" t="s">
        <v>16032</v>
      </c>
      <c r="C5547" s="27" t="s">
        <v>144</v>
      </c>
      <c r="D5547" s="26"/>
      <c r="E5547" s="27"/>
      <c r="F5547" s="27"/>
      <c r="G5547" s="27" t="s">
        <v>11122</v>
      </c>
      <c r="H5547" s="27" t="s">
        <v>35</v>
      </c>
      <c r="I5547" s="27" t="s">
        <v>37</v>
      </c>
      <c r="J5547" s="28" t="s">
        <v>399</v>
      </c>
      <c r="K5547" s="27" t="s">
        <v>37</v>
      </c>
      <c r="L5547" s="27"/>
    </row>
    <row r="5548" customFormat="false" ht="15" hidden="false" customHeight="false" outlineLevel="0" collapsed="false">
      <c r="A5548" s="26" t="s">
        <v>16033</v>
      </c>
      <c r="B5548" s="27" t="s">
        <v>16034</v>
      </c>
      <c r="C5548" s="27" t="s">
        <v>144</v>
      </c>
      <c r="D5548" s="26"/>
      <c r="E5548" s="27"/>
      <c r="F5548" s="27"/>
      <c r="G5548" s="27" t="s">
        <v>11122</v>
      </c>
      <c r="H5548" s="27" t="s">
        <v>35</v>
      </c>
      <c r="I5548" s="27" t="s">
        <v>37</v>
      </c>
      <c r="J5548" s="28" t="s">
        <v>399</v>
      </c>
      <c r="K5548" s="27" t="s">
        <v>37</v>
      </c>
      <c r="L5548" s="27"/>
    </row>
    <row r="5549" customFormat="false" ht="15" hidden="false" customHeight="false" outlineLevel="0" collapsed="false">
      <c r="A5549" s="26" t="s">
        <v>16035</v>
      </c>
      <c r="B5549" s="27" t="s">
        <v>16036</v>
      </c>
      <c r="C5549" s="27" t="s">
        <v>144</v>
      </c>
      <c r="D5549" s="26"/>
      <c r="E5549" s="27"/>
      <c r="F5549" s="27"/>
      <c r="G5549" s="27" t="s">
        <v>11122</v>
      </c>
      <c r="H5549" s="27" t="s">
        <v>35</v>
      </c>
      <c r="I5549" s="27" t="s">
        <v>37</v>
      </c>
      <c r="J5549" s="28" t="s">
        <v>399</v>
      </c>
      <c r="K5549" s="27" t="s">
        <v>37</v>
      </c>
      <c r="L5549" s="27"/>
    </row>
    <row r="5550" customFormat="false" ht="15" hidden="false" customHeight="false" outlineLevel="0" collapsed="false">
      <c r="A5550" s="26" t="s">
        <v>16037</v>
      </c>
      <c r="B5550" s="27" t="s">
        <v>16038</v>
      </c>
      <c r="C5550" s="27" t="s">
        <v>144</v>
      </c>
      <c r="D5550" s="26"/>
      <c r="E5550" s="27"/>
      <c r="F5550" s="27"/>
      <c r="G5550" s="27" t="s">
        <v>11122</v>
      </c>
      <c r="H5550" s="27" t="s">
        <v>35</v>
      </c>
      <c r="I5550" s="27" t="s">
        <v>37</v>
      </c>
      <c r="J5550" s="28" t="s">
        <v>399</v>
      </c>
      <c r="K5550" s="27" t="s">
        <v>37</v>
      </c>
      <c r="L5550" s="27"/>
    </row>
    <row r="5551" customFormat="false" ht="15" hidden="false" customHeight="false" outlineLevel="0" collapsed="false">
      <c r="A5551" s="26" t="s">
        <v>16039</v>
      </c>
      <c r="B5551" s="27" t="s">
        <v>16040</v>
      </c>
      <c r="C5551" s="27" t="s">
        <v>144</v>
      </c>
      <c r="D5551" s="26"/>
      <c r="E5551" s="27"/>
      <c r="F5551" s="27"/>
      <c r="G5551" s="27" t="s">
        <v>11122</v>
      </c>
      <c r="H5551" s="27" t="s">
        <v>35</v>
      </c>
      <c r="I5551" s="27" t="s">
        <v>37</v>
      </c>
      <c r="J5551" s="28" t="s">
        <v>399</v>
      </c>
      <c r="K5551" s="27" t="s">
        <v>37</v>
      </c>
      <c r="L5551" s="27"/>
    </row>
    <row r="5552" customFormat="false" ht="15" hidden="false" customHeight="false" outlineLevel="0" collapsed="false">
      <c r="A5552" s="26" t="s">
        <v>16041</v>
      </c>
      <c r="B5552" s="27" t="s">
        <v>16042</v>
      </c>
      <c r="C5552" s="27" t="s">
        <v>144</v>
      </c>
      <c r="D5552" s="26"/>
      <c r="E5552" s="27"/>
      <c r="F5552" s="27"/>
      <c r="G5552" s="27" t="s">
        <v>11122</v>
      </c>
      <c r="H5552" s="27" t="s">
        <v>35</v>
      </c>
      <c r="I5552" s="27" t="s">
        <v>37</v>
      </c>
      <c r="J5552" s="28" t="s">
        <v>399</v>
      </c>
      <c r="K5552" s="27" t="s">
        <v>37</v>
      </c>
      <c r="L5552" s="27"/>
    </row>
    <row r="5553" customFormat="false" ht="15" hidden="false" customHeight="false" outlineLevel="0" collapsed="false">
      <c r="A5553" s="26" t="s">
        <v>16043</v>
      </c>
      <c r="B5553" s="27" t="s">
        <v>16044</v>
      </c>
      <c r="C5553" s="27" t="s">
        <v>144</v>
      </c>
      <c r="D5553" s="26"/>
      <c r="E5553" s="27"/>
      <c r="F5553" s="27"/>
      <c r="G5553" s="27" t="s">
        <v>11122</v>
      </c>
      <c r="H5553" s="27" t="s">
        <v>35</v>
      </c>
      <c r="I5553" s="27" t="s">
        <v>37</v>
      </c>
      <c r="J5553" s="28" t="s">
        <v>399</v>
      </c>
      <c r="K5553" s="27" t="s">
        <v>37</v>
      </c>
      <c r="L5553" s="27"/>
    </row>
    <row r="5554" customFormat="false" ht="15" hidden="false" customHeight="false" outlineLevel="0" collapsed="false">
      <c r="A5554" s="26" t="s">
        <v>16045</v>
      </c>
      <c r="B5554" s="27" t="s">
        <v>16046</v>
      </c>
      <c r="C5554" s="27" t="s">
        <v>144</v>
      </c>
      <c r="D5554" s="26"/>
      <c r="E5554" s="27"/>
      <c r="F5554" s="27"/>
      <c r="G5554" s="27" t="s">
        <v>11122</v>
      </c>
      <c r="H5554" s="27" t="s">
        <v>35</v>
      </c>
      <c r="I5554" s="27" t="s">
        <v>37</v>
      </c>
      <c r="J5554" s="28" t="s">
        <v>399</v>
      </c>
      <c r="K5554" s="27" t="s">
        <v>37</v>
      </c>
      <c r="L5554" s="27"/>
    </row>
    <row r="5555" customFormat="false" ht="15" hidden="false" customHeight="false" outlineLevel="0" collapsed="false">
      <c r="A5555" s="26" t="s">
        <v>16047</v>
      </c>
      <c r="B5555" s="27" t="s">
        <v>16048</v>
      </c>
      <c r="C5555" s="27" t="s">
        <v>144</v>
      </c>
      <c r="D5555" s="26"/>
      <c r="E5555" s="27"/>
      <c r="F5555" s="27"/>
      <c r="G5555" s="27" t="s">
        <v>11122</v>
      </c>
      <c r="H5555" s="27" t="s">
        <v>35</v>
      </c>
      <c r="I5555" s="27" t="s">
        <v>37</v>
      </c>
      <c r="J5555" s="28" t="s">
        <v>399</v>
      </c>
      <c r="K5555" s="27" t="s">
        <v>37</v>
      </c>
      <c r="L5555" s="27"/>
    </row>
    <row r="5556" customFormat="false" ht="15" hidden="false" customHeight="false" outlineLevel="0" collapsed="false">
      <c r="A5556" s="26" t="s">
        <v>16049</v>
      </c>
      <c r="B5556" s="27" t="s">
        <v>16050</v>
      </c>
      <c r="C5556" s="27" t="s">
        <v>144</v>
      </c>
      <c r="D5556" s="26"/>
      <c r="E5556" s="27"/>
      <c r="F5556" s="27"/>
      <c r="G5556" s="27" t="s">
        <v>11122</v>
      </c>
      <c r="H5556" s="27" t="s">
        <v>35</v>
      </c>
      <c r="I5556" s="27" t="s">
        <v>37</v>
      </c>
      <c r="J5556" s="28" t="s">
        <v>399</v>
      </c>
      <c r="K5556" s="27" t="s">
        <v>37</v>
      </c>
      <c r="L5556" s="27"/>
    </row>
    <row r="5557" customFormat="false" ht="15" hidden="false" customHeight="false" outlineLevel="0" collapsed="false">
      <c r="A5557" s="26" t="s">
        <v>16051</v>
      </c>
      <c r="B5557" s="27" t="s">
        <v>16052</v>
      </c>
      <c r="C5557" s="27" t="s">
        <v>144</v>
      </c>
      <c r="D5557" s="26"/>
      <c r="E5557" s="27"/>
      <c r="F5557" s="27"/>
      <c r="G5557" s="27" t="s">
        <v>11122</v>
      </c>
      <c r="H5557" s="27" t="s">
        <v>35</v>
      </c>
      <c r="I5557" s="27" t="s">
        <v>37</v>
      </c>
      <c r="J5557" s="28" t="s">
        <v>399</v>
      </c>
      <c r="K5557" s="27" t="s">
        <v>37</v>
      </c>
      <c r="L5557" s="27"/>
    </row>
    <row r="5558" customFormat="false" ht="15" hidden="false" customHeight="false" outlineLevel="0" collapsed="false">
      <c r="A5558" s="26" t="s">
        <v>16053</v>
      </c>
      <c r="B5558" s="27" t="s">
        <v>16054</v>
      </c>
      <c r="C5558" s="27" t="s">
        <v>144</v>
      </c>
      <c r="D5558" s="26"/>
      <c r="E5558" s="27"/>
      <c r="F5558" s="27"/>
      <c r="G5558" s="27" t="s">
        <v>11122</v>
      </c>
      <c r="H5558" s="27" t="s">
        <v>35</v>
      </c>
      <c r="I5558" s="27" t="s">
        <v>887</v>
      </c>
      <c r="J5558" s="28" t="s">
        <v>399</v>
      </c>
      <c r="K5558" s="27" t="s">
        <v>37</v>
      </c>
      <c r="L5558" s="27"/>
    </row>
    <row r="5559" customFormat="false" ht="15" hidden="false" customHeight="false" outlineLevel="0" collapsed="false">
      <c r="A5559" s="26" t="s">
        <v>16055</v>
      </c>
      <c r="B5559" s="27" t="s">
        <v>16056</v>
      </c>
      <c r="C5559" s="27" t="s">
        <v>144</v>
      </c>
      <c r="D5559" s="26"/>
      <c r="E5559" s="27"/>
      <c r="F5559" s="27"/>
      <c r="G5559" s="27" t="s">
        <v>11122</v>
      </c>
      <c r="H5559" s="27" t="s">
        <v>35</v>
      </c>
      <c r="I5559" s="27" t="s">
        <v>37</v>
      </c>
      <c r="J5559" s="28" t="s">
        <v>399</v>
      </c>
      <c r="K5559" s="27" t="s">
        <v>37</v>
      </c>
      <c r="L5559" s="27"/>
    </row>
    <row r="5560" customFormat="false" ht="15" hidden="false" customHeight="false" outlineLevel="0" collapsed="false">
      <c r="A5560" s="26" t="s">
        <v>16057</v>
      </c>
      <c r="B5560" s="27" t="s">
        <v>16058</v>
      </c>
      <c r="C5560" s="27" t="s">
        <v>144</v>
      </c>
      <c r="D5560" s="26"/>
      <c r="E5560" s="27"/>
      <c r="F5560" s="27"/>
      <c r="G5560" s="27" t="s">
        <v>11122</v>
      </c>
      <c r="H5560" s="27" t="s">
        <v>35</v>
      </c>
      <c r="I5560" s="27" t="s">
        <v>41</v>
      </c>
      <c r="J5560" s="28" t="s">
        <v>399</v>
      </c>
      <c r="K5560" s="27" t="s">
        <v>37</v>
      </c>
      <c r="L5560" s="27"/>
    </row>
    <row r="5561" customFormat="false" ht="15" hidden="false" customHeight="false" outlineLevel="0" collapsed="false">
      <c r="A5561" s="26" t="s">
        <v>16059</v>
      </c>
      <c r="B5561" s="27" t="s">
        <v>16060</v>
      </c>
      <c r="C5561" s="27" t="s">
        <v>144</v>
      </c>
      <c r="D5561" s="26"/>
      <c r="E5561" s="27"/>
      <c r="F5561" s="27"/>
      <c r="G5561" s="27" t="s">
        <v>11122</v>
      </c>
      <c r="H5561" s="27" t="s">
        <v>35</v>
      </c>
      <c r="I5561" s="27" t="s">
        <v>37</v>
      </c>
      <c r="J5561" s="28" t="s">
        <v>399</v>
      </c>
      <c r="K5561" s="27" t="s">
        <v>37</v>
      </c>
      <c r="L5561" s="27"/>
    </row>
    <row r="5562" customFormat="false" ht="15" hidden="false" customHeight="false" outlineLevel="0" collapsed="false">
      <c r="A5562" s="26" t="s">
        <v>16061</v>
      </c>
      <c r="B5562" s="27" t="s">
        <v>16062</v>
      </c>
      <c r="C5562" s="27" t="s">
        <v>144</v>
      </c>
      <c r="D5562" s="26"/>
      <c r="E5562" s="27"/>
      <c r="F5562" s="27"/>
      <c r="G5562" s="27" t="s">
        <v>11122</v>
      </c>
      <c r="H5562" s="27" t="s">
        <v>35</v>
      </c>
      <c r="I5562" s="27" t="s">
        <v>37</v>
      </c>
      <c r="J5562" s="28" t="s">
        <v>399</v>
      </c>
      <c r="K5562" s="27" t="s">
        <v>37</v>
      </c>
      <c r="L5562" s="27"/>
    </row>
    <row r="5563" customFormat="false" ht="15" hidden="false" customHeight="false" outlineLevel="0" collapsed="false">
      <c r="A5563" s="26" t="s">
        <v>16063</v>
      </c>
      <c r="B5563" s="27" t="s">
        <v>16064</v>
      </c>
      <c r="C5563" s="27" t="s">
        <v>137</v>
      </c>
      <c r="D5563" s="26"/>
      <c r="E5563" s="27"/>
      <c r="F5563" s="27"/>
      <c r="G5563" s="27" t="s">
        <v>11122</v>
      </c>
      <c r="H5563" s="27" t="s">
        <v>35</v>
      </c>
      <c r="I5563" s="27" t="s">
        <v>37</v>
      </c>
      <c r="J5563" s="28" t="s">
        <v>399</v>
      </c>
      <c r="K5563" s="27" t="s">
        <v>37</v>
      </c>
      <c r="L5563" s="27"/>
    </row>
    <row r="5564" customFormat="false" ht="15" hidden="false" customHeight="false" outlineLevel="0" collapsed="false">
      <c r="A5564" s="26" t="s">
        <v>16065</v>
      </c>
      <c r="B5564" s="27" t="s">
        <v>16066</v>
      </c>
      <c r="C5564" s="27" t="s">
        <v>144</v>
      </c>
      <c r="D5564" s="26"/>
      <c r="E5564" s="27"/>
      <c r="F5564" s="27"/>
      <c r="G5564" s="27" t="s">
        <v>11122</v>
      </c>
      <c r="H5564" s="27" t="s">
        <v>35</v>
      </c>
      <c r="I5564" s="27" t="s">
        <v>37</v>
      </c>
      <c r="J5564" s="28" t="s">
        <v>399</v>
      </c>
      <c r="K5564" s="27" t="s">
        <v>37</v>
      </c>
      <c r="L5564" s="27"/>
    </row>
    <row r="5565" customFormat="false" ht="15" hidden="false" customHeight="false" outlineLevel="0" collapsed="false">
      <c r="A5565" s="26" t="s">
        <v>16067</v>
      </c>
      <c r="B5565" s="27" t="s">
        <v>16068</v>
      </c>
      <c r="C5565" s="27" t="s">
        <v>144</v>
      </c>
      <c r="D5565" s="26"/>
      <c r="E5565" s="27"/>
      <c r="F5565" s="27"/>
      <c r="G5565" s="27" t="s">
        <v>11122</v>
      </c>
      <c r="H5565" s="27" t="s">
        <v>35</v>
      </c>
      <c r="I5565" s="27" t="s">
        <v>37</v>
      </c>
      <c r="J5565" s="28" t="s">
        <v>399</v>
      </c>
      <c r="K5565" s="27" t="s">
        <v>37</v>
      </c>
      <c r="L5565" s="27"/>
    </row>
    <row r="5566" customFormat="false" ht="15" hidden="false" customHeight="false" outlineLevel="0" collapsed="false">
      <c r="A5566" s="26" t="s">
        <v>16069</v>
      </c>
      <c r="B5566" s="27" t="s">
        <v>16070</v>
      </c>
      <c r="C5566" s="27" t="s">
        <v>144</v>
      </c>
      <c r="D5566" s="26"/>
      <c r="E5566" s="27"/>
      <c r="F5566" s="27"/>
      <c r="G5566" s="27" t="s">
        <v>11122</v>
      </c>
      <c r="H5566" s="27" t="s">
        <v>35</v>
      </c>
      <c r="I5566" s="27" t="s">
        <v>37</v>
      </c>
      <c r="J5566" s="28" t="s">
        <v>399</v>
      </c>
      <c r="K5566" s="27" t="s">
        <v>37</v>
      </c>
      <c r="L5566" s="27"/>
    </row>
    <row r="5567" customFormat="false" ht="15" hidden="false" customHeight="false" outlineLevel="0" collapsed="false">
      <c r="A5567" s="26" t="s">
        <v>16071</v>
      </c>
      <c r="B5567" s="27" t="s">
        <v>16072</v>
      </c>
      <c r="C5567" s="27" t="s">
        <v>137</v>
      </c>
      <c r="D5567" s="26"/>
      <c r="E5567" s="27"/>
      <c r="F5567" s="27"/>
      <c r="G5567" s="27" t="s">
        <v>11122</v>
      </c>
      <c r="H5567" s="27" t="s">
        <v>35</v>
      </c>
      <c r="I5567" s="27" t="s">
        <v>37</v>
      </c>
      <c r="J5567" s="28" t="s">
        <v>399</v>
      </c>
      <c r="K5567" s="27" t="s">
        <v>37</v>
      </c>
      <c r="L5567" s="27"/>
    </row>
    <row r="5568" customFormat="false" ht="15" hidden="false" customHeight="false" outlineLevel="0" collapsed="false">
      <c r="A5568" s="26" t="s">
        <v>16073</v>
      </c>
      <c r="B5568" s="27" t="s">
        <v>16074</v>
      </c>
      <c r="C5568" s="27" t="s">
        <v>144</v>
      </c>
      <c r="D5568" s="26"/>
      <c r="E5568" s="27"/>
      <c r="F5568" s="27"/>
      <c r="G5568" s="27" t="s">
        <v>11122</v>
      </c>
      <c r="H5568" s="27" t="s">
        <v>35</v>
      </c>
      <c r="I5568" s="27" t="s">
        <v>37</v>
      </c>
      <c r="J5568" s="28" t="s">
        <v>399</v>
      </c>
      <c r="K5568" s="27" t="s">
        <v>37</v>
      </c>
      <c r="L5568" s="27"/>
    </row>
    <row r="5569" customFormat="false" ht="15" hidden="false" customHeight="false" outlineLevel="0" collapsed="false">
      <c r="A5569" s="26" t="s">
        <v>16075</v>
      </c>
      <c r="B5569" s="27" t="s">
        <v>16076</v>
      </c>
      <c r="C5569" s="27" t="s">
        <v>144</v>
      </c>
      <c r="D5569" s="26"/>
      <c r="E5569" s="27"/>
      <c r="F5569" s="27"/>
      <c r="G5569" s="27" t="s">
        <v>11122</v>
      </c>
      <c r="H5569" s="27" t="s">
        <v>35</v>
      </c>
      <c r="I5569" s="27" t="s">
        <v>37</v>
      </c>
      <c r="J5569" s="28" t="s">
        <v>399</v>
      </c>
      <c r="K5569" s="27" t="s">
        <v>37</v>
      </c>
      <c r="L5569" s="27"/>
    </row>
    <row r="5570" customFormat="false" ht="15" hidden="false" customHeight="false" outlineLevel="0" collapsed="false">
      <c r="A5570" s="26" t="s">
        <v>16077</v>
      </c>
      <c r="B5570" s="27" t="s">
        <v>16078</v>
      </c>
      <c r="C5570" s="27" t="s">
        <v>144</v>
      </c>
      <c r="D5570" s="26"/>
      <c r="E5570" s="27"/>
      <c r="F5570" s="27"/>
      <c r="G5570" s="27" t="s">
        <v>11122</v>
      </c>
      <c r="H5570" s="27" t="s">
        <v>35</v>
      </c>
      <c r="I5570" s="27" t="s">
        <v>37</v>
      </c>
      <c r="J5570" s="28" t="s">
        <v>399</v>
      </c>
      <c r="K5570" s="27" t="s">
        <v>37</v>
      </c>
      <c r="L5570" s="27"/>
    </row>
    <row r="5571" customFormat="false" ht="15" hidden="false" customHeight="false" outlineLevel="0" collapsed="false">
      <c r="A5571" s="26" t="s">
        <v>16079</v>
      </c>
      <c r="B5571" s="27" t="s">
        <v>16080</v>
      </c>
      <c r="C5571" s="27" t="s">
        <v>144</v>
      </c>
      <c r="D5571" s="26"/>
      <c r="E5571" s="27"/>
      <c r="F5571" s="27"/>
      <c r="G5571" s="27" t="s">
        <v>11122</v>
      </c>
      <c r="H5571" s="27" t="s">
        <v>35</v>
      </c>
      <c r="I5571" s="27" t="s">
        <v>37</v>
      </c>
      <c r="J5571" s="28" t="s">
        <v>399</v>
      </c>
      <c r="K5571" s="27" t="s">
        <v>37</v>
      </c>
      <c r="L5571" s="27"/>
    </row>
    <row r="5572" customFormat="false" ht="15" hidden="false" customHeight="false" outlineLevel="0" collapsed="false">
      <c r="A5572" s="26" t="s">
        <v>16081</v>
      </c>
      <c r="B5572" s="27" t="s">
        <v>16082</v>
      </c>
      <c r="C5572" s="27" t="s">
        <v>144</v>
      </c>
      <c r="D5572" s="26"/>
      <c r="E5572" s="27"/>
      <c r="F5572" s="27"/>
      <c r="G5572" s="27" t="s">
        <v>11122</v>
      </c>
      <c r="H5572" s="27" t="s">
        <v>35</v>
      </c>
      <c r="I5572" s="27" t="s">
        <v>37</v>
      </c>
      <c r="J5572" s="28" t="s">
        <v>399</v>
      </c>
      <c r="K5572" s="27" t="s">
        <v>37</v>
      </c>
      <c r="L5572" s="27"/>
    </row>
    <row r="5573" customFormat="false" ht="15" hidden="false" customHeight="false" outlineLevel="0" collapsed="false">
      <c r="A5573" s="26" t="s">
        <v>16083</v>
      </c>
      <c r="B5573" s="27" t="s">
        <v>16084</v>
      </c>
      <c r="C5573" s="27" t="s">
        <v>144</v>
      </c>
      <c r="D5573" s="26"/>
      <c r="E5573" s="27"/>
      <c r="F5573" s="27"/>
      <c r="G5573" s="27" t="s">
        <v>11122</v>
      </c>
      <c r="H5573" s="27" t="s">
        <v>35</v>
      </c>
      <c r="I5573" s="27" t="s">
        <v>37</v>
      </c>
      <c r="J5573" s="28" t="s">
        <v>399</v>
      </c>
      <c r="K5573" s="27" t="s">
        <v>37</v>
      </c>
      <c r="L5573" s="27"/>
    </row>
    <row r="5574" customFormat="false" ht="15" hidden="false" customHeight="false" outlineLevel="0" collapsed="false">
      <c r="A5574" s="26" t="s">
        <v>16085</v>
      </c>
      <c r="B5574" s="27" t="s">
        <v>16086</v>
      </c>
      <c r="C5574" s="27" t="s">
        <v>144</v>
      </c>
      <c r="D5574" s="26"/>
      <c r="E5574" s="27"/>
      <c r="F5574" s="27"/>
      <c r="G5574" s="27" t="s">
        <v>11122</v>
      </c>
      <c r="H5574" s="27" t="s">
        <v>35</v>
      </c>
      <c r="I5574" s="27" t="s">
        <v>37</v>
      </c>
      <c r="J5574" s="28" t="s">
        <v>399</v>
      </c>
      <c r="K5574" s="27" t="s">
        <v>37</v>
      </c>
      <c r="L5574" s="27"/>
    </row>
    <row r="5575" customFormat="false" ht="15" hidden="false" customHeight="false" outlineLevel="0" collapsed="false">
      <c r="A5575" s="26" t="s">
        <v>16087</v>
      </c>
      <c r="B5575" s="27" t="s">
        <v>16088</v>
      </c>
      <c r="C5575" s="27" t="s">
        <v>144</v>
      </c>
      <c r="D5575" s="26"/>
      <c r="E5575" s="27"/>
      <c r="F5575" s="27"/>
      <c r="G5575" s="27" t="s">
        <v>11122</v>
      </c>
      <c r="H5575" s="27" t="s">
        <v>35</v>
      </c>
      <c r="I5575" s="27" t="s">
        <v>37</v>
      </c>
      <c r="J5575" s="28" t="s">
        <v>399</v>
      </c>
      <c r="K5575" s="27" t="s">
        <v>37</v>
      </c>
      <c r="L5575" s="27"/>
    </row>
    <row r="5576" customFormat="false" ht="15" hidden="false" customHeight="false" outlineLevel="0" collapsed="false">
      <c r="A5576" s="26" t="s">
        <v>16089</v>
      </c>
      <c r="B5576" s="27" t="s">
        <v>16090</v>
      </c>
      <c r="C5576" s="27" t="s">
        <v>144</v>
      </c>
      <c r="D5576" s="26"/>
      <c r="E5576" s="27"/>
      <c r="F5576" s="27"/>
      <c r="G5576" s="27" t="s">
        <v>11122</v>
      </c>
      <c r="H5576" s="27" t="s">
        <v>35</v>
      </c>
      <c r="I5576" s="27" t="s">
        <v>37</v>
      </c>
      <c r="J5576" s="28" t="s">
        <v>399</v>
      </c>
      <c r="K5576" s="27" t="s">
        <v>37</v>
      </c>
      <c r="L5576" s="27"/>
    </row>
    <row r="5577" customFormat="false" ht="15" hidden="false" customHeight="false" outlineLevel="0" collapsed="false">
      <c r="A5577" s="26" t="s">
        <v>16091</v>
      </c>
      <c r="B5577" s="27" t="s">
        <v>16092</v>
      </c>
      <c r="C5577" s="27" t="s">
        <v>144</v>
      </c>
      <c r="D5577" s="26"/>
      <c r="E5577" s="27"/>
      <c r="F5577" s="27"/>
      <c r="G5577" s="27" t="s">
        <v>11122</v>
      </c>
      <c r="H5577" s="27" t="s">
        <v>35</v>
      </c>
      <c r="I5577" s="27" t="s">
        <v>37</v>
      </c>
      <c r="J5577" s="28" t="s">
        <v>399</v>
      </c>
      <c r="K5577" s="27" t="s">
        <v>37</v>
      </c>
      <c r="L5577" s="27"/>
    </row>
    <row r="5578" customFormat="false" ht="15" hidden="false" customHeight="false" outlineLevel="0" collapsed="false">
      <c r="A5578" s="26" t="s">
        <v>16093</v>
      </c>
      <c r="B5578" s="27" t="s">
        <v>16094</v>
      </c>
      <c r="C5578" s="27" t="s">
        <v>144</v>
      </c>
      <c r="D5578" s="26"/>
      <c r="E5578" s="27"/>
      <c r="F5578" s="27"/>
      <c r="G5578" s="27" t="s">
        <v>11122</v>
      </c>
      <c r="H5578" s="27" t="s">
        <v>35</v>
      </c>
      <c r="I5578" s="27" t="s">
        <v>37</v>
      </c>
      <c r="J5578" s="28" t="s">
        <v>399</v>
      </c>
      <c r="K5578" s="27" t="s">
        <v>37</v>
      </c>
      <c r="L5578" s="27"/>
    </row>
    <row r="5579" customFormat="false" ht="15" hidden="false" customHeight="false" outlineLevel="0" collapsed="false">
      <c r="A5579" s="26" t="s">
        <v>16095</v>
      </c>
      <c r="B5579" s="27" t="s">
        <v>16096</v>
      </c>
      <c r="C5579" s="27" t="s">
        <v>144</v>
      </c>
      <c r="D5579" s="26"/>
      <c r="E5579" s="27"/>
      <c r="F5579" s="27"/>
      <c r="G5579" s="27" t="s">
        <v>11122</v>
      </c>
      <c r="H5579" s="27" t="s">
        <v>35</v>
      </c>
      <c r="I5579" s="27" t="s">
        <v>37</v>
      </c>
      <c r="J5579" s="28" t="s">
        <v>399</v>
      </c>
      <c r="K5579" s="27" t="s">
        <v>37</v>
      </c>
      <c r="L5579" s="27"/>
    </row>
    <row r="5580" customFormat="false" ht="15" hidden="false" customHeight="false" outlineLevel="0" collapsed="false">
      <c r="A5580" s="26" t="s">
        <v>16097</v>
      </c>
      <c r="B5580" s="27" t="s">
        <v>16098</v>
      </c>
      <c r="C5580" s="27" t="s">
        <v>144</v>
      </c>
      <c r="D5580" s="26"/>
      <c r="E5580" s="27"/>
      <c r="F5580" s="27"/>
      <c r="G5580" s="27" t="s">
        <v>11122</v>
      </c>
      <c r="H5580" s="27" t="s">
        <v>35</v>
      </c>
      <c r="I5580" s="27" t="s">
        <v>37</v>
      </c>
      <c r="J5580" s="28" t="s">
        <v>399</v>
      </c>
      <c r="K5580" s="27" t="s">
        <v>37</v>
      </c>
      <c r="L5580" s="27"/>
    </row>
    <row r="5581" customFormat="false" ht="15" hidden="false" customHeight="false" outlineLevel="0" collapsed="false">
      <c r="A5581" s="26" t="s">
        <v>16099</v>
      </c>
      <c r="B5581" s="27" t="s">
        <v>16100</v>
      </c>
      <c r="C5581" s="27" t="s">
        <v>144</v>
      </c>
      <c r="D5581" s="26"/>
      <c r="E5581" s="27"/>
      <c r="F5581" s="27"/>
      <c r="G5581" s="27" t="s">
        <v>11122</v>
      </c>
      <c r="H5581" s="27" t="s">
        <v>35</v>
      </c>
      <c r="I5581" s="27" t="s">
        <v>37</v>
      </c>
      <c r="J5581" s="28" t="s">
        <v>399</v>
      </c>
      <c r="K5581" s="27" t="s">
        <v>37</v>
      </c>
      <c r="L5581" s="27"/>
    </row>
    <row r="5582" customFormat="false" ht="15" hidden="false" customHeight="false" outlineLevel="0" collapsed="false">
      <c r="A5582" s="26" t="s">
        <v>16101</v>
      </c>
      <c r="B5582" s="27" t="s">
        <v>16102</v>
      </c>
      <c r="C5582" s="27" t="s">
        <v>144</v>
      </c>
      <c r="D5582" s="26"/>
      <c r="E5582" s="27"/>
      <c r="F5582" s="27"/>
      <c r="G5582" s="27" t="s">
        <v>11122</v>
      </c>
      <c r="H5582" s="27" t="s">
        <v>35</v>
      </c>
      <c r="I5582" s="27" t="s">
        <v>37</v>
      </c>
      <c r="J5582" s="28" t="s">
        <v>399</v>
      </c>
      <c r="K5582" s="27" t="s">
        <v>37</v>
      </c>
      <c r="L5582" s="27"/>
    </row>
    <row r="5583" customFormat="false" ht="15" hidden="false" customHeight="false" outlineLevel="0" collapsed="false">
      <c r="A5583" s="26" t="s">
        <v>16103</v>
      </c>
      <c r="B5583" s="27" t="s">
        <v>16104</v>
      </c>
      <c r="C5583" s="27" t="s">
        <v>144</v>
      </c>
      <c r="D5583" s="26"/>
      <c r="E5583" s="27"/>
      <c r="F5583" s="27"/>
      <c r="G5583" s="27" t="s">
        <v>11122</v>
      </c>
      <c r="H5583" s="27" t="s">
        <v>35</v>
      </c>
      <c r="I5583" s="27" t="s">
        <v>37</v>
      </c>
      <c r="J5583" s="28" t="s">
        <v>399</v>
      </c>
      <c r="K5583" s="27" t="s">
        <v>37</v>
      </c>
      <c r="L5583" s="27"/>
    </row>
    <row r="5584" customFormat="false" ht="15" hidden="false" customHeight="false" outlineLevel="0" collapsed="false">
      <c r="A5584" s="26" t="s">
        <v>16105</v>
      </c>
      <c r="B5584" s="27" t="s">
        <v>16106</v>
      </c>
      <c r="C5584" s="27" t="s">
        <v>144</v>
      </c>
      <c r="D5584" s="26"/>
      <c r="E5584" s="27"/>
      <c r="F5584" s="27"/>
      <c r="G5584" s="27" t="s">
        <v>11122</v>
      </c>
      <c r="H5584" s="27" t="s">
        <v>35</v>
      </c>
      <c r="I5584" s="27" t="s">
        <v>37</v>
      </c>
      <c r="J5584" s="28" t="s">
        <v>399</v>
      </c>
      <c r="K5584" s="27" t="s">
        <v>37</v>
      </c>
      <c r="L5584" s="27"/>
    </row>
    <row r="5585" customFormat="false" ht="15" hidden="false" customHeight="false" outlineLevel="0" collapsed="false">
      <c r="A5585" s="26" t="s">
        <v>16107</v>
      </c>
      <c r="B5585" s="27" t="s">
        <v>16108</v>
      </c>
      <c r="C5585" s="27" t="s">
        <v>144</v>
      </c>
      <c r="D5585" s="26"/>
      <c r="E5585" s="27"/>
      <c r="F5585" s="27"/>
      <c r="G5585" s="27" t="s">
        <v>11122</v>
      </c>
      <c r="H5585" s="27" t="s">
        <v>35</v>
      </c>
      <c r="I5585" s="27" t="s">
        <v>37</v>
      </c>
      <c r="J5585" s="28" t="s">
        <v>399</v>
      </c>
      <c r="K5585" s="27" t="s">
        <v>37</v>
      </c>
      <c r="L5585" s="27"/>
    </row>
    <row r="5586" customFormat="false" ht="15" hidden="false" customHeight="false" outlineLevel="0" collapsed="false">
      <c r="A5586" s="26" t="s">
        <v>16109</v>
      </c>
      <c r="B5586" s="27" t="s">
        <v>16110</v>
      </c>
      <c r="C5586" s="27" t="s">
        <v>144</v>
      </c>
      <c r="D5586" s="26"/>
      <c r="E5586" s="27"/>
      <c r="F5586" s="27"/>
      <c r="G5586" s="27" t="s">
        <v>11122</v>
      </c>
      <c r="H5586" s="27" t="s">
        <v>35</v>
      </c>
      <c r="I5586" s="27" t="s">
        <v>37</v>
      </c>
      <c r="J5586" s="28" t="s">
        <v>399</v>
      </c>
      <c r="K5586" s="27" t="s">
        <v>37</v>
      </c>
      <c r="L5586" s="27"/>
    </row>
    <row r="5587" customFormat="false" ht="15" hidden="false" customHeight="false" outlineLevel="0" collapsed="false">
      <c r="A5587" s="26" t="s">
        <v>16111</v>
      </c>
      <c r="B5587" s="27" t="s">
        <v>16112</v>
      </c>
      <c r="C5587" s="27" t="s">
        <v>144</v>
      </c>
      <c r="D5587" s="26"/>
      <c r="E5587" s="27"/>
      <c r="F5587" s="27"/>
      <c r="G5587" s="27" t="s">
        <v>11122</v>
      </c>
      <c r="H5587" s="27" t="s">
        <v>35</v>
      </c>
      <c r="I5587" s="27" t="s">
        <v>37</v>
      </c>
      <c r="J5587" s="28" t="s">
        <v>399</v>
      </c>
      <c r="K5587" s="27" t="s">
        <v>37</v>
      </c>
      <c r="L5587" s="27"/>
    </row>
    <row r="5588" customFormat="false" ht="15" hidden="false" customHeight="false" outlineLevel="0" collapsed="false">
      <c r="A5588" s="26" t="s">
        <v>16113</v>
      </c>
      <c r="B5588" s="27" t="s">
        <v>16114</v>
      </c>
      <c r="C5588" s="27" t="s">
        <v>144</v>
      </c>
      <c r="D5588" s="26"/>
      <c r="E5588" s="27"/>
      <c r="F5588" s="27"/>
      <c r="G5588" s="27" t="s">
        <v>11122</v>
      </c>
      <c r="H5588" s="27" t="s">
        <v>35</v>
      </c>
      <c r="I5588" s="27" t="s">
        <v>41</v>
      </c>
      <c r="J5588" s="28" t="s">
        <v>399</v>
      </c>
      <c r="K5588" s="27" t="s">
        <v>37</v>
      </c>
      <c r="L5588" s="27"/>
    </row>
    <row r="5589" customFormat="false" ht="15" hidden="false" customHeight="false" outlineLevel="0" collapsed="false">
      <c r="A5589" s="26" t="s">
        <v>16115</v>
      </c>
      <c r="B5589" s="27" t="s">
        <v>16116</v>
      </c>
      <c r="C5589" s="27" t="s">
        <v>144</v>
      </c>
      <c r="D5589" s="26"/>
      <c r="E5589" s="27"/>
      <c r="F5589" s="27"/>
      <c r="G5589" s="27" t="s">
        <v>11122</v>
      </c>
      <c r="H5589" s="27" t="s">
        <v>35</v>
      </c>
      <c r="I5589" s="27" t="s">
        <v>37</v>
      </c>
      <c r="J5589" s="28" t="s">
        <v>399</v>
      </c>
      <c r="K5589" s="27" t="s">
        <v>37</v>
      </c>
      <c r="L5589" s="27"/>
    </row>
    <row r="5590" customFormat="false" ht="15" hidden="false" customHeight="false" outlineLevel="0" collapsed="false">
      <c r="A5590" s="26" t="s">
        <v>16117</v>
      </c>
      <c r="B5590" s="27" t="s">
        <v>16118</v>
      </c>
      <c r="C5590" s="27" t="s">
        <v>144</v>
      </c>
      <c r="D5590" s="26"/>
      <c r="E5590" s="27"/>
      <c r="F5590" s="27"/>
      <c r="G5590" s="27" t="s">
        <v>11122</v>
      </c>
      <c r="H5590" s="27" t="s">
        <v>35</v>
      </c>
      <c r="I5590" s="27" t="s">
        <v>37</v>
      </c>
      <c r="J5590" s="28" t="s">
        <v>399</v>
      </c>
      <c r="K5590" s="27" t="s">
        <v>37</v>
      </c>
      <c r="L5590" s="27"/>
    </row>
    <row r="5591" customFormat="false" ht="15" hidden="false" customHeight="false" outlineLevel="0" collapsed="false">
      <c r="A5591" s="26" t="s">
        <v>16119</v>
      </c>
      <c r="B5591" s="27" t="s">
        <v>16120</v>
      </c>
      <c r="C5591" s="27" t="s">
        <v>144</v>
      </c>
      <c r="D5591" s="26"/>
      <c r="E5591" s="27"/>
      <c r="F5591" s="27"/>
      <c r="G5591" s="27" t="s">
        <v>11122</v>
      </c>
      <c r="H5591" s="27" t="s">
        <v>35</v>
      </c>
      <c r="I5591" s="27" t="s">
        <v>37</v>
      </c>
      <c r="J5591" s="28" t="s">
        <v>399</v>
      </c>
      <c r="K5591" s="27" t="s">
        <v>37</v>
      </c>
      <c r="L5591" s="27"/>
    </row>
    <row r="5592" customFormat="false" ht="15" hidden="false" customHeight="false" outlineLevel="0" collapsed="false">
      <c r="A5592" s="26" t="s">
        <v>16121</v>
      </c>
      <c r="B5592" s="27" t="s">
        <v>16122</v>
      </c>
      <c r="C5592" s="27" t="s">
        <v>144</v>
      </c>
      <c r="D5592" s="26"/>
      <c r="E5592" s="27"/>
      <c r="F5592" s="27"/>
      <c r="G5592" s="27" t="s">
        <v>11122</v>
      </c>
      <c r="H5592" s="27" t="s">
        <v>35</v>
      </c>
      <c r="I5592" s="27" t="s">
        <v>37</v>
      </c>
      <c r="J5592" s="28" t="s">
        <v>399</v>
      </c>
      <c r="K5592" s="27" t="s">
        <v>37</v>
      </c>
      <c r="L5592" s="27"/>
    </row>
    <row r="5593" customFormat="false" ht="15" hidden="false" customHeight="false" outlineLevel="0" collapsed="false">
      <c r="A5593" s="26" t="s">
        <v>16123</v>
      </c>
      <c r="B5593" s="27" t="s">
        <v>16124</v>
      </c>
      <c r="C5593" s="27" t="s">
        <v>144</v>
      </c>
      <c r="D5593" s="26"/>
      <c r="E5593" s="27"/>
      <c r="F5593" s="27"/>
      <c r="G5593" s="27" t="s">
        <v>11122</v>
      </c>
      <c r="H5593" s="27" t="s">
        <v>35</v>
      </c>
      <c r="I5593" s="27" t="s">
        <v>37</v>
      </c>
      <c r="J5593" s="28" t="s">
        <v>399</v>
      </c>
      <c r="K5593" s="27" t="s">
        <v>37</v>
      </c>
      <c r="L5593" s="27"/>
    </row>
    <row r="5594" customFormat="false" ht="15" hidden="false" customHeight="false" outlineLevel="0" collapsed="false">
      <c r="A5594" s="26" t="s">
        <v>16125</v>
      </c>
      <c r="B5594" s="27" t="s">
        <v>16126</v>
      </c>
      <c r="C5594" s="27" t="s">
        <v>144</v>
      </c>
      <c r="D5594" s="26"/>
      <c r="E5594" s="27"/>
      <c r="F5594" s="27"/>
      <c r="G5594" s="27" t="s">
        <v>11122</v>
      </c>
      <c r="H5594" s="27" t="s">
        <v>35</v>
      </c>
      <c r="I5594" s="27" t="s">
        <v>37</v>
      </c>
      <c r="J5594" s="28" t="s">
        <v>399</v>
      </c>
      <c r="K5594" s="27" t="s">
        <v>37</v>
      </c>
      <c r="L5594" s="27"/>
    </row>
    <row r="5595" customFormat="false" ht="15" hidden="false" customHeight="false" outlineLevel="0" collapsed="false">
      <c r="A5595" s="26" t="s">
        <v>16127</v>
      </c>
      <c r="B5595" s="27" t="s">
        <v>16128</v>
      </c>
      <c r="C5595" s="27" t="s">
        <v>144</v>
      </c>
      <c r="D5595" s="26"/>
      <c r="E5595" s="27"/>
      <c r="F5595" s="27"/>
      <c r="G5595" s="27" t="s">
        <v>11122</v>
      </c>
      <c r="H5595" s="27" t="s">
        <v>35</v>
      </c>
      <c r="I5595" s="27" t="s">
        <v>37</v>
      </c>
      <c r="J5595" s="28" t="s">
        <v>399</v>
      </c>
      <c r="K5595" s="27" t="s">
        <v>37</v>
      </c>
      <c r="L5595" s="27"/>
    </row>
    <row r="5596" customFormat="false" ht="15" hidden="false" customHeight="false" outlineLevel="0" collapsed="false">
      <c r="A5596" s="26" t="s">
        <v>16129</v>
      </c>
      <c r="B5596" s="27" t="s">
        <v>16130</v>
      </c>
      <c r="C5596" s="27" t="s">
        <v>144</v>
      </c>
      <c r="D5596" s="26"/>
      <c r="E5596" s="27"/>
      <c r="F5596" s="27"/>
      <c r="G5596" s="27" t="s">
        <v>11122</v>
      </c>
      <c r="H5596" s="27" t="s">
        <v>35</v>
      </c>
      <c r="I5596" s="27" t="s">
        <v>37</v>
      </c>
      <c r="J5596" s="28" t="s">
        <v>399</v>
      </c>
      <c r="K5596" s="27" t="s">
        <v>37</v>
      </c>
      <c r="L5596" s="27"/>
    </row>
    <row r="5597" customFormat="false" ht="15" hidden="false" customHeight="false" outlineLevel="0" collapsed="false">
      <c r="A5597" s="26" t="s">
        <v>16131</v>
      </c>
      <c r="B5597" s="27" t="s">
        <v>16132</v>
      </c>
      <c r="C5597" s="27" t="s">
        <v>144</v>
      </c>
      <c r="D5597" s="26"/>
      <c r="E5597" s="27"/>
      <c r="F5597" s="27"/>
      <c r="G5597" s="27" t="s">
        <v>11122</v>
      </c>
      <c r="H5597" s="27" t="s">
        <v>35</v>
      </c>
      <c r="I5597" s="27" t="s">
        <v>37</v>
      </c>
      <c r="J5597" s="28" t="s">
        <v>399</v>
      </c>
      <c r="K5597" s="27" t="s">
        <v>37</v>
      </c>
      <c r="L5597" s="27"/>
    </row>
    <row r="5598" customFormat="false" ht="15" hidden="false" customHeight="false" outlineLevel="0" collapsed="false">
      <c r="A5598" s="26" t="s">
        <v>16133</v>
      </c>
      <c r="B5598" s="27" t="s">
        <v>16134</v>
      </c>
      <c r="C5598" s="27" t="s">
        <v>144</v>
      </c>
      <c r="D5598" s="26"/>
      <c r="E5598" s="27"/>
      <c r="F5598" s="27"/>
      <c r="G5598" s="27" t="s">
        <v>11122</v>
      </c>
      <c r="H5598" s="27" t="s">
        <v>35</v>
      </c>
      <c r="I5598" s="27" t="s">
        <v>37</v>
      </c>
      <c r="J5598" s="28" t="s">
        <v>399</v>
      </c>
      <c r="K5598" s="27" t="s">
        <v>37</v>
      </c>
      <c r="L5598" s="27"/>
    </row>
    <row r="5599" customFormat="false" ht="15" hidden="false" customHeight="false" outlineLevel="0" collapsed="false">
      <c r="A5599" s="26" t="s">
        <v>16135</v>
      </c>
      <c r="B5599" s="27" t="s">
        <v>16136</v>
      </c>
      <c r="C5599" s="27" t="s">
        <v>144</v>
      </c>
      <c r="D5599" s="26"/>
      <c r="E5599" s="27"/>
      <c r="F5599" s="27"/>
      <c r="G5599" s="27" t="s">
        <v>11122</v>
      </c>
      <c r="H5599" s="27" t="s">
        <v>35</v>
      </c>
      <c r="I5599" s="27" t="s">
        <v>37</v>
      </c>
      <c r="J5599" s="28" t="s">
        <v>399</v>
      </c>
      <c r="K5599" s="27" t="s">
        <v>37</v>
      </c>
      <c r="L5599" s="27"/>
    </row>
    <row r="5600" customFormat="false" ht="15" hidden="false" customHeight="false" outlineLevel="0" collapsed="false">
      <c r="A5600" s="26" t="s">
        <v>16137</v>
      </c>
      <c r="B5600" s="27" t="s">
        <v>16138</v>
      </c>
      <c r="C5600" s="27" t="s">
        <v>144</v>
      </c>
      <c r="D5600" s="26"/>
      <c r="E5600" s="27"/>
      <c r="F5600" s="27"/>
      <c r="G5600" s="27" t="s">
        <v>11122</v>
      </c>
      <c r="H5600" s="27" t="s">
        <v>35</v>
      </c>
      <c r="I5600" s="27" t="s">
        <v>37</v>
      </c>
      <c r="J5600" s="28" t="s">
        <v>399</v>
      </c>
      <c r="K5600" s="27" t="s">
        <v>37</v>
      </c>
      <c r="L5600" s="27"/>
    </row>
    <row r="5601" customFormat="false" ht="15" hidden="false" customHeight="false" outlineLevel="0" collapsed="false">
      <c r="A5601" s="26" t="s">
        <v>16139</v>
      </c>
      <c r="B5601" s="27" t="s">
        <v>16140</v>
      </c>
      <c r="C5601" s="27" t="s">
        <v>144</v>
      </c>
      <c r="D5601" s="26"/>
      <c r="E5601" s="27"/>
      <c r="F5601" s="27"/>
      <c r="G5601" s="27" t="s">
        <v>11122</v>
      </c>
      <c r="H5601" s="27" t="s">
        <v>35</v>
      </c>
      <c r="I5601" s="27" t="s">
        <v>37</v>
      </c>
      <c r="J5601" s="28" t="s">
        <v>399</v>
      </c>
      <c r="K5601" s="27" t="s">
        <v>37</v>
      </c>
      <c r="L5601" s="27"/>
    </row>
    <row r="5602" customFormat="false" ht="15" hidden="false" customHeight="false" outlineLevel="0" collapsed="false">
      <c r="A5602" s="26" t="s">
        <v>16141</v>
      </c>
      <c r="B5602" s="27" t="s">
        <v>16142</v>
      </c>
      <c r="C5602" s="27" t="s">
        <v>144</v>
      </c>
      <c r="D5602" s="26"/>
      <c r="E5602" s="27"/>
      <c r="F5602" s="27"/>
      <c r="G5602" s="27" t="s">
        <v>11122</v>
      </c>
      <c r="H5602" s="27" t="s">
        <v>35</v>
      </c>
      <c r="I5602" s="27" t="s">
        <v>37</v>
      </c>
      <c r="J5602" s="28" t="s">
        <v>399</v>
      </c>
      <c r="K5602" s="27" t="s">
        <v>37</v>
      </c>
      <c r="L5602" s="27"/>
    </row>
    <row r="5603" customFormat="false" ht="15" hidden="false" customHeight="false" outlineLevel="0" collapsed="false">
      <c r="A5603" s="26" t="s">
        <v>16143</v>
      </c>
      <c r="B5603" s="27" t="s">
        <v>16144</v>
      </c>
      <c r="C5603" s="27" t="s">
        <v>144</v>
      </c>
      <c r="D5603" s="26"/>
      <c r="E5603" s="27"/>
      <c r="F5603" s="27"/>
      <c r="G5603" s="27" t="s">
        <v>11122</v>
      </c>
      <c r="H5603" s="27" t="s">
        <v>35</v>
      </c>
      <c r="I5603" s="27" t="s">
        <v>37</v>
      </c>
      <c r="J5603" s="28" t="s">
        <v>399</v>
      </c>
      <c r="K5603" s="27" t="s">
        <v>37</v>
      </c>
      <c r="L5603" s="27"/>
    </row>
    <row r="5604" customFormat="false" ht="15" hidden="false" customHeight="false" outlineLevel="0" collapsed="false">
      <c r="A5604" s="26" t="s">
        <v>16145</v>
      </c>
      <c r="B5604" s="27" t="s">
        <v>16146</v>
      </c>
      <c r="C5604" s="27" t="s">
        <v>144</v>
      </c>
      <c r="D5604" s="26"/>
      <c r="E5604" s="27"/>
      <c r="F5604" s="27"/>
      <c r="G5604" s="27" t="s">
        <v>11122</v>
      </c>
      <c r="H5604" s="27" t="s">
        <v>35</v>
      </c>
      <c r="I5604" s="27" t="s">
        <v>37</v>
      </c>
      <c r="J5604" s="28" t="s">
        <v>399</v>
      </c>
      <c r="K5604" s="27" t="s">
        <v>37</v>
      </c>
      <c r="L5604" s="27"/>
    </row>
    <row r="5605" customFormat="false" ht="15" hidden="false" customHeight="false" outlineLevel="0" collapsed="false">
      <c r="A5605" s="26" t="s">
        <v>16147</v>
      </c>
      <c r="B5605" s="27" t="s">
        <v>16148</v>
      </c>
      <c r="C5605" s="27" t="s">
        <v>144</v>
      </c>
      <c r="D5605" s="26"/>
      <c r="E5605" s="27"/>
      <c r="F5605" s="27"/>
      <c r="G5605" s="27" t="s">
        <v>11122</v>
      </c>
      <c r="H5605" s="27" t="s">
        <v>35</v>
      </c>
      <c r="I5605" s="27" t="s">
        <v>37</v>
      </c>
      <c r="J5605" s="28" t="s">
        <v>399</v>
      </c>
      <c r="K5605" s="27" t="s">
        <v>37</v>
      </c>
      <c r="L5605" s="27"/>
    </row>
    <row r="5606" customFormat="false" ht="15" hidden="false" customHeight="false" outlineLevel="0" collapsed="false">
      <c r="A5606" s="26" t="s">
        <v>16149</v>
      </c>
      <c r="B5606" s="28" t="s">
        <v>16150</v>
      </c>
      <c r="C5606" s="27" t="s">
        <v>144</v>
      </c>
      <c r="D5606" s="26"/>
      <c r="E5606" s="27"/>
      <c r="F5606" s="27"/>
      <c r="G5606" s="27" t="s">
        <v>11122</v>
      </c>
      <c r="H5606" s="27" t="s">
        <v>35</v>
      </c>
      <c r="I5606" s="27" t="s">
        <v>38</v>
      </c>
      <c r="J5606" s="28" t="s">
        <v>399</v>
      </c>
      <c r="K5606" s="27" t="s">
        <v>37</v>
      </c>
      <c r="L5606" s="27"/>
    </row>
    <row r="5607" customFormat="false" ht="15" hidden="false" customHeight="false" outlineLevel="0" collapsed="false">
      <c r="A5607" s="26" t="s">
        <v>16151</v>
      </c>
      <c r="B5607" s="27" t="s">
        <v>16152</v>
      </c>
      <c r="C5607" s="27" t="s">
        <v>144</v>
      </c>
      <c r="D5607" s="26"/>
      <c r="E5607" s="27"/>
      <c r="F5607" s="27"/>
      <c r="G5607" s="27" t="s">
        <v>11122</v>
      </c>
      <c r="H5607" s="27" t="s">
        <v>35</v>
      </c>
      <c r="I5607" s="27" t="s">
        <v>37</v>
      </c>
      <c r="J5607" s="28" t="s">
        <v>399</v>
      </c>
      <c r="K5607" s="27" t="s">
        <v>37</v>
      </c>
      <c r="L5607" s="27"/>
    </row>
    <row r="5608" customFormat="false" ht="15" hidden="false" customHeight="false" outlineLevel="0" collapsed="false">
      <c r="A5608" s="26" t="s">
        <v>16153</v>
      </c>
      <c r="B5608" s="27" t="s">
        <v>16154</v>
      </c>
      <c r="C5608" s="27" t="s">
        <v>144</v>
      </c>
      <c r="D5608" s="26"/>
      <c r="E5608" s="27"/>
      <c r="F5608" s="27"/>
      <c r="G5608" s="27" t="s">
        <v>11122</v>
      </c>
      <c r="H5608" s="27" t="s">
        <v>35</v>
      </c>
      <c r="I5608" s="27" t="s">
        <v>37</v>
      </c>
      <c r="J5608" s="28" t="s">
        <v>399</v>
      </c>
      <c r="K5608" s="27" t="s">
        <v>37</v>
      </c>
      <c r="L5608" s="27"/>
    </row>
    <row r="5609" customFormat="false" ht="15" hidden="false" customHeight="false" outlineLevel="0" collapsed="false">
      <c r="A5609" s="26" t="s">
        <v>16155</v>
      </c>
      <c r="B5609" s="27" t="s">
        <v>16156</v>
      </c>
      <c r="C5609" s="27" t="s">
        <v>144</v>
      </c>
      <c r="D5609" s="26"/>
      <c r="E5609" s="27"/>
      <c r="F5609" s="27"/>
      <c r="G5609" s="27" t="s">
        <v>11122</v>
      </c>
      <c r="H5609" s="27" t="s">
        <v>35</v>
      </c>
      <c r="I5609" s="27" t="s">
        <v>37</v>
      </c>
      <c r="J5609" s="28" t="s">
        <v>399</v>
      </c>
      <c r="K5609" s="27" t="s">
        <v>37</v>
      </c>
      <c r="L5609" s="27"/>
    </row>
    <row r="5610" customFormat="false" ht="15" hidden="false" customHeight="false" outlineLevel="0" collapsed="false">
      <c r="A5610" s="26" t="s">
        <v>16157</v>
      </c>
      <c r="B5610" s="27" t="s">
        <v>16158</v>
      </c>
      <c r="C5610" s="27" t="s">
        <v>144</v>
      </c>
      <c r="D5610" s="26"/>
      <c r="E5610" s="27"/>
      <c r="F5610" s="27"/>
      <c r="G5610" s="27" t="s">
        <v>11122</v>
      </c>
      <c r="H5610" s="27" t="s">
        <v>35</v>
      </c>
      <c r="I5610" s="27" t="s">
        <v>37</v>
      </c>
      <c r="J5610" s="28" t="s">
        <v>399</v>
      </c>
      <c r="K5610" s="27" t="s">
        <v>37</v>
      </c>
      <c r="L5610" s="27"/>
    </row>
    <row r="5611" customFormat="false" ht="15" hidden="false" customHeight="false" outlineLevel="0" collapsed="false">
      <c r="A5611" s="26" t="s">
        <v>16159</v>
      </c>
      <c r="B5611" s="27" t="s">
        <v>16160</v>
      </c>
      <c r="C5611" s="27" t="s">
        <v>144</v>
      </c>
      <c r="D5611" s="26"/>
      <c r="E5611" s="27"/>
      <c r="F5611" s="27"/>
      <c r="G5611" s="27" t="s">
        <v>11122</v>
      </c>
      <c r="H5611" s="27" t="s">
        <v>35</v>
      </c>
      <c r="I5611" s="27" t="s">
        <v>37</v>
      </c>
      <c r="J5611" s="28" t="s">
        <v>399</v>
      </c>
      <c r="K5611" s="27" t="s">
        <v>37</v>
      </c>
      <c r="L5611" s="27"/>
    </row>
    <row r="5612" customFormat="false" ht="15" hidden="false" customHeight="false" outlineLevel="0" collapsed="false">
      <c r="A5612" s="26" t="s">
        <v>16161</v>
      </c>
      <c r="B5612" s="27" t="s">
        <v>16162</v>
      </c>
      <c r="C5612" s="27" t="s">
        <v>144</v>
      </c>
      <c r="D5612" s="26"/>
      <c r="E5612" s="27"/>
      <c r="F5612" s="27"/>
      <c r="G5612" s="27" t="s">
        <v>11122</v>
      </c>
      <c r="H5612" s="27" t="s">
        <v>35</v>
      </c>
      <c r="I5612" s="27" t="s">
        <v>37</v>
      </c>
      <c r="J5612" s="28" t="s">
        <v>399</v>
      </c>
      <c r="K5612" s="27" t="s">
        <v>37</v>
      </c>
      <c r="L5612" s="27"/>
    </row>
    <row r="5613" customFormat="false" ht="15" hidden="false" customHeight="false" outlineLevel="0" collapsed="false">
      <c r="A5613" s="26" t="s">
        <v>16163</v>
      </c>
      <c r="B5613" s="27" t="s">
        <v>16164</v>
      </c>
      <c r="C5613" s="27" t="s">
        <v>144</v>
      </c>
      <c r="D5613" s="26"/>
      <c r="E5613" s="27"/>
      <c r="F5613" s="27"/>
      <c r="G5613" s="27" t="s">
        <v>11122</v>
      </c>
      <c r="H5613" s="27" t="s">
        <v>35</v>
      </c>
      <c r="I5613" s="27" t="s">
        <v>37</v>
      </c>
      <c r="J5613" s="28" t="s">
        <v>399</v>
      </c>
      <c r="K5613" s="27" t="s">
        <v>37</v>
      </c>
      <c r="L5613" s="27"/>
    </row>
    <row r="5614" customFormat="false" ht="15" hidden="false" customHeight="false" outlineLevel="0" collapsed="false">
      <c r="A5614" s="26" t="s">
        <v>16165</v>
      </c>
      <c r="B5614" s="27" t="s">
        <v>16166</v>
      </c>
      <c r="C5614" s="27" t="s">
        <v>144</v>
      </c>
      <c r="D5614" s="26"/>
      <c r="E5614" s="27"/>
      <c r="F5614" s="27"/>
      <c r="G5614" s="27" t="s">
        <v>11122</v>
      </c>
      <c r="H5614" s="27" t="s">
        <v>35</v>
      </c>
      <c r="I5614" s="27" t="s">
        <v>37</v>
      </c>
      <c r="J5614" s="28" t="s">
        <v>399</v>
      </c>
      <c r="K5614" s="27" t="s">
        <v>37</v>
      </c>
      <c r="L5614" s="27"/>
    </row>
    <row r="5615" customFormat="false" ht="15" hidden="false" customHeight="false" outlineLevel="0" collapsed="false">
      <c r="A5615" s="26" t="s">
        <v>16167</v>
      </c>
      <c r="B5615" s="27" t="s">
        <v>16168</v>
      </c>
      <c r="C5615" s="27" t="s">
        <v>144</v>
      </c>
      <c r="D5615" s="26"/>
      <c r="E5615" s="27"/>
      <c r="F5615" s="27"/>
      <c r="G5615" s="27" t="s">
        <v>11122</v>
      </c>
      <c r="H5615" s="27" t="s">
        <v>35</v>
      </c>
      <c r="I5615" s="27" t="s">
        <v>37</v>
      </c>
      <c r="J5615" s="28" t="s">
        <v>399</v>
      </c>
      <c r="K5615" s="27" t="s">
        <v>37</v>
      </c>
      <c r="L5615" s="27"/>
    </row>
    <row r="5616" customFormat="false" ht="15" hidden="false" customHeight="false" outlineLevel="0" collapsed="false">
      <c r="A5616" s="26" t="s">
        <v>16169</v>
      </c>
      <c r="B5616" s="27" t="s">
        <v>16170</v>
      </c>
      <c r="C5616" s="27" t="s">
        <v>144</v>
      </c>
      <c r="D5616" s="26"/>
      <c r="E5616" s="27"/>
      <c r="F5616" s="27"/>
      <c r="G5616" s="27" t="s">
        <v>11122</v>
      </c>
      <c r="H5616" s="27" t="s">
        <v>35</v>
      </c>
      <c r="I5616" s="27" t="s">
        <v>41</v>
      </c>
      <c r="J5616" s="28" t="s">
        <v>399</v>
      </c>
      <c r="K5616" s="27" t="s">
        <v>37</v>
      </c>
      <c r="L5616" s="27"/>
    </row>
    <row r="5617" customFormat="false" ht="15" hidden="false" customHeight="false" outlineLevel="0" collapsed="false">
      <c r="A5617" s="26" t="s">
        <v>16171</v>
      </c>
      <c r="B5617" s="27" t="s">
        <v>16172</v>
      </c>
      <c r="C5617" s="27" t="s">
        <v>144</v>
      </c>
      <c r="D5617" s="26"/>
      <c r="E5617" s="27"/>
      <c r="F5617" s="27"/>
      <c r="G5617" s="27" t="s">
        <v>11122</v>
      </c>
      <c r="H5617" s="27" t="s">
        <v>35</v>
      </c>
      <c r="I5617" s="27" t="s">
        <v>37</v>
      </c>
      <c r="J5617" s="28" t="s">
        <v>399</v>
      </c>
      <c r="K5617" s="27" t="s">
        <v>37</v>
      </c>
      <c r="L5617" s="27"/>
    </row>
    <row r="5618" customFormat="false" ht="15" hidden="false" customHeight="false" outlineLevel="0" collapsed="false">
      <c r="A5618" s="26" t="s">
        <v>16173</v>
      </c>
      <c r="B5618" s="27" t="s">
        <v>16174</v>
      </c>
      <c r="C5618" s="27" t="s">
        <v>144</v>
      </c>
      <c r="D5618" s="26"/>
      <c r="E5618" s="27"/>
      <c r="F5618" s="27"/>
      <c r="G5618" s="27" t="s">
        <v>11122</v>
      </c>
      <c r="H5618" s="27" t="s">
        <v>35</v>
      </c>
      <c r="I5618" s="27" t="s">
        <v>37</v>
      </c>
      <c r="J5618" s="28" t="s">
        <v>399</v>
      </c>
      <c r="K5618" s="27" t="s">
        <v>37</v>
      </c>
      <c r="L5618" s="27"/>
    </row>
    <row r="5619" customFormat="false" ht="15" hidden="false" customHeight="false" outlineLevel="0" collapsed="false">
      <c r="A5619" s="26" t="s">
        <v>16175</v>
      </c>
      <c r="B5619" s="27" t="s">
        <v>16176</v>
      </c>
      <c r="C5619" s="27" t="s">
        <v>144</v>
      </c>
      <c r="D5619" s="26"/>
      <c r="E5619" s="27"/>
      <c r="F5619" s="27"/>
      <c r="G5619" s="27" t="s">
        <v>11122</v>
      </c>
      <c r="H5619" s="27" t="s">
        <v>35</v>
      </c>
      <c r="I5619" s="27" t="s">
        <v>37</v>
      </c>
      <c r="J5619" s="28" t="s">
        <v>399</v>
      </c>
      <c r="K5619" s="27" t="s">
        <v>37</v>
      </c>
      <c r="L5619" s="27"/>
    </row>
    <row r="5620" customFormat="false" ht="15" hidden="false" customHeight="false" outlineLevel="0" collapsed="false">
      <c r="A5620" s="26" t="s">
        <v>16177</v>
      </c>
      <c r="B5620" s="27" t="s">
        <v>16178</v>
      </c>
      <c r="C5620" s="27" t="s">
        <v>144</v>
      </c>
      <c r="D5620" s="26"/>
      <c r="E5620" s="27"/>
      <c r="F5620" s="27"/>
      <c r="G5620" s="27" t="s">
        <v>11122</v>
      </c>
      <c r="H5620" s="27" t="s">
        <v>35</v>
      </c>
      <c r="I5620" s="27" t="s">
        <v>37</v>
      </c>
      <c r="J5620" s="28" t="s">
        <v>399</v>
      </c>
      <c r="K5620" s="27" t="s">
        <v>37</v>
      </c>
      <c r="L5620" s="27"/>
    </row>
    <row r="5621" customFormat="false" ht="15" hidden="false" customHeight="false" outlineLevel="0" collapsed="false">
      <c r="A5621" s="26" t="s">
        <v>16179</v>
      </c>
      <c r="B5621" s="27" t="s">
        <v>16180</v>
      </c>
      <c r="C5621" s="27" t="s">
        <v>144</v>
      </c>
      <c r="D5621" s="26"/>
      <c r="E5621" s="27"/>
      <c r="F5621" s="27"/>
      <c r="G5621" s="27" t="s">
        <v>11122</v>
      </c>
      <c r="H5621" s="27" t="s">
        <v>35</v>
      </c>
      <c r="I5621" s="27" t="s">
        <v>37</v>
      </c>
      <c r="J5621" s="28" t="s">
        <v>399</v>
      </c>
      <c r="K5621" s="27" t="s">
        <v>37</v>
      </c>
      <c r="L5621" s="27"/>
    </row>
    <row r="5622" customFormat="false" ht="15" hidden="false" customHeight="false" outlineLevel="0" collapsed="false">
      <c r="A5622" s="26" t="s">
        <v>16181</v>
      </c>
      <c r="B5622" s="27" t="s">
        <v>16182</v>
      </c>
      <c r="C5622" s="27" t="s">
        <v>144</v>
      </c>
      <c r="D5622" s="26"/>
      <c r="E5622" s="27"/>
      <c r="F5622" s="27"/>
      <c r="G5622" s="27" t="s">
        <v>11122</v>
      </c>
      <c r="H5622" s="27" t="s">
        <v>35</v>
      </c>
      <c r="I5622" s="27" t="s">
        <v>37</v>
      </c>
      <c r="J5622" s="28" t="s">
        <v>399</v>
      </c>
      <c r="K5622" s="27" t="s">
        <v>37</v>
      </c>
      <c r="L5622" s="27"/>
    </row>
    <row r="5623" customFormat="false" ht="15" hidden="false" customHeight="false" outlineLevel="0" collapsed="false">
      <c r="A5623" s="26" t="s">
        <v>16183</v>
      </c>
      <c r="B5623" s="27" t="s">
        <v>16184</v>
      </c>
      <c r="C5623" s="27" t="s">
        <v>144</v>
      </c>
      <c r="D5623" s="26"/>
      <c r="E5623" s="27"/>
      <c r="F5623" s="27"/>
      <c r="G5623" s="27" t="s">
        <v>11122</v>
      </c>
      <c r="H5623" s="27" t="s">
        <v>35</v>
      </c>
      <c r="I5623" s="27" t="s">
        <v>37</v>
      </c>
      <c r="J5623" s="28" t="s">
        <v>399</v>
      </c>
      <c r="K5623" s="27" t="s">
        <v>37</v>
      </c>
      <c r="L5623" s="27"/>
    </row>
    <row r="5624" customFormat="false" ht="15" hidden="false" customHeight="false" outlineLevel="0" collapsed="false">
      <c r="A5624" s="26" t="s">
        <v>16185</v>
      </c>
      <c r="B5624" s="27" t="s">
        <v>16186</v>
      </c>
      <c r="C5624" s="27" t="s">
        <v>144</v>
      </c>
      <c r="D5624" s="26"/>
      <c r="E5624" s="27"/>
      <c r="F5624" s="27"/>
      <c r="G5624" s="27" t="s">
        <v>11122</v>
      </c>
      <c r="H5624" s="27" t="s">
        <v>35</v>
      </c>
      <c r="I5624" s="27" t="s">
        <v>37</v>
      </c>
      <c r="J5624" s="28" t="s">
        <v>399</v>
      </c>
      <c r="K5624" s="27" t="s">
        <v>37</v>
      </c>
      <c r="L5624" s="27"/>
    </row>
    <row r="5625" customFormat="false" ht="15" hidden="false" customHeight="false" outlineLevel="0" collapsed="false">
      <c r="A5625" s="26" t="s">
        <v>16187</v>
      </c>
      <c r="B5625" s="27" t="s">
        <v>16188</v>
      </c>
      <c r="C5625" s="27" t="s">
        <v>144</v>
      </c>
      <c r="D5625" s="26"/>
      <c r="E5625" s="27"/>
      <c r="F5625" s="27"/>
      <c r="G5625" s="27" t="s">
        <v>11122</v>
      </c>
      <c r="H5625" s="27" t="s">
        <v>35</v>
      </c>
      <c r="I5625" s="27" t="s">
        <v>37</v>
      </c>
      <c r="J5625" s="28" t="s">
        <v>399</v>
      </c>
      <c r="K5625" s="27" t="s">
        <v>37</v>
      </c>
      <c r="L5625" s="27"/>
    </row>
    <row r="5626" customFormat="false" ht="15" hidden="false" customHeight="false" outlineLevel="0" collapsed="false">
      <c r="A5626" s="26" t="s">
        <v>16189</v>
      </c>
      <c r="B5626" s="27" t="s">
        <v>16190</v>
      </c>
      <c r="C5626" s="27" t="s">
        <v>144</v>
      </c>
      <c r="D5626" s="26"/>
      <c r="E5626" s="27"/>
      <c r="F5626" s="27"/>
      <c r="G5626" s="27" t="s">
        <v>11122</v>
      </c>
      <c r="H5626" s="27" t="s">
        <v>35</v>
      </c>
      <c r="I5626" s="27" t="s">
        <v>37</v>
      </c>
      <c r="J5626" s="28" t="s">
        <v>399</v>
      </c>
      <c r="K5626" s="27" t="s">
        <v>37</v>
      </c>
      <c r="L5626" s="27"/>
    </row>
    <row r="5627" customFormat="false" ht="15" hidden="false" customHeight="false" outlineLevel="0" collapsed="false">
      <c r="A5627" s="26" t="s">
        <v>16191</v>
      </c>
      <c r="B5627" s="27" t="s">
        <v>16192</v>
      </c>
      <c r="C5627" s="27" t="s">
        <v>144</v>
      </c>
      <c r="D5627" s="26"/>
      <c r="E5627" s="27"/>
      <c r="F5627" s="27"/>
      <c r="G5627" s="27" t="s">
        <v>11122</v>
      </c>
      <c r="H5627" s="27" t="s">
        <v>35</v>
      </c>
      <c r="I5627" s="27" t="s">
        <v>37</v>
      </c>
      <c r="J5627" s="28" t="s">
        <v>399</v>
      </c>
      <c r="K5627" s="27" t="s">
        <v>37</v>
      </c>
      <c r="L5627" s="27"/>
    </row>
    <row r="5628" customFormat="false" ht="15" hidden="false" customHeight="false" outlineLevel="0" collapsed="false">
      <c r="A5628" s="26" t="s">
        <v>16193</v>
      </c>
      <c r="B5628" s="27" t="s">
        <v>16194</v>
      </c>
      <c r="C5628" s="27" t="s">
        <v>144</v>
      </c>
      <c r="D5628" s="26"/>
      <c r="E5628" s="27"/>
      <c r="F5628" s="27"/>
      <c r="G5628" s="27" t="s">
        <v>11122</v>
      </c>
      <c r="H5628" s="27" t="s">
        <v>35</v>
      </c>
      <c r="I5628" s="27" t="s">
        <v>37</v>
      </c>
      <c r="J5628" s="28" t="s">
        <v>399</v>
      </c>
      <c r="K5628" s="27" t="s">
        <v>37</v>
      </c>
      <c r="L5628" s="27"/>
    </row>
    <row r="5629" customFormat="false" ht="15" hidden="false" customHeight="false" outlineLevel="0" collapsed="false">
      <c r="A5629" s="26" t="s">
        <v>16195</v>
      </c>
      <c r="B5629" s="27" t="s">
        <v>16196</v>
      </c>
      <c r="C5629" s="27" t="s">
        <v>144</v>
      </c>
      <c r="D5629" s="26"/>
      <c r="E5629" s="27"/>
      <c r="F5629" s="27"/>
      <c r="G5629" s="27" t="s">
        <v>11122</v>
      </c>
      <c r="H5629" s="27" t="s">
        <v>35</v>
      </c>
      <c r="I5629" s="27" t="s">
        <v>37</v>
      </c>
      <c r="J5629" s="28" t="s">
        <v>399</v>
      </c>
      <c r="K5629" s="27" t="s">
        <v>37</v>
      </c>
      <c r="L5629" s="27"/>
    </row>
    <row r="5630" customFormat="false" ht="15" hidden="false" customHeight="false" outlineLevel="0" collapsed="false">
      <c r="A5630" s="26" t="s">
        <v>16197</v>
      </c>
      <c r="B5630" s="27" t="s">
        <v>16198</v>
      </c>
      <c r="C5630" s="27" t="s">
        <v>144</v>
      </c>
      <c r="D5630" s="26"/>
      <c r="E5630" s="27"/>
      <c r="F5630" s="27"/>
      <c r="G5630" s="27" t="s">
        <v>11122</v>
      </c>
      <c r="H5630" s="27" t="s">
        <v>35</v>
      </c>
      <c r="I5630" s="27" t="s">
        <v>37</v>
      </c>
      <c r="J5630" s="28" t="s">
        <v>399</v>
      </c>
      <c r="K5630" s="27" t="s">
        <v>37</v>
      </c>
      <c r="L5630" s="27"/>
    </row>
    <row r="5631" customFormat="false" ht="15" hidden="false" customHeight="false" outlineLevel="0" collapsed="false">
      <c r="A5631" s="26" t="s">
        <v>16199</v>
      </c>
      <c r="B5631" s="27" t="s">
        <v>16200</v>
      </c>
      <c r="C5631" s="27" t="s">
        <v>144</v>
      </c>
      <c r="D5631" s="26"/>
      <c r="E5631" s="27"/>
      <c r="F5631" s="27"/>
      <c r="G5631" s="27" t="s">
        <v>11122</v>
      </c>
      <c r="H5631" s="27" t="s">
        <v>35</v>
      </c>
      <c r="I5631" s="27" t="s">
        <v>37</v>
      </c>
      <c r="J5631" s="28" t="s">
        <v>399</v>
      </c>
      <c r="K5631" s="27" t="s">
        <v>37</v>
      </c>
      <c r="L5631" s="27"/>
    </row>
    <row r="5632" customFormat="false" ht="15" hidden="false" customHeight="false" outlineLevel="0" collapsed="false">
      <c r="A5632" s="26" t="s">
        <v>16201</v>
      </c>
      <c r="B5632" s="27" t="s">
        <v>16202</v>
      </c>
      <c r="C5632" s="27" t="s">
        <v>144</v>
      </c>
      <c r="D5632" s="26"/>
      <c r="E5632" s="27"/>
      <c r="F5632" s="27"/>
      <c r="G5632" s="27" t="s">
        <v>11122</v>
      </c>
      <c r="H5632" s="27" t="s">
        <v>35</v>
      </c>
      <c r="I5632" s="27" t="s">
        <v>37</v>
      </c>
      <c r="J5632" s="28" t="s">
        <v>399</v>
      </c>
      <c r="K5632" s="27" t="s">
        <v>37</v>
      </c>
      <c r="L5632" s="27"/>
    </row>
    <row r="5633" customFormat="false" ht="15" hidden="false" customHeight="false" outlineLevel="0" collapsed="false">
      <c r="A5633" s="26" t="s">
        <v>16203</v>
      </c>
      <c r="B5633" s="27" t="s">
        <v>16204</v>
      </c>
      <c r="C5633" s="27" t="s">
        <v>144</v>
      </c>
      <c r="D5633" s="26"/>
      <c r="E5633" s="27"/>
      <c r="F5633" s="27"/>
      <c r="G5633" s="27" t="s">
        <v>11122</v>
      </c>
      <c r="H5633" s="27" t="s">
        <v>35</v>
      </c>
      <c r="I5633" s="27" t="s">
        <v>37</v>
      </c>
      <c r="J5633" s="28" t="s">
        <v>399</v>
      </c>
      <c r="K5633" s="27" t="s">
        <v>37</v>
      </c>
      <c r="L5633" s="27"/>
    </row>
    <row r="5634" customFormat="false" ht="15" hidden="false" customHeight="false" outlineLevel="0" collapsed="false">
      <c r="A5634" s="26" t="s">
        <v>16205</v>
      </c>
      <c r="B5634" s="27" t="s">
        <v>16206</v>
      </c>
      <c r="C5634" s="27" t="s">
        <v>144</v>
      </c>
      <c r="D5634" s="26"/>
      <c r="E5634" s="27"/>
      <c r="F5634" s="27"/>
      <c r="G5634" s="27" t="s">
        <v>11122</v>
      </c>
      <c r="H5634" s="27" t="s">
        <v>35</v>
      </c>
      <c r="I5634" s="27" t="s">
        <v>37</v>
      </c>
      <c r="J5634" s="28" t="s">
        <v>399</v>
      </c>
      <c r="K5634" s="27" t="s">
        <v>37</v>
      </c>
      <c r="L5634" s="27"/>
    </row>
    <row r="5635" customFormat="false" ht="15" hidden="false" customHeight="false" outlineLevel="0" collapsed="false">
      <c r="A5635" s="26" t="s">
        <v>16207</v>
      </c>
      <c r="B5635" s="27" t="s">
        <v>16208</v>
      </c>
      <c r="C5635" s="27" t="s">
        <v>144</v>
      </c>
      <c r="D5635" s="26"/>
      <c r="E5635" s="27"/>
      <c r="F5635" s="27"/>
      <c r="G5635" s="27" t="s">
        <v>11122</v>
      </c>
      <c r="H5635" s="27" t="s">
        <v>35</v>
      </c>
      <c r="I5635" s="27" t="s">
        <v>37</v>
      </c>
      <c r="J5635" s="28" t="s">
        <v>399</v>
      </c>
      <c r="K5635" s="27" t="s">
        <v>37</v>
      </c>
      <c r="L5635" s="27"/>
    </row>
    <row r="5636" customFormat="false" ht="15" hidden="false" customHeight="false" outlineLevel="0" collapsed="false">
      <c r="A5636" s="26" t="s">
        <v>16209</v>
      </c>
      <c r="B5636" s="27" t="s">
        <v>16210</v>
      </c>
      <c r="C5636" s="27" t="s">
        <v>144</v>
      </c>
      <c r="D5636" s="26"/>
      <c r="E5636" s="27"/>
      <c r="F5636" s="27"/>
      <c r="G5636" s="27" t="s">
        <v>11122</v>
      </c>
      <c r="H5636" s="27" t="s">
        <v>35</v>
      </c>
      <c r="I5636" s="27" t="s">
        <v>41</v>
      </c>
      <c r="J5636" s="28" t="s">
        <v>399</v>
      </c>
      <c r="K5636" s="27" t="s">
        <v>37</v>
      </c>
      <c r="L5636" s="27"/>
    </row>
    <row r="5637" customFormat="false" ht="15" hidden="false" customHeight="false" outlineLevel="0" collapsed="false">
      <c r="A5637" s="26" t="s">
        <v>16211</v>
      </c>
      <c r="B5637" s="27" t="s">
        <v>16212</v>
      </c>
      <c r="C5637" s="27" t="s">
        <v>144</v>
      </c>
      <c r="D5637" s="26"/>
      <c r="E5637" s="27"/>
      <c r="F5637" s="27"/>
      <c r="G5637" s="27" t="s">
        <v>11122</v>
      </c>
      <c r="H5637" s="27" t="s">
        <v>35</v>
      </c>
      <c r="I5637" s="27" t="s">
        <v>37</v>
      </c>
      <c r="J5637" s="28" t="s">
        <v>399</v>
      </c>
      <c r="K5637" s="27" t="s">
        <v>37</v>
      </c>
      <c r="L5637" s="27"/>
    </row>
    <row r="5638" customFormat="false" ht="15" hidden="false" customHeight="false" outlineLevel="0" collapsed="false">
      <c r="A5638" s="26" t="s">
        <v>16213</v>
      </c>
      <c r="B5638" s="27" t="s">
        <v>16214</v>
      </c>
      <c r="C5638" s="27" t="s">
        <v>144</v>
      </c>
      <c r="D5638" s="26"/>
      <c r="E5638" s="27"/>
      <c r="F5638" s="27"/>
      <c r="G5638" s="27" t="s">
        <v>11122</v>
      </c>
      <c r="H5638" s="27" t="s">
        <v>35</v>
      </c>
      <c r="I5638" s="27" t="s">
        <v>37</v>
      </c>
      <c r="J5638" s="28" t="s">
        <v>399</v>
      </c>
      <c r="K5638" s="27" t="s">
        <v>37</v>
      </c>
      <c r="L5638" s="27"/>
    </row>
    <row r="5639" customFormat="false" ht="15" hidden="false" customHeight="false" outlineLevel="0" collapsed="false">
      <c r="A5639" s="26" t="s">
        <v>16215</v>
      </c>
      <c r="B5639" s="27" t="s">
        <v>16216</v>
      </c>
      <c r="C5639" s="27" t="s">
        <v>144</v>
      </c>
      <c r="D5639" s="26"/>
      <c r="E5639" s="27"/>
      <c r="F5639" s="27"/>
      <c r="G5639" s="27" t="s">
        <v>11122</v>
      </c>
      <c r="H5639" s="27" t="s">
        <v>35</v>
      </c>
      <c r="I5639" s="27" t="s">
        <v>37</v>
      </c>
      <c r="J5639" s="28" t="s">
        <v>399</v>
      </c>
      <c r="K5639" s="27" t="s">
        <v>37</v>
      </c>
      <c r="L5639" s="27"/>
    </row>
    <row r="5640" customFormat="false" ht="15" hidden="false" customHeight="false" outlineLevel="0" collapsed="false">
      <c r="A5640" s="26" t="s">
        <v>16217</v>
      </c>
      <c r="B5640" s="27" t="s">
        <v>16218</v>
      </c>
      <c r="C5640" s="27" t="s">
        <v>144</v>
      </c>
      <c r="D5640" s="26"/>
      <c r="E5640" s="27"/>
      <c r="F5640" s="27"/>
      <c r="G5640" s="27" t="s">
        <v>11122</v>
      </c>
      <c r="H5640" s="27" t="s">
        <v>35</v>
      </c>
      <c r="I5640" s="27" t="s">
        <v>37</v>
      </c>
      <c r="J5640" s="28" t="s">
        <v>399</v>
      </c>
      <c r="K5640" s="27" t="s">
        <v>37</v>
      </c>
      <c r="L5640" s="27"/>
    </row>
    <row r="5641" customFormat="false" ht="15" hidden="false" customHeight="false" outlineLevel="0" collapsed="false">
      <c r="A5641" s="26" t="s">
        <v>16219</v>
      </c>
      <c r="B5641" s="27" t="s">
        <v>16220</v>
      </c>
      <c r="C5641" s="27" t="s">
        <v>144</v>
      </c>
      <c r="D5641" s="26"/>
      <c r="E5641" s="27"/>
      <c r="F5641" s="27"/>
      <c r="G5641" s="27" t="s">
        <v>11122</v>
      </c>
      <c r="H5641" s="27" t="s">
        <v>35</v>
      </c>
      <c r="I5641" s="27" t="s">
        <v>37</v>
      </c>
      <c r="J5641" s="28" t="s">
        <v>399</v>
      </c>
      <c r="K5641" s="27" t="s">
        <v>37</v>
      </c>
      <c r="L5641" s="27"/>
    </row>
    <row r="5642" customFormat="false" ht="15" hidden="false" customHeight="false" outlineLevel="0" collapsed="false">
      <c r="A5642" s="26" t="s">
        <v>16221</v>
      </c>
      <c r="B5642" s="27" t="s">
        <v>16222</v>
      </c>
      <c r="C5642" s="27" t="s">
        <v>144</v>
      </c>
      <c r="D5642" s="26"/>
      <c r="E5642" s="27"/>
      <c r="F5642" s="27"/>
      <c r="G5642" s="27" t="s">
        <v>11122</v>
      </c>
      <c r="H5642" s="27" t="s">
        <v>35</v>
      </c>
      <c r="I5642" s="27" t="s">
        <v>37</v>
      </c>
      <c r="J5642" s="28" t="s">
        <v>399</v>
      </c>
      <c r="K5642" s="27" t="s">
        <v>37</v>
      </c>
      <c r="L5642" s="27"/>
    </row>
    <row r="5643" customFormat="false" ht="15" hidden="false" customHeight="false" outlineLevel="0" collapsed="false">
      <c r="A5643" s="26" t="s">
        <v>16223</v>
      </c>
      <c r="B5643" s="27" t="s">
        <v>16224</v>
      </c>
      <c r="C5643" s="27" t="s">
        <v>144</v>
      </c>
      <c r="D5643" s="26"/>
      <c r="E5643" s="27"/>
      <c r="F5643" s="27"/>
      <c r="G5643" s="27" t="s">
        <v>11122</v>
      </c>
      <c r="H5643" s="27" t="s">
        <v>35</v>
      </c>
      <c r="I5643" s="27" t="s">
        <v>37</v>
      </c>
      <c r="J5643" s="28" t="s">
        <v>399</v>
      </c>
      <c r="K5643" s="27" t="s">
        <v>37</v>
      </c>
      <c r="L5643" s="27"/>
    </row>
    <row r="5644" customFormat="false" ht="15" hidden="false" customHeight="false" outlineLevel="0" collapsed="false">
      <c r="A5644" s="26" t="s">
        <v>16225</v>
      </c>
      <c r="B5644" s="27" t="s">
        <v>16226</v>
      </c>
      <c r="C5644" s="27" t="s">
        <v>144</v>
      </c>
      <c r="D5644" s="26"/>
      <c r="E5644" s="27"/>
      <c r="F5644" s="27"/>
      <c r="G5644" s="27" t="s">
        <v>11122</v>
      </c>
      <c r="H5644" s="27" t="s">
        <v>35</v>
      </c>
      <c r="I5644" s="27" t="s">
        <v>37</v>
      </c>
      <c r="J5644" s="28" t="s">
        <v>399</v>
      </c>
      <c r="K5644" s="27" t="s">
        <v>37</v>
      </c>
      <c r="L5644" s="27"/>
    </row>
    <row r="5645" customFormat="false" ht="15" hidden="false" customHeight="false" outlineLevel="0" collapsed="false">
      <c r="A5645" s="26" t="s">
        <v>16227</v>
      </c>
      <c r="B5645" s="27" t="s">
        <v>16228</v>
      </c>
      <c r="C5645" s="27" t="s">
        <v>144</v>
      </c>
      <c r="D5645" s="26"/>
      <c r="E5645" s="27"/>
      <c r="F5645" s="27"/>
      <c r="G5645" s="27" t="s">
        <v>11122</v>
      </c>
      <c r="H5645" s="27" t="s">
        <v>35</v>
      </c>
      <c r="I5645" s="27" t="s">
        <v>37</v>
      </c>
      <c r="J5645" s="28" t="s">
        <v>399</v>
      </c>
      <c r="K5645" s="27" t="s">
        <v>37</v>
      </c>
      <c r="L5645" s="27"/>
    </row>
    <row r="5646" customFormat="false" ht="15" hidden="false" customHeight="false" outlineLevel="0" collapsed="false">
      <c r="A5646" s="26" t="s">
        <v>16229</v>
      </c>
      <c r="B5646" s="27" t="s">
        <v>16230</v>
      </c>
      <c r="C5646" s="27" t="s">
        <v>144</v>
      </c>
      <c r="D5646" s="26"/>
      <c r="E5646" s="27"/>
      <c r="F5646" s="27"/>
      <c r="G5646" s="27" t="s">
        <v>11122</v>
      </c>
      <c r="H5646" s="27" t="s">
        <v>35</v>
      </c>
      <c r="I5646" s="27" t="s">
        <v>47</v>
      </c>
      <c r="J5646" s="28" t="s">
        <v>399</v>
      </c>
      <c r="K5646" s="27" t="s">
        <v>37</v>
      </c>
      <c r="L5646" s="27"/>
    </row>
    <row r="5647" customFormat="false" ht="15" hidden="false" customHeight="false" outlineLevel="0" collapsed="false">
      <c r="A5647" s="26" t="s">
        <v>16231</v>
      </c>
      <c r="B5647" s="27" t="s">
        <v>16232</v>
      </c>
      <c r="C5647" s="27" t="s">
        <v>144</v>
      </c>
      <c r="D5647" s="26"/>
      <c r="E5647" s="27"/>
      <c r="F5647" s="27"/>
      <c r="G5647" s="27" t="s">
        <v>11122</v>
      </c>
      <c r="H5647" s="27" t="s">
        <v>35</v>
      </c>
      <c r="I5647" s="27" t="s">
        <v>37</v>
      </c>
      <c r="J5647" s="28" t="s">
        <v>399</v>
      </c>
      <c r="K5647" s="27" t="s">
        <v>37</v>
      </c>
      <c r="L5647" s="27"/>
    </row>
    <row r="5648" customFormat="false" ht="15" hidden="false" customHeight="false" outlineLevel="0" collapsed="false">
      <c r="A5648" s="26" t="s">
        <v>16233</v>
      </c>
      <c r="B5648" s="27" t="s">
        <v>16234</v>
      </c>
      <c r="C5648" s="27" t="s">
        <v>144</v>
      </c>
      <c r="D5648" s="26"/>
      <c r="E5648" s="27"/>
      <c r="F5648" s="27"/>
      <c r="G5648" s="27" t="s">
        <v>11122</v>
      </c>
      <c r="H5648" s="27" t="s">
        <v>35</v>
      </c>
      <c r="I5648" s="27" t="s">
        <v>41</v>
      </c>
      <c r="J5648" s="28" t="s">
        <v>399</v>
      </c>
      <c r="K5648" s="27" t="s">
        <v>37</v>
      </c>
      <c r="L5648" s="27"/>
    </row>
    <row r="5649" customFormat="false" ht="15" hidden="false" customHeight="false" outlineLevel="0" collapsed="false">
      <c r="A5649" s="26" t="s">
        <v>16235</v>
      </c>
      <c r="B5649" s="27" t="s">
        <v>16236</v>
      </c>
      <c r="C5649" s="27" t="s">
        <v>144</v>
      </c>
      <c r="D5649" s="26"/>
      <c r="E5649" s="27"/>
      <c r="F5649" s="27"/>
      <c r="G5649" s="27" t="s">
        <v>11122</v>
      </c>
      <c r="H5649" s="27" t="s">
        <v>35</v>
      </c>
      <c r="I5649" s="27" t="s">
        <v>37</v>
      </c>
      <c r="J5649" s="28" t="s">
        <v>399</v>
      </c>
      <c r="K5649" s="27" t="s">
        <v>37</v>
      </c>
      <c r="L5649" s="27"/>
    </row>
    <row r="5650" customFormat="false" ht="15" hidden="false" customHeight="false" outlineLevel="0" collapsed="false">
      <c r="A5650" s="26" t="s">
        <v>16237</v>
      </c>
      <c r="B5650" s="27" t="s">
        <v>16238</v>
      </c>
      <c r="C5650" s="27" t="s">
        <v>144</v>
      </c>
      <c r="D5650" s="26"/>
      <c r="E5650" s="27"/>
      <c r="F5650" s="27"/>
      <c r="G5650" s="27" t="s">
        <v>11122</v>
      </c>
      <c r="H5650" s="27" t="s">
        <v>35</v>
      </c>
      <c r="I5650" s="27" t="s">
        <v>37</v>
      </c>
      <c r="J5650" s="28" t="s">
        <v>399</v>
      </c>
      <c r="K5650" s="27" t="s">
        <v>37</v>
      </c>
      <c r="L5650" s="27"/>
    </row>
    <row r="5651" customFormat="false" ht="15" hidden="false" customHeight="false" outlineLevel="0" collapsed="false">
      <c r="A5651" s="26" t="s">
        <v>16239</v>
      </c>
      <c r="B5651" s="27" t="s">
        <v>16240</v>
      </c>
      <c r="C5651" s="27" t="s">
        <v>144</v>
      </c>
      <c r="D5651" s="26"/>
      <c r="E5651" s="27"/>
      <c r="F5651" s="27"/>
      <c r="G5651" s="27" t="s">
        <v>11122</v>
      </c>
      <c r="H5651" s="27" t="s">
        <v>35</v>
      </c>
      <c r="I5651" s="27" t="s">
        <v>37</v>
      </c>
      <c r="J5651" s="28" t="s">
        <v>399</v>
      </c>
      <c r="K5651" s="27" t="s">
        <v>37</v>
      </c>
      <c r="L5651" s="27"/>
    </row>
    <row r="5652" customFormat="false" ht="15" hidden="false" customHeight="false" outlineLevel="0" collapsed="false">
      <c r="A5652" s="26" t="s">
        <v>16241</v>
      </c>
      <c r="B5652" s="27" t="s">
        <v>16242</v>
      </c>
      <c r="C5652" s="27" t="s">
        <v>144</v>
      </c>
      <c r="D5652" s="26"/>
      <c r="E5652" s="27"/>
      <c r="F5652" s="27"/>
      <c r="G5652" s="27" t="s">
        <v>11122</v>
      </c>
      <c r="H5652" s="27" t="s">
        <v>35</v>
      </c>
      <c r="I5652" s="27" t="s">
        <v>37</v>
      </c>
      <c r="J5652" s="28" t="s">
        <v>399</v>
      </c>
      <c r="K5652" s="27" t="s">
        <v>37</v>
      </c>
      <c r="L5652" s="27"/>
    </row>
    <row r="5653" customFormat="false" ht="15" hidden="false" customHeight="false" outlineLevel="0" collapsed="false">
      <c r="A5653" s="26" t="s">
        <v>16243</v>
      </c>
      <c r="B5653" s="27" t="s">
        <v>16244</v>
      </c>
      <c r="C5653" s="27" t="s">
        <v>144</v>
      </c>
      <c r="D5653" s="26"/>
      <c r="E5653" s="27"/>
      <c r="F5653" s="27"/>
      <c r="G5653" s="27" t="s">
        <v>11122</v>
      </c>
      <c r="H5653" s="27" t="s">
        <v>35</v>
      </c>
      <c r="I5653" s="27" t="s">
        <v>41</v>
      </c>
      <c r="J5653" s="28" t="s">
        <v>399</v>
      </c>
      <c r="K5653" s="27" t="s">
        <v>37</v>
      </c>
      <c r="L5653" s="27"/>
    </row>
    <row r="5654" customFormat="false" ht="15" hidden="false" customHeight="false" outlineLevel="0" collapsed="false">
      <c r="A5654" s="26" t="s">
        <v>16245</v>
      </c>
      <c r="B5654" s="27" t="s">
        <v>16246</v>
      </c>
      <c r="C5654" s="27" t="s">
        <v>144</v>
      </c>
      <c r="D5654" s="26"/>
      <c r="E5654" s="27"/>
      <c r="F5654" s="27"/>
      <c r="G5654" s="27" t="s">
        <v>11122</v>
      </c>
      <c r="H5654" s="27" t="s">
        <v>35</v>
      </c>
      <c r="I5654" s="27" t="s">
        <v>41</v>
      </c>
      <c r="J5654" s="28" t="s">
        <v>399</v>
      </c>
      <c r="K5654" s="27" t="s">
        <v>37</v>
      </c>
      <c r="L5654" s="27"/>
    </row>
    <row r="5655" customFormat="false" ht="15" hidden="false" customHeight="false" outlineLevel="0" collapsed="false">
      <c r="A5655" s="26" t="s">
        <v>16247</v>
      </c>
      <c r="B5655" s="27" t="s">
        <v>16248</v>
      </c>
      <c r="C5655" s="27" t="s">
        <v>144</v>
      </c>
      <c r="D5655" s="26"/>
      <c r="E5655" s="27"/>
      <c r="F5655" s="27"/>
      <c r="G5655" s="27" t="s">
        <v>11122</v>
      </c>
      <c r="H5655" s="27" t="s">
        <v>35</v>
      </c>
      <c r="I5655" s="27" t="s">
        <v>37</v>
      </c>
      <c r="J5655" s="28" t="s">
        <v>399</v>
      </c>
      <c r="K5655" s="27" t="s">
        <v>37</v>
      </c>
      <c r="L5655" s="27"/>
    </row>
    <row r="5656" customFormat="false" ht="15" hidden="false" customHeight="false" outlineLevel="0" collapsed="false">
      <c r="A5656" s="26" t="s">
        <v>16249</v>
      </c>
      <c r="B5656" s="27" t="s">
        <v>16250</v>
      </c>
      <c r="C5656" s="27" t="s">
        <v>1187</v>
      </c>
      <c r="D5656" s="26"/>
      <c r="E5656" s="27"/>
      <c r="F5656" s="27"/>
      <c r="G5656" s="27" t="s">
        <v>11122</v>
      </c>
      <c r="H5656" s="27" t="s">
        <v>35</v>
      </c>
      <c r="I5656" s="27" t="s">
        <v>42</v>
      </c>
      <c r="J5656" s="28" t="s">
        <v>399</v>
      </c>
      <c r="K5656" s="27" t="s">
        <v>37</v>
      </c>
      <c r="L5656" s="27"/>
    </row>
    <row r="5657" customFormat="false" ht="15" hidden="false" customHeight="false" outlineLevel="0" collapsed="false">
      <c r="A5657" s="26" t="s">
        <v>16251</v>
      </c>
      <c r="B5657" s="27" t="s">
        <v>16252</v>
      </c>
      <c r="C5657" s="27" t="s">
        <v>144</v>
      </c>
      <c r="D5657" s="26"/>
      <c r="E5657" s="27"/>
      <c r="F5657" s="27"/>
      <c r="G5657" s="27" t="s">
        <v>11122</v>
      </c>
      <c r="H5657" s="27" t="s">
        <v>35</v>
      </c>
      <c r="I5657" s="27" t="s">
        <v>37</v>
      </c>
      <c r="J5657" s="28" t="s">
        <v>399</v>
      </c>
      <c r="K5657" s="27" t="s">
        <v>37</v>
      </c>
      <c r="L5657" s="27"/>
    </row>
    <row r="5658" customFormat="false" ht="15" hidden="false" customHeight="false" outlineLevel="0" collapsed="false">
      <c r="A5658" s="26" t="s">
        <v>16253</v>
      </c>
      <c r="B5658" s="27" t="s">
        <v>16254</v>
      </c>
      <c r="C5658" s="27" t="s">
        <v>144</v>
      </c>
      <c r="D5658" s="26"/>
      <c r="E5658" s="27"/>
      <c r="F5658" s="27"/>
      <c r="G5658" s="27" t="s">
        <v>11122</v>
      </c>
      <c r="H5658" s="27" t="s">
        <v>35</v>
      </c>
      <c r="I5658" s="27" t="s">
        <v>37</v>
      </c>
      <c r="J5658" s="28" t="s">
        <v>399</v>
      </c>
      <c r="K5658" s="27" t="s">
        <v>37</v>
      </c>
      <c r="L5658" s="27"/>
    </row>
    <row r="5659" customFormat="false" ht="15" hidden="false" customHeight="false" outlineLevel="0" collapsed="false">
      <c r="A5659" s="26" t="s">
        <v>16255</v>
      </c>
      <c r="B5659" s="27" t="s">
        <v>16256</v>
      </c>
      <c r="C5659" s="27" t="s">
        <v>144</v>
      </c>
      <c r="D5659" s="26"/>
      <c r="E5659" s="27"/>
      <c r="F5659" s="27"/>
      <c r="G5659" s="27" t="s">
        <v>11122</v>
      </c>
      <c r="H5659" s="27" t="s">
        <v>35</v>
      </c>
      <c r="I5659" s="27" t="s">
        <v>37</v>
      </c>
      <c r="J5659" s="28" t="s">
        <v>399</v>
      </c>
      <c r="K5659" s="27" t="s">
        <v>37</v>
      </c>
      <c r="L5659" s="27"/>
    </row>
    <row r="5660" customFormat="false" ht="15" hidden="false" customHeight="false" outlineLevel="0" collapsed="false">
      <c r="A5660" s="26" t="s">
        <v>16257</v>
      </c>
      <c r="B5660" s="27" t="s">
        <v>16258</v>
      </c>
      <c r="C5660" s="27" t="s">
        <v>144</v>
      </c>
      <c r="D5660" s="26"/>
      <c r="E5660" s="27"/>
      <c r="F5660" s="27"/>
      <c r="G5660" s="27" t="s">
        <v>11122</v>
      </c>
      <c r="H5660" s="27" t="s">
        <v>35</v>
      </c>
      <c r="I5660" s="27" t="s">
        <v>37</v>
      </c>
      <c r="J5660" s="28" t="s">
        <v>399</v>
      </c>
      <c r="K5660" s="27" t="s">
        <v>37</v>
      </c>
      <c r="L5660" s="27"/>
    </row>
    <row r="5661" customFormat="false" ht="15" hidden="false" customHeight="false" outlineLevel="0" collapsed="false">
      <c r="A5661" s="26" t="s">
        <v>16259</v>
      </c>
      <c r="B5661" s="27" t="s">
        <v>16260</v>
      </c>
      <c r="C5661" s="27" t="s">
        <v>144</v>
      </c>
      <c r="D5661" s="26"/>
      <c r="E5661" s="27"/>
      <c r="F5661" s="27"/>
      <c r="G5661" s="27" t="s">
        <v>11122</v>
      </c>
      <c r="H5661" s="27" t="s">
        <v>35</v>
      </c>
      <c r="I5661" s="27" t="s">
        <v>37</v>
      </c>
      <c r="J5661" s="28" t="s">
        <v>399</v>
      </c>
      <c r="K5661" s="27" t="s">
        <v>37</v>
      </c>
      <c r="L5661" s="27"/>
    </row>
    <row r="5662" customFormat="false" ht="15" hidden="false" customHeight="false" outlineLevel="0" collapsed="false">
      <c r="A5662" s="26" t="s">
        <v>16261</v>
      </c>
      <c r="B5662" s="27" t="s">
        <v>16262</v>
      </c>
      <c r="C5662" s="27" t="s">
        <v>144</v>
      </c>
      <c r="D5662" s="26"/>
      <c r="E5662" s="27"/>
      <c r="F5662" s="27"/>
      <c r="G5662" s="27" t="s">
        <v>11122</v>
      </c>
      <c r="H5662" s="27" t="s">
        <v>35</v>
      </c>
      <c r="I5662" s="27" t="s">
        <v>37</v>
      </c>
      <c r="J5662" s="28" t="s">
        <v>399</v>
      </c>
      <c r="K5662" s="27" t="s">
        <v>37</v>
      </c>
      <c r="L5662" s="27"/>
    </row>
    <row r="5663" customFormat="false" ht="15" hidden="false" customHeight="false" outlineLevel="0" collapsed="false">
      <c r="A5663" s="26" t="s">
        <v>16263</v>
      </c>
      <c r="B5663" s="27" t="s">
        <v>16264</v>
      </c>
      <c r="C5663" s="27" t="s">
        <v>144</v>
      </c>
      <c r="D5663" s="26"/>
      <c r="E5663" s="27"/>
      <c r="F5663" s="27"/>
      <c r="G5663" s="27" t="s">
        <v>11122</v>
      </c>
      <c r="H5663" s="27" t="s">
        <v>35</v>
      </c>
      <c r="I5663" s="27" t="s">
        <v>37</v>
      </c>
      <c r="J5663" s="28" t="s">
        <v>399</v>
      </c>
      <c r="K5663" s="27" t="s">
        <v>37</v>
      </c>
      <c r="L5663" s="27"/>
    </row>
    <row r="5664" customFormat="false" ht="15" hidden="false" customHeight="false" outlineLevel="0" collapsed="false">
      <c r="A5664" s="26" t="s">
        <v>16265</v>
      </c>
      <c r="B5664" s="27" t="s">
        <v>16266</v>
      </c>
      <c r="C5664" s="27" t="s">
        <v>144</v>
      </c>
      <c r="D5664" s="26"/>
      <c r="E5664" s="27"/>
      <c r="F5664" s="27"/>
      <c r="G5664" s="27" t="s">
        <v>11122</v>
      </c>
      <c r="H5664" s="27" t="s">
        <v>35</v>
      </c>
      <c r="I5664" s="27" t="s">
        <v>37</v>
      </c>
      <c r="J5664" s="28" t="s">
        <v>399</v>
      </c>
      <c r="K5664" s="27" t="s">
        <v>37</v>
      </c>
      <c r="L5664" s="27"/>
    </row>
    <row r="5665" customFormat="false" ht="15" hidden="false" customHeight="false" outlineLevel="0" collapsed="false">
      <c r="A5665" s="26" t="s">
        <v>16267</v>
      </c>
      <c r="B5665" s="27" t="s">
        <v>16268</v>
      </c>
      <c r="C5665" s="27" t="s">
        <v>144</v>
      </c>
      <c r="D5665" s="26"/>
      <c r="E5665" s="27"/>
      <c r="F5665" s="27"/>
      <c r="G5665" s="27" t="s">
        <v>11122</v>
      </c>
      <c r="H5665" s="27" t="s">
        <v>35</v>
      </c>
      <c r="I5665" s="27" t="s">
        <v>37</v>
      </c>
      <c r="J5665" s="28" t="s">
        <v>399</v>
      </c>
      <c r="K5665" s="27" t="s">
        <v>37</v>
      </c>
      <c r="L5665" s="27"/>
    </row>
    <row r="5666" customFormat="false" ht="15" hidden="false" customHeight="false" outlineLevel="0" collapsed="false">
      <c r="A5666" s="26" t="s">
        <v>16269</v>
      </c>
      <c r="B5666" s="27" t="s">
        <v>16270</v>
      </c>
      <c r="C5666" s="27" t="s">
        <v>144</v>
      </c>
      <c r="D5666" s="26"/>
      <c r="E5666" s="27"/>
      <c r="F5666" s="27"/>
      <c r="G5666" s="27" t="s">
        <v>11122</v>
      </c>
      <c r="H5666" s="27" t="s">
        <v>35</v>
      </c>
      <c r="I5666" s="27" t="s">
        <v>37</v>
      </c>
      <c r="J5666" s="28" t="s">
        <v>399</v>
      </c>
      <c r="K5666" s="27" t="s">
        <v>37</v>
      </c>
      <c r="L5666" s="27"/>
    </row>
    <row r="5667" customFormat="false" ht="15" hidden="false" customHeight="false" outlineLevel="0" collapsed="false">
      <c r="A5667" s="26" t="s">
        <v>16271</v>
      </c>
      <c r="B5667" s="27" t="s">
        <v>16272</v>
      </c>
      <c r="C5667" s="27" t="s">
        <v>144</v>
      </c>
      <c r="D5667" s="26"/>
      <c r="E5667" s="27"/>
      <c r="F5667" s="27"/>
      <c r="G5667" s="27" t="s">
        <v>11122</v>
      </c>
      <c r="H5667" s="27" t="s">
        <v>35</v>
      </c>
      <c r="I5667" s="27" t="s">
        <v>37</v>
      </c>
      <c r="J5667" s="28" t="s">
        <v>399</v>
      </c>
      <c r="K5667" s="27" t="s">
        <v>37</v>
      </c>
      <c r="L5667" s="27"/>
    </row>
    <row r="5668" customFormat="false" ht="15" hidden="false" customHeight="false" outlineLevel="0" collapsed="false">
      <c r="A5668" s="26" t="s">
        <v>16273</v>
      </c>
      <c r="B5668" s="27" t="s">
        <v>16274</v>
      </c>
      <c r="C5668" s="27" t="s">
        <v>144</v>
      </c>
      <c r="D5668" s="26"/>
      <c r="E5668" s="27"/>
      <c r="F5668" s="27"/>
      <c r="G5668" s="27" t="s">
        <v>11122</v>
      </c>
      <c r="H5668" s="27" t="s">
        <v>35</v>
      </c>
      <c r="I5668" s="27" t="s">
        <v>37</v>
      </c>
      <c r="J5668" s="28" t="s">
        <v>399</v>
      </c>
      <c r="K5668" s="27" t="s">
        <v>37</v>
      </c>
      <c r="L5668" s="27"/>
    </row>
    <row r="5669" customFormat="false" ht="15" hidden="false" customHeight="false" outlineLevel="0" collapsed="false">
      <c r="A5669" s="26" t="s">
        <v>16275</v>
      </c>
      <c r="B5669" s="27" t="s">
        <v>16276</v>
      </c>
      <c r="C5669" s="27" t="s">
        <v>144</v>
      </c>
      <c r="D5669" s="26"/>
      <c r="E5669" s="27"/>
      <c r="F5669" s="27"/>
      <c r="G5669" s="27" t="s">
        <v>11122</v>
      </c>
      <c r="H5669" s="27" t="s">
        <v>35</v>
      </c>
      <c r="I5669" s="27" t="s">
        <v>37</v>
      </c>
      <c r="J5669" s="28" t="s">
        <v>399</v>
      </c>
      <c r="K5669" s="27" t="s">
        <v>37</v>
      </c>
      <c r="L5669" s="27"/>
    </row>
    <row r="5670" customFormat="false" ht="15" hidden="false" customHeight="false" outlineLevel="0" collapsed="false">
      <c r="A5670" s="26" t="s">
        <v>16277</v>
      </c>
      <c r="B5670" s="27" t="s">
        <v>16278</v>
      </c>
      <c r="C5670" s="27" t="s">
        <v>144</v>
      </c>
      <c r="D5670" s="26"/>
      <c r="E5670" s="27"/>
      <c r="F5670" s="27"/>
      <c r="G5670" s="27" t="s">
        <v>11122</v>
      </c>
      <c r="H5670" s="27" t="s">
        <v>35</v>
      </c>
      <c r="I5670" s="27" t="s">
        <v>37</v>
      </c>
      <c r="J5670" s="28" t="s">
        <v>399</v>
      </c>
      <c r="K5670" s="27" t="s">
        <v>37</v>
      </c>
      <c r="L5670" s="27"/>
    </row>
    <row r="5671" customFormat="false" ht="15" hidden="false" customHeight="false" outlineLevel="0" collapsed="false">
      <c r="A5671" s="26" t="s">
        <v>16279</v>
      </c>
      <c r="B5671" s="27" t="s">
        <v>16280</v>
      </c>
      <c r="C5671" s="27" t="s">
        <v>144</v>
      </c>
      <c r="D5671" s="26"/>
      <c r="E5671" s="27"/>
      <c r="F5671" s="27"/>
      <c r="G5671" s="27" t="s">
        <v>11122</v>
      </c>
      <c r="H5671" s="27" t="s">
        <v>35</v>
      </c>
      <c r="I5671" s="27" t="s">
        <v>37</v>
      </c>
      <c r="J5671" s="28" t="s">
        <v>399</v>
      </c>
      <c r="K5671" s="27" t="s">
        <v>37</v>
      </c>
      <c r="L5671" s="27"/>
    </row>
    <row r="5672" customFormat="false" ht="15" hidden="false" customHeight="false" outlineLevel="0" collapsed="false">
      <c r="A5672" s="26" t="s">
        <v>16281</v>
      </c>
      <c r="B5672" s="27" t="s">
        <v>16282</v>
      </c>
      <c r="C5672" s="27" t="s">
        <v>144</v>
      </c>
      <c r="D5672" s="26"/>
      <c r="E5672" s="27"/>
      <c r="F5672" s="27"/>
      <c r="G5672" s="27" t="s">
        <v>11122</v>
      </c>
      <c r="H5672" s="27" t="s">
        <v>35</v>
      </c>
      <c r="I5672" s="27" t="s">
        <v>37</v>
      </c>
      <c r="J5672" s="28" t="s">
        <v>399</v>
      </c>
      <c r="K5672" s="27" t="s">
        <v>37</v>
      </c>
      <c r="L5672" s="27"/>
    </row>
    <row r="5673" customFormat="false" ht="15" hidden="false" customHeight="false" outlineLevel="0" collapsed="false">
      <c r="A5673" s="26" t="s">
        <v>16283</v>
      </c>
      <c r="B5673" s="27" t="s">
        <v>16284</v>
      </c>
      <c r="C5673" s="27" t="s">
        <v>144</v>
      </c>
      <c r="D5673" s="26"/>
      <c r="E5673" s="27"/>
      <c r="F5673" s="27"/>
      <c r="G5673" s="27" t="s">
        <v>11122</v>
      </c>
      <c r="H5673" s="27" t="s">
        <v>35</v>
      </c>
      <c r="I5673" s="27" t="s">
        <v>41</v>
      </c>
      <c r="J5673" s="28" t="s">
        <v>399</v>
      </c>
      <c r="K5673" s="27" t="s">
        <v>37</v>
      </c>
      <c r="L5673" s="27"/>
    </row>
    <row r="5674" customFormat="false" ht="15" hidden="false" customHeight="false" outlineLevel="0" collapsed="false">
      <c r="A5674" s="26" t="s">
        <v>16285</v>
      </c>
      <c r="B5674" s="27" t="s">
        <v>16286</v>
      </c>
      <c r="C5674" s="27" t="s">
        <v>144</v>
      </c>
      <c r="D5674" s="26"/>
      <c r="E5674" s="27"/>
      <c r="F5674" s="27"/>
      <c r="G5674" s="27" t="s">
        <v>11122</v>
      </c>
      <c r="H5674" s="27" t="s">
        <v>35</v>
      </c>
      <c r="I5674" s="27" t="s">
        <v>41</v>
      </c>
      <c r="J5674" s="28" t="s">
        <v>399</v>
      </c>
      <c r="K5674" s="27" t="s">
        <v>37</v>
      </c>
      <c r="L5674" s="27"/>
    </row>
    <row r="5675" customFormat="false" ht="15" hidden="false" customHeight="false" outlineLevel="0" collapsed="false">
      <c r="A5675" s="26" t="s">
        <v>16287</v>
      </c>
      <c r="B5675" s="27" t="s">
        <v>16288</v>
      </c>
      <c r="C5675" s="27" t="s">
        <v>144</v>
      </c>
      <c r="D5675" s="26"/>
      <c r="E5675" s="27"/>
      <c r="F5675" s="27"/>
      <c r="G5675" s="27" t="s">
        <v>11122</v>
      </c>
      <c r="H5675" s="27" t="s">
        <v>35</v>
      </c>
      <c r="I5675" s="27" t="s">
        <v>37</v>
      </c>
      <c r="J5675" s="28" t="s">
        <v>399</v>
      </c>
      <c r="K5675" s="27" t="s">
        <v>37</v>
      </c>
      <c r="L5675" s="27"/>
    </row>
    <row r="5676" customFormat="false" ht="15" hidden="false" customHeight="false" outlineLevel="0" collapsed="false">
      <c r="A5676" s="26" t="s">
        <v>16289</v>
      </c>
      <c r="B5676" s="27" t="s">
        <v>16290</v>
      </c>
      <c r="C5676" s="27" t="s">
        <v>144</v>
      </c>
      <c r="D5676" s="26"/>
      <c r="E5676" s="27"/>
      <c r="F5676" s="27"/>
      <c r="G5676" s="27" t="s">
        <v>11122</v>
      </c>
      <c r="H5676" s="27" t="s">
        <v>35</v>
      </c>
      <c r="I5676" s="27" t="s">
        <v>41</v>
      </c>
      <c r="J5676" s="28" t="s">
        <v>399</v>
      </c>
      <c r="K5676" s="27" t="s">
        <v>37</v>
      </c>
      <c r="L5676" s="27"/>
    </row>
    <row r="5677" customFormat="false" ht="15" hidden="false" customHeight="false" outlineLevel="0" collapsed="false">
      <c r="A5677" s="26" t="s">
        <v>16291</v>
      </c>
      <c r="B5677" s="27" t="s">
        <v>16292</v>
      </c>
      <c r="C5677" s="27" t="s">
        <v>144</v>
      </c>
      <c r="D5677" s="26"/>
      <c r="E5677" s="27"/>
      <c r="F5677" s="27"/>
      <c r="G5677" s="27" t="s">
        <v>11122</v>
      </c>
      <c r="H5677" s="27" t="s">
        <v>35</v>
      </c>
      <c r="I5677" s="27" t="s">
        <v>37</v>
      </c>
      <c r="J5677" s="28" t="s">
        <v>399</v>
      </c>
      <c r="K5677" s="27" t="s">
        <v>37</v>
      </c>
      <c r="L5677" s="27"/>
    </row>
    <row r="5678" customFormat="false" ht="15" hidden="false" customHeight="false" outlineLevel="0" collapsed="false">
      <c r="A5678" s="26" t="s">
        <v>16293</v>
      </c>
      <c r="B5678" s="27" t="s">
        <v>16294</v>
      </c>
      <c r="C5678" s="27" t="s">
        <v>144</v>
      </c>
      <c r="D5678" s="26"/>
      <c r="E5678" s="27"/>
      <c r="F5678" s="27"/>
      <c r="G5678" s="27" t="s">
        <v>11122</v>
      </c>
      <c r="H5678" s="27" t="s">
        <v>35</v>
      </c>
      <c r="I5678" s="27" t="s">
        <v>37</v>
      </c>
      <c r="J5678" s="28" t="s">
        <v>399</v>
      </c>
      <c r="K5678" s="27" t="s">
        <v>37</v>
      </c>
      <c r="L5678" s="27"/>
    </row>
    <row r="5679" customFormat="false" ht="15" hidden="false" customHeight="false" outlineLevel="0" collapsed="false">
      <c r="A5679" s="26" t="s">
        <v>16295</v>
      </c>
      <c r="B5679" s="27" t="s">
        <v>16296</v>
      </c>
      <c r="C5679" s="27" t="s">
        <v>144</v>
      </c>
      <c r="D5679" s="26"/>
      <c r="E5679" s="27"/>
      <c r="F5679" s="27"/>
      <c r="G5679" s="27" t="s">
        <v>11122</v>
      </c>
      <c r="H5679" s="27" t="s">
        <v>35</v>
      </c>
      <c r="I5679" s="27" t="s">
        <v>37</v>
      </c>
      <c r="J5679" s="28" t="s">
        <v>399</v>
      </c>
      <c r="K5679" s="27" t="s">
        <v>37</v>
      </c>
      <c r="L5679" s="27"/>
    </row>
    <row r="5680" customFormat="false" ht="15" hidden="false" customHeight="false" outlineLevel="0" collapsed="false">
      <c r="A5680" s="26" t="s">
        <v>16297</v>
      </c>
      <c r="B5680" s="27" t="s">
        <v>16298</v>
      </c>
      <c r="C5680" s="27" t="s">
        <v>144</v>
      </c>
      <c r="D5680" s="26"/>
      <c r="E5680" s="27"/>
      <c r="F5680" s="27"/>
      <c r="G5680" s="27" t="s">
        <v>11122</v>
      </c>
      <c r="H5680" s="27" t="s">
        <v>35</v>
      </c>
      <c r="I5680" s="27" t="s">
        <v>37</v>
      </c>
      <c r="J5680" s="28" t="s">
        <v>399</v>
      </c>
      <c r="K5680" s="27" t="s">
        <v>37</v>
      </c>
      <c r="L5680" s="27"/>
    </row>
    <row r="5681" customFormat="false" ht="15" hidden="false" customHeight="false" outlineLevel="0" collapsed="false">
      <c r="A5681" s="26" t="s">
        <v>16299</v>
      </c>
      <c r="B5681" s="27" t="s">
        <v>16300</v>
      </c>
      <c r="C5681" s="27" t="s">
        <v>144</v>
      </c>
      <c r="D5681" s="26"/>
      <c r="E5681" s="27"/>
      <c r="F5681" s="27"/>
      <c r="G5681" s="27" t="s">
        <v>11122</v>
      </c>
      <c r="H5681" s="27" t="s">
        <v>35</v>
      </c>
      <c r="I5681" s="27" t="s">
        <v>38</v>
      </c>
      <c r="J5681" s="28" t="s">
        <v>399</v>
      </c>
      <c r="K5681" s="27" t="s">
        <v>37</v>
      </c>
      <c r="L5681" s="27"/>
    </row>
    <row r="5682" customFormat="false" ht="15" hidden="false" customHeight="false" outlineLevel="0" collapsed="false">
      <c r="A5682" s="26" t="s">
        <v>16301</v>
      </c>
      <c r="B5682" s="27" t="s">
        <v>16302</v>
      </c>
      <c r="C5682" s="27" t="s">
        <v>144</v>
      </c>
      <c r="D5682" s="26"/>
      <c r="E5682" s="27"/>
      <c r="F5682" s="27"/>
      <c r="G5682" s="27" t="s">
        <v>11122</v>
      </c>
      <c r="H5682" s="27" t="s">
        <v>35</v>
      </c>
      <c r="I5682" s="27" t="s">
        <v>38</v>
      </c>
      <c r="J5682" s="28" t="s">
        <v>399</v>
      </c>
      <c r="K5682" s="27" t="s">
        <v>37</v>
      </c>
      <c r="L5682" s="27"/>
    </row>
    <row r="5683" customFormat="false" ht="15" hidden="false" customHeight="false" outlineLevel="0" collapsed="false">
      <c r="A5683" s="26" t="s">
        <v>16303</v>
      </c>
      <c r="B5683" s="27" t="s">
        <v>16304</v>
      </c>
      <c r="C5683" s="27" t="s">
        <v>144</v>
      </c>
      <c r="D5683" s="26"/>
      <c r="E5683" s="27"/>
      <c r="F5683" s="27"/>
      <c r="G5683" s="27" t="s">
        <v>11122</v>
      </c>
      <c r="H5683" s="27" t="s">
        <v>35</v>
      </c>
      <c r="I5683" s="27" t="s">
        <v>38</v>
      </c>
      <c r="J5683" s="28" t="s">
        <v>399</v>
      </c>
      <c r="K5683" s="27" t="s">
        <v>37</v>
      </c>
      <c r="L5683" s="27"/>
    </row>
    <row r="5684" customFormat="false" ht="15" hidden="false" customHeight="false" outlineLevel="0" collapsed="false">
      <c r="A5684" s="26" t="s">
        <v>16305</v>
      </c>
      <c r="B5684" s="27" t="s">
        <v>16306</v>
      </c>
      <c r="C5684" s="27" t="s">
        <v>144</v>
      </c>
      <c r="D5684" s="26"/>
      <c r="E5684" s="27"/>
      <c r="F5684" s="27"/>
      <c r="G5684" s="27" t="s">
        <v>11122</v>
      </c>
      <c r="H5684" s="27" t="s">
        <v>35</v>
      </c>
      <c r="I5684" s="27" t="s">
        <v>40</v>
      </c>
      <c r="J5684" s="28" t="s">
        <v>399</v>
      </c>
      <c r="K5684" s="27" t="s">
        <v>37</v>
      </c>
      <c r="L5684" s="27"/>
    </row>
    <row r="5685" customFormat="false" ht="15" hidden="false" customHeight="false" outlineLevel="0" collapsed="false">
      <c r="A5685" s="26" t="s">
        <v>16307</v>
      </c>
      <c r="B5685" s="27" t="s">
        <v>16308</v>
      </c>
      <c r="C5685" s="27" t="s">
        <v>144</v>
      </c>
      <c r="D5685" s="26"/>
      <c r="E5685" s="27"/>
      <c r="F5685" s="27"/>
      <c r="G5685" s="27" t="s">
        <v>11122</v>
      </c>
      <c r="H5685" s="27" t="s">
        <v>35</v>
      </c>
      <c r="I5685" s="27" t="s">
        <v>37</v>
      </c>
      <c r="J5685" s="28" t="s">
        <v>399</v>
      </c>
      <c r="K5685" s="27" t="s">
        <v>37</v>
      </c>
      <c r="L5685" s="27"/>
    </row>
    <row r="5686" customFormat="false" ht="15" hidden="false" customHeight="false" outlineLevel="0" collapsed="false">
      <c r="A5686" s="26" t="s">
        <v>16309</v>
      </c>
      <c r="B5686" s="27" t="s">
        <v>16310</v>
      </c>
      <c r="C5686" s="27" t="s">
        <v>144</v>
      </c>
      <c r="D5686" s="26"/>
      <c r="E5686" s="27"/>
      <c r="F5686" s="27"/>
      <c r="G5686" s="27" t="s">
        <v>11122</v>
      </c>
      <c r="H5686" s="27" t="s">
        <v>35</v>
      </c>
      <c r="I5686" s="27" t="s">
        <v>37</v>
      </c>
      <c r="J5686" s="28" t="s">
        <v>399</v>
      </c>
      <c r="K5686" s="27" t="s">
        <v>37</v>
      </c>
      <c r="L5686" s="27"/>
    </row>
    <row r="5687" customFormat="false" ht="15" hidden="false" customHeight="false" outlineLevel="0" collapsed="false">
      <c r="A5687" s="26" t="s">
        <v>16311</v>
      </c>
      <c r="B5687" s="27" t="s">
        <v>16312</v>
      </c>
      <c r="C5687" s="27" t="s">
        <v>144</v>
      </c>
      <c r="D5687" s="26"/>
      <c r="E5687" s="27"/>
      <c r="F5687" s="27"/>
      <c r="G5687" s="27" t="s">
        <v>11122</v>
      </c>
      <c r="H5687" s="27" t="s">
        <v>35</v>
      </c>
      <c r="I5687" s="27" t="s">
        <v>37</v>
      </c>
      <c r="J5687" s="28" t="s">
        <v>399</v>
      </c>
      <c r="K5687" s="27" t="s">
        <v>37</v>
      </c>
      <c r="L5687" s="27"/>
    </row>
    <row r="5688" customFormat="false" ht="15" hidden="false" customHeight="false" outlineLevel="0" collapsed="false">
      <c r="A5688" s="26" t="s">
        <v>16313</v>
      </c>
      <c r="B5688" s="27" t="s">
        <v>16314</v>
      </c>
      <c r="C5688" s="27" t="s">
        <v>144</v>
      </c>
      <c r="D5688" s="26"/>
      <c r="E5688" s="27"/>
      <c r="F5688" s="27"/>
      <c r="G5688" s="27" t="s">
        <v>11122</v>
      </c>
      <c r="H5688" s="27" t="s">
        <v>35</v>
      </c>
      <c r="I5688" s="27" t="s">
        <v>37</v>
      </c>
      <c r="J5688" s="28" t="s">
        <v>399</v>
      </c>
      <c r="K5688" s="27" t="s">
        <v>37</v>
      </c>
      <c r="L5688" s="27"/>
    </row>
    <row r="5689" customFormat="false" ht="15" hidden="false" customHeight="false" outlineLevel="0" collapsed="false">
      <c r="A5689" s="26" t="s">
        <v>16315</v>
      </c>
      <c r="B5689" s="27" t="s">
        <v>16316</v>
      </c>
      <c r="C5689" s="27" t="s">
        <v>144</v>
      </c>
      <c r="D5689" s="26"/>
      <c r="E5689" s="27"/>
      <c r="F5689" s="27"/>
      <c r="G5689" s="27" t="s">
        <v>11122</v>
      </c>
      <c r="H5689" s="27" t="s">
        <v>35</v>
      </c>
      <c r="I5689" s="27" t="s">
        <v>37</v>
      </c>
      <c r="J5689" s="28" t="s">
        <v>399</v>
      </c>
      <c r="K5689" s="27" t="s">
        <v>37</v>
      </c>
      <c r="L5689" s="27"/>
    </row>
    <row r="5690" customFormat="false" ht="15" hidden="false" customHeight="false" outlineLevel="0" collapsed="false">
      <c r="A5690" s="26" t="s">
        <v>16317</v>
      </c>
      <c r="B5690" s="27" t="s">
        <v>16318</v>
      </c>
      <c r="C5690" s="27" t="s">
        <v>144</v>
      </c>
      <c r="D5690" s="26"/>
      <c r="E5690" s="27"/>
      <c r="F5690" s="27"/>
      <c r="G5690" s="27" t="s">
        <v>11122</v>
      </c>
      <c r="H5690" s="27" t="s">
        <v>35</v>
      </c>
      <c r="I5690" s="27" t="s">
        <v>39</v>
      </c>
      <c r="J5690" s="28" t="s">
        <v>399</v>
      </c>
      <c r="K5690" s="27" t="s">
        <v>37</v>
      </c>
      <c r="L5690" s="27"/>
    </row>
    <row r="5691" customFormat="false" ht="15" hidden="false" customHeight="false" outlineLevel="0" collapsed="false">
      <c r="A5691" s="26" t="s">
        <v>16319</v>
      </c>
      <c r="B5691" s="27" t="s">
        <v>16320</v>
      </c>
      <c r="C5691" s="27" t="s">
        <v>144</v>
      </c>
      <c r="D5691" s="26"/>
      <c r="E5691" s="27"/>
      <c r="F5691" s="27"/>
      <c r="G5691" s="27" t="s">
        <v>11122</v>
      </c>
      <c r="H5691" s="27" t="s">
        <v>35</v>
      </c>
      <c r="I5691" s="27" t="s">
        <v>37</v>
      </c>
      <c r="J5691" s="28" t="s">
        <v>399</v>
      </c>
      <c r="K5691" s="27" t="s">
        <v>37</v>
      </c>
      <c r="L5691" s="27"/>
    </row>
    <row r="5692" customFormat="false" ht="15" hidden="false" customHeight="false" outlineLevel="0" collapsed="false">
      <c r="A5692" s="26" t="s">
        <v>16321</v>
      </c>
      <c r="B5692" s="27" t="s">
        <v>16322</v>
      </c>
      <c r="C5692" s="27" t="s">
        <v>144</v>
      </c>
      <c r="D5692" s="26"/>
      <c r="E5692" s="27"/>
      <c r="F5692" s="27"/>
      <c r="G5692" s="27" t="s">
        <v>11122</v>
      </c>
      <c r="H5692" s="27" t="s">
        <v>35</v>
      </c>
      <c r="I5692" s="27" t="s">
        <v>44</v>
      </c>
      <c r="J5692" s="28" t="s">
        <v>399</v>
      </c>
      <c r="K5692" s="27" t="s">
        <v>37</v>
      </c>
      <c r="L5692" s="27"/>
    </row>
    <row r="5693" customFormat="false" ht="15" hidden="false" customHeight="false" outlineLevel="0" collapsed="false">
      <c r="A5693" s="26" t="s">
        <v>16323</v>
      </c>
      <c r="B5693" s="27" t="s">
        <v>16324</v>
      </c>
      <c r="C5693" s="27" t="s">
        <v>144</v>
      </c>
      <c r="D5693" s="26"/>
      <c r="E5693" s="27"/>
      <c r="F5693" s="27"/>
      <c r="G5693" s="27" t="s">
        <v>11122</v>
      </c>
      <c r="H5693" s="27" t="s">
        <v>35</v>
      </c>
      <c r="I5693" s="27" t="s">
        <v>44</v>
      </c>
      <c r="J5693" s="28" t="s">
        <v>399</v>
      </c>
      <c r="K5693" s="27" t="s">
        <v>37</v>
      </c>
      <c r="L5693" s="27"/>
    </row>
    <row r="5694" customFormat="false" ht="15" hidden="false" customHeight="false" outlineLevel="0" collapsed="false">
      <c r="A5694" s="26" t="s">
        <v>16325</v>
      </c>
      <c r="B5694" s="27" t="s">
        <v>16326</v>
      </c>
      <c r="C5694" s="27" t="s">
        <v>144</v>
      </c>
      <c r="D5694" s="26"/>
      <c r="E5694" s="27"/>
      <c r="F5694" s="27"/>
      <c r="G5694" s="27" t="s">
        <v>11122</v>
      </c>
      <c r="H5694" s="27" t="s">
        <v>35</v>
      </c>
      <c r="I5694" s="27" t="s">
        <v>44</v>
      </c>
      <c r="J5694" s="28" t="s">
        <v>399</v>
      </c>
      <c r="K5694" s="27" t="s">
        <v>37</v>
      </c>
      <c r="L5694" s="27"/>
    </row>
    <row r="5695" customFormat="false" ht="15" hidden="false" customHeight="false" outlineLevel="0" collapsed="false">
      <c r="A5695" s="26" t="s">
        <v>16327</v>
      </c>
      <c r="B5695" s="27" t="s">
        <v>16328</v>
      </c>
      <c r="C5695" s="27" t="s">
        <v>144</v>
      </c>
      <c r="D5695" s="26"/>
      <c r="E5695" s="27"/>
      <c r="F5695" s="27"/>
      <c r="G5695" s="27" t="s">
        <v>11122</v>
      </c>
      <c r="H5695" s="27" t="s">
        <v>35</v>
      </c>
      <c r="I5695" s="27" t="s">
        <v>37</v>
      </c>
      <c r="J5695" s="28" t="s">
        <v>399</v>
      </c>
      <c r="K5695" s="27" t="s">
        <v>37</v>
      </c>
      <c r="L5695" s="27"/>
    </row>
    <row r="5696" customFormat="false" ht="15" hidden="false" customHeight="false" outlineLevel="0" collapsed="false">
      <c r="A5696" s="26" t="s">
        <v>16329</v>
      </c>
      <c r="B5696" s="27" t="s">
        <v>16330</v>
      </c>
      <c r="C5696" s="27" t="s">
        <v>144</v>
      </c>
      <c r="D5696" s="26"/>
      <c r="E5696" s="27"/>
      <c r="F5696" s="27"/>
      <c r="G5696" s="27" t="s">
        <v>11122</v>
      </c>
      <c r="H5696" s="27" t="s">
        <v>35</v>
      </c>
      <c r="I5696" s="27" t="s">
        <v>44</v>
      </c>
      <c r="J5696" s="28" t="s">
        <v>399</v>
      </c>
      <c r="K5696" s="27" t="s">
        <v>37</v>
      </c>
      <c r="L5696" s="27"/>
    </row>
    <row r="5697" customFormat="false" ht="15" hidden="false" customHeight="false" outlineLevel="0" collapsed="false">
      <c r="A5697" s="26" t="s">
        <v>16331</v>
      </c>
      <c r="B5697" s="27" t="s">
        <v>16332</v>
      </c>
      <c r="C5697" s="27" t="s">
        <v>144</v>
      </c>
      <c r="D5697" s="26"/>
      <c r="E5697" s="27"/>
      <c r="F5697" s="27"/>
      <c r="G5697" s="27" t="s">
        <v>11122</v>
      </c>
      <c r="H5697" s="27" t="s">
        <v>35</v>
      </c>
      <c r="I5697" s="27" t="s">
        <v>37</v>
      </c>
      <c r="J5697" s="28" t="s">
        <v>399</v>
      </c>
      <c r="K5697" s="27" t="s">
        <v>37</v>
      </c>
      <c r="L5697" s="27"/>
    </row>
    <row r="5698" customFormat="false" ht="15" hidden="false" customHeight="false" outlineLevel="0" collapsed="false">
      <c r="A5698" s="26" t="s">
        <v>16333</v>
      </c>
      <c r="B5698" s="27" t="s">
        <v>16334</v>
      </c>
      <c r="C5698" s="27" t="s">
        <v>144</v>
      </c>
      <c r="D5698" s="26"/>
      <c r="E5698" s="27"/>
      <c r="F5698" s="27"/>
      <c r="G5698" s="27" t="s">
        <v>11122</v>
      </c>
      <c r="H5698" s="27" t="s">
        <v>35</v>
      </c>
      <c r="I5698" s="27" t="s">
        <v>37</v>
      </c>
      <c r="J5698" s="28" t="s">
        <v>399</v>
      </c>
      <c r="K5698" s="27" t="s">
        <v>37</v>
      </c>
      <c r="L5698" s="27"/>
    </row>
    <row r="5699" customFormat="false" ht="15" hidden="false" customHeight="false" outlineLevel="0" collapsed="false">
      <c r="A5699" s="26" t="s">
        <v>16335</v>
      </c>
      <c r="B5699" s="27" t="s">
        <v>16336</v>
      </c>
      <c r="C5699" s="27" t="s">
        <v>144</v>
      </c>
      <c r="D5699" s="26"/>
      <c r="E5699" s="27"/>
      <c r="F5699" s="27"/>
      <c r="G5699" s="27" t="s">
        <v>11122</v>
      </c>
      <c r="H5699" s="27" t="s">
        <v>35</v>
      </c>
      <c r="I5699" s="27" t="s">
        <v>37</v>
      </c>
      <c r="J5699" s="28" t="s">
        <v>399</v>
      </c>
      <c r="K5699" s="27" t="s">
        <v>37</v>
      </c>
      <c r="L5699" s="27"/>
    </row>
    <row r="5700" customFormat="false" ht="15" hidden="false" customHeight="false" outlineLevel="0" collapsed="false">
      <c r="A5700" s="26" t="s">
        <v>16337</v>
      </c>
      <c r="B5700" s="27" t="s">
        <v>16338</v>
      </c>
      <c r="C5700" s="27" t="s">
        <v>144</v>
      </c>
      <c r="D5700" s="26"/>
      <c r="E5700" s="27"/>
      <c r="F5700" s="27"/>
      <c r="G5700" s="27" t="s">
        <v>11122</v>
      </c>
      <c r="H5700" s="27" t="s">
        <v>35</v>
      </c>
      <c r="I5700" s="27" t="s">
        <v>39</v>
      </c>
      <c r="J5700" s="28" t="s">
        <v>399</v>
      </c>
      <c r="K5700" s="27" t="s">
        <v>37</v>
      </c>
      <c r="L5700" s="27"/>
    </row>
    <row r="5701" customFormat="false" ht="15" hidden="false" customHeight="false" outlineLevel="0" collapsed="false">
      <c r="A5701" s="26" t="s">
        <v>16339</v>
      </c>
      <c r="B5701" s="27" t="s">
        <v>16340</v>
      </c>
      <c r="C5701" s="27" t="s">
        <v>144</v>
      </c>
      <c r="D5701" s="26"/>
      <c r="E5701" s="27"/>
      <c r="F5701" s="27"/>
      <c r="G5701" s="27" t="s">
        <v>11122</v>
      </c>
      <c r="H5701" s="27" t="s">
        <v>35</v>
      </c>
      <c r="I5701" s="27" t="s">
        <v>37</v>
      </c>
      <c r="J5701" s="28" t="s">
        <v>399</v>
      </c>
      <c r="K5701" s="27" t="s">
        <v>37</v>
      </c>
      <c r="L5701" s="27"/>
    </row>
    <row r="5702" customFormat="false" ht="15" hidden="false" customHeight="false" outlineLevel="0" collapsed="false">
      <c r="A5702" s="26" t="s">
        <v>16341</v>
      </c>
      <c r="B5702" s="27" t="s">
        <v>16342</v>
      </c>
      <c r="C5702" s="27" t="s">
        <v>144</v>
      </c>
      <c r="D5702" s="26"/>
      <c r="E5702" s="27"/>
      <c r="F5702" s="27"/>
      <c r="G5702" s="27" t="s">
        <v>11122</v>
      </c>
      <c r="H5702" s="27" t="s">
        <v>35</v>
      </c>
      <c r="I5702" s="27" t="s">
        <v>37</v>
      </c>
      <c r="J5702" s="28" t="s">
        <v>399</v>
      </c>
      <c r="K5702" s="27" t="s">
        <v>37</v>
      </c>
      <c r="L5702" s="27"/>
    </row>
    <row r="5703" customFormat="false" ht="15" hidden="false" customHeight="false" outlineLevel="0" collapsed="false">
      <c r="A5703" s="26" t="s">
        <v>16343</v>
      </c>
      <c r="B5703" s="27" t="s">
        <v>16344</v>
      </c>
      <c r="C5703" s="27" t="s">
        <v>144</v>
      </c>
      <c r="D5703" s="26"/>
      <c r="E5703" s="27"/>
      <c r="F5703" s="27"/>
      <c r="G5703" s="27" t="s">
        <v>11122</v>
      </c>
      <c r="H5703" s="27" t="s">
        <v>35</v>
      </c>
      <c r="I5703" s="27" t="s">
        <v>37</v>
      </c>
      <c r="J5703" s="28" t="s">
        <v>399</v>
      </c>
      <c r="K5703" s="27" t="s">
        <v>37</v>
      </c>
      <c r="L5703" s="27"/>
    </row>
    <row r="5704" customFormat="false" ht="15" hidden="false" customHeight="false" outlineLevel="0" collapsed="false">
      <c r="A5704" s="26" t="s">
        <v>16345</v>
      </c>
      <c r="B5704" s="27" t="s">
        <v>16346</v>
      </c>
      <c r="C5704" s="27" t="s">
        <v>144</v>
      </c>
      <c r="D5704" s="26"/>
      <c r="E5704" s="27"/>
      <c r="F5704" s="27"/>
      <c r="G5704" s="27" t="s">
        <v>11122</v>
      </c>
      <c r="H5704" s="27" t="s">
        <v>35</v>
      </c>
      <c r="I5704" s="27" t="s">
        <v>37</v>
      </c>
      <c r="J5704" s="28" t="s">
        <v>399</v>
      </c>
      <c r="K5704" s="27" t="s">
        <v>37</v>
      </c>
      <c r="L5704" s="27"/>
    </row>
    <row r="5705" customFormat="false" ht="15" hidden="false" customHeight="false" outlineLevel="0" collapsed="false">
      <c r="A5705" s="26" t="s">
        <v>16347</v>
      </c>
      <c r="B5705" s="27" t="s">
        <v>16348</v>
      </c>
      <c r="C5705" s="27" t="s">
        <v>144</v>
      </c>
      <c r="D5705" s="26"/>
      <c r="E5705" s="27"/>
      <c r="F5705" s="27"/>
      <c r="G5705" s="27" t="s">
        <v>11122</v>
      </c>
      <c r="H5705" s="27" t="s">
        <v>35</v>
      </c>
      <c r="I5705" s="27" t="s">
        <v>37</v>
      </c>
      <c r="J5705" s="28" t="s">
        <v>399</v>
      </c>
      <c r="K5705" s="27" t="s">
        <v>37</v>
      </c>
      <c r="L5705" s="27"/>
    </row>
    <row r="5706" customFormat="false" ht="15" hidden="false" customHeight="false" outlineLevel="0" collapsed="false">
      <c r="A5706" s="26" t="s">
        <v>16349</v>
      </c>
      <c r="B5706" s="27" t="s">
        <v>16350</v>
      </c>
      <c r="C5706" s="27" t="s">
        <v>144</v>
      </c>
      <c r="D5706" s="26"/>
      <c r="E5706" s="27"/>
      <c r="F5706" s="27"/>
      <c r="G5706" s="27" t="s">
        <v>11122</v>
      </c>
      <c r="H5706" s="27" t="s">
        <v>35</v>
      </c>
      <c r="I5706" s="27" t="s">
        <v>39</v>
      </c>
      <c r="J5706" s="28" t="s">
        <v>399</v>
      </c>
      <c r="K5706" s="27" t="s">
        <v>37</v>
      </c>
      <c r="L5706" s="27"/>
    </row>
    <row r="5707" customFormat="false" ht="15" hidden="false" customHeight="false" outlineLevel="0" collapsed="false">
      <c r="A5707" s="26" t="s">
        <v>16351</v>
      </c>
      <c r="B5707" s="27" t="s">
        <v>16352</v>
      </c>
      <c r="C5707" s="27" t="s">
        <v>144</v>
      </c>
      <c r="D5707" s="26"/>
      <c r="E5707" s="27"/>
      <c r="F5707" s="27"/>
      <c r="G5707" s="27" t="s">
        <v>11122</v>
      </c>
      <c r="H5707" s="27" t="s">
        <v>35</v>
      </c>
      <c r="I5707" s="27" t="s">
        <v>37</v>
      </c>
      <c r="J5707" s="28" t="s">
        <v>399</v>
      </c>
      <c r="K5707" s="27" t="s">
        <v>37</v>
      </c>
      <c r="L5707" s="27"/>
    </row>
    <row r="5708" customFormat="false" ht="15" hidden="false" customHeight="false" outlineLevel="0" collapsed="false">
      <c r="A5708" s="26" t="s">
        <v>16353</v>
      </c>
      <c r="B5708" s="27" t="s">
        <v>16354</v>
      </c>
      <c r="C5708" s="27" t="s">
        <v>144</v>
      </c>
      <c r="D5708" s="26"/>
      <c r="E5708" s="27"/>
      <c r="F5708" s="27"/>
      <c r="G5708" s="27" t="s">
        <v>11122</v>
      </c>
      <c r="H5708" s="27" t="s">
        <v>35</v>
      </c>
      <c r="I5708" s="27" t="s">
        <v>37</v>
      </c>
      <c r="J5708" s="28" t="s">
        <v>399</v>
      </c>
      <c r="K5708" s="27" t="s">
        <v>37</v>
      </c>
      <c r="L5708" s="27"/>
    </row>
    <row r="5709" customFormat="false" ht="15" hidden="false" customHeight="false" outlineLevel="0" collapsed="false">
      <c r="A5709" s="26" t="s">
        <v>16355</v>
      </c>
      <c r="B5709" s="27" t="s">
        <v>16356</v>
      </c>
      <c r="C5709" s="27" t="s">
        <v>144</v>
      </c>
      <c r="D5709" s="26"/>
      <c r="E5709" s="27"/>
      <c r="F5709" s="27"/>
      <c r="G5709" s="27" t="s">
        <v>11122</v>
      </c>
      <c r="H5709" s="27" t="s">
        <v>35</v>
      </c>
      <c r="I5709" s="27" t="s">
        <v>37</v>
      </c>
      <c r="J5709" s="28" t="s">
        <v>399</v>
      </c>
      <c r="K5709" s="27" t="s">
        <v>37</v>
      </c>
      <c r="L5709" s="27"/>
    </row>
    <row r="5710" customFormat="false" ht="15" hidden="false" customHeight="false" outlineLevel="0" collapsed="false">
      <c r="A5710" s="26" t="s">
        <v>16357</v>
      </c>
      <c r="B5710" s="27" t="s">
        <v>16358</v>
      </c>
      <c r="C5710" s="27" t="s">
        <v>144</v>
      </c>
      <c r="D5710" s="26"/>
      <c r="E5710" s="27"/>
      <c r="F5710" s="27"/>
      <c r="G5710" s="27" t="s">
        <v>11122</v>
      </c>
      <c r="H5710" s="27" t="s">
        <v>35</v>
      </c>
      <c r="I5710" s="27" t="s">
        <v>37</v>
      </c>
      <c r="J5710" s="28" t="s">
        <v>399</v>
      </c>
      <c r="K5710" s="27" t="s">
        <v>37</v>
      </c>
      <c r="L5710" s="27"/>
    </row>
    <row r="5711" customFormat="false" ht="15" hidden="false" customHeight="false" outlineLevel="0" collapsed="false">
      <c r="A5711" s="26" t="s">
        <v>16359</v>
      </c>
      <c r="B5711" s="27" t="s">
        <v>16360</v>
      </c>
      <c r="C5711" s="27" t="s">
        <v>144</v>
      </c>
      <c r="D5711" s="26"/>
      <c r="E5711" s="27"/>
      <c r="F5711" s="27"/>
      <c r="G5711" s="27" t="s">
        <v>11122</v>
      </c>
      <c r="H5711" s="27" t="s">
        <v>35</v>
      </c>
      <c r="I5711" s="27" t="s">
        <v>37</v>
      </c>
      <c r="J5711" s="28" t="s">
        <v>399</v>
      </c>
      <c r="K5711" s="27" t="s">
        <v>37</v>
      </c>
      <c r="L5711" s="27"/>
    </row>
    <row r="5712" customFormat="false" ht="15" hidden="false" customHeight="false" outlineLevel="0" collapsed="false">
      <c r="A5712" s="26" t="s">
        <v>16361</v>
      </c>
      <c r="B5712" s="27" t="s">
        <v>16362</v>
      </c>
      <c r="C5712" s="27" t="s">
        <v>144</v>
      </c>
      <c r="D5712" s="26"/>
      <c r="E5712" s="27"/>
      <c r="F5712" s="27"/>
      <c r="G5712" s="27" t="s">
        <v>11122</v>
      </c>
      <c r="H5712" s="27" t="s">
        <v>35</v>
      </c>
      <c r="I5712" s="27" t="s">
        <v>39</v>
      </c>
      <c r="J5712" s="28" t="s">
        <v>399</v>
      </c>
      <c r="K5712" s="27" t="s">
        <v>37</v>
      </c>
      <c r="L5712" s="27"/>
    </row>
    <row r="5713" customFormat="false" ht="15" hidden="false" customHeight="false" outlineLevel="0" collapsed="false">
      <c r="A5713" s="26" t="s">
        <v>16363</v>
      </c>
      <c r="B5713" s="27" t="s">
        <v>16364</v>
      </c>
      <c r="C5713" s="27" t="s">
        <v>144</v>
      </c>
      <c r="D5713" s="26"/>
      <c r="E5713" s="27"/>
      <c r="F5713" s="27"/>
      <c r="G5713" s="27" t="s">
        <v>11122</v>
      </c>
      <c r="H5713" s="27" t="s">
        <v>35</v>
      </c>
      <c r="I5713" s="27" t="s">
        <v>37</v>
      </c>
      <c r="J5713" s="28" t="s">
        <v>399</v>
      </c>
      <c r="K5713" s="27" t="s">
        <v>37</v>
      </c>
      <c r="L5713" s="27"/>
    </row>
    <row r="5714" customFormat="false" ht="15" hidden="false" customHeight="false" outlineLevel="0" collapsed="false">
      <c r="A5714" s="26" t="s">
        <v>16365</v>
      </c>
      <c r="B5714" s="27" t="s">
        <v>16366</v>
      </c>
      <c r="C5714" s="27" t="s">
        <v>144</v>
      </c>
      <c r="D5714" s="26"/>
      <c r="E5714" s="27"/>
      <c r="F5714" s="27"/>
      <c r="G5714" s="27" t="s">
        <v>11122</v>
      </c>
      <c r="H5714" s="27" t="s">
        <v>35</v>
      </c>
      <c r="I5714" s="27" t="s">
        <v>37</v>
      </c>
      <c r="J5714" s="28" t="s">
        <v>399</v>
      </c>
      <c r="K5714" s="27" t="s">
        <v>37</v>
      </c>
      <c r="L5714" s="27"/>
    </row>
    <row r="5715" customFormat="false" ht="15" hidden="false" customHeight="false" outlineLevel="0" collapsed="false">
      <c r="A5715" s="26" t="s">
        <v>16367</v>
      </c>
      <c r="B5715" s="27" t="s">
        <v>16368</v>
      </c>
      <c r="C5715" s="27" t="s">
        <v>144</v>
      </c>
      <c r="D5715" s="26"/>
      <c r="E5715" s="27"/>
      <c r="F5715" s="27"/>
      <c r="G5715" s="27" t="s">
        <v>11122</v>
      </c>
      <c r="H5715" s="27" t="s">
        <v>35</v>
      </c>
      <c r="I5715" s="27" t="s">
        <v>37</v>
      </c>
      <c r="J5715" s="28" t="s">
        <v>399</v>
      </c>
      <c r="K5715" s="27" t="s">
        <v>37</v>
      </c>
      <c r="L5715" s="27"/>
    </row>
    <row r="5716" customFormat="false" ht="15" hidden="false" customHeight="false" outlineLevel="0" collapsed="false">
      <c r="A5716" s="26" t="s">
        <v>16369</v>
      </c>
      <c r="B5716" s="27" t="s">
        <v>16370</v>
      </c>
      <c r="C5716" s="27" t="s">
        <v>144</v>
      </c>
      <c r="D5716" s="26"/>
      <c r="E5716" s="27"/>
      <c r="F5716" s="27"/>
      <c r="G5716" s="27" t="s">
        <v>11122</v>
      </c>
      <c r="H5716" s="27" t="s">
        <v>35</v>
      </c>
      <c r="I5716" s="27" t="s">
        <v>37</v>
      </c>
      <c r="J5716" s="28" t="s">
        <v>399</v>
      </c>
      <c r="K5716" s="27" t="s">
        <v>37</v>
      </c>
      <c r="L5716" s="27"/>
    </row>
    <row r="5717" customFormat="false" ht="15" hidden="false" customHeight="false" outlineLevel="0" collapsed="false">
      <c r="A5717" s="26" t="s">
        <v>16371</v>
      </c>
      <c r="B5717" s="27" t="s">
        <v>16372</v>
      </c>
      <c r="C5717" s="27" t="s">
        <v>144</v>
      </c>
      <c r="D5717" s="26"/>
      <c r="E5717" s="27"/>
      <c r="F5717" s="27"/>
      <c r="G5717" s="27" t="s">
        <v>11122</v>
      </c>
      <c r="H5717" s="27" t="s">
        <v>35</v>
      </c>
      <c r="I5717" s="27" t="s">
        <v>41</v>
      </c>
      <c r="J5717" s="28" t="s">
        <v>399</v>
      </c>
      <c r="K5717" s="27" t="s">
        <v>37</v>
      </c>
      <c r="L5717" s="27"/>
    </row>
    <row r="5718" customFormat="false" ht="15" hidden="false" customHeight="false" outlineLevel="0" collapsed="false">
      <c r="A5718" s="26" t="s">
        <v>16373</v>
      </c>
      <c r="B5718" s="27" t="s">
        <v>16374</v>
      </c>
      <c r="C5718" s="27" t="s">
        <v>144</v>
      </c>
      <c r="D5718" s="26"/>
      <c r="E5718" s="27"/>
      <c r="F5718" s="27"/>
      <c r="G5718" s="27" t="s">
        <v>11122</v>
      </c>
      <c r="H5718" s="27" t="s">
        <v>35</v>
      </c>
      <c r="I5718" s="27" t="s">
        <v>41</v>
      </c>
      <c r="J5718" s="28" t="s">
        <v>399</v>
      </c>
      <c r="K5718" s="27" t="s">
        <v>37</v>
      </c>
      <c r="L5718" s="27"/>
    </row>
    <row r="5719" customFormat="false" ht="15" hidden="false" customHeight="false" outlineLevel="0" collapsed="false">
      <c r="A5719" s="26" t="s">
        <v>16375</v>
      </c>
      <c r="B5719" s="27" t="s">
        <v>16376</v>
      </c>
      <c r="C5719" s="27" t="s">
        <v>144</v>
      </c>
      <c r="D5719" s="26"/>
      <c r="E5719" s="27"/>
      <c r="F5719" s="27"/>
      <c r="G5719" s="27" t="s">
        <v>11122</v>
      </c>
      <c r="H5719" s="27" t="s">
        <v>35</v>
      </c>
      <c r="I5719" s="27" t="s">
        <v>41</v>
      </c>
      <c r="J5719" s="28" t="s">
        <v>399</v>
      </c>
      <c r="K5719" s="27" t="s">
        <v>37</v>
      </c>
      <c r="L5719" s="27"/>
    </row>
    <row r="5720" customFormat="false" ht="15" hidden="false" customHeight="false" outlineLevel="0" collapsed="false">
      <c r="A5720" s="26" t="s">
        <v>16377</v>
      </c>
      <c r="B5720" s="27" t="s">
        <v>16378</v>
      </c>
      <c r="C5720" s="27" t="s">
        <v>144</v>
      </c>
      <c r="D5720" s="26"/>
      <c r="E5720" s="27"/>
      <c r="F5720" s="27"/>
      <c r="G5720" s="27" t="s">
        <v>11122</v>
      </c>
      <c r="H5720" s="27" t="s">
        <v>35</v>
      </c>
      <c r="I5720" s="27" t="s">
        <v>41</v>
      </c>
      <c r="J5720" s="28" t="s">
        <v>399</v>
      </c>
      <c r="K5720" s="27" t="s">
        <v>37</v>
      </c>
      <c r="L5720" s="27"/>
    </row>
    <row r="5721" customFormat="false" ht="15" hidden="false" customHeight="false" outlineLevel="0" collapsed="false">
      <c r="A5721" s="26" t="s">
        <v>16379</v>
      </c>
      <c r="B5721" s="27" t="s">
        <v>16380</v>
      </c>
      <c r="C5721" s="27" t="s">
        <v>144</v>
      </c>
      <c r="D5721" s="26"/>
      <c r="E5721" s="27"/>
      <c r="F5721" s="27"/>
      <c r="G5721" s="27" t="s">
        <v>11122</v>
      </c>
      <c r="H5721" s="27" t="s">
        <v>35</v>
      </c>
      <c r="I5721" s="27" t="s">
        <v>41</v>
      </c>
      <c r="J5721" s="28" t="s">
        <v>399</v>
      </c>
      <c r="K5721" s="27" t="s">
        <v>37</v>
      </c>
      <c r="L5721" s="27"/>
    </row>
    <row r="5722" customFormat="false" ht="15" hidden="false" customHeight="false" outlineLevel="0" collapsed="false">
      <c r="A5722" s="26" t="s">
        <v>16381</v>
      </c>
      <c r="B5722" s="27" t="s">
        <v>16382</v>
      </c>
      <c r="C5722" s="27" t="s">
        <v>144</v>
      </c>
      <c r="D5722" s="26"/>
      <c r="E5722" s="27"/>
      <c r="F5722" s="27"/>
      <c r="G5722" s="27" t="s">
        <v>11122</v>
      </c>
      <c r="H5722" s="27" t="s">
        <v>35</v>
      </c>
      <c r="I5722" s="27" t="s">
        <v>41</v>
      </c>
      <c r="J5722" s="28" t="s">
        <v>399</v>
      </c>
      <c r="K5722" s="27" t="s">
        <v>37</v>
      </c>
      <c r="L5722" s="27"/>
    </row>
    <row r="5723" customFormat="false" ht="15" hidden="false" customHeight="false" outlineLevel="0" collapsed="false">
      <c r="A5723" s="26" t="s">
        <v>16383</v>
      </c>
      <c r="B5723" s="27" t="s">
        <v>16384</v>
      </c>
      <c r="C5723" s="27" t="s">
        <v>144</v>
      </c>
      <c r="D5723" s="26"/>
      <c r="E5723" s="27"/>
      <c r="F5723" s="27"/>
      <c r="G5723" s="27" t="s">
        <v>11122</v>
      </c>
      <c r="H5723" s="27" t="s">
        <v>35</v>
      </c>
      <c r="I5723" s="27" t="s">
        <v>41</v>
      </c>
      <c r="J5723" s="28" t="s">
        <v>399</v>
      </c>
      <c r="K5723" s="27" t="s">
        <v>37</v>
      </c>
      <c r="L5723" s="27"/>
    </row>
    <row r="5724" customFormat="false" ht="15" hidden="false" customHeight="false" outlineLevel="0" collapsed="false">
      <c r="A5724" s="26" t="s">
        <v>16385</v>
      </c>
      <c r="B5724" s="27" t="s">
        <v>16386</v>
      </c>
      <c r="C5724" s="27" t="s">
        <v>144</v>
      </c>
      <c r="D5724" s="26"/>
      <c r="E5724" s="27"/>
      <c r="F5724" s="27"/>
      <c r="G5724" s="27" t="s">
        <v>11122</v>
      </c>
      <c r="H5724" s="27" t="s">
        <v>35</v>
      </c>
      <c r="I5724" s="27" t="s">
        <v>41</v>
      </c>
      <c r="J5724" s="28" t="s">
        <v>399</v>
      </c>
      <c r="K5724" s="27" t="s">
        <v>37</v>
      </c>
      <c r="L5724" s="27"/>
    </row>
    <row r="5725" customFormat="false" ht="15" hidden="false" customHeight="false" outlineLevel="0" collapsed="false">
      <c r="A5725" s="26" t="s">
        <v>16387</v>
      </c>
      <c r="B5725" s="27" t="s">
        <v>16388</v>
      </c>
      <c r="C5725" s="27" t="s">
        <v>144</v>
      </c>
      <c r="D5725" s="26"/>
      <c r="E5725" s="27"/>
      <c r="F5725" s="27"/>
      <c r="G5725" s="27" t="s">
        <v>11122</v>
      </c>
      <c r="H5725" s="27" t="s">
        <v>35</v>
      </c>
      <c r="I5725" s="27" t="s">
        <v>41</v>
      </c>
      <c r="J5725" s="28" t="s">
        <v>399</v>
      </c>
      <c r="K5725" s="27" t="s">
        <v>37</v>
      </c>
      <c r="L5725" s="27"/>
    </row>
    <row r="5726" customFormat="false" ht="15" hidden="false" customHeight="false" outlineLevel="0" collapsed="false">
      <c r="A5726" s="26" t="s">
        <v>16389</v>
      </c>
      <c r="B5726" s="27" t="s">
        <v>16390</v>
      </c>
      <c r="C5726" s="27" t="s">
        <v>144</v>
      </c>
      <c r="D5726" s="26"/>
      <c r="E5726" s="27"/>
      <c r="F5726" s="27"/>
      <c r="G5726" s="27" t="s">
        <v>11122</v>
      </c>
      <c r="H5726" s="27" t="s">
        <v>35</v>
      </c>
      <c r="I5726" s="27" t="s">
        <v>41</v>
      </c>
      <c r="J5726" s="28" t="s">
        <v>399</v>
      </c>
      <c r="K5726" s="27" t="s">
        <v>37</v>
      </c>
      <c r="L5726" s="27"/>
    </row>
    <row r="5727" customFormat="false" ht="15" hidden="false" customHeight="false" outlineLevel="0" collapsed="false">
      <c r="A5727" s="26" t="s">
        <v>16391</v>
      </c>
      <c r="B5727" s="27" t="s">
        <v>16392</v>
      </c>
      <c r="C5727" s="27" t="s">
        <v>144</v>
      </c>
      <c r="D5727" s="26"/>
      <c r="E5727" s="27"/>
      <c r="F5727" s="27"/>
      <c r="G5727" s="27" t="s">
        <v>11122</v>
      </c>
      <c r="H5727" s="27" t="s">
        <v>35</v>
      </c>
      <c r="I5727" s="27" t="s">
        <v>41</v>
      </c>
      <c r="J5727" s="28" t="s">
        <v>399</v>
      </c>
      <c r="K5727" s="27" t="s">
        <v>37</v>
      </c>
      <c r="L5727" s="27"/>
    </row>
    <row r="5728" customFormat="false" ht="15" hidden="false" customHeight="false" outlineLevel="0" collapsed="false">
      <c r="A5728" s="26" t="s">
        <v>16393</v>
      </c>
      <c r="B5728" s="27" t="s">
        <v>16394</v>
      </c>
      <c r="C5728" s="27" t="s">
        <v>144</v>
      </c>
      <c r="D5728" s="26"/>
      <c r="E5728" s="27"/>
      <c r="F5728" s="27"/>
      <c r="G5728" s="27" t="s">
        <v>11122</v>
      </c>
      <c r="H5728" s="27" t="s">
        <v>35</v>
      </c>
      <c r="I5728" s="27" t="s">
        <v>37</v>
      </c>
      <c r="J5728" s="28" t="s">
        <v>399</v>
      </c>
      <c r="K5728" s="27" t="s">
        <v>37</v>
      </c>
      <c r="L5728" s="27"/>
    </row>
    <row r="5729" customFormat="false" ht="15" hidden="false" customHeight="false" outlineLevel="0" collapsed="false">
      <c r="A5729" s="26" t="s">
        <v>16395</v>
      </c>
      <c r="B5729" s="27" t="s">
        <v>16396</v>
      </c>
      <c r="C5729" s="27" t="s">
        <v>144</v>
      </c>
      <c r="D5729" s="26"/>
      <c r="E5729" s="27"/>
      <c r="F5729" s="27"/>
      <c r="G5729" s="27" t="s">
        <v>11122</v>
      </c>
      <c r="H5729" s="27" t="s">
        <v>35</v>
      </c>
      <c r="I5729" s="27" t="s">
        <v>41</v>
      </c>
      <c r="J5729" s="28" t="s">
        <v>399</v>
      </c>
      <c r="K5729" s="27" t="s">
        <v>37</v>
      </c>
      <c r="L5729" s="27"/>
    </row>
    <row r="5730" customFormat="false" ht="15" hidden="false" customHeight="false" outlineLevel="0" collapsed="false">
      <c r="A5730" s="26" t="s">
        <v>16397</v>
      </c>
      <c r="B5730" s="27" t="s">
        <v>16398</v>
      </c>
      <c r="C5730" s="27" t="s">
        <v>144</v>
      </c>
      <c r="D5730" s="26"/>
      <c r="E5730" s="27"/>
      <c r="F5730" s="27"/>
      <c r="G5730" s="27" t="s">
        <v>11122</v>
      </c>
      <c r="H5730" s="27" t="s">
        <v>35</v>
      </c>
      <c r="I5730" s="27" t="s">
        <v>41</v>
      </c>
      <c r="J5730" s="28" t="s">
        <v>399</v>
      </c>
      <c r="K5730" s="27" t="s">
        <v>37</v>
      </c>
      <c r="L5730" s="27"/>
    </row>
    <row r="5731" customFormat="false" ht="15" hidden="false" customHeight="false" outlineLevel="0" collapsed="false">
      <c r="A5731" s="26" t="s">
        <v>16399</v>
      </c>
      <c r="B5731" s="27" t="s">
        <v>16400</v>
      </c>
      <c r="C5731" s="27" t="s">
        <v>144</v>
      </c>
      <c r="D5731" s="26"/>
      <c r="E5731" s="27"/>
      <c r="F5731" s="27"/>
      <c r="G5731" s="27" t="s">
        <v>11122</v>
      </c>
      <c r="H5731" s="27" t="s">
        <v>35</v>
      </c>
      <c r="I5731" s="27" t="s">
        <v>41</v>
      </c>
      <c r="J5731" s="28" t="s">
        <v>399</v>
      </c>
      <c r="K5731" s="27" t="s">
        <v>37</v>
      </c>
      <c r="L5731" s="27"/>
    </row>
    <row r="5732" customFormat="false" ht="15" hidden="false" customHeight="false" outlineLevel="0" collapsed="false">
      <c r="A5732" s="26" t="s">
        <v>16401</v>
      </c>
      <c r="B5732" s="27" t="s">
        <v>16402</v>
      </c>
      <c r="C5732" s="27" t="s">
        <v>144</v>
      </c>
      <c r="D5732" s="26"/>
      <c r="E5732" s="27"/>
      <c r="F5732" s="27"/>
      <c r="G5732" s="27" t="s">
        <v>11122</v>
      </c>
      <c r="H5732" s="27" t="s">
        <v>35</v>
      </c>
      <c r="I5732" s="27" t="s">
        <v>41</v>
      </c>
      <c r="J5732" s="28" t="s">
        <v>399</v>
      </c>
      <c r="K5732" s="27" t="s">
        <v>37</v>
      </c>
      <c r="L5732" s="27"/>
    </row>
    <row r="5733" customFormat="false" ht="15" hidden="false" customHeight="false" outlineLevel="0" collapsed="false">
      <c r="A5733" s="26" t="s">
        <v>16403</v>
      </c>
      <c r="B5733" s="27" t="s">
        <v>16404</v>
      </c>
      <c r="C5733" s="27" t="s">
        <v>144</v>
      </c>
      <c r="D5733" s="26"/>
      <c r="E5733" s="27"/>
      <c r="F5733" s="27"/>
      <c r="G5733" s="27" t="s">
        <v>11122</v>
      </c>
      <c r="H5733" s="27" t="s">
        <v>35</v>
      </c>
      <c r="I5733" s="27" t="s">
        <v>38</v>
      </c>
      <c r="J5733" s="28" t="s">
        <v>399</v>
      </c>
      <c r="K5733" s="27" t="s">
        <v>37</v>
      </c>
      <c r="L5733" s="27"/>
    </row>
    <row r="5734" customFormat="false" ht="15" hidden="false" customHeight="false" outlineLevel="0" collapsed="false">
      <c r="A5734" s="26" t="s">
        <v>16405</v>
      </c>
      <c r="B5734" s="27" t="s">
        <v>16406</v>
      </c>
      <c r="C5734" s="27" t="s">
        <v>144</v>
      </c>
      <c r="D5734" s="26"/>
      <c r="E5734" s="27"/>
      <c r="F5734" s="27"/>
      <c r="G5734" s="27" t="s">
        <v>11122</v>
      </c>
      <c r="H5734" s="27" t="s">
        <v>35</v>
      </c>
      <c r="I5734" s="27" t="s">
        <v>41</v>
      </c>
      <c r="J5734" s="28" t="s">
        <v>399</v>
      </c>
      <c r="K5734" s="27" t="s">
        <v>37</v>
      </c>
      <c r="L5734" s="27"/>
    </row>
    <row r="5735" customFormat="false" ht="15" hidden="false" customHeight="false" outlineLevel="0" collapsed="false">
      <c r="A5735" s="26" t="s">
        <v>16407</v>
      </c>
      <c r="B5735" s="27" t="s">
        <v>16408</v>
      </c>
      <c r="C5735" s="27" t="s">
        <v>144</v>
      </c>
      <c r="D5735" s="26"/>
      <c r="E5735" s="27"/>
      <c r="F5735" s="27"/>
      <c r="G5735" s="27" t="s">
        <v>11122</v>
      </c>
      <c r="H5735" s="27" t="s">
        <v>35</v>
      </c>
      <c r="I5735" s="27" t="s">
        <v>41</v>
      </c>
      <c r="J5735" s="28" t="s">
        <v>399</v>
      </c>
      <c r="K5735" s="27" t="s">
        <v>37</v>
      </c>
      <c r="L5735" s="27"/>
    </row>
    <row r="5736" customFormat="false" ht="15" hidden="false" customHeight="false" outlineLevel="0" collapsed="false">
      <c r="A5736" s="26" t="s">
        <v>16409</v>
      </c>
      <c r="B5736" s="27" t="s">
        <v>16410</v>
      </c>
      <c r="C5736" s="27" t="s">
        <v>144</v>
      </c>
      <c r="D5736" s="26"/>
      <c r="E5736" s="27"/>
      <c r="F5736" s="27"/>
      <c r="G5736" s="27" t="s">
        <v>11122</v>
      </c>
      <c r="H5736" s="27" t="s">
        <v>35</v>
      </c>
      <c r="I5736" s="27" t="s">
        <v>40</v>
      </c>
      <c r="J5736" s="28" t="s">
        <v>399</v>
      </c>
      <c r="K5736" s="27" t="s">
        <v>37</v>
      </c>
      <c r="L5736" s="27"/>
    </row>
    <row r="5737" customFormat="false" ht="15" hidden="false" customHeight="false" outlineLevel="0" collapsed="false">
      <c r="A5737" s="26" t="s">
        <v>16411</v>
      </c>
      <c r="B5737" s="27" t="s">
        <v>16412</v>
      </c>
      <c r="C5737" s="27" t="s">
        <v>144</v>
      </c>
      <c r="D5737" s="26"/>
      <c r="E5737" s="27"/>
      <c r="F5737" s="27"/>
      <c r="G5737" s="27" t="s">
        <v>11122</v>
      </c>
      <c r="H5737" s="27" t="s">
        <v>35</v>
      </c>
      <c r="I5737" s="27" t="s">
        <v>38</v>
      </c>
      <c r="J5737" s="28" t="s">
        <v>399</v>
      </c>
      <c r="K5737" s="27" t="s">
        <v>37</v>
      </c>
      <c r="L5737" s="27"/>
    </row>
    <row r="5738" customFormat="false" ht="15" hidden="false" customHeight="false" outlineLevel="0" collapsed="false">
      <c r="A5738" s="26" t="s">
        <v>16413</v>
      </c>
      <c r="B5738" s="27" t="s">
        <v>16414</v>
      </c>
      <c r="C5738" s="27" t="s">
        <v>144</v>
      </c>
      <c r="D5738" s="26"/>
      <c r="E5738" s="27"/>
      <c r="F5738" s="27"/>
      <c r="G5738" s="27" t="s">
        <v>11122</v>
      </c>
      <c r="H5738" s="27" t="s">
        <v>35</v>
      </c>
      <c r="I5738" s="27" t="s">
        <v>41</v>
      </c>
      <c r="J5738" s="28" t="s">
        <v>399</v>
      </c>
      <c r="K5738" s="27" t="s">
        <v>37</v>
      </c>
      <c r="L5738" s="27"/>
    </row>
    <row r="5739" customFormat="false" ht="15" hidden="false" customHeight="false" outlineLevel="0" collapsed="false">
      <c r="A5739" s="26" t="s">
        <v>16415</v>
      </c>
      <c r="B5739" s="27" t="s">
        <v>16416</v>
      </c>
      <c r="C5739" s="27" t="s">
        <v>144</v>
      </c>
      <c r="D5739" s="26"/>
      <c r="E5739" s="27"/>
      <c r="F5739" s="27"/>
      <c r="G5739" s="27" t="s">
        <v>11122</v>
      </c>
      <c r="H5739" s="27" t="s">
        <v>35</v>
      </c>
      <c r="I5739" s="27" t="s">
        <v>37</v>
      </c>
      <c r="J5739" s="28" t="s">
        <v>399</v>
      </c>
      <c r="K5739" s="27" t="s">
        <v>37</v>
      </c>
      <c r="L5739" s="27"/>
    </row>
    <row r="5740" customFormat="false" ht="15" hidden="false" customHeight="false" outlineLevel="0" collapsed="false">
      <c r="A5740" s="26" t="s">
        <v>16417</v>
      </c>
      <c r="B5740" s="27" t="s">
        <v>16418</v>
      </c>
      <c r="C5740" s="27" t="s">
        <v>144</v>
      </c>
      <c r="D5740" s="26"/>
      <c r="E5740" s="27"/>
      <c r="F5740" s="27"/>
      <c r="G5740" s="27" t="s">
        <v>11122</v>
      </c>
      <c r="H5740" s="27" t="s">
        <v>35</v>
      </c>
      <c r="I5740" s="27" t="s">
        <v>40</v>
      </c>
      <c r="J5740" s="28" t="s">
        <v>399</v>
      </c>
      <c r="K5740" s="27" t="s">
        <v>37</v>
      </c>
      <c r="L5740" s="27"/>
    </row>
    <row r="5741" customFormat="false" ht="15" hidden="false" customHeight="false" outlineLevel="0" collapsed="false">
      <c r="A5741" s="26" t="s">
        <v>16419</v>
      </c>
      <c r="B5741" s="27" t="s">
        <v>16420</v>
      </c>
      <c r="C5741" s="27" t="s">
        <v>144</v>
      </c>
      <c r="D5741" s="26"/>
      <c r="E5741" s="27"/>
      <c r="F5741" s="27"/>
      <c r="G5741" s="27" t="s">
        <v>11122</v>
      </c>
      <c r="H5741" s="27" t="s">
        <v>35</v>
      </c>
      <c r="I5741" s="27" t="s">
        <v>41</v>
      </c>
      <c r="J5741" s="28" t="s">
        <v>399</v>
      </c>
      <c r="K5741" s="27" t="s">
        <v>37</v>
      </c>
      <c r="L5741" s="27"/>
    </row>
    <row r="5742" customFormat="false" ht="15" hidden="false" customHeight="false" outlineLevel="0" collapsed="false">
      <c r="A5742" s="26" t="s">
        <v>16421</v>
      </c>
      <c r="B5742" s="27" t="s">
        <v>16422</v>
      </c>
      <c r="C5742" s="27" t="s">
        <v>144</v>
      </c>
      <c r="D5742" s="26"/>
      <c r="E5742" s="27"/>
      <c r="F5742" s="27"/>
      <c r="G5742" s="27" t="s">
        <v>11122</v>
      </c>
      <c r="H5742" s="27" t="s">
        <v>35</v>
      </c>
      <c r="I5742" s="27" t="s">
        <v>41</v>
      </c>
      <c r="J5742" s="28" t="s">
        <v>399</v>
      </c>
      <c r="K5742" s="27" t="s">
        <v>37</v>
      </c>
      <c r="L5742" s="27"/>
    </row>
    <row r="5743" customFormat="false" ht="15" hidden="false" customHeight="false" outlineLevel="0" collapsed="false">
      <c r="A5743" s="26" t="s">
        <v>16423</v>
      </c>
      <c r="B5743" s="27" t="s">
        <v>16424</v>
      </c>
      <c r="C5743" s="27" t="s">
        <v>144</v>
      </c>
      <c r="D5743" s="26"/>
      <c r="E5743" s="27"/>
      <c r="F5743" s="27"/>
      <c r="G5743" s="27" t="s">
        <v>11122</v>
      </c>
      <c r="H5743" s="27" t="s">
        <v>35</v>
      </c>
      <c r="I5743" s="27" t="s">
        <v>41</v>
      </c>
      <c r="J5743" s="28" t="s">
        <v>399</v>
      </c>
      <c r="K5743" s="27" t="s">
        <v>37</v>
      </c>
      <c r="L5743" s="27"/>
    </row>
    <row r="5744" customFormat="false" ht="15" hidden="false" customHeight="false" outlineLevel="0" collapsed="false">
      <c r="A5744" s="26" t="s">
        <v>16425</v>
      </c>
      <c r="B5744" s="27" t="s">
        <v>16426</v>
      </c>
      <c r="C5744" s="27" t="s">
        <v>144</v>
      </c>
      <c r="D5744" s="26"/>
      <c r="E5744" s="27"/>
      <c r="F5744" s="27"/>
      <c r="G5744" s="27" t="s">
        <v>11122</v>
      </c>
      <c r="H5744" s="27" t="s">
        <v>35</v>
      </c>
      <c r="I5744" s="27" t="s">
        <v>41</v>
      </c>
      <c r="J5744" s="28" t="s">
        <v>399</v>
      </c>
      <c r="K5744" s="27" t="s">
        <v>37</v>
      </c>
      <c r="L5744" s="27"/>
    </row>
    <row r="5745" customFormat="false" ht="15" hidden="false" customHeight="false" outlineLevel="0" collapsed="false">
      <c r="A5745" s="26" t="s">
        <v>16427</v>
      </c>
      <c r="B5745" s="27" t="s">
        <v>16428</v>
      </c>
      <c r="C5745" s="27" t="s">
        <v>144</v>
      </c>
      <c r="D5745" s="26"/>
      <c r="E5745" s="27"/>
      <c r="F5745" s="27"/>
      <c r="G5745" s="27" t="s">
        <v>11122</v>
      </c>
      <c r="H5745" s="27" t="s">
        <v>35</v>
      </c>
      <c r="I5745" s="27" t="s">
        <v>40</v>
      </c>
      <c r="J5745" s="28" t="s">
        <v>399</v>
      </c>
      <c r="K5745" s="27" t="s">
        <v>37</v>
      </c>
      <c r="L5745" s="27"/>
    </row>
    <row r="5746" customFormat="false" ht="15" hidden="false" customHeight="false" outlineLevel="0" collapsed="false">
      <c r="A5746" s="26" t="s">
        <v>16429</v>
      </c>
      <c r="B5746" s="27" t="s">
        <v>16430</v>
      </c>
      <c r="C5746" s="27" t="s">
        <v>370</v>
      </c>
      <c r="D5746" s="26"/>
      <c r="E5746" s="27"/>
      <c r="F5746" s="27"/>
      <c r="G5746" s="27" t="s">
        <v>11122</v>
      </c>
      <c r="H5746" s="27" t="s">
        <v>35</v>
      </c>
      <c r="I5746" s="27" t="s">
        <v>41</v>
      </c>
      <c r="J5746" s="28" t="s">
        <v>399</v>
      </c>
      <c r="K5746" s="27" t="s">
        <v>37</v>
      </c>
      <c r="L5746" s="27"/>
    </row>
    <row r="5747" customFormat="false" ht="15" hidden="false" customHeight="false" outlineLevel="0" collapsed="false">
      <c r="A5747" s="26" t="s">
        <v>16431</v>
      </c>
      <c r="B5747" s="27" t="s">
        <v>16432</v>
      </c>
      <c r="C5747" s="27" t="s">
        <v>144</v>
      </c>
      <c r="D5747" s="26"/>
      <c r="E5747" s="27"/>
      <c r="F5747" s="27"/>
      <c r="G5747" s="27" t="s">
        <v>11122</v>
      </c>
      <c r="H5747" s="27" t="s">
        <v>35</v>
      </c>
      <c r="I5747" s="27" t="s">
        <v>37</v>
      </c>
      <c r="J5747" s="28" t="s">
        <v>399</v>
      </c>
      <c r="K5747" s="27" t="s">
        <v>37</v>
      </c>
      <c r="L5747" s="27"/>
    </row>
    <row r="5748" customFormat="false" ht="15" hidden="false" customHeight="false" outlineLevel="0" collapsed="false">
      <c r="A5748" s="26" t="s">
        <v>16433</v>
      </c>
      <c r="B5748" s="27" t="s">
        <v>16434</v>
      </c>
      <c r="C5748" s="27" t="s">
        <v>144</v>
      </c>
      <c r="D5748" s="26"/>
      <c r="E5748" s="27"/>
      <c r="F5748" s="27"/>
      <c r="G5748" s="27" t="s">
        <v>11122</v>
      </c>
      <c r="H5748" s="27" t="s">
        <v>35</v>
      </c>
      <c r="I5748" s="27" t="s">
        <v>41</v>
      </c>
      <c r="J5748" s="28" t="s">
        <v>399</v>
      </c>
      <c r="K5748" s="27" t="s">
        <v>37</v>
      </c>
      <c r="L5748" s="27"/>
    </row>
    <row r="5749" customFormat="false" ht="15" hidden="false" customHeight="false" outlineLevel="0" collapsed="false">
      <c r="A5749" s="26" t="s">
        <v>16435</v>
      </c>
      <c r="B5749" s="27" t="s">
        <v>16436</v>
      </c>
      <c r="C5749" s="27" t="s">
        <v>3373</v>
      </c>
      <c r="D5749" s="26"/>
      <c r="E5749" s="27"/>
      <c r="F5749" s="27"/>
      <c r="G5749" s="27" t="s">
        <v>11122</v>
      </c>
      <c r="H5749" s="27" t="s">
        <v>35</v>
      </c>
      <c r="I5749" s="27" t="s">
        <v>41</v>
      </c>
      <c r="J5749" s="28" t="s">
        <v>399</v>
      </c>
      <c r="K5749" s="27" t="s">
        <v>37</v>
      </c>
      <c r="L5749" s="27"/>
    </row>
    <row r="5750" customFormat="false" ht="15" hidden="false" customHeight="false" outlineLevel="0" collapsed="false">
      <c r="A5750" s="26" t="s">
        <v>16437</v>
      </c>
      <c r="B5750" s="27" t="s">
        <v>16438</v>
      </c>
      <c r="C5750" s="27" t="s">
        <v>144</v>
      </c>
      <c r="D5750" s="26"/>
      <c r="E5750" s="27"/>
      <c r="F5750" s="27"/>
      <c r="G5750" s="27" t="s">
        <v>11122</v>
      </c>
      <c r="H5750" s="27" t="s">
        <v>35</v>
      </c>
      <c r="I5750" s="27" t="s">
        <v>37</v>
      </c>
      <c r="J5750" s="28" t="s">
        <v>399</v>
      </c>
      <c r="K5750" s="27" t="s">
        <v>37</v>
      </c>
      <c r="L5750" s="27"/>
    </row>
    <row r="5751" customFormat="false" ht="15" hidden="false" customHeight="false" outlineLevel="0" collapsed="false">
      <c r="A5751" s="26" t="s">
        <v>16439</v>
      </c>
      <c r="B5751" s="27" t="s">
        <v>16440</v>
      </c>
      <c r="C5751" s="27" t="s">
        <v>144</v>
      </c>
      <c r="D5751" s="26"/>
      <c r="E5751" s="27"/>
      <c r="F5751" s="27"/>
      <c r="G5751" s="27" t="s">
        <v>11122</v>
      </c>
      <c r="H5751" s="27" t="s">
        <v>35</v>
      </c>
      <c r="I5751" s="27" t="s">
        <v>41</v>
      </c>
      <c r="J5751" s="28" t="s">
        <v>399</v>
      </c>
      <c r="K5751" s="27" t="s">
        <v>37</v>
      </c>
      <c r="L5751" s="27"/>
    </row>
    <row r="5752" customFormat="false" ht="15" hidden="false" customHeight="false" outlineLevel="0" collapsed="false">
      <c r="A5752" s="26" t="s">
        <v>16441</v>
      </c>
      <c r="B5752" s="27" t="s">
        <v>16442</v>
      </c>
      <c r="C5752" s="27" t="s">
        <v>144</v>
      </c>
      <c r="D5752" s="26"/>
      <c r="E5752" s="27"/>
      <c r="F5752" s="27"/>
      <c r="G5752" s="27" t="s">
        <v>11122</v>
      </c>
      <c r="H5752" s="27" t="s">
        <v>35</v>
      </c>
      <c r="I5752" s="27" t="s">
        <v>41</v>
      </c>
      <c r="J5752" s="28" t="s">
        <v>399</v>
      </c>
      <c r="K5752" s="27" t="s">
        <v>37</v>
      </c>
      <c r="L5752" s="27"/>
    </row>
    <row r="5753" customFormat="false" ht="15" hidden="false" customHeight="false" outlineLevel="0" collapsed="false">
      <c r="A5753" s="26" t="s">
        <v>16443</v>
      </c>
      <c r="B5753" s="27" t="s">
        <v>16444</v>
      </c>
      <c r="C5753" s="27" t="s">
        <v>144</v>
      </c>
      <c r="D5753" s="26"/>
      <c r="E5753" s="27"/>
      <c r="F5753" s="27"/>
      <c r="G5753" s="27" t="s">
        <v>11122</v>
      </c>
      <c r="H5753" s="27" t="s">
        <v>35</v>
      </c>
      <c r="I5753" s="27" t="s">
        <v>41</v>
      </c>
      <c r="J5753" s="28" t="s">
        <v>399</v>
      </c>
      <c r="K5753" s="27" t="s">
        <v>37</v>
      </c>
      <c r="L5753" s="27"/>
    </row>
    <row r="5754" customFormat="false" ht="15" hidden="false" customHeight="false" outlineLevel="0" collapsed="false">
      <c r="A5754" s="26" t="s">
        <v>16445</v>
      </c>
      <c r="B5754" s="27" t="s">
        <v>16446</v>
      </c>
      <c r="C5754" s="27" t="s">
        <v>144</v>
      </c>
      <c r="D5754" s="26"/>
      <c r="E5754" s="27"/>
      <c r="F5754" s="27"/>
      <c r="G5754" s="27" t="s">
        <v>11122</v>
      </c>
      <c r="H5754" s="27" t="s">
        <v>35</v>
      </c>
      <c r="I5754" s="27" t="s">
        <v>41</v>
      </c>
      <c r="J5754" s="28" t="s">
        <v>399</v>
      </c>
      <c r="K5754" s="27" t="s">
        <v>37</v>
      </c>
      <c r="L5754" s="27"/>
    </row>
    <row r="5755" customFormat="false" ht="15" hidden="false" customHeight="false" outlineLevel="0" collapsed="false">
      <c r="A5755" s="26" t="s">
        <v>16447</v>
      </c>
      <c r="B5755" s="27" t="s">
        <v>16448</v>
      </c>
      <c r="C5755" s="27" t="s">
        <v>144</v>
      </c>
      <c r="D5755" s="26"/>
      <c r="E5755" s="27"/>
      <c r="F5755" s="27"/>
      <c r="G5755" s="27" t="s">
        <v>11122</v>
      </c>
      <c r="H5755" s="27" t="s">
        <v>35</v>
      </c>
      <c r="I5755" s="27" t="s">
        <v>41</v>
      </c>
      <c r="J5755" s="28" t="s">
        <v>399</v>
      </c>
      <c r="K5755" s="27" t="s">
        <v>37</v>
      </c>
      <c r="L5755" s="27"/>
    </row>
    <row r="5756" customFormat="false" ht="15" hidden="false" customHeight="false" outlineLevel="0" collapsed="false">
      <c r="A5756" s="26" t="s">
        <v>16449</v>
      </c>
      <c r="B5756" s="27" t="s">
        <v>16450</v>
      </c>
      <c r="C5756" s="27" t="s">
        <v>144</v>
      </c>
      <c r="D5756" s="26"/>
      <c r="E5756" s="27"/>
      <c r="F5756" s="27"/>
      <c r="G5756" s="27" t="s">
        <v>11122</v>
      </c>
      <c r="H5756" s="27" t="s">
        <v>35</v>
      </c>
      <c r="I5756" s="27" t="s">
        <v>41</v>
      </c>
      <c r="J5756" s="28" t="s">
        <v>399</v>
      </c>
      <c r="K5756" s="27" t="s">
        <v>37</v>
      </c>
      <c r="L5756" s="27"/>
    </row>
    <row r="5757" customFormat="false" ht="15" hidden="false" customHeight="false" outlineLevel="0" collapsed="false">
      <c r="A5757" s="26" t="s">
        <v>16451</v>
      </c>
      <c r="B5757" s="27" t="s">
        <v>16452</v>
      </c>
      <c r="C5757" s="27" t="s">
        <v>144</v>
      </c>
      <c r="D5757" s="26"/>
      <c r="E5757" s="27"/>
      <c r="F5757" s="27"/>
      <c r="G5757" s="27" t="s">
        <v>11122</v>
      </c>
      <c r="H5757" s="27" t="s">
        <v>35</v>
      </c>
      <c r="I5757" s="27" t="s">
        <v>41</v>
      </c>
      <c r="J5757" s="28" t="s">
        <v>399</v>
      </c>
      <c r="K5757" s="27" t="s">
        <v>37</v>
      </c>
      <c r="L5757" s="27"/>
    </row>
    <row r="5758" customFormat="false" ht="15" hidden="false" customHeight="false" outlineLevel="0" collapsed="false">
      <c r="A5758" s="26" t="s">
        <v>16453</v>
      </c>
      <c r="B5758" s="27" t="s">
        <v>16454</v>
      </c>
      <c r="C5758" s="27" t="s">
        <v>144</v>
      </c>
      <c r="D5758" s="26"/>
      <c r="E5758" s="27"/>
      <c r="F5758" s="27"/>
      <c r="G5758" s="27" t="s">
        <v>11122</v>
      </c>
      <c r="H5758" s="27" t="s">
        <v>35</v>
      </c>
      <c r="I5758" s="27" t="s">
        <v>41</v>
      </c>
      <c r="J5758" s="28" t="s">
        <v>399</v>
      </c>
      <c r="K5758" s="27" t="s">
        <v>37</v>
      </c>
      <c r="L5758" s="27"/>
    </row>
    <row r="5759" customFormat="false" ht="15" hidden="false" customHeight="false" outlineLevel="0" collapsed="false">
      <c r="A5759" s="26" t="s">
        <v>16455</v>
      </c>
      <c r="B5759" s="27" t="s">
        <v>16456</v>
      </c>
      <c r="C5759" s="27" t="s">
        <v>144</v>
      </c>
      <c r="D5759" s="26"/>
      <c r="E5759" s="27"/>
      <c r="F5759" s="27"/>
      <c r="G5759" s="27" t="s">
        <v>11122</v>
      </c>
      <c r="H5759" s="27" t="s">
        <v>35</v>
      </c>
      <c r="I5759" s="27" t="s">
        <v>41</v>
      </c>
      <c r="J5759" s="28" t="s">
        <v>399</v>
      </c>
      <c r="K5759" s="27" t="s">
        <v>37</v>
      </c>
      <c r="L5759" s="27"/>
    </row>
    <row r="5760" customFormat="false" ht="15" hidden="false" customHeight="false" outlineLevel="0" collapsed="false">
      <c r="A5760" s="26" t="s">
        <v>16457</v>
      </c>
      <c r="B5760" s="27" t="s">
        <v>16458</v>
      </c>
      <c r="C5760" s="27" t="s">
        <v>144</v>
      </c>
      <c r="D5760" s="26"/>
      <c r="E5760" s="27"/>
      <c r="F5760" s="27"/>
      <c r="G5760" s="27" t="s">
        <v>11122</v>
      </c>
      <c r="H5760" s="27" t="s">
        <v>35</v>
      </c>
      <c r="I5760" s="27" t="s">
        <v>41</v>
      </c>
      <c r="J5760" s="28" t="s">
        <v>399</v>
      </c>
      <c r="K5760" s="27" t="s">
        <v>37</v>
      </c>
      <c r="L5760" s="27"/>
    </row>
    <row r="5761" customFormat="false" ht="15" hidden="false" customHeight="false" outlineLevel="0" collapsed="false">
      <c r="A5761" s="26" t="s">
        <v>16459</v>
      </c>
      <c r="B5761" s="27" t="s">
        <v>16460</v>
      </c>
      <c r="C5761" s="27" t="s">
        <v>144</v>
      </c>
      <c r="D5761" s="26"/>
      <c r="E5761" s="27"/>
      <c r="F5761" s="27"/>
      <c r="G5761" s="27" t="s">
        <v>11122</v>
      </c>
      <c r="H5761" s="27" t="s">
        <v>35</v>
      </c>
      <c r="I5761" s="27" t="s">
        <v>41</v>
      </c>
      <c r="J5761" s="28" t="s">
        <v>399</v>
      </c>
      <c r="K5761" s="27" t="s">
        <v>37</v>
      </c>
      <c r="L5761" s="27"/>
    </row>
    <row r="5762" customFormat="false" ht="15" hidden="false" customHeight="false" outlineLevel="0" collapsed="false">
      <c r="A5762" s="26" t="s">
        <v>16461</v>
      </c>
      <c r="B5762" s="27" t="s">
        <v>16462</v>
      </c>
      <c r="C5762" s="27" t="s">
        <v>3373</v>
      </c>
      <c r="D5762" s="26"/>
      <c r="E5762" s="27"/>
      <c r="F5762" s="27"/>
      <c r="G5762" s="27" t="s">
        <v>11122</v>
      </c>
      <c r="H5762" s="27" t="s">
        <v>35</v>
      </c>
      <c r="I5762" s="27" t="s">
        <v>41</v>
      </c>
      <c r="J5762" s="28" t="s">
        <v>399</v>
      </c>
      <c r="K5762" s="27" t="s">
        <v>37</v>
      </c>
      <c r="L5762" s="27"/>
    </row>
    <row r="5763" customFormat="false" ht="15" hidden="false" customHeight="false" outlineLevel="0" collapsed="false">
      <c r="A5763" s="26" t="s">
        <v>16463</v>
      </c>
      <c r="B5763" s="27" t="s">
        <v>16464</v>
      </c>
      <c r="C5763" s="27" t="s">
        <v>3373</v>
      </c>
      <c r="D5763" s="26"/>
      <c r="E5763" s="27"/>
      <c r="F5763" s="27"/>
      <c r="G5763" s="27" t="s">
        <v>11122</v>
      </c>
      <c r="H5763" s="27" t="s">
        <v>35</v>
      </c>
      <c r="I5763" s="27" t="s">
        <v>41</v>
      </c>
      <c r="J5763" s="28" t="s">
        <v>399</v>
      </c>
      <c r="K5763" s="27" t="s">
        <v>37</v>
      </c>
      <c r="L5763" s="27"/>
    </row>
    <row r="5764" customFormat="false" ht="15" hidden="false" customHeight="false" outlineLevel="0" collapsed="false">
      <c r="A5764" s="26" t="s">
        <v>16465</v>
      </c>
      <c r="B5764" s="27" t="s">
        <v>16466</v>
      </c>
      <c r="C5764" s="27" t="s">
        <v>3373</v>
      </c>
      <c r="D5764" s="26"/>
      <c r="E5764" s="27"/>
      <c r="F5764" s="27"/>
      <c r="G5764" s="27" t="s">
        <v>11122</v>
      </c>
      <c r="H5764" s="27" t="s">
        <v>35</v>
      </c>
      <c r="I5764" s="27" t="s">
        <v>41</v>
      </c>
      <c r="J5764" s="28" t="s">
        <v>399</v>
      </c>
      <c r="K5764" s="27" t="s">
        <v>37</v>
      </c>
      <c r="L5764" s="27"/>
    </row>
    <row r="5765" customFormat="false" ht="15" hidden="false" customHeight="false" outlineLevel="0" collapsed="false">
      <c r="A5765" s="26" t="s">
        <v>16467</v>
      </c>
      <c r="B5765" s="27" t="s">
        <v>16468</v>
      </c>
      <c r="C5765" s="27" t="s">
        <v>3373</v>
      </c>
      <c r="D5765" s="26"/>
      <c r="E5765" s="27"/>
      <c r="F5765" s="27"/>
      <c r="G5765" s="27" t="s">
        <v>11122</v>
      </c>
      <c r="H5765" s="27" t="s">
        <v>35</v>
      </c>
      <c r="I5765" s="27" t="s">
        <v>41</v>
      </c>
      <c r="J5765" s="28" t="s">
        <v>399</v>
      </c>
      <c r="K5765" s="27" t="s">
        <v>37</v>
      </c>
      <c r="L5765" s="27"/>
    </row>
    <row r="5766" customFormat="false" ht="15" hidden="false" customHeight="false" outlineLevel="0" collapsed="false">
      <c r="A5766" s="26" t="s">
        <v>16469</v>
      </c>
      <c r="B5766" s="27" t="s">
        <v>16470</v>
      </c>
      <c r="C5766" s="27" t="s">
        <v>144</v>
      </c>
      <c r="D5766" s="26"/>
      <c r="E5766" s="27"/>
      <c r="F5766" s="27"/>
      <c r="G5766" s="27" t="s">
        <v>11122</v>
      </c>
      <c r="H5766" s="27" t="s">
        <v>35</v>
      </c>
      <c r="I5766" s="27" t="s">
        <v>37</v>
      </c>
      <c r="J5766" s="28" t="s">
        <v>399</v>
      </c>
      <c r="K5766" s="27" t="s">
        <v>37</v>
      </c>
      <c r="L5766" s="27"/>
    </row>
    <row r="5767" customFormat="false" ht="15" hidden="false" customHeight="false" outlineLevel="0" collapsed="false">
      <c r="A5767" s="26" t="s">
        <v>16471</v>
      </c>
      <c r="B5767" s="27" t="s">
        <v>16472</v>
      </c>
      <c r="C5767" s="27" t="s">
        <v>144</v>
      </c>
      <c r="D5767" s="26"/>
      <c r="E5767" s="27"/>
      <c r="F5767" s="27"/>
      <c r="G5767" s="27" t="s">
        <v>11122</v>
      </c>
      <c r="H5767" s="27" t="s">
        <v>35</v>
      </c>
      <c r="I5767" s="27" t="s">
        <v>47</v>
      </c>
      <c r="J5767" s="28" t="s">
        <v>399</v>
      </c>
      <c r="K5767" s="27" t="s">
        <v>37</v>
      </c>
      <c r="L5767" s="27"/>
    </row>
    <row r="5768" customFormat="false" ht="15" hidden="false" customHeight="false" outlineLevel="0" collapsed="false">
      <c r="A5768" s="26" t="s">
        <v>16473</v>
      </c>
      <c r="B5768" s="27" t="s">
        <v>16474</v>
      </c>
      <c r="C5768" s="27" t="s">
        <v>144</v>
      </c>
      <c r="D5768" s="26"/>
      <c r="E5768" s="27"/>
      <c r="F5768" s="27"/>
      <c r="G5768" s="27" t="s">
        <v>11122</v>
      </c>
      <c r="H5768" s="27" t="s">
        <v>35</v>
      </c>
      <c r="I5768" s="27" t="s">
        <v>41</v>
      </c>
      <c r="J5768" s="28" t="s">
        <v>399</v>
      </c>
      <c r="K5768" s="27" t="s">
        <v>37</v>
      </c>
      <c r="L5768" s="27"/>
    </row>
    <row r="5769" customFormat="false" ht="15" hidden="false" customHeight="false" outlineLevel="0" collapsed="false">
      <c r="A5769" s="26" t="s">
        <v>16475</v>
      </c>
      <c r="B5769" s="27" t="s">
        <v>16476</v>
      </c>
      <c r="C5769" s="27" t="s">
        <v>144</v>
      </c>
      <c r="D5769" s="26"/>
      <c r="E5769" s="27"/>
      <c r="F5769" s="27"/>
      <c r="G5769" s="27" t="s">
        <v>11122</v>
      </c>
      <c r="H5769" s="27" t="s">
        <v>35</v>
      </c>
      <c r="I5769" s="27" t="s">
        <v>41</v>
      </c>
      <c r="J5769" s="28" t="s">
        <v>399</v>
      </c>
      <c r="K5769" s="27" t="s">
        <v>37</v>
      </c>
      <c r="L5769" s="27"/>
    </row>
    <row r="5770" customFormat="false" ht="15" hidden="false" customHeight="false" outlineLevel="0" collapsed="false">
      <c r="A5770" s="26" t="s">
        <v>16477</v>
      </c>
      <c r="B5770" s="27" t="s">
        <v>16478</v>
      </c>
      <c r="C5770" s="27" t="s">
        <v>144</v>
      </c>
      <c r="D5770" s="26"/>
      <c r="E5770" s="27"/>
      <c r="F5770" s="27"/>
      <c r="G5770" s="27" t="s">
        <v>11122</v>
      </c>
      <c r="H5770" s="27" t="s">
        <v>35</v>
      </c>
      <c r="I5770" s="27" t="s">
        <v>38</v>
      </c>
      <c r="J5770" s="28" t="s">
        <v>399</v>
      </c>
      <c r="K5770" s="27" t="s">
        <v>37</v>
      </c>
      <c r="L5770" s="27"/>
    </row>
    <row r="5771" customFormat="false" ht="15" hidden="false" customHeight="false" outlineLevel="0" collapsed="false">
      <c r="A5771" s="26" t="s">
        <v>16479</v>
      </c>
      <c r="B5771" s="27" t="s">
        <v>16480</v>
      </c>
      <c r="C5771" s="27" t="s">
        <v>144</v>
      </c>
      <c r="D5771" s="26"/>
      <c r="E5771" s="27"/>
      <c r="F5771" s="27"/>
      <c r="G5771" s="27" t="s">
        <v>11122</v>
      </c>
      <c r="H5771" s="27" t="s">
        <v>35</v>
      </c>
      <c r="I5771" s="27" t="s">
        <v>41</v>
      </c>
      <c r="J5771" s="28" t="s">
        <v>399</v>
      </c>
      <c r="K5771" s="27" t="s">
        <v>37</v>
      </c>
      <c r="L5771" s="27"/>
    </row>
    <row r="5772" customFormat="false" ht="15" hidden="false" customHeight="false" outlineLevel="0" collapsed="false">
      <c r="A5772" s="26" t="s">
        <v>16481</v>
      </c>
      <c r="B5772" s="27" t="s">
        <v>16482</v>
      </c>
      <c r="C5772" s="27" t="s">
        <v>144</v>
      </c>
      <c r="D5772" s="26"/>
      <c r="E5772" s="27"/>
      <c r="F5772" s="27"/>
      <c r="G5772" s="27" t="s">
        <v>11122</v>
      </c>
      <c r="H5772" s="27" t="s">
        <v>35</v>
      </c>
      <c r="I5772" s="27" t="s">
        <v>47</v>
      </c>
      <c r="J5772" s="28" t="s">
        <v>399</v>
      </c>
      <c r="K5772" s="27" t="s">
        <v>37</v>
      </c>
      <c r="L5772" s="27"/>
    </row>
    <row r="5773" customFormat="false" ht="15" hidden="false" customHeight="false" outlineLevel="0" collapsed="false">
      <c r="A5773" s="26" t="s">
        <v>16483</v>
      </c>
      <c r="B5773" s="27" t="s">
        <v>16484</v>
      </c>
      <c r="C5773" s="27" t="s">
        <v>144</v>
      </c>
      <c r="D5773" s="26"/>
      <c r="E5773" s="27"/>
      <c r="F5773" s="27"/>
      <c r="G5773" s="27" t="s">
        <v>11122</v>
      </c>
      <c r="H5773" s="27" t="s">
        <v>35</v>
      </c>
      <c r="I5773" s="27" t="s">
        <v>43</v>
      </c>
      <c r="J5773" s="28" t="s">
        <v>399</v>
      </c>
      <c r="K5773" s="27" t="s">
        <v>37</v>
      </c>
      <c r="L5773" s="27"/>
    </row>
    <row r="5774" customFormat="false" ht="15" hidden="false" customHeight="false" outlineLevel="0" collapsed="false">
      <c r="A5774" s="26" t="s">
        <v>16485</v>
      </c>
      <c r="B5774" s="27" t="s">
        <v>16486</v>
      </c>
      <c r="C5774" s="27" t="s">
        <v>144</v>
      </c>
      <c r="D5774" s="26"/>
      <c r="E5774" s="27"/>
      <c r="F5774" s="27"/>
      <c r="G5774" s="27" t="s">
        <v>11122</v>
      </c>
      <c r="H5774" s="27" t="s">
        <v>35</v>
      </c>
      <c r="I5774" s="27" t="s">
        <v>39</v>
      </c>
      <c r="J5774" s="28" t="s">
        <v>399</v>
      </c>
      <c r="K5774" s="27" t="s">
        <v>37</v>
      </c>
      <c r="L5774" s="27"/>
    </row>
    <row r="5775" customFormat="false" ht="15" hidden="false" customHeight="false" outlineLevel="0" collapsed="false">
      <c r="A5775" s="26" t="s">
        <v>16487</v>
      </c>
      <c r="B5775" s="27" t="s">
        <v>16488</v>
      </c>
      <c r="C5775" s="27" t="s">
        <v>144</v>
      </c>
      <c r="D5775" s="26"/>
      <c r="E5775" s="27"/>
      <c r="F5775" s="27"/>
      <c r="G5775" s="27" t="s">
        <v>11122</v>
      </c>
      <c r="H5775" s="27" t="s">
        <v>35</v>
      </c>
      <c r="I5775" s="27" t="s">
        <v>41</v>
      </c>
      <c r="J5775" s="28" t="s">
        <v>399</v>
      </c>
      <c r="K5775" s="27" t="s">
        <v>37</v>
      </c>
      <c r="L5775" s="27"/>
    </row>
    <row r="5776" customFormat="false" ht="15" hidden="false" customHeight="false" outlineLevel="0" collapsed="false">
      <c r="A5776" s="26" t="s">
        <v>16489</v>
      </c>
      <c r="B5776" s="27" t="s">
        <v>16490</v>
      </c>
      <c r="C5776" s="27" t="s">
        <v>144</v>
      </c>
      <c r="D5776" s="26"/>
      <c r="E5776" s="27"/>
      <c r="F5776" s="27"/>
      <c r="G5776" s="27" t="s">
        <v>11122</v>
      </c>
      <c r="H5776" s="27" t="s">
        <v>35</v>
      </c>
      <c r="I5776" s="27" t="s">
        <v>41</v>
      </c>
      <c r="J5776" s="28" t="s">
        <v>399</v>
      </c>
      <c r="K5776" s="27" t="s">
        <v>37</v>
      </c>
      <c r="L5776" s="27"/>
    </row>
    <row r="5777" customFormat="false" ht="15" hidden="false" customHeight="false" outlineLevel="0" collapsed="false">
      <c r="A5777" s="26" t="s">
        <v>16491</v>
      </c>
      <c r="B5777" s="27" t="s">
        <v>16492</v>
      </c>
      <c r="C5777" s="27" t="s">
        <v>144</v>
      </c>
      <c r="D5777" s="26"/>
      <c r="E5777" s="27"/>
      <c r="F5777" s="27"/>
      <c r="G5777" s="27" t="s">
        <v>11122</v>
      </c>
      <c r="H5777" s="27" t="s">
        <v>35</v>
      </c>
      <c r="I5777" s="27" t="s">
        <v>41</v>
      </c>
      <c r="J5777" s="28" t="s">
        <v>399</v>
      </c>
      <c r="K5777" s="27" t="s">
        <v>37</v>
      </c>
      <c r="L5777" s="27"/>
    </row>
    <row r="5778" customFormat="false" ht="15" hidden="false" customHeight="false" outlineLevel="0" collapsed="false">
      <c r="A5778" s="26" t="s">
        <v>16493</v>
      </c>
      <c r="B5778" s="27" t="s">
        <v>16494</v>
      </c>
      <c r="C5778" s="27" t="s">
        <v>144</v>
      </c>
      <c r="D5778" s="26"/>
      <c r="E5778" s="27"/>
      <c r="F5778" s="27"/>
      <c r="G5778" s="27" t="s">
        <v>11122</v>
      </c>
      <c r="H5778" s="27" t="s">
        <v>35</v>
      </c>
      <c r="I5778" s="27" t="s">
        <v>41</v>
      </c>
      <c r="J5778" s="28" t="s">
        <v>399</v>
      </c>
      <c r="K5778" s="27" t="s">
        <v>37</v>
      </c>
      <c r="L5778" s="27"/>
    </row>
    <row r="5779" customFormat="false" ht="15" hidden="false" customHeight="false" outlineLevel="0" collapsed="false">
      <c r="A5779" s="26" t="s">
        <v>16495</v>
      </c>
      <c r="B5779" s="27" t="s">
        <v>16496</v>
      </c>
      <c r="C5779" s="27" t="s">
        <v>144</v>
      </c>
      <c r="D5779" s="26"/>
      <c r="E5779" s="27"/>
      <c r="F5779" s="27"/>
      <c r="G5779" s="27" t="s">
        <v>11122</v>
      </c>
      <c r="H5779" s="27" t="s">
        <v>35</v>
      </c>
      <c r="I5779" s="27" t="s">
        <v>37</v>
      </c>
      <c r="J5779" s="28" t="s">
        <v>399</v>
      </c>
      <c r="K5779" s="27" t="s">
        <v>37</v>
      </c>
      <c r="L5779" s="27"/>
    </row>
    <row r="5780" customFormat="false" ht="15" hidden="false" customHeight="false" outlineLevel="0" collapsed="false">
      <c r="A5780" s="26" t="s">
        <v>16497</v>
      </c>
      <c r="B5780" s="27" t="s">
        <v>16498</v>
      </c>
      <c r="C5780" s="27" t="s">
        <v>144</v>
      </c>
      <c r="D5780" s="26"/>
      <c r="E5780" s="27"/>
      <c r="F5780" s="27"/>
      <c r="G5780" s="27" t="s">
        <v>11122</v>
      </c>
      <c r="H5780" s="27" t="s">
        <v>35</v>
      </c>
      <c r="I5780" s="27" t="s">
        <v>37</v>
      </c>
      <c r="J5780" s="28" t="s">
        <v>399</v>
      </c>
      <c r="K5780" s="27" t="s">
        <v>37</v>
      </c>
      <c r="L5780" s="27"/>
    </row>
    <row r="5781" customFormat="false" ht="15" hidden="false" customHeight="false" outlineLevel="0" collapsed="false">
      <c r="A5781" s="26" t="s">
        <v>16499</v>
      </c>
      <c r="B5781" s="27" t="s">
        <v>16500</v>
      </c>
      <c r="C5781" s="27" t="s">
        <v>144</v>
      </c>
      <c r="D5781" s="26"/>
      <c r="E5781" s="27"/>
      <c r="F5781" s="27"/>
      <c r="G5781" s="27" t="s">
        <v>11122</v>
      </c>
      <c r="H5781" s="27" t="s">
        <v>35</v>
      </c>
      <c r="I5781" s="27" t="s">
        <v>49</v>
      </c>
      <c r="J5781" s="28" t="s">
        <v>399</v>
      </c>
      <c r="K5781" s="27" t="s">
        <v>37</v>
      </c>
      <c r="L5781" s="27"/>
    </row>
    <row r="5782" customFormat="false" ht="15" hidden="false" customHeight="false" outlineLevel="0" collapsed="false">
      <c r="A5782" s="26" t="s">
        <v>16501</v>
      </c>
      <c r="B5782" s="27" t="s">
        <v>16502</v>
      </c>
      <c r="C5782" s="27" t="s">
        <v>144</v>
      </c>
      <c r="D5782" s="26"/>
      <c r="E5782" s="27"/>
      <c r="F5782" s="27"/>
      <c r="G5782" s="27" t="s">
        <v>11122</v>
      </c>
      <c r="H5782" s="27" t="s">
        <v>35</v>
      </c>
      <c r="I5782" s="27" t="s">
        <v>41</v>
      </c>
      <c r="J5782" s="28" t="s">
        <v>399</v>
      </c>
      <c r="K5782" s="27" t="s">
        <v>37</v>
      </c>
      <c r="L5782" s="27"/>
    </row>
    <row r="5783" customFormat="false" ht="15" hidden="false" customHeight="false" outlineLevel="0" collapsed="false">
      <c r="A5783" s="26" t="s">
        <v>16503</v>
      </c>
      <c r="B5783" s="27" t="s">
        <v>16504</v>
      </c>
      <c r="C5783" s="27" t="s">
        <v>144</v>
      </c>
      <c r="D5783" s="26"/>
      <c r="E5783" s="27"/>
      <c r="F5783" s="27"/>
      <c r="G5783" s="27" t="s">
        <v>11122</v>
      </c>
      <c r="H5783" s="27" t="s">
        <v>35</v>
      </c>
      <c r="I5783" s="27" t="s">
        <v>41</v>
      </c>
      <c r="J5783" s="28" t="s">
        <v>399</v>
      </c>
      <c r="K5783" s="27" t="s">
        <v>37</v>
      </c>
      <c r="L5783" s="27"/>
    </row>
    <row r="5784" customFormat="false" ht="15" hidden="false" customHeight="false" outlineLevel="0" collapsed="false">
      <c r="A5784" s="26" t="s">
        <v>16505</v>
      </c>
      <c r="B5784" s="27" t="s">
        <v>16506</v>
      </c>
      <c r="C5784" s="27" t="s">
        <v>144</v>
      </c>
      <c r="D5784" s="26"/>
      <c r="E5784" s="27"/>
      <c r="F5784" s="27"/>
      <c r="G5784" s="27" t="s">
        <v>11122</v>
      </c>
      <c r="H5784" s="27" t="s">
        <v>35</v>
      </c>
      <c r="I5784" s="27" t="s">
        <v>37</v>
      </c>
      <c r="J5784" s="28" t="s">
        <v>399</v>
      </c>
      <c r="K5784" s="27" t="s">
        <v>37</v>
      </c>
      <c r="L5784" s="27"/>
    </row>
    <row r="5785" customFormat="false" ht="15" hidden="false" customHeight="false" outlineLevel="0" collapsed="false">
      <c r="A5785" s="26" t="s">
        <v>16507</v>
      </c>
      <c r="B5785" s="27" t="s">
        <v>16508</v>
      </c>
      <c r="C5785" s="27" t="s">
        <v>144</v>
      </c>
      <c r="D5785" s="26"/>
      <c r="E5785" s="27"/>
      <c r="F5785" s="27"/>
      <c r="G5785" s="27" t="s">
        <v>11122</v>
      </c>
      <c r="H5785" s="27" t="s">
        <v>35</v>
      </c>
      <c r="I5785" s="27" t="s">
        <v>37</v>
      </c>
      <c r="J5785" s="28" t="s">
        <v>399</v>
      </c>
      <c r="K5785" s="27" t="s">
        <v>37</v>
      </c>
      <c r="L5785" s="27"/>
    </row>
    <row r="5786" customFormat="false" ht="15" hidden="false" customHeight="false" outlineLevel="0" collapsed="false">
      <c r="A5786" s="26" t="s">
        <v>16509</v>
      </c>
      <c r="B5786" s="27" t="s">
        <v>16510</v>
      </c>
      <c r="C5786" s="27" t="s">
        <v>144</v>
      </c>
      <c r="D5786" s="26"/>
      <c r="E5786" s="27"/>
      <c r="F5786" s="27"/>
      <c r="G5786" s="27" t="s">
        <v>11122</v>
      </c>
      <c r="H5786" s="27" t="s">
        <v>35</v>
      </c>
      <c r="I5786" s="27" t="s">
        <v>108</v>
      </c>
      <c r="J5786" s="28" t="s">
        <v>399</v>
      </c>
      <c r="K5786" s="27" t="s">
        <v>37</v>
      </c>
      <c r="L5786" s="27"/>
    </row>
    <row r="5787" customFormat="false" ht="15" hidden="false" customHeight="false" outlineLevel="0" collapsed="false">
      <c r="A5787" s="26" t="s">
        <v>16511</v>
      </c>
      <c r="B5787" s="27" t="s">
        <v>16512</v>
      </c>
      <c r="C5787" s="27" t="s">
        <v>144</v>
      </c>
      <c r="D5787" s="26"/>
      <c r="E5787" s="27"/>
      <c r="F5787" s="27"/>
      <c r="G5787" s="27" t="s">
        <v>11122</v>
      </c>
      <c r="H5787" s="27" t="s">
        <v>35</v>
      </c>
      <c r="I5787" s="27" t="s">
        <v>37</v>
      </c>
      <c r="J5787" s="28" t="s">
        <v>399</v>
      </c>
      <c r="K5787" s="27" t="s">
        <v>37</v>
      </c>
      <c r="L5787" s="27"/>
    </row>
    <row r="5788" customFormat="false" ht="15" hidden="false" customHeight="false" outlineLevel="0" collapsed="false">
      <c r="A5788" s="26" t="s">
        <v>16513</v>
      </c>
      <c r="B5788" s="28" t="s">
        <v>16514</v>
      </c>
      <c r="C5788" s="27" t="s">
        <v>144</v>
      </c>
      <c r="D5788" s="26"/>
      <c r="E5788" s="27"/>
      <c r="F5788" s="27"/>
      <c r="G5788" s="27" t="s">
        <v>11122</v>
      </c>
      <c r="H5788" s="27" t="s">
        <v>35</v>
      </c>
      <c r="I5788" s="27" t="s">
        <v>41</v>
      </c>
      <c r="J5788" s="28" t="s">
        <v>399</v>
      </c>
      <c r="K5788" s="27" t="s">
        <v>37</v>
      </c>
      <c r="L5788" s="27"/>
    </row>
    <row r="5789" customFormat="false" ht="15" hidden="false" customHeight="false" outlineLevel="0" collapsed="false">
      <c r="A5789" s="26" t="s">
        <v>16515</v>
      </c>
      <c r="B5789" s="27" t="s">
        <v>16516</v>
      </c>
      <c r="C5789" s="27" t="s">
        <v>144</v>
      </c>
      <c r="D5789" s="26"/>
      <c r="E5789" s="27"/>
      <c r="F5789" s="27"/>
      <c r="G5789" s="27" t="s">
        <v>11122</v>
      </c>
      <c r="H5789" s="27" t="s">
        <v>35</v>
      </c>
      <c r="I5789" s="27" t="s">
        <v>37</v>
      </c>
      <c r="J5789" s="28" t="s">
        <v>399</v>
      </c>
      <c r="K5789" s="27" t="s">
        <v>37</v>
      </c>
      <c r="L5789" s="27"/>
    </row>
    <row r="5790" customFormat="false" ht="15" hidden="false" customHeight="false" outlineLevel="0" collapsed="false">
      <c r="A5790" s="26" t="s">
        <v>16517</v>
      </c>
      <c r="B5790" s="27" t="s">
        <v>16518</v>
      </c>
      <c r="C5790" s="27" t="s">
        <v>144</v>
      </c>
      <c r="D5790" s="26"/>
      <c r="E5790" s="27"/>
      <c r="F5790" s="27"/>
      <c r="G5790" s="27" t="s">
        <v>11122</v>
      </c>
      <c r="H5790" s="27" t="s">
        <v>35</v>
      </c>
      <c r="I5790" s="28" t="s">
        <v>50</v>
      </c>
      <c r="J5790" s="28" t="s">
        <v>399</v>
      </c>
      <c r="K5790" s="27" t="s">
        <v>37</v>
      </c>
      <c r="L5790" s="27"/>
    </row>
    <row r="5791" customFormat="false" ht="15" hidden="false" customHeight="false" outlineLevel="0" collapsed="false">
      <c r="A5791" s="26" t="s">
        <v>16519</v>
      </c>
      <c r="B5791" s="27" t="s">
        <v>16520</v>
      </c>
      <c r="C5791" s="27" t="s">
        <v>144</v>
      </c>
      <c r="D5791" s="26"/>
      <c r="E5791" s="27"/>
      <c r="F5791" s="27"/>
      <c r="G5791" s="27" t="s">
        <v>11122</v>
      </c>
      <c r="H5791" s="27" t="s">
        <v>35</v>
      </c>
      <c r="I5791" s="27" t="s">
        <v>1296</v>
      </c>
      <c r="J5791" s="28" t="s">
        <v>399</v>
      </c>
      <c r="K5791" s="27" t="s">
        <v>37</v>
      </c>
      <c r="L5791" s="27"/>
    </row>
    <row r="5792" customFormat="false" ht="15" hidden="false" customHeight="false" outlineLevel="0" collapsed="false">
      <c r="A5792" s="26" t="s">
        <v>16521</v>
      </c>
      <c r="B5792" s="27" t="s">
        <v>16522</v>
      </c>
      <c r="C5792" s="27" t="s">
        <v>144</v>
      </c>
      <c r="D5792" s="26"/>
      <c r="E5792" s="27"/>
      <c r="F5792" s="27"/>
      <c r="G5792" s="27" t="s">
        <v>11122</v>
      </c>
      <c r="H5792" s="27" t="s">
        <v>35</v>
      </c>
      <c r="I5792" s="28" t="s">
        <v>50</v>
      </c>
      <c r="J5792" s="28" t="s">
        <v>399</v>
      </c>
      <c r="K5792" s="27" t="s">
        <v>37</v>
      </c>
      <c r="L5792" s="27"/>
    </row>
    <row r="5793" customFormat="false" ht="15" hidden="false" customHeight="false" outlineLevel="0" collapsed="false">
      <c r="A5793" s="26" t="s">
        <v>16523</v>
      </c>
      <c r="B5793" s="27" t="s">
        <v>16524</v>
      </c>
      <c r="C5793" s="27" t="s">
        <v>144</v>
      </c>
      <c r="D5793" s="26"/>
      <c r="E5793" s="27"/>
      <c r="F5793" s="27"/>
      <c r="G5793" s="27" t="s">
        <v>11122</v>
      </c>
      <c r="H5793" s="27" t="s">
        <v>35</v>
      </c>
      <c r="I5793" s="27" t="s">
        <v>43</v>
      </c>
      <c r="J5793" s="28" t="s">
        <v>399</v>
      </c>
      <c r="K5793" s="27" t="s">
        <v>37</v>
      </c>
      <c r="L5793" s="27"/>
    </row>
    <row r="5794" customFormat="false" ht="15" hidden="false" customHeight="false" outlineLevel="0" collapsed="false">
      <c r="A5794" s="26" t="s">
        <v>16525</v>
      </c>
      <c r="B5794" s="27" t="s">
        <v>16526</v>
      </c>
      <c r="C5794" s="27" t="s">
        <v>144</v>
      </c>
      <c r="D5794" s="26"/>
      <c r="E5794" s="27"/>
      <c r="F5794" s="27"/>
      <c r="G5794" s="27" t="s">
        <v>11122</v>
      </c>
      <c r="H5794" s="27" t="s">
        <v>35</v>
      </c>
      <c r="I5794" s="27" t="s">
        <v>41</v>
      </c>
      <c r="J5794" s="28" t="s">
        <v>399</v>
      </c>
      <c r="K5794" s="27" t="s">
        <v>37</v>
      </c>
      <c r="L5794" s="27"/>
    </row>
    <row r="5795" customFormat="false" ht="15" hidden="false" customHeight="false" outlineLevel="0" collapsed="false">
      <c r="A5795" s="26" t="s">
        <v>16527</v>
      </c>
      <c r="B5795" s="27" t="s">
        <v>16528</v>
      </c>
      <c r="C5795" s="27" t="s">
        <v>144</v>
      </c>
      <c r="D5795" s="26"/>
      <c r="E5795" s="27"/>
      <c r="F5795" s="27"/>
      <c r="G5795" s="27" t="s">
        <v>11122</v>
      </c>
      <c r="H5795" s="27" t="s">
        <v>35</v>
      </c>
      <c r="I5795" s="27" t="s">
        <v>41</v>
      </c>
      <c r="J5795" s="28" t="s">
        <v>399</v>
      </c>
      <c r="K5795" s="27" t="s">
        <v>37</v>
      </c>
      <c r="L5795" s="27"/>
    </row>
    <row r="5796" customFormat="false" ht="15" hidden="false" customHeight="false" outlineLevel="0" collapsed="false">
      <c r="A5796" s="26" t="s">
        <v>16529</v>
      </c>
      <c r="B5796" s="27" t="s">
        <v>16530</v>
      </c>
      <c r="C5796" s="27" t="s">
        <v>144</v>
      </c>
      <c r="D5796" s="26"/>
      <c r="E5796" s="27"/>
      <c r="F5796" s="27"/>
      <c r="G5796" s="27" t="s">
        <v>11122</v>
      </c>
      <c r="H5796" s="27" t="s">
        <v>35</v>
      </c>
      <c r="I5796" s="27" t="s">
        <v>41</v>
      </c>
      <c r="J5796" s="28" t="s">
        <v>399</v>
      </c>
      <c r="K5796" s="27" t="s">
        <v>37</v>
      </c>
      <c r="L5796" s="27"/>
    </row>
    <row r="5797" customFormat="false" ht="15" hidden="false" customHeight="false" outlineLevel="0" collapsed="false">
      <c r="A5797" s="26" t="s">
        <v>16531</v>
      </c>
      <c r="B5797" s="27" t="s">
        <v>16532</v>
      </c>
      <c r="C5797" s="27" t="s">
        <v>144</v>
      </c>
      <c r="D5797" s="26"/>
      <c r="E5797" s="27"/>
      <c r="F5797" s="27"/>
      <c r="G5797" s="27" t="s">
        <v>11122</v>
      </c>
      <c r="H5797" s="27" t="s">
        <v>35</v>
      </c>
      <c r="I5797" s="27" t="s">
        <v>41</v>
      </c>
      <c r="J5797" s="28" t="s">
        <v>399</v>
      </c>
      <c r="K5797" s="27" t="s">
        <v>37</v>
      </c>
      <c r="L5797" s="27"/>
    </row>
    <row r="5798" customFormat="false" ht="15" hidden="false" customHeight="false" outlineLevel="0" collapsed="false">
      <c r="A5798" s="26" t="s">
        <v>16533</v>
      </c>
      <c r="B5798" s="27" t="s">
        <v>16534</v>
      </c>
      <c r="C5798" s="27" t="s">
        <v>144</v>
      </c>
      <c r="D5798" s="26"/>
      <c r="E5798" s="27"/>
      <c r="F5798" s="27"/>
      <c r="G5798" s="27" t="s">
        <v>11122</v>
      </c>
      <c r="H5798" s="27" t="s">
        <v>35</v>
      </c>
      <c r="I5798" s="27" t="s">
        <v>41</v>
      </c>
      <c r="J5798" s="28" t="s">
        <v>399</v>
      </c>
      <c r="K5798" s="27" t="s">
        <v>37</v>
      </c>
      <c r="L5798" s="27"/>
    </row>
    <row r="5799" customFormat="false" ht="15" hidden="false" customHeight="false" outlineLevel="0" collapsed="false">
      <c r="A5799" s="26" t="s">
        <v>16535</v>
      </c>
      <c r="B5799" s="27" t="s">
        <v>16536</v>
      </c>
      <c r="C5799" s="27" t="s">
        <v>144</v>
      </c>
      <c r="D5799" s="26"/>
      <c r="E5799" s="27"/>
      <c r="F5799" s="27"/>
      <c r="G5799" s="27" t="s">
        <v>11122</v>
      </c>
      <c r="H5799" s="27" t="s">
        <v>35</v>
      </c>
      <c r="I5799" s="27" t="s">
        <v>37</v>
      </c>
      <c r="J5799" s="28" t="s">
        <v>399</v>
      </c>
      <c r="K5799" s="27" t="s">
        <v>37</v>
      </c>
      <c r="L5799" s="27"/>
    </row>
    <row r="5800" customFormat="false" ht="15" hidden="false" customHeight="false" outlineLevel="0" collapsed="false">
      <c r="A5800" s="26" t="s">
        <v>16537</v>
      </c>
      <c r="B5800" s="27" t="s">
        <v>16538</v>
      </c>
      <c r="C5800" s="27" t="s">
        <v>144</v>
      </c>
      <c r="D5800" s="26"/>
      <c r="E5800" s="27"/>
      <c r="F5800" s="27"/>
      <c r="G5800" s="27" t="s">
        <v>11122</v>
      </c>
      <c r="H5800" s="27" t="s">
        <v>35</v>
      </c>
      <c r="I5800" s="27" t="s">
        <v>37</v>
      </c>
      <c r="J5800" s="28" t="s">
        <v>399</v>
      </c>
      <c r="K5800" s="27" t="s">
        <v>37</v>
      </c>
      <c r="L5800" s="27"/>
    </row>
    <row r="5801" customFormat="false" ht="15" hidden="false" customHeight="false" outlineLevel="0" collapsed="false">
      <c r="A5801" s="26" t="s">
        <v>16539</v>
      </c>
      <c r="B5801" s="27" t="s">
        <v>16540</v>
      </c>
      <c r="C5801" s="27" t="s">
        <v>144</v>
      </c>
      <c r="D5801" s="26"/>
      <c r="E5801" s="27"/>
      <c r="F5801" s="27"/>
      <c r="G5801" s="27" t="s">
        <v>11122</v>
      </c>
      <c r="H5801" s="27" t="s">
        <v>35</v>
      </c>
      <c r="I5801" s="27" t="s">
        <v>39</v>
      </c>
      <c r="J5801" s="28" t="s">
        <v>399</v>
      </c>
      <c r="K5801" s="27" t="s">
        <v>37</v>
      </c>
      <c r="L5801" s="27"/>
    </row>
    <row r="5802" customFormat="false" ht="15" hidden="false" customHeight="false" outlineLevel="0" collapsed="false">
      <c r="A5802" s="26" t="s">
        <v>16541</v>
      </c>
      <c r="B5802" s="27" t="s">
        <v>16542</v>
      </c>
      <c r="C5802" s="27" t="s">
        <v>144</v>
      </c>
      <c r="D5802" s="26"/>
      <c r="E5802" s="27"/>
      <c r="F5802" s="27"/>
      <c r="G5802" s="27" t="s">
        <v>11122</v>
      </c>
      <c r="H5802" s="27" t="s">
        <v>35</v>
      </c>
      <c r="I5802" s="27" t="s">
        <v>40</v>
      </c>
      <c r="J5802" s="28" t="s">
        <v>399</v>
      </c>
      <c r="K5802" s="27" t="s">
        <v>37</v>
      </c>
      <c r="L5802" s="27"/>
    </row>
    <row r="5803" customFormat="false" ht="15" hidden="false" customHeight="false" outlineLevel="0" collapsed="false">
      <c r="A5803" s="26" t="s">
        <v>16543</v>
      </c>
      <c r="B5803" s="27" t="s">
        <v>16544</v>
      </c>
      <c r="C5803" s="27" t="s">
        <v>144</v>
      </c>
      <c r="D5803" s="26"/>
      <c r="E5803" s="27"/>
      <c r="F5803" s="27"/>
      <c r="G5803" s="27" t="s">
        <v>11122</v>
      </c>
      <c r="H5803" s="27" t="s">
        <v>35</v>
      </c>
      <c r="I5803" s="27" t="s">
        <v>40</v>
      </c>
      <c r="J5803" s="28" t="s">
        <v>399</v>
      </c>
      <c r="K5803" s="27" t="s">
        <v>37</v>
      </c>
      <c r="L5803" s="27"/>
    </row>
    <row r="5804" customFormat="false" ht="15" hidden="false" customHeight="false" outlineLevel="0" collapsed="false">
      <c r="A5804" s="26" t="s">
        <v>16545</v>
      </c>
      <c r="B5804" s="27" t="s">
        <v>16546</v>
      </c>
      <c r="C5804" s="27" t="s">
        <v>144</v>
      </c>
      <c r="D5804" s="26"/>
      <c r="E5804" s="27"/>
      <c r="F5804" s="27"/>
      <c r="G5804" s="27" t="s">
        <v>11122</v>
      </c>
      <c r="H5804" s="27" t="s">
        <v>35</v>
      </c>
      <c r="I5804" s="27" t="s">
        <v>37</v>
      </c>
      <c r="J5804" s="28" t="s">
        <v>399</v>
      </c>
      <c r="K5804" s="27" t="s">
        <v>37</v>
      </c>
      <c r="L5804" s="27"/>
    </row>
    <row r="5805" customFormat="false" ht="15" hidden="false" customHeight="false" outlineLevel="0" collapsed="false">
      <c r="A5805" s="26" t="s">
        <v>16547</v>
      </c>
      <c r="B5805" s="27" t="s">
        <v>16548</v>
      </c>
      <c r="C5805" s="27" t="s">
        <v>1187</v>
      </c>
      <c r="D5805" s="26"/>
      <c r="E5805" s="27"/>
      <c r="F5805" s="27"/>
      <c r="G5805" s="27" t="s">
        <v>11122</v>
      </c>
      <c r="H5805" s="27" t="s">
        <v>35</v>
      </c>
      <c r="I5805" s="27" t="s">
        <v>37</v>
      </c>
      <c r="J5805" s="28" t="s">
        <v>399</v>
      </c>
      <c r="K5805" s="27" t="s">
        <v>37</v>
      </c>
      <c r="L5805" s="27"/>
    </row>
    <row r="5806" customFormat="false" ht="15" hidden="false" customHeight="false" outlineLevel="0" collapsed="false">
      <c r="A5806" s="26" t="s">
        <v>16549</v>
      </c>
      <c r="B5806" s="27" t="s">
        <v>16550</v>
      </c>
      <c r="C5806" s="27" t="s">
        <v>144</v>
      </c>
      <c r="D5806" s="26"/>
      <c r="E5806" s="27"/>
      <c r="F5806" s="27"/>
      <c r="G5806" s="27" t="s">
        <v>11122</v>
      </c>
      <c r="H5806" s="27" t="s">
        <v>35</v>
      </c>
      <c r="I5806" s="27" t="s">
        <v>47</v>
      </c>
      <c r="J5806" s="28" t="s">
        <v>399</v>
      </c>
      <c r="K5806" s="27" t="s">
        <v>37</v>
      </c>
      <c r="L5806" s="27"/>
    </row>
    <row r="5807" customFormat="false" ht="15" hidden="false" customHeight="false" outlineLevel="0" collapsed="false">
      <c r="A5807" s="26" t="s">
        <v>16551</v>
      </c>
      <c r="B5807" s="27" t="s">
        <v>16552</v>
      </c>
      <c r="C5807" s="27" t="s">
        <v>144</v>
      </c>
      <c r="D5807" s="26"/>
      <c r="E5807" s="27"/>
      <c r="F5807" s="27"/>
      <c r="G5807" s="27" t="s">
        <v>11122</v>
      </c>
      <c r="H5807" s="27" t="s">
        <v>35</v>
      </c>
      <c r="I5807" s="27" t="s">
        <v>47</v>
      </c>
      <c r="J5807" s="28" t="s">
        <v>399</v>
      </c>
      <c r="K5807" s="27" t="s">
        <v>37</v>
      </c>
      <c r="L5807" s="27"/>
    </row>
    <row r="5808" customFormat="false" ht="15" hidden="false" customHeight="false" outlineLevel="0" collapsed="false">
      <c r="A5808" s="26" t="s">
        <v>16553</v>
      </c>
      <c r="B5808" s="27" t="s">
        <v>16554</v>
      </c>
      <c r="C5808" s="27" t="s">
        <v>144</v>
      </c>
      <c r="D5808" s="26"/>
      <c r="E5808" s="27"/>
      <c r="F5808" s="27"/>
      <c r="G5808" s="27" t="s">
        <v>11122</v>
      </c>
      <c r="H5808" s="27" t="s">
        <v>35</v>
      </c>
      <c r="I5808" s="27" t="s">
        <v>40</v>
      </c>
      <c r="J5808" s="28" t="s">
        <v>399</v>
      </c>
      <c r="K5808" s="27" t="s">
        <v>37</v>
      </c>
      <c r="L5808" s="27"/>
    </row>
    <row r="5809" customFormat="false" ht="15" hidden="false" customHeight="false" outlineLevel="0" collapsed="false">
      <c r="A5809" s="26" t="s">
        <v>16555</v>
      </c>
      <c r="B5809" s="27" t="s">
        <v>16556</v>
      </c>
      <c r="C5809" s="27" t="s">
        <v>144</v>
      </c>
      <c r="D5809" s="26"/>
      <c r="E5809" s="27"/>
      <c r="F5809" s="27"/>
      <c r="G5809" s="27" t="s">
        <v>11122</v>
      </c>
      <c r="H5809" s="27" t="s">
        <v>35</v>
      </c>
      <c r="I5809" s="27" t="s">
        <v>40</v>
      </c>
      <c r="J5809" s="28" t="s">
        <v>399</v>
      </c>
      <c r="K5809" s="27" t="s">
        <v>37</v>
      </c>
      <c r="L5809" s="27"/>
    </row>
    <row r="5810" customFormat="false" ht="15" hidden="false" customHeight="false" outlineLevel="0" collapsed="false">
      <c r="A5810" s="26" t="s">
        <v>16557</v>
      </c>
      <c r="B5810" s="27" t="s">
        <v>16558</v>
      </c>
      <c r="C5810" s="27" t="s">
        <v>144</v>
      </c>
      <c r="D5810" s="26"/>
      <c r="E5810" s="27"/>
      <c r="F5810" s="27"/>
      <c r="G5810" s="27" t="s">
        <v>11122</v>
      </c>
      <c r="H5810" s="27" t="s">
        <v>35</v>
      </c>
      <c r="I5810" s="27" t="s">
        <v>39</v>
      </c>
      <c r="J5810" s="28" t="s">
        <v>399</v>
      </c>
      <c r="K5810" s="27" t="s">
        <v>37</v>
      </c>
      <c r="L5810" s="27"/>
    </row>
    <row r="5811" customFormat="false" ht="15" hidden="false" customHeight="false" outlineLevel="0" collapsed="false">
      <c r="A5811" s="26" t="s">
        <v>16559</v>
      </c>
      <c r="B5811" s="27" t="s">
        <v>16560</v>
      </c>
      <c r="C5811" s="27" t="s">
        <v>144</v>
      </c>
      <c r="D5811" s="26"/>
      <c r="E5811" s="27"/>
      <c r="F5811" s="27"/>
      <c r="G5811" s="27" t="s">
        <v>11122</v>
      </c>
      <c r="H5811" s="27" t="s">
        <v>35</v>
      </c>
      <c r="I5811" s="27" t="s">
        <v>41</v>
      </c>
      <c r="J5811" s="28" t="s">
        <v>399</v>
      </c>
      <c r="K5811" s="27" t="s">
        <v>37</v>
      </c>
      <c r="L5811" s="27"/>
    </row>
    <row r="5812" customFormat="false" ht="15" hidden="false" customHeight="false" outlineLevel="0" collapsed="false">
      <c r="A5812" s="26" t="s">
        <v>16561</v>
      </c>
      <c r="B5812" s="27" t="s">
        <v>16562</v>
      </c>
      <c r="C5812" s="27" t="s">
        <v>144</v>
      </c>
      <c r="D5812" s="26"/>
      <c r="E5812" s="27"/>
      <c r="F5812" s="27"/>
      <c r="G5812" s="27" t="s">
        <v>11122</v>
      </c>
      <c r="H5812" s="27" t="s">
        <v>35</v>
      </c>
      <c r="I5812" s="27" t="s">
        <v>40</v>
      </c>
      <c r="J5812" s="28" t="s">
        <v>399</v>
      </c>
      <c r="K5812" s="27" t="s">
        <v>37</v>
      </c>
      <c r="L5812" s="27"/>
    </row>
    <row r="5813" customFormat="false" ht="15" hidden="false" customHeight="false" outlineLevel="0" collapsed="false">
      <c r="A5813" s="26" t="s">
        <v>16563</v>
      </c>
      <c r="B5813" s="27" t="s">
        <v>16564</v>
      </c>
      <c r="C5813" s="27" t="s">
        <v>144</v>
      </c>
      <c r="D5813" s="26"/>
      <c r="E5813" s="27"/>
      <c r="F5813" s="27"/>
      <c r="G5813" s="27" t="s">
        <v>11122</v>
      </c>
      <c r="H5813" s="27" t="s">
        <v>35</v>
      </c>
      <c r="I5813" s="27" t="s">
        <v>40</v>
      </c>
      <c r="J5813" s="28" t="s">
        <v>399</v>
      </c>
      <c r="K5813" s="27" t="s">
        <v>37</v>
      </c>
      <c r="L5813" s="27"/>
    </row>
    <row r="5814" customFormat="false" ht="15" hidden="false" customHeight="false" outlineLevel="0" collapsed="false">
      <c r="A5814" s="26" t="s">
        <v>16565</v>
      </c>
      <c r="B5814" s="27" t="s">
        <v>16566</v>
      </c>
      <c r="C5814" s="27" t="s">
        <v>144</v>
      </c>
      <c r="D5814" s="26"/>
      <c r="E5814" s="27"/>
      <c r="F5814" s="27"/>
      <c r="G5814" s="27" t="s">
        <v>11122</v>
      </c>
      <c r="H5814" s="27" t="s">
        <v>35</v>
      </c>
      <c r="I5814" s="27" t="s">
        <v>39</v>
      </c>
      <c r="J5814" s="28" t="s">
        <v>399</v>
      </c>
      <c r="K5814" s="27" t="s">
        <v>37</v>
      </c>
      <c r="L5814" s="27"/>
    </row>
    <row r="5815" customFormat="false" ht="15" hidden="false" customHeight="false" outlineLevel="0" collapsed="false">
      <c r="A5815" s="26" t="s">
        <v>16567</v>
      </c>
      <c r="B5815" s="27" t="s">
        <v>16568</v>
      </c>
      <c r="C5815" s="27" t="s">
        <v>144</v>
      </c>
      <c r="D5815" s="26"/>
      <c r="E5815" s="27"/>
      <c r="F5815" s="27"/>
      <c r="G5815" s="27" t="s">
        <v>11122</v>
      </c>
      <c r="H5815" s="27" t="s">
        <v>35</v>
      </c>
      <c r="I5815" s="27" t="s">
        <v>37</v>
      </c>
      <c r="J5815" s="28" t="s">
        <v>399</v>
      </c>
      <c r="K5815" s="27" t="s">
        <v>37</v>
      </c>
      <c r="L5815" s="27"/>
    </row>
    <row r="5816" customFormat="false" ht="15" hidden="false" customHeight="false" outlineLevel="0" collapsed="false">
      <c r="A5816" s="26" t="s">
        <v>16569</v>
      </c>
      <c r="B5816" s="27" t="s">
        <v>16570</v>
      </c>
      <c r="C5816" s="27" t="s">
        <v>144</v>
      </c>
      <c r="D5816" s="26"/>
      <c r="E5816" s="27"/>
      <c r="F5816" s="27"/>
      <c r="G5816" s="27" t="s">
        <v>11122</v>
      </c>
      <c r="H5816" s="27" t="s">
        <v>35</v>
      </c>
      <c r="I5816" s="27" t="s">
        <v>40</v>
      </c>
      <c r="J5816" s="28" t="s">
        <v>399</v>
      </c>
      <c r="K5816" s="27" t="s">
        <v>37</v>
      </c>
      <c r="L5816" s="27"/>
    </row>
    <row r="5817" customFormat="false" ht="15" hidden="false" customHeight="false" outlineLevel="0" collapsed="false">
      <c r="A5817" s="26" t="s">
        <v>16571</v>
      </c>
      <c r="B5817" s="27" t="s">
        <v>16572</v>
      </c>
      <c r="C5817" s="27" t="s">
        <v>144</v>
      </c>
      <c r="D5817" s="26"/>
      <c r="E5817" s="27"/>
      <c r="F5817" s="27"/>
      <c r="G5817" s="27" t="s">
        <v>11122</v>
      </c>
      <c r="H5817" s="27" t="s">
        <v>35</v>
      </c>
      <c r="I5817" s="27" t="s">
        <v>42</v>
      </c>
      <c r="J5817" s="28" t="s">
        <v>399</v>
      </c>
      <c r="K5817" s="27" t="s">
        <v>37</v>
      </c>
      <c r="L5817" s="27"/>
    </row>
    <row r="5818" customFormat="false" ht="15" hidden="false" customHeight="false" outlineLevel="0" collapsed="false">
      <c r="A5818" s="26" t="s">
        <v>16573</v>
      </c>
      <c r="B5818" s="27" t="s">
        <v>16574</v>
      </c>
      <c r="C5818" s="27" t="s">
        <v>1612</v>
      </c>
      <c r="D5818" s="26"/>
      <c r="E5818" s="27"/>
      <c r="F5818" s="27"/>
      <c r="G5818" s="27" t="s">
        <v>11122</v>
      </c>
      <c r="H5818" s="27" t="s">
        <v>35</v>
      </c>
      <c r="I5818" s="27" t="s">
        <v>39</v>
      </c>
      <c r="J5818" s="28" t="s">
        <v>399</v>
      </c>
      <c r="K5818" s="27" t="s">
        <v>37</v>
      </c>
      <c r="L5818" s="27"/>
    </row>
    <row r="5819" customFormat="false" ht="15" hidden="false" customHeight="false" outlineLevel="0" collapsed="false">
      <c r="A5819" s="26" t="s">
        <v>16575</v>
      </c>
      <c r="B5819" s="27" t="s">
        <v>16576</v>
      </c>
      <c r="C5819" s="27" t="s">
        <v>144</v>
      </c>
      <c r="D5819" s="26"/>
      <c r="E5819" s="27"/>
      <c r="F5819" s="27"/>
      <c r="G5819" s="27" t="s">
        <v>11122</v>
      </c>
      <c r="H5819" s="27" t="s">
        <v>35</v>
      </c>
      <c r="I5819" s="27" t="s">
        <v>42</v>
      </c>
      <c r="J5819" s="28" t="s">
        <v>399</v>
      </c>
      <c r="K5819" s="27" t="s">
        <v>37</v>
      </c>
      <c r="L5819" s="27"/>
    </row>
    <row r="5820" customFormat="false" ht="15" hidden="false" customHeight="false" outlineLevel="0" collapsed="false">
      <c r="A5820" s="26" t="s">
        <v>16577</v>
      </c>
      <c r="B5820" s="27" t="s">
        <v>16578</v>
      </c>
      <c r="C5820" s="27" t="s">
        <v>144</v>
      </c>
      <c r="D5820" s="26"/>
      <c r="E5820" s="27"/>
      <c r="F5820" s="27"/>
      <c r="G5820" s="27" t="s">
        <v>11122</v>
      </c>
      <c r="H5820" s="27" t="s">
        <v>35</v>
      </c>
      <c r="I5820" s="27" t="s">
        <v>47</v>
      </c>
      <c r="J5820" s="28" t="s">
        <v>399</v>
      </c>
      <c r="K5820" s="27" t="s">
        <v>37</v>
      </c>
      <c r="L5820" s="27"/>
    </row>
    <row r="5821" customFormat="false" ht="15" hidden="false" customHeight="false" outlineLevel="0" collapsed="false">
      <c r="A5821" s="26" t="s">
        <v>16579</v>
      </c>
      <c r="B5821" s="27" t="s">
        <v>16580</v>
      </c>
      <c r="C5821" s="27" t="s">
        <v>1612</v>
      </c>
      <c r="D5821" s="26"/>
      <c r="E5821" s="27"/>
      <c r="F5821" s="27"/>
      <c r="G5821" s="27" t="s">
        <v>11122</v>
      </c>
      <c r="H5821" s="27" t="s">
        <v>35</v>
      </c>
      <c r="I5821" s="27" t="s">
        <v>39</v>
      </c>
      <c r="J5821" s="28" t="s">
        <v>399</v>
      </c>
      <c r="K5821" s="27" t="s">
        <v>37</v>
      </c>
      <c r="L5821" s="27"/>
    </row>
    <row r="5822" customFormat="false" ht="15" hidden="false" customHeight="false" outlineLevel="0" collapsed="false">
      <c r="A5822" s="26" t="s">
        <v>16581</v>
      </c>
      <c r="B5822" s="27" t="s">
        <v>16582</v>
      </c>
      <c r="C5822" s="27" t="s">
        <v>144</v>
      </c>
      <c r="D5822" s="26"/>
      <c r="E5822" s="27"/>
      <c r="F5822" s="27"/>
      <c r="G5822" s="27" t="s">
        <v>11122</v>
      </c>
      <c r="H5822" s="27" t="s">
        <v>35</v>
      </c>
      <c r="I5822" s="27" t="s">
        <v>39</v>
      </c>
      <c r="J5822" s="28" t="s">
        <v>399</v>
      </c>
      <c r="K5822" s="27" t="s">
        <v>37</v>
      </c>
      <c r="L5822" s="27"/>
    </row>
    <row r="5823" customFormat="false" ht="15" hidden="false" customHeight="false" outlineLevel="0" collapsed="false">
      <c r="A5823" s="26" t="s">
        <v>16583</v>
      </c>
      <c r="B5823" s="27" t="s">
        <v>16584</v>
      </c>
      <c r="C5823" s="27" t="s">
        <v>1612</v>
      </c>
      <c r="D5823" s="26"/>
      <c r="E5823" s="27"/>
      <c r="F5823" s="27"/>
      <c r="G5823" s="27" t="s">
        <v>11122</v>
      </c>
      <c r="H5823" s="27" t="s">
        <v>35</v>
      </c>
      <c r="I5823" s="27" t="s">
        <v>39</v>
      </c>
      <c r="J5823" s="28" t="s">
        <v>399</v>
      </c>
      <c r="K5823" s="27" t="s">
        <v>37</v>
      </c>
      <c r="L5823" s="27"/>
    </row>
    <row r="5824" customFormat="false" ht="15" hidden="false" customHeight="false" outlineLevel="0" collapsed="false">
      <c r="A5824" s="26" t="s">
        <v>16585</v>
      </c>
      <c r="B5824" s="27" t="s">
        <v>16586</v>
      </c>
      <c r="C5824" s="27" t="s">
        <v>1612</v>
      </c>
      <c r="D5824" s="26"/>
      <c r="E5824" s="27"/>
      <c r="F5824" s="27"/>
      <c r="G5824" s="27" t="s">
        <v>11122</v>
      </c>
      <c r="H5824" s="27" t="s">
        <v>35</v>
      </c>
      <c r="I5824" s="27" t="s">
        <v>39</v>
      </c>
      <c r="J5824" s="28" t="s">
        <v>399</v>
      </c>
      <c r="K5824" s="27" t="s">
        <v>37</v>
      </c>
      <c r="L5824" s="27"/>
    </row>
    <row r="5825" customFormat="false" ht="15" hidden="false" customHeight="false" outlineLevel="0" collapsed="false">
      <c r="A5825" s="26" t="s">
        <v>16587</v>
      </c>
      <c r="B5825" s="27" t="s">
        <v>16588</v>
      </c>
      <c r="C5825" s="27" t="s">
        <v>144</v>
      </c>
      <c r="D5825" s="26"/>
      <c r="E5825" s="27"/>
      <c r="F5825" s="27"/>
      <c r="G5825" s="27" t="s">
        <v>11122</v>
      </c>
      <c r="H5825" s="27" t="s">
        <v>35</v>
      </c>
      <c r="I5825" s="27" t="s">
        <v>39</v>
      </c>
      <c r="J5825" s="28" t="s">
        <v>399</v>
      </c>
      <c r="K5825" s="27" t="s">
        <v>37</v>
      </c>
      <c r="L5825" s="27"/>
    </row>
    <row r="5826" customFormat="false" ht="15" hidden="false" customHeight="false" outlineLevel="0" collapsed="false">
      <c r="A5826" s="26" t="s">
        <v>16589</v>
      </c>
      <c r="B5826" s="27" t="s">
        <v>16590</v>
      </c>
      <c r="C5826" s="27" t="s">
        <v>144</v>
      </c>
      <c r="D5826" s="26"/>
      <c r="E5826" s="27"/>
      <c r="F5826" s="27"/>
      <c r="G5826" s="27" t="s">
        <v>11122</v>
      </c>
      <c r="H5826" s="27" t="s">
        <v>35</v>
      </c>
      <c r="I5826" s="27" t="s">
        <v>47</v>
      </c>
      <c r="J5826" s="28" t="s">
        <v>399</v>
      </c>
      <c r="K5826" s="27" t="s">
        <v>37</v>
      </c>
      <c r="L5826" s="27"/>
    </row>
    <row r="5827" customFormat="false" ht="15" hidden="false" customHeight="false" outlineLevel="0" collapsed="false">
      <c r="A5827" s="26" t="s">
        <v>16591</v>
      </c>
      <c r="B5827" s="27" t="s">
        <v>16592</v>
      </c>
      <c r="C5827" s="27" t="s">
        <v>144</v>
      </c>
      <c r="D5827" s="26"/>
      <c r="E5827" s="27"/>
      <c r="F5827" s="27"/>
      <c r="G5827" s="27" t="s">
        <v>11122</v>
      </c>
      <c r="H5827" s="27" t="s">
        <v>35</v>
      </c>
      <c r="I5827" s="27" t="s">
        <v>37</v>
      </c>
      <c r="J5827" s="28" t="s">
        <v>399</v>
      </c>
      <c r="K5827" s="27" t="s">
        <v>37</v>
      </c>
      <c r="L5827" s="27"/>
    </row>
    <row r="5828" customFormat="false" ht="15" hidden="false" customHeight="false" outlineLevel="0" collapsed="false">
      <c r="A5828" s="26" t="s">
        <v>16593</v>
      </c>
      <c r="B5828" s="27" t="s">
        <v>16594</v>
      </c>
      <c r="C5828" s="27" t="s">
        <v>144</v>
      </c>
      <c r="D5828" s="26"/>
      <c r="E5828" s="27"/>
      <c r="F5828" s="27"/>
      <c r="G5828" s="27" t="s">
        <v>11122</v>
      </c>
      <c r="H5828" s="27" t="s">
        <v>35</v>
      </c>
      <c r="I5828" s="27" t="s">
        <v>37</v>
      </c>
      <c r="J5828" s="28" t="s">
        <v>399</v>
      </c>
      <c r="K5828" s="27" t="s">
        <v>37</v>
      </c>
      <c r="L5828" s="27"/>
    </row>
    <row r="5829" customFormat="false" ht="15" hidden="false" customHeight="false" outlineLevel="0" collapsed="false">
      <c r="A5829" s="26" t="s">
        <v>16595</v>
      </c>
      <c r="B5829" s="27" t="s">
        <v>16596</v>
      </c>
      <c r="C5829" s="27" t="s">
        <v>1187</v>
      </c>
      <c r="D5829" s="26"/>
      <c r="E5829" s="27"/>
      <c r="F5829" s="27"/>
      <c r="G5829" s="27" t="s">
        <v>11122</v>
      </c>
      <c r="H5829" s="27" t="s">
        <v>35</v>
      </c>
      <c r="I5829" s="27" t="s">
        <v>47</v>
      </c>
      <c r="J5829" s="28" t="s">
        <v>399</v>
      </c>
      <c r="K5829" s="27" t="s">
        <v>37</v>
      </c>
      <c r="L5829" s="27"/>
    </row>
    <row r="5830" customFormat="false" ht="15" hidden="false" customHeight="false" outlineLevel="0" collapsed="false">
      <c r="A5830" s="26" t="s">
        <v>16597</v>
      </c>
      <c r="B5830" s="27" t="s">
        <v>16598</v>
      </c>
      <c r="C5830" s="27" t="s">
        <v>1612</v>
      </c>
      <c r="D5830" s="26"/>
      <c r="E5830" s="27"/>
      <c r="F5830" s="27"/>
      <c r="G5830" s="27" t="s">
        <v>11122</v>
      </c>
      <c r="H5830" s="27" t="s">
        <v>35</v>
      </c>
      <c r="I5830" s="27" t="s">
        <v>43</v>
      </c>
      <c r="J5830" s="28" t="s">
        <v>399</v>
      </c>
      <c r="K5830" s="27" t="s">
        <v>37</v>
      </c>
      <c r="L5830" s="27"/>
    </row>
    <row r="5831" customFormat="false" ht="15" hidden="false" customHeight="false" outlineLevel="0" collapsed="false">
      <c r="A5831" s="26" t="s">
        <v>16599</v>
      </c>
      <c r="B5831" s="27" t="s">
        <v>16600</v>
      </c>
      <c r="C5831" s="27" t="s">
        <v>144</v>
      </c>
      <c r="D5831" s="26"/>
      <c r="E5831" s="27"/>
      <c r="F5831" s="27"/>
      <c r="G5831" s="27" t="s">
        <v>11122</v>
      </c>
      <c r="H5831" s="27" t="s">
        <v>35</v>
      </c>
      <c r="I5831" s="27" t="s">
        <v>43</v>
      </c>
      <c r="J5831" s="28" t="s">
        <v>399</v>
      </c>
      <c r="K5831" s="27" t="s">
        <v>37</v>
      </c>
      <c r="L5831" s="27"/>
    </row>
    <row r="5832" customFormat="false" ht="15" hidden="false" customHeight="false" outlineLevel="0" collapsed="false">
      <c r="A5832" s="26" t="s">
        <v>16601</v>
      </c>
      <c r="B5832" s="27" t="s">
        <v>16602</v>
      </c>
      <c r="C5832" s="27" t="s">
        <v>144</v>
      </c>
      <c r="D5832" s="26"/>
      <c r="E5832" s="27"/>
      <c r="F5832" s="27"/>
      <c r="G5832" s="27" t="s">
        <v>11122</v>
      </c>
      <c r="H5832" s="27" t="s">
        <v>35</v>
      </c>
      <c r="I5832" s="27" t="s">
        <v>39</v>
      </c>
      <c r="J5832" s="28" t="s">
        <v>399</v>
      </c>
      <c r="K5832" s="27" t="s">
        <v>37</v>
      </c>
      <c r="L5832" s="27"/>
    </row>
    <row r="5833" customFormat="false" ht="15" hidden="false" customHeight="false" outlineLevel="0" collapsed="false">
      <c r="A5833" s="26" t="s">
        <v>16603</v>
      </c>
      <c r="B5833" s="27" t="s">
        <v>16604</v>
      </c>
      <c r="C5833" s="27" t="s">
        <v>144</v>
      </c>
      <c r="D5833" s="26"/>
      <c r="E5833" s="27"/>
      <c r="F5833" s="27"/>
      <c r="G5833" s="27" t="s">
        <v>11122</v>
      </c>
      <c r="H5833" s="27" t="s">
        <v>35</v>
      </c>
      <c r="I5833" s="27" t="s">
        <v>40</v>
      </c>
      <c r="J5833" s="28" t="s">
        <v>399</v>
      </c>
      <c r="K5833" s="27" t="s">
        <v>37</v>
      </c>
      <c r="L5833" s="27"/>
    </row>
    <row r="5834" customFormat="false" ht="15" hidden="false" customHeight="false" outlineLevel="0" collapsed="false">
      <c r="A5834" s="26" t="s">
        <v>16605</v>
      </c>
      <c r="B5834" s="27" t="s">
        <v>16606</v>
      </c>
      <c r="C5834" s="27" t="s">
        <v>1187</v>
      </c>
      <c r="D5834" s="26"/>
      <c r="E5834" s="27"/>
      <c r="F5834" s="27"/>
      <c r="G5834" s="27" t="s">
        <v>11122</v>
      </c>
      <c r="H5834" s="27" t="s">
        <v>35</v>
      </c>
      <c r="I5834" s="27" t="s">
        <v>1067</v>
      </c>
      <c r="J5834" s="28" t="s">
        <v>399</v>
      </c>
      <c r="K5834" s="27" t="s">
        <v>37</v>
      </c>
      <c r="L5834" s="27"/>
    </row>
    <row r="5835" customFormat="false" ht="15" hidden="false" customHeight="false" outlineLevel="0" collapsed="false">
      <c r="A5835" s="26" t="s">
        <v>16607</v>
      </c>
      <c r="B5835" s="27" t="s">
        <v>16608</v>
      </c>
      <c r="C5835" s="27" t="s">
        <v>1187</v>
      </c>
      <c r="D5835" s="26"/>
      <c r="E5835" s="27"/>
      <c r="F5835" s="27"/>
      <c r="G5835" s="27" t="s">
        <v>11122</v>
      </c>
      <c r="H5835" s="27" t="s">
        <v>35</v>
      </c>
      <c r="I5835" s="27" t="s">
        <v>1067</v>
      </c>
      <c r="J5835" s="28" t="s">
        <v>399</v>
      </c>
      <c r="K5835" s="27" t="s">
        <v>37</v>
      </c>
      <c r="L5835" s="27"/>
    </row>
    <row r="5836" customFormat="false" ht="15" hidden="false" customHeight="false" outlineLevel="0" collapsed="false">
      <c r="A5836" s="26" t="s">
        <v>16609</v>
      </c>
      <c r="B5836" s="27" t="s">
        <v>16610</v>
      </c>
      <c r="C5836" s="27" t="s">
        <v>1187</v>
      </c>
      <c r="D5836" s="26"/>
      <c r="E5836" s="27"/>
      <c r="F5836" s="27"/>
      <c r="G5836" s="27" t="s">
        <v>11122</v>
      </c>
      <c r="H5836" s="27" t="s">
        <v>35</v>
      </c>
      <c r="I5836" s="27" t="s">
        <v>1067</v>
      </c>
      <c r="J5836" s="28" t="s">
        <v>399</v>
      </c>
      <c r="K5836" s="27" t="s">
        <v>37</v>
      </c>
      <c r="L5836" s="27"/>
    </row>
    <row r="5837" customFormat="false" ht="15" hidden="false" customHeight="false" outlineLevel="0" collapsed="false">
      <c r="A5837" s="26" t="s">
        <v>16611</v>
      </c>
      <c r="B5837" s="27" t="s">
        <v>16612</v>
      </c>
      <c r="C5837" s="27" t="s">
        <v>144</v>
      </c>
      <c r="D5837" s="26"/>
      <c r="E5837" s="27"/>
      <c r="F5837" s="27"/>
      <c r="G5837" s="27" t="s">
        <v>11122</v>
      </c>
      <c r="H5837" s="27" t="s">
        <v>35</v>
      </c>
      <c r="I5837" s="27" t="s">
        <v>40</v>
      </c>
      <c r="J5837" s="28" t="s">
        <v>399</v>
      </c>
      <c r="K5837" s="27" t="s">
        <v>37</v>
      </c>
      <c r="L5837" s="27"/>
    </row>
    <row r="5838" customFormat="false" ht="15" hidden="false" customHeight="false" outlineLevel="0" collapsed="false">
      <c r="A5838" s="26" t="s">
        <v>16613</v>
      </c>
      <c r="B5838" s="27" t="s">
        <v>16614</v>
      </c>
      <c r="C5838" s="27" t="s">
        <v>144</v>
      </c>
      <c r="D5838" s="26"/>
      <c r="E5838" s="27"/>
      <c r="F5838" s="27"/>
      <c r="G5838" s="27" t="s">
        <v>11122</v>
      </c>
      <c r="H5838" s="27" t="s">
        <v>35</v>
      </c>
      <c r="I5838" s="27" t="s">
        <v>47</v>
      </c>
      <c r="J5838" s="28" t="s">
        <v>399</v>
      </c>
      <c r="K5838" s="27" t="s">
        <v>37</v>
      </c>
      <c r="L5838" s="27"/>
    </row>
    <row r="5839" customFormat="false" ht="15" hidden="false" customHeight="false" outlineLevel="0" collapsed="false">
      <c r="A5839" s="26" t="s">
        <v>16615</v>
      </c>
      <c r="B5839" s="27" t="s">
        <v>16616</v>
      </c>
      <c r="C5839" s="27" t="s">
        <v>144</v>
      </c>
      <c r="D5839" s="26"/>
      <c r="E5839" s="27"/>
      <c r="F5839" s="27"/>
      <c r="G5839" s="27" t="s">
        <v>11122</v>
      </c>
      <c r="H5839" s="27" t="s">
        <v>35</v>
      </c>
      <c r="I5839" s="27" t="s">
        <v>64</v>
      </c>
      <c r="J5839" s="28" t="s">
        <v>399</v>
      </c>
      <c r="K5839" s="27" t="s">
        <v>37</v>
      </c>
      <c r="L5839" s="27"/>
    </row>
    <row r="5840" customFormat="false" ht="15" hidden="false" customHeight="false" outlineLevel="0" collapsed="false">
      <c r="A5840" s="26" t="s">
        <v>16617</v>
      </c>
      <c r="B5840" s="27" t="s">
        <v>16618</v>
      </c>
      <c r="C5840" s="27" t="s">
        <v>1187</v>
      </c>
      <c r="D5840" s="26"/>
      <c r="E5840" s="27"/>
      <c r="F5840" s="27"/>
      <c r="G5840" s="27" t="s">
        <v>11122</v>
      </c>
      <c r="H5840" s="27" t="s">
        <v>35</v>
      </c>
      <c r="I5840" s="27" t="s">
        <v>39</v>
      </c>
      <c r="J5840" s="28" t="s">
        <v>399</v>
      </c>
      <c r="K5840" s="27" t="s">
        <v>37</v>
      </c>
      <c r="L5840" s="27"/>
    </row>
    <row r="5841" customFormat="false" ht="15" hidden="false" customHeight="false" outlineLevel="0" collapsed="false">
      <c r="A5841" s="26" t="s">
        <v>16619</v>
      </c>
      <c r="B5841" s="27" t="s">
        <v>16620</v>
      </c>
      <c r="C5841" s="27" t="s">
        <v>144</v>
      </c>
      <c r="D5841" s="26"/>
      <c r="E5841" s="27"/>
      <c r="F5841" s="27"/>
      <c r="G5841" s="27" t="s">
        <v>11122</v>
      </c>
      <c r="H5841" s="27" t="s">
        <v>35</v>
      </c>
      <c r="I5841" s="27" t="s">
        <v>39</v>
      </c>
      <c r="J5841" s="28" t="s">
        <v>399</v>
      </c>
      <c r="K5841" s="27" t="s">
        <v>37</v>
      </c>
      <c r="L5841" s="27"/>
    </row>
    <row r="5842" customFormat="false" ht="15" hidden="false" customHeight="false" outlineLevel="0" collapsed="false">
      <c r="A5842" s="26" t="s">
        <v>16621</v>
      </c>
      <c r="B5842" s="27" t="s">
        <v>16622</v>
      </c>
      <c r="C5842" s="27" t="s">
        <v>144</v>
      </c>
      <c r="D5842" s="26"/>
      <c r="E5842" s="27"/>
      <c r="F5842" s="27"/>
      <c r="G5842" s="27" t="s">
        <v>11122</v>
      </c>
      <c r="H5842" s="27" t="s">
        <v>35</v>
      </c>
      <c r="I5842" s="27" t="s">
        <v>39</v>
      </c>
      <c r="J5842" s="28" t="s">
        <v>399</v>
      </c>
      <c r="K5842" s="27" t="s">
        <v>37</v>
      </c>
      <c r="L5842" s="27"/>
    </row>
    <row r="5843" customFormat="false" ht="15" hidden="false" customHeight="false" outlineLevel="0" collapsed="false">
      <c r="A5843" s="26" t="s">
        <v>16623</v>
      </c>
      <c r="B5843" s="27" t="s">
        <v>16624</v>
      </c>
      <c r="C5843" s="27" t="s">
        <v>1187</v>
      </c>
      <c r="D5843" s="26"/>
      <c r="E5843" s="27"/>
      <c r="F5843" s="27"/>
      <c r="G5843" s="27" t="s">
        <v>11122</v>
      </c>
      <c r="H5843" s="27" t="s">
        <v>35</v>
      </c>
      <c r="I5843" s="27" t="s">
        <v>37</v>
      </c>
      <c r="J5843" s="28" t="s">
        <v>399</v>
      </c>
      <c r="K5843" s="27" t="s">
        <v>37</v>
      </c>
      <c r="L5843" s="27"/>
    </row>
    <row r="5844" customFormat="false" ht="15" hidden="false" customHeight="false" outlineLevel="0" collapsed="false">
      <c r="A5844" s="26" t="s">
        <v>16625</v>
      </c>
      <c r="B5844" s="27" t="s">
        <v>16626</v>
      </c>
      <c r="C5844" s="27" t="s">
        <v>1612</v>
      </c>
      <c r="D5844" s="26"/>
      <c r="E5844" s="27"/>
      <c r="F5844" s="27"/>
      <c r="G5844" s="27" t="s">
        <v>11122</v>
      </c>
      <c r="H5844" s="27" t="s">
        <v>35</v>
      </c>
      <c r="I5844" s="27" t="s">
        <v>42</v>
      </c>
      <c r="J5844" s="28" t="s">
        <v>399</v>
      </c>
      <c r="K5844" s="27" t="s">
        <v>37</v>
      </c>
      <c r="L5844" s="27"/>
    </row>
    <row r="5845" customFormat="false" ht="15" hidden="false" customHeight="false" outlineLevel="0" collapsed="false">
      <c r="A5845" s="26" t="s">
        <v>16627</v>
      </c>
      <c r="B5845" s="27" t="s">
        <v>16628</v>
      </c>
      <c r="C5845" s="27" t="s">
        <v>144</v>
      </c>
      <c r="D5845" s="26"/>
      <c r="E5845" s="27"/>
      <c r="F5845" s="27"/>
      <c r="G5845" s="27" t="s">
        <v>11122</v>
      </c>
      <c r="H5845" s="27" t="s">
        <v>35</v>
      </c>
      <c r="I5845" s="27" t="s">
        <v>37</v>
      </c>
      <c r="J5845" s="28" t="s">
        <v>399</v>
      </c>
      <c r="K5845" s="27" t="s">
        <v>37</v>
      </c>
      <c r="L5845" s="27"/>
    </row>
    <row r="5846" customFormat="false" ht="15" hidden="false" customHeight="false" outlineLevel="0" collapsed="false">
      <c r="A5846" s="26" t="s">
        <v>16629</v>
      </c>
      <c r="B5846" s="27" t="s">
        <v>16630</v>
      </c>
      <c r="C5846" s="27" t="s">
        <v>144</v>
      </c>
      <c r="D5846" s="26"/>
      <c r="E5846" s="27"/>
      <c r="F5846" s="27"/>
      <c r="G5846" s="27" t="s">
        <v>11122</v>
      </c>
      <c r="H5846" s="27" t="s">
        <v>35</v>
      </c>
      <c r="I5846" s="27" t="s">
        <v>40</v>
      </c>
      <c r="J5846" s="28" t="s">
        <v>399</v>
      </c>
      <c r="K5846" s="27" t="s">
        <v>37</v>
      </c>
      <c r="L5846" s="27"/>
    </row>
    <row r="5847" customFormat="false" ht="15" hidden="false" customHeight="false" outlineLevel="0" collapsed="false">
      <c r="A5847" s="26" t="s">
        <v>16631</v>
      </c>
      <c r="B5847" s="27" t="s">
        <v>16632</v>
      </c>
      <c r="C5847" s="27" t="s">
        <v>144</v>
      </c>
      <c r="D5847" s="26"/>
      <c r="E5847" s="27"/>
      <c r="F5847" s="27"/>
      <c r="G5847" s="27" t="s">
        <v>11122</v>
      </c>
      <c r="H5847" s="27" t="s">
        <v>35</v>
      </c>
      <c r="I5847" s="27" t="s">
        <v>40</v>
      </c>
      <c r="J5847" s="28" t="s">
        <v>399</v>
      </c>
      <c r="K5847" s="27" t="s">
        <v>37</v>
      </c>
      <c r="L5847" s="27"/>
    </row>
    <row r="5848" customFormat="false" ht="15" hidden="false" customHeight="false" outlineLevel="0" collapsed="false">
      <c r="A5848" s="26" t="s">
        <v>16633</v>
      </c>
      <c r="B5848" s="27" t="s">
        <v>16634</v>
      </c>
      <c r="C5848" s="27" t="s">
        <v>144</v>
      </c>
      <c r="D5848" s="26"/>
      <c r="E5848" s="27"/>
      <c r="F5848" s="27"/>
      <c r="G5848" s="27" t="s">
        <v>11122</v>
      </c>
      <c r="H5848" s="27" t="s">
        <v>35</v>
      </c>
      <c r="I5848" s="27" t="s">
        <v>37</v>
      </c>
      <c r="J5848" s="28" t="s">
        <v>399</v>
      </c>
      <c r="K5848" s="27" t="s">
        <v>37</v>
      </c>
      <c r="L5848" s="27"/>
    </row>
    <row r="5849" customFormat="false" ht="15" hidden="false" customHeight="false" outlineLevel="0" collapsed="false">
      <c r="A5849" s="26" t="s">
        <v>16635</v>
      </c>
      <c r="B5849" s="27" t="s">
        <v>16636</v>
      </c>
      <c r="C5849" s="27" t="s">
        <v>144</v>
      </c>
      <c r="D5849" s="26"/>
      <c r="E5849" s="27"/>
      <c r="F5849" s="27"/>
      <c r="G5849" s="27" t="s">
        <v>11122</v>
      </c>
      <c r="H5849" s="27" t="s">
        <v>35</v>
      </c>
      <c r="I5849" s="27" t="s">
        <v>37</v>
      </c>
      <c r="J5849" s="28" t="s">
        <v>399</v>
      </c>
      <c r="K5849" s="27" t="s">
        <v>37</v>
      </c>
      <c r="L5849" s="27"/>
    </row>
    <row r="5850" customFormat="false" ht="15" hidden="false" customHeight="false" outlineLevel="0" collapsed="false">
      <c r="A5850" s="26" t="s">
        <v>16637</v>
      </c>
      <c r="B5850" s="27" t="s">
        <v>16638</v>
      </c>
      <c r="C5850" s="27" t="s">
        <v>144</v>
      </c>
      <c r="D5850" s="26"/>
      <c r="E5850" s="27"/>
      <c r="F5850" s="27"/>
      <c r="G5850" s="27" t="s">
        <v>11122</v>
      </c>
      <c r="H5850" s="27" t="s">
        <v>35</v>
      </c>
      <c r="I5850" s="27" t="s">
        <v>37</v>
      </c>
      <c r="J5850" s="28" t="s">
        <v>399</v>
      </c>
      <c r="K5850" s="27" t="s">
        <v>37</v>
      </c>
      <c r="L5850" s="27"/>
    </row>
    <row r="5851" customFormat="false" ht="15" hidden="false" customHeight="false" outlineLevel="0" collapsed="false">
      <c r="A5851" s="26" t="s">
        <v>16639</v>
      </c>
      <c r="B5851" s="27" t="s">
        <v>16640</v>
      </c>
      <c r="C5851" s="27" t="s">
        <v>144</v>
      </c>
      <c r="D5851" s="26"/>
      <c r="E5851" s="27"/>
      <c r="F5851" s="27"/>
      <c r="G5851" s="27" t="s">
        <v>11122</v>
      </c>
      <c r="H5851" s="27" t="s">
        <v>35</v>
      </c>
      <c r="I5851" s="27" t="s">
        <v>37</v>
      </c>
      <c r="J5851" s="28" t="s">
        <v>399</v>
      </c>
      <c r="K5851" s="27" t="s">
        <v>37</v>
      </c>
      <c r="L5851" s="27"/>
    </row>
    <row r="5852" customFormat="false" ht="15" hidden="false" customHeight="false" outlineLevel="0" collapsed="false">
      <c r="A5852" s="26" t="s">
        <v>16641</v>
      </c>
      <c r="B5852" s="27" t="s">
        <v>16642</v>
      </c>
      <c r="C5852" s="27" t="s">
        <v>1187</v>
      </c>
      <c r="D5852" s="26"/>
      <c r="E5852" s="27"/>
      <c r="F5852" s="27"/>
      <c r="G5852" s="27" t="s">
        <v>11122</v>
      </c>
      <c r="H5852" s="27" t="s">
        <v>35</v>
      </c>
      <c r="I5852" s="27" t="s">
        <v>37</v>
      </c>
      <c r="J5852" s="28" t="s">
        <v>399</v>
      </c>
      <c r="K5852" s="27" t="s">
        <v>37</v>
      </c>
      <c r="L5852" s="27"/>
    </row>
    <row r="5853" customFormat="false" ht="15" hidden="false" customHeight="false" outlineLevel="0" collapsed="false">
      <c r="A5853" s="26" t="s">
        <v>16643</v>
      </c>
      <c r="B5853" s="27" t="s">
        <v>16644</v>
      </c>
      <c r="C5853" s="27" t="s">
        <v>144</v>
      </c>
      <c r="D5853" s="26"/>
      <c r="E5853" s="27"/>
      <c r="F5853" s="27"/>
      <c r="G5853" s="27" t="s">
        <v>11122</v>
      </c>
      <c r="H5853" s="27" t="s">
        <v>35</v>
      </c>
      <c r="I5853" s="27" t="s">
        <v>37</v>
      </c>
      <c r="J5853" s="28" t="s">
        <v>399</v>
      </c>
      <c r="K5853" s="27" t="s">
        <v>37</v>
      </c>
      <c r="L5853" s="27"/>
    </row>
    <row r="5854" customFormat="false" ht="15" hidden="false" customHeight="false" outlineLevel="0" collapsed="false">
      <c r="A5854" s="26" t="s">
        <v>16645</v>
      </c>
      <c r="B5854" s="27" t="s">
        <v>16646</v>
      </c>
      <c r="C5854" s="27" t="s">
        <v>1187</v>
      </c>
      <c r="D5854" s="26"/>
      <c r="E5854" s="27"/>
      <c r="F5854" s="27"/>
      <c r="G5854" s="27" t="s">
        <v>11122</v>
      </c>
      <c r="H5854" s="27" t="s">
        <v>35</v>
      </c>
      <c r="I5854" s="27" t="s">
        <v>37</v>
      </c>
      <c r="J5854" s="28" t="s">
        <v>399</v>
      </c>
      <c r="K5854" s="27" t="s">
        <v>37</v>
      </c>
      <c r="L5854" s="27"/>
    </row>
    <row r="5855" customFormat="false" ht="15" hidden="false" customHeight="false" outlineLevel="0" collapsed="false">
      <c r="A5855" s="26" t="s">
        <v>16647</v>
      </c>
      <c r="B5855" s="27" t="s">
        <v>16648</v>
      </c>
      <c r="C5855" s="27" t="s">
        <v>1187</v>
      </c>
      <c r="D5855" s="26"/>
      <c r="E5855" s="27"/>
      <c r="F5855" s="27"/>
      <c r="G5855" s="27" t="s">
        <v>11122</v>
      </c>
      <c r="H5855" s="27" t="s">
        <v>35</v>
      </c>
      <c r="I5855" s="27" t="s">
        <v>37</v>
      </c>
      <c r="J5855" s="28" t="s">
        <v>399</v>
      </c>
      <c r="K5855" s="27" t="s">
        <v>37</v>
      </c>
      <c r="L5855" s="27"/>
    </row>
    <row r="5856" customFormat="false" ht="15" hidden="false" customHeight="false" outlineLevel="0" collapsed="false">
      <c r="A5856" s="26" t="s">
        <v>16649</v>
      </c>
      <c r="B5856" s="27" t="s">
        <v>16650</v>
      </c>
      <c r="C5856" s="27" t="s">
        <v>144</v>
      </c>
      <c r="D5856" s="26"/>
      <c r="E5856" s="27"/>
      <c r="F5856" s="27"/>
      <c r="G5856" s="27" t="s">
        <v>11122</v>
      </c>
      <c r="H5856" s="27" t="s">
        <v>35</v>
      </c>
      <c r="I5856" s="27" t="s">
        <v>37</v>
      </c>
      <c r="J5856" s="28" t="s">
        <v>399</v>
      </c>
      <c r="K5856" s="27" t="s">
        <v>37</v>
      </c>
      <c r="L5856" s="27"/>
    </row>
    <row r="5857" customFormat="false" ht="15" hidden="false" customHeight="false" outlineLevel="0" collapsed="false">
      <c r="A5857" s="26" t="s">
        <v>16651</v>
      </c>
      <c r="B5857" s="27" t="s">
        <v>16652</v>
      </c>
      <c r="C5857" s="27" t="s">
        <v>144</v>
      </c>
      <c r="D5857" s="26"/>
      <c r="E5857" s="27"/>
      <c r="F5857" s="27"/>
      <c r="G5857" s="27" t="s">
        <v>11122</v>
      </c>
      <c r="H5857" s="27" t="s">
        <v>35</v>
      </c>
      <c r="I5857" s="27" t="s">
        <v>37</v>
      </c>
      <c r="J5857" s="28" t="s">
        <v>399</v>
      </c>
      <c r="K5857" s="27" t="s">
        <v>37</v>
      </c>
      <c r="L5857" s="27"/>
    </row>
    <row r="5858" customFormat="false" ht="15" hidden="false" customHeight="false" outlineLevel="0" collapsed="false">
      <c r="A5858" s="26" t="s">
        <v>16653</v>
      </c>
      <c r="B5858" s="27" t="s">
        <v>16654</v>
      </c>
      <c r="C5858" s="27" t="s">
        <v>1187</v>
      </c>
      <c r="D5858" s="26"/>
      <c r="E5858" s="27"/>
      <c r="F5858" s="27"/>
      <c r="G5858" s="27" t="s">
        <v>11122</v>
      </c>
      <c r="H5858" s="27" t="s">
        <v>35</v>
      </c>
      <c r="I5858" s="27" t="s">
        <v>37</v>
      </c>
      <c r="J5858" s="28" t="s">
        <v>399</v>
      </c>
      <c r="K5858" s="27" t="s">
        <v>37</v>
      </c>
      <c r="L5858" s="27"/>
    </row>
    <row r="5859" customFormat="false" ht="15" hidden="false" customHeight="false" outlineLevel="0" collapsed="false">
      <c r="A5859" s="26" t="s">
        <v>16655</v>
      </c>
      <c r="B5859" s="27" t="s">
        <v>16656</v>
      </c>
      <c r="C5859" s="27" t="s">
        <v>144</v>
      </c>
      <c r="D5859" s="26"/>
      <c r="E5859" s="27"/>
      <c r="F5859" s="27"/>
      <c r="G5859" s="27" t="s">
        <v>11122</v>
      </c>
      <c r="H5859" s="27" t="s">
        <v>35</v>
      </c>
      <c r="I5859" s="27" t="s">
        <v>37</v>
      </c>
      <c r="J5859" s="28" t="s">
        <v>399</v>
      </c>
      <c r="K5859" s="27" t="s">
        <v>37</v>
      </c>
      <c r="L5859" s="27"/>
    </row>
    <row r="5860" customFormat="false" ht="15" hidden="false" customHeight="false" outlineLevel="0" collapsed="false">
      <c r="A5860" s="26" t="s">
        <v>16657</v>
      </c>
      <c r="B5860" s="27" t="s">
        <v>16658</v>
      </c>
      <c r="C5860" s="27" t="s">
        <v>144</v>
      </c>
      <c r="D5860" s="26"/>
      <c r="E5860" s="27"/>
      <c r="F5860" s="27"/>
      <c r="G5860" s="27" t="s">
        <v>11122</v>
      </c>
      <c r="H5860" s="27" t="s">
        <v>35</v>
      </c>
      <c r="I5860" s="27" t="s">
        <v>37</v>
      </c>
      <c r="J5860" s="28" t="s">
        <v>399</v>
      </c>
      <c r="K5860" s="27" t="s">
        <v>37</v>
      </c>
      <c r="L5860" s="27"/>
    </row>
    <row r="5861" customFormat="false" ht="15" hidden="false" customHeight="false" outlineLevel="0" collapsed="false">
      <c r="A5861" s="26" t="s">
        <v>16659</v>
      </c>
      <c r="B5861" s="27" t="s">
        <v>16660</v>
      </c>
      <c r="C5861" s="27" t="s">
        <v>144</v>
      </c>
      <c r="D5861" s="26"/>
      <c r="E5861" s="27"/>
      <c r="F5861" s="27"/>
      <c r="G5861" s="27" t="s">
        <v>11122</v>
      </c>
      <c r="H5861" s="27" t="s">
        <v>35</v>
      </c>
      <c r="I5861" s="27" t="s">
        <v>37</v>
      </c>
      <c r="J5861" s="28" t="s">
        <v>399</v>
      </c>
      <c r="K5861" s="27" t="s">
        <v>37</v>
      </c>
      <c r="L5861" s="27"/>
    </row>
    <row r="5862" customFormat="false" ht="15" hidden="false" customHeight="false" outlineLevel="0" collapsed="false">
      <c r="A5862" s="26" t="s">
        <v>16661</v>
      </c>
      <c r="B5862" s="27" t="s">
        <v>16662</v>
      </c>
      <c r="C5862" s="27" t="s">
        <v>1187</v>
      </c>
      <c r="D5862" s="26"/>
      <c r="E5862" s="27"/>
      <c r="F5862" s="27"/>
      <c r="G5862" s="27" t="s">
        <v>11122</v>
      </c>
      <c r="H5862" s="27" t="s">
        <v>35</v>
      </c>
      <c r="I5862" s="27" t="s">
        <v>37</v>
      </c>
      <c r="J5862" s="28" t="s">
        <v>399</v>
      </c>
      <c r="K5862" s="27" t="s">
        <v>37</v>
      </c>
      <c r="L5862" s="27"/>
    </row>
    <row r="5863" customFormat="false" ht="15" hidden="false" customHeight="false" outlineLevel="0" collapsed="false">
      <c r="A5863" s="26" t="s">
        <v>16663</v>
      </c>
      <c r="B5863" s="27" t="s">
        <v>16664</v>
      </c>
      <c r="C5863" s="27" t="s">
        <v>1187</v>
      </c>
      <c r="D5863" s="26"/>
      <c r="E5863" s="27"/>
      <c r="F5863" s="27"/>
      <c r="G5863" s="27" t="s">
        <v>11122</v>
      </c>
      <c r="H5863" s="27" t="s">
        <v>35</v>
      </c>
      <c r="I5863" s="27" t="s">
        <v>37</v>
      </c>
      <c r="J5863" s="28" t="s">
        <v>399</v>
      </c>
      <c r="K5863" s="27" t="s">
        <v>37</v>
      </c>
      <c r="L5863" s="27"/>
    </row>
    <row r="5864" customFormat="false" ht="15" hidden="false" customHeight="false" outlineLevel="0" collapsed="false">
      <c r="A5864" s="26" t="s">
        <v>16665</v>
      </c>
      <c r="B5864" s="27" t="s">
        <v>16666</v>
      </c>
      <c r="C5864" s="27" t="s">
        <v>144</v>
      </c>
      <c r="D5864" s="26"/>
      <c r="E5864" s="27"/>
      <c r="F5864" s="27"/>
      <c r="G5864" s="27" t="s">
        <v>11122</v>
      </c>
      <c r="H5864" s="27" t="s">
        <v>35</v>
      </c>
      <c r="I5864" s="27" t="s">
        <v>37</v>
      </c>
      <c r="J5864" s="28" t="s">
        <v>399</v>
      </c>
      <c r="K5864" s="27" t="s">
        <v>37</v>
      </c>
      <c r="L5864" s="27"/>
    </row>
    <row r="5865" customFormat="false" ht="15" hidden="false" customHeight="false" outlineLevel="0" collapsed="false">
      <c r="A5865" s="26" t="s">
        <v>16667</v>
      </c>
      <c r="B5865" s="27" t="s">
        <v>16668</v>
      </c>
      <c r="C5865" s="27" t="s">
        <v>144</v>
      </c>
      <c r="D5865" s="26"/>
      <c r="E5865" s="27"/>
      <c r="F5865" s="27"/>
      <c r="G5865" s="27" t="s">
        <v>11122</v>
      </c>
      <c r="H5865" s="27" t="s">
        <v>35</v>
      </c>
      <c r="I5865" s="27" t="s">
        <v>37</v>
      </c>
      <c r="J5865" s="28" t="s">
        <v>399</v>
      </c>
      <c r="K5865" s="27" t="s">
        <v>37</v>
      </c>
      <c r="L5865" s="27"/>
    </row>
    <row r="5866" customFormat="false" ht="15" hidden="false" customHeight="false" outlineLevel="0" collapsed="false">
      <c r="A5866" s="26" t="s">
        <v>16669</v>
      </c>
      <c r="B5866" s="27" t="s">
        <v>16670</v>
      </c>
      <c r="C5866" s="27" t="s">
        <v>144</v>
      </c>
      <c r="D5866" s="26"/>
      <c r="E5866" s="27"/>
      <c r="F5866" s="27"/>
      <c r="G5866" s="27" t="s">
        <v>11122</v>
      </c>
      <c r="H5866" s="27" t="s">
        <v>35</v>
      </c>
      <c r="I5866" s="27" t="s">
        <v>37</v>
      </c>
      <c r="J5866" s="28" t="s">
        <v>399</v>
      </c>
      <c r="K5866" s="27" t="s">
        <v>37</v>
      </c>
      <c r="L5866" s="27"/>
    </row>
    <row r="5867" customFormat="false" ht="15" hidden="false" customHeight="false" outlineLevel="0" collapsed="false">
      <c r="A5867" s="26" t="s">
        <v>16671</v>
      </c>
      <c r="B5867" s="27" t="s">
        <v>16672</v>
      </c>
      <c r="C5867" s="27" t="s">
        <v>144</v>
      </c>
      <c r="D5867" s="26"/>
      <c r="E5867" s="27"/>
      <c r="F5867" s="27"/>
      <c r="G5867" s="27" t="s">
        <v>11122</v>
      </c>
      <c r="H5867" s="27" t="s">
        <v>35</v>
      </c>
      <c r="I5867" s="27" t="s">
        <v>41</v>
      </c>
      <c r="J5867" s="28" t="s">
        <v>399</v>
      </c>
      <c r="K5867" s="27" t="s">
        <v>37</v>
      </c>
      <c r="L5867" s="27"/>
    </row>
    <row r="5868" customFormat="false" ht="15" hidden="false" customHeight="false" outlineLevel="0" collapsed="false">
      <c r="A5868" s="26" t="s">
        <v>16673</v>
      </c>
      <c r="B5868" s="27" t="s">
        <v>16674</v>
      </c>
      <c r="C5868" s="27" t="s">
        <v>1187</v>
      </c>
      <c r="D5868" s="26"/>
      <c r="E5868" s="27"/>
      <c r="F5868" s="27"/>
      <c r="G5868" s="27" t="s">
        <v>11122</v>
      </c>
      <c r="H5868" s="27" t="s">
        <v>35</v>
      </c>
      <c r="I5868" s="27" t="s">
        <v>37</v>
      </c>
      <c r="J5868" s="28" t="s">
        <v>399</v>
      </c>
      <c r="K5868" s="27" t="s">
        <v>37</v>
      </c>
      <c r="L5868" s="27"/>
    </row>
    <row r="5869" customFormat="false" ht="15" hidden="false" customHeight="false" outlineLevel="0" collapsed="false">
      <c r="A5869" s="26" t="s">
        <v>16675</v>
      </c>
      <c r="B5869" s="27" t="s">
        <v>16676</v>
      </c>
      <c r="C5869" s="27" t="s">
        <v>144</v>
      </c>
      <c r="D5869" s="26"/>
      <c r="E5869" s="27"/>
      <c r="F5869" s="27"/>
      <c r="G5869" s="27" t="s">
        <v>11122</v>
      </c>
      <c r="H5869" s="27" t="s">
        <v>35</v>
      </c>
      <c r="I5869" s="27" t="s">
        <v>37</v>
      </c>
      <c r="J5869" s="28" t="s">
        <v>399</v>
      </c>
      <c r="K5869" s="27" t="s">
        <v>37</v>
      </c>
      <c r="L5869" s="27"/>
    </row>
    <row r="5870" customFormat="false" ht="15" hidden="false" customHeight="false" outlineLevel="0" collapsed="false">
      <c r="A5870" s="26" t="s">
        <v>16677</v>
      </c>
      <c r="B5870" s="27" t="s">
        <v>16678</v>
      </c>
      <c r="C5870" s="27" t="s">
        <v>144</v>
      </c>
      <c r="D5870" s="26"/>
      <c r="E5870" s="27"/>
      <c r="F5870" s="27"/>
      <c r="G5870" s="27" t="s">
        <v>11122</v>
      </c>
      <c r="H5870" s="27" t="s">
        <v>35</v>
      </c>
      <c r="I5870" s="27" t="s">
        <v>37</v>
      </c>
      <c r="J5870" s="28" t="s">
        <v>399</v>
      </c>
      <c r="K5870" s="27" t="s">
        <v>37</v>
      </c>
      <c r="L5870" s="27"/>
    </row>
    <row r="5871" customFormat="false" ht="15" hidden="false" customHeight="false" outlineLevel="0" collapsed="false">
      <c r="A5871" s="26" t="s">
        <v>16679</v>
      </c>
      <c r="B5871" s="27" t="s">
        <v>16680</v>
      </c>
      <c r="C5871" s="27" t="s">
        <v>1187</v>
      </c>
      <c r="D5871" s="26"/>
      <c r="E5871" s="27"/>
      <c r="F5871" s="27"/>
      <c r="G5871" s="27" t="s">
        <v>11122</v>
      </c>
      <c r="H5871" s="27" t="s">
        <v>35</v>
      </c>
      <c r="I5871" s="27" t="s">
        <v>37</v>
      </c>
      <c r="J5871" s="28" t="s">
        <v>399</v>
      </c>
      <c r="K5871" s="27" t="s">
        <v>37</v>
      </c>
      <c r="L5871" s="27"/>
    </row>
    <row r="5872" customFormat="false" ht="15" hidden="false" customHeight="false" outlineLevel="0" collapsed="false">
      <c r="A5872" s="26" t="s">
        <v>16681</v>
      </c>
      <c r="B5872" s="27" t="s">
        <v>16682</v>
      </c>
      <c r="C5872" s="27" t="s">
        <v>144</v>
      </c>
      <c r="D5872" s="26"/>
      <c r="E5872" s="27"/>
      <c r="F5872" s="27"/>
      <c r="G5872" s="27" t="s">
        <v>11122</v>
      </c>
      <c r="H5872" s="27" t="s">
        <v>35</v>
      </c>
      <c r="I5872" s="27" t="s">
        <v>37</v>
      </c>
      <c r="J5872" s="28" t="s">
        <v>399</v>
      </c>
      <c r="K5872" s="27" t="s">
        <v>37</v>
      </c>
      <c r="L5872" s="27"/>
    </row>
    <row r="5873" customFormat="false" ht="15" hidden="false" customHeight="false" outlineLevel="0" collapsed="false">
      <c r="A5873" s="26" t="s">
        <v>16683</v>
      </c>
      <c r="B5873" s="27" t="s">
        <v>16684</v>
      </c>
      <c r="C5873" s="27" t="s">
        <v>1187</v>
      </c>
      <c r="D5873" s="26"/>
      <c r="E5873" s="27"/>
      <c r="F5873" s="27"/>
      <c r="G5873" s="27" t="s">
        <v>11122</v>
      </c>
      <c r="H5873" s="27" t="s">
        <v>35</v>
      </c>
      <c r="I5873" s="27" t="s">
        <v>37</v>
      </c>
      <c r="J5873" s="28" t="s">
        <v>399</v>
      </c>
      <c r="K5873" s="27" t="s">
        <v>37</v>
      </c>
      <c r="L5873" s="27"/>
    </row>
    <row r="5874" customFormat="false" ht="15" hidden="false" customHeight="false" outlineLevel="0" collapsed="false">
      <c r="A5874" s="26" t="s">
        <v>16685</v>
      </c>
      <c r="B5874" s="27" t="s">
        <v>16686</v>
      </c>
      <c r="C5874" s="27" t="s">
        <v>1187</v>
      </c>
      <c r="D5874" s="26"/>
      <c r="E5874" s="27"/>
      <c r="F5874" s="27"/>
      <c r="G5874" s="27" t="s">
        <v>11122</v>
      </c>
      <c r="H5874" s="27" t="s">
        <v>35</v>
      </c>
      <c r="I5874" s="27" t="s">
        <v>37</v>
      </c>
      <c r="J5874" s="28" t="s">
        <v>399</v>
      </c>
      <c r="K5874" s="27" t="s">
        <v>37</v>
      </c>
      <c r="L5874" s="27"/>
    </row>
    <row r="5875" customFormat="false" ht="15" hidden="false" customHeight="false" outlineLevel="0" collapsed="false">
      <c r="A5875" s="26" t="s">
        <v>16687</v>
      </c>
      <c r="B5875" s="27" t="s">
        <v>16688</v>
      </c>
      <c r="C5875" s="27" t="s">
        <v>144</v>
      </c>
      <c r="D5875" s="26"/>
      <c r="E5875" s="27"/>
      <c r="F5875" s="27"/>
      <c r="G5875" s="27" t="s">
        <v>11122</v>
      </c>
      <c r="H5875" s="27" t="s">
        <v>35</v>
      </c>
      <c r="I5875" s="27" t="s">
        <v>37</v>
      </c>
      <c r="J5875" s="28" t="s">
        <v>399</v>
      </c>
      <c r="K5875" s="27" t="s">
        <v>37</v>
      </c>
      <c r="L5875" s="27"/>
    </row>
    <row r="5876" customFormat="false" ht="15" hidden="false" customHeight="false" outlineLevel="0" collapsed="false">
      <c r="A5876" s="26" t="s">
        <v>16689</v>
      </c>
      <c r="B5876" s="27" t="s">
        <v>16690</v>
      </c>
      <c r="C5876" s="27" t="s">
        <v>144</v>
      </c>
      <c r="D5876" s="26"/>
      <c r="E5876" s="27"/>
      <c r="F5876" s="27"/>
      <c r="G5876" s="27" t="s">
        <v>11122</v>
      </c>
      <c r="H5876" s="27" t="s">
        <v>35</v>
      </c>
      <c r="I5876" s="27" t="s">
        <v>37</v>
      </c>
      <c r="J5876" s="28" t="s">
        <v>399</v>
      </c>
      <c r="K5876" s="27" t="s">
        <v>37</v>
      </c>
      <c r="L5876" s="27"/>
    </row>
    <row r="5877" customFormat="false" ht="15" hidden="false" customHeight="false" outlineLevel="0" collapsed="false">
      <c r="A5877" s="26" t="s">
        <v>16691</v>
      </c>
      <c r="B5877" s="27" t="s">
        <v>16692</v>
      </c>
      <c r="C5877" s="27" t="s">
        <v>144</v>
      </c>
      <c r="D5877" s="26"/>
      <c r="E5877" s="27"/>
      <c r="F5877" s="27"/>
      <c r="G5877" s="27" t="s">
        <v>11122</v>
      </c>
      <c r="H5877" s="27" t="s">
        <v>35</v>
      </c>
      <c r="I5877" s="27" t="s">
        <v>37</v>
      </c>
      <c r="J5877" s="28" t="s">
        <v>399</v>
      </c>
      <c r="K5877" s="27" t="s">
        <v>37</v>
      </c>
      <c r="L5877" s="27"/>
    </row>
    <row r="5878" customFormat="false" ht="15" hidden="false" customHeight="false" outlineLevel="0" collapsed="false">
      <c r="A5878" s="26" t="s">
        <v>16693</v>
      </c>
      <c r="B5878" s="27" t="s">
        <v>16694</v>
      </c>
      <c r="C5878" s="27" t="s">
        <v>144</v>
      </c>
      <c r="D5878" s="26"/>
      <c r="E5878" s="27"/>
      <c r="F5878" s="27"/>
      <c r="G5878" s="27" t="s">
        <v>11122</v>
      </c>
      <c r="H5878" s="27" t="s">
        <v>35</v>
      </c>
      <c r="I5878" s="27" t="s">
        <v>37</v>
      </c>
      <c r="J5878" s="28" t="s">
        <v>399</v>
      </c>
      <c r="K5878" s="27" t="s">
        <v>37</v>
      </c>
      <c r="L5878" s="27"/>
    </row>
    <row r="5879" customFormat="false" ht="15" hidden="false" customHeight="false" outlineLevel="0" collapsed="false">
      <c r="A5879" s="26" t="s">
        <v>16695</v>
      </c>
      <c r="B5879" s="27" t="s">
        <v>16696</v>
      </c>
      <c r="C5879" s="27" t="s">
        <v>144</v>
      </c>
      <c r="D5879" s="26"/>
      <c r="E5879" s="27"/>
      <c r="F5879" s="27"/>
      <c r="G5879" s="27" t="s">
        <v>11122</v>
      </c>
      <c r="H5879" s="27" t="s">
        <v>35</v>
      </c>
      <c r="I5879" s="27" t="s">
        <v>41</v>
      </c>
      <c r="J5879" s="28" t="s">
        <v>399</v>
      </c>
      <c r="K5879" s="27" t="s">
        <v>37</v>
      </c>
      <c r="L5879" s="27"/>
    </row>
    <row r="5880" customFormat="false" ht="15" hidden="false" customHeight="false" outlineLevel="0" collapsed="false">
      <c r="A5880" s="26" t="s">
        <v>16697</v>
      </c>
      <c r="B5880" s="27" t="s">
        <v>16698</v>
      </c>
      <c r="C5880" s="27" t="s">
        <v>144</v>
      </c>
      <c r="D5880" s="26"/>
      <c r="E5880" s="27"/>
      <c r="F5880" s="27"/>
      <c r="G5880" s="27" t="s">
        <v>11122</v>
      </c>
      <c r="H5880" s="27" t="s">
        <v>35</v>
      </c>
      <c r="I5880" s="27" t="s">
        <v>41</v>
      </c>
      <c r="J5880" s="28" t="s">
        <v>399</v>
      </c>
      <c r="K5880" s="27" t="s">
        <v>37</v>
      </c>
      <c r="L5880" s="27"/>
    </row>
    <row r="5881" customFormat="false" ht="15" hidden="false" customHeight="false" outlineLevel="0" collapsed="false">
      <c r="A5881" s="26" t="s">
        <v>16699</v>
      </c>
      <c r="B5881" s="27" t="s">
        <v>16700</v>
      </c>
      <c r="C5881" s="27" t="s">
        <v>144</v>
      </c>
      <c r="D5881" s="26"/>
      <c r="E5881" s="27"/>
      <c r="F5881" s="27"/>
      <c r="G5881" s="27" t="s">
        <v>11122</v>
      </c>
      <c r="H5881" s="27" t="s">
        <v>35</v>
      </c>
      <c r="I5881" s="27" t="s">
        <v>37</v>
      </c>
      <c r="J5881" s="28" t="s">
        <v>399</v>
      </c>
      <c r="K5881" s="27" t="s">
        <v>37</v>
      </c>
      <c r="L5881" s="27"/>
    </row>
    <row r="5882" customFormat="false" ht="15" hidden="false" customHeight="false" outlineLevel="0" collapsed="false">
      <c r="A5882" s="26" t="s">
        <v>16701</v>
      </c>
      <c r="B5882" s="27" t="s">
        <v>16702</v>
      </c>
      <c r="C5882" s="27" t="s">
        <v>144</v>
      </c>
      <c r="D5882" s="26"/>
      <c r="E5882" s="27"/>
      <c r="F5882" s="27"/>
      <c r="G5882" s="27" t="s">
        <v>11122</v>
      </c>
      <c r="H5882" s="27" t="s">
        <v>35</v>
      </c>
      <c r="I5882" s="27" t="s">
        <v>37</v>
      </c>
      <c r="J5882" s="28" t="s">
        <v>399</v>
      </c>
      <c r="K5882" s="27" t="s">
        <v>37</v>
      </c>
      <c r="L5882" s="27"/>
    </row>
    <row r="5883" customFormat="false" ht="15" hidden="false" customHeight="false" outlineLevel="0" collapsed="false">
      <c r="A5883" s="26" t="s">
        <v>16703</v>
      </c>
      <c r="B5883" s="27" t="s">
        <v>16704</v>
      </c>
      <c r="C5883" s="27" t="s">
        <v>144</v>
      </c>
      <c r="D5883" s="26"/>
      <c r="E5883" s="27"/>
      <c r="F5883" s="27"/>
      <c r="G5883" s="27" t="s">
        <v>11122</v>
      </c>
      <c r="H5883" s="27" t="s">
        <v>35</v>
      </c>
      <c r="I5883" s="27" t="s">
        <v>37</v>
      </c>
      <c r="J5883" s="28" t="s">
        <v>399</v>
      </c>
      <c r="K5883" s="27" t="s">
        <v>37</v>
      </c>
      <c r="L5883" s="27"/>
    </row>
    <row r="5884" customFormat="false" ht="15" hidden="false" customHeight="false" outlineLevel="0" collapsed="false">
      <c r="A5884" s="26" t="s">
        <v>16705</v>
      </c>
      <c r="B5884" s="27" t="s">
        <v>16706</v>
      </c>
      <c r="C5884" s="27" t="s">
        <v>144</v>
      </c>
      <c r="D5884" s="26"/>
      <c r="E5884" s="27"/>
      <c r="F5884" s="27"/>
      <c r="G5884" s="27" t="s">
        <v>11122</v>
      </c>
      <c r="H5884" s="27" t="s">
        <v>35</v>
      </c>
      <c r="I5884" s="27" t="s">
        <v>37</v>
      </c>
      <c r="J5884" s="28" t="s">
        <v>399</v>
      </c>
      <c r="K5884" s="27" t="s">
        <v>37</v>
      </c>
      <c r="L5884" s="27"/>
    </row>
    <row r="5885" customFormat="false" ht="15" hidden="false" customHeight="false" outlineLevel="0" collapsed="false">
      <c r="A5885" s="26" t="s">
        <v>16707</v>
      </c>
      <c r="B5885" s="27" t="s">
        <v>16708</v>
      </c>
      <c r="C5885" s="27" t="s">
        <v>144</v>
      </c>
      <c r="D5885" s="26"/>
      <c r="E5885" s="27"/>
      <c r="F5885" s="27"/>
      <c r="G5885" s="27" t="s">
        <v>11122</v>
      </c>
      <c r="H5885" s="27" t="s">
        <v>35</v>
      </c>
      <c r="I5885" s="27" t="s">
        <v>37</v>
      </c>
      <c r="J5885" s="28" t="s">
        <v>399</v>
      </c>
      <c r="K5885" s="27" t="s">
        <v>37</v>
      </c>
      <c r="L5885" s="27"/>
    </row>
    <row r="5886" customFormat="false" ht="15" hidden="false" customHeight="false" outlineLevel="0" collapsed="false">
      <c r="A5886" s="26" t="s">
        <v>16709</v>
      </c>
      <c r="B5886" s="27" t="s">
        <v>16710</v>
      </c>
      <c r="C5886" s="27" t="s">
        <v>144</v>
      </c>
      <c r="D5886" s="26"/>
      <c r="E5886" s="27"/>
      <c r="F5886" s="27"/>
      <c r="G5886" s="27" t="s">
        <v>11122</v>
      </c>
      <c r="H5886" s="27" t="s">
        <v>35</v>
      </c>
      <c r="I5886" s="27" t="s">
        <v>37</v>
      </c>
      <c r="J5886" s="28" t="s">
        <v>399</v>
      </c>
      <c r="K5886" s="27" t="s">
        <v>37</v>
      </c>
      <c r="L5886" s="27"/>
    </row>
    <row r="5887" customFormat="false" ht="15" hidden="false" customHeight="false" outlineLevel="0" collapsed="false">
      <c r="A5887" s="26" t="s">
        <v>16711</v>
      </c>
      <c r="B5887" s="27" t="s">
        <v>16712</v>
      </c>
      <c r="C5887" s="27" t="s">
        <v>144</v>
      </c>
      <c r="D5887" s="26"/>
      <c r="E5887" s="27"/>
      <c r="F5887" s="27"/>
      <c r="G5887" s="27" t="s">
        <v>11122</v>
      </c>
      <c r="H5887" s="27" t="s">
        <v>35</v>
      </c>
      <c r="I5887" s="27" t="s">
        <v>37</v>
      </c>
      <c r="J5887" s="28" t="s">
        <v>399</v>
      </c>
      <c r="K5887" s="27" t="s">
        <v>37</v>
      </c>
      <c r="L5887" s="27"/>
    </row>
    <row r="5888" customFormat="false" ht="15" hidden="false" customHeight="false" outlineLevel="0" collapsed="false">
      <c r="A5888" s="26" t="s">
        <v>16713</v>
      </c>
      <c r="B5888" s="27" t="s">
        <v>16714</v>
      </c>
      <c r="C5888" s="27" t="s">
        <v>144</v>
      </c>
      <c r="D5888" s="26"/>
      <c r="E5888" s="27"/>
      <c r="F5888" s="27"/>
      <c r="G5888" s="27" t="s">
        <v>11122</v>
      </c>
      <c r="H5888" s="27" t="s">
        <v>35</v>
      </c>
      <c r="I5888" s="27" t="s">
        <v>37</v>
      </c>
      <c r="J5888" s="28" t="s">
        <v>399</v>
      </c>
      <c r="K5888" s="27" t="s">
        <v>37</v>
      </c>
      <c r="L5888" s="27"/>
    </row>
    <row r="5889" customFormat="false" ht="15" hidden="false" customHeight="false" outlineLevel="0" collapsed="false">
      <c r="A5889" s="26" t="s">
        <v>16715</v>
      </c>
      <c r="B5889" s="27" t="s">
        <v>16716</v>
      </c>
      <c r="C5889" s="27" t="s">
        <v>144</v>
      </c>
      <c r="D5889" s="26"/>
      <c r="E5889" s="27"/>
      <c r="F5889" s="27"/>
      <c r="G5889" s="27" t="s">
        <v>11122</v>
      </c>
      <c r="H5889" s="27" t="s">
        <v>35</v>
      </c>
      <c r="I5889" s="27" t="s">
        <v>37</v>
      </c>
      <c r="J5889" s="28" t="s">
        <v>399</v>
      </c>
      <c r="K5889" s="27" t="s">
        <v>37</v>
      </c>
      <c r="L5889" s="27"/>
    </row>
    <row r="5890" customFormat="false" ht="15" hidden="false" customHeight="false" outlineLevel="0" collapsed="false">
      <c r="A5890" s="26" t="s">
        <v>16717</v>
      </c>
      <c r="B5890" s="27" t="s">
        <v>16718</v>
      </c>
      <c r="C5890" s="27" t="s">
        <v>144</v>
      </c>
      <c r="D5890" s="26"/>
      <c r="E5890" s="27"/>
      <c r="F5890" s="27"/>
      <c r="G5890" s="27" t="s">
        <v>11122</v>
      </c>
      <c r="H5890" s="27" t="s">
        <v>35</v>
      </c>
      <c r="I5890" s="27" t="s">
        <v>37</v>
      </c>
      <c r="J5890" s="28" t="s">
        <v>399</v>
      </c>
      <c r="K5890" s="27" t="s">
        <v>37</v>
      </c>
      <c r="L5890" s="27"/>
    </row>
    <row r="5891" customFormat="false" ht="15" hidden="false" customHeight="false" outlineLevel="0" collapsed="false">
      <c r="A5891" s="26" t="s">
        <v>16719</v>
      </c>
      <c r="B5891" s="27" t="s">
        <v>16720</v>
      </c>
      <c r="C5891" s="27" t="s">
        <v>144</v>
      </c>
      <c r="D5891" s="26"/>
      <c r="E5891" s="27"/>
      <c r="F5891" s="27"/>
      <c r="G5891" s="27" t="s">
        <v>11122</v>
      </c>
      <c r="H5891" s="27" t="s">
        <v>35</v>
      </c>
      <c r="I5891" s="27" t="s">
        <v>37</v>
      </c>
      <c r="J5891" s="28" t="s">
        <v>399</v>
      </c>
      <c r="K5891" s="27" t="s">
        <v>37</v>
      </c>
      <c r="L5891" s="27"/>
    </row>
    <row r="5892" customFormat="false" ht="15" hidden="false" customHeight="false" outlineLevel="0" collapsed="false">
      <c r="A5892" s="26" t="s">
        <v>16721</v>
      </c>
      <c r="B5892" s="27" t="s">
        <v>16722</v>
      </c>
      <c r="C5892" s="27" t="s">
        <v>144</v>
      </c>
      <c r="D5892" s="26"/>
      <c r="E5892" s="27"/>
      <c r="F5892" s="27"/>
      <c r="G5892" s="27" t="s">
        <v>11122</v>
      </c>
      <c r="H5892" s="27" t="s">
        <v>35</v>
      </c>
      <c r="I5892" s="27" t="s">
        <v>37</v>
      </c>
      <c r="J5892" s="28" t="s">
        <v>399</v>
      </c>
      <c r="K5892" s="27" t="s">
        <v>37</v>
      </c>
      <c r="L5892" s="27"/>
    </row>
    <row r="5893" customFormat="false" ht="15" hidden="false" customHeight="false" outlineLevel="0" collapsed="false">
      <c r="A5893" s="26" t="s">
        <v>16723</v>
      </c>
      <c r="B5893" s="27" t="s">
        <v>16724</v>
      </c>
      <c r="C5893" s="27" t="s">
        <v>144</v>
      </c>
      <c r="D5893" s="26"/>
      <c r="E5893" s="27"/>
      <c r="F5893" s="27"/>
      <c r="G5893" s="27" t="s">
        <v>11122</v>
      </c>
      <c r="H5893" s="27" t="s">
        <v>35</v>
      </c>
      <c r="I5893" s="27" t="s">
        <v>37</v>
      </c>
      <c r="J5893" s="28" t="s">
        <v>399</v>
      </c>
      <c r="K5893" s="27" t="s">
        <v>37</v>
      </c>
      <c r="L5893" s="27"/>
    </row>
    <row r="5894" customFormat="false" ht="15" hidden="false" customHeight="false" outlineLevel="0" collapsed="false">
      <c r="A5894" s="26" t="s">
        <v>16725</v>
      </c>
      <c r="B5894" s="27" t="s">
        <v>16726</v>
      </c>
      <c r="C5894" s="27" t="s">
        <v>144</v>
      </c>
      <c r="D5894" s="26"/>
      <c r="E5894" s="27"/>
      <c r="F5894" s="27"/>
      <c r="G5894" s="27" t="s">
        <v>11122</v>
      </c>
      <c r="H5894" s="27" t="s">
        <v>35</v>
      </c>
      <c r="I5894" s="27" t="s">
        <v>37</v>
      </c>
      <c r="J5894" s="28" t="s">
        <v>399</v>
      </c>
      <c r="K5894" s="27" t="s">
        <v>37</v>
      </c>
      <c r="L5894" s="27"/>
    </row>
    <row r="5895" customFormat="false" ht="15" hidden="false" customHeight="false" outlineLevel="0" collapsed="false">
      <c r="A5895" s="26" t="s">
        <v>16727</v>
      </c>
      <c r="B5895" s="27" t="s">
        <v>16728</v>
      </c>
      <c r="C5895" s="27" t="s">
        <v>144</v>
      </c>
      <c r="D5895" s="26"/>
      <c r="E5895" s="27"/>
      <c r="F5895" s="27"/>
      <c r="G5895" s="27" t="s">
        <v>11122</v>
      </c>
      <c r="H5895" s="27" t="s">
        <v>35</v>
      </c>
      <c r="I5895" s="27" t="s">
        <v>41</v>
      </c>
      <c r="J5895" s="28" t="s">
        <v>399</v>
      </c>
      <c r="K5895" s="27" t="s">
        <v>37</v>
      </c>
      <c r="L5895" s="27"/>
    </row>
    <row r="5896" customFormat="false" ht="15" hidden="false" customHeight="false" outlineLevel="0" collapsed="false">
      <c r="A5896" s="26" t="s">
        <v>16729</v>
      </c>
      <c r="B5896" s="27" t="s">
        <v>16730</v>
      </c>
      <c r="C5896" s="27" t="s">
        <v>144</v>
      </c>
      <c r="D5896" s="26"/>
      <c r="E5896" s="27"/>
      <c r="F5896" s="27"/>
      <c r="G5896" s="27" t="s">
        <v>11122</v>
      </c>
      <c r="H5896" s="27" t="s">
        <v>35</v>
      </c>
      <c r="I5896" s="27" t="s">
        <v>37</v>
      </c>
      <c r="J5896" s="28" t="s">
        <v>399</v>
      </c>
      <c r="K5896" s="27" t="s">
        <v>37</v>
      </c>
      <c r="L5896" s="27"/>
    </row>
    <row r="5897" customFormat="false" ht="15" hidden="false" customHeight="false" outlineLevel="0" collapsed="false">
      <c r="A5897" s="26" t="s">
        <v>16731</v>
      </c>
      <c r="B5897" s="27" t="s">
        <v>16732</v>
      </c>
      <c r="C5897" s="27" t="s">
        <v>144</v>
      </c>
      <c r="D5897" s="26"/>
      <c r="E5897" s="27"/>
      <c r="F5897" s="27"/>
      <c r="G5897" s="27" t="s">
        <v>11122</v>
      </c>
      <c r="H5897" s="27" t="s">
        <v>35</v>
      </c>
      <c r="I5897" s="27" t="s">
        <v>37</v>
      </c>
      <c r="J5897" s="28" t="s">
        <v>399</v>
      </c>
      <c r="K5897" s="27" t="s">
        <v>37</v>
      </c>
      <c r="L5897" s="27"/>
    </row>
    <row r="5898" customFormat="false" ht="15" hidden="false" customHeight="false" outlineLevel="0" collapsed="false">
      <c r="A5898" s="26" t="s">
        <v>16733</v>
      </c>
      <c r="B5898" s="27" t="s">
        <v>16734</v>
      </c>
      <c r="C5898" s="27" t="s">
        <v>144</v>
      </c>
      <c r="D5898" s="26"/>
      <c r="E5898" s="27"/>
      <c r="F5898" s="27"/>
      <c r="G5898" s="27" t="s">
        <v>11122</v>
      </c>
      <c r="H5898" s="27" t="s">
        <v>35</v>
      </c>
      <c r="I5898" s="27" t="s">
        <v>37</v>
      </c>
      <c r="J5898" s="28" t="s">
        <v>399</v>
      </c>
      <c r="K5898" s="27" t="s">
        <v>37</v>
      </c>
      <c r="L5898" s="27"/>
    </row>
    <row r="5899" customFormat="false" ht="15" hidden="false" customHeight="false" outlineLevel="0" collapsed="false">
      <c r="A5899" s="26" t="s">
        <v>16735</v>
      </c>
      <c r="B5899" s="27" t="s">
        <v>16736</v>
      </c>
      <c r="C5899" s="27" t="s">
        <v>144</v>
      </c>
      <c r="D5899" s="26"/>
      <c r="E5899" s="27"/>
      <c r="F5899" s="27"/>
      <c r="G5899" s="27" t="s">
        <v>11122</v>
      </c>
      <c r="H5899" s="27" t="s">
        <v>35</v>
      </c>
      <c r="I5899" s="27" t="s">
        <v>37</v>
      </c>
      <c r="J5899" s="28" t="s">
        <v>399</v>
      </c>
      <c r="K5899" s="27" t="s">
        <v>37</v>
      </c>
      <c r="L5899" s="27"/>
    </row>
    <row r="5900" customFormat="false" ht="15" hidden="false" customHeight="false" outlineLevel="0" collapsed="false">
      <c r="A5900" s="26" t="s">
        <v>16737</v>
      </c>
      <c r="B5900" s="27" t="s">
        <v>16738</v>
      </c>
      <c r="C5900" s="27" t="s">
        <v>144</v>
      </c>
      <c r="D5900" s="26"/>
      <c r="E5900" s="27"/>
      <c r="F5900" s="27"/>
      <c r="G5900" s="27" t="s">
        <v>11122</v>
      </c>
      <c r="H5900" s="27" t="s">
        <v>35</v>
      </c>
      <c r="I5900" s="27" t="s">
        <v>37</v>
      </c>
      <c r="J5900" s="28" t="s">
        <v>399</v>
      </c>
      <c r="K5900" s="27" t="s">
        <v>37</v>
      </c>
      <c r="L5900" s="27"/>
    </row>
    <row r="5901" customFormat="false" ht="15" hidden="false" customHeight="false" outlineLevel="0" collapsed="false">
      <c r="A5901" s="26" t="s">
        <v>16739</v>
      </c>
      <c r="B5901" s="27" t="s">
        <v>16740</v>
      </c>
      <c r="C5901" s="27" t="s">
        <v>144</v>
      </c>
      <c r="D5901" s="26"/>
      <c r="E5901" s="27"/>
      <c r="F5901" s="27"/>
      <c r="G5901" s="27" t="s">
        <v>11122</v>
      </c>
      <c r="H5901" s="27" t="s">
        <v>35</v>
      </c>
      <c r="I5901" s="27" t="s">
        <v>37</v>
      </c>
      <c r="J5901" s="28" t="s">
        <v>399</v>
      </c>
      <c r="K5901" s="27" t="s">
        <v>37</v>
      </c>
      <c r="L5901" s="27"/>
    </row>
    <row r="5902" customFormat="false" ht="15" hidden="false" customHeight="false" outlineLevel="0" collapsed="false">
      <c r="A5902" s="26" t="s">
        <v>16741</v>
      </c>
      <c r="B5902" s="27" t="s">
        <v>16742</v>
      </c>
      <c r="C5902" s="27" t="s">
        <v>144</v>
      </c>
      <c r="D5902" s="26"/>
      <c r="E5902" s="27"/>
      <c r="F5902" s="27"/>
      <c r="G5902" s="27" t="s">
        <v>11122</v>
      </c>
      <c r="H5902" s="27" t="s">
        <v>35</v>
      </c>
      <c r="I5902" s="27" t="s">
        <v>37</v>
      </c>
      <c r="J5902" s="28" t="s">
        <v>399</v>
      </c>
      <c r="K5902" s="27" t="s">
        <v>37</v>
      </c>
      <c r="L5902" s="27"/>
    </row>
    <row r="5903" customFormat="false" ht="15" hidden="false" customHeight="false" outlineLevel="0" collapsed="false">
      <c r="A5903" s="26" t="s">
        <v>16743</v>
      </c>
      <c r="B5903" s="27" t="s">
        <v>16744</v>
      </c>
      <c r="C5903" s="27" t="s">
        <v>144</v>
      </c>
      <c r="D5903" s="26"/>
      <c r="E5903" s="27"/>
      <c r="F5903" s="27"/>
      <c r="G5903" s="27" t="s">
        <v>11122</v>
      </c>
      <c r="H5903" s="27" t="s">
        <v>35</v>
      </c>
      <c r="I5903" s="27" t="s">
        <v>37</v>
      </c>
      <c r="J5903" s="28" t="s">
        <v>399</v>
      </c>
      <c r="K5903" s="27" t="s">
        <v>37</v>
      </c>
      <c r="L5903" s="27"/>
    </row>
    <row r="5904" customFormat="false" ht="15" hidden="false" customHeight="false" outlineLevel="0" collapsed="false">
      <c r="A5904" s="26" t="s">
        <v>16745</v>
      </c>
      <c r="B5904" s="27" t="s">
        <v>16746</v>
      </c>
      <c r="C5904" s="27" t="s">
        <v>144</v>
      </c>
      <c r="D5904" s="26"/>
      <c r="E5904" s="27"/>
      <c r="F5904" s="27"/>
      <c r="G5904" s="27" t="s">
        <v>11122</v>
      </c>
      <c r="H5904" s="27" t="s">
        <v>35</v>
      </c>
      <c r="I5904" s="27" t="s">
        <v>37</v>
      </c>
      <c r="J5904" s="28" t="s">
        <v>399</v>
      </c>
      <c r="K5904" s="27" t="s">
        <v>37</v>
      </c>
      <c r="L5904" s="27"/>
    </row>
    <row r="5905" customFormat="false" ht="15" hidden="false" customHeight="false" outlineLevel="0" collapsed="false">
      <c r="A5905" s="26" t="s">
        <v>16747</v>
      </c>
      <c r="B5905" s="27" t="s">
        <v>16748</v>
      </c>
      <c r="C5905" s="27" t="s">
        <v>144</v>
      </c>
      <c r="D5905" s="26"/>
      <c r="E5905" s="27"/>
      <c r="F5905" s="27"/>
      <c r="G5905" s="27" t="s">
        <v>11122</v>
      </c>
      <c r="H5905" s="27" t="s">
        <v>35</v>
      </c>
      <c r="I5905" s="27" t="s">
        <v>37</v>
      </c>
      <c r="J5905" s="28" t="s">
        <v>399</v>
      </c>
      <c r="K5905" s="27" t="s">
        <v>37</v>
      </c>
      <c r="L5905" s="27"/>
    </row>
    <row r="5906" customFormat="false" ht="15" hidden="false" customHeight="false" outlineLevel="0" collapsed="false">
      <c r="A5906" s="26" t="s">
        <v>16749</v>
      </c>
      <c r="B5906" s="27" t="s">
        <v>16750</v>
      </c>
      <c r="C5906" s="27" t="s">
        <v>144</v>
      </c>
      <c r="D5906" s="26"/>
      <c r="E5906" s="27"/>
      <c r="F5906" s="27"/>
      <c r="G5906" s="27" t="s">
        <v>11122</v>
      </c>
      <c r="H5906" s="27" t="s">
        <v>35</v>
      </c>
      <c r="I5906" s="27" t="s">
        <v>37</v>
      </c>
      <c r="J5906" s="28" t="s">
        <v>399</v>
      </c>
      <c r="K5906" s="27" t="s">
        <v>37</v>
      </c>
      <c r="L5906" s="27"/>
    </row>
    <row r="5907" customFormat="false" ht="15" hidden="false" customHeight="false" outlineLevel="0" collapsed="false">
      <c r="A5907" s="26" t="s">
        <v>16751</v>
      </c>
      <c r="B5907" s="27" t="s">
        <v>16752</v>
      </c>
      <c r="C5907" s="27" t="s">
        <v>144</v>
      </c>
      <c r="D5907" s="26"/>
      <c r="E5907" s="27"/>
      <c r="F5907" s="27"/>
      <c r="G5907" s="27" t="s">
        <v>11122</v>
      </c>
      <c r="H5907" s="27" t="s">
        <v>35</v>
      </c>
      <c r="I5907" s="27" t="s">
        <v>37</v>
      </c>
      <c r="J5907" s="28" t="s">
        <v>399</v>
      </c>
      <c r="K5907" s="27" t="s">
        <v>37</v>
      </c>
      <c r="L5907" s="27"/>
    </row>
    <row r="5908" customFormat="false" ht="15" hidden="false" customHeight="false" outlineLevel="0" collapsed="false">
      <c r="A5908" s="26" t="s">
        <v>16753</v>
      </c>
      <c r="B5908" s="27" t="s">
        <v>16754</v>
      </c>
      <c r="C5908" s="27" t="s">
        <v>1187</v>
      </c>
      <c r="D5908" s="26"/>
      <c r="E5908" s="27"/>
      <c r="F5908" s="27"/>
      <c r="G5908" s="27" t="s">
        <v>11122</v>
      </c>
      <c r="H5908" s="27" t="s">
        <v>35</v>
      </c>
      <c r="I5908" s="27" t="s">
        <v>47</v>
      </c>
      <c r="J5908" s="28" t="s">
        <v>399</v>
      </c>
      <c r="K5908" s="27" t="s">
        <v>37</v>
      </c>
      <c r="L5908" s="27"/>
    </row>
    <row r="5909" customFormat="false" ht="15" hidden="false" customHeight="false" outlineLevel="0" collapsed="false">
      <c r="A5909" s="26" t="s">
        <v>16755</v>
      </c>
      <c r="B5909" s="27" t="s">
        <v>16756</v>
      </c>
      <c r="C5909" s="27" t="s">
        <v>1187</v>
      </c>
      <c r="D5909" s="26"/>
      <c r="E5909" s="27"/>
      <c r="F5909" s="27"/>
      <c r="G5909" s="27" t="s">
        <v>11122</v>
      </c>
      <c r="H5909" s="27" t="s">
        <v>35</v>
      </c>
      <c r="I5909" s="27" t="s">
        <v>41</v>
      </c>
      <c r="J5909" s="28" t="s">
        <v>399</v>
      </c>
      <c r="K5909" s="27" t="s">
        <v>37</v>
      </c>
      <c r="L5909" s="27"/>
    </row>
    <row r="5910" customFormat="false" ht="15" hidden="false" customHeight="false" outlineLevel="0" collapsed="false">
      <c r="A5910" s="26" t="s">
        <v>16757</v>
      </c>
      <c r="B5910" s="27" t="s">
        <v>16758</v>
      </c>
      <c r="C5910" s="27" t="s">
        <v>144</v>
      </c>
      <c r="D5910" s="26"/>
      <c r="E5910" s="27"/>
      <c r="F5910" s="27"/>
      <c r="G5910" s="27" t="s">
        <v>11122</v>
      </c>
      <c r="H5910" s="27" t="s">
        <v>35</v>
      </c>
      <c r="I5910" s="27" t="s">
        <v>37</v>
      </c>
      <c r="J5910" s="28" t="s">
        <v>399</v>
      </c>
      <c r="K5910" s="27" t="s">
        <v>37</v>
      </c>
      <c r="L5910" s="27"/>
    </row>
    <row r="5911" customFormat="false" ht="15" hidden="false" customHeight="false" outlineLevel="0" collapsed="false">
      <c r="A5911" s="26" t="s">
        <v>16759</v>
      </c>
      <c r="B5911" s="27" t="s">
        <v>16760</v>
      </c>
      <c r="C5911" s="27" t="s">
        <v>144</v>
      </c>
      <c r="D5911" s="26"/>
      <c r="E5911" s="27"/>
      <c r="F5911" s="27"/>
      <c r="G5911" s="27" t="s">
        <v>11122</v>
      </c>
      <c r="H5911" s="27" t="s">
        <v>35</v>
      </c>
      <c r="I5911" s="27" t="s">
        <v>37</v>
      </c>
      <c r="J5911" s="28" t="s">
        <v>399</v>
      </c>
      <c r="K5911" s="27" t="s">
        <v>37</v>
      </c>
      <c r="L5911" s="27"/>
    </row>
    <row r="5912" customFormat="false" ht="15" hidden="false" customHeight="false" outlineLevel="0" collapsed="false">
      <c r="A5912" s="26" t="s">
        <v>16761</v>
      </c>
      <c r="B5912" s="27" t="s">
        <v>16762</v>
      </c>
      <c r="C5912" s="27" t="s">
        <v>144</v>
      </c>
      <c r="D5912" s="26"/>
      <c r="E5912" s="27"/>
      <c r="F5912" s="27"/>
      <c r="G5912" s="27" t="s">
        <v>11122</v>
      </c>
      <c r="H5912" s="27" t="s">
        <v>35</v>
      </c>
      <c r="I5912" s="27" t="s">
        <v>41</v>
      </c>
      <c r="J5912" s="28" t="s">
        <v>399</v>
      </c>
      <c r="K5912" s="27" t="s">
        <v>37</v>
      </c>
      <c r="L5912" s="27"/>
    </row>
    <row r="5913" customFormat="false" ht="15" hidden="false" customHeight="false" outlineLevel="0" collapsed="false">
      <c r="A5913" s="26" t="s">
        <v>16763</v>
      </c>
      <c r="B5913" s="27" t="s">
        <v>16764</v>
      </c>
      <c r="C5913" s="27" t="s">
        <v>144</v>
      </c>
      <c r="D5913" s="26"/>
      <c r="E5913" s="27"/>
      <c r="F5913" s="27"/>
      <c r="G5913" s="27" t="s">
        <v>11122</v>
      </c>
      <c r="H5913" s="27" t="s">
        <v>35</v>
      </c>
      <c r="I5913" s="27" t="s">
        <v>37</v>
      </c>
      <c r="J5913" s="28" t="s">
        <v>399</v>
      </c>
      <c r="K5913" s="27" t="s">
        <v>37</v>
      </c>
      <c r="L5913" s="27"/>
    </row>
    <row r="5914" customFormat="false" ht="15" hidden="false" customHeight="false" outlineLevel="0" collapsed="false">
      <c r="A5914" s="26" t="s">
        <v>16765</v>
      </c>
      <c r="B5914" s="27" t="s">
        <v>16766</v>
      </c>
      <c r="C5914" s="27" t="s">
        <v>144</v>
      </c>
      <c r="D5914" s="26"/>
      <c r="E5914" s="27"/>
      <c r="F5914" s="27"/>
      <c r="G5914" s="27" t="s">
        <v>11122</v>
      </c>
      <c r="H5914" s="27" t="s">
        <v>35</v>
      </c>
      <c r="I5914" s="27" t="s">
        <v>37</v>
      </c>
      <c r="J5914" s="28" t="s">
        <v>399</v>
      </c>
      <c r="K5914" s="27" t="s">
        <v>37</v>
      </c>
      <c r="L5914" s="27"/>
    </row>
    <row r="5915" customFormat="false" ht="15" hidden="false" customHeight="false" outlineLevel="0" collapsed="false">
      <c r="A5915" s="26" t="s">
        <v>16767</v>
      </c>
      <c r="B5915" s="27" t="s">
        <v>16768</v>
      </c>
      <c r="C5915" s="27" t="s">
        <v>144</v>
      </c>
      <c r="D5915" s="26"/>
      <c r="E5915" s="27"/>
      <c r="F5915" s="27"/>
      <c r="G5915" s="27" t="s">
        <v>11122</v>
      </c>
      <c r="H5915" s="27" t="s">
        <v>35</v>
      </c>
      <c r="I5915" s="27" t="s">
        <v>41</v>
      </c>
      <c r="J5915" s="28" t="s">
        <v>399</v>
      </c>
      <c r="K5915" s="27" t="s">
        <v>37</v>
      </c>
      <c r="L5915" s="27"/>
    </row>
    <row r="5916" customFormat="false" ht="15" hidden="false" customHeight="false" outlineLevel="0" collapsed="false">
      <c r="A5916" s="26" t="s">
        <v>16769</v>
      </c>
      <c r="B5916" s="27" t="s">
        <v>16770</v>
      </c>
      <c r="C5916" s="27" t="s">
        <v>144</v>
      </c>
      <c r="D5916" s="26"/>
      <c r="E5916" s="27"/>
      <c r="F5916" s="27"/>
      <c r="G5916" s="27" t="s">
        <v>11122</v>
      </c>
      <c r="H5916" s="27" t="s">
        <v>35</v>
      </c>
      <c r="I5916" s="27" t="s">
        <v>37</v>
      </c>
      <c r="J5916" s="28" t="s">
        <v>399</v>
      </c>
      <c r="K5916" s="27" t="s">
        <v>37</v>
      </c>
      <c r="L5916" s="27"/>
    </row>
    <row r="5917" customFormat="false" ht="15" hidden="false" customHeight="false" outlineLevel="0" collapsed="false">
      <c r="A5917" s="26" t="s">
        <v>16771</v>
      </c>
      <c r="B5917" s="27" t="s">
        <v>16772</v>
      </c>
      <c r="C5917" s="27" t="s">
        <v>144</v>
      </c>
      <c r="D5917" s="26"/>
      <c r="E5917" s="27"/>
      <c r="F5917" s="27"/>
      <c r="G5917" s="27" t="s">
        <v>11122</v>
      </c>
      <c r="H5917" s="27" t="s">
        <v>35</v>
      </c>
      <c r="I5917" s="27" t="s">
        <v>37</v>
      </c>
      <c r="J5917" s="28" t="s">
        <v>399</v>
      </c>
      <c r="K5917" s="27" t="s">
        <v>37</v>
      </c>
      <c r="L5917" s="27"/>
    </row>
    <row r="5918" customFormat="false" ht="15" hidden="false" customHeight="false" outlineLevel="0" collapsed="false">
      <c r="A5918" s="26" t="s">
        <v>16773</v>
      </c>
      <c r="B5918" s="27" t="s">
        <v>16774</v>
      </c>
      <c r="C5918" s="27" t="s">
        <v>144</v>
      </c>
      <c r="D5918" s="26"/>
      <c r="E5918" s="27"/>
      <c r="F5918" s="27"/>
      <c r="G5918" s="27" t="s">
        <v>11122</v>
      </c>
      <c r="H5918" s="27" t="s">
        <v>35</v>
      </c>
      <c r="I5918" s="27" t="s">
        <v>37</v>
      </c>
      <c r="J5918" s="28" t="s">
        <v>399</v>
      </c>
      <c r="K5918" s="27" t="s">
        <v>37</v>
      </c>
      <c r="L5918" s="27"/>
    </row>
    <row r="5919" customFormat="false" ht="15" hidden="false" customHeight="false" outlineLevel="0" collapsed="false">
      <c r="A5919" s="26" t="s">
        <v>16775</v>
      </c>
      <c r="B5919" s="27" t="s">
        <v>16776</v>
      </c>
      <c r="C5919" s="27" t="s">
        <v>144</v>
      </c>
      <c r="D5919" s="26"/>
      <c r="E5919" s="27"/>
      <c r="F5919" s="27"/>
      <c r="G5919" s="27" t="s">
        <v>11122</v>
      </c>
      <c r="H5919" s="27" t="s">
        <v>35</v>
      </c>
      <c r="I5919" s="27" t="s">
        <v>37</v>
      </c>
      <c r="J5919" s="28" t="s">
        <v>399</v>
      </c>
      <c r="K5919" s="27" t="s">
        <v>37</v>
      </c>
      <c r="L5919" s="27"/>
    </row>
    <row r="5920" customFormat="false" ht="15" hidden="false" customHeight="false" outlineLevel="0" collapsed="false">
      <c r="A5920" s="26" t="s">
        <v>16777</v>
      </c>
      <c r="B5920" s="27" t="s">
        <v>16778</v>
      </c>
      <c r="C5920" s="27" t="s">
        <v>144</v>
      </c>
      <c r="D5920" s="26"/>
      <c r="E5920" s="27"/>
      <c r="F5920" s="27"/>
      <c r="G5920" s="27" t="s">
        <v>11122</v>
      </c>
      <c r="H5920" s="27" t="s">
        <v>35</v>
      </c>
      <c r="I5920" s="27" t="s">
        <v>37</v>
      </c>
      <c r="J5920" s="28" t="s">
        <v>399</v>
      </c>
      <c r="K5920" s="27" t="s">
        <v>37</v>
      </c>
      <c r="L5920" s="27"/>
    </row>
    <row r="5921" customFormat="false" ht="15" hidden="false" customHeight="false" outlineLevel="0" collapsed="false">
      <c r="A5921" s="26" t="s">
        <v>16779</v>
      </c>
      <c r="B5921" s="27" t="s">
        <v>16780</v>
      </c>
      <c r="C5921" s="27" t="s">
        <v>144</v>
      </c>
      <c r="D5921" s="26"/>
      <c r="E5921" s="27"/>
      <c r="F5921" s="27"/>
      <c r="G5921" s="27" t="s">
        <v>11122</v>
      </c>
      <c r="H5921" s="27" t="s">
        <v>35</v>
      </c>
      <c r="I5921" s="27" t="s">
        <v>37</v>
      </c>
      <c r="J5921" s="28" t="s">
        <v>399</v>
      </c>
      <c r="K5921" s="27" t="s">
        <v>37</v>
      </c>
      <c r="L5921" s="27"/>
    </row>
    <row r="5922" customFormat="false" ht="15" hidden="false" customHeight="false" outlineLevel="0" collapsed="false">
      <c r="A5922" s="26" t="s">
        <v>16781</v>
      </c>
      <c r="B5922" s="27" t="s">
        <v>16782</v>
      </c>
      <c r="C5922" s="27" t="s">
        <v>144</v>
      </c>
      <c r="D5922" s="26"/>
      <c r="E5922" s="27"/>
      <c r="F5922" s="27"/>
      <c r="G5922" s="27" t="s">
        <v>11122</v>
      </c>
      <c r="H5922" s="27" t="s">
        <v>35</v>
      </c>
      <c r="I5922" s="27" t="s">
        <v>37</v>
      </c>
      <c r="J5922" s="28" t="s">
        <v>399</v>
      </c>
      <c r="K5922" s="27" t="s">
        <v>37</v>
      </c>
      <c r="L5922" s="27"/>
    </row>
    <row r="5923" customFormat="false" ht="15" hidden="false" customHeight="false" outlineLevel="0" collapsed="false">
      <c r="A5923" s="26" t="s">
        <v>16783</v>
      </c>
      <c r="B5923" s="27" t="s">
        <v>16784</v>
      </c>
      <c r="C5923" s="27" t="s">
        <v>144</v>
      </c>
      <c r="D5923" s="26"/>
      <c r="E5923" s="27"/>
      <c r="F5923" s="27"/>
      <c r="G5923" s="27" t="s">
        <v>11122</v>
      </c>
      <c r="H5923" s="27" t="s">
        <v>35</v>
      </c>
      <c r="I5923" s="27" t="s">
        <v>37</v>
      </c>
      <c r="J5923" s="28" t="s">
        <v>399</v>
      </c>
      <c r="K5923" s="27" t="s">
        <v>37</v>
      </c>
      <c r="L5923" s="27"/>
    </row>
    <row r="5924" customFormat="false" ht="15" hidden="false" customHeight="false" outlineLevel="0" collapsed="false">
      <c r="A5924" s="26" t="s">
        <v>16785</v>
      </c>
      <c r="B5924" s="27" t="s">
        <v>16786</v>
      </c>
      <c r="C5924" s="27" t="s">
        <v>144</v>
      </c>
      <c r="D5924" s="26"/>
      <c r="E5924" s="27"/>
      <c r="F5924" s="27"/>
      <c r="G5924" s="27" t="s">
        <v>11122</v>
      </c>
      <c r="H5924" s="27" t="s">
        <v>35</v>
      </c>
      <c r="I5924" s="27" t="s">
        <v>37</v>
      </c>
      <c r="J5924" s="28" t="s">
        <v>399</v>
      </c>
      <c r="K5924" s="27" t="s">
        <v>37</v>
      </c>
      <c r="L5924" s="27"/>
    </row>
    <row r="5925" customFormat="false" ht="15" hidden="false" customHeight="false" outlineLevel="0" collapsed="false">
      <c r="A5925" s="26" t="s">
        <v>16787</v>
      </c>
      <c r="B5925" s="27" t="s">
        <v>16788</v>
      </c>
      <c r="C5925" s="27" t="s">
        <v>144</v>
      </c>
      <c r="D5925" s="26"/>
      <c r="E5925" s="27"/>
      <c r="F5925" s="27"/>
      <c r="G5925" s="27" t="s">
        <v>11122</v>
      </c>
      <c r="H5925" s="27" t="s">
        <v>35</v>
      </c>
      <c r="I5925" s="27" t="s">
        <v>37</v>
      </c>
      <c r="J5925" s="28" t="s">
        <v>399</v>
      </c>
      <c r="K5925" s="27" t="s">
        <v>37</v>
      </c>
      <c r="L5925" s="27"/>
    </row>
    <row r="5926" customFormat="false" ht="15" hidden="false" customHeight="false" outlineLevel="0" collapsed="false">
      <c r="A5926" s="26" t="s">
        <v>16789</v>
      </c>
      <c r="B5926" s="27" t="s">
        <v>16790</v>
      </c>
      <c r="C5926" s="27" t="s">
        <v>144</v>
      </c>
      <c r="D5926" s="26"/>
      <c r="E5926" s="27"/>
      <c r="F5926" s="27"/>
      <c r="G5926" s="27" t="s">
        <v>11122</v>
      </c>
      <c r="H5926" s="27" t="s">
        <v>35</v>
      </c>
      <c r="I5926" s="27" t="s">
        <v>37</v>
      </c>
      <c r="J5926" s="28" t="s">
        <v>399</v>
      </c>
      <c r="K5926" s="27" t="s">
        <v>37</v>
      </c>
      <c r="L5926" s="27"/>
    </row>
    <row r="5927" customFormat="false" ht="15" hidden="false" customHeight="false" outlineLevel="0" collapsed="false">
      <c r="A5927" s="26" t="s">
        <v>16791</v>
      </c>
      <c r="B5927" s="27" t="s">
        <v>16792</v>
      </c>
      <c r="C5927" s="27" t="s">
        <v>144</v>
      </c>
      <c r="D5927" s="26"/>
      <c r="E5927" s="27"/>
      <c r="F5927" s="27"/>
      <c r="G5927" s="27" t="s">
        <v>11122</v>
      </c>
      <c r="H5927" s="27" t="s">
        <v>35</v>
      </c>
      <c r="I5927" s="27" t="s">
        <v>40</v>
      </c>
      <c r="J5927" s="28" t="s">
        <v>399</v>
      </c>
      <c r="K5927" s="27" t="s">
        <v>37</v>
      </c>
      <c r="L5927" s="27"/>
    </row>
    <row r="5928" customFormat="false" ht="15" hidden="false" customHeight="false" outlineLevel="0" collapsed="false">
      <c r="A5928" s="26" t="s">
        <v>16793</v>
      </c>
      <c r="B5928" s="27" t="s">
        <v>16794</v>
      </c>
      <c r="C5928" s="27" t="s">
        <v>144</v>
      </c>
      <c r="D5928" s="26"/>
      <c r="E5928" s="27"/>
      <c r="F5928" s="27"/>
      <c r="G5928" s="27" t="s">
        <v>11122</v>
      </c>
      <c r="H5928" s="27" t="s">
        <v>35</v>
      </c>
      <c r="I5928" s="27" t="s">
        <v>37</v>
      </c>
      <c r="J5928" s="28" t="s">
        <v>399</v>
      </c>
      <c r="K5928" s="27" t="s">
        <v>37</v>
      </c>
      <c r="L5928" s="27"/>
    </row>
    <row r="5929" customFormat="false" ht="15" hidden="false" customHeight="false" outlineLevel="0" collapsed="false">
      <c r="A5929" s="26" t="s">
        <v>16795</v>
      </c>
      <c r="B5929" s="27" t="s">
        <v>16796</v>
      </c>
      <c r="C5929" s="27" t="s">
        <v>1493</v>
      </c>
      <c r="D5929" s="26"/>
      <c r="E5929" s="27"/>
      <c r="F5929" s="27"/>
      <c r="G5929" s="27" t="s">
        <v>11122</v>
      </c>
      <c r="H5929" s="27" t="s">
        <v>35</v>
      </c>
      <c r="I5929" s="27" t="s">
        <v>37</v>
      </c>
      <c r="J5929" s="28" t="s">
        <v>399</v>
      </c>
      <c r="K5929" s="27" t="s">
        <v>37</v>
      </c>
      <c r="L5929" s="27"/>
    </row>
    <row r="5930" customFormat="false" ht="15" hidden="false" customHeight="false" outlineLevel="0" collapsed="false">
      <c r="A5930" s="26" t="s">
        <v>16797</v>
      </c>
      <c r="B5930" s="27" t="s">
        <v>16798</v>
      </c>
      <c r="C5930" s="27" t="s">
        <v>1493</v>
      </c>
      <c r="D5930" s="26"/>
      <c r="E5930" s="27"/>
      <c r="F5930" s="27"/>
      <c r="G5930" s="27" t="s">
        <v>11122</v>
      </c>
      <c r="H5930" s="27" t="s">
        <v>35</v>
      </c>
      <c r="I5930" s="27" t="s">
        <v>39</v>
      </c>
      <c r="J5930" s="28" t="s">
        <v>399</v>
      </c>
      <c r="K5930" s="27" t="s">
        <v>37</v>
      </c>
      <c r="L5930" s="27"/>
    </row>
    <row r="5931" customFormat="false" ht="15" hidden="false" customHeight="false" outlineLevel="0" collapsed="false">
      <c r="A5931" s="26" t="s">
        <v>16799</v>
      </c>
      <c r="B5931" s="27" t="s">
        <v>16800</v>
      </c>
      <c r="C5931" s="27" t="s">
        <v>1493</v>
      </c>
      <c r="D5931" s="26"/>
      <c r="E5931" s="27"/>
      <c r="F5931" s="27"/>
      <c r="G5931" s="27" t="s">
        <v>11122</v>
      </c>
      <c r="H5931" s="27" t="s">
        <v>35</v>
      </c>
      <c r="I5931" s="27" t="s">
        <v>37</v>
      </c>
      <c r="J5931" s="28" t="s">
        <v>399</v>
      </c>
      <c r="K5931" s="27" t="s">
        <v>37</v>
      </c>
      <c r="L5931" s="27"/>
    </row>
    <row r="5932" customFormat="false" ht="15" hidden="false" customHeight="false" outlineLevel="0" collapsed="false">
      <c r="A5932" s="26" t="s">
        <v>16801</v>
      </c>
      <c r="B5932" s="27" t="s">
        <v>16802</v>
      </c>
      <c r="C5932" s="27" t="s">
        <v>137</v>
      </c>
      <c r="D5932" s="26"/>
      <c r="E5932" s="27"/>
      <c r="F5932" s="27"/>
      <c r="G5932" s="27" t="s">
        <v>11122</v>
      </c>
      <c r="H5932" s="27" t="s">
        <v>35</v>
      </c>
      <c r="I5932" s="27" t="s">
        <v>39</v>
      </c>
      <c r="J5932" s="28" t="s">
        <v>399</v>
      </c>
      <c r="K5932" s="27" t="s">
        <v>37</v>
      </c>
      <c r="L5932" s="27"/>
    </row>
    <row r="5933" customFormat="false" ht="15" hidden="false" customHeight="false" outlineLevel="0" collapsed="false">
      <c r="A5933" s="26" t="s">
        <v>16803</v>
      </c>
      <c r="B5933" s="27" t="s">
        <v>16804</v>
      </c>
      <c r="C5933" s="27" t="s">
        <v>144</v>
      </c>
      <c r="D5933" s="26"/>
      <c r="E5933" s="27"/>
      <c r="F5933" s="27"/>
      <c r="G5933" s="27" t="s">
        <v>11122</v>
      </c>
      <c r="H5933" s="27" t="s">
        <v>35</v>
      </c>
      <c r="I5933" s="27" t="s">
        <v>41</v>
      </c>
      <c r="J5933" s="28" t="s">
        <v>399</v>
      </c>
      <c r="K5933" s="27" t="s">
        <v>37</v>
      </c>
      <c r="L5933" s="27"/>
    </row>
    <row r="5934" customFormat="false" ht="15" hidden="false" customHeight="false" outlineLevel="0" collapsed="false">
      <c r="A5934" s="26" t="s">
        <v>16805</v>
      </c>
      <c r="B5934" s="27" t="s">
        <v>16806</v>
      </c>
      <c r="C5934" s="27" t="s">
        <v>100</v>
      </c>
      <c r="D5934" s="26"/>
      <c r="E5934" s="27"/>
      <c r="F5934" s="27"/>
      <c r="G5934" s="27" t="s">
        <v>11122</v>
      </c>
      <c r="H5934" s="27" t="s">
        <v>35</v>
      </c>
      <c r="I5934" s="27" t="s">
        <v>39</v>
      </c>
      <c r="J5934" s="28" t="s">
        <v>399</v>
      </c>
      <c r="K5934" s="27" t="s">
        <v>37</v>
      </c>
      <c r="L5934" s="27"/>
    </row>
    <row r="5935" customFormat="false" ht="15" hidden="false" customHeight="false" outlineLevel="0" collapsed="false">
      <c r="A5935" s="26" t="s">
        <v>16807</v>
      </c>
      <c r="B5935" s="27" t="s">
        <v>16808</v>
      </c>
      <c r="C5935" s="27" t="s">
        <v>1493</v>
      </c>
      <c r="D5935" s="26"/>
      <c r="E5935" s="27"/>
      <c r="F5935" s="27"/>
      <c r="G5935" s="27" t="s">
        <v>11122</v>
      </c>
      <c r="H5935" s="27" t="s">
        <v>35</v>
      </c>
      <c r="I5935" s="27" t="s">
        <v>38</v>
      </c>
      <c r="J5935" s="28" t="s">
        <v>399</v>
      </c>
      <c r="K5935" s="27" t="s">
        <v>37</v>
      </c>
      <c r="L5935" s="27"/>
    </row>
    <row r="5936" customFormat="false" ht="15" hidden="false" customHeight="false" outlineLevel="0" collapsed="false">
      <c r="A5936" s="26" t="s">
        <v>16809</v>
      </c>
      <c r="B5936" s="27" t="s">
        <v>16810</v>
      </c>
      <c r="C5936" s="27" t="s">
        <v>1493</v>
      </c>
      <c r="D5936" s="26"/>
      <c r="E5936" s="27"/>
      <c r="F5936" s="27"/>
      <c r="G5936" s="27" t="s">
        <v>11122</v>
      </c>
      <c r="H5936" s="27" t="s">
        <v>35</v>
      </c>
      <c r="I5936" s="27" t="s">
        <v>38</v>
      </c>
      <c r="J5936" s="28" t="s">
        <v>399</v>
      </c>
      <c r="K5936" s="27" t="s">
        <v>37</v>
      </c>
      <c r="L5936" s="27"/>
    </row>
    <row r="5937" customFormat="false" ht="15" hidden="false" customHeight="false" outlineLevel="0" collapsed="false">
      <c r="A5937" s="26" t="s">
        <v>16811</v>
      </c>
      <c r="B5937" s="27" t="s">
        <v>16812</v>
      </c>
      <c r="C5937" s="27" t="s">
        <v>1493</v>
      </c>
      <c r="D5937" s="26"/>
      <c r="E5937" s="27"/>
      <c r="F5937" s="27"/>
      <c r="G5937" s="27" t="s">
        <v>11122</v>
      </c>
      <c r="H5937" s="27" t="s">
        <v>35</v>
      </c>
      <c r="I5937" s="27" t="s">
        <v>38</v>
      </c>
      <c r="J5937" s="28" t="s">
        <v>399</v>
      </c>
      <c r="K5937" s="27" t="s">
        <v>37</v>
      </c>
      <c r="L5937" s="27"/>
    </row>
    <row r="5938" customFormat="false" ht="15" hidden="false" customHeight="false" outlineLevel="0" collapsed="false">
      <c r="A5938" s="26" t="s">
        <v>16813</v>
      </c>
      <c r="B5938" s="27" t="s">
        <v>16814</v>
      </c>
      <c r="C5938" s="27" t="s">
        <v>100</v>
      </c>
      <c r="D5938" s="26"/>
      <c r="E5938" s="27"/>
      <c r="F5938" s="27"/>
      <c r="G5938" s="27" t="s">
        <v>11122</v>
      </c>
      <c r="H5938" s="27" t="s">
        <v>35</v>
      </c>
      <c r="I5938" s="27" t="s">
        <v>39</v>
      </c>
      <c r="J5938" s="28" t="s">
        <v>399</v>
      </c>
      <c r="K5938" s="27" t="s">
        <v>37</v>
      </c>
      <c r="L5938" s="27"/>
    </row>
    <row r="5939" customFormat="false" ht="15" hidden="false" customHeight="false" outlineLevel="0" collapsed="false">
      <c r="A5939" s="26" t="s">
        <v>16815</v>
      </c>
      <c r="B5939" s="27" t="s">
        <v>16816</v>
      </c>
      <c r="C5939" s="27" t="s">
        <v>100</v>
      </c>
      <c r="D5939" s="26"/>
      <c r="E5939" s="27"/>
      <c r="F5939" s="27"/>
      <c r="G5939" s="27" t="s">
        <v>11122</v>
      </c>
      <c r="H5939" s="27" t="s">
        <v>35</v>
      </c>
      <c r="I5939" s="27" t="s">
        <v>39</v>
      </c>
      <c r="J5939" s="28" t="s">
        <v>399</v>
      </c>
      <c r="K5939" s="27" t="s">
        <v>37</v>
      </c>
      <c r="L5939" s="27"/>
    </row>
    <row r="5940" customFormat="false" ht="15" hidden="false" customHeight="false" outlineLevel="0" collapsed="false">
      <c r="A5940" s="26" t="s">
        <v>16817</v>
      </c>
      <c r="B5940" s="27" t="s">
        <v>16818</v>
      </c>
      <c r="C5940" s="27" t="s">
        <v>100</v>
      </c>
      <c r="D5940" s="26"/>
      <c r="E5940" s="27"/>
      <c r="F5940" s="27"/>
      <c r="G5940" s="27" t="s">
        <v>11122</v>
      </c>
      <c r="H5940" s="27" t="s">
        <v>35</v>
      </c>
      <c r="I5940" s="27" t="s">
        <v>887</v>
      </c>
      <c r="J5940" s="28" t="s">
        <v>399</v>
      </c>
      <c r="K5940" s="27" t="s">
        <v>37</v>
      </c>
      <c r="L5940" s="27"/>
    </row>
    <row r="5941" customFormat="false" ht="15" hidden="false" customHeight="false" outlineLevel="0" collapsed="false">
      <c r="A5941" s="26" t="s">
        <v>16819</v>
      </c>
      <c r="B5941" s="27" t="s">
        <v>16820</v>
      </c>
      <c r="C5941" s="27" t="s">
        <v>100</v>
      </c>
      <c r="D5941" s="26"/>
      <c r="E5941" s="27"/>
      <c r="F5941" s="27"/>
      <c r="G5941" s="27" t="s">
        <v>11122</v>
      </c>
      <c r="H5941" s="27" t="s">
        <v>35</v>
      </c>
      <c r="I5941" s="27" t="s">
        <v>39</v>
      </c>
      <c r="J5941" s="28" t="s">
        <v>399</v>
      </c>
      <c r="K5941" s="27" t="s">
        <v>37</v>
      </c>
      <c r="L5941" s="27"/>
    </row>
    <row r="5942" customFormat="false" ht="15" hidden="false" customHeight="false" outlineLevel="0" collapsed="false">
      <c r="A5942" s="26" t="s">
        <v>16821</v>
      </c>
      <c r="B5942" s="27" t="s">
        <v>16822</v>
      </c>
      <c r="C5942" s="27" t="s">
        <v>137</v>
      </c>
      <c r="D5942" s="26"/>
      <c r="E5942" s="27"/>
      <c r="F5942" s="27"/>
      <c r="G5942" s="27" t="s">
        <v>11122</v>
      </c>
      <c r="H5942" s="27" t="s">
        <v>35</v>
      </c>
      <c r="I5942" s="27" t="s">
        <v>40</v>
      </c>
      <c r="J5942" s="28" t="s">
        <v>399</v>
      </c>
      <c r="K5942" s="27" t="s">
        <v>37</v>
      </c>
      <c r="L5942" s="27"/>
    </row>
    <row r="5943" customFormat="false" ht="15" hidden="false" customHeight="false" outlineLevel="0" collapsed="false">
      <c r="A5943" s="26" t="s">
        <v>16823</v>
      </c>
      <c r="B5943" s="27" t="s">
        <v>16824</v>
      </c>
      <c r="C5943" s="27" t="s">
        <v>137</v>
      </c>
      <c r="D5943" s="26"/>
      <c r="E5943" s="27"/>
      <c r="F5943" s="27"/>
      <c r="G5943" s="27" t="s">
        <v>11122</v>
      </c>
      <c r="H5943" s="27" t="s">
        <v>35</v>
      </c>
      <c r="I5943" s="27" t="s">
        <v>39</v>
      </c>
      <c r="J5943" s="28" t="s">
        <v>399</v>
      </c>
      <c r="K5943" s="27" t="s">
        <v>37</v>
      </c>
      <c r="L5943" s="27"/>
    </row>
    <row r="5944" customFormat="false" ht="15" hidden="false" customHeight="false" outlineLevel="0" collapsed="false">
      <c r="A5944" s="26" t="s">
        <v>16825</v>
      </c>
      <c r="B5944" s="27" t="s">
        <v>16826</v>
      </c>
      <c r="C5944" s="27" t="s">
        <v>144</v>
      </c>
      <c r="D5944" s="26"/>
      <c r="E5944" s="27"/>
      <c r="F5944" s="27"/>
      <c r="G5944" s="27" t="s">
        <v>11122</v>
      </c>
      <c r="H5944" s="27" t="s">
        <v>35</v>
      </c>
      <c r="I5944" s="27" t="s">
        <v>3536</v>
      </c>
      <c r="J5944" s="28" t="s">
        <v>399</v>
      </c>
      <c r="K5944" s="27" t="s">
        <v>37</v>
      </c>
      <c r="L5944" s="27"/>
    </row>
    <row r="5945" customFormat="false" ht="15" hidden="false" customHeight="false" outlineLevel="0" collapsed="false">
      <c r="A5945" s="26" t="s">
        <v>16827</v>
      </c>
      <c r="B5945" s="27" t="s">
        <v>16828</v>
      </c>
      <c r="C5945" s="27" t="s">
        <v>144</v>
      </c>
      <c r="D5945" s="26"/>
      <c r="E5945" s="27"/>
      <c r="F5945" s="27"/>
      <c r="G5945" s="27" t="s">
        <v>11122</v>
      </c>
      <c r="H5945" s="27" t="s">
        <v>35</v>
      </c>
      <c r="I5945" s="27" t="s">
        <v>41</v>
      </c>
      <c r="J5945" s="28" t="s">
        <v>399</v>
      </c>
      <c r="K5945" s="27" t="s">
        <v>37</v>
      </c>
      <c r="L5945" s="27"/>
    </row>
    <row r="5946" customFormat="false" ht="15" hidden="false" customHeight="false" outlineLevel="0" collapsed="false">
      <c r="A5946" s="26" t="s">
        <v>16829</v>
      </c>
      <c r="B5946" s="27" t="s">
        <v>16830</v>
      </c>
      <c r="C5946" s="27" t="s">
        <v>144</v>
      </c>
      <c r="D5946" s="26"/>
      <c r="E5946" s="27"/>
      <c r="F5946" s="27"/>
      <c r="G5946" s="27" t="s">
        <v>11122</v>
      </c>
      <c r="H5946" s="27" t="s">
        <v>35</v>
      </c>
      <c r="I5946" s="27" t="s">
        <v>37</v>
      </c>
      <c r="J5946" s="28" t="s">
        <v>399</v>
      </c>
      <c r="K5946" s="27" t="s">
        <v>37</v>
      </c>
      <c r="L5946" s="27"/>
    </row>
    <row r="5947" customFormat="false" ht="15" hidden="false" customHeight="false" outlineLevel="0" collapsed="false">
      <c r="A5947" s="26" t="s">
        <v>16831</v>
      </c>
      <c r="B5947" s="27" t="s">
        <v>16832</v>
      </c>
      <c r="C5947" s="27" t="s">
        <v>144</v>
      </c>
      <c r="D5947" s="26"/>
      <c r="E5947" s="27"/>
      <c r="F5947" s="27"/>
      <c r="G5947" s="27" t="s">
        <v>11122</v>
      </c>
      <c r="H5947" s="27" t="s">
        <v>35</v>
      </c>
      <c r="I5947" s="27" t="s">
        <v>37</v>
      </c>
      <c r="J5947" s="28" t="s">
        <v>399</v>
      </c>
      <c r="K5947" s="27" t="s">
        <v>37</v>
      </c>
      <c r="L5947" s="27"/>
    </row>
    <row r="5948" customFormat="false" ht="15" hidden="false" customHeight="false" outlineLevel="0" collapsed="false">
      <c r="A5948" s="26" t="s">
        <v>16833</v>
      </c>
      <c r="B5948" s="27" t="s">
        <v>16834</v>
      </c>
      <c r="C5948" s="27" t="s">
        <v>144</v>
      </c>
      <c r="D5948" s="26"/>
      <c r="E5948" s="27"/>
      <c r="F5948" s="27"/>
      <c r="G5948" s="27" t="s">
        <v>11122</v>
      </c>
      <c r="H5948" s="27" t="s">
        <v>35</v>
      </c>
      <c r="I5948" s="27" t="s">
        <v>37</v>
      </c>
      <c r="J5948" s="28" t="s">
        <v>399</v>
      </c>
      <c r="K5948" s="27" t="s">
        <v>37</v>
      </c>
      <c r="L5948" s="27"/>
    </row>
    <row r="5949" customFormat="false" ht="15" hidden="false" customHeight="false" outlineLevel="0" collapsed="false">
      <c r="A5949" s="26" t="s">
        <v>16835</v>
      </c>
      <c r="B5949" s="27" t="s">
        <v>16836</v>
      </c>
      <c r="C5949" s="27" t="s">
        <v>144</v>
      </c>
      <c r="D5949" s="26"/>
      <c r="E5949" s="27"/>
      <c r="F5949" s="27"/>
      <c r="G5949" s="27" t="s">
        <v>11122</v>
      </c>
      <c r="H5949" s="27" t="s">
        <v>35</v>
      </c>
      <c r="I5949" s="27" t="s">
        <v>37</v>
      </c>
      <c r="J5949" s="28" t="s">
        <v>399</v>
      </c>
      <c r="K5949" s="27" t="s">
        <v>37</v>
      </c>
      <c r="L5949" s="27"/>
    </row>
    <row r="5950" customFormat="false" ht="15" hidden="false" customHeight="false" outlineLevel="0" collapsed="false">
      <c r="A5950" s="26" t="s">
        <v>16837</v>
      </c>
      <c r="B5950" s="27" t="s">
        <v>16838</v>
      </c>
      <c r="C5950" s="27" t="s">
        <v>144</v>
      </c>
      <c r="D5950" s="26"/>
      <c r="E5950" s="27"/>
      <c r="F5950" s="27"/>
      <c r="G5950" s="27" t="s">
        <v>11122</v>
      </c>
      <c r="H5950" s="27" t="s">
        <v>35</v>
      </c>
      <c r="I5950" s="27" t="s">
        <v>37</v>
      </c>
      <c r="J5950" s="28" t="s">
        <v>399</v>
      </c>
      <c r="K5950" s="27" t="s">
        <v>37</v>
      </c>
      <c r="L5950" s="27"/>
    </row>
    <row r="5951" customFormat="false" ht="15" hidden="false" customHeight="false" outlineLevel="0" collapsed="false">
      <c r="A5951" s="26" t="s">
        <v>16839</v>
      </c>
      <c r="B5951" s="27" t="s">
        <v>16840</v>
      </c>
      <c r="C5951" s="27" t="s">
        <v>144</v>
      </c>
      <c r="D5951" s="26"/>
      <c r="E5951" s="27"/>
      <c r="F5951" s="27"/>
      <c r="G5951" s="27" t="s">
        <v>11122</v>
      </c>
      <c r="H5951" s="27" t="s">
        <v>35</v>
      </c>
      <c r="I5951" s="27" t="s">
        <v>41</v>
      </c>
      <c r="J5951" s="28" t="s">
        <v>399</v>
      </c>
      <c r="K5951" s="27" t="s">
        <v>37</v>
      </c>
      <c r="L5951" s="27"/>
    </row>
    <row r="5952" customFormat="false" ht="15" hidden="false" customHeight="false" outlineLevel="0" collapsed="false">
      <c r="A5952" s="26" t="s">
        <v>16841</v>
      </c>
      <c r="B5952" s="27" t="s">
        <v>16842</v>
      </c>
      <c r="C5952" s="27" t="s">
        <v>144</v>
      </c>
      <c r="D5952" s="26"/>
      <c r="E5952" s="27"/>
      <c r="F5952" s="27"/>
      <c r="G5952" s="27" t="s">
        <v>11122</v>
      </c>
      <c r="H5952" s="27" t="s">
        <v>35</v>
      </c>
      <c r="I5952" s="28" t="s">
        <v>50</v>
      </c>
      <c r="J5952" s="28" t="s">
        <v>399</v>
      </c>
      <c r="K5952" s="27" t="s">
        <v>37</v>
      </c>
      <c r="L5952" s="27"/>
    </row>
    <row r="5953" customFormat="false" ht="15" hidden="false" customHeight="false" outlineLevel="0" collapsed="false">
      <c r="A5953" s="26" t="s">
        <v>16843</v>
      </c>
      <c r="B5953" s="27" t="s">
        <v>16844</v>
      </c>
      <c r="C5953" s="27" t="s">
        <v>144</v>
      </c>
      <c r="D5953" s="26"/>
      <c r="E5953" s="27"/>
      <c r="F5953" s="27"/>
      <c r="G5953" s="27" t="s">
        <v>11122</v>
      </c>
      <c r="H5953" s="27" t="s">
        <v>35</v>
      </c>
      <c r="I5953" s="27" t="s">
        <v>41</v>
      </c>
      <c r="J5953" s="28" t="s">
        <v>399</v>
      </c>
      <c r="K5953" s="27" t="s">
        <v>37</v>
      </c>
      <c r="L5953" s="27"/>
    </row>
    <row r="5954" customFormat="false" ht="15" hidden="false" customHeight="false" outlineLevel="0" collapsed="false">
      <c r="A5954" s="26" t="s">
        <v>16845</v>
      </c>
      <c r="B5954" s="27" t="s">
        <v>16846</v>
      </c>
      <c r="C5954" s="27" t="s">
        <v>144</v>
      </c>
      <c r="D5954" s="26"/>
      <c r="E5954" s="27"/>
      <c r="F5954" s="27"/>
      <c r="G5954" s="27" t="s">
        <v>11122</v>
      </c>
      <c r="H5954" s="27" t="s">
        <v>35</v>
      </c>
      <c r="I5954" s="27" t="s">
        <v>40</v>
      </c>
      <c r="J5954" s="28" t="s">
        <v>399</v>
      </c>
      <c r="K5954" s="27" t="s">
        <v>37</v>
      </c>
      <c r="L5954" s="27"/>
    </row>
    <row r="5955" customFormat="false" ht="15" hidden="false" customHeight="false" outlineLevel="0" collapsed="false">
      <c r="A5955" s="26" t="s">
        <v>16847</v>
      </c>
      <c r="B5955" s="27" t="s">
        <v>16848</v>
      </c>
      <c r="C5955" s="27" t="s">
        <v>144</v>
      </c>
      <c r="D5955" s="26"/>
      <c r="E5955" s="27"/>
      <c r="F5955" s="27"/>
      <c r="G5955" s="27" t="s">
        <v>11122</v>
      </c>
      <c r="H5955" s="27" t="s">
        <v>35</v>
      </c>
      <c r="I5955" s="27" t="s">
        <v>40</v>
      </c>
      <c r="J5955" s="28" t="s">
        <v>399</v>
      </c>
      <c r="K5955" s="27" t="s">
        <v>37</v>
      </c>
      <c r="L5955" s="27"/>
    </row>
    <row r="5956" customFormat="false" ht="15" hidden="false" customHeight="false" outlineLevel="0" collapsed="false">
      <c r="A5956" s="26" t="s">
        <v>16849</v>
      </c>
      <c r="B5956" s="27" t="s">
        <v>16850</v>
      </c>
      <c r="C5956" s="27" t="s">
        <v>144</v>
      </c>
      <c r="D5956" s="26"/>
      <c r="E5956" s="27"/>
      <c r="F5956" s="27"/>
      <c r="G5956" s="27" t="s">
        <v>11122</v>
      </c>
      <c r="H5956" s="27" t="s">
        <v>35</v>
      </c>
      <c r="I5956" s="27" t="s">
        <v>40</v>
      </c>
      <c r="J5956" s="28" t="s">
        <v>399</v>
      </c>
      <c r="K5956" s="27" t="s">
        <v>37</v>
      </c>
      <c r="L5956" s="27"/>
    </row>
    <row r="5957" customFormat="false" ht="15" hidden="false" customHeight="false" outlineLevel="0" collapsed="false">
      <c r="A5957" s="26" t="s">
        <v>16851</v>
      </c>
      <c r="B5957" s="27" t="s">
        <v>16852</v>
      </c>
      <c r="C5957" s="27" t="s">
        <v>144</v>
      </c>
      <c r="D5957" s="26"/>
      <c r="E5957" s="27"/>
      <c r="F5957" s="27"/>
      <c r="G5957" s="27" t="s">
        <v>11122</v>
      </c>
      <c r="H5957" s="27" t="s">
        <v>35</v>
      </c>
      <c r="I5957" s="27" t="s">
        <v>41</v>
      </c>
      <c r="J5957" s="28" t="s">
        <v>399</v>
      </c>
      <c r="K5957" s="27" t="s">
        <v>37</v>
      </c>
      <c r="L5957" s="27"/>
    </row>
    <row r="5958" customFormat="false" ht="15" hidden="false" customHeight="false" outlineLevel="0" collapsed="false">
      <c r="A5958" s="26" t="s">
        <v>16853</v>
      </c>
      <c r="B5958" s="27" t="s">
        <v>16854</v>
      </c>
      <c r="C5958" s="27" t="s">
        <v>144</v>
      </c>
      <c r="D5958" s="26"/>
      <c r="E5958" s="27"/>
      <c r="F5958" s="27"/>
      <c r="G5958" s="27" t="s">
        <v>11122</v>
      </c>
      <c r="H5958" s="27" t="s">
        <v>35</v>
      </c>
      <c r="I5958" s="28" t="s">
        <v>50</v>
      </c>
      <c r="J5958" s="28" t="s">
        <v>399</v>
      </c>
      <c r="K5958" s="27" t="s">
        <v>37</v>
      </c>
      <c r="L5958" s="27"/>
    </row>
    <row r="5959" customFormat="false" ht="15" hidden="false" customHeight="false" outlineLevel="0" collapsed="false">
      <c r="A5959" s="26" t="s">
        <v>16855</v>
      </c>
      <c r="B5959" s="27" t="s">
        <v>16856</v>
      </c>
      <c r="C5959" s="27" t="s">
        <v>144</v>
      </c>
      <c r="D5959" s="26"/>
      <c r="E5959" s="27"/>
      <c r="F5959" s="27"/>
      <c r="G5959" s="27" t="s">
        <v>11122</v>
      </c>
      <c r="H5959" s="27" t="s">
        <v>35</v>
      </c>
      <c r="I5959" s="28" t="s">
        <v>50</v>
      </c>
      <c r="J5959" s="28" t="s">
        <v>399</v>
      </c>
      <c r="K5959" s="27" t="s">
        <v>37</v>
      </c>
      <c r="L5959" s="27"/>
    </row>
    <row r="5960" customFormat="false" ht="15" hidden="false" customHeight="false" outlineLevel="0" collapsed="false">
      <c r="A5960" s="26" t="s">
        <v>16857</v>
      </c>
      <c r="B5960" s="27" t="s">
        <v>16858</v>
      </c>
      <c r="C5960" s="27" t="s">
        <v>144</v>
      </c>
      <c r="D5960" s="26"/>
      <c r="E5960" s="27"/>
      <c r="F5960" s="27"/>
      <c r="G5960" s="27" t="s">
        <v>11122</v>
      </c>
      <c r="H5960" s="27" t="s">
        <v>35</v>
      </c>
      <c r="I5960" s="27" t="s">
        <v>39</v>
      </c>
      <c r="J5960" s="28" t="s">
        <v>399</v>
      </c>
      <c r="K5960" s="27" t="s">
        <v>37</v>
      </c>
      <c r="L5960" s="27"/>
    </row>
    <row r="5961" customFormat="false" ht="15" hidden="false" customHeight="false" outlineLevel="0" collapsed="false">
      <c r="A5961" s="26" t="s">
        <v>16859</v>
      </c>
      <c r="B5961" s="27" t="s">
        <v>16860</v>
      </c>
      <c r="C5961" s="27" t="s">
        <v>1187</v>
      </c>
      <c r="D5961" s="26"/>
      <c r="E5961" s="27"/>
      <c r="F5961" s="27"/>
      <c r="G5961" s="27" t="s">
        <v>11122</v>
      </c>
      <c r="H5961" s="27" t="s">
        <v>35</v>
      </c>
      <c r="I5961" s="27" t="s">
        <v>41</v>
      </c>
      <c r="J5961" s="28" t="s">
        <v>399</v>
      </c>
      <c r="K5961" s="27" t="s">
        <v>37</v>
      </c>
      <c r="L5961" s="27"/>
    </row>
    <row r="5962" customFormat="false" ht="15" hidden="false" customHeight="false" outlineLevel="0" collapsed="false">
      <c r="A5962" s="26" t="s">
        <v>16861</v>
      </c>
      <c r="B5962" s="27" t="s">
        <v>16862</v>
      </c>
      <c r="C5962" s="27" t="s">
        <v>144</v>
      </c>
      <c r="D5962" s="26"/>
      <c r="E5962" s="27"/>
      <c r="F5962" s="27"/>
      <c r="G5962" s="27" t="s">
        <v>11122</v>
      </c>
      <c r="H5962" s="27" t="s">
        <v>35</v>
      </c>
      <c r="I5962" s="27" t="s">
        <v>39</v>
      </c>
      <c r="J5962" s="28" t="s">
        <v>399</v>
      </c>
      <c r="K5962" s="27" t="s">
        <v>37</v>
      </c>
      <c r="L5962" s="27"/>
    </row>
    <row r="5963" customFormat="false" ht="15" hidden="false" customHeight="false" outlineLevel="0" collapsed="false">
      <c r="A5963" s="26" t="s">
        <v>16863</v>
      </c>
      <c r="B5963" s="27" t="s">
        <v>16864</v>
      </c>
      <c r="C5963" s="27" t="s">
        <v>144</v>
      </c>
      <c r="D5963" s="26"/>
      <c r="E5963" s="27"/>
      <c r="F5963" s="27"/>
      <c r="G5963" s="27" t="s">
        <v>11122</v>
      </c>
      <c r="H5963" s="27" t="s">
        <v>35</v>
      </c>
      <c r="I5963" s="28" t="s">
        <v>50</v>
      </c>
      <c r="J5963" s="28" t="s">
        <v>399</v>
      </c>
      <c r="K5963" s="27" t="s">
        <v>37</v>
      </c>
      <c r="L5963" s="27"/>
    </row>
    <row r="5964" customFormat="false" ht="15" hidden="false" customHeight="false" outlineLevel="0" collapsed="false">
      <c r="A5964" s="26" t="s">
        <v>16865</v>
      </c>
      <c r="B5964" s="27" t="s">
        <v>16866</v>
      </c>
      <c r="C5964" s="27" t="s">
        <v>144</v>
      </c>
      <c r="D5964" s="26"/>
      <c r="E5964" s="27"/>
      <c r="F5964" s="27"/>
      <c r="G5964" s="27" t="s">
        <v>11122</v>
      </c>
      <c r="H5964" s="27" t="s">
        <v>35</v>
      </c>
      <c r="I5964" s="27" t="s">
        <v>47</v>
      </c>
      <c r="J5964" s="28" t="s">
        <v>399</v>
      </c>
      <c r="K5964" s="27" t="s">
        <v>37</v>
      </c>
      <c r="L5964" s="27"/>
    </row>
    <row r="5965" customFormat="false" ht="15" hidden="false" customHeight="false" outlineLevel="0" collapsed="false">
      <c r="A5965" s="26" t="s">
        <v>16867</v>
      </c>
      <c r="B5965" s="27" t="s">
        <v>16868</v>
      </c>
      <c r="C5965" s="27" t="s">
        <v>144</v>
      </c>
      <c r="D5965" s="26"/>
      <c r="E5965" s="27"/>
      <c r="F5965" s="27"/>
      <c r="G5965" s="27" t="s">
        <v>11122</v>
      </c>
      <c r="H5965" s="27" t="s">
        <v>35</v>
      </c>
      <c r="I5965" s="27" t="s">
        <v>47</v>
      </c>
      <c r="J5965" s="28" t="s">
        <v>399</v>
      </c>
      <c r="K5965" s="27" t="s">
        <v>37</v>
      </c>
      <c r="L5965" s="27"/>
    </row>
    <row r="5966" customFormat="false" ht="15" hidden="false" customHeight="false" outlineLevel="0" collapsed="false">
      <c r="A5966" s="26" t="s">
        <v>16869</v>
      </c>
      <c r="B5966" s="27" t="s">
        <v>16870</v>
      </c>
      <c r="C5966" s="27" t="s">
        <v>144</v>
      </c>
      <c r="D5966" s="26"/>
      <c r="E5966" s="27"/>
      <c r="F5966" s="27"/>
      <c r="G5966" s="27" t="s">
        <v>11122</v>
      </c>
      <c r="H5966" s="27" t="s">
        <v>35</v>
      </c>
      <c r="I5966" s="27" t="s">
        <v>39</v>
      </c>
      <c r="J5966" s="28" t="s">
        <v>399</v>
      </c>
      <c r="K5966" s="27" t="s">
        <v>37</v>
      </c>
      <c r="L5966" s="27"/>
    </row>
    <row r="5967" customFormat="false" ht="15" hidden="false" customHeight="false" outlineLevel="0" collapsed="false">
      <c r="A5967" s="26" t="s">
        <v>16871</v>
      </c>
      <c r="B5967" s="27" t="s">
        <v>16872</v>
      </c>
      <c r="C5967" s="27" t="s">
        <v>144</v>
      </c>
      <c r="D5967" s="26"/>
      <c r="E5967" s="27"/>
      <c r="F5967" s="27"/>
      <c r="G5967" s="27" t="s">
        <v>11122</v>
      </c>
      <c r="H5967" s="27" t="s">
        <v>35</v>
      </c>
      <c r="I5967" s="27" t="s">
        <v>37</v>
      </c>
      <c r="J5967" s="28" t="s">
        <v>399</v>
      </c>
      <c r="K5967" s="27" t="s">
        <v>37</v>
      </c>
      <c r="L5967" s="27"/>
    </row>
    <row r="5968" customFormat="false" ht="15" hidden="false" customHeight="false" outlineLevel="0" collapsed="false">
      <c r="A5968" s="26" t="s">
        <v>16873</v>
      </c>
      <c r="B5968" s="27" t="s">
        <v>16874</v>
      </c>
      <c r="C5968" s="27" t="s">
        <v>144</v>
      </c>
      <c r="D5968" s="26"/>
      <c r="E5968" s="27"/>
      <c r="F5968" s="27"/>
      <c r="G5968" s="27" t="s">
        <v>11122</v>
      </c>
      <c r="H5968" s="27" t="s">
        <v>35</v>
      </c>
      <c r="I5968" s="28" t="s">
        <v>46</v>
      </c>
      <c r="J5968" s="28" t="s">
        <v>399</v>
      </c>
      <c r="K5968" s="27" t="s">
        <v>37</v>
      </c>
      <c r="L5968" s="27"/>
    </row>
    <row r="5969" customFormat="false" ht="15" hidden="false" customHeight="false" outlineLevel="0" collapsed="false">
      <c r="A5969" s="26" t="s">
        <v>16875</v>
      </c>
      <c r="B5969" s="27" t="s">
        <v>16876</v>
      </c>
      <c r="C5969" s="27" t="s">
        <v>144</v>
      </c>
      <c r="D5969" s="26"/>
      <c r="E5969" s="27"/>
      <c r="F5969" s="27"/>
      <c r="G5969" s="27" t="s">
        <v>11122</v>
      </c>
      <c r="H5969" s="27" t="s">
        <v>35</v>
      </c>
      <c r="I5969" s="27" t="s">
        <v>38</v>
      </c>
      <c r="J5969" s="28" t="s">
        <v>399</v>
      </c>
      <c r="K5969" s="27" t="s">
        <v>37</v>
      </c>
      <c r="L5969" s="27"/>
    </row>
    <row r="5970" customFormat="false" ht="15" hidden="false" customHeight="false" outlineLevel="0" collapsed="false">
      <c r="A5970" s="26" t="s">
        <v>16877</v>
      </c>
      <c r="B5970" s="27" t="s">
        <v>16878</v>
      </c>
      <c r="C5970" s="27" t="s">
        <v>144</v>
      </c>
      <c r="D5970" s="26"/>
      <c r="E5970" s="27"/>
      <c r="F5970" s="27"/>
      <c r="G5970" s="27" t="s">
        <v>11122</v>
      </c>
      <c r="H5970" s="27" t="s">
        <v>35</v>
      </c>
      <c r="I5970" s="27" t="s">
        <v>37</v>
      </c>
      <c r="J5970" s="28" t="s">
        <v>399</v>
      </c>
      <c r="K5970" s="27" t="s">
        <v>37</v>
      </c>
      <c r="L5970" s="27"/>
    </row>
    <row r="5971" customFormat="false" ht="15" hidden="false" customHeight="false" outlineLevel="0" collapsed="false">
      <c r="A5971" s="26" t="s">
        <v>16879</v>
      </c>
      <c r="B5971" s="27" t="s">
        <v>16880</v>
      </c>
      <c r="C5971" s="27" t="s">
        <v>144</v>
      </c>
      <c r="D5971" s="26"/>
      <c r="E5971" s="27"/>
      <c r="F5971" s="27"/>
      <c r="G5971" s="27" t="s">
        <v>11122</v>
      </c>
      <c r="H5971" s="27" t="s">
        <v>35</v>
      </c>
      <c r="I5971" s="28" t="s">
        <v>46</v>
      </c>
      <c r="J5971" s="28" t="s">
        <v>399</v>
      </c>
      <c r="K5971" s="27" t="s">
        <v>37</v>
      </c>
      <c r="L5971" s="27"/>
    </row>
    <row r="5972" customFormat="false" ht="15" hidden="false" customHeight="false" outlineLevel="0" collapsed="false">
      <c r="A5972" s="26" t="s">
        <v>16881</v>
      </c>
      <c r="B5972" s="27" t="s">
        <v>16882</v>
      </c>
      <c r="C5972" s="27" t="s">
        <v>144</v>
      </c>
      <c r="D5972" s="26"/>
      <c r="E5972" s="27"/>
      <c r="F5972" s="27"/>
      <c r="G5972" s="27" t="s">
        <v>11122</v>
      </c>
      <c r="H5972" s="27" t="s">
        <v>35</v>
      </c>
      <c r="I5972" s="28" t="s">
        <v>46</v>
      </c>
      <c r="J5972" s="28" t="s">
        <v>399</v>
      </c>
      <c r="K5972" s="27" t="s">
        <v>37</v>
      </c>
      <c r="L5972" s="27"/>
    </row>
    <row r="5973" customFormat="false" ht="15" hidden="false" customHeight="false" outlineLevel="0" collapsed="false">
      <c r="A5973" s="26" t="s">
        <v>16883</v>
      </c>
      <c r="B5973" s="27" t="s">
        <v>16884</v>
      </c>
      <c r="C5973" s="27" t="s">
        <v>144</v>
      </c>
      <c r="D5973" s="26"/>
      <c r="E5973" s="27"/>
      <c r="F5973" s="27"/>
      <c r="G5973" s="27" t="s">
        <v>11122</v>
      </c>
      <c r="H5973" s="27" t="s">
        <v>35</v>
      </c>
      <c r="I5973" s="28" t="s">
        <v>46</v>
      </c>
      <c r="J5973" s="28" t="s">
        <v>399</v>
      </c>
      <c r="K5973" s="27" t="s">
        <v>37</v>
      </c>
      <c r="L5973" s="27"/>
    </row>
    <row r="5974" customFormat="false" ht="15" hidden="false" customHeight="false" outlineLevel="0" collapsed="false">
      <c r="A5974" s="26" t="s">
        <v>16885</v>
      </c>
      <c r="B5974" s="27" t="s">
        <v>16886</v>
      </c>
      <c r="C5974" s="27" t="s">
        <v>144</v>
      </c>
      <c r="D5974" s="26"/>
      <c r="E5974" s="27"/>
      <c r="F5974" s="27"/>
      <c r="G5974" s="27" t="s">
        <v>11122</v>
      </c>
      <c r="H5974" s="27" t="s">
        <v>35</v>
      </c>
      <c r="I5974" s="27" t="s">
        <v>37</v>
      </c>
      <c r="J5974" s="28" t="s">
        <v>399</v>
      </c>
      <c r="K5974" s="27" t="s">
        <v>37</v>
      </c>
      <c r="L5974" s="27"/>
    </row>
    <row r="5975" customFormat="false" ht="15" hidden="false" customHeight="false" outlineLevel="0" collapsed="false">
      <c r="A5975" s="26" t="s">
        <v>16887</v>
      </c>
      <c r="B5975" s="27" t="s">
        <v>16888</v>
      </c>
      <c r="C5975" s="27" t="s">
        <v>144</v>
      </c>
      <c r="D5975" s="26"/>
      <c r="E5975" s="27"/>
      <c r="F5975" s="27"/>
      <c r="G5975" s="27" t="s">
        <v>11122</v>
      </c>
      <c r="H5975" s="27" t="s">
        <v>35</v>
      </c>
      <c r="I5975" s="27" t="s">
        <v>37</v>
      </c>
      <c r="J5975" s="28" t="s">
        <v>399</v>
      </c>
      <c r="K5975" s="27" t="s">
        <v>37</v>
      </c>
      <c r="L5975" s="27"/>
    </row>
    <row r="5976" customFormat="false" ht="15" hidden="false" customHeight="false" outlineLevel="0" collapsed="false">
      <c r="A5976" s="26" t="s">
        <v>16889</v>
      </c>
      <c r="B5976" s="27" t="s">
        <v>16890</v>
      </c>
      <c r="C5976" s="27" t="s">
        <v>144</v>
      </c>
      <c r="D5976" s="26"/>
      <c r="E5976" s="27"/>
      <c r="F5976" s="27"/>
      <c r="G5976" s="27" t="s">
        <v>11122</v>
      </c>
      <c r="H5976" s="27" t="s">
        <v>35</v>
      </c>
      <c r="I5976" s="27" t="s">
        <v>37</v>
      </c>
      <c r="J5976" s="28" t="s">
        <v>399</v>
      </c>
      <c r="K5976" s="27" t="s">
        <v>37</v>
      </c>
      <c r="L5976" s="27"/>
    </row>
    <row r="5977" customFormat="false" ht="15" hidden="false" customHeight="false" outlineLevel="0" collapsed="false">
      <c r="A5977" s="26" t="s">
        <v>16891</v>
      </c>
      <c r="B5977" s="27" t="s">
        <v>16892</v>
      </c>
      <c r="C5977" s="27" t="s">
        <v>144</v>
      </c>
      <c r="D5977" s="26"/>
      <c r="E5977" s="27"/>
      <c r="F5977" s="27"/>
      <c r="G5977" s="27" t="s">
        <v>11122</v>
      </c>
      <c r="H5977" s="27" t="s">
        <v>35</v>
      </c>
      <c r="I5977" s="27" t="s">
        <v>37</v>
      </c>
      <c r="J5977" s="28" t="s">
        <v>399</v>
      </c>
      <c r="K5977" s="27" t="s">
        <v>37</v>
      </c>
      <c r="L5977" s="27"/>
    </row>
    <row r="5978" customFormat="false" ht="15" hidden="false" customHeight="false" outlineLevel="0" collapsed="false">
      <c r="A5978" s="26" t="s">
        <v>16893</v>
      </c>
      <c r="B5978" s="27" t="s">
        <v>16894</v>
      </c>
      <c r="C5978" s="27" t="s">
        <v>144</v>
      </c>
      <c r="D5978" s="26"/>
      <c r="E5978" s="27"/>
      <c r="F5978" s="27"/>
      <c r="G5978" s="27" t="s">
        <v>11122</v>
      </c>
      <c r="H5978" s="27" t="s">
        <v>35</v>
      </c>
      <c r="I5978" s="27" t="s">
        <v>37</v>
      </c>
      <c r="J5978" s="28" t="s">
        <v>399</v>
      </c>
      <c r="K5978" s="27" t="s">
        <v>37</v>
      </c>
      <c r="L5978" s="27"/>
    </row>
    <row r="5979" customFormat="false" ht="15" hidden="false" customHeight="false" outlineLevel="0" collapsed="false">
      <c r="A5979" s="26" t="s">
        <v>16895</v>
      </c>
      <c r="B5979" s="27" t="s">
        <v>16896</v>
      </c>
      <c r="C5979" s="27" t="s">
        <v>144</v>
      </c>
      <c r="D5979" s="26"/>
      <c r="E5979" s="27"/>
      <c r="F5979" s="27"/>
      <c r="G5979" s="27" t="s">
        <v>11122</v>
      </c>
      <c r="H5979" s="27" t="s">
        <v>35</v>
      </c>
      <c r="I5979" s="27" t="s">
        <v>37</v>
      </c>
      <c r="J5979" s="28" t="s">
        <v>399</v>
      </c>
      <c r="K5979" s="27" t="s">
        <v>37</v>
      </c>
      <c r="L5979" s="27"/>
    </row>
    <row r="5980" customFormat="false" ht="15" hidden="false" customHeight="false" outlineLevel="0" collapsed="false">
      <c r="A5980" s="26" t="s">
        <v>16897</v>
      </c>
      <c r="B5980" s="27" t="s">
        <v>16898</v>
      </c>
      <c r="C5980" s="27" t="s">
        <v>144</v>
      </c>
      <c r="D5980" s="26"/>
      <c r="E5980" s="27"/>
      <c r="F5980" s="27"/>
      <c r="G5980" s="27" t="s">
        <v>11122</v>
      </c>
      <c r="H5980" s="27" t="s">
        <v>35</v>
      </c>
      <c r="I5980" s="27" t="s">
        <v>37</v>
      </c>
      <c r="J5980" s="28" t="s">
        <v>399</v>
      </c>
      <c r="K5980" s="27" t="s">
        <v>37</v>
      </c>
      <c r="L5980" s="27"/>
    </row>
    <row r="5981" customFormat="false" ht="15" hidden="false" customHeight="false" outlineLevel="0" collapsed="false">
      <c r="A5981" s="26" t="s">
        <v>16899</v>
      </c>
      <c r="B5981" s="27" t="s">
        <v>16900</v>
      </c>
      <c r="C5981" s="27" t="s">
        <v>144</v>
      </c>
      <c r="D5981" s="26"/>
      <c r="E5981" s="27"/>
      <c r="F5981" s="27"/>
      <c r="G5981" s="27" t="s">
        <v>11122</v>
      </c>
      <c r="H5981" s="27" t="s">
        <v>35</v>
      </c>
      <c r="I5981" s="27" t="s">
        <v>37</v>
      </c>
      <c r="J5981" s="28" t="s">
        <v>399</v>
      </c>
      <c r="K5981" s="27" t="s">
        <v>37</v>
      </c>
      <c r="L5981" s="27"/>
    </row>
    <row r="5982" customFormat="false" ht="15" hidden="false" customHeight="false" outlineLevel="0" collapsed="false">
      <c r="A5982" s="26" t="s">
        <v>16901</v>
      </c>
      <c r="B5982" s="27" t="s">
        <v>16902</v>
      </c>
      <c r="C5982" s="27" t="s">
        <v>370</v>
      </c>
      <c r="D5982" s="26"/>
      <c r="E5982" s="27"/>
      <c r="F5982" s="27"/>
      <c r="G5982" s="27" t="s">
        <v>11122</v>
      </c>
      <c r="H5982" s="27" t="s">
        <v>35</v>
      </c>
      <c r="I5982" s="27" t="s">
        <v>37</v>
      </c>
      <c r="J5982" s="28" t="s">
        <v>399</v>
      </c>
      <c r="K5982" s="27" t="s">
        <v>37</v>
      </c>
      <c r="L5982" s="27"/>
    </row>
    <row r="5983" customFormat="false" ht="15" hidden="false" customHeight="false" outlineLevel="0" collapsed="false">
      <c r="A5983" s="26" t="s">
        <v>16903</v>
      </c>
      <c r="B5983" s="27" t="s">
        <v>16898</v>
      </c>
      <c r="C5983" s="27" t="s">
        <v>144</v>
      </c>
      <c r="D5983" s="26"/>
      <c r="E5983" s="27"/>
      <c r="F5983" s="27"/>
      <c r="G5983" s="27" t="s">
        <v>11122</v>
      </c>
      <c r="H5983" s="27" t="s">
        <v>35</v>
      </c>
      <c r="I5983" s="27" t="s">
        <v>37</v>
      </c>
      <c r="J5983" s="28" t="s">
        <v>399</v>
      </c>
      <c r="K5983" s="27" t="s">
        <v>37</v>
      </c>
      <c r="L5983" s="27"/>
    </row>
    <row r="5984" customFormat="false" ht="15" hidden="false" customHeight="false" outlineLevel="0" collapsed="false">
      <c r="A5984" s="26" t="s">
        <v>16904</v>
      </c>
      <c r="B5984" s="27" t="s">
        <v>16905</v>
      </c>
      <c r="C5984" s="27" t="s">
        <v>16906</v>
      </c>
      <c r="D5984" s="26"/>
      <c r="E5984" s="27"/>
      <c r="F5984" s="27"/>
      <c r="G5984" s="27" t="s">
        <v>11122</v>
      </c>
      <c r="H5984" s="27" t="s">
        <v>35</v>
      </c>
      <c r="I5984" s="27" t="s">
        <v>45</v>
      </c>
      <c r="J5984" s="28" t="s">
        <v>399</v>
      </c>
      <c r="K5984" s="27" t="s">
        <v>37</v>
      </c>
      <c r="L5984" s="27"/>
    </row>
    <row r="5985" customFormat="false" ht="15" hidden="false" customHeight="false" outlineLevel="0" collapsed="false">
      <c r="A5985" s="26" t="s">
        <v>16907</v>
      </c>
      <c r="B5985" s="27" t="s">
        <v>16908</v>
      </c>
      <c r="C5985" s="27" t="s">
        <v>144</v>
      </c>
      <c r="D5985" s="26"/>
      <c r="E5985" s="27"/>
      <c r="F5985" s="27"/>
      <c r="G5985" s="27" t="s">
        <v>11122</v>
      </c>
      <c r="H5985" s="27" t="s">
        <v>35</v>
      </c>
      <c r="I5985" s="27" t="s">
        <v>37</v>
      </c>
      <c r="J5985" s="28" t="s">
        <v>399</v>
      </c>
      <c r="K5985" s="27" t="s">
        <v>37</v>
      </c>
      <c r="L5985" s="27"/>
    </row>
    <row r="5986" customFormat="false" ht="15" hidden="false" customHeight="false" outlineLevel="0" collapsed="false">
      <c r="A5986" s="26" t="s">
        <v>16909</v>
      </c>
      <c r="B5986" s="27" t="s">
        <v>16910</v>
      </c>
      <c r="C5986" s="27" t="s">
        <v>144</v>
      </c>
      <c r="D5986" s="26"/>
      <c r="E5986" s="27"/>
      <c r="F5986" s="27"/>
      <c r="G5986" s="27" t="s">
        <v>11122</v>
      </c>
      <c r="H5986" s="27" t="s">
        <v>35</v>
      </c>
      <c r="I5986" s="27" t="s">
        <v>37</v>
      </c>
      <c r="J5986" s="28" t="s">
        <v>399</v>
      </c>
      <c r="K5986" s="27" t="s">
        <v>37</v>
      </c>
      <c r="L5986" s="27"/>
    </row>
    <row r="5987" customFormat="false" ht="15" hidden="false" customHeight="false" outlineLevel="0" collapsed="false">
      <c r="A5987" s="26" t="s">
        <v>16911</v>
      </c>
      <c r="B5987" s="27" t="s">
        <v>16912</v>
      </c>
      <c r="C5987" s="27" t="s">
        <v>144</v>
      </c>
      <c r="D5987" s="26"/>
      <c r="E5987" s="27"/>
      <c r="F5987" s="27"/>
      <c r="G5987" s="27" t="s">
        <v>11122</v>
      </c>
      <c r="H5987" s="27" t="s">
        <v>35</v>
      </c>
      <c r="I5987" s="27" t="s">
        <v>37</v>
      </c>
      <c r="J5987" s="28" t="s">
        <v>399</v>
      </c>
      <c r="K5987" s="27" t="s">
        <v>37</v>
      </c>
      <c r="L5987" s="27"/>
    </row>
    <row r="5988" customFormat="false" ht="15" hidden="false" customHeight="false" outlineLevel="0" collapsed="false">
      <c r="A5988" s="26" t="s">
        <v>16913</v>
      </c>
      <c r="B5988" s="27" t="s">
        <v>16914</v>
      </c>
      <c r="C5988" s="27" t="s">
        <v>144</v>
      </c>
      <c r="D5988" s="26"/>
      <c r="E5988" s="27"/>
      <c r="F5988" s="27"/>
      <c r="G5988" s="27" t="s">
        <v>11122</v>
      </c>
      <c r="H5988" s="27" t="s">
        <v>35</v>
      </c>
      <c r="I5988" s="27" t="s">
        <v>37</v>
      </c>
      <c r="J5988" s="28" t="s">
        <v>399</v>
      </c>
      <c r="K5988" s="27" t="s">
        <v>37</v>
      </c>
      <c r="L5988" s="27"/>
    </row>
    <row r="5989" customFormat="false" ht="15" hidden="false" customHeight="false" outlineLevel="0" collapsed="false">
      <c r="A5989" s="26" t="s">
        <v>16915</v>
      </c>
      <c r="B5989" s="27" t="s">
        <v>16916</v>
      </c>
      <c r="C5989" s="27" t="s">
        <v>144</v>
      </c>
      <c r="D5989" s="26"/>
      <c r="E5989" s="27"/>
      <c r="F5989" s="27"/>
      <c r="G5989" s="27" t="s">
        <v>11122</v>
      </c>
      <c r="H5989" s="27" t="s">
        <v>35</v>
      </c>
      <c r="I5989" s="27" t="s">
        <v>37</v>
      </c>
      <c r="J5989" s="28" t="s">
        <v>399</v>
      </c>
      <c r="K5989" s="27" t="s">
        <v>37</v>
      </c>
      <c r="L5989" s="27"/>
    </row>
    <row r="5990" customFormat="false" ht="15" hidden="false" customHeight="false" outlineLevel="0" collapsed="false">
      <c r="A5990" s="26" t="s">
        <v>16917</v>
      </c>
      <c r="B5990" s="27" t="s">
        <v>16918</v>
      </c>
      <c r="C5990" s="27" t="s">
        <v>144</v>
      </c>
      <c r="D5990" s="26"/>
      <c r="E5990" s="27"/>
      <c r="F5990" s="27"/>
      <c r="G5990" s="27" t="s">
        <v>11122</v>
      </c>
      <c r="H5990" s="27" t="s">
        <v>35</v>
      </c>
      <c r="I5990" s="27" t="s">
        <v>37</v>
      </c>
      <c r="J5990" s="28" t="s">
        <v>399</v>
      </c>
      <c r="K5990" s="27" t="s">
        <v>37</v>
      </c>
      <c r="L5990" s="27"/>
    </row>
    <row r="5991" customFormat="false" ht="15" hidden="false" customHeight="false" outlineLevel="0" collapsed="false">
      <c r="A5991" s="26" t="s">
        <v>16919</v>
      </c>
      <c r="B5991" s="27" t="s">
        <v>16920</v>
      </c>
      <c r="C5991" s="27" t="s">
        <v>144</v>
      </c>
      <c r="D5991" s="26"/>
      <c r="E5991" s="27"/>
      <c r="F5991" s="27"/>
      <c r="G5991" s="27" t="s">
        <v>11122</v>
      </c>
      <c r="H5991" s="27" t="s">
        <v>35</v>
      </c>
      <c r="I5991" s="27" t="s">
        <v>37</v>
      </c>
      <c r="J5991" s="28" t="s">
        <v>399</v>
      </c>
      <c r="K5991" s="27" t="s">
        <v>37</v>
      </c>
      <c r="L5991" s="27"/>
    </row>
    <row r="5992" customFormat="false" ht="15" hidden="false" customHeight="false" outlineLevel="0" collapsed="false">
      <c r="A5992" s="26" t="s">
        <v>16921</v>
      </c>
      <c r="B5992" s="27" t="s">
        <v>16922</v>
      </c>
      <c r="C5992" s="27" t="s">
        <v>144</v>
      </c>
      <c r="D5992" s="26"/>
      <c r="E5992" s="27"/>
      <c r="F5992" s="27"/>
      <c r="G5992" s="27" t="s">
        <v>11122</v>
      </c>
      <c r="H5992" s="27" t="s">
        <v>35</v>
      </c>
      <c r="I5992" s="27" t="s">
        <v>37</v>
      </c>
      <c r="J5992" s="28" t="s">
        <v>399</v>
      </c>
      <c r="K5992" s="27" t="s">
        <v>37</v>
      </c>
      <c r="L5992" s="27"/>
    </row>
    <row r="5993" customFormat="false" ht="15" hidden="false" customHeight="false" outlineLevel="0" collapsed="false">
      <c r="A5993" s="26" t="s">
        <v>16923</v>
      </c>
      <c r="B5993" s="27" t="s">
        <v>16924</v>
      </c>
      <c r="C5993" s="27" t="s">
        <v>1187</v>
      </c>
      <c r="D5993" s="26"/>
      <c r="E5993" s="27"/>
      <c r="F5993" s="27"/>
      <c r="G5993" s="27" t="s">
        <v>11122</v>
      </c>
      <c r="H5993" s="27" t="s">
        <v>35</v>
      </c>
      <c r="I5993" s="27" t="s">
        <v>37</v>
      </c>
      <c r="J5993" s="28" t="s">
        <v>399</v>
      </c>
      <c r="K5993" s="27" t="s">
        <v>37</v>
      </c>
      <c r="L5993" s="27"/>
    </row>
    <row r="5994" customFormat="false" ht="15" hidden="false" customHeight="false" outlineLevel="0" collapsed="false">
      <c r="A5994" s="26" t="s">
        <v>16925</v>
      </c>
      <c r="B5994" s="27" t="s">
        <v>16926</v>
      </c>
      <c r="C5994" s="27" t="s">
        <v>144</v>
      </c>
      <c r="D5994" s="26"/>
      <c r="E5994" s="27"/>
      <c r="F5994" s="27"/>
      <c r="G5994" s="27" t="s">
        <v>11122</v>
      </c>
      <c r="H5994" s="27" t="s">
        <v>35</v>
      </c>
      <c r="I5994" s="27" t="s">
        <v>37</v>
      </c>
      <c r="J5994" s="28" t="s">
        <v>399</v>
      </c>
      <c r="K5994" s="27" t="s">
        <v>37</v>
      </c>
      <c r="L5994" s="27"/>
    </row>
    <row r="5995" customFormat="false" ht="15" hidden="false" customHeight="false" outlineLevel="0" collapsed="false">
      <c r="A5995" s="26" t="s">
        <v>16927</v>
      </c>
      <c r="B5995" s="27" t="s">
        <v>16928</v>
      </c>
      <c r="C5995" s="27" t="s">
        <v>144</v>
      </c>
      <c r="D5995" s="26"/>
      <c r="E5995" s="27"/>
      <c r="F5995" s="27"/>
      <c r="G5995" s="27" t="s">
        <v>11122</v>
      </c>
      <c r="H5995" s="27" t="s">
        <v>35</v>
      </c>
      <c r="I5995" s="27" t="s">
        <v>37</v>
      </c>
      <c r="J5995" s="28" t="s">
        <v>399</v>
      </c>
      <c r="K5995" s="27" t="s">
        <v>37</v>
      </c>
      <c r="L5995" s="27"/>
    </row>
    <row r="5996" customFormat="false" ht="15" hidden="false" customHeight="false" outlineLevel="0" collapsed="false">
      <c r="A5996" s="26" t="s">
        <v>16929</v>
      </c>
      <c r="B5996" s="27" t="s">
        <v>16930</v>
      </c>
      <c r="C5996" s="27" t="s">
        <v>137</v>
      </c>
      <c r="D5996" s="26"/>
      <c r="E5996" s="27"/>
      <c r="F5996" s="27"/>
      <c r="G5996" s="27" t="s">
        <v>11122</v>
      </c>
      <c r="H5996" s="27" t="s">
        <v>35</v>
      </c>
      <c r="I5996" s="27" t="s">
        <v>37</v>
      </c>
      <c r="J5996" s="28" t="s">
        <v>399</v>
      </c>
      <c r="K5996" s="27" t="s">
        <v>37</v>
      </c>
      <c r="L5996" s="27"/>
    </row>
    <row r="5997" customFormat="false" ht="15" hidden="false" customHeight="false" outlineLevel="0" collapsed="false">
      <c r="A5997" s="26" t="s">
        <v>16931</v>
      </c>
      <c r="B5997" s="27" t="s">
        <v>16932</v>
      </c>
      <c r="C5997" s="27" t="s">
        <v>144</v>
      </c>
      <c r="D5997" s="26"/>
      <c r="E5997" s="27"/>
      <c r="F5997" s="27"/>
      <c r="G5997" s="27" t="s">
        <v>11122</v>
      </c>
      <c r="H5997" s="27" t="s">
        <v>35</v>
      </c>
      <c r="I5997" s="27" t="s">
        <v>37</v>
      </c>
      <c r="J5997" s="28" t="s">
        <v>399</v>
      </c>
      <c r="K5997" s="27" t="s">
        <v>37</v>
      </c>
      <c r="L5997" s="27"/>
    </row>
    <row r="5998" customFormat="false" ht="15" hidden="false" customHeight="false" outlineLevel="0" collapsed="false">
      <c r="A5998" s="26" t="s">
        <v>16933</v>
      </c>
      <c r="B5998" s="27" t="s">
        <v>16934</v>
      </c>
      <c r="C5998" s="27" t="s">
        <v>1187</v>
      </c>
      <c r="D5998" s="26"/>
      <c r="E5998" s="27"/>
      <c r="F5998" s="27"/>
      <c r="G5998" s="27" t="s">
        <v>11122</v>
      </c>
      <c r="H5998" s="27" t="s">
        <v>35</v>
      </c>
      <c r="I5998" s="27" t="s">
        <v>37</v>
      </c>
      <c r="J5998" s="28" t="s">
        <v>399</v>
      </c>
      <c r="K5998" s="27" t="s">
        <v>37</v>
      </c>
      <c r="L5998" s="27"/>
    </row>
    <row r="5999" customFormat="false" ht="15" hidden="false" customHeight="false" outlineLevel="0" collapsed="false">
      <c r="A5999" s="26" t="s">
        <v>16935</v>
      </c>
      <c r="B5999" s="27" t="s">
        <v>16936</v>
      </c>
      <c r="C5999" s="27" t="s">
        <v>1187</v>
      </c>
      <c r="D5999" s="26"/>
      <c r="E5999" s="27"/>
      <c r="F5999" s="27"/>
      <c r="G5999" s="27" t="s">
        <v>11122</v>
      </c>
      <c r="H5999" s="27" t="s">
        <v>35</v>
      </c>
      <c r="I5999" s="27" t="s">
        <v>37</v>
      </c>
      <c r="J5999" s="28" t="s">
        <v>399</v>
      </c>
      <c r="K5999" s="27" t="s">
        <v>37</v>
      </c>
      <c r="L5999" s="27"/>
    </row>
    <row r="6000" customFormat="false" ht="15" hidden="false" customHeight="false" outlineLevel="0" collapsed="false">
      <c r="A6000" s="26" t="s">
        <v>16937</v>
      </c>
      <c r="B6000" s="27" t="s">
        <v>16938</v>
      </c>
      <c r="C6000" s="27" t="s">
        <v>144</v>
      </c>
      <c r="D6000" s="26"/>
      <c r="E6000" s="27"/>
      <c r="F6000" s="27"/>
      <c r="G6000" s="27" t="s">
        <v>11122</v>
      </c>
      <c r="H6000" s="27" t="s">
        <v>35</v>
      </c>
      <c r="I6000" s="27" t="s">
        <v>37</v>
      </c>
      <c r="J6000" s="28" t="s">
        <v>399</v>
      </c>
      <c r="K6000" s="27" t="s">
        <v>37</v>
      </c>
      <c r="L6000" s="27"/>
    </row>
    <row r="6001" customFormat="false" ht="15" hidden="false" customHeight="false" outlineLevel="0" collapsed="false">
      <c r="A6001" s="26" t="s">
        <v>16939</v>
      </c>
      <c r="B6001" s="27" t="s">
        <v>16940</v>
      </c>
      <c r="C6001" s="27" t="s">
        <v>144</v>
      </c>
      <c r="D6001" s="26"/>
      <c r="E6001" s="27"/>
      <c r="F6001" s="27"/>
      <c r="G6001" s="27" t="s">
        <v>11122</v>
      </c>
      <c r="H6001" s="27" t="s">
        <v>35</v>
      </c>
      <c r="I6001" s="27" t="s">
        <v>37</v>
      </c>
      <c r="J6001" s="28" t="s">
        <v>399</v>
      </c>
      <c r="K6001" s="27" t="s">
        <v>37</v>
      </c>
      <c r="L6001" s="27"/>
    </row>
    <row r="6002" customFormat="false" ht="15" hidden="false" customHeight="false" outlineLevel="0" collapsed="false">
      <c r="A6002" s="26" t="s">
        <v>16941</v>
      </c>
      <c r="B6002" s="27" t="s">
        <v>16942</v>
      </c>
      <c r="C6002" s="27" t="s">
        <v>144</v>
      </c>
      <c r="D6002" s="26"/>
      <c r="E6002" s="27"/>
      <c r="F6002" s="27"/>
      <c r="G6002" s="27" t="s">
        <v>11122</v>
      </c>
      <c r="H6002" s="27" t="s">
        <v>35</v>
      </c>
      <c r="I6002" s="27" t="s">
        <v>37</v>
      </c>
      <c r="J6002" s="28" t="s">
        <v>399</v>
      </c>
      <c r="K6002" s="27" t="s">
        <v>37</v>
      </c>
      <c r="L6002" s="27"/>
    </row>
    <row r="6003" customFormat="false" ht="15" hidden="false" customHeight="false" outlineLevel="0" collapsed="false">
      <c r="A6003" s="26" t="s">
        <v>16943</v>
      </c>
      <c r="B6003" s="27" t="s">
        <v>16944</v>
      </c>
      <c r="C6003" s="27" t="s">
        <v>144</v>
      </c>
      <c r="D6003" s="26"/>
      <c r="E6003" s="27"/>
      <c r="F6003" s="27"/>
      <c r="G6003" s="27" t="s">
        <v>11122</v>
      </c>
      <c r="H6003" s="27" t="s">
        <v>35</v>
      </c>
      <c r="I6003" s="27" t="s">
        <v>37</v>
      </c>
      <c r="J6003" s="28" t="s">
        <v>399</v>
      </c>
      <c r="K6003" s="27" t="s">
        <v>37</v>
      </c>
      <c r="L6003" s="27"/>
    </row>
    <row r="6004" customFormat="false" ht="15" hidden="false" customHeight="false" outlineLevel="0" collapsed="false">
      <c r="A6004" s="26" t="s">
        <v>16945</v>
      </c>
      <c r="B6004" s="27" t="s">
        <v>16946</v>
      </c>
      <c r="C6004" s="27" t="s">
        <v>144</v>
      </c>
      <c r="D6004" s="26"/>
      <c r="E6004" s="27"/>
      <c r="F6004" s="27"/>
      <c r="G6004" s="27" t="s">
        <v>11122</v>
      </c>
      <c r="H6004" s="27" t="s">
        <v>35</v>
      </c>
      <c r="I6004" s="27" t="s">
        <v>37</v>
      </c>
      <c r="J6004" s="28" t="s">
        <v>399</v>
      </c>
      <c r="K6004" s="27" t="s">
        <v>37</v>
      </c>
      <c r="L6004" s="27"/>
    </row>
    <row r="6005" customFormat="false" ht="15" hidden="false" customHeight="false" outlineLevel="0" collapsed="false">
      <c r="A6005" s="26" t="s">
        <v>16947</v>
      </c>
      <c r="B6005" s="27" t="s">
        <v>16948</v>
      </c>
      <c r="C6005" s="27" t="s">
        <v>144</v>
      </c>
      <c r="D6005" s="26"/>
      <c r="E6005" s="27"/>
      <c r="F6005" s="27"/>
      <c r="G6005" s="27" t="s">
        <v>11122</v>
      </c>
      <c r="H6005" s="27" t="s">
        <v>35</v>
      </c>
      <c r="I6005" s="27" t="s">
        <v>37</v>
      </c>
      <c r="J6005" s="28" t="s">
        <v>399</v>
      </c>
      <c r="K6005" s="27" t="s">
        <v>37</v>
      </c>
      <c r="L6005" s="27"/>
    </row>
    <row r="6006" customFormat="false" ht="15" hidden="false" customHeight="false" outlineLevel="0" collapsed="false">
      <c r="A6006" s="26" t="s">
        <v>16949</v>
      </c>
      <c r="B6006" s="27" t="s">
        <v>16950</v>
      </c>
      <c r="C6006" s="27" t="s">
        <v>144</v>
      </c>
      <c r="D6006" s="26"/>
      <c r="E6006" s="27"/>
      <c r="F6006" s="27"/>
      <c r="G6006" s="27" t="s">
        <v>11122</v>
      </c>
      <c r="H6006" s="27" t="s">
        <v>35</v>
      </c>
      <c r="I6006" s="27" t="s">
        <v>37</v>
      </c>
      <c r="J6006" s="28" t="s">
        <v>399</v>
      </c>
      <c r="K6006" s="27" t="s">
        <v>37</v>
      </c>
      <c r="L6006" s="27"/>
    </row>
    <row r="6007" customFormat="false" ht="15" hidden="false" customHeight="false" outlineLevel="0" collapsed="false">
      <c r="A6007" s="26" t="s">
        <v>16951</v>
      </c>
      <c r="B6007" s="27" t="s">
        <v>16952</v>
      </c>
      <c r="C6007" s="27" t="s">
        <v>144</v>
      </c>
      <c r="D6007" s="26"/>
      <c r="E6007" s="27"/>
      <c r="F6007" s="27"/>
      <c r="G6007" s="27" t="s">
        <v>11122</v>
      </c>
      <c r="H6007" s="27" t="s">
        <v>35</v>
      </c>
      <c r="I6007" s="27" t="s">
        <v>37</v>
      </c>
      <c r="J6007" s="28" t="s">
        <v>399</v>
      </c>
      <c r="K6007" s="27" t="s">
        <v>37</v>
      </c>
      <c r="L6007" s="27"/>
    </row>
    <row r="6008" customFormat="false" ht="15" hidden="false" customHeight="false" outlineLevel="0" collapsed="false">
      <c r="A6008" s="26" t="s">
        <v>16953</v>
      </c>
      <c r="B6008" s="27" t="s">
        <v>16954</v>
      </c>
      <c r="C6008" s="27" t="s">
        <v>1944</v>
      </c>
      <c r="D6008" s="26"/>
      <c r="E6008" s="27"/>
      <c r="F6008" s="27"/>
      <c r="G6008" s="27" t="s">
        <v>11122</v>
      </c>
      <c r="H6008" s="27" t="s">
        <v>35</v>
      </c>
      <c r="I6008" s="27" t="s">
        <v>49</v>
      </c>
      <c r="J6008" s="28" t="s">
        <v>399</v>
      </c>
      <c r="K6008" s="27" t="s">
        <v>37</v>
      </c>
      <c r="L6008" s="27"/>
    </row>
    <row r="6009" customFormat="false" ht="15" hidden="false" customHeight="false" outlineLevel="0" collapsed="false">
      <c r="A6009" s="26" t="s">
        <v>16955</v>
      </c>
      <c r="B6009" s="27" t="s">
        <v>16956</v>
      </c>
      <c r="C6009" s="27" t="s">
        <v>144</v>
      </c>
      <c r="D6009" s="26"/>
      <c r="E6009" s="27"/>
      <c r="F6009" s="27"/>
      <c r="G6009" s="27" t="s">
        <v>11122</v>
      </c>
      <c r="H6009" s="27" t="s">
        <v>35</v>
      </c>
      <c r="I6009" s="27" t="s">
        <v>47</v>
      </c>
      <c r="J6009" s="28" t="s">
        <v>399</v>
      </c>
      <c r="K6009" s="27" t="s">
        <v>37</v>
      </c>
      <c r="L6009" s="27"/>
    </row>
    <row r="6010" customFormat="false" ht="15" hidden="false" customHeight="false" outlineLevel="0" collapsed="false">
      <c r="A6010" s="26" t="s">
        <v>16957</v>
      </c>
      <c r="B6010" s="27" t="s">
        <v>16958</v>
      </c>
      <c r="C6010" s="27" t="s">
        <v>144</v>
      </c>
      <c r="D6010" s="26"/>
      <c r="E6010" s="27"/>
      <c r="F6010" s="27"/>
      <c r="G6010" s="27" t="s">
        <v>11122</v>
      </c>
      <c r="H6010" s="27" t="s">
        <v>35</v>
      </c>
      <c r="I6010" s="27" t="s">
        <v>40</v>
      </c>
      <c r="J6010" s="28" t="s">
        <v>399</v>
      </c>
      <c r="K6010" s="27" t="s">
        <v>37</v>
      </c>
      <c r="L6010" s="27"/>
    </row>
    <row r="6011" customFormat="false" ht="15" hidden="false" customHeight="false" outlineLevel="0" collapsed="false">
      <c r="A6011" s="26" t="s">
        <v>16959</v>
      </c>
      <c r="B6011" s="27" t="s">
        <v>16960</v>
      </c>
      <c r="C6011" s="27" t="s">
        <v>144</v>
      </c>
      <c r="D6011" s="26"/>
      <c r="E6011" s="27"/>
      <c r="F6011" s="27"/>
      <c r="G6011" s="27" t="s">
        <v>11122</v>
      </c>
      <c r="H6011" s="27" t="s">
        <v>35</v>
      </c>
      <c r="I6011" s="27" t="s">
        <v>47</v>
      </c>
      <c r="J6011" s="28" t="s">
        <v>399</v>
      </c>
      <c r="K6011" s="27" t="s">
        <v>37</v>
      </c>
      <c r="L6011" s="27"/>
    </row>
    <row r="6012" customFormat="false" ht="15" hidden="false" customHeight="false" outlineLevel="0" collapsed="false">
      <c r="A6012" s="26" t="s">
        <v>16961</v>
      </c>
      <c r="B6012" s="27" t="s">
        <v>16962</v>
      </c>
      <c r="C6012" s="27" t="s">
        <v>144</v>
      </c>
      <c r="D6012" s="26"/>
      <c r="E6012" s="27"/>
      <c r="F6012" s="27"/>
      <c r="G6012" s="27" t="s">
        <v>11122</v>
      </c>
      <c r="H6012" s="27" t="s">
        <v>35</v>
      </c>
      <c r="I6012" s="27" t="s">
        <v>47</v>
      </c>
      <c r="J6012" s="28" t="s">
        <v>399</v>
      </c>
      <c r="K6012" s="27" t="s">
        <v>37</v>
      </c>
      <c r="L6012" s="27"/>
    </row>
    <row r="6013" customFormat="false" ht="15" hidden="false" customHeight="false" outlineLevel="0" collapsed="false">
      <c r="A6013" s="26" t="s">
        <v>16963</v>
      </c>
      <c r="B6013" s="27" t="s">
        <v>16964</v>
      </c>
      <c r="C6013" s="27" t="s">
        <v>144</v>
      </c>
      <c r="D6013" s="26"/>
      <c r="E6013" s="27"/>
      <c r="F6013" s="27"/>
      <c r="G6013" s="27" t="s">
        <v>11122</v>
      </c>
      <c r="H6013" s="27" t="s">
        <v>35</v>
      </c>
      <c r="I6013" s="27" t="s">
        <v>47</v>
      </c>
      <c r="J6013" s="28" t="s">
        <v>399</v>
      </c>
      <c r="K6013" s="27" t="s">
        <v>37</v>
      </c>
      <c r="L6013" s="27"/>
    </row>
    <row r="6014" customFormat="false" ht="15" hidden="false" customHeight="false" outlineLevel="0" collapsed="false">
      <c r="A6014" s="26" t="s">
        <v>16965</v>
      </c>
      <c r="B6014" s="27" t="s">
        <v>16966</v>
      </c>
      <c r="C6014" s="27" t="s">
        <v>144</v>
      </c>
      <c r="D6014" s="26"/>
      <c r="E6014" s="27"/>
      <c r="F6014" s="27"/>
      <c r="G6014" s="27" t="s">
        <v>11122</v>
      </c>
      <c r="H6014" s="27" t="s">
        <v>35</v>
      </c>
      <c r="I6014" s="27" t="s">
        <v>42</v>
      </c>
      <c r="J6014" s="28" t="s">
        <v>399</v>
      </c>
      <c r="K6014" s="27" t="s">
        <v>37</v>
      </c>
      <c r="L6014" s="27"/>
    </row>
    <row r="6015" customFormat="false" ht="15" hidden="false" customHeight="false" outlineLevel="0" collapsed="false">
      <c r="A6015" s="26" t="s">
        <v>16967</v>
      </c>
      <c r="B6015" s="27" t="s">
        <v>16968</v>
      </c>
      <c r="C6015" s="27" t="s">
        <v>1944</v>
      </c>
      <c r="D6015" s="26"/>
      <c r="E6015" s="27"/>
      <c r="F6015" s="27"/>
      <c r="G6015" s="27" t="s">
        <v>11122</v>
      </c>
      <c r="H6015" s="27" t="s">
        <v>35</v>
      </c>
      <c r="I6015" s="27" t="s">
        <v>43</v>
      </c>
      <c r="J6015" s="28" t="s">
        <v>399</v>
      </c>
      <c r="K6015" s="27" t="s">
        <v>37</v>
      </c>
      <c r="L6015" s="27"/>
    </row>
    <row r="6016" customFormat="false" ht="15" hidden="false" customHeight="false" outlineLevel="0" collapsed="false">
      <c r="A6016" s="26" t="s">
        <v>16969</v>
      </c>
      <c r="B6016" s="27" t="s">
        <v>16970</v>
      </c>
      <c r="C6016" s="27" t="s">
        <v>144</v>
      </c>
      <c r="D6016" s="26"/>
      <c r="E6016" s="27"/>
      <c r="F6016" s="27"/>
      <c r="G6016" s="27" t="s">
        <v>11122</v>
      </c>
      <c r="H6016" s="27" t="s">
        <v>35</v>
      </c>
      <c r="I6016" s="27" t="s">
        <v>43</v>
      </c>
      <c r="J6016" s="28" t="s">
        <v>399</v>
      </c>
      <c r="K6016" s="27" t="s">
        <v>37</v>
      </c>
      <c r="L6016" s="27"/>
    </row>
    <row r="6017" customFormat="false" ht="15" hidden="false" customHeight="false" outlineLevel="0" collapsed="false">
      <c r="A6017" s="26" t="s">
        <v>16971</v>
      </c>
      <c r="B6017" s="27" t="s">
        <v>16972</v>
      </c>
      <c r="C6017" s="27" t="s">
        <v>1944</v>
      </c>
      <c r="D6017" s="26"/>
      <c r="E6017" s="27"/>
      <c r="F6017" s="27"/>
      <c r="G6017" s="27" t="s">
        <v>11122</v>
      </c>
      <c r="H6017" s="27" t="s">
        <v>35</v>
      </c>
      <c r="I6017" s="27" t="s">
        <v>49</v>
      </c>
      <c r="J6017" s="28" t="s">
        <v>399</v>
      </c>
      <c r="K6017" s="27" t="s">
        <v>37</v>
      </c>
      <c r="L6017" s="27"/>
    </row>
    <row r="6018" customFormat="false" ht="15" hidden="false" customHeight="false" outlineLevel="0" collapsed="false">
      <c r="A6018" s="26" t="s">
        <v>16973</v>
      </c>
      <c r="B6018" s="27" t="s">
        <v>16974</v>
      </c>
      <c r="C6018" s="27" t="s">
        <v>144</v>
      </c>
      <c r="D6018" s="26"/>
      <c r="E6018" s="27"/>
      <c r="F6018" s="27"/>
      <c r="G6018" s="27" t="s">
        <v>11122</v>
      </c>
      <c r="H6018" s="27" t="s">
        <v>35</v>
      </c>
      <c r="I6018" s="27" t="s">
        <v>49</v>
      </c>
      <c r="J6018" s="28" t="s">
        <v>399</v>
      </c>
      <c r="K6018" s="27" t="s">
        <v>37</v>
      </c>
      <c r="L6018" s="27"/>
    </row>
    <row r="6019" customFormat="false" ht="15" hidden="false" customHeight="false" outlineLevel="0" collapsed="false">
      <c r="A6019" s="26" t="s">
        <v>16975</v>
      </c>
      <c r="B6019" s="27" t="s">
        <v>16976</v>
      </c>
      <c r="C6019" s="27" t="s">
        <v>1944</v>
      </c>
      <c r="D6019" s="26"/>
      <c r="E6019" s="27"/>
      <c r="F6019" s="27"/>
      <c r="G6019" s="27" t="s">
        <v>11122</v>
      </c>
      <c r="H6019" s="27" t="s">
        <v>35</v>
      </c>
      <c r="I6019" s="27" t="s">
        <v>49</v>
      </c>
      <c r="J6019" s="28" t="s">
        <v>399</v>
      </c>
      <c r="K6019" s="27" t="s">
        <v>37</v>
      </c>
      <c r="L6019" s="27"/>
    </row>
    <row r="6020" customFormat="false" ht="15" hidden="false" customHeight="false" outlineLevel="0" collapsed="false">
      <c r="A6020" s="26" t="s">
        <v>16977</v>
      </c>
      <c r="B6020" s="27" t="s">
        <v>16978</v>
      </c>
      <c r="C6020" s="27" t="s">
        <v>144</v>
      </c>
      <c r="D6020" s="26"/>
      <c r="E6020" s="27"/>
      <c r="F6020" s="27"/>
      <c r="G6020" s="27" t="s">
        <v>11122</v>
      </c>
      <c r="H6020" s="27" t="s">
        <v>35</v>
      </c>
      <c r="I6020" s="27" t="s">
        <v>47</v>
      </c>
      <c r="J6020" s="28" t="s">
        <v>399</v>
      </c>
      <c r="K6020" s="27" t="s">
        <v>37</v>
      </c>
      <c r="L6020" s="27"/>
    </row>
    <row r="6021" customFormat="false" ht="15" hidden="false" customHeight="false" outlineLevel="0" collapsed="false">
      <c r="A6021" s="26" t="s">
        <v>16979</v>
      </c>
      <c r="B6021" s="27" t="s">
        <v>16980</v>
      </c>
      <c r="C6021" s="27" t="s">
        <v>100</v>
      </c>
      <c r="D6021" s="26"/>
      <c r="E6021" s="27"/>
      <c r="F6021" s="27"/>
      <c r="G6021" s="27" t="s">
        <v>11122</v>
      </c>
      <c r="H6021" s="27" t="s">
        <v>35</v>
      </c>
      <c r="I6021" s="27" t="s">
        <v>40</v>
      </c>
      <c r="J6021" s="28" t="s">
        <v>399</v>
      </c>
      <c r="K6021" s="27" t="s">
        <v>37</v>
      </c>
      <c r="L6021" s="27"/>
    </row>
    <row r="6022" customFormat="false" ht="15" hidden="false" customHeight="false" outlineLevel="0" collapsed="false">
      <c r="A6022" s="26" t="s">
        <v>16981</v>
      </c>
      <c r="B6022" s="27" t="s">
        <v>16982</v>
      </c>
      <c r="C6022" s="27" t="s">
        <v>144</v>
      </c>
      <c r="D6022" s="26"/>
      <c r="E6022" s="27"/>
      <c r="F6022" s="27"/>
      <c r="G6022" s="27" t="s">
        <v>11122</v>
      </c>
      <c r="H6022" s="27" t="s">
        <v>35</v>
      </c>
      <c r="I6022" s="27" t="s">
        <v>49</v>
      </c>
      <c r="J6022" s="28" t="s">
        <v>399</v>
      </c>
      <c r="K6022" s="27" t="s">
        <v>37</v>
      </c>
      <c r="L6022" s="27"/>
    </row>
    <row r="6023" customFormat="false" ht="15" hidden="false" customHeight="false" outlineLevel="0" collapsed="false">
      <c r="A6023" s="26" t="s">
        <v>16983</v>
      </c>
      <c r="B6023" s="27" t="s">
        <v>16984</v>
      </c>
      <c r="C6023" s="27" t="s">
        <v>144</v>
      </c>
      <c r="D6023" s="26"/>
      <c r="E6023" s="27"/>
      <c r="F6023" s="27"/>
      <c r="G6023" s="27" t="s">
        <v>11122</v>
      </c>
      <c r="H6023" s="27" t="s">
        <v>35</v>
      </c>
      <c r="I6023" s="27" t="s">
        <v>37</v>
      </c>
      <c r="J6023" s="28" t="s">
        <v>399</v>
      </c>
      <c r="K6023" s="27" t="s">
        <v>37</v>
      </c>
      <c r="L6023" s="27"/>
    </row>
    <row r="6024" customFormat="false" ht="15" hidden="false" customHeight="false" outlineLevel="0" collapsed="false">
      <c r="A6024" s="26" t="s">
        <v>16985</v>
      </c>
      <c r="B6024" s="27" t="s">
        <v>16986</v>
      </c>
      <c r="C6024" s="27" t="s">
        <v>144</v>
      </c>
      <c r="D6024" s="26"/>
      <c r="E6024" s="27"/>
      <c r="F6024" s="27"/>
      <c r="G6024" s="27" t="s">
        <v>11122</v>
      </c>
      <c r="H6024" s="27" t="s">
        <v>35</v>
      </c>
      <c r="I6024" s="27" t="s">
        <v>43</v>
      </c>
      <c r="J6024" s="28" t="s">
        <v>399</v>
      </c>
      <c r="K6024" s="27" t="s">
        <v>37</v>
      </c>
      <c r="L6024" s="27"/>
    </row>
    <row r="6025" customFormat="false" ht="15" hidden="false" customHeight="false" outlineLevel="0" collapsed="false">
      <c r="A6025" s="26" t="s">
        <v>16987</v>
      </c>
      <c r="B6025" s="27" t="s">
        <v>16988</v>
      </c>
      <c r="C6025" s="27" t="s">
        <v>144</v>
      </c>
      <c r="D6025" s="26"/>
      <c r="E6025" s="27"/>
      <c r="F6025" s="27"/>
      <c r="G6025" s="27" t="s">
        <v>11122</v>
      </c>
      <c r="H6025" s="27" t="s">
        <v>35</v>
      </c>
      <c r="I6025" s="27" t="s">
        <v>42</v>
      </c>
      <c r="J6025" s="28" t="s">
        <v>399</v>
      </c>
      <c r="K6025" s="27" t="s">
        <v>37</v>
      </c>
      <c r="L6025" s="27"/>
    </row>
    <row r="6026" customFormat="false" ht="15" hidden="false" customHeight="false" outlineLevel="0" collapsed="false">
      <c r="A6026" s="26" t="s">
        <v>16989</v>
      </c>
      <c r="B6026" s="27" t="s">
        <v>16990</v>
      </c>
      <c r="C6026" s="27" t="s">
        <v>1944</v>
      </c>
      <c r="D6026" s="26"/>
      <c r="E6026" s="27"/>
      <c r="F6026" s="27"/>
      <c r="G6026" s="27" t="s">
        <v>11122</v>
      </c>
      <c r="H6026" s="27" t="s">
        <v>35</v>
      </c>
      <c r="I6026" s="27" t="s">
        <v>40</v>
      </c>
      <c r="J6026" s="28" t="s">
        <v>399</v>
      </c>
      <c r="K6026" s="27" t="s">
        <v>37</v>
      </c>
      <c r="L6026" s="27"/>
    </row>
    <row r="6027" customFormat="false" ht="15" hidden="false" customHeight="false" outlineLevel="0" collapsed="false">
      <c r="A6027" s="26" t="s">
        <v>16991</v>
      </c>
      <c r="B6027" s="27" t="s">
        <v>16992</v>
      </c>
      <c r="C6027" s="27" t="s">
        <v>100</v>
      </c>
      <c r="D6027" s="26"/>
      <c r="E6027" s="27"/>
      <c r="F6027" s="27"/>
      <c r="G6027" s="27" t="s">
        <v>11122</v>
      </c>
      <c r="H6027" s="27" t="s">
        <v>35</v>
      </c>
      <c r="I6027" s="27" t="s">
        <v>49</v>
      </c>
      <c r="J6027" s="28" t="s">
        <v>399</v>
      </c>
      <c r="K6027" s="27" t="s">
        <v>37</v>
      </c>
      <c r="L6027" s="27"/>
    </row>
    <row r="6028" customFormat="false" ht="15" hidden="false" customHeight="false" outlineLevel="0" collapsed="false">
      <c r="A6028" s="26" t="s">
        <v>16993</v>
      </c>
      <c r="B6028" s="27" t="s">
        <v>16994</v>
      </c>
      <c r="C6028" s="27" t="s">
        <v>144</v>
      </c>
      <c r="D6028" s="26"/>
      <c r="E6028" s="27"/>
      <c r="F6028" s="27"/>
      <c r="G6028" s="27" t="s">
        <v>11122</v>
      </c>
      <c r="H6028" s="27" t="s">
        <v>35</v>
      </c>
      <c r="I6028" s="27" t="s">
        <v>39</v>
      </c>
      <c r="J6028" s="28" t="s">
        <v>399</v>
      </c>
      <c r="K6028" s="27" t="s">
        <v>37</v>
      </c>
      <c r="L6028" s="27"/>
    </row>
    <row r="6029" customFormat="false" ht="15" hidden="false" customHeight="false" outlineLevel="0" collapsed="false">
      <c r="A6029" s="26" t="s">
        <v>16995</v>
      </c>
      <c r="B6029" s="27" t="s">
        <v>16996</v>
      </c>
      <c r="C6029" s="27" t="s">
        <v>137</v>
      </c>
      <c r="D6029" s="26"/>
      <c r="E6029" s="27"/>
      <c r="F6029" s="27"/>
      <c r="G6029" s="27" t="s">
        <v>11122</v>
      </c>
      <c r="H6029" s="27" t="s">
        <v>35</v>
      </c>
      <c r="I6029" s="27" t="s">
        <v>44</v>
      </c>
      <c r="J6029" s="28" t="s">
        <v>399</v>
      </c>
      <c r="K6029" s="27" t="s">
        <v>37</v>
      </c>
      <c r="L6029" s="27"/>
    </row>
    <row r="6030" customFormat="false" ht="15" hidden="false" customHeight="false" outlineLevel="0" collapsed="false">
      <c r="A6030" s="26" t="s">
        <v>16997</v>
      </c>
      <c r="B6030" s="27" t="s">
        <v>16998</v>
      </c>
      <c r="C6030" s="27" t="s">
        <v>137</v>
      </c>
      <c r="D6030" s="26"/>
      <c r="E6030" s="27"/>
      <c r="F6030" s="27"/>
      <c r="G6030" s="27" t="s">
        <v>11122</v>
      </c>
      <c r="H6030" s="27" t="s">
        <v>35</v>
      </c>
      <c r="I6030" s="27" t="s">
        <v>44</v>
      </c>
      <c r="J6030" s="28" t="s">
        <v>399</v>
      </c>
      <c r="K6030" s="27" t="s">
        <v>37</v>
      </c>
      <c r="L6030" s="27"/>
    </row>
    <row r="6031" customFormat="false" ht="15" hidden="false" customHeight="false" outlineLevel="0" collapsed="false">
      <c r="A6031" s="26" t="s">
        <v>16999</v>
      </c>
      <c r="B6031" s="27" t="s">
        <v>17000</v>
      </c>
      <c r="C6031" s="27" t="s">
        <v>137</v>
      </c>
      <c r="D6031" s="26"/>
      <c r="E6031" s="27"/>
      <c r="F6031" s="27"/>
      <c r="G6031" s="27" t="s">
        <v>11122</v>
      </c>
      <c r="H6031" s="27" t="s">
        <v>35</v>
      </c>
      <c r="I6031" s="27" t="s">
        <v>45</v>
      </c>
      <c r="J6031" s="28" t="s">
        <v>399</v>
      </c>
      <c r="K6031" s="27" t="s">
        <v>37</v>
      </c>
      <c r="L6031" s="27"/>
    </row>
    <row r="6032" customFormat="false" ht="15" hidden="false" customHeight="false" outlineLevel="0" collapsed="false">
      <c r="A6032" s="26" t="s">
        <v>17001</v>
      </c>
      <c r="B6032" s="27" t="s">
        <v>17002</v>
      </c>
      <c r="C6032" s="27" t="s">
        <v>137</v>
      </c>
      <c r="D6032" s="26"/>
      <c r="E6032" s="27"/>
      <c r="F6032" s="27"/>
      <c r="G6032" s="27" t="s">
        <v>11122</v>
      </c>
      <c r="H6032" s="27" t="s">
        <v>35</v>
      </c>
      <c r="I6032" s="27" t="s">
        <v>45</v>
      </c>
      <c r="J6032" s="28" t="s">
        <v>399</v>
      </c>
      <c r="K6032" s="27" t="s">
        <v>37</v>
      </c>
      <c r="L6032" s="27"/>
    </row>
    <row r="6033" customFormat="false" ht="15" hidden="false" customHeight="false" outlineLevel="0" collapsed="false">
      <c r="A6033" s="26" t="s">
        <v>17003</v>
      </c>
      <c r="B6033" s="27" t="s">
        <v>17004</v>
      </c>
      <c r="C6033" s="27" t="s">
        <v>137</v>
      </c>
      <c r="D6033" s="26"/>
      <c r="E6033" s="27"/>
      <c r="F6033" s="27"/>
      <c r="G6033" s="27" t="s">
        <v>11122</v>
      </c>
      <c r="H6033" s="27" t="s">
        <v>35</v>
      </c>
      <c r="I6033" s="27" t="s">
        <v>44</v>
      </c>
      <c r="J6033" s="28" t="s">
        <v>399</v>
      </c>
      <c r="K6033" s="27" t="s">
        <v>37</v>
      </c>
      <c r="L6033" s="27"/>
    </row>
    <row r="6034" customFormat="false" ht="15" hidden="false" customHeight="false" outlineLevel="0" collapsed="false">
      <c r="A6034" s="26" t="s">
        <v>17005</v>
      </c>
      <c r="B6034" s="27" t="s">
        <v>17006</v>
      </c>
      <c r="C6034" s="27" t="s">
        <v>380</v>
      </c>
      <c r="D6034" s="26"/>
      <c r="E6034" s="27"/>
      <c r="F6034" s="27"/>
      <c r="G6034" s="27" t="s">
        <v>11122</v>
      </c>
      <c r="H6034" s="27" t="s">
        <v>35</v>
      </c>
      <c r="I6034" s="27" t="s">
        <v>38</v>
      </c>
      <c r="J6034" s="28" t="s">
        <v>399</v>
      </c>
      <c r="K6034" s="27" t="s">
        <v>37</v>
      </c>
      <c r="L6034" s="27"/>
    </row>
    <row r="6035" customFormat="false" ht="15" hidden="false" customHeight="false" outlineLevel="0" collapsed="false">
      <c r="A6035" s="26" t="s">
        <v>17007</v>
      </c>
      <c r="B6035" s="27" t="s">
        <v>17008</v>
      </c>
      <c r="C6035" s="27" t="s">
        <v>380</v>
      </c>
      <c r="D6035" s="26"/>
      <c r="E6035" s="27"/>
      <c r="F6035" s="27"/>
      <c r="G6035" s="27" t="s">
        <v>11122</v>
      </c>
      <c r="H6035" s="27" t="s">
        <v>35</v>
      </c>
      <c r="I6035" s="27" t="s">
        <v>45</v>
      </c>
      <c r="J6035" s="28" t="s">
        <v>399</v>
      </c>
      <c r="K6035" s="27" t="s">
        <v>37</v>
      </c>
      <c r="L6035" s="27"/>
    </row>
    <row r="6036" customFormat="false" ht="15" hidden="false" customHeight="false" outlineLevel="0" collapsed="false">
      <c r="A6036" s="26" t="s">
        <v>17009</v>
      </c>
      <c r="B6036" s="27" t="s">
        <v>17010</v>
      </c>
      <c r="C6036" s="27" t="s">
        <v>1087</v>
      </c>
      <c r="D6036" s="26"/>
      <c r="E6036" s="27"/>
      <c r="F6036" s="27"/>
      <c r="G6036" s="27" t="s">
        <v>11122</v>
      </c>
      <c r="H6036" s="27" t="s">
        <v>35</v>
      </c>
      <c r="I6036" s="27" t="s">
        <v>43</v>
      </c>
      <c r="J6036" s="28" t="s">
        <v>399</v>
      </c>
      <c r="K6036" s="27" t="s">
        <v>37</v>
      </c>
      <c r="L6036" s="27"/>
    </row>
    <row r="6037" customFormat="false" ht="15" hidden="false" customHeight="false" outlineLevel="0" collapsed="false">
      <c r="A6037" s="26" t="s">
        <v>17011</v>
      </c>
      <c r="B6037" s="27" t="s">
        <v>17012</v>
      </c>
      <c r="C6037" s="27" t="s">
        <v>380</v>
      </c>
      <c r="D6037" s="26"/>
      <c r="E6037" s="27"/>
      <c r="F6037" s="27"/>
      <c r="G6037" s="27" t="s">
        <v>11122</v>
      </c>
      <c r="H6037" s="27" t="s">
        <v>35</v>
      </c>
      <c r="I6037" s="27" t="s">
        <v>45</v>
      </c>
      <c r="J6037" s="28" t="s">
        <v>399</v>
      </c>
      <c r="K6037" s="27" t="s">
        <v>37</v>
      </c>
      <c r="L6037" s="27"/>
    </row>
    <row r="6038" customFormat="false" ht="15" hidden="false" customHeight="false" outlineLevel="0" collapsed="false">
      <c r="A6038" s="26" t="s">
        <v>17013</v>
      </c>
      <c r="B6038" s="27" t="s">
        <v>17014</v>
      </c>
      <c r="C6038" s="27" t="s">
        <v>137</v>
      </c>
      <c r="D6038" s="26"/>
      <c r="E6038" s="27"/>
      <c r="F6038" s="27"/>
      <c r="G6038" s="27" t="s">
        <v>11122</v>
      </c>
      <c r="H6038" s="27" t="s">
        <v>35</v>
      </c>
      <c r="I6038" s="27" t="s">
        <v>44</v>
      </c>
      <c r="J6038" s="28" t="s">
        <v>399</v>
      </c>
      <c r="K6038" s="27" t="s">
        <v>37</v>
      </c>
      <c r="L6038" s="27"/>
    </row>
    <row r="6039" customFormat="false" ht="15" hidden="false" customHeight="false" outlineLevel="0" collapsed="false">
      <c r="A6039" s="26" t="s">
        <v>17015</v>
      </c>
      <c r="B6039" s="27" t="s">
        <v>17016</v>
      </c>
      <c r="C6039" s="27" t="s">
        <v>144</v>
      </c>
      <c r="D6039" s="26"/>
      <c r="E6039" s="27"/>
      <c r="F6039" s="27"/>
      <c r="G6039" s="27" t="s">
        <v>11122</v>
      </c>
      <c r="H6039" s="27" t="s">
        <v>35</v>
      </c>
      <c r="I6039" s="27" t="s">
        <v>44</v>
      </c>
      <c r="J6039" s="28" t="s">
        <v>399</v>
      </c>
      <c r="K6039" s="27" t="s">
        <v>37</v>
      </c>
      <c r="L6039" s="27"/>
    </row>
    <row r="6040" customFormat="false" ht="15" hidden="false" customHeight="false" outlineLevel="0" collapsed="false">
      <c r="A6040" s="26" t="s">
        <v>17017</v>
      </c>
      <c r="B6040" s="27" t="s">
        <v>17018</v>
      </c>
      <c r="C6040" s="27" t="s">
        <v>137</v>
      </c>
      <c r="D6040" s="26"/>
      <c r="E6040" s="27"/>
      <c r="F6040" s="27"/>
      <c r="G6040" s="27" t="s">
        <v>11122</v>
      </c>
      <c r="H6040" s="27" t="s">
        <v>35</v>
      </c>
      <c r="I6040" s="27" t="s">
        <v>44</v>
      </c>
      <c r="J6040" s="28" t="s">
        <v>399</v>
      </c>
      <c r="K6040" s="27" t="s">
        <v>37</v>
      </c>
      <c r="L6040" s="27"/>
    </row>
    <row r="6041" customFormat="false" ht="15" hidden="false" customHeight="false" outlineLevel="0" collapsed="false">
      <c r="A6041" s="26" t="s">
        <v>17019</v>
      </c>
      <c r="B6041" s="27" t="s">
        <v>17020</v>
      </c>
      <c r="C6041" s="27" t="s">
        <v>380</v>
      </c>
      <c r="D6041" s="26"/>
      <c r="E6041" s="27"/>
      <c r="F6041" s="27"/>
      <c r="G6041" s="27" t="s">
        <v>11122</v>
      </c>
      <c r="H6041" s="27" t="s">
        <v>35</v>
      </c>
      <c r="I6041" s="27" t="s">
        <v>45</v>
      </c>
      <c r="J6041" s="28" t="s">
        <v>399</v>
      </c>
      <c r="K6041" s="27" t="s">
        <v>37</v>
      </c>
      <c r="L6041" s="27"/>
    </row>
    <row r="6042" customFormat="false" ht="15" hidden="false" customHeight="false" outlineLevel="0" collapsed="false">
      <c r="A6042" s="26" t="s">
        <v>17021</v>
      </c>
      <c r="B6042" s="27" t="s">
        <v>17022</v>
      </c>
      <c r="C6042" s="27" t="s">
        <v>1087</v>
      </c>
      <c r="D6042" s="26"/>
      <c r="E6042" s="27"/>
      <c r="F6042" s="27"/>
      <c r="G6042" s="27" t="s">
        <v>11122</v>
      </c>
      <c r="H6042" s="27" t="s">
        <v>35</v>
      </c>
      <c r="I6042" s="27" t="s">
        <v>45</v>
      </c>
      <c r="J6042" s="28" t="s">
        <v>399</v>
      </c>
      <c r="K6042" s="27" t="s">
        <v>37</v>
      </c>
      <c r="L6042" s="27"/>
    </row>
    <row r="6043" customFormat="false" ht="15" hidden="false" customHeight="false" outlineLevel="0" collapsed="false">
      <c r="A6043" s="26" t="s">
        <v>17023</v>
      </c>
      <c r="B6043" s="27" t="s">
        <v>17024</v>
      </c>
      <c r="C6043" s="27" t="s">
        <v>137</v>
      </c>
      <c r="D6043" s="26"/>
      <c r="E6043" s="27"/>
      <c r="F6043" s="27"/>
      <c r="G6043" s="27" t="s">
        <v>11122</v>
      </c>
      <c r="H6043" s="27" t="s">
        <v>35</v>
      </c>
      <c r="I6043" s="27" t="s">
        <v>38</v>
      </c>
      <c r="J6043" s="28" t="s">
        <v>399</v>
      </c>
      <c r="K6043" s="27" t="s">
        <v>37</v>
      </c>
      <c r="L6043" s="27"/>
    </row>
    <row r="6044" customFormat="false" ht="15" hidden="false" customHeight="false" outlineLevel="0" collapsed="false">
      <c r="A6044" s="26" t="s">
        <v>17025</v>
      </c>
      <c r="B6044" s="27" t="s">
        <v>17026</v>
      </c>
      <c r="C6044" s="27" t="s">
        <v>380</v>
      </c>
      <c r="D6044" s="26"/>
      <c r="E6044" s="27"/>
      <c r="F6044" s="27"/>
      <c r="G6044" s="27" t="s">
        <v>11122</v>
      </c>
      <c r="H6044" s="27" t="s">
        <v>35</v>
      </c>
      <c r="I6044" s="27" t="s">
        <v>45</v>
      </c>
      <c r="J6044" s="28" t="s">
        <v>399</v>
      </c>
      <c r="K6044" s="27" t="s">
        <v>37</v>
      </c>
      <c r="L6044" s="27"/>
    </row>
    <row r="6045" customFormat="false" ht="15" hidden="false" customHeight="false" outlineLevel="0" collapsed="false">
      <c r="A6045" s="26" t="s">
        <v>17027</v>
      </c>
      <c r="B6045" s="27" t="s">
        <v>17028</v>
      </c>
      <c r="C6045" s="27" t="s">
        <v>144</v>
      </c>
      <c r="D6045" s="26"/>
      <c r="E6045" s="27"/>
      <c r="F6045" s="27"/>
      <c r="G6045" s="27" t="s">
        <v>11122</v>
      </c>
      <c r="H6045" s="27" t="s">
        <v>35</v>
      </c>
      <c r="I6045" s="27" t="s">
        <v>39</v>
      </c>
      <c r="J6045" s="28" t="s">
        <v>399</v>
      </c>
      <c r="K6045" s="27" t="s">
        <v>37</v>
      </c>
      <c r="L6045" s="27"/>
    </row>
    <row r="6046" customFormat="false" ht="15" hidden="false" customHeight="false" outlineLevel="0" collapsed="false">
      <c r="A6046" s="26" t="s">
        <v>17029</v>
      </c>
      <c r="B6046" s="27" t="s">
        <v>17030</v>
      </c>
      <c r="C6046" s="27" t="s">
        <v>144</v>
      </c>
      <c r="D6046" s="26"/>
      <c r="E6046" s="27"/>
      <c r="F6046" s="27"/>
      <c r="G6046" s="27" t="s">
        <v>11122</v>
      </c>
      <c r="H6046" s="27" t="s">
        <v>35</v>
      </c>
      <c r="I6046" s="27" t="s">
        <v>39</v>
      </c>
      <c r="J6046" s="28" t="s">
        <v>399</v>
      </c>
      <c r="K6046" s="27" t="s">
        <v>37</v>
      </c>
      <c r="L6046" s="27"/>
    </row>
    <row r="6047" customFormat="false" ht="15" hidden="false" customHeight="false" outlineLevel="0" collapsed="false">
      <c r="A6047" s="26" t="s">
        <v>17031</v>
      </c>
      <c r="B6047" s="27" t="s">
        <v>17032</v>
      </c>
      <c r="C6047" s="27" t="s">
        <v>144</v>
      </c>
      <c r="D6047" s="26"/>
      <c r="E6047" s="27"/>
      <c r="F6047" s="27"/>
      <c r="G6047" s="27" t="s">
        <v>11122</v>
      </c>
      <c r="H6047" s="27" t="s">
        <v>35</v>
      </c>
      <c r="I6047" s="27" t="s">
        <v>39</v>
      </c>
      <c r="J6047" s="28" t="s">
        <v>399</v>
      </c>
      <c r="K6047" s="27" t="s">
        <v>37</v>
      </c>
      <c r="L6047" s="27"/>
    </row>
    <row r="6048" customFormat="false" ht="15" hidden="false" customHeight="false" outlineLevel="0" collapsed="false">
      <c r="A6048" s="26" t="s">
        <v>17033</v>
      </c>
      <c r="B6048" s="27" t="s">
        <v>17034</v>
      </c>
      <c r="C6048" s="27" t="s">
        <v>144</v>
      </c>
      <c r="D6048" s="26"/>
      <c r="E6048" s="27"/>
      <c r="F6048" s="27"/>
      <c r="G6048" s="27" t="s">
        <v>11122</v>
      </c>
      <c r="H6048" s="27" t="s">
        <v>35</v>
      </c>
      <c r="I6048" s="27" t="s">
        <v>39</v>
      </c>
      <c r="J6048" s="28" t="s">
        <v>399</v>
      </c>
      <c r="K6048" s="27" t="s">
        <v>37</v>
      </c>
      <c r="L6048" s="27"/>
    </row>
    <row r="6049" customFormat="false" ht="15" hidden="false" customHeight="false" outlineLevel="0" collapsed="false">
      <c r="A6049" s="26" t="s">
        <v>17035</v>
      </c>
      <c r="B6049" s="27" t="s">
        <v>17036</v>
      </c>
      <c r="C6049" s="27" t="s">
        <v>137</v>
      </c>
      <c r="D6049" s="26"/>
      <c r="E6049" s="27"/>
      <c r="F6049" s="27"/>
      <c r="G6049" s="27" t="s">
        <v>11122</v>
      </c>
      <c r="H6049" s="27" t="s">
        <v>35</v>
      </c>
      <c r="I6049" s="27" t="s">
        <v>45</v>
      </c>
      <c r="J6049" s="28" t="s">
        <v>399</v>
      </c>
      <c r="K6049" s="27" t="s">
        <v>37</v>
      </c>
      <c r="L6049" s="27"/>
    </row>
    <row r="6050" customFormat="false" ht="15" hidden="false" customHeight="false" outlineLevel="0" collapsed="false">
      <c r="A6050" s="26" t="s">
        <v>17037</v>
      </c>
      <c r="B6050" s="27" t="s">
        <v>17038</v>
      </c>
      <c r="C6050" s="27" t="s">
        <v>137</v>
      </c>
      <c r="D6050" s="26"/>
      <c r="E6050" s="27"/>
      <c r="F6050" s="27"/>
      <c r="G6050" s="27" t="s">
        <v>11122</v>
      </c>
      <c r="H6050" s="27" t="s">
        <v>35</v>
      </c>
      <c r="I6050" s="27" t="s">
        <v>44</v>
      </c>
      <c r="J6050" s="28" t="s">
        <v>399</v>
      </c>
      <c r="K6050" s="27" t="s">
        <v>37</v>
      </c>
      <c r="L6050" s="27"/>
    </row>
    <row r="6051" customFormat="false" ht="15" hidden="false" customHeight="false" outlineLevel="0" collapsed="false">
      <c r="A6051" s="26" t="s">
        <v>17039</v>
      </c>
      <c r="B6051" s="27" t="s">
        <v>17040</v>
      </c>
      <c r="C6051" s="27" t="s">
        <v>137</v>
      </c>
      <c r="D6051" s="26"/>
      <c r="E6051" s="27"/>
      <c r="F6051" s="27"/>
      <c r="G6051" s="27" t="s">
        <v>11122</v>
      </c>
      <c r="H6051" s="27" t="s">
        <v>35</v>
      </c>
      <c r="I6051" s="27" t="s">
        <v>45</v>
      </c>
      <c r="J6051" s="28" t="s">
        <v>399</v>
      </c>
      <c r="K6051" s="27" t="s">
        <v>37</v>
      </c>
      <c r="L6051" s="27"/>
    </row>
    <row r="6052" customFormat="false" ht="15" hidden="false" customHeight="false" outlineLevel="0" collapsed="false">
      <c r="A6052" s="26" t="s">
        <v>17041</v>
      </c>
      <c r="B6052" s="27" t="s">
        <v>17042</v>
      </c>
      <c r="C6052" s="27" t="s">
        <v>144</v>
      </c>
      <c r="D6052" s="26"/>
      <c r="E6052" s="27"/>
      <c r="F6052" s="27"/>
      <c r="G6052" s="27" t="s">
        <v>11122</v>
      </c>
      <c r="H6052" s="27" t="s">
        <v>35</v>
      </c>
      <c r="I6052" s="27" t="s">
        <v>41</v>
      </c>
      <c r="J6052" s="28" t="s">
        <v>399</v>
      </c>
      <c r="K6052" s="27" t="s">
        <v>37</v>
      </c>
      <c r="L6052" s="27"/>
    </row>
    <row r="6053" customFormat="false" ht="15" hidden="false" customHeight="false" outlineLevel="0" collapsed="false">
      <c r="A6053" s="26" t="s">
        <v>17043</v>
      </c>
      <c r="B6053" s="27" t="s">
        <v>17044</v>
      </c>
      <c r="C6053" s="27" t="s">
        <v>144</v>
      </c>
      <c r="D6053" s="26"/>
      <c r="E6053" s="27"/>
      <c r="F6053" s="27"/>
      <c r="G6053" s="27" t="s">
        <v>11122</v>
      </c>
      <c r="H6053" s="27" t="s">
        <v>35</v>
      </c>
      <c r="I6053" s="27" t="s">
        <v>38</v>
      </c>
      <c r="J6053" s="28" t="s">
        <v>399</v>
      </c>
      <c r="K6053" s="27" t="s">
        <v>37</v>
      </c>
      <c r="L6053" s="27"/>
    </row>
    <row r="6054" customFormat="false" ht="15" hidden="false" customHeight="false" outlineLevel="0" collapsed="false">
      <c r="A6054" s="26" t="s">
        <v>17045</v>
      </c>
      <c r="B6054" s="27" t="s">
        <v>17046</v>
      </c>
      <c r="C6054" s="27" t="s">
        <v>1087</v>
      </c>
      <c r="D6054" s="26"/>
      <c r="E6054" s="27"/>
      <c r="F6054" s="27"/>
      <c r="G6054" s="27" t="s">
        <v>11122</v>
      </c>
      <c r="H6054" s="27" t="s">
        <v>35</v>
      </c>
      <c r="I6054" s="27" t="s">
        <v>44</v>
      </c>
      <c r="J6054" s="28" t="s">
        <v>399</v>
      </c>
      <c r="K6054" s="27" t="s">
        <v>37</v>
      </c>
      <c r="L6054" s="27"/>
    </row>
    <row r="6055" customFormat="false" ht="15" hidden="false" customHeight="false" outlineLevel="0" collapsed="false">
      <c r="A6055" s="26" t="s">
        <v>17047</v>
      </c>
      <c r="B6055" s="27" t="s">
        <v>17048</v>
      </c>
      <c r="C6055" s="27" t="s">
        <v>1087</v>
      </c>
      <c r="D6055" s="26"/>
      <c r="E6055" s="27"/>
      <c r="F6055" s="27"/>
      <c r="G6055" s="27" t="s">
        <v>11122</v>
      </c>
      <c r="H6055" s="27" t="s">
        <v>35</v>
      </c>
      <c r="I6055" s="27" t="s">
        <v>45</v>
      </c>
      <c r="J6055" s="28" t="s">
        <v>399</v>
      </c>
      <c r="K6055" s="27" t="s">
        <v>37</v>
      </c>
      <c r="L6055" s="27"/>
    </row>
    <row r="6056" customFormat="false" ht="15" hidden="false" customHeight="false" outlineLevel="0" collapsed="false">
      <c r="A6056" s="26" t="s">
        <v>17049</v>
      </c>
      <c r="B6056" s="27" t="s">
        <v>17050</v>
      </c>
      <c r="C6056" s="27" t="s">
        <v>137</v>
      </c>
      <c r="D6056" s="26"/>
      <c r="E6056" s="27"/>
      <c r="F6056" s="27"/>
      <c r="G6056" s="27" t="s">
        <v>11122</v>
      </c>
      <c r="H6056" s="27" t="s">
        <v>35</v>
      </c>
      <c r="I6056" s="27" t="s">
        <v>42</v>
      </c>
      <c r="J6056" s="28" t="s">
        <v>399</v>
      </c>
      <c r="K6056" s="27" t="s">
        <v>37</v>
      </c>
      <c r="L6056" s="27"/>
    </row>
    <row r="6057" customFormat="false" ht="15" hidden="false" customHeight="false" outlineLevel="0" collapsed="false">
      <c r="A6057" s="26" t="s">
        <v>17051</v>
      </c>
      <c r="B6057" s="27" t="s">
        <v>17052</v>
      </c>
      <c r="C6057" s="27" t="s">
        <v>144</v>
      </c>
      <c r="D6057" s="26"/>
      <c r="E6057" s="27"/>
      <c r="F6057" s="27"/>
      <c r="G6057" s="27" t="s">
        <v>11122</v>
      </c>
      <c r="H6057" s="27" t="s">
        <v>35</v>
      </c>
      <c r="I6057" s="27" t="s">
        <v>37</v>
      </c>
      <c r="J6057" s="28" t="s">
        <v>399</v>
      </c>
      <c r="K6057" s="27" t="s">
        <v>37</v>
      </c>
      <c r="L6057" s="27"/>
    </row>
    <row r="6058" customFormat="false" ht="15" hidden="false" customHeight="false" outlineLevel="0" collapsed="false">
      <c r="A6058" s="26" t="s">
        <v>17053</v>
      </c>
      <c r="B6058" s="27" t="s">
        <v>17054</v>
      </c>
      <c r="C6058" s="27" t="s">
        <v>144</v>
      </c>
      <c r="D6058" s="26"/>
      <c r="E6058" s="27"/>
      <c r="F6058" s="27"/>
      <c r="G6058" s="27" t="s">
        <v>11122</v>
      </c>
      <c r="H6058" s="27" t="s">
        <v>35</v>
      </c>
      <c r="I6058" s="27" t="s">
        <v>44</v>
      </c>
      <c r="J6058" s="28" t="s">
        <v>399</v>
      </c>
      <c r="K6058" s="27" t="s">
        <v>37</v>
      </c>
      <c r="L6058" s="27"/>
    </row>
    <row r="6059" customFormat="false" ht="15" hidden="false" customHeight="false" outlineLevel="0" collapsed="false">
      <c r="A6059" s="26" t="s">
        <v>17055</v>
      </c>
      <c r="B6059" s="27" t="s">
        <v>17056</v>
      </c>
      <c r="C6059" s="27" t="s">
        <v>144</v>
      </c>
      <c r="D6059" s="26"/>
      <c r="E6059" s="27"/>
      <c r="F6059" s="27"/>
      <c r="G6059" s="27" t="s">
        <v>11122</v>
      </c>
      <c r="H6059" s="27" t="s">
        <v>35</v>
      </c>
      <c r="I6059" s="27" t="s">
        <v>40</v>
      </c>
      <c r="J6059" s="28" t="s">
        <v>399</v>
      </c>
      <c r="K6059" s="27" t="s">
        <v>37</v>
      </c>
      <c r="L6059" s="27"/>
    </row>
    <row r="6060" customFormat="false" ht="15" hidden="false" customHeight="false" outlineLevel="0" collapsed="false">
      <c r="A6060" s="26" t="s">
        <v>17057</v>
      </c>
      <c r="B6060" s="27" t="s">
        <v>17058</v>
      </c>
      <c r="C6060" s="27" t="s">
        <v>144</v>
      </c>
      <c r="D6060" s="26"/>
      <c r="E6060" s="27"/>
      <c r="F6060" s="27"/>
      <c r="G6060" s="27" t="s">
        <v>11122</v>
      </c>
      <c r="H6060" s="27" t="s">
        <v>35</v>
      </c>
      <c r="I6060" s="27" t="s">
        <v>47</v>
      </c>
      <c r="J6060" s="28" t="s">
        <v>399</v>
      </c>
      <c r="K6060" s="27" t="s">
        <v>37</v>
      </c>
      <c r="L6060" s="27"/>
    </row>
    <row r="6061" customFormat="false" ht="15" hidden="false" customHeight="false" outlineLevel="0" collapsed="false">
      <c r="A6061" s="26" t="s">
        <v>17059</v>
      </c>
      <c r="B6061" s="27" t="s">
        <v>17060</v>
      </c>
      <c r="C6061" s="27" t="s">
        <v>144</v>
      </c>
      <c r="D6061" s="26"/>
      <c r="E6061" s="27"/>
      <c r="F6061" s="27"/>
      <c r="G6061" s="27" t="s">
        <v>11122</v>
      </c>
      <c r="H6061" s="27" t="s">
        <v>35</v>
      </c>
      <c r="I6061" s="27" t="s">
        <v>47</v>
      </c>
      <c r="J6061" s="28" t="s">
        <v>399</v>
      </c>
      <c r="K6061" s="27" t="s">
        <v>37</v>
      </c>
      <c r="L6061" s="27"/>
    </row>
    <row r="6062" customFormat="false" ht="15" hidden="false" customHeight="false" outlineLevel="0" collapsed="false">
      <c r="A6062" s="26" t="s">
        <v>17061</v>
      </c>
      <c r="B6062" s="27" t="s">
        <v>17062</v>
      </c>
      <c r="C6062" s="27" t="s">
        <v>144</v>
      </c>
      <c r="D6062" s="26"/>
      <c r="E6062" s="27"/>
      <c r="F6062" s="27"/>
      <c r="G6062" s="27" t="s">
        <v>11122</v>
      </c>
      <c r="H6062" s="27" t="s">
        <v>35</v>
      </c>
      <c r="I6062" s="27" t="s">
        <v>47</v>
      </c>
      <c r="J6062" s="28" t="s">
        <v>399</v>
      </c>
      <c r="K6062" s="27" t="s">
        <v>37</v>
      </c>
      <c r="L6062" s="27"/>
    </row>
    <row r="6063" customFormat="false" ht="15" hidden="false" customHeight="false" outlineLevel="0" collapsed="false">
      <c r="A6063" s="26" t="s">
        <v>17063</v>
      </c>
      <c r="B6063" s="27" t="s">
        <v>17064</v>
      </c>
      <c r="C6063" s="27" t="s">
        <v>144</v>
      </c>
      <c r="D6063" s="26"/>
      <c r="E6063" s="27"/>
      <c r="F6063" s="27"/>
      <c r="G6063" s="27" t="s">
        <v>11122</v>
      </c>
      <c r="H6063" s="27" t="s">
        <v>35</v>
      </c>
      <c r="I6063" s="27" t="s">
        <v>45</v>
      </c>
      <c r="J6063" s="28" t="s">
        <v>399</v>
      </c>
      <c r="K6063" s="27" t="s">
        <v>37</v>
      </c>
      <c r="L6063" s="27"/>
    </row>
    <row r="6064" customFormat="false" ht="15" hidden="false" customHeight="false" outlineLevel="0" collapsed="false">
      <c r="A6064" s="26" t="s">
        <v>17065</v>
      </c>
      <c r="B6064" s="27" t="s">
        <v>17066</v>
      </c>
      <c r="C6064" s="27" t="s">
        <v>144</v>
      </c>
      <c r="D6064" s="26"/>
      <c r="E6064" s="27"/>
      <c r="F6064" s="27"/>
      <c r="G6064" s="27" t="s">
        <v>11122</v>
      </c>
      <c r="H6064" s="27" t="s">
        <v>35</v>
      </c>
      <c r="I6064" s="27" t="s">
        <v>1344</v>
      </c>
      <c r="J6064" s="28" t="s">
        <v>399</v>
      </c>
      <c r="K6064" s="27" t="s">
        <v>37</v>
      </c>
      <c r="L6064" s="27"/>
    </row>
    <row r="6065" customFormat="false" ht="15" hidden="false" customHeight="false" outlineLevel="0" collapsed="false">
      <c r="A6065" s="26" t="s">
        <v>17067</v>
      </c>
      <c r="B6065" s="27" t="s">
        <v>17068</v>
      </c>
      <c r="C6065" s="27" t="s">
        <v>137</v>
      </c>
      <c r="D6065" s="26"/>
      <c r="E6065" s="27"/>
      <c r="F6065" s="27"/>
      <c r="G6065" s="27" t="s">
        <v>11122</v>
      </c>
      <c r="H6065" s="27" t="s">
        <v>35</v>
      </c>
      <c r="I6065" s="27" t="s">
        <v>44</v>
      </c>
      <c r="J6065" s="28" t="s">
        <v>399</v>
      </c>
      <c r="K6065" s="27" t="s">
        <v>37</v>
      </c>
      <c r="L6065" s="27"/>
    </row>
    <row r="6066" customFormat="false" ht="15" hidden="false" customHeight="false" outlineLevel="0" collapsed="false">
      <c r="A6066" s="26" t="s">
        <v>17069</v>
      </c>
      <c r="B6066" s="27" t="s">
        <v>17070</v>
      </c>
      <c r="C6066" s="27" t="s">
        <v>144</v>
      </c>
      <c r="D6066" s="26"/>
      <c r="E6066" s="27"/>
      <c r="F6066" s="27"/>
      <c r="G6066" s="27" t="s">
        <v>11122</v>
      </c>
      <c r="H6066" s="27" t="s">
        <v>35</v>
      </c>
      <c r="I6066" s="27" t="s">
        <v>37</v>
      </c>
      <c r="J6066" s="28" t="s">
        <v>399</v>
      </c>
      <c r="K6066" s="27" t="s">
        <v>37</v>
      </c>
      <c r="L6066" s="27"/>
    </row>
    <row r="6067" customFormat="false" ht="15" hidden="false" customHeight="false" outlineLevel="0" collapsed="false">
      <c r="A6067" s="26" t="s">
        <v>17071</v>
      </c>
      <c r="B6067" s="27" t="s">
        <v>17072</v>
      </c>
      <c r="C6067" s="27" t="s">
        <v>144</v>
      </c>
      <c r="D6067" s="26"/>
      <c r="E6067" s="27"/>
      <c r="F6067" s="27"/>
      <c r="G6067" s="27" t="s">
        <v>11122</v>
      </c>
      <c r="H6067" s="27" t="s">
        <v>35</v>
      </c>
      <c r="I6067" s="27" t="s">
        <v>42</v>
      </c>
      <c r="J6067" s="28" t="s">
        <v>399</v>
      </c>
      <c r="K6067" s="27" t="s">
        <v>37</v>
      </c>
      <c r="L6067" s="27"/>
    </row>
    <row r="6068" customFormat="false" ht="15" hidden="false" customHeight="false" outlineLevel="0" collapsed="false">
      <c r="A6068" s="26" t="s">
        <v>17073</v>
      </c>
      <c r="B6068" s="27" t="s">
        <v>17074</v>
      </c>
      <c r="C6068" s="27" t="s">
        <v>144</v>
      </c>
      <c r="D6068" s="26"/>
      <c r="E6068" s="27"/>
      <c r="F6068" s="27"/>
      <c r="G6068" s="27" t="s">
        <v>11122</v>
      </c>
      <c r="H6068" s="27" t="s">
        <v>35</v>
      </c>
      <c r="I6068" s="27" t="s">
        <v>42</v>
      </c>
      <c r="J6068" s="28" t="s">
        <v>399</v>
      </c>
      <c r="K6068" s="27" t="s">
        <v>37</v>
      </c>
      <c r="L6068" s="27"/>
    </row>
    <row r="6069" customFormat="false" ht="15" hidden="false" customHeight="false" outlineLevel="0" collapsed="false">
      <c r="A6069" s="26" t="s">
        <v>17075</v>
      </c>
      <c r="B6069" s="27" t="s">
        <v>17076</v>
      </c>
      <c r="C6069" s="27" t="s">
        <v>144</v>
      </c>
      <c r="D6069" s="26"/>
      <c r="E6069" s="27"/>
      <c r="F6069" s="27"/>
      <c r="G6069" s="27" t="s">
        <v>11122</v>
      </c>
      <c r="H6069" s="27" t="s">
        <v>35</v>
      </c>
      <c r="I6069" s="27" t="s">
        <v>45</v>
      </c>
      <c r="J6069" s="28" t="s">
        <v>399</v>
      </c>
      <c r="K6069" s="27" t="s">
        <v>37</v>
      </c>
      <c r="L6069" s="27"/>
    </row>
    <row r="6070" customFormat="false" ht="15" hidden="false" customHeight="false" outlineLevel="0" collapsed="false">
      <c r="A6070" s="26" t="s">
        <v>17077</v>
      </c>
      <c r="B6070" s="27" t="s">
        <v>17078</v>
      </c>
      <c r="C6070" s="27" t="s">
        <v>144</v>
      </c>
      <c r="D6070" s="26"/>
      <c r="E6070" s="27"/>
      <c r="F6070" s="27"/>
      <c r="G6070" s="27" t="s">
        <v>11122</v>
      </c>
      <c r="H6070" s="27" t="s">
        <v>35</v>
      </c>
      <c r="I6070" s="27" t="s">
        <v>37</v>
      </c>
      <c r="J6070" s="28" t="s">
        <v>399</v>
      </c>
      <c r="K6070" s="27" t="s">
        <v>37</v>
      </c>
      <c r="L6070" s="27"/>
    </row>
    <row r="6071" customFormat="false" ht="15" hidden="false" customHeight="false" outlineLevel="0" collapsed="false">
      <c r="A6071" s="26" t="s">
        <v>17079</v>
      </c>
      <c r="B6071" s="27" t="s">
        <v>17080</v>
      </c>
      <c r="C6071" s="27" t="s">
        <v>380</v>
      </c>
      <c r="D6071" s="26"/>
      <c r="E6071" s="27"/>
      <c r="F6071" s="27"/>
      <c r="G6071" s="27" t="s">
        <v>11122</v>
      </c>
      <c r="H6071" s="27" t="s">
        <v>35</v>
      </c>
      <c r="I6071" s="27" t="s">
        <v>45</v>
      </c>
      <c r="J6071" s="28" t="s">
        <v>399</v>
      </c>
      <c r="K6071" s="27" t="s">
        <v>37</v>
      </c>
      <c r="L6071" s="27"/>
    </row>
    <row r="6072" customFormat="false" ht="15" hidden="false" customHeight="false" outlineLevel="0" collapsed="false">
      <c r="A6072" s="26" t="s">
        <v>17081</v>
      </c>
      <c r="B6072" s="27" t="s">
        <v>17082</v>
      </c>
      <c r="C6072" s="27" t="s">
        <v>144</v>
      </c>
      <c r="D6072" s="26"/>
      <c r="E6072" s="27"/>
      <c r="F6072" s="27"/>
      <c r="G6072" s="27" t="s">
        <v>11122</v>
      </c>
      <c r="H6072" s="27" t="s">
        <v>35</v>
      </c>
      <c r="I6072" s="27" t="s">
        <v>47</v>
      </c>
      <c r="J6072" s="28" t="s">
        <v>399</v>
      </c>
      <c r="K6072" s="27" t="s">
        <v>37</v>
      </c>
      <c r="L6072" s="27"/>
    </row>
    <row r="6073" customFormat="false" ht="15" hidden="false" customHeight="false" outlineLevel="0" collapsed="false">
      <c r="A6073" s="26" t="s">
        <v>17083</v>
      </c>
      <c r="B6073" s="27" t="s">
        <v>17084</v>
      </c>
      <c r="C6073" s="27" t="s">
        <v>1087</v>
      </c>
      <c r="D6073" s="26"/>
      <c r="E6073" s="27"/>
      <c r="F6073" s="27"/>
      <c r="G6073" s="27" t="s">
        <v>11122</v>
      </c>
      <c r="H6073" s="27" t="s">
        <v>35</v>
      </c>
      <c r="I6073" s="27" t="s">
        <v>45</v>
      </c>
      <c r="J6073" s="28" t="s">
        <v>399</v>
      </c>
      <c r="K6073" s="27" t="s">
        <v>37</v>
      </c>
      <c r="L6073" s="27"/>
    </row>
    <row r="6074" customFormat="false" ht="15" hidden="false" customHeight="false" outlineLevel="0" collapsed="false">
      <c r="A6074" s="26" t="s">
        <v>17085</v>
      </c>
      <c r="B6074" s="27" t="s">
        <v>17086</v>
      </c>
      <c r="C6074" s="27" t="s">
        <v>144</v>
      </c>
      <c r="D6074" s="26"/>
      <c r="E6074" s="27"/>
      <c r="F6074" s="27"/>
      <c r="G6074" s="27" t="s">
        <v>11122</v>
      </c>
      <c r="H6074" s="27" t="s">
        <v>35</v>
      </c>
      <c r="I6074" s="27" t="s">
        <v>45</v>
      </c>
      <c r="J6074" s="28" t="s">
        <v>399</v>
      </c>
      <c r="K6074" s="27" t="s">
        <v>37</v>
      </c>
      <c r="L6074" s="27"/>
    </row>
    <row r="6075" customFormat="false" ht="15" hidden="false" customHeight="false" outlineLevel="0" collapsed="false">
      <c r="A6075" s="26" t="s">
        <v>17087</v>
      </c>
      <c r="B6075" s="27" t="s">
        <v>17088</v>
      </c>
      <c r="C6075" s="27" t="s">
        <v>380</v>
      </c>
      <c r="D6075" s="26"/>
      <c r="E6075" s="27"/>
      <c r="F6075" s="27"/>
      <c r="G6075" s="27" t="s">
        <v>11122</v>
      </c>
      <c r="H6075" s="27" t="s">
        <v>35</v>
      </c>
      <c r="I6075" s="27" t="s">
        <v>45</v>
      </c>
      <c r="J6075" s="28" t="s">
        <v>399</v>
      </c>
      <c r="K6075" s="27" t="s">
        <v>37</v>
      </c>
      <c r="L6075" s="27"/>
    </row>
    <row r="6076" customFormat="false" ht="15" hidden="false" customHeight="false" outlineLevel="0" collapsed="false">
      <c r="A6076" s="26" t="s">
        <v>17089</v>
      </c>
      <c r="B6076" s="27" t="s">
        <v>17090</v>
      </c>
      <c r="C6076" s="27" t="s">
        <v>137</v>
      </c>
      <c r="D6076" s="26"/>
      <c r="E6076" s="27"/>
      <c r="F6076" s="27"/>
      <c r="G6076" s="27" t="s">
        <v>11122</v>
      </c>
      <c r="H6076" s="27" t="s">
        <v>35</v>
      </c>
      <c r="I6076" s="27" t="s">
        <v>44</v>
      </c>
      <c r="J6076" s="28" t="s">
        <v>399</v>
      </c>
      <c r="K6076" s="27" t="s">
        <v>37</v>
      </c>
      <c r="L6076" s="27"/>
    </row>
    <row r="6077" customFormat="false" ht="15" hidden="false" customHeight="false" outlineLevel="0" collapsed="false">
      <c r="A6077" s="26" t="s">
        <v>17091</v>
      </c>
      <c r="B6077" s="27" t="s">
        <v>17092</v>
      </c>
      <c r="C6077" s="27" t="s">
        <v>380</v>
      </c>
      <c r="D6077" s="26"/>
      <c r="E6077" s="27"/>
      <c r="F6077" s="27"/>
      <c r="G6077" s="27" t="s">
        <v>11122</v>
      </c>
      <c r="H6077" s="27" t="s">
        <v>35</v>
      </c>
      <c r="I6077" s="27" t="s">
        <v>45</v>
      </c>
      <c r="J6077" s="28" t="s">
        <v>399</v>
      </c>
      <c r="K6077" s="27" t="s">
        <v>37</v>
      </c>
      <c r="L6077" s="27"/>
    </row>
    <row r="6078" customFormat="false" ht="15" hidden="false" customHeight="false" outlineLevel="0" collapsed="false">
      <c r="A6078" s="26" t="s">
        <v>17093</v>
      </c>
      <c r="B6078" s="27" t="s">
        <v>17094</v>
      </c>
      <c r="C6078" s="27" t="s">
        <v>380</v>
      </c>
      <c r="D6078" s="26"/>
      <c r="E6078" s="27"/>
      <c r="F6078" s="27"/>
      <c r="G6078" s="27" t="s">
        <v>11122</v>
      </c>
      <c r="H6078" s="27" t="s">
        <v>35</v>
      </c>
      <c r="I6078" s="27" t="s">
        <v>45</v>
      </c>
      <c r="J6078" s="28" t="s">
        <v>399</v>
      </c>
      <c r="K6078" s="27" t="s">
        <v>37</v>
      </c>
      <c r="L6078" s="27"/>
    </row>
    <row r="6079" customFormat="false" ht="15" hidden="false" customHeight="false" outlineLevel="0" collapsed="false">
      <c r="A6079" s="26" t="s">
        <v>17095</v>
      </c>
      <c r="B6079" s="27" t="s">
        <v>17096</v>
      </c>
      <c r="C6079" s="27" t="s">
        <v>137</v>
      </c>
      <c r="D6079" s="26"/>
      <c r="E6079" s="27"/>
      <c r="F6079" s="27"/>
      <c r="G6079" s="27" t="s">
        <v>11122</v>
      </c>
      <c r="H6079" s="27" t="s">
        <v>35</v>
      </c>
      <c r="I6079" s="27" t="s">
        <v>45</v>
      </c>
      <c r="J6079" s="28" t="s">
        <v>399</v>
      </c>
      <c r="K6079" s="27" t="s">
        <v>37</v>
      </c>
      <c r="L6079" s="27"/>
    </row>
    <row r="6080" customFormat="false" ht="15" hidden="false" customHeight="false" outlineLevel="0" collapsed="false">
      <c r="A6080" s="26" t="s">
        <v>17097</v>
      </c>
      <c r="B6080" s="27" t="s">
        <v>17098</v>
      </c>
      <c r="C6080" s="27" t="s">
        <v>380</v>
      </c>
      <c r="D6080" s="26"/>
      <c r="E6080" s="27"/>
      <c r="F6080" s="27"/>
      <c r="G6080" s="27" t="s">
        <v>11122</v>
      </c>
      <c r="H6080" s="27" t="s">
        <v>35</v>
      </c>
      <c r="I6080" s="27" t="s">
        <v>45</v>
      </c>
      <c r="J6080" s="28" t="s">
        <v>399</v>
      </c>
      <c r="K6080" s="27" t="s">
        <v>37</v>
      </c>
      <c r="L6080" s="27"/>
    </row>
    <row r="6081" customFormat="false" ht="15" hidden="false" customHeight="false" outlineLevel="0" collapsed="false">
      <c r="A6081" s="26" t="s">
        <v>17099</v>
      </c>
      <c r="B6081" s="27" t="s">
        <v>17100</v>
      </c>
      <c r="C6081" s="27" t="s">
        <v>1087</v>
      </c>
      <c r="D6081" s="26"/>
      <c r="E6081" s="27"/>
      <c r="F6081" s="27"/>
      <c r="G6081" s="27" t="s">
        <v>11122</v>
      </c>
      <c r="H6081" s="27" t="s">
        <v>35</v>
      </c>
      <c r="I6081" s="27" t="s">
        <v>45</v>
      </c>
      <c r="J6081" s="28" t="s">
        <v>399</v>
      </c>
      <c r="K6081" s="27" t="s">
        <v>37</v>
      </c>
      <c r="L6081" s="27"/>
    </row>
    <row r="6082" customFormat="false" ht="15" hidden="false" customHeight="false" outlineLevel="0" collapsed="false">
      <c r="A6082" s="26" t="s">
        <v>17101</v>
      </c>
      <c r="B6082" s="27" t="s">
        <v>17102</v>
      </c>
      <c r="C6082" s="27" t="s">
        <v>144</v>
      </c>
      <c r="D6082" s="26"/>
      <c r="E6082" s="27"/>
      <c r="F6082" s="27"/>
      <c r="G6082" s="27" t="s">
        <v>11122</v>
      </c>
      <c r="H6082" s="27" t="s">
        <v>35</v>
      </c>
      <c r="I6082" s="27" t="s">
        <v>38</v>
      </c>
      <c r="J6082" s="28" t="s">
        <v>399</v>
      </c>
      <c r="K6082" s="27" t="s">
        <v>37</v>
      </c>
      <c r="L6082" s="27"/>
    </row>
    <row r="6083" customFormat="false" ht="15" hidden="false" customHeight="false" outlineLevel="0" collapsed="false">
      <c r="A6083" s="26" t="s">
        <v>17103</v>
      </c>
      <c r="B6083" s="27" t="s">
        <v>17104</v>
      </c>
      <c r="C6083" s="27" t="s">
        <v>144</v>
      </c>
      <c r="D6083" s="26"/>
      <c r="E6083" s="27"/>
      <c r="F6083" s="27"/>
      <c r="G6083" s="27" t="s">
        <v>11122</v>
      </c>
      <c r="H6083" s="27" t="s">
        <v>35</v>
      </c>
      <c r="I6083" s="27" t="s">
        <v>38</v>
      </c>
      <c r="J6083" s="28" t="s">
        <v>399</v>
      </c>
      <c r="K6083" s="27" t="s">
        <v>37</v>
      </c>
      <c r="L6083" s="27"/>
    </row>
    <row r="6084" customFormat="false" ht="15" hidden="false" customHeight="false" outlineLevel="0" collapsed="false">
      <c r="A6084" s="26" t="s">
        <v>17105</v>
      </c>
      <c r="B6084" s="27" t="s">
        <v>17106</v>
      </c>
      <c r="C6084" s="27" t="s">
        <v>144</v>
      </c>
      <c r="D6084" s="26"/>
      <c r="E6084" s="27"/>
      <c r="F6084" s="27"/>
      <c r="G6084" s="27" t="s">
        <v>11122</v>
      </c>
      <c r="H6084" s="27" t="s">
        <v>35</v>
      </c>
      <c r="I6084" s="27" t="s">
        <v>38</v>
      </c>
      <c r="J6084" s="28" t="s">
        <v>399</v>
      </c>
      <c r="K6084" s="27" t="s">
        <v>37</v>
      </c>
      <c r="L6084" s="27"/>
    </row>
    <row r="6085" customFormat="false" ht="15" hidden="false" customHeight="false" outlineLevel="0" collapsed="false">
      <c r="A6085" s="26" t="s">
        <v>17107</v>
      </c>
      <c r="B6085" s="27" t="s">
        <v>17108</v>
      </c>
      <c r="C6085" s="27" t="s">
        <v>144</v>
      </c>
      <c r="D6085" s="26"/>
      <c r="E6085" s="27"/>
      <c r="F6085" s="27"/>
      <c r="G6085" s="27" t="s">
        <v>11122</v>
      </c>
      <c r="H6085" s="27" t="s">
        <v>35</v>
      </c>
      <c r="I6085" s="27" t="s">
        <v>38</v>
      </c>
      <c r="J6085" s="28" t="s">
        <v>399</v>
      </c>
      <c r="K6085" s="27" t="s">
        <v>37</v>
      </c>
      <c r="L6085" s="27"/>
    </row>
    <row r="6086" customFormat="false" ht="15" hidden="false" customHeight="false" outlineLevel="0" collapsed="false">
      <c r="A6086" s="26" t="s">
        <v>17109</v>
      </c>
      <c r="B6086" s="27" t="s">
        <v>17110</v>
      </c>
      <c r="C6086" s="27" t="s">
        <v>144</v>
      </c>
      <c r="D6086" s="26"/>
      <c r="E6086" s="27"/>
      <c r="F6086" s="27"/>
      <c r="G6086" s="27" t="s">
        <v>11122</v>
      </c>
      <c r="H6086" s="27" t="s">
        <v>35</v>
      </c>
      <c r="I6086" s="27" t="s">
        <v>38</v>
      </c>
      <c r="J6086" s="28" t="s">
        <v>399</v>
      </c>
      <c r="K6086" s="27" t="s">
        <v>37</v>
      </c>
      <c r="L6086" s="27"/>
    </row>
    <row r="6087" customFormat="false" ht="15" hidden="false" customHeight="false" outlineLevel="0" collapsed="false">
      <c r="A6087" s="26" t="s">
        <v>17111</v>
      </c>
      <c r="B6087" s="27" t="s">
        <v>17112</v>
      </c>
      <c r="C6087" s="27" t="s">
        <v>144</v>
      </c>
      <c r="D6087" s="26"/>
      <c r="E6087" s="27"/>
      <c r="F6087" s="27"/>
      <c r="G6087" s="27" t="s">
        <v>11122</v>
      </c>
      <c r="H6087" s="27" t="s">
        <v>35</v>
      </c>
      <c r="I6087" s="27" t="s">
        <v>38</v>
      </c>
      <c r="J6087" s="28" t="s">
        <v>399</v>
      </c>
      <c r="K6087" s="27" t="s">
        <v>37</v>
      </c>
      <c r="L6087" s="27"/>
    </row>
    <row r="6088" customFormat="false" ht="15" hidden="false" customHeight="false" outlineLevel="0" collapsed="false">
      <c r="A6088" s="26" t="s">
        <v>17113</v>
      </c>
      <c r="B6088" s="27" t="s">
        <v>17114</v>
      </c>
      <c r="C6088" s="27" t="s">
        <v>144</v>
      </c>
      <c r="D6088" s="26"/>
      <c r="E6088" s="27"/>
      <c r="F6088" s="27"/>
      <c r="G6088" s="27" t="s">
        <v>11122</v>
      </c>
      <c r="H6088" s="27" t="s">
        <v>35</v>
      </c>
      <c r="I6088" s="27" t="s">
        <v>38</v>
      </c>
      <c r="J6088" s="28" t="s">
        <v>399</v>
      </c>
      <c r="K6088" s="27" t="s">
        <v>37</v>
      </c>
      <c r="L6088" s="27"/>
    </row>
    <row r="6089" customFormat="false" ht="15" hidden="false" customHeight="false" outlineLevel="0" collapsed="false">
      <c r="A6089" s="26" t="s">
        <v>17115</v>
      </c>
      <c r="B6089" s="27" t="s">
        <v>17116</v>
      </c>
      <c r="C6089" s="27" t="s">
        <v>144</v>
      </c>
      <c r="D6089" s="26"/>
      <c r="E6089" s="27"/>
      <c r="F6089" s="27"/>
      <c r="G6089" s="27" t="s">
        <v>11122</v>
      </c>
      <c r="H6089" s="27" t="s">
        <v>35</v>
      </c>
      <c r="I6089" s="27" t="s">
        <v>38</v>
      </c>
      <c r="J6089" s="28" t="s">
        <v>399</v>
      </c>
      <c r="K6089" s="27" t="s">
        <v>37</v>
      </c>
      <c r="L6089" s="27"/>
    </row>
    <row r="6090" customFormat="false" ht="15" hidden="false" customHeight="false" outlineLevel="0" collapsed="false">
      <c r="A6090" s="26" t="s">
        <v>17117</v>
      </c>
      <c r="B6090" s="27" t="s">
        <v>17118</v>
      </c>
      <c r="C6090" s="27" t="s">
        <v>144</v>
      </c>
      <c r="D6090" s="26"/>
      <c r="E6090" s="27"/>
      <c r="F6090" s="27"/>
      <c r="G6090" s="27" t="s">
        <v>11122</v>
      </c>
      <c r="H6090" s="27" t="s">
        <v>35</v>
      </c>
      <c r="I6090" s="27" t="s">
        <v>42</v>
      </c>
      <c r="J6090" s="28" t="s">
        <v>399</v>
      </c>
      <c r="K6090" s="27" t="s">
        <v>37</v>
      </c>
      <c r="L6090" s="27"/>
    </row>
    <row r="6091" customFormat="false" ht="15" hidden="false" customHeight="false" outlineLevel="0" collapsed="false">
      <c r="A6091" s="26" t="s">
        <v>17119</v>
      </c>
      <c r="B6091" s="27" t="s">
        <v>17120</v>
      </c>
      <c r="C6091" s="27" t="s">
        <v>144</v>
      </c>
      <c r="D6091" s="26"/>
      <c r="E6091" s="27"/>
      <c r="F6091" s="27"/>
      <c r="G6091" s="27" t="s">
        <v>11122</v>
      </c>
      <c r="H6091" s="27" t="s">
        <v>35</v>
      </c>
      <c r="I6091" s="27" t="s">
        <v>38</v>
      </c>
      <c r="J6091" s="28" t="s">
        <v>399</v>
      </c>
      <c r="K6091" s="27" t="s">
        <v>37</v>
      </c>
      <c r="L6091" s="27"/>
    </row>
    <row r="6092" customFormat="false" ht="15" hidden="false" customHeight="false" outlineLevel="0" collapsed="false">
      <c r="A6092" s="26" t="s">
        <v>17121</v>
      </c>
      <c r="B6092" s="27" t="s">
        <v>17122</v>
      </c>
      <c r="C6092" s="27" t="s">
        <v>144</v>
      </c>
      <c r="D6092" s="26"/>
      <c r="E6092" s="27"/>
      <c r="F6092" s="27"/>
      <c r="G6092" s="27" t="s">
        <v>11122</v>
      </c>
      <c r="H6092" s="27" t="s">
        <v>35</v>
      </c>
      <c r="I6092" s="27" t="s">
        <v>37</v>
      </c>
      <c r="J6092" s="28" t="s">
        <v>399</v>
      </c>
      <c r="K6092" s="27" t="s">
        <v>37</v>
      </c>
      <c r="L6092" s="27"/>
    </row>
    <row r="6093" customFormat="false" ht="15" hidden="false" customHeight="false" outlineLevel="0" collapsed="false">
      <c r="A6093" s="26" t="s">
        <v>17123</v>
      </c>
      <c r="B6093" s="27" t="s">
        <v>17124</v>
      </c>
      <c r="C6093" s="27" t="s">
        <v>144</v>
      </c>
      <c r="D6093" s="26"/>
      <c r="E6093" s="27"/>
      <c r="F6093" s="27"/>
      <c r="G6093" s="27" t="s">
        <v>11122</v>
      </c>
      <c r="H6093" s="27" t="s">
        <v>35</v>
      </c>
      <c r="I6093" s="27" t="s">
        <v>38</v>
      </c>
      <c r="J6093" s="28" t="s">
        <v>399</v>
      </c>
      <c r="K6093" s="27" t="s">
        <v>37</v>
      </c>
      <c r="L6093" s="27"/>
    </row>
    <row r="6094" customFormat="false" ht="15" hidden="false" customHeight="false" outlineLevel="0" collapsed="false">
      <c r="A6094" s="26" t="s">
        <v>17125</v>
      </c>
      <c r="B6094" s="27" t="s">
        <v>17126</v>
      </c>
      <c r="C6094" s="27" t="s">
        <v>137</v>
      </c>
      <c r="D6094" s="26"/>
      <c r="E6094" s="27"/>
      <c r="F6094" s="27"/>
      <c r="G6094" s="27" t="s">
        <v>11122</v>
      </c>
      <c r="H6094" s="27" t="s">
        <v>35</v>
      </c>
      <c r="I6094" s="27" t="s">
        <v>45</v>
      </c>
      <c r="J6094" s="28" t="s">
        <v>399</v>
      </c>
      <c r="K6094" s="27" t="s">
        <v>37</v>
      </c>
      <c r="L6094" s="27"/>
    </row>
    <row r="6095" customFormat="false" ht="15" hidden="false" customHeight="false" outlineLevel="0" collapsed="false">
      <c r="A6095" s="26" t="s">
        <v>17127</v>
      </c>
      <c r="B6095" s="27" t="s">
        <v>17128</v>
      </c>
      <c r="C6095" s="27" t="s">
        <v>144</v>
      </c>
      <c r="D6095" s="26"/>
      <c r="E6095" s="27"/>
      <c r="F6095" s="27"/>
      <c r="G6095" s="27" t="s">
        <v>11122</v>
      </c>
      <c r="H6095" s="27" t="s">
        <v>35</v>
      </c>
      <c r="I6095" s="27" t="s">
        <v>45</v>
      </c>
      <c r="J6095" s="28" t="s">
        <v>399</v>
      </c>
      <c r="K6095" s="27" t="s">
        <v>37</v>
      </c>
      <c r="L6095" s="27"/>
    </row>
    <row r="6096" customFormat="false" ht="15" hidden="false" customHeight="false" outlineLevel="0" collapsed="false">
      <c r="A6096" s="26" t="s">
        <v>17129</v>
      </c>
      <c r="B6096" s="27" t="s">
        <v>17130</v>
      </c>
      <c r="C6096" s="27" t="s">
        <v>1087</v>
      </c>
      <c r="D6096" s="26"/>
      <c r="E6096" s="27"/>
      <c r="F6096" s="27"/>
      <c r="G6096" s="27" t="s">
        <v>11122</v>
      </c>
      <c r="H6096" s="27" t="s">
        <v>35</v>
      </c>
      <c r="I6096" s="27" t="s">
        <v>44</v>
      </c>
      <c r="J6096" s="28" t="s">
        <v>399</v>
      </c>
      <c r="K6096" s="27" t="s">
        <v>37</v>
      </c>
      <c r="L6096" s="27"/>
    </row>
    <row r="6097" customFormat="false" ht="15" hidden="false" customHeight="false" outlineLevel="0" collapsed="false">
      <c r="A6097" s="26" t="s">
        <v>17131</v>
      </c>
      <c r="B6097" s="27" t="s">
        <v>17132</v>
      </c>
      <c r="C6097" s="27" t="s">
        <v>137</v>
      </c>
      <c r="D6097" s="26"/>
      <c r="E6097" s="27"/>
      <c r="F6097" s="27"/>
      <c r="G6097" s="27" t="s">
        <v>11122</v>
      </c>
      <c r="H6097" s="27" t="s">
        <v>35</v>
      </c>
      <c r="I6097" s="27" t="s">
        <v>42</v>
      </c>
      <c r="J6097" s="28" t="s">
        <v>399</v>
      </c>
      <c r="K6097" s="27" t="s">
        <v>37</v>
      </c>
      <c r="L6097" s="27"/>
    </row>
    <row r="6098" customFormat="false" ht="15" hidden="false" customHeight="false" outlineLevel="0" collapsed="false">
      <c r="A6098" s="26" t="s">
        <v>17133</v>
      </c>
      <c r="B6098" s="27" t="s">
        <v>17134</v>
      </c>
      <c r="C6098" s="27" t="s">
        <v>17135</v>
      </c>
      <c r="D6098" s="26"/>
      <c r="E6098" s="27"/>
      <c r="F6098" s="27"/>
      <c r="G6098" s="27" t="s">
        <v>11122</v>
      </c>
      <c r="H6098" s="27" t="s">
        <v>35</v>
      </c>
      <c r="I6098" s="27" t="s">
        <v>42</v>
      </c>
      <c r="J6098" s="28" t="s">
        <v>399</v>
      </c>
      <c r="K6098" s="27" t="s">
        <v>37</v>
      </c>
      <c r="L6098" s="27"/>
    </row>
    <row r="6099" customFormat="false" ht="15" hidden="false" customHeight="false" outlineLevel="0" collapsed="false">
      <c r="A6099" s="26" t="s">
        <v>17136</v>
      </c>
      <c r="B6099" s="27" t="s">
        <v>17137</v>
      </c>
      <c r="C6099" s="27" t="s">
        <v>17135</v>
      </c>
      <c r="D6099" s="26"/>
      <c r="E6099" s="27"/>
      <c r="F6099" s="27"/>
      <c r="G6099" s="27" t="s">
        <v>11122</v>
      </c>
      <c r="H6099" s="27" t="s">
        <v>35</v>
      </c>
      <c r="I6099" s="27" t="s">
        <v>41</v>
      </c>
      <c r="J6099" s="28" t="s">
        <v>399</v>
      </c>
      <c r="K6099" s="27" t="s">
        <v>37</v>
      </c>
      <c r="L6099" s="27"/>
    </row>
    <row r="6100" customFormat="false" ht="15" hidden="false" customHeight="false" outlineLevel="0" collapsed="false">
      <c r="A6100" s="26" t="s">
        <v>17138</v>
      </c>
      <c r="B6100" s="27" t="s">
        <v>17139</v>
      </c>
      <c r="C6100" s="27" t="s">
        <v>137</v>
      </c>
      <c r="D6100" s="26"/>
      <c r="E6100" s="27"/>
      <c r="F6100" s="27"/>
      <c r="G6100" s="27" t="s">
        <v>11122</v>
      </c>
      <c r="H6100" s="27" t="s">
        <v>35</v>
      </c>
      <c r="I6100" s="28" t="s">
        <v>50</v>
      </c>
      <c r="J6100" s="28" t="s">
        <v>399</v>
      </c>
      <c r="K6100" s="27" t="s">
        <v>37</v>
      </c>
      <c r="L6100" s="27"/>
    </row>
    <row r="6101" customFormat="false" ht="15" hidden="false" customHeight="false" outlineLevel="0" collapsed="false">
      <c r="A6101" s="26" t="s">
        <v>17140</v>
      </c>
      <c r="B6101" s="27" t="s">
        <v>17141</v>
      </c>
      <c r="C6101" s="27" t="s">
        <v>144</v>
      </c>
      <c r="D6101" s="26"/>
      <c r="E6101" s="27"/>
      <c r="F6101" s="27"/>
      <c r="G6101" s="27" t="s">
        <v>11122</v>
      </c>
      <c r="H6101" s="27" t="s">
        <v>35</v>
      </c>
      <c r="I6101" s="27" t="s">
        <v>42</v>
      </c>
      <c r="J6101" s="28" t="s">
        <v>399</v>
      </c>
      <c r="K6101" s="27" t="s">
        <v>37</v>
      </c>
      <c r="L6101" s="27"/>
    </row>
    <row r="6102" customFormat="false" ht="15" hidden="false" customHeight="false" outlineLevel="0" collapsed="false">
      <c r="A6102" s="26" t="s">
        <v>17142</v>
      </c>
      <c r="B6102" s="27" t="s">
        <v>17143</v>
      </c>
      <c r="C6102" s="27" t="s">
        <v>144</v>
      </c>
      <c r="D6102" s="26"/>
      <c r="E6102" s="27"/>
      <c r="F6102" s="27"/>
      <c r="G6102" s="27" t="s">
        <v>11122</v>
      </c>
      <c r="H6102" s="27" t="s">
        <v>35</v>
      </c>
      <c r="I6102" s="27" t="s">
        <v>41</v>
      </c>
      <c r="J6102" s="28" t="s">
        <v>399</v>
      </c>
      <c r="K6102" s="27" t="s">
        <v>37</v>
      </c>
      <c r="L6102" s="27"/>
    </row>
    <row r="6103" customFormat="false" ht="15" hidden="false" customHeight="false" outlineLevel="0" collapsed="false">
      <c r="A6103" s="26" t="s">
        <v>17144</v>
      </c>
      <c r="B6103" s="27" t="s">
        <v>17145</v>
      </c>
      <c r="C6103" s="27" t="s">
        <v>144</v>
      </c>
      <c r="D6103" s="26"/>
      <c r="E6103" s="27"/>
      <c r="F6103" s="27"/>
      <c r="G6103" s="27" t="s">
        <v>11122</v>
      </c>
      <c r="H6103" s="27" t="s">
        <v>35</v>
      </c>
      <c r="I6103" s="27" t="s">
        <v>41</v>
      </c>
      <c r="J6103" s="28" t="s">
        <v>399</v>
      </c>
      <c r="K6103" s="27" t="s">
        <v>37</v>
      </c>
      <c r="L6103" s="27"/>
    </row>
    <row r="6104" customFormat="false" ht="15" hidden="false" customHeight="false" outlineLevel="0" collapsed="false">
      <c r="A6104" s="26" t="s">
        <v>17146</v>
      </c>
      <c r="B6104" s="27" t="s">
        <v>17147</v>
      </c>
      <c r="C6104" s="27" t="s">
        <v>144</v>
      </c>
      <c r="D6104" s="26"/>
      <c r="E6104" s="27"/>
      <c r="F6104" s="27"/>
      <c r="G6104" s="27" t="s">
        <v>11122</v>
      </c>
      <c r="H6104" s="27" t="s">
        <v>35</v>
      </c>
      <c r="I6104" s="27" t="s">
        <v>42</v>
      </c>
      <c r="J6104" s="28" t="s">
        <v>399</v>
      </c>
      <c r="K6104" s="27" t="s">
        <v>37</v>
      </c>
      <c r="L6104" s="27"/>
    </row>
    <row r="6105" customFormat="false" ht="15" hidden="false" customHeight="false" outlineLevel="0" collapsed="false">
      <c r="A6105" s="26" t="s">
        <v>17148</v>
      </c>
      <c r="B6105" s="27" t="s">
        <v>17149</v>
      </c>
      <c r="C6105" s="27" t="s">
        <v>100</v>
      </c>
      <c r="D6105" s="26"/>
      <c r="E6105" s="27"/>
      <c r="F6105" s="27"/>
      <c r="G6105" s="27" t="s">
        <v>11122</v>
      </c>
      <c r="H6105" s="27" t="s">
        <v>35</v>
      </c>
      <c r="I6105" s="28" t="s">
        <v>50</v>
      </c>
      <c r="J6105" s="28" t="s">
        <v>399</v>
      </c>
      <c r="K6105" s="27" t="s">
        <v>37</v>
      </c>
      <c r="L6105" s="27"/>
    </row>
    <row r="6106" customFormat="false" ht="15" hidden="false" customHeight="false" outlineLevel="0" collapsed="false">
      <c r="A6106" s="26" t="s">
        <v>17150</v>
      </c>
      <c r="B6106" s="27" t="s">
        <v>17151</v>
      </c>
      <c r="C6106" s="27" t="s">
        <v>100</v>
      </c>
      <c r="D6106" s="26"/>
      <c r="E6106" s="27"/>
      <c r="F6106" s="27"/>
      <c r="G6106" s="27" t="s">
        <v>11122</v>
      </c>
      <c r="H6106" s="27" t="s">
        <v>35</v>
      </c>
      <c r="I6106" s="27" t="s">
        <v>44</v>
      </c>
      <c r="J6106" s="28" t="s">
        <v>399</v>
      </c>
      <c r="K6106" s="27" t="s">
        <v>37</v>
      </c>
      <c r="L6106" s="27"/>
    </row>
    <row r="6107" customFormat="false" ht="15" hidden="false" customHeight="false" outlineLevel="0" collapsed="false">
      <c r="A6107" s="26" t="s">
        <v>17152</v>
      </c>
      <c r="B6107" s="27" t="s">
        <v>17153</v>
      </c>
      <c r="C6107" s="27" t="s">
        <v>100</v>
      </c>
      <c r="D6107" s="26"/>
      <c r="E6107" s="27"/>
      <c r="F6107" s="27"/>
      <c r="G6107" s="27" t="s">
        <v>11122</v>
      </c>
      <c r="H6107" s="27" t="s">
        <v>35</v>
      </c>
      <c r="I6107" s="28" t="s">
        <v>50</v>
      </c>
      <c r="J6107" s="28" t="s">
        <v>399</v>
      </c>
      <c r="K6107" s="27" t="s">
        <v>37</v>
      </c>
      <c r="L6107" s="27"/>
    </row>
    <row r="6108" customFormat="false" ht="15" hidden="false" customHeight="false" outlineLevel="0" collapsed="false">
      <c r="A6108" s="26" t="s">
        <v>17154</v>
      </c>
      <c r="B6108" s="27" t="s">
        <v>17155</v>
      </c>
      <c r="C6108" s="27" t="s">
        <v>144</v>
      </c>
      <c r="D6108" s="26"/>
      <c r="E6108" s="27"/>
      <c r="F6108" s="27"/>
      <c r="G6108" s="27" t="s">
        <v>11122</v>
      </c>
      <c r="H6108" s="27" t="s">
        <v>35</v>
      </c>
      <c r="I6108" s="28" t="s">
        <v>50</v>
      </c>
      <c r="J6108" s="28" t="s">
        <v>399</v>
      </c>
      <c r="K6108" s="27" t="s">
        <v>37</v>
      </c>
      <c r="L6108" s="27"/>
    </row>
    <row r="6109" customFormat="false" ht="15" hidden="false" customHeight="false" outlineLevel="0" collapsed="false">
      <c r="A6109" s="26" t="s">
        <v>17156</v>
      </c>
      <c r="B6109" s="27" t="s">
        <v>17157</v>
      </c>
      <c r="C6109" s="27" t="s">
        <v>144</v>
      </c>
      <c r="D6109" s="26"/>
      <c r="E6109" s="27"/>
      <c r="F6109" s="27"/>
      <c r="G6109" s="27" t="s">
        <v>11122</v>
      </c>
      <c r="H6109" s="27" t="s">
        <v>35</v>
      </c>
      <c r="I6109" s="27" t="s">
        <v>41</v>
      </c>
      <c r="J6109" s="28" t="s">
        <v>399</v>
      </c>
      <c r="K6109" s="27" t="s">
        <v>37</v>
      </c>
      <c r="L6109" s="27"/>
    </row>
    <row r="6110" customFormat="false" ht="15" hidden="false" customHeight="false" outlineLevel="0" collapsed="false">
      <c r="A6110" s="26" t="s">
        <v>17158</v>
      </c>
      <c r="B6110" s="27" t="s">
        <v>17159</v>
      </c>
      <c r="C6110" s="27" t="s">
        <v>144</v>
      </c>
      <c r="D6110" s="26"/>
      <c r="E6110" s="27"/>
      <c r="F6110" s="27"/>
      <c r="G6110" s="27" t="s">
        <v>11122</v>
      </c>
      <c r="H6110" s="27" t="s">
        <v>35</v>
      </c>
      <c r="I6110" s="27" t="s">
        <v>43</v>
      </c>
      <c r="J6110" s="28" t="s">
        <v>399</v>
      </c>
      <c r="K6110" s="27" t="s">
        <v>37</v>
      </c>
      <c r="L6110" s="27"/>
    </row>
    <row r="6111" customFormat="false" ht="15" hidden="false" customHeight="false" outlineLevel="0" collapsed="false">
      <c r="A6111" s="26" t="s">
        <v>17160</v>
      </c>
      <c r="B6111" s="27" t="s">
        <v>17161</v>
      </c>
      <c r="C6111" s="27" t="s">
        <v>144</v>
      </c>
      <c r="D6111" s="26"/>
      <c r="E6111" s="27"/>
      <c r="F6111" s="27"/>
      <c r="G6111" s="27" t="s">
        <v>11122</v>
      </c>
      <c r="H6111" s="27" t="s">
        <v>35</v>
      </c>
      <c r="I6111" s="27" t="s">
        <v>41</v>
      </c>
      <c r="J6111" s="28" t="s">
        <v>399</v>
      </c>
      <c r="K6111" s="27" t="s">
        <v>37</v>
      </c>
      <c r="L6111" s="27"/>
    </row>
    <row r="6112" customFormat="false" ht="15" hidden="false" customHeight="false" outlineLevel="0" collapsed="false">
      <c r="A6112" s="26" t="s">
        <v>17162</v>
      </c>
      <c r="B6112" s="27" t="s">
        <v>17163</v>
      </c>
      <c r="C6112" s="27" t="s">
        <v>144</v>
      </c>
      <c r="D6112" s="26"/>
      <c r="E6112" s="27"/>
      <c r="F6112" s="27"/>
      <c r="G6112" s="27" t="s">
        <v>11122</v>
      </c>
      <c r="H6112" s="27" t="s">
        <v>35</v>
      </c>
      <c r="I6112" s="27" t="s">
        <v>37</v>
      </c>
      <c r="J6112" s="28" t="s">
        <v>399</v>
      </c>
      <c r="K6112" s="27" t="s">
        <v>37</v>
      </c>
      <c r="L6112" s="27"/>
    </row>
    <row r="6113" customFormat="false" ht="15" hidden="false" customHeight="false" outlineLevel="0" collapsed="false">
      <c r="A6113" s="26" t="s">
        <v>17164</v>
      </c>
      <c r="B6113" s="27" t="s">
        <v>17165</v>
      </c>
      <c r="C6113" s="27" t="s">
        <v>144</v>
      </c>
      <c r="D6113" s="26"/>
      <c r="E6113" s="27"/>
      <c r="F6113" s="27"/>
      <c r="G6113" s="27" t="s">
        <v>11122</v>
      </c>
      <c r="H6113" s="27" t="s">
        <v>35</v>
      </c>
      <c r="I6113" s="27" t="s">
        <v>41</v>
      </c>
      <c r="J6113" s="28" t="s">
        <v>399</v>
      </c>
      <c r="K6113" s="27" t="s">
        <v>37</v>
      </c>
      <c r="L6113" s="27"/>
    </row>
    <row r="6114" customFormat="false" ht="15" hidden="false" customHeight="false" outlineLevel="0" collapsed="false">
      <c r="A6114" s="26" t="s">
        <v>17166</v>
      </c>
      <c r="B6114" s="27" t="s">
        <v>17167</v>
      </c>
      <c r="C6114" s="27" t="s">
        <v>144</v>
      </c>
      <c r="D6114" s="26"/>
      <c r="E6114" s="27"/>
      <c r="F6114" s="27"/>
      <c r="G6114" s="27" t="s">
        <v>11122</v>
      </c>
      <c r="H6114" s="27" t="s">
        <v>35</v>
      </c>
      <c r="I6114" s="27" t="s">
        <v>41</v>
      </c>
      <c r="J6114" s="28" t="s">
        <v>399</v>
      </c>
      <c r="K6114" s="27" t="s">
        <v>37</v>
      </c>
      <c r="L6114" s="27"/>
    </row>
    <row r="6115" customFormat="false" ht="15" hidden="false" customHeight="false" outlineLevel="0" collapsed="false">
      <c r="A6115" s="26" t="s">
        <v>17168</v>
      </c>
      <c r="B6115" s="27" t="s">
        <v>17169</v>
      </c>
      <c r="C6115" s="27" t="s">
        <v>100</v>
      </c>
      <c r="D6115" s="26"/>
      <c r="E6115" s="27"/>
      <c r="F6115" s="27"/>
      <c r="G6115" s="27" t="s">
        <v>11122</v>
      </c>
      <c r="H6115" s="27" t="s">
        <v>35</v>
      </c>
      <c r="I6115" s="27" t="s">
        <v>44</v>
      </c>
      <c r="J6115" s="28" t="s">
        <v>399</v>
      </c>
      <c r="K6115" s="27" t="s">
        <v>37</v>
      </c>
      <c r="L6115" s="27"/>
    </row>
    <row r="6116" customFormat="false" ht="15" hidden="false" customHeight="false" outlineLevel="0" collapsed="false">
      <c r="A6116" s="26" t="s">
        <v>17170</v>
      </c>
      <c r="B6116" s="28" t="s">
        <v>17171</v>
      </c>
      <c r="C6116" s="27" t="s">
        <v>144</v>
      </c>
      <c r="D6116" s="26"/>
      <c r="E6116" s="27"/>
      <c r="F6116" s="27"/>
      <c r="G6116" s="27" t="s">
        <v>11122</v>
      </c>
      <c r="H6116" s="27" t="s">
        <v>35</v>
      </c>
      <c r="I6116" s="27" t="s">
        <v>41</v>
      </c>
      <c r="J6116" s="28" t="s">
        <v>399</v>
      </c>
      <c r="K6116" s="27" t="s">
        <v>37</v>
      </c>
      <c r="L6116" s="27"/>
    </row>
    <row r="6117" customFormat="false" ht="15" hidden="false" customHeight="false" outlineLevel="0" collapsed="false">
      <c r="A6117" s="26" t="s">
        <v>17172</v>
      </c>
      <c r="B6117" s="28" t="s">
        <v>17173</v>
      </c>
      <c r="C6117" s="27" t="s">
        <v>144</v>
      </c>
      <c r="D6117" s="26"/>
      <c r="E6117" s="27"/>
      <c r="F6117" s="27"/>
      <c r="G6117" s="27" t="s">
        <v>11122</v>
      </c>
      <c r="H6117" s="27" t="s">
        <v>35</v>
      </c>
      <c r="I6117" s="27" t="s">
        <v>41</v>
      </c>
      <c r="J6117" s="28" t="s">
        <v>399</v>
      </c>
      <c r="K6117" s="27" t="s">
        <v>37</v>
      </c>
      <c r="L6117" s="27"/>
    </row>
    <row r="6118" customFormat="false" ht="15" hidden="false" customHeight="false" outlineLevel="0" collapsed="false">
      <c r="A6118" s="26" t="s">
        <v>17174</v>
      </c>
      <c r="B6118" s="27" t="s">
        <v>17175</v>
      </c>
      <c r="C6118" s="27" t="s">
        <v>137</v>
      </c>
      <c r="D6118" s="26"/>
      <c r="E6118" s="27"/>
      <c r="F6118" s="27"/>
      <c r="G6118" s="27" t="s">
        <v>11122</v>
      </c>
      <c r="H6118" s="27" t="s">
        <v>35</v>
      </c>
      <c r="I6118" s="27" t="s">
        <v>37</v>
      </c>
      <c r="J6118" s="28" t="s">
        <v>399</v>
      </c>
      <c r="K6118" s="27" t="s">
        <v>37</v>
      </c>
      <c r="L6118" s="27"/>
    </row>
    <row r="6119" customFormat="false" ht="15" hidden="false" customHeight="false" outlineLevel="0" collapsed="false">
      <c r="A6119" s="26" t="s">
        <v>17176</v>
      </c>
      <c r="B6119" s="27" t="s">
        <v>17177</v>
      </c>
      <c r="C6119" s="27" t="s">
        <v>137</v>
      </c>
      <c r="D6119" s="26"/>
      <c r="E6119" s="27"/>
      <c r="F6119" s="27"/>
      <c r="G6119" s="27" t="s">
        <v>11122</v>
      </c>
      <c r="H6119" s="27" t="s">
        <v>35</v>
      </c>
      <c r="I6119" s="27" t="s">
        <v>37</v>
      </c>
      <c r="J6119" s="28" t="s">
        <v>399</v>
      </c>
      <c r="K6119" s="27" t="s">
        <v>37</v>
      </c>
      <c r="L6119" s="27"/>
    </row>
    <row r="6120" customFormat="false" ht="15" hidden="false" customHeight="false" outlineLevel="0" collapsed="false">
      <c r="A6120" s="26" t="s">
        <v>17178</v>
      </c>
      <c r="B6120" s="28" t="s">
        <v>17179</v>
      </c>
      <c r="C6120" s="27" t="s">
        <v>144</v>
      </c>
      <c r="D6120" s="26"/>
      <c r="E6120" s="27"/>
      <c r="F6120" s="27"/>
      <c r="G6120" s="27" t="s">
        <v>11122</v>
      </c>
      <c r="H6120" s="27" t="s">
        <v>35</v>
      </c>
      <c r="I6120" s="27" t="s">
        <v>47</v>
      </c>
      <c r="J6120" s="28" t="s">
        <v>399</v>
      </c>
      <c r="K6120" s="27" t="s">
        <v>37</v>
      </c>
      <c r="L6120" s="27"/>
    </row>
    <row r="6121" customFormat="false" ht="15" hidden="false" customHeight="false" outlineLevel="0" collapsed="false">
      <c r="A6121" s="26" t="s">
        <v>17180</v>
      </c>
      <c r="B6121" s="27" t="s">
        <v>17181</v>
      </c>
      <c r="C6121" s="27" t="s">
        <v>144</v>
      </c>
      <c r="D6121" s="26"/>
      <c r="E6121" s="27"/>
      <c r="F6121" s="27"/>
      <c r="G6121" s="27" t="s">
        <v>11122</v>
      </c>
      <c r="H6121" s="27" t="s">
        <v>35</v>
      </c>
      <c r="I6121" s="27" t="s">
        <v>37</v>
      </c>
      <c r="J6121" s="28" t="s">
        <v>399</v>
      </c>
      <c r="K6121" s="27" t="s">
        <v>37</v>
      </c>
      <c r="L6121" s="27"/>
    </row>
    <row r="6122" customFormat="false" ht="15" hidden="false" customHeight="false" outlineLevel="0" collapsed="false">
      <c r="A6122" s="26" t="s">
        <v>17182</v>
      </c>
      <c r="B6122" s="27" t="s">
        <v>17183</v>
      </c>
      <c r="C6122" s="27" t="s">
        <v>144</v>
      </c>
      <c r="D6122" s="26"/>
      <c r="E6122" s="27"/>
      <c r="F6122" s="27"/>
      <c r="G6122" s="27" t="s">
        <v>11122</v>
      </c>
      <c r="H6122" s="27" t="s">
        <v>35</v>
      </c>
      <c r="I6122" s="27" t="s">
        <v>41</v>
      </c>
      <c r="J6122" s="28" t="s">
        <v>399</v>
      </c>
      <c r="K6122" s="27" t="s">
        <v>37</v>
      </c>
      <c r="L6122" s="27"/>
    </row>
    <row r="6123" customFormat="false" ht="15" hidden="false" customHeight="false" outlineLevel="0" collapsed="false">
      <c r="A6123" s="26" t="s">
        <v>17184</v>
      </c>
      <c r="B6123" s="27" t="s">
        <v>17185</v>
      </c>
      <c r="C6123" s="27" t="s">
        <v>144</v>
      </c>
      <c r="D6123" s="26"/>
      <c r="E6123" s="27"/>
      <c r="F6123" s="27"/>
      <c r="G6123" s="27" t="s">
        <v>11122</v>
      </c>
      <c r="H6123" s="27" t="s">
        <v>35</v>
      </c>
      <c r="I6123" s="27" t="s">
        <v>41</v>
      </c>
      <c r="J6123" s="28" t="s">
        <v>399</v>
      </c>
      <c r="K6123" s="27" t="s">
        <v>37</v>
      </c>
      <c r="L6123" s="27"/>
    </row>
    <row r="6124" customFormat="false" ht="15" hidden="false" customHeight="false" outlineLevel="0" collapsed="false">
      <c r="A6124" s="26" t="s">
        <v>17186</v>
      </c>
      <c r="B6124" s="27" t="s">
        <v>17187</v>
      </c>
      <c r="C6124" s="27" t="s">
        <v>144</v>
      </c>
      <c r="D6124" s="26"/>
      <c r="E6124" s="27"/>
      <c r="F6124" s="27"/>
      <c r="G6124" s="27" t="s">
        <v>11122</v>
      </c>
      <c r="H6124" s="27" t="s">
        <v>35</v>
      </c>
      <c r="I6124" s="27" t="s">
        <v>37</v>
      </c>
      <c r="J6124" s="28" t="s">
        <v>399</v>
      </c>
      <c r="K6124" s="27" t="s">
        <v>37</v>
      </c>
      <c r="L6124" s="27"/>
    </row>
    <row r="6125" customFormat="false" ht="15" hidden="false" customHeight="false" outlineLevel="0" collapsed="false">
      <c r="A6125" s="26" t="s">
        <v>17188</v>
      </c>
      <c r="B6125" s="27" t="s">
        <v>17189</v>
      </c>
      <c r="C6125" s="27" t="s">
        <v>1087</v>
      </c>
      <c r="D6125" s="26"/>
      <c r="E6125" s="27"/>
      <c r="F6125" s="27"/>
      <c r="G6125" s="27" t="s">
        <v>11122</v>
      </c>
      <c r="H6125" s="27" t="s">
        <v>35</v>
      </c>
      <c r="I6125" s="27" t="s">
        <v>42</v>
      </c>
      <c r="J6125" s="28" t="s">
        <v>399</v>
      </c>
      <c r="K6125" s="27" t="s">
        <v>37</v>
      </c>
      <c r="L6125" s="27"/>
    </row>
    <row r="6126" customFormat="false" ht="15" hidden="false" customHeight="false" outlineLevel="0" collapsed="false">
      <c r="A6126" s="26" t="s">
        <v>17190</v>
      </c>
      <c r="B6126" s="27" t="s">
        <v>17191</v>
      </c>
      <c r="C6126" s="27" t="s">
        <v>144</v>
      </c>
      <c r="D6126" s="26"/>
      <c r="E6126" s="27"/>
      <c r="F6126" s="27"/>
      <c r="G6126" s="27" t="s">
        <v>11122</v>
      </c>
      <c r="H6126" s="27" t="s">
        <v>35</v>
      </c>
      <c r="I6126" s="27" t="s">
        <v>41</v>
      </c>
      <c r="J6126" s="28" t="s">
        <v>399</v>
      </c>
      <c r="K6126" s="27" t="s">
        <v>37</v>
      </c>
      <c r="L6126" s="27"/>
    </row>
    <row r="6127" customFormat="false" ht="15" hidden="false" customHeight="false" outlineLevel="0" collapsed="false">
      <c r="A6127" s="26" t="s">
        <v>17192</v>
      </c>
      <c r="B6127" s="27" t="s">
        <v>17193</v>
      </c>
      <c r="C6127" s="27" t="s">
        <v>137</v>
      </c>
      <c r="D6127" s="26"/>
      <c r="E6127" s="27"/>
      <c r="F6127" s="27"/>
      <c r="G6127" s="27" t="s">
        <v>11122</v>
      </c>
      <c r="H6127" s="27" t="s">
        <v>35</v>
      </c>
      <c r="I6127" s="27" t="s">
        <v>37</v>
      </c>
      <c r="J6127" s="28" t="s">
        <v>399</v>
      </c>
      <c r="K6127" s="27" t="s">
        <v>37</v>
      </c>
      <c r="L6127" s="27"/>
    </row>
    <row r="6128" customFormat="false" ht="15" hidden="false" customHeight="false" outlineLevel="0" collapsed="false">
      <c r="A6128" s="26" t="s">
        <v>17194</v>
      </c>
      <c r="B6128" s="27" t="s">
        <v>17195</v>
      </c>
      <c r="C6128" s="27" t="s">
        <v>137</v>
      </c>
      <c r="D6128" s="26"/>
      <c r="E6128" s="27"/>
      <c r="F6128" s="27"/>
      <c r="G6128" s="27" t="s">
        <v>11122</v>
      </c>
      <c r="H6128" s="27" t="s">
        <v>35</v>
      </c>
      <c r="I6128" s="27" t="s">
        <v>41</v>
      </c>
      <c r="J6128" s="28" t="s">
        <v>399</v>
      </c>
      <c r="K6128" s="27" t="s">
        <v>37</v>
      </c>
      <c r="L6128" s="27"/>
    </row>
    <row r="6129" customFormat="false" ht="15" hidden="false" customHeight="false" outlineLevel="0" collapsed="false">
      <c r="A6129" s="26" t="s">
        <v>17196</v>
      </c>
      <c r="B6129" s="27" t="s">
        <v>17197</v>
      </c>
      <c r="C6129" s="27" t="s">
        <v>144</v>
      </c>
      <c r="D6129" s="26"/>
      <c r="E6129" s="27"/>
      <c r="F6129" s="27"/>
      <c r="G6129" s="27" t="s">
        <v>11122</v>
      </c>
      <c r="H6129" s="27" t="s">
        <v>35</v>
      </c>
      <c r="I6129" s="27" t="s">
        <v>37</v>
      </c>
      <c r="J6129" s="28" t="s">
        <v>399</v>
      </c>
      <c r="K6129" s="27" t="s">
        <v>37</v>
      </c>
      <c r="L6129" s="27"/>
    </row>
    <row r="6130" customFormat="false" ht="15" hidden="false" customHeight="false" outlineLevel="0" collapsed="false">
      <c r="A6130" s="26" t="s">
        <v>17198</v>
      </c>
      <c r="B6130" s="27" t="s">
        <v>17199</v>
      </c>
      <c r="C6130" s="27" t="s">
        <v>137</v>
      </c>
      <c r="D6130" s="26"/>
      <c r="E6130" s="27"/>
      <c r="F6130" s="27"/>
      <c r="G6130" s="27" t="s">
        <v>11122</v>
      </c>
      <c r="H6130" s="27" t="s">
        <v>35</v>
      </c>
      <c r="I6130" s="27" t="s">
        <v>42</v>
      </c>
      <c r="J6130" s="28" t="s">
        <v>399</v>
      </c>
      <c r="K6130" s="27" t="s">
        <v>37</v>
      </c>
      <c r="L6130" s="27"/>
    </row>
    <row r="6131" customFormat="false" ht="15" hidden="false" customHeight="false" outlineLevel="0" collapsed="false">
      <c r="A6131" s="26" t="s">
        <v>17200</v>
      </c>
      <c r="B6131" s="27" t="s">
        <v>17201</v>
      </c>
      <c r="C6131" s="27" t="s">
        <v>137</v>
      </c>
      <c r="D6131" s="26"/>
      <c r="E6131" s="27"/>
      <c r="F6131" s="27"/>
      <c r="G6131" s="27" t="s">
        <v>11122</v>
      </c>
      <c r="H6131" s="27" t="s">
        <v>35</v>
      </c>
      <c r="I6131" s="27" t="s">
        <v>41</v>
      </c>
      <c r="J6131" s="28" t="s">
        <v>399</v>
      </c>
      <c r="K6131" s="27" t="s">
        <v>37</v>
      </c>
      <c r="L6131" s="27"/>
    </row>
    <row r="6132" customFormat="false" ht="15" hidden="false" customHeight="false" outlineLevel="0" collapsed="false">
      <c r="A6132" s="26" t="s">
        <v>17202</v>
      </c>
      <c r="B6132" s="27" t="s">
        <v>17203</v>
      </c>
      <c r="C6132" s="27" t="s">
        <v>137</v>
      </c>
      <c r="D6132" s="26"/>
      <c r="E6132" s="27"/>
      <c r="F6132" s="27"/>
      <c r="G6132" s="27" t="s">
        <v>11122</v>
      </c>
      <c r="H6132" s="27" t="s">
        <v>35</v>
      </c>
      <c r="I6132" s="27" t="s">
        <v>44</v>
      </c>
      <c r="J6132" s="28" t="s">
        <v>399</v>
      </c>
      <c r="K6132" s="27" t="s">
        <v>37</v>
      </c>
      <c r="L6132" s="27"/>
    </row>
    <row r="6133" customFormat="false" ht="15" hidden="false" customHeight="false" outlineLevel="0" collapsed="false">
      <c r="A6133" s="26" t="s">
        <v>17204</v>
      </c>
      <c r="B6133" s="27" t="s">
        <v>17205</v>
      </c>
      <c r="C6133" s="27" t="s">
        <v>137</v>
      </c>
      <c r="D6133" s="26"/>
      <c r="E6133" s="27"/>
      <c r="F6133" s="27"/>
      <c r="G6133" s="27" t="s">
        <v>11122</v>
      </c>
      <c r="H6133" s="27" t="s">
        <v>35</v>
      </c>
      <c r="I6133" s="27" t="s">
        <v>42</v>
      </c>
      <c r="J6133" s="28" t="s">
        <v>399</v>
      </c>
      <c r="K6133" s="27" t="s">
        <v>37</v>
      </c>
      <c r="L6133" s="27"/>
    </row>
    <row r="6134" customFormat="false" ht="15" hidden="false" customHeight="false" outlineLevel="0" collapsed="false">
      <c r="A6134" s="26" t="s">
        <v>17206</v>
      </c>
      <c r="B6134" s="27" t="s">
        <v>17207</v>
      </c>
      <c r="C6134" s="27" t="s">
        <v>144</v>
      </c>
      <c r="D6134" s="26"/>
      <c r="E6134" s="27"/>
      <c r="F6134" s="27"/>
      <c r="G6134" s="27" t="s">
        <v>11122</v>
      </c>
      <c r="H6134" s="27" t="s">
        <v>35</v>
      </c>
      <c r="I6134" s="27" t="s">
        <v>41</v>
      </c>
      <c r="J6134" s="28" t="s">
        <v>636</v>
      </c>
      <c r="K6134" s="27" t="s">
        <v>37</v>
      </c>
      <c r="L6134" s="27"/>
    </row>
    <row r="6135" customFormat="false" ht="15" hidden="false" customHeight="false" outlineLevel="0" collapsed="false">
      <c r="A6135" s="26" t="s">
        <v>17208</v>
      </c>
      <c r="B6135" s="27" t="s">
        <v>17209</v>
      </c>
      <c r="C6135" s="27" t="s">
        <v>144</v>
      </c>
      <c r="D6135" s="26"/>
      <c r="E6135" s="27"/>
      <c r="F6135" s="27"/>
      <c r="G6135" s="27" t="s">
        <v>11122</v>
      </c>
      <c r="H6135" s="27" t="s">
        <v>35</v>
      </c>
      <c r="I6135" s="27" t="s">
        <v>41</v>
      </c>
      <c r="J6135" s="28" t="s">
        <v>636</v>
      </c>
      <c r="K6135" s="27" t="s">
        <v>37</v>
      </c>
      <c r="L6135" s="27"/>
    </row>
    <row r="6136" customFormat="false" ht="15" hidden="false" customHeight="false" outlineLevel="0" collapsed="false">
      <c r="A6136" s="26" t="s">
        <v>17210</v>
      </c>
      <c r="B6136" s="27" t="s">
        <v>17211</v>
      </c>
      <c r="C6136" s="27" t="s">
        <v>144</v>
      </c>
      <c r="D6136" s="26"/>
      <c r="E6136" s="27"/>
      <c r="F6136" s="27"/>
      <c r="G6136" s="27" t="s">
        <v>11122</v>
      </c>
      <c r="H6136" s="27" t="s">
        <v>35</v>
      </c>
      <c r="I6136" s="27" t="s">
        <v>37</v>
      </c>
      <c r="J6136" s="28" t="s">
        <v>636</v>
      </c>
      <c r="K6136" s="27" t="s">
        <v>37</v>
      </c>
      <c r="L6136" s="27"/>
    </row>
    <row r="6137" customFormat="false" ht="15" hidden="false" customHeight="false" outlineLevel="0" collapsed="false">
      <c r="A6137" s="26" t="s">
        <v>17212</v>
      </c>
      <c r="B6137" s="27" t="s">
        <v>17213</v>
      </c>
      <c r="C6137" s="27" t="s">
        <v>144</v>
      </c>
      <c r="D6137" s="26"/>
      <c r="E6137" s="27"/>
      <c r="F6137" s="27"/>
      <c r="G6137" s="27" t="s">
        <v>11122</v>
      </c>
      <c r="H6137" s="27" t="s">
        <v>35</v>
      </c>
      <c r="I6137" s="27" t="s">
        <v>37</v>
      </c>
      <c r="J6137" s="28" t="s">
        <v>636</v>
      </c>
      <c r="K6137" s="27" t="s">
        <v>37</v>
      </c>
      <c r="L6137" s="27"/>
    </row>
    <row r="6138" customFormat="false" ht="15" hidden="false" customHeight="false" outlineLevel="0" collapsed="false">
      <c r="A6138" s="26" t="s">
        <v>17214</v>
      </c>
      <c r="B6138" s="27" t="s">
        <v>17215</v>
      </c>
      <c r="C6138" s="27" t="s">
        <v>144</v>
      </c>
      <c r="D6138" s="26"/>
      <c r="E6138" s="27"/>
      <c r="F6138" s="27"/>
      <c r="G6138" s="27" t="s">
        <v>11122</v>
      </c>
      <c r="H6138" s="27" t="s">
        <v>35</v>
      </c>
      <c r="I6138" s="27" t="s">
        <v>37</v>
      </c>
      <c r="J6138" s="28" t="s">
        <v>636</v>
      </c>
      <c r="K6138" s="27" t="s">
        <v>37</v>
      </c>
      <c r="L6138" s="27"/>
    </row>
    <row r="6139" customFormat="false" ht="15" hidden="false" customHeight="false" outlineLevel="0" collapsed="false">
      <c r="A6139" s="26" t="s">
        <v>17216</v>
      </c>
      <c r="B6139" s="27" t="s">
        <v>17217</v>
      </c>
      <c r="C6139" s="27" t="s">
        <v>144</v>
      </c>
      <c r="D6139" s="26"/>
      <c r="E6139" s="27"/>
      <c r="F6139" s="27"/>
      <c r="G6139" s="27" t="s">
        <v>11122</v>
      </c>
      <c r="H6139" s="27" t="s">
        <v>35</v>
      </c>
      <c r="I6139" s="27" t="s">
        <v>43</v>
      </c>
      <c r="J6139" s="28" t="s">
        <v>636</v>
      </c>
      <c r="K6139" s="27" t="s">
        <v>37</v>
      </c>
      <c r="L6139" s="27"/>
    </row>
    <row r="6140" customFormat="false" ht="15" hidden="false" customHeight="false" outlineLevel="0" collapsed="false">
      <c r="A6140" s="26" t="s">
        <v>17218</v>
      </c>
      <c r="B6140" s="27" t="s">
        <v>17219</v>
      </c>
      <c r="C6140" s="27" t="s">
        <v>144</v>
      </c>
      <c r="D6140" s="26"/>
      <c r="E6140" s="27"/>
      <c r="F6140" s="27"/>
      <c r="G6140" s="27" t="s">
        <v>11122</v>
      </c>
      <c r="H6140" s="27" t="s">
        <v>35</v>
      </c>
      <c r="I6140" s="27" t="s">
        <v>37</v>
      </c>
      <c r="J6140" s="28" t="s">
        <v>636</v>
      </c>
      <c r="K6140" s="27" t="s">
        <v>37</v>
      </c>
      <c r="L6140" s="27"/>
    </row>
    <row r="6141" customFormat="false" ht="15" hidden="false" customHeight="false" outlineLevel="0" collapsed="false">
      <c r="A6141" s="26" t="s">
        <v>17220</v>
      </c>
      <c r="B6141" s="27" t="s">
        <v>17221</v>
      </c>
      <c r="C6141" s="27" t="s">
        <v>144</v>
      </c>
      <c r="D6141" s="26"/>
      <c r="E6141" s="27"/>
      <c r="F6141" s="27"/>
      <c r="G6141" s="27" t="s">
        <v>11122</v>
      </c>
      <c r="H6141" s="27" t="s">
        <v>35</v>
      </c>
      <c r="I6141" s="27" t="s">
        <v>37</v>
      </c>
      <c r="J6141" s="28" t="s">
        <v>636</v>
      </c>
      <c r="K6141" s="27" t="s">
        <v>37</v>
      </c>
      <c r="L6141" s="27"/>
    </row>
    <row r="6142" customFormat="false" ht="15" hidden="false" customHeight="false" outlineLevel="0" collapsed="false">
      <c r="A6142" s="26" t="s">
        <v>17222</v>
      </c>
      <c r="B6142" s="27" t="s">
        <v>17223</v>
      </c>
      <c r="C6142" s="27" t="s">
        <v>144</v>
      </c>
      <c r="D6142" s="26"/>
      <c r="E6142" s="27"/>
      <c r="F6142" s="27"/>
      <c r="G6142" s="27" t="s">
        <v>11122</v>
      </c>
      <c r="H6142" s="27" t="s">
        <v>35</v>
      </c>
      <c r="I6142" s="27" t="s">
        <v>37</v>
      </c>
      <c r="J6142" s="28" t="s">
        <v>636</v>
      </c>
      <c r="K6142" s="27" t="s">
        <v>37</v>
      </c>
      <c r="L6142" s="27"/>
    </row>
    <row r="6143" customFormat="false" ht="15" hidden="false" customHeight="false" outlineLevel="0" collapsed="false">
      <c r="A6143" s="26" t="s">
        <v>17224</v>
      </c>
      <c r="B6143" s="27" t="s">
        <v>17225</v>
      </c>
      <c r="C6143" s="27" t="s">
        <v>144</v>
      </c>
      <c r="D6143" s="26"/>
      <c r="E6143" s="27"/>
      <c r="F6143" s="27"/>
      <c r="G6143" s="27" t="s">
        <v>11122</v>
      </c>
      <c r="H6143" s="27" t="s">
        <v>35</v>
      </c>
      <c r="I6143" s="27" t="s">
        <v>37</v>
      </c>
      <c r="J6143" s="28" t="s">
        <v>636</v>
      </c>
      <c r="K6143" s="27" t="s">
        <v>37</v>
      </c>
      <c r="L6143" s="27"/>
    </row>
    <row r="6144" customFormat="false" ht="15" hidden="false" customHeight="false" outlineLevel="0" collapsed="false">
      <c r="A6144" s="26" t="s">
        <v>17226</v>
      </c>
      <c r="B6144" s="27" t="s">
        <v>17227</v>
      </c>
      <c r="C6144" s="27" t="s">
        <v>144</v>
      </c>
      <c r="D6144" s="26"/>
      <c r="E6144" s="27"/>
      <c r="F6144" s="27"/>
      <c r="G6144" s="27" t="s">
        <v>11122</v>
      </c>
      <c r="H6144" s="27" t="s">
        <v>35</v>
      </c>
      <c r="I6144" s="27" t="s">
        <v>37</v>
      </c>
      <c r="J6144" s="28" t="s">
        <v>636</v>
      </c>
      <c r="K6144" s="27" t="s">
        <v>37</v>
      </c>
      <c r="L6144" s="27"/>
    </row>
    <row r="6145" customFormat="false" ht="15" hidden="false" customHeight="false" outlineLevel="0" collapsed="false">
      <c r="A6145" s="26" t="s">
        <v>17228</v>
      </c>
      <c r="B6145" s="27" t="s">
        <v>17229</v>
      </c>
      <c r="C6145" s="27" t="s">
        <v>144</v>
      </c>
      <c r="D6145" s="26"/>
      <c r="E6145" s="27"/>
      <c r="F6145" s="27"/>
      <c r="G6145" s="27" t="s">
        <v>11122</v>
      </c>
      <c r="H6145" s="27" t="s">
        <v>35</v>
      </c>
      <c r="I6145" s="27" t="s">
        <v>43</v>
      </c>
      <c r="J6145" s="28" t="s">
        <v>636</v>
      </c>
      <c r="K6145" s="27" t="s">
        <v>37</v>
      </c>
      <c r="L6145" s="27"/>
    </row>
    <row r="6146" customFormat="false" ht="15" hidden="false" customHeight="false" outlineLevel="0" collapsed="false">
      <c r="A6146" s="26" t="s">
        <v>17230</v>
      </c>
      <c r="B6146" s="27" t="s">
        <v>17231</v>
      </c>
      <c r="C6146" s="27" t="s">
        <v>144</v>
      </c>
      <c r="D6146" s="26"/>
      <c r="E6146" s="27"/>
      <c r="F6146" s="27"/>
      <c r="G6146" s="27" t="s">
        <v>11122</v>
      </c>
      <c r="H6146" s="27" t="s">
        <v>35</v>
      </c>
      <c r="I6146" s="27" t="s">
        <v>43</v>
      </c>
      <c r="J6146" s="28" t="s">
        <v>636</v>
      </c>
      <c r="K6146" s="27" t="s">
        <v>37</v>
      </c>
      <c r="L6146" s="27"/>
    </row>
    <row r="6147" customFormat="false" ht="15" hidden="false" customHeight="false" outlineLevel="0" collapsed="false">
      <c r="A6147" s="26" t="s">
        <v>17232</v>
      </c>
      <c r="B6147" s="27" t="s">
        <v>17233</v>
      </c>
      <c r="C6147" s="27" t="s">
        <v>144</v>
      </c>
      <c r="D6147" s="26"/>
      <c r="E6147" s="27"/>
      <c r="F6147" s="27"/>
      <c r="G6147" s="27" t="s">
        <v>11122</v>
      </c>
      <c r="H6147" s="27" t="s">
        <v>35</v>
      </c>
      <c r="I6147" s="27" t="s">
        <v>43</v>
      </c>
      <c r="J6147" s="28" t="s">
        <v>636</v>
      </c>
      <c r="K6147" s="27" t="s">
        <v>37</v>
      </c>
      <c r="L6147" s="27"/>
    </row>
    <row r="6148" customFormat="false" ht="15" hidden="false" customHeight="false" outlineLevel="0" collapsed="false">
      <c r="A6148" s="26" t="s">
        <v>17234</v>
      </c>
      <c r="B6148" s="27" t="s">
        <v>17235</v>
      </c>
      <c r="C6148" s="27" t="s">
        <v>144</v>
      </c>
      <c r="D6148" s="26"/>
      <c r="E6148" s="27"/>
      <c r="F6148" s="27"/>
      <c r="G6148" s="27" t="s">
        <v>11122</v>
      </c>
      <c r="H6148" s="27" t="s">
        <v>35</v>
      </c>
      <c r="I6148" s="27" t="s">
        <v>43</v>
      </c>
      <c r="J6148" s="28" t="s">
        <v>636</v>
      </c>
      <c r="K6148" s="27" t="s">
        <v>37</v>
      </c>
      <c r="L6148" s="27"/>
    </row>
    <row r="6149" customFormat="false" ht="15" hidden="false" customHeight="false" outlineLevel="0" collapsed="false">
      <c r="A6149" s="26" t="s">
        <v>17236</v>
      </c>
      <c r="B6149" s="27" t="s">
        <v>17237</v>
      </c>
      <c r="C6149" s="27" t="s">
        <v>144</v>
      </c>
      <c r="D6149" s="26"/>
      <c r="E6149" s="27"/>
      <c r="F6149" s="27"/>
      <c r="G6149" s="27" t="s">
        <v>11122</v>
      </c>
      <c r="H6149" s="27" t="s">
        <v>35</v>
      </c>
      <c r="I6149" s="27" t="s">
        <v>37</v>
      </c>
      <c r="J6149" s="28" t="s">
        <v>636</v>
      </c>
      <c r="K6149" s="27" t="s">
        <v>37</v>
      </c>
      <c r="L6149" s="27"/>
    </row>
    <row r="6150" customFormat="false" ht="15" hidden="false" customHeight="false" outlineLevel="0" collapsed="false">
      <c r="A6150" s="26" t="s">
        <v>17238</v>
      </c>
      <c r="B6150" s="27" t="s">
        <v>17239</v>
      </c>
      <c r="C6150" s="27" t="s">
        <v>144</v>
      </c>
      <c r="D6150" s="26"/>
      <c r="E6150" s="27"/>
      <c r="F6150" s="27"/>
      <c r="G6150" s="27" t="s">
        <v>11122</v>
      </c>
      <c r="H6150" s="27" t="s">
        <v>35</v>
      </c>
      <c r="I6150" s="27" t="s">
        <v>43</v>
      </c>
      <c r="J6150" s="28" t="s">
        <v>636</v>
      </c>
      <c r="K6150" s="27" t="s">
        <v>37</v>
      </c>
      <c r="L6150" s="27"/>
    </row>
    <row r="6151" customFormat="false" ht="15" hidden="false" customHeight="false" outlineLevel="0" collapsed="false">
      <c r="A6151" s="26" t="s">
        <v>17240</v>
      </c>
      <c r="B6151" s="27" t="s">
        <v>17241</v>
      </c>
      <c r="C6151" s="27" t="s">
        <v>144</v>
      </c>
      <c r="D6151" s="26"/>
      <c r="E6151" s="27"/>
      <c r="F6151" s="27"/>
      <c r="G6151" s="27" t="s">
        <v>11122</v>
      </c>
      <c r="H6151" s="27" t="s">
        <v>35</v>
      </c>
      <c r="I6151" s="27" t="s">
        <v>43</v>
      </c>
      <c r="J6151" s="28" t="s">
        <v>636</v>
      </c>
      <c r="K6151" s="27" t="s">
        <v>37</v>
      </c>
      <c r="L6151" s="27"/>
    </row>
    <row r="6152" customFormat="false" ht="15" hidden="false" customHeight="false" outlineLevel="0" collapsed="false">
      <c r="A6152" s="26" t="s">
        <v>17242</v>
      </c>
      <c r="B6152" s="27" t="s">
        <v>17243</v>
      </c>
      <c r="C6152" s="27" t="s">
        <v>144</v>
      </c>
      <c r="D6152" s="26"/>
      <c r="E6152" s="27"/>
      <c r="F6152" s="27"/>
      <c r="G6152" s="27" t="s">
        <v>11122</v>
      </c>
      <c r="H6152" s="27" t="s">
        <v>35</v>
      </c>
      <c r="I6152" s="27" t="s">
        <v>43</v>
      </c>
      <c r="J6152" s="28" t="s">
        <v>636</v>
      </c>
      <c r="K6152" s="27" t="s">
        <v>37</v>
      </c>
      <c r="L6152" s="27"/>
    </row>
    <row r="6153" customFormat="false" ht="15" hidden="false" customHeight="false" outlineLevel="0" collapsed="false">
      <c r="A6153" s="26" t="s">
        <v>17244</v>
      </c>
      <c r="B6153" s="27" t="s">
        <v>17245</v>
      </c>
      <c r="C6153" s="27" t="s">
        <v>144</v>
      </c>
      <c r="D6153" s="26"/>
      <c r="E6153" s="27"/>
      <c r="F6153" s="27"/>
      <c r="G6153" s="27" t="s">
        <v>11122</v>
      </c>
      <c r="H6153" s="27" t="s">
        <v>35</v>
      </c>
      <c r="I6153" s="27" t="s">
        <v>37</v>
      </c>
      <c r="J6153" s="28" t="s">
        <v>636</v>
      </c>
      <c r="K6153" s="27" t="s">
        <v>37</v>
      </c>
      <c r="L6153" s="27"/>
    </row>
    <row r="6154" customFormat="false" ht="15" hidden="false" customHeight="false" outlineLevel="0" collapsed="false">
      <c r="A6154" s="26" t="s">
        <v>17246</v>
      </c>
      <c r="B6154" s="27" t="s">
        <v>17247</v>
      </c>
      <c r="C6154" s="27" t="s">
        <v>144</v>
      </c>
      <c r="D6154" s="26"/>
      <c r="E6154" s="27"/>
      <c r="F6154" s="27"/>
      <c r="G6154" s="27" t="s">
        <v>11122</v>
      </c>
      <c r="H6154" s="27" t="s">
        <v>35</v>
      </c>
      <c r="I6154" s="27" t="s">
        <v>37</v>
      </c>
      <c r="J6154" s="28" t="s">
        <v>636</v>
      </c>
      <c r="K6154" s="27" t="s">
        <v>37</v>
      </c>
      <c r="L6154" s="27"/>
    </row>
    <row r="6155" customFormat="false" ht="15" hidden="false" customHeight="false" outlineLevel="0" collapsed="false">
      <c r="A6155" s="26" t="s">
        <v>17248</v>
      </c>
      <c r="B6155" s="27" t="s">
        <v>17249</v>
      </c>
      <c r="C6155" s="27" t="s">
        <v>144</v>
      </c>
      <c r="D6155" s="26"/>
      <c r="E6155" s="27"/>
      <c r="F6155" s="27"/>
      <c r="G6155" s="27" t="s">
        <v>11122</v>
      </c>
      <c r="H6155" s="27" t="s">
        <v>35</v>
      </c>
      <c r="I6155" s="27" t="s">
        <v>37</v>
      </c>
      <c r="J6155" s="28" t="s">
        <v>636</v>
      </c>
      <c r="K6155" s="27" t="s">
        <v>37</v>
      </c>
      <c r="L6155" s="27"/>
    </row>
    <row r="6156" customFormat="false" ht="15" hidden="false" customHeight="false" outlineLevel="0" collapsed="false">
      <c r="A6156" s="26" t="s">
        <v>17250</v>
      </c>
      <c r="B6156" s="27" t="s">
        <v>17251</v>
      </c>
      <c r="C6156" s="27" t="s">
        <v>144</v>
      </c>
      <c r="D6156" s="26"/>
      <c r="E6156" s="27"/>
      <c r="F6156" s="27"/>
      <c r="G6156" s="27" t="s">
        <v>11122</v>
      </c>
      <c r="H6156" s="27" t="s">
        <v>35</v>
      </c>
      <c r="I6156" s="27" t="s">
        <v>37</v>
      </c>
      <c r="J6156" s="28" t="s">
        <v>636</v>
      </c>
      <c r="K6156" s="27" t="s">
        <v>37</v>
      </c>
      <c r="L6156" s="27"/>
    </row>
    <row r="6157" customFormat="false" ht="15" hidden="false" customHeight="false" outlineLevel="0" collapsed="false">
      <c r="A6157" s="26" t="s">
        <v>17252</v>
      </c>
      <c r="B6157" s="27" t="s">
        <v>17253</v>
      </c>
      <c r="C6157" s="27" t="s">
        <v>144</v>
      </c>
      <c r="D6157" s="26"/>
      <c r="E6157" s="27"/>
      <c r="F6157" s="27"/>
      <c r="G6157" s="27" t="s">
        <v>11122</v>
      </c>
      <c r="H6157" s="27" t="s">
        <v>35</v>
      </c>
      <c r="I6157" s="27" t="s">
        <v>37</v>
      </c>
      <c r="J6157" s="28" t="s">
        <v>636</v>
      </c>
      <c r="K6157" s="27" t="s">
        <v>37</v>
      </c>
      <c r="L6157" s="27"/>
    </row>
    <row r="6158" customFormat="false" ht="15" hidden="false" customHeight="false" outlineLevel="0" collapsed="false">
      <c r="A6158" s="26" t="s">
        <v>17254</v>
      </c>
      <c r="B6158" s="27" t="s">
        <v>17255</v>
      </c>
      <c r="C6158" s="27" t="s">
        <v>144</v>
      </c>
      <c r="D6158" s="26"/>
      <c r="E6158" s="27"/>
      <c r="F6158" s="27"/>
      <c r="G6158" s="27" t="s">
        <v>11122</v>
      </c>
      <c r="H6158" s="27" t="s">
        <v>35</v>
      </c>
      <c r="I6158" s="27" t="s">
        <v>37</v>
      </c>
      <c r="J6158" s="28" t="s">
        <v>636</v>
      </c>
      <c r="K6158" s="27" t="s">
        <v>37</v>
      </c>
      <c r="L6158" s="27"/>
    </row>
    <row r="6159" customFormat="false" ht="15" hidden="false" customHeight="false" outlineLevel="0" collapsed="false">
      <c r="A6159" s="26" t="s">
        <v>17256</v>
      </c>
      <c r="B6159" s="27" t="s">
        <v>17257</v>
      </c>
      <c r="C6159" s="27" t="s">
        <v>144</v>
      </c>
      <c r="D6159" s="26"/>
      <c r="E6159" s="27"/>
      <c r="F6159" s="27"/>
      <c r="G6159" s="27" t="s">
        <v>11122</v>
      </c>
      <c r="H6159" s="27" t="s">
        <v>35</v>
      </c>
      <c r="I6159" s="27" t="s">
        <v>37</v>
      </c>
      <c r="J6159" s="28" t="s">
        <v>636</v>
      </c>
      <c r="K6159" s="27" t="s">
        <v>37</v>
      </c>
      <c r="L6159" s="27"/>
    </row>
    <row r="6160" customFormat="false" ht="15" hidden="false" customHeight="false" outlineLevel="0" collapsed="false">
      <c r="A6160" s="26" t="s">
        <v>17258</v>
      </c>
      <c r="B6160" s="27" t="s">
        <v>17259</v>
      </c>
      <c r="C6160" s="27" t="s">
        <v>144</v>
      </c>
      <c r="D6160" s="26"/>
      <c r="E6160" s="27"/>
      <c r="F6160" s="27"/>
      <c r="G6160" s="27" t="s">
        <v>11122</v>
      </c>
      <c r="H6160" s="27" t="s">
        <v>35</v>
      </c>
      <c r="I6160" s="27" t="s">
        <v>43</v>
      </c>
      <c r="J6160" s="28" t="s">
        <v>636</v>
      </c>
      <c r="K6160" s="27" t="s">
        <v>37</v>
      </c>
      <c r="L6160" s="27"/>
    </row>
    <row r="6161" customFormat="false" ht="15" hidden="false" customHeight="false" outlineLevel="0" collapsed="false">
      <c r="A6161" s="26" t="s">
        <v>17260</v>
      </c>
      <c r="B6161" s="27" t="s">
        <v>17261</v>
      </c>
      <c r="C6161" s="27" t="s">
        <v>144</v>
      </c>
      <c r="D6161" s="26"/>
      <c r="E6161" s="27"/>
      <c r="F6161" s="27"/>
      <c r="G6161" s="27" t="s">
        <v>11122</v>
      </c>
      <c r="H6161" s="27" t="s">
        <v>35</v>
      </c>
      <c r="I6161" s="27" t="s">
        <v>37</v>
      </c>
      <c r="J6161" s="28" t="s">
        <v>636</v>
      </c>
      <c r="K6161" s="27" t="s">
        <v>37</v>
      </c>
      <c r="L6161" s="27"/>
    </row>
    <row r="6162" customFormat="false" ht="15" hidden="false" customHeight="false" outlineLevel="0" collapsed="false">
      <c r="A6162" s="26" t="s">
        <v>17262</v>
      </c>
      <c r="B6162" s="27" t="s">
        <v>17263</v>
      </c>
      <c r="C6162" s="27" t="s">
        <v>144</v>
      </c>
      <c r="D6162" s="26"/>
      <c r="E6162" s="27"/>
      <c r="F6162" s="27"/>
      <c r="G6162" s="27" t="s">
        <v>11122</v>
      </c>
      <c r="H6162" s="27" t="s">
        <v>35</v>
      </c>
      <c r="I6162" s="27" t="s">
        <v>43</v>
      </c>
      <c r="J6162" s="28" t="s">
        <v>636</v>
      </c>
      <c r="K6162" s="27" t="s">
        <v>37</v>
      </c>
      <c r="L6162" s="27"/>
    </row>
    <row r="6163" customFormat="false" ht="15" hidden="false" customHeight="false" outlineLevel="0" collapsed="false">
      <c r="A6163" s="26" t="s">
        <v>17264</v>
      </c>
      <c r="B6163" s="27" t="s">
        <v>17265</v>
      </c>
      <c r="C6163" s="27" t="s">
        <v>144</v>
      </c>
      <c r="D6163" s="26"/>
      <c r="E6163" s="27"/>
      <c r="F6163" s="27"/>
      <c r="G6163" s="27" t="s">
        <v>11122</v>
      </c>
      <c r="H6163" s="27" t="s">
        <v>35</v>
      </c>
      <c r="I6163" s="27" t="s">
        <v>37</v>
      </c>
      <c r="J6163" s="28" t="s">
        <v>636</v>
      </c>
      <c r="K6163" s="27" t="s">
        <v>37</v>
      </c>
      <c r="L6163" s="27"/>
    </row>
    <row r="6164" customFormat="false" ht="15" hidden="false" customHeight="false" outlineLevel="0" collapsed="false">
      <c r="A6164" s="26" t="s">
        <v>17266</v>
      </c>
      <c r="B6164" s="27" t="s">
        <v>17267</v>
      </c>
      <c r="C6164" s="27" t="s">
        <v>144</v>
      </c>
      <c r="D6164" s="26"/>
      <c r="E6164" s="27"/>
      <c r="F6164" s="27"/>
      <c r="G6164" s="27" t="s">
        <v>11122</v>
      </c>
      <c r="H6164" s="27" t="s">
        <v>35</v>
      </c>
      <c r="I6164" s="27" t="s">
        <v>43</v>
      </c>
      <c r="J6164" s="28" t="s">
        <v>636</v>
      </c>
      <c r="K6164" s="27" t="s">
        <v>37</v>
      </c>
      <c r="L6164" s="27"/>
    </row>
    <row r="6165" customFormat="false" ht="15" hidden="false" customHeight="false" outlineLevel="0" collapsed="false">
      <c r="A6165" s="26" t="s">
        <v>17268</v>
      </c>
      <c r="B6165" s="27" t="s">
        <v>17269</v>
      </c>
      <c r="C6165" s="27" t="s">
        <v>144</v>
      </c>
      <c r="D6165" s="26"/>
      <c r="E6165" s="27"/>
      <c r="F6165" s="27"/>
      <c r="G6165" s="27" t="s">
        <v>11122</v>
      </c>
      <c r="H6165" s="27" t="s">
        <v>35</v>
      </c>
      <c r="I6165" s="27" t="s">
        <v>43</v>
      </c>
      <c r="J6165" s="28" t="s">
        <v>636</v>
      </c>
      <c r="K6165" s="27" t="s">
        <v>37</v>
      </c>
      <c r="L6165" s="27"/>
    </row>
    <row r="6166" customFormat="false" ht="15" hidden="false" customHeight="false" outlineLevel="0" collapsed="false">
      <c r="A6166" s="26" t="s">
        <v>17270</v>
      </c>
      <c r="B6166" s="27" t="s">
        <v>17271</v>
      </c>
      <c r="C6166" s="27" t="s">
        <v>144</v>
      </c>
      <c r="D6166" s="26"/>
      <c r="E6166" s="27"/>
      <c r="F6166" s="27"/>
      <c r="G6166" s="27" t="s">
        <v>11122</v>
      </c>
      <c r="H6166" s="27" t="s">
        <v>35</v>
      </c>
      <c r="I6166" s="27" t="s">
        <v>37</v>
      </c>
      <c r="J6166" s="28" t="s">
        <v>636</v>
      </c>
      <c r="K6166" s="27" t="s">
        <v>37</v>
      </c>
      <c r="L6166" s="27"/>
    </row>
    <row r="6167" customFormat="false" ht="15" hidden="false" customHeight="false" outlineLevel="0" collapsed="false">
      <c r="A6167" s="26" t="s">
        <v>17272</v>
      </c>
      <c r="B6167" s="27" t="s">
        <v>17273</v>
      </c>
      <c r="C6167" s="27" t="s">
        <v>144</v>
      </c>
      <c r="D6167" s="26"/>
      <c r="E6167" s="27"/>
      <c r="F6167" s="27"/>
      <c r="G6167" s="27" t="s">
        <v>11122</v>
      </c>
      <c r="H6167" s="27" t="s">
        <v>35</v>
      </c>
      <c r="I6167" s="27" t="s">
        <v>37</v>
      </c>
      <c r="J6167" s="28" t="s">
        <v>636</v>
      </c>
      <c r="K6167" s="27" t="s">
        <v>37</v>
      </c>
      <c r="L6167" s="27"/>
    </row>
    <row r="6168" customFormat="false" ht="15" hidden="false" customHeight="false" outlineLevel="0" collapsed="false">
      <c r="A6168" s="26" t="s">
        <v>17274</v>
      </c>
      <c r="B6168" s="27" t="s">
        <v>17275</v>
      </c>
      <c r="C6168" s="27" t="s">
        <v>144</v>
      </c>
      <c r="D6168" s="26"/>
      <c r="E6168" s="27"/>
      <c r="F6168" s="27"/>
      <c r="G6168" s="27" t="s">
        <v>11122</v>
      </c>
      <c r="H6168" s="27" t="s">
        <v>35</v>
      </c>
      <c r="I6168" s="27" t="s">
        <v>37</v>
      </c>
      <c r="J6168" s="28" t="s">
        <v>636</v>
      </c>
      <c r="K6168" s="27" t="s">
        <v>37</v>
      </c>
      <c r="L6168" s="27"/>
    </row>
    <row r="6169" customFormat="false" ht="15" hidden="false" customHeight="false" outlineLevel="0" collapsed="false">
      <c r="A6169" s="26" t="s">
        <v>17276</v>
      </c>
      <c r="B6169" s="27" t="s">
        <v>17277</v>
      </c>
      <c r="C6169" s="27" t="s">
        <v>144</v>
      </c>
      <c r="D6169" s="26"/>
      <c r="E6169" s="27"/>
      <c r="F6169" s="27"/>
      <c r="G6169" s="27" t="s">
        <v>11122</v>
      </c>
      <c r="H6169" s="27" t="s">
        <v>35</v>
      </c>
      <c r="I6169" s="27" t="s">
        <v>37</v>
      </c>
      <c r="J6169" s="28" t="s">
        <v>636</v>
      </c>
      <c r="K6169" s="27" t="s">
        <v>37</v>
      </c>
      <c r="L6169" s="27"/>
    </row>
    <row r="6170" customFormat="false" ht="15" hidden="false" customHeight="false" outlineLevel="0" collapsed="false">
      <c r="A6170" s="26" t="s">
        <v>17278</v>
      </c>
      <c r="B6170" s="27" t="s">
        <v>17279</v>
      </c>
      <c r="C6170" s="27" t="s">
        <v>144</v>
      </c>
      <c r="D6170" s="26"/>
      <c r="E6170" s="27"/>
      <c r="F6170" s="27"/>
      <c r="G6170" s="27" t="s">
        <v>11122</v>
      </c>
      <c r="H6170" s="27" t="s">
        <v>35</v>
      </c>
      <c r="I6170" s="27" t="s">
        <v>43</v>
      </c>
      <c r="J6170" s="28" t="s">
        <v>636</v>
      </c>
      <c r="K6170" s="27" t="s">
        <v>37</v>
      </c>
      <c r="L6170" s="27"/>
    </row>
    <row r="6171" customFormat="false" ht="15" hidden="false" customHeight="false" outlineLevel="0" collapsed="false">
      <c r="A6171" s="26" t="s">
        <v>17280</v>
      </c>
      <c r="B6171" s="27" t="s">
        <v>17281</v>
      </c>
      <c r="C6171" s="27" t="s">
        <v>144</v>
      </c>
      <c r="D6171" s="26"/>
      <c r="E6171" s="27"/>
      <c r="F6171" s="27"/>
      <c r="G6171" s="27" t="s">
        <v>11122</v>
      </c>
      <c r="H6171" s="27" t="s">
        <v>35</v>
      </c>
      <c r="I6171" s="27" t="s">
        <v>37</v>
      </c>
      <c r="J6171" s="28" t="s">
        <v>636</v>
      </c>
      <c r="K6171" s="27" t="s">
        <v>37</v>
      </c>
      <c r="L6171" s="27"/>
    </row>
    <row r="6172" customFormat="false" ht="15" hidden="false" customHeight="false" outlineLevel="0" collapsed="false">
      <c r="A6172" s="26" t="s">
        <v>17282</v>
      </c>
      <c r="B6172" s="27" t="s">
        <v>17283</v>
      </c>
      <c r="C6172" s="27" t="s">
        <v>144</v>
      </c>
      <c r="D6172" s="26"/>
      <c r="E6172" s="27"/>
      <c r="F6172" s="27"/>
      <c r="G6172" s="27" t="s">
        <v>11122</v>
      </c>
      <c r="H6172" s="27" t="s">
        <v>35</v>
      </c>
      <c r="I6172" s="27" t="s">
        <v>43</v>
      </c>
      <c r="J6172" s="28" t="s">
        <v>636</v>
      </c>
      <c r="K6172" s="27" t="s">
        <v>37</v>
      </c>
      <c r="L6172" s="27"/>
    </row>
    <row r="6173" customFormat="false" ht="15" hidden="false" customHeight="false" outlineLevel="0" collapsed="false">
      <c r="A6173" s="26" t="s">
        <v>17284</v>
      </c>
      <c r="B6173" s="27" t="s">
        <v>17285</v>
      </c>
      <c r="C6173" s="27" t="s">
        <v>144</v>
      </c>
      <c r="D6173" s="26"/>
      <c r="E6173" s="27"/>
      <c r="F6173" s="27"/>
      <c r="G6173" s="27" t="s">
        <v>11122</v>
      </c>
      <c r="H6173" s="27" t="s">
        <v>35</v>
      </c>
      <c r="I6173" s="27" t="s">
        <v>37</v>
      </c>
      <c r="J6173" s="28" t="s">
        <v>636</v>
      </c>
      <c r="K6173" s="27" t="s">
        <v>37</v>
      </c>
      <c r="L6173" s="27"/>
    </row>
    <row r="6174" customFormat="false" ht="15" hidden="false" customHeight="false" outlineLevel="0" collapsed="false">
      <c r="A6174" s="26" t="s">
        <v>17286</v>
      </c>
      <c r="B6174" s="27" t="s">
        <v>17287</v>
      </c>
      <c r="C6174" s="27" t="s">
        <v>144</v>
      </c>
      <c r="D6174" s="26"/>
      <c r="E6174" s="27"/>
      <c r="F6174" s="27"/>
      <c r="G6174" s="27" t="s">
        <v>11122</v>
      </c>
      <c r="H6174" s="27" t="s">
        <v>35</v>
      </c>
      <c r="I6174" s="27" t="s">
        <v>37</v>
      </c>
      <c r="J6174" s="28" t="s">
        <v>636</v>
      </c>
      <c r="K6174" s="27" t="s">
        <v>37</v>
      </c>
      <c r="L6174" s="27"/>
    </row>
    <row r="6175" customFormat="false" ht="15" hidden="false" customHeight="false" outlineLevel="0" collapsed="false">
      <c r="A6175" s="26" t="s">
        <v>17288</v>
      </c>
      <c r="B6175" s="27" t="s">
        <v>17289</v>
      </c>
      <c r="C6175" s="27" t="s">
        <v>144</v>
      </c>
      <c r="D6175" s="26"/>
      <c r="E6175" s="27"/>
      <c r="F6175" s="27"/>
      <c r="G6175" s="27" t="s">
        <v>11122</v>
      </c>
      <c r="H6175" s="27" t="s">
        <v>35</v>
      </c>
      <c r="I6175" s="27" t="s">
        <v>37</v>
      </c>
      <c r="J6175" s="28" t="s">
        <v>636</v>
      </c>
      <c r="K6175" s="27" t="s">
        <v>37</v>
      </c>
      <c r="L6175" s="27"/>
    </row>
    <row r="6176" customFormat="false" ht="15" hidden="false" customHeight="false" outlineLevel="0" collapsed="false">
      <c r="A6176" s="26" t="s">
        <v>17290</v>
      </c>
      <c r="B6176" s="27" t="s">
        <v>17291</v>
      </c>
      <c r="C6176" s="27" t="s">
        <v>144</v>
      </c>
      <c r="D6176" s="26"/>
      <c r="E6176" s="27"/>
      <c r="F6176" s="27"/>
      <c r="G6176" s="27" t="s">
        <v>11122</v>
      </c>
      <c r="H6176" s="27" t="s">
        <v>35</v>
      </c>
      <c r="I6176" s="27" t="s">
        <v>43</v>
      </c>
      <c r="J6176" s="28" t="s">
        <v>636</v>
      </c>
      <c r="K6176" s="27" t="s">
        <v>37</v>
      </c>
      <c r="L6176" s="27"/>
    </row>
    <row r="6177" customFormat="false" ht="15" hidden="false" customHeight="false" outlineLevel="0" collapsed="false">
      <c r="A6177" s="26" t="s">
        <v>17292</v>
      </c>
      <c r="B6177" s="27" t="s">
        <v>17293</v>
      </c>
      <c r="C6177" s="27" t="s">
        <v>144</v>
      </c>
      <c r="D6177" s="26"/>
      <c r="E6177" s="27"/>
      <c r="F6177" s="27"/>
      <c r="G6177" s="27" t="s">
        <v>11122</v>
      </c>
      <c r="H6177" s="27" t="s">
        <v>35</v>
      </c>
      <c r="I6177" s="27" t="s">
        <v>37</v>
      </c>
      <c r="J6177" s="28" t="s">
        <v>636</v>
      </c>
      <c r="K6177" s="27" t="s">
        <v>37</v>
      </c>
      <c r="L6177" s="27"/>
    </row>
    <row r="6178" customFormat="false" ht="15" hidden="false" customHeight="false" outlineLevel="0" collapsed="false">
      <c r="A6178" s="26" t="s">
        <v>17294</v>
      </c>
      <c r="B6178" s="27" t="s">
        <v>17295</v>
      </c>
      <c r="C6178" s="27" t="s">
        <v>144</v>
      </c>
      <c r="D6178" s="26"/>
      <c r="E6178" s="27"/>
      <c r="F6178" s="27"/>
      <c r="G6178" s="27" t="s">
        <v>11122</v>
      </c>
      <c r="H6178" s="27" t="s">
        <v>35</v>
      </c>
      <c r="I6178" s="27" t="s">
        <v>43</v>
      </c>
      <c r="J6178" s="28" t="s">
        <v>636</v>
      </c>
      <c r="K6178" s="27" t="s">
        <v>37</v>
      </c>
      <c r="L6178" s="27"/>
    </row>
    <row r="6179" customFormat="false" ht="15" hidden="false" customHeight="false" outlineLevel="0" collapsed="false">
      <c r="A6179" s="26" t="s">
        <v>17296</v>
      </c>
      <c r="B6179" s="27" t="s">
        <v>17297</v>
      </c>
      <c r="C6179" s="27" t="s">
        <v>144</v>
      </c>
      <c r="D6179" s="26"/>
      <c r="E6179" s="27"/>
      <c r="F6179" s="27"/>
      <c r="G6179" s="27" t="s">
        <v>11122</v>
      </c>
      <c r="H6179" s="27" t="s">
        <v>35</v>
      </c>
      <c r="I6179" s="27" t="s">
        <v>37</v>
      </c>
      <c r="J6179" s="28" t="s">
        <v>636</v>
      </c>
      <c r="K6179" s="27" t="s">
        <v>37</v>
      </c>
      <c r="L6179" s="27"/>
    </row>
    <row r="6180" customFormat="false" ht="15" hidden="false" customHeight="false" outlineLevel="0" collapsed="false">
      <c r="A6180" s="26" t="s">
        <v>17298</v>
      </c>
      <c r="B6180" s="27" t="s">
        <v>17299</v>
      </c>
      <c r="C6180" s="27" t="s">
        <v>144</v>
      </c>
      <c r="D6180" s="26"/>
      <c r="E6180" s="27"/>
      <c r="F6180" s="27"/>
      <c r="G6180" s="27" t="s">
        <v>11122</v>
      </c>
      <c r="H6180" s="27" t="s">
        <v>35</v>
      </c>
      <c r="I6180" s="27" t="s">
        <v>37</v>
      </c>
      <c r="J6180" s="28" t="s">
        <v>636</v>
      </c>
      <c r="K6180" s="27" t="s">
        <v>37</v>
      </c>
      <c r="L6180" s="27"/>
    </row>
    <row r="6181" customFormat="false" ht="15" hidden="false" customHeight="false" outlineLevel="0" collapsed="false">
      <c r="A6181" s="26" t="s">
        <v>17300</v>
      </c>
      <c r="B6181" s="27" t="s">
        <v>17301</v>
      </c>
      <c r="C6181" s="27" t="s">
        <v>144</v>
      </c>
      <c r="D6181" s="26"/>
      <c r="E6181" s="27"/>
      <c r="F6181" s="27"/>
      <c r="G6181" s="27" t="s">
        <v>11122</v>
      </c>
      <c r="H6181" s="27" t="s">
        <v>35</v>
      </c>
      <c r="I6181" s="27" t="s">
        <v>37</v>
      </c>
      <c r="J6181" s="28" t="s">
        <v>636</v>
      </c>
      <c r="K6181" s="27" t="s">
        <v>37</v>
      </c>
      <c r="L6181" s="27"/>
    </row>
    <row r="6182" customFormat="false" ht="15" hidden="false" customHeight="false" outlineLevel="0" collapsed="false">
      <c r="A6182" s="26" t="s">
        <v>17302</v>
      </c>
      <c r="B6182" s="27" t="s">
        <v>17303</v>
      </c>
      <c r="C6182" s="27" t="s">
        <v>144</v>
      </c>
      <c r="D6182" s="26"/>
      <c r="E6182" s="27"/>
      <c r="F6182" s="27"/>
      <c r="G6182" s="27" t="s">
        <v>11122</v>
      </c>
      <c r="H6182" s="27" t="s">
        <v>35</v>
      </c>
      <c r="I6182" s="27" t="s">
        <v>37</v>
      </c>
      <c r="J6182" s="28" t="s">
        <v>636</v>
      </c>
      <c r="K6182" s="27" t="s">
        <v>37</v>
      </c>
      <c r="L6182" s="27"/>
    </row>
    <row r="6183" customFormat="false" ht="15" hidden="false" customHeight="false" outlineLevel="0" collapsed="false">
      <c r="A6183" s="26" t="s">
        <v>17304</v>
      </c>
      <c r="B6183" s="27" t="s">
        <v>17305</v>
      </c>
      <c r="C6183" s="27" t="s">
        <v>144</v>
      </c>
      <c r="D6183" s="26"/>
      <c r="E6183" s="27"/>
      <c r="F6183" s="27"/>
      <c r="G6183" s="27" t="s">
        <v>11122</v>
      </c>
      <c r="H6183" s="27" t="s">
        <v>35</v>
      </c>
      <c r="I6183" s="27" t="s">
        <v>37</v>
      </c>
      <c r="J6183" s="28" t="s">
        <v>636</v>
      </c>
      <c r="K6183" s="27" t="s">
        <v>37</v>
      </c>
      <c r="L6183" s="27"/>
    </row>
    <row r="6184" customFormat="false" ht="15" hidden="false" customHeight="false" outlineLevel="0" collapsed="false">
      <c r="A6184" s="26" t="s">
        <v>17306</v>
      </c>
      <c r="B6184" s="27" t="s">
        <v>17307</v>
      </c>
      <c r="C6184" s="27" t="s">
        <v>144</v>
      </c>
      <c r="D6184" s="26"/>
      <c r="E6184" s="27"/>
      <c r="F6184" s="27"/>
      <c r="G6184" s="27" t="s">
        <v>11122</v>
      </c>
      <c r="H6184" s="27" t="s">
        <v>35</v>
      </c>
      <c r="I6184" s="27" t="s">
        <v>43</v>
      </c>
      <c r="J6184" s="28" t="s">
        <v>636</v>
      </c>
      <c r="K6184" s="27" t="s">
        <v>37</v>
      </c>
      <c r="L6184" s="27"/>
    </row>
    <row r="6185" customFormat="false" ht="15" hidden="false" customHeight="false" outlineLevel="0" collapsed="false">
      <c r="A6185" s="26" t="s">
        <v>17308</v>
      </c>
      <c r="B6185" s="27" t="s">
        <v>17309</v>
      </c>
      <c r="C6185" s="27" t="s">
        <v>144</v>
      </c>
      <c r="D6185" s="26"/>
      <c r="E6185" s="27"/>
      <c r="F6185" s="27"/>
      <c r="G6185" s="27" t="s">
        <v>11122</v>
      </c>
      <c r="H6185" s="27" t="s">
        <v>35</v>
      </c>
      <c r="I6185" s="27" t="s">
        <v>37</v>
      </c>
      <c r="J6185" s="28" t="s">
        <v>636</v>
      </c>
      <c r="K6185" s="27" t="s">
        <v>37</v>
      </c>
      <c r="L6185" s="27"/>
    </row>
    <row r="6186" customFormat="false" ht="15" hidden="false" customHeight="false" outlineLevel="0" collapsed="false">
      <c r="A6186" s="26" t="s">
        <v>17310</v>
      </c>
      <c r="B6186" s="27" t="s">
        <v>17311</v>
      </c>
      <c r="C6186" s="27" t="s">
        <v>144</v>
      </c>
      <c r="D6186" s="26"/>
      <c r="E6186" s="27"/>
      <c r="F6186" s="27"/>
      <c r="G6186" s="27" t="s">
        <v>11122</v>
      </c>
      <c r="H6186" s="27" t="s">
        <v>35</v>
      </c>
      <c r="I6186" s="27" t="s">
        <v>37</v>
      </c>
      <c r="J6186" s="28" t="s">
        <v>636</v>
      </c>
      <c r="K6186" s="27" t="s">
        <v>37</v>
      </c>
      <c r="L6186" s="27"/>
    </row>
    <row r="6187" customFormat="false" ht="15" hidden="false" customHeight="false" outlineLevel="0" collapsed="false">
      <c r="A6187" s="26" t="s">
        <v>17312</v>
      </c>
      <c r="B6187" s="27" t="s">
        <v>17313</v>
      </c>
      <c r="C6187" s="27" t="s">
        <v>144</v>
      </c>
      <c r="D6187" s="26"/>
      <c r="E6187" s="27"/>
      <c r="F6187" s="27"/>
      <c r="G6187" s="27" t="s">
        <v>11122</v>
      </c>
      <c r="H6187" s="27" t="s">
        <v>35</v>
      </c>
      <c r="I6187" s="27" t="s">
        <v>43</v>
      </c>
      <c r="J6187" s="28" t="s">
        <v>636</v>
      </c>
      <c r="K6187" s="27" t="s">
        <v>37</v>
      </c>
      <c r="L6187" s="27"/>
    </row>
    <row r="6188" customFormat="false" ht="15" hidden="false" customHeight="false" outlineLevel="0" collapsed="false">
      <c r="A6188" s="26" t="s">
        <v>17314</v>
      </c>
      <c r="B6188" s="27" t="s">
        <v>17315</v>
      </c>
      <c r="C6188" s="27" t="s">
        <v>144</v>
      </c>
      <c r="D6188" s="26"/>
      <c r="E6188" s="27"/>
      <c r="F6188" s="27"/>
      <c r="G6188" s="27" t="s">
        <v>11122</v>
      </c>
      <c r="H6188" s="27" t="s">
        <v>35</v>
      </c>
      <c r="I6188" s="27" t="s">
        <v>37</v>
      </c>
      <c r="J6188" s="28" t="s">
        <v>636</v>
      </c>
      <c r="K6188" s="27" t="s">
        <v>37</v>
      </c>
      <c r="L6188" s="27"/>
    </row>
    <row r="6189" customFormat="false" ht="15" hidden="false" customHeight="false" outlineLevel="0" collapsed="false">
      <c r="A6189" s="26" t="s">
        <v>17316</v>
      </c>
      <c r="B6189" s="27" t="s">
        <v>17317</v>
      </c>
      <c r="C6189" s="27" t="s">
        <v>144</v>
      </c>
      <c r="D6189" s="26"/>
      <c r="E6189" s="27"/>
      <c r="F6189" s="27"/>
      <c r="G6189" s="27" t="s">
        <v>11122</v>
      </c>
      <c r="H6189" s="27" t="s">
        <v>35</v>
      </c>
      <c r="I6189" s="27" t="s">
        <v>37</v>
      </c>
      <c r="J6189" s="28" t="s">
        <v>636</v>
      </c>
      <c r="K6189" s="27" t="s">
        <v>37</v>
      </c>
      <c r="L6189" s="27"/>
    </row>
    <row r="6190" customFormat="false" ht="15" hidden="false" customHeight="false" outlineLevel="0" collapsed="false">
      <c r="A6190" s="26" t="s">
        <v>17318</v>
      </c>
      <c r="B6190" s="27" t="s">
        <v>17319</v>
      </c>
      <c r="C6190" s="27" t="s">
        <v>144</v>
      </c>
      <c r="D6190" s="26"/>
      <c r="E6190" s="27"/>
      <c r="F6190" s="27"/>
      <c r="G6190" s="27" t="s">
        <v>11122</v>
      </c>
      <c r="H6190" s="27" t="s">
        <v>35</v>
      </c>
      <c r="I6190" s="27" t="s">
        <v>37</v>
      </c>
      <c r="J6190" s="28" t="s">
        <v>636</v>
      </c>
      <c r="K6190" s="27" t="s">
        <v>37</v>
      </c>
      <c r="L6190" s="27"/>
    </row>
    <row r="6191" customFormat="false" ht="15" hidden="false" customHeight="false" outlineLevel="0" collapsed="false">
      <c r="A6191" s="26" t="s">
        <v>17320</v>
      </c>
      <c r="B6191" s="27" t="s">
        <v>17321</v>
      </c>
      <c r="C6191" s="27" t="s">
        <v>144</v>
      </c>
      <c r="D6191" s="26"/>
      <c r="E6191" s="27"/>
      <c r="F6191" s="27"/>
      <c r="G6191" s="27" t="s">
        <v>11122</v>
      </c>
      <c r="H6191" s="27" t="s">
        <v>35</v>
      </c>
      <c r="I6191" s="27" t="s">
        <v>37</v>
      </c>
      <c r="J6191" s="28" t="s">
        <v>636</v>
      </c>
      <c r="K6191" s="27" t="s">
        <v>37</v>
      </c>
      <c r="L6191" s="27"/>
    </row>
    <row r="6192" customFormat="false" ht="15" hidden="false" customHeight="false" outlineLevel="0" collapsed="false">
      <c r="A6192" s="26" t="s">
        <v>17322</v>
      </c>
      <c r="B6192" s="27" t="s">
        <v>17323</v>
      </c>
      <c r="C6192" s="27" t="s">
        <v>144</v>
      </c>
      <c r="D6192" s="26"/>
      <c r="E6192" s="27"/>
      <c r="F6192" s="27"/>
      <c r="G6192" s="27" t="s">
        <v>11122</v>
      </c>
      <c r="H6192" s="27" t="s">
        <v>35</v>
      </c>
      <c r="I6192" s="27" t="s">
        <v>37</v>
      </c>
      <c r="J6192" s="28" t="s">
        <v>636</v>
      </c>
      <c r="K6192" s="27" t="s">
        <v>37</v>
      </c>
      <c r="L6192" s="27"/>
    </row>
    <row r="6193" customFormat="false" ht="15" hidden="false" customHeight="false" outlineLevel="0" collapsed="false">
      <c r="A6193" s="26" t="s">
        <v>17324</v>
      </c>
      <c r="B6193" s="27" t="s">
        <v>17325</v>
      </c>
      <c r="C6193" s="27" t="s">
        <v>144</v>
      </c>
      <c r="D6193" s="26"/>
      <c r="E6193" s="27"/>
      <c r="F6193" s="27"/>
      <c r="G6193" s="27" t="s">
        <v>11122</v>
      </c>
      <c r="H6193" s="27" t="s">
        <v>35</v>
      </c>
      <c r="I6193" s="27" t="s">
        <v>37</v>
      </c>
      <c r="J6193" s="28" t="s">
        <v>636</v>
      </c>
      <c r="K6193" s="27" t="s">
        <v>37</v>
      </c>
      <c r="L6193" s="27"/>
    </row>
    <row r="6194" customFormat="false" ht="15" hidden="false" customHeight="false" outlineLevel="0" collapsed="false">
      <c r="A6194" s="26" t="s">
        <v>17326</v>
      </c>
      <c r="B6194" s="27" t="s">
        <v>17327</v>
      </c>
      <c r="C6194" s="27" t="s">
        <v>144</v>
      </c>
      <c r="D6194" s="26"/>
      <c r="E6194" s="27"/>
      <c r="F6194" s="27"/>
      <c r="G6194" s="27" t="s">
        <v>11122</v>
      </c>
      <c r="H6194" s="27" t="s">
        <v>35</v>
      </c>
      <c r="I6194" s="27" t="s">
        <v>43</v>
      </c>
      <c r="J6194" s="28" t="s">
        <v>636</v>
      </c>
      <c r="K6194" s="27" t="s">
        <v>37</v>
      </c>
      <c r="L6194" s="27"/>
    </row>
    <row r="6195" customFormat="false" ht="15" hidden="false" customHeight="false" outlineLevel="0" collapsed="false">
      <c r="A6195" s="26" t="s">
        <v>17328</v>
      </c>
      <c r="B6195" s="27" t="s">
        <v>17329</v>
      </c>
      <c r="C6195" s="27" t="s">
        <v>144</v>
      </c>
      <c r="D6195" s="26"/>
      <c r="E6195" s="27"/>
      <c r="F6195" s="27"/>
      <c r="G6195" s="27" t="s">
        <v>11122</v>
      </c>
      <c r="H6195" s="27" t="s">
        <v>35</v>
      </c>
      <c r="I6195" s="27" t="s">
        <v>43</v>
      </c>
      <c r="J6195" s="28" t="s">
        <v>636</v>
      </c>
      <c r="K6195" s="27" t="s">
        <v>37</v>
      </c>
      <c r="L6195" s="27"/>
    </row>
    <row r="6196" customFormat="false" ht="15" hidden="false" customHeight="false" outlineLevel="0" collapsed="false">
      <c r="A6196" s="26" t="s">
        <v>17330</v>
      </c>
      <c r="B6196" s="27" t="s">
        <v>17331</v>
      </c>
      <c r="C6196" s="27" t="s">
        <v>144</v>
      </c>
      <c r="D6196" s="26"/>
      <c r="E6196" s="27"/>
      <c r="F6196" s="27"/>
      <c r="G6196" s="27" t="s">
        <v>11122</v>
      </c>
      <c r="H6196" s="27" t="s">
        <v>35</v>
      </c>
      <c r="I6196" s="27" t="s">
        <v>37</v>
      </c>
      <c r="J6196" s="28" t="s">
        <v>636</v>
      </c>
      <c r="K6196" s="27" t="s">
        <v>37</v>
      </c>
      <c r="L6196" s="27"/>
    </row>
    <row r="6197" customFormat="false" ht="15" hidden="false" customHeight="false" outlineLevel="0" collapsed="false">
      <c r="A6197" s="26" t="s">
        <v>17332</v>
      </c>
      <c r="B6197" s="27" t="s">
        <v>17333</v>
      </c>
      <c r="C6197" s="27" t="s">
        <v>144</v>
      </c>
      <c r="D6197" s="26"/>
      <c r="E6197" s="27"/>
      <c r="F6197" s="27"/>
      <c r="G6197" s="27" t="s">
        <v>11122</v>
      </c>
      <c r="H6197" s="27" t="s">
        <v>35</v>
      </c>
      <c r="I6197" s="27" t="s">
        <v>43</v>
      </c>
      <c r="J6197" s="28" t="s">
        <v>636</v>
      </c>
      <c r="K6197" s="27" t="s">
        <v>37</v>
      </c>
      <c r="L6197" s="27"/>
    </row>
    <row r="6198" customFormat="false" ht="15" hidden="false" customHeight="false" outlineLevel="0" collapsed="false">
      <c r="A6198" s="26" t="s">
        <v>17334</v>
      </c>
      <c r="B6198" s="27" t="s">
        <v>17335</v>
      </c>
      <c r="C6198" s="27" t="s">
        <v>144</v>
      </c>
      <c r="D6198" s="26"/>
      <c r="E6198" s="27"/>
      <c r="F6198" s="27"/>
      <c r="G6198" s="27" t="s">
        <v>11122</v>
      </c>
      <c r="H6198" s="27" t="s">
        <v>35</v>
      </c>
      <c r="I6198" s="27" t="s">
        <v>37</v>
      </c>
      <c r="J6198" s="28" t="s">
        <v>636</v>
      </c>
      <c r="K6198" s="27" t="s">
        <v>37</v>
      </c>
      <c r="L6198" s="27"/>
    </row>
    <row r="6199" customFormat="false" ht="15" hidden="false" customHeight="false" outlineLevel="0" collapsed="false">
      <c r="A6199" s="26" t="s">
        <v>17336</v>
      </c>
      <c r="B6199" s="27" t="s">
        <v>17337</v>
      </c>
      <c r="C6199" s="27" t="s">
        <v>144</v>
      </c>
      <c r="D6199" s="26"/>
      <c r="E6199" s="27"/>
      <c r="F6199" s="27"/>
      <c r="G6199" s="27" t="s">
        <v>11122</v>
      </c>
      <c r="H6199" s="27" t="s">
        <v>35</v>
      </c>
      <c r="I6199" s="27" t="s">
        <v>37</v>
      </c>
      <c r="J6199" s="28" t="s">
        <v>636</v>
      </c>
      <c r="K6199" s="27" t="s">
        <v>37</v>
      </c>
      <c r="L6199" s="27"/>
    </row>
    <row r="6200" customFormat="false" ht="15" hidden="false" customHeight="false" outlineLevel="0" collapsed="false">
      <c r="A6200" s="26" t="s">
        <v>17338</v>
      </c>
      <c r="B6200" s="27" t="s">
        <v>17339</v>
      </c>
      <c r="C6200" s="27" t="s">
        <v>144</v>
      </c>
      <c r="D6200" s="26"/>
      <c r="E6200" s="27"/>
      <c r="F6200" s="27"/>
      <c r="G6200" s="27" t="s">
        <v>11122</v>
      </c>
      <c r="H6200" s="27" t="s">
        <v>35</v>
      </c>
      <c r="I6200" s="27" t="s">
        <v>43</v>
      </c>
      <c r="J6200" s="28" t="s">
        <v>636</v>
      </c>
      <c r="K6200" s="27" t="s">
        <v>37</v>
      </c>
      <c r="L6200" s="27"/>
    </row>
    <row r="6201" customFormat="false" ht="15" hidden="false" customHeight="false" outlineLevel="0" collapsed="false">
      <c r="A6201" s="26" t="s">
        <v>17340</v>
      </c>
      <c r="B6201" s="27" t="s">
        <v>17341</v>
      </c>
      <c r="C6201" s="27" t="s">
        <v>144</v>
      </c>
      <c r="D6201" s="26"/>
      <c r="E6201" s="27"/>
      <c r="F6201" s="27"/>
      <c r="G6201" s="27" t="s">
        <v>11122</v>
      </c>
      <c r="H6201" s="27" t="s">
        <v>35</v>
      </c>
      <c r="I6201" s="27" t="s">
        <v>43</v>
      </c>
      <c r="J6201" s="28" t="s">
        <v>636</v>
      </c>
      <c r="K6201" s="27" t="s">
        <v>37</v>
      </c>
      <c r="L6201" s="27"/>
    </row>
    <row r="6202" customFormat="false" ht="15" hidden="false" customHeight="false" outlineLevel="0" collapsed="false">
      <c r="A6202" s="26" t="s">
        <v>17342</v>
      </c>
      <c r="B6202" s="27" t="s">
        <v>17343</v>
      </c>
      <c r="C6202" s="27" t="s">
        <v>144</v>
      </c>
      <c r="D6202" s="26"/>
      <c r="E6202" s="27"/>
      <c r="F6202" s="27"/>
      <c r="G6202" s="27" t="s">
        <v>11122</v>
      </c>
      <c r="H6202" s="27" t="s">
        <v>35</v>
      </c>
      <c r="I6202" s="27" t="s">
        <v>43</v>
      </c>
      <c r="J6202" s="28" t="s">
        <v>636</v>
      </c>
      <c r="K6202" s="27" t="s">
        <v>37</v>
      </c>
      <c r="L6202" s="27"/>
    </row>
    <row r="6203" customFormat="false" ht="15" hidden="false" customHeight="false" outlineLevel="0" collapsed="false">
      <c r="A6203" s="26" t="s">
        <v>17344</v>
      </c>
      <c r="B6203" s="27" t="s">
        <v>17345</v>
      </c>
      <c r="C6203" s="27" t="s">
        <v>144</v>
      </c>
      <c r="D6203" s="26"/>
      <c r="E6203" s="27"/>
      <c r="F6203" s="27"/>
      <c r="G6203" s="27" t="s">
        <v>11122</v>
      </c>
      <c r="H6203" s="27" t="s">
        <v>35</v>
      </c>
      <c r="I6203" s="27" t="s">
        <v>37</v>
      </c>
      <c r="J6203" s="28" t="s">
        <v>636</v>
      </c>
      <c r="K6203" s="27" t="s">
        <v>37</v>
      </c>
      <c r="L6203" s="27"/>
    </row>
    <row r="6204" customFormat="false" ht="15" hidden="false" customHeight="false" outlineLevel="0" collapsed="false">
      <c r="A6204" s="26" t="s">
        <v>17346</v>
      </c>
      <c r="B6204" s="27" t="s">
        <v>17347</v>
      </c>
      <c r="C6204" s="27" t="s">
        <v>144</v>
      </c>
      <c r="D6204" s="26"/>
      <c r="E6204" s="27"/>
      <c r="F6204" s="27"/>
      <c r="G6204" s="27" t="s">
        <v>11122</v>
      </c>
      <c r="H6204" s="27" t="s">
        <v>35</v>
      </c>
      <c r="I6204" s="27" t="s">
        <v>37</v>
      </c>
      <c r="J6204" s="28" t="s">
        <v>636</v>
      </c>
      <c r="K6204" s="27" t="s">
        <v>37</v>
      </c>
      <c r="L6204" s="27"/>
    </row>
    <row r="6205" customFormat="false" ht="15" hidden="false" customHeight="false" outlineLevel="0" collapsed="false">
      <c r="A6205" s="26" t="s">
        <v>17348</v>
      </c>
      <c r="B6205" s="27" t="s">
        <v>17349</v>
      </c>
      <c r="C6205" s="27" t="s">
        <v>144</v>
      </c>
      <c r="D6205" s="26"/>
      <c r="E6205" s="27"/>
      <c r="F6205" s="27"/>
      <c r="G6205" s="27" t="s">
        <v>11122</v>
      </c>
      <c r="H6205" s="27" t="s">
        <v>35</v>
      </c>
      <c r="I6205" s="27" t="s">
        <v>37</v>
      </c>
      <c r="J6205" s="28" t="s">
        <v>636</v>
      </c>
      <c r="K6205" s="27" t="s">
        <v>37</v>
      </c>
      <c r="L6205" s="27"/>
    </row>
    <row r="6206" customFormat="false" ht="15" hidden="false" customHeight="false" outlineLevel="0" collapsed="false">
      <c r="A6206" s="26" t="s">
        <v>17350</v>
      </c>
      <c r="B6206" s="27" t="s">
        <v>17351</v>
      </c>
      <c r="C6206" s="27" t="s">
        <v>144</v>
      </c>
      <c r="D6206" s="26"/>
      <c r="E6206" s="27"/>
      <c r="F6206" s="27"/>
      <c r="G6206" s="27" t="s">
        <v>11122</v>
      </c>
      <c r="H6206" s="27" t="s">
        <v>35</v>
      </c>
      <c r="I6206" s="27" t="s">
        <v>43</v>
      </c>
      <c r="J6206" s="28" t="s">
        <v>636</v>
      </c>
      <c r="K6206" s="27" t="s">
        <v>37</v>
      </c>
      <c r="L6206" s="27"/>
    </row>
    <row r="6207" customFormat="false" ht="15" hidden="false" customHeight="false" outlineLevel="0" collapsed="false">
      <c r="A6207" s="26" t="s">
        <v>17352</v>
      </c>
      <c r="B6207" s="27" t="s">
        <v>17353</v>
      </c>
      <c r="C6207" s="27" t="s">
        <v>144</v>
      </c>
      <c r="D6207" s="26"/>
      <c r="E6207" s="27"/>
      <c r="F6207" s="27"/>
      <c r="G6207" s="27" t="s">
        <v>11122</v>
      </c>
      <c r="H6207" s="27" t="s">
        <v>35</v>
      </c>
      <c r="I6207" s="27" t="s">
        <v>43</v>
      </c>
      <c r="J6207" s="28" t="s">
        <v>636</v>
      </c>
      <c r="K6207" s="27" t="s">
        <v>37</v>
      </c>
      <c r="L6207" s="27"/>
    </row>
    <row r="6208" customFormat="false" ht="15" hidden="false" customHeight="false" outlineLevel="0" collapsed="false">
      <c r="A6208" s="26" t="s">
        <v>17354</v>
      </c>
      <c r="B6208" s="27" t="s">
        <v>17355</v>
      </c>
      <c r="C6208" s="27" t="s">
        <v>144</v>
      </c>
      <c r="D6208" s="26"/>
      <c r="E6208" s="27"/>
      <c r="F6208" s="27"/>
      <c r="G6208" s="27" t="s">
        <v>11122</v>
      </c>
      <c r="H6208" s="27" t="s">
        <v>35</v>
      </c>
      <c r="I6208" s="27" t="s">
        <v>37</v>
      </c>
      <c r="J6208" s="28" t="s">
        <v>636</v>
      </c>
      <c r="K6208" s="27" t="s">
        <v>37</v>
      </c>
      <c r="L6208" s="27"/>
    </row>
    <row r="6209" customFormat="false" ht="15" hidden="false" customHeight="false" outlineLevel="0" collapsed="false">
      <c r="A6209" s="26" t="s">
        <v>17356</v>
      </c>
      <c r="B6209" s="27" t="s">
        <v>17357</v>
      </c>
      <c r="C6209" s="27" t="s">
        <v>144</v>
      </c>
      <c r="D6209" s="26"/>
      <c r="E6209" s="27"/>
      <c r="F6209" s="27"/>
      <c r="G6209" s="27" t="s">
        <v>11122</v>
      </c>
      <c r="H6209" s="27" t="s">
        <v>35</v>
      </c>
      <c r="I6209" s="27" t="s">
        <v>43</v>
      </c>
      <c r="J6209" s="28" t="s">
        <v>636</v>
      </c>
      <c r="K6209" s="27" t="s">
        <v>37</v>
      </c>
      <c r="L6209" s="27"/>
    </row>
    <row r="6210" customFormat="false" ht="15" hidden="false" customHeight="false" outlineLevel="0" collapsed="false">
      <c r="A6210" s="26" t="s">
        <v>17358</v>
      </c>
      <c r="B6210" s="27" t="s">
        <v>17359</v>
      </c>
      <c r="C6210" s="27" t="s">
        <v>144</v>
      </c>
      <c r="D6210" s="26"/>
      <c r="E6210" s="27"/>
      <c r="F6210" s="27"/>
      <c r="G6210" s="27" t="s">
        <v>11122</v>
      </c>
      <c r="H6210" s="27" t="s">
        <v>35</v>
      </c>
      <c r="I6210" s="27" t="s">
        <v>43</v>
      </c>
      <c r="J6210" s="28" t="s">
        <v>636</v>
      </c>
      <c r="K6210" s="27" t="s">
        <v>37</v>
      </c>
      <c r="L6210" s="27"/>
    </row>
    <row r="6211" customFormat="false" ht="15" hidden="false" customHeight="false" outlineLevel="0" collapsed="false">
      <c r="A6211" s="26" t="s">
        <v>17360</v>
      </c>
      <c r="B6211" s="27" t="s">
        <v>17361</v>
      </c>
      <c r="C6211" s="27" t="s">
        <v>144</v>
      </c>
      <c r="D6211" s="26"/>
      <c r="E6211" s="27"/>
      <c r="F6211" s="27"/>
      <c r="G6211" s="27" t="s">
        <v>11122</v>
      </c>
      <c r="H6211" s="27" t="s">
        <v>35</v>
      </c>
      <c r="I6211" s="27" t="s">
        <v>37</v>
      </c>
      <c r="J6211" s="28" t="s">
        <v>636</v>
      </c>
      <c r="K6211" s="27" t="s">
        <v>37</v>
      </c>
      <c r="L6211" s="27"/>
    </row>
    <row r="6212" customFormat="false" ht="15" hidden="false" customHeight="false" outlineLevel="0" collapsed="false">
      <c r="A6212" s="26" t="s">
        <v>17362</v>
      </c>
      <c r="B6212" s="27" t="s">
        <v>17363</v>
      </c>
      <c r="C6212" s="27" t="s">
        <v>144</v>
      </c>
      <c r="D6212" s="26"/>
      <c r="E6212" s="27"/>
      <c r="F6212" s="27"/>
      <c r="G6212" s="27" t="s">
        <v>11122</v>
      </c>
      <c r="H6212" s="27" t="s">
        <v>35</v>
      </c>
      <c r="I6212" s="27" t="s">
        <v>43</v>
      </c>
      <c r="J6212" s="28" t="s">
        <v>636</v>
      </c>
      <c r="K6212" s="27" t="s">
        <v>37</v>
      </c>
      <c r="L6212" s="27"/>
    </row>
    <row r="6213" customFormat="false" ht="15" hidden="false" customHeight="false" outlineLevel="0" collapsed="false">
      <c r="A6213" s="26" t="s">
        <v>17364</v>
      </c>
      <c r="B6213" s="27" t="s">
        <v>17365</v>
      </c>
      <c r="C6213" s="27" t="s">
        <v>144</v>
      </c>
      <c r="D6213" s="26"/>
      <c r="E6213" s="27"/>
      <c r="F6213" s="27"/>
      <c r="G6213" s="27" t="s">
        <v>11122</v>
      </c>
      <c r="H6213" s="27" t="s">
        <v>35</v>
      </c>
      <c r="I6213" s="27" t="s">
        <v>37</v>
      </c>
      <c r="J6213" s="28" t="s">
        <v>636</v>
      </c>
      <c r="K6213" s="27" t="s">
        <v>37</v>
      </c>
      <c r="L6213" s="27"/>
    </row>
    <row r="6214" customFormat="false" ht="15" hidden="false" customHeight="false" outlineLevel="0" collapsed="false">
      <c r="A6214" s="26" t="s">
        <v>17366</v>
      </c>
      <c r="B6214" s="27" t="s">
        <v>17367</v>
      </c>
      <c r="C6214" s="27" t="s">
        <v>144</v>
      </c>
      <c r="D6214" s="26"/>
      <c r="E6214" s="27"/>
      <c r="F6214" s="27"/>
      <c r="G6214" s="27" t="s">
        <v>11122</v>
      </c>
      <c r="H6214" s="27" t="s">
        <v>35</v>
      </c>
      <c r="I6214" s="27" t="s">
        <v>37</v>
      </c>
      <c r="J6214" s="28" t="s">
        <v>636</v>
      </c>
      <c r="K6214" s="27" t="s">
        <v>37</v>
      </c>
      <c r="L6214" s="27"/>
    </row>
    <row r="6215" customFormat="false" ht="15" hidden="false" customHeight="false" outlineLevel="0" collapsed="false">
      <c r="A6215" s="26" t="s">
        <v>17368</v>
      </c>
      <c r="B6215" s="27" t="s">
        <v>17369</v>
      </c>
      <c r="C6215" s="27" t="s">
        <v>144</v>
      </c>
      <c r="D6215" s="26"/>
      <c r="E6215" s="27"/>
      <c r="F6215" s="27"/>
      <c r="G6215" s="27" t="s">
        <v>11122</v>
      </c>
      <c r="H6215" s="27" t="s">
        <v>35</v>
      </c>
      <c r="I6215" s="27" t="s">
        <v>43</v>
      </c>
      <c r="J6215" s="28" t="s">
        <v>636</v>
      </c>
      <c r="K6215" s="27" t="s">
        <v>37</v>
      </c>
      <c r="L6215" s="27"/>
    </row>
    <row r="6216" customFormat="false" ht="15" hidden="false" customHeight="false" outlineLevel="0" collapsed="false">
      <c r="A6216" s="26" t="s">
        <v>17370</v>
      </c>
      <c r="B6216" s="27" t="s">
        <v>17371</v>
      </c>
      <c r="C6216" s="27" t="s">
        <v>144</v>
      </c>
      <c r="D6216" s="26"/>
      <c r="E6216" s="27"/>
      <c r="F6216" s="27"/>
      <c r="G6216" s="27" t="s">
        <v>11122</v>
      </c>
      <c r="H6216" s="27" t="s">
        <v>35</v>
      </c>
      <c r="I6216" s="27" t="s">
        <v>37</v>
      </c>
      <c r="J6216" s="28" t="s">
        <v>636</v>
      </c>
      <c r="K6216" s="27" t="s">
        <v>37</v>
      </c>
      <c r="L6216" s="27"/>
    </row>
    <row r="6217" customFormat="false" ht="15" hidden="false" customHeight="false" outlineLevel="0" collapsed="false">
      <c r="A6217" s="26" t="s">
        <v>17372</v>
      </c>
      <c r="B6217" s="27" t="s">
        <v>17373</v>
      </c>
      <c r="C6217" s="27" t="s">
        <v>144</v>
      </c>
      <c r="D6217" s="26"/>
      <c r="E6217" s="27"/>
      <c r="F6217" s="27"/>
      <c r="G6217" s="27" t="s">
        <v>11122</v>
      </c>
      <c r="H6217" s="27" t="s">
        <v>35</v>
      </c>
      <c r="I6217" s="27" t="s">
        <v>43</v>
      </c>
      <c r="J6217" s="28" t="s">
        <v>636</v>
      </c>
      <c r="K6217" s="27" t="s">
        <v>37</v>
      </c>
      <c r="L6217" s="27"/>
    </row>
    <row r="6218" customFormat="false" ht="15" hidden="false" customHeight="false" outlineLevel="0" collapsed="false">
      <c r="A6218" s="26" t="s">
        <v>17374</v>
      </c>
      <c r="B6218" s="27" t="s">
        <v>17375</v>
      </c>
      <c r="C6218" s="27" t="s">
        <v>144</v>
      </c>
      <c r="D6218" s="26"/>
      <c r="E6218" s="27"/>
      <c r="F6218" s="27"/>
      <c r="G6218" s="27" t="s">
        <v>11122</v>
      </c>
      <c r="H6218" s="27" t="s">
        <v>35</v>
      </c>
      <c r="I6218" s="27" t="s">
        <v>37</v>
      </c>
      <c r="J6218" s="28" t="s">
        <v>636</v>
      </c>
      <c r="K6218" s="27" t="s">
        <v>37</v>
      </c>
      <c r="L6218" s="27"/>
    </row>
    <row r="6219" customFormat="false" ht="15" hidden="false" customHeight="false" outlineLevel="0" collapsed="false">
      <c r="A6219" s="26" t="s">
        <v>17376</v>
      </c>
      <c r="B6219" s="27" t="s">
        <v>17377</v>
      </c>
      <c r="C6219" s="27" t="s">
        <v>144</v>
      </c>
      <c r="D6219" s="26"/>
      <c r="E6219" s="27"/>
      <c r="F6219" s="27"/>
      <c r="G6219" s="27" t="s">
        <v>11122</v>
      </c>
      <c r="H6219" s="27" t="s">
        <v>35</v>
      </c>
      <c r="I6219" s="27" t="s">
        <v>37</v>
      </c>
      <c r="J6219" s="28" t="s">
        <v>636</v>
      </c>
      <c r="K6219" s="27" t="s">
        <v>37</v>
      </c>
      <c r="L6219" s="27"/>
    </row>
    <row r="6220" customFormat="false" ht="15" hidden="false" customHeight="false" outlineLevel="0" collapsed="false">
      <c r="A6220" s="26" t="s">
        <v>17378</v>
      </c>
      <c r="B6220" s="27" t="s">
        <v>17379</v>
      </c>
      <c r="C6220" s="27" t="s">
        <v>144</v>
      </c>
      <c r="D6220" s="26"/>
      <c r="E6220" s="27"/>
      <c r="F6220" s="27"/>
      <c r="G6220" s="27" t="s">
        <v>11122</v>
      </c>
      <c r="H6220" s="27" t="s">
        <v>35</v>
      </c>
      <c r="I6220" s="27" t="s">
        <v>37</v>
      </c>
      <c r="J6220" s="28" t="s">
        <v>636</v>
      </c>
      <c r="K6220" s="27" t="s">
        <v>37</v>
      </c>
      <c r="L6220" s="27"/>
    </row>
    <row r="6221" customFormat="false" ht="15" hidden="false" customHeight="false" outlineLevel="0" collapsed="false">
      <c r="A6221" s="26" t="s">
        <v>17380</v>
      </c>
      <c r="B6221" s="27" t="s">
        <v>17381</v>
      </c>
      <c r="C6221" s="27" t="s">
        <v>144</v>
      </c>
      <c r="D6221" s="26"/>
      <c r="E6221" s="27"/>
      <c r="F6221" s="27"/>
      <c r="G6221" s="27" t="s">
        <v>11122</v>
      </c>
      <c r="H6221" s="27" t="s">
        <v>35</v>
      </c>
      <c r="I6221" s="27" t="s">
        <v>37</v>
      </c>
      <c r="J6221" s="28" t="s">
        <v>636</v>
      </c>
      <c r="K6221" s="27" t="s">
        <v>37</v>
      </c>
      <c r="L6221" s="27"/>
    </row>
    <row r="6222" customFormat="false" ht="15" hidden="false" customHeight="false" outlineLevel="0" collapsed="false">
      <c r="A6222" s="26" t="s">
        <v>17382</v>
      </c>
      <c r="B6222" s="27" t="s">
        <v>17383</v>
      </c>
      <c r="C6222" s="27" t="s">
        <v>144</v>
      </c>
      <c r="D6222" s="26"/>
      <c r="E6222" s="27"/>
      <c r="F6222" s="27"/>
      <c r="G6222" s="27" t="s">
        <v>11122</v>
      </c>
      <c r="H6222" s="27" t="s">
        <v>35</v>
      </c>
      <c r="I6222" s="27" t="s">
        <v>43</v>
      </c>
      <c r="J6222" s="28" t="s">
        <v>636</v>
      </c>
      <c r="K6222" s="27" t="s">
        <v>37</v>
      </c>
      <c r="L6222" s="27"/>
    </row>
    <row r="6223" customFormat="false" ht="15" hidden="false" customHeight="false" outlineLevel="0" collapsed="false">
      <c r="A6223" s="26" t="s">
        <v>17384</v>
      </c>
      <c r="B6223" s="27" t="s">
        <v>17385</v>
      </c>
      <c r="C6223" s="27" t="s">
        <v>144</v>
      </c>
      <c r="D6223" s="26"/>
      <c r="E6223" s="27"/>
      <c r="F6223" s="27"/>
      <c r="G6223" s="27" t="s">
        <v>11122</v>
      </c>
      <c r="H6223" s="27" t="s">
        <v>35</v>
      </c>
      <c r="I6223" s="27" t="s">
        <v>43</v>
      </c>
      <c r="J6223" s="28" t="s">
        <v>636</v>
      </c>
      <c r="K6223" s="27" t="s">
        <v>37</v>
      </c>
      <c r="L6223" s="27"/>
    </row>
    <row r="6224" customFormat="false" ht="15" hidden="false" customHeight="false" outlineLevel="0" collapsed="false">
      <c r="A6224" s="26" t="s">
        <v>17386</v>
      </c>
      <c r="B6224" s="27" t="s">
        <v>17387</v>
      </c>
      <c r="C6224" s="27" t="s">
        <v>144</v>
      </c>
      <c r="D6224" s="26"/>
      <c r="E6224" s="27"/>
      <c r="F6224" s="27"/>
      <c r="G6224" s="27" t="s">
        <v>11122</v>
      </c>
      <c r="H6224" s="27" t="s">
        <v>35</v>
      </c>
      <c r="I6224" s="27" t="s">
        <v>43</v>
      </c>
      <c r="J6224" s="28" t="s">
        <v>636</v>
      </c>
      <c r="K6224" s="27" t="s">
        <v>37</v>
      </c>
      <c r="L6224" s="27"/>
    </row>
    <row r="6225" customFormat="false" ht="15" hidden="false" customHeight="false" outlineLevel="0" collapsed="false">
      <c r="A6225" s="26" t="s">
        <v>17388</v>
      </c>
      <c r="B6225" s="27" t="s">
        <v>17389</v>
      </c>
      <c r="C6225" s="27" t="s">
        <v>144</v>
      </c>
      <c r="D6225" s="26"/>
      <c r="E6225" s="27"/>
      <c r="F6225" s="27"/>
      <c r="G6225" s="27" t="s">
        <v>11122</v>
      </c>
      <c r="H6225" s="27" t="s">
        <v>35</v>
      </c>
      <c r="I6225" s="27" t="s">
        <v>43</v>
      </c>
      <c r="J6225" s="28" t="s">
        <v>636</v>
      </c>
      <c r="K6225" s="27" t="s">
        <v>37</v>
      </c>
      <c r="L6225" s="27"/>
    </row>
    <row r="6226" customFormat="false" ht="15" hidden="false" customHeight="false" outlineLevel="0" collapsed="false">
      <c r="A6226" s="26" t="s">
        <v>17390</v>
      </c>
      <c r="B6226" s="27" t="s">
        <v>17391</v>
      </c>
      <c r="C6226" s="27" t="s">
        <v>144</v>
      </c>
      <c r="D6226" s="26"/>
      <c r="E6226" s="27"/>
      <c r="F6226" s="27"/>
      <c r="G6226" s="27" t="s">
        <v>11122</v>
      </c>
      <c r="H6226" s="27" t="s">
        <v>35</v>
      </c>
      <c r="I6226" s="27" t="s">
        <v>37</v>
      </c>
      <c r="J6226" s="28" t="s">
        <v>636</v>
      </c>
      <c r="K6226" s="27" t="s">
        <v>37</v>
      </c>
      <c r="L6226" s="27"/>
    </row>
    <row r="6227" customFormat="false" ht="15" hidden="false" customHeight="false" outlineLevel="0" collapsed="false">
      <c r="A6227" s="26" t="s">
        <v>17392</v>
      </c>
      <c r="B6227" s="27" t="s">
        <v>17393</v>
      </c>
      <c r="C6227" s="27" t="s">
        <v>144</v>
      </c>
      <c r="D6227" s="26"/>
      <c r="E6227" s="27"/>
      <c r="F6227" s="27"/>
      <c r="G6227" s="27" t="s">
        <v>11122</v>
      </c>
      <c r="H6227" s="27" t="s">
        <v>35</v>
      </c>
      <c r="I6227" s="27" t="s">
        <v>37</v>
      </c>
      <c r="J6227" s="28" t="s">
        <v>636</v>
      </c>
      <c r="K6227" s="27" t="s">
        <v>37</v>
      </c>
      <c r="L6227" s="27"/>
    </row>
    <row r="6228" customFormat="false" ht="15" hidden="false" customHeight="false" outlineLevel="0" collapsed="false">
      <c r="A6228" s="26" t="s">
        <v>17394</v>
      </c>
      <c r="B6228" s="27" t="s">
        <v>17395</v>
      </c>
      <c r="C6228" s="27" t="s">
        <v>144</v>
      </c>
      <c r="D6228" s="26"/>
      <c r="E6228" s="27"/>
      <c r="F6228" s="27"/>
      <c r="G6228" s="27" t="s">
        <v>11122</v>
      </c>
      <c r="H6228" s="27" t="s">
        <v>35</v>
      </c>
      <c r="I6228" s="27" t="s">
        <v>37</v>
      </c>
      <c r="J6228" s="28" t="s">
        <v>636</v>
      </c>
      <c r="K6228" s="27" t="s">
        <v>37</v>
      </c>
      <c r="L6228" s="27"/>
    </row>
    <row r="6229" customFormat="false" ht="15" hidden="false" customHeight="false" outlineLevel="0" collapsed="false">
      <c r="A6229" s="26" t="s">
        <v>17396</v>
      </c>
      <c r="B6229" s="27" t="s">
        <v>17397</v>
      </c>
      <c r="C6229" s="27" t="s">
        <v>144</v>
      </c>
      <c r="D6229" s="26"/>
      <c r="E6229" s="27"/>
      <c r="F6229" s="27"/>
      <c r="G6229" s="27" t="s">
        <v>11122</v>
      </c>
      <c r="H6229" s="27" t="s">
        <v>35</v>
      </c>
      <c r="I6229" s="27" t="s">
        <v>37</v>
      </c>
      <c r="J6229" s="28" t="s">
        <v>636</v>
      </c>
      <c r="K6229" s="27" t="s">
        <v>37</v>
      </c>
      <c r="L6229" s="27"/>
    </row>
    <row r="6230" customFormat="false" ht="15" hidden="false" customHeight="false" outlineLevel="0" collapsed="false">
      <c r="A6230" s="26" t="s">
        <v>17398</v>
      </c>
      <c r="B6230" s="27" t="s">
        <v>17399</v>
      </c>
      <c r="C6230" s="27" t="s">
        <v>144</v>
      </c>
      <c r="D6230" s="26"/>
      <c r="E6230" s="27"/>
      <c r="F6230" s="27"/>
      <c r="G6230" s="27" t="s">
        <v>11122</v>
      </c>
      <c r="H6230" s="27" t="s">
        <v>35</v>
      </c>
      <c r="I6230" s="27" t="s">
        <v>37</v>
      </c>
      <c r="J6230" s="28" t="s">
        <v>636</v>
      </c>
      <c r="K6230" s="27" t="s">
        <v>37</v>
      </c>
      <c r="L6230" s="27"/>
    </row>
    <row r="6231" customFormat="false" ht="15" hidden="false" customHeight="false" outlineLevel="0" collapsed="false">
      <c r="A6231" s="26" t="s">
        <v>17400</v>
      </c>
      <c r="B6231" s="27" t="s">
        <v>17401</v>
      </c>
      <c r="C6231" s="27" t="s">
        <v>144</v>
      </c>
      <c r="D6231" s="26"/>
      <c r="E6231" s="27"/>
      <c r="F6231" s="27"/>
      <c r="G6231" s="27" t="s">
        <v>11122</v>
      </c>
      <c r="H6231" s="27" t="s">
        <v>35</v>
      </c>
      <c r="I6231" s="27" t="s">
        <v>43</v>
      </c>
      <c r="J6231" s="28" t="s">
        <v>636</v>
      </c>
      <c r="K6231" s="27" t="s">
        <v>37</v>
      </c>
      <c r="L6231" s="27"/>
    </row>
    <row r="6232" customFormat="false" ht="15" hidden="false" customHeight="false" outlineLevel="0" collapsed="false">
      <c r="A6232" s="26" t="s">
        <v>17402</v>
      </c>
      <c r="B6232" s="27" t="s">
        <v>17403</v>
      </c>
      <c r="C6232" s="27" t="s">
        <v>144</v>
      </c>
      <c r="D6232" s="26"/>
      <c r="E6232" s="27"/>
      <c r="F6232" s="27"/>
      <c r="G6232" s="27" t="s">
        <v>11122</v>
      </c>
      <c r="H6232" s="27" t="s">
        <v>35</v>
      </c>
      <c r="I6232" s="27" t="s">
        <v>43</v>
      </c>
      <c r="J6232" s="28" t="s">
        <v>636</v>
      </c>
      <c r="K6232" s="27" t="s">
        <v>37</v>
      </c>
      <c r="L6232" s="27"/>
    </row>
    <row r="6233" customFormat="false" ht="15" hidden="false" customHeight="false" outlineLevel="0" collapsed="false">
      <c r="A6233" s="26" t="s">
        <v>17404</v>
      </c>
      <c r="B6233" s="27" t="s">
        <v>17405</v>
      </c>
      <c r="C6233" s="27" t="s">
        <v>144</v>
      </c>
      <c r="D6233" s="26"/>
      <c r="E6233" s="27"/>
      <c r="F6233" s="27"/>
      <c r="G6233" s="27" t="s">
        <v>11122</v>
      </c>
      <c r="H6233" s="27" t="s">
        <v>35</v>
      </c>
      <c r="I6233" s="27" t="s">
        <v>43</v>
      </c>
      <c r="J6233" s="28" t="s">
        <v>636</v>
      </c>
      <c r="K6233" s="27" t="s">
        <v>37</v>
      </c>
      <c r="L6233" s="27"/>
    </row>
    <row r="6234" customFormat="false" ht="15" hidden="false" customHeight="false" outlineLevel="0" collapsed="false">
      <c r="A6234" s="26" t="s">
        <v>17406</v>
      </c>
      <c r="B6234" s="27" t="s">
        <v>17407</v>
      </c>
      <c r="C6234" s="27" t="s">
        <v>144</v>
      </c>
      <c r="D6234" s="26"/>
      <c r="E6234" s="27"/>
      <c r="F6234" s="27"/>
      <c r="G6234" s="27" t="s">
        <v>11122</v>
      </c>
      <c r="H6234" s="27" t="s">
        <v>35</v>
      </c>
      <c r="I6234" s="27" t="s">
        <v>37</v>
      </c>
      <c r="J6234" s="28" t="s">
        <v>636</v>
      </c>
      <c r="K6234" s="27" t="s">
        <v>37</v>
      </c>
      <c r="L6234" s="27"/>
    </row>
    <row r="6235" customFormat="false" ht="15" hidden="false" customHeight="false" outlineLevel="0" collapsed="false">
      <c r="A6235" s="26" t="s">
        <v>17408</v>
      </c>
      <c r="B6235" s="27" t="s">
        <v>17409</v>
      </c>
      <c r="C6235" s="27" t="s">
        <v>144</v>
      </c>
      <c r="D6235" s="26"/>
      <c r="E6235" s="27"/>
      <c r="F6235" s="27"/>
      <c r="G6235" s="27" t="s">
        <v>11122</v>
      </c>
      <c r="H6235" s="27" t="s">
        <v>35</v>
      </c>
      <c r="I6235" s="27" t="s">
        <v>43</v>
      </c>
      <c r="J6235" s="28" t="s">
        <v>636</v>
      </c>
      <c r="K6235" s="27" t="s">
        <v>37</v>
      </c>
      <c r="L6235" s="27"/>
    </row>
    <row r="6236" customFormat="false" ht="15" hidden="false" customHeight="false" outlineLevel="0" collapsed="false">
      <c r="A6236" s="26" t="s">
        <v>17410</v>
      </c>
      <c r="B6236" s="27" t="s">
        <v>17411</v>
      </c>
      <c r="C6236" s="27" t="s">
        <v>144</v>
      </c>
      <c r="D6236" s="26"/>
      <c r="E6236" s="27"/>
      <c r="F6236" s="27"/>
      <c r="G6236" s="27" t="s">
        <v>11122</v>
      </c>
      <c r="H6236" s="27" t="s">
        <v>35</v>
      </c>
      <c r="I6236" s="27" t="s">
        <v>37</v>
      </c>
      <c r="J6236" s="28" t="s">
        <v>636</v>
      </c>
      <c r="K6236" s="27" t="s">
        <v>37</v>
      </c>
      <c r="L6236" s="27"/>
    </row>
    <row r="6237" customFormat="false" ht="15" hidden="false" customHeight="false" outlineLevel="0" collapsed="false">
      <c r="A6237" s="26" t="s">
        <v>17412</v>
      </c>
      <c r="B6237" s="27" t="s">
        <v>17413</v>
      </c>
      <c r="C6237" s="27" t="s">
        <v>144</v>
      </c>
      <c r="D6237" s="26"/>
      <c r="E6237" s="27"/>
      <c r="F6237" s="27"/>
      <c r="G6237" s="27" t="s">
        <v>11122</v>
      </c>
      <c r="H6237" s="27" t="s">
        <v>35</v>
      </c>
      <c r="I6237" s="27" t="s">
        <v>43</v>
      </c>
      <c r="J6237" s="28" t="s">
        <v>636</v>
      </c>
      <c r="K6237" s="27" t="s">
        <v>37</v>
      </c>
      <c r="L6237" s="27"/>
    </row>
    <row r="6238" customFormat="false" ht="15" hidden="false" customHeight="false" outlineLevel="0" collapsed="false">
      <c r="A6238" s="26" t="s">
        <v>17414</v>
      </c>
      <c r="B6238" s="27" t="s">
        <v>17415</v>
      </c>
      <c r="C6238" s="27" t="s">
        <v>144</v>
      </c>
      <c r="D6238" s="26"/>
      <c r="E6238" s="27"/>
      <c r="F6238" s="27"/>
      <c r="G6238" s="27" t="s">
        <v>11122</v>
      </c>
      <c r="H6238" s="27" t="s">
        <v>35</v>
      </c>
      <c r="I6238" s="27" t="s">
        <v>37</v>
      </c>
      <c r="J6238" s="28" t="s">
        <v>636</v>
      </c>
      <c r="K6238" s="27" t="s">
        <v>37</v>
      </c>
      <c r="L6238" s="27"/>
    </row>
    <row r="6239" customFormat="false" ht="15" hidden="false" customHeight="false" outlineLevel="0" collapsed="false">
      <c r="A6239" s="26" t="s">
        <v>17416</v>
      </c>
      <c r="B6239" s="27" t="s">
        <v>17417</v>
      </c>
      <c r="C6239" s="27" t="s">
        <v>144</v>
      </c>
      <c r="D6239" s="26"/>
      <c r="E6239" s="27"/>
      <c r="F6239" s="27"/>
      <c r="G6239" s="27" t="s">
        <v>11122</v>
      </c>
      <c r="H6239" s="27" t="s">
        <v>35</v>
      </c>
      <c r="I6239" s="27" t="s">
        <v>43</v>
      </c>
      <c r="J6239" s="28" t="s">
        <v>636</v>
      </c>
      <c r="K6239" s="27" t="s">
        <v>37</v>
      </c>
      <c r="L6239" s="27"/>
    </row>
    <row r="6240" customFormat="false" ht="15" hidden="false" customHeight="false" outlineLevel="0" collapsed="false">
      <c r="A6240" s="26" t="s">
        <v>17418</v>
      </c>
      <c r="B6240" s="27" t="s">
        <v>17419</v>
      </c>
      <c r="C6240" s="27" t="s">
        <v>144</v>
      </c>
      <c r="D6240" s="26"/>
      <c r="E6240" s="27"/>
      <c r="F6240" s="27"/>
      <c r="G6240" s="27" t="s">
        <v>11122</v>
      </c>
      <c r="H6240" s="27" t="s">
        <v>35</v>
      </c>
      <c r="I6240" s="27" t="s">
        <v>37</v>
      </c>
      <c r="J6240" s="28" t="s">
        <v>636</v>
      </c>
      <c r="K6240" s="27" t="s">
        <v>37</v>
      </c>
      <c r="L6240" s="27"/>
    </row>
    <row r="6241" customFormat="false" ht="15" hidden="false" customHeight="false" outlineLevel="0" collapsed="false">
      <c r="A6241" s="26" t="s">
        <v>17420</v>
      </c>
      <c r="B6241" s="27" t="s">
        <v>17421</v>
      </c>
      <c r="C6241" s="27" t="s">
        <v>144</v>
      </c>
      <c r="D6241" s="26"/>
      <c r="E6241" s="27"/>
      <c r="F6241" s="27"/>
      <c r="G6241" s="27" t="s">
        <v>11122</v>
      </c>
      <c r="H6241" s="27" t="s">
        <v>35</v>
      </c>
      <c r="I6241" s="27" t="s">
        <v>43</v>
      </c>
      <c r="J6241" s="28" t="s">
        <v>636</v>
      </c>
      <c r="K6241" s="27" t="s">
        <v>37</v>
      </c>
      <c r="L6241" s="27"/>
    </row>
    <row r="6242" customFormat="false" ht="15" hidden="false" customHeight="false" outlineLevel="0" collapsed="false">
      <c r="A6242" s="26" t="s">
        <v>17422</v>
      </c>
      <c r="B6242" s="27" t="s">
        <v>17423</v>
      </c>
      <c r="C6242" s="27" t="s">
        <v>144</v>
      </c>
      <c r="D6242" s="26"/>
      <c r="E6242" s="27"/>
      <c r="F6242" s="27"/>
      <c r="G6242" s="27" t="s">
        <v>11122</v>
      </c>
      <c r="H6242" s="27" t="s">
        <v>35</v>
      </c>
      <c r="I6242" s="27" t="s">
        <v>37</v>
      </c>
      <c r="J6242" s="28" t="s">
        <v>636</v>
      </c>
      <c r="K6242" s="27" t="s">
        <v>37</v>
      </c>
      <c r="L6242" s="27"/>
    </row>
    <row r="6243" customFormat="false" ht="15" hidden="false" customHeight="false" outlineLevel="0" collapsed="false">
      <c r="A6243" s="26" t="s">
        <v>17424</v>
      </c>
      <c r="B6243" s="27" t="s">
        <v>17425</v>
      </c>
      <c r="C6243" s="27" t="s">
        <v>144</v>
      </c>
      <c r="D6243" s="26"/>
      <c r="E6243" s="27"/>
      <c r="F6243" s="27"/>
      <c r="G6243" s="27" t="s">
        <v>11122</v>
      </c>
      <c r="H6243" s="27" t="s">
        <v>35</v>
      </c>
      <c r="I6243" s="27" t="s">
        <v>43</v>
      </c>
      <c r="J6243" s="28" t="s">
        <v>636</v>
      </c>
      <c r="K6243" s="27" t="s">
        <v>37</v>
      </c>
      <c r="L6243" s="27"/>
    </row>
    <row r="6244" customFormat="false" ht="15" hidden="false" customHeight="false" outlineLevel="0" collapsed="false">
      <c r="A6244" s="26" t="s">
        <v>17426</v>
      </c>
      <c r="B6244" s="27" t="s">
        <v>17427</v>
      </c>
      <c r="C6244" s="27" t="s">
        <v>144</v>
      </c>
      <c r="D6244" s="26"/>
      <c r="E6244" s="27"/>
      <c r="F6244" s="27"/>
      <c r="G6244" s="27" t="s">
        <v>11122</v>
      </c>
      <c r="H6244" s="27" t="s">
        <v>35</v>
      </c>
      <c r="I6244" s="27" t="s">
        <v>37</v>
      </c>
      <c r="J6244" s="28" t="s">
        <v>636</v>
      </c>
      <c r="K6244" s="27" t="s">
        <v>37</v>
      </c>
      <c r="L6244" s="27"/>
    </row>
    <row r="6245" customFormat="false" ht="15" hidden="false" customHeight="false" outlineLevel="0" collapsed="false">
      <c r="A6245" s="26" t="s">
        <v>17428</v>
      </c>
      <c r="B6245" s="27" t="s">
        <v>17429</v>
      </c>
      <c r="C6245" s="27" t="s">
        <v>144</v>
      </c>
      <c r="D6245" s="26"/>
      <c r="E6245" s="27"/>
      <c r="F6245" s="27"/>
      <c r="G6245" s="27" t="s">
        <v>11122</v>
      </c>
      <c r="H6245" s="27" t="s">
        <v>35</v>
      </c>
      <c r="I6245" s="27" t="s">
        <v>37</v>
      </c>
      <c r="J6245" s="28" t="s">
        <v>636</v>
      </c>
      <c r="K6245" s="27" t="s">
        <v>37</v>
      </c>
      <c r="L6245" s="27"/>
    </row>
    <row r="6246" customFormat="false" ht="15" hidden="false" customHeight="false" outlineLevel="0" collapsed="false">
      <c r="A6246" s="26" t="s">
        <v>17430</v>
      </c>
      <c r="B6246" s="27" t="s">
        <v>17431</v>
      </c>
      <c r="C6246" s="27" t="s">
        <v>144</v>
      </c>
      <c r="D6246" s="26"/>
      <c r="E6246" s="27"/>
      <c r="F6246" s="27"/>
      <c r="G6246" s="27" t="s">
        <v>11122</v>
      </c>
      <c r="H6246" s="27" t="s">
        <v>35</v>
      </c>
      <c r="I6246" s="27" t="s">
        <v>37</v>
      </c>
      <c r="J6246" s="28" t="s">
        <v>636</v>
      </c>
      <c r="K6246" s="27" t="s">
        <v>37</v>
      </c>
      <c r="L6246" s="27"/>
    </row>
    <row r="6247" customFormat="false" ht="15" hidden="false" customHeight="false" outlineLevel="0" collapsed="false">
      <c r="A6247" s="26" t="s">
        <v>17432</v>
      </c>
      <c r="B6247" s="27" t="s">
        <v>17433</v>
      </c>
      <c r="C6247" s="27" t="s">
        <v>144</v>
      </c>
      <c r="D6247" s="26"/>
      <c r="E6247" s="27"/>
      <c r="F6247" s="27"/>
      <c r="G6247" s="27" t="s">
        <v>11122</v>
      </c>
      <c r="H6247" s="27" t="s">
        <v>35</v>
      </c>
      <c r="I6247" s="27" t="s">
        <v>43</v>
      </c>
      <c r="J6247" s="28" t="s">
        <v>636</v>
      </c>
      <c r="K6247" s="27" t="s">
        <v>37</v>
      </c>
      <c r="L6247" s="27"/>
    </row>
    <row r="6248" customFormat="false" ht="15" hidden="false" customHeight="false" outlineLevel="0" collapsed="false">
      <c r="A6248" s="26" t="s">
        <v>17434</v>
      </c>
      <c r="B6248" s="27" t="s">
        <v>17435</v>
      </c>
      <c r="C6248" s="27" t="s">
        <v>144</v>
      </c>
      <c r="D6248" s="26"/>
      <c r="E6248" s="27"/>
      <c r="F6248" s="27"/>
      <c r="G6248" s="27" t="s">
        <v>11122</v>
      </c>
      <c r="H6248" s="27" t="s">
        <v>35</v>
      </c>
      <c r="I6248" s="27" t="s">
        <v>43</v>
      </c>
      <c r="J6248" s="28" t="s">
        <v>636</v>
      </c>
      <c r="K6248" s="27" t="s">
        <v>37</v>
      </c>
      <c r="L6248" s="27"/>
    </row>
    <row r="6249" customFormat="false" ht="15" hidden="false" customHeight="false" outlineLevel="0" collapsed="false">
      <c r="A6249" s="26" t="s">
        <v>17436</v>
      </c>
      <c r="B6249" s="27" t="s">
        <v>17437</v>
      </c>
      <c r="C6249" s="27" t="s">
        <v>144</v>
      </c>
      <c r="D6249" s="26"/>
      <c r="E6249" s="27"/>
      <c r="F6249" s="27"/>
      <c r="G6249" s="27" t="s">
        <v>11122</v>
      </c>
      <c r="H6249" s="27" t="s">
        <v>35</v>
      </c>
      <c r="I6249" s="27" t="s">
        <v>37</v>
      </c>
      <c r="J6249" s="28" t="s">
        <v>636</v>
      </c>
      <c r="K6249" s="27" t="s">
        <v>37</v>
      </c>
      <c r="L6249" s="27"/>
    </row>
    <row r="6250" customFormat="false" ht="15" hidden="false" customHeight="false" outlineLevel="0" collapsed="false">
      <c r="A6250" s="26" t="s">
        <v>17438</v>
      </c>
      <c r="B6250" s="27" t="s">
        <v>17439</v>
      </c>
      <c r="C6250" s="27" t="s">
        <v>144</v>
      </c>
      <c r="D6250" s="26"/>
      <c r="E6250" s="27"/>
      <c r="F6250" s="27"/>
      <c r="G6250" s="27" t="s">
        <v>11122</v>
      </c>
      <c r="H6250" s="27" t="s">
        <v>35</v>
      </c>
      <c r="I6250" s="27" t="s">
        <v>37</v>
      </c>
      <c r="J6250" s="28" t="s">
        <v>636</v>
      </c>
      <c r="K6250" s="27" t="s">
        <v>37</v>
      </c>
      <c r="L6250" s="27"/>
    </row>
    <row r="6251" customFormat="false" ht="15" hidden="false" customHeight="false" outlineLevel="0" collapsed="false">
      <c r="A6251" s="26" t="s">
        <v>17440</v>
      </c>
      <c r="B6251" s="27" t="s">
        <v>17441</v>
      </c>
      <c r="C6251" s="27" t="s">
        <v>144</v>
      </c>
      <c r="D6251" s="26"/>
      <c r="E6251" s="27"/>
      <c r="F6251" s="27"/>
      <c r="G6251" s="27" t="s">
        <v>11122</v>
      </c>
      <c r="H6251" s="27" t="s">
        <v>35</v>
      </c>
      <c r="I6251" s="27" t="s">
        <v>43</v>
      </c>
      <c r="J6251" s="28" t="s">
        <v>636</v>
      </c>
      <c r="K6251" s="27" t="s">
        <v>37</v>
      </c>
      <c r="L6251" s="27"/>
    </row>
    <row r="6252" customFormat="false" ht="15" hidden="false" customHeight="false" outlineLevel="0" collapsed="false">
      <c r="A6252" s="26" t="s">
        <v>17442</v>
      </c>
      <c r="B6252" s="27" t="s">
        <v>17443</v>
      </c>
      <c r="C6252" s="27" t="s">
        <v>144</v>
      </c>
      <c r="D6252" s="26"/>
      <c r="E6252" s="27"/>
      <c r="F6252" s="27"/>
      <c r="G6252" s="27" t="s">
        <v>11122</v>
      </c>
      <c r="H6252" s="27" t="s">
        <v>35</v>
      </c>
      <c r="I6252" s="27" t="s">
        <v>37</v>
      </c>
      <c r="J6252" s="28" t="s">
        <v>636</v>
      </c>
      <c r="K6252" s="27" t="s">
        <v>37</v>
      </c>
      <c r="L6252" s="27"/>
    </row>
    <row r="6253" customFormat="false" ht="15" hidden="false" customHeight="false" outlineLevel="0" collapsed="false">
      <c r="A6253" s="26" t="s">
        <v>17444</v>
      </c>
      <c r="B6253" s="27" t="s">
        <v>17445</v>
      </c>
      <c r="C6253" s="27" t="s">
        <v>144</v>
      </c>
      <c r="D6253" s="26"/>
      <c r="E6253" s="27"/>
      <c r="F6253" s="27"/>
      <c r="G6253" s="27" t="s">
        <v>11122</v>
      </c>
      <c r="H6253" s="27" t="s">
        <v>35</v>
      </c>
      <c r="I6253" s="27" t="s">
        <v>37</v>
      </c>
      <c r="J6253" s="28" t="s">
        <v>636</v>
      </c>
      <c r="K6253" s="27" t="s">
        <v>37</v>
      </c>
      <c r="L6253" s="27"/>
    </row>
    <row r="6254" customFormat="false" ht="15" hidden="false" customHeight="false" outlineLevel="0" collapsed="false">
      <c r="A6254" s="26" t="s">
        <v>17446</v>
      </c>
      <c r="B6254" s="27" t="s">
        <v>17447</v>
      </c>
      <c r="C6254" s="27" t="s">
        <v>144</v>
      </c>
      <c r="D6254" s="26"/>
      <c r="E6254" s="27"/>
      <c r="F6254" s="27"/>
      <c r="G6254" s="27" t="s">
        <v>11122</v>
      </c>
      <c r="H6254" s="27" t="s">
        <v>35</v>
      </c>
      <c r="I6254" s="27" t="s">
        <v>37</v>
      </c>
      <c r="J6254" s="28" t="s">
        <v>636</v>
      </c>
      <c r="K6254" s="27" t="s">
        <v>37</v>
      </c>
      <c r="L6254" s="27"/>
    </row>
    <row r="6255" customFormat="false" ht="15" hidden="false" customHeight="false" outlineLevel="0" collapsed="false">
      <c r="A6255" s="26" t="s">
        <v>17448</v>
      </c>
      <c r="B6255" s="27" t="s">
        <v>17449</v>
      </c>
      <c r="C6255" s="27" t="s">
        <v>144</v>
      </c>
      <c r="D6255" s="26"/>
      <c r="E6255" s="27"/>
      <c r="F6255" s="27"/>
      <c r="G6255" s="27" t="s">
        <v>11122</v>
      </c>
      <c r="H6255" s="27" t="s">
        <v>35</v>
      </c>
      <c r="I6255" s="27" t="s">
        <v>37</v>
      </c>
      <c r="J6255" s="28" t="s">
        <v>636</v>
      </c>
      <c r="K6255" s="27" t="s">
        <v>37</v>
      </c>
      <c r="L6255" s="27"/>
    </row>
    <row r="6256" customFormat="false" ht="15" hidden="false" customHeight="false" outlineLevel="0" collapsed="false">
      <c r="A6256" s="26" t="s">
        <v>17450</v>
      </c>
      <c r="B6256" s="27" t="s">
        <v>17451</v>
      </c>
      <c r="C6256" s="27" t="s">
        <v>144</v>
      </c>
      <c r="D6256" s="26"/>
      <c r="E6256" s="27"/>
      <c r="F6256" s="27"/>
      <c r="G6256" s="27" t="s">
        <v>11122</v>
      </c>
      <c r="H6256" s="27" t="s">
        <v>35</v>
      </c>
      <c r="I6256" s="27" t="s">
        <v>37</v>
      </c>
      <c r="J6256" s="28" t="s">
        <v>636</v>
      </c>
      <c r="K6256" s="27" t="s">
        <v>37</v>
      </c>
      <c r="L6256" s="27"/>
    </row>
    <row r="6257" customFormat="false" ht="15" hidden="false" customHeight="false" outlineLevel="0" collapsed="false">
      <c r="A6257" s="26" t="s">
        <v>17452</v>
      </c>
      <c r="B6257" s="27" t="s">
        <v>17453</v>
      </c>
      <c r="C6257" s="27" t="s">
        <v>144</v>
      </c>
      <c r="D6257" s="26"/>
      <c r="E6257" s="27"/>
      <c r="F6257" s="27"/>
      <c r="G6257" s="27" t="s">
        <v>11122</v>
      </c>
      <c r="H6257" s="27" t="s">
        <v>35</v>
      </c>
      <c r="I6257" s="27" t="s">
        <v>37</v>
      </c>
      <c r="J6257" s="28" t="s">
        <v>636</v>
      </c>
      <c r="K6257" s="27" t="s">
        <v>37</v>
      </c>
      <c r="L6257" s="27"/>
    </row>
    <row r="6258" customFormat="false" ht="15" hidden="false" customHeight="false" outlineLevel="0" collapsed="false">
      <c r="A6258" s="26" t="s">
        <v>17454</v>
      </c>
      <c r="B6258" s="27" t="s">
        <v>17455</v>
      </c>
      <c r="C6258" s="27" t="s">
        <v>144</v>
      </c>
      <c r="D6258" s="26"/>
      <c r="E6258" s="27"/>
      <c r="F6258" s="27"/>
      <c r="G6258" s="27" t="s">
        <v>11122</v>
      </c>
      <c r="H6258" s="27" t="s">
        <v>35</v>
      </c>
      <c r="I6258" s="27" t="s">
        <v>37</v>
      </c>
      <c r="J6258" s="28" t="s">
        <v>636</v>
      </c>
      <c r="K6258" s="27" t="s">
        <v>37</v>
      </c>
      <c r="L6258" s="27"/>
    </row>
    <row r="6259" customFormat="false" ht="15" hidden="false" customHeight="false" outlineLevel="0" collapsed="false">
      <c r="A6259" s="26" t="s">
        <v>17456</v>
      </c>
      <c r="B6259" s="27" t="s">
        <v>17457</v>
      </c>
      <c r="C6259" s="27" t="s">
        <v>144</v>
      </c>
      <c r="D6259" s="26"/>
      <c r="E6259" s="27"/>
      <c r="F6259" s="27"/>
      <c r="G6259" s="27" t="s">
        <v>11122</v>
      </c>
      <c r="H6259" s="27" t="s">
        <v>35</v>
      </c>
      <c r="I6259" s="27" t="s">
        <v>37</v>
      </c>
      <c r="J6259" s="28" t="s">
        <v>636</v>
      </c>
      <c r="K6259" s="27" t="s">
        <v>37</v>
      </c>
      <c r="L6259" s="27"/>
    </row>
    <row r="6260" customFormat="false" ht="15" hidden="false" customHeight="false" outlineLevel="0" collapsed="false">
      <c r="A6260" s="26" t="s">
        <v>17458</v>
      </c>
      <c r="B6260" s="27" t="s">
        <v>17459</v>
      </c>
      <c r="C6260" s="27" t="s">
        <v>144</v>
      </c>
      <c r="D6260" s="26"/>
      <c r="E6260" s="27"/>
      <c r="F6260" s="27"/>
      <c r="G6260" s="27" t="s">
        <v>11122</v>
      </c>
      <c r="H6260" s="27" t="s">
        <v>35</v>
      </c>
      <c r="I6260" s="27" t="s">
        <v>37</v>
      </c>
      <c r="J6260" s="28" t="s">
        <v>636</v>
      </c>
      <c r="K6260" s="27" t="s">
        <v>37</v>
      </c>
      <c r="L6260" s="27"/>
    </row>
    <row r="6261" customFormat="false" ht="15" hidden="false" customHeight="false" outlineLevel="0" collapsed="false">
      <c r="A6261" s="26" t="s">
        <v>17460</v>
      </c>
      <c r="B6261" s="27" t="s">
        <v>17461</v>
      </c>
      <c r="C6261" s="27" t="s">
        <v>144</v>
      </c>
      <c r="D6261" s="26"/>
      <c r="E6261" s="27"/>
      <c r="F6261" s="27"/>
      <c r="G6261" s="27" t="s">
        <v>11122</v>
      </c>
      <c r="H6261" s="27" t="s">
        <v>35</v>
      </c>
      <c r="I6261" s="27" t="s">
        <v>37</v>
      </c>
      <c r="J6261" s="28" t="s">
        <v>636</v>
      </c>
      <c r="K6261" s="27" t="s">
        <v>37</v>
      </c>
      <c r="L6261" s="27"/>
    </row>
    <row r="6262" customFormat="false" ht="15" hidden="false" customHeight="false" outlineLevel="0" collapsed="false">
      <c r="A6262" s="26" t="s">
        <v>17462</v>
      </c>
      <c r="B6262" s="27" t="s">
        <v>17463</v>
      </c>
      <c r="C6262" s="27" t="s">
        <v>144</v>
      </c>
      <c r="D6262" s="26"/>
      <c r="E6262" s="27"/>
      <c r="F6262" s="27"/>
      <c r="G6262" s="27" t="s">
        <v>11122</v>
      </c>
      <c r="H6262" s="27" t="s">
        <v>35</v>
      </c>
      <c r="I6262" s="27" t="s">
        <v>37</v>
      </c>
      <c r="J6262" s="28" t="s">
        <v>636</v>
      </c>
      <c r="K6262" s="27" t="s">
        <v>37</v>
      </c>
      <c r="L6262" s="27"/>
    </row>
    <row r="6263" customFormat="false" ht="15" hidden="false" customHeight="false" outlineLevel="0" collapsed="false">
      <c r="A6263" s="26" t="s">
        <v>17464</v>
      </c>
      <c r="B6263" s="27" t="s">
        <v>17465</v>
      </c>
      <c r="C6263" s="27" t="s">
        <v>144</v>
      </c>
      <c r="D6263" s="26"/>
      <c r="E6263" s="27"/>
      <c r="F6263" s="27"/>
      <c r="G6263" s="27" t="s">
        <v>11122</v>
      </c>
      <c r="H6263" s="27" t="s">
        <v>35</v>
      </c>
      <c r="I6263" s="27" t="s">
        <v>37</v>
      </c>
      <c r="J6263" s="28" t="s">
        <v>636</v>
      </c>
      <c r="K6263" s="27" t="s">
        <v>37</v>
      </c>
      <c r="L6263" s="27"/>
    </row>
    <row r="6264" customFormat="false" ht="15" hidden="false" customHeight="false" outlineLevel="0" collapsed="false">
      <c r="A6264" s="26" t="s">
        <v>17466</v>
      </c>
      <c r="B6264" s="27" t="s">
        <v>17467</v>
      </c>
      <c r="C6264" s="27" t="s">
        <v>144</v>
      </c>
      <c r="D6264" s="26"/>
      <c r="E6264" s="27"/>
      <c r="F6264" s="27"/>
      <c r="G6264" s="27" t="s">
        <v>11122</v>
      </c>
      <c r="H6264" s="27" t="s">
        <v>35</v>
      </c>
      <c r="I6264" s="27" t="s">
        <v>43</v>
      </c>
      <c r="J6264" s="28" t="s">
        <v>636</v>
      </c>
      <c r="K6264" s="27" t="s">
        <v>37</v>
      </c>
      <c r="L6264" s="27"/>
    </row>
    <row r="6265" customFormat="false" ht="15" hidden="false" customHeight="false" outlineLevel="0" collapsed="false">
      <c r="A6265" s="26" t="s">
        <v>17468</v>
      </c>
      <c r="B6265" s="27" t="s">
        <v>17469</v>
      </c>
      <c r="C6265" s="27" t="s">
        <v>144</v>
      </c>
      <c r="D6265" s="26"/>
      <c r="E6265" s="27"/>
      <c r="F6265" s="27"/>
      <c r="G6265" s="27" t="s">
        <v>11122</v>
      </c>
      <c r="H6265" s="27" t="s">
        <v>35</v>
      </c>
      <c r="I6265" s="27" t="s">
        <v>37</v>
      </c>
      <c r="J6265" s="28" t="s">
        <v>636</v>
      </c>
      <c r="K6265" s="27" t="s">
        <v>37</v>
      </c>
      <c r="L6265" s="27"/>
    </row>
    <row r="6266" customFormat="false" ht="15" hidden="false" customHeight="false" outlineLevel="0" collapsed="false">
      <c r="A6266" s="26" t="s">
        <v>17470</v>
      </c>
      <c r="B6266" s="27" t="s">
        <v>17471</v>
      </c>
      <c r="C6266" s="27" t="s">
        <v>144</v>
      </c>
      <c r="D6266" s="26"/>
      <c r="E6266" s="27"/>
      <c r="F6266" s="27"/>
      <c r="G6266" s="27" t="s">
        <v>11122</v>
      </c>
      <c r="H6266" s="27" t="s">
        <v>35</v>
      </c>
      <c r="I6266" s="27" t="s">
        <v>43</v>
      </c>
      <c r="J6266" s="28" t="s">
        <v>636</v>
      </c>
      <c r="K6266" s="27" t="s">
        <v>37</v>
      </c>
      <c r="L6266" s="27"/>
    </row>
    <row r="6267" customFormat="false" ht="15" hidden="false" customHeight="false" outlineLevel="0" collapsed="false">
      <c r="A6267" s="26" t="s">
        <v>17472</v>
      </c>
      <c r="B6267" s="27" t="s">
        <v>17473</v>
      </c>
      <c r="C6267" s="27" t="s">
        <v>144</v>
      </c>
      <c r="D6267" s="26"/>
      <c r="E6267" s="27"/>
      <c r="F6267" s="27"/>
      <c r="G6267" s="27" t="s">
        <v>11122</v>
      </c>
      <c r="H6267" s="27" t="s">
        <v>35</v>
      </c>
      <c r="I6267" s="27" t="s">
        <v>37</v>
      </c>
      <c r="J6267" s="28" t="s">
        <v>636</v>
      </c>
      <c r="K6267" s="27" t="s">
        <v>37</v>
      </c>
      <c r="L6267" s="27"/>
    </row>
    <row r="6268" customFormat="false" ht="15" hidden="false" customHeight="false" outlineLevel="0" collapsed="false">
      <c r="A6268" s="26" t="s">
        <v>17474</v>
      </c>
      <c r="B6268" s="27" t="s">
        <v>17475</v>
      </c>
      <c r="C6268" s="27" t="s">
        <v>144</v>
      </c>
      <c r="D6268" s="26"/>
      <c r="E6268" s="27"/>
      <c r="F6268" s="27"/>
      <c r="G6268" s="27" t="s">
        <v>11122</v>
      </c>
      <c r="H6268" s="27" t="s">
        <v>35</v>
      </c>
      <c r="I6268" s="27" t="s">
        <v>37</v>
      </c>
      <c r="J6268" s="28" t="s">
        <v>636</v>
      </c>
      <c r="K6268" s="27" t="s">
        <v>37</v>
      </c>
      <c r="L6268" s="27"/>
    </row>
    <row r="6269" customFormat="false" ht="15" hidden="false" customHeight="false" outlineLevel="0" collapsed="false">
      <c r="A6269" s="26" t="s">
        <v>17476</v>
      </c>
      <c r="B6269" s="27" t="s">
        <v>17477</v>
      </c>
      <c r="C6269" s="27" t="s">
        <v>144</v>
      </c>
      <c r="D6269" s="26"/>
      <c r="E6269" s="27"/>
      <c r="F6269" s="27"/>
      <c r="G6269" s="27" t="s">
        <v>11122</v>
      </c>
      <c r="H6269" s="27" t="s">
        <v>35</v>
      </c>
      <c r="I6269" s="27" t="s">
        <v>37</v>
      </c>
      <c r="J6269" s="28" t="s">
        <v>636</v>
      </c>
      <c r="K6269" s="27" t="s">
        <v>37</v>
      </c>
      <c r="L6269" s="27"/>
    </row>
    <row r="6270" customFormat="false" ht="15" hidden="false" customHeight="false" outlineLevel="0" collapsed="false">
      <c r="A6270" s="26" t="s">
        <v>17478</v>
      </c>
      <c r="B6270" s="27" t="s">
        <v>17479</v>
      </c>
      <c r="C6270" s="27" t="s">
        <v>144</v>
      </c>
      <c r="D6270" s="26"/>
      <c r="E6270" s="27"/>
      <c r="F6270" s="27"/>
      <c r="G6270" s="27" t="s">
        <v>11122</v>
      </c>
      <c r="H6270" s="27" t="s">
        <v>35</v>
      </c>
      <c r="I6270" s="27" t="s">
        <v>43</v>
      </c>
      <c r="J6270" s="28" t="s">
        <v>636</v>
      </c>
      <c r="K6270" s="27" t="s">
        <v>37</v>
      </c>
      <c r="L6270" s="27"/>
    </row>
    <row r="6271" customFormat="false" ht="15" hidden="false" customHeight="false" outlineLevel="0" collapsed="false">
      <c r="A6271" s="26" t="s">
        <v>17480</v>
      </c>
      <c r="B6271" s="27" t="s">
        <v>17481</v>
      </c>
      <c r="C6271" s="27" t="s">
        <v>144</v>
      </c>
      <c r="D6271" s="26"/>
      <c r="E6271" s="27"/>
      <c r="F6271" s="27"/>
      <c r="G6271" s="27" t="s">
        <v>11122</v>
      </c>
      <c r="H6271" s="27" t="s">
        <v>35</v>
      </c>
      <c r="I6271" s="27" t="s">
        <v>37</v>
      </c>
      <c r="J6271" s="28" t="s">
        <v>636</v>
      </c>
      <c r="K6271" s="27" t="s">
        <v>37</v>
      </c>
      <c r="L6271" s="27"/>
    </row>
    <row r="6272" customFormat="false" ht="15" hidden="false" customHeight="false" outlineLevel="0" collapsed="false">
      <c r="A6272" s="26" t="s">
        <v>17482</v>
      </c>
      <c r="B6272" s="27" t="s">
        <v>17483</v>
      </c>
      <c r="C6272" s="27" t="s">
        <v>144</v>
      </c>
      <c r="D6272" s="26"/>
      <c r="E6272" s="27"/>
      <c r="F6272" s="27"/>
      <c r="G6272" s="27" t="s">
        <v>11122</v>
      </c>
      <c r="H6272" s="27" t="s">
        <v>35</v>
      </c>
      <c r="I6272" s="27" t="s">
        <v>37</v>
      </c>
      <c r="J6272" s="28" t="s">
        <v>636</v>
      </c>
      <c r="K6272" s="27" t="s">
        <v>37</v>
      </c>
      <c r="L6272" s="27"/>
    </row>
    <row r="6273" customFormat="false" ht="15" hidden="false" customHeight="false" outlineLevel="0" collapsed="false">
      <c r="A6273" s="26" t="s">
        <v>17484</v>
      </c>
      <c r="B6273" s="27" t="s">
        <v>17485</v>
      </c>
      <c r="C6273" s="27" t="s">
        <v>144</v>
      </c>
      <c r="D6273" s="26"/>
      <c r="E6273" s="27"/>
      <c r="F6273" s="27"/>
      <c r="G6273" s="27" t="s">
        <v>11122</v>
      </c>
      <c r="H6273" s="27" t="s">
        <v>35</v>
      </c>
      <c r="I6273" s="27" t="s">
        <v>37</v>
      </c>
      <c r="J6273" s="28" t="s">
        <v>636</v>
      </c>
      <c r="K6273" s="27" t="s">
        <v>37</v>
      </c>
      <c r="L6273" s="27"/>
    </row>
    <row r="6274" customFormat="false" ht="15" hidden="false" customHeight="false" outlineLevel="0" collapsed="false">
      <c r="A6274" s="26" t="s">
        <v>17486</v>
      </c>
      <c r="B6274" s="27" t="s">
        <v>17487</v>
      </c>
      <c r="C6274" s="27" t="s">
        <v>144</v>
      </c>
      <c r="D6274" s="26"/>
      <c r="E6274" s="27"/>
      <c r="F6274" s="27"/>
      <c r="G6274" s="27" t="s">
        <v>11122</v>
      </c>
      <c r="H6274" s="27" t="s">
        <v>35</v>
      </c>
      <c r="I6274" s="27" t="s">
        <v>37</v>
      </c>
      <c r="J6274" s="28" t="s">
        <v>636</v>
      </c>
      <c r="K6274" s="27" t="s">
        <v>37</v>
      </c>
      <c r="L6274" s="27"/>
    </row>
    <row r="6275" customFormat="false" ht="15" hidden="false" customHeight="false" outlineLevel="0" collapsed="false">
      <c r="A6275" s="26" t="s">
        <v>17488</v>
      </c>
      <c r="B6275" s="27" t="s">
        <v>17489</v>
      </c>
      <c r="C6275" s="27" t="s">
        <v>144</v>
      </c>
      <c r="D6275" s="26"/>
      <c r="E6275" s="27"/>
      <c r="F6275" s="27"/>
      <c r="G6275" s="27" t="s">
        <v>11122</v>
      </c>
      <c r="H6275" s="27" t="s">
        <v>35</v>
      </c>
      <c r="I6275" s="27" t="s">
        <v>43</v>
      </c>
      <c r="J6275" s="28" t="s">
        <v>636</v>
      </c>
      <c r="K6275" s="27" t="s">
        <v>37</v>
      </c>
      <c r="L6275" s="27"/>
    </row>
    <row r="6276" customFormat="false" ht="15" hidden="false" customHeight="false" outlineLevel="0" collapsed="false">
      <c r="A6276" s="26" t="s">
        <v>17490</v>
      </c>
      <c r="B6276" s="27" t="s">
        <v>17491</v>
      </c>
      <c r="C6276" s="27" t="s">
        <v>144</v>
      </c>
      <c r="D6276" s="26"/>
      <c r="E6276" s="27"/>
      <c r="F6276" s="27"/>
      <c r="G6276" s="27" t="s">
        <v>11122</v>
      </c>
      <c r="H6276" s="27" t="s">
        <v>35</v>
      </c>
      <c r="I6276" s="27" t="s">
        <v>37</v>
      </c>
      <c r="J6276" s="28" t="s">
        <v>636</v>
      </c>
      <c r="K6276" s="27" t="s">
        <v>37</v>
      </c>
      <c r="L6276" s="27"/>
    </row>
    <row r="6277" customFormat="false" ht="15" hidden="false" customHeight="false" outlineLevel="0" collapsed="false">
      <c r="A6277" s="26" t="s">
        <v>17492</v>
      </c>
      <c r="B6277" s="27" t="s">
        <v>17493</v>
      </c>
      <c r="C6277" s="27" t="s">
        <v>144</v>
      </c>
      <c r="D6277" s="26"/>
      <c r="E6277" s="27"/>
      <c r="F6277" s="27"/>
      <c r="G6277" s="27" t="s">
        <v>11122</v>
      </c>
      <c r="H6277" s="27" t="s">
        <v>35</v>
      </c>
      <c r="I6277" s="27" t="s">
        <v>37</v>
      </c>
      <c r="J6277" s="28" t="s">
        <v>636</v>
      </c>
      <c r="K6277" s="27" t="s">
        <v>37</v>
      </c>
      <c r="L6277" s="27"/>
    </row>
    <row r="6278" customFormat="false" ht="15" hidden="false" customHeight="false" outlineLevel="0" collapsed="false">
      <c r="A6278" s="26" t="s">
        <v>17494</v>
      </c>
      <c r="B6278" s="27" t="s">
        <v>17495</v>
      </c>
      <c r="C6278" s="27" t="s">
        <v>144</v>
      </c>
      <c r="D6278" s="26"/>
      <c r="E6278" s="27"/>
      <c r="F6278" s="27"/>
      <c r="G6278" s="27" t="s">
        <v>11122</v>
      </c>
      <c r="H6278" s="27" t="s">
        <v>35</v>
      </c>
      <c r="I6278" s="27" t="s">
        <v>37</v>
      </c>
      <c r="J6278" s="28" t="s">
        <v>636</v>
      </c>
      <c r="K6278" s="27" t="s">
        <v>37</v>
      </c>
      <c r="L6278" s="27"/>
    </row>
    <row r="6279" customFormat="false" ht="15" hidden="false" customHeight="false" outlineLevel="0" collapsed="false">
      <c r="A6279" s="26" t="s">
        <v>17496</v>
      </c>
      <c r="B6279" s="27" t="s">
        <v>17497</v>
      </c>
      <c r="C6279" s="27" t="s">
        <v>144</v>
      </c>
      <c r="D6279" s="26"/>
      <c r="E6279" s="27"/>
      <c r="F6279" s="27"/>
      <c r="G6279" s="27" t="s">
        <v>11122</v>
      </c>
      <c r="H6279" s="27" t="s">
        <v>35</v>
      </c>
      <c r="I6279" s="27" t="s">
        <v>37</v>
      </c>
      <c r="J6279" s="28" t="s">
        <v>636</v>
      </c>
      <c r="K6279" s="27" t="s">
        <v>37</v>
      </c>
      <c r="L6279" s="27"/>
    </row>
    <row r="6280" customFormat="false" ht="15" hidden="false" customHeight="false" outlineLevel="0" collapsed="false">
      <c r="A6280" s="26" t="s">
        <v>17498</v>
      </c>
      <c r="B6280" s="27" t="s">
        <v>17499</v>
      </c>
      <c r="C6280" s="27" t="s">
        <v>144</v>
      </c>
      <c r="D6280" s="26"/>
      <c r="E6280" s="27"/>
      <c r="F6280" s="27"/>
      <c r="G6280" s="27" t="s">
        <v>11122</v>
      </c>
      <c r="H6280" s="27" t="s">
        <v>35</v>
      </c>
      <c r="I6280" s="27" t="s">
        <v>37</v>
      </c>
      <c r="J6280" s="28" t="s">
        <v>636</v>
      </c>
      <c r="K6280" s="27" t="s">
        <v>37</v>
      </c>
      <c r="L6280" s="27"/>
    </row>
    <row r="6281" customFormat="false" ht="15" hidden="false" customHeight="false" outlineLevel="0" collapsed="false">
      <c r="A6281" s="26" t="s">
        <v>17500</v>
      </c>
      <c r="B6281" s="27" t="s">
        <v>17501</v>
      </c>
      <c r="C6281" s="27" t="s">
        <v>144</v>
      </c>
      <c r="D6281" s="26"/>
      <c r="E6281" s="27"/>
      <c r="F6281" s="27"/>
      <c r="G6281" s="27" t="s">
        <v>11122</v>
      </c>
      <c r="H6281" s="27" t="s">
        <v>35</v>
      </c>
      <c r="I6281" s="27" t="s">
        <v>37</v>
      </c>
      <c r="J6281" s="28" t="s">
        <v>636</v>
      </c>
      <c r="K6281" s="27" t="s">
        <v>37</v>
      </c>
      <c r="L6281" s="27"/>
    </row>
    <row r="6282" customFormat="false" ht="15" hidden="false" customHeight="false" outlineLevel="0" collapsed="false">
      <c r="A6282" s="26" t="s">
        <v>17502</v>
      </c>
      <c r="B6282" s="27" t="s">
        <v>17503</v>
      </c>
      <c r="C6282" s="27" t="s">
        <v>144</v>
      </c>
      <c r="D6282" s="26"/>
      <c r="E6282" s="27"/>
      <c r="F6282" s="27"/>
      <c r="G6282" s="27" t="s">
        <v>11122</v>
      </c>
      <c r="H6282" s="27" t="s">
        <v>35</v>
      </c>
      <c r="I6282" s="27" t="s">
        <v>37</v>
      </c>
      <c r="J6282" s="28" t="s">
        <v>636</v>
      </c>
      <c r="K6282" s="27" t="s">
        <v>37</v>
      </c>
      <c r="L6282" s="27"/>
    </row>
    <row r="6283" customFormat="false" ht="15" hidden="false" customHeight="false" outlineLevel="0" collapsed="false">
      <c r="A6283" s="26" t="s">
        <v>17504</v>
      </c>
      <c r="B6283" s="27" t="s">
        <v>17505</v>
      </c>
      <c r="C6283" s="27" t="s">
        <v>144</v>
      </c>
      <c r="D6283" s="26"/>
      <c r="E6283" s="27"/>
      <c r="F6283" s="27"/>
      <c r="G6283" s="27" t="s">
        <v>11122</v>
      </c>
      <c r="H6283" s="27" t="s">
        <v>35</v>
      </c>
      <c r="I6283" s="27" t="s">
        <v>37</v>
      </c>
      <c r="J6283" s="28" t="s">
        <v>636</v>
      </c>
      <c r="K6283" s="27" t="s">
        <v>37</v>
      </c>
      <c r="L6283" s="27"/>
    </row>
    <row r="6284" customFormat="false" ht="15" hidden="false" customHeight="false" outlineLevel="0" collapsed="false">
      <c r="A6284" s="26" t="s">
        <v>17506</v>
      </c>
      <c r="B6284" s="27" t="s">
        <v>17507</v>
      </c>
      <c r="C6284" s="27" t="s">
        <v>144</v>
      </c>
      <c r="D6284" s="26"/>
      <c r="E6284" s="27"/>
      <c r="F6284" s="27"/>
      <c r="G6284" s="27" t="s">
        <v>11122</v>
      </c>
      <c r="H6284" s="27" t="s">
        <v>35</v>
      </c>
      <c r="I6284" s="27" t="s">
        <v>43</v>
      </c>
      <c r="J6284" s="28" t="s">
        <v>636</v>
      </c>
      <c r="K6284" s="27" t="s">
        <v>37</v>
      </c>
      <c r="L6284" s="27"/>
    </row>
    <row r="6285" customFormat="false" ht="15" hidden="false" customHeight="false" outlineLevel="0" collapsed="false">
      <c r="A6285" s="26" t="s">
        <v>17508</v>
      </c>
      <c r="B6285" s="27" t="s">
        <v>17509</v>
      </c>
      <c r="C6285" s="27" t="s">
        <v>144</v>
      </c>
      <c r="D6285" s="26"/>
      <c r="E6285" s="27"/>
      <c r="F6285" s="27"/>
      <c r="G6285" s="27" t="s">
        <v>11122</v>
      </c>
      <c r="H6285" s="27" t="s">
        <v>35</v>
      </c>
      <c r="I6285" s="27" t="s">
        <v>43</v>
      </c>
      <c r="J6285" s="28" t="s">
        <v>636</v>
      </c>
      <c r="K6285" s="27" t="s">
        <v>37</v>
      </c>
      <c r="L6285" s="27"/>
    </row>
    <row r="6286" customFormat="false" ht="15" hidden="false" customHeight="false" outlineLevel="0" collapsed="false">
      <c r="A6286" s="26" t="s">
        <v>17510</v>
      </c>
      <c r="B6286" s="27" t="s">
        <v>17511</v>
      </c>
      <c r="C6286" s="27" t="s">
        <v>144</v>
      </c>
      <c r="D6286" s="26"/>
      <c r="E6286" s="27"/>
      <c r="F6286" s="27"/>
      <c r="G6286" s="27" t="s">
        <v>11122</v>
      </c>
      <c r="H6286" s="27" t="s">
        <v>35</v>
      </c>
      <c r="I6286" s="27" t="s">
        <v>43</v>
      </c>
      <c r="J6286" s="28" t="s">
        <v>636</v>
      </c>
      <c r="K6286" s="27" t="s">
        <v>37</v>
      </c>
      <c r="L6286" s="27"/>
    </row>
    <row r="6287" customFormat="false" ht="15" hidden="false" customHeight="false" outlineLevel="0" collapsed="false">
      <c r="A6287" s="26" t="s">
        <v>17512</v>
      </c>
      <c r="B6287" s="27" t="s">
        <v>17513</v>
      </c>
      <c r="C6287" s="27" t="s">
        <v>144</v>
      </c>
      <c r="D6287" s="26"/>
      <c r="E6287" s="27"/>
      <c r="F6287" s="27"/>
      <c r="G6287" s="27" t="s">
        <v>11122</v>
      </c>
      <c r="H6287" s="27" t="s">
        <v>35</v>
      </c>
      <c r="I6287" s="27" t="s">
        <v>37</v>
      </c>
      <c r="J6287" s="28" t="s">
        <v>636</v>
      </c>
      <c r="K6287" s="27" t="s">
        <v>37</v>
      </c>
      <c r="L6287" s="27"/>
    </row>
    <row r="6288" customFormat="false" ht="15" hidden="false" customHeight="false" outlineLevel="0" collapsed="false">
      <c r="A6288" s="26" t="s">
        <v>17514</v>
      </c>
      <c r="B6288" s="27" t="s">
        <v>17515</v>
      </c>
      <c r="C6288" s="27" t="s">
        <v>144</v>
      </c>
      <c r="D6288" s="26"/>
      <c r="E6288" s="27"/>
      <c r="F6288" s="27"/>
      <c r="G6288" s="27" t="s">
        <v>11122</v>
      </c>
      <c r="H6288" s="27" t="s">
        <v>35</v>
      </c>
      <c r="I6288" s="27" t="s">
        <v>37</v>
      </c>
      <c r="J6288" s="28" t="s">
        <v>636</v>
      </c>
      <c r="K6288" s="27" t="s">
        <v>37</v>
      </c>
      <c r="L6288" s="27"/>
    </row>
    <row r="6289" customFormat="false" ht="15" hidden="false" customHeight="false" outlineLevel="0" collapsed="false">
      <c r="A6289" s="26" t="s">
        <v>17516</v>
      </c>
      <c r="B6289" s="27" t="s">
        <v>17517</v>
      </c>
      <c r="C6289" s="27" t="s">
        <v>144</v>
      </c>
      <c r="D6289" s="26"/>
      <c r="E6289" s="27"/>
      <c r="F6289" s="27"/>
      <c r="G6289" s="27" t="s">
        <v>11122</v>
      </c>
      <c r="H6289" s="27" t="s">
        <v>35</v>
      </c>
      <c r="I6289" s="27" t="s">
        <v>43</v>
      </c>
      <c r="J6289" s="28" t="s">
        <v>636</v>
      </c>
      <c r="K6289" s="27" t="s">
        <v>37</v>
      </c>
      <c r="L6289" s="27"/>
    </row>
    <row r="6290" customFormat="false" ht="15" hidden="false" customHeight="false" outlineLevel="0" collapsed="false">
      <c r="A6290" s="26" t="s">
        <v>17518</v>
      </c>
      <c r="B6290" s="27" t="s">
        <v>17519</v>
      </c>
      <c r="C6290" s="27" t="s">
        <v>144</v>
      </c>
      <c r="D6290" s="26"/>
      <c r="E6290" s="27"/>
      <c r="F6290" s="27"/>
      <c r="G6290" s="27" t="s">
        <v>11122</v>
      </c>
      <c r="H6290" s="27" t="s">
        <v>35</v>
      </c>
      <c r="I6290" s="27" t="s">
        <v>37</v>
      </c>
      <c r="J6290" s="28" t="s">
        <v>636</v>
      </c>
      <c r="K6290" s="27" t="s">
        <v>37</v>
      </c>
      <c r="L6290" s="27"/>
    </row>
    <row r="6291" customFormat="false" ht="15" hidden="false" customHeight="false" outlineLevel="0" collapsed="false">
      <c r="A6291" s="26" t="s">
        <v>17520</v>
      </c>
      <c r="B6291" s="27" t="s">
        <v>17521</v>
      </c>
      <c r="C6291" s="27" t="s">
        <v>144</v>
      </c>
      <c r="D6291" s="26"/>
      <c r="E6291" s="27"/>
      <c r="F6291" s="27"/>
      <c r="G6291" s="27" t="s">
        <v>11122</v>
      </c>
      <c r="H6291" s="27" t="s">
        <v>35</v>
      </c>
      <c r="I6291" s="27" t="s">
        <v>37</v>
      </c>
      <c r="J6291" s="28" t="s">
        <v>636</v>
      </c>
      <c r="K6291" s="27" t="s">
        <v>37</v>
      </c>
      <c r="L6291" s="27"/>
    </row>
    <row r="6292" customFormat="false" ht="15" hidden="false" customHeight="false" outlineLevel="0" collapsed="false">
      <c r="A6292" s="26" t="s">
        <v>17522</v>
      </c>
      <c r="B6292" s="27" t="s">
        <v>17523</v>
      </c>
      <c r="C6292" s="27" t="s">
        <v>144</v>
      </c>
      <c r="D6292" s="26"/>
      <c r="E6292" s="27"/>
      <c r="F6292" s="27"/>
      <c r="G6292" s="27" t="s">
        <v>11122</v>
      </c>
      <c r="H6292" s="27" t="s">
        <v>35</v>
      </c>
      <c r="I6292" s="27" t="s">
        <v>43</v>
      </c>
      <c r="J6292" s="28" t="s">
        <v>636</v>
      </c>
      <c r="K6292" s="27" t="s">
        <v>37</v>
      </c>
      <c r="L6292" s="27"/>
    </row>
    <row r="6293" customFormat="false" ht="15" hidden="false" customHeight="false" outlineLevel="0" collapsed="false">
      <c r="A6293" s="26" t="s">
        <v>17524</v>
      </c>
      <c r="B6293" s="27" t="s">
        <v>17525</v>
      </c>
      <c r="C6293" s="27" t="s">
        <v>144</v>
      </c>
      <c r="D6293" s="26"/>
      <c r="E6293" s="27"/>
      <c r="F6293" s="27"/>
      <c r="G6293" s="27" t="s">
        <v>11122</v>
      </c>
      <c r="H6293" s="27" t="s">
        <v>35</v>
      </c>
      <c r="I6293" s="27" t="s">
        <v>43</v>
      </c>
      <c r="J6293" s="28" t="s">
        <v>636</v>
      </c>
      <c r="K6293" s="27" t="s">
        <v>37</v>
      </c>
      <c r="L6293" s="27"/>
    </row>
    <row r="6294" customFormat="false" ht="15" hidden="false" customHeight="false" outlineLevel="0" collapsed="false">
      <c r="A6294" s="26" t="s">
        <v>17526</v>
      </c>
      <c r="B6294" s="27" t="s">
        <v>17527</v>
      </c>
      <c r="C6294" s="27" t="s">
        <v>144</v>
      </c>
      <c r="D6294" s="26"/>
      <c r="E6294" s="27"/>
      <c r="F6294" s="27"/>
      <c r="G6294" s="27" t="s">
        <v>11122</v>
      </c>
      <c r="H6294" s="27" t="s">
        <v>35</v>
      </c>
      <c r="I6294" s="27" t="s">
        <v>37</v>
      </c>
      <c r="J6294" s="28" t="s">
        <v>636</v>
      </c>
      <c r="K6294" s="27" t="s">
        <v>37</v>
      </c>
      <c r="L6294" s="27"/>
    </row>
    <row r="6295" customFormat="false" ht="15" hidden="false" customHeight="false" outlineLevel="0" collapsed="false">
      <c r="A6295" s="26" t="s">
        <v>17528</v>
      </c>
      <c r="B6295" s="27" t="s">
        <v>17529</v>
      </c>
      <c r="C6295" s="27" t="s">
        <v>144</v>
      </c>
      <c r="D6295" s="26"/>
      <c r="E6295" s="27"/>
      <c r="F6295" s="27"/>
      <c r="G6295" s="27" t="s">
        <v>11122</v>
      </c>
      <c r="H6295" s="27" t="s">
        <v>35</v>
      </c>
      <c r="I6295" s="27" t="s">
        <v>37</v>
      </c>
      <c r="J6295" s="28" t="s">
        <v>636</v>
      </c>
      <c r="K6295" s="27" t="s">
        <v>37</v>
      </c>
      <c r="L6295" s="27"/>
    </row>
    <row r="6296" customFormat="false" ht="15" hidden="false" customHeight="false" outlineLevel="0" collapsed="false">
      <c r="A6296" s="26" t="s">
        <v>17530</v>
      </c>
      <c r="B6296" s="27" t="s">
        <v>17531</v>
      </c>
      <c r="C6296" s="27" t="s">
        <v>144</v>
      </c>
      <c r="D6296" s="26"/>
      <c r="E6296" s="27"/>
      <c r="F6296" s="27"/>
      <c r="G6296" s="27" t="s">
        <v>11122</v>
      </c>
      <c r="H6296" s="27" t="s">
        <v>35</v>
      </c>
      <c r="I6296" s="27" t="s">
        <v>37</v>
      </c>
      <c r="J6296" s="28" t="s">
        <v>636</v>
      </c>
      <c r="K6296" s="27" t="s">
        <v>37</v>
      </c>
      <c r="L6296" s="27"/>
    </row>
    <row r="6297" customFormat="false" ht="15" hidden="false" customHeight="false" outlineLevel="0" collapsed="false">
      <c r="A6297" s="26" t="s">
        <v>17532</v>
      </c>
      <c r="B6297" s="27" t="s">
        <v>17533</v>
      </c>
      <c r="C6297" s="27" t="s">
        <v>144</v>
      </c>
      <c r="D6297" s="26"/>
      <c r="E6297" s="27"/>
      <c r="F6297" s="27"/>
      <c r="G6297" s="27" t="s">
        <v>11122</v>
      </c>
      <c r="H6297" s="27" t="s">
        <v>35</v>
      </c>
      <c r="I6297" s="27" t="s">
        <v>37</v>
      </c>
      <c r="J6297" s="28" t="s">
        <v>636</v>
      </c>
      <c r="K6297" s="27" t="s">
        <v>37</v>
      </c>
      <c r="L6297" s="27"/>
    </row>
    <row r="6298" customFormat="false" ht="15" hidden="false" customHeight="false" outlineLevel="0" collapsed="false">
      <c r="A6298" s="26" t="s">
        <v>17534</v>
      </c>
      <c r="B6298" s="27" t="s">
        <v>17535</v>
      </c>
      <c r="C6298" s="27" t="s">
        <v>144</v>
      </c>
      <c r="D6298" s="26"/>
      <c r="E6298" s="27"/>
      <c r="F6298" s="27"/>
      <c r="G6298" s="27" t="s">
        <v>11122</v>
      </c>
      <c r="H6298" s="27" t="s">
        <v>35</v>
      </c>
      <c r="I6298" s="27" t="s">
        <v>37</v>
      </c>
      <c r="J6298" s="28" t="s">
        <v>636</v>
      </c>
      <c r="K6298" s="27" t="s">
        <v>37</v>
      </c>
      <c r="L6298" s="27"/>
    </row>
    <row r="6299" customFormat="false" ht="15" hidden="false" customHeight="false" outlineLevel="0" collapsed="false">
      <c r="A6299" s="26" t="s">
        <v>17536</v>
      </c>
      <c r="B6299" s="27" t="s">
        <v>17537</v>
      </c>
      <c r="C6299" s="27" t="s">
        <v>144</v>
      </c>
      <c r="D6299" s="26"/>
      <c r="E6299" s="27"/>
      <c r="F6299" s="27"/>
      <c r="G6299" s="27" t="s">
        <v>11122</v>
      </c>
      <c r="H6299" s="27" t="s">
        <v>35</v>
      </c>
      <c r="I6299" s="27" t="s">
        <v>43</v>
      </c>
      <c r="J6299" s="28" t="s">
        <v>636</v>
      </c>
      <c r="K6299" s="27" t="s">
        <v>37</v>
      </c>
      <c r="L6299" s="27"/>
    </row>
    <row r="6300" customFormat="false" ht="15" hidden="false" customHeight="false" outlineLevel="0" collapsed="false">
      <c r="A6300" s="26" t="s">
        <v>17538</v>
      </c>
      <c r="B6300" s="27" t="s">
        <v>17539</v>
      </c>
      <c r="C6300" s="27" t="s">
        <v>144</v>
      </c>
      <c r="D6300" s="26"/>
      <c r="E6300" s="27"/>
      <c r="F6300" s="27"/>
      <c r="G6300" s="27" t="s">
        <v>11122</v>
      </c>
      <c r="H6300" s="27" t="s">
        <v>35</v>
      </c>
      <c r="I6300" s="27" t="s">
        <v>37</v>
      </c>
      <c r="J6300" s="28" t="s">
        <v>636</v>
      </c>
      <c r="K6300" s="27" t="s">
        <v>37</v>
      </c>
      <c r="L6300" s="27"/>
    </row>
    <row r="6301" customFormat="false" ht="15" hidden="false" customHeight="false" outlineLevel="0" collapsed="false">
      <c r="A6301" s="26" t="s">
        <v>17540</v>
      </c>
      <c r="B6301" s="27" t="s">
        <v>17541</v>
      </c>
      <c r="C6301" s="27" t="s">
        <v>144</v>
      </c>
      <c r="D6301" s="26"/>
      <c r="E6301" s="27"/>
      <c r="F6301" s="27"/>
      <c r="G6301" s="27" t="s">
        <v>11122</v>
      </c>
      <c r="H6301" s="27" t="s">
        <v>35</v>
      </c>
      <c r="I6301" s="27" t="s">
        <v>37</v>
      </c>
      <c r="J6301" s="28" t="s">
        <v>636</v>
      </c>
      <c r="K6301" s="27" t="s">
        <v>37</v>
      </c>
      <c r="L6301" s="27"/>
    </row>
    <row r="6302" customFormat="false" ht="15" hidden="false" customHeight="false" outlineLevel="0" collapsed="false">
      <c r="A6302" s="26" t="s">
        <v>17542</v>
      </c>
      <c r="B6302" s="27" t="s">
        <v>17543</v>
      </c>
      <c r="C6302" s="27" t="s">
        <v>144</v>
      </c>
      <c r="D6302" s="26"/>
      <c r="E6302" s="27"/>
      <c r="F6302" s="27"/>
      <c r="G6302" s="27" t="s">
        <v>11122</v>
      </c>
      <c r="H6302" s="27" t="s">
        <v>35</v>
      </c>
      <c r="I6302" s="27" t="s">
        <v>37</v>
      </c>
      <c r="J6302" s="28" t="s">
        <v>636</v>
      </c>
      <c r="K6302" s="27" t="s">
        <v>37</v>
      </c>
      <c r="L6302" s="27"/>
    </row>
    <row r="6303" customFormat="false" ht="15" hidden="false" customHeight="false" outlineLevel="0" collapsed="false">
      <c r="A6303" s="26" t="s">
        <v>17544</v>
      </c>
      <c r="B6303" s="27" t="s">
        <v>17545</v>
      </c>
      <c r="C6303" s="27" t="s">
        <v>144</v>
      </c>
      <c r="D6303" s="26"/>
      <c r="E6303" s="27"/>
      <c r="F6303" s="27"/>
      <c r="G6303" s="27" t="s">
        <v>11122</v>
      </c>
      <c r="H6303" s="27" t="s">
        <v>35</v>
      </c>
      <c r="I6303" s="27" t="s">
        <v>37</v>
      </c>
      <c r="J6303" s="28" t="s">
        <v>636</v>
      </c>
      <c r="K6303" s="27" t="s">
        <v>37</v>
      </c>
      <c r="L6303" s="27"/>
    </row>
    <row r="6304" customFormat="false" ht="15" hidden="false" customHeight="false" outlineLevel="0" collapsed="false">
      <c r="A6304" s="26" t="s">
        <v>17546</v>
      </c>
      <c r="B6304" s="27" t="s">
        <v>17547</v>
      </c>
      <c r="C6304" s="27" t="s">
        <v>144</v>
      </c>
      <c r="D6304" s="26"/>
      <c r="E6304" s="27"/>
      <c r="F6304" s="27"/>
      <c r="G6304" s="27" t="s">
        <v>11122</v>
      </c>
      <c r="H6304" s="27" t="s">
        <v>35</v>
      </c>
      <c r="I6304" s="27" t="s">
        <v>39</v>
      </c>
      <c r="J6304" s="28" t="s">
        <v>636</v>
      </c>
      <c r="K6304" s="27" t="s">
        <v>37</v>
      </c>
      <c r="L6304" s="27"/>
    </row>
    <row r="6305" customFormat="false" ht="15" hidden="false" customHeight="false" outlineLevel="0" collapsed="false">
      <c r="A6305" s="26" t="s">
        <v>17548</v>
      </c>
      <c r="B6305" s="27" t="s">
        <v>17549</v>
      </c>
      <c r="C6305" s="27" t="s">
        <v>144</v>
      </c>
      <c r="D6305" s="26"/>
      <c r="E6305" s="27"/>
      <c r="F6305" s="27"/>
      <c r="G6305" s="27" t="s">
        <v>11122</v>
      </c>
      <c r="H6305" s="27" t="s">
        <v>35</v>
      </c>
      <c r="I6305" s="27" t="s">
        <v>37</v>
      </c>
      <c r="J6305" s="28" t="s">
        <v>636</v>
      </c>
      <c r="K6305" s="27" t="s">
        <v>37</v>
      </c>
      <c r="L6305" s="27"/>
    </row>
    <row r="6306" customFormat="false" ht="15" hidden="false" customHeight="false" outlineLevel="0" collapsed="false">
      <c r="A6306" s="26" t="s">
        <v>17550</v>
      </c>
      <c r="B6306" s="27" t="s">
        <v>17551</v>
      </c>
      <c r="C6306" s="27" t="s">
        <v>144</v>
      </c>
      <c r="D6306" s="26"/>
      <c r="E6306" s="27"/>
      <c r="F6306" s="27"/>
      <c r="G6306" s="27" t="s">
        <v>11122</v>
      </c>
      <c r="H6306" s="27" t="s">
        <v>35</v>
      </c>
      <c r="I6306" s="27" t="s">
        <v>37</v>
      </c>
      <c r="J6306" s="28" t="s">
        <v>636</v>
      </c>
      <c r="K6306" s="27" t="s">
        <v>37</v>
      </c>
      <c r="L6306" s="27"/>
    </row>
    <row r="6307" customFormat="false" ht="15" hidden="false" customHeight="false" outlineLevel="0" collapsed="false">
      <c r="A6307" s="26" t="s">
        <v>17552</v>
      </c>
      <c r="B6307" s="27" t="s">
        <v>17553</v>
      </c>
      <c r="C6307" s="27" t="s">
        <v>144</v>
      </c>
      <c r="D6307" s="26"/>
      <c r="E6307" s="27"/>
      <c r="F6307" s="27"/>
      <c r="G6307" s="27" t="s">
        <v>11122</v>
      </c>
      <c r="H6307" s="27" t="s">
        <v>35</v>
      </c>
      <c r="I6307" s="27" t="s">
        <v>37</v>
      </c>
      <c r="J6307" s="28" t="s">
        <v>636</v>
      </c>
      <c r="K6307" s="27" t="s">
        <v>37</v>
      </c>
      <c r="L6307" s="27"/>
    </row>
    <row r="6308" customFormat="false" ht="15" hidden="false" customHeight="false" outlineLevel="0" collapsed="false">
      <c r="A6308" s="26" t="s">
        <v>17554</v>
      </c>
      <c r="B6308" s="27" t="s">
        <v>17555</v>
      </c>
      <c r="C6308" s="27" t="s">
        <v>144</v>
      </c>
      <c r="D6308" s="26"/>
      <c r="E6308" s="27"/>
      <c r="F6308" s="27"/>
      <c r="G6308" s="27" t="s">
        <v>11122</v>
      </c>
      <c r="H6308" s="27" t="s">
        <v>35</v>
      </c>
      <c r="I6308" s="27" t="s">
        <v>37</v>
      </c>
      <c r="J6308" s="28" t="s">
        <v>636</v>
      </c>
      <c r="K6308" s="27" t="s">
        <v>37</v>
      </c>
      <c r="L6308" s="27"/>
    </row>
    <row r="6309" customFormat="false" ht="15" hidden="false" customHeight="false" outlineLevel="0" collapsed="false">
      <c r="A6309" s="26" t="s">
        <v>17556</v>
      </c>
      <c r="B6309" s="27" t="s">
        <v>17557</v>
      </c>
      <c r="C6309" s="27" t="s">
        <v>144</v>
      </c>
      <c r="D6309" s="26"/>
      <c r="E6309" s="27"/>
      <c r="F6309" s="27"/>
      <c r="G6309" s="27" t="s">
        <v>11122</v>
      </c>
      <c r="H6309" s="27" t="s">
        <v>35</v>
      </c>
      <c r="I6309" s="27" t="s">
        <v>43</v>
      </c>
      <c r="J6309" s="28" t="s">
        <v>636</v>
      </c>
      <c r="K6309" s="27" t="s">
        <v>37</v>
      </c>
      <c r="L6309" s="27"/>
    </row>
    <row r="6310" customFormat="false" ht="15" hidden="false" customHeight="false" outlineLevel="0" collapsed="false">
      <c r="A6310" s="26" t="s">
        <v>17558</v>
      </c>
      <c r="B6310" s="27" t="s">
        <v>17559</v>
      </c>
      <c r="C6310" s="27" t="s">
        <v>144</v>
      </c>
      <c r="D6310" s="26"/>
      <c r="E6310" s="27"/>
      <c r="F6310" s="27"/>
      <c r="G6310" s="27" t="s">
        <v>11122</v>
      </c>
      <c r="H6310" s="27" t="s">
        <v>35</v>
      </c>
      <c r="I6310" s="27" t="s">
        <v>43</v>
      </c>
      <c r="J6310" s="28" t="s">
        <v>636</v>
      </c>
      <c r="K6310" s="27" t="s">
        <v>37</v>
      </c>
      <c r="L6310" s="27"/>
    </row>
    <row r="6311" customFormat="false" ht="15" hidden="false" customHeight="false" outlineLevel="0" collapsed="false">
      <c r="A6311" s="26" t="s">
        <v>17560</v>
      </c>
      <c r="B6311" s="27" t="s">
        <v>17561</v>
      </c>
      <c r="C6311" s="27" t="s">
        <v>144</v>
      </c>
      <c r="D6311" s="26"/>
      <c r="E6311" s="27"/>
      <c r="F6311" s="27"/>
      <c r="G6311" s="27" t="s">
        <v>11122</v>
      </c>
      <c r="H6311" s="27" t="s">
        <v>35</v>
      </c>
      <c r="I6311" s="27" t="s">
        <v>37</v>
      </c>
      <c r="J6311" s="28" t="s">
        <v>636</v>
      </c>
      <c r="K6311" s="27" t="s">
        <v>37</v>
      </c>
      <c r="L6311" s="27"/>
    </row>
    <row r="6312" customFormat="false" ht="15" hidden="false" customHeight="false" outlineLevel="0" collapsed="false">
      <c r="A6312" s="26" t="s">
        <v>17562</v>
      </c>
      <c r="B6312" s="27" t="s">
        <v>17563</v>
      </c>
      <c r="C6312" s="27" t="s">
        <v>144</v>
      </c>
      <c r="D6312" s="26"/>
      <c r="E6312" s="27"/>
      <c r="F6312" s="27"/>
      <c r="G6312" s="27" t="s">
        <v>11122</v>
      </c>
      <c r="H6312" s="27" t="s">
        <v>35</v>
      </c>
      <c r="I6312" s="27" t="s">
        <v>43</v>
      </c>
      <c r="J6312" s="28" t="s">
        <v>636</v>
      </c>
      <c r="K6312" s="27" t="s">
        <v>37</v>
      </c>
      <c r="L6312" s="27"/>
    </row>
    <row r="6313" customFormat="false" ht="15" hidden="false" customHeight="false" outlineLevel="0" collapsed="false">
      <c r="A6313" s="26" t="s">
        <v>17564</v>
      </c>
      <c r="B6313" s="27" t="s">
        <v>17565</v>
      </c>
      <c r="C6313" s="27" t="s">
        <v>144</v>
      </c>
      <c r="D6313" s="26"/>
      <c r="E6313" s="27"/>
      <c r="F6313" s="27"/>
      <c r="G6313" s="27" t="s">
        <v>11122</v>
      </c>
      <c r="H6313" s="27" t="s">
        <v>35</v>
      </c>
      <c r="I6313" s="27" t="s">
        <v>37</v>
      </c>
      <c r="J6313" s="28" t="s">
        <v>636</v>
      </c>
      <c r="K6313" s="27" t="s">
        <v>37</v>
      </c>
      <c r="L6313" s="27"/>
    </row>
    <row r="6314" customFormat="false" ht="15" hidden="false" customHeight="false" outlineLevel="0" collapsed="false">
      <c r="A6314" s="26" t="s">
        <v>17566</v>
      </c>
      <c r="B6314" s="27" t="s">
        <v>17567</v>
      </c>
      <c r="C6314" s="27" t="s">
        <v>144</v>
      </c>
      <c r="D6314" s="26"/>
      <c r="E6314" s="27"/>
      <c r="F6314" s="27"/>
      <c r="G6314" s="27" t="s">
        <v>11122</v>
      </c>
      <c r="H6314" s="27" t="s">
        <v>35</v>
      </c>
      <c r="I6314" s="27" t="s">
        <v>37</v>
      </c>
      <c r="J6314" s="28" t="s">
        <v>636</v>
      </c>
      <c r="K6314" s="27" t="s">
        <v>37</v>
      </c>
      <c r="L6314" s="27"/>
    </row>
    <row r="6315" customFormat="false" ht="15" hidden="false" customHeight="false" outlineLevel="0" collapsed="false">
      <c r="A6315" s="26" t="s">
        <v>17568</v>
      </c>
      <c r="B6315" s="27" t="s">
        <v>17569</v>
      </c>
      <c r="C6315" s="27" t="s">
        <v>144</v>
      </c>
      <c r="D6315" s="26"/>
      <c r="E6315" s="27"/>
      <c r="F6315" s="27"/>
      <c r="G6315" s="27" t="s">
        <v>11122</v>
      </c>
      <c r="H6315" s="27" t="s">
        <v>35</v>
      </c>
      <c r="I6315" s="27" t="s">
        <v>37</v>
      </c>
      <c r="J6315" s="28" t="s">
        <v>636</v>
      </c>
      <c r="K6315" s="27" t="s">
        <v>37</v>
      </c>
      <c r="L6315" s="27"/>
    </row>
    <row r="6316" customFormat="false" ht="15" hidden="false" customHeight="false" outlineLevel="0" collapsed="false">
      <c r="A6316" s="26" t="s">
        <v>17570</v>
      </c>
      <c r="B6316" s="27" t="s">
        <v>17571</v>
      </c>
      <c r="C6316" s="27" t="s">
        <v>144</v>
      </c>
      <c r="D6316" s="26"/>
      <c r="E6316" s="27"/>
      <c r="F6316" s="27"/>
      <c r="G6316" s="27" t="s">
        <v>11122</v>
      </c>
      <c r="H6316" s="27" t="s">
        <v>35</v>
      </c>
      <c r="I6316" s="27" t="s">
        <v>43</v>
      </c>
      <c r="J6316" s="28" t="s">
        <v>636</v>
      </c>
      <c r="K6316" s="27" t="s">
        <v>37</v>
      </c>
      <c r="L6316" s="27"/>
    </row>
    <row r="6317" customFormat="false" ht="15" hidden="false" customHeight="false" outlineLevel="0" collapsed="false">
      <c r="A6317" s="26" t="s">
        <v>17572</v>
      </c>
      <c r="B6317" s="27" t="s">
        <v>17573</v>
      </c>
      <c r="C6317" s="27" t="s">
        <v>144</v>
      </c>
      <c r="D6317" s="26"/>
      <c r="E6317" s="27"/>
      <c r="F6317" s="27"/>
      <c r="G6317" s="27" t="s">
        <v>11122</v>
      </c>
      <c r="H6317" s="27" t="s">
        <v>35</v>
      </c>
      <c r="I6317" s="27" t="s">
        <v>37</v>
      </c>
      <c r="J6317" s="28" t="s">
        <v>636</v>
      </c>
      <c r="K6317" s="27" t="s">
        <v>37</v>
      </c>
      <c r="L6317" s="27"/>
    </row>
    <row r="6318" customFormat="false" ht="15" hidden="false" customHeight="false" outlineLevel="0" collapsed="false">
      <c r="A6318" s="26" t="s">
        <v>17574</v>
      </c>
      <c r="B6318" s="27" t="s">
        <v>17575</v>
      </c>
      <c r="C6318" s="27" t="s">
        <v>144</v>
      </c>
      <c r="D6318" s="26"/>
      <c r="E6318" s="27"/>
      <c r="F6318" s="27"/>
      <c r="G6318" s="27" t="s">
        <v>11122</v>
      </c>
      <c r="H6318" s="27" t="s">
        <v>35</v>
      </c>
      <c r="I6318" s="27" t="s">
        <v>37</v>
      </c>
      <c r="J6318" s="28" t="s">
        <v>636</v>
      </c>
      <c r="K6318" s="27" t="s">
        <v>37</v>
      </c>
      <c r="L6318" s="27"/>
    </row>
    <row r="6319" customFormat="false" ht="15" hidden="false" customHeight="false" outlineLevel="0" collapsed="false">
      <c r="A6319" s="26" t="s">
        <v>17576</v>
      </c>
      <c r="B6319" s="27" t="s">
        <v>17577</v>
      </c>
      <c r="C6319" s="27" t="s">
        <v>144</v>
      </c>
      <c r="D6319" s="26"/>
      <c r="E6319" s="27"/>
      <c r="F6319" s="27"/>
      <c r="G6319" s="27" t="s">
        <v>11122</v>
      </c>
      <c r="H6319" s="27" t="s">
        <v>35</v>
      </c>
      <c r="I6319" s="27" t="s">
        <v>37</v>
      </c>
      <c r="J6319" s="28" t="s">
        <v>636</v>
      </c>
      <c r="K6319" s="27" t="s">
        <v>37</v>
      </c>
      <c r="L6319" s="27"/>
    </row>
    <row r="6320" customFormat="false" ht="15" hidden="false" customHeight="false" outlineLevel="0" collapsed="false">
      <c r="A6320" s="26" t="s">
        <v>17578</v>
      </c>
      <c r="B6320" s="27" t="s">
        <v>17579</v>
      </c>
      <c r="C6320" s="27" t="s">
        <v>144</v>
      </c>
      <c r="D6320" s="26"/>
      <c r="E6320" s="27"/>
      <c r="F6320" s="27"/>
      <c r="G6320" s="27" t="s">
        <v>11122</v>
      </c>
      <c r="H6320" s="27" t="s">
        <v>35</v>
      </c>
      <c r="I6320" s="27" t="s">
        <v>37</v>
      </c>
      <c r="J6320" s="28" t="s">
        <v>636</v>
      </c>
      <c r="K6320" s="27" t="s">
        <v>37</v>
      </c>
      <c r="L6320" s="27"/>
    </row>
    <row r="6321" customFormat="false" ht="15" hidden="false" customHeight="false" outlineLevel="0" collapsed="false">
      <c r="A6321" s="26" t="s">
        <v>17580</v>
      </c>
      <c r="B6321" s="27" t="s">
        <v>17581</v>
      </c>
      <c r="C6321" s="27" t="s">
        <v>144</v>
      </c>
      <c r="D6321" s="26"/>
      <c r="E6321" s="27"/>
      <c r="F6321" s="27"/>
      <c r="G6321" s="27" t="s">
        <v>11122</v>
      </c>
      <c r="H6321" s="27" t="s">
        <v>35</v>
      </c>
      <c r="I6321" s="27" t="s">
        <v>37</v>
      </c>
      <c r="J6321" s="28" t="s">
        <v>636</v>
      </c>
      <c r="K6321" s="27" t="s">
        <v>37</v>
      </c>
      <c r="L6321" s="27"/>
    </row>
    <row r="6322" customFormat="false" ht="15" hidden="false" customHeight="false" outlineLevel="0" collapsed="false">
      <c r="A6322" s="26" t="s">
        <v>17582</v>
      </c>
      <c r="B6322" s="27" t="s">
        <v>17583</v>
      </c>
      <c r="C6322" s="27" t="s">
        <v>144</v>
      </c>
      <c r="D6322" s="26"/>
      <c r="E6322" s="27"/>
      <c r="F6322" s="27"/>
      <c r="G6322" s="27" t="s">
        <v>11122</v>
      </c>
      <c r="H6322" s="27" t="s">
        <v>35</v>
      </c>
      <c r="I6322" s="27" t="s">
        <v>37</v>
      </c>
      <c r="J6322" s="28" t="s">
        <v>636</v>
      </c>
      <c r="K6322" s="27" t="s">
        <v>37</v>
      </c>
      <c r="L6322" s="27"/>
    </row>
    <row r="6323" customFormat="false" ht="15" hidden="false" customHeight="false" outlineLevel="0" collapsed="false">
      <c r="A6323" s="26" t="s">
        <v>17584</v>
      </c>
      <c r="B6323" s="27" t="s">
        <v>17585</v>
      </c>
      <c r="C6323" s="27" t="s">
        <v>144</v>
      </c>
      <c r="D6323" s="26"/>
      <c r="E6323" s="27"/>
      <c r="F6323" s="27"/>
      <c r="G6323" s="27" t="s">
        <v>11122</v>
      </c>
      <c r="H6323" s="27" t="s">
        <v>35</v>
      </c>
      <c r="I6323" s="27" t="s">
        <v>43</v>
      </c>
      <c r="J6323" s="28" t="s">
        <v>636</v>
      </c>
      <c r="K6323" s="27" t="s">
        <v>37</v>
      </c>
      <c r="L6323" s="27"/>
    </row>
    <row r="6324" customFormat="false" ht="15" hidden="false" customHeight="false" outlineLevel="0" collapsed="false">
      <c r="A6324" s="26" t="s">
        <v>17586</v>
      </c>
      <c r="B6324" s="27" t="s">
        <v>17587</v>
      </c>
      <c r="C6324" s="27" t="s">
        <v>144</v>
      </c>
      <c r="D6324" s="26"/>
      <c r="E6324" s="27"/>
      <c r="F6324" s="27"/>
      <c r="G6324" s="27" t="s">
        <v>11122</v>
      </c>
      <c r="H6324" s="27" t="s">
        <v>35</v>
      </c>
      <c r="I6324" s="27" t="s">
        <v>37</v>
      </c>
      <c r="J6324" s="28" t="s">
        <v>636</v>
      </c>
      <c r="K6324" s="27" t="s">
        <v>37</v>
      </c>
      <c r="L6324" s="27"/>
    </row>
    <row r="6325" customFormat="false" ht="15" hidden="false" customHeight="false" outlineLevel="0" collapsed="false">
      <c r="A6325" s="26" t="s">
        <v>17588</v>
      </c>
      <c r="B6325" s="27" t="s">
        <v>17589</v>
      </c>
      <c r="C6325" s="27" t="s">
        <v>144</v>
      </c>
      <c r="D6325" s="26"/>
      <c r="E6325" s="27"/>
      <c r="F6325" s="27"/>
      <c r="G6325" s="27" t="s">
        <v>11122</v>
      </c>
      <c r="H6325" s="27" t="s">
        <v>35</v>
      </c>
      <c r="I6325" s="27" t="s">
        <v>37</v>
      </c>
      <c r="J6325" s="28" t="s">
        <v>636</v>
      </c>
      <c r="K6325" s="27" t="s">
        <v>37</v>
      </c>
      <c r="L6325" s="27"/>
    </row>
    <row r="6326" customFormat="false" ht="15" hidden="false" customHeight="false" outlineLevel="0" collapsed="false">
      <c r="A6326" s="26" t="s">
        <v>17590</v>
      </c>
      <c r="B6326" s="27" t="s">
        <v>17591</v>
      </c>
      <c r="C6326" s="27" t="s">
        <v>144</v>
      </c>
      <c r="D6326" s="26"/>
      <c r="E6326" s="27"/>
      <c r="F6326" s="27"/>
      <c r="G6326" s="27" t="s">
        <v>11122</v>
      </c>
      <c r="H6326" s="27" t="s">
        <v>35</v>
      </c>
      <c r="I6326" s="27" t="s">
        <v>37</v>
      </c>
      <c r="J6326" s="28" t="s">
        <v>636</v>
      </c>
      <c r="K6326" s="27" t="s">
        <v>37</v>
      </c>
      <c r="L6326" s="27"/>
    </row>
    <row r="6327" customFormat="false" ht="15" hidden="false" customHeight="false" outlineLevel="0" collapsed="false">
      <c r="A6327" s="26" t="s">
        <v>17592</v>
      </c>
      <c r="B6327" s="27" t="s">
        <v>17593</v>
      </c>
      <c r="C6327" s="27" t="s">
        <v>144</v>
      </c>
      <c r="D6327" s="26"/>
      <c r="E6327" s="27"/>
      <c r="F6327" s="27"/>
      <c r="G6327" s="27" t="s">
        <v>11122</v>
      </c>
      <c r="H6327" s="27" t="s">
        <v>35</v>
      </c>
      <c r="I6327" s="27" t="s">
        <v>37</v>
      </c>
      <c r="J6327" s="28" t="s">
        <v>636</v>
      </c>
      <c r="K6327" s="27" t="s">
        <v>37</v>
      </c>
      <c r="L6327" s="27"/>
    </row>
    <row r="6328" customFormat="false" ht="15" hidden="false" customHeight="false" outlineLevel="0" collapsed="false">
      <c r="A6328" s="26" t="s">
        <v>17594</v>
      </c>
      <c r="B6328" s="27" t="s">
        <v>17595</v>
      </c>
      <c r="C6328" s="27" t="s">
        <v>144</v>
      </c>
      <c r="D6328" s="26"/>
      <c r="E6328" s="27"/>
      <c r="F6328" s="27"/>
      <c r="G6328" s="27" t="s">
        <v>11122</v>
      </c>
      <c r="H6328" s="27" t="s">
        <v>35</v>
      </c>
      <c r="I6328" s="27" t="s">
        <v>37</v>
      </c>
      <c r="J6328" s="28" t="s">
        <v>636</v>
      </c>
      <c r="K6328" s="27" t="s">
        <v>37</v>
      </c>
      <c r="L6328" s="27"/>
    </row>
    <row r="6329" customFormat="false" ht="15" hidden="false" customHeight="false" outlineLevel="0" collapsed="false">
      <c r="A6329" s="26" t="s">
        <v>17596</v>
      </c>
      <c r="B6329" s="27" t="s">
        <v>17597</v>
      </c>
      <c r="C6329" s="27" t="s">
        <v>144</v>
      </c>
      <c r="D6329" s="26"/>
      <c r="E6329" s="27"/>
      <c r="F6329" s="27"/>
      <c r="G6329" s="27" t="s">
        <v>11122</v>
      </c>
      <c r="H6329" s="27" t="s">
        <v>35</v>
      </c>
      <c r="I6329" s="27" t="s">
        <v>37</v>
      </c>
      <c r="J6329" s="28" t="s">
        <v>636</v>
      </c>
      <c r="K6329" s="27" t="s">
        <v>37</v>
      </c>
      <c r="L6329" s="27"/>
    </row>
    <row r="6330" customFormat="false" ht="15" hidden="false" customHeight="false" outlineLevel="0" collapsed="false">
      <c r="A6330" s="26" t="s">
        <v>17598</v>
      </c>
      <c r="B6330" s="27" t="s">
        <v>17599</v>
      </c>
      <c r="C6330" s="27" t="s">
        <v>144</v>
      </c>
      <c r="D6330" s="26"/>
      <c r="E6330" s="27"/>
      <c r="F6330" s="27"/>
      <c r="G6330" s="27" t="s">
        <v>11122</v>
      </c>
      <c r="H6330" s="27" t="s">
        <v>35</v>
      </c>
      <c r="I6330" s="27" t="s">
        <v>37</v>
      </c>
      <c r="J6330" s="28" t="s">
        <v>636</v>
      </c>
      <c r="K6330" s="27" t="s">
        <v>37</v>
      </c>
      <c r="L6330" s="27"/>
    </row>
    <row r="6331" customFormat="false" ht="15" hidden="false" customHeight="false" outlineLevel="0" collapsed="false">
      <c r="A6331" s="26" t="s">
        <v>17600</v>
      </c>
      <c r="B6331" s="27" t="s">
        <v>17601</v>
      </c>
      <c r="C6331" s="27" t="s">
        <v>144</v>
      </c>
      <c r="D6331" s="26"/>
      <c r="E6331" s="27"/>
      <c r="F6331" s="27"/>
      <c r="G6331" s="27" t="s">
        <v>11122</v>
      </c>
      <c r="H6331" s="27" t="s">
        <v>35</v>
      </c>
      <c r="I6331" s="27" t="s">
        <v>37</v>
      </c>
      <c r="J6331" s="28" t="s">
        <v>636</v>
      </c>
      <c r="K6331" s="27" t="s">
        <v>37</v>
      </c>
      <c r="L6331" s="27"/>
    </row>
    <row r="6332" customFormat="false" ht="15" hidden="false" customHeight="false" outlineLevel="0" collapsed="false">
      <c r="A6332" s="26" t="s">
        <v>17602</v>
      </c>
      <c r="B6332" s="27" t="s">
        <v>17603</v>
      </c>
      <c r="C6332" s="27" t="s">
        <v>144</v>
      </c>
      <c r="D6332" s="26"/>
      <c r="E6332" s="27"/>
      <c r="F6332" s="27"/>
      <c r="G6332" s="27" t="s">
        <v>11122</v>
      </c>
      <c r="H6332" s="27" t="s">
        <v>35</v>
      </c>
      <c r="I6332" s="27" t="s">
        <v>37</v>
      </c>
      <c r="J6332" s="28" t="s">
        <v>636</v>
      </c>
      <c r="K6332" s="27" t="s">
        <v>37</v>
      </c>
      <c r="L6332" s="27"/>
    </row>
    <row r="6333" customFormat="false" ht="15" hidden="false" customHeight="false" outlineLevel="0" collapsed="false">
      <c r="A6333" s="26" t="s">
        <v>17604</v>
      </c>
      <c r="B6333" s="27" t="s">
        <v>17605</v>
      </c>
      <c r="C6333" s="27" t="s">
        <v>144</v>
      </c>
      <c r="D6333" s="26"/>
      <c r="E6333" s="27"/>
      <c r="F6333" s="27"/>
      <c r="G6333" s="27" t="s">
        <v>11122</v>
      </c>
      <c r="H6333" s="27" t="s">
        <v>35</v>
      </c>
      <c r="I6333" s="27" t="s">
        <v>37</v>
      </c>
      <c r="J6333" s="28" t="s">
        <v>636</v>
      </c>
      <c r="K6333" s="27" t="s">
        <v>37</v>
      </c>
      <c r="L6333" s="27"/>
    </row>
    <row r="6334" customFormat="false" ht="15" hidden="false" customHeight="false" outlineLevel="0" collapsed="false">
      <c r="A6334" s="26" t="s">
        <v>17606</v>
      </c>
      <c r="B6334" s="27" t="s">
        <v>17607</v>
      </c>
      <c r="C6334" s="27" t="s">
        <v>144</v>
      </c>
      <c r="D6334" s="26"/>
      <c r="E6334" s="27"/>
      <c r="F6334" s="27"/>
      <c r="G6334" s="27" t="s">
        <v>11122</v>
      </c>
      <c r="H6334" s="27" t="s">
        <v>35</v>
      </c>
      <c r="I6334" s="27" t="s">
        <v>37</v>
      </c>
      <c r="J6334" s="28" t="s">
        <v>636</v>
      </c>
      <c r="K6334" s="27" t="s">
        <v>37</v>
      </c>
      <c r="L6334" s="27"/>
    </row>
    <row r="6335" customFormat="false" ht="15" hidden="false" customHeight="false" outlineLevel="0" collapsed="false">
      <c r="A6335" s="26" t="s">
        <v>17608</v>
      </c>
      <c r="B6335" s="27" t="s">
        <v>17609</v>
      </c>
      <c r="C6335" s="27" t="s">
        <v>144</v>
      </c>
      <c r="D6335" s="26"/>
      <c r="E6335" s="27"/>
      <c r="F6335" s="27"/>
      <c r="G6335" s="27" t="s">
        <v>11122</v>
      </c>
      <c r="H6335" s="27" t="s">
        <v>35</v>
      </c>
      <c r="I6335" s="27" t="s">
        <v>37</v>
      </c>
      <c r="J6335" s="28" t="s">
        <v>636</v>
      </c>
      <c r="K6335" s="27" t="s">
        <v>37</v>
      </c>
      <c r="L6335" s="27"/>
    </row>
    <row r="6336" customFormat="false" ht="15" hidden="false" customHeight="false" outlineLevel="0" collapsed="false">
      <c r="A6336" s="26" t="s">
        <v>17610</v>
      </c>
      <c r="B6336" s="27" t="s">
        <v>17611</v>
      </c>
      <c r="C6336" s="27" t="s">
        <v>144</v>
      </c>
      <c r="D6336" s="26"/>
      <c r="E6336" s="27"/>
      <c r="F6336" s="27"/>
      <c r="G6336" s="27" t="s">
        <v>11122</v>
      </c>
      <c r="H6336" s="27" t="s">
        <v>35</v>
      </c>
      <c r="I6336" s="27" t="s">
        <v>37</v>
      </c>
      <c r="J6336" s="28" t="s">
        <v>636</v>
      </c>
      <c r="K6336" s="27" t="s">
        <v>37</v>
      </c>
      <c r="L6336" s="27"/>
    </row>
    <row r="6337" customFormat="false" ht="15" hidden="false" customHeight="false" outlineLevel="0" collapsed="false">
      <c r="A6337" s="26" t="s">
        <v>17612</v>
      </c>
      <c r="B6337" s="27" t="s">
        <v>17613</v>
      </c>
      <c r="C6337" s="27" t="s">
        <v>144</v>
      </c>
      <c r="D6337" s="26"/>
      <c r="E6337" s="27"/>
      <c r="F6337" s="27"/>
      <c r="G6337" s="27" t="s">
        <v>11122</v>
      </c>
      <c r="H6337" s="27" t="s">
        <v>35</v>
      </c>
      <c r="I6337" s="27" t="s">
        <v>37</v>
      </c>
      <c r="J6337" s="28" t="s">
        <v>636</v>
      </c>
      <c r="K6337" s="27" t="s">
        <v>37</v>
      </c>
      <c r="L6337" s="27"/>
    </row>
    <row r="6338" customFormat="false" ht="15" hidden="false" customHeight="false" outlineLevel="0" collapsed="false">
      <c r="A6338" s="26" t="s">
        <v>17614</v>
      </c>
      <c r="B6338" s="27" t="s">
        <v>17615</v>
      </c>
      <c r="C6338" s="27" t="s">
        <v>144</v>
      </c>
      <c r="D6338" s="26"/>
      <c r="E6338" s="27"/>
      <c r="F6338" s="27"/>
      <c r="G6338" s="27" t="s">
        <v>11122</v>
      </c>
      <c r="H6338" s="27" t="s">
        <v>35</v>
      </c>
      <c r="I6338" s="27" t="s">
        <v>43</v>
      </c>
      <c r="J6338" s="28" t="s">
        <v>636</v>
      </c>
      <c r="K6338" s="27" t="s">
        <v>37</v>
      </c>
      <c r="L6338" s="27"/>
    </row>
    <row r="6339" customFormat="false" ht="15" hidden="false" customHeight="false" outlineLevel="0" collapsed="false">
      <c r="A6339" s="26" t="s">
        <v>17616</v>
      </c>
      <c r="B6339" s="27" t="s">
        <v>17617</v>
      </c>
      <c r="C6339" s="27" t="s">
        <v>144</v>
      </c>
      <c r="D6339" s="26"/>
      <c r="E6339" s="27"/>
      <c r="F6339" s="27"/>
      <c r="G6339" s="27" t="s">
        <v>11122</v>
      </c>
      <c r="H6339" s="27" t="s">
        <v>35</v>
      </c>
      <c r="I6339" s="27" t="s">
        <v>43</v>
      </c>
      <c r="J6339" s="28" t="s">
        <v>636</v>
      </c>
      <c r="K6339" s="27" t="s">
        <v>37</v>
      </c>
      <c r="L6339" s="27"/>
    </row>
    <row r="6340" customFormat="false" ht="15" hidden="false" customHeight="false" outlineLevel="0" collapsed="false">
      <c r="A6340" s="26" t="s">
        <v>17618</v>
      </c>
      <c r="B6340" s="27" t="s">
        <v>17619</v>
      </c>
      <c r="C6340" s="27" t="s">
        <v>144</v>
      </c>
      <c r="D6340" s="26"/>
      <c r="E6340" s="27"/>
      <c r="F6340" s="27"/>
      <c r="G6340" s="27" t="s">
        <v>11122</v>
      </c>
      <c r="H6340" s="27" t="s">
        <v>35</v>
      </c>
      <c r="I6340" s="27" t="s">
        <v>43</v>
      </c>
      <c r="J6340" s="28" t="s">
        <v>636</v>
      </c>
      <c r="K6340" s="27" t="s">
        <v>37</v>
      </c>
      <c r="L6340" s="27"/>
    </row>
    <row r="6341" customFormat="false" ht="15" hidden="false" customHeight="false" outlineLevel="0" collapsed="false">
      <c r="A6341" s="26" t="s">
        <v>17620</v>
      </c>
      <c r="B6341" s="27" t="s">
        <v>17621</v>
      </c>
      <c r="C6341" s="27" t="s">
        <v>144</v>
      </c>
      <c r="D6341" s="26"/>
      <c r="E6341" s="27"/>
      <c r="F6341" s="27"/>
      <c r="G6341" s="27" t="s">
        <v>11122</v>
      </c>
      <c r="H6341" s="27" t="s">
        <v>35</v>
      </c>
      <c r="I6341" s="27" t="s">
        <v>37</v>
      </c>
      <c r="J6341" s="28" t="s">
        <v>636</v>
      </c>
      <c r="K6341" s="27" t="s">
        <v>37</v>
      </c>
      <c r="L6341" s="27"/>
    </row>
    <row r="6342" customFormat="false" ht="15" hidden="false" customHeight="false" outlineLevel="0" collapsed="false">
      <c r="A6342" s="26" t="s">
        <v>17622</v>
      </c>
      <c r="B6342" s="27" t="s">
        <v>17623</v>
      </c>
      <c r="C6342" s="27" t="s">
        <v>144</v>
      </c>
      <c r="D6342" s="26"/>
      <c r="E6342" s="27"/>
      <c r="F6342" s="27"/>
      <c r="G6342" s="27" t="s">
        <v>11122</v>
      </c>
      <c r="H6342" s="27" t="s">
        <v>35</v>
      </c>
      <c r="I6342" s="27" t="s">
        <v>37</v>
      </c>
      <c r="J6342" s="28" t="s">
        <v>636</v>
      </c>
      <c r="K6342" s="27" t="s">
        <v>37</v>
      </c>
      <c r="L6342" s="27"/>
    </row>
    <row r="6343" customFormat="false" ht="15" hidden="false" customHeight="false" outlineLevel="0" collapsed="false">
      <c r="A6343" s="26" t="s">
        <v>17624</v>
      </c>
      <c r="B6343" s="27" t="s">
        <v>17625</v>
      </c>
      <c r="C6343" s="27" t="s">
        <v>144</v>
      </c>
      <c r="D6343" s="26"/>
      <c r="E6343" s="27"/>
      <c r="F6343" s="27"/>
      <c r="G6343" s="27" t="s">
        <v>11122</v>
      </c>
      <c r="H6343" s="27" t="s">
        <v>35</v>
      </c>
      <c r="I6343" s="27" t="s">
        <v>43</v>
      </c>
      <c r="J6343" s="28" t="s">
        <v>636</v>
      </c>
      <c r="K6343" s="27" t="s">
        <v>37</v>
      </c>
      <c r="L6343" s="27"/>
    </row>
    <row r="6344" customFormat="false" ht="15" hidden="false" customHeight="false" outlineLevel="0" collapsed="false">
      <c r="A6344" s="26" t="s">
        <v>17626</v>
      </c>
      <c r="B6344" s="27" t="s">
        <v>17627</v>
      </c>
      <c r="C6344" s="27" t="s">
        <v>144</v>
      </c>
      <c r="D6344" s="26"/>
      <c r="E6344" s="27"/>
      <c r="F6344" s="27"/>
      <c r="G6344" s="27" t="s">
        <v>11122</v>
      </c>
      <c r="H6344" s="27" t="s">
        <v>35</v>
      </c>
      <c r="I6344" s="27" t="s">
        <v>37</v>
      </c>
      <c r="J6344" s="28" t="s">
        <v>636</v>
      </c>
      <c r="K6344" s="27" t="s">
        <v>37</v>
      </c>
      <c r="L6344" s="27"/>
    </row>
    <row r="6345" customFormat="false" ht="15" hidden="false" customHeight="false" outlineLevel="0" collapsed="false">
      <c r="A6345" s="26" t="s">
        <v>17628</v>
      </c>
      <c r="B6345" s="27" t="s">
        <v>17629</v>
      </c>
      <c r="C6345" s="27" t="s">
        <v>144</v>
      </c>
      <c r="D6345" s="26"/>
      <c r="E6345" s="27"/>
      <c r="F6345" s="27"/>
      <c r="G6345" s="27" t="s">
        <v>11122</v>
      </c>
      <c r="H6345" s="27" t="s">
        <v>35</v>
      </c>
      <c r="I6345" s="27" t="s">
        <v>43</v>
      </c>
      <c r="J6345" s="28" t="s">
        <v>636</v>
      </c>
      <c r="K6345" s="27" t="s">
        <v>37</v>
      </c>
      <c r="L6345" s="27"/>
    </row>
    <row r="6346" customFormat="false" ht="15" hidden="false" customHeight="false" outlineLevel="0" collapsed="false">
      <c r="A6346" s="26" t="s">
        <v>17630</v>
      </c>
      <c r="B6346" s="27" t="s">
        <v>17631</v>
      </c>
      <c r="C6346" s="27" t="s">
        <v>144</v>
      </c>
      <c r="D6346" s="26"/>
      <c r="E6346" s="27"/>
      <c r="F6346" s="27"/>
      <c r="G6346" s="27" t="s">
        <v>11122</v>
      </c>
      <c r="H6346" s="27" t="s">
        <v>35</v>
      </c>
      <c r="I6346" s="27" t="s">
        <v>43</v>
      </c>
      <c r="J6346" s="28" t="s">
        <v>636</v>
      </c>
      <c r="K6346" s="27" t="s">
        <v>37</v>
      </c>
      <c r="L6346" s="27"/>
    </row>
    <row r="6347" customFormat="false" ht="15" hidden="false" customHeight="false" outlineLevel="0" collapsed="false">
      <c r="A6347" s="26" t="s">
        <v>17632</v>
      </c>
      <c r="B6347" s="27" t="s">
        <v>17633</v>
      </c>
      <c r="C6347" s="27" t="s">
        <v>144</v>
      </c>
      <c r="D6347" s="26"/>
      <c r="E6347" s="27"/>
      <c r="F6347" s="27"/>
      <c r="G6347" s="27" t="s">
        <v>11122</v>
      </c>
      <c r="H6347" s="27" t="s">
        <v>35</v>
      </c>
      <c r="I6347" s="27" t="s">
        <v>37</v>
      </c>
      <c r="J6347" s="28" t="s">
        <v>636</v>
      </c>
      <c r="K6347" s="27" t="s">
        <v>37</v>
      </c>
      <c r="L6347" s="27"/>
    </row>
    <row r="6348" customFormat="false" ht="15" hidden="false" customHeight="false" outlineLevel="0" collapsed="false">
      <c r="A6348" s="26" t="s">
        <v>17634</v>
      </c>
      <c r="B6348" s="27" t="s">
        <v>17635</v>
      </c>
      <c r="C6348" s="27" t="s">
        <v>144</v>
      </c>
      <c r="D6348" s="26"/>
      <c r="E6348" s="27"/>
      <c r="F6348" s="27"/>
      <c r="G6348" s="27" t="s">
        <v>11122</v>
      </c>
      <c r="H6348" s="27" t="s">
        <v>35</v>
      </c>
      <c r="I6348" s="27" t="s">
        <v>37</v>
      </c>
      <c r="J6348" s="28" t="s">
        <v>636</v>
      </c>
      <c r="K6348" s="27" t="s">
        <v>37</v>
      </c>
      <c r="L6348" s="27"/>
    </row>
    <row r="6349" customFormat="false" ht="15" hidden="false" customHeight="false" outlineLevel="0" collapsed="false">
      <c r="A6349" s="26" t="s">
        <v>17636</v>
      </c>
      <c r="B6349" s="27" t="s">
        <v>17637</v>
      </c>
      <c r="C6349" s="27" t="s">
        <v>144</v>
      </c>
      <c r="D6349" s="26"/>
      <c r="E6349" s="27"/>
      <c r="F6349" s="27"/>
      <c r="G6349" s="27" t="s">
        <v>11122</v>
      </c>
      <c r="H6349" s="27" t="s">
        <v>35</v>
      </c>
      <c r="I6349" s="27" t="s">
        <v>37</v>
      </c>
      <c r="J6349" s="28" t="s">
        <v>636</v>
      </c>
      <c r="K6349" s="27" t="s">
        <v>37</v>
      </c>
      <c r="L6349" s="27"/>
    </row>
    <row r="6350" customFormat="false" ht="15" hidden="false" customHeight="false" outlineLevel="0" collapsed="false">
      <c r="A6350" s="26" t="s">
        <v>17638</v>
      </c>
      <c r="B6350" s="27" t="s">
        <v>17639</v>
      </c>
      <c r="C6350" s="27" t="s">
        <v>144</v>
      </c>
      <c r="D6350" s="26"/>
      <c r="E6350" s="27"/>
      <c r="F6350" s="27"/>
      <c r="G6350" s="27" t="s">
        <v>11122</v>
      </c>
      <c r="H6350" s="27" t="s">
        <v>35</v>
      </c>
      <c r="I6350" s="27" t="s">
        <v>43</v>
      </c>
      <c r="J6350" s="28" t="s">
        <v>636</v>
      </c>
      <c r="K6350" s="27" t="s">
        <v>37</v>
      </c>
      <c r="L6350" s="27"/>
    </row>
    <row r="6351" customFormat="false" ht="15" hidden="false" customHeight="false" outlineLevel="0" collapsed="false">
      <c r="A6351" s="26" t="s">
        <v>17640</v>
      </c>
      <c r="B6351" s="27" t="s">
        <v>17641</v>
      </c>
      <c r="C6351" s="27" t="s">
        <v>144</v>
      </c>
      <c r="D6351" s="26"/>
      <c r="E6351" s="27"/>
      <c r="F6351" s="27"/>
      <c r="G6351" s="27" t="s">
        <v>11122</v>
      </c>
      <c r="H6351" s="27" t="s">
        <v>35</v>
      </c>
      <c r="I6351" s="27" t="s">
        <v>37</v>
      </c>
      <c r="J6351" s="28" t="s">
        <v>636</v>
      </c>
      <c r="K6351" s="27" t="s">
        <v>37</v>
      </c>
      <c r="L6351" s="27"/>
    </row>
    <row r="6352" customFormat="false" ht="15" hidden="false" customHeight="false" outlineLevel="0" collapsed="false">
      <c r="A6352" s="26" t="s">
        <v>17642</v>
      </c>
      <c r="B6352" s="27" t="s">
        <v>17643</v>
      </c>
      <c r="C6352" s="27" t="s">
        <v>144</v>
      </c>
      <c r="D6352" s="26"/>
      <c r="E6352" s="27"/>
      <c r="F6352" s="27"/>
      <c r="G6352" s="27" t="s">
        <v>11122</v>
      </c>
      <c r="H6352" s="27" t="s">
        <v>35</v>
      </c>
      <c r="I6352" s="27" t="s">
        <v>37</v>
      </c>
      <c r="J6352" s="28" t="s">
        <v>636</v>
      </c>
      <c r="K6352" s="27" t="s">
        <v>37</v>
      </c>
      <c r="L6352" s="27"/>
    </row>
    <row r="6353" customFormat="false" ht="15" hidden="false" customHeight="false" outlineLevel="0" collapsed="false">
      <c r="A6353" s="26" t="s">
        <v>17644</v>
      </c>
      <c r="B6353" s="27" t="s">
        <v>17645</v>
      </c>
      <c r="C6353" s="27" t="s">
        <v>144</v>
      </c>
      <c r="D6353" s="26"/>
      <c r="E6353" s="27"/>
      <c r="F6353" s="27"/>
      <c r="G6353" s="27" t="s">
        <v>11122</v>
      </c>
      <c r="H6353" s="27" t="s">
        <v>35</v>
      </c>
      <c r="I6353" s="27" t="s">
        <v>37</v>
      </c>
      <c r="J6353" s="28" t="s">
        <v>636</v>
      </c>
      <c r="K6353" s="27" t="s">
        <v>37</v>
      </c>
      <c r="L6353" s="27"/>
    </row>
    <row r="6354" customFormat="false" ht="15" hidden="false" customHeight="false" outlineLevel="0" collapsed="false">
      <c r="A6354" s="26" t="s">
        <v>17646</v>
      </c>
      <c r="B6354" s="27" t="s">
        <v>17647</v>
      </c>
      <c r="C6354" s="27" t="s">
        <v>144</v>
      </c>
      <c r="D6354" s="26"/>
      <c r="E6354" s="27"/>
      <c r="F6354" s="27"/>
      <c r="G6354" s="27" t="s">
        <v>11122</v>
      </c>
      <c r="H6354" s="27" t="s">
        <v>35</v>
      </c>
      <c r="I6354" s="27" t="s">
        <v>37</v>
      </c>
      <c r="J6354" s="28" t="s">
        <v>636</v>
      </c>
      <c r="K6354" s="27" t="s">
        <v>37</v>
      </c>
      <c r="L6354" s="27"/>
    </row>
    <row r="6355" customFormat="false" ht="15" hidden="false" customHeight="false" outlineLevel="0" collapsed="false">
      <c r="A6355" s="26" t="s">
        <v>17648</v>
      </c>
      <c r="B6355" s="27" t="s">
        <v>17649</v>
      </c>
      <c r="C6355" s="27" t="s">
        <v>144</v>
      </c>
      <c r="D6355" s="26"/>
      <c r="E6355" s="27"/>
      <c r="F6355" s="27"/>
      <c r="G6355" s="27" t="s">
        <v>11122</v>
      </c>
      <c r="H6355" s="27" t="s">
        <v>35</v>
      </c>
      <c r="I6355" s="27" t="s">
        <v>43</v>
      </c>
      <c r="J6355" s="28" t="s">
        <v>636</v>
      </c>
      <c r="K6355" s="27" t="s">
        <v>37</v>
      </c>
      <c r="L6355" s="27"/>
    </row>
    <row r="6356" customFormat="false" ht="15" hidden="false" customHeight="false" outlineLevel="0" collapsed="false">
      <c r="A6356" s="26" t="s">
        <v>17650</v>
      </c>
      <c r="B6356" s="27" t="s">
        <v>17651</v>
      </c>
      <c r="C6356" s="27" t="s">
        <v>144</v>
      </c>
      <c r="D6356" s="26"/>
      <c r="E6356" s="27"/>
      <c r="F6356" s="27"/>
      <c r="G6356" s="27" t="s">
        <v>11122</v>
      </c>
      <c r="H6356" s="27" t="s">
        <v>35</v>
      </c>
      <c r="I6356" s="27" t="s">
        <v>37</v>
      </c>
      <c r="J6356" s="28" t="s">
        <v>636</v>
      </c>
      <c r="K6356" s="27" t="s">
        <v>37</v>
      </c>
      <c r="L6356" s="27"/>
    </row>
    <row r="6357" customFormat="false" ht="15" hidden="false" customHeight="false" outlineLevel="0" collapsed="false">
      <c r="A6357" s="26" t="s">
        <v>17652</v>
      </c>
      <c r="B6357" s="27" t="s">
        <v>17653</v>
      </c>
      <c r="C6357" s="27" t="s">
        <v>144</v>
      </c>
      <c r="D6357" s="26"/>
      <c r="E6357" s="27"/>
      <c r="F6357" s="27"/>
      <c r="G6357" s="27" t="s">
        <v>11122</v>
      </c>
      <c r="H6357" s="27" t="s">
        <v>35</v>
      </c>
      <c r="I6357" s="27" t="s">
        <v>43</v>
      </c>
      <c r="J6357" s="28" t="s">
        <v>636</v>
      </c>
      <c r="K6357" s="27" t="s">
        <v>37</v>
      </c>
      <c r="L6357" s="27"/>
    </row>
    <row r="6358" customFormat="false" ht="15" hidden="false" customHeight="false" outlineLevel="0" collapsed="false">
      <c r="A6358" s="26" t="s">
        <v>17654</v>
      </c>
      <c r="B6358" s="27" t="s">
        <v>17655</v>
      </c>
      <c r="C6358" s="27" t="s">
        <v>144</v>
      </c>
      <c r="D6358" s="26"/>
      <c r="E6358" s="27"/>
      <c r="F6358" s="27"/>
      <c r="G6358" s="27" t="s">
        <v>11122</v>
      </c>
      <c r="H6358" s="27" t="s">
        <v>35</v>
      </c>
      <c r="I6358" s="27" t="s">
        <v>37</v>
      </c>
      <c r="J6358" s="28" t="s">
        <v>636</v>
      </c>
      <c r="K6358" s="27" t="s">
        <v>37</v>
      </c>
      <c r="L6358" s="27"/>
    </row>
    <row r="6359" customFormat="false" ht="15" hidden="false" customHeight="false" outlineLevel="0" collapsed="false">
      <c r="A6359" s="26" t="s">
        <v>17656</v>
      </c>
      <c r="B6359" s="27" t="s">
        <v>17657</v>
      </c>
      <c r="C6359" s="27" t="s">
        <v>144</v>
      </c>
      <c r="D6359" s="26"/>
      <c r="E6359" s="27"/>
      <c r="F6359" s="27"/>
      <c r="G6359" s="27" t="s">
        <v>11122</v>
      </c>
      <c r="H6359" s="27" t="s">
        <v>35</v>
      </c>
      <c r="I6359" s="27" t="s">
        <v>37</v>
      </c>
      <c r="J6359" s="28" t="s">
        <v>636</v>
      </c>
      <c r="K6359" s="27" t="s">
        <v>37</v>
      </c>
      <c r="L6359" s="27"/>
    </row>
    <row r="6360" customFormat="false" ht="15" hidden="false" customHeight="false" outlineLevel="0" collapsed="false">
      <c r="A6360" s="26" t="s">
        <v>17658</v>
      </c>
      <c r="B6360" s="27" t="s">
        <v>17659</v>
      </c>
      <c r="C6360" s="27" t="s">
        <v>144</v>
      </c>
      <c r="D6360" s="26"/>
      <c r="E6360" s="27"/>
      <c r="F6360" s="27"/>
      <c r="G6360" s="27" t="s">
        <v>11122</v>
      </c>
      <c r="H6360" s="27" t="s">
        <v>35</v>
      </c>
      <c r="I6360" s="27" t="s">
        <v>37</v>
      </c>
      <c r="J6360" s="28" t="s">
        <v>636</v>
      </c>
      <c r="K6360" s="27" t="s">
        <v>37</v>
      </c>
      <c r="L6360" s="27"/>
    </row>
    <row r="6361" customFormat="false" ht="15" hidden="false" customHeight="false" outlineLevel="0" collapsed="false">
      <c r="A6361" s="26" t="s">
        <v>17660</v>
      </c>
      <c r="B6361" s="27" t="s">
        <v>17661</v>
      </c>
      <c r="C6361" s="27" t="s">
        <v>144</v>
      </c>
      <c r="D6361" s="26"/>
      <c r="E6361" s="27"/>
      <c r="F6361" s="27"/>
      <c r="G6361" s="27" t="s">
        <v>11122</v>
      </c>
      <c r="H6361" s="27" t="s">
        <v>35</v>
      </c>
      <c r="I6361" s="27" t="s">
        <v>37</v>
      </c>
      <c r="J6361" s="28" t="s">
        <v>636</v>
      </c>
      <c r="K6361" s="27" t="s">
        <v>37</v>
      </c>
      <c r="L6361" s="27"/>
    </row>
    <row r="6362" customFormat="false" ht="15" hidden="false" customHeight="false" outlineLevel="0" collapsed="false">
      <c r="A6362" s="26" t="s">
        <v>17662</v>
      </c>
      <c r="B6362" s="27" t="s">
        <v>17663</v>
      </c>
      <c r="C6362" s="27" t="s">
        <v>144</v>
      </c>
      <c r="D6362" s="26"/>
      <c r="E6362" s="27"/>
      <c r="F6362" s="27"/>
      <c r="G6362" s="27" t="s">
        <v>11122</v>
      </c>
      <c r="H6362" s="27" t="s">
        <v>35</v>
      </c>
      <c r="I6362" s="27" t="s">
        <v>37</v>
      </c>
      <c r="J6362" s="28" t="s">
        <v>636</v>
      </c>
      <c r="K6362" s="27" t="s">
        <v>37</v>
      </c>
      <c r="L6362" s="27"/>
    </row>
    <row r="6363" customFormat="false" ht="15" hidden="false" customHeight="false" outlineLevel="0" collapsed="false">
      <c r="A6363" s="26" t="s">
        <v>17664</v>
      </c>
      <c r="B6363" s="27" t="s">
        <v>17665</v>
      </c>
      <c r="C6363" s="27" t="s">
        <v>144</v>
      </c>
      <c r="D6363" s="26"/>
      <c r="E6363" s="27"/>
      <c r="F6363" s="27"/>
      <c r="G6363" s="27" t="s">
        <v>11122</v>
      </c>
      <c r="H6363" s="27" t="s">
        <v>35</v>
      </c>
      <c r="I6363" s="27" t="s">
        <v>37</v>
      </c>
      <c r="J6363" s="28" t="s">
        <v>636</v>
      </c>
      <c r="K6363" s="27" t="s">
        <v>37</v>
      </c>
      <c r="L6363" s="27"/>
    </row>
    <row r="6364" customFormat="false" ht="15" hidden="false" customHeight="false" outlineLevel="0" collapsed="false">
      <c r="A6364" s="26" t="s">
        <v>17666</v>
      </c>
      <c r="B6364" s="27" t="s">
        <v>17667</v>
      </c>
      <c r="C6364" s="27" t="s">
        <v>144</v>
      </c>
      <c r="D6364" s="26"/>
      <c r="E6364" s="27"/>
      <c r="F6364" s="27"/>
      <c r="G6364" s="27" t="s">
        <v>11122</v>
      </c>
      <c r="H6364" s="27" t="s">
        <v>35</v>
      </c>
      <c r="I6364" s="27" t="s">
        <v>37</v>
      </c>
      <c r="J6364" s="28" t="s">
        <v>636</v>
      </c>
      <c r="K6364" s="27" t="s">
        <v>37</v>
      </c>
      <c r="L6364" s="27"/>
    </row>
    <row r="6365" customFormat="false" ht="15" hidden="false" customHeight="false" outlineLevel="0" collapsed="false">
      <c r="A6365" s="26" t="s">
        <v>17668</v>
      </c>
      <c r="B6365" s="27" t="s">
        <v>17669</v>
      </c>
      <c r="C6365" s="27" t="s">
        <v>144</v>
      </c>
      <c r="D6365" s="26"/>
      <c r="E6365" s="27"/>
      <c r="F6365" s="27"/>
      <c r="G6365" s="27" t="s">
        <v>11122</v>
      </c>
      <c r="H6365" s="27" t="s">
        <v>35</v>
      </c>
      <c r="I6365" s="27" t="s">
        <v>37</v>
      </c>
      <c r="J6365" s="28" t="s">
        <v>636</v>
      </c>
      <c r="K6365" s="27" t="s">
        <v>37</v>
      </c>
      <c r="L6365" s="27"/>
    </row>
    <row r="6366" customFormat="false" ht="15" hidden="false" customHeight="false" outlineLevel="0" collapsed="false">
      <c r="A6366" s="26" t="s">
        <v>17670</v>
      </c>
      <c r="B6366" s="27" t="s">
        <v>17671</v>
      </c>
      <c r="C6366" s="27" t="s">
        <v>144</v>
      </c>
      <c r="D6366" s="26"/>
      <c r="E6366" s="27"/>
      <c r="F6366" s="27"/>
      <c r="G6366" s="27" t="s">
        <v>11122</v>
      </c>
      <c r="H6366" s="27" t="s">
        <v>35</v>
      </c>
      <c r="I6366" s="27" t="s">
        <v>37</v>
      </c>
      <c r="J6366" s="28" t="s">
        <v>636</v>
      </c>
      <c r="K6366" s="27" t="s">
        <v>37</v>
      </c>
      <c r="L6366" s="27"/>
    </row>
    <row r="6367" customFormat="false" ht="15" hidden="false" customHeight="false" outlineLevel="0" collapsed="false">
      <c r="A6367" s="26" t="s">
        <v>17672</v>
      </c>
      <c r="B6367" s="27" t="s">
        <v>17673</v>
      </c>
      <c r="C6367" s="27" t="s">
        <v>144</v>
      </c>
      <c r="D6367" s="26"/>
      <c r="E6367" s="27"/>
      <c r="F6367" s="27"/>
      <c r="G6367" s="27" t="s">
        <v>11122</v>
      </c>
      <c r="H6367" s="27" t="s">
        <v>35</v>
      </c>
      <c r="I6367" s="27" t="s">
        <v>37</v>
      </c>
      <c r="J6367" s="28" t="s">
        <v>636</v>
      </c>
      <c r="K6367" s="27" t="s">
        <v>37</v>
      </c>
      <c r="L6367" s="27"/>
    </row>
    <row r="6368" customFormat="false" ht="15" hidden="false" customHeight="false" outlineLevel="0" collapsed="false">
      <c r="A6368" s="26" t="s">
        <v>17674</v>
      </c>
      <c r="B6368" s="27" t="s">
        <v>17675</v>
      </c>
      <c r="C6368" s="27" t="s">
        <v>144</v>
      </c>
      <c r="D6368" s="26"/>
      <c r="E6368" s="27"/>
      <c r="F6368" s="27"/>
      <c r="G6368" s="27" t="s">
        <v>11122</v>
      </c>
      <c r="H6368" s="27" t="s">
        <v>35</v>
      </c>
      <c r="I6368" s="27" t="s">
        <v>43</v>
      </c>
      <c r="J6368" s="28" t="s">
        <v>636</v>
      </c>
      <c r="K6368" s="27" t="s">
        <v>37</v>
      </c>
      <c r="L6368" s="27"/>
    </row>
    <row r="6369" customFormat="false" ht="15" hidden="false" customHeight="false" outlineLevel="0" collapsed="false">
      <c r="A6369" s="26" t="s">
        <v>17676</v>
      </c>
      <c r="B6369" s="27" t="s">
        <v>17677</v>
      </c>
      <c r="C6369" s="27" t="s">
        <v>144</v>
      </c>
      <c r="D6369" s="26"/>
      <c r="E6369" s="27"/>
      <c r="F6369" s="27"/>
      <c r="G6369" s="27" t="s">
        <v>11122</v>
      </c>
      <c r="H6369" s="27" t="s">
        <v>35</v>
      </c>
      <c r="I6369" s="27" t="s">
        <v>37</v>
      </c>
      <c r="J6369" s="28" t="s">
        <v>636</v>
      </c>
      <c r="K6369" s="27" t="s">
        <v>37</v>
      </c>
      <c r="L6369" s="27"/>
    </row>
    <row r="6370" customFormat="false" ht="15" hidden="false" customHeight="false" outlineLevel="0" collapsed="false">
      <c r="A6370" s="26" t="s">
        <v>17678</v>
      </c>
      <c r="B6370" s="27" t="s">
        <v>17679</v>
      </c>
      <c r="C6370" s="27" t="s">
        <v>144</v>
      </c>
      <c r="D6370" s="26"/>
      <c r="E6370" s="27"/>
      <c r="F6370" s="27"/>
      <c r="G6370" s="27" t="s">
        <v>11122</v>
      </c>
      <c r="H6370" s="27" t="s">
        <v>35</v>
      </c>
      <c r="I6370" s="27" t="s">
        <v>43</v>
      </c>
      <c r="J6370" s="28" t="s">
        <v>636</v>
      </c>
      <c r="K6370" s="27" t="s">
        <v>37</v>
      </c>
      <c r="L6370" s="27"/>
    </row>
    <row r="6371" customFormat="false" ht="15" hidden="false" customHeight="false" outlineLevel="0" collapsed="false">
      <c r="A6371" s="26" t="s">
        <v>17680</v>
      </c>
      <c r="B6371" s="27" t="s">
        <v>17681</v>
      </c>
      <c r="C6371" s="27" t="s">
        <v>144</v>
      </c>
      <c r="D6371" s="26"/>
      <c r="E6371" s="27"/>
      <c r="F6371" s="27"/>
      <c r="G6371" s="27" t="s">
        <v>11122</v>
      </c>
      <c r="H6371" s="27" t="s">
        <v>35</v>
      </c>
      <c r="I6371" s="27" t="s">
        <v>37</v>
      </c>
      <c r="J6371" s="28" t="s">
        <v>636</v>
      </c>
      <c r="K6371" s="27" t="s">
        <v>37</v>
      </c>
      <c r="L6371" s="27"/>
    </row>
    <row r="6372" customFormat="false" ht="15" hidden="false" customHeight="false" outlineLevel="0" collapsed="false">
      <c r="A6372" s="26" t="s">
        <v>17682</v>
      </c>
      <c r="B6372" s="27" t="s">
        <v>17683</v>
      </c>
      <c r="C6372" s="27" t="s">
        <v>144</v>
      </c>
      <c r="D6372" s="26"/>
      <c r="E6372" s="27"/>
      <c r="F6372" s="27"/>
      <c r="G6372" s="27" t="s">
        <v>11122</v>
      </c>
      <c r="H6372" s="27" t="s">
        <v>35</v>
      </c>
      <c r="I6372" s="27" t="s">
        <v>43</v>
      </c>
      <c r="J6372" s="28" t="s">
        <v>636</v>
      </c>
      <c r="K6372" s="27" t="s">
        <v>37</v>
      </c>
      <c r="L6372" s="27"/>
    </row>
    <row r="6373" customFormat="false" ht="15" hidden="false" customHeight="false" outlineLevel="0" collapsed="false">
      <c r="A6373" s="26" t="s">
        <v>17684</v>
      </c>
      <c r="B6373" s="27" t="s">
        <v>17685</v>
      </c>
      <c r="C6373" s="27" t="s">
        <v>144</v>
      </c>
      <c r="D6373" s="26"/>
      <c r="E6373" s="27"/>
      <c r="F6373" s="27"/>
      <c r="G6373" s="27" t="s">
        <v>11122</v>
      </c>
      <c r="H6373" s="27" t="s">
        <v>35</v>
      </c>
      <c r="I6373" s="27" t="s">
        <v>37</v>
      </c>
      <c r="J6373" s="28" t="s">
        <v>636</v>
      </c>
      <c r="K6373" s="27" t="s">
        <v>37</v>
      </c>
      <c r="L6373" s="27"/>
    </row>
    <row r="6374" customFormat="false" ht="15" hidden="false" customHeight="false" outlineLevel="0" collapsed="false">
      <c r="A6374" s="26" t="s">
        <v>17686</v>
      </c>
      <c r="B6374" s="27" t="s">
        <v>17687</v>
      </c>
      <c r="C6374" s="27" t="s">
        <v>144</v>
      </c>
      <c r="D6374" s="26"/>
      <c r="E6374" s="27"/>
      <c r="F6374" s="27"/>
      <c r="G6374" s="27" t="s">
        <v>11122</v>
      </c>
      <c r="H6374" s="27" t="s">
        <v>35</v>
      </c>
      <c r="I6374" s="27" t="s">
        <v>37</v>
      </c>
      <c r="J6374" s="28" t="s">
        <v>636</v>
      </c>
      <c r="K6374" s="27" t="s">
        <v>37</v>
      </c>
      <c r="L6374" s="27"/>
    </row>
    <row r="6375" customFormat="false" ht="15" hidden="false" customHeight="false" outlineLevel="0" collapsed="false">
      <c r="A6375" s="26" t="s">
        <v>17688</v>
      </c>
      <c r="B6375" s="27" t="s">
        <v>17689</v>
      </c>
      <c r="C6375" s="27" t="s">
        <v>144</v>
      </c>
      <c r="D6375" s="26"/>
      <c r="E6375" s="27"/>
      <c r="F6375" s="27"/>
      <c r="G6375" s="27" t="s">
        <v>11122</v>
      </c>
      <c r="H6375" s="27" t="s">
        <v>35</v>
      </c>
      <c r="I6375" s="27" t="s">
        <v>39</v>
      </c>
      <c r="J6375" s="28" t="s">
        <v>636</v>
      </c>
      <c r="K6375" s="27" t="s">
        <v>37</v>
      </c>
      <c r="L6375" s="27"/>
    </row>
    <row r="6376" customFormat="false" ht="15" hidden="false" customHeight="false" outlineLevel="0" collapsed="false">
      <c r="A6376" s="26" t="s">
        <v>17690</v>
      </c>
      <c r="B6376" s="27" t="s">
        <v>17691</v>
      </c>
      <c r="C6376" s="27" t="s">
        <v>144</v>
      </c>
      <c r="D6376" s="26"/>
      <c r="E6376" s="27"/>
      <c r="F6376" s="27"/>
      <c r="G6376" s="27" t="s">
        <v>11122</v>
      </c>
      <c r="H6376" s="27" t="s">
        <v>35</v>
      </c>
      <c r="I6376" s="27" t="s">
        <v>37</v>
      </c>
      <c r="J6376" s="28" t="s">
        <v>636</v>
      </c>
      <c r="K6376" s="27" t="s">
        <v>37</v>
      </c>
      <c r="L6376" s="27"/>
    </row>
    <row r="6377" customFormat="false" ht="15" hidden="false" customHeight="false" outlineLevel="0" collapsed="false">
      <c r="A6377" s="26" t="s">
        <v>17692</v>
      </c>
      <c r="B6377" s="27" t="s">
        <v>17693</v>
      </c>
      <c r="C6377" s="27" t="s">
        <v>144</v>
      </c>
      <c r="D6377" s="26"/>
      <c r="E6377" s="27"/>
      <c r="F6377" s="27"/>
      <c r="G6377" s="27" t="s">
        <v>11122</v>
      </c>
      <c r="H6377" s="27" t="s">
        <v>35</v>
      </c>
      <c r="I6377" s="27" t="s">
        <v>37</v>
      </c>
      <c r="J6377" s="28" t="s">
        <v>636</v>
      </c>
      <c r="K6377" s="27" t="s">
        <v>37</v>
      </c>
      <c r="L6377" s="27"/>
    </row>
    <row r="6378" customFormat="false" ht="15" hidden="false" customHeight="false" outlineLevel="0" collapsed="false">
      <c r="A6378" s="26" t="s">
        <v>17694</v>
      </c>
      <c r="B6378" s="27" t="s">
        <v>17695</v>
      </c>
      <c r="C6378" s="27" t="s">
        <v>144</v>
      </c>
      <c r="D6378" s="26"/>
      <c r="E6378" s="27"/>
      <c r="F6378" s="27"/>
      <c r="G6378" s="27" t="s">
        <v>11122</v>
      </c>
      <c r="H6378" s="27" t="s">
        <v>35</v>
      </c>
      <c r="I6378" s="27" t="s">
        <v>37</v>
      </c>
      <c r="J6378" s="28" t="s">
        <v>636</v>
      </c>
      <c r="K6378" s="27" t="s">
        <v>37</v>
      </c>
      <c r="L6378" s="27"/>
    </row>
    <row r="6379" customFormat="false" ht="15" hidden="false" customHeight="false" outlineLevel="0" collapsed="false">
      <c r="A6379" s="26" t="s">
        <v>17696</v>
      </c>
      <c r="B6379" s="27" t="s">
        <v>17697</v>
      </c>
      <c r="C6379" s="27" t="s">
        <v>144</v>
      </c>
      <c r="D6379" s="26"/>
      <c r="E6379" s="27"/>
      <c r="F6379" s="27"/>
      <c r="G6379" s="27" t="s">
        <v>11122</v>
      </c>
      <c r="H6379" s="27" t="s">
        <v>35</v>
      </c>
      <c r="I6379" s="27" t="s">
        <v>43</v>
      </c>
      <c r="J6379" s="28" t="s">
        <v>636</v>
      </c>
      <c r="K6379" s="27" t="s">
        <v>37</v>
      </c>
      <c r="L6379" s="27"/>
    </row>
    <row r="6380" customFormat="false" ht="15" hidden="false" customHeight="false" outlineLevel="0" collapsed="false">
      <c r="A6380" s="26" t="s">
        <v>17698</v>
      </c>
      <c r="B6380" s="27" t="s">
        <v>17699</v>
      </c>
      <c r="C6380" s="27" t="s">
        <v>144</v>
      </c>
      <c r="D6380" s="26"/>
      <c r="E6380" s="27"/>
      <c r="F6380" s="27"/>
      <c r="G6380" s="27" t="s">
        <v>11122</v>
      </c>
      <c r="H6380" s="27" t="s">
        <v>35</v>
      </c>
      <c r="I6380" s="27" t="s">
        <v>43</v>
      </c>
      <c r="J6380" s="28" t="s">
        <v>636</v>
      </c>
      <c r="K6380" s="27" t="s">
        <v>37</v>
      </c>
      <c r="L6380" s="27"/>
    </row>
    <row r="6381" customFormat="false" ht="15" hidden="false" customHeight="false" outlineLevel="0" collapsed="false">
      <c r="A6381" s="26" t="s">
        <v>17700</v>
      </c>
      <c r="B6381" s="27" t="s">
        <v>17701</v>
      </c>
      <c r="C6381" s="27" t="s">
        <v>144</v>
      </c>
      <c r="D6381" s="26"/>
      <c r="E6381" s="27"/>
      <c r="F6381" s="27"/>
      <c r="G6381" s="27" t="s">
        <v>11122</v>
      </c>
      <c r="H6381" s="27" t="s">
        <v>35</v>
      </c>
      <c r="I6381" s="27" t="s">
        <v>37</v>
      </c>
      <c r="J6381" s="28" t="s">
        <v>636</v>
      </c>
      <c r="K6381" s="27" t="s">
        <v>37</v>
      </c>
      <c r="L6381" s="27"/>
    </row>
    <row r="6382" customFormat="false" ht="15" hidden="false" customHeight="false" outlineLevel="0" collapsed="false">
      <c r="A6382" s="26" t="s">
        <v>17702</v>
      </c>
      <c r="B6382" s="27" t="s">
        <v>17703</v>
      </c>
      <c r="C6382" s="27" t="s">
        <v>144</v>
      </c>
      <c r="D6382" s="26"/>
      <c r="E6382" s="27"/>
      <c r="F6382" s="27"/>
      <c r="G6382" s="27" t="s">
        <v>11122</v>
      </c>
      <c r="H6382" s="27" t="s">
        <v>35</v>
      </c>
      <c r="I6382" s="27" t="s">
        <v>37</v>
      </c>
      <c r="J6382" s="28" t="s">
        <v>636</v>
      </c>
      <c r="K6382" s="27" t="s">
        <v>37</v>
      </c>
      <c r="L6382" s="27"/>
    </row>
    <row r="6383" customFormat="false" ht="15" hidden="false" customHeight="false" outlineLevel="0" collapsed="false">
      <c r="A6383" s="26" t="s">
        <v>17704</v>
      </c>
      <c r="B6383" s="27" t="s">
        <v>17705</v>
      </c>
      <c r="C6383" s="27" t="s">
        <v>144</v>
      </c>
      <c r="D6383" s="26"/>
      <c r="E6383" s="27"/>
      <c r="F6383" s="27"/>
      <c r="G6383" s="27" t="s">
        <v>11122</v>
      </c>
      <c r="H6383" s="27" t="s">
        <v>35</v>
      </c>
      <c r="I6383" s="27" t="s">
        <v>37</v>
      </c>
      <c r="J6383" s="28" t="s">
        <v>636</v>
      </c>
      <c r="K6383" s="27" t="s">
        <v>37</v>
      </c>
      <c r="L6383" s="27"/>
    </row>
    <row r="6384" customFormat="false" ht="15" hidden="false" customHeight="false" outlineLevel="0" collapsed="false">
      <c r="A6384" s="26" t="s">
        <v>17706</v>
      </c>
      <c r="B6384" s="27" t="s">
        <v>17707</v>
      </c>
      <c r="C6384" s="27" t="s">
        <v>144</v>
      </c>
      <c r="D6384" s="26"/>
      <c r="E6384" s="27"/>
      <c r="F6384" s="27"/>
      <c r="G6384" s="27" t="s">
        <v>11122</v>
      </c>
      <c r="H6384" s="27" t="s">
        <v>35</v>
      </c>
      <c r="I6384" s="27" t="s">
        <v>43</v>
      </c>
      <c r="J6384" s="28" t="s">
        <v>636</v>
      </c>
      <c r="K6384" s="27" t="s">
        <v>37</v>
      </c>
      <c r="L6384" s="27"/>
    </row>
    <row r="6385" customFormat="false" ht="15" hidden="false" customHeight="false" outlineLevel="0" collapsed="false">
      <c r="A6385" s="26" t="s">
        <v>17708</v>
      </c>
      <c r="B6385" s="27" t="s">
        <v>17709</v>
      </c>
      <c r="C6385" s="27" t="s">
        <v>144</v>
      </c>
      <c r="D6385" s="26"/>
      <c r="E6385" s="27"/>
      <c r="F6385" s="27"/>
      <c r="G6385" s="27" t="s">
        <v>11122</v>
      </c>
      <c r="H6385" s="27" t="s">
        <v>35</v>
      </c>
      <c r="I6385" s="27" t="s">
        <v>43</v>
      </c>
      <c r="J6385" s="28" t="s">
        <v>636</v>
      </c>
      <c r="K6385" s="27" t="s">
        <v>37</v>
      </c>
      <c r="L6385" s="27"/>
    </row>
    <row r="6386" customFormat="false" ht="15" hidden="false" customHeight="false" outlineLevel="0" collapsed="false">
      <c r="A6386" s="26" t="s">
        <v>17710</v>
      </c>
      <c r="B6386" s="27" t="s">
        <v>17711</v>
      </c>
      <c r="C6386" s="27" t="s">
        <v>144</v>
      </c>
      <c r="D6386" s="26"/>
      <c r="E6386" s="27"/>
      <c r="F6386" s="27"/>
      <c r="G6386" s="27" t="s">
        <v>11122</v>
      </c>
      <c r="H6386" s="27" t="s">
        <v>35</v>
      </c>
      <c r="I6386" s="27" t="s">
        <v>37</v>
      </c>
      <c r="J6386" s="28" t="s">
        <v>636</v>
      </c>
      <c r="K6386" s="27" t="s">
        <v>37</v>
      </c>
      <c r="L6386" s="27"/>
    </row>
    <row r="6387" customFormat="false" ht="15" hidden="false" customHeight="false" outlineLevel="0" collapsed="false">
      <c r="A6387" s="26" t="s">
        <v>17712</v>
      </c>
      <c r="B6387" s="27" t="s">
        <v>17713</v>
      </c>
      <c r="C6387" s="27" t="s">
        <v>144</v>
      </c>
      <c r="D6387" s="26"/>
      <c r="E6387" s="27"/>
      <c r="F6387" s="27"/>
      <c r="G6387" s="27" t="s">
        <v>11122</v>
      </c>
      <c r="H6387" s="27" t="s">
        <v>35</v>
      </c>
      <c r="I6387" s="27" t="s">
        <v>37</v>
      </c>
      <c r="J6387" s="28" t="s">
        <v>636</v>
      </c>
      <c r="K6387" s="27" t="s">
        <v>37</v>
      </c>
      <c r="L6387" s="27"/>
    </row>
    <row r="6388" customFormat="false" ht="15" hidden="false" customHeight="false" outlineLevel="0" collapsed="false">
      <c r="A6388" s="26" t="s">
        <v>17714</v>
      </c>
      <c r="B6388" s="27" t="s">
        <v>17715</v>
      </c>
      <c r="C6388" s="27" t="s">
        <v>144</v>
      </c>
      <c r="D6388" s="26"/>
      <c r="E6388" s="27"/>
      <c r="F6388" s="27"/>
      <c r="G6388" s="27" t="s">
        <v>11122</v>
      </c>
      <c r="H6388" s="27" t="s">
        <v>35</v>
      </c>
      <c r="I6388" s="27" t="s">
        <v>43</v>
      </c>
      <c r="J6388" s="28" t="s">
        <v>636</v>
      </c>
      <c r="K6388" s="27" t="s">
        <v>37</v>
      </c>
      <c r="L6388" s="27"/>
    </row>
    <row r="6389" customFormat="false" ht="15" hidden="false" customHeight="false" outlineLevel="0" collapsed="false">
      <c r="A6389" s="26" t="s">
        <v>17716</v>
      </c>
      <c r="B6389" s="27" t="s">
        <v>17717</v>
      </c>
      <c r="C6389" s="27" t="s">
        <v>144</v>
      </c>
      <c r="D6389" s="26"/>
      <c r="E6389" s="27"/>
      <c r="F6389" s="27"/>
      <c r="G6389" s="27" t="s">
        <v>11122</v>
      </c>
      <c r="H6389" s="27" t="s">
        <v>35</v>
      </c>
      <c r="I6389" s="27" t="s">
        <v>43</v>
      </c>
      <c r="J6389" s="28" t="s">
        <v>636</v>
      </c>
      <c r="K6389" s="27" t="s">
        <v>37</v>
      </c>
      <c r="L6389" s="27"/>
    </row>
    <row r="6390" customFormat="false" ht="15" hidden="false" customHeight="false" outlineLevel="0" collapsed="false">
      <c r="A6390" s="26" t="s">
        <v>17718</v>
      </c>
      <c r="B6390" s="27" t="s">
        <v>17719</v>
      </c>
      <c r="C6390" s="27" t="s">
        <v>144</v>
      </c>
      <c r="D6390" s="26"/>
      <c r="E6390" s="27"/>
      <c r="F6390" s="27"/>
      <c r="G6390" s="27" t="s">
        <v>11122</v>
      </c>
      <c r="H6390" s="27" t="s">
        <v>35</v>
      </c>
      <c r="I6390" s="27" t="s">
        <v>37</v>
      </c>
      <c r="J6390" s="28" t="s">
        <v>636</v>
      </c>
      <c r="K6390" s="27" t="s">
        <v>37</v>
      </c>
      <c r="L6390" s="27"/>
    </row>
    <row r="6391" customFormat="false" ht="15" hidden="false" customHeight="false" outlineLevel="0" collapsed="false">
      <c r="A6391" s="26" t="s">
        <v>17720</v>
      </c>
      <c r="B6391" s="27" t="s">
        <v>17721</v>
      </c>
      <c r="C6391" s="27" t="s">
        <v>144</v>
      </c>
      <c r="D6391" s="26"/>
      <c r="E6391" s="27"/>
      <c r="F6391" s="27"/>
      <c r="G6391" s="27" t="s">
        <v>11122</v>
      </c>
      <c r="H6391" s="27" t="s">
        <v>35</v>
      </c>
      <c r="I6391" s="27" t="s">
        <v>37</v>
      </c>
      <c r="J6391" s="28" t="s">
        <v>636</v>
      </c>
      <c r="K6391" s="27" t="s">
        <v>37</v>
      </c>
      <c r="L6391" s="27"/>
    </row>
    <row r="6392" customFormat="false" ht="15" hidden="false" customHeight="false" outlineLevel="0" collapsed="false">
      <c r="A6392" s="26" t="s">
        <v>17722</v>
      </c>
      <c r="B6392" s="27" t="s">
        <v>17723</v>
      </c>
      <c r="C6392" s="27" t="s">
        <v>144</v>
      </c>
      <c r="D6392" s="26"/>
      <c r="E6392" s="27"/>
      <c r="F6392" s="27"/>
      <c r="G6392" s="27" t="s">
        <v>11122</v>
      </c>
      <c r="H6392" s="27" t="s">
        <v>35</v>
      </c>
      <c r="I6392" s="27" t="s">
        <v>37</v>
      </c>
      <c r="J6392" s="28" t="s">
        <v>636</v>
      </c>
      <c r="K6392" s="27" t="s">
        <v>37</v>
      </c>
      <c r="L6392" s="27"/>
    </row>
    <row r="6393" customFormat="false" ht="15" hidden="false" customHeight="false" outlineLevel="0" collapsed="false">
      <c r="A6393" s="26" t="s">
        <v>17724</v>
      </c>
      <c r="B6393" s="27" t="s">
        <v>17725</v>
      </c>
      <c r="C6393" s="27" t="s">
        <v>144</v>
      </c>
      <c r="D6393" s="26"/>
      <c r="E6393" s="27"/>
      <c r="F6393" s="27"/>
      <c r="G6393" s="27" t="s">
        <v>11122</v>
      </c>
      <c r="H6393" s="27" t="s">
        <v>35</v>
      </c>
      <c r="I6393" s="27" t="s">
        <v>37</v>
      </c>
      <c r="J6393" s="28" t="s">
        <v>636</v>
      </c>
      <c r="K6393" s="27" t="s">
        <v>37</v>
      </c>
      <c r="L6393" s="27"/>
    </row>
    <row r="6394" customFormat="false" ht="15" hidden="false" customHeight="false" outlineLevel="0" collapsed="false">
      <c r="A6394" s="26" t="s">
        <v>17726</v>
      </c>
      <c r="B6394" s="27" t="s">
        <v>17727</v>
      </c>
      <c r="C6394" s="27" t="s">
        <v>144</v>
      </c>
      <c r="D6394" s="26"/>
      <c r="E6394" s="27"/>
      <c r="F6394" s="27"/>
      <c r="G6394" s="27" t="s">
        <v>11122</v>
      </c>
      <c r="H6394" s="27" t="s">
        <v>35</v>
      </c>
      <c r="I6394" s="27" t="s">
        <v>43</v>
      </c>
      <c r="J6394" s="28" t="s">
        <v>636</v>
      </c>
      <c r="K6394" s="27" t="s">
        <v>37</v>
      </c>
      <c r="L6394" s="27"/>
    </row>
    <row r="6395" customFormat="false" ht="15" hidden="false" customHeight="false" outlineLevel="0" collapsed="false">
      <c r="A6395" s="26" t="s">
        <v>17728</v>
      </c>
      <c r="B6395" s="27" t="s">
        <v>17729</v>
      </c>
      <c r="C6395" s="27" t="s">
        <v>144</v>
      </c>
      <c r="D6395" s="26"/>
      <c r="E6395" s="27"/>
      <c r="F6395" s="27"/>
      <c r="G6395" s="27" t="s">
        <v>11122</v>
      </c>
      <c r="H6395" s="27" t="s">
        <v>35</v>
      </c>
      <c r="I6395" s="27" t="s">
        <v>37</v>
      </c>
      <c r="J6395" s="28" t="s">
        <v>636</v>
      </c>
      <c r="K6395" s="27" t="s">
        <v>37</v>
      </c>
      <c r="L6395" s="27"/>
    </row>
    <row r="6396" customFormat="false" ht="15" hidden="false" customHeight="false" outlineLevel="0" collapsed="false">
      <c r="A6396" s="26" t="s">
        <v>17730</v>
      </c>
      <c r="B6396" s="27" t="s">
        <v>17731</v>
      </c>
      <c r="C6396" s="27" t="s">
        <v>144</v>
      </c>
      <c r="D6396" s="26"/>
      <c r="E6396" s="27"/>
      <c r="F6396" s="27"/>
      <c r="G6396" s="27" t="s">
        <v>11122</v>
      </c>
      <c r="H6396" s="27" t="s">
        <v>35</v>
      </c>
      <c r="I6396" s="27" t="s">
        <v>43</v>
      </c>
      <c r="J6396" s="28" t="s">
        <v>636</v>
      </c>
      <c r="K6396" s="27" t="s">
        <v>37</v>
      </c>
      <c r="L6396" s="27"/>
    </row>
    <row r="6397" customFormat="false" ht="15" hidden="false" customHeight="false" outlineLevel="0" collapsed="false">
      <c r="A6397" s="26" t="s">
        <v>17732</v>
      </c>
      <c r="B6397" s="27" t="s">
        <v>17733</v>
      </c>
      <c r="C6397" s="27" t="s">
        <v>144</v>
      </c>
      <c r="D6397" s="26"/>
      <c r="E6397" s="27"/>
      <c r="F6397" s="27"/>
      <c r="G6397" s="27" t="s">
        <v>11122</v>
      </c>
      <c r="H6397" s="27" t="s">
        <v>35</v>
      </c>
      <c r="I6397" s="27" t="s">
        <v>37</v>
      </c>
      <c r="J6397" s="28" t="s">
        <v>636</v>
      </c>
      <c r="K6397" s="27" t="s">
        <v>37</v>
      </c>
      <c r="L6397" s="27"/>
    </row>
    <row r="6398" customFormat="false" ht="15" hidden="false" customHeight="false" outlineLevel="0" collapsed="false">
      <c r="A6398" s="26" t="s">
        <v>17734</v>
      </c>
      <c r="B6398" s="27" t="s">
        <v>17735</v>
      </c>
      <c r="C6398" s="27" t="s">
        <v>144</v>
      </c>
      <c r="D6398" s="26"/>
      <c r="E6398" s="27"/>
      <c r="F6398" s="27"/>
      <c r="G6398" s="27" t="s">
        <v>11122</v>
      </c>
      <c r="H6398" s="27" t="s">
        <v>35</v>
      </c>
      <c r="I6398" s="27" t="s">
        <v>37</v>
      </c>
      <c r="J6398" s="28" t="s">
        <v>636</v>
      </c>
      <c r="K6398" s="27" t="s">
        <v>37</v>
      </c>
      <c r="L6398" s="27"/>
    </row>
    <row r="6399" customFormat="false" ht="15" hidden="false" customHeight="false" outlineLevel="0" collapsed="false">
      <c r="A6399" s="26" t="s">
        <v>17736</v>
      </c>
      <c r="B6399" s="27" t="s">
        <v>17737</v>
      </c>
      <c r="C6399" s="27" t="s">
        <v>144</v>
      </c>
      <c r="D6399" s="26"/>
      <c r="E6399" s="27"/>
      <c r="F6399" s="27"/>
      <c r="G6399" s="27" t="s">
        <v>11122</v>
      </c>
      <c r="H6399" s="27" t="s">
        <v>35</v>
      </c>
      <c r="I6399" s="27" t="s">
        <v>37</v>
      </c>
      <c r="J6399" s="28" t="s">
        <v>636</v>
      </c>
      <c r="K6399" s="27" t="s">
        <v>37</v>
      </c>
      <c r="L6399" s="27"/>
    </row>
    <row r="6400" customFormat="false" ht="15" hidden="false" customHeight="false" outlineLevel="0" collapsed="false">
      <c r="A6400" s="26" t="s">
        <v>17738</v>
      </c>
      <c r="B6400" s="27" t="s">
        <v>17739</v>
      </c>
      <c r="C6400" s="27" t="s">
        <v>144</v>
      </c>
      <c r="D6400" s="26"/>
      <c r="E6400" s="27"/>
      <c r="F6400" s="27"/>
      <c r="G6400" s="27" t="s">
        <v>11122</v>
      </c>
      <c r="H6400" s="27" t="s">
        <v>35</v>
      </c>
      <c r="I6400" s="27" t="s">
        <v>38</v>
      </c>
      <c r="J6400" s="28" t="s">
        <v>636</v>
      </c>
      <c r="K6400" s="27" t="s">
        <v>37</v>
      </c>
      <c r="L6400" s="27"/>
    </row>
    <row r="6401" customFormat="false" ht="15" hidden="false" customHeight="false" outlineLevel="0" collapsed="false">
      <c r="A6401" s="26" t="s">
        <v>17740</v>
      </c>
      <c r="B6401" s="27" t="s">
        <v>17741</v>
      </c>
      <c r="C6401" s="27" t="s">
        <v>144</v>
      </c>
      <c r="D6401" s="26"/>
      <c r="E6401" s="27"/>
      <c r="F6401" s="27"/>
      <c r="G6401" s="27" t="s">
        <v>11122</v>
      </c>
      <c r="H6401" s="27" t="s">
        <v>35</v>
      </c>
      <c r="I6401" s="27" t="s">
        <v>38</v>
      </c>
      <c r="J6401" s="28" t="s">
        <v>636</v>
      </c>
      <c r="K6401" s="27" t="s">
        <v>37</v>
      </c>
      <c r="L6401" s="27"/>
    </row>
    <row r="6402" customFormat="false" ht="15" hidden="false" customHeight="false" outlineLevel="0" collapsed="false">
      <c r="A6402" s="26" t="s">
        <v>17742</v>
      </c>
      <c r="B6402" s="27" t="s">
        <v>17743</v>
      </c>
      <c r="C6402" s="27" t="s">
        <v>144</v>
      </c>
      <c r="D6402" s="26"/>
      <c r="E6402" s="27"/>
      <c r="F6402" s="27"/>
      <c r="G6402" s="27" t="s">
        <v>11122</v>
      </c>
      <c r="H6402" s="27" t="s">
        <v>35</v>
      </c>
      <c r="I6402" s="27" t="s">
        <v>38</v>
      </c>
      <c r="J6402" s="28" t="s">
        <v>636</v>
      </c>
      <c r="K6402" s="27" t="s">
        <v>37</v>
      </c>
      <c r="L6402" s="27"/>
    </row>
    <row r="6403" customFormat="false" ht="15" hidden="false" customHeight="false" outlineLevel="0" collapsed="false">
      <c r="A6403" s="26" t="s">
        <v>17744</v>
      </c>
      <c r="B6403" s="27" t="s">
        <v>17745</v>
      </c>
      <c r="C6403" s="27" t="s">
        <v>144</v>
      </c>
      <c r="D6403" s="26"/>
      <c r="E6403" s="27"/>
      <c r="F6403" s="27"/>
      <c r="G6403" s="27" t="s">
        <v>11122</v>
      </c>
      <c r="H6403" s="27" t="s">
        <v>35</v>
      </c>
      <c r="I6403" s="27" t="s">
        <v>3536</v>
      </c>
      <c r="J6403" s="28" t="s">
        <v>636</v>
      </c>
      <c r="K6403" s="27" t="s">
        <v>37</v>
      </c>
      <c r="L6403" s="27"/>
    </row>
    <row r="6404" customFormat="false" ht="15" hidden="false" customHeight="false" outlineLevel="0" collapsed="false">
      <c r="A6404" s="26" t="s">
        <v>17746</v>
      </c>
      <c r="B6404" s="27" t="s">
        <v>17747</v>
      </c>
      <c r="C6404" s="27" t="s">
        <v>144</v>
      </c>
      <c r="D6404" s="26"/>
      <c r="E6404" s="27"/>
      <c r="F6404" s="27"/>
      <c r="G6404" s="27" t="s">
        <v>11122</v>
      </c>
      <c r="H6404" s="27" t="s">
        <v>35</v>
      </c>
      <c r="I6404" s="27" t="s">
        <v>41</v>
      </c>
      <c r="J6404" s="28" t="s">
        <v>636</v>
      </c>
      <c r="K6404" s="27" t="s">
        <v>37</v>
      </c>
      <c r="L6404" s="27"/>
    </row>
    <row r="6405" customFormat="false" ht="15" hidden="false" customHeight="false" outlineLevel="0" collapsed="false">
      <c r="A6405" s="26" t="s">
        <v>17748</v>
      </c>
      <c r="B6405" s="27" t="s">
        <v>17749</v>
      </c>
      <c r="C6405" s="27" t="s">
        <v>144</v>
      </c>
      <c r="D6405" s="26"/>
      <c r="E6405" s="27"/>
      <c r="F6405" s="27"/>
      <c r="G6405" s="27" t="s">
        <v>11122</v>
      </c>
      <c r="H6405" s="27" t="s">
        <v>35</v>
      </c>
      <c r="I6405" s="27" t="s">
        <v>38</v>
      </c>
      <c r="J6405" s="28" t="s">
        <v>636</v>
      </c>
      <c r="K6405" s="27" t="s">
        <v>37</v>
      </c>
      <c r="L6405" s="27"/>
    </row>
    <row r="6406" customFormat="false" ht="15" hidden="false" customHeight="false" outlineLevel="0" collapsed="false">
      <c r="A6406" s="26" t="s">
        <v>17750</v>
      </c>
      <c r="B6406" s="27" t="s">
        <v>17751</v>
      </c>
      <c r="C6406" s="27" t="s">
        <v>144</v>
      </c>
      <c r="D6406" s="26"/>
      <c r="E6406" s="27"/>
      <c r="F6406" s="27"/>
      <c r="G6406" s="27" t="s">
        <v>11122</v>
      </c>
      <c r="H6406" s="27" t="s">
        <v>35</v>
      </c>
      <c r="I6406" s="27" t="s">
        <v>38</v>
      </c>
      <c r="J6406" s="28" t="s">
        <v>636</v>
      </c>
      <c r="K6406" s="27" t="s">
        <v>37</v>
      </c>
      <c r="L6406" s="27"/>
    </row>
    <row r="6407" customFormat="false" ht="15" hidden="false" customHeight="false" outlineLevel="0" collapsed="false">
      <c r="A6407" s="26" t="s">
        <v>17752</v>
      </c>
      <c r="B6407" s="27" t="s">
        <v>17753</v>
      </c>
      <c r="C6407" s="27" t="s">
        <v>144</v>
      </c>
      <c r="D6407" s="26"/>
      <c r="E6407" s="27"/>
      <c r="F6407" s="27"/>
      <c r="G6407" s="27" t="s">
        <v>11122</v>
      </c>
      <c r="H6407" s="27" t="s">
        <v>35</v>
      </c>
      <c r="I6407" s="27" t="s">
        <v>38</v>
      </c>
      <c r="J6407" s="28" t="s">
        <v>636</v>
      </c>
      <c r="K6407" s="27" t="s">
        <v>37</v>
      </c>
      <c r="L6407" s="27"/>
    </row>
    <row r="6408" customFormat="false" ht="15" hidden="false" customHeight="false" outlineLevel="0" collapsed="false">
      <c r="A6408" s="26" t="s">
        <v>17754</v>
      </c>
      <c r="B6408" s="27" t="s">
        <v>17755</v>
      </c>
      <c r="C6408" s="27" t="s">
        <v>144</v>
      </c>
      <c r="D6408" s="26"/>
      <c r="E6408" s="27"/>
      <c r="F6408" s="27"/>
      <c r="G6408" s="27" t="s">
        <v>11122</v>
      </c>
      <c r="H6408" s="27" t="s">
        <v>35</v>
      </c>
      <c r="I6408" s="27" t="s">
        <v>38</v>
      </c>
      <c r="J6408" s="28" t="s">
        <v>636</v>
      </c>
      <c r="K6408" s="27" t="s">
        <v>37</v>
      </c>
      <c r="L6408" s="27"/>
    </row>
    <row r="6409" customFormat="false" ht="15" hidden="false" customHeight="false" outlineLevel="0" collapsed="false">
      <c r="A6409" s="26" t="s">
        <v>17756</v>
      </c>
      <c r="B6409" s="27" t="s">
        <v>17757</v>
      </c>
      <c r="C6409" s="27" t="s">
        <v>144</v>
      </c>
      <c r="D6409" s="26"/>
      <c r="E6409" s="27"/>
      <c r="F6409" s="27"/>
      <c r="G6409" s="27" t="s">
        <v>11122</v>
      </c>
      <c r="H6409" s="27" t="s">
        <v>35</v>
      </c>
      <c r="I6409" s="27" t="s">
        <v>38</v>
      </c>
      <c r="J6409" s="28" t="s">
        <v>636</v>
      </c>
      <c r="K6409" s="27" t="s">
        <v>37</v>
      </c>
      <c r="L6409" s="27"/>
    </row>
    <row r="6410" customFormat="false" ht="15" hidden="false" customHeight="false" outlineLevel="0" collapsed="false">
      <c r="A6410" s="26" t="s">
        <v>17758</v>
      </c>
      <c r="B6410" s="27" t="s">
        <v>17759</v>
      </c>
      <c r="C6410" s="27" t="s">
        <v>144</v>
      </c>
      <c r="D6410" s="26"/>
      <c r="E6410" s="27"/>
      <c r="F6410" s="27"/>
      <c r="G6410" s="27" t="s">
        <v>11122</v>
      </c>
      <c r="H6410" s="27" t="s">
        <v>35</v>
      </c>
      <c r="I6410" s="27" t="s">
        <v>38</v>
      </c>
      <c r="J6410" s="28" t="s">
        <v>636</v>
      </c>
      <c r="K6410" s="27" t="s">
        <v>37</v>
      </c>
      <c r="L6410" s="27"/>
    </row>
    <row r="6411" customFormat="false" ht="15" hidden="false" customHeight="false" outlineLevel="0" collapsed="false">
      <c r="A6411" s="26" t="s">
        <v>17760</v>
      </c>
      <c r="B6411" s="27" t="s">
        <v>17761</v>
      </c>
      <c r="C6411" s="27" t="s">
        <v>144</v>
      </c>
      <c r="D6411" s="26"/>
      <c r="E6411" s="27"/>
      <c r="F6411" s="27"/>
      <c r="G6411" s="27" t="s">
        <v>11122</v>
      </c>
      <c r="H6411" s="27" t="s">
        <v>35</v>
      </c>
      <c r="I6411" s="27" t="s">
        <v>38</v>
      </c>
      <c r="J6411" s="28" t="s">
        <v>636</v>
      </c>
      <c r="K6411" s="27" t="s">
        <v>37</v>
      </c>
      <c r="L6411" s="27"/>
    </row>
    <row r="6412" customFormat="false" ht="15" hidden="false" customHeight="false" outlineLevel="0" collapsed="false">
      <c r="A6412" s="26" t="s">
        <v>17762</v>
      </c>
      <c r="B6412" s="27" t="s">
        <v>17763</v>
      </c>
      <c r="C6412" s="27" t="s">
        <v>144</v>
      </c>
      <c r="D6412" s="26"/>
      <c r="E6412" s="27"/>
      <c r="F6412" s="27"/>
      <c r="G6412" s="27" t="s">
        <v>11122</v>
      </c>
      <c r="H6412" s="27" t="s">
        <v>35</v>
      </c>
      <c r="I6412" s="27" t="s">
        <v>37</v>
      </c>
      <c r="J6412" s="28" t="s">
        <v>636</v>
      </c>
      <c r="K6412" s="27" t="s">
        <v>37</v>
      </c>
      <c r="L6412" s="27"/>
    </row>
    <row r="6413" customFormat="false" ht="15" hidden="false" customHeight="false" outlineLevel="0" collapsed="false">
      <c r="A6413" s="26" t="s">
        <v>17764</v>
      </c>
      <c r="B6413" s="27" t="s">
        <v>17765</v>
      </c>
      <c r="C6413" s="27" t="s">
        <v>144</v>
      </c>
      <c r="D6413" s="26"/>
      <c r="E6413" s="27"/>
      <c r="F6413" s="27"/>
      <c r="G6413" s="27" t="s">
        <v>11122</v>
      </c>
      <c r="H6413" s="27" t="s">
        <v>35</v>
      </c>
      <c r="I6413" s="27" t="s">
        <v>38</v>
      </c>
      <c r="J6413" s="28" t="s">
        <v>636</v>
      </c>
      <c r="K6413" s="27" t="s">
        <v>37</v>
      </c>
      <c r="L6413" s="27"/>
    </row>
    <row r="6414" customFormat="false" ht="15" hidden="false" customHeight="false" outlineLevel="0" collapsed="false">
      <c r="A6414" s="26" t="s">
        <v>17766</v>
      </c>
      <c r="B6414" s="27" t="s">
        <v>17767</v>
      </c>
      <c r="C6414" s="27" t="s">
        <v>144</v>
      </c>
      <c r="D6414" s="26"/>
      <c r="E6414" s="27"/>
      <c r="F6414" s="27"/>
      <c r="G6414" s="27" t="s">
        <v>11122</v>
      </c>
      <c r="H6414" s="27" t="s">
        <v>35</v>
      </c>
      <c r="I6414" s="27" t="s">
        <v>38</v>
      </c>
      <c r="J6414" s="28" t="s">
        <v>636</v>
      </c>
      <c r="K6414" s="27" t="s">
        <v>37</v>
      </c>
      <c r="L6414" s="27"/>
    </row>
    <row r="6415" customFormat="false" ht="15" hidden="false" customHeight="false" outlineLevel="0" collapsed="false">
      <c r="A6415" s="26" t="s">
        <v>17768</v>
      </c>
      <c r="B6415" s="27" t="s">
        <v>17769</v>
      </c>
      <c r="C6415" s="27" t="s">
        <v>144</v>
      </c>
      <c r="D6415" s="26"/>
      <c r="E6415" s="27"/>
      <c r="F6415" s="27"/>
      <c r="G6415" s="27" t="s">
        <v>11122</v>
      </c>
      <c r="H6415" s="27" t="s">
        <v>35</v>
      </c>
      <c r="I6415" s="27" t="s">
        <v>41</v>
      </c>
      <c r="J6415" s="28" t="s">
        <v>636</v>
      </c>
      <c r="K6415" s="27" t="s">
        <v>37</v>
      </c>
      <c r="L6415" s="27"/>
    </row>
    <row r="6416" customFormat="false" ht="15" hidden="false" customHeight="false" outlineLevel="0" collapsed="false">
      <c r="A6416" s="26" t="s">
        <v>17770</v>
      </c>
      <c r="B6416" s="27" t="s">
        <v>17771</v>
      </c>
      <c r="C6416" s="27" t="s">
        <v>144</v>
      </c>
      <c r="D6416" s="26"/>
      <c r="E6416" s="27"/>
      <c r="F6416" s="27"/>
      <c r="G6416" s="27" t="s">
        <v>11122</v>
      </c>
      <c r="H6416" s="27" t="s">
        <v>35</v>
      </c>
      <c r="I6416" s="27" t="s">
        <v>37</v>
      </c>
      <c r="J6416" s="28" t="s">
        <v>636</v>
      </c>
      <c r="K6416" s="27" t="s">
        <v>37</v>
      </c>
      <c r="L6416" s="27"/>
    </row>
    <row r="6417" customFormat="false" ht="15" hidden="false" customHeight="false" outlineLevel="0" collapsed="false">
      <c r="A6417" s="26" t="s">
        <v>17772</v>
      </c>
      <c r="B6417" s="27" t="s">
        <v>17773</v>
      </c>
      <c r="C6417" s="27" t="s">
        <v>144</v>
      </c>
      <c r="D6417" s="26"/>
      <c r="E6417" s="27"/>
      <c r="F6417" s="27"/>
      <c r="G6417" s="27" t="s">
        <v>11122</v>
      </c>
      <c r="H6417" s="27" t="s">
        <v>35</v>
      </c>
      <c r="I6417" s="27" t="s">
        <v>38</v>
      </c>
      <c r="J6417" s="28" t="s">
        <v>636</v>
      </c>
      <c r="K6417" s="27" t="s">
        <v>37</v>
      </c>
      <c r="L6417" s="27"/>
    </row>
    <row r="6418" customFormat="false" ht="15" hidden="false" customHeight="false" outlineLevel="0" collapsed="false">
      <c r="A6418" s="26" t="s">
        <v>17774</v>
      </c>
      <c r="B6418" s="27" t="s">
        <v>17775</v>
      </c>
      <c r="C6418" s="27" t="s">
        <v>144</v>
      </c>
      <c r="D6418" s="26"/>
      <c r="E6418" s="27"/>
      <c r="F6418" s="27"/>
      <c r="G6418" s="27" t="s">
        <v>11122</v>
      </c>
      <c r="H6418" s="27" t="s">
        <v>35</v>
      </c>
      <c r="I6418" s="27" t="s">
        <v>38</v>
      </c>
      <c r="J6418" s="28" t="s">
        <v>636</v>
      </c>
      <c r="K6418" s="27" t="s">
        <v>37</v>
      </c>
      <c r="L6418" s="27"/>
    </row>
    <row r="6419" customFormat="false" ht="15" hidden="false" customHeight="false" outlineLevel="0" collapsed="false">
      <c r="A6419" s="26" t="s">
        <v>17776</v>
      </c>
      <c r="B6419" s="27" t="s">
        <v>17777</v>
      </c>
      <c r="C6419" s="27" t="s">
        <v>144</v>
      </c>
      <c r="D6419" s="26"/>
      <c r="E6419" s="27"/>
      <c r="F6419" s="27"/>
      <c r="G6419" s="27" t="s">
        <v>11122</v>
      </c>
      <c r="H6419" s="27" t="s">
        <v>35</v>
      </c>
      <c r="I6419" s="27" t="s">
        <v>37</v>
      </c>
      <c r="J6419" s="28" t="s">
        <v>636</v>
      </c>
      <c r="K6419" s="27" t="s">
        <v>37</v>
      </c>
      <c r="L6419" s="27"/>
    </row>
    <row r="6420" customFormat="false" ht="15" hidden="false" customHeight="false" outlineLevel="0" collapsed="false">
      <c r="A6420" s="26" t="s">
        <v>17778</v>
      </c>
      <c r="B6420" s="27" t="s">
        <v>17779</v>
      </c>
      <c r="C6420" s="27" t="s">
        <v>144</v>
      </c>
      <c r="D6420" s="26"/>
      <c r="E6420" s="27"/>
      <c r="F6420" s="27"/>
      <c r="G6420" s="27" t="s">
        <v>11122</v>
      </c>
      <c r="H6420" s="27" t="s">
        <v>35</v>
      </c>
      <c r="I6420" s="27" t="s">
        <v>41</v>
      </c>
      <c r="J6420" s="28" t="s">
        <v>636</v>
      </c>
      <c r="K6420" s="27" t="s">
        <v>37</v>
      </c>
      <c r="L6420" s="27"/>
    </row>
    <row r="6421" customFormat="false" ht="15" hidden="false" customHeight="false" outlineLevel="0" collapsed="false">
      <c r="A6421" s="26" t="s">
        <v>17780</v>
      </c>
      <c r="B6421" s="27" t="s">
        <v>17781</v>
      </c>
      <c r="C6421" s="27" t="s">
        <v>144</v>
      </c>
      <c r="D6421" s="26"/>
      <c r="E6421" s="27"/>
      <c r="F6421" s="27"/>
      <c r="G6421" s="27" t="s">
        <v>11122</v>
      </c>
      <c r="H6421" s="27" t="s">
        <v>35</v>
      </c>
      <c r="I6421" s="27" t="s">
        <v>37</v>
      </c>
      <c r="J6421" s="28" t="s">
        <v>636</v>
      </c>
      <c r="K6421" s="27" t="s">
        <v>37</v>
      </c>
      <c r="L6421" s="27"/>
    </row>
    <row r="6422" customFormat="false" ht="15" hidden="false" customHeight="false" outlineLevel="0" collapsed="false">
      <c r="A6422" s="26" t="s">
        <v>17782</v>
      </c>
      <c r="B6422" s="27" t="s">
        <v>17783</v>
      </c>
      <c r="C6422" s="27" t="s">
        <v>144</v>
      </c>
      <c r="D6422" s="26"/>
      <c r="E6422" s="27"/>
      <c r="F6422" s="27"/>
      <c r="G6422" s="27" t="s">
        <v>11122</v>
      </c>
      <c r="H6422" s="27" t="s">
        <v>35</v>
      </c>
      <c r="I6422" s="27" t="s">
        <v>41</v>
      </c>
      <c r="J6422" s="28" t="s">
        <v>636</v>
      </c>
      <c r="K6422" s="27" t="s">
        <v>37</v>
      </c>
      <c r="L6422" s="27"/>
    </row>
    <row r="6423" customFormat="false" ht="15" hidden="false" customHeight="false" outlineLevel="0" collapsed="false">
      <c r="A6423" s="26" t="s">
        <v>17784</v>
      </c>
      <c r="B6423" s="27" t="s">
        <v>17785</v>
      </c>
      <c r="C6423" s="27" t="s">
        <v>144</v>
      </c>
      <c r="D6423" s="26"/>
      <c r="E6423" s="27"/>
      <c r="F6423" s="27"/>
      <c r="G6423" s="27" t="s">
        <v>11122</v>
      </c>
      <c r="H6423" s="27" t="s">
        <v>35</v>
      </c>
      <c r="I6423" s="27" t="s">
        <v>42</v>
      </c>
      <c r="J6423" s="28" t="s">
        <v>636</v>
      </c>
      <c r="K6423" s="27" t="s">
        <v>37</v>
      </c>
      <c r="L6423" s="27"/>
    </row>
    <row r="6424" customFormat="false" ht="15" hidden="false" customHeight="false" outlineLevel="0" collapsed="false">
      <c r="A6424" s="26" t="s">
        <v>17786</v>
      </c>
      <c r="B6424" s="27" t="s">
        <v>17787</v>
      </c>
      <c r="C6424" s="27" t="s">
        <v>144</v>
      </c>
      <c r="D6424" s="26"/>
      <c r="E6424" s="27"/>
      <c r="F6424" s="27"/>
      <c r="G6424" s="27" t="s">
        <v>11122</v>
      </c>
      <c r="H6424" s="27" t="s">
        <v>35</v>
      </c>
      <c r="I6424" s="27" t="s">
        <v>42</v>
      </c>
      <c r="J6424" s="28" t="s">
        <v>636</v>
      </c>
      <c r="K6424" s="27" t="s">
        <v>37</v>
      </c>
      <c r="L6424" s="27"/>
    </row>
    <row r="6425" customFormat="false" ht="15" hidden="false" customHeight="false" outlineLevel="0" collapsed="false">
      <c r="A6425" s="26" t="s">
        <v>17788</v>
      </c>
      <c r="B6425" s="27" t="s">
        <v>17789</v>
      </c>
      <c r="C6425" s="27" t="s">
        <v>144</v>
      </c>
      <c r="D6425" s="26"/>
      <c r="E6425" s="27"/>
      <c r="F6425" s="27"/>
      <c r="G6425" s="27" t="s">
        <v>11122</v>
      </c>
      <c r="H6425" s="27" t="s">
        <v>35</v>
      </c>
      <c r="I6425" s="27" t="s">
        <v>42</v>
      </c>
      <c r="J6425" s="28" t="s">
        <v>636</v>
      </c>
      <c r="K6425" s="27" t="s">
        <v>37</v>
      </c>
      <c r="L6425" s="27"/>
    </row>
    <row r="6426" customFormat="false" ht="15" hidden="false" customHeight="false" outlineLevel="0" collapsed="false">
      <c r="A6426" s="26" t="s">
        <v>17790</v>
      </c>
      <c r="B6426" s="27" t="s">
        <v>17791</v>
      </c>
      <c r="C6426" s="27" t="s">
        <v>144</v>
      </c>
      <c r="D6426" s="26"/>
      <c r="E6426" s="27"/>
      <c r="F6426" s="27"/>
      <c r="G6426" s="27" t="s">
        <v>11122</v>
      </c>
      <c r="H6426" s="27" t="s">
        <v>35</v>
      </c>
      <c r="I6426" s="27" t="s">
        <v>37</v>
      </c>
      <c r="J6426" s="28" t="s">
        <v>636</v>
      </c>
      <c r="K6426" s="27" t="s">
        <v>37</v>
      </c>
      <c r="L6426" s="27"/>
    </row>
    <row r="6427" customFormat="false" ht="15" hidden="false" customHeight="false" outlineLevel="0" collapsed="false">
      <c r="A6427" s="26" t="s">
        <v>17792</v>
      </c>
      <c r="B6427" s="27" t="s">
        <v>17793</v>
      </c>
      <c r="C6427" s="27" t="s">
        <v>144</v>
      </c>
      <c r="D6427" s="26"/>
      <c r="E6427" s="27"/>
      <c r="F6427" s="27"/>
      <c r="G6427" s="27" t="s">
        <v>11122</v>
      </c>
      <c r="H6427" s="27" t="s">
        <v>35</v>
      </c>
      <c r="I6427" s="27" t="s">
        <v>37</v>
      </c>
      <c r="J6427" s="28" t="s">
        <v>636</v>
      </c>
      <c r="K6427" s="27" t="s">
        <v>37</v>
      </c>
      <c r="L6427" s="27"/>
    </row>
    <row r="6428" customFormat="false" ht="15" hidden="false" customHeight="false" outlineLevel="0" collapsed="false">
      <c r="A6428" s="26" t="s">
        <v>17794</v>
      </c>
      <c r="B6428" s="27" t="s">
        <v>17795</v>
      </c>
      <c r="C6428" s="27" t="s">
        <v>144</v>
      </c>
      <c r="D6428" s="26"/>
      <c r="E6428" s="27"/>
      <c r="F6428" s="27"/>
      <c r="G6428" s="27" t="s">
        <v>11122</v>
      </c>
      <c r="H6428" s="27" t="s">
        <v>35</v>
      </c>
      <c r="I6428" s="27" t="s">
        <v>37</v>
      </c>
      <c r="J6428" s="28" t="s">
        <v>636</v>
      </c>
      <c r="K6428" s="27" t="s">
        <v>37</v>
      </c>
      <c r="L6428" s="27"/>
    </row>
    <row r="6429" customFormat="false" ht="15" hidden="false" customHeight="false" outlineLevel="0" collapsed="false">
      <c r="A6429" s="26" t="s">
        <v>17796</v>
      </c>
      <c r="B6429" s="27" t="s">
        <v>17797</v>
      </c>
      <c r="C6429" s="27" t="s">
        <v>144</v>
      </c>
      <c r="D6429" s="26"/>
      <c r="E6429" s="27"/>
      <c r="F6429" s="27"/>
      <c r="G6429" s="27" t="s">
        <v>11122</v>
      </c>
      <c r="H6429" s="27" t="s">
        <v>35</v>
      </c>
      <c r="I6429" s="27" t="s">
        <v>37</v>
      </c>
      <c r="J6429" s="28" t="s">
        <v>636</v>
      </c>
      <c r="K6429" s="27" t="s">
        <v>37</v>
      </c>
      <c r="L6429" s="27"/>
    </row>
    <row r="6430" customFormat="false" ht="15" hidden="false" customHeight="false" outlineLevel="0" collapsed="false">
      <c r="A6430" s="26" t="s">
        <v>17798</v>
      </c>
      <c r="B6430" s="27" t="s">
        <v>17799</v>
      </c>
      <c r="C6430" s="27" t="s">
        <v>144</v>
      </c>
      <c r="D6430" s="26"/>
      <c r="E6430" s="27"/>
      <c r="F6430" s="27"/>
      <c r="G6430" s="27" t="s">
        <v>11122</v>
      </c>
      <c r="H6430" s="27" t="s">
        <v>35</v>
      </c>
      <c r="I6430" s="27" t="s">
        <v>48</v>
      </c>
      <c r="J6430" s="28" t="s">
        <v>636</v>
      </c>
      <c r="K6430" s="27" t="s">
        <v>37</v>
      </c>
      <c r="L6430" s="27"/>
    </row>
    <row r="6431" customFormat="false" ht="15" hidden="false" customHeight="false" outlineLevel="0" collapsed="false">
      <c r="A6431" s="26" t="s">
        <v>17800</v>
      </c>
      <c r="B6431" s="27" t="s">
        <v>17801</v>
      </c>
      <c r="C6431" s="27" t="s">
        <v>144</v>
      </c>
      <c r="D6431" s="26"/>
      <c r="E6431" s="27"/>
      <c r="F6431" s="27"/>
      <c r="G6431" s="27" t="s">
        <v>11122</v>
      </c>
      <c r="H6431" s="27" t="s">
        <v>35</v>
      </c>
      <c r="I6431" s="27" t="s">
        <v>37</v>
      </c>
      <c r="J6431" s="28" t="s">
        <v>636</v>
      </c>
      <c r="K6431" s="27" t="s">
        <v>37</v>
      </c>
      <c r="L6431" s="27"/>
    </row>
    <row r="6432" customFormat="false" ht="15" hidden="false" customHeight="false" outlineLevel="0" collapsed="false">
      <c r="A6432" s="26" t="s">
        <v>17802</v>
      </c>
      <c r="B6432" s="27" t="s">
        <v>17803</v>
      </c>
      <c r="C6432" s="27" t="s">
        <v>144</v>
      </c>
      <c r="D6432" s="26"/>
      <c r="E6432" s="27"/>
      <c r="F6432" s="27"/>
      <c r="G6432" s="27" t="s">
        <v>11122</v>
      </c>
      <c r="H6432" s="27" t="s">
        <v>35</v>
      </c>
      <c r="I6432" s="27" t="s">
        <v>37</v>
      </c>
      <c r="J6432" s="28" t="s">
        <v>636</v>
      </c>
      <c r="K6432" s="27" t="s">
        <v>37</v>
      </c>
      <c r="L6432" s="27"/>
    </row>
    <row r="6433" customFormat="false" ht="15" hidden="false" customHeight="false" outlineLevel="0" collapsed="false">
      <c r="A6433" s="26" t="s">
        <v>17804</v>
      </c>
      <c r="B6433" s="27" t="s">
        <v>17805</v>
      </c>
      <c r="C6433" s="27" t="s">
        <v>144</v>
      </c>
      <c r="D6433" s="26"/>
      <c r="E6433" s="27"/>
      <c r="F6433" s="27"/>
      <c r="G6433" s="27" t="s">
        <v>11122</v>
      </c>
      <c r="H6433" s="27" t="s">
        <v>35</v>
      </c>
      <c r="I6433" s="27" t="s">
        <v>37</v>
      </c>
      <c r="J6433" s="28" t="s">
        <v>636</v>
      </c>
      <c r="K6433" s="27" t="s">
        <v>37</v>
      </c>
      <c r="L6433" s="27"/>
    </row>
    <row r="6434" customFormat="false" ht="15" hidden="false" customHeight="false" outlineLevel="0" collapsed="false">
      <c r="A6434" s="26" t="s">
        <v>17806</v>
      </c>
      <c r="B6434" s="27" t="s">
        <v>17807</v>
      </c>
      <c r="C6434" s="27" t="s">
        <v>144</v>
      </c>
      <c r="D6434" s="26"/>
      <c r="E6434" s="27"/>
      <c r="F6434" s="27"/>
      <c r="G6434" s="27" t="s">
        <v>11122</v>
      </c>
      <c r="H6434" s="27" t="s">
        <v>35</v>
      </c>
      <c r="I6434" s="27" t="s">
        <v>37</v>
      </c>
      <c r="J6434" s="28" t="s">
        <v>636</v>
      </c>
      <c r="K6434" s="27" t="s">
        <v>37</v>
      </c>
      <c r="L6434" s="27"/>
    </row>
    <row r="6435" customFormat="false" ht="15" hidden="false" customHeight="false" outlineLevel="0" collapsed="false">
      <c r="A6435" s="26" t="s">
        <v>17808</v>
      </c>
      <c r="B6435" s="27" t="s">
        <v>17809</v>
      </c>
      <c r="C6435" s="27" t="s">
        <v>144</v>
      </c>
      <c r="D6435" s="26"/>
      <c r="E6435" s="27"/>
      <c r="F6435" s="27"/>
      <c r="G6435" s="27" t="s">
        <v>11122</v>
      </c>
      <c r="H6435" s="27" t="s">
        <v>35</v>
      </c>
      <c r="I6435" s="27" t="s">
        <v>37</v>
      </c>
      <c r="J6435" s="28" t="s">
        <v>636</v>
      </c>
      <c r="K6435" s="27" t="s">
        <v>37</v>
      </c>
      <c r="L6435" s="27"/>
    </row>
    <row r="6436" customFormat="false" ht="15" hidden="false" customHeight="false" outlineLevel="0" collapsed="false">
      <c r="A6436" s="26" t="s">
        <v>17810</v>
      </c>
      <c r="B6436" s="27" t="s">
        <v>17811</v>
      </c>
      <c r="C6436" s="27" t="s">
        <v>144</v>
      </c>
      <c r="D6436" s="26"/>
      <c r="E6436" s="27"/>
      <c r="F6436" s="27"/>
      <c r="G6436" s="27" t="s">
        <v>11122</v>
      </c>
      <c r="H6436" s="27" t="s">
        <v>35</v>
      </c>
      <c r="I6436" s="27" t="s">
        <v>37</v>
      </c>
      <c r="J6436" s="28" t="s">
        <v>636</v>
      </c>
      <c r="K6436" s="27" t="s">
        <v>37</v>
      </c>
      <c r="L6436" s="27"/>
    </row>
    <row r="6437" customFormat="false" ht="15" hidden="false" customHeight="false" outlineLevel="0" collapsed="false">
      <c r="A6437" s="26" t="s">
        <v>17812</v>
      </c>
      <c r="B6437" s="27" t="s">
        <v>17813</v>
      </c>
      <c r="C6437" s="27" t="s">
        <v>144</v>
      </c>
      <c r="D6437" s="26"/>
      <c r="E6437" s="27"/>
      <c r="F6437" s="27"/>
      <c r="G6437" s="27" t="s">
        <v>11122</v>
      </c>
      <c r="H6437" s="27" t="s">
        <v>35</v>
      </c>
      <c r="I6437" s="27" t="s">
        <v>37</v>
      </c>
      <c r="J6437" s="28" t="s">
        <v>636</v>
      </c>
      <c r="K6437" s="27" t="s">
        <v>37</v>
      </c>
      <c r="L6437" s="27"/>
    </row>
    <row r="6438" customFormat="false" ht="15" hidden="false" customHeight="false" outlineLevel="0" collapsed="false">
      <c r="A6438" s="26" t="s">
        <v>17814</v>
      </c>
      <c r="B6438" s="27" t="s">
        <v>17815</v>
      </c>
      <c r="C6438" s="27" t="s">
        <v>144</v>
      </c>
      <c r="D6438" s="26"/>
      <c r="E6438" s="27"/>
      <c r="F6438" s="27"/>
      <c r="G6438" s="27" t="s">
        <v>11122</v>
      </c>
      <c r="H6438" s="27" t="s">
        <v>35</v>
      </c>
      <c r="I6438" s="27" t="s">
        <v>41</v>
      </c>
      <c r="J6438" s="28" t="s">
        <v>636</v>
      </c>
      <c r="K6438" s="27" t="s">
        <v>37</v>
      </c>
      <c r="L6438" s="27"/>
    </row>
    <row r="6439" customFormat="false" ht="15" hidden="false" customHeight="false" outlineLevel="0" collapsed="false">
      <c r="A6439" s="26" t="s">
        <v>17816</v>
      </c>
      <c r="B6439" s="27" t="s">
        <v>17817</v>
      </c>
      <c r="C6439" s="27" t="s">
        <v>144</v>
      </c>
      <c r="D6439" s="26"/>
      <c r="E6439" s="27"/>
      <c r="F6439" s="27"/>
      <c r="G6439" s="27" t="s">
        <v>11122</v>
      </c>
      <c r="H6439" s="27" t="s">
        <v>35</v>
      </c>
      <c r="I6439" s="27" t="s">
        <v>887</v>
      </c>
      <c r="J6439" s="28" t="s">
        <v>636</v>
      </c>
      <c r="K6439" s="27" t="s">
        <v>37</v>
      </c>
      <c r="L6439" s="27"/>
    </row>
    <row r="6440" customFormat="false" ht="15" hidden="false" customHeight="false" outlineLevel="0" collapsed="false">
      <c r="A6440" s="26" t="s">
        <v>17818</v>
      </c>
      <c r="B6440" s="27" t="s">
        <v>17819</v>
      </c>
      <c r="C6440" s="27" t="s">
        <v>144</v>
      </c>
      <c r="D6440" s="26"/>
      <c r="E6440" s="27"/>
      <c r="F6440" s="27"/>
      <c r="G6440" s="27" t="s">
        <v>11122</v>
      </c>
      <c r="H6440" s="27" t="s">
        <v>35</v>
      </c>
      <c r="I6440" s="27" t="s">
        <v>37</v>
      </c>
      <c r="J6440" s="28" t="s">
        <v>636</v>
      </c>
      <c r="K6440" s="27" t="s">
        <v>37</v>
      </c>
      <c r="L6440" s="27"/>
    </row>
    <row r="6441" customFormat="false" ht="15" hidden="false" customHeight="false" outlineLevel="0" collapsed="false">
      <c r="A6441" s="26" t="s">
        <v>17820</v>
      </c>
      <c r="B6441" s="27" t="s">
        <v>17821</v>
      </c>
      <c r="C6441" s="27" t="s">
        <v>144</v>
      </c>
      <c r="D6441" s="26"/>
      <c r="E6441" s="27"/>
      <c r="F6441" s="27"/>
      <c r="G6441" s="27" t="s">
        <v>11122</v>
      </c>
      <c r="H6441" s="27" t="s">
        <v>35</v>
      </c>
      <c r="I6441" s="27" t="s">
        <v>887</v>
      </c>
      <c r="J6441" s="28" t="s">
        <v>636</v>
      </c>
      <c r="K6441" s="27" t="s">
        <v>37</v>
      </c>
      <c r="L6441" s="27"/>
    </row>
    <row r="6442" customFormat="false" ht="15" hidden="false" customHeight="false" outlineLevel="0" collapsed="false">
      <c r="A6442" s="26" t="s">
        <v>17822</v>
      </c>
      <c r="B6442" s="27" t="s">
        <v>17823</v>
      </c>
      <c r="C6442" s="27" t="s">
        <v>144</v>
      </c>
      <c r="D6442" s="26"/>
      <c r="E6442" s="27"/>
      <c r="F6442" s="27"/>
      <c r="G6442" s="27" t="s">
        <v>11122</v>
      </c>
      <c r="H6442" s="27" t="s">
        <v>35</v>
      </c>
      <c r="I6442" s="27" t="s">
        <v>37</v>
      </c>
      <c r="J6442" s="28" t="s">
        <v>636</v>
      </c>
      <c r="K6442" s="27" t="s">
        <v>37</v>
      </c>
      <c r="L6442" s="27"/>
    </row>
    <row r="6443" customFormat="false" ht="15" hidden="false" customHeight="false" outlineLevel="0" collapsed="false">
      <c r="A6443" s="26" t="s">
        <v>17824</v>
      </c>
      <c r="B6443" s="27" t="s">
        <v>17825</v>
      </c>
      <c r="C6443" s="27" t="s">
        <v>144</v>
      </c>
      <c r="D6443" s="26"/>
      <c r="E6443" s="27"/>
      <c r="F6443" s="27"/>
      <c r="G6443" s="27" t="s">
        <v>11122</v>
      </c>
      <c r="H6443" s="27" t="s">
        <v>35</v>
      </c>
      <c r="I6443" s="27" t="s">
        <v>37</v>
      </c>
      <c r="J6443" s="28" t="s">
        <v>636</v>
      </c>
      <c r="K6443" s="27" t="s">
        <v>37</v>
      </c>
      <c r="L6443" s="27"/>
    </row>
    <row r="6444" customFormat="false" ht="15" hidden="false" customHeight="false" outlineLevel="0" collapsed="false">
      <c r="A6444" s="26" t="s">
        <v>17826</v>
      </c>
      <c r="B6444" s="27" t="s">
        <v>17827</v>
      </c>
      <c r="C6444" s="27" t="s">
        <v>144</v>
      </c>
      <c r="D6444" s="26"/>
      <c r="E6444" s="27"/>
      <c r="F6444" s="27"/>
      <c r="G6444" s="27" t="s">
        <v>11122</v>
      </c>
      <c r="H6444" s="27" t="s">
        <v>35</v>
      </c>
      <c r="I6444" s="27" t="s">
        <v>37</v>
      </c>
      <c r="J6444" s="28" t="s">
        <v>636</v>
      </c>
      <c r="K6444" s="27" t="s">
        <v>37</v>
      </c>
      <c r="L6444" s="27"/>
    </row>
    <row r="6445" customFormat="false" ht="15" hidden="false" customHeight="false" outlineLevel="0" collapsed="false">
      <c r="A6445" s="26" t="s">
        <v>17828</v>
      </c>
      <c r="B6445" s="27" t="s">
        <v>17829</v>
      </c>
      <c r="C6445" s="27" t="s">
        <v>144</v>
      </c>
      <c r="D6445" s="26"/>
      <c r="E6445" s="27"/>
      <c r="F6445" s="27"/>
      <c r="G6445" s="27" t="s">
        <v>11122</v>
      </c>
      <c r="H6445" s="27" t="s">
        <v>35</v>
      </c>
      <c r="I6445" s="27" t="s">
        <v>37</v>
      </c>
      <c r="J6445" s="28" t="s">
        <v>636</v>
      </c>
      <c r="K6445" s="27" t="s">
        <v>37</v>
      </c>
      <c r="L6445" s="27"/>
    </row>
    <row r="6446" customFormat="false" ht="15" hidden="false" customHeight="false" outlineLevel="0" collapsed="false">
      <c r="A6446" s="26" t="s">
        <v>17830</v>
      </c>
      <c r="B6446" s="27" t="s">
        <v>17831</v>
      </c>
      <c r="C6446" s="27" t="s">
        <v>144</v>
      </c>
      <c r="D6446" s="26"/>
      <c r="E6446" s="27"/>
      <c r="F6446" s="27"/>
      <c r="G6446" s="27" t="s">
        <v>11122</v>
      </c>
      <c r="H6446" s="27" t="s">
        <v>35</v>
      </c>
      <c r="I6446" s="27" t="s">
        <v>41</v>
      </c>
      <c r="J6446" s="28" t="s">
        <v>636</v>
      </c>
      <c r="K6446" s="27" t="s">
        <v>37</v>
      </c>
      <c r="L6446" s="27"/>
    </row>
    <row r="6447" customFormat="false" ht="15" hidden="false" customHeight="false" outlineLevel="0" collapsed="false">
      <c r="A6447" s="26" t="s">
        <v>17832</v>
      </c>
      <c r="B6447" s="27" t="s">
        <v>17833</v>
      </c>
      <c r="C6447" s="27" t="s">
        <v>144</v>
      </c>
      <c r="D6447" s="26"/>
      <c r="E6447" s="27"/>
      <c r="F6447" s="27"/>
      <c r="G6447" s="27" t="s">
        <v>11122</v>
      </c>
      <c r="H6447" s="27" t="s">
        <v>35</v>
      </c>
      <c r="I6447" s="27" t="s">
        <v>37</v>
      </c>
      <c r="J6447" s="28" t="s">
        <v>636</v>
      </c>
      <c r="K6447" s="27" t="s">
        <v>37</v>
      </c>
      <c r="L6447" s="27"/>
    </row>
    <row r="6448" customFormat="false" ht="15" hidden="false" customHeight="false" outlineLevel="0" collapsed="false">
      <c r="A6448" s="26" t="s">
        <v>17834</v>
      </c>
      <c r="B6448" s="27" t="s">
        <v>17835</v>
      </c>
      <c r="C6448" s="27" t="s">
        <v>144</v>
      </c>
      <c r="D6448" s="26"/>
      <c r="E6448" s="27"/>
      <c r="F6448" s="27"/>
      <c r="G6448" s="27" t="s">
        <v>11122</v>
      </c>
      <c r="H6448" s="27" t="s">
        <v>35</v>
      </c>
      <c r="I6448" s="27" t="s">
        <v>41</v>
      </c>
      <c r="J6448" s="28" t="s">
        <v>636</v>
      </c>
      <c r="K6448" s="27" t="s">
        <v>37</v>
      </c>
      <c r="L6448" s="27"/>
    </row>
    <row r="6449" customFormat="false" ht="15" hidden="false" customHeight="false" outlineLevel="0" collapsed="false">
      <c r="A6449" s="26" t="s">
        <v>17836</v>
      </c>
      <c r="B6449" s="27" t="s">
        <v>17837</v>
      </c>
      <c r="C6449" s="27" t="s">
        <v>144</v>
      </c>
      <c r="D6449" s="26"/>
      <c r="E6449" s="27"/>
      <c r="F6449" s="27"/>
      <c r="G6449" s="27" t="s">
        <v>11122</v>
      </c>
      <c r="H6449" s="27" t="s">
        <v>35</v>
      </c>
      <c r="I6449" s="27" t="s">
        <v>37</v>
      </c>
      <c r="J6449" s="28" t="s">
        <v>636</v>
      </c>
      <c r="K6449" s="27" t="s">
        <v>37</v>
      </c>
      <c r="L6449" s="27"/>
    </row>
    <row r="6450" customFormat="false" ht="15" hidden="false" customHeight="false" outlineLevel="0" collapsed="false">
      <c r="A6450" s="26" t="s">
        <v>17838</v>
      </c>
      <c r="B6450" s="27" t="s">
        <v>17839</v>
      </c>
      <c r="C6450" s="27" t="s">
        <v>144</v>
      </c>
      <c r="D6450" s="26"/>
      <c r="E6450" s="27"/>
      <c r="F6450" s="27"/>
      <c r="G6450" s="27" t="s">
        <v>11122</v>
      </c>
      <c r="H6450" s="27" t="s">
        <v>35</v>
      </c>
      <c r="I6450" s="27" t="s">
        <v>41</v>
      </c>
      <c r="J6450" s="28" t="s">
        <v>636</v>
      </c>
      <c r="K6450" s="27" t="s">
        <v>37</v>
      </c>
      <c r="L6450" s="27"/>
    </row>
    <row r="6451" customFormat="false" ht="15" hidden="false" customHeight="false" outlineLevel="0" collapsed="false">
      <c r="A6451" s="26" t="s">
        <v>17840</v>
      </c>
      <c r="B6451" s="27" t="s">
        <v>17841</v>
      </c>
      <c r="C6451" s="27" t="s">
        <v>144</v>
      </c>
      <c r="D6451" s="26"/>
      <c r="E6451" s="27"/>
      <c r="F6451" s="27"/>
      <c r="G6451" s="27" t="s">
        <v>11122</v>
      </c>
      <c r="H6451" s="27" t="s">
        <v>35</v>
      </c>
      <c r="I6451" s="27" t="s">
        <v>38</v>
      </c>
      <c r="J6451" s="28" t="s">
        <v>636</v>
      </c>
      <c r="K6451" s="27" t="s">
        <v>37</v>
      </c>
      <c r="L6451" s="27"/>
    </row>
    <row r="6452" customFormat="false" ht="15" hidden="false" customHeight="false" outlineLevel="0" collapsed="false">
      <c r="A6452" s="26" t="s">
        <v>17842</v>
      </c>
      <c r="B6452" s="27" t="s">
        <v>17843</v>
      </c>
      <c r="C6452" s="27" t="s">
        <v>144</v>
      </c>
      <c r="D6452" s="26"/>
      <c r="E6452" s="27"/>
      <c r="F6452" s="27"/>
      <c r="G6452" s="27" t="s">
        <v>11122</v>
      </c>
      <c r="H6452" s="27" t="s">
        <v>35</v>
      </c>
      <c r="I6452" s="27" t="s">
        <v>43</v>
      </c>
      <c r="J6452" s="28" t="s">
        <v>636</v>
      </c>
      <c r="K6452" s="27" t="s">
        <v>37</v>
      </c>
      <c r="L6452" s="27"/>
    </row>
    <row r="6453" customFormat="false" ht="15" hidden="false" customHeight="false" outlineLevel="0" collapsed="false">
      <c r="A6453" s="26" t="s">
        <v>17844</v>
      </c>
      <c r="B6453" s="27" t="s">
        <v>17845</v>
      </c>
      <c r="C6453" s="27" t="s">
        <v>144</v>
      </c>
      <c r="D6453" s="26"/>
      <c r="E6453" s="27"/>
      <c r="F6453" s="27"/>
      <c r="G6453" s="27" t="s">
        <v>11122</v>
      </c>
      <c r="H6453" s="27" t="s">
        <v>35</v>
      </c>
      <c r="I6453" s="27" t="s">
        <v>37</v>
      </c>
      <c r="J6453" s="28" t="s">
        <v>636</v>
      </c>
      <c r="K6453" s="27" t="s">
        <v>37</v>
      </c>
      <c r="L6453" s="27"/>
    </row>
    <row r="6454" customFormat="false" ht="15" hidden="false" customHeight="false" outlineLevel="0" collapsed="false">
      <c r="A6454" s="26" t="s">
        <v>17846</v>
      </c>
      <c r="B6454" s="27" t="s">
        <v>17847</v>
      </c>
      <c r="C6454" s="27" t="s">
        <v>144</v>
      </c>
      <c r="D6454" s="26"/>
      <c r="E6454" s="27"/>
      <c r="F6454" s="27"/>
      <c r="G6454" s="27" t="s">
        <v>11122</v>
      </c>
      <c r="H6454" s="27" t="s">
        <v>35</v>
      </c>
      <c r="I6454" s="27" t="s">
        <v>43</v>
      </c>
      <c r="J6454" s="28" t="s">
        <v>636</v>
      </c>
      <c r="K6454" s="27" t="s">
        <v>37</v>
      </c>
      <c r="L6454" s="27"/>
    </row>
    <row r="6455" customFormat="false" ht="15" hidden="false" customHeight="false" outlineLevel="0" collapsed="false">
      <c r="A6455" s="26" t="s">
        <v>17848</v>
      </c>
      <c r="B6455" s="27" t="s">
        <v>17849</v>
      </c>
      <c r="C6455" s="27" t="s">
        <v>144</v>
      </c>
      <c r="D6455" s="26"/>
      <c r="E6455" s="27"/>
      <c r="F6455" s="27"/>
      <c r="G6455" s="27" t="s">
        <v>11122</v>
      </c>
      <c r="H6455" s="27" t="s">
        <v>35</v>
      </c>
      <c r="I6455" s="27" t="s">
        <v>37</v>
      </c>
      <c r="J6455" s="28" t="s">
        <v>636</v>
      </c>
      <c r="K6455" s="27" t="s">
        <v>37</v>
      </c>
      <c r="L6455" s="27"/>
    </row>
    <row r="6456" customFormat="false" ht="15" hidden="false" customHeight="false" outlineLevel="0" collapsed="false">
      <c r="A6456" s="26" t="s">
        <v>17850</v>
      </c>
      <c r="B6456" s="27" t="s">
        <v>17851</v>
      </c>
      <c r="C6456" s="27" t="s">
        <v>144</v>
      </c>
      <c r="D6456" s="26"/>
      <c r="E6456" s="27"/>
      <c r="F6456" s="27"/>
      <c r="G6456" s="27" t="s">
        <v>11122</v>
      </c>
      <c r="H6456" s="27" t="s">
        <v>35</v>
      </c>
      <c r="I6456" s="27" t="s">
        <v>41</v>
      </c>
      <c r="J6456" s="28" t="s">
        <v>636</v>
      </c>
      <c r="K6456" s="27" t="s">
        <v>37</v>
      </c>
      <c r="L6456" s="27"/>
    </row>
    <row r="6457" customFormat="false" ht="15" hidden="false" customHeight="false" outlineLevel="0" collapsed="false">
      <c r="A6457" s="26" t="s">
        <v>17852</v>
      </c>
      <c r="B6457" s="27" t="s">
        <v>17853</v>
      </c>
      <c r="C6457" s="27" t="s">
        <v>144</v>
      </c>
      <c r="D6457" s="26"/>
      <c r="E6457" s="27"/>
      <c r="F6457" s="27"/>
      <c r="G6457" s="27" t="s">
        <v>11122</v>
      </c>
      <c r="H6457" s="27" t="s">
        <v>35</v>
      </c>
      <c r="I6457" s="27" t="s">
        <v>37</v>
      </c>
      <c r="J6457" s="28" t="s">
        <v>636</v>
      </c>
      <c r="K6457" s="27" t="s">
        <v>37</v>
      </c>
      <c r="L6457" s="27"/>
    </row>
    <row r="6458" customFormat="false" ht="15" hidden="false" customHeight="false" outlineLevel="0" collapsed="false">
      <c r="A6458" s="26" t="s">
        <v>17854</v>
      </c>
      <c r="B6458" s="27" t="s">
        <v>17855</v>
      </c>
      <c r="C6458" s="27" t="s">
        <v>144</v>
      </c>
      <c r="D6458" s="26"/>
      <c r="E6458" s="27"/>
      <c r="F6458" s="27"/>
      <c r="G6458" s="27" t="s">
        <v>11122</v>
      </c>
      <c r="H6458" s="27" t="s">
        <v>35</v>
      </c>
      <c r="I6458" s="27" t="s">
        <v>37</v>
      </c>
      <c r="J6458" s="28" t="s">
        <v>636</v>
      </c>
      <c r="K6458" s="27" t="s">
        <v>37</v>
      </c>
      <c r="L6458" s="27"/>
    </row>
    <row r="6459" customFormat="false" ht="15" hidden="false" customHeight="false" outlineLevel="0" collapsed="false">
      <c r="A6459" s="26" t="s">
        <v>17856</v>
      </c>
      <c r="B6459" s="27" t="s">
        <v>17857</v>
      </c>
      <c r="C6459" s="27" t="s">
        <v>144</v>
      </c>
      <c r="D6459" s="26"/>
      <c r="E6459" s="27"/>
      <c r="F6459" s="27"/>
      <c r="G6459" s="27" t="s">
        <v>11122</v>
      </c>
      <c r="H6459" s="27" t="s">
        <v>35</v>
      </c>
      <c r="I6459" s="27" t="s">
        <v>37</v>
      </c>
      <c r="J6459" s="28" t="s">
        <v>636</v>
      </c>
      <c r="K6459" s="27" t="s">
        <v>37</v>
      </c>
      <c r="L6459" s="27"/>
    </row>
    <row r="6460" customFormat="false" ht="15" hidden="false" customHeight="false" outlineLevel="0" collapsed="false">
      <c r="A6460" s="26" t="s">
        <v>17858</v>
      </c>
      <c r="B6460" s="27" t="s">
        <v>17859</v>
      </c>
      <c r="C6460" s="27" t="s">
        <v>144</v>
      </c>
      <c r="D6460" s="26"/>
      <c r="E6460" s="27"/>
      <c r="F6460" s="27"/>
      <c r="G6460" s="27" t="s">
        <v>11122</v>
      </c>
      <c r="H6460" s="27" t="s">
        <v>35</v>
      </c>
      <c r="I6460" s="27" t="s">
        <v>37</v>
      </c>
      <c r="J6460" s="28" t="s">
        <v>636</v>
      </c>
      <c r="K6460" s="27" t="s">
        <v>37</v>
      </c>
      <c r="L6460" s="27"/>
    </row>
    <row r="6461" customFormat="false" ht="15" hidden="false" customHeight="false" outlineLevel="0" collapsed="false">
      <c r="A6461" s="26" t="s">
        <v>17860</v>
      </c>
      <c r="B6461" s="27" t="s">
        <v>17861</v>
      </c>
      <c r="C6461" s="27" t="s">
        <v>144</v>
      </c>
      <c r="D6461" s="26"/>
      <c r="E6461" s="27"/>
      <c r="F6461" s="27"/>
      <c r="G6461" s="27" t="s">
        <v>11122</v>
      </c>
      <c r="H6461" s="27" t="s">
        <v>35</v>
      </c>
      <c r="I6461" s="27" t="s">
        <v>37</v>
      </c>
      <c r="J6461" s="28" t="s">
        <v>636</v>
      </c>
      <c r="K6461" s="27" t="s">
        <v>37</v>
      </c>
      <c r="L6461" s="27"/>
    </row>
    <row r="6462" customFormat="false" ht="15" hidden="false" customHeight="false" outlineLevel="0" collapsed="false">
      <c r="A6462" s="26" t="s">
        <v>17862</v>
      </c>
      <c r="B6462" s="27" t="s">
        <v>17863</v>
      </c>
      <c r="C6462" s="27" t="s">
        <v>144</v>
      </c>
      <c r="D6462" s="26"/>
      <c r="E6462" s="27"/>
      <c r="F6462" s="27"/>
      <c r="G6462" s="27" t="s">
        <v>11122</v>
      </c>
      <c r="H6462" s="27" t="s">
        <v>35</v>
      </c>
      <c r="I6462" s="27" t="s">
        <v>41</v>
      </c>
      <c r="J6462" s="28" t="s">
        <v>636</v>
      </c>
      <c r="K6462" s="27" t="s">
        <v>37</v>
      </c>
      <c r="L6462" s="27"/>
    </row>
    <row r="6463" customFormat="false" ht="15" hidden="false" customHeight="false" outlineLevel="0" collapsed="false">
      <c r="A6463" s="26" t="s">
        <v>17864</v>
      </c>
      <c r="B6463" s="27" t="s">
        <v>17865</v>
      </c>
      <c r="C6463" s="27" t="s">
        <v>144</v>
      </c>
      <c r="D6463" s="26"/>
      <c r="E6463" s="27"/>
      <c r="F6463" s="27"/>
      <c r="G6463" s="27" t="s">
        <v>11122</v>
      </c>
      <c r="H6463" s="27" t="s">
        <v>35</v>
      </c>
      <c r="I6463" s="27" t="s">
        <v>42</v>
      </c>
      <c r="J6463" s="28" t="s">
        <v>636</v>
      </c>
      <c r="K6463" s="27" t="s">
        <v>37</v>
      </c>
      <c r="L6463" s="27"/>
    </row>
    <row r="6464" customFormat="false" ht="15" hidden="false" customHeight="false" outlineLevel="0" collapsed="false">
      <c r="A6464" s="26" t="s">
        <v>17866</v>
      </c>
      <c r="B6464" s="27" t="s">
        <v>17867</v>
      </c>
      <c r="C6464" s="27" t="s">
        <v>144</v>
      </c>
      <c r="D6464" s="26"/>
      <c r="E6464" s="27"/>
      <c r="F6464" s="27"/>
      <c r="G6464" s="27" t="s">
        <v>11122</v>
      </c>
      <c r="H6464" s="27" t="s">
        <v>35</v>
      </c>
      <c r="I6464" s="27" t="s">
        <v>41</v>
      </c>
      <c r="J6464" s="28" t="s">
        <v>636</v>
      </c>
      <c r="K6464" s="27" t="s">
        <v>37</v>
      </c>
      <c r="L6464" s="27"/>
    </row>
    <row r="6465" customFormat="false" ht="15" hidden="false" customHeight="false" outlineLevel="0" collapsed="false">
      <c r="A6465" s="26" t="s">
        <v>17868</v>
      </c>
      <c r="B6465" s="27" t="s">
        <v>17869</v>
      </c>
      <c r="C6465" s="27" t="s">
        <v>144</v>
      </c>
      <c r="D6465" s="26"/>
      <c r="E6465" s="27"/>
      <c r="F6465" s="27"/>
      <c r="G6465" s="27" t="s">
        <v>11122</v>
      </c>
      <c r="H6465" s="27" t="s">
        <v>35</v>
      </c>
      <c r="I6465" s="27" t="s">
        <v>47</v>
      </c>
      <c r="J6465" s="28" t="s">
        <v>636</v>
      </c>
      <c r="K6465" s="27" t="s">
        <v>37</v>
      </c>
      <c r="L6465" s="27"/>
    </row>
    <row r="6466" customFormat="false" ht="15" hidden="false" customHeight="false" outlineLevel="0" collapsed="false">
      <c r="A6466" s="26" t="s">
        <v>17870</v>
      </c>
      <c r="B6466" s="27" t="s">
        <v>17871</v>
      </c>
      <c r="C6466" s="27" t="s">
        <v>144</v>
      </c>
      <c r="D6466" s="26"/>
      <c r="E6466" s="27"/>
      <c r="F6466" s="27"/>
      <c r="G6466" s="27" t="s">
        <v>11122</v>
      </c>
      <c r="H6466" s="27" t="s">
        <v>35</v>
      </c>
      <c r="I6466" s="27" t="s">
        <v>42</v>
      </c>
      <c r="J6466" s="28" t="s">
        <v>636</v>
      </c>
      <c r="K6466" s="27" t="s">
        <v>37</v>
      </c>
      <c r="L6466" s="27"/>
    </row>
    <row r="6467" customFormat="false" ht="15" hidden="false" customHeight="false" outlineLevel="0" collapsed="false">
      <c r="A6467" s="26" t="s">
        <v>17872</v>
      </c>
      <c r="B6467" s="27" t="s">
        <v>17873</v>
      </c>
      <c r="C6467" s="27" t="s">
        <v>144</v>
      </c>
      <c r="D6467" s="26"/>
      <c r="E6467" s="27"/>
      <c r="F6467" s="27"/>
      <c r="G6467" s="27" t="s">
        <v>11122</v>
      </c>
      <c r="H6467" s="27" t="s">
        <v>35</v>
      </c>
      <c r="I6467" s="27" t="s">
        <v>42</v>
      </c>
      <c r="J6467" s="28" t="s">
        <v>636</v>
      </c>
      <c r="K6467" s="27" t="s">
        <v>37</v>
      </c>
      <c r="L6467" s="27"/>
    </row>
    <row r="6468" customFormat="false" ht="15" hidden="false" customHeight="false" outlineLevel="0" collapsed="false">
      <c r="A6468" s="26" t="s">
        <v>17874</v>
      </c>
      <c r="B6468" s="27" t="s">
        <v>17875</v>
      </c>
      <c r="C6468" s="27" t="s">
        <v>144</v>
      </c>
      <c r="D6468" s="26"/>
      <c r="E6468" s="27"/>
      <c r="F6468" s="27"/>
      <c r="G6468" s="27" t="s">
        <v>11122</v>
      </c>
      <c r="H6468" s="27" t="s">
        <v>35</v>
      </c>
      <c r="I6468" s="27" t="s">
        <v>37</v>
      </c>
      <c r="J6468" s="28" t="s">
        <v>636</v>
      </c>
      <c r="K6468" s="27" t="s">
        <v>37</v>
      </c>
      <c r="L6468" s="27"/>
    </row>
    <row r="6469" customFormat="false" ht="15" hidden="false" customHeight="false" outlineLevel="0" collapsed="false">
      <c r="A6469" s="26" t="s">
        <v>17876</v>
      </c>
      <c r="B6469" s="27" t="s">
        <v>17877</v>
      </c>
      <c r="C6469" s="27" t="s">
        <v>144</v>
      </c>
      <c r="D6469" s="26"/>
      <c r="E6469" s="27"/>
      <c r="F6469" s="27"/>
      <c r="G6469" s="27" t="s">
        <v>11122</v>
      </c>
      <c r="H6469" s="27" t="s">
        <v>35</v>
      </c>
      <c r="I6469" s="27" t="s">
        <v>42</v>
      </c>
      <c r="J6469" s="28" t="s">
        <v>636</v>
      </c>
      <c r="K6469" s="27" t="s">
        <v>37</v>
      </c>
      <c r="L6469" s="27"/>
    </row>
    <row r="6470" customFormat="false" ht="15" hidden="false" customHeight="false" outlineLevel="0" collapsed="false">
      <c r="A6470" s="26" t="s">
        <v>17878</v>
      </c>
      <c r="B6470" s="27" t="s">
        <v>17879</v>
      </c>
      <c r="C6470" s="27" t="s">
        <v>144</v>
      </c>
      <c r="D6470" s="26"/>
      <c r="E6470" s="27"/>
      <c r="F6470" s="27"/>
      <c r="G6470" s="27" t="s">
        <v>11122</v>
      </c>
      <c r="H6470" s="27" t="s">
        <v>35</v>
      </c>
      <c r="I6470" s="27" t="s">
        <v>42</v>
      </c>
      <c r="J6470" s="28" t="s">
        <v>636</v>
      </c>
      <c r="K6470" s="27" t="s">
        <v>37</v>
      </c>
      <c r="L6470" s="27"/>
    </row>
    <row r="6471" customFormat="false" ht="15" hidden="false" customHeight="false" outlineLevel="0" collapsed="false">
      <c r="A6471" s="26" t="s">
        <v>17880</v>
      </c>
      <c r="B6471" s="27" t="s">
        <v>17881</v>
      </c>
      <c r="C6471" s="27" t="s">
        <v>144</v>
      </c>
      <c r="D6471" s="26"/>
      <c r="E6471" s="27"/>
      <c r="F6471" s="27"/>
      <c r="G6471" s="27" t="s">
        <v>11122</v>
      </c>
      <c r="H6471" s="27" t="s">
        <v>35</v>
      </c>
      <c r="I6471" s="27" t="s">
        <v>37</v>
      </c>
      <c r="J6471" s="28" t="s">
        <v>636</v>
      </c>
      <c r="K6471" s="27" t="s">
        <v>37</v>
      </c>
      <c r="L6471" s="27"/>
    </row>
    <row r="6472" customFormat="false" ht="15" hidden="false" customHeight="false" outlineLevel="0" collapsed="false">
      <c r="A6472" s="26" t="s">
        <v>17882</v>
      </c>
      <c r="B6472" s="27" t="s">
        <v>17883</v>
      </c>
      <c r="C6472" s="27" t="s">
        <v>144</v>
      </c>
      <c r="D6472" s="26"/>
      <c r="E6472" s="27"/>
      <c r="F6472" s="27"/>
      <c r="G6472" s="27" t="s">
        <v>11122</v>
      </c>
      <c r="H6472" s="27" t="s">
        <v>35</v>
      </c>
      <c r="I6472" s="28" t="s">
        <v>46</v>
      </c>
      <c r="J6472" s="28" t="s">
        <v>636</v>
      </c>
      <c r="K6472" s="27" t="s">
        <v>37</v>
      </c>
      <c r="L6472" s="27"/>
    </row>
    <row r="6473" customFormat="false" ht="15" hidden="false" customHeight="false" outlineLevel="0" collapsed="false">
      <c r="A6473" s="26" t="s">
        <v>17884</v>
      </c>
      <c r="B6473" s="27" t="s">
        <v>17885</v>
      </c>
      <c r="C6473" s="27" t="s">
        <v>144</v>
      </c>
      <c r="D6473" s="26"/>
      <c r="E6473" s="27"/>
      <c r="F6473" s="27"/>
      <c r="G6473" s="27" t="s">
        <v>11122</v>
      </c>
      <c r="H6473" s="27" t="s">
        <v>35</v>
      </c>
      <c r="I6473" s="27" t="s">
        <v>43</v>
      </c>
      <c r="J6473" s="28" t="s">
        <v>636</v>
      </c>
      <c r="K6473" s="27" t="s">
        <v>37</v>
      </c>
      <c r="L6473" s="27"/>
    </row>
    <row r="6474" customFormat="false" ht="15" hidden="false" customHeight="false" outlineLevel="0" collapsed="false">
      <c r="A6474" s="26" t="s">
        <v>17886</v>
      </c>
      <c r="B6474" s="27" t="s">
        <v>17887</v>
      </c>
      <c r="C6474" s="27" t="s">
        <v>144</v>
      </c>
      <c r="D6474" s="26"/>
      <c r="E6474" s="27"/>
      <c r="F6474" s="27"/>
      <c r="G6474" s="27" t="s">
        <v>11122</v>
      </c>
      <c r="H6474" s="27" t="s">
        <v>35</v>
      </c>
      <c r="I6474" s="27" t="s">
        <v>37</v>
      </c>
      <c r="J6474" s="28" t="s">
        <v>636</v>
      </c>
      <c r="K6474" s="27" t="s">
        <v>37</v>
      </c>
      <c r="L6474" s="27"/>
    </row>
    <row r="6475" customFormat="false" ht="15" hidden="false" customHeight="false" outlineLevel="0" collapsed="false">
      <c r="A6475" s="26" t="s">
        <v>17888</v>
      </c>
      <c r="B6475" s="27" t="s">
        <v>17889</v>
      </c>
      <c r="C6475" s="27" t="s">
        <v>144</v>
      </c>
      <c r="D6475" s="26"/>
      <c r="E6475" s="27"/>
      <c r="F6475" s="27"/>
      <c r="G6475" s="27" t="s">
        <v>11122</v>
      </c>
      <c r="H6475" s="27" t="s">
        <v>35</v>
      </c>
      <c r="I6475" s="27" t="s">
        <v>37</v>
      </c>
      <c r="J6475" s="28" t="s">
        <v>636</v>
      </c>
      <c r="K6475" s="27" t="s">
        <v>37</v>
      </c>
      <c r="L6475" s="27"/>
    </row>
    <row r="6476" customFormat="false" ht="15" hidden="false" customHeight="false" outlineLevel="0" collapsed="false">
      <c r="A6476" s="26" t="s">
        <v>17890</v>
      </c>
      <c r="B6476" s="27" t="s">
        <v>17891</v>
      </c>
      <c r="C6476" s="27" t="s">
        <v>144</v>
      </c>
      <c r="D6476" s="26"/>
      <c r="E6476" s="27"/>
      <c r="F6476" s="27"/>
      <c r="G6476" s="27" t="s">
        <v>11122</v>
      </c>
      <c r="H6476" s="27" t="s">
        <v>35</v>
      </c>
      <c r="I6476" s="27" t="s">
        <v>37</v>
      </c>
      <c r="J6476" s="28" t="s">
        <v>636</v>
      </c>
      <c r="K6476" s="27" t="s">
        <v>37</v>
      </c>
      <c r="L6476" s="27"/>
    </row>
    <row r="6477" customFormat="false" ht="15" hidden="false" customHeight="false" outlineLevel="0" collapsed="false">
      <c r="A6477" s="26" t="s">
        <v>17892</v>
      </c>
      <c r="B6477" s="27" t="s">
        <v>17893</v>
      </c>
      <c r="C6477" s="27" t="s">
        <v>144</v>
      </c>
      <c r="D6477" s="26"/>
      <c r="E6477" s="27"/>
      <c r="F6477" s="27"/>
      <c r="G6477" s="27" t="s">
        <v>11122</v>
      </c>
      <c r="H6477" s="27" t="s">
        <v>35</v>
      </c>
      <c r="I6477" s="27" t="s">
        <v>38</v>
      </c>
      <c r="J6477" s="28" t="s">
        <v>636</v>
      </c>
      <c r="K6477" s="27" t="s">
        <v>37</v>
      </c>
      <c r="L6477" s="27"/>
    </row>
    <row r="6478" customFormat="false" ht="15" hidden="false" customHeight="false" outlineLevel="0" collapsed="false">
      <c r="A6478" s="26" t="s">
        <v>17894</v>
      </c>
      <c r="B6478" s="27" t="s">
        <v>17895</v>
      </c>
      <c r="C6478" s="27" t="s">
        <v>144</v>
      </c>
      <c r="D6478" s="26"/>
      <c r="E6478" s="27"/>
      <c r="F6478" s="27"/>
      <c r="G6478" s="27" t="s">
        <v>11122</v>
      </c>
      <c r="H6478" s="27" t="s">
        <v>35</v>
      </c>
      <c r="I6478" s="27" t="s">
        <v>42</v>
      </c>
      <c r="J6478" s="28" t="s">
        <v>636</v>
      </c>
      <c r="K6478" s="27" t="s">
        <v>37</v>
      </c>
      <c r="L6478" s="27"/>
    </row>
    <row r="6479" customFormat="false" ht="15" hidden="false" customHeight="false" outlineLevel="0" collapsed="false">
      <c r="A6479" s="26" t="s">
        <v>17896</v>
      </c>
      <c r="B6479" s="27" t="s">
        <v>17897</v>
      </c>
      <c r="C6479" s="27" t="s">
        <v>144</v>
      </c>
      <c r="D6479" s="26"/>
      <c r="E6479" s="27"/>
      <c r="F6479" s="27"/>
      <c r="G6479" s="27" t="s">
        <v>11122</v>
      </c>
      <c r="H6479" s="27" t="s">
        <v>35</v>
      </c>
      <c r="I6479" s="27" t="s">
        <v>38</v>
      </c>
      <c r="J6479" s="28" t="s">
        <v>636</v>
      </c>
      <c r="K6479" s="27" t="s">
        <v>37</v>
      </c>
      <c r="L6479" s="27"/>
    </row>
    <row r="6480" customFormat="false" ht="15" hidden="false" customHeight="false" outlineLevel="0" collapsed="false">
      <c r="A6480" s="26" t="s">
        <v>17898</v>
      </c>
      <c r="B6480" s="27" t="s">
        <v>17899</v>
      </c>
      <c r="C6480" s="27" t="s">
        <v>144</v>
      </c>
      <c r="D6480" s="26"/>
      <c r="E6480" s="27"/>
      <c r="F6480" s="27"/>
      <c r="G6480" s="27" t="s">
        <v>11122</v>
      </c>
      <c r="H6480" s="27" t="s">
        <v>35</v>
      </c>
      <c r="I6480" s="27" t="s">
        <v>43</v>
      </c>
      <c r="J6480" s="28" t="s">
        <v>636</v>
      </c>
      <c r="K6480" s="27" t="s">
        <v>37</v>
      </c>
      <c r="L6480" s="27"/>
    </row>
    <row r="6481" customFormat="false" ht="15" hidden="false" customHeight="false" outlineLevel="0" collapsed="false">
      <c r="A6481" s="26" t="s">
        <v>17900</v>
      </c>
      <c r="B6481" s="27" t="s">
        <v>17901</v>
      </c>
      <c r="C6481" s="27" t="s">
        <v>144</v>
      </c>
      <c r="D6481" s="26"/>
      <c r="E6481" s="27"/>
      <c r="F6481" s="27"/>
      <c r="G6481" s="27" t="s">
        <v>11122</v>
      </c>
      <c r="H6481" s="27" t="s">
        <v>35</v>
      </c>
      <c r="I6481" s="27" t="s">
        <v>38</v>
      </c>
      <c r="J6481" s="28" t="s">
        <v>636</v>
      </c>
      <c r="K6481" s="27" t="s">
        <v>37</v>
      </c>
      <c r="L6481" s="27"/>
    </row>
    <row r="6482" customFormat="false" ht="15" hidden="false" customHeight="false" outlineLevel="0" collapsed="false">
      <c r="A6482" s="26" t="s">
        <v>17902</v>
      </c>
      <c r="B6482" s="27" t="s">
        <v>17903</v>
      </c>
      <c r="C6482" s="27" t="s">
        <v>144</v>
      </c>
      <c r="D6482" s="26"/>
      <c r="E6482" s="27"/>
      <c r="F6482" s="27"/>
      <c r="G6482" s="27" t="s">
        <v>11122</v>
      </c>
      <c r="H6482" s="27" t="s">
        <v>35</v>
      </c>
      <c r="I6482" s="27" t="s">
        <v>38</v>
      </c>
      <c r="J6482" s="28" t="s">
        <v>636</v>
      </c>
      <c r="K6482" s="27" t="s">
        <v>37</v>
      </c>
      <c r="L6482" s="27"/>
    </row>
    <row r="6483" customFormat="false" ht="15" hidden="false" customHeight="false" outlineLevel="0" collapsed="false">
      <c r="A6483" s="26" t="s">
        <v>17904</v>
      </c>
      <c r="B6483" s="27" t="s">
        <v>17905</v>
      </c>
      <c r="C6483" s="27" t="s">
        <v>144</v>
      </c>
      <c r="D6483" s="26"/>
      <c r="E6483" s="27"/>
      <c r="F6483" s="27"/>
      <c r="G6483" s="27" t="s">
        <v>11122</v>
      </c>
      <c r="H6483" s="27" t="s">
        <v>35</v>
      </c>
      <c r="I6483" s="27" t="s">
        <v>38</v>
      </c>
      <c r="J6483" s="28" t="s">
        <v>636</v>
      </c>
      <c r="K6483" s="27" t="s">
        <v>37</v>
      </c>
      <c r="L6483" s="27"/>
    </row>
    <row r="6484" customFormat="false" ht="15" hidden="false" customHeight="false" outlineLevel="0" collapsed="false">
      <c r="A6484" s="26" t="s">
        <v>17906</v>
      </c>
      <c r="B6484" s="27" t="s">
        <v>17907</v>
      </c>
      <c r="C6484" s="27" t="s">
        <v>144</v>
      </c>
      <c r="D6484" s="26"/>
      <c r="E6484" s="27"/>
      <c r="F6484" s="27"/>
      <c r="G6484" s="27" t="s">
        <v>11122</v>
      </c>
      <c r="H6484" s="27" t="s">
        <v>35</v>
      </c>
      <c r="I6484" s="27" t="s">
        <v>43</v>
      </c>
      <c r="J6484" s="28" t="s">
        <v>636</v>
      </c>
      <c r="K6484" s="27" t="s">
        <v>37</v>
      </c>
      <c r="L6484" s="27"/>
    </row>
    <row r="6485" customFormat="false" ht="15" hidden="false" customHeight="false" outlineLevel="0" collapsed="false">
      <c r="A6485" s="26" t="s">
        <v>17908</v>
      </c>
      <c r="B6485" s="27" t="s">
        <v>17909</v>
      </c>
      <c r="C6485" s="27" t="s">
        <v>144</v>
      </c>
      <c r="D6485" s="26"/>
      <c r="E6485" s="27"/>
      <c r="F6485" s="27"/>
      <c r="G6485" s="27" t="s">
        <v>11122</v>
      </c>
      <c r="H6485" s="27" t="s">
        <v>35</v>
      </c>
      <c r="I6485" s="27" t="s">
        <v>41</v>
      </c>
      <c r="J6485" s="28" t="s">
        <v>636</v>
      </c>
      <c r="K6485" s="27" t="s">
        <v>37</v>
      </c>
      <c r="L6485" s="27"/>
    </row>
    <row r="6486" customFormat="false" ht="15" hidden="false" customHeight="false" outlineLevel="0" collapsed="false">
      <c r="A6486" s="26" t="s">
        <v>17910</v>
      </c>
      <c r="B6486" s="27" t="s">
        <v>17911</v>
      </c>
      <c r="C6486" s="27" t="s">
        <v>144</v>
      </c>
      <c r="D6486" s="26"/>
      <c r="E6486" s="27"/>
      <c r="F6486" s="27"/>
      <c r="G6486" s="27" t="s">
        <v>11122</v>
      </c>
      <c r="H6486" s="27" t="s">
        <v>35</v>
      </c>
      <c r="I6486" s="27" t="s">
        <v>41</v>
      </c>
      <c r="J6486" s="28" t="s">
        <v>636</v>
      </c>
      <c r="K6486" s="27" t="s">
        <v>37</v>
      </c>
      <c r="L6486" s="27"/>
    </row>
    <row r="6487" customFormat="false" ht="15" hidden="false" customHeight="false" outlineLevel="0" collapsed="false">
      <c r="A6487" s="26" t="s">
        <v>17912</v>
      </c>
      <c r="B6487" s="27" t="s">
        <v>17913</v>
      </c>
      <c r="C6487" s="27" t="s">
        <v>144</v>
      </c>
      <c r="D6487" s="26"/>
      <c r="E6487" s="27"/>
      <c r="F6487" s="27"/>
      <c r="G6487" s="27" t="s">
        <v>11122</v>
      </c>
      <c r="H6487" s="27" t="s">
        <v>35</v>
      </c>
      <c r="I6487" s="27" t="s">
        <v>42</v>
      </c>
      <c r="J6487" s="28" t="s">
        <v>636</v>
      </c>
      <c r="K6487" s="27" t="s">
        <v>37</v>
      </c>
      <c r="L6487" s="27"/>
    </row>
    <row r="6488" customFormat="false" ht="15" hidden="false" customHeight="false" outlineLevel="0" collapsed="false">
      <c r="A6488" s="26" t="s">
        <v>17914</v>
      </c>
      <c r="B6488" s="27" t="s">
        <v>17915</v>
      </c>
      <c r="C6488" s="27" t="s">
        <v>144</v>
      </c>
      <c r="D6488" s="26"/>
      <c r="E6488" s="27"/>
      <c r="F6488" s="27"/>
      <c r="G6488" s="27" t="s">
        <v>11122</v>
      </c>
      <c r="H6488" s="27" t="s">
        <v>35</v>
      </c>
      <c r="I6488" s="27" t="s">
        <v>37</v>
      </c>
      <c r="J6488" s="28" t="s">
        <v>636</v>
      </c>
      <c r="K6488" s="27" t="s">
        <v>37</v>
      </c>
      <c r="L6488" s="27"/>
    </row>
    <row r="6489" customFormat="false" ht="15" hidden="false" customHeight="false" outlineLevel="0" collapsed="false">
      <c r="A6489" s="26" t="s">
        <v>17916</v>
      </c>
      <c r="B6489" s="27" t="s">
        <v>17917</v>
      </c>
      <c r="C6489" s="27" t="s">
        <v>144</v>
      </c>
      <c r="D6489" s="26"/>
      <c r="E6489" s="27"/>
      <c r="F6489" s="27"/>
      <c r="G6489" s="27" t="s">
        <v>11122</v>
      </c>
      <c r="H6489" s="27" t="s">
        <v>35</v>
      </c>
      <c r="I6489" s="27" t="s">
        <v>41</v>
      </c>
      <c r="J6489" s="28" t="s">
        <v>636</v>
      </c>
      <c r="K6489" s="27" t="s">
        <v>37</v>
      </c>
      <c r="L6489" s="27"/>
    </row>
    <row r="6490" customFormat="false" ht="15" hidden="false" customHeight="false" outlineLevel="0" collapsed="false">
      <c r="A6490" s="26" t="s">
        <v>17918</v>
      </c>
      <c r="B6490" s="27" t="s">
        <v>17919</v>
      </c>
      <c r="C6490" s="27" t="s">
        <v>144</v>
      </c>
      <c r="D6490" s="26"/>
      <c r="E6490" s="27"/>
      <c r="F6490" s="27"/>
      <c r="G6490" s="27" t="s">
        <v>11122</v>
      </c>
      <c r="H6490" s="27" t="s">
        <v>35</v>
      </c>
      <c r="I6490" s="27" t="s">
        <v>41</v>
      </c>
      <c r="J6490" s="28" t="s">
        <v>636</v>
      </c>
      <c r="K6490" s="27" t="s">
        <v>37</v>
      </c>
      <c r="L6490" s="27"/>
    </row>
    <row r="6491" customFormat="false" ht="15" hidden="false" customHeight="false" outlineLevel="0" collapsed="false">
      <c r="A6491" s="26" t="s">
        <v>17920</v>
      </c>
      <c r="B6491" s="27" t="s">
        <v>17921</v>
      </c>
      <c r="C6491" s="27" t="s">
        <v>144</v>
      </c>
      <c r="D6491" s="26"/>
      <c r="E6491" s="27"/>
      <c r="F6491" s="27"/>
      <c r="G6491" s="27" t="s">
        <v>11122</v>
      </c>
      <c r="H6491" s="27" t="s">
        <v>35</v>
      </c>
      <c r="I6491" s="27" t="s">
        <v>37</v>
      </c>
      <c r="J6491" s="28" t="s">
        <v>636</v>
      </c>
      <c r="K6491" s="27" t="s">
        <v>37</v>
      </c>
      <c r="L6491" s="27"/>
    </row>
    <row r="6492" customFormat="false" ht="15" hidden="false" customHeight="false" outlineLevel="0" collapsed="false">
      <c r="A6492" s="26" t="s">
        <v>17922</v>
      </c>
      <c r="B6492" s="27" t="s">
        <v>17923</v>
      </c>
      <c r="C6492" s="27" t="s">
        <v>144</v>
      </c>
      <c r="D6492" s="26"/>
      <c r="E6492" s="27"/>
      <c r="F6492" s="27"/>
      <c r="G6492" s="27" t="s">
        <v>11122</v>
      </c>
      <c r="H6492" s="27" t="s">
        <v>35</v>
      </c>
      <c r="I6492" s="27" t="s">
        <v>41</v>
      </c>
      <c r="J6492" s="28" t="s">
        <v>636</v>
      </c>
      <c r="K6492" s="27" t="s">
        <v>37</v>
      </c>
      <c r="L6492" s="27"/>
    </row>
    <row r="6493" customFormat="false" ht="15" hidden="false" customHeight="false" outlineLevel="0" collapsed="false">
      <c r="A6493" s="26" t="s">
        <v>17924</v>
      </c>
      <c r="B6493" s="27" t="s">
        <v>17925</v>
      </c>
      <c r="C6493" s="27" t="s">
        <v>144</v>
      </c>
      <c r="D6493" s="26"/>
      <c r="E6493" s="27"/>
      <c r="F6493" s="27"/>
      <c r="G6493" s="27" t="s">
        <v>11122</v>
      </c>
      <c r="H6493" s="27" t="s">
        <v>35</v>
      </c>
      <c r="I6493" s="27" t="s">
        <v>38</v>
      </c>
      <c r="J6493" s="28" t="s">
        <v>636</v>
      </c>
      <c r="K6493" s="27" t="s">
        <v>37</v>
      </c>
      <c r="L6493" s="27"/>
    </row>
    <row r="6494" customFormat="false" ht="15" hidden="false" customHeight="false" outlineLevel="0" collapsed="false">
      <c r="A6494" s="26" t="s">
        <v>17926</v>
      </c>
      <c r="B6494" s="27" t="s">
        <v>17927</v>
      </c>
      <c r="C6494" s="27" t="s">
        <v>144</v>
      </c>
      <c r="D6494" s="26"/>
      <c r="E6494" s="27"/>
      <c r="F6494" s="27"/>
      <c r="G6494" s="27" t="s">
        <v>11122</v>
      </c>
      <c r="H6494" s="27" t="s">
        <v>35</v>
      </c>
      <c r="I6494" s="27" t="s">
        <v>40</v>
      </c>
      <c r="J6494" s="28" t="s">
        <v>636</v>
      </c>
      <c r="K6494" s="27" t="s">
        <v>37</v>
      </c>
      <c r="L6494" s="27"/>
    </row>
    <row r="6495" customFormat="false" ht="15" hidden="false" customHeight="false" outlineLevel="0" collapsed="false">
      <c r="A6495" s="26" t="s">
        <v>17928</v>
      </c>
      <c r="B6495" s="27" t="s">
        <v>17929</v>
      </c>
      <c r="C6495" s="27" t="s">
        <v>144</v>
      </c>
      <c r="D6495" s="26"/>
      <c r="E6495" s="27"/>
      <c r="F6495" s="27"/>
      <c r="G6495" s="27" t="s">
        <v>11122</v>
      </c>
      <c r="H6495" s="27" t="s">
        <v>35</v>
      </c>
      <c r="I6495" s="27" t="s">
        <v>40</v>
      </c>
      <c r="J6495" s="28" t="s">
        <v>636</v>
      </c>
      <c r="K6495" s="27" t="s">
        <v>37</v>
      </c>
      <c r="L6495" s="27"/>
    </row>
    <row r="6496" customFormat="false" ht="15" hidden="false" customHeight="false" outlineLevel="0" collapsed="false">
      <c r="A6496" s="26" t="s">
        <v>17930</v>
      </c>
      <c r="B6496" s="27" t="s">
        <v>17931</v>
      </c>
      <c r="C6496" s="27" t="s">
        <v>144</v>
      </c>
      <c r="D6496" s="26"/>
      <c r="E6496" s="27"/>
      <c r="F6496" s="27"/>
      <c r="G6496" s="27" t="s">
        <v>11122</v>
      </c>
      <c r="H6496" s="27" t="s">
        <v>35</v>
      </c>
      <c r="I6496" s="27" t="s">
        <v>40</v>
      </c>
      <c r="J6496" s="28" t="s">
        <v>636</v>
      </c>
      <c r="K6496" s="27" t="s">
        <v>37</v>
      </c>
      <c r="L6496" s="27"/>
    </row>
    <row r="6497" customFormat="false" ht="15" hidden="false" customHeight="false" outlineLevel="0" collapsed="false">
      <c r="A6497" s="26" t="s">
        <v>17932</v>
      </c>
      <c r="B6497" s="27" t="s">
        <v>17933</v>
      </c>
      <c r="C6497" s="27" t="s">
        <v>144</v>
      </c>
      <c r="D6497" s="26"/>
      <c r="E6497" s="27"/>
      <c r="F6497" s="27"/>
      <c r="G6497" s="27" t="s">
        <v>11122</v>
      </c>
      <c r="H6497" s="27" t="s">
        <v>35</v>
      </c>
      <c r="I6497" s="27" t="s">
        <v>40</v>
      </c>
      <c r="J6497" s="28" t="s">
        <v>636</v>
      </c>
      <c r="K6497" s="27" t="s">
        <v>37</v>
      </c>
      <c r="L6497" s="27"/>
    </row>
    <row r="6498" customFormat="false" ht="15" hidden="false" customHeight="false" outlineLevel="0" collapsed="false">
      <c r="A6498" s="26" t="s">
        <v>17934</v>
      </c>
      <c r="B6498" s="27" t="s">
        <v>17935</v>
      </c>
      <c r="C6498" s="27" t="s">
        <v>144</v>
      </c>
      <c r="D6498" s="26"/>
      <c r="E6498" s="27"/>
      <c r="F6498" s="27"/>
      <c r="G6498" s="27" t="s">
        <v>11122</v>
      </c>
      <c r="H6498" s="27" t="s">
        <v>35</v>
      </c>
      <c r="I6498" s="27" t="s">
        <v>40</v>
      </c>
      <c r="J6498" s="28" t="s">
        <v>636</v>
      </c>
      <c r="K6498" s="27" t="s">
        <v>37</v>
      </c>
      <c r="L6498" s="27"/>
    </row>
    <row r="6499" customFormat="false" ht="15" hidden="false" customHeight="false" outlineLevel="0" collapsed="false">
      <c r="A6499" s="26" t="s">
        <v>17936</v>
      </c>
      <c r="B6499" s="27" t="s">
        <v>17937</v>
      </c>
      <c r="C6499" s="27" t="s">
        <v>144</v>
      </c>
      <c r="D6499" s="26"/>
      <c r="E6499" s="27"/>
      <c r="F6499" s="27"/>
      <c r="G6499" s="27" t="s">
        <v>11122</v>
      </c>
      <c r="H6499" s="27" t="s">
        <v>35</v>
      </c>
      <c r="I6499" s="27" t="s">
        <v>41</v>
      </c>
      <c r="J6499" s="28" t="s">
        <v>636</v>
      </c>
      <c r="K6499" s="27" t="s">
        <v>37</v>
      </c>
      <c r="L6499" s="27"/>
    </row>
    <row r="6500" customFormat="false" ht="15" hidden="false" customHeight="false" outlineLevel="0" collapsed="false">
      <c r="A6500" s="26" t="s">
        <v>17938</v>
      </c>
      <c r="B6500" s="27" t="s">
        <v>17939</v>
      </c>
      <c r="C6500" s="27" t="s">
        <v>144</v>
      </c>
      <c r="D6500" s="26"/>
      <c r="E6500" s="27"/>
      <c r="F6500" s="27"/>
      <c r="G6500" s="27" t="s">
        <v>11122</v>
      </c>
      <c r="H6500" s="27" t="s">
        <v>35</v>
      </c>
      <c r="I6500" s="27" t="s">
        <v>41</v>
      </c>
      <c r="J6500" s="28" t="s">
        <v>636</v>
      </c>
      <c r="K6500" s="27" t="s">
        <v>37</v>
      </c>
      <c r="L6500" s="27"/>
    </row>
    <row r="6501" customFormat="false" ht="15" hidden="false" customHeight="false" outlineLevel="0" collapsed="false">
      <c r="A6501" s="26" t="s">
        <v>17940</v>
      </c>
      <c r="B6501" s="27" t="s">
        <v>17941</v>
      </c>
      <c r="C6501" s="27" t="s">
        <v>144</v>
      </c>
      <c r="D6501" s="26"/>
      <c r="E6501" s="27"/>
      <c r="F6501" s="27"/>
      <c r="G6501" s="27" t="s">
        <v>11122</v>
      </c>
      <c r="H6501" s="27" t="s">
        <v>35</v>
      </c>
      <c r="I6501" s="27" t="s">
        <v>37</v>
      </c>
      <c r="J6501" s="28" t="s">
        <v>636</v>
      </c>
      <c r="K6501" s="27" t="s">
        <v>37</v>
      </c>
      <c r="L6501" s="27"/>
    </row>
    <row r="6502" customFormat="false" ht="15" hidden="false" customHeight="false" outlineLevel="0" collapsed="false">
      <c r="A6502" s="26" t="s">
        <v>17942</v>
      </c>
      <c r="B6502" s="27" t="s">
        <v>17943</v>
      </c>
      <c r="C6502" s="27" t="s">
        <v>144</v>
      </c>
      <c r="D6502" s="26"/>
      <c r="E6502" s="27"/>
      <c r="F6502" s="27"/>
      <c r="G6502" s="27" t="s">
        <v>11122</v>
      </c>
      <c r="H6502" s="27" t="s">
        <v>35</v>
      </c>
      <c r="I6502" s="27" t="s">
        <v>38</v>
      </c>
      <c r="J6502" s="28" t="s">
        <v>636</v>
      </c>
      <c r="K6502" s="27" t="s">
        <v>37</v>
      </c>
      <c r="L6502" s="27"/>
    </row>
    <row r="6503" customFormat="false" ht="15" hidden="false" customHeight="false" outlineLevel="0" collapsed="false">
      <c r="A6503" s="26" t="s">
        <v>17944</v>
      </c>
      <c r="B6503" s="27" t="s">
        <v>17945</v>
      </c>
      <c r="C6503" s="27" t="s">
        <v>144</v>
      </c>
      <c r="D6503" s="26"/>
      <c r="E6503" s="27"/>
      <c r="F6503" s="27"/>
      <c r="G6503" s="27" t="s">
        <v>11122</v>
      </c>
      <c r="H6503" s="27" t="s">
        <v>35</v>
      </c>
      <c r="I6503" s="27" t="s">
        <v>38</v>
      </c>
      <c r="J6503" s="28" t="s">
        <v>636</v>
      </c>
      <c r="K6503" s="27" t="s">
        <v>37</v>
      </c>
      <c r="L6503" s="27"/>
    </row>
    <row r="6504" customFormat="false" ht="15" hidden="false" customHeight="false" outlineLevel="0" collapsed="false">
      <c r="A6504" s="26" t="s">
        <v>17946</v>
      </c>
      <c r="B6504" s="27" t="s">
        <v>17947</v>
      </c>
      <c r="C6504" s="27" t="s">
        <v>144</v>
      </c>
      <c r="D6504" s="26"/>
      <c r="E6504" s="27"/>
      <c r="F6504" s="27"/>
      <c r="G6504" s="27" t="s">
        <v>11122</v>
      </c>
      <c r="H6504" s="27" t="s">
        <v>35</v>
      </c>
      <c r="I6504" s="27" t="s">
        <v>37</v>
      </c>
      <c r="J6504" s="28" t="s">
        <v>636</v>
      </c>
      <c r="K6504" s="27" t="s">
        <v>37</v>
      </c>
      <c r="L6504" s="27"/>
    </row>
    <row r="6505" customFormat="false" ht="15" hidden="false" customHeight="false" outlineLevel="0" collapsed="false">
      <c r="A6505" s="26" t="s">
        <v>17948</v>
      </c>
      <c r="B6505" s="27" t="s">
        <v>17949</v>
      </c>
      <c r="C6505" s="27" t="s">
        <v>144</v>
      </c>
      <c r="D6505" s="26"/>
      <c r="E6505" s="27"/>
      <c r="F6505" s="27"/>
      <c r="G6505" s="27" t="s">
        <v>11122</v>
      </c>
      <c r="H6505" s="27" t="s">
        <v>35</v>
      </c>
      <c r="I6505" s="27" t="s">
        <v>38</v>
      </c>
      <c r="J6505" s="28" t="s">
        <v>636</v>
      </c>
      <c r="K6505" s="27" t="s">
        <v>37</v>
      </c>
      <c r="L6505" s="27"/>
    </row>
    <row r="6506" customFormat="false" ht="15" hidden="false" customHeight="false" outlineLevel="0" collapsed="false">
      <c r="A6506" s="26" t="s">
        <v>17950</v>
      </c>
      <c r="B6506" s="27" t="s">
        <v>17951</v>
      </c>
      <c r="C6506" s="27" t="s">
        <v>144</v>
      </c>
      <c r="D6506" s="26"/>
      <c r="E6506" s="27"/>
      <c r="F6506" s="27"/>
      <c r="G6506" s="27" t="s">
        <v>11122</v>
      </c>
      <c r="H6506" s="27" t="s">
        <v>35</v>
      </c>
      <c r="I6506" s="27" t="s">
        <v>37</v>
      </c>
      <c r="J6506" s="28" t="s">
        <v>636</v>
      </c>
      <c r="K6506" s="27" t="s">
        <v>37</v>
      </c>
      <c r="L6506" s="27"/>
    </row>
    <row r="6507" customFormat="false" ht="15" hidden="false" customHeight="false" outlineLevel="0" collapsed="false">
      <c r="A6507" s="26" t="s">
        <v>17952</v>
      </c>
      <c r="B6507" s="27" t="s">
        <v>17953</v>
      </c>
      <c r="C6507" s="27" t="s">
        <v>144</v>
      </c>
      <c r="D6507" s="26"/>
      <c r="E6507" s="27"/>
      <c r="F6507" s="27"/>
      <c r="G6507" s="27" t="s">
        <v>11122</v>
      </c>
      <c r="H6507" s="27" t="s">
        <v>35</v>
      </c>
      <c r="I6507" s="27" t="s">
        <v>37</v>
      </c>
      <c r="J6507" s="28" t="s">
        <v>636</v>
      </c>
      <c r="K6507" s="27" t="s">
        <v>37</v>
      </c>
      <c r="L6507" s="27"/>
    </row>
    <row r="6508" customFormat="false" ht="15" hidden="false" customHeight="false" outlineLevel="0" collapsed="false">
      <c r="A6508" s="26" t="s">
        <v>17954</v>
      </c>
      <c r="B6508" s="27" t="s">
        <v>17955</v>
      </c>
      <c r="C6508" s="27" t="s">
        <v>144</v>
      </c>
      <c r="D6508" s="26"/>
      <c r="E6508" s="27"/>
      <c r="F6508" s="27"/>
      <c r="G6508" s="27" t="s">
        <v>11122</v>
      </c>
      <c r="H6508" s="27" t="s">
        <v>35</v>
      </c>
      <c r="I6508" s="27" t="s">
        <v>37</v>
      </c>
      <c r="J6508" s="28" t="s">
        <v>636</v>
      </c>
      <c r="K6508" s="27" t="s">
        <v>37</v>
      </c>
      <c r="L6508" s="27"/>
    </row>
    <row r="6509" customFormat="false" ht="15" hidden="false" customHeight="false" outlineLevel="0" collapsed="false">
      <c r="A6509" s="26" t="s">
        <v>17956</v>
      </c>
      <c r="B6509" s="27" t="s">
        <v>17957</v>
      </c>
      <c r="C6509" s="27" t="s">
        <v>144</v>
      </c>
      <c r="D6509" s="26"/>
      <c r="E6509" s="27"/>
      <c r="F6509" s="27"/>
      <c r="G6509" s="27" t="s">
        <v>11122</v>
      </c>
      <c r="H6509" s="27" t="s">
        <v>35</v>
      </c>
      <c r="I6509" s="27" t="s">
        <v>37</v>
      </c>
      <c r="J6509" s="28" t="s">
        <v>636</v>
      </c>
      <c r="K6509" s="27" t="s">
        <v>37</v>
      </c>
      <c r="L6509" s="27"/>
    </row>
    <row r="6510" customFormat="false" ht="15" hidden="false" customHeight="false" outlineLevel="0" collapsed="false">
      <c r="A6510" s="26" t="s">
        <v>17958</v>
      </c>
      <c r="B6510" s="27" t="s">
        <v>17959</v>
      </c>
      <c r="C6510" s="27" t="s">
        <v>144</v>
      </c>
      <c r="D6510" s="26"/>
      <c r="E6510" s="27"/>
      <c r="F6510" s="27"/>
      <c r="G6510" s="27" t="s">
        <v>11122</v>
      </c>
      <c r="H6510" s="27" t="s">
        <v>35</v>
      </c>
      <c r="I6510" s="27" t="s">
        <v>37</v>
      </c>
      <c r="J6510" s="28" t="s">
        <v>636</v>
      </c>
      <c r="K6510" s="27" t="s">
        <v>37</v>
      </c>
      <c r="L6510" s="27"/>
    </row>
    <row r="6511" customFormat="false" ht="15" hidden="false" customHeight="false" outlineLevel="0" collapsed="false">
      <c r="A6511" s="26" t="s">
        <v>17960</v>
      </c>
      <c r="B6511" s="27" t="s">
        <v>17961</v>
      </c>
      <c r="C6511" s="27" t="s">
        <v>144</v>
      </c>
      <c r="D6511" s="26"/>
      <c r="E6511" s="27"/>
      <c r="F6511" s="27"/>
      <c r="G6511" s="27" t="s">
        <v>11122</v>
      </c>
      <c r="H6511" s="27" t="s">
        <v>35</v>
      </c>
      <c r="I6511" s="27" t="s">
        <v>37</v>
      </c>
      <c r="J6511" s="28" t="s">
        <v>636</v>
      </c>
      <c r="K6511" s="27" t="s">
        <v>37</v>
      </c>
      <c r="L6511" s="27"/>
    </row>
    <row r="6512" customFormat="false" ht="15" hidden="false" customHeight="false" outlineLevel="0" collapsed="false">
      <c r="A6512" s="26" t="s">
        <v>17962</v>
      </c>
      <c r="B6512" s="27" t="s">
        <v>17963</v>
      </c>
      <c r="C6512" s="27" t="s">
        <v>144</v>
      </c>
      <c r="D6512" s="26"/>
      <c r="E6512" s="27"/>
      <c r="F6512" s="27"/>
      <c r="G6512" s="27" t="s">
        <v>11122</v>
      </c>
      <c r="H6512" s="27" t="s">
        <v>35</v>
      </c>
      <c r="I6512" s="27" t="s">
        <v>38</v>
      </c>
      <c r="J6512" s="28" t="s">
        <v>636</v>
      </c>
      <c r="K6512" s="27" t="s">
        <v>37</v>
      </c>
      <c r="L6512" s="27"/>
    </row>
    <row r="6513" customFormat="false" ht="15" hidden="false" customHeight="false" outlineLevel="0" collapsed="false">
      <c r="A6513" s="26" t="s">
        <v>17964</v>
      </c>
      <c r="B6513" s="27" t="s">
        <v>17965</v>
      </c>
      <c r="C6513" s="27" t="s">
        <v>144</v>
      </c>
      <c r="D6513" s="26"/>
      <c r="E6513" s="27"/>
      <c r="F6513" s="27"/>
      <c r="G6513" s="27" t="s">
        <v>11122</v>
      </c>
      <c r="H6513" s="27" t="s">
        <v>35</v>
      </c>
      <c r="I6513" s="27" t="s">
        <v>38</v>
      </c>
      <c r="J6513" s="28" t="s">
        <v>636</v>
      </c>
      <c r="K6513" s="27" t="s">
        <v>37</v>
      </c>
      <c r="L6513" s="27"/>
    </row>
    <row r="6514" customFormat="false" ht="15" hidden="false" customHeight="false" outlineLevel="0" collapsed="false">
      <c r="A6514" s="26" t="s">
        <v>17966</v>
      </c>
      <c r="B6514" s="27" t="s">
        <v>17967</v>
      </c>
      <c r="C6514" s="27" t="s">
        <v>144</v>
      </c>
      <c r="D6514" s="26"/>
      <c r="E6514" s="27"/>
      <c r="F6514" s="27"/>
      <c r="G6514" s="27" t="s">
        <v>11122</v>
      </c>
      <c r="H6514" s="27" t="s">
        <v>35</v>
      </c>
      <c r="I6514" s="27" t="s">
        <v>38</v>
      </c>
      <c r="J6514" s="28" t="s">
        <v>636</v>
      </c>
      <c r="K6514" s="27" t="s">
        <v>37</v>
      </c>
      <c r="L6514" s="27"/>
    </row>
    <row r="6515" customFormat="false" ht="15" hidden="false" customHeight="false" outlineLevel="0" collapsed="false">
      <c r="A6515" s="26" t="s">
        <v>17968</v>
      </c>
      <c r="B6515" s="27" t="s">
        <v>17969</v>
      </c>
      <c r="C6515" s="27" t="s">
        <v>144</v>
      </c>
      <c r="D6515" s="26"/>
      <c r="E6515" s="27"/>
      <c r="F6515" s="27"/>
      <c r="G6515" s="27" t="s">
        <v>11122</v>
      </c>
      <c r="H6515" s="27" t="s">
        <v>35</v>
      </c>
      <c r="I6515" s="27" t="s">
        <v>38</v>
      </c>
      <c r="J6515" s="28" t="s">
        <v>636</v>
      </c>
      <c r="K6515" s="27" t="s">
        <v>37</v>
      </c>
      <c r="L6515" s="27"/>
    </row>
    <row r="6516" customFormat="false" ht="15" hidden="false" customHeight="false" outlineLevel="0" collapsed="false">
      <c r="A6516" s="26" t="s">
        <v>17970</v>
      </c>
      <c r="B6516" s="27" t="s">
        <v>17971</v>
      </c>
      <c r="C6516" s="27" t="s">
        <v>144</v>
      </c>
      <c r="D6516" s="26"/>
      <c r="E6516" s="27"/>
      <c r="F6516" s="27"/>
      <c r="G6516" s="27" t="s">
        <v>11122</v>
      </c>
      <c r="H6516" s="27" t="s">
        <v>35</v>
      </c>
      <c r="I6516" s="27" t="s">
        <v>38</v>
      </c>
      <c r="J6516" s="28" t="s">
        <v>636</v>
      </c>
      <c r="K6516" s="27" t="s">
        <v>37</v>
      </c>
      <c r="L6516" s="27"/>
    </row>
    <row r="6517" customFormat="false" ht="15" hidden="false" customHeight="false" outlineLevel="0" collapsed="false">
      <c r="A6517" s="26" t="s">
        <v>17972</v>
      </c>
      <c r="B6517" s="27" t="s">
        <v>17973</v>
      </c>
      <c r="C6517" s="27" t="s">
        <v>144</v>
      </c>
      <c r="D6517" s="26"/>
      <c r="E6517" s="27"/>
      <c r="F6517" s="27"/>
      <c r="G6517" s="27" t="s">
        <v>11122</v>
      </c>
      <c r="H6517" s="27" t="s">
        <v>35</v>
      </c>
      <c r="I6517" s="27" t="s">
        <v>38</v>
      </c>
      <c r="J6517" s="28" t="s">
        <v>636</v>
      </c>
      <c r="K6517" s="27" t="s">
        <v>37</v>
      </c>
      <c r="L6517" s="27"/>
    </row>
    <row r="6518" customFormat="false" ht="15" hidden="false" customHeight="false" outlineLevel="0" collapsed="false">
      <c r="A6518" s="26" t="s">
        <v>17974</v>
      </c>
      <c r="B6518" s="27" t="s">
        <v>17975</v>
      </c>
      <c r="C6518" s="27" t="s">
        <v>144</v>
      </c>
      <c r="D6518" s="26"/>
      <c r="E6518" s="27"/>
      <c r="F6518" s="27"/>
      <c r="G6518" s="27" t="s">
        <v>11122</v>
      </c>
      <c r="H6518" s="27" t="s">
        <v>35</v>
      </c>
      <c r="I6518" s="27" t="s">
        <v>38</v>
      </c>
      <c r="J6518" s="28" t="s">
        <v>636</v>
      </c>
      <c r="K6518" s="27" t="s">
        <v>37</v>
      </c>
      <c r="L6518" s="27"/>
    </row>
    <row r="6519" customFormat="false" ht="15" hidden="false" customHeight="false" outlineLevel="0" collapsed="false">
      <c r="A6519" s="26" t="s">
        <v>17976</v>
      </c>
      <c r="B6519" s="27" t="s">
        <v>17977</v>
      </c>
      <c r="C6519" s="27" t="s">
        <v>144</v>
      </c>
      <c r="D6519" s="26"/>
      <c r="E6519" s="27"/>
      <c r="F6519" s="27"/>
      <c r="G6519" s="27" t="s">
        <v>11122</v>
      </c>
      <c r="H6519" s="27" t="s">
        <v>35</v>
      </c>
      <c r="I6519" s="27" t="s">
        <v>38</v>
      </c>
      <c r="J6519" s="28" t="s">
        <v>636</v>
      </c>
      <c r="K6519" s="27" t="s">
        <v>37</v>
      </c>
      <c r="L6519" s="27"/>
    </row>
    <row r="6520" customFormat="false" ht="15" hidden="false" customHeight="false" outlineLevel="0" collapsed="false">
      <c r="A6520" s="26" t="s">
        <v>17978</v>
      </c>
      <c r="B6520" s="27" t="s">
        <v>17979</v>
      </c>
      <c r="C6520" s="27" t="s">
        <v>144</v>
      </c>
      <c r="D6520" s="26"/>
      <c r="E6520" s="27"/>
      <c r="F6520" s="27"/>
      <c r="G6520" s="27" t="s">
        <v>11122</v>
      </c>
      <c r="H6520" s="27" t="s">
        <v>35</v>
      </c>
      <c r="I6520" s="27" t="s">
        <v>38</v>
      </c>
      <c r="J6520" s="28" t="s">
        <v>636</v>
      </c>
      <c r="K6520" s="27" t="s">
        <v>37</v>
      </c>
      <c r="L6520" s="27"/>
    </row>
    <row r="6521" customFormat="false" ht="15" hidden="false" customHeight="false" outlineLevel="0" collapsed="false">
      <c r="A6521" s="26" t="s">
        <v>17980</v>
      </c>
      <c r="B6521" s="27" t="s">
        <v>17981</v>
      </c>
      <c r="C6521" s="27" t="s">
        <v>144</v>
      </c>
      <c r="D6521" s="26"/>
      <c r="E6521" s="27"/>
      <c r="F6521" s="27"/>
      <c r="G6521" s="27" t="s">
        <v>11122</v>
      </c>
      <c r="H6521" s="27" t="s">
        <v>35</v>
      </c>
      <c r="I6521" s="27" t="s">
        <v>38</v>
      </c>
      <c r="J6521" s="28" t="s">
        <v>636</v>
      </c>
      <c r="K6521" s="27" t="s">
        <v>37</v>
      </c>
      <c r="L6521" s="27"/>
    </row>
    <row r="6522" customFormat="false" ht="15" hidden="false" customHeight="false" outlineLevel="0" collapsed="false">
      <c r="A6522" s="26" t="s">
        <v>17982</v>
      </c>
      <c r="B6522" s="27" t="s">
        <v>17983</v>
      </c>
      <c r="C6522" s="27" t="s">
        <v>144</v>
      </c>
      <c r="D6522" s="26"/>
      <c r="E6522" s="27"/>
      <c r="F6522" s="27"/>
      <c r="G6522" s="27" t="s">
        <v>11122</v>
      </c>
      <c r="H6522" s="27" t="s">
        <v>35</v>
      </c>
      <c r="I6522" s="27" t="s">
        <v>41</v>
      </c>
      <c r="J6522" s="28" t="s">
        <v>636</v>
      </c>
      <c r="K6522" s="27" t="s">
        <v>37</v>
      </c>
      <c r="L6522" s="27"/>
    </row>
    <row r="6523" customFormat="false" ht="15" hidden="false" customHeight="false" outlineLevel="0" collapsed="false">
      <c r="A6523" s="26" t="s">
        <v>17984</v>
      </c>
      <c r="B6523" s="27" t="s">
        <v>17985</v>
      </c>
      <c r="C6523" s="27" t="s">
        <v>144</v>
      </c>
      <c r="D6523" s="26"/>
      <c r="E6523" s="27"/>
      <c r="F6523" s="27"/>
      <c r="G6523" s="27" t="s">
        <v>11122</v>
      </c>
      <c r="H6523" s="27" t="s">
        <v>35</v>
      </c>
      <c r="I6523" s="27" t="s">
        <v>40</v>
      </c>
      <c r="J6523" s="28" t="s">
        <v>636</v>
      </c>
      <c r="K6523" s="27" t="s">
        <v>37</v>
      </c>
      <c r="L6523" s="27"/>
    </row>
    <row r="6524" customFormat="false" ht="15" hidden="false" customHeight="false" outlineLevel="0" collapsed="false">
      <c r="A6524" s="26" t="s">
        <v>17986</v>
      </c>
      <c r="B6524" s="27" t="s">
        <v>17987</v>
      </c>
      <c r="C6524" s="27" t="s">
        <v>144</v>
      </c>
      <c r="D6524" s="26"/>
      <c r="E6524" s="27"/>
      <c r="F6524" s="27"/>
      <c r="G6524" s="27" t="s">
        <v>11122</v>
      </c>
      <c r="H6524" s="27" t="s">
        <v>35</v>
      </c>
      <c r="I6524" s="27" t="s">
        <v>38</v>
      </c>
      <c r="J6524" s="28" t="s">
        <v>636</v>
      </c>
      <c r="K6524" s="27" t="s">
        <v>37</v>
      </c>
      <c r="L6524" s="27"/>
    </row>
    <row r="6525" customFormat="false" ht="15" hidden="false" customHeight="false" outlineLevel="0" collapsed="false">
      <c r="A6525" s="26" t="s">
        <v>17988</v>
      </c>
      <c r="B6525" s="27" t="s">
        <v>17989</v>
      </c>
      <c r="C6525" s="27" t="s">
        <v>144</v>
      </c>
      <c r="D6525" s="26"/>
      <c r="E6525" s="27"/>
      <c r="F6525" s="27"/>
      <c r="G6525" s="27" t="s">
        <v>11122</v>
      </c>
      <c r="H6525" s="27" t="s">
        <v>35</v>
      </c>
      <c r="I6525" s="27" t="s">
        <v>38</v>
      </c>
      <c r="J6525" s="28" t="s">
        <v>636</v>
      </c>
      <c r="K6525" s="27" t="s">
        <v>37</v>
      </c>
      <c r="L6525" s="27"/>
    </row>
    <row r="6526" customFormat="false" ht="15" hidden="false" customHeight="false" outlineLevel="0" collapsed="false">
      <c r="A6526" s="26" t="s">
        <v>17990</v>
      </c>
      <c r="B6526" s="27" t="s">
        <v>17991</v>
      </c>
      <c r="C6526" s="27" t="s">
        <v>144</v>
      </c>
      <c r="D6526" s="26"/>
      <c r="E6526" s="27"/>
      <c r="F6526" s="27"/>
      <c r="G6526" s="27" t="s">
        <v>11122</v>
      </c>
      <c r="H6526" s="27" t="s">
        <v>35</v>
      </c>
      <c r="I6526" s="27" t="s">
        <v>37</v>
      </c>
      <c r="J6526" s="28" t="s">
        <v>636</v>
      </c>
      <c r="K6526" s="27" t="s">
        <v>37</v>
      </c>
      <c r="L6526" s="27"/>
    </row>
    <row r="6527" customFormat="false" ht="15" hidden="false" customHeight="false" outlineLevel="0" collapsed="false">
      <c r="A6527" s="26" t="s">
        <v>17992</v>
      </c>
      <c r="B6527" s="27" t="s">
        <v>17993</v>
      </c>
      <c r="C6527" s="27" t="s">
        <v>144</v>
      </c>
      <c r="D6527" s="26"/>
      <c r="E6527" s="27"/>
      <c r="F6527" s="27"/>
      <c r="G6527" s="27" t="s">
        <v>11122</v>
      </c>
      <c r="H6527" s="27" t="s">
        <v>35</v>
      </c>
      <c r="I6527" s="27" t="s">
        <v>37</v>
      </c>
      <c r="J6527" s="28" t="s">
        <v>636</v>
      </c>
      <c r="K6527" s="27" t="s">
        <v>37</v>
      </c>
      <c r="L6527" s="27"/>
    </row>
    <row r="6528" customFormat="false" ht="15" hidden="false" customHeight="false" outlineLevel="0" collapsed="false">
      <c r="A6528" s="26" t="s">
        <v>17994</v>
      </c>
      <c r="B6528" s="27" t="s">
        <v>17995</v>
      </c>
      <c r="C6528" s="27" t="s">
        <v>144</v>
      </c>
      <c r="D6528" s="26"/>
      <c r="E6528" s="27"/>
      <c r="F6528" s="27"/>
      <c r="G6528" s="27" t="s">
        <v>11122</v>
      </c>
      <c r="H6528" s="27" t="s">
        <v>35</v>
      </c>
      <c r="I6528" s="27" t="s">
        <v>37</v>
      </c>
      <c r="J6528" s="28" t="s">
        <v>636</v>
      </c>
      <c r="K6528" s="27" t="s">
        <v>37</v>
      </c>
      <c r="L6528" s="27"/>
    </row>
    <row r="6529" customFormat="false" ht="15" hidden="false" customHeight="false" outlineLevel="0" collapsed="false">
      <c r="A6529" s="26" t="s">
        <v>17996</v>
      </c>
      <c r="B6529" s="27" t="s">
        <v>17997</v>
      </c>
      <c r="C6529" s="27" t="s">
        <v>144</v>
      </c>
      <c r="D6529" s="26"/>
      <c r="E6529" s="27"/>
      <c r="F6529" s="27"/>
      <c r="G6529" s="27" t="s">
        <v>11122</v>
      </c>
      <c r="H6529" s="27" t="s">
        <v>35</v>
      </c>
      <c r="I6529" s="27" t="s">
        <v>38</v>
      </c>
      <c r="J6529" s="28" t="s">
        <v>636</v>
      </c>
      <c r="K6529" s="27" t="s">
        <v>37</v>
      </c>
      <c r="L6529" s="27"/>
    </row>
    <row r="6530" customFormat="false" ht="15" hidden="false" customHeight="false" outlineLevel="0" collapsed="false">
      <c r="A6530" s="26" t="s">
        <v>17998</v>
      </c>
      <c r="B6530" s="27" t="s">
        <v>17999</v>
      </c>
      <c r="C6530" s="27" t="s">
        <v>144</v>
      </c>
      <c r="D6530" s="26"/>
      <c r="E6530" s="27"/>
      <c r="F6530" s="27"/>
      <c r="G6530" s="27" t="s">
        <v>11122</v>
      </c>
      <c r="H6530" s="27" t="s">
        <v>35</v>
      </c>
      <c r="I6530" s="27" t="s">
        <v>38</v>
      </c>
      <c r="J6530" s="28" t="s">
        <v>636</v>
      </c>
      <c r="K6530" s="27" t="s">
        <v>37</v>
      </c>
      <c r="L6530" s="27"/>
    </row>
    <row r="6531" customFormat="false" ht="15" hidden="false" customHeight="false" outlineLevel="0" collapsed="false">
      <c r="A6531" s="26" t="s">
        <v>18000</v>
      </c>
      <c r="B6531" s="27" t="s">
        <v>18001</v>
      </c>
      <c r="C6531" s="27" t="s">
        <v>144</v>
      </c>
      <c r="D6531" s="26"/>
      <c r="E6531" s="27"/>
      <c r="F6531" s="27"/>
      <c r="G6531" s="27" t="s">
        <v>11122</v>
      </c>
      <c r="H6531" s="27" t="s">
        <v>35</v>
      </c>
      <c r="I6531" s="27" t="s">
        <v>37</v>
      </c>
      <c r="J6531" s="28" t="s">
        <v>636</v>
      </c>
      <c r="K6531" s="27" t="s">
        <v>37</v>
      </c>
      <c r="L6531" s="27"/>
    </row>
    <row r="6532" customFormat="false" ht="15" hidden="false" customHeight="false" outlineLevel="0" collapsed="false">
      <c r="A6532" s="26" t="s">
        <v>18002</v>
      </c>
      <c r="B6532" s="27" t="s">
        <v>18003</v>
      </c>
      <c r="C6532" s="27" t="s">
        <v>144</v>
      </c>
      <c r="D6532" s="26"/>
      <c r="E6532" s="27"/>
      <c r="F6532" s="27"/>
      <c r="G6532" s="27" t="s">
        <v>11122</v>
      </c>
      <c r="H6532" s="27" t="s">
        <v>35</v>
      </c>
      <c r="I6532" s="27" t="s">
        <v>37</v>
      </c>
      <c r="J6532" s="28" t="s">
        <v>636</v>
      </c>
      <c r="K6532" s="27" t="s">
        <v>37</v>
      </c>
      <c r="L6532" s="27"/>
    </row>
    <row r="6533" customFormat="false" ht="15" hidden="false" customHeight="false" outlineLevel="0" collapsed="false">
      <c r="A6533" s="26" t="s">
        <v>18004</v>
      </c>
      <c r="B6533" s="27" t="s">
        <v>18005</v>
      </c>
      <c r="C6533" s="27" t="s">
        <v>144</v>
      </c>
      <c r="D6533" s="26"/>
      <c r="E6533" s="27"/>
      <c r="F6533" s="27"/>
      <c r="G6533" s="27" t="s">
        <v>11122</v>
      </c>
      <c r="H6533" s="27" t="s">
        <v>35</v>
      </c>
      <c r="I6533" s="27" t="s">
        <v>37</v>
      </c>
      <c r="J6533" s="28" t="s">
        <v>636</v>
      </c>
      <c r="K6533" s="27" t="s">
        <v>37</v>
      </c>
      <c r="L6533" s="27"/>
    </row>
    <row r="6534" customFormat="false" ht="15" hidden="false" customHeight="false" outlineLevel="0" collapsed="false">
      <c r="A6534" s="26" t="s">
        <v>18006</v>
      </c>
      <c r="B6534" s="27" t="s">
        <v>18007</v>
      </c>
      <c r="C6534" s="27" t="s">
        <v>144</v>
      </c>
      <c r="D6534" s="26"/>
      <c r="E6534" s="27"/>
      <c r="F6534" s="27"/>
      <c r="G6534" s="27" t="s">
        <v>11122</v>
      </c>
      <c r="H6534" s="27" t="s">
        <v>35</v>
      </c>
      <c r="I6534" s="27" t="s">
        <v>37</v>
      </c>
      <c r="J6534" s="28" t="s">
        <v>636</v>
      </c>
      <c r="K6534" s="27" t="s">
        <v>37</v>
      </c>
      <c r="L6534" s="27"/>
    </row>
    <row r="6535" customFormat="false" ht="15" hidden="false" customHeight="false" outlineLevel="0" collapsed="false">
      <c r="A6535" s="26" t="s">
        <v>18008</v>
      </c>
      <c r="B6535" s="27" t="s">
        <v>18009</v>
      </c>
      <c r="C6535" s="27" t="s">
        <v>144</v>
      </c>
      <c r="D6535" s="26"/>
      <c r="E6535" s="27"/>
      <c r="F6535" s="27"/>
      <c r="G6535" s="27" t="s">
        <v>11122</v>
      </c>
      <c r="H6535" s="27" t="s">
        <v>35</v>
      </c>
      <c r="I6535" s="27" t="s">
        <v>41</v>
      </c>
      <c r="J6535" s="28" t="s">
        <v>636</v>
      </c>
      <c r="K6535" s="27" t="s">
        <v>37</v>
      </c>
      <c r="L6535" s="27"/>
    </row>
    <row r="6536" customFormat="false" ht="15" hidden="false" customHeight="false" outlineLevel="0" collapsed="false">
      <c r="A6536" s="26" t="s">
        <v>18010</v>
      </c>
      <c r="B6536" s="27" t="s">
        <v>18011</v>
      </c>
      <c r="C6536" s="27" t="s">
        <v>144</v>
      </c>
      <c r="D6536" s="26"/>
      <c r="E6536" s="27"/>
      <c r="F6536" s="27"/>
      <c r="G6536" s="27" t="s">
        <v>11122</v>
      </c>
      <c r="H6536" s="27" t="s">
        <v>35</v>
      </c>
      <c r="I6536" s="27" t="s">
        <v>37</v>
      </c>
      <c r="J6536" s="28" t="s">
        <v>636</v>
      </c>
      <c r="K6536" s="27" t="s">
        <v>37</v>
      </c>
      <c r="L6536" s="27"/>
    </row>
    <row r="6537" customFormat="false" ht="15" hidden="false" customHeight="false" outlineLevel="0" collapsed="false">
      <c r="A6537" s="26" t="s">
        <v>18012</v>
      </c>
      <c r="B6537" s="27" t="s">
        <v>18013</v>
      </c>
      <c r="C6537" s="27" t="s">
        <v>144</v>
      </c>
      <c r="D6537" s="26"/>
      <c r="E6537" s="27"/>
      <c r="F6537" s="27"/>
      <c r="G6537" s="27" t="s">
        <v>11122</v>
      </c>
      <c r="H6537" s="27" t="s">
        <v>35</v>
      </c>
      <c r="I6537" s="27" t="s">
        <v>37</v>
      </c>
      <c r="J6537" s="28" t="s">
        <v>636</v>
      </c>
      <c r="K6537" s="27" t="s">
        <v>37</v>
      </c>
      <c r="L6537" s="27"/>
    </row>
    <row r="6538" customFormat="false" ht="15" hidden="false" customHeight="false" outlineLevel="0" collapsed="false">
      <c r="A6538" s="26" t="s">
        <v>18014</v>
      </c>
      <c r="B6538" s="27" t="s">
        <v>18015</v>
      </c>
      <c r="C6538" s="27" t="s">
        <v>144</v>
      </c>
      <c r="D6538" s="26"/>
      <c r="E6538" s="27"/>
      <c r="F6538" s="27"/>
      <c r="G6538" s="27" t="s">
        <v>11122</v>
      </c>
      <c r="H6538" s="27" t="s">
        <v>35</v>
      </c>
      <c r="I6538" s="27" t="s">
        <v>37</v>
      </c>
      <c r="J6538" s="28" t="s">
        <v>636</v>
      </c>
      <c r="K6538" s="27" t="s">
        <v>37</v>
      </c>
      <c r="L6538" s="27"/>
    </row>
    <row r="6539" customFormat="false" ht="15" hidden="false" customHeight="false" outlineLevel="0" collapsed="false">
      <c r="A6539" s="26" t="s">
        <v>18016</v>
      </c>
      <c r="B6539" s="27" t="s">
        <v>18017</v>
      </c>
      <c r="C6539" s="27" t="s">
        <v>144</v>
      </c>
      <c r="D6539" s="26"/>
      <c r="E6539" s="27"/>
      <c r="F6539" s="27"/>
      <c r="G6539" s="27" t="s">
        <v>11122</v>
      </c>
      <c r="H6539" s="27" t="s">
        <v>35</v>
      </c>
      <c r="I6539" s="27" t="s">
        <v>37</v>
      </c>
      <c r="J6539" s="28" t="s">
        <v>636</v>
      </c>
      <c r="K6539" s="27" t="s">
        <v>37</v>
      </c>
      <c r="L6539" s="27"/>
    </row>
    <row r="6540" customFormat="false" ht="15" hidden="false" customHeight="false" outlineLevel="0" collapsed="false">
      <c r="A6540" s="26" t="s">
        <v>18018</v>
      </c>
      <c r="B6540" s="27" t="s">
        <v>18019</v>
      </c>
      <c r="C6540" s="27" t="s">
        <v>144</v>
      </c>
      <c r="D6540" s="26"/>
      <c r="E6540" s="27"/>
      <c r="F6540" s="27"/>
      <c r="G6540" s="27" t="s">
        <v>11122</v>
      </c>
      <c r="H6540" s="27" t="s">
        <v>35</v>
      </c>
      <c r="I6540" s="27" t="s">
        <v>37</v>
      </c>
      <c r="J6540" s="28" t="s">
        <v>636</v>
      </c>
      <c r="K6540" s="27" t="s">
        <v>37</v>
      </c>
      <c r="L6540" s="27"/>
    </row>
    <row r="6541" customFormat="false" ht="15" hidden="false" customHeight="false" outlineLevel="0" collapsed="false">
      <c r="A6541" s="26" t="s">
        <v>18020</v>
      </c>
      <c r="B6541" s="27" t="s">
        <v>18021</v>
      </c>
      <c r="C6541" s="27" t="s">
        <v>144</v>
      </c>
      <c r="D6541" s="26"/>
      <c r="E6541" s="27"/>
      <c r="F6541" s="27"/>
      <c r="G6541" s="27" t="s">
        <v>11122</v>
      </c>
      <c r="H6541" s="27" t="s">
        <v>35</v>
      </c>
      <c r="I6541" s="27" t="s">
        <v>37</v>
      </c>
      <c r="J6541" s="28" t="s">
        <v>636</v>
      </c>
      <c r="K6541" s="27" t="s">
        <v>37</v>
      </c>
      <c r="L6541" s="27"/>
    </row>
    <row r="6542" customFormat="false" ht="15" hidden="false" customHeight="false" outlineLevel="0" collapsed="false">
      <c r="A6542" s="26" t="s">
        <v>18022</v>
      </c>
      <c r="B6542" s="27" t="s">
        <v>18023</v>
      </c>
      <c r="C6542" s="27" t="s">
        <v>144</v>
      </c>
      <c r="D6542" s="26"/>
      <c r="E6542" s="27"/>
      <c r="F6542" s="27"/>
      <c r="G6542" s="27" t="s">
        <v>11122</v>
      </c>
      <c r="H6542" s="27" t="s">
        <v>35</v>
      </c>
      <c r="I6542" s="27" t="s">
        <v>39</v>
      </c>
      <c r="J6542" s="28" t="s">
        <v>636</v>
      </c>
      <c r="K6542" s="27" t="s">
        <v>37</v>
      </c>
      <c r="L6542" s="27"/>
    </row>
    <row r="6543" customFormat="false" ht="15" hidden="false" customHeight="false" outlineLevel="0" collapsed="false">
      <c r="A6543" s="26" t="s">
        <v>18024</v>
      </c>
      <c r="B6543" s="27" t="s">
        <v>18025</v>
      </c>
      <c r="C6543" s="27" t="s">
        <v>144</v>
      </c>
      <c r="D6543" s="26"/>
      <c r="E6543" s="27"/>
      <c r="F6543" s="27"/>
      <c r="G6543" s="27" t="s">
        <v>11122</v>
      </c>
      <c r="H6543" s="27" t="s">
        <v>35</v>
      </c>
      <c r="I6543" s="27" t="s">
        <v>41</v>
      </c>
      <c r="J6543" s="28" t="s">
        <v>636</v>
      </c>
      <c r="K6543" s="27" t="s">
        <v>37</v>
      </c>
      <c r="L6543" s="27"/>
    </row>
    <row r="6544" customFormat="false" ht="15" hidden="false" customHeight="false" outlineLevel="0" collapsed="false">
      <c r="A6544" s="26" t="s">
        <v>18026</v>
      </c>
      <c r="B6544" s="27" t="s">
        <v>18027</v>
      </c>
      <c r="C6544" s="27" t="s">
        <v>144</v>
      </c>
      <c r="D6544" s="26"/>
      <c r="E6544" s="27"/>
      <c r="F6544" s="27"/>
      <c r="G6544" s="27" t="s">
        <v>11122</v>
      </c>
      <c r="H6544" s="27" t="s">
        <v>35</v>
      </c>
      <c r="I6544" s="27" t="s">
        <v>47</v>
      </c>
      <c r="J6544" s="28" t="s">
        <v>636</v>
      </c>
      <c r="K6544" s="27" t="s">
        <v>37</v>
      </c>
      <c r="L6544" s="27"/>
    </row>
    <row r="6545" customFormat="false" ht="15" hidden="false" customHeight="false" outlineLevel="0" collapsed="false">
      <c r="A6545" s="26" t="s">
        <v>18028</v>
      </c>
      <c r="B6545" s="27" t="s">
        <v>18029</v>
      </c>
      <c r="C6545" s="27" t="s">
        <v>144</v>
      </c>
      <c r="D6545" s="26"/>
      <c r="E6545" s="27"/>
      <c r="F6545" s="27"/>
      <c r="G6545" s="27" t="s">
        <v>11122</v>
      </c>
      <c r="H6545" s="27" t="s">
        <v>35</v>
      </c>
      <c r="I6545" s="27" t="s">
        <v>37</v>
      </c>
      <c r="J6545" s="28" t="s">
        <v>636</v>
      </c>
      <c r="K6545" s="27" t="s">
        <v>37</v>
      </c>
      <c r="L6545" s="27"/>
    </row>
    <row r="6546" customFormat="false" ht="15" hidden="false" customHeight="false" outlineLevel="0" collapsed="false">
      <c r="A6546" s="26" t="s">
        <v>18030</v>
      </c>
      <c r="B6546" s="27" t="s">
        <v>18031</v>
      </c>
      <c r="C6546" s="27" t="s">
        <v>144</v>
      </c>
      <c r="D6546" s="26"/>
      <c r="E6546" s="27"/>
      <c r="F6546" s="27"/>
      <c r="G6546" s="27" t="s">
        <v>11122</v>
      </c>
      <c r="H6546" s="27" t="s">
        <v>35</v>
      </c>
      <c r="I6546" s="27" t="s">
        <v>41</v>
      </c>
      <c r="J6546" s="28" t="s">
        <v>636</v>
      </c>
      <c r="K6546" s="27" t="s">
        <v>37</v>
      </c>
      <c r="L6546" s="27"/>
    </row>
    <row r="6547" customFormat="false" ht="15" hidden="false" customHeight="false" outlineLevel="0" collapsed="false">
      <c r="A6547" s="26" t="s">
        <v>18032</v>
      </c>
      <c r="B6547" s="27" t="s">
        <v>18033</v>
      </c>
      <c r="C6547" s="27" t="s">
        <v>144</v>
      </c>
      <c r="D6547" s="26"/>
      <c r="E6547" s="27"/>
      <c r="F6547" s="27"/>
      <c r="G6547" s="27" t="s">
        <v>11122</v>
      </c>
      <c r="H6547" s="27" t="s">
        <v>35</v>
      </c>
      <c r="I6547" s="27" t="s">
        <v>38</v>
      </c>
      <c r="J6547" s="28" t="s">
        <v>636</v>
      </c>
      <c r="K6547" s="27" t="s">
        <v>37</v>
      </c>
      <c r="L6547" s="27"/>
    </row>
    <row r="6548" customFormat="false" ht="15" hidden="false" customHeight="false" outlineLevel="0" collapsed="false">
      <c r="A6548" s="26" t="s">
        <v>18034</v>
      </c>
      <c r="B6548" s="27" t="s">
        <v>18035</v>
      </c>
      <c r="C6548" s="27" t="s">
        <v>144</v>
      </c>
      <c r="D6548" s="26"/>
      <c r="E6548" s="27"/>
      <c r="F6548" s="27"/>
      <c r="G6548" s="27" t="s">
        <v>11122</v>
      </c>
      <c r="H6548" s="27" t="s">
        <v>35</v>
      </c>
      <c r="I6548" s="27" t="s">
        <v>43</v>
      </c>
      <c r="J6548" s="28" t="s">
        <v>636</v>
      </c>
      <c r="K6548" s="27" t="s">
        <v>37</v>
      </c>
      <c r="L6548" s="27"/>
    </row>
    <row r="6549" customFormat="false" ht="15" hidden="false" customHeight="false" outlineLevel="0" collapsed="false">
      <c r="A6549" s="26" t="s">
        <v>18036</v>
      </c>
      <c r="B6549" s="27" t="s">
        <v>18037</v>
      </c>
      <c r="C6549" s="27" t="s">
        <v>144</v>
      </c>
      <c r="D6549" s="26"/>
      <c r="E6549" s="27"/>
      <c r="F6549" s="27"/>
      <c r="G6549" s="27" t="s">
        <v>11122</v>
      </c>
      <c r="H6549" s="27" t="s">
        <v>35</v>
      </c>
      <c r="I6549" s="27" t="s">
        <v>43</v>
      </c>
      <c r="J6549" s="28" t="s">
        <v>636</v>
      </c>
      <c r="K6549" s="27" t="s">
        <v>37</v>
      </c>
      <c r="L6549" s="27"/>
    </row>
    <row r="6550" customFormat="false" ht="15" hidden="false" customHeight="false" outlineLevel="0" collapsed="false">
      <c r="A6550" s="26" t="s">
        <v>18038</v>
      </c>
      <c r="B6550" s="27" t="s">
        <v>18039</v>
      </c>
      <c r="C6550" s="27" t="s">
        <v>144</v>
      </c>
      <c r="D6550" s="26"/>
      <c r="E6550" s="27"/>
      <c r="F6550" s="27"/>
      <c r="G6550" s="27" t="s">
        <v>11122</v>
      </c>
      <c r="H6550" s="27" t="s">
        <v>35</v>
      </c>
      <c r="I6550" s="27" t="s">
        <v>43</v>
      </c>
      <c r="J6550" s="28" t="s">
        <v>636</v>
      </c>
      <c r="K6550" s="27" t="s">
        <v>37</v>
      </c>
      <c r="L6550" s="27"/>
    </row>
    <row r="6551" customFormat="false" ht="15" hidden="false" customHeight="false" outlineLevel="0" collapsed="false">
      <c r="A6551" s="26" t="s">
        <v>18040</v>
      </c>
      <c r="B6551" s="27" t="s">
        <v>18041</v>
      </c>
      <c r="C6551" s="27" t="s">
        <v>144</v>
      </c>
      <c r="D6551" s="26"/>
      <c r="E6551" s="27"/>
      <c r="F6551" s="27"/>
      <c r="G6551" s="27" t="s">
        <v>11122</v>
      </c>
      <c r="H6551" s="27" t="s">
        <v>35</v>
      </c>
      <c r="I6551" s="27" t="s">
        <v>43</v>
      </c>
      <c r="J6551" s="28" t="s">
        <v>636</v>
      </c>
      <c r="K6551" s="27" t="s">
        <v>37</v>
      </c>
      <c r="L6551" s="27"/>
    </row>
    <row r="6552" customFormat="false" ht="15" hidden="false" customHeight="false" outlineLevel="0" collapsed="false">
      <c r="A6552" s="26" t="s">
        <v>18042</v>
      </c>
      <c r="B6552" s="27" t="s">
        <v>18043</v>
      </c>
      <c r="C6552" s="27" t="s">
        <v>144</v>
      </c>
      <c r="D6552" s="26"/>
      <c r="E6552" s="27"/>
      <c r="F6552" s="27"/>
      <c r="G6552" s="27" t="s">
        <v>11122</v>
      </c>
      <c r="H6552" s="27" t="s">
        <v>35</v>
      </c>
      <c r="I6552" s="27" t="s">
        <v>43</v>
      </c>
      <c r="J6552" s="28" t="s">
        <v>636</v>
      </c>
      <c r="K6552" s="27" t="s">
        <v>37</v>
      </c>
      <c r="L6552" s="27"/>
    </row>
    <row r="6553" customFormat="false" ht="15" hidden="false" customHeight="false" outlineLevel="0" collapsed="false">
      <c r="A6553" s="26" t="s">
        <v>18044</v>
      </c>
      <c r="B6553" s="27" t="s">
        <v>18045</v>
      </c>
      <c r="C6553" s="27" t="s">
        <v>144</v>
      </c>
      <c r="D6553" s="26"/>
      <c r="E6553" s="27"/>
      <c r="F6553" s="27"/>
      <c r="G6553" s="27" t="s">
        <v>11122</v>
      </c>
      <c r="H6553" s="27" t="s">
        <v>35</v>
      </c>
      <c r="I6553" s="27" t="s">
        <v>43</v>
      </c>
      <c r="J6553" s="28" t="s">
        <v>636</v>
      </c>
      <c r="K6553" s="27" t="s">
        <v>37</v>
      </c>
      <c r="L6553" s="27"/>
    </row>
    <row r="6554" customFormat="false" ht="15" hidden="false" customHeight="false" outlineLevel="0" collapsed="false">
      <c r="A6554" s="26" t="s">
        <v>18046</v>
      </c>
      <c r="B6554" s="27" t="s">
        <v>18047</v>
      </c>
      <c r="C6554" s="27" t="s">
        <v>144</v>
      </c>
      <c r="D6554" s="26"/>
      <c r="E6554" s="27"/>
      <c r="F6554" s="27"/>
      <c r="G6554" s="27" t="s">
        <v>11122</v>
      </c>
      <c r="H6554" s="27" t="s">
        <v>35</v>
      </c>
      <c r="I6554" s="27" t="s">
        <v>43</v>
      </c>
      <c r="J6554" s="28" t="s">
        <v>636</v>
      </c>
      <c r="K6554" s="27" t="s">
        <v>37</v>
      </c>
      <c r="L6554" s="27"/>
    </row>
    <row r="6555" customFormat="false" ht="15" hidden="false" customHeight="false" outlineLevel="0" collapsed="false">
      <c r="A6555" s="26" t="s">
        <v>18048</v>
      </c>
      <c r="B6555" s="27" t="s">
        <v>18049</v>
      </c>
      <c r="C6555" s="27" t="s">
        <v>144</v>
      </c>
      <c r="D6555" s="26"/>
      <c r="E6555" s="27"/>
      <c r="F6555" s="27"/>
      <c r="G6555" s="27" t="s">
        <v>11122</v>
      </c>
      <c r="H6555" s="27" t="s">
        <v>35</v>
      </c>
      <c r="I6555" s="27" t="s">
        <v>43</v>
      </c>
      <c r="J6555" s="28" t="s">
        <v>636</v>
      </c>
      <c r="K6555" s="27" t="s">
        <v>37</v>
      </c>
      <c r="L6555" s="27"/>
    </row>
    <row r="6556" customFormat="false" ht="15" hidden="false" customHeight="false" outlineLevel="0" collapsed="false">
      <c r="A6556" s="26" t="s">
        <v>18050</v>
      </c>
      <c r="B6556" s="27" t="s">
        <v>18051</v>
      </c>
      <c r="C6556" s="27" t="s">
        <v>144</v>
      </c>
      <c r="D6556" s="26"/>
      <c r="E6556" s="27"/>
      <c r="F6556" s="27"/>
      <c r="G6556" s="27" t="s">
        <v>11122</v>
      </c>
      <c r="H6556" s="27" t="s">
        <v>35</v>
      </c>
      <c r="I6556" s="27" t="s">
        <v>37</v>
      </c>
      <c r="J6556" s="28" t="s">
        <v>636</v>
      </c>
      <c r="K6556" s="27" t="s">
        <v>37</v>
      </c>
      <c r="L6556" s="27"/>
    </row>
    <row r="6557" customFormat="false" ht="15" hidden="false" customHeight="false" outlineLevel="0" collapsed="false">
      <c r="A6557" s="26" t="s">
        <v>18052</v>
      </c>
      <c r="B6557" s="27" t="s">
        <v>18053</v>
      </c>
      <c r="C6557" s="27" t="s">
        <v>144</v>
      </c>
      <c r="D6557" s="26"/>
      <c r="E6557" s="27"/>
      <c r="F6557" s="27"/>
      <c r="G6557" s="27" t="s">
        <v>11122</v>
      </c>
      <c r="H6557" s="27" t="s">
        <v>35</v>
      </c>
      <c r="I6557" s="27" t="s">
        <v>43</v>
      </c>
      <c r="J6557" s="28" t="s">
        <v>636</v>
      </c>
      <c r="K6557" s="27" t="s">
        <v>37</v>
      </c>
      <c r="L6557" s="27"/>
    </row>
    <row r="6558" customFormat="false" ht="15" hidden="false" customHeight="false" outlineLevel="0" collapsed="false">
      <c r="A6558" s="26" t="s">
        <v>18054</v>
      </c>
      <c r="B6558" s="27" t="s">
        <v>18055</v>
      </c>
      <c r="C6558" s="27" t="s">
        <v>144</v>
      </c>
      <c r="D6558" s="26"/>
      <c r="E6558" s="27"/>
      <c r="F6558" s="27"/>
      <c r="G6558" s="27" t="s">
        <v>11122</v>
      </c>
      <c r="H6558" s="27" t="s">
        <v>35</v>
      </c>
      <c r="I6558" s="27" t="s">
        <v>43</v>
      </c>
      <c r="J6558" s="28" t="s">
        <v>636</v>
      </c>
      <c r="K6558" s="27" t="s">
        <v>37</v>
      </c>
      <c r="L6558" s="27"/>
    </row>
    <row r="6559" customFormat="false" ht="15" hidden="false" customHeight="false" outlineLevel="0" collapsed="false">
      <c r="A6559" s="26" t="s">
        <v>18056</v>
      </c>
      <c r="B6559" s="27" t="s">
        <v>18057</v>
      </c>
      <c r="C6559" s="27" t="s">
        <v>144</v>
      </c>
      <c r="D6559" s="26"/>
      <c r="E6559" s="27"/>
      <c r="F6559" s="27"/>
      <c r="G6559" s="27" t="s">
        <v>11122</v>
      </c>
      <c r="H6559" s="27" t="s">
        <v>35</v>
      </c>
      <c r="I6559" s="27" t="s">
        <v>43</v>
      </c>
      <c r="J6559" s="28" t="s">
        <v>636</v>
      </c>
      <c r="K6559" s="27" t="s">
        <v>37</v>
      </c>
      <c r="L6559" s="27"/>
    </row>
    <row r="6560" customFormat="false" ht="15" hidden="false" customHeight="false" outlineLevel="0" collapsed="false">
      <c r="A6560" s="26" t="s">
        <v>18058</v>
      </c>
      <c r="B6560" s="27" t="s">
        <v>18059</v>
      </c>
      <c r="C6560" s="27" t="s">
        <v>144</v>
      </c>
      <c r="D6560" s="26"/>
      <c r="E6560" s="27"/>
      <c r="F6560" s="27"/>
      <c r="G6560" s="27" t="s">
        <v>11122</v>
      </c>
      <c r="H6560" s="27" t="s">
        <v>35</v>
      </c>
      <c r="I6560" s="27" t="s">
        <v>43</v>
      </c>
      <c r="J6560" s="28" t="s">
        <v>636</v>
      </c>
      <c r="K6560" s="27" t="s">
        <v>37</v>
      </c>
      <c r="L6560" s="27"/>
    </row>
    <row r="6561" customFormat="false" ht="15" hidden="false" customHeight="false" outlineLevel="0" collapsed="false">
      <c r="A6561" s="26" t="s">
        <v>18060</v>
      </c>
      <c r="B6561" s="27" t="s">
        <v>18061</v>
      </c>
      <c r="C6561" s="27" t="s">
        <v>144</v>
      </c>
      <c r="D6561" s="26"/>
      <c r="E6561" s="27"/>
      <c r="F6561" s="27"/>
      <c r="G6561" s="27" t="s">
        <v>11122</v>
      </c>
      <c r="H6561" s="27" t="s">
        <v>35</v>
      </c>
      <c r="I6561" s="27" t="s">
        <v>43</v>
      </c>
      <c r="J6561" s="28" t="s">
        <v>636</v>
      </c>
      <c r="K6561" s="27" t="s">
        <v>37</v>
      </c>
      <c r="L6561" s="27"/>
    </row>
    <row r="6562" customFormat="false" ht="15" hidden="false" customHeight="false" outlineLevel="0" collapsed="false">
      <c r="A6562" s="26" t="s">
        <v>18062</v>
      </c>
      <c r="B6562" s="27" t="s">
        <v>18063</v>
      </c>
      <c r="C6562" s="27" t="s">
        <v>144</v>
      </c>
      <c r="D6562" s="26"/>
      <c r="E6562" s="27"/>
      <c r="F6562" s="27"/>
      <c r="G6562" s="27" t="s">
        <v>11122</v>
      </c>
      <c r="H6562" s="27" t="s">
        <v>35</v>
      </c>
      <c r="I6562" s="27" t="s">
        <v>37</v>
      </c>
      <c r="J6562" s="28" t="s">
        <v>636</v>
      </c>
      <c r="K6562" s="27" t="s">
        <v>37</v>
      </c>
      <c r="L6562" s="27"/>
    </row>
    <row r="6563" customFormat="false" ht="15" hidden="false" customHeight="false" outlineLevel="0" collapsed="false">
      <c r="A6563" s="26" t="s">
        <v>18064</v>
      </c>
      <c r="B6563" s="27" t="s">
        <v>18065</v>
      </c>
      <c r="C6563" s="27" t="s">
        <v>144</v>
      </c>
      <c r="D6563" s="26"/>
      <c r="E6563" s="27"/>
      <c r="F6563" s="27"/>
      <c r="G6563" s="27" t="s">
        <v>11122</v>
      </c>
      <c r="H6563" s="27" t="s">
        <v>35</v>
      </c>
      <c r="I6563" s="27" t="s">
        <v>43</v>
      </c>
      <c r="J6563" s="28" t="s">
        <v>636</v>
      </c>
      <c r="K6563" s="27" t="s">
        <v>37</v>
      </c>
      <c r="L6563" s="27"/>
    </row>
    <row r="6564" customFormat="false" ht="15" hidden="false" customHeight="false" outlineLevel="0" collapsed="false">
      <c r="A6564" s="26" t="s">
        <v>18066</v>
      </c>
      <c r="B6564" s="27" t="s">
        <v>18067</v>
      </c>
      <c r="C6564" s="27" t="s">
        <v>144</v>
      </c>
      <c r="D6564" s="26"/>
      <c r="E6564" s="27"/>
      <c r="F6564" s="27"/>
      <c r="G6564" s="27" t="s">
        <v>11122</v>
      </c>
      <c r="H6564" s="27" t="s">
        <v>35</v>
      </c>
      <c r="I6564" s="27" t="s">
        <v>43</v>
      </c>
      <c r="J6564" s="28" t="s">
        <v>636</v>
      </c>
      <c r="K6564" s="27" t="s">
        <v>37</v>
      </c>
      <c r="L6564" s="27"/>
    </row>
    <row r="6565" customFormat="false" ht="15" hidden="false" customHeight="false" outlineLevel="0" collapsed="false">
      <c r="A6565" s="26" t="s">
        <v>18068</v>
      </c>
      <c r="B6565" s="27" t="s">
        <v>18069</v>
      </c>
      <c r="C6565" s="27" t="s">
        <v>144</v>
      </c>
      <c r="D6565" s="26"/>
      <c r="E6565" s="27"/>
      <c r="F6565" s="27"/>
      <c r="G6565" s="27" t="s">
        <v>11122</v>
      </c>
      <c r="H6565" s="27" t="s">
        <v>35</v>
      </c>
      <c r="I6565" s="27" t="s">
        <v>43</v>
      </c>
      <c r="J6565" s="28" t="s">
        <v>636</v>
      </c>
      <c r="K6565" s="27" t="s">
        <v>37</v>
      </c>
      <c r="L6565" s="27"/>
    </row>
    <row r="6566" customFormat="false" ht="15" hidden="false" customHeight="false" outlineLevel="0" collapsed="false">
      <c r="A6566" s="26" t="s">
        <v>18070</v>
      </c>
      <c r="B6566" s="27" t="s">
        <v>18071</v>
      </c>
      <c r="C6566" s="27" t="s">
        <v>1187</v>
      </c>
      <c r="D6566" s="26"/>
      <c r="E6566" s="27"/>
      <c r="F6566" s="27"/>
      <c r="G6566" s="27" t="s">
        <v>11122</v>
      </c>
      <c r="H6566" s="27" t="s">
        <v>35</v>
      </c>
      <c r="I6566" s="27" t="s">
        <v>43</v>
      </c>
      <c r="J6566" s="28" t="s">
        <v>636</v>
      </c>
      <c r="K6566" s="27" t="s">
        <v>37</v>
      </c>
      <c r="L6566" s="27"/>
    </row>
    <row r="6567" customFormat="false" ht="15" hidden="false" customHeight="false" outlineLevel="0" collapsed="false">
      <c r="A6567" s="26" t="s">
        <v>18072</v>
      </c>
      <c r="B6567" s="27" t="s">
        <v>18073</v>
      </c>
      <c r="C6567" s="27" t="s">
        <v>144</v>
      </c>
      <c r="D6567" s="26"/>
      <c r="E6567" s="27"/>
      <c r="F6567" s="27"/>
      <c r="G6567" s="27" t="s">
        <v>11122</v>
      </c>
      <c r="H6567" s="27" t="s">
        <v>35</v>
      </c>
      <c r="I6567" s="27" t="s">
        <v>43</v>
      </c>
      <c r="J6567" s="28" t="s">
        <v>636</v>
      </c>
      <c r="K6567" s="27" t="s">
        <v>37</v>
      </c>
      <c r="L6567" s="27"/>
    </row>
    <row r="6568" customFormat="false" ht="15" hidden="false" customHeight="false" outlineLevel="0" collapsed="false">
      <c r="A6568" s="26" t="s">
        <v>18074</v>
      </c>
      <c r="B6568" s="27" t="s">
        <v>18075</v>
      </c>
      <c r="C6568" s="27" t="s">
        <v>144</v>
      </c>
      <c r="D6568" s="26"/>
      <c r="E6568" s="27"/>
      <c r="F6568" s="27"/>
      <c r="G6568" s="27" t="s">
        <v>11122</v>
      </c>
      <c r="H6568" s="27" t="s">
        <v>35</v>
      </c>
      <c r="I6568" s="27" t="s">
        <v>43</v>
      </c>
      <c r="J6568" s="28" t="s">
        <v>636</v>
      </c>
      <c r="K6568" s="27" t="s">
        <v>37</v>
      </c>
      <c r="L6568" s="27"/>
    </row>
    <row r="6569" customFormat="false" ht="15" hidden="false" customHeight="false" outlineLevel="0" collapsed="false">
      <c r="A6569" s="26" t="s">
        <v>18076</v>
      </c>
      <c r="B6569" s="27" t="s">
        <v>18077</v>
      </c>
      <c r="C6569" s="27" t="s">
        <v>144</v>
      </c>
      <c r="D6569" s="26"/>
      <c r="E6569" s="27"/>
      <c r="F6569" s="27"/>
      <c r="G6569" s="27" t="s">
        <v>11122</v>
      </c>
      <c r="H6569" s="27" t="s">
        <v>35</v>
      </c>
      <c r="I6569" s="27" t="s">
        <v>43</v>
      </c>
      <c r="J6569" s="28" t="s">
        <v>636</v>
      </c>
      <c r="K6569" s="27" t="s">
        <v>37</v>
      </c>
      <c r="L6569" s="27"/>
    </row>
    <row r="6570" customFormat="false" ht="15" hidden="false" customHeight="false" outlineLevel="0" collapsed="false">
      <c r="A6570" s="26" t="s">
        <v>18078</v>
      </c>
      <c r="B6570" s="27" t="s">
        <v>18079</v>
      </c>
      <c r="C6570" s="27" t="s">
        <v>144</v>
      </c>
      <c r="D6570" s="26"/>
      <c r="E6570" s="27"/>
      <c r="F6570" s="27"/>
      <c r="G6570" s="27" t="s">
        <v>11122</v>
      </c>
      <c r="H6570" s="27" t="s">
        <v>35</v>
      </c>
      <c r="I6570" s="27" t="s">
        <v>43</v>
      </c>
      <c r="J6570" s="28" t="s">
        <v>636</v>
      </c>
      <c r="K6570" s="27" t="s">
        <v>37</v>
      </c>
      <c r="L6570" s="27"/>
    </row>
    <row r="6571" customFormat="false" ht="15" hidden="false" customHeight="false" outlineLevel="0" collapsed="false">
      <c r="A6571" s="26" t="s">
        <v>18080</v>
      </c>
      <c r="B6571" s="27" t="s">
        <v>18081</v>
      </c>
      <c r="C6571" s="27" t="s">
        <v>144</v>
      </c>
      <c r="D6571" s="26"/>
      <c r="E6571" s="27"/>
      <c r="F6571" s="27"/>
      <c r="G6571" s="27" t="s">
        <v>11122</v>
      </c>
      <c r="H6571" s="27" t="s">
        <v>35</v>
      </c>
      <c r="I6571" s="27" t="s">
        <v>43</v>
      </c>
      <c r="J6571" s="28" t="s">
        <v>636</v>
      </c>
      <c r="K6571" s="27" t="s">
        <v>37</v>
      </c>
      <c r="L6571" s="27"/>
    </row>
    <row r="6572" customFormat="false" ht="15" hidden="false" customHeight="false" outlineLevel="0" collapsed="false">
      <c r="A6572" s="26" t="s">
        <v>18082</v>
      </c>
      <c r="B6572" s="27" t="s">
        <v>18083</v>
      </c>
      <c r="C6572" s="27" t="s">
        <v>144</v>
      </c>
      <c r="D6572" s="26"/>
      <c r="E6572" s="27"/>
      <c r="F6572" s="27"/>
      <c r="G6572" s="27" t="s">
        <v>11122</v>
      </c>
      <c r="H6572" s="27" t="s">
        <v>35</v>
      </c>
      <c r="I6572" s="27" t="s">
        <v>43</v>
      </c>
      <c r="J6572" s="28" t="s">
        <v>636</v>
      </c>
      <c r="K6572" s="27" t="s">
        <v>37</v>
      </c>
      <c r="L6572" s="27"/>
    </row>
    <row r="6573" customFormat="false" ht="15" hidden="false" customHeight="false" outlineLevel="0" collapsed="false">
      <c r="A6573" s="26" t="s">
        <v>18084</v>
      </c>
      <c r="B6573" s="27" t="s">
        <v>18085</v>
      </c>
      <c r="C6573" s="27" t="s">
        <v>144</v>
      </c>
      <c r="D6573" s="26"/>
      <c r="E6573" s="27"/>
      <c r="F6573" s="27"/>
      <c r="G6573" s="27" t="s">
        <v>11122</v>
      </c>
      <c r="H6573" s="27" t="s">
        <v>35</v>
      </c>
      <c r="I6573" s="27" t="s">
        <v>43</v>
      </c>
      <c r="J6573" s="28" t="s">
        <v>636</v>
      </c>
      <c r="K6573" s="27" t="s">
        <v>37</v>
      </c>
      <c r="L6573" s="27"/>
    </row>
    <row r="6574" customFormat="false" ht="15" hidden="false" customHeight="false" outlineLevel="0" collapsed="false">
      <c r="A6574" s="26" t="s">
        <v>18086</v>
      </c>
      <c r="B6574" s="27" t="s">
        <v>18087</v>
      </c>
      <c r="C6574" s="27" t="s">
        <v>144</v>
      </c>
      <c r="D6574" s="26"/>
      <c r="E6574" s="27"/>
      <c r="F6574" s="27"/>
      <c r="G6574" s="27" t="s">
        <v>11122</v>
      </c>
      <c r="H6574" s="27" t="s">
        <v>35</v>
      </c>
      <c r="I6574" s="27" t="s">
        <v>37</v>
      </c>
      <c r="J6574" s="28" t="s">
        <v>636</v>
      </c>
      <c r="K6574" s="27" t="s">
        <v>37</v>
      </c>
      <c r="L6574" s="27"/>
    </row>
    <row r="6575" customFormat="false" ht="15" hidden="false" customHeight="false" outlineLevel="0" collapsed="false">
      <c r="A6575" s="26" t="s">
        <v>18088</v>
      </c>
      <c r="B6575" s="27" t="s">
        <v>18089</v>
      </c>
      <c r="C6575" s="27" t="s">
        <v>144</v>
      </c>
      <c r="D6575" s="26"/>
      <c r="E6575" s="27"/>
      <c r="F6575" s="27"/>
      <c r="G6575" s="27" t="s">
        <v>11122</v>
      </c>
      <c r="H6575" s="27" t="s">
        <v>35</v>
      </c>
      <c r="I6575" s="27" t="s">
        <v>43</v>
      </c>
      <c r="J6575" s="28" t="s">
        <v>636</v>
      </c>
      <c r="K6575" s="27" t="s">
        <v>37</v>
      </c>
      <c r="L6575" s="27"/>
    </row>
    <row r="6576" customFormat="false" ht="15" hidden="false" customHeight="false" outlineLevel="0" collapsed="false">
      <c r="A6576" s="26" t="s">
        <v>18090</v>
      </c>
      <c r="B6576" s="27" t="s">
        <v>18091</v>
      </c>
      <c r="C6576" s="27" t="s">
        <v>144</v>
      </c>
      <c r="D6576" s="26"/>
      <c r="E6576" s="27"/>
      <c r="F6576" s="27"/>
      <c r="G6576" s="27" t="s">
        <v>11122</v>
      </c>
      <c r="H6576" s="27" t="s">
        <v>35</v>
      </c>
      <c r="I6576" s="27" t="s">
        <v>43</v>
      </c>
      <c r="J6576" s="28" t="s">
        <v>636</v>
      </c>
      <c r="K6576" s="27" t="s">
        <v>37</v>
      </c>
      <c r="L6576" s="27"/>
    </row>
    <row r="6577" customFormat="false" ht="15" hidden="false" customHeight="false" outlineLevel="0" collapsed="false">
      <c r="A6577" s="26" t="s">
        <v>18092</v>
      </c>
      <c r="B6577" s="27" t="s">
        <v>18093</v>
      </c>
      <c r="C6577" s="27" t="s">
        <v>144</v>
      </c>
      <c r="D6577" s="26"/>
      <c r="E6577" s="27"/>
      <c r="F6577" s="27"/>
      <c r="G6577" s="27" t="s">
        <v>11122</v>
      </c>
      <c r="H6577" s="27" t="s">
        <v>35</v>
      </c>
      <c r="I6577" s="27" t="s">
        <v>37</v>
      </c>
      <c r="J6577" s="28" t="s">
        <v>636</v>
      </c>
      <c r="K6577" s="27" t="s">
        <v>37</v>
      </c>
      <c r="L6577" s="27"/>
    </row>
    <row r="6578" customFormat="false" ht="15" hidden="false" customHeight="false" outlineLevel="0" collapsed="false">
      <c r="A6578" s="26" t="s">
        <v>18094</v>
      </c>
      <c r="B6578" s="27" t="s">
        <v>18095</v>
      </c>
      <c r="C6578" s="27" t="s">
        <v>144</v>
      </c>
      <c r="D6578" s="26"/>
      <c r="E6578" s="27"/>
      <c r="F6578" s="27"/>
      <c r="G6578" s="27" t="s">
        <v>11122</v>
      </c>
      <c r="H6578" s="27" t="s">
        <v>35</v>
      </c>
      <c r="I6578" s="27" t="s">
        <v>38</v>
      </c>
      <c r="J6578" s="28" t="s">
        <v>636</v>
      </c>
      <c r="K6578" s="27" t="s">
        <v>37</v>
      </c>
      <c r="L6578" s="27"/>
    </row>
    <row r="6579" customFormat="false" ht="15" hidden="false" customHeight="false" outlineLevel="0" collapsed="false">
      <c r="A6579" s="26" t="s">
        <v>18096</v>
      </c>
      <c r="B6579" s="27" t="s">
        <v>18097</v>
      </c>
      <c r="C6579" s="27" t="s">
        <v>144</v>
      </c>
      <c r="D6579" s="26"/>
      <c r="E6579" s="27"/>
      <c r="F6579" s="27"/>
      <c r="G6579" s="27" t="s">
        <v>11122</v>
      </c>
      <c r="H6579" s="27" t="s">
        <v>35</v>
      </c>
      <c r="I6579" s="27" t="s">
        <v>37</v>
      </c>
      <c r="J6579" s="28" t="s">
        <v>636</v>
      </c>
      <c r="K6579" s="27" t="s">
        <v>37</v>
      </c>
      <c r="L6579" s="27"/>
    </row>
    <row r="6580" customFormat="false" ht="15" hidden="false" customHeight="false" outlineLevel="0" collapsed="false">
      <c r="A6580" s="26" t="s">
        <v>18098</v>
      </c>
      <c r="B6580" s="27" t="s">
        <v>18099</v>
      </c>
      <c r="C6580" s="27" t="s">
        <v>144</v>
      </c>
      <c r="D6580" s="26"/>
      <c r="E6580" s="27"/>
      <c r="F6580" s="27"/>
      <c r="G6580" s="27" t="s">
        <v>11122</v>
      </c>
      <c r="H6580" s="27" t="s">
        <v>35</v>
      </c>
      <c r="I6580" s="27" t="s">
        <v>39</v>
      </c>
      <c r="J6580" s="28" t="s">
        <v>636</v>
      </c>
      <c r="K6580" s="27" t="s">
        <v>37</v>
      </c>
      <c r="L6580" s="27"/>
    </row>
    <row r="6581" customFormat="false" ht="15" hidden="false" customHeight="false" outlineLevel="0" collapsed="false">
      <c r="A6581" s="26" t="s">
        <v>18100</v>
      </c>
      <c r="B6581" s="27" t="s">
        <v>18101</v>
      </c>
      <c r="C6581" s="27" t="s">
        <v>144</v>
      </c>
      <c r="D6581" s="26"/>
      <c r="E6581" s="27"/>
      <c r="F6581" s="27"/>
      <c r="G6581" s="27" t="s">
        <v>11122</v>
      </c>
      <c r="H6581" s="27" t="s">
        <v>35</v>
      </c>
      <c r="I6581" s="27" t="s">
        <v>37</v>
      </c>
      <c r="J6581" s="28" t="s">
        <v>636</v>
      </c>
      <c r="K6581" s="27" t="s">
        <v>37</v>
      </c>
      <c r="L6581" s="27"/>
    </row>
    <row r="6582" customFormat="false" ht="15" hidden="false" customHeight="false" outlineLevel="0" collapsed="false">
      <c r="A6582" s="26" t="s">
        <v>18102</v>
      </c>
      <c r="B6582" s="27" t="s">
        <v>18103</v>
      </c>
      <c r="C6582" s="27" t="s">
        <v>144</v>
      </c>
      <c r="D6582" s="26"/>
      <c r="E6582" s="27"/>
      <c r="F6582" s="27"/>
      <c r="G6582" s="27" t="s">
        <v>11122</v>
      </c>
      <c r="H6582" s="27" t="s">
        <v>35</v>
      </c>
      <c r="I6582" s="27" t="s">
        <v>41</v>
      </c>
      <c r="J6582" s="28" t="s">
        <v>636</v>
      </c>
      <c r="K6582" s="27" t="s">
        <v>37</v>
      </c>
      <c r="L6582" s="27"/>
    </row>
    <row r="6583" customFormat="false" ht="15" hidden="false" customHeight="false" outlineLevel="0" collapsed="false">
      <c r="A6583" s="26" t="s">
        <v>18104</v>
      </c>
      <c r="B6583" s="27" t="s">
        <v>18105</v>
      </c>
      <c r="C6583" s="27" t="s">
        <v>144</v>
      </c>
      <c r="D6583" s="26"/>
      <c r="E6583" s="27"/>
      <c r="F6583" s="27"/>
      <c r="G6583" s="27" t="s">
        <v>11122</v>
      </c>
      <c r="H6583" s="27" t="s">
        <v>35</v>
      </c>
      <c r="I6583" s="27" t="s">
        <v>41</v>
      </c>
      <c r="J6583" s="28" t="s">
        <v>636</v>
      </c>
      <c r="K6583" s="27" t="s">
        <v>37</v>
      </c>
      <c r="L6583" s="27"/>
    </row>
    <row r="6584" customFormat="false" ht="15" hidden="false" customHeight="false" outlineLevel="0" collapsed="false">
      <c r="A6584" s="26" t="s">
        <v>18106</v>
      </c>
      <c r="B6584" s="27" t="s">
        <v>18107</v>
      </c>
      <c r="C6584" s="27" t="s">
        <v>144</v>
      </c>
      <c r="D6584" s="26"/>
      <c r="E6584" s="27"/>
      <c r="F6584" s="27"/>
      <c r="G6584" s="27" t="s">
        <v>11122</v>
      </c>
      <c r="H6584" s="27" t="s">
        <v>35</v>
      </c>
      <c r="I6584" s="27" t="s">
        <v>37</v>
      </c>
      <c r="J6584" s="28" t="s">
        <v>636</v>
      </c>
      <c r="K6584" s="27" t="s">
        <v>37</v>
      </c>
      <c r="L6584" s="27"/>
    </row>
    <row r="6585" customFormat="false" ht="15" hidden="false" customHeight="false" outlineLevel="0" collapsed="false">
      <c r="A6585" s="26" t="s">
        <v>18108</v>
      </c>
      <c r="B6585" s="27" t="s">
        <v>18109</v>
      </c>
      <c r="C6585" s="27" t="s">
        <v>144</v>
      </c>
      <c r="D6585" s="26"/>
      <c r="E6585" s="27"/>
      <c r="F6585" s="27"/>
      <c r="G6585" s="27" t="s">
        <v>11122</v>
      </c>
      <c r="H6585" s="27" t="s">
        <v>35</v>
      </c>
      <c r="I6585" s="27" t="s">
        <v>41</v>
      </c>
      <c r="J6585" s="28" t="s">
        <v>636</v>
      </c>
      <c r="K6585" s="27" t="s">
        <v>37</v>
      </c>
      <c r="L6585" s="27"/>
    </row>
    <row r="6586" customFormat="false" ht="15" hidden="false" customHeight="false" outlineLevel="0" collapsed="false">
      <c r="A6586" s="26" t="s">
        <v>18110</v>
      </c>
      <c r="B6586" s="27" t="s">
        <v>18111</v>
      </c>
      <c r="C6586" s="27" t="s">
        <v>144</v>
      </c>
      <c r="D6586" s="26"/>
      <c r="E6586" s="27"/>
      <c r="F6586" s="27"/>
      <c r="G6586" s="27" t="s">
        <v>11122</v>
      </c>
      <c r="H6586" s="27" t="s">
        <v>35</v>
      </c>
      <c r="I6586" s="27" t="s">
        <v>37</v>
      </c>
      <c r="J6586" s="28" t="s">
        <v>636</v>
      </c>
      <c r="K6586" s="27" t="s">
        <v>37</v>
      </c>
      <c r="L6586" s="27"/>
    </row>
    <row r="6587" customFormat="false" ht="15" hidden="false" customHeight="false" outlineLevel="0" collapsed="false">
      <c r="A6587" s="26" t="s">
        <v>18112</v>
      </c>
      <c r="B6587" s="27" t="s">
        <v>18113</v>
      </c>
      <c r="C6587" s="27" t="s">
        <v>144</v>
      </c>
      <c r="D6587" s="26"/>
      <c r="E6587" s="27"/>
      <c r="F6587" s="27"/>
      <c r="G6587" s="27" t="s">
        <v>11122</v>
      </c>
      <c r="H6587" s="27" t="s">
        <v>35</v>
      </c>
      <c r="I6587" s="27" t="s">
        <v>37</v>
      </c>
      <c r="J6587" s="28" t="s">
        <v>636</v>
      </c>
      <c r="K6587" s="27" t="s">
        <v>37</v>
      </c>
      <c r="L6587" s="27"/>
    </row>
    <row r="6588" customFormat="false" ht="15" hidden="false" customHeight="false" outlineLevel="0" collapsed="false">
      <c r="A6588" s="26" t="s">
        <v>18114</v>
      </c>
      <c r="B6588" s="27" t="s">
        <v>18115</v>
      </c>
      <c r="C6588" s="27" t="s">
        <v>144</v>
      </c>
      <c r="D6588" s="26"/>
      <c r="E6588" s="27"/>
      <c r="F6588" s="27"/>
      <c r="G6588" s="27" t="s">
        <v>11122</v>
      </c>
      <c r="H6588" s="27" t="s">
        <v>35</v>
      </c>
      <c r="I6588" s="27" t="s">
        <v>38</v>
      </c>
      <c r="J6588" s="28" t="s">
        <v>636</v>
      </c>
      <c r="K6588" s="27" t="s">
        <v>37</v>
      </c>
      <c r="L6588" s="27"/>
    </row>
    <row r="6589" customFormat="false" ht="15" hidden="false" customHeight="false" outlineLevel="0" collapsed="false">
      <c r="A6589" s="26" t="s">
        <v>18116</v>
      </c>
      <c r="B6589" s="27" t="s">
        <v>18117</v>
      </c>
      <c r="C6589" s="27" t="s">
        <v>144</v>
      </c>
      <c r="D6589" s="26"/>
      <c r="E6589" s="27"/>
      <c r="F6589" s="27"/>
      <c r="G6589" s="27" t="s">
        <v>11122</v>
      </c>
      <c r="H6589" s="27" t="s">
        <v>35</v>
      </c>
      <c r="I6589" s="27" t="s">
        <v>37</v>
      </c>
      <c r="J6589" s="28" t="s">
        <v>636</v>
      </c>
      <c r="K6589" s="27" t="s">
        <v>37</v>
      </c>
      <c r="L6589" s="27"/>
    </row>
    <row r="6590" customFormat="false" ht="15" hidden="false" customHeight="false" outlineLevel="0" collapsed="false">
      <c r="A6590" s="26" t="s">
        <v>18118</v>
      </c>
      <c r="B6590" s="27" t="s">
        <v>18119</v>
      </c>
      <c r="C6590" s="27" t="s">
        <v>144</v>
      </c>
      <c r="D6590" s="26"/>
      <c r="E6590" s="27"/>
      <c r="F6590" s="27"/>
      <c r="G6590" s="27" t="s">
        <v>11122</v>
      </c>
      <c r="H6590" s="27" t="s">
        <v>35</v>
      </c>
      <c r="I6590" s="27" t="s">
        <v>39</v>
      </c>
      <c r="J6590" s="28" t="s">
        <v>636</v>
      </c>
      <c r="K6590" s="27" t="s">
        <v>37</v>
      </c>
      <c r="L6590" s="27"/>
    </row>
    <row r="6591" customFormat="false" ht="15" hidden="false" customHeight="false" outlineLevel="0" collapsed="false">
      <c r="A6591" s="26" t="s">
        <v>18120</v>
      </c>
      <c r="B6591" s="27" t="s">
        <v>18121</v>
      </c>
      <c r="C6591" s="27" t="s">
        <v>144</v>
      </c>
      <c r="D6591" s="26"/>
      <c r="E6591" s="27"/>
      <c r="F6591" s="27"/>
      <c r="G6591" s="27" t="s">
        <v>11122</v>
      </c>
      <c r="H6591" s="27" t="s">
        <v>35</v>
      </c>
      <c r="I6591" s="27" t="s">
        <v>40</v>
      </c>
      <c r="J6591" s="28" t="s">
        <v>636</v>
      </c>
      <c r="K6591" s="27" t="s">
        <v>37</v>
      </c>
      <c r="L6591" s="27"/>
    </row>
    <row r="6592" customFormat="false" ht="15" hidden="false" customHeight="false" outlineLevel="0" collapsed="false">
      <c r="A6592" s="26" t="s">
        <v>18122</v>
      </c>
      <c r="B6592" s="27" t="s">
        <v>18123</v>
      </c>
      <c r="C6592" s="27" t="s">
        <v>144</v>
      </c>
      <c r="D6592" s="26"/>
      <c r="E6592" s="27"/>
      <c r="F6592" s="27"/>
      <c r="G6592" s="27" t="s">
        <v>11122</v>
      </c>
      <c r="H6592" s="27" t="s">
        <v>35</v>
      </c>
      <c r="I6592" s="27" t="s">
        <v>40</v>
      </c>
      <c r="J6592" s="28" t="s">
        <v>636</v>
      </c>
      <c r="K6592" s="27" t="s">
        <v>37</v>
      </c>
      <c r="L6592" s="27"/>
    </row>
    <row r="6593" customFormat="false" ht="15" hidden="false" customHeight="false" outlineLevel="0" collapsed="false">
      <c r="A6593" s="26" t="s">
        <v>18124</v>
      </c>
      <c r="B6593" s="27" t="s">
        <v>18125</v>
      </c>
      <c r="C6593" s="27" t="s">
        <v>144</v>
      </c>
      <c r="D6593" s="26"/>
      <c r="E6593" s="27"/>
      <c r="F6593" s="27"/>
      <c r="G6593" s="27" t="s">
        <v>11122</v>
      </c>
      <c r="H6593" s="27" t="s">
        <v>35</v>
      </c>
      <c r="I6593" s="27" t="s">
        <v>40</v>
      </c>
      <c r="J6593" s="28" t="s">
        <v>636</v>
      </c>
      <c r="K6593" s="27" t="s">
        <v>37</v>
      </c>
      <c r="L6593" s="27"/>
    </row>
    <row r="6594" customFormat="false" ht="15" hidden="false" customHeight="false" outlineLevel="0" collapsed="false">
      <c r="A6594" s="26" t="s">
        <v>18126</v>
      </c>
      <c r="B6594" s="27" t="s">
        <v>18127</v>
      </c>
      <c r="C6594" s="27" t="s">
        <v>144</v>
      </c>
      <c r="D6594" s="26"/>
      <c r="E6594" s="27"/>
      <c r="F6594" s="27"/>
      <c r="G6594" s="27" t="s">
        <v>11122</v>
      </c>
      <c r="H6594" s="27" t="s">
        <v>35</v>
      </c>
      <c r="I6594" s="27" t="s">
        <v>38</v>
      </c>
      <c r="J6594" s="28" t="s">
        <v>636</v>
      </c>
      <c r="K6594" s="27" t="s">
        <v>37</v>
      </c>
      <c r="L6594" s="27"/>
    </row>
    <row r="6595" customFormat="false" ht="15" hidden="false" customHeight="false" outlineLevel="0" collapsed="false">
      <c r="A6595" s="26" t="s">
        <v>18128</v>
      </c>
      <c r="B6595" s="27" t="s">
        <v>18129</v>
      </c>
      <c r="C6595" s="27" t="s">
        <v>144</v>
      </c>
      <c r="D6595" s="26"/>
      <c r="E6595" s="27"/>
      <c r="F6595" s="27"/>
      <c r="G6595" s="27" t="s">
        <v>11122</v>
      </c>
      <c r="H6595" s="27" t="s">
        <v>35</v>
      </c>
      <c r="I6595" s="27" t="s">
        <v>38</v>
      </c>
      <c r="J6595" s="28" t="s">
        <v>636</v>
      </c>
      <c r="K6595" s="27" t="s">
        <v>37</v>
      </c>
      <c r="L6595" s="27"/>
    </row>
    <row r="6596" customFormat="false" ht="15" hidden="false" customHeight="false" outlineLevel="0" collapsed="false">
      <c r="A6596" s="26" t="s">
        <v>18130</v>
      </c>
      <c r="B6596" s="27" t="s">
        <v>18131</v>
      </c>
      <c r="C6596" s="27" t="s">
        <v>144</v>
      </c>
      <c r="D6596" s="26"/>
      <c r="E6596" s="27"/>
      <c r="F6596" s="27"/>
      <c r="G6596" s="27" t="s">
        <v>11122</v>
      </c>
      <c r="H6596" s="27" t="s">
        <v>35</v>
      </c>
      <c r="I6596" s="27" t="s">
        <v>37</v>
      </c>
      <c r="J6596" s="28" t="s">
        <v>636</v>
      </c>
      <c r="K6596" s="27" t="s">
        <v>37</v>
      </c>
      <c r="L6596" s="27"/>
    </row>
    <row r="6597" customFormat="false" ht="15" hidden="false" customHeight="false" outlineLevel="0" collapsed="false">
      <c r="A6597" s="26" t="s">
        <v>18132</v>
      </c>
      <c r="B6597" s="27" t="s">
        <v>18133</v>
      </c>
      <c r="C6597" s="27" t="s">
        <v>144</v>
      </c>
      <c r="D6597" s="26"/>
      <c r="E6597" s="27"/>
      <c r="F6597" s="27"/>
      <c r="G6597" s="27" t="s">
        <v>11122</v>
      </c>
      <c r="H6597" s="27" t="s">
        <v>35</v>
      </c>
      <c r="I6597" s="27" t="s">
        <v>37</v>
      </c>
      <c r="J6597" s="28" t="s">
        <v>636</v>
      </c>
      <c r="K6597" s="27" t="s">
        <v>37</v>
      </c>
      <c r="L6597" s="27"/>
    </row>
    <row r="6598" customFormat="false" ht="15" hidden="false" customHeight="false" outlineLevel="0" collapsed="false">
      <c r="A6598" s="26" t="s">
        <v>18134</v>
      </c>
      <c r="B6598" s="27" t="s">
        <v>18135</v>
      </c>
      <c r="C6598" s="27" t="s">
        <v>144</v>
      </c>
      <c r="D6598" s="26"/>
      <c r="E6598" s="27"/>
      <c r="F6598" s="27"/>
      <c r="G6598" s="27" t="s">
        <v>11122</v>
      </c>
      <c r="H6598" s="27" t="s">
        <v>35</v>
      </c>
      <c r="I6598" s="27" t="s">
        <v>43</v>
      </c>
      <c r="J6598" s="28" t="s">
        <v>636</v>
      </c>
      <c r="K6598" s="27" t="s">
        <v>37</v>
      </c>
      <c r="L6598" s="27"/>
    </row>
    <row r="6599" customFormat="false" ht="15" hidden="false" customHeight="false" outlineLevel="0" collapsed="false">
      <c r="A6599" s="26" t="s">
        <v>18136</v>
      </c>
      <c r="B6599" s="27" t="s">
        <v>18137</v>
      </c>
      <c r="C6599" s="27" t="s">
        <v>144</v>
      </c>
      <c r="D6599" s="26"/>
      <c r="E6599" s="27"/>
      <c r="F6599" s="27"/>
      <c r="G6599" s="27" t="s">
        <v>11122</v>
      </c>
      <c r="H6599" s="27" t="s">
        <v>35</v>
      </c>
      <c r="I6599" s="27" t="s">
        <v>39</v>
      </c>
      <c r="J6599" s="28" t="s">
        <v>636</v>
      </c>
      <c r="K6599" s="27" t="s">
        <v>37</v>
      </c>
      <c r="L6599" s="27"/>
    </row>
    <row r="6600" customFormat="false" ht="15" hidden="false" customHeight="false" outlineLevel="0" collapsed="false">
      <c r="A6600" s="26" t="s">
        <v>18138</v>
      </c>
      <c r="B6600" s="27" t="s">
        <v>18139</v>
      </c>
      <c r="C6600" s="27" t="s">
        <v>144</v>
      </c>
      <c r="D6600" s="26"/>
      <c r="E6600" s="27"/>
      <c r="F6600" s="27"/>
      <c r="G6600" s="27" t="s">
        <v>11122</v>
      </c>
      <c r="H6600" s="27" t="s">
        <v>35</v>
      </c>
      <c r="I6600" s="27" t="s">
        <v>37</v>
      </c>
      <c r="J6600" s="28" t="s">
        <v>636</v>
      </c>
      <c r="K6600" s="27" t="s">
        <v>37</v>
      </c>
      <c r="L6600" s="27"/>
    </row>
    <row r="6601" customFormat="false" ht="15" hidden="false" customHeight="false" outlineLevel="0" collapsed="false">
      <c r="A6601" s="26" t="s">
        <v>18140</v>
      </c>
      <c r="B6601" s="27" t="s">
        <v>18141</v>
      </c>
      <c r="C6601" s="27" t="s">
        <v>144</v>
      </c>
      <c r="D6601" s="26"/>
      <c r="E6601" s="27"/>
      <c r="F6601" s="27"/>
      <c r="G6601" s="27" t="s">
        <v>11122</v>
      </c>
      <c r="H6601" s="27" t="s">
        <v>35</v>
      </c>
      <c r="I6601" s="27" t="s">
        <v>37</v>
      </c>
      <c r="J6601" s="28" t="s">
        <v>636</v>
      </c>
      <c r="K6601" s="27" t="s">
        <v>37</v>
      </c>
      <c r="L6601" s="27"/>
    </row>
    <row r="6602" customFormat="false" ht="15" hidden="false" customHeight="false" outlineLevel="0" collapsed="false">
      <c r="A6602" s="26" t="s">
        <v>18142</v>
      </c>
      <c r="B6602" s="27" t="s">
        <v>18143</v>
      </c>
      <c r="C6602" s="27" t="s">
        <v>144</v>
      </c>
      <c r="D6602" s="26"/>
      <c r="E6602" s="27"/>
      <c r="F6602" s="27"/>
      <c r="G6602" s="27" t="s">
        <v>11122</v>
      </c>
      <c r="H6602" s="27" t="s">
        <v>35</v>
      </c>
      <c r="I6602" s="27" t="s">
        <v>43</v>
      </c>
      <c r="J6602" s="28" t="s">
        <v>636</v>
      </c>
      <c r="K6602" s="27" t="s">
        <v>37</v>
      </c>
      <c r="L6602" s="27"/>
    </row>
    <row r="6603" customFormat="false" ht="15" hidden="false" customHeight="false" outlineLevel="0" collapsed="false">
      <c r="A6603" s="26" t="s">
        <v>18144</v>
      </c>
      <c r="B6603" s="27" t="s">
        <v>18145</v>
      </c>
      <c r="C6603" s="27" t="s">
        <v>144</v>
      </c>
      <c r="D6603" s="26"/>
      <c r="E6603" s="27"/>
      <c r="F6603" s="27"/>
      <c r="G6603" s="27" t="s">
        <v>11122</v>
      </c>
      <c r="H6603" s="27" t="s">
        <v>35</v>
      </c>
      <c r="I6603" s="27" t="s">
        <v>43</v>
      </c>
      <c r="J6603" s="28" t="s">
        <v>636</v>
      </c>
      <c r="K6603" s="27" t="s">
        <v>37</v>
      </c>
      <c r="L6603" s="27"/>
    </row>
    <row r="6604" customFormat="false" ht="15" hidden="false" customHeight="false" outlineLevel="0" collapsed="false">
      <c r="A6604" s="26" t="s">
        <v>18146</v>
      </c>
      <c r="B6604" s="27" t="s">
        <v>18147</v>
      </c>
      <c r="C6604" s="27" t="s">
        <v>144</v>
      </c>
      <c r="D6604" s="26"/>
      <c r="E6604" s="27"/>
      <c r="F6604" s="27"/>
      <c r="G6604" s="27" t="s">
        <v>11122</v>
      </c>
      <c r="H6604" s="27" t="s">
        <v>35</v>
      </c>
      <c r="I6604" s="27" t="s">
        <v>43</v>
      </c>
      <c r="J6604" s="28" t="s">
        <v>636</v>
      </c>
      <c r="K6604" s="27" t="s">
        <v>37</v>
      </c>
      <c r="L6604" s="27"/>
    </row>
    <row r="6605" customFormat="false" ht="15" hidden="false" customHeight="false" outlineLevel="0" collapsed="false">
      <c r="A6605" s="26" t="s">
        <v>18148</v>
      </c>
      <c r="B6605" s="27" t="s">
        <v>18149</v>
      </c>
      <c r="C6605" s="27" t="s">
        <v>144</v>
      </c>
      <c r="D6605" s="26"/>
      <c r="E6605" s="27"/>
      <c r="F6605" s="27"/>
      <c r="G6605" s="27" t="s">
        <v>11122</v>
      </c>
      <c r="H6605" s="27" t="s">
        <v>35</v>
      </c>
      <c r="I6605" s="27" t="s">
        <v>37</v>
      </c>
      <c r="J6605" s="28" t="s">
        <v>636</v>
      </c>
      <c r="K6605" s="27" t="s">
        <v>37</v>
      </c>
      <c r="L6605" s="27"/>
    </row>
    <row r="6606" customFormat="false" ht="15" hidden="false" customHeight="false" outlineLevel="0" collapsed="false">
      <c r="A6606" s="26" t="s">
        <v>18150</v>
      </c>
      <c r="B6606" s="27" t="s">
        <v>18151</v>
      </c>
      <c r="C6606" s="27" t="s">
        <v>144</v>
      </c>
      <c r="D6606" s="26"/>
      <c r="E6606" s="27"/>
      <c r="F6606" s="27"/>
      <c r="G6606" s="27" t="s">
        <v>11122</v>
      </c>
      <c r="H6606" s="27" t="s">
        <v>35</v>
      </c>
      <c r="I6606" s="27" t="s">
        <v>37</v>
      </c>
      <c r="J6606" s="28" t="s">
        <v>636</v>
      </c>
      <c r="K6606" s="27" t="s">
        <v>37</v>
      </c>
      <c r="L6606" s="27"/>
    </row>
    <row r="6607" customFormat="false" ht="15" hidden="false" customHeight="false" outlineLevel="0" collapsed="false">
      <c r="A6607" s="26" t="s">
        <v>18152</v>
      </c>
      <c r="B6607" s="27" t="s">
        <v>18153</v>
      </c>
      <c r="C6607" s="27" t="s">
        <v>144</v>
      </c>
      <c r="D6607" s="26"/>
      <c r="E6607" s="27"/>
      <c r="F6607" s="27"/>
      <c r="G6607" s="27" t="s">
        <v>11122</v>
      </c>
      <c r="H6607" s="27" t="s">
        <v>35</v>
      </c>
      <c r="I6607" s="27" t="s">
        <v>37</v>
      </c>
      <c r="J6607" s="28" t="s">
        <v>636</v>
      </c>
      <c r="K6607" s="27" t="s">
        <v>37</v>
      </c>
      <c r="L6607" s="27"/>
    </row>
    <row r="6608" customFormat="false" ht="15" hidden="false" customHeight="false" outlineLevel="0" collapsed="false">
      <c r="A6608" s="26" t="s">
        <v>18154</v>
      </c>
      <c r="B6608" s="27" t="s">
        <v>18155</v>
      </c>
      <c r="C6608" s="27" t="s">
        <v>144</v>
      </c>
      <c r="D6608" s="26"/>
      <c r="E6608" s="27"/>
      <c r="F6608" s="27"/>
      <c r="G6608" s="27" t="s">
        <v>11122</v>
      </c>
      <c r="H6608" s="27" t="s">
        <v>35</v>
      </c>
      <c r="I6608" s="27" t="s">
        <v>47</v>
      </c>
      <c r="J6608" s="28" t="s">
        <v>636</v>
      </c>
      <c r="K6608" s="27" t="s">
        <v>37</v>
      </c>
      <c r="L6608" s="27"/>
    </row>
    <row r="6609" customFormat="false" ht="15" hidden="false" customHeight="false" outlineLevel="0" collapsed="false">
      <c r="A6609" s="26" t="s">
        <v>18156</v>
      </c>
      <c r="B6609" s="27" t="s">
        <v>18157</v>
      </c>
      <c r="C6609" s="27" t="s">
        <v>144</v>
      </c>
      <c r="D6609" s="26"/>
      <c r="E6609" s="27"/>
      <c r="F6609" s="27"/>
      <c r="G6609" s="27" t="s">
        <v>11122</v>
      </c>
      <c r="H6609" s="27" t="s">
        <v>35</v>
      </c>
      <c r="I6609" s="27" t="s">
        <v>37</v>
      </c>
      <c r="J6609" s="28" t="s">
        <v>636</v>
      </c>
      <c r="K6609" s="27" t="s">
        <v>37</v>
      </c>
      <c r="L6609" s="27"/>
    </row>
    <row r="6610" customFormat="false" ht="15" hidden="false" customHeight="false" outlineLevel="0" collapsed="false">
      <c r="A6610" s="26" t="s">
        <v>18158</v>
      </c>
      <c r="B6610" s="27" t="s">
        <v>18159</v>
      </c>
      <c r="C6610" s="27" t="s">
        <v>144</v>
      </c>
      <c r="D6610" s="26"/>
      <c r="E6610" s="27"/>
      <c r="F6610" s="27"/>
      <c r="G6610" s="27" t="s">
        <v>11122</v>
      </c>
      <c r="H6610" s="27" t="s">
        <v>35</v>
      </c>
      <c r="I6610" s="27" t="s">
        <v>39</v>
      </c>
      <c r="J6610" s="28" t="s">
        <v>636</v>
      </c>
      <c r="K6610" s="27" t="s">
        <v>37</v>
      </c>
      <c r="L6610" s="27"/>
    </row>
    <row r="6611" customFormat="false" ht="15" hidden="false" customHeight="false" outlineLevel="0" collapsed="false">
      <c r="A6611" s="26" t="s">
        <v>18160</v>
      </c>
      <c r="B6611" s="27" t="s">
        <v>18161</v>
      </c>
      <c r="C6611" s="27" t="s">
        <v>144</v>
      </c>
      <c r="D6611" s="26"/>
      <c r="E6611" s="27"/>
      <c r="F6611" s="27"/>
      <c r="G6611" s="27" t="s">
        <v>11122</v>
      </c>
      <c r="H6611" s="27" t="s">
        <v>35</v>
      </c>
      <c r="I6611" s="27" t="s">
        <v>40</v>
      </c>
      <c r="J6611" s="28" t="s">
        <v>636</v>
      </c>
      <c r="K6611" s="27" t="s">
        <v>37</v>
      </c>
      <c r="L6611" s="27"/>
    </row>
    <row r="6612" customFormat="false" ht="15" hidden="false" customHeight="false" outlineLevel="0" collapsed="false">
      <c r="A6612" s="26" t="s">
        <v>18162</v>
      </c>
      <c r="B6612" s="27" t="s">
        <v>18163</v>
      </c>
      <c r="C6612" s="27" t="s">
        <v>144</v>
      </c>
      <c r="D6612" s="26"/>
      <c r="E6612" s="27"/>
      <c r="F6612" s="27"/>
      <c r="G6612" s="27" t="s">
        <v>11122</v>
      </c>
      <c r="H6612" s="27" t="s">
        <v>35</v>
      </c>
      <c r="I6612" s="27" t="s">
        <v>37</v>
      </c>
      <c r="J6612" s="28" t="s">
        <v>636</v>
      </c>
      <c r="K6612" s="27" t="s">
        <v>37</v>
      </c>
      <c r="L6612" s="27"/>
    </row>
    <row r="6613" customFormat="false" ht="15" hidden="false" customHeight="false" outlineLevel="0" collapsed="false">
      <c r="A6613" s="26" t="s">
        <v>18164</v>
      </c>
      <c r="B6613" s="27" t="s">
        <v>18165</v>
      </c>
      <c r="C6613" s="27" t="s">
        <v>144</v>
      </c>
      <c r="D6613" s="26"/>
      <c r="E6613" s="27"/>
      <c r="F6613" s="27"/>
      <c r="G6613" s="27" t="s">
        <v>11122</v>
      </c>
      <c r="H6613" s="27" t="s">
        <v>35</v>
      </c>
      <c r="I6613" s="27" t="s">
        <v>37</v>
      </c>
      <c r="J6613" s="28" t="s">
        <v>636</v>
      </c>
      <c r="K6613" s="27" t="s">
        <v>37</v>
      </c>
      <c r="L6613" s="27"/>
    </row>
    <row r="6614" customFormat="false" ht="15" hidden="false" customHeight="false" outlineLevel="0" collapsed="false">
      <c r="A6614" s="26" t="s">
        <v>18166</v>
      </c>
      <c r="B6614" s="27" t="s">
        <v>18167</v>
      </c>
      <c r="C6614" s="27" t="s">
        <v>144</v>
      </c>
      <c r="D6614" s="26"/>
      <c r="E6614" s="27"/>
      <c r="F6614" s="27"/>
      <c r="G6614" s="27" t="s">
        <v>11122</v>
      </c>
      <c r="H6614" s="27" t="s">
        <v>35</v>
      </c>
      <c r="I6614" s="27" t="s">
        <v>37</v>
      </c>
      <c r="J6614" s="28" t="s">
        <v>636</v>
      </c>
      <c r="K6614" s="27" t="s">
        <v>37</v>
      </c>
      <c r="L6614" s="27"/>
    </row>
    <row r="6615" customFormat="false" ht="15" hidden="false" customHeight="false" outlineLevel="0" collapsed="false">
      <c r="A6615" s="26" t="s">
        <v>18168</v>
      </c>
      <c r="B6615" s="27" t="s">
        <v>18169</v>
      </c>
      <c r="C6615" s="27" t="s">
        <v>144</v>
      </c>
      <c r="D6615" s="26"/>
      <c r="E6615" s="27"/>
      <c r="F6615" s="27"/>
      <c r="G6615" s="27" t="s">
        <v>11122</v>
      </c>
      <c r="H6615" s="27" t="s">
        <v>35</v>
      </c>
      <c r="I6615" s="27" t="s">
        <v>38</v>
      </c>
      <c r="J6615" s="28" t="s">
        <v>636</v>
      </c>
      <c r="K6615" s="27" t="s">
        <v>37</v>
      </c>
      <c r="L6615" s="27"/>
    </row>
    <row r="6616" customFormat="false" ht="15" hidden="false" customHeight="false" outlineLevel="0" collapsed="false">
      <c r="A6616" s="26" t="s">
        <v>18170</v>
      </c>
      <c r="B6616" s="27" t="s">
        <v>18171</v>
      </c>
      <c r="C6616" s="27" t="s">
        <v>144</v>
      </c>
      <c r="D6616" s="26"/>
      <c r="E6616" s="27"/>
      <c r="F6616" s="27"/>
      <c r="G6616" s="27" t="s">
        <v>11122</v>
      </c>
      <c r="H6616" s="27" t="s">
        <v>35</v>
      </c>
      <c r="I6616" s="27" t="s">
        <v>37</v>
      </c>
      <c r="J6616" s="28" t="s">
        <v>636</v>
      </c>
      <c r="K6616" s="27" t="s">
        <v>37</v>
      </c>
      <c r="L6616" s="27"/>
    </row>
    <row r="6617" customFormat="false" ht="15" hidden="false" customHeight="false" outlineLevel="0" collapsed="false">
      <c r="A6617" s="26" t="s">
        <v>18172</v>
      </c>
      <c r="B6617" s="27" t="s">
        <v>18173</v>
      </c>
      <c r="C6617" s="27" t="s">
        <v>144</v>
      </c>
      <c r="D6617" s="26"/>
      <c r="E6617" s="27"/>
      <c r="F6617" s="27"/>
      <c r="G6617" s="27" t="s">
        <v>11122</v>
      </c>
      <c r="H6617" s="27" t="s">
        <v>35</v>
      </c>
      <c r="I6617" s="27" t="s">
        <v>43</v>
      </c>
      <c r="J6617" s="28" t="s">
        <v>636</v>
      </c>
      <c r="K6617" s="27" t="s">
        <v>37</v>
      </c>
      <c r="L6617" s="27"/>
    </row>
    <row r="6618" customFormat="false" ht="15" hidden="false" customHeight="false" outlineLevel="0" collapsed="false">
      <c r="A6618" s="26" t="s">
        <v>18174</v>
      </c>
      <c r="B6618" s="27" t="s">
        <v>18175</v>
      </c>
      <c r="C6618" s="27" t="s">
        <v>144</v>
      </c>
      <c r="D6618" s="26"/>
      <c r="E6618" s="27"/>
      <c r="F6618" s="27"/>
      <c r="G6618" s="27" t="s">
        <v>11122</v>
      </c>
      <c r="H6618" s="27" t="s">
        <v>35</v>
      </c>
      <c r="I6618" s="27" t="s">
        <v>39</v>
      </c>
      <c r="J6618" s="28" t="s">
        <v>636</v>
      </c>
      <c r="K6618" s="27" t="s">
        <v>37</v>
      </c>
      <c r="L6618" s="27"/>
    </row>
    <row r="6619" customFormat="false" ht="15" hidden="false" customHeight="false" outlineLevel="0" collapsed="false">
      <c r="A6619" s="26" t="s">
        <v>18176</v>
      </c>
      <c r="B6619" s="27" t="s">
        <v>18177</v>
      </c>
      <c r="C6619" s="27" t="s">
        <v>144</v>
      </c>
      <c r="D6619" s="26"/>
      <c r="E6619" s="27"/>
      <c r="F6619" s="27"/>
      <c r="G6619" s="27" t="s">
        <v>11122</v>
      </c>
      <c r="H6619" s="27" t="s">
        <v>35</v>
      </c>
      <c r="I6619" s="27" t="s">
        <v>37</v>
      </c>
      <c r="J6619" s="28" t="s">
        <v>636</v>
      </c>
      <c r="K6619" s="27" t="s">
        <v>37</v>
      </c>
      <c r="L6619" s="27"/>
    </row>
    <row r="6620" customFormat="false" ht="15" hidden="false" customHeight="false" outlineLevel="0" collapsed="false">
      <c r="A6620" s="26" t="s">
        <v>18178</v>
      </c>
      <c r="B6620" s="27" t="s">
        <v>18179</v>
      </c>
      <c r="C6620" s="27" t="s">
        <v>144</v>
      </c>
      <c r="D6620" s="26"/>
      <c r="E6620" s="27"/>
      <c r="F6620" s="27"/>
      <c r="G6620" s="27" t="s">
        <v>11122</v>
      </c>
      <c r="H6620" s="27" t="s">
        <v>35</v>
      </c>
      <c r="I6620" s="27" t="s">
        <v>38</v>
      </c>
      <c r="J6620" s="28" t="s">
        <v>636</v>
      </c>
      <c r="K6620" s="27" t="s">
        <v>37</v>
      </c>
      <c r="L6620" s="27"/>
    </row>
    <row r="6621" customFormat="false" ht="15" hidden="false" customHeight="false" outlineLevel="0" collapsed="false">
      <c r="A6621" s="26" t="s">
        <v>18180</v>
      </c>
      <c r="B6621" s="27" t="s">
        <v>18181</v>
      </c>
      <c r="C6621" s="27" t="s">
        <v>144</v>
      </c>
      <c r="D6621" s="26"/>
      <c r="E6621" s="27"/>
      <c r="F6621" s="27"/>
      <c r="G6621" s="27" t="s">
        <v>11122</v>
      </c>
      <c r="H6621" s="27" t="s">
        <v>35</v>
      </c>
      <c r="I6621" s="27" t="s">
        <v>41</v>
      </c>
      <c r="J6621" s="28" t="s">
        <v>636</v>
      </c>
      <c r="K6621" s="27" t="s">
        <v>37</v>
      </c>
      <c r="L6621" s="27"/>
    </row>
    <row r="6622" customFormat="false" ht="15" hidden="false" customHeight="false" outlineLevel="0" collapsed="false">
      <c r="A6622" s="26" t="s">
        <v>18182</v>
      </c>
      <c r="B6622" s="27" t="s">
        <v>18183</v>
      </c>
      <c r="C6622" s="27" t="s">
        <v>144</v>
      </c>
      <c r="D6622" s="26"/>
      <c r="E6622" s="27"/>
      <c r="F6622" s="27"/>
      <c r="G6622" s="27" t="s">
        <v>11122</v>
      </c>
      <c r="H6622" s="27" t="s">
        <v>35</v>
      </c>
      <c r="I6622" s="27" t="s">
        <v>41</v>
      </c>
      <c r="J6622" s="28" t="s">
        <v>636</v>
      </c>
      <c r="K6622" s="27" t="s">
        <v>37</v>
      </c>
      <c r="L6622" s="27"/>
    </row>
    <row r="6623" customFormat="false" ht="15" hidden="false" customHeight="false" outlineLevel="0" collapsed="false">
      <c r="A6623" s="26" t="s">
        <v>18184</v>
      </c>
      <c r="B6623" s="27" t="s">
        <v>18185</v>
      </c>
      <c r="C6623" s="27" t="s">
        <v>144</v>
      </c>
      <c r="D6623" s="26"/>
      <c r="E6623" s="27"/>
      <c r="F6623" s="27"/>
      <c r="G6623" s="27" t="s">
        <v>11122</v>
      </c>
      <c r="H6623" s="27" t="s">
        <v>35</v>
      </c>
      <c r="I6623" s="27" t="s">
        <v>41</v>
      </c>
      <c r="J6623" s="28" t="s">
        <v>636</v>
      </c>
      <c r="K6623" s="27" t="s">
        <v>37</v>
      </c>
      <c r="L6623" s="27"/>
    </row>
    <row r="6624" customFormat="false" ht="15" hidden="false" customHeight="false" outlineLevel="0" collapsed="false">
      <c r="A6624" s="26" t="s">
        <v>18186</v>
      </c>
      <c r="B6624" s="27" t="s">
        <v>18187</v>
      </c>
      <c r="C6624" s="27" t="s">
        <v>144</v>
      </c>
      <c r="D6624" s="26"/>
      <c r="E6624" s="27"/>
      <c r="F6624" s="27"/>
      <c r="G6624" s="27" t="s">
        <v>11122</v>
      </c>
      <c r="H6624" s="27" t="s">
        <v>35</v>
      </c>
      <c r="I6624" s="27" t="s">
        <v>42</v>
      </c>
      <c r="J6624" s="28" t="s">
        <v>636</v>
      </c>
      <c r="K6624" s="27" t="s">
        <v>37</v>
      </c>
      <c r="L6624" s="27"/>
    </row>
    <row r="6625" customFormat="false" ht="15" hidden="false" customHeight="false" outlineLevel="0" collapsed="false">
      <c r="A6625" s="26" t="s">
        <v>18188</v>
      </c>
      <c r="B6625" s="27" t="s">
        <v>18189</v>
      </c>
      <c r="C6625" s="27" t="s">
        <v>144</v>
      </c>
      <c r="D6625" s="26"/>
      <c r="E6625" s="27"/>
      <c r="F6625" s="27"/>
      <c r="G6625" s="27" t="s">
        <v>11122</v>
      </c>
      <c r="H6625" s="27" t="s">
        <v>35</v>
      </c>
      <c r="I6625" s="27" t="s">
        <v>37</v>
      </c>
      <c r="J6625" s="28" t="s">
        <v>636</v>
      </c>
      <c r="K6625" s="27" t="s">
        <v>37</v>
      </c>
      <c r="L6625" s="27"/>
    </row>
    <row r="6626" customFormat="false" ht="15" hidden="false" customHeight="false" outlineLevel="0" collapsed="false">
      <c r="A6626" s="26" t="s">
        <v>18190</v>
      </c>
      <c r="B6626" s="27" t="s">
        <v>18191</v>
      </c>
      <c r="C6626" s="27" t="s">
        <v>144</v>
      </c>
      <c r="D6626" s="26"/>
      <c r="E6626" s="27"/>
      <c r="F6626" s="27"/>
      <c r="G6626" s="27" t="s">
        <v>11122</v>
      </c>
      <c r="H6626" s="27" t="s">
        <v>35</v>
      </c>
      <c r="I6626" s="27" t="s">
        <v>37</v>
      </c>
      <c r="J6626" s="28" t="s">
        <v>636</v>
      </c>
      <c r="K6626" s="27" t="s">
        <v>37</v>
      </c>
      <c r="L6626" s="27"/>
    </row>
    <row r="6627" customFormat="false" ht="15" hidden="false" customHeight="false" outlineLevel="0" collapsed="false">
      <c r="A6627" s="26" t="s">
        <v>18192</v>
      </c>
      <c r="B6627" s="27" t="s">
        <v>18193</v>
      </c>
      <c r="C6627" s="27" t="s">
        <v>144</v>
      </c>
      <c r="D6627" s="26"/>
      <c r="E6627" s="27"/>
      <c r="F6627" s="27"/>
      <c r="G6627" s="27" t="s">
        <v>11122</v>
      </c>
      <c r="H6627" s="27" t="s">
        <v>35</v>
      </c>
      <c r="I6627" s="27" t="s">
        <v>38</v>
      </c>
      <c r="J6627" s="28" t="s">
        <v>636</v>
      </c>
      <c r="K6627" s="27" t="s">
        <v>37</v>
      </c>
      <c r="L6627" s="27"/>
    </row>
    <row r="6628" customFormat="false" ht="15" hidden="false" customHeight="false" outlineLevel="0" collapsed="false">
      <c r="A6628" s="26" t="s">
        <v>18194</v>
      </c>
      <c r="B6628" s="27" t="s">
        <v>18195</v>
      </c>
      <c r="C6628" s="27" t="s">
        <v>144</v>
      </c>
      <c r="D6628" s="26"/>
      <c r="E6628" s="27"/>
      <c r="F6628" s="27"/>
      <c r="G6628" s="27" t="s">
        <v>11122</v>
      </c>
      <c r="H6628" s="27" t="s">
        <v>35</v>
      </c>
      <c r="I6628" s="27" t="s">
        <v>38</v>
      </c>
      <c r="J6628" s="28" t="s">
        <v>636</v>
      </c>
      <c r="K6628" s="27" t="s">
        <v>37</v>
      </c>
      <c r="L6628" s="27"/>
    </row>
    <row r="6629" customFormat="false" ht="15" hidden="false" customHeight="false" outlineLevel="0" collapsed="false">
      <c r="A6629" s="26" t="s">
        <v>18196</v>
      </c>
      <c r="B6629" s="27" t="s">
        <v>18197</v>
      </c>
      <c r="C6629" s="27" t="s">
        <v>144</v>
      </c>
      <c r="D6629" s="26"/>
      <c r="E6629" s="27"/>
      <c r="F6629" s="27"/>
      <c r="G6629" s="27" t="s">
        <v>11122</v>
      </c>
      <c r="H6629" s="27" t="s">
        <v>35</v>
      </c>
      <c r="I6629" s="27" t="s">
        <v>38</v>
      </c>
      <c r="J6629" s="28" t="s">
        <v>636</v>
      </c>
      <c r="K6629" s="27" t="s">
        <v>37</v>
      </c>
      <c r="L6629" s="27"/>
    </row>
    <row r="6630" customFormat="false" ht="15" hidden="false" customHeight="false" outlineLevel="0" collapsed="false">
      <c r="A6630" s="26" t="s">
        <v>18198</v>
      </c>
      <c r="B6630" s="27" t="s">
        <v>18199</v>
      </c>
      <c r="C6630" s="27" t="s">
        <v>144</v>
      </c>
      <c r="D6630" s="26"/>
      <c r="E6630" s="27"/>
      <c r="F6630" s="27"/>
      <c r="G6630" s="27" t="s">
        <v>11122</v>
      </c>
      <c r="H6630" s="27" t="s">
        <v>35</v>
      </c>
      <c r="I6630" s="27" t="s">
        <v>38</v>
      </c>
      <c r="J6630" s="28" t="s">
        <v>636</v>
      </c>
      <c r="K6630" s="27" t="s">
        <v>37</v>
      </c>
      <c r="L6630" s="27"/>
    </row>
    <row r="6631" customFormat="false" ht="15" hidden="false" customHeight="false" outlineLevel="0" collapsed="false">
      <c r="A6631" s="26" t="s">
        <v>18200</v>
      </c>
      <c r="B6631" s="27" t="s">
        <v>18201</v>
      </c>
      <c r="C6631" s="27" t="s">
        <v>144</v>
      </c>
      <c r="D6631" s="26"/>
      <c r="E6631" s="27"/>
      <c r="F6631" s="27"/>
      <c r="G6631" s="27" t="s">
        <v>11122</v>
      </c>
      <c r="H6631" s="27" t="s">
        <v>35</v>
      </c>
      <c r="I6631" s="27" t="s">
        <v>38</v>
      </c>
      <c r="J6631" s="28" t="s">
        <v>636</v>
      </c>
      <c r="K6631" s="27" t="s">
        <v>37</v>
      </c>
      <c r="L6631" s="27"/>
    </row>
    <row r="6632" customFormat="false" ht="15" hidden="false" customHeight="false" outlineLevel="0" collapsed="false">
      <c r="A6632" s="26" t="s">
        <v>18202</v>
      </c>
      <c r="B6632" s="27" t="s">
        <v>18203</v>
      </c>
      <c r="C6632" s="27" t="s">
        <v>144</v>
      </c>
      <c r="D6632" s="26"/>
      <c r="E6632" s="27"/>
      <c r="F6632" s="27"/>
      <c r="G6632" s="27" t="s">
        <v>11122</v>
      </c>
      <c r="H6632" s="27" t="s">
        <v>35</v>
      </c>
      <c r="I6632" s="27" t="s">
        <v>38</v>
      </c>
      <c r="J6632" s="28" t="s">
        <v>636</v>
      </c>
      <c r="K6632" s="27" t="s">
        <v>37</v>
      </c>
      <c r="L6632" s="27"/>
    </row>
    <row r="6633" customFormat="false" ht="15" hidden="false" customHeight="false" outlineLevel="0" collapsed="false">
      <c r="A6633" s="26" t="s">
        <v>18204</v>
      </c>
      <c r="B6633" s="27" t="s">
        <v>18205</v>
      </c>
      <c r="C6633" s="27" t="s">
        <v>144</v>
      </c>
      <c r="D6633" s="26"/>
      <c r="E6633" s="27"/>
      <c r="F6633" s="27"/>
      <c r="G6633" s="27" t="s">
        <v>11122</v>
      </c>
      <c r="H6633" s="27" t="s">
        <v>35</v>
      </c>
      <c r="I6633" s="27" t="s">
        <v>38</v>
      </c>
      <c r="J6633" s="28" t="s">
        <v>636</v>
      </c>
      <c r="K6633" s="27" t="s">
        <v>37</v>
      </c>
      <c r="L6633" s="27"/>
    </row>
    <row r="6634" customFormat="false" ht="15" hidden="false" customHeight="false" outlineLevel="0" collapsed="false">
      <c r="A6634" s="26" t="s">
        <v>18206</v>
      </c>
      <c r="B6634" s="27" t="s">
        <v>18207</v>
      </c>
      <c r="C6634" s="27" t="s">
        <v>144</v>
      </c>
      <c r="D6634" s="26"/>
      <c r="E6634" s="27"/>
      <c r="F6634" s="27"/>
      <c r="G6634" s="27" t="s">
        <v>11122</v>
      </c>
      <c r="H6634" s="27" t="s">
        <v>35</v>
      </c>
      <c r="I6634" s="27" t="s">
        <v>38</v>
      </c>
      <c r="J6634" s="28" t="s">
        <v>636</v>
      </c>
      <c r="K6634" s="27" t="s">
        <v>37</v>
      </c>
      <c r="L6634" s="27"/>
    </row>
    <row r="6635" customFormat="false" ht="15" hidden="false" customHeight="false" outlineLevel="0" collapsed="false">
      <c r="A6635" s="26" t="s">
        <v>18208</v>
      </c>
      <c r="B6635" s="27" t="s">
        <v>18209</v>
      </c>
      <c r="C6635" s="27" t="s">
        <v>144</v>
      </c>
      <c r="D6635" s="26"/>
      <c r="E6635" s="27"/>
      <c r="F6635" s="27"/>
      <c r="G6635" s="27" t="s">
        <v>11122</v>
      </c>
      <c r="H6635" s="27" t="s">
        <v>35</v>
      </c>
      <c r="I6635" s="27" t="s">
        <v>38</v>
      </c>
      <c r="J6635" s="28" t="s">
        <v>636</v>
      </c>
      <c r="K6635" s="27" t="s">
        <v>37</v>
      </c>
      <c r="L6635" s="27"/>
    </row>
    <row r="6636" customFormat="false" ht="15" hidden="false" customHeight="false" outlineLevel="0" collapsed="false">
      <c r="A6636" s="26" t="s">
        <v>18210</v>
      </c>
      <c r="B6636" s="27" t="s">
        <v>18211</v>
      </c>
      <c r="C6636" s="27" t="s">
        <v>144</v>
      </c>
      <c r="D6636" s="26"/>
      <c r="E6636" s="27"/>
      <c r="F6636" s="27"/>
      <c r="G6636" s="27" t="s">
        <v>11122</v>
      </c>
      <c r="H6636" s="27" t="s">
        <v>35</v>
      </c>
      <c r="I6636" s="27" t="s">
        <v>38</v>
      </c>
      <c r="J6636" s="28" t="s">
        <v>636</v>
      </c>
      <c r="K6636" s="27" t="s">
        <v>37</v>
      </c>
      <c r="L6636" s="27"/>
    </row>
    <row r="6637" customFormat="false" ht="15" hidden="false" customHeight="false" outlineLevel="0" collapsed="false">
      <c r="A6637" s="26" t="s">
        <v>18212</v>
      </c>
      <c r="B6637" s="27" t="s">
        <v>18213</v>
      </c>
      <c r="C6637" s="27" t="s">
        <v>144</v>
      </c>
      <c r="D6637" s="26"/>
      <c r="E6637" s="27"/>
      <c r="F6637" s="27"/>
      <c r="G6637" s="27" t="s">
        <v>11122</v>
      </c>
      <c r="H6637" s="27" t="s">
        <v>35</v>
      </c>
      <c r="I6637" s="27" t="s">
        <v>38</v>
      </c>
      <c r="J6637" s="28" t="s">
        <v>636</v>
      </c>
      <c r="K6637" s="27" t="s">
        <v>37</v>
      </c>
      <c r="L6637" s="27"/>
    </row>
    <row r="6638" customFormat="false" ht="15" hidden="false" customHeight="false" outlineLevel="0" collapsed="false">
      <c r="A6638" s="26" t="s">
        <v>18214</v>
      </c>
      <c r="B6638" s="27" t="s">
        <v>18215</v>
      </c>
      <c r="C6638" s="27" t="s">
        <v>144</v>
      </c>
      <c r="D6638" s="26"/>
      <c r="E6638" s="27"/>
      <c r="F6638" s="27"/>
      <c r="G6638" s="27" t="s">
        <v>11122</v>
      </c>
      <c r="H6638" s="27" t="s">
        <v>35</v>
      </c>
      <c r="I6638" s="27" t="s">
        <v>43</v>
      </c>
      <c r="J6638" s="28" t="s">
        <v>636</v>
      </c>
      <c r="K6638" s="27" t="s">
        <v>37</v>
      </c>
      <c r="L6638" s="27"/>
    </row>
    <row r="6639" customFormat="false" ht="15" hidden="false" customHeight="false" outlineLevel="0" collapsed="false">
      <c r="A6639" s="26" t="s">
        <v>18216</v>
      </c>
      <c r="B6639" s="27" t="s">
        <v>18217</v>
      </c>
      <c r="C6639" s="27" t="s">
        <v>144</v>
      </c>
      <c r="D6639" s="26"/>
      <c r="E6639" s="27"/>
      <c r="F6639" s="27"/>
      <c r="G6639" s="27" t="s">
        <v>11122</v>
      </c>
      <c r="H6639" s="27" t="s">
        <v>35</v>
      </c>
      <c r="I6639" s="27" t="s">
        <v>43</v>
      </c>
      <c r="J6639" s="28" t="s">
        <v>636</v>
      </c>
      <c r="K6639" s="27" t="s">
        <v>37</v>
      </c>
      <c r="L6639" s="27"/>
    </row>
    <row r="6640" customFormat="false" ht="15" hidden="false" customHeight="false" outlineLevel="0" collapsed="false">
      <c r="A6640" s="26" t="s">
        <v>18218</v>
      </c>
      <c r="B6640" s="27" t="s">
        <v>18219</v>
      </c>
      <c r="C6640" s="27" t="s">
        <v>144</v>
      </c>
      <c r="D6640" s="26"/>
      <c r="E6640" s="27"/>
      <c r="F6640" s="27"/>
      <c r="G6640" s="27" t="s">
        <v>11122</v>
      </c>
      <c r="H6640" s="27" t="s">
        <v>35</v>
      </c>
      <c r="I6640" s="27" t="s">
        <v>43</v>
      </c>
      <c r="J6640" s="28" t="s">
        <v>636</v>
      </c>
      <c r="K6640" s="27" t="s">
        <v>37</v>
      </c>
      <c r="L6640" s="27"/>
    </row>
    <row r="6641" customFormat="false" ht="15" hidden="false" customHeight="false" outlineLevel="0" collapsed="false">
      <c r="A6641" s="26" t="s">
        <v>18220</v>
      </c>
      <c r="B6641" s="27" t="s">
        <v>18221</v>
      </c>
      <c r="C6641" s="27" t="s">
        <v>144</v>
      </c>
      <c r="D6641" s="26"/>
      <c r="E6641" s="27"/>
      <c r="F6641" s="27"/>
      <c r="G6641" s="27" t="s">
        <v>11122</v>
      </c>
      <c r="H6641" s="27" t="s">
        <v>35</v>
      </c>
      <c r="I6641" s="27" t="s">
        <v>43</v>
      </c>
      <c r="J6641" s="28" t="s">
        <v>636</v>
      </c>
      <c r="K6641" s="27" t="s">
        <v>37</v>
      </c>
      <c r="L6641" s="27"/>
    </row>
    <row r="6642" customFormat="false" ht="15" hidden="false" customHeight="false" outlineLevel="0" collapsed="false">
      <c r="A6642" s="26" t="s">
        <v>18222</v>
      </c>
      <c r="B6642" s="27" t="s">
        <v>18223</v>
      </c>
      <c r="C6642" s="27" t="s">
        <v>144</v>
      </c>
      <c r="D6642" s="26"/>
      <c r="E6642" s="27"/>
      <c r="F6642" s="27"/>
      <c r="G6642" s="27" t="s">
        <v>11122</v>
      </c>
      <c r="H6642" s="27" t="s">
        <v>35</v>
      </c>
      <c r="I6642" s="27" t="s">
        <v>43</v>
      </c>
      <c r="J6642" s="28" t="s">
        <v>636</v>
      </c>
      <c r="K6642" s="27" t="s">
        <v>37</v>
      </c>
      <c r="L6642" s="27"/>
    </row>
    <row r="6643" customFormat="false" ht="15" hidden="false" customHeight="false" outlineLevel="0" collapsed="false">
      <c r="A6643" s="26" t="s">
        <v>18224</v>
      </c>
      <c r="B6643" s="27" t="s">
        <v>18225</v>
      </c>
      <c r="C6643" s="27" t="s">
        <v>144</v>
      </c>
      <c r="D6643" s="26"/>
      <c r="E6643" s="27"/>
      <c r="F6643" s="27"/>
      <c r="G6643" s="27" t="s">
        <v>11122</v>
      </c>
      <c r="H6643" s="27" t="s">
        <v>35</v>
      </c>
      <c r="I6643" s="27" t="s">
        <v>43</v>
      </c>
      <c r="J6643" s="28" t="s">
        <v>636</v>
      </c>
      <c r="K6643" s="27" t="s">
        <v>37</v>
      </c>
      <c r="L6643" s="27"/>
    </row>
    <row r="6644" customFormat="false" ht="15" hidden="false" customHeight="false" outlineLevel="0" collapsed="false">
      <c r="A6644" s="26" t="s">
        <v>18226</v>
      </c>
      <c r="B6644" s="27" t="s">
        <v>18227</v>
      </c>
      <c r="C6644" s="27" t="s">
        <v>144</v>
      </c>
      <c r="D6644" s="26"/>
      <c r="E6644" s="27"/>
      <c r="F6644" s="27"/>
      <c r="G6644" s="27" t="s">
        <v>11122</v>
      </c>
      <c r="H6644" s="27" t="s">
        <v>35</v>
      </c>
      <c r="I6644" s="27" t="s">
        <v>44</v>
      </c>
      <c r="J6644" s="28" t="s">
        <v>636</v>
      </c>
      <c r="K6644" s="27" t="s">
        <v>37</v>
      </c>
      <c r="L6644" s="27"/>
    </row>
    <row r="6645" customFormat="false" ht="15" hidden="false" customHeight="false" outlineLevel="0" collapsed="false">
      <c r="A6645" s="26" t="s">
        <v>18228</v>
      </c>
      <c r="B6645" s="27" t="s">
        <v>18229</v>
      </c>
      <c r="C6645" s="27" t="s">
        <v>144</v>
      </c>
      <c r="D6645" s="26"/>
      <c r="E6645" s="27"/>
      <c r="F6645" s="27"/>
      <c r="G6645" s="27" t="s">
        <v>11122</v>
      </c>
      <c r="H6645" s="27" t="s">
        <v>35</v>
      </c>
      <c r="I6645" s="27" t="s">
        <v>38</v>
      </c>
      <c r="J6645" s="28" t="s">
        <v>636</v>
      </c>
      <c r="K6645" s="27" t="s">
        <v>37</v>
      </c>
      <c r="L6645" s="27"/>
    </row>
    <row r="6646" customFormat="false" ht="15" hidden="false" customHeight="false" outlineLevel="0" collapsed="false">
      <c r="A6646" s="26" t="s">
        <v>18230</v>
      </c>
      <c r="B6646" s="27" t="s">
        <v>18231</v>
      </c>
      <c r="C6646" s="27" t="s">
        <v>144</v>
      </c>
      <c r="D6646" s="26"/>
      <c r="E6646" s="27"/>
      <c r="F6646" s="27"/>
      <c r="G6646" s="27" t="s">
        <v>11122</v>
      </c>
      <c r="H6646" s="27" t="s">
        <v>35</v>
      </c>
      <c r="I6646" s="27" t="s">
        <v>43</v>
      </c>
      <c r="J6646" s="28" t="s">
        <v>636</v>
      </c>
      <c r="K6646" s="27" t="s">
        <v>37</v>
      </c>
      <c r="L6646" s="27"/>
    </row>
    <row r="6647" customFormat="false" ht="15" hidden="false" customHeight="false" outlineLevel="0" collapsed="false">
      <c r="A6647" s="26" t="s">
        <v>18232</v>
      </c>
      <c r="B6647" s="27" t="s">
        <v>18233</v>
      </c>
      <c r="C6647" s="27" t="s">
        <v>144</v>
      </c>
      <c r="D6647" s="26"/>
      <c r="E6647" s="27"/>
      <c r="F6647" s="27"/>
      <c r="G6647" s="27" t="s">
        <v>11122</v>
      </c>
      <c r="H6647" s="27" t="s">
        <v>35</v>
      </c>
      <c r="I6647" s="27" t="s">
        <v>38</v>
      </c>
      <c r="J6647" s="28" t="s">
        <v>636</v>
      </c>
      <c r="K6647" s="27" t="s">
        <v>37</v>
      </c>
      <c r="L6647" s="27"/>
    </row>
    <row r="6648" customFormat="false" ht="15" hidden="false" customHeight="false" outlineLevel="0" collapsed="false">
      <c r="A6648" s="26" t="s">
        <v>18234</v>
      </c>
      <c r="B6648" s="27" t="s">
        <v>18235</v>
      </c>
      <c r="C6648" s="27" t="s">
        <v>144</v>
      </c>
      <c r="D6648" s="26"/>
      <c r="E6648" s="27"/>
      <c r="F6648" s="27"/>
      <c r="G6648" s="27" t="s">
        <v>11122</v>
      </c>
      <c r="H6648" s="27" t="s">
        <v>35</v>
      </c>
      <c r="I6648" s="27" t="s">
        <v>43</v>
      </c>
      <c r="J6648" s="28" t="s">
        <v>636</v>
      </c>
      <c r="K6648" s="27" t="s">
        <v>37</v>
      </c>
      <c r="L6648" s="27"/>
    </row>
    <row r="6649" customFormat="false" ht="15" hidden="false" customHeight="false" outlineLevel="0" collapsed="false">
      <c r="A6649" s="26" t="s">
        <v>18236</v>
      </c>
      <c r="B6649" s="27" t="s">
        <v>18237</v>
      </c>
      <c r="C6649" s="27" t="s">
        <v>144</v>
      </c>
      <c r="D6649" s="26"/>
      <c r="E6649" s="27"/>
      <c r="F6649" s="27"/>
      <c r="G6649" s="27" t="s">
        <v>11122</v>
      </c>
      <c r="H6649" s="27" t="s">
        <v>35</v>
      </c>
      <c r="I6649" s="27" t="s">
        <v>43</v>
      </c>
      <c r="J6649" s="28" t="s">
        <v>636</v>
      </c>
      <c r="K6649" s="27" t="s">
        <v>37</v>
      </c>
      <c r="L6649" s="27"/>
    </row>
    <row r="6650" customFormat="false" ht="15" hidden="false" customHeight="false" outlineLevel="0" collapsed="false">
      <c r="A6650" s="26" t="s">
        <v>18238</v>
      </c>
      <c r="B6650" s="27" t="s">
        <v>18239</v>
      </c>
      <c r="C6650" s="27" t="s">
        <v>144</v>
      </c>
      <c r="D6650" s="26"/>
      <c r="E6650" s="27"/>
      <c r="F6650" s="27"/>
      <c r="G6650" s="27" t="s">
        <v>11122</v>
      </c>
      <c r="H6650" s="27" t="s">
        <v>35</v>
      </c>
      <c r="I6650" s="27" t="s">
        <v>38</v>
      </c>
      <c r="J6650" s="28" t="s">
        <v>636</v>
      </c>
      <c r="K6650" s="27" t="s">
        <v>37</v>
      </c>
      <c r="L6650" s="27"/>
    </row>
    <row r="6651" customFormat="false" ht="15" hidden="false" customHeight="false" outlineLevel="0" collapsed="false">
      <c r="A6651" s="26" t="s">
        <v>18240</v>
      </c>
      <c r="B6651" s="27" t="s">
        <v>18241</v>
      </c>
      <c r="C6651" s="27" t="s">
        <v>144</v>
      </c>
      <c r="D6651" s="26"/>
      <c r="E6651" s="27"/>
      <c r="F6651" s="27"/>
      <c r="G6651" s="27" t="s">
        <v>11122</v>
      </c>
      <c r="H6651" s="27" t="s">
        <v>35</v>
      </c>
      <c r="I6651" s="27" t="s">
        <v>37</v>
      </c>
      <c r="J6651" s="28" t="s">
        <v>636</v>
      </c>
      <c r="K6651" s="27" t="s">
        <v>37</v>
      </c>
      <c r="L6651" s="27"/>
    </row>
    <row r="6652" customFormat="false" ht="15" hidden="false" customHeight="false" outlineLevel="0" collapsed="false">
      <c r="A6652" s="26" t="s">
        <v>18242</v>
      </c>
      <c r="B6652" s="27" t="s">
        <v>18243</v>
      </c>
      <c r="C6652" s="27" t="s">
        <v>144</v>
      </c>
      <c r="D6652" s="26"/>
      <c r="E6652" s="27"/>
      <c r="F6652" s="27"/>
      <c r="G6652" s="27" t="s">
        <v>11122</v>
      </c>
      <c r="H6652" s="27" t="s">
        <v>35</v>
      </c>
      <c r="I6652" s="27" t="s">
        <v>38</v>
      </c>
      <c r="J6652" s="28" t="s">
        <v>636</v>
      </c>
      <c r="K6652" s="27" t="s">
        <v>37</v>
      </c>
      <c r="L6652" s="27"/>
    </row>
    <row r="6653" customFormat="false" ht="15" hidden="false" customHeight="false" outlineLevel="0" collapsed="false">
      <c r="A6653" s="26" t="s">
        <v>18244</v>
      </c>
      <c r="B6653" s="27" t="s">
        <v>18245</v>
      </c>
      <c r="C6653" s="27" t="s">
        <v>144</v>
      </c>
      <c r="D6653" s="26"/>
      <c r="E6653" s="27"/>
      <c r="F6653" s="27"/>
      <c r="G6653" s="27" t="s">
        <v>11122</v>
      </c>
      <c r="H6653" s="27" t="s">
        <v>35</v>
      </c>
      <c r="I6653" s="27" t="s">
        <v>37</v>
      </c>
      <c r="J6653" s="28" t="s">
        <v>636</v>
      </c>
      <c r="K6653" s="27" t="s">
        <v>37</v>
      </c>
      <c r="L6653" s="27"/>
    </row>
    <row r="6654" customFormat="false" ht="15" hidden="false" customHeight="false" outlineLevel="0" collapsed="false">
      <c r="A6654" s="26" t="s">
        <v>18246</v>
      </c>
      <c r="B6654" s="27" t="s">
        <v>18247</v>
      </c>
      <c r="C6654" s="27" t="s">
        <v>144</v>
      </c>
      <c r="D6654" s="26"/>
      <c r="E6654" s="27"/>
      <c r="F6654" s="27"/>
      <c r="G6654" s="27" t="s">
        <v>11122</v>
      </c>
      <c r="H6654" s="27" t="s">
        <v>35</v>
      </c>
      <c r="I6654" s="27" t="s">
        <v>38</v>
      </c>
      <c r="J6654" s="28" t="s">
        <v>636</v>
      </c>
      <c r="K6654" s="27" t="s">
        <v>37</v>
      </c>
      <c r="L6654" s="27"/>
    </row>
    <row r="6655" customFormat="false" ht="15" hidden="false" customHeight="false" outlineLevel="0" collapsed="false">
      <c r="A6655" s="26" t="s">
        <v>18248</v>
      </c>
      <c r="B6655" s="27" t="s">
        <v>18249</v>
      </c>
      <c r="C6655" s="27" t="s">
        <v>144</v>
      </c>
      <c r="D6655" s="26"/>
      <c r="E6655" s="27"/>
      <c r="F6655" s="27"/>
      <c r="G6655" s="27" t="s">
        <v>11122</v>
      </c>
      <c r="H6655" s="27" t="s">
        <v>35</v>
      </c>
      <c r="I6655" s="27" t="s">
        <v>37</v>
      </c>
      <c r="J6655" s="28" t="s">
        <v>636</v>
      </c>
      <c r="K6655" s="27" t="s">
        <v>37</v>
      </c>
      <c r="L6655" s="27"/>
    </row>
    <row r="6656" customFormat="false" ht="15" hidden="false" customHeight="false" outlineLevel="0" collapsed="false">
      <c r="A6656" s="26" t="s">
        <v>18250</v>
      </c>
      <c r="B6656" s="27" t="s">
        <v>18251</v>
      </c>
      <c r="C6656" s="27" t="s">
        <v>144</v>
      </c>
      <c r="D6656" s="26"/>
      <c r="E6656" s="27"/>
      <c r="F6656" s="27"/>
      <c r="G6656" s="27" t="s">
        <v>11122</v>
      </c>
      <c r="H6656" s="27" t="s">
        <v>35</v>
      </c>
      <c r="I6656" s="27" t="s">
        <v>39</v>
      </c>
      <c r="J6656" s="28" t="s">
        <v>636</v>
      </c>
      <c r="K6656" s="27" t="s">
        <v>37</v>
      </c>
      <c r="L6656" s="27"/>
    </row>
    <row r="6657" customFormat="false" ht="15" hidden="false" customHeight="false" outlineLevel="0" collapsed="false">
      <c r="A6657" s="26" t="s">
        <v>18252</v>
      </c>
      <c r="B6657" s="27" t="s">
        <v>18253</v>
      </c>
      <c r="C6657" s="27" t="s">
        <v>144</v>
      </c>
      <c r="D6657" s="26"/>
      <c r="E6657" s="27"/>
      <c r="F6657" s="27"/>
      <c r="G6657" s="27" t="s">
        <v>11122</v>
      </c>
      <c r="H6657" s="27" t="s">
        <v>35</v>
      </c>
      <c r="I6657" s="27" t="s">
        <v>38</v>
      </c>
      <c r="J6657" s="28" t="s">
        <v>636</v>
      </c>
      <c r="K6657" s="27" t="s">
        <v>37</v>
      </c>
      <c r="L6657" s="27"/>
    </row>
    <row r="6658" customFormat="false" ht="15" hidden="false" customHeight="false" outlineLevel="0" collapsed="false">
      <c r="A6658" s="26" t="s">
        <v>18254</v>
      </c>
      <c r="B6658" s="27" t="s">
        <v>18255</v>
      </c>
      <c r="C6658" s="27" t="s">
        <v>144</v>
      </c>
      <c r="D6658" s="26"/>
      <c r="E6658" s="27"/>
      <c r="F6658" s="27"/>
      <c r="G6658" s="27" t="s">
        <v>11122</v>
      </c>
      <c r="H6658" s="27" t="s">
        <v>35</v>
      </c>
      <c r="I6658" s="27" t="s">
        <v>37</v>
      </c>
      <c r="J6658" s="28" t="s">
        <v>636</v>
      </c>
      <c r="K6658" s="27" t="s">
        <v>37</v>
      </c>
      <c r="L6658" s="27"/>
    </row>
    <row r="6659" customFormat="false" ht="15" hidden="false" customHeight="false" outlineLevel="0" collapsed="false">
      <c r="A6659" s="26" t="s">
        <v>18256</v>
      </c>
      <c r="B6659" s="27" t="s">
        <v>18257</v>
      </c>
      <c r="C6659" s="27" t="s">
        <v>144</v>
      </c>
      <c r="D6659" s="26"/>
      <c r="E6659" s="27"/>
      <c r="F6659" s="27"/>
      <c r="G6659" s="27" t="s">
        <v>11122</v>
      </c>
      <c r="H6659" s="27" t="s">
        <v>35</v>
      </c>
      <c r="I6659" s="27" t="s">
        <v>43</v>
      </c>
      <c r="J6659" s="28" t="s">
        <v>636</v>
      </c>
      <c r="K6659" s="27" t="s">
        <v>37</v>
      </c>
      <c r="L6659" s="27"/>
    </row>
    <row r="6660" customFormat="false" ht="15" hidden="false" customHeight="false" outlineLevel="0" collapsed="false">
      <c r="A6660" s="26" t="s">
        <v>18258</v>
      </c>
      <c r="B6660" s="27" t="s">
        <v>18259</v>
      </c>
      <c r="C6660" s="27" t="s">
        <v>144</v>
      </c>
      <c r="D6660" s="26"/>
      <c r="E6660" s="27"/>
      <c r="F6660" s="27"/>
      <c r="G6660" s="27" t="s">
        <v>11122</v>
      </c>
      <c r="H6660" s="27" t="s">
        <v>35</v>
      </c>
      <c r="I6660" s="27" t="s">
        <v>43</v>
      </c>
      <c r="J6660" s="28" t="s">
        <v>636</v>
      </c>
      <c r="K6660" s="27" t="s">
        <v>37</v>
      </c>
      <c r="L6660" s="27"/>
    </row>
    <row r="6661" customFormat="false" ht="15" hidden="false" customHeight="false" outlineLevel="0" collapsed="false">
      <c r="A6661" s="26" t="s">
        <v>18260</v>
      </c>
      <c r="B6661" s="27" t="s">
        <v>18261</v>
      </c>
      <c r="C6661" s="27" t="s">
        <v>144</v>
      </c>
      <c r="D6661" s="26"/>
      <c r="E6661" s="27"/>
      <c r="F6661" s="27"/>
      <c r="G6661" s="27" t="s">
        <v>11122</v>
      </c>
      <c r="H6661" s="27" t="s">
        <v>35</v>
      </c>
      <c r="I6661" s="27" t="s">
        <v>38</v>
      </c>
      <c r="J6661" s="28" t="s">
        <v>636</v>
      </c>
      <c r="K6661" s="27" t="s">
        <v>37</v>
      </c>
      <c r="L6661" s="27"/>
    </row>
    <row r="6662" customFormat="false" ht="15" hidden="false" customHeight="false" outlineLevel="0" collapsed="false">
      <c r="A6662" s="26" t="s">
        <v>18262</v>
      </c>
      <c r="B6662" s="27" t="s">
        <v>18263</v>
      </c>
      <c r="C6662" s="27" t="s">
        <v>144</v>
      </c>
      <c r="D6662" s="26"/>
      <c r="E6662" s="27"/>
      <c r="F6662" s="27"/>
      <c r="G6662" s="27" t="s">
        <v>11122</v>
      </c>
      <c r="H6662" s="27" t="s">
        <v>35</v>
      </c>
      <c r="I6662" s="27" t="s">
        <v>43</v>
      </c>
      <c r="J6662" s="28" t="s">
        <v>636</v>
      </c>
      <c r="K6662" s="27" t="s">
        <v>37</v>
      </c>
      <c r="L6662" s="27"/>
    </row>
    <row r="6663" customFormat="false" ht="15" hidden="false" customHeight="false" outlineLevel="0" collapsed="false">
      <c r="A6663" s="26" t="s">
        <v>18264</v>
      </c>
      <c r="B6663" s="27" t="s">
        <v>18265</v>
      </c>
      <c r="C6663" s="27" t="s">
        <v>144</v>
      </c>
      <c r="D6663" s="26"/>
      <c r="E6663" s="27"/>
      <c r="F6663" s="27"/>
      <c r="G6663" s="27" t="s">
        <v>11122</v>
      </c>
      <c r="H6663" s="27" t="s">
        <v>35</v>
      </c>
      <c r="I6663" s="27" t="s">
        <v>39</v>
      </c>
      <c r="J6663" s="28" t="s">
        <v>636</v>
      </c>
      <c r="K6663" s="27" t="s">
        <v>37</v>
      </c>
      <c r="L6663" s="27"/>
    </row>
    <row r="6664" customFormat="false" ht="15" hidden="false" customHeight="false" outlineLevel="0" collapsed="false">
      <c r="A6664" s="26" t="s">
        <v>18266</v>
      </c>
      <c r="B6664" s="27" t="s">
        <v>18267</v>
      </c>
      <c r="C6664" s="27" t="s">
        <v>144</v>
      </c>
      <c r="D6664" s="26"/>
      <c r="E6664" s="27"/>
      <c r="F6664" s="27"/>
      <c r="G6664" s="27" t="s">
        <v>11122</v>
      </c>
      <c r="H6664" s="27" t="s">
        <v>35</v>
      </c>
      <c r="I6664" s="27" t="s">
        <v>38</v>
      </c>
      <c r="J6664" s="28" t="s">
        <v>636</v>
      </c>
      <c r="K6664" s="27" t="s">
        <v>37</v>
      </c>
      <c r="L6664" s="27"/>
    </row>
    <row r="6665" customFormat="false" ht="15" hidden="false" customHeight="false" outlineLevel="0" collapsed="false">
      <c r="A6665" s="26" t="s">
        <v>18268</v>
      </c>
      <c r="B6665" s="27" t="s">
        <v>18269</v>
      </c>
      <c r="C6665" s="27" t="s">
        <v>144</v>
      </c>
      <c r="D6665" s="26"/>
      <c r="E6665" s="27"/>
      <c r="F6665" s="27"/>
      <c r="G6665" s="27" t="s">
        <v>11122</v>
      </c>
      <c r="H6665" s="27" t="s">
        <v>35</v>
      </c>
      <c r="I6665" s="27" t="s">
        <v>37</v>
      </c>
      <c r="J6665" s="28" t="s">
        <v>636</v>
      </c>
      <c r="K6665" s="27" t="s">
        <v>37</v>
      </c>
      <c r="L6665" s="27"/>
    </row>
    <row r="6666" customFormat="false" ht="15" hidden="false" customHeight="false" outlineLevel="0" collapsed="false">
      <c r="A6666" s="26" t="s">
        <v>18270</v>
      </c>
      <c r="B6666" s="27" t="s">
        <v>18271</v>
      </c>
      <c r="C6666" s="27" t="s">
        <v>144</v>
      </c>
      <c r="D6666" s="26"/>
      <c r="E6666" s="27"/>
      <c r="F6666" s="27"/>
      <c r="G6666" s="27" t="s">
        <v>11122</v>
      </c>
      <c r="H6666" s="27" t="s">
        <v>35</v>
      </c>
      <c r="I6666" s="27" t="s">
        <v>40</v>
      </c>
      <c r="J6666" s="28" t="s">
        <v>636</v>
      </c>
      <c r="K6666" s="27" t="s">
        <v>37</v>
      </c>
      <c r="L6666" s="27"/>
    </row>
    <row r="6667" customFormat="false" ht="15" hidden="false" customHeight="false" outlineLevel="0" collapsed="false">
      <c r="A6667" s="26" t="s">
        <v>18272</v>
      </c>
      <c r="B6667" s="27" t="s">
        <v>18273</v>
      </c>
      <c r="C6667" s="27" t="s">
        <v>144</v>
      </c>
      <c r="D6667" s="26"/>
      <c r="E6667" s="27"/>
      <c r="F6667" s="27"/>
      <c r="G6667" s="27" t="s">
        <v>11122</v>
      </c>
      <c r="H6667" s="27" t="s">
        <v>35</v>
      </c>
      <c r="I6667" s="27" t="s">
        <v>37</v>
      </c>
      <c r="J6667" s="28" t="s">
        <v>636</v>
      </c>
      <c r="K6667" s="27" t="s">
        <v>37</v>
      </c>
      <c r="L6667" s="27"/>
    </row>
    <row r="6668" customFormat="false" ht="15" hidden="false" customHeight="false" outlineLevel="0" collapsed="false">
      <c r="A6668" s="26" t="s">
        <v>18274</v>
      </c>
      <c r="B6668" s="27" t="s">
        <v>18275</v>
      </c>
      <c r="C6668" s="27" t="s">
        <v>144</v>
      </c>
      <c r="D6668" s="26"/>
      <c r="E6668" s="27"/>
      <c r="F6668" s="27"/>
      <c r="G6668" s="27" t="s">
        <v>11122</v>
      </c>
      <c r="H6668" s="27" t="s">
        <v>35</v>
      </c>
      <c r="I6668" s="27" t="s">
        <v>37</v>
      </c>
      <c r="J6668" s="28" t="s">
        <v>636</v>
      </c>
      <c r="K6668" s="27" t="s">
        <v>37</v>
      </c>
      <c r="L6668" s="27"/>
    </row>
    <row r="6669" customFormat="false" ht="15" hidden="false" customHeight="false" outlineLevel="0" collapsed="false">
      <c r="A6669" s="26" t="s">
        <v>18276</v>
      </c>
      <c r="B6669" s="27" t="s">
        <v>18277</v>
      </c>
      <c r="C6669" s="27" t="s">
        <v>144</v>
      </c>
      <c r="D6669" s="26"/>
      <c r="E6669" s="27"/>
      <c r="F6669" s="27"/>
      <c r="G6669" s="27" t="s">
        <v>11122</v>
      </c>
      <c r="H6669" s="27" t="s">
        <v>35</v>
      </c>
      <c r="I6669" s="27" t="s">
        <v>37</v>
      </c>
      <c r="J6669" s="28" t="s">
        <v>636</v>
      </c>
      <c r="K6669" s="27" t="s">
        <v>37</v>
      </c>
      <c r="L6669" s="27"/>
    </row>
    <row r="6670" customFormat="false" ht="15" hidden="false" customHeight="false" outlineLevel="0" collapsed="false">
      <c r="A6670" s="26" t="s">
        <v>18278</v>
      </c>
      <c r="B6670" s="27" t="s">
        <v>18279</v>
      </c>
      <c r="C6670" s="27" t="s">
        <v>144</v>
      </c>
      <c r="D6670" s="26"/>
      <c r="E6670" s="27"/>
      <c r="F6670" s="27"/>
      <c r="G6670" s="27" t="s">
        <v>11122</v>
      </c>
      <c r="H6670" s="27" t="s">
        <v>35</v>
      </c>
      <c r="I6670" s="27" t="s">
        <v>37</v>
      </c>
      <c r="J6670" s="28" t="s">
        <v>636</v>
      </c>
      <c r="K6670" s="27" t="s">
        <v>37</v>
      </c>
      <c r="L6670" s="27"/>
    </row>
    <row r="6671" customFormat="false" ht="15" hidden="false" customHeight="false" outlineLevel="0" collapsed="false">
      <c r="A6671" s="26" t="s">
        <v>18280</v>
      </c>
      <c r="B6671" s="27" t="s">
        <v>18281</v>
      </c>
      <c r="C6671" s="27" t="s">
        <v>144</v>
      </c>
      <c r="D6671" s="26"/>
      <c r="E6671" s="27"/>
      <c r="F6671" s="27"/>
      <c r="G6671" s="27" t="s">
        <v>11122</v>
      </c>
      <c r="H6671" s="27" t="s">
        <v>35</v>
      </c>
      <c r="I6671" s="27" t="s">
        <v>37</v>
      </c>
      <c r="J6671" s="28" t="s">
        <v>636</v>
      </c>
      <c r="K6671" s="27" t="s">
        <v>37</v>
      </c>
      <c r="L6671" s="27"/>
    </row>
    <row r="6672" customFormat="false" ht="15" hidden="false" customHeight="false" outlineLevel="0" collapsed="false">
      <c r="A6672" s="26" t="s">
        <v>18282</v>
      </c>
      <c r="B6672" s="27" t="s">
        <v>18283</v>
      </c>
      <c r="C6672" s="27" t="s">
        <v>144</v>
      </c>
      <c r="D6672" s="26"/>
      <c r="E6672" s="27"/>
      <c r="F6672" s="27"/>
      <c r="G6672" s="27" t="s">
        <v>11122</v>
      </c>
      <c r="H6672" s="27" t="s">
        <v>35</v>
      </c>
      <c r="I6672" s="27" t="s">
        <v>43</v>
      </c>
      <c r="J6672" s="28" t="s">
        <v>636</v>
      </c>
      <c r="K6672" s="27" t="s">
        <v>37</v>
      </c>
      <c r="L6672" s="27"/>
    </row>
    <row r="6673" customFormat="false" ht="15" hidden="false" customHeight="false" outlineLevel="0" collapsed="false">
      <c r="A6673" s="26" t="s">
        <v>18284</v>
      </c>
      <c r="B6673" s="27" t="s">
        <v>18285</v>
      </c>
      <c r="C6673" s="27" t="s">
        <v>144</v>
      </c>
      <c r="D6673" s="26"/>
      <c r="E6673" s="27"/>
      <c r="F6673" s="27"/>
      <c r="G6673" s="27" t="s">
        <v>11122</v>
      </c>
      <c r="H6673" s="27" t="s">
        <v>35</v>
      </c>
      <c r="I6673" s="27" t="s">
        <v>37</v>
      </c>
      <c r="J6673" s="28" t="s">
        <v>636</v>
      </c>
      <c r="K6673" s="27" t="s">
        <v>37</v>
      </c>
      <c r="L6673" s="27"/>
    </row>
    <row r="6674" customFormat="false" ht="15" hidden="false" customHeight="false" outlineLevel="0" collapsed="false">
      <c r="A6674" s="26" t="s">
        <v>18286</v>
      </c>
      <c r="B6674" s="27" t="s">
        <v>18287</v>
      </c>
      <c r="C6674" s="27" t="s">
        <v>144</v>
      </c>
      <c r="D6674" s="26"/>
      <c r="E6674" s="27"/>
      <c r="F6674" s="27"/>
      <c r="G6674" s="27" t="s">
        <v>11122</v>
      </c>
      <c r="H6674" s="27" t="s">
        <v>35</v>
      </c>
      <c r="I6674" s="27" t="s">
        <v>37</v>
      </c>
      <c r="J6674" s="28" t="s">
        <v>636</v>
      </c>
      <c r="K6674" s="27" t="s">
        <v>37</v>
      </c>
      <c r="L6674" s="27"/>
    </row>
    <row r="6675" customFormat="false" ht="15" hidden="false" customHeight="false" outlineLevel="0" collapsed="false">
      <c r="A6675" s="26" t="s">
        <v>18288</v>
      </c>
      <c r="B6675" s="27" t="s">
        <v>18289</v>
      </c>
      <c r="C6675" s="27" t="s">
        <v>144</v>
      </c>
      <c r="D6675" s="26"/>
      <c r="E6675" s="27"/>
      <c r="F6675" s="27"/>
      <c r="G6675" s="27" t="s">
        <v>11122</v>
      </c>
      <c r="H6675" s="27" t="s">
        <v>35</v>
      </c>
      <c r="I6675" s="27" t="s">
        <v>37</v>
      </c>
      <c r="J6675" s="28" t="s">
        <v>636</v>
      </c>
      <c r="K6675" s="27" t="s">
        <v>37</v>
      </c>
      <c r="L6675" s="27"/>
    </row>
    <row r="6676" customFormat="false" ht="15" hidden="false" customHeight="false" outlineLevel="0" collapsed="false">
      <c r="A6676" s="26" t="s">
        <v>18290</v>
      </c>
      <c r="B6676" s="27" t="s">
        <v>18291</v>
      </c>
      <c r="C6676" s="27" t="s">
        <v>144</v>
      </c>
      <c r="D6676" s="26"/>
      <c r="E6676" s="27"/>
      <c r="F6676" s="27"/>
      <c r="G6676" s="27" t="s">
        <v>11122</v>
      </c>
      <c r="H6676" s="27" t="s">
        <v>35</v>
      </c>
      <c r="I6676" s="27" t="s">
        <v>43</v>
      </c>
      <c r="J6676" s="28" t="s">
        <v>636</v>
      </c>
      <c r="K6676" s="27" t="s">
        <v>37</v>
      </c>
      <c r="L6676" s="27"/>
    </row>
    <row r="6677" customFormat="false" ht="15" hidden="false" customHeight="false" outlineLevel="0" collapsed="false">
      <c r="A6677" s="26" t="s">
        <v>18292</v>
      </c>
      <c r="B6677" s="27" t="s">
        <v>18293</v>
      </c>
      <c r="C6677" s="27" t="s">
        <v>144</v>
      </c>
      <c r="D6677" s="26"/>
      <c r="E6677" s="27"/>
      <c r="F6677" s="27"/>
      <c r="G6677" s="27" t="s">
        <v>11122</v>
      </c>
      <c r="H6677" s="27" t="s">
        <v>35</v>
      </c>
      <c r="I6677" s="27" t="s">
        <v>37</v>
      </c>
      <c r="J6677" s="28" t="s">
        <v>636</v>
      </c>
      <c r="K6677" s="27" t="s">
        <v>37</v>
      </c>
      <c r="L6677" s="27"/>
    </row>
    <row r="6678" customFormat="false" ht="15" hidden="false" customHeight="false" outlineLevel="0" collapsed="false">
      <c r="A6678" s="26" t="s">
        <v>18294</v>
      </c>
      <c r="B6678" s="27" t="s">
        <v>18295</v>
      </c>
      <c r="C6678" s="27" t="s">
        <v>144</v>
      </c>
      <c r="D6678" s="26"/>
      <c r="E6678" s="27"/>
      <c r="F6678" s="27"/>
      <c r="G6678" s="27" t="s">
        <v>11122</v>
      </c>
      <c r="H6678" s="27" t="s">
        <v>35</v>
      </c>
      <c r="I6678" s="27" t="s">
        <v>37</v>
      </c>
      <c r="J6678" s="28" t="s">
        <v>636</v>
      </c>
      <c r="K6678" s="27" t="s">
        <v>37</v>
      </c>
      <c r="L6678" s="27"/>
    </row>
    <row r="6679" customFormat="false" ht="15" hidden="false" customHeight="false" outlineLevel="0" collapsed="false">
      <c r="A6679" s="26" t="s">
        <v>18296</v>
      </c>
      <c r="B6679" s="27" t="s">
        <v>18297</v>
      </c>
      <c r="C6679" s="27" t="s">
        <v>144</v>
      </c>
      <c r="D6679" s="26"/>
      <c r="E6679" s="27"/>
      <c r="F6679" s="27"/>
      <c r="G6679" s="27" t="s">
        <v>11122</v>
      </c>
      <c r="H6679" s="27" t="s">
        <v>35</v>
      </c>
      <c r="I6679" s="27" t="s">
        <v>37</v>
      </c>
      <c r="J6679" s="28" t="s">
        <v>636</v>
      </c>
      <c r="K6679" s="27" t="s">
        <v>37</v>
      </c>
      <c r="L6679" s="27"/>
    </row>
    <row r="6680" customFormat="false" ht="15" hidden="false" customHeight="false" outlineLevel="0" collapsed="false">
      <c r="A6680" s="26" t="s">
        <v>18298</v>
      </c>
      <c r="B6680" s="27" t="s">
        <v>18299</v>
      </c>
      <c r="C6680" s="27" t="s">
        <v>144</v>
      </c>
      <c r="D6680" s="26"/>
      <c r="E6680" s="27"/>
      <c r="F6680" s="27"/>
      <c r="G6680" s="27" t="s">
        <v>11122</v>
      </c>
      <c r="H6680" s="27" t="s">
        <v>35</v>
      </c>
      <c r="I6680" s="27" t="s">
        <v>37</v>
      </c>
      <c r="J6680" s="28" t="s">
        <v>636</v>
      </c>
      <c r="K6680" s="27" t="s">
        <v>37</v>
      </c>
      <c r="L6680" s="27"/>
    </row>
    <row r="6681" customFormat="false" ht="15" hidden="false" customHeight="false" outlineLevel="0" collapsed="false">
      <c r="A6681" s="26" t="s">
        <v>18300</v>
      </c>
      <c r="B6681" s="27" t="s">
        <v>18301</v>
      </c>
      <c r="C6681" s="27" t="s">
        <v>144</v>
      </c>
      <c r="D6681" s="26"/>
      <c r="E6681" s="27"/>
      <c r="F6681" s="27"/>
      <c r="G6681" s="27" t="s">
        <v>11122</v>
      </c>
      <c r="H6681" s="27" t="s">
        <v>35</v>
      </c>
      <c r="I6681" s="27" t="s">
        <v>37</v>
      </c>
      <c r="J6681" s="28" t="s">
        <v>636</v>
      </c>
      <c r="K6681" s="27" t="s">
        <v>37</v>
      </c>
      <c r="L6681" s="27"/>
    </row>
    <row r="6682" customFormat="false" ht="15" hidden="false" customHeight="false" outlineLevel="0" collapsed="false">
      <c r="A6682" s="26" t="s">
        <v>18302</v>
      </c>
      <c r="B6682" s="27" t="s">
        <v>18303</v>
      </c>
      <c r="C6682" s="27" t="s">
        <v>144</v>
      </c>
      <c r="D6682" s="26"/>
      <c r="E6682" s="27"/>
      <c r="F6682" s="27"/>
      <c r="G6682" s="27" t="s">
        <v>11122</v>
      </c>
      <c r="H6682" s="27" t="s">
        <v>35</v>
      </c>
      <c r="I6682" s="27" t="s">
        <v>37</v>
      </c>
      <c r="J6682" s="28" t="s">
        <v>636</v>
      </c>
      <c r="K6682" s="27" t="s">
        <v>37</v>
      </c>
      <c r="L6682" s="27"/>
    </row>
    <row r="6683" customFormat="false" ht="15" hidden="false" customHeight="false" outlineLevel="0" collapsed="false">
      <c r="A6683" s="26" t="s">
        <v>18304</v>
      </c>
      <c r="B6683" s="27" t="s">
        <v>18305</v>
      </c>
      <c r="C6683" s="27" t="s">
        <v>144</v>
      </c>
      <c r="D6683" s="26"/>
      <c r="E6683" s="27"/>
      <c r="F6683" s="27"/>
      <c r="G6683" s="27" t="s">
        <v>11122</v>
      </c>
      <c r="H6683" s="27" t="s">
        <v>35</v>
      </c>
      <c r="I6683" s="27" t="s">
        <v>43</v>
      </c>
      <c r="J6683" s="28" t="s">
        <v>636</v>
      </c>
      <c r="K6683" s="27" t="s">
        <v>37</v>
      </c>
      <c r="L6683" s="27"/>
    </row>
    <row r="6684" customFormat="false" ht="15" hidden="false" customHeight="false" outlineLevel="0" collapsed="false">
      <c r="A6684" s="26" t="s">
        <v>18306</v>
      </c>
      <c r="B6684" s="27" t="s">
        <v>18307</v>
      </c>
      <c r="C6684" s="27" t="s">
        <v>144</v>
      </c>
      <c r="D6684" s="26"/>
      <c r="E6684" s="27"/>
      <c r="F6684" s="27"/>
      <c r="G6684" s="27" t="s">
        <v>11122</v>
      </c>
      <c r="H6684" s="27" t="s">
        <v>35</v>
      </c>
      <c r="I6684" s="27" t="s">
        <v>37</v>
      </c>
      <c r="J6684" s="28" t="s">
        <v>636</v>
      </c>
      <c r="K6684" s="27" t="s">
        <v>37</v>
      </c>
      <c r="L6684" s="27"/>
    </row>
    <row r="6685" customFormat="false" ht="15" hidden="false" customHeight="false" outlineLevel="0" collapsed="false">
      <c r="A6685" s="26" t="s">
        <v>18308</v>
      </c>
      <c r="B6685" s="27" t="s">
        <v>18309</v>
      </c>
      <c r="C6685" s="27" t="s">
        <v>144</v>
      </c>
      <c r="D6685" s="26"/>
      <c r="E6685" s="27"/>
      <c r="F6685" s="27"/>
      <c r="G6685" s="27" t="s">
        <v>11122</v>
      </c>
      <c r="H6685" s="27" t="s">
        <v>35</v>
      </c>
      <c r="I6685" s="27" t="s">
        <v>43</v>
      </c>
      <c r="J6685" s="28" t="s">
        <v>636</v>
      </c>
      <c r="K6685" s="27" t="s">
        <v>37</v>
      </c>
      <c r="L6685" s="27"/>
    </row>
    <row r="6686" customFormat="false" ht="15" hidden="false" customHeight="false" outlineLevel="0" collapsed="false">
      <c r="A6686" s="26" t="s">
        <v>18310</v>
      </c>
      <c r="B6686" s="27" t="s">
        <v>18311</v>
      </c>
      <c r="C6686" s="27" t="s">
        <v>144</v>
      </c>
      <c r="D6686" s="26"/>
      <c r="E6686" s="27"/>
      <c r="F6686" s="27"/>
      <c r="G6686" s="27" t="s">
        <v>11122</v>
      </c>
      <c r="H6686" s="27" t="s">
        <v>35</v>
      </c>
      <c r="I6686" s="27" t="s">
        <v>37</v>
      </c>
      <c r="J6686" s="28" t="s">
        <v>636</v>
      </c>
      <c r="K6686" s="27" t="s">
        <v>37</v>
      </c>
      <c r="L6686" s="27"/>
    </row>
    <row r="6687" customFormat="false" ht="15" hidden="false" customHeight="false" outlineLevel="0" collapsed="false">
      <c r="A6687" s="26" t="s">
        <v>18312</v>
      </c>
      <c r="B6687" s="27" t="s">
        <v>18313</v>
      </c>
      <c r="C6687" s="27" t="s">
        <v>144</v>
      </c>
      <c r="D6687" s="26"/>
      <c r="E6687" s="27"/>
      <c r="F6687" s="27"/>
      <c r="G6687" s="27" t="s">
        <v>11122</v>
      </c>
      <c r="H6687" s="27" t="s">
        <v>35</v>
      </c>
      <c r="I6687" s="27" t="s">
        <v>37</v>
      </c>
      <c r="J6687" s="28" t="s">
        <v>636</v>
      </c>
      <c r="K6687" s="27" t="s">
        <v>37</v>
      </c>
      <c r="L6687" s="27"/>
    </row>
    <row r="6688" customFormat="false" ht="15" hidden="false" customHeight="false" outlineLevel="0" collapsed="false">
      <c r="A6688" s="26" t="s">
        <v>18314</v>
      </c>
      <c r="B6688" s="27" t="s">
        <v>18315</v>
      </c>
      <c r="C6688" s="27" t="s">
        <v>144</v>
      </c>
      <c r="D6688" s="26"/>
      <c r="E6688" s="27"/>
      <c r="F6688" s="27"/>
      <c r="G6688" s="27" t="s">
        <v>11122</v>
      </c>
      <c r="H6688" s="27" t="s">
        <v>35</v>
      </c>
      <c r="I6688" s="27" t="s">
        <v>37</v>
      </c>
      <c r="J6688" s="28" t="s">
        <v>636</v>
      </c>
      <c r="K6688" s="27" t="s">
        <v>37</v>
      </c>
      <c r="L6688" s="27"/>
    </row>
    <row r="6689" customFormat="false" ht="15" hidden="false" customHeight="false" outlineLevel="0" collapsed="false">
      <c r="A6689" s="26" t="s">
        <v>18316</v>
      </c>
      <c r="B6689" s="27" t="s">
        <v>18317</v>
      </c>
      <c r="C6689" s="27" t="s">
        <v>144</v>
      </c>
      <c r="D6689" s="26"/>
      <c r="E6689" s="27"/>
      <c r="F6689" s="27"/>
      <c r="G6689" s="27" t="s">
        <v>11122</v>
      </c>
      <c r="H6689" s="27" t="s">
        <v>35</v>
      </c>
      <c r="I6689" s="27" t="s">
        <v>37</v>
      </c>
      <c r="J6689" s="28" t="s">
        <v>636</v>
      </c>
      <c r="K6689" s="27" t="s">
        <v>37</v>
      </c>
      <c r="L6689" s="27"/>
    </row>
    <row r="6690" customFormat="false" ht="15" hidden="false" customHeight="false" outlineLevel="0" collapsed="false">
      <c r="A6690" s="26" t="s">
        <v>18318</v>
      </c>
      <c r="B6690" s="27" t="s">
        <v>18319</v>
      </c>
      <c r="C6690" s="27" t="s">
        <v>144</v>
      </c>
      <c r="D6690" s="26"/>
      <c r="E6690" s="27"/>
      <c r="F6690" s="27"/>
      <c r="G6690" s="27" t="s">
        <v>11122</v>
      </c>
      <c r="H6690" s="27" t="s">
        <v>35</v>
      </c>
      <c r="I6690" s="27" t="s">
        <v>37</v>
      </c>
      <c r="J6690" s="28" t="s">
        <v>636</v>
      </c>
      <c r="K6690" s="27" t="s">
        <v>37</v>
      </c>
      <c r="L6690" s="27"/>
    </row>
    <row r="6691" customFormat="false" ht="15" hidden="false" customHeight="false" outlineLevel="0" collapsed="false">
      <c r="A6691" s="26" t="s">
        <v>18320</v>
      </c>
      <c r="B6691" s="27" t="s">
        <v>18321</v>
      </c>
      <c r="C6691" s="27" t="s">
        <v>144</v>
      </c>
      <c r="D6691" s="26"/>
      <c r="E6691" s="27"/>
      <c r="F6691" s="27"/>
      <c r="G6691" s="27" t="s">
        <v>11122</v>
      </c>
      <c r="H6691" s="27" t="s">
        <v>35</v>
      </c>
      <c r="I6691" s="27" t="s">
        <v>37</v>
      </c>
      <c r="J6691" s="28" t="s">
        <v>636</v>
      </c>
      <c r="K6691" s="27" t="s">
        <v>37</v>
      </c>
      <c r="L6691" s="27"/>
    </row>
    <row r="6692" customFormat="false" ht="15" hidden="false" customHeight="false" outlineLevel="0" collapsed="false">
      <c r="A6692" s="26" t="s">
        <v>18322</v>
      </c>
      <c r="B6692" s="27" t="s">
        <v>18323</v>
      </c>
      <c r="C6692" s="27" t="s">
        <v>144</v>
      </c>
      <c r="D6692" s="26"/>
      <c r="E6692" s="27"/>
      <c r="F6692" s="27"/>
      <c r="G6692" s="27" t="s">
        <v>11122</v>
      </c>
      <c r="H6692" s="27" t="s">
        <v>35</v>
      </c>
      <c r="I6692" s="27" t="s">
        <v>37</v>
      </c>
      <c r="J6692" s="28" t="s">
        <v>636</v>
      </c>
      <c r="K6692" s="27" t="s">
        <v>37</v>
      </c>
      <c r="L6692" s="27"/>
    </row>
    <row r="6693" customFormat="false" ht="15" hidden="false" customHeight="false" outlineLevel="0" collapsed="false">
      <c r="A6693" s="26" t="s">
        <v>18324</v>
      </c>
      <c r="B6693" s="27" t="s">
        <v>18325</v>
      </c>
      <c r="C6693" s="27" t="s">
        <v>144</v>
      </c>
      <c r="D6693" s="26"/>
      <c r="E6693" s="27"/>
      <c r="F6693" s="27"/>
      <c r="G6693" s="27" t="s">
        <v>11122</v>
      </c>
      <c r="H6693" s="27" t="s">
        <v>35</v>
      </c>
      <c r="I6693" s="27" t="s">
        <v>37</v>
      </c>
      <c r="J6693" s="28" t="s">
        <v>636</v>
      </c>
      <c r="K6693" s="27" t="s">
        <v>37</v>
      </c>
      <c r="L6693" s="27"/>
    </row>
    <row r="6694" customFormat="false" ht="15" hidden="false" customHeight="false" outlineLevel="0" collapsed="false">
      <c r="A6694" s="26" t="s">
        <v>18326</v>
      </c>
      <c r="B6694" s="27" t="s">
        <v>18327</v>
      </c>
      <c r="C6694" s="27" t="s">
        <v>144</v>
      </c>
      <c r="D6694" s="26"/>
      <c r="E6694" s="27"/>
      <c r="F6694" s="27"/>
      <c r="G6694" s="27" t="s">
        <v>11122</v>
      </c>
      <c r="H6694" s="27" t="s">
        <v>35</v>
      </c>
      <c r="I6694" s="27" t="s">
        <v>37</v>
      </c>
      <c r="J6694" s="28" t="s">
        <v>636</v>
      </c>
      <c r="K6694" s="27" t="s">
        <v>37</v>
      </c>
      <c r="L6694" s="27"/>
    </row>
    <row r="6695" customFormat="false" ht="15" hidden="false" customHeight="false" outlineLevel="0" collapsed="false">
      <c r="A6695" s="26" t="s">
        <v>18328</v>
      </c>
      <c r="B6695" s="27" t="s">
        <v>18329</v>
      </c>
      <c r="C6695" s="27" t="s">
        <v>144</v>
      </c>
      <c r="D6695" s="26"/>
      <c r="E6695" s="27"/>
      <c r="F6695" s="27"/>
      <c r="G6695" s="27" t="s">
        <v>11122</v>
      </c>
      <c r="H6695" s="27" t="s">
        <v>35</v>
      </c>
      <c r="I6695" s="27" t="s">
        <v>37</v>
      </c>
      <c r="J6695" s="28" t="s">
        <v>636</v>
      </c>
      <c r="K6695" s="27" t="s">
        <v>37</v>
      </c>
      <c r="L6695" s="27"/>
    </row>
    <row r="6696" customFormat="false" ht="15" hidden="false" customHeight="false" outlineLevel="0" collapsed="false">
      <c r="A6696" s="26" t="s">
        <v>18330</v>
      </c>
      <c r="B6696" s="27" t="s">
        <v>18331</v>
      </c>
      <c r="C6696" s="27" t="s">
        <v>144</v>
      </c>
      <c r="D6696" s="26"/>
      <c r="E6696" s="27"/>
      <c r="F6696" s="27"/>
      <c r="G6696" s="27" t="s">
        <v>11122</v>
      </c>
      <c r="H6696" s="27" t="s">
        <v>35</v>
      </c>
      <c r="I6696" s="27" t="s">
        <v>37</v>
      </c>
      <c r="J6696" s="28" t="s">
        <v>636</v>
      </c>
      <c r="K6696" s="27" t="s">
        <v>37</v>
      </c>
      <c r="L6696" s="27"/>
    </row>
    <row r="6697" customFormat="false" ht="15" hidden="false" customHeight="false" outlineLevel="0" collapsed="false">
      <c r="A6697" s="26" t="s">
        <v>18332</v>
      </c>
      <c r="B6697" s="27" t="s">
        <v>18333</v>
      </c>
      <c r="C6697" s="27" t="s">
        <v>144</v>
      </c>
      <c r="D6697" s="26"/>
      <c r="E6697" s="27"/>
      <c r="F6697" s="27"/>
      <c r="G6697" s="27" t="s">
        <v>11122</v>
      </c>
      <c r="H6697" s="27" t="s">
        <v>35</v>
      </c>
      <c r="I6697" s="27" t="s">
        <v>37</v>
      </c>
      <c r="J6697" s="28" t="s">
        <v>636</v>
      </c>
      <c r="K6697" s="27" t="s">
        <v>37</v>
      </c>
      <c r="L6697" s="27"/>
    </row>
    <row r="6698" customFormat="false" ht="15" hidden="false" customHeight="false" outlineLevel="0" collapsed="false">
      <c r="A6698" s="26" t="s">
        <v>18334</v>
      </c>
      <c r="B6698" s="27" t="s">
        <v>18335</v>
      </c>
      <c r="C6698" s="27" t="s">
        <v>144</v>
      </c>
      <c r="D6698" s="26"/>
      <c r="E6698" s="27"/>
      <c r="F6698" s="27"/>
      <c r="G6698" s="27" t="s">
        <v>11122</v>
      </c>
      <c r="H6698" s="27" t="s">
        <v>35</v>
      </c>
      <c r="I6698" s="27" t="s">
        <v>37</v>
      </c>
      <c r="J6698" s="28" t="s">
        <v>636</v>
      </c>
      <c r="K6698" s="27" t="s">
        <v>37</v>
      </c>
      <c r="L6698" s="27"/>
    </row>
    <row r="6699" customFormat="false" ht="15" hidden="false" customHeight="false" outlineLevel="0" collapsed="false">
      <c r="A6699" s="26" t="s">
        <v>18336</v>
      </c>
      <c r="B6699" s="27" t="s">
        <v>18337</v>
      </c>
      <c r="C6699" s="27" t="s">
        <v>144</v>
      </c>
      <c r="D6699" s="26"/>
      <c r="E6699" s="27"/>
      <c r="F6699" s="27"/>
      <c r="G6699" s="27" t="s">
        <v>11122</v>
      </c>
      <c r="H6699" s="27" t="s">
        <v>35</v>
      </c>
      <c r="I6699" s="27" t="s">
        <v>37</v>
      </c>
      <c r="J6699" s="28" t="s">
        <v>636</v>
      </c>
      <c r="K6699" s="27" t="s">
        <v>37</v>
      </c>
      <c r="L6699" s="27"/>
    </row>
    <row r="6700" customFormat="false" ht="15" hidden="false" customHeight="false" outlineLevel="0" collapsed="false">
      <c r="A6700" s="26" t="s">
        <v>18338</v>
      </c>
      <c r="B6700" s="27" t="s">
        <v>18339</v>
      </c>
      <c r="C6700" s="27" t="s">
        <v>144</v>
      </c>
      <c r="D6700" s="26"/>
      <c r="E6700" s="27"/>
      <c r="F6700" s="27"/>
      <c r="G6700" s="27" t="s">
        <v>11122</v>
      </c>
      <c r="H6700" s="27" t="s">
        <v>35</v>
      </c>
      <c r="I6700" s="27" t="s">
        <v>37</v>
      </c>
      <c r="J6700" s="28" t="s">
        <v>636</v>
      </c>
      <c r="K6700" s="27" t="s">
        <v>37</v>
      </c>
      <c r="L6700" s="27"/>
    </row>
    <row r="6701" customFormat="false" ht="15" hidden="false" customHeight="false" outlineLevel="0" collapsed="false">
      <c r="A6701" s="26" t="s">
        <v>18340</v>
      </c>
      <c r="B6701" s="27" t="s">
        <v>18341</v>
      </c>
      <c r="C6701" s="27" t="s">
        <v>144</v>
      </c>
      <c r="D6701" s="26"/>
      <c r="E6701" s="27"/>
      <c r="F6701" s="27"/>
      <c r="G6701" s="27" t="s">
        <v>11122</v>
      </c>
      <c r="H6701" s="27" t="s">
        <v>35</v>
      </c>
      <c r="I6701" s="27" t="s">
        <v>37</v>
      </c>
      <c r="J6701" s="28" t="s">
        <v>636</v>
      </c>
      <c r="K6701" s="27" t="s">
        <v>37</v>
      </c>
      <c r="L6701" s="27"/>
    </row>
    <row r="6702" customFormat="false" ht="15" hidden="false" customHeight="false" outlineLevel="0" collapsed="false">
      <c r="A6702" s="26" t="s">
        <v>18342</v>
      </c>
      <c r="B6702" s="27" t="s">
        <v>18343</v>
      </c>
      <c r="C6702" s="27" t="s">
        <v>144</v>
      </c>
      <c r="D6702" s="26"/>
      <c r="E6702" s="27"/>
      <c r="F6702" s="27"/>
      <c r="G6702" s="27" t="s">
        <v>11122</v>
      </c>
      <c r="H6702" s="27" t="s">
        <v>35</v>
      </c>
      <c r="I6702" s="27" t="s">
        <v>37</v>
      </c>
      <c r="J6702" s="28" t="s">
        <v>636</v>
      </c>
      <c r="K6702" s="27" t="s">
        <v>37</v>
      </c>
      <c r="L6702" s="27"/>
    </row>
    <row r="6703" customFormat="false" ht="15" hidden="false" customHeight="false" outlineLevel="0" collapsed="false">
      <c r="A6703" s="26" t="s">
        <v>18344</v>
      </c>
      <c r="B6703" s="27" t="s">
        <v>18345</v>
      </c>
      <c r="C6703" s="27" t="s">
        <v>144</v>
      </c>
      <c r="D6703" s="26"/>
      <c r="E6703" s="27"/>
      <c r="F6703" s="27"/>
      <c r="G6703" s="27" t="s">
        <v>11122</v>
      </c>
      <c r="H6703" s="27" t="s">
        <v>35</v>
      </c>
      <c r="I6703" s="27" t="s">
        <v>39</v>
      </c>
      <c r="J6703" s="28" t="s">
        <v>636</v>
      </c>
      <c r="K6703" s="27" t="s">
        <v>37</v>
      </c>
      <c r="L6703" s="27"/>
    </row>
    <row r="6704" customFormat="false" ht="15" hidden="false" customHeight="false" outlineLevel="0" collapsed="false">
      <c r="A6704" s="26" t="s">
        <v>18346</v>
      </c>
      <c r="B6704" s="27" t="s">
        <v>18347</v>
      </c>
      <c r="C6704" s="27" t="s">
        <v>144</v>
      </c>
      <c r="D6704" s="26"/>
      <c r="E6704" s="27"/>
      <c r="F6704" s="27"/>
      <c r="G6704" s="27" t="s">
        <v>11122</v>
      </c>
      <c r="H6704" s="27" t="s">
        <v>35</v>
      </c>
      <c r="I6704" s="27" t="s">
        <v>39</v>
      </c>
      <c r="J6704" s="28" t="s">
        <v>636</v>
      </c>
      <c r="K6704" s="27" t="s">
        <v>37</v>
      </c>
      <c r="L6704" s="27"/>
    </row>
    <row r="6705" customFormat="false" ht="15" hidden="false" customHeight="false" outlineLevel="0" collapsed="false">
      <c r="A6705" s="26" t="s">
        <v>18348</v>
      </c>
      <c r="B6705" s="27" t="s">
        <v>18349</v>
      </c>
      <c r="C6705" s="27" t="s">
        <v>144</v>
      </c>
      <c r="D6705" s="26"/>
      <c r="E6705" s="27"/>
      <c r="F6705" s="27"/>
      <c r="G6705" s="27" t="s">
        <v>11122</v>
      </c>
      <c r="H6705" s="27" t="s">
        <v>35</v>
      </c>
      <c r="I6705" s="27" t="s">
        <v>37</v>
      </c>
      <c r="J6705" s="28" t="s">
        <v>636</v>
      </c>
      <c r="K6705" s="27" t="s">
        <v>37</v>
      </c>
      <c r="L6705" s="27"/>
    </row>
    <row r="6706" customFormat="false" ht="15" hidden="false" customHeight="false" outlineLevel="0" collapsed="false">
      <c r="A6706" s="26" t="s">
        <v>18350</v>
      </c>
      <c r="B6706" s="27" t="s">
        <v>18351</v>
      </c>
      <c r="C6706" s="27" t="s">
        <v>144</v>
      </c>
      <c r="D6706" s="26"/>
      <c r="E6706" s="27"/>
      <c r="F6706" s="27"/>
      <c r="G6706" s="27" t="s">
        <v>11122</v>
      </c>
      <c r="H6706" s="27" t="s">
        <v>35</v>
      </c>
      <c r="I6706" s="27" t="s">
        <v>37</v>
      </c>
      <c r="J6706" s="28" t="s">
        <v>636</v>
      </c>
      <c r="K6706" s="27" t="s">
        <v>37</v>
      </c>
      <c r="L6706" s="27"/>
    </row>
    <row r="6707" customFormat="false" ht="15" hidden="false" customHeight="false" outlineLevel="0" collapsed="false">
      <c r="A6707" s="26" t="s">
        <v>18352</v>
      </c>
      <c r="B6707" s="27" t="s">
        <v>18353</v>
      </c>
      <c r="C6707" s="27" t="s">
        <v>370</v>
      </c>
      <c r="D6707" s="26"/>
      <c r="E6707" s="27"/>
      <c r="F6707" s="27"/>
      <c r="G6707" s="27" t="s">
        <v>11122</v>
      </c>
      <c r="H6707" s="27" t="s">
        <v>35</v>
      </c>
      <c r="I6707" s="27" t="s">
        <v>43</v>
      </c>
      <c r="J6707" s="28" t="s">
        <v>636</v>
      </c>
      <c r="K6707" s="27" t="s">
        <v>37</v>
      </c>
      <c r="L6707" s="27"/>
    </row>
    <row r="6708" customFormat="false" ht="15" hidden="false" customHeight="false" outlineLevel="0" collapsed="false">
      <c r="A6708" s="26" t="s">
        <v>18354</v>
      </c>
      <c r="B6708" s="27" t="s">
        <v>18355</v>
      </c>
      <c r="C6708" s="27" t="s">
        <v>144</v>
      </c>
      <c r="D6708" s="26"/>
      <c r="E6708" s="27"/>
      <c r="F6708" s="27"/>
      <c r="G6708" s="27" t="s">
        <v>11122</v>
      </c>
      <c r="H6708" s="27" t="s">
        <v>35</v>
      </c>
      <c r="I6708" s="27" t="s">
        <v>37</v>
      </c>
      <c r="J6708" s="28" t="s">
        <v>636</v>
      </c>
      <c r="K6708" s="27" t="s">
        <v>37</v>
      </c>
      <c r="L6708" s="27"/>
    </row>
    <row r="6709" customFormat="false" ht="15" hidden="false" customHeight="false" outlineLevel="0" collapsed="false">
      <c r="A6709" s="26" t="s">
        <v>18356</v>
      </c>
      <c r="B6709" s="27" t="s">
        <v>18357</v>
      </c>
      <c r="C6709" s="27" t="s">
        <v>144</v>
      </c>
      <c r="D6709" s="26"/>
      <c r="E6709" s="27"/>
      <c r="F6709" s="27"/>
      <c r="G6709" s="27" t="s">
        <v>11122</v>
      </c>
      <c r="H6709" s="27" t="s">
        <v>35</v>
      </c>
      <c r="I6709" s="27" t="s">
        <v>43</v>
      </c>
      <c r="J6709" s="28" t="s">
        <v>636</v>
      </c>
      <c r="K6709" s="27" t="s">
        <v>37</v>
      </c>
      <c r="L6709" s="27"/>
    </row>
    <row r="6710" customFormat="false" ht="15" hidden="false" customHeight="false" outlineLevel="0" collapsed="false">
      <c r="A6710" s="26" t="s">
        <v>18358</v>
      </c>
      <c r="B6710" s="27" t="s">
        <v>18359</v>
      </c>
      <c r="C6710" s="27" t="s">
        <v>144</v>
      </c>
      <c r="D6710" s="26"/>
      <c r="E6710" s="27"/>
      <c r="F6710" s="27"/>
      <c r="G6710" s="27" t="s">
        <v>11122</v>
      </c>
      <c r="H6710" s="27" t="s">
        <v>35</v>
      </c>
      <c r="I6710" s="27" t="s">
        <v>37</v>
      </c>
      <c r="J6710" s="28" t="s">
        <v>636</v>
      </c>
      <c r="K6710" s="27" t="s">
        <v>37</v>
      </c>
      <c r="L6710" s="27"/>
    </row>
    <row r="6711" customFormat="false" ht="15" hidden="false" customHeight="false" outlineLevel="0" collapsed="false">
      <c r="A6711" s="26" t="s">
        <v>18360</v>
      </c>
      <c r="B6711" s="27" t="s">
        <v>18361</v>
      </c>
      <c r="C6711" s="27" t="s">
        <v>144</v>
      </c>
      <c r="D6711" s="26"/>
      <c r="E6711" s="27"/>
      <c r="F6711" s="27"/>
      <c r="G6711" s="27" t="s">
        <v>11122</v>
      </c>
      <c r="H6711" s="27" t="s">
        <v>35</v>
      </c>
      <c r="I6711" s="27" t="s">
        <v>37</v>
      </c>
      <c r="J6711" s="28" t="s">
        <v>636</v>
      </c>
      <c r="K6711" s="27" t="s">
        <v>37</v>
      </c>
      <c r="L6711" s="27"/>
    </row>
    <row r="6712" customFormat="false" ht="15" hidden="false" customHeight="false" outlineLevel="0" collapsed="false">
      <c r="A6712" s="26" t="s">
        <v>18362</v>
      </c>
      <c r="B6712" s="27" t="s">
        <v>18363</v>
      </c>
      <c r="C6712" s="27" t="s">
        <v>144</v>
      </c>
      <c r="D6712" s="26"/>
      <c r="E6712" s="27"/>
      <c r="F6712" s="27"/>
      <c r="G6712" s="27" t="s">
        <v>11122</v>
      </c>
      <c r="H6712" s="27" t="s">
        <v>35</v>
      </c>
      <c r="I6712" s="27" t="s">
        <v>37</v>
      </c>
      <c r="J6712" s="28" t="s">
        <v>636</v>
      </c>
      <c r="K6712" s="27" t="s">
        <v>37</v>
      </c>
      <c r="L6712" s="27"/>
    </row>
    <row r="6713" customFormat="false" ht="15" hidden="false" customHeight="false" outlineLevel="0" collapsed="false">
      <c r="A6713" s="26" t="s">
        <v>18364</v>
      </c>
      <c r="B6713" s="27" t="s">
        <v>18365</v>
      </c>
      <c r="C6713" s="27" t="s">
        <v>144</v>
      </c>
      <c r="D6713" s="26"/>
      <c r="E6713" s="27"/>
      <c r="F6713" s="27"/>
      <c r="G6713" s="27" t="s">
        <v>11122</v>
      </c>
      <c r="H6713" s="27" t="s">
        <v>35</v>
      </c>
      <c r="I6713" s="27" t="s">
        <v>37</v>
      </c>
      <c r="J6713" s="28" t="s">
        <v>636</v>
      </c>
      <c r="K6713" s="27" t="s">
        <v>37</v>
      </c>
      <c r="L6713" s="27"/>
    </row>
    <row r="6714" customFormat="false" ht="15" hidden="false" customHeight="false" outlineLevel="0" collapsed="false">
      <c r="A6714" s="26" t="s">
        <v>18366</v>
      </c>
      <c r="B6714" s="27" t="s">
        <v>18367</v>
      </c>
      <c r="C6714" s="27" t="s">
        <v>144</v>
      </c>
      <c r="D6714" s="26"/>
      <c r="E6714" s="27"/>
      <c r="F6714" s="27"/>
      <c r="G6714" s="27" t="s">
        <v>11122</v>
      </c>
      <c r="H6714" s="27" t="s">
        <v>35</v>
      </c>
      <c r="I6714" s="27" t="s">
        <v>37</v>
      </c>
      <c r="J6714" s="28" t="s">
        <v>636</v>
      </c>
      <c r="K6714" s="27" t="s">
        <v>37</v>
      </c>
      <c r="L6714" s="27"/>
    </row>
    <row r="6715" customFormat="false" ht="15" hidden="false" customHeight="false" outlineLevel="0" collapsed="false">
      <c r="A6715" s="26" t="s">
        <v>18368</v>
      </c>
      <c r="B6715" s="27" t="s">
        <v>18369</v>
      </c>
      <c r="C6715" s="27" t="s">
        <v>144</v>
      </c>
      <c r="D6715" s="26"/>
      <c r="E6715" s="27"/>
      <c r="F6715" s="27"/>
      <c r="G6715" s="27" t="s">
        <v>11122</v>
      </c>
      <c r="H6715" s="27" t="s">
        <v>35</v>
      </c>
      <c r="I6715" s="27" t="s">
        <v>37</v>
      </c>
      <c r="J6715" s="28" t="s">
        <v>636</v>
      </c>
      <c r="K6715" s="27" t="s">
        <v>37</v>
      </c>
      <c r="L6715" s="27"/>
    </row>
    <row r="6716" customFormat="false" ht="15" hidden="false" customHeight="false" outlineLevel="0" collapsed="false">
      <c r="A6716" s="26" t="s">
        <v>18370</v>
      </c>
      <c r="B6716" s="27" t="s">
        <v>18371</v>
      </c>
      <c r="C6716" s="27" t="s">
        <v>144</v>
      </c>
      <c r="D6716" s="26"/>
      <c r="E6716" s="27"/>
      <c r="F6716" s="27"/>
      <c r="G6716" s="27" t="s">
        <v>11122</v>
      </c>
      <c r="H6716" s="27" t="s">
        <v>35</v>
      </c>
      <c r="I6716" s="27" t="s">
        <v>41</v>
      </c>
      <c r="J6716" s="28" t="s">
        <v>636</v>
      </c>
      <c r="K6716" s="27" t="s">
        <v>37</v>
      </c>
      <c r="L6716" s="27"/>
    </row>
    <row r="6717" customFormat="false" ht="15" hidden="false" customHeight="false" outlineLevel="0" collapsed="false">
      <c r="A6717" s="26" t="s">
        <v>18372</v>
      </c>
      <c r="B6717" s="27" t="s">
        <v>18373</v>
      </c>
      <c r="C6717" s="27" t="s">
        <v>144</v>
      </c>
      <c r="D6717" s="26"/>
      <c r="E6717" s="27"/>
      <c r="F6717" s="27"/>
      <c r="G6717" s="27" t="s">
        <v>11122</v>
      </c>
      <c r="H6717" s="27" t="s">
        <v>35</v>
      </c>
      <c r="I6717" s="27" t="s">
        <v>37</v>
      </c>
      <c r="J6717" s="28" t="s">
        <v>636</v>
      </c>
      <c r="K6717" s="27" t="s">
        <v>37</v>
      </c>
      <c r="L6717" s="27"/>
    </row>
    <row r="6718" customFormat="false" ht="15" hidden="false" customHeight="false" outlineLevel="0" collapsed="false">
      <c r="A6718" s="26" t="s">
        <v>18374</v>
      </c>
      <c r="B6718" s="27" t="s">
        <v>18375</v>
      </c>
      <c r="C6718" s="27" t="s">
        <v>144</v>
      </c>
      <c r="D6718" s="26"/>
      <c r="E6718" s="27"/>
      <c r="F6718" s="27"/>
      <c r="G6718" s="27" t="s">
        <v>11122</v>
      </c>
      <c r="H6718" s="27" t="s">
        <v>35</v>
      </c>
      <c r="I6718" s="27" t="s">
        <v>37</v>
      </c>
      <c r="J6718" s="28" t="s">
        <v>636</v>
      </c>
      <c r="K6718" s="27" t="s">
        <v>37</v>
      </c>
      <c r="L6718" s="27"/>
    </row>
    <row r="6719" customFormat="false" ht="15" hidden="false" customHeight="false" outlineLevel="0" collapsed="false">
      <c r="A6719" s="26" t="s">
        <v>18376</v>
      </c>
      <c r="B6719" s="27" t="s">
        <v>18377</v>
      </c>
      <c r="C6719" s="27" t="s">
        <v>144</v>
      </c>
      <c r="D6719" s="26"/>
      <c r="E6719" s="27"/>
      <c r="F6719" s="27"/>
      <c r="G6719" s="27" t="s">
        <v>11122</v>
      </c>
      <c r="H6719" s="27" t="s">
        <v>35</v>
      </c>
      <c r="I6719" s="27" t="s">
        <v>37</v>
      </c>
      <c r="J6719" s="28" t="s">
        <v>636</v>
      </c>
      <c r="K6719" s="27" t="s">
        <v>37</v>
      </c>
      <c r="L6719" s="27"/>
    </row>
    <row r="6720" customFormat="false" ht="15" hidden="false" customHeight="false" outlineLevel="0" collapsed="false">
      <c r="A6720" s="26" t="s">
        <v>18378</v>
      </c>
      <c r="B6720" s="27" t="s">
        <v>18379</v>
      </c>
      <c r="C6720" s="27" t="s">
        <v>144</v>
      </c>
      <c r="D6720" s="26"/>
      <c r="E6720" s="27"/>
      <c r="F6720" s="27"/>
      <c r="G6720" s="27" t="s">
        <v>11122</v>
      </c>
      <c r="H6720" s="27" t="s">
        <v>35</v>
      </c>
      <c r="I6720" s="27" t="s">
        <v>37</v>
      </c>
      <c r="J6720" s="28" t="s">
        <v>636</v>
      </c>
      <c r="K6720" s="27" t="s">
        <v>37</v>
      </c>
      <c r="L6720" s="27"/>
    </row>
    <row r="6721" customFormat="false" ht="15" hidden="false" customHeight="false" outlineLevel="0" collapsed="false">
      <c r="A6721" s="26" t="s">
        <v>18380</v>
      </c>
      <c r="B6721" s="27" t="s">
        <v>18381</v>
      </c>
      <c r="C6721" s="27" t="s">
        <v>1612</v>
      </c>
      <c r="D6721" s="26"/>
      <c r="E6721" s="27"/>
      <c r="F6721" s="27"/>
      <c r="G6721" s="27" t="s">
        <v>11122</v>
      </c>
      <c r="H6721" s="27" t="s">
        <v>35</v>
      </c>
      <c r="I6721" s="27" t="s">
        <v>37</v>
      </c>
      <c r="J6721" s="28" t="s">
        <v>636</v>
      </c>
      <c r="K6721" s="27" t="s">
        <v>37</v>
      </c>
      <c r="L6721" s="27"/>
    </row>
    <row r="6722" customFormat="false" ht="15" hidden="false" customHeight="false" outlineLevel="0" collapsed="false">
      <c r="A6722" s="26" t="s">
        <v>18382</v>
      </c>
      <c r="B6722" s="27" t="s">
        <v>18383</v>
      </c>
      <c r="C6722" s="27" t="s">
        <v>144</v>
      </c>
      <c r="D6722" s="26"/>
      <c r="E6722" s="27"/>
      <c r="F6722" s="27"/>
      <c r="G6722" s="27" t="s">
        <v>11122</v>
      </c>
      <c r="H6722" s="27" t="s">
        <v>35</v>
      </c>
      <c r="I6722" s="27" t="s">
        <v>37</v>
      </c>
      <c r="J6722" s="28" t="s">
        <v>636</v>
      </c>
      <c r="K6722" s="27" t="s">
        <v>37</v>
      </c>
      <c r="L6722" s="27"/>
    </row>
    <row r="6723" customFormat="false" ht="15" hidden="false" customHeight="false" outlineLevel="0" collapsed="false">
      <c r="A6723" s="26" t="s">
        <v>18384</v>
      </c>
      <c r="B6723" s="27" t="s">
        <v>18385</v>
      </c>
      <c r="C6723" s="27" t="s">
        <v>100</v>
      </c>
      <c r="D6723" s="26"/>
      <c r="E6723" s="27"/>
      <c r="F6723" s="27"/>
      <c r="G6723" s="27" t="s">
        <v>11122</v>
      </c>
      <c r="H6723" s="27" t="s">
        <v>35</v>
      </c>
      <c r="I6723" s="27" t="s">
        <v>37</v>
      </c>
      <c r="J6723" s="28" t="s">
        <v>636</v>
      </c>
      <c r="K6723" s="27" t="s">
        <v>37</v>
      </c>
      <c r="L6723" s="27"/>
    </row>
    <row r="6724" customFormat="false" ht="15" hidden="false" customHeight="false" outlineLevel="0" collapsed="false">
      <c r="A6724" s="26" t="s">
        <v>18386</v>
      </c>
      <c r="B6724" s="27" t="s">
        <v>18387</v>
      </c>
      <c r="C6724" s="27" t="s">
        <v>144</v>
      </c>
      <c r="D6724" s="26"/>
      <c r="E6724" s="27"/>
      <c r="F6724" s="27"/>
      <c r="G6724" s="27" t="s">
        <v>11122</v>
      </c>
      <c r="H6724" s="27" t="s">
        <v>35</v>
      </c>
      <c r="I6724" s="27" t="s">
        <v>37</v>
      </c>
      <c r="J6724" s="28" t="s">
        <v>636</v>
      </c>
      <c r="K6724" s="27" t="s">
        <v>37</v>
      </c>
      <c r="L6724" s="27"/>
    </row>
    <row r="6725" customFormat="false" ht="15" hidden="false" customHeight="false" outlineLevel="0" collapsed="false">
      <c r="A6725" s="26" t="s">
        <v>18388</v>
      </c>
      <c r="B6725" s="27" t="s">
        <v>18389</v>
      </c>
      <c r="C6725" s="27" t="s">
        <v>144</v>
      </c>
      <c r="D6725" s="26"/>
      <c r="E6725" s="27"/>
      <c r="F6725" s="27"/>
      <c r="G6725" s="27" t="s">
        <v>11122</v>
      </c>
      <c r="H6725" s="27" t="s">
        <v>35</v>
      </c>
      <c r="I6725" s="27" t="s">
        <v>37</v>
      </c>
      <c r="J6725" s="28" t="s">
        <v>636</v>
      </c>
      <c r="K6725" s="27" t="s">
        <v>37</v>
      </c>
      <c r="L6725" s="27"/>
    </row>
    <row r="6726" customFormat="false" ht="15" hidden="false" customHeight="false" outlineLevel="0" collapsed="false">
      <c r="A6726" s="26" t="s">
        <v>18390</v>
      </c>
      <c r="B6726" s="27" t="s">
        <v>18391</v>
      </c>
      <c r="C6726" s="27" t="s">
        <v>144</v>
      </c>
      <c r="D6726" s="26"/>
      <c r="E6726" s="27"/>
      <c r="F6726" s="27"/>
      <c r="G6726" s="27" t="s">
        <v>11122</v>
      </c>
      <c r="H6726" s="27" t="s">
        <v>35</v>
      </c>
      <c r="I6726" s="27" t="s">
        <v>37</v>
      </c>
      <c r="J6726" s="28" t="s">
        <v>636</v>
      </c>
      <c r="K6726" s="27" t="s">
        <v>37</v>
      </c>
      <c r="L6726" s="27"/>
    </row>
    <row r="6727" customFormat="false" ht="15" hidden="false" customHeight="false" outlineLevel="0" collapsed="false">
      <c r="A6727" s="26" t="s">
        <v>18392</v>
      </c>
      <c r="B6727" s="27" t="s">
        <v>18393</v>
      </c>
      <c r="C6727" s="27" t="s">
        <v>144</v>
      </c>
      <c r="D6727" s="26"/>
      <c r="E6727" s="27"/>
      <c r="F6727" s="27"/>
      <c r="G6727" s="27" t="s">
        <v>11122</v>
      </c>
      <c r="H6727" s="27" t="s">
        <v>35</v>
      </c>
      <c r="I6727" s="27" t="s">
        <v>37</v>
      </c>
      <c r="J6727" s="28" t="s">
        <v>636</v>
      </c>
      <c r="K6727" s="27" t="s">
        <v>37</v>
      </c>
      <c r="L6727" s="27"/>
    </row>
    <row r="6728" customFormat="false" ht="15" hidden="false" customHeight="false" outlineLevel="0" collapsed="false">
      <c r="A6728" s="26" t="s">
        <v>18394</v>
      </c>
      <c r="B6728" s="27" t="s">
        <v>18395</v>
      </c>
      <c r="C6728" s="27" t="s">
        <v>144</v>
      </c>
      <c r="D6728" s="26"/>
      <c r="E6728" s="27"/>
      <c r="F6728" s="27"/>
      <c r="G6728" s="27" t="s">
        <v>11122</v>
      </c>
      <c r="H6728" s="27" t="s">
        <v>35</v>
      </c>
      <c r="I6728" s="27" t="s">
        <v>37</v>
      </c>
      <c r="J6728" s="28" t="s">
        <v>636</v>
      </c>
      <c r="K6728" s="27" t="s">
        <v>37</v>
      </c>
      <c r="L6728" s="27"/>
    </row>
    <row r="6729" customFormat="false" ht="15" hidden="false" customHeight="false" outlineLevel="0" collapsed="false">
      <c r="A6729" s="26" t="s">
        <v>18396</v>
      </c>
      <c r="B6729" s="27" t="s">
        <v>18397</v>
      </c>
      <c r="C6729" s="27" t="s">
        <v>144</v>
      </c>
      <c r="D6729" s="26"/>
      <c r="E6729" s="27"/>
      <c r="F6729" s="27"/>
      <c r="G6729" s="27" t="s">
        <v>11122</v>
      </c>
      <c r="H6729" s="27" t="s">
        <v>35</v>
      </c>
      <c r="I6729" s="27" t="s">
        <v>38</v>
      </c>
      <c r="J6729" s="28" t="s">
        <v>636</v>
      </c>
      <c r="K6729" s="27" t="s">
        <v>37</v>
      </c>
      <c r="L6729" s="27"/>
    </row>
    <row r="6730" customFormat="false" ht="15" hidden="false" customHeight="false" outlineLevel="0" collapsed="false">
      <c r="A6730" s="26" t="s">
        <v>18398</v>
      </c>
      <c r="B6730" s="27" t="s">
        <v>18399</v>
      </c>
      <c r="C6730" s="27" t="s">
        <v>144</v>
      </c>
      <c r="D6730" s="26"/>
      <c r="E6730" s="27"/>
      <c r="F6730" s="27"/>
      <c r="G6730" s="27" t="s">
        <v>11122</v>
      </c>
      <c r="H6730" s="27" t="s">
        <v>35</v>
      </c>
      <c r="I6730" s="27" t="s">
        <v>41</v>
      </c>
      <c r="J6730" s="28" t="s">
        <v>636</v>
      </c>
      <c r="K6730" s="27" t="s">
        <v>37</v>
      </c>
      <c r="L6730" s="27"/>
    </row>
    <row r="6731" customFormat="false" ht="15" hidden="false" customHeight="false" outlineLevel="0" collapsed="false">
      <c r="A6731" s="26" t="s">
        <v>18400</v>
      </c>
      <c r="B6731" s="27" t="s">
        <v>18401</v>
      </c>
      <c r="C6731" s="27" t="s">
        <v>144</v>
      </c>
      <c r="D6731" s="26"/>
      <c r="E6731" s="27"/>
      <c r="F6731" s="27"/>
      <c r="G6731" s="27" t="s">
        <v>11122</v>
      </c>
      <c r="H6731" s="27" t="s">
        <v>35</v>
      </c>
      <c r="I6731" s="27" t="s">
        <v>41</v>
      </c>
      <c r="J6731" s="28" t="s">
        <v>636</v>
      </c>
      <c r="K6731" s="27" t="s">
        <v>37</v>
      </c>
      <c r="L6731" s="27"/>
    </row>
    <row r="6732" customFormat="false" ht="15" hidden="false" customHeight="false" outlineLevel="0" collapsed="false">
      <c r="A6732" s="26" t="s">
        <v>18402</v>
      </c>
      <c r="B6732" s="27" t="s">
        <v>18403</v>
      </c>
      <c r="C6732" s="27" t="s">
        <v>144</v>
      </c>
      <c r="D6732" s="26"/>
      <c r="E6732" s="27"/>
      <c r="F6732" s="27"/>
      <c r="G6732" s="27" t="s">
        <v>11122</v>
      </c>
      <c r="H6732" s="27" t="s">
        <v>35</v>
      </c>
      <c r="I6732" s="27" t="s">
        <v>37</v>
      </c>
      <c r="J6732" s="28" t="s">
        <v>636</v>
      </c>
      <c r="K6732" s="27" t="s">
        <v>37</v>
      </c>
      <c r="L6732" s="27"/>
    </row>
    <row r="6733" customFormat="false" ht="15" hidden="false" customHeight="false" outlineLevel="0" collapsed="false">
      <c r="A6733" s="26" t="s">
        <v>18404</v>
      </c>
      <c r="B6733" s="27" t="s">
        <v>18405</v>
      </c>
      <c r="C6733" s="27" t="s">
        <v>144</v>
      </c>
      <c r="D6733" s="26"/>
      <c r="E6733" s="27"/>
      <c r="F6733" s="27"/>
      <c r="G6733" s="27" t="s">
        <v>11122</v>
      </c>
      <c r="H6733" s="27" t="s">
        <v>35</v>
      </c>
      <c r="I6733" s="27" t="s">
        <v>37</v>
      </c>
      <c r="J6733" s="28" t="s">
        <v>636</v>
      </c>
      <c r="K6733" s="27" t="s">
        <v>37</v>
      </c>
      <c r="L6733" s="27"/>
    </row>
    <row r="6734" customFormat="false" ht="15" hidden="false" customHeight="false" outlineLevel="0" collapsed="false">
      <c r="A6734" s="26" t="s">
        <v>18406</v>
      </c>
      <c r="B6734" s="27" t="s">
        <v>18407</v>
      </c>
      <c r="C6734" s="27" t="s">
        <v>144</v>
      </c>
      <c r="D6734" s="26"/>
      <c r="E6734" s="27"/>
      <c r="F6734" s="27"/>
      <c r="G6734" s="27" t="s">
        <v>11122</v>
      </c>
      <c r="H6734" s="27" t="s">
        <v>35</v>
      </c>
      <c r="I6734" s="27" t="s">
        <v>37</v>
      </c>
      <c r="J6734" s="28" t="s">
        <v>636</v>
      </c>
      <c r="K6734" s="27" t="s">
        <v>37</v>
      </c>
      <c r="L6734" s="27"/>
    </row>
    <row r="6735" customFormat="false" ht="15" hidden="false" customHeight="false" outlineLevel="0" collapsed="false">
      <c r="A6735" s="26" t="s">
        <v>18408</v>
      </c>
      <c r="B6735" s="27" t="s">
        <v>18409</v>
      </c>
      <c r="C6735" s="27" t="s">
        <v>131</v>
      </c>
      <c r="D6735" s="26"/>
      <c r="E6735" s="27"/>
      <c r="F6735" s="27"/>
      <c r="G6735" s="27" t="s">
        <v>11122</v>
      </c>
      <c r="H6735" s="27" t="s">
        <v>35</v>
      </c>
      <c r="I6735" s="27" t="s">
        <v>49</v>
      </c>
      <c r="J6735" s="28" t="s">
        <v>636</v>
      </c>
      <c r="K6735" s="27" t="s">
        <v>37</v>
      </c>
      <c r="L6735" s="27"/>
    </row>
    <row r="6736" customFormat="false" ht="15" hidden="false" customHeight="false" outlineLevel="0" collapsed="false">
      <c r="A6736" s="26" t="s">
        <v>18410</v>
      </c>
      <c r="B6736" s="28" t="s">
        <v>18411</v>
      </c>
      <c r="C6736" s="27" t="s">
        <v>131</v>
      </c>
      <c r="D6736" s="26"/>
      <c r="E6736" s="27"/>
      <c r="F6736" s="27"/>
      <c r="G6736" s="27" t="s">
        <v>11122</v>
      </c>
      <c r="H6736" s="27" t="s">
        <v>35</v>
      </c>
      <c r="I6736" s="27" t="s">
        <v>41</v>
      </c>
      <c r="J6736" s="28" t="s">
        <v>636</v>
      </c>
      <c r="K6736" s="27" t="s">
        <v>37</v>
      </c>
      <c r="L6736" s="27"/>
    </row>
    <row r="6737" customFormat="false" ht="15" hidden="false" customHeight="false" outlineLevel="0" collapsed="false">
      <c r="A6737" s="26" t="s">
        <v>18412</v>
      </c>
      <c r="B6737" s="27" t="s">
        <v>18413</v>
      </c>
      <c r="C6737" s="27" t="s">
        <v>131</v>
      </c>
      <c r="D6737" s="26"/>
      <c r="E6737" s="27"/>
      <c r="F6737" s="27"/>
      <c r="G6737" s="27" t="s">
        <v>11122</v>
      </c>
      <c r="H6737" s="27" t="s">
        <v>35</v>
      </c>
      <c r="I6737" s="27" t="s">
        <v>49</v>
      </c>
      <c r="J6737" s="28" t="s">
        <v>636</v>
      </c>
      <c r="K6737" s="27" t="s">
        <v>37</v>
      </c>
      <c r="L6737" s="27"/>
    </row>
    <row r="6738" customFormat="false" ht="15" hidden="false" customHeight="false" outlineLevel="0" collapsed="false">
      <c r="A6738" s="26" t="s">
        <v>18414</v>
      </c>
      <c r="B6738" s="27" t="s">
        <v>18415</v>
      </c>
      <c r="C6738" s="27" t="s">
        <v>131</v>
      </c>
      <c r="D6738" s="26"/>
      <c r="E6738" s="27"/>
      <c r="F6738" s="27"/>
      <c r="G6738" s="27" t="s">
        <v>11122</v>
      </c>
      <c r="H6738" s="27" t="s">
        <v>35</v>
      </c>
      <c r="I6738" s="27" t="s">
        <v>49</v>
      </c>
      <c r="J6738" s="28" t="s">
        <v>636</v>
      </c>
      <c r="K6738" s="27" t="s">
        <v>37</v>
      </c>
      <c r="L6738" s="27"/>
    </row>
    <row r="6739" customFormat="false" ht="15" hidden="false" customHeight="false" outlineLevel="0" collapsed="false">
      <c r="A6739" s="26" t="s">
        <v>18416</v>
      </c>
      <c r="B6739" s="27" t="s">
        <v>18417</v>
      </c>
      <c r="C6739" s="27" t="s">
        <v>131</v>
      </c>
      <c r="D6739" s="26"/>
      <c r="E6739" s="27"/>
      <c r="F6739" s="27"/>
      <c r="G6739" s="27" t="s">
        <v>11122</v>
      </c>
      <c r="H6739" s="27" t="s">
        <v>35</v>
      </c>
      <c r="I6739" s="27" t="s">
        <v>49</v>
      </c>
      <c r="J6739" s="28" t="s">
        <v>636</v>
      </c>
      <c r="K6739" s="27" t="s">
        <v>37</v>
      </c>
      <c r="L6739" s="27"/>
    </row>
    <row r="6740" customFormat="false" ht="15" hidden="false" customHeight="false" outlineLevel="0" collapsed="false">
      <c r="A6740" s="26" t="s">
        <v>18418</v>
      </c>
      <c r="B6740" s="27" t="s">
        <v>18419</v>
      </c>
      <c r="C6740" s="27" t="s">
        <v>131</v>
      </c>
      <c r="D6740" s="26"/>
      <c r="E6740" s="27"/>
      <c r="F6740" s="27"/>
      <c r="G6740" s="27" t="s">
        <v>11122</v>
      </c>
      <c r="H6740" s="27" t="s">
        <v>35</v>
      </c>
      <c r="I6740" s="27" t="s">
        <v>49</v>
      </c>
      <c r="J6740" s="28" t="s">
        <v>636</v>
      </c>
      <c r="K6740" s="27" t="s">
        <v>37</v>
      </c>
      <c r="L6740" s="27"/>
    </row>
    <row r="6741" customFormat="false" ht="15" hidden="false" customHeight="false" outlineLevel="0" collapsed="false">
      <c r="A6741" s="26" t="s">
        <v>18420</v>
      </c>
      <c r="B6741" s="27" t="s">
        <v>18421</v>
      </c>
      <c r="C6741" s="27" t="s">
        <v>144</v>
      </c>
      <c r="D6741" s="26"/>
      <c r="E6741" s="27"/>
      <c r="F6741" s="27"/>
      <c r="G6741" s="27" t="s">
        <v>11122</v>
      </c>
      <c r="H6741" s="27" t="s">
        <v>35</v>
      </c>
      <c r="I6741" s="27" t="s">
        <v>49</v>
      </c>
      <c r="J6741" s="28" t="s">
        <v>636</v>
      </c>
      <c r="K6741" s="27" t="s">
        <v>37</v>
      </c>
      <c r="L6741" s="27"/>
    </row>
    <row r="6742" customFormat="false" ht="15" hidden="false" customHeight="false" outlineLevel="0" collapsed="false">
      <c r="A6742" s="26" t="s">
        <v>18422</v>
      </c>
      <c r="B6742" s="27" t="s">
        <v>18423</v>
      </c>
      <c r="C6742" s="27" t="s">
        <v>131</v>
      </c>
      <c r="D6742" s="26"/>
      <c r="E6742" s="27"/>
      <c r="F6742" s="27"/>
      <c r="G6742" s="27" t="s">
        <v>11122</v>
      </c>
      <c r="H6742" s="27" t="s">
        <v>35</v>
      </c>
      <c r="I6742" s="27" t="s">
        <v>49</v>
      </c>
      <c r="J6742" s="28" t="s">
        <v>636</v>
      </c>
      <c r="K6742" s="27" t="s">
        <v>37</v>
      </c>
      <c r="L6742" s="27"/>
    </row>
    <row r="6743" customFormat="false" ht="15" hidden="false" customHeight="false" outlineLevel="0" collapsed="false">
      <c r="A6743" s="26" t="s">
        <v>18424</v>
      </c>
      <c r="B6743" s="27" t="s">
        <v>18425</v>
      </c>
      <c r="C6743" s="27" t="s">
        <v>131</v>
      </c>
      <c r="D6743" s="26"/>
      <c r="E6743" s="27"/>
      <c r="F6743" s="27"/>
      <c r="G6743" s="27" t="s">
        <v>11122</v>
      </c>
      <c r="H6743" s="27" t="s">
        <v>35</v>
      </c>
      <c r="I6743" s="27" t="s">
        <v>49</v>
      </c>
      <c r="J6743" s="28" t="s">
        <v>636</v>
      </c>
      <c r="K6743" s="27" t="s">
        <v>37</v>
      </c>
      <c r="L6743" s="27"/>
    </row>
    <row r="6744" customFormat="false" ht="15" hidden="false" customHeight="false" outlineLevel="0" collapsed="false">
      <c r="A6744" s="26" t="s">
        <v>18426</v>
      </c>
      <c r="B6744" s="27" t="s">
        <v>18427</v>
      </c>
      <c r="C6744" s="27" t="s">
        <v>131</v>
      </c>
      <c r="D6744" s="26"/>
      <c r="E6744" s="27"/>
      <c r="F6744" s="27"/>
      <c r="G6744" s="27" t="s">
        <v>11122</v>
      </c>
      <c r="H6744" s="27" t="s">
        <v>35</v>
      </c>
      <c r="I6744" s="27" t="s">
        <v>49</v>
      </c>
      <c r="J6744" s="28" t="s">
        <v>636</v>
      </c>
      <c r="K6744" s="27" t="s">
        <v>37</v>
      </c>
      <c r="L6744" s="27"/>
    </row>
    <row r="6745" customFormat="false" ht="15" hidden="false" customHeight="false" outlineLevel="0" collapsed="false">
      <c r="A6745" s="26" t="s">
        <v>18428</v>
      </c>
      <c r="B6745" s="27" t="s">
        <v>18429</v>
      </c>
      <c r="C6745" s="27" t="s">
        <v>131</v>
      </c>
      <c r="D6745" s="26"/>
      <c r="E6745" s="27"/>
      <c r="F6745" s="27"/>
      <c r="G6745" s="27" t="s">
        <v>11122</v>
      </c>
      <c r="H6745" s="27" t="s">
        <v>35</v>
      </c>
      <c r="I6745" s="27" t="s">
        <v>49</v>
      </c>
      <c r="J6745" s="28" t="s">
        <v>636</v>
      </c>
      <c r="K6745" s="27" t="s">
        <v>37</v>
      </c>
      <c r="L6745" s="27"/>
    </row>
    <row r="6746" customFormat="false" ht="15" hidden="false" customHeight="false" outlineLevel="0" collapsed="false">
      <c r="A6746" s="26" t="s">
        <v>18430</v>
      </c>
      <c r="B6746" s="27" t="s">
        <v>18431</v>
      </c>
      <c r="C6746" s="27" t="s">
        <v>131</v>
      </c>
      <c r="D6746" s="26"/>
      <c r="E6746" s="27"/>
      <c r="F6746" s="27"/>
      <c r="G6746" s="27" t="s">
        <v>11122</v>
      </c>
      <c r="H6746" s="27" t="s">
        <v>35</v>
      </c>
      <c r="I6746" s="27" t="s">
        <v>49</v>
      </c>
      <c r="J6746" s="28" t="s">
        <v>636</v>
      </c>
      <c r="K6746" s="27" t="s">
        <v>37</v>
      </c>
      <c r="L6746" s="27"/>
    </row>
    <row r="6747" customFormat="false" ht="15" hidden="false" customHeight="false" outlineLevel="0" collapsed="false">
      <c r="A6747" s="26" t="s">
        <v>18432</v>
      </c>
      <c r="B6747" s="27" t="s">
        <v>18433</v>
      </c>
      <c r="C6747" s="27" t="s">
        <v>131</v>
      </c>
      <c r="D6747" s="26"/>
      <c r="E6747" s="27"/>
      <c r="F6747" s="27"/>
      <c r="G6747" s="27" t="s">
        <v>11122</v>
      </c>
      <c r="H6747" s="27" t="s">
        <v>35</v>
      </c>
      <c r="I6747" s="27" t="s">
        <v>49</v>
      </c>
      <c r="J6747" s="28" t="s">
        <v>636</v>
      </c>
      <c r="K6747" s="27" t="s">
        <v>37</v>
      </c>
      <c r="L6747" s="27"/>
    </row>
    <row r="6748" customFormat="false" ht="15" hidden="false" customHeight="false" outlineLevel="0" collapsed="false">
      <c r="A6748" s="26" t="s">
        <v>18434</v>
      </c>
      <c r="B6748" s="27" t="s">
        <v>18435</v>
      </c>
      <c r="C6748" s="27" t="s">
        <v>131</v>
      </c>
      <c r="D6748" s="26"/>
      <c r="E6748" s="27"/>
      <c r="F6748" s="27"/>
      <c r="G6748" s="27" t="s">
        <v>11122</v>
      </c>
      <c r="H6748" s="27" t="s">
        <v>35</v>
      </c>
      <c r="I6748" s="27" t="s">
        <v>49</v>
      </c>
      <c r="J6748" s="28" t="s">
        <v>636</v>
      </c>
      <c r="K6748" s="27" t="s">
        <v>37</v>
      </c>
      <c r="L6748" s="27"/>
    </row>
    <row r="6749" customFormat="false" ht="15" hidden="false" customHeight="false" outlineLevel="0" collapsed="false">
      <c r="A6749" s="26" t="s">
        <v>18436</v>
      </c>
      <c r="B6749" s="27" t="s">
        <v>18437</v>
      </c>
      <c r="C6749" s="27" t="s">
        <v>1527</v>
      </c>
      <c r="D6749" s="26"/>
      <c r="E6749" s="27"/>
      <c r="F6749" s="27"/>
      <c r="G6749" s="27" t="s">
        <v>11122</v>
      </c>
      <c r="H6749" s="27" t="s">
        <v>35</v>
      </c>
      <c r="I6749" s="27" t="s">
        <v>42</v>
      </c>
      <c r="J6749" s="28" t="s">
        <v>636</v>
      </c>
      <c r="K6749" s="27" t="s">
        <v>37</v>
      </c>
      <c r="L6749" s="27"/>
    </row>
    <row r="6750" customFormat="false" ht="15" hidden="false" customHeight="false" outlineLevel="0" collapsed="false">
      <c r="A6750" s="26" t="s">
        <v>18438</v>
      </c>
      <c r="B6750" s="27" t="s">
        <v>18439</v>
      </c>
      <c r="C6750" s="27" t="s">
        <v>131</v>
      </c>
      <c r="D6750" s="26"/>
      <c r="E6750" s="27"/>
      <c r="F6750" s="27"/>
      <c r="G6750" s="27" t="s">
        <v>11122</v>
      </c>
      <c r="H6750" s="27" t="s">
        <v>35</v>
      </c>
      <c r="I6750" s="27" t="s">
        <v>49</v>
      </c>
      <c r="J6750" s="28" t="s">
        <v>636</v>
      </c>
      <c r="K6750" s="27" t="s">
        <v>37</v>
      </c>
      <c r="L6750" s="27"/>
    </row>
    <row r="6751" customFormat="false" ht="15" hidden="false" customHeight="false" outlineLevel="0" collapsed="false">
      <c r="A6751" s="26" t="s">
        <v>18440</v>
      </c>
      <c r="B6751" s="27" t="s">
        <v>18441</v>
      </c>
      <c r="C6751" s="27" t="s">
        <v>131</v>
      </c>
      <c r="D6751" s="26"/>
      <c r="E6751" s="27"/>
      <c r="F6751" s="27"/>
      <c r="G6751" s="27" t="s">
        <v>11122</v>
      </c>
      <c r="H6751" s="27" t="s">
        <v>35</v>
      </c>
      <c r="I6751" s="27" t="s">
        <v>41</v>
      </c>
      <c r="J6751" s="28" t="s">
        <v>636</v>
      </c>
      <c r="K6751" s="27" t="s">
        <v>37</v>
      </c>
      <c r="L6751" s="27"/>
    </row>
    <row r="6752" customFormat="false" ht="15" hidden="false" customHeight="false" outlineLevel="0" collapsed="false">
      <c r="A6752" s="26" t="s">
        <v>18442</v>
      </c>
      <c r="B6752" s="27" t="s">
        <v>18443</v>
      </c>
      <c r="C6752" s="27" t="s">
        <v>144</v>
      </c>
      <c r="D6752" s="26"/>
      <c r="E6752" s="27"/>
      <c r="F6752" s="27"/>
      <c r="G6752" s="27" t="s">
        <v>11122</v>
      </c>
      <c r="H6752" s="27" t="s">
        <v>35</v>
      </c>
      <c r="I6752" s="27" t="s">
        <v>49</v>
      </c>
      <c r="J6752" s="28" t="s">
        <v>636</v>
      </c>
      <c r="K6752" s="27" t="s">
        <v>37</v>
      </c>
      <c r="L6752" s="27"/>
    </row>
    <row r="6753" customFormat="false" ht="15" hidden="false" customHeight="false" outlineLevel="0" collapsed="false">
      <c r="A6753" s="26" t="s">
        <v>18444</v>
      </c>
      <c r="B6753" s="27" t="s">
        <v>18445</v>
      </c>
      <c r="C6753" s="27" t="s">
        <v>131</v>
      </c>
      <c r="D6753" s="26"/>
      <c r="E6753" s="27"/>
      <c r="F6753" s="27"/>
      <c r="G6753" s="27" t="s">
        <v>11122</v>
      </c>
      <c r="H6753" s="27" t="s">
        <v>35</v>
      </c>
      <c r="I6753" s="27" t="s">
        <v>49</v>
      </c>
      <c r="J6753" s="28" t="s">
        <v>636</v>
      </c>
      <c r="K6753" s="27" t="s">
        <v>37</v>
      </c>
      <c r="L6753" s="27"/>
    </row>
    <row r="6754" customFormat="false" ht="15" hidden="false" customHeight="false" outlineLevel="0" collapsed="false">
      <c r="A6754" s="26" t="s">
        <v>18446</v>
      </c>
      <c r="B6754" s="27" t="s">
        <v>18447</v>
      </c>
      <c r="C6754" s="27" t="s">
        <v>131</v>
      </c>
      <c r="D6754" s="26"/>
      <c r="E6754" s="27"/>
      <c r="F6754" s="27"/>
      <c r="G6754" s="27" t="s">
        <v>11122</v>
      </c>
      <c r="H6754" s="27" t="s">
        <v>35</v>
      </c>
      <c r="I6754" s="27" t="s">
        <v>43</v>
      </c>
      <c r="J6754" s="28" t="s">
        <v>636</v>
      </c>
      <c r="K6754" s="27" t="s">
        <v>37</v>
      </c>
      <c r="L6754" s="27"/>
    </row>
    <row r="6755" customFormat="false" ht="15" hidden="false" customHeight="false" outlineLevel="0" collapsed="false">
      <c r="A6755" s="26" t="s">
        <v>18448</v>
      </c>
      <c r="B6755" s="27" t="s">
        <v>18449</v>
      </c>
      <c r="C6755" s="27" t="s">
        <v>131</v>
      </c>
      <c r="D6755" s="26"/>
      <c r="E6755" s="27"/>
      <c r="F6755" s="27"/>
      <c r="G6755" s="27" t="s">
        <v>11122</v>
      </c>
      <c r="H6755" s="27" t="s">
        <v>35</v>
      </c>
      <c r="I6755" s="27" t="s">
        <v>49</v>
      </c>
      <c r="J6755" s="28" t="s">
        <v>636</v>
      </c>
      <c r="K6755" s="27" t="s">
        <v>37</v>
      </c>
      <c r="L6755" s="27"/>
    </row>
    <row r="6756" customFormat="false" ht="15" hidden="false" customHeight="false" outlineLevel="0" collapsed="false">
      <c r="A6756" s="26" t="s">
        <v>18450</v>
      </c>
      <c r="B6756" s="27" t="s">
        <v>18451</v>
      </c>
      <c r="C6756" s="27" t="s">
        <v>131</v>
      </c>
      <c r="D6756" s="26"/>
      <c r="E6756" s="27"/>
      <c r="F6756" s="27"/>
      <c r="G6756" s="27" t="s">
        <v>11122</v>
      </c>
      <c r="H6756" s="27" t="s">
        <v>35</v>
      </c>
      <c r="I6756" s="27" t="s">
        <v>49</v>
      </c>
      <c r="J6756" s="28" t="s">
        <v>636</v>
      </c>
      <c r="K6756" s="27" t="s">
        <v>37</v>
      </c>
      <c r="L6756" s="27"/>
    </row>
    <row r="6757" customFormat="false" ht="15" hidden="false" customHeight="false" outlineLevel="0" collapsed="false">
      <c r="A6757" s="26" t="s">
        <v>18452</v>
      </c>
      <c r="B6757" s="27" t="s">
        <v>18453</v>
      </c>
      <c r="C6757" s="27" t="s">
        <v>131</v>
      </c>
      <c r="D6757" s="26"/>
      <c r="E6757" s="27"/>
      <c r="F6757" s="27"/>
      <c r="G6757" s="27" t="s">
        <v>11122</v>
      </c>
      <c r="H6757" s="27" t="s">
        <v>35</v>
      </c>
      <c r="I6757" s="27" t="s">
        <v>43</v>
      </c>
      <c r="J6757" s="28" t="s">
        <v>636</v>
      </c>
      <c r="K6757" s="27" t="s">
        <v>37</v>
      </c>
      <c r="L6757" s="27"/>
    </row>
    <row r="6758" customFormat="false" ht="15" hidden="false" customHeight="false" outlineLevel="0" collapsed="false">
      <c r="A6758" s="26" t="s">
        <v>18454</v>
      </c>
      <c r="B6758" s="27" t="s">
        <v>18455</v>
      </c>
      <c r="C6758" s="27" t="s">
        <v>131</v>
      </c>
      <c r="D6758" s="26"/>
      <c r="E6758" s="27"/>
      <c r="F6758" s="27"/>
      <c r="G6758" s="27" t="s">
        <v>11122</v>
      </c>
      <c r="H6758" s="27" t="s">
        <v>35</v>
      </c>
      <c r="I6758" s="27" t="s">
        <v>49</v>
      </c>
      <c r="J6758" s="28" t="s">
        <v>636</v>
      </c>
      <c r="K6758" s="27" t="s">
        <v>37</v>
      </c>
      <c r="L6758" s="27"/>
    </row>
    <row r="6759" customFormat="false" ht="15" hidden="false" customHeight="false" outlineLevel="0" collapsed="false">
      <c r="A6759" s="26" t="s">
        <v>18456</v>
      </c>
      <c r="B6759" s="27" t="s">
        <v>18457</v>
      </c>
      <c r="C6759" s="27" t="s">
        <v>131</v>
      </c>
      <c r="D6759" s="26"/>
      <c r="E6759" s="27"/>
      <c r="F6759" s="27"/>
      <c r="G6759" s="27" t="s">
        <v>11122</v>
      </c>
      <c r="H6759" s="27" t="s">
        <v>35</v>
      </c>
      <c r="I6759" s="27" t="s">
        <v>43</v>
      </c>
      <c r="J6759" s="28" t="s">
        <v>636</v>
      </c>
      <c r="K6759" s="27" t="s">
        <v>37</v>
      </c>
      <c r="L6759" s="27"/>
    </row>
    <row r="6760" customFormat="false" ht="15" hidden="false" customHeight="false" outlineLevel="0" collapsed="false">
      <c r="A6760" s="26" t="s">
        <v>18458</v>
      </c>
      <c r="B6760" s="27" t="s">
        <v>18459</v>
      </c>
      <c r="C6760" s="27" t="s">
        <v>100</v>
      </c>
      <c r="D6760" s="26"/>
      <c r="E6760" s="27"/>
      <c r="F6760" s="27"/>
      <c r="G6760" s="27" t="s">
        <v>11122</v>
      </c>
      <c r="H6760" s="27" t="s">
        <v>35</v>
      </c>
      <c r="I6760" s="27" t="s">
        <v>49</v>
      </c>
      <c r="J6760" s="28" t="s">
        <v>636</v>
      </c>
      <c r="K6760" s="27" t="s">
        <v>37</v>
      </c>
      <c r="L6760" s="27"/>
    </row>
    <row r="6761" customFormat="false" ht="15" hidden="false" customHeight="false" outlineLevel="0" collapsed="false">
      <c r="A6761" s="26" t="s">
        <v>18460</v>
      </c>
      <c r="B6761" s="27" t="s">
        <v>18461</v>
      </c>
      <c r="C6761" s="27" t="s">
        <v>100</v>
      </c>
      <c r="D6761" s="26"/>
      <c r="E6761" s="27"/>
      <c r="F6761" s="27"/>
      <c r="G6761" s="27" t="s">
        <v>11122</v>
      </c>
      <c r="H6761" s="27" t="s">
        <v>35</v>
      </c>
      <c r="I6761" s="27" t="s">
        <v>49</v>
      </c>
      <c r="J6761" s="28" t="s">
        <v>636</v>
      </c>
      <c r="K6761" s="27" t="s">
        <v>37</v>
      </c>
      <c r="L6761" s="27"/>
    </row>
    <row r="6762" customFormat="false" ht="15" hidden="false" customHeight="false" outlineLevel="0" collapsed="false">
      <c r="A6762" s="26" t="s">
        <v>18462</v>
      </c>
      <c r="B6762" s="27" t="s">
        <v>18463</v>
      </c>
      <c r="C6762" s="27" t="s">
        <v>100</v>
      </c>
      <c r="D6762" s="26"/>
      <c r="E6762" s="27"/>
      <c r="F6762" s="27"/>
      <c r="G6762" s="27" t="s">
        <v>11122</v>
      </c>
      <c r="H6762" s="27" t="s">
        <v>35</v>
      </c>
      <c r="I6762" s="27" t="s">
        <v>49</v>
      </c>
      <c r="J6762" s="28" t="s">
        <v>636</v>
      </c>
      <c r="K6762" s="27" t="s">
        <v>37</v>
      </c>
      <c r="L6762" s="27"/>
    </row>
    <row r="6763" customFormat="false" ht="15" hidden="false" customHeight="false" outlineLevel="0" collapsed="false">
      <c r="A6763" s="26" t="s">
        <v>18464</v>
      </c>
      <c r="B6763" s="27" t="s">
        <v>18465</v>
      </c>
      <c r="C6763" s="27" t="s">
        <v>144</v>
      </c>
      <c r="D6763" s="26"/>
      <c r="E6763" s="27"/>
      <c r="F6763" s="27"/>
      <c r="G6763" s="27" t="s">
        <v>11122</v>
      </c>
      <c r="H6763" s="27" t="s">
        <v>35</v>
      </c>
      <c r="I6763" s="27" t="s">
        <v>49</v>
      </c>
      <c r="J6763" s="28" t="s">
        <v>636</v>
      </c>
      <c r="K6763" s="27" t="s">
        <v>37</v>
      </c>
      <c r="L6763" s="27"/>
    </row>
    <row r="6764" customFormat="false" ht="15" hidden="false" customHeight="false" outlineLevel="0" collapsed="false">
      <c r="A6764" s="26" t="s">
        <v>18466</v>
      </c>
      <c r="B6764" s="27" t="s">
        <v>18467</v>
      </c>
      <c r="C6764" s="27" t="s">
        <v>100</v>
      </c>
      <c r="D6764" s="26"/>
      <c r="E6764" s="27"/>
      <c r="F6764" s="27"/>
      <c r="G6764" s="27" t="s">
        <v>11122</v>
      </c>
      <c r="H6764" s="27" t="s">
        <v>35</v>
      </c>
      <c r="I6764" s="27" t="s">
        <v>39</v>
      </c>
      <c r="J6764" s="28" t="s">
        <v>636</v>
      </c>
      <c r="K6764" s="27" t="s">
        <v>37</v>
      </c>
      <c r="L6764" s="27"/>
    </row>
    <row r="6765" customFormat="false" ht="15" hidden="false" customHeight="false" outlineLevel="0" collapsed="false">
      <c r="A6765" s="26" t="s">
        <v>18468</v>
      </c>
      <c r="B6765" s="27" t="s">
        <v>18469</v>
      </c>
      <c r="C6765" s="27" t="s">
        <v>100</v>
      </c>
      <c r="D6765" s="26"/>
      <c r="E6765" s="27"/>
      <c r="F6765" s="27"/>
      <c r="G6765" s="27" t="s">
        <v>11122</v>
      </c>
      <c r="H6765" s="27" t="s">
        <v>35</v>
      </c>
      <c r="I6765" s="27" t="s">
        <v>49</v>
      </c>
      <c r="J6765" s="28" t="s">
        <v>636</v>
      </c>
      <c r="K6765" s="27" t="s">
        <v>37</v>
      </c>
      <c r="L6765" s="27"/>
    </row>
    <row r="6766" customFormat="false" ht="15" hidden="false" customHeight="false" outlineLevel="0" collapsed="false">
      <c r="A6766" s="26" t="s">
        <v>18470</v>
      </c>
      <c r="B6766" s="27" t="s">
        <v>18471</v>
      </c>
      <c r="C6766" s="27" t="s">
        <v>100</v>
      </c>
      <c r="D6766" s="26"/>
      <c r="E6766" s="27"/>
      <c r="F6766" s="27"/>
      <c r="G6766" s="27" t="s">
        <v>11122</v>
      </c>
      <c r="H6766" s="27" t="s">
        <v>35</v>
      </c>
      <c r="I6766" s="27" t="s">
        <v>39</v>
      </c>
      <c r="J6766" s="28" t="s">
        <v>636</v>
      </c>
      <c r="K6766" s="27" t="s">
        <v>37</v>
      </c>
      <c r="L6766" s="27"/>
    </row>
    <row r="6767" customFormat="false" ht="15" hidden="false" customHeight="false" outlineLevel="0" collapsed="false">
      <c r="A6767" s="26" t="s">
        <v>18472</v>
      </c>
      <c r="B6767" s="27" t="s">
        <v>18473</v>
      </c>
      <c r="C6767" s="27" t="s">
        <v>100</v>
      </c>
      <c r="D6767" s="26"/>
      <c r="E6767" s="27"/>
      <c r="F6767" s="27"/>
      <c r="G6767" s="27" t="s">
        <v>11122</v>
      </c>
      <c r="H6767" s="27" t="s">
        <v>35</v>
      </c>
      <c r="I6767" s="27" t="s">
        <v>49</v>
      </c>
      <c r="J6767" s="28" t="s">
        <v>636</v>
      </c>
      <c r="K6767" s="27" t="s">
        <v>37</v>
      </c>
      <c r="L6767" s="27"/>
    </row>
    <row r="6768" customFormat="false" ht="15" hidden="false" customHeight="false" outlineLevel="0" collapsed="false">
      <c r="A6768" s="26" t="s">
        <v>18474</v>
      </c>
      <c r="B6768" s="27" t="s">
        <v>18475</v>
      </c>
      <c r="C6768" s="27" t="s">
        <v>131</v>
      </c>
      <c r="D6768" s="26"/>
      <c r="E6768" s="27"/>
      <c r="F6768" s="27"/>
      <c r="G6768" s="27" t="s">
        <v>11122</v>
      </c>
      <c r="H6768" s="27" t="s">
        <v>35</v>
      </c>
      <c r="I6768" s="27" t="s">
        <v>49</v>
      </c>
      <c r="J6768" s="28" t="s">
        <v>636</v>
      </c>
      <c r="K6768" s="27" t="s">
        <v>37</v>
      </c>
      <c r="L6768" s="27"/>
    </row>
    <row r="6769" customFormat="false" ht="15" hidden="false" customHeight="false" outlineLevel="0" collapsed="false">
      <c r="A6769" s="26" t="s">
        <v>18476</v>
      </c>
      <c r="B6769" s="27" t="s">
        <v>18477</v>
      </c>
      <c r="C6769" s="27" t="s">
        <v>131</v>
      </c>
      <c r="D6769" s="26"/>
      <c r="E6769" s="27"/>
      <c r="F6769" s="27"/>
      <c r="G6769" s="27" t="s">
        <v>11122</v>
      </c>
      <c r="H6769" s="27" t="s">
        <v>35</v>
      </c>
      <c r="I6769" s="27" t="s">
        <v>41</v>
      </c>
      <c r="J6769" s="28" t="s">
        <v>636</v>
      </c>
      <c r="K6769" s="27" t="s">
        <v>37</v>
      </c>
      <c r="L6769" s="27"/>
    </row>
    <row r="6770" customFormat="false" ht="15" hidden="false" customHeight="false" outlineLevel="0" collapsed="false">
      <c r="A6770" s="26" t="s">
        <v>18478</v>
      </c>
      <c r="B6770" s="27" t="s">
        <v>18479</v>
      </c>
      <c r="C6770" s="27" t="s">
        <v>131</v>
      </c>
      <c r="D6770" s="26"/>
      <c r="E6770" s="27"/>
      <c r="F6770" s="27"/>
      <c r="G6770" s="27" t="s">
        <v>11122</v>
      </c>
      <c r="H6770" s="27" t="s">
        <v>35</v>
      </c>
      <c r="I6770" s="27" t="s">
        <v>45</v>
      </c>
      <c r="J6770" s="28" t="s">
        <v>636</v>
      </c>
      <c r="K6770" s="27" t="s">
        <v>37</v>
      </c>
      <c r="L6770" s="27"/>
    </row>
    <row r="6771" customFormat="false" ht="15" hidden="false" customHeight="false" outlineLevel="0" collapsed="false">
      <c r="A6771" s="26" t="s">
        <v>18480</v>
      </c>
      <c r="B6771" s="27" t="s">
        <v>18481</v>
      </c>
      <c r="C6771" s="27" t="s">
        <v>144</v>
      </c>
      <c r="D6771" s="26"/>
      <c r="E6771" s="27"/>
      <c r="F6771" s="27"/>
      <c r="G6771" s="27" t="s">
        <v>11122</v>
      </c>
      <c r="H6771" s="27" t="s">
        <v>35</v>
      </c>
      <c r="I6771" s="27" t="s">
        <v>37</v>
      </c>
      <c r="J6771" s="28" t="s">
        <v>636</v>
      </c>
      <c r="K6771" s="27" t="s">
        <v>37</v>
      </c>
      <c r="L6771" s="27"/>
    </row>
    <row r="6772" customFormat="false" ht="15" hidden="false" customHeight="false" outlineLevel="0" collapsed="false">
      <c r="A6772" s="26" t="s">
        <v>18482</v>
      </c>
      <c r="B6772" s="27" t="s">
        <v>18483</v>
      </c>
      <c r="C6772" s="27" t="s">
        <v>144</v>
      </c>
      <c r="D6772" s="26"/>
      <c r="E6772" s="27"/>
      <c r="F6772" s="27"/>
      <c r="G6772" s="27" t="s">
        <v>11122</v>
      </c>
      <c r="H6772" s="27" t="s">
        <v>35</v>
      </c>
      <c r="I6772" s="27" t="s">
        <v>37</v>
      </c>
      <c r="J6772" s="28" t="s">
        <v>636</v>
      </c>
      <c r="K6772" s="27" t="s">
        <v>37</v>
      </c>
      <c r="L6772" s="27"/>
    </row>
    <row r="6773" customFormat="false" ht="15" hidden="false" customHeight="false" outlineLevel="0" collapsed="false">
      <c r="A6773" s="26" t="s">
        <v>18484</v>
      </c>
      <c r="B6773" s="27" t="s">
        <v>18485</v>
      </c>
      <c r="C6773" s="27" t="s">
        <v>144</v>
      </c>
      <c r="D6773" s="26"/>
      <c r="E6773" s="27"/>
      <c r="F6773" s="27"/>
      <c r="G6773" s="27" t="s">
        <v>11122</v>
      </c>
      <c r="H6773" s="27" t="s">
        <v>35</v>
      </c>
      <c r="I6773" s="27" t="s">
        <v>37</v>
      </c>
      <c r="J6773" s="28" t="s">
        <v>636</v>
      </c>
      <c r="K6773" s="27" t="s">
        <v>37</v>
      </c>
      <c r="L6773" s="27"/>
    </row>
    <row r="6774" customFormat="false" ht="15" hidden="false" customHeight="false" outlineLevel="0" collapsed="false">
      <c r="A6774" s="26" t="s">
        <v>18486</v>
      </c>
      <c r="B6774" s="27" t="s">
        <v>18487</v>
      </c>
      <c r="C6774" s="27" t="s">
        <v>144</v>
      </c>
      <c r="D6774" s="26"/>
      <c r="E6774" s="27"/>
      <c r="F6774" s="27"/>
      <c r="G6774" s="27" t="s">
        <v>11122</v>
      </c>
      <c r="H6774" s="27" t="s">
        <v>35</v>
      </c>
      <c r="I6774" s="27" t="s">
        <v>39</v>
      </c>
      <c r="J6774" s="28" t="s">
        <v>636</v>
      </c>
      <c r="K6774" s="27" t="s">
        <v>37</v>
      </c>
      <c r="L6774" s="27"/>
    </row>
    <row r="6775" customFormat="false" ht="15" hidden="false" customHeight="false" outlineLevel="0" collapsed="false">
      <c r="A6775" s="26" t="s">
        <v>18488</v>
      </c>
      <c r="B6775" s="27" t="s">
        <v>18489</v>
      </c>
      <c r="C6775" s="27" t="s">
        <v>144</v>
      </c>
      <c r="D6775" s="26"/>
      <c r="E6775" s="27"/>
      <c r="F6775" s="27"/>
      <c r="G6775" s="27" t="s">
        <v>11122</v>
      </c>
      <c r="H6775" s="27" t="s">
        <v>35</v>
      </c>
      <c r="I6775" s="27" t="s">
        <v>39</v>
      </c>
      <c r="J6775" s="28" t="s">
        <v>636</v>
      </c>
      <c r="K6775" s="27" t="s">
        <v>37</v>
      </c>
      <c r="L6775" s="27"/>
    </row>
    <row r="6776" customFormat="false" ht="15" hidden="false" customHeight="false" outlineLevel="0" collapsed="false">
      <c r="A6776" s="26" t="s">
        <v>18490</v>
      </c>
      <c r="B6776" s="27" t="s">
        <v>18491</v>
      </c>
      <c r="C6776" s="27" t="s">
        <v>144</v>
      </c>
      <c r="D6776" s="26"/>
      <c r="E6776" s="27"/>
      <c r="F6776" s="27"/>
      <c r="G6776" s="27" t="s">
        <v>11122</v>
      </c>
      <c r="H6776" s="27" t="s">
        <v>35</v>
      </c>
      <c r="I6776" s="27" t="s">
        <v>43</v>
      </c>
      <c r="J6776" s="28" t="s">
        <v>636</v>
      </c>
      <c r="K6776" s="27" t="s">
        <v>37</v>
      </c>
      <c r="L6776" s="27"/>
    </row>
    <row r="6777" customFormat="false" ht="15" hidden="false" customHeight="false" outlineLevel="0" collapsed="false">
      <c r="A6777" s="26" t="s">
        <v>18492</v>
      </c>
      <c r="B6777" s="27" t="s">
        <v>18493</v>
      </c>
      <c r="C6777" s="27" t="s">
        <v>144</v>
      </c>
      <c r="D6777" s="26"/>
      <c r="E6777" s="27"/>
      <c r="F6777" s="27"/>
      <c r="G6777" s="27" t="s">
        <v>11122</v>
      </c>
      <c r="H6777" s="27" t="s">
        <v>35</v>
      </c>
      <c r="I6777" s="27" t="s">
        <v>40</v>
      </c>
      <c r="J6777" s="28" t="s">
        <v>636</v>
      </c>
      <c r="K6777" s="27" t="s">
        <v>37</v>
      </c>
      <c r="L6777" s="27"/>
    </row>
    <row r="6778" customFormat="false" ht="15" hidden="false" customHeight="false" outlineLevel="0" collapsed="false">
      <c r="A6778" s="26" t="s">
        <v>18494</v>
      </c>
      <c r="B6778" s="27" t="s">
        <v>18495</v>
      </c>
      <c r="C6778" s="27" t="s">
        <v>144</v>
      </c>
      <c r="D6778" s="26"/>
      <c r="E6778" s="27"/>
      <c r="F6778" s="27"/>
      <c r="G6778" s="27" t="s">
        <v>11122</v>
      </c>
      <c r="H6778" s="27" t="s">
        <v>35</v>
      </c>
      <c r="I6778" s="27" t="s">
        <v>39</v>
      </c>
      <c r="J6778" s="28" t="s">
        <v>636</v>
      </c>
      <c r="K6778" s="27" t="s">
        <v>37</v>
      </c>
      <c r="L6778" s="27"/>
    </row>
    <row r="6779" customFormat="false" ht="15" hidden="false" customHeight="false" outlineLevel="0" collapsed="false">
      <c r="A6779" s="26" t="s">
        <v>18496</v>
      </c>
      <c r="B6779" s="27" t="s">
        <v>18497</v>
      </c>
      <c r="C6779" s="27" t="s">
        <v>144</v>
      </c>
      <c r="D6779" s="26"/>
      <c r="E6779" s="27"/>
      <c r="F6779" s="27"/>
      <c r="G6779" s="27" t="s">
        <v>11122</v>
      </c>
      <c r="H6779" s="27" t="s">
        <v>35</v>
      </c>
      <c r="I6779" s="27" t="s">
        <v>39</v>
      </c>
      <c r="J6779" s="28" t="s">
        <v>636</v>
      </c>
      <c r="K6779" s="27" t="s">
        <v>37</v>
      </c>
      <c r="L6779" s="27"/>
    </row>
    <row r="6780" customFormat="false" ht="15" hidden="false" customHeight="false" outlineLevel="0" collapsed="false">
      <c r="A6780" s="26" t="s">
        <v>18498</v>
      </c>
      <c r="B6780" s="27" t="s">
        <v>18499</v>
      </c>
      <c r="C6780" s="27" t="s">
        <v>144</v>
      </c>
      <c r="D6780" s="26"/>
      <c r="E6780" s="27"/>
      <c r="F6780" s="27"/>
      <c r="G6780" s="27" t="s">
        <v>11122</v>
      </c>
      <c r="H6780" s="27" t="s">
        <v>35</v>
      </c>
      <c r="I6780" s="27" t="s">
        <v>39</v>
      </c>
      <c r="J6780" s="28" t="s">
        <v>636</v>
      </c>
      <c r="K6780" s="27" t="s">
        <v>37</v>
      </c>
      <c r="L6780" s="27"/>
    </row>
    <row r="6781" customFormat="false" ht="15" hidden="false" customHeight="false" outlineLevel="0" collapsed="false">
      <c r="A6781" s="26" t="s">
        <v>18500</v>
      </c>
      <c r="B6781" s="27" t="s">
        <v>18501</v>
      </c>
      <c r="C6781" s="27" t="s">
        <v>144</v>
      </c>
      <c r="D6781" s="26"/>
      <c r="E6781" s="27"/>
      <c r="F6781" s="27"/>
      <c r="G6781" s="27" t="s">
        <v>11122</v>
      </c>
      <c r="H6781" s="27" t="s">
        <v>35</v>
      </c>
      <c r="I6781" s="27" t="s">
        <v>39</v>
      </c>
      <c r="J6781" s="28" t="s">
        <v>636</v>
      </c>
      <c r="K6781" s="27" t="s">
        <v>37</v>
      </c>
      <c r="L6781" s="27"/>
    </row>
    <row r="6782" customFormat="false" ht="15" hidden="false" customHeight="false" outlineLevel="0" collapsed="false">
      <c r="A6782" s="26" t="s">
        <v>18502</v>
      </c>
      <c r="B6782" s="27" t="s">
        <v>18503</v>
      </c>
      <c r="C6782" s="27" t="s">
        <v>144</v>
      </c>
      <c r="D6782" s="26"/>
      <c r="E6782" s="27"/>
      <c r="F6782" s="27"/>
      <c r="G6782" s="27" t="s">
        <v>11122</v>
      </c>
      <c r="H6782" s="27" t="s">
        <v>35</v>
      </c>
      <c r="I6782" s="27" t="s">
        <v>39</v>
      </c>
      <c r="J6782" s="28" t="s">
        <v>636</v>
      </c>
      <c r="K6782" s="27" t="s">
        <v>37</v>
      </c>
      <c r="L6782" s="27"/>
    </row>
    <row r="6783" customFormat="false" ht="15" hidden="false" customHeight="false" outlineLevel="0" collapsed="false">
      <c r="A6783" s="26" t="s">
        <v>18504</v>
      </c>
      <c r="B6783" s="27" t="s">
        <v>18505</v>
      </c>
      <c r="C6783" s="27" t="s">
        <v>144</v>
      </c>
      <c r="D6783" s="26"/>
      <c r="E6783" s="27"/>
      <c r="F6783" s="27"/>
      <c r="G6783" s="27" t="s">
        <v>11122</v>
      </c>
      <c r="H6783" s="27" t="s">
        <v>35</v>
      </c>
      <c r="I6783" s="27" t="s">
        <v>39</v>
      </c>
      <c r="J6783" s="28" t="s">
        <v>636</v>
      </c>
      <c r="K6783" s="27" t="s">
        <v>37</v>
      </c>
      <c r="L6783" s="27"/>
    </row>
    <row r="6784" customFormat="false" ht="15" hidden="false" customHeight="false" outlineLevel="0" collapsed="false">
      <c r="A6784" s="26" t="s">
        <v>18506</v>
      </c>
      <c r="B6784" s="27" t="s">
        <v>18507</v>
      </c>
      <c r="C6784" s="27" t="s">
        <v>144</v>
      </c>
      <c r="D6784" s="26"/>
      <c r="E6784" s="27"/>
      <c r="F6784" s="27"/>
      <c r="G6784" s="27" t="s">
        <v>11122</v>
      </c>
      <c r="H6784" s="27" t="s">
        <v>35</v>
      </c>
      <c r="I6784" s="27" t="s">
        <v>39</v>
      </c>
      <c r="J6784" s="28" t="s">
        <v>636</v>
      </c>
      <c r="K6784" s="27" t="s">
        <v>37</v>
      </c>
      <c r="L6784" s="27"/>
    </row>
    <row r="6785" customFormat="false" ht="15" hidden="false" customHeight="false" outlineLevel="0" collapsed="false">
      <c r="A6785" s="26" t="s">
        <v>18508</v>
      </c>
      <c r="B6785" s="27" t="s">
        <v>18509</v>
      </c>
      <c r="C6785" s="27" t="s">
        <v>144</v>
      </c>
      <c r="D6785" s="26"/>
      <c r="E6785" s="27"/>
      <c r="F6785" s="27"/>
      <c r="G6785" s="27" t="s">
        <v>11122</v>
      </c>
      <c r="H6785" s="27" t="s">
        <v>35</v>
      </c>
      <c r="I6785" s="27" t="s">
        <v>37</v>
      </c>
      <c r="J6785" s="28" t="s">
        <v>772</v>
      </c>
      <c r="K6785" s="27" t="s">
        <v>37</v>
      </c>
      <c r="L6785" s="27"/>
    </row>
    <row r="6786" customFormat="false" ht="15" hidden="false" customHeight="false" outlineLevel="0" collapsed="false">
      <c r="A6786" s="26" t="s">
        <v>18510</v>
      </c>
      <c r="B6786" s="27" t="s">
        <v>18511</v>
      </c>
      <c r="C6786" s="27" t="s">
        <v>144</v>
      </c>
      <c r="D6786" s="26"/>
      <c r="E6786" s="27"/>
      <c r="F6786" s="27"/>
      <c r="G6786" s="27" t="s">
        <v>11122</v>
      </c>
      <c r="H6786" s="27" t="s">
        <v>35</v>
      </c>
      <c r="I6786" s="27" t="s">
        <v>39</v>
      </c>
      <c r="J6786" s="28" t="s">
        <v>772</v>
      </c>
      <c r="K6786" s="27" t="s">
        <v>37</v>
      </c>
      <c r="L6786" s="27"/>
    </row>
    <row r="6787" customFormat="false" ht="15" hidden="false" customHeight="false" outlineLevel="0" collapsed="false">
      <c r="A6787" s="26" t="s">
        <v>18512</v>
      </c>
      <c r="B6787" s="27" t="s">
        <v>18513</v>
      </c>
      <c r="C6787" s="27" t="s">
        <v>144</v>
      </c>
      <c r="D6787" s="26"/>
      <c r="E6787" s="27"/>
      <c r="F6787" s="27"/>
      <c r="G6787" s="27" t="s">
        <v>11122</v>
      </c>
      <c r="H6787" s="27" t="s">
        <v>35</v>
      </c>
      <c r="I6787" s="27" t="s">
        <v>39</v>
      </c>
      <c r="J6787" s="28" t="s">
        <v>772</v>
      </c>
      <c r="K6787" s="27" t="s">
        <v>37</v>
      </c>
      <c r="L6787" s="27"/>
    </row>
    <row r="6788" customFormat="false" ht="15" hidden="false" customHeight="false" outlineLevel="0" collapsed="false">
      <c r="A6788" s="26" t="s">
        <v>18514</v>
      </c>
      <c r="B6788" s="27" t="s">
        <v>18515</v>
      </c>
      <c r="C6788" s="27" t="s">
        <v>144</v>
      </c>
      <c r="D6788" s="26"/>
      <c r="E6788" s="27"/>
      <c r="F6788" s="27"/>
      <c r="G6788" s="27" t="s">
        <v>11122</v>
      </c>
      <c r="H6788" s="27" t="s">
        <v>35</v>
      </c>
      <c r="I6788" s="27" t="s">
        <v>39</v>
      </c>
      <c r="J6788" s="28" t="s">
        <v>772</v>
      </c>
      <c r="K6788" s="27" t="s">
        <v>37</v>
      </c>
      <c r="L6788" s="27"/>
    </row>
    <row r="6789" customFormat="false" ht="15" hidden="false" customHeight="false" outlineLevel="0" collapsed="false">
      <c r="A6789" s="26" t="s">
        <v>18516</v>
      </c>
      <c r="B6789" s="27" t="s">
        <v>18517</v>
      </c>
      <c r="C6789" s="27" t="s">
        <v>144</v>
      </c>
      <c r="D6789" s="26"/>
      <c r="E6789" s="27"/>
      <c r="F6789" s="27"/>
      <c r="G6789" s="27" t="s">
        <v>11122</v>
      </c>
      <c r="H6789" s="27" t="s">
        <v>35</v>
      </c>
      <c r="I6789" s="27" t="s">
        <v>39</v>
      </c>
      <c r="J6789" s="28" t="s">
        <v>772</v>
      </c>
      <c r="K6789" s="27" t="s">
        <v>37</v>
      </c>
      <c r="L6789" s="27"/>
    </row>
    <row r="6790" customFormat="false" ht="15" hidden="false" customHeight="false" outlineLevel="0" collapsed="false">
      <c r="A6790" s="26" t="s">
        <v>18518</v>
      </c>
      <c r="B6790" s="27" t="s">
        <v>18519</v>
      </c>
      <c r="C6790" s="27" t="s">
        <v>144</v>
      </c>
      <c r="D6790" s="26"/>
      <c r="E6790" s="27"/>
      <c r="F6790" s="27"/>
      <c r="G6790" s="27" t="s">
        <v>11122</v>
      </c>
      <c r="H6790" s="27" t="s">
        <v>35</v>
      </c>
      <c r="I6790" s="27" t="s">
        <v>39</v>
      </c>
      <c r="J6790" s="28" t="s">
        <v>772</v>
      </c>
      <c r="K6790" s="27" t="s">
        <v>37</v>
      </c>
      <c r="L6790" s="27"/>
    </row>
    <row r="6791" customFormat="false" ht="15" hidden="false" customHeight="false" outlineLevel="0" collapsed="false">
      <c r="A6791" s="26" t="s">
        <v>18520</v>
      </c>
      <c r="B6791" s="27" t="s">
        <v>18521</v>
      </c>
      <c r="C6791" s="27" t="s">
        <v>144</v>
      </c>
      <c r="D6791" s="26"/>
      <c r="E6791" s="27"/>
      <c r="F6791" s="27"/>
      <c r="G6791" s="27" t="s">
        <v>11122</v>
      </c>
      <c r="H6791" s="27" t="s">
        <v>35</v>
      </c>
      <c r="I6791" s="27" t="s">
        <v>39</v>
      </c>
      <c r="J6791" s="28" t="s">
        <v>772</v>
      </c>
      <c r="K6791" s="27" t="s">
        <v>37</v>
      </c>
      <c r="L6791" s="27"/>
    </row>
    <row r="6792" customFormat="false" ht="15" hidden="false" customHeight="false" outlineLevel="0" collapsed="false">
      <c r="A6792" s="26" t="s">
        <v>18522</v>
      </c>
      <c r="B6792" s="27" t="s">
        <v>18523</v>
      </c>
      <c r="C6792" s="27" t="s">
        <v>144</v>
      </c>
      <c r="D6792" s="26"/>
      <c r="E6792" s="27"/>
      <c r="F6792" s="27"/>
      <c r="G6792" s="27" t="s">
        <v>11122</v>
      </c>
      <c r="H6792" s="27" t="s">
        <v>35</v>
      </c>
      <c r="I6792" s="27" t="s">
        <v>39</v>
      </c>
      <c r="J6792" s="28" t="s">
        <v>772</v>
      </c>
      <c r="K6792" s="27" t="s">
        <v>37</v>
      </c>
      <c r="L6792" s="27"/>
    </row>
    <row r="6793" customFormat="false" ht="15" hidden="false" customHeight="false" outlineLevel="0" collapsed="false">
      <c r="A6793" s="26" t="s">
        <v>18524</v>
      </c>
      <c r="B6793" s="27" t="s">
        <v>18525</v>
      </c>
      <c r="C6793" s="27" t="s">
        <v>144</v>
      </c>
      <c r="D6793" s="26"/>
      <c r="E6793" s="27"/>
      <c r="F6793" s="27"/>
      <c r="G6793" s="27" t="s">
        <v>11122</v>
      </c>
      <c r="H6793" s="27" t="s">
        <v>35</v>
      </c>
      <c r="I6793" s="27" t="s">
        <v>39</v>
      </c>
      <c r="J6793" s="28" t="s">
        <v>772</v>
      </c>
      <c r="K6793" s="27" t="s">
        <v>37</v>
      </c>
      <c r="L6793" s="27"/>
    </row>
    <row r="6794" customFormat="false" ht="15" hidden="false" customHeight="false" outlineLevel="0" collapsed="false">
      <c r="A6794" s="26" t="s">
        <v>18526</v>
      </c>
      <c r="B6794" s="27" t="s">
        <v>18527</v>
      </c>
      <c r="C6794" s="27" t="s">
        <v>144</v>
      </c>
      <c r="D6794" s="26"/>
      <c r="E6794" s="27"/>
      <c r="F6794" s="27"/>
      <c r="G6794" s="27" t="s">
        <v>11122</v>
      </c>
      <c r="H6794" s="27" t="s">
        <v>35</v>
      </c>
      <c r="I6794" s="27" t="s">
        <v>39</v>
      </c>
      <c r="J6794" s="28" t="s">
        <v>772</v>
      </c>
      <c r="K6794" s="27" t="s">
        <v>37</v>
      </c>
      <c r="L6794" s="27"/>
    </row>
    <row r="6795" customFormat="false" ht="15" hidden="false" customHeight="false" outlineLevel="0" collapsed="false">
      <c r="A6795" s="26" t="s">
        <v>18528</v>
      </c>
      <c r="B6795" s="27" t="s">
        <v>18529</v>
      </c>
      <c r="C6795" s="27" t="s">
        <v>144</v>
      </c>
      <c r="D6795" s="26"/>
      <c r="E6795" s="27"/>
      <c r="F6795" s="27"/>
      <c r="G6795" s="27" t="s">
        <v>11122</v>
      </c>
      <c r="H6795" s="27" t="s">
        <v>35</v>
      </c>
      <c r="I6795" s="27" t="s">
        <v>39</v>
      </c>
      <c r="J6795" s="28" t="s">
        <v>772</v>
      </c>
      <c r="K6795" s="27" t="s">
        <v>37</v>
      </c>
      <c r="L6795" s="27"/>
    </row>
    <row r="6796" customFormat="false" ht="15" hidden="false" customHeight="false" outlineLevel="0" collapsed="false">
      <c r="A6796" s="26" t="s">
        <v>18530</v>
      </c>
      <c r="B6796" s="27" t="s">
        <v>18531</v>
      </c>
      <c r="C6796" s="27" t="s">
        <v>144</v>
      </c>
      <c r="D6796" s="26"/>
      <c r="E6796" s="27"/>
      <c r="F6796" s="27"/>
      <c r="G6796" s="27" t="s">
        <v>11122</v>
      </c>
      <c r="H6796" s="27" t="s">
        <v>35</v>
      </c>
      <c r="I6796" s="27" t="s">
        <v>39</v>
      </c>
      <c r="J6796" s="28" t="s">
        <v>772</v>
      </c>
      <c r="K6796" s="27" t="s">
        <v>37</v>
      </c>
      <c r="L6796" s="27"/>
    </row>
    <row r="6797" customFormat="false" ht="15" hidden="false" customHeight="false" outlineLevel="0" collapsed="false">
      <c r="A6797" s="26" t="s">
        <v>18532</v>
      </c>
      <c r="B6797" s="27" t="s">
        <v>18533</v>
      </c>
      <c r="C6797" s="27" t="s">
        <v>144</v>
      </c>
      <c r="D6797" s="26"/>
      <c r="E6797" s="27"/>
      <c r="F6797" s="27"/>
      <c r="G6797" s="27" t="s">
        <v>11122</v>
      </c>
      <c r="H6797" s="27" t="s">
        <v>35</v>
      </c>
      <c r="I6797" s="27" t="s">
        <v>39</v>
      </c>
      <c r="J6797" s="28" t="s">
        <v>772</v>
      </c>
      <c r="K6797" s="27" t="s">
        <v>37</v>
      </c>
      <c r="L6797" s="27"/>
    </row>
    <row r="6798" customFormat="false" ht="15" hidden="false" customHeight="false" outlineLevel="0" collapsed="false">
      <c r="A6798" s="26" t="s">
        <v>18534</v>
      </c>
      <c r="B6798" s="27" t="s">
        <v>18535</v>
      </c>
      <c r="C6798" s="27" t="s">
        <v>144</v>
      </c>
      <c r="D6798" s="26"/>
      <c r="E6798" s="27"/>
      <c r="F6798" s="27"/>
      <c r="G6798" s="27" t="s">
        <v>11122</v>
      </c>
      <c r="H6798" s="27" t="s">
        <v>35</v>
      </c>
      <c r="I6798" s="27" t="s">
        <v>39</v>
      </c>
      <c r="J6798" s="28" t="s">
        <v>772</v>
      </c>
      <c r="K6798" s="27" t="s">
        <v>37</v>
      </c>
      <c r="L6798" s="27"/>
    </row>
    <row r="6799" customFormat="false" ht="15" hidden="false" customHeight="false" outlineLevel="0" collapsed="false">
      <c r="A6799" s="26" t="s">
        <v>18536</v>
      </c>
      <c r="B6799" s="27" t="s">
        <v>18537</v>
      </c>
      <c r="C6799" s="27" t="s">
        <v>144</v>
      </c>
      <c r="D6799" s="26"/>
      <c r="E6799" s="27"/>
      <c r="F6799" s="27"/>
      <c r="G6799" s="27" t="s">
        <v>11122</v>
      </c>
      <c r="H6799" s="27" t="s">
        <v>35</v>
      </c>
      <c r="I6799" s="27" t="s">
        <v>39</v>
      </c>
      <c r="J6799" s="28" t="s">
        <v>772</v>
      </c>
      <c r="K6799" s="27" t="s">
        <v>37</v>
      </c>
      <c r="L6799" s="27"/>
    </row>
    <row r="6800" customFormat="false" ht="15" hidden="false" customHeight="false" outlineLevel="0" collapsed="false">
      <c r="A6800" s="26" t="s">
        <v>18538</v>
      </c>
      <c r="B6800" s="27" t="s">
        <v>18539</v>
      </c>
      <c r="C6800" s="27" t="s">
        <v>144</v>
      </c>
      <c r="D6800" s="26"/>
      <c r="E6800" s="27"/>
      <c r="F6800" s="27"/>
      <c r="G6800" s="27" t="s">
        <v>11122</v>
      </c>
      <c r="H6800" s="27" t="s">
        <v>35</v>
      </c>
      <c r="I6800" s="27" t="s">
        <v>39</v>
      </c>
      <c r="J6800" s="28" t="s">
        <v>772</v>
      </c>
      <c r="K6800" s="27" t="s">
        <v>37</v>
      </c>
      <c r="L6800" s="27"/>
    </row>
    <row r="6801" customFormat="false" ht="15" hidden="false" customHeight="false" outlineLevel="0" collapsed="false">
      <c r="A6801" s="26" t="s">
        <v>18540</v>
      </c>
      <c r="B6801" s="27" t="s">
        <v>18541</v>
      </c>
      <c r="C6801" s="27" t="s">
        <v>144</v>
      </c>
      <c r="D6801" s="26"/>
      <c r="E6801" s="27"/>
      <c r="F6801" s="27"/>
      <c r="G6801" s="27" t="s">
        <v>11122</v>
      </c>
      <c r="H6801" s="27" t="s">
        <v>35</v>
      </c>
      <c r="I6801" s="27" t="s">
        <v>39</v>
      </c>
      <c r="J6801" s="28" t="s">
        <v>772</v>
      </c>
      <c r="K6801" s="27" t="s">
        <v>37</v>
      </c>
      <c r="L6801" s="27"/>
    </row>
    <row r="6802" customFormat="false" ht="15" hidden="false" customHeight="false" outlineLevel="0" collapsed="false">
      <c r="A6802" s="26" t="s">
        <v>18542</v>
      </c>
      <c r="B6802" s="27" t="s">
        <v>18543</v>
      </c>
      <c r="C6802" s="27" t="s">
        <v>144</v>
      </c>
      <c r="D6802" s="26"/>
      <c r="E6802" s="27"/>
      <c r="F6802" s="27"/>
      <c r="G6802" s="27" t="s">
        <v>11122</v>
      </c>
      <c r="H6802" s="27" t="s">
        <v>35</v>
      </c>
      <c r="I6802" s="27" t="s">
        <v>39</v>
      </c>
      <c r="J6802" s="28" t="s">
        <v>772</v>
      </c>
      <c r="K6802" s="27" t="s">
        <v>37</v>
      </c>
      <c r="L6802" s="27"/>
    </row>
    <row r="6803" customFormat="false" ht="15" hidden="false" customHeight="false" outlineLevel="0" collapsed="false">
      <c r="A6803" s="26" t="s">
        <v>18544</v>
      </c>
      <c r="B6803" s="27" t="s">
        <v>18545</v>
      </c>
      <c r="C6803" s="27" t="s">
        <v>144</v>
      </c>
      <c r="D6803" s="26"/>
      <c r="E6803" s="27"/>
      <c r="F6803" s="27"/>
      <c r="G6803" s="27" t="s">
        <v>11122</v>
      </c>
      <c r="H6803" s="27" t="s">
        <v>35</v>
      </c>
      <c r="I6803" s="27" t="s">
        <v>39</v>
      </c>
      <c r="J6803" s="28" t="s">
        <v>772</v>
      </c>
      <c r="K6803" s="27" t="s">
        <v>37</v>
      </c>
      <c r="L6803" s="27"/>
    </row>
    <row r="6804" customFormat="false" ht="15" hidden="false" customHeight="false" outlineLevel="0" collapsed="false">
      <c r="A6804" s="26" t="s">
        <v>18546</v>
      </c>
      <c r="B6804" s="27" t="s">
        <v>18547</v>
      </c>
      <c r="C6804" s="27" t="s">
        <v>144</v>
      </c>
      <c r="D6804" s="26"/>
      <c r="E6804" s="27"/>
      <c r="F6804" s="27"/>
      <c r="G6804" s="27" t="s">
        <v>11122</v>
      </c>
      <c r="H6804" s="27" t="s">
        <v>35</v>
      </c>
      <c r="I6804" s="27" t="s">
        <v>39</v>
      </c>
      <c r="J6804" s="28" t="s">
        <v>772</v>
      </c>
      <c r="K6804" s="27" t="s">
        <v>37</v>
      </c>
      <c r="L6804" s="27"/>
    </row>
    <row r="6805" customFormat="false" ht="15" hidden="false" customHeight="false" outlineLevel="0" collapsed="false">
      <c r="A6805" s="26" t="s">
        <v>18548</v>
      </c>
      <c r="B6805" s="27" t="s">
        <v>18549</v>
      </c>
      <c r="C6805" s="27" t="s">
        <v>144</v>
      </c>
      <c r="D6805" s="26"/>
      <c r="E6805" s="27"/>
      <c r="F6805" s="27"/>
      <c r="G6805" s="27" t="s">
        <v>11122</v>
      </c>
      <c r="H6805" s="27" t="s">
        <v>35</v>
      </c>
      <c r="I6805" s="27" t="s">
        <v>39</v>
      </c>
      <c r="J6805" s="28" t="s">
        <v>772</v>
      </c>
      <c r="K6805" s="27" t="s">
        <v>37</v>
      </c>
      <c r="L6805" s="27"/>
    </row>
    <row r="6806" customFormat="false" ht="15" hidden="false" customHeight="false" outlineLevel="0" collapsed="false">
      <c r="A6806" s="26" t="s">
        <v>18550</v>
      </c>
      <c r="B6806" s="27" t="s">
        <v>18551</v>
      </c>
      <c r="C6806" s="27" t="s">
        <v>144</v>
      </c>
      <c r="D6806" s="26"/>
      <c r="E6806" s="27"/>
      <c r="F6806" s="27"/>
      <c r="G6806" s="27" t="s">
        <v>11122</v>
      </c>
      <c r="H6806" s="27" t="s">
        <v>35</v>
      </c>
      <c r="I6806" s="27" t="s">
        <v>39</v>
      </c>
      <c r="J6806" s="28" t="s">
        <v>772</v>
      </c>
      <c r="K6806" s="27" t="s">
        <v>37</v>
      </c>
      <c r="L6806" s="27"/>
    </row>
    <row r="6807" customFormat="false" ht="15" hidden="false" customHeight="false" outlineLevel="0" collapsed="false">
      <c r="A6807" s="26" t="s">
        <v>18552</v>
      </c>
      <c r="B6807" s="27" t="s">
        <v>18553</v>
      </c>
      <c r="C6807" s="27" t="s">
        <v>144</v>
      </c>
      <c r="D6807" s="26"/>
      <c r="E6807" s="27"/>
      <c r="F6807" s="27"/>
      <c r="G6807" s="27" t="s">
        <v>11122</v>
      </c>
      <c r="H6807" s="27" t="s">
        <v>35</v>
      </c>
      <c r="I6807" s="27" t="s">
        <v>39</v>
      </c>
      <c r="J6807" s="28" t="s">
        <v>772</v>
      </c>
      <c r="K6807" s="27" t="s">
        <v>37</v>
      </c>
      <c r="L6807" s="27"/>
    </row>
    <row r="6808" customFormat="false" ht="15" hidden="false" customHeight="false" outlineLevel="0" collapsed="false">
      <c r="A6808" s="26" t="s">
        <v>18554</v>
      </c>
      <c r="B6808" s="27" t="s">
        <v>18555</v>
      </c>
      <c r="C6808" s="27" t="s">
        <v>144</v>
      </c>
      <c r="D6808" s="26"/>
      <c r="E6808" s="27"/>
      <c r="F6808" s="27"/>
      <c r="G6808" s="27" t="s">
        <v>11122</v>
      </c>
      <c r="H6808" s="27" t="s">
        <v>35</v>
      </c>
      <c r="I6808" s="27" t="s">
        <v>39</v>
      </c>
      <c r="J6808" s="28" t="s">
        <v>772</v>
      </c>
      <c r="K6808" s="27" t="s">
        <v>37</v>
      </c>
      <c r="L6808" s="27"/>
    </row>
    <row r="6809" customFormat="false" ht="15" hidden="false" customHeight="false" outlineLevel="0" collapsed="false">
      <c r="A6809" s="26" t="s">
        <v>18556</v>
      </c>
      <c r="B6809" s="27" t="s">
        <v>18557</v>
      </c>
      <c r="C6809" s="27" t="s">
        <v>144</v>
      </c>
      <c r="D6809" s="26"/>
      <c r="E6809" s="27"/>
      <c r="F6809" s="27"/>
      <c r="G6809" s="27" t="s">
        <v>11122</v>
      </c>
      <c r="H6809" s="27" t="s">
        <v>35</v>
      </c>
      <c r="I6809" s="27" t="s">
        <v>39</v>
      </c>
      <c r="J6809" s="28" t="s">
        <v>772</v>
      </c>
      <c r="K6809" s="27" t="s">
        <v>37</v>
      </c>
      <c r="L6809" s="27"/>
    </row>
    <row r="6810" customFormat="false" ht="15" hidden="false" customHeight="false" outlineLevel="0" collapsed="false">
      <c r="A6810" s="26" t="s">
        <v>18558</v>
      </c>
      <c r="B6810" s="27" t="s">
        <v>18559</v>
      </c>
      <c r="C6810" s="27" t="s">
        <v>144</v>
      </c>
      <c r="D6810" s="26"/>
      <c r="E6810" s="27"/>
      <c r="F6810" s="27"/>
      <c r="G6810" s="27" t="s">
        <v>11122</v>
      </c>
      <c r="H6810" s="27" t="s">
        <v>35</v>
      </c>
      <c r="I6810" s="27" t="s">
        <v>39</v>
      </c>
      <c r="J6810" s="28" t="s">
        <v>772</v>
      </c>
      <c r="K6810" s="27" t="s">
        <v>37</v>
      </c>
      <c r="L6810" s="27"/>
    </row>
    <row r="6811" customFormat="false" ht="15" hidden="false" customHeight="false" outlineLevel="0" collapsed="false">
      <c r="A6811" s="26" t="s">
        <v>18560</v>
      </c>
      <c r="B6811" s="27" t="s">
        <v>18561</v>
      </c>
      <c r="C6811" s="27" t="s">
        <v>144</v>
      </c>
      <c r="D6811" s="26"/>
      <c r="E6811" s="27"/>
      <c r="F6811" s="27"/>
      <c r="G6811" s="27" t="s">
        <v>11122</v>
      </c>
      <c r="H6811" s="27" t="s">
        <v>35</v>
      </c>
      <c r="I6811" s="27" t="s">
        <v>39</v>
      </c>
      <c r="J6811" s="28" t="s">
        <v>772</v>
      </c>
      <c r="K6811" s="27" t="s">
        <v>37</v>
      </c>
      <c r="L6811" s="27"/>
    </row>
    <row r="6812" customFormat="false" ht="15" hidden="false" customHeight="false" outlineLevel="0" collapsed="false">
      <c r="A6812" s="26" t="s">
        <v>18562</v>
      </c>
      <c r="B6812" s="27" t="s">
        <v>18563</v>
      </c>
      <c r="C6812" s="27" t="s">
        <v>144</v>
      </c>
      <c r="D6812" s="26"/>
      <c r="E6812" s="27"/>
      <c r="F6812" s="27"/>
      <c r="G6812" s="27" t="s">
        <v>11122</v>
      </c>
      <c r="H6812" s="27" t="s">
        <v>35</v>
      </c>
      <c r="I6812" s="27" t="s">
        <v>39</v>
      </c>
      <c r="J6812" s="28" t="s">
        <v>772</v>
      </c>
      <c r="K6812" s="27" t="s">
        <v>37</v>
      </c>
      <c r="L6812" s="27"/>
    </row>
    <row r="6813" customFormat="false" ht="15" hidden="false" customHeight="false" outlineLevel="0" collapsed="false">
      <c r="A6813" s="26" t="s">
        <v>18564</v>
      </c>
      <c r="B6813" s="27" t="s">
        <v>18565</v>
      </c>
      <c r="C6813" s="27" t="s">
        <v>144</v>
      </c>
      <c r="D6813" s="26"/>
      <c r="E6813" s="27"/>
      <c r="F6813" s="27"/>
      <c r="G6813" s="27" t="s">
        <v>11122</v>
      </c>
      <c r="H6813" s="27" t="s">
        <v>35</v>
      </c>
      <c r="I6813" s="27" t="s">
        <v>39</v>
      </c>
      <c r="J6813" s="28" t="s">
        <v>772</v>
      </c>
      <c r="K6813" s="27" t="s">
        <v>37</v>
      </c>
      <c r="L6813" s="27"/>
    </row>
    <row r="6814" customFormat="false" ht="15" hidden="false" customHeight="false" outlineLevel="0" collapsed="false">
      <c r="A6814" s="26" t="s">
        <v>18566</v>
      </c>
      <c r="B6814" s="27" t="s">
        <v>18567</v>
      </c>
      <c r="C6814" s="27" t="s">
        <v>144</v>
      </c>
      <c r="D6814" s="26"/>
      <c r="E6814" s="27"/>
      <c r="F6814" s="27"/>
      <c r="G6814" s="27" t="s">
        <v>11122</v>
      </c>
      <c r="H6814" s="27" t="s">
        <v>35</v>
      </c>
      <c r="I6814" s="27" t="s">
        <v>39</v>
      </c>
      <c r="J6814" s="28" t="s">
        <v>772</v>
      </c>
      <c r="K6814" s="27" t="s">
        <v>37</v>
      </c>
      <c r="L6814" s="27"/>
    </row>
    <row r="6815" customFormat="false" ht="15" hidden="false" customHeight="false" outlineLevel="0" collapsed="false">
      <c r="A6815" s="26" t="s">
        <v>18568</v>
      </c>
      <c r="B6815" s="27" t="s">
        <v>18569</v>
      </c>
      <c r="C6815" s="27" t="s">
        <v>144</v>
      </c>
      <c r="D6815" s="26"/>
      <c r="E6815" s="27"/>
      <c r="F6815" s="27"/>
      <c r="G6815" s="27" t="s">
        <v>11122</v>
      </c>
      <c r="H6815" s="27" t="s">
        <v>35</v>
      </c>
      <c r="I6815" s="27" t="s">
        <v>39</v>
      </c>
      <c r="J6815" s="28" t="s">
        <v>772</v>
      </c>
      <c r="K6815" s="27" t="s">
        <v>37</v>
      </c>
      <c r="L6815" s="27"/>
    </row>
    <row r="6816" customFormat="false" ht="15" hidden="false" customHeight="false" outlineLevel="0" collapsed="false">
      <c r="A6816" s="26" t="s">
        <v>18570</v>
      </c>
      <c r="B6816" s="27" t="s">
        <v>18571</v>
      </c>
      <c r="C6816" s="27" t="s">
        <v>144</v>
      </c>
      <c r="D6816" s="26"/>
      <c r="E6816" s="27"/>
      <c r="F6816" s="27"/>
      <c r="G6816" s="27" t="s">
        <v>11122</v>
      </c>
      <c r="H6816" s="27" t="s">
        <v>35</v>
      </c>
      <c r="I6816" s="27" t="s">
        <v>39</v>
      </c>
      <c r="J6816" s="28" t="s">
        <v>772</v>
      </c>
      <c r="K6816" s="27" t="s">
        <v>37</v>
      </c>
      <c r="L6816" s="27"/>
    </row>
    <row r="6817" customFormat="false" ht="15" hidden="false" customHeight="false" outlineLevel="0" collapsed="false">
      <c r="A6817" s="26" t="s">
        <v>18572</v>
      </c>
      <c r="B6817" s="27" t="s">
        <v>18573</v>
      </c>
      <c r="C6817" s="27" t="s">
        <v>144</v>
      </c>
      <c r="D6817" s="26"/>
      <c r="E6817" s="27"/>
      <c r="F6817" s="27"/>
      <c r="G6817" s="27" t="s">
        <v>11122</v>
      </c>
      <c r="H6817" s="27" t="s">
        <v>35</v>
      </c>
      <c r="I6817" s="27" t="s">
        <v>39</v>
      </c>
      <c r="J6817" s="28" t="s">
        <v>772</v>
      </c>
      <c r="K6817" s="27" t="s">
        <v>37</v>
      </c>
      <c r="L6817" s="27"/>
    </row>
    <row r="6818" customFormat="false" ht="15" hidden="false" customHeight="false" outlineLevel="0" collapsed="false">
      <c r="A6818" s="26" t="s">
        <v>18574</v>
      </c>
      <c r="B6818" s="27" t="s">
        <v>18575</v>
      </c>
      <c r="C6818" s="27" t="s">
        <v>144</v>
      </c>
      <c r="D6818" s="26"/>
      <c r="E6818" s="27"/>
      <c r="F6818" s="27"/>
      <c r="G6818" s="27" t="s">
        <v>11122</v>
      </c>
      <c r="H6818" s="27" t="s">
        <v>35</v>
      </c>
      <c r="I6818" s="27" t="s">
        <v>39</v>
      </c>
      <c r="J6818" s="28" t="s">
        <v>772</v>
      </c>
      <c r="K6818" s="27" t="s">
        <v>37</v>
      </c>
      <c r="L6818" s="27"/>
    </row>
    <row r="6819" customFormat="false" ht="15" hidden="false" customHeight="false" outlineLevel="0" collapsed="false">
      <c r="A6819" s="26" t="s">
        <v>18576</v>
      </c>
      <c r="B6819" s="27" t="s">
        <v>18577</v>
      </c>
      <c r="C6819" s="27" t="s">
        <v>144</v>
      </c>
      <c r="D6819" s="26"/>
      <c r="E6819" s="27"/>
      <c r="F6819" s="27"/>
      <c r="G6819" s="27" t="s">
        <v>11122</v>
      </c>
      <c r="H6819" s="27" t="s">
        <v>35</v>
      </c>
      <c r="I6819" s="27" t="s">
        <v>39</v>
      </c>
      <c r="J6819" s="28" t="s">
        <v>772</v>
      </c>
      <c r="K6819" s="27" t="s">
        <v>37</v>
      </c>
      <c r="L6819" s="27"/>
    </row>
    <row r="6820" customFormat="false" ht="15" hidden="false" customHeight="false" outlineLevel="0" collapsed="false">
      <c r="A6820" s="26" t="s">
        <v>18578</v>
      </c>
      <c r="B6820" s="27" t="s">
        <v>18579</v>
      </c>
      <c r="C6820" s="27" t="s">
        <v>144</v>
      </c>
      <c r="D6820" s="26"/>
      <c r="E6820" s="27"/>
      <c r="F6820" s="27"/>
      <c r="G6820" s="27" t="s">
        <v>11122</v>
      </c>
      <c r="H6820" s="27" t="s">
        <v>35</v>
      </c>
      <c r="I6820" s="27" t="s">
        <v>39</v>
      </c>
      <c r="J6820" s="28" t="s">
        <v>772</v>
      </c>
      <c r="K6820" s="27" t="s">
        <v>37</v>
      </c>
      <c r="L6820" s="27"/>
    </row>
    <row r="6821" customFormat="false" ht="15" hidden="false" customHeight="false" outlineLevel="0" collapsed="false">
      <c r="A6821" s="26" t="s">
        <v>18580</v>
      </c>
      <c r="B6821" s="27" t="s">
        <v>18581</v>
      </c>
      <c r="C6821" s="27" t="s">
        <v>144</v>
      </c>
      <c r="D6821" s="26"/>
      <c r="E6821" s="27"/>
      <c r="F6821" s="27"/>
      <c r="G6821" s="27" t="s">
        <v>11122</v>
      </c>
      <c r="H6821" s="27" t="s">
        <v>35</v>
      </c>
      <c r="I6821" s="27" t="s">
        <v>39</v>
      </c>
      <c r="J6821" s="28" t="s">
        <v>772</v>
      </c>
      <c r="K6821" s="27" t="s">
        <v>37</v>
      </c>
      <c r="L6821" s="27"/>
    </row>
    <row r="6822" customFormat="false" ht="15" hidden="false" customHeight="false" outlineLevel="0" collapsed="false">
      <c r="A6822" s="26" t="s">
        <v>18582</v>
      </c>
      <c r="B6822" s="27" t="s">
        <v>18583</v>
      </c>
      <c r="C6822" s="27" t="s">
        <v>144</v>
      </c>
      <c r="D6822" s="26"/>
      <c r="E6822" s="27"/>
      <c r="F6822" s="27"/>
      <c r="G6822" s="27" t="s">
        <v>11122</v>
      </c>
      <c r="H6822" s="27" t="s">
        <v>35</v>
      </c>
      <c r="I6822" s="27" t="s">
        <v>39</v>
      </c>
      <c r="J6822" s="28" t="s">
        <v>772</v>
      </c>
      <c r="K6822" s="27" t="s">
        <v>37</v>
      </c>
      <c r="L6822" s="27"/>
    </row>
    <row r="6823" customFormat="false" ht="15" hidden="false" customHeight="false" outlineLevel="0" collapsed="false">
      <c r="A6823" s="26" t="s">
        <v>18584</v>
      </c>
      <c r="B6823" s="27" t="s">
        <v>18585</v>
      </c>
      <c r="C6823" s="27" t="s">
        <v>144</v>
      </c>
      <c r="D6823" s="26"/>
      <c r="E6823" s="27"/>
      <c r="F6823" s="27"/>
      <c r="G6823" s="27" t="s">
        <v>11122</v>
      </c>
      <c r="H6823" s="27" t="s">
        <v>35</v>
      </c>
      <c r="I6823" s="27" t="s">
        <v>39</v>
      </c>
      <c r="J6823" s="28" t="s">
        <v>772</v>
      </c>
      <c r="K6823" s="27" t="s">
        <v>37</v>
      </c>
      <c r="L6823" s="27"/>
    </row>
    <row r="6824" customFormat="false" ht="15" hidden="false" customHeight="false" outlineLevel="0" collapsed="false">
      <c r="A6824" s="26" t="s">
        <v>18586</v>
      </c>
      <c r="B6824" s="27" t="s">
        <v>18587</v>
      </c>
      <c r="C6824" s="27" t="s">
        <v>144</v>
      </c>
      <c r="D6824" s="26"/>
      <c r="E6824" s="27"/>
      <c r="F6824" s="27"/>
      <c r="G6824" s="27" t="s">
        <v>11122</v>
      </c>
      <c r="H6824" s="27" t="s">
        <v>35</v>
      </c>
      <c r="I6824" s="27" t="s">
        <v>39</v>
      </c>
      <c r="J6824" s="28" t="s">
        <v>772</v>
      </c>
      <c r="K6824" s="27" t="s">
        <v>37</v>
      </c>
      <c r="L6824" s="27"/>
    </row>
    <row r="6825" customFormat="false" ht="15" hidden="false" customHeight="false" outlineLevel="0" collapsed="false">
      <c r="A6825" s="26" t="s">
        <v>18588</v>
      </c>
      <c r="B6825" s="27" t="s">
        <v>18589</v>
      </c>
      <c r="C6825" s="27" t="s">
        <v>144</v>
      </c>
      <c r="D6825" s="26"/>
      <c r="E6825" s="27"/>
      <c r="F6825" s="27"/>
      <c r="G6825" s="27" t="s">
        <v>11122</v>
      </c>
      <c r="H6825" s="27" t="s">
        <v>35</v>
      </c>
      <c r="I6825" s="27" t="s">
        <v>39</v>
      </c>
      <c r="J6825" s="28" t="s">
        <v>772</v>
      </c>
      <c r="K6825" s="27" t="s">
        <v>37</v>
      </c>
      <c r="L6825" s="27"/>
    </row>
    <row r="6826" customFormat="false" ht="15" hidden="false" customHeight="false" outlineLevel="0" collapsed="false">
      <c r="A6826" s="26" t="s">
        <v>18590</v>
      </c>
      <c r="B6826" s="27" t="s">
        <v>18591</v>
      </c>
      <c r="C6826" s="27" t="s">
        <v>144</v>
      </c>
      <c r="D6826" s="26"/>
      <c r="E6826" s="27"/>
      <c r="F6826" s="27"/>
      <c r="G6826" s="27" t="s">
        <v>11122</v>
      </c>
      <c r="H6826" s="27" t="s">
        <v>35</v>
      </c>
      <c r="I6826" s="27" t="s">
        <v>39</v>
      </c>
      <c r="J6826" s="28" t="s">
        <v>772</v>
      </c>
      <c r="K6826" s="27" t="s">
        <v>37</v>
      </c>
      <c r="L6826" s="27"/>
    </row>
    <row r="6827" customFormat="false" ht="15" hidden="false" customHeight="false" outlineLevel="0" collapsed="false">
      <c r="A6827" s="26" t="s">
        <v>18592</v>
      </c>
      <c r="B6827" s="27" t="s">
        <v>18593</v>
      </c>
      <c r="C6827" s="27" t="s">
        <v>144</v>
      </c>
      <c r="D6827" s="26"/>
      <c r="E6827" s="27"/>
      <c r="F6827" s="27"/>
      <c r="G6827" s="27" t="s">
        <v>11122</v>
      </c>
      <c r="H6827" s="27" t="s">
        <v>35</v>
      </c>
      <c r="I6827" s="27" t="s">
        <v>39</v>
      </c>
      <c r="J6827" s="28" t="s">
        <v>772</v>
      </c>
      <c r="K6827" s="27" t="s">
        <v>37</v>
      </c>
      <c r="L6827" s="27"/>
    </row>
    <row r="6828" customFormat="false" ht="15" hidden="false" customHeight="false" outlineLevel="0" collapsed="false">
      <c r="A6828" s="26" t="s">
        <v>18594</v>
      </c>
      <c r="B6828" s="27" t="s">
        <v>18595</v>
      </c>
      <c r="C6828" s="27" t="s">
        <v>2041</v>
      </c>
      <c r="D6828" s="26"/>
      <c r="E6828" s="27"/>
      <c r="F6828" s="27"/>
      <c r="G6828" s="27" t="s">
        <v>11122</v>
      </c>
      <c r="H6828" s="27" t="s">
        <v>35</v>
      </c>
      <c r="I6828" s="27" t="s">
        <v>39</v>
      </c>
      <c r="J6828" s="28" t="s">
        <v>772</v>
      </c>
      <c r="K6828" s="27" t="s">
        <v>37</v>
      </c>
      <c r="L6828" s="27"/>
    </row>
    <row r="6829" customFormat="false" ht="15" hidden="false" customHeight="false" outlineLevel="0" collapsed="false">
      <c r="A6829" s="26" t="s">
        <v>18596</v>
      </c>
      <c r="B6829" s="27" t="s">
        <v>18597</v>
      </c>
      <c r="C6829" s="27" t="s">
        <v>144</v>
      </c>
      <c r="D6829" s="26"/>
      <c r="E6829" s="27"/>
      <c r="F6829" s="27"/>
      <c r="G6829" s="27" t="s">
        <v>11122</v>
      </c>
      <c r="H6829" s="27" t="s">
        <v>35</v>
      </c>
      <c r="I6829" s="27" t="s">
        <v>39</v>
      </c>
      <c r="J6829" s="28" t="s">
        <v>772</v>
      </c>
      <c r="K6829" s="27" t="s">
        <v>37</v>
      </c>
      <c r="L6829" s="27"/>
    </row>
    <row r="6830" customFormat="false" ht="15" hidden="false" customHeight="false" outlineLevel="0" collapsed="false">
      <c r="A6830" s="26" t="s">
        <v>18598</v>
      </c>
      <c r="B6830" s="27" t="s">
        <v>18599</v>
      </c>
      <c r="C6830" s="27" t="s">
        <v>144</v>
      </c>
      <c r="D6830" s="26"/>
      <c r="E6830" s="27"/>
      <c r="F6830" s="27"/>
      <c r="G6830" s="27" t="s">
        <v>11122</v>
      </c>
      <c r="H6830" s="27" t="s">
        <v>35</v>
      </c>
      <c r="I6830" s="27" t="s">
        <v>39</v>
      </c>
      <c r="J6830" s="28" t="s">
        <v>772</v>
      </c>
      <c r="K6830" s="27" t="s">
        <v>37</v>
      </c>
      <c r="L6830" s="27"/>
    </row>
    <row r="6831" customFormat="false" ht="15" hidden="false" customHeight="false" outlineLevel="0" collapsed="false">
      <c r="A6831" s="26" t="s">
        <v>18600</v>
      </c>
      <c r="B6831" s="27" t="s">
        <v>18601</v>
      </c>
      <c r="C6831" s="27" t="s">
        <v>144</v>
      </c>
      <c r="D6831" s="26"/>
      <c r="E6831" s="27"/>
      <c r="F6831" s="27"/>
      <c r="G6831" s="27" t="s">
        <v>11122</v>
      </c>
      <c r="H6831" s="27" t="s">
        <v>35</v>
      </c>
      <c r="I6831" s="27" t="s">
        <v>39</v>
      </c>
      <c r="J6831" s="28" t="s">
        <v>772</v>
      </c>
      <c r="K6831" s="27" t="s">
        <v>37</v>
      </c>
      <c r="L6831" s="27"/>
    </row>
    <row r="6832" customFormat="false" ht="15" hidden="false" customHeight="false" outlineLevel="0" collapsed="false">
      <c r="A6832" s="26" t="s">
        <v>18602</v>
      </c>
      <c r="B6832" s="27" t="s">
        <v>18603</v>
      </c>
      <c r="C6832" s="27" t="s">
        <v>144</v>
      </c>
      <c r="D6832" s="26"/>
      <c r="E6832" s="27"/>
      <c r="F6832" s="27"/>
      <c r="G6832" s="27" t="s">
        <v>11122</v>
      </c>
      <c r="H6832" s="27" t="s">
        <v>35</v>
      </c>
      <c r="I6832" s="27" t="s">
        <v>39</v>
      </c>
      <c r="J6832" s="28" t="s">
        <v>772</v>
      </c>
      <c r="K6832" s="27" t="s">
        <v>37</v>
      </c>
      <c r="L6832" s="27"/>
    </row>
    <row r="6833" customFormat="false" ht="15" hidden="false" customHeight="false" outlineLevel="0" collapsed="false">
      <c r="A6833" s="26" t="s">
        <v>18604</v>
      </c>
      <c r="B6833" s="27" t="s">
        <v>18605</v>
      </c>
      <c r="C6833" s="27" t="s">
        <v>144</v>
      </c>
      <c r="D6833" s="26"/>
      <c r="E6833" s="27"/>
      <c r="F6833" s="27"/>
      <c r="G6833" s="27" t="s">
        <v>11122</v>
      </c>
      <c r="H6833" s="27" t="s">
        <v>35</v>
      </c>
      <c r="I6833" s="27" t="s">
        <v>39</v>
      </c>
      <c r="J6833" s="28" t="s">
        <v>772</v>
      </c>
      <c r="K6833" s="27" t="s">
        <v>37</v>
      </c>
      <c r="L6833" s="27"/>
    </row>
    <row r="6834" customFormat="false" ht="15" hidden="false" customHeight="false" outlineLevel="0" collapsed="false">
      <c r="A6834" s="26" t="s">
        <v>18606</v>
      </c>
      <c r="B6834" s="27" t="s">
        <v>18607</v>
      </c>
      <c r="C6834" s="27" t="s">
        <v>144</v>
      </c>
      <c r="D6834" s="26"/>
      <c r="E6834" s="27"/>
      <c r="F6834" s="27"/>
      <c r="G6834" s="27" t="s">
        <v>11122</v>
      </c>
      <c r="H6834" s="27" t="s">
        <v>35</v>
      </c>
      <c r="I6834" s="27" t="s">
        <v>39</v>
      </c>
      <c r="J6834" s="28" t="s">
        <v>772</v>
      </c>
      <c r="K6834" s="27" t="s">
        <v>37</v>
      </c>
      <c r="L6834" s="27"/>
    </row>
    <row r="6835" customFormat="false" ht="15" hidden="false" customHeight="false" outlineLevel="0" collapsed="false">
      <c r="A6835" s="26" t="s">
        <v>18608</v>
      </c>
      <c r="B6835" s="27" t="s">
        <v>18609</v>
      </c>
      <c r="C6835" s="27" t="s">
        <v>144</v>
      </c>
      <c r="D6835" s="26"/>
      <c r="E6835" s="27"/>
      <c r="F6835" s="27"/>
      <c r="G6835" s="27" t="s">
        <v>11122</v>
      </c>
      <c r="H6835" s="27" t="s">
        <v>35</v>
      </c>
      <c r="I6835" s="27" t="s">
        <v>39</v>
      </c>
      <c r="J6835" s="28" t="s">
        <v>772</v>
      </c>
      <c r="K6835" s="27" t="s">
        <v>37</v>
      </c>
      <c r="L6835" s="27"/>
    </row>
    <row r="6836" customFormat="false" ht="15" hidden="false" customHeight="false" outlineLevel="0" collapsed="false">
      <c r="A6836" s="26" t="s">
        <v>18610</v>
      </c>
      <c r="B6836" s="27" t="s">
        <v>18611</v>
      </c>
      <c r="C6836" s="27" t="s">
        <v>144</v>
      </c>
      <c r="D6836" s="26"/>
      <c r="E6836" s="27"/>
      <c r="F6836" s="27"/>
      <c r="G6836" s="27" t="s">
        <v>11122</v>
      </c>
      <c r="H6836" s="27" t="s">
        <v>35</v>
      </c>
      <c r="I6836" s="27" t="s">
        <v>39</v>
      </c>
      <c r="J6836" s="28" t="s">
        <v>772</v>
      </c>
      <c r="K6836" s="27" t="s">
        <v>37</v>
      </c>
      <c r="L6836" s="27"/>
    </row>
    <row r="6837" customFormat="false" ht="15" hidden="false" customHeight="false" outlineLevel="0" collapsed="false">
      <c r="A6837" s="26" t="s">
        <v>18612</v>
      </c>
      <c r="B6837" s="27" t="s">
        <v>18613</v>
      </c>
      <c r="C6837" s="27" t="s">
        <v>144</v>
      </c>
      <c r="D6837" s="26"/>
      <c r="E6837" s="27"/>
      <c r="F6837" s="27"/>
      <c r="G6837" s="27" t="s">
        <v>11122</v>
      </c>
      <c r="H6837" s="27" t="s">
        <v>35</v>
      </c>
      <c r="I6837" s="27" t="s">
        <v>39</v>
      </c>
      <c r="J6837" s="28" t="s">
        <v>772</v>
      </c>
      <c r="K6837" s="27" t="s">
        <v>37</v>
      </c>
      <c r="L6837" s="27"/>
    </row>
    <row r="6838" customFormat="false" ht="15" hidden="false" customHeight="false" outlineLevel="0" collapsed="false">
      <c r="A6838" s="26" t="s">
        <v>18614</v>
      </c>
      <c r="B6838" s="27" t="s">
        <v>18615</v>
      </c>
      <c r="C6838" s="27" t="s">
        <v>144</v>
      </c>
      <c r="D6838" s="26"/>
      <c r="E6838" s="27"/>
      <c r="F6838" s="27"/>
      <c r="G6838" s="27" t="s">
        <v>11122</v>
      </c>
      <c r="H6838" s="27" t="s">
        <v>35</v>
      </c>
      <c r="I6838" s="27" t="s">
        <v>39</v>
      </c>
      <c r="J6838" s="28" t="s">
        <v>772</v>
      </c>
      <c r="K6838" s="27" t="s">
        <v>37</v>
      </c>
      <c r="L6838" s="27"/>
    </row>
    <row r="6839" customFormat="false" ht="15" hidden="false" customHeight="false" outlineLevel="0" collapsed="false">
      <c r="A6839" s="26" t="s">
        <v>18616</v>
      </c>
      <c r="B6839" s="27" t="s">
        <v>18617</v>
      </c>
      <c r="C6839" s="27" t="s">
        <v>144</v>
      </c>
      <c r="D6839" s="26"/>
      <c r="E6839" s="27"/>
      <c r="F6839" s="27"/>
      <c r="G6839" s="27" t="s">
        <v>11122</v>
      </c>
      <c r="H6839" s="27" t="s">
        <v>35</v>
      </c>
      <c r="I6839" s="27" t="s">
        <v>39</v>
      </c>
      <c r="J6839" s="28" t="s">
        <v>772</v>
      </c>
      <c r="K6839" s="27" t="s">
        <v>37</v>
      </c>
      <c r="L6839" s="27"/>
    </row>
    <row r="6840" customFormat="false" ht="15" hidden="false" customHeight="false" outlineLevel="0" collapsed="false">
      <c r="A6840" s="26" t="s">
        <v>18618</v>
      </c>
      <c r="B6840" s="27" t="s">
        <v>18619</v>
      </c>
      <c r="C6840" s="27" t="s">
        <v>144</v>
      </c>
      <c r="D6840" s="26"/>
      <c r="E6840" s="27"/>
      <c r="F6840" s="27"/>
      <c r="G6840" s="27" t="s">
        <v>11122</v>
      </c>
      <c r="H6840" s="27" t="s">
        <v>35</v>
      </c>
      <c r="I6840" s="27" t="s">
        <v>39</v>
      </c>
      <c r="J6840" s="28" t="s">
        <v>772</v>
      </c>
      <c r="K6840" s="27" t="s">
        <v>37</v>
      </c>
      <c r="L6840" s="27"/>
    </row>
    <row r="6841" customFormat="false" ht="15" hidden="false" customHeight="false" outlineLevel="0" collapsed="false">
      <c r="A6841" s="26" t="s">
        <v>18620</v>
      </c>
      <c r="B6841" s="27" t="s">
        <v>18621</v>
      </c>
      <c r="C6841" s="27" t="s">
        <v>144</v>
      </c>
      <c r="D6841" s="26"/>
      <c r="E6841" s="27"/>
      <c r="F6841" s="27"/>
      <c r="G6841" s="27" t="s">
        <v>11122</v>
      </c>
      <c r="H6841" s="27" t="s">
        <v>35</v>
      </c>
      <c r="I6841" s="27" t="s">
        <v>39</v>
      </c>
      <c r="J6841" s="28" t="s">
        <v>772</v>
      </c>
      <c r="K6841" s="27" t="s">
        <v>37</v>
      </c>
      <c r="L6841" s="27"/>
    </row>
    <row r="6842" customFormat="false" ht="15" hidden="false" customHeight="false" outlineLevel="0" collapsed="false">
      <c r="A6842" s="26" t="s">
        <v>18622</v>
      </c>
      <c r="B6842" s="27" t="s">
        <v>18623</v>
      </c>
      <c r="C6842" s="27" t="s">
        <v>144</v>
      </c>
      <c r="D6842" s="26"/>
      <c r="E6842" s="27"/>
      <c r="F6842" s="27"/>
      <c r="G6842" s="27" t="s">
        <v>11122</v>
      </c>
      <c r="H6842" s="27" t="s">
        <v>35</v>
      </c>
      <c r="I6842" s="27" t="s">
        <v>39</v>
      </c>
      <c r="J6842" s="28" t="s">
        <v>772</v>
      </c>
      <c r="K6842" s="27" t="s">
        <v>37</v>
      </c>
      <c r="L6842" s="27"/>
    </row>
    <row r="6843" customFormat="false" ht="15" hidden="false" customHeight="false" outlineLevel="0" collapsed="false">
      <c r="A6843" s="26" t="s">
        <v>18624</v>
      </c>
      <c r="B6843" s="27" t="s">
        <v>18625</v>
      </c>
      <c r="C6843" s="27" t="s">
        <v>144</v>
      </c>
      <c r="D6843" s="26"/>
      <c r="E6843" s="27"/>
      <c r="F6843" s="27"/>
      <c r="G6843" s="27" t="s">
        <v>11122</v>
      </c>
      <c r="H6843" s="27" t="s">
        <v>35</v>
      </c>
      <c r="I6843" s="27" t="s">
        <v>39</v>
      </c>
      <c r="J6843" s="28" t="s">
        <v>772</v>
      </c>
      <c r="K6843" s="27" t="s">
        <v>37</v>
      </c>
      <c r="L6843" s="27"/>
    </row>
    <row r="6844" customFormat="false" ht="15" hidden="false" customHeight="false" outlineLevel="0" collapsed="false">
      <c r="A6844" s="26" t="s">
        <v>18626</v>
      </c>
      <c r="B6844" s="27" t="s">
        <v>18627</v>
      </c>
      <c r="C6844" s="27" t="s">
        <v>144</v>
      </c>
      <c r="D6844" s="26"/>
      <c r="E6844" s="27"/>
      <c r="F6844" s="27"/>
      <c r="G6844" s="27" t="s">
        <v>11122</v>
      </c>
      <c r="H6844" s="27" t="s">
        <v>35</v>
      </c>
      <c r="I6844" s="27" t="s">
        <v>39</v>
      </c>
      <c r="J6844" s="28" t="s">
        <v>772</v>
      </c>
      <c r="K6844" s="27" t="s">
        <v>37</v>
      </c>
      <c r="L6844" s="27"/>
    </row>
    <row r="6845" customFormat="false" ht="15" hidden="false" customHeight="false" outlineLevel="0" collapsed="false">
      <c r="A6845" s="26" t="s">
        <v>18628</v>
      </c>
      <c r="B6845" s="27" t="s">
        <v>18629</v>
      </c>
      <c r="C6845" s="27" t="s">
        <v>144</v>
      </c>
      <c r="D6845" s="26"/>
      <c r="E6845" s="27"/>
      <c r="F6845" s="27"/>
      <c r="G6845" s="27" t="s">
        <v>11122</v>
      </c>
      <c r="H6845" s="27" t="s">
        <v>35</v>
      </c>
      <c r="I6845" s="27" t="s">
        <v>39</v>
      </c>
      <c r="J6845" s="28" t="s">
        <v>772</v>
      </c>
      <c r="K6845" s="27" t="s">
        <v>37</v>
      </c>
      <c r="L6845" s="27"/>
    </row>
    <row r="6846" customFormat="false" ht="15" hidden="false" customHeight="false" outlineLevel="0" collapsed="false">
      <c r="A6846" s="26" t="s">
        <v>18630</v>
      </c>
      <c r="B6846" s="27" t="s">
        <v>18631</v>
      </c>
      <c r="C6846" s="27" t="s">
        <v>144</v>
      </c>
      <c r="D6846" s="26"/>
      <c r="E6846" s="27"/>
      <c r="F6846" s="27"/>
      <c r="G6846" s="27" t="s">
        <v>11122</v>
      </c>
      <c r="H6846" s="27" t="s">
        <v>35</v>
      </c>
      <c r="I6846" s="27" t="s">
        <v>39</v>
      </c>
      <c r="J6846" s="28" t="s">
        <v>772</v>
      </c>
      <c r="K6846" s="27" t="s">
        <v>37</v>
      </c>
      <c r="L6846" s="27"/>
    </row>
    <row r="6847" customFormat="false" ht="15" hidden="false" customHeight="false" outlineLevel="0" collapsed="false">
      <c r="A6847" s="26" t="s">
        <v>18632</v>
      </c>
      <c r="B6847" s="27" t="s">
        <v>18633</v>
      </c>
      <c r="C6847" s="27" t="s">
        <v>144</v>
      </c>
      <c r="D6847" s="26"/>
      <c r="E6847" s="27"/>
      <c r="F6847" s="27"/>
      <c r="G6847" s="27" t="s">
        <v>11122</v>
      </c>
      <c r="H6847" s="27" t="s">
        <v>35</v>
      </c>
      <c r="I6847" s="27" t="s">
        <v>39</v>
      </c>
      <c r="J6847" s="28" t="s">
        <v>772</v>
      </c>
      <c r="K6847" s="27" t="s">
        <v>37</v>
      </c>
      <c r="L6847" s="27"/>
    </row>
    <row r="6848" customFormat="false" ht="15" hidden="false" customHeight="false" outlineLevel="0" collapsed="false">
      <c r="A6848" s="26" t="s">
        <v>18634</v>
      </c>
      <c r="B6848" s="27" t="s">
        <v>18635</v>
      </c>
      <c r="C6848" s="27" t="s">
        <v>144</v>
      </c>
      <c r="D6848" s="26"/>
      <c r="E6848" s="27"/>
      <c r="F6848" s="27"/>
      <c r="G6848" s="27" t="s">
        <v>11122</v>
      </c>
      <c r="H6848" s="27" t="s">
        <v>35</v>
      </c>
      <c r="I6848" s="27" t="s">
        <v>39</v>
      </c>
      <c r="J6848" s="28" t="s">
        <v>772</v>
      </c>
      <c r="K6848" s="27" t="s">
        <v>37</v>
      </c>
      <c r="L6848" s="27"/>
    </row>
    <row r="6849" customFormat="false" ht="15" hidden="false" customHeight="false" outlineLevel="0" collapsed="false">
      <c r="A6849" s="26" t="s">
        <v>18636</v>
      </c>
      <c r="B6849" s="27" t="s">
        <v>18637</v>
      </c>
      <c r="C6849" s="27" t="s">
        <v>144</v>
      </c>
      <c r="D6849" s="26"/>
      <c r="E6849" s="27"/>
      <c r="F6849" s="27"/>
      <c r="G6849" s="27" t="s">
        <v>11122</v>
      </c>
      <c r="H6849" s="27" t="s">
        <v>35</v>
      </c>
      <c r="I6849" s="27" t="s">
        <v>39</v>
      </c>
      <c r="J6849" s="28" t="s">
        <v>772</v>
      </c>
      <c r="K6849" s="27" t="s">
        <v>37</v>
      </c>
      <c r="L6849" s="27"/>
    </row>
    <row r="6850" customFormat="false" ht="15" hidden="false" customHeight="false" outlineLevel="0" collapsed="false">
      <c r="A6850" s="26" t="s">
        <v>18638</v>
      </c>
      <c r="B6850" s="27" t="s">
        <v>18639</v>
      </c>
      <c r="C6850" s="27" t="s">
        <v>144</v>
      </c>
      <c r="D6850" s="26"/>
      <c r="E6850" s="27"/>
      <c r="F6850" s="27"/>
      <c r="G6850" s="27" t="s">
        <v>11122</v>
      </c>
      <c r="H6850" s="27" t="s">
        <v>35</v>
      </c>
      <c r="I6850" s="27" t="s">
        <v>37</v>
      </c>
      <c r="J6850" s="28" t="s">
        <v>772</v>
      </c>
      <c r="K6850" s="27" t="s">
        <v>37</v>
      </c>
      <c r="L6850" s="27"/>
    </row>
    <row r="6851" customFormat="false" ht="15" hidden="false" customHeight="false" outlineLevel="0" collapsed="false">
      <c r="A6851" s="26" t="s">
        <v>18640</v>
      </c>
      <c r="B6851" s="27" t="s">
        <v>18641</v>
      </c>
      <c r="C6851" s="27" t="s">
        <v>144</v>
      </c>
      <c r="D6851" s="26"/>
      <c r="E6851" s="27"/>
      <c r="F6851" s="27"/>
      <c r="G6851" s="27" t="s">
        <v>11122</v>
      </c>
      <c r="H6851" s="27" t="s">
        <v>35</v>
      </c>
      <c r="I6851" s="27" t="s">
        <v>39</v>
      </c>
      <c r="J6851" s="28" t="s">
        <v>772</v>
      </c>
      <c r="K6851" s="27" t="s">
        <v>37</v>
      </c>
      <c r="L6851" s="27"/>
    </row>
    <row r="6852" customFormat="false" ht="15" hidden="false" customHeight="false" outlineLevel="0" collapsed="false">
      <c r="A6852" s="26" t="s">
        <v>18642</v>
      </c>
      <c r="B6852" s="27" t="s">
        <v>18643</v>
      </c>
      <c r="C6852" s="27" t="s">
        <v>144</v>
      </c>
      <c r="D6852" s="26"/>
      <c r="E6852" s="27"/>
      <c r="F6852" s="27"/>
      <c r="G6852" s="27" t="s">
        <v>11122</v>
      </c>
      <c r="H6852" s="27" t="s">
        <v>35</v>
      </c>
      <c r="I6852" s="27" t="s">
        <v>39</v>
      </c>
      <c r="J6852" s="28" t="s">
        <v>772</v>
      </c>
      <c r="K6852" s="27" t="s">
        <v>37</v>
      </c>
      <c r="L6852" s="27"/>
    </row>
    <row r="6853" customFormat="false" ht="15" hidden="false" customHeight="false" outlineLevel="0" collapsed="false">
      <c r="A6853" s="26" t="s">
        <v>18644</v>
      </c>
      <c r="B6853" s="27" t="s">
        <v>18645</v>
      </c>
      <c r="C6853" s="27" t="s">
        <v>144</v>
      </c>
      <c r="D6853" s="26"/>
      <c r="E6853" s="27"/>
      <c r="F6853" s="27"/>
      <c r="G6853" s="27" t="s">
        <v>11122</v>
      </c>
      <c r="H6853" s="27" t="s">
        <v>35</v>
      </c>
      <c r="I6853" s="27" t="s">
        <v>39</v>
      </c>
      <c r="J6853" s="28" t="s">
        <v>772</v>
      </c>
      <c r="K6853" s="27" t="s">
        <v>37</v>
      </c>
      <c r="L6853" s="27"/>
    </row>
    <row r="6854" customFormat="false" ht="15" hidden="false" customHeight="false" outlineLevel="0" collapsed="false">
      <c r="A6854" s="26" t="s">
        <v>18646</v>
      </c>
      <c r="B6854" s="27" t="s">
        <v>18647</v>
      </c>
      <c r="C6854" s="27" t="s">
        <v>144</v>
      </c>
      <c r="D6854" s="26"/>
      <c r="E6854" s="27"/>
      <c r="F6854" s="27"/>
      <c r="G6854" s="27" t="s">
        <v>11122</v>
      </c>
      <c r="H6854" s="27" t="s">
        <v>35</v>
      </c>
      <c r="I6854" s="27" t="s">
        <v>39</v>
      </c>
      <c r="J6854" s="28" t="s">
        <v>772</v>
      </c>
      <c r="K6854" s="27" t="s">
        <v>37</v>
      </c>
      <c r="L6854" s="27"/>
    </row>
    <row r="6855" customFormat="false" ht="15" hidden="false" customHeight="false" outlineLevel="0" collapsed="false">
      <c r="A6855" s="26" t="s">
        <v>18648</v>
      </c>
      <c r="B6855" s="27" t="s">
        <v>18649</v>
      </c>
      <c r="C6855" s="27" t="s">
        <v>144</v>
      </c>
      <c r="D6855" s="26"/>
      <c r="E6855" s="27"/>
      <c r="F6855" s="27"/>
      <c r="G6855" s="27" t="s">
        <v>11122</v>
      </c>
      <c r="H6855" s="27" t="s">
        <v>35</v>
      </c>
      <c r="I6855" s="27" t="s">
        <v>39</v>
      </c>
      <c r="J6855" s="28" t="s">
        <v>772</v>
      </c>
      <c r="K6855" s="27" t="s">
        <v>37</v>
      </c>
      <c r="L6855" s="27"/>
    </row>
    <row r="6856" customFormat="false" ht="15" hidden="false" customHeight="false" outlineLevel="0" collapsed="false">
      <c r="A6856" s="26" t="s">
        <v>18650</v>
      </c>
      <c r="B6856" s="27" t="s">
        <v>18651</v>
      </c>
      <c r="C6856" s="27" t="s">
        <v>144</v>
      </c>
      <c r="D6856" s="26"/>
      <c r="E6856" s="27"/>
      <c r="F6856" s="27"/>
      <c r="G6856" s="27" t="s">
        <v>11122</v>
      </c>
      <c r="H6856" s="27" t="s">
        <v>35</v>
      </c>
      <c r="I6856" s="27" t="s">
        <v>39</v>
      </c>
      <c r="J6856" s="28" t="s">
        <v>772</v>
      </c>
      <c r="K6856" s="27" t="s">
        <v>37</v>
      </c>
      <c r="L6856" s="27"/>
    </row>
    <row r="6857" customFormat="false" ht="15" hidden="false" customHeight="false" outlineLevel="0" collapsed="false">
      <c r="A6857" s="26" t="s">
        <v>18652</v>
      </c>
      <c r="B6857" s="27" t="s">
        <v>18653</v>
      </c>
      <c r="C6857" s="27" t="s">
        <v>144</v>
      </c>
      <c r="D6857" s="26"/>
      <c r="E6857" s="27"/>
      <c r="F6857" s="27"/>
      <c r="G6857" s="27" t="s">
        <v>11122</v>
      </c>
      <c r="H6857" s="27" t="s">
        <v>35</v>
      </c>
      <c r="I6857" s="27" t="s">
        <v>39</v>
      </c>
      <c r="J6857" s="28" t="s">
        <v>772</v>
      </c>
      <c r="K6857" s="27" t="s">
        <v>37</v>
      </c>
      <c r="L6857" s="27"/>
    </row>
    <row r="6858" customFormat="false" ht="15" hidden="false" customHeight="false" outlineLevel="0" collapsed="false">
      <c r="A6858" s="26" t="s">
        <v>18654</v>
      </c>
      <c r="B6858" s="27" t="s">
        <v>18655</v>
      </c>
      <c r="C6858" s="27" t="s">
        <v>2041</v>
      </c>
      <c r="D6858" s="26"/>
      <c r="E6858" s="27"/>
      <c r="F6858" s="27"/>
      <c r="G6858" s="27" t="s">
        <v>11122</v>
      </c>
      <c r="H6858" s="27" t="s">
        <v>35</v>
      </c>
      <c r="I6858" s="27" t="s">
        <v>39</v>
      </c>
      <c r="J6858" s="28" t="s">
        <v>772</v>
      </c>
      <c r="K6858" s="27" t="s">
        <v>37</v>
      </c>
      <c r="L6858" s="27"/>
    </row>
    <row r="6859" customFormat="false" ht="15" hidden="false" customHeight="false" outlineLevel="0" collapsed="false">
      <c r="A6859" s="26" t="s">
        <v>18656</v>
      </c>
      <c r="B6859" s="27" t="s">
        <v>18657</v>
      </c>
      <c r="C6859" s="27" t="s">
        <v>144</v>
      </c>
      <c r="D6859" s="26"/>
      <c r="E6859" s="27"/>
      <c r="F6859" s="27"/>
      <c r="G6859" s="27" t="s">
        <v>11122</v>
      </c>
      <c r="H6859" s="27" t="s">
        <v>35</v>
      </c>
      <c r="I6859" s="27" t="s">
        <v>39</v>
      </c>
      <c r="J6859" s="28" t="s">
        <v>772</v>
      </c>
      <c r="K6859" s="27" t="s">
        <v>37</v>
      </c>
      <c r="L6859" s="27"/>
    </row>
    <row r="6860" customFormat="false" ht="15" hidden="false" customHeight="false" outlineLevel="0" collapsed="false">
      <c r="A6860" s="26" t="s">
        <v>18658</v>
      </c>
      <c r="B6860" s="27" t="s">
        <v>18659</v>
      </c>
      <c r="C6860" s="27" t="s">
        <v>144</v>
      </c>
      <c r="D6860" s="26"/>
      <c r="E6860" s="27"/>
      <c r="F6860" s="27"/>
      <c r="G6860" s="27" t="s">
        <v>11122</v>
      </c>
      <c r="H6860" s="27" t="s">
        <v>35</v>
      </c>
      <c r="I6860" s="27" t="s">
        <v>39</v>
      </c>
      <c r="J6860" s="28" t="s">
        <v>772</v>
      </c>
      <c r="K6860" s="27" t="s">
        <v>37</v>
      </c>
      <c r="L6860" s="27"/>
    </row>
    <row r="6861" customFormat="false" ht="15" hidden="false" customHeight="false" outlineLevel="0" collapsed="false">
      <c r="A6861" s="26" t="s">
        <v>18660</v>
      </c>
      <c r="B6861" s="27" t="s">
        <v>18661</v>
      </c>
      <c r="C6861" s="27" t="s">
        <v>144</v>
      </c>
      <c r="D6861" s="26"/>
      <c r="E6861" s="27"/>
      <c r="F6861" s="27"/>
      <c r="G6861" s="27" t="s">
        <v>11122</v>
      </c>
      <c r="H6861" s="27" t="s">
        <v>35</v>
      </c>
      <c r="I6861" s="27" t="s">
        <v>39</v>
      </c>
      <c r="J6861" s="28" t="s">
        <v>772</v>
      </c>
      <c r="K6861" s="27" t="s">
        <v>37</v>
      </c>
      <c r="L6861" s="27"/>
    </row>
    <row r="6862" customFormat="false" ht="15" hidden="false" customHeight="false" outlineLevel="0" collapsed="false">
      <c r="A6862" s="26" t="s">
        <v>18662</v>
      </c>
      <c r="B6862" s="27" t="s">
        <v>18663</v>
      </c>
      <c r="C6862" s="27" t="s">
        <v>144</v>
      </c>
      <c r="D6862" s="26"/>
      <c r="E6862" s="27"/>
      <c r="F6862" s="27"/>
      <c r="G6862" s="27" t="s">
        <v>11122</v>
      </c>
      <c r="H6862" s="27" t="s">
        <v>35</v>
      </c>
      <c r="I6862" s="27" t="s">
        <v>39</v>
      </c>
      <c r="J6862" s="28" t="s">
        <v>772</v>
      </c>
      <c r="K6862" s="27" t="s">
        <v>37</v>
      </c>
      <c r="L6862" s="27"/>
    </row>
    <row r="6863" customFormat="false" ht="15" hidden="false" customHeight="false" outlineLevel="0" collapsed="false">
      <c r="A6863" s="26" t="s">
        <v>18664</v>
      </c>
      <c r="B6863" s="27" t="s">
        <v>18665</v>
      </c>
      <c r="C6863" s="27" t="s">
        <v>144</v>
      </c>
      <c r="D6863" s="26"/>
      <c r="E6863" s="27"/>
      <c r="F6863" s="27"/>
      <c r="G6863" s="27" t="s">
        <v>11122</v>
      </c>
      <c r="H6863" s="27" t="s">
        <v>35</v>
      </c>
      <c r="I6863" s="27" t="s">
        <v>39</v>
      </c>
      <c r="J6863" s="28" t="s">
        <v>772</v>
      </c>
      <c r="K6863" s="27" t="s">
        <v>37</v>
      </c>
      <c r="L6863" s="27"/>
    </row>
    <row r="6864" customFormat="false" ht="15" hidden="false" customHeight="false" outlineLevel="0" collapsed="false">
      <c r="A6864" s="26" t="s">
        <v>18666</v>
      </c>
      <c r="B6864" s="27" t="s">
        <v>18667</v>
      </c>
      <c r="C6864" s="27" t="s">
        <v>144</v>
      </c>
      <c r="D6864" s="26"/>
      <c r="E6864" s="27"/>
      <c r="F6864" s="27"/>
      <c r="G6864" s="27" t="s">
        <v>11122</v>
      </c>
      <c r="H6864" s="27" t="s">
        <v>35</v>
      </c>
      <c r="I6864" s="27" t="s">
        <v>39</v>
      </c>
      <c r="J6864" s="28" t="s">
        <v>772</v>
      </c>
      <c r="K6864" s="27" t="s">
        <v>37</v>
      </c>
      <c r="L6864" s="27"/>
    </row>
    <row r="6865" customFormat="false" ht="15" hidden="false" customHeight="false" outlineLevel="0" collapsed="false">
      <c r="A6865" s="26" t="s">
        <v>18668</v>
      </c>
      <c r="B6865" s="27" t="s">
        <v>18669</v>
      </c>
      <c r="C6865" s="27" t="s">
        <v>144</v>
      </c>
      <c r="D6865" s="26"/>
      <c r="E6865" s="27"/>
      <c r="F6865" s="27"/>
      <c r="G6865" s="27" t="s">
        <v>11122</v>
      </c>
      <c r="H6865" s="27" t="s">
        <v>35</v>
      </c>
      <c r="I6865" s="27" t="s">
        <v>39</v>
      </c>
      <c r="J6865" s="28" t="s">
        <v>772</v>
      </c>
      <c r="K6865" s="27" t="s">
        <v>37</v>
      </c>
      <c r="L6865" s="27"/>
    </row>
    <row r="6866" customFormat="false" ht="15" hidden="false" customHeight="false" outlineLevel="0" collapsed="false">
      <c r="A6866" s="26" t="s">
        <v>18670</v>
      </c>
      <c r="B6866" s="27" t="s">
        <v>18671</v>
      </c>
      <c r="C6866" s="27" t="s">
        <v>144</v>
      </c>
      <c r="D6866" s="26"/>
      <c r="E6866" s="27"/>
      <c r="F6866" s="27"/>
      <c r="G6866" s="27" t="s">
        <v>11122</v>
      </c>
      <c r="H6866" s="27" t="s">
        <v>35</v>
      </c>
      <c r="I6866" s="27" t="s">
        <v>39</v>
      </c>
      <c r="J6866" s="28" t="s">
        <v>772</v>
      </c>
      <c r="K6866" s="27" t="s">
        <v>37</v>
      </c>
      <c r="L6866" s="27"/>
    </row>
    <row r="6867" customFormat="false" ht="15" hidden="false" customHeight="false" outlineLevel="0" collapsed="false">
      <c r="A6867" s="26" t="s">
        <v>18672</v>
      </c>
      <c r="B6867" s="27" t="s">
        <v>18673</v>
      </c>
      <c r="C6867" s="27" t="s">
        <v>144</v>
      </c>
      <c r="D6867" s="26"/>
      <c r="E6867" s="27"/>
      <c r="F6867" s="27"/>
      <c r="G6867" s="27" t="s">
        <v>11122</v>
      </c>
      <c r="H6867" s="27" t="s">
        <v>35</v>
      </c>
      <c r="I6867" s="27" t="s">
        <v>39</v>
      </c>
      <c r="J6867" s="28" t="s">
        <v>772</v>
      </c>
      <c r="K6867" s="27" t="s">
        <v>37</v>
      </c>
      <c r="L6867" s="27"/>
    </row>
    <row r="6868" customFormat="false" ht="15" hidden="false" customHeight="false" outlineLevel="0" collapsed="false">
      <c r="A6868" s="26" t="s">
        <v>18674</v>
      </c>
      <c r="B6868" s="27" t="s">
        <v>18675</v>
      </c>
      <c r="C6868" s="27" t="s">
        <v>144</v>
      </c>
      <c r="D6868" s="26"/>
      <c r="E6868" s="27"/>
      <c r="F6868" s="27"/>
      <c r="G6868" s="27" t="s">
        <v>11122</v>
      </c>
      <c r="H6868" s="27" t="s">
        <v>35</v>
      </c>
      <c r="I6868" s="27" t="s">
        <v>39</v>
      </c>
      <c r="J6868" s="28" t="s">
        <v>772</v>
      </c>
      <c r="K6868" s="27" t="s">
        <v>37</v>
      </c>
      <c r="L6868" s="27"/>
    </row>
    <row r="6869" customFormat="false" ht="15" hidden="false" customHeight="false" outlineLevel="0" collapsed="false">
      <c r="A6869" s="26" t="s">
        <v>18676</v>
      </c>
      <c r="B6869" s="27" t="s">
        <v>18677</v>
      </c>
      <c r="C6869" s="27" t="s">
        <v>144</v>
      </c>
      <c r="D6869" s="26"/>
      <c r="E6869" s="27"/>
      <c r="F6869" s="27"/>
      <c r="G6869" s="27" t="s">
        <v>11122</v>
      </c>
      <c r="H6869" s="27" t="s">
        <v>35</v>
      </c>
      <c r="I6869" s="27" t="s">
        <v>39</v>
      </c>
      <c r="J6869" s="28" t="s">
        <v>772</v>
      </c>
      <c r="K6869" s="27" t="s">
        <v>37</v>
      </c>
      <c r="L6869" s="27"/>
    </row>
    <row r="6870" customFormat="false" ht="15" hidden="false" customHeight="false" outlineLevel="0" collapsed="false">
      <c r="A6870" s="26" t="s">
        <v>18678</v>
      </c>
      <c r="B6870" s="27" t="s">
        <v>18679</v>
      </c>
      <c r="C6870" s="27" t="s">
        <v>144</v>
      </c>
      <c r="D6870" s="26"/>
      <c r="E6870" s="27"/>
      <c r="F6870" s="27"/>
      <c r="G6870" s="27" t="s">
        <v>11122</v>
      </c>
      <c r="H6870" s="27" t="s">
        <v>35</v>
      </c>
      <c r="I6870" s="27" t="s">
        <v>39</v>
      </c>
      <c r="J6870" s="28" t="s">
        <v>772</v>
      </c>
      <c r="K6870" s="27" t="s">
        <v>37</v>
      </c>
      <c r="L6870" s="27"/>
    </row>
    <row r="6871" customFormat="false" ht="15" hidden="false" customHeight="false" outlineLevel="0" collapsed="false">
      <c r="A6871" s="26" t="s">
        <v>18680</v>
      </c>
      <c r="B6871" s="27" t="s">
        <v>18681</v>
      </c>
      <c r="C6871" s="27" t="s">
        <v>144</v>
      </c>
      <c r="D6871" s="26"/>
      <c r="E6871" s="27"/>
      <c r="F6871" s="27"/>
      <c r="G6871" s="27" t="s">
        <v>11122</v>
      </c>
      <c r="H6871" s="27" t="s">
        <v>35</v>
      </c>
      <c r="I6871" s="27" t="s">
        <v>39</v>
      </c>
      <c r="J6871" s="28" t="s">
        <v>772</v>
      </c>
      <c r="K6871" s="27" t="s">
        <v>37</v>
      </c>
      <c r="L6871" s="27"/>
    </row>
    <row r="6872" customFormat="false" ht="15" hidden="false" customHeight="false" outlineLevel="0" collapsed="false">
      <c r="A6872" s="26" t="s">
        <v>18682</v>
      </c>
      <c r="B6872" s="27" t="s">
        <v>18683</v>
      </c>
      <c r="C6872" s="27" t="s">
        <v>144</v>
      </c>
      <c r="D6872" s="26"/>
      <c r="E6872" s="27"/>
      <c r="F6872" s="27"/>
      <c r="G6872" s="27" t="s">
        <v>11122</v>
      </c>
      <c r="H6872" s="27" t="s">
        <v>35</v>
      </c>
      <c r="I6872" s="27" t="s">
        <v>39</v>
      </c>
      <c r="J6872" s="28" t="s">
        <v>772</v>
      </c>
      <c r="K6872" s="27" t="s">
        <v>37</v>
      </c>
      <c r="L6872" s="27"/>
    </row>
    <row r="6873" customFormat="false" ht="15" hidden="false" customHeight="false" outlineLevel="0" collapsed="false">
      <c r="A6873" s="26" t="s">
        <v>18684</v>
      </c>
      <c r="B6873" s="27" t="s">
        <v>18685</v>
      </c>
      <c r="C6873" s="27" t="s">
        <v>144</v>
      </c>
      <c r="D6873" s="26"/>
      <c r="E6873" s="27"/>
      <c r="F6873" s="27"/>
      <c r="G6873" s="27" t="s">
        <v>11122</v>
      </c>
      <c r="H6873" s="27" t="s">
        <v>35</v>
      </c>
      <c r="I6873" s="27" t="s">
        <v>37</v>
      </c>
      <c r="J6873" s="28" t="s">
        <v>772</v>
      </c>
      <c r="K6873" s="27" t="s">
        <v>37</v>
      </c>
      <c r="L6873" s="27"/>
    </row>
    <row r="6874" customFormat="false" ht="15" hidden="false" customHeight="false" outlineLevel="0" collapsed="false">
      <c r="A6874" s="26" t="s">
        <v>18686</v>
      </c>
      <c r="B6874" s="27" t="s">
        <v>18687</v>
      </c>
      <c r="C6874" s="27" t="s">
        <v>144</v>
      </c>
      <c r="D6874" s="26"/>
      <c r="E6874" s="27"/>
      <c r="F6874" s="27"/>
      <c r="G6874" s="27" t="s">
        <v>11122</v>
      </c>
      <c r="H6874" s="27" t="s">
        <v>35</v>
      </c>
      <c r="I6874" s="27" t="s">
        <v>39</v>
      </c>
      <c r="J6874" s="28" t="s">
        <v>772</v>
      </c>
      <c r="K6874" s="27" t="s">
        <v>37</v>
      </c>
      <c r="L6874" s="27"/>
    </row>
    <row r="6875" customFormat="false" ht="15" hidden="false" customHeight="false" outlineLevel="0" collapsed="false">
      <c r="A6875" s="26" t="s">
        <v>18688</v>
      </c>
      <c r="B6875" s="27" t="s">
        <v>18689</v>
      </c>
      <c r="C6875" s="27" t="s">
        <v>144</v>
      </c>
      <c r="D6875" s="26"/>
      <c r="E6875" s="27"/>
      <c r="F6875" s="27"/>
      <c r="G6875" s="27" t="s">
        <v>11122</v>
      </c>
      <c r="H6875" s="27" t="s">
        <v>35</v>
      </c>
      <c r="I6875" s="27" t="s">
        <v>39</v>
      </c>
      <c r="J6875" s="28" t="s">
        <v>772</v>
      </c>
      <c r="K6875" s="27" t="s">
        <v>37</v>
      </c>
      <c r="L6875" s="27"/>
    </row>
    <row r="6876" customFormat="false" ht="15" hidden="false" customHeight="false" outlineLevel="0" collapsed="false">
      <c r="A6876" s="26" t="s">
        <v>18690</v>
      </c>
      <c r="B6876" s="27" t="s">
        <v>18691</v>
      </c>
      <c r="C6876" s="27" t="s">
        <v>2041</v>
      </c>
      <c r="D6876" s="26"/>
      <c r="E6876" s="27"/>
      <c r="F6876" s="27"/>
      <c r="G6876" s="27" t="s">
        <v>11122</v>
      </c>
      <c r="H6876" s="27" t="s">
        <v>35</v>
      </c>
      <c r="I6876" s="27" t="s">
        <v>39</v>
      </c>
      <c r="J6876" s="28" t="s">
        <v>772</v>
      </c>
      <c r="K6876" s="27" t="s">
        <v>37</v>
      </c>
      <c r="L6876" s="27"/>
    </row>
    <row r="6877" customFormat="false" ht="15" hidden="false" customHeight="false" outlineLevel="0" collapsed="false">
      <c r="A6877" s="26" t="s">
        <v>18692</v>
      </c>
      <c r="B6877" s="27" t="s">
        <v>18693</v>
      </c>
      <c r="C6877" s="27" t="s">
        <v>144</v>
      </c>
      <c r="D6877" s="26"/>
      <c r="E6877" s="27"/>
      <c r="F6877" s="27"/>
      <c r="G6877" s="27" t="s">
        <v>11122</v>
      </c>
      <c r="H6877" s="27" t="s">
        <v>35</v>
      </c>
      <c r="I6877" s="27" t="s">
        <v>39</v>
      </c>
      <c r="J6877" s="28" t="s">
        <v>772</v>
      </c>
      <c r="K6877" s="27" t="s">
        <v>37</v>
      </c>
      <c r="L6877" s="27"/>
    </row>
    <row r="6878" customFormat="false" ht="15" hidden="false" customHeight="false" outlineLevel="0" collapsed="false">
      <c r="A6878" s="26" t="s">
        <v>18694</v>
      </c>
      <c r="B6878" s="27" t="s">
        <v>18695</v>
      </c>
      <c r="C6878" s="27" t="s">
        <v>2041</v>
      </c>
      <c r="D6878" s="26"/>
      <c r="E6878" s="27"/>
      <c r="F6878" s="27"/>
      <c r="G6878" s="27" t="s">
        <v>11122</v>
      </c>
      <c r="H6878" s="27" t="s">
        <v>35</v>
      </c>
      <c r="I6878" s="27" t="s">
        <v>39</v>
      </c>
      <c r="J6878" s="28" t="s">
        <v>772</v>
      </c>
      <c r="K6878" s="27" t="s">
        <v>37</v>
      </c>
      <c r="L6878" s="27"/>
    </row>
    <row r="6879" customFormat="false" ht="15" hidden="false" customHeight="false" outlineLevel="0" collapsed="false">
      <c r="A6879" s="26" t="s">
        <v>18696</v>
      </c>
      <c r="B6879" s="27" t="s">
        <v>18697</v>
      </c>
      <c r="C6879" s="27" t="s">
        <v>2041</v>
      </c>
      <c r="D6879" s="26"/>
      <c r="E6879" s="27"/>
      <c r="F6879" s="27"/>
      <c r="G6879" s="27" t="s">
        <v>11122</v>
      </c>
      <c r="H6879" s="27" t="s">
        <v>35</v>
      </c>
      <c r="I6879" s="27" t="s">
        <v>39</v>
      </c>
      <c r="J6879" s="28" t="s">
        <v>772</v>
      </c>
      <c r="K6879" s="27" t="s">
        <v>37</v>
      </c>
      <c r="L6879" s="27"/>
    </row>
    <row r="6880" customFormat="false" ht="15" hidden="false" customHeight="false" outlineLevel="0" collapsed="false">
      <c r="A6880" s="26" t="s">
        <v>18698</v>
      </c>
      <c r="B6880" s="27" t="s">
        <v>18699</v>
      </c>
      <c r="C6880" s="27" t="s">
        <v>144</v>
      </c>
      <c r="D6880" s="26"/>
      <c r="E6880" s="27"/>
      <c r="F6880" s="27"/>
      <c r="G6880" s="27" t="s">
        <v>11122</v>
      </c>
      <c r="H6880" s="27" t="s">
        <v>35</v>
      </c>
      <c r="I6880" s="27" t="s">
        <v>39</v>
      </c>
      <c r="J6880" s="28" t="s">
        <v>772</v>
      </c>
      <c r="K6880" s="27" t="s">
        <v>37</v>
      </c>
      <c r="L6880" s="27"/>
    </row>
    <row r="6881" customFormat="false" ht="15" hidden="false" customHeight="false" outlineLevel="0" collapsed="false">
      <c r="A6881" s="26" t="s">
        <v>18700</v>
      </c>
      <c r="B6881" s="27" t="s">
        <v>18701</v>
      </c>
      <c r="C6881" s="27" t="s">
        <v>144</v>
      </c>
      <c r="D6881" s="26"/>
      <c r="E6881" s="27"/>
      <c r="F6881" s="27"/>
      <c r="G6881" s="27" t="s">
        <v>11122</v>
      </c>
      <c r="H6881" s="27" t="s">
        <v>35</v>
      </c>
      <c r="I6881" s="27" t="s">
        <v>39</v>
      </c>
      <c r="J6881" s="28" t="s">
        <v>772</v>
      </c>
      <c r="K6881" s="27" t="s">
        <v>37</v>
      </c>
      <c r="L6881" s="27"/>
    </row>
    <row r="6882" customFormat="false" ht="15" hidden="false" customHeight="false" outlineLevel="0" collapsed="false">
      <c r="A6882" s="26" t="s">
        <v>18702</v>
      </c>
      <c r="B6882" s="27" t="s">
        <v>18703</v>
      </c>
      <c r="C6882" s="27" t="s">
        <v>144</v>
      </c>
      <c r="D6882" s="26"/>
      <c r="E6882" s="27"/>
      <c r="F6882" s="27"/>
      <c r="G6882" s="27" t="s">
        <v>11122</v>
      </c>
      <c r="H6882" s="27" t="s">
        <v>35</v>
      </c>
      <c r="I6882" s="27" t="s">
        <v>39</v>
      </c>
      <c r="J6882" s="28" t="s">
        <v>772</v>
      </c>
      <c r="K6882" s="27" t="s">
        <v>37</v>
      </c>
      <c r="L6882" s="27"/>
    </row>
    <row r="6883" customFormat="false" ht="15" hidden="false" customHeight="false" outlineLevel="0" collapsed="false">
      <c r="A6883" s="26" t="s">
        <v>18704</v>
      </c>
      <c r="B6883" s="27" t="s">
        <v>18705</v>
      </c>
      <c r="C6883" s="27" t="s">
        <v>144</v>
      </c>
      <c r="D6883" s="26"/>
      <c r="E6883" s="27"/>
      <c r="F6883" s="27"/>
      <c r="G6883" s="27" t="s">
        <v>11122</v>
      </c>
      <c r="H6883" s="27" t="s">
        <v>35</v>
      </c>
      <c r="I6883" s="27" t="s">
        <v>39</v>
      </c>
      <c r="J6883" s="28" t="s">
        <v>772</v>
      </c>
      <c r="K6883" s="27" t="s">
        <v>37</v>
      </c>
      <c r="L6883" s="27"/>
    </row>
    <row r="6884" customFormat="false" ht="15" hidden="false" customHeight="false" outlineLevel="0" collapsed="false">
      <c r="A6884" s="26" t="s">
        <v>18706</v>
      </c>
      <c r="B6884" s="27" t="s">
        <v>18707</v>
      </c>
      <c r="C6884" s="27" t="s">
        <v>144</v>
      </c>
      <c r="D6884" s="26"/>
      <c r="E6884" s="27"/>
      <c r="F6884" s="27"/>
      <c r="G6884" s="27" t="s">
        <v>11122</v>
      </c>
      <c r="H6884" s="27" t="s">
        <v>35</v>
      </c>
      <c r="I6884" s="27" t="s">
        <v>39</v>
      </c>
      <c r="J6884" s="28" t="s">
        <v>772</v>
      </c>
      <c r="K6884" s="27" t="s">
        <v>37</v>
      </c>
      <c r="L6884" s="27"/>
    </row>
    <row r="6885" customFormat="false" ht="15" hidden="false" customHeight="false" outlineLevel="0" collapsed="false">
      <c r="A6885" s="26" t="s">
        <v>18708</v>
      </c>
      <c r="B6885" s="27" t="s">
        <v>18709</v>
      </c>
      <c r="C6885" s="27" t="s">
        <v>2041</v>
      </c>
      <c r="D6885" s="26"/>
      <c r="E6885" s="27"/>
      <c r="F6885" s="27"/>
      <c r="G6885" s="27" t="s">
        <v>11122</v>
      </c>
      <c r="H6885" s="27" t="s">
        <v>35</v>
      </c>
      <c r="I6885" s="27" t="s">
        <v>39</v>
      </c>
      <c r="J6885" s="28" t="s">
        <v>772</v>
      </c>
      <c r="K6885" s="27" t="s">
        <v>37</v>
      </c>
      <c r="L6885" s="27"/>
    </row>
    <row r="6886" customFormat="false" ht="15" hidden="false" customHeight="false" outlineLevel="0" collapsed="false">
      <c r="A6886" s="26" t="s">
        <v>18710</v>
      </c>
      <c r="B6886" s="27" t="s">
        <v>18711</v>
      </c>
      <c r="C6886" s="27" t="s">
        <v>144</v>
      </c>
      <c r="D6886" s="26"/>
      <c r="E6886" s="27"/>
      <c r="F6886" s="27"/>
      <c r="G6886" s="27" t="s">
        <v>11122</v>
      </c>
      <c r="H6886" s="27" t="s">
        <v>35</v>
      </c>
      <c r="I6886" s="27" t="s">
        <v>39</v>
      </c>
      <c r="J6886" s="28" t="s">
        <v>772</v>
      </c>
      <c r="K6886" s="27" t="s">
        <v>37</v>
      </c>
      <c r="L6886" s="27"/>
    </row>
    <row r="6887" customFormat="false" ht="15" hidden="false" customHeight="false" outlineLevel="0" collapsed="false">
      <c r="A6887" s="26" t="s">
        <v>18712</v>
      </c>
      <c r="B6887" s="27" t="s">
        <v>18713</v>
      </c>
      <c r="C6887" s="27" t="s">
        <v>2041</v>
      </c>
      <c r="D6887" s="26"/>
      <c r="E6887" s="27"/>
      <c r="F6887" s="27"/>
      <c r="G6887" s="27" t="s">
        <v>11122</v>
      </c>
      <c r="H6887" s="27" t="s">
        <v>35</v>
      </c>
      <c r="I6887" s="27" t="s">
        <v>39</v>
      </c>
      <c r="J6887" s="28" t="s">
        <v>772</v>
      </c>
      <c r="K6887" s="27" t="s">
        <v>37</v>
      </c>
      <c r="L6887" s="27"/>
    </row>
    <row r="6888" customFormat="false" ht="15" hidden="false" customHeight="false" outlineLevel="0" collapsed="false">
      <c r="A6888" s="26" t="s">
        <v>18714</v>
      </c>
      <c r="B6888" s="27" t="s">
        <v>18715</v>
      </c>
      <c r="C6888" s="27" t="s">
        <v>2041</v>
      </c>
      <c r="D6888" s="26"/>
      <c r="E6888" s="27"/>
      <c r="F6888" s="27"/>
      <c r="G6888" s="27" t="s">
        <v>11122</v>
      </c>
      <c r="H6888" s="27" t="s">
        <v>35</v>
      </c>
      <c r="I6888" s="27" t="s">
        <v>39</v>
      </c>
      <c r="J6888" s="28" t="s">
        <v>772</v>
      </c>
      <c r="K6888" s="27" t="s">
        <v>37</v>
      </c>
      <c r="L6888" s="27"/>
    </row>
    <row r="6889" customFormat="false" ht="15" hidden="false" customHeight="false" outlineLevel="0" collapsed="false">
      <c r="A6889" s="26" t="s">
        <v>18716</v>
      </c>
      <c r="B6889" s="27" t="s">
        <v>18717</v>
      </c>
      <c r="C6889" s="27" t="s">
        <v>144</v>
      </c>
      <c r="D6889" s="26"/>
      <c r="E6889" s="27"/>
      <c r="F6889" s="27"/>
      <c r="G6889" s="27" t="s">
        <v>11122</v>
      </c>
      <c r="H6889" s="27" t="s">
        <v>35</v>
      </c>
      <c r="I6889" s="27" t="s">
        <v>39</v>
      </c>
      <c r="J6889" s="28" t="s">
        <v>772</v>
      </c>
      <c r="K6889" s="27" t="s">
        <v>37</v>
      </c>
      <c r="L6889" s="27"/>
    </row>
    <row r="6890" customFormat="false" ht="15" hidden="false" customHeight="false" outlineLevel="0" collapsed="false">
      <c r="A6890" s="26" t="s">
        <v>18718</v>
      </c>
      <c r="B6890" s="27" t="s">
        <v>18719</v>
      </c>
      <c r="C6890" s="27" t="s">
        <v>2041</v>
      </c>
      <c r="D6890" s="26"/>
      <c r="E6890" s="27"/>
      <c r="F6890" s="27"/>
      <c r="G6890" s="27" t="s">
        <v>11122</v>
      </c>
      <c r="H6890" s="27" t="s">
        <v>35</v>
      </c>
      <c r="I6890" s="27" t="s">
        <v>39</v>
      </c>
      <c r="J6890" s="28" t="s">
        <v>772</v>
      </c>
      <c r="K6890" s="27" t="s">
        <v>37</v>
      </c>
      <c r="L6890" s="27"/>
    </row>
    <row r="6891" customFormat="false" ht="15" hidden="false" customHeight="false" outlineLevel="0" collapsed="false">
      <c r="A6891" s="26" t="s">
        <v>18720</v>
      </c>
      <c r="B6891" s="27" t="s">
        <v>18721</v>
      </c>
      <c r="C6891" s="27" t="s">
        <v>144</v>
      </c>
      <c r="D6891" s="26"/>
      <c r="E6891" s="27"/>
      <c r="F6891" s="27"/>
      <c r="G6891" s="27" t="s">
        <v>11122</v>
      </c>
      <c r="H6891" s="27" t="s">
        <v>35</v>
      </c>
      <c r="I6891" s="27" t="s">
        <v>39</v>
      </c>
      <c r="J6891" s="28" t="s">
        <v>772</v>
      </c>
      <c r="K6891" s="27" t="s">
        <v>37</v>
      </c>
      <c r="L6891" s="27"/>
    </row>
    <row r="6892" customFormat="false" ht="15" hidden="false" customHeight="false" outlineLevel="0" collapsed="false">
      <c r="A6892" s="26" t="s">
        <v>18722</v>
      </c>
      <c r="B6892" s="27" t="s">
        <v>18723</v>
      </c>
      <c r="C6892" s="27" t="s">
        <v>144</v>
      </c>
      <c r="D6892" s="26"/>
      <c r="E6892" s="27"/>
      <c r="F6892" s="27"/>
      <c r="G6892" s="27" t="s">
        <v>11122</v>
      </c>
      <c r="H6892" s="27" t="s">
        <v>35</v>
      </c>
      <c r="I6892" s="27" t="s">
        <v>39</v>
      </c>
      <c r="J6892" s="28" t="s">
        <v>772</v>
      </c>
      <c r="K6892" s="27" t="s">
        <v>37</v>
      </c>
      <c r="L6892" s="27"/>
    </row>
    <row r="6893" customFormat="false" ht="15" hidden="false" customHeight="false" outlineLevel="0" collapsed="false">
      <c r="A6893" s="26" t="s">
        <v>18724</v>
      </c>
      <c r="B6893" s="27" t="s">
        <v>18725</v>
      </c>
      <c r="C6893" s="27" t="s">
        <v>144</v>
      </c>
      <c r="D6893" s="26"/>
      <c r="E6893" s="27"/>
      <c r="F6893" s="27"/>
      <c r="G6893" s="27" t="s">
        <v>11122</v>
      </c>
      <c r="H6893" s="27" t="s">
        <v>35</v>
      </c>
      <c r="I6893" s="27" t="s">
        <v>39</v>
      </c>
      <c r="J6893" s="28" t="s">
        <v>772</v>
      </c>
      <c r="K6893" s="27" t="s">
        <v>37</v>
      </c>
      <c r="L6893" s="27"/>
    </row>
    <row r="6894" customFormat="false" ht="15" hidden="false" customHeight="false" outlineLevel="0" collapsed="false">
      <c r="A6894" s="26" t="s">
        <v>18726</v>
      </c>
      <c r="B6894" s="27" t="s">
        <v>18727</v>
      </c>
      <c r="C6894" s="27" t="s">
        <v>144</v>
      </c>
      <c r="D6894" s="26"/>
      <c r="E6894" s="27"/>
      <c r="F6894" s="27"/>
      <c r="G6894" s="27" t="s">
        <v>11122</v>
      </c>
      <c r="H6894" s="27" t="s">
        <v>35</v>
      </c>
      <c r="I6894" s="27" t="s">
        <v>39</v>
      </c>
      <c r="J6894" s="28" t="s">
        <v>772</v>
      </c>
      <c r="K6894" s="27" t="s">
        <v>37</v>
      </c>
      <c r="L6894" s="27"/>
    </row>
    <row r="6895" customFormat="false" ht="15" hidden="false" customHeight="false" outlineLevel="0" collapsed="false">
      <c r="A6895" s="26" t="s">
        <v>18728</v>
      </c>
      <c r="B6895" s="27" t="s">
        <v>18729</v>
      </c>
      <c r="C6895" s="27" t="s">
        <v>144</v>
      </c>
      <c r="D6895" s="26"/>
      <c r="E6895" s="27"/>
      <c r="F6895" s="27"/>
      <c r="G6895" s="27" t="s">
        <v>11122</v>
      </c>
      <c r="H6895" s="27" t="s">
        <v>35</v>
      </c>
      <c r="I6895" s="27" t="s">
        <v>39</v>
      </c>
      <c r="J6895" s="28" t="s">
        <v>772</v>
      </c>
      <c r="K6895" s="27" t="s">
        <v>37</v>
      </c>
      <c r="L6895" s="27"/>
    </row>
    <row r="6896" customFormat="false" ht="15" hidden="false" customHeight="false" outlineLevel="0" collapsed="false">
      <c r="A6896" s="26" t="s">
        <v>18730</v>
      </c>
      <c r="B6896" s="27" t="s">
        <v>18731</v>
      </c>
      <c r="C6896" s="27" t="s">
        <v>144</v>
      </c>
      <c r="D6896" s="26"/>
      <c r="E6896" s="27"/>
      <c r="F6896" s="27"/>
      <c r="G6896" s="27" t="s">
        <v>11122</v>
      </c>
      <c r="H6896" s="27" t="s">
        <v>35</v>
      </c>
      <c r="I6896" s="27" t="s">
        <v>39</v>
      </c>
      <c r="J6896" s="28" t="s">
        <v>772</v>
      </c>
      <c r="K6896" s="27" t="s">
        <v>37</v>
      </c>
      <c r="L6896" s="27"/>
    </row>
    <row r="6897" customFormat="false" ht="15" hidden="false" customHeight="false" outlineLevel="0" collapsed="false">
      <c r="A6897" s="26" t="s">
        <v>18732</v>
      </c>
      <c r="B6897" s="27" t="s">
        <v>18733</v>
      </c>
      <c r="C6897" s="27" t="s">
        <v>144</v>
      </c>
      <c r="D6897" s="26"/>
      <c r="E6897" s="27"/>
      <c r="F6897" s="27"/>
      <c r="G6897" s="27" t="s">
        <v>11122</v>
      </c>
      <c r="H6897" s="27" t="s">
        <v>35</v>
      </c>
      <c r="I6897" s="27" t="s">
        <v>39</v>
      </c>
      <c r="J6897" s="28" t="s">
        <v>772</v>
      </c>
      <c r="K6897" s="27" t="s">
        <v>37</v>
      </c>
      <c r="L6897" s="27"/>
    </row>
    <row r="6898" customFormat="false" ht="15" hidden="false" customHeight="false" outlineLevel="0" collapsed="false">
      <c r="A6898" s="26" t="s">
        <v>18734</v>
      </c>
      <c r="B6898" s="27" t="s">
        <v>18735</v>
      </c>
      <c r="C6898" s="27" t="s">
        <v>144</v>
      </c>
      <c r="D6898" s="26"/>
      <c r="E6898" s="27"/>
      <c r="F6898" s="27"/>
      <c r="G6898" s="27" t="s">
        <v>11122</v>
      </c>
      <c r="H6898" s="27" t="s">
        <v>35</v>
      </c>
      <c r="I6898" s="27" t="s">
        <v>39</v>
      </c>
      <c r="J6898" s="28" t="s">
        <v>772</v>
      </c>
      <c r="K6898" s="27" t="s">
        <v>37</v>
      </c>
      <c r="L6898" s="27"/>
    </row>
    <row r="6899" customFormat="false" ht="15" hidden="false" customHeight="false" outlineLevel="0" collapsed="false">
      <c r="A6899" s="26" t="s">
        <v>18736</v>
      </c>
      <c r="B6899" s="27" t="s">
        <v>18737</v>
      </c>
      <c r="C6899" s="27" t="s">
        <v>144</v>
      </c>
      <c r="D6899" s="26"/>
      <c r="E6899" s="27"/>
      <c r="F6899" s="27"/>
      <c r="G6899" s="27" t="s">
        <v>11122</v>
      </c>
      <c r="H6899" s="27" t="s">
        <v>35</v>
      </c>
      <c r="I6899" s="27" t="s">
        <v>39</v>
      </c>
      <c r="J6899" s="28" t="s">
        <v>772</v>
      </c>
      <c r="K6899" s="27" t="s">
        <v>37</v>
      </c>
      <c r="L6899" s="27"/>
    </row>
    <row r="6900" customFormat="false" ht="15" hidden="false" customHeight="false" outlineLevel="0" collapsed="false">
      <c r="A6900" s="26" t="s">
        <v>18738</v>
      </c>
      <c r="B6900" s="27" t="s">
        <v>18739</v>
      </c>
      <c r="C6900" s="27" t="s">
        <v>144</v>
      </c>
      <c r="D6900" s="26"/>
      <c r="E6900" s="27"/>
      <c r="F6900" s="27"/>
      <c r="G6900" s="27" t="s">
        <v>11122</v>
      </c>
      <c r="H6900" s="27" t="s">
        <v>35</v>
      </c>
      <c r="I6900" s="27" t="s">
        <v>39</v>
      </c>
      <c r="J6900" s="28" t="s">
        <v>772</v>
      </c>
      <c r="K6900" s="27" t="s">
        <v>37</v>
      </c>
      <c r="L6900" s="27"/>
    </row>
    <row r="6901" customFormat="false" ht="15" hidden="false" customHeight="false" outlineLevel="0" collapsed="false">
      <c r="A6901" s="26" t="s">
        <v>18740</v>
      </c>
      <c r="B6901" s="27" t="s">
        <v>18741</v>
      </c>
      <c r="C6901" s="27" t="s">
        <v>144</v>
      </c>
      <c r="D6901" s="26"/>
      <c r="E6901" s="27"/>
      <c r="F6901" s="27"/>
      <c r="G6901" s="27" t="s">
        <v>11122</v>
      </c>
      <c r="H6901" s="27" t="s">
        <v>35</v>
      </c>
      <c r="I6901" s="27" t="s">
        <v>39</v>
      </c>
      <c r="J6901" s="28" t="s">
        <v>772</v>
      </c>
      <c r="K6901" s="27" t="s">
        <v>37</v>
      </c>
      <c r="L6901" s="27"/>
    </row>
    <row r="6902" customFormat="false" ht="15" hidden="false" customHeight="false" outlineLevel="0" collapsed="false">
      <c r="A6902" s="26" t="s">
        <v>18742</v>
      </c>
      <c r="B6902" s="27" t="s">
        <v>18743</v>
      </c>
      <c r="C6902" s="27" t="s">
        <v>144</v>
      </c>
      <c r="D6902" s="26"/>
      <c r="E6902" s="27"/>
      <c r="F6902" s="27"/>
      <c r="G6902" s="27" t="s">
        <v>11122</v>
      </c>
      <c r="H6902" s="27" t="s">
        <v>35</v>
      </c>
      <c r="I6902" s="27" t="s">
        <v>39</v>
      </c>
      <c r="J6902" s="28" t="s">
        <v>772</v>
      </c>
      <c r="K6902" s="27" t="s">
        <v>37</v>
      </c>
      <c r="L6902" s="27"/>
    </row>
    <row r="6903" customFormat="false" ht="15" hidden="false" customHeight="false" outlineLevel="0" collapsed="false">
      <c r="A6903" s="26" t="s">
        <v>18744</v>
      </c>
      <c r="B6903" s="27" t="s">
        <v>18745</v>
      </c>
      <c r="C6903" s="27" t="s">
        <v>144</v>
      </c>
      <c r="D6903" s="26"/>
      <c r="E6903" s="27"/>
      <c r="F6903" s="27"/>
      <c r="G6903" s="27" t="s">
        <v>11122</v>
      </c>
      <c r="H6903" s="27" t="s">
        <v>35</v>
      </c>
      <c r="I6903" s="27" t="s">
        <v>37</v>
      </c>
      <c r="J6903" s="28" t="s">
        <v>772</v>
      </c>
      <c r="K6903" s="27" t="s">
        <v>37</v>
      </c>
      <c r="L6903" s="27"/>
    </row>
    <row r="6904" customFormat="false" ht="15" hidden="false" customHeight="false" outlineLevel="0" collapsed="false">
      <c r="A6904" s="26" t="s">
        <v>18746</v>
      </c>
      <c r="B6904" s="27" t="s">
        <v>18747</v>
      </c>
      <c r="C6904" s="27" t="s">
        <v>144</v>
      </c>
      <c r="D6904" s="26"/>
      <c r="E6904" s="27"/>
      <c r="F6904" s="27"/>
      <c r="G6904" s="27" t="s">
        <v>11122</v>
      </c>
      <c r="H6904" s="27" t="s">
        <v>35</v>
      </c>
      <c r="I6904" s="27" t="s">
        <v>39</v>
      </c>
      <c r="J6904" s="28" t="s">
        <v>772</v>
      </c>
      <c r="K6904" s="27" t="s">
        <v>37</v>
      </c>
      <c r="L6904" s="27"/>
    </row>
    <row r="6905" customFormat="false" ht="15" hidden="false" customHeight="false" outlineLevel="0" collapsed="false">
      <c r="A6905" s="26" t="s">
        <v>18748</v>
      </c>
      <c r="B6905" s="27" t="s">
        <v>18749</v>
      </c>
      <c r="C6905" s="27" t="s">
        <v>144</v>
      </c>
      <c r="D6905" s="26"/>
      <c r="E6905" s="27"/>
      <c r="F6905" s="27"/>
      <c r="G6905" s="27" t="s">
        <v>11122</v>
      </c>
      <c r="H6905" s="27" t="s">
        <v>35</v>
      </c>
      <c r="I6905" s="27" t="s">
        <v>39</v>
      </c>
      <c r="J6905" s="28" t="s">
        <v>772</v>
      </c>
      <c r="K6905" s="27" t="s">
        <v>37</v>
      </c>
      <c r="L6905" s="27"/>
    </row>
    <row r="6906" customFormat="false" ht="15" hidden="false" customHeight="false" outlineLevel="0" collapsed="false">
      <c r="A6906" s="26" t="s">
        <v>18750</v>
      </c>
      <c r="B6906" s="27" t="s">
        <v>18751</v>
      </c>
      <c r="C6906" s="27" t="s">
        <v>2041</v>
      </c>
      <c r="D6906" s="26"/>
      <c r="E6906" s="27"/>
      <c r="F6906" s="27"/>
      <c r="G6906" s="27" t="s">
        <v>11122</v>
      </c>
      <c r="H6906" s="27" t="s">
        <v>35</v>
      </c>
      <c r="I6906" s="27" t="s">
        <v>39</v>
      </c>
      <c r="J6906" s="28" t="s">
        <v>772</v>
      </c>
      <c r="K6906" s="27" t="s">
        <v>37</v>
      </c>
      <c r="L6906" s="27"/>
    </row>
    <row r="6907" customFormat="false" ht="15" hidden="false" customHeight="false" outlineLevel="0" collapsed="false">
      <c r="A6907" s="26" t="s">
        <v>18752</v>
      </c>
      <c r="B6907" s="27" t="s">
        <v>18753</v>
      </c>
      <c r="C6907" s="27" t="s">
        <v>144</v>
      </c>
      <c r="D6907" s="26"/>
      <c r="E6907" s="27"/>
      <c r="F6907" s="27"/>
      <c r="G6907" s="27" t="s">
        <v>11122</v>
      </c>
      <c r="H6907" s="27" t="s">
        <v>35</v>
      </c>
      <c r="I6907" s="27" t="s">
        <v>39</v>
      </c>
      <c r="J6907" s="28" t="s">
        <v>772</v>
      </c>
      <c r="K6907" s="27" t="s">
        <v>37</v>
      </c>
      <c r="L6907" s="27"/>
    </row>
    <row r="6908" customFormat="false" ht="15" hidden="false" customHeight="false" outlineLevel="0" collapsed="false">
      <c r="A6908" s="26" t="s">
        <v>18754</v>
      </c>
      <c r="B6908" s="27" t="s">
        <v>18755</v>
      </c>
      <c r="C6908" s="27" t="s">
        <v>144</v>
      </c>
      <c r="D6908" s="26"/>
      <c r="E6908" s="27"/>
      <c r="F6908" s="27"/>
      <c r="G6908" s="27" t="s">
        <v>11122</v>
      </c>
      <c r="H6908" s="27" t="s">
        <v>35</v>
      </c>
      <c r="I6908" s="27" t="s">
        <v>37</v>
      </c>
      <c r="J6908" s="28" t="s">
        <v>772</v>
      </c>
      <c r="K6908" s="27" t="s">
        <v>37</v>
      </c>
      <c r="L6908" s="27"/>
    </row>
    <row r="6909" customFormat="false" ht="15" hidden="false" customHeight="false" outlineLevel="0" collapsed="false">
      <c r="A6909" s="26" t="s">
        <v>18756</v>
      </c>
      <c r="B6909" s="27" t="s">
        <v>18757</v>
      </c>
      <c r="C6909" s="27" t="s">
        <v>144</v>
      </c>
      <c r="D6909" s="26"/>
      <c r="E6909" s="27"/>
      <c r="F6909" s="27"/>
      <c r="G6909" s="27" t="s">
        <v>11122</v>
      </c>
      <c r="H6909" s="27" t="s">
        <v>35</v>
      </c>
      <c r="I6909" s="27" t="s">
        <v>39</v>
      </c>
      <c r="J6909" s="28" t="s">
        <v>772</v>
      </c>
      <c r="K6909" s="27" t="s">
        <v>37</v>
      </c>
      <c r="L6909" s="27"/>
    </row>
    <row r="6910" customFormat="false" ht="15" hidden="false" customHeight="false" outlineLevel="0" collapsed="false">
      <c r="A6910" s="26" t="s">
        <v>18758</v>
      </c>
      <c r="B6910" s="27" t="s">
        <v>18759</v>
      </c>
      <c r="C6910" s="27" t="s">
        <v>144</v>
      </c>
      <c r="D6910" s="26"/>
      <c r="E6910" s="27"/>
      <c r="F6910" s="27"/>
      <c r="G6910" s="27" t="s">
        <v>11122</v>
      </c>
      <c r="H6910" s="27" t="s">
        <v>35</v>
      </c>
      <c r="I6910" s="27" t="s">
        <v>39</v>
      </c>
      <c r="J6910" s="28" t="s">
        <v>772</v>
      </c>
      <c r="K6910" s="27" t="s">
        <v>37</v>
      </c>
      <c r="L6910" s="27"/>
    </row>
    <row r="6911" customFormat="false" ht="15" hidden="false" customHeight="false" outlineLevel="0" collapsed="false">
      <c r="A6911" s="26" t="s">
        <v>18760</v>
      </c>
      <c r="B6911" s="27" t="s">
        <v>18761</v>
      </c>
      <c r="C6911" s="27" t="s">
        <v>144</v>
      </c>
      <c r="D6911" s="26"/>
      <c r="E6911" s="27"/>
      <c r="F6911" s="27"/>
      <c r="G6911" s="27" t="s">
        <v>11122</v>
      </c>
      <c r="H6911" s="27" t="s">
        <v>35</v>
      </c>
      <c r="I6911" s="27" t="s">
        <v>39</v>
      </c>
      <c r="J6911" s="28" t="s">
        <v>772</v>
      </c>
      <c r="K6911" s="27" t="s">
        <v>37</v>
      </c>
      <c r="L6911" s="27"/>
    </row>
    <row r="6912" customFormat="false" ht="15" hidden="false" customHeight="false" outlineLevel="0" collapsed="false">
      <c r="A6912" s="26" t="s">
        <v>18762</v>
      </c>
      <c r="B6912" s="27" t="s">
        <v>18763</v>
      </c>
      <c r="C6912" s="27" t="s">
        <v>144</v>
      </c>
      <c r="D6912" s="26"/>
      <c r="E6912" s="27"/>
      <c r="F6912" s="27"/>
      <c r="G6912" s="27" t="s">
        <v>11122</v>
      </c>
      <c r="H6912" s="27" t="s">
        <v>35</v>
      </c>
      <c r="I6912" s="27" t="s">
        <v>39</v>
      </c>
      <c r="J6912" s="28" t="s">
        <v>772</v>
      </c>
      <c r="K6912" s="27" t="s">
        <v>37</v>
      </c>
      <c r="L6912" s="27"/>
    </row>
    <row r="6913" customFormat="false" ht="15" hidden="false" customHeight="false" outlineLevel="0" collapsed="false">
      <c r="A6913" s="26" t="s">
        <v>18764</v>
      </c>
      <c r="B6913" s="27" t="s">
        <v>18765</v>
      </c>
      <c r="C6913" s="27" t="s">
        <v>144</v>
      </c>
      <c r="D6913" s="26"/>
      <c r="E6913" s="27"/>
      <c r="F6913" s="27"/>
      <c r="G6913" s="27" t="s">
        <v>11122</v>
      </c>
      <c r="H6913" s="27" t="s">
        <v>35</v>
      </c>
      <c r="I6913" s="27" t="s">
        <v>39</v>
      </c>
      <c r="J6913" s="28" t="s">
        <v>772</v>
      </c>
      <c r="K6913" s="27" t="s">
        <v>37</v>
      </c>
      <c r="L6913" s="27"/>
    </row>
    <row r="6914" customFormat="false" ht="15" hidden="false" customHeight="false" outlineLevel="0" collapsed="false">
      <c r="A6914" s="26" t="s">
        <v>18766</v>
      </c>
      <c r="B6914" s="27" t="s">
        <v>18767</v>
      </c>
      <c r="C6914" s="27" t="s">
        <v>144</v>
      </c>
      <c r="D6914" s="26"/>
      <c r="E6914" s="27"/>
      <c r="F6914" s="27"/>
      <c r="G6914" s="27" t="s">
        <v>11122</v>
      </c>
      <c r="H6914" s="27" t="s">
        <v>35</v>
      </c>
      <c r="I6914" s="27" t="s">
        <v>39</v>
      </c>
      <c r="J6914" s="28" t="s">
        <v>772</v>
      </c>
      <c r="K6914" s="27" t="s">
        <v>37</v>
      </c>
      <c r="L6914" s="27"/>
    </row>
    <row r="6915" customFormat="false" ht="15" hidden="false" customHeight="false" outlineLevel="0" collapsed="false">
      <c r="A6915" s="26" t="s">
        <v>18768</v>
      </c>
      <c r="B6915" s="27" t="s">
        <v>18769</v>
      </c>
      <c r="C6915" s="27" t="s">
        <v>144</v>
      </c>
      <c r="D6915" s="26"/>
      <c r="E6915" s="27"/>
      <c r="F6915" s="27"/>
      <c r="G6915" s="27" t="s">
        <v>11122</v>
      </c>
      <c r="H6915" s="27" t="s">
        <v>35</v>
      </c>
      <c r="I6915" s="27" t="s">
        <v>39</v>
      </c>
      <c r="J6915" s="28" t="s">
        <v>772</v>
      </c>
      <c r="K6915" s="27" t="s">
        <v>37</v>
      </c>
      <c r="L6915" s="27"/>
    </row>
    <row r="6916" customFormat="false" ht="15" hidden="false" customHeight="false" outlineLevel="0" collapsed="false">
      <c r="A6916" s="26" t="s">
        <v>18770</v>
      </c>
      <c r="B6916" s="27" t="s">
        <v>18771</v>
      </c>
      <c r="C6916" s="27" t="s">
        <v>144</v>
      </c>
      <c r="D6916" s="26"/>
      <c r="E6916" s="27"/>
      <c r="F6916" s="27"/>
      <c r="G6916" s="27" t="s">
        <v>11122</v>
      </c>
      <c r="H6916" s="27" t="s">
        <v>35</v>
      </c>
      <c r="I6916" s="27" t="s">
        <v>39</v>
      </c>
      <c r="J6916" s="28" t="s">
        <v>772</v>
      </c>
      <c r="K6916" s="27" t="s">
        <v>37</v>
      </c>
      <c r="L6916" s="27"/>
    </row>
    <row r="6917" customFormat="false" ht="15" hidden="false" customHeight="false" outlineLevel="0" collapsed="false">
      <c r="A6917" s="26" t="s">
        <v>18772</v>
      </c>
      <c r="B6917" s="27" t="s">
        <v>18773</v>
      </c>
      <c r="C6917" s="27" t="s">
        <v>137</v>
      </c>
      <c r="D6917" s="26"/>
      <c r="E6917" s="27"/>
      <c r="F6917" s="27"/>
      <c r="G6917" s="27" t="s">
        <v>11122</v>
      </c>
      <c r="H6917" s="27" t="s">
        <v>35</v>
      </c>
      <c r="I6917" s="27" t="s">
        <v>39</v>
      </c>
      <c r="J6917" s="28" t="s">
        <v>772</v>
      </c>
      <c r="K6917" s="27" t="s">
        <v>37</v>
      </c>
      <c r="L6917" s="27"/>
    </row>
    <row r="6918" customFormat="false" ht="15" hidden="false" customHeight="false" outlineLevel="0" collapsed="false">
      <c r="A6918" s="26" t="s">
        <v>18774</v>
      </c>
      <c r="B6918" s="27" t="s">
        <v>18775</v>
      </c>
      <c r="C6918" s="27" t="s">
        <v>144</v>
      </c>
      <c r="D6918" s="26"/>
      <c r="E6918" s="27"/>
      <c r="F6918" s="27"/>
      <c r="G6918" s="27" t="s">
        <v>11122</v>
      </c>
      <c r="H6918" s="27" t="s">
        <v>35</v>
      </c>
      <c r="I6918" s="27" t="s">
        <v>39</v>
      </c>
      <c r="J6918" s="28" t="s">
        <v>772</v>
      </c>
      <c r="K6918" s="27" t="s">
        <v>37</v>
      </c>
      <c r="L6918" s="27"/>
    </row>
    <row r="6919" customFormat="false" ht="15" hidden="false" customHeight="false" outlineLevel="0" collapsed="false">
      <c r="A6919" s="26" t="s">
        <v>18776</v>
      </c>
      <c r="B6919" s="27" t="s">
        <v>18777</v>
      </c>
      <c r="C6919" s="27" t="s">
        <v>144</v>
      </c>
      <c r="D6919" s="26"/>
      <c r="E6919" s="27"/>
      <c r="F6919" s="27"/>
      <c r="G6919" s="27" t="s">
        <v>11122</v>
      </c>
      <c r="H6919" s="27" t="s">
        <v>35</v>
      </c>
      <c r="I6919" s="27" t="s">
        <v>39</v>
      </c>
      <c r="J6919" s="28" t="s">
        <v>772</v>
      </c>
      <c r="K6919" s="27" t="s">
        <v>37</v>
      </c>
      <c r="L6919" s="27"/>
    </row>
    <row r="6920" customFormat="false" ht="15" hidden="false" customHeight="false" outlineLevel="0" collapsed="false">
      <c r="A6920" s="26" t="s">
        <v>18778</v>
      </c>
      <c r="B6920" s="27" t="s">
        <v>18779</v>
      </c>
      <c r="C6920" s="27" t="s">
        <v>144</v>
      </c>
      <c r="D6920" s="26"/>
      <c r="E6920" s="27"/>
      <c r="F6920" s="27"/>
      <c r="G6920" s="27" t="s">
        <v>11122</v>
      </c>
      <c r="H6920" s="27" t="s">
        <v>35</v>
      </c>
      <c r="I6920" s="27" t="s">
        <v>37</v>
      </c>
      <c r="J6920" s="28" t="s">
        <v>772</v>
      </c>
      <c r="K6920" s="27" t="s">
        <v>37</v>
      </c>
      <c r="L6920" s="27"/>
    </row>
    <row r="6921" customFormat="false" ht="15" hidden="false" customHeight="false" outlineLevel="0" collapsed="false">
      <c r="A6921" s="26" t="s">
        <v>18780</v>
      </c>
      <c r="B6921" s="27" t="s">
        <v>18781</v>
      </c>
      <c r="C6921" s="27" t="s">
        <v>144</v>
      </c>
      <c r="D6921" s="26"/>
      <c r="E6921" s="27"/>
      <c r="F6921" s="27"/>
      <c r="G6921" s="27" t="s">
        <v>11122</v>
      </c>
      <c r="H6921" s="27" t="s">
        <v>35</v>
      </c>
      <c r="I6921" s="27" t="s">
        <v>39</v>
      </c>
      <c r="J6921" s="28" t="s">
        <v>772</v>
      </c>
      <c r="K6921" s="27" t="s">
        <v>37</v>
      </c>
      <c r="L6921" s="27"/>
    </row>
    <row r="6922" customFormat="false" ht="15" hidden="false" customHeight="false" outlineLevel="0" collapsed="false">
      <c r="A6922" s="26" t="s">
        <v>18782</v>
      </c>
      <c r="B6922" s="27" t="s">
        <v>18783</v>
      </c>
      <c r="C6922" s="27" t="s">
        <v>144</v>
      </c>
      <c r="D6922" s="26"/>
      <c r="E6922" s="27"/>
      <c r="F6922" s="27"/>
      <c r="G6922" s="27" t="s">
        <v>11122</v>
      </c>
      <c r="H6922" s="27" t="s">
        <v>35</v>
      </c>
      <c r="I6922" s="27" t="s">
        <v>39</v>
      </c>
      <c r="J6922" s="28" t="s">
        <v>772</v>
      </c>
      <c r="K6922" s="27" t="s">
        <v>37</v>
      </c>
      <c r="L6922" s="27"/>
    </row>
    <row r="6923" customFormat="false" ht="15" hidden="false" customHeight="false" outlineLevel="0" collapsed="false">
      <c r="A6923" s="26" t="s">
        <v>18784</v>
      </c>
      <c r="B6923" s="27" t="s">
        <v>18785</v>
      </c>
      <c r="C6923" s="27" t="s">
        <v>144</v>
      </c>
      <c r="D6923" s="26"/>
      <c r="E6923" s="27"/>
      <c r="F6923" s="27"/>
      <c r="G6923" s="27" t="s">
        <v>11122</v>
      </c>
      <c r="H6923" s="27" t="s">
        <v>35</v>
      </c>
      <c r="I6923" s="27" t="s">
        <v>39</v>
      </c>
      <c r="J6923" s="28" t="s">
        <v>772</v>
      </c>
      <c r="K6923" s="27" t="s">
        <v>37</v>
      </c>
      <c r="L6923" s="27"/>
    </row>
    <row r="6924" customFormat="false" ht="15" hidden="false" customHeight="false" outlineLevel="0" collapsed="false">
      <c r="A6924" s="26" t="s">
        <v>18786</v>
      </c>
      <c r="B6924" s="27" t="s">
        <v>18787</v>
      </c>
      <c r="C6924" s="27" t="s">
        <v>144</v>
      </c>
      <c r="D6924" s="26"/>
      <c r="E6924" s="27"/>
      <c r="F6924" s="27"/>
      <c r="G6924" s="27" t="s">
        <v>11122</v>
      </c>
      <c r="H6924" s="27" t="s">
        <v>35</v>
      </c>
      <c r="I6924" s="27" t="s">
        <v>45</v>
      </c>
      <c r="J6924" s="28" t="s">
        <v>772</v>
      </c>
      <c r="K6924" s="27" t="s">
        <v>37</v>
      </c>
      <c r="L6924" s="27"/>
    </row>
    <row r="6925" customFormat="false" ht="15" hidden="false" customHeight="false" outlineLevel="0" collapsed="false">
      <c r="A6925" s="26" t="s">
        <v>18788</v>
      </c>
      <c r="B6925" s="27" t="s">
        <v>18789</v>
      </c>
      <c r="C6925" s="27" t="s">
        <v>144</v>
      </c>
      <c r="D6925" s="26"/>
      <c r="E6925" s="27"/>
      <c r="F6925" s="27"/>
      <c r="G6925" s="27" t="s">
        <v>11122</v>
      </c>
      <c r="H6925" s="27" t="s">
        <v>35</v>
      </c>
      <c r="I6925" s="27" t="s">
        <v>39</v>
      </c>
      <c r="J6925" s="28" t="s">
        <v>772</v>
      </c>
      <c r="K6925" s="27" t="s">
        <v>37</v>
      </c>
      <c r="L6925" s="27"/>
    </row>
    <row r="6926" customFormat="false" ht="15" hidden="false" customHeight="false" outlineLevel="0" collapsed="false">
      <c r="A6926" s="26" t="s">
        <v>18790</v>
      </c>
      <c r="B6926" s="27" t="s">
        <v>18791</v>
      </c>
      <c r="C6926" s="27" t="s">
        <v>144</v>
      </c>
      <c r="D6926" s="26"/>
      <c r="E6926" s="27"/>
      <c r="F6926" s="27"/>
      <c r="G6926" s="27" t="s">
        <v>11122</v>
      </c>
      <c r="H6926" s="27" t="s">
        <v>35</v>
      </c>
      <c r="I6926" s="27" t="s">
        <v>37</v>
      </c>
      <c r="J6926" s="28" t="s">
        <v>772</v>
      </c>
      <c r="K6926" s="27" t="s">
        <v>37</v>
      </c>
      <c r="L6926" s="27"/>
    </row>
    <row r="6927" customFormat="false" ht="15" hidden="false" customHeight="false" outlineLevel="0" collapsed="false">
      <c r="A6927" s="26" t="s">
        <v>18792</v>
      </c>
      <c r="B6927" s="27" t="s">
        <v>18793</v>
      </c>
      <c r="C6927" s="27" t="s">
        <v>144</v>
      </c>
      <c r="D6927" s="26"/>
      <c r="E6927" s="27"/>
      <c r="F6927" s="27"/>
      <c r="G6927" s="27" t="s">
        <v>11122</v>
      </c>
      <c r="H6927" s="27" t="s">
        <v>35</v>
      </c>
      <c r="I6927" s="27" t="s">
        <v>37</v>
      </c>
      <c r="J6927" s="28" t="s">
        <v>772</v>
      </c>
      <c r="K6927" s="27" t="s">
        <v>37</v>
      </c>
      <c r="L6927" s="27"/>
    </row>
    <row r="6928" customFormat="false" ht="15" hidden="false" customHeight="false" outlineLevel="0" collapsed="false">
      <c r="A6928" s="26" t="s">
        <v>18794</v>
      </c>
      <c r="B6928" s="27" t="s">
        <v>18795</v>
      </c>
      <c r="C6928" s="27" t="s">
        <v>144</v>
      </c>
      <c r="D6928" s="26"/>
      <c r="E6928" s="27"/>
      <c r="F6928" s="27"/>
      <c r="G6928" s="27" t="s">
        <v>11122</v>
      </c>
      <c r="H6928" s="27" t="s">
        <v>35</v>
      </c>
      <c r="I6928" s="27" t="s">
        <v>39</v>
      </c>
      <c r="J6928" s="28" t="s">
        <v>772</v>
      </c>
      <c r="K6928" s="27" t="s">
        <v>37</v>
      </c>
      <c r="L6928" s="27"/>
    </row>
    <row r="6929" customFormat="false" ht="15" hidden="false" customHeight="false" outlineLevel="0" collapsed="false">
      <c r="A6929" s="26" t="s">
        <v>18796</v>
      </c>
      <c r="B6929" s="27" t="s">
        <v>18797</v>
      </c>
      <c r="C6929" s="27" t="s">
        <v>144</v>
      </c>
      <c r="D6929" s="26"/>
      <c r="E6929" s="27"/>
      <c r="F6929" s="27"/>
      <c r="G6929" s="27" t="s">
        <v>11122</v>
      </c>
      <c r="H6929" s="27" t="s">
        <v>35</v>
      </c>
      <c r="I6929" s="27" t="s">
        <v>39</v>
      </c>
      <c r="J6929" s="28" t="s">
        <v>772</v>
      </c>
      <c r="K6929" s="27" t="s">
        <v>37</v>
      </c>
      <c r="L6929" s="27"/>
    </row>
    <row r="6930" customFormat="false" ht="15" hidden="false" customHeight="false" outlineLevel="0" collapsed="false">
      <c r="A6930" s="26" t="s">
        <v>18798</v>
      </c>
      <c r="B6930" s="27" t="s">
        <v>18799</v>
      </c>
      <c r="C6930" s="27" t="s">
        <v>144</v>
      </c>
      <c r="D6930" s="26"/>
      <c r="E6930" s="27"/>
      <c r="F6930" s="27"/>
      <c r="G6930" s="27" t="s">
        <v>11122</v>
      </c>
      <c r="H6930" s="27" t="s">
        <v>35</v>
      </c>
      <c r="I6930" s="27" t="s">
        <v>39</v>
      </c>
      <c r="J6930" s="28" t="s">
        <v>772</v>
      </c>
      <c r="K6930" s="27" t="s">
        <v>37</v>
      </c>
      <c r="L6930" s="27"/>
    </row>
    <row r="6931" customFormat="false" ht="15" hidden="false" customHeight="false" outlineLevel="0" collapsed="false">
      <c r="A6931" s="26" t="s">
        <v>18800</v>
      </c>
      <c r="B6931" s="27" t="s">
        <v>18801</v>
      </c>
      <c r="C6931" s="27" t="s">
        <v>144</v>
      </c>
      <c r="D6931" s="26"/>
      <c r="E6931" s="27"/>
      <c r="F6931" s="27"/>
      <c r="G6931" s="27" t="s">
        <v>11122</v>
      </c>
      <c r="H6931" s="27" t="s">
        <v>35</v>
      </c>
      <c r="I6931" s="27" t="s">
        <v>39</v>
      </c>
      <c r="J6931" s="28" t="s">
        <v>772</v>
      </c>
      <c r="K6931" s="27" t="s">
        <v>37</v>
      </c>
      <c r="L6931" s="27"/>
    </row>
    <row r="6932" customFormat="false" ht="15" hidden="false" customHeight="false" outlineLevel="0" collapsed="false">
      <c r="A6932" s="26" t="s">
        <v>18802</v>
      </c>
      <c r="B6932" s="27" t="s">
        <v>18803</v>
      </c>
      <c r="C6932" s="27" t="s">
        <v>144</v>
      </c>
      <c r="D6932" s="26"/>
      <c r="E6932" s="27"/>
      <c r="F6932" s="27"/>
      <c r="G6932" s="27" t="s">
        <v>11122</v>
      </c>
      <c r="H6932" s="27" t="s">
        <v>35</v>
      </c>
      <c r="I6932" s="27" t="s">
        <v>39</v>
      </c>
      <c r="J6932" s="28" t="s">
        <v>772</v>
      </c>
      <c r="K6932" s="27" t="s">
        <v>37</v>
      </c>
      <c r="L6932" s="27"/>
    </row>
    <row r="6933" customFormat="false" ht="15" hidden="false" customHeight="false" outlineLevel="0" collapsed="false">
      <c r="A6933" s="26" t="s">
        <v>18804</v>
      </c>
      <c r="B6933" s="27" t="s">
        <v>18805</v>
      </c>
      <c r="C6933" s="27" t="s">
        <v>144</v>
      </c>
      <c r="D6933" s="26"/>
      <c r="E6933" s="27"/>
      <c r="F6933" s="27"/>
      <c r="G6933" s="27" t="s">
        <v>11122</v>
      </c>
      <c r="H6933" s="27" t="s">
        <v>35</v>
      </c>
      <c r="I6933" s="27" t="s">
        <v>39</v>
      </c>
      <c r="J6933" s="28" t="s">
        <v>772</v>
      </c>
      <c r="K6933" s="27" t="s">
        <v>37</v>
      </c>
      <c r="L6933" s="27"/>
    </row>
    <row r="6934" customFormat="false" ht="15" hidden="false" customHeight="false" outlineLevel="0" collapsed="false">
      <c r="A6934" s="26" t="s">
        <v>18806</v>
      </c>
      <c r="B6934" s="27" t="s">
        <v>18807</v>
      </c>
      <c r="C6934" s="27" t="s">
        <v>144</v>
      </c>
      <c r="D6934" s="26"/>
      <c r="E6934" s="27"/>
      <c r="F6934" s="27"/>
      <c r="G6934" s="27" t="s">
        <v>11122</v>
      </c>
      <c r="H6934" s="27" t="s">
        <v>35</v>
      </c>
      <c r="I6934" s="27" t="s">
        <v>37</v>
      </c>
      <c r="J6934" s="28" t="s">
        <v>772</v>
      </c>
      <c r="K6934" s="27" t="s">
        <v>37</v>
      </c>
      <c r="L6934" s="27"/>
    </row>
    <row r="6935" customFormat="false" ht="15" hidden="false" customHeight="false" outlineLevel="0" collapsed="false">
      <c r="A6935" s="26" t="s">
        <v>18808</v>
      </c>
      <c r="B6935" s="27" t="s">
        <v>18809</v>
      </c>
      <c r="C6935" s="27" t="s">
        <v>144</v>
      </c>
      <c r="D6935" s="26"/>
      <c r="E6935" s="27"/>
      <c r="F6935" s="27"/>
      <c r="G6935" s="27" t="s">
        <v>11122</v>
      </c>
      <c r="H6935" s="27" t="s">
        <v>35</v>
      </c>
      <c r="I6935" s="27" t="s">
        <v>39</v>
      </c>
      <c r="J6935" s="28" t="s">
        <v>772</v>
      </c>
      <c r="K6935" s="27" t="s">
        <v>37</v>
      </c>
      <c r="L6935" s="27"/>
    </row>
    <row r="6936" customFormat="false" ht="15" hidden="false" customHeight="false" outlineLevel="0" collapsed="false">
      <c r="A6936" s="26" t="s">
        <v>18810</v>
      </c>
      <c r="B6936" s="27" t="s">
        <v>18809</v>
      </c>
      <c r="C6936" s="27" t="s">
        <v>144</v>
      </c>
      <c r="D6936" s="26"/>
      <c r="E6936" s="27"/>
      <c r="F6936" s="27"/>
      <c r="G6936" s="27" t="s">
        <v>11122</v>
      </c>
      <c r="H6936" s="27" t="s">
        <v>35</v>
      </c>
      <c r="I6936" s="27" t="s">
        <v>39</v>
      </c>
      <c r="J6936" s="28" t="s">
        <v>772</v>
      </c>
      <c r="K6936" s="27" t="s">
        <v>37</v>
      </c>
      <c r="L6936" s="27"/>
    </row>
    <row r="6937" customFormat="false" ht="15" hidden="false" customHeight="false" outlineLevel="0" collapsed="false">
      <c r="A6937" s="26" t="s">
        <v>18811</v>
      </c>
      <c r="B6937" s="27" t="s">
        <v>18812</v>
      </c>
      <c r="C6937" s="27" t="s">
        <v>144</v>
      </c>
      <c r="D6937" s="26"/>
      <c r="E6937" s="27"/>
      <c r="F6937" s="27"/>
      <c r="G6937" s="27" t="s">
        <v>11122</v>
      </c>
      <c r="H6937" s="27" t="s">
        <v>35</v>
      </c>
      <c r="I6937" s="27" t="s">
        <v>64</v>
      </c>
      <c r="J6937" s="28" t="s">
        <v>772</v>
      </c>
      <c r="K6937" s="27" t="s">
        <v>37</v>
      </c>
      <c r="L6937" s="27"/>
    </row>
    <row r="6938" customFormat="false" ht="15" hidden="false" customHeight="false" outlineLevel="0" collapsed="false">
      <c r="A6938" s="26" t="s">
        <v>18813</v>
      </c>
      <c r="B6938" s="27" t="s">
        <v>18809</v>
      </c>
      <c r="C6938" s="27" t="s">
        <v>144</v>
      </c>
      <c r="D6938" s="26"/>
      <c r="E6938" s="27"/>
      <c r="F6938" s="27"/>
      <c r="G6938" s="27" t="s">
        <v>11122</v>
      </c>
      <c r="H6938" s="27" t="s">
        <v>35</v>
      </c>
      <c r="I6938" s="27" t="s">
        <v>39</v>
      </c>
      <c r="J6938" s="28" t="s">
        <v>772</v>
      </c>
      <c r="K6938" s="27" t="s">
        <v>37</v>
      </c>
      <c r="L6938" s="27"/>
    </row>
    <row r="6939" customFormat="false" ht="15" hidden="false" customHeight="false" outlineLevel="0" collapsed="false">
      <c r="A6939" s="26" t="s">
        <v>18814</v>
      </c>
      <c r="B6939" s="27" t="s">
        <v>18815</v>
      </c>
      <c r="C6939" s="27" t="s">
        <v>144</v>
      </c>
      <c r="D6939" s="26"/>
      <c r="E6939" s="27"/>
      <c r="F6939" s="27"/>
      <c r="G6939" s="27" t="s">
        <v>11122</v>
      </c>
      <c r="H6939" s="27" t="s">
        <v>35</v>
      </c>
      <c r="I6939" s="27" t="s">
        <v>39</v>
      </c>
      <c r="J6939" s="28" t="s">
        <v>772</v>
      </c>
      <c r="K6939" s="27" t="s">
        <v>37</v>
      </c>
      <c r="L6939" s="27"/>
    </row>
    <row r="6940" customFormat="false" ht="15" hidden="false" customHeight="false" outlineLevel="0" collapsed="false">
      <c r="A6940" s="26" t="s">
        <v>18816</v>
      </c>
      <c r="B6940" s="27" t="s">
        <v>18817</v>
      </c>
      <c r="C6940" s="27" t="s">
        <v>144</v>
      </c>
      <c r="D6940" s="26"/>
      <c r="E6940" s="27"/>
      <c r="F6940" s="27"/>
      <c r="G6940" s="27" t="s">
        <v>11122</v>
      </c>
      <c r="H6940" s="27" t="s">
        <v>35</v>
      </c>
      <c r="I6940" s="27" t="s">
        <v>37</v>
      </c>
      <c r="J6940" s="28" t="s">
        <v>772</v>
      </c>
      <c r="K6940" s="27" t="s">
        <v>37</v>
      </c>
      <c r="L6940" s="27"/>
    </row>
    <row r="6941" customFormat="false" ht="15" hidden="false" customHeight="false" outlineLevel="0" collapsed="false">
      <c r="A6941" s="26" t="s">
        <v>18818</v>
      </c>
      <c r="B6941" s="27" t="s">
        <v>18819</v>
      </c>
      <c r="C6941" s="27" t="s">
        <v>144</v>
      </c>
      <c r="D6941" s="26"/>
      <c r="E6941" s="27"/>
      <c r="F6941" s="27"/>
      <c r="G6941" s="27" t="s">
        <v>11122</v>
      </c>
      <c r="H6941" s="27" t="s">
        <v>35</v>
      </c>
      <c r="I6941" s="27" t="s">
        <v>37</v>
      </c>
      <c r="J6941" s="28" t="s">
        <v>772</v>
      </c>
      <c r="K6941" s="27" t="s">
        <v>37</v>
      </c>
      <c r="L6941" s="27"/>
    </row>
    <row r="6942" customFormat="false" ht="15" hidden="false" customHeight="false" outlineLevel="0" collapsed="false">
      <c r="A6942" s="26" t="s">
        <v>18820</v>
      </c>
      <c r="B6942" s="27" t="s">
        <v>18821</v>
      </c>
      <c r="C6942" s="27" t="s">
        <v>144</v>
      </c>
      <c r="D6942" s="26"/>
      <c r="E6942" s="27"/>
      <c r="F6942" s="27"/>
      <c r="G6942" s="27" t="s">
        <v>11122</v>
      </c>
      <c r="H6942" s="27" t="s">
        <v>35</v>
      </c>
      <c r="I6942" s="27" t="s">
        <v>887</v>
      </c>
      <c r="J6942" s="28" t="s">
        <v>772</v>
      </c>
      <c r="K6942" s="27" t="s">
        <v>37</v>
      </c>
      <c r="L6942" s="27"/>
    </row>
    <row r="6943" customFormat="false" ht="15" hidden="false" customHeight="false" outlineLevel="0" collapsed="false">
      <c r="A6943" s="26" t="s">
        <v>18822</v>
      </c>
      <c r="B6943" s="27" t="s">
        <v>18823</v>
      </c>
      <c r="C6943" s="27" t="s">
        <v>144</v>
      </c>
      <c r="D6943" s="26"/>
      <c r="E6943" s="27"/>
      <c r="F6943" s="27"/>
      <c r="G6943" s="27" t="s">
        <v>11122</v>
      </c>
      <c r="H6943" s="27" t="s">
        <v>35</v>
      </c>
      <c r="I6943" s="27" t="s">
        <v>40</v>
      </c>
      <c r="J6943" s="28" t="s">
        <v>772</v>
      </c>
      <c r="K6943" s="27" t="s">
        <v>37</v>
      </c>
      <c r="L6943" s="27"/>
    </row>
    <row r="6944" customFormat="false" ht="15" hidden="false" customHeight="false" outlineLevel="0" collapsed="false">
      <c r="A6944" s="26" t="s">
        <v>18824</v>
      </c>
      <c r="B6944" s="27" t="s">
        <v>18825</v>
      </c>
      <c r="C6944" s="27" t="s">
        <v>144</v>
      </c>
      <c r="D6944" s="26"/>
      <c r="E6944" s="27"/>
      <c r="F6944" s="27"/>
      <c r="G6944" s="27" t="s">
        <v>11122</v>
      </c>
      <c r="H6944" s="27" t="s">
        <v>35</v>
      </c>
      <c r="I6944" s="27" t="s">
        <v>42</v>
      </c>
      <c r="J6944" s="28" t="s">
        <v>772</v>
      </c>
      <c r="K6944" s="27" t="s">
        <v>37</v>
      </c>
      <c r="L6944" s="27"/>
    </row>
    <row r="6945" customFormat="false" ht="15" hidden="false" customHeight="false" outlineLevel="0" collapsed="false">
      <c r="A6945" s="26" t="s">
        <v>18826</v>
      </c>
      <c r="B6945" s="27" t="s">
        <v>18809</v>
      </c>
      <c r="C6945" s="27" t="s">
        <v>144</v>
      </c>
      <c r="D6945" s="26"/>
      <c r="E6945" s="27"/>
      <c r="F6945" s="27"/>
      <c r="G6945" s="27" t="s">
        <v>11122</v>
      </c>
      <c r="H6945" s="27" t="s">
        <v>35</v>
      </c>
      <c r="I6945" s="27" t="s">
        <v>39</v>
      </c>
      <c r="J6945" s="28" t="s">
        <v>772</v>
      </c>
      <c r="K6945" s="27" t="s">
        <v>37</v>
      </c>
      <c r="L6945" s="27"/>
    </row>
    <row r="6946" customFormat="false" ht="15" hidden="false" customHeight="false" outlineLevel="0" collapsed="false">
      <c r="A6946" s="26" t="s">
        <v>18827</v>
      </c>
      <c r="B6946" s="27" t="s">
        <v>18828</v>
      </c>
      <c r="C6946" s="27" t="s">
        <v>144</v>
      </c>
      <c r="D6946" s="26"/>
      <c r="E6946" s="27"/>
      <c r="F6946" s="27"/>
      <c r="G6946" s="27" t="s">
        <v>11122</v>
      </c>
      <c r="H6946" s="27" t="s">
        <v>35</v>
      </c>
      <c r="I6946" s="27" t="s">
        <v>39</v>
      </c>
      <c r="J6946" s="28" t="s">
        <v>772</v>
      </c>
      <c r="K6946" s="27" t="s">
        <v>37</v>
      </c>
      <c r="L6946" s="27"/>
    </row>
    <row r="6947" customFormat="false" ht="15" hidden="false" customHeight="false" outlineLevel="0" collapsed="false">
      <c r="A6947" s="26" t="s">
        <v>18829</v>
      </c>
      <c r="B6947" s="27" t="s">
        <v>18821</v>
      </c>
      <c r="C6947" s="27" t="s">
        <v>144</v>
      </c>
      <c r="D6947" s="26"/>
      <c r="E6947" s="27"/>
      <c r="F6947" s="27"/>
      <c r="G6947" s="27" t="s">
        <v>11122</v>
      </c>
      <c r="H6947" s="27" t="s">
        <v>35</v>
      </c>
      <c r="I6947" s="27" t="s">
        <v>887</v>
      </c>
      <c r="J6947" s="28" t="s">
        <v>772</v>
      </c>
      <c r="K6947" s="27" t="s">
        <v>37</v>
      </c>
      <c r="L6947" s="27"/>
    </row>
    <row r="6948" customFormat="false" ht="15" hidden="false" customHeight="false" outlineLevel="0" collapsed="false">
      <c r="A6948" s="26" t="s">
        <v>18830</v>
      </c>
      <c r="B6948" s="27" t="s">
        <v>18831</v>
      </c>
      <c r="C6948" s="27" t="s">
        <v>144</v>
      </c>
      <c r="D6948" s="26"/>
      <c r="E6948" s="27"/>
      <c r="F6948" s="27"/>
      <c r="G6948" s="27" t="s">
        <v>11122</v>
      </c>
      <c r="H6948" s="27" t="s">
        <v>35</v>
      </c>
      <c r="I6948" s="27" t="s">
        <v>43</v>
      </c>
      <c r="J6948" s="28" t="s">
        <v>772</v>
      </c>
      <c r="K6948" s="27" t="s">
        <v>37</v>
      </c>
      <c r="L6948" s="27"/>
    </row>
    <row r="6949" customFormat="false" ht="15" hidden="false" customHeight="false" outlineLevel="0" collapsed="false">
      <c r="A6949" s="26" t="s">
        <v>18832</v>
      </c>
      <c r="B6949" s="27" t="s">
        <v>18833</v>
      </c>
      <c r="C6949" s="27" t="s">
        <v>144</v>
      </c>
      <c r="D6949" s="26"/>
      <c r="E6949" s="27"/>
      <c r="F6949" s="27"/>
      <c r="G6949" s="27" t="s">
        <v>11122</v>
      </c>
      <c r="H6949" s="27" t="s">
        <v>35</v>
      </c>
      <c r="I6949" s="27" t="s">
        <v>42</v>
      </c>
      <c r="J6949" s="28" t="s">
        <v>772</v>
      </c>
      <c r="K6949" s="27" t="s">
        <v>37</v>
      </c>
      <c r="L6949" s="27"/>
    </row>
    <row r="6950" customFormat="false" ht="15" hidden="false" customHeight="false" outlineLevel="0" collapsed="false">
      <c r="A6950" s="26" t="s">
        <v>18834</v>
      </c>
      <c r="B6950" s="27" t="s">
        <v>18809</v>
      </c>
      <c r="C6950" s="27" t="s">
        <v>144</v>
      </c>
      <c r="D6950" s="26"/>
      <c r="E6950" s="27"/>
      <c r="F6950" s="27"/>
      <c r="G6950" s="27" t="s">
        <v>11122</v>
      </c>
      <c r="H6950" s="27" t="s">
        <v>35</v>
      </c>
      <c r="I6950" s="27" t="s">
        <v>39</v>
      </c>
      <c r="J6950" s="28" t="s">
        <v>772</v>
      </c>
      <c r="K6950" s="27" t="s">
        <v>37</v>
      </c>
      <c r="L6950" s="27"/>
    </row>
    <row r="6951" customFormat="false" ht="15" hidden="false" customHeight="false" outlineLevel="0" collapsed="false">
      <c r="A6951" s="26" t="s">
        <v>18835</v>
      </c>
      <c r="B6951" s="27" t="s">
        <v>18809</v>
      </c>
      <c r="C6951" s="27" t="s">
        <v>144</v>
      </c>
      <c r="D6951" s="26"/>
      <c r="E6951" s="27"/>
      <c r="F6951" s="27"/>
      <c r="G6951" s="27" t="s">
        <v>11122</v>
      </c>
      <c r="H6951" s="27" t="s">
        <v>35</v>
      </c>
      <c r="I6951" s="27" t="s">
        <v>39</v>
      </c>
      <c r="J6951" s="28" t="s">
        <v>772</v>
      </c>
      <c r="K6951" s="27" t="s">
        <v>37</v>
      </c>
      <c r="L6951" s="27"/>
    </row>
    <row r="6952" customFormat="false" ht="15" hidden="false" customHeight="false" outlineLevel="0" collapsed="false">
      <c r="A6952" s="26" t="s">
        <v>18836</v>
      </c>
      <c r="B6952" s="27" t="s">
        <v>18809</v>
      </c>
      <c r="C6952" s="27" t="s">
        <v>144</v>
      </c>
      <c r="D6952" s="26"/>
      <c r="E6952" s="27"/>
      <c r="F6952" s="27"/>
      <c r="G6952" s="27" t="s">
        <v>11122</v>
      </c>
      <c r="H6952" s="27" t="s">
        <v>35</v>
      </c>
      <c r="I6952" s="27" t="s">
        <v>39</v>
      </c>
      <c r="J6952" s="28" t="s">
        <v>772</v>
      </c>
      <c r="K6952" s="27" t="s">
        <v>37</v>
      </c>
      <c r="L6952" s="27"/>
    </row>
    <row r="6953" customFormat="false" ht="15" hidden="false" customHeight="false" outlineLevel="0" collapsed="false">
      <c r="A6953" s="26" t="s">
        <v>18837</v>
      </c>
      <c r="B6953" s="27" t="s">
        <v>18809</v>
      </c>
      <c r="C6953" s="27" t="s">
        <v>144</v>
      </c>
      <c r="D6953" s="26"/>
      <c r="E6953" s="27"/>
      <c r="F6953" s="27"/>
      <c r="G6953" s="27" t="s">
        <v>11122</v>
      </c>
      <c r="H6953" s="27" t="s">
        <v>35</v>
      </c>
      <c r="I6953" s="27" t="s">
        <v>39</v>
      </c>
      <c r="J6953" s="28" t="s">
        <v>772</v>
      </c>
      <c r="K6953" s="27" t="s">
        <v>37</v>
      </c>
      <c r="L6953" s="27"/>
    </row>
    <row r="6954" customFormat="false" ht="15" hidden="false" customHeight="false" outlineLevel="0" collapsed="false">
      <c r="A6954" s="26" t="s">
        <v>18838</v>
      </c>
      <c r="B6954" s="27" t="s">
        <v>18809</v>
      </c>
      <c r="C6954" s="27" t="s">
        <v>144</v>
      </c>
      <c r="D6954" s="26"/>
      <c r="E6954" s="27"/>
      <c r="F6954" s="27"/>
      <c r="G6954" s="27" t="s">
        <v>11122</v>
      </c>
      <c r="H6954" s="27" t="s">
        <v>35</v>
      </c>
      <c r="I6954" s="27" t="s">
        <v>39</v>
      </c>
      <c r="J6954" s="28" t="s">
        <v>772</v>
      </c>
      <c r="K6954" s="27" t="s">
        <v>37</v>
      </c>
      <c r="L6954" s="27"/>
    </row>
    <row r="6955" customFormat="false" ht="15" hidden="false" customHeight="false" outlineLevel="0" collapsed="false">
      <c r="A6955" s="26" t="s">
        <v>18839</v>
      </c>
      <c r="B6955" s="27" t="s">
        <v>18809</v>
      </c>
      <c r="C6955" s="27" t="s">
        <v>144</v>
      </c>
      <c r="D6955" s="26"/>
      <c r="E6955" s="27"/>
      <c r="F6955" s="27"/>
      <c r="G6955" s="27" t="s">
        <v>11122</v>
      </c>
      <c r="H6955" s="27" t="s">
        <v>35</v>
      </c>
      <c r="I6955" s="27" t="s">
        <v>39</v>
      </c>
      <c r="J6955" s="28" t="s">
        <v>772</v>
      </c>
      <c r="K6955" s="27" t="s">
        <v>37</v>
      </c>
      <c r="L6955" s="27"/>
    </row>
    <row r="6956" customFormat="false" ht="15" hidden="false" customHeight="false" outlineLevel="0" collapsed="false">
      <c r="A6956" s="26" t="s">
        <v>18840</v>
      </c>
      <c r="B6956" s="27" t="s">
        <v>18809</v>
      </c>
      <c r="C6956" s="27" t="s">
        <v>144</v>
      </c>
      <c r="D6956" s="26"/>
      <c r="E6956" s="27"/>
      <c r="F6956" s="27"/>
      <c r="G6956" s="27" t="s">
        <v>11122</v>
      </c>
      <c r="H6956" s="27" t="s">
        <v>35</v>
      </c>
      <c r="I6956" s="27" t="s">
        <v>39</v>
      </c>
      <c r="J6956" s="28" t="s">
        <v>772</v>
      </c>
      <c r="K6956" s="27" t="s">
        <v>37</v>
      </c>
      <c r="L6956" s="27"/>
    </row>
    <row r="6957" customFormat="false" ht="15" hidden="false" customHeight="false" outlineLevel="0" collapsed="false">
      <c r="A6957" s="26" t="s">
        <v>18841</v>
      </c>
      <c r="B6957" s="27" t="s">
        <v>18842</v>
      </c>
      <c r="C6957" s="27" t="s">
        <v>144</v>
      </c>
      <c r="D6957" s="26"/>
      <c r="E6957" s="27"/>
      <c r="F6957" s="27"/>
      <c r="G6957" s="27" t="s">
        <v>11122</v>
      </c>
      <c r="H6957" s="27" t="s">
        <v>35</v>
      </c>
      <c r="I6957" s="27" t="s">
        <v>43</v>
      </c>
      <c r="J6957" s="28" t="s">
        <v>772</v>
      </c>
      <c r="K6957" s="27" t="s">
        <v>37</v>
      </c>
      <c r="L6957" s="27"/>
    </row>
    <row r="6958" customFormat="false" ht="15" hidden="false" customHeight="false" outlineLevel="0" collapsed="false">
      <c r="A6958" s="26" t="s">
        <v>18843</v>
      </c>
      <c r="B6958" s="27" t="s">
        <v>18844</v>
      </c>
      <c r="C6958" s="27" t="s">
        <v>144</v>
      </c>
      <c r="D6958" s="26"/>
      <c r="E6958" s="27"/>
      <c r="F6958" s="27"/>
      <c r="G6958" s="27" t="s">
        <v>11122</v>
      </c>
      <c r="H6958" s="27" t="s">
        <v>35</v>
      </c>
      <c r="I6958" s="27" t="s">
        <v>37</v>
      </c>
      <c r="J6958" s="28" t="s">
        <v>772</v>
      </c>
      <c r="K6958" s="27" t="s">
        <v>37</v>
      </c>
      <c r="L6958" s="27"/>
    </row>
    <row r="6959" customFormat="false" ht="15" hidden="false" customHeight="false" outlineLevel="0" collapsed="false">
      <c r="A6959" s="26" t="s">
        <v>18845</v>
      </c>
      <c r="B6959" s="27" t="s">
        <v>18809</v>
      </c>
      <c r="C6959" s="27" t="s">
        <v>144</v>
      </c>
      <c r="D6959" s="26"/>
      <c r="E6959" s="27"/>
      <c r="F6959" s="27"/>
      <c r="G6959" s="27" t="s">
        <v>11122</v>
      </c>
      <c r="H6959" s="27" t="s">
        <v>35</v>
      </c>
      <c r="I6959" s="27" t="s">
        <v>39</v>
      </c>
      <c r="J6959" s="28" t="s">
        <v>772</v>
      </c>
      <c r="K6959" s="27" t="s">
        <v>37</v>
      </c>
      <c r="L6959" s="27"/>
    </row>
    <row r="6960" customFormat="false" ht="15" hidden="false" customHeight="false" outlineLevel="0" collapsed="false">
      <c r="A6960" s="26" t="s">
        <v>18846</v>
      </c>
      <c r="B6960" s="27" t="s">
        <v>18809</v>
      </c>
      <c r="C6960" s="27" t="s">
        <v>144</v>
      </c>
      <c r="D6960" s="26"/>
      <c r="E6960" s="27"/>
      <c r="F6960" s="27"/>
      <c r="G6960" s="27" t="s">
        <v>11122</v>
      </c>
      <c r="H6960" s="27" t="s">
        <v>35</v>
      </c>
      <c r="I6960" s="27" t="s">
        <v>39</v>
      </c>
      <c r="J6960" s="28" t="s">
        <v>772</v>
      </c>
      <c r="K6960" s="27" t="s">
        <v>37</v>
      </c>
      <c r="L6960" s="27"/>
    </row>
    <row r="6961" customFormat="false" ht="15" hidden="false" customHeight="false" outlineLevel="0" collapsed="false">
      <c r="A6961" s="26" t="s">
        <v>18847</v>
      </c>
      <c r="B6961" s="27" t="s">
        <v>18848</v>
      </c>
      <c r="C6961" s="27" t="s">
        <v>144</v>
      </c>
      <c r="D6961" s="26"/>
      <c r="E6961" s="27"/>
      <c r="F6961" s="27"/>
      <c r="G6961" s="27" t="s">
        <v>11122</v>
      </c>
      <c r="H6961" s="27" t="s">
        <v>35</v>
      </c>
      <c r="I6961" s="27" t="s">
        <v>37</v>
      </c>
      <c r="J6961" s="28" t="s">
        <v>772</v>
      </c>
      <c r="K6961" s="27" t="s">
        <v>37</v>
      </c>
      <c r="L6961" s="27"/>
    </row>
    <row r="6962" customFormat="false" ht="15" hidden="false" customHeight="false" outlineLevel="0" collapsed="false">
      <c r="A6962" s="26" t="s">
        <v>18849</v>
      </c>
      <c r="B6962" s="27" t="s">
        <v>18850</v>
      </c>
      <c r="C6962" s="27" t="s">
        <v>144</v>
      </c>
      <c r="D6962" s="26"/>
      <c r="E6962" s="27"/>
      <c r="F6962" s="27"/>
      <c r="G6962" s="27" t="s">
        <v>11122</v>
      </c>
      <c r="H6962" s="27" t="s">
        <v>35</v>
      </c>
      <c r="I6962" s="27" t="s">
        <v>40</v>
      </c>
      <c r="J6962" s="28" t="s">
        <v>772</v>
      </c>
      <c r="K6962" s="27" t="s">
        <v>37</v>
      </c>
      <c r="L6962" s="27"/>
    </row>
    <row r="6963" customFormat="false" ht="15" hidden="false" customHeight="false" outlineLevel="0" collapsed="false">
      <c r="A6963" s="26" t="s">
        <v>18851</v>
      </c>
      <c r="B6963" s="27" t="s">
        <v>18852</v>
      </c>
      <c r="C6963" s="27" t="s">
        <v>144</v>
      </c>
      <c r="D6963" s="26"/>
      <c r="E6963" s="27"/>
      <c r="F6963" s="27"/>
      <c r="G6963" s="27" t="s">
        <v>11122</v>
      </c>
      <c r="H6963" s="27" t="s">
        <v>35</v>
      </c>
      <c r="I6963" s="27" t="s">
        <v>38</v>
      </c>
      <c r="J6963" s="28" t="s">
        <v>772</v>
      </c>
      <c r="K6963" s="27" t="s">
        <v>37</v>
      </c>
      <c r="L6963" s="27"/>
    </row>
    <row r="6964" customFormat="false" ht="15" hidden="false" customHeight="false" outlineLevel="0" collapsed="false">
      <c r="A6964" s="26" t="s">
        <v>18853</v>
      </c>
      <c r="B6964" s="27" t="s">
        <v>18809</v>
      </c>
      <c r="C6964" s="27" t="s">
        <v>144</v>
      </c>
      <c r="D6964" s="26"/>
      <c r="E6964" s="27"/>
      <c r="F6964" s="27"/>
      <c r="G6964" s="27" t="s">
        <v>11122</v>
      </c>
      <c r="H6964" s="27" t="s">
        <v>35</v>
      </c>
      <c r="I6964" s="27" t="s">
        <v>39</v>
      </c>
      <c r="J6964" s="28" t="s">
        <v>772</v>
      </c>
      <c r="K6964" s="27" t="s">
        <v>37</v>
      </c>
      <c r="L6964" s="27"/>
    </row>
    <row r="6965" customFormat="false" ht="15" hidden="false" customHeight="false" outlineLevel="0" collapsed="false">
      <c r="A6965" s="26" t="s">
        <v>18854</v>
      </c>
      <c r="B6965" s="27" t="s">
        <v>18855</v>
      </c>
      <c r="C6965" s="27" t="s">
        <v>144</v>
      </c>
      <c r="D6965" s="26"/>
      <c r="E6965" s="27"/>
      <c r="F6965" s="27"/>
      <c r="G6965" s="27" t="s">
        <v>11122</v>
      </c>
      <c r="H6965" s="27" t="s">
        <v>35</v>
      </c>
      <c r="I6965" s="27" t="s">
        <v>37</v>
      </c>
      <c r="J6965" s="28" t="s">
        <v>772</v>
      </c>
      <c r="K6965" s="27" t="s">
        <v>37</v>
      </c>
      <c r="L6965" s="27"/>
    </row>
    <row r="6966" customFormat="false" ht="15" hidden="false" customHeight="false" outlineLevel="0" collapsed="false">
      <c r="A6966" s="26" t="s">
        <v>18856</v>
      </c>
      <c r="B6966" s="27" t="s">
        <v>18857</v>
      </c>
      <c r="C6966" s="27" t="s">
        <v>144</v>
      </c>
      <c r="D6966" s="26"/>
      <c r="E6966" s="27"/>
      <c r="F6966" s="27"/>
      <c r="G6966" s="27" t="s">
        <v>11122</v>
      </c>
      <c r="H6966" s="27" t="s">
        <v>35</v>
      </c>
      <c r="I6966" s="27" t="s">
        <v>39</v>
      </c>
      <c r="J6966" s="28" t="s">
        <v>772</v>
      </c>
      <c r="K6966" s="27" t="s">
        <v>37</v>
      </c>
      <c r="L6966" s="27"/>
    </row>
    <row r="6967" customFormat="false" ht="15" hidden="false" customHeight="false" outlineLevel="0" collapsed="false">
      <c r="A6967" s="26" t="s">
        <v>18858</v>
      </c>
      <c r="B6967" s="27" t="s">
        <v>18859</v>
      </c>
      <c r="C6967" s="27" t="s">
        <v>144</v>
      </c>
      <c r="D6967" s="26"/>
      <c r="E6967" s="27"/>
      <c r="F6967" s="27"/>
      <c r="G6967" s="27" t="s">
        <v>11122</v>
      </c>
      <c r="H6967" s="27" t="s">
        <v>35</v>
      </c>
      <c r="I6967" s="27" t="s">
        <v>39</v>
      </c>
      <c r="J6967" s="28" t="s">
        <v>772</v>
      </c>
      <c r="K6967" s="27" t="s">
        <v>37</v>
      </c>
      <c r="L6967" s="27"/>
    </row>
    <row r="6968" customFormat="false" ht="15" hidden="false" customHeight="false" outlineLevel="0" collapsed="false">
      <c r="A6968" s="26" t="s">
        <v>18860</v>
      </c>
      <c r="B6968" s="27" t="s">
        <v>18861</v>
      </c>
      <c r="C6968" s="27" t="s">
        <v>144</v>
      </c>
      <c r="D6968" s="26"/>
      <c r="E6968" s="27"/>
      <c r="F6968" s="27"/>
      <c r="G6968" s="27" t="s">
        <v>11122</v>
      </c>
      <c r="H6968" s="27" t="s">
        <v>35</v>
      </c>
      <c r="I6968" s="27" t="s">
        <v>37</v>
      </c>
      <c r="J6968" s="28" t="s">
        <v>772</v>
      </c>
      <c r="K6968" s="27" t="s">
        <v>37</v>
      </c>
      <c r="L6968" s="27"/>
    </row>
    <row r="6969" customFormat="false" ht="15" hidden="false" customHeight="false" outlineLevel="0" collapsed="false">
      <c r="A6969" s="26" t="s">
        <v>18862</v>
      </c>
      <c r="B6969" s="27" t="s">
        <v>18863</v>
      </c>
      <c r="C6969" s="27" t="s">
        <v>144</v>
      </c>
      <c r="D6969" s="26"/>
      <c r="E6969" s="27"/>
      <c r="F6969" s="27"/>
      <c r="G6969" s="27" t="s">
        <v>11122</v>
      </c>
      <c r="H6969" s="27" t="s">
        <v>35</v>
      </c>
      <c r="I6969" s="27" t="s">
        <v>10510</v>
      </c>
      <c r="J6969" s="28" t="s">
        <v>772</v>
      </c>
      <c r="K6969" s="27" t="s">
        <v>37</v>
      </c>
      <c r="L6969" s="27"/>
    </row>
    <row r="6970" customFormat="false" ht="15" hidden="false" customHeight="false" outlineLevel="0" collapsed="false">
      <c r="A6970" s="26" t="s">
        <v>18864</v>
      </c>
      <c r="B6970" s="27" t="s">
        <v>18865</v>
      </c>
      <c r="C6970" s="27" t="s">
        <v>144</v>
      </c>
      <c r="D6970" s="26"/>
      <c r="E6970" s="27"/>
      <c r="F6970" s="27"/>
      <c r="G6970" s="27" t="s">
        <v>11122</v>
      </c>
      <c r="H6970" s="27" t="s">
        <v>35</v>
      </c>
      <c r="I6970" s="27" t="s">
        <v>39</v>
      </c>
      <c r="J6970" s="28" t="s">
        <v>772</v>
      </c>
      <c r="K6970" s="27" t="s">
        <v>37</v>
      </c>
      <c r="L6970" s="27"/>
    </row>
    <row r="6971" customFormat="false" ht="15" hidden="false" customHeight="false" outlineLevel="0" collapsed="false">
      <c r="A6971" s="26" t="s">
        <v>18866</v>
      </c>
      <c r="B6971" s="27" t="s">
        <v>18867</v>
      </c>
      <c r="C6971" s="27" t="s">
        <v>144</v>
      </c>
      <c r="D6971" s="26"/>
      <c r="E6971" s="27"/>
      <c r="F6971" s="27"/>
      <c r="G6971" s="27" t="s">
        <v>11122</v>
      </c>
      <c r="H6971" s="27" t="s">
        <v>35</v>
      </c>
      <c r="I6971" s="27" t="s">
        <v>39</v>
      </c>
      <c r="J6971" s="28" t="s">
        <v>772</v>
      </c>
      <c r="K6971" s="27" t="s">
        <v>37</v>
      </c>
      <c r="L6971" s="27"/>
    </row>
    <row r="6972" customFormat="false" ht="15" hidden="false" customHeight="false" outlineLevel="0" collapsed="false">
      <c r="A6972" s="26" t="s">
        <v>18868</v>
      </c>
      <c r="B6972" s="27" t="s">
        <v>18869</v>
      </c>
      <c r="C6972" s="27" t="s">
        <v>144</v>
      </c>
      <c r="D6972" s="26"/>
      <c r="E6972" s="27"/>
      <c r="F6972" s="27"/>
      <c r="G6972" s="27" t="s">
        <v>11122</v>
      </c>
      <c r="H6972" s="27" t="s">
        <v>35</v>
      </c>
      <c r="I6972" s="27" t="s">
        <v>39</v>
      </c>
      <c r="J6972" s="28" t="s">
        <v>772</v>
      </c>
      <c r="K6972" s="27" t="s">
        <v>37</v>
      </c>
      <c r="L6972" s="27"/>
    </row>
    <row r="6973" customFormat="false" ht="15" hidden="false" customHeight="false" outlineLevel="0" collapsed="false">
      <c r="A6973" s="26" t="s">
        <v>18870</v>
      </c>
      <c r="B6973" s="27" t="s">
        <v>18871</v>
      </c>
      <c r="C6973" s="27" t="s">
        <v>144</v>
      </c>
      <c r="D6973" s="26"/>
      <c r="E6973" s="27"/>
      <c r="F6973" s="27"/>
      <c r="G6973" s="27" t="s">
        <v>11122</v>
      </c>
      <c r="H6973" s="27" t="s">
        <v>35</v>
      </c>
      <c r="I6973" s="27" t="s">
        <v>37</v>
      </c>
      <c r="J6973" s="28" t="s">
        <v>772</v>
      </c>
      <c r="K6973" s="27" t="s">
        <v>37</v>
      </c>
      <c r="L6973" s="27"/>
    </row>
    <row r="6974" customFormat="false" ht="15" hidden="false" customHeight="false" outlineLevel="0" collapsed="false">
      <c r="A6974" s="26" t="s">
        <v>18872</v>
      </c>
      <c r="B6974" s="27" t="s">
        <v>18873</v>
      </c>
      <c r="C6974" s="27" t="s">
        <v>144</v>
      </c>
      <c r="D6974" s="26"/>
      <c r="E6974" s="27"/>
      <c r="F6974" s="27"/>
      <c r="G6974" s="27" t="s">
        <v>11122</v>
      </c>
      <c r="H6974" s="27" t="s">
        <v>35</v>
      </c>
      <c r="I6974" s="27" t="s">
        <v>39</v>
      </c>
      <c r="J6974" s="28" t="s">
        <v>772</v>
      </c>
      <c r="K6974" s="27" t="s">
        <v>37</v>
      </c>
      <c r="L6974" s="27"/>
    </row>
    <row r="6975" customFormat="false" ht="15" hidden="false" customHeight="false" outlineLevel="0" collapsed="false">
      <c r="A6975" s="26" t="s">
        <v>18874</v>
      </c>
      <c r="B6975" s="27" t="s">
        <v>18875</v>
      </c>
      <c r="C6975" s="27" t="s">
        <v>144</v>
      </c>
      <c r="D6975" s="26"/>
      <c r="E6975" s="27"/>
      <c r="F6975" s="27"/>
      <c r="G6975" s="27" t="s">
        <v>11122</v>
      </c>
      <c r="H6975" s="27" t="s">
        <v>35</v>
      </c>
      <c r="I6975" s="27" t="s">
        <v>39</v>
      </c>
      <c r="J6975" s="28" t="s">
        <v>772</v>
      </c>
      <c r="K6975" s="27" t="s">
        <v>37</v>
      </c>
      <c r="L6975" s="27"/>
    </row>
    <row r="6976" customFormat="false" ht="15" hidden="false" customHeight="false" outlineLevel="0" collapsed="false">
      <c r="A6976" s="26" t="s">
        <v>18876</v>
      </c>
      <c r="B6976" s="27" t="s">
        <v>18877</v>
      </c>
      <c r="C6976" s="27" t="s">
        <v>144</v>
      </c>
      <c r="D6976" s="26"/>
      <c r="E6976" s="27"/>
      <c r="F6976" s="27"/>
      <c r="G6976" s="27" t="s">
        <v>11122</v>
      </c>
      <c r="H6976" s="27" t="s">
        <v>35</v>
      </c>
      <c r="I6976" s="27" t="s">
        <v>39</v>
      </c>
      <c r="J6976" s="28" t="s">
        <v>772</v>
      </c>
      <c r="K6976" s="27" t="s">
        <v>37</v>
      </c>
      <c r="L6976" s="27"/>
    </row>
    <row r="6977" customFormat="false" ht="15" hidden="false" customHeight="false" outlineLevel="0" collapsed="false">
      <c r="A6977" s="26" t="s">
        <v>18878</v>
      </c>
      <c r="B6977" s="27" t="s">
        <v>18879</v>
      </c>
      <c r="C6977" s="27" t="s">
        <v>144</v>
      </c>
      <c r="D6977" s="26"/>
      <c r="E6977" s="27"/>
      <c r="F6977" s="27"/>
      <c r="G6977" s="27" t="s">
        <v>11122</v>
      </c>
      <c r="H6977" s="27" t="s">
        <v>35</v>
      </c>
      <c r="I6977" s="27" t="s">
        <v>37</v>
      </c>
      <c r="J6977" s="28" t="s">
        <v>772</v>
      </c>
      <c r="K6977" s="27" t="s">
        <v>37</v>
      </c>
      <c r="L6977" s="27"/>
    </row>
    <row r="6978" customFormat="false" ht="15" hidden="false" customHeight="false" outlineLevel="0" collapsed="false">
      <c r="A6978" s="26" t="s">
        <v>18880</v>
      </c>
      <c r="B6978" s="27" t="s">
        <v>18881</v>
      </c>
      <c r="C6978" s="27" t="s">
        <v>144</v>
      </c>
      <c r="D6978" s="26"/>
      <c r="E6978" s="27"/>
      <c r="F6978" s="27"/>
      <c r="G6978" s="27" t="s">
        <v>11122</v>
      </c>
      <c r="H6978" s="27" t="s">
        <v>35</v>
      </c>
      <c r="I6978" s="27" t="s">
        <v>37</v>
      </c>
      <c r="J6978" s="28" t="s">
        <v>772</v>
      </c>
      <c r="K6978" s="27" t="s">
        <v>37</v>
      </c>
      <c r="L6978" s="27"/>
    </row>
    <row r="6979" customFormat="false" ht="15" hidden="false" customHeight="false" outlineLevel="0" collapsed="false">
      <c r="A6979" s="26" t="s">
        <v>18882</v>
      </c>
      <c r="B6979" s="27" t="s">
        <v>18883</v>
      </c>
      <c r="C6979" s="27" t="s">
        <v>144</v>
      </c>
      <c r="D6979" s="26"/>
      <c r="E6979" s="27"/>
      <c r="F6979" s="27"/>
      <c r="G6979" s="27" t="s">
        <v>11122</v>
      </c>
      <c r="H6979" s="27" t="s">
        <v>35</v>
      </c>
      <c r="I6979" s="27" t="s">
        <v>37</v>
      </c>
      <c r="J6979" s="28" t="s">
        <v>772</v>
      </c>
      <c r="K6979" s="27" t="s">
        <v>37</v>
      </c>
      <c r="L6979" s="27"/>
    </row>
    <row r="6980" customFormat="false" ht="15" hidden="false" customHeight="false" outlineLevel="0" collapsed="false">
      <c r="A6980" s="26" t="s">
        <v>18884</v>
      </c>
      <c r="B6980" s="27" t="s">
        <v>18885</v>
      </c>
      <c r="C6980" s="27" t="s">
        <v>144</v>
      </c>
      <c r="D6980" s="26"/>
      <c r="E6980" s="27"/>
      <c r="F6980" s="27"/>
      <c r="G6980" s="27" t="s">
        <v>11122</v>
      </c>
      <c r="H6980" s="27" t="s">
        <v>35</v>
      </c>
      <c r="I6980" s="27" t="s">
        <v>39</v>
      </c>
      <c r="J6980" s="28" t="s">
        <v>772</v>
      </c>
      <c r="K6980" s="27" t="s">
        <v>37</v>
      </c>
      <c r="L6980" s="27"/>
    </row>
    <row r="6981" customFormat="false" ht="15" hidden="false" customHeight="false" outlineLevel="0" collapsed="false">
      <c r="A6981" s="26" t="s">
        <v>18886</v>
      </c>
      <c r="B6981" s="27" t="s">
        <v>18887</v>
      </c>
      <c r="C6981" s="27" t="s">
        <v>144</v>
      </c>
      <c r="D6981" s="26"/>
      <c r="E6981" s="27"/>
      <c r="F6981" s="27"/>
      <c r="G6981" s="27" t="s">
        <v>11122</v>
      </c>
      <c r="H6981" s="27" t="s">
        <v>35</v>
      </c>
      <c r="I6981" s="27" t="s">
        <v>39</v>
      </c>
      <c r="J6981" s="28" t="s">
        <v>772</v>
      </c>
      <c r="K6981" s="27" t="s">
        <v>37</v>
      </c>
      <c r="L6981" s="27"/>
    </row>
    <row r="6982" customFormat="false" ht="15" hidden="false" customHeight="false" outlineLevel="0" collapsed="false">
      <c r="A6982" s="26" t="s">
        <v>18888</v>
      </c>
      <c r="B6982" s="27" t="s">
        <v>18889</v>
      </c>
      <c r="C6982" s="27" t="s">
        <v>144</v>
      </c>
      <c r="D6982" s="26"/>
      <c r="E6982" s="27"/>
      <c r="F6982" s="27"/>
      <c r="G6982" s="27" t="s">
        <v>11122</v>
      </c>
      <c r="H6982" s="27" t="s">
        <v>35</v>
      </c>
      <c r="I6982" s="27" t="s">
        <v>39</v>
      </c>
      <c r="J6982" s="28" t="s">
        <v>772</v>
      </c>
      <c r="K6982" s="27" t="s">
        <v>37</v>
      </c>
      <c r="L6982" s="27"/>
    </row>
    <row r="6983" customFormat="false" ht="15" hidden="false" customHeight="false" outlineLevel="0" collapsed="false">
      <c r="A6983" s="26" t="s">
        <v>18890</v>
      </c>
      <c r="B6983" s="27" t="s">
        <v>18891</v>
      </c>
      <c r="C6983" s="27" t="s">
        <v>144</v>
      </c>
      <c r="D6983" s="26"/>
      <c r="E6983" s="27"/>
      <c r="F6983" s="27"/>
      <c r="G6983" s="27" t="s">
        <v>11122</v>
      </c>
      <c r="H6983" s="27" t="s">
        <v>35</v>
      </c>
      <c r="I6983" s="27" t="s">
        <v>41</v>
      </c>
      <c r="J6983" s="28" t="s">
        <v>772</v>
      </c>
      <c r="K6983" s="27" t="s">
        <v>37</v>
      </c>
      <c r="L6983" s="27"/>
    </row>
    <row r="6984" customFormat="false" ht="15" hidden="false" customHeight="false" outlineLevel="0" collapsed="false">
      <c r="A6984" s="26" t="s">
        <v>18892</v>
      </c>
      <c r="B6984" s="27" t="s">
        <v>18893</v>
      </c>
      <c r="C6984" s="27" t="s">
        <v>144</v>
      </c>
      <c r="D6984" s="26"/>
      <c r="E6984" s="27"/>
      <c r="F6984" s="27"/>
      <c r="G6984" s="27" t="s">
        <v>11122</v>
      </c>
      <c r="H6984" s="27" t="s">
        <v>35</v>
      </c>
      <c r="I6984" s="27" t="s">
        <v>47</v>
      </c>
      <c r="J6984" s="28" t="s">
        <v>772</v>
      </c>
      <c r="K6984" s="27" t="s">
        <v>37</v>
      </c>
      <c r="L6984" s="27"/>
    </row>
    <row r="6985" customFormat="false" ht="15" hidden="false" customHeight="false" outlineLevel="0" collapsed="false">
      <c r="A6985" s="26" t="s">
        <v>18894</v>
      </c>
      <c r="B6985" s="27" t="s">
        <v>18895</v>
      </c>
      <c r="C6985" s="27" t="s">
        <v>144</v>
      </c>
      <c r="D6985" s="26"/>
      <c r="E6985" s="27"/>
      <c r="F6985" s="27"/>
      <c r="G6985" s="27" t="s">
        <v>11122</v>
      </c>
      <c r="H6985" s="27" t="s">
        <v>35</v>
      </c>
      <c r="I6985" s="27" t="s">
        <v>37</v>
      </c>
      <c r="J6985" s="28" t="s">
        <v>772</v>
      </c>
      <c r="K6985" s="27" t="s">
        <v>37</v>
      </c>
      <c r="L6985" s="27"/>
    </row>
    <row r="6986" customFormat="false" ht="15" hidden="false" customHeight="false" outlineLevel="0" collapsed="false">
      <c r="A6986" s="26" t="s">
        <v>18896</v>
      </c>
      <c r="B6986" s="27" t="s">
        <v>18897</v>
      </c>
      <c r="C6986" s="27" t="s">
        <v>144</v>
      </c>
      <c r="D6986" s="26"/>
      <c r="E6986" s="27"/>
      <c r="F6986" s="27"/>
      <c r="G6986" s="27" t="s">
        <v>11122</v>
      </c>
      <c r="H6986" s="27" t="s">
        <v>35</v>
      </c>
      <c r="I6986" s="27" t="s">
        <v>37</v>
      </c>
      <c r="J6986" s="28" t="s">
        <v>772</v>
      </c>
      <c r="K6986" s="27" t="s">
        <v>37</v>
      </c>
      <c r="L6986" s="27"/>
    </row>
    <row r="6987" customFormat="false" ht="15" hidden="false" customHeight="false" outlineLevel="0" collapsed="false">
      <c r="A6987" s="26" t="s">
        <v>18898</v>
      </c>
      <c r="B6987" s="27" t="s">
        <v>18899</v>
      </c>
      <c r="C6987" s="27" t="s">
        <v>144</v>
      </c>
      <c r="D6987" s="26"/>
      <c r="E6987" s="27"/>
      <c r="F6987" s="27"/>
      <c r="G6987" s="27" t="s">
        <v>11122</v>
      </c>
      <c r="H6987" s="27" t="s">
        <v>35</v>
      </c>
      <c r="I6987" s="27" t="s">
        <v>47</v>
      </c>
      <c r="J6987" s="28" t="s">
        <v>772</v>
      </c>
      <c r="K6987" s="27" t="s">
        <v>37</v>
      </c>
      <c r="L6987" s="27"/>
    </row>
    <row r="6988" customFormat="false" ht="15" hidden="false" customHeight="false" outlineLevel="0" collapsed="false">
      <c r="A6988" s="26" t="s">
        <v>18900</v>
      </c>
      <c r="B6988" s="27" t="s">
        <v>18901</v>
      </c>
      <c r="C6988" s="27" t="s">
        <v>144</v>
      </c>
      <c r="D6988" s="26"/>
      <c r="E6988" s="27"/>
      <c r="F6988" s="27"/>
      <c r="G6988" s="27" t="s">
        <v>11122</v>
      </c>
      <c r="H6988" s="27" t="s">
        <v>35</v>
      </c>
      <c r="I6988" s="27" t="s">
        <v>39</v>
      </c>
      <c r="J6988" s="28" t="s">
        <v>772</v>
      </c>
      <c r="K6988" s="27" t="s">
        <v>37</v>
      </c>
      <c r="L6988" s="27"/>
    </row>
    <row r="6989" customFormat="false" ht="15" hidden="false" customHeight="false" outlineLevel="0" collapsed="false">
      <c r="A6989" s="26" t="s">
        <v>18902</v>
      </c>
      <c r="B6989" s="27" t="s">
        <v>18903</v>
      </c>
      <c r="C6989" s="27" t="s">
        <v>144</v>
      </c>
      <c r="D6989" s="26"/>
      <c r="E6989" s="27"/>
      <c r="F6989" s="27"/>
      <c r="G6989" s="27" t="s">
        <v>11122</v>
      </c>
      <c r="H6989" s="27" t="s">
        <v>35</v>
      </c>
      <c r="I6989" s="27" t="s">
        <v>37</v>
      </c>
      <c r="J6989" s="28" t="s">
        <v>772</v>
      </c>
      <c r="K6989" s="27" t="s">
        <v>37</v>
      </c>
      <c r="L6989" s="27"/>
    </row>
    <row r="6990" customFormat="false" ht="15" hidden="false" customHeight="false" outlineLevel="0" collapsed="false">
      <c r="A6990" s="26" t="s">
        <v>18904</v>
      </c>
      <c r="B6990" s="27" t="s">
        <v>18905</v>
      </c>
      <c r="C6990" s="27" t="s">
        <v>144</v>
      </c>
      <c r="D6990" s="26"/>
      <c r="E6990" s="27"/>
      <c r="F6990" s="27"/>
      <c r="G6990" s="27" t="s">
        <v>11122</v>
      </c>
      <c r="H6990" s="27" t="s">
        <v>35</v>
      </c>
      <c r="I6990" s="27" t="s">
        <v>39</v>
      </c>
      <c r="J6990" s="28" t="s">
        <v>772</v>
      </c>
      <c r="K6990" s="27" t="s">
        <v>37</v>
      </c>
      <c r="L6990" s="27"/>
    </row>
    <row r="6991" customFormat="false" ht="15" hidden="false" customHeight="false" outlineLevel="0" collapsed="false">
      <c r="A6991" s="26" t="s">
        <v>18906</v>
      </c>
      <c r="B6991" s="27" t="s">
        <v>18901</v>
      </c>
      <c r="C6991" s="27" t="s">
        <v>144</v>
      </c>
      <c r="D6991" s="26"/>
      <c r="E6991" s="27"/>
      <c r="F6991" s="27"/>
      <c r="G6991" s="27" t="s">
        <v>11122</v>
      </c>
      <c r="H6991" s="27" t="s">
        <v>35</v>
      </c>
      <c r="I6991" s="27" t="s">
        <v>39</v>
      </c>
      <c r="J6991" s="28" t="s">
        <v>772</v>
      </c>
      <c r="K6991" s="27" t="s">
        <v>37</v>
      </c>
      <c r="L6991" s="27"/>
    </row>
    <row r="6992" customFormat="false" ht="15" hidden="false" customHeight="false" outlineLevel="0" collapsed="false">
      <c r="A6992" s="26" t="s">
        <v>18907</v>
      </c>
      <c r="B6992" s="27" t="s">
        <v>18908</v>
      </c>
      <c r="C6992" s="27" t="s">
        <v>144</v>
      </c>
      <c r="D6992" s="26"/>
      <c r="E6992" s="27"/>
      <c r="F6992" s="27"/>
      <c r="G6992" s="27" t="s">
        <v>11122</v>
      </c>
      <c r="H6992" s="27" t="s">
        <v>35</v>
      </c>
      <c r="I6992" s="27" t="s">
        <v>39</v>
      </c>
      <c r="J6992" s="28" t="s">
        <v>772</v>
      </c>
      <c r="K6992" s="27" t="s">
        <v>37</v>
      </c>
      <c r="L6992" s="27"/>
    </row>
    <row r="6993" customFormat="false" ht="15" hidden="false" customHeight="false" outlineLevel="0" collapsed="false">
      <c r="A6993" s="26" t="s">
        <v>18909</v>
      </c>
      <c r="B6993" s="27" t="s">
        <v>18910</v>
      </c>
      <c r="C6993" s="27" t="s">
        <v>144</v>
      </c>
      <c r="D6993" s="26"/>
      <c r="E6993" s="27"/>
      <c r="F6993" s="27"/>
      <c r="G6993" s="27" t="s">
        <v>11122</v>
      </c>
      <c r="H6993" s="27" t="s">
        <v>35</v>
      </c>
      <c r="I6993" s="27" t="s">
        <v>37</v>
      </c>
      <c r="J6993" s="28" t="s">
        <v>772</v>
      </c>
      <c r="K6993" s="27" t="s">
        <v>37</v>
      </c>
      <c r="L6993" s="27"/>
    </row>
    <row r="6994" customFormat="false" ht="15" hidden="false" customHeight="false" outlineLevel="0" collapsed="false">
      <c r="A6994" s="26" t="s">
        <v>18911</v>
      </c>
      <c r="B6994" s="27" t="s">
        <v>18912</v>
      </c>
      <c r="C6994" s="27" t="s">
        <v>144</v>
      </c>
      <c r="D6994" s="26"/>
      <c r="E6994" s="27"/>
      <c r="F6994" s="27"/>
      <c r="G6994" s="27" t="s">
        <v>11122</v>
      </c>
      <c r="H6994" s="27" t="s">
        <v>35</v>
      </c>
      <c r="I6994" s="27" t="s">
        <v>38</v>
      </c>
      <c r="J6994" s="28" t="s">
        <v>772</v>
      </c>
      <c r="K6994" s="27" t="s">
        <v>37</v>
      </c>
      <c r="L6994" s="27"/>
    </row>
    <row r="6995" customFormat="false" ht="15" hidden="false" customHeight="false" outlineLevel="0" collapsed="false">
      <c r="A6995" s="26" t="s">
        <v>18913</v>
      </c>
      <c r="B6995" s="27" t="s">
        <v>18914</v>
      </c>
      <c r="C6995" s="27" t="s">
        <v>144</v>
      </c>
      <c r="D6995" s="26"/>
      <c r="E6995" s="27"/>
      <c r="F6995" s="27"/>
      <c r="G6995" s="27" t="s">
        <v>11122</v>
      </c>
      <c r="H6995" s="27" t="s">
        <v>35</v>
      </c>
      <c r="I6995" s="27" t="s">
        <v>47</v>
      </c>
      <c r="J6995" s="28" t="s">
        <v>772</v>
      </c>
      <c r="K6995" s="27" t="s">
        <v>37</v>
      </c>
      <c r="L6995" s="27"/>
    </row>
    <row r="6996" customFormat="false" ht="15" hidden="false" customHeight="false" outlineLevel="0" collapsed="false">
      <c r="A6996" s="26" t="s">
        <v>18915</v>
      </c>
      <c r="B6996" s="27" t="s">
        <v>18916</v>
      </c>
      <c r="C6996" s="27" t="s">
        <v>144</v>
      </c>
      <c r="D6996" s="26"/>
      <c r="E6996" s="27"/>
      <c r="F6996" s="27"/>
      <c r="G6996" s="27" t="s">
        <v>11122</v>
      </c>
      <c r="H6996" s="27" t="s">
        <v>35</v>
      </c>
      <c r="I6996" s="27" t="s">
        <v>37</v>
      </c>
      <c r="J6996" s="28" t="s">
        <v>772</v>
      </c>
      <c r="K6996" s="27" t="s">
        <v>37</v>
      </c>
      <c r="L6996" s="27"/>
    </row>
    <row r="6997" customFormat="false" ht="15" hidden="false" customHeight="false" outlineLevel="0" collapsed="false">
      <c r="A6997" s="26" t="s">
        <v>18917</v>
      </c>
      <c r="B6997" s="27" t="s">
        <v>18918</v>
      </c>
      <c r="C6997" s="27" t="s">
        <v>144</v>
      </c>
      <c r="D6997" s="26"/>
      <c r="E6997" s="27"/>
      <c r="F6997" s="27"/>
      <c r="G6997" s="27" t="s">
        <v>11122</v>
      </c>
      <c r="H6997" s="27" t="s">
        <v>35</v>
      </c>
      <c r="I6997" s="27" t="s">
        <v>37</v>
      </c>
      <c r="J6997" s="28" t="s">
        <v>772</v>
      </c>
      <c r="K6997" s="27" t="s">
        <v>37</v>
      </c>
      <c r="L6997" s="27"/>
    </row>
    <row r="6998" customFormat="false" ht="15" hidden="false" customHeight="false" outlineLevel="0" collapsed="false">
      <c r="A6998" s="26" t="s">
        <v>18919</v>
      </c>
      <c r="B6998" s="27" t="s">
        <v>18920</v>
      </c>
      <c r="C6998" s="27" t="s">
        <v>144</v>
      </c>
      <c r="D6998" s="26"/>
      <c r="E6998" s="27"/>
      <c r="F6998" s="27"/>
      <c r="G6998" s="27" t="s">
        <v>11122</v>
      </c>
      <c r="H6998" s="27" t="s">
        <v>35</v>
      </c>
      <c r="I6998" s="27" t="s">
        <v>39</v>
      </c>
      <c r="J6998" s="28" t="s">
        <v>772</v>
      </c>
      <c r="K6998" s="27" t="s">
        <v>37</v>
      </c>
      <c r="L6998" s="27"/>
    </row>
    <row r="6999" customFormat="false" ht="15" hidden="false" customHeight="false" outlineLevel="0" collapsed="false">
      <c r="A6999" s="26" t="s">
        <v>18921</v>
      </c>
      <c r="B6999" s="27" t="s">
        <v>18922</v>
      </c>
      <c r="C6999" s="27" t="s">
        <v>144</v>
      </c>
      <c r="D6999" s="26"/>
      <c r="E6999" s="27"/>
      <c r="F6999" s="27"/>
      <c r="G6999" s="27" t="s">
        <v>11122</v>
      </c>
      <c r="H6999" s="27" t="s">
        <v>35</v>
      </c>
      <c r="I6999" s="27" t="s">
        <v>43</v>
      </c>
      <c r="J6999" s="28" t="s">
        <v>772</v>
      </c>
      <c r="K6999" s="27" t="s">
        <v>37</v>
      </c>
      <c r="L6999" s="27"/>
    </row>
    <row r="7000" customFormat="false" ht="15" hidden="false" customHeight="false" outlineLevel="0" collapsed="false">
      <c r="A7000" s="26" t="s">
        <v>18923</v>
      </c>
      <c r="B7000" s="27" t="s">
        <v>18924</v>
      </c>
      <c r="C7000" s="27" t="s">
        <v>144</v>
      </c>
      <c r="D7000" s="26"/>
      <c r="E7000" s="27"/>
      <c r="F7000" s="27"/>
      <c r="G7000" s="27" t="s">
        <v>11122</v>
      </c>
      <c r="H7000" s="27" t="s">
        <v>35</v>
      </c>
      <c r="I7000" s="27" t="s">
        <v>37</v>
      </c>
      <c r="J7000" s="28" t="s">
        <v>772</v>
      </c>
      <c r="K7000" s="27" t="s">
        <v>37</v>
      </c>
      <c r="L7000" s="27"/>
    </row>
    <row r="7001" customFormat="false" ht="15" hidden="false" customHeight="false" outlineLevel="0" collapsed="false">
      <c r="A7001" s="26" t="s">
        <v>18925</v>
      </c>
      <c r="B7001" s="27" t="s">
        <v>18926</v>
      </c>
      <c r="C7001" s="27" t="s">
        <v>144</v>
      </c>
      <c r="D7001" s="26"/>
      <c r="E7001" s="27"/>
      <c r="F7001" s="27"/>
      <c r="G7001" s="27" t="s">
        <v>11122</v>
      </c>
      <c r="H7001" s="27" t="s">
        <v>35</v>
      </c>
      <c r="I7001" s="27" t="s">
        <v>37</v>
      </c>
      <c r="J7001" s="28" t="s">
        <v>772</v>
      </c>
      <c r="K7001" s="27" t="s">
        <v>37</v>
      </c>
      <c r="L7001" s="27"/>
    </row>
    <row r="7002" customFormat="false" ht="15" hidden="false" customHeight="false" outlineLevel="0" collapsed="false">
      <c r="A7002" s="26" t="s">
        <v>18927</v>
      </c>
      <c r="B7002" s="27" t="s">
        <v>18928</v>
      </c>
      <c r="C7002" s="27" t="s">
        <v>144</v>
      </c>
      <c r="D7002" s="26"/>
      <c r="E7002" s="27"/>
      <c r="F7002" s="27"/>
      <c r="G7002" s="27" t="s">
        <v>11122</v>
      </c>
      <c r="H7002" s="27" t="s">
        <v>35</v>
      </c>
      <c r="I7002" s="27" t="s">
        <v>37</v>
      </c>
      <c r="J7002" s="28" t="s">
        <v>772</v>
      </c>
      <c r="K7002" s="27" t="s">
        <v>37</v>
      </c>
      <c r="L7002" s="27"/>
    </row>
    <row r="7003" customFormat="false" ht="15" hidden="false" customHeight="false" outlineLevel="0" collapsed="false">
      <c r="A7003" s="26" t="s">
        <v>18929</v>
      </c>
      <c r="B7003" s="27" t="s">
        <v>18930</v>
      </c>
      <c r="C7003" s="27" t="s">
        <v>144</v>
      </c>
      <c r="D7003" s="26"/>
      <c r="E7003" s="27"/>
      <c r="F7003" s="27"/>
      <c r="G7003" s="27" t="s">
        <v>11122</v>
      </c>
      <c r="H7003" s="27" t="s">
        <v>35</v>
      </c>
      <c r="I7003" s="27" t="s">
        <v>39</v>
      </c>
      <c r="J7003" s="28" t="s">
        <v>772</v>
      </c>
      <c r="K7003" s="27" t="s">
        <v>37</v>
      </c>
      <c r="L7003" s="27"/>
    </row>
    <row r="7004" customFormat="false" ht="15" hidden="false" customHeight="false" outlineLevel="0" collapsed="false">
      <c r="A7004" s="26" t="s">
        <v>18931</v>
      </c>
      <c r="B7004" s="27" t="s">
        <v>18932</v>
      </c>
      <c r="C7004" s="27" t="s">
        <v>144</v>
      </c>
      <c r="D7004" s="26"/>
      <c r="E7004" s="27"/>
      <c r="F7004" s="27"/>
      <c r="G7004" s="27" t="s">
        <v>11122</v>
      </c>
      <c r="H7004" s="27" t="s">
        <v>35</v>
      </c>
      <c r="I7004" s="27" t="s">
        <v>39</v>
      </c>
      <c r="J7004" s="28" t="s">
        <v>772</v>
      </c>
      <c r="K7004" s="27" t="s">
        <v>37</v>
      </c>
      <c r="L7004" s="27"/>
    </row>
    <row r="7005" customFormat="false" ht="15" hidden="false" customHeight="false" outlineLevel="0" collapsed="false">
      <c r="A7005" s="26" t="s">
        <v>18933</v>
      </c>
      <c r="B7005" s="27" t="s">
        <v>18934</v>
      </c>
      <c r="C7005" s="27" t="s">
        <v>144</v>
      </c>
      <c r="D7005" s="26"/>
      <c r="E7005" s="27"/>
      <c r="F7005" s="27"/>
      <c r="G7005" s="27" t="s">
        <v>11122</v>
      </c>
      <c r="H7005" s="27" t="s">
        <v>35</v>
      </c>
      <c r="I7005" s="27" t="s">
        <v>37</v>
      </c>
      <c r="J7005" s="28" t="s">
        <v>772</v>
      </c>
      <c r="K7005" s="27" t="s">
        <v>37</v>
      </c>
      <c r="L7005" s="27"/>
    </row>
    <row r="7006" customFormat="false" ht="15" hidden="false" customHeight="false" outlineLevel="0" collapsed="false">
      <c r="A7006" s="26" t="s">
        <v>18935</v>
      </c>
      <c r="B7006" s="27" t="s">
        <v>18936</v>
      </c>
      <c r="C7006" s="27" t="s">
        <v>144</v>
      </c>
      <c r="D7006" s="26"/>
      <c r="E7006" s="27"/>
      <c r="F7006" s="27"/>
      <c r="G7006" s="27" t="s">
        <v>11122</v>
      </c>
      <c r="H7006" s="27" t="s">
        <v>35</v>
      </c>
      <c r="I7006" s="27" t="s">
        <v>37</v>
      </c>
      <c r="J7006" s="28" t="s">
        <v>772</v>
      </c>
      <c r="K7006" s="27" t="s">
        <v>37</v>
      </c>
      <c r="L7006" s="27"/>
    </row>
    <row r="7007" customFormat="false" ht="15" hidden="false" customHeight="false" outlineLevel="0" collapsed="false">
      <c r="A7007" s="26" t="s">
        <v>18937</v>
      </c>
      <c r="B7007" s="27" t="s">
        <v>18938</v>
      </c>
      <c r="C7007" s="27" t="s">
        <v>144</v>
      </c>
      <c r="D7007" s="26"/>
      <c r="E7007" s="27"/>
      <c r="F7007" s="27"/>
      <c r="G7007" s="27" t="s">
        <v>11122</v>
      </c>
      <c r="H7007" s="27" t="s">
        <v>35</v>
      </c>
      <c r="I7007" s="27" t="s">
        <v>37</v>
      </c>
      <c r="J7007" s="28" t="s">
        <v>772</v>
      </c>
      <c r="K7007" s="27" t="s">
        <v>37</v>
      </c>
      <c r="L7007" s="27"/>
    </row>
    <row r="7008" customFormat="false" ht="15" hidden="false" customHeight="false" outlineLevel="0" collapsed="false">
      <c r="A7008" s="26" t="s">
        <v>18939</v>
      </c>
      <c r="B7008" s="27" t="s">
        <v>18940</v>
      </c>
      <c r="C7008" s="27" t="s">
        <v>144</v>
      </c>
      <c r="D7008" s="26"/>
      <c r="E7008" s="27"/>
      <c r="F7008" s="27"/>
      <c r="G7008" s="27" t="s">
        <v>11122</v>
      </c>
      <c r="H7008" s="27" t="s">
        <v>35</v>
      </c>
      <c r="I7008" s="27" t="s">
        <v>37</v>
      </c>
      <c r="J7008" s="28" t="s">
        <v>772</v>
      </c>
      <c r="K7008" s="27" t="s">
        <v>37</v>
      </c>
      <c r="L7008" s="27"/>
    </row>
    <row r="7009" customFormat="false" ht="15" hidden="false" customHeight="false" outlineLevel="0" collapsed="false">
      <c r="A7009" s="26" t="s">
        <v>18941</v>
      </c>
      <c r="B7009" s="27" t="s">
        <v>18942</v>
      </c>
      <c r="C7009" s="27" t="s">
        <v>144</v>
      </c>
      <c r="D7009" s="26"/>
      <c r="E7009" s="27"/>
      <c r="F7009" s="27"/>
      <c r="G7009" s="27" t="s">
        <v>11122</v>
      </c>
      <c r="H7009" s="27" t="s">
        <v>35</v>
      </c>
      <c r="I7009" s="27" t="s">
        <v>37</v>
      </c>
      <c r="J7009" s="28" t="s">
        <v>772</v>
      </c>
      <c r="K7009" s="27" t="s">
        <v>37</v>
      </c>
      <c r="L7009" s="27"/>
    </row>
    <row r="7010" customFormat="false" ht="15" hidden="false" customHeight="false" outlineLevel="0" collapsed="false">
      <c r="A7010" s="26" t="s">
        <v>18943</v>
      </c>
      <c r="B7010" s="27" t="s">
        <v>18944</v>
      </c>
      <c r="C7010" s="27" t="s">
        <v>144</v>
      </c>
      <c r="D7010" s="26"/>
      <c r="E7010" s="27"/>
      <c r="F7010" s="27"/>
      <c r="G7010" s="27" t="s">
        <v>11122</v>
      </c>
      <c r="H7010" s="27" t="s">
        <v>35</v>
      </c>
      <c r="I7010" s="27" t="s">
        <v>37</v>
      </c>
      <c r="J7010" s="28" t="s">
        <v>772</v>
      </c>
      <c r="K7010" s="27" t="s">
        <v>37</v>
      </c>
      <c r="L7010" s="27"/>
    </row>
    <row r="7011" customFormat="false" ht="15" hidden="false" customHeight="false" outlineLevel="0" collapsed="false">
      <c r="A7011" s="26" t="s">
        <v>18945</v>
      </c>
      <c r="B7011" s="27" t="s">
        <v>18946</v>
      </c>
      <c r="C7011" s="27" t="s">
        <v>144</v>
      </c>
      <c r="D7011" s="26"/>
      <c r="E7011" s="27"/>
      <c r="F7011" s="27"/>
      <c r="G7011" s="27" t="s">
        <v>11122</v>
      </c>
      <c r="H7011" s="27" t="s">
        <v>35</v>
      </c>
      <c r="I7011" s="27" t="s">
        <v>37</v>
      </c>
      <c r="J7011" s="28" t="s">
        <v>772</v>
      </c>
      <c r="K7011" s="27" t="s">
        <v>37</v>
      </c>
      <c r="L7011" s="27"/>
    </row>
    <row r="7012" customFormat="false" ht="15" hidden="false" customHeight="false" outlineLevel="0" collapsed="false">
      <c r="A7012" s="26" t="s">
        <v>18947</v>
      </c>
      <c r="B7012" s="27" t="s">
        <v>18948</v>
      </c>
      <c r="C7012" s="27" t="s">
        <v>144</v>
      </c>
      <c r="D7012" s="26"/>
      <c r="E7012" s="27"/>
      <c r="F7012" s="27"/>
      <c r="G7012" s="27" t="s">
        <v>11122</v>
      </c>
      <c r="H7012" s="27" t="s">
        <v>35</v>
      </c>
      <c r="I7012" s="27" t="s">
        <v>37</v>
      </c>
      <c r="J7012" s="28" t="s">
        <v>772</v>
      </c>
      <c r="K7012" s="27" t="s">
        <v>37</v>
      </c>
      <c r="L7012" s="27"/>
    </row>
    <row r="7013" customFormat="false" ht="15" hidden="false" customHeight="false" outlineLevel="0" collapsed="false">
      <c r="A7013" s="26" t="s">
        <v>18949</v>
      </c>
      <c r="B7013" s="27" t="s">
        <v>18950</v>
      </c>
      <c r="C7013" s="27" t="s">
        <v>144</v>
      </c>
      <c r="D7013" s="26"/>
      <c r="E7013" s="27"/>
      <c r="F7013" s="27"/>
      <c r="G7013" s="27" t="s">
        <v>11122</v>
      </c>
      <c r="H7013" s="27" t="s">
        <v>35</v>
      </c>
      <c r="I7013" s="27" t="s">
        <v>37</v>
      </c>
      <c r="J7013" s="28" t="s">
        <v>772</v>
      </c>
      <c r="K7013" s="27" t="s">
        <v>37</v>
      </c>
      <c r="L7013" s="27"/>
    </row>
    <row r="7014" customFormat="false" ht="15" hidden="false" customHeight="false" outlineLevel="0" collapsed="false">
      <c r="A7014" s="26" t="s">
        <v>18951</v>
      </c>
      <c r="B7014" s="27" t="s">
        <v>18952</v>
      </c>
      <c r="C7014" s="27" t="s">
        <v>144</v>
      </c>
      <c r="D7014" s="26"/>
      <c r="E7014" s="27"/>
      <c r="F7014" s="27"/>
      <c r="G7014" s="27" t="s">
        <v>11122</v>
      </c>
      <c r="H7014" s="27" t="s">
        <v>35</v>
      </c>
      <c r="I7014" s="27" t="s">
        <v>37</v>
      </c>
      <c r="J7014" s="28" t="s">
        <v>772</v>
      </c>
      <c r="K7014" s="27" t="s">
        <v>37</v>
      </c>
      <c r="L7014" s="27"/>
    </row>
    <row r="7015" customFormat="false" ht="15" hidden="false" customHeight="false" outlineLevel="0" collapsed="false">
      <c r="A7015" s="26" t="s">
        <v>18953</v>
      </c>
      <c r="B7015" s="27" t="s">
        <v>18954</v>
      </c>
      <c r="C7015" s="27" t="s">
        <v>144</v>
      </c>
      <c r="D7015" s="26"/>
      <c r="E7015" s="27"/>
      <c r="F7015" s="27"/>
      <c r="G7015" s="27" t="s">
        <v>11122</v>
      </c>
      <c r="H7015" s="27" t="s">
        <v>35</v>
      </c>
      <c r="I7015" s="27" t="s">
        <v>37</v>
      </c>
      <c r="J7015" s="28" t="s">
        <v>772</v>
      </c>
      <c r="K7015" s="27" t="s">
        <v>37</v>
      </c>
      <c r="L7015" s="27"/>
    </row>
    <row r="7016" customFormat="false" ht="15" hidden="false" customHeight="false" outlineLevel="0" collapsed="false">
      <c r="A7016" s="26" t="s">
        <v>18955</v>
      </c>
      <c r="B7016" s="27" t="s">
        <v>18956</v>
      </c>
      <c r="C7016" s="27" t="s">
        <v>144</v>
      </c>
      <c r="D7016" s="26"/>
      <c r="E7016" s="27"/>
      <c r="F7016" s="27"/>
      <c r="G7016" s="27" t="s">
        <v>11122</v>
      </c>
      <c r="H7016" s="27" t="s">
        <v>35</v>
      </c>
      <c r="I7016" s="27" t="s">
        <v>37</v>
      </c>
      <c r="J7016" s="28" t="s">
        <v>772</v>
      </c>
      <c r="K7016" s="27" t="s">
        <v>37</v>
      </c>
      <c r="L7016" s="27"/>
    </row>
    <row r="7017" customFormat="false" ht="15" hidden="false" customHeight="false" outlineLevel="0" collapsed="false">
      <c r="A7017" s="26" t="s">
        <v>18957</v>
      </c>
      <c r="B7017" s="27" t="s">
        <v>18958</v>
      </c>
      <c r="C7017" s="27" t="s">
        <v>144</v>
      </c>
      <c r="D7017" s="26"/>
      <c r="E7017" s="27"/>
      <c r="F7017" s="27"/>
      <c r="G7017" s="27" t="s">
        <v>11122</v>
      </c>
      <c r="H7017" s="27" t="s">
        <v>35</v>
      </c>
      <c r="I7017" s="27" t="s">
        <v>37</v>
      </c>
      <c r="J7017" s="28" t="s">
        <v>772</v>
      </c>
      <c r="K7017" s="27" t="s">
        <v>37</v>
      </c>
      <c r="L7017" s="27"/>
    </row>
    <row r="7018" customFormat="false" ht="15" hidden="false" customHeight="false" outlineLevel="0" collapsed="false">
      <c r="A7018" s="26" t="s">
        <v>18959</v>
      </c>
      <c r="B7018" s="27" t="s">
        <v>18960</v>
      </c>
      <c r="C7018" s="27" t="s">
        <v>144</v>
      </c>
      <c r="D7018" s="26"/>
      <c r="E7018" s="27"/>
      <c r="F7018" s="27"/>
      <c r="G7018" s="27" t="s">
        <v>11122</v>
      </c>
      <c r="H7018" s="27" t="s">
        <v>35</v>
      </c>
      <c r="I7018" s="28" t="s">
        <v>46</v>
      </c>
      <c r="J7018" s="28" t="s">
        <v>772</v>
      </c>
      <c r="K7018" s="27" t="s">
        <v>37</v>
      </c>
      <c r="L7018" s="27"/>
    </row>
    <row r="7019" customFormat="false" ht="15" hidden="false" customHeight="false" outlineLevel="0" collapsed="false">
      <c r="A7019" s="26" t="s">
        <v>18961</v>
      </c>
      <c r="B7019" s="27" t="s">
        <v>18962</v>
      </c>
      <c r="C7019" s="27" t="s">
        <v>144</v>
      </c>
      <c r="D7019" s="26"/>
      <c r="E7019" s="27"/>
      <c r="F7019" s="27"/>
      <c r="G7019" s="27" t="s">
        <v>11122</v>
      </c>
      <c r="H7019" s="27" t="s">
        <v>35</v>
      </c>
      <c r="I7019" s="27" t="s">
        <v>37</v>
      </c>
      <c r="J7019" s="28" t="s">
        <v>772</v>
      </c>
      <c r="K7019" s="27" t="s">
        <v>37</v>
      </c>
      <c r="L7019" s="27"/>
    </row>
    <row r="7020" customFormat="false" ht="15" hidden="false" customHeight="false" outlineLevel="0" collapsed="false">
      <c r="A7020" s="26" t="s">
        <v>18963</v>
      </c>
      <c r="B7020" s="27" t="s">
        <v>18964</v>
      </c>
      <c r="C7020" s="27" t="s">
        <v>144</v>
      </c>
      <c r="D7020" s="26"/>
      <c r="E7020" s="27"/>
      <c r="F7020" s="27"/>
      <c r="G7020" s="27" t="s">
        <v>11122</v>
      </c>
      <c r="H7020" s="27" t="s">
        <v>35</v>
      </c>
      <c r="I7020" s="27" t="s">
        <v>37</v>
      </c>
      <c r="J7020" s="28" t="s">
        <v>772</v>
      </c>
      <c r="K7020" s="27" t="s">
        <v>37</v>
      </c>
      <c r="L7020" s="27"/>
    </row>
    <row r="7021" customFormat="false" ht="15" hidden="false" customHeight="false" outlineLevel="0" collapsed="false">
      <c r="A7021" s="26" t="s">
        <v>18965</v>
      </c>
      <c r="B7021" s="27" t="s">
        <v>18966</v>
      </c>
      <c r="C7021" s="27" t="s">
        <v>144</v>
      </c>
      <c r="D7021" s="26"/>
      <c r="E7021" s="27"/>
      <c r="F7021" s="27"/>
      <c r="G7021" s="27" t="s">
        <v>11122</v>
      </c>
      <c r="H7021" s="27" t="s">
        <v>35</v>
      </c>
      <c r="I7021" s="27" t="s">
        <v>47</v>
      </c>
      <c r="J7021" s="28" t="s">
        <v>772</v>
      </c>
      <c r="K7021" s="27" t="s">
        <v>37</v>
      </c>
      <c r="L7021" s="27"/>
    </row>
    <row r="7022" customFormat="false" ht="15" hidden="false" customHeight="false" outlineLevel="0" collapsed="false">
      <c r="A7022" s="26" t="s">
        <v>18967</v>
      </c>
      <c r="B7022" s="27" t="s">
        <v>18968</v>
      </c>
      <c r="C7022" s="27" t="s">
        <v>137</v>
      </c>
      <c r="D7022" s="26"/>
      <c r="E7022" s="27"/>
      <c r="F7022" s="27"/>
      <c r="G7022" s="27" t="s">
        <v>11122</v>
      </c>
      <c r="H7022" s="27" t="s">
        <v>35</v>
      </c>
      <c r="I7022" s="27" t="s">
        <v>37</v>
      </c>
      <c r="J7022" s="28" t="s">
        <v>772</v>
      </c>
      <c r="K7022" s="27" t="s">
        <v>37</v>
      </c>
      <c r="L7022" s="27"/>
    </row>
    <row r="7023" customFormat="false" ht="15" hidden="false" customHeight="false" outlineLevel="0" collapsed="false">
      <c r="A7023" s="26" t="s">
        <v>18969</v>
      </c>
      <c r="B7023" s="27" t="s">
        <v>18970</v>
      </c>
      <c r="C7023" s="27" t="s">
        <v>144</v>
      </c>
      <c r="D7023" s="26"/>
      <c r="E7023" s="27"/>
      <c r="F7023" s="27"/>
      <c r="G7023" s="27" t="s">
        <v>11122</v>
      </c>
      <c r="H7023" s="27" t="s">
        <v>35</v>
      </c>
      <c r="I7023" s="27" t="s">
        <v>37</v>
      </c>
      <c r="J7023" s="28" t="s">
        <v>772</v>
      </c>
      <c r="K7023" s="27" t="s">
        <v>37</v>
      </c>
      <c r="L7023" s="27"/>
    </row>
    <row r="7024" customFormat="false" ht="15" hidden="false" customHeight="false" outlineLevel="0" collapsed="false">
      <c r="A7024" s="26" t="s">
        <v>18971</v>
      </c>
      <c r="B7024" s="27" t="s">
        <v>18972</v>
      </c>
      <c r="C7024" s="27" t="s">
        <v>144</v>
      </c>
      <c r="D7024" s="26"/>
      <c r="E7024" s="27"/>
      <c r="F7024" s="27"/>
      <c r="G7024" s="27" t="s">
        <v>11122</v>
      </c>
      <c r="H7024" s="27" t="s">
        <v>35</v>
      </c>
      <c r="I7024" s="27" t="s">
        <v>37</v>
      </c>
      <c r="J7024" s="28" t="s">
        <v>772</v>
      </c>
      <c r="K7024" s="27" t="s">
        <v>37</v>
      </c>
      <c r="L7024" s="27"/>
    </row>
    <row r="7025" customFormat="false" ht="15" hidden="false" customHeight="false" outlineLevel="0" collapsed="false">
      <c r="A7025" s="26" t="s">
        <v>18973</v>
      </c>
      <c r="B7025" s="27" t="s">
        <v>18974</v>
      </c>
      <c r="C7025" s="27" t="s">
        <v>144</v>
      </c>
      <c r="D7025" s="26"/>
      <c r="E7025" s="27"/>
      <c r="F7025" s="27"/>
      <c r="G7025" s="27" t="s">
        <v>11122</v>
      </c>
      <c r="H7025" s="27" t="s">
        <v>35</v>
      </c>
      <c r="I7025" s="27" t="s">
        <v>37</v>
      </c>
      <c r="J7025" s="28" t="s">
        <v>772</v>
      </c>
      <c r="K7025" s="27" t="s">
        <v>37</v>
      </c>
      <c r="L7025" s="27"/>
    </row>
    <row r="7026" customFormat="false" ht="15" hidden="false" customHeight="false" outlineLevel="0" collapsed="false">
      <c r="A7026" s="26" t="s">
        <v>18975</v>
      </c>
      <c r="B7026" s="27" t="s">
        <v>18976</v>
      </c>
      <c r="C7026" s="27" t="s">
        <v>144</v>
      </c>
      <c r="D7026" s="26"/>
      <c r="E7026" s="27"/>
      <c r="F7026" s="27"/>
      <c r="G7026" s="27" t="s">
        <v>11122</v>
      </c>
      <c r="H7026" s="27" t="s">
        <v>35</v>
      </c>
      <c r="I7026" s="27" t="s">
        <v>37</v>
      </c>
      <c r="J7026" s="28" t="s">
        <v>772</v>
      </c>
      <c r="K7026" s="27" t="s">
        <v>37</v>
      </c>
      <c r="L7026" s="27"/>
    </row>
    <row r="7027" customFormat="false" ht="15" hidden="false" customHeight="false" outlineLevel="0" collapsed="false">
      <c r="A7027" s="26" t="s">
        <v>18977</v>
      </c>
      <c r="B7027" s="27" t="s">
        <v>18978</v>
      </c>
      <c r="C7027" s="27" t="s">
        <v>144</v>
      </c>
      <c r="D7027" s="26"/>
      <c r="E7027" s="27"/>
      <c r="F7027" s="27"/>
      <c r="G7027" s="27" t="s">
        <v>11122</v>
      </c>
      <c r="H7027" s="27" t="s">
        <v>35</v>
      </c>
      <c r="I7027" s="27" t="s">
        <v>37</v>
      </c>
      <c r="J7027" s="28" t="s">
        <v>772</v>
      </c>
      <c r="K7027" s="27" t="s">
        <v>37</v>
      </c>
      <c r="L7027" s="27"/>
    </row>
    <row r="7028" customFormat="false" ht="15" hidden="false" customHeight="false" outlineLevel="0" collapsed="false">
      <c r="A7028" s="26" t="s">
        <v>18979</v>
      </c>
      <c r="B7028" s="27" t="s">
        <v>18980</v>
      </c>
      <c r="C7028" s="27" t="s">
        <v>144</v>
      </c>
      <c r="D7028" s="26"/>
      <c r="E7028" s="27"/>
      <c r="F7028" s="27"/>
      <c r="G7028" s="27" t="s">
        <v>11122</v>
      </c>
      <c r="H7028" s="27" t="s">
        <v>35</v>
      </c>
      <c r="I7028" s="27" t="s">
        <v>49</v>
      </c>
      <c r="J7028" s="28" t="s">
        <v>772</v>
      </c>
      <c r="K7028" s="27" t="s">
        <v>37</v>
      </c>
      <c r="L7028" s="27"/>
    </row>
    <row r="7029" customFormat="false" ht="15" hidden="false" customHeight="false" outlineLevel="0" collapsed="false">
      <c r="A7029" s="26" t="s">
        <v>18981</v>
      </c>
      <c r="B7029" s="27" t="s">
        <v>18982</v>
      </c>
      <c r="C7029" s="27" t="s">
        <v>144</v>
      </c>
      <c r="D7029" s="26"/>
      <c r="E7029" s="27"/>
      <c r="F7029" s="27"/>
      <c r="G7029" s="27" t="s">
        <v>11122</v>
      </c>
      <c r="H7029" s="27" t="s">
        <v>35</v>
      </c>
      <c r="I7029" s="27" t="s">
        <v>49</v>
      </c>
      <c r="J7029" s="28" t="s">
        <v>772</v>
      </c>
      <c r="K7029" s="27" t="s">
        <v>37</v>
      </c>
      <c r="L7029" s="27"/>
    </row>
    <row r="7030" customFormat="false" ht="15" hidden="false" customHeight="false" outlineLevel="0" collapsed="false">
      <c r="A7030" s="26" t="s">
        <v>18983</v>
      </c>
      <c r="B7030" s="27" t="s">
        <v>18984</v>
      </c>
      <c r="C7030" s="27" t="s">
        <v>144</v>
      </c>
      <c r="D7030" s="26"/>
      <c r="E7030" s="27"/>
      <c r="F7030" s="27"/>
      <c r="G7030" s="27" t="s">
        <v>11122</v>
      </c>
      <c r="H7030" s="27" t="s">
        <v>35</v>
      </c>
      <c r="I7030" s="27" t="s">
        <v>37</v>
      </c>
      <c r="J7030" s="28" t="s">
        <v>772</v>
      </c>
      <c r="K7030" s="27" t="s">
        <v>37</v>
      </c>
      <c r="L7030" s="27"/>
    </row>
    <row r="7031" customFormat="false" ht="15" hidden="false" customHeight="false" outlineLevel="0" collapsed="false">
      <c r="A7031" s="26" t="s">
        <v>18985</v>
      </c>
      <c r="B7031" s="27" t="s">
        <v>18986</v>
      </c>
      <c r="C7031" s="27" t="s">
        <v>144</v>
      </c>
      <c r="D7031" s="26"/>
      <c r="E7031" s="27"/>
      <c r="F7031" s="27"/>
      <c r="G7031" s="27" t="s">
        <v>11122</v>
      </c>
      <c r="H7031" s="27" t="s">
        <v>35</v>
      </c>
      <c r="I7031" s="27" t="s">
        <v>49</v>
      </c>
      <c r="J7031" s="28" t="s">
        <v>772</v>
      </c>
      <c r="K7031" s="27" t="s">
        <v>37</v>
      </c>
      <c r="L7031" s="27"/>
    </row>
    <row r="7032" customFormat="false" ht="15" hidden="false" customHeight="false" outlineLevel="0" collapsed="false">
      <c r="A7032" s="26" t="s">
        <v>18987</v>
      </c>
      <c r="B7032" s="27" t="s">
        <v>18988</v>
      </c>
      <c r="C7032" s="27" t="s">
        <v>144</v>
      </c>
      <c r="D7032" s="26"/>
      <c r="E7032" s="27"/>
      <c r="F7032" s="27"/>
      <c r="G7032" s="27" t="s">
        <v>11122</v>
      </c>
      <c r="H7032" s="27" t="s">
        <v>35</v>
      </c>
      <c r="I7032" s="27" t="s">
        <v>39</v>
      </c>
      <c r="J7032" s="28" t="s">
        <v>772</v>
      </c>
      <c r="K7032" s="27" t="s">
        <v>37</v>
      </c>
      <c r="L7032" s="27"/>
    </row>
    <row r="7033" customFormat="false" ht="15" hidden="false" customHeight="false" outlineLevel="0" collapsed="false">
      <c r="A7033" s="26" t="s">
        <v>18989</v>
      </c>
      <c r="B7033" s="27" t="s">
        <v>18990</v>
      </c>
      <c r="C7033" s="27" t="s">
        <v>144</v>
      </c>
      <c r="D7033" s="26"/>
      <c r="E7033" s="27"/>
      <c r="F7033" s="27"/>
      <c r="G7033" s="27" t="s">
        <v>11122</v>
      </c>
      <c r="H7033" s="27" t="s">
        <v>35</v>
      </c>
      <c r="I7033" s="27" t="s">
        <v>1296</v>
      </c>
      <c r="J7033" s="28" t="s">
        <v>772</v>
      </c>
      <c r="K7033" s="27" t="s">
        <v>37</v>
      </c>
      <c r="L7033" s="27"/>
    </row>
    <row r="7034" customFormat="false" ht="15" hidden="false" customHeight="false" outlineLevel="0" collapsed="false">
      <c r="A7034" s="26" t="s">
        <v>18991</v>
      </c>
      <c r="B7034" s="27" t="s">
        <v>18992</v>
      </c>
      <c r="C7034" s="27" t="s">
        <v>144</v>
      </c>
      <c r="D7034" s="26"/>
      <c r="E7034" s="27"/>
      <c r="F7034" s="27"/>
      <c r="G7034" s="27" t="s">
        <v>11122</v>
      </c>
      <c r="H7034" s="27" t="s">
        <v>35</v>
      </c>
      <c r="I7034" s="27" t="s">
        <v>37</v>
      </c>
      <c r="J7034" s="28" t="s">
        <v>772</v>
      </c>
      <c r="K7034" s="27" t="s">
        <v>37</v>
      </c>
      <c r="L7034" s="27"/>
    </row>
    <row r="7035" customFormat="false" ht="15" hidden="false" customHeight="false" outlineLevel="0" collapsed="false">
      <c r="A7035" s="26" t="s">
        <v>18993</v>
      </c>
      <c r="B7035" s="27" t="s">
        <v>18994</v>
      </c>
      <c r="C7035" s="27" t="s">
        <v>144</v>
      </c>
      <c r="D7035" s="26"/>
      <c r="E7035" s="27"/>
      <c r="F7035" s="27"/>
      <c r="G7035" s="27" t="s">
        <v>11122</v>
      </c>
      <c r="H7035" s="27" t="s">
        <v>35</v>
      </c>
      <c r="I7035" s="27" t="s">
        <v>37</v>
      </c>
      <c r="J7035" s="28" t="s">
        <v>772</v>
      </c>
      <c r="K7035" s="27" t="s">
        <v>37</v>
      </c>
      <c r="L7035" s="27"/>
    </row>
    <row r="7036" customFormat="false" ht="15" hidden="false" customHeight="false" outlineLevel="0" collapsed="false">
      <c r="A7036" s="26" t="s">
        <v>18995</v>
      </c>
      <c r="B7036" s="27" t="s">
        <v>18996</v>
      </c>
      <c r="C7036" s="27" t="s">
        <v>144</v>
      </c>
      <c r="D7036" s="26"/>
      <c r="E7036" s="27"/>
      <c r="F7036" s="27"/>
      <c r="G7036" s="27" t="s">
        <v>11122</v>
      </c>
      <c r="H7036" s="27" t="s">
        <v>35</v>
      </c>
      <c r="I7036" s="27" t="s">
        <v>49</v>
      </c>
      <c r="J7036" s="28" t="s">
        <v>772</v>
      </c>
      <c r="K7036" s="27" t="s">
        <v>37</v>
      </c>
      <c r="L7036" s="27"/>
    </row>
    <row r="7037" customFormat="false" ht="15" hidden="false" customHeight="false" outlineLevel="0" collapsed="false">
      <c r="A7037" s="26" t="s">
        <v>18997</v>
      </c>
      <c r="B7037" s="27" t="s">
        <v>18998</v>
      </c>
      <c r="C7037" s="27" t="s">
        <v>144</v>
      </c>
      <c r="D7037" s="26"/>
      <c r="E7037" s="27"/>
      <c r="F7037" s="27"/>
      <c r="G7037" s="27" t="s">
        <v>11122</v>
      </c>
      <c r="H7037" s="27" t="s">
        <v>35</v>
      </c>
      <c r="I7037" s="27" t="s">
        <v>49</v>
      </c>
      <c r="J7037" s="28" t="s">
        <v>772</v>
      </c>
      <c r="K7037" s="27" t="s">
        <v>37</v>
      </c>
      <c r="L7037" s="27"/>
    </row>
    <row r="7038" customFormat="false" ht="15" hidden="false" customHeight="false" outlineLevel="0" collapsed="false">
      <c r="A7038" s="26" t="s">
        <v>18999</v>
      </c>
      <c r="B7038" s="27" t="s">
        <v>19000</v>
      </c>
      <c r="C7038" s="27" t="s">
        <v>144</v>
      </c>
      <c r="D7038" s="26"/>
      <c r="E7038" s="27"/>
      <c r="F7038" s="27"/>
      <c r="G7038" s="27" t="s">
        <v>11122</v>
      </c>
      <c r="H7038" s="27" t="s">
        <v>35</v>
      </c>
      <c r="I7038" s="27" t="s">
        <v>49</v>
      </c>
      <c r="J7038" s="28" t="s">
        <v>772</v>
      </c>
      <c r="K7038" s="27" t="s">
        <v>37</v>
      </c>
      <c r="L7038" s="27"/>
    </row>
    <row r="7039" customFormat="false" ht="15" hidden="false" customHeight="false" outlineLevel="0" collapsed="false">
      <c r="A7039" s="26" t="s">
        <v>19001</v>
      </c>
      <c r="B7039" s="27" t="s">
        <v>19002</v>
      </c>
      <c r="C7039" s="27" t="s">
        <v>144</v>
      </c>
      <c r="D7039" s="26"/>
      <c r="E7039" s="27"/>
      <c r="F7039" s="27"/>
      <c r="G7039" s="27" t="s">
        <v>11122</v>
      </c>
      <c r="H7039" s="27" t="s">
        <v>35</v>
      </c>
      <c r="I7039" s="28" t="s">
        <v>46</v>
      </c>
      <c r="J7039" s="28" t="s">
        <v>772</v>
      </c>
      <c r="K7039" s="27" t="s">
        <v>37</v>
      </c>
      <c r="L7039" s="27"/>
    </row>
    <row r="7040" customFormat="false" ht="15" hidden="false" customHeight="false" outlineLevel="0" collapsed="false">
      <c r="A7040" s="26" t="s">
        <v>19003</v>
      </c>
      <c r="B7040" s="27" t="s">
        <v>19004</v>
      </c>
      <c r="C7040" s="27" t="s">
        <v>144</v>
      </c>
      <c r="D7040" s="26"/>
      <c r="E7040" s="27"/>
      <c r="F7040" s="27"/>
      <c r="G7040" s="27" t="s">
        <v>11122</v>
      </c>
      <c r="H7040" s="27" t="s">
        <v>35</v>
      </c>
      <c r="I7040" s="27" t="s">
        <v>37</v>
      </c>
      <c r="J7040" s="28" t="s">
        <v>772</v>
      </c>
      <c r="K7040" s="27" t="s">
        <v>37</v>
      </c>
      <c r="L7040" s="27"/>
    </row>
    <row r="7041" customFormat="false" ht="15" hidden="false" customHeight="false" outlineLevel="0" collapsed="false">
      <c r="A7041" s="26" t="s">
        <v>19005</v>
      </c>
      <c r="B7041" s="27" t="s">
        <v>19006</v>
      </c>
      <c r="C7041" s="27" t="s">
        <v>144</v>
      </c>
      <c r="D7041" s="26"/>
      <c r="E7041" s="27"/>
      <c r="F7041" s="27"/>
      <c r="G7041" s="27" t="s">
        <v>11122</v>
      </c>
      <c r="H7041" s="27" t="s">
        <v>35</v>
      </c>
      <c r="I7041" s="27" t="s">
        <v>42</v>
      </c>
      <c r="J7041" s="28" t="s">
        <v>772</v>
      </c>
      <c r="K7041" s="27" t="s">
        <v>37</v>
      </c>
      <c r="L7041" s="27"/>
    </row>
    <row r="7042" customFormat="false" ht="15" hidden="false" customHeight="false" outlineLevel="0" collapsed="false">
      <c r="A7042" s="26" t="s">
        <v>19007</v>
      </c>
      <c r="B7042" s="27" t="s">
        <v>19008</v>
      </c>
      <c r="C7042" s="27" t="s">
        <v>144</v>
      </c>
      <c r="D7042" s="26"/>
      <c r="E7042" s="27"/>
      <c r="F7042" s="27"/>
      <c r="G7042" s="27" t="s">
        <v>11122</v>
      </c>
      <c r="H7042" s="27" t="s">
        <v>35</v>
      </c>
      <c r="I7042" s="27" t="s">
        <v>37</v>
      </c>
      <c r="J7042" s="28" t="s">
        <v>772</v>
      </c>
      <c r="K7042" s="27" t="s">
        <v>37</v>
      </c>
      <c r="L7042" s="27"/>
    </row>
    <row r="7043" customFormat="false" ht="15" hidden="false" customHeight="false" outlineLevel="0" collapsed="false">
      <c r="A7043" s="26" t="s">
        <v>19009</v>
      </c>
      <c r="B7043" s="27" t="s">
        <v>19010</v>
      </c>
      <c r="C7043" s="27" t="s">
        <v>144</v>
      </c>
      <c r="D7043" s="26"/>
      <c r="E7043" s="27"/>
      <c r="F7043" s="27"/>
      <c r="G7043" s="27" t="s">
        <v>11122</v>
      </c>
      <c r="H7043" s="27" t="s">
        <v>35</v>
      </c>
      <c r="I7043" s="27" t="s">
        <v>37</v>
      </c>
      <c r="J7043" s="28" t="s">
        <v>772</v>
      </c>
      <c r="K7043" s="27" t="s">
        <v>37</v>
      </c>
      <c r="L7043" s="27"/>
    </row>
    <row r="7044" customFormat="false" ht="15" hidden="false" customHeight="false" outlineLevel="0" collapsed="false">
      <c r="A7044" s="26" t="s">
        <v>19011</v>
      </c>
      <c r="B7044" s="27" t="s">
        <v>19012</v>
      </c>
      <c r="C7044" s="27" t="s">
        <v>144</v>
      </c>
      <c r="D7044" s="26"/>
      <c r="E7044" s="27"/>
      <c r="F7044" s="27"/>
      <c r="G7044" s="27" t="s">
        <v>11122</v>
      </c>
      <c r="H7044" s="27" t="s">
        <v>35</v>
      </c>
      <c r="I7044" s="27" t="s">
        <v>37</v>
      </c>
      <c r="J7044" s="28" t="s">
        <v>772</v>
      </c>
      <c r="K7044" s="27" t="s">
        <v>37</v>
      </c>
      <c r="L7044" s="27"/>
    </row>
    <row r="7045" customFormat="false" ht="15" hidden="false" customHeight="false" outlineLevel="0" collapsed="false">
      <c r="A7045" s="26" t="s">
        <v>19013</v>
      </c>
      <c r="B7045" s="27" t="s">
        <v>19014</v>
      </c>
      <c r="C7045" s="27" t="s">
        <v>144</v>
      </c>
      <c r="D7045" s="26"/>
      <c r="E7045" s="27"/>
      <c r="F7045" s="27"/>
      <c r="G7045" s="27" t="s">
        <v>11122</v>
      </c>
      <c r="H7045" s="27" t="s">
        <v>35</v>
      </c>
      <c r="I7045" s="27" t="s">
        <v>37</v>
      </c>
      <c r="J7045" s="28" t="s">
        <v>772</v>
      </c>
      <c r="K7045" s="27" t="s">
        <v>37</v>
      </c>
      <c r="L7045" s="27"/>
    </row>
    <row r="7046" customFormat="false" ht="15" hidden="false" customHeight="false" outlineLevel="0" collapsed="false">
      <c r="A7046" s="26" t="s">
        <v>19015</v>
      </c>
      <c r="B7046" s="27" t="s">
        <v>19016</v>
      </c>
      <c r="C7046" s="27" t="s">
        <v>144</v>
      </c>
      <c r="D7046" s="26"/>
      <c r="E7046" s="27"/>
      <c r="F7046" s="27"/>
      <c r="G7046" s="27" t="s">
        <v>11122</v>
      </c>
      <c r="H7046" s="27" t="s">
        <v>35</v>
      </c>
      <c r="I7046" s="27" t="s">
        <v>42</v>
      </c>
      <c r="J7046" s="28" t="s">
        <v>772</v>
      </c>
      <c r="K7046" s="27" t="s">
        <v>37</v>
      </c>
      <c r="L7046" s="27"/>
    </row>
    <row r="7047" customFormat="false" ht="15" hidden="false" customHeight="false" outlineLevel="0" collapsed="false">
      <c r="A7047" s="26" t="s">
        <v>19017</v>
      </c>
      <c r="B7047" s="27" t="s">
        <v>19018</v>
      </c>
      <c r="C7047" s="27" t="s">
        <v>144</v>
      </c>
      <c r="D7047" s="26"/>
      <c r="E7047" s="27"/>
      <c r="F7047" s="27"/>
      <c r="G7047" s="27" t="s">
        <v>11122</v>
      </c>
      <c r="H7047" s="27" t="s">
        <v>35</v>
      </c>
      <c r="I7047" s="28" t="s">
        <v>46</v>
      </c>
      <c r="J7047" s="28" t="s">
        <v>772</v>
      </c>
      <c r="K7047" s="27" t="s">
        <v>37</v>
      </c>
      <c r="L7047" s="27"/>
    </row>
    <row r="7048" customFormat="false" ht="15" hidden="false" customHeight="false" outlineLevel="0" collapsed="false">
      <c r="A7048" s="26" t="s">
        <v>19019</v>
      </c>
      <c r="B7048" s="27" t="s">
        <v>19020</v>
      </c>
      <c r="C7048" s="27" t="s">
        <v>144</v>
      </c>
      <c r="D7048" s="26"/>
      <c r="E7048" s="27"/>
      <c r="F7048" s="27"/>
      <c r="G7048" s="27" t="s">
        <v>11122</v>
      </c>
      <c r="H7048" s="27" t="s">
        <v>35</v>
      </c>
      <c r="I7048" s="28" t="s">
        <v>46</v>
      </c>
      <c r="J7048" s="28" t="s">
        <v>772</v>
      </c>
      <c r="K7048" s="27" t="s">
        <v>37</v>
      </c>
      <c r="L7048" s="27"/>
    </row>
    <row r="7049" customFormat="false" ht="15" hidden="false" customHeight="false" outlineLevel="0" collapsed="false">
      <c r="A7049" s="26" t="s">
        <v>19021</v>
      </c>
      <c r="B7049" s="27" t="s">
        <v>19022</v>
      </c>
      <c r="C7049" s="27" t="s">
        <v>144</v>
      </c>
      <c r="D7049" s="26"/>
      <c r="E7049" s="27"/>
      <c r="F7049" s="27"/>
      <c r="G7049" s="27" t="s">
        <v>11122</v>
      </c>
      <c r="H7049" s="27" t="s">
        <v>35</v>
      </c>
      <c r="I7049" s="27" t="s">
        <v>37</v>
      </c>
      <c r="J7049" s="28" t="s">
        <v>772</v>
      </c>
      <c r="K7049" s="27" t="s">
        <v>37</v>
      </c>
      <c r="L7049" s="27"/>
    </row>
    <row r="7050" customFormat="false" ht="15" hidden="false" customHeight="false" outlineLevel="0" collapsed="false">
      <c r="A7050" s="26" t="s">
        <v>19023</v>
      </c>
      <c r="B7050" s="27" t="s">
        <v>19024</v>
      </c>
      <c r="C7050" s="27" t="s">
        <v>144</v>
      </c>
      <c r="D7050" s="26"/>
      <c r="E7050" s="27"/>
      <c r="F7050" s="27"/>
      <c r="G7050" s="27" t="s">
        <v>11122</v>
      </c>
      <c r="H7050" s="27" t="s">
        <v>35</v>
      </c>
      <c r="I7050" s="27" t="s">
        <v>43</v>
      </c>
      <c r="J7050" s="28" t="s">
        <v>772</v>
      </c>
      <c r="K7050" s="27" t="s">
        <v>37</v>
      </c>
      <c r="L7050" s="27"/>
    </row>
    <row r="7051" customFormat="false" ht="15" hidden="false" customHeight="false" outlineLevel="0" collapsed="false">
      <c r="A7051" s="26" t="s">
        <v>19025</v>
      </c>
      <c r="B7051" s="27" t="s">
        <v>19026</v>
      </c>
      <c r="C7051" s="27" t="s">
        <v>144</v>
      </c>
      <c r="D7051" s="26"/>
      <c r="E7051" s="27"/>
      <c r="F7051" s="27"/>
      <c r="G7051" s="27" t="s">
        <v>11122</v>
      </c>
      <c r="H7051" s="27" t="s">
        <v>35</v>
      </c>
      <c r="I7051" s="27" t="s">
        <v>37</v>
      </c>
      <c r="J7051" s="28" t="s">
        <v>772</v>
      </c>
      <c r="K7051" s="27" t="s">
        <v>37</v>
      </c>
      <c r="L7051" s="27"/>
    </row>
    <row r="7052" customFormat="false" ht="15" hidden="false" customHeight="false" outlineLevel="0" collapsed="false">
      <c r="A7052" s="26" t="s">
        <v>19027</v>
      </c>
      <c r="B7052" s="27" t="s">
        <v>19028</v>
      </c>
      <c r="C7052" s="27" t="s">
        <v>144</v>
      </c>
      <c r="D7052" s="26"/>
      <c r="E7052" s="27"/>
      <c r="F7052" s="27"/>
      <c r="G7052" s="27" t="s">
        <v>11122</v>
      </c>
      <c r="H7052" s="27" t="s">
        <v>35</v>
      </c>
      <c r="I7052" s="27" t="s">
        <v>37</v>
      </c>
      <c r="J7052" s="28" t="s">
        <v>772</v>
      </c>
      <c r="K7052" s="27" t="s">
        <v>37</v>
      </c>
      <c r="L7052" s="27"/>
    </row>
    <row r="7053" customFormat="false" ht="15" hidden="false" customHeight="false" outlineLevel="0" collapsed="false">
      <c r="A7053" s="26" t="s">
        <v>19029</v>
      </c>
      <c r="B7053" s="27" t="s">
        <v>19030</v>
      </c>
      <c r="C7053" s="27" t="s">
        <v>144</v>
      </c>
      <c r="D7053" s="26"/>
      <c r="E7053" s="27"/>
      <c r="F7053" s="27"/>
      <c r="G7053" s="27" t="s">
        <v>11122</v>
      </c>
      <c r="H7053" s="27" t="s">
        <v>35</v>
      </c>
      <c r="I7053" s="27" t="s">
        <v>37</v>
      </c>
      <c r="J7053" s="28" t="s">
        <v>772</v>
      </c>
      <c r="K7053" s="27" t="s">
        <v>37</v>
      </c>
      <c r="L7053" s="27"/>
    </row>
    <row r="7054" customFormat="false" ht="15" hidden="false" customHeight="false" outlineLevel="0" collapsed="false">
      <c r="A7054" s="26" t="s">
        <v>19031</v>
      </c>
      <c r="B7054" s="27" t="s">
        <v>19032</v>
      </c>
      <c r="C7054" s="27" t="s">
        <v>144</v>
      </c>
      <c r="D7054" s="26"/>
      <c r="E7054" s="27"/>
      <c r="F7054" s="27"/>
      <c r="G7054" s="27" t="s">
        <v>11122</v>
      </c>
      <c r="H7054" s="27" t="s">
        <v>35</v>
      </c>
      <c r="I7054" s="27" t="s">
        <v>37</v>
      </c>
      <c r="J7054" s="28" t="s">
        <v>772</v>
      </c>
      <c r="K7054" s="27" t="s">
        <v>37</v>
      </c>
      <c r="L7054" s="27"/>
    </row>
    <row r="7055" customFormat="false" ht="15" hidden="false" customHeight="false" outlineLevel="0" collapsed="false">
      <c r="A7055" s="26" t="s">
        <v>19033</v>
      </c>
      <c r="B7055" s="27" t="s">
        <v>19034</v>
      </c>
      <c r="C7055" s="27" t="s">
        <v>144</v>
      </c>
      <c r="D7055" s="26"/>
      <c r="E7055" s="27"/>
      <c r="F7055" s="27"/>
      <c r="G7055" s="27" t="s">
        <v>11122</v>
      </c>
      <c r="H7055" s="27" t="s">
        <v>35</v>
      </c>
      <c r="I7055" s="27" t="s">
        <v>37</v>
      </c>
      <c r="J7055" s="28" t="s">
        <v>772</v>
      </c>
      <c r="K7055" s="27" t="s">
        <v>37</v>
      </c>
      <c r="L7055" s="27"/>
    </row>
    <row r="7056" customFormat="false" ht="15" hidden="false" customHeight="false" outlineLevel="0" collapsed="false">
      <c r="A7056" s="26" t="s">
        <v>19035</v>
      </c>
      <c r="B7056" s="27" t="s">
        <v>19036</v>
      </c>
      <c r="C7056" s="27" t="s">
        <v>144</v>
      </c>
      <c r="D7056" s="26"/>
      <c r="E7056" s="27"/>
      <c r="F7056" s="27"/>
      <c r="G7056" s="27" t="s">
        <v>11122</v>
      </c>
      <c r="H7056" s="27" t="s">
        <v>35</v>
      </c>
      <c r="I7056" s="27" t="s">
        <v>37</v>
      </c>
      <c r="J7056" s="28" t="s">
        <v>772</v>
      </c>
      <c r="K7056" s="27" t="s">
        <v>37</v>
      </c>
      <c r="L7056" s="27"/>
    </row>
    <row r="7057" customFormat="false" ht="15" hidden="false" customHeight="false" outlineLevel="0" collapsed="false">
      <c r="A7057" s="26" t="s">
        <v>19037</v>
      </c>
      <c r="B7057" s="27" t="s">
        <v>19038</v>
      </c>
      <c r="C7057" s="27" t="s">
        <v>144</v>
      </c>
      <c r="D7057" s="26"/>
      <c r="E7057" s="27"/>
      <c r="F7057" s="27"/>
      <c r="G7057" s="27" t="s">
        <v>11122</v>
      </c>
      <c r="H7057" s="27" t="s">
        <v>35</v>
      </c>
      <c r="I7057" s="27" t="s">
        <v>37</v>
      </c>
      <c r="J7057" s="28" t="s">
        <v>772</v>
      </c>
      <c r="K7057" s="27" t="s">
        <v>37</v>
      </c>
      <c r="L7057" s="27"/>
    </row>
    <row r="7058" customFormat="false" ht="15" hidden="false" customHeight="false" outlineLevel="0" collapsed="false">
      <c r="A7058" s="26" t="s">
        <v>19039</v>
      </c>
      <c r="B7058" s="27" t="s">
        <v>19040</v>
      </c>
      <c r="C7058" s="27" t="s">
        <v>144</v>
      </c>
      <c r="D7058" s="26"/>
      <c r="E7058" s="27"/>
      <c r="F7058" s="27"/>
      <c r="G7058" s="27" t="s">
        <v>11122</v>
      </c>
      <c r="H7058" s="27" t="s">
        <v>35</v>
      </c>
      <c r="I7058" s="27" t="s">
        <v>37</v>
      </c>
      <c r="J7058" s="28" t="s">
        <v>772</v>
      </c>
      <c r="K7058" s="27" t="s">
        <v>37</v>
      </c>
      <c r="L7058" s="27"/>
    </row>
    <row r="7059" customFormat="false" ht="15" hidden="false" customHeight="false" outlineLevel="0" collapsed="false">
      <c r="A7059" s="26" t="s">
        <v>19041</v>
      </c>
      <c r="B7059" s="27" t="s">
        <v>19042</v>
      </c>
      <c r="C7059" s="27" t="s">
        <v>144</v>
      </c>
      <c r="D7059" s="26"/>
      <c r="E7059" s="27"/>
      <c r="F7059" s="27"/>
      <c r="G7059" s="27" t="s">
        <v>11122</v>
      </c>
      <c r="H7059" s="27" t="s">
        <v>35</v>
      </c>
      <c r="I7059" s="27" t="s">
        <v>37</v>
      </c>
      <c r="J7059" s="28" t="s">
        <v>772</v>
      </c>
      <c r="K7059" s="27" t="s">
        <v>37</v>
      </c>
      <c r="L7059" s="27"/>
    </row>
    <row r="7060" customFormat="false" ht="15" hidden="false" customHeight="false" outlineLevel="0" collapsed="false">
      <c r="A7060" s="26" t="s">
        <v>19043</v>
      </c>
      <c r="B7060" s="27" t="s">
        <v>19044</v>
      </c>
      <c r="C7060" s="27" t="s">
        <v>144</v>
      </c>
      <c r="D7060" s="26"/>
      <c r="E7060" s="27"/>
      <c r="F7060" s="27"/>
      <c r="G7060" s="27" t="s">
        <v>11122</v>
      </c>
      <c r="H7060" s="27" t="s">
        <v>35</v>
      </c>
      <c r="I7060" s="27" t="s">
        <v>37</v>
      </c>
      <c r="J7060" s="28" t="s">
        <v>772</v>
      </c>
      <c r="K7060" s="27" t="s">
        <v>37</v>
      </c>
      <c r="L7060" s="27"/>
    </row>
    <row r="7061" customFormat="false" ht="15" hidden="false" customHeight="false" outlineLevel="0" collapsed="false">
      <c r="A7061" s="26" t="s">
        <v>19045</v>
      </c>
      <c r="B7061" s="27" t="s">
        <v>19046</v>
      </c>
      <c r="C7061" s="27" t="s">
        <v>144</v>
      </c>
      <c r="D7061" s="26"/>
      <c r="E7061" s="27"/>
      <c r="F7061" s="27"/>
      <c r="G7061" s="27" t="s">
        <v>11122</v>
      </c>
      <c r="H7061" s="27" t="s">
        <v>35</v>
      </c>
      <c r="I7061" s="27" t="s">
        <v>39</v>
      </c>
      <c r="J7061" s="28" t="s">
        <v>772</v>
      </c>
      <c r="K7061" s="27" t="s">
        <v>37</v>
      </c>
      <c r="L7061" s="27"/>
    </row>
    <row r="7062" customFormat="false" ht="15" hidden="false" customHeight="false" outlineLevel="0" collapsed="false">
      <c r="A7062" s="26" t="s">
        <v>19047</v>
      </c>
      <c r="B7062" s="27" t="s">
        <v>19048</v>
      </c>
      <c r="C7062" s="27" t="s">
        <v>144</v>
      </c>
      <c r="D7062" s="26"/>
      <c r="E7062" s="27"/>
      <c r="F7062" s="27"/>
      <c r="G7062" s="27" t="s">
        <v>11122</v>
      </c>
      <c r="H7062" s="27" t="s">
        <v>35</v>
      </c>
      <c r="I7062" s="27" t="s">
        <v>37</v>
      </c>
      <c r="J7062" s="28" t="s">
        <v>772</v>
      </c>
      <c r="K7062" s="27" t="s">
        <v>37</v>
      </c>
      <c r="L7062" s="27"/>
    </row>
    <row r="7063" customFormat="false" ht="15" hidden="false" customHeight="false" outlineLevel="0" collapsed="false">
      <c r="A7063" s="26" t="s">
        <v>19049</v>
      </c>
      <c r="B7063" s="27" t="s">
        <v>19050</v>
      </c>
      <c r="C7063" s="27" t="s">
        <v>144</v>
      </c>
      <c r="D7063" s="26"/>
      <c r="E7063" s="27"/>
      <c r="F7063" s="27"/>
      <c r="G7063" s="27" t="s">
        <v>11122</v>
      </c>
      <c r="H7063" s="27" t="s">
        <v>35</v>
      </c>
      <c r="I7063" s="27" t="s">
        <v>37</v>
      </c>
      <c r="J7063" s="28" t="s">
        <v>772</v>
      </c>
      <c r="K7063" s="27" t="s">
        <v>37</v>
      </c>
      <c r="L7063" s="27"/>
    </row>
    <row r="7064" customFormat="false" ht="15" hidden="false" customHeight="false" outlineLevel="0" collapsed="false">
      <c r="A7064" s="26" t="s">
        <v>19051</v>
      </c>
      <c r="B7064" s="27" t="s">
        <v>19052</v>
      </c>
      <c r="C7064" s="27" t="s">
        <v>144</v>
      </c>
      <c r="D7064" s="26"/>
      <c r="E7064" s="27"/>
      <c r="F7064" s="27"/>
      <c r="G7064" s="27" t="s">
        <v>11122</v>
      </c>
      <c r="H7064" s="27" t="s">
        <v>35</v>
      </c>
      <c r="I7064" s="27" t="s">
        <v>37</v>
      </c>
      <c r="J7064" s="28" t="s">
        <v>772</v>
      </c>
      <c r="K7064" s="27" t="s">
        <v>37</v>
      </c>
      <c r="L7064" s="27"/>
    </row>
    <row r="7065" customFormat="false" ht="15" hidden="false" customHeight="false" outlineLevel="0" collapsed="false">
      <c r="A7065" s="26" t="s">
        <v>19053</v>
      </c>
      <c r="B7065" s="27" t="s">
        <v>19054</v>
      </c>
      <c r="C7065" s="27" t="s">
        <v>144</v>
      </c>
      <c r="D7065" s="26"/>
      <c r="E7065" s="27"/>
      <c r="F7065" s="27"/>
      <c r="G7065" s="27" t="s">
        <v>11122</v>
      </c>
      <c r="H7065" s="27" t="s">
        <v>35</v>
      </c>
      <c r="I7065" s="27" t="s">
        <v>37</v>
      </c>
      <c r="J7065" s="28" t="s">
        <v>772</v>
      </c>
      <c r="K7065" s="27" t="s">
        <v>37</v>
      </c>
      <c r="L7065" s="27"/>
    </row>
    <row r="7066" customFormat="false" ht="15" hidden="false" customHeight="false" outlineLevel="0" collapsed="false">
      <c r="A7066" s="26" t="s">
        <v>19055</v>
      </c>
      <c r="B7066" s="27" t="s">
        <v>19056</v>
      </c>
      <c r="C7066" s="27" t="s">
        <v>144</v>
      </c>
      <c r="D7066" s="26"/>
      <c r="E7066" s="27"/>
      <c r="F7066" s="27"/>
      <c r="G7066" s="27" t="s">
        <v>11122</v>
      </c>
      <c r="H7066" s="27" t="s">
        <v>35</v>
      </c>
      <c r="I7066" s="27" t="s">
        <v>37</v>
      </c>
      <c r="J7066" s="28" t="s">
        <v>772</v>
      </c>
      <c r="K7066" s="27" t="s">
        <v>37</v>
      </c>
      <c r="L7066" s="27"/>
    </row>
    <row r="7067" customFormat="false" ht="15" hidden="false" customHeight="false" outlineLevel="0" collapsed="false">
      <c r="A7067" s="26" t="s">
        <v>19057</v>
      </c>
      <c r="B7067" s="27" t="s">
        <v>19058</v>
      </c>
      <c r="C7067" s="27" t="s">
        <v>144</v>
      </c>
      <c r="D7067" s="26"/>
      <c r="E7067" s="27"/>
      <c r="F7067" s="27"/>
      <c r="G7067" s="27" t="s">
        <v>11122</v>
      </c>
      <c r="H7067" s="27" t="s">
        <v>35</v>
      </c>
      <c r="I7067" s="27" t="s">
        <v>37</v>
      </c>
      <c r="J7067" s="28" t="s">
        <v>772</v>
      </c>
      <c r="K7067" s="27" t="s">
        <v>37</v>
      </c>
      <c r="L7067" s="27"/>
    </row>
    <row r="7068" customFormat="false" ht="15" hidden="false" customHeight="false" outlineLevel="0" collapsed="false">
      <c r="A7068" s="26" t="s">
        <v>19059</v>
      </c>
      <c r="B7068" s="27" t="s">
        <v>19060</v>
      </c>
      <c r="C7068" s="27" t="s">
        <v>144</v>
      </c>
      <c r="D7068" s="26"/>
      <c r="E7068" s="27"/>
      <c r="F7068" s="27"/>
      <c r="G7068" s="27" t="s">
        <v>11122</v>
      </c>
      <c r="H7068" s="27" t="s">
        <v>35</v>
      </c>
      <c r="I7068" s="27" t="s">
        <v>1296</v>
      </c>
      <c r="J7068" s="28" t="s">
        <v>772</v>
      </c>
      <c r="K7068" s="27" t="s">
        <v>37</v>
      </c>
      <c r="L7068" s="27"/>
    </row>
    <row r="7069" customFormat="false" ht="15" hidden="false" customHeight="false" outlineLevel="0" collapsed="false">
      <c r="A7069" s="26" t="s">
        <v>19061</v>
      </c>
      <c r="B7069" s="27" t="s">
        <v>19062</v>
      </c>
      <c r="C7069" s="27" t="s">
        <v>144</v>
      </c>
      <c r="D7069" s="26"/>
      <c r="E7069" s="27"/>
      <c r="F7069" s="27"/>
      <c r="G7069" s="27" t="s">
        <v>11122</v>
      </c>
      <c r="H7069" s="27" t="s">
        <v>35</v>
      </c>
      <c r="I7069" s="27" t="s">
        <v>40</v>
      </c>
      <c r="J7069" s="28" t="s">
        <v>772</v>
      </c>
      <c r="K7069" s="27" t="s">
        <v>37</v>
      </c>
      <c r="L7069" s="27"/>
    </row>
    <row r="7070" customFormat="false" ht="15" hidden="false" customHeight="false" outlineLevel="0" collapsed="false">
      <c r="A7070" s="26" t="s">
        <v>19063</v>
      </c>
      <c r="B7070" s="27" t="s">
        <v>19064</v>
      </c>
      <c r="C7070" s="27" t="s">
        <v>144</v>
      </c>
      <c r="D7070" s="26"/>
      <c r="E7070" s="27"/>
      <c r="F7070" s="27"/>
      <c r="G7070" s="27" t="s">
        <v>11122</v>
      </c>
      <c r="H7070" s="27" t="s">
        <v>35</v>
      </c>
      <c r="I7070" s="27" t="s">
        <v>37</v>
      </c>
      <c r="J7070" s="28" t="s">
        <v>772</v>
      </c>
      <c r="K7070" s="27" t="s">
        <v>37</v>
      </c>
      <c r="L7070" s="27"/>
    </row>
    <row r="7071" customFormat="false" ht="15" hidden="false" customHeight="false" outlineLevel="0" collapsed="false">
      <c r="A7071" s="26" t="s">
        <v>19065</v>
      </c>
      <c r="B7071" s="27" t="s">
        <v>19066</v>
      </c>
      <c r="C7071" s="27" t="s">
        <v>144</v>
      </c>
      <c r="D7071" s="26"/>
      <c r="E7071" s="27"/>
      <c r="F7071" s="27"/>
      <c r="G7071" s="27" t="s">
        <v>11122</v>
      </c>
      <c r="H7071" s="27" t="s">
        <v>35</v>
      </c>
      <c r="I7071" s="27" t="s">
        <v>37</v>
      </c>
      <c r="J7071" s="28" t="s">
        <v>772</v>
      </c>
      <c r="K7071" s="27" t="s">
        <v>37</v>
      </c>
      <c r="L7071" s="27"/>
    </row>
    <row r="7072" customFormat="false" ht="15" hidden="false" customHeight="false" outlineLevel="0" collapsed="false">
      <c r="A7072" s="26" t="s">
        <v>19067</v>
      </c>
      <c r="B7072" s="27" t="s">
        <v>19068</v>
      </c>
      <c r="C7072" s="27" t="s">
        <v>144</v>
      </c>
      <c r="D7072" s="26"/>
      <c r="E7072" s="27"/>
      <c r="F7072" s="27"/>
      <c r="G7072" s="27" t="s">
        <v>11122</v>
      </c>
      <c r="H7072" s="27" t="s">
        <v>35</v>
      </c>
      <c r="I7072" s="27" t="s">
        <v>45</v>
      </c>
      <c r="J7072" s="28" t="s">
        <v>772</v>
      </c>
      <c r="K7072" s="27" t="s">
        <v>37</v>
      </c>
      <c r="L7072" s="27"/>
    </row>
    <row r="7073" customFormat="false" ht="15" hidden="false" customHeight="false" outlineLevel="0" collapsed="false">
      <c r="A7073" s="26" t="s">
        <v>19069</v>
      </c>
      <c r="B7073" s="27" t="s">
        <v>19070</v>
      </c>
      <c r="C7073" s="27" t="s">
        <v>144</v>
      </c>
      <c r="D7073" s="26"/>
      <c r="E7073" s="27"/>
      <c r="F7073" s="27"/>
      <c r="G7073" s="27" t="s">
        <v>11122</v>
      </c>
      <c r="H7073" s="27" t="s">
        <v>35</v>
      </c>
      <c r="I7073" s="27" t="s">
        <v>42</v>
      </c>
      <c r="J7073" s="28" t="s">
        <v>772</v>
      </c>
      <c r="K7073" s="27" t="s">
        <v>37</v>
      </c>
      <c r="L7073" s="27"/>
    </row>
    <row r="7074" customFormat="false" ht="15" hidden="false" customHeight="false" outlineLevel="0" collapsed="false">
      <c r="A7074" s="26" t="s">
        <v>19071</v>
      </c>
      <c r="B7074" s="27" t="s">
        <v>19072</v>
      </c>
      <c r="C7074" s="27" t="s">
        <v>144</v>
      </c>
      <c r="D7074" s="26"/>
      <c r="E7074" s="27"/>
      <c r="F7074" s="27"/>
      <c r="G7074" s="27" t="s">
        <v>11122</v>
      </c>
      <c r="H7074" s="27" t="s">
        <v>35</v>
      </c>
      <c r="I7074" s="28" t="s">
        <v>46</v>
      </c>
      <c r="J7074" s="28" t="s">
        <v>772</v>
      </c>
      <c r="K7074" s="27" t="s">
        <v>37</v>
      </c>
      <c r="L7074" s="27"/>
    </row>
    <row r="7075" customFormat="false" ht="15" hidden="false" customHeight="false" outlineLevel="0" collapsed="false">
      <c r="A7075" s="26" t="s">
        <v>19073</v>
      </c>
      <c r="B7075" s="27" t="s">
        <v>19074</v>
      </c>
      <c r="C7075" s="27" t="s">
        <v>144</v>
      </c>
      <c r="D7075" s="26"/>
      <c r="E7075" s="27"/>
      <c r="F7075" s="27"/>
      <c r="G7075" s="27" t="s">
        <v>11122</v>
      </c>
      <c r="H7075" s="27" t="s">
        <v>35</v>
      </c>
      <c r="I7075" s="27" t="s">
        <v>37</v>
      </c>
      <c r="J7075" s="28" t="s">
        <v>772</v>
      </c>
      <c r="K7075" s="27" t="s">
        <v>37</v>
      </c>
      <c r="L7075" s="27"/>
    </row>
    <row r="7076" customFormat="false" ht="15" hidden="false" customHeight="false" outlineLevel="0" collapsed="false">
      <c r="A7076" s="26" t="s">
        <v>19075</v>
      </c>
      <c r="B7076" s="27" t="s">
        <v>19076</v>
      </c>
      <c r="C7076" s="27" t="s">
        <v>144</v>
      </c>
      <c r="D7076" s="26"/>
      <c r="E7076" s="27"/>
      <c r="F7076" s="27"/>
      <c r="G7076" s="27" t="s">
        <v>11122</v>
      </c>
      <c r="H7076" s="27" t="s">
        <v>35</v>
      </c>
      <c r="I7076" s="27" t="s">
        <v>37</v>
      </c>
      <c r="J7076" s="28" t="s">
        <v>772</v>
      </c>
      <c r="K7076" s="27" t="s">
        <v>37</v>
      </c>
      <c r="L7076" s="27"/>
    </row>
    <row r="7077" customFormat="false" ht="15" hidden="false" customHeight="false" outlineLevel="0" collapsed="false">
      <c r="A7077" s="26" t="s">
        <v>19077</v>
      </c>
      <c r="B7077" s="27" t="s">
        <v>19078</v>
      </c>
      <c r="C7077" s="27" t="s">
        <v>144</v>
      </c>
      <c r="D7077" s="26"/>
      <c r="E7077" s="27"/>
      <c r="F7077" s="27"/>
      <c r="G7077" s="27" t="s">
        <v>11122</v>
      </c>
      <c r="H7077" s="27" t="s">
        <v>35</v>
      </c>
      <c r="I7077" s="27" t="s">
        <v>42</v>
      </c>
      <c r="J7077" s="28" t="s">
        <v>772</v>
      </c>
      <c r="K7077" s="27" t="s">
        <v>37</v>
      </c>
      <c r="L7077" s="27"/>
    </row>
    <row r="7078" customFormat="false" ht="15" hidden="false" customHeight="false" outlineLevel="0" collapsed="false">
      <c r="A7078" s="26" t="s">
        <v>19079</v>
      </c>
      <c r="B7078" s="27" t="s">
        <v>19080</v>
      </c>
      <c r="C7078" s="27" t="s">
        <v>144</v>
      </c>
      <c r="D7078" s="26"/>
      <c r="E7078" s="27"/>
      <c r="F7078" s="27"/>
      <c r="G7078" s="27" t="s">
        <v>11122</v>
      </c>
      <c r="H7078" s="27" t="s">
        <v>35</v>
      </c>
      <c r="I7078" s="27" t="s">
        <v>37</v>
      </c>
      <c r="J7078" s="28" t="s">
        <v>772</v>
      </c>
      <c r="K7078" s="27" t="s">
        <v>37</v>
      </c>
      <c r="L7078" s="27"/>
    </row>
    <row r="7079" customFormat="false" ht="15" hidden="false" customHeight="false" outlineLevel="0" collapsed="false">
      <c r="A7079" s="26" t="s">
        <v>19081</v>
      </c>
      <c r="B7079" s="27" t="s">
        <v>19082</v>
      </c>
      <c r="C7079" s="27" t="s">
        <v>144</v>
      </c>
      <c r="D7079" s="26"/>
      <c r="E7079" s="27"/>
      <c r="F7079" s="27"/>
      <c r="G7079" s="27" t="s">
        <v>11122</v>
      </c>
      <c r="H7079" s="27" t="s">
        <v>35</v>
      </c>
      <c r="I7079" s="27" t="s">
        <v>37</v>
      </c>
      <c r="J7079" s="28" t="s">
        <v>772</v>
      </c>
      <c r="K7079" s="27" t="s">
        <v>37</v>
      </c>
      <c r="L7079" s="27"/>
    </row>
    <row r="7080" customFormat="false" ht="15" hidden="false" customHeight="false" outlineLevel="0" collapsed="false">
      <c r="A7080" s="26" t="s">
        <v>19083</v>
      </c>
      <c r="B7080" s="27" t="s">
        <v>19084</v>
      </c>
      <c r="C7080" s="27" t="s">
        <v>144</v>
      </c>
      <c r="D7080" s="26"/>
      <c r="E7080" s="27"/>
      <c r="F7080" s="27"/>
      <c r="G7080" s="27" t="s">
        <v>11122</v>
      </c>
      <c r="H7080" s="27" t="s">
        <v>35</v>
      </c>
      <c r="I7080" s="28" t="s">
        <v>46</v>
      </c>
      <c r="J7080" s="28" t="s">
        <v>772</v>
      </c>
      <c r="K7080" s="27" t="s">
        <v>37</v>
      </c>
      <c r="L7080" s="27"/>
    </row>
    <row r="7081" customFormat="false" ht="15" hidden="false" customHeight="false" outlineLevel="0" collapsed="false">
      <c r="A7081" s="26" t="s">
        <v>19085</v>
      </c>
      <c r="B7081" s="27" t="s">
        <v>19082</v>
      </c>
      <c r="C7081" s="27" t="s">
        <v>144</v>
      </c>
      <c r="D7081" s="26"/>
      <c r="E7081" s="27"/>
      <c r="F7081" s="27"/>
      <c r="G7081" s="27" t="s">
        <v>11122</v>
      </c>
      <c r="H7081" s="27" t="s">
        <v>35</v>
      </c>
      <c r="I7081" s="27" t="s">
        <v>37</v>
      </c>
      <c r="J7081" s="28" t="s">
        <v>772</v>
      </c>
      <c r="K7081" s="27" t="s">
        <v>37</v>
      </c>
      <c r="L7081" s="27"/>
    </row>
    <row r="7082" customFormat="false" ht="15" hidden="false" customHeight="false" outlineLevel="0" collapsed="false">
      <c r="A7082" s="26" t="s">
        <v>19086</v>
      </c>
      <c r="B7082" s="27" t="s">
        <v>19087</v>
      </c>
      <c r="C7082" s="27" t="s">
        <v>144</v>
      </c>
      <c r="D7082" s="26"/>
      <c r="E7082" s="27"/>
      <c r="F7082" s="27"/>
      <c r="G7082" s="27" t="s">
        <v>11122</v>
      </c>
      <c r="H7082" s="27" t="s">
        <v>35</v>
      </c>
      <c r="I7082" s="27" t="s">
        <v>37</v>
      </c>
      <c r="J7082" s="28" t="s">
        <v>772</v>
      </c>
      <c r="K7082" s="27" t="s">
        <v>37</v>
      </c>
      <c r="L7082" s="27"/>
    </row>
    <row r="7083" customFormat="false" ht="15" hidden="false" customHeight="false" outlineLevel="0" collapsed="false">
      <c r="A7083" s="26" t="s">
        <v>19088</v>
      </c>
      <c r="B7083" s="27" t="s">
        <v>19089</v>
      </c>
      <c r="C7083" s="27" t="s">
        <v>144</v>
      </c>
      <c r="D7083" s="26"/>
      <c r="E7083" s="27"/>
      <c r="F7083" s="27"/>
      <c r="G7083" s="27" t="s">
        <v>11122</v>
      </c>
      <c r="H7083" s="27" t="s">
        <v>35</v>
      </c>
      <c r="I7083" s="27" t="s">
        <v>47</v>
      </c>
      <c r="J7083" s="28" t="s">
        <v>772</v>
      </c>
      <c r="K7083" s="27" t="s">
        <v>37</v>
      </c>
      <c r="L7083" s="27"/>
    </row>
    <row r="7084" customFormat="false" ht="15" hidden="false" customHeight="false" outlineLevel="0" collapsed="false">
      <c r="A7084" s="26" t="s">
        <v>19090</v>
      </c>
      <c r="B7084" s="27" t="s">
        <v>19091</v>
      </c>
      <c r="C7084" s="27" t="s">
        <v>144</v>
      </c>
      <c r="D7084" s="26"/>
      <c r="E7084" s="27"/>
      <c r="F7084" s="27"/>
      <c r="G7084" s="27" t="s">
        <v>11122</v>
      </c>
      <c r="H7084" s="27" t="s">
        <v>35</v>
      </c>
      <c r="I7084" s="27" t="s">
        <v>47</v>
      </c>
      <c r="J7084" s="28" t="s">
        <v>772</v>
      </c>
      <c r="K7084" s="27" t="s">
        <v>37</v>
      </c>
      <c r="L7084" s="27"/>
    </row>
    <row r="7085" customFormat="false" ht="15" hidden="false" customHeight="false" outlineLevel="0" collapsed="false">
      <c r="A7085" s="26" t="s">
        <v>19092</v>
      </c>
      <c r="B7085" s="27" t="s">
        <v>19093</v>
      </c>
      <c r="C7085" s="27" t="s">
        <v>144</v>
      </c>
      <c r="D7085" s="26"/>
      <c r="E7085" s="27"/>
      <c r="F7085" s="27"/>
      <c r="G7085" s="27" t="s">
        <v>11122</v>
      </c>
      <c r="H7085" s="27" t="s">
        <v>35</v>
      </c>
      <c r="I7085" s="27" t="s">
        <v>37</v>
      </c>
      <c r="J7085" s="28" t="s">
        <v>772</v>
      </c>
      <c r="K7085" s="27" t="s">
        <v>37</v>
      </c>
      <c r="L7085" s="27"/>
    </row>
    <row r="7086" customFormat="false" ht="15" hidden="false" customHeight="false" outlineLevel="0" collapsed="false">
      <c r="A7086" s="26" t="s">
        <v>19094</v>
      </c>
      <c r="B7086" s="27" t="s">
        <v>19095</v>
      </c>
      <c r="C7086" s="27" t="s">
        <v>144</v>
      </c>
      <c r="D7086" s="26"/>
      <c r="E7086" s="27"/>
      <c r="F7086" s="27"/>
      <c r="G7086" s="27" t="s">
        <v>11122</v>
      </c>
      <c r="H7086" s="27" t="s">
        <v>35</v>
      </c>
      <c r="I7086" s="28" t="s">
        <v>46</v>
      </c>
      <c r="J7086" s="28" t="s">
        <v>772</v>
      </c>
      <c r="K7086" s="27" t="s">
        <v>37</v>
      </c>
      <c r="L7086" s="27"/>
    </row>
    <row r="7087" customFormat="false" ht="15" hidden="false" customHeight="false" outlineLevel="0" collapsed="false">
      <c r="A7087" s="26" t="s">
        <v>19096</v>
      </c>
      <c r="B7087" s="27" t="s">
        <v>19097</v>
      </c>
      <c r="C7087" s="27" t="s">
        <v>144</v>
      </c>
      <c r="D7087" s="26"/>
      <c r="E7087" s="27"/>
      <c r="F7087" s="27"/>
      <c r="G7087" s="27" t="s">
        <v>11122</v>
      </c>
      <c r="H7087" s="27" t="s">
        <v>35</v>
      </c>
      <c r="I7087" s="27" t="s">
        <v>37</v>
      </c>
      <c r="J7087" s="28" t="s">
        <v>772</v>
      </c>
      <c r="K7087" s="27" t="s">
        <v>37</v>
      </c>
      <c r="L7087" s="27"/>
    </row>
    <row r="7088" customFormat="false" ht="15" hidden="false" customHeight="false" outlineLevel="0" collapsed="false">
      <c r="A7088" s="26" t="s">
        <v>19098</v>
      </c>
      <c r="B7088" s="27" t="s">
        <v>19099</v>
      </c>
      <c r="C7088" s="27" t="s">
        <v>144</v>
      </c>
      <c r="D7088" s="26"/>
      <c r="E7088" s="27"/>
      <c r="F7088" s="27"/>
      <c r="G7088" s="27" t="s">
        <v>11122</v>
      </c>
      <c r="H7088" s="27" t="s">
        <v>35</v>
      </c>
      <c r="I7088" s="27" t="s">
        <v>37</v>
      </c>
      <c r="J7088" s="28" t="s">
        <v>772</v>
      </c>
      <c r="K7088" s="27" t="s">
        <v>37</v>
      </c>
      <c r="L7088" s="27"/>
    </row>
    <row r="7089" customFormat="false" ht="15" hidden="false" customHeight="false" outlineLevel="0" collapsed="false">
      <c r="A7089" s="26" t="s">
        <v>19100</v>
      </c>
      <c r="B7089" s="27" t="s">
        <v>19101</v>
      </c>
      <c r="C7089" s="27" t="s">
        <v>144</v>
      </c>
      <c r="D7089" s="26"/>
      <c r="E7089" s="27"/>
      <c r="F7089" s="27"/>
      <c r="G7089" s="27" t="s">
        <v>11122</v>
      </c>
      <c r="H7089" s="27" t="s">
        <v>35</v>
      </c>
      <c r="I7089" s="27" t="s">
        <v>37</v>
      </c>
      <c r="J7089" s="28" t="s">
        <v>772</v>
      </c>
      <c r="K7089" s="27" t="s">
        <v>37</v>
      </c>
      <c r="L7089" s="27"/>
    </row>
    <row r="7090" customFormat="false" ht="15" hidden="false" customHeight="false" outlineLevel="0" collapsed="false">
      <c r="A7090" s="26" t="s">
        <v>19102</v>
      </c>
      <c r="B7090" s="27" t="s">
        <v>19103</v>
      </c>
      <c r="C7090" s="27" t="s">
        <v>144</v>
      </c>
      <c r="D7090" s="26"/>
      <c r="E7090" s="27"/>
      <c r="F7090" s="27"/>
      <c r="G7090" s="27" t="s">
        <v>11122</v>
      </c>
      <c r="H7090" s="27" t="s">
        <v>35</v>
      </c>
      <c r="I7090" s="27" t="s">
        <v>37</v>
      </c>
      <c r="J7090" s="28" t="s">
        <v>772</v>
      </c>
      <c r="K7090" s="27" t="s">
        <v>37</v>
      </c>
      <c r="L7090" s="27"/>
    </row>
    <row r="7091" customFormat="false" ht="15" hidden="false" customHeight="false" outlineLevel="0" collapsed="false">
      <c r="A7091" s="26" t="s">
        <v>19104</v>
      </c>
      <c r="B7091" s="27" t="s">
        <v>19105</v>
      </c>
      <c r="C7091" s="27" t="s">
        <v>144</v>
      </c>
      <c r="D7091" s="26"/>
      <c r="E7091" s="27"/>
      <c r="F7091" s="27"/>
      <c r="G7091" s="27" t="s">
        <v>11122</v>
      </c>
      <c r="H7091" s="27" t="s">
        <v>35</v>
      </c>
      <c r="I7091" s="27" t="s">
        <v>37</v>
      </c>
      <c r="J7091" s="28" t="s">
        <v>772</v>
      </c>
      <c r="K7091" s="27" t="s">
        <v>37</v>
      </c>
      <c r="L7091" s="27"/>
    </row>
    <row r="7092" customFormat="false" ht="15" hidden="false" customHeight="false" outlineLevel="0" collapsed="false">
      <c r="A7092" s="26" t="s">
        <v>19106</v>
      </c>
      <c r="B7092" s="27" t="s">
        <v>19107</v>
      </c>
      <c r="C7092" s="27" t="s">
        <v>144</v>
      </c>
      <c r="D7092" s="26"/>
      <c r="E7092" s="27"/>
      <c r="F7092" s="27"/>
      <c r="G7092" s="27" t="s">
        <v>11122</v>
      </c>
      <c r="H7092" s="27" t="s">
        <v>35</v>
      </c>
      <c r="I7092" s="27" t="s">
        <v>37</v>
      </c>
      <c r="J7092" s="28" t="s">
        <v>772</v>
      </c>
      <c r="K7092" s="27" t="s">
        <v>37</v>
      </c>
      <c r="L7092" s="27"/>
    </row>
    <row r="7093" customFormat="false" ht="15" hidden="false" customHeight="false" outlineLevel="0" collapsed="false">
      <c r="A7093" s="26" t="s">
        <v>19108</v>
      </c>
      <c r="B7093" s="27" t="s">
        <v>19109</v>
      </c>
      <c r="C7093" s="27" t="s">
        <v>144</v>
      </c>
      <c r="D7093" s="26"/>
      <c r="E7093" s="27"/>
      <c r="F7093" s="27"/>
      <c r="G7093" s="27" t="s">
        <v>11122</v>
      </c>
      <c r="H7093" s="27" t="s">
        <v>35</v>
      </c>
      <c r="I7093" s="27" t="s">
        <v>37</v>
      </c>
      <c r="J7093" s="28" t="s">
        <v>772</v>
      </c>
      <c r="K7093" s="27" t="s">
        <v>37</v>
      </c>
      <c r="L7093" s="27"/>
    </row>
    <row r="7094" customFormat="false" ht="15" hidden="false" customHeight="false" outlineLevel="0" collapsed="false">
      <c r="A7094" s="26" t="s">
        <v>19110</v>
      </c>
      <c r="B7094" s="27" t="s">
        <v>19111</v>
      </c>
      <c r="C7094" s="27" t="s">
        <v>144</v>
      </c>
      <c r="D7094" s="26"/>
      <c r="E7094" s="27"/>
      <c r="F7094" s="27"/>
      <c r="G7094" s="27" t="s">
        <v>11122</v>
      </c>
      <c r="H7094" s="27" t="s">
        <v>35</v>
      </c>
      <c r="I7094" s="27" t="s">
        <v>37</v>
      </c>
      <c r="J7094" s="28" t="s">
        <v>772</v>
      </c>
      <c r="K7094" s="27" t="s">
        <v>37</v>
      </c>
      <c r="L7094" s="27"/>
    </row>
    <row r="7095" customFormat="false" ht="15" hidden="false" customHeight="false" outlineLevel="0" collapsed="false">
      <c r="A7095" s="26" t="s">
        <v>19112</v>
      </c>
      <c r="B7095" s="27" t="s">
        <v>19113</v>
      </c>
      <c r="C7095" s="27" t="s">
        <v>144</v>
      </c>
      <c r="D7095" s="26"/>
      <c r="E7095" s="27"/>
      <c r="F7095" s="27"/>
      <c r="G7095" s="27" t="s">
        <v>11122</v>
      </c>
      <c r="H7095" s="27" t="s">
        <v>35</v>
      </c>
      <c r="I7095" s="27" t="s">
        <v>37</v>
      </c>
      <c r="J7095" s="28" t="s">
        <v>772</v>
      </c>
      <c r="K7095" s="27" t="s">
        <v>37</v>
      </c>
      <c r="L7095" s="27"/>
    </row>
    <row r="7096" customFormat="false" ht="15" hidden="false" customHeight="false" outlineLevel="0" collapsed="false">
      <c r="A7096" s="26" t="s">
        <v>19114</v>
      </c>
      <c r="B7096" s="27" t="s">
        <v>19115</v>
      </c>
      <c r="C7096" s="27" t="s">
        <v>144</v>
      </c>
      <c r="D7096" s="26"/>
      <c r="E7096" s="27"/>
      <c r="F7096" s="27"/>
      <c r="G7096" s="27" t="s">
        <v>11122</v>
      </c>
      <c r="H7096" s="27" t="s">
        <v>35</v>
      </c>
      <c r="I7096" s="27" t="s">
        <v>37</v>
      </c>
      <c r="J7096" s="28" t="s">
        <v>772</v>
      </c>
      <c r="K7096" s="27" t="s">
        <v>37</v>
      </c>
      <c r="L7096" s="27"/>
    </row>
    <row r="7097" customFormat="false" ht="15" hidden="false" customHeight="false" outlineLevel="0" collapsed="false">
      <c r="A7097" s="26" t="s">
        <v>19116</v>
      </c>
      <c r="B7097" s="27" t="s">
        <v>19117</v>
      </c>
      <c r="C7097" s="27" t="s">
        <v>144</v>
      </c>
      <c r="D7097" s="26"/>
      <c r="E7097" s="27"/>
      <c r="F7097" s="27"/>
      <c r="G7097" s="27" t="s">
        <v>11122</v>
      </c>
      <c r="H7097" s="27" t="s">
        <v>35</v>
      </c>
      <c r="I7097" s="27" t="s">
        <v>37</v>
      </c>
      <c r="J7097" s="28" t="s">
        <v>772</v>
      </c>
      <c r="K7097" s="27" t="s">
        <v>37</v>
      </c>
      <c r="L7097" s="27"/>
    </row>
    <row r="7098" customFormat="false" ht="15" hidden="false" customHeight="false" outlineLevel="0" collapsed="false">
      <c r="A7098" s="26" t="s">
        <v>19118</v>
      </c>
      <c r="B7098" s="27" t="s">
        <v>19119</v>
      </c>
      <c r="C7098" s="27" t="s">
        <v>144</v>
      </c>
      <c r="D7098" s="26"/>
      <c r="E7098" s="27"/>
      <c r="F7098" s="27"/>
      <c r="G7098" s="27" t="s">
        <v>11122</v>
      </c>
      <c r="H7098" s="27" t="s">
        <v>35</v>
      </c>
      <c r="I7098" s="27" t="s">
        <v>37</v>
      </c>
      <c r="J7098" s="28" t="s">
        <v>772</v>
      </c>
      <c r="K7098" s="27" t="s">
        <v>37</v>
      </c>
      <c r="L7098" s="27"/>
    </row>
    <row r="7099" customFormat="false" ht="15" hidden="false" customHeight="false" outlineLevel="0" collapsed="false">
      <c r="A7099" s="26" t="s">
        <v>19120</v>
      </c>
      <c r="B7099" s="27" t="s">
        <v>19121</v>
      </c>
      <c r="C7099" s="27" t="s">
        <v>144</v>
      </c>
      <c r="D7099" s="26"/>
      <c r="E7099" s="27"/>
      <c r="F7099" s="27"/>
      <c r="G7099" s="27" t="s">
        <v>11122</v>
      </c>
      <c r="H7099" s="27" t="s">
        <v>35</v>
      </c>
      <c r="I7099" s="27" t="s">
        <v>40</v>
      </c>
      <c r="J7099" s="28" t="s">
        <v>772</v>
      </c>
      <c r="K7099" s="27" t="s">
        <v>37</v>
      </c>
      <c r="L7099" s="27"/>
    </row>
    <row r="7100" customFormat="false" ht="15" hidden="false" customHeight="false" outlineLevel="0" collapsed="false">
      <c r="A7100" s="26" t="s">
        <v>19122</v>
      </c>
      <c r="B7100" s="27" t="s">
        <v>19123</v>
      </c>
      <c r="C7100" s="27" t="s">
        <v>144</v>
      </c>
      <c r="D7100" s="26"/>
      <c r="E7100" s="27"/>
      <c r="F7100" s="27"/>
      <c r="G7100" s="27" t="s">
        <v>11122</v>
      </c>
      <c r="H7100" s="27" t="s">
        <v>35</v>
      </c>
      <c r="I7100" s="27" t="s">
        <v>37</v>
      </c>
      <c r="J7100" s="28" t="s">
        <v>772</v>
      </c>
      <c r="K7100" s="27" t="s">
        <v>37</v>
      </c>
      <c r="L7100" s="27"/>
    </row>
    <row r="7101" customFormat="false" ht="15" hidden="false" customHeight="false" outlineLevel="0" collapsed="false">
      <c r="A7101" s="26" t="s">
        <v>19124</v>
      </c>
      <c r="B7101" s="27" t="s">
        <v>19125</v>
      </c>
      <c r="C7101" s="27" t="s">
        <v>144</v>
      </c>
      <c r="D7101" s="26"/>
      <c r="E7101" s="27"/>
      <c r="F7101" s="27"/>
      <c r="G7101" s="27" t="s">
        <v>11122</v>
      </c>
      <c r="H7101" s="27" t="s">
        <v>35</v>
      </c>
      <c r="I7101" s="28" t="s">
        <v>46</v>
      </c>
      <c r="J7101" s="28" t="s">
        <v>772</v>
      </c>
      <c r="K7101" s="27" t="s">
        <v>37</v>
      </c>
      <c r="L7101" s="27"/>
    </row>
    <row r="7102" customFormat="false" ht="15" hidden="false" customHeight="false" outlineLevel="0" collapsed="false">
      <c r="A7102" s="26" t="s">
        <v>19126</v>
      </c>
      <c r="B7102" s="27" t="s">
        <v>19127</v>
      </c>
      <c r="C7102" s="27" t="s">
        <v>144</v>
      </c>
      <c r="D7102" s="26"/>
      <c r="E7102" s="27"/>
      <c r="F7102" s="27"/>
      <c r="G7102" s="27" t="s">
        <v>11122</v>
      </c>
      <c r="H7102" s="27" t="s">
        <v>35</v>
      </c>
      <c r="I7102" s="27" t="s">
        <v>42</v>
      </c>
      <c r="J7102" s="28" t="s">
        <v>772</v>
      </c>
      <c r="K7102" s="27" t="s">
        <v>37</v>
      </c>
      <c r="L7102" s="27"/>
    </row>
    <row r="7103" customFormat="false" ht="15" hidden="false" customHeight="false" outlineLevel="0" collapsed="false">
      <c r="A7103" s="26" t="s">
        <v>19128</v>
      </c>
      <c r="B7103" s="27" t="s">
        <v>19129</v>
      </c>
      <c r="C7103" s="27" t="s">
        <v>144</v>
      </c>
      <c r="D7103" s="26"/>
      <c r="E7103" s="27"/>
      <c r="F7103" s="27"/>
      <c r="G7103" s="27" t="s">
        <v>11122</v>
      </c>
      <c r="H7103" s="27" t="s">
        <v>35</v>
      </c>
      <c r="I7103" s="27" t="s">
        <v>42</v>
      </c>
      <c r="J7103" s="28" t="s">
        <v>772</v>
      </c>
      <c r="K7103" s="27" t="s">
        <v>37</v>
      </c>
      <c r="L7103" s="27"/>
    </row>
    <row r="7104" customFormat="false" ht="15" hidden="false" customHeight="false" outlineLevel="0" collapsed="false">
      <c r="A7104" s="26" t="s">
        <v>19130</v>
      </c>
      <c r="B7104" s="27" t="s">
        <v>19131</v>
      </c>
      <c r="C7104" s="27" t="s">
        <v>144</v>
      </c>
      <c r="D7104" s="26"/>
      <c r="E7104" s="27"/>
      <c r="F7104" s="27"/>
      <c r="G7104" s="27" t="s">
        <v>11122</v>
      </c>
      <c r="H7104" s="27" t="s">
        <v>35</v>
      </c>
      <c r="I7104" s="27" t="s">
        <v>37</v>
      </c>
      <c r="J7104" s="28" t="s">
        <v>772</v>
      </c>
      <c r="K7104" s="27" t="s">
        <v>37</v>
      </c>
      <c r="L7104" s="27"/>
    </row>
    <row r="7105" customFormat="false" ht="15" hidden="false" customHeight="false" outlineLevel="0" collapsed="false">
      <c r="A7105" s="26" t="s">
        <v>19132</v>
      </c>
      <c r="B7105" s="27" t="s">
        <v>19133</v>
      </c>
      <c r="C7105" s="27" t="s">
        <v>144</v>
      </c>
      <c r="D7105" s="26"/>
      <c r="E7105" s="27"/>
      <c r="F7105" s="27"/>
      <c r="G7105" s="27" t="s">
        <v>11122</v>
      </c>
      <c r="H7105" s="27" t="s">
        <v>35</v>
      </c>
      <c r="I7105" s="27" t="s">
        <v>37</v>
      </c>
      <c r="J7105" s="28" t="s">
        <v>772</v>
      </c>
      <c r="K7105" s="27" t="s">
        <v>37</v>
      </c>
      <c r="L7105" s="27"/>
    </row>
    <row r="7106" customFormat="false" ht="15" hidden="false" customHeight="false" outlineLevel="0" collapsed="false">
      <c r="A7106" s="26" t="s">
        <v>19134</v>
      </c>
      <c r="B7106" s="27" t="s">
        <v>19135</v>
      </c>
      <c r="C7106" s="27" t="s">
        <v>144</v>
      </c>
      <c r="D7106" s="26"/>
      <c r="E7106" s="27"/>
      <c r="F7106" s="27"/>
      <c r="G7106" s="27" t="s">
        <v>11122</v>
      </c>
      <c r="H7106" s="27" t="s">
        <v>35</v>
      </c>
      <c r="I7106" s="27" t="s">
        <v>37</v>
      </c>
      <c r="J7106" s="28" t="s">
        <v>772</v>
      </c>
      <c r="K7106" s="27" t="s">
        <v>37</v>
      </c>
      <c r="L7106" s="27"/>
    </row>
    <row r="7107" customFormat="false" ht="15" hidden="false" customHeight="false" outlineLevel="0" collapsed="false">
      <c r="A7107" s="26" t="s">
        <v>19136</v>
      </c>
      <c r="B7107" s="27" t="s">
        <v>19137</v>
      </c>
      <c r="C7107" s="27" t="s">
        <v>144</v>
      </c>
      <c r="D7107" s="26"/>
      <c r="E7107" s="27"/>
      <c r="F7107" s="27"/>
      <c r="G7107" s="27" t="s">
        <v>11122</v>
      </c>
      <c r="H7107" s="27" t="s">
        <v>35</v>
      </c>
      <c r="I7107" s="27" t="s">
        <v>37</v>
      </c>
      <c r="J7107" s="28" t="s">
        <v>772</v>
      </c>
      <c r="K7107" s="27" t="s">
        <v>37</v>
      </c>
      <c r="L7107" s="27"/>
    </row>
    <row r="7108" customFormat="false" ht="15" hidden="false" customHeight="false" outlineLevel="0" collapsed="false">
      <c r="A7108" s="26" t="s">
        <v>19138</v>
      </c>
      <c r="B7108" s="27" t="s">
        <v>19139</v>
      </c>
      <c r="C7108" s="27" t="s">
        <v>144</v>
      </c>
      <c r="D7108" s="26"/>
      <c r="E7108" s="27"/>
      <c r="F7108" s="27"/>
      <c r="G7108" s="27" t="s">
        <v>11122</v>
      </c>
      <c r="H7108" s="27" t="s">
        <v>35</v>
      </c>
      <c r="I7108" s="27" t="s">
        <v>37</v>
      </c>
      <c r="J7108" s="28" t="s">
        <v>772</v>
      </c>
      <c r="K7108" s="27" t="s">
        <v>37</v>
      </c>
      <c r="L7108" s="27"/>
    </row>
    <row r="7109" customFormat="false" ht="15" hidden="false" customHeight="false" outlineLevel="0" collapsed="false">
      <c r="A7109" s="26" t="s">
        <v>19140</v>
      </c>
      <c r="B7109" s="27" t="s">
        <v>19141</v>
      </c>
      <c r="C7109" s="27" t="s">
        <v>144</v>
      </c>
      <c r="D7109" s="26"/>
      <c r="E7109" s="27"/>
      <c r="F7109" s="27"/>
      <c r="G7109" s="27" t="s">
        <v>11122</v>
      </c>
      <c r="H7109" s="27" t="s">
        <v>35</v>
      </c>
      <c r="I7109" s="27" t="s">
        <v>37</v>
      </c>
      <c r="J7109" s="28" t="s">
        <v>772</v>
      </c>
      <c r="K7109" s="27" t="s">
        <v>37</v>
      </c>
      <c r="L7109" s="27"/>
    </row>
    <row r="7110" customFormat="false" ht="15" hidden="false" customHeight="false" outlineLevel="0" collapsed="false">
      <c r="A7110" s="26" t="s">
        <v>19142</v>
      </c>
      <c r="B7110" s="27" t="s">
        <v>19143</v>
      </c>
      <c r="C7110" s="27" t="s">
        <v>144</v>
      </c>
      <c r="D7110" s="26"/>
      <c r="E7110" s="27"/>
      <c r="F7110" s="27"/>
      <c r="G7110" s="27" t="s">
        <v>11122</v>
      </c>
      <c r="H7110" s="27" t="s">
        <v>35</v>
      </c>
      <c r="I7110" s="27" t="s">
        <v>37</v>
      </c>
      <c r="J7110" s="28" t="s">
        <v>772</v>
      </c>
      <c r="K7110" s="27" t="s">
        <v>37</v>
      </c>
      <c r="L7110" s="27"/>
    </row>
    <row r="7111" customFormat="false" ht="15" hidden="false" customHeight="false" outlineLevel="0" collapsed="false">
      <c r="A7111" s="26" t="s">
        <v>19144</v>
      </c>
      <c r="B7111" s="27" t="s">
        <v>19145</v>
      </c>
      <c r="C7111" s="27" t="s">
        <v>144</v>
      </c>
      <c r="D7111" s="26"/>
      <c r="E7111" s="27"/>
      <c r="F7111" s="27"/>
      <c r="G7111" s="27" t="s">
        <v>11122</v>
      </c>
      <c r="H7111" s="27" t="s">
        <v>35</v>
      </c>
      <c r="I7111" s="27" t="s">
        <v>49</v>
      </c>
      <c r="J7111" s="28" t="s">
        <v>772</v>
      </c>
      <c r="K7111" s="27" t="s">
        <v>37</v>
      </c>
      <c r="L7111" s="27"/>
    </row>
    <row r="7112" customFormat="false" ht="15" hidden="false" customHeight="false" outlineLevel="0" collapsed="false">
      <c r="A7112" s="26" t="s">
        <v>19146</v>
      </c>
      <c r="B7112" s="27" t="s">
        <v>19147</v>
      </c>
      <c r="C7112" s="27" t="s">
        <v>144</v>
      </c>
      <c r="D7112" s="26"/>
      <c r="E7112" s="27"/>
      <c r="F7112" s="27"/>
      <c r="G7112" s="27" t="s">
        <v>11122</v>
      </c>
      <c r="H7112" s="27" t="s">
        <v>35</v>
      </c>
      <c r="I7112" s="27" t="s">
        <v>37</v>
      </c>
      <c r="J7112" s="28" t="s">
        <v>772</v>
      </c>
      <c r="K7112" s="27" t="s">
        <v>37</v>
      </c>
      <c r="L7112" s="27"/>
    </row>
    <row r="7113" customFormat="false" ht="15" hidden="false" customHeight="false" outlineLevel="0" collapsed="false">
      <c r="A7113" s="26" t="s">
        <v>19148</v>
      </c>
      <c r="B7113" s="27" t="s">
        <v>19149</v>
      </c>
      <c r="C7113" s="27" t="s">
        <v>144</v>
      </c>
      <c r="D7113" s="26"/>
      <c r="E7113" s="27"/>
      <c r="F7113" s="27"/>
      <c r="G7113" s="27" t="s">
        <v>11122</v>
      </c>
      <c r="H7113" s="27" t="s">
        <v>35</v>
      </c>
      <c r="I7113" s="27" t="s">
        <v>37</v>
      </c>
      <c r="J7113" s="28" t="s">
        <v>772</v>
      </c>
      <c r="K7113" s="27" t="s">
        <v>37</v>
      </c>
      <c r="L7113" s="27"/>
    </row>
    <row r="7114" customFormat="false" ht="15" hidden="false" customHeight="false" outlineLevel="0" collapsed="false">
      <c r="A7114" s="26" t="s">
        <v>19150</v>
      </c>
      <c r="B7114" s="27" t="s">
        <v>19151</v>
      </c>
      <c r="C7114" s="27" t="s">
        <v>144</v>
      </c>
      <c r="D7114" s="26"/>
      <c r="E7114" s="27"/>
      <c r="F7114" s="27"/>
      <c r="G7114" s="27" t="s">
        <v>11122</v>
      </c>
      <c r="H7114" s="27" t="s">
        <v>35</v>
      </c>
      <c r="I7114" s="27" t="s">
        <v>37</v>
      </c>
      <c r="J7114" s="28" t="s">
        <v>772</v>
      </c>
      <c r="K7114" s="27" t="s">
        <v>37</v>
      </c>
      <c r="L7114" s="27"/>
    </row>
    <row r="7115" customFormat="false" ht="15" hidden="false" customHeight="false" outlineLevel="0" collapsed="false">
      <c r="A7115" s="26" t="s">
        <v>19152</v>
      </c>
      <c r="B7115" s="27" t="s">
        <v>19153</v>
      </c>
      <c r="C7115" s="27" t="s">
        <v>144</v>
      </c>
      <c r="D7115" s="26"/>
      <c r="E7115" s="27"/>
      <c r="F7115" s="27"/>
      <c r="G7115" s="27" t="s">
        <v>11122</v>
      </c>
      <c r="H7115" s="27" t="s">
        <v>35</v>
      </c>
      <c r="I7115" s="27" t="s">
        <v>37</v>
      </c>
      <c r="J7115" s="28" t="s">
        <v>772</v>
      </c>
      <c r="K7115" s="27" t="s">
        <v>37</v>
      </c>
      <c r="L7115" s="27"/>
    </row>
    <row r="7116" customFormat="false" ht="15" hidden="false" customHeight="false" outlineLevel="0" collapsed="false">
      <c r="A7116" s="26" t="s">
        <v>19154</v>
      </c>
      <c r="B7116" s="27" t="s">
        <v>19155</v>
      </c>
      <c r="C7116" s="27" t="s">
        <v>144</v>
      </c>
      <c r="D7116" s="26"/>
      <c r="E7116" s="27"/>
      <c r="F7116" s="27"/>
      <c r="G7116" s="27" t="s">
        <v>11122</v>
      </c>
      <c r="H7116" s="27" t="s">
        <v>35</v>
      </c>
      <c r="I7116" s="27" t="s">
        <v>43</v>
      </c>
      <c r="J7116" s="28" t="s">
        <v>772</v>
      </c>
      <c r="K7116" s="27" t="s">
        <v>37</v>
      </c>
      <c r="L7116" s="27"/>
    </row>
    <row r="7117" customFormat="false" ht="15" hidden="false" customHeight="false" outlineLevel="0" collapsed="false">
      <c r="A7117" s="26" t="s">
        <v>19156</v>
      </c>
      <c r="B7117" s="27" t="s">
        <v>19157</v>
      </c>
      <c r="C7117" s="27" t="s">
        <v>144</v>
      </c>
      <c r="D7117" s="26"/>
      <c r="E7117" s="27"/>
      <c r="F7117" s="27"/>
      <c r="G7117" s="27" t="s">
        <v>11122</v>
      </c>
      <c r="H7117" s="27" t="s">
        <v>35</v>
      </c>
      <c r="I7117" s="27" t="s">
        <v>1309</v>
      </c>
      <c r="J7117" s="28" t="s">
        <v>772</v>
      </c>
      <c r="K7117" s="27" t="s">
        <v>37</v>
      </c>
      <c r="L7117" s="27"/>
    </row>
    <row r="7118" customFormat="false" ht="15" hidden="false" customHeight="false" outlineLevel="0" collapsed="false">
      <c r="A7118" s="26" t="s">
        <v>19158</v>
      </c>
      <c r="B7118" s="27" t="s">
        <v>19159</v>
      </c>
      <c r="C7118" s="27" t="s">
        <v>144</v>
      </c>
      <c r="D7118" s="26"/>
      <c r="E7118" s="27"/>
      <c r="F7118" s="27"/>
      <c r="G7118" s="27" t="s">
        <v>11122</v>
      </c>
      <c r="H7118" s="27" t="s">
        <v>35</v>
      </c>
      <c r="I7118" s="27" t="s">
        <v>47</v>
      </c>
      <c r="J7118" s="28" t="s">
        <v>772</v>
      </c>
      <c r="K7118" s="27" t="s">
        <v>37</v>
      </c>
      <c r="L7118" s="27"/>
    </row>
    <row r="7119" customFormat="false" ht="15" hidden="false" customHeight="false" outlineLevel="0" collapsed="false">
      <c r="A7119" s="26" t="s">
        <v>19160</v>
      </c>
      <c r="B7119" s="27" t="s">
        <v>19161</v>
      </c>
      <c r="C7119" s="27" t="s">
        <v>144</v>
      </c>
      <c r="D7119" s="26"/>
      <c r="E7119" s="27"/>
      <c r="F7119" s="27"/>
      <c r="G7119" s="27" t="s">
        <v>11122</v>
      </c>
      <c r="H7119" s="27" t="s">
        <v>35</v>
      </c>
      <c r="I7119" s="27" t="s">
        <v>47</v>
      </c>
      <c r="J7119" s="28" t="s">
        <v>772</v>
      </c>
      <c r="K7119" s="27" t="s">
        <v>37</v>
      </c>
      <c r="L7119" s="27"/>
    </row>
    <row r="7120" customFormat="false" ht="15" hidden="false" customHeight="false" outlineLevel="0" collapsed="false">
      <c r="A7120" s="26" t="s">
        <v>19162</v>
      </c>
      <c r="B7120" s="27" t="s">
        <v>19163</v>
      </c>
      <c r="C7120" s="27" t="s">
        <v>1187</v>
      </c>
      <c r="D7120" s="26"/>
      <c r="E7120" s="27"/>
      <c r="F7120" s="27"/>
      <c r="G7120" s="27" t="s">
        <v>11122</v>
      </c>
      <c r="H7120" s="27" t="s">
        <v>35</v>
      </c>
      <c r="I7120" s="27" t="s">
        <v>152</v>
      </c>
      <c r="J7120" s="28" t="s">
        <v>772</v>
      </c>
      <c r="K7120" s="27" t="s">
        <v>37</v>
      </c>
      <c r="L7120" s="27"/>
    </row>
    <row r="7121" customFormat="false" ht="15" hidden="false" customHeight="false" outlineLevel="0" collapsed="false">
      <c r="A7121" s="26" t="s">
        <v>19164</v>
      </c>
      <c r="B7121" s="27" t="s">
        <v>19165</v>
      </c>
      <c r="C7121" s="27" t="s">
        <v>1187</v>
      </c>
      <c r="D7121" s="26"/>
      <c r="E7121" s="27"/>
      <c r="F7121" s="27"/>
      <c r="G7121" s="27" t="s">
        <v>11122</v>
      </c>
      <c r="H7121" s="27" t="s">
        <v>35</v>
      </c>
      <c r="I7121" s="27" t="s">
        <v>37</v>
      </c>
      <c r="J7121" s="28" t="s">
        <v>772</v>
      </c>
      <c r="K7121" s="27" t="s">
        <v>37</v>
      </c>
      <c r="L7121" s="27"/>
    </row>
    <row r="7122" customFormat="false" ht="15" hidden="false" customHeight="false" outlineLevel="0" collapsed="false">
      <c r="A7122" s="26" t="s">
        <v>19166</v>
      </c>
      <c r="B7122" s="27" t="s">
        <v>19167</v>
      </c>
      <c r="C7122" s="27" t="s">
        <v>1612</v>
      </c>
      <c r="D7122" s="26"/>
      <c r="E7122" s="27"/>
      <c r="F7122" s="27"/>
      <c r="G7122" s="27" t="s">
        <v>11122</v>
      </c>
      <c r="H7122" s="27" t="s">
        <v>35</v>
      </c>
      <c r="I7122" s="27" t="s">
        <v>37</v>
      </c>
      <c r="J7122" s="28" t="s">
        <v>772</v>
      </c>
      <c r="K7122" s="27" t="s">
        <v>37</v>
      </c>
      <c r="L7122" s="27"/>
    </row>
    <row r="7123" customFormat="false" ht="15" hidden="false" customHeight="false" outlineLevel="0" collapsed="false">
      <c r="A7123" s="26" t="s">
        <v>19168</v>
      </c>
      <c r="B7123" s="27" t="s">
        <v>19169</v>
      </c>
      <c r="C7123" s="27" t="s">
        <v>144</v>
      </c>
      <c r="D7123" s="26"/>
      <c r="E7123" s="27"/>
      <c r="F7123" s="27"/>
      <c r="G7123" s="27" t="s">
        <v>11122</v>
      </c>
      <c r="H7123" s="27" t="s">
        <v>35</v>
      </c>
      <c r="I7123" s="27" t="s">
        <v>37</v>
      </c>
      <c r="J7123" s="28" t="s">
        <v>772</v>
      </c>
      <c r="K7123" s="27" t="s">
        <v>37</v>
      </c>
      <c r="L7123" s="27"/>
    </row>
    <row r="7124" customFormat="false" ht="15" hidden="false" customHeight="false" outlineLevel="0" collapsed="false">
      <c r="A7124" s="26" t="s">
        <v>19170</v>
      </c>
      <c r="B7124" s="27" t="s">
        <v>19171</v>
      </c>
      <c r="C7124" s="27" t="s">
        <v>144</v>
      </c>
      <c r="D7124" s="26"/>
      <c r="E7124" s="27"/>
      <c r="F7124" s="27"/>
      <c r="G7124" s="27" t="s">
        <v>11122</v>
      </c>
      <c r="H7124" s="27" t="s">
        <v>35</v>
      </c>
      <c r="I7124" s="27" t="s">
        <v>37</v>
      </c>
      <c r="J7124" s="28" t="s">
        <v>772</v>
      </c>
      <c r="K7124" s="27" t="s">
        <v>37</v>
      </c>
      <c r="L7124" s="27"/>
    </row>
    <row r="7125" customFormat="false" ht="15" hidden="false" customHeight="false" outlineLevel="0" collapsed="false">
      <c r="A7125" s="26" t="s">
        <v>19172</v>
      </c>
      <c r="B7125" s="27" t="s">
        <v>19173</v>
      </c>
      <c r="C7125" s="27" t="s">
        <v>144</v>
      </c>
      <c r="D7125" s="26"/>
      <c r="E7125" s="27"/>
      <c r="F7125" s="27"/>
      <c r="G7125" s="27" t="s">
        <v>11122</v>
      </c>
      <c r="H7125" s="27" t="s">
        <v>35</v>
      </c>
      <c r="I7125" s="27" t="s">
        <v>37</v>
      </c>
      <c r="J7125" s="28" t="s">
        <v>772</v>
      </c>
      <c r="K7125" s="27" t="s">
        <v>37</v>
      </c>
      <c r="L7125" s="27"/>
    </row>
    <row r="7126" customFormat="false" ht="15" hidden="false" customHeight="false" outlineLevel="0" collapsed="false">
      <c r="A7126" s="26" t="s">
        <v>19174</v>
      </c>
      <c r="B7126" s="27" t="s">
        <v>19175</v>
      </c>
      <c r="C7126" s="27" t="s">
        <v>144</v>
      </c>
      <c r="D7126" s="26"/>
      <c r="E7126" s="27"/>
      <c r="F7126" s="27"/>
      <c r="G7126" s="27" t="s">
        <v>11122</v>
      </c>
      <c r="H7126" s="27" t="s">
        <v>35</v>
      </c>
      <c r="I7126" s="27" t="s">
        <v>37</v>
      </c>
      <c r="J7126" s="28" t="s">
        <v>772</v>
      </c>
      <c r="K7126" s="27" t="s">
        <v>37</v>
      </c>
      <c r="L7126" s="27"/>
    </row>
    <row r="7127" customFormat="false" ht="15" hidden="false" customHeight="false" outlineLevel="0" collapsed="false">
      <c r="A7127" s="26" t="s">
        <v>19176</v>
      </c>
      <c r="B7127" s="27" t="s">
        <v>19177</v>
      </c>
      <c r="C7127" s="27" t="s">
        <v>1612</v>
      </c>
      <c r="D7127" s="26"/>
      <c r="E7127" s="27"/>
      <c r="F7127" s="27"/>
      <c r="G7127" s="27" t="s">
        <v>11122</v>
      </c>
      <c r="H7127" s="27" t="s">
        <v>35</v>
      </c>
      <c r="I7127" s="27" t="s">
        <v>40</v>
      </c>
      <c r="J7127" s="28" t="s">
        <v>772</v>
      </c>
      <c r="K7127" s="27" t="s">
        <v>37</v>
      </c>
      <c r="L7127" s="27"/>
    </row>
    <row r="7128" customFormat="false" ht="15" hidden="false" customHeight="false" outlineLevel="0" collapsed="false">
      <c r="A7128" s="26" t="s">
        <v>19178</v>
      </c>
      <c r="B7128" s="27" t="s">
        <v>19179</v>
      </c>
      <c r="C7128" s="27" t="s">
        <v>144</v>
      </c>
      <c r="D7128" s="26"/>
      <c r="E7128" s="27"/>
      <c r="F7128" s="27"/>
      <c r="G7128" s="27" t="s">
        <v>11122</v>
      </c>
      <c r="H7128" s="27" t="s">
        <v>35</v>
      </c>
      <c r="I7128" s="27" t="s">
        <v>37</v>
      </c>
      <c r="J7128" s="28" t="s">
        <v>772</v>
      </c>
      <c r="K7128" s="27" t="s">
        <v>37</v>
      </c>
      <c r="L7128" s="27"/>
    </row>
    <row r="7129" customFormat="false" ht="15" hidden="false" customHeight="false" outlineLevel="0" collapsed="false">
      <c r="A7129" s="26" t="s">
        <v>19180</v>
      </c>
      <c r="B7129" s="27" t="s">
        <v>19181</v>
      </c>
      <c r="C7129" s="27" t="s">
        <v>144</v>
      </c>
      <c r="D7129" s="26"/>
      <c r="E7129" s="27"/>
      <c r="F7129" s="27"/>
      <c r="G7129" s="27" t="s">
        <v>11122</v>
      </c>
      <c r="H7129" s="27" t="s">
        <v>35</v>
      </c>
      <c r="I7129" s="27" t="s">
        <v>37</v>
      </c>
      <c r="J7129" s="28" t="s">
        <v>772</v>
      </c>
      <c r="K7129" s="27" t="s">
        <v>37</v>
      </c>
      <c r="L7129" s="27"/>
    </row>
    <row r="7130" customFormat="false" ht="15" hidden="false" customHeight="false" outlineLevel="0" collapsed="false">
      <c r="A7130" s="26" t="s">
        <v>19182</v>
      </c>
      <c r="B7130" s="27" t="s">
        <v>19183</v>
      </c>
      <c r="C7130" s="27" t="s">
        <v>1612</v>
      </c>
      <c r="D7130" s="26"/>
      <c r="E7130" s="27"/>
      <c r="F7130" s="27"/>
      <c r="G7130" s="27" t="s">
        <v>11122</v>
      </c>
      <c r="H7130" s="27" t="s">
        <v>35</v>
      </c>
      <c r="I7130" s="27" t="s">
        <v>37</v>
      </c>
      <c r="J7130" s="28" t="s">
        <v>772</v>
      </c>
      <c r="K7130" s="27" t="s">
        <v>37</v>
      </c>
      <c r="L7130" s="27"/>
    </row>
    <row r="7131" customFormat="false" ht="15" hidden="false" customHeight="false" outlineLevel="0" collapsed="false">
      <c r="A7131" s="26" t="s">
        <v>19184</v>
      </c>
      <c r="B7131" s="27" t="s">
        <v>19185</v>
      </c>
      <c r="C7131" s="27" t="s">
        <v>1612</v>
      </c>
      <c r="D7131" s="26"/>
      <c r="E7131" s="27"/>
      <c r="F7131" s="27"/>
      <c r="G7131" s="27" t="s">
        <v>11122</v>
      </c>
      <c r="H7131" s="27" t="s">
        <v>35</v>
      </c>
      <c r="I7131" s="27" t="s">
        <v>37</v>
      </c>
      <c r="J7131" s="28" t="s">
        <v>772</v>
      </c>
      <c r="K7131" s="27" t="s">
        <v>37</v>
      </c>
      <c r="L7131" s="27"/>
    </row>
    <row r="7132" customFormat="false" ht="15" hidden="false" customHeight="false" outlineLevel="0" collapsed="false">
      <c r="A7132" s="26" t="s">
        <v>19186</v>
      </c>
      <c r="B7132" s="27" t="s">
        <v>19187</v>
      </c>
      <c r="C7132" s="27" t="s">
        <v>1612</v>
      </c>
      <c r="D7132" s="26"/>
      <c r="E7132" s="27"/>
      <c r="F7132" s="27"/>
      <c r="G7132" s="27" t="s">
        <v>11122</v>
      </c>
      <c r="H7132" s="27" t="s">
        <v>35</v>
      </c>
      <c r="I7132" s="27" t="s">
        <v>37</v>
      </c>
      <c r="J7132" s="28" t="s">
        <v>772</v>
      </c>
      <c r="K7132" s="27" t="s">
        <v>37</v>
      </c>
      <c r="L7132" s="27"/>
    </row>
    <row r="7133" customFormat="false" ht="15" hidden="false" customHeight="false" outlineLevel="0" collapsed="false">
      <c r="A7133" s="26" t="s">
        <v>19188</v>
      </c>
      <c r="B7133" s="27" t="s">
        <v>19165</v>
      </c>
      <c r="C7133" s="27" t="s">
        <v>144</v>
      </c>
      <c r="D7133" s="26"/>
      <c r="E7133" s="27"/>
      <c r="F7133" s="27"/>
      <c r="G7133" s="27" t="s">
        <v>11122</v>
      </c>
      <c r="H7133" s="27" t="s">
        <v>35</v>
      </c>
      <c r="I7133" s="27" t="s">
        <v>37</v>
      </c>
      <c r="J7133" s="28" t="s">
        <v>772</v>
      </c>
      <c r="K7133" s="27" t="s">
        <v>37</v>
      </c>
      <c r="L7133" s="27"/>
    </row>
    <row r="7134" customFormat="false" ht="15" hidden="false" customHeight="false" outlineLevel="0" collapsed="false">
      <c r="A7134" s="26" t="s">
        <v>19189</v>
      </c>
      <c r="B7134" s="27" t="s">
        <v>19190</v>
      </c>
      <c r="C7134" s="27" t="s">
        <v>144</v>
      </c>
      <c r="D7134" s="26"/>
      <c r="E7134" s="27"/>
      <c r="F7134" s="27"/>
      <c r="G7134" s="27" t="s">
        <v>11122</v>
      </c>
      <c r="H7134" s="27" t="s">
        <v>35</v>
      </c>
      <c r="I7134" s="27" t="s">
        <v>37</v>
      </c>
      <c r="J7134" s="28" t="s">
        <v>772</v>
      </c>
      <c r="K7134" s="27" t="s">
        <v>37</v>
      </c>
      <c r="L7134" s="27"/>
    </row>
    <row r="7135" customFormat="false" ht="15" hidden="false" customHeight="false" outlineLevel="0" collapsed="false">
      <c r="A7135" s="26" t="s">
        <v>19191</v>
      </c>
      <c r="B7135" s="27" t="s">
        <v>19192</v>
      </c>
      <c r="C7135" s="27" t="s">
        <v>144</v>
      </c>
      <c r="D7135" s="26"/>
      <c r="E7135" s="27"/>
      <c r="F7135" s="27"/>
      <c r="G7135" s="27" t="s">
        <v>11122</v>
      </c>
      <c r="H7135" s="27" t="s">
        <v>35</v>
      </c>
      <c r="I7135" s="27" t="s">
        <v>41</v>
      </c>
      <c r="J7135" s="28" t="s">
        <v>772</v>
      </c>
      <c r="K7135" s="27" t="s">
        <v>37</v>
      </c>
      <c r="L7135" s="27"/>
    </row>
    <row r="7136" customFormat="false" ht="15" hidden="false" customHeight="false" outlineLevel="0" collapsed="false">
      <c r="A7136" s="26" t="s">
        <v>19193</v>
      </c>
      <c r="B7136" s="27" t="s">
        <v>19194</v>
      </c>
      <c r="C7136" s="27" t="s">
        <v>144</v>
      </c>
      <c r="D7136" s="26"/>
      <c r="E7136" s="27"/>
      <c r="F7136" s="27"/>
      <c r="G7136" s="27" t="s">
        <v>11122</v>
      </c>
      <c r="H7136" s="27" t="s">
        <v>35</v>
      </c>
      <c r="I7136" s="27" t="s">
        <v>37</v>
      </c>
      <c r="J7136" s="28" t="s">
        <v>772</v>
      </c>
      <c r="K7136" s="27" t="s">
        <v>37</v>
      </c>
      <c r="L7136" s="27"/>
    </row>
    <row r="7137" customFormat="false" ht="15" hidden="false" customHeight="false" outlineLevel="0" collapsed="false">
      <c r="A7137" s="26" t="s">
        <v>19195</v>
      </c>
      <c r="B7137" s="27" t="s">
        <v>19196</v>
      </c>
      <c r="C7137" s="27" t="s">
        <v>144</v>
      </c>
      <c r="D7137" s="26"/>
      <c r="E7137" s="27"/>
      <c r="F7137" s="27"/>
      <c r="G7137" s="27" t="s">
        <v>11122</v>
      </c>
      <c r="H7137" s="27" t="s">
        <v>35</v>
      </c>
      <c r="I7137" s="27" t="s">
        <v>37</v>
      </c>
      <c r="J7137" s="28" t="s">
        <v>772</v>
      </c>
      <c r="K7137" s="27" t="s">
        <v>37</v>
      </c>
      <c r="L7137" s="27"/>
    </row>
    <row r="7138" customFormat="false" ht="15" hidden="false" customHeight="false" outlineLevel="0" collapsed="false">
      <c r="A7138" s="26" t="s">
        <v>19197</v>
      </c>
      <c r="B7138" s="27" t="s">
        <v>19198</v>
      </c>
      <c r="C7138" s="27" t="s">
        <v>144</v>
      </c>
      <c r="D7138" s="26"/>
      <c r="E7138" s="27"/>
      <c r="F7138" s="27"/>
      <c r="G7138" s="27" t="s">
        <v>11122</v>
      </c>
      <c r="H7138" s="27" t="s">
        <v>35</v>
      </c>
      <c r="I7138" s="27" t="s">
        <v>43</v>
      </c>
      <c r="J7138" s="28" t="s">
        <v>772</v>
      </c>
      <c r="K7138" s="27" t="s">
        <v>37</v>
      </c>
      <c r="L7138" s="27"/>
    </row>
    <row r="7139" customFormat="false" ht="15" hidden="false" customHeight="false" outlineLevel="0" collapsed="false">
      <c r="A7139" s="26" t="s">
        <v>19199</v>
      </c>
      <c r="B7139" s="27" t="s">
        <v>19200</v>
      </c>
      <c r="C7139" s="27" t="s">
        <v>144</v>
      </c>
      <c r="D7139" s="26"/>
      <c r="E7139" s="27"/>
      <c r="F7139" s="27"/>
      <c r="G7139" s="27" t="s">
        <v>11122</v>
      </c>
      <c r="H7139" s="27" t="s">
        <v>35</v>
      </c>
      <c r="I7139" s="27" t="s">
        <v>41</v>
      </c>
      <c r="J7139" s="28" t="s">
        <v>772</v>
      </c>
      <c r="K7139" s="27" t="s">
        <v>37</v>
      </c>
      <c r="L7139" s="27"/>
    </row>
    <row r="7140" customFormat="false" ht="15" hidden="false" customHeight="false" outlineLevel="0" collapsed="false">
      <c r="A7140" s="26" t="s">
        <v>19201</v>
      </c>
      <c r="B7140" s="27" t="s">
        <v>19202</v>
      </c>
      <c r="C7140" s="27" t="s">
        <v>144</v>
      </c>
      <c r="D7140" s="26"/>
      <c r="E7140" s="27"/>
      <c r="F7140" s="27"/>
      <c r="G7140" s="27" t="s">
        <v>11122</v>
      </c>
      <c r="H7140" s="27" t="s">
        <v>35</v>
      </c>
      <c r="I7140" s="27" t="s">
        <v>37</v>
      </c>
      <c r="J7140" s="28" t="s">
        <v>772</v>
      </c>
      <c r="K7140" s="27" t="s">
        <v>37</v>
      </c>
      <c r="L7140" s="27"/>
    </row>
    <row r="7141" customFormat="false" ht="15" hidden="false" customHeight="false" outlineLevel="0" collapsed="false">
      <c r="A7141" s="26" t="s">
        <v>19203</v>
      </c>
      <c r="B7141" s="27" t="s">
        <v>19204</v>
      </c>
      <c r="C7141" s="27" t="s">
        <v>144</v>
      </c>
      <c r="D7141" s="26"/>
      <c r="E7141" s="27"/>
      <c r="F7141" s="27"/>
      <c r="G7141" s="27" t="s">
        <v>11122</v>
      </c>
      <c r="H7141" s="27" t="s">
        <v>35</v>
      </c>
      <c r="I7141" s="27" t="s">
        <v>37</v>
      </c>
      <c r="J7141" s="28" t="s">
        <v>772</v>
      </c>
      <c r="K7141" s="27" t="s">
        <v>37</v>
      </c>
      <c r="L7141" s="27"/>
    </row>
    <row r="7142" customFormat="false" ht="15" hidden="false" customHeight="false" outlineLevel="0" collapsed="false">
      <c r="A7142" s="26" t="s">
        <v>19205</v>
      </c>
      <c r="B7142" s="27" t="s">
        <v>19206</v>
      </c>
      <c r="C7142" s="27" t="s">
        <v>144</v>
      </c>
      <c r="D7142" s="26"/>
      <c r="E7142" s="27"/>
      <c r="F7142" s="27"/>
      <c r="G7142" s="27" t="s">
        <v>11122</v>
      </c>
      <c r="H7142" s="27" t="s">
        <v>35</v>
      </c>
      <c r="I7142" s="27" t="s">
        <v>43</v>
      </c>
      <c r="J7142" s="28" t="s">
        <v>772</v>
      </c>
      <c r="K7142" s="27" t="s">
        <v>37</v>
      </c>
      <c r="L7142" s="27"/>
    </row>
    <row r="7143" customFormat="false" ht="15" hidden="false" customHeight="false" outlineLevel="0" collapsed="false">
      <c r="A7143" s="26" t="s">
        <v>19207</v>
      </c>
      <c r="B7143" s="27" t="s">
        <v>19208</v>
      </c>
      <c r="C7143" s="27" t="s">
        <v>144</v>
      </c>
      <c r="D7143" s="26"/>
      <c r="E7143" s="27"/>
      <c r="F7143" s="27"/>
      <c r="G7143" s="27" t="s">
        <v>11122</v>
      </c>
      <c r="H7143" s="27" t="s">
        <v>35</v>
      </c>
      <c r="I7143" s="27" t="s">
        <v>37</v>
      </c>
      <c r="J7143" s="28" t="s">
        <v>772</v>
      </c>
      <c r="K7143" s="27" t="s">
        <v>37</v>
      </c>
      <c r="L7143" s="27"/>
    </row>
    <row r="7144" customFormat="false" ht="15" hidden="false" customHeight="false" outlineLevel="0" collapsed="false">
      <c r="A7144" s="26" t="s">
        <v>19209</v>
      </c>
      <c r="B7144" s="27" t="s">
        <v>19210</v>
      </c>
      <c r="C7144" s="27" t="s">
        <v>144</v>
      </c>
      <c r="D7144" s="26"/>
      <c r="E7144" s="27"/>
      <c r="F7144" s="27"/>
      <c r="G7144" s="27" t="s">
        <v>11122</v>
      </c>
      <c r="H7144" s="27" t="s">
        <v>35</v>
      </c>
      <c r="I7144" s="27" t="s">
        <v>37</v>
      </c>
      <c r="J7144" s="28" t="s">
        <v>772</v>
      </c>
      <c r="K7144" s="27" t="s">
        <v>37</v>
      </c>
      <c r="L7144" s="27"/>
    </row>
    <row r="7145" customFormat="false" ht="15" hidden="false" customHeight="false" outlineLevel="0" collapsed="false">
      <c r="A7145" s="26" t="s">
        <v>19211</v>
      </c>
      <c r="B7145" s="27" t="s">
        <v>19212</v>
      </c>
      <c r="C7145" s="27" t="s">
        <v>144</v>
      </c>
      <c r="D7145" s="26"/>
      <c r="E7145" s="27"/>
      <c r="F7145" s="27"/>
      <c r="G7145" s="27" t="s">
        <v>11122</v>
      </c>
      <c r="H7145" s="27" t="s">
        <v>35</v>
      </c>
      <c r="I7145" s="27" t="s">
        <v>37</v>
      </c>
      <c r="J7145" s="28" t="s">
        <v>772</v>
      </c>
      <c r="K7145" s="27" t="s">
        <v>37</v>
      </c>
      <c r="L7145" s="27"/>
    </row>
    <row r="7146" customFormat="false" ht="15" hidden="false" customHeight="false" outlineLevel="0" collapsed="false">
      <c r="A7146" s="26" t="s">
        <v>19213</v>
      </c>
      <c r="B7146" s="27" t="s">
        <v>19214</v>
      </c>
      <c r="C7146" s="27" t="s">
        <v>144</v>
      </c>
      <c r="D7146" s="26"/>
      <c r="E7146" s="27"/>
      <c r="F7146" s="27"/>
      <c r="G7146" s="27" t="s">
        <v>11122</v>
      </c>
      <c r="H7146" s="27" t="s">
        <v>35</v>
      </c>
      <c r="I7146" s="27" t="s">
        <v>37</v>
      </c>
      <c r="J7146" s="28" t="s">
        <v>772</v>
      </c>
      <c r="K7146" s="27" t="s">
        <v>37</v>
      </c>
      <c r="L7146" s="27"/>
    </row>
    <row r="7147" customFormat="false" ht="15" hidden="false" customHeight="false" outlineLevel="0" collapsed="false">
      <c r="A7147" s="26" t="s">
        <v>19215</v>
      </c>
      <c r="B7147" s="27" t="s">
        <v>19216</v>
      </c>
      <c r="C7147" s="27" t="s">
        <v>1612</v>
      </c>
      <c r="D7147" s="26"/>
      <c r="E7147" s="27"/>
      <c r="F7147" s="27"/>
      <c r="G7147" s="27" t="s">
        <v>11122</v>
      </c>
      <c r="H7147" s="27" t="s">
        <v>35</v>
      </c>
      <c r="I7147" s="27" t="s">
        <v>37</v>
      </c>
      <c r="J7147" s="28" t="s">
        <v>772</v>
      </c>
      <c r="K7147" s="27" t="s">
        <v>37</v>
      </c>
      <c r="L7147" s="27"/>
    </row>
    <row r="7148" customFormat="false" ht="15" hidden="false" customHeight="false" outlineLevel="0" collapsed="false">
      <c r="A7148" s="26" t="s">
        <v>19217</v>
      </c>
      <c r="B7148" s="27" t="s">
        <v>19218</v>
      </c>
      <c r="C7148" s="27" t="s">
        <v>144</v>
      </c>
      <c r="D7148" s="26"/>
      <c r="E7148" s="27"/>
      <c r="F7148" s="27"/>
      <c r="G7148" s="27" t="s">
        <v>11122</v>
      </c>
      <c r="H7148" s="27" t="s">
        <v>35</v>
      </c>
      <c r="I7148" s="27" t="s">
        <v>37</v>
      </c>
      <c r="J7148" s="28" t="s">
        <v>772</v>
      </c>
      <c r="K7148" s="27" t="s">
        <v>37</v>
      </c>
      <c r="L7148" s="27"/>
    </row>
    <row r="7149" customFormat="false" ht="15" hidden="false" customHeight="false" outlineLevel="0" collapsed="false">
      <c r="A7149" s="26" t="s">
        <v>19219</v>
      </c>
      <c r="B7149" s="27" t="s">
        <v>19220</v>
      </c>
      <c r="C7149" s="27" t="s">
        <v>1612</v>
      </c>
      <c r="D7149" s="26"/>
      <c r="E7149" s="27"/>
      <c r="F7149" s="27"/>
      <c r="G7149" s="27" t="s">
        <v>11122</v>
      </c>
      <c r="H7149" s="27" t="s">
        <v>35</v>
      </c>
      <c r="I7149" s="27" t="s">
        <v>37</v>
      </c>
      <c r="J7149" s="28" t="s">
        <v>772</v>
      </c>
      <c r="K7149" s="27" t="s">
        <v>37</v>
      </c>
      <c r="L7149" s="27"/>
    </row>
    <row r="7150" customFormat="false" ht="15" hidden="false" customHeight="false" outlineLevel="0" collapsed="false">
      <c r="A7150" s="26" t="s">
        <v>19221</v>
      </c>
      <c r="B7150" s="27" t="s">
        <v>19222</v>
      </c>
      <c r="C7150" s="27" t="s">
        <v>144</v>
      </c>
      <c r="D7150" s="26"/>
      <c r="E7150" s="27"/>
      <c r="F7150" s="27"/>
      <c r="G7150" s="27" t="s">
        <v>11122</v>
      </c>
      <c r="H7150" s="27" t="s">
        <v>35</v>
      </c>
      <c r="I7150" s="27" t="s">
        <v>37</v>
      </c>
      <c r="J7150" s="28" t="s">
        <v>772</v>
      </c>
      <c r="K7150" s="27" t="s">
        <v>37</v>
      </c>
      <c r="L7150" s="27"/>
    </row>
    <row r="7151" customFormat="false" ht="15" hidden="false" customHeight="false" outlineLevel="0" collapsed="false">
      <c r="A7151" s="26" t="s">
        <v>19223</v>
      </c>
      <c r="B7151" s="27" t="s">
        <v>19224</v>
      </c>
      <c r="C7151" s="27" t="s">
        <v>144</v>
      </c>
      <c r="D7151" s="26"/>
      <c r="E7151" s="27"/>
      <c r="F7151" s="27"/>
      <c r="G7151" s="27" t="s">
        <v>11122</v>
      </c>
      <c r="H7151" s="27" t="s">
        <v>35</v>
      </c>
      <c r="I7151" s="27" t="s">
        <v>37</v>
      </c>
      <c r="J7151" s="28" t="s">
        <v>772</v>
      </c>
      <c r="K7151" s="27" t="s">
        <v>37</v>
      </c>
      <c r="L7151" s="27"/>
    </row>
    <row r="7152" customFormat="false" ht="15" hidden="false" customHeight="false" outlineLevel="0" collapsed="false">
      <c r="A7152" s="26" t="s">
        <v>19225</v>
      </c>
      <c r="B7152" s="27" t="s">
        <v>19226</v>
      </c>
      <c r="C7152" s="27" t="s">
        <v>144</v>
      </c>
      <c r="D7152" s="26"/>
      <c r="E7152" s="27"/>
      <c r="F7152" s="27"/>
      <c r="G7152" s="27" t="s">
        <v>11122</v>
      </c>
      <c r="H7152" s="27" t="s">
        <v>35</v>
      </c>
      <c r="I7152" s="27" t="s">
        <v>37</v>
      </c>
      <c r="J7152" s="28" t="s">
        <v>772</v>
      </c>
      <c r="K7152" s="27" t="s">
        <v>37</v>
      </c>
      <c r="L7152" s="27"/>
    </row>
    <row r="7153" customFormat="false" ht="15" hidden="false" customHeight="false" outlineLevel="0" collapsed="false">
      <c r="A7153" s="26" t="s">
        <v>19227</v>
      </c>
      <c r="B7153" s="27" t="s">
        <v>19228</v>
      </c>
      <c r="C7153" s="27" t="s">
        <v>144</v>
      </c>
      <c r="D7153" s="26"/>
      <c r="E7153" s="27"/>
      <c r="F7153" s="27"/>
      <c r="G7153" s="27" t="s">
        <v>11122</v>
      </c>
      <c r="H7153" s="27" t="s">
        <v>35</v>
      </c>
      <c r="I7153" s="27" t="s">
        <v>152</v>
      </c>
      <c r="J7153" s="28" t="s">
        <v>772</v>
      </c>
      <c r="K7153" s="27" t="s">
        <v>37</v>
      </c>
      <c r="L7153" s="27"/>
    </row>
    <row r="7154" customFormat="false" ht="15" hidden="false" customHeight="false" outlineLevel="0" collapsed="false">
      <c r="A7154" s="26" t="s">
        <v>19229</v>
      </c>
      <c r="B7154" s="27" t="s">
        <v>19230</v>
      </c>
      <c r="C7154" s="27" t="s">
        <v>144</v>
      </c>
      <c r="D7154" s="26"/>
      <c r="E7154" s="27"/>
      <c r="F7154" s="27"/>
      <c r="G7154" s="27" t="s">
        <v>11122</v>
      </c>
      <c r="H7154" s="27" t="s">
        <v>35</v>
      </c>
      <c r="I7154" s="27" t="s">
        <v>37</v>
      </c>
      <c r="J7154" s="28" t="s">
        <v>772</v>
      </c>
      <c r="K7154" s="27" t="s">
        <v>37</v>
      </c>
      <c r="L7154" s="27"/>
    </row>
    <row r="7155" customFormat="false" ht="15" hidden="false" customHeight="false" outlineLevel="0" collapsed="false">
      <c r="A7155" s="26" t="s">
        <v>19231</v>
      </c>
      <c r="B7155" s="27" t="s">
        <v>19232</v>
      </c>
      <c r="C7155" s="27" t="s">
        <v>144</v>
      </c>
      <c r="D7155" s="26"/>
      <c r="E7155" s="27"/>
      <c r="F7155" s="27"/>
      <c r="G7155" s="27" t="s">
        <v>11122</v>
      </c>
      <c r="H7155" s="27" t="s">
        <v>35</v>
      </c>
      <c r="I7155" s="27" t="s">
        <v>37</v>
      </c>
      <c r="J7155" s="28" t="s">
        <v>772</v>
      </c>
      <c r="K7155" s="27" t="s">
        <v>37</v>
      </c>
      <c r="L7155" s="27"/>
    </row>
    <row r="7156" customFormat="false" ht="15" hidden="false" customHeight="false" outlineLevel="0" collapsed="false">
      <c r="A7156" s="26" t="s">
        <v>19233</v>
      </c>
      <c r="B7156" s="27" t="s">
        <v>19234</v>
      </c>
      <c r="C7156" s="27" t="s">
        <v>144</v>
      </c>
      <c r="D7156" s="26"/>
      <c r="E7156" s="27"/>
      <c r="F7156" s="27"/>
      <c r="G7156" s="27" t="s">
        <v>11122</v>
      </c>
      <c r="H7156" s="27" t="s">
        <v>35</v>
      </c>
      <c r="I7156" s="27" t="s">
        <v>37</v>
      </c>
      <c r="J7156" s="28" t="s">
        <v>772</v>
      </c>
      <c r="K7156" s="27" t="s">
        <v>37</v>
      </c>
      <c r="L7156" s="27"/>
    </row>
    <row r="7157" customFormat="false" ht="15" hidden="false" customHeight="false" outlineLevel="0" collapsed="false">
      <c r="A7157" s="26" t="s">
        <v>19235</v>
      </c>
      <c r="B7157" s="27" t="s">
        <v>19236</v>
      </c>
      <c r="C7157" s="27" t="s">
        <v>144</v>
      </c>
      <c r="D7157" s="26"/>
      <c r="E7157" s="27"/>
      <c r="F7157" s="27"/>
      <c r="G7157" s="27" t="s">
        <v>11122</v>
      </c>
      <c r="H7157" s="27" t="s">
        <v>35</v>
      </c>
      <c r="I7157" s="27" t="s">
        <v>37</v>
      </c>
      <c r="J7157" s="28" t="s">
        <v>772</v>
      </c>
      <c r="K7157" s="27" t="s">
        <v>37</v>
      </c>
      <c r="L7157" s="27"/>
    </row>
    <row r="7158" customFormat="false" ht="15" hidden="false" customHeight="false" outlineLevel="0" collapsed="false">
      <c r="A7158" s="26" t="s">
        <v>19237</v>
      </c>
      <c r="B7158" s="27" t="s">
        <v>19238</v>
      </c>
      <c r="C7158" s="27" t="s">
        <v>144</v>
      </c>
      <c r="D7158" s="26"/>
      <c r="E7158" s="27"/>
      <c r="F7158" s="27"/>
      <c r="G7158" s="27" t="s">
        <v>11122</v>
      </c>
      <c r="H7158" s="27" t="s">
        <v>35</v>
      </c>
      <c r="I7158" s="27" t="s">
        <v>43</v>
      </c>
      <c r="J7158" s="28" t="s">
        <v>772</v>
      </c>
      <c r="K7158" s="27" t="s">
        <v>37</v>
      </c>
      <c r="L7158" s="27"/>
    </row>
    <row r="7159" customFormat="false" ht="15" hidden="false" customHeight="false" outlineLevel="0" collapsed="false">
      <c r="A7159" s="26" t="s">
        <v>19239</v>
      </c>
      <c r="B7159" s="27" t="s">
        <v>19240</v>
      </c>
      <c r="C7159" s="27" t="s">
        <v>144</v>
      </c>
      <c r="D7159" s="26"/>
      <c r="E7159" s="27"/>
      <c r="F7159" s="27"/>
      <c r="G7159" s="27" t="s">
        <v>11122</v>
      </c>
      <c r="H7159" s="27" t="s">
        <v>35</v>
      </c>
      <c r="I7159" s="27" t="s">
        <v>37</v>
      </c>
      <c r="J7159" s="28" t="s">
        <v>772</v>
      </c>
      <c r="K7159" s="27" t="s">
        <v>37</v>
      </c>
      <c r="L7159" s="27"/>
    </row>
    <row r="7160" customFormat="false" ht="15" hidden="false" customHeight="false" outlineLevel="0" collapsed="false">
      <c r="A7160" s="26" t="s">
        <v>19241</v>
      </c>
      <c r="B7160" s="27" t="s">
        <v>19242</v>
      </c>
      <c r="C7160" s="27" t="s">
        <v>144</v>
      </c>
      <c r="D7160" s="26"/>
      <c r="E7160" s="27"/>
      <c r="F7160" s="27"/>
      <c r="G7160" s="27" t="s">
        <v>11122</v>
      </c>
      <c r="H7160" s="27" t="s">
        <v>35</v>
      </c>
      <c r="I7160" s="27" t="s">
        <v>37</v>
      </c>
      <c r="J7160" s="28" t="s">
        <v>772</v>
      </c>
      <c r="K7160" s="27" t="s">
        <v>37</v>
      </c>
      <c r="L7160" s="27"/>
    </row>
    <row r="7161" customFormat="false" ht="15" hidden="false" customHeight="false" outlineLevel="0" collapsed="false">
      <c r="A7161" s="26" t="s">
        <v>19243</v>
      </c>
      <c r="B7161" s="27" t="s">
        <v>19244</v>
      </c>
      <c r="C7161" s="27" t="s">
        <v>144</v>
      </c>
      <c r="D7161" s="26"/>
      <c r="E7161" s="27"/>
      <c r="F7161" s="27"/>
      <c r="G7161" s="27" t="s">
        <v>11122</v>
      </c>
      <c r="H7161" s="27" t="s">
        <v>35</v>
      </c>
      <c r="I7161" s="27" t="s">
        <v>37</v>
      </c>
      <c r="J7161" s="28" t="s">
        <v>772</v>
      </c>
      <c r="K7161" s="27" t="s">
        <v>37</v>
      </c>
      <c r="L7161" s="27"/>
    </row>
    <row r="7162" customFormat="false" ht="15" hidden="false" customHeight="false" outlineLevel="0" collapsed="false">
      <c r="A7162" s="26" t="s">
        <v>19245</v>
      </c>
      <c r="B7162" s="27" t="s">
        <v>19246</v>
      </c>
      <c r="C7162" s="27" t="s">
        <v>144</v>
      </c>
      <c r="D7162" s="26"/>
      <c r="E7162" s="27"/>
      <c r="F7162" s="27"/>
      <c r="G7162" s="27" t="s">
        <v>11122</v>
      </c>
      <c r="H7162" s="27" t="s">
        <v>35</v>
      </c>
      <c r="I7162" s="27" t="s">
        <v>37</v>
      </c>
      <c r="J7162" s="28" t="s">
        <v>772</v>
      </c>
      <c r="K7162" s="27" t="s">
        <v>37</v>
      </c>
      <c r="L7162" s="27"/>
    </row>
    <row r="7163" customFormat="false" ht="15" hidden="false" customHeight="false" outlineLevel="0" collapsed="false">
      <c r="A7163" s="26" t="s">
        <v>19247</v>
      </c>
      <c r="B7163" s="27" t="s">
        <v>19248</v>
      </c>
      <c r="C7163" s="27" t="s">
        <v>144</v>
      </c>
      <c r="D7163" s="26"/>
      <c r="E7163" s="27"/>
      <c r="F7163" s="27"/>
      <c r="G7163" s="27" t="s">
        <v>11122</v>
      </c>
      <c r="H7163" s="27" t="s">
        <v>35</v>
      </c>
      <c r="I7163" s="27" t="s">
        <v>39</v>
      </c>
      <c r="J7163" s="28" t="s">
        <v>772</v>
      </c>
      <c r="K7163" s="27" t="s">
        <v>37</v>
      </c>
      <c r="L7163" s="27"/>
    </row>
    <row r="7164" customFormat="false" ht="15" hidden="false" customHeight="false" outlineLevel="0" collapsed="false">
      <c r="A7164" s="26" t="s">
        <v>19249</v>
      </c>
      <c r="B7164" s="27" t="s">
        <v>19250</v>
      </c>
      <c r="C7164" s="27" t="s">
        <v>1612</v>
      </c>
      <c r="D7164" s="26"/>
      <c r="E7164" s="27"/>
      <c r="F7164" s="27"/>
      <c r="G7164" s="27" t="s">
        <v>11122</v>
      </c>
      <c r="H7164" s="27" t="s">
        <v>35</v>
      </c>
      <c r="I7164" s="27" t="s">
        <v>37</v>
      </c>
      <c r="J7164" s="28" t="s">
        <v>772</v>
      </c>
      <c r="K7164" s="27" t="s">
        <v>37</v>
      </c>
      <c r="L7164" s="27"/>
    </row>
    <row r="7165" customFormat="false" ht="15" hidden="false" customHeight="false" outlineLevel="0" collapsed="false">
      <c r="A7165" s="26" t="s">
        <v>19251</v>
      </c>
      <c r="B7165" s="27" t="s">
        <v>19252</v>
      </c>
      <c r="C7165" s="27" t="s">
        <v>144</v>
      </c>
      <c r="D7165" s="26"/>
      <c r="E7165" s="27"/>
      <c r="F7165" s="27"/>
      <c r="G7165" s="27" t="s">
        <v>11122</v>
      </c>
      <c r="H7165" s="27" t="s">
        <v>35</v>
      </c>
      <c r="I7165" s="27" t="s">
        <v>37</v>
      </c>
      <c r="J7165" s="28" t="s">
        <v>772</v>
      </c>
      <c r="K7165" s="27" t="s">
        <v>37</v>
      </c>
      <c r="L7165" s="27"/>
    </row>
    <row r="7166" customFormat="false" ht="15" hidden="false" customHeight="false" outlineLevel="0" collapsed="false">
      <c r="A7166" s="26" t="s">
        <v>19253</v>
      </c>
      <c r="B7166" s="27" t="s">
        <v>19254</v>
      </c>
      <c r="C7166" s="27" t="s">
        <v>144</v>
      </c>
      <c r="D7166" s="26"/>
      <c r="E7166" s="27"/>
      <c r="F7166" s="27"/>
      <c r="G7166" s="27" t="s">
        <v>11122</v>
      </c>
      <c r="H7166" s="27" t="s">
        <v>35</v>
      </c>
      <c r="I7166" s="27" t="s">
        <v>37</v>
      </c>
      <c r="J7166" s="28" t="s">
        <v>772</v>
      </c>
      <c r="K7166" s="27" t="s">
        <v>37</v>
      </c>
      <c r="L7166" s="27"/>
    </row>
    <row r="7167" customFormat="false" ht="15" hidden="false" customHeight="false" outlineLevel="0" collapsed="false">
      <c r="A7167" s="26" t="s">
        <v>19255</v>
      </c>
      <c r="B7167" s="27" t="s">
        <v>19256</v>
      </c>
      <c r="C7167" s="27" t="s">
        <v>144</v>
      </c>
      <c r="D7167" s="26"/>
      <c r="E7167" s="27"/>
      <c r="F7167" s="27"/>
      <c r="G7167" s="27" t="s">
        <v>11122</v>
      </c>
      <c r="H7167" s="27" t="s">
        <v>35</v>
      </c>
      <c r="I7167" s="27" t="s">
        <v>37</v>
      </c>
      <c r="J7167" s="28" t="s">
        <v>772</v>
      </c>
      <c r="K7167" s="27" t="s">
        <v>37</v>
      </c>
      <c r="L7167" s="27"/>
    </row>
    <row r="7168" customFormat="false" ht="15" hidden="false" customHeight="false" outlineLevel="0" collapsed="false">
      <c r="A7168" s="26" t="s">
        <v>19257</v>
      </c>
      <c r="B7168" s="27" t="s">
        <v>19258</v>
      </c>
      <c r="C7168" s="27" t="s">
        <v>144</v>
      </c>
      <c r="D7168" s="26"/>
      <c r="E7168" s="27"/>
      <c r="F7168" s="27"/>
      <c r="G7168" s="27" t="s">
        <v>11122</v>
      </c>
      <c r="H7168" s="27" t="s">
        <v>35</v>
      </c>
      <c r="I7168" s="27" t="s">
        <v>37</v>
      </c>
      <c r="J7168" s="28" t="s">
        <v>772</v>
      </c>
      <c r="K7168" s="27" t="s">
        <v>37</v>
      </c>
      <c r="L7168" s="27"/>
    </row>
    <row r="7169" customFormat="false" ht="15" hidden="false" customHeight="false" outlineLevel="0" collapsed="false">
      <c r="A7169" s="26" t="s">
        <v>19259</v>
      </c>
      <c r="B7169" s="27" t="s">
        <v>19260</v>
      </c>
      <c r="C7169" s="27" t="s">
        <v>144</v>
      </c>
      <c r="D7169" s="26"/>
      <c r="E7169" s="27"/>
      <c r="F7169" s="27"/>
      <c r="G7169" s="27" t="s">
        <v>11122</v>
      </c>
      <c r="H7169" s="27" t="s">
        <v>35</v>
      </c>
      <c r="I7169" s="27" t="s">
        <v>37</v>
      </c>
      <c r="J7169" s="28" t="s">
        <v>772</v>
      </c>
      <c r="K7169" s="27" t="s">
        <v>37</v>
      </c>
      <c r="L7169" s="27"/>
    </row>
    <row r="7170" customFormat="false" ht="15" hidden="false" customHeight="false" outlineLevel="0" collapsed="false">
      <c r="A7170" s="26" t="s">
        <v>19261</v>
      </c>
      <c r="B7170" s="27" t="s">
        <v>19262</v>
      </c>
      <c r="C7170" s="27" t="s">
        <v>144</v>
      </c>
      <c r="D7170" s="26"/>
      <c r="E7170" s="27"/>
      <c r="F7170" s="27"/>
      <c r="G7170" s="27" t="s">
        <v>11122</v>
      </c>
      <c r="H7170" s="27" t="s">
        <v>35</v>
      </c>
      <c r="I7170" s="27" t="s">
        <v>38</v>
      </c>
      <c r="J7170" s="28" t="s">
        <v>772</v>
      </c>
      <c r="K7170" s="27" t="s">
        <v>37</v>
      </c>
      <c r="L7170" s="27"/>
    </row>
    <row r="7171" customFormat="false" ht="15" hidden="false" customHeight="false" outlineLevel="0" collapsed="false">
      <c r="A7171" s="26" t="s">
        <v>19263</v>
      </c>
      <c r="B7171" s="27" t="s">
        <v>19264</v>
      </c>
      <c r="C7171" s="27" t="s">
        <v>144</v>
      </c>
      <c r="D7171" s="26"/>
      <c r="E7171" s="27"/>
      <c r="F7171" s="27"/>
      <c r="G7171" s="27" t="s">
        <v>11122</v>
      </c>
      <c r="H7171" s="27" t="s">
        <v>35</v>
      </c>
      <c r="I7171" s="27" t="s">
        <v>37</v>
      </c>
      <c r="J7171" s="28" t="s">
        <v>772</v>
      </c>
      <c r="K7171" s="27" t="s">
        <v>37</v>
      </c>
      <c r="L7171" s="27"/>
    </row>
    <row r="7172" customFormat="false" ht="15" hidden="false" customHeight="false" outlineLevel="0" collapsed="false">
      <c r="A7172" s="26" t="s">
        <v>19265</v>
      </c>
      <c r="B7172" s="27" t="s">
        <v>19266</v>
      </c>
      <c r="C7172" s="27" t="s">
        <v>144</v>
      </c>
      <c r="D7172" s="26"/>
      <c r="E7172" s="27"/>
      <c r="F7172" s="27"/>
      <c r="G7172" s="27" t="s">
        <v>11122</v>
      </c>
      <c r="H7172" s="27" t="s">
        <v>35</v>
      </c>
      <c r="I7172" s="27" t="s">
        <v>37</v>
      </c>
      <c r="J7172" s="28" t="s">
        <v>772</v>
      </c>
      <c r="K7172" s="27" t="s">
        <v>37</v>
      </c>
      <c r="L7172" s="27"/>
    </row>
    <row r="7173" customFormat="false" ht="15" hidden="false" customHeight="false" outlineLevel="0" collapsed="false">
      <c r="A7173" s="26" t="s">
        <v>19267</v>
      </c>
      <c r="B7173" s="27" t="s">
        <v>19268</v>
      </c>
      <c r="C7173" s="27" t="s">
        <v>144</v>
      </c>
      <c r="D7173" s="26"/>
      <c r="E7173" s="27"/>
      <c r="F7173" s="27"/>
      <c r="G7173" s="27" t="s">
        <v>11122</v>
      </c>
      <c r="H7173" s="27" t="s">
        <v>35</v>
      </c>
      <c r="I7173" s="27" t="s">
        <v>37</v>
      </c>
      <c r="J7173" s="28" t="s">
        <v>772</v>
      </c>
      <c r="K7173" s="27" t="s">
        <v>37</v>
      </c>
      <c r="L7173" s="27"/>
    </row>
    <row r="7174" customFormat="false" ht="15" hidden="false" customHeight="false" outlineLevel="0" collapsed="false">
      <c r="A7174" s="26" t="s">
        <v>19269</v>
      </c>
      <c r="B7174" s="27" t="s">
        <v>19270</v>
      </c>
      <c r="C7174" s="27" t="s">
        <v>144</v>
      </c>
      <c r="D7174" s="26"/>
      <c r="E7174" s="27"/>
      <c r="F7174" s="27"/>
      <c r="G7174" s="27" t="s">
        <v>11122</v>
      </c>
      <c r="H7174" s="27" t="s">
        <v>35</v>
      </c>
      <c r="I7174" s="27" t="s">
        <v>37</v>
      </c>
      <c r="J7174" s="28" t="s">
        <v>772</v>
      </c>
      <c r="K7174" s="27" t="s">
        <v>37</v>
      </c>
      <c r="L7174" s="27"/>
    </row>
    <row r="7175" customFormat="false" ht="15" hidden="false" customHeight="false" outlineLevel="0" collapsed="false">
      <c r="A7175" s="26" t="s">
        <v>19271</v>
      </c>
      <c r="B7175" s="27" t="s">
        <v>19272</v>
      </c>
      <c r="C7175" s="27" t="s">
        <v>144</v>
      </c>
      <c r="D7175" s="26"/>
      <c r="E7175" s="27"/>
      <c r="F7175" s="27"/>
      <c r="G7175" s="27" t="s">
        <v>11122</v>
      </c>
      <c r="H7175" s="27" t="s">
        <v>35</v>
      </c>
      <c r="I7175" s="27" t="s">
        <v>37</v>
      </c>
      <c r="J7175" s="28" t="s">
        <v>772</v>
      </c>
      <c r="K7175" s="27" t="s">
        <v>37</v>
      </c>
      <c r="L7175" s="27"/>
    </row>
    <row r="7176" customFormat="false" ht="15" hidden="false" customHeight="false" outlineLevel="0" collapsed="false">
      <c r="A7176" s="26" t="s">
        <v>19273</v>
      </c>
      <c r="B7176" s="27" t="s">
        <v>19274</v>
      </c>
      <c r="C7176" s="27" t="s">
        <v>144</v>
      </c>
      <c r="D7176" s="26"/>
      <c r="E7176" s="27"/>
      <c r="F7176" s="27"/>
      <c r="G7176" s="27" t="s">
        <v>11122</v>
      </c>
      <c r="H7176" s="27" t="s">
        <v>35</v>
      </c>
      <c r="I7176" s="27" t="s">
        <v>152</v>
      </c>
      <c r="J7176" s="28" t="s">
        <v>772</v>
      </c>
      <c r="K7176" s="27" t="s">
        <v>37</v>
      </c>
      <c r="L7176" s="27"/>
    </row>
    <row r="7177" customFormat="false" ht="15" hidden="false" customHeight="false" outlineLevel="0" collapsed="false">
      <c r="A7177" s="26" t="s">
        <v>19275</v>
      </c>
      <c r="B7177" s="27" t="s">
        <v>19276</v>
      </c>
      <c r="C7177" s="27" t="s">
        <v>144</v>
      </c>
      <c r="D7177" s="26"/>
      <c r="E7177" s="27"/>
      <c r="F7177" s="27"/>
      <c r="G7177" s="27" t="s">
        <v>11122</v>
      </c>
      <c r="H7177" s="27" t="s">
        <v>35</v>
      </c>
      <c r="I7177" s="27" t="s">
        <v>37</v>
      </c>
      <c r="J7177" s="28" t="s">
        <v>772</v>
      </c>
      <c r="K7177" s="27" t="s">
        <v>37</v>
      </c>
      <c r="L7177" s="27"/>
    </row>
    <row r="7178" customFormat="false" ht="15" hidden="false" customHeight="false" outlineLevel="0" collapsed="false">
      <c r="A7178" s="26" t="s">
        <v>19277</v>
      </c>
      <c r="B7178" s="27" t="s">
        <v>19278</v>
      </c>
      <c r="C7178" s="27" t="s">
        <v>144</v>
      </c>
      <c r="D7178" s="26"/>
      <c r="E7178" s="27"/>
      <c r="F7178" s="27"/>
      <c r="G7178" s="27" t="s">
        <v>11122</v>
      </c>
      <c r="H7178" s="27" t="s">
        <v>35</v>
      </c>
      <c r="I7178" s="27" t="s">
        <v>37</v>
      </c>
      <c r="J7178" s="28" t="s">
        <v>772</v>
      </c>
      <c r="K7178" s="27" t="s">
        <v>37</v>
      </c>
      <c r="L7178" s="27"/>
    </row>
    <row r="7179" customFormat="false" ht="15" hidden="false" customHeight="false" outlineLevel="0" collapsed="false">
      <c r="A7179" s="26" t="s">
        <v>19279</v>
      </c>
      <c r="B7179" s="27" t="s">
        <v>19280</v>
      </c>
      <c r="C7179" s="27" t="s">
        <v>144</v>
      </c>
      <c r="D7179" s="26"/>
      <c r="E7179" s="27"/>
      <c r="F7179" s="27"/>
      <c r="G7179" s="27" t="s">
        <v>11122</v>
      </c>
      <c r="H7179" s="27" t="s">
        <v>35</v>
      </c>
      <c r="I7179" s="27" t="s">
        <v>37</v>
      </c>
      <c r="J7179" s="28" t="s">
        <v>772</v>
      </c>
      <c r="K7179" s="27" t="s">
        <v>37</v>
      </c>
      <c r="L7179" s="27"/>
    </row>
    <row r="7180" customFormat="false" ht="15" hidden="false" customHeight="false" outlineLevel="0" collapsed="false">
      <c r="A7180" s="26" t="s">
        <v>19281</v>
      </c>
      <c r="B7180" s="27" t="s">
        <v>19282</v>
      </c>
      <c r="C7180" s="27" t="s">
        <v>1612</v>
      </c>
      <c r="D7180" s="26"/>
      <c r="E7180" s="27"/>
      <c r="F7180" s="27"/>
      <c r="G7180" s="27" t="s">
        <v>11122</v>
      </c>
      <c r="H7180" s="27" t="s">
        <v>35</v>
      </c>
      <c r="I7180" s="27" t="s">
        <v>37</v>
      </c>
      <c r="J7180" s="28" t="s">
        <v>772</v>
      </c>
      <c r="K7180" s="27" t="s">
        <v>37</v>
      </c>
      <c r="L7180" s="27"/>
    </row>
    <row r="7181" customFormat="false" ht="15" hidden="false" customHeight="false" outlineLevel="0" collapsed="false">
      <c r="A7181" s="26" t="s">
        <v>19283</v>
      </c>
      <c r="B7181" s="27" t="s">
        <v>19284</v>
      </c>
      <c r="C7181" s="27" t="s">
        <v>144</v>
      </c>
      <c r="D7181" s="26"/>
      <c r="E7181" s="27"/>
      <c r="F7181" s="27"/>
      <c r="G7181" s="27" t="s">
        <v>11122</v>
      </c>
      <c r="H7181" s="27" t="s">
        <v>35</v>
      </c>
      <c r="I7181" s="27" t="s">
        <v>37</v>
      </c>
      <c r="J7181" s="28" t="s">
        <v>772</v>
      </c>
      <c r="K7181" s="27" t="s">
        <v>37</v>
      </c>
      <c r="L7181" s="27"/>
    </row>
    <row r="7182" customFormat="false" ht="15" hidden="false" customHeight="false" outlineLevel="0" collapsed="false">
      <c r="A7182" s="26" t="s">
        <v>19285</v>
      </c>
      <c r="B7182" s="27" t="s">
        <v>19286</v>
      </c>
      <c r="C7182" s="27" t="s">
        <v>144</v>
      </c>
      <c r="D7182" s="26"/>
      <c r="E7182" s="27"/>
      <c r="F7182" s="27"/>
      <c r="G7182" s="27" t="s">
        <v>11122</v>
      </c>
      <c r="H7182" s="27" t="s">
        <v>35</v>
      </c>
      <c r="I7182" s="27" t="s">
        <v>37</v>
      </c>
      <c r="J7182" s="28" t="s">
        <v>772</v>
      </c>
      <c r="K7182" s="27" t="s">
        <v>37</v>
      </c>
      <c r="L7182" s="27"/>
    </row>
    <row r="7183" customFormat="false" ht="15" hidden="false" customHeight="false" outlineLevel="0" collapsed="false">
      <c r="A7183" s="26" t="s">
        <v>19287</v>
      </c>
      <c r="B7183" s="27" t="s">
        <v>19288</v>
      </c>
      <c r="C7183" s="27" t="s">
        <v>144</v>
      </c>
      <c r="D7183" s="26"/>
      <c r="E7183" s="27"/>
      <c r="F7183" s="27"/>
      <c r="G7183" s="27" t="s">
        <v>11122</v>
      </c>
      <c r="H7183" s="27" t="s">
        <v>35</v>
      </c>
      <c r="I7183" s="27" t="s">
        <v>37</v>
      </c>
      <c r="J7183" s="28" t="s">
        <v>772</v>
      </c>
      <c r="K7183" s="27" t="s">
        <v>37</v>
      </c>
      <c r="L7183" s="27"/>
    </row>
    <row r="7184" customFormat="false" ht="15" hidden="false" customHeight="false" outlineLevel="0" collapsed="false">
      <c r="A7184" s="26" t="s">
        <v>19289</v>
      </c>
      <c r="B7184" s="27" t="s">
        <v>19290</v>
      </c>
      <c r="C7184" s="27" t="s">
        <v>144</v>
      </c>
      <c r="D7184" s="26"/>
      <c r="E7184" s="27"/>
      <c r="F7184" s="27"/>
      <c r="G7184" s="27" t="s">
        <v>11122</v>
      </c>
      <c r="H7184" s="27" t="s">
        <v>35</v>
      </c>
      <c r="I7184" s="27" t="s">
        <v>37</v>
      </c>
      <c r="J7184" s="28" t="s">
        <v>772</v>
      </c>
      <c r="K7184" s="27" t="s">
        <v>37</v>
      </c>
      <c r="L7184" s="27"/>
    </row>
    <row r="7185" customFormat="false" ht="15" hidden="false" customHeight="false" outlineLevel="0" collapsed="false">
      <c r="A7185" s="26" t="s">
        <v>19291</v>
      </c>
      <c r="B7185" s="27" t="s">
        <v>19292</v>
      </c>
      <c r="C7185" s="27" t="s">
        <v>144</v>
      </c>
      <c r="D7185" s="26"/>
      <c r="E7185" s="27"/>
      <c r="F7185" s="27"/>
      <c r="G7185" s="27" t="s">
        <v>11122</v>
      </c>
      <c r="H7185" s="27" t="s">
        <v>35</v>
      </c>
      <c r="I7185" s="27" t="s">
        <v>37</v>
      </c>
      <c r="J7185" s="28" t="s">
        <v>772</v>
      </c>
      <c r="K7185" s="27" t="s">
        <v>37</v>
      </c>
      <c r="L7185" s="27"/>
    </row>
    <row r="7186" customFormat="false" ht="15" hidden="false" customHeight="false" outlineLevel="0" collapsed="false">
      <c r="A7186" s="26" t="s">
        <v>19293</v>
      </c>
      <c r="B7186" s="27" t="s">
        <v>19294</v>
      </c>
      <c r="C7186" s="27" t="s">
        <v>144</v>
      </c>
      <c r="D7186" s="26"/>
      <c r="E7186" s="27"/>
      <c r="F7186" s="27"/>
      <c r="G7186" s="27" t="s">
        <v>11122</v>
      </c>
      <c r="H7186" s="27" t="s">
        <v>35</v>
      </c>
      <c r="I7186" s="27" t="s">
        <v>37</v>
      </c>
      <c r="J7186" s="28" t="s">
        <v>772</v>
      </c>
      <c r="K7186" s="27" t="s">
        <v>37</v>
      </c>
      <c r="L7186" s="27"/>
    </row>
    <row r="7187" customFormat="false" ht="15" hidden="false" customHeight="false" outlineLevel="0" collapsed="false">
      <c r="A7187" s="26" t="s">
        <v>19295</v>
      </c>
      <c r="B7187" s="27" t="s">
        <v>19296</v>
      </c>
      <c r="C7187" s="27" t="s">
        <v>144</v>
      </c>
      <c r="D7187" s="26"/>
      <c r="E7187" s="27"/>
      <c r="F7187" s="27"/>
      <c r="G7187" s="27" t="s">
        <v>11122</v>
      </c>
      <c r="H7187" s="27" t="s">
        <v>35</v>
      </c>
      <c r="I7187" s="27" t="s">
        <v>37</v>
      </c>
      <c r="J7187" s="28" t="s">
        <v>772</v>
      </c>
      <c r="K7187" s="27" t="s">
        <v>37</v>
      </c>
      <c r="L7187" s="27"/>
    </row>
    <row r="7188" customFormat="false" ht="15" hidden="false" customHeight="false" outlineLevel="0" collapsed="false">
      <c r="A7188" s="26" t="s">
        <v>19297</v>
      </c>
      <c r="B7188" s="27" t="s">
        <v>19298</v>
      </c>
      <c r="C7188" s="27" t="s">
        <v>144</v>
      </c>
      <c r="D7188" s="26"/>
      <c r="E7188" s="27"/>
      <c r="F7188" s="27"/>
      <c r="G7188" s="27" t="s">
        <v>11122</v>
      </c>
      <c r="H7188" s="27" t="s">
        <v>35</v>
      </c>
      <c r="I7188" s="27" t="s">
        <v>37</v>
      </c>
      <c r="J7188" s="28" t="s">
        <v>772</v>
      </c>
      <c r="K7188" s="27" t="s">
        <v>37</v>
      </c>
      <c r="L7188" s="27"/>
    </row>
    <row r="7189" customFormat="false" ht="15" hidden="false" customHeight="false" outlineLevel="0" collapsed="false">
      <c r="A7189" s="26" t="s">
        <v>19299</v>
      </c>
      <c r="B7189" s="27" t="s">
        <v>19300</v>
      </c>
      <c r="C7189" s="27" t="s">
        <v>144</v>
      </c>
      <c r="D7189" s="26"/>
      <c r="E7189" s="27"/>
      <c r="F7189" s="27"/>
      <c r="G7189" s="27" t="s">
        <v>11122</v>
      </c>
      <c r="H7189" s="27" t="s">
        <v>35</v>
      </c>
      <c r="I7189" s="27" t="s">
        <v>37</v>
      </c>
      <c r="J7189" s="28" t="s">
        <v>772</v>
      </c>
      <c r="K7189" s="27" t="s">
        <v>37</v>
      </c>
      <c r="L7189" s="27"/>
    </row>
    <row r="7190" customFormat="false" ht="15" hidden="false" customHeight="false" outlineLevel="0" collapsed="false">
      <c r="A7190" s="26" t="s">
        <v>19301</v>
      </c>
      <c r="B7190" s="27" t="s">
        <v>19302</v>
      </c>
      <c r="C7190" s="27" t="s">
        <v>144</v>
      </c>
      <c r="D7190" s="26"/>
      <c r="E7190" s="27"/>
      <c r="F7190" s="27"/>
      <c r="G7190" s="27" t="s">
        <v>11122</v>
      </c>
      <c r="H7190" s="27" t="s">
        <v>35</v>
      </c>
      <c r="I7190" s="27" t="s">
        <v>37</v>
      </c>
      <c r="J7190" s="28" t="s">
        <v>772</v>
      </c>
      <c r="K7190" s="27" t="s">
        <v>37</v>
      </c>
      <c r="L7190" s="27"/>
    </row>
    <row r="7191" customFormat="false" ht="15" hidden="false" customHeight="false" outlineLevel="0" collapsed="false">
      <c r="A7191" s="26" t="s">
        <v>19303</v>
      </c>
      <c r="B7191" s="27" t="s">
        <v>19304</v>
      </c>
      <c r="C7191" s="27" t="s">
        <v>144</v>
      </c>
      <c r="D7191" s="26"/>
      <c r="E7191" s="27"/>
      <c r="F7191" s="27"/>
      <c r="G7191" s="27" t="s">
        <v>11122</v>
      </c>
      <c r="H7191" s="27" t="s">
        <v>35</v>
      </c>
      <c r="I7191" s="27" t="s">
        <v>37</v>
      </c>
      <c r="J7191" s="28" t="s">
        <v>772</v>
      </c>
      <c r="K7191" s="27" t="s">
        <v>37</v>
      </c>
      <c r="L7191" s="27"/>
    </row>
    <row r="7192" customFormat="false" ht="15" hidden="false" customHeight="false" outlineLevel="0" collapsed="false">
      <c r="A7192" s="26" t="s">
        <v>19305</v>
      </c>
      <c r="B7192" s="27" t="s">
        <v>19306</v>
      </c>
      <c r="C7192" s="27" t="s">
        <v>144</v>
      </c>
      <c r="D7192" s="26"/>
      <c r="E7192" s="27"/>
      <c r="F7192" s="27"/>
      <c r="G7192" s="27" t="s">
        <v>11122</v>
      </c>
      <c r="H7192" s="27" t="s">
        <v>35</v>
      </c>
      <c r="I7192" s="27" t="s">
        <v>37</v>
      </c>
      <c r="J7192" s="28" t="s">
        <v>772</v>
      </c>
      <c r="K7192" s="27" t="s">
        <v>37</v>
      </c>
      <c r="L7192" s="27"/>
    </row>
    <row r="7193" customFormat="false" ht="15" hidden="false" customHeight="false" outlineLevel="0" collapsed="false">
      <c r="A7193" s="26" t="s">
        <v>19307</v>
      </c>
      <c r="B7193" s="27" t="s">
        <v>19308</v>
      </c>
      <c r="C7193" s="27" t="s">
        <v>144</v>
      </c>
      <c r="D7193" s="26"/>
      <c r="E7193" s="27"/>
      <c r="F7193" s="27"/>
      <c r="G7193" s="27" t="s">
        <v>11122</v>
      </c>
      <c r="H7193" s="27" t="s">
        <v>35</v>
      </c>
      <c r="I7193" s="27" t="s">
        <v>37</v>
      </c>
      <c r="J7193" s="28" t="s">
        <v>772</v>
      </c>
      <c r="K7193" s="27" t="s">
        <v>37</v>
      </c>
      <c r="L7193" s="27"/>
    </row>
    <row r="7194" customFormat="false" ht="15" hidden="false" customHeight="false" outlineLevel="0" collapsed="false">
      <c r="A7194" s="26" t="s">
        <v>19309</v>
      </c>
      <c r="B7194" s="27" t="s">
        <v>19310</v>
      </c>
      <c r="C7194" s="27" t="s">
        <v>144</v>
      </c>
      <c r="D7194" s="26"/>
      <c r="E7194" s="27"/>
      <c r="F7194" s="27"/>
      <c r="G7194" s="27" t="s">
        <v>11122</v>
      </c>
      <c r="H7194" s="27" t="s">
        <v>35</v>
      </c>
      <c r="I7194" s="27" t="s">
        <v>37</v>
      </c>
      <c r="J7194" s="28" t="s">
        <v>772</v>
      </c>
      <c r="K7194" s="27" t="s">
        <v>37</v>
      </c>
      <c r="L7194" s="27"/>
    </row>
    <row r="7195" customFormat="false" ht="15" hidden="false" customHeight="false" outlineLevel="0" collapsed="false">
      <c r="A7195" s="26" t="s">
        <v>19311</v>
      </c>
      <c r="B7195" s="27" t="s">
        <v>19312</v>
      </c>
      <c r="C7195" s="27" t="s">
        <v>144</v>
      </c>
      <c r="D7195" s="26"/>
      <c r="E7195" s="27"/>
      <c r="F7195" s="27"/>
      <c r="G7195" s="27" t="s">
        <v>11122</v>
      </c>
      <c r="H7195" s="27" t="s">
        <v>35</v>
      </c>
      <c r="I7195" s="27" t="s">
        <v>37</v>
      </c>
      <c r="J7195" s="28" t="s">
        <v>772</v>
      </c>
      <c r="K7195" s="27" t="s">
        <v>37</v>
      </c>
      <c r="L7195" s="27"/>
    </row>
    <row r="7196" customFormat="false" ht="15" hidden="false" customHeight="false" outlineLevel="0" collapsed="false">
      <c r="A7196" s="26" t="s">
        <v>19313</v>
      </c>
      <c r="B7196" s="27" t="s">
        <v>19314</v>
      </c>
      <c r="C7196" s="27" t="s">
        <v>144</v>
      </c>
      <c r="D7196" s="26"/>
      <c r="E7196" s="27"/>
      <c r="F7196" s="27"/>
      <c r="G7196" s="27" t="s">
        <v>11122</v>
      </c>
      <c r="H7196" s="27" t="s">
        <v>35</v>
      </c>
      <c r="I7196" s="27" t="s">
        <v>37</v>
      </c>
      <c r="J7196" s="28" t="s">
        <v>772</v>
      </c>
      <c r="K7196" s="27" t="s">
        <v>37</v>
      </c>
      <c r="L7196" s="27"/>
    </row>
    <row r="7197" customFormat="false" ht="15" hidden="false" customHeight="false" outlineLevel="0" collapsed="false">
      <c r="A7197" s="26" t="s">
        <v>19315</v>
      </c>
      <c r="B7197" s="27" t="s">
        <v>19316</v>
      </c>
      <c r="C7197" s="27" t="s">
        <v>144</v>
      </c>
      <c r="D7197" s="26"/>
      <c r="E7197" s="27"/>
      <c r="F7197" s="27"/>
      <c r="G7197" s="27" t="s">
        <v>11122</v>
      </c>
      <c r="H7197" s="27" t="s">
        <v>35</v>
      </c>
      <c r="I7197" s="27" t="s">
        <v>37</v>
      </c>
      <c r="J7197" s="28" t="s">
        <v>772</v>
      </c>
      <c r="K7197" s="27" t="s">
        <v>37</v>
      </c>
      <c r="L7197" s="27"/>
    </row>
    <row r="7198" customFormat="false" ht="15" hidden="false" customHeight="false" outlineLevel="0" collapsed="false">
      <c r="A7198" s="26" t="s">
        <v>19317</v>
      </c>
      <c r="B7198" s="27" t="s">
        <v>19318</v>
      </c>
      <c r="C7198" s="27" t="s">
        <v>144</v>
      </c>
      <c r="D7198" s="26"/>
      <c r="E7198" s="27"/>
      <c r="F7198" s="27"/>
      <c r="G7198" s="27" t="s">
        <v>11122</v>
      </c>
      <c r="H7198" s="27" t="s">
        <v>35</v>
      </c>
      <c r="I7198" s="27" t="s">
        <v>37</v>
      </c>
      <c r="J7198" s="28" t="s">
        <v>772</v>
      </c>
      <c r="K7198" s="27" t="s">
        <v>37</v>
      </c>
      <c r="L7198" s="27"/>
    </row>
    <row r="7199" customFormat="false" ht="15" hidden="false" customHeight="false" outlineLevel="0" collapsed="false">
      <c r="A7199" s="26" t="s">
        <v>19319</v>
      </c>
      <c r="B7199" s="27" t="s">
        <v>19320</v>
      </c>
      <c r="C7199" s="27" t="s">
        <v>144</v>
      </c>
      <c r="D7199" s="26"/>
      <c r="E7199" s="27"/>
      <c r="F7199" s="27"/>
      <c r="G7199" s="27" t="s">
        <v>11122</v>
      </c>
      <c r="H7199" s="27" t="s">
        <v>35</v>
      </c>
      <c r="I7199" s="27" t="s">
        <v>37</v>
      </c>
      <c r="J7199" s="28" t="s">
        <v>772</v>
      </c>
      <c r="K7199" s="27" t="s">
        <v>37</v>
      </c>
      <c r="L7199" s="27"/>
    </row>
    <row r="7200" customFormat="false" ht="15" hidden="false" customHeight="false" outlineLevel="0" collapsed="false">
      <c r="A7200" s="26" t="s">
        <v>19321</v>
      </c>
      <c r="B7200" s="27" t="s">
        <v>19322</v>
      </c>
      <c r="C7200" s="27" t="s">
        <v>144</v>
      </c>
      <c r="D7200" s="26"/>
      <c r="E7200" s="27"/>
      <c r="F7200" s="27"/>
      <c r="G7200" s="27" t="s">
        <v>11122</v>
      </c>
      <c r="H7200" s="27" t="s">
        <v>35</v>
      </c>
      <c r="I7200" s="27" t="s">
        <v>37</v>
      </c>
      <c r="J7200" s="28" t="s">
        <v>772</v>
      </c>
      <c r="K7200" s="27" t="s">
        <v>37</v>
      </c>
      <c r="L7200" s="27"/>
    </row>
    <row r="7201" customFormat="false" ht="15" hidden="false" customHeight="false" outlineLevel="0" collapsed="false">
      <c r="A7201" s="26" t="s">
        <v>19323</v>
      </c>
      <c r="B7201" s="27" t="s">
        <v>19324</v>
      </c>
      <c r="C7201" s="27" t="s">
        <v>144</v>
      </c>
      <c r="D7201" s="26"/>
      <c r="E7201" s="27"/>
      <c r="F7201" s="27"/>
      <c r="G7201" s="27" t="s">
        <v>11122</v>
      </c>
      <c r="H7201" s="27" t="s">
        <v>35</v>
      </c>
      <c r="I7201" s="27" t="s">
        <v>37</v>
      </c>
      <c r="J7201" s="28" t="s">
        <v>772</v>
      </c>
      <c r="K7201" s="27" t="s">
        <v>37</v>
      </c>
      <c r="L7201" s="27"/>
    </row>
    <row r="7202" customFormat="false" ht="15" hidden="false" customHeight="false" outlineLevel="0" collapsed="false">
      <c r="A7202" s="26" t="s">
        <v>19325</v>
      </c>
      <c r="B7202" s="27" t="s">
        <v>19326</v>
      </c>
      <c r="C7202" s="27" t="s">
        <v>144</v>
      </c>
      <c r="D7202" s="26"/>
      <c r="E7202" s="27"/>
      <c r="F7202" s="27"/>
      <c r="G7202" s="27" t="s">
        <v>11122</v>
      </c>
      <c r="H7202" s="27" t="s">
        <v>35</v>
      </c>
      <c r="I7202" s="27" t="s">
        <v>37</v>
      </c>
      <c r="J7202" s="28" t="s">
        <v>772</v>
      </c>
      <c r="K7202" s="27" t="s">
        <v>37</v>
      </c>
      <c r="L7202" s="27"/>
    </row>
    <row r="7203" customFormat="false" ht="15" hidden="false" customHeight="false" outlineLevel="0" collapsed="false">
      <c r="A7203" s="26" t="s">
        <v>19327</v>
      </c>
      <c r="B7203" s="27" t="s">
        <v>19328</v>
      </c>
      <c r="C7203" s="27" t="s">
        <v>144</v>
      </c>
      <c r="D7203" s="26"/>
      <c r="E7203" s="27"/>
      <c r="F7203" s="27"/>
      <c r="G7203" s="27" t="s">
        <v>11122</v>
      </c>
      <c r="H7203" s="27" t="s">
        <v>35</v>
      </c>
      <c r="I7203" s="27" t="s">
        <v>49</v>
      </c>
      <c r="J7203" s="28" t="s">
        <v>772</v>
      </c>
      <c r="K7203" s="27" t="s">
        <v>37</v>
      </c>
      <c r="L7203" s="27"/>
    </row>
    <row r="7204" customFormat="false" ht="15" hidden="false" customHeight="false" outlineLevel="0" collapsed="false">
      <c r="A7204" s="26" t="s">
        <v>19329</v>
      </c>
      <c r="B7204" s="27" t="s">
        <v>19330</v>
      </c>
      <c r="C7204" s="27" t="s">
        <v>144</v>
      </c>
      <c r="D7204" s="26"/>
      <c r="E7204" s="27"/>
      <c r="F7204" s="27"/>
      <c r="G7204" s="27" t="s">
        <v>11122</v>
      </c>
      <c r="H7204" s="27" t="s">
        <v>35</v>
      </c>
      <c r="I7204" s="27" t="s">
        <v>37</v>
      </c>
      <c r="J7204" s="28" t="s">
        <v>772</v>
      </c>
      <c r="K7204" s="27" t="s">
        <v>37</v>
      </c>
      <c r="L7204" s="27"/>
    </row>
    <row r="7205" customFormat="false" ht="15" hidden="false" customHeight="false" outlineLevel="0" collapsed="false">
      <c r="A7205" s="26" t="s">
        <v>19331</v>
      </c>
      <c r="B7205" s="27" t="s">
        <v>19332</v>
      </c>
      <c r="C7205" s="27" t="s">
        <v>144</v>
      </c>
      <c r="D7205" s="26"/>
      <c r="E7205" s="27"/>
      <c r="F7205" s="27"/>
      <c r="G7205" s="27" t="s">
        <v>11122</v>
      </c>
      <c r="H7205" s="27" t="s">
        <v>35</v>
      </c>
      <c r="I7205" s="27" t="s">
        <v>37</v>
      </c>
      <c r="J7205" s="28" t="s">
        <v>772</v>
      </c>
      <c r="K7205" s="27" t="s">
        <v>37</v>
      </c>
      <c r="L7205" s="27"/>
    </row>
    <row r="7206" customFormat="false" ht="15" hidden="false" customHeight="false" outlineLevel="0" collapsed="false">
      <c r="A7206" s="26" t="s">
        <v>19333</v>
      </c>
      <c r="B7206" s="27" t="s">
        <v>19334</v>
      </c>
      <c r="C7206" s="27" t="s">
        <v>144</v>
      </c>
      <c r="D7206" s="26"/>
      <c r="E7206" s="27"/>
      <c r="F7206" s="27"/>
      <c r="G7206" s="27" t="s">
        <v>11122</v>
      </c>
      <c r="H7206" s="27" t="s">
        <v>35</v>
      </c>
      <c r="I7206" s="27" t="s">
        <v>37</v>
      </c>
      <c r="J7206" s="28" t="s">
        <v>772</v>
      </c>
      <c r="K7206" s="27" t="s">
        <v>37</v>
      </c>
      <c r="L7206" s="27"/>
    </row>
    <row r="7207" customFormat="false" ht="15" hidden="false" customHeight="false" outlineLevel="0" collapsed="false">
      <c r="A7207" s="26" t="s">
        <v>19335</v>
      </c>
      <c r="B7207" s="27" t="s">
        <v>19336</v>
      </c>
      <c r="C7207" s="27" t="s">
        <v>144</v>
      </c>
      <c r="D7207" s="26"/>
      <c r="E7207" s="27"/>
      <c r="F7207" s="27"/>
      <c r="G7207" s="27" t="s">
        <v>11122</v>
      </c>
      <c r="H7207" s="27" t="s">
        <v>35</v>
      </c>
      <c r="I7207" s="27" t="s">
        <v>37</v>
      </c>
      <c r="J7207" s="28" t="s">
        <v>772</v>
      </c>
      <c r="K7207" s="27" t="s">
        <v>37</v>
      </c>
      <c r="L7207" s="27"/>
    </row>
    <row r="7208" customFormat="false" ht="15" hidden="false" customHeight="false" outlineLevel="0" collapsed="false">
      <c r="A7208" s="26" t="s">
        <v>19337</v>
      </c>
      <c r="B7208" s="27" t="s">
        <v>19338</v>
      </c>
      <c r="C7208" s="27" t="s">
        <v>144</v>
      </c>
      <c r="D7208" s="26"/>
      <c r="E7208" s="27"/>
      <c r="F7208" s="27"/>
      <c r="G7208" s="27" t="s">
        <v>11122</v>
      </c>
      <c r="H7208" s="27" t="s">
        <v>35</v>
      </c>
      <c r="I7208" s="27" t="s">
        <v>37</v>
      </c>
      <c r="J7208" s="28" t="s">
        <v>772</v>
      </c>
      <c r="K7208" s="27" t="s">
        <v>37</v>
      </c>
      <c r="L7208" s="27"/>
    </row>
    <row r="7209" customFormat="false" ht="15" hidden="false" customHeight="false" outlineLevel="0" collapsed="false">
      <c r="A7209" s="26" t="s">
        <v>19339</v>
      </c>
      <c r="B7209" s="27" t="s">
        <v>19340</v>
      </c>
      <c r="C7209" s="27" t="s">
        <v>144</v>
      </c>
      <c r="D7209" s="26"/>
      <c r="E7209" s="27"/>
      <c r="F7209" s="27"/>
      <c r="G7209" s="27" t="s">
        <v>11122</v>
      </c>
      <c r="H7209" s="27" t="s">
        <v>35</v>
      </c>
      <c r="I7209" s="27" t="s">
        <v>37</v>
      </c>
      <c r="J7209" s="28" t="s">
        <v>772</v>
      </c>
      <c r="K7209" s="27" t="s">
        <v>37</v>
      </c>
      <c r="L7209" s="27"/>
    </row>
    <row r="7210" customFormat="false" ht="15" hidden="false" customHeight="false" outlineLevel="0" collapsed="false">
      <c r="A7210" s="26" t="s">
        <v>19341</v>
      </c>
      <c r="B7210" s="27" t="s">
        <v>19342</v>
      </c>
      <c r="C7210" s="27" t="s">
        <v>144</v>
      </c>
      <c r="D7210" s="26"/>
      <c r="E7210" s="27"/>
      <c r="F7210" s="27"/>
      <c r="G7210" s="27" t="s">
        <v>11122</v>
      </c>
      <c r="H7210" s="27" t="s">
        <v>35</v>
      </c>
      <c r="I7210" s="27" t="s">
        <v>38</v>
      </c>
      <c r="J7210" s="28" t="s">
        <v>772</v>
      </c>
      <c r="K7210" s="27" t="s">
        <v>37</v>
      </c>
      <c r="L7210" s="27"/>
    </row>
    <row r="7211" customFormat="false" ht="15" hidden="false" customHeight="false" outlineLevel="0" collapsed="false">
      <c r="A7211" s="26" t="s">
        <v>19343</v>
      </c>
      <c r="B7211" s="27" t="s">
        <v>19344</v>
      </c>
      <c r="C7211" s="27" t="s">
        <v>144</v>
      </c>
      <c r="D7211" s="26"/>
      <c r="E7211" s="27"/>
      <c r="F7211" s="27"/>
      <c r="G7211" s="27" t="s">
        <v>11122</v>
      </c>
      <c r="H7211" s="27" t="s">
        <v>35</v>
      </c>
      <c r="I7211" s="27" t="s">
        <v>37</v>
      </c>
      <c r="J7211" s="28" t="s">
        <v>772</v>
      </c>
      <c r="K7211" s="27" t="s">
        <v>37</v>
      </c>
      <c r="L7211" s="27"/>
    </row>
    <row r="7212" customFormat="false" ht="15" hidden="false" customHeight="false" outlineLevel="0" collapsed="false">
      <c r="A7212" s="26" t="s">
        <v>19345</v>
      </c>
      <c r="B7212" s="27" t="s">
        <v>19346</v>
      </c>
      <c r="C7212" s="27" t="s">
        <v>144</v>
      </c>
      <c r="D7212" s="26"/>
      <c r="E7212" s="27"/>
      <c r="F7212" s="27"/>
      <c r="G7212" s="27" t="s">
        <v>11122</v>
      </c>
      <c r="H7212" s="27" t="s">
        <v>35</v>
      </c>
      <c r="I7212" s="27" t="s">
        <v>37</v>
      </c>
      <c r="J7212" s="28" t="s">
        <v>772</v>
      </c>
      <c r="K7212" s="27" t="s">
        <v>37</v>
      </c>
      <c r="L7212" s="27"/>
    </row>
    <row r="7213" customFormat="false" ht="15" hidden="false" customHeight="false" outlineLevel="0" collapsed="false">
      <c r="A7213" s="26" t="s">
        <v>19347</v>
      </c>
      <c r="B7213" s="27" t="s">
        <v>19348</v>
      </c>
      <c r="C7213" s="27" t="s">
        <v>144</v>
      </c>
      <c r="D7213" s="26"/>
      <c r="E7213" s="27"/>
      <c r="F7213" s="27"/>
      <c r="G7213" s="27" t="s">
        <v>11122</v>
      </c>
      <c r="H7213" s="27" t="s">
        <v>35</v>
      </c>
      <c r="I7213" s="27" t="s">
        <v>37</v>
      </c>
      <c r="J7213" s="28" t="s">
        <v>772</v>
      </c>
      <c r="K7213" s="27" t="s">
        <v>37</v>
      </c>
      <c r="L7213" s="27"/>
    </row>
    <row r="7214" customFormat="false" ht="15" hidden="false" customHeight="false" outlineLevel="0" collapsed="false">
      <c r="A7214" s="26" t="s">
        <v>19349</v>
      </c>
      <c r="B7214" s="27" t="s">
        <v>19350</v>
      </c>
      <c r="C7214" s="27" t="s">
        <v>144</v>
      </c>
      <c r="D7214" s="26"/>
      <c r="E7214" s="27"/>
      <c r="F7214" s="27"/>
      <c r="G7214" s="27" t="s">
        <v>11122</v>
      </c>
      <c r="H7214" s="27" t="s">
        <v>35</v>
      </c>
      <c r="I7214" s="27" t="s">
        <v>37</v>
      </c>
      <c r="J7214" s="28" t="s">
        <v>772</v>
      </c>
      <c r="K7214" s="27" t="s">
        <v>37</v>
      </c>
      <c r="L7214" s="27"/>
    </row>
    <row r="7215" customFormat="false" ht="15" hidden="false" customHeight="false" outlineLevel="0" collapsed="false">
      <c r="A7215" s="26" t="s">
        <v>19351</v>
      </c>
      <c r="B7215" s="27" t="s">
        <v>19352</v>
      </c>
      <c r="C7215" s="27" t="s">
        <v>144</v>
      </c>
      <c r="D7215" s="26"/>
      <c r="E7215" s="27"/>
      <c r="F7215" s="27"/>
      <c r="G7215" s="27" t="s">
        <v>11122</v>
      </c>
      <c r="H7215" s="27" t="s">
        <v>35</v>
      </c>
      <c r="I7215" s="27" t="s">
        <v>37</v>
      </c>
      <c r="J7215" s="28" t="s">
        <v>772</v>
      </c>
      <c r="K7215" s="27" t="s">
        <v>37</v>
      </c>
      <c r="L7215" s="27"/>
    </row>
    <row r="7216" customFormat="false" ht="15" hidden="false" customHeight="false" outlineLevel="0" collapsed="false">
      <c r="A7216" s="26" t="s">
        <v>19353</v>
      </c>
      <c r="B7216" s="27" t="s">
        <v>19354</v>
      </c>
      <c r="C7216" s="27" t="s">
        <v>144</v>
      </c>
      <c r="D7216" s="26"/>
      <c r="E7216" s="27"/>
      <c r="F7216" s="27"/>
      <c r="G7216" s="27" t="s">
        <v>11122</v>
      </c>
      <c r="H7216" s="27" t="s">
        <v>35</v>
      </c>
      <c r="I7216" s="27" t="s">
        <v>37</v>
      </c>
      <c r="J7216" s="28" t="s">
        <v>772</v>
      </c>
      <c r="K7216" s="27" t="s">
        <v>37</v>
      </c>
      <c r="L7216" s="27"/>
    </row>
    <row r="7217" customFormat="false" ht="15" hidden="false" customHeight="false" outlineLevel="0" collapsed="false">
      <c r="A7217" s="26" t="s">
        <v>19355</v>
      </c>
      <c r="B7217" s="27" t="s">
        <v>19356</v>
      </c>
      <c r="C7217" s="27" t="s">
        <v>144</v>
      </c>
      <c r="D7217" s="26"/>
      <c r="E7217" s="27"/>
      <c r="F7217" s="27"/>
      <c r="G7217" s="27" t="s">
        <v>11122</v>
      </c>
      <c r="H7217" s="27" t="s">
        <v>35</v>
      </c>
      <c r="I7217" s="27" t="s">
        <v>45</v>
      </c>
      <c r="J7217" s="28" t="s">
        <v>772</v>
      </c>
      <c r="K7217" s="27" t="s">
        <v>37</v>
      </c>
      <c r="L7217" s="27"/>
    </row>
    <row r="7218" customFormat="false" ht="15" hidden="false" customHeight="false" outlineLevel="0" collapsed="false">
      <c r="A7218" s="26" t="s">
        <v>19357</v>
      </c>
      <c r="B7218" s="27" t="s">
        <v>19358</v>
      </c>
      <c r="C7218" s="27" t="s">
        <v>144</v>
      </c>
      <c r="D7218" s="26"/>
      <c r="E7218" s="27"/>
      <c r="F7218" s="27"/>
      <c r="G7218" s="27" t="s">
        <v>11122</v>
      </c>
      <c r="H7218" s="27" t="s">
        <v>35</v>
      </c>
      <c r="I7218" s="27" t="s">
        <v>37</v>
      </c>
      <c r="J7218" s="28" t="s">
        <v>772</v>
      </c>
      <c r="K7218" s="27" t="s">
        <v>37</v>
      </c>
      <c r="L7218" s="27"/>
    </row>
    <row r="7219" customFormat="false" ht="15" hidden="false" customHeight="false" outlineLevel="0" collapsed="false">
      <c r="A7219" s="26" t="s">
        <v>19359</v>
      </c>
      <c r="B7219" s="27" t="s">
        <v>19360</v>
      </c>
      <c r="C7219" s="27" t="s">
        <v>144</v>
      </c>
      <c r="D7219" s="26"/>
      <c r="E7219" s="27"/>
      <c r="F7219" s="27"/>
      <c r="G7219" s="27" t="s">
        <v>11122</v>
      </c>
      <c r="H7219" s="27" t="s">
        <v>35</v>
      </c>
      <c r="I7219" s="27" t="s">
        <v>45</v>
      </c>
      <c r="J7219" s="28" t="s">
        <v>772</v>
      </c>
      <c r="K7219" s="27" t="s">
        <v>37</v>
      </c>
      <c r="L7219" s="27"/>
    </row>
    <row r="7220" customFormat="false" ht="15" hidden="false" customHeight="false" outlineLevel="0" collapsed="false">
      <c r="A7220" s="26" t="s">
        <v>19361</v>
      </c>
      <c r="B7220" s="27" t="s">
        <v>19362</v>
      </c>
      <c r="C7220" s="27" t="s">
        <v>144</v>
      </c>
      <c r="D7220" s="26"/>
      <c r="E7220" s="27"/>
      <c r="F7220" s="27"/>
      <c r="G7220" s="27" t="s">
        <v>11122</v>
      </c>
      <c r="H7220" s="27" t="s">
        <v>35</v>
      </c>
      <c r="I7220" s="27" t="s">
        <v>37</v>
      </c>
      <c r="J7220" s="28" t="s">
        <v>772</v>
      </c>
      <c r="K7220" s="27" t="s">
        <v>37</v>
      </c>
      <c r="L7220" s="27"/>
    </row>
    <row r="7221" customFormat="false" ht="15" hidden="false" customHeight="false" outlineLevel="0" collapsed="false">
      <c r="A7221" s="26" t="s">
        <v>19363</v>
      </c>
      <c r="B7221" s="27" t="s">
        <v>19364</v>
      </c>
      <c r="C7221" s="27" t="s">
        <v>144</v>
      </c>
      <c r="D7221" s="26"/>
      <c r="E7221" s="27"/>
      <c r="F7221" s="27"/>
      <c r="G7221" s="27" t="s">
        <v>11122</v>
      </c>
      <c r="H7221" s="27" t="s">
        <v>35</v>
      </c>
      <c r="I7221" s="27" t="s">
        <v>37</v>
      </c>
      <c r="J7221" s="28" t="s">
        <v>772</v>
      </c>
      <c r="K7221" s="27" t="s">
        <v>37</v>
      </c>
      <c r="L7221" s="27"/>
    </row>
    <row r="7222" customFormat="false" ht="15" hidden="false" customHeight="false" outlineLevel="0" collapsed="false">
      <c r="A7222" s="26" t="s">
        <v>19365</v>
      </c>
      <c r="B7222" s="27" t="s">
        <v>19366</v>
      </c>
      <c r="C7222" s="27" t="s">
        <v>144</v>
      </c>
      <c r="D7222" s="26"/>
      <c r="E7222" s="27"/>
      <c r="F7222" s="27"/>
      <c r="G7222" s="27" t="s">
        <v>11122</v>
      </c>
      <c r="H7222" s="27" t="s">
        <v>35</v>
      </c>
      <c r="I7222" s="27" t="s">
        <v>37</v>
      </c>
      <c r="J7222" s="28" t="s">
        <v>772</v>
      </c>
      <c r="K7222" s="27" t="s">
        <v>37</v>
      </c>
      <c r="L7222" s="27"/>
    </row>
    <row r="7223" customFormat="false" ht="15" hidden="false" customHeight="false" outlineLevel="0" collapsed="false">
      <c r="A7223" s="26" t="s">
        <v>19367</v>
      </c>
      <c r="B7223" s="27" t="s">
        <v>19368</v>
      </c>
      <c r="C7223" s="27" t="s">
        <v>144</v>
      </c>
      <c r="D7223" s="26"/>
      <c r="E7223" s="27"/>
      <c r="F7223" s="27"/>
      <c r="G7223" s="27" t="s">
        <v>11122</v>
      </c>
      <c r="H7223" s="27" t="s">
        <v>35</v>
      </c>
      <c r="I7223" s="27" t="s">
        <v>37</v>
      </c>
      <c r="J7223" s="28" t="s">
        <v>772</v>
      </c>
      <c r="K7223" s="27" t="s">
        <v>37</v>
      </c>
      <c r="L7223" s="27"/>
    </row>
    <row r="7224" customFormat="false" ht="15" hidden="false" customHeight="false" outlineLevel="0" collapsed="false">
      <c r="A7224" s="26" t="s">
        <v>19369</v>
      </c>
      <c r="B7224" s="27" t="s">
        <v>19370</v>
      </c>
      <c r="C7224" s="27" t="s">
        <v>144</v>
      </c>
      <c r="D7224" s="26"/>
      <c r="E7224" s="27"/>
      <c r="F7224" s="27"/>
      <c r="G7224" s="27" t="s">
        <v>11122</v>
      </c>
      <c r="H7224" s="27" t="s">
        <v>35</v>
      </c>
      <c r="I7224" s="27" t="s">
        <v>37</v>
      </c>
      <c r="J7224" s="28" t="s">
        <v>772</v>
      </c>
      <c r="K7224" s="27" t="s">
        <v>37</v>
      </c>
      <c r="L7224" s="27"/>
    </row>
    <row r="7225" customFormat="false" ht="15" hidden="false" customHeight="false" outlineLevel="0" collapsed="false">
      <c r="A7225" s="26" t="s">
        <v>19371</v>
      </c>
      <c r="B7225" s="27" t="s">
        <v>19372</v>
      </c>
      <c r="C7225" s="27" t="s">
        <v>144</v>
      </c>
      <c r="D7225" s="26"/>
      <c r="E7225" s="27"/>
      <c r="F7225" s="27"/>
      <c r="G7225" s="27" t="s">
        <v>11122</v>
      </c>
      <c r="H7225" s="27" t="s">
        <v>35</v>
      </c>
      <c r="I7225" s="27" t="s">
        <v>37</v>
      </c>
      <c r="J7225" s="28" t="s">
        <v>772</v>
      </c>
      <c r="K7225" s="27" t="s">
        <v>37</v>
      </c>
      <c r="L7225" s="27"/>
    </row>
    <row r="7226" customFormat="false" ht="15" hidden="false" customHeight="false" outlineLevel="0" collapsed="false">
      <c r="A7226" s="26" t="s">
        <v>19373</v>
      </c>
      <c r="B7226" s="27" t="s">
        <v>19374</v>
      </c>
      <c r="C7226" s="27" t="s">
        <v>144</v>
      </c>
      <c r="D7226" s="26"/>
      <c r="E7226" s="27"/>
      <c r="F7226" s="27"/>
      <c r="G7226" s="27" t="s">
        <v>11122</v>
      </c>
      <c r="H7226" s="27" t="s">
        <v>35</v>
      </c>
      <c r="I7226" s="27" t="s">
        <v>37</v>
      </c>
      <c r="J7226" s="28" t="s">
        <v>772</v>
      </c>
      <c r="K7226" s="27" t="s">
        <v>37</v>
      </c>
      <c r="L7226" s="27"/>
    </row>
    <row r="7227" customFormat="false" ht="15" hidden="false" customHeight="false" outlineLevel="0" collapsed="false">
      <c r="A7227" s="26" t="s">
        <v>19375</v>
      </c>
      <c r="B7227" s="27" t="s">
        <v>19376</v>
      </c>
      <c r="C7227" s="27" t="s">
        <v>144</v>
      </c>
      <c r="D7227" s="26"/>
      <c r="E7227" s="27"/>
      <c r="F7227" s="27"/>
      <c r="G7227" s="27" t="s">
        <v>11122</v>
      </c>
      <c r="H7227" s="27" t="s">
        <v>35</v>
      </c>
      <c r="I7227" s="27" t="s">
        <v>38</v>
      </c>
      <c r="J7227" s="28" t="s">
        <v>772</v>
      </c>
      <c r="K7227" s="27" t="s">
        <v>37</v>
      </c>
      <c r="L7227" s="27"/>
    </row>
    <row r="7228" customFormat="false" ht="15" hidden="false" customHeight="false" outlineLevel="0" collapsed="false">
      <c r="A7228" s="26" t="s">
        <v>19377</v>
      </c>
      <c r="B7228" s="27" t="s">
        <v>19378</v>
      </c>
      <c r="C7228" s="27" t="s">
        <v>144</v>
      </c>
      <c r="D7228" s="26"/>
      <c r="E7228" s="27"/>
      <c r="F7228" s="27"/>
      <c r="G7228" s="27" t="s">
        <v>11122</v>
      </c>
      <c r="H7228" s="27" t="s">
        <v>35</v>
      </c>
      <c r="I7228" s="27" t="s">
        <v>37</v>
      </c>
      <c r="J7228" s="28" t="s">
        <v>772</v>
      </c>
      <c r="K7228" s="27" t="s">
        <v>37</v>
      </c>
      <c r="L7228" s="27"/>
    </row>
    <row r="7229" customFormat="false" ht="15" hidden="false" customHeight="false" outlineLevel="0" collapsed="false">
      <c r="A7229" s="26" t="s">
        <v>19379</v>
      </c>
      <c r="B7229" s="27" t="s">
        <v>19380</v>
      </c>
      <c r="C7229" s="27" t="s">
        <v>144</v>
      </c>
      <c r="D7229" s="26"/>
      <c r="E7229" s="27"/>
      <c r="F7229" s="27"/>
      <c r="G7229" s="27" t="s">
        <v>11122</v>
      </c>
      <c r="H7229" s="27" t="s">
        <v>35</v>
      </c>
      <c r="I7229" s="27" t="s">
        <v>37</v>
      </c>
      <c r="J7229" s="28" t="s">
        <v>772</v>
      </c>
      <c r="K7229" s="27" t="s">
        <v>37</v>
      </c>
      <c r="L7229" s="27"/>
    </row>
    <row r="7230" customFormat="false" ht="15" hidden="false" customHeight="false" outlineLevel="0" collapsed="false">
      <c r="A7230" s="26" t="s">
        <v>19381</v>
      </c>
      <c r="B7230" s="27" t="s">
        <v>19382</v>
      </c>
      <c r="C7230" s="27" t="s">
        <v>144</v>
      </c>
      <c r="D7230" s="26"/>
      <c r="E7230" s="27"/>
      <c r="F7230" s="27"/>
      <c r="G7230" s="27" t="s">
        <v>11122</v>
      </c>
      <c r="H7230" s="27" t="s">
        <v>35</v>
      </c>
      <c r="I7230" s="27" t="s">
        <v>37</v>
      </c>
      <c r="J7230" s="28" t="s">
        <v>772</v>
      </c>
      <c r="K7230" s="27" t="s">
        <v>37</v>
      </c>
      <c r="L7230" s="27"/>
    </row>
    <row r="7231" customFormat="false" ht="15" hidden="false" customHeight="false" outlineLevel="0" collapsed="false">
      <c r="A7231" s="26" t="s">
        <v>19383</v>
      </c>
      <c r="B7231" s="27" t="s">
        <v>19384</v>
      </c>
      <c r="C7231" s="27" t="s">
        <v>144</v>
      </c>
      <c r="D7231" s="26"/>
      <c r="E7231" s="27"/>
      <c r="F7231" s="27"/>
      <c r="G7231" s="27" t="s">
        <v>11122</v>
      </c>
      <c r="H7231" s="27" t="s">
        <v>35</v>
      </c>
      <c r="I7231" s="27" t="s">
        <v>37</v>
      </c>
      <c r="J7231" s="28" t="s">
        <v>772</v>
      </c>
      <c r="K7231" s="27" t="s">
        <v>37</v>
      </c>
      <c r="L7231" s="27"/>
    </row>
    <row r="7232" customFormat="false" ht="15" hidden="false" customHeight="false" outlineLevel="0" collapsed="false">
      <c r="A7232" s="26" t="s">
        <v>19385</v>
      </c>
      <c r="B7232" s="27" t="s">
        <v>19386</v>
      </c>
      <c r="C7232" s="27" t="s">
        <v>144</v>
      </c>
      <c r="D7232" s="26"/>
      <c r="E7232" s="27"/>
      <c r="F7232" s="27"/>
      <c r="G7232" s="27" t="s">
        <v>11122</v>
      </c>
      <c r="H7232" s="27" t="s">
        <v>35</v>
      </c>
      <c r="I7232" s="27" t="s">
        <v>37</v>
      </c>
      <c r="J7232" s="28" t="s">
        <v>772</v>
      </c>
      <c r="K7232" s="27" t="s">
        <v>37</v>
      </c>
      <c r="L7232" s="27"/>
    </row>
    <row r="7233" customFormat="false" ht="15" hidden="false" customHeight="false" outlineLevel="0" collapsed="false">
      <c r="A7233" s="26" t="s">
        <v>19387</v>
      </c>
      <c r="B7233" s="27" t="s">
        <v>19388</v>
      </c>
      <c r="C7233" s="27" t="s">
        <v>144</v>
      </c>
      <c r="D7233" s="26"/>
      <c r="E7233" s="27"/>
      <c r="F7233" s="27"/>
      <c r="G7233" s="27" t="s">
        <v>11122</v>
      </c>
      <c r="H7233" s="27" t="s">
        <v>35</v>
      </c>
      <c r="I7233" s="27" t="s">
        <v>43</v>
      </c>
      <c r="J7233" s="28" t="s">
        <v>772</v>
      </c>
      <c r="K7233" s="27" t="s">
        <v>37</v>
      </c>
      <c r="L7233" s="27"/>
    </row>
    <row r="7234" customFormat="false" ht="15" hidden="false" customHeight="false" outlineLevel="0" collapsed="false">
      <c r="A7234" s="26" t="s">
        <v>19389</v>
      </c>
      <c r="B7234" s="27" t="s">
        <v>19390</v>
      </c>
      <c r="C7234" s="27" t="s">
        <v>144</v>
      </c>
      <c r="D7234" s="26"/>
      <c r="E7234" s="27"/>
      <c r="F7234" s="27"/>
      <c r="G7234" s="27" t="s">
        <v>11122</v>
      </c>
      <c r="H7234" s="27" t="s">
        <v>35</v>
      </c>
      <c r="I7234" s="27" t="s">
        <v>37</v>
      </c>
      <c r="J7234" s="28" t="s">
        <v>772</v>
      </c>
      <c r="K7234" s="27" t="s">
        <v>37</v>
      </c>
      <c r="L7234" s="27"/>
    </row>
    <row r="7235" customFormat="false" ht="15" hidden="false" customHeight="false" outlineLevel="0" collapsed="false">
      <c r="A7235" s="26" t="s">
        <v>19391</v>
      </c>
      <c r="B7235" s="27" t="s">
        <v>19392</v>
      </c>
      <c r="C7235" s="27" t="s">
        <v>144</v>
      </c>
      <c r="D7235" s="26"/>
      <c r="E7235" s="27"/>
      <c r="F7235" s="27"/>
      <c r="G7235" s="27" t="s">
        <v>11122</v>
      </c>
      <c r="H7235" s="27" t="s">
        <v>35</v>
      </c>
      <c r="I7235" s="27" t="s">
        <v>37</v>
      </c>
      <c r="J7235" s="28" t="s">
        <v>772</v>
      </c>
      <c r="K7235" s="27" t="s">
        <v>37</v>
      </c>
      <c r="L7235" s="27"/>
    </row>
    <row r="7236" customFormat="false" ht="15" hidden="false" customHeight="false" outlineLevel="0" collapsed="false">
      <c r="A7236" s="26" t="s">
        <v>19393</v>
      </c>
      <c r="B7236" s="27" t="s">
        <v>19394</v>
      </c>
      <c r="C7236" s="27" t="s">
        <v>144</v>
      </c>
      <c r="D7236" s="26"/>
      <c r="E7236" s="27"/>
      <c r="F7236" s="27"/>
      <c r="G7236" s="27" t="s">
        <v>11122</v>
      </c>
      <c r="H7236" s="27" t="s">
        <v>35</v>
      </c>
      <c r="I7236" s="27" t="s">
        <v>37</v>
      </c>
      <c r="J7236" s="28" t="s">
        <v>772</v>
      </c>
      <c r="K7236" s="27" t="s">
        <v>37</v>
      </c>
      <c r="L7236" s="27"/>
    </row>
    <row r="7237" customFormat="false" ht="15" hidden="false" customHeight="false" outlineLevel="0" collapsed="false">
      <c r="A7237" s="26" t="s">
        <v>19395</v>
      </c>
      <c r="B7237" s="27" t="s">
        <v>19396</v>
      </c>
      <c r="C7237" s="27" t="s">
        <v>144</v>
      </c>
      <c r="D7237" s="26"/>
      <c r="E7237" s="27"/>
      <c r="F7237" s="27"/>
      <c r="G7237" s="27" t="s">
        <v>11122</v>
      </c>
      <c r="H7237" s="27" t="s">
        <v>35</v>
      </c>
      <c r="I7237" s="27" t="s">
        <v>37</v>
      </c>
      <c r="J7237" s="28" t="s">
        <v>772</v>
      </c>
      <c r="K7237" s="27" t="s">
        <v>37</v>
      </c>
      <c r="L7237" s="27"/>
    </row>
    <row r="7238" customFormat="false" ht="15" hidden="false" customHeight="false" outlineLevel="0" collapsed="false">
      <c r="A7238" s="26" t="s">
        <v>19397</v>
      </c>
      <c r="B7238" s="27" t="s">
        <v>19398</v>
      </c>
      <c r="C7238" s="27" t="s">
        <v>144</v>
      </c>
      <c r="D7238" s="26"/>
      <c r="E7238" s="27"/>
      <c r="F7238" s="27"/>
      <c r="G7238" s="27" t="s">
        <v>11122</v>
      </c>
      <c r="H7238" s="27" t="s">
        <v>35</v>
      </c>
      <c r="I7238" s="27" t="s">
        <v>37</v>
      </c>
      <c r="J7238" s="28" t="s">
        <v>772</v>
      </c>
      <c r="K7238" s="27" t="s">
        <v>37</v>
      </c>
      <c r="L7238" s="27"/>
    </row>
    <row r="7239" customFormat="false" ht="15" hidden="false" customHeight="false" outlineLevel="0" collapsed="false">
      <c r="A7239" s="26" t="s">
        <v>19399</v>
      </c>
      <c r="B7239" s="27" t="s">
        <v>19400</v>
      </c>
      <c r="C7239" s="27" t="s">
        <v>144</v>
      </c>
      <c r="D7239" s="26"/>
      <c r="E7239" s="27"/>
      <c r="F7239" s="27"/>
      <c r="G7239" s="27" t="s">
        <v>11122</v>
      </c>
      <c r="H7239" s="27" t="s">
        <v>35</v>
      </c>
      <c r="I7239" s="27" t="s">
        <v>43</v>
      </c>
      <c r="J7239" s="28" t="s">
        <v>772</v>
      </c>
      <c r="K7239" s="27" t="s">
        <v>37</v>
      </c>
      <c r="L7239" s="27"/>
    </row>
    <row r="7240" customFormat="false" ht="15" hidden="false" customHeight="false" outlineLevel="0" collapsed="false">
      <c r="A7240" s="26" t="s">
        <v>19401</v>
      </c>
      <c r="B7240" s="27" t="s">
        <v>19402</v>
      </c>
      <c r="C7240" s="27" t="s">
        <v>144</v>
      </c>
      <c r="D7240" s="26"/>
      <c r="E7240" s="27"/>
      <c r="F7240" s="27"/>
      <c r="G7240" s="27" t="s">
        <v>11122</v>
      </c>
      <c r="H7240" s="27" t="s">
        <v>35</v>
      </c>
      <c r="I7240" s="27" t="s">
        <v>37</v>
      </c>
      <c r="J7240" s="28" t="s">
        <v>772</v>
      </c>
      <c r="K7240" s="27" t="s">
        <v>37</v>
      </c>
      <c r="L7240" s="27"/>
    </row>
    <row r="7241" customFormat="false" ht="15" hidden="false" customHeight="false" outlineLevel="0" collapsed="false">
      <c r="A7241" s="26" t="s">
        <v>19403</v>
      </c>
      <c r="B7241" s="27" t="s">
        <v>19404</v>
      </c>
      <c r="C7241" s="27" t="s">
        <v>144</v>
      </c>
      <c r="D7241" s="26"/>
      <c r="E7241" s="27"/>
      <c r="F7241" s="27"/>
      <c r="G7241" s="27" t="s">
        <v>11122</v>
      </c>
      <c r="H7241" s="27" t="s">
        <v>35</v>
      </c>
      <c r="I7241" s="27" t="s">
        <v>37</v>
      </c>
      <c r="J7241" s="28" t="s">
        <v>772</v>
      </c>
      <c r="K7241" s="27" t="s">
        <v>37</v>
      </c>
      <c r="L7241" s="27"/>
    </row>
    <row r="7242" customFormat="false" ht="15" hidden="false" customHeight="false" outlineLevel="0" collapsed="false">
      <c r="A7242" s="26" t="s">
        <v>19405</v>
      </c>
      <c r="B7242" s="27" t="s">
        <v>19406</v>
      </c>
      <c r="C7242" s="27" t="s">
        <v>144</v>
      </c>
      <c r="D7242" s="26"/>
      <c r="E7242" s="27"/>
      <c r="F7242" s="27"/>
      <c r="G7242" s="27" t="s">
        <v>11122</v>
      </c>
      <c r="H7242" s="27" t="s">
        <v>35</v>
      </c>
      <c r="I7242" s="27" t="s">
        <v>37</v>
      </c>
      <c r="J7242" s="28" t="s">
        <v>772</v>
      </c>
      <c r="K7242" s="27" t="s">
        <v>37</v>
      </c>
      <c r="L7242" s="27"/>
    </row>
    <row r="7243" customFormat="false" ht="15" hidden="false" customHeight="false" outlineLevel="0" collapsed="false">
      <c r="A7243" s="26" t="s">
        <v>19407</v>
      </c>
      <c r="B7243" s="27" t="s">
        <v>19408</v>
      </c>
      <c r="C7243" s="27" t="s">
        <v>144</v>
      </c>
      <c r="D7243" s="26"/>
      <c r="E7243" s="27"/>
      <c r="F7243" s="27"/>
      <c r="G7243" s="27" t="s">
        <v>11122</v>
      </c>
      <c r="H7243" s="27" t="s">
        <v>35</v>
      </c>
      <c r="I7243" s="27" t="s">
        <v>41</v>
      </c>
      <c r="J7243" s="28" t="s">
        <v>772</v>
      </c>
      <c r="K7243" s="27" t="s">
        <v>37</v>
      </c>
      <c r="L7243" s="27"/>
    </row>
    <row r="7244" customFormat="false" ht="15" hidden="false" customHeight="false" outlineLevel="0" collapsed="false">
      <c r="A7244" s="26" t="s">
        <v>19409</v>
      </c>
      <c r="B7244" s="27" t="s">
        <v>19410</v>
      </c>
      <c r="C7244" s="27" t="s">
        <v>144</v>
      </c>
      <c r="D7244" s="26"/>
      <c r="E7244" s="27"/>
      <c r="F7244" s="27"/>
      <c r="G7244" s="27" t="s">
        <v>11122</v>
      </c>
      <c r="H7244" s="27" t="s">
        <v>35</v>
      </c>
      <c r="I7244" s="27" t="s">
        <v>39</v>
      </c>
      <c r="J7244" s="28" t="s">
        <v>772</v>
      </c>
      <c r="K7244" s="27" t="s">
        <v>37</v>
      </c>
      <c r="L7244" s="27"/>
    </row>
    <row r="7245" customFormat="false" ht="15" hidden="false" customHeight="false" outlineLevel="0" collapsed="false">
      <c r="A7245" s="26" t="s">
        <v>19411</v>
      </c>
      <c r="B7245" s="27" t="s">
        <v>19412</v>
      </c>
      <c r="C7245" s="27" t="s">
        <v>144</v>
      </c>
      <c r="D7245" s="26"/>
      <c r="E7245" s="27"/>
      <c r="F7245" s="27"/>
      <c r="G7245" s="27" t="s">
        <v>11122</v>
      </c>
      <c r="H7245" s="27" t="s">
        <v>35</v>
      </c>
      <c r="I7245" s="27" t="s">
        <v>47</v>
      </c>
      <c r="J7245" s="28" t="s">
        <v>772</v>
      </c>
      <c r="K7245" s="27" t="s">
        <v>37</v>
      </c>
      <c r="L7245" s="27"/>
    </row>
    <row r="7246" customFormat="false" ht="15" hidden="false" customHeight="false" outlineLevel="0" collapsed="false">
      <c r="A7246" s="26" t="s">
        <v>19413</v>
      </c>
      <c r="B7246" s="27" t="s">
        <v>19414</v>
      </c>
      <c r="C7246" s="27" t="s">
        <v>144</v>
      </c>
      <c r="D7246" s="26"/>
      <c r="E7246" s="27"/>
      <c r="F7246" s="27"/>
      <c r="G7246" s="27" t="s">
        <v>11122</v>
      </c>
      <c r="H7246" s="27" t="s">
        <v>35</v>
      </c>
      <c r="I7246" s="27" t="s">
        <v>37</v>
      </c>
      <c r="J7246" s="28" t="s">
        <v>772</v>
      </c>
      <c r="K7246" s="27" t="s">
        <v>37</v>
      </c>
      <c r="L7246" s="27"/>
    </row>
    <row r="7247" customFormat="false" ht="15" hidden="false" customHeight="false" outlineLevel="0" collapsed="false">
      <c r="A7247" s="26" t="s">
        <v>19415</v>
      </c>
      <c r="B7247" s="27" t="s">
        <v>19416</v>
      </c>
      <c r="C7247" s="27" t="s">
        <v>144</v>
      </c>
      <c r="D7247" s="26"/>
      <c r="E7247" s="27"/>
      <c r="F7247" s="27"/>
      <c r="G7247" s="27" t="s">
        <v>11122</v>
      </c>
      <c r="H7247" s="27" t="s">
        <v>35</v>
      </c>
      <c r="I7247" s="27" t="s">
        <v>37</v>
      </c>
      <c r="J7247" s="28" t="s">
        <v>772</v>
      </c>
      <c r="K7247" s="27" t="s">
        <v>37</v>
      </c>
      <c r="L7247" s="27"/>
    </row>
    <row r="7248" customFormat="false" ht="15" hidden="false" customHeight="false" outlineLevel="0" collapsed="false">
      <c r="A7248" s="26" t="s">
        <v>19417</v>
      </c>
      <c r="B7248" s="27" t="s">
        <v>19418</v>
      </c>
      <c r="C7248" s="27" t="s">
        <v>144</v>
      </c>
      <c r="D7248" s="26"/>
      <c r="E7248" s="27"/>
      <c r="F7248" s="27"/>
      <c r="G7248" s="27" t="s">
        <v>11122</v>
      </c>
      <c r="H7248" s="27" t="s">
        <v>35</v>
      </c>
      <c r="I7248" s="27" t="s">
        <v>37</v>
      </c>
      <c r="J7248" s="28" t="s">
        <v>772</v>
      </c>
      <c r="K7248" s="27" t="s">
        <v>37</v>
      </c>
      <c r="L7248" s="27"/>
    </row>
    <row r="7249" customFormat="false" ht="15" hidden="false" customHeight="false" outlineLevel="0" collapsed="false">
      <c r="A7249" s="26" t="s">
        <v>19419</v>
      </c>
      <c r="B7249" s="27" t="s">
        <v>19420</v>
      </c>
      <c r="C7249" s="27" t="s">
        <v>144</v>
      </c>
      <c r="D7249" s="26"/>
      <c r="E7249" s="27"/>
      <c r="F7249" s="27"/>
      <c r="G7249" s="27" t="s">
        <v>11122</v>
      </c>
      <c r="H7249" s="27" t="s">
        <v>35</v>
      </c>
      <c r="I7249" s="27" t="s">
        <v>37</v>
      </c>
      <c r="J7249" s="28" t="s">
        <v>772</v>
      </c>
      <c r="K7249" s="27" t="s">
        <v>37</v>
      </c>
      <c r="L7249" s="27"/>
    </row>
    <row r="7250" customFormat="false" ht="15" hidden="false" customHeight="false" outlineLevel="0" collapsed="false">
      <c r="A7250" s="26" t="s">
        <v>19421</v>
      </c>
      <c r="B7250" s="27" t="s">
        <v>19422</v>
      </c>
      <c r="C7250" s="27" t="s">
        <v>144</v>
      </c>
      <c r="D7250" s="26"/>
      <c r="E7250" s="27"/>
      <c r="F7250" s="27"/>
      <c r="G7250" s="27" t="s">
        <v>11122</v>
      </c>
      <c r="H7250" s="27" t="s">
        <v>35</v>
      </c>
      <c r="I7250" s="27" t="s">
        <v>39</v>
      </c>
      <c r="J7250" s="28" t="s">
        <v>772</v>
      </c>
      <c r="K7250" s="27" t="s">
        <v>37</v>
      </c>
      <c r="L7250" s="27"/>
    </row>
    <row r="7251" customFormat="false" ht="15" hidden="false" customHeight="false" outlineLevel="0" collapsed="false">
      <c r="A7251" s="26" t="s">
        <v>19423</v>
      </c>
      <c r="B7251" s="27" t="s">
        <v>19424</v>
      </c>
      <c r="C7251" s="27" t="s">
        <v>144</v>
      </c>
      <c r="D7251" s="26"/>
      <c r="E7251" s="27"/>
      <c r="F7251" s="27"/>
      <c r="G7251" s="27" t="s">
        <v>11122</v>
      </c>
      <c r="H7251" s="27" t="s">
        <v>35</v>
      </c>
      <c r="I7251" s="27" t="s">
        <v>39</v>
      </c>
      <c r="J7251" s="28" t="s">
        <v>772</v>
      </c>
      <c r="K7251" s="27" t="s">
        <v>37</v>
      </c>
      <c r="L7251" s="27"/>
    </row>
    <row r="7252" customFormat="false" ht="15" hidden="false" customHeight="false" outlineLevel="0" collapsed="false">
      <c r="A7252" s="26" t="s">
        <v>19425</v>
      </c>
      <c r="B7252" s="27" t="s">
        <v>19426</v>
      </c>
      <c r="C7252" s="27" t="s">
        <v>144</v>
      </c>
      <c r="D7252" s="26"/>
      <c r="E7252" s="27"/>
      <c r="F7252" s="27"/>
      <c r="G7252" s="27" t="s">
        <v>11122</v>
      </c>
      <c r="H7252" s="27" t="s">
        <v>35</v>
      </c>
      <c r="I7252" s="27" t="s">
        <v>37</v>
      </c>
      <c r="J7252" s="28" t="s">
        <v>772</v>
      </c>
      <c r="K7252" s="27" t="s">
        <v>37</v>
      </c>
      <c r="L7252" s="27"/>
    </row>
    <row r="7253" customFormat="false" ht="15" hidden="false" customHeight="false" outlineLevel="0" collapsed="false">
      <c r="A7253" s="26" t="s">
        <v>19427</v>
      </c>
      <c r="B7253" s="27" t="s">
        <v>19428</v>
      </c>
      <c r="C7253" s="27" t="s">
        <v>144</v>
      </c>
      <c r="D7253" s="26"/>
      <c r="E7253" s="27"/>
      <c r="F7253" s="27"/>
      <c r="G7253" s="27" t="s">
        <v>11122</v>
      </c>
      <c r="H7253" s="27" t="s">
        <v>35</v>
      </c>
      <c r="I7253" s="27" t="s">
        <v>3536</v>
      </c>
      <c r="J7253" s="28" t="s">
        <v>772</v>
      </c>
      <c r="K7253" s="27" t="s">
        <v>37</v>
      </c>
      <c r="L7253" s="27"/>
    </row>
    <row r="7254" customFormat="false" ht="15" hidden="false" customHeight="false" outlineLevel="0" collapsed="false">
      <c r="A7254" s="26" t="s">
        <v>19429</v>
      </c>
      <c r="B7254" s="27" t="s">
        <v>19430</v>
      </c>
      <c r="C7254" s="27" t="s">
        <v>144</v>
      </c>
      <c r="D7254" s="26"/>
      <c r="E7254" s="27"/>
      <c r="F7254" s="27"/>
      <c r="G7254" s="27" t="s">
        <v>11122</v>
      </c>
      <c r="H7254" s="27" t="s">
        <v>35</v>
      </c>
      <c r="I7254" s="27" t="s">
        <v>3536</v>
      </c>
      <c r="J7254" s="28" t="s">
        <v>772</v>
      </c>
      <c r="K7254" s="27" t="s">
        <v>37</v>
      </c>
      <c r="L7254" s="27"/>
    </row>
    <row r="7255" customFormat="false" ht="15" hidden="false" customHeight="false" outlineLevel="0" collapsed="false">
      <c r="A7255" s="26" t="s">
        <v>19431</v>
      </c>
      <c r="B7255" s="27" t="s">
        <v>19432</v>
      </c>
      <c r="C7255" s="27" t="s">
        <v>144</v>
      </c>
      <c r="D7255" s="26"/>
      <c r="E7255" s="27"/>
      <c r="F7255" s="27"/>
      <c r="G7255" s="27" t="s">
        <v>11122</v>
      </c>
      <c r="H7255" s="27" t="s">
        <v>35</v>
      </c>
      <c r="I7255" s="27" t="s">
        <v>43</v>
      </c>
      <c r="J7255" s="28" t="s">
        <v>772</v>
      </c>
      <c r="K7255" s="27" t="s">
        <v>37</v>
      </c>
      <c r="L7255" s="27"/>
    </row>
    <row r="7256" customFormat="false" ht="15" hidden="false" customHeight="false" outlineLevel="0" collapsed="false">
      <c r="A7256" s="26" t="s">
        <v>19433</v>
      </c>
      <c r="B7256" s="27" t="s">
        <v>19434</v>
      </c>
      <c r="C7256" s="27" t="s">
        <v>144</v>
      </c>
      <c r="D7256" s="26"/>
      <c r="E7256" s="27"/>
      <c r="F7256" s="27"/>
      <c r="G7256" s="27" t="s">
        <v>11122</v>
      </c>
      <c r="H7256" s="27" t="s">
        <v>35</v>
      </c>
      <c r="I7256" s="27" t="s">
        <v>37</v>
      </c>
      <c r="J7256" s="28" t="s">
        <v>772</v>
      </c>
      <c r="K7256" s="27" t="s">
        <v>37</v>
      </c>
      <c r="L7256" s="27"/>
    </row>
    <row r="7257" customFormat="false" ht="15" hidden="false" customHeight="false" outlineLevel="0" collapsed="false">
      <c r="A7257" s="26" t="s">
        <v>19435</v>
      </c>
      <c r="B7257" s="27" t="s">
        <v>19436</v>
      </c>
      <c r="C7257" s="27" t="s">
        <v>144</v>
      </c>
      <c r="D7257" s="26"/>
      <c r="E7257" s="27"/>
      <c r="F7257" s="27"/>
      <c r="G7257" s="27" t="s">
        <v>11122</v>
      </c>
      <c r="H7257" s="27" t="s">
        <v>35</v>
      </c>
      <c r="I7257" s="27" t="s">
        <v>37</v>
      </c>
      <c r="J7257" s="28" t="s">
        <v>772</v>
      </c>
      <c r="K7257" s="27" t="s">
        <v>37</v>
      </c>
      <c r="L7257" s="27"/>
    </row>
    <row r="7258" customFormat="false" ht="15" hidden="false" customHeight="false" outlineLevel="0" collapsed="false">
      <c r="A7258" s="26" t="s">
        <v>19437</v>
      </c>
      <c r="B7258" s="27" t="s">
        <v>19438</v>
      </c>
      <c r="C7258" s="27" t="s">
        <v>144</v>
      </c>
      <c r="D7258" s="26"/>
      <c r="E7258" s="27"/>
      <c r="F7258" s="27"/>
      <c r="G7258" s="27" t="s">
        <v>11122</v>
      </c>
      <c r="H7258" s="27" t="s">
        <v>35</v>
      </c>
      <c r="I7258" s="27" t="s">
        <v>43</v>
      </c>
      <c r="J7258" s="28" t="s">
        <v>772</v>
      </c>
      <c r="K7258" s="27" t="s">
        <v>37</v>
      </c>
      <c r="L7258" s="27"/>
    </row>
    <row r="7259" customFormat="false" ht="15" hidden="false" customHeight="false" outlineLevel="0" collapsed="false">
      <c r="A7259" s="26" t="s">
        <v>19439</v>
      </c>
      <c r="B7259" s="27" t="s">
        <v>19440</v>
      </c>
      <c r="C7259" s="27" t="s">
        <v>144</v>
      </c>
      <c r="D7259" s="26"/>
      <c r="E7259" s="27"/>
      <c r="F7259" s="27"/>
      <c r="G7259" s="27" t="s">
        <v>11122</v>
      </c>
      <c r="H7259" s="27" t="s">
        <v>35</v>
      </c>
      <c r="I7259" s="27" t="s">
        <v>39</v>
      </c>
      <c r="J7259" s="28" t="s">
        <v>772</v>
      </c>
      <c r="K7259" s="27" t="s">
        <v>37</v>
      </c>
      <c r="L7259" s="27"/>
    </row>
    <row r="7260" customFormat="false" ht="15" hidden="false" customHeight="false" outlineLevel="0" collapsed="false">
      <c r="A7260" s="26" t="s">
        <v>19441</v>
      </c>
      <c r="B7260" s="27" t="s">
        <v>19442</v>
      </c>
      <c r="C7260" s="27" t="s">
        <v>144</v>
      </c>
      <c r="D7260" s="26"/>
      <c r="E7260" s="27"/>
      <c r="F7260" s="27"/>
      <c r="G7260" s="27" t="s">
        <v>11122</v>
      </c>
      <c r="H7260" s="27" t="s">
        <v>35</v>
      </c>
      <c r="I7260" s="27" t="s">
        <v>37</v>
      </c>
      <c r="J7260" s="28" t="s">
        <v>772</v>
      </c>
      <c r="K7260" s="27" t="s">
        <v>37</v>
      </c>
      <c r="L7260" s="27"/>
    </row>
    <row r="7261" customFormat="false" ht="15" hidden="false" customHeight="false" outlineLevel="0" collapsed="false">
      <c r="A7261" s="26" t="s">
        <v>19443</v>
      </c>
      <c r="B7261" s="27" t="s">
        <v>19444</v>
      </c>
      <c r="C7261" s="27" t="s">
        <v>144</v>
      </c>
      <c r="D7261" s="26"/>
      <c r="E7261" s="27"/>
      <c r="F7261" s="27"/>
      <c r="G7261" s="27" t="s">
        <v>11122</v>
      </c>
      <c r="H7261" s="27" t="s">
        <v>35</v>
      </c>
      <c r="I7261" s="27" t="s">
        <v>38</v>
      </c>
      <c r="J7261" s="28" t="s">
        <v>772</v>
      </c>
      <c r="K7261" s="27" t="s">
        <v>37</v>
      </c>
      <c r="L7261" s="27"/>
    </row>
    <row r="7262" customFormat="false" ht="15" hidden="false" customHeight="false" outlineLevel="0" collapsed="false">
      <c r="A7262" s="26" t="s">
        <v>19445</v>
      </c>
      <c r="B7262" s="27" t="s">
        <v>19446</v>
      </c>
      <c r="C7262" s="27" t="s">
        <v>144</v>
      </c>
      <c r="D7262" s="26"/>
      <c r="E7262" s="27"/>
      <c r="F7262" s="27"/>
      <c r="G7262" s="27" t="s">
        <v>11122</v>
      </c>
      <c r="H7262" s="27" t="s">
        <v>35</v>
      </c>
      <c r="I7262" s="27" t="s">
        <v>38</v>
      </c>
      <c r="J7262" s="28" t="s">
        <v>772</v>
      </c>
      <c r="K7262" s="27" t="s">
        <v>37</v>
      </c>
      <c r="L7262" s="27"/>
    </row>
    <row r="7263" customFormat="false" ht="15" hidden="false" customHeight="false" outlineLevel="0" collapsed="false">
      <c r="A7263" s="26" t="s">
        <v>19447</v>
      </c>
      <c r="B7263" s="27" t="s">
        <v>19448</v>
      </c>
      <c r="C7263" s="27" t="s">
        <v>144</v>
      </c>
      <c r="D7263" s="26"/>
      <c r="E7263" s="27"/>
      <c r="F7263" s="27"/>
      <c r="G7263" s="27" t="s">
        <v>11122</v>
      </c>
      <c r="H7263" s="27" t="s">
        <v>35</v>
      </c>
      <c r="I7263" s="27" t="s">
        <v>37</v>
      </c>
      <c r="J7263" s="28" t="s">
        <v>772</v>
      </c>
      <c r="K7263" s="27" t="s">
        <v>37</v>
      </c>
      <c r="L7263" s="27"/>
    </row>
    <row r="7264" customFormat="false" ht="15" hidden="false" customHeight="false" outlineLevel="0" collapsed="false">
      <c r="A7264" s="26" t="s">
        <v>19449</v>
      </c>
      <c r="B7264" s="27" t="s">
        <v>19450</v>
      </c>
      <c r="C7264" s="27" t="s">
        <v>144</v>
      </c>
      <c r="D7264" s="26"/>
      <c r="E7264" s="27"/>
      <c r="F7264" s="27"/>
      <c r="G7264" s="27" t="s">
        <v>11122</v>
      </c>
      <c r="H7264" s="27" t="s">
        <v>35</v>
      </c>
      <c r="I7264" s="27" t="s">
        <v>37</v>
      </c>
      <c r="J7264" s="28" t="s">
        <v>772</v>
      </c>
      <c r="K7264" s="27" t="s">
        <v>37</v>
      </c>
      <c r="L7264" s="27"/>
    </row>
    <row r="7265" customFormat="false" ht="15" hidden="false" customHeight="false" outlineLevel="0" collapsed="false">
      <c r="A7265" s="26" t="s">
        <v>19451</v>
      </c>
      <c r="B7265" s="27" t="s">
        <v>19452</v>
      </c>
      <c r="C7265" s="27" t="s">
        <v>144</v>
      </c>
      <c r="D7265" s="26"/>
      <c r="E7265" s="27"/>
      <c r="F7265" s="27"/>
      <c r="G7265" s="27" t="s">
        <v>11122</v>
      </c>
      <c r="H7265" s="27" t="s">
        <v>35</v>
      </c>
      <c r="I7265" s="27" t="s">
        <v>37</v>
      </c>
      <c r="J7265" s="28" t="s">
        <v>772</v>
      </c>
      <c r="K7265" s="27" t="s">
        <v>37</v>
      </c>
      <c r="L7265" s="27"/>
    </row>
    <row r="7266" customFormat="false" ht="15" hidden="false" customHeight="false" outlineLevel="0" collapsed="false">
      <c r="A7266" s="26" t="s">
        <v>19453</v>
      </c>
      <c r="B7266" s="27" t="s">
        <v>19454</v>
      </c>
      <c r="C7266" s="27" t="s">
        <v>144</v>
      </c>
      <c r="D7266" s="26"/>
      <c r="E7266" s="27"/>
      <c r="F7266" s="27"/>
      <c r="G7266" s="27" t="s">
        <v>11122</v>
      </c>
      <c r="H7266" s="27" t="s">
        <v>35</v>
      </c>
      <c r="I7266" s="27" t="s">
        <v>37</v>
      </c>
      <c r="J7266" s="28" t="s">
        <v>772</v>
      </c>
      <c r="K7266" s="27" t="s">
        <v>37</v>
      </c>
      <c r="L7266" s="27"/>
    </row>
    <row r="7267" customFormat="false" ht="15" hidden="false" customHeight="false" outlineLevel="0" collapsed="false">
      <c r="A7267" s="26" t="s">
        <v>19455</v>
      </c>
      <c r="B7267" s="27" t="s">
        <v>19456</v>
      </c>
      <c r="C7267" s="27" t="s">
        <v>144</v>
      </c>
      <c r="D7267" s="26"/>
      <c r="E7267" s="27"/>
      <c r="F7267" s="27"/>
      <c r="G7267" s="27" t="s">
        <v>11122</v>
      </c>
      <c r="H7267" s="27" t="s">
        <v>35</v>
      </c>
      <c r="I7267" s="27" t="s">
        <v>37</v>
      </c>
      <c r="J7267" s="28" t="s">
        <v>772</v>
      </c>
      <c r="K7267" s="27" t="s">
        <v>37</v>
      </c>
      <c r="L7267" s="27"/>
    </row>
    <row r="7268" customFormat="false" ht="15" hidden="false" customHeight="false" outlineLevel="0" collapsed="false">
      <c r="A7268" s="26" t="s">
        <v>19457</v>
      </c>
      <c r="B7268" s="27" t="s">
        <v>19458</v>
      </c>
      <c r="C7268" s="27" t="s">
        <v>144</v>
      </c>
      <c r="D7268" s="26"/>
      <c r="E7268" s="27"/>
      <c r="F7268" s="27"/>
      <c r="G7268" s="27" t="s">
        <v>11122</v>
      </c>
      <c r="H7268" s="27" t="s">
        <v>35</v>
      </c>
      <c r="I7268" s="27" t="s">
        <v>37</v>
      </c>
      <c r="J7268" s="28" t="s">
        <v>772</v>
      </c>
      <c r="K7268" s="27" t="s">
        <v>37</v>
      </c>
      <c r="L7268" s="27"/>
    </row>
    <row r="7269" customFormat="false" ht="15" hidden="false" customHeight="false" outlineLevel="0" collapsed="false">
      <c r="A7269" s="26" t="s">
        <v>19459</v>
      </c>
      <c r="B7269" s="27" t="s">
        <v>19460</v>
      </c>
      <c r="C7269" s="27" t="s">
        <v>144</v>
      </c>
      <c r="D7269" s="26"/>
      <c r="E7269" s="27"/>
      <c r="F7269" s="27"/>
      <c r="G7269" s="27" t="s">
        <v>11122</v>
      </c>
      <c r="H7269" s="27" t="s">
        <v>35</v>
      </c>
      <c r="I7269" s="27" t="s">
        <v>37</v>
      </c>
      <c r="J7269" s="28" t="s">
        <v>772</v>
      </c>
      <c r="K7269" s="27" t="s">
        <v>37</v>
      </c>
      <c r="L7269" s="27"/>
    </row>
    <row r="7270" customFormat="false" ht="15" hidden="false" customHeight="false" outlineLevel="0" collapsed="false">
      <c r="A7270" s="26" t="s">
        <v>19461</v>
      </c>
      <c r="B7270" s="27" t="s">
        <v>19462</v>
      </c>
      <c r="C7270" s="27" t="s">
        <v>144</v>
      </c>
      <c r="D7270" s="26"/>
      <c r="E7270" s="27"/>
      <c r="F7270" s="27"/>
      <c r="G7270" s="27" t="s">
        <v>11122</v>
      </c>
      <c r="H7270" s="27" t="s">
        <v>35</v>
      </c>
      <c r="I7270" s="27" t="s">
        <v>37</v>
      </c>
      <c r="J7270" s="28" t="s">
        <v>772</v>
      </c>
      <c r="K7270" s="27" t="s">
        <v>37</v>
      </c>
      <c r="L7270" s="27"/>
    </row>
    <row r="7271" customFormat="false" ht="15" hidden="false" customHeight="false" outlineLevel="0" collapsed="false">
      <c r="A7271" s="26" t="s">
        <v>19463</v>
      </c>
      <c r="B7271" s="27" t="s">
        <v>19460</v>
      </c>
      <c r="C7271" s="27" t="s">
        <v>144</v>
      </c>
      <c r="D7271" s="26"/>
      <c r="E7271" s="27"/>
      <c r="F7271" s="27"/>
      <c r="G7271" s="27" t="s">
        <v>11122</v>
      </c>
      <c r="H7271" s="27" t="s">
        <v>35</v>
      </c>
      <c r="I7271" s="27" t="s">
        <v>37</v>
      </c>
      <c r="J7271" s="28" t="s">
        <v>772</v>
      </c>
      <c r="K7271" s="27" t="s">
        <v>37</v>
      </c>
      <c r="L7271" s="27"/>
    </row>
    <row r="7272" customFormat="false" ht="15" hidden="false" customHeight="false" outlineLevel="0" collapsed="false">
      <c r="A7272" s="26" t="s">
        <v>19464</v>
      </c>
      <c r="B7272" s="27" t="s">
        <v>19465</v>
      </c>
      <c r="C7272" s="27" t="s">
        <v>144</v>
      </c>
      <c r="D7272" s="26"/>
      <c r="E7272" s="27"/>
      <c r="F7272" s="27"/>
      <c r="G7272" s="27" t="s">
        <v>11122</v>
      </c>
      <c r="H7272" s="27" t="s">
        <v>35</v>
      </c>
      <c r="I7272" s="27" t="s">
        <v>37</v>
      </c>
      <c r="J7272" s="28" t="s">
        <v>772</v>
      </c>
      <c r="K7272" s="27" t="s">
        <v>37</v>
      </c>
      <c r="L7272" s="27"/>
    </row>
    <row r="7273" customFormat="false" ht="15" hidden="false" customHeight="false" outlineLevel="0" collapsed="false">
      <c r="A7273" s="26" t="s">
        <v>19466</v>
      </c>
      <c r="B7273" s="27" t="s">
        <v>19467</v>
      </c>
      <c r="C7273" s="27" t="s">
        <v>144</v>
      </c>
      <c r="D7273" s="26"/>
      <c r="E7273" s="27"/>
      <c r="F7273" s="27"/>
      <c r="G7273" s="27" t="s">
        <v>11122</v>
      </c>
      <c r="H7273" s="27" t="s">
        <v>35</v>
      </c>
      <c r="I7273" s="27" t="s">
        <v>37</v>
      </c>
      <c r="J7273" s="28" t="s">
        <v>772</v>
      </c>
      <c r="K7273" s="27" t="s">
        <v>37</v>
      </c>
      <c r="L7273" s="27"/>
    </row>
    <row r="7274" customFormat="false" ht="15" hidden="false" customHeight="false" outlineLevel="0" collapsed="false">
      <c r="A7274" s="26" t="s">
        <v>19468</v>
      </c>
      <c r="B7274" s="27" t="s">
        <v>19469</v>
      </c>
      <c r="C7274" s="27" t="s">
        <v>144</v>
      </c>
      <c r="D7274" s="26"/>
      <c r="E7274" s="27"/>
      <c r="F7274" s="27"/>
      <c r="G7274" s="27" t="s">
        <v>11122</v>
      </c>
      <c r="H7274" s="27" t="s">
        <v>35</v>
      </c>
      <c r="I7274" s="27" t="s">
        <v>37</v>
      </c>
      <c r="J7274" s="28" t="s">
        <v>772</v>
      </c>
      <c r="K7274" s="27" t="s">
        <v>37</v>
      </c>
      <c r="L7274" s="27"/>
    </row>
    <row r="7275" customFormat="false" ht="15" hidden="false" customHeight="false" outlineLevel="0" collapsed="false">
      <c r="A7275" s="26" t="s">
        <v>19470</v>
      </c>
      <c r="B7275" s="27" t="s">
        <v>19471</v>
      </c>
      <c r="C7275" s="27" t="s">
        <v>144</v>
      </c>
      <c r="D7275" s="26"/>
      <c r="E7275" s="27"/>
      <c r="F7275" s="27"/>
      <c r="G7275" s="27" t="s">
        <v>11122</v>
      </c>
      <c r="H7275" s="27" t="s">
        <v>35</v>
      </c>
      <c r="I7275" s="27" t="s">
        <v>37</v>
      </c>
      <c r="J7275" s="28" t="s">
        <v>772</v>
      </c>
      <c r="K7275" s="27" t="s">
        <v>37</v>
      </c>
      <c r="L7275" s="27"/>
    </row>
    <row r="7276" customFormat="false" ht="15" hidden="false" customHeight="false" outlineLevel="0" collapsed="false">
      <c r="A7276" s="26" t="s">
        <v>19472</v>
      </c>
      <c r="B7276" s="27" t="s">
        <v>19473</v>
      </c>
      <c r="C7276" s="27" t="s">
        <v>144</v>
      </c>
      <c r="D7276" s="26"/>
      <c r="E7276" s="27"/>
      <c r="F7276" s="27"/>
      <c r="G7276" s="27" t="s">
        <v>11122</v>
      </c>
      <c r="H7276" s="27" t="s">
        <v>35</v>
      </c>
      <c r="I7276" s="27" t="s">
        <v>37</v>
      </c>
      <c r="J7276" s="28" t="s">
        <v>772</v>
      </c>
      <c r="K7276" s="27" t="s">
        <v>37</v>
      </c>
      <c r="L7276" s="27"/>
    </row>
    <row r="7277" customFormat="false" ht="15" hidden="false" customHeight="false" outlineLevel="0" collapsed="false">
      <c r="A7277" s="26" t="s">
        <v>19474</v>
      </c>
      <c r="B7277" s="27" t="s">
        <v>19475</v>
      </c>
      <c r="C7277" s="27" t="s">
        <v>144</v>
      </c>
      <c r="D7277" s="26"/>
      <c r="E7277" s="27"/>
      <c r="F7277" s="27"/>
      <c r="G7277" s="27" t="s">
        <v>11122</v>
      </c>
      <c r="H7277" s="27" t="s">
        <v>35</v>
      </c>
      <c r="I7277" s="27" t="s">
        <v>37</v>
      </c>
      <c r="J7277" s="28" t="s">
        <v>772</v>
      </c>
      <c r="K7277" s="27" t="s">
        <v>37</v>
      </c>
      <c r="L7277" s="27"/>
    </row>
    <row r="7278" customFormat="false" ht="15" hidden="false" customHeight="false" outlineLevel="0" collapsed="false">
      <c r="A7278" s="26" t="s">
        <v>19476</v>
      </c>
      <c r="B7278" s="27" t="s">
        <v>19477</v>
      </c>
      <c r="C7278" s="27" t="s">
        <v>144</v>
      </c>
      <c r="D7278" s="26"/>
      <c r="E7278" s="27"/>
      <c r="F7278" s="27"/>
      <c r="G7278" s="27" t="s">
        <v>11122</v>
      </c>
      <c r="H7278" s="27" t="s">
        <v>35</v>
      </c>
      <c r="I7278" s="27" t="s">
        <v>37</v>
      </c>
      <c r="J7278" s="28" t="s">
        <v>772</v>
      </c>
      <c r="K7278" s="27" t="s">
        <v>37</v>
      </c>
      <c r="L7278" s="27"/>
    </row>
    <row r="7279" customFormat="false" ht="15" hidden="false" customHeight="false" outlineLevel="0" collapsed="false">
      <c r="A7279" s="26" t="s">
        <v>19478</v>
      </c>
      <c r="B7279" s="27" t="s">
        <v>19479</v>
      </c>
      <c r="C7279" s="27" t="s">
        <v>144</v>
      </c>
      <c r="D7279" s="26"/>
      <c r="E7279" s="27"/>
      <c r="F7279" s="27"/>
      <c r="G7279" s="27" t="s">
        <v>11122</v>
      </c>
      <c r="H7279" s="27" t="s">
        <v>35</v>
      </c>
      <c r="I7279" s="27" t="s">
        <v>37</v>
      </c>
      <c r="J7279" s="28" t="s">
        <v>772</v>
      </c>
      <c r="K7279" s="27" t="s">
        <v>37</v>
      </c>
      <c r="L7279" s="27"/>
    </row>
    <row r="7280" customFormat="false" ht="15" hidden="false" customHeight="false" outlineLevel="0" collapsed="false">
      <c r="A7280" s="26" t="s">
        <v>19480</v>
      </c>
      <c r="B7280" s="27" t="s">
        <v>19481</v>
      </c>
      <c r="C7280" s="27" t="s">
        <v>137</v>
      </c>
      <c r="D7280" s="26"/>
      <c r="E7280" s="27"/>
      <c r="F7280" s="27"/>
      <c r="G7280" s="27" t="s">
        <v>11122</v>
      </c>
      <c r="H7280" s="27" t="s">
        <v>35</v>
      </c>
      <c r="I7280" s="27" t="s">
        <v>37</v>
      </c>
      <c r="J7280" s="28" t="s">
        <v>772</v>
      </c>
      <c r="K7280" s="27" t="s">
        <v>37</v>
      </c>
      <c r="L7280" s="27"/>
    </row>
    <row r="7281" customFormat="false" ht="15" hidden="false" customHeight="false" outlineLevel="0" collapsed="false">
      <c r="A7281" s="26" t="s">
        <v>19482</v>
      </c>
      <c r="B7281" s="27" t="s">
        <v>19483</v>
      </c>
      <c r="C7281" s="27" t="s">
        <v>137</v>
      </c>
      <c r="D7281" s="26"/>
      <c r="E7281" s="27"/>
      <c r="F7281" s="27"/>
      <c r="G7281" s="27" t="s">
        <v>11122</v>
      </c>
      <c r="H7281" s="27" t="s">
        <v>35</v>
      </c>
      <c r="I7281" s="27" t="s">
        <v>37</v>
      </c>
      <c r="J7281" s="28" t="s">
        <v>772</v>
      </c>
      <c r="K7281" s="27" t="s">
        <v>37</v>
      </c>
      <c r="L7281" s="27"/>
    </row>
    <row r="7282" customFormat="false" ht="15" hidden="false" customHeight="false" outlineLevel="0" collapsed="false">
      <c r="A7282" s="26" t="s">
        <v>19484</v>
      </c>
      <c r="B7282" s="27" t="s">
        <v>19485</v>
      </c>
      <c r="C7282" s="27" t="s">
        <v>137</v>
      </c>
      <c r="D7282" s="26"/>
      <c r="E7282" s="27"/>
      <c r="F7282" s="27"/>
      <c r="G7282" s="27" t="s">
        <v>11122</v>
      </c>
      <c r="H7282" s="27" t="s">
        <v>35</v>
      </c>
      <c r="I7282" s="27" t="s">
        <v>37</v>
      </c>
      <c r="J7282" s="28" t="s">
        <v>772</v>
      </c>
      <c r="K7282" s="27" t="s">
        <v>37</v>
      </c>
      <c r="L7282" s="27"/>
    </row>
    <row r="7283" customFormat="false" ht="15" hidden="false" customHeight="false" outlineLevel="0" collapsed="false">
      <c r="A7283" s="26" t="s">
        <v>19486</v>
      </c>
      <c r="B7283" s="27" t="s">
        <v>19487</v>
      </c>
      <c r="C7283" s="27" t="s">
        <v>137</v>
      </c>
      <c r="D7283" s="26"/>
      <c r="E7283" s="27"/>
      <c r="F7283" s="27"/>
      <c r="G7283" s="27" t="s">
        <v>11122</v>
      </c>
      <c r="H7283" s="27" t="s">
        <v>35</v>
      </c>
      <c r="I7283" s="27" t="s">
        <v>37</v>
      </c>
      <c r="J7283" s="28" t="s">
        <v>772</v>
      </c>
      <c r="K7283" s="27" t="s">
        <v>37</v>
      </c>
      <c r="L7283" s="27"/>
    </row>
    <row r="7284" customFormat="false" ht="15" hidden="false" customHeight="false" outlineLevel="0" collapsed="false">
      <c r="A7284" s="26" t="s">
        <v>19488</v>
      </c>
      <c r="B7284" s="27" t="s">
        <v>19489</v>
      </c>
      <c r="C7284" s="27" t="s">
        <v>144</v>
      </c>
      <c r="D7284" s="26"/>
      <c r="E7284" s="27"/>
      <c r="F7284" s="27"/>
      <c r="G7284" s="27" t="s">
        <v>11122</v>
      </c>
      <c r="H7284" s="27" t="s">
        <v>35</v>
      </c>
      <c r="I7284" s="27" t="s">
        <v>37</v>
      </c>
      <c r="J7284" s="28" t="s">
        <v>772</v>
      </c>
      <c r="K7284" s="27" t="s">
        <v>37</v>
      </c>
      <c r="L7284" s="27"/>
    </row>
    <row r="7285" customFormat="false" ht="15" hidden="false" customHeight="false" outlineLevel="0" collapsed="false">
      <c r="A7285" s="26" t="s">
        <v>19490</v>
      </c>
      <c r="B7285" s="27" t="s">
        <v>19491</v>
      </c>
      <c r="C7285" s="27" t="s">
        <v>137</v>
      </c>
      <c r="D7285" s="26"/>
      <c r="E7285" s="27"/>
      <c r="F7285" s="27"/>
      <c r="G7285" s="27" t="s">
        <v>11122</v>
      </c>
      <c r="H7285" s="27" t="s">
        <v>35</v>
      </c>
      <c r="I7285" s="27" t="s">
        <v>37</v>
      </c>
      <c r="J7285" s="28" t="s">
        <v>772</v>
      </c>
      <c r="K7285" s="27" t="s">
        <v>37</v>
      </c>
      <c r="L7285" s="27"/>
    </row>
    <row r="7286" customFormat="false" ht="15" hidden="false" customHeight="false" outlineLevel="0" collapsed="false">
      <c r="A7286" s="26" t="s">
        <v>19492</v>
      </c>
      <c r="B7286" s="27" t="s">
        <v>19493</v>
      </c>
      <c r="C7286" s="27" t="s">
        <v>137</v>
      </c>
      <c r="D7286" s="26"/>
      <c r="E7286" s="27"/>
      <c r="F7286" s="27"/>
      <c r="G7286" s="27" t="s">
        <v>11122</v>
      </c>
      <c r="H7286" s="27" t="s">
        <v>35</v>
      </c>
      <c r="I7286" s="27" t="s">
        <v>37</v>
      </c>
      <c r="J7286" s="28" t="s">
        <v>772</v>
      </c>
      <c r="K7286" s="27" t="s">
        <v>37</v>
      </c>
      <c r="L7286" s="27"/>
    </row>
    <row r="7287" customFormat="false" ht="15" hidden="false" customHeight="false" outlineLevel="0" collapsed="false">
      <c r="A7287" s="26" t="s">
        <v>19494</v>
      </c>
      <c r="B7287" s="27" t="s">
        <v>19495</v>
      </c>
      <c r="C7287" s="27" t="s">
        <v>17135</v>
      </c>
      <c r="D7287" s="26"/>
      <c r="E7287" s="27"/>
      <c r="F7287" s="27"/>
      <c r="G7287" s="27" t="s">
        <v>11122</v>
      </c>
      <c r="H7287" s="27" t="s">
        <v>35</v>
      </c>
      <c r="I7287" s="27" t="s">
        <v>37</v>
      </c>
      <c r="J7287" s="28" t="s">
        <v>772</v>
      </c>
      <c r="K7287" s="27" t="s">
        <v>37</v>
      </c>
      <c r="L7287" s="27"/>
    </row>
    <row r="7288" customFormat="false" ht="15" hidden="false" customHeight="false" outlineLevel="0" collapsed="false">
      <c r="A7288" s="26" t="s">
        <v>19496</v>
      </c>
      <c r="B7288" s="27" t="s">
        <v>19497</v>
      </c>
      <c r="C7288" s="27" t="s">
        <v>137</v>
      </c>
      <c r="D7288" s="26"/>
      <c r="E7288" s="27"/>
      <c r="F7288" s="27"/>
      <c r="G7288" s="27" t="s">
        <v>11122</v>
      </c>
      <c r="H7288" s="27" t="s">
        <v>35</v>
      </c>
      <c r="I7288" s="27" t="s">
        <v>37</v>
      </c>
      <c r="J7288" s="28" t="s">
        <v>772</v>
      </c>
      <c r="K7288" s="27" t="s">
        <v>37</v>
      </c>
      <c r="L7288" s="27"/>
    </row>
    <row r="7289" customFormat="false" ht="15" hidden="false" customHeight="false" outlineLevel="0" collapsed="false">
      <c r="A7289" s="26" t="s">
        <v>19498</v>
      </c>
      <c r="B7289" s="27" t="s">
        <v>19499</v>
      </c>
      <c r="C7289" s="27" t="s">
        <v>137</v>
      </c>
      <c r="D7289" s="26"/>
      <c r="E7289" s="27"/>
      <c r="F7289" s="27"/>
      <c r="G7289" s="27" t="s">
        <v>11122</v>
      </c>
      <c r="H7289" s="27" t="s">
        <v>35</v>
      </c>
      <c r="I7289" s="27" t="s">
        <v>47</v>
      </c>
      <c r="J7289" s="28" t="s">
        <v>772</v>
      </c>
      <c r="K7289" s="27" t="s">
        <v>37</v>
      </c>
      <c r="L7289" s="27"/>
    </row>
    <row r="7290" customFormat="false" ht="15" hidden="false" customHeight="false" outlineLevel="0" collapsed="false">
      <c r="A7290" s="26" t="s">
        <v>19500</v>
      </c>
      <c r="B7290" s="27" t="s">
        <v>19501</v>
      </c>
      <c r="C7290" s="27" t="s">
        <v>144</v>
      </c>
      <c r="D7290" s="26"/>
      <c r="E7290" s="27"/>
      <c r="F7290" s="27"/>
      <c r="G7290" s="27" t="s">
        <v>11122</v>
      </c>
      <c r="H7290" s="27" t="s">
        <v>35</v>
      </c>
      <c r="I7290" s="27" t="s">
        <v>39</v>
      </c>
      <c r="J7290" s="28" t="s">
        <v>772</v>
      </c>
      <c r="K7290" s="27" t="s">
        <v>37</v>
      </c>
      <c r="L7290" s="27"/>
    </row>
    <row r="7291" customFormat="false" ht="15" hidden="false" customHeight="false" outlineLevel="0" collapsed="false">
      <c r="A7291" s="26" t="s">
        <v>19502</v>
      </c>
      <c r="B7291" s="27" t="s">
        <v>19503</v>
      </c>
      <c r="C7291" s="27" t="s">
        <v>137</v>
      </c>
      <c r="D7291" s="26"/>
      <c r="E7291" s="27"/>
      <c r="F7291" s="27"/>
      <c r="G7291" s="27" t="s">
        <v>11122</v>
      </c>
      <c r="H7291" s="27" t="s">
        <v>35</v>
      </c>
      <c r="I7291" s="27" t="s">
        <v>41</v>
      </c>
      <c r="J7291" s="28" t="s">
        <v>772</v>
      </c>
      <c r="K7291" s="27" t="s">
        <v>37</v>
      </c>
      <c r="L7291" s="27"/>
    </row>
    <row r="7292" customFormat="false" ht="15" hidden="false" customHeight="false" outlineLevel="0" collapsed="false">
      <c r="A7292" s="26" t="s">
        <v>19504</v>
      </c>
      <c r="B7292" s="27" t="s">
        <v>19505</v>
      </c>
      <c r="C7292" s="27" t="s">
        <v>137</v>
      </c>
      <c r="D7292" s="26"/>
      <c r="E7292" s="27"/>
      <c r="F7292" s="27"/>
      <c r="G7292" s="27" t="s">
        <v>11122</v>
      </c>
      <c r="H7292" s="27" t="s">
        <v>35</v>
      </c>
      <c r="I7292" s="27" t="s">
        <v>37</v>
      </c>
      <c r="J7292" s="28" t="s">
        <v>772</v>
      </c>
      <c r="K7292" s="27" t="s">
        <v>37</v>
      </c>
      <c r="L7292" s="27"/>
    </row>
    <row r="7293" customFormat="false" ht="15" hidden="false" customHeight="false" outlineLevel="0" collapsed="false">
      <c r="A7293" s="26" t="s">
        <v>19506</v>
      </c>
      <c r="B7293" s="27" t="s">
        <v>19507</v>
      </c>
      <c r="C7293" s="27" t="s">
        <v>137</v>
      </c>
      <c r="D7293" s="26"/>
      <c r="E7293" s="27"/>
      <c r="F7293" s="27"/>
      <c r="G7293" s="27" t="s">
        <v>11122</v>
      </c>
      <c r="H7293" s="27" t="s">
        <v>35</v>
      </c>
      <c r="I7293" s="27" t="s">
        <v>37</v>
      </c>
      <c r="J7293" s="28" t="s">
        <v>772</v>
      </c>
      <c r="K7293" s="27" t="s">
        <v>37</v>
      </c>
      <c r="L7293" s="27"/>
    </row>
    <row r="7294" customFormat="false" ht="15" hidden="false" customHeight="false" outlineLevel="0" collapsed="false">
      <c r="A7294" s="26" t="s">
        <v>19508</v>
      </c>
      <c r="B7294" s="27" t="s">
        <v>19509</v>
      </c>
      <c r="C7294" s="27" t="s">
        <v>137</v>
      </c>
      <c r="D7294" s="26"/>
      <c r="E7294" s="27"/>
      <c r="F7294" s="27"/>
      <c r="G7294" s="27" t="s">
        <v>11122</v>
      </c>
      <c r="H7294" s="27" t="s">
        <v>35</v>
      </c>
      <c r="I7294" s="27" t="s">
        <v>37</v>
      </c>
      <c r="J7294" s="28" t="s">
        <v>772</v>
      </c>
      <c r="K7294" s="27" t="s">
        <v>37</v>
      </c>
      <c r="L7294" s="27"/>
    </row>
    <row r="7295" customFormat="false" ht="15" hidden="false" customHeight="false" outlineLevel="0" collapsed="false">
      <c r="A7295" s="26" t="s">
        <v>19510</v>
      </c>
      <c r="B7295" s="27" t="s">
        <v>19511</v>
      </c>
      <c r="C7295" s="27" t="s">
        <v>144</v>
      </c>
      <c r="D7295" s="26"/>
      <c r="E7295" s="27"/>
      <c r="F7295" s="27"/>
      <c r="G7295" s="27" t="s">
        <v>11122</v>
      </c>
      <c r="H7295" s="27" t="s">
        <v>35</v>
      </c>
      <c r="I7295" s="27" t="s">
        <v>37</v>
      </c>
      <c r="J7295" s="28" t="s">
        <v>772</v>
      </c>
      <c r="K7295" s="27" t="s">
        <v>37</v>
      </c>
      <c r="L7295" s="27"/>
    </row>
    <row r="7296" customFormat="false" ht="15" hidden="false" customHeight="false" outlineLevel="0" collapsed="false">
      <c r="A7296" s="26" t="s">
        <v>19512</v>
      </c>
      <c r="B7296" s="27" t="s">
        <v>19513</v>
      </c>
      <c r="C7296" s="27" t="s">
        <v>137</v>
      </c>
      <c r="D7296" s="26"/>
      <c r="E7296" s="27"/>
      <c r="F7296" s="27"/>
      <c r="G7296" s="27" t="s">
        <v>11122</v>
      </c>
      <c r="H7296" s="27" t="s">
        <v>35</v>
      </c>
      <c r="I7296" s="27" t="s">
        <v>37</v>
      </c>
      <c r="J7296" s="28" t="s">
        <v>772</v>
      </c>
      <c r="K7296" s="27" t="s">
        <v>37</v>
      </c>
      <c r="L7296" s="27"/>
    </row>
    <row r="7297" customFormat="false" ht="15" hidden="false" customHeight="false" outlineLevel="0" collapsed="false">
      <c r="A7297" s="26" t="s">
        <v>19514</v>
      </c>
      <c r="B7297" s="27" t="s">
        <v>19515</v>
      </c>
      <c r="C7297" s="27" t="s">
        <v>137</v>
      </c>
      <c r="D7297" s="26"/>
      <c r="E7297" s="27"/>
      <c r="F7297" s="27"/>
      <c r="G7297" s="27" t="s">
        <v>11122</v>
      </c>
      <c r="H7297" s="27" t="s">
        <v>35</v>
      </c>
      <c r="I7297" s="27" t="s">
        <v>37</v>
      </c>
      <c r="J7297" s="28" t="s">
        <v>772</v>
      </c>
      <c r="K7297" s="27" t="s">
        <v>37</v>
      </c>
      <c r="L7297" s="27"/>
    </row>
    <row r="7298" customFormat="false" ht="15" hidden="false" customHeight="false" outlineLevel="0" collapsed="false">
      <c r="A7298" s="26" t="s">
        <v>19516</v>
      </c>
      <c r="B7298" s="27" t="s">
        <v>19517</v>
      </c>
      <c r="C7298" s="27" t="s">
        <v>137</v>
      </c>
      <c r="D7298" s="26"/>
      <c r="E7298" s="27"/>
      <c r="F7298" s="27"/>
      <c r="G7298" s="27" t="s">
        <v>11122</v>
      </c>
      <c r="H7298" s="27" t="s">
        <v>35</v>
      </c>
      <c r="I7298" s="27" t="s">
        <v>37</v>
      </c>
      <c r="J7298" s="28" t="s">
        <v>772</v>
      </c>
      <c r="K7298" s="27" t="s">
        <v>37</v>
      </c>
      <c r="L7298" s="27"/>
    </row>
    <row r="7299" customFormat="false" ht="15" hidden="false" customHeight="false" outlineLevel="0" collapsed="false">
      <c r="A7299" s="26" t="s">
        <v>19518</v>
      </c>
      <c r="B7299" s="27" t="s">
        <v>19519</v>
      </c>
      <c r="C7299" s="27" t="s">
        <v>137</v>
      </c>
      <c r="D7299" s="26"/>
      <c r="E7299" s="27"/>
      <c r="F7299" s="27"/>
      <c r="G7299" s="27" t="s">
        <v>11122</v>
      </c>
      <c r="H7299" s="27" t="s">
        <v>35</v>
      </c>
      <c r="I7299" s="27" t="s">
        <v>37</v>
      </c>
      <c r="J7299" s="28" t="s">
        <v>772</v>
      </c>
      <c r="K7299" s="27" t="s">
        <v>37</v>
      </c>
      <c r="L7299" s="27"/>
    </row>
    <row r="7300" customFormat="false" ht="15" hidden="false" customHeight="false" outlineLevel="0" collapsed="false">
      <c r="A7300" s="26" t="s">
        <v>19520</v>
      </c>
      <c r="B7300" s="27" t="s">
        <v>19521</v>
      </c>
      <c r="C7300" s="27" t="s">
        <v>137</v>
      </c>
      <c r="D7300" s="26"/>
      <c r="E7300" s="27"/>
      <c r="F7300" s="27"/>
      <c r="G7300" s="27" t="s">
        <v>11122</v>
      </c>
      <c r="H7300" s="27" t="s">
        <v>35</v>
      </c>
      <c r="I7300" s="27" t="s">
        <v>37</v>
      </c>
      <c r="J7300" s="28" t="s">
        <v>772</v>
      </c>
      <c r="K7300" s="27" t="s">
        <v>37</v>
      </c>
      <c r="L7300" s="27"/>
    </row>
    <row r="7301" customFormat="false" ht="15" hidden="false" customHeight="false" outlineLevel="0" collapsed="false">
      <c r="A7301" s="26" t="s">
        <v>19522</v>
      </c>
      <c r="B7301" s="27" t="s">
        <v>19523</v>
      </c>
      <c r="C7301" s="27" t="s">
        <v>137</v>
      </c>
      <c r="D7301" s="26"/>
      <c r="E7301" s="27"/>
      <c r="F7301" s="27"/>
      <c r="G7301" s="27" t="s">
        <v>11122</v>
      </c>
      <c r="H7301" s="27" t="s">
        <v>35</v>
      </c>
      <c r="I7301" s="27" t="s">
        <v>37</v>
      </c>
      <c r="J7301" s="28" t="s">
        <v>772</v>
      </c>
      <c r="K7301" s="27" t="s">
        <v>37</v>
      </c>
      <c r="L7301" s="27"/>
    </row>
    <row r="7302" customFormat="false" ht="15" hidden="false" customHeight="false" outlineLevel="0" collapsed="false">
      <c r="A7302" s="26" t="s">
        <v>19524</v>
      </c>
      <c r="B7302" s="27" t="s">
        <v>19525</v>
      </c>
      <c r="C7302" s="27" t="s">
        <v>144</v>
      </c>
      <c r="D7302" s="26"/>
      <c r="E7302" s="27"/>
      <c r="F7302" s="27"/>
      <c r="G7302" s="27" t="s">
        <v>11122</v>
      </c>
      <c r="H7302" s="27" t="s">
        <v>35</v>
      </c>
      <c r="I7302" s="27" t="s">
        <v>37</v>
      </c>
      <c r="J7302" s="28" t="s">
        <v>772</v>
      </c>
      <c r="K7302" s="27" t="s">
        <v>37</v>
      </c>
      <c r="L7302" s="27"/>
    </row>
    <row r="7303" customFormat="false" ht="15" hidden="false" customHeight="false" outlineLevel="0" collapsed="false">
      <c r="A7303" s="26" t="s">
        <v>19526</v>
      </c>
      <c r="B7303" s="27" t="s">
        <v>19527</v>
      </c>
      <c r="C7303" s="27" t="s">
        <v>144</v>
      </c>
      <c r="D7303" s="26"/>
      <c r="E7303" s="27"/>
      <c r="F7303" s="27"/>
      <c r="G7303" s="27" t="s">
        <v>11122</v>
      </c>
      <c r="H7303" s="27" t="s">
        <v>35</v>
      </c>
      <c r="I7303" s="27" t="s">
        <v>37</v>
      </c>
      <c r="J7303" s="28" t="s">
        <v>772</v>
      </c>
      <c r="K7303" s="27" t="s">
        <v>37</v>
      </c>
      <c r="L7303" s="27"/>
    </row>
    <row r="7304" customFormat="false" ht="15" hidden="false" customHeight="false" outlineLevel="0" collapsed="false">
      <c r="A7304" s="26" t="s">
        <v>19528</v>
      </c>
      <c r="B7304" s="27" t="s">
        <v>19529</v>
      </c>
      <c r="C7304" s="27" t="s">
        <v>144</v>
      </c>
      <c r="D7304" s="26"/>
      <c r="E7304" s="27"/>
      <c r="F7304" s="27"/>
      <c r="G7304" s="27" t="s">
        <v>11122</v>
      </c>
      <c r="H7304" s="27" t="s">
        <v>35</v>
      </c>
      <c r="I7304" s="27" t="s">
        <v>37</v>
      </c>
      <c r="J7304" s="28" t="s">
        <v>772</v>
      </c>
      <c r="K7304" s="27" t="s">
        <v>37</v>
      </c>
      <c r="L7304" s="27"/>
    </row>
    <row r="7305" customFormat="false" ht="15" hidden="false" customHeight="false" outlineLevel="0" collapsed="false">
      <c r="A7305" s="26" t="s">
        <v>19530</v>
      </c>
      <c r="B7305" s="27" t="s">
        <v>19529</v>
      </c>
      <c r="C7305" s="27" t="s">
        <v>144</v>
      </c>
      <c r="D7305" s="26"/>
      <c r="E7305" s="27"/>
      <c r="F7305" s="27"/>
      <c r="G7305" s="27" t="s">
        <v>11122</v>
      </c>
      <c r="H7305" s="27" t="s">
        <v>35</v>
      </c>
      <c r="I7305" s="27" t="s">
        <v>37</v>
      </c>
      <c r="J7305" s="28" t="s">
        <v>772</v>
      </c>
      <c r="K7305" s="27" t="s">
        <v>37</v>
      </c>
      <c r="L7305" s="27"/>
    </row>
    <row r="7306" customFormat="false" ht="15" hidden="false" customHeight="false" outlineLevel="0" collapsed="false">
      <c r="A7306" s="26" t="s">
        <v>19531</v>
      </c>
      <c r="B7306" s="27" t="s">
        <v>19529</v>
      </c>
      <c r="C7306" s="27" t="s">
        <v>144</v>
      </c>
      <c r="D7306" s="26"/>
      <c r="E7306" s="27"/>
      <c r="F7306" s="27"/>
      <c r="G7306" s="27" t="s">
        <v>11122</v>
      </c>
      <c r="H7306" s="27" t="s">
        <v>35</v>
      </c>
      <c r="I7306" s="27" t="s">
        <v>37</v>
      </c>
      <c r="J7306" s="28" t="s">
        <v>772</v>
      </c>
      <c r="K7306" s="27" t="s">
        <v>37</v>
      </c>
      <c r="L7306" s="27"/>
    </row>
    <row r="7307" customFormat="false" ht="15" hidden="false" customHeight="false" outlineLevel="0" collapsed="false">
      <c r="A7307" s="26" t="s">
        <v>19532</v>
      </c>
      <c r="B7307" s="27" t="s">
        <v>19533</v>
      </c>
      <c r="C7307" s="27" t="s">
        <v>144</v>
      </c>
      <c r="D7307" s="26"/>
      <c r="E7307" s="27"/>
      <c r="F7307" s="27"/>
      <c r="G7307" s="27" t="s">
        <v>11122</v>
      </c>
      <c r="H7307" s="27" t="s">
        <v>35</v>
      </c>
      <c r="I7307" s="27" t="s">
        <v>37</v>
      </c>
      <c r="J7307" s="28" t="s">
        <v>772</v>
      </c>
      <c r="K7307" s="27" t="s">
        <v>37</v>
      </c>
      <c r="L7307" s="27"/>
    </row>
    <row r="7308" customFormat="false" ht="15" hidden="false" customHeight="false" outlineLevel="0" collapsed="false">
      <c r="A7308" s="26" t="s">
        <v>19534</v>
      </c>
      <c r="B7308" s="27" t="s">
        <v>19535</v>
      </c>
      <c r="C7308" s="27" t="s">
        <v>144</v>
      </c>
      <c r="D7308" s="26"/>
      <c r="E7308" s="27"/>
      <c r="F7308" s="27"/>
      <c r="G7308" s="27" t="s">
        <v>11122</v>
      </c>
      <c r="H7308" s="27" t="s">
        <v>35</v>
      </c>
      <c r="I7308" s="27" t="s">
        <v>37</v>
      </c>
      <c r="J7308" s="28" t="s">
        <v>772</v>
      </c>
      <c r="K7308" s="27" t="s">
        <v>37</v>
      </c>
      <c r="L7308" s="27"/>
    </row>
    <row r="7309" customFormat="false" ht="15" hidden="false" customHeight="false" outlineLevel="0" collapsed="false">
      <c r="A7309" s="26" t="s">
        <v>19536</v>
      </c>
      <c r="B7309" s="27" t="s">
        <v>19537</v>
      </c>
      <c r="C7309" s="27" t="s">
        <v>144</v>
      </c>
      <c r="D7309" s="26"/>
      <c r="E7309" s="27"/>
      <c r="F7309" s="27"/>
      <c r="G7309" s="27" t="s">
        <v>11122</v>
      </c>
      <c r="H7309" s="27" t="s">
        <v>35</v>
      </c>
      <c r="I7309" s="27" t="s">
        <v>37</v>
      </c>
      <c r="J7309" s="28" t="s">
        <v>772</v>
      </c>
      <c r="K7309" s="27" t="s">
        <v>37</v>
      </c>
      <c r="L7309" s="27"/>
    </row>
    <row r="7310" customFormat="false" ht="15" hidden="false" customHeight="false" outlineLevel="0" collapsed="false">
      <c r="A7310" s="26" t="s">
        <v>19538</v>
      </c>
      <c r="B7310" s="27" t="s">
        <v>19539</v>
      </c>
      <c r="C7310" s="27" t="s">
        <v>144</v>
      </c>
      <c r="D7310" s="26"/>
      <c r="E7310" s="27"/>
      <c r="F7310" s="27"/>
      <c r="G7310" s="27" t="s">
        <v>11122</v>
      </c>
      <c r="H7310" s="27" t="s">
        <v>35</v>
      </c>
      <c r="I7310" s="27" t="s">
        <v>37</v>
      </c>
      <c r="J7310" s="28" t="s">
        <v>772</v>
      </c>
      <c r="K7310" s="27" t="s">
        <v>37</v>
      </c>
      <c r="L7310" s="27"/>
    </row>
    <row r="7311" customFormat="false" ht="15" hidden="false" customHeight="false" outlineLevel="0" collapsed="false">
      <c r="A7311" s="26" t="s">
        <v>19540</v>
      </c>
      <c r="B7311" s="27" t="s">
        <v>19541</v>
      </c>
      <c r="C7311" s="27" t="s">
        <v>144</v>
      </c>
      <c r="D7311" s="26"/>
      <c r="E7311" s="27"/>
      <c r="F7311" s="27"/>
      <c r="G7311" s="27" t="s">
        <v>11122</v>
      </c>
      <c r="H7311" s="27" t="s">
        <v>35</v>
      </c>
      <c r="I7311" s="27" t="s">
        <v>37</v>
      </c>
      <c r="J7311" s="28" t="s">
        <v>772</v>
      </c>
      <c r="K7311" s="27" t="s">
        <v>37</v>
      </c>
      <c r="L7311" s="27"/>
    </row>
    <row r="7312" customFormat="false" ht="15" hidden="false" customHeight="false" outlineLevel="0" collapsed="false">
      <c r="A7312" s="26" t="s">
        <v>19542</v>
      </c>
      <c r="B7312" s="27" t="s">
        <v>19543</v>
      </c>
      <c r="C7312" s="27" t="s">
        <v>144</v>
      </c>
      <c r="D7312" s="26"/>
      <c r="E7312" s="27"/>
      <c r="F7312" s="27"/>
      <c r="G7312" s="27" t="s">
        <v>11122</v>
      </c>
      <c r="H7312" s="27" t="s">
        <v>35</v>
      </c>
      <c r="I7312" s="27" t="s">
        <v>37</v>
      </c>
      <c r="J7312" s="28" t="s">
        <v>772</v>
      </c>
      <c r="K7312" s="27" t="s">
        <v>37</v>
      </c>
      <c r="L7312" s="27"/>
    </row>
    <row r="7313" customFormat="false" ht="15" hidden="false" customHeight="false" outlineLevel="0" collapsed="false">
      <c r="A7313" s="26" t="s">
        <v>19544</v>
      </c>
      <c r="B7313" s="27" t="s">
        <v>19545</v>
      </c>
      <c r="C7313" s="27" t="s">
        <v>144</v>
      </c>
      <c r="D7313" s="26"/>
      <c r="E7313" s="27"/>
      <c r="F7313" s="27"/>
      <c r="G7313" s="27" t="s">
        <v>11122</v>
      </c>
      <c r="H7313" s="27" t="s">
        <v>35</v>
      </c>
      <c r="I7313" s="27" t="s">
        <v>37</v>
      </c>
      <c r="J7313" s="28" t="s">
        <v>772</v>
      </c>
      <c r="K7313" s="27" t="s">
        <v>37</v>
      </c>
      <c r="L7313" s="27"/>
    </row>
    <row r="7314" customFormat="false" ht="15" hidden="false" customHeight="false" outlineLevel="0" collapsed="false">
      <c r="A7314" s="26" t="s">
        <v>19546</v>
      </c>
      <c r="B7314" s="27" t="s">
        <v>19547</v>
      </c>
      <c r="C7314" s="27" t="s">
        <v>144</v>
      </c>
      <c r="D7314" s="26"/>
      <c r="E7314" s="27"/>
      <c r="F7314" s="27"/>
      <c r="G7314" s="27" t="s">
        <v>11122</v>
      </c>
      <c r="H7314" s="27" t="s">
        <v>35</v>
      </c>
      <c r="I7314" s="27" t="s">
        <v>37</v>
      </c>
      <c r="J7314" s="28" t="s">
        <v>772</v>
      </c>
      <c r="K7314" s="27" t="s">
        <v>37</v>
      </c>
      <c r="L7314" s="27"/>
    </row>
    <row r="7315" customFormat="false" ht="15" hidden="false" customHeight="false" outlineLevel="0" collapsed="false">
      <c r="A7315" s="26" t="s">
        <v>19548</v>
      </c>
      <c r="B7315" s="27" t="s">
        <v>19549</v>
      </c>
      <c r="C7315" s="27" t="s">
        <v>144</v>
      </c>
      <c r="D7315" s="26"/>
      <c r="E7315" s="27"/>
      <c r="F7315" s="27"/>
      <c r="G7315" s="27" t="s">
        <v>11122</v>
      </c>
      <c r="H7315" s="27" t="s">
        <v>35</v>
      </c>
      <c r="I7315" s="27" t="s">
        <v>37</v>
      </c>
      <c r="J7315" s="28" t="s">
        <v>772</v>
      </c>
      <c r="K7315" s="27" t="s">
        <v>37</v>
      </c>
      <c r="L7315" s="27"/>
    </row>
    <row r="7316" customFormat="false" ht="15" hidden="false" customHeight="false" outlineLevel="0" collapsed="false">
      <c r="A7316" s="26" t="s">
        <v>19550</v>
      </c>
      <c r="B7316" s="27" t="s">
        <v>19551</v>
      </c>
      <c r="C7316" s="27" t="s">
        <v>144</v>
      </c>
      <c r="D7316" s="26"/>
      <c r="E7316" s="27"/>
      <c r="F7316" s="27"/>
      <c r="G7316" s="27" t="s">
        <v>11122</v>
      </c>
      <c r="H7316" s="27" t="s">
        <v>35</v>
      </c>
      <c r="I7316" s="27" t="s">
        <v>37</v>
      </c>
      <c r="J7316" s="28" t="s">
        <v>772</v>
      </c>
      <c r="K7316" s="27" t="s">
        <v>37</v>
      </c>
      <c r="L7316" s="27"/>
    </row>
    <row r="7317" customFormat="false" ht="15" hidden="false" customHeight="false" outlineLevel="0" collapsed="false">
      <c r="A7317" s="26" t="s">
        <v>19552</v>
      </c>
      <c r="B7317" s="27" t="s">
        <v>19553</v>
      </c>
      <c r="C7317" s="27" t="s">
        <v>144</v>
      </c>
      <c r="D7317" s="26"/>
      <c r="E7317" s="27"/>
      <c r="F7317" s="27"/>
      <c r="G7317" s="27" t="s">
        <v>11122</v>
      </c>
      <c r="H7317" s="27" t="s">
        <v>35</v>
      </c>
      <c r="I7317" s="27" t="s">
        <v>37</v>
      </c>
      <c r="J7317" s="28" t="s">
        <v>772</v>
      </c>
      <c r="K7317" s="27" t="s">
        <v>37</v>
      </c>
      <c r="L7317" s="27"/>
    </row>
    <row r="7318" customFormat="false" ht="15" hidden="false" customHeight="false" outlineLevel="0" collapsed="false">
      <c r="A7318" s="26" t="s">
        <v>19554</v>
      </c>
      <c r="B7318" s="27" t="s">
        <v>19555</v>
      </c>
      <c r="C7318" s="27" t="s">
        <v>144</v>
      </c>
      <c r="D7318" s="26"/>
      <c r="E7318" s="27"/>
      <c r="F7318" s="27"/>
      <c r="G7318" s="27" t="s">
        <v>11122</v>
      </c>
      <c r="H7318" s="27" t="s">
        <v>35</v>
      </c>
      <c r="I7318" s="27" t="s">
        <v>37</v>
      </c>
      <c r="J7318" s="28" t="s">
        <v>772</v>
      </c>
      <c r="K7318" s="27" t="s">
        <v>37</v>
      </c>
      <c r="L7318" s="27"/>
    </row>
    <row r="7319" customFormat="false" ht="15" hidden="false" customHeight="false" outlineLevel="0" collapsed="false">
      <c r="A7319" s="26" t="s">
        <v>19556</v>
      </c>
      <c r="B7319" s="27" t="s">
        <v>19557</v>
      </c>
      <c r="C7319" s="27" t="s">
        <v>144</v>
      </c>
      <c r="D7319" s="26"/>
      <c r="E7319" s="27"/>
      <c r="F7319" s="27"/>
      <c r="G7319" s="27" t="s">
        <v>11122</v>
      </c>
      <c r="H7319" s="27" t="s">
        <v>35</v>
      </c>
      <c r="I7319" s="27" t="s">
        <v>47</v>
      </c>
      <c r="J7319" s="28" t="s">
        <v>772</v>
      </c>
      <c r="K7319" s="27" t="s">
        <v>37</v>
      </c>
      <c r="L7319" s="27"/>
    </row>
    <row r="7320" customFormat="false" ht="15" hidden="false" customHeight="false" outlineLevel="0" collapsed="false">
      <c r="A7320" s="26" t="s">
        <v>19558</v>
      </c>
      <c r="B7320" s="27" t="s">
        <v>19559</v>
      </c>
      <c r="C7320" s="27" t="s">
        <v>144</v>
      </c>
      <c r="D7320" s="26"/>
      <c r="E7320" s="27"/>
      <c r="F7320" s="27"/>
      <c r="G7320" s="27" t="s">
        <v>11122</v>
      </c>
      <c r="H7320" s="27" t="s">
        <v>35</v>
      </c>
      <c r="I7320" s="27" t="s">
        <v>47</v>
      </c>
      <c r="J7320" s="28" t="s">
        <v>772</v>
      </c>
      <c r="K7320" s="27" t="s">
        <v>37</v>
      </c>
      <c r="L7320" s="27"/>
    </row>
    <row r="7321" customFormat="false" ht="15" hidden="false" customHeight="false" outlineLevel="0" collapsed="false">
      <c r="A7321" s="26" t="s">
        <v>19560</v>
      </c>
      <c r="B7321" s="27" t="s">
        <v>19561</v>
      </c>
      <c r="C7321" s="27" t="s">
        <v>144</v>
      </c>
      <c r="D7321" s="26"/>
      <c r="E7321" s="27"/>
      <c r="F7321" s="27"/>
      <c r="G7321" s="27" t="s">
        <v>11122</v>
      </c>
      <c r="H7321" s="27" t="s">
        <v>35</v>
      </c>
      <c r="I7321" s="27" t="s">
        <v>38</v>
      </c>
      <c r="J7321" s="28" t="s">
        <v>772</v>
      </c>
      <c r="K7321" s="27" t="s">
        <v>37</v>
      </c>
      <c r="L7321" s="27"/>
    </row>
    <row r="7322" customFormat="false" ht="15" hidden="false" customHeight="false" outlineLevel="0" collapsed="false">
      <c r="A7322" s="26" t="s">
        <v>19562</v>
      </c>
      <c r="B7322" s="27" t="s">
        <v>19563</v>
      </c>
      <c r="C7322" s="27" t="s">
        <v>144</v>
      </c>
      <c r="D7322" s="26"/>
      <c r="E7322" s="27"/>
      <c r="F7322" s="27"/>
      <c r="G7322" s="27" t="s">
        <v>11122</v>
      </c>
      <c r="H7322" s="27" t="s">
        <v>35</v>
      </c>
      <c r="I7322" s="27" t="s">
        <v>41</v>
      </c>
      <c r="J7322" s="28" t="s">
        <v>772</v>
      </c>
      <c r="K7322" s="27" t="s">
        <v>37</v>
      </c>
      <c r="L7322" s="27"/>
    </row>
    <row r="7323" customFormat="false" ht="15" hidden="false" customHeight="false" outlineLevel="0" collapsed="false">
      <c r="A7323" s="26" t="s">
        <v>19564</v>
      </c>
      <c r="B7323" s="27" t="s">
        <v>19565</v>
      </c>
      <c r="C7323" s="27" t="s">
        <v>144</v>
      </c>
      <c r="D7323" s="26"/>
      <c r="E7323" s="27"/>
      <c r="F7323" s="27"/>
      <c r="G7323" s="27" t="s">
        <v>11122</v>
      </c>
      <c r="H7323" s="27" t="s">
        <v>35</v>
      </c>
      <c r="I7323" s="27" t="s">
        <v>40</v>
      </c>
      <c r="J7323" s="28" t="s">
        <v>772</v>
      </c>
      <c r="K7323" s="27" t="s">
        <v>37</v>
      </c>
      <c r="L7323" s="27"/>
    </row>
    <row r="7324" customFormat="false" ht="15" hidden="false" customHeight="false" outlineLevel="0" collapsed="false">
      <c r="A7324" s="26" t="s">
        <v>19566</v>
      </c>
      <c r="B7324" s="27" t="s">
        <v>19567</v>
      </c>
      <c r="C7324" s="27" t="s">
        <v>144</v>
      </c>
      <c r="D7324" s="26"/>
      <c r="E7324" s="27"/>
      <c r="F7324" s="27"/>
      <c r="G7324" s="27" t="s">
        <v>11122</v>
      </c>
      <c r="H7324" s="27" t="s">
        <v>35</v>
      </c>
      <c r="I7324" s="27" t="s">
        <v>40</v>
      </c>
      <c r="J7324" s="28" t="s">
        <v>772</v>
      </c>
      <c r="K7324" s="27" t="s">
        <v>37</v>
      </c>
      <c r="L7324" s="27"/>
    </row>
    <row r="7325" customFormat="false" ht="15" hidden="false" customHeight="false" outlineLevel="0" collapsed="false">
      <c r="A7325" s="26" t="s">
        <v>19568</v>
      </c>
      <c r="B7325" s="27" t="s">
        <v>19569</v>
      </c>
      <c r="C7325" s="27" t="s">
        <v>144</v>
      </c>
      <c r="D7325" s="26"/>
      <c r="E7325" s="27"/>
      <c r="F7325" s="27"/>
      <c r="G7325" s="27" t="s">
        <v>11122</v>
      </c>
      <c r="H7325" s="27" t="s">
        <v>35</v>
      </c>
      <c r="I7325" s="27" t="s">
        <v>47</v>
      </c>
      <c r="J7325" s="28" t="s">
        <v>772</v>
      </c>
      <c r="K7325" s="27" t="s">
        <v>37</v>
      </c>
      <c r="L7325" s="27"/>
    </row>
    <row r="7326" customFormat="false" ht="15" hidden="false" customHeight="false" outlineLevel="0" collapsed="false">
      <c r="A7326" s="26" t="s">
        <v>19570</v>
      </c>
      <c r="B7326" s="27" t="s">
        <v>19571</v>
      </c>
      <c r="C7326" s="27" t="s">
        <v>144</v>
      </c>
      <c r="D7326" s="26"/>
      <c r="E7326" s="27"/>
      <c r="F7326" s="27"/>
      <c r="G7326" s="27" t="s">
        <v>11122</v>
      </c>
      <c r="H7326" s="27" t="s">
        <v>35</v>
      </c>
      <c r="I7326" s="27" t="s">
        <v>39</v>
      </c>
      <c r="J7326" s="28" t="s">
        <v>772</v>
      </c>
      <c r="K7326" s="27" t="s">
        <v>37</v>
      </c>
      <c r="L7326" s="27"/>
    </row>
    <row r="7327" customFormat="false" ht="15" hidden="false" customHeight="false" outlineLevel="0" collapsed="false">
      <c r="A7327" s="26" t="s">
        <v>19572</v>
      </c>
      <c r="B7327" s="27" t="s">
        <v>19573</v>
      </c>
      <c r="C7327" s="27" t="s">
        <v>144</v>
      </c>
      <c r="D7327" s="26"/>
      <c r="E7327" s="27"/>
      <c r="F7327" s="27"/>
      <c r="G7327" s="27" t="s">
        <v>11122</v>
      </c>
      <c r="H7327" s="27" t="s">
        <v>35</v>
      </c>
      <c r="I7327" s="27" t="s">
        <v>37</v>
      </c>
      <c r="J7327" s="28" t="s">
        <v>772</v>
      </c>
      <c r="K7327" s="27" t="s">
        <v>37</v>
      </c>
      <c r="L7327" s="27"/>
    </row>
    <row r="7328" customFormat="false" ht="15" hidden="false" customHeight="false" outlineLevel="0" collapsed="false">
      <c r="A7328" s="26" t="s">
        <v>19574</v>
      </c>
      <c r="B7328" s="27" t="s">
        <v>19575</v>
      </c>
      <c r="C7328" s="27" t="s">
        <v>144</v>
      </c>
      <c r="D7328" s="26"/>
      <c r="E7328" s="27"/>
      <c r="F7328" s="27"/>
      <c r="G7328" s="27" t="s">
        <v>11122</v>
      </c>
      <c r="H7328" s="27" t="s">
        <v>35</v>
      </c>
      <c r="I7328" s="27" t="s">
        <v>39</v>
      </c>
      <c r="J7328" s="28" t="s">
        <v>772</v>
      </c>
      <c r="K7328" s="27" t="s">
        <v>37</v>
      </c>
      <c r="L7328" s="27"/>
    </row>
    <row r="7329" customFormat="false" ht="15" hidden="false" customHeight="false" outlineLevel="0" collapsed="false">
      <c r="A7329" s="26" t="s">
        <v>19576</v>
      </c>
      <c r="B7329" s="27" t="s">
        <v>19577</v>
      </c>
      <c r="C7329" s="27" t="s">
        <v>144</v>
      </c>
      <c r="D7329" s="26"/>
      <c r="E7329" s="27"/>
      <c r="F7329" s="27"/>
      <c r="G7329" s="27" t="s">
        <v>11122</v>
      </c>
      <c r="H7329" s="27" t="s">
        <v>35</v>
      </c>
      <c r="I7329" s="27" t="s">
        <v>47</v>
      </c>
      <c r="J7329" s="28" t="s">
        <v>772</v>
      </c>
      <c r="K7329" s="27" t="s">
        <v>37</v>
      </c>
      <c r="L7329" s="27"/>
    </row>
    <row r="7330" customFormat="false" ht="15" hidden="false" customHeight="false" outlineLevel="0" collapsed="false">
      <c r="A7330" s="26" t="s">
        <v>19578</v>
      </c>
      <c r="B7330" s="27" t="s">
        <v>19579</v>
      </c>
      <c r="C7330" s="27" t="s">
        <v>144</v>
      </c>
      <c r="D7330" s="26"/>
      <c r="E7330" s="27"/>
      <c r="F7330" s="27"/>
      <c r="G7330" s="27" t="s">
        <v>11122</v>
      </c>
      <c r="H7330" s="27" t="s">
        <v>35</v>
      </c>
      <c r="I7330" s="27" t="s">
        <v>40</v>
      </c>
      <c r="J7330" s="28" t="s">
        <v>772</v>
      </c>
      <c r="K7330" s="27" t="s">
        <v>37</v>
      </c>
      <c r="L7330" s="27"/>
    </row>
    <row r="7331" customFormat="false" ht="15" hidden="false" customHeight="false" outlineLevel="0" collapsed="false">
      <c r="A7331" s="26" t="s">
        <v>19580</v>
      </c>
      <c r="B7331" s="27" t="s">
        <v>19581</v>
      </c>
      <c r="C7331" s="27" t="s">
        <v>144</v>
      </c>
      <c r="D7331" s="26"/>
      <c r="E7331" s="27"/>
      <c r="F7331" s="27"/>
      <c r="G7331" s="27" t="s">
        <v>11122</v>
      </c>
      <c r="H7331" s="27" t="s">
        <v>35</v>
      </c>
      <c r="I7331" s="27" t="s">
        <v>47</v>
      </c>
      <c r="J7331" s="28" t="s">
        <v>772</v>
      </c>
      <c r="K7331" s="27" t="s">
        <v>37</v>
      </c>
      <c r="L7331" s="27"/>
    </row>
    <row r="7332" customFormat="false" ht="15" hidden="false" customHeight="false" outlineLevel="0" collapsed="false">
      <c r="A7332" s="26" t="s">
        <v>19582</v>
      </c>
      <c r="B7332" s="27" t="s">
        <v>19583</v>
      </c>
      <c r="C7332" s="27" t="s">
        <v>144</v>
      </c>
      <c r="D7332" s="26"/>
      <c r="E7332" s="27"/>
      <c r="F7332" s="27"/>
      <c r="G7332" s="27" t="s">
        <v>11122</v>
      </c>
      <c r="H7332" s="27" t="s">
        <v>35</v>
      </c>
      <c r="I7332" s="27" t="s">
        <v>37</v>
      </c>
      <c r="J7332" s="28" t="s">
        <v>772</v>
      </c>
      <c r="K7332" s="27" t="s">
        <v>37</v>
      </c>
      <c r="L7332" s="27"/>
    </row>
    <row r="7333" customFormat="false" ht="15" hidden="false" customHeight="false" outlineLevel="0" collapsed="false">
      <c r="A7333" s="26" t="s">
        <v>19584</v>
      </c>
      <c r="B7333" s="27" t="s">
        <v>19585</v>
      </c>
      <c r="C7333" s="27" t="s">
        <v>144</v>
      </c>
      <c r="D7333" s="26"/>
      <c r="E7333" s="27"/>
      <c r="F7333" s="27"/>
      <c r="G7333" s="27" t="s">
        <v>11122</v>
      </c>
      <c r="H7333" s="27" t="s">
        <v>35</v>
      </c>
      <c r="I7333" s="27" t="s">
        <v>41</v>
      </c>
      <c r="J7333" s="28" t="s">
        <v>772</v>
      </c>
      <c r="K7333" s="27" t="s">
        <v>37</v>
      </c>
      <c r="L7333" s="27"/>
    </row>
    <row r="7334" customFormat="false" ht="15" hidden="false" customHeight="false" outlineLevel="0" collapsed="false">
      <c r="A7334" s="26" t="s">
        <v>19586</v>
      </c>
      <c r="B7334" s="27" t="s">
        <v>19587</v>
      </c>
      <c r="C7334" s="27" t="s">
        <v>144</v>
      </c>
      <c r="D7334" s="26"/>
      <c r="E7334" s="27"/>
      <c r="F7334" s="27"/>
      <c r="G7334" s="27" t="s">
        <v>11122</v>
      </c>
      <c r="H7334" s="27" t="s">
        <v>35</v>
      </c>
      <c r="I7334" s="27" t="s">
        <v>40</v>
      </c>
      <c r="J7334" s="28" t="s">
        <v>772</v>
      </c>
      <c r="K7334" s="27" t="s">
        <v>37</v>
      </c>
      <c r="L7334" s="27"/>
    </row>
    <row r="7335" customFormat="false" ht="15" hidden="false" customHeight="false" outlineLevel="0" collapsed="false">
      <c r="A7335" s="26" t="s">
        <v>19588</v>
      </c>
      <c r="B7335" s="27" t="s">
        <v>19589</v>
      </c>
      <c r="C7335" s="27" t="s">
        <v>144</v>
      </c>
      <c r="D7335" s="26"/>
      <c r="E7335" s="27"/>
      <c r="F7335" s="27"/>
      <c r="G7335" s="27" t="s">
        <v>11122</v>
      </c>
      <c r="H7335" s="27" t="s">
        <v>35</v>
      </c>
      <c r="I7335" s="27" t="s">
        <v>39</v>
      </c>
      <c r="J7335" s="28" t="s">
        <v>772</v>
      </c>
      <c r="K7335" s="27" t="s">
        <v>37</v>
      </c>
      <c r="L7335" s="27"/>
    </row>
    <row r="7336" customFormat="false" ht="15" hidden="false" customHeight="false" outlineLevel="0" collapsed="false">
      <c r="A7336" s="26" t="s">
        <v>19590</v>
      </c>
      <c r="B7336" s="27" t="s">
        <v>19591</v>
      </c>
      <c r="C7336" s="27" t="s">
        <v>144</v>
      </c>
      <c r="D7336" s="26"/>
      <c r="E7336" s="27"/>
      <c r="F7336" s="27"/>
      <c r="G7336" s="27" t="s">
        <v>11122</v>
      </c>
      <c r="H7336" s="27" t="s">
        <v>35</v>
      </c>
      <c r="I7336" s="27" t="s">
        <v>39</v>
      </c>
      <c r="J7336" s="28" t="s">
        <v>772</v>
      </c>
      <c r="K7336" s="27" t="s">
        <v>37</v>
      </c>
      <c r="L7336" s="27"/>
    </row>
    <row r="7337" customFormat="false" ht="15" hidden="false" customHeight="false" outlineLevel="0" collapsed="false">
      <c r="A7337" s="26" t="s">
        <v>19592</v>
      </c>
      <c r="B7337" s="27" t="s">
        <v>19593</v>
      </c>
      <c r="C7337" s="27" t="s">
        <v>144</v>
      </c>
      <c r="D7337" s="26"/>
      <c r="E7337" s="27"/>
      <c r="F7337" s="27"/>
      <c r="G7337" s="27" t="s">
        <v>11122</v>
      </c>
      <c r="H7337" s="27" t="s">
        <v>35</v>
      </c>
      <c r="I7337" s="27" t="s">
        <v>37</v>
      </c>
      <c r="J7337" s="28" t="s">
        <v>772</v>
      </c>
      <c r="K7337" s="27" t="s">
        <v>37</v>
      </c>
      <c r="L7337" s="27"/>
    </row>
    <row r="7338" customFormat="false" ht="15" hidden="false" customHeight="false" outlineLevel="0" collapsed="false">
      <c r="A7338" s="26" t="s">
        <v>19594</v>
      </c>
      <c r="B7338" s="27" t="s">
        <v>19595</v>
      </c>
      <c r="C7338" s="27" t="s">
        <v>144</v>
      </c>
      <c r="D7338" s="26"/>
      <c r="E7338" s="27"/>
      <c r="F7338" s="27"/>
      <c r="G7338" s="27" t="s">
        <v>11122</v>
      </c>
      <c r="H7338" s="27" t="s">
        <v>35</v>
      </c>
      <c r="I7338" s="27" t="s">
        <v>40</v>
      </c>
      <c r="J7338" s="28" t="s">
        <v>772</v>
      </c>
      <c r="K7338" s="27" t="s">
        <v>37</v>
      </c>
      <c r="L7338" s="27"/>
    </row>
    <row r="7339" customFormat="false" ht="15" hidden="false" customHeight="false" outlineLevel="0" collapsed="false">
      <c r="A7339" s="26" t="s">
        <v>19596</v>
      </c>
      <c r="B7339" s="27" t="s">
        <v>19597</v>
      </c>
      <c r="C7339" s="27" t="s">
        <v>144</v>
      </c>
      <c r="D7339" s="26"/>
      <c r="E7339" s="27"/>
      <c r="F7339" s="27"/>
      <c r="G7339" s="27" t="s">
        <v>11122</v>
      </c>
      <c r="H7339" s="27" t="s">
        <v>35</v>
      </c>
      <c r="I7339" s="27" t="s">
        <v>40</v>
      </c>
      <c r="J7339" s="28" t="s">
        <v>772</v>
      </c>
      <c r="K7339" s="27" t="s">
        <v>37</v>
      </c>
      <c r="L7339" s="27"/>
    </row>
    <row r="7340" customFormat="false" ht="15" hidden="false" customHeight="false" outlineLevel="0" collapsed="false">
      <c r="A7340" s="26" t="s">
        <v>19598</v>
      </c>
      <c r="B7340" s="27" t="s">
        <v>19599</v>
      </c>
      <c r="C7340" s="27" t="s">
        <v>144</v>
      </c>
      <c r="D7340" s="26"/>
      <c r="E7340" s="27"/>
      <c r="F7340" s="27"/>
      <c r="G7340" s="27" t="s">
        <v>11122</v>
      </c>
      <c r="H7340" s="27" t="s">
        <v>35</v>
      </c>
      <c r="I7340" s="27" t="s">
        <v>40</v>
      </c>
      <c r="J7340" s="28" t="s">
        <v>772</v>
      </c>
      <c r="K7340" s="27" t="s">
        <v>37</v>
      </c>
      <c r="L7340" s="27"/>
    </row>
    <row r="7341" customFormat="false" ht="15" hidden="false" customHeight="false" outlineLevel="0" collapsed="false">
      <c r="A7341" s="26" t="s">
        <v>19600</v>
      </c>
      <c r="B7341" s="27" t="s">
        <v>19601</v>
      </c>
      <c r="C7341" s="27" t="s">
        <v>144</v>
      </c>
      <c r="D7341" s="26"/>
      <c r="E7341" s="27"/>
      <c r="F7341" s="27"/>
      <c r="G7341" s="27" t="s">
        <v>11122</v>
      </c>
      <c r="H7341" s="27" t="s">
        <v>35</v>
      </c>
      <c r="I7341" s="27" t="s">
        <v>37</v>
      </c>
      <c r="J7341" s="28" t="s">
        <v>772</v>
      </c>
      <c r="K7341" s="27" t="s">
        <v>37</v>
      </c>
      <c r="L7341" s="27"/>
    </row>
    <row r="7342" customFormat="false" ht="15" hidden="false" customHeight="false" outlineLevel="0" collapsed="false">
      <c r="A7342" s="26" t="s">
        <v>19602</v>
      </c>
      <c r="B7342" s="27" t="s">
        <v>19603</v>
      </c>
      <c r="C7342" s="27" t="s">
        <v>144</v>
      </c>
      <c r="D7342" s="26"/>
      <c r="E7342" s="27"/>
      <c r="F7342" s="27"/>
      <c r="G7342" s="27" t="s">
        <v>11122</v>
      </c>
      <c r="H7342" s="27" t="s">
        <v>35</v>
      </c>
      <c r="I7342" s="27" t="s">
        <v>37</v>
      </c>
      <c r="J7342" s="28" t="s">
        <v>772</v>
      </c>
      <c r="K7342" s="27" t="s">
        <v>37</v>
      </c>
      <c r="L7342" s="27"/>
    </row>
    <row r="7343" customFormat="false" ht="15" hidden="false" customHeight="false" outlineLevel="0" collapsed="false">
      <c r="A7343" s="26" t="s">
        <v>19604</v>
      </c>
      <c r="B7343" s="27" t="s">
        <v>19605</v>
      </c>
      <c r="C7343" s="27" t="s">
        <v>144</v>
      </c>
      <c r="D7343" s="26"/>
      <c r="E7343" s="27"/>
      <c r="F7343" s="27"/>
      <c r="G7343" s="27" t="s">
        <v>11122</v>
      </c>
      <c r="H7343" s="27" t="s">
        <v>35</v>
      </c>
      <c r="I7343" s="27" t="s">
        <v>37</v>
      </c>
      <c r="J7343" s="28" t="s">
        <v>772</v>
      </c>
      <c r="K7343" s="27" t="s">
        <v>37</v>
      </c>
      <c r="L7343" s="27"/>
    </row>
    <row r="7344" customFormat="false" ht="15" hidden="false" customHeight="false" outlineLevel="0" collapsed="false">
      <c r="A7344" s="26" t="s">
        <v>19606</v>
      </c>
      <c r="B7344" s="27" t="s">
        <v>19607</v>
      </c>
      <c r="C7344" s="27" t="s">
        <v>144</v>
      </c>
      <c r="D7344" s="26"/>
      <c r="E7344" s="27"/>
      <c r="F7344" s="27"/>
      <c r="G7344" s="27" t="s">
        <v>11122</v>
      </c>
      <c r="H7344" s="27" t="s">
        <v>35</v>
      </c>
      <c r="I7344" s="27" t="s">
        <v>37</v>
      </c>
      <c r="J7344" s="28" t="s">
        <v>772</v>
      </c>
      <c r="K7344" s="27" t="s">
        <v>37</v>
      </c>
      <c r="L7344" s="27"/>
    </row>
    <row r="7345" customFormat="false" ht="15" hidden="false" customHeight="false" outlineLevel="0" collapsed="false">
      <c r="A7345" s="26" t="s">
        <v>19608</v>
      </c>
      <c r="B7345" s="27" t="s">
        <v>19609</v>
      </c>
      <c r="C7345" s="27" t="s">
        <v>144</v>
      </c>
      <c r="D7345" s="26"/>
      <c r="E7345" s="27"/>
      <c r="F7345" s="27"/>
      <c r="G7345" s="27" t="s">
        <v>11122</v>
      </c>
      <c r="H7345" s="27" t="s">
        <v>35</v>
      </c>
      <c r="I7345" s="27" t="s">
        <v>37</v>
      </c>
      <c r="J7345" s="28" t="s">
        <v>772</v>
      </c>
      <c r="K7345" s="27" t="s">
        <v>37</v>
      </c>
      <c r="L7345" s="27"/>
    </row>
    <row r="7346" customFormat="false" ht="15" hidden="false" customHeight="false" outlineLevel="0" collapsed="false">
      <c r="A7346" s="26" t="s">
        <v>19610</v>
      </c>
      <c r="B7346" s="27" t="s">
        <v>19611</v>
      </c>
      <c r="C7346" s="27" t="s">
        <v>144</v>
      </c>
      <c r="D7346" s="26"/>
      <c r="E7346" s="27"/>
      <c r="F7346" s="27"/>
      <c r="G7346" s="27" t="s">
        <v>11122</v>
      </c>
      <c r="H7346" s="27" t="s">
        <v>35</v>
      </c>
      <c r="I7346" s="27" t="s">
        <v>37</v>
      </c>
      <c r="J7346" s="28" t="s">
        <v>772</v>
      </c>
      <c r="K7346" s="27" t="s">
        <v>37</v>
      </c>
      <c r="L7346" s="27"/>
    </row>
    <row r="7347" customFormat="false" ht="15" hidden="false" customHeight="false" outlineLevel="0" collapsed="false">
      <c r="A7347" s="26" t="s">
        <v>19612</v>
      </c>
      <c r="B7347" s="27" t="s">
        <v>19613</v>
      </c>
      <c r="C7347" s="27" t="s">
        <v>144</v>
      </c>
      <c r="D7347" s="26"/>
      <c r="E7347" s="27"/>
      <c r="F7347" s="27"/>
      <c r="G7347" s="27" t="s">
        <v>11122</v>
      </c>
      <c r="H7347" s="27" t="s">
        <v>35</v>
      </c>
      <c r="I7347" s="27" t="s">
        <v>37</v>
      </c>
      <c r="J7347" s="28" t="s">
        <v>772</v>
      </c>
      <c r="K7347" s="27" t="s">
        <v>37</v>
      </c>
      <c r="L7347" s="27"/>
    </row>
    <row r="7348" customFormat="false" ht="15" hidden="false" customHeight="false" outlineLevel="0" collapsed="false">
      <c r="A7348" s="26" t="s">
        <v>19614</v>
      </c>
      <c r="B7348" s="27" t="s">
        <v>19615</v>
      </c>
      <c r="C7348" s="27" t="s">
        <v>144</v>
      </c>
      <c r="D7348" s="26"/>
      <c r="E7348" s="27"/>
      <c r="F7348" s="27"/>
      <c r="G7348" s="27" t="s">
        <v>11122</v>
      </c>
      <c r="H7348" s="27" t="s">
        <v>35</v>
      </c>
      <c r="I7348" s="27" t="s">
        <v>37</v>
      </c>
      <c r="J7348" s="28" t="s">
        <v>772</v>
      </c>
      <c r="K7348" s="27" t="s">
        <v>37</v>
      </c>
      <c r="L7348" s="27"/>
    </row>
    <row r="7349" customFormat="false" ht="15" hidden="false" customHeight="false" outlineLevel="0" collapsed="false">
      <c r="A7349" s="26" t="s">
        <v>19616</v>
      </c>
      <c r="B7349" s="27" t="s">
        <v>19617</v>
      </c>
      <c r="C7349" s="27" t="s">
        <v>144</v>
      </c>
      <c r="D7349" s="26"/>
      <c r="E7349" s="27"/>
      <c r="F7349" s="27"/>
      <c r="G7349" s="27" t="s">
        <v>11122</v>
      </c>
      <c r="H7349" s="27" t="s">
        <v>35</v>
      </c>
      <c r="I7349" s="27" t="s">
        <v>37</v>
      </c>
      <c r="J7349" s="28" t="s">
        <v>772</v>
      </c>
      <c r="K7349" s="27" t="s">
        <v>37</v>
      </c>
      <c r="L7349" s="27"/>
    </row>
    <row r="7350" customFormat="false" ht="15" hidden="false" customHeight="false" outlineLevel="0" collapsed="false">
      <c r="A7350" s="26" t="s">
        <v>19618</v>
      </c>
      <c r="B7350" s="27" t="s">
        <v>19619</v>
      </c>
      <c r="C7350" s="27" t="s">
        <v>144</v>
      </c>
      <c r="D7350" s="26"/>
      <c r="E7350" s="27"/>
      <c r="F7350" s="27"/>
      <c r="G7350" s="27" t="s">
        <v>11122</v>
      </c>
      <c r="H7350" s="27" t="s">
        <v>35</v>
      </c>
      <c r="I7350" s="27" t="s">
        <v>37</v>
      </c>
      <c r="J7350" s="28" t="s">
        <v>772</v>
      </c>
      <c r="K7350" s="27" t="s">
        <v>37</v>
      </c>
      <c r="L7350" s="27"/>
    </row>
    <row r="7351" customFormat="false" ht="15" hidden="false" customHeight="false" outlineLevel="0" collapsed="false">
      <c r="A7351" s="26" t="s">
        <v>19620</v>
      </c>
      <c r="B7351" s="27" t="s">
        <v>19621</v>
      </c>
      <c r="C7351" s="27" t="s">
        <v>144</v>
      </c>
      <c r="D7351" s="26"/>
      <c r="E7351" s="27"/>
      <c r="F7351" s="27"/>
      <c r="G7351" s="27" t="s">
        <v>11122</v>
      </c>
      <c r="H7351" s="27" t="s">
        <v>35</v>
      </c>
      <c r="I7351" s="27" t="s">
        <v>37</v>
      </c>
      <c r="J7351" s="28" t="s">
        <v>772</v>
      </c>
      <c r="K7351" s="27" t="s">
        <v>37</v>
      </c>
      <c r="L7351" s="27"/>
    </row>
    <row r="7352" customFormat="false" ht="15" hidden="false" customHeight="false" outlineLevel="0" collapsed="false">
      <c r="A7352" s="26" t="s">
        <v>19622</v>
      </c>
      <c r="B7352" s="27" t="s">
        <v>19623</v>
      </c>
      <c r="C7352" s="27" t="s">
        <v>144</v>
      </c>
      <c r="D7352" s="26"/>
      <c r="E7352" s="27"/>
      <c r="F7352" s="27"/>
      <c r="G7352" s="27" t="s">
        <v>11122</v>
      </c>
      <c r="H7352" s="27" t="s">
        <v>35</v>
      </c>
      <c r="I7352" s="27" t="s">
        <v>40</v>
      </c>
      <c r="J7352" s="28" t="s">
        <v>772</v>
      </c>
      <c r="K7352" s="27" t="s">
        <v>37</v>
      </c>
      <c r="L7352" s="27"/>
    </row>
    <row r="7353" customFormat="false" ht="15" hidden="false" customHeight="false" outlineLevel="0" collapsed="false">
      <c r="A7353" s="26" t="s">
        <v>19624</v>
      </c>
      <c r="B7353" s="27" t="s">
        <v>19625</v>
      </c>
      <c r="C7353" s="27" t="s">
        <v>144</v>
      </c>
      <c r="D7353" s="26"/>
      <c r="E7353" s="27"/>
      <c r="F7353" s="27"/>
      <c r="G7353" s="27" t="s">
        <v>11122</v>
      </c>
      <c r="H7353" s="27" t="s">
        <v>35</v>
      </c>
      <c r="I7353" s="27" t="s">
        <v>44</v>
      </c>
      <c r="J7353" s="28" t="s">
        <v>772</v>
      </c>
      <c r="K7353" s="27" t="s">
        <v>37</v>
      </c>
      <c r="L7353" s="27"/>
    </row>
    <row r="7354" customFormat="false" ht="15" hidden="false" customHeight="false" outlineLevel="0" collapsed="false">
      <c r="A7354" s="26" t="s">
        <v>19626</v>
      </c>
      <c r="B7354" s="27" t="s">
        <v>19627</v>
      </c>
      <c r="C7354" s="27" t="s">
        <v>144</v>
      </c>
      <c r="D7354" s="26"/>
      <c r="E7354" s="27"/>
      <c r="F7354" s="27"/>
      <c r="G7354" s="27" t="s">
        <v>11122</v>
      </c>
      <c r="H7354" s="27" t="s">
        <v>35</v>
      </c>
      <c r="I7354" s="27" t="s">
        <v>41</v>
      </c>
      <c r="J7354" s="28" t="s">
        <v>772</v>
      </c>
      <c r="K7354" s="27" t="s">
        <v>37</v>
      </c>
      <c r="L7354" s="27"/>
    </row>
    <row r="7355" customFormat="false" ht="15" hidden="false" customHeight="false" outlineLevel="0" collapsed="false">
      <c r="A7355" s="26" t="s">
        <v>19628</v>
      </c>
      <c r="B7355" s="27" t="s">
        <v>19629</v>
      </c>
      <c r="C7355" s="27" t="s">
        <v>144</v>
      </c>
      <c r="D7355" s="26"/>
      <c r="E7355" s="27"/>
      <c r="F7355" s="27"/>
      <c r="G7355" s="27" t="s">
        <v>11122</v>
      </c>
      <c r="H7355" s="27" t="s">
        <v>35</v>
      </c>
      <c r="I7355" s="27" t="s">
        <v>47</v>
      </c>
      <c r="J7355" s="28" t="s">
        <v>772</v>
      </c>
      <c r="K7355" s="27" t="s">
        <v>37</v>
      </c>
      <c r="L7355" s="27"/>
    </row>
    <row r="7356" customFormat="false" ht="15" hidden="false" customHeight="false" outlineLevel="0" collapsed="false">
      <c r="A7356" s="26" t="s">
        <v>19630</v>
      </c>
      <c r="B7356" s="27" t="s">
        <v>19631</v>
      </c>
      <c r="C7356" s="27" t="s">
        <v>144</v>
      </c>
      <c r="D7356" s="26"/>
      <c r="E7356" s="27"/>
      <c r="F7356" s="27"/>
      <c r="G7356" s="27" t="s">
        <v>11122</v>
      </c>
      <c r="H7356" s="27" t="s">
        <v>35</v>
      </c>
      <c r="I7356" s="27" t="s">
        <v>37</v>
      </c>
      <c r="J7356" s="28" t="s">
        <v>772</v>
      </c>
      <c r="K7356" s="27" t="s">
        <v>37</v>
      </c>
      <c r="L7356" s="27"/>
    </row>
    <row r="7357" customFormat="false" ht="15" hidden="false" customHeight="false" outlineLevel="0" collapsed="false">
      <c r="A7357" s="26" t="s">
        <v>19632</v>
      </c>
      <c r="B7357" s="27" t="s">
        <v>19633</v>
      </c>
      <c r="C7357" s="27" t="s">
        <v>144</v>
      </c>
      <c r="D7357" s="26"/>
      <c r="E7357" s="27"/>
      <c r="F7357" s="27"/>
      <c r="G7357" s="27" t="s">
        <v>11122</v>
      </c>
      <c r="H7357" s="27" t="s">
        <v>35</v>
      </c>
      <c r="I7357" s="27" t="s">
        <v>37</v>
      </c>
      <c r="J7357" s="28" t="s">
        <v>772</v>
      </c>
      <c r="K7357" s="27" t="s">
        <v>37</v>
      </c>
      <c r="L7357" s="27"/>
    </row>
    <row r="7358" customFormat="false" ht="15" hidden="false" customHeight="false" outlineLevel="0" collapsed="false">
      <c r="A7358" s="26" t="s">
        <v>19634</v>
      </c>
      <c r="B7358" s="27" t="s">
        <v>19635</v>
      </c>
      <c r="C7358" s="27" t="s">
        <v>144</v>
      </c>
      <c r="D7358" s="26"/>
      <c r="E7358" s="27"/>
      <c r="F7358" s="27"/>
      <c r="G7358" s="27" t="s">
        <v>11122</v>
      </c>
      <c r="H7358" s="27" t="s">
        <v>35</v>
      </c>
      <c r="I7358" s="27" t="s">
        <v>1309</v>
      </c>
      <c r="J7358" s="28" t="s">
        <v>772</v>
      </c>
      <c r="K7358" s="27" t="s">
        <v>37</v>
      </c>
      <c r="L7358" s="27"/>
    </row>
    <row r="7359" customFormat="false" ht="15" hidden="false" customHeight="false" outlineLevel="0" collapsed="false">
      <c r="A7359" s="26" t="s">
        <v>19636</v>
      </c>
      <c r="B7359" s="27" t="s">
        <v>19637</v>
      </c>
      <c r="C7359" s="27" t="s">
        <v>144</v>
      </c>
      <c r="D7359" s="26"/>
      <c r="E7359" s="27"/>
      <c r="F7359" s="27"/>
      <c r="G7359" s="27" t="s">
        <v>11122</v>
      </c>
      <c r="H7359" s="27" t="s">
        <v>35</v>
      </c>
      <c r="I7359" s="27" t="s">
        <v>48</v>
      </c>
      <c r="J7359" s="28" t="s">
        <v>772</v>
      </c>
      <c r="K7359" s="27" t="s">
        <v>37</v>
      </c>
      <c r="L7359" s="27"/>
    </row>
    <row r="7360" customFormat="false" ht="15" hidden="false" customHeight="false" outlineLevel="0" collapsed="false">
      <c r="A7360" s="26" t="s">
        <v>19638</v>
      </c>
      <c r="B7360" s="27" t="s">
        <v>19639</v>
      </c>
      <c r="C7360" s="27" t="s">
        <v>144</v>
      </c>
      <c r="D7360" s="26"/>
      <c r="E7360" s="27"/>
      <c r="F7360" s="27"/>
      <c r="G7360" s="27" t="s">
        <v>11122</v>
      </c>
      <c r="H7360" s="27" t="s">
        <v>35</v>
      </c>
      <c r="I7360" s="27" t="s">
        <v>48</v>
      </c>
      <c r="J7360" s="28" t="s">
        <v>772</v>
      </c>
      <c r="K7360" s="27" t="s">
        <v>37</v>
      </c>
      <c r="L7360" s="27"/>
    </row>
    <row r="7361" customFormat="false" ht="15" hidden="false" customHeight="false" outlineLevel="0" collapsed="false">
      <c r="A7361" s="26" t="s">
        <v>19640</v>
      </c>
      <c r="B7361" s="27" t="s">
        <v>19641</v>
      </c>
      <c r="C7361" s="27" t="s">
        <v>144</v>
      </c>
      <c r="D7361" s="26"/>
      <c r="E7361" s="27"/>
      <c r="F7361" s="27"/>
      <c r="G7361" s="27" t="s">
        <v>11122</v>
      </c>
      <c r="H7361" s="27" t="s">
        <v>35</v>
      </c>
      <c r="I7361" s="27" t="s">
        <v>38</v>
      </c>
      <c r="J7361" s="28" t="s">
        <v>772</v>
      </c>
      <c r="K7361" s="27" t="s">
        <v>37</v>
      </c>
      <c r="L7361" s="27"/>
    </row>
    <row r="7362" customFormat="false" ht="15" hidden="false" customHeight="false" outlineLevel="0" collapsed="false">
      <c r="A7362" s="26" t="s">
        <v>19642</v>
      </c>
      <c r="B7362" s="27" t="s">
        <v>19643</v>
      </c>
      <c r="C7362" s="27" t="s">
        <v>144</v>
      </c>
      <c r="D7362" s="26"/>
      <c r="E7362" s="27"/>
      <c r="F7362" s="27"/>
      <c r="G7362" s="27" t="s">
        <v>11122</v>
      </c>
      <c r="H7362" s="27" t="s">
        <v>35</v>
      </c>
      <c r="I7362" s="27" t="s">
        <v>38</v>
      </c>
      <c r="J7362" s="28" t="s">
        <v>772</v>
      </c>
      <c r="K7362" s="27" t="s">
        <v>37</v>
      </c>
      <c r="L7362" s="27"/>
    </row>
    <row r="7363" customFormat="false" ht="15" hidden="false" customHeight="false" outlineLevel="0" collapsed="false">
      <c r="A7363" s="26" t="s">
        <v>19644</v>
      </c>
      <c r="B7363" s="28" t="s">
        <v>19645</v>
      </c>
      <c r="C7363" s="27" t="s">
        <v>144</v>
      </c>
      <c r="D7363" s="26"/>
      <c r="E7363" s="27"/>
      <c r="F7363" s="27"/>
      <c r="G7363" s="27" t="s">
        <v>11122</v>
      </c>
      <c r="H7363" s="27" t="s">
        <v>35</v>
      </c>
      <c r="I7363" s="27" t="s">
        <v>37</v>
      </c>
      <c r="J7363" s="28" t="s">
        <v>785</v>
      </c>
      <c r="K7363" s="27" t="s">
        <v>37</v>
      </c>
      <c r="L7363" s="27"/>
    </row>
    <row r="7364" customFormat="false" ht="15" hidden="false" customHeight="false" outlineLevel="0" collapsed="false">
      <c r="A7364" s="26" t="s">
        <v>19646</v>
      </c>
      <c r="B7364" s="28" t="s">
        <v>19647</v>
      </c>
      <c r="C7364" s="27" t="s">
        <v>144</v>
      </c>
      <c r="D7364" s="26"/>
      <c r="E7364" s="27"/>
      <c r="F7364" s="27"/>
      <c r="G7364" s="27" t="s">
        <v>11122</v>
      </c>
      <c r="H7364" s="27" t="s">
        <v>35</v>
      </c>
      <c r="I7364" s="27" t="s">
        <v>37</v>
      </c>
      <c r="J7364" s="28" t="s">
        <v>785</v>
      </c>
      <c r="K7364" s="27" t="s">
        <v>37</v>
      </c>
      <c r="L7364" s="27"/>
    </row>
    <row r="7365" customFormat="false" ht="15" hidden="false" customHeight="false" outlineLevel="0" collapsed="false">
      <c r="A7365" s="26" t="s">
        <v>19648</v>
      </c>
      <c r="B7365" s="28" t="s">
        <v>19649</v>
      </c>
      <c r="C7365" s="27" t="s">
        <v>144</v>
      </c>
      <c r="D7365" s="26"/>
      <c r="E7365" s="27"/>
      <c r="F7365" s="27"/>
      <c r="G7365" s="27" t="s">
        <v>11122</v>
      </c>
      <c r="H7365" s="27" t="s">
        <v>35</v>
      </c>
      <c r="I7365" s="27" t="s">
        <v>37</v>
      </c>
      <c r="J7365" s="28" t="s">
        <v>785</v>
      </c>
      <c r="K7365" s="27" t="s">
        <v>37</v>
      </c>
      <c r="L7365" s="27"/>
    </row>
    <row r="7366" customFormat="false" ht="15" hidden="false" customHeight="false" outlineLevel="0" collapsed="false">
      <c r="A7366" s="26" t="s">
        <v>19650</v>
      </c>
      <c r="B7366" s="28" t="s">
        <v>19651</v>
      </c>
      <c r="C7366" s="27" t="s">
        <v>144</v>
      </c>
      <c r="D7366" s="26"/>
      <c r="E7366" s="27"/>
      <c r="F7366" s="27"/>
      <c r="G7366" s="27" t="s">
        <v>11122</v>
      </c>
      <c r="H7366" s="27" t="s">
        <v>35</v>
      </c>
      <c r="I7366" s="27" t="s">
        <v>37</v>
      </c>
      <c r="J7366" s="28" t="s">
        <v>785</v>
      </c>
      <c r="K7366" s="27" t="s">
        <v>37</v>
      </c>
      <c r="L7366" s="27"/>
    </row>
    <row r="7367" customFormat="false" ht="15" hidden="false" customHeight="false" outlineLevel="0" collapsed="false">
      <c r="A7367" s="26" t="s">
        <v>19652</v>
      </c>
      <c r="B7367" s="28" t="s">
        <v>19653</v>
      </c>
      <c r="C7367" s="27" t="s">
        <v>144</v>
      </c>
      <c r="D7367" s="26"/>
      <c r="E7367" s="27"/>
      <c r="F7367" s="27"/>
      <c r="G7367" s="27" t="s">
        <v>11122</v>
      </c>
      <c r="H7367" s="27" t="s">
        <v>35</v>
      </c>
      <c r="I7367" s="27" t="s">
        <v>37</v>
      </c>
      <c r="J7367" s="28" t="s">
        <v>785</v>
      </c>
      <c r="K7367" s="27" t="s">
        <v>37</v>
      </c>
      <c r="L7367" s="27"/>
    </row>
    <row r="7368" customFormat="false" ht="15" hidden="false" customHeight="false" outlineLevel="0" collapsed="false">
      <c r="A7368" s="26" t="s">
        <v>19654</v>
      </c>
      <c r="B7368" s="28" t="s">
        <v>19655</v>
      </c>
      <c r="C7368" s="27" t="s">
        <v>144</v>
      </c>
      <c r="D7368" s="26"/>
      <c r="E7368" s="27"/>
      <c r="F7368" s="27"/>
      <c r="G7368" s="27" t="s">
        <v>11122</v>
      </c>
      <c r="H7368" s="27" t="s">
        <v>35</v>
      </c>
      <c r="I7368" s="27" t="s">
        <v>37</v>
      </c>
      <c r="J7368" s="28" t="s">
        <v>785</v>
      </c>
      <c r="K7368" s="27" t="s">
        <v>37</v>
      </c>
      <c r="L7368" s="27"/>
    </row>
    <row r="7369" customFormat="false" ht="15" hidden="false" customHeight="false" outlineLevel="0" collapsed="false">
      <c r="A7369" s="26" t="s">
        <v>19656</v>
      </c>
      <c r="B7369" s="28" t="s">
        <v>19657</v>
      </c>
      <c r="C7369" s="27" t="s">
        <v>144</v>
      </c>
      <c r="D7369" s="26"/>
      <c r="E7369" s="27"/>
      <c r="F7369" s="27"/>
      <c r="G7369" s="27" t="s">
        <v>11122</v>
      </c>
      <c r="H7369" s="27" t="s">
        <v>35</v>
      </c>
      <c r="I7369" s="27" t="s">
        <v>37</v>
      </c>
      <c r="J7369" s="28" t="s">
        <v>785</v>
      </c>
      <c r="K7369" s="27" t="s">
        <v>37</v>
      </c>
      <c r="L7369" s="27"/>
    </row>
    <row r="7370" customFormat="false" ht="15" hidden="false" customHeight="false" outlineLevel="0" collapsed="false">
      <c r="A7370" s="26" t="s">
        <v>19658</v>
      </c>
      <c r="B7370" s="28" t="s">
        <v>19659</v>
      </c>
      <c r="C7370" s="27" t="s">
        <v>144</v>
      </c>
      <c r="D7370" s="26"/>
      <c r="E7370" s="27"/>
      <c r="F7370" s="27"/>
      <c r="G7370" s="27" t="s">
        <v>11122</v>
      </c>
      <c r="H7370" s="27" t="s">
        <v>35</v>
      </c>
      <c r="I7370" s="27" t="s">
        <v>37</v>
      </c>
      <c r="J7370" s="28" t="s">
        <v>785</v>
      </c>
      <c r="K7370" s="27" t="s">
        <v>37</v>
      </c>
      <c r="L7370" s="27"/>
    </row>
    <row r="7371" customFormat="false" ht="15" hidden="false" customHeight="false" outlineLevel="0" collapsed="false">
      <c r="A7371" s="26" t="s">
        <v>19660</v>
      </c>
      <c r="B7371" s="28" t="s">
        <v>19661</v>
      </c>
      <c r="C7371" s="27" t="s">
        <v>144</v>
      </c>
      <c r="D7371" s="26"/>
      <c r="E7371" s="27"/>
      <c r="F7371" s="27"/>
      <c r="G7371" s="27" t="s">
        <v>11122</v>
      </c>
      <c r="H7371" s="27" t="s">
        <v>35</v>
      </c>
      <c r="I7371" s="27" t="s">
        <v>37</v>
      </c>
      <c r="J7371" s="28" t="s">
        <v>785</v>
      </c>
      <c r="K7371" s="27" t="s">
        <v>37</v>
      </c>
      <c r="L7371" s="27"/>
    </row>
    <row r="7372" customFormat="false" ht="15" hidden="false" customHeight="false" outlineLevel="0" collapsed="false">
      <c r="A7372" s="26" t="s">
        <v>19662</v>
      </c>
      <c r="B7372" s="28" t="s">
        <v>19663</v>
      </c>
      <c r="C7372" s="27" t="s">
        <v>144</v>
      </c>
      <c r="D7372" s="26"/>
      <c r="E7372" s="27"/>
      <c r="F7372" s="27"/>
      <c r="G7372" s="27" t="s">
        <v>11122</v>
      </c>
      <c r="H7372" s="27" t="s">
        <v>35</v>
      </c>
      <c r="I7372" s="27" t="s">
        <v>37</v>
      </c>
      <c r="J7372" s="28" t="s">
        <v>785</v>
      </c>
      <c r="K7372" s="27" t="s">
        <v>37</v>
      </c>
      <c r="L7372" s="27"/>
    </row>
    <row r="7373" customFormat="false" ht="15" hidden="false" customHeight="false" outlineLevel="0" collapsed="false">
      <c r="A7373" s="26" t="s">
        <v>19664</v>
      </c>
      <c r="B7373" s="28" t="s">
        <v>19665</v>
      </c>
      <c r="C7373" s="27" t="s">
        <v>144</v>
      </c>
      <c r="D7373" s="26"/>
      <c r="E7373" s="27"/>
      <c r="F7373" s="27"/>
      <c r="G7373" s="27" t="s">
        <v>11122</v>
      </c>
      <c r="H7373" s="27" t="s">
        <v>35</v>
      </c>
      <c r="I7373" s="27" t="s">
        <v>37</v>
      </c>
      <c r="J7373" s="28" t="s">
        <v>785</v>
      </c>
      <c r="K7373" s="27" t="s">
        <v>37</v>
      </c>
      <c r="L7373" s="27"/>
    </row>
    <row r="7374" customFormat="false" ht="15" hidden="false" customHeight="false" outlineLevel="0" collapsed="false">
      <c r="A7374" s="26" t="s">
        <v>19666</v>
      </c>
      <c r="B7374" s="28" t="s">
        <v>19667</v>
      </c>
      <c r="C7374" s="27" t="s">
        <v>144</v>
      </c>
      <c r="D7374" s="26"/>
      <c r="E7374" s="27"/>
      <c r="F7374" s="27"/>
      <c r="G7374" s="27" t="s">
        <v>11122</v>
      </c>
      <c r="H7374" s="27" t="s">
        <v>35</v>
      </c>
      <c r="I7374" s="27" t="s">
        <v>37</v>
      </c>
      <c r="J7374" s="28" t="s">
        <v>785</v>
      </c>
      <c r="K7374" s="27" t="s">
        <v>37</v>
      </c>
      <c r="L7374" s="27"/>
    </row>
    <row r="7375" customFormat="false" ht="15" hidden="false" customHeight="false" outlineLevel="0" collapsed="false">
      <c r="A7375" s="26" t="s">
        <v>19668</v>
      </c>
      <c r="B7375" s="28" t="s">
        <v>19669</v>
      </c>
      <c r="C7375" s="27" t="s">
        <v>144</v>
      </c>
      <c r="D7375" s="26"/>
      <c r="E7375" s="27"/>
      <c r="F7375" s="27"/>
      <c r="G7375" s="27" t="s">
        <v>11122</v>
      </c>
      <c r="H7375" s="27" t="s">
        <v>35</v>
      </c>
      <c r="I7375" s="27" t="s">
        <v>37</v>
      </c>
      <c r="J7375" s="28" t="s">
        <v>785</v>
      </c>
      <c r="K7375" s="27" t="s">
        <v>37</v>
      </c>
      <c r="L7375" s="27"/>
    </row>
    <row r="7376" customFormat="false" ht="15" hidden="false" customHeight="false" outlineLevel="0" collapsed="false">
      <c r="A7376" s="26" t="s">
        <v>19670</v>
      </c>
      <c r="B7376" s="28" t="s">
        <v>19671</v>
      </c>
      <c r="C7376" s="27" t="s">
        <v>144</v>
      </c>
      <c r="D7376" s="26"/>
      <c r="E7376" s="27"/>
      <c r="F7376" s="27"/>
      <c r="G7376" s="27" t="s">
        <v>11122</v>
      </c>
      <c r="H7376" s="27" t="s">
        <v>35</v>
      </c>
      <c r="I7376" s="27" t="s">
        <v>37</v>
      </c>
      <c r="J7376" s="28" t="s">
        <v>785</v>
      </c>
      <c r="K7376" s="27" t="s">
        <v>37</v>
      </c>
      <c r="L7376" s="27"/>
    </row>
    <row r="7377" customFormat="false" ht="15" hidden="false" customHeight="false" outlineLevel="0" collapsed="false">
      <c r="A7377" s="26" t="s">
        <v>19672</v>
      </c>
      <c r="B7377" s="28" t="s">
        <v>19673</v>
      </c>
      <c r="C7377" s="27" t="s">
        <v>144</v>
      </c>
      <c r="D7377" s="26"/>
      <c r="E7377" s="27"/>
      <c r="F7377" s="27"/>
      <c r="G7377" s="27" t="s">
        <v>11122</v>
      </c>
      <c r="H7377" s="27" t="s">
        <v>35</v>
      </c>
      <c r="I7377" s="27" t="s">
        <v>37</v>
      </c>
      <c r="J7377" s="28" t="s">
        <v>785</v>
      </c>
      <c r="K7377" s="27" t="s">
        <v>37</v>
      </c>
      <c r="L7377" s="27"/>
    </row>
    <row r="7378" customFormat="false" ht="15" hidden="false" customHeight="false" outlineLevel="0" collapsed="false">
      <c r="A7378" s="26" t="s">
        <v>19674</v>
      </c>
      <c r="B7378" s="28" t="s">
        <v>19675</v>
      </c>
      <c r="C7378" s="27" t="s">
        <v>144</v>
      </c>
      <c r="D7378" s="26"/>
      <c r="E7378" s="27"/>
      <c r="F7378" s="27"/>
      <c r="G7378" s="27" t="s">
        <v>11122</v>
      </c>
      <c r="H7378" s="27" t="s">
        <v>35</v>
      </c>
      <c r="I7378" s="27" t="s">
        <v>37</v>
      </c>
      <c r="J7378" s="28" t="s">
        <v>785</v>
      </c>
      <c r="K7378" s="27" t="s">
        <v>37</v>
      </c>
      <c r="L7378" s="27"/>
    </row>
    <row r="7379" customFormat="false" ht="15" hidden="false" customHeight="false" outlineLevel="0" collapsed="false">
      <c r="A7379" s="26" t="s">
        <v>19676</v>
      </c>
      <c r="B7379" s="28" t="s">
        <v>19677</v>
      </c>
      <c r="C7379" s="27" t="s">
        <v>144</v>
      </c>
      <c r="D7379" s="26"/>
      <c r="E7379" s="27"/>
      <c r="F7379" s="27"/>
      <c r="G7379" s="27" t="s">
        <v>11122</v>
      </c>
      <c r="H7379" s="27" t="s">
        <v>35</v>
      </c>
      <c r="I7379" s="27" t="s">
        <v>37</v>
      </c>
      <c r="J7379" s="28" t="s">
        <v>785</v>
      </c>
      <c r="K7379" s="27" t="s">
        <v>37</v>
      </c>
      <c r="L7379" s="27"/>
    </row>
    <row r="7380" customFormat="false" ht="15" hidden="false" customHeight="false" outlineLevel="0" collapsed="false">
      <c r="A7380" s="26" t="s">
        <v>19678</v>
      </c>
      <c r="B7380" s="28" t="s">
        <v>19679</v>
      </c>
      <c r="C7380" s="27" t="s">
        <v>144</v>
      </c>
      <c r="D7380" s="26"/>
      <c r="E7380" s="27"/>
      <c r="F7380" s="27"/>
      <c r="G7380" s="27" t="s">
        <v>11122</v>
      </c>
      <c r="H7380" s="27" t="s">
        <v>35</v>
      </c>
      <c r="I7380" s="27" t="s">
        <v>37</v>
      </c>
      <c r="J7380" s="28" t="s">
        <v>785</v>
      </c>
      <c r="K7380" s="27" t="s">
        <v>37</v>
      </c>
      <c r="L7380" s="27"/>
    </row>
    <row r="7381" customFormat="false" ht="15" hidden="false" customHeight="false" outlineLevel="0" collapsed="false">
      <c r="A7381" s="26" t="s">
        <v>19680</v>
      </c>
      <c r="B7381" s="28" t="s">
        <v>19681</v>
      </c>
      <c r="C7381" s="27" t="s">
        <v>144</v>
      </c>
      <c r="D7381" s="26"/>
      <c r="E7381" s="27"/>
      <c r="F7381" s="27"/>
      <c r="G7381" s="27" t="s">
        <v>11122</v>
      </c>
      <c r="H7381" s="27" t="s">
        <v>35</v>
      </c>
      <c r="I7381" s="27" t="s">
        <v>37</v>
      </c>
      <c r="J7381" s="28" t="s">
        <v>785</v>
      </c>
      <c r="K7381" s="27" t="s">
        <v>37</v>
      </c>
      <c r="L7381" s="27"/>
    </row>
    <row r="7382" customFormat="false" ht="15" hidden="false" customHeight="false" outlineLevel="0" collapsed="false">
      <c r="A7382" s="26" t="s">
        <v>19682</v>
      </c>
      <c r="B7382" s="28" t="s">
        <v>19683</v>
      </c>
      <c r="C7382" s="27" t="s">
        <v>144</v>
      </c>
      <c r="D7382" s="26"/>
      <c r="E7382" s="27"/>
      <c r="F7382" s="27"/>
      <c r="G7382" s="27" t="s">
        <v>11122</v>
      </c>
      <c r="H7382" s="27" t="s">
        <v>35</v>
      </c>
      <c r="I7382" s="27" t="s">
        <v>37</v>
      </c>
      <c r="J7382" s="28" t="s">
        <v>785</v>
      </c>
      <c r="K7382" s="27" t="s">
        <v>37</v>
      </c>
      <c r="L7382" s="27"/>
    </row>
    <row r="7383" customFormat="false" ht="15" hidden="false" customHeight="false" outlineLevel="0" collapsed="false">
      <c r="A7383" s="26" t="s">
        <v>19684</v>
      </c>
      <c r="B7383" s="28" t="s">
        <v>19685</v>
      </c>
      <c r="C7383" s="27" t="s">
        <v>144</v>
      </c>
      <c r="D7383" s="26"/>
      <c r="E7383" s="27"/>
      <c r="F7383" s="27"/>
      <c r="G7383" s="27" t="s">
        <v>11122</v>
      </c>
      <c r="H7383" s="27" t="s">
        <v>35</v>
      </c>
      <c r="I7383" s="27" t="s">
        <v>37</v>
      </c>
      <c r="J7383" s="28" t="s">
        <v>785</v>
      </c>
      <c r="K7383" s="27" t="s">
        <v>37</v>
      </c>
      <c r="L7383" s="27"/>
    </row>
    <row r="7384" customFormat="false" ht="15" hidden="false" customHeight="false" outlineLevel="0" collapsed="false">
      <c r="A7384" s="26" t="s">
        <v>19686</v>
      </c>
      <c r="B7384" s="28" t="s">
        <v>19687</v>
      </c>
      <c r="C7384" s="27" t="s">
        <v>144</v>
      </c>
      <c r="D7384" s="26"/>
      <c r="E7384" s="27"/>
      <c r="F7384" s="27"/>
      <c r="G7384" s="27" t="s">
        <v>11122</v>
      </c>
      <c r="H7384" s="27" t="s">
        <v>35</v>
      </c>
      <c r="I7384" s="27" t="s">
        <v>37</v>
      </c>
      <c r="J7384" s="28" t="s">
        <v>785</v>
      </c>
      <c r="K7384" s="27" t="s">
        <v>37</v>
      </c>
      <c r="L7384" s="27"/>
    </row>
    <row r="7385" customFormat="false" ht="15" hidden="false" customHeight="false" outlineLevel="0" collapsed="false">
      <c r="A7385" s="26" t="s">
        <v>19688</v>
      </c>
      <c r="B7385" s="28" t="s">
        <v>19689</v>
      </c>
      <c r="C7385" s="27" t="s">
        <v>144</v>
      </c>
      <c r="D7385" s="26"/>
      <c r="E7385" s="27"/>
      <c r="F7385" s="27"/>
      <c r="G7385" s="27" t="s">
        <v>11122</v>
      </c>
      <c r="H7385" s="27" t="s">
        <v>35</v>
      </c>
      <c r="I7385" s="27" t="s">
        <v>37</v>
      </c>
      <c r="J7385" s="28" t="s">
        <v>785</v>
      </c>
      <c r="K7385" s="27" t="s">
        <v>37</v>
      </c>
      <c r="L7385" s="27"/>
    </row>
    <row r="7386" customFormat="false" ht="15" hidden="false" customHeight="false" outlineLevel="0" collapsed="false">
      <c r="A7386" s="26" t="s">
        <v>19690</v>
      </c>
      <c r="B7386" s="28" t="s">
        <v>19691</v>
      </c>
      <c r="C7386" s="27" t="s">
        <v>144</v>
      </c>
      <c r="D7386" s="26"/>
      <c r="E7386" s="27"/>
      <c r="F7386" s="27"/>
      <c r="G7386" s="27" t="s">
        <v>11122</v>
      </c>
      <c r="H7386" s="27" t="s">
        <v>35</v>
      </c>
      <c r="I7386" s="27" t="s">
        <v>37</v>
      </c>
      <c r="J7386" s="28" t="s">
        <v>785</v>
      </c>
      <c r="K7386" s="27" t="s">
        <v>37</v>
      </c>
      <c r="L7386" s="27"/>
    </row>
    <row r="7387" customFormat="false" ht="15" hidden="false" customHeight="false" outlineLevel="0" collapsed="false">
      <c r="A7387" s="26" t="s">
        <v>19692</v>
      </c>
      <c r="B7387" s="28" t="s">
        <v>19693</v>
      </c>
      <c r="C7387" s="27" t="s">
        <v>144</v>
      </c>
      <c r="D7387" s="26"/>
      <c r="E7387" s="27"/>
      <c r="F7387" s="27"/>
      <c r="G7387" s="27" t="s">
        <v>11122</v>
      </c>
      <c r="H7387" s="27" t="s">
        <v>35</v>
      </c>
      <c r="I7387" s="27" t="s">
        <v>37</v>
      </c>
      <c r="J7387" s="28" t="s">
        <v>785</v>
      </c>
      <c r="K7387" s="27" t="s">
        <v>37</v>
      </c>
      <c r="L7387" s="27"/>
    </row>
    <row r="7388" customFormat="false" ht="15" hidden="false" customHeight="false" outlineLevel="0" collapsed="false">
      <c r="A7388" s="26" t="s">
        <v>19694</v>
      </c>
      <c r="B7388" s="28" t="s">
        <v>19695</v>
      </c>
      <c r="C7388" s="27" t="s">
        <v>144</v>
      </c>
      <c r="D7388" s="26"/>
      <c r="E7388" s="27"/>
      <c r="F7388" s="27"/>
      <c r="G7388" s="27" t="s">
        <v>11122</v>
      </c>
      <c r="H7388" s="27" t="s">
        <v>35</v>
      </c>
      <c r="I7388" s="27" t="s">
        <v>37</v>
      </c>
      <c r="J7388" s="28" t="s">
        <v>785</v>
      </c>
      <c r="K7388" s="27" t="s">
        <v>37</v>
      </c>
      <c r="L7388" s="27"/>
    </row>
    <row r="7389" customFormat="false" ht="15" hidden="false" customHeight="false" outlineLevel="0" collapsed="false">
      <c r="A7389" s="26" t="s">
        <v>19696</v>
      </c>
      <c r="B7389" s="28" t="s">
        <v>19697</v>
      </c>
      <c r="C7389" s="27" t="s">
        <v>144</v>
      </c>
      <c r="D7389" s="26"/>
      <c r="E7389" s="27"/>
      <c r="F7389" s="27"/>
      <c r="G7389" s="27" t="s">
        <v>11122</v>
      </c>
      <c r="H7389" s="27" t="s">
        <v>35</v>
      </c>
      <c r="I7389" s="27" t="s">
        <v>37</v>
      </c>
      <c r="J7389" s="28" t="s">
        <v>785</v>
      </c>
      <c r="K7389" s="27" t="s">
        <v>37</v>
      </c>
      <c r="L7389" s="27"/>
    </row>
    <row r="7390" customFormat="false" ht="15" hidden="false" customHeight="false" outlineLevel="0" collapsed="false">
      <c r="A7390" s="26" t="s">
        <v>19698</v>
      </c>
      <c r="B7390" s="28" t="s">
        <v>19699</v>
      </c>
      <c r="C7390" s="27" t="s">
        <v>144</v>
      </c>
      <c r="D7390" s="26"/>
      <c r="E7390" s="27"/>
      <c r="F7390" s="27"/>
      <c r="G7390" s="27" t="s">
        <v>11122</v>
      </c>
      <c r="H7390" s="27" t="s">
        <v>35</v>
      </c>
      <c r="I7390" s="27" t="s">
        <v>37</v>
      </c>
      <c r="J7390" s="28" t="s">
        <v>785</v>
      </c>
      <c r="K7390" s="27" t="s">
        <v>37</v>
      </c>
      <c r="L7390" s="27"/>
    </row>
    <row r="7391" customFormat="false" ht="15" hidden="false" customHeight="false" outlineLevel="0" collapsed="false">
      <c r="A7391" s="26" t="s">
        <v>19700</v>
      </c>
      <c r="B7391" s="28" t="s">
        <v>19701</v>
      </c>
      <c r="C7391" s="27" t="s">
        <v>144</v>
      </c>
      <c r="D7391" s="26"/>
      <c r="E7391" s="27"/>
      <c r="F7391" s="27"/>
      <c r="G7391" s="27" t="s">
        <v>11122</v>
      </c>
      <c r="H7391" s="27" t="s">
        <v>35</v>
      </c>
      <c r="I7391" s="27" t="s">
        <v>37</v>
      </c>
      <c r="J7391" s="28" t="s">
        <v>785</v>
      </c>
      <c r="K7391" s="27" t="s">
        <v>37</v>
      </c>
      <c r="L7391" s="27"/>
    </row>
    <row r="7392" customFormat="false" ht="15" hidden="false" customHeight="false" outlineLevel="0" collapsed="false">
      <c r="A7392" s="26" t="s">
        <v>19702</v>
      </c>
      <c r="B7392" s="28" t="s">
        <v>19703</v>
      </c>
      <c r="C7392" s="27" t="s">
        <v>144</v>
      </c>
      <c r="D7392" s="26"/>
      <c r="E7392" s="27"/>
      <c r="F7392" s="27"/>
      <c r="G7392" s="27" t="s">
        <v>11122</v>
      </c>
      <c r="H7392" s="27" t="s">
        <v>35</v>
      </c>
      <c r="I7392" s="27" t="s">
        <v>37</v>
      </c>
      <c r="J7392" s="28" t="s">
        <v>785</v>
      </c>
      <c r="K7392" s="27" t="s">
        <v>37</v>
      </c>
      <c r="L7392" s="27"/>
    </row>
    <row r="7393" customFormat="false" ht="15" hidden="false" customHeight="false" outlineLevel="0" collapsed="false">
      <c r="A7393" s="26" t="s">
        <v>19704</v>
      </c>
      <c r="B7393" s="28" t="s">
        <v>19705</v>
      </c>
      <c r="C7393" s="27" t="s">
        <v>144</v>
      </c>
      <c r="D7393" s="26"/>
      <c r="E7393" s="27"/>
      <c r="F7393" s="27"/>
      <c r="G7393" s="27" t="s">
        <v>11122</v>
      </c>
      <c r="H7393" s="27" t="s">
        <v>35</v>
      </c>
      <c r="I7393" s="27" t="s">
        <v>37</v>
      </c>
      <c r="J7393" s="28" t="s">
        <v>785</v>
      </c>
      <c r="K7393" s="27" t="s">
        <v>37</v>
      </c>
      <c r="L7393" s="27"/>
    </row>
    <row r="7394" customFormat="false" ht="15" hidden="false" customHeight="false" outlineLevel="0" collapsed="false">
      <c r="A7394" s="26" t="s">
        <v>19706</v>
      </c>
      <c r="B7394" s="28" t="s">
        <v>19707</v>
      </c>
      <c r="C7394" s="27" t="s">
        <v>144</v>
      </c>
      <c r="D7394" s="26"/>
      <c r="E7394" s="27"/>
      <c r="F7394" s="27"/>
      <c r="G7394" s="27" t="s">
        <v>11122</v>
      </c>
      <c r="H7394" s="27" t="s">
        <v>35</v>
      </c>
      <c r="I7394" s="27" t="s">
        <v>37</v>
      </c>
      <c r="J7394" s="28" t="s">
        <v>785</v>
      </c>
      <c r="K7394" s="27" t="s">
        <v>37</v>
      </c>
      <c r="L7394" s="27"/>
    </row>
    <row r="7395" customFormat="false" ht="15" hidden="false" customHeight="false" outlineLevel="0" collapsed="false">
      <c r="A7395" s="26" t="s">
        <v>19708</v>
      </c>
      <c r="B7395" s="28" t="s">
        <v>19709</v>
      </c>
      <c r="C7395" s="27" t="s">
        <v>144</v>
      </c>
      <c r="D7395" s="26"/>
      <c r="E7395" s="27"/>
      <c r="F7395" s="27"/>
      <c r="G7395" s="27" t="s">
        <v>11122</v>
      </c>
      <c r="H7395" s="27" t="s">
        <v>35</v>
      </c>
      <c r="I7395" s="27" t="s">
        <v>37</v>
      </c>
      <c r="J7395" s="28" t="s">
        <v>785</v>
      </c>
      <c r="K7395" s="27" t="s">
        <v>37</v>
      </c>
      <c r="L7395" s="27"/>
    </row>
    <row r="7396" customFormat="false" ht="15" hidden="false" customHeight="false" outlineLevel="0" collapsed="false">
      <c r="A7396" s="26" t="s">
        <v>19710</v>
      </c>
      <c r="B7396" s="28" t="s">
        <v>19711</v>
      </c>
      <c r="C7396" s="27" t="s">
        <v>144</v>
      </c>
      <c r="D7396" s="26"/>
      <c r="E7396" s="27"/>
      <c r="F7396" s="27"/>
      <c r="G7396" s="27" t="s">
        <v>11122</v>
      </c>
      <c r="H7396" s="27" t="s">
        <v>35</v>
      </c>
      <c r="I7396" s="27" t="s">
        <v>37</v>
      </c>
      <c r="J7396" s="28" t="s">
        <v>785</v>
      </c>
      <c r="K7396" s="27" t="s">
        <v>37</v>
      </c>
      <c r="L7396" s="27"/>
    </row>
    <row r="7397" customFormat="false" ht="15" hidden="false" customHeight="false" outlineLevel="0" collapsed="false">
      <c r="A7397" s="26" t="s">
        <v>19712</v>
      </c>
      <c r="B7397" s="28" t="s">
        <v>19713</v>
      </c>
      <c r="C7397" s="27" t="s">
        <v>144</v>
      </c>
      <c r="D7397" s="26"/>
      <c r="E7397" s="27"/>
      <c r="F7397" s="27"/>
      <c r="G7397" s="27" t="s">
        <v>11122</v>
      </c>
      <c r="H7397" s="27" t="s">
        <v>35</v>
      </c>
      <c r="I7397" s="27" t="s">
        <v>37</v>
      </c>
      <c r="J7397" s="28" t="s">
        <v>785</v>
      </c>
      <c r="K7397" s="27" t="s">
        <v>37</v>
      </c>
      <c r="L7397" s="27"/>
    </row>
    <row r="7398" customFormat="false" ht="15" hidden="false" customHeight="false" outlineLevel="0" collapsed="false">
      <c r="A7398" s="26" t="s">
        <v>19714</v>
      </c>
      <c r="B7398" s="28" t="s">
        <v>19715</v>
      </c>
      <c r="C7398" s="27" t="s">
        <v>144</v>
      </c>
      <c r="D7398" s="26"/>
      <c r="E7398" s="27"/>
      <c r="F7398" s="27"/>
      <c r="G7398" s="27" t="s">
        <v>11122</v>
      </c>
      <c r="H7398" s="27" t="s">
        <v>35</v>
      </c>
      <c r="I7398" s="27" t="s">
        <v>37</v>
      </c>
      <c r="J7398" s="28" t="s">
        <v>785</v>
      </c>
      <c r="K7398" s="27" t="s">
        <v>37</v>
      </c>
      <c r="L7398" s="27"/>
    </row>
    <row r="7399" customFormat="false" ht="15" hidden="false" customHeight="false" outlineLevel="0" collapsed="false">
      <c r="A7399" s="26" t="s">
        <v>19716</v>
      </c>
      <c r="B7399" s="28" t="s">
        <v>19717</v>
      </c>
      <c r="C7399" s="27" t="s">
        <v>144</v>
      </c>
      <c r="D7399" s="26"/>
      <c r="E7399" s="27"/>
      <c r="F7399" s="27"/>
      <c r="G7399" s="27" t="s">
        <v>11122</v>
      </c>
      <c r="H7399" s="27" t="s">
        <v>35</v>
      </c>
      <c r="I7399" s="27" t="s">
        <v>37</v>
      </c>
      <c r="J7399" s="28" t="s">
        <v>785</v>
      </c>
      <c r="K7399" s="27" t="s">
        <v>37</v>
      </c>
      <c r="L7399" s="27"/>
    </row>
    <row r="7400" customFormat="false" ht="15" hidden="false" customHeight="false" outlineLevel="0" collapsed="false">
      <c r="A7400" s="26" t="s">
        <v>19718</v>
      </c>
      <c r="B7400" s="28" t="s">
        <v>19719</v>
      </c>
      <c r="C7400" s="27" t="s">
        <v>144</v>
      </c>
      <c r="D7400" s="26"/>
      <c r="E7400" s="27"/>
      <c r="F7400" s="27"/>
      <c r="G7400" s="27" t="s">
        <v>11122</v>
      </c>
      <c r="H7400" s="27" t="s">
        <v>35</v>
      </c>
      <c r="I7400" s="27" t="s">
        <v>37</v>
      </c>
      <c r="J7400" s="28" t="s">
        <v>785</v>
      </c>
      <c r="K7400" s="27" t="s">
        <v>37</v>
      </c>
      <c r="L7400" s="27"/>
    </row>
    <row r="7401" customFormat="false" ht="15" hidden="false" customHeight="false" outlineLevel="0" collapsed="false">
      <c r="A7401" s="26" t="s">
        <v>19720</v>
      </c>
      <c r="B7401" s="28" t="s">
        <v>19721</v>
      </c>
      <c r="C7401" s="27" t="s">
        <v>144</v>
      </c>
      <c r="D7401" s="26"/>
      <c r="E7401" s="27"/>
      <c r="F7401" s="27"/>
      <c r="G7401" s="27" t="s">
        <v>11122</v>
      </c>
      <c r="H7401" s="27" t="s">
        <v>35</v>
      </c>
      <c r="I7401" s="27" t="s">
        <v>37</v>
      </c>
      <c r="J7401" s="28" t="s">
        <v>785</v>
      </c>
      <c r="K7401" s="27" t="s">
        <v>37</v>
      </c>
      <c r="L7401" s="27"/>
    </row>
    <row r="7402" customFormat="false" ht="15" hidden="false" customHeight="false" outlineLevel="0" collapsed="false">
      <c r="A7402" s="26" t="s">
        <v>19722</v>
      </c>
      <c r="B7402" s="28" t="s">
        <v>19723</v>
      </c>
      <c r="C7402" s="27" t="s">
        <v>144</v>
      </c>
      <c r="D7402" s="26"/>
      <c r="E7402" s="27"/>
      <c r="F7402" s="27"/>
      <c r="G7402" s="27" t="s">
        <v>11122</v>
      </c>
      <c r="H7402" s="27" t="s">
        <v>35</v>
      </c>
      <c r="I7402" s="27" t="s">
        <v>43</v>
      </c>
      <c r="J7402" s="28" t="s">
        <v>785</v>
      </c>
      <c r="K7402" s="27" t="s">
        <v>37</v>
      </c>
      <c r="L7402" s="27"/>
    </row>
    <row r="7403" customFormat="false" ht="15" hidden="false" customHeight="false" outlineLevel="0" collapsed="false">
      <c r="A7403" s="26" t="s">
        <v>19724</v>
      </c>
      <c r="B7403" s="28" t="s">
        <v>19725</v>
      </c>
      <c r="C7403" s="27" t="s">
        <v>144</v>
      </c>
      <c r="D7403" s="26"/>
      <c r="E7403" s="27"/>
      <c r="F7403" s="27"/>
      <c r="G7403" s="27" t="s">
        <v>11122</v>
      </c>
      <c r="H7403" s="27" t="s">
        <v>35</v>
      </c>
      <c r="I7403" s="27" t="s">
        <v>43</v>
      </c>
      <c r="J7403" s="28" t="s">
        <v>785</v>
      </c>
      <c r="K7403" s="27" t="s">
        <v>37</v>
      </c>
      <c r="L7403" s="27"/>
    </row>
    <row r="7404" customFormat="false" ht="15" hidden="false" customHeight="false" outlineLevel="0" collapsed="false">
      <c r="A7404" s="26" t="s">
        <v>19726</v>
      </c>
      <c r="B7404" s="27" t="s">
        <v>19727</v>
      </c>
      <c r="C7404" s="27" t="s">
        <v>144</v>
      </c>
      <c r="D7404" s="26"/>
      <c r="E7404" s="27"/>
      <c r="F7404" s="27"/>
      <c r="G7404" s="27" t="s">
        <v>11122</v>
      </c>
      <c r="H7404" s="27" t="s">
        <v>35</v>
      </c>
      <c r="I7404" s="27" t="s">
        <v>38</v>
      </c>
      <c r="J7404" s="28" t="s">
        <v>785</v>
      </c>
      <c r="K7404" s="27" t="s">
        <v>37</v>
      </c>
      <c r="L7404" s="27"/>
    </row>
    <row r="7405" customFormat="false" ht="15" hidden="false" customHeight="false" outlineLevel="0" collapsed="false">
      <c r="A7405" s="26" t="s">
        <v>19728</v>
      </c>
      <c r="B7405" s="27" t="s">
        <v>19729</v>
      </c>
      <c r="C7405" s="27" t="s">
        <v>144</v>
      </c>
      <c r="D7405" s="26"/>
      <c r="E7405" s="27"/>
      <c r="F7405" s="27"/>
      <c r="G7405" s="27" t="s">
        <v>11122</v>
      </c>
      <c r="H7405" s="27" t="s">
        <v>35</v>
      </c>
      <c r="I7405" s="27" t="s">
        <v>38</v>
      </c>
      <c r="J7405" s="28" t="s">
        <v>785</v>
      </c>
      <c r="K7405" s="27" t="s">
        <v>37</v>
      </c>
      <c r="L7405" s="27"/>
    </row>
    <row r="7406" customFormat="false" ht="15" hidden="false" customHeight="false" outlineLevel="0" collapsed="false">
      <c r="A7406" s="26" t="s">
        <v>19730</v>
      </c>
      <c r="B7406" s="28" t="s">
        <v>19731</v>
      </c>
      <c r="C7406" s="27" t="s">
        <v>144</v>
      </c>
      <c r="D7406" s="26"/>
      <c r="E7406" s="27"/>
      <c r="F7406" s="27"/>
      <c r="G7406" s="27" t="s">
        <v>11122</v>
      </c>
      <c r="H7406" s="27" t="s">
        <v>35</v>
      </c>
      <c r="I7406" s="27" t="s">
        <v>38</v>
      </c>
      <c r="J7406" s="28" t="s">
        <v>785</v>
      </c>
      <c r="K7406" s="27" t="s">
        <v>37</v>
      </c>
      <c r="L7406" s="27"/>
    </row>
    <row r="7407" customFormat="false" ht="15" hidden="false" customHeight="false" outlineLevel="0" collapsed="false">
      <c r="A7407" s="26" t="s">
        <v>19732</v>
      </c>
      <c r="B7407" s="27" t="s">
        <v>19733</v>
      </c>
      <c r="C7407" s="27" t="s">
        <v>144</v>
      </c>
      <c r="D7407" s="26"/>
      <c r="E7407" s="27"/>
      <c r="F7407" s="27"/>
      <c r="G7407" s="27" t="s">
        <v>11122</v>
      </c>
      <c r="H7407" s="27" t="s">
        <v>35</v>
      </c>
      <c r="I7407" s="27" t="s">
        <v>37</v>
      </c>
      <c r="J7407" s="28" t="s">
        <v>785</v>
      </c>
      <c r="K7407" s="27" t="s">
        <v>37</v>
      </c>
      <c r="L7407" s="27"/>
    </row>
    <row r="7408" customFormat="false" ht="15" hidden="false" customHeight="false" outlineLevel="0" collapsed="false">
      <c r="A7408" s="26" t="s">
        <v>19734</v>
      </c>
      <c r="B7408" s="28" t="s">
        <v>19735</v>
      </c>
      <c r="C7408" s="27" t="s">
        <v>144</v>
      </c>
      <c r="D7408" s="26"/>
      <c r="E7408" s="27"/>
      <c r="F7408" s="27"/>
      <c r="G7408" s="27" t="s">
        <v>11122</v>
      </c>
      <c r="H7408" s="27" t="s">
        <v>35</v>
      </c>
      <c r="I7408" s="27" t="s">
        <v>37</v>
      </c>
      <c r="J7408" s="28" t="s">
        <v>785</v>
      </c>
      <c r="K7408" s="27" t="s">
        <v>37</v>
      </c>
      <c r="L7408" s="27"/>
    </row>
    <row r="7409" customFormat="false" ht="15" hidden="false" customHeight="false" outlineLevel="0" collapsed="false">
      <c r="A7409" s="26" t="s">
        <v>19736</v>
      </c>
      <c r="B7409" s="28" t="s">
        <v>19737</v>
      </c>
      <c r="C7409" s="27" t="s">
        <v>144</v>
      </c>
      <c r="D7409" s="26"/>
      <c r="E7409" s="27"/>
      <c r="F7409" s="27"/>
      <c r="G7409" s="27" t="s">
        <v>11122</v>
      </c>
      <c r="H7409" s="27" t="s">
        <v>35</v>
      </c>
      <c r="I7409" s="27" t="s">
        <v>37</v>
      </c>
      <c r="J7409" s="28" t="s">
        <v>785</v>
      </c>
      <c r="K7409" s="27" t="s">
        <v>37</v>
      </c>
      <c r="L7409" s="27"/>
    </row>
    <row r="7410" customFormat="false" ht="15" hidden="false" customHeight="false" outlineLevel="0" collapsed="false">
      <c r="A7410" s="26" t="s">
        <v>19738</v>
      </c>
      <c r="B7410" s="28" t="s">
        <v>19739</v>
      </c>
      <c r="C7410" s="27" t="s">
        <v>144</v>
      </c>
      <c r="D7410" s="26"/>
      <c r="E7410" s="27"/>
      <c r="F7410" s="27"/>
      <c r="G7410" s="27" t="s">
        <v>11122</v>
      </c>
      <c r="H7410" s="27" t="s">
        <v>35</v>
      </c>
      <c r="I7410" s="27" t="s">
        <v>37</v>
      </c>
      <c r="J7410" s="28" t="s">
        <v>785</v>
      </c>
      <c r="K7410" s="27" t="s">
        <v>37</v>
      </c>
      <c r="L7410" s="27"/>
    </row>
    <row r="7411" customFormat="false" ht="15" hidden="false" customHeight="false" outlineLevel="0" collapsed="false">
      <c r="A7411" s="26" t="s">
        <v>19740</v>
      </c>
      <c r="B7411" s="28" t="s">
        <v>19741</v>
      </c>
      <c r="C7411" s="27" t="s">
        <v>144</v>
      </c>
      <c r="D7411" s="26"/>
      <c r="E7411" s="27"/>
      <c r="F7411" s="27"/>
      <c r="G7411" s="27" t="s">
        <v>11122</v>
      </c>
      <c r="H7411" s="27" t="s">
        <v>35</v>
      </c>
      <c r="I7411" s="27" t="s">
        <v>41</v>
      </c>
      <c r="J7411" s="28" t="s">
        <v>785</v>
      </c>
      <c r="K7411" s="27" t="s">
        <v>37</v>
      </c>
      <c r="L7411" s="27"/>
    </row>
    <row r="7412" customFormat="false" ht="15" hidden="false" customHeight="false" outlineLevel="0" collapsed="false">
      <c r="A7412" s="26" t="s">
        <v>19742</v>
      </c>
      <c r="B7412" s="28" t="s">
        <v>19743</v>
      </c>
      <c r="C7412" s="27" t="s">
        <v>144</v>
      </c>
      <c r="D7412" s="26"/>
      <c r="E7412" s="27"/>
      <c r="F7412" s="27"/>
      <c r="G7412" s="27" t="s">
        <v>11122</v>
      </c>
      <c r="H7412" s="27" t="s">
        <v>35</v>
      </c>
      <c r="I7412" s="27" t="s">
        <v>38</v>
      </c>
      <c r="J7412" s="28" t="s">
        <v>785</v>
      </c>
      <c r="K7412" s="27" t="s">
        <v>37</v>
      </c>
      <c r="L7412" s="27"/>
    </row>
    <row r="7413" customFormat="false" ht="15" hidden="false" customHeight="false" outlineLevel="0" collapsed="false">
      <c r="A7413" s="26" t="s">
        <v>19744</v>
      </c>
      <c r="B7413" s="28" t="s">
        <v>19745</v>
      </c>
      <c r="C7413" s="27" t="s">
        <v>144</v>
      </c>
      <c r="D7413" s="26"/>
      <c r="E7413" s="27"/>
      <c r="F7413" s="27"/>
      <c r="G7413" s="27" t="s">
        <v>11122</v>
      </c>
      <c r="H7413" s="27" t="s">
        <v>35</v>
      </c>
      <c r="I7413" s="27" t="s">
        <v>48</v>
      </c>
      <c r="J7413" s="28" t="s">
        <v>785</v>
      </c>
      <c r="K7413" s="27" t="s">
        <v>37</v>
      </c>
      <c r="L7413" s="27"/>
    </row>
    <row r="7414" customFormat="false" ht="15" hidden="false" customHeight="false" outlineLevel="0" collapsed="false">
      <c r="A7414" s="26" t="s">
        <v>19746</v>
      </c>
      <c r="B7414" s="28" t="s">
        <v>19747</v>
      </c>
      <c r="C7414" s="27" t="s">
        <v>144</v>
      </c>
      <c r="D7414" s="26"/>
      <c r="E7414" s="27"/>
      <c r="F7414" s="27"/>
      <c r="G7414" s="27" t="s">
        <v>11122</v>
      </c>
      <c r="H7414" s="27" t="s">
        <v>35</v>
      </c>
      <c r="I7414" s="27" t="s">
        <v>43</v>
      </c>
      <c r="J7414" s="28" t="s">
        <v>785</v>
      </c>
      <c r="K7414" s="27" t="s">
        <v>37</v>
      </c>
      <c r="L7414" s="27"/>
    </row>
    <row r="7415" customFormat="false" ht="15" hidden="false" customHeight="false" outlineLevel="0" collapsed="false">
      <c r="A7415" s="26" t="s">
        <v>19748</v>
      </c>
      <c r="B7415" s="28" t="s">
        <v>19749</v>
      </c>
      <c r="C7415" s="27" t="s">
        <v>144</v>
      </c>
      <c r="D7415" s="26"/>
      <c r="E7415" s="27"/>
      <c r="F7415" s="27"/>
      <c r="G7415" s="27" t="s">
        <v>11122</v>
      </c>
      <c r="H7415" s="27" t="s">
        <v>35</v>
      </c>
      <c r="I7415" s="27" t="s">
        <v>37</v>
      </c>
      <c r="J7415" s="28" t="s">
        <v>785</v>
      </c>
      <c r="K7415" s="27" t="s">
        <v>37</v>
      </c>
      <c r="L7415" s="27"/>
    </row>
    <row r="7416" customFormat="false" ht="15" hidden="false" customHeight="false" outlineLevel="0" collapsed="false">
      <c r="A7416" s="26" t="s">
        <v>19750</v>
      </c>
      <c r="B7416" s="28" t="s">
        <v>19751</v>
      </c>
      <c r="C7416" s="27" t="s">
        <v>144</v>
      </c>
      <c r="D7416" s="26"/>
      <c r="E7416" s="27"/>
      <c r="F7416" s="27"/>
      <c r="G7416" s="27" t="s">
        <v>11122</v>
      </c>
      <c r="H7416" s="27" t="s">
        <v>35</v>
      </c>
      <c r="I7416" s="27" t="s">
        <v>40</v>
      </c>
      <c r="J7416" s="28" t="s">
        <v>785</v>
      </c>
      <c r="K7416" s="27" t="s">
        <v>37</v>
      </c>
      <c r="L7416" s="27"/>
    </row>
    <row r="7417" customFormat="false" ht="15" hidden="false" customHeight="false" outlineLevel="0" collapsed="false">
      <c r="A7417" s="26" t="s">
        <v>19752</v>
      </c>
      <c r="B7417" s="28" t="s">
        <v>19753</v>
      </c>
      <c r="C7417" s="27" t="s">
        <v>144</v>
      </c>
      <c r="D7417" s="26"/>
      <c r="E7417" s="27"/>
      <c r="F7417" s="27"/>
      <c r="G7417" s="27" t="s">
        <v>11122</v>
      </c>
      <c r="H7417" s="27" t="s">
        <v>35</v>
      </c>
      <c r="I7417" s="27" t="s">
        <v>41</v>
      </c>
      <c r="J7417" s="28" t="s">
        <v>785</v>
      </c>
      <c r="K7417" s="27" t="s">
        <v>37</v>
      </c>
      <c r="L7417" s="27"/>
    </row>
    <row r="7418" customFormat="false" ht="15" hidden="false" customHeight="false" outlineLevel="0" collapsed="false">
      <c r="A7418" s="26" t="s">
        <v>19754</v>
      </c>
      <c r="B7418" s="28" t="s">
        <v>19755</v>
      </c>
      <c r="C7418" s="27" t="s">
        <v>144</v>
      </c>
      <c r="D7418" s="26"/>
      <c r="E7418" s="27"/>
      <c r="F7418" s="27"/>
      <c r="G7418" s="27" t="s">
        <v>11122</v>
      </c>
      <c r="H7418" s="27" t="s">
        <v>35</v>
      </c>
      <c r="I7418" s="27" t="s">
        <v>38</v>
      </c>
      <c r="J7418" s="28" t="s">
        <v>785</v>
      </c>
      <c r="K7418" s="27" t="s">
        <v>37</v>
      </c>
      <c r="L7418" s="27"/>
    </row>
    <row r="7419" customFormat="false" ht="15" hidden="false" customHeight="false" outlineLevel="0" collapsed="false">
      <c r="A7419" s="26" t="s">
        <v>19756</v>
      </c>
      <c r="B7419" s="28" t="s">
        <v>19757</v>
      </c>
      <c r="C7419" s="27" t="s">
        <v>144</v>
      </c>
      <c r="D7419" s="26"/>
      <c r="E7419" s="27"/>
      <c r="F7419" s="27"/>
      <c r="G7419" s="27" t="s">
        <v>11122</v>
      </c>
      <c r="H7419" s="27" t="s">
        <v>35</v>
      </c>
      <c r="I7419" s="27" t="s">
        <v>37</v>
      </c>
      <c r="J7419" s="28" t="s">
        <v>785</v>
      </c>
      <c r="K7419" s="27" t="s">
        <v>37</v>
      </c>
      <c r="L7419" s="27"/>
    </row>
    <row r="7420" customFormat="false" ht="15" hidden="false" customHeight="false" outlineLevel="0" collapsed="false">
      <c r="A7420" s="26" t="s">
        <v>19758</v>
      </c>
      <c r="B7420" s="28" t="s">
        <v>19759</v>
      </c>
      <c r="C7420" s="27" t="s">
        <v>144</v>
      </c>
      <c r="D7420" s="26"/>
      <c r="E7420" s="27"/>
      <c r="F7420" s="27"/>
      <c r="G7420" s="27" t="s">
        <v>11122</v>
      </c>
      <c r="H7420" s="27" t="s">
        <v>35</v>
      </c>
      <c r="I7420" s="27" t="s">
        <v>37</v>
      </c>
      <c r="J7420" s="28" t="s">
        <v>785</v>
      </c>
      <c r="K7420" s="27" t="s">
        <v>37</v>
      </c>
      <c r="L7420" s="27"/>
    </row>
    <row r="7421" customFormat="false" ht="15" hidden="false" customHeight="false" outlineLevel="0" collapsed="false">
      <c r="A7421" s="26" t="s">
        <v>19760</v>
      </c>
      <c r="B7421" s="28" t="s">
        <v>19761</v>
      </c>
      <c r="C7421" s="27" t="s">
        <v>137</v>
      </c>
      <c r="D7421" s="26"/>
      <c r="E7421" s="27"/>
      <c r="F7421" s="27"/>
      <c r="G7421" s="27" t="s">
        <v>11122</v>
      </c>
      <c r="H7421" s="27" t="s">
        <v>35</v>
      </c>
      <c r="I7421" s="27" t="s">
        <v>41</v>
      </c>
      <c r="J7421" s="28" t="s">
        <v>785</v>
      </c>
      <c r="K7421" s="27" t="s">
        <v>37</v>
      </c>
      <c r="L7421" s="27"/>
    </row>
    <row r="7422" customFormat="false" ht="15" hidden="false" customHeight="false" outlineLevel="0" collapsed="false">
      <c r="A7422" s="26" t="s">
        <v>19762</v>
      </c>
      <c r="B7422" s="28" t="s">
        <v>19763</v>
      </c>
      <c r="C7422" s="27" t="s">
        <v>144</v>
      </c>
      <c r="D7422" s="26"/>
      <c r="E7422" s="27"/>
      <c r="F7422" s="27"/>
      <c r="G7422" s="27" t="s">
        <v>11122</v>
      </c>
      <c r="H7422" s="27" t="s">
        <v>35</v>
      </c>
      <c r="I7422" s="27" t="s">
        <v>41</v>
      </c>
      <c r="J7422" s="28" t="s">
        <v>785</v>
      </c>
      <c r="K7422" s="27" t="s">
        <v>37</v>
      </c>
      <c r="L7422" s="27"/>
    </row>
    <row r="7423" customFormat="false" ht="15" hidden="false" customHeight="false" outlineLevel="0" collapsed="false">
      <c r="A7423" s="26" t="s">
        <v>19764</v>
      </c>
      <c r="B7423" s="28" t="s">
        <v>19765</v>
      </c>
      <c r="C7423" s="27" t="s">
        <v>144</v>
      </c>
      <c r="D7423" s="26"/>
      <c r="E7423" s="27"/>
      <c r="F7423" s="27"/>
      <c r="G7423" s="27" t="s">
        <v>11122</v>
      </c>
      <c r="H7423" s="27" t="s">
        <v>35</v>
      </c>
      <c r="I7423" s="27" t="s">
        <v>41</v>
      </c>
      <c r="J7423" s="28" t="s">
        <v>785</v>
      </c>
      <c r="K7423" s="27" t="s">
        <v>37</v>
      </c>
      <c r="L7423" s="27"/>
    </row>
    <row r="7424" customFormat="false" ht="15" hidden="false" customHeight="false" outlineLevel="0" collapsed="false">
      <c r="A7424" s="26" t="s">
        <v>19766</v>
      </c>
      <c r="B7424" s="28" t="s">
        <v>19767</v>
      </c>
      <c r="C7424" s="27" t="s">
        <v>144</v>
      </c>
      <c r="D7424" s="26"/>
      <c r="E7424" s="27"/>
      <c r="F7424" s="27"/>
      <c r="G7424" s="27" t="s">
        <v>11122</v>
      </c>
      <c r="H7424" s="27" t="s">
        <v>35</v>
      </c>
      <c r="I7424" s="27" t="s">
        <v>40</v>
      </c>
      <c r="J7424" s="28" t="s">
        <v>785</v>
      </c>
      <c r="K7424" s="27" t="s">
        <v>37</v>
      </c>
      <c r="L7424" s="27"/>
    </row>
    <row r="7425" customFormat="false" ht="15" hidden="false" customHeight="false" outlineLevel="0" collapsed="false">
      <c r="A7425" s="26" t="s">
        <v>19768</v>
      </c>
      <c r="B7425" s="28" t="s">
        <v>19769</v>
      </c>
      <c r="C7425" s="27" t="s">
        <v>144</v>
      </c>
      <c r="D7425" s="26"/>
      <c r="E7425" s="27"/>
      <c r="F7425" s="27"/>
      <c r="G7425" s="27" t="s">
        <v>11122</v>
      </c>
      <c r="H7425" s="27" t="s">
        <v>35</v>
      </c>
      <c r="I7425" s="27" t="s">
        <v>40</v>
      </c>
      <c r="J7425" s="28" t="s">
        <v>785</v>
      </c>
      <c r="K7425" s="27" t="s">
        <v>37</v>
      </c>
      <c r="L7425" s="27"/>
    </row>
    <row r="7426" customFormat="false" ht="15" hidden="false" customHeight="false" outlineLevel="0" collapsed="false">
      <c r="A7426" s="26" t="s">
        <v>19770</v>
      </c>
      <c r="B7426" s="28" t="s">
        <v>19771</v>
      </c>
      <c r="C7426" s="27" t="s">
        <v>144</v>
      </c>
      <c r="D7426" s="26"/>
      <c r="E7426" s="27"/>
      <c r="F7426" s="27"/>
      <c r="G7426" s="27" t="s">
        <v>11122</v>
      </c>
      <c r="H7426" s="27" t="s">
        <v>35</v>
      </c>
      <c r="I7426" s="27" t="s">
        <v>37</v>
      </c>
      <c r="J7426" s="28" t="s">
        <v>785</v>
      </c>
      <c r="K7426" s="27" t="s">
        <v>37</v>
      </c>
      <c r="L7426" s="27"/>
    </row>
    <row r="7427" customFormat="false" ht="15" hidden="false" customHeight="false" outlineLevel="0" collapsed="false">
      <c r="A7427" s="26" t="s">
        <v>19772</v>
      </c>
      <c r="B7427" s="28" t="s">
        <v>19773</v>
      </c>
      <c r="C7427" s="27" t="s">
        <v>144</v>
      </c>
      <c r="D7427" s="26"/>
      <c r="E7427" s="27"/>
      <c r="F7427" s="27"/>
      <c r="G7427" s="27" t="s">
        <v>11122</v>
      </c>
      <c r="H7427" s="27" t="s">
        <v>35</v>
      </c>
      <c r="I7427" s="27" t="s">
        <v>38</v>
      </c>
      <c r="J7427" s="28" t="s">
        <v>785</v>
      </c>
      <c r="K7427" s="27" t="s">
        <v>37</v>
      </c>
      <c r="L7427" s="27"/>
    </row>
    <row r="7428" customFormat="false" ht="15" hidden="false" customHeight="false" outlineLevel="0" collapsed="false">
      <c r="A7428" s="26" t="s">
        <v>19774</v>
      </c>
      <c r="B7428" s="28" t="s">
        <v>19775</v>
      </c>
      <c r="C7428" s="27" t="s">
        <v>144</v>
      </c>
      <c r="D7428" s="26"/>
      <c r="E7428" s="27"/>
      <c r="F7428" s="27"/>
      <c r="G7428" s="27" t="s">
        <v>11122</v>
      </c>
      <c r="H7428" s="27" t="s">
        <v>35</v>
      </c>
      <c r="I7428" s="27" t="s">
        <v>38</v>
      </c>
      <c r="J7428" s="28" t="s">
        <v>785</v>
      </c>
      <c r="K7428" s="27" t="s">
        <v>37</v>
      </c>
      <c r="L7428" s="27"/>
    </row>
    <row r="7429" customFormat="false" ht="15" hidden="false" customHeight="false" outlineLevel="0" collapsed="false">
      <c r="A7429" s="26" t="s">
        <v>19776</v>
      </c>
      <c r="B7429" s="28" t="s">
        <v>19777</v>
      </c>
      <c r="C7429" s="27" t="s">
        <v>144</v>
      </c>
      <c r="D7429" s="26"/>
      <c r="E7429" s="27"/>
      <c r="F7429" s="27"/>
      <c r="G7429" s="27" t="s">
        <v>11122</v>
      </c>
      <c r="H7429" s="27" t="s">
        <v>35</v>
      </c>
      <c r="I7429" s="27" t="s">
        <v>41</v>
      </c>
      <c r="J7429" s="28" t="s">
        <v>785</v>
      </c>
      <c r="K7429" s="27" t="s">
        <v>37</v>
      </c>
      <c r="L7429" s="27"/>
    </row>
    <row r="7430" customFormat="false" ht="15" hidden="false" customHeight="false" outlineLevel="0" collapsed="false">
      <c r="A7430" s="26" t="s">
        <v>19778</v>
      </c>
      <c r="B7430" s="28" t="s">
        <v>19779</v>
      </c>
      <c r="C7430" s="27" t="s">
        <v>144</v>
      </c>
      <c r="D7430" s="26"/>
      <c r="E7430" s="27"/>
      <c r="F7430" s="27"/>
      <c r="G7430" s="27" t="s">
        <v>11122</v>
      </c>
      <c r="H7430" s="27" t="s">
        <v>35</v>
      </c>
      <c r="I7430" s="27" t="s">
        <v>48</v>
      </c>
      <c r="J7430" s="28" t="s">
        <v>785</v>
      </c>
      <c r="K7430" s="27" t="s">
        <v>37</v>
      </c>
      <c r="L7430" s="27"/>
    </row>
    <row r="7431" customFormat="false" ht="15" hidden="false" customHeight="false" outlineLevel="0" collapsed="false">
      <c r="A7431" s="26" t="s">
        <v>19780</v>
      </c>
      <c r="B7431" s="28" t="s">
        <v>19781</v>
      </c>
      <c r="C7431" s="27" t="s">
        <v>144</v>
      </c>
      <c r="D7431" s="26"/>
      <c r="E7431" s="27"/>
      <c r="F7431" s="27"/>
      <c r="G7431" s="27" t="s">
        <v>11122</v>
      </c>
      <c r="H7431" s="27" t="s">
        <v>35</v>
      </c>
      <c r="I7431" s="27" t="s">
        <v>41</v>
      </c>
      <c r="J7431" s="28" t="s">
        <v>785</v>
      </c>
      <c r="K7431" s="27" t="s">
        <v>37</v>
      </c>
      <c r="L7431" s="27"/>
    </row>
    <row r="7432" customFormat="false" ht="15" hidden="false" customHeight="false" outlineLevel="0" collapsed="false">
      <c r="A7432" s="26" t="s">
        <v>19782</v>
      </c>
      <c r="B7432" s="28" t="s">
        <v>19783</v>
      </c>
      <c r="C7432" s="27" t="s">
        <v>144</v>
      </c>
      <c r="D7432" s="26"/>
      <c r="E7432" s="27"/>
      <c r="F7432" s="27"/>
      <c r="G7432" s="27" t="s">
        <v>11122</v>
      </c>
      <c r="H7432" s="27" t="s">
        <v>35</v>
      </c>
      <c r="I7432" s="27" t="s">
        <v>41</v>
      </c>
      <c r="J7432" s="28" t="s">
        <v>785</v>
      </c>
      <c r="K7432" s="27" t="s">
        <v>37</v>
      </c>
      <c r="L7432" s="27"/>
    </row>
    <row r="7433" customFormat="false" ht="15" hidden="false" customHeight="false" outlineLevel="0" collapsed="false">
      <c r="A7433" s="26" t="s">
        <v>19784</v>
      </c>
      <c r="B7433" s="28" t="s">
        <v>19785</v>
      </c>
      <c r="C7433" s="27" t="s">
        <v>144</v>
      </c>
      <c r="D7433" s="26"/>
      <c r="E7433" s="27"/>
      <c r="F7433" s="27"/>
      <c r="G7433" s="27" t="s">
        <v>11122</v>
      </c>
      <c r="H7433" s="27" t="s">
        <v>35</v>
      </c>
      <c r="I7433" s="27" t="s">
        <v>887</v>
      </c>
      <c r="J7433" s="28" t="s">
        <v>785</v>
      </c>
      <c r="K7433" s="27" t="s">
        <v>37</v>
      </c>
      <c r="L7433" s="27"/>
    </row>
    <row r="7434" customFormat="false" ht="15" hidden="false" customHeight="false" outlineLevel="0" collapsed="false">
      <c r="A7434" s="26" t="s">
        <v>19786</v>
      </c>
      <c r="B7434" s="28" t="s">
        <v>19787</v>
      </c>
      <c r="C7434" s="27" t="s">
        <v>144</v>
      </c>
      <c r="D7434" s="26"/>
      <c r="E7434" s="27"/>
      <c r="F7434" s="27"/>
      <c r="G7434" s="27" t="s">
        <v>11122</v>
      </c>
      <c r="H7434" s="27" t="s">
        <v>35</v>
      </c>
      <c r="I7434" s="27" t="s">
        <v>48</v>
      </c>
      <c r="J7434" s="28" t="s">
        <v>785</v>
      </c>
      <c r="K7434" s="27" t="s">
        <v>37</v>
      </c>
      <c r="L7434" s="27"/>
    </row>
    <row r="7435" customFormat="false" ht="15" hidden="false" customHeight="false" outlineLevel="0" collapsed="false">
      <c r="A7435" s="26" t="s">
        <v>19788</v>
      </c>
      <c r="B7435" s="28" t="s">
        <v>19789</v>
      </c>
      <c r="C7435" s="27" t="s">
        <v>144</v>
      </c>
      <c r="D7435" s="26"/>
      <c r="E7435" s="27"/>
      <c r="F7435" s="27"/>
      <c r="G7435" s="27" t="s">
        <v>11122</v>
      </c>
      <c r="H7435" s="27" t="s">
        <v>35</v>
      </c>
      <c r="I7435" s="27" t="s">
        <v>37</v>
      </c>
      <c r="J7435" s="28" t="s">
        <v>785</v>
      </c>
      <c r="K7435" s="27" t="s">
        <v>37</v>
      </c>
      <c r="L7435" s="27"/>
    </row>
    <row r="7436" customFormat="false" ht="15" hidden="false" customHeight="false" outlineLevel="0" collapsed="false">
      <c r="A7436" s="26" t="s">
        <v>19790</v>
      </c>
      <c r="B7436" s="28" t="s">
        <v>19791</v>
      </c>
      <c r="C7436" s="27" t="s">
        <v>144</v>
      </c>
      <c r="D7436" s="26"/>
      <c r="E7436" s="27"/>
      <c r="F7436" s="27"/>
      <c r="G7436" s="27" t="s">
        <v>11122</v>
      </c>
      <c r="H7436" s="27" t="s">
        <v>35</v>
      </c>
      <c r="I7436" s="27" t="s">
        <v>41</v>
      </c>
      <c r="J7436" s="28" t="s">
        <v>785</v>
      </c>
      <c r="K7436" s="27" t="s">
        <v>37</v>
      </c>
      <c r="L7436" s="27"/>
    </row>
    <row r="7437" customFormat="false" ht="15" hidden="false" customHeight="false" outlineLevel="0" collapsed="false">
      <c r="A7437" s="26" t="s">
        <v>19792</v>
      </c>
      <c r="B7437" s="28" t="s">
        <v>19793</v>
      </c>
      <c r="C7437" s="27" t="s">
        <v>144</v>
      </c>
      <c r="D7437" s="26"/>
      <c r="E7437" s="27"/>
      <c r="F7437" s="27"/>
      <c r="G7437" s="27" t="s">
        <v>11122</v>
      </c>
      <c r="H7437" s="27" t="s">
        <v>35</v>
      </c>
      <c r="I7437" s="27" t="s">
        <v>48</v>
      </c>
      <c r="J7437" s="28" t="s">
        <v>785</v>
      </c>
      <c r="K7437" s="27" t="s">
        <v>37</v>
      </c>
      <c r="L7437" s="27"/>
    </row>
    <row r="7438" customFormat="false" ht="15" hidden="false" customHeight="false" outlineLevel="0" collapsed="false">
      <c r="A7438" s="26" t="s">
        <v>19794</v>
      </c>
      <c r="B7438" s="28" t="s">
        <v>19795</v>
      </c>
      <c r="C7438" s="27" t="s">
        <v>144</v>
      </c>
      <c r="D7438" s="26"/>
      <c r="E7438" s="27"/>
      <c r="F7438" s="27"/>
      <c r="G7438" s="27" t="s">
        <v>11122</v>
      </c>
      <c r="H7438" s="27" t="s">
        <v>35</v>
      </c>
      <c r="I7438" s="27" t="s">
        <v>41</v>
      </c>
      <c r="J7438" s="28" t="s">
        <v>785</v>
      </c>
      <c r="K7438" s="27" t="s">
        <v>37</v>
      </c>
      <c r="L7438" s="27"/>
    </row>
    <row r="7439" customFormat="false" ht="15" hidden="false" customHeight="false" outlineLevel="0" collapsed="false">
      <c r="A7439" s="26" t="s">
        <v>19796</v>
      </c>
      <c r="B7439" s="28" t="s">
        <v>19797</v>
      </c>
      <c r="C7439" s="27" t="s">
        <v>144</v>
      </c>
      <c r="D7439" s="26"/>
      <c r="E7439" s="27"/>
      <c r="F7439" s="27"/>
      <c r="G7439" s="27" t="s">
        <v>11122</v>
      </c>
      <c r="H7439" s="27" t="s">
        <v>35</v>
      </c>
      <c r="I7439" s="27" t="s">
        <v>41</v>
      </c>
      <c r="J7439" s="28" t="s">
        <v>785</v>
      </c>
      <c r="K7439" s="27" t="s">
        <v>37</v>
      </c>
      <c r="L7439" s="27"/>
    </row>
    <row r="7440" customFormat="false" ht="15" hidden="false" customHeight="false" outlineLevel="0" collapsed="false">
      <c r="A7440" s="26" t="s">
        <v>19798</v>
      </c>
      <c r="B7440" s="28" t="s">
        <v>19799</v>
      </c>
      <c r="C7440" s="27" t="s">
        <v>144</v>
      </c>
      <c r="D7440" s="26"/>
      <c r="E7440" s="27"/>
      <c r="F7440" s="27"/>
      <c r="G7440" s="27" t="s">
        <v>11122</v>
      </c>
      <c r="H7440" s="27" t="s">
        <v>35</v>
      </c>
      <c r="I7440" s="27" t="s">
        <v>41</v>
      </c>
      <c r="J7440" s="28" t="s">
        <v>785</v>
      </c>
      <c r="K7440" s="27" t="s">
        <v>37</v>
      </c>
      <c r="L7440" s="27"/>
    </row>
    <row r="7441" customFormat="false" ht="15" hidden="false" customHeight="false" outlineLevel="0" collapsed="false">
      <c r="A7441" s="26" t="s">
        <v>19800</v>
      </c>
      <c r="B7441" s="28" t="s">
        <v>19801</v>
      </c>
      <c r="C7441" s="27" t="s">
        <v>144</v>
      </c>
      <c r="D7441" s="26"/>
      <c r="E7441" s="27"/>
      <c r="F7441" s="27"/>
      <c r="G7441" s="27" t="s">
        <v>11122</v>
      </c>
      <c r="H7441" s="27" t="s">
        <v>35</v>
      </c>
      <c r="I7441" s="27" t="s">
        <v>48</v>
      </c>
      <c r="J7441" s="28" t="s">
        <v>785</v>
      </c>
      <c r="K7441" s="27" t="s">
        <v>37</v>
      </c>
      <c r="L7441" s="27"/>
    </row>
    <row r="7442" customFormat="false" ht="15" hidden="false" customHeight="false" outlineLevel="0" collapsed="false">
      <c r="A7442" s="26" t="s">
        <v>19802</v>
      </c>
      <c r="B7442" s="28" t="s">
        <v>19803</v>
      </c>
      <c r="C7442" s="27" t="s">
        <v>144</v>
      </c>
      <c r="D7442" s="26"/>
      <c r="E7442" s="27"/>
      <c r="F7442" s="27"/>
      <c r="G7442" s="27" t="s">
        <v>11122</v>
      </c>
      <c r="H7442" s="27" t="s">
        <v>35</v>
      </c>
      <c r="I7442" s="27" t="s">
        <v>38</v>
      </c>
      <c r="J7442" s="28" t="s">
        <v>785</v>
      </c>
      <c r="K7442" s="27" t="s">
        <v>37</v>
      </c>
      <c r="L7442" s="27"/>
    </row>
    <row r="7443" customFormat="false" ht="15" hidden="false" customHeight="false" outlineLevel="0" collapsed="false">
      <c r="A7443" s="26" t="s">
        <v>19804</v>
      </c>
      <c r="B7443" s="28" t="s">
        <v>19805</v>
      </c>
      <c r="C7443" s="27" t="s">
        <v>144</v>
      </c>
      <c r="D7443" s="26"/>
      <c r="E7443" s="27"/>
      <c r="F7443" s="27"/>
      <c r="G7443" s="27" t="s">
        <v>11122</v>
      </c>
      <c r="H7443" s="27" t="s">
        <v>35</v>
      </c>
      <c r="I7443" s="27" t="s">
        <v>38</v>
      </c>
      <c r="J7443" s="28" t="s">
        <v>785</v>
      </c>
      <c r="K7443" s="27" t="s">
        <v>37</v>
      </c>
      <c r="L7443" s="27"/>
    </row>
    <row r="7444" customFormat="false" ht="15" hidden="false" customHeight="false" outlineLevel="0" collapsed="false">
      <c r="A7444" s="26" t="s">
        <v>19806</v>
      </c>
      <c r="B7444" s="28" t="s">
        <v>19807</v>
      </c>
      <c r="C7444" s="27" t="s">
        <v>144</v>
      </c>
      <c r="D7444" s="26"/>
      <c r="E7444" s="27"/>
      <c r="F7444" s="27"/>
      <c r="G7444" s="27" t="s">
        <v>11122</v>
      </c>
      <c r="H7444" s="27" t="s">
        <v>35</v>
      </c>
      <c r="I7444" s="27" t="s">
        <v>41</v>
      </c>
      <c r="J7444" s="28" t="s">
        <v>785</v>
      </c>
      <c r="K7444" s="27" t="s">
        <v>37</v>
      </c>
      <c r="L7444" s="27"/>
    </row>
    <row r="7445" customFormat="false" ht="15" hidden="false" customHeight="false" outlineLevel="0" collapsed="false">
      <c r="A7445" s="26" t="s">
        <v>19808</v>
      </c>
      <c r="B7445" s="28" t="s">
        <v>19809</v>
      </c>
      <c r="C7445" s="27" t="s">
        <v>144</v>
      </c>
      <c r="D7445" s="26"/>
      <c r="E7445" s="27"/>
      <c r="F7445" s="27"/>
      <c r="G7445" s="27" t="s">
        <v>11122</v>
      </c>
      <c r="H7445" s="27" t="s">
        <v>35</v>
      </c>
      <c r="I7445" s="27" t="s">
        <v>41</v>
      </c>
      <c r="J7445" s="28" t="s">
        <v>785</v>
      </c>
      <c r="K7445" s="27" t="s">
        <v>37</v>
      </c>
      <c r="L7445" s="27"/>
    </row>
    <row r="7446" customFormat="false" ht="15" hidden="false" customHeight="false" outlineLevel="0" collapsed="false">
      <c r="A7446" s="26" t="s">
        <v>19810</v>
      </c>
      <c r="B7446" s="28" t="s">
        <v>19811</v>
      </c>
      <c r="C7446" s="27" t="s">
        <v>144</v>
      </c>
      <c r="D7446" s="26"/>
      <c r="E7446" s="27"/>
      <c r="F7446" s="27"/>
      <c r="G7446" s="27" t="s">
        <v>11122</v>
      </c>
      <c r="H7446" s="27" t="s">
        <v>35</v>
      </c>
      <c r="I7446" s="27" t="s">
        <v>41</v>
      </c>
      <c r="J7446" s="28" t="s">
        <v>785</v>
      </c>
      <c r="K7446" s="27" t="s">
        <v>37</v>
      </c>
      <c r="L7446" s="27"/>
    </row>
    <row r="7447" customFormat="false" ht="15" hidden="false" customHeight="false" outlineLevel="0" collapsed="false">
      <c r="A7447" s="26" t="s">
        <v>19812</v>
      </c>
      <c r="B7447" s="28" t="s">
        <v>19813</v>
      </c>
      <c r="C7447" s="27" t="s">
        <v>144</v>
      </c>
      <c r="D7447" s="26"/>
      <c r="E7447" s="27"/>
      <c r="F7447" s="27"/>
      <c r="G7447" s="27" t="s">
        <v>11122</v>
      </c>
      <c r="H7447" s="27" t="s">
        <v>35</v>
      </c>
      <c r="I7447" s="27" t="s">
        <v>41</v>
      </c>
      <c r="J7447" s="28" t="s">
        <v>785</v>
      </c>
      <c r="K7447" s="27" t="s">
        <v>37</v>
      </c>
      <c r="L7447" s="27"/>
    </row>
    <row r="7448" customFormat="false" ht="15" hidden="false" customHeight="false" outlineLevel="0" collapsed="false">
      <c r="A7448" s="26" t="s">
        <v>19814</v>
      </c>
      <c r="B7448" s="28" t="s">
        <v>19815</v>
      </c>
      <c r="C7448" s="27" t="s">
        <v>144</v>
      </c>
      <c r="D7448" s="26"/>
      <c r="E7448" s="27"/>
      <c r="F7448" s="27"/>
      <c r="G7448" s="27" t="s">
        <v>11122</v>
      </c>
      <c r="H7448" s="27" t="s">
        <v>35</v>
      </c>
      <c r="I7448" s="27" t="s">
        <v>41</v>
      </c>
      <c r="J7448" s="28" t="s">
        <v>785</v>
      </c>
      <c r="K7448" s="27" t="s">
        <v>37</v>
      </c>
      <c r="L7448" s="27"/>
    </row>
    <row r="7449" customFormat="false" ht="15" hidden="false" customHeight="false" outlineLevel="0" collapsed="false">
      <c r="A7449" s="26" t="s">
        <v>19816</v>
      </c>
      <c r="B7449" s="28" t="s">
        <v>19817</v>
      </c>
      <c r="C7449" s="27" t="s">
        <v>144</v>
      </c>
      <c r="D7449" s="26"/>
      <c r="E7449" s="27"/>
      <c r="F7449" s="27"/>
      <c r="G7449" s="27" t="s">
        <v>11122</v>
      </c>
      <c r="H7449" s="27" t="s">
        <v>35</v>
      </c>
      <c r="I7449" s="27" t="s">
        <v>37</v>
      </c>
      <c r="J7449" s="28" t="s">
        <v>785</v>
      </c>
      <c r="K7449" s="27" t="s">
        <v>37</v>
      </c>
      <c r="L7449" s="27"/>
    </row>
    <row r="7450" customFormat="false" ht="15" hidden="false" customHeight="false" outlineLevel="0" collapsed="false">
      <c r="A7450" s="26" t="s">
        <v>19818</v>
      </c>
      <c r="B7450" s="28" t="s">
        <v>19819</v>
      </c>
      <c r="C7450" s="27" t="s">
        <v>144</v>
      </c>
      <c r="D7450" s="26"/>
      <c r="E7450" s="27"/>
      <c r="F7450" s="27"/>
      <c r="G7450" s="27" t="s">
        <v>11122</v>
      </c>
      <c r="H7450" s="27" t="s">
        <v>35</v>
      </c>
      <c r="I7450" s="27" t="s">
        <v>37</v>
      </c>
      <c r="J7450" s="28" t="s">
        <v>785</v>
      </c>
      <c r="K7450" s="27" t="s">
        <v>37</v>
      </c>
      <c r="L7450" s="27"/>
    </row>
    <row r="7451" customFormat="false" ht="15" hidden="false" customHeight="false" outlineLevel="0" collapsed="false">
      <c r="A7451" s="26" t="s">
        <v>19820</v>
      </c>
      <c r="B7451" s="28" t="s">
        <v>19821</v>
      </c>
      <c r="C7451" s="27" t="s">
        <v>144</v>
      </c>
      <c r="D7451" s="26"/>
      <c r="E7451" s="27"/>
      <c r="F7451" s="27"/>
      <c r="G7451" s="27" t="s">
        <v>11122</v>
      </c>
      <c r="H7451" s="27" t="s">
        <v>35</v>
      </c>
      <c r="I7451" s="27" t="s">
        <v>37</v>
      </c>
      <c r="J7451" s="28" t="s">
        <v>785</v>
      </c>
      <c r="K7451" s="27" t="s">
        <v>37</v>
      </c>
      <c r="L7451" s="27"/>
    </row>
    <row r="7452" customFormat="false" ht="15" hidden="false" customHeight="false" outlineLevel="0" collapsed="false">
      <c r="A7452" s="26" t="s">
        <v>19822</v>
      </c>
      <c r="B7452" s="28" t="s">
        <v>19823</v>
      </c>
      <c r="C7452" s="27" t="s">
        <v>144</v>
      </c>
      <c r="D7452" s="26"/>
      <c r="E7452" s="27"/>
      <c r="F7452" s="27"/>
      <c r="G7452" s="27" t="s">
        <v>11122</v>
      </c>
      <c r="H7452" s="27" t="s">
        <v>35</v>
      </c>
      <c r="I7452" s="27" t="s">
        <v>37</v>
      </c>
      <c r="J7452" s="28" t="s">
        <v>785</v>
      </c>
      <c r="K7452" s="27" t="s">
        <v>37</v>
      </c>
      <c r="L7452" s="27"/>
    </row>
    <row r="7453" customFormat="false" ht="15" hidden="false" customHeight="false" outlineLevel="0" collapsed="false">
      <c r="A7453" s="26" t="s">
        <v>19824</v>
      </c>
      <c r="B7453" s="28" t="s">
        <v>19825</v>
      </c>
      <c r="C7453" s="27" t="s">
        <v>144</v>
      </c>
      <c r="D7453" s="26"/>
      <c r="E7453" s="27"/>
      <c r="F7453" s="27"/>
      <c r="G7453" s="27" t="s">
        <v>11122</v>
      </c>
      <c r="H7453" s="27" t="s">
        <v>35</v>
      </c>
      <c r="I7453" s="27" t="s">
        <v>41</v>
      </c>
      <c r="J7453" s="28" t="s">
        <v>785</v>
      </c>
      <c r="K7453" s="27" t="s">
        <v>37</v>
      </c>
      <c r="L7453" s="27"/>
    </row>
    <row r="7454" customFormat="false" ht="15" hidden="false" customHeight="false" outlineLevel="0" collapsed="false">
      <c r="A7454" s="26" t="s">
        <v>19826</v>
      </c>
      <c r="B7454" s="28" t="s">
        <v>19827</v>
      </c>
      <c r="C7454" s="27" t="s">
        <v>144</v>
      </c>
      <c r="D7454" s="26"/>
      <c r="E7454" s="27"/>
      <c r="F7454" s="27"/>
      <c r="G7454" s="27" t="s">
        <v>11122</v>
      </c>
      <c r="H7454" s="27" t="s">
        <v>35</v>
      </c>
      <c r="I7454" s="27" t="s">
        <v>41</v>
      </c>
      <c r="J7454" s="28" t="s">
        <v>785</v>
      </c>
      <c r="K7454" s="27" t="s">
        <v>37</v>
      </c>
      <c r="L7454" s="27"/>
    </row>
    <row r="7455" customFormat="false" ht="15" hidden="false" customHeight="false" outlineLevel="0" collapsed="false">
      <c r="A7455" s="26" t="s">
        <v>19828</v>
      </c>
      <c r="B7455" s="28" t="s">
        <v>19829</v>
      </c>
      <c r="C7455" s="27" t="s">
        <v>144</v>
      </c>
      <c r="D7455" s="26"/>
      <c r="E7455" s="27"/>
      <c r="F7455" s="27"/>
      <c r="G7455" s="27" t="s">
        <v>11122</v>
      </c>
      <c r="H7455" s="27" t="s">
        <v>35</v>
      </c>
      <c r="I7455" s="27" t="s">
        <v>41</v>
      </c>
      <c r="J7455" s="28" t="s">
        <v>785</v>
      </c>
      <c r="K7455" s="27" t="s">
        <v>37</v>
      </c>
      <c r="L7455" s="27"/>
    </row>
    <row r="7456" customFormat="false" ht="15" hidden="false" customHeight="false" outlineLevel="0" collapsed="false">
      <c r="A7456" s="26" t="s">
        <v>19830</v>
      </c>
      <c r="B7456" s="28" t="s">
        <v>19831</v>
      </c>
      <c r="C7456" s="27" t="s">
        <v>144</v>
      </c>
      <c r="D7456" s="26"/>
      <c r="E7456" s="27"/>
      <c r="F7456" s="27"/>
      <c r="G7456" s="27" t="s">
        <v>11122</v>
      </c>
      <c r="H7456" s="27" t="s">
        <v>35</v>
      </c>
      <c r="I7456" s="27" t="s">
        <v>41</v>
      </c>
      <c r="J7456" s="28" t="s">
        <v>785</v>
      </c>
      <c r="K7456" s="27" t="s">
        <v>37</v>
      </c>
      <c r="L7456" s="27"/>
    </row>
    <row r="7457" customFormat="false" ht="15" hidden="false" customHeight="false" outlineLevel="0" collapsed="false">
      <c r="A7457" s="26" t="s">
        <v>19832</v>
      </c>
      <c r="B7457" s="28" t="s">
        <v>19833</v>
      </c>
      <c r="C7457" s="27" t="s">
        <v>144</v>
      </c>
      <c r="D7457" s="26"/>
      <c r="E7457" s="27"/>
      <c r="F7457" s="27"/>
      <c r="G7457" s="27" t="s">
        <v>11122</v>
      </c>
      <c r="H7457" s="27" t="s">
        <v>35</v>
      </c>
      <c r="I7457" s="27" t="s">
        <v>41</v>
      </c>
      <c r="J7457" s="28" t="s">
        <v>785</v>
      </c>
      <c r="K7457" s="27" t="s">
        <v>37</v>
      </c>
      <c r="L7457" s="27"/>
    </row>
    <row r="7458" customFormat="false" ht="15" hidden="false" customHeight="false" outlineLevel="0" collapsed="false">
      <c r="A7458" s="26" t="s">
        <v>19834</v>
      </c>
      <c r="B7458" s="28" t="s">
        <v>19835</v>
      </c>
      <c r="C7458" s="27" t="s">
        <v>144</v>
      </c>
      <c r="D7458" s="26"/>
      <c r="E7458" s="27"/>
      <c r="F7458" s="27"/>
      <c r="G7458" s="27" t="s">
        <v>11122</v>
      </c>
      <c r="H7458" s="27" t="s">
        <v>35</v>
      </c>
      <c r="I7458" s="27" t="s">
        <v>37</v>
      </c>
      <c r="J7458" s="28" t="s">
        <v>785</v>
      </c>
      <c r="K7458" s="27" t="s">
        <v>37</v>
      </c>
      <c r="L7458" s="27"/>
    </row>
    <row r="7459" customFormat="false" ht="15" hidden="false" customHeight="false" outlineLevel="0" collapsed="false">
      <c r="A7459" s="26" t="s">
        <v>19836</v>
      </c>
      <c r="B7459" s="28" t="s">
        <v>19837</v>
      </c>
      <c r="C7459" s="27" t="s">
        <v>144</v>
      </c>
      <c r="D7459" s="26"/>
      <c r="E7459" s="27"/>
      <c r="F7459" s="27"/>
      <c r="G7459" s="27" t="s">
        <v>11122</v>
      </c>
      <c r="H7459" s="27" t="s">
        <v>35</v>
      </c>
      <c r="I7459" s="27" t="s">
        <v>41</v>
      </c>
      <c r="J7459" s="28" t="s">
        <v>785</v>
      </c>
      <c r="K7459" s="27" t="s">
        <v>37</v>
      </c>
      <c r="L7459" s="27"/>
    </row>
    <row r="7460" customFormat="false" ht="15" hidden="false" customHeight="false" outlineLevel="0" collapsed="false">
      <c r="A7460" s="26" t="s">
        <v>19838</v>
      </c>
      <c r="B7460" s="28" t="s">
        <v>19839</v>
      </c>
      <c r="C7460" s="27" t="s">
        <v>144</v>
      </c>
      <c r="D7460" s="26"/>
      <c r="E7460" s="27"/>
      <c r="F7460" s="27"/>
      <c r="G7460" s="27" t="s">
        <v>11122</v>
      </c>
      <c r="H7460" s="27" t="s">
        <v>35</v>
      </c>
      <c r="I7460" s="27" t="s">
        <v>48</v>
      </c>
      <c r="J7460" s="28" t="s">
        <v>785</v>
      </c>
      <c r="K7460" s="27" t="s">
        <v>37</v>
      </c>
      <c r="L7460" s="27"/>
    </row>
    <row r="7461" customFormat="false" ht="15" hidden="false" customHeight="false" outlineLevel="0" collapsed="false">
      <c r="A7461" s="26" t="s">
        <v>19840</v>
      </c>
      <c r="B7461" s="28" t="s">
        <v>19841</v>
      </c>
      <c r="C7461" s="27" t="s">
        <v>144</v>
      </c>
      <c r="D7461" s="26"/>
      <c r="E7461" s="27"/>
      <c r="F7461" s="27"/>
      <c r="G7461" s="27" t="s">
        <v>11122</v>
      </c>
      <c r="H7461" s="27" t="s">
        <v>35</v>
      </c>
      <c r="I7461" s="27" t="s">
        <v>37</v>
      </c>
      <c r="J7461" s="28" t="s">
        <v>785</v>
      </c>
      <c r="K7461" s="27" t="s">
        <v>37</v>
      </c>
      <c r="L7461" s="27"/>
    </row>
    <row r="7462" customFormat="false" ht="15" hidden="false" customHeight="false" outlineLevel="0" collapsed="false">
      <c r="A7462" s="26" t="s">
        <v>19842</v>
      </c>
      <c r="B7462" s="28" t="s">
        <v>19843</v>
      </c>
      <c r="C7462" s="27" t="s">
        <v>144</v>
      </c>
      <c r="D7462" s="26"/>
      <c r="E7462" s="27"/>
      <c r="F7462" s="27"/>
      <c r="G7462" s="27" t="s">
        <v>11122</v>
      </c>
      <c r="H7462" s="27" t="s">
        <v>35</v>
      </c>
      <c r="I7462" s="27" t="s">
        <v>38</v>
      </c>
      <c r="J7462" s="28" t="s">
        <v>785</v>
      </c>
      <c r="K7462" s="27" t="s">
        <v>37</v>
      </c>
      <c r="L7462" s="27"/>
    </row>
    <row r="7463" customFormat="false" ht="15" hidden="false" customHeight="false" outlineLevel="0" collapsed="false">
      <c r="A7463" s="26" t="s">
        <v>19844</v>
      </c>
      <c r="B7463" s="28" t="s">
        <v>19845</v>
      </c>
      <c r="C7463" s="27" t="s">
        <v>144</v>
      </c>
      <c r="D7463" s="26"/>
      <c r="E7463" s="27"/>
      <c r="F7463" s="27"/>
      <c r="G7463" s="27" t="s">
        <v>11122</v>
      </c>
      <c r="H7463" s="27" t="s">
        <v>35</v>
      </c>
      <c r="I7463" s="27" t="s">
        <v>37</v>
      </c>
      <c r="J7463" s="28" t="s">
        <v>785</v>
      </c>
      <c r="K7463" s="27" t="s">
        <v>37</v>
      </c>
      <c r="L7463" s="27"/>
    </row>
    <row r="7464" customFormat="false" ht="15" hidden="false" customHeight="false" outlineLevel="0" collapsed="false">
      <c r="A7464" s="26" t="s">
        <v>19846</v>
      </c>
      <c r="B7464" s="28" t="s">
        <v>19847</v>
      </c>
      <c r="C7464" s="27" t="s">
        <v>144</v>
      </c>
      <c r="D7464" s="26"/>
      <c r="E7464" s="27"/>
      <c r="F7464" s="27"/>
      <c r="G7464" s="27" t="s">
        <v>11122</v>
      </c>
      <c r="H7464" s="27" t="s">
        <v>35</v>
      </c>
      <c r="I7464" s="27" t="s">
        <v>38</v>
      </c>
      <c r="J7464" s="28" t="s">
        <v>785</v>
      </c>
      <c r="K7464" s="27" t="s">
        <v>37</v>
      </c>
      <c r="L7464" s="27"/>
    </row>
    <row r="7465" customFormat="false" ht="15" hidden="false" customHeight="false" outlineLevel="0" collapsed="false">
      <c r="A7465" s="26" t="s">
        <v>19848</v>
      </c>
      <c r="B7465" s="28" t="s">
        <v>19849</v>
      </c>
      <c r="C7465" s="27" t="s">
        <v>144</v>
      </c>
      <c r="D7465" s="26"/>
      <c r="E7465" s="27"/>
      <c r="F7465" s="27"/>
      <c r="G7465" s="27" t="s">
        <v>11122</v>
      </c>
      <c r="H7465" s="27" t="s">
        <v>35</v>
      </c>
      <c r="I7465" s="27" t="s">
        <v>37</v>
      </c>
      <c r="J7465" s="28" t="s">
        <v>785</v>
      </c>
      <c r="K7465" s="27" t="s">
        <v>37</v>
      </c>
      <c r="L7465" s="27"/>
    </row>
    <row r="7466" customFormat="false" ht="15" hidden="false" customHeight="false" outlineLevel="0" collapsed="false">
      <c r="A7466" s="26" t="s">
        <v>19850</v>
      </c>
      <c r="B7466" s="27" t="s">
        <v>19851</v>
      </c>
      <c r="C7466" s="27" t="s">
        <v>144</v>
      </c>
      <c r="D7466" s="26"/>
      <c r="E7466" s="27"/>
      <c r="F7466" s="27"/>
      <c r="G7466" s="27" t="s">
        <v>11122</v>
      </c>
      <c r="H7466" s="27" t="s">
        <v>35</v>
      </c>
      <c r="I7466" s="27" t="s">
        <v>37</v>
      </c>
      <c r="J7466" s="28" t="s">
        <v>785</v>
      </c>
      <c r="K7466" s="27" t="s">
        <v>37</v>
      </c>
      <c r="L7466" s="27"/>
    </row>
    <row r="7467" customFormat="false" ht="15" hidden="false" customHeight="false" outlineLevel="0" collapsed="false">
      <c r="A7467" s="26" t="s">
        <v>19852</v>
      </c>
      <c r="B7467" s="28" t="s">
        <v>19853</v>
      </c>
      <c r="C7467" s="27" t="s">
        <v>144</v>
      </c>
      <c r="D7467" s="26"/>
      <c r="E7467" s="27"/>
      <c r="F7467" s="27"/>
      <c r="G7467" s="27" t="s">
        <v>11122</v>
      </c>
      <c r="H7467" s="27" t="s">
        <v>35</v>
      </c>
      <c r="I7467" s="27" t="s">
        <v>37</v>
      </c>
      <c r="J7467" s="28" t="s">
        <v>785</v>
      </c>
      <c r="K7467" s="27" t="s">
        <v>37</v>
      </c>
      <c r="L7467" s="27"/>
    </row>
    <row r="7468" customFormat="false" ht="15" hidden="false" customHeight="false" outlineLevel="0" collapsed="false">
      <c r="A7468" s="26" t="s">
        <v>19854</v>
      </c>
      <c r="B7468" s="28" t="s">
        <v>19855</v>
      </c>
      <c r="C7468" s="27" t="s">
        <v>144</v>
      </c>
      <c r="D7468" s="26"/>
      <c r="E7468" s="27"/>
      <c r="F7468" s="27"/>
      <c r="G7468" s="27" t="s">
        <v>11122</v>
      </c>
      <c r="H7468" s="27" t="s">
        <v>35</v>
      </c>
      <c r="I7468" s="27" t="s">
        <v>43</v>
      </c>
      <c r="J7468" s="28" t="s">
        <v>785</v>
      </c>
      <c r="K7468" s="27" t="s">
        <v>37</v>
      </c>
      <c r="L7468" s="27"/>
    </row>
    <row r="7469" customFormat="false" ht="15" hidden="false" customHeight="false" outlineLevel="0" collapsed="false">
      <c r="A7469" s="26" t="s">
        <v>19856</v>
      </c>
      <c r="B7469" s="28" t="s">
        <v>19857</v>
      </c>
      <c r="C7469" s="27" t="s">
        <v>144</v>
      </c>
      <c r="D7469" s="26"/>
      <c r="E7469" s="27"/>
      <c r="F7469" s="27"/>
      <c r="G7469" s="27" t="s">
        <v>11122</v>
      </c>
      <c r="H7469" s="27" t="s">
        <v>35</v>
      </c>
      <c r="I7469" s="27" t="s">
        <v>38</v>
      </c>
      <c r="J7469" s="28" t="s">
        <v>785</v>
      </c>
      <c r="K7469" s="27" t="s">
        <v>37</v>
      </c>
      <c r="L7469" s="27"/>
    </row>
    <row r="7470" customFormat="false" ht="15" hidden="false" customHeight="false" outlineLevel="0" collapsed="false">
      <c r="A7470" s="26" t="s">
        <v>19858</v>
      </c>
      <c r="B7470" s="28" t="s">
        <v>19859</v>
      </c>
      <c r="C7470" s="27" t="s">
        <v>144</v>
      </c>
      <c r="D7470" s="26"/>
      <c r="E7470" s="27"/>
      <c r="F7470" s="27"/>
      <c r="G7470" s="27" t="s">
        <v>11122</v>
      </c>
      <c r="H7470" s="27" t="s">
        <v>35</v>
      </c>
      <c r="I7470" s="27" t="s">
        <v>37</v>
      </c>
      <c r="J7470" s="28" t="s">
        <v>785</v>
      </c>
      <c r="K7470" s="27" t="s">
        <v>37</v>
      </c>
      <c r="L7470" s="27"/>
    </row>
    <row r="7471" customFormat="false" ht="15" hidden="false" customHeight="false" outlineLevel="0" collapsed="false">
      <c r="A7471" s="26" t="s">
        <v>19860</v>
      </c>
      <c r="B7471" s="27" t="s">
        <v>19861</v>
      </c>
      <c r="C7471" s="27" t="s">
        <v>144</v>
      </c>
      <c r="D7471" s="26"/>
      <c r="E7471" s="27"/>
      <c r="F7471" s="27"/>
      <c r="G7471" s="27" t="s">
        <v>11122</v>
      </c>
      <c r="H7471" s="27" t="s">
        <v>35</v>
      </c>
      <c r="I7471" s="27" t="s">
        <v>37</v>
      </c>
      <c r="J7471" s="28" t="s">
        <v>785</v>
      </c>
      <c r="K7471" s="27" t="s">
        <v>37</v>
      </c>
      <c r="L7471" s="27"/>
    </row>
    <row r="7472" customFormat="false" ht="15" hidden="false" customHeight="false" outlineLevel="0" collapsed="false">
      <c r="A7472" s="26" t="s">
        <v>19862</v>
      </c>
      <c r="B7472" s="28" t="s">
        <v>19863</v>
      </c>
      <c r="C7472" s="27" t="s">
        <v>144</v>
      </c>
      <c r="D7472" s="26"/>
      <c r="E7472" s="27"/>
      <c r="F7472" s="27"/>
      <c r="G7472" s="27" t="s">
        <v>11122</v>
      </c>
      <c r="H7472" s="27" t="s">
        <v>35</v>
      </c>
      <c r="I7472" s="27" t="s">
        <v>37</v>
      </c>
      <c r="J7472" s="28" t="s">
        <v>785</v>
      </c>
      <c r="K7472" s="27" t="s">
        <v>37</v>
      </c>
      <c r="L7472" s="27"/>
    </row>
    <row r="7473" customFormat="false" ht="15" hidden="false" customHeight="false" outlineLevel="0" collapsed="false">
      <c r="A7473" s="26" t="s">
        <v>19864</v>
      </c>
      <c r="B7473" s="28" t="s">
        <v>19865</v>
      </c>
      <c r="C7473" s="27" t="s">
        <v>144</v>
      </c>
      <c r="D7473" s="26"/>
      <c r="E7473" s="27"/>
      <c r="F7473" s="27"/>
      <c r="G7473" s="27" t="s">
        <v>11122</v>
      </c>
      <c r="H7473" s="27" t="s">
        <v>35</v>
      </c>
      <c r="I7473" s="27" t="s">
        <v>37</v>
      </c>
      <c r="J7473" s="28" t="s">
        <v>785</v>
      </c>
      <c r="K7473" s="27" t="s">
        <v>37</v>
      </c>
      <c r="L7473" s="27"/>
    </row>
    <row r="7474" customFormat="false" ht="15" hidden="false" customHeight="false" outlineLevel="0" collapsed="false">
      <c r="A7474" s="26" t="s">
        <v>19866</v>
      </c>
      <c r="B7474" s="27" t="s">
        <v>19867</v>
      </c>
      <c r="C7474" s="27" t="s">
        <v>144</v>
      </c>
      <c r="D7474" s="26"/>
      <c r="E7474" s="27"/>
      <c r="F7474" s="27"/>
      <c r="G7474" s="27" t="s">
        <v>11122</v>
      </c>
      <c r="H7474" s="27" t="s">
        <v>35</v>
      </c>
      <c r="I7474" s="27" t="s">
        <v>37</v>
      </c>
      <c r="J7474" s="28" t="s">
        <v>785</v>
      </c>
      <c r="K7474" s="27" t="s">
        <v>37</v>
      </c>
      <c r="L7474" s="27"/>
    </row>
    <row r="7475" customFormat="false" ht="15" hidden="false" customHeight="false" outlineLevel="0" collapsed="false">
      <c r="A7475" s="26" t="s">
        <v>19868</v>
      </c>
      <c r="B7475" s="28" t="s">
        <v>19869</v>
      </c>
      <c r="C7475" s="27" t="s">
        <v>144</v>
      </c>
      <c r="D7475" s="26"/>
      <c r="E7475" s="27"/>
      <c r="F7475" s="27"/>
      <c r="G7475" s="27" t="s">
        <v>11122</v>
      </c>
      <c r="H7475" s="27" t="s">
        <v>35</v>
      </c>
      <c r="I7475" s="27" t="s">
        <v>37</v>
      </c>
      <c r="J7475" s="28" t="s">
        <v>785</v>
      </c>
      <c r="K7475" s="27" t="s">
        <v>37</v>
      </c>
      <c r="L7475" s="27"/>
    </row>
    <row r="7476" customFormat="false" ht="15" hidden="false" customHeight="false" outlineLevel="0" collapsed="false">
      <c r="A7476" s="26" t="s">
        <v>19870</v>
      </c>
      <c r="B7476" s="27" t="s">
        <v>19871</v>
      </c>
      <c r="C7476" s="27" t="s">
        <v>144</v>
      </c>
      <c r="D7476" s="26"/>
      <c r="E7476" s="27"/>
      <c r="F7476" s="27"/>
      <c r="G7476" s="27" t="s">
        <v>11122</v>
      </c>
      <c r="H7476" s="27" t="s">
        <v>35</v>
      </c>
      <c r="I7476" s="27" t="s">
        <v>37</v>
      </c>
      <c r="J7476" s="28" t="s">
        <v>785</v>
      </c>
      <c r="K7476" s="27" t="s">
        <v>37</v>
      </c>
      <c r="L7476" s="27"/>
    </row>
    <row r="7477" customFormat="false" ht="15" hidden="false" customHeight="false" outlineLevel="0" collapsed="false">
      <c r="A7477" s="26" t="s">
        <v>19872</v>
      </c>
      <c r="B7477" s="27" t="s">
        <v>19873</v>
      </c>
      <c r="C7477" s="27" t="s">
        <v>144</v>
      </c>
      <c r="D7477" s="26"/>
      <c r="E7477" s="27"/>
      <c r="F7477" s="27"/>
      <c r="G7477" s="27" t="s">
        <v>11122</v>
      </c>
      <c r="H7477" s="27" t="s">
        <v>35</v>
      </c>
      <c r="I7477" s="27" t="s">
        <v>38</v>
      </c>
      <c r="J7477" s="28" t="s">
        <v>785</v>
      </c>
      <c r="K7477" s="27" t="s">
        <v>37</v>
      </c>
      <c r="L7477" s="27"/>
    </row>
    <row r="7478" customFormat="false" ht="15" hidden="false" customHeight="false" outlineLevel="0" collapsed="false">
      <c r="A7478" s="26" t="s">
        <v>19874</v>
      </c>
      <c r="B7478" s="27" t="s">
        <v>19875</v>
      </c>
      <c r="C7478" s="27" t="s">
        <v>144</v>
      </c>
      <c r="D7478" s="26"/>
      <c r="E7478" s="27"/>
      <c r="F7478" s="27"/>
      <c r="G7478" s="27" t="s">
        <v>11122</v>
      </c>
      <c r="H7478" s="27" t="s">
        <v>35</v>
      </c>
      <c r="I7478" s="27" t="s">
        <v>38</v>
      </c>
      <c r="J7478" s="28" t="s">
        <v>785</v>
      </c>
      <c r="K7478" s="27" t="s">
        <v>37</v>
      </c>
      <c r="L7478" s="27"/>
    </row>
    <row r="7479" customFormat="false" ht="15" hidden="false" customHeight="false" outlineLevel="0" collapsed="false">
      <c r="A7479" s="26" t="s">
        <v>19876</v>
      </c>
      <c r="B7479" s="27" t="s">
        <v>19877</v>
      </c>
      <c r="C7479" s="27" t="s">
        <v>144</v>
      </c>
      <c r="D7479" s="26"/>
      <c r="E7479" s="27"/>
      <c r="F7479" s="27"/>
      <c r="G7479" s="27" t="s">
        <v>11122</v>
      </c>
      <c r="H7479" s="27" t="s">
        <v>35</v>
      </c>
      <c r="I7479" s="27" t="s">
        <v>37</v>
      </c>
      <c r="J7479" s="28" t="s">
        <v>785</v>
      </c>
      <c r="K7479" s="27" t="s">
        <v>37</v>
      </c>
      <c r="L7479" s="27"/>
    </row>
    <row r="7480" customFormat="false" ht="15" hidden="false" customHeight="false" outlineLevel="0" collapsed="false">
      <c r="A7480" s="26" t="s">
        <v>19878</v>
      </c>
      <c r="B7480" s="27" t="s">
        <v>19879</v>
      </c>
      <c r="C7480" s="27" t="s">
        <v>144</v>
      </c>
      <c r="D7480" s="26"/>
      <c r="E7480" s="27"/>
      <c r="F7480" s="27"/>
      <c r="G7480" s="27" t="s">
        <v>11122</v>
      </c>
      <c r="H7480" s="27" t="s">
        <v>35</v>
      </c>
      <c r="I7480" s="27" t="s">
        <v>37</v>
      </c>
      <c r="J7480" s="28" t="s">
        <v>785</v>
      </c>
      <c r="K7480" s="27" t="s">
        <v>37</v>
      </c>
      <c r="L7480" s="27"/>
    </row>
    <row r="7481" customFormat="false" ht="15" hidden="false" customHeight="false" outlineLevel="0" collapsed="false">
      <c r="A7481" s="26" t="s">
        <v>19880</v>
      </c>
      <c r="B7481" s="27" t="s">
        <v>19881</v>
      </c>
      <c r="C7481" s="27" t="s">
        <v>144</v>
      </c>
      <c r="D7481" s="26"/>
      <c r="E7481" s="27"/>
      <c r="F7481" s="27"/>
      <c r="G7481" s="27" t="s">
        <v>11122</v>
      </c>
      <c r="H7481" s="27" t="s">
        <v>35</v>
      </c>
      <c r="I7481" s="27" t="s">
        <v>37</v>
      </c>
      <c r="J7481" s="28" t="s">
        <v>785</v>
      </c>
      <c r="K7481" s="27" t="s">
        <v>37</v>
      </c>
      <c r="L7481" s="27"/>
    </row>
    <row r="7482" customFormat="false" ht="15" hidden="false" customHeight="false" outlineLevel="0" collapsed="false">
      <c r="A7482" s="26" t="s">
        <v>19882</v>
      </c>
      <c r="B7482" s="27" t="s">
        <v>19883</v>
      </c>
      <c r="C7482" s="27" t="s">
        <v>144</v>
      </c>
      <c r="D7482" s="26"/>
      <c r="E7482" s="27"/>
      <c r="F7482" s="27"/>
      <c r="G7482" s="27" t="s">
        <v>11122</v>
      </c>
      <c r="H7482" s="27" t="s">
        <v>35</v>
      </c>
      <c r="I7482" s="27" t="s">
        <v>37</v>
      </c>
      <c r="J7482" s="28" t="s">
        <v>785</v>
      </c>
      <c r="K7482" s="27" t="s">
        <v>37</v>
      </c>
      <c r="L7482" s="27"/>
    </row>
    <row r="7483" customFormat="false" ht="15" hidden="false" customHeight="false" outlineLevel="0" collapsed="false">
      <c r="A7483" s="26" t="s">
        <v>19884</v>
      </c>
      <c r="B7483" s="28" t="s">
        <v>19885</v>
      </c>
      <c r="C7483" s="27" t="s">
        <v>144</v>
      </c>
      <c r="D7483" s="26"/>
      <c r="E7483" s="27"/>
      <c r="F7483" s="27"/>
      <c r="G7483" s="27" t="s">
        <v>11122</v>
      </c>
      <c r="H7483" s="27" t="s">
        <v>35</v>
      </c>
      <c r="I7483" s="27" t="s">
        <v>37</v>
      </c>
      <c r="J7483" s="28" t="s">
        <v>785</v>
      </c>
      <c r="K7483" s="27" t="s">
        <v>37</v>
      </c>
      <c r="L7483" s="27"/>
    </row>
    <row r="7484" customFormat="false" ht="15" hidden="false" customHeight="false" outlineLevel="0" collapsed="false">
      <c r="A7484" s="26" t="s">
        <v>19886</v>
      </c>
      <c r="B7484" s="28" t="s">
        <v>19887</v>
      </c>
      <c r="C7484" s="27" t="s">
        <v>144</v>
      </c>
      <c r="D7484" s="26"/>
      <c r="E7484" s="27"/>
      <c r="F7484" s="27"/>
      <c r="G7484" s="27" t="s">
        <v>11122</v>
      </c>
      <c r="H7484" s="27" t="s">
        <v>35</v>
      </c>
      <c r="I7484" s="27" t="s">
        <v>37</v>
      </c>
      <c r="J7484" s="28" t="s">
        <v>785</v>
      </c>
      <c r="K7484" s="27" t="s">
        <v>37</v>
      </c>
      <c r="L7484" s="27"/>
    </row>
    <row r="7485" customFormat="false" ht="15" hidden="false" customHeight="false" outlineLevel="0" collapsed="false">
      <c r="A7485" s="26" t="s">
        <v>19888</v>
      </c>
      <c r="B7485" s="28" t="s">
        <v>19889</v>
      </c>
      <c r="C7485" s="27" t="s">
        <v>144</v>
      </c>
      <c r="D7485" s="26"/>
      <c r="E7485" s="27"/>
      <c r="F7485" s="27"/>
      <c r="G7485" s="27" t="s">
        <v>11122</v>
      </c>
      <c r="H7485" s="27" t="s">
        <v>35</v>
      </c>
      <c r="I7485" s="27" t="s">
        <v>37</v>
      </c>
      <c r="J7485" s="28" t="s">
        <v>785</v>
      </c>
      <c r="K7485" s="27" t="s">
        <v>37</v>
      </c>
      <c r="L7485" s="27"/>
    </row>
    <row r="7486" customFormat="false" ht="15" hidden="false" customHeight="false" outlineLevel="0" collapsed="false">
      <c r="A7486" s="26" t="s">
        <v>19890</v>
      </c>
      <c r="B7486" s="28" t="s">
        <v>19891</v>
      </c>
      <c r="C7486" s="27" t="s">
        <v>144</v>
      </c>
      <c r="D7486" s="26"/>
      <c r="E7486" s="27"/>
      <c r="F7486" s="27"/>
      <c r="G7486" s="27" t="s">
        <v>11122</v>
      </c>
      <c r="H7486" s="27" t="s">
        <v>35</v>
      </c>
      <c r="I7486" s="27" t="s">
        <v>37</v>
      </c>
      <c r="J7486" s="28" t="s">
        <v>785</v>
      </c>
      <c r="K7486" s="27" t="s">
        <v>37</v>
      </c>
      <c r="L7486" s="27"/>
    </row>
    <row r="7487" customFormat="false" ht="15" hidden="false" customHeight="false" outlineLevel="0" collapsed="false">
      <c r="A7487" s="26" t="s">
        <v>19892</v>
      </c>
      <c r="B7487" s="28" t="s">
        <v>19893</v>
      </c>
      <c r="C7487" s="27" t="s">
        <v>144</v>
      </c>
      <c r="D7487" s="26"/>
      <c r="E7487" s="27"/>
      <c r="F7487" s="27"/>
      <c r="G7487" s="27" t="s">
        <v>11122</v>
      </c>
      <c r="H7487" s="27" t="s">
        <v>35</v>
      </c>
      <c r="I7487" s="27" t="s">
        <v>37</v>
      </c>
      <c r="J7487" s="28" t="s">
        <v>785</v>
      </c>
      <c r="K7487" s="27" t="s">
        <v>37</v>
      </c>
      <c r="L7487" s="27"/>
    </row>
    <row r="7488" customFormat="false" ht="15" hidden="false" customHeight="false" outlineLevel="0" collapsed="false">
      <c r="A7488" s="26" t="s">
        <v>19894</v>
      </c>
      <c r="B7488" s="28" t="s">
        <v>19895</v>
      </c>
      <c r="C7488" s="27" t="s">
        <v>144</v>
      </c>
      <c r="D7488" s="26"/>
      <c r="E7488" s="27"/>
      <c r="F7488" s="27"/>
      <c r="G7488" s="27" t="s">
        <v>11122</v>
      </c>
      <c r="H7488" s="27" t="s">
        <v>35</v>
      </c>
      <c r="I7488" s="27" t="s">
        <v>37</v>
      </c>
      <c r="J7488" s="28" t="s">
        <v>785</v>
      </c>
      <c r="K7488" s="27" t="s">
        <v>37</v>
      </c>
      <c r="L7488" s="27"/>
    </row>
    <row r="7489" customFormat="false" ht="15" hidden="false" customHeight="false" outlineLevel="0" collapsed="false">
      <c r="A7489" s="26" t="s">
        <v>19896</v>
      </c>
      <c r="B7489" s="28" t="s">
        <v>19897</v>
      </c>
      <c r="C7489" s="27" t="s">
        <v>144</v>
      </c>
      <c r="D7489" s="26"/>
      <c r="E7489" s="27"/>
      <c r="F7489" s="27"/>
      <c r="G7489" s="27" t="s">
        <v>11122</v>
      </c>
      <c r="H7489" s="27" t="s">
        <v>35</v>
      </c>
      <c r="I7489" s="27" t="s">
        <v>37</v>
      </c>
      <c r="J7489" s="28" t="s">
        <v>785</v>
      </c>
      <c r="K7489" s="27" t="s">
        <v>37</v>
      </c>
      <c r="L7489" s="27"/>
    </row>
    <row r="7490" customFormat="false" ht="15" hidden="false" customHeight="false" outlineLevel="0" collapsed="false">
      <c r="A7490" s="26" t="s">
        <v>19898</v>
      </c>
      <c r="B7490" s="28" t="s">
        <v>19899</v>
      </c>
      <c r="C7490" s="27" t="s">
        <v>144</v>
      </c>
      <c r="D7490" s="26"/>
      <c r="E7490" s="27"/>
      <c r="F7490" s="27"/>
      <c r="G7490" s="27" t="s">
        <v>11122</v>
      </c>
      <c r="H7490" s="27" t="s">
        <v>35</v>
      </c>
      <c r="I7490" s="27" t="s">
        <v>37</v>
      </c>
      <c r="J7490" s="28" t="s">
        <v>785</v>
      </c>
      <c r="K7490" s="27" t="s">
        <v>37</v>
      </c>
      <c r="L7490" s="27"/>
    </row>
    <row r="7491" customFormat="false" ht="15" hidden="false" customHeight="false" outlineLevel="0" collapsed="false">
      <c r="A7491" s="26" t="s">
        <v>19900</v>
      </c>
      <c r="B7491" s="27" t="s">
        <v>19901</v>
      </c>
      <c r="C7491" s="27" t="s">
        <v>144</v>
      </c>
      <c r="D7491" s="26"/>
      <c r="E7491" s="27"/>
      <c r="F7491" s="27"/>
      <c r="G7491" s="27" t="s">
        <v>11122</v>
      </c>
      <c r="H7491" s="27" t="s">
        <v>35</v>
      </c>
      <c r="I7491" s="27" t="s">
        <v>37</v>
      </c>
      <c r="J7491" s="28" t="s">
        <v>785</v>
      </c>
      <c r="K7491" s="27" t="s">
        <v>37</v>
      </c>
      <c r="L7491" s="27"/>
    </row>
    <row r="7492" customFormat="false" ht="15" hidden="false" customHeight="false" outlineLevel="0" collapsed="false">
      <c r="A7492" s="26" t="s">
        <v>19902</v>
      </c>
      <c r="B7492" s="28" t="s">
        <v>19903</v>
      </c>
      <c r="C7492" s="27" t="s">
        <v>144</v>
      </c>
      <c r="D7492" s="26"/>
      <c r="E7492" s="27"/>
      <c r="F7492" s="27"/>
      <c r="G7492" s="27" t="s">
        <v>11122</v>
      </c>
      <c r="H7492" s="27" t="s">
        <v>35</v>
      </c>
      <c r="I7492" s="27" t="s">
        <v>37</v>
      </c>
      <c r="J7492" s="28" t="s">
        <v>785</v>
      </c>
      <c r="K7492" s="27" t="s">
        <v>37</v>
      </c>
      <c r="L7492" s="27"/>
    </row>
    <row r="7493" customFormat="false" ht="15" hidden="false" customHeight="false" outlineLevel="0" collapsed="false">
      <c r="A7493" s="26" t="s">
        <v>19904</v>
      </c>
      <c r="B7493" s="28" t="s">
        <v>19905</v>
      </c>
      <c r="C7493" s="27" t="s">
        <v>144</v>
      </c>
      <c r="D7493" s="26"/>
      <c r="E7493" s="27"/>
      <c r="F7493" s="27"/>
      <c r="G7493" s="27" t="s">
        <v>11122</v>
      </c>
      <c r="H7493" s="27" t="s">
        <v>35</v>
      </c>
      <c r="I7493" s="27" t="s">
        <v>37</v>
      </c>
      <c r="J7493" s="28" t="s">
        <v>785</v>
      </c>
      <c r="K7493" s="27" t="s">
        <v>37</v>
      </c>
      <c r="L7493" s="27"/>
    </row>
    <row r="7494" customFormat="false" ht="15" hidden="false" customHeight="false" outlineLevel="0" collapsed="false">
      <c r="A7494" s="26" t="s">
        <v>19906</v>
      </c>
      <c r="B7494" s="28" t="s">
        <v>19907</v>
      </c>
      <c r="C7494" s="27" t="s">
        <v>144</v>
      </c>
      <c r="D7494" s="26"/>
      <c r="E7494" s="27"/>
      <c r="F7494" s="27"/>
      <c r="G7494" s="27" t="s">
        <v>11122</v>
      </c>
      <c r="H7494" s="27" t="s">
        <v>35</v>
      </c>
      <c r="I7494" s="27" t="s">
        <v>37</v>
      </c>
      <c r="J7494" s="28" t="s">
        <v>785</v>
      </c>
      <c r="K7494" s="27" t="s">
        <v>37</v>
      </c>
      <c r="L7494" s="27"/>
    </row>
    <row r="7495" customFormat="false" ht="15" hidden="false" customHeight="false" outlineLevel="0" collapsed="false">
      <c r="A7495" s="26" t="s">
        <v>19908</v>
      </c>
      <c r="B7495" s="28" t="s">
        <v>19909</v>
      </c>
      <c r="C7495" s="27" t="s">
        <v>144</v>
      </c>
      <c r="D7495" s="26"/>
      <c r="E7495" s="27"/>
      <c r="F7495" s="27"/>
      <c r="G7495" s="27" t="s">
        <v>11122</v>
      </c>
      <c r="H7495" s="27" t="s">
        <v>35</v>
      </c>
      <c r="I7495" s="27" t="s">
        <v>37</v>
      </c>
      <c r="J7495" s="28" t="s">
        <v>785</v>
      </c>
      <c r="K7495" s="27" t="s">
        <v>37</v>
      </c>
      <c r="L7495" s="27"/>
    </row>
    <row r="7496" customFormat="false" ht="15" hidden="false" customHeight="false" outlineLevel="0" collapsed="false">
      <c r="A7496" s="26" t="s">
        <v>19910</v>
      </c>
      <c r="B7496" s="28" t="s">
        <v>19911</v>
      </c>
      <c r="C7496" s="27" t="s">
        <v>144</v>
      </c>
      <c r="D7496" s="26"/>
      <c r="E7496" s="27"/>
      <c r="F7496" s="27"/>
      <c r="G7496" s="27" t="s">
        <v>11122</v>
      </c>
      <c r="H7496" s="27" t="s">
        <v>35</v>
      </c>
      <c r="I7496" s="27" t="s">
        <v>37</v>
      </c>
      <c r="J7496" s="28" t="s">
        <v>785</v>
      </c>
      <c r="K7496" s="27" t="s">
        <v>37</v>
      </c>
      <c r="L7496" s="27"/>
    </row>
    <row r="7497" customFormat="false" ht="15" hidden="false" customHeight="false" outlineLevel="0" collapsed="false">
      <c r="A7497" s="26" t="s">
        <v>19912</v>
      </c>
      <c r="B7497" s="28" t="s">
        <v>19913</v>
      </c>
      <c r="C7497" s="27" t="s">
        <v>144</v>
      </c>
      <c r="D7497" s="26"/>
      <c r="E7497" s="27"/>
      <c r="F7497" s="27"/>
      <c r="G7497" s="27" t="s">
        <v>11122</v>
      </c>
      <c r="H7497" s="27" t="s">
        <v>35</v>
      </c>
      <c r="I7497" s="27" t="s">
        <v>37</v>
      </c>
      <c r="J7497" s="28" t="s">
        <v>785</v>
      </c>
      <c r="K7497" s="27" t="s">
        <v>37</v>
      </c>
      <c r="L7497" s="27"/>
    </row>
    <row r="7498" customFormat="false" ht="15" hidden="false" customHeight="false" outlineLevel="0" collapsed="false">
      <c r="A7498" s="26" t="s">
        <v>19914</v>
      </c>
      <c r="B7498" s="28" t="s">
        <v>19915</v>
      </c>
      <c r="C7498" s="27" t="s">
        <v>144</v>
      </c>
      <c r="D7498" s="26"/>
      <c r="E7498" s="27"/>
      <c r="F7498" s="27"/>
      <c r="G7498" s="27" t="s">
        <v>11122</v>
      </c>
      <c r="H7498" s="27" t="s">
        <v>35</v>
      </c>
      <c r="I7498" s="27" t="s">
        <v>37</v>
      </c>
      <c r="J7498" s="28" t="s">
        <v>785</v>
      </c>
      <c r="K7498" s="27" t="s">
        <v>37</v>
      </c>
      <c r="L7498" s="27"/>
    </row>
    <row r="7499" customFormat="false" ht="15" hidden="false" customHeight="false" outlineLevel="0" collapsed="false">
      <c r="A7499" s="26" t="s">
        <v>19916</v>
      </c>
      <c r="B7499" s="28" t="s">
        <v>19917</v>
      </c>
      <c r="C7499" s="27" t="s">
        <v>144</v>
      </c>
      <c r="D7499" s="26"/>
      <c r="E7499" s="27"/>
      <c r="F7499" s="27"/>
      <c r="G7499" s="27" t="s">
        <v>11122</v>
      </c>
      <c r="H7499" s="27" t="s">
        <v>35</v>
      </c>
      <c r="I7499" s="27" t="s">
        <v>37</v>
      </c>
      <c r="J7499" s="28" t="s">
        <v>785</v>
      </c>
      <c r="K7499" s="27" t="s">
        <v>37</v>
      </c>
      <c r="L7499" s="27"/>
    </row>
    <row r="7500" customFormat="false" ht="15" hidden="false" customHeight="false" outlineLevel="0" collapsed="false">
      <c r="A7500" s="26" t="s">
        <v>19918</v>
      </c>
      <c r="B7500" s="28" t="s">
        <v>19919</v>
      </c>
      <c r="C7500" s="27" t="s">
        <v>144</v>
      </c>
      <c r="D7500" s="26"/>
      <c r="E7500" s="27"/>
      <c r="F7500" s="27"/>
      <c r="G7500" s="27" t="s">
        <v>11122</v>
      </c>
      <c r="H7500" s="27" t="s">
        <v>35</v>
      </c>
      <c r="I7500" s="27" t="s">
        <v>37</v>
      </c>
      <c r="J7500" s="28" t="s">
        <v>785</v>
      </c>
      <c r="K7500" s="27" t="s">
        <v>37</v>
      </c>
      <c r="L7500" s="27"/>
    </row>
    <row r="7501" customFormat="false" ht="15" hidden="false" customHeight="false" outlineLevel="0" collapsed="false">
      <c r="A7501" s="26" t="s">
        <v>19920</v>
      </c>
      <c r="B7501" s="28" t="s">
        <v>19921</v>
      </c>
      <c r="C7501" s="27" t="s">
        <v>144</v>
      </c>
      <c r="D7501" s="26"/>
      <c r="E7501" s="27"/>
      <c r="F7501" s="27"/>
      <c r="G7501" s="27" t="s">
        <v>11122</v>
      </c>
      <c r="H7501" s="27" t="s">
        <v>35</v>
      </c>
      <c r="I7501" s="27" t="s">
        <v>37</v>
      </c>
      <c r="J7501" s="28" t="s">
        <v>785</v>
      </c>
      <c r="K7501" s="27" t="s">
        <v>37</v>
      </c>
      <c r="L7501" s="27"/>
    </row>
    <row r="7502" customFormat="false" ht="15" hidden="false" customHeight="false" outlineLevel="0" collapsed="false">
      <c r="A7502" s="26" t="s">
        <v>19922</v>
      </c>
      <c r="B7502" s="28" t="s">
        <v>19923</v>
      </c>
      <c r="C7502" s="27" t="s">
        <v>144</v>
      </c>
      <c r="D7502" s="26"/>
      <c r="E7502" s="27"/>
      <c r="F7502" s="27"/>
      <c r="G7502" s="27" t="s">
        <v>11122</v>
      </c>
      <c r="H7502" s="27" t="s">
        <v>35</v>
      </c>
      <c r="I7502" s="27" t="s">
        <v>37</v>
      </c>
      <c r="J7502" s="28" t="s">
        <v>785</v>
      </c>
      <c r="K7502" s="27" t="s">
        <v>37</v>
      </c>
      <c r="L7502" s="27"/>
    </row>
    <row r="7503" customFormat="false" ht="15" hidden="false" customHeight="false" outlineLevel="0" collapsed="false">
      <c r="A7503" s="26" t="s">
        <v>19924</v>
      </c>
      <c r="B7503" s="28" t="s">
        <v>19925</v>
      </c>
      <c r="C7503" s="27" t="s">
        <v>144</v>
      </c>
      <c r="D7503" s="26"/>
      <c r="E7503" s="27"/>
      <c r="F7503" s="27"/>
      <c r="G7503" s="27" t="s">
        <v>11122</v>
      </c>
      <c r="H7503" s="27" t="s">
        <v>35</v>
      </c>
      <c r="I7503" s="27" t="s">
        <v>37</v>
      </c>
      <c r="J7503" s="28" t="s">
        <v>785</v>
      </c>
      <c r="K7503" s="27" t="s">
        <v>37</v>
      </c>
      <c r="L7503" s="27"/>
    </row>
    <row r="7504" customFormat="false" ht="15" hidden="false" customHeight="false" outlineLevel="0" collapsed="false">
      <c r="A7504" s="26" t="s">
        <v>19926</v>
      </c>
      <c r="B7504" s="28" t="s">
        <v>19927</v>
      </c>
      <c r="C7504" s="27" t="s">
        <v>144</v>
      </c>
      <c r="D7504" s="26"/>
      <c r="E7504" s="27"/>
      <c r="F7504" s="27"/>
      <c r="G7504" s="27" t="s">
        <v>11122</v>
      </c>
      <c r="H7504" s="27" t="s">
        <v>35</v>
      </c>
      <c r="I7504" s="27" t="s">
        <v>37</v>
      </c>
      <c r="J7504" s="28" t="s">
        <v>785</v>
      </c>
      <c r="K7504" s="27" t="s">
        <v>37</v>
      </c>
      <c r="L7504" s="27"/>
    </row>
    <row r="7505" customFormat="false" ht="15" hidden="false" customHeight="false" outlineLevel="0" collapsed="false">
      <c r="A7505" s="26" t="s">
        <v>19928</v>
      </c>
      <c r="B7505" s="28" t="s">
        <v>19929</v>
      </c>
      <c r="C7505" s="27" t="s">
        <v>144</v>
      </c>
      <c r="D7505" s="26"/>
      <c r="E7505" s="27"/>
      <c r="F7505" s="27"/>
      <c r="G7505" s="27" t="s">
        <v>11122</v>
      </c>
      <c r="H7505" s="27" t="s">
        <v>35</v>
      </c>
      <c r="I7505" s="27" t="s">
        <v>37</v>
      </c>
      <c r="J7505" s="28" t="s">
        <v>785</v>
      </c>
      <c r="K7505" s="27" t="s">
        <v>37</v>
      </c>
      <c r="L7505" s="27"/>
    </row>
    <row r="7506" customFormat="false" ht="15" hidden="false" customHeight="false" outlineLevel="0" collapsed="false">
      <c r="A7506" s="26" t="s">
        <v>19930</v>
      </c>
      <c r="B7506" s="28" t="s">
        <v>19931</v>
      </c>
      <c r="C7506" s="27" t="s">
        <v>144</v>
      </c>
      <c r="D7506" s="26"/>
      <c r="E7506" s="27"/>
      <c r="F7506" s="27"/>
      <c r="G7506" s="27" t="s">
        <v>11122</v>
      </c>
      <c r="H7506" s="27" t="s">
        <v>35</v>
      </c>
      <c r="I7506" s="27" t="s">
        <v>37</v>
      </c>
      <c r="J7506" s="28" t="s">
        <v>785</v>
      </c>
      <c r="K7506" s="27" t="s">
        <v>37</v>
      </c>
      <c r="L7506" s="27"/>
    </row>
    <row r="7507" customFormat="false" ht="15" hidden="false" customHeight="false" outlineLevel="0" collapsed="false">
      <c r="A7507" s="26" t="s">
        <v>19932</v>
      </c>
      <c r="B7507" s="28" t="s">
        <v>19933</v>
      </c>
      <c r="C7507" s="27" t="s">
        <v>144</v>
      </c>
      <c r="D7507" s="26"/>
      <c r="E7507" s="27"/>
      <c r="F7507" s="27"/>
      <c r="G7507" s="27" t="s">
        <v>11122</v>
      </c>
      <c r="H7507" s="27" t="s">
        <v>35</v>
      </c>
      <c r="I7507" s="27" t="s">
        <v>37</v>
      </c>
      <c r="J7507" s="28" t="s">
        <v>785</v>
      </c>
      <c r="K7507" s="27" t="s">
        <v>37</v>
      </c>
      <c r="L7507" s="27"/>
    </row>
    <row r="7508" customFormat="false" ht="15" hidden="false" customHeight="false" outlineLevel="0" collapsed="false">
      <c r="A7508" s="26" t="s">
        <v>19934</v>
      </c>
      <c r="B7508" s="28" t="s">
        <v>19935</v>
      </c>
      <c r="C7508" s="27" t="s">
        <v>144</v>
      </c>
      <c r="D7508" s="26"/>
      <c r="E7508" s="27"/>
      <c r="F7508" s="27"/>
      <c r="G7508" s="27" t="s">
        <v>11122</v>
      </c>
      <c r="H7508" s="27" t="s">
        <v>35</v>
      </c>
      <c r="I7508" s="27" t="s">
        <v>37</v>
      </c>
      <c r="J7508" s="28" t="s">
        <v>785</v>
      </c>
      <c r="K7508" s="27" t="s">
        <v>37</v>
      </c>
      <c r="L7508" s="27"/>
    </row>
    <row r="7509" customFormat="false" ht="15" hidden="false" customHeight="false" outlineLevel="0" collapsed="false">
      <c r="A7509" s="26" t="s">
        <v>19936</v>
      </c>
      <c r="B7509" s="28" t="s">
        <v>19937</v>
      </c>
      <c r="C7509" s="27" t="s">
        <v>144</v>
      </c>
      <c r="D7509" s="26"/>
      <c r="E7509" s="27"/>
      <c r="F7509" s="27"/>
      <c r="G7509" s="27" t="s">
        <v>11122</v>
      </c>
      <c r="H7509" s="27" t="s">
        <v>35</v>
      </c>
      <c r="I7509" s="27" t="s">
        <v>37</v>
      </c>
      <c r="J7509" s="28" t="s">
        <v>785</v>
      </c>
      <c r="K7509" s="27" t="s">
        <v>37</v>
      </c>
      <c r="L7509" s="27"/>
    </row>
    <row r="7510" customFormat="false" ht="15" hidden="false" customHeight="false" outlineLevel="0" collapsed="false">
      <c r="A7510" s="26" t="s">
        <v>19938</v>
      </c>
      <c r="B7510" s="28" t="s">
        <v>19939</v>
      </c>
      <c r="C7510" s="27" t="s">
        <v>144</v>
      </c>
      <c r="D7510" s="26"/>
      <c r="E7510" s="27"/>
      <c r="F7510" s="27"/>
      <c r="G7510" s="27" t="s">
        <v>11122</v>
      </c>
      <c r="H7510" s="27" t="s">
        <v>35</v>
      </c>
      <c r="I7510" s="27" t="s">
        <v>37</v>
      </c>
      <c r="J7510" s="28" t="s">
        <v>785</v>
      </c>
      <c r="K7510" s="27" t="s">
        <v>37</v>
      </c>
      <c r="L7510" s="27"/>
    </row>
    <row r="7511" customFormat="false" ht="15" hidden="false" customHeight="false" outlineLevel="0" collapsed="false">
      <c r="A7511" s="26" t="s">
        <v>19940</v>
      </c>
      <c r="B7511" s="28" t="s">
        <v>19941</v>
      </c>
      <c r="C7511" s="27" t="s">
        <v>144</v>
      </c>
      <c r="D7511" s="26"/>
      <c r="E7511" s="27"/>
      <c r="F7511" s="27"/>
      <c r="G7511" s="27" t="s">
        <v>11122</v>
      </c>
      <c r="H7511" s="27" t="s">
        <v>35</v>
      </c>
      <c r="I7511" s="27" t="s">
        <v>37</v>
      </c>
      <c r="J7511" s="28" t="s">
        <v>785</v>
      </c>
      <c r="K7511" s="27" t="s">
        <v>37</v>
      </c>
      <c r="L7511" s="27"/>
    </row>
    <row r="7512" customFormat="false" ht="15" hidden="false" customHeight="false" outlineLevel="0" collapsed="false">
      <c r="A7512" s="26" t="s">
        <v>19942</v>
      </c>
      <c r="B7512" s="28" t="s">
        <v>19943</v>
      </c>
      <c r="C7512" s="27" t="s">
        <v>144</v>
      </c>
      <c r="D7512" s="26"/>
      <c r="E7512" s="27"/>
      <c r="F7512" s="27"/>
      <c r="G7512" s="27" t="s">
        <v>11122</v>
      </c>
      <c r="H7512" s="27" t="s">
        <v>35</v>
      </c>
      <c r="I7512" s="27" t="s">
        <v>37</v>
      </c>
      <c r="J7512" s="28" t="s">
        <v>785</v>
      </c>
      <c r="K7512" s="27" t="s">
        <v>37</v>
      </c>
      <c r="L7512" s="27"/>
    </row>
    <row r="7513" customFormat="false" ht="15" hidden="false" customHeight="false" outlineLevel="0" collapsed="false">
      <c r="A7513" s="26" t="s">
        <v>19944</v>
      </c>
      <c r="B7513" s="28" t="s">
        <v>19945</v>
      </c>
      <c r="C7513" s="27" t="s">
        <v>144</v>
      </c>
      <c r="D7513" s="26"/>
      <c r="E7513" s="27"/>
      <c r="F7513" s="27"/>
      <c r="G7513" s="27" t="s">
        <v>11122</v>
      </c>
      <c r="H7513" s="27" t="s">
        <v>35</v>
      </c>
      <c r="I7513" s="27" t="s">
        <v>37</v>
      </c>
      <c r="J7513" s="28" t="s">
        <v>785</v>
      </c>
      <c r="K7513" s="27" t="s">
        <v>37</v>
      </c>
      <c r="L7513" s="27"/>
    </row>
    <row r="7514" customFormat="false" ht="15" hidden="false" customHeight="false" outlineLevel="0" collapsed="false">
      <c r="A7514" s="26" t="s">
        <v>19946</v>
      </c>
      <c r="B7514" s="28" t="s">
        <v>19947</v>
      </c>
      <c r="C7514" s="27" t="s">
        <v>144</v>
      </c>
      <c r="D7514" s="26"/>
      <c r="E7514" s="27"/>
      <c r="F7514" s="27"/>
      <c r="G7514" s="27" t="s">
        <v>11122</v>
      </c>
      <c r="H7514" s="27" t="s">
        <v>35</v>
      </c>
      <c r="I7514" s="27" t="s">
        <v>37</v>
      </c>
      <c r="J7514" s="28" t="s">
        <v>785</v>
      </c>
      <c r="K7514" s="27" t="s">
        <v>37</v>
      </c>
      <c r="L7514" s="27"/>
    </row>
    <row r="7515" customFormat="false" ht="15" hidden="false" customHeight="false" outlineLevel="0" collapsed="false">
      <c r="A7515" s="26" t="s">
        <v>19948</v>
      </c>
      <c r="B7515" s="28" t="s">
        <v>19949</v>
      </c>
      <c r="C7515" s="27" t="s">
        <v>144</v>
      </c>
      <c r="D7515" s="26"/>
      <c r="E7515" s="27"/>
      <c r="F7515" s="27"/>
      <c r="G7515" s="27" t="s">
        <v>11122</v>
      </c>
      <c r="H7515" s="27" t="s">
        <v>35</v>
      </c>
      <c r="I7515" s="27" t="s">
        <v>37</v>
      </c>
      <c r="J7515" s="28" t="s">
        <v>785</v>
      </c>
      <c r="K7515" s="27" t="s">
        <v>37</v>
      </c>
      <c r="L7515" s="27"/>
    </row>
    <row r="7516" customFormat="false" ht="15" hidden="false" customHeight="false" outlineLevel="0" collapsed="false">
      <c r="A7516" s="26" t="s">
        <v>19950</v>
      </c>
      <c r="B7516" s="28" t="s">
        <v>19951</v>
      </c>
      <c r="C7516" s="27" t="s">
        <v>144</v>
      </c>
      <c r="D7516" s="26"/>
      <c r="E7516" s="27"/>
      <c r="F7516" s="27"/>
      <c r="G7516" s="27" t="s">
        <v>11122</v>
      </c>
      <c r="H7516" s="27" t="s">
        <v>35</v>
      </c>
      <c r="I7516" s="27" t="s">
        <v>37</v>
      </c>
      <c r="J7516" s="28" t="s">
        <v>785</v>
      </c>
      <c r="K7516" s="27" t="s">
        <v>37</v>
      </c>
      <c r="L7516" s="27"/>
    </row>
    <row r="7517" customFormat="false" ht="15" hidden="false" customHeight="false" outlineLevel="0" collapsed="false">
      <c r="A7517" s="26" t="s">
        <v>19952</v>
      </c>
      <c r="B7517" s="28" t="s">
        <v>19953</v>
      </c>
      <c r="C7517" s="27" t="s">
        <v>144</v>
      </c>
      <c r="D7517" s="26"/>
      <c r="E7517" s="27"/>
      <c r="F7517" s="27"/>
      <c r="G7517" s="27" t="s">
        <v>11122</v>
      </c>
      <c r="H7517" s="27" t="s">
        <v>35</v>
      </c>
      <c r="I7517" s="27" t="s">
        <v>37</v>
      </c>
      <c r="J7517" s="28" t="s">
        <v>785</v>
      </c>
      <c r="K7517" s="27" t="s">
        <v>37</v>
      </c>
      <c r="L7517" s="27"/>
    </row>
    <row r="7518" customFormat="false" ht="15" hidden="false" customHeight="false" outlineLevel="0" collapsed="false">
      <c r="A7518" s="26" t="s">
        <v>19954</v>
      </c>
      <c r="B7518" s="28" t="s">
        <v>19955</v>
      </c>
      <c r="C7518" s="27" t="s">
        <v>144</v>
      </c>
      <c r="D7518" s="26"/>
      <c r="E7518" s="27"/>
      <c r="F7518" s="27"/>
      <c r="G7518" s="27" t="s">
        <v>11122</v>
      </c>
      <c r="H7518" s="27" t="s">
        <v>35</v>
      </c>
      <c r="I7518" s="27" t="s">
        <v>37</v>
      </c>
      <c r="J7518" s="28" t="s">
        <v>785</v>
      </c>
      <c r="K7518" s="27" t="s">
        <v>37</v>
      </c>
      <c r="L7518" s="27"/>
    </row>
    <row r="7519" customFormat="false" ht="15" hidden="false" customHeight="false" outlineLevel="0" collapsed="false">
      <c r="A7519" s="26" t="s">
        <v>19956</v>
      </c>
      <c r="B7519" s="28" t="s">
        <v>19957</v>
      </c>
      <c r="C7519" s="27" t="s">
        <v>144</v>
      </c>
      <c r="D7519" s="26"/>
      <c r="E7519" s="27"/>
      <c r="F7519" s="27"/>
      <c r="G7519" s="27" t="s">
        <v>11122</v>
      </c>
      <c r="H7519" s="27" t="s">
        <v>35</v>
      </c>
      <c r="I7519" s="27" t="s">
        <v>37</v>
      </c>
      <c r="J7519" s="28" t="s">
        <v>785</v>
      </c>
      <c r="K7519" s="27" t="s">
        <v>37</v>
      </c>
      <c r="L7519" s="27"/>
    </row>
    <row r="7520" customFormat="false" ht="15" hidden="false" customHeight="false" outlineLevel="0" collapsed="false">
      <c r="A7520" s="26" t="s">
        <v>19958</v>
      </c>
      <c r="B7520" s="28" t="s">
        <v>19959</v>
      </c>
      <c r="C7520" s="27" t="s">
        <v>144</v>
      </c>
      <c r="D7520" s="26"/>
      <c r="E7520" s="27"/>
      <c r="F7520" s="27"/>
      <c r="G7520" s="27" t="s">
        <v>11122</v>
      </c>
      <c r="H7520" s="27" t="s">
        <v>35</v>
      </c>
      <c r="I7520" s="27" t="s">
        <v>37</v>
      </c>
      <c r="J7520" s="28" t="s">
        <v>785</v>
      </c>
      <c r="K7520" s="27" t="s">
        <v>37</v>
      </c>
      <c r="L7520" s="27"/>
    </row>
    <row r="7521" customFormat="false" ht="15" hidden="false" customHeight="false" outlineLevel="0" collapsed="false">
      <c r="A7521" s="26" t="s">
        <v>19960</v>
      </c>
      <c r="B7521" s="28" t="s">
        <v>19961</v>
      </c>
      <c r="C7521" s="27" t="s">
        <v>144</v>
      </c>
      <c r="D7521" s="26"/>
      <c r="E7521" s="27"/>
      <c r="F7521" s="27"/>
      <c r="G7521" s="27" t="s">
        <v>11122</v>
      </c>
      <c r="H7521" s="27" t="s">
        <v>35</v>
      </c>
      <c r="I7521" s="27" t="s">
        <v>37</v>
      </c>
      <c r="J7521" s="28" t="s">
        <v>785</v>
      </c>
      <c r="K7521" s="27" t="s">
        <v>37</v>
      </c>
      <c r="L7521" s="27"/>
    </row>
    <row r="7522" customFormat="false" ht="15" hidden="false" customHeight="false" outlineLevel="0" collapsed="false">
      <c r="A7522" s="26" t="s">
        <v>19962</v>
      </c>
      <c r="B7522" s="28" t="s">
        <v>19963</v>
      </c>
      <c r="C7522" s="27" t="s">
        <v>144</v>
      </c>
      <c r="D7522" s="26"/>
      <c r="E7522" s="27"/>
      <c r="F7522" s="27"/>
      <c r="G7522" s="27" t="s">
        <v>11122</v>
      </c>
      <c r="H7522" s="27" t="s">
        <v>35</v>
      </c>
      <c r="I7522" s="27" t="s">
        <v>43</v>
      </c>
      <c r="J7522" s="28" t="s">
        <v>785</v>
      </c>
      <c r="K7522" s="27" t="s">
        <v>37</v>
      </c>
      <c r="L7522" s="27"/>
    </row>
    <row r="7523" customFormat="false" ht="15" hidden="false" customHeight="false" outlineLevel="0" collapsed="false">
      <c r="A7523" s="26" t="s">
        <v>19964</v>
      </c>
      <c r="B7523" s="28" t="s">
        <v>19965</v>
      </c>
      <c r="C7523" s="27" t="s">
        <v>144</v>
      </c>
      <c r="D7523" s="26"/>
      <c r="E7523" s="27"/>
      <c r="F7523" s="27"/>
      <c r="G7523" s="27" t="s">
        <v>11122</v>
      </c>
      <c r="H7523" s="27" t="s">
        <v>35</v>
      </c>
      <c r="I7523" s="27" t="s">
        <v>38</v>
      </c>
      <c r="J7523" s="28" t="s">
        <v>785</v>
      </c>
      <c r="K7523" s="27" t="s">
        <v>37</v>
      </c>
      <c r="L7523" s="27"/>
    </row>
    <row r="7524" customFormat="false" ht="15" hidden="false" customHeight="false" outlineLevel="0" collapsed="false">
      <c r="A7524" s="26" t="s">
        <v>19966</v>
      </c>
      <c r="B7524" s="28" t="s">
        <v>19967</v>
      </c>
      <c r="C7524" s="27" t="s">
        <v>144</v>
      </c>
      <c r="D7524" s="26"/>
      <c r="E7524" s="27"/>
      <c r="F7524" s="27"/>
      <c r="G7524" s="27" t="s">
        <v>11122</v>
      </c>
      <c r="H7524" s="27" t="s">
        <v>35</v>
      </c>
      <c r="I7524" s="27" t="s">
        <v>37</v>
      </c>
      <c r="J7524" s="28" t="s">
        <v>785</v>
      </c>
      <c r="K7524" s="27" t="s">
        <v>37</v>
      </c>
      <c r="L7524" s="27"/>
    </row>
    <row r="7525" customFormat="false" ht="15" hidden="false" customHeight="false" outlineLevel="0" collapsed="false">
      <c r="A7525" s="26" t="s">
        <v>19968</v>
      </c>
      <c r="B7525" s="28" t="s">
        <v>19969</v>
      </c>
      <c r="C7525" s="27" t="s">
        <v>144</v>
      </c>
      <c r="D7525" s="26"/>
      <c r="E7525" s="27"/>
      <c r="F7525" s="27"/>
      <c r="G7525" s="27" t="s">
        <v>11122</v>
      </c>
      <c r="H7525" s="27" t="s">
        <v>35</v>
      </c>
      <c r="I7525" s="27" t="s">
        <v>38</v>
      </c>
      <c r="J7525" s="28" t="s">
        <v>785</v>
      </c>
      <c r="K7525" s="27" t="s">
        <v>37</v>
      </c>
      <c r="L7525" s="27"/>
    </row>
    <row r="7526" customFormat="false" ht="15" hidden="false" customHeight="false" outlineLevel="0" collapsed="false">
      <c r="A7526" s="26" t="s">
        <v>19970</v>
      </c>
      <c r="B7526" s="28" t="s">
        <v>19971</v>
      </c>
      <c r="C7526" s="27" t="s">
        <v>144</v>
      </c>
      <c r="D7526" s="26"/>
      <c r="E7526" s="27"/>
      <c r="F7526" s="27"/>
      <c r="G7526" s="27" t="s">
        <v>11122</v>
      </c>
      <c r="H7526" s="27" t="s">
        <v>35</v>
      </c>
      <c r="I7526" s="27" t="s">
        <v>37</v>
      </c>
      <c r="J7526" s="28" t="s">
        <v>785</v>
      </c>
      <c r="K7526" s="27" t="s">
        <v>37</v>
      </c>
      <c r="L7526" s="27"/>
    </row>
    <row r="7527" customFormat="false" ht="15" hidden="false" customHeight="false" outlineLevel="0" collapsed="false">
      <c r="A7527" s="26" t="s">
        <v>19972</v>
      </c>
      <c r="B7527" s="28" t="s">
        <v>19973</v>
      </c>
      <c r="C7527" s="27" t="s">
        <v>144</v>
      </c>
      <c r="D7527" s="26"/>
      <c r="E7527" s="27"/>
      <c r="F7527" s="27"/>
      <c r="G7527" s="27" t="s">
        <v>11122</v>
      </c>
      <c r="H7527" s="27" t="s">
        <v>35</v>
      </c>
      <c r="I7527" s="27" t="s">
        <v>41</v>
      </c>
      <c r="J7527" s="28" t="s">
        <v>785</v>
      </c>
      <c r="K7527" s="27" t="s">
        <v>37</v>
      </c>
      <c r="L7527" s="27"/>
    </row>
    <row r="7528" customFormat="false" ht="15" hidden="false" customHeight="false" outlineLevel="0" collapsed="false">
      <c r="A7528" s="26" t="s">
        <v>19974</v>
      </c>
      <c r="B7528" s="28" t="s">
        <v>19975</v>
      </c>
      <c r="C7528" s="27" t="s">
        <v>144</v>
      </c>
      <c r="D7528" s="26"/>
      <c r="E7528" s="27"/>
      <c r="F7528" s="27"/>
      <c r="G7528" s="27" t="s">
        <v>11122</v>
      </c>
      <c r="H7528" s="27" t="s">
        <v>35</v>
      </c>
      <c r="I7528" s="27" t="s">
        <v>38</v>
      </c>
      <c r="J7528" s="28" t="s">
        <v>785</v>
      </c>
      <c r="K7528" s="27" t="s">
        <v>37</v>
      </c>
      <c r="L7528" s="27"/>
    </row>
    <row r="7529" customFormat="false" ht="15" hidden="false" customHeight="false" outlineLevel="0" collapsed="false">
      <c r="A7529" s="26" t="s">
        <v>19976</v>
      </c>
      <c r="B7529" s="28" t="s">
        <v>19977</v>
      </c>
      <c r="C7529" s="27" t="s">
        <v>144</v>
      </c>
      <c r="D7529" s="26"/>
      <c r="E7529" s="27"/>
      <c r="F7529" s="27"/>
      <c r="G7529" s="27" t="s">
        <v>11122</v>
      </c>
      <c r="H7529" s="27" t="s">
        <v>35</v>
      </c>
      <c r="I7529" s="27" t="s">
        <v>38</v>
      </c>
      <c r="J7529" s="28" t="s">
        <v>785</v>
      </c>
      <c r="K7529" s="27" t="s">
        <v>37</v>
      </c>
      <c r="L7529" s="27"/>
    </row>
    <row r="7530" customFormat="false" ht="15" hidden="false" customHeight="false" outlineLevel="0" collapsed="false">
      <c r="A7530" s="26" t="s">
        <v>19978</v>
      </c>
      <c r="B7530" s="28" t="s">
        <v>19979</v>
      </c>
      <c r="C7530" s="27" t="s">
        <v>144</v>
      </c>
      <c r="D7530" s="26"/>
      <c r="E7530" s="27"/>
      <c r="F7530" s="27"/>
      <c r="G7530" s="27" t="s">
        <v>11122</v>
      </c>
      <c r="H7530" s="27" t="s">
        <v>35</v>
      </c>
      <c r="I7530" s="27" t="s">
        <v>40</v>
      </c>
      <c r="J7530" s="28" t="s">
        <v>785</v>
      </c>
      <c r="K7530" s="27" t="s">
        <v>37</v>
      </c>
      <c r="L7530" s="27"/>
    </row>
    <row r="7531" customFormat="false" ht="15" hidden="false" customHeight="false" outlineLevel="0" collapsed="false">
      <c r="A7531" s="26" t="s">
        <v>19980</v>
      </c>
      <c r="B7531" s="28" t="s">
        <v>19981</v>
      </c>
      <c r="C7531" s="27" t="s">
        <v>144</v>
      </c>
      <c r="D7531" s="26"/>
      <c r="E7531" s="27"/>
      <c r="F7531" s="27"/>
      <c r="G7531" s="27" t="s">
        <v>11122</v>
      </c>
      <c r="H7531" s="27" t="s">
        <v>35</v>
      </c>
      <c r="I7531" s="27" t="s">
        <v>41</v>
      </c>
      <c r="J7531" s="28" t="s">
        <v>785</v>
      </c>
      <c r="K7531" s="27" t="s">
        <v>37</v>
      </c>
      <c r="L7531" s="27"/>
    </row>
    <row r="7532" customFormat="false" ht="15" hidden="false" customHeight="false" outlineLevel="0" collapsed="false">
      <c r="A7532" s="26" t="s">
        <v>19982</v>
      </c>
      <c r="B7532" s="28" t="s">
        <v>19983</v>
      </c>
      <c r="C7532" s="27" t="s">
        <v>144</v>
      </c>
      <c r="D7532" s="26"/>
      <c r="E7532" s="27"/>
      <c r="F7532" s="27"/>
      <c r="G7532" s="27" t="s">
        <v>11122</v>
      </c>
      <c r="H7532" s="27" t="s">
        <v>35</v>
      </c>
      <c r="I7532" s="27" t="s">
        <v>37</v>
      </c>
      <c r="J7532" s="28" t="s">
        <v>785</v>
      </c>
      <c r="K7532" s="27" t="s">
        <v>37</v>
      </c>
      <c r="L7532" s="27"/>
    </row>
    <row r="7533" customFormat="false" ht="15" hidden="false" customHeight="false" outlineLevel="0" collapsed="false">
      <c r="A7533" s="26" t="s">
        <v>19984</v>
      </c>
      <c r="B7533" s="28" t="s">
        <v>19985</v>
      </c>
      <c r="C7533" s="27" t="s">
        <v>144</v>
      </c>
      <c r="D7533" s="26"/>
      <c r="E7533" s="27"/>
      <c r="F7533" s="27"/>
      <c r="G7533" s="27" t="s">
        <v>11122</v>
      </c>
      <c r="H7533" s="27" t="s">
        <v>35</v>
      </c>
      <c r="I7533" s="27" t="s">
        <v>48</v>
      </c>
      <c r="J7533" s="28" t="s">
        <v>785</v>
      </c>
      <c r="K7533" s="27" t="s">
        <v>37</v>
      </c>
      <c r="L7533" s="27"/>
    </row>
    <row r="7534" customFormat="false" ht="15" hidden="false" customHeight="false" outlineLevel="0" collapsed="false">
      <c r="A7534" s="26" t="s">
        <v>19986</v>
      </c>
      <c r="B7534" s="28" t="s">
        <v>19987</v>
      </c>
      <c r="C7534" s="27" t="s">
        <v>144</v>
      </c>
      <c r="D7534" s="26"/>
      <c r="E7534" s="27"/>
      <c r="F7534" s="27"/>
      <c r="G7534" s="27" t="s">
        <v>11122</v>
      </c>
      <c r="H7534" s="27" t="s">
        <v>35</v>
      </c>
      <c r="I7534" s="27" t="s">
        <v>43</v>
      </c>
      <c r="J7534" s="28" t="s">
        <v>785</v>
      </c>
      <c r="K7534" s="27" t="s">
        <v>37</v>
      </c>
      <c r="L7534" s="27"/>
    </row>
    <row r="7535" customFormat="false" ht="15" hidden="false" customHeight="false" outlineLevel="0" collapsed="false">
      <c r="A7535" s="26" t="s">
        <v>19988</v>
      </c>
      <c r="B7535" s="28" t="s">
        <v>19989</v>
      </c>
      <c r="C7535" s="27" t="s">
        <v>144</v>
      </c>
      <c r="D7535" s="26"/>
      <c r="E7535" s="27"/>
      <c r="F7535" s="27"/>
      <c r="G7535" s="27" t="s">
        <v>11122</v>
      </c>
      <c r="H7535" s="27" t="s">
        <v>35</v>
      </c>
      <c r="I7535" s="27" t="s">
        <v>37</v>
      </c>
      <c r="J7535" s="28" t="s">
        <v>785</v>
      </c>
      <c r="K7535" s="27" t="s">
        <v>37</v>
      </c>
      <c r="L7535" s="27"/>
    </row>
    <row r="7536" customFormat="false" ht="15" hidden="false" customHeight="false" outlineLevel="0" collapsed="false">
      <c r="A7536" s="26" t="s">
        <v>19990</v>
      </c>
      <c r="B7536" s="28" t="s">
        <v>19991</v>
      </c>
      <c r="C7536" s="27" t="s">
        <v>144</v>
      </c>
      <c r="D7536" s="26"/>
      <c r="E7536" s="27"/>
      <c r="F7536" s="27"/>
      <c r="G7536" s="27" t="s">
        <v>11122</v>
      </c>
      <c r="H7536" s="27" t="s">
        <v>35</v>
      </c>
      <c r="I7536" s="27" t="s">
        <v>37</v>
      </c>
      <c r="J7536" s="28" t="s">
        <v>785</v>
      </c>
      <c r="K7536" s="27" t="s">
        <v>37</v>
      </c>
      <c r="L7536" s="27"/>
    </row>
    <row r="7537" customFormat="false" ht="15" hidden="false" customHeight="false" outlineLevel="0" collapsed="false">
      <c r="A7537" s="26" t="s">
        <v>19992</v>
      </c>
      <c r="B7537" s="28" t="s">
        <v>19993</v>
      </c>
      <c r="C7537" s="27" t="s">
        <v>144</v>
      </c>
      <c r="D7537" s="26"/>
      <c r="E7537" s="27"/>
      <c r="F7537" s="27"/>
      <c r="G7537" s="27" t="s">
        <v>11122</v>
      </c>
      <c r="H7537" s="27" t="s">
        <v>35</v>
      </c>
      <c r="I7537" s="27" t="s">
        <v>37</v>
      </c>
      <c r="J7537" s="28" t="s">
        <v>785</v>
      </c>
      <c r="K7537" s="27" t="s">
        <v>37</v>
      </c>
      <c r="L7537" s="27"/>
    </row>
    <row r="7538" customFormat="false" ht="15" hidden="false" customHeight="false" outlineLevel="0" collapsed="false">
      <c r="A7538" s="26" t="s">
        <v>19994</v>
      </c>
      <c r="B7538" s="28" t="s">
        <v>19995</v>
      </c>
      <c r="C7538" s="27" t="s">
        <v>144</v>
      </c>
      <c r="D7538" s="26"/>
      <c r="E7538" s="27"/>
      <c r="F7538" s="27"/>
      <c r="G7538" s="27" t="s">
        <v>11122</v>
      </c>
      <c r="H7538" s="27" t="s">
        <v>35</v>
      </c>
      <c r="I7538" s="27" t="s">
        <v>38</v>
      </c>
      <c r="J7538" s="28" t="s">
        <v>785</v>
      </c>
      <c r="K7538" s="27" t="s">
        <v>37</v>
      </c>
      <c r="L7538" s="27"/>
    </row>
    <row r="7539" customFormat="false" ht="15" hidden="false" customHeight="false" outlineLevel="0" collapsed="false">
      <c r="A7539" s="26" t="s">
        <v>19996</v>
      </c>
      <c r="B7539" s="28" t="s">
        <v>19997</v>
      </c>
      <c r="C7539" s="27" t="s">
        <v>144</v>
      </c>
      <c r="D7539" s="26"/>
      <c r="E7539" s="27"/>
      <c r="F7539" s="27"/>
      <c r="G7539" s="27" t="s">
        <v>11122</v>
      </c>
      <c r="H7539" s="27" t="s">
        <v>35</v>
      </c>
      <c r="I7539" s="27" t="s">
        <v>37</v>
      </c>
      <c r="J7539" s="28" t="s">
        <v>785</v>
      </c>
      <c r="K7539" s="27" t="s">
        <v>37</v>
      </c>
      <c r="L7539" s="27"/>
    </row>
    <row r="7540" customFormat="false" ht="15" hidden="false" customHeight="false" outlineLevel="0" collapsed="false">
      <c r="A7540" s="26" t="s">
        <v>19998</v>
      </c>
      <c r="B7540" s="28" t="s">
        <v>19999</v>
      </c>
      <c r="C7540" s="27" t="s">
        <v>144</v>
      </c>
      <c r="D7540" s="26"/>
      <c r="E7540" s="27"/>
      <c r="F7540" s="27"/>
      <c r="G7540" s="27" t="s">
        <v>11122</v>
      </c>
      <c r="H7540" s="27" t="s">
        <v>35</v>
      </c>
      <c r="I7540" s="27" t="s">
        <v>38</v>
      </c>
      <c r="J7540" s="28" t="s">
        <v>785</v>
      </c>
      <c r="K7540" s="27" t="s">
        <v>37</v>
      </c>
      <c r="L7540" s="27"/>
    </row>
    <row r="7541" customFormat="false" ht="15" hidden="false" customHeight="false" outlineLevel="0" collapsed="false">
      <c r="A7541" s="26" t="s">
        <v>20000</v>
      </c>
      <c r="B7541" s="28" t="s">
        <v>20001</v>
      </c>
      <c r="C7541" s="27" t="s">
        <v>144</v>
      </c>
      <c r="D7541" s="26"/>
      <c r="E7541" s="27"/>
      <c r="F7541" s="27"/>
      <c r="G7541" s="27" t="s">
        <v>11122</v>
      </c>
      <c r="H7541" s="27" t="s">
        <v>35</v>
      </c>
      <c r="I7541" s="27" t="s">
        <v>37</v>
      </c>
      <c r="J7541" s="28" t="s">
        <v>785</v>
      </c>
      <c r="K7541" s="27" t="s">
        <v>37</v>
      </c>
      <c r="L7541" s="27"/>
    </row>
    <row r="7542" customFormat="false" ht="15" hidden="false" customHeight="false" outlineLevel="0" collapsed="false">
      <c r="A7542" s="26" t="s">
        <v>20002</v>
      </c>
      <c r="B7542" s="28" t="s">
        <v>20003</v>
      </c>
      <c r="C7542" s="27" t="s">
        <v>144</v>
      </c>
      <c r="D7542" s="26"/>
      <c r="E7542" s="27"/>
      <c r="F7542" s="27"/>
      <c r="G7542" s="27" t="s">
        <v>11122</v>
      </c>
      <c r="H7542" s="27" t="s">
        <v>35</v>
      </c>
      <c r="I7542" s="27" t="s">
        <v>43</v>
      </c>
      <c r="J7542" s="28" t="s">
        <v>785</v>
      </c>
      <c r="K7542" s="27" t="s">
        <v>37</v>
      </c>
      <c r="L7542" s="27"/>
    </row>
    <row r="7543" customFormat="false" ht="15" hidden="false" customHeight="false" outlineLevel="0" collapsed="false">
      <c r="A7543" s="26" t="s">
        <v>20004</v>
      </c>
      <c r="B7543" s="28" t="s">
        <v>20005</v>
      </c>
      <c r="C7543" s="27" t="s">
        <v>144</v>
      </c>
      <c r="D7543" s="26"/>
      <c r="E7543" s="27"/>
      <c r="F7543" s="27"/>
      <c r="G7543" s="27" t="s">
        <v>11122</v>
      </c>
      <c r="H7543" s="27" t="s">
        <v>35</v>
      </c>
      <c r="I7543" s="27" t="s">
        <v>37</v>
      </c>
      <c r="J7543" s="28" t="s">
        <v>785</v>
      </c>
      <c r="K7543" s="27" t="s">
        <v>37</v>
      </c>
      <c r="L7543" s="27"/>
    </row>
    <row r="7544" customFormat="false" ht="15" hidden="false" customHeight="false" outlineLevel="0" collapsed="false">
      <c r="A7544" s="26" t="s">
        <v>20006</v>
      </c>
      <c r="B7544" s="28" t="s">
        <v>20007</v>
      </c>
      <c r="C7544" s="27" t="s">
        <v>144</v>
      </c>
      <c r="D7544" s="26"/>
      <c r="E7544" s="27"/>
      <c r="F7544" s="27"/>
      <c r="G7544" s="27" t="s">
        <v>11122</v>
      </c>
      <c r="H7544" s="27" t="s">
        <v>35</v>
      </c>
      <c r="I7544" s="27" t="s">
        <v>37</v>
      </c>
      <c r="J7544" s="28" t="s">
        <v>785</v>
      </c>
      <c r="K7544" s="27" t="s">
        <v>37</v>
      </c>
      <c r="L7544" s="27"/>
    </row>
    <row r="7545" customFormat="false" ht="15" hidden="false" customHeight="false" outlineLevel="0" collapsed="false">
      <c r="A7545" s="26" t="s">
        <v>20008</v>
      </c>
      <c r="B7545" s="28" t="s">
        <v>20009</v>
      </c>
      <c r="C7545" s="27" t="s">
        <v>144</v>
      </c>
      <c r="D7545" s="26"/>
      <c r="E7545" s="27"/>
      <c r="F7545" s="27"/>
      <c r="G7545" s="27" t="s">
        <v>11122</v>
      </c>
      <c r="H7545" s="27" t="s">
        <v>35</v>
      </c>
      <c r="I7545" s="27" t="s">
        <v>37</v>
      </c>
      <c r="J7545" s="28" t="s">
        <v>785</v>
      </c>
      <c r="K7545" s="27" t="s">
        <v>37</v>
      </c>
      <c r="L7545" s="27"/>
    </row>
    <row r="7546" customFormat="false" ht="15" hidden="false" customHeight="false" outlineLevel="0" collapsed="false">
      <c r="A7546" s="26" t="s">
        <v>20010</v>
      </c>
      <c r="B7546" s="27" t="s">
        <v>20011</v>
      </c>
      <c r="C7546" s="27" t="s">
        <v>144</v>
      </c>
      <c r="D7546" s="26"/>
      <c r="E7546" s="27"/>
      <c r="F7546" s="27"/>
      <c r="G7546" s="27" t="s">
        <v>11122</v>
      </c>
      <c r="H7546" s="27" t="s">
        <v>35</v>
      </c>
      <c r="I7546" s="27" t="s">
        <v>38</v>
      </c>
      <c r="J7546" s="28" t="s">
        <v>785</v>
      </c>
      <c r="K7546" s="27" t="s">
        <v>37</v>
      </c>
      <c r="L7546" s="27"/>
    </row>
    <row r="7547" customFormat="false" ht="15" hidden="false" customHeight="false" outlineLevel="0" collapsed="false">
      <c r="A7547" s="26" t="s">
        <v>20012</v>
      </c>
      <c r="B7547" s="27" t="s">
        <v>20013</v>
      </c>
      <c r="C7547" s="27" t="s">
        <v>144</v>
      </c>
      <c r="D7547" s="26"/>
      <c r="E7547" s="27"/>
      <c r="F7547" s="27"/>
      <c r="G7547" s="27" t="s">
        <v>11122</v>
      </c>
      <c r="H7547" s="27" t="s">
        <v>35</v>
      </c>
      <c r="I7547" s="27" t="s">
        <v>38</v>
      </c>
      <c r="J7547" s="28" t="s">
        <v>785</v>
      </c>
      <c r="K7547" s="27" t="s">
        <v>37</v>
      </c>
      <c r="L7547" s="27"/>
    </row>
    <row r="7548" customFormat="false" ht="15" hidden="false" customHeight="false" outlineLevel="0" collapsed="false">
      <c r="A7548" s="26" t="s">
        <v>20014</v>
      </c>
      <c r="B7548" s="27" t="s">
        <v>20015</v>
      </c>
      <c r="C7548" s="27" t="s">
        <v>144</v>
      </c>
      <c r="D7548" s="26"/>
      <c r="E7548" s="27"/>
      <c r="F7548" s="27"/>
      <c r="G7548" s="27" t="s">
        <v>11122</v>
      </c>
      <c r="H7548" s="27" t="s">
        <v>35</v>
      </c>
      <c r="I7548" s="27" t="s">
        <v>37</v>
      </c>
      <c r="J7548" s="28" t="s">
        <v>785</v>
      </c>
      <c r="K7548" s="27" t="s">
        <v>37</v>
      </c>
      <c r="L7548" s="27"/>
    </row>
    <row r="7549" customFormat="false" ht="15" hidden="false" customHeight="false" outlineLevel="0" collapsed="false">
      <c r="A7549" s="26" t="s">
        <v>20016</v>
      </c>
      <c r="B7549" s="27" t="s">
        <v>20017</v>
      </c>
      <c r="C7549" s="27" t="s">
        <v>144</v>
      </c>
      <c r="D7549" s="26"/>
      <c r="E7549" s="27"/>
      <c r="F7549" s="27"/>
      <c r="G7549" s="27" t="s">
        <v>11122</v>
      </c>
      <c r="H7549" s="27" t="s">
        <v>35</v>
      </c>
      <c r="I7549" s="27" t="s">
        <v>37</v>
      </c>
      <c r="J7549" s="28" t="s">
        <v>785</v>
      </c>
      <c r="K7549" s="27" t="s">
        <v>37</v>
      </c>
      <c r="L7549" s="27"/>
    </row>
    <row r="7550" customFormat="false" ht="15" hidden="false" customHeight="false" outlineLevel="0" collapsed="false">
      <c r="A7550" s="26" t="s">
        <v>20018</v>
      </c>
      <c r="B7550" s="27" t="s">
        <v>20019</v>
      </c>
      <c r="C7550" s="27" t="s">
        <v>144</v>
      </c>
      <c r="D7550" s="26"/>
      <c r="E7550" s="27"/>
      <c r="F7550" s="27"/>
      <c r="G7550" s="27" t="s">
        <v>11122</v>
      </c>
      <c r="H7550" s="27" t="s">
        <v>35</v>
      </c>
      <c r="I7550" s="27" t="s">
        <v>37</v>
      </c>
      <c r="J7550" s="28" t="s">
        <v>785</v>
      </c>
      <c r="K7550" s="27" t="s">
        <v>37</v>
      </c>
      <c r="L7550" s="27"/>
    </row>
    <row r="7551" customFormat="false" ht="15" hidden="false" customHeight="false" outlineLevel="0" collapsed="false">
      <c r="A7551" s="26" t="s">
        <v>20020</v>
      </c>
      <c r="B7551" s="27" t="s">
        <v>20021</v>
      </c>
      <c r="C7551" s="27" t="s">
        <v>131</v>
      </c>
      <c r="D7551" s="26"/>
      <c r="E7551" s="27"/>
      <c r="F7551" s="27"/>
      <c r="G7551" s="27" t="s">
        <v>11122</v>
      </c>
      <c r="H7551" s="27" t="s">
        <v>35</v>
      </c>
      <c r="I7551" s="27" t="s">
        <v>41</v>
      </c>
      <c r="J7551" s="28" t="s">
        <v>785</v>
      </c>
      <c r="K7551" s="27" t="s">
        <v>37</v>
      </c>
      <c r="L7551" s="27"/>
    </row>
    <row r="7552" customFormat="false" ht="15" hidden="false" customHeight="false" outlineLevel="0" collapsed="false">
      <c r="A7552" s="26" t="s">
        <v>20022</v>
      </c>
      <c r="B7552" s="27" t="s">
        <v>20023</v>
      </c>
      <c r="C7552" s="27" t="s">
        <v>131</v>
      </c>
      <c r="D7552" s="26"/>
      <c r="E7552" s="27"/>
      <c r="F7552" s="27"/>
      <c r="G7552" s="27" t="s">
        <v>11122</v>
      </c>
      <c r="H7552" s="27" t="s">
        <v>35</v>
      </c>
      <c r="I7552" s="27" t="s">
        <v>49</v>
      </c>
      <c r="J7552" s="28" t="s">
        <v>785</v>
      </c>
      <c r="K7552" s="27" t="s">
        <v>37</v>
      </c>
      <c r="L7552" s="27"/>
    </row>
    <row r="7553" customFormat="false" ht="15" hidden="false" customHeight="false" outlineLevel="0" collapsed="false">
      <c r="A7553" s="26" t="s">
        <v>20024</v>
      </c>
      <c r="B7553" s="27" t="s">
        <v>20025</v>
      </c>
      <c r="C7553" s="27" t="s">
        <v>131</v>
      </c>
      <c r="D7553" s="26"/>
      <c r="E7553" s="27"/>
      <c r="F7553" s="27"/>
      <c r="G7553" s="27" t="s">
        <v>11122</v>
      </c>
      <c r="H7553" s="27" t="s">
        <v>35</v>
      </c>
      <c r="I7553" s="27" t="s">
        <v>37</v>
      </c>
      <c r="J7553" s="28" t="s">
        <v>785</v>
      </c>
      <c r="K7553" s="27" t="s">
        <v>37</v>
      </c>
      <c r="L7553" s="27"/>
    </row>
    <row r="7554" customFormat="false" ht="15" hidden="false" customHeight="false" outlineLevel="0" collapsed="false">
      <c r="A7554" s="26" t="s">
        <v>20026</v>
      </c>
      <c r="B7554" s="28" t="s">
        <v>20027</v>
      </c>
      <c r="C7554" s="27" t="s">
        <v>144</v>
      </c>
      <c r="D7554" s="26"/>
      <c r="E7554" s="27"/>
      <c r="F7554" s="27"/>
      <c r="G7554" s="27" t="s">
        <v>11122</v>
      </c>
      <c r="H7554" s="27" t="s">
        <v>35</v>
      </c>
      <c r="I7554" s="27" t="s">
        <v>43</v>
      </c>
      <c r="J7554" s="28" t="s">
        <v>785</v>
      </c>
      <c r="K7554" s="27" t="s">
        <v>37</v>
      </c>
      <c r="L7554" s="27"/>
    </row>
    <row r="7555" customFormat="false" ht="15" hidden="false" customHeight="false" outlineLevel="0" collapsed="false">
      <c r="A7555" s="26" t="s">
        <v>20028</v>
      </c>
      <c r="B7555" s="28" t="s">
        <v>20029</v>
      </c>
      <c r="C7555" s="27" t="s">
        <v>144</v>
      </c>
      <c r="D7555" s="26"/>
      <c r="E7555" s="27"/>
      <c r="F7555" s="27"/>
      <c r="G7555" s="27" t="s">
        <v>11122</v>
      </c>
      <c r="H7555" s="27" t="s">
        <v>35</v>
      </c>
      <c r="I7555" s="27" t="s">
        <v>40</v>
      </c>
      <c r="J7555" s="28" t="s">
        <v>785</v>
      </c>
      <c r="K7555" s="27" t="s">
        <v>37</v>
      </c>
      <c r="L7555" s="27"/>
    </row>
    <row r="7556" customFormat="false" ht="15" hidden="false" customHeight="false" outlineLevel="0" collapsed="false">
      <c r="A7556" s="26" t="s">
        <v>20030</v>
      </c>
      <c r="B7556" s="28" t="s">
        <v>20031</v>
      </c>
      <c r="C7556" s="27" t="s">
        <v>144</v>
      </c>
      <c r="D7556" s="26"/>
      <c r="E7556" s="27"/>
      <c r="F7556" s="27"/>
      <c r="G7556" s="27" t="s">
        <v>11122</v>
      </c>
      <c r="H7556" s="27" t="s">
        <v>35</v>
      </c>
      <c r="I7556" s="27" t="s">
        <v>38</v>
      </c>
      <c r="J7556" s="28" t="s">
        <v>785</v>
      </c>
      <c r="K7556" s="27" t="s">
        <v>37</v>
      </c>
      <c r="L7556" s="27"/>
    </row>
    <row r="7557" customFormat="false" ht="15" hidden="false" customHeight="false" outlineLevel="0" collapsed="false">
      <c r="A7557" s="26" t="s">
        <v>20032</v>
      </c>
      <c r="B7557" s="27" t="s">
        <v>20033</v>
      </c>
      <c r="C7557" s="27" t="s">
        <v>144</v>
      </c>
      <c r="D7557" s="26"/>
      <c r="E7557" s="27"/>
      <c r="F7557" s="27"/>
      <c r="G7557" s="27" t="s">
        <v>11122</v>
      </c>
      <c r="H7557" s="27" t="s">
        <v>35</v>
      </c>
      <c r="I7557" s="27" t="s">
        <v>37</v>
      </c>
      <c r="J7557" s="28" t="s">
        <v>785</v>
      </c>
      <c r="K7557" s="27" t="s">
        <v>37</v>
      </c>
      <c r="L7557" s="27"/>
    </row>
    <row r="7558" customFormat="false" ht="15" hidden="false" customHeight="false" outlineLevel="0" collapsed="false">
      <c r="A7558" s="26" t="s">
        <v>20034</v>
      </c>
      <c r="B7558" s="27" t="s">
        <v>20035</v>
      </c>
      <c r="C7558" s="27" t="s">
        <v>144</v>
      </c>
      <c r="D7558" s="26"/>
      <c r="E7558" s="27"/>
      <c r="F7558" s="27"/>
      <c r="G7558" s="27" t="s">
        <v>11122</v>
      </c>
      <c r="H7558" s="27" t="s">
        <v>35</v>
      </c>
      <c r="I7558" s="27" t="s">
        <v>37</v>
      </c>
      <c r="J7558" s="28" t="s">
        <v>785</v>
      </c>
      <c r="K7558" s="27" t="s">
        <v>37</v>
      </c>
      <c r="L7558" s="27"/>
    </row>
    <row r="7559" customFormat="false" ht="15" hidden="false" customHeight="false" outlineLevel="0" collapsed="false">
      <c r="A7559" s="26" t="s">
        <v>20036</v>
      </c>
      <c r="B7559" s="27" t="s">
        <v>20037</v>
      </c>
      <c r="C7559" s="27" t="s">
        <v>144</v>
      </c>
      <c r="D7559" s="26"/>
      <c r="E7559" s="27"/>
      <c r="F7559" s="27"/>
      <c r="G7559" s="27" t="s">
        <v>11122</v>
      </c>
      <c r="H7559" s="27" t="s">
        <v>35</v>
      </c>
      <c r="I7559" s="27" t="s">
        <v>37</v>
      </c>
      <c r="J7559" s="28" t="s">
        <v>785</v>
      </c>
      <c r="K7559" s="27" t="s">
        <v>37</v>
      </c>
      <c r="L7559" s="27"/>
    </row>
    <row r="7560" customFormat="false" ht="15" hidden="false" customHeight="false" outlineLevel="0" collapsed="false">
      <c r="A7560" s="26" t="s">
        <v>20038</v>
      </c>
      <c r="B7560" s="27" t="s">
        <v>20039</v>
      </c>
      <c r="C7560" s="27" t="s">
        <v>144</v>
      </c>
      <c r="D7560" s="26"/>
      <c r="E7560" s="27"/>
      <c r="F7560" s="27"/>
      <c r="G7560" s="27" t="s">
        <v>11122</v>
      </c>
      <c r="H7560" s="27" t="s">
        <v>35</v>
      </c>
      <c r="I7560" s="27" t="s">
        <v>37</v>
      </c>
      <c r="J7560" s="28" t="s">
        <v>785</v>
      </c>
      <c r="K7560" s="27" t="s">
        <v>37</v>
      </c>
      <c r="L7560" s="27"/>
    </row>
    <row r="7561" customFormat="false" ht="15" hidden="false" customHeight="false" outlineLevel="0" collapsed="false">
      <c r="A7561" s="26" t="s">
        <v>20040</v>
      </c>
      <c r="B7561" s="27" t="s">
        <v>20041</v>
      </c>
      <c r="C7561" s="27" t="s">
        <v>144</v>
      </c>
      <c r="D7561" s="26"/>
      <c r="E7561" s="27"/>
      <c r="F7561" s="27"/>
      <c r="G7561" s="27" t="s">
        <v>11122</v>
      </c>
      <c r="H7561" s="27" t="s">
        <v>35</v>
      </c>
      <c r="I7561" s="27" t="s">
        <v>37</v>
      </c>
      <c r="J7561" s="28" t="s">
        <v>785</v>
      </c>
      <c r="K7561" s="27" t="s">
        <v>37</v>
      </c>
      <c r="L7561" s="27"/>
    </row>
    <row r="7562" customFormat="false" ht="15" hidden="false" customHeight="false" outlineLevel="0" collapsed="false">
      <c r="A7562" s="26" t="s">
        <v>20042</v>
      </c>
      <c r="B7562" s="27" t="s">
        <v>20043</v>
      </c>
      <c r="C7562" s="27" t="s">
        <v>144</v>
      </c>
      <c r="D7562" s="26"/>
      <c r="E7562" s="27"/>
      <c r="F7562" s="27"/>
      <c r="G7562" s="27" t="s">
        <v>11122</v>
      </c>
      <c r="H7562" s="27" t="s">
        <v>35</v>
      </c>
      <c r="I7562" s="27" t="s">
        <v>41</v>
      </c>
      <c r="J7562" s="28" t="s">
        <v>785</v>
      </c>
      <c r="K7562" s="27" t="s">
        <v>37</v>
      </c>
      <c r="L7562" s="27"/>
    </row>
    <row r="7563" customFormat="false" ht="15" hidden="false" customHeight="false" outlineLevel="0" collapsed="false">
      <c r="A7563" s="26" t="s">
        <v>20044</v>
      </c>
      <c r="B7563" s="27" t="s">
        <v>20045</v>
      </c>
      <c r="C7563" s="27" t="s">
        <v>144</v>
      </c>
      <c r="D7563" s="26"/>
      <c r="E7563" s="27"/>
      <c r="F7563" s="27"/>
      <c r="G7563" s="27" t="s">
        <v>11122</v>
      </c>
      <c r="H7563" s="27" t="s">
        <v>35</v>
      </c>
      <c r="I7563" s="27" t="s">
        <v>41</v>
      </c>
      <c r="J7563" s="28" t="s">
        <v>785</v>
      </c>
      <c r="K7563" s="27" t="s">
        <v>37</v>
      </c>
      <c r="L7563" s="27"/>
    </row>
    <row r="7564" customFormat="false" ht="15" hidden="false" customHeight="false" outlineLevel="0" collapsed="false">
      <c r="A7564" s="26" t="s">
        <v>20046</v>
      </c>
      <c r="B7564" s="27" t="s">
        <v>20047</v>
      </c>
      <c r="C7564" s="27" t="s">
        <v>144</v>
      </c>
      <c r="D7564" s="26"/>
      <c r="E7564" s="27"/>
      <c r="F7564" s="27"/>
      <c r="G7564" s="27" t="s">
        <v>11122</v>
      </c>
      <c r="H7564" s="27" t="s">
        <v>35</v>
      </c>
      <c r="I7564" s="27" t="s">
        <v>42</v>
      </c>
      <c r="J7564" s="28" t="s">
        <v>785</v>
      </c>
      <c r="K7564" s="27" t="s">
        <v>37</v>
      </c>
      <c r="L7564" s="27"/>
    </row>
    <row r="7565" customFormat="false" ht="15" hidden="false" customHeight="false" outlineLevel="0" collapsed="false">
      <c r="A7565" s="26" t="s">
        <v>20048</v>
      </c>
      <c r="B7565" s="27" t="s">
        <v>20049</v>
      </c>
      <c r="C7565" s="27" t="s">
        <v>144</v>
      </c>
      <c r="D7565" s="26"/>
      <c r="E7565" s="27"/>
      <c r="F7565" s="27"/>
      <c r="G7565" s="27" t="s">
        <v>11122</v>
      </c>
      <c r="H7565" s="27" t="s">
        <v>35</v>
      </c>
      <c r="I7565" s="27" t="s">
        <v>41</v>
      </c>
      <c r="J7565" s="28" t="s">
        <v>785</v>
      </c>
      <c r="K7565" s="27" t="s">
        <v>37</v>
      </c>
      <c r="L7565" s="27"/>
    </row>
    <row r="7566" customFormat="false" ht="15" hidden="false" customHeight="false" outlineLevel="0" collapsed="false">
      <c r="A7566" s="26" t="s">
        <v>20050</v>
      </c>
      <c r="B7566" s="27" t="s">
        <v>20051</v>
      </c>
      <c r="C7566" s="27" t="s">
        <v>144</v>
      </c>
      <c r="D7566" s="26"/>
      <c r="E7566" s="27"/>
      <c r="F7566" s="27"/>
      <c r="G7566" s="27" t="s">
        <v>11122</v>
      </c>
      <c r="H7566" s="27" t="s">
        <v>35</v>
      </c>
      <c r="I7566" s="27" t="s">
        <v>37</v>
      </c>
      <c r="J7566" s="28" t="s">
        <v>785</v>
      </c>
      <c r="K7566" s="27" t="s">
        <v>37</v>
      </c>
      <c r="L7566" s="27"/>
    </row>
    <row r="7567" customFormat="false" ht="15" hidden="false" customHeight="false" outlineLevel="0" collapsed="false">
      <c r="A7567" s="26" t="s">
        <v>20052</v>
      </c>
      <c r="B7567" s="27" t="s">
        <v>20053</v>
      </c>
      <c r="C7567" s="27" t="s">
        <v>144</v>
      </c>
      <c r="D7567" s="26"/>
      <c r="E7567" s="27"/>
      <c r="F7567" s="27"/>
      <c r="G7567" s="27" t="s">
        <v>11122</v>
      </c>
      <c r="H7567" s="27" t="s">
        <v>35</v>
      </c>
      <c r="I7567" s="27" t="s">
        <v>37</v>
      </c>
      <c r="J7567" s="28" t="s">
        <v>785</v>
      </c>
      <c r="K7567" s="27" t="s">
        <v>37</v>
      </c>
      <c r="L7567" s="27"/>
    </row>
    <row r="7568" customFormat="false" ht="15" hidden="false" customHeight="false" outlineLevel="0" collapsed="false">
      <c r="A7568" s="26" t="s">
        <v>20054</v>
      </c>
      <c r="B7568" s="27" t="s">
        <v>20055</v>
      </c>
      <c r="C7568" s="27" t="s">
        <v>144</v>
      </c>
      <c r="D7568" s="26"/>
      <c r="E7568" s="27"/>
      <c r="F7568" s="27"/>
      <c r="G7568" s="27" t="s">
        <v>11122</v>
      </c>
      <c r="H7568" s="27" t="s">
        <v>35</v>
      </c>
      <c r="I7568" s="27" t="s">
        <v>37</v>
      </c>
      <c r="J7568" s="28" t="s">
        <v>785</v>
      </c>
      <c r="K7568" s="27" t="s">
        <v>37</v>
      </c>
      <c r="L7568" s="27"/>
    </row>
    <row r="7569" customFormat="false" ht="15" hidden="false" customHeight="false" outlineLevel="0" collapsed="false">
      <c r="A7569" s="26" t="s">
        <v>20056</v>
      </c>
      <c r="B7569" s="27" t="s">
        <v>20057</v>
      </c>
      <c r="C7569" s="27" t="s">
        <v>144</v>
      </c>
      <c r="D7569" s="26"/>
      <c r="E7569" s="27"/>
      <c r="F7569" s="27"/>
      <c r="G7569" s="27" t="s">
        <v>11122</v>
      </c>
      <c r="H7569" s="27" t="s">
        <v>35</v>
      </c>
      <c r="I7569" s="27" t="s">
        <v>43</v>
      </c>
      <c r="J7569" s="28" t="s">
        <v>785</v>
      </c>
      <c r="K7569" s="27" t="s">
        <v>37</v>
      </c>
      <c r="L7569" s="27"/>
    </row>
    <row r="7570" customFormat="false" ht="15" hidden="false" customHeight="false" outlineLevel="0" collapsed="false">
      <c r="A7570" s="26" t="s">
        <v>20058</v>
      </c>
      <c r="B7570" s="27" t="s">
        <v>20059</v>
      </c>
      <c r="C7570" s="27" t="s">
        <v>144</v>
      </c>
      <c r="D7570" s="26"/>
      <c r="E7570" s="27"/>
      <c r="F7570" s="27"/>
      <c r="G7570" s="27" t="s">
        <v>11122</v>
      </c>
      <c r="H7570" s="27" t="s">
        <v>35</v>
      </c>
      <c r="I7570" s="27" t="s">
        <v>37</v>
      </c>
      <c r="J7570" s="28" t="s">
        <v>785</v>
      </c>
      <c r="K7570" s="27" t="s">
        <v>37</v>
      </c>
      <c r="L7570" s="27"/>
    </row>
    <row r="7571" customFormat="false" ht="15" hidden="false" customHeight="false" outlineLevel="0" collapsed="false">
      <c r="A7571" s="26" t="s">
        <v>20060</v>
      </c>
      <c r="B7571" s="27" t="s">
        <v>20061</v>
      </c>
      <c r="C7571" s="27" t="s">
        <v>144</v>
      </c>
      <c r="D7571" s="26"/>
      <c r="E7571" s="27"/>
      <c r="F7571" s="27"/>
      <c r="G7571" s="27" t="s">
        <v>11122</v>
      </c>
      <c r="H7571" s="27" t="s">
        <v>35</v>
      </c>
      <c r="I7571" s="27" t="s">
        <v>37</v>
      </c>
      <c r="J7571" s="28" t="s">
        <v>785</v>
      </c>
      <c r="K7571" s="27" t="s">
        <v>37</v>
      </c>
      <c r="L7571" s="27"/>
    </row>
    <row r="7572" customFormat="false" ht="15" hidden="false" customHeight="false" outlineLevel="0" collapsed="false">
      <c r="A7572" s="26" t="s">
        <v>20062</v>
      </c>
      <c r="B7572" s="27" t="s">
        <v>20063</v>
      </c>
      <c r="C7572" s="27" t="s">
        <v>144</v>
      </c>
      <c r="D7572" s="26"/>
      <c r="E7572" s="27"/>
      <c r="F7572" s="27"/>
      <c r="G7572" s="27" t="s">
        <v>11122</v>
      </c>
      <c r="H7572" s="27" t="s">
        <v>35</v>
      </c>
      <c r="I7572" s="27" t="s">
        <v>41</v>
      </c>
      <c r="J7572" s="28" t="s">
        <v>785</v>
      </c>
      <c r="K7572" s="27" t="s">
        <v>37</v>
      </c>
      <c r="L7572" s="27"/>
    </row>
    <row r="7573" customFormat="false" ht="15" hidden="false" customHeight="false" outlineLevel="0" collapsed="false">
      <c r="A7573" s="26" t="s">
        <v>20064</v>
      </c>
      <c r="B7573" s="27" t="s">
        <v>20065</v>
      </c>
      <c r="C7573" s="27" t="s">
        <v>144</v>
      </c>
      <c r="D7573" s="26"/>
      <c r="E7573" s="27"/>
      <c r="F7573" s="27"/>
      <c r="G7573" s="27" t="s">
        <v>11122</v>
      </c>
      <c r="H7573" s="27" t="s">
        <v>35</v>
      </c>
      <c r="I7573" s="27" t="s">
        <v>39</v>
      </c>
      <c r="J7573" s="28" t="s">
        <v>785</v>
      </c>
      <c r="K7573" s="27" t="s">
        <v>37</v>
      </c>
      <c r="L7573" s="27"/>
    </row>
    <row r="7574" customFormat="false" ht="15" hidden="false" customHeight="false" outlineLevel="0" collapsed="false">
      <c r="A7574" s="26" t="s">
        <v>20066</v>
      </c>
      <c r="B7574" s="27" t="s">
        <v>20067</v>
      </c>
      <c r="C7574" s="27" t="s">
        <v>144</v>
      </c>
      <c r="D7574" s="26"/>
      <c r="E7574" s="27"/>
      <c r="F7574" s="27"/>
      <c r="G7574" s="27" t="s">
        <v>11122</v>
      </c>
      <c r="H7574" s="27" t="s">
        <v>35</v>
      </c>
      <c r="I7574" s="27" t="s">
        <v>37</v>
      </c>
      <c r="J7574" s="28" t="s">
        <v>785</v>
      </c>
      <c r="K7574" s="27" t="s">
        <v>37</v>
      </c>
      <c r="L7574" s="27"/>
    </row>
    <row r="7575" customFormat="false" ht="15" hidden="false" customHeight="false" outlineLevel="0" collapsed="false">
      <c r="A7575" s="26" t="s">
        <v>20068</v>
      </c>
      <c r="B7575" s="27" t="s">
        <v>20069</v>
      </c>
      <c r="C7575" s="27" t="s">
        <v>144</v>
      </c>
      <c r="D7575" s="26"/>
      <c r="E7575" s="27"/>
      <c r="F7575" s="27"/>
      <c r="G7575" s="27" t="s">
        <v>11122</v>
      </c>
      <c r="H7575" s="27" t="s">
        <v>35</v>
      </c>
      <c r="I7575" s="27" t="s">
        <v>40</v>
      </c>
      <c r="J7575" s="28" t="s">
        <v>785</v>
      </c>
      <c r="K7575" s="27" t="s">
        <v>37</v>
      </c>
      <c r="L7575" s="27"/>
    </row>
    <row r="7576" customFormat="false" ht="15" hidden="false" customHeight="false" outlineLevel="0" collapsed="false">
      <c r="A7576" s="26" t="s">
        <v>20070</v>
      </c>
      <c r="B7576" s="27" t="s">
        <v>20071</v>
      </c>
      <c r="C7576" s="27" t="s">
        <v>144</v>
      </c>
      <c r="D7576" s="26"/>
      <c r="E7576" s="27"/>
      <c r="F7576" s="27"/>
      <c r="G7576" s="27" t="s">
        <v>11122</v>
      </c>
      <c r="H7576" s="27" t="s">
        <v>35</v>
      </c>
      <c r="I7576" s="27" t="s">
        <v>37</v>
      </c>
      <c r="J7576" s="28" t="s">
        <v>785</v>
      </c>
      <c r="K7576" s="27" t="s">
        <v>37</v>
      </c>
      <c r="L7576" s="27"/>
    </row>
    <row r="7577" customFormat="false" ht="15" hidden="false" customHeight="false" outlineLevel="0" collapsed="false">
      <c r="A7577" s="26" t="s">
        <v>20072</v>
      </c>
      <c r="B7577" s="27" t="s">
        <v>20073</v>
      </c>
      <c r="C7577" s="27" t="s">
        <v>144</v>
      </c>
      <c r="D7577" s="26"/>
      <c r="E7577" s="27"/>
      <c r="F7577" s="27"/>
      <c r="G7577" s="27" t="s">
        <v>11122</v>
      </c>
      <c r="H7577" s="27" t="s">
        <v>35</v>
      </c>
      <c r="I7577" s="27" t="s">
        <v>43</v>
      </c>
      <c r="J7577" s="28" t="s">
        <v>785</v>
      </c>
      <c r="K7577" s="27" t="s">
        <v>37</v>
      </c>
      <c r="L7577" s="27"/>
    </row>
    <row r="7578" customFormat="false" ht="15" hidden="false" customHeight="false" outlineLevel="0" collapsed="false">
      <c r="A7578" s="26" t="s">
        <v>20074</v>
      </c>
      <c r="B7578" s="27" t="s">
        <v>20075</v>
      </c>
      <c r="C7578" s="27" t="s">
        <v>144</v>
      </c>
      <c r="D7578" s="26"/>
      <c r="E7578" s="27"/>
      <c r="F7578" s="27"/>
      <c r="G7578" s="27" t="s">
        <v>11122</v>
      </c>
      <c r="H7578" s="27" t="s">
        <v>35</v>
      </c>
      <c r="I7578" s="27" t="s">
        <v>41</v>
      </c>
      <c r="J7578" s="28" t="s">
        <v>785</v>
      </c>
      <c r="K7578" s="27" t="s">
        <v>37</v>
      </c>
      <c r="L7578" s="27"/>
    </row>
    <row r="7579" customFormat="false" ht="15" hidden="false" customHeight="false" outlineLevel="0" collapsed="false">
      <c r="A7579" s="26" t="s">
        <v>20076</v>
      </c>
      <c r="B7579" s="27" t="s">
        <v>20077</v>
      </c>
      <c r="C7579" s="27" t="s">
        <v>144</v>
      </c>
      <c r="D7579" s="26"/>
      <c r="E7579" s="27"/>
      <c r="F7579" s="27"/>
      <c r="G7579" s="27" t="s">
        <v>11122</v>
      </c>
      <c r="H7579" s="27" t="s">
        <v>35</v>
      </c>
      <c r="I7579" s="27" t="s">
        <v>37</v>
      </c>
      <c r="J7579" s="28" t="s">
        <v>785</v>
      </c>
      <c r="K7579" s="27" t="s">
        <v>37</v>
      </c>
      <c r="L7579" s="27"/>
    </row>
    <row r="7580" customFormat="false" ht="15" hidden="false" customHeight="false" outlineLevel="0" collapsed="false">
      <c r="A7580" s="26" t="s">
        <v>20078</v>
      </c>
      <c r="B7580" s="27" t="s">
        <v>20079</v>
      </c>
      <c r="C7580" s="27" t="s">
        <v>144</v>
      </c>
      <c r="D7580" s="26"/>
      <c r="E7580" s="27"/>
      <c r="F7580" s="27"/>
      <c r="G7580" s="27" t="s">
        <v>11122</v>
      </c>
      <c r="H7580" s="27" t="s">
        <v>35</v>
      </c>
      <c r="I7580" s="27" t="s">
        <v>47</v>
      </c>
      <c r="J7580" s="28" t="s">
        <v>785</v>
      </c>
      <c r="K7580" s="27" t="s">
        <v>37</v>
      </c>
      <c r="L7580" s="27"/>
    </row>
    <row r="7581" customFormat="false" ht="15" hidden="false" customHeight="false" outlineLevel="0" collapsed="false">
      <c r="A7581" s="26" t="s">
        <v>20080</v>
      </c>
      <c r="B7581" s="27" t="s">
        <v>20081</v>
      </c>
      <c r="C7581" s="27" t="s">
        <v>144</v>
      </c>
      <c r="D7581" s="26"/>
      <c r="E7581" s="27"/>
      <c r="F7581" s="27"/>
      <c r="G7581" s="27" t="s">
        <v>11122</v>
      </c>
      <c r="H7581" s="27" t="s">
        <v>35</v>
      </c>
      <c r="I7581" s="27" t="s">
        <v>12161</v>
      </c>
      <c r="J7581" s="28" t="s">
        <v>785</v>
      </c>
      <c r="K7581" s="27" t="s">
        <v>37</v>
      </c>
      <c r="L7581" s="27"/>
    </row>
    <row r="7582" customFormat="false" ht="15" hidden="false" customHeight="false" outlineLevel="0" collapsed="false">
      <c r="A7582" s="26" t="s">
        <v>20082</v>
      </c>
      <c r="B7582" s="27" t="s">
        <v>20083</v>
      </c>
      <c r="C7582" s="27" t="s">
        <v>144</v>
      </c>
      <c r="D7582" s="26"/>
      <c r="E7582" s="27"/>
      <c r="F7582" s="27"/>
      <c r="G7582" s="27" t="s">
        <v>11122</v>
      </c>
      <c r="H7582" s="27" t="s">
        <v>35</v>
      </c>
      <c r="I7582" s="27" t="s">
        <v>41</v>
      </c>
      <c r="J7582" s="28" t="s">
        <v>785</v>
      </c>
      <c r="K7582" s="27" t="s">
        <v>37</v>
      </c>
      <c r="L7582" s="27"/>
    </row>
    <row r="7583" customFormat="false" ht="15" hidden="false" customHeight="false" outlineLevel="0" collapsed="false">
      <c r="A7583" s="26" t="s">
        <v>20084</v>
      </c>
      <c r="B7583" s="27" t="s">
        <v>20085</v>
      </c>
      <c r="C7583" s="27" t="s">
        <v>144</v>
      </c>
      <c r="D7583" s="26"/>
      <c r="E7583" s="27"/>
      <c r="F7583" s="27"/>
      <c r="G7583" s="27" t="s">
        <v>11122</v>
      </c>
      <c r="H7583" s="27" t="s">
        <v>35</v>
      </c>
      <c r="I7583" s="27" t="s">
        <v>37</v>
      </c>
      <c r="J7583" s="28" t="s">
        <v>785</v>
      </c>
      <c r="K7583" s="27" t="s">
        <v>37</v>
      </c>
      <c r="L7583" s="27"/>
    </row>
    <row r="7584" customFormat="false" ht="15" hidden="false" customHeight="false" outlineLevel="0" collapsed="false">
      <c r="A7584" s="26" t="s">
        <v>20086</v>
      </c>
      <c r="B7584" s="27" t="s">
        <v>20087</v>
      </c>
      <c r="C7584" s="27" t="s">
        <v>144</v>
      </c>
      <c r="D7584" s="26"/>
      <c r="E7584" s="27"/>
      <c r="F7584" s="27"/>
      <c r="G7584" s="27" t="s">
        <v>11122</v>
      </c>
      <c r="H7584" s="27" t="s">
        <v>35</v>
      </c>
      <c r="I7584" s="27" t="s">
        <v>37</v>
      </c>
      <c r="J7584" s="28" t="s">
        <v>785</v>
      </c>
      <c r="K7584" s="27" t="s">
        <v>37</v>
      </c>
      <c r="L7584" s="27"/>
    </row>
    <row r="7585" customFormat="false" ht="15" hidden="false" customHeight="false" outlineLevel="0" collapsed="false">
      <c r="A7585" s="26" t="s">
        <v>20088</v>
      </c>
      <c r="B7585" s="27" t="s">
        <v>20089</v>
      </c>
      <c r="C7585" s="27" t="s">
        <v>144</v>
      </c>
      <c r="D7585" s="26"/>
      <c r="E7585" s="27"/>
      <c r="F7585" s="27"/>
      <c r="G7585" s="27" t="s">
        <v>11122</v>
      </c>
      <c r="H7585" s="27" t="s">
        <v>35</v>
      </c>
      <c r="I7585" s="27" t="s">
        <v>37</v>
      </c>
      <c r="J7585" s="28" t="s">
        <v>785</v>
      </c>
      <c r="K7585" s="27" t="s">
        <v>37</v>
      </c>
      <c r="L7585" s="27"/>
    </row>
    <row r="7586" customFormat="false" ht="15" hidden="false" customHeight="false" outlineLevel="0" collapsed="false">
      <c r="A7586" s="26" t="s">
        <v>20090</v>
      </c>
      <c r="B7586" s="27" t="s">
        <v>20091</v>
      </c>
      <c r="C7586" s="27" t="s">
        <v>144</v>
      </c>
      <c r="D7586" s="26"/>
      <c r="E7586" s="27"/>
      <c r="F7586" s="27"/>
      <c r="G7586" s="27" t="s">
        <v>11122</v>
      </c>
      <c r="H7586" s="27" t="s">
        <v>35</v>
      </c>
      <c r="I7586" s="27" t="s">
        <v>37</v>
      </c>
      <c r="J7586" s="28" t="s">
        <v>785</v>
      </c>
      <c r="K7586" s="27" t="s">
        <v>37</v>
      </c>
      <c r="L7586" s="27"/>
    </row>
    <row r="7587" customFormat="false" ht="15" hidden="false" customHeight="false" outlineLevel="0" collapsed="false">
      <c r="A7587" s="26" t="s">
        <v>20092</v>
      </c>
      <c r="B7587" s="27" t="s">
        <v>20093</v>
      </c>
      <c r="C7587" s="27" t="s">
        <v>144</v>
      </c>
      <c r="D7587" s="26"/>
      <c r="E7587" s="27"/>
      <c r="F7587" s="27"/>
      <c r="G7587" s="27" t="s">
        <v>11122</v>
      </c>
      <c r="H7587" s="27" t="s">
        <v>35</v>
      </c>
      <c r="I7587" s="27" t="s">
        <v>37</v>
      </c>
      <c r="J7587" s="28" t="s">
        <v>785</v>
      </c>
      <c r="K7587" s="27" t="s">
        <v>37</v>
      </c>
      <c r="L7587" s="27"/>
    </row>
    <row r="7588" customFormat="false" ht="15" hidden="false" customHeight="false" outlineLevel="0" collapsed="false">
      <c r="A7588" s="26" t="s">
        <v>20094</v>
      </c>
      <c r="B7588" s="27" t="s">
        <v>20095</v>
      </c>
      <c r="C7588" s="27" t="s">
        <v>144</v>
      </c>
      <c r="D7588" s="26"/>
      <c r="E7588" s="27"/>
      <c r="F7588" s="27"/>
      <c r="G7588" s="27" t="s">
        <v>11122</v>
      </c>
      <c r="H7588" s="27" t="s">
        <v>35</v>
      </c>
      <c r="I7588" s="27" t="s">
        <v>41</v>
      </c>
      <c r="J7588" s="28" t="s">
        <v>785</v>
      </c>
      <c r="K7588" s="27" t="s">
        <v>37</v>
      </c>
      <c r="L7588" s="27"/>
    </row>
    <row r="7589" customFormat="false" ht="15" hidden="false" customHeight="false" outlineLevel="0" collapsed="false">
      <c r="A7589" s="26" t="s">
        <v>20096</v>
      </c>
      <c r="B7589" s="27" t="s">
        <v>20097</v>
      </c>
      <c r="C7589" s="27" t="s">
        <v>144</v>
      </c>
      <c r="D7589" s="26"/>
      <c r="E7589" s="27"/>
      <c r="F7589" s="27"/>
      <c r="G7589" s="27" t="s">
        <v>11122</v>
      </c>
      <c r="H7589" s="27" t="s">
        <v>35</v>
      </c>
      <c r="I7589" s="27" t="s">
        <v>37</v>
      </c>
      <c r="J7589" s="28" t="s">
        <v>785</v>
      </c>
      <c r="K7589" s="27" t="s">
        <v>37</v>
      </c>
      <c r="L7589" s="27"/>
    </row>
    <row r="7590" customFormat="false" ht="15" hidden="false" customHeight="false" outlineLevel="0" collapsed="false">
      <c r="A7590" s="26" t="s">
        <v>20098</v>
      </c>
      <c r="B7590" s="27" t="s">
        <v>20099</v>
      </c>
      <c r="C7590" s="27" t="s">
        <v>144</v>
      </c>
      <c r="D7590" s="26"/>
      <c r="E7590" s="27"/>
      <c r="F7590" s="27"/>
      <c r="G7590" s="27" t="s">
        <v>11122</v>
      </c>
      <c r="H7590" s="27" t="s">
        <v>35</v>
      </c>
      <c r="I7590" s="27" t="s">
        <v>37</v>
      </c>
      <c r="J7590" s="28" t="s">
        <v>785</v>
      </c>
      <c r="K7590" s="27" t="s">
        <v>37</v>
      </c>
      <c r="L7590" s="27"/>
    </row>
    <row r="7591" customFormat="false" ht="15" hidden="false" customHeight="false" outlineLevel="0" collapsed="false">
      <c r="A7591" s="26" t="s">
        <v>20100</v>
      </c>
      <c r="B7591" s="27" t="s">
        <v>20101</v>
      </c>
      <c r="C7591" s="27" t="s">
        <v>144</v>
      </c>
      <c r="D7591" s="26"/>
      <c r="E7591" s="27"/>
      <c r="F7591" s="27"/>
      <c r="G7591" s="27" t="s">
        <v>11122</v>
      </c>
      <c r="H7591" s="27" t="s">
        <v>35</v>
      </c>
      <c r="I7591" s="27" t="s">
        <v>37</v>
      </c>
      <c r="J7591" s="28" t="s">
        <v>785</v>
      </c>
      <c r="K7591" s="27" t="s">
        <v>37</v>
      </c>
      <c r="L7591" s="27"/>
    </row>
    <row r="7592" customFormat="false" ht="15" hidden="false" customHeight="false" outlineLevel="0" collapsed="false">
      <c r="A7592" s="26" t="s">
        <v>20102</v>
      </c>
      <c r="B7592" s="27" t="s">
        <v>20103</v>
      </c>
      <c r="C7592" s="27" t="s">
        <v>144</v>
      </c>
      <c r="D7592" s="26"/>
      <c r="E7592" s="27"/>
      <c r="F7592" s="27"/>
      <c r="G7592" s="27" t="s">
        <v>11122</v>
      </c>
      <c r="H7592" s="27" t="s">
        <v>35</v>
      </c>
      <c r="I7592" s="27" t="s">
        <v>37</v>
      </c>
      <c r="J7592" s="28" t="s">
        <v>785</v>
      </c>
      <c r="K7592" s="27" t="s">
        <v>37</v>
      </c>
      <c r="L7592" s="27"/>
    </row>
    <row r="7593" customFormat="false" ht="15" hidden="false" customHeight="false" outlineLevel="0" collapsed="false">
      <c r="A7593" s="26" t="s">
        <v>20104</v>
      </c>
      <c r="B7593" s="27" t="s">
        <v>20105</v>
      </c>
      <c r="C7593" s="27" t="s">
        <v>144</v>
      </c>
      <c r="D7593" s="26"/>
      <c r="E7593" s="27"/>
      <c r="F7593" s="27"/>
      <c r="G7593" s="27" t="s">
        <v>11122</v>
      </c>
      <c r="H7593" s="27" t="s">
        <v>35</v>
      </c>
      <c r="I7593" s="27" t="s">
        <v>39</v>
      </c>
      <c r="J7593" s="28" t="s">
        <v>785</v>
      </c>
      <c r="K7593" s="27" t="s">
        <v>37</v>
      </c>
      <c r="L7593" s="27"/>
    </row>
    <row r="7594" customFormat="false" ht="15" hidden="false" customHeight="false" outlineLevel="0" collapsed="false">
      <c r="A7594" s="26" t="s">
        <v>20106</v>
      </c>
      <c r="B7594" s="27" t="s">
        <v>20107</v>
      </c>
      <c r="C7594" s="27" t="s">
        <v>100</v>
      </c>
      <c r="D7594" s="26"/>
      <c r="E7594" s="27"/>
      <c r="F7594" s="27"/>
      <c r="G7594" s="27" t="s">
        <v>11122</v>
      </c>
      <c r="H7594" s="27" t="s">
        <v>35</v>
      </c>
      <c r="I7594" s="27" t="s">
        <v>45</v>
      </c>
      <c r="J7594" s="28" t="s">
        <v>785</v>
      </c>
      <c r="K7594" s="27" t="s">
        <v>37</v>
      </c>
      <c r="L7594" s="27"/>
    </row>
    <row r="7595" customFormat="false" ht="15" hidden="false" customHeight="false" outlineLevel="0" collapsed="false">
      <c r="A7595" s="26" t="s">
        <v>20108</v>
      </c>
      <c r="B7595" s="27" t="s">
        <v>20109</v>
      </c>
      <c r="C7595" s="27" t="s">
        <v>144</v>
      </c>
      <c r="D7595" s="26"/>
      <c r="E7595" s="27"/>
      <c r="F7595" s="27"/>
      <c r="G7595" s="27" t="s">
        <v>11122</v>
      </c>
      <c r="H7595" s="27" t="s">
        <v>35</v>
      </c>
      <c r="I7595" s="27" t="s">
        <v>42</v>
      </c>
      <c r="J7595" s="28" t="s">
        <v>785</v>
      </c>
      <c r="K7595" s="27" t="s">
        <v>37</v>
      </c>
      <c r="L7595" s="27"/>
    </row>
    <row r="7596" customFormat="false" ht="15" hidden="false" customHeight="false" outlineLevel="0" collapsed="false">
      <c r="A7596" s="26" t="s">
        <v>20110</v>
      </c>
      <c r="B7596" s="27" t="s">
        <v>20111</v>
      </c>
      <c r="C7596" s="27" t="s">
        <v>144</v>
      </c>
      <c r="D7596" s="26"/>
      <c r="E7596" s="27"/>
      <c r="F7596" s="27"/>
      <c r="G7596" s="27" t="s">
        <v>11122</v>
      </c>
      <c r="H7596" s="27" t="s">
        <v>35</v>
      </c>
      <c r="I7596" s="27" t="s">
        <v>37</v>
      </c>
      <c r="J7596" s="28" t="s">
        <v>785</v>
      </c>
      <c r="K7596" s="27" t="s">
        <v>37</v>
      </c>
      <c r="L7596" s="27"/>
    </row>
    <row r="7597" customFormat="false" ht="15" hidden="false" customHeight="false" outlineLevel="0" collapsed="false">
      <c r="A7597" s="26" t="s">
        <v>20112</v>
      </c>
      <c r="B7597" s="27" t="s">
        <v>20113</v>
      </c>
      <c r="C7597" s="27" t="s">
        <v>144</v>
      </c>
      <c r="D7597" s="26"/>
      <c r="E7597" s="27"/>
      <c r="F7597" s="27"/>
      <c r="G7597" s="27" t="s">
        <v>11122</v>
      </c>
      <c r="H7597" s="27" t="s">
        <v>35</v>
      </c>
      <c r="I7597" s="27" t="s">
        <v>37</v>
      </c>
      <c r="J7597" s="28" t="s">
        <v>785</v>
      </c>
      <c r="K7597" s="27" t="s">
        <v>37</v>
      </c>
      <c r="L7597" s="27"/>
    </row>
    <row r="7598" customFormat="false" ht="15" hidden="false" customHeight="false" outlineLevel="0" collapsed="false">
      <c r="A7598" s="26" t="s">
        <v>20114</v>
      </c>
      <c r="B7598" s="27" t="s">
        <v>20115</v>
      </c>
      <c r="C7598" s="27" t="s">
        <v>144</v>
      </c>
      <c r="D7598" s="26"/>
      <c r="E7598" s="27"/>
      <c r="F7598" s="27"/>
      <c r="G7598" s="27" t="s">
        <v>11122</v>
      </c>
      <c r="H7598" s="27" t="s">
        <v>35</v>
      </c>
      <c r="I7598" s="27" t="s">
        <v>41</v>
      </c>
      <c r="J7598" s="28" t="s">
        <v>785</v>
      </c>
      <c r="K7598" s="27" t="s">
        <v>37</v>
      </c>
      <c r="L7598" s="27"/>
    </row>
    <row r="7599" customFormat="false" ht="15" hidden="false" customHeight="false" outlineLevel="0" collapsed="false">
      <c r="A7599" s="26" t="s">
        <v>20116</v>
      </c>
      <c r="B7599" s="27" t="s">
        <v>20117</v>
      </c>
      <c r="C7599" s="27" t="s">
        <v>144</v>
      </c>
      <c r="D7599" s="26"/>
      <c r="E7599" s="27"/>
      <c r="F7599" s="27"/>
      <c r="G7599" s="27" t="s">
        <v>11122</v>
      </c>
      <c r="H7599" s="27" t="s">
        <v>35</v>
      </c>
      <c r="I7599" s="27" t="s">
        <v>37</v>
      </c>
      <c r="J7599" s="28" t="s">
        <v>785</v>
      </c>
      <c r="K7599" s="27" t="s">
        <v>37</v>
      </c>
      <c r="L7599" s="27"/>
    </row>
    <row r="7600" customFormat="false" ht="15" hidden="false" customHeight="false" outlineLevel="0" collapsed="false">
      <c r="A7600" s="26" t="s">
        <v>20118</v>
      </c>
      <c r="B7600" s="27" t="s">
        <v>20119</v>
      </c>
      <c r="C7600" s="27" t="s">
        <v>144</v>
      </c>
      <c r="D7600" s="26"/>
      <c r="E7600" s="27"/>
      <c r="F7600" s="27"/>
      <c r="G7600" s="27" t="s">
        <v>11122</v>
      </c>
      <c r="H7600" s="27" t="s">
        <v>35</v>
      </c>
      <c r="I7600" s="27" t="s">
        <v>37</v>
      </c>
      <c r="J7600" s="28" t="s">
        <v>785</v>
      </c>
      <c r="K7600" s="27" t="s">
        <v>37</v>
      </c>
      <c r="L7600" s="27"/>
    </row>
    <row r="7601" customFormat="false" ht="15" hidden="false" customHeight="false" outlineLevel="0" collapsed="false">
      <c r="A7601" s="26" t="s">
        <v>20120</v>
      </c>
      <c r="B7601" s="27" t="s">
        <v>20121</v>
      </c>
      <c r="C7601" s="27" t="s">
        <v>144</v>
      </c>
      <c r="D7601" s="26"/>
      <c r="E7601" s="27"/>
      <c r="F7601" s="27"/>
      <c r="G7601" s="27" t="s">
        <v>11122</v>
      </c>
      <c r="H7601" s="27" t="s">
        <v>35</v>
      </c>
      <c r="I7601" s="27" t="s">
        <v>37</v>
      </c>
      <c r="J7601" s="28" t="s">
        <v>785</v>
      </c>
      <c r="K7601" s="27" t="s">
        <v>37</v>
      </c>
      <c r="L7601" s="27"/>
    </row>
    <row r="7602" customFormat="false" ht="15" hidden="false" customHeight="false" outlineLevel="0" collapsed="false">
      <c r="A7602" s="26" t="s">
        <v>20122</v>
      </c>
      <c r="B7602" s="27" t="s">
        <v>20123</v>
      </c>
      <c r="C7602" s="27" t="s">
        <v>144</v>
      </c>
      <c r="D7602" s="26"/>
      <c r="E7602" s="27"/>
      <c r="F7602" s="27"/>
      <c r="G7602" s="27" t="s">
        <v>11122</v>
      </c>
      <c r="H7602" s="27" t="s">
        <v>35</v>
      </c>
      <c r="I7602" s="27" t="s">
        <v>41</v>
      </c>
      <c r="J7602" s="28" t="s">
        <v>785</v>
      </c>
      <c r="K7602" s="27" t="s">
        <v>37</v>
      </c>
      <c r="L7602" s="27"/>
    </row>
    <row r="7603" customFormat="false" ht="15" hidden="false" customHeight="false" outlineLevel="0" collapsed="false">
      <c r="A7603" s="26" t="s">
        <v>20124</v>
      </c>
      <c r="B7603" s="27" t="s">
        <v>20125</v>
      </c>
      <c r="C7603" s="27" t="s">
        <v>144</v>
      </c>
      <c r="D7603" s="26"/>
      <c r="E7603" s="27"/>
      <c r="F7603" s="27"/>
      <c r="G7603" s="27" t="s">
        <v>11122</v>
      </c>
      <c r="H7603" s="27" t="s">
        <v>35</v>
      </c>
      <c r="I7603" s="27" t="s">
        <v>37</v>
      </c>
      <c r="J7603" s="28" t="s">
        <v>785</v>
      </c>
      <c r="K7603" s="27" t="s">
        <v>37</v>
      </c>
      <c r="L7603" s="27"/>
    </row>
    <row r="7604" customFormat="false" ht="15" hidden="false" customHeight="false" outlineLevel="0" collapsed="false">
      <c r="A7604" s="26" t="s">
        <v>20126</v>
      </c>
      <c r="B7604" s="27" t="s">
        <v>20127</v>
      </c>
      <c r="C7604" s="27" t="s">
        <v>144</v>
      </c>
      <c r="D7604" s="26"/>
      <c r="E7604" s="27"/>
      <c r="F7604" s="27"/>
      <c r="G7604" s="27" t="s">
        <v>11122</v>
      </c>
      <c r="H7604" s="27" t="s">
        <v>35</v>
      </c>
      <c r="I7604" s="27" t="s">
        <v>37</v>
      </c>
      <c r="J7604" s="28" t="s">
        <v>785</v>
      </c>
      <c r="K7604" s="27" t="s">
        <v>37</v>
      </c>
      <c r="L7604" s="27"/>
    </row>
    <row r="7605" customFormat="false" ht="15" hidden="false" customHeight="false" outlineLevel="0" collapsed="false">
      <c r="A7605" s="26" t="s">
        <v>20128</v>
      </c>
      <c r="B7605" s="27" t="s">
        <v>20129</v>
      </c>
      <c r="C7605" s="27" t="s">
        <v>144</v>
      </c>
      <c r="D7605" s="26"/>
      <c r="E7605" s="27"/>
      <c r="F7605" s="27"/>
      <c r="G7605" s="27" t="s">
        <v>11122</v>
      </c>
      <c r="H7605" s="27" t="s">
        <v>35</v>
      </c>
      <c r="I7605" s="27" t="s">
        <v>45</v>
      </c>
      <c r="J7605" s="28" t="s">
        <v>785</v>
      </c>
      <c r="K7605" s="27" t="s">
        <v>37</v>
      </c>
      <c r="L7605" s="27"/>
    </row>
    <row r="7606" customFormat="false" ht="15" hidden="false" customHeight="false" outlineLevel="0" collapsed="false">
      <c r="A7606" s="26" t="s">
        <v>20130</v>
      </c>
      <c r="B7606" s="27" t="s">
        <v>20131</v>
      </c>
      <c r="C7606" s="27" t="s">
        <v>144</v>
      </c>
      <c r="D7606" s="26"/>
      <c r="E7606" s="27"/>
      <c r="F7606" s="27"/>
      <c r="G7606" s="27" t="s">
        <v>11122</v>
      </c>
      <c r="H7606" s="27" t="s">
        <v>35</v>
      </c>
      <c r="I7606" s="27" t="s">
        <v>37</v>
      </c>
      <c r="J7606" s="28" t="s">
        <v>785</v>
      </c>
      <c r="K7606" s="27" t="s">
        <v>37</v>
      </c>
      <c r="L7606" s="27"/>
    </row>
    <row r="7607" customFormat="false" ht="15" hidden="false" customHeight="false" outlineLevel="0" collapsed="false">
      <c r="A7607" s="26" t="s">
        <v>20132</v>
      </c>
      <c r="B7607" s="27" t="s">
        <v>20133</v>
      </c>
      <c r="C7607" s="27" t="s">
        <v>144</v>
      </c>
      <c r="D7607" s="26"/>
      <c r="E7607" s="27"/>
      <c r="F7607" s="27"/>
      <c r="G7607" s="27" t="s">
        <v>11122</v>
      </c>
      <c r="H7607" s="27" t="s">
        <v>35</v>
      </c>
      <c r="I7607" s="27" t="s">
        <v>37</v>
      </c>
      <c r="J7607" s="28" t="s">
        <v>785</v>
      </c>
      <c r="K7607" s="27" t="s">
        <v>37</v>
      </c>
      <c r="L7607" s="27"/>
    </row>
    <row r="7608" customFormat="false" ht="15" hidden="false" customHeight="false" outlineLevel="0" collapsed="false">
      <c r="A7608" s="26" t="s">
        <v>20134</v>
      </c>
      <c r="B7608" s="27" t="s">
        <v>20135</v>
      </c>
      <c r="C7608" s="27" t="s">
        <v>144</v>
      </c>
      <c r="D7608" s="26"/>
      <c r="E7608" s="27"/>
      <c r="F7608" s="27"/>
      <c r="G7608" s="27" t="s">
        <v>11122</v>
      </c>
      <c r="H7608" s="27" t="s">
        <v>35</v>
      </c>
      <c r="I7608" s="27" t="s">
        <v>41</v>
      </c>
      <c r="J7608" s="28" t="s">
        <v>785</v>
      </c>
      <c r="K7608" s="27" t="s">
        <v>37</v>
      </c>
      <c r="L7608" s="27"/>
    </row>
    <row r="7609" customFormat="false" ht="15" hidden="false" customHeight="false" outlineLevel="0" collapsed="false">
      <c r="A7609" s="26" t="s">
        <v>20136</v>
      </c>
      <c r="B7609" s="27" t="s">
        <v>20137</v>
      </c>
      <c r="C7609" s="27" t="s">
        <v>144</v>
      </c>
      <c r="D7609" s="26"/>
      <c r="E7609" s="27"/>
      <c r="F7609" s="27"/>
      <c r="G7609" s="27" t="s">
        <v>11122</v>
      </c>
      <c r="H7609" s="27" t="s">
        <v>35</v>
      </c>
      <c r="I7609" s="27" t="s">
        <v>37</v>
      </c>
      <c r="J7609" s="28" t="s">
        <v>785</v>
      </c>
      <c r="K7609" s="27" t="s">
        <v>37</v>
      </c>
      <c r="L7609" s="27"/>
    </row>
    <row r="7610" customFormat="false" ht="15" hidden="false" customHeight="false" outlineLevel="0" collapsed="false">
      <c r="A7610" s="26" t="s">
        <v>20138</v>
      </c>
      <c r="B7610" s="27" t="s">
        <v>20139</v>
      </c>
      <c r="C7610" s="27" t="s">
        <v>144</v>
      </c>
      <c r="D7610" s="26"/>
      <c r="E7610" s="27"/>
      <c r="F7610" s="27"/>
      <c r="G7610" s="27" t="s">
        <v>11122</v>
      </c>
      <c r="H7610" s="27" t="s">
        <v>35</v>
      </c>
      <c r="I7610" s="27" t="s">
        <v>37</v>
      </c>
      <c r="J7610" s="28" t="s">
        <v>785</v>
      </c>
      <c r="K7610" s="27" t="s">
        <v>37</v>
      </c>
      <c r="L7610" s="27"/>
    </row>
    <row r="7611" customFormat="false" ht="15" hidden="false" customHeight="false" outlineLevel="0" collapsed="false">
      <c r="A7611" s="26" t="s">
        <v>20140</v>
      </c>
      <c r="B7611" s="27" t="s">
        <v>20141</v>
      </c>
      <c r="C7611" s="27" t="s">
        <v>144</v>
      </c>
      <c r="D7611" s="26"/>
      <c r="E7611" s="27"/>
      <c r="F7611" s="27"/>
      <c r="G7611" s="27" t="s">
        <v>11122</v>
      </c>
      <c r="H7611" s="27" t="s">
        <v>35</v>
      </c>
      <c r="I7611" s="27" t="s">
        <v>49</v>
      </c>
      <c r="J7611" s="28" t="s">
        <v>785</v>
      </c>
      <c r="K7611" s="27" t="s">
        <v>37</v>
      </c>
      <c r="L7611" s="27"/>
    </row>
    <row r="7612" customFormat="false" ht="15" hidden="false" customHeight="false" outlineLevel="0" collapsed="false">
      <c r="A7612" s="26" t="s">
        <v>20142</v>
      </c>
      <c r="B7612" s="27" t="s">
        <v>20143</v>
      </c>
      <c r="C7612" s="27" t="s">
        <v>144</v>
      </c>
      <c r="D7612" s="26"/>
      <c r="E7612" s="27"/>
      <c r="F7612" s="27"/>
      <c r="G7612" s="27" t="s">
        <v>11122</v>
      </c>
      <c r="H7612" s="27" t="s">
        <v>35</v>
      </c>
      <c r="I7612" s="27" t="s">
        <v>37</v>
      </c>
      <c r="J7612" s="28" t="s">
        <v>785</v>
      </c>
      <c r="K7612" s="27" t="s">
        <v>37</v>
      </c>
      <c r="L7612" s="27"/>
    </row>
    <row r="7613" customFormat="false" ht="15" hidden="false" customHeight="false" outlineLevel="0" collapsed="false">
      <c r="A7613" s="26" t="s">
        <v>20144</v>
      </c>
      <c r="B7613" s="27" t="s">
        <v>20145</v>
      </c>
      <c r="C7613" s="27" t="s">
        <v>144</v>
      </c>
      <c r="D7613" s="26"/>
      <c r="E7613" s="27"/>
      <c r="F7613" s="27"/>
      <c r="G7613" s="27" t="s">
        <v>11122</v>
      </c>
      <c r="H7613" s="27" t="s">
        <v>35</v>
      </c>
      <c r="I7613" s="27" t="s">
        <v>37</v>
      </c>
      <c r="J7613" s="28" t="s">
        <v>785</v>
      </c>
      <c r="K7613" s="27" t="s">
        <v>37</v>
      </c>
      <c r="L7613" s="27"/>
    </row>
    <row r="7614" customFormat="false" ht="15" hidden="false" customHeight="false" outlineLevel="0" collapsed="false">
      <c r="A7614" s="26" t="s">
        <v>20146</v>
      </c>
      <c r="B7614" s="27" t="s">
        <v>20147</v>
      </c>
      <c r="C7614" s="27" t="s">
        <v>144</v>
      </c>
      <c r="D7614" s="26"/>
      <c r="E7614" s="27"/>
      <c r="F7614" s="27"/>
      <c r="G7614" s="27" t="s">
        <v>11122</v>
      </c>
      <c r="H7614" s="27" t="s">
        <v>35</v>
      </c>
      <c r="I7614" s="27" t="s">
        <v>42</v>
      </c>
      <c r="J7614" s="28" t="s">
        <v>785</v>
      </c>
      <c r="K7614" s="27" t="s">
        <v>37</v>
      </c>
      <c r="L7614" s="27"/>
    </row>
    <row r="7615" customFormat="false" ht="15" hidden="false" customHeight="false" outlineLevel="0" collapsed="false">
      <c r="A7615" s="26" t="s">
        <v>20148</v>
      </c>
      <c r="B7615" s="27" t="s">
        <v>20149</v>
      </c>
      <c r="C7615" s="27" t="s">
        <v>144</v>
      </c>
      <c r="D7615" s="26"/>
      <c r="E7615" s="27"/>
      <c r="F7615" s="27"/>
      <c r="G7615" s="27" t="s">
        <v>11122</v>
      </c>
      <c r="H7615" s="27" t="s">
        <v>35</v>
      </c>
      <c r="I7615" s="27" t="s">
        <v>38</v>
      </c>
      <c r="J7615" s="28" t="s">
        <v>785</v>
      </c>
      <c r="K7615" s="27" t="s">
        <v>37</v>
      </c>
      <c r="L7615" s="27"/>
    </row>
    <row r="7616" customFormat="false" ht="15" hidden="false" customHeight="false" outlineLevel="0" collapsed="false">
      <c r="A7616" s="26" t="s">
        <v>20150</v>
      </c>
      <c r="B7616" s="27" t="s">
        <v>20151</v>
      </c>
      <c r="C7616" s="27" t="s">
        <v>144</v>
      </c>
      <c r="D7616" s="26"/>
      <c r="E7616" s="27"/>
      <c r="F7616" s="27"/>
      <c r="G7616" s="27" t="s">
        <v>11122</v>
      </c>
      <c r="H7616" s="27" t="s">
        <v>35</v>
      </c>
      <c r="I7616" s="27" t="s">
        <v>37</v>
      </c>
      <c r="J7616" s="28" t="s">
        <v>785</v>
      </c>
      <c r="K7616" s="27" t="s">
        <v>37</v>
      </c>
      <c r="L7616" s="27"/>
    </row>
    <row r="7617" customFormat="false" ht="15" hidden="false" customHeight="false" outlineLevel="0" collapsed="false">
      <c r="A7617" s="26" t="s">
        <v>20152</v>
      </c>
      <c r="B7617" s="27" t="s">
        <v>20153</v>
      </c>
      <c r="C7617" s="27" t="s">
        <v>144</v>
      </c>
      <c r="D7617" s="26"/>
      <c r="E7617" s="27"/>
      <c r="F7617" s="27"/>
      <c r="G7617" s="27" t="s">
        <v>11122</v>
      </c>
      <c r="H7617" s="27" t="s">
        <v>35</v>
      </c>
      <c r="I7617" s="27" t="s">
        <v>37</v>
      </c>
      <c r="J7617" s="28" t="s">
        <v>785</v>
      </c>
      <c r="K7617" s="27" t="s">
        <v>37</v>
      </c>
      <c r="L7617" s="27"/>
    </row>
    <row r="7618" customFormat="false" ht="15" hidden="false" customHeight="false" outlineLevel="0" collapsed="false">
      <c r="A7618" s="26" t="s">
        <v>20154</v>
      </c>
      <c r="B7618" s="27" t="s">
        <v>20155</v>
      </c>
      <c r="C7618" s="27" t="s">
        <v>144</v>
      </c>
      <c r="D7618" s="26"/>
      <c r="E7618" s="27"/>
      <c r="F7618" s="27"/>
      <c r="G7618" s="27" t="s">
        <v>11122</v>
      </c>
      <c r="H7618" s="27" t="s">
        <v>35</v>
      </c>
      <c r="I7618" s="27" t="s">
        <v>38</v>
      </c>
      <c r="J7618" s="28" t="s">
        <v>785</v>
      </c>
      <c r="K7618" s="27" t="s">
        <v>37</v>
      </c>
      <c r="L7618" s="27"/>
    </row>
    <row r="7619" customFormat="false" ht="15" hidden="false" customHeight="false" outlineLevel="0" collapsed="false">
      <c r="A7619" s="26" t="s">
        <v>20156</v>
      </c>
      <c r="B7619" s="27" t="s">
        <v>20157</v>
      </c>
      <c r="C7619" s="27" t="s">
        <v>144</v>
      </c>
      <c r="D7619" s="26"/>
      <c r="E7619" s="27"/>
      <c r="F7619" s="27"/>
      <c r="G7619" s="27" t="s">
        <v>11122</v>
      </c>
      <c r="H7619" s="27" t="s">
        <v>35</v>
      </c>
      <c r="I7619" s="27" t="s">
        <v>37</v>
      </c>
      <c r="J7619" s="28" t="s">
        <v>785</v>
      </c>
      <c r="K7619" s="27" t="s">
        <v>37</v>
      </c>
      <c r="L7619" s="27"/>
    </row>
    <row r="7620" customFormat="false" ht="15" hidden="false" customHeight="false" outlineLevel="0" collapsed="false">
      <c r="A7620" s="26" t="s">
        <v>20158</v>
      </c>
      <c r="B7620" s="27" t="s">
        <v>20159</v>
      </c>
      <c r="C7620" s="27" t="s">
        <v>144</v>
      </c>
      <c r="D7620" s="26"/>
      <c r="E7620" s="27"/>
      <c r="F7620" s="27"/>
      <c r="G7620" s="27" t="s">
        <v>11122</v>
      </c>
      <c r="H7620" s="27" t="s">
        <v>35</v>
      </c>
      <c r="I7620" s="27" t="s">
        <v>41</v>
      </c>
      <c r="J7620" s="28" t="s">
        <v>785</v>
      </c>
      <c r="K7620" s="27" t="s">
        <v>37</v>
      </c>
      <c r="L7620" s="27"/>
    </row>
    <row r="7621" customFormat="false" ht="15" hidden="false" customHeight="false" outlineLevel="0" collapsed="false">
      <c r="A7621" s="26" t="s">
        <v>20160</v>
      </c>
      <c r="B7621" s="27" t="s">
        <v>20161</v>
      </c>
      <c r="C7621" s="27" t="s">
        <v>144</v>
      </c>
      <c r="D7621" s="26"/>
      <c r="E7621" s="27"/>
      <c r="F7621" s="27"/>
      <c r="G7621" s="27" t="s">
        <v>11122</v>
      </c>
      <c r="H7621" s="27" t="s">
        <v>35</v>
      </c>
      <c r="I7621" s="27" t="s">
        <v>37</v>
      </c>
      <c r="J7621" s="28" t="s">
        <v>785</v>
      </c>
      <c r="K7621" s="27" t="s">
        <v>37</v>
      </c>
      <c r="L7621" s="27"/>
    </row>
    <row r="7622" customFormat="false" ht="15" hidden="false" customHeight="false" outlineLevel="0" collapsed="false">
      <c r="A7622" s="26" t="s">
        <v>20162</v>
      </c>
      <c r="B7622" s="27" t="s">
        <v>20163</v>
      </c>
      <c r="C7622" s="27" t="s">
        <v>144</v>
      </c>
      <c r="D7622" s="26"/>
      <c r="E7622" s="27"/>
      <c r="F7622" s="27"/>
      <c r="G7622" s="27" t="s">
        <v>11122</v>
      </c>
      <c r="H7622" s="27" t="s">
        <v>35</v>
      </c>
      <c r="I7622" s="27" t="s">
        <v>37</v>
      </c>
      <c r="J7622" s="28" t="s">
        <v>785</v>
      </c>
      <c r="K7622" s="27" t="s">
        <v>37</v>
      </c>
      <c r="L7622" s="27"/>
    </row>
    <row r="7623" customFormat="false" ht="15" hidden="false" customHeight="false" outlineLevel="0" collapsed="false">
      <c r="A7623" s="26" t="s">
        <v>20164</v>
      </c>
      <c r="B7623" s="27" t="s">
        <v>20165</v>
      </c>
      <c r="C7623" s="27" t="s">
        <v>144</v>
      </c>
      <c r="D7623" s="26"/>
      <c r="E7623" s="27"/>
      <c r="F7623" s="27"/>
      <c r="G7623" s="27" t="s">
        <v>11122</v>
      </c>
      <c r="H7623" s="27" t="s">
        <v>35</v>
      </c>
      <c r="I7623" s="27" t="s">
        <v>37</v>
      </c>
      <c r="J7623" s="28" t="s">
        <v>785</v>
      </c>
      <c r="K7623" s="27" t="s">
        <v>37</v>
      </c>
      <c r="L7623" s="27"/>
    </row>
    <row r="7624" customFormat="false" ht="15" hidden="false" customHeight="false" outlineLevel="0" collapsed="false">
      <c r="A7624" s="26" t="s">
        <v>20166</v>
      </c>
      <c r="B7624" s="27" t="s">
        <v>20167</v>
      </c>
      <c r="C7624" s="27" t="s">
        <v>144</v>
      </c>
      <c r="D7624" s="26"/>
      <c r="E7624" s="27"/>
      <c r="F7624" s="27"/>
      <c r="G7624" s="27" t="s">
        <v>11122</v>
      </c>
      <c r="H7624" s="27" t="s">
        <v>35</v>
      </c>
      <c r="I7624" s="27" t="s">
        <v>37</v>
      </c>
      <c r="J7624" s="28" t="s">
        <v>785</v>
      </c>
      <c r="K7624" s="27" t="s">
        <v>37</v>
      </c>
      <c r="L7624" s="27"/>
    </row>
    <row r="7625" customFormat="false" ht="15" hidden="false" customHeight="false" outlineLevel="0" collapsed="false">
      <c r="A7625" s="26" t="s">
        <v>20168</v>
      </c>
      <c r="B7625" s="27" t="s">
        <v>20169</v>
      </c>
      <c r="C7625" s="27" t="s">
        <v>144</v>
      </c>
      <c r="D7625" s="26"/>
      <c r="E7625" s="27"/>
      <c r="F7625" s="27"/>
      <c r="G7625" s="27" t="s">
        <v>11122</v>
      </c>
      <c r="H7625" s="27" t="s">
        <v>35</v>
      </c>
      <c r="I7625" s="27" t="s">
        <v>37</v>
      </c>
      <c r="J7625" s="28" t="s">
        <v>785</v>
      </c>
      <c r="K7625" s="27" t="s">
        <v>37</v>
      </c>
      <c r="L7625" s="27"/>
    </row>
    <row r="7626" customFormat="false" ht="15" hidden="false" customHeight="false" outlineLevel="0" collapsed="false">
      <c r="A7626" s="26" t="s">
        <v>20170</v>
      </c>
      <c r="B7626" s="27" t="s">
        <v>20171</v>
      </c>
      <c r="C7626" s="27" t="s">
        <v>144</v>
      </c>
      <c r="D7626" s="26"/>
      <c r="E7626" s="27"/>
      <c r="F7626" s="27"/>
      <c r="G7626" s="27" t="s">
        <v>11122</v>
      </c>
      <c r="H7626" s="27" t="s">
        <v>35</v>
      </c>
      <c r="I7626" s="27" t="s">
        <v>37</v>
      </c>
      <c r="J7626" s="28" t="s">
        <v>785</v>
      </c>
      <c r="K7626" s="27" t="s">
        <v>37</v>
      </c>
      <c r="L7626" s="27"/>
    </row>
    <row r="7627" customFormat="false" ht="15" hidden="false" customHeight="false" outlineLevel="0" collapsed="false">
      <c r="A7627" s="26" t="s">
        <v>20172</v>
      </c>
      <c r="B7627" s="27" t="s">
        <v>20173</v>
      </c>
      <c r="C7627" s="27" t="s">
        <v>144</v>
      </c>
      <c r="D7627" s="26"/>
      <c r="E7627" s="27"/>
      <c r="F7627" s="27"/>
      <c r="G7627" s="27" t="s">
        <v>11122</v>
      </c>
      <c r="H7627" s="27" t="s">
        <v>35</v>
      </c>
      <c r="I7627" s="27" t="s">
        <v>43</v>
      </c>
      <c r="J7627" s="28" t="s">
        <v>785</v>
      </c>
      <c r="K7627" s="27" t="s">
        <v>37</v>
      </c>
      <c r="L7627" s="27"/>
    </row>
    <row r="7628" customFormat="false" ht="15" hidden="false" customHeight="false" outlineLevel="0" collapsed="false">
      <c r="A7628" s="26" t="s">
        <v>20174</v>
      </c>
      <c r="B7628" s="27" t="s">
        <v>20175</v>
      </c>
      <c r="C7628" s="27" t="s">
        <v>144</v>
      </c>
      <c r="D7628" s="26"/>
      <c r="E7628" s="27"/>
      <c r="F7628" s="27"/>
      <c r="G7628" s="27" t="s">
        <v>11122</v>
      </c>
      <c r="H7628" s="27" t="s">
        <v>35</v>
      </c>
      <c r="I7628" s="27" t="s">
        <v>41</v>
      </c>
      <c r="J7628" s="28" t="s">
        <v>785</v>
      </c>
      <c r="K7628" s="27" t="s">
        <v>37</v>
      </c>
      <c r="L7628" s="27"/>
    </row>
    <row r="7629" customFormat="false" ht="15" hidden="false" customHeight="false" outlineLevel="0" collapsed="false">
      <c r="A7629" s="26" t="s">
        <v>20176</v>
      </c>
      <c r="B7629" s="27" t="s">
        <v>20177</v>
      </c>
      <c r="C7629" s="27" t="s">
        <v>144</v>
      </c>
      <c r="D7629" s="26"/>
      <c r="E7629" s="27"/>
      <c r="F7629" s="27"/>
      <c r="G7629" s="27" t="s">
        <v>11122</v>
      </c>
      <c r="H7629" s="27" t="s">
        <v>35</v>
      </c>
      <c r="I7629" s="27" t="s">
        <v>37</v>
      </c>
      <c r="J7629" s="28" t="s">
        <v>785</v>
      </c>
      <c r="K7629" s="27" t="s">
        <v>37</v>
      </c>
      <c r="L7629" s="27"/>
    </row>
    <row r="7630" customFormat="false" ht="15" hidden="false" customHeight="false" outlineLevel="0" collapsed="false">
      <c r="A7630" s="26" t="s">
        <v>20178</v>
      </c>
      <c r="B7630" s="27" t="s">
        <v>20179</v>
      </c>
      <c r="C7630" s="27" t="s">
        <v>144</v>
      </c>
      <c r="D7630" s="26"/>
      <c r="E7630" s="27"/>
      <c r="F7630" s="27"/>
      <c r="G7630" s="27" t="s">
        <v>11122</v>
      </c>
      <c r="H7630" s="27" t="s">
        <v>35</v>
      </c>
      <c r="I7630" s="27" t="s">
        <v>40</v>
      </c>
      <c r="J7630" s="28" t="s">
        <v>785</v>
      </c>
      <c r="K7630" s="27" t="s">
        <v>37</v>
      </c>
      <c r="L7630" s="27"/>
    </row>
    <row r="7631" customFormat="false" ht="15" hidden="false" customHeight="false" outlineLevel="0" collapsed="false">
      <c r="A7631" s="26" t="s">
        <v>20180</v>
      </c>
      <c r="B7631" s="27" t="s">
        <v>20181</v>
      </c>
      <c r="C7631" s="27" t="s">
        <v>144</v>
      </c>
      <c r="D7631" s="26"/>
      <c r="E7631" s="27"/>
      <c r="F7631" s="27"/>
      <c r="G7631" s="27" t="s">
        <v>11122</v>
      </c>
      <c r="H7631" s="27" t="s">
        <v>35</v>
      </c>
      <c r="I7631" s="27" t="s">
        <v>41</v>
      </c>
      <c r="J7631" s="28" t="s">
        <v>785</v>
      </c>
      <c r="K7631" s="27" t="s">
        <v>37</v>
      </c>
      <c r="L7631" s="27"/>
    </row>
    <row r="7632" customFormat="false" ht="15" hidden="false" customHeight="false" outlineLevel="0" collapsed="false">
      <c r="A7632" s="26" t="s">
        <v>20182</v>
      </c>
      <c r="B7632" s="27" t="s">
        <v>20183</v>
      </c>
      <c r="C7632" s="27" t="s">
        <v>144</v>
      </c>
      <c r="D7632" s="26"/>
      <c r="E7632" s="27"/>
      <c r="F7632" s="27"/>
      <c r="G7632" s="27" t="s">
        <v>11122</v>
      </c>
      <c r="H7632" s="27" t="s">
        <v>35</v>
      </c>
      <c r="I7632" s="27" t="s">
        <v>37</v>
      </c>
      <c r="J7632" s="28" t="s">
        <v>785</v>
      </c>
      <c r="K7632" s="27" t="s">
        <v>37</v>
      </c>
      <c r="L7632" s="27"/>
    </row>
    <row r="7633" customFormat="false" ht="15" hidden="false" customHeight="false" outlineLevel="0" collapsed="false">
      <c r="A7633" s="26" t="s">
        <v>20184</v>
      </c>
      <c r="B7633" s="27" t="s">
        <v>20185</v>
      </c>
      <c r="C7633" s="27" t="s">
        <v>144</v>
      </c>
      <c r="D7633" s="26"/>
      <c r="E7633" s="27"/>
      <c r="F7633" s="27"/>
      <c r="G7633" s="27" t="s">
        <v>11122</v>
      </c>
      <c r="H7633" s="27" t="s">
        <v>35</v>
      </c>
      <c r="I7633" s="27" t="s">
        <v>37</v>
      </c>
      <c r="J7633" s="28" t="s">
        <v>785</v>
      </c>
      <c r="K7633" s="27" t="s">
        <v>37</v>
      </c>
      <c r="L7633" s="27"/>
    </row>
    <row r="7634" customFormat="false" ht="15" hidden="false" customHeight="false" outlineLevel="0" collapsed="false">
      <c r="A7634" s="26" t="s">
        <v>20186</v>
      </c>
      <c r="B7634" s="27" t="s">
        <v>20187</v>
      </c>
      <c r="C7634" s="27" t="s">
        <v>144</v>
      </c>
      <c r="D7634" s="26"/>
      <c r="E7634" s="27"/>
      <c r="F7634" s="27"/>
      <c r="G7634" s="27" t="s">
        <v>11122</v>
      </c>
      <c r="H7634" s="27" t="s">
        <v>35</v>
      </c>
      <c r="I7634" s="27" t="s">
        <v>37</v>
      </c>
      <c r="J7634" s="28" t="s">
        <v>785</v>
      </c>
      <c r="K7634" s="27" t="s">
        <v>37</v>
      </c>
      <c r="L7634" s="27"/>
    </row>
    <row r="7635" customFormat="false" ht="15" hidden="false" customHeight="false" outlineLevel="0" collapsed="false">
      <c r="A7635" s="26" t="s">
        <v>20188</v>
      </c>
      <c r="B7635" s="27" t="s">
        <v>20189</v>
      </c>
      <c r="C7635" s="27" t="s">
        <v>144</v>
      </c>
      <c r="D7635" s="26"/>
      <c r="E7635" s="27"/>
      <c r="F7635" s="27"/>
      <c r="G7635" s="27" t="s">
        <v>11122</v>
      </c>
      <c r="H7635" s="27" t="s">
        <v>35</v>
      </c>
      <c r="I7635" s="27" t="s">
        <v>37</v>
      </c>
      <c r="J7635" s="28" t="s">
        <v>785</v>
      </c>
      <c r="K7635" s="27" t="s">
        <v>37</v>
      </c>
      <c r="L7635" s="27"/>
    </row>
    <row r="7636" customFormat="false" ht="15" hidden="false" customHeight="false" outlineLevel="0" collapsed="false">
      <c r="A7636" s="26" t="s">
        <v>20190</v>
      </c>
      <c r="B7636" s="27" t="s">
        <v>20191</v>
      </c>
      <c r="C7636" s="27" t="s">
        <v>144</v>
      </c>
      <c r="D7636" s="26"/>
      <c r="E7636" s="27"/>
      <c r="F7636" s="27"/>
      <c r="G7636" s="27" t="s">
        <v>11122</v>
      </c>
      <c r="H7636" s="27" t="s">
        <v>35</v>
      </c>
      <c r="I7636" s="27" t="s">
        <v>37</v>
      </c>
      <c r="J7636" s="28" t="s">
        <v>785</v>
      </c>
      <c r="K7636" s="27" t="s">
        <v>37</v>
      </c>
      <c r="L7636" s="27"/>
    </row>
    <row r="7637" customFormat="false" ht="15" hidden="false" customHeight="false" outlineLevel="0" collapsed="false">
      <c r="A7637" s="26" t="s">
        <v>20192</v>
      </c>
      <c r="B7637" s="27" t="s">
        <v>20193</v>
      </c>
      <c r="C7637" s="27" t="s">
        <v>144</v>
      </c>
      <c r="D7637" s="26"/>
      <c r="E7637" s="27"/>
      <c r="F7637" s="27"/>
      <c r="G7637" s="27" t="s">
        <v>11122</v>
      </c>
      <c r="H7637" s="27" t="s">
        <v>35</v>
      </c>
      <c r="I7637" s="27" t="s">
        <v>37</v>
      </c>
      <c r="J7637" s="28" t="s">
        <v>785</v>
      </c>
      <c r="K7637" s="27" t="s">
        <v>37</v>
      </c>
      <c r="L7637" s="27"/>
    </row>
    <row r="7638" customFormat="false" ht="15" hidden="false" customHeight="false" outlineLevel="0" collapsed="false">
      <c r="A7638" s="26" t="s">
        <v>20194</v>
      </c>
      <c r="B7638" s="27" t="s">
        <v>20195</v>
      </c>
      <c r="C7638" s="27" t="s">
        <v>144</v>
      </c>
      <c r="D7638" s="26"/>
      <c r="E7638" s="27"/>
      <c r="F7638" s="27"/>
      <c r="G7638" s="27" t="s">
        <v>11122</v>
      </c>
      <c r="H7638" s="27" t="s">
        <v>35</v>
      </c>
      <c r="I7638" s="27" t="s">
        <v>37</v>
      </c>
      <c r="J7638" s="28" t="s">
        <v>785</v>
      </c>
      <c r="K7638" s="27" t="s">
        <v>37</v>
      </c>
      <c r="L7638" s="27"/>
    </row>
    <row r="7639" customFormat="false" ht="15" hidden="false" customHeight="false" outlineLevel="0" collapsed="false">
      <c r="A7639" s="26" t="s">
        <v>20196</v>
      </c>
      <c r="B7639" s="27" t="s">
        <v>20197</v>
      </c>
      <c r="C7639" s="27" t="s">
        <v>144</v>
      </c>
      <c r="D7639" s="26"/>
      <c r="E7639" s="27"/>
      <c r="F7639" s="27"/>
      <c r="G7639" s="27" t="s">
        <v>11122</v>
      </c>
      <c r="H7639" s="27" t="s">
        <v>35</v>
      </c>
      <c r="I7639" s="27" t="s">
        <v>3536</v>
      </c>
      <c r="J7639" s="28" t="s">
        <v>785</v>
      </c>
      <c r="K7639" s="27" t="s">
        <v>37</v>
      </c>
      <c r="L7639" s="27"/>
    </row>
    <row r="7640" customFormat="false" ht="15" hidden="false" customHeight="false" outlineLevel="0" collapsed="false">
      <c r="A7640" s="26" t="s">
        <v>20198</v>
      </c>
      <c r="B7640" s="27" t="s">
        <v>20199</v>
      </c>
      <c r="C7640" s="27" t="s">
        <v>144</v>
      </c>
      <c r="D7640" s="26"/>
      <c r="E7640" s="27"/>
      <c r="F7640" s="27"/>
      <c r="G7640" s="27" t="s">
        <v>11122</v>
      </c>
      <c r="H7640" s="27" t="s">
        <v>35</v>
      </c>
      <c r="I7640" s="27" t="s">
        <v>38</v>
      </c>
      <c r="J7640" s="28" t="s">
        <v>785</v>
      </c>
      <c r="K7640" s="27" t="s">
        <v>37</v>
      </c>
      <c r="L7640" s="27"/>
    </row>
    <row r="7641" customFormat="false" ht="15" hidden="false" customHeight="false" outlineLevel="0" collapsed="false">
      <c r="A7641" s="26" t="s">
        <v>20200</v>
      </c>
      <c r="B7641" s="27" t="s">
        <v>20201</v>
      </c>
      <c r="C7641" s="27" t="s">
        <v>144</v>
      </c>
      <c r="D7641" s="26"/>
      <c r="E7641" s="27"/>
      <c r="F7641" s="27"/>
      <c r="G7641" s="27" t="s">
        <v>11122</v>
      </c>
      <c r="H7641" s="27" t="s">
        <v>35</v>
      </c>
      <c r="I7641" s="28" t="s">
        <v>46</v>
      </c>
      <c r="J7641" s="28" t="s">
        <v>785</v>
      </c>
      <c r="K7641" s="27" t="s">
        <v>37</v>
      </c>
      <c r="L7641" s="27"/>
    </row>
    <row r="7642" customFormat="false" ht="15" hidden="false" customHeight="false" outlineLevel="0" collapsed="false">
      <c r="A7642" s="26" t="s">
        <v>20202</v>
      </c>
      <c r="B7642" s="27" t="s">
        <v>20203</v>
      </c>
      <c r="C7642" s="27" t="s">
        <v>144</v>
      </c>
      <c r="D7642" s="26"/>
      <c r="E7642" s="27"/>
      <c r="F7642" s="27"/>
      <c r="G7642" s="27" t="s">
        <v>11122</v>
      </c>
      <c r="H7642" s="27" t="s">
        <v>35</v>
      </c>
      <c r="I7642" s="27" t="s">
        <v>37</v>
      </c>
      <c r="J7642" s="28" t="s">
        <v>785</v>
      </c>
      <c r="K7642" s="27" t="s">
        <v>37</v>
      </c>
      <c r="L7642" s="27"/>
    </row>
    <row r="7643" customFormat="false" ht="15" hidden="false" customHeight="false" outlineLevel="0" collapsed="false">
      <c r="A7643" s="26" t="s">
        <v>20204</v>
      </c>
      <c r="B7643" s="27" t="s">
        <v>20205</v>
      </c>
      <c r="C7643" s="27" t="s">
        <v>144</v>
      </c>
      <c r="D7643" s="26"/>
      <c r="E7643" s="27"/>
      <c r="F7643" s="27"/>
      <c r="G7643" s="27" t="s">
        <v>11122</v>
      </c>
      <c r="H7643" s="27" t="s">
        <v>35</v>
      </c>
      <c r="I7643" s="27" t="s">
        <v>37</v>
      </c>
      <c r="J7643" s="28" t="s">
        <v>785</v>
      </c>
      <c r="K7643" s="27" t="s">
        <v>37</v>
      </c>
      <c r="L7643" s="27"/>
    </row>
    <row r="7644" customFormat="false" ht="15" hidden="false" customHeight="false" outlineLevel="0" collapsed="false">
      <c r="A7644" s="26" t="s">
        <v>20206</v>
      </c>
      <c r="B7644" s="27" t="s">
        <v>20207</v>
      </c>
      <c r="C7644" s="27" t="s">
        <v>144</v>
      </c>
      <c r="D7644" s="26"/>
      <c r="E7644" s="27"/>
      <c r="F7644" s="27"/>
      <c r="G7644" s="27" t="s">
        <v>11122</v>
      </c>
      <c r="H7644" s="27" t="s">
        <v>35</v>
      </c>
      <c r="I7644" s="27" t="s">
        <v>37</v>
      </c>
      <c r="J7644" s="28" t="s">
        <v>785</v>
      </c>
      <c r="K7644" s="27" t="s">
        <v>37</v>
      </c>
      <c r="L7644" s="27"/>
    </row>
    <row r="7645" customFormat="false" ht="15" hidden="false" customHeight="false" outlineLevel="0" collapsed="false">
      <c r="A7645" s="26" t="s">
        <v>20208</v>
      </c>
      <c r="B7645" s="27" t="s">
        <v>20209</v>
      </c>
      <c r="C7645" s="27" t="s">
        <v>144</v>
      </c>
      <c r="D7645" s="26"/>
      <c r="E7645" s="27"/>
      <c r="F7645" s="27"/>
      <c r="G7645" s="27" t="s">
        <v>11122</v>
      </c>
      <c r="H7645" s="27" t="s">
        <v>35</v>
      </c>
      <c r="I7645" s="27" t="s">
        <v>37</v>
      </c>
      <c r="J7645" s="28" t="s">
        <v>785</v>
      </c>
      <c r="K7645" s="27" t="s">
        <v>37</v>
      </c>
      <c r="L7645" s="27"/>
    </row>
    <row r="7646" customFormat="false" ht="15" hidden="false" customHeight="false" outlineLevel="0" collapsed="false">
      <c r="A7646" s="26" t="s">
        <v>20210</v>
      </c>
      <c r="B7646" s="27" t="s">
        <v>20211</v>
      </c>
      <c r="C7646" s="27" t="s">
        <v>144</v>
      </c>
      <c r="D7646" s="26"/>
      <c r="E7646" s="27"/>
      <c r="F7646" s="27"/>
      <c r="G7646" s="27" t="s">
        <v>11122</v>
      </c>
      <c r="H7646" s="27" t="s">
        <v>35</v>
      </c>
      <c r="I7646" s="27" t="s">
        <v>37</v>
      </c>
      <c r="J7646" s="28" t="s">
        <v>785</v>
      </c>
      <c r="K7646" s="27" t="s">
        <v>37</v>
      </c>
      <c r="L7646" s="27"/>
    </row>
    <row r="7647" customFormat="false" ht="15" hidden="false" customHeight="false" outlineLevel="0" collapsed="false">
      <c r="A7647" s="26" t="s">
        <v>20212</v>
      </c>
      <c r="B7647" s="27" t="s">
        <v>20213</v>
      </c>
      <c r="C7647" s="27" t="s">
        <v>144</v>
      </c>
      <c r="D7647" s="26"/>
      <c r="E7647" s="27"/>
      <c r="F7647" s="27"/>
      <c r="G7647" s="27" t="s">
        <v>11122</v>
      </c>
      <c r="H7647" s="27" t="s">
        <v>35</v>
      </c>
      <c r="I7647" s="27" t="s">
        <v>43</v>
      </c>
      <c r="J7647" s="28" t="s">
        <v>785</v>
      </c>
      <c r="K7647" s="27" t="s">
        <v>37</v>
      </c>
      <c r="L7647" s="27"/>
    </row>
    <row r="7648" customFormat="false" ht="15" hidden="false" customHeight="false" outlineLevel="0" collapsed="false">
      <c r="A7648" s="26" t="s">
        <v>20214</v>
      </c>
      <c r="B7648" s="27" t="s">
        <v>20215</v>
      </c>
      <c r="C7648" s="27" t="s">
        <v>144</v>
      </c>
      <c r="D7648" s="26"/>
      <c r="E7648" s="27"/>
      <c r="F7648" s="27"/>
      <c r="G7648" s="27" t="s">
        <v>11122</v>
      </c>
      <c r="H7648" s="27" t="s">
        <v>35</v>
      </c>
      <c r="I7648" s="27" t="s">
        <v>39</v>
      </c>
      <c r="J7648" s="28" t="s">
        <v>785</v>
      </c>
      <c r="K7648" s="27" t="s">
        <v>37</v>
      </c>
      <c r="L7648" s="27"/>
    </row>
    <row r="7649" customFormat="false" ht="15" hidden="false" customHeight="false" outlineLevel="0" collapsed="false">
      <c r="A7649" s="26" t="s">
        <v>20216</v>
      </c>
      <c r="B7649" s="27" t="s">
        <v>20217</v>
      </c>
      <c r="C7649" s="27" t="s">
        <v>144</v>
      </c>
      <c r="D7649" s="26"/>
      <c r="E7649" s="27"/>
      <c r="F7649" s="27"/>
      <c r="G7649" s="27" t="s">
        <v>11122</v>
      </c>
      <c r="H7649" s="27" t="s">
        <v>35</v>
      </c>
      <c r="I7649" s="27" t="s">
        <v>37</v>
      </c>
      <c r="J7649" s="28" t="s">
        <v>785</v>
      </c>
      <c r="K7649" s="27" t="s">
        <v>37</v>
      </c>
      <c r="L7649" s="27"/>
    </row>
    <row r="7650" customFormat="false" ht="15" hidden="false" customHeight="false" outlineLevel="0" collapsed="false">
      <c r="A7650" s="26" t="s">
        <v>20218</v>
      </c>
      <c r="B7650" s="27" t="s">
        <v>20219</v>
      </c>
      <c r="C7650" s="27" t="s">
        <v>144</v>
      </c>
      <c r="D7650" s="26"/>
      <c r="E7650" s="27"/>
      <c r="F7650" s="27"/>
      <c r="G7650" s="27" t="s">
        <v>11122</v>
      </c>
      <c r="H7650" s="27" t="s">
        <v>35</v>
      </c>
      <c r="I7650" s="27" t="s">
        <v>37</v>
      </c>
      <c r="J7650" s="28" t="s">
        <v>785</v>
      </c>
      <c r="K7650" s="27" t="s">
        <v>37</v>
      </c>
      <c r="L7650" s="27"/>
    </row>
    <row r="7651" customFormat="false" ht="15" hidden="false" customHeight="false" outlineLevel="0" collapsed="false">
      <c r="A7651" s="26" t="s">
        <v>20220</v>
      </c>
      <c r="B7651" s="27" t="s">
        <v>20221</v>
      </c>
      <c r="C7651" s="27" t="s">
        <v>144</v>
      </c>
      <c r="D7651" s="26"/>
      <c r="E7651" s="27"/>
      <c r="F7651" s="27"/>
      <c r="G7651" s="27" t="s">
        <v>11122</v>
      </c>
      <c r="H7651" s="27" t="s">
        <v>35</v>
      </c>
      <c r="I7651" s="27" t="s">
        <v>38</v>
      </c>
      <c r="J7651" s="28" t="s">
        <v>785</v>
      </c>
      <c r="K7651" s="27" t="s">
        <v>37</v>
      </c>
      <c r="L7651" s="27"/>
    </row>
    <row r="7652" customFormat="false" ht="15" hidden="false" customHeight="false" outlineLevel="0" collapsed="false">
      <c r="A7652" s="26" t="s">
        <v>20222</v>
      </c>
      <c r="B7652" s="27" t="s">
        <v>20223</v>
      </c>
      <c r="C7652" s="27" t="s">
        <v>144</v>
      </c>
      <c r="D7652" s="26"/>
      <c r="E7652" s="27"/>
      <c r="F7652" s="27"/>
      <c r="G7652" s="27" t="s">
        <v>11122</v>
      </c>
      <c r="H7652" s="27" t="s">
        <v>35</v>
      </c>
      <c r="I7652" s="27" t="s">
        <v>41</v>
      </c>
      <c r="J7652" s="28" t="s">
        <v>785</v>
      </c>
      <c r="K7652" s="27" t="s">
        <v>37</v>
      </c>
      <c r="L7652" s="27"/>
    </row>
    <row r="7653" customFormat="false" ht="15" hidden="false" customHeight="false" outlineLevel="0" collapsed="false">
      <c r="A7653" s="26" t="s">
        <v>20224</v>
      </c>
      <c r="B7653" s="27" t="s">
        <v>20225</v>
      </c>
      <c r="C7653" s="27" t="s">
        <v>144</v>
      </c>
      <c r="D7653" s="26"/>
      <c r="E7653" s="27"/>
      <c r="F7653" s="27"/>
      <c r="G7653" s="27" t="s">
        <v>11122</v>
      </c>
      <c r="H7653" s="27" t="s">
        <v>35</v>
      </c>
      <c r="I7653" s="27" t="s">
        <v>37</v>
      </c>
      <c r="J7653" s="28" t="s">
        <v>785</v>
      </c>
      <c r="K7653" s="27" t="s">
        <v>37</v>
      </c>
      <c r="L7653" s="27"/>
    </row>
    <row r="7654" customFormat="false" ht="15" hidden="false" customHeight="false" outlineLevel="0" collapsed="false">
      <c r="A7654" s="26" t="s">
        <v>20226</v>
      </c>
      <c r="B7654" s="27" t="s">
        <v>20227</v>
      </c>
      <c r="C7654" s="27" t="s">
        <v>144</v>
      </c>
      <c r="D7654" s="26"/>
      <c r="E7654" s="27"/>
      <c r="F7654" s="27"/>
      <c r="G7654" s="27" t="s">
        <v>11122</v>
      </c>
      <c r="H7654" s="27" t="s">
        <v>35</v>
      </c>
      <c r="I7654" s="27" t="s">
        <v>37</v>
      </c>
      <c r="J7654" s="28" t="s">
        <v>785</v>
      </c>
      <c r="K7654" s="27" t="s">
        <v>37</v>
      </c>
      <c r="L7654" s="27"/>
    </row>
    <row r="7655" customFormat="false" ht="15" hidden="false" customHeight="false" outlineLevel="0" collapsed="false">
      <c r="A7655" s="26" t="s">
        <v>20228</v>
      </c>
      <c r="B7655" s="27" t="s">
        <v>20229</v>
      </c>
      <c r="C7655" s="27" t="s">
        <v>144</v>
      </c>
      <c r="D7655" s="26"/>
      <c r="E7655" s="27"/>
      <c r="F7655" s="27"/>
      <c r="G7655" s="27" t="s">
        <v>11122</v>
      </c>
      <c r="H7655" s="27" t="s">
        <v>35</v>
      </c>
      <c r="I7655" s="28" t="s">
        <v>46</v>
      </c>
      <c r="J7655" s="28" t="s">
        <v>785</v>
      </c>
      <c r="K7655" s="27" t="s">
        <v>37</v>
      </c>
      <c r="L7655" s="27"/>
    </row>
    <row r="7656" customFormat="false" ht="15" hidden="false" customHeight="false" outlineLevel="0" collapsed="false">
      <c r="A7656" s="26" t="s">
        <v>20230</v>
      </c>
      <c r="B7656" s="27" t="s">
        <v>20231</v>
      </c>
      <c r="C7656" s="27" t="s">
        <v>144</v>
      </c>
      <c r="D7656" s="26"/>
      <c r="E7656" s="27"/>
      <c r="F7656" s="27"/>
      <c r="G7656" s="27" t="s">
        <v>11122</v>
      </c>
      <c r="H7656" s="27" t="s">
        <v>35</v>
      </c>
      <c r="I7656" s="27" t="s">
        <v>40</v>
      </c>
      <c r="J7656" s="28" t="s">
        <v>785</v>
      </c>
      <c r="K7656" s="27" t="s">
        <v>37</v>
      </c>
      <c r="L7656" s="27"/>
    </row>
    <row r="7657" customFormat="false" ht="15" hidden="false" customHeight="false" outlineLevel="0" collapsed="false">
      <c r="A7657" s="26" t="s">
        <v>20232</v>
      </c>
      <c r="B7657" s="27" t="s">
        <v>20233</v>
      </c>
      <c r="C7657" s="27" t="s">
        <v>144</v>
      </c>
      <c r="D7657" s="26"/>
      <c r="E7657" s="27"/>
      <c r="F7657" s="27"/>
      <c r="G7657" s="27" t="s">
        <v>11122</v>
      </c>
      <c r="H7657" s="27" t="s">
        <v>35</v>
      </c>
      <c r="I7657" s="27" t="s">
        <v>42</v>
      </c>
      <c r="J7657" s="28" t="s">
        <v>785</v>
      </c>
      <c r="K7657" s="27" t="s">
        <v>37</v>
      </c>
      <c r="L7657" s="27"/>
    </row>
    <row r="7658" customFormat="false" ht="15" hidden="false" customHeight="false" outlineLevel="0" collapsed="false">
      <c r="A7658" s="26" t="s">
        <v>20234</v>
      </c>
      <c r="B7658" s="27" t="s">
        <v>20235</v>
      </c>
      <c r="C7658" s="27" t="s">
        <v>144</v>
      </c>
      <c r="D7658" s="26"/>
      <c r="E7658" s="27"/>
      <c r="F7658" s="27"/>
      <c r="G7658" s="27" t="s">
        <v>11122</v>
      </c>
      <c r="H7658" s="27" t="s">
        <v>35</v>
      </c>
      <c r="I7658" s="27" t="s">
        <v>37</v>
      </c>
      <c r="J7658" s="28" t="s">
        <v>785</v>
      </c>
      <c r="K7658" s="27" t="s">
        <v>37</v>
      </c>
      <c r="L7658" s="27"/>
    </row>
    <row r="7659" customFormat="false" ht="15" hidden="false" customHeight="false" outlineLevel="0" collapsed="false">
      <c r="A7659" s="26" t="s">
        <v>20236</v>
      </c>
      <c r="B7659" s="27" t="s">
        <v>20237</v>
      </c>
      <c r="C7659" s="27" t="s">
        <v>144</v>
      </c>
      <c r="D7659" s="26"/>
      <c r="E7659" s="27"/>
      <c r="F7659" s="27"/>
      <c r="G7659" s="27" t="s">
        <v>11122</v>
      </c>
      <c r="H7659" s="27" t="s">
        <v>35</v>
      </c>
      <c r="I7659" s="27" t="s">
        <v>37</v>
      </c>
      <c r="J7659" s="28" t="s">
        <v>785</v>
      </c>
      <c r="K7659" s="27" t="s">
        <v>37</v>
      </c>
      <c r="L7659" s="27"/>
    </row>
    <row r="7660" customFormat="false" ht="15" hidden="false" customHeight="false" outlineLevel="0" collapsed="false">
      <c r="A7660" s="26" t="s">
        <v>20238</v>
      </c>
      <c r="B7660" s="27" t="s">
        <v>20239</v>
      </c>
      <c r="C7660" s="27" t="s">
        <v>144</v>
      </c>
      <c r="D7660" s="26"/>
      <c r="E7660" s="27"/>
      <c r="F7660" s="27"/>
      <c r="G7660" s="27" t="s">
        <v>11122</v>
      </c>
      <c r="H7660" s="27" t="s">
        <v>35</v>
      </c>
      <c r="I7660" s="27" t="s">
        <v>37</v>
      </c>
      <c r="J7660" s="28" t="s">
        <v>785</v>
      </c>
      <c r="K7660" s="27" t="s">
        <v>37</v>
      </c>
      <c r="L7660" s="27"/>
    </row>
    <row r="7661" customFormat="false" ht="15" hidden="false" customHeight="false" outlineLevel="0" collapsed="false">
      <c r="A7661" s="26" t="s">
        <v>20240</v>
      </c>
      <c r="B7661" s="27" t="s">
        <v>20241</v>
      </c>
      <c r="C7661" s="27" t="s">
        <v>144</v>
      </c>
      <c r="D7661" s="26"/>
      <c r="E7661" s="27"/>
      <c r="F7661" s="27"/>
      <c r="G7661" s="27" t="s">
        <v>11122</v>
      </c>
      <c r="H7661" s="27" t="s">
        <v>35</v>
      </c>
      <c r="I7661" s="27" t="s">
        <v>37</v>
      </c>
      <c r="J7661" s="28" t="s">
        <v>785</v>
      </c>
      <c r="K7661" s="27" t="s">
        <v>37</v>
      </c>
      <c r="L7661" s="27"/>
    </row>
    <row r="7662" customFormat="false" ht="15" hidden="false" customHeight="false" outlineLevel="0" collapsed="false">
      <c r="A7662" s="26" t="s">
        <v>20242</v>
      </c>
      <c r="B7662" s="27" t="s">
        <v>20243</v>
      </c>
      <c r="C7662" s="27" t="s">
        <v>144</v>
      </c>
      <c r="D7662" s="26"/>
      <c r="E7662" s="27"/>
      <c r="F7662" s="27"/>
      <c r="G7662" s="27" t="s">
        <v>11122</v>
      </c>
      <c r="H7662" s="27" t="s">
        <v>35</v>
      </c>
      <c r="I7662" s="27" t="s">
        <v>37</v>
      </c>
      <c r="J7662" s="28" t="s">
        <v>785</v>
      </c>
      <c r="K7662" s="27" t="s">
        <v>37</v>
      </c>
      <c r="L7662" s="27"/>
    </row>
    <row r="7663" customFormat="false" ht="15" hidden="false" customHeight="false" outlineLevel="0" collapsed="false">
      <c r="A7663" s="26" t="s">
        <v>20244</v>
      </c>
      <c r="B7663" s="27" t="s">
        <v>20245</v>
      </c>
      <c r="C7663" s="27" t="s">
        <v>144</v>
      </c>
      <c r="D7663" s="26"/>
      <c r="E7663" s="27"/>
      <c r="F7663" s="27"/>
      <c r="G7663" s="27" t="s">
        <v>11122</v>
      </c>
      <c r="H7663" s="27" t="s">
        <v>35</v>
      </c>
      <c r="I7663" s="27" t="s">
        <v>3536</v>
      </c>
      <c r="J7663" s="28" t="s">
        <v>785</v>
      </c>
      <c r="K7663" s="27" t="s">
        <v>37</v>
      </c>
      <c r="L7663" s="27"/>
    </row>
    <row r="7664" customFormat="false" ht="15" hidden="false" customHeight="false" outlineLevel="0" collapsed="false">
      <c r="A7664" s="26" t="s">
        <v>20246</v>
      </c>
      <c r="B7664" s="27" t="s">
        <v>20247</v>
      </c>
      <c r="C7664" s="27" t="s">
        <v>144</v>
      </c>
      <c r="D7664" s="26"/>
      <c r="E7664" s="27"/>
      <c r="F7664" s="27"/>
      <c r="G7664" s="27" t="s">
        <v>11122</v>
      </c>
      <c r="H7664" s="27" t="s">
        <v>35</v>
      </c>
      <c r="I7664" s="27" t="s">
        <v>41</v>
      </c>
      <c r="J7664" s="28" t="s">
        <v>785</v>
      </c>
      <c r="K7664" s="27" t="s">
        <v>37</v>
      </c>
      <c r="L7664" s="27"/>
    </row>
    <row r="7665" customFormat="false" ht="15" hidden="false" customHeight="false" outlineLevel="0" collapsed="false">
      <c r="A7665" s="26" t="s">
        <v>20248</v>
      </c>
      <c r="B7665" s="27" t="s">
        <v>20249</v>
      </c>
      <c r="C7665" s="27" t="s">
        <v>144</v>
      </c>
      <c r="D7665" s="26"/>
      <c r="E7665" s="27"/>
      <c r="F7665" s="27"/>
      <c r="G7665" s="27" t="s">
        <v>11122</v>
      </c>
      <c r="H7665" s="27" t="s">
        <v>35</v>
      </c>
      <c r="I7665" s="27" t="s">
        <v>37</v>
      </c>
      <c r="J7665" s="28" t="s">
        <v>785</v>
      </c>
      <c r="K7665" s="27" t="s">
        <v>37</v>
      </c>
      <c r="L7665" s="27"/>
    </row>
    <row r="7666" customFormat="false" ht="15" hidden="false" customHeight="false" outlineLevel="0" collapsed="false">
      <c r="A7666" s="26" t="s">
        <v>20250</v>
      </c>
      <c r="B7666" s="27" t="s">
        <v>20251</v>
      </c>
      <c r="C7666" s="27" t="s">
        <v>144</v>
      </c>
      <c r="D7666" s="26"/>
      <c r="E7666" s="27"/>
      <c r="F7666" s="27"/>
      <c r="G7666" s="27" t="s">
        <v>11122</v>
      </c>
      <c r="H7666" s="27" t="s">
        <v>35</v>
      </c>
      <c r="I7666" s="27" t="s">
        <v>37</v>
      </c>
      <c r="J7666" s="28" t="s">
        <v>785</v>
      </c>
      <c r="K7666" s="27" t="s">
        <v>37</v>
      </c>
      <c r="L7666" s="27"/>
    </row>
    <row r="7667" customFormat="false" ht="15" hidden="false" customHeight="false" outlineLevel="0" collapsed="false">
      <c r="A7667" s="26" t="s">
        <v>20252</v>
      </c>
      <c r="B7667" s="27" t="s">
        <v>20253</v>
      </c>
      <c r="C7667" s="27" t="s">
        <v>144</v>
      </c>
      <c r="D7667" s="26"/>
      <c r="E7667" s="27"/>
      <c r="F7667" s="27"/>
      <c r="G7667" s="27" t="s">
        <v>11122</v>
      </c>
      <c r="H7667" s="27" t="s">
        <v>35</v>
      </c>
      <c r="I7667" s="27" t="s">
        <v>37</v>
      </c>
      <c r="J7667" s="28" t="s">
        <v>785</v>
      </c>
      <c r="K7667" s="27" t="s">
        <v>37</v>
      </c>
      <c r="L7667" s="27"/>
    </row>
    <row r="7668" customFormat="false" ht="15" hidden="false" customHeight="false" outlineLevel="0" collapsed="false">
      <c r="A7668" s="26" t="s">
        <v>20254</v>
      </c>
      <c r="B7668" s="27" t="s">
        <v>20255</v>
      </c>
      <c r="C7668" s="27" t="s">
        <v>144</v>
      </c>
      <c r="D7668" s="26"/>
      <c r="E7668" s="27"/>
      <c r="F7668" s="27"/>
      <c r="G7668" s="27" t="s">
        <v>11122</v>
      </c>
      <c r="H7668" s="27" t="s">
        <v>35</v>
      </c>
      <c r="I7668" s="27" t="s">
        <v>37</v>
      </c>
      <c r="J7668" s="28" t="s">
        <v>785</v>
      </c>
      <c r="K7668" s="27" t="s">
        <v>37</v>
      </c>
      <c r="L7668" s="27"/>
    </row>
    <row r="7669" customFormat="false" ht="15" hidden="false" customHeight="false" outlineLevel="0" collapsed="false">
      <c r="A7669" s="26" t="s">
        <v>20256</v>
      </c>
      <c r="B7669" s="27" t="s">
        <v>20257</v>
      </c>
      <c r="C7669" s="27" t="s">
        <v>144</v>
      </c>
      <c r="D7669" s="26"/>
      <c r="E7669" s="27"/>
      <c r="F7669" s="27"/>
      <c r="G7669" s="27" t="s">
        <v>11122</v>
      </c>
      <c r="H7669" s="27" t="s">
        <v>35</v>
      </c>
      <c r="I7669" s="27" t="s">
        <v>37</v>
      </c>
      <c r="J7669" s="28" t="s">
        <v>785</v>
      </c>
      <c r="K7669" s="27" t="s">
        <v>37</v>
      </c>
      <c r="L7669" s="27"/>
    </row>
    <row r="7670" customFormat="false" ht="15" hidden="false" customHeight="false" outlineLevel="0" collapsed="false">
      <c r="A7670" s="26" t="s">
        <v>20258</v>
      </c>
      <c r="B7670" s="27" t="s">
        <v>20259</v>
      </c>
      <c r="C7670" s="27" t="s">
        <v>144</v>
      </c>
      <c r="D7670" s="26"/>
      <c r="E7670" s="27"/>
      <c r="F7670" s="27"/>
      <c r="G7670" s="27" t="s">
        <v>11122</v>
      </c>
      <c r="H7670" s="27" t="s">
        <v>35</v>
      </c>
      <c r="I7670" s="27" t="s">
        <v>37</v>
      </c>
      <c r="J7670" s="28" t="s">
        <v>785</v>
      </c>
      <c r="K7670" s="27" t="s">
        <v>37</v>
      </c>
      <c r="L7670" s="27"/>
    </row>
    <row r="7671" customFormat="false" ht="15" hidden="false" customHeight="false" outlineLevel="0" collapsed="false">
      <c r="A7671" s="26" t="s">
        <v>20260</v>
      </c>
      <c r="B7671" s="27" t="s">
        <v>20261</v>
      </c>
      <c r="C7671" s="27" t="s">
        <v>144</v>
      </c>
      <c r="D7671" s="26"/>
      <c r="E7671" s="27"/>
      <c r="F7671" s="27"/>
      <c r="G7671" s="27" t="s">
        <v>11122</v>
      </c>
      <c r="H7671" s="27" t="s">
        <v>35</v>
      </c>
      <c r="I7671" s="27" t="s">
        <v>37</v>
      </c>
      <c r="J7671" s="28" t="s">
        <v>785</v>
      </c>
      <c r="K7671" s="27" t="s">
        <v>37</v>
      </c>
      <c r="L7671" s="27"/>
    </row>
    <row r="7672" customFormat="false" ht="15" hidden="false" customHeight="false" outlineLevel="0" collapsed="false">
      <c r="A7672" s="26" t="s">
        <v>20262</v>
      </c>
      <c r="B7672" s="27" t="s">
        <v>20263</v>
      </c>
      <c r="C7672" s="27" t="s">
        <v>144</v>
      </c>
      <c r="D7672" s="26"/>
      <c r="E7672" s="27"/>
      <c r="F7672" s="27"/>
      <c r="G7672" s="27" t="s">
        <v>11122</v>
      </c>
      <c r="H7672" s="27" t="s">
        <v>35</v>
      </c>
      <c r="I7672" s="27" t="s">
        <v>37</v>
      </c>
      <c r="J7672" s="28" t="s">
        <v>785</v>
      </c>
      <c r="K7672" s="27" t="s">
        <v>37</v>
      </c>
      <c r="L7672" s="27"/>
    </row>
    <row r="7673" customFormat="false" ht="15" hidden="false" customHeight="false" outlineLevel="0" collapsed="false">
      <c r="A7673" s="26" t="s">
        <v>20264</v>
      </c>
      <c r="B7673" s="27" t="s">
        <v>20265</v>
      </c>
      <c r="C7673" s="27" t="s">
        <v>144</v>
      </c>
      <c r="D7673" s="26"/>
      <c r="E7673" s="27"/>
      <c r="F7673" s="27"/>
      <c r="G7673" s="27" t="s">
        <v>11122</v>
      </c>
      <c r="H7673" s="27" t="s">
        <v>35</v>
      </c>
      <c r="I7673" s="27" t="s">
        <v>37</v>
      </c>
      <c r="J7673" s="28" t="s">
        <v>785</v>
      </c>
      <c r="K7673" s="27" t="s">
        <v>37</v>
      </c>
      <c r="L7673" s="27"/>
    </row>
    <row r="7674" customFormat="false" ht="15" hidden="false" customHeight="false" outlineLevel="0" collapsed="false">
      <c r="A7674" s="26" t="s">
        <v>20266</v>
      </c>
      <c r="B7674" s="27" t="s">
        <v>20267</v>
      </c>
      <c r="C7674" s="27" t="s">
        <v>144</v>
      </c>
      <c r="D7674" s="26"/>
      <c r="E7674" s="27"/>
      <c r="F7674" s="27"/>
      <c r="G7674" s="27" t="s">
        <v>11122</v>
      </c>
      <c r="H7674" s="27" t="s">
        <v>35</v>
      </c>
      <c r="I7674" s="27" t="s">
        <v>41</v>
      </c>
      <c r="J7674" s="28" t="s">
        <v>785</v>
      </c>
      <c r="K7674" s="27" t="s">
        <v>37</v>
      </c>
      <c r="L7674" s="27"/>
    </row>
    <row r="7675" customFormat="false" ht="15" hidden="false" customHeight="false" outlineLevel="0" collapsed="false">
      <c r="A7675" s="26" t="s">
        <v>20268</v>
      </c>
      <c r="B7675" s="27" t="s">
        <v>20269</v>
      </c>
      <c r="C7675" s="27" t="s">
        <v>144</v>
      </c>
      <c r="D7675" s="26"/>
      <c r="E7675" s="27"/>
      <c r="F7675" s="27"/>
      <c r="G7675" s="27" t="s">
        <v>11122</v>
      </c>
      <c r="H7675" s="27" t="s">
        <v>35</v>
      </c>
      <c r="I7675" s="27" t="s">
        <v>37</v>
      </c>
      <c r="J7675" s="28" t="s">
        <v>785</v>
      </c>
      <c r="K7675" s="27" t="s">
        <v>37</v>
      </c>
      <c r="L7675" s="27"/>
    </row>
    <row r="7676" customFormat="false" ht="15" hidden="false" customHeight="false" outlineLevel="0" collapsed="false">
      <c r="A7676" s="26" t="s">
        <v>20270</v>
      </c>
      <c r="B7676" s="27" t="s">
        <v>20271</v>
      </c>
      <c r="C7676" s="27" t="s">
        <v>144</v>
      </c>
      <c r="D7676" s="26"/>
      <c r="E7676" s="27"/>
      <c r="F7676" s="27"/>
      <c r="G7676" s="27" t="s">
        <v>11122</v>
      </c>
      <c r="H7676" s="27" t="s">
        <v>35</v>
      </c>
      <c r="I7676" s="27" t="s">
        <v>37</v>
      </c>
      <c r="J7676" s="28" t="s">
        <v>785</v>
      </c>
      <c r="K7676" s="27" t="s">
        <v>37</v>
      </c>
      <c r="L7676" s="27"/>
    </row>
    <row r="7677" customFormat="false" ht="15" hidden="false" customHeight="false" outlineLevel="0" collapsed="false">
      <c r="A7677" s="26" t="s">
        <v>20272</v>
      </c>
      <c r="B7677" s="27" t="s">
        <v>20273</v>
      </c>
      <c r="C7677" s="27" t="s">
        <v>144</v>
      </c>
      <c r="D7677" s="26"/>
      <c r="E7677" s="27"/>
      <c r="F7677" s="27"/>
      <c r="G7677" s="27" t="s">
        <v>11122</v>
      </c>
      <c r="H7677" s="27" t="s">
        <v>35</v>
      </c>
      <c r="I7677" s="27" t="s">
        <v>41</v>
      </c>
      <c r="J7677" s="28" t="s">
        <v>785</v>
      </c>
      <c r="K7677" s="27" t="s">
        <v>37</v>
      </c>
      <c r="L7677" s="27"/>
    </row>
    <row r="7678" customFormat="false" ht="15" hidden="false" customHeight="false" outlineLevel="0" collapsed="false">
      <c r="A7678" s="26" t="s">
        <v>20274</v>
      </c>
      <c r="B7678" s="27" t="s">
        <v>20275</v>
      </c>
      <c r="C7678" s="27" t="s">
        <v>144</v>
      </c>
      <c r="D7678" s="26"/>
      <c r="E7678" s="27"/>
      <c r="F7678" s="27"/>
      <c r="G7678" s="27" t="s">
        <v>11122</v>
      </c>
      <c r="H7678" s="27" t="s">
        <v>35</v>
      </c>
      <c r="I7678" s="27" t="s">
        <v>37</v>
      </c>
      <c r="J7678" s="28" t="s">
        <v>785</v>
      </c>
      <c r="K7678" s="27" t="s">
        <v>37</v>
      </c>
      <c r="L7678" s="27"/>
    </row>
    <row r="7679" customFormat="false" ht="15" hidden="false" customHeight="false" outlineLevel="0" collapsed="false">
      <c r="A7679" s="26" t="s">
        <v>20276</v>
      </c>
      <c r="B7679" s="27" t="s">
        <v>20277</v>
      </c>
      <c r="C7679" s="27" t="s">
        <v>144</v>
      </c>
      <c r="D7679" s="26"/>
      <c r="E7679" s="27"/>
      <c r="F7679" s="27"/>
      <c r="G7679" s="27" t="s">
        <v>11122</v>
      </c>
      <c r="H7679" s="27" t="s">
        <v>35</v>
      </c>
      <c r="I7679" s="27" t="s">
        <v>37</v>
      </c>
      <c r="J7679" s="28" t="s">
        <v>785</v>
      </c>
      <c r="K7679" s="27" t="s">
        <v>37</v>
      </c>
      <c r="L7679" s="27"/>
    </row>
    <row r="7680" customFormat="false" ht="15" hidden="false" customHeight="false" outlineLevel="0" collapsed="false">
      <c r="A7680" s="26" t="s">
        <v>20278</v>
      </c>
      <c r="B7680" s="27" t="s">
        <v>20279</v>
      </c>
      <c r="C7680" s="27" t="s">
        <v>144</v>
      </c>
      <c r="D7680" s="26"/>
      <c r="E7680" s="27"/>
      <c r="F7680" s="27"/>
      <c r="G7680" s="27" t="s">
        <v>11122</v>
      </c>
      <c r="H7680" s="27" t="s">
        <v>35</v>
      </c>
      <c r="I7680" s="27" t="s">
        <v>37</v>
      </c>
      <c r="J7680" s="28" t="s">
        <v>785</v>
      </c>
      <c r="K7680" s="27" t="s">
        <v>37</v>
      </c>
      <c r="L7680" s="27"/>
    </row>
    <row r="7681" customFormat="false" ht="15" hidden="false" customHeight="false" outlineLevel="0" collapsed="false">
      <c r="A7681" s="26" t="s">
        <v>20280</v>
      </c>
      <c r="B7681" s="27" t="s">
        <v>20281</v>
      </c>
      <c r="C7681" s="27" t="s">
        <v>144</v>
      </c>
      <c r="D7681" s="26"/>
      <c r="E7681" s="27"/>
      <c r="F7681" s="27"/>
      <c r="G7681" s="27" t="s">
        <v>11122</v>
      </c>
      <c r="H7681" s="27" t="s">
        <v>35</v>
      </c>
      <c r="I7681" s="27" t="s">
        <v>37</v>
      </c>
      <c r="J7681" s="28" t="s">
        <v>785</v>
      </c>
      <c r="K7681" s="27" t="s">
        <v>37</v>
      </c>
      <c r="L7681" s="27"/>
    </row>
    <row r="7682" customFormat="false" ht="15" hidden="false" customHeight="false" outlineLevel="0" collapsed="false">
      <c r="A7682" s="26" t="s">
        <v>20282</v>
      </c>
      <c r="B7682" s="27" t="s">
        <v>20283</v>
      </c>
      <c r="C7682" s="27" t="s">
        <v>144</v>
      </c>
      <c r="D7682" s="26"/>
      <c r="E7682" s="27"/>
      <c r="F7682" s="27"/>
      <c r="G7682" s="27" t="s">
        <v>11122</v>
      </c>
      <c r="H7682" s="27" t="s">
        <v>35</v>
      </c>
      <c r="I7682" s="27" t="s">
        <v>48</v>
      </c>
      <c r="J7682" s="28" t="s">
        <v>785</v>
      </c>
      <c r="K7682" s="27" t="s">
        <v>37</v>
      </c>
      <c r="L7682" s="27"/>
    </row>
    <row r="7683" customFormat="false" ht="15" hidden="false" customHeight="false" outlineLevel="0" collapsed="false">
      <c r="A7683" s="26" t="s">
        <v>20284</v>
      </c>
      <c r="B7683" s="27" t="s">
        <v>20285</v>
      </c>
      <c r="C7683" s="27" t="s">
        <v>144</v>
      </c>
      <c r="D7683" s="26"/>
      <c r="E7683" s="27"/>
      <c r="F7683" s="27"/>
      <c r="G7683" s="27" t="s">
        <v>11122</v>
      </c>
      <c r="H7683" s="27" t="s">
        <v>35</v>
      </c>
      <c r="I7683" s="27" t="s">
        <v>42</v>
      </c>
      <c r="J7683" s="28" t="s">
        <v>785</v>
      </c>
      <c r="K7683" s="27" t="s">
        <v>37</v>
      </c>
      <c r="L7683" s="27"/>
    </row>
    <row r="7684" customFormat="false" ht="15" hidden="false" customHeight="false" outlineLevel="0" collapsed="false">
      <c r="A7684" s="26" t="s">
        <v>20286</v>
      </c>
      <c r="B7684" s="27" t="s">
        <v>20287</v>
      </c>
      <c r="C7684" s="27" t="s">
        <v>144</v>
      </c>
      <c r="D7684" s="26"/>
      <c r="E7684" s="27"/>
      <c r="F7684" s="27"/>
      <c r="G7684" s="27" t="s">
        <v>11122</v>
      </c>
      <c r="H7684" s="27" t="s">
        <v>35</v>
      </c>
      <c r="I7684" s="27" t="s">
        <v>37</v>
      </c>
      <c r="J7684" s="28" t="s">
        <v>785</v>
      </c>
      <c r="K7684" s="27" t="s">
        <v>37</v>
      </c>
      <c r="L7684" s="27"/>
    </row>
    <row r="7685" customFormat="false" ht="15" hidden="false" customHeight="false" outlineLevel="0" collapsed="false">
      <c r="A7685" s="26" t="s">
        <v>20288</v>
      </c>
      <c r="B7685" s="27" t="s">
        <v>20289</v>
      </c>
      <c r="C7685" s="27" t="s">
        <v>144</v>
      </c>
      <c r="D7685" s="26"/>
      <c r="E7685" s="27"/>
      <c r="F7685" s="27"/>
      <c r="G7685" s="27" t="s">
        <v>11122</v>
      </c>
      <c r="H7685" s="27" t="s">
        <v>35</v>
      </c>
      <c r="I7685" s="27" t="s">
        <v>37</v>
      </c>
      <c r="J7685" s="28" t="s">
        <v>785</v>
      </c>
      <c r="K7685" s="27" t="s">
        <v>37</v>
      </c>
      <c r="L7685" s="27"/>
    </row>
    <row r="7686" customFormat="false" ht="15" hidden="false" customHeight="false" outlineLevel="0" collapsed="false">
      <c r="A7686" s="26" t="s">
        <v>20290</v>
      </c>
      <c r="B7686" s="27" t="s">
        <v>20291</v>
      </c>
      <c r="C7686" s="27" t="s">
        <v>144</v>
      </c>
      <c r="D7686" s="26"/>
      <c r="E7686" s="27"/>
      <c r="F7686" s="27"/>
      <c r="G7686" s="27" t="s">
        <v>11122</v>
      </c>
      <c r="H7686" s="27" t="s">
        <v>35</v>
      </c>
      <c r="I7686" s="27" t="s">
        <v>41</v>
      </c>
      <c r="J7686" s="28" t="s">
        <v>785</v>
      </c>
      <c r="K7686" s="27" t="s">
        <v>37</v>
      </c>
      <c r="L7686" s="27"/>
    </row>
    <row r="7687" customFormat="false" ht="15" hidden="false" customHeight="false" outlineLevel="0" collapsed="false">
      <c r="A7687" s="26" t="s">
        <v>20292</v>
      </c>
      <c r="B7687" s="27" t="s">
        <v>20293</v>
      </c>
      <c r="C7687" s="27" t="s">
        <v>144</v>
      </c>
      <c r="D7687" s="26"/>
      <c r="E7687" s="27"/>
      <c r="F7687" s="27"/>
      <c r="G7687" s="27" t="s">
        <v>11122</v>
      </c>
      <c r="H7687" s="27" t="s">
        <v>35</v>
      </c>
      <c r="I7687" s="27" t="s">
        <v>37</v>
      </c>
      <c r="J7687" s="28" t="s">
        <v>785</v>
      </c>
      <c r="K7687" s="27" t="s">
        <v>37</v>
      </c>
      <c r="L7687" s="27"/>
    </row>
    <row r="7688" customFormat="false" ht="15" hidden="false" customHeight="false" outlineLevel="0" collapsed="false">
      <c r="A7688" s="26" t="s">
        <v>20294</v>
      </c>
      <c r="B7688" s="27" t="s">
        <v>20295</v>
      </c>
      <c r="C7688" s="27" t="s">
        <v>144</v>
      </c>
      <c r="D7688" s="26"/>
      <c r="E7688" s="27"/>
      <c r="F7688" s="27"/>
      <c r="G7688" s="27" t="s">
        <v>11122</v>
      </c>
      <c r="H7688" s="27" t="s">
        <v>35</v>
      </c>
      <c r="I7688" s="27" t="s">
        <v>43</v>
      </c>
      <c r="J7688" s="28" t="s">
        <v>785</v>
      </c>
      <c r="K7688" s="27" t="s">
        <v>37</v>
      </c>
      <c r="L7688" s="27"/>
    </row>
    <row r="7689" customFormat="false" ht="15" hidden="false" customHeight="false" outlineLevel="0" collapsed="false">
      <c r="A7689" s="26" t="s">
        <v>20296</v>
      </c>
      <c r="B7689" s="27" t="s">
        <v>20297</v>
      </c>
      <c r="C7689" s="27" t="s">
        <v>144</v>
      </c>
      <c r="D7689" s="26"/>
      <c r="E7689" s="27"/>
      <c r="F7689" s="27"/>
      <c r="G7689" s="27" t="s">
        <v>11122</v>
      </c>
      <c r="H7689" s="27" t="s">
        <v>35</v>
      </c>
      <c r="I7689" s="27" t="s">
        <v>38</v>
      </c>
      <c r="J7689" s="28" t="s">
        <v>785</v>
      </c>
      <c r="K7689" s="27" t="s">
        <v>37</v>
      </c>
      <c r="L7689" s="27"/>
    </row>
    <row r="7690" customFormat="false" ht="15" hidden="false" customHeight="false" outlineLevel="0" collapsed="false">
      <c r="A7690" s="26" t="s">
        <v>20298</v>
      </c>
      <c r="B7690" s="27" t="s">
        <v>20299</v>
      </c>
      <c r="C7690" s="27" t="s">
        <v>144</v>
      </c>
      <c r="D7690" s="26"/>
      <c r="E7690" s="27"/>
      <c r="F7690" s="27"/>
      <c r="G7690" s="27" t="s">
        <v>11122</v>
      </c>
      <c r="H7690" s="27" t="s">
        <v>35</v>
      </c>
      <c r="I7690" s="27" t="s">
        <v>43</v>
      </c>
      <c r="J7690" s="28" t="s">
        <v>785</v>
      </c>
      <c r="K7690" s="27" t="s">
        <v>37</v>
      </c>
      <c r="L7690" s="27"/>
    </row>
    <row r="7691" customFormat="false" ht="15" hidden="false" customHeight="false" outlineLevel="0" collapsed="false">
      <c r="A7691" s="26" t="s">
        <v>20300</v>
      </c>
      <c r="B7691" s="27" t="s">
        <v>20301</v>
      </c>
      <c r="C7691" s="27" t="s">
        <v>144</v>
      </c>
      <c r="D7691" s="26"/>
      <c r="E7691" s="27"/>
      <c r="F7691" s="27"/>
      <c r="G7691" s="27" t="s">
        <v>11122</v>
      </c>
      <c r="H7691" s="27" t="s">
        <v>35</v>
      </c>
      <c r="I7691" s="27" t="s">
        <v>37</v>
      </c>
      <c r="J7691" s="28" t="s">
        <v>785</v>
      </c>
      <c r="K7691" s="27" t="s">
        <v>37</v>
      </c>
      <c r="L7691" s="27"/>
    </row>
    <row r="7692" customFormat="false" ht="15" hidden="false" customHeight="false" outlineLevel="0" collapsed="false">
      <c r="A7692" s="26" t="s">
        <v>20302</v>
      </c>
      <c r="B7692" s="27" t="s">
        <v>20303</v>
      </c>
      <c r="C7692" s="27" t="s">
        <v>144</v>
      </c>
      <c r="D7692" s="26"/>
      <c r="E7692" s="27"/>
      <c r="F7692" s="27"/>
      <c r="G7692" s="27" t="s">
        <v>11122</v>
      </c>
      <c r="H7692" s="27" t="s">
        <v>35</v>
      </c>
      <c r="I7692" s="27" t="s">
        <v>43</v>
      </c>
      <c r="J7692" s="28" t="s">
        <v>785</v>
      </c>
      <c r="K7692" s="27" t="s">
        <v>37</v>
      </c>
      <c r="L7692" s="27"/>
    </row>
    <row r="7693" customFormat="false" ht="15" hidden="false" customHeight="false" outlineLevel="0" collapsed="false">
      <c r="A7693" s="26" t="s">
        <v>20304</v>
      </c>
      <c r="B7693" s="27" t="s">
        <v>20305</v>
      </c>
      <c r="C7693" s="27" t="s">
        <v>144</v>
      </c>
      <c r="D7693" s="26"/>
      <c r="E7693" s="27"/>
      <c r="F7693" s="27"/>
      <c r="G7693" s="27" t="s">
        <v>11122</v>
      </c>
      <c r="H7693" s="27" t="s">
        <v>35</v>
      </c>
      <c r="I7693" s="27" t="s">
        <v>37</v>
      </c>
      <c r="J7693" s="28" t="s">
        <v>785</v>
      </c>
      <c r="K7693" s="27" t="s">
        <v>37</v>
      </c>
      <c r="L7693" s="27"/>
    </row>
    <row r="7694" customFormat="false" ht="15" hidden="false" customHeight="false" outlineLevel="0" collapsed="false">
      <c r="A7694" s="26" t="s">
        <v>20306</v>
      </c>
      <c r="B7694" s="27" t="s">
        <v>20307</v>
      </c>
      <c r="C7694" s="27" t="s">
        <v>144</v>
      </c>
      <c r="D7694" s="26"/>
      <c r="E7694" s="27"/>
      <c r="F7694" s="27"/>
      <c r="G7694" s="27" t="s">
        <v>11122</v>
      </c>
      <c r="H7694" s="27" t="s">
        <v>35</v>
      </c>
      <c r="I7694" s="27" t="s">
        <v>38</v>
      </c>
      <c r="J7694" s="28" t="s">
        <v>785</v>
      </c>
      <c r="K7694" s="27" t="s">
        <v>37</v>
      </c>
      <c r="L7694" s="27"/>
    </row>
    <row r="7695" customFormat="false" ht="15" hidden="false" customHeight="false" outlineLevel="0" collapsed="false">
      <c r="A7695" s="26" t="s">
        <v>20308</v>
      </c>
      <c r="B7695" s="27" t="s">
        <v>20309</v>
      </c>
      <c r="C7695" s="27" t="s">
        <v>144</v>
      </c>
      <c r="D7695" s="26"/>
      <c r="E7695" s="27"/>
      <c r="F7695" s="27"/>
      <c r="G7695" s="27" t="s">
        <v>11122</v>
      </c>
      <c r="H7695" s="27" t="s">
        <v>35</v>
      </c>
      <c r="I7695" s="27" t="s">
        <v>37</v>
      </c>
      <c r="J7695" s="28" t="s">
        <v>785</v>
      </c>
      <c r="K7695" s="27" t="s">
        <v>37</v>
      </c>
      <c r="L7695" s="27"/>
    </row>
    <row r="7696" customFormat="false" ht="15" hidden="false" customHeight="false" outlineLevel="0" collapsed="false">
      <c r="A7696" s="26" t="s">
        <v>20310</v>
      </c>
      <c r="B7696" s="27" t="s">
        <v>20311</v>
      </c>
      <c r="C7696" s="27" t="s">
        <v>144</v>
      </c>
      <c r="D7696" s="26"/>
      <c r="E7696" s="27"/>
      <c r="F7696" s="27"/>
      <c r="G7696" s="27" t="s">
        <v>11122</v>
      </c>
      <c r="H7696" s="27" t="s">
        <v>35</v>
      </c>
      <c r="I7696" s="27" t="s">
        <v>37</v>
      </c>
      <c r="J7696" s="28" t="s">
        <v>785</v>
      </c>
      <c r="K7696" s="27" t="s">
        <v>37</v>
      </c>
      <c r="L7696" s="27"/>
    </row>
    <row r="7697" customFormat="false" ht="15" hidden="false" customHeight="false" outlineLevel="0" collapsed="false">
      <c r="A7697" s="26" t="s">
        <v>20312</v>
      </c>
      <c r="B7697" s="27" t="s">
        <v>20313</v>
      </c>
      <c r="C7697" s="27" t="s">
        <v>144</v>
      </c>
      <c r="D7697" s="26"/>
      <c r="E7697" s="27"/>
      <c r="F7697" s="27"/>
      <c r="G7697" s="27" t="s">
        <v>11122</v>
      </c>
      <c r="H7697" s="27" t="s">
        <v>35</v>
      </c>
      <c r="I7697" s="27" t="s">
        <v>3536</v>
      </c>
      <c r="J7697" s="28" t="s">
        <v>785</v>
      </c>
      <c r="K7697" s="27" t="s">
        <v>37</v>
      </c>
      <c r="L7697" s="27"/>
    </row>
    <row r="7698" customFormat="false" ht="15" hidden="false" customHeight="false" outlineLevel="0" collapsed="false">
      <c r="A7698" s="26" t="s">
        <v>20314</v>
      </c>
      <c r="B7698" s="27" t="s">
        <v>20315</v>
      </c>
      <c r="C7698" s="27" t="s">
        <v>144</v>
      </c>
      <c r="D7698" s="26"/>
      <c r="E7698" s="27"/>
      <c r="F7698" s="27"/>
      <c r="G7698" s="27" t="s">
        <v>11122</v>
      </c>
      <c r="H7698" s="27" t="s">
        <v>35</v>
      </c>
      <c r="I7698" s="27" t="s">
        <v>43</v>
      </c>
      <c r="J7698" s="28" t="s">
        <v>785</v>
      </c>
      <c r="K7698" s="27" t="s">
        <v>37</v>
      </c>
      <c r="L7698" s="27"/>
    </row>
    <row r="7699" customFormat="false" ht="15" hidden="false" customHeight="false" outlineLevel="0" collapsed="false">
      <c r="A7699" s="26" t="s">
        <v>20316</v>
      </c>
      <c r="B7699" s="27" t="s">
        <v>20317</v>
      </c>
      <c r="C7699" s="27" t="s">
        <v>144</v>
      </c>
      <c r="D7699" s="26"/>
      <c r="E7699" s="27"/>
      <c r="F7699" s="27"/>
      <c r="G7699" s="27" t="s">
        <v>11122</v>
      </c>
      <c r="H7699" s="27" t="s">
        <v>35</v>
      </c>
      <c r="I7699" s="27" t="s">
        <v>37</v>
      </c>
      <c r="J7699" s="28" t="s">
        <v>785</v>
      </c>
      <c r="K7699" s="27" t="s">
        <v>37</v>
      </c>
      <c r="L7699" s="27"/>
    </row>
    <row r="7700" customFormat="false" ht="15" hidden="false" customHeight="false" outlineLevel="0" collapsed="false">
      <c r="A7700" s="26" t="s">
        <v>20318</v>
      </c>
      <c r="B7700" s="27" t="s">
        <v>20319</v>
      </c>
      <c r="C7700" s="27" t="s">
        <v>144</v>
      </c>
      <c r="D7700" s="26"/>
      <c r="E7700" s="27"/>
      <c r="F7700" s="27"/>
      <c r="G7700" s="27" t="s">
        <v>11122</v>
      </c>
      <c r="H7700" s="27" t="s">
        <v>35</v>
      </c>
      <c r="I7700" s="27" t="s">
        <v>37</v>
      </c>
      <c r="J7700" s="28" t="s">
        <v>785</v>
      </c>
      <c r="K7700" s="27" t="s">
        <v>37</v>
      </c>
      <c r="L7700" s="27"/>
    </row>
    <row r="7701" customFormat="false" ht="15" hidden="false" customHeight="false" outlineLevel="0" collapsed="false">
      <c r="A7701" s="26" t="s">
        <v>20320</v>
      </c>
      <c r="B7701" s="27" t="s">
        <v>20321</v>
      </c>
      <c r="C7701" s="27" t="s">
        <v>144</v>
      </c>
      <c r="D7701" s="26"/>
      <c r="E7701" s="27"/>
      <c r="F7701" s="27"/>
      <c r="G7701" s="27" t="s">
        <v>11122</v>
      </c>
      <c r="H7701" s="27" t="s">
        <v>35</v>
      </c>
      <c r="I7701" s="27" t="s">
        <v>37</v>
      </c>
      <c r="J7701" s="28" t="s">
        <v>785</v>
      </c>
      <c r="K7701" s="27" t="s">
        <v>37</v>
      </c>
      <c r="L7701" s="27"/>
    </row>
    <row r="7702" customFormat="false" ht="15" hidden="false" customHeight="false" outlineLevel="0" collapsed="false">
      <c r="A7702" s="26" t="s">
        <v>20322</v>
      </c>
      <c r="B7702" s="27" t="s">
        <v>20323</v>
      </c>
      <c r="C7702" s="27" t="s">
        <v>144</v>
      </c>
      <c r="D7702" s="26"/>
      <c r="E7702" s="27"/>
      <c r="F7702" s="27"/>
      <c r="G7702" s="27" t="s">
        <v>11122</v>
      </c>
      <c r="H7702" s="27" t="s">
        <v>35</v>
      </c>
      <c r="I7702" s="27" t="s">
        <v>37</v>
      </c>
      <c r="J7702" s="28" t="s">
        <v>785</v>
      </c>
      <c r="K7702" s="27" t="s">
        <v>37</v>
      </c>
      <c r="L7702" s="27"/>
    </row>
    <row r="7703" customFormat="false" ht="15" hidden="false" customHeight="false" outlineLevel="0" collapsed="false">
      <c r="A7703" s="26" t="s">
        <v>20324</v>
      </c>
      <c r="B7703" s="27" t="s">
        <v>20325</v>
      </c>
      <c r="C7703" s="27" t="s">
        <v>144</v>
      </c>
      <c r="D7703" s="26"/>
      <c r="E7703" s="27"/>
      <c r="F7703" s="27"/>
      <c r="G7703" s="27" t="s">
        <v>11122</v>
      </c>
      <c r="H7703" s="27" t="s">
        <v>35</v>
      </c>
      <c r="I7703" s="27" t="s">
        <v>37</v>
      </c>
      <c r="J7703" s="28" t="s">
        <v>785</v>
      </c>
      <c r="K7703" s="27" t="s">
        <v>37</v>
      </c>
      <c r="L7703" s="27"/>
    </row>
    <row r="7704" customFormat="false" ht="15" hidden="false" customHeight="false" outlineLevel="0" collapsed="false">
      <c r="A7704" s="26" t="s">
        <v>20326</v>
      </c>
      <c r="B7704" s="27" t="s">
        <v>20327</v>
      </c>
      <c r="C7704" s="27" t="s">
        <v>144</v>
      </c>
      <c r="D7704" s="26"/>
      <c r="E7704" s="27"/>
      <c r="F7704" s="27"/>
      <c r="G7704" s="27" t="s">
        <v>11122</v>
      </c>
      <c r="H7704" s="27" t="s">
        <v>35</v>
      </c>
      <c r="I7704" s="27" t="s">
        <v>37</v>
      </c>
      <c r="J7704" s="28" t="s">
        <v>785</v>
      </c>
      <c r="K7704" s="27" t="s">
        <v>37</v>
      </c>
      <c r="L7704" s="27"/>
    </row>
    <row r="7705" customFormat="false" ht="15" hidden="false" customHeight="false" outlineLevel="0" collapsed="false">
      <c r="A7705" s="26" t="s">
        <v>20328</v>
      </c>
      <c r="B7705" s="27" t="s">
        <v>20329</v>
      </c>
      <c r="C7705" s="27" t="s">
        <v>144</v>
      </c>
      <c r="D7705" s="26"/>
      <c r="E7705" s="27"/>
      <c r="F7705" s="27"/>
      <c r="G7705" s="27" t="s">
        <v>11122</v>
      </c>
      <c r="H7705" s="27" t="s">
        <v>35</v>
      </c>
      <c r="I7705" s="27" t="s">
        <v>37</v>
      </c>
      <c r="J7705" s="28" t="s">
        <v>785</v>
      </c>
      <c r="K7705" s="27" t="s">
        <v>37</v>
      </c>
      <c r="L7705" s="27"/>
    </row>
    <row r="7706" customFormat="false" ht="15" hidden="false" customHeight="false" outlineLevel="0" collapsed="false">
      <c r="A7706" s="26" t="s">
        <v>20330</v>
      </c>
      <c r="B7706" s="27" t="s">
        <v>20331</v>
      </c>
      <c r="C7706" s="27" t="s">
        <v>144</v>
      </c>
      <c r="D7706" s="26"/>
      <c r="E7706" s="27"/>
      <c r="F7706" s="27"/>
      <c r="G7706" s="27" t="s">
        <v>11122</v>
      </c>
      <c r="H7706" s="27" t="s">
        <v>35</v>
      </c>
      <c r="I7706" s="27" t="s">
        <v>37</v>
      </c>
      <c r="J7706" s="28" t="s">
        <v>785</v>
      </c>
      <c r="K7706" s="27" t="s">
        <v>37</v>
      </c>
      <c r="L7706" s="27"/>
    </row>
    <row r="7707" customFormat="false" ht="15" hidden="false" customHeight="false" outlineLevel="0" collapsed="false">
      <c r="A7707" s="26" t="s">
        <v>20332</v>
      </c>
      <c r="B7707" s="27" t="s">
        <v>20333</v>
      </c>
      <c r="C7707" s="27" t="s">
        <v>144</v>
      </c>
      <c r="D7707" s="26"/>
      <c r="E7707" s="27"/>
      <c r="F7707" s="27"/>
      <c r="G7707" s="27" t="s">
        <v>11122</v>
      </c>
      <c r="H7707" s="27" t="s">
        <v>35</v>
      </c>
      <c r="I7707" s="27" t="s">
        <v>41</v>
      </c>
      <c r="J7707" s="28" t="s">
        <v>785</v>
      </c>
      <c r="K7707" s="27" t="s">
        <v>37</v>
      </c>
      <c r="L7707" s="27"/>
    </row>
    <row r="7708" customFormat="false" ht="15" hidden="false" customHeight="false" outlineLevel="0" collapsed="false">
      <c r="A7708" s="26" t="s">
        <v>20334</v>
      </c>
      <c r="B7708" s="27" t="s">
        <v>20335</v>
      </c>
      <c r="C7708" s="27" t="s">
        <v>144</v>
      </c>
      <c r="D7708" s="26"/>
      <c r="E7708" s="27"/>
      <c r="F7708" s="27"/>
      <c r="G7708" s="27" t="s">
        <v>11122</v>
      </c>
      <c r="H7708" s="27" t="s">
        <v>35</v>
      </c>
      <c r="I7708" s="27" t="s">
        <v>37</v>
      </c>
      <c r="J7708" s="28" t="s">
        <v>785</v>
      </c>
      <c r="K7708" s="27" t="s">
        <v>37</v>
      </c>
      <c r="L7708" s="27"/>
    </row>
    <row r="7709" customFormat="false" ht="15" hidden="false" customHeight="false" outlineLevel="0" collapsed="false">
      <c r="A7709" s="26" t="s">
        <v>20336</v>
      </c>
      <c r="B7709" s="27" t="s">
        <v>20337</v>
      </c>
      <c r="C7709" s="27" t="s">
        <v>144</v>
      </c>
      <c r="D7709" s="26"/>
      <c r="E7709" s="27"/>
      <c r="F7709" s="27"/>
      <c r="G7709" s="27" t="s">
        <v>11122</v>
      </c>
      <c r="H7709" s="27" t="s">
        <v>35</v>
      </c>
      <c r="I7709" s="27" t="s">
        <v>37</v>
      </c>
      <c r="J7709" s="28" t="s">
        <v>785</v>
      </c>
      <c r="K7709" s="27" t="s">
        <v>37</v>
      </c>
      <c r="L7709" s="27"/>
    </row>
    <row r="7710" customFormat="false" ht="15" hidden="false" customHeight="false" outlineLevel="0" collapsed="false">
      <c r="A7710" s="26" t="s">
        <v>20338</v>
      </c>
      <c r="B7710" s="27" t="s">
        <v>20339</v>
      </c>
      <c r="C7710" s="27" t="s">
        <v>144</v>
      </c>
      <c r="D7710" s="26"/>
      <c r="E7710" s="27"/>
      <c r="F7710" s="27"/>
      <c r="G7710" s="27" t="s">
        <v>11122</v>
      </c>
      <c r="H7710" s="27" t="s">
        <v>35</v>
      </c>
      <c r="I7710" s="27" t="s">
        <v>37</v>
      </c>
      <c r="J7710" s="28" t="s">
        <v>785</v>
      </c>
      <c r="K7710" s="27" t="s">
        <v>37</v>
      </c>
      <c r="L7710" s="27"/>
    </row>
    <row r="7711" customFormat="false" ht="15" hidden="false" customHeight="false" outlineLevel="0" collapsed="false">
      <c r="A7711" s="26" t="s">
        <v>20340</v>
      </c>
      <c r="B7711" s="27" t="s">
        <v>20341</v>
      </c>
      <c r="C7711" s="27" t="s">
        <v>144</v>
      </c>
      <c r="D7711" s="26"/>
      <c r="E7711" s="27"/>
      <c r="F7711" s="27"/>
      <c r="G7711" s="27" t="s">
        <v>11122</v>
      </c>
      <c r="H7711" s="27" t="s">
        <v>35</v>
      </c>
      <c r="I7711" s="27" t="s">
        <v>37</v>
      </c>
      <c r="J7711" s="28" t="s">
        <v>785</v>
      </c>
      <c r="K7711" s="27" t="s">
        <v>37</v>
      </c>
      <c r="L7711" s="27"/>
    </row>
    <row r="7712" customFormat="false" ht="15" hidden="false" customHeight="false" outlineLevel="0" collapsed="false">
      <c r="A7712" s="26" t="s">
        <v>20342</v>
      </c>
      <c r="B7712" s="27" t="s">
        <v>20343</v>
      </c>
      <c r="C7712" s="27" t="s">
        <v>144</v>
      </c>
      <c r="D7712" s="26"/>
      <c r="E7712" s="27"/>
      <c r="F7712" s="27"/>
      <c r="G7712" s="27" t="s">
        <v>11122</v>
      </c>
      <c r="H7712" s="27" t="s">
        <v>35</v>
      </c>
      <c r="I7712" s="27" t="s">
        <v>37</v>
      </c>
      <c r="J7712" s="28" t="s">
        <v>785</v>
      </c>
      <c r="K7712" s="27" t="s">
        <v>37</v>
      </c>
      <c r="L7712" s="27"/>
    </row>
    <row r="7713" customFormat="false" ht="15" hidden="false" customHeight="false" outlineLevel="0" collapsed="false">
      <c r="A7713" s="26" t="s">
        <v>20344</v>
      </c>
      <c r="B7713" s="27" t="s">
        <v>20345</v>
      </c>
      <c r="C7713" s="27" t="s">
        <v>144</v>
      </c>
      <c r="D7713" s="26"/>
      <c r="E7713" s="27"/>
      <c r="F7713" s="27"/>
      <c r="G7713" s="27" t="s">
        <v>11122</v>
      </c>
      <c r="H7713" s="27" t="s">
        <v>35</v>
      </c>
      <c r="I7713" s="27" t="s">
        <v>37</v>
      </c>
      <c r="J7713" s="28" t="s">
        <v>785</v>
      </c>
      <c r="K7713" s="27" t="s">
        <v>37</v>
      </c>
      <c r="L7713" s="27"/>
    </row>
    <row r="7714" customFormat="false" ht="15" hidden="false" customHeight="false" outlineLevel="0" collapsed="false">
      <c r="A7714" s="26" t="s">
        <v>20346</v>
      </c>
      <c r="B7714" s="27" t="s">
        <v>20347</v>
      </c>
      <c r="C7714" s="27" t="s">
        <v>144</v>
      </c>
      <c r="D7714" s="26"/>
      <c r="E7714" s="27"/>
      <c r="F7714" s="27"/>
      <c r="G7714" s="27" t="s">
        <v>11122</v>
      </c>
      <c r="H7714" s="27" t="s">
        <v>35</v>
      </c>
      <c r="I7714" s="27" t="s">
        <v>37</v>
      </c>
      <c r="J7714" s="28" t="s">
        <v>785</v>
      </c>
      <c r="K7714" s="27" t="s">
        <v>37</v>
      </c>
      <c r="L7714" s="27"/>
    </row>
    <row r="7715" customFormat="false" ht="15" hidden="false" customHeight="false" outlineLevel="0" collapsed="false">
      <c r="A7715" s="26" t="s">
        <v>20348</v>
      </c>
      <c r="B7715" s="27" t="s">
        <v>20349</v>
      </c>
      <c r="C7715" s="27" t="s">
        <v>144</v>
      </c>
      <c r="D7715" s="26"/>
      <c r="E7715" s="27"/>
      <c r="F7715" s="27"/>
      <c r="G7715" s="27" t="s">
        <v>11122</v>
      </c>
      <c r="H7715" s="27" t="s">
        <v>35</v>
      </c>
      <c r="I7715" s="27" t="s">
        <v>37</v>
      </c>
      <c r="J7715" s="28" t="s">
        <v>785</v>
      </c>
      <c r="K7715" s="27" t="s">
        <v>37</v>
      </c>
      <c r="L7715" s="27"/>
    </row>
    <row r="7716" customFormat="false" ht="15" hidden="false" customHeight="false" outlineLevel="0" collapsed="false">
      <c r="A7716" s="26" t="s">
        <v>20350</v>
      </c>
      <c r="B7716" s="27" t="s">
        <v>20351</v>
      </c>
      <c r="C7716" s="27" t="s">
        <v>144</v>
      </c>
      <c r="D7716" s="26"/>
      <c r="E7716" s="27"/>
      <c r="F7716" s="27"/>
      <c r="G7716" s="27" t="s">
        <v>11122</v>
      </c>
      <c r="H7716" s="27" t="s">
        <v>35</v>
      </c>
      <c r="I7716" s="27" t="s">
        <v>41</v>
      </c>
      <c r="J7716" s="28" t="s">
        <v>785</v>
      </c>
      <c r="K7716" s="27" t="s">
        <v>37</v>
      </c>
      <c r="L7716" s="27"/>
    </row>
    <row r="7717" customFormat="false" ht="15" hidden="false" customHeight="false" outlineLevel="0" collapsed="false">
      <c r="A7717" s="26" t="s">
        <v>20352</v>
      </c>
      <c r="B7717" s="27" t="s">
        <v>20353</v>
      </c>
      <c r="C7717" s="27" t="s">
        <v>144</v>
      </c>
      <c r="D7717" s="26"/>
      <c r="E7717" s="27"/>
      <c r="F7717" s="27"/>
      <c r="G7717" s="27" t="s">
        <v>11122</v>
      </c>
      <c r="H7717" s="27" t="s">
        <v>35</v>
      </c>
      <c r="I7717" s="27" t="s">
        <v>41</v>
      </c>
      <c r="J7717" s="28" t="s">
        <v>785</v>
      </c>
      <c r="K7717" s="27" t="s">
        <v>37</v>
      </c>
      <c r="L7717" s="27"/>
    </row>
    <row r="7718" customFormat="false" ht="15" hidden="false" customHeight="false" outlineLevel="0" collapsed="false">
      <c r="A7718" s="26" t="s">
        <v>20354</v>
      </c>
      <c r="B7718" s="27" t="s">
        <v>20355</v>
      </c>
      <c r="C7718" s="27" t="s">
        <v>144</v>
      </c>
      <c r="D7718" s="26"/>
      <c r="E7718" s="27"/>
      <c r="F7718" s="27"/>
      <c r="G7718" s="27" t="s">
        <v>11122</v>
      </c>
      <c r="H7718" s="27" t="s">
        <v>35</v>
      </c>
      <c r="I7718" s="27" t="s">
        <v>41</v>
      </c>
      <c r="J7718" s="28" t="s">
        <v>785</v>
      </c>
      <c r="K7718" s="27" t="s">
        <v>37</v>
      </c>
      <c r="L7718" s="27"/>
    </row>
    <row r="7719" customFormat="false" ht="15" hidden="false" customHeight="false" outlineLevel="0" collapsed="false">
      <c r="A7719" s="26" t="s">
        <v>20356</v>
      </c>
      <c r="B7719" s="27" t="s">
        <v>20357</v>
      </c>
      <c r="C7719" s="27" t="s">
        <v>144</v>
      </c>
      <c r="D7719" s="26"/>
      <c r="E7719" s="27"/>
      <c r="F7719" s="27"/>
      <c r="G7719" s="27" t="s">
        <v>11122</v>
      </c>
      <c r="H7719" s="27" t="s">
        <v>35</v>
      </c>
      <c r="I7719" s="27" t="s">
        <v>37</v>
      </c>
      <c r="J7719" s="28" t="s">
        <v>785</v>
      </c>
      <c r="K7719" s="27" t="s">
        <v>37</v>
      </c>
      <c r="L7719" s="27"/>
    </row>
    <row r="7720" customFormat="false" ht="15" hidden="false" customHeight="false" outlineLevel="0" collapsed="false">
      <c r="A7720" s="26" t="s">
        <v>20358</v>
      </c>
      <c r="B7720" s="27" t="s">
        <v>20359</v>
      </c>
      <c r="C7720" s="27" t="s">
        <v>144</v>
      </c>
      <c r="D7720" s="26"/>
      <c r="E7720" s="27"/>
      <c r="F7720" s="27"/>
      <c r="G7720" s="27" t="s">
        <v>11122</v>
      </c>
      <c r="H7720" s="27" t="s">
        <v>35</v>
      </c>
      <c r="I7720" s="27" t="s">
        <v>41</v>
      </c>
      <c r="J7720" s="28" t="s">
        <v>785</v>
      </c>
      <c r="K7720" s="27" t="s">
        <v>37</v>
      </c>
      <c r="L7720" s="27"/>
    </row>
    <row r="7721" customFormat="false" ht="15" hidden="false" customHeight="false" outlineLevel="0" collapsed="false">
      <c r="A7721" s="26" t="s">
        <v>20360</v>
      </c>
      <c r="B7721" s="27" t="s">
        <v>20361</v>
      </c>
      <c r="C7721" s="27" t="s">
        <v>144</v>
      </c>
      <c r="D7721" s="26"/>
      <c r="E7721" s="27"/>
      <c r="F7721" s="27"/>
      <c r="G7721" s="27" t="s">
        <v>11122</v>
      </c>
      <c r="H7721" s="27" t="s">
        <v>35</v>
      </c>
      <c r="I7721" s="27" t="s">
        <v>37</v>
      </c>
      <c r="J7721" s="28" t="s">
        <v>785</v>
      </c>
      <c r="K7721" s="27" t="s">
        <v>37</v>
      </c>
      <c r="L7721" s="27"/>
    </row>
    <row r="7722" customFormat="false" ht="15" hidden="false" customHeight="false" outlineLevel="0" collapsed="false">
      <c r="A7722" s="26" t="s">
        <v>20362</v>
      </c>
      <c r="B7722" s="27" t="s">
        <v>20363</v>
      </c>
      <c r="C7722" s="27" t="s">
        <v>144</v>
      </c>
      <c r="D7722" s="26"/>
      <c r="E7722" s="27"/>
      <c r="F7722" s="27"/>
      <c r="G7722" s="27" t="s">
        <v>11122</v>
      </c>
      <c r="H7722" s="27" t="s">
        <v>35</v>
      </c>
      <c r="I7722" s="27" t="s">
        <v>37</v>
      </c>
      <c r="J7722" s="28" t="s">
        <v>785</v>
      </c>
      <c r="K7722" s="27" t="s">
        <v>37</v>
      </c>
      <c r="L7722" s="27"/>
    </row>
    <row r="7723" customFormat="false" ht="15" hidden="false" customHeight="false" outlineLevel="0" collapsed="false">
      <c r="A7723" s="26" t="s">
        <v>20364</v>
      </c>
      <c r="B7723" s="27" t="s">
        <v>20365</v>
      </c>
      <c r="C7723" s="27" t="s">
        <v>144</v>
      </c>
      <c r="D7723" s="26"/>
      <c r="E7723" s="27"/>
      <c r="F7723" s="27"/>
      <c r="G7723" s="27" t="s">
        <v>11122</v>
      </c>
      <c r="H7723" s="27" t="s">
        <v>35</v>
      </c>
      <c r="I7723" s="27" t="s">
        <v>37</v>
      </c>
      <c r="J7723" s="28" t="s">
        <v>785</v>
      </c>
      <c r="K7723" s="27" t="s">
        <v>37</v>
      </c>
      <c r="L7723" s="27"/>
    </row>
    <row r="7724" customFormat="false" ht="15" hidden="false" customHeight="false" outlineLevel="0" collapsed="false">
      <c r="A7724" s="26" t="s">
        <v>20366</v>
      </c>
      <c r="B7724" s="27" t="s">
        <v>20367</v>
      </c>
      <c r="C7724" s="27" t="s">
        <v>144</v>
      </c>
      <c r="D7724" s="26"/>
      <c r="E7724" s="27"/>
      <c r="F7724" s="27"/>
      <c r="G7724" s="27" t="s">
        <v>11122</v>
      </c>
      <c r="H7724" s="27" t="s">
        <v>35</v>
      </c>
      <c r="I7724" s="27" t="s">
        <v>37</v>
      </c>
      <c r="J7724" s="28" t="s">
        <v>785</v>
      </c>
      <c r="K7724" s="27" t="s">
        <v>37</v>
      </c>
      <c r="L7724" s="27"/>
    </row>
    <row r="7725" customFormat="false" ht="15" hidden="false" customHeight="false" outlineLevel="0" collapsed="false">
      <c r="A7725" s="26" t="s">
        <v>20368</v>
      </c>
      <c r="B7725" s="27" t="s">
        <v>20369</v>
      </c>
      <c r="C7725" s="27" t="s">
        <v>144</v>
      </c>
      <c r="D7725" s="26"/>
      <c r="E7725" s="27"/>
      <c r="F7725" s="27"/>
      <c r="G7725" s="27" t="s">
        <v>11122</v>
      </c>
      <c r="H7725" s="27" t="s">
        <v>35</v>
      </c>
      <c r="I7725" s="27" t="s">
        <v>37</v>
      </c>
      <c r="J7725" s="28" t="s">
        <v>785</v>
      </c>
      <c r="K7725" s="27" t="s">
        <v>37</v>
      </c>
      <c r="L7725" s="27"/>
    </row>
    <row r="7726" customFormat="false" ht="15" hidden="false" customHeight="false" outlineLevel="0" collapsed="false">
      <c r="A7726" s="26" t="s">
        <v>20370</v>
      </c>
      <c r="B7726" s="27" t="s">
        <v>20371</v>
      </c>
      <c r="C7726" s="27" t="s">
        <v>144</v>
      </c>
      <c r="D7726" s="26"/>
      <c r="E7726" s="27"/>
      <c r="F7726" s="27"/>
      <c r="G7726" s="27" t="s">
        <v>11122</v>
      </c>
      <c r="H7726" s="27" t="s">
        <v>35</v>
      </c>
      <c r="I7726" s="27" t="s">
        <v>37</v>
      </c>
      <c r="J7726" s="28" t="s">
        <v>785</v>
      </c>
      <c r="K7726" s="27" t="s">
        <v>37</v>
      </c>
      <c r="L7726" s="27"/>
    </row>
    <row r="7727" customFormat="false" ht="15" hidden="false" customHeight="false" outlineLevel="0" collapsed="false">
      <c r="A7727" s="26" t="s">
        <v>20372</v>
      </c>
      <c r="B7727" s="27" t="s">
        <v>20373</v>
      </c>
      <c r="C7727" s="27" t="s">
        <v>144</v>
      </c>
      <c r="D7727" s="26"/>
      <c r="E7727" s="27"/>
      <c r="F7727" s="27"/>
      <c r="G7727" s="27" t="s">
        <v>11122</v>
      </c>
      <c r="H7727" s="27" t="s">
        <v>35</v>
      </c>
      <c r="I7727" s="27" t="s">
        <v>37</v>
      </c>
      <c r="J7727" s="28" t="s">
        <v>785</v>
      </c>
      <c r="K7727" s="27" t="s">
        <v>37</v>
      </c>
      <c r="L7727" s="27"/>
    </row>
    <row r="7728" customFormat="false" ht="15" hidden="false" customHeight="false" outlineLevel="0" collapsed="false">
      <c r="A7728" s="26" t="s">
        <v>20374</v>
      </c>
      <c r="B7728" s="27" t="s">
        <v>20375</v>
      </c>
      <c r="C7728" s="27" t="s">
        <v>144</v>
      </c>
      <c r="D7728" s="26"/>
      <c r="E7728" s="27"/>
      <c r="F7728" s="27"/>
      <c r="G7728" s="27" t="s">
        <v>11122</v>
      </c>
      <c r="H7728" s="27" t="s">
        <v>35</v>
      </c>
      <c r="I7728" s="27" t="s">
        <v>37</v>
      </c>
      <c r="J7728" s="28" t="s">
        <v>785</v>
      </c>
      <c r="K7728" s="27" t="s">
        <v>37</v>
      </c>
      <c r="L7728" s="27"/>
    </row>
    <row r="7729" customFormat="false" ht="15" hidden="false" customHeight="false" outlineLevel="0" collapsed="false">
      <c r="A7729" s="26" t="s">
        <v>20376</v>
      </c>
      <c r="B7729" s="27" t="s">
        <v>20377</v>
      </c>
      <c r="C7729" s="27" t="s">
        <v>144</v>
      </c>
      <c r="D7729" s="26"/>
      <c r="E7729" s="27"/>
      <c r="F7729" s="27"/>
      <c r="G7729" s="27" t="s">
        <v>11122</v>
      </c>
      <c r="H7729" s="27" t="s">
        <v>35</v>
      </c>
      <c r="I7729" s="27" t="s">
        <v>37</v>
      </c>
      <c r="J7729" s="28" t="s">
        <v>785</v>
      </c>
      <c r="K7729" s="27" t="s">
        <v>37</v>
      </c>
      <c r="L7729" s="27"/>
    </row>
    <row r="7730" customFormat="false" ht="15" hidden="false" customHeight="false" outlineLevel="0" collapsed="false">
      <c r="A7730" s="26" t="s">
        <v>20378</v>
      </c>
      <c r="B7730" s="27" t="s">
        <v>20379</v>
      </c>
      <c r="C7730" s="27" t="s">
        <v>144</v>
      </c>
      <c r="D7730" s="26"/>
      <c r="E7730" s="27"/>
      <c r="F7730" s="27"/>
      <c r="G7730" s="27" t="s">
        <v>11122</v>
      </c>
      <c r="H7730" s="27" t="s">
        <v>35</v>
      </c>
      <c r="I7730" s="27" t="s">
        <v>38</v>
      </c>
      <c r="J7730" s="28" t="s">
        <v>785</v>
      </c>
      <c r="K7730" s="27" t="s">
        <v>37</v>
      </c>
      <c r="L7730" s="27"/>
    </row>
    <row r="7731" customFormat="false" ht="15" hidden="false" customHeight="false" outlineLevel="0" collapsed="false">
      <c r="A7731" s="26" t="s">
        <v>20380</v>
      </c>
      <c r="B7731" s="27" t="s">
        <v>20381</v>
      </c>
      <c r="C7731" s="27" t="s">
        <v>144</v>
      </c>
      <c r="D7731" s="26"/>
      <c r="E7731" s="27"/>
      <c r="F7731" s="27"/>
      <c r="G7731" s="27" t="s">
        <v>11122</v>
      </c>
      <c r="H7731" s="27" t="s">
        <v>35</v>
      </c>
      <c r="I7731" s="27" t="s">
        <v>37</v>
      </c>
      <c r="J7731" s="28" t="s">
        <v>785</v>
      </c>
      <c r="K7731" s="27" t="s">
        <v>37</v>
      </c>
      <c r="L7731" s="27"/>
    </row>
    <row r="7732" customFormat="false" ht="15" hidden="false" customHeight="false" outlineLevel="0" collapsed="false">
      <c r="A7732" s="26" t="s">
        <v>20382</v>
      </c>
      <c r="B7732" s="27" t="s">
        <v>20383</v>
      </c>
      <c r="C7732" s="27" t="s">
        <v>144</v>
      </c>
      <c r="D7732" s="26"/>
      <c r="E7732" s="27"/>
      <c r="F7732" s="27"/>
      <c r="G7732" s="27" t="s">
        <v>11122</v>
      </c>
      <c r="H7732" s="27" t="s">
        <v>35</v>
      </c>
      <c r="I7732" s="27" t="s">
        <v>37</v>
      </c>
      <c r="J7732" s="28" t="s">
        <v>785</v>
      </c>
      <c r="K7732" s="27" t="s">
        <v>37</v>
      </c>
      <c r="L7732" s="27"/>
    </row>
    <row r="7733" customFormat="false" ht="15" hidden="false" customHeight="false" outlineLevel="0" collapsed="false">
      <c r="A7733" s="26" t="s">
        <v>20384</v>
      </c>
      <c r="B7733" s="27" t="s">
        <v>20385</v>
      </c>
      <c r="C7733" s="27" t="s">
        <v>144</v>
      </c>
      <c r="D7733" s="26"/>
      <c r="E7733" s="27"/>
      <c r="F7733" s="27"/>
      <c r="G7733" s="27" t="s">
        <v>11122</v>
      </c>
      <c r="H7733" s="27" t="s">
        <v>35</v>
      </c>
      <c r="I7733" s="27" t="s">
        <v>20386</v>
      </c>
      <c r="J7733" s="28" t="s">
        <v>785</v>
      </c>
      <c r="K7733" s="27" t="s">
        <v>37</v>
      </c>
      <c r="L7733" s="27"/>
    </row>
    <row r="7734" customFormat="false" ht="15" hidden="false" customHeight="false" outlineLevel="0" collapsed="false">
      <c r="A7734" s="26" t="s">
        <v>20387</v>
      </c>
      <c r="B7734" s="27" t="s">
        <v>20388</v>
      </c>
      <c r="C7734" s="27" t="s">
        <v>144</v>
      </c>
      <c r="D7734" s="26"/>
      <c r="E7734" s="27"/>
      <c r="F7734" s="27"/>
      <c r="G7734" s="27" t="s">
        <v>11122</v>
      </c>
      <c r="H7734" s="27" t="s">
        <v>35</v>
      </c>
      <c r="I7734" s="27" t="s">
        <v>37</v>
      </c>
      <c r="J7734" s="28" t="s">
        <v>785</v>
      </c>
      <c r="K7734" s="27" t="s">
        <v>37</v>
      </c>
      <c r="L7734" s="27"/>
    </row>
    <row r="7735" customFormat="false" ht="15" hidden="false" customHeight="false" outlineLevel="0" collapsed="false">
      <c r="A7735" s="26" t="s">
        <v>20389</v>
      </c>
      <c r="B7735" s="27" t="s">
        <v>20390</v>
      </c>
      <c r="C7735" s="27" t="s">
        <v>144</v>
      </c>
      <c r="D7735" s="26"/>
      <c r="E7735" s="27"/>
      <c r="F7735" s="27"/>
      <c r="G7735" s="27" t="s">
        <v>11122</v>
      </c>
      <c r="H7735" s="27" t="s">
        <v>35</v>
      </c>
      <c r="I7735" s="27" t="s">
        <v>41</v>
      </c>
      <c r="J7735" s="28" t="s">
        <v>785</v>
      </c>
      <c r="K7735" s="27" t="s">
        <v>37</v>
      </c>
      <c r="L7735" s="27"/>
    </row>
    <row r="7736" customFormat="false" ht="15" hidden="false" customHeight="false" outlineLevel="0" collapsed="false">
      <c r="A7736" s="26" t="s">
        <v>20391</v>
      </c>
      <c r="B7736" s="27" t="s">
        <v>20392</v>
      </c>
      <c r="C7736" s="27" t="s">
        <v>144</v>
      </c>
      <c r="D7736" s="26"/>
      <c r="E7736" s="27"/>
      <c r="F7736" s="27"/>
      <c r="G7736" s="27" t="s">
        <v>11122</v>
      </c>
      <c r="H7736" s="27" t="s">
        <v>35</v>
      </c>
      <c r="I7736" s="27" t="s">
        <v>41</v>
      </c>
      <c r="J7736" s="28" t="s">
        <v>785</v>
      </c>
      <c r="K7736" s="27" t="s">
        <v>37</v>
      </c>
      <c r="L7736" s="27"/>
    </row>
    <row r="7737" customFormat="false" ht="15" hidden="false" customHeight="false" outlineLevel="0" collapsed="false">
      <c r="A7737" s="26" t="s">
        <v>20393</v>
      </c>
      <c r="B7737" s="27" t="s">
        <v>20394</v>
      </c>
      <c r="C7737" s="27" t="s">
        <v>144</v>
      </c>
      <c r="D7737" s="26"/>
      <c r="E7737" s="27"/>
      <c r="F7737" s="27"/>
      <c r="G7737" s="27" t="s">
        <v>11122</v>
      </c>
      <c r="H7737" s="27" t="s">
        <v>35</v>
      </c>
      <c r="I7737" s="27" t="s">
        <v>40</v>
      </c>
      <c r="J7737" s="28" t="s">
        <v>785</v>
      </c>
      <c r="K7737" s="27" t="s">
        <v>37</v>
      </c>
      <c r="L7737" s="27"/>
    </row>
    <row r="7738" customFormat="false" ht="15" hidden="false" customHeight="false" outlineLevel="0" collapsed="false">
      <c r="A7738" s="26" t="s">
        <v>20395</v>
      </c>
      <c r="B7738" s="28" t="s">
        <v>20396</v>
      </c>
      <c r="C7738" s="27" t="s">
        <v>144</v>
      </c>
      <c r="D7738" s="26"/>
      <c r="E7738" s="27"/>
      <c r="F7738" s="27"/>
      <c r="G7738" s="27" t="s">
        <v>11122</v>
      </c>
      <c r="H7738" s="27" t="s">
        <v>35</v>
      </c>
      <c r="I7738" s="27" t="s">
        <v>41</v>
      </c>
      <c r="J7738" s="28" t="s">
        <v>785</v>
      </c>
      <c r="K7738" s="27" t="s">
        <v>37</v>
      </c>
      <c r="L7738" s="27"/>
    </row>
    <row r="7739" customFormat="false" ht="15" hidden="false" customHeight="false" outlineLevel="0" collapsed="false">
      <c r="A7739" s="26" t="s">
        <v>20397</v>
      </c>
      <c r="B7739" s="27" t="s">
        <v>20398</v>
      </c>
      <c r="C7739" s="27" t="s">
        <v>144</v>
      </c>
      <c r="D7739" s="26"/>
      <c r="E7739" s="27"/>
      <c r="F7739" s="27"/>
      <c r="G7739" s="27" t="s">
        <v>11122</v>
      </c>
      <c r="H7739" s="27" t="s">
        <v>35</v>
      </c>
      <c r="I7739" s="27" t="s">
        <v>41</v>
      </c>
      <c r="J7739" s="28" t="s">
        <v>785</v>
      </c>
      <c r="K7739" s="27" t="s">
        <v>37</v>
      </c>
      <c r="L7739" s="27"/>
    </row>
    <row r="7740" customFormat="false" ht="15" hidden="false" customHeight="false" outlineLevel="0" collapsed="false">
      <c r="A7740" s="26" t="s">
        <v>20399</v>
      </c>
      <c r="B7740" s="27" t="s">
        <v>20400</v>
      </c>
      <c r="C7740" s="27" t="s">
        <v>144</v>
      </c>
      <c r="D7740" s="26"/>
      <c r="E7740" s="27"/>
      <c r="F7740" s="27"/>
      <c r="G7740" s="27" t="s">
        <v>11122</v>
      </c>
      <c r="H7740" s="27" t="s">
        <v>35</v>
      </c>
      <c r="I7740" s="27" t="s">
        <v>40</v>
      </c>
      <c r="J7740" s="28" t="s">
        <v>785</v>
      </c>
      <c r="K7740" s="27" t="s">
        <v>37</v>
      </c>
      <c r="L7740" s="27"/>
    </row>
    <row r="7741" customFormat="false" ht="15" hidden="false" customHeight="false" outlineLevel="0" collapsed="false">
      <c r="A7741" s="26" t="s">
        <v>20401</v>
      </c>
      <c r="B7741" s="27" t="s">
        <v>20402</v>
      </c>
      <c r="C7741" s="27" t="s">
        <v>144</v>
      </c>
      <c r="D7741" s="26"/>
      <c r="E7741" s="27"/>
      <c r="F7741" s="27"/>
      <c r="G7741" s="27" t="s">
        <v>11122</v>
      </c>
      <c r="H7741" s="27" t="s">
        <v>35</v>
      </c>
      <c r="I7741" s="27" t="s">
        <v>41</v>
      </c>
      <c r="J7741" s="28" t="s">
        <v>785</v>
      </c>
      <c r="K7741" s="27" t="s">
        <v>37</v>
      </c>
      <c r="L7741" s="27"/>
    </row>
    <row r="7742" customFormat="false" ht="15" hidden="false" customHeight="false" outlineLevel="0" collapsed="false">
      <c r="A7742" s="26" t="s">
        <v>20403</v>
      </c>
      <c r="B7742" s="27" t="s">
        <v>20404</v>
      </c>
      <c r="C7742" s="27" t="s">
        <v>144</v>
      </c>
      <c r="D7742" s="26"/>
      <c r="E7742" s="27"/>
      <c r="F7742" s="27"/>
      <c r="G7742" s="27" t="s">
        <v>11122</v>
      </c>
      <c r="H7742" s="27" t="s">
        <v>35</v>
      </c>
      <c r="I7742" s="27" t="s">
        <v>41</v>
      </c>
      <c r="J7742" s="28" t="s">
        <v>785</v>
      </c>
      <c r="K7742" s="27" t="s">
        <v>37</v>
      </c>
      <c r="L7742" s="27"/>
    </row>
    <row r="7743" customFormat="false" ht="15" hidden="false" customHeight="false" outlineLevel="0" collapsed="false">
      <c r="A7743" s="26" t="s">
        <v>20405</v>
      </c>
      <c r="B7743" s="27" t="s">
        <v>20406</v>
      </c>
      <c r="C7743" s="27" t="s">
        <v>144</v>
      </c>
      <c r="D7743" s="26"/>
      <c r="E7743" s="27"/>
      <c r="F7743" s="27"/>
      <c r="G7743" s="27" t="s">
        <v>11122</v>
      </c>
      <c r="H7743" s="27" t="s">
        <v>35</v>
      </c>
      <c r="I7743" s="27" t="s">
        <v>40</v>
      </c>
      <c r="J7743" s="28" t="s">
        <v>785</v>
      </c>
      <c r="K7743" s="27" t="s">
        <v>37</v>
      </c>
      <c r="L7743" s="27"/>
    </row>
    <row r="7744" customFormat="false" ht="15" hidden="false" customHeight="false" outlineLevel="0" collapsed="false">
      <c r="A7744" s="26" t="s">
        <v>20407</v>
      </c>
      <c r="B7744" s="27" t="s">
        <v>20408</v>
      </c>
      <c r="C7744" s="27" t="s">
        <v>144</v>
      </c>
      <c r="D7744" s="26"/>
      <c r="E7744" s="27"/>
      <c r="F7744" s="27"/>
      <c r="G7744" s="27" t="s">
        <v>11122</v>
      </c>
      <c r="H7744" s="27" t="s">
        <v>35</v>
      </c>
      <c r="I7744" s="27" t="s">
        <v>41</v>
      </c>
      <c r="J7744" s="28" t="s">
        <v>785</v>
      </c>
      <c r="K7744" s="27" t="s">
        <v>37</v>
      </c>
      <c r="L7744" s="27"/>
    </row>
    <row r="7745" customFormat="false" ht="15" hidden="false" customHeight="false" outlineLevel="0" collapsed="false">
      <c r="A7745" s="26" t="s">
        <v>20409</v>
      </c>
      <c r="B7745" s="27" t="s">
        <v>20410</v>
      </c>
      <c r="C7745" s="27" t="s">
        <v>144</v>
      </c>
      <c r="D7745" s="26"/>
      <c r="E7745" s="27"/>
      <c r="F7745" s="27"/>
      <c r="G7745" s="27" t="s">
        <v>11122</v>
      </c>
      <c r="H7745" s="27" t="s">
        <v>35</v>
      </c>
      <c r="I7745" s="27" t="s">
        <v>38</v>
      </c>
      <c r="J7745" s="28" t="s">
        <v>785</v>
      </c>
      <c r="K7745" s="27" t="s">
        <v>37</v>
      </c>
      <c r="L7745" s="27"/>
    </row>
    <row r="7746" customFormat="false" ht="15" hidden="false" customHeight="false" outlineLevel="0" collapsed="false">
      <c r="A7746" s="26" t="s">
        <v>20411</v>
      </c>
      <c r="B7746" s="27" t="s">
        <v>20412</v>
      </c>
      <c r="C7746" s="27" t="s">
        <v>144</v>
      </c>
      <c r="D7746" s="26"/>
      <c r="E7746" s="27"/>
      <c r="F7746" s="27"/>
      <c r="G7746" s="27" t="s">
        <v>11122</v>
      </c>
      <c r="H7746" s="27" t="s">
        <v>35</v>
      </c>
      <c r="I7746" s="27" t="s">
        <v>41</v>
      </c>
      <c r="J7746" s="28" t="s">
        <v>785</v>
      </c>
      <c r="K7746" s="27" t="s">
        <v>37</v>
      </c>
      <c r="L7746" s="27"/>
    </row>
    <row r="7747" customFormat="false" ht="15" hidden="false" customHeight="false" outlineLevel="0" collapsed="false">
      <c r="A7747" s="26" t="s">
        <v>20413</v>
      </c>
      <c r="B7747" s="27" t="s">
        <v>20414</v>
      </c>
      <c r="C7747" s="27" t="s">
        <v>144</v>
      </c>
      <c r="D7747" s="26"/>
      <c r="E7747" s="27"/>
      <c r="F7747" s="27"/>
      <c r="G7747" s="27" t="s">
        <v>11122</v>
      </c>
      <c r="H7747" s="27" t="s">
        <v>35</v>
      </c>
      <c r="I7747" s="27" t="s">
        <v>41</v>
      </c>
      <c r="J7747" s="28" t="s">
        <v>785</v>
      </c>
      <c r="K7747" s="27" t="s">
        <v>37</v>
      </c>
      <c r="L7747" s="27"/>
    </row>
    <row r="7748" customFormat="false" ht="15" hidden="false" customHeight="false" outlineLevel="0" collapsed="false">
      <c r="A7748" s="26" t="s">
        <v>20415</v>
      </c>
      <c r="B7748" s="27" t="s">
        <v>20416</v>
      </c>
      <c r="C7748" s="27" t="s">
        <v>144</v>
      </c>
      <c r="D7748" s="26"/>
      <c r="E7748" s="27"/>
      <c r="F7748" s="27"/>
      <c r="G7748" s="27" t="s">
        <v>11122</v>
      </c>
      <c r="H7748" s="27" t="s">
        <v>35</v>
      </c>
      <c r="I7748" s="27" t="s">
        <v>41</v>
      </c>
      <c r="J7748" s="28" t="s">
        <v>785</v>
      </c>
      <c r="K7748" s="27" t="s">
        <v>37</v>
      </c>
      <c r="L7748" s="27"/>
    </row>
    <row r="7749" customFormat="false" ht="15" hidden="false" customHeight="false" outlineLevel="0" collapsed="false">
      <c r="A7749" s="26" t="s">
        <v>20417</v>
      </c>
      <c r="B7749" s="27" t="s">
        <v>20418</v>
      </c>
      <c r="C7749" s="27" t="s">
        <v>144</v>
      </c>
      <c r="D7749" s="26"/>
      <c r="E7749" s="27"/>
      <c r="F7749" s="27"/>
      <c r="G7749" s="27" t="s">
        <v>11122</v>
      </c>
      <c r="H7749" s="27" t="s">
        <v>35</v>
      </c>
      <c r="I7749" s="27" t="s">
        <v>41</v>
      </c>
      <c r="J7749" s="28" t="s">
        <v>785</v>
      </c>
      <c r="K7749" s="27" t="s">
        <v>37</v>
      </c>
      <c r="L7749" s="27"/>
    </row>
    <row r="7750" customFormat="false" ht="15" hidden="false" customHeight="false" outlineLevel="0" collapsed="false">
      <c r="A7750" s="26" t="s">
        <v>20419</v>
      </c>
      <c r="B7750" s="27" t="s">
        <v>20420</v>
      </c>
      <c r="C7750" s="27" t="s">
        <v>144</v>
      </c>
      <c r="D7750" s="26"/>
      <c r="E7750" s="27"/>
      <c r="F7750" s="27"/>
      <c r="G7750" s="27" t="s">
        <v>11122</v>
      </c>
      <c r="H7750" s="27" t="s">
        <v>35</v>
      </c>
      <c r="I7750" s="27" t="s">
        <v>41</v>
      </c>
      <c r="J7750" s="28" t="s">
        <v>785</v>
      </c>
      <c r="K7750" s="27" t="s">
        <v>37</v>
      </c>
      <c r="L7750" s="27"/>
    </row>
    <row r="7751" customFormat="false" ht="15" hidden="false" customHeight="false" outlineLevel="0" collapsed="false">
      <c r="A7751" s="26" t="s">
        <v>20421</v>
      </c>
      <c r="B7751" s="27" t="s">
        <v>20422</v>
      </c>
      <c r="C7751" s="27" t="s">
        <v>144</v>
      </c>
      <c r="D7751" s="26"/>
      <c r="E7751" s="27"/>
      <c r="F7751" s="27"/>
      <c r="G7751" s="27" t="s">
        <v>11122</v>
      </c>
      <c r="H7751" s="27" t="s">
        <v>35</v>
      </c>
      <c r="I7751" s="27" t="s">
        <v>41</v>
      </c>
      <c r="J7751" s="28" t="s">
        <v>785</v>
      </c>
      <c r="K7751" s="27" t="s">
        <v>37</v>
      </c>
      <c r="L7751" s="27"/>
    </row>
    <row r="7752" customFormat="false" ht="15" hidden="false" customHeight="false" outlineLevel="0" collapsed="false">
      <c r="A7752" s="26" t="s">
        <v>20423</v>
      </c>
      <c r="B7752" s="27" t="s">
        <v>20424</v>
      </c>
      <c r="C7752" s="27" t="s">
        <v>144</v>
      </c>
      <c r="D7752" s="26"/>
      <c r="E7752" s="27"/>
      <c r="F7752" s="27"/>
      <c r="G7752" s="27" t="s">
        <v>11122</v>
      </c>
      <c r="H7752" s="27" t="s">
        <v>35</v>
      </c>
      <c r="I7752" s="27" t="s">
        <v>43</v>
      </c>
      <c r="J7752" s="28" t="s">
        <v>785</v>
      </c>
      <c r="K7752" s="27" t="s">
        <v>37</v>
      </c>
      <c r="L7752" s="27"/>
    </row>
    <row r="7753" customFormat="false" ht="15" hidden="false" customHeight="false" outlineLevel="0" collapsed="false">
      <c r="A7753" s="26" t="s">
        <v>20425</v>
      </c>
      <c r="B7753" s="27" t="s">
        <v>20426</v>
      </c>
      <c r="C7753" s="27" t="s">
        <v>144</v>
      </c>
      <c r="D7753" s="26"/>
      <c r="E7753" s="27"/>
      <c r="F7753" s="27"/>
      <c r="G7753" s="27" t="s">
        <v>11122</v>
      </c>
      <c r="H7753" s="27" t="s">
        <v>35</v>
      </c>
      <c r="I7753" s="27" t="s">
        <v>41</v>
      </c>
      <c r="J7753" s="28" t="s">
        <v>785</v>
      </c>
      <c r="K7753" s="27" t="s">
        <v>37</v>
      </c>
      <c r="L7753" s="27"/>
    </row>
    <row r="7754" customFormat="false" ht="15" hidden="false" customHeight="false" outlineLevel="0" collapsed="false">
      <c r="A7754" s="26" t="s">
        <v>20427</v>
      </c>
      <c r="B7754" s="27" t="s">
        <v>20428</v>
      </c>
      <c r="C7754" s="27" t="s">
        <v>144</v>
      </c>
      <c r="D7754" s="26"/>
      <c r="E7754" s="27"/>
      <c r="F7754" s="27"/>
      <c r="G7754" s="27" t="s">
        <v>11122</v>
      </c>
      <c r="H7754" s="27" t="s">
        <v>35</v>
      </c>
      <c r="I7754" s="27" t="s">
        <v>37</v>
      </c>
      <c r="J7754" s="28" t="s">
        <v>785</v>
      </c>
      <c r="K7754" s="27" t="s">
        <v>37</v>
      </c>
      <c r="L7754" s="27"/>
    </row>
    <row r="7755" customFormat="false" ht="15" hidden="false" customHeight="false" outlineLevel="0" collapsed="false">
      <c r="A7755" s="26" t="s">
        <v>20429</v>
      </c>
      <c r="B7755" s="27" t="s">
        <v>20430</v>
      </c>
      <c r="C7755" s="27" t="s">
        <v>144</v>
      </c>
      <c r="D7755" s="26"/>
      <c r="E7755" s="27"/>
      <c r="F7755" s="27"/>
      <c r="G7755" s="27" t="s">
        <v>11122</v>
      </c>
      <c r="H7755" s="27" t="s">
        <v>35</v>
      </c>
      <c r="I7755" s="27" t="s">
        <v>3536</v>
      </c>
      <c r="J7755" s="28" t="s">
        <v>785</v>
      </c>
      <c r="K7755" s="27" t="s">
        <v>37</v>
      </c>
      <c r="L7755" s="27"/>
    </row>
    <row r="7756" customFormat="false" ht="15" hidden="false" customHeight="false" outlineLevel="0" collapsed="false">
      <c r="A7756" s="26" t="s">
        <v>20431</v>
      </c>
      <c r="B7756" s="27" t="s">
        <v>20432</v>
      </c>
      <c r="C7756" s="27" t="s">
        <v>144</v>
      </c>
      <c r="D7756" s="26"/>
      <c r="E7756" s="27"/>
      <c r="F7756" s="27"/>
      <c r="G7756" s="27" t="s">
        <v>11122</v>
      </c>
      <c r="H7756" s="27" t="s">
        <v>35</v>
      </c>
      <c r="I7756" s="27" t="s">
        <v>37</v>
      </c>
      <c r="J7756" s="28" t="s">
        <v>785</v>
      </c>
      <c r="K7756" s="27" t="s">
        <v>37</v>
      </c>
      <c r="L7756" s="27"/>
    </row>
    <row r="7757" customFormat="false" ht="15" hidden="false" customHeight="false" outlineLevel="0" collapsed="false">
      <c r="A7757" s="26" t="s">
        <v>20433</v>
      </c>
      <c r="B7757" s="27" t="s">
        <v>20434</v>
      </c>
      <c r="C7757" s="27" t="s">
        <v>144</v>
      </c>
      <c r="D7757" s="26"/>
      <c r="E7757" s="27"/>
      <c r="F7757" s="27"/>
      <c r="G7757" s="27" t="s">
        <v>11122</v>
      </c>
      <c r="H7757" s="27" t="s">
        <v>35</v>
      </c>
      <c r="I7757" s="27" t="s">
        <v>41</v>
      </c>
      <c r="J7757" s="28" t="s">
        <v>785</v>
      </c>
      <c r="K7757" s="27" t="s">
        <v>37</v>
      </c>
      <c r="L7757" s="27"/>
    </row>
    <row r="7758" customFormat="false" ht="15" hidden="false" customHeight="false" outlineLevel="0" collapsed="false">
      <c r="A7758" s="26" t="s">
        <v>20435</v>
      </c>
      <c r="B7758" s="27" t="s">
        <v>20436</v>
      </c>
      <c r="C7758" s="27" t="s">
        <v>144</v>
      </c>
      <c r="D7758" s="26"/>
      <c r="E7758" s="27"/>
      <c r="F7758" s="27"/>
      <c r="G7758" s="27" t="s">
        <v>11122</v>
      </c>
      <c r="H7758" s="27" t="s">
        <v>35</v>
      </c>
      <c r="I7758" s="27" t="s">
        <v>41</v>
      </c>
      <c r="J7758" s="28" t="s">
        <v>785</v>
      </c>
      <c r="K7758" s="27" t="s">
        <v>37</v>
      </c>
      <c r="L7758" s="27"/>
    </row>
    <row r="7759" customFormat="false" ht="15" hidden="false" customHeight="false" outlineLevel="0" collapsed="false">
      <c r="A7759" s="26" t="s">
        <v>20437</v>
      </c>
      <c r="B7759" s="27" t="s">
        <v>20438</v>
      </c>
      <c r="C7759" s="27" t="s">
        <v>144</v>
      </c>
      <c r="D7759" s="26"/>
      <c r="E7759" s="27"/>
      <c r="F7759" s="27"/>
      <c r="G7759" s="27" t="s">
        <v>11122</v>
      </c>
      <c r="H7759" s="27" t="s">
        <v>35</v>
      </c>
      <c r="I7759" s="27" t="s">
        <v>37</v>
      </c>
      <c r="J7759" s="28" t="s">
        <v>785</v>
      </c>
      <c r="K7759" s="27" t="s">
        <v>37</v>
      </c>
      <c r="L7759" s="27"/>
    </row>
    <row r="7760" customFormat="false" ht="15" hidden="false" customHeight="false" outlineLevel="0" collapsed="false">
      <c r="A7760" s="26" t="s">
        <v>20439</v>
      </c>
      <c r="B7760" s="27" t="s">
        <v>20440</v>
      </c>
      <c r="C7760" s="27" t="s">
        <v>144</v>
      </c>
      <c r="D7760" s="26"/>
      <c r="E7760" s="27"/>
      <c r="F7760" s="27"/>
      <c r="G7760" s="27" t="s">
        <v>11122</v>
      </c>
      <c r="H7760" s="27" t="s">
        <v>35</v>
      </c>
      <c r="I7760" s="27" t="s">
        <v>37</v>
      </c>
      <c r="J7760" s="28" t="s">
        <v>785</v>
      </c>
      <c r="K7760" s="27" t="s">
        <v>37</v>
      </c>
      <c r="L7760" s="27"/>
    </row>
    <row r="7761" customFormat="false" ht="15" hidden="false" customHeight="false" outlineLevel="0" collapsed="false">
      <c r="A7761" s="26" t="s">
        <v>20441</v>
      </c>
      <c r="B7761" s="27" t="s">
        <v>20442</v>
      </c>
      <c r="C7761" s="27" t="s">
        <v>144</v>
      </c>
      <c r="D7761" s="26"/>
      <c r="E7761" s="27"/>
      <c r="F7761" s="27"/>
      <c r="G7761" s="27" t="s">
        <v>11122</v>
      </c>
      <c r="H7761" s="27" t="s">
        <v>35</v>
      </c>
      <c r="I7761" s="27" t="s">
        <v>41</v>
      </c>
      <c r="J7761" s="28" t="s">
        <v>785</v>
      </c>
      <c r="K7761" s="27" t="s">
        <v>37</v>
      </c>
      <c r="L7761" s="27"/>
    </row>
    <row r="7762" customFormat="false" ht="15" hidden="false" customHeight="false" outlineLevel="0" collapsed="false">
      <c r="A7762" s="26" t="s">
        <v>20443</v>
      </c>
      <c r="B7762" s="27" t="s">
        <v>20444</v>
      </c>
      <c r="C7762" s="27" t="s">
        <v>144</v>
      </c>
      <c r="D7762" s="26"/>
      <c r="E7762" s="27"/>
      <c r="F7762" s="27"/>
      <c r="G7762" s="27" t="s">
        <v>11122</v>
      </c>
      <c r="H7762" s="27" t="s">
        <v>35</v>
      </c>
      <c r="I7762" s="27" t="s">
        <v>41</v>
      </c>
      <c r="J7762" s="28" t="s">
        <v>785</v>
      </c>
      <c r="K7762" s="27" t="s">
        <v>37</v>
      </c>
      <c r="L7762" s="27"/>
    </row>
    <row r="7763" customFormat="false" ht="15" hidden="false" customHeight="false" outlineLevel="0" collapsed="false">
      <c r="A7763" s="26" t="s">
        <v>20445</v>
      </c>
      <c r="B7763" s="27" t="s">
        <v>20446</v>
      </c>
      <c r="C7763" s="27" t="s">
        <v>144</v>
      </c>
      <c r="D7763" s="26"/>
      <c r="E7763" s="27"/>
      <c r="F7763" s="27"/>
      <c r="G7763" s="27" t="s">
        <v>11122</v>
      </c>
      <c r="H7763" s="27" t="s">
        <v>35</v>
      </c>
      <c r="I7763" s="27" t="s">
        <v>41</v>
      </c>
      <c r="J7763" s="28" t="s">
        <v>785</v>
      </c>
      <c r="K7763" s="27" t="s">
        <v>37</v>
      </c>
      <c r="L7763" s="27"/>
    </row>
    <row r="7764" customFormat="false" ht="15" hidden="false" customHeight="false" outlineLevel="0" collapsed="false">
      <c r="A7764" s="26" t="s">
        <v>20447</v>
      </c>
      <c r="B7764" s="27" t="s">
        <v>20448</v>
      </c>
      <c r="C7764" s="27" t="s">
        <v>144</v>
      </c>
      <c r="D7764" s="26"/>
      <c r="E7764" s="27"/>
      <c r="F7764" s="27"/>
      <c r="G7764" s="27" t="s">
        <v>11122</v>
      </c>
      <c r="H7764" s="27" t="s">
        <v>35</v>
      </c>
      <c r="I7764" s="27" t="s">
        <v>37</v>
      </c>
      <c r="J7764" s="28" t="s">
        <v>785</v>
      </c>
      <c r="K7764" s="27" t="s">
        <v>37</v>
      </c>
      <c r="L7764" s="27"/>
    </row>
    <row r="7765" customFormat="false" ht="15" hidden="false" customHeight="false" outlineLevel="0" collapsed="false">
      <c r="A7765" s="26" t="s">
        <v>20449</v>
      </c>
      <c r="B7765" s="27" t="s">
        <v>20450</v>
      </c>
      <c r="C7765" s="27" t="s">
        <v>144</v>
      </c>
      <c r="D7765" s="26"/>
      <c r="E7765" s="27"/>
      <c r="F7765" s="27"/>
      <c r="G7765" s="27" t="s">
        <v>11122</v>
      </c>
      <c r="H7765" s="27" t="s">
        <v>35</v>
      </c>
      <c r="I7765" s="27" t="s">
        <v>37</v>
      </c>
      <c r="J7765" s="28" t="s">
        <v>785</v>
      </c>
      <c r="K7765" s="27" t="s">
        <v>37</v>
      </c>
      <c r="L7765" s="27"/>
    </row>
    <row r="7766" customFormat="false" ht="15" hidden="false" customHeight="false" outlineLevel="0" collapsed="false">
      <c r="A7766" s="26" t="s">
        <v>20451</v>
      </c>
      <c r="B7766" s="27" t="s">
        <v>20410</v>
      </c>
      <c r="C7766" s="27" t="s">
        <v>144</v>
      </c>
      <c r="D7766" s="26"/>
      <c r="E7766" s="27"/>
      <c r="F7766" s="27"/>
      <c r="G7766" s="27" t="s">
        <v>11122</v>
      </c>
      <c r="H7766" s="27" t="s">
        <v>35</v>
      </c>
      <c r="I7766" s="27" t="s">
        <v>38</v>
      </c>
      <c r="J7766" s="28" t="s">
        <v>785</v>
      </c>
      <c r="K7766" s="27" t="s">
        <v>37</v>
      </c>
      <c r="L7766" s="27"/>
    </row>
    <row r="7767" customFormat="false" ht="15" hidden="false" customHeight="false" outlineLevel="0" collapsed="false">
      <c r="A7767" s="26" t="s">
        <v>20452</v>
      </c>
      <c r="B7767" s="27" t="s">
        <v>20453</v>
      </c>
      <c r="C7767" s="27" t="s">
        <v>144</v>
      </c>
      <c r="D7767" s="26"/>
      <c r="E7767" s="27"/>
      <c r="F7767" s="27"/>
      <c r="G7767" s="27" t="s">
        <v>11122</v>
      </c>
      <c r="H7767" s="27" t="s">
        <v>35</v>
      </c>
      <c r="I7767" s="27" t="s">
        <v>37</v>
      </c>
      <c r="J7767" s="28" t="s">
        <v>785</v>
      </c>
      <c r="K7767" s="27" t="s">
        <v>37</v>
      </c>
      <c r="L7767" s="27"/>
    </row>
    <row r="7768" customFormat="false" ht="15" hidden="false" customHeight="false" outlineLevel="0" collapsed="false">
      <c r="A7768" s="26" t="s">
        <v>20454</v>
      </c>
      <c r="B7768" s="27" t="s">
        <v>20455</v>
      </c>
      <c r="C7768" s="27" t="s">
        <v>144</v>
      </c>
      <c r="D7768" s="26"/>
      <c r="E7768" s="27"/>
      <c r="F7768" s="27"/>
      <c r="G7768" s="27" t="s">
        <v>11122</v>
      </c>
      <c r="H7768" s="27" t="s">
        <v>35</v>
      </c>
      <c r="I7768" s="27" t="s">
        <v>41</v>
      </c>
      <c r="J7768" s="28" t="s">
        <v>785</v>
      </c>
      <c r="K7768" s="27" t="s">
        <v>37</v>
      </c>
      <c r="L7768" s="27"/>
    </row>
    <row r="7769" customFormat="false" ht="15" hidden="false" customHeight="false" outlineLevel="0" collapsed="false">
      <c r="A7769" s="26" t="s">
        <v>20456</v>
      </c>
      <c r="B7769" s="27" t="s">
        <v>20410</v>
      </c>
      <c r="C7769" s="27" t="s">
        <v>144</v>
      </c>
      <c r="D7769" s="26"/>
      <c r="E7769" s="27"/>
      <c r="F7769" s="27"/>
      <c r="G7769" s="27" t="s">
        <v>11122</v>
      </c>
      <c r="H7769" s="27" t="s">
        <v>35</v>
      </c>
      <c r="I7769" s="27" t="s">
        <v>38</v>
      </c>
      <c r="J7769" s="28" t="s">
        <v>785</v>
      </c>
      <c r="K7769" s="27" t="s">
        <v>37</v>
      </c>
      <c r="L7769" s="27"/>
    </row>
    <row r="7770" customFormat="false" ht="15" hidden="false" customHeight="false" outlineLevel="0" collapsed="false">
      <c r="A7770" s="26" t="s">
        <v>20457</v>
      </c>
      <c r="B7770" s="27" t="s">
        <v>20458</v>
      </c>
      <c r="C7770" s="27" t="s">
        <v>144</v>
      </c>
      <c r="D7770" s="26"/>
      <c r="E7770" s="27"/>
      <c r="F7770" s="27"/>
      <c r="G7770" s="27" t="s">
        <v>11122</v>
      </c>
      <c r="H7770" s="27" t="s">
        <v>35</v>
      </c>
      <c r="I7770" s="27" t="s">
        <v>37</v>
      </c>
      <c r="J7770" s="28" t="s">
        <v>785</v>
      </c>
      <c r="K7770" s="27" t="s">
        <v>37</v>
      </c>
      <c r="L7770" s="27"/>
    </row>
    <row r="7771" customFormat="false" ht="15" hidden="false" customHeight="false" outlineLevel="0" collapsed="false">
      <c r="A7771" s="26" t="s">
        <v>20459</v>
      </c>
      <c r="B7771" s="27" t="s">
        <v>20460</v>
      </c>
      <c r="C7771" s="27" t="s">
        <v>144</v>
      </c>
      <c r="D7771" s="26"/>
      <c r="E7771" s="27"/>
      <c r="F7771" s="27"/>
      <c r="G7771" s="27" t="s">
        <v>11122</v>
      </c>
      <c r="H7771" s="27" t="s">
        <v>35</v>
      </c>
      <c r="I7771" s="27" t="s">
        <v>39</v>
      </c>
      <c r="J7771" s="28" t="s">
        <v>785</v>
      </c>
      <c r="K7771" s="27" t="s">
        <v>37</v>
      </c>
      <c r="L7771" s="27"/>
    </row>
    <row r="7772" customFormat="false" ht="15" hidden="false" customHeight="false" outlineLevel="0" collapsed="false">
      <c r="A7772" s="26" t="s">
        <v>20461</v>
      </c>
      <c r="B7772" s="27" t="s">
        <v>20462</v>
      </c>
      <c r="C7772" s="27" t="s">
        <v>144</v>
      </c>
      <c r="D7772" s="26"/>
      <c r="E7772" s="27"/>
      <c r="F7772" s="27"/>
      <c r="G7772" s="27" t="s">
        <v>11122</v>
      </c>
      <c r="H7772" s="27" t="s">
        <v>35</v>
      </c>
      <c r="I7772" s="27" t="s">
        <v>37</v>
      </c>
      <c r="J7772" s="28" t="s">
        <v>785</v>
      </c>
      <c r="K7772" s="27" t="s">
        <v>37</v>
      </c>
      <c r="L7772" s="27"/>
    </row>
    <row r="7773" customFormat="false" ht="15" hidden="false" customHeight="false" outlineLevel="0" collapsed="false">
      <c r="A7773" s="26" t="s">
        <v>20463</v>
      </c>
      <c r="B7773" s="27" t="s">
        <v>20464</v>
      </c>
      <c r="C7773" s="27" t="s">
        <v>144</v>
      </c>
      <c r="D7773" s="26"/>
      <c r="E7773" s="27"/>
      <c r="F7773" s="27"/>
      <c r="G7773" s="27" t="s">
        <v>11122</v>
      </c>
      <c r="H7773" s="27" t="s">
        <v>35</v>
      </c>
      <c r="I7773" s="27" t="s">
        <v>37</v>
      </c>
      <c r="J7773" s="28" t="s">
        <v>785</v>
      </c>
      <c r="K7773" s="27" t="s">
        <v>37</v>
      </c>
      <c r="L7773" s="27"/>
    </row>
    <row r="7774" customFormat="false" ht="15" hidden="false" customHeight="false" outlineLevel="0" collapsed="false">
      <c r="A7774" s="26" t="s">
        <v>20465</v>
      </c>
      <c r="B7774" s="27" t="s">
        <v>20466</v>
      </c>
      <c r="C7774" s="27" t="s">
        <v>144</v>
      </c>
      <c r="D7774" s="26"/>
      <c r="E7774" s="27"/>
      <c r="F7774" s="27"/>
      <c r="G7774" s="27" t="s">
        <v>11122</v>
      </c>
      <c r="H7774" s="27" t="s">
        <v>35</v>
      </c>
      <c r="I7774" s="27" t="s">
        <v>40</v>
      </c>
      <c r="J7774" s="28" t="s">
        <v>785</v>
      </c>
      <c r="K7774" s="27" t="s">
        <v>37</v>
      </c>
      <c r="L7774" s="27"/>
    </row>
    <row r="7775" customFormat="false" ht="15" hidden="false" customHeight="false" outlineLevel="0" collapsed="false">
      <c r="A7775" s="26" t="s">
        <v>20467</v>
      </c>
      <c r="B7775" s="27" t="s">
        <v>20468</v>
      </c>
      <c r="C7775" s="27" t="s">
        <v>144</v>
      </c>
      <c r="D7775" s="26"/>
      <c r="E7775" s="27"/>
      <c r="F7775" s="27"/>
      <c r="G7775" s="27" t="s">
        <v>11122</v>
      </c>
      <c r="H7775" s="27" t="s">
        <v>35</v>
      </c>
      <c r="I7775" s="27" t="s">
        <v>37</v>
      </c>
      <c r="J7775" s="28" t="s">
        <v>785</v>
      </c>
      <c r="K7775" s="27" t="s">
        <v>37</v>
      </c>
      <c r="L7775" s="27"/>
    </row>
    <row r="7776" customFormat="false" ht="15" hidden="false" customHeight="false" outlineLevel="0" collapsed="false">
      <c r="A7776" s="26" t="s">
        <v>20469</v>
      </c>
      <c r="B7776" s="27" t="s">
        <v>20470</v>
      </c>
      <c r="C7776" s="27" t="s">
        <v>144</v>
      </c>
      <c r="D7776" s="26"/>
      <c r="E7776" s="27"/>
      <c r="F7776" s="27"/>
      <c r="G7776" s="27" t="s">
        <v>11122</v>
      </c>
      <c r="H7776" s="27" t="s">
        <v>35</v>
      </c>
      <c r="I7776" s="27" t="s">
        <v>37</v>
      </c>
      <c r="J7776" s="28" t="s">
        <v>785</v>
      </c>
      <c r="K7776" s="27" t="s">
        <v>37</v>
      </c>
      <c r="L7776" s="27"/>
    </row>
    <row r="7777" customFormat="false" ht="15" hidden="false" customHeight="false" outlineLevel="0" collapsed="false">
      <c r="A7777" s="26" t="s">
        <v>20471</v>
      </c>
      <c r="B7777" s="27" t="s">
        <v>20472</v>
      </c>
      <c r="C7777" s="27" t="s">
        <v>144</v>
      </c>
      <c r="D7777" s="26"/>
      <c r="E7777" s="27"/>
      <c r="F7777" s="27"/>
      <c r="G7777" s="27" t="s">
        <v>11122</v>
      </c>
      <c r="H7777" s="27" t="s">
        <v>35</v>
      </c>
      <c r="I7777" s="27" t="s">
        <v>41</v>
      </c>
      <c r="J7777" s="28" t="s">
        <v>785</v>
      </c>
      <c r="K7777" s="27" t="s">
        <v>37</v>
      </c>
      <c r="L7777" s="27"/>
    </row>
    <row r="7778" customFormat="false" ht="15" hidden="false" customHeight="false" outlineLevel="0" collapsed="false">
      <c r="A7778" s="26" t="s">
        <v>20473</v>
      </c>
      <c r="B7778" s="27" t="s">
        <v>20474</v>
      </c>
      <c r="C7778" s="27" t="s">
        <v>144</v>
      </c>
      <c r="D7778" s="26"/>
      <c r="E7778" s="27"/>
      <c r="F7778" s="27"/>
      <c r="G7778" s="27" t="s">
        <v>11122</v>
      </c>
      <c r="H7778" s="27" t="s">
        <v>35</v>
      </c>
      <c r="I7778" s="27" t="s">
        <v>37</v>
      </c>
      <c r="J7778" s="28" t="s">
        <v>785</v>
      </c>
      <c r="K7778" s="27" t="s">
        <v>37</v>
      </c>
      <c r="L7778" s="27"/>
    </row>
    <row r="7779" customFormat="false" ht="15" hidden="false" customHeight="false" outlineLevel="0" collapsed="false">
      <c r="A7779" s="26" t="s">
        <v>20475</v>
      </c>
      <c r="B7779" s="27" t="s">
        <v>20476</v>
      </c>
      <c r="C7779" s="27" t="s">
        <v>144</v>
      </c>
      <c r="D7779" s="26"/>
      <c r="E7779" s="27"/>
      <c r="F7779" s="27"/>
      <c r="G7779" s="27" t="s">
        <v>11122</v>
      </c>
      <c r="H7779" s="27" t="s">
        <v>35</v>
      </c>
      <c r="I7779" s="27" t="s">
        <v>41</v>
      </c>
      <c r="J7779" s="28" t="s">
        <v>785</v>
      </c>
      <c r="K7779" s="27" t="s">
        <v>37</v>
      </c>
      <c r="L7779" s="27"/>
    </row>
    <row r="7780" customFormat="false" ht="15" hidden="false" customHeight="false" outlineLevel="0" collapsed="false">
      <c r="A7780" s="26" t="s">
        <v>20477</v>
      </c>
      <c r="B7780" s="27" t="s">
        <v>20478</v>
      </c>
      <c r="C7780" s="27" t="s">
        <v>144</v>
      </c>
      <c r="D7780" s="26"/>
      <c r="E7780" s="27"/>
      <c r="F7780" s="27"/>
      <c r="G7780" s="27" t="s">
        <v>11122</v>
      </c>
      <c r="H7780" s="27" t="s">
        <v>35</v>
      </c>
      <c r="I7780" s="27" t="s">
        <v>37</v>
      </c>
      <c r="J7780" s="28" t="s">
        <v>785</v>
      </c>
      <c r="K7780" s="27" t="s">
        <v>37</v>
      </c>
      <c r="L7780" s="27"/>
    </row>
    <row r="7781" customFormat="false" ht="15" hidden="false" customHeight="false" outlineLevel="0" collapsed="false">
      <c r="A7781" s="26" t="s">
        <v>20479</v>
      </c>
      <c r="B7781" s="27" t="s">
        <v>20480</v>
      </c>
      <c r="C7781" s="27" t="s">
        <v>144</v>
      </c>
      <c r="D7781" s="26"/>
      <c r="E7781" s="27"/>
      <c r="F7781" s="27"/>
      <c r="G7781" s="27" t="s">
        <v>11122</v>
      </c>
      <c r="H7781" s="27" t="s">
        <v>35</v>
      </c>
      <c r="I7781" s="27" t="s">
        <v>37</v>
      </c>
      <c r="J7781" s="28" t="s">
        <v>785</v>
      </c>
      <c r="K7781" s="27" t="s">
        <v>37</v>
      </c>
      <c r="L7781" s="27"/>
    </row>
    <row r="7782" customFormat="false" ht="15" hidden="false" customHeight="false" outlineLevel="0" collapsed="false">
      <c r="A7782" s="26" t="s">
        <v>20481</v>
      </c>
      <c r="B7782" s="27" t="s">
        <v>20482</v>
      </c>
      <c r="C7782" s="27" t="s">
        <v>144</v>
      </c>
      <c r="D7782" s="26"/>
      <c r="E7782" s="27"/>
      <c r="F7782" s="27"/>
      <c r="G7782" s="27" t="s">
        <v>11122</v>
      </c>
      <c r="H7782" s="27" t="s">
        <v>35</v>
      </c>
      <c r="I7782" s="27" t="s">
        <v>37</v>
      </c>
      <c r="J7782" s="28" t="s">
        <v>785</v>
      </c>
      <c r="K7782" s="27" t="s">
        <v>37</v>
      </c>
      <c r="L7782" s="27"/>
    </row>
    <row r="7783" customFormat="false" ht="15" hidden="false" customHeight="false" outlineLevel="0" collapsed="false">
      <c r="A7783" s="26" t="s">
        <v>20483</v>
      </c>
      <c r="B7783" s="27" t="s">
        <v>20484</v>
      </c>
      <c r="C7783" s="27" t="s">
        <v>144</v>
      </c>
      <c r="D7783" s="26"/>
      <c r="E7783" s="27"/>
      <c r="F7783" s="27"/>
      <c r="G7783" s="27" t="s">
        <v>11122</v>
      </c>
      <c r="H7783" s="27" t="s">
        <v>35</v>
      </c>
      <c r="I7783" s="27" t="s">
        <v>41</v>
      </c>
      <c r="J7783" s="28" t="s">
        <v>785</v>
      </c>
      <c r="K7783" s="27" t="s">
        <v>37</v>
      </c>
      <c r="L7783" s="27"/>
    </row>
    <row r="7784" customFormat="false" ht="15" hidden="false" customHeight="false" outlineLevel="0" collapsed="false">
      <c r="A7784" s="26" t="s">
        <v>20485</v>
      </c>
      <c r="B7784" s="27" t="s">
        <v>20486</v>
      </c>
      <c r="C7784" s="27" t="s">
        <v>144</v>
      </c>
      <c r="D7784" s="26"/>
      <c r="E7784" s="27"/>
      <c r="F7784" s="27"/>
      <c r="G7784" s="27" t="s">
        <v>11122</v>
      </c>
      <c r="H7784" s="27" t="s">
        <v>35</v>
      </c>
      <c r="I7784" s="27" t="s">
        <v>41</v>
      </c>
      <c r="J7784" s="28" t="s">
        <v>785</v>
      </c>
      <c r="K7784" s="27" t="s">
        <v>37</v>
      </c>
      <c r="L7784" s="27"/>
    </row>
    <row r="7785" customFormat="false" ht="15" hidden="false" customHeight="false" outlineLevel="0" collapsed="false">
      <c r="A7785" s="26" t="s">
        <v>20487</v>
      </c>
      <c r="B7785" s="27" t="s">
        <v>20488</v>
      </c>
      <c r="C7785" s="27" t="s">
        <v>144</v>
      </c>
      <c r="D7785" s="26"/>
      <c r="E7785" s="27"/>
      <c r="F7785" s="27"/>
      <c r="G7785" s="27" t="s">
        <v>11122</v>
      </c>
      <c r="H7785" s="27" t="s">
        <v>35</v>
      </c>
      <c r="I7785" s="27" t="s">
        <v>41</v>
      </c>
      <c r="J7785" s="28" t="s">
        <v>785</v>
      </c>
      <c r="K7785" s="27" t="s">
        <v>37</v>
      </c>
      <c r="L7785" s="27"/>
    </row>
    <row r="7786" customFormat="false" ht="15" hidden="false" customHeight="false" outlineLevel="0" collapsed="false">
      <c r="A7786" s="26" t="s">
        <v>20489</v>
      </c>
      <c r="B7786" s="27" t="s">
        <v>20490</v>
      </c>
      <c r="C7786" s="27" t="s">
        <v>144</v>
      </c>
      <c r="D7786" s="26"/>
      <c r="E7786" s="27"/>
      <c r="F7786" s="27"/>
      <c r="G7786" s="27" t="s">
        <v>11122</v>
      </c>
      <c r="H7786" s="27" t="s">
        <v>35</v>
      </c>
      <c r="I7786" s="27" t="s">
        <v>37</v>
      </c>
      <c r="J7786" s="28" t="s">
        <v>785</v>
      </c>
      <c r="K7786" s="27" t="s">
        <v>37</v>
      </c>
      <c r="L7786" s="27"/>
    </row>
    <row r="7787" customFormat="false" ht="15" hidden="false" customHeight="false" outlineLevel="0" collapsed="false">
      <c r="A7787" s="26" t="s">
        <v>20491</v>
      </c>
      <c r="B7787" s="27" t="s">
        <v>20492</v>
      </c>
      <c r="C7787" s="27" t="s">
        <v>144</v>
      </c>
      <c r="D7787" s="26"/>
      <c r="E7787" s="27"/>
      <c r="F7787" s="27"/>
      <c r="G7787" s="27" t="s">
        <v>11122</v>
      </c>
      <c r="H7787" s="27" t="s">
        <v>35</v>
      </c>
      <c r="I7787" s="27" t="s">
        <v>37</v>
      </c>
      <c r="J7787" s="28" t="s">
        <v>785</v>
      </c>
      <c r="K7787" s="27" t="s">
        <v>37</v>
      </c>
      <c r="L7787" s="27"/>
    </row>
    <row r="7788" customFormat="false" ht="15" hidden="false" customHeight="false" outlineLevel="0" collapsed="false">
      <c r="A7788" s="26" t="s">
        <v>20493</v>
      </c>
      <c r="B7788" s="27" t="s">
        <v>20494</v>
      </c>
      <c r="C7788" s="27" t="s">
        <v>144</v>
      </c>
      <c r="D7788" s="26"/>
      <c r="E7788" s="27"/>
      <c r="F7788" s="27"/>
      <c r="G7788" s="27" t="s">
        <v>11122</v>
      </c>
      <c r="H7788" s="27" t="s">
        <v>35</v>
      </c>
      <c r="I7788" s="27" t="s">
        <v>41</v>
      </c>
      <c r="J7788" s="28" t="s">
        <v>785</v>
      </c>
      <c r="K7788" s="27" t="s">
        <v>37</v>
      </c>
      <c r="L7788" s="27"/>
    </row>
    <row r="7789" customFormat="false" ht="15" hidden="false" customHeight="false" outlineLevel="0" collapsed="false">
      <c r="A7789" s="26" t="s">
        <v>20495</v>
      </c>
      <c r="B7789" s="27" t="s">
        <v>20496</v>
      </c>
      <c r="C7789" s="27" t="s">
        <v>144</v>
      </c>
      <c r="D7789" s="26"/>
      <c r="E7789" s="27"/>
      <c r="F7789" s="27"/>
      <c r="G7789" s="27" t="s">
        <v>11122</v>
      </c>
      <c r="H7789" s="27" t="s">
        <v>35</v>
      </c>
      <c r="I7789" s="27" t="s">
        <v>37</v>
      </c>
      <c r="J7789" s="28" t="s">
        <v>785</v>
      </c>
      <c r="K7789" s="27" t="s">
        <v>37</v>
      </c>
      <c r="L7789" s="27"/>
    </row>
    <row r="7790" customFormat="false" ht="15" hidden="false" customHeight="false" outlineLevel="0" collapsed="false">
      <c r="A7790" s="26" t="s">
        <v>20497</v>
      </c>
      <c r="B7790" s="27" t="s">
        <v>20498</v>
      </c>
      <c r="C7790" s="27" t="s">
        <v>144</v>
      </c>
      <c r="D7790" s="26"/>
      <c r="E7790" s="27"/>
      <c r="F7790" s="27"/>
      <c r="G7790" s="27" t="s">
        <v>11122</v>
      </c>
      <c r="H7790" s="27" t="s">
        <v>35</v>
      </c>
      <c r="I7790" s="27" t="s">
        <v>37</v>
      </c>
      <c r="J7790" s="28" t="s">
        <v>785</v>
      </c>
      <c r="K7790" s="27" t="s">
        <v>37</v>
      </c>
      <c r="L7790" s="27"/>
    </row>
    <row r="7791" customFormat="false" ht="15" hidden="false" customHeight="false" outlineLevel="0" collapsed="false">
      <c r="A7791" s="26" t="s">
        <v>20499</v>
      </c>
      <c r="B7791" s="27" t="s">
        <v>20500</v>
      </c>
      <c r="C7791" s="27" t="s">
        <v>144</v>
      </c>
      <c r="D7791" s="26"/>
      <c r="E7791" s="27"/>
      <c r="F7791" s="27"/>
      <c r="G7791" s="27" t="s">
        <v>11122</v>
      </c>
      <c r="H7791" s="27" t="s">
        <v>35</v>
      </c>
      <c r="I7791" s="27" t="s">
        <v>37</v>
      </c>
      <c r="J7791" s="28" t="s">
        <v>785</v>
      </c>
      <c r="K7791" s="27" t="s">
        <v>37</v>
      </c>
      <c r="L7791" s="27"/>
    </row>
    <row r="7792" customFormat="false" ht="15" hidden="false" customHeight="false" outlineLevel="0" collapsed="false">
      <c r="A7792" s="26" t="s">
        <v>20501</v>
      </c>
      <c r="B7792" s="27" t="s">
        <v>20502</v>
      </c>
      <c r="C7792" s="27" t="s">
        <v>144</v>
      </c>
      <c r="D7792" s="26"/>
      <c r="E7792" s="27"/>
      <c r="F7792" s="27"/>
      <c r="G7792" s="27" t="s">
        <v>11122</v>
      </c>
      <c r="H7792" s="27" t="s">
        <v>35</v>
      </c>
      <c r="I7792" s="27" t="s">
        <v>37</v>
      </c>
      <c r="J7792" s="28" t="s">
        <v>785</v>
      </c>
      <c r="K7792" s="27" t="s">
        <v>37</v>
      </c>
      <c r="L7792" s="27"/>
    </row>
    <row r="7793" customFormat="false" ht="15" hidden="false" customHeight="false" outlineLevel="0" collapsed="false">
      <c r="A7793" s="26" t="s">
        <v>20503</v>
      </c>
      <c r="B7793" s="27" t="s">
        <v>20504</v>
      </c>
      <c r="C7793" s="27" t="s">
        <v>144</v>
      </c>
      <c r="D7793" s="26"/>
      <c r="E7793" s="27"/>
      <c r="F7793" s="27"/>
      <c r="G7793" s="27" t="s">
        <v>11122</v>
      </c>
      <c r="H7793" s="27" t="s">
        <v>35</v>
      </c>
      <c r="I7793" s="27" t="s">
        <v>41</v>
      </c>
      <c r="J7793" s="28" t="s">
        <v>785</v>
      </c>
      <c r="K7793" s="27" t="s">
        <v>37</v>
      </c>
      <c r="L7793" s="27"/>
    </row>
    <row r="7794" customFormat="false" ht="15" hidden="false" customHeight="false" outlineLevel="0" collapsed="false">
      <c r="A7794" s="26" t="s">
        <v>20505</v>
      </c>
      <c r="B7794" s="27" t="s">
        <v>20506</v>
      </c>
      <c r="C7794" s="27" t="s">
        <v>144</v>
      </c>
      <c r="D7794" s="26"/>
      <c r="E7794" s="27"/>
      <c r="F7794" s="27"/>
      <c r="G7794" s="27" t="s">
        <v>11122</v>
      </c>
      <c r="H7794" s="27" t="s">
        <v>35</v>
      </c>
      <c r="I7794" s="27" t="s">
        <v>41</v>
      </c>
      <c r="J7794" s="28" t="s">
        <v>785</v>
      </c>
      <c r="K7794" s="27" t="s">
        <v>37</v>
      </c>
      <c r="L7794" s="27"/>
    </row>
    <row r="7795" customFormat="false" ht="15" hidden="false" customHeight="false" outlineLevel="0" collapsed="false">
      <c r="A7795" s="26" t="s">
        <v>20507</v>
      </c>
      <c r="B7795" s="27" t="s">
        <v>20508</v>
      </c>
      <c r="C7795" s="27" t="s">
        <v>144</v>
      </c>
      <c r="D7795" s="26"/>
      <c r="E7795" s="27"/>
      <c r="F7795" s="27"/>
      <c r="G7795" s="27" t="s">
        <v>11122</v>
      </c>
      <c r="H7795" s="27" t="s">
        <v>35</v>
      </c>
      <c r="I7795" s="27" t="s">
        <v>41</v>
      </c>
      <c r="J7795" s="28" t="s">
        <v>785</v>
      </c>
      <c r="K7795" s="27" t="s">
        <v>37</v>
      </c>
      <c r="L7795" s="27"/>
    </row>
    <row r="7796" customFormat="false" ht="15" hidden="false" customHeight="false" outlineLevel="0" collapsed="false">
      <c r="A7796" s="26" t="s">
        <v>20509</v>
      </c>
      <c r="B7796" s="27" t="s">
        <v>20510</v>
      </c>
      <c r="C7796" s="27" t="s">
        <v>144</v>
      </c>
      <c r="D7796" s="26"/>
      <c r="E7796" s="27"/>
      <c r="F7796" s="27"/>
      <c r="G7796" s="27" t="s">
        <v>11122</v>
      </c>
      <c r="H7796" s="27" t="s">
        <v>35</v>
      </c>
      <c r="I7796" s="27" t="s">
        <v>41</v>
      </c>
      <c r="J7796" s="28" t="s">
        <v>785</v>
      </c>
      <c r="K7796" s="27" t="s">
        <v>37</v>
      </c>
      <c r="L7796" s="27"/>
    </row>
    <row r="7797" customFormat="false" ht="15" hidden="false" customHeight="false" outlineLevel="0" collapsed="false">
      <c r="A7797" s="26" t="s">
        <v>20511</v>
      </c>
      <c r="B7797" s="27" t="s">
        <v>20512</v>
      </c>
      <c r="C7797" s="27" t="s">
        <v>144</v>
      </c>
      <c r="D7797" s="26"/>
      <c r="E7797" s="27"/>
      <c r="F7797" s="27"/>
      <c r="G7797" s="27" t="s">
        <v>11122</v>
      </c>
      <c r="H7797" s="27" t="s">
        <v>35</v>
      </c>
      <c r="I7797" s="27" t="s">
        <v>37</v>
      </c>
      <c r="J7797" s="28" t="s">
        <v>785</v>
      </c>
      <c r="K7797" s="27" t="s">
        <v>37</v>
      </c>
      <c r="L7797" s="27"/>
    </row>
    <row r="7798" customFormat="false" ht="15" hidden="false" customHeight="false" outlineLevel="0" collapsed="false">
      <c r="A7798" s="26" t="s">
        <v>20513</v>
      </c>
      <c r="B7798" s="27" t="s">
        <v>20514</v>
      </c>
      <c r="C7798" s="27" t="s">
        <v>144</v>
      </c>
      <c r="D7798" s="26"/>
      <c r="E7798" s="27"/>
      <c r="F7798" s="27"/>
      <c r="G7798" s="27" t="s">
        <v>11122</v>
      </c>
      <c r="H7798" s="27" t="s">
        <v>35</v>
      </c>
      <c r="I7798" s="27" t="s">
        <v>37</v>
      </c>
      <c r="J7798" s="28" t="s">
        <v>785</v>
      </c>
      <c r="K7798" s="27" t="s">
        <v>37</v>
      </c>
      <c r="L7798" s="27"/>
    </row>
    <row r="7799" customFormat="false" ht="15" hidden="false" customHeight="false" outlineLevel="0" collapsed="false">
      <c r="A7799" s="26" t="s">
        <v>20515</v>
      </c>
      <c r="B7799" s="27" t="s">
        <v>20516</v>
      </c>
      <c r="C7799" s="27" t="s">
        <v>144</v>
      </c>
      <c r="D7799" s="26"/>
      <c r="E7799" s="27"/>
      <c r="F7799" s="27"/>
      <c r="G7799" s="27" t="s">
        <v>11122</v>
      </c>
      <c r="H7799" s="27" t="s">
        <v>35</v>
      </c>
      <c r="I7799" s="27" t="s">
        <v>37</v>
      </c>
      <c r="J7799" s="28" t="s">
        <v>785</v>
      </c>
      <c r="K7799" s="27" t="s">
        <v>37</v>
      </c>
      <c r="L7799" s="27"/>
    </row>
    <row r="7800" customFormat="false" ht="15" hidden="false" customHeight="false" outlineLevel="0" collapsed="false">
      <c r="A7800" s="26" t="s">
        <v>20517</v>
      </c>
      <c r="B7800" s="27" t="s">
        <v>20518</v>
      </c>
      <c r="C7800" s="27" t="s">
        <v>144</v>
      </c>
      <c r="D7800" s="26"/>
      <c r="E7800" s="27"/>
      <c r="F7800" s="27"/>
      <c r="G7800" s="27" t="s">
        <v>11122</v>
      </c>
      <c r="H7800" s="27" t="s">
        <v>35</v>
      </c>
      <c r="I7800" s="27" t="s">
        <v>37</v>
      </c>
      <c r="J7800" s="28" t="s">
        <v>785</v>
      </c>
      <c r="K7800" s="27" t="s">
        <v>37</v>
      </c>
      <c r="L7800" s="27"/>
    </row>
    <row r="7801" customFormat="false" ht="15" hidden="false" customHeight="false" outlineLevel="0" collapsed="false">
      <c r="A7801" s="26" t="s">
        <v>20519</v>
      </c>
      <c r="B7801" s="27" t="s">
        <v>20520</v>
      </c>
      <c r="C7801" s="27" t="s">
        <v>144</v>
      </c>
      <c r="D7801" s="26"/>
      <c r="E7801" s="27"/>
      <c r="F7801" s="27"/>
      <c r="G7801" s="27" t="s">
        <v>11122</v>
      </c>
      <c r="H7801" s="27" t="s">
        <v>35</v>
      </c>
      <c r="I7801" s="27" t="s">
        <v>37</v>
      </c>
      <c r="J7801" s="28" t="s">
        <v>785</v>
      </c>
      <c r="K7801" s="27" t="s">
        <v>37</v>
      </c>
      <c r="L7801" s="27"/>
    </row>
    <row r="7802" customFormat="false" ht="15" hidden="false" customHeight="false" outlineLevel="0" collapsed="false">
      <c r="A7802" s="26" t="s">
        <v>20521</v>
      </c>
      <c r="B7802" s="27" t="s">
        <v>20522</v>
      </c>
      <c r="C7802" s="27" t="s">
        <v>144</v>
      </c>
      <c r="D7802" s="26"/>
      <c r="E7802" s="27"/>
      <c r="F7802" s="27"/>
      <c r="G7802" s="27" t="s">
        <v>11122</v>
      </c>
      <c r="H7802" s="27" t="s">
        <v>35</v>
      </c>
      <c r="I7802" s="27" t="s">
        <v>37</v>
      </c>
      <c r="J7802" s="28" t="s">
        <v>785</v>
      </c>
      <c r="K7802" s="27" t="s">
        <v>37</v>
      </c>
      <c r="L7802" s="27"/>
    </row>
    <row r="7803" customFormat="false" ht="15" hidden="false" customHeight="false" outlineLevel="0" collapsed="false">
      <c r="A7803" s="26" t="s">
        <v>20523</v>
      </c>
      <c r="B7803" s="27" t="s">
        <v>20524</v>
      </c>
      <c r="C7803" s="27" t="s">
        <v>144</v>
      </c>
      <c r="D7803" s="26"/>
      <c r="E7803" s="27"/>
      <c r="F7803" s="27"/>
      <c r="G7803" s="27" t="s">
        <v>11122</v>
      </c>
      <c r="H7803" s="27" t="s">
        <v>35</v>
      </c>
      <c r="I7803" s="27" t="s">
        <v>37</v>
      </c>
      <c r="J7803" s="28" t="s">
        <v>785</v>
      </c>
      <c r="K7803" s="27" t="s">
        <v>37</v>
      </c>
      <c r="L7803" s="27"/>
    </row>
    <row r="7804" customFormat="false" ht="15" hidden="false" customHeight="false" outlineLevel="0" collapsed="false">
      <c r="A7804" s="26" t="s">
        <v>20525</v>
      </c>
      <c r="B7804" s="27" t="s">
        <v>20526</v>
      </c>
      <c r="C7804" s="27" t="s">
        <v>144</v>
      </c>
      <c r="D7804" s="26"/>
      <c r="E7804" s="27"/>
      <c r="F7804" s="27"/>
      <c r="G7804" s="27" t="s">
        <v>11122</v>
      </c>
      <c r="H7804" s="27" t="s">
        <v>35</v>
      </c>
      <c r="I7804" s="27" t="s">
        <v>41</v>
      </c>
      <c r="J7804" s="28" t="s">
        <v>785</v>
      </c>
      <c r="K7804" s="27" t="s">
        <v>37</v>
      </c>
      <c r="L7804" s="27"/>
    </row>
    <row r="7805" customFormat="false" ht="15" hidden="false" customHeight="false" outlineLevel="0" collapsed="false">
      <c r="A7805" s="26" t="s">
        <v>20527</v>
      </c>
      <c r="B7805" s="27" t="s">
        <v>20528</v>
      </c>
      <c r="C7805" s="27" t="s">
        <v>144</v>
      </c>
      <c r="D7805" s="26"/>
      <c r="E7805" s="27"/>
      <c r="F7805" s="27"/>
      <c r="G7805" s="27" t="s">
        <v>11122</v>
      </c>
      <c r="H7805" s="27" t="s">
        <v>35</v>
      </c>
      <c r="I7805" s="27" t="s">
        <v>41</v>
      </c>
      <c r="J7805" s="28" t="s">
        <v>785</v>
      </c>
      <c r="K7805" s="27" t="s">
        <v>37</v>
      </c>
      <c r="L7805" s="27"/>
    </row>
    <row r="7806" customFormat="false" ht="15" hidden="false" customHeight="false" outlineLevel="0" collapsed="false">
      <c r="A7806" s="26" t="s">
        <v>20529</v>
      </c>
      <c r="B7806" s="27" t="s">
        <v>20530</v>
      </c>
      <c r="C7806" s="27" t="s">
        <v>144</v>
      </c>
      <c r="D7806" s="26"/>
      <c r="E7806" s="27"/>
      <c r="F7806" s="27"/>
      <c r="G7806" s="27" t="s">
        <v>11122</v>
      </c>
      <c r="H7806" s="27" t="s">
        <v>35</v>
      </c>
      <c r="I7806" s="27" t="s">
        <v>41</v>
      </c>
      <c r="J7806" s="28" t="s">
        <v>785</v>
      </c>
      <c r="K7806" s="27" t="s">
        <v>37</v>
      </c>
      <c r="L7806" s="27"/>
    </row>
    <row r="7807" customFormat="false" ht="15" hidden="false" customHeight="false" outlineLevel="0" collapsed="false">
      <c r="A7807" s="26" t="s">
        <v>20531</v>
      </c>
      <c r="B7807" s="27" t="s">
        <v>20532</v>
      </c>
      <c r="C7807" s="27" t="s">
        <v>144</v>
      </c>
      <c r="D7807" s="26"/>
      <c r="E7807" s="27"/>
      <c r="F7807" s="27"/>
      <c r="G7807" s="27" t="s">
        <v>11122</v>
      </c>
      <c r="H7807" s="27" t="s">
        <v>35</v>
      </c>
      <c r="I7807" s="27" t="s">
        <v>41</v>
      </c>
      <c r="J7807" s="28" t="s">
        <v>785</v>
      </c>
      <c r="K7807" s="27" t="s">
        <v>37</v>
      </c>
      <c r="L7807" s="27"/>
    </row>
    <row r="7808" customFormat="false" ht="15" hidden="false" customHeight="false" outlineLevel="0" collapsed="false">
      <c r="A7808" s="26" t="s">
        <v>20533</v>
      </c>
      <c r="B7808" s="27" t="s">
        <v>20534</v>
      </c>
      <c r="C7808" s="27" t="s">
        <v>144</v>
      </c>
      <c r="D7808" s="26"/>
      <c r="E7808" s="27"/>
      <c r="F7808" s="27"/>
      <c r="G7808" s="27" t="s">
        <v>11122</v>
      </c>
      <c r="H7808" s="27" t="s">
        <v>35</v>
      </c>
      <c r="I7808" s="27" t="s">
        <v>41</v>
      </c>
      <c r="J7808" s="28" t="s">
        <v>785</v>
      </c>
      <c r="K7808" s="27" t="s">
        <v>37</v>
      </c>
      <c r="L7808" s="27"/>
    </row>
    <row r="7809" customFormat="false" ht="15" hidden="false" customHeight="false" outlineLevel="0" collapsed="false">
      <c r="A7809" s="26" t="s">
        <v>20535</v>
      </c>
      <c r="B7809" s="27" t="s">
        <v>20536</v>
      </c>
      <c r="C7809" s="27" t="s">
        <v>144</v>
      </c>
      <c r="D7809" s="26"/>
      <c r="E7809" s="27"/>
      <c r="F7809" s="27"/>
      <c r="G7809" s="27" t="s">
        <v>11122</v>
      </c>
      <c r="H7809" s="27" t="s">
        <v>35</v>
      </c>
      <c r="I7809" s="27" t="s">
        <v>41</v>
      </c>
      <c r="J7809" s="28" t="s">
        <v>785</v>
      </c>
      <c r="K7809" s="27" t="s">
        <v>37</v>
      </c>
      <c r="L7809" s="27"/>
    </row>
    <row r="7810" customFormat="false" ht="15" hidden="false" customHeight="false" outlineLevel="0" collapsed="false">
      <c r="A7810" s="26" t="s">
        <v>20537</v>
      </c>
      <c r="B7810" s="27" t="s">
        <v>20538</v>
      </c>
      <c r="C7810" s="27" t="s">
        <v>144</v>
      </c>
      <c r="D7810" s="26"/>
      <c r="E7810" s="27"/>
      <c r="F7810" s="27"/>
      <c r="G7810" s="27" t="s">
        <v>11122</v>
      </c>
      <c r="H7810" s="27" t="s">
        <v>35</v>
      </c>
      <c r="I7810" s="27" t="s">
        <v>41</v>
      </c>
      <c r="J7810" s="28" t="s">
        <v>785</v>
      </c>
      <c r="K7810" s="27" t="s">
        <v>37</v>
      </c>
      <c r="L7810" s="27"/>
    </row>
    <row r="7811" customFormat="false" ht="15" hidden="false" customHeight="false" outlineLevel="0" collapsed="false">
      <c r="A7811" s="26" t="s">
        <v>20539</v>
      </c>
      <c r="B7811" s="27" t="s">
        <v>20540</v>
      </c>
      <c r="C7811" s="27" t="s">
        <v>144</v>
      </c>
      <c r="D7811" s="26"/>
      <c r="E7811" s="27"/>
      <c r="F7811" s="27"/>
      <c r="G7811" s="27" t="s">
        <v>11122</v>
      </c>
      <c r="H7811" s="27" t="s">
        <v>35</v>
      </c>
      <c r="I7811" s="27" t="s">
        <v>41</v>
      </c>
      <c r="J7811" s="28" t="s">
        <v>785</v>
      </c>
      <c r="K7811" s="27" t="s">
        <v>37</v>
      </c>
      <c r="L7811" s="27"/>
    </row>
    <row r="7812" customFormat="false" ht="15" hidden="false" customHeight="false" outlineLevel="0" collapsed="false">
      <c r="A7812" s="26" t="s">
        <v>20541</v>
      </c>
      <c r="B7812" s="27" t="s">
        <v>20542</v>
      </c>
      <c r="C7812" s="27" t="s">
        <v>144</v>
      </c>
      <c r="D7812" s="26"/>
      <c r="E7812" s="27"/>
      <c r="F7812" s="27"/>
      <c r="G7812" s="27" t="s">
        <v>11122</v>
      </c>
      <c r="H7812" s="27" t="s">
        <v>35</v>
      </c>
      <c r="I7812" s="27" t="s">
        <v>41</v>
      </c>
      <c r="J7812" s="28" t="s">
        <v>785</v>
      </c>
      <c r="K7812" s="27" t="s">
        <v>37</v>
      </c>
      <c r="L7812" s="27"/>
    </row>
    <row r="7813" customFormat="false" ht="15" hidden="false" customHeight="false" outlineLevel="0" collapsed="false">
      <c r="A7813" s="26" t="s">
        <v>20543</v>
      </c>
      <c r="B7813" s="27" t="s">
        <v>20544</v>
      </c>
      <c r="C7813" s="27" t="s">
        <v>144</v>
      </c>
      <c r="D7813" s="26"/>
      <c r="E7813" s="27"/>
      <c r="F7813" s="27"/>
      <c r="G7813" s="27" t="s">
        <v>11122</v>
      </c>
      <c r="H7813" s="27" t="s">
        <v>35</v>
      </c>
      <c r="I7813" s="27" t="s">
        <v>40</v>
      </c>
      <c r="J7813" s="28" t="s">
        <v>785</v>
      </c>
      <c r="K7813" s="27" t="s">
        <v>37</v>
      </c>
      <c r="L7813" s="27"/>
    </row>
    <row r="7814" customFormat="false" ht="15" hidden="false" customHeight="false" outlineLevel="0" collapsed="false">
      <c r="A7814" s="26" t="s">
        <v>20545</v>
      </c>
      <c r="B7814" s="27" t="s">
        <v>20546</v>
      </c>
      <c r="C7814" s="27" t="s">
        <v>144</v>
      </c>
      <c r="D7814" s="26"/>
      <c r="E7814" s="27"/>
      <c r="F7814" s="27"/>
      <c r="G7814" s="27" t="s">
        <v>11122</v>
      </c>
      <c r="H7814" s="27" t="s">
        <v>35</v>
      </c>
      <c r="I7814" s="27" t="s">
        <v>41</v>
      </c>
      <c r="J7814" s="28" t="s">
        <v>785</v>
      </c>
      <c r="K7814" s="27" t="s">
        <v>37</v>
      </c>
      <c r="L7814" s="27"/>
    </row>
    <row r="7815" customFormat="false" ht="15" hidden="false" customHeight="false" outlineLevel="0" collapsed="false">
      <c r="A7815" s="26" t="s">
        <v>20547</v>
      </c>
      <c r="B7815" s="27" t="s">
        <v>20548</v>
      </c>
      <c r="C7815" s="27" t="s">
        <v>144</v>
      </c>
      <c r="D7815" s="26"/>
      <c r="E7815" s="27"/>
      <c r="F7815" s="27"/>
      <c r="G7815" s="27" t="s">
        <v>11122</v>
      </c>
      <c r="H7815" s="27" t="s">
        <v>35</v>
      </c>
      <c r="I7815" s="27" t="s">
        <v>41</v>
      </c>
      <c r="J7815" s="28" t="s">
        <v>785</v>
      </c>
      <c r="K7815" s="27" t="s">
        <v>37</v>
      </c>
      <c r="L7815" s="27"/>
    </row>
    <row r="7816" customFormat="false" ht="15" hidden="false" customHeight="false" outlineLevel="0" collapsed="false">
      <c r="A7816" s="26" t="s">
        <v>20549</v>
      </c>
      <c r="B7816" s="27" t="s">
        <v>20550</v>
      </c>
      <c r="C7816" s="27" t="s">
        <v>144</v>
      </c>
      <c r="D7816" s="26"/>
      <c r="E7816" s="27"/>
      <c r="F7816" s="27"/>
      <c r="G7816" s="27" t="s">
        <v>11122</v>
      </c>
      <c r="H7816" s="27" t="s">
        <v>35</v>
      </c>
      <c r="I7816" s="27" t="s">
        <v>43</v>
      </c>
      <c r="J7816" s="28" t="s">
        <v>785</v>
      </c>
      <c r="K7816" s="27" t="s">
        <v>37</v>
      </c>
      <c r="L7816" s="27"/>
    </row>
    <row r="7817" customFormat="false" ht="15" hidden="false" customHeight="false" outlineLevel="0" collapsed="false">
      <c r="A7817" s="26" t="s">
        <v>20551</v>
      </c>
      <c r="B7817" s="27" t="s">
        <v>20552</v>
      </c>
      <c r="C7817" s="27" t="s">
        <v>144</v>
      </c>
      <c r="D7817" s="26"/>
      <c r="E7817" s="27"/>
      <c r="F7817" s="27"/>
      <c r="G7817" s="27" t="s">
        <v>11122</v>
      </c>
      <c r="H7817" s="27" t="s">
        <v>35</v>
      </c>
      <c r="I7817" s="27" t="s">
        <v>37</v>
      </c>
      <c r="J7817" s="28" t="s">
        <v>785</v>
      </c>
      <c r="K7817" s="27" t="s">
        <v>37</v>
      </c>
      <c r="L7817" s="27"/>
    </row>
    <row r="7818" customFormat="false" ht="15" hidden="false" customHeight="false" outlineLevel="0" collapsed="false">
      <c r="A7818" s="26" t="s">
        <v>20553</v>
      </c>
      <c r="B7818" s="27" t="s">
        <v>20554</v>
      </c>
      <c r="C7818" s="27" t="s">
        <v>144</v>
      </c>
      <c r="D7818" s="26"/>
      <c r="E7818" s="27"/>
      <c r="F7818" s="27"/>
      <c r="G7818" s="27" t="s">
        <v>11122</v>
      </c>
      <c r="H7818" s="27" t="s">
        <v>35</v>
      </c>
      <c r="I7818" s="27" t="s">
        <v>39</v>
      </c>
      <c r="J7818" s="28" t="s">
        <v>785</v>
      </c>
      <c r="K7818" s="27" t="s">
        <v>37</v>
      </c>
      <c r="L7818" s="27"/>
    </row>
    <row r="7819" customFormat="false" ht="15" hidden="false" customHeight="false" outlineLevel="0" collapsed="false">
      <c r="A7819" s="26" t="s">
        <v>20555</v>
      </c>
      <c r="B7819" s="27" t="s">
        <v>20556</v>
      </c>
      <c r="C7819" s="27" t="s">
        <v>144</v>
      </c>
      <c r="D7819" s="26"/>
      <c r="E7819" s="27"/>
      <c r="F7819" s="27"/>
      <c r="G7819" s="27" t="s">
        <v>11122</v>
      </c>
      <c r="H7819" s="27" t="s">
        <v>35</v>
      </c>
      <c r="I7819" s="27" t="s">
        <v>37</v>
      </c>
      <c r="J7819" s="28" t="s">
        <v>785</v>
      </c>
      <c r="K7819" s="27" t="s">
        <v>37</v>
      </c>
      <c r="L7819" s="27"/>
    </row>
    <row r="7820" customFormat="false" ht="15" hidden="false" customHeight="false" outlineLevel="0" collapsed="false">
      <c r="A7820" s="26" t="s">
        <v>20557</v>
      </c>
      <c r="B7820" s="27" t="s">
        <v>20558</v>
      </c>
      <c r="C7820" s="27" t="s">
        <v>144</v>
      </c>
      <c r="D7820" s="26"/>
      <c r="E7820" s="27"/>
      <c r="F7820" s="27"/>
      <c r="G7820" s="27" t="s">
        <v>11122</v>
      </c>
      <c r="H7820" s="27" t="s">
        <v>35</v>
      </c>
      <c r="I7820" s="27" t="s">
        <v>37</v>
      </c>
      <c r="J7820" s="28" t="s">
        <v>785</v>
      </c>
      <c r="K7820" s="27" t="s">
        <v>37</v>
      </c>
      <c r="L7820" s="27"/>
    </row>
    <row r="7821" customFormat="false" ht="15" hidden="false" customHeight="false" outlineLevel="0" collapsed="false">
      <c r="A7821" s="26" t="s">
        <v>20559</v>
      </c>
      <c r="B7821" s="27" t="s">
        <v>20560</v>
      </c>
      <c r="C7821" s="27" t="s">
        <v>144</v>
      </c>
      <c r="D7821" s="26"/>
      <c r="E7821" s="27"/>
      <c r="F7821" s="27"/>
      <c r="G7821" s="27" t="s">
        <v>11122</v>
      </c>
      <c r="H7821" s="27" t="s">
        <v>35</v>
      </c>
      <c r="I7821" s="27" t="s">
        <v>41</v>
      </c>
      <c r="J7821" s="28" t="s">
        <v>785</v>
      </c>
      <c r="K7821" s="27" t="s">
        <v>37</v>
      </c>
      <c r="L7821" s="27"/>
    </row>
    <row r="7822" customFormat="false" ht="15" hidden="false" customHeight="false" outlineLevel="0" collapsed="false">
      <c r="A7822" s="26" t="s">
        <v>20561</v>
      </c>
      <c r="B7822" s="27" t="s">
        <v>20562</v>
      </c>
      <c r="C7822" s="27" t="s">
        <v>144</v>
      </c>
      <c r="D7822" s="26"/>
      <c r="E7822" s="27"/>
      <c r="F7822" s="27"/>
      <c r="G7822" s="27" t="s">
        <v>11122</v>
      </c>
      <c r="H7822" s="27" t="s">
        <v>35</v>
      </c>
      <c r="I7822" s="27" t="s">
        <v>41</v>
      </c>
      <c r="J7822" s="28" t="s">
        <v>785</v>
      </c>
      <c r="K7822" s="27" t="s">
        <v>37</v>
      </c>
      <c r="L7822" s="27"/>
    </row>
    <row r="7823" customFormat="false" ht="15" hidden="false" customHeight="false" outlineLevel="0" collapsed="false">
      <c r="A7823" s="26" t="s">
        <v>20563</v>
      </c>
      <c r="B7823" s="27" t="s">
        <v>20564</v>
      </c>
      <c r="C7823" s="27" t="s">
        <v>144</v>
      </c>
      <c r="D7823" s="26"/>
      <c r="E7823" s="27"/>
      <c r="F7823" s="27"/>
      <c r="G7823" s="27" t="s">
        <v>11122</v>
      </c>
      <c r="H7823" s="27" t="s">
        <v>35</v>
      </c>
      <c r="I7823" s="27" t="s">
        <v>37</v>
      </c>
      <c r="J7823" s="28" t="s">
        <v>785</v>
      </c>
      <c r="K7823" s="27" t="s">
        <v>37</v>
      </c>
      <c r="L7823" s="27"/>
    </row>
    <row r="7824" customFormat="false" ht="15" hidden="false" customHeight="false" outlineLevel="0" collapsed="false">
      <c r="A7824" s="26" t="s">
        <v>20565</v>
      </c>
      <c r="B7824" s="27" t="s">
        <v>20566</v>
      </c>
      <c r="C7824" s="27" t="s">
        <v>144</v>
      </c>
      <c r="D7824" s="26"/>
      <c r="E7824" s="27"/>
      <c r="F7824" s="27"/>
      <c r="G7824" s="27" t="s">
        <v>11122</v>
      </c>
      <c r="H7824" s="27" t="s">
        <v>35</v>
      </c>
      <c r="I7824" s="27" t="s">
        <v>37</v>
      </c>
      <c r="J7824" s="28" t="s">
        <v>785</v>
      </c>
      <c r="K7824" s="27" t="s">
        <v>37</v>
      </c>
      <c r="L7824" s="27"/>
    </row>
    <row r="7825" customFormat="false" ht="15" hidden="false" customHeight="false" outlineLevel="0" collapsed="false">
      <c r="A7825" s="26" t="s">
        <v>20567</v>
      </c>
      <c r="B7825" s="27" t="s">
        <v>20568</v>
      </c>
      <c r="C7825" s="27" t="s">
        <v>144</v>
      </c>
      <c r="D7825" s="26"/>
      <c r="E7825" s="27"/>
      <c r="F7825" s="27"/>
      <c r="G7825" s="27" t="s">
        <v>11122</v>
      </c>
      <c r="H7825" s="27" t="s">
        <v>35</v>
      </c>
      <c r="I7825" s="27" t="s">
        <v>37</v>
      </c>
      <c r="J7825" s="28" t="s">
        <v>785</v>
      </c>
      <c r="K7825" s="27" t="s">
        <v>37</v>
      </c>
      <c r="L7825" s="27"/>
    </row>
    <row r="7826" customFormat="false" ht="15" hidden="false" customHeight="false" outlineLevel="0" collapsed="false">
      <c r="A7826" s="26" t="s">
        <v>20569</v>
      </c>
      <c r="B7826" s="27" t="s">
        <v>20570</v>
      </c>
      <c r="C7826" s="27" t="s">
        <v>144</v>
      </c>
      <c r="D7826" s="26"/>
      <c r="E7826" s="27"/>
      <c r="F7826" s="27"/>
      <c r="G7826" s="27" t="s">
        <v>11122</v>
      </c>
      <c r="H7826" s="27" t="s">
        <v>35</v>
      </c>
      <c r="I7826" s="27" t="s">
        <v>37</v>
      </c>
      <c r="J7826" s="28" t="s">
        <v>785</v>
      </c>
      <c r="K7826" s="27" t="s">
        <v>37</v>
      </c>
      <c r="L7826" s="27"/>
    </row>
    <row r="7827" customFormat="false" ht="15" hidden="false" customHeight="false" outlineLevel="0" collapsed="false">
      <c r="A7827" s="26" t="s">
        <v>20571</v>
      </c>
      <c r="B7827" s="27" t="s">
        <v>20572</v>
      </c>
      <c r="C7827" s="27" t="s">
        <v>144</v>
      </c>
      <c r="D7827" s="26"/>
      <c r="E7827" s="27"/>
      <c r="F7827" s="27"/>
      <c r="G7827" s="27" t="s">
        <v>11122</v>
      </c>
      <c r="H7827" s="27" t="s">
        <v>35</v>
      </c>
      <c r="I7827" s="27" t="s">
        <v>37</v>
      </c>
      <c r="J7827" s="28" t="s">
        <v>785</v>
      </c>
      <c r="K7827" s="27" t="s">
        <v>37</v>
      </c>
      <c r="L7827" s="27"/>
    </row>
    <row r="7828" customFormat="false" ht="15" hidden="false" customHeight="false" outlineLevel="0" collapsed="false">
      <c r="A7828" s="26" t="s">
        <v>20573</v>
      </c>
      <c r="B7828" s="27" t="s">
        <v>20574</v>
      </c>
      <c r="C7828" s="27" t="s">
        <v>144</v>
      </c>
      <c r="D7828" s="26"/>
      <c r="E7828" s="27"/>
      <c r="F7828" s="27"/>
      <c r="G7828" s="27" t="s">
        <v>11122</v>
      </c>
      <c r="H7828" s="27" t="s">
        <v>35</v>
      </c>
      <c r="I7828" s="27" t="s">
        <v>37</v>
      </c>
      <c r="J7828" s="28" t="s">
        <v>785</v>
      </c>
      <c r="K7828" s="27" t="s">
        <v>37</v>
      </c>
      <c r="L7828" s="27"/>
    </row>
    <row r="7829" customFormat="false" ht="15" hidden="false" customHeight="false" outlineLevel="0" collapsed="false">
      <c r="A7829" s="26" t="s">
        <v>20575</v>
      </c>
      <c r="B7829" s="27" t="s">
        <v>20576</v>
      </c>
      <c r="C7829" s="27" t="s">
        <v>144</v>
      </c>
      <c r="D7829" s="26"/>
      <c r="E7829" s="27"/>
      <c r="F7829" s="27"/>
      <c r="G7829" s="27" t="s">
        <v>11122</v>
      </c>
      <c r="H7829" s="27" t="s">
        <v>35</v>
      </c>
      <c r="I7829" s="27" t="s">
        <v>38</v>
      </c>
      <c r="J7829" s="28" t="s">
        <v>785</v>
      </c>
      <c r="K7829" s="27" t="s">
        <v>37</v>
      </c>
      <c r="L7829" s="27"/>
    </row>
    <row r="7830" customFormat="false" ht="15" hidden="false" customHeight="false" outlineLevel="0" collapsed="false">
      <c r="A7830" s="26" t="s">
        <v>20577</v>
      </c>
      <c r="B7830" s="27" t="s">
        <v>20578</v>
      </c>
      <c r="C7830" s="27" t="s">
        <v>144</v>
      </c>
      <c r="D7830" s="26"/>
      <c r="E7830" s="27"/>
      <c r="F7830" s="27"/>
      <c r="G7830" s="27" t="s">
        <v>11122</v>
      </c>
      <c r="H7830" s="27" t="s">
        <v>35</v>
      </c>
      <c r="I7830" s="27" t="s">
        <v>40</v>
      </c>
      <c r="J7830" s="28" t="s">
        <v>785</v>
      </c>
      <c r="K7830" s="27" t="s">
        <v>37</v>
      </c>
      <c r="L7830" s="27"/>
    </row>
    <row r="7831" customFormat="false" ht="15" hidden="false" customHeight="false" outlineLevel="0" collapsed="false">
      <c r="A7831" s="26" t="s">
        <v>20579</v>
      </c>
      <c r="B7831" s="27" t="s">
        <v>20580</v>
      </c>
      <c r="C7831" s="27" t="s">
        <v>144</v>
      </c>
      <c r="D7831" s="26"/>
      <c r="E7831" s="27"/>
      <c r="F7831" s="27"/>
      <c r="G7831" s="27" t="s">
        <v>11122</v>
      </c>
      <c r="H7831" s="27" t="s">
        <v>35</v>
      </c>
      <c r="I7831" s="27" t="s">
        <v>41</v>
      </c>
      <c r="J7831" s="28" t="s">
        <v>785</v>
      </c>
      <c r="K7831" s="27" t="s">
        <v>37</v>
      </c>
      <c r="L7831" s="27"/>
    </row>
    <row r="7832" customFormat="false" ht="15" hidden="false" customHeight="false" outlineLevel="0" collapsed="false">
      <c r="A7832" s="26" t="s">
        <v>20581</v>
      </c>
      <c r="B7832" s="27" t="s">
        <v>20582</v>
      </c>
      <c r="C7832" s="27" t="s">
        <v>144</v>
      </c>
      <c r="D7832" s="26"/>
      <c r="E7832" s="27"/>
      <c r="F7832" s="27"/>
      <c r="G7832" s="27" t="s">
        <v>11122</v>
      </c>
      <c r="H7832" s="27" t="s">
        <v>35</v>
      </c>
      <c r="I7832" s="27" t="s">
        <v>40</v>
      </c>
      <c r="J7832" s="28" t="s">
        <v>785</v>
      </c>
      <c r="K7832" s="27" t="s">
        <v>37</v>
      </c>
      <c r="L7832" s="27"/>
    </row>
    <row r="7833" customFormat="false" ht="15" hidden="false" customHeight="false" outlineLevel="0" collapsed="false">
      <c r="A7833" s="26" t="s">
        <v>20583</v>
      </c>
      <c r="B7833" s="27" t="s">
        <v>20584</v>
      </c>
      <c r="C7833" s="27" t="s">
        <v>144</v>
      </c>
      <c r="D7833" s="26"/>
      <c r="E7833" s="27"/>
      <c r="F7833" s="27"/>
      <c r="G7833" s="27" t="s">
        <v>11122</v>
      </c>
      <c r="H7833" s="27" t="s">
        <v>35</v>
      </c>
      <c r="I7833" s="27" t="s">
        <v>40</v>
      </c>
      <c r="J7833" s="28" t="s">
        <v>785</v>
      </c>
      <c r="K7833" s="27" t="s">
        <v>37</v>
      </c>
      <c r="L7833" s="27"/>
    </row>
    <row r="7834" customFormat="false" ht="15" hidden="false" customHeight="false" outlineLevel="0" collapsed="false">
      <c r="A7834" s="26" t="s">
        <v>20585</v>
      </c>
      <c r="B7834" s="27" t="s">
        <v>20586</v>
      </c>
      <c r="C7834" s="27" t="s">
        <v>144</v>
      </c>
      <c r="D7834" s="26"/>
      <c r="E7834" s="27"/>
      <c r="F7834" s="27"/>
      <c r="G7834" s="27" t="s">
        <v>11122</v>
      </c>
      <c r="H7834" s="27" t="s">
        <v>35</v>
      </c>
      <c r="I7834" s="27" t="s">
        <v>40</v>
      </c>
      <c r="J7834" s="28" t="s">
        <v>785</v>
      </c>
      <c r="K7834" s="27" t="s">
        <v>37</v>
      </c>
      <c r="L7834" s="27"/>
    </row>
    <row r="7835" customFormat="false" ht="15" hidden="false" customHeight="false" outlineLevel="0" collapsed="false">
      <c r="A7835" s="26" t="s">
        <v>20587</v>
      </c>
      <c r="B7835" s="27" t="s">
        <v>20588</v>
      </c>
      <c r="C7835" s="27" t="s">
        <v>144</v>
      </c>
      <c r="D7835" s="26"/>
      <c r="E7835" s="27"/>
      <c r="F7835" s="27"/>
      <c r="G7835" s="27" t="s">
        <v>11122</v>
      </c>
      <c r="H7835" s="27" t="s">
        <v>35</v>
      </c>
      <c r="I7835" s="27" t="s">
        <v>37</v>
      </c>
      <c r="J7835" s="28" t="s">
        <v>785</v>
      </c>
      <c r="K7835" s="27" t="s">
        <v>37</v>
      </c>
      <c r="L7835" s="27"/>
    </row>
    <row r="7836" customFormat="false" ht="15" hidden="false" customHeight="false" outlineLevel="0" collapsed="false">
      <c r="A7836" s="26" t="s">
        <v>20589</v>
      </c>
      <c r="B7836" s="27" t="s">
        <v>20590</v>
      </c>
      <c r="C7836" s="27" t="s">
        <v>144</v>
      </c>
      <c r="D7836" s="26"/>
      <c r="E7836" s="27"/>
      <c r="F7836" s="27"/>
      <c r="G7836" s="27" t="s">
        <v>11122</v>
      </c>
      <c r="H7836" s="27" t="s">
        <v>35</v>
      </c>
      <c r="I7836" s="27" t="s">
        <v>40</v>
      </c>
      <c r="J7836" s="28" t="s">
        <v>785</v>
      </c>
      <c r="K7836" s="27" t="s">
        <v>37</v>
      </c>
      <c r="L7836" s="27"/>
    </row>
    <row r="7837" customFormat="false" ht="15" hidden="false" customHeight="false" outlineLevel="0" collapsed="false">
      <c r="A7837" s="26" t="s">
        <v>20591</v>
      </c>
      <c r="B7837" s="27" t="s">
        <v>20592</v>
      </c>
      <c r="C7837" s="27" t="s">
        <v>144</v>
      </c>
      <c r="D7837" s="26"/>
      <c r="E7837" s="27"/>
      <c r="F7837" s="27"/>
      <c r="G7837" s="27" t="s">
        <v>11122</v>
      </c>
      <c r="H7837" s="27" t="s">
        <v>35</v>
      </c>
      <c r="I7837" s="27" t="s">
        <v>40</v>
      </c>
      <c r="J7837" s="28" t="s">
        <v>785</v>
      </c>
      <c r="K7837" s="27" t="s">
        <v>37</v>
      </c>
      <c r="L7837" s="27"/>
    </row>
    <row r="7838" customFormat="false" ht="15" hidden="false" customHeight="false" outlineLevel="0" collapsed="false">
      <c r="A7838" s="26" t="s">
        <v>20593</v>
      </c>
      <c r="B7838" s="27" t="s">
        <v>20594</v>
      </c>
      <c r="C7838" s="27" t="s">
        <v>144</v>
      </c>
      <c r="D7838" s="26"/>
      <c r="E7838" s="27"/>
      <c r="F7838" s="27"/>
      <c r="G7838" s="27" t="s">
        <v>11122</v>
      </c>
      <c r="H7838" s="27" t="s">
        <v>35</v>
      </c>
      <c r="I7838" s="27" t="s">
        <v>37</v>
      </c>
      <c r="J7838" s="28" t="s">
        <v>785</v>
      </c>
      <c r="K7838" s="27" t="s">
        <v>37</v>
      </c>
      <c r="L7838" s="27"/>
    </row>
    <row r="7839" customFormat="false" ht="15" hidden="false" customHeight="false" outlineLevel="0" collapsed="false">
      <c r="A7839" s="26" t="s">
        <v>20595</v>
      </c>
      <c r="B7839" s="27" t="s">
        <v>20596</v>
      </c>
      <c r="C7839" s="27" t="s">
        <v>144</v>
      </c>
      <c r="D7839" s="26"/>
      <c r="E7839" s="27"/>
      <c r="F7839" s="27"/>
      <c r="G7839" s="27" t="s">
        <v>11122</v>
      </c>
      <c r="H7839" s="27" t="s">
        <v>35</v>
      </c>
      <c r="I7839" s="27" t="s">
        <v>40</v>
      </c>
      <c r="J7839" s="28" t="s">
        <v>785</v>
      </c>
      <c r="K7839" s="27" t="s">
        <v>37</v>
      </c>
      <c r="L7839" s="27"/>
    </row>
    <row r="7840" customFormat="false" ht="15" hidden="false" customHeight="false" outlineLevel="0" collapsed="false">
      <c r="A7840" s="26" t="s">
        <v>20597</v>
      </c>
      <c r="B7840" s="27" t="s">
        <v>20598</v>
      </c>
      <c r="C7840" s="27" t="s">
        <v>144</v>
      </c>
      <c r="D7840" s="26"/>
      <c r="E7840" s="27"/>
      <c r="F7840" s="27"/>
      <c r="G7840" s="27" t="s">
        <v>11122</v>
      </c>
      <c r="H7840" s="27" t="s">
        <v>35</v>
      </c>
      <c r="I7840" s="27" t="s">
        <v>40</v>
      </c>
      <c r="J7840" s="28" t="s">
        <v>785</v>
      </c>
      <c r="K7840" s="27" t="s">
        <v>37</v>
      </c>
      <c r="L7840" s="27"/>
    </row>
    <row r="7841" customFormat="false" ht="15" hidden="false" customHeight="false" outlineLevel="0" collapsed="false">
      <c r="A7841" s="26" t="s">
        <v>20599</v>
      </c>
      <c r="B7841" s="27" t="s">
        <v>20600</v>
      </c>
      <c r="C7841" s="27" t="s">
        <v>144</v>
      </c>
      <c r="D7841" s="26"/>
      <c r="E7841" s="27"/>
      <c r="F7841" s="27"/>
      <c r="G7841" s="27" t="s">
        <v>11122</v>
      </c>
      <c r="H7841" s="27" t="s">
        <v>35</v>
      </c>
      <c r="I7841" s="27" t="s">
        <v>41</v>
      </c>
      <c r="J7841" s="28" t="s">
        <v>785</v>
      </c>
      <c r="K7841" s="27" t="s">
        <v>37</v>
      </c>
      <c r="L7841" s="27"/>
    </row>
    <row r="7842" customFormat="false" ht="15" hidden="false" customHeight="false" outlineLevel="0" collapsed="false">
      <c r="A7842" s="26" t="s">
        <v>20601</v>
      </c>
      <c r="B7842" s="27" t="s">
        <v>20602</v>
      </c>
      <c r="C7842" s="27" t="s">
        <v>144</v>
      </c>
      <c r="D7842" s="26"/>
      <c r="E7842" s="27"/>
      <c r="F7842" s="27"/>
      <c r="G7842" s="27" t="s">
        <v>11122</v>
      </c>
      <c r="H7842" s="27" t="s">
        <v>35</v>
      </c>
      <c r="I7842" s="27" t="s">
        <v>40</v>
      </c>
      <c r="J7842" s="28" t="s">
        <v>785</v>
      </c>
      <c r="K7842" s="27" t="s">
        <v>37</v>
      </c>
      <c r="L7842" s="27"/>
    </row>
    <row r="7843" customFormat="false" ht="15" hidden="false" customHeight="false" outlineLevel="0" collapsed="false">
      <c r="A7843" s="26" t="s">
        <v>20603</v>
      </c>
      <c r="B7843" s="27" t="s">
        <v>20604</v>
      </c>
      <c r="C7843" s="27" t="s">
        <v>144</v>
      </c>
      <c r="D7843" s="26"/>
      <c r="E7843" s="27"/>
      <c r="F7843" s="27"/>
      <c r="G7843" s="27" t="s">
        <v>11122</v>
      </c>
      <c r="H7843" s="27" t="s">
        <v>35</v>
      </c>
      <c r="I7843" s="27" t="s">
        <v>37</v>
      </c>
      <c r="J7843" s="28" t="s">
        <v>785</v>
      </c>
      <c r="K7843" s="27" t="s">
        <v>37</v>
      </c>
      <c r="L7843" s="27"/>
    </row>
    <row r="7844" customFormat="false" ht="15" hidden="false" customHeight="false" outlineLevel="0" collapsed="false">
      <c r="A7844" s="26" t="s">
        <v>20605</v>
      </c>
      <c r="B7844" s="27" t="s">
        <v>20606</v>
      </c>
      <c r="C7844" s="27" t="s">
        <v>144</v>
      </c>
      <c r="D7844" s="26"/>
      <c r="E7844" s="27"/>
      <c r="F7844" s="27"/>
      <c r="G7844" s="27" t="s">
        <v>11122</v>
      </c>
      <c r="H7844" s="27" t="s">
        <v>35</v>
      </c>
      <c r="I7844" s="27" t="s">
        <v>41</v>
      </c>
      <c r="J7844" s="28" t="s">
        <v>785</v>
      </c>
      <c r="K7844" s="27" t="s">
        <v>37</v>
      </c>
      <c r="L7844" s="27"/>
    </row>
    <row r="7845" customFormat="false" ht="15" hidden="false" customHeight="false" outlineLevel="0" collapsed="false">
      <c r="A7845" s="26" t="s">
        <v>20607</v>
      </c>
      <c r="B7845" s="27" t="s">
        <v>20608</v>
      </c>
      <c r="C7845" s="27" t="s">
        <v>144</v>
      </c>
      <c r="D7845" s="26"/>
      <c r="E7845" s="27"/>
      <c r="F7845" s="27"/>
      <c r="G7845" s="27" t="s">
        <v>11122</v>
      </c>
      <c r="H7845" s="27" t="s">
        <v>35</v>
      </c>
      <c r="I7845" s="27" t="s">
        <v>40</v>
      </c>
      <c r="J7845" s="28" t="s">
        <v>785</v>
      </c>
      <c r="K7845" s="27" t="s">
        <v>37</v>
      </c>
      <c r="L7845" s="27"/>
    </row>
    <row r="7846" customFormat="false" ht="15" hidden="false" customHeight="false" outlineLevel="0" collapsed="false">
      <c r="A7846" s="26" t="s">
        <v>20609</v>
      </c>
      <c r="B7846" s="27" t="s">
        <v>20610</v>
      </c>
      <c r="C7846" s="27" t="s">
        <v>144</v>
      </c>
      <c r="D7846" s="26"/>
      <c r="E7846" s="27"/>
      <c r="F7846" s="27"/>
      <c r="G7846" s="27" t="s">
        <v>11122</v>
      </c>
      <c r="H7846" s="27" t="s">
        <v>35</v>
      </c>
      <c r="I7846" s="27" t="s">
        <v>37</v>
      </c>
      <c r="J7846" s="28" t="s">
        <v>785</v>
      </c>
      <c r="K7846" s="27" t="s">
        <v>37</v>
      </c>
      <c r="L7846" s="27"/>
    </row>
    <row r="7847" customFormat="false" ht="15" hidden="false" customHeight="false" outlineLevel="0" collapsed="false">
      <c r="A7847" s="26" t="s">
        <v>20611</v>
      </c>
      <c r="B7847" s="27" t="s">
        <v>20612</v>
      </c>
      <c r="C7847" s="27" t="s">
        <v>144</v>
      </c>
      <c r="D7847" s="26"/>
      <c r="E7847" s="27"/>
      <c r="F7847" s="27"/>
      <c r="G7847" s="27" t="s">
        <v>11122</v>
      </c>
      <c r="H7847" s="27" t="s">
        <v>35</v>
      </c>
      <c r="I7847" s="27" t="s">
        <v>37</v>
      </c>
      <c r="J7847" s="28" t="s">
        <v>785</v>
      </c>
      <c r="K7847" s="27" t="s">
        <v>37</v>
      </c>
      <c r="L7847" s="27"/>
    </row>
    <row r="7848" customFormat="false" ht="15" hidden="false" customHeight="false" outlineLevel="0" collapsed="false">
      <c r="A7848" s="26" t="s">
        <v>20613</v>
      </c>
      <c r="B7848" s="27" t="s">
        <v>20614</v>
      </c>
      <c r="C7848" s="27" t="s">
        <v>144</v>
      </c>
      <c r="D7848" s="26"/>
      <c r="E7848" s="27"/>
      <c r="F7848" s="27"/>
      <c r="G7848" s="27" t="s">
        <v>11122</v>
      </c>
      <c r="H7848" s="27" t="s">
        <v>35</v>
      </c>
      <c r="I7848" s="27" t="s">
        <v>37</v>
      </c>
      <c r="J7848" s="28" t="s">
        <v>785</v>
      </c>
      <c r="K7848" s="27" t="s">
        <v>37</v>
      </c>
      <c r="L7848" s="27"/>
    </row>
    <row r="7849" customFormat="false" ht="15" hidden="false" customHeight="false" outlineLevel="0" collapsed="false">
      <c r="A7849" s="26" t="s">
        <v>20615</v>
      </c>
      <c r="B7849" s="27" t="s">
        <v>20616</v>
      </c>
      <c r="C7849" s="27" t="s">
        <v>144</v>
      </c>
      <c r="D7849" s="26"/>
      <c r="E7849" s="27"/>
      <c r="F7849" s="27"/>
      <c r="G7849" s="27" t="s">
        <v>11122</v>
      </c>
      <c r="H7849" s="27" t="s">
        <v>35</v>
      </c>
      <c r="I7849" s="27" t="s">
        <v>37</v>
      </c>
      <c r="J7849" s="28" t="s">
        <v>785</v>
      </c>
      <c r="K7849" s="27" t="s">
        <v>37</v>
      </c>
      <c r="L7849" s="27"/>
    </row>
    <row r="7850" customFormat="false" ht="15" hidden="false" customHeight="false" outlineLevel="0" collapsed="false">
      <c r="A7850" s="26" t="s">
        <v>20617</v>
      </c>
      <c r="B7850" s="27" t="s">
        <v>20618</v>
      </c>
      <c r="C7850" s="27" t="s">
        <v>144</v>
      </c>
      <c r="D7850" s="26"/>
      <c r="E7850" s="27"/>
      <c r="F7850" s="27"/>
      <c r="G7850" s="27" t="s">
        <v>11122</v>
      </c>
      <c r="H7850" s="27" t="s">
        <v>35</v>
      </c>
      <c r="I7850" s="27" t="s">
        <v>40</v>
      </c>
      <c r="J7850" s="28" t="s">
        <v>785</v>
      </c>
      <c r="K7850" s="27" t="s">
        <v>37</v>
      </c>
      <c r="L7850" s="27"/>
    </row>
    <row r="7851" customFormat="false" ht="15" hidden="false" customHeight="false" outlineLevel="0" collapsed="false">
      <c r="A7851" s="26" t="s">
        <v>20619</v>
      </c>
      <c r="B7851" s="27" t="s">
        <v>20620</v>
      </c>
      <c r="C7851" s="27" t="s">
        <v>144</v>
      </c>
      <c r="D7851" s="26"/>
      <c r="E7851" s="27"/>
      <c r="F7851" s="27"/>
      <c r="G7851" s="27" t="s">
        <v>11122</v>
      </c>
      <c r="H7851" s="27" t="s">
        <v>35</v>
      </c>
      <c r="I7851" s="27" t="s">
        <v>40</v>
      </c>
      <c r="J7851" s="28" t="s">
        <v>785</v>
      </c>
      <c r="K7851" s="27" t="s">
        <v>37</v>
      </c>
      <c r="L7851" s="27"/>
    </row>
    <row r="7852" customFormat="false" ht="15" hidden="false" customHeight="false" outlineLevel="0" collapsed="false">
      <c r="A7852" s="26" t="s">
        <v>20621</v>
      </c>
      <c r="B7852" s="27" t="s">
        <v>20622</v>
      </c>
      <c r="C7852" s="27" t="s">
        <v>144</v>
      </c>
      <c r="D7852" s="26"/>
      <c r="E7852" s="27"/>
      <c r="F7852" s="27"/>
      <c r="G7852" s="27" t="s">
        <v>11122</v>
      </c>
      <c r="H7852" s="27" t="s">
        <v>35</v>
      </c>
      <c r="I7852" s="27" t="s">
        <v>40</v>
      </c>
      <c r="J7852" s="28" t="s">
        <v>785</v>
      </c>
      <c r="K7852" s="27" t="s">
        <v>37</v>
      </c>
      <c r="L7852" s="27"/>
    </row>
    <row r="7853" customFormat="false" ht="15" hidden="false" customHeight="false" outlineLevel="0" collapsed="false">
      <c r="A7853" s="26" t="s">
        <v>20623</v>
      </c>
      <c r="B7853" s="27" t="s">
        <v>20624</v>
      </c>
      <c r="C7853" s="27" t="s">
        <v>144</v>
      </c>
      <c r="D7853" s="26"/>
      <c r="E7853" s="27"/>
      <c r="F7853" s="27"/>
      <c r="G7853" s="27" t="s">
        <v>11122</v>
      </c>
      <c r="H7853" s="27" t="s">
        <v>35</v>
      </c>
      <c r="I7853" s="27" t="s">
        <v>37</v>
      </c>
      <c r="J7853" s="28" t="s">
        <v>785</v>
      </c>
      <c r="K7853" s="27" t="s">
        <v>37</v>
      </c>
      <c r="L7853" s="27"/>
    </row>
    <row r="7854" customFormat="false" ht="15" hidden="false" customHeight="false" outlineLevel="0" collapsed="false">
      <c r="A7854" s="26" t="s">
        <v>20625</v>
      </c>
      <c r="B7854" s="27" t="s">
        <v>20626</v>
      </c>
      <c r="C7854" s="27" t="s">
        <v>144</v>
      </c>
      <c r="D7854" s="26"/>
      <c r="E7854" s="27"/>
      <c r="F7854" s="27"/>
      <c r="G7854" s="27" t="s">
        <v>11122</v>
      </c>
      <c r="H7854" s="27" t="s">
        <v>35</v>
      </c>
      <c r="I7854" s="27" t="s">
        <v>37</v>
      </c>
      <c r="J7854" s="28" t="s">
        <v>785</v>
      </c>
      <c r="K7854" s="27" t="s">
        <v>37</v>
      </c>
      <c r="L7854" s="27"/>
    </row>
    <row r="7855" customFormat="false" ht="15" hidden="false" customHeight="false" outlineLevel="0" collapsed="false">
      <c r="A7855" s="26" t="s">
        <v>20627</v>
      </c>
      <c r="B7855" s="27" t="s">
        <v>20628</v>
      </c>
      <c r="C7855" s="27" t="s">
        <v>144</v>
      </c>
      <c r="D7855" s="26"/>
      <c r="E7855" s="27"/>
      <c r="F7855" s="27"/>
      <c r="G7855" s="27" t="s">
        <v>11122</v>
      </c>
      <c r="H7855" s="27" t="s">
        <v>35</v>
      </c>
      <c r="I7855" s="27" t="s">
        <v>40</v>
      </c>
      <c r="J7855" s="28" t="s">
        <v>785</v>
      </c>
      <c r="K7855" s="27" t="s">
        <v>37</v>
      </c>
      <c r="L7855" s="27"/>
    </row>
    <row r="7856" customFormat="false" ht="15" hidden="false" customHeight="false" outlineLevel="0" collapsed="false">
      <c r="A7856" s="26" t="s">
        <v>20629</v>
      </c>
      <c r="B7856" s="27" t="s">
        <v>20630</v>
      </c>
      <c r="C7856" s="27" t="s">
        <v>144</v>
      </c>
      <c r="D7856" s="26"/>
      <c r="E7856" s="27"/>
      <c r="F7856" s="27"/>
      <c r="G7856" s="27" t="s">
        <v>11122</v>
      </c>
      <c r="H7856" s="27" t="s">
        <v>35</v>
      </c>
      <c r="I7856" s="27" t="s">
        <v>40</v>
      </c>
      <c r="J7856" s="28" t="s">
        <v>785</v>
      </c>
      <c r="K7856" s="27" t="s">
        <v>37</v>
      </c>
      <c r="L7856" s="27"/>
    </row>
    <row r="7857" customFormat="false" ht="15" hidden="false" customHeight="false" outlineLevel="0" collapsed="false">
      <c r="A7857" s="26" t="s">
        <v>20631</v>
      </c>
      <c r="B7857" s="27" t="s">
        <v>20632</v>
      </c>
      <c r="C7857" s="27" t="s">
        <v>144</v>
      </c>
      <c r="D7857" s="26"/>
      <c r="E7857" s="27"/>
      <c r="F7857" s="27"/>
      <c r="G7857" s="27" t="s">
        <v>11122</v>
      </c>
      <c r="H7857" s="27" t="s">
        <v>35</v>
      </c>
      <c r="I7857" s="27" t="s">
        <v>40</v>
      </c>
      <c r="J7857" s="28" t="s">
        <v>785</v>
      </c>
      <c r="K7857" s="27" t="s">
        <v>37</v>
      </c>
      <c r="L7857" s="27"/>
    </row>
    <row r="7858" customFormat="false" ht="15" hidden="false" customHeight="false" outlineLevel="0" collapsed="false">
      <c r="A7858" s="26" t="s">
        <v>20633</v>
      </c>
      <c r="B7858" s="27" t="s">
        <v>20634</v>
      </c>
      <c r="C7858" s="27" t="s">
        <v>144</v>
      </c>
      <c r="D7858" s="26"/>
      <c r="E7858" s="27"/>
      <c r="F7858" s="27"/>
      <c r="G7858" s="27" t="s">
        <v>11122</v>
      </c>
      <c r="H7858" s="27" t="s">
        <v>35</v>
      </c>
      <c r="I7858" s="27" t="s">
        <v>40</v>
      </c>
      <c r="J7858" s="28" t="s">
        <v>785</v>
      </c>
      <c r="K7858" s="27" t="s">
        <v>37</v>
      </c>
      <c r="L7858" s="27"/>
    </row>
    <row r="7859" customFormat="false" ht="15" hidden="false" customHeight="false" outlineLevel="0" collapsed="false">
      <c r="A7859" s="26" t="s">
        <v>20635</v>
      </c>
      <c r="B7859" s="27" t="s">
        <v>20636</v>
      </c>
      <c r="C7859" s="27" t="s">
        <v>144</v>
      </c>
      <c r="D7859" s="26"/>
      <c r="E7859" s="27"/>
      <c r="F7859" s="27"/>
      <c r="G7859" s="27" t="s">
        <v>11122</v>
      </c>
      <c r="H7859" s="27" t="s">
        <v>35</v>
      </c>
      <c r="I7859" s="27" t="s">
        <v>40</v>
      </c>
      <c r="J7859" s="28" t="s">
        <v>785</v>
      </c>
      <c r="K7859" s="27" t="s">
        <v>37</v>
      </c>
      <c r="L7859" s="27"/>
    </row>
    <row r="7860" customFormat="false" ht="15" hidden="false" customHeight="false" outlineLevel="0" collapsed="false">
      <c r="A7860" s="26" t="s">
        <v>20637</v>
      </c>
      <c r="B7860" s="27" t="s">
        <v>20638</v>
      </c>
      <c r="C7860" s="27" t="s">
        <v>144</v>
      </c>
      <c r="D7860" s="26"/>
      <c r="E7860" s="27"/>
      <c r="F7860" s="27"/>
      <c r="G7860" s="27" t="s">
        <v>11122</v>
      </c>
      <c r="H7860" s="27" t="s">
        <v>35</v>
      </c>
      <c r="I7860" s="27" t="s">
        <v>40</v>
      </c>
      <c r="J7860" s="28" t="s">
        <v>785</v>
      </c>
      <c r="K7860" s="27" t="s">
        <v>37</v>
      </c>
      <c r="L7860" s="27"/>
    </row>
    <row r="7861" customFormat="false" ht="15" hidden="false" customHeight="false" outlineLevel="0" collapsed="false">
      <c r="A7861" s="26" t="s">
        <v>20639</v>
      </c>
      <c r="B7861" s="27" t="s">
        <v>20640</v>
      </c>
      <c r="C7861" s="27" t="s">
        <v>144</v>
      </c>
      <c r="D7861" s="26"/>
      <c r="E7861" s="27"/>
      <c r="F7861" s="27"/>
      <c r="G7861" s="27" t="s">
        <v>11122</v>
      </c>
      <c r="H7861" s="27" t="s">
        <v>35</v>
      </c>
      <c r="I7861" s="27" t="s">
        <v>40</v>
      </c>
      <c r="J7861" s="28" t="s">
        <v>785</v>
      </c>
      <c r="K7861" s="27" t="s">
        <v>37</v>
      </c>
      <c r="L7861" s="27"/>
    </row>
    <row r="7862" customFormat="false" ht="15" hidden="false" customHeight="false" outlineLevel="0" collapsed="false">
      <c r="A7862" s="26" t="s">
        <v>20641</v>
      </c>
      <c r="B7862" s="27" t="s">
        <v>20642</v>
      </c>
      <c r="C7862" s="27" t="s">
        <v>144</v>
      </c>
      <c r="D7862" s="26"/>
      <c r="E7862" s="27"/>
      <c r="F7862" s="27"/>
      <c r="G7862" s="27" t="s">
        <v>11122</v>
      </c>
      <c r="H7862" s="27" t="s">
        <v>35</v>
      </c>
      <c r="I7862" s="27" t="s">
        <v>40</v>
      </c>
      <c r="J7862" s="28" t="s">
        <v>785</v>
      </c>
      <c r="K7862" s="27" t="s">
        <v>37</v>
      </c>
      <c r="L7862" s="27"/>
    </row>
    <row r="7863" customFormat="false" ht="15" hidden="false" customHeight="false" outlineLevel="0" collapsed="false">
      <c r="A7863" s="26" t="s">
        <v>20643</v>
      </c>
      <c r="B7863" s="27" t="s">
        <v>20644</v>
      </c>
      <c r="C7863" s="27" t="s">
        <v>144</v>
      </c>
      <c r="D7863" s="26"/>
      <c r="E7863" s="27"/>
      <c r="F7863" s="27"/>
      <c r="G7863" s="27" t="s">
        <v>11122</v>
      </c>
      <c r="H7863" s="27" t="s">
        <v>35</v>
      </c>
      <c r="I7863" s="27" t="s">
        <v>37</v>
      </c>
      <c r="J7863" s="28" t="s">
        <v>785</v>
      </c>
      <c r="K7863" s="27" t="s">
        <v>37</v>
      </c>
      <c r="L7863" s="27"/>
    </row>
    <row r="7864" customFormat="false" ht="15" hidden="false" customHeight="false" outlineLevel="0" collapsed="false">
      <c r="A7864" s="26" t="s">
        <v>20645</v>
      </c>
      <c r="B7864" s="27" t="s">
        <v>20646</v>
      </c>
      <c r="C7864" s="27" t="s">
        <v>144</v>
      </c>
      <c r="D7864" s="26"/>
      <c r="E7864" s="27"/>
      <c r="F7864" s="27"/>
      <c r="G7864" s="27" t="s">
        <v>11122</v>
      </c>
      <c r="H7864" s="27" t="s">
        <v>35</v>
      </c>
      <c r="I7864" s="27" t="s">
        <v>41</v>
      </c>
      <c r="J7864" s="28" t="s">
        <v>785</v>
      </c>
      <c r="K7864" s="27" t="s">
        <v>37</v>
      </c>
      <c r="L7864" s="27"/>
    </row>
    <row r="7865" customFormat="false" ht="15" hidden="false" customHeight="false" outlineLevel="0" collapsed="false">
      <c r="A7865" s="26" t="s">
        <v>20647</v>
      </c>
      <c r="B7865" s="27" t="s">
        <v>20648</v>
      </c>
      <c r="C7865" s="27" t="s">
        <v>144</v>
      </c>
      <c r="D7865" s="26"/>
      <c r="E7865" s="27"/>
      <c r="F7865" s="27"/>
      <c r="G7865" s="27" t="s">
        <v>11122</v>
      </c>
      <c r="H7865" s="27" t="s">
        <v>35</v>
      </c>
      <c r="I7865" s="27" t="s">
        <v>41</v>
      </c>
      <c r="J7865" s="28" t="s">
        <v>785</v>
      </c>
      <c r="K7865" s="27" t="s">
        <v>37</v>
      </c>
      <c r="L7865" s="27"/>
    </row>
    <row r="7866" customFormat="false" ht="15" hidden="false" customHeight="false" outlineLevel="0" collapsed="false">
      <c r="A7866" s="26" t="s">
        <v>20649</v>
      </c>
      <c r="B7866" s="27" t="s">
        <v>20650</v>
      </c>
      <c r="C7866" s="27" t="s">
        <v>144</v>
      </c>
      <c r="D7866" s="26"/>
      <c r="E7866" s="27"/>
      <c r="F7866" s="27"/>
      <c r="G7866" s="27" t="s">
        <v>11122</v>
      </c>
      <c r="H7866" s="27" t="s">
        <v>35</v>
      </c>
      <c r="I7866" s="27" t="s">
        <v>41</v>
      </c>
      <c r="J7866" s="28" t="s">
        <v>785</v>
      </c>
      <c r="K7866" s="27" t="s">
        <v>37</v>
      </c>
      <c r="L7866" s="27"/>
    </row>
    <row r="7867" customFormat="false" ht="15" hidden="false" customHeight="false" outlineLevel="0" collapsed="false">
      <c r="A7867" s="26" t="s">
        <v>20651</v>
      </c>
      <c r="B7867" s="27" t="s">
        <v>20652</v>
      </c>
      <c r="C7867" s="27" t="s">
        <v>144</v>
      </c>
      <c r="D7867" s="26"/>
      <c r="E7867" s="27"/>
      <c r="F7867" s="27"/>
      <c r="G7867" s="27" t="s">
        <v>11122</v>
      </c>
      <c r="H7867" s="27" t="s">
        <v>35</v>
      </c>
      <c r="I7867" s="27" t="s">
        <v>41</v>
      </c>
      <c r="J7867" s="28" t="s">
        <v>785</v>
      </c>
      <c r="K7867" s="27" t="s">
        <v>37</v>
      </c>
      <c r="L7867" s="27"/>
    </row>
    <row r="7868" customFormat="false" ht="15" hidden="false" customHeight="false" outlineLevel="0" collapsed="false">
      <c r="A7868" s="26" t="s">
        <v>20653</v>
      </c>
      <c r="B7868" s="27" t="s">
        <v>20654</v>
      </c>
      <c r="C7868" s="27" t="s">
        <v>144</v>
      </c>
      <c r="D7868" s="26"/>
      <c r="E7868" s="27"/>
      <c r="F7868" s="27"/>
      <c r="G7868" s="27" t="s">
        <v>11122</v>
      </c>
      <c r="H7868" s="27" t="s">
        <v>35</v>
      </c>
      <c r="I7868" s="27" t="s">
        <v>37</v>
      </c>
      <c r="J7868" s="28" t="s">
        <v>785</v>
      </c>
      <c r="K7868" s="27" t="s">
        <v>37</v>
      </c>
      <c r="L7868" s="27"/>
    </row>
    <row r="7869" customFormat="false" ht="15" hidden="false" customHeight="false" outlineLevel="0" collapsed="false">
      <c r="A7869" s="26" t="s">
        <v>20655</v>
      </c>
      <c r="B7869" s="27" t="s">
        <v>20656</v>
      </c>
      <c r="C7869" s="27" t="s">
        <v>144</v>
      </c>
      <c r="D7869" s="26"/>
      <c r="E7869" s="27"/>
      <c r="F7869" s="27"/>
      <c r="G7869" s="27" t="s">
        <v>11122</v>
      </c>
      <c r="H7869" s="27" t="s">
        <v>35</v>
      </c>
      <c r="I7869" s="27" t="s">
        <v>40</v>
      </c>
      <c r="J7869" s="28" t="s">
        <v>785</v>
      </c>
      <c r="K7869" s="27" t="s">
        <v>37</v>
      </c>
      <c r="L7869" s="27"/>
    </row>
    <row r="7870" customFormat="false" ht="15" hidden="false" customHeight="false" outlineLevel="0" collapsed="false">
      <c r="A7870" s="26" t="s">
        <v>20657</v>
      </c>
      <c r="B7870" s="27" t="s">
        <v>20658</v>
      </c>
      <c r="C7870" s="27" t="s">
        <v>144</v>
      </c>
      <c r="D7870" s="26"/>
      <c r="E7870" s="27"/>
      <c r="F7870" s="27"/>
      <c r="G7870" s="27" t="s">
        <v>11122</v>
      </c>
      <c r="H7870" s="27" t="s">
        <v>35</v>
      </c>
      <c r="I7870" s="27" t="s">
        <v>37</v>
      </c>
      <c r="J7870" s="28" t="s">
        <v>785</v>
      </c>
      <c r="K7870" s="27" t="s">
        <v>37</v>
      </c>
      <c r="L7870" s="27"/>
    </row>
    <row r="7871" customFormat="false" ht="15" hidden="false" customHeight="false" outlineLevel="0" collapsed="false">
      <c r="A7871" s="26" t="s">
        <v>20659</v>
      </c>
      <c r="B7871" s="27" t="s">
        <v>20660</v>
      </c>
      <c r="C7871" s="27" t="s">
        <v>144</v>
      </c>
      <c r="D7871" s="26"/>
      <c r="E7871" s="27"/>
      <c r="F7871" s="27"/>
      <c r="G7871" s="27" t="s">
        <v>11122</v>
      </c>
      <c r="H7871" s="27" t="s">
        <v>35</v>
      </c>
      <c r="I7871" s="27" t="s">
        <v>41</v>
      </c>
      <c r="J7871" s="28" t="s">
        <v>785</v>
      </c>
      <c r="K7871" s="27" t="s">
        <v>37</v>
      </c>
      <c r="L7871" s="27"/>
    </row>
    <row r="7872" customFormat="false" ht="15" hidden="false" customHeight="false" outlineLevel="0" collapsed="false">
      <c r="A7872" s="26" t="s">
        <v>20661</v>
      </c>
      <c r="B7872" s="27" t="s">
        <v>20662</v>
      </c>
      <c r="C7872" s="27" t="s">
        <v>144</v>
      </c>
      <c r="D7872" s="26"/>
      <c r="E7872" s="27"/>
      <c r="F7872" s="27"/>
      <c r="G7872" s="27" t="s">
        <v>11122</v>
      </c>
      <c r="H7872" s="27" t="s">
        <v>35</v>
      </c>
      <c r="I7872" s="27" t="s">
        <v>37</v>
      </c>
      <c r="J7872" s="28" t="s">
        <v>785</v>
      </c>
      <c r="K7872" s="27" t="s">
        <v>37</v>
      </c>
      <c r="L7872" s="27"/>
    </row>
    <row r="7873" customFormat="false" ht="15" hidden="false" customHeight="false" outlineLevel="0" collapsed="false">
      <c r="A7873" s="26" t="s">
        <v>20663</v>
      </c>
      <c r="B7873" s="27" t="s">
        <v>20664</v>
      </c>
      <c r="C7873" s="27" t="s">
        <v>144</v>
      </c>
      <c r="D7873" s="26"/>
      <c r="E7873" s="27"/>
      <c r="F7873" s="27"/>
      <c r="G7873" s="27" t="s">
        <v>11122</v>
      </c>
      <c r="H7873" s="27" t="s">
        <v>35</v>
      </c>
      <c r="I7873" s="27" t="s">
        <v>44</v>
      </c>
      <c r="J7873" s="28" t="s">
        <v>785</v>
      </c>
      <c r="K7873" s="27" t="s">
        <v>37</v>
      </c>
      <c r="L7873" s="27"/>
    </row>
    <row r="7874" customFormat="false" ht="15" hidden="false" customHeight="false" outlineLevel="0" collapsed="false">
      <c r="A7874" s="26" t="s">
        <v>20665</v>
      </c>
      <c r="B7874" s="27" t="s">
        <v>20666</v>
      </c>
      <c r="C7874" s="27" t="s">
        <v>144</v>
      </c>
      <c r="D7874" s="26"/>
      <c r="E7874" s="27"/>
      <c r="F7874" s="27"/>
      <c r="G7874" s="27" t="s">
        <v>11122</v>
      </c>
      <c r="H7874" s="27" t="s">
        <v>35</v>
      </c>
      <c r="I7874" s="27" t="s">
        <v>41</v>
      </c>
      <c r="J7874" s="28" t="s">
        <v>785</v>
      </c>
      <c r="K7874" s="27" t="s">
        <v>37</v>
      </c>
      <c r="L7874" s="27"/>
    </row>
    <row r="7875" customFormat="false" ht="15" hidden="false" customHeight="false" outlineLevel="0" collapsed="false">
      <c r="A7875" s="26" t="s">
        <v>20667</v>
      </c>
      <c r="B7875" s="27" t="s">
        <v>20668</v>
      </c>
      <c r="C7875" s="27" t="s">
        <v>144</v>
      </c>
      <c r="D7875" s="26"/>
      <c r="E7875" s="27"/>
      <c r="F7875" s="27"/>
      <c r="G7875" s="27" t="s">
        <v>11122</v>
      </c>
      <c r="H7875" s="27" t="s">
        <v>35</v>
      </c>
      <c r="I7875" s="27" t="s">
        <v>41</v>
      </c>
      <c r="J7875" s="28" t="s">
        <v>785</v>
      </c>
      <c r="K7875" s="27" t="s">
        <v>37</v>
      </c>
      <c r="L7875" s="27"/>
    </row>
    <row r="7876" customFormat="false" ht="15" hidden="false" customHeight="false" outlineLevel="0" collapsed="false">
      <c r="A7876" s="26" t="s">
        <v>20669</v>
      </c>
      <c r="B7876" s="27" t="s">
        <v>20670</v>
      </c>
      <c r="C7876" s="27" t="s">
        <v>144</v>
      </c>
      <c r="D7876" s="26"/>
      <c r="E7876" s="27"/>
      <c r="F7876" s="27"/>
      <c r="G7876" s="27" t="s">
        <v>11122</v>
      </c>
      <c r="H7876" s="27" t="s">
        <v>35</v>
      </c>
      <c r="I7876" s="27" t="s">
        <v>41</v>
      </c>
      <c r="J7876" s="28" t="s">
        <v>785</v>
      </c>
      <c r="K7876" s="27" t="s">
        <v>37</v>
      </c>
      <c r="L7876" s="27"/>
    </row>
    <row r="7877" customFormat="false" ht="15" hidden="false" customHeight="false" outlineLevel="0" collapsed="false">
      <c r="A7877" s="26" t="s">
        <v>20671</v>
      </c>
      <c r="B7877" s="27" t="s">
        <v>20672</v>
      </c>
      <c r="C7877" s="27" t="s">
        <v>144</v>
      </c>
      <c r="D7877" s="26"/>
      <c r="E7877" s="27"/>
      <c r="F7877" s="27"/>
      <c r="G7877" s="27" t="s">
        <v>11122</v>
      </c>
      <c r="H7877" s="27" t="s">
        <v>35</v>
      </c>
      <c r="I7877" s="27" t="s">
        <v>37</v>
      </c>
      <c r="J7877" s="28" t="s">
        <v>785</v>
      </c>
      <c r="K7877" s="27" t="s">
        <v>37</v>
      </c>
      <c r="L7877" s="27"/>
    </row>
    <row r="7878" customFormat="false" ht="15" hidden="false" customHeight="false" outlineLevel="0" collapsed="false">
      <c r="A7878" s="26" t="s">
        <v>20673</v>
      </c>
      <c r="B7878" s="27" t="s">
        <v>20674</v>
      </c>
      <c r="C7878" s="27" t="s">
        <v>144</v>
      </c>
      <c r="D7878" s="26"/>
      <c r="E7878" s="27"/>
      <c r="F7878" s="27"/>
      <c r="G7878" s="27" t="s">
        <v>11122</v>
      </c>
      <c r="H7878" s="27" t="s">
        <v>35</v>
      </c>
      <c r="I7878" s="27" t="s">
        <v>37</v>
      </c>
      <c r="J7878" s="28" t="s">
        <v>785</v>
      </c>
      <c r="K7878" s="27" t="s">
        <v>37</v>
      </c>
      <c r="L7878" s="27"/>
    </row>
    <row r="7879" customFormat="false" ht="15" hidden="false" customHeight="false" outlineLevel="0" collapsed="false">
      <c r="A7879" s="26" t="s">
        <v>20675</v>
      </c>
      <c r="B7879" s="27" t="s">
        <v>20676</v>
      </c>
      <c r="C7879" s="27" t="s">
        <v>144</v>
      </c>
      <c r="D7879" s="26"/>
      <c r="E7879" s="27"/>
      <c r="F7879" s="27"/>
      <c r="G7879" s="27" t="s">
        <v>11122</v>
      </c>
      <c r="H7879" s="27" t="s">
        <v>35</v>
      </c>
      <c r="I7879" s="27" t="s">
        <v>47</v>
      </c>
      <c r="J7879" s="28" t="s">
        <v>785</v>
      </c>
      <c r="K7879" s="27" t="s">
        <v>37</v>
      </c>
      <c r="L7879" s="27"/>
    </row>
    <row r="7880" customFormat="false" ht="15" hidden="false" customHeight="false" outlineLevel="0" collapsed="false">
      <c r="A7880" s="26" t="s">
        <v>20677</v>
      </c>
      <c r="B7880" s="27" t="s">
        <v>20678</v>
      </c>
      <c r="C7880" s="27" t="s">
        <v>144</v>
      </c>
      <c r="D7880" s="26"/>
      <c r="E7880" s="27"/>
      <c r="F7880" s="27"/>
      <c r="G7880" s="27" t="s">
        <v>11122</v>
      </c>
      <c r="H7880" s="27" t="s">
        <v>35</v>
      </c>
      <c r="I7880" s="27" t="s">
        <v>37</v>
      </c>
      <c r="J7880" s="28" t="s">
        <v>785</v>
      </c>
      <c r="K7880" s="27" t="s">
        <v>37</v>
      </c>
      <c r="L7880" s="27"/>
    </row>
    <row r="7881" customFormat="false" ht="15" hidden="false" customHeight="false" outlineLevel="0" collapsed="false">
      <c r="A7881" s="26" t="s">
        <v>20679</v>
      </c>
      <c r="B7881" s="27" t="s">
        <v>20680</v>
      </c>
      <c r="C7881" s="27" t="s">
        <v>144</v>
      </c>
      <c r="D7881" s="26"/>
      <c r="E7881" s="27"/>
      <c r="F7881" s="27"/>
      <c r="G7881" s="27" t="s">
        <v>11122</v>
      </c>
      <c r="H7881" s="27" t="s">
        <v>35</v>
      </c>
      <c r="I7881" s="27" t="s">
        <v>41</v>
      </c>
      <c r="J7881" s="28" t="s">
        <v>785</v>
      </c>
      <c r="K7881" s="27" t="s">
        <v>37</v>
      </c>
      <c r="L7881" s="27"/>
    </row>
    <row r="7882" customFormat="false" ht="15" hidden="false" customHeight="false" outlineLevel="0" collapsed="false">
      <c r="A7882" s="26" t="s">
        <v>20681</v>
      </c>
      <c r="B7882" s="27" t="s">
        <v>20682</v>
      </c>
      <c r="C7882" s="27" t="s">
        <v>144</v>
      </c>
      <c r="D7882" s="26"/>
      <c r="E7882" s="27"/>
      <c r="F7882" s="27"/>
      <c r="G7882" s="27" t="s">
        <v>11122</v>
      </c>
      <c r="H7882" s="27" t="s">
        <v>35</v>
      </c>
      <c r="I7882" s="27" t="s">
        <v>41</v>
      </c>
      <c r="J7882" s="28" t="s">
        <v>785</v>
      </c>
      <c r="K7882" s="27" t="s">
        <v>37</v>
      </c>
      <c r="L7882" s="27"/>
    </row>
    <row r="7883" customFormat="false" ht="15" hidden="false" customHeight="false" outlineLevel="0" collapsed="false">
      <c r="A7883" s="26" t="s">
        <v>20683</v>
      </c>
      <c r="B7883" s="27" t="s">
        <v>20684</v>
      </c>
      <c r="C7883" s="27" t="s">
        <v>144</v>
      </c>
      <c r="D7883" s="26"/>
      <c r="E7883" s="27"/>
      <c r="F7883" s="27"/>
      <c r="G7883" s="27" t="s">
        <v>11122</v>
      </c>
      <c r="H7883" s="27" t="s">
        <v>35</v>
      </c>
      <c r="I7883" s="27" t="s">
        <v>41</v>
      </c>
      <c r="J7883" s="28" t="s">
        <v>785</v>
      </c>
      <c r="K7883" s="27" t="s">
        <v>37</v>
      </c>
      <c r="L7883" s="27"/>
    </row>
    <row r="7884" customFormat="false" ht="15" hidden="false" customHeight="false" outlineLevel="0" collapsed="false">
      <c r="A7884" s="26" t="s">
        <v>20685</v>
      </c>
      <c r="B7884" s="27" t="s">
        <v>20686</v>
      </c>
      <c r="C7884" s="27" t="s">
        <v>144</v>
      </c>
      <c r="D7884" s="26"/>
      <c r="E7884" s="27"/>
      <c r="F7884" s="27"/>
      <c r="G7884" s="27" t="s">
        <v>11122</v>
      </c>
      <c r="H7884" s="27" t="s">
        <v>35</v>
      </c>
      <c r="I7884" s="27" t="s">
        <v>49</v>
      </c>
      <c r="J7884" s="28" t="s">
        <v>785</v>
      </c>
      <c r="K7884" s="27" t="s">
        <v>37</v>
      </c>
      <c r="L7884" s="27"/>
    </row>
    <row r="7885" customFormat="false" ht="15" hidden="false" customHeight="false" outlineLevel="0" collapsed="false">
      <c r="A7885" s="26" t="s">
        <v>20687</v>
      </c>
      <c r="B7885" s="27" t="s">
        <v>20688</v>
      </c>
      <c r="C7885" s="27" t="s">
        <v>144</v>
      </c>
      <c r="D7885" s="26"/>
      <c r="E7885" s="27"/>
      <c r="F7885" s="27"/>
      <c r="G7885" s="27" t="s">
        <v>11122</v>
      </c>
      <c r="H7885" s="27" t="s">
        <v>35</v>
      </c>
      <c r="I7885" s="27" t="s">
        <v>37</v>
      </c>
      <c r="J7885" s="28" t="s">
        <v>785</v>
      </c>
      <c r="K7885" s="27" t="s">
        <v>37</v>
      </c>
      <c r="L7885" s="27"/>
    </row>
    <row r="7886" customFormat="false" ht="15" hidden="false" customHeight="false" outlineLevel="0" collapsed="false">
      <c r="A7886" s="26" t="s">
        <v>20689</v>
      </c>
      <c r="B7886" s="27" t="s">
        <v>20690</v>
      </c>
      <c r="C7886" s="27" t="s">
        <v>3373</v>
      </c>
      <c r="D7886" s="26"/>
      <c r="E7886" s="27"/>
      <c r="F7886" s="27"/>
      <c r="G7886" s="27" t="s">
        <v>11122</v>
      </c>
      <c r="H7886" s="27" t="s">
        <v>35</v>
      </c>
      <c r="I7886" s="27" t="s">
        <v>43</v>
      </c>
      <c r="J7886" s="28" t="s">
        <v>785</v>
      </c>
      <c r="K7886" s="27" t="s">
        <v>37</v>
      </c>
      <c r="L7886" s="27"/>
    </row>
    <row r="7887" customFormat="false" ht="15" hidden="false" customHeight="false" outlineLevel="0" collapsed="false">
      <c r="A7887" s="26" t="s">
        <v>20691</v>
      </c>
      <c r="B7887" s="27" t="s">
        <v>20692</v>
      </c>
      <c r="C7887" s="27" t="s">
        <v>3373</v>
      </c>
      <c r="D7887" s="26"/>
      <c r="E7887" s="27"/>
      <c r="F7887" s="27"/>
      <c r="G7887" s="27" t="s">
        <v>11122</v>
      </c>
      <c r="H7887" s="27" t="s">
        <v>35</v>
      </c>
      <c r="I7887" s="27" t="s">
        <v>37</v>
      </c>
      <c r="J7887" s="28" t="s">
        <v>785</v>
      </c>
      <c r="K7887" s="27" t="s">
        <v>37</v>
      </c>
      <c r="L7887" s="27"/>
    </row>
    <row r="7888" customFormat="false" ht="15" hidden="false" customHeight="false" outlineLevel="0" collapsed="false">
      <c r="A7888" s="26" t="s">
        <v>20693</v>
      </c>
      <c r="B7888" s="27" t="s">
        <v>20694</v>
      </c>
      <c r="C7888" s="27" t="s">
        <v>144</v>
      </c>
      <c r="D7888" s="26"/>
      <c r="E7888" s="27"/>
      <c r="F7888" s="27"/>
      <c r="G7888" s="27" t="s">
        <v>11122</v>
      </c>
      <c r="H7888" s="27" t="s">
        <v>35</v>
      </c>
      <c r="I7888" s="27" t="s">
        <v>37</v>
      </c>
      <c r="J7888" s="28" t="s">
        <v>785</v>
      </c>
      <c r="K7888" s="27" t="s">
        <v>37</v>
      </c>
      <c r="L7888" s="27"/>
    </row>
    <row r="7889" customFormat="false" ht="15" hidden="false" customHeight="false" outlineLevel="0" collapsed="false">
      <c r="A7889" s="26" t="s">
        <v>20695</v>
      </c>
      <c r="B7889" s="27" t="s">
        <v>20696</v>
      </c>
      <c r="C7889" s="27" t="s">
        <v>3373</v>
      </c>
      <c r="D7889" s="26"/>
      <c r="E7889" s="27"/>
      <c r="F7889" s="27"/>
      <c r="G7889" s="27" t="s">
        <v>11122</v>
      </c>
      <c r="H7889" s="27" t="s">
        <v>35</v>
      </c>
      <c r="I7889" s="28" t="s">
        <v>50</v>
      </c>
      <c r="J7889" s="28" t="s">
        <v>785</v>
      </c>
      <c r="K7889" s="27" t="s">
        <v>37</v>
      </c>
      <c r="L7889" s="27"/>
    </row>
    <row r="7890" customFormat="false" ht="15" hidden="false" customHeight="false" outlineLevel="0" collapsed="false">
      <c r="A7890" s="26" t="s">
        <v>20697</v>
      </c>
      <c r="B7890" s="27" t="s">
        <v>20698</v>
      </c>
      <c r="C7890" s="27" t="s">
        <v>3373</v>
      </c>
      <c r="D7890" s="26"/>
      <c r="E7890" s="27"/>
      <c r="F7890" s="27"/>
      <c r="G7890" s="27" t="s">
        <v>11122</v>
      </c>
      <c r="H7890" s="27" t="s">
        <v>35</v>
      </c>
      <c r="I7890" s="28" t="s">
        <v>50</v>
      </c>
      <c r="J7890" s="28" t="s">
        <v>785</v>
      </c>
      <c r="K7890" s="27" t="s">
        <v>37</v>
      </c>
      <c r="L7890" s="27"/>
    </row>
    <row r="7891" customFormat="false" ht="15" hidden="false" customHeight="false" outlineLevel="0" collapsed="false">
      <c r="A7891" s="26" t="s">
        <v>20699</v>
      </c>
      <c r="B7891" s="27" t="s">
        <v>11759</v>
      </c>
      <c r="C7891" s="27" t="s">
        <v>144</v>
      </c>
      <c r="D7891" s="26"/>
      <c r="E7891" s="27"/>
      <c r="F7891" s="27"/>
      <c r="G7891" s="27" t="s">
        <v>11122</v>
      </c>
      <c r="H7891" s="27" t="s">
        <v>35</v>
      </c>
      <c r="I7891" s="27" t="s">
        <v>41</v>
      </c>
      <c r="J7891" s="28" t="s">
        <v>785</v>
      </c>
      <c r="K7891" s="27" t="s">
        <v>37</v>
      </c>
      <c r="L7891" s="27"/>
    </row>
    <row r="7892" customFormat="false" ht="15" hidden="false" customHeight="false" outlineLevel="0" collapsed="false">
      <c r="A7892" s="26" t="s">
        <v>20700</v>
      </c>
      <c r="B7892" s="27" t="s">
        <v>20701</v>
      </c>
      <c r="C7892" s="27" t="s">
        <v>144</v>
      </c>
      <c r="D7892" s="26"/>
      <c r="E7892" s="27"/>
      <c r="F7892" s="27"/>
      <c r="G7892" s="27" t="s">
        <v>11122</v>
      </c>
      <c r="H7892" s="27" t="s">
        <v>35</v>
      </c>
      <c r="I7892" s="27" t="s">
        <v>41</v>
      </c>
      <c r="J7892" s="28" t="s">
        <v>785</v>
      </c>
      <c r="K7892" s="27" t="s">
        <v>37</v>
      </c>
      <c r="L7892" s="27"/>
    </row>
    <row r="7893" customFormat="false" ht="15" hidden="false" customHeight="false" outlineLevel="0" collapsed="false">
      <c r="A7893" s="26" t="s">
        <v>20702</v>
      </c>
      <c r="B7893" s="27" t="s">
        <v>20703</v>
      </c>
      <c r="C7893" s="27" t="s">
        <v>144</v>
      </c>
      <c r="D7893" s="26"/>
      <c r="E7893" s="27"/>
      <c r="F7893" s="27"/>
      <c r="G7893" s="27" t="s">
        <v>11122</v>
      </c>
      <c r="H7893" s="27" t="s">
        <v>35</v>
      </c>
      <c r="I7893" s="27" t="s">
        <v>41</v>
      </c>
      <c r="J7893" s="28" t="s">
        <v>785</v>
      </c>
      <c r="K7893" s="27" t="s">
        <v>37</v>
      </c>
      <c r="L7893" s="27"/>
    </row>
    <row r="7894" customFormat="false" ht="15" hidden="false" customHeight="false" outlineLevel="0" collapsed="false">
      <c r="A7894" s="26" t="s">
        <v>20704</v>
      </c>
      <c r="B7894" s="27" t="s">
        <v>20705</v>
      </c>
      <c r="C7894" s="27" t="s">
        <v>1187</v>
      </c>
      <c r="D7894" s="26"/>
      <c r="E7894" s="27"/>
      <c r="F7894" s="27"/>
      <c r="G7894" s="27" t="s">
        <v>11122</v>
      </c>
      <c r="H7894" s="27" t="s">
        <v>35</v>
      </c>
      <c r="I7894" s="27" t="s">
        <v>43</v>
      </c>
      <c r="J7894" s="28" t="s">
        <v>785</v>
      </c>
      <c r="K7894" s="27" t="s">
        <v>37</v>
      </c>
      <c r="L7894" s="27"/>
    </row>
    <row r="7895" customFormat="false" ht="15" hidden="false" customHeight="false" outlineLevel="0" collapsed="false">
      <c r="A7895" s="26" t="s">
        <v>20706</v>
      </c>
      <c r="B7895" s="27" t="s">
        <v>20707</v>
      </c>
      <c r="C7895" s="27" t="s">
        <v>144</v>
      </c>
      <c r="D7895" s="26"/>
      <c r="E7895" s="27"/>
      <c r="F7895" s="27"/>
      <c r="G7895" s="27" t="s">
        <v>11122</v>
      </c>
      <c r="H7895" s="27" t="s">
        <v>35</v>
      </c>
      <c r="I7895" s="27" t="s">
        <v>37</v>
      </c>
      <c r="J7895" s="28" t="s">
        <v>785</v>
      </c>
      <c r="K7895" s="27" t="s">
        <v>37</v>
      </c>
      <c r="L7895" s="27"/>
    </row>
    <row r="7896" customFormat="false" ht="15" hidden="false" customHeight="false" outlineLevel="0" collapsed="false">
      <c r="A7896" s="26" t="s">
        <v>20708</v>
      </c>
      <c r="B7896" s="27" t="s">
        <v>20709</v>
      </c>
      <c r="C7896" s="27" t="s">
        <v>144</v>
      </c>
      <c r="D7896" s="26"/>
      <c r="E7896" s="27"/>
      <c r="F7896" s="27"/>
      <c r="G7896" s="27" t="s">
        <v>11122</v>
      </c>
      <c r="H7896" s="27" t="s">
        <v>35</v>
      </c>
      <c r="I7896" s="27" t="s">
        <v>41</v>
      </c>
      <c r="J7896" s="28" t="s">
        <v>785</v>
      </c>
      <c r="K7896" s="27" t="s">
        <v>37</v>
      </c>
      <c r="L7896" s="27"/>
    </row>
    <row r="7897" customFormat="false" ht="15" hidden="false" customHeight="false" outlineLevel="0" collapsed="false">
      <c r="A7897" s="26" t="s">
        <v>20710</v>
      </c>
      <c r="B7897" s="27" t="s">
        <v>20711</v>
      </c>
      <c r="C7897" s="27" t="s">
        <v>144</v>
      </c>
      <c r="D7897" s="26"/>
      <c r="E7897" s="27"/>
      <c r="F7897" s="27"/>
      <c r="G7897" s="27" t="s">
        <v>11122</v>
      </c>
      <c r="H7897" s="27" t="s">
        <v>35</v>
      </c>
      <c r="I7897" s="27" t="s">
        <v>38</v>
      </c>
      <c r="J7897" s="28" t="s">
        <v>785</v>
      </c>
      <c r="K7897" s="27" t="s">
        <v>37</v>
      </c>
      <c r="L7897" s="27"/>
    </row>
    <row r="7898" customFormat="false" ht="15" hidden="false" customHeight="false" outlineLevel="0" collapsed="false">
      <c r="A7898" s="26" t="s">
        <v>20712</v>
      </c>
      <c r="B7898" s="27" t="s">
        <v>20713</v>
      </c>
      <c r="C7898" s="27" t="s">
        <v>144</v>
      </c>
      <c r="D7898" s="26"/>
      <c r="E7898" s="27"/>
      <c r="F7898" s="27"/>
      <c r="G7898" s="27" t="s">
        <v>11122</v>
      </c>
      <c r="H7898" s="27" t="s">
        <v>35</v>
      </c>
      <c r="I7898" s="27" t="s">
        <v>37</v>
      </c>
      <c r="J7898" s="28" t="s">
        <v>785</v>
      </c>
      <c r="K7898" s="27" t="s">
        <v>37</v>
      </c>
      <c r="L7898" s="27"/>
    </row>
    <row r="7899" customFormat="false" ht="15" hidden="false" customHeight="false" outlineLevel="0" collapsed="false">
      <c r="A7899" s="26" t="s">
        <v>20714</v>
      </c>
      <c r="B7899" s="27" t="s">
        <v>20715</v>
      </c>
      <c r="C7899" s="27" t="s">
        <v>144</v>
      </c>
      <c r="D7899" s="26"/>
      <c r="E7899" s="27"/>
      <c r="F7899" s="27"/>
      <c r="G7899" s="27" t="s">
        <v>11122</v>
      </c>
      <c r="H7899" s="27" t="s">
        <v>35</v>
      </c>
      <c r="I7899" s="27" t="s">
        <v>37</v>
      </c>
      <c r="J7899" s="28" t="s">
        <v>785</v>
      </c>
      <c r="K7899" s="27" t="s">
        <v>37</v>
      </c>
      <c r="L7899" s="27"/>
    </row>
    <row r="7900" customFormat="false" ht="15" hidden="false" customHeight="false" outlineLevel="0" collapsed="false">
      <c r="A7900" s="26" t="s">
        <v>20716</v>
      </c>
      <c r="B7900" s="27" t="s">
        <v>20717</v>
      </c>
      <c r="C7900" s="27" t="s">
        <v>144</v>
      </c>
      <c r="D7900" s="26"/>
      <c r="E7900" s="27"/>
      <c r="F7900" s="27"/>
      <c r="G7900" s="27" t="s">
        <v>11122</v>
      </c>
      <c r="H7900" s="27" t="s">
        <v>35</v>
      </c>
      <c r="I7900" s="27" t="s">
        <v>41</v>
      </c>
      <c r="J7900" s="28" t="s">
        <v>785</v>
      </c>
      <c r="K7900" s="27" t="s">
        <v>37</v>
      </c>
      <c r="L7900" s="27"/>
    </row>
    <row r="7901" customFormat="false" ht="15" hidden="false" customHeight="false" outlineLevel="0" collapsed="false">
      <c r="A7901" s="26" t="s">
        <v>20718</v>
      </c>
      <c r="B7901" s="27" t="s">
        <v>20719</v>
      </c>
      <c r="C7901" s="27" t="s">
        <v>144</v>
      </c>
      <c r="D7901" s="26"/>
      <c r="E7901" s="27"/>
      <c r="F7901" s="27"/>
      <c r="G7901" s="27" t="s">
        <v>11122</v>
      </c>
      <c r="H7901" s="27" t="s">
        <v>35</v>
      </c>
      <c r="I7901" s="27" t="s">
        <v>41</v>
      </c>
      <c r="J7901" s="28" t="s">
        <v>785</v>
      </c>
      <c r="K7901" s="27" t="s">
        <v>37</v>
      </c>
      <c r="L7901" s="27"/>
    </row>
    <row r="7902" customFormat="false" ht="15" hidden="false" customHeight="false" outlineLevel="0" collapsed="false">
      <c r="A7902" s="26" t="s">
        <v>20720</v>
      </c>
      <c r="B7902" s="27" t="s">
        <v>20721</v>
      </c>
      <c r="C7902" s="27" t="s">
        <v>144</v>
      </c>
      <c r="D7902" s="26"/>
      <c r="E7902" s="27"/>
      <c r="F7902" s="27"/>
      <c r="G7902" s="27" t="s">
        <v>11122</v>
      </c>
      <c r="H7902" s="27" t="s">
        <v>35</v>
      </c>
      <c r="I7902" s="27" t="s">
        <v>41</v>
      </c>
      <c r="J7902" s="28" t="s">
        <v>785</v>
      </c>
      <c r="K7902" s="27" t="s">
        <v>37</v>
      </c>
      <c r="L7902" s="27"/>
    </row>
    <row r="7903" customFormat="false" ht="15" hidden="false" customHeight="false" outlineLevel="0" collapsed="false">
      <c r="A7903" s="26" t="s">
        <v>20722</v>
      </c>
      <c r="B7903" s="27" t="s">
        <v>20723</v>
      </c>
      <c r="C7903" s="27" t="s">
        <v>144</v>
      </c>
      <c r="D7903" s="26"/>
      <c r="E7903" s="27"/>
      <c r="F7903" s="27"/>
      <c r="G7903" s="27" t="s">
        <v>11122</v>
      </c>
      <c r="H7903" s="27" t="s">
        <v>35</v>
      </c>
      <c r="I7903" s="27" t="s">
        <v>44</v>
      </c>
      <c r="J7903" s="28" t="s">
        <v>785</v>
      </c>
      <c r="K7903" s="27" t="s">
        <v>37</v>
      </c>
      <c r="L7903" s="27"/>
    </row>
    <row r="7904" customFormat="false" ht="15" hidden="false" customHeight="false" outlineLevel="0" collapsed="false">
      <c r="A7904" s="26" t="s">
        <v>20724</v>
      </c>
      <c r="B7904" s="27" t="s">
        <v>20725</v>
      </c>
      <c r="C7904" s="27" t="s">
        <v>144</v>
      </c>
      <c r="D7904" s="26"/>
      <c r="E7904" s="27"/>
      <c r="F7904" s="27"/>
      <c r="G7904" s="27" t="s">
        <v>11122</v>
      </c>
      <c r="H7904" s="27" t="s">
        <v>35</v>
      </c>
      <c r="I7904" s="27" t="s">
        <v>44</v>
      </c>
      <c r="J7904" s="28" t="s">
        <v>785</v>
      </c>
      <c r="K7904" s="27" t="s">
        <v>37</v>
      </c>
      <c r="L7904" s="27"/>
    </row>
    <row r="7905" customFormat="false" ht="15" hidden="false" customHeight="false" outlineLevel="0" collapsed="false">
      <c r="A7905" s="26" t="s">
        <v>20726</v>
      </c>
      <c r="B7905" s="27" t="s">
        <v>20727</v>
      </c>
      <c r="C7905" s="27" t="s">
        <v>144</v>
      </c>
      <c r="D7905" s="26"/>
      <c r="E7905" s="27"/>
      <c r="F7905" s="27"/>
      <c r="G7905" s="27" t="s">
        <v>11122</v>
      </c>
      <c r="H7905" s="27" t="s">
        <v>35</v>
      </c>
      <c r="I7905" s="27" t="s">
        <v>37</v>
      </c>
      <c r="J7905" s="28" t="s">
        <v>785</v>
      </c>
      <c r="K7905" s="27" t="s">
        <v>37</v>
      </c>
      <c r="L7905" s="27"/>
    </row>
    <row r="7906" customFormat="false" ht="15" hidden="false" customHeight="false" outlineLevel="0" collapsed="false">
      <c r="A7906" s="26" t="s">
        <v>20728</v>
      </c>
      <c r="B7906" s="27" t="s">
        <v>20729</v>
      </c>
      <c r="C7906" s="27" t="s">
        <v>144</v>
      </c>
      <c r="D7906" s="26"/>
      <c r="E7906" s="27"/>
      <c r="F7906" s="27"/>
      <c r="G7906" s="27" t="s">
        <v>11122</v>
      </c>
      <c r="H7906" s="27" t="s">
        <v>35</v>
      </c>
      <c r="I7906" s="27" t="s">
        <v>38</v>
      </c>
      <c r="J7906" s="28" t="s">
        <v>785</v>
      </c>
      <c r="K7906" s="27" t="s">
        <v>37</v>
      </c>
      <c r="L7906" s="27"/>
    </row>
    <row r="7907" customFormat="false" ht="15" hidden="false" customHeight="false" outlineLevel="0" collapsed="false">
      <c r="A7907" s="26" t="s">
        <v>20730</v>
      </c>
      <c r="B7907" s="27" t="s">
        <v>20731</v>
      </c>
      <c r="C7907" s="27" t="s">
        <v>144</v>
      </c>
      <c r="D7907" s="26"/>
      <c r="E7907" s="27"/>
      <c r="F7907" s="27"/>
      <c r="G7907" s="27" t="s">
        <v>11122</v>
      </c>
      <c r="H7907" s="27" t="s">
        <v>35</v>
      </c>
      <c r="I7907" s="27" t="s">
        <v>40</v>
      </c>
      <c r="J7907" s="28" t="s">
        <v>785</v>
      </c>
      <c r="K7907" s="27" t="s">
        <v>37</v>
      </c>
      <c r="L7907" s="27"/>
    </row>
    <row r="7908" customFormat="false" ht="15" hidden="false" customHeight="false" outlineLevel="0" collapsed="false">
      <c r="A7908" s="26" t="s">
        <v>20732</v>
      </c>
      <c r="B7908" s="27" t="s">
        <v>20733</v>
      </c>
      <c r="C7908" s="27" t="s">
        <v>144</v>
      </c>
      <c r="D7908" s="26"/>
      <c r="E7908" s="27"/>
      <c r="F7908" s="27"/>
      <c r="G7908" s="27" t="s">
        <v>11122</v>
      </c>
      <c r="H7908" s="27" t="s">
        <v>35</v>
      </c>
      <c r="I7908" s="27" t="s">
        <v>41</v>
      </c>
      <c r="J7908" s="28" t="s">
        <v>785</v>
      </c>
      <c r="K7908" s="27" t="s">
        <v>37</v>
      </c>
      <c r="L7908" s="27"/>
    </row>
    <row r="7909" customFormat="false" ht="15" hidden="false" customHeight="false" outlineLevel="0" collapsed="false">
      <c r="A7909" s="26" t="s">
        <v>20734</v>
      </c>
      <c r="B7909" s="27" t="s">
        <v>20735</v>
      </c>
      <c r="C7909" s="27" t="s">
        <v>144</v>
      </c>
      <c r="D7909" s="26"/>
      <c r="E7909" s="27"/>
      <c r="F7909" s="27"/>
      <c r="G7909" s="27" t="s">
        <v>11122</v>
      </c>
      <c r="H7909" s="27" t="s">
        <v>35</v>
      </c>
      <c r="I7909" s="27" t="s">
        <v>43</v>
      </c>
      <c r="J7909" s="28" t="s">
        <v>785</v>
      </c>
      <c r="K7909" s="27" t="s">
        <v>37</v>
      </c>
      <c r="L7909" s="27"/>
    </row>
    <row r="7910" customFormat="false" ht="15" hidden="false" customHeight="false" outlineLevel="0" collapsed="false">
      <c r="A7910" s="26" t="s">
        <v>20736</v>
      </c>
      <c r="B7910" s="27" t="s">
        <v>20737</v>
      </c>
      <c r="C7910" s="27" t="s">
        <v>144</v>
      </c>
      <c r="D7910" s="26"/>
      <c r="E7910" s="27"/>
      <c r="F7910" s="27"/>
      <c r="G7910" s="27" t="s">
        <v>11122</v>
      </c>
      <c r="H7910" s="27" t="s">
        <v>35</v>
      </c>
      <c r="I7910" s="27" t="s">
        <v>43</v>
      </c>
      <c r="J7910" s="28" t="s">
        <v>785</v>
      </c>
      <c r="K7910" s="27" t="s">
        <v>37</v>
      </c>
      <c r="L7910" s="27"/>
    </row>
    <row r="7911" customFormat="false" ht="15" hidden="false" customHeight="false" outlineLevel="0" collapsed="false">
      <c r="A7911" s="26" t="s">
        <v>20738</v>
      </c>
      <c r="B7911" s="27" t="s">
        <v>20739</v>
      </c>
      <c r="C7911" s="27" t="s">
        <v>144</v>
      </c>
      <c r="D7911" s="26"/>
      <c r="E7911" s="27"/>
      <c r="F7911" s="27"/>
      <c r="G7911" s="27" t="s">
        <v>11122</v>
      </c>
      <c r="H7911" s="27" t="s">
        <v>35</v>
      </c>
      <c r="I7911" s="27" t="s">
        <v>37</v>
      </c>
      <c r="J7911" s="28" t="s">
        <v>785</v>
      </c>
      <c r="K7911" s="27" t="s">
        <v>37</v>
      </c>
      <c r="L7911" s="27"/>
    </row>
    <row r="7912" customFormat="false" ht="15" hidden="false" customHeight="false" outlineLevel="0" collapsed="false">
      <c r="A7912" s="26" t="s">
        <v>20740</v>
      </c>
      <c r="B7912" s="27" t="s">
        <v>20741</v>
      </c>
      <c r="C7912" s="27" t="s">
        <v>144</v>
      </c>
      <c r="D7912" s="26"/>
      <c r="E7912" s="27"/>
      <c r="F7912" s="27"/>
      <c r="G7912" s="27" t="s">
        <v>11122</v>
      </c>
      <c r="H7912" s="27" t="s">
        <v>35</v>
      </c>
      <c r="I7912" s="27" t="s">
        <v>37</v>
      </c>
      <c r="J7912" s="28" t="s">
        <v>785</v>
      </c>
      <c r="K7912" s="27" t="s">
        <v>37</v>
      </c>
      <c r="L7912" s="27"/>
    </row>
    <row r="7913" customFormat="false" ht="15" hidden="false" customHeight="false" outlineLevel="0" collapsed="false">
      <c r="A7913" s="26" t="s">
        <v>20742</v>
      </c>
      <c r="B7913" s="27" t="s">
        <v>20743</v>
      </c>
      <c r="C7913" s="27" t="s">
        <v>144</v>
      </c>
      <c r="D7913" s="26"/>
      <c r="E7913" s="27"/>
      <c r="F7913" s="27"/>
      <c r="G7913" s="27" t="s">
        <v>11122</v>
      </c>
      <c r="H7913" s="27" t="s">
        <v>35</v>
      </c>
      <c r="I7913" s="27" t="s">
        <v>41</v>
      </c>
      <c r="J7913" s="28" t="s">
        <v>785</v>
      </c>
      <c r="K7913" s="27" t="s">
        <v>37</v>
      </c>
      <c r="L7913" s="27"/>
    </row>
    <row r="7914" customFormat="false" ht="15" hidden="false" customHeight="false" outlineLevel="0" collapsed="false">
      <c r="A7914" s="26" t="s">
        <v>20744</v>
      </c>
      <c r="B7914" s="27" t="s">
        <v>20745</v>
      </c>
      <c r="C7914" s="27" t="s">
        <v>144</v>
      </c>
      <c r="D7914" s="26"/>
      <c r="E7914" s="27"/>
      <c r="F7914" s="27"/>
      <c r="G7914" s="27" t="s">
        <v>11122</v>
      </c>
      <c r="H7914" s="27" t="s">
        <v>35</v>
      </c>
      <c r="I7914" s="27" t="s">
        <v>45</v>
      </c>
      <c r="J7914" s="28" t="s">
        <v>785</v>
      </c>
      <c r="K7914" s="27" t="s">
        <v>37</v>
      </c>
      <c r="L7914" s="27"/>
    </row>
    <row r="7915" customFormat="false" ht="15" hidden="false" customHeight="false" outlineLevel="0" collapsed="false">
      <c r="A7915" s="26" t="s">
        <v>20746</v>
      </c>
      <c r="B7915" s="27" t="s">
        <v>20747</v>
      </c>
      <c r="C7915" s="27" t="s">
        <v>144</v>
      </c>
      <c r="D7915" s="26"/>
      <c r="E7915" s="27"/>
      <c r="F7915" s="27"/>
      <c r="G7915" s="27" t="s">
        <v>11122</v>
      </c>
      <c r="H7915" s="27" t="s">
        <v>35</v>
      </c>
      <c r="I7915" s="27" t="s">
        <v>41</v>
      </c>
      <c r="J7915" s="28" t="s">
        <v>785</v>
      </c>
      <c r="K7915" s="27" t="s">
        <v>37</v>
      </c>
      <c r="L7915" s="27"/>
    </row>
    <row r="7916" customFormat="false" ht="15" hidden="false" customHeight="false" outlineLevel="0" collapsed="false">
      <c r="A7916" s="26" t="s">
        <v>20748</v>
      </c>
      <c r="B7916" s="27" t="s">
        <v>20749</v>
      </c>
      <c r="C7916" s="27" t="s">
        <v>144</v>
      </c>
      <c r="D7916" s="26"/>
      <c r="E7916" s="27"/>
      <c r="F7916" s="27"/>
      <c r="G7916" s="27" t="s">
        <v>11122</v>
      </c>
      <c r="H7916" s="27" t="s">
        <v>35</v>
      </c>
      <c r="I7916" s="27" t="s">
        <v>41</v>
      </c>
      <c r="J7916" s="28" t="s">
        <v>785</v>
      </c>
      <c r="K7916" s="27" t="s">
        <v>37</v>
      </c>
      <c r="L7916" s="27"/>
    </row>
    <row r="7917" customFormat="false" ht="15" hidden="false" customHeight="false" outlineLevel="0" collapsed="false">
      <c r="A7917" s="26" t="s">
        <v>20750</v>
      </c>
      <c r="B7917" s="27" t="s">
        <v>20751</v>
      </c>
      <c r="C7917" s="27" t="s">
        <v>144</v>
      </c>
      <c r="D7917" s="26"/>
      <c r="E7917" s="27"/>
      <c r="F7917" s="27"/>
      <c r="G7917" s="27" t="s">
        <v>11122</v>
      </c>
      <c r="H7917" s="27" t="s">
        <v>35</v>
      </c>
      <c r="I7917" s="27" t="s">
        <v>41</v>
      </c>
      <c r="J7917" s="28" t="s">
        <v>785</v>
      </c>
      <c r="K7917" s="27" t="s">
        <v>37</v>
      </c>
      <c r="L7917" s="27"/>
    </row>
    <row r="7918" customFormat="false" ht="15" hidden="false" customHeight="false" outlineLevel="0" collapsed="false">
      <c r="A7918" s="26" t="s">
        <v>20752</v>
      </c>
      <c r="B7918" s="27" t="s">
        <v>20753</v>
      </c>
      <c r="C7918" s="27" t="s">
        <v>144</v>
      </c>
      <c r="D7918" s="26"/>
      <c r="E7918" s="27"/>
      <c r="F7918" s="27"/>
      <c r="G7918" s="27" t="s">
        <v>11122</v>
      </c>
      <c r="H7918" s="27" t="s">
        <v>35</v>
      </c>
      <c r="I7918" s="27" t="s">
        <v>38</v>
      </c>
      <c r="J7918" s="28" t="s">
        <v>785</v>
      </c>
      <c r="K7918" s="27" t="s">
        <v>37</v>
      </c>
      <c r="L7918" s="27"/>
    </row>
    <row r="7919" customFormat="false" ht="15" hidden="false" customHeight="false" outlineLevel="0" collapsed="false">
      <c r="A7919" s="26" t="s">
        <v>20754</v>
      </c>
      <c r="B7919" s="27" t="s">
        <v>20755</v>
      </c>
      <c r="C7919" s="27" t="s">
        <v>144</v>
      </c>
      <c r="D7919" s="26"/>
      <c r="E7919" s="27"/>
      <c r="F7919" s="27"/>
      <c r="G7919" s="27" t="s">
        <v>11122</v>
      </c>
      <c r="H7919" s="27" t="s">
        <v>35</v>
      </c>
      <c r="I7919" s="27" t="s">
        <v>41</v>
      </c>
      <c r="J7919" s="28" t="s">
        <v>785</v>
      </c>
      <c r="K7919" s="27" t="s">
        <v>37</v>
      </c>
      <c r="L7919" s="27"/>
    </row>
    <row r="7920" customFormat="false" ht="15" hidden="false" customHeight="false" outlineLevel="0" collapsed="false">
      <c r="A7920" s="26" t="s">
        <v>20756</v>
      </c>
      <c r="B7920" s="27" t="s">
        <v>20757</v>
      </c>
      <c r="C7920" s="27" t="s">
        <v>144</v>
      </c>
      <c r="D7920" s="26"/>
      <c r="E7920" s="27"/>
      <c r="F7920" s="27"/>
      <c r="G7920" s="27" t="s">
        <v>11122</v>
      </c>
      <c r="H7920" s="27" t="s">
        <v>35</v>
      </c>
      <c r="I7920" s="27" t="s">
        <v>41</v>
      </c>
      <c r="J7920" s="28" t="s">
        <v>785</v>
      </c>
      <c r="K7920" s="27" t="s">
        <v>37</v>
      </c>
      <c r="L7920" s="27"/>
    </row>
    <row r="7921" customFormat="false" ht="15" hidden="false" customHeight="false" outlineLevel="0" collapsed="false">
      <c r="A7921" s="26" t="s">
        <v>20758</v>
      </c>
      <c r="B7921" s="27" t="s">
        <v>20759</v>
      </c>
      <c r="C7921" s="27" t="s">
        <v>144</v>
      </c>
      <c r="D7921" s="26"/>
      <c r="E7921" s="27"/>
      <c r="F7921" s="27"/>
      <c r="G7921" s="27" t="s">
        <v>11122</v>
      </c>
      <c r="H7921" s="27" t="s">
        <v>35</v>
      </c>
      <c r="I7921" s="27" t="s">
        <v>41</v>
      </c>
      <c r="J7921" s="28" t="s">
        <v>785</v>
      </c>
      <c r="K7921" s="27" t="s">
        <v>37</v>
      </c>
      <c r="L7921" s="27"/>
    </row>
    <row r="7922" customFormat="false" ht="15" hidden="false" customHeight="false" outlineLevel="0" collapsed="false">
      <c r="A7922" s="26" t="s">
        <v>20760</v>
      </c>
      <c r="B7922" s="27" t="s">
        <v>20761</v>
      </c>
      <c r="C7922" s="27" t="s">
        <v>144</v>
      </c>
      <c r="D7922" s="26"/>
      <c r="E7922" s="27"/>
      <c r="F7922" s="27"/>
      <c r="G7922" s="27" t="s">
        <v>11122</v>
      </c>
      <c r="H7922" s="27" t="s">
        <v>35</v>
      </c>
      <c r="I7922" s="27" t="s">
        <v>41</v>
      </c>
      <c r="J7922" s="28" t="s">
        <v>785</v>
      </c>
      <c r="K7922" s="27" t="s">
        <v>37</v>
      </c>
      <c r="L7922" s="27"/>
    </row>
    <row r="7923" customFormat="false" ht="15" hidden="false" customHeight="false" outlineLevel="0" collapsed="false">
      <c r="A7923" s="26" t="s">
        <v>20762</v>
      </c>
      <c r="B7923" s="27" t="s">
        <v>20763</v>
      </c>
      <c r="C7923" s="27" t="s">
        <v>144</v>
      </c>
      <c r="D7923" s="26"/>
      <c r="E7923" s="27"/>
      <c r="F7923" s="27"/>
      <c r="G7923" s="27" t="s">
        <v>11122</v>
      </c>
      <c r="H7923" s="27" t="s">
        <v>35</v>
      </c>
      <c r="I7923" s="27" t="s">
        <v>41</v>
      </c>
      <c r="J7923" s="28" t="s">
        <v>785</v>
      </c>
      <c r="K7923" s="27" t="s">
        <v>37</v>
      </c>
      <c r="L7923" s="27"/>
    </row>
    <row r="7924" customFormat="false" ht="15" hidden="false" customHeight="false" outlineLevel="0" collapsed="false">
      <c r="A7924" s="26" t="s">
        <v>20764</v>
      </c>
      <c r="B7924" s="27" t="s">
        <v>20765</v>
      </c>
      <c r="C7924" s="27" t="s">
        <v>144</v>
      </c>
      <c r="D7924" s="26"/>
      <c r="E7924" s="27"/>
      <c r="F7924" s="27"/>
      <c r="G7924" s="27" t="s">
        <v>11122</v>
      </c>
      <c r="H7924" s="27" t="s">
        <v>35</v>
      </c>
      <c r="I7924" s="27" t="s">
        <v>41</v>
      </c>
      <c r="J7924" s="28" t="s">
        <v>785</v>
      </c>
      <c r="K7924" s="27" t="s">
        <v>37</v>
      </c>
      <c r="L7924" s="27"/>
    </row>
    <row r="7925" customFormat="false" ht="15" hidden="false" customHeight="false" outlineLevel="0" collapsed="false">
      <c r="A7925" s="26" t="s">
        <v>20766</v>
      </c>
      <c r="B7925" s="27" t="s">
        <v>20767</v>
      </c>
      <c r="C7925" s="27" t="s">
        <v>144</v>
      </c>
      <c r="D7925" s="26"/>
      <c r="E7925" s="27"/>
      <c r="F7925" s="27"/>
      <c r="G7925" s="27" t="s">
        <v>11122</v>
      </c>
      <c r="H7925" s="27" t="s">
        <v>35</v>
      </c>
      <c r="I7925" s="27" t="s">
        <v>43</v>
      </c>
      <c r="J7925" s="28" t="s">
        <v>785</v>
      </c>
      <c r="K7925" s="27" t="s">
        <v>37</v>
      </c>
      <c r="L7925" s="27"/>
    </row>
    <row r="7926" customFormat="false" ht="15" hidden="false" customHeight="false" outlineLevel="0" collapsed="false">
      <c r="A7926" s="26" t="s">
        <v>20768</v>
      </c>
      <c r="B7926" s="27" t="s">
        <v>20769</v>
      </c>
      <c r="C7926" s="27" t="s">
        <v>144</v>
      </c>
      <c r="D7926" s="26"/>
      <c r="E7926" s="27"/>
      <c r="F7926" s="27"/>
      <c r="G7926" s="27" t="s">
        <v>11122</v>
      </c>
      <c r="H7926" s="27" t="s">
        <v>35</v>
      </c>
      <c r="I7926" s="27" t="s">
        <v>39</v>
      </c>
      <c r="J7926" s="28" t="s">
        <v>785</v>
      </c>
      <c r="K7926" s="27" t="s">
        <v>37</v>
      </c>
      <c r="L7926" s="27"/>
    </row>
    <row r="7927" customFormat="false" ht="15" hidden="false" customHeight="false" outlineLevel="0" collapsed="false">
      <c r="A7927" s="26" t="s">
        <v>20770</v>
      </c>
      <c r="B7927" s="27" t="s">
        <v>20771</v>
      </c>
      <c r="C7927" s="27" t="s">
        <v>144</v>
      </c>
      <c r="D7927" s="26"/>
      <c r="E7927" s="27"/>
      <c r="F7927" s="27"/>
      <c r="G7927" s="27" t="s">
        <v>11122</v>
      </c>
      <c r="H7927" s="27" t="s">
        <v>35</v>
      </c>
      <c r="I7927" s="27" t="s">
        <v>39</v>
      </c>
      <c r="J7927" s="28" t="s">
        <v>785</v>
      </c>
      <c r="K7927" s="27" t="s">
        <v>37</v>
      </c>
      <c r="L7927" s="27"/>
    </row>
    <row r="7928" customFormat="false" ht="15" hidden="false" customHeight="false" outlineLevel="0" collapsed="false">
      <c r="A7928" s="26" t="s">
        <v>20772</v>
      </c>
      <c r="B7928" s="27" t="s">
        <v>20773</v>
      </c>
      <c r="C7928" s="27" t="s">
        <v>144</v>
      </c>
      <c r="D7928" s="26"/>
      <c r="E7928" s="27"/>
      <c r="F7928" s="27"/>
      <c r="G7928" s="27" t="s">
        <v>11122</v>
      </c>
      <c r="H7928" s="27" t="s">
        <v>35</v>
      </c>
      <c r="I7928" s="27" t="s">
        <v>41</v>
      </c>
      <c r="J7928" s="28" t="s">
        <v>785</v>
      </c>
      <c r="K7928" s="27" t="s">
        <v>37</v>
      </c>
      <c r="L7928" s="27"/>
    </row>
    <row r="7929" customFormat="false" ht="15" hidden="false" customHeight="false" outlineLevel="0" collapsed="false">
      <c r="A7929" s="26" t="s">
        <v>20774</v>
      </c>
      <c r="B7929" s="27" t="s">
        <v>20775</v>
      </c>
      <c r="C7929" s="27" t="s">
        <v>144</v>
      </c>
      <c r="D7929" s="26"/>
      <c r="E7929" s="27"/>
      <c r="F7929" s="27"/>
      <c r="G7929" s="27" t="s">
        <v>11122</v>
      </c>
      <c r="H7929" s="27" t="s">
        <v>35</v>
      </c>
      <c r="I7929" s="27" t="s">
        <v>41</v>
      </c>
      <c r="J7929" s="28" t="s">
        <v>785</v>
      </c>
      <c r="K7929" s="27" t="s">
        <v>37</v>
      </c>
      <c r="L7929" s="27"/>
    </row>
    <row r="7930" customFormat="false" ht="15" hidden="false" customHeight="false" outlineLevel="0" collapsed="false">
      <c r="A7930" s="26" t="s">
        <v>20776</v>
      </c>
      <c r="B7930" s="27" t="s">
        <v>20777</v>
      </c>
      <c r="C7930" s="27" t="s">
        <v>144</v>
      </c>
      <c r="D7930" s="26"/>
      <c r="E7930" s="27"/>
      <c r="F7930" s="27"/>
      <c r="G7930" s="27" t="s">
        <v>11122</v>
      </c>
      <c r="H7930" s="27" t="s">
        <v>35</v>
      </c>
      <c r="I7930" s="27" t="s">
        <v>41</v>
      </c>
      <c r="J7930" s="28" t="s">
        <v>785</v>
      </c>
      <c r="K7930" s="27" t="s">
        <v>37</v>
      </c>
      <c r="L7930" s="27"/>
    </row>
    <row r="7931" customFormat="false" ht="15" hidden="false" customHeight="false" outlineLevel="0" collapsed="false">
      <c r="A7931" s="26" t="s">
        <v>20778</v>
      </c>
      <c r="B7931" s="27" t="s">
        <v>20779</v>
      </c>
      <c r="C7931" s="27" t="s">
        <v>144</v>
      </c>
      <c r="D7931" s="26"/>
      <c r="E7931" s="27"/>
      <c r="F7931" s="27"/>
      <c r="G7931" s="27" t="s">
        <v>11122</v>
      </c>
      <c r="H7931" s="27" t="s">
        <v>35</v>
      </c>
      <c r="I7931" s="27" t="s">
        <v>38</v>
      </c>
      <c r="J7931" s="28" t="s">
        <v>785</v>
      </c>
      <c r="K7931" s="27" t="s">
        <v>37</v>
      </c>
      <c r="L7931" s="27"/>
    </row>
    <row r="7932" customFormat="false" ht="15" hidden="false" customHeight="false" outlineLevel="0" collapsed="false">
      <c r="A7932" s="26" t="s">
        <v>20780</v>
      </c>
      <c r="B7932" s="27" t="s">
        <v>20781</v>
      </c>
      <c r="C7932" s="27" t="s">
        <v>144</v>
      </c>
      <c r="D7932" s="26"/>
      <c r="E7932" s="27"/>
      <c r="F7932" s="27"/>
      <c r="G7932" s="27" t="s">
        <v>11122</v>
      </c>
      <c r="H7932" s="27" t="s">
        <v>35</v>
      </c>
      <c r="I7932" s="27" t="s">
        <v>45</v>
      </c>
      <c r="J7932" s="28" t="s">
        <v>785</v>
      </c>
      <c r="K7932" s="27" t="s">
        <v>37</v>
      </c>
      <c r="L7932" s="27"/>
    </row>
    <row r="7933" customFormat="false" ht="15" hidden="false" customHeight="false" outlineLevel="0" collapsed="false">
      <c r="A7933" s="26" t="s">
        <v>20782</v>
      </c>
      <c r="B7933" s="27" t="s">
        <v>20783</v>
      </c>
      <c r="C7933" s="27" t="s">
        <v>144</v>
      </c>
      <c r="D7933" s="26"/>
      <c r="E7933" s="27"/>
      <c r="F7933" s="27"/>
      <c r="G7933" s="27" t="s">
        <v>11122</v>
      </c>
      <c r="H7933" s="27" t="s">
        <v>35</v>
      </c>
      <c r="I7933" s="27" t="s">
        <v>40</v>
      </c>
      <c r="J7933" s="28" t="s">
        <v>785</v>
      </c>
      <c r="K7933" s="27" t="s">
        <v>37</v>
      </c>
      <c r="L7933" s="27"/>
    </row>
    <row r="7934" customFormat="false" ht="15" hidden="false" customHeight="false" outlineLevel="0" collapsed="false">
      <c r="A7934" s="26" t="s">
        <v>20784</v>
      </c>
      <c r="B7934" s="27" t="s">
        <v>20785</v>
      </c>
      <c r="C7934" s="27" t="s">
        <v>144</v>
      </c>
      <c r="D7934" s="26"/>
      <c r="E7934" s="27"/>
      <c r="F7934" s="27"/>
      <c r="G7934" s="27" t="s">
        <v>11122</v>
      </c>
      <c r="H7934" s="27" t="s">
        <v>35</v>
      </c>
      <c r="I7934" s="27" t="s">
        <v>41</v>
      </c>
      <c r="J7934" s="28" t="s">
        <v>785</v>
      </c>
      <c r="K7934" s="27" t="s">
        <v>37</v>
      </c>
      <c r="L7934" s="27"/>
    </row>
    <row r="7935" customFormat="false" ht="15" hidden="false" customHeight="false" outlineLevel="0" collapsed="false">
      <c r="A7935" s="26" t="s">
        <v>20786</v>
      </c>
      <c r="B7935" s="27" t="s">
        <v>20787</v>
      </c>
      <c r="C7935" s="27" t="s">
        <v>144</v>
      </c>
      <c r="D7935" s="26"/>
      <c r="E7935" s="27"/>
      <c r="F7935" s="27"/>
      <c r="G7935" s="27" t="s">
        <v>11122</v>
      </c>
      <c r="H7935" s="27" t="s">
        <v>35</v>
      </c>
      <c r="I7935" s="27" t="s">
        <v>37</v>
      </c>
      <c r="J7935" s="28" t="s">
        <v>785</v>
      </c>
      <c r="K7935" s="27" t="s">
        <v>37</v>
      </c>
      <c r="L7935" s="27"/>
    </row>
    <row r="7936" customFormat="false" ht="15" hidden="false" customHeight="false" outlineLevel="0" collapsed="false">
      <c r="A7936" s="26" t="s">
        <v>20788</v>
      </c>
      <c r="B7936" s="27" t="s">
        <v>20789</v>
      </c>
      <c r="C7936" s="27" t="s">
        <v>1187</v>
      </c>
      <c r="D7936" s="26"/>
      <c r="E7936" s="27"/>
      <c r="F7936" s="27"/>
      <c r="G7936" s="27" t="s">
        <v>11122</v>
      </c>
      <c r="H7936" s="27" t="s">
        <v>35</v>
      </c>
      <c r="I7936" s="27" t="s">
        <v>41</v>
      </c>
      <c r="J7936" s="28" t="s">
        <v>785</v>
      </c>
      <c r="K7936" s="27" t="s">
        <v>37</v>
      </c>
      <c r="L7936" s="27"/>
    </row>
    <row r="7937" customFormat="false" ht="15" hidden="false" customHeight="false" outlineLevel="0" collapsed="false">
      <c r="A7937" s="26" t="s">
        <v>20790</v>
      </c>
      <c r="B7937" s="27" t="s">
        <v>20791</v>
      </c>
      <c r="C7937" s="27" t="s">
        <v>1187</v>
      </c>
      <c r="D7937" s="26"/>
      <c r="E7937" s="27"/>
      <c r="F7937" s="27"/>
      <c r="G7937" s="27" t="s">
        <v>11122</v>
      </c>
      <c r="H7937" s="27" t="s">
        <v>35</v>
      </c>
      <c r="I7937" s="27" t="s">
        <v>41</v>
      </c>
      <c r="J7937" s="28" t="s">
        <v>785</v>
      </c>
      <c r="K7937" s="27" t="s">
        <v>37</v>
      </c>
      <c r="L7937" s="27"/>
    </row>
    <row r="7938" customFormat="false" ht="15" hidden="false" customHeight="false" outlineLevel="0" collapsed="false">
      <c r="A7938" s="26" t="s">
        <v>20792</v>
      </c>
      <c r="B7938" s="27" t="s">
        <v>20793</v>
      </c>
      <c r="C7938" s="27" t="s">
        <v>1187</v>
      </c>
      <c r="D7938" s="26"/>
      <c r="E7938" s="27"/>
      <c r="F7938" s="27"/>
      <c r="G7938" s="27" t="s">
        <v>11122</v>
      </c>
      <c r="H7938" s="27" t="s">
        <v>35</v>
      </c>
      <c r="I7938" s="27" t="s">
        <v>41</v>
      </c>
      <c r="J7938" s="28" t="s">
        <v>785</v>
      </c>
      <c r="K7938" s="27" t="s">
        <v>37</v>
      </c>
      <c r="L7938" s="27"/>
    </row>
    <row r="7939" customFormat="false" ht="15" hidden="false" customHeight="false" outlineLevel="0" collapsed="false">
      <c r="A7939" s="26" t="s">
        <v>20794</v>
      </c>
      <c r="B7939" s="27" t="s">
        <v>20795</v>
      </c>
      <c r="C7939" s="27" t="s">
        <v>144</v>
      </c>
      <c r="D7939" s="26"/>
      <c r="E7939" s="27"/>
      <c r="F7939" s="27"/>
      <c r="G7939" s="27" t="s">
        <v>11122</v>
      </c>
      <c r="H7939" s="27" t="s">
        <v>35</v>
      </c>
      <c r="I7939" s="27" t="s">
        <v>38</v>
      </c>
      <c r="J7939" s="28" t="s">
        <v>785</v>
      </c>
      <c r="K7939" s="27" t="s">
        <v>37</v>
      </c>
      <c r="L7939" s="27"/>
    </row>
    <row r="7940" customFormat="false" ht="15" hidden="false" customHeight="false" outlineLevel="0" collapsed="false">
      <c r="A7940" s="26" t="s">
        <v>20796</v>
      </c>
      <c r="B7940" s="27" t="s">
        <v>20797</v>
      </c>
      <c r="C7940" s="27" t="s">
        <v>144</v>
      </c>
      <c r="D7940" s="26"/>
      <c r="E7940" s="27"/>
      <c r="F7940" s="27"/>
      <c r="G7940" s="27" t="s">
        <v>11122</v>
      </c>
      <c r="H7940" s="27" t="s">
        <v>35</v>
      </c>
      <c r="I7940" s="27" t="s">
        <v>38</v>
      </c>
      <c r="J7940" s="28" t="s">
        <v>785</v>
      </c>
      <c r="K7940" s="27" t="s">
        <v>37</v>
      </c>
      <c r="L7940" s="27"/>
    </row>
    <row r="7941" customFormat="false" ht="15" hidden="false" customHeight="false" outlineLevel="0" collapsed="false">
      <c r="A7941" s="26" t="s">
        <v>20798</v>
      </c>
      <c r="B7941" s="27" t="s">
        <v>20799</v>
      </c>
      <c r="C7941" s="27" t="s">
        <v>144</v>
      </c>
      <c r="D7941" s="26"/>
      <c r="E7941" s="27"/>
      <c r="F7941" s="27"/>
      <c r="G7941" s="27" t="s">
        <v>11122</v>
      </c>
      <c r="H7941" s="27" t="s">
        <v>35</v>
      </c>
      <c r="I7941" s="27" t="s">
        <v>38</v>
      </c>
      <c r="J7941" s="28" t="s">
        <v>785</v>
      </c>
      <c r="K7941" s="27" t="s">
        <v>37</v>
      </c>
      <c r="L7941" s="27"/>
    </row>
    <row r="7942" customFormat="false" ht="15" hidden="false" customHeight="false" outlineLevel="0" collapsed="false">
      <c r="A7942" s="26" t="s">
        <v>20800</v>
      </c>
      <c r="B7942" s="27" t="s">
        <v>20801</v>
      </c>
      <c r="C7942" s="27" t="s">
        <v>144</v>
      </c>
      <c r="D7942" s="26"/>
      <c r="E7942" s="27"/>
      <c r="F7942" s="27"/>
      <c r="G7942" s="27" t="s">
        <v>11122</v>
      </c>
      <c r="H7942" s="27" t="s">
        <v>35</v>
      </c>
      <c r="I7942" s="27" t="s">
        <v>39</v>
      </c>
      <c r="J7942" s="28" t="s">
        <v>785</v>
      </c>
      <c r="K7942" s="27" t="s">
        <v>37</v>
      </c>
      <c r="L7942" s="27"/>
    </row>
    <row r="7943" customFormat="false" ht="15" hidden="false" customHeight="false" outlineLevel="0" collapsed="false">
      <c r="A7943" s="26" t="s">
        <v>20802</v>
      </c>
      <c r="B7943" s="27" t="s">
        <v>20803</v>
      </c>
      <c r="C7943" s="27" t="s">
        <v>144</v>
      </c>
      <c r="D7943" s="26"/>
      <c r="E7943" s="27"/>
      <c r="F7943" s="27"/>
      <c r="G7943" s="27" t="s">
        <v>11122</v>
      </c>
      <c r="H7943" s="27" t="s">
        <v>35</v>
      </c>
      <c r="I7943" s="27" t="s">
        <v>37</v>
      </c>
      <c r="J7943" s="28" t="s">
        <v>785</v>
      </c>
      <c r="K7943" s="27" t="s">
        <v>37</v>
      </c>
      <c r="L7943" s="27"/>
    </row>
    <row r="7944" customFormat="false" ht="15" hidden="false" customHeight="false" outlineLevel="0" collapsed="false">
      <c r="A7944" s="26" t="s">
        <v>20804</v>
      </c>
      <c r="B7944" s="27" t="s">
        <v>20805</v>
      </c>
      <c r="C7944" s="27" t="s">
        <v>144</v>
      </c>
      <c r="D7944" s="26"/>
      <c r="E7944" s="27"/>
      <c r="F7944" s="27"/>
      <c r="G7944" s="27" t="s">
        <v>11122</v>
      </c>
      <c r="H7944" s="27" t="s">
        <v>35</v>
      </c>
      <c r="I7944" s="27" t="s">
        <v>41</v>
      </c>
      <c r="J7944" s="28" t="s">
        <v>785</v>
      </c>
      <c r="K7944" s="27" t="s">
        <v>37</v>
      </c>
      <c r="L7944" s="27"/>
    </row>
    <row r="7945" customFormat="false" ht="15" hidden="false" customHeight="false" outlineLevel="0" collapsed="false">
      <c r="A7945" s="26" t="s">
        <v>20806</v>
      </c>
      <c r="B7945" s="27" t="s">
        <v>20807</v>
      </c>
      <c r="C7945" s="27" t="s">
        <v>144</v>
      </c>
      <c r="D7945" s="26"/>
      <c r="E7945" s="27"/>
      <c r="F7945" s="27"/>
      <c r="G7945" s="27" t="s">
        <v>11122</v>
      </c>
      <c r="H7945" s="27" t="s">
        <v>35</v>
      </c>
      <c r="I7945" s="27" t="s">
        <v>41</v>
      </c>
      <c r="J7945" s="28" t="s">
        <v>785</v>
      </c>
      <c r="K7945" s="27" t="s">
        <v>37</v>
      </c>
      <c r="L7945" s="27"/>
    </row>
    <row r="7946" customFormat="false" ht="15" hidden="false" customHeight="false" outlineLevel="0" collapsed="false">
      <c r="A7946" s="26" t="s">
        <v>20808</v>
      </c>
      <c r="B7946" s="27" t="s">
        <v>20809</v>
      </c>
      <c r="C7946" s="27" t="s">
        <v>144</v>
      </c>
      <c r="D7946" s="26"/>
      <c r="E7946" s="27"/>
      <c r="F7946" s="27"/>
      <c r="G7946" s="27" t="s">
        <v>11122</v>
      </c>
      <c r="H7946" s="27" t="s">
        <v>35</v>
      </c>
      <c r="I7946" s="27" t="s">
        <v>41</v>
      </c>
      <c r="J7946" s="28" t="s">
        <v>785</v>
      </c>
      <c r="K7946" s="27" t="s">
        <v>37</v>
      </c>
      <c r="L7946" s="27"/>
    </row>
    <row r="7947" customFormat="false" ht="15" hidden="false" customHeight="false" outlineLevel="0" collapsed="false">
      <c r="A7947" s="26" t="s">
        <v>20810</v>
      </c>
      <c r="B7947" s="27" t="s">
        <v>20811</v>
      </c>
      <c r="C7947" s="27" t="s">
        <v>144</v>
      </c>
      <c r="D7947" s="26"/>
      <c r="E7947" s="27"/>
      <c r="F7947" s="27"/>
      <c r="G7947" s="27" t="s">
        <v>11122</v>
      </c>
      <c r="H7947" s="27" t="s">
        <v>35</v>
      </c>
      <c r="I7947" s="27" t="s">
        <v>41</v>
      </c>
      <c r="J7947" s="28" t="s">
        <v>785</v>
      </c>
      <c r="K7947" s="27" t="s">
        <v>37</v>
      </c>
      <c r="L7947" s="27"/>
    </row>
    <row r="7948" customFormat="false" ht="15" hidden="false" customHeight="false" outlineLevel="0" collapsed="false">
      <c r="A7948" s="26" t="s">
        <v>20812</v>
      </c>
      <c r="B7948" s="27" t="s">
        <v>20813</v>
      </c>
      <c r="C7948" s="27" t="s">
        <v>144</v>
      </c>
      <c r="D7948" s="26"/>
      <c r="E7948" s="27"/>
      <c r="F7948" s="27"/>
      <c r="G7948" s="27" t="s">
        <v>11122</v>
      </c>
      <c r="H7948" s="27" t="s">
        <v>35</v>
      </c>
      <c r="I7948" s="27" t="s">
        <v>38</v>
      </c>
      <c r="J7948" s="28" t="s">
        <v>785</v>
      </c>
      <c r="K7948" s="27" t="s">
        <v>37</v>
      </c>
      <c r="L7948" s="27"/>
    </row>
    <row r="7949" customFormat="false" ht="15" hidden="false" customHeight="false" outlineLevel="0" collapsed="false">
      <c r="A7949" s="26" t="s">
        <v>20814</v>
      </c>
      <c r="B7949" s="27" t="s">
        <v>20815</v>
      </c>
      <c r="C7949" s="27" t="s">
        <v>144</v>
      </c>
      <c r="D7949" s="26"/>
      <c r="E7949" s="27"/>
      <c r="F7949" s="27"/>
      <c r="G7949" s="27" t="s">
        <v>11122</v>
      </c>
      <c r="H7949" s="27" t="s">
        <v>35</v>
      </c>
      <c r="I7949" s="27" t="s">
        <v>37</v>
      </c>
      <c r="J7949" s="28" t="s">
        <v>785</v>
      </c>
      <c r="K7949" s="27" t="s">
        <v>37</v>
      </c>
      <c r="L7949" s="27"/>
    </row>
    <row r="7950" customFormat="false" ht="15" hidden="false" customHeight="false" outlineLevel="0" collapsed="false">
      <c r="A7950" s="26" t="s">
        <v>20816</v>
      </c>
      <c r="B7950" s="27" t="s">
        <v>20817</v>
      </c>
      <c r="C7950" s="27" t="s">
        <v>144</v>
      </c>
      <c r="D7950" s="26"/>
      <c r="E7950" s="27"/>
      <c r="F7950" s="27"/>
      <c r="G7950" s="27" t="s">
        <v>11122</v>
      </c>
      <c r="H7950" s="27" t="s">
        <v>35</v>
      </c>
      <c r="I7950" s="27" t="s">
        <v>37</v>
      </c>
      <c r="J7950" s="28" t="s">
        <v>785</v>
      </c>
      <c r="K7950" s="27" t="s">
        <v>37</v>
      </c>
      <c r="L7950" s="27"/>
    </row>
    <row r="7951" customFormat="false" ht="15" hidden="false" customHeight="false" outlineLevel="0" collapsed="false">
      <c r="A7951" s="26" t="s">
        <v>20818</v>
      </c>
      <c r="B7951" s="27" t="s">
        <v>20819</v>
      </c>
      <c r="C7951" s="27" t="s">
        <v>1187</v>
      </c>
      <c r="D7951" s="26"/>
      <c r="E7951" s="27"/>
      <c r="F7951" s="27"/>
      <c r="G7951" s="27" t="s">
        <v>11122</v>
      </c>
      <c r="H7951" s="27" t="s">
        <v>35</v>
      </c>
      <c r="I7951" s="27" t="s">
        <v>41</v>
      </c>
      <c r="J7951" s="28" t="s">
        <v>785</v>
      </c>
      <c r="K7951" s="27" t="s">
        <v>37</v>
      </c>
      <c r="L7951" s="27"/>
    </row>
    <row r="7952" customFormat="false" ht="15" hidden="false" customHeight="false" outlineLevel="0" collapsed="false">
      <c r="A7952" s="26" t="s">
        <v>20820</v>
      </c>
      <c r="B7952" s="28" t="s">
        <v>20821</v>
      </c>
      <c r="C7952" s="27" t="s">
        <v>144</v>
      </c>
      <c r="D7952" s="26"/>
      <c r="E7952" s="27"/>
      <c r="F7952" s="27"/>
      <c r="G7952" s="27" t="s">
        <v>11122</v>
      </c>
      <c r="H7952" s="27" t="s">
        <v>35</v>
      </c>
      <c r="I7952" s="27" t="s">
        <v>42</v>
      </c>
      <c r="J7952" s="28" t="s">
        <v>785</v>
      </c>
      <c r="K7952" s="27" t="s">
        <v>37</v>
      </c>
      <c r="L7952" s="27"/>
    </row>
    <row r="7953" customFormat="false" ht="15" hidden="false" customHeight="false" outlineLevel="0" collapsed="false">
      <c r="A7953" s="26" t="s">
        <v>20822</v>
      </c>
      <c r="B7953" s="27" t="s">
        <v>20823</v>
      </c>
      <c r="C7953" s="27" t="s">
        <v>144</v>
      </c>
      <c r="D7953" s="26"/>
      <c r="E7953" s="27"/>
      <c r="F7953" s="27"/>
      <c r="G7953" s="27" t="s">
        <v>11122</v>
      </c>
      <c r="H7953" s="27" t="s">
        <v>35</v>
      </c>
      <c r="I7953" s="27" t="s">
        <v>41</v>
      </c>
      <c r="J7953" s="28" t="s">
        <v>785</v>
      </c>
      <c r="K7953" s="27" t="s">
        <v>37</v>
      </c>
      <c r="L7953" s="27"/>
    </row>
    <row r="7954" customFormat="false" ht="15" hidden="false" customHeight="false" outlineLevel="0" collapsed="false">
      <c r="A7954" s="26" t="s">
        <v>20824</v>
      </c>
      <c r="B7954" s="27" t="s">
        <v>20825</v>
      </c>
      <c r="C7954" s="27" t="s">
        <v>144</v>
      </c>
      <c r="D7954" s="26"/>
      <c r="E7954" s="27"/>
      <c r="F7954" s="27"/>
      <c r="G7954" s="27" t="s">
        <v>11122</v>
      </c>
      <c r="H7954" s="27" t="s">
        <v>35</v>
      </c>
      <c r="I7954" s="27" t="s">
        <v>39</v>
      </c>
      <c r="J7954" s="28" t="s">
        <v>785</v>
      </c>
      <c r="K7954" s="27" t="s">
        <v>37</v>
      </c>
      <c r="L7954" s="27"/>
    </row>
    <row r="7955" customFormat="false" ht="15" hidden="false" customHeight="false" outlineLevel="0" collapsed="false">
      <c r="A7955" s="26" t="s">
        <v>20826</v>
      </c>
      <c r="B7955" s="27" t="s">
        <v>20827</v>
      </c>
      <c r="C7955" s="27" t="s">
        <v>144</v>
      </c>
      <c r="D7955" s="26"/>
      <c r="E7955" s="27"/>
      <c r="F7955" s="27"/>
      <c r="G7955" s="27" t="s">
        <v>11122</v>
      </c>
      <c r="H7955" s="27" t="s">
        <v>35</v>
      </c>
      <c r="I7955" s="27" t="s">
        <v>37</v>
      </c>
      <c r="J7955" s="28" t="s">
        <v>785</v>
      </c>
      <c r="K7955" s="27" t="s">
        <v>37</v>
      </c>
      <c r="L7955" s="27"/>
    </row>
    <row r="7956" customFormat="false" ht="15" hidden="false" customHeight="false" outlineLevel="0" collapsed="false">
      <c r="A7956" s="26" t="s">
        <v>20828</v>
      </c>
      <c r="B7956" s="27" t="s">
        <v>20829</v>
      </c>
      <c r="C7956" s="27" t="s">
        <v>1187</v>
      </c>
      <c r="D7956" s="26"/>
      <c r="E7956" s="27"/>
      <c r="F7956" s="27"/>
      <c r="G7956" s="27" t="s">
        <v>11122</v>
      </c>
      <c r="H7956" s="27" t="s">
        <v>35</v>
      </c>
      <c r="I7956" s="27" t="s">
        <v>41</v>
      </c>
      <c r="J7956" s="28" t="s">
        <v>785</v>
      </c>
      <c r="K7956" s="27" t="s">
        <v>37</v>
      </c>
      <c r="L7956" s="27"/>
    </row>
    <row r="7957" customFormat="false" ht="15" hidden="false" customHeight="false" outlineLevel="0" collapsed="false">
      <c r="A7957" s="26" t="s">
        <v>20830</v>
      </c>
      <c r="B7957" s="27" t="s">
        <v>20831</v>
      </c>
      <c r="C7957" s="27" t="s">
        <v>144</v>
      </c>
      <c r="D7957" s="26"/>
      <c r="E7957" s="27"/>
      <c r="F7957" s="27"/>
      <c r="G7957" s="27" t="s">
        <v>11122</v>
      </c>
      <c r="H7957" s="27" t="s">
        <v>35</v>
      </c>
      <c r="I7957" s="27" t="s">
        <v>41</v>
      </c>
      <c r="J7957" s="28" t="s">
        <v>785</v>
      </c>
      <c r="K7957" s="27" t="s">
        <v>37</v>
      </c>
      <c r="L7957" s="27"/>
    </row>
    <row r="7958" customFormat="false" ht="15" hidden="false" customHeight="false" outlineLevel="0" collapsed="false">
      <c r="A7958" s="26" t="s">
        <v>20832</v>
      </c>
      <c r="B7958" s="27" t="s">
        <v>20833</v>
      </c>
      <c r="C7958" s="27" t="s">
        <v>144</v>
      </c>
      <c r="D7958" s="26"/>
      <c r="E7958" s="27"/>
      <c r="F7958" s="27"/>
      <c r="G7958" s="27" t="s">
        <v>11122</v>
      </c>
      <c r="H7958" s="27" t="s">
        <v>35</v>
      </c>
      <c r="I7958" s="27" t="s">
        <v>41</v>
      </c>
      <c r="J7958" s="28" t="s">
        <v>785</v>
      </c>
      <c r="K7958" s="27" t="s">
        <v>37</v>
      </c>
      <c r="L7958" s="27"/>
    </row>
    <row r="7959" customFormat="false" ht="15" hidden="false" customHeight="false" outlineLevel="0" collapsed="false">
      <c r="A7959" s="26" t="s">
        <v>20834</v>
      </c>
      <c r="B7959" s="27" t="s">
        <v>20835</v>
      </c>
      <c r="C7959" s="27" t="s">
        <v>1187</v>
      </c>
      <c r="D7959" s="26"/>
      <c r="E7959" s="27"/>
      <c r="F7959" s="27"/>
      <c r="G7959" s="27" t="s">
        <v>11122</v>
      </c>
      <c r="H7959" s="27" t="s">
        <v>35</v>
      </c>
      <c r="I7959" s="27" t="s">
        <v>37</v>
      </c>
      <c r="J7959" s="28" t="s">
        <v>785</v>
      </c>
      <c r="K7959" s="27" t="s">
        <v>37</v>
      </c>
      <c r="L7959" s="27"/>
    </row>
    <row r="7960" customFormat="false" ht="15" hidden="false" customHeight="false" outlineLevel="0" collapsed="false">
      <c r="A7960" s="26" t="s">
        <v>20836</v>
      </c>
      <c r="B7960" s="27" t="s">
        <v>20837</v>
      </c>
      <c r="C7960" s="27" t="s">
        <v>144</v>
      </c>
      <c r="D7960" s="26"/>
      <c r="E7960" s="27"/>
      <c r="F7960" s="27"/>
      <c r="G7960" s="27" t="s">
        <v>11122</v>
      </c>
      <c r="H7960" s="27" t="s">
        <v>35</v>
      </c>
      <c r="I7960" s="27" t="s">
        <v>37</v>
      </c>
      <c r="J7960" s="28" t="s">
        <v>785</v>
      </c>
      <c r="K7960" s="27" t="s">
        <v>37</v>
      </c>
      <c r="L7960" s="27"/>
    </row>
    <row r="7961" customFormat="false" ht="15" hidden="false" customHeight="false" outlineLevel="0" collapsed="false">
      <c r="A7961" s="26" t="s">
        <v>20838</v>
      </c>
      <c r="B7961" s="27" t="s">
        <v>20839</v>
      </c>
      <c r="C7961" s="27" t="s">
        <v>144</v>
      </c>
      <c r="D7961" s="26"/>
      <c r="E7961" s="27"/>
      <c r="F7961" s="27"/>
      <c r="G7961" s="27" t="s">
        <v>11122</v>
      </c>
      <c r="H7961" s="27" t="s">
        <v>35</v>
      </c>
      <c r="I7961" s="27" t="s">
        <v>38</v>
      </c>
      <c r="J7961" s="28" t="s">
        <v>785</v>
      </c>
      <c r="K7961" s="27" t="s">
        <v>37</v>
      </c>
      <c r="L7961" s="27"/>
    </row>
    <row r="7962" customFormat="false" ht="15" hidden="false" customHeight="false" outlineLevel="0" collapsed="false">
      <c r="A7962" s="26" t="s">
        <v>20840</v>
      </c>
      <c r="B7962" s="27" t="s">
        <v>20841</v>
      </c>
      <c r="C7962" s="27" t="s">
        <v>144</v>
      </c>
      <c r="D7962" s="26"/>
      <c r="E7962" s="27"/>
      <c r="F7962" s="27"/>
      <c r="G7962" s="27" t="s">
        <v>11122</v>
      </c>
      <c r="H7962" s="27" t="s">
        <v>35</v>
      </c>
      <c r="I7962" s="27" t="s">
        <v>39</v>
      </c>
      <c r="J7962" s="28" t="s">
        <v>785</v>
      </c>
      <c r="K7962" s="27" t="s">
        <v>37</v>
      </c>
      <c r="L7962" s="27"/>
    </row>
    <row r="7963" customFormat="false" ht="15" hidden="false" customHeight="false" outlineLevel="0" collapsed="false">
      <c r="A7963" s="26" t="s">
        <v>20842</v>
      </c>
      <c r="B7963" s="27" t="s">
        <v>20843</v>
      </c>
      <c r="C7963" s="27" t="s">
        <v>144</v>
      </c>
      <c r="D7963" s="26"/>
      <c r="E7963" s="27"/>
      <c r="F7963" s="27"/>
      <c r="G7963" s="27" t="s">
        <v>11122</v>
      </c>
      <c r="H7963" s="27" t="s">
        <v>35</v>
      </c>
      <c r="I7963" s="27" t="s">
        <v>42</v>
      </c>
      <c r="J7963" s="28" t="s">
        <v>785</v>
      </c>
      <c r="K7963" s="27" t="s">
        <v>37</v>
      </c>
      <c r="L7963" s="27"/>
    </row>
    <row r="7964" customFormat="false" ht="15" hidden="false" customHeight="false" outlineLevel="0" collapsed="false">
      <c r="A7964" s="26" t="s">
        <v>20844</v>
      </c>
      <c r="B7964" s="27" t="s">
        <v>20845</v>
      </c>
      <c r="C7964" s="27" t="s">
        <v>144</v>
      </c>
      <c r="D7964" s="26"/>
      <c r="E7964" s="27"/>
      <c r="F7964" s="27"/>
      <c r="G7964" s="27" t="s">
        <v>11122</v>
      </c>
      <c r="H7964" s="27" t="s">
        <v>35</v>
      </c>
      <c r="I7964" s="27" t="s">
        <v>42</v>
      </c>
      <c r="J7964" s="28" t="s">
        <v>785</v>
      </c>
      <c r="K7964" s="27" t="s">
        <v>37</v>
      </c>
      <c r="L7964" s="27"/>
    </row>
    <row r="7965" customFormat="false" ht="15" hidden="false" customHeight="false" outlineLevel="0" collapsed="false">
      <c r="A7965" s="26" t="s">
        <v>20846</v>
      </c>
      <c r="B7965" s="27" t="s">
        <v>20847</v>
      </c>
      <c r="C7965" s="27" t="s">
        <v>144</v>
      </c>
      <c r="D7965" s="26"/>
      <c r="E7965" s="27"/>
      <c r="F7965" s="27"/>
      <c r="G7965" s="27" t="s">
        <v>11122</v>
      </c>
      <c r="H7965" s="27" t="s">
        <v>35</v>
      </c>
      <c r="I7965" s="27" t="s">
        <v>41</v>
      </c>
      <c r="J7965" s="28" t="s">
        <v>785</v>
      </c>
      <c r="K7965" s="27" t="s">
        <v>37</v>
      </c>
      <c r="L7965" s="27"/>
    </row>
    <row r="7966" customFormat="false" ht="15" hidden="false" customHeight="false" outlineLevel="0" collapsed="false">
      <c r="A7966" s="26" t="s">
        <v>20848</v>
      </c>
      <c r="B7966" s="27" t="s">
        <v>20849</v>
      </c>
      <c r="C7966" s="27" t="s">
        <v>144</v>
      </c>
      <c r="D7966" s="26"/>
      <c r="E7966" s="27"/>
      <c r="F7966" s="27"/>
      <c r="G7966" s="27" t="s">
        <v>11122</v>
      </c>
      <c r="H7966" s="27" t="s">
        <v>35</v>
      </c>
      <c r="I7966" s="27" t="s">
        <v>43</v>
      </c>
      <c r="J7966" s="28" t="s">
        <v>785</v>
      </c>
      <c r="K7966" s="27" t="s">
        <v>37</v>
      </c>
      <c r="L7966" s="27"/>
    </row>
    <row r="7967" customFormat="false" ht="15" hidden="false" customHeight="false" outlineLevel="0" collapsed="false">
      <c r="A7967" s="26" t="s">
        <v>20850</v>
      </c>
      <c r="B7967" s="27" t="s">
        <v>20851</v>
      </c>
      <c r="C7967" s="27" t="s">
        <v>144</v>
      </c>
      <c r="D7967" s="26"/>
      <c r="E7967" s="27"/>
      <c r="F7967" s="27"/>
      <c r="G7967" s="27" t="s">
        <v>11122</v>
      </c>
      <c r="H7967" s="27" t="s">
        <v>35</v>
      </c>
      <c r="I7967" s="27" t="s">
        <v>42</v>
      </c>
      <c r="J7967" s="28" t="s">
        <v>785</v>
      </c>
      <c r="K7967" s="27" t="s">
        <v>37</v>
      </c>
      <c r="L7967" s="27"/>
    </row>
    <row r="7968" customFormat="false" ht="15" hidden="false" customHeight="false" outlineLevel="0" collapsed="false">
      <c r="A7968" s="26" t="s">
        <v>20852</v>
      </c>
      <c r="B7968" s="27" t="s">
        <v>20853</v>
      </c>
      <c r="C7968" s="27" t="s">
        <v>144</v>
      </c>
      <c r="D7968" s="26"/>
      <c r="E7968" s="27"/>
      <c r="F7968" s="27"/>
      <c r="G7968" s="27" t="s">
        <v>11122</v>
      </c>
      <c r="H7968" s="27" t="s">
        <v>35</v>
      </c>
      <c r="I7968" s="27" t="s">
        <v>42</v>
      </c>
      <c r="J7968" s="28" t="s">
        <v>785</v>
      </c>
      <c r="K7968" s="27" t="s">
        <v>37</v>
      </c>
      <c r="L7968" s="27"/>
    </row>
    <row r="7969" customFormat="false" ht="15" hidden="false" customHeight="false" outlineLevel="0" collapsed="false">
      <c r="A7969" s="26" t="s">
        <v>20854</v>
      </c>
      <c r="B7969" s="27" t="s">
        <v>20855</v>
      </c>
      <c r="C7969" s="27" t="s">
        <v>144</v>
      </c>
      <c r="D7969" s="26"/>
      <c r="E7969" s="27"/>
      <c r="F7969" s="27"/>
      <c r="G7969" s="27" t="s">
        <v>11122</v>
      </c>
      <c r="H7969" s="27" t="s">
        <v>35</v>
      </c>
      <c r="I7969" s="27" t="s">
        <v>42</v>
      </c>
      <c r="J7969" s="28" t="s">
        <v>785</v>
      </c>
      <c r="K7969" s="27" t="s">
        <v>37</v>
      </c>
      <c r="L7969" s="27"/>
    </row>
    <row r="7970" customFormat="false" ht="15" hidden="false" customHeight="false" outlineLevel="0" collapsed="false">
      <c r="A7970" s="26" t="s">
        <v>20856</v>
      </c>
      <c r="B7970" s="27" t="s">
        <v>20857</v>
      </c>
      <c r="C7970" s="27" t="s">
        <v>144</v>
      </c>
      <c r="D7970" s="26"/>
      <c r="E7970" s="27"/>
      <c r="F7970" s="27"/>
      <c r="G7970" s="27" t="s">
        <v>11122</v>
      </c>
      <c r="H7970" s="27" t="s">
        <v>35</v>
      </c>
      <c r="I7970" s="27" t="s">
        <v>42</v>
      </c>
      <c r="J7970" s="28" t="s">
        <v>785</v>
      </c>
      <c r="K7970" s="27" t="s">
        <v>37</v>
      </c>
      <c r="L7970" s="27"/>
    </row>
    <row r="7971" customFormat="false" ht="15" hidden="false" customHeight="false" outlineLevel="0" collapsed="false">
      <c r="A7971" s="26" t="s">
        <v>20858</v>
      </c>
      <c r="B7971" s="27" t="s">
        <v>20859</v>
      </c>
      <c r="C7971" s="27" t="s">
        <v>144</v>
      </c>
      <c r="D7971" s="26"/>
      <c r="E7971" s="27"/>
      <c r="F7971" s="27"/>
      <c r="G7971" s="27" t="s">
        <v>11122</v>
      </c>
      <c r="H7971" s="27" t="s">
        <v>35</v>
      </c>
      <c r="I7971" s="27" t="s">
        <v>38</v>
      </c>
      <c r="J7971" s="28" t="s">
        <v>856</v>
      </c>
      <c r="K7971" s="27" t="s">
        <v>38</v>
      </c>
      <c r="L7971" s="27"/>
    </row>
    <row r="7972" customFormat="false" ht="15" hidden="false" customHeight="false" outlineLevel="0" collapsed="false">
      <c r="A7972" s="26" t="s">
        <v>20860</v>
      </c>
      <c r="B7972" s="27" t="s">
        <v>20861</v>
      </c>
      <c r="C7972" s="27" t="s">
        <v>144</v>
      </c>
      <c r="D7972" s="26"/>
      <c r="E7972" s="27"/>
      <c r="F7972" s="27"/>
      <c r="G7972" s="27" t="s">
        <v>11122</v>
      </c>
      <c r="H7972" s="27" t="s">
        <v>35</v>
      </c>
      <c r="I7972" s="27" t="s">
        <v>38</v>
      </c>
      <c r="J7972" s="28" t="s">
        <v>856</v>
      </c>
      <c r="K7972" s="27" t="s">
        <v>38</v>
      </c>
      <c r="L7972" s="27"/>
    </row>
    <row r="7973" customFormat="false" ht="15" hidden="false" customHeight="false" outlineLevel="0" collapsed="false">
      <c r="A7973" s="26" t="s">
        <v>20862</v>
      </c>
      <c r="B7973" s="27" t="s">
        <v>20863</v>
      </c>
      <c r="C7973" s="27" t="s">
        <v>144</v>
      </c>
      <c r="D7973" s="26"/>
      <c r="E7973" s="27"/>
      <c r="F7973" s="27"/>
      <c r="G7973" s="27" t="s">
        <v>11122</v>
      </c>
      <c r="H7973" s="27" t="s">
        <v>35</v>
      </c>
      <c r="I7973" s="27" t="s">
        <v>39</v>
      </c>
      <c r="J7973" s="28" t="s">
        <v>856</v>
      </c>
      <c r="K7973" s="27" t="s">
        <v>38</v>
      </c>
      <c r="L7973" s="27"/>
    </row>
    <row r="7974" customFormat="false" ht="15" hidden="false" customHeight="false" outlineLevel="0" collapsed="false">
      <c r="A7974" s="26" t="s">
        <v>20864</v>
      </c>
      <c r="B7974" s="27" t="s">
        <v>20865</v>
      </c>
      <c r="C7974" s="27" t="s">
        <v>144</v>
      </c>
      <c r="D7974" s="26"/>
      <c r="E7974" s="27"/>
      <c r="F7974" s="27"/>
      <c r="G7974" s="27" t="s">
        <v>11122</v>
      </c>
      <c r="H7974" s="27" t="s">
        <v>35</v>
      </c>
      <c r="I7974" s="27" t="s">
        <v>37</v>
      </c>
      <c r="J7974" s="28" t="s">
        <v>856</v>
      </c>
      <c r="K7974" s="27" t="s">
        <v>38</v>
      </c>
      <c r="L7974" s="27"/>
    </row>
    <row r="7975" customFormat="false" ht="15" hidden="false" customHeight="false" outlineLevel="0" collapsed="false">
      <c r="A7975" s="26" t="s">
        <v>20866</v>
      </c>
      <c r="B7975" s="27" t="s">
        <v>20867</v>
      </c>
      <c r="C7975" s="27" t="s">
        <v>144</v>
      </c>
      <c r="D7975" s="26"/>
      <c r="E7975" s="27"/>
      <c r="F7975" s="27"/>
      <c r="G7975" s="27" t="s">
        <v>11122</v>
      </c>
      <c r="H7975" s="27" t="s">
        <v>35</v>
      </c>
      <c r="I7975" s="27" t="s">
        <v>37</v>
      </c>
      <c r="J7975" s="28" t="s">
        <v>856</v>
      </c>
      <c r="K7975" s="27" t="s">
        <v>38</v>
      </c>
      <c r="L7975" s="27"/>
    </row>
    <row r="7976" customFormat="false" ht="15" hidden="false" customHeight="false" outlineLevel="0" collapsed="false">
      <c r="A7976" s="26" t="s">
        <v>20868</v>
      </c>
      <c r="B7976" s="27" t="s">
        <v>20869</v>
      </c>
      <c r="C7976" s="27" t="s">
        <v>144</v>
      </c>
      <c r="D7976" s="26"/>
      <c r="E7976" s="27"/>
      <c r="F7976" s="27"/>
      <c r="G7976" s="27" t="s">
        <v>11122</v>
      </c>
      <c r="H7976" s="27" t="s">
        <v>35</v>
      </c>
      <c r="I7976" s="27" t="s">
        <v>37</v>
      </c>
      <c r="J7976" s="28" t="s">
        <v>856</v>
      </c>
      <c r="K7976" s="27" t="s">
        <v>38</v>
      </c>
      <c r="L7976" s="27"/>
    </row>
    <row r="7977" customFormat="false" ht="15" hidden="false" customHeight="false" outlineLevel="0" collapsed="false">
      <c r="A7977" s="26" t="s">
        <v>20870</v>
      </c>
      <c r="B7977" s="27" t="s">
        <v>20871</v>
      </c>
      <c r="C7977" s="27" t="s">
        <v>144</v>
      </c>
      <c r="D7977" s="26"/>
      <c r="E7977" s="27"/>
      <c r="F7977" s="27"/>
      <c r="G7977" s="27" t="s">
        <v>11122</v>
      </c>
      <c r="H7977" s="27" t="s">
        <v>35</v>
      </c>
      <c r="I7977" s="27" t="s">
        <v>41</v>
      </c>
      <c r="J7977" s="28" t="s">
        <v>856</v>
      </c>
      <c r="K7977" s="27" t="s">
        <v>38</v>
      </c>
      <c r="L7977" s="27"/>
    </row>
    <row r="7978" customFormat="false" ht="15" hidden="false" customHeight="false" outlineLevel="0" collapsed="false">
      <c r="A7978" s="26" t="s">
        <v>20872</v>
      </c>
      <c r="B7978" s="27" t="s">
        <v>20873</v>
      </c>
      <c r="C7978" s="27" t="s">
        <v>144</v>
      </c>
      <c r="D7978" s="26"/>
      <c r="E7978" s="27"/>
      <c r="F7978" s="27"/>
      <c r="G7978" s="27" t="s">
        <v>11122</v>
      </c>
      <c r="H7978" s="27" t="s">
        <v>35</v>
      </c>
      <c r="I7978" s="27" t="s">
        <v>47</v>
      </c>
      <c r="J7978" s="28" t="s">
        <v>856</v>
      </c>
      <c r="K7978" s="27" t="s">
        <v>38</v>
      </c>
      <c r="L7978" s="27"/>
    </row>
    <row r="7979" customFormat="false" ht="15" hidden="false" customHeight="false" outlineLevel="0" collapsed="false">
      <c r="A7979" s="26" t="s">
        <v>20874</v>
      </c>
      <c r="B7979" s="27" t="s">
        <v>20875</v>
      </c>
      <c r="C7979" s="27" t="s">
        <v>144</v>
      </c>
      <c r="D7979" s="26"/>
      <c r="E7979" s="27"/>
      <c r="F7979" s="27"/>
      <c r="G7979" s="27" t="s">
        <v>11122</v>
      </c>
      <c r="H7979" s="27" t="s">
        <v>35</v>
      </c>
      <c r="I7979" s="27" t="s">
        <v>39</v>
      </c>
      <c r="J7979" s="28" t="s">
        <v>856</v>
      </c>
      <c r="K7979" s="27" t="s">
        <v>38</v>
      </c>
      <c r="L7979" s="27"/>
    </row>
    <row r="7980" customFormat="false" ht="15" hidden="false" customHeight="false" outlineLevel="0" collapsed="false">
      <c r="A7980" s="26" t="s">
        <v>20876</v>
      </c>
      <c r="B7980" s="27" t="s">
        <v>20877</v>
      </c>
      <c r="C7980" s="27" t="s">
        <v>144</v>
      </c>
      <c r="D7980" s="26"/>
      <c r="E7980" s="27"/>
      <c r="F7980" s="27"/>
      <c r="G7980" s="27" t="s">
        <v>11122</v>
      </c>
      <c r="H7980" s="27" t="s">
        <v>35</v>
      </c>
      <c r="I7980" s="27" t="s">
        <v>43</v>
      </c>
      <c r="J7980" s="28" t="s">
        <v>856</v>
      </c>
      <c r="K7980" s="27" t="s">
        <v>38</v>
      </c>
      <c r="L7980" s="27"/>
    </row>
    <row r="7981" customFormat="false" ht="15" hidden="false" customHeight="false" outlineLevel="0" collapsed="false">
      <c r="A7981" s="26" t="s">
        <v>20878</v>
      </c>
      <c r="B7981" s="27" t="s">
        <v>20879</v>
      </c>
      <c r="C7981" s="27" t="s">
        <v>144</v>
      </c>
      <c r="D7981" s="26"/>
      <c r="E7981" s="27"/>
      <c r="F7981" s="27"/>
      <c r="G7981" s="27" t="s">
        <v>11122</v>
      </c>
      <c r="H7981" s="27" t="s">
        <v>35</v>
      </c>
      <c r="I7981" s="27" t="s">
        <v>38</v>
      </c>
      <c r="J7981" s="28" t="s">
        <v>856</v>
      </c>
      <c r="K7981" s="27" t="s">
        <v>38</v>
      </c>
      <c r="L7981" s="27"/>
    </row>
    <row r="7982" customFormat="false" ht="15" hidden="false" customHeight="false" outlineLevel="0" collapsed="false">
      <c r="A7982" s="26" t="s">
        <v>20880</v>
      </c>
      <c r="B7982" s="27" t="s">
        <v>20881</v>
      </c>
      <c r="C7982" s="27" t="s">
        <v>144</v>
      </c>
      <c r="D7982" s="26"/>
      <c r="E7982" s="27"/>
      <c r="F7982" s="27"/>
      <c r="G7982" s="27" t="s">
        <v>11122</v>
      </c>
      <c r="H7982" s="27" t="s">
        <v>35</v>
      </c>
      <c r="I7982" s="27" t="s">
        <v>38</v>
      </c>
      <c r="J7982" s="28" t="s">
        <v>856</v>
      </c>
      <c r="K7982" s="27" t="s">
        <v>38</v>
      </c>
      <c r="L7982" s="27"/>
    </row>
    <row r="7983" customFormat="false" ht="15" hidden="false" customHeight="false" outlineLevel="0" collapsed="false">
      <c r="A7983" s="26" t="s">
        <v>20882</v>
      </c>
      <c r="B7983" s="27" t="s">
        <v>20883</v>
      </c>
      <c r="C7983" s="27" t="s">
        <v>144</v>
      </c>
      <c r="D7983" s="26"/>
      <c r="E7983" s="27"/>
      <c r="F7983" s="27"/>
      <c r="G7983" s="27" t="s">
        <v>11122</v>
      </c>
      <c r="H7983" s="27" t="s">
        <v>35</v>
      </c>
      <c r="I7983" s="27" t="s">
        <v>43</v>
      </c>
      <c r="J7983" s="28" t="s">
        <v>856</v>
      </c>
      <c r="K7983" s="27" t="s">
        <v>38</v>
      </c>
      <c r="L7983" s="27"/>
    </row>
    <row r="7984" customFormat="false" ht="15" hidden="false" customHeight="false" outlineLevel="0" collapsed="false">
      <c r="A7984" s="26" t="s">
        <v>20884</v>
      </c>
      <c r="B7984" s="27" t="s">
        <v>20885</v>
      </c>
      <c r="C7984" s="27" t="s">
        <v>144</v>
      </c>
      <c r="D7984" s="26"/>
      <c r="E7984" s="27"/>
      <c r="F7984" s="27"/>
      <c r="G7984" s="27" t="s">
        <v>11122</v>
      </c>
      <c r="H7984" s="27" t="s">
        <v>35</v>
      </c>
      <c r="I7984" s="27" t="s">
        <v>37</v>
      </c>
      <c r="J7984" s="28" t="s">
        <v>856</v>
      </c>
      <c r="K7984" s="27" t="s">
        <v>38</v>
      </c>
      <c r="L7984" s="27"/>
    </row>
    <row r="7985" customFormat="false" ht="15" hidden="false" customHeight="false" outlineLevel="0" collapsed="false">
      <c r="A7985" s="26" t="s">
        <v>20886</v>
      </c>
      <c r="B7985" s="27" t="s">
        <v>20887</v>
      </c>
      <c r="C7985" s="27" t="s">
        <v>144</v>
      </c>
      <c r="D7985" s="26"/>
      <c r="E7985" s="27"/>
      <c r="F7985" s="27"/>
      <c r="G7985" s="27" t="s">
        <v>11122</v>
      </c>
      <c r="H7985" s="27" t="s">
        <v>35</v>
      </c>
      <c r="I7985" s="27" t="s">
        <v>37</v>
      </c>
      <c r="J7985" s="28" t="s">
        <v>856</v>
      </c>
      <c r="K7985" s="27" t="s">
        <v>38</v>
      </c>
      <c r="L7985" s="27"/>
    </row>
    <row r="7986" customFormat="false" ht="15" hidden="false" customHeight="false" outlineLevel="0" collapsed="false">
      <c r="A7986" s="26" t="s">
        <v>20888</v>
      </c>
      <c r="B7986" s="27" t="s">
        <v>20889</v>
      </c>
      <c r="C7986" s="27" t="s">
        <v>144</v>
      </c>
      <c r="D7986" s="26"/>
      <c r="E7986" s="27"/>
      <c r="F7986" s="27"/>
      <c r="G7986" s="27" t="s">
        <v>11122</v>
      </c>
      <c r="H7986" s="27" t="s">
        <v>35</v>
      </c>
      <c r="I7986" s="27" t="s">
        <v>37</v>
      </c>
      <c r="J7986" s="28" t="s">
        <v>856</v>
      </c>
      <c r="K7986" s="27" t="s">
        <v>38</v>
      </c>
      <c r="L7986" s="27"/>
    </row>
    <row r="7987" customFormat="false" ht="15" hidden="false" customHeight="false" outlineLevel="0" collapsed="false">
      <c r="A7987" s="26" t="s">
        <v>20890</v>
      </c>
      <c r="B7987" s="27" t="s">
        <v>20891</v>
      </c>
      <c r="C7987" s="27" t="s">
        <v>144</v>
      </c>
      <c r="D7987" s="26"/>
      <c r="E7987" s="27"/>
      <c r="F7987" s="27"/>
      <c r="G7987" s="27" t="s">
        <v>11122</v>
      </c>
      <c r="H7987" s="27" t="s">
        <v>35</v>
      </c>
      <c r="I7987" s="27" t="s">
        <v>37</v>
      </c>
      <c r="J7987" s="28" t="s">
        <v>856</v>
      </c>
      <c r="K7987" s="27" t="s">
        <v>38</v>
      </c>
      <c r="L7987" s="27"/>
    </row>
    <row r="7988" customFormat="false" ht="15" hidden="false" customHeight="false" outlineLevel="0" collapsed="false">
      <c r="A7988" s="26" t="s">
        <v>20892</v>
      </c>
      <c r="B7988" s="27" t="s">
        <v>20893</v>
      </c>
      <c r="C7988" s="27" t="s">
        <v>144</v>
      </c>
      <c r="D7988" s="26"/>
      <c r="E7988" s="27"/>
      <c r="F7988" s="27"/>
      <c r="G7988" s="27" t="s">
        <v>11122</v>
      </c>
      <c r="H7988" s="27" t="s">
        <v>35</v>
      </c>
      <c r="I7988" s="27" t="s">
        <v>38</v>
      </c>
      <c r="J7988" s="28" t="s">
        <v>856</v>
      </c>
      <c r="K7988" s="27" t="s">
        <v>38</v>
      </c>
      <c r="L7988" s="27"/>
    </row>
    <row r="7989" customFormat="false" ht="15" hidden="false" customHeight="false" outlineLevel="0" collapsed="false">
      <c r="A7989" s="26" t="s">
        <v>20894</v>
      </c>
      <c r="B7989" s="27" t="s">
        <v>20895</v>
      </c>
      <c r="C7989" s="27" t="s">
        <v>144</v>
      </c>
      <c r="D7989" s="26"/>
      <c r="E7989" s="27"/>
      <c r="F7989" s="27"/>
      <c r="G7989" s="27" t="s">
        <v>11122</v>
      </c>
      <c r="H7989" s="27" t="s">
        <v>35</v>
      </c>
      <c r="I7989" s="27" t="s">
        <v>38</v>
      </c>
      <c r="J7989" s="28" t="s">
        <v>856</v>
      </c>
      <c r="K7989" s="27" t="s">
        <v>38</v>
      </c>
      <c r="L7989" s="27"/>
    </row>
    <row r="7990" customFormat="false" ht="15" hidden="false" customHeight="false" outlineLevel="0" collapsed="false">
      <c r="A7990" s="26" t="s">
        <v>20896</v>
      </c>
      <c r="B7990" s="27" t="s">
        <v>20897</v>
      </c>
      <c r="C7990" s="27" t="s">
        <v>144</v>
      </c>
      <c r="D7990" s="26"/>
      <c r="E7990" s="27"/>
      <c r="F7990" s="27"/>
      <c r="G7990" s="27" t="s">
        <v>11122</v>
      </c>
      <c r="H7990" s="27" t="s">
        <v>35</v>
      </c>
      <c r="I7990" s="27" t="s">
        <v>38</v>
      </c>
      <c r="J7990" s="28" t="s">
        <v>856</v>
      </c>
      <c r="K7990" s="27" t="s">
        <v>38</v>
      </c>
      <c r="L7990" s="27"/>
    </row>
    <row r="7991" customFormat="false" ht="15" hidden="false" customHeight="false" outlineLevel="0" collapsed="false">
      <c r="A7991" s="26" t="s">
        <v>20898</v>
      </c>
      <c r="B7991" s="27" t="s">
        <v>20899</v>
      </c>
      <c r="C7991" s="27" t="s">
        <v>144</v>
      </c>
      <c r="D7991" s="26"/>
      <c r="E7991" s="27"/>
      <c r="F7991" s="27"/>
      <c r="G7991" s="27" t="s">
        <v>11122</v>
      </c>
      <c r="H7991" s="27" t="s">
        <v>35</v>
      </c>
      <c r="I7991" s="27" t="s">
        <v>38</v>
      </c>
      <c r="J7991" s="28" t="s">
        <v>856</v>
      </c>
      <c r="K7991" s="27" t="s">
        <v>38</v>
      </c>
      <c r="L7991" s="27"/>
    </row>
    <row r="7992" customFormat="false" ht="15" hidden="false" customHeight="false" outlineLevel="0" collapsed="false">
      <c r="A7992" s="26" t="s">
        <v>20900</v>
      </c>
      <c r="B7992" s="27" t="s">
        <v>20901</v>
      </c>
      <c r="C7992" s="27" t="s">
        <v>144</v>
      </c>
      <c r="D7992" s="26"/>
      <c r="E7992" s="27"/>
      <c r="F7992" s="27"/>
      <c r="G7992" s="27" t="s">
        <v>11122</v>
      </c>
      <c r="H7992" s="27" t="s">
        <v>35</v>
      </c>
      <c r="I7992" s="27" t="s">
        <v>37</v>
      </c>
      <c r="J7992" s="28" t="s">
        <v>856</v>
      </c>
      <c r="K7992" s="27" t="s">
        <v>38</v>
      </c>
      <c r="L7992" s="27"/>
    </row>
    <row r="7993" customFormat="false" ht="15" hidden="false" customHeight="false" outlineLevel="0" collapsed="false">
      <c r="A7993" s="26" t="s">
        <v>20902</v>
      </c>
      <c r="B7993" s="27" t="s">
        <v>20903</v>
      </c>
      <c r="C7993" s="27" t="s">
        <v>144</v>
      </c>
      <c r="D7993" s="26"/>
      <c r="E7993" s="27"/>
      <c r="F7993" s="27"/>
      <c r="G7993" s="27" t="s">
        <v>11122</v>
      </c>
      <c r="H7993" s="27" t="s">
        <v>35</v>
      </c>
      <c r="I7993" s="27" t="s">
        <v>38</v>
      </c>
      <c r="J7993" s="28" t="s">
        <v>856</v>
      </c>
      <c r="K7993" s="27" t="s">
        <v>38</v>
      </c>
      <c r="L7993" s="27"/>
    </row>
    <row r="7994" customFormat="false" ht="15" hidden="false" customHeight="false" outlineLevel="0" collapsed="false">
      <c r="A7994" s="26" t="s">
        <v>20904</v>
      </c>
      <c r="B7994" s="27" t="s">
        <v>20905</v>
      </c>
      <c r="C7994" s="27" t="s">
        <v>144</v>
      </c>
      <c r="D7994" s="26"/>
      <c r="E7994" s="27"/>
      <c r="F7994" s="27"/>
      <c r="G7994" s="27" t="s">
        <v>11122</v>
      </c>
      <c r="H7994" s="27" t="s">
        <v>35</v>
      </c>
      <c r="I7994" s="27" t="s">
        <v>38</v>
      </c>
      <c r="J7994" s="28" t="s">
        <v>856</v>
      </c>
      <c r="K7994" s="27" t="s">
        <v>38</v>
      </c>
      <c r="L7994" s="27"/>
    </row>
    <row r="7995" customFormat="false" ht="15" hidden="false" customHeight="false" outlineLevel="0" collapsed="false">
      <c r="A7995" s="26" t="s">
        <v>20906</v>
      </c>
      <c r="B7995" s="27" t="s">
        <v>20907</v>
      </c>
      <c r="C7995" s="27" t="s">
        <v>144</v>
      </c>
      <c r="D7995" s="26"/>
      <c r="E7995" s="27"/>
      <c r="F7995" s="27"/>
      <c r="G7995" s="27" t="s">
        <v>11122</v>
      </c>
      <c r="H7995" s="27" t="s">
        <v>35</v>
      </c>
      <c r="I7995" s="27" t="s">
        <v>38</v>
      </c>
      <c r="J7995" s="28" t="s">
        <v>856</v>
      </c>
      <c r="K7995" s="27" t="s">
        <v>38</v>
      </c>
      <c r="L7995" s="27"/>
    </row>
    <row r="7996" customFormat="false" ht="15" hidden="false" customHeight="false" outlineLevel="0" collapsed="false">
      <c r="A7996" s="26" t="s">
        <v>20908</v>
      </c>
      <c r="B7996" s="27" t="s">
        <v>20909</v>
      </c>
      <c r="C7996" s="27" t="s">
        <v>144</v>
      </c>
      <c r="D7996" s="26"/>
      <c r="E7996" s="27"/>
      <c r="F7996" s="27"/>
      <c r="G7996" s="27" t="s">
        <v>11122</v>
      </c>
      <c r="H7996" s="27" t="s">
        <v>35</v>
      </c>
      <c r="I7996" s="27" t="s">
        <v>38</v>
      </c>
      <c r="J7996" s="28" t="s">
        <v>856</v>
      </c>
      <c r="K7996" s="27" t="s">
        <v>38</v>
      </c>
      <c r="L7996" s="27"/>
    </row>
    <row r="7997" customFormat="false" ht="15" hidden="false" customHeight="false" outlineLevel="0" collapsed="false">
      <c r="A7997" s="26" t="s">
        <v>20910</v>
      </c>
      <c r="B7997" s="27" t="s">
        <v>20911</v>
      </c>
      <c r="C7997" s="27" t="s">
        <v>144</v>
      </c>
      <c r="D7997" s="26"/>
      <c r="E7997" s="27"/>
      <c r="F7997" s="27"/>
      <c r="G7997" s="27" t="s">
        <v>11122</v>
      </c>
      <c r="H7997" s="27" t="s">
        <v>35</v>
      </c>
      <c r="I7997" s="27" t="s">
        <v>38</v>
      </c>
      <c r="J7997" s="28" t="s">
        <v>856</v>
      </c>
      <c r="K7997" s="27" t="s">
        <v>38</v>
      </c>
      <c r="L7997" s="27"/>
    </row>
    <row r="7998" customFormat="false" ht="15" hidden="false" customHeight="false" outlineLevel="0" collapsed="false">
      <c r="A7998" s="26" t="s">
        <v>20912</v>
      </c>
      <c r="B7998" s="27" t="s">
        <v>20913</v>
      </c>
      <c r="C7998" s="27" t="s">
        <v>144</v>
      </c>
      <c r="D7998" s="26"/>
      <c r="E7998" s="27"/>
      <c r="F7998" s="27"/>
      <c r="G7998" s="27" t="s">
        <v>11122</v>
      </c>
      <c r="H7998" s="27" t="s">
        <v>35</v>
      </c>
      <c r="I7998" s="27" t="s">
        <v>37</v>
      </c>
      <c r="J7998" s="28" t="s">
        <v>856</v>
      </c>
      <c r="K7998" s="27" t="s">
        <v>38</v>
      </c>
      <c r="L7998" s="27"/>
    </row>
    <row r="7999" customFormat="false" ht="15" hidden="false" customHeight="false" outlineLevel="0" collapsed="false">
      <c r="A7999" s="26" t="s">
        <v>20914</v>
      </c>
      <c r="B7999" s="27" t="s">
        <v>20915</v>
      </c>
      <c r="C7999" s="27" t="s">
        <v>144</v>
      </c>
      <c r="D7999" s="26"/>
      <c r="E7999" s="27"/>
      <c r="F7999" s="27"/>
      <c r="G7999" s="27" t="s">
        <v>11122</v>
      </c>
      <c r="H7999" s="27" t="s">
        <v>35</v>
      </c>
      <c r="I7999" s="27" t="s">
        <v>38</v>
      </c>
      <c r="J7999" s="28" t="s">
        <v>856</v>
      </c>
      <c r="K7999" s="27" t="s">
        <v>38</v>
      </c>
      <c r="L7999" s="27"/>
    </row>
    <row r="8000" customFormat="false" ht="15" hidden="false" customHeight="false" outlineLevel="0" collapsed="false">
      <c r="A8000" s="26" t="s">
        <v>20916</v>
      </c>
      <c r="B8000" s="27" t="s">
        <v>20917</v>
      </c>
      <c r="C8000" s="27" t="s">
        <v>144</v>
      </c>
      <c r="D8000" s="26"/>
      <c r="E8000" s="27"/>
      <c r="F8000" s="27"/>
      <c r="G8000" s="27" t="s">
        <v>11122</v>
      </c>
      <c r="H8000" s="27" t="s">
        <v>35</v>
      </c>
      <c r="I8000" s="27" t="s">
        <v>37</v>
      </c>
      <c r="J8000" s="28" t="s">
        <v>856</v>
      </c>
      <c r="K8000" s="27" t="s">
        <v>38</v>
      </c>
      <c r="L8000" s="27"/>
    </row>
    <row r="8001" customFormat="false" ht="15" hidden="false" customHeight="false" outlineLevel="0" collapsed="false">
      <c r="A8001" s="26" t="s">
        <v>20918</v>
      </c>
      <c r="B8001" s="27" t="s">
        <v>20919</v>
      </c>
      <c r="C8001" s="27" t="s">
        <v>144</v>
      </c>
      <c r="D8001" s="26"/>
      <c r="E8001" s="27"/>
      <c r="F8001" s="27"/>
      <c r="G8001" s="27" t="s">
        <v>11122</v>
      </c>
      <c r="H8001" s="27" t="s">
        <v>35</v>
      </c>
      <c r="I8001" s="27" t="s">
        <v>37</v>
      </c>
      <c r="J8001" s="28" t="s">
        <v>856</v>
      </c>
      <c r="K8001" s="27" t="s">
        <v>38</v>
      </c>
      <c r="L8001" s="27"/>
    </row>
    <row r="8002" customFormat="false" ht="15" hidden="false" customHeight="false" outlineLevel="0" collapsed="false">
      <c r="A8002" s="26" t="s">
        <v>20920</v>
      </c>
      <c r="B8002" s="27" t="s">
        <v>20921</v>
      </c>
      <c r="C8002" s="27" t="s">
        <v>144</v>
      </c>
      <c r="D8002" s="26"/>
      <c r="E8002" s="27"/>
      <c r="F8002" s="27"/>
      <c r="G8002" s="27" t="s">
        <v>11122</v>
      </c>
      <c r="H8002" s="27" t="s">
        <v>35</v>
      </c>
      <c r="I8002" s="27" t="s">
        <v>38</v>
      </c>
      <c r="J8002" s="28" t="s">
        <v>856</v>
      </c>
      <c r="K8002" s="27" t="s">
        <v>38</v>
      </c>
      <c r="L8002" s="27"/>
    </row>
    <row r="8003" customFormat="false" ht="15" hidden="false" customHeight="false" outlineLevel="0" collapsed="false">
      <c r="A8003" s="26" t="s">
        <v>20922</v>
      </c>
      <c r="B8003" s="27" t="s">
        <v>20923</v>
      </c>
      <c r="C8003" s="27" t="s">
        <v>144</v>
      </c>
      <c r="D8003" s="26"/>
      <c r="E8003" s="27"/>
      <c r="F8003" s="27"/>
      <c r="G8003" s="27" t="s">
        <v>11122</v>
      </c>
      <c r="H8003" s="27" t="s">
        <v>35</v>
      </c>
      <c r="I8003" s="27" t="s">
        <v>37</v>
      </c>
      <c r="J8003" s="28" t="s">
        <v>856</v>
      </c>
      <c r="K8003" s="27" t="s">
        <v>38</v>
      </c>
      <c r="L8003" s="27"/>
    </row>
    <row r="8004" customFormat="false" ht="15" hidden="false" customHeight="false" outlineLevel="0" collapsed="false">
      <c r="A8004" s="26" t="s">
        <v>20924</v>
      </c>
      <c r="B8004" s="27" t="s">
        <v>20925</v>
      </c>
      <c r="C8004" s="27" t="s">
        <v>144</v>
      </c>
      <c r="D8004" s="26"/>
      <c r="E8004" s="27"/>
      <c r="F8004" s="27"/>
      <c r="G8004" s="27" t="s">
        <v>11122</v>
      </c>
      <c r="H8004" s="27" t="s">
        <v>35</v>
      </c>
      <c r="I8004" s="27" t="s">
        <v>41</v>
      </c>
      <c r="J8004" s="28" t="s">
        <v>856</v>
      </c>
      <c r="K8004" s="27" t="s">
        <v>38</v>
      </c>
      <c r="L8004" s="27"/>
    </row>
    <row r="8005" customFormat="false" ht="15" hidden="false" customHeight="false" outlineLevel="0" collapsed="false">
      <c r="A8005" s="26" t="s">
        <v>20926</v>
      </c>
      <c r="B8005" s="27" t="s">
        <v>20927</v>
      </c>
      <c r="C8005" s="27" t="s">
        <v>144</v>
      </c>
      <c r="D8005" s="26"/>
      <c r="E8005" s="27"/>
      <c r="F8005" s="27"/>
      <c r="G8005" s="27" t="s">
        <v>11122</v>
      </c>
      <c r="H8005" s="27" t="s">
        <v>35</v>
      </c>
      <c r="I8005" s="27" t="s">
        <v>887</v>
      </c>
      <c r="J8005" s="28" t="s">
        <v>856</v>
      </c>
      <c r="K8005" s="27" t="s">
        <v>38</v>
      </c>
      <c r="L8005" s="27"/>
    </row>
    <row r="8006" customFormat="false" ht="15" hidden="false" customHeight="false" outlineLevel="0" collapsed="false">
      <c r="A8006" s="26" t="s">
        <v>20928</v>
      </c>
      <c r="B8006" s="28" t="s">
        <v>20929</v>
      </c>
      <c r="C8006" s="27" t="s">
        <v>3373</v>
      </c>
      <c r="D8006" s="26"/>
      <c r="E8006" s="27"/>
      <c r="F8006" s="27"/>
      <c r="G8006" s="27" t="s">
        <v>11122</v>
      </c>
      <c r="H8006" s="27" t="s">
        <v>35</v>
      </c>
      <c r="I8006" s="27" t="s">
        <v>38</v>
      </c>
      <c r="J8006" s="28" t="s">
        <v>856</v>
      </c>
      <c r="K8006" s="27" t="s">
        <v>38</v>
      </c>
      <c r="L8006" s="27"/>
    </row>
    <row r="8007" customFormat="false" ht="15" hidden="false" customHeight="false" outlineLevel="0" collapsed="false">
      <c r="A8007" s="26" t="s">
        <v>20930</v>
      </c>
      <c r="B8007" s="27" t="s">
        <v>20931</v>
      </c>
      <c r="C8007" s="27" t="s">
        <v>144</v>
      </c>
      <c r="D8007" s="26"/>
      <c r="E8007" s="27"/>
      <c r="F8007" s="27"/>
      <c r="G8007" s="27" t="s">
        <v>11122</v>
      </c>
      <c r="H8007" s="27" t="s">
        <v>35</v>
      </c>
      <c r="I8007" s="27" t="s">
        <v>41</v>
      </c>
      <c r="J8007" s="28" t="s">
        <v>856</v>
      </c>
      <c r="K8007" s="27" t="s">
        <v>38</v>
      </c>
      <c r="L8007" s="27"/>
    </row>
    <row r="8008" customFormat="false" ht="15" hidden="false" customHeight="false" outlineLevel="0" collapsed="false">
      <c r="A8008" s="26" t="s">
        <v>20932</v>
      </c>
      <c r="B8008" s="27" t="s">
        <v>20933</v>
      </c>
      <c r="C8008" s="27" t="s">
        <v>144</v>
      </c>
      <c r="D8008" s="26"/>
      <c r="E8008" s="27"/>
      <c r="F8008" s="27"/>
      <c r="G8008" s="27" t="s">
        <v>11122</v>
      </c>
      <c r="H8008" s="27" t="s">
        <v>35</v>
      </c>
      <c r="I8008" s="27" t="s">
        <v>41</v>
      </c>
      <c r="J8008" s="28" t="s">
        <v>856</v>
      </c>
      <c r="K8008" s="27" t="s">
        <v>38</v>
      </c>
      <c r="L8008" s="27"/>
    </row>
    <row r="8009" customFormat="false" ht="15" hidden="false" customHeight="false" outlineLevel="0" collapsed="false">
      <c r="A8009" s="26" t="s">
        <v>20934</v>
      </c>
      <c r="B8009" s="27" t="s">
        <v>20935</v>
      </c>
      <c r="C8009" s="27" t="s">
        <v>144</v>
      </c>
      <c r="D8009" s="26"/>
      <c r="E8009" s="27"/>
      <c r="F8009" s="27"/>
      <c r="G8009" s="27" t="s">
        <v>11122</v>
      </c>
      <c r="H8009" s="27" t="s">
        <v>35</v>
      </c>
      <c r="I8009" s="27" t="s">
        <v>41</v>
      </c>
      <c r="J8009" s="28" t="s">
        <v>856</v>
      </c>
      <c r="K8009" s="27" t="s">
        <v>38</v>
      </c>
      <c r="L8009" s="27"/>
    </row>
    <row r="8010" customFormat="false" ht="15" hidden="false" customHeight="false" outlineLevel="0" collapsed="false">
      <c r="A8010" s="26" t="s">
        <v>20936</v>
      </c>
      <c r="B8010" s="27" t="s">
        <v>20937</v>
      </c>
      <c r="C8010" s="27" t="s">
        <v>144</v>
      </c>
      <c r="D8010" s="26"/>
      <c r="E8010" s="27"/>
      <c r="F8010" s="27"/>
      <c r="G8010" s="27" t="s">
        <v>11122</v>
      </c>
      <c r="H8010" s="27" t="s">
        <v>35</v>
      </c>
      <c r="I8010" s="27" t="s">
        <v>38</v>
      </c>
      <c r="J8010" s="28" t="s">
        <v>856</v>
      </c>
      <c r="K8010" s="27" t="s">
        <v>38</v>
      </c>
      <c r="L8010" s="27"/>
    </row>
    <row r="8011" customFormat="false" ht="15" hidden="false" customHeight="false" outlineLevel="0" collapsed="false">
      <c r="A8011" s="26" t="s">
        <v>20938</v>
      </c>
      <c r="B8011" s="27" t="s">
        <v>20939</v>
      </c>
      <c r="C8011" s="27" t="s">
        <v>144</v>
      </c>
      <c r="D8011" s="26"/>
      <c r="E8011" s="27"/>
      <c r="F8011" s="27"/>
      <c r="G8011" s="27" t="s">
        <v>11122</v>
      </c>
      <c r="H8011" s="27" t="s">
        <v>35</v>
      </c>
      <c r="I8011" s="27" t="s">
        <v>38</v>
      </c>
      <c r="J8011" s="28" t="s">
        <v>856</v>
      </c>
      <c r="K8011" s="27" t="s">
        <v>38</v>
      </c>
      <c r="L8011" s="27"/>
    </row>
    <row r="8012" customFormat="false" ht="15" hidden="false" customHeight="false" outlineLevel="0" collapsed="false">
      <c r="A8012" s="26" t="s">
        <v>20940</v>
      </c>
      <c r="B8012" s="27" t="s">
        <v>20941</v>
      </c>
      <c r="C8012" s="27" t="s">
        <v>144</v>
      </c>
      <c r="D8012" s="26"/>
      <c r="E8012" s="27"/>
      <c r="F8012" s="27"/>
      <c r="G8012" s="27" t="s">
        <v>11122</v>
      </c>
      <c r="H8012" s="27" t="s">
        <v>35</v>
      </c>
      <c r="I8012" s="27" t="s">
        <v>38</v>
      </c>
      <c r="J8012" s="28" t="s">
        <v>856</v>
      </c>
      <c r="K8012" s="27" t="s">
        <v>38</v>
      </c>
      <c r="L8012" s="27"/>
    </row>
    <row r="8013" customFormat="false" ht="15" hidden="false" customHeight="false" outlineLevel="0" collapsed="false">
      <c r="A8013" s="26" t="s">
        <v>20942</v>
      </c>
      <c r="B8013" s="27" t="s">
        <v>20943</v>
      </c>
      <c r="C8013" s="27" t="s">
        <v>144</v>
      </c>
      <c r="D8013" s="26"/>
      <c r="E8013" s="27"/>
      <c r="F8013" s="27"/>
      <c r="G8013" s="27" t="s">
        <v>11122</v>
      </c>
      <c r="H8013" s="27" t="s">
        <v>35</v>
      </c>
      <c r="I8013" s="27" t="s">
        <v>38</v>
      </c>
      <c r="J8013" s="28" t="s">
        <v>856</v>
      </c>
      <c r="K8013" s="27" t="s">
        <v>38</v>
      </c>
      <c r="L8013" s="27"/>
    </row>
    <row r="8014" customFormat="false" ht="15" hidden="false" customHeight="false" outlineLevel="0" collapsed="false">
      <c r="A8014" s="26" t="s">
        <v>20944</v>
      </c>
      <c r="B8014" s="27" t="s">
        <v>20945</v>
      </c>
      <c r="C8014" s="27" t="s">
        <v>3373</v>
      </c>
      <c r="D8014" s="26"/>
      <c r="E8014" s="27"/>
      <c r="F8014" s="27"/>
      <c r="G8014" s="27" t="s">
        <v>11122</v>
      </c>
      <c r="H8014" s="27" t="s">
        <v>35</v>
      </c>
      <c r="I8014" s="27" t="s">
        <v>37</v>
      </c>
      <c r="J8014" s="28" t="s">
        <v>856</v>
      </c>
      <c r="K8014" s="27" t="s">
        <v>38</v>
      </c>
      <c r="L8014" s="27"/>
    </row>
    <row r="8015" customFormat="false" ht="15" hidden="false" customHeight="false" outlineLevel="0" collapsed="false">
      <c r="A8015" s="26" t="s">
        <v>20946</v>
      </c>
      <c r="B8015" s="27" t="s">
        <v>20945</v>
      </c>
      <c r="C8015" s="27" t="s">
        <v>144</v>
      </c>
      <c r="D8015" s="26"/>
      <c r="E8015" s="27"/>
      <c r="F8015" s="27"/>
      <c r="G8015" s="27" t="s">
        <v>11122</v>
      </c>
      <c r="H8015" s="27" t="s">
        <v>35</v>
      </c>
      <c r="I8015" s="27" t="s">
        <v>37</v>
      </c>
      <c r="J8015" s="28" t="s">
        <v>856</v>
      </c>
      <c r="K8015" s="27" t="s">
        <v>38</v>
      </c>
      <c r="L8015" s="27"/>
    </row>
    <row r="8016" customFormat="false" ht="15" hidden="false" customHeight="false" outlineLevel="0" collapsed="false">
      <c r="A8016" s="26" t="s">
        <v>20947</v>
      </c>
      <c r="B8016" s="27" t="s">
        <v>20948</v>
      </c>
      <c r="C8016" s="27" t="s">
        <v>144</v>
      </c>
      <c r="D8016" s="26"/>
      <c r="E8016" s="27"/>
      <c r="F8016" s="27"/>
      <c r="G8016" s="27" t="s">
        <v>11122</v>
      </c>
      <c r="H8016" s="27" t="s">
        <v>35</v>
      </c>
      <c r="I8016" s="27" t="s">
        <v>41</v>
      </c>
      <c r="J8016" s="28" t="s">
        <v>856</v>
      </c>
      <c r="K8016" s="27" t="s">
        <v>38</v>
      </c>
      <c r="L8016" s="27"/>
    </row>
    <row r="8017" customFormat="false" ht="15" hidden="false" customHeight="false" outlineLevel="0" collapsed="false">
      <c r="A8017" s="26" t="s">
        <v>20949</v>
      </c>
      <c r="B8017" s="27" t="s">
        <v>20950</v>
      </c>
      <c r="C8017" s="27" t="s">
        <v>144</v>
      </c>
      <c r="D8017" s="26"/>
      <c r="E8017" s="27"/>
      <c r="F8017" s="27"/>
      <c r="G8017" s="27" t="s">
        <v>11122</v>
      </c>
      <c r="H8017" s="27" t="s">
        <v>35</v>
      </c>
      <c r="I8017" s="27" t="s">
        <v>38</v>
      </c>
      <c r="J8017" s="28" t="s">
        <v>856</v>
      </c>
      <c r="K8017" s="27" t="s">
        <v>38</v>
      </c>
      <c r="L8017" s="27"/>
    </row>
    <row r="8018" customFormat="false" ht="15" hidden="false" customHeight="false" outlineLevel="0" collapsed="false">
      <c r="A8018" s="26" t="s">
        <v>20951</v>
      </c>
      <c r="B8018" s="27" t="s">
        <v>20952</v>
      </c>
      <c r="C8018" s="27" t="s">
        <v>144</v>
      </c>
      <c r="D8018" s="26"/>
      <c r="E8018" s="27"/>
      <c r="F8018" s="27"/>
      <c r="G8018" s="27" t="s">
        <v>11122</v>
      </c>
      <c r="H8018" s="27" t="s">
        <v>35</v>
      </c>
      <c r="I8018" s="27" t="s">
        <v>37</v>
      </c>
      <c r="J8018" s="28" t="s">
        <v>856</v>
      </c>
      <c r="K8018" s="27" t="s">
        <v>38</v>
      </c>
      <c r="L8018" s="27"/>
    </row>
    <row r="8019" customFormat="false" ht="15" hidden="false" customHeight="false" outlineLevel="0" collapsed="false">
      <c r="A8019" s="26" t="s">
        <v>20953</v>
      </c>
      <c r="B8019" s="27" t="s">
        <v>20954</v>
      </c>
      <c r="C8019" s="27" t="s">
        <v>144</v>
      </c>
      <c r="D8019" s="26"/>
      <c r="E8019" s="27"/>
      <c r="F8019" s="27"/>
      <c r="G8019" s="27" t="s">
        <v>11122</v>
      </c>
      <c r="H8019" s="27" t="s">
        <v>35</v>
      </c>
      <c r="I8019" s="27" t="s">
        <v>37</v>
      </c>
      <c r="J8019" s="28" t="s">
        <v>856</v>
      </c>
      <c r="K8019" s="27" t="s">
        <v>38</v>
      </c>
      <c r="L8019" s="27"/>
    </row>
    <row r="8020" customFormat="false" ht="15" hidden="false" customHeight="false" outlineLevel="0" collapsed="false">
      <c r="A8020" s="26" t="s">
        <v>20955</v>
      </c>
      <c r="B8020" s="27" t="s">
        <v>20956</v>
      </c>
      <c r="C8020" s="27" t="s">
        <v>144</v>
      </c>
      <c r="D8020" s="26"/>
      <c r="E8020" s="27"/>
      <c r="F8020" s="27"/>
      <c r="G8020" s="27" t="s">
        <v>11122</v>
      </c>
      <c r="H8020" s="27" t="s">
        <v>35</v>
      </c>
      <c r="I8020" s="27" t="s">
        <v>38</v>
      </c>
      <c r="J8020" s="28" t="s">
        <v>856</v>
      </c>
      <c r="K8020" s="27" t="s">
        <v>38</v>
      </c>
      <c r="L8020" s="27"/>
    </row>
    <row r="8021" customFormat="false" ht="15" hidden="false" customHeight="false" outlineLevel="0" collapsed="false">
      <c r="A8021" s="26" t="s">
        <v>20957</v>
      </c>
      <c r="B8021" s="27" t="s">
        <v>20958</v>
      </c>
      <c r="C8021" s="27" t="s">
        <v>144</v>
      </c>
      <c r="D8021" s="26"/>
      <c r="E8021" s="27"/>
      <c r="F8021" s="27"/>
      <c r="G8021" s="27" t="s">
        <v>11122</v>
      </c>
      <c r="H8021" s="27" t="s">
        <v>35</v>
      </c>
      <c r="I8021" s="27" t="s">
        <v>38</v>
      </c>
      <c r="J8021" s="28" t="s">
        <v>856</v>
      </c>
      <c r="K8021" s="27" t="s">
        <v>38</v>
      </c>
      <c r="L8021" s="27"/>
    </row>
    <row r="8022" customFormat="false" ht="15" hidden="false" customHeight="false" outlineLevel="0" collapsed="false">
      <c r="A8022" s="26" t="s">
        <v>20959</v>
      </c>
      <c r="B8022" s="27" t="s">
        <v>20960</v>
      </c>
      <c r="C8022" s="27" t="s">
        <v>144</v>
      </c>
      <c r="D8022" s="26"/>
      <c r="E8022" s="27"/>
      <c r="F8022" s="27"/>
      <c r="G8022" s="27" t="s">
        <v>11122</v>
      </c>
      <c r="H8022" s="27" t="s">
        <v>35</v>
      </c>
      <c r="I8022" s="27" t="s">
        <v>37</v>
      </c>
      <c r="J8022" s="28" t="s">
        <v>856</v>
      </c>
      <c r="K8022" s="27" t="s">
        <v>38</v>
      </c>
      <c r="L8022" s="27"/>
    </row>
    <row r="8023" customFormat="false" ht="15" hidden="false" customHeight="false" outlineLevel="0" collapsed="false">
      <c r="A8023" s="26" t="s">
        <v>20961</v>
      </c>
      <c r="B8023" s="27" t="s">
        <v>20962</v>
      </c>
      <c r="C8023" s="27" t="s">
        <v>144</v>
      </c>
      <c r="D8023" s="26"/>
      <c r="E8023" s="27"/>
      <c r="F8023" s="27"/>
      <c r="G8023" s="27" t="s">
        <v>11122</v>
      </c>
      <c r="H8023" s="27" t="s">
        <v>35</v>
      </c>
      <c r="I8023" s="27" t="s">
        <v>37</v>
      </c>
      <c r="J8023" s="28" t="s">
        <v>856</v>
      </c>
      <c r="K8023" s="27" t="s">
        <v>38</v>
      </c>
      <c r="L8023" s="27"/>
    </row>
    <row r="8024" customFormat="false" ht="15" hidden="false" customHeight="false" outlineLevel="0" collapsed="false">
      <c r="A8024" s="26" t="s">
        <v>20963</v>
      </c>
      <c r="B8024" s="27" t="s">
        <v>20964</v>
      </c>
      <c r="C8024" s="27" t="s">
        <v>144</v>
      </c>
      <c r="D8024" s="26"/>
      <c r="E8024" s="27"/>
      <c r="F8024" s="27"/>
      <c r="G8024" s="27" t="s">
        <v>11122</v>
      </c>
      <c r="H8024" s="27" t="s">
        <v>35</v>
      </c>
      <c r="I8024" s="27" t="s">
        <v>38</v>
      </c>
      <c r="J8024" s="28" t="s">
        <v>856</v>
      </c>
      <c r="K8024" s="27" t="s">
        <v>38</v>
      </c>
      <c r="L8024" s="27"/>
    </row>
    <row r="8025" customFormat="false" ht="15" hidden="false" customHeight="false" outlineLevel="0" collapsed="false">
      <c r="A8025" s="26" t="s">
        <v>20965</v>
      </c>
      <c r="B8025" s="27" t="s">
        <v>20966</v>
      </c>
      <c r="C8025" s="27" t="s">
        <v>144</v>
      </c>
      <c r="D8025" s="26"/>
      <c r="E8025" s="27"/>
      <c r="F8025" s="27"/>
      <c r="G8025" s="27" t="s">
        <v>11122</v>
      </c>
      <c r="H8025" s="27" t="s">
        <v>35</v>
      </c>
      <c r="I8025" s="27" t="s">
        <v>37</v>
      </c>
      <c r="J8025" s="28" t="s">
        <v>856</v>
      </c>
      <c r="K8025" s="27" t="s">
        <v>38</v>
      </c>
      <c r="L8025" s="27"/>
    </row>
    <row r="8026" customFormat="false" ht="15" hidden="false" customHeight="false" outlineLevel="0" collapsed="false">
      <c r="A8026" s="26" t="s">
        <v>20967</v>
      </c>
      <c r="B8026" s="27" t="s">
        <v>20968</v>
      </c>
      <c r="C8026" s="27" t="s">
        <v>144</v>
      </c>
      <c r="D8026" s="26"/>
      <c r="E8026" s="27"/>
      <c r="F8026" s="27"/>
      <c r="G8026" s="27" t="s">
        <v>11122</v>
      </c>
      <c r="H8026" s="27" t="s">
        <v>35</v>
      </c>
      <c r="I8026" s="27" t="s">
        <v>37</v>
      </c>
      <c r="J8026" s="28" t="s">
        <v>856</v>
      </c>
      <c r="K8026" s="27" t="s">
        <v>38</v>
      </c>
      <c r="L8026" s="27"/>
    </row>
    <row r="8027" customFormat="false" ht="15" hidden="false" customHeight="false" outlineLevel="0" collapsed="false">
      <c r="A8027" s="26" t="s">
        <v>20969</v>
      </c>
      <c r="B8027" s="27" t="s">
        <v>20970</v>
      </c>
      <c r="C8027" s="27" t="s">
        <v>144</v>
      </c>
      <c r="D8027" s="26"/>
      <c r="E8027" s="27"/>
      <c r="F8027" s="27"/>
      <c r="G8027" s="27" t="s">
        <v>11122</v>
      </c>
      <c r="H8027" s="27" t="s">
        <v>35</v>
      </c>
      <c r="I8027" s="27" t="s">
        <v>37</v>
      </c>
      <c r="J8027" s="28" t="s">
        <v>856</v>
      </c>
      <c r="K8027" s="27" t="s">
        <v>38</v>
      </c>
      <c r="L8027" s="27"/>
    </row>
    <row r="8028" customFormat="false" ht="15" hidden="false" customHeight="false" outlineLevel="0" collapsed="false">
      <c r="A8028" s="26" t="s">
        <v>20971</v>
      </c>
      <c r="B8028" s="27" t="s">
        <v>20972</v>
      </c>
      <c r="C8028" s="27" t="s">
        <v>144</v>
      </c>
      <c r="D8028" s="26"/>
      <c r="E8028" s="27"/>
      <c r="F8028" s="27"/>
      <c r="G8028" s="27" t="s">
        <v>11122</v>
      </c>
      <c r="H8028" s="27" t="s">
        <v>35</v>
      </c>
      <c r="I8028" s="27" t="s">
        <v>38</v>
      </c>
      <c r="J8028" s="28" t="s">
        <v>856</v>
      </c>
      <c r="K8028" s="27" t="s">
        <v>38</v>
      </c>
      <c r="L8028" s="27"/>
    </row>
    <row r="8029" customFormat="false" ht="15" hidden="false" customHeight="false" outlineLevel="0" collapsed="false">
      <c r="A8029" s="26" t="s">
        <v>20973</v>
      </c>
      <c r="B8029" s="27" t="s">
        <v>20974</v>
      </c>
      <c r="C8029" s="27" t="s">
        <v>144</v>
      </c>
      <c r="D8029" s="26"/>
      <c r="E8029" s="27"/>
      <c r="F8029" s="27"/>
      <c r="G8029" s="27" t="s">
        <v>11122</v>
      </c>
      <c r="H8029" s="27" t="s">
        <v>35</v>
      </c>
      <c r="I8029" s="27" t="s">
        <v>39</v>
      </c>
      <c r="J8029" s="28" t="s">
        <v>856</v>
      </c>
      <c r="K8029" s="27" t="s">
        <v>38</v>
      </c>
      <c r="L8029" s="27"/>
    </row>
    <row r="8030" customFormat="false" ht="15" hidden="false" customHeight="false" outlineLevel="0" collapsed="false">
      <c r="A8030" s="26" t="s">
        <v>20975</v>
      </c>
      <c r="B8030" s="27" t="s">
        <v>20976</v>
      </c>
      <c r="C8030" s="27" t="s">
        <v>144</v>
      </c>
      <c r="D8030" s="26"/>
      <c r="E8030" s="27"/>
      <c r="F8030" s="27"/>
      <c r="G8030" s="27" t="s">
        <v>11122</v>
      </c>
      <c r="H8030" s="27" t="s">
        <v>35</v>
      </c>
      <c r="I8030" s="27" t="s">
        <v>47</v>
      </c>
      <c r="J8030" s="28" t="s">
        <v>856</v>
      </c>
      <c r="K8030" s="27" t="s">
        <v>38</v>
      </c>
      <c r="L8030" s="27"/>
    </row>
    <row r="8031" customFormat="false" ht="15" hidden="false" customHeight="false" outlineLevel="0" collapsed="false">
      <c r="A8031" s="26" t="s">
        <v>20977</v>
      </c>
      <c r="B8031" s="27" t="s">
        <v>20978</v>
      </c>
      <c r="C8031" s="27" t="s">
        <v>144</v>
      </c>
      <c r="D8031" s="26"/>
      <c r="E8031" s="27"/>
      <c r="F8031" s="27"/>
      <c r="G8031" s="27" t="s">
        <v>11122</v>
      </c>
      <c r="H8031" s="27" t="s">
        <v>35</v>
      </c>
      <c r="I8031" s="27" t="s">
        <v>47</v>
      </c>
      <c r="J8031" s="28" t="s">
        <v>856</v>
      </c>
      <c r="K8031" s="27" t="s">
        <v>38</v>
      </c>
      <c r="L8031" s="27"/>
    </row>
    <row r="8032" customFormat="false" ht="15" hidden="false" customHeight="false" outlineLevel="0" collapsed="false">
      <c r="A8032" s="26" t="s">
        <v>20979</v>
      </c>
      <c r="B8032" s="27" t="s">
        <v>20980</v>
      </c>
      <c r="C8032" s="27" t="s">
        <v>144</v>
      </c>
      <c r="D8032" s="26"/>
      <c r="E8032" s="27"/>
      <c r="F8032" s="27"/>
      <c r="G8032" s="27" t="s">
        <v>11122</v>
      </c>
      <c r="H8032" s="27" t="s">
        <v>35</v>
      </c>
      <c r="I8032" s="27" t="s">
        <v>39</v>
      </c>
      <c r="J8032" s="28" t="s">
        <v>856</v>
      </c>
      <c r="K8032" s="27" t="s">
        <v>38</v>
      </c>
      <c r="L8032" s="27"/>
    </row>
    <row r="8033" customFormat="false" ht="15" hidden="false" customHeight="false" outlineLevel="0" collapsed="false">
      <c r="A8033" s="26" t="s">
        <v>20981</v>
      </c>
      <c r="B8033" s="27" t="s">
        <v>20982</v>
      </c>
      <c r="C8033" s="27" t="s">
        <v>144</v>
      </c>
      <c r="D8033" s="26"/>
      <c r="E8033" s="27"/>
      <c r="F8033" s="27"/>
      <c r="G8033" s="27" t="s">
        <v>11122</v>
      </c>
      <c r="H8033" s="27" t="s">
        <v>35</v>
      </c>
      <c r="I8033" s="27" t="s">
        <v>47</v>
      </c>
      <c r="J8033" s="28" t="s">
        <v>856</v>
      </c>
      <c r="K8033" s="27" t="s">
        <v>38</v>
      </c>
      <c r="L8033" s="27"/>
    </row>
    <row r="8034" customFormat="false" ht="15" hidden="false" customHeight="false" outlineLevel="0" collapsed="false">
      <c r="A8034" s="26" t="s">
        <v>20983</v>
      </c>
      <c r="B8034" s="27" t="s">
        <v>20984</v>
      </c>
      <c r="C8034" s="27" t="s">
        <v>144</v>
      </c>
      <c r="D8034" s="26"/>
      <c r="E8034" s="27"/>
      <c r="F8034" s="27"/>
      <c r="G8034" s="27" t="s">
        <v>11122</v>
      </c>
      <c r="H8034" s="27" t="s">
        <v>35</v>
      </c>
      <c r="I8034" s="27" t="s">
        <v>38</v>
      </c>
      <c r="J8034" s="28" t="s">
        <v>856</v>
      </c>
      <c r="K8034" s="27" t="s">
        <v>38</v>
      </c>
      <c r="L8034" s="27"/>
    </row>
    <row r="8035" customFormat="false" ht="15" hidden="false" customHeight="false" outlineLevel="0" collapsed="false">
      <c r="A8035" s="26" t="s">
        <v>20985</v>
      </c>
      <c r="B8035" s="27" t="s">
        <v>20986</v>
      </c>
      <c r="C8035" s="27" t="s">
        <v>144</v>
      </c>
      <c r="D8035" s="26"/>
      <c r="E8035" s="27"/>
      <c r="F8035" s="27"/>
      <c r="G8035" s="27" t="s">
        <v>11122</v>
      </c>
      <c r="H8035" s="27" t="s">
        <v>35</v>
      </c>
      <c r="I8035" s="27" t="s">
        <v>887</v>
      </c>
      <c r="J8035" s="28" t="s">
        <v>856</v>
      </c>
      <c r="K8035" s="27" t="s">
        <v>38</v>
      </c>
      <c r="L8035" s="27"/>
    </row>
    <row r="8036" customFormat="false" ht="15" hidden="false" customHeight="false" outlineLevel="0" collapsed="false">
      <c r="A8036" s="26" t="s">
        <v>20987</v>
      </c>
      <c r="B8036" s="27" t="s">
        <v>20988</v>
      </c>
      <c r="C8036" s="27" t="s">
        <v>144</v>
      </c>
      <c r="D8036" s="26"/>
      <c r="E8036" s="27"/>
      <c r="F8036" s="27"/>
      <c r="G8036" s="27" t="s">
        <v>11122</v>
      </c>
      <c r="H8036" s="27" t="s">
        <v>35</v>
      </c>
      <c r="I8036" s="27" t="s">
        <v>38</v>
      </c>
      <c r="J8036" s="28" t="s">
        <v>856</v>
      </c>
      <c r="K8036" s="27" t="s">
        <v>38</v>
      </c>
      <c r="L8036" s="27"/>
    </row>
    <row r="8037" customFormat="false" ht="15" hidden="false" customHeight="false" outlineLevel="0" collapsed="false">
      <c r="A8037" s="26" t="s">
        <v>20989</v>
      </c>
      <c r="B8037" s="27" t="s">
        <v>20990</v>
      </c>
      <c r="C8037" s="27" t="s">
        <v>144</v>
      </c>
      <c r="D8037" s="26"/>
      <c r="E8037" s="27"/>
      <c r="F8037" s="27"/>
      <c r="G8037" s="27" t="s">
        <v>11122</v>
      </c>
      <c r="H8037" s="27" t="s">
        <v>35</v>
      </c>
      <c r="I8037" s="27" t="s">
        <v>38</v>
      </c>
      <c r="J8037" s="28" t="s">
        <v>856</v>
      </c>
      <c r="K8037" s="27" t="s">
        <v>38</v>
      </c>
      <c r="L8037" s="27"/>
    </row>
    <row r="8038" customFormat="false" ht="15" hidden="false" customHeight="false" outlineLevel="0" collapsed="false">
      <c r="A8038" s="26" t="s">
        <v>20991</v>
      </c>
      <c r="B8038" s="27" t="s">
        <v>20992</v>
      </c>
      <c r="C8038" s="27" t="s">
        <v>144</v>
      </c>
      <c r="D8038" s="26"/>
      <c r="E8038" s="27"/>
      <c r="F8038" s="27"/>
      <c r="G8038" s="27" t="s">
        <v>11122</v>
      </c>
      <c r="H8038" s="27" t="s">
        <v>35</v>
      </c>
      <c r="I8038" s="27" t="s">
        <v>887</v>
      </c>
      <c r="J8038" s="28" t="s">
        <v>856</v>
      </c>
      <c r="K8038" s="27" t="s">
        <v>38</v>
      </c>
      <c r="L8038" s="27"/>
    </row>
    <row r="8039" customFormat="false" ht="15" hidden="false" customHeight="false" outlineLevel="0" collapsed="false">
      <c r="A8039" s="26" t="s">
        <v>20993</v>
      </c>
      <c r="B8039" s="27" t="s">
        <v>20994</v>
      </c>
      <c r="C8039" s="27" t="s">
        <v>144</v>
      </c>
      <c r="D8039" s="26"/>
      <c r="E8039" s="27"/>
      <c r="F8039" s="27"/>
      <c r="G8039" s="27" t="s">
        <v>11122</v>
      </c>
      <c r="H8039" s="27" t="s">
        <v>35</v>
      </c>
      <c r="I8039" s="27" t="s">
        <v>38</v>
      </c>
      <c r="J8039" s="28" t="s">
        <v>856</v>
      </c>
      <c r="K8039" s="27" t="s">
        <v>38</v>
      </c>
      <c r="L8039" s="27"/>
    </row>
    <row r="8040" customFormat="false" ht="15" hidden="false" customHeight="false" outlineLevel="0" collapsed="false">
      <c r="A8040" s="26" t="s">
        <v>20995</v>
      </c>
      <c r="B8040" s="27" t="s">
        <v>20996</v>
      </c>
      <c r="C8040" s="27" t="s">
        <v>144</v>
      </c>
      <c r="D8040" s="26"/>
      <c r="E8040" s="27"/>
      <c r="F8040" s="27"/>
      <c r="G8040" s="27" t="s">
        <v>11122</v>
      </c>
      <c r="H8040" s="27" t="s">
        <v>35</v>
      </c>
      <c r="I8040" s="27" t="s">
        <v>887</v>
      </c>
      <c r="J8040" s="28" t="s">
        <v>856</v>
      </c>
      <c r="K8040" s="27" t="s">
        <v>38</v>
      </c>
      <c r="L8040" s="27"/>
    </row>
    <row r="8041" customFormat="false" ht="15" hidden="false" customHeight="false" outlineLevel="0" collapsed="false">
      <c r="A8041" s="26" t="s">
        <v>20997</v>
      </c>
      <c r="B8041" s="27" t="s">
        <v>20998</v>
      </c>
      <c r="C8041" s="27" t="s">
        <v>137</v>
      </c>
      <c r="D8041" s="26"/>
      <c r="E8041" s="27"/>
      <c r="F8041" s="27"/>
      <c r="G8041" s="27" t="s">
        <v>11122</v>
      </c>
      <c r="H8041" s="27" t="s">
        <v>35</v>
      </c>
      <c r="I8041" s="27" t="s">
        <v>887</v>
      </c>
      <c r="J8041" s="28" t="s">
        <v>856</v>
      </c>
      <c r="K8041" s="27" t="s">
        <v>38</v>
      </c>
      <c r="L8041" s="27"/>
    </row>
    <row r="8042" customFormat="false" ht="15" hidden="false" customHeight="false" outlineLevel="0" collapsed="false">
      <c r="A8042" s="26" t="s">
        <v>20999</v>
      </c>
      <c r="B8042" s="27" t="s">
        <v>21000</v>
      </c>
      <c r="C8042" s="27" t="s">
        <v>144</v>
      </c>
      <c r="D8042" s="26"/>
      <c r="E8042" s="27"/>
      <c r="F8042" s="27"/>
      <c r="G8042" s="27" t="s">
        <v>11122</v>
      </c>
      <c r="H8042" s="27" t="s">
        <v>35</v>
      </c>
      <c r="I8042" s="27" t="s">
        <v>37</v>
      </c>
      <c r="J8042" s="28" t="s">
        <v>856</v>
      </c>
      <c r="K8042" s="27" t="s">
        <v>38</v>
      </c>
      <c r="L8042" s="27"/>
    </row>
    <row r="8043" customFormat="false" ht="15" hidden="false" customHeight="false" outlineLevel="0" collapsed="false">
      <c r="A8043" s="26" t="s">
        <v>21001</v>
      </c>
      <c r="B8043" s="27" t="s">
        <v>21002</v>
      </c>
      <c r="C8043" s="27" t="s">
        <v>380</v>
      </c>
      <c r="D8043" s="26"/>
      <c r="E8043" s="27"/>
      <c r="F8043" s="27"/>
      <c r="G8043" s="27" t="s">
        <v>11122</v>
      </c>
      <c r="H8043" s="27" t="s">
        <v>35</v>
      </c>
      <c r="I8043" s="27" t="s">
        <v>41</v>
      </c>
      <c r="J8043" s="28" t="s">
        <v>856</v>
      </c>
      <c r="K8043" s="27" t="s">
        <v>38</v>
      </c>
      <c r="L8043" s="27"/>
    </row>
    <row r="8044" customFormat="false" ht="15" hidden="false" customHeight="false" outlineLevel="0" collapsed="false">
      <c r="A8044" s="26" t="s">
        <v>21003</v>
      </c>
      <c r="B8044" s="27" t="s">
        <v>21004</v>
      </c>
      <c r="C8044" s="27" t="s">
        <v>144</v>
      </c>
      <c r="D8044" s="26"/>
      <c r="E8044" s="27"/>
      <c r="F8044" s="27"/>
      <c r="G8044" s="27" t="s">
        <v>11122</v>
      </c>
      <c r="H8044" s="27" t="s">
        <v>35</v>
      </c>
      <c r="I8044" s="27" t="s">
        <v>37</v>
      </c>
      <c r="J8044" s="28" t="s">
        <v>856</v>
      </c>
      <c r="K8044" s="27" t="s">
        <v>38</v>
      </c>
      <c r="L8044" s="27"/>
    </row>
    <row r="8045" customFormat="false" ht="15" hidden="false" customHeight="false" outlineLevel="0" collapsed="false">
      <c r="A8045" s="26" t="s">
        <v>21005</v>
      </c>
      <c r="B8045" s="27" t="s">
        <v>21006</v>
      </c>
      <c r="C8045" s="27" t="s">
        <v>144</v>
      </c>
      <c r="D8045" s="26"/>
      <c r="E8045" s="27"/>
      <c r="F8045" s="27"/>
      <c r="G8045" s="27" t="s">
        <v>11122</v>
      </c>
      <c r="H8045" s="27" t="s">
        <v>35</v>
      </c>
      <c r="I8045" s="27" t="s">
        <v>41</v>
      </c>
      <c r="J8045" s="28" t="s">
        <v>856</v>
      </c>
      <c r="K8045" s="27" t="s">
        <v>38</v>
      </c>
      <c r="L8045" s="27"/>
    </row>
    <row r="8046" customFormat="false" ht="15" hidden="false" customHeight="false" outlineLevel="0" collapsed="false">
      <c r="A8046" s="26" t="s">
        <v>21007</v>
      </c>
      <c r="B8046" s="27" t="s">
        <v>21008</v>
      </c>
      <c r="C8046" s="27" t="s">
        <v>144</v>
      </c>
      <c r="D8046" s="26"/>
      <c r="E8046" s="27"/>
      <c r="F8046" s="27"/>
      <c r="G8046" s="27" t="s">
        <v>11122</v>
      </c>
      <c r="H8046" s="27" t="s">
        <v>35</v>
      </c>
      <c r="I8046" s="27" t="s">
        <v>37</v>
      </c>
      <c r="J8046" s="28" t="s">
        <v>856</v>
      </c>
      <c r="K8046" s="27" t="s">
        <v>38</v>
      </c>
      <c r="L8046" s="27"/>
    </row>
    <row r="8047" customFormat="false" ht="15" hidden="false" customHeight="false" outlineLevel="0" collapsed="false">
      <c r="A8047" s="26" t="s">
        <v>21009</v>
      </c>
      <c r="B8047" s="27" t="s">
        <v>21010</v>
      </c>
      <c r="C8047" s="27" t="s">
        <v>144</v>
      </c>
      <c r="D8047" s="26"/>
      <c r="E8047" s="27"/>
      <c r="F8047" s="27"/>
      <c r="G8047" s="27" t="s">
        <v>11122</v>
      </c>
      <c r="H8047" s="27" t="s">
        <v>35</v>
      </c>
      <c r="I8047" s="27" t="s">
        <v>38</v>
      </c>
      <c r="J8047" s="28" t="s">
        <v>856</v>
      </c>
      <c r="K8047" s="27" t="s">
        <v>38</v>
      </c>
      <c r="L8047" s="27"/>
    </row>
    <row r="8048" customFormat="false" ht="15" hidden="false" customHeight="false" outlineLevel="0" collapsed="false">
      <c r="A8048" s="26" t="s">
        <v>21011</v>
      </c>
      <c r="B8048" s="27" t="s">
        <v>21012</v>
      </c>
      <c r="C8048" s="27" t="s">
        <v>144</v>
      </c>
      <c r="D8048" s="26"/>
      <c r="E8048" s="27"/>
      <c r="F8048" s="27"/>
      <c r="G8048" s="27" t="s">
        <v>11122</v>
      </c>
      <c r="H8048" s="27" t="s">
        <v>35</v>
      </c>
      <c r="I8048" s="27" t="s">
        <v>38</v>
      </c>
      <c r="J8048" s="28" t="s">
        <v>856</v>
      </c>
      <c r="K8048" s="27" t="s">
        <v>38</v>
      </c>
      <c r="L8048" s="27"/>
    </row>
    <row r="8049" customFormat="false" ht="15" hidden="false" customHeight="false" outlineLevel="0" collapsed="false">
      <c r="A8049" s="26" t="s">
        <v>21013</v>
      </c>
      <c r="B8049" s="27" t="s">
        <v>21014</v>
      </c>
      <c r="C8049" s="27" t="s">
        <v>144</v>
      </c>
      <c r="D8049" s="26"/>
      <c r="E8049" s="27"/>
      <c r="F8049" s="27"/>
      <c r="G8049" s="27" t="s">
        <v>11122</v>
      </c>
      <c r="H8049" s="27" t="s">
        <v>35</v>
      </c>
      <c r="I8049" s="27" t="s">
        <v>38</v>
      </c>
      <c r="J8049" s="28" t="s">
        <v>856</v>
      </c>
      <c r="K8049" s="27" t="s">
        <v>38</v>
      </c>
      <c r="L8049" s="27"/>
    </row>
    <row r="8050" customFormat="false" ht="15" hidden="false" customHeight="false" outlineLevel="0" collapsed="false">
      <c r="A8050" s="26" t="s">
        <v>21015</v>
      </c>
      <c r="B8050" s="27" t="s">
        <v>21016</v>
      </c>
      <c r="C8050" s="27" t="s">
        <v>144</v>
      </c>
      <c r="D8050" s="26"/>
      <c r="E8050" s="27"/>
      <c r="F8050" s="27"/>
      <c r="G8050" s="27" t="s">
        <v>11122</v>
      </c>
      <c r="H8050" s="27" t="s">
        <v>35</v>
      </c>
      <c r="I8050" s="27" t="s">
        <v>38</v>
      </c>
      <c r="J8050" s="28" t="s">
        <v>856</v>
      </c>
      <c r="K8050" s="27" t="s">
        <v>38</v>
      </c>
      <c r="L8050" s="27"/>
    </row>
    <row r="8051" customFormat="false" ht="15" hidden="false" customHeight="false" outlineLevel="0" collapsed="false">
      <c r="A8051" s="26" t="s">
        <v>21017</v>
      </c>
      <c r="B8051" s="27" t="s">
        <v>21018</v>
      </c>
      <c r="C8051" s="27" t="s">
        <v>144</v>
      </c>
      <c r="D8051" s="26"/>
      <c r="E8051" s="27"/>
      <c r="F8051" s="27"/>
      <c r="G8051" s="27" t="s">
        <v>11122</v>
      </c>
      <c r="H8051" s="27" t="s">
        <v>35</v>
      </c>
      <c r="I8051" s="27" t="s">
        <v>38</v>
      </c>
      <c r="J8051" s="28" t="s">
        <v>856</v>
      </c>
      <c r="K8051" s="27" t="s">
        <v>38</v>
      </c>
      <c r="L8051" s="27"/>
    </row>
    <row r="8052" customFormat="false" ht="15" hidden="false" customHeight="false" outlineLevel="0" collapsed="false">
      <c r="A8052" s="26" t="s">
        <v>21019</v>
      </c>
      <c r="B8052" s="27" t="s">
        <v>21020</v>
      </c>
      <c r="C8052" s="27" t="s">
        <v>1187</v>
      </c>
      <c r="D8052" s="26"/>
      <c r="E8052" s="27"/>
      <c r="F8052" s="27"/>
      <c r="G8052" s="27" t="s">
        <v>11122</v>
      </c>
      <c r="H8052" s="27" t="s">
        <v>35</v>
      </c>
      <c r="I8052" s="27" t="s">
        <v>39</v>
      </c>
      <c r="J8052" s="28" t="s">
        <v>856</v>
      </c>
      <c r="K8052" s="27" t="s">
        <v>38</v>
      </c>
      <c r="L8052" s="27"/>
    </row>
    <row r="8053" customFormat="false" ht="15" hidden="false" customHeight="false" outlineLevel="0" collapsed="false">
      <c r="A8053" s="26" t="s">
        <v>21021</v>
      </c>
      <c r="B8053" s="27" t="s">
        <v>21022</v>
      </c>
      <c r="C8053" s="27" t="s">
        <v>380</v>
      </c>
      <c r="D8053" s="26"/>
      <c r="E8053" s="27"/>
      <c r="F8053" s="27"/>
      <c r="G8053" s="27" t="s">
        <v>11122</v>
      </c>
      <c r="H8053" s="27" t="s">
        <v>35</v>
      </c>
      <c r="I8053" s="27" t="s">
        <v>38</v>
      </c>
      <c r="J8053" s="28" t="s">
        <v>856</v>
      </c>
      <c r="K8053" s="27" t="s">
        <v>38</v>
      </c>
      <c r="L8053" s="27"/>
    </row>
    <row r="8054" customFormat="false" ht="15" hidden="false" customHeight="false" outlineLevel="0" collapsed="false">
      <c r="A8054" s="26" t="s">
        <v>21023</v>
      </c>
      <c r="B8054" s="27" t="s">
        <v>21024</v>
      </c>
      <c r="C8054" s="27" t="s">
        <v>137</v>
      </c>
      <c r="D8054" s="26"/>
      <c r="E8054" s="27"/>
      <c r="F8054" s="27"/>
      <c r="G8054" s="27" t="s">
        <v>11122</v>
      </c>
      <c r="H8054" s="27" t="s">
        <v>35</v>
      </c>
      <c r="I8054" s="27" t="s">
        <v>37</v>
      </c>
      <c r="J8054" s="28" t="s">
        <v>856</v>
      </c>
      <c r="K8054" s="27" t="s">
        <v>38</v>
      </c>
      <c r="L8054" s="27"/>
    </row>
    <row r="8055" customFormat="false" ht="15" hidden="false" customHeight="false" outlineLevel="0" collapsed="false">
      <c r="A8055" s="26" t="s">
        <v>21025</v>
      </c>
      <c r="B8055" s="27" t="s">
        <v>21026</v>
      </c>
      <c r="C8055" s="27" t="s">
        <v>144</v>
      </c>
      <c r="D8055" s="26"/>
      <c r="E8055" s="27"/>
      <c r="F8055" s="27"/>
      <c r="G8055" s="27" t="s">
        <v>11122</v>
      </c>
      <c r="H8055" s="27" t="s">
        <v>35</v>
      </c>
      <c r="I8055" s="27" t="s">
        <v>887</v>
      </c>
      <c r="J8055" s="28" t="s">
        <v>856</v>
      </c>
      <c r="K8055" s="27" t="s">
        <v>38</v>
      </c>
      <c r="L8055" s="27"/>
    </row>
    <row r="8056" customFormat="false" ht="15" hidden="false" customHeight="false" outlineLevel="0" collapsed="false">
      <c r="A8056" s="26" t="s">
        <v>21027</v>
      </c>
      <c r="B8056" s="27" t="s">
        <v>21028</v>
      </c>
      <c r="C8056" s="27" t="s">
        <v>144</v>
      </c>
      <c r="D8056" s="26"/>
      <c r="E8056" s="27"/>
      <c r="F8056" s="27"/>
      <c r="G8056" s="27" t="s">
        <v>11122</v>
      </c>
      <c r="H8056" s="27" t="s">
        <v>35</v>
      </c>
      <c r="I8056" s="27" t="s">
        <v>38</v>
      </c>
      <c r="J8056" s="28" t="s">
        <v>856</v>
      </c>
      <c r="K8056" s="27" t="s">
        <v>38</v>
      </c>
      <c r="L8056" s="27"/>
    </row>
    <row r="8057" customFormat="false" ht="15" hidden="false" customHeight="false" outlineLevel="0" collapsed="false">
      <c r="A8057" s="26" t="s">
        <v>21029</v>
      </c>
      <c r="B8057" s="27" t="s">
        <v>21030</v>
      </c>
      <c r="C8057" s="27" t="s">
        <v>137</v>
      </c>
      <c r="D8057" s="26"/>
      <c r="E8057" s="27"/>
      <c r="F8057" s="27"/>
      <c r="G8057" s="27" t="s">
        <v>11122</v>
      </c>
      <c r="H8057" s="27" t="s">
        <v>35</v>
      </c>
      <c r="I8057" s="27" t="s">
        <v>37</v>
      </c>
      <c r="J8057" s="28" t="s">
        <v>856</v>
      </c>
      <c r="K8057" s="27" t="s">
        <v>38</v>
      </c>
      <c r="L8057" s="27"/>
    </row>
    <row r="8058" customFormat="false" ht="15" hidden="false" customHeight="false" outlineLevel="0" collapsed="false">
      <c r="A8058" s="26" t="s">
        <v>21031</v>
      </c>
      <c r="B8058" s="27" t="s">
        <v>21032</v>
      </c>
      <c r="C8058" s="27" t="s">
        <v>144</v>
      </c>
      <c r="D8058" s="26"/>
      <c r="E8058" s="27"/>
      <c r="F8058" s="27"/>
      <c r="G8058" s="27" t="s">
        <v>11122</v>
      </c>
      <c r="H8058" s="27" t="s">
        <v>35</v>
      </c>
      <c r="I8058" s="27" t="s">
        <v>38</v>
      </c>
      <c r="J8058" s="28" t="s">
        <v>856</v>
      </c>
      <c r="K8058" s="27" t="s">
        <v>38</v>
      </c>
      <c r="L8058" s="27"/>
    </row>
    <row r="8059" customFormat="false" ht="15" hidden="false" customHeight="false" outlineLevel="0" collapsed="false">
      <c r="A8059" s="26" t="s">
        <v>21033</v>
      </c>
      <c r="B8059" s="27" t="s">
        <v>21034</v>
      </c>
      <c r="C8059" s="27" t="s">
        <v>144</v>
      </c>
      <c r="D8059" s="26"/>
      <c r="E8059" s="27"/>
      <c r="F8059" s="27"/>
      <c r="G8059" s="27" t="s">
        <v>11122</v>
      </c>
      <c r="H8059" s="27" t="s">
        <v>35</v>
      </c>
      <c r="I8059" s="27" t="s">
        <v>887</v>
      </c>
      <c r="J8059" s="28" t="s">
        <v>856</v>
      </c>
      <c r="K8059" s="27" t="s">
        <v>38</v>
      </c>
      <c r="L8059" s="27"/>
    </row>
    <row r="8060" customFormat="false" ht="15" hidden="false" customHeight="false" outlineLevel="0" collapsed="false">
      <c r="A8060" s="26" t="s">
        <v>21035</v>
      </c>
      <c r="B8060" s="27" t="s">
        <v>21036</v>
      </c>
      <c r="C8060" s="27" t="s">
        <v>144</v>
      </c>
      <c r="D8060" s="26"/>
      <c r="E8060" s="27"/>
      <c r="F8060" s="27"/>
      <c r="G8060" s="27" t="s">
        <v>11122</v>
      </c>
      <c r="H8060" s="27" t="s">
        <v>35</v>
      </c>
      <c r="I8060" s="27" t="s">
        <v>38</v>
      </c>
      <c r="J8060" s="28" t="s">
        <v>856</v>
      </c>
      <c r="K8060" s="27" t="s">
        <v>38</v>
      </c>
      <c r="L8060" s="27"/>
    </row>
    <row r="8061" customFormat="false" ht="15" hidden="false" customHeight="false" outlineLevel="0" collapsed="false">
      <c r="A8061" s="26" t="s">
        <v>21037</v>
      </c>
      <c r="B8061" s="27" t="s">
        <v>21038</v>
      </c>
      <c r="C8061" s="27" t="s">
        <v>137</v>
      </c>
      <c r="D8061" s="26"/>
      <c r="E8061" s="27"/>
      <c r="F8061" s="27"/>
      <c r="G8061" s="27" t="s">
        <v>11122</v>
      </c>
      <c r="H8061" s="27" t="s">
        <v>35</v>
      </c>
      <c r="I8061" s="27" t="s">
        <v>38</v>
      </c>
      <c r="J8061" s="28" t="s">
        <v>856</v>
      </c>
      <c r="K8061" s="27" t="s">
        <v>38</v>
      </c>
      <c r="L8061" s="27"/>
    </row>
    <row r="8062" customFormat="false" ht="15" hidden="false" customHeight="false" outlineLevel="0" collapsed="false">
      <c r="A8062" s="26" t="s">
        <v>21039</v>
      </c>
      <c r="B8062" s="27" t="s">
        <v>21040</v>
      </c>
      <c r="C8062" s="27" t="s">
        <v>2094</v>
      </c>
      <c r="D8062" s="26"/>
      <c r="E8062" s="27"/>
      <c r="F8062" s="27"/>
      <c r="G8062" s="27" t="s">
        <v>11122</v>
      </c>
      <c r="H8062" s="27" t="s">
        <v>35</v>
      </c>
      <c r="I8062" s="27" t="s">
        <v>37</v>
      </c>
      <c r="J8062" s="28" t="s">
        <v>856</v>
      </c>
      <c r="K8062" s="27" t="s">
        <v>38</v>
      </c>
      <c r="L8062" s="27"/>
    </row>
    <row r="8063" customFormat="false" ht="15" hidden="false" customHeight="false" outlineLevel="0" collapsed="false">
      <c r="A8063" s="26" t="s">
        <v>21041</v>
      </c>
      <c r="B8063" s="27" t="s">
        <v>21042</v>
      </c>
      <c r="C8063" s="27" t="s">
        <v>144</v>
      </c>
      <c r="D8063" s="26"/>
      <c r="E8063" s="27"/>
      <c r="F8063" s="27"/>
      <c r="G8063" s="27" t="s">
        <v>11122</v>
      </c>
      <c r="H8063" s="27" t="s">
        <v>35</v>
      </c>
      <c r="I8063" s="27" t="s">
        <v>38</v>
      </c>
      <c r="J8063" s="28" t="s">
        <v>856</v>
      </c>
      <c r="K8063" s="27" t="s">
        <v>38</v>
      </c>
      <c r="L8063" s="27"/>
    </row>
    <row r="8064" customFormat="false" ht="15" hidden="false" customHeight="false" outlineLevel="0" collapsed="false">
      <c r="A8064" s="26" t="s">
        <v>21043</v>
      </c>
      <c r="B8064" s="27" t="s">
        <v>21044</v>
      </c>
      <c r="C8064" s="27" t="s">
        <v>144</v>
      </c>
      <c r="D8064" s="26"/>
      <c r="E8064" s="27"/>
      <c r="F8064" s="27"/>
      <c r="G8064" s="27" t="s">
        <v>11122</v>
      </c>
      <c r="H8064" s="27" t="s">
        <v>35</v>
      </c>
      <c r="I8064" s="27" t="s">
        <v>47</v>
      </c>
      <c r="J8064" s="28" t="s">
        <v>856</v>
      </c>
      <c r="K8064" s="27" t="s">
        <v>38</v>
      </c>
      <c r="L8064" s="27"/>
    </row>
    <row r="8065" customFormat="false" ht="15" hidden="false" customHeight="false" outlineLevel="0" collapsed="false">
      <c r="A8065" s="26" t="s">
        <v>21045</v>
      </c>
      <c r="B8065" s="27" t="s">
        <v>21046</v>
      </c>
      <c r="C8065" s="27" t="s">
        <v>144</v>
      </c>
      <c r="D8065" s="26"/>
      <c r="E8065" s="27"/>
      <c r="F8065" s="27"/>
      <c r="G8065" s="27" t="s">
        <v>11122</v>
      </c>
      <c r="H8065" s="27" t="s">
        <v>35</v>
      </c>
      <c r="I8065" s="27" t="s">
        <v>37</v>
      </c>
      <c r="J8065" s="28" t="s">
        <v>856</v>
      </c>
      <c r="K8065" s="27" t="s">
        <v>38</v>
      </c>
      <c r="L8065" s="27"/>
    </row>
    <row r="8066" customFormat="false" ht="15" hidden="false" customHeight="false" outlineLevel="0" collapsed="false">
      <c r="A8066" s="26" t="s">
        <v>21047</v>
      </c>
      <c r="B8066" s="27" t="s">
        <v>21048</v>
      </c>
      <c r="C8066" s="27" t="s">
        <v>1087</v>
      </c>
      <c r="D8066" s="26"/>
      <c r="E8066" s="27"/>
      <c r="F8066" s="27"/>
      <c r="G8066" s="27" t="s">
        <v>11122</v>
      </c>
      <c r="H8066" s="27" t="s">
        <v>35</v>
      </c>
      <c r="I8066" s="27" t="s">
        <v>38</v>
      </c>
      <c r="J8066" s="28" t="s">
        <v>856</v>
      </c>
      <c r="K8066" s="27" t="s">
        <v>38</v>
      </c>
      <c r="L8066" s="27"/>
    </row>
    <row r="8067" customFormat="false" ht="15" hidden="false" customHeight="false" outlineLevel="0" collapsed="false">
      <c r="A8067" s="26" t="s">
        <v>21049</v>
      </c>
      <c r="B8067" s="27" t="s">
        <v>21050</v>
      </c>
      <c r="C8067" s="27" t="s">
        <v>144</v>
      </c>
      <c r="D8067" s="26"/>
      <c r="E8067" s="27"/>
      <c r="F8067" s="27"/>
      <c r="G8067" s="27" t="s">
        <v>11122</v>
      </c>
      <c r="H8067" s="27" t="s">
        <v>35</v>
      </c>
      <c r="I8067" s="27" t="s">
        <v>43</v>
      </c>
      <c r="J8067" s="28" t="s">
        <v>856</v>
      </c>
      <c r="K8067" s="27" t="s">
        <v>38</v>
      </c>
      <c r="L8067" s="27"/>
    </row>
    <row r="8068" customFormat="false" ht="15" hidden="false" customHeight="false" outlineLevel="0" collapsed="false">
      <c r="A8068" s="26" t="s">
        <v>21051</v>
      </c>
      <c r="B8068" s="27" t="s">
        <v>21052</v>
      </c>
      <c r="C8068" s="27" t="s">
        <v>144</v>
      </c>
      <c r="D8068" s="26"/>
      <c r="E8068" s="27"/>
      <c r="F8068" s="27"/>
      <c r="G8068" s="27" t="s">
        <v>11122</v>
      </c>
      <c r="H8068" s="27" t="s">
        <v>35</v>
      </c>
      <c r="I8068" s="27" t="s">
        <v>38</v>
      </c>
      <c r="J8068" s="28" t="s">
        <v>856</v>
      </c>
      <c r="K8068" s="27" t="s">
        <v>38</v>
      </c>
      <c r="L8068" s="27"/>
    </row>
    <row r="8069" customFormat="false" ht="15" hidden="false" customHeight="false" outlineLevel="0" collapsed="false">
      <c r="A8069" s="26" t="s">
        <v>21053</v>
      </c>
      <c r="B8069" s="27" t="s">
        <v>21054</v>
      </c>
      <c r="C8069" s="27" t="s">
        <v>144</v>
      </c>
      <c r="D8069" s="26"/>
      <c r="E8069" s="27"/>
      <c r="F8069" s="27"/>
      <c r="G8069" s="27" t="s">
        <v>11122</v>
      </c>
      <c r="H8069" s="27" t="s">
        <v>35</v>
      </c>
      <c r="I8069" s="27" t="s">
        <v>43</v>
      </c>
      <c r="J8069" s="28" t="s">
        <v>856</v>
      </c>
      <c r="K8069" s="27" t="s">
        <v>38</v>
      </c>
      <c r="L8069" s="27"/>
    </row>
    <row r="8070" customFormat="false" ht="15" hidden="false" customHeight="false" outlineLevel="0" collapsed="false">
      <c r="A8070" s="26" t="s">
        <v>21055</v>
      </c>
      <c r="B8070" s="27" t="s">
        <v>21056</v>
      </c>
      <c r="C8070" s="27" t="s">
        <v>144</v>
      </c>
      <c r="D8070" s="26"/>
      <c r="E8070" s="27"/>
      <c r="F8070" s="27"/>
      <c r="G8070" s="27" t="s">
        <v>11122</v>
      </c>
      <c r="H8070" s="27" t="s">
        <v>35</v>
      </c>
      <c r="I8070" s="27" t="s">
        <v>38</v>
      </c>
      <c r="J8070" s="28" t="s">
        <v>856</v>
      </c>
      <c r="K8070" s="27" t="s">
        <v>38</v>
      </c>
      <c r="L8070" s="27"/>
    </row>
    <row r="8071" customFormat="false" ht="15" hidden="false" customHeight="false" outlineLevel="0" collapsed="false">
      <c r="A8071" s="26" t="s">
        <v>21057</v>
      </c>
      <c r="B8071" s="27" t="s">
        <v>21058</v>
      </c>
      <c r="C8071" s="27" t="s">
        <v>380</v>
      </c>
      <c r="D8071" s="26"/>
      <c r="E8071" s="27"/>
      <c r="F8071" s="27"/>
      <c r="G8071" s="27" t="s">
        <v>11122</v>
      </c>
      <c r="H8071" s="27" t="s">
        <v>35</v>
      </c>
      <c r="I8071" s="27" t="s">
        <v>38</v>
      </c>
      <c r="J8071" s="28" t="s">
        <v>856</v>
      </c>
      <c r="K8071" s="27" t="s">
        <v>38</v>
      </c>
      <c r="L8071" s="27"/>
    </row>
    <row r="8072" customFormat="false" ht="15" hidden="false" customHeight="false" outlineLevel="0" collapsed="false">
      <c r="A8072" s="26" t="s">
        <v>21059</v>
      </c>
      <c r="B8072" s="27" t="s">
        <v>21060</v>
      </c>
      <c r="C8072" s="27" t="s">
        <v>144</v>
      </c>
      <c r="D8072" s="26"/>
      <c r="E8072" s="27"/>
      <c r="F8072" s="27"/>
      <c r="G8072" s="27" t="s">
        <v>11122</v>
      </c>
      <c r="H8072" s="27" t="s">
        <v>35</v>
      </c>
      <c r="I8072" s="27" t="s">
        <v>41</v>
      </c>
      <c r="J8072" s="28" t="s">
        <v>856</v>
      </c>
      <c r="K8072" s="27" t="s">
        <v>38</v>
      </c>
      <c r="L8072" s="27"/>
    </row>
    <row r="8073" customFormat="false" ht="15" hidden="false" customHeight="false" outlineLevel="0" collapsed="false">
      <c r="A8073" s="26" t="s">
        <v>21061</v>
      </c>
      <c r="B8073" s="27" t="s">
        <v>21062</v>
      </c>
      <c r="C8073" s="27" t="s">
        <v>144</v>
      </c>
      <c r="D8073" s="26"/>
      <c r="E8073" s="27"/>
      <c r="F8073" s="27"/>
      <c r="G8073" s="27" t="s">
        <v>11122</v>
      </c>
      <c r="H8073" s="27" t="s">
        <v>35</v>
      </c>
      <c r="I8073" s="27" t="s">
        <v>38</v>
      </c>
      <c r="J8073" s="28" t="s">
        <v>856</v>
      </c>
      <c r="K8073" s="27" t="s">
        <v>38</v>
      </c>
      <c r="L8073" s="27"/>
    </row>
    <row r="8074" customFormat="false" ht="15" hidden="false" customHeight="false" outlineLevel="0" collapsed="false">
      <c r="A8074" s="26" t="s">
        <v>21063</v>
      </c>
      <c r="B8074" s="27" t="s">
        <v>21064</v>
      </c>
      <c r="C8074" s="27" t="s">
        <v>144</v>
      </c>
      <c r="D8074" s="26"/>
      <c r="E8074" s="27"/>
      <c r="F8074" s="27"/>
      <c r="G8074" s="27" t="s">
        <v>11122</v>
      </c>
      <c r="H8074" s="27" t="s">
        <v>35</v>
      </c>
      <c r="I8074" s="27" t="s">
        <v>887</v>
      </c>
      <c r="J8074" s="28" t="s">
        <v>856</v>
      </c>
      <c r="K8074" s="27" t="s">
        <v>38</v>
      </c>
      <c r="L8074" s="27"/>
    </row>
    <row r="8075" customFormat="false" ht="15" hidden="false" customHeight="false" outlineLevel="0" collapsed="false">
      <c r="A8075" s="26" t="s">
        <v>21065</v>
      </c>
      <c r="B8075" s="27" t="s">
        <v>21066</v>
      </c>
      <c r="C8075" s="27" t="s">
        <v>144</v>
      </c>
      <c r="D8075" s="26"/>
      <c r="E8075" s="27"/>
      <c r="F8075" s="27"/>
      <c r="G8075" s="27" t="s">
        <v>11122</v>
      </c>
      <c r="H8075" s="27" t="s">
        <v>35</v>
      </c>
      <c r="I8075" s="27" t="s">
        <v>887</v>
      </c>
      <c r="J8075" s="28" t="s">
        <v>856</v>
      </c>
      <c r="K8075" s="27" t="s">
        <v>38</v>
      </c>
      <c r="L8075" s="27"/>
    </row>
    <row r="8076" customFormat="false" ht="15" hidden="false" customHeight="false" outlineLevel="0" collapsed="false">
      <c r="A8076" s="26" t="s">
        <v>21067</v>
      </c>
      <c r="B8076" s="27" t="s">
        <v>21068</v>
      </c>
      <c r="C8076" s="27" t="s">
        <v>144</v>
      </c>
      <c r="D8076" s="26"/>
      <c r="E8076" s="27"/>
      <c r="F8076" s="27"/>
      <c r="G8076" s="27" t="s">
        <v>11122</v>
      </c>
      <c r="H8076" s="27" t="s">
        <v>35</v>
      </c>
      <c r="I8076" s="27" t="s">
        <v>38</v>
      </c>
      <c r="J8076" s="28" t="s">
        <v>856</v>
      </c>
      <c r="K8076" s="27" t="s">
        <v>38</v>
      </c>
      <c r="L8076" s="27"/>
    </row>
    <row r="8077" customFormat="false" ht="15" hidden="false" customHeight="false" outlineLevel="0" collapsed="false">
      <c r="A8077" s="26" t="s">
        <v>21069</v>
      </c>
      <c r="B8077" s="27" t="s">
        <v>21070</v>
      </c>
      <c r="C8077" s="27" t="s">
        <v>144</v>
      </c>
      <c r="D8077" s="26"/>
      <c r="E8077" s="27"/>
      <c r="F8077" s="27"/>
      <c r="G8077" s="27" t="s">
        <v>11122</v>
      </c>
      <c r="H8077" s="27" t="s">
        <v>35</v>
      </c>
      <c r="I8077" s="27" t="s">
        <v>38</v>
      </c>
      <c r="J8077" s="28" t="s">
        <v>856</v>
      </c>
      <c r="K8077" s="27" t="s">
        <v>38</v>
      </c>
      <c r="L8077" s="27"/>
    </row>
    <row r="8078" customFormat="false" ht="15" hidden="false" customHeight="false" outlineLevel="0" collapsed="false">
      <c r="A8078" s="26" t="s">
        <v>21071</v>
      </c>
      <c r="B8078" s="27" t="s">
        <v>21072</v>
      </c>
      <c r="C8078" s="27" t="s">
        <v>144</v>
      </c>
      <c r="D8078" s="26"/>
      <c r="E8078" s="27"/>
      <c r="F8078" s="27"/>
      <c r="G8078" s="27" t="s">
        <v>11122</v>
      </c>
      <c r="H8078" s="27" t="s">
        <v>35</v>
      </c>
      <c r="I8078" s="27" t="s">
        <v>38</v>
      </c>
      <c r="J8078" s="28" t="s">
        <v>856</v>
      </c>
      <c r="K8078" s="27" t="s">
        <v>38</v>
      </c>
      <c r="L8078" s="27"/>
    </row>
    <row r="8079" customFormat="false" ht="15" hidden="false" customHeight="false" outlineLevel="0" collapsed="false">
      <c r="A8079" s="26" t="s">
        <v>21073</v>
      </c>
      <c r="B8079" s="27" t="s">
        <v>21074</v>
      </c>
      <c r="C8079" s="27" t="s">
        <v>144</v>
      </c>
      <c r="D8079" s="26"/>
      <c r="E8079" s="27"/>
      <c r="F8079" s="27"/>
      <c r="G8079" s="27" t="s">
        <v>11122</v>
      </c>
      <c r="H8079" s="27" t="s">
        <v>35</v>
      </c>
      <c r="I8079" s="27" t="s">
        <v>38</v>
      </c>
      <c r="J8079" s="28" t="s">
        <v>856</v>
      </c>
      <c r="K8079" s="27" t="s">
        <v>38</v>
      </c>
      <c r="L8079" s="27"/>
    </row>
    <row r="8080" customFormat="false" ht="15" hidden="false" customHeight="false" outlineLevel="0" collapsed="false">
      <c r="A8080" s="26" t="s">
        <v>21075</v>
      </c>
      <c r="B8080" s="27" t="s">
        <v>21076</v>
      </c>
      <c r="C8080" s="27" t="s">
        <v>144</v>
      </c>
      <c r="D8080" s="26"/>
      <c r="E8080" s="27"/>
      <c r="F8080" s="27"/>
      <c r="G8080" s="27" t="s">
        <v>11122</v>
      </c>
      <c r="H8080" s="27" t="s">
        <v>35</v>
      </c>
      <c r="I8080" s="27" t="s">
        <v>42</v>
      </c>
      <c r="J8080" s="28" t="s">
        <v>856</v>
      </c>
      <c r="K8080" s="27" t="s">
        <v>38</v>
      </c>
      <c r="L8080" s="27"/>
    </row>
    <row r="8081" customFormat="false" ht="15" hidden="false" customHeight="false" outlineLevel="0" collapsed="false">
      <c r="A8081" s="26" t="s">
        <v>21077</v>
      </c>
      <c r="B8081" s="27" t="s">
        <v>21078</v>
      </c>
      <c r="C8081" s="27" t="s">
        <v>144</v>
      </c>
      <c r="D8081" s="26"/>
      <c r="E8081" s="27"/>
      <c r="F8081" s="27"/>
      <c r="G8081" s="27" t="s">
        <v>11122</v>
      </c>
      <c r="H8081" s="27" t="s">
        <v>35</v>
      </c>
      <c r="I8081" s="27" t="s">
        <v>38</v>
      </c>
      <c r="J8081" s="28" t="s">
        <v>856</v>
      </c>
      <c r="K8081" s="27" t="s">
        <v>38</v>
      </c>
      <c r="L8081" s="27"/>
    </row>
    <row r="8082" customFormat="false" ht="15" hidden="false" customHeight="false" outlineLevel="0" collapsed="false">
      <c r="A8082" s="26" t="s">
        <v>21079</v>
      </c>
      <c r="B8082" s="27" t="s">
        <v>21080</v>
      </c>
      <c r="C8082" s="27" t="s">
        <v>1187</v>
      </c>
      <c r="D8082" s="26"/>
      <c r="E8082" s="27"/>
      <c r="F8082" s="27"/>
      <c r="G8082" s="27" t="s">
        <v>11122</v>
      </c>
      <c r="H8082" s="27" t="s">
        <v>35</v>
      </c>
      <c r="I8082" s="27" t="s">
        <v>39</v>
      </c>
      <c r="J8082" s="28" t="s">
        <v>856</v>
      </c>
      <c r="K8082" s="27" t="s">
        <v>38</v>
      </c>
      <c r="L8082" s="27"/>
    </row>
    <row r="8083" customFormat="false" ht="15" hidden="false" customHeight="false" outlineLevel="0" collapsed="false">
      <c r="A8083" s="26" t="s">
        <v>21081</v>
      </c>
      <c r="B8083" s="27" t="s">
        <v>21082</v>
      </c>
      <c r="C8083" s="27" t="s">
        <v>1187</v>
      </c>
      <c r="D8083" s="26"/>
      <c r="E8083" s="27"/>
      <c r="F8083" s="27"/>
      <c r="G8083" s="27" t="s">
        <v>11122</v>
      </c>
      <c r="H8083" s="27" t="s">
        <v>35</v>
      </c>
      <c r="I8083" s="27" t="s">
        <v>38</v>
      </c>
      <c r="J8083" s="28" t="s">
        <v>856</v>
      </c>
      <c r="K8083" s="27" t="s">
        <v>38</v>
      </c>
      <c r="L8083" s="27"/>
    </row>
    <row r="8084" customFormat="false" ht="15" hidden="false" customHeight="false" outlineLevel="0" collapsed="false">
      <c r="A8084" s="26" t="s">
        <v>21083</v>
      </c>
      <c r="B8084" s="27" t="s">
        <v>21084</v>
      </c>
      <c r="C8084" s="27" t="s">
        <v>144</v>
      </c>
      <c r="D8084" s="26"/>
      <c r="E8084" s="27"/>
      <c r="F8084" s="27"/>
      <c r="G8084" s="27" t="s">
        <v>11122</v>
      </c>
      <c r="H8084" s="27" t="s">
        <v>35</v>
      </c>
      <c r="I8084" s="27" t="s">
        <v>887</v>
      </c>
      <c r="J8084" s="28" t="s">
        <v>856</v>
      </c>
      <c r="K8084" s="27" t="s">
        <v>38</v>
      </c>
      <c r="L8084" s="27"/>
    </row>
    <row r="8085" customFormat="false" ht="15" hidden="false" customHeight="false" outlineLevel="0" collapsed="false">
      <c r="A8085" s="26" t="s">
        <v>21085</v>
      </c>
      <c r="B8085" s="27" t="s">
        <v>21086</v>
      </c>
      <c r="C8085" s="27" t="s">
        <v>144</v>
      </c>
      <c r="D8085" s="26"/>
      <c r="E8085" s="27"/>
      <c r="F8085" s="27"/>
      <c r="G8085" s="27" t="s">
        <v>11122</v>
      </c>
      <c r="H8085" s="27" t="s">
        <v>35</v>
      </c>
      <c r="I8085" s="27" t="s">
        <v>887</v>
      </c>
      <c r="J8085" s="28" t="s">
        <v>856</v>
      </c>
      <c r="K8085" s="27" t="s">
        <v>38</v>
      </c>
      <c r="L8085" s="27"/>
    </row>
    <row r="8086" customFormat="false" ht="15" hidden="false" customHeight="false" outlineLevel="0" collapsed="false">
      <c r="A8086" s="26" t="s">
        <v>21087</v>
      </c>
      <c r="B8086" s="27" t="s">
        <v>21088</v>
      </c>
      <c r="C8086" s="27" t="s">
        <v>144</v>
      </c>
      <c r="D8086" s="26"/>
      <c r="E8086" s="27"/>
      <c r="F8086" s="27"/>
      <c r="G8086" s="27" t="s">
        <v>11122</v>
      </c>
      <c r="H8086" s="27" t="s">
        <v>35</v>
      </c>
      <c r="I8086" s="27" t="s">
        <v>38</v>
      </c>
      <c r="J8086" s="28" t="s">
        <v>856</v>
      </c>
      <c r="K8086" s="27" t="s">
        <v>38</v>
      </c>
      <c r="L8086" s="27"/>
    </row>
    <row r="8087" customFormat="false" ht="15" hidden="false" customHeight="false" outlineLevel="0" collapsed="false">
      <c r="A8087" s="26" t="s">
        <v>21089</v>
      </c>
      <c r="B8087" s="27" t="s">
        <v>21090</v>
      </c>
      <c r="C8087" s="27" t="s">
        <v>144</v>
      </c>
      <c r="D8087" s="26"/>
      <c r="E8087" s="27"/>
      <c r="F8087" s="27"/>
      <c r="G8087" s="27" t="s">
        <v>11122</v>
      </c>
      <c r="H8087" s="27" t="s">
        <v>35</v>
      </c>
      <c r="I8087" s="27" t="s">
        <v>887</v>
      </c>
      <c r="J8087" s="28" t="s">
        <v>856</v>
      </c>
      <c r="K8087" s="27" t="s">
        <v>38</v>
      </c>
      <c r="L8087" s="27"/>
    </row>
    <row r="8088" customFormat="false" ht="15" hidden="false" customHeight="false" outlineLevel="0" collapsed="false">
      <c r="A8088" s="26" t="s">
        <v>21091</v>
      </c>
      <c r="B8088" s="27" t="s">
        <v>21092</v>
      </c>
      <c r="C8088" s="27" t="s">
        <v>144</v>
      </c>
      <c r="D8088" s="26"/>
      <c r="E8088" s="27"/>
      <c r="F8088" s="27"/>
      <c r="G8088" s="27" t="s">
        <v>11122</v>
      </c>
      <c r="H8088" s="27" t="s">
        <v>35</v>
      </c>
      <c r="I8088" s="27" t="s">
        <v>43</v>
      </c>
      <c r="J8088" s="28" t="s">
        <v>856</v>
      </c>
      <c r="K8088" s="27" t="s">
        <v>38</v>
      </c>
      <c r="L8088" s="27"/>
    </row>
    <row r="8089" customFormat="false" ht="15" hidden="false" customHeight="false" outlineLevel="0" collapsed="false">
      <c r="A8089" s="26" t="s">
        <v>21093</v>
      </c>
      <c r="B8089" s="27" t="s">
        <v>21094</v>
      </c>
      <c r="C8089" s="27" t="s">
        <v>1187</v>
      </c>
      <c r="D8089" s="26"/>
      <c r="E8089" s="27"/>
      <c r="F8089" s="27"/>
      <c r="G8089" s="27" t="s">
        <v>11122</v>
      </c>
      <c r="H8089" s="27" t="s">
        <v>35</v>
      </c>
      <c r="I8089" s="27" t="s">
        <v>37</v>
      </c>
      <c r="J8089" s="28" t="s">
        <v>856</v>
      </c>
      <c r="K8089" s="27" t="s">
        <v>38</v>
      </c>
      <c r="L8089" s="27"/>
    </row>
    <row r="8090" customFormat="false" ht="15" hidden="false" customHeight="false" outlineLevel="0" collapsed="false">
      <c r="A8090" s="26" t="s">
        <v>21095</v>
      </c>
      <c r="B8090" s="27" t="s">
        <v>21096</v>
      </c>
      <c r="C8090" s="27" t="s">
        <v>144</v>
      </c>
      <c r="D8090" s="26"/>
      <c r="E8090" s="27"/>
      <c r="F8090" s="27"/>
      <c r="G8090" s="27" t="s">
        <v>11122</v>
      </c>
      <c r="H8090" s="27" t="s">
        <v>35</v>
      </c>
      <c r="I8090" s="27" t="s">
        <v>887</v>
      </c>
      <c r="J8090" s="28" t="s">
        <v>856</v>
      </c>
      <c r="K8090" s="27" t="s">
        <v>38</v>
      </c>
      <c r="L8090" s="27"/>
    </row>
    <row r="8091" customFormat="false" ht="15" hidden="false" customHeight="false" outlineLevel="0" collapsed="false">
      <c r="A8091" s="26" t="s">
        <v>21097</v>
      </c>
      <c r="B8091" s="27" t="s">
        <v>21098</v>
      </c>
      <c r="C8091" s="27" t="s">
        <v>144</v>
      </c>
      <c r="D8091" s="26"/>
      <c r="E8091" s="27"/>
      <c r="F8091" s="27"/>
      <c r="G8091" s="27" t="s">
        <v>11122</v>
      </c>
      <c r="H8091" s="27" t="s">
        <v>35</v>
      </c>
      <c r="I8091" s="27" t="s">
        <v>42</v>
      </c>
      <c r="J8091" s="28" t="s">
        <v>856</v>
      </c>
      <c r="K8091" s="27" t="s">
        <v>38</v>
      </c>
      <c r="L8091" s="27"/>
    </row>
    <row r="8092" customFormat="false" ht="15" hidden="false" customHeight="false" outlineLevel="0" collapsed="false">
      <c r="A8092" s="26" t="s">
        <v>21099</v>
      </c>
      <c r="B8092" s="27" t="s">
        <v>21100</v>
      </c>
      <c r="C8092" s="27" t="s">
        <v>144</v>
      </c>
      <c r="D8092" s="26"/>
      <c r="E8092" s="27"/>
      <c r="F8092" s="27"/>
      <c r="G8092" s="27" t="s">
        <v>11122</v>
      </c>
      <c r="H8092" s="27" t="s">
        <v>35</v>
      </c>
      <c r="I8092" s="27" t="s">
        <v>38</v>
      </c>
      <c r="J8092" s="28" t="s">
        <v>856</v>
      </c>
      <c r="K8092" s="27" t="s">
        <v>38</v>
      </c>
      <c r="L8092" s="27"/>
    </row>
    <row r="8093" customFormat="false" ht="15" hidden="false" customHeight="false" outlineLevel="0" collapsed="false">
      <c r="A8093" s="26" t="s">
        <v>21101</v>
      </c>
      <c r="B8093" s="27" t="s">
        <v>21102</v>
      </c>
      <c r="C8093" s="27" t="s">
        <v>1187</v>
      </c>
      <c r="D8093" s="26"/>
      <c r="E8093" s="27"/>
      <c r="F8093" s="27"/>
      <c r="G8093" s="27" t="s">
        <v>11122</v>
      </c>
      <c r="H8093" s="27" t="s">
        <v>35</v>
      </c>
      <c r="I8093" s="27" t="s">
        <v>39</v>
      </c>
      <c r="J8093" s="28" t="s">
        <v>856</v>
      </c>
      <c r="K8093" s="27" t="s">
        <v>38</v>
      </c>
      <c r="L8093" s="27"/>
    </row>
    <row r="8094" customFormat="false" ht="15" hidden="false" customHeight="false" outlineLevel="0" collapsed="false">
      <c r="A8094" s="26" t="s">
        <v>21103</v>
      </c>
      <c r="B8094" s="27" t="s">
        <v>21104</v>
      </c>
      <c r="C8094" s="27" t="s">
        <v>144</v>
      </c>
      <c r="D8094" s="26"/>
      <c r="E8094" s="27"/>
      <c r="F8094" s="27"/>
      <c r="G8094" s="27" t="s">
        <v>11122</v>
      </c>
      <c r="H8094" s="27" t="s">
        <v>35</v>
      </c>
      <c r="I8094" s="27" t="s">
        <v>38</v>
      </c>
      <c r="J8094" s="28" t="s">
        <v>856</v>
      </c>
      <c r="K8094" s="27" t="s">
        <v>38</v>
      </c>
      <c r="L8094" s="27"/>
    </row>
    <row r="8095" customFormat="false" ht="15" hidden="false" customHeight="false" outlineLevel="0" collapsed="false">
      <c r="A8095" s="26" t="s">
        <v>21105</v>
      </c>
      <c r="B8095" s="27" t="s">
        <v>21106</v>
      </c>
      <c r="C8095" s="27" t="s">
        <v>144</v>
      </c>
      <c r="D8095" s="26"/>
      <c r="E8095" s="27"/>
      <c r="F8095" s="27"/>
      <c r="G8095" s="27" t="s">
        <v>11122</v>
      </c>
      <c r="H8095" s="27" t="s">
        <v>35</v>
      </c>
      <c r="I8095" s="27" t="s">
        <v>38</v>
      </c>
      <c r="J8095" s="28" t="s">
        <v>856</v>
      </c>
      <c r="K8095" s="27" t="s">
        <v>38</v>
      </c>
      <c r="L8095" s="27"/>
    </row>
    <row r="8096" customFormat="false" ht="15" hidden="false" customHeight="false" outlineLevel="0" collapsed="false">
      <c r="A8096" s="26" t="s">
        <v>21107</v>
      </c>
      <c r="B8096" s="27" t="s">
        <v>21108</v>
      </c>
      <c r="C8096" s="27" t="s">
        <v>144</v>
      </c>
      <c r="D8096" s="26"/>
      <c r="E8096" s="27"/>
      <c r="F8096" s="27"/>
      <c r="G8096" s="27" t="s">
        <v>11122</v>
      </c>
      <c r="H8096" s="27" t="s">
        <v>35</v>
      </c>
      <c r="I8096" s="27" t="s">
        <v>38</v>
      </c>
      <c r="J8096" s="28" t="s">
        <v>856</v>
      </c>
      <c r="K8096" s="27" t="s">
        <v>38</v>
      </c>
      <c r="L8096" s="27"/>
    </row>
    <row r="8097" customFormat="false" ht="15" hidden="false" customHeight="false" outlineLevel="0" collapsed="false">
      <c r="A8097" s="26" t="s">
        <v>21109</v>
      </c>
      <c r="B8097" s="27" t="s">
        <v>21110</v>
      </c>
      <c r="C8097" s="27" t="s">
        <v>144</v>
      </c>
      <c r="D8097" s="26"/>
      <c r="E8097" s="27"/>
      <c r="F8097" s="27"/>
      <c r="G8097" s="27" t="s">
        <v>11122</v>
      </c>
      <c r="H8097" s="27" t="s">
        <v>35</v>
      </c>
      <c r="I8097" s="27" t="s">
        <v>38</v>
      </c>
      <c r="J8097" s="28" t="s">
        <v>856</v>
      </c>
      <c r="K8097" s="27" t="s">
        <v>38</v>
      </c>
      <c r="L8097" s="27"/>
    </row>
    <row r="8098" customFormat="false" ht="15" hidden="false" customHeight="false" outlineLevel="0" collapsed="false">
      <c r="A8098" s="26" t="s">
        <v>21111</v>
      </c>
      <c r="B8098" s="27" t="s">
        <v>21112</v>
      </c>
      <c r="C8098" s="27" t="s">
        <v>144</v>
      </c>
      <c r="D8098" s="26"/>
      <c r="E8098" s="27"/>
      <c r="F8098" s="27"/>
      <c r="G8098" s="27" t="s">
        <v>11122</v>
      </c>
      <c r="H8098" s="27" t="s">
        <v>35</v>
      </c>
      <c r="I8098" s="27" t="s">
        <v>38</v>
      </c>
      <c r="J8098" s="28" t="s">
        <v>856</v>
      </c>
      <c r="K8098" s="27" t="s">
        <v>38</v>
      </c>
      <c r="L8098" s="27"/>
    </row>
    <row r="8099" customFormat="false" ht="15" hidden="false" customHeight="false" outlineLevel="0" collapsed="false">
      <c r="A8099" s="26" t="s">
        <v>21113</v>
      </c>
      <c r="B8099" s="27" t="s">
        <v>21114</v>
      </c>
      <c r="C8099" s="27" t="s">
        <v>144</v>
      </c>
      <c r="D8099" s="26"/>
      <c r="E8099" s="27"/>
      <c r="F8099" s="27"/>
      <c r="G8099" s="27" t="s">
        <v>11122</v>
      </c>
      <c r="H8099" s="27" t="s">
        <v>35</v>
      </c>
      <c r="I8099" s="27" t="s">
        <v>38</v>
      </c>
      <c r="J8099" s="28" t="s">
        <v>856</v>
      </c>
      <c r="K8099" s="27" t="s">
        <v>38</v>
      </c>
      <c r="L8099" s="27"/>
    </row>
    <row r="8100" customFormat="false" ht="15" hidden="false" customHeight="false" outlineLevel="0" collapsed="false">
      <c r="A8100" s="26" t="s">
        <v>21115</v>
      </c>
      <c r="B8100" s="27" t="s">
        <v>21116</v>
      </c>
      <c r="C8100" s="27" t="s">
        <v>144</v>
      </c>
      <c r="D8100" s="26"/>
      <c r="E8100" s="27"/>
      <c r="F8100" s="27"/>
      <c r="G8100" s="27" t="s">
        <v>11122</v>
      </c>
      <c r="H8100" s="27" t="s">
        <v>35</v>
      </c>
      <c r="I8100" s="27" t="s">
        <v>38</v>
      </c>
      <c r="J8100" s="28" t="s">
        <v>856</v>
      </c>
      <c r="K8100" s="27" t="s">
        <v>38</v>
      </c>
      <c r="L8100" s="27"/>
    </row>
    <row r="8101" customFormat="false" ht="15" hidden="false" customHeight="false" outlineLevel="0" collapsed="false">
      <c r="A8101" s="26" t="s">
        <v>21117</v>
      </c>
      <c r="B8101" s="27" t="s">
        <v>21118</v>
      </c>
      <c r="C8101" s="27" t="s">
        <v>144</v>
      </c>
      <c r="D8101" s="26"/>
      <c r="E8101" s="27"/>
      <c r="F8101" s="27"/>
      <c r="G8101" s="27" t="s">
        <v>11122</v>
      </c>
      <c r="H8101" s="27" t="s">
        <v>35</v>
      </c>
      <c r="I8101" s="27" t="s">
        <v>887</v>
      </c>
      <c r="J8101" s="28" t="s">
        <v>856</v>
      </c>
      <c r="K8101" s="27" t="s">
        <v>38</v>
      </c>
      <c r="L8101" s="27"/>
    </row>
    <row r="8102" customFormat="false" ht="15" hidden="false" customHeight="false" outlineLevel="0" collapsed="false">
      <c r="A8102" s="26" t="s">
        <v>21119</v>
      </c>
      <c r="B8102" s="27" t="s">
        <v>21120</v>
      </c>
      <c r="C8102" s="27" t="s">
        <v>144</v>
      </c>
      <c r="D8102" s="26"/>
      <c r="E8102" s="27"/>
      <c r="F8102" s="27"/>
      <c r="G8102" s="27" t="s">
        <v>11122</v>
      </c>
      <c r="H8102" s="27" t="s">
        <v>35</v>
      </c>
      <c r="I8102" s="27" t="s">
        <v>37</v>
      </c>
      <c r="J8102" s="28" t="s">
        <v>856</v>
      </c>
      <c r="K8102" s="27" t="s">
        <v>38</v>
      </c>
      <c r="L8102" s="27"/>
    </row>
    <row r="8103" customFormat="false" ht="15" hidden="false" customHeight="false" outlineLevel="0" collapsed="false">
      <c r="A8103" s="26" t="s">
        <v>21121</v>
      </c>
      <c r="B8103" s="27" t="s">
        <v>21122</v>
      </c>
      <c r="C8103" s="27" t="s">
        <v>144</v>
      </c>
      <c r="D8103" s="26"/>
      <c r="E8103" s="27"/>
      <c r="F8103" s="27"/>
      <c r="G8103" s="27" t="s">
        <v>11122</v>
      </c>
      <c r="H8103" s="27" t="s">
        <v>35</v>
      </c>
      <c r="I8103" s="27" t="s">
        <v>37</v>
      </c>
      <c r="J8103" s="28" t="s">
        <v>856</v>
      </c>
      <c r="K8103" s="27" t="s">
        <v>38</v>
      </c>
      <c r="L8103" s="27"/>
    </row>
    <row r="8104" customFormat="false" ht="15" hidden="false" customHeight="false" outlineLevel="0" collapsed="false">
      <c r="A8104" s="26" t="s">
        <v>21123</v>
      </c>
      <c r="B8104" s="27" t="s">
        <v>21124</v>
      </c>
      <c r="C8104" s="27" t="s">
        <v>144</v>
      </c>
      <c r="D8104" s="26"/>
      <c r="E8104" s="27"/>
      <c r="F8104" s="27"/>
      <c r="G8104" s="27" t="s">
        <v>11122</v>
      </c>
      <c r="H8104" s="27" t="s">
        <v>35</v>
      </c>
      <c r="I8104" s="27" t="s">
        <v>40</v>
      </c>
      <c r="J8104" s="28" t="s">
        <v>856</v>
      </c>
      <c r="K8104" s="27" t="s">
        <v>38</v>
      </c>
      <c r="L8104" s="27"/>
    </row>
    <row r="8105" customFormat="false" ht="15" hidden="false" customHeight="false" outlineLevel="0" collapsed="false">
      <c r="A8105" s="26" t="s">
        <v>21125</v>
      </c>
      <c r="B8105" s="27" t="s">
        <v>21126</v>
      </c>
      <c r="C8105" s="27" t="s">
        <v>144</v>
      </c>
      <c r="D8105" s="26"/>
      <c r="E8105" s="27"/>
      <c r="F8105" s="27"/>
      <c r="G8105" s="27" t="s">
        <v>11122</v>
      </c>
      <c r="H8105" s="27" t="s">
        <v>35</v>
      </c>
      <c r="I8105" s="27" t="s">
        <v>887</v>
      </c>
      <c r="J8105" s="28" t="s">
        <v>856</v>
      </c>
      <c r="K8105" s="27" t="s">
        <v>38</v>
      </c>
      <c r="L8105" s="27"/>
    </row>
    <row r="8106" customFormat="false" ht="15" hidden="false" customHeight="false" outlineLevel="0" collapsed="false">
      <c r="A8106" s="26" t="s">
        <v>21127</v>
      </c>
      <c r="B8106" s="27" t="s">
        <v>21128</v>
      </c>
      <c r="C8106" s="27" t="s">
        <v>144</v>
      </c>
      <c r="D8106" s="26"/>
      <c r="E8106" s="27"/>
      <c r="F8106" s="27"/>
      <c r="G8106" s="27" t="s">
        <v>11122</v>
      </c>
      <c r="H8106" s="27" t="s">
        <v>35</v>
      </c>
      <c r="I8106" s="27" t="s">
        <v>40</v>
      </c>
      <c r="J8106" s="28" t="s">
        <v>856</v>
      </c>
      <c r="K8106" s="27" t="s">
        <v>38</v>
      </c>
      <c r="L8106" s="27"/>
    </row>
    <row r="8107" customFormat="false" ht="15" hidden="false" customHeight="false" outlineLevel="0" collapsed="false">
      <c r="A8107" s="26" t="s">
        <v>21129</v>
      </c>
      <c r="B8107" s="27" t="s">
        <v>21130</v>
      </c>
      <c r="C8107" s="27" t="s">
        <v>144</v>
      </c>
      <c r="D8107" s="26"/>
      <c r="E8107" s="27"/>
      <c r="F8107" s="27"/>
      <c r="G8107" s="27" t="s">
        <v>11122</v>
      </c>
      <c r="H8107" s="27" t="s">
        <v>35</v>
      </c>
      <c r="I8107" s="27" t="s">
        <v>38</v>
      </c>
      <c r="J8107" s="28" t="s">
        <v>856</v>
      </c>
      <c r="K8107" s="27" t="s">
        <v>38</v>
      </c>
      <c r="L8107" s="27"/>
    </row>
    <row r="8108" customFormat="false" ht="15" hidden="false" customHeight="false" outlineLevel="0" collapsed="false">
      <c r="A8108" s="26" t="s">
        <v>21131</v>
      </c>
      <c r="B8108" s="27" t="s">
        <v>21132</v>
      </c>
      <c r="C8108" s="27" t="s">
        <v>144</v>
      </c>
      <c r="D8108" s="26"/>
      <c r="E8108" s="27"/>
      <c r="F8108" s="27"/>
      <c r="G8108" s="27" t="s">
        <v>11122</v>
      </c>
      <c r="H8108" s="27" t="s">
        <v>35</v>
      </c>
      <c r="I8108" s="27" t="s">
        <v>37</v>
      </c>
      <c r="J8108" s="28" t="s">
        <v>856</v>
      </c>
      <c r="K8108" s="27" t="s">
        <v>38</v>
      </c>
      <c r="L8108" s="27"/>
    </row>
    <row r="8109" customFormat="false" ht="15" hidden="false" customHeight="false" outlineLevel="0" collapsed="false">
      <c r="A8109" s="26" t="s">
        <v>21133</v>
      </c>
      <c r="B8109" s="27" t="s">
        <v>21134</v>
      </c>
      <c r="C8109" s="27" t="s">
        <v>144</v>
      </c>
      <c r="D8109" s="26"/>
      <c r="E8109" s="27"/>
      <c r="F8109" s="27"/>
      <c r="G8109" s="27" t="s">
        <v>11122</v>
      </c>
      <c r="H8109" s="27" t="s">
        <v>35</v>
      </c>
      <c r="I8109" s="27" t="s">
        <v>37</v>
      </c>
      <c r="J8109" s="28" t="s">
        <v>856</v>
      </c>
      <c r="K8109" s="27" t="s">
        <v>38</v>
      </c>
      <c r="L8109" s="27"/>
    </row>
    <row r="8110" customFormat="false" ht="15" hidden="false" customHeight="false" outlineLevel="0" collapsed="false">
      <c r="A8110" s="26" t="s">
        <v>21135</v>
      </c>
      <c r="B8110" s="27" t="s">
        <v>21136</v>
      </c>
      <c r="C8110" s="27" t="s">
        <v>144</v>
      </c>
      <c r="D8110" s="26"/>
      <c r="E8110" s="27"/>
      <c r="F8110" s="27"/>
      <c r="G8110" s="27" t="s">
        <v>11122</v>
      </c>
      <c r="H8110" s="27" t="s">
        <v>35</v>
      </c>
      <c r="I8110" s="27" t="s">
        <v>887</v>
      </c>
      <c r="J8110" s="28" t="s">
        <v>856</v>
      </c>
      <c r="K8110" s="27" t="s">
        <v>38</v>
      </c>
      <c r="L8110" s="27"/>
    </row>
    <row r="8111" customFormat="false" ht="15" hidden="false" customHeight="false" outlineLevel="0" collapsed="false">
      <c r="A8111" s="26" t="s">
        <v>21137</v>
      </c>
      <c r="B8111" s="27" t="s">
        <v>21138</v>
      </c>
      <c r="C8111" s="27" t="s">
        <v>144</v>
      </c>
      <c r="D8111" s="26"/>
      <c r="E8111" s="27"/>
      <c r="F8111" s="27"/>
      <c r="G8111" s="27" t="s">
        <v>11122</v>
      </c>
      <c r="H8111" s="27" t="s">
        <v>35</v>
      </c>
      <c r="I8111" s="27" t="s">
        <v>38</v>
      </c>
      <c r="J8111" s="28" t="s">
        <v>856</v>
      </c>
      <c r="K8111" s="27" t="s">
        <v>38</v>
      </c>
      <c r="L8111" s="27"/>
    </row>
    <row r="8112" customFormat="false" ht="15" hidden="false" customHeight="false" outlineLevel="0" collapsed="false">
      <c r="A8112" s="26" t="s">
        <v>21139</v>
      </c>
      <c r="B8112" s="27" t="s">
        <v>21140</v>
      </c>
      <c r="C8112" s="27" t="s">
        <v>144</v>
      </c>
      <c r="D8112" s="26"/>
      <c r="E8112" s="27"/>
      <c r="F8112" s="27"/>
      <c r="G8112" s="27" t="s">
        <v>11122</v>
      </c>
      <c r="H8112" s="27" t="s">
        <v>35</v>
      </c>
      <c r="I8112" s="27" t="s">
        <v>887</v>
      </c>
      <c r="J8112" s="28" t="s">
        <v>856</v>
      </c>
      <c r="K8112" s="27" t="s">
        <v>38</v>
      </c>
      <c r="L8112" s="27"/>
    </row>
    <row r="8113" customFormat="false" ht="15" hidden="false" customHeight="false" outlineLevel="0" collapsed="false">
      <c r="A8113" s="26" t="s">
        <v>21141</v>
      </c>
      <c r="B8113" s="27" t="s">
        <v>21142</v>
      </c>
      <c r="C8113" s="27" t="s">
        <v>144</v>
      </c>
      <c r="D8113" s="26"/>
      <c r="E8113" s="27"/>
      <c r="F8113" s="27"/>
      <c r="G8113" s="27" t="s">
        <v>11122</v>
      </c>
      <c r="H8113" s="27" t="s">
        <v>35</v>
      </c>
      <c r="I8113" s="27" t="s">
        <v>38</v>
      </c>
      <c r="J8113" s="28" t="s">
        <v>856</v>
      </c>
      <c r="K8113" s="27" t="s">
        <v>38</v>
      </c>
      <c r="L8113" s="27"/>
    </row>
    <row r="8114" customFormat="false" ht="15" hidden="false" customHeight="false" outlineLevel="0" collapsed="false">
      <c r="A8114" s="26" t="s">
        <v>21143</v>
      </c>
      <c r="B8114" s="27" t="s">
        <v>21144</v>
      </c>
      <c r="C8114" s="27" t="s">
        <v>144</v>
      </c>
      <c r="D8114" s="26"/>
      <c r="E8114" s="27"/>
      <c r="F8114" s="27"/>
      <c r="G8114" s="27" t="s">
        <v>11122</v>
      </c>
      <c r="H8114" s="27" t="s">
        <v>35</v>
      </c>
      <c r="I8114" s="27" t="s">
        <v>887</v>
      </c>
      <c r="J8114" s="28" t="s">
        <v>856</v>
      </c>
      <c r="K8114" s="27" t="s">
        <v>38</v>
      </c>
      <c r="L8114" s="27"/>
    </row>
    <row r="8115" customFormat="false" ht="15" hidden="false" customHeight="false" outlineLevel="0" collapsed="false">
      <c r="A8115" s="26" t="s">
        <v>21145</v>
      </c>
      <c r="B8115" s="27" t="s">
        <v>21146</v>
      </c>
      <c r="C8115" s="27" t="s">
        <v>144</v>
      </c>
      <c r="D8115" s="26"/>
      <c r="E8115" s="27"/>
      <c r="F8115" s="27"/>
      <c r="G8115" s="27" t="s">
        <v>11122</v>
      </c>
      <c r="H8115" s="27" t="s">
        <v>35</v>
      </c>
      <c r="I8115" s="27" t="s">
        <v>38</v>
      </c>
      <c r="J8115" s="28" t="s">
        <v>856</v>
      </c>
      <c r="K8115" s="27" t="s">
        <v>38</v>
      </c>
      <c r="L8115" s="27"/>
    </row>
    <row r="8116" customFormat="false" ht="15" hidden="false" customHeight="false" outlineLevel="0" collapsed="false">
      <c r="A8116" s="26" t="s">
        <v>21147</v>
      </c>
      <c r="B8116" s="27" t="s">
        <v>21148</v>
      </c>
      <c r="C8116" s="27" t="s">
        <v>144</v>
      </c>
      <c r="D8116" s="26"/>
      <c r="E8116" s="27"/>
      <c r="F8116" s="27"/>
      <c r="G8116" s="27" t="s">
        <v>11122</v>
      </c>
      <c r="H8116" s="27" t="s">
        <v>35</v>
      </c>
      <c r="I8116" s="27" t="s">
        <v>887</v>
      </c>
      <c r="J8116" s="28" t="s">
        <v>856</v>
      </c>
      <c r="K8116" s="27" t="s">
        <v>38</v>
      </c>
      <c r="L8116" s="27"/>
    </row>
    <row r="8117" customFormat="false" ht="15" hidden="false" customHeight="false" outlineLevel="0" collapsed="false">
      <c r="A8117" s="26" t="s">
        <v>21149</v>
      </c>
      <c r="B8117" s="27" t="s">
        <v>21150</v>
      </c>
      <c r="C8117" s="27" t="s">
        <v>144</v>
      </c>
      <c r="D8117" s="26"/>
      <c r="E8117" s="27"/>
      <c r="F8117" s="27"/>
      <c r="G8117" s="27" t="s">
        <v>11122</v>
      </c>
      <c r="H8117" s="27" t="s">
        <v>35</v>
      </c>
      <c r="I8117" s="27" t="s">
        <v>887</v>
      </c>
      <c r="J8117" s="28" t="s">
        <v>856</v>
      </c>
      <c r="K8117" s="27" t="s">
        <v>38</v>
      </c>
      <c r="L8117" s="27"/>
    </row>
    <row r="8118" customFormat="false" ht="15" hidden="false" customHeight="false" outlineLevel="0" collapsed="false">
      <c r="A8118" s="26" t="s">
        <v>21151</v>
      </c>
      <c r="B8118" s="27" t="s">
        <v>21152</v>
      </c>
      <c r="C8118" s="27" t="s">
        <v>144</v>
      </c>
      <c r="D8118" s="26"/>
      <c r="E8118" s="27"/>
      <c r="F8118" s="27"/>
      <c r="G8118" s="27" t="s">
        <v>11122</v>
      </c>
      <c r="H8118" s="27" t="s">
        <v>35</v>
      </c>
      <c r="I8118" s="27" t="s">
        <v>38</v>
      </c>
      <c r="J8118" s="28" t="s">
        <v>856</v>
      </c>
      <c r="K8118" s="27" t="s">
        <v>38</v>
      </c>
      <c r="L8118" s="27"/>
    </row>
    <row r="8119" customFormat="false" ht="15" hidden="false" customHeight="false" outlineLevel="0" collapsed="false">
      <c r="A8119" s="26" t="s">
        <v>21153</v>
      </c>
      <c r="B8119" s="27" t="s">
        <v>21154</v>
      </c>
      <c r="C8119" s="27" t="s">
        <v>144</v>
      </c>
      <c r="D8119" s="26"/>
      <c r="E8119" s="27"/>
      <c r="F8119" s="27"/>
      <c r="G8119" s="27" t="s">
        <v>11122</v>
      </c>
      <c r="H8119" s="27" t="s">
        <v>35</v>
      </c>
      <c r="I8119" s="27" t="s">
        <v>40</v>
      </c>
      <c r="J8119" s="28" t="s">
        <v>856</v>
      </c>
      <c r="K8119" s="27" t="s">
        <v>38</v>
      </c>
      <c r="L8119" s="27"/>
    </row>
    <row r="8120" customFormat="false" ht="15" hidden="false" customHeight="false" outlineLevel="0" collapsed="false">
      <c r="A8120" s="26" t="s">
        <v>21155</v>
      </c>
      <c r="B8120" s="27" t="s">
        <v>21156</v>
      </c>
      <c r="C8120" s="27" t="s">
        <v>144</v>
      </c>
      <c r="D8120" s="26"/>
      <c r="E8120" s="27"/>
      <c r="F8120" s="27"/>
      <c r="G8120" s="27" t="s">
        <v>11122</v>
      </c>
      <c r="H8120" s="27" t="s">
        <v>35</v>
      </c>
      <c r="I8120" s="27" t="s">
        <v>887</v>
      </c>
      <c r="J8120" s="28" t="s">
        <v>856</v>
      </c>
      <c r="K8120" s="27" t="s">
        <v>38</v>
      </c>
      <c r="L8120" s="27"/>
    </row>
    <row r="8121" customFormat="false" ht="15" hidden="false" customHeight="false" outlineLevel="0" collapsed="false">
      <c r="A8121" s="26" t="s">
        <v>21157</v>
      </c>
      <c r="B8121" s="27" t="s">
        <v>21158</v>
      </c>
      <c r="C8121" s="27" t="s">
        <v>144</v>
      </c>
      <c r="D8121" s="26"/>
      <c r="E8121" s="27"/>
      <c r="F8121" s="27"/>
      <c r="G8121" s="27" t="s">
        <v>11122</v>
      </c>
      <c r="H8121" s="27" t="s">
        <v>35</v>
      </c>
      <c r="I8121" s="27" t="s">
        <v>38</v>
      </c>
      <c r="J8121" s="28" t="s">
        <v>856</v>
      </c>
      <c r="K8121" s="27" t="s">
        <v>38</v>
      </c>
      <c r="L8121" s="27"/>
    </row>
    <row r="8122" customFormat="false" ht="15" hidden="false" customHeight="false" outlineLevel="0" collapsed="false">
      <c r="A8122" s="26" t="s">
        <v>21159</v>
      </c>
      <c r="B8122" s="27" t="s">
        <v>21160</v>
      </c>
      <c r="C8122" s="27" t="s">
        <v>144</v>
      </c>
      <c r="D8122" s="26"/>
      <c r="E8122" s="27"/>
      <c r="F8122" s="27"/>
      <c r="G8122" s="27" t="s">
        <v>11122</v>
      </c>
      <c r="H8122" s="27" t="s">
        <v>35</v>
      </c>
      <c r="I8122" s="27" t="s">
        <v>41</v>
      </c>
      <c r="J8122" s="28" t="s">
        <v>856</v>
      </c>
      <c r="K8122" s="27" t="s">
        <v>38</v>
      </c>
      <c r="L8122" s="27"/>
    </row>
    <row r="8123" customFormat="false" ht="15" hidden="false" customHeight="false" outlineLevel="0" collapsed="false">
      <c r="A8123" s="26" t="s">
        <v>21161</v>
      </c>
      <c r="B8123" s="27" t="s">
        <v>21162</v>
      </c>
      <c r="C8123" s="27" t="s">
        <v>144</v>
      </c>
      <c r="D8123" s="26"/>
      <c r="E8123" s="27"/>
      <c r="F8123" s="27"/>
      <c r="G8123" s="27" t="s">
        <v>11122</v>
      </c>
      <c r="H8123" s="27" t="s">
        <v>35</v>
      </c>
      <c r="I8123" s="27" t="s">
        <v>887</v>
      </c>
      <c r="J8123" s="28" t="s">
        <v>856</v>
      </c>
      <c r="K8123" s="27" t="s">
        <v>38</v>
      </c>
      <c r="L8123" s="27"/>
    </row>
    <row r="8124" customFormat="false" ht="15" hidden="false" customHeight="false" outlineLevel="0" collapsed="false">
      <c r="A8124" s="26" t="s">
        <v>21163</v>
      </c>
      <c r="B8124" s="27" t="s">
        <v>21164</v>
      </c>
      <c r="C8124" s="27" t="s">
        <v>144</v>
      </c>
      <c r="D8124" s="26"/>
      <c r="E8124" s="27"/>
      <c r="F8124" s="27"/>
      <c r="G8124" s="27" t="s">
        <v>11122</v>
      </c>
      <c r="H8124" s="27" t="s">
        <v>35</v>
      </c>
      <c r="I8124" s="27" t="s">
        <v>887</v>
      </c>
      <c r="J8124" s="28" t="s">
        <v>856</v>
      </c>
      <c r="K8124" s="27" t="s">
        <v>38</v>
      </c>
      <c r="L8124" s="27"/>
    </row>
    <row r="8125" customFormat="false" ht="15" hidden="false" customHeight="false" outlineLevel="0" collapsed="false">
      <c r="A8125" s="26" t="s">
        <v>21165</v>
      </c>
      <c r="B8125" s="27" t="s">
        <v>21166</v>
      </c>
      <c r="C8125" s="27" t="s">
        <v>144</v>
      </c>
      <c r="D8125" s="26"/>
      <c r="E8125" s="27"/>
      <c r="F8125" s="27"/>
      <c r="G8125" s="27" t="s">
        <v>11122</v>
      </c>
      <c r="H8125" s="27" t="s">
        <v>35</v>
      </c>
      <c r="I8125" s="27" t="s">
        <v>39</v>
      </c>
      <c r="J8125" s="28" t="s">
        <v>856</v>
      </c>
      <c r="K8125" s="27" t="s">
        <v>38</v>
      </c>
      <c r="L8125" s="27"/>
    </row>
    <row r="8126" customFormat="false" ht="15" hidden="false" customHeight="false" outlineLevel="0" collapsed="false">
      <c r="A8126" s="26" t="s">
        <v>21167</v>
      </c>
      <c r="B8126" s="27" t="s">
        <v>21168</v>
      </c>
      <c r="C8126" s="27" t="s">
        <v>144</v>
      </c>
      <c r="D8126" s="26"/>
      <c r="E8126" s="27"/>
      <c r="F8126" s="27"/>
      <c r="G8126" s="27" t="s">
        <v>11122</v>
      </c>
      <c r="H8126" s="27" t="s">
        <v>35</v>
      </c>
      <c r="I8126" s="27" t="s">
        <v>38</v>
      </c>
      <c r="J8126" s="28" t="s">
        <v>856</v>
      </c>
      <c r="K8126" s="27" t="s">
        <v>38</v>
      </c>
      <c r="L8126" s="27"/>
    </row>
    <row r="8127" customFormat="false" ht="15" hidden="false" customHeight="false" outlineLevel="0" collapsed="false">
      <c r="A8127" s="26" t="s">
        <v>21169</v>
      </c>
      <c r="B8127" s="27" t="s">
        <v>21170</v>
      </c>
      <c r="C8127" s="27" t="s">
        <v>144</v>
      </c>
      <c r="D8127" s="26"/>
      <c r="E8127" s="27"/>
      <c r="F8127" s="27"/>
      <c r="G8127" s="27" t="s">
        <v>11122</v>
      </c>
      <c r="H8127" s="27" t="s">
        <v>35</v>
      </c>
      <c r="I8127" s="27" t="s">
        <v>38</v>
      </c>
      <c r="J8127" s="28" t="s">
        <v>856</v>
      </c>
      <c r="K8127" s="27" t="s">
        <v>38</v>
      </c>
      <c r="L8127" s="27"/>
    </row>
    <row r="8128" customFormat="false" ht="15" hidden="false" customHeight="false" outlineLevel="0" collapsed="false">
      <c r="A8128" s="26" t="s">
        <v>21171</v>
      </c>
      <c r="B8128" s="27" t="s">
        <v>21172</v>
      </c>
      <c r="C8128" s="27" t="s">
        <v>144</v>
      </c>
      <c r="D8128" s="26"/>
      <c r="E8128" s="27"/>
      <c r="F8128" s="27"/>
      <c r="G8128" s="27" t="s">
        <v>11122</v>
      </c>
      <c r="H8128" s="27" t="s">
        <v>35</v>
      </c>
      <c r="I8128" s="27" t="s">
        <v>40</v>
      </c>
      <c r="J8128" s="28" t="s">
        <v>856</v>
      </c>
      <c r="K8128" s="27" t="s">
        <v>38</v>
      </c>
      <c r="L8128" s="27"/>
    </row>
    <row r="8129" customFormat="false" ht="15" hidden="false" customHeight="false" outlineLevel="0" collapsed="false">
      <c r="A8129" s="26" t="s">
        <v>21173</v>
      </c>
      <c r="B8129" s="27" t="s">
        <v>21174</v>
      </c>
      <c r="C8129" s="27" t="s">
        <v>144</v>
      </c>
      <c r="D8129" s="26"/>
      <c r="E8129" s="27"/>
      <c r="F8129" s="27"/>
      <c r="G8129" s="27" t="s">
        <v>11122</v>
      </c>
      <c r="H8129" s="27" t="s">
        <v>35</v>
      </c>
      <c r="I8129" s="27" t="s">
        <v>38</v>
      </c>
      <c r="J8129" s="28" t="s">
        <v>856</v>
      </c>
      <c r="K8129" s="27" t="s">
        <v>38</v>
      </c>
      <c r="L8129" s="27"/>
    </row>
    <row r="8130" customFormat="false" ht="15" hidden="false" customHeight="false" outlineLevel="0" collapsed="false">
      <c r="A8130" s="26" t="s">
        <v>21175</v>
      </c>
      <c r="B8130" s="27" t="s">
        <v>21176</v>
      </c>
      <c r="C8130" s="27" t="s">
        <v>144</v>
      </c>
      <c r="D8130" s="26"/>
      <c r="E8130" s="27"/>
      <c r="F8130" s="27"/>
      <c r="G8130" s="27" t="s">
        <v>11122</v>
      </c>
      <c r="H8130" s="27" t="s">
        <v>35</v>
      </c>
      <c r="I8130" s="27" t="s">
        <v>38</v>
      </c>
      <c r="J8130" s="28" t="s">
        <v>856</v>
      </c>
      <c r="K8130" s="27" t="s">
        <v>38</v>
      </c>
      <c r="L8130" s="27"/>
    </row>
    <row r="8131" customFormat="false" ht="15" hidden="false" customHeight="false" outlineLevel="0" collapsed="false">
      <c r="A8131" s="26" t="s">
        <v>21177</v>
      </c>
      <c r="B8131" s="27" t="s">
        <v>21178</v>
      </c>
      <c r="C8131" s="27" t="s">
        <v>144</v>
      </c>
      <c r="D8131" s="26"/>
      <c r="E8131" s="27"/>
      <c r="F8131" s="27"/>
      <c r="G8131" s="27" t="s">
        <v>11122</v>
      </c>
      <c r="H8131" s="27" t="s">
        <v>35</v>
      </c>
      <c r="I8131" s="27" t="s">
        <v>38</v>
      </c>
      <c r="J8131" s="28" t="s">
        <v>856</v>
      </c>
      <c r="K8131" s="27" t="s">
        <v>38</v>
      </c>
      <c r="L8131" s="27"/>
    </row>
    <row r="8132" customFormat="false" ht="15" hidden="false" customHeight="false" outlineLevel="0" collapsed="false">
      <c r="A8132" s="26" t="s">
        <v>21179</v>
      </c>
      <c r="B8132" s="27" t="s">
        <v>21180</v>
      </c>
      <c r="C8132" s="27" t="s">
        <v>144</v>
      </c>
      <c r="D8132" s="26"/>
      <c r="E8132" s="27"/>
      <c r="F8132" s="27"/>
      <c r="G8132" s="27" t="s">
        <v>11122</v>
      </c>
      <c r="H8132" s="27" t="s">
        <v>35</v>
      </c>
      <c r="I8132" s="27" t="s">
        <v>38</v>
      </c>
      <c r="J8132" s="28" t="s">
        <v>856</v>
      </c>
      <c r="K8132" s="27" t="s">
        <v>38</v>
      </c>
      <c r="L8132" s="27"/>
    </row>
    <row r="8133" customFormat="false" ht="15" hidden="false" customHeight="false" outlineLevel="0" collapsed="false">
      <c r="A8133" s="26" t="s">
        <v>21181</v>
      </c>
      <c r="B8133" s="27" t="s">
        <v>21182</v>
      </c>
      <c r="C8133" s="27" t="s">
        <v>144</v>
      </c>
      <c r="D8133" s="26"/>
      <c r="E8133" s="27"/>
      <c r="F8133" s="27"/>
      <c r="G8133" s="27" t="s">
        <v>11122</v>
      </c>
      <c r="H8133" s="27" t="s">
        <v>35</v>
      </c>
      <c r="I8133" s="27" t="s">
        <v>38</v>
      </c>
      <c r="J8133" s="28" t="s">
        <v>856</v>
      </c>
      <c r="K8133" s="27" t="s">
        <v>38</v>
      </c>
      <c r="L8133" s="27"/>
    </row>
    <row r="8134" customFormat="false" ht="15" hidden="false" customHeight="false" outlineLevel="0" collapsed="false">
      <c r="A8134" s="26" t="s">
        <v>21183</v>
      </c>
      <c r="B8134" s="27" t="s">
        <v>21184</v>
      </c>
      <c r="C8134" s="27" t="s">
        <v>144</v>
      </c>
      <c r="D8134" s="26"/>
      <c r="E8134" s="27"/>
      <c r="F8134" s="27"/>
      <c r="G8134" s="27" t="s">
        <v>11122</v>
      </c>
      <c r="H8134" s="27" t="s">
        <v>35</v>
      </c>
      <c r="I8134" s="27" t="s">
        <v>38</v>
      </c>
      <c r="J8134" s="28" t="s">
        <v>856</v>
      </c>
      <c r="K8134" s="27" t="s">
        <v>38</v>
      </c>
      <c r="L8134" s="27"/>
    </row>
    <row r="8135" customFormat="false" ht="15" hidden="false" customHeight="false" outlineLevel="0" collapsed="false">
      <c r="A8135" s="26" t="s">
        <v>21185</v>
      </c>
      <c r="B8135" s="27" t="s">
        <v>21186</v>
      </c>
      <c r="C8135" s="27" t="s">
        <v>144</v>
      </c>
      <c r="D8135" s="26"/>
      <c r="E8135" s="27"/>
      <c r="F8135" s="27"/>
      <c r="G8135" s="27" t="s">
        <v>11122</v>
      </c>
      <c r="H8135" s="27" t="s">
        <v>35</v>
      </c>
      <c r="I8135" s="27" t="s">
        <v>38</v>
      </c>
      <c r="J8135" s="28" t="s">
        <v>856</v>
      </c>
      <c r="K8135" s="27" t="s">
        <v>38</v>
      </c>
      <c r="L8135" s="27"/>
    </row>
    <row r="8136" customFormat="false" ht="15" hidden="false" customHeight="false" outlineLevel="0" collapsed="false">
      <c r="A8136" s="26" t="s">
        <v>21187</v>
      </c>
      <c r="B8136" s="27" t="s">
        <v>21188</v>
      </c>
      <c r="C8136" s="27" t="s">
        <v>144</v>
      </c>
      <c r="D8136" s="26"/>
      <c r="E8136" s="27"/>
      <c r="F8136" s="27"/>
      <c r="G8136" s="27" t="s">
        <v>11122</v>
      </c>
      <c r="H8136" s="27" t="s">
        <v>35</v>
      </c>
      <c r="I8136" s="27" t="s">
        <v>38</v>
      </c>
      <c r="J8136" s="28" t="s">
        <v>856</v>
      </c>
      <c r="K8136" s="27" t="s">
        <v>38</v>
      </c>
      <c r="L8136" s="27"/>
    </row>
    <row r="8137" customFormat="false" ht="15" hidden="false" customHeight="false" outlineLevel="0" collapsed="false">
      <c r="A8137" s="26" t="s">
        <v>21189</v>
      </c>
      <c r="B8137" s="27" t="s">
        <v>21190</v>
      </c>
      <c r="C8137" s="27" t="s">
        <v>144</v>
      </c>
      <c r="D8137" s="26"/>
      <c r="E8137" s="27"/>
      <c r="F8137" s="27"/>
      <c r="G8137" s="27" t="s">
        <v>11122</v>
      </c>
      <c r="H8137" s="27" t="s">
        <v>35</v>
      </c>
      <c r="I8137" s="27" t="s">
        <v>38</v>
      </c>
      <c r="J8137" s="28" t="s">
        <v>856</v>
      </c>
      <c r="K8137" s="27" t="s">
        <v>38</v>
      </c>
      <c r="L8137" s="27"/>
    </row>
    <row r="8138" customFormat="false" ht="15" hidden="false" customHeight="false" outlineLevel="0" collapsed="false">
      <c r="A8138" s="26" t="s">
        <v>21191</v>
      </c>
      <c r="B8138" s="27" t="s">
        <v>21192</v>
      </c>
      <c r="C8138" s="27" t="s">
        <v>144</v>
      </c>
      <c r="D8138" s="26"/>
      <c r="E8138" s="27"/>
      <c r="F8138" s="27"/>
      <c r="G8138" s="27" t="s">
        <v>11122</v>
      </c>
      <c r="H8138" s="27" t="s">
        <v>35</v>
      </c>
      <c r="I8138" s="27" t="s">
        <v>38</v>
      </c>
      <c r="J8138" s="28" t="s">
        <v>856</v>
      </c>
      <c r="K8138" s="27" t="s">
        <v>38</v>
      </c>
      <c r="L8138" s="27"/>
    </row>
    <row r="8139" customFormat="false" ht="15" hidden="false" customHeight="false" outlineLevel="0" collapsed="false">
      <c r="A8139" s="26" t="s">
        <v>21193</v>
      </c>
      <c r="B8139" s="27" t="s">
        <v>21194</v>
      </c>
      <c r="C8139" s="27" t="s">
        <v>144</v>
      </c>
      <c r="D8139" s="26"/>
      <c r="E8139" s="27"/>
      <c r="F8139" s="27"/>
      <c r="G8139" s="27" t="s">
        <v>11122</v>
      </c>
      <c r="H8139" s="27" t="s">
        <v>35</v>
      </c>
      <c r="I8139" s="27" t="s">
        <v>38</v>
      </c>
      <c r="J8139" s="28" t="s">
        <v>856</v>
      </c>
      <c r="K8139" s="27" t="s">
        <v>38</v>
      </c>
      <c r="L8139" s="27"/>
    </row>
    <row r="8140" customFormat="false" ht="15" hidden="false" customHeight="false" outlineLevel="0" collapsed="false">
      <c r="A8140" s="26" t="s">
        <v>21195</v>
      </c>
      <c r="B8140" s="27" t="s">
        <v>21196</v>
      </c>
      <c r="C8140" s="27" t="s">
        <v>144</v>
      </c>
      <c r="D8140" s="26"/>
      <c r="E8140" s="27"/>
      <c r="F8140" s="27"/>
      <c r="G8140" s="27" t="s">
        <v>11122</v>
      </c>
      <c r="H8140" s="27" t="s">
        <v>35</v>
      </c>
      <c r="I8140" s="27" t="s">
        <v>38</v>
      </c>
      <c r="J8140" s="28" t="s">
        <v>856</v>
      </c>
      <c r="K8140" s="27" t="s">
        <v>38</v>
      </c>
      <c r="L8140" s="27"/>
    </row>
    <row r="8141" customFormat="false" ht="15" hidden="false" customHeight="false" outlineLevel="0" collapsed="false">
      <c r="A8141" s="26" t="s">
        <v>21197</v>
      </c>
      <c r="B8141" s="27" t="s">
        <v>21198</v>
      </c>
      <c r="C8141" s="27" t="s">
        <v>144</v>
      </c>
      <c r="D8141" s="26"/>
      <c r="E8141" s="27"/>
      <c r="F8141" s="27"/>
      <c r="G8141" s="27" t="s">
        <v>11122</v>
      </c>
      <c r="H8141" s="27" t="s">
        <v>35</v>
      </c>
      <c r="I8141" s="27" t="s">
        <v>38</v>
      </c>
      <c r="J8141" s="28" t="s">
        <v>856</v>
      </c>
      <c r="K8141" s="27" t="s">
        <v>38</v>
      </c>
      <c r="L8141" s="27"/>
    </row>
    <row r="8142" customFormat="false" ht="15" hidden="false" customHeight="false" outlineLevel="0" collapsed="false">
      <c r="A8142" s="26" t="s">
        <v>21199</v>
      </c>
      <c r="B8142" s="27" t="s">
        <v>21200</v>
      </c>
      <c r="C8142" s="27" t="s">
        <v>144</v>
      </c>
      <c r="D8142" s="26"/>
      <c r="E8142" s="27"/>
      <c r="F8142" s="27"/>
      <c r="G8142" s="27" t="s">
        <v>11122</v>
      </c>
      <c r="H8142" s="27" t="s">
        <v>35</v>
      </c>
      <c r="I8142" s="27" t="s">
        <v>38</v>
      </c>
      <c r="J8142" s="28" t="s">
        <v>856</v>
      </c>
      <c r="K8142" s="27" t="s">
        <v>38</v>
      </c>
      <c r="L8142" s="27"/>
    </row>
    <row r="8143" customFormat="false" ht="15" hidden="false" customHeight="false" outlineLevel="0" collapsed="false">
      <c r="A8143" s="26" t="s">
        <v>21201</v>
      </c>
      <c r="B8143" s="27" t="s">
        <v>21202</v>
      </c>
      <c r="C8143" s="27" t="s">
        <v>144</v>
      </c>
      <c r="D8143" s="26"/>
      <c r="E8143" s="27"/>
      <c r="F8143" s="27"/>
      <c r="G8143" s="27" t="s">
        <v>11122</v>
      </c>
      <c r="H8143" s="27" t="s">
        <v>35</v>
      </c>
      <c r="I8143" s="27" t="s">
        <v>38</v>
      </c>
      <c r="J8143" s="28" t="s">
        <v>856</v>
      </c>
      <c r="K8143" s="27" t="s">
        <v>38</v>
      </c>
      <c r="L8143" s="27"/>
    </row>
    <row r="8144" customFormat="false" ht="15" hidden="false" customHeight="false" outlineLevel="0" collapsed="false">
      <c r="A8144" s="26" t="s">
        <v>21203</v>
      </c>
      <c r="B8144" s="27" t="s">
        <v>21204</v>
      </c>
      <c r="C8144" s="27" t="s">
        <v>144</v>
      </c>
      <c r="D8144" s="26"/>
      <c r="E8144" s="27"/>
      <c r="F8144" s="27"/>
      <c r="G8144" s="27" t="s">
        <v>11122</v>
      </c>
      <c r="H8144" s="27" t="s">
        <v>35</v>
      </c>
      <c r="I8144" s="27" t="s">
        <v>38</v>
      </c>
      <c r="J8144" s="28" t="s">
        <v>856</v>
      </c>
      <c r="K8144" s="27" t="s">
        <v>38</v>
      </c>
      <c r="L8144" s="27"/>
    </row>
    <row r="8145" customFormat="false" ht="15" hidden="false" customHeight="false" outlineLevel="0" collapsed="false">
      <c r="A8145" s="26" t="s">
        <v>21205</v>
      </c>
      <c r="B8145" s="27" t="s">
        <v>21206</v>
      </c>
      <c r="C8145" s="27" t="s">
        <v>144</v>
      </c>
      <c r="D8145" s="26"/>
      <c r="E8145" s="27"/>
      <c r="F8145" s="27"/>
      <c r="G8145" s="27" t="s">
        <v>11122</v>
      </c>
      <c r="H8145" s="27" t="s">
        <v>35</v>
      </c>
      <c r="I8145" s="27" t="s">
        <v>38</v>
      </c>
      <c r="J8145" s="28" t="s">
        <v>856</v>
      </c>
      <c r="K8145" s="27" t="s">
        <v>38</v>
      </c>
      <c r="L8145" s="27"/>
    </row>
    <row r="8146" customFormat="false" ht="15" hidden="false" customHeight="false" outlineLevel="0" collapsed="false">
      <c r="A8146" s="26" t="s">
        <v>21207</v>
      </c>
      <c r="B8146" s="27" t="s">
        <v>21208</v>
      </c>
      <c r="C8146" s="27" t="s">
        <v>144</v>
      </c>
      <c r="D8146" s="26"/>
      <c r="E8146" s="27"/>
      <c r="F8146" s="27"/>
      <c r="G8146" s="27" t="s">
        <v>11122</v>
      </c>
      <c r="H8146" s="27" t="s">
        <v>35</v>
      </c>
      <c r="I8146" s="27" t="s">
        <v>38</v>
      </c>
      <c r="J8146" s="28" t="s">
        <v>856</v>
      </c>
      <c r="K8146" s="27" t="s">
        <v>38</v>
      </c>
      <c r="L8146" s="27"/>
    </row>
    <row r="8147" customFormat="false" ht="15" hidden="false" customHeight="false" outlineLevel="0" collapsed="false">
      <c r="A8147" s="26" t="s">
        <v>21209</v>
      </c>
      <c r="B8147" s="27" t="s">
        <v>21210</v>
      </c>
      <c r="C8147" s="27" t="s">
        <v>144</v>
      </c>
      <c r="D8147" s="26"/>
      <c r="E8147" s="27"/>
      <c r="F8147" s="27"/>
      <c r="G8147" s="27" t="s">
        <v>11122</v>
      </c>
      <c r="H8147" s="27" t="s">
        <v>35</v>
      </c>
      <c r="I8147" s="27" t="s">
        <v>38</v>
      </c>
      <c r="J8147" s="28" t="s">
        <v>856</v>
      </c>
      <c r="K8147" s="27" t="s">
        <v>38</v>
      </c>
      <c r="L8147" s="27"/>
    </row>
    <row r="8148" customFormat="false" ht="15" hidden="false" customHeight="false" outlineLevel="0" collapsed="false">
      <c r="A8148" s="26" t="s">
        <v>21211</v>
      </c>
      <c r="B8148" s="27" t="s">
        <v>21212</v>
      </c>
      <c r="C8148" s="27" t="s">
        <v>144</v>
      </c>
      <c r="D8148" s="26"/>
      <c r="E8148" s="27"/>
      <c r="F8148" s="27"/>
      <c r="G8148" s="27" t="s">
        <v>11122</v>
      </c>
      <c r="H8148" s="27" t="s">
        <v>35</v>
      </c>
      <c r="I8148" s="27" t="s">
        <v>38</v>
      </c>
      <c r="J8148" s="28" t="s">
        <v>856</v>
      </c>
      <c r="K8148" s="27" t="s">
        <v>38</v>
      </c>
      <c r="L8148" s="27"/>
    </row>
    <row r="8149" customFormat="false" ht="15" hidden="false" customHeight="false" outlineLevel="0" collapsed="false">
      <c r="A8149" s="26" t="s">
        <v>21213</v>
      </c>
      <c r="B8149" s="27" t="s">
        <v>21214</v>
      </c>
      <c r="C8149" s="27" t="s">
        <v>144</v>
      </c>
      <c r="D8149" s="26"/>
      <c r="E8149" s="27"/>
      <c r="F8149" s="27"/>
      <c r="G8149" s="27" t="s">
        <v>11122</v>
      </c>
      <c r="H8149" s="27" t="s">
        <v>35</v>
      </c>
      <c r="I8149" s="27" t="s">
        <v>38</v>
      </c>
      <c r="J8149" s="28" t="s">
        <v>856</v>
      </c>
      <c r="K8149" s="27" t="s">
        <v>38</v>
      </c>
      <c r="L8149" s="27"/>
    </row>
    <row r="8150" customFormat="false" ht="15" hidden="false" customHeight="false" outlineLevel="0" collapsed="false">
      <c r="A8150" s="26" t="s">
        <v>21215</v>
      </c>
      <c r="B8150" s="27" t="s">
        <v>21216</v>
      </c>
      <c r="C8150" s="27" t="s">
        <v>144</v>
      </c>
      <c r="D8150" s="26"/>
      <c r="E8150" s="27"/>
      <c r="F8150" s="27"/>
      <c r="G8150" s="27" t="s">
        <v>11122</v>
      </c>
      <c r="H8150" s="27" t="s">
        <v>35</v>
      </c>
      <c r="I8150" s="27" t="s">
        <v>887</v>
      </c>
      <c r="J8150" s="28" t="s">
        <v>856</v>
      </c>
      <c r="K8150" s="27" t="s">
        <v>38</v>
      </c>
      <c r="L8150" s="27"/>
    </row>
    <row r="8151" customFormat="false" ht="15" hidden="false" customHeight="false" outlineLevel="0" collapsed="false">
      <c r="A8151" s="26" t="s">
        <v>21217</v>
      </c>
      <c r="B8151" s="27" t="s">
        <v>21218</v>
      </c>
      <c r="C8151" s="27" t="s">
        <v>144</v>
      </c>
      <c r="D8151" s="26"/>
      <c r="E8151" s="27"/>
      <c r="F8151" s="27"/>
      <c r="G8151" s="27" t="s">
        <v>11122</v>
      </c>
      <c r="H8151" s="27" t="s">
        <v>35</v>
      </c>
      <c r="I8151" s="27" t="s">
        <v>38</v>
      </c>
      <c r="J8151" s="28" t="s">
        <v>856</v>
      </c>
      <c r="K8151" s="27" t="s">
        <v>38</v>
      </c>
      <c r="L8151" s="27"/>
    </row>
    <row r="8152" customFormat="false" ht="15" hidden="false" customHeight="false" outlineLevel="0" collapsed="false">
      <c r="A8152" s="26" t="s">
        <v>21219</v>
      </c>
      <c r="B8152" s="27" t="s">
        <v>21220</v>
      </c>
      <c r="C8152" s="27" t="s">
        <v>144</v>
      </c>
      <c r="D8152" s="26"/>
      <c r="E8152" s="27"/>
      <c r="F8152" s="27"/>
      <c r="G8152" s="27" t="s">
        <v>11122</v>
      </c>
      <c r="H8152" s="27" t="s">
        <v>35</v>
      </c>
      <c r="I8152" s="27" t="s">
        <v>38</v>
      </c>
      <c r="J8152" s="28" t="s">
        <v>856</v>
      </c>
      <c r="K8152" s="27" t="s">
        <v>38</v>
      </c>
      <c r="L8152" s="27"/>
    </row>
    <row r="8153" customFormat="false" ht="15" hidden="false" customHeight="false" outlineLevel="0" collapsed="false">
      <c r="A8153" s="26" t="s">
        <v>21221</v>
      </c>
      <c r="B8153" s="27" t="s">
        <v>21222</v>
      </c>
      <c r="C8153" s="27" t="s">
        <v>144</v>
      </c>
      <c r="D8153" s="26"/>
      <c r="E8153" s="27"/>
      <c r="F8153" s="27"/>
      <c r="G8153" s="27" t="s">
        <v>11122</v>
      </c>
      <c r="H8153" s="27" t="s">
        <v>35</v>
      </c>
      <c r="I8153" s="27" t="s">
        <v>38</v>
      </c>
      <c r="J8153" s="28" t="s">
        <v>856</v>
      </c>
      <c r="K8153" s="27" t="s">
        <v>38</v>
      </c>
      <c r="L8153" s="27"/>
    </row>
    <row r="8154" customFormat="false" ht="15" hidden="false" customHeight="false" outlineLevel="0" collapsed="false">
      <c r="A8154" s="26" t="s">
        <v>21223</v>
      </c>
      <c r="B8154" s="27" t="s">
        <v>21224</v>
      </c>
      <c r="C8154" s="27" t="s">
        <v>144</v>
      </c>
      <c r="D8154" s="26"/>
      <c r="E8154" s="27"/>
      <c r="F8154" s="27"/>
      <c r="G8154" s="27" t="s">
        <v>11122</v>
      </c>
      <c r="H8154" s="27" t="s">
        <v>35</v>
      </c>
      <c r="I8154" s="27" t="s">
        <v>38</v>
      </c>
      <c r="J8154" s="28" t="s">
        <v>856</v>
      </c>
      <c r="K8154" s="27" t="s">
        <v>38</v>
      </c>
      <c r="L8154" s="27"/>
    </row>
    <row r="8155" customFormat="false" ht="15" hidden="false" customHeight="false" outlineLevel="0" collapsed="false">
      <c r="A8155" s="26" t="s">
        <v>21225</v>
      </c>
      <c r="B8155" s="27" t="s">
        <v>21226</v>
      </c>
      <c r="C8155" s="27" t="s">
        <v>144</v>
      </c>
      <c r="D8155" s="26"/>
      <c r="E8155" s="27"/>
      <c r="F8155" s="27"/>
      <c r="G8155" s="27" t="s">
        <v>11122</v>
      </c>
      <c r="H8155" s="27" t="s">
        <v>35</v>
      </c>
      <c r="I8155" s="27" t="s">
        <v>38</v>
      </c>
      <c r="J8155" s="28" t="s">
        <v>856</v>
      </c>
      <c r="K8155" s="27" t="s">
        <v>38</v>
      </c>
      <c r="L8155" s="27"/>
    </row>
    <row r="8156" customFormat="false" ht="15" hidden="false" customHeight="false" outlineLevel="0" collapsed="false">
      <c r="A8156" s="26" t="s">
        <v>21227</v>
      </c>
      <c r="B8156" s="27" t="s">
        <v>21228</v>
      </c>
      <c r="C8156" s="27" t="s">
        <v>144</v>
      </c>
      <c r="D8156" s="26"/>
      <c r="E8156" s="27"/>
      <c r="F8156" s="27"/>
      <c r="G8156" s="27" t="s">
        <v>11122</v>
      </c>
      <c r="H8156" s="27" t="s">
        <v>35</v>
      </c>
      <c r="I8156" s="27" t="s">
        <v>38</v>
      </c>
      <c r="J8156" s="28" t="s">
        <v>856</v>
      </c>
      <c r="K8156" s="27" t="s">
        <v>38</v>
      </c>
      <c r="L8156" s="27"/>
    </row>
    <row r="8157" customFormat="false" ht="15" hidden="false" customHeight="false" outlineLevel="0" collapsed="false">
      <c r="A8157" s="26" t="s">
        <v>21229</v>
      </c>
      <c r="B8157" s="27" t="s">
        <v>21230</v>
      </c>
      <c r="C8157" s="27" t="s">
        <v>144</v>
      </c>
      <c r="D8157" s="26"/>
      <c r="E8157" s="27"/>
      <c r="F8157" s="27"/>
      <c r="G8157" s="27" t="s">
        <v>11122</v>
      </c>
      <c r="H8157" s="27" t="s">
        <v>35</v>
      </c>
      <c r="I8157" s="27" t="s">
        <v>38</v>
      </c>
      <c r="J8157" s="28" t="s">
        <v>856</v>
      </c>
      <c r="K8157" s="27" t="s">
        <v>38</v>
      </c>
      <c r="L8157" s="27"/>
    </row>
    <row r="8158" customFormat="false" ht="15" hidden="false" customHeight="false" outlineLevel="0" collapsed="false">
      <c r="A8158" s="26" t="s">
        <v>21231</v>
      </c>
      <c r="B8158" s="27" t="s">
        <v>21232</v>
      </c>
      <c r="C8158" s="27" t="s">
        <v>144</v>
      </c>
      <c r="D8158" s="26"/>
      <c r="E8158" s="27"/>
      <c r="F8158" s="27"/>
      <c r="G8158" s="27" t="s">
        <v>11122</v>
      </c>
      <c r="H8158" s="27" t="s">
        <v>35</v>
      </c>
      <c r="I8158" s="27" t="s">
        <v>38</v>
      </c>
      <c r="J8158" s="28" t="s">
        <v>856</v>
      </c>
      <c r="K8158" s="27" t="s">
        <v>38</v>
      </c>
      <c r="L8158" s="27"/>
    </row>
    <row r="8159" customFormat="false" ht="15" hidden="false" customHeight="false" outlineLevel="0" collapsed="false">
      <c r="A8159" s="26" t="s">
        <v>21233</v>
      </c>
      <c r="B8159" s="27" t="s">
        <v>21234</v>
      </c>
      <c r="C8159" s="27" t="s">
        <v>144</v>
      </c>
      <c r="D8159" s="26"/>
      <c r="E8159" s="27"/>
      <c r="F8159" s="27"/>
      <c r="G8159" s="27" t="s">
        <v>11122</v>
      </c>
      <c r="H8159" s="27" t="s">
        <v>35</v>
      </c>
      <c r="I8159" s="27" t="s">
        <v>38</v>
      </c>
      <c r="J8159" s="28" t="s">
        <v>856</v>
      </c>
      <c r="K8159" s="27" t="s">
        <v>38</v>
      </c>
      <c r="L8159" s="27"/>
    </row>
    <row r="8160" customFormat="false" ht="15" hidden="false" customHeight="false" outlineLevel="0" collapsed="false">
      <c r="A8160" s="26" t="s">
        <v>21235</v>
      </c>
      <c r="B8160" s="27" t="s">
        <v>21236</v>
      </c>
      <c r="C8160" s="27" t="s">
        <v>144</v>
      </c>
      <c r="D8160" s="26"/>
      <c r="E8160" s="27"/>
      <c r="F8160" s="27"/>
      <c r="G8160" s="27" t="s">
        <v>11122</v>
      </c>
      <c r="H8160" s="27" t="s">
        <v>35</v>
      </c>
      <c r="I8160" s="27" t="s">
        <v>38</v>
      </c>
      <c r="J8160" s="28" t="s">
        <v>856</v>
      </c>
      <c r="K8160" s="27" t="s">
        <v>38</v>
      </c>
      <c r="L8160" s="27"/>
    </row>
    <row r="8161" customFormat="false" ht="15" hidden="false" customHeight="false" outlineLevel="0" collapsed="false">
      <c r="A8161" s="26" t="s">
        <v>21237</v>
      </c>
      <c r="B8161" s="27" t="s">
        <v>21238</v>
      </c>
      <c r="C8161" s="27" t="s">
        <v>144</v>
      </c>
      <c r="D8161" s="26"/>
      <c r="E8161" s="27"/>
      <c r="F8161" s="27"/>
      <c r="G8161" s="27" t="s">
        <v>11122</v>
      </c>
      <c r="H8161" s="27" t="s">
        <v>35</v>
      </c>
      <c r="I8161" s="27" t="s">
        <v>38</v>
      </c>
      <c r="J8161" s="28" t="s">
        <v>856</v>
      </c>
      <c r="K8161" s="27" t="s">
        <v>38</v>
      </c>
      <c r="L8161" s="27"/>
    </row>
    <row r="8162" customFormat="false" ht="15" hidden="false" customHeight="false" outlineLevel="0" collapsed="false">
      <c r="A8162" s="26" t="s">
        <v>21239</v>
      </c>
      <c r="B8162" s="27" t="s">
        <v>21240</v>
      </c>
      <c r="C8162" s="27" t="s">
        <v>144</v>
      </c>
      <c r="D8162" s="26"/>
      <c r="E8162" s="27"/>
      <c r="F8162" s="27"/>
      <c r="G8162" s="27" t="s">
        <v>11122</v>
      </c>
      <c r="H8162" s="27" t="s">
        <v>35</v>
      </c>
      <c r="I8162" s="27" t="s">
        <v>38</v>
      </c>
      <c r="J8162" s="28" t="s">
        <v>856</v>
      </c>
      <c r="K8162" s="27" t="s">
        <v>38</v>
      </c>
      <c r="L8162" s="27"/>
    </row>
    <row r="8163" customFormat="false" ht="15" hidden="false" customHeight="false" outlineLevel="0" collapsed="false">
      <c r="A8163" s="26" t="s">
        <v>21241</v>
      </c>
      <c r="B8163" s="27" t="s">
        <v>21242</v>
      </c>
      <c r="C8163" s="27" t="s">
        <v>144</v>
      </c>
      <c r="D8163" s="26"/>
      <c r="E8163" s="27"/>
      <c r="F8163" s="27"/>
      <c r="G8163" s="27" t="s">
        <v>11122</v>
      </c>
      <c r="H8163" s="27" t="s">
        <v>35</v>
      </c>
      <c r="I8163" s="27" t="s">
        <v>38</v>
      </c>
      <c r="J8163" s="28" t="s">
        <v>856</v>
      </c>
      <c r="K8163" s="27" t="s">
        <v>38</v>
      </c>
      <c r="L8163" s="27"/>
    </row>
    <row r="8164" customFormat="false" ht="15" hidden="false" customHeight="false" outlineLevel="0" collapsed="false">
      <c r="A8164" s="26" t="s">
        <v>21243</v>
      </c>
      <c r="B8164" s="27" t="s">
        <v>21244</v>
      </c>
      <c r="C8164" s="27" t="s">
        <v>144</v>
      </c>
      <c r="D8164" s="26"/>
      <c r="E8164" s="27"/>
      <c r="F8164" s="27"/>
      <c r="G8164" s="27" t="s">
        <v>11122</v>
      </c>
      <c r="H8164" s="27" t="s">
        <v>35</v>
      </c>
      <c r="I8164" s="27" t="s">
        <v>38</v>
      </c>
      <c r="J8164" s="28" t="s">
        <v>856</v>
      </c>
      <c r="K8164" s="27" t="s">
        <v>38</v>
      </c>
      <c r="L8164" s="27"/>
    </row>
    <row r="8165" customFormat="false" ht="15" hidden="false" customHeight="false" outlineLevel="0" collapsed="false">
      <c r="A8165" s="26" t="s">
        <v>21245</v>
      </c>
      <c r="B8165" s="27" t="s">
        <v>21246</v>
      </c>
      <c r="C8165" s="27" t="s">
        <v>144</v>
      </c>
      <c r="D8165" s="26"/>
      <c r="E8165" s="27"/>
      <c r="F8165" s="27"/>
      <c r="G8165" s="27" t="s">
        <v>11122</v>
      </c>
      <c r="H8165" s="27" t="s">
        <v>35</v>
      </c>
      <c r="I8165" s="27" t="s">
        <v>887</v>
      </c>
      <c r="J8165" s="28" t="s">
        <v>856</v>
      </c>
      <c r="K8165" s="27" t="s">
        <v>38</v>
      </c>
      <c r="L8165" s="27"/>
    </row>
    <row r="8166" customFormat="false" ht="15" hidden="false" customHeight="false" outlineLevel="0" collapsed="false">
      <c r="A8166" s="26" t="s">
        <v>21247</v>
      </c>
      <c r="B8166" s="27" t="s">
        <v>21248</v>
      </c>
      <c r="C8166" s="27" t="s">
        <v>144</v>
      </c>
      <c r="D8166" s="26"/>
      <c r="E8166" s="27"/>
      <c r="F8166" s="27"/>
      <c r="G8166" s="27" t="s">
        <v>11122</v>
      </c>
      <c r="H8166" s="27" t="s">
        <v>35</v>
      </c>
      <c r="I8166" s="27" t="s">
        <v>38</v>
      </c>
      <c r="J8166" s="28" t="s">
        <v>856</v>
      </c>
      <c r="K8166" s="27" t="s">
        <v>38</v>
      </c>
      <c r="L8166" s="27"/>
    </row>
    <row r="8167" customFormat="false" ht="15" hidden="false" customHeight="false" outlineLevel="0" collapsed="false">
      <c r="A8167" s="26" t="s">
        <v>21249</v>
      </c>
      <c r="B8167" s="27" t="s">
        <v>21250</v>
      </c>
      <c r="C8167" s="27" t="s">
        <v>144</v>
      </c>
      <c r="D8167" s="26"/>
      <c r="E8167" s="27"/>
      <c r="F8167" s="27"/>
      <c r="G8167" s="27" t="s">
        <v>11122</v>
      </c>
      <c r="H8167" s="27" t="s">
        <v>35</v>
      </c>
      <c r="I8167" s="27" t="s">
        <v>38</v>
      </c>
      <c r="J8167" s="28" t="s">
        <v>856</v>
      </c>
      <c r="K8167" s="27" t="s">
        <v>38</v>
      </c>
      <c r="L8167" s="27"/>
    </row>
    <row r="8168" customFormat="false" ht="15" hidden="false" customHeight="false" outlineLevel="0" collapsed="false">
      <c r="A8168" s="26" t="s">
        <v>21251</v>
      </c>
      <c r="B8168" s="27" t="s">
        <v>21252</v>
      </c>
      <c r="C8168" s="27" t="s">
        <v>144</v>
      </c>
      <c r="D8168" s="26"/>
      <c r="E8168" s="27"/>
      <c r="F8168" s="27"/>
      <c r="G8168" s="27" t="s">
        <v>11122</v>
      </c>
      <c r="H8168" s="27" t="s">
        <v>35</v>
      </c>
      <c r="I8168" s="27" t="s">
        <v>38</v>
      </c>
      <c r="J8168" s="28" t="s">
        <v>856</v>
      </c>
      <c r="K8168" s="27" t="s">
        <v>38</v>
      </c>
      <c r="L8168" s="27"/>
    </row>
    <row r="8169" customFormat="false" ht="15" hidden="false" customHeight="false" outlineLevel="0" collapsed="false">
      <c r="A8169" s="26" t="s">
        <v>21253</v>
      </c>
      <c r="B8169" s="27" t="s">
        <v>21254</v>
      </c>
      <c r="C8169" s="27" t="s">
        <v>144</v>
      </c>
      <c r="D8169" s="26"/>
      <c r="E8169" s="27"/>
      <c r="F8169" s="27"/>
      <c r="G8169" s="27" t="s">
        <v>11122</v>
      </c>
      <c r="H8169" s="27" t="s">
        <v>35</v>
      </c>
      <c r="I8169" s="27" t="s">
        <v>38</v>
      </c>
      <c r="J8169" s="28" t="s">
        <v>856</v>
      </c>
      <c r="K8169" s="27" t="s">
        <v>38</v>
      </c>
      <c r="L8169" s="27"/>
    </row>
    <row r="8170" customFormat="false" ht="15" hidden="false" customHeight="false" outlineLevel="0" collapsed="false">
      <c r="A8170" s="26" t="s">
        <v>21255</v>
      </c>
      <c r="B8170" s="27" t="s">
        <v>21256</v>
      </c>
      <c r="C8170" s="27" t="s">
        <v>144</v>
      </c>
      <c r="D8170" s="26"/>
      <c r="E8170" s="27"/>
      <c r="F8170" s="27"/>
      <c r="G8170" s="27" t="s">
        <v>11122</v>
      </c>
      <c r="H8170" s="27" t="s">
        <v>35</v>
      </c>
      <c r="I8170" s="27" t="s">
        <v>38</v>
      </c>
      <c r="J8170" s="28" t="s">
        <v>856</v>
      </c>
      <c r="K8170" s="27" t="s">
        <v>38</v>
      </c>
      <c r="L8170" s="27"/>
    </row>
    <row r="8171" customFormat="false" ht="15" hidden="false" customHeight="false" outlineLevel="0" collapsed="false">
      <c r="A8171" s="26" t="s">
        <v>21257</v>
      </c>
      <c r="B8171" s="27" t="s">
        <v>21258</v>
      </c>
      <c r="C8171" s="27" t="s">
        <v>144</v>
      </c>
      <c r="D8171" s="26"/>
      <c r="E8171" s="27"/>
      <c r="F8171" s="27"/>
      <c r="G8171" s="27" t="s">
        <v>11122</v>
      </c>
      <c r="H8171" s="27" t="s">
        <v>35</v>
      </c>
      <c r="I8171" s="27" t="s">
        <v>38</v>
      </c>
      <c r="J8171" s="28" t="s">
        <v>856</v>
      </c>
      <c r="K8171" s="27" t="s">
        <v>38</v>
      </c>
      <c r="L8171" s="27"/>
    </row>
    <row r="8172" customFormat="false" ht="15" hidden="false" customHeight="false" outlineLevel="0" collapsed="false">
      <c r="A8172" s="26" t="s">
        <v>21259</v>
      </c>
      <c r="B8172" s="27" t="s">
        <v>21260</v>
      </c>
      <c r="C8172" s="27" t="s">
        <v>144</v>
      </c>
      <c r="D8172" s="26"/>
      <c r="E8172" s="27"/>
      <c r="F8172" s="27"/>
      <c r="G8172" s="27" t="s">
        <v>11122</v>
      </c>
      <c r="H8172" s="27" t="s">
        <v>35</v>
      </c>
      <c r="I8172" s="27" t="s">
        <v>38</v>
      </c>
      <c r="J8172" s="28" t="s">
        <v>856</v>
      </c>
      <c r="K8172" s="27" t="s">
        <v>38</v>
      </c>
      <c r="L8172" s="27"/>
    </row>
    <row r="8173" customFormat="false" ht="15" hidden="false" customHeight="false" outlineLevel="0" collapsed="false">
      <c r="A8173" s="26" t="s">
        <v>21261</v>
      </c>
      <c r="B8173" s="27" t="s">
        <v>21262</v>
      </c>
      <c r="C8173" s="27" t="s">
        <v>144</v>
      </c>
      <c r="D8173" s="26"/>
      <c r="E8173" s="27"/>
      <c r="F8173" s="27"/>
      <c r="G8173" s="27" t="s">
        <v>11122</v>
      </c>
      <c r="H8173" s="27" t="s">
        <v>35</v>
      </c>
      <c r="I8173" s="27" t="s">
        <v>38</v>
      </c>
      <c r="J8173" s="28" t="s">
        <v>856</v>
      </c>
      <c r="K8173" s="27" t="s">
        <v>38</v>
      </c>
      <c r="L8173" s="27"/>
    </row>
    <row r="8174" customFormat="false" ht="15" hidden="false" customHeight="false" outlineLevel="0" collapsed="false">
      <c r="A8174" s="26" t="s">
        <v>21263</v>
      </c>
      <c r="B8174" s="27" t="s">
        <v>21264</v>
      </c>
      <c r="C8174" s="27" t="s">
        <v>144</v>
      </c>
      <c r="D8174" s="26"/>
      <c r="E8174" s="27"/>
      <c r="F8174" s="27"/>
      <c r="G8174" s="27" t="s">
        <v>11122</v>
      </c>
      <c r="H8174" s="27" t="s">
        <v>35</v>
      </c>
      <c r="I8174" s="27" t="s">
        <v>38</v>
      </c>
      <c r="J8174" s="28" t="s">
        <v>856</v>
      </c>
      <c r="K8174" s="27" t="s">
        <v>38</v>
      </c>
      <c r="L8174" s="27"/>
    </row>
    <row r="8175" customFormat="false" ht="15" hidden="false" customHeight="false" outlineLevel="0" collapsed="false">
      <c r="A8175" s="26" t="s">
        <v>21265</v>
      </c>
      <c r="B8175" s="27" t="s">
        <v>21266</v>
      </c>
      <c r="C8175" s="27" t="s">
        <v>144</v>
      </c>
      <c r="D8175" s="26"/>
      <c r="E8175" s="27"/>
      <c r="F8175" s="27"/>
      <c r="G8175" s="27" t="s">
        <v>11122</v>
      </c>
      <c r="H8175" s="27" t="s">
        <v>35</v>
      </c>
      <c r="I8175" s="27" t="s">
        <v>38</v>
      </c>
      <c r="J8175" s="28" t="s">
        <v>856</v>
      </c>
      <c r="K8175" s="27" t="s">
        <v>38</v>
      </c>
      <c r="L8175" s="27"/>
    </row>
    <row r="8176" customFormat="false" ht="15" hidden="false" customHeight="false" outlineLevel="0" collapsed="false">
      <c r="A8176" s="26" t="s">
        <v>21267</v>
      </c>
      <c r="B8176" s="27" t="s">
        <v>21268</v>
      </c>
      <c r="C8176" s="27" t="s">
        <v>144</v>
      </c>
      <c r="D8176" s="26"/>
      <c r="E8176" s="27"/>
      <c r="F8176" s="27"/>
      <c r="G8176" s="27" t="s">
        <v>11122</v>
      </c>
      <c r="H8176" s="27" t="s">
        <v>35</v>
      </c>
      <c r="I8176" s="27" t="s">
        <v>43</v>
      </c>
      <c r="J8176" s="28" t="s">
        <v>856</v>
      </c>
      <c r="K8176" s="27" t="s">
        <v>38</v>
      </c>
      <c r="L8176" s="27"/>
    </row>
    <row r="8177" customFormat="false" ht="15" hidden="false" customHeight="false" outlineLevel="0" collapsed="false">
      <c r="A8177" s="26" t="s">
        <v>21269</v>
      </c>
      <c r="B8177" s="27" t="s">
        <v>21270</v>
      </c>
      <c r="C8177" s="27" t="s">
        <v>144</v>
      </c>
      <c r="D8177" s="26"/>
      <c r="E8177" s="27"/>
      <c r="F8177" s="27"/>
      <c r="G8177" s="27" t="s">
        <v>11122</v>
      </c>
      <c r="H8177" s="27" t="s">
        <v>35</v>
      </c>
      <c r="I8177" s="27" t="s">
        <v>38</v>
      </c>
      <c r="J8177" s="28" t="s">
        <v>856</v>
      </c>
      <c r="K8177" s="27" t="s">
        <v>38</v>
      </c>
      <c r="L8177" s="27"/>
    </row>
    <row r="8178" customFormat="false" ht="15" hidden="false" customHeight="false" outlineLevel="0" collapsed="false">
      <c r="A8178" s="26" t="s">
        <v>21271</v>
      </c>
      <c r="B8178" s="27" t="s">
        <v>21272</v>
      </c>
      <c r="C8178" s="27" t="s">
        <v>144</v>
      </c>
      <c r="D8178" s="26"/>
      <c r="E8178" s="27"/>
      <c r="F8178" s="27"/>
      <c r="G8178" s="27" t="s">
        <v>11122</v>
      </c>
      <c r="H8178" s="27" t="s">
        <v>35</v>
      </c>
      <c r="I8178" s="27" t="s">
        <v>38</v>
      </c>
      <c r="J8178" s="28" t="s">
        <v>856</v>
      </c>
      <c r="K8178" s="27" t="s">
        <v>38</v>
      </c>
      <c r="L8178" s="27"/>
    </row>
    <row r="8179" customFormat="false" ht="15" hidden="false" customHeight="false" outlineLevel="0" collapsed="false">
      <c r="A8179" s="26" t="s">
        <v>21273</v>
      </c>
      <c r="B8179" s="27" t="s">
        <v>21274</v>
      </c>
      <c r="C8179" s="27" t="s">
        <v>144</v>
      </c>
      <c r="D8179" s="26"/>
      <c r="E8179" s="27"/>
      <c r="F8179" s="27"/>
      <c r="G8179" s="27" t="s">
        <v>11122</v>
      </c>
      <c r="H8179" s="27" t="s">
        <v>35</v>
      </c>
      <c r="I8179" s="27" t="s">
        <v>45</v>
      </c>
      <c r="J8179" s="28" t="s">
        <v>856</v>
      </c>
      <c r="K8179" s="27" t="s">
        <v>38</v>
      </c>
      <c r="L8179" s="27"/>
    </row>
    <row r="8180" customFormat="false" ht="15" hidden="false" customHeight="false" outlineLevel="0" collapsed="false">
      <c r="A8180" s="26" t="s">
        <v>21275</v>
      </c>
      <c r="B8180" s="27" t="s">
        <v>21276</v>
      </c>
      <c r="C8180" s="27" t="s">
        <v>144</v>
      </c>
      <c r="D8180" s="26"/>
      <c r="E8180" s="27"/>
      <c r="F8180" s="27"/>
      <c r="G8180" s="27" t="s">
        <v>11122</v>
      </c>
      <c r="H8180" s="27" t="s">
        <v>35</v>
      </c>
      <c r="I8180" s="27" t="s">
        <v>38</v>
      </c>
      <c r="J8180" s="28" t="s">
        <v>856</v>
      </c>
      <c r="K8180" s="27" t="s">
        <v>38</v>
      </c>
      <c r="L8180" s="27"/>
    </row>
    <row r="8181" customFormat="false" ht="15" hidden="false" customHeight="false" outlineLevel="0" collapsed="false">
      <c r="A8181" s="26" t="s">
        <v>21277</v>
      </c>
      <c r="B8181" s="27" t="s">
        <v>21278</v>
      </c>
      <c r="C8181" s="27" t="s">
        <v>144</v>
      </c>
      <c r="D8181" s="26"/>
      <c r="E8181" s="27"/>
      <c r="F8181" s="27"/>
      <c r="G8181" s="27" t="s">
        <v>11122</v>
      </c>
      <c r="H8181" s="27" t="s">
        <v>35</v>
      </c>
      <c r="I8181" s="27" t="s">
        <v>887</v>
      </c>
      <c r="J8181" s="28" t="s">
        <v>856</v>
      </c>
      <c r="K8181" s="27" t="s">
        <v>38</v>
      </c>
      <c r="L8181" s="27"/>
    </row>
    <row r="8182" customFormat="false" ht="15" hidden="false" customHeight="false" outlineLevel="0" collapsed="false">
      <c r="A8182" s="26" t="s">
        <v>21279</v>
      </c>
      <c r="B8182" s="27" t="s">
        <v>21280</v>
      </c>
      <c r="C8182" s="27" t="s">
        <v>144</v>
      </c>
      <c r="D8182" s="26"/>
      <c r="E8182" s="27"/>
      <c r="F8182" s="27"/>
      <c r="G8182" s="27" t="s">
        <v>11122</v>
      </c>
      <c r="H8182" s="27" t="s">
        <v>35</v>
      </c>
      <c r="I8182" s="27" t="s">
        <v>38</v>
      </c>
      <c r="J8182" s="28" t="s">
        <v>856</v>
      </c>
      <c r="K8182" s="27" t="s">
        <v>38</v>
      </c>
      <c r="L8182" s="27"/>
    </row>
    <row r="8183" customFormat="false" ht="15" hidden="false" customHeight="false" outlineLevel="0" collapsed="false">
      <c r="A8183" s="26" t="s">
        <v>21281</v>
      </c>
      <c r="B8183" s="27" t="s">
        <v>21282</v>
      </c>
      <c r="C8183" s="27" t="s">
        <v>144</v>
      </c>
      <c r="D8183" s="26"/>
      <c r="E8183" s="27"/>
      <c r="F8183" s="27"/>
      <c r="G8183" s="27" t="s">
        <v>11122</v>
      </c>
      <c r="H8183" s="27" t="s">
        <v>35</v>
      </c>
      <c r="I8183" s="27" t="s">
        <v>38</v>
      </c>
      <c r="J8183" s="28" t="s">
        <v>856</v>
      </c>
      <c r="K8183" s="27" t="s">
        <v>38</v>
      </c>
      <c r="L8183" s="27"/>
    </row>
    <row r="8184" customFormat="false" ht="15" hidden="false" customHeight="false" outlineLevel="0" collapsed="false">
      <c r="A8184" s="26" t="s">
        <v>21283</v>
      </c>
      <c r="B8184" s="27" t="s">
        <v>21284</v>
      </c>
      <c r="C8184" s="27" t="s">
        <v>144</v>
      </c>
      <c r="D8184" s="26"/>
      <c r="E8184" s="27"/>
      <c r="F8184" s="27"/>
      <c r="G8184" s="27" t="s">
        <v>11122</v>
      </c>
      <c r="H8184" s="27" t="s">
        <v>35</v>
      </c>
      <c r="I8184" s="27" t="s">
        <v>38</v>
      </c>
      <c r="J8184" s="28" t="s">
        <v>856</v>
      </c>
      <c r="K8184" s="27" t="s">
        <v>38</v>
      </c>
      <c r="L8184" s="27"/>
    </row>
    <row r="8185" customFormat="false" ht="15" hidden="false" customHeight="false" outlineLevel="0" collapsed="false">
      <c r="A8185" s="26" t="s">
        <v>21285</v>
      </c>
      <c r="B8185" s="27" t="s">
        <v>21286</v>
      </c>
      <c r="C8185" s="27" t="s">
        <v>144</v>
      </c>
      <c r="D8185" s="26"/>
      <c r="E8185" s="27"/>
      <c r="F8185" s="27"/>
      <c r="G8185" s="27" t="s">
        <v>11122</v>
      </c>
      <c r="H8185" s="27" t="s">
        <v>35</v>
      </c>
      <c r="I8185" s="27" t="s">
        <v>38</v>
      </c>
      <c r="J8185" s="28" t="s">
        <v>856</v>
      </c>
      <c r="K8185" s="27" t="s">
        <v>38</v>
      </c>
      <c r="L8185" s="27"/>
    </row>
    <row r="8186" customFormat="false" ht="15" hidden="false" customHeight="false" outlineLevel="0" collapsed="false">
      <c r="A8186" s="26" t="s">
        <v>21287</v>
      </c>
      <c r="B8186" s="27" t="s">
        <v>21288</v>
      </c>
      <c r="C8186" s="27" t="s">
        <v>144</v>
      </c>
      <c r="D8186" s="26"/>
      <c r="E8186" s="27"/>
      <c r="F8186" s="27"/>
      <c r="G8186" s="27" t="s">
        <v>11122</v>
      </c>
      <c r="H8186" s="27" t="s">
        <v>35</v>
      </c>
      <c r="I8186" s="27" t="s">
        <v>887</v>
      </c>
      <c r="J8186" s="28" t="s">
        <v>856</v>
      </c>
      <c r="K8186" s="27" t="s">
        <v>38</v>
      </c>
      <c r="L8186" s="27"/>
    </row>
    <row r="8187" customFormat="false" ht="15" hidden="false" customHeight="false" outlineLevel="0" collapsed="false">
      <c r="A8187" s="26" t="s">
        <v>21289</v>
      </c>
      <c r="B8187" s="27" t="s">
        <v>21290</v>
      </c>
      <c r="C8187" s="27" t="s">
        <v>144</v>
      </c>
      <c r="D8187" s="26"/>
      <c r="E8187" s="27"/>
      <c r="F8187" s="27"/>
      <c r="G8187" s="27" t="s">
        <v>11122</v>
      </c>
      <c r="H8187" s="27" t="s">
        <v>35</v>
      </c>
      <c r="I8187" s="27" t="s">
        <v>38</v>
      </c>
      <c r="J8187" s="28" t="s">
        <v>856</v>
      </c>
      <c r="K8187" s="27" t="s">
        <v>38</v>
      </c>
      <c r="L8187" s="27"/>
    </row>
    <row r="8188" customFormat="false" ht="15" hidden="false" customHeight="false" outlineLevel="0" collapsed="false">
      <c r="A8188" s="26" t="s">
        <v>21291</v>
      </c>
      <c r="B8188" s="27" t="s">
        <v>21292</v>
      </c>
      <c r="C8188" s="27" t="s">
        <v>144</v>
      </c>
      <c r="D8188" s="26"/>
      <c r="E8188" s="27"/>
      <c r="F8188" s="27"/>
      <c r="G8188" s="27" t="s">
        <v>11122</v>
      </c>
      <c r="H8188" s="27" t="s">
        <v>35</v>
      </c>
      <c r="I8188" s="27" t="s">
        <v>887</v>
      </c>
      <c r="J8188" s="28" t="s">
        <v>856</v>
      </c>
      <c r="K8188" s="27" t="s">
        <v>38</v>
      </c>
      <c r="L8188" s="27"/>
    </row>
    <row r="8189" customFormat="false" ht="15" hidden="false" customHeight="false" outlineLevel="0" collapsed="false">
      <c r="A8189" s="26" t="s">
        <v>21293</v>
      </c>
      <c r="B8189" s="27" t="s">
        <v>21294</v>
      </c>
      <c r="C8189" s="27" t="s">
        <v>144</v>
      </c>
      <c r="D8189" s="26"/>
      <c r="E8189" s="27"/>
      <c r="F8189" s="27"/>
      <c r="G8189" s="27" t="s">
        <v>11122</v>
      </c>
      <c r="H8189" s="27" t="s">
        <v>35</v>
      </c>
      <c r="I8189" s="27" t="s">
        <v>38</v>
      </c>
      <c r="J8189" s="28" t="s">
        <v>856</v>
      </c>
      <c r="K8189" s="27" t="s">
        <v>38</v>
      </c>
      <c r="L8189" s="27"/>
    </row>
    <row r="8190" customFormat="false" ht="15" hidden="false" customHeight="false" outlineLevel="0" collapsed="false">
      <c r="A8190" s="26" t="s">
        <v>21295</v>
      </c>
      <c r="B8190" s="27" t="s">
        <v>21296</v>
      </c>
      <c r="C8190" s="27" t="s">
        <v>144</v>
      </c>
      <c r="D8190" s="26"/>
      <c r="E8190" s="27"/>
      <c r="F8190" s="27"/>
      <c r="G8190" s="27" t="s">
        <v>11122</v>
      </c>
      <c r="H8190" s="27" t="s">
        <v>35</v>
      </c>
      <c r="I8190" s="27" t="s">
        <v>38</v>
      </c>
      <c r="J8190" s="28" t="s">
        <v>856</v>
      </c>
      <c r="K8190" s="27" t="s">
        <v>38</v>
      </c>
      <c r="L8190" s="27"/>
    </row>
    <row r="8191" customFormat="false" ht="15" hidden="false" customHeight="false" outlineLevel="0" collapsed="false">
      <c r="A8191" s="26" t="s">
        <v>21297</v>
      </c>
      <c r="B8191" s="27" t="s">
        <v>21298</v>
      </c>
      <c r="C8191" s="27" t="s">
        <v>144</v>
      </c>
      <c r="D8191" s="26"/>
      <c r="E8191" s="27"/>
      <c r="F8191" s="27"/>
      <c r="G8191" s="27" t="s">
        <v>11122</v>
      </c>
      <c r="H8191" s="27" t="s">
        <v>35</v>
      </c>
      <c r="I8191" s="27" t="s">
        <v>887</v>
      </c>
      <c r="J8191" s="28" t="s">
        <v>856</v>
      </c>
      <c r="K8191" s="27" t="s">
        <v>38</v>
      </c>
      <c r="L8191" s="27"/>
    </row>
    <row r="8192" customFormat="false" ht="15" hidden="false" customHeight="false" outlineLevel="0" collapsed="false">
      <c r="A8192" s="26" t="s">
        <v>21299</v>
      </c>
      <c r="B8192" s="27" t="s">
        <v>21300</v>
      </c>
      <c r="C8192" s="27" t="s">
        <v>144</v>
      </c>
      <c r="D8192" s="26"/>
      <c r="E8192" s="27"/>
      <c r="F8192" s="27"/>
      <c r="G8192" s="27" t="s">
        <v>11122</v>
      </c>
      <c r="H8192" s="27" t="s">
        <v>35</v>
      </c>
      <c r="I8192" s="27" t="s">
        <v>887</v>
      </c>
      <c r="J8192" s="28" t="s">
        <v>856</v>
      </c>
      <c r="K8192" s="27" t="s">
        <v>38</v>
      </c>
      <c r="L8192" s="27"/>
    </row>
    <row r="8193" customFormat="false" ht="15" hidden="false" customHeight="false" outlineLevel="0" collapsed="false">
      <c r="A8193" s="26" t="s">
        <v>21301</v>
      </c>
      <c r="B8193" s="27" t="s">
        <v>21302</v>
      </c>
      <c r="C8193" s="27" t="s">
        <v>144</v>
      </c>
      <c r="D8193" s="26"/>
      <c r="E8193" s="27"/>
      <c r="F8193" s="27"/>
      <c r="G8193" s="27" t="s">
        <v>11122</v>
      </c>
      <c r="H8193" s="27" t="s">
        <v>35</v>
      </c>
      <c r="I8193" s="27" t="s">
        <v>38</v>
      </c>
      <c r="J8193" s="28" t="s">
        <v>856</v>
      </c>
      <c r="K8193" s="27" t="s">
        <v>38</v>
      </c>
      <c r="L8193" s="27"/>
    </row>
    <row r="8194" customFormat="false" ht="15" hidden="false" customHeight="false" outlineLevel="0" collapsed="false">
      <c r="A8194" s="26" t="s">
        <v>21303</v>
      </c>
      <c r="B8194" s="27" t="s">
        <v>21304</v>
      </c>
      <c r="C8194" s="27" t="s">
        <v>144</v>
      </c>
      <c r="D8194" s="26"/>
      <c r="E8194" s="27"/>
      <c r="F8194" s="27"/>
      <c r="G8194" s="27" t="s">
        <v>11122</v>
      </c>
      <c r="H8194" s="27" t="s">
        <v>35</v>
      </c>
      <c r="I8194" s="27" t="s">
        <v>38</v>
      </c>
      <c r="J8194" s="28" t="s">
        <v>856</v>
      </c>
      <c r="K8194" s="27" t="s">
        <v>38</v>
      </c>
      <c r="L8194" s="27"/>
    </row>
    <row r="8195" customFormat="false" ht="15" hidden="false" customHeight="false" outlineLevel="0" collapsed="false">
      <c r="A8195" s="26" t="s">
        <v>21305</v>
      </c>
      <c r="B8195" s="27" t="s">
        <v>21306</v>
      </c>
      <c r="C8195" s="27" t="s">
        <v>144</v>
      </c>
      <c r="D8195" s="26"/>
      <c r="E8195" s="27"/>
      <c r="F8195" s="27"/>
      <c r="G8195" s="27" t="s">
        <v>11122</v>
      </c>
      <c r="H8195" s="27" t="s">
        <v>35</v>
      </c>
      <c r="I8195" s="27" t="s">
        <v>38</v>
      </c>
      <c r="J8195" s="28" t="s">
        <v>856</v>
      </c>
      <c r="K8195" s="27" t="s">
        <v>38</v>
      </c>
      <c r="L8195" s="27"/>
    </row>
    <row r="8196" customFormat="false" ht="15" hidden="false" customHeight="false" outlineLevel="0" collapsed="false">
      <c r="A8196" s="26" t="s">
        <v>21307</v>
      </c>
      <c r="B8196" s="27" t="s">
        <v>21308</v>
      </c>
      <c r="C8196" s="27" t="s">
        <v>144</v>
      </c>
      <c r="D8196" s="26"/>
      <c r="E8196" s="27"/>
      <c r="F8196" s="27"/>
      <c r="G8196" s="27" t="s">
        <v>11122</v>
      </c>
      <c r="H8196" s="27" t="s">
        <v>35</v>
      </c>
      <c r="I8196" s="27" t="s">
        <v>38</v>
      </c>
      <c r="J8196" s="28" t="s">
        <v>856</v>
      </c>
      <c r="K8196" s="27" t="s">
        <v>38</v>
      </c>
      <c r="L8196" s="27"/>
    </row>
    <row r="8197" customFormat="false" ht="15" hidden="false" customHeight="false" outlineLevel="0" collapsed="false">
      <c r="A8197" s="26" t="s">
        <v>21309</v>
      </c>
      <c r="B8197" s="27" t="s">
        <v>21310</v>
      </c>
      <c r="C8197" s="27" t="s">
        <v>144</v>
      </c>
      <c r="D8197" s="26"/>
      <c r="E8197" s="27"/>
      <c r="F8197" s="27"/>
      <c r="G8197" s="27" t="s">
        <v>11122</v>
      </c>
      <c r="H8197" s="27" t="s">
        <v>35</v>
      </c>
      <c r="I8197" s="27" t="s">
        <v>38</v>
      </c>
      <c r="J8197" s="28" t="s">
        <v>856</v>
      </c>
      <c r="K8197" s="27" t="s">
        <v>38</v>
      </c>
      <c r="L8197" s="27"/>
    </row>
    <row r="8198" customFormat="false" ht="15" hidden="false" customHeight="false" outlineLevel="0" collapsed="false">
      <c r="A8198" s="26" t="s">
        <v>21311</v>
      </c>
      <c r="B8198" s="27" t="s">
        <v>21312</v>
      </c>
      <c r="C8198" s="27" t="s">
        <v>144</v>
      </c>
      <c r="D8198" s="26"/>
      <c r="E8198" s="27"/>
      <c r="F8198" s="27"/>
      <c r="G8198" s="27" t="s">
        <v>11122</v>
      </c>
      <c r="H8198" s="27" t="s">
        <v>35</v>
      </c>
      <c r="I8198" s="27" t="s">
        <v>887</v>
      </c>
      <c r="J8198" s="28" t="s">
        <v>856</v>
      </c>
      <c r="K8198" s="27" t="s">
        <v>38</v>
      </c>
      <c r="L8198" s="27"/>
    </row>
    <row r="8199" customFormat="false" ht="15" hidden="false" customHeight="false" outlineLevel="0" collapsed="false">
      <c r="A8199" s="26" t="s">
        <v>21313</v>
      </c>
      <c r="B8199" s="27" t="s">
        <v>21314</v>
      </c>
      <c r="C8199" s="27" t="s">
        <v>144</v>
      </c>
      <c r="D8199" s="26"/>
      <c r="E8199" s="27"/>
      <c r="F8199" s="27"/>
      <c r="G8199" s="27" t="s">
        <v>11122</v>
      </c>
      <c r="H8199" s="27" t="s">
        <v>35</v>
      </c>
      <c r="I8199" s="27" t="s">
        <v>39</v>
      </c>
      <c r="J8199" s="28" t="s">
        <v>856</v>
      </c>
      <c r="K8199" s="27" t="s">
        <v>38</v>
      </c>
      <c r="L8199" s="27"/>
    </row>
    <row r="8200" customFormat="false" ht="15" hidden="false" customHeight="false" outlineLevel="0" collapsed="false">
      <c r="A8200" s="26" t="s">
        <v>21315</v>
      </c>
      <c r="B8200" s="27" t="s">
        <v>21316</v>
      </c>
      <c r="C8200" s="27" t="s">
        <v>144</v>
      </c>
      <c r="D8200" s="26"/>
      <c r="E8200" s="27"/>
      <c r="F8200" s="27"/>
      <c r="G8200" s="27" t="s">
        <v>11122</v>
      </c>
      <c r="H8200" s="27" t="s">
        <v>35</v>
      </c>
      <c r="I8200" s="27" t="s">
        <v>39</v>
      </c>
      <c r="J8200" s="28" t="s">
        <v>856</v>
      </c>
      <c r="K8200" s="27" t="s">
        <v>38</v>
      </c>
      <c r="L8200" s="27"/>
    </row>
    <row r="8201" customFormat="false" ht="15" hidden="false" customHeight="false" outlineLevel="0" collapsed="false">
      <c r="A8201" s="26" t="s">
        <v>21317</v>
      </c>
      <c r="B8201" s="27" t="s">
        <v>21318</v>
      </c>
      <c r="C8201" s="27" t="s">
        <v>144</v>
      </c>
      <c r="D8201" s="26"/>
      <c r="E8201" s="27"/>
      <c r="F8201" s="27"/>
      <c r="G8201" s="27" t="s">
        <v>11122</v>
      </c>
      <c r="H8201" s="27" t="s">
        <v>35</v>
      </c>
      <c r="I8201" s="27" t="s">
        <v>38</v>
      </c>
      <c r="J8201" s="28" t="s">
        <v>856</v>
      </c>
      <c r="K8201" s="27" t="s">
        <v>38</v>
      </c>
      <c r="L8201" s="27"/>
    </row>
    <row r="8202" customFormat="false" ht="15" hidden="false" customHeight="false" outlineLevel="0" collapsed="false">
      <c r="A8202" s="26" t="s">
        <v>21319</v>
      </c>
      <c r="B8202" s="27" t="s">
        <v>21320</v>
      </c>
      <c r="C8202" s="27" t="s">
        <v>144</v>
      </c>
      <c r="D8202" s="26"/>
      <c r="E8202" s="27"/>
      <c r="F8202" s="27"/>
      <c r="G8202" s="27" t="s">
        <v>11122</v>
      </c>
      <c r="H8202" s="27" t="s">
        <v>35</v>
      </c>
      <c r="I8202" s="27" t="s">
        <v>38</v>
      </c>
      <c r="J8202" s="28" t="s">
        <v>856</v>
      </c>
      <c r="K8202" s="27" t="s">
        <v>38</v>
      </c>
      <c r="L8202" s="27"/>
    </row>
    <row r="8203" customFormat="false" ht="15" hidden="false" customHeight="false" outlineLevel="0" collapsed="false">
      <c r="A8203" s="26" t="s">
        <v>21321</v>
      </c>
      <c r="B8203" s="27" t="s">
        <v>21322</v>
      </c>
      <c r="C8203" s="27" t="s">
        <v>144</v>
      </c>
      <c r="D8203" s="26"/>
      <c r="E8203" s="27"/>
      <c r="F8203" s="27"/>
      <c r="G8203" s="27" t="s">
        <v>11122</v>
      </c>
      <c r="H8203" s="27" t="s">
        <v>35</v>
      </c>
      <c r="I8203" s="27" t="s">
        <v>43</v>
      </c>
      <c r="J8203" s="28" t="s">
        <v>856</v>
      </c>
      <c r="K8203" s="27" t="s">
        <v>38</v>
      </c>
      <c r="L8203" s="27"/>
    </row>
    <row r="8204" customFormat="false" ht="15" hidden="false" customHeight="false" outlineLevel="0" collapsed="false">
      <c r="A8204" s="26" t="s">
        <v>21323</v>
      </c>
      <c r="B8204" s="27" t="s">
        <v>21324</v>
      </c>
      <c r="C8204" s="27" t="s">
        <v>144</v>
      </c>
      <c r="D8204" s="26"/>
      <c r="E8204" s="27"/>
      <c r="F8204" s="27"/>
      <c r="G8204" s="27" t="s">
        <v>11122</v>
      </c>
      <c r="H8204" s="27" t="s">
        <v>35</v>
      </c>
      <c r="I8204" s="27" t="s">
        <v>39</v>
      </c>
      <c r="J8204" s="28" t="s">
        <v>856</v>
      </c>
      <c r="K8204" s="27" t="s">
        <v>38</v>
      </c>
      <c r="L8204" s="27"/>
    </row>
    <row r="8205" customFormat="false" ht="15" hidden="false" customHeight="false" outlineLevel="0" collapsed="false">
      <c r="A8205" s="26" t="s">
        <v>21325</v>
      </c>
      <c r="B8205" s="27" t="s">
        <v>21326</v>
      </c>
      <c r="C8205" s="27" t="s">
        <v>144</v>
      </c>
      <c r="D8205" s="26"/>
      <c r="E8205" s="27"/>
      <c r="F8205" s="27"/>
      <c r="G8205" s="27" t="s">
        <v>11122</v>
      </c>
      <c r="H8205" s="27" t="s">
        <v>35</v>
      </c>
      <c r="I8205" s="27" t="s">
        <v>887</v>
      </c>
      <c r="J8205" s="28" t="s">
        <v>856</v>
      </c>
      <c r="K8205" s="27" t="s">
        <v>38</v>
      </c>
      <c r="L8205" s="27"/>
    </row>
    <row r="8206" customFormat="false" ht="15" hidden="false" customHeight="false" outlineLevel="0" collapsed="false">
      <c r="A8206" s="26" t="s">
        <v>21327</v>
      </c>
      <c r="B8206" s="27" t="s">
        <v>21328</v>
      </c>
      <c r="C8206" s="27" t="s">
        <v>144</v>
      </c>
      <c r="D8206" s="26"/>
      <c r="E8206" s="27"/>
      <c r="F8206" s="27"/>
      <c r="G8206" s="27" t="s">
        <v>11122</v>
      </c>
      <c r="H8206" s="27" t="s">
        <v>35</v>
      </c>
      <c r="I8206" s="27" t="s">
        <v>887</v>
      </c>
      <c r="J8206" s="28" t="s">
        <v>856</v>
      </c>
      <c r="K8206" s="27" t="s">
        <v>38</v>
      </c>
      <c r="L8206" s="27"/>
    </row>
    <row r="8207" customFormat="false" ht="15" hidden="false" customHeight="false" outlineLevel="0" collapsed="false">
      <c r="A8207" s="26" t="s">
        <v>21329</v>
      </c>
      <c r="B8207" s="27" t="s">
        <v>21330</v>
      </c>
      <c r="C8207" s="27" t="s">
        <v>144</v>
      </c>
      <c r="D8207" s="26"/>
      <c r="E8207" s="27"/>
      <c r="F8207" s="27"/>
      <c r="G8207" s="27" t="s">
        <v>11122</v>
      </c>
      <c r="H8207" s="27" t="s">
        <v>35</v>
      </c>
      <c r="I8207" s="27" t="s">
        <v>887</v>
      </c>
      <c r="J8207" s="28" t="s">
        <v>856</v>
      </c>
      <c r="K8207" s="27" t="s">
        <v>38</v>
      </c>
      <c r="L8207" s="27"/>
    </row>
    <row r="8208" customFormat="false" ht="15" hidden="false" customHeight="false" outlineLevel="0" collapsed="false">
      <c r="A8208" s="26" t="s">
        <v>21331</v>
      </c>
      <c r="B8208" s="27" t="s">
        <v>21332</v>
      </c>
      <c r="C8208" s="27" t="s">
        <v>144</v>
      </c>
      <c r="D8208" s="26"/>
      <c r="E8208" s="27"/>
      <c r="F8208" s="27"/>
      <c r="G8208" s="27" t="s">
        <v>11122</v>
      </c>
      <c r="H8208" s="27" t="s">
        <v>35</v>
      </c>
      <c r="I8208" s="27" t="s">
        <v>38</v>
      </c>
      <c r="J8208" s="28" t="s">
        <v>856</v>
      </c>
      <c r="K8208" s="27" t="s">
        <v>38</v>
      </c>
      <c r="L8208" s="27"/>
    </row>
    <row r="8209" customFormat="false" ht="15" hidden="false" customHeight="false" outlineLevel="0" collapsed="false">
      <c r="A8209" s="26" t="s">
        <v>21333</v>
      </c>
      <c r="B8209" s="27" t="s">
        <v>21334</v>
      </c>
      <c r="C8209" s="27" t="s">
        <v>144</v>
      </c>
      <c r="D8209" s="26"/>
      <c r="E8209" s="27"/>
      <c r="F8209" s="27"/>
      <c r="G8209" s="27" t="s">
        <v>11122</v>
      </c>
      <c r="H8209" s="27" t="s">
        <v>35</v>
      </c>
      <c r="I8209" s="27" t="s">
        <v>887</v>
      </c>
      <c r="J8209" s="28" t="s">
        <v>856</v>
      </c>
      <c r="K8209" s="27" t="s">
        <v>38</v>
      </c>
      <c r="L8209" s="27"/>
    </row>
    <row r="8210" customFormat="false" ht="15" hidden="false" customHeight="false" outlineLevel="0" collapsed="false">
      <c r="A8210" s="26" t="s">
        <v>21335</v>
      </c>
      <c r="B8210" s="27" t="s">
        <v>21336</v>
      </c>
      <c r="C8210" s="27" t="s">
        <v>144</v>
      </c>
      <c r="D8210" s="26"/>
      <c r="E8210" s="27"/>
      <c r="F8210" s="27"/>
      <c r="G8210" s="27" t="s">
        <v>11122</v>
      </c>
      <c r="H8210" s="27" t="s">
        <v>35</v>
      </c>
      <c r="I8210" s="27" t="s">
        <v>39</v>
      </c>
      <c r="J8210" s="28" t="s">
        <v>856</v>
      </c>
      <c r="K8210" s="27" t="s">
        <v>38</v>
      </c>
      <c r="L8210" s="27"/>
    </row>
    <row r="8211" customFormat="false" ht="15" hidden="false" customHeight="false" outlineLevel="0" collapsed="false">
      <c r="A8211" s="26" t="s">
        <v>21337</v>
      </c>
      <c r="B8211" s="27" t="s">
        <v>21338</v>
      </c>
      <c r="C8211" s="27" t="s">
        <v>144</v>
      </c>
      <c r="D8211" s="26"/>
      <c r="E8211" s="27"/>
      <c r="F8211" s="27"/>
      <c r="G8211" s="27" t="s">
        <v>11122</v>
      </c>
      <c r="H8211" s="27" t="s">
        <v>35</v>
      </c>
      <c r="I8211" s="27" t="s">
        <v>38</v>
      </c>
      <c r="J8211" s="28" t="s">
        <v>856</v>
      </c>
      <c r="K8211" s="27" t="s">
        <v>38</v>
      </c>
      <c r="L8211" s="27"/>
    </row>
    <row r="8212" customFormat="false" ht="15" hidden="false" customHeight="false" outlineLevel="0" collapsed="false">
      <c r="A8212" s="26" t="s">
        <v>21339</v>
      </c>
      <c r="B8212" s="27" t="s">
        <v>21340</v>
      </c>
      <c r="C8212" s="27" t="s">
        <v>144</v>
      </c>
      <c r="D8212" s="26"/>
      <c r="E8212" s="27"/>
      <c r="F8212" s="27"/>
      <c r="G8212" s="27" t="s">
        <v>11122</v>
      </c>
      <c r="H8212" s="27" t="s">
        <v>35</v>
      </c>
      <c r="I8212" s="27" t="s">
        <v>887</v>
      </c>
      <c r="J8212" s="28" t="s">
        <v>856</v>
      </c>
      <c r="K8212" s="27" t="s">
        <v>38</v>
      </c>
      <c r="L8212" s="27"/>
    </row>
    <row r="8213" customFormat="false" ht="15" hidden="false" customHeight="false" outlineLevel="0" collapsed="false">
      <c r="A8213" s="26" t="s">
        <v>21341</v>
      </c>
      <c r="B8213" s="27" t="s">
        <v>21342</v>
      </c>
      <c r="C8213" s="27" t="s">
        <v>144</v>
      </c>
      <c r="D8213" s="26"/>
      <c r="E8213" s="27"/>
      <c r="F8213" s="27"/>
      <c r="G8213" s="27" t="s">
        <v>11122</v>
      </c>
      <c r="H8213" s="27" t="s">
        <v>35</v>
      </c>
      <c r="I8213" s="27" t="s">
        <v>887</v>
      </c>
      <c r="J8213" s="28" t="s">
        <v>856</v>
      </c>
      <c r="K8213" s="27" t="s">
        <v>38</v>
      </c>
      <c r="L8213" s="27"/>
    </row>
    <row r="8214" customFormat="false" ht="15" hidden="false" customHeight="false" outlineLevel="0" collapsed="false">
      <c r="A8214" s="26" t="s">
        <v>21343</v>
      </c>
      <c r="B8214" s="27" t="s">
        <v>21344</v>
      </c>
      <c r="C8214" s="27" t="s">
        <v>144</v>
      </c>
      <c r="D8214" s="26"/>
      <c r="E8214" s="27"/>
      <c r="F8214" s="27"/>
      <c r="G8214" s="27" t="s">
        <v>11122</v>
      </c>
      <c r="H8214" s="27" t="s">
        <v>35</v>
      </c>
      <c r="I8214" s="27" t="s">
        <v>887</v>
      </c>
      <c r="J8214" s="28" t="s">
        <v>856</v>
      </c>
      <c r="K8214" s="27" t="s">
        <v>38</v>
      </c>
      <c r="L8214" s="27"/>
    </row>
    <row r="8215" customFormat="false" ht="15" hidden="false" customHeight="false" outlineLevel="0" collapsed="false">
      <c r="A8215" s="26" t="s">
        <v>21345</v>
      </c>
      <c r="B8215" s="27" t="s">
        <v>21346</v>
      </c>
      <c r="C8215" s="27" t="s">
        <v>144</v>
      </c>
      <c r="D8215" s="26"/>
      <c r="E8215" s="27"/>
      <c r="F8215" s="27"/>
      <c r="G8215" s="27" t="s">
        <v>11122</v>
      </c>
      <c r="H8215" s="27" t="s">
        <v>35</v>
      </c>
      <c r="I8215" s="27" t="s">
        <v>38</v>
      </c>
      <c r="J8215" s="28" t="s">
        <v>856</v>
      </c>
      <c r="K8215" s="27" t="s">
        <v>38</v>
      </c>
      <c r="L8215" s="27"/>
    </row>
    <row r="8216" customFormat="false" ht="15" hidden="false" customHeight="false" outlineLevel="0" collapsed="false">
      <c r="A8216" s="26" t="s">
        <v>21347</v>
      </c>
      <c r="B8216" s="27" t="s">
        <v>21348</v>
      </c>
      <c r="C8216" s="27" t="s">
        <v>144</v>
      </c>
      <c r="D8216" s="26"/>
      <c r="E8216" s="27"/>
      <c r="F8216" s="27"/>
      <c r="G8216" s="27" t="s">
        <v>11122</v>
      </c>
      <c r="H8216" s="27" t="s">
        <v>35</v>
      </c>
      <c r="I8216" s="27" t="s">
        <v>43</v>
      </c>
      <c r="J8216" s="28" t="s">
        <v>856</v>
      </c>
      <c r="K8216" s="27" t="s">
        <v>38</v>
      </c>
      <c r="L8216" s="27"/>
    </row>
    <row r="8217" customFormat="false" ht="15" hidden="false" customHeight="false" outlineLevel="0" collapsed="false">
      <c r="A8217" s="26" t="s">
        <v>21349</v>
      </c>
      <c r="B8217" s="27" t="s">
        <v>21350</v>
      </c>
      <c r="C8217" s="27" t="s">
        <v>144</v>
      </c>
      <c r="D8217" s="26"/>
      <c r="E8217" s="27"/>
      <c r="F8217" s="27"/>
      <c r="G8217" s="27" t="s">
        <v>11122</v>
      </c>
      <c r="H8217" s="27" t="s">
        <v>35</v>
      </c>
      <c r="I8217" s="27" t="s">
        <v>38</v>
      </c>
      <c r="J8217" s="28" t="s">
        <v>856</v>
      </c>
      <c r="K8217" s="27" t="s">
        <v>38</v>
      </c>
      <c r="L8217" s="27"/>
    </row>
    <row r="8218" customFormat="false" ht="15" hidden="false" customHeight="false" outlineLevel="0" collapsed="false">
      <c r="A8218" s="26" t="s">
        <v>21351</v>
      </c>
      <c r="B8218" s="27" t="s">
        <v>21352</v>
      </c>
      <c r="C8218" s="27" t="s">
        <v>144</v>
      </c>
      <c r="D8218" s="26"/>
      <c r="E8218" s="27"/>
      <c r="F8218" s="27"/>
      <c r="G8218" s="27" t="s">
        <v>11122</v>
      </c>
      <c r="H8218" s="27" t="s">
        <v>35</v>
      </c>
      <c r="I8218" s="27" t="s">
        <v>887</v>
      </c>
      <c r="J8218" s="28" t="s">
        <v>856</v>
      </c>
      <c r="K8218" s="27" t="s">
        <v>38</v>
      </c>
      <c r="L8218" s="27"/>
    </row>
    <row r="8219" customFormat="false" ht="15" hidden="false" customHeight="false" outlineLevel="0" collapsed="false">
      <c r="A8219" s="26" t="s">
        <v>21353</v>
      </c>
      <c r="B8219" s="27" t="s">
        <v>21354</v>
      </c>
      <c r="C8219" s="27" t="s">
        <v>144</v>
      </c>
      <c r="D8219" s="26"/>
      <c r="E8219" s="27"/>
      <c r="F8219" s="27"/>
      <c r="G8219" s="27" t="s">
        <v>11122</v>
      </c>
      <c r="H8219" s="27" t="s">
        <v>35</v>
      </c>
      <c r="I8219" s="27" t="s">
        <v>887</v>
      </c>
      <c r="J8219" s="28" t="s">
        <v>856</v>
      </c>
      <c r="K8219" s="27" t="s">
        <v>38</v>
      </c>
      <c r="L8219" s="27"/>
    </row>
    <row r="8220" customFormat="false" ht="15" hidden="false" customHeight="false" outlineLevel="0" collapsed="false">
      <c r="A8220" s="26" t="s">
        <v>21355</v>
      </c>
      <c r="B8220" s="27" t="s">
        <v>21356</v>
      </c>
      <c r="C8220" s="27" t="s">
        <v>144</v>
      </c>
      <c r="D8220" s="26"/>
      <c r="E8220" s="27"/>
      <c r="F8220" s="27"/>
      <c r="G8220" s="27" t="s">
        <v>11122</v>
      </c>
      <c r="H8220" s="27" t="s">
        <v>35</v>
      </c>
      <c r="I8220" s="27" t="s">
        <v>38</v>
      </c>
      <c r="J8220" s="28" t="s">
        <v>856</v>
      </c>
      <c r="K8220" s="27" t="s">
        <v>38</v>
      </c>
      <c r="L8220" s="27"/>
    </row>
    <row r="8221" customFormat="false" ht="15" hidden="false" customHeight="false" outlineLevel="0" collapsed="false">
      <c r="A8221" s="26" t="s">
        <v>21357</v>
      </c>
      <c r="B8221" s="27" t="s">
        <v>21358</v>
      </c>
      <c r="C8221" s="27" t="s">
        <v>144</v>
      </c>
      <c r="D8221" s="26"/>
      <c r="E8221" s="27"/>
      <c r="F8221" s="27"/>
      <c r="G8221" s="27" t="s">
        <v>11122</v>
      </c>
      <c r="H8221" s="27" t="s">
        <v>35</v>
      </c>
      <c r="I8221" s="27" t="s">
        <v>887</v>
      </c>
      <c r="J8221" s="28" t="s">
        <v>856</v>
      </c>
      <c r="K8221" s="27" t="s">
        <v>38</v>
      </c>
      <c r="L8221" s="27"/>
    </row>
    <row r="8222" customFormat="false" ht="15" hidden="false" customHeight="false" outlineLevel="0" collapsed="false">
      <c r="A8222" s="26" t="s">
        <v>21359</v>
      </c>
      <c r="B8222" s="27" t="s">
        <v>21360</v>
      </c>
      <c r="C8222" s="27" t="s">
        <v>144</v>
      </c>
      <c r="D8222" s="26"/>
      <c r="E8222" s="27"/>
      <c r="F8222" s="27"/>
      <c r="G8222" s="27" t="s">
        <v>11122</v>
      </c>
      <c r="H8222" s="27" t="s">
        <v>35</v>
      </c>
      <c r="I8222" s="27" t="s">
        <v>38</v>
      </c>
      <c r="J8222" s="28" t="s">
        <v>856</v>
      </c>
      <c r="K8222" s="27" t="s">
        <v>38</v>
      </c>
      <c r="L8222" s="27"/>
    </row>
    <row r="8223" customFormat="false" ht="15" hidden="false" customHeight="false" outlineLevel="0" collapsed="false">
      <c r="A8223" s="26" t="s">
        <v>21361</v>
      </c>
      <c r="B8223" s="27" t="s">
        <v>21362</v>
      </c>
      <c r="C8223" s="27" t="s">
        <v>144</v>
      </c>
      <c r="D8223" s="26"/>
      <c r="E8223" s="27"/>
      <c r="F8223" s="27"/>
      <c r="G8223" s="27" t="s">
        <v>11122</v>
      </c>
      <c r="H8223" s="27" t="s">
        <v>35</v>
      </c>
      <c r="I8223" s="27" t="s">
        <v>38</v>
      </c>
      <c r="J8223" s="28" t="s">
        <v>856</v>
      </c>
      <c r="K8223" s="27" t="s">
        <v>38</v>
      </c>
      <c r="L8223" s="27"/>
    </row>
    <row r="8224" customFormat="false" ht="15" hidden="false" customHeight="false" outlineLevel="0" collapsed="false">
      <c r="A8224" s="26" t="s">
        <v>21363</v>
      </c>
      <c r="B8224" s="27" t="s">
        <v>21364</v>
      </c>
      <c r="C8224" s="27" t="s">
        <v>144</v>
      </c>
      <c r="D8224" s="26"/>
      <c r="E8224" s="27"/>
      <c r="F8224" s="27"/>
      <c r="G8224" s="27" t="s">
        <v>11122</v>
      </c>
      <c r="H8224" s="27" t="s">
        <v>35</v>
      </c>
      <c r="I8224" s="27" t="s">
        <v>38</v>
      </c>
      <c r="J8224" s="28" t="s">
        <v>856</v>
      </c>
      <c r="K8224" s="27" t="s">
        <v>38</v>
      </c>
      <c r="L8224" s="27"/>
    </row>
    <row r="8225" customFormat="false" ht="15" hidden="false" customHeight="false" outlineLevel="0" collapsed="false">
      <c r="A8225" s="26" t="s">
        <v>21365</v>
      </c>
      <c r="B8225" s="27" t="s">
        <v>21366</v>
      </c>
      <c r="C8225" s="27" t="s">
        <v>144</v>
      </c>
      <c r="D8225" s="26"/>
      <c r="E8225" s="27"/>
      <c r="F8225" s="27"/>
      <c r="G8225" s="27" t="s">
        <v>11122</v>
      </c>
      <c r="H8225" s="27" t="s">
        <v>35</v>
      </c>
      <c r="I8225" s="27" t="s">
        <v>38</v>
      </c>
      <c r="J8225" s="28" t="s">
        <v>856</v>
      </c>
      <c r="K8225" s="27" t="s">
        <v>38</v>
      </c>
      <c r="L8225" s="27"/>
    </row>
    <row r="8226" customFormat="false" ht="15" hidden="false" customHeight="false" outlineLevel="0" collapsed="false">
      <c r="A8226" s="26" t="s">
        <v>21367</v>
      </c>
      <c r="B8226" s="27" t="s">
        <v>21368</v>
      </c>
      <c r="C8226" s="27" t="s">
        <v>144</v>
      </c>
      <c r="D8226" s="26"/>
      <c r="E8226" s="27"/>
      <c r="F8226" s="27"/>
      <c r="G8226" s="27" t="s">
        <v>11122</v>
      </c>
      <c r="H8226" s="27" t="s">
        <v>35</v>
      </c>
      <c r="I8226" s="27" t="s">
        <v>38</v>
      </c>
      <c r="J8226" s="28" t="s">
        <v>856</v>
      </c>
      <c r="K8226" s="27" t="s">
        <v>38</v>
      </c>
      <c r="L8226" s="27"/>
    </row>
    <row r="8227" customFormat="false" ht="15" hidden="false" customHeight="false" outlineLevel="0" collapsed="false">
      <c r="A8227" s="26" t="s">
        <v>21369</v>
      </c>
      <c r="B8227" s="27" t="s">
        <v>21370</v>
      </c>
      <c r="C8227" s="27" t="s">
        <v>144</v>
      </c>
      <c r="D8227" s="26"/>
      <c r="E8227" s="27"/>
      <c r="F8227" s="27"/>
      <c r="G8227" s="27" t="s">
        <v>11122</v>
      </c>
      <c r="H8227" s="27" t="s">
        <v>35</v>
      </c>
      <c r="I8227" s="27" t="s">
        <v>38</v>
      </c>
      <c r="J8227" s="28" t="s">
        <v>856</v>
      </c>
      <c r="K8227" s="27" t="s">
        <v>38</v>
      </c>
      <c r="L8227" s="27"/>
    </row>
    <row r="8228" customFormat="false" ht="15" hidden="false" customHeight="false" outlineLevel="0" collapsed="false">
      <c r="A8228" s="26" t="s">
        <v>21371</v>
      </c>
      <c r="B8228" s="27" t="s">
        <v>21372</v>
      </c>
      <c r="C8228" s="27" t="s">
        <v>144</v>
      </c>
      <c r="D8228" s="26"/>
      <c r="E8228" s="27"/>
      <c r="F8228" s="27"/>
      <c r="G8228" s="27" t="s">
        <v>11122</v>
      </c>
      <c r="H8228" s="27" t="s">
        <v>35</v>
      </c>
      <c r="I8228" s="27" t="s">
        <v>38</v>
      </c>
      <c r="J8228" s="28" t="s">
        <v>856</v>
      </c>
      <c r="K8228" s="27" t="s">
        <v>38</v>
      </c>
      <c r="L8228" s="27"/>
    </row>
    <row r="8229" customFormat="false" ht="15" hidden="false" customHeight="false" outlineLevel="0" collapsed="false">
      <c r="A8229" s="26" t="s">
        <v>21373</v>
      </c>
      <c r="B8229" s="27" t="s">
        <v>21374</v>
      </c>
      <c r="C8229" s="27" t="s">
        <v>144</v>
      </c>
      <c r="D8229" s="26"/>
      <c r="E8229" s="27"/>
      <c r="F8229" s="27"/>
      <c r="G8229" s="27" t="s">
        <v>11122</v>
      </c>
      <c r="H8229" s="27" t="s">
        <v>35</v>
      </c>
      <c r="I8229" s="27" t="s">
        <v>38</v>
      </c>
      <c r="J8229" s="28" t="s">
        <v>856</v>
      </c>
      <c r="K8229" s="27" t="s">
        <v>38</v>
      </c>
      <c r="L8229" s="27"/>
    </row>
    <row r="8230" customFormat="false" ht="15" hidden="false" customHeight="false" outlineLevel="0" collapsed="false">
      <c r="A8230" s="26" t="s">
        <v>21375</v>
      </c>
      <c r="B8230" s="27" t="s">
        <v>21376</v>
      </c>
      <c r="C8230" s="27" t="s">
        <v>144</v>
      </c>
      <c r="D8230" s="26"/>
      <c r="E8230" s="27"/>
      <c r="F8230" s="27"/>
      <c r="G8230" s="27" t="s">
        <v>11122</v>
      </c>
      <c r="H8230" s="27" t="s">
        <v>35</v>
      </c>
      <c r="I8230" s="27" t="s">
        <v>41</v>
      </c>
      <c r="J8230" s="28" t="s">
        <v>856</v>
      </c>
      <c r="K8230" s="27" t="s">
        <v>38</v>
      </c>
      <c r="L8230" s="27"/>
    </row>
    <row r="8231" customFormat="false" ht="15" hidden="false" customHeight="false" outlineLevel="0" collapsed="false">
      <c r="A8231" s="26" t="s">
        <v>21377</v>
      </c>
      <c r="B8231" s="27" t="s">
        <v>21378</v>
      </c>
      <c r="C8231" s="27" t="s">
        <v>144</v>
      </c>
      <c r="D8231" s="26"/>
      <c r="E8231" s="27"/>
      <c r="F8231" s="27"/>
      <c r="G8231" s="27" t="s">
        <v>11122</v>
      </c>
      <c r="H8231" s="27" t="s">
        <v>35</v>
      </c>
      <c r="I8231" s="27" t="s">
        <v>38</v>
      </c>
      <c r="J8231" s="28" t="s">
        <v>856</v>
      </c>
      <c r="K8231" s="27" t="s">
        <v>38</v>
      </c>
      <c r="L8231" s="27"/>
    </row>
    <row r="8232" customFormat="false" ht="15" hidden="false" customHeight="false" outlineLevel="0" collapsed="false">
      <c r="A8232" s="26" t="s">
        <v>21379</v>
      </c>
      <c r="B8232" s="27" t="s">
        <v>21380</v>
      </c>
      <c r="C8232" s="27" t="s">
        <v>144</v>
      </c>
      <c r="D8232" s="26"/>
      <c r="E8232" s="27"/>
      <c r="F8232" s="27"/>
      <c r="G8232" s="27" t="s">
        <v>11122</v>
      </c>
      <c r="H8232" s="27" t="s">
        <v>35</v>
      </c>
      <c r="I8232" s="27" t="s">
        <v>38</v>
      </c>
      <c r="J8232" s="28" t="s">
        <v>856</v>
      </c>
      <c r="K8232" s="27" t="s">
        <v>38</v>
      </c>
      <c r="L8232" s="27"/>
    </row>
    <row r="8233" customFormat="false" ht="15" hidden="false" customHeight="false" outlineLevel="0" collapsed="false">
      <c r="A8233" s="26" t="s">
        <v>21381</v>
      </c>
      <c r="B8233" s="27" t="s">
        <v>21382</v>
      </c>
      <c r="C8233" s="27" t="s">
        <v>144</v>
      </c>
      <c r="D8233" s="26"/>
      <c r="E8233" s="27"/>
      <c r="F8233" s="27"/>
      <c r="G8233" s="27" t="s">
        <v>11122</v>
      </c>
      <c r="H8233" s="27" t="s">
        <v>35</v>
      </c>
      <c r="I8233" s="27" t="s">
        <v>38</v>
      </c>
      <c r="J8233" s="28" t="s">
        <v>856</v>
      </c>
      <c r="K8233" s="27" t="s">
        <v>38</v>
      </c>
      <c r="L8233" s="27"/>
    </row>
    <row r="8234" customFormat="false" ht="15" hidden="false" customHeight="false" outlineLevel="0" collapsed="false">
      <c r="A8234" s="26" t="s">
        <v>21383</v>
      </c>
      <c r="B8234" s="27" t="s">
        <v>21384</v>
      </c>
      <c r="C8234" s="27" t="s">
        <v>144</v>
      </c>
      <c r="D8234" s="26"/>
      <c r="E8234" s="27"/>
      <c r="F8234" s="27"/>
      <c r="G8234" s="27" t="s">
        <v>11122</v>
      </c>
      <c r="H8234" s="27" t="s">
        <v>35</v>
      </c>
      <c r="I8234" s="27" t="s">
        <v>38</v>
      </c>
      <c r="J8234" s="28" t="s">
        <v>856</v>
      </c>
      <c r="K8234" s="27" t="s">
        <v>38</v>
      </c>
      <c r="L8234" s="27"/>
    </row>
    <row r="8235" customFormat="false" ht="15" hidden="false" customHeight="false" outlineLevel="0" collapsed="false">
      <c r="A8235" s="26" t="s">
        <v>21385</v>
      </c>
      <c r="B8235" s="27" t="s">
        <v>21386</v>
      </c>
      <c r="C8235" s="27" t="s">
        <v>144</v>
      </c>
      <c r="D8235" s="26"/>
      <c r="E8235" s="27"/>
      <c r="F8235" s="27"/>
      <c r="G8235" s="27" t="s">
        <v>11122</v>
      </c>
      <c r="H8235" s="27" t="s">
        <v>35</v>
      </c>
      <c r="I8235" s="27" t="s">
        <v>37</v>
      </c>
      <c r="J8235" s="28" t="s">
        <v>856</v>
      </c>
      <c r="K8235" s="27" t="s">
        <v>38</v>
      </c>
      <c r="L8235" s="27"/>
    </row>
    <row r="8236" customFormat="false" ht="15" hidden="false" customHeight="false" outlineLevel="0" collapsed="false">
      <c r="A8236" s="26" t="s">
        <v>21387</v>
      </c>
      <c r="B8236" s="27" t="s">
        <v>21388</v>
      </c>
      <c r="C8236" s="27" t="s">
        <v>144</v>
      </c>
      <c r="D8236" s="26"/>
      <c r="E8236" s="27"/>
      <c r="F8236" s="27"/>
      <c r="G8236" s="27" t="s">
        <v>11122</v>
      </c>
      <c r="H8236" s="27" t="s">
        <v>35</v>
      </c>
      <c r="I8236" s="27" t="s">
        <v>38</v>
      </c>
      <c r="J8236" s="28" t="s">
        <v>856</v>
      </c>
      <c r="K8236" s="27" t="s">
        <v>38</v>
      </c>
      <c r="L8236" s="27"/>
    </row>
    <row r="8237" customFormat="false" ht="15" hidden="false" customHeight="false" outlineLevel="0" collapsed="false">
      <c r="A8237" s="26" t="s">
        <v>21389</v>
      </c>
      <c r="B8237" s="27" t="s">
        <v>21390</v>
      </c>
      <c r="C8237" s="27" t="s">
        <v>144</v>
      </c>
      <c r="D8237" s="26"/>
      <c r="E8237" s="27"/>
      <c r="F8237" s="27"/>
      <c r="G8237" s="27" t="s">
        <v>11122</v>
      </c>
      <c r="H8237" s="27" t="s">
        <v>35</v>
      </c>
      <c r="I8237" s="27" t="s">
        <v>38</v>
      </c>
      <c r="J8237" s="28" t="s">
        <v>856</v>
      </c>
      <c r="K8237" s="27" t="s">
        <v>38</v>
      </c>
      <c r="L8237" s="27"/>
    </row>
    <row r="8238" customFormat="false" ht="15" hidden="false" customHeight="false" outlineLevel="0" collapsed="false">
      <c r="A8238" s="26" t="s">
        <v>21391</v>
      </c>
      <c r="B8238" s="27" t="s">
        <v>21392</v>
      </c>
      <c r="C8238" s="27" t="s">
        <v>144</v>
      </c>
      <c r="D8238" s="26"/>
      <c r="E8238" s="27"/>
      <c r="F8238" s="27"/>
      <c r="G8238" s="27" t="s">
        <v>11122</v>
      </c>
      <c r="H8238" s="27" t="s">
        <v>35</v>
      </c>
      <c r="I8238" s="27" t="s">
        <v>38</v>
      </c>
      <c r="J8238" s="28" t="s">
        <v>856</v>
      </c>
      <c r="K8238" s="27" t="s">
        <v>38</v>
      </c>
      <c r="L8238" s="27"/>
    </row>
    <row r="8239" customFormat="false" ht="15" hidden="false" customHeight="false" outlineLevel="0" collapsed="false">
      <c r="A8239" s="26" t="s">
        <v>21393</v>
      </c>
      <c r="B8239" s="27" t="s">
        <v>21394</v>
      </c>
      <c r="C8239" s="27" t="s">
        <v>144</v>
      </c>
      <c r="D8239" s="26"/>
      <c r="E8239" s="27"/>
      <c r="F8239" s="27"/>
      <c r="G8239" s="27" t="s">
        <v>11122</v>
      </c>
      <c r="H8239" s="27" t="s">
        <v>35</v>
      </c>
      <c r="I8239" s="27" t="s">
        <v>887</v>
      </c>
      <c r="J8239" s="28" t="s">
        <v>856</v>
      </c>
      <c r="K8239" s="27" t="s">
        <v>38</v>
      </c>
      <c r="L8239" s="27"/>
    </row>
    <row r="8240" customFormat="false" ht="15" hidden="false" customHeight="false" outlineLevel="0" collapsed="false">
      <c r="A8240" s="26" t="s">
        <v>21395</v>
      </c>
      <c r="B8240" s="27" t="s">
        <v>21396</v>
      </c>
      <c r="C8240" s="27" t="s">
        <v>144</v>
      </c>
      <c r="D8240" s="26"/>
      <c r="E8240" s="27"/>
      <c r="F8240" s="27"/>
      <c r="G8240" s="27" t="s">
        <v>11122</v>
      </c>
      <c r="H8240" s="27" t="s">
        <v>35</v>
      </c>
      <c r="I8240" s="27" t="s">
        <v>38</v>
      </c>
      <c r="J8240" s="28" t="s">
        <v>856</v>
      </c>
      <c r="K8240" s="27" t="s">
        <v>38</v>
      </c>
      <c r="L8240" s="27"/>
    </row>
    <row r="8241" customFormat="false" ht="15" hidden="false" customHeight="false" outlineLevel="0" collapsed="false">
      <c r="A8241" s="26" t="s">
        <v>21397</v>
      </c>
      <c r="B8241" s="27" t="s">
        <v>21398</v>
      </c>
      <c r="C8241" s="27" t="s">
        <v>144</v>
      </c>
      <c r="D8241" s="26"/>
      <c r="E8241" s="27"/>
      <c r="F8241" s="27"/>
      <c r="G8241" s="27" t="s">
        <v>11122</v>
      </c>
      <c r="H8241" s="27" t="s">
        <v>35</v>
      </c>
      <c r="I8241" s="27" t="s">
        <v>43</v>
      </c>
      <c r="J8241" s="28" t="s">
        <v>856</v>
      </c>
      <c r="K8241" s="27" t="s">
        <v>38</v>
      </c>
      <c r="L8241" s="27"/>
    </row>
    <row r="8242" customFormat="false" ht="15" hidden="false" customHeight="false" outlineLevel="0" collapsed="false">
      <c r="A8242" s="26" t="s">
        <v>21399</v>
      </c>
      <c r="B8242" s="27" t="s">
        <v>21400</v>
      </c>
      <c r="C8242" s="27" t="s">
        <v>144</v>
      </c>
      <c r="D8242" s="26"/>
      <c r="E8242" s="27"/>
      <c r="F8242" s="27"/>
      <c r="G8242" s="27" t="s">
        <v>11122</v>
      </c>
      <c r="H8242" s="27" t="s">
        <v>35</v>
      </c>
      <c r="I8242" s="28" t="s">
        <v>46</v>
      </c>
      <c r="J8242" s="28" t="s">
        <v>856</v>
      </c>
      <c r="K8242" s="27" t="s">
        <v>38</v>
      </c>
      <c r="L8242" s="27"/>
    </row>
    <row r="8243" customFormat="false" ht="15" hidden="false" customHeight="false" outlineLevel="0" collapsed="false">
      <c r="A8243" s="26" t="s">
        <v>21401</v>
      </c>
      <c r="B8243" s="27" t="s">
        <v>21402</v>
      </c>
      <c r="C8243" s="27" t="s">
        <v>144</v>
      </c>
      <c r="D8243" s="26"/>
      <c r="E8243" s="27"/>
      <c r="F8243" s="27"/>
      <c r="G8243" s="27" t="s">
        <v>11122</v>
      </c>
      <c r="H8243" s="27" t="s">
        <v>35</v>
      </c>
      <c r="I8243" s="27" t="s">
        <v>38</v>
      </c>
      <c r="J8243" s="28" t="s">
        <v>856</v>
      </c>
      <c r="K8243" s="27" t="s">
        <v>38</v>
      </c>
      <c r="L8243" s="27"/>
    </row>
    <row r="8244" customFormat="false" ht="15" hidden="false" customHeight="false" outlineLevel="0" collapsed="false">
      <c r="A8244" s="26" t="s">
        <v>21403</v>
      </c>
      <c r="B8244" s="27" t="s">
        <v>21404</v>
      </c>
      <c r="C8244" s="27" t="s">
        <v>144</v>
      </c>
      <c r="D8244" s="26"/>
      <c r="E8244" s="27"/>
      <c r="F8244" s="27"/>
      <c r="G8244" s="27" t="s">
        <v>11122</v>
      </c>
      <c r="H8244" s="27" t="s">
        <v>35</v>
      </c>
      <c r="I8244" s="27" t="s">
        <v>38</v>
      </c>
      <c r="J8244" s="28" t="s">
        <v>856</v>
      </c>
      <c r="K8244" s="27" t="s">
        <v>38</v>
      </c>
      <c r="L8244" s="27"/>
    </row>
    <row r="8245" customFormat="false" ht="15" hidden="false" customHeight="false" outlineLevel="0" collapsed="false">
      <c r="A8245" s="26" t="s">
        <v>21405</v>
      </c>
      <c r="B8245" s="27" t="s">
        <v>21406</v>
      </c>
      <c r="C8245" s="27" t="s">
        <v>144</v>
      </c>
      <c r="D8245" s="26"/>
      <c r="E8245" s="27"/>
      <c r="F8245" s="27"/>
      <c r="G8245" s="27" t="s">
        <v>11122</v>
      </c>
      <c r="H8245" s="27" t="s">
        <v>35</v>
      </c>
      <c r="I8245" s="27" t="s">
        <v>38</v>
      </c>
      <c r="J8245" s="28" t="s">
        <v>856</v>
      </c>
      <c r="K8245" s="27" t="s">
        <v>38</v>
      </c>
      <c r="L8245" s="27"/>
    </row>
    <row r="8246" customFormat="false" ht="15" hidden="false" customHeight="false" outlineLevel="0" collapsed="false">
      <c r="A8246" s="26" t="s">
        <v>21407</v>
      </c>
      <c r="B8246" s="27" t="s">
        <v>21408</v>
      </c>
      <c r="C8246" s="27" t="s">
        <v>144</v>
      </c>
      <c r="D8246" s="26"/>
      <c r="E8246" s="27"/>
      <c r="F8246" s="27"/>
      <c r="G8246" s="27" t="s">
        <v>11122</v>
      </c>
      <c r="H8246" s="27" t="s">
        <v>35</v>
      </c>
      <c r="I8246" s="27" t="s">
        <v>38</v>
      </c>
      <c r="J8246" s="28" t="s">
        <v>856</v>
      </c>
      <c r="K8246" s="27" t="s">
        <v>38</v>
      </c>
      <c r="L8246" s="27"/>
    </row>
    <row r="8247" customFormat="false" ht="15" hidden="false" customHeight="false" outlineLevel="0" collapsed="false">
      <c r="A8247" s="26" t="s">
        <v>21409</v>
      </c>
      <c r="B8247" s="27" t="s">
        <v>21410</v>
      </c>
      <c r="C8247" s="27" t="s">
        <v>144</v>
      </c>
      <c r="D8247" s="26"/>
      <c r="E8247" s="27"/>
      <c r="F8247" s="27"/>
      <c r="G8247" s="27" t="s">
        <v>11122</v>
      </c>
      <c r="H8247" s="27" t="s">
        <v>35</v>
      </c>
      <c r="I8247" s="27" t="s">
        <v>38</v>
      </c>
      <c r="J8247" s="28" t="s">
        <v>856</v>
      </c>
      <c r="K8247" s="27" t="s">
        <v>38</v>
      </c>
      <c r="L8247" s="27"/>
    </row>
    <row r="8248" customFormat="false" ht="15" hidden="false" customHeight="false" outlineLevel="0" collapsed="false">
      <c r="A8248" s="26" t="s">
        <v>21411</v>
      </c>
      <c r="B8248" s="27" t="s">
        <v>21412</v>
      </c>
      <c r="C8248" s="27" t="s">
        <v>144</v>
      </c>
      <c r="D8248" s="26"/>
      <c r="E8248" s="27"/>
      <c r="F8248" s="27"/>
      <c r="G8248" s="27" t="s">
        <v>11122</v>
      </c>
      <c r="H8248" s="27" t="s">
        <v>35</v>
      </c>
      <c r="I8248" s="27" t="s">
        <v>38</v>
      </c>
      <c r="J8248" s="28" t="s">
        <v>856</v>
      </c>
      <c r="K8248" s="27" t="s">
        <v>38</v>
      </c>
      <c r="L8248" s="27"/>
    </row>
    <row r="8249" customFormat="false" ht="15" hidden="false" customHeight="false" outlineLevel="0" collapsed="false">
      <c r="A8249" s="26" t="s">
        <v>21413</v>
      </c>
      <c r="B8249" s="27" t="s">
        <v>21414</v>
      </c>
      <c r="C8249" s="27" t="s">
        <v>144</v>
      </c>
      <c r="D8249" s="26"/>
      <c r="E8249" s="27"/>
      <c r="F8249" s="27"/>
      <c r="G8249" s="27" t="s">
        <v>11122</v>
      </c>
      <c r="H8249" s="27" t="s">
        <v>35</v>
      </c>
      <c r="I8249" s="27" t="s">
        <v>38</v>
      </c>
      <c r="J8249" s="28" t="s">
        <v>856</v>
      </c>
      <c r="K8249" s="27" t="s">
        <v>38</v>
      </c>
      <c r="L8249" s="27"/>
    </row>
    <row r="8250" customFormat="false" ht="15" hidden="false" customHeight="false" outlineLevel="0" collapsed="false">
      <c r="A8250" s="26" t="s">
        <v>21415</v>
      </c>
      <c r="B8250" s="27" t="s">
        <v>21416</v>
      </c>
      <c r="C8250" s="27" t="s">
        <v>144</v>
      </c>
      <c r="D8250" s="26"/>
      <c r="E8250" s="27"/>
      <c r="F8250" s="27"/>
      <c r="G8250" s="27" t="s">
        <v>11122</v>
      </c>
      <c r="H8250" s="27" t="s">
        <v>35</v>
      </c>
      <c r="I8250" s="27" t="s">
        <v>38</v>
      </c>
      <c r="J8250" s="28" t="s">
        <v>856</v>
      </c>
      <c r="K8250" s="27" t="s">
        <v>38</v>
      </c>
      <c r="L8250" s="27"/>
    </row>
    <row r="8251" customFormat="false" ht="15" hidden="false" customHeight="false" outlineLevel="0" collapsed="false">
      <c r="A8251" s="26" t="s">
        <v>21417</v>
      </c>
      <c r="B8251" s="27" t="s">
        <v>21418</v>
      </c>
      <c r="C8251" s="27" t="s">
        <v>144</v>
      </c>
      <c r="D8251" s="26"/>
      <c r="E8251" s="27"/>
      <c r="F8251" s="27"/>
      <c r="G8251" s="27" t="s">
        <v>11122</v>
      </c>
      <c r="H8251" s="27" t="s">
        <v>35</v>
      </c>
      <c r="I8251" s="27" t="s">
        <v>38</v>
      </c>
      <c r="J8251" s="28" t="s">
        <v>856</v>
      </c>
      <c r="K8251" s="27" t="s">
        <v>38</v>
      </c>
      <c r="L8251" s="27"/>
    </row>
    <row r="8252" customFormat="false" ht="15" hidden="false" customHeight="false" outlineLevel="0" collapsed="false">
      <c r="A8252" s="26" t="s">
        <v>21419</v>
      </c>
      <c r="B8252" s="27" t="s">
        <v>21420</v>
      </c>
      <c r="C8252" s="27" t="s">
        <v>144</v>
      </c>
      <c r="D8252" s="26"/>
      <c r="E8252" s="27"/>
      <c r="F8252" s="27"/>
      <c r="G8252" s="27" t="s">
        <v>11122</v>
      </c>
      <c r="H8252" s="27" t="s">
        <v>35</v>
      </c>
      <c r="I8252" s="27" t="s">
        <v>38</v>
      </c>
      <c r="J8252" s="28" t="s">
        <v>856</v>
      </c>
      <c r="K8252" s="27" t="s">
        <v>38</v>
      </c>
      <c r="L8252" s="27"/>
    </row>
    <row r="8253" customFormat="false" ht="15" hidden="false" customHeight="false" outlineLevel="0" collapsed="false">
      <c r="A8253" s="26" t="s">
        <v>21421</v>
      </c>
      <c r="B8253" s="27" t="s">
        <v>21422</v>
      </c>
      <c r="C8253" s="27" t="s">
        <v>144</v>
      </c>
      <c r="D8253" s="26"/>
      <c r="E8253" s="27"/>
      <c r="F8253" s="27"/>
      <c r="G8253" s="27" t="s">
        <v>11122</v>
      </c>
      <c r="H8253" s="27" t="s">
        <v>35</v>
      </c>
      <c r="I8253" s="27" t="s">
        <v>38</v>
      </c>
      <c r="J8253" s="28" t="s">
        <v>856</v>
      </c>
      <c r="K8253" s="27" t="s">
        <v>38</v>
      </c>
      <c r="L8253" s="27"/>
    </row>
    <row r="8254" customFormat="false" ht="15" hidden="false" customHeight="false" outlineLevel="0" collapsed="false">
      <c r="A8254" s="26" t="s">
        <v>21423</v>
      </c>
      <c r="B8254" s="27" t="s">
        <v>21424</v>
      </c>
      <c r="C8254" s="27" t="s">
        <v>144</v>
      </c>
      <c r="D8254" s="26"/>
      <c r="E8254" s="27"/>
      <c r="F8254" s="27"/>
      <c r="G8254" s="27" t="s">
        <v>11122</v>
      </c>
      <c r="H8254" s="27" t="s">
        <v>35</v>
      </c>
      <c r="I8254" s="27" t="s">
        <v>38</v>
      </c>
      <c r="J8254" s="28" t="s">
        <v>856</v>
      </c>
      <c r="K8254" s="27" t="s">
        <v>38</v>
      </c>
      <c r="L8254" s="27"/>
    </row>
    <row r="8255" customFormat="false" ht="15" hidden="false" customHeight="false" outlineLevel="0" collapsed="false">
      <c r="A8255" s="26" t="s">
        <v>21425</v>
      </c>
      <c r="B8255" s="27" t="s">
        <v>21426</v>
      </c>
      <c r="C8255" s="27" t="s">
        <v>144</v>
      </c>
      <c r="D8255" s="26"/>
      <c r="E8255" s="27"/>
      <c r="F8255" s="27"/>
      <c r="G8255" s="27" t="s">
        <v>11122</v>
      </c>
      <c r="H8255" s="27" t="s">
        <v>35</v>
      </c>
      <c r="I8255" s="27" t="s">
        <v>38</v>
      </c>
      <c r="J8255" s="28" t="s">
        <v>856</v>
      </c>
      <c r="K8255" s="27" t="s">
        <v>38</v>
      </c>
      <c r="L8255" s="27"/>
    </row>
    <row r="8256" customFormat="false" ht="15" hidden="false" customHeight="false" outlineLevel="0" collapsed="false">
      <c r="A8256" s="26" t="s">
        <v>21427</v>
      </c>
      <c r="B8256" s="27" t="s">
        <v>21428</v>
      </c>
      <c r="C8256" s="27" t="s">
        <v>144</v>
      </c>
      <c r="D8256" s="26"/>
      <c r="E8256" s="27"/>
      <c r="F8256" s="27"/>
      <c r="G8256" s="27" t="s">
        <v>11122</v>
      </c>
      <c r="H8256" s="27" t="s">
        <v>35</v>
      </c>
      <c r="I8256" s="27" t="s">
        <v>38</v>
      </c>
      <c r="J8256" s="28" t="s">
        <v>856</v>
      </c>
      <c r="K8256" s="27" t="s">
        <v>38</v>
      </c>
      <c r="L8256" s="27"/>
    </row>
    <row r="8257" customFormat="false" ht="15" hidden="false" customHeight="false" outlineLevel="0" collapsed="false">
      <c r="A8257" s="26" t="s">
        <v>21429</v>
      </c>
      <c r="B8257" s="27" t="s">
        <v>21430</v>
      </c>
      <c r="C8257" s="27" t="s">
        <v>144</v>
      </c>
      <c r="D8257" s="26"/>
      <c r="E8257" s="27"/>
      <c r="F8257" s="27"/>
      <c r="G8257" s="27" t="s">
        <v>11122</v>
      </c>
      <c r="H8257" s="27" t="s">
        <v>35</v>
      </c>
      <c r="I8257" s="27" t="s">
        <v>887</v>
      </c>
      <c r="J8257" s="28" t="s">
        <v>856</v>
      </c>
      <c r="K8257" s="27" t="s">
        <v>38</v>
      </c>
      <c r="L8257" s="27"/>
    </row>
    <row r="8258" customFormat="false" ht="15" hidden="false" customHeight="false" outlineLevel="0" collapsed="false">
      <c r="A8258" s="26" t="s">
        <v>21431</v>
      </c>
      <c r="B8258" s="27" t="s">
        <v>21432</v>
      </c>
      <c r="C8258" s="27" t="s">
        <v>144</v>
      </c>
      <c r="D8258" s="26"/>
      <c r="E8258" s="27"/>
      <c r="F8258" s="27"/>
      <c r="G8258" s="27" t="s">
        <v>11122</v>
      </c>
      <c r="H8258" s="27" t="s">
        <v>35</v>
      </c>
      <c r="I8258" s="27" t="s">
        <v>38</v>
      </c>
      <c r="J8258" s="28" t="s">
        <v>856</v>
      </c>
      <c r="K8258" s="27" t="s">
        <v>38</v>
      </c>
      <c r="L8258" s="27"/>
    </row>
    <row r="8259" customFormat="false" ht="15" hidden="false" customHeight="false" outlineLevel="0" collapsed="false">
      <c r="A8259" s="26" t="s">
        <v>21433</v>
      </c>
      <c r="B8259" s="27" t="s">
        <v>21434</v>
      </c>
      <c r="C8259" s="27" t="s">
        <v>144</v>
      </c>
      <c r="D8259" s="26"/>
      <c r="E8259" s="27"/>
      <c r="F8259" s="27"/>
      <c r="G8259" s="27" t="s">
        <v>11122</v>
      </c>
      <c r="H8259" s="27" t="s">
        <v>35</v>
      </c>
      <c r="I8259" s="27" t="s">
        <v>38</v>
      </c>
      <c r="J8259" s="28" t="s">
        <v>856</v>
      </c>
      <c r="K8259" s="27" t="s">
        <v>38</v>
      </c>
      <c r="L8259" s="27"/>
    </row>
    <row r="8260" customFormat="false" ht="15" hidden="false" customHeight="false" outlineLevel="0" collapsed="false">
      <c r="A8260" s="26" t="s">
        <v>21435</v>
      </c>
      <c r="B8260" s="27" t="s">
        <v>21436</v>
      </c>
      <c r="C8260" s="27" t="s">
        <v>144</v>
      </c>
      <c r="D8260" s="26"/>
      <c r="E8260" s="27"/>
      <c r="F8260" s="27"/>
      <c r="G8260" s="27" t="s">
        <v>11122</v>
      </c>
      <c r="H8260" s="27" t="s">
        <v>35</v>
      </c>
      <c r="I8260" s="27" t="s">
        <v>887</v>
      </c>
      <c r="J8260" s="28" t="s">
        <v>856</v>
      </c>
      <c r="K8260" s="27" t="s">
        <v>38</v>
      </c>
      <c r="L8260" s="27"/>
    </row>
    <row r="8261" customFormat="false" ht="15" hidden="false" customHeight="false" outlineLevel="0" collapsed="false">
      <c r="A8261" s="26" t="s">
        <v>21437</v>
      </c>
      <c r="B8261" s="27" t="s">
        <v>21438</v>
      </c>
      <c r="C8261" s="27" t="s">
        <v>144</v>
      </c>
      <c r="D8261" s="26"/>
      <c r="E8261" s="27"/>
      <c r="F8261" s="27"/>
      <c r="G8261" s="27" t="s">
        <v>11122</v>
      </c>
      <c r="H8261" s="27" t="s">
        <v>35</v>
      </c>
      <c r="I8261" s="27" t="s">
        <v>38</v>
      </c>
      <c r="J8261" s="28" t="s">
        <v>856</v>
      </c>
      <c r="K8261" s="27" t="s">
        <v>38</v>
      </c>
      <c r="L8261" s="27"/>
    </row>
    <row r="8262" customFormat="false" ht="15" hidden="false" customHeight="false" outlineLevel="0" collapsed="false">
      <c r="A8262" s="26" t="s">
        <v>21439</v>
      </c>
      <c r="B8262" s="27" t="s">
        <v>21440</v>
      </c>
      <c r="C8262" s="27" t="s">
        <v>144</v>
      </c>
      <c r="D8262" s="26"/>
      <c r="E8262" s="27"/>
      <c r="F8262" s="27"/>
      <c r="G8262" s="27" t="s">
        <v>11122</v>
      </c>
      <c r="H8262" s="27" t="s">
        <v>35</v>
      </c>
      <c r="I8262" s="27" t="s">
        <v>887</v>
      </c>
      <c r="J8262" s="28" t="s">
        <v>856</v>
      </c>
      <c r="K8262" s="27" t="s">
        <v>38</v>
      </c>
      <c r="L8262" s="27"/>
    </row>
    <row r="8263" customFormat="false" ht="15" hidden="false" customHeight="false" outlineLevel="0" collapsed="false">
      <c r="A8263" s="26" t="s">
        <v>21441</v>
      </c>
      <c r="B8263" s="27" t="s">
        <v>21442</v>
      </c>
      <c r="C8263" s="27" t="s">
        <v>144</v>
      </c>
      <c r="D8263" s="26"/>
      <c r="E8263" s="27"/>
      <c r="F8263" s="27"/>
      <c r="G8263" s="27" t="s">
        <v>11122</v>
      </c>
      <c r="H8263" s="27" t="s">
        <v>35</v>
      </c>
      <c r="I8263" s="27" t="s">
        <v>42</v>
      </c>
      <c r="J8263" s="28" t="s">
        <v>856</v>
      </c>
      <c r="K8263" s="27" t="s">
        <v>38</v>
      </c>
      <c r="L8263" s="27"/>
    </row>
    <row r="8264" customFormat="false" ht="15" hidden="false" customHeight="false" outlineLevel="0" collapsed="false">
      <c r="A8264" s="26" t="s">
        <v>21443</v>
      </c>
      <c r="B8264" s="27" t="s">
        <v>21444</v>
      </c>
      <c r="C8264" s="27" t="s">
        <v>144</v>
      </c>
      <c r="D8264" s="26"/>
      <c r="E8264" s="27"/>
      <c r="F8264" s="27"/>
      <c r="G8264" s="27" t="s">
        <v>11122</v>
      </c>
      <c r="H8264" s="27" t="s">
        <v>35</v>
      </c>
      <c r="I8264" s="27" t="s">
        <v>39</v>
      </c>
      <c r="J8264" s="28" t="s">
        <v>856</v>
      </c>
      <c r="K8264" s="27" t="s">
        <v>38</v>
      </c>
      <c r="L8264" s="27"/>
    </row>
    <row r="8265" customFormat="false" ht="15" hidden="false" customHeight="false" outlineLevel="0" collapsed="false">
      <c r="A8265" s="26" t="s">
        <v>21445</v>
      </c>
      <c r="B8265" s="27" t="s">
        <v>21446</v>
      </c>
      <c r="C8265" s="27" t="s">
        <v>144</v>
      </c>
      <c r="D8265" s="26"/>
      <c r="E8265" s="27"/>
      <c r="F8265" s="27"/>
      <c r="G8265" s="27" t="s">
        <v>11122</v>
      </c>
      <c r="H8265" s="27" t="s">
        <v>35</v>
      </c>
      <c r="I8265" s="27" t="s">
        <v>38</v>
      </c>
      <c r="J8265" s="28" t="s">
        <v>856</v>
      </c>
      <c r="K8265" s="27" t="s">
        <v>38</v>
      </c>
      <c r="L8265" s="27"/>
    </row>
    <row r="8266" customFormat="false" ht="15" hidden="false" customHeight="false" outlineLevel="0" collapsed="false">
      <c r="A8266" s="26" t="s">
        <v>21447</v>
      </c>
      <c r="B8266" s="27" t="s">
        <v>21448</v>
      </c>
      <c r="C8266" s="27" t="s">
        <v>144</v>
      </c>
      <c r="D8266" s="26"/>
      <c r="E8266" s="27"/>
      <c r="F8266" s="27"/>
      <c r="G8266" s="27" t="s">
        <v>11122</v>
      </c>
      <c r="H8266" s="27" t="s">
        <v>35</v>
      </c>
      <c r="I8266" s="27" t="s">
        <v>38</v>
      </c>
      <c r="J8266" s="28" t="s">
        <v>856</v>
      </c>
      <c r="K8266" s="27" t="s">
        <v>38</v>
      </c>
      <c r="L8266" s="27"/>
    </row>
    <row r="8267" customFormat="false" ht="15" hidden="false" customHeight="false" outlineLevel="0" collapsed="false">
      <c r="A8267" s="26" t="s">
        <v>21449</v>
      </c>
      <c r="B8267" s="27" t="s">
        <v>21450</v>
      </c>
      <c r="C8267" s="27" t="s">
        <v>144</v>
      </c>
      <c r="D8267" s="26"/>
      <c r="E8267" s="27"/>
      <c r="F8267" s="27"/>
      <c r="G8267" s="27" t="s">
        <v>11122</v>
      </c>
      <c r="H8267" s="27" t="s">
        <v>35</v>
      </c>
      <c r="I8267" s="27" t="s">
        <v>38</v>
      </c>
      <c r="J8267" s="28" t="s">
        <v>856</v>
      </c>
      <c r="K8267" s="27" t="s">
        <v>38</v>
      </c>
      <c r="L8267" s="27"/>
    </row>
    <row r="8268" customFormat="false" ht="15" hidden="false" customHeight="false" outlineLevel="0" collapsed="false">
      <c r="A8268" s="26" t="s">
        <v>21451</v>
      </c>
      <c r="B8268" s="27" t="s">
        <v>21452</v>
      </c>
      <c r="C8268" s="27" t="s">
        <v>144</v>
      </c>
      <c r="D8268" s="26"/>
      <c r="E8268" s="27"/>
      <c r="F8268" s="27"/>
      <c r="G8268" s="27" t="s">
        <v>11122</v>
      </c>
      <c r="H8268" s="27" t="s">
        <v>35</v>
      </c>
      <c r="I8268" s="27" t="s">
        <v>38</v>
      </c>
      <c r="J8268" s="28" t="s">
        <v>856</v>
      </c>
      <c r="K8268" s="27" t="s">
        <v>38</v>
      </c>
      <c r="L8268" s="27"/>
    </row>
    <row r="8269" customFormat="false" ht="15" hidden="false" customHeight="false" outlineLevel="0" collapsed="false">
      <c r="A8269" s="26" t="s">
        <v>21453</v>
      </c>
      <c r="B8269" s="27" t="s">
        <v>21454</v>
      </c>
      <c r="C8269" s="27" t="s">
        <v>144</v>
      </c>
      <c r="D8269" s="26"/>
      <c r="E8269" s="27"/>
      <c r="F8269" s="27"/>
      <c r="G8269" s="27" t="s">
        <v>11122</v>
      </c>
      <c r="H8269" s="27" t="s">
        <v>35</v>
      </c>
      <c r="I8269" s="27" t="s">
        <v>38</v>
      </c>
      <c r="J8269" s="28" t="s">
        <v>856</v>
      </c>
      <c r="K8269" s="27" t="s">
        <v>38</v>
      </c>
      <c r="L8269" s="27"/>
    </row>
    <row r="8270" customFormat="false" ht="15" hidden="false" customHeight="false" outlineLevel="0" collapsed="false">
      <c r="A8270" s="26" t="s">
        <v>21455</v>
      </c>
      <c r="B8270" s="27" t="s">
        <v>21456</v>
      </c>
      <c r="C8270" s="27" t="s">
        <v>144</v>
      </c>
      <c r="D8270" s="26"/>
      <c r="E8270" s="27"/>
      <c r="F8270" s="27"/>
      <c r="G8270" s="27" t="s">
        <v>11122</v>
      </c>
      <c r="H8270" s="27" t="s">
        <v>35</v>
      </c>
      <c r="I8270" s="27" t="s">
        <v>39</v>
      </c>
      <c r="J8270" s="28" t="s">
        <v>856</v>
      </c>
      <c r="K8270" s="27" t="s">
        <v>38</v>
      </c>
      <c r="L8270" s="27"/>
    </row>
    <row r="8271" customFormat="false" ht="15" hidden="false" customHeight="false" outlineLevel="0" collapsed="false">
      <c r="A8271" s="26" t="s">
        <v>21457</v>
      </c>
      <c r="B8271" s="27" t="s">
        <v>21458</v>
      </c>
      <c r="C8271" s="27" t="s">
        <v>144</v>
      </c>
      <c r="D8271" s="26"/>
      <c r="E8271" s="27"/>
      <c r="F8271" s="27"/>
      <c r="G8271" s="27" t="s">
        <v>11122</v>
      </c>
      <c r="H8271" s="27" t="s">
        <v>35</v>
      </c>
      <c r="I8271" s="27" t="s">
        <v>44</v>
      </c>
      <c r="J8271" s="28" t="s">
        <v>856</v>
      </c>
      <c r="K8271" s="27" t="s">
        <v>38</v>
      </c>
      <c r="L8271" s="27"/>
    </row>
    <row r="8272" customFormat="false" ht="15" hidden="false" customHeight="false" outlineLevel="0" collapsed="false">
      <c r="A8272" s="26" t="s">
        <v>21459</v>
      </c>
      <c r="B8272" s="27" t="s">
        <v>21460</v>
      </c>
      <c r="C8272" s="27" t="s">
        <v>144</v>
      </c>
      <c r="D8272" s="26"/>
      <c r="E8272" s="27"/>
      <c r="F8272" s="27"/>
      <c r="G8272" s="27" t="s">
        <v>11122</v>
      </c>
      <c r="H8272" s="27" t="s">
        <v>35</v>
      </c>
      <c r="I8272" s="27" t="s">
        <v>45</v>
      </c>
      <c r="J8272" s="28" t="s">
        <v>856</v>
      </c>
      <c r="K8272" s="27" t="s">
        <v>38</v>
      </c>
      <c r="L8272" s="27"/>
    </row>
    <row r="8273" customFormat="false" ht="15" hidden="false" customHeight="false" outlineLevel="0" collapsed="false">
      <c r="A8273" s="26" t="s">
        <v>21461</v>
      </c>
      <c r="B8273" s="27" t="s">
        <v>21462</v>
      </c>
      <c r="C8273" s="27" t="s">
        <v>144</v>
      </c>
      <c r="D8273" s="26"/>
      <c r="E8273" s="27"/>
      <c r="F8273" s="27"/>
      <c r="G8273" s="27" t="s">
        <v>11122</v>
      </c>
      <c r="H8273" s="27" t="s">
        <v>35</v>
      </c>
      <c r="I8273" s="27" t="s">
        <v>38</v>
      </c>
      <c r="J8273" s="28" t="s">
        <v>856</v>
      </c>
      <c r="K8273" s="27" t="s">
        <v>38</v>
      </c>
      <c r="L8273" s="27"/>
    </row>
    <row r="8274" customFormat="false" ht="15" hidden="false" customHeight="false" outlineLevel="0" collapsed="false">
      <c r="A8274" s="26" t="s">
        <v>21463</v>
      </c>
      <c r="B8274" s="27" t="s">
        <v>21464</v>
      </c>
      <c r="C8274" s="27" t="s">
        <v>144</v>
      </c>
      <c r="D8274" s="26"/>
      <c r="E8274" s="27"/>
      <c r="F8274" s="27"/>
      <c r="G8274" s="27" t="s">
        <v>11122</v>
      </c>
      <c r="H8274" s="27" t="s">
        <v>35</v>
      </c>
      <c r="I8274" s="27" t="s">
        <v>37</v>
      </c>
      <c r="J8274" s="28" t="s">
        <v>856</v>
      </c>
      <c r="K8274" s="27" t="s">
        <v>38</v>
      </c>
      <c r="L8274" s="27"/>
    </row>
    <row r="8275" customFormat="false" ht="15" hidden="false" customHeight="false" outlineLevel="0" collapsed="false">
      <c r="A8275" s="26" t="s">
        <v>21465</v>
      </c>
      <c r="B8275" s="27" t="s">
        <v>21466</v>
      </c>
      <c r="C8275" s="27" t="s">
        <v>144</v>
      </c>
      <c r="D8275" s="26"/>
      <c r="E8275" s="27"/>
      <c r="F8275" s="27"/>
      <c r="G8275" s="27" t="s">
        <v>11122</v>
      </c>
      <c r="H8275" s="27" t="s">
        <v>35</v>
      </c>
      <c r="I8275" s="27" t="s">
        <v>47</v>
      </c>
      <c r="J8275" s="28" t="s">
        <v>856</v>
      </c>
      <c r="K8275" s="27" t="s">
        <v>38</v>
      </c>
      <c r="L8275" s="27"/>
    </row>
    <row r="8276" customFormat="false" ht="15" hidden="false" customHeight="false" outlineLevel="0" collapsed="false">
      <c r="A8276" s="26" t="s">
        <v>21467</v>
      </c>
      <c r="B8276" s="27" t="s">
        <v>21468</v>
      </c>
      <c r="C8276" s="27" t="s">
        <v>144</v>
      </c>
      <c r="D8276" s="26"/>
      <c r="E8276" s="27"/>
      <c r="F8276" s="27"/>
      <c r="G8276" s="27" t="s">
        <v>11122</v>
      </c>
      <c r="H8276" s="27" t="s">
        <v>35</v>
      </c>
      <c r="I8276" s="27" t="s">
        <v>38</v>
      </c>
      <c r="J8276" s="28" t="s">
        <v>856</v>
      </c>
      <c r="K8276" s="27" t="s">
        <v>38</v>
      </c>
      <c r="L8276" s="27"/>
    </row>
    <row r="8277" customFormat="false" ht="15" hidden="false" customHeight="false" outlineLevel="0" collapsed="false">
      <c r="A8277" s="26" t="s">
        <v>21469</v>
      </c>
      <c r="B8277" s="27" t="s">
        <v>21470</v>
      </c>
      <c r="C8277" s="27" t="s">
        <v>144</v>
      </c>
      <c r="D8277" s="26"/>
      <c r="E8277" s="27"/>
      <c r="F8277" s="27"/>
      <c r="G8277" s="27" t="s">
        <v>11122</v>
      </c>
      <c r="H8277" s="27" t="s">
        <v>35</v>
      </c>
      <c r="I8277" s="27" t="s">
        <v>38</v>
      </c>
      <c r="J8277" s="28" t="s">
        <v>856</v>
      </c>
      <c r="K8277" s="27" t="s">
        <v>38</v>
      </c>
      <c r="L8277" s="27"/>
    </row>
    <row r="8278" customFormat="false" ht="15" hidden="false" customHeight="false" outlineLevel="0" collapsed="false">
      <c r="A8278" s="26" t="s">
        <v>21471</v>
      </c>
      <c r="B8278" s="27" t="s">
        <v>21472</v>
      </c>
      <c r="C8278" s="27" t="s">
        <v>144</v>
      </c>
      <c r="D8278" s="26"/>
      <c r="E8278" s="27"/>
      <c r="F8278" s="27"/>
      <c r="G8278" s="27" t="s">
        <v>11122</v>
      </c>
      <c r="H8278" s="27" t="s">
        <v>35</v>
      </c>
      <c r="I8278" s="27" t="s">
        <v>37</v>
      </c>
      <c r="J8278" s="28" t="s">
        <v>856</v>
      </c>
      <c r="K8278" s="27" t="s">
        <v>38</v>
      </c>
      <c r="L8278" s="27"/>
    </row>
    <row r="8279" customFormat="false" ht="15" hidden="false" customHeight="false" outlineLevel="0" collapsed="false">
      <c r="A8279" s="26" t="s">
        <v>21473</v>
      </c>
      <c r="B8279" s="27" t="s">
        <v>21474</v>
      </c>
      <c r="C8279" s="27" t="s">
        <v>144</v>
      </c>
      <c r="D8279" s="26"/>
      <c r="E8279" s="27"/>
      <c r="F8279" s="27"/>
      <c r="G8279" s="27" t="s">
        <v>11122</v>
      </c>
      <c r="H8279" s="27" t="s">
        <v>35</v>
      </c>
      <c r="I8279" s="27" t="s">
        <v>38</v>
      </c>
      <c r="J8279" s="28" t="s">
        <v>856</v>
      </c>
      <c r="K8279" s="27" t="s">
        <v>38</v>
      </c>
      <c r="L8279" s="27"/>
    </row>
    <row r="8280" customFormat="false" ht="15" hidden="false" customHeight="false" outlineLevel="0" collapsed="false">
      <c r="A8280" s="26" t="s">
        <v>21475</v>
      </c>
      <c r="B8280" s="27" t="s">
        <v>21476</v>
      </c>
      <c r="C8280" s="27" t="s">
        <v>144</v>
      </c>
      <c r="D8280" s="26"/>
      <c r="E8280" s="27"/>
      <c r="F8280" s="27"/>
      <c r="G8280" s="27" t="s">
        <v>11122</v>
      </c>
      <c r="H8280" s="27" t="s">
        <v>35</v>
      </c>
      <c r="I8280" s="27" t="s">
        <v>37</v>
      </c>
      <c r="J8280" s="28" t="s">
        <v>856</v>
      </c>
      <c r="K8280" s="27" t="s">
        <v>38</v>
      </c>
      <c r="L8280" s="27"/>
    </row>
    <row r="8281" customFormat="false" ht="15" hidden="false" customHeight="false" outlineLevel="0" collapsed="false">
      <c r="A8281" s="26" t="s">
        <v>21477</v>
      </c>
      <c r="B8281" s="27" t="s">
        <v>21478</v>
      </c>
      <c r="C8281" s="27" t="s">
        <v>144</v>
      </c>
      <c r="D8281" s="26"/>
      <c r="E8281" s="27"/>
      <c r="F8281" s="27"/>
      <c r="G8281" s="27" t="s">
        <v>11122</v>
      </c>
      <c r="H8281" s="27" t="s">
        <v>35</v>
      </c>
      <c r="I8281" s="27" t="s">
        <v>38</v>
      </c>
      <c r="J8281" s="28" t="s">
        <v>856</v>
      </c>
      <c r="K8281" s="27" t="s">
        <v>38</v>
      </c>
      <c r="L8281" s="27"/>
    </row>
    <row r="8282" customFormat="false" ht="15" hidden="false" customHeight="false" outlineLevel="0" collapsed="false">
      <c r="A8282" s="26" t="s">
        <v>21479</v>
      </c>
      <c r="B8282" s="27" t="s">
        <v>21480</v>
      </c>
      <c r="C8282" s="27" t="s">
        <v>144</v>
      </c>
      <c r="D8282" s="26"/>
      <c r="E8282" s="27"/>
      <c r="F8282" s="27"/>
      <c r="G8282" s="27" t="s">
        <v>11122</v>
      </c>
      <c r="H8282" s="27" t="s">
        <v>35</v>
      </c>
      <c r="I8282" s="27" t="s">
        <v>39</v>
      </c>
      <c r="J8282" s="28" t="s">
        <v>856</v>
      </c>
      <c r="K8282" s="27" t="s">
        <v>38</v>
      </c>
      <c r="L8282" s="27"/>
    </row>
    <row r="8283" customFormat="false" ht="15" hidden="false" customHeight="false" outlineLevel="0" collapsed="false">
      <c r="A8283" s="26" t="s">
        <v>21481</v>
      </c>
      <c r="B8283" s="27" t="s">
        <v>21482</v>
      </c>
      <c r="C8283" s="27" t="s">
        <v>144</v>
      </c>
      <c r="D8283" s="26"/>
      <c r="E8283" s="27"/>
      <c r="F8283" s="27"/>
      <c r="G8283" s="27" t="s">
        <v>11122</v>
      </c>
      <c r="H8283" s="27" t="s">
        <v>35</v>
      </c>
      <c r="I8283" s="27" t="s">
        <v>38</v>
      </c>
      <c r="J8283" s="28" t="s">
        <v>856</v>
      </c>
      <c r="K8283" s="27" t="s">
        <v>38</v>
      </c>
      <c r="L8283" s="27"/>
    </row>
    <row r="8284" customFormat="false" ht="15" hidden="false" customHeight="false" outlineLevel="0" collapsed="false">
      <c r="A8284" s="26" t="s">
        <v>21483</v>
      </c>
      <c r="B8284" s="27" t="s">
        <v>21484</v>
      </c>
      <c r="C8284" s="27" t="s">
        <v>144</v>
      </c>
      <c r="D8284" s="26"/>
      <c r="E8284" s="27"/>
      <c r="F8284" s="27"/>
      <c r="G8284" s="27" t="s">
        <v>11122</v>
      </c>
      <c r="H8284" s="27" t="s">
        <v>35</v>
      </c>
      <c r="I8284" s="27" t="s">
        <v>38</v>
      </c>
      <c r="J8284" s="28" t="s">
        <v>856</v>
      </c>
      <c r="K8284" s="27" t="s">
        <v>38</v>
      </c>
      <c r="L8284" s="27"/>
    </row>
    <row r="8285" customFormat="false" ht="15" hidden="false" customHeight="false" outlineLevel="0" collapsed="false">
      <c r="A8285" s="26" t="s">
        <v>21485</v>
      </c>
      <c r="B8285" s="27" t="s">
        <v>21486</v>
      </c>
      <c r="C8285" s="27" t="s">
        <v>144</v>
      </c>
      <c r="D8285" s="26"/>
      <c r="E8285" s="27"/>
      <c r="F8285" s="27"/>
      <c r="G8285" s="27" t="s">
        <v>11122</v>
      </c>
      <c r="H8285" s="27" t="s">
        <v>35</v>
      </c>
      <c r="I8285" s="27" t="s">
        <v>38</v>
      </c>
      <c r="J8285" s="28" t="s">
        <v>856</v>
      </c>
      <c r="K8285" s="27" t="s">
        <v>38</v>
      </c>
      <c r="L8285" s="27"/>
    </row>
    <row r="8286" customFormat="false" ht="15" hidden="false" customHeight="false" outlineLevel="0" collapsed="false">
      <c r="A8286" s="26" t="s">
        <v>21487</v>
      </c>
      <c r="B8286" s="27" t="s">
        <v>21488</v>
      </c>
      <c r="C8286" s="27" t="s">
        <v>144</v>
      </c>
      <c r="D8286" s="26"/>
      <c r="E8286" s="27"/>
      <c r="F8286" s="27"/>
      <c r="G8286" s="27" t="s">
        <v>11122</v>
      </c>
      <c r="H8286" s="27" t="s">
        <v>35</v>
      </c>
      <c r="I8286" s="27" t="s">
        <v>38</v>
      </c>
      <c r="J8286" s="28" t="s">
        <v>856</v>
      </c>
      <c r="K8286" s="27" t="s">
        <v>38</v>
      </c>
      <c r="L8286" s="27"/>
    </row>
    <row r="8287" customFormat="false" ht="15" hidden="false" customHeight="false" outlineLevel="0" collapsed="false">
      <c r="A8287" s="26" t="s">
        <v>21489</v>
      </c>
      <c r="B8287" s="27" t="s">
        <v>21490</v>
      </c>
      <c r="C8287" s="27" t="s">
        <v>144</v>
      </c>
      <c r="D8287" s="26"/>
      <c r="E8287" s="27"/>
      <c r="F8287" s="27"/>
      <c r="G8287" s="27" t="s">
        <v>11122</v>
      </c>
      <c r="H8287" s="27" t="s">
        <v>35</v>
      </c>
      <c r="I8287" s="27" t="s">
        <v>38</v>
      </c>
      <c r="J8287" s="28" t="s">
        <v>856</v>
      </c>
      <c r="K8287" s="27" t="s">
        <v>38</v>
      </c>
      <c r="L8287" s="27"/>
    </row>
    <row r="8288" customFormat="false" ht="15" hidden="false" customHeight="false" outlineLevel="0" collapsed="false">
      <c r="A8288" s="26" t="s">
        <v>21491</v>
      </c>
      <c r="B8288" s="27" t="s">
        <v>21492</v>
      </c>
      <c r="C8288" s="27" t="s">
        <v>144</v>
      </c>
      <c r="D8288" s="26"/>
      <c r="E8288" s="27"/>
      <c r="F8288" s="27"/>
      <c r="G8288" s="27" t="s">
        <v>11122</v>
      </c>
      <c r="H8288" s="27" t="s">
        <v>35</v>
      </c>
      <c r="I8288" s="27" t="s">
        <v>40</v>
      </c>
      <c r="J8288" s="28" t="s">
        <v>856</v>
      </c>
      <c r="K8288" s="27" t="s">
        <v>38</v>
      </c>
      <c r="L8288" s="27"/>
    </row>
    <row r="8289" customFormat="false" ht="15" hidden="false" customHeight="false" outlineLevel="0" collapsed="false">
      <c r="A8289" s="26" t="s">
        <v>21493</v>
      </c>
      <c r="B8289" s="27" t="s">
        <v>21494</v>
      </c>
      <c r="C8289" s="27" t="s">
        <v>144</v>
      </c>
      <c r="D8289" s="26"/>
      <c r="E8289" s="27"/>
      <c r="F8289" s="27"/>
      <c r="G8289" s="27" t="s">
        <v>11122</v>
      </c>
      <c r="H8289" s="27" t="s">
        <v>35</v>
      </c>
      <c r="I8289" s="27" t="s">
        <v>40</v>
      </c>
      <c r="J8289" s="28" t="s">
        <v>856</v>
      </c>
      <c r="K8289" s="27" t="s">
        <v>38</v>
      </c>
      <c r="L8289" s="27"/>
    </row>
    <row r="8290" customFormat="false" ht="15" hidden="false" customHeight="false" outlineLevel="0" collapsed="false">
      <c r="A8290" s="26" t="s">
        <v>21495</v>
      </c>
      <c r="B8290" s="27" t="s">
        <v>21496</v>
      </c>
      <c r="C8290" s="27" t="s">
        <v>144</v>
      </c>
      <c r="D8290" s="26"/>
      <c r="E8290" s="27"/>
      <c r="F8290" s="27"/>
      <c r="G8290" s="27" t="s">
        <v>11122</v>
      </c>
      <c r="H8290" s="27" t="s">
        <v>35</v>
      </c>
      <c r="I8290" s="27" t="s">
        <v>40</v>
      </c>
      <c r="J8290" s="28" t="s">
        <v>856</v>
      </c>
      <c r="K8290" s="27" t="s">
        <v>38</v>
      </c>
      <c r="L8290" s="27"/>
    </row>
    <row r="8291" customFormat="false" ht="15" hidden="false" customHeight="false" outlineLevel="0" collapsed="false">
      <c r="A8291" s="26" t="s">
        <v>21497</v>
      </c>
      <c r="B8291" s="27" t="s">
        <v>21498</v>
      </c>
      <c r="C8291" s="27" t="s">
        <v>144</v>
      </c>
      <c r="D8291" s="26"/>
      <c r="E8291" s="27"/>
      <c r="F8291" s="27"/>
      <c r="G8291" s="27" t="s">
        <v>11122</v>
      </c>
      <c r="H8291" s="27" t="s">
        <v>35</v>
      </c>
      <c r="I8291" s="27" t="s">
        <v>40</v>
      </c>
      <c r="J8291" s="28" t="s">
        <v>856</v>
      </c>
      <c r="K8291" s="27" t="s">
        <v>38</v>
      </c>
      <c r="L8291" s="27"/>
    </row>
    <row r="8292" customFormat="false" ht="15" hidden="false" customHeight="false" outlineLevel="0" collapsed="false">
      <c r="A8292" s="26" t="s">
        <v>21499</v>
      </c>
      <c r="B8292" s="27" t="s">
        <v>21500</v>
      </c>
      <c r="C8292" s="27" t="s">
        <v>144</v>
      </c>
      <c r="D8292" s="26"/>
      <c r="E8292" s="27"/>
      <c r="F8292" s="27"/>
      <c r="G8292" s="27" t="s">
        <v>11122</v>
      </c>
      <c r="H8292" s="27" t="s">
        <v>35</v>
      </c>
      <c r="I8292" s="27" t="s">
        <v>41</v>
      </c>
      <c r="J8292" s="28" t="s">
        <v>856</v>
      </c>
      <c r="K8292" s="27" t="s">
        <v>38</v>
      </c>
      <c r="L8292" s="27"/>
    </row>
    <row r="8293" customFormat="false" ht="15" hidden="false" customHeight="false" outlineLevel="0" collapsed="false">
      <c r="A8293" s="26" t="s">
        <v>21501</v>
      </c>
      <c r="B8293" s="27" t="s">
        <v>21502</v>
      </c>
      <c r="C8293" s="27" t="s">
        <v>144</v>
      </c>
      <c r="D8293" s="26"/>
      <c r="E8293" s="27"/>
      <c r="F8293" s="27"/>
      <c r="G8293" s="27" t="s">
        <v>11122</v>
      </c>
      <c r="H8293" s="27" t="s">
        <v>35</v>
      </c>
      <c r="I8293" s="27" t="s">
        <v>39</v>
      </c>
      <c r="J8293" s="28" t="s">
        <v>856</v>
      </c>
      <c r="K8293" s="27" t="s">
        <v>38</v>
      </c>
      <c r="L8293" s="27"/>
    </row>
    <row r="8294" customFormat="false" ht="15" hidden="false" customHeight="false" outlineLevel="0" collapsed="false">
      <c r="A8294" s="26" t="s">
        <v>21503</v>
      </c>
      <c r="B8294" s="27" t="s">
        <v>21504</v>
      </c>
      <c r="C8294" s="27" t="s">
        <v>144</v>
      </c>
      <c r="D8294" s="26"/>
      <c r="E8294" s="27"/>
      <c r="F8294" s="27"/>
      <c r="G8294" s="27" t="s">
        <v>11122</v>
      </c>
      <c r="H8294" s="27" t="s">
        <v>35</v>
      </c>
      <c r="I8294" s="27" t="s">
        <v>39</v>
      </c>
      <c r="J8294" s="28" t="s">
        <v>856</v>
      </c>
      <c r="K8294" s="27" t="s">
        <v>38</v>
      </c>
      <c r="L8294" s="27"/>
    </row>
    <row r="8295" customFormat="false" ht="15" hidden="false" customHeight="false" outlineLevel="0" collapsed="false">
      <c r="A8295" s="26" t="s">
        <v>21505</v>
      </c>
      <c r="B8295" s="27" t="s">
        <v>21506</v>
      </c>
      <c r="C8295" s="27" t="s">
        <v>144</v>
      </c>
      <c r="D8295" s="26"/>
      <c r="E8295" s="27"/>
      <c r="F8295" s="27"/>
      <c r="G8295" s="27" t="s">
        <v>11122</v>
      </c>
      <c r="H8295" s="27" t="s">
        <v>35</v>
      </c>
      <c r="I8295" s="27" t="s">
        <v>38</v>
      </c>
      <c r="J8295" s="28" t="s">
        <v>856</v>
      </c>
      <c r="K8295" s="27" t="s">
        <v>38</v>
      </c>
      <c r="L8295" s="27"/>
    </row>
    <row r="8296" customFormat="false" ht="15" hidden="false" customHeight="false" outlineLevel="0" collapsed="false">
      <c r="A8296" s="26" t="s">
        <v>21507</v>
      </c>
      <c r="B8296" s="27" t="s">
        <v>21508</v>
      </c>
      <c r="C8296" s="27" t="s">
        <v>144</v>
      </c>
      <c r="D8296" s="26"/>
      <c r="E8296" s="27"/>
      <c r="F8296" s="27"/>
      <c r="G8296" s="27" t="s">
        <v>11122</v>
      </c>
      <c r="H8296" s="27" t="s">
        <v>35</v>
      </c>
      <c r="I8296" s="27" t="s">
        <v>38</v>
      </c>
      <c r="J8296" s="28" t="s">
        <v>856</v>
      </c>
      <c r="K8296" s="27" t="s">
        <v>38</v>
      </c>
      <c r="L8296" s="27"/>
    </row>
    <row r="8297" customFormat="false" ht="15" hidden="false" customHeight="false" outlineLevel="0" collapsed="false">
      <c r="A8297" s="26" t="s">
        <v>21509</v>
      </c>
      <c r="B8297" s="27" t="s">
        <v>21510</v>
      </c>
      <c r="C8297" s="27" t="s">
        <v>144</v>
      </c>
      <c r="D8297" s="26"/>
      <c r="E8297" s="27"/>
      <c r="F8297" s="27"/>
      <c r="G8297" s="27" t="s">
        <v>11122</v>
      </c>
      <c r="H8297" s="27" t="s">
        <v>35</v>
      </c>
      <c r="I8297" s="27" t="s">
        <v>38</v>
      </c>
      <c r="J8297" s="28" t="s">
        <v>856</v>
      </c>
      <c r="K8297" s="27" t="s">
        <v>38</v>
      </c>
      <c r="L8297" s="27"/>
    </row>
    <row r="8298" customFormat="false" ht="15" hidden="false" customHeight="false" outlineLevel="0" collapsed="false">
      <c r="A8298" s="26" t="s">
        <v>21511</v>
      </c>
      <c r="B8298" s="27" t="s">
        <v>21512</v>
      </c>
      <c r="C8298" s="27" t="s">
        <v>144</v>
      </c>
      <c r="D8298" s="26"/>
      <c r="E8298" s="27"/>
      <c r="F8298" s="27"/>
      <c r="G8298" s="27" t="s">
        <v>11122</v>
      </c>
      <c r="H8298" s="27" t="s">
        <v>35</v>
      </c>
      <c r="I8298" s="27" t="s">
        <v>39</v>
      </c>
      <c r="J8298" s="28" t="s">
        <v>856</v>
      </c>
      <c r="K8298" s="27" t="s">
        <v>38</v>
      </c>
      <c r="L8298" s="27"/>
    </row>
    <row r="8299" customFormat="false" ht="15" hidden="false" customHeight="false" outlineLevel="0" collapsed="false">
      <c r="A8299" s="26" t="s">
        <v>21513</v>
      </c>
      <c r="B8299" s="27" t="s">
        <v>21514</v>
      </c>
      <c r="C8299" s="27" t="s">
        <v>144</v>
      </c>
      <c r="D8299" s="26"/>
      <c r="E8299" s="27"/>
      <c r="F8299" s="27"/>
      <c r="G8299" s="27" t="s">
        <v>11122</v>
      </c>
      <c r="H8299" s="27" t="s">
        <v>35</v>
      </c>
      <c r="I8299" s="27" t="s">
        <v>38</v>
      </c>
      <c r="J8299" s="28" t="s">
        <v>856</v>
      </c>
      <c r="K8299" s="27" t="s">
        <v>38</v>
      </c>
      <c r="L8299" s="27"/>
    </row>
    <row r="8300" customFormat="false" ht="15" hidden="false" customHeight="false" outlineLevel="0" collapsed="false">
      <c r="A8300" s="26" t="s">
        <v>21515</v>
      </c>
      <c r="B8300" s="27" t="s">
        <v>21516</v>
      </c>
      <c r="C8300" s="27" t="s">
        <v>144</v>
      </c>
      <c r="D8300" s="26"/>
      <c r="E8300" s="27"/>
      <c r="F8300" s="27"/>
      <c r="G8300" s="27" t="s">
        <v>11122</v>
      </c>
      <c r="H8300" s="27" t="s">
        <v>35</v>
      </c>
      <c r="I8300" s="27" t="s">
        <v>38</v>
      </c>
      <c r="J8300" s="28" t="s">
        <v>856</v>
      </c>
      <c r="K8300" s="27" t="s">
        <v>38</v>
      </c>
      <c r="L8300" s="27"/>
    </row>
    <row r="8301" customFormat="false" ht="15" hidden="false" customHeight="false" outlineLevel="0" collapsed="false">
      <c r="A8301" s="26" t="s">
        <v>21517</v>
      </c>
      <c r="B8301" s="27" t="s">
        <v>21518</v>
      </c>
      <c r="C8301" s="27" t="s">
        <v>144</v>
      </c>
      <c r="D8301" s="26"/>
      <c r="E8301" s="27"/>
      <c r="F8301" s="27"/>
      <c r="G8301" s="27" t="s">
        <v>11122</v>
      </c>
      <c r="H8301" s="27" t="s">
        <v>35</v>
      </c>
      <c r="I8301" s="27" t="s">
        <v>37</v>
      </c>
      <c r="J8301" s="28" t="s">
        <v>856</v>
      </c>
      <c r="K8301" s="27" t="s">
        <v>38</v>
      </c>
      <c r="L8301" s="27"/>
    </row>
    <row r="8302" customFormat="false" ht="15" hidden="false" customHeight="false" outlineLevel="0" collapsed="false">
      <c r="A8302" s="26" t="s">
        <v>21519</v>
      </c>
      <c r="B8302" s="27" t="s">
        <v>21520</v>
      </c>
      <c r="C8302" s="27" t="s">
        <v>144</v>
      </c>
      <c r="D8302" s="26"/>
      <c r="E8302" s="27"/>
      <c r="F8302" s="27"/>
      <c r="G8302" s="27" t="s">
        <v>11122</v>
      </c>
      <c r="H8302" s="27" t="s">
        <v>35</v>
      </c>
      <c r="I8302" s="27" t="s">
        <v>1296</v>
      </c>
      <c r="J8302" s="28" t="s">
        <v>856</v>
      </c>
      <c r="K8302" s="27" t="s">
        <v>38</v>
      </c>
      <c r="L8302" s="27"/>
    </row>
    <row r="8303" customFormat="false" ht="15" hidden="false" customHeight="false" outlineLevel="0" collapsed="false">
      <c r="A8303" s="26" t="s">
        <v>21521</v>
      </c>
      <c r="B8303" s="27" t="s">
        <v>21522</v>
      </c>
      <c r="C8303" s="27" t="s">
        <v>144</v>
      </c>
      <c r="D8303" s="26"/>
      <c r="E8303" s="27"/>
      <c r="F8303" s="27"/>
      <c r="G8303" s="27" t="s">
        <v>11122</v>
      </c>
      <c r="H8303" s="27" t="s">
        <v>35</v>
      </c>
      <c r="I8303" s="27" t="s">
        <v>38</v>
      </c>
      <c r="J8303" s="28" t="s">
        <v>856</v>
      </c>
      <c r="K8303" s="27" t="s">
        <v>38</v>
      </c>
      <c r="L8303" s="27"/>
    </row>
    <row r="8304" customFormat="false" ht="15" hidden="false" customHeight="false" outlineLevel="0" collapsed="false">
      <c r="A8304" s="26" t="s">
        <v>21523</v>
      </c>
      <c r="B8304" s="27" t="s">
        <v>21524</v>
      </c>
      <c r="C8304" s="27" t="s">
        <v>144</v>
      </c>
      <c r="D8304" s="26"/>
      <c r="E8304" s="27"/>
      <c r="F8304" s="27"/>
      <c r="G8304" s="27" t="s">
        <v>11122</v>
      </c>
      <c r="H8304" s="27" t="s">
        <v>35</v>
      </c>
      <c r="I8304" s="27" t="s">
        <v>38</v>
      </c>
      <c r="J8304" s="28" t="s">
        <v>856</v>
      </c>
      <c r="K8304" s="27" t="s">
        <v>38</v>
      </c>
      <c r="L8304" s="27"/>
    </row>
    <row r="8305" customFormat="false" ht="15" hidden="false" customHeight="false" outlineLevel="0" collapsed="false">
      <c r="A8305" s="26" t="s">
        <v>21525</v>
      </c>
      <c r="B8305" s="27" t="s">
        <v>21526</v>
      </c>
      <c r="C8305" s="27" t="s">
        <v>144</v>
      </c>
      <c r="D8305" s="26"/>
      <c r="E8305" s="27"/>
      <c r="F8305" s="27"/>
      <c r="G8305" s="27" t="s">
        <v>11122</v>
      </c>
      <c r="H8305" s="27" t="s">
        <v>35</v>
      </c>
      <c r="I8305" s="27" t="s">
        <v>38</v>
      </c>
      <c r="J8305" s="28" t="s">
        <v>856</v>
      </c>
      <c r="K8305" s="27" t="s">
        <v>38</v>
      </c>
      <c r="L8305" s="27"/>
    </row>
    <row r="8306" customFormat="false" ht="15" hidden="false" customHeight="false" outlineLevel="0" collapsed="false">
      <c r="A8306" s="26" t="s">
        <v>21527</v>
      </c>
      <c r="B8306" s="27" t="s">
        <v>21528</v>
      </c>
      <c r="C8306" s="27" t="s">
        <v>144</v>
      </c>
      <c r="D8306" s="26"/>
      <c r="E8306" s="27"/>
      <c r="F8306" s="27"/>
      <c r="G8306" s="27" t="s">
        <v>11122</v>
      </c>
      <c r="H8306" s="27" t="s">
        <v>35</v>
      </c>
      <c r="I8306" s="27" t="s">
        <v>38</v>
      </c>
      <c r="J8306" s="28" t="s">
        <v>856</v>
      </c>
      <c r="K8306" s="27" t="s">
        <v>38</v>
      </c>
      <c r="L8306" s="27"/>
    </row>
    <row r="8307" customFormat="false" ht="15" hidden="false" customHeight="false" outlineLevel="0" collapsed="false">
      <c r="A8307" s="26" t="s">
        <v>21529</v>
      </c>
      <c r="B8307" s="27" t="s">
        <v>21530</v>
      </c>
      <c r="C8307" s="27" t="s">
        <v>144</v>
      </c>
      <c r="D8307" s="26"/>
      <c r="E8307" s="27"/>
      <c r="F8307" s="27"/>
      <c r="G8307" s="27" t="s">
        <v>11122</v>
      </c>
      <c r="H8307" s="27" t="s">
        <v>35</v>
      </c>
      <c r="I8307" s="27" t="s">
        <v>38</v>
      </c>
      <c r="J8307" s="28" t="s">
        <v>856</v>
      </c>
      <c r="K8307" s="27" t="s">
        <v>38</v>
      </c>
      <c r="L8307" s="27"/>
    </row>
    <row r="8308" customFormat="false" ht="15" hidden="false" customHeight="false" outlineLevel="0" collapsed="false">
      <c r="A8308" s="26" t="s">
        <v>21531</v>
      </c>
      <c r="B8308" s="27" t="s">
        <v>21532</v>
      </c>
      <c r="C8308" s="27" t="s">
        <v>144</v>
      </c>
      <c r="D8308" s="26"/>
      <c r="E8308" s="27"/>
      <c r="F8308" s="27"/>
      <c r="G8308" s="27" t="s">
        <v>11122</v>
      </c>
      <c r="H8308" s="27" t="s">
        <v>35</v>
      </c>
      <c r="I8308" s="27" t="s">
        <v>47</v>
      </c>
      <c r="J8308" s="28" t="s">
        <v>856</v>
      </c>
      <c r="K8308" s="27" t="s">
        <v>38</v>
      </c>
      <c r="L8308" s="27"/>
    </row>
    <row r="8309" customFormat="false" ht="15" hidden="false" customHeight="false" outlineLevel="0" collapsed="false">
      <c r="A8309" s="26" t="s">
        <v>21533</v>
      </c>
      <c r="B8309" s="27" t="s">
        <v>21534</v>
      </c>
      <c r="C8309" s="27" t="s">
        <v>144</v>
      </c>
      <c r="D8309" s="26"/>
      <c r="E8309" s="27"/>
      <c r="F8309" s="27"/>
      <c r="G8309" s="27" t="s">
        <v>11122</v>
      </c>
      <c r="H8309" s="27" t="s">
        <v>35</v>
      </c>
      <c r="I8309" s="27" t="s">
        <v>38</v>
      </c>
      <c r="J8309" s="28" t="s">
        <v>856</v>
      </c>
      <c r="K8309" s="27" t="s">
        <v>38</v>
      </c>
      <c r="L8309" s="27"/>
    </row>
    <row r="8310" customFormat="false" ht="15" hidden="false" customHeight="false" outlineLevel="0" collapsed="false">
      <c r="A8310" s="26" t="s">
        <v>21535</v>
      </c>
      <c r="B8310" s="27" t="s">
        <v>21536</v>
      </c>
      <c r="C8310" s="27" t="s">
        <v>144</v>
      </c>
      <c r="D8310" s="26"/>
      <c r="E8310" s="27"/>
      <c r="F8310" s="27"/>
      <c r="G8310" s="27" t="s">
        <v>11122</v>
      </c>
      <c r="H8310" s="27" t="s">
        <v>35</v>
      </c>
      <c r="I8310" s="27" t="s">
        <v>38</v>
      </c>
      <c r="J8310" s="28" t="s">
        <v>856</v>
      </c>
      <c r="K8310" s="27" t="s">
        <v>38</v>
      </c>
      <c r="L8310" s="27"/>
    </row>
    <row r="8311" customFormat="false" ht="15" hidden="false" customHeight="false" outlineLevel="0" collapsed="false">
      <c r="A8311" s="26" t="s">
        <v>21537</v>
      </c>
      <c r="B8311" s="27" t="s">
        <v>21538</v>
      </c>
      <c r="C8311" s="27" t="s">
        <v>144</v>
      </c>
      <c r="D8311" s="26"/>
      <c r="E8311" s="27"/>
      <c r="F8311" s="27"/>
      <c r="G8311" s="27" t="s">
        <v>11122</v>
      </c>
      <c r="H8311" s="27" t="s">
        <v>35</v>
      </c>
      <c r="I8311" s="27" t="s">
        <v>39</v>
      </c>
      <c r="J8311" s="28" t="s">
        <v>856</v>
      </c>
      <c r="K8311" s="27" t="s">
        <v>38</v>
      </c>
      <c r="L8311" s="27"/>
    </row>
    <row r="8312" customFormat="false" ht="15" hidden="false" customHeight="false" outlineLevel="0" collapsed="false">
      <c r="A8312" s="26" t="s">
        <v>21539</v>
      </c>
      <c r="B8312" s="27" t="s">
        <v>21540</v>
      </c>
      <c r="C8312" s="27" t="s">
        <v>144</v>
      </c>
      <c r="D8312" s="26"/>
      <c r="E8312" s="27"/>
      <c r="F8312" s="27"/>
      <c r="G8312" s="27" t="s">
        <v>11122</v>
      </c>
      <c r="H8312" s="27" t="s">
        <v>35</v>
      </c>
      <c r="I8312" s="27" t="s">
        <v>887</v>
      </c>
      <c r="J8312" s="28" t="s">
        <v>856</v>
      </c>
      <c r="K8312" s="27" t="s">
        <v>38</v>
      </c>
      <c r="L8312" s="27"/>
    </row>
    <row r="8313" customFormat="false" ht="15" hidden="false" customHeight="false" outlineLevel="0" collapsed="false">
      <c r="A8313" s="26" t="s">
        <v>21541</v>
      </c>
      <c r="B8313" s="27" t="s">
        <v>21542</v>
      </c>
      <c r="C8313" s="27" t="s">
        <v>144</v>
      </c>
      <c r="D8313" s="26"/>
      <c r="E8313" s="27"/>
      <c r="F8313" s="27"/>
      <c r="G8313" s="27" t="s">
        <v>11122</v>
      </c>
      <c r="H8313" s="27" t="s">
        <v>35</v>
      </c>
      <c r="I8313" s="27" t="s">
        <v>38</v>
      </c>
      <c r="J8313" s="28" t="s">
        <v>856</v>
      </c>
      <c r="K8313" s="27" t="s">
        <v>38</v>
      </c>
      <c r="L8313" s="27"/>
    </row>
    <row r="8314" customFormat="false" ht="15" hidden="false" customHeight="false" outlineLevel="0" collapsed="false">
      <c r="A8314" s="26" t="s">
        <v>21543</v>
      </c>
      <c r="B8314" s="27" t="s">
        <v>21544</v>
      </c>
      <c r="C8314" s="27" t="s">
        <v>144</v>
      </c>
      <c r="D8314" s="26"/>
      <c r="E8314" s="27"/>
      <c r="F8314" s="27"/>
      <c r="G8314" s="27" t="s">
        <v>11122</v>
      </c>
      <c r="H8314" s="27" t="s">
        <v>35</v>
      </c>
      <c r="I8314" s="27" t="s">
        <v>37</v>
      </c>
      <c r="J8314" s="28" t="s">
        <v>856</v>
      </c>
      <c r="K8314" s="27" t="s">
        <v>38</v>
      </c>
      <c r="L8314" s="27"/>
    </row>
    <row r="8315" customFormat="false" ht="15" hidden="false" customHeight="false" outlineLevel="0" collapsed="false">
      <c r="A8315" s="26" t="s">
        <v>21545</v>
      </c>
      <c r="B8315" s="27" t="s">
        <v>21546</v>
      </c>
      <c r="C8315" s="27" t="s">
        <v>144</v>
      </c>
      <c r="D8315" s="26"/>
      <c r="E8315" s="27"/>
      <c r="F8315" s="27"/>
      <c r="G8315" s="27" t="s">
        <v>11122</v>
      </c>
      <c r="H8315" s="27" t="s">
        <v>35</v>
      </c>
      <c r="I8315" s="28" t="s">
        <v>46</v>
      </c>
      <c r="J8315" s="28" t="s">
        <v>856</v>
      </c>
      <c r="K8315" s="27" t="s">
        <v>38</v>
      </c>
      <c r="L8315" s="27"/>
    </row>
    <row r="8316" customFormat="false" ht="15" hidden="false" customHeight="false" outlineLevel="0" collapsed="false">
      <c r="A8316" s="26" t="s">
        <v>21547</v>
      </c>
      <c r="B8316" s="27" t="s">
        <v>21548</v>
      </c>
      <c r="C8316" s="27" t="s">
        <v>144</v>
      </c>
      <c r="D8316" s="26"/>
      <c r="E8316" s="27"/>
      <c r="F8316" s="27"/>
      <c r="G8316" s="27" t="s">
        <v>11122</v>
      </c>
      <c r="H8316" s="27" t="s">
        <v>35</v>
      </c>
      <c r="I8316" s="27" t="s">
        <v>38</v>
      </c>
      <c r="J8316" s="28" t="s">
        <v>856</v>
      </c>
      <c r="K8316" s="27" t="s">
        <v>38</v>
      </c>
      <c r="L8316" s="27"/>
    </row>
    <row r="8317" customFormat="false" ht="15" hidden="false" customHeight="false" outlineLevel="0" collapsed="false">
      <c r="A8317" s="26" t="s">
        <v>21549</v>
      </c>
      <c r="B8317" s="27" t="s">
        <v>21550</v>
      </c>
      <c r="C8317" s="27" t="s">
        <v>144</v>
      </c>
      <c r="D8317" s="26"/>
      <c r="E8317" s="27"/>
      <c r="F8317" s="27"/>
      <c r="G8317" s="27" t="s">
        <v>11122</v>
      </c>
      <c r="H8317" s="27" t="s">
        <v>35</v>
      </c>
      <c r="I8317" s="27" t="s">
        <v>38</v>
      </c>
      <c r="J8317" s="28" t="s">
        <v>856</v>
      </c>
      <c r="K8317" s="27" t="s">
        <v>38</v>
      </c>
      <c r="L8317" s="27"/>
    </row>
    <row r="8318" customFormat="false" ht="15" hidden="false" customHeight="false" outlineLevel="0" collapsed="false">
      <c r="A8318" s="26" t="s">
        <v>21551</v>
      </c>
      <c r="B8318" s="27" t="s">
        <v>21552</v>
      </c>
      <c r="C8318" s="27" t="s">
        <v>144</v>
      </c>
      <c r="D8318" s="26"/>
      <c r="E8318" s="27"/>
      <c r="F8318" s="27"/>
      <c r="G8318" s="27" t="s">
        <v>11122</v>
      </c>
      <c r="H8318" s="27" t="s">
        <v>35</v>
      </c>
      <c r="I8318" s="27" t="s">
        <v>38</v>
      </c>
      <c r="J8318" s="28" t="s">
        <v>856</v>
      </c>
      <c r="K8318" s="27" t="s">
        <v>38</v>
      </c>
      <c r="L8318" s="27"/>
    </row>
    <row r="8319" customFormat="false" ht="15" hidden="false" customHeight="false" outlineLevel="0" collapsed="false">
      <c r="A8319" s="26" t="s">
        <v>21553</v>
      </c>
      <c r="B8319" s="27" t="s">
        <v>21554</v>
      </c>
      <c r="C8319" s="27" t="s">
        <v>144</v>
      </c>
      <c r="D8319" s="26"/>
      <c r="E8319" s="27"/>
      <c r="F8319" s="27"/>
      <c r="G8319" s="27" t="s">
        <v>11122</v>
      </c>
      <c r="H8319" s="27" t="s">
        <v>35</v>
      </c>
      <c r="I8319" s="27" t="s">
        <v>38</v>
      </c>
      <c r="J8319" s="28" t="s">
        <v>856</v>
      </c>
      <c r="K8319" s="27" t="s">
        <v>38</v>
      </c>
      <c r="L8319" s="27"/>
    </row>
    <row r="8320" customFormat="false" ht="15" hidden="false" customHeight="false" outlineLevel="0" collapsed="false">
      <c r="A8320" s="26" t="s">
        <v>21555</v>
      </c>
      <c r="B8320" s="27" t="s">
        <v>21556</v>
      </c>
      <c r="C8320" s="27" t="s">
        <v>144</v>
      </c>
      <c r="D8320" s="26"/>
      <c r="E8320" s="27"/>
      <c r="F8320" s="27"/>
      <c r="G8320" s="27" t="s">
        <v>11122</v>
      </c>
      <c r="H8320" s="27" t="s">
        <v>35</v>
      </c>
      <c r="I8320" s="27" t="s">
        <v>37</v>
      </c>
      <c r="J8320" s="28" t="s">
        <v>856</v>
      </c>
      <c r="K8320" s="27" t="s">
        <v>38</v>
      </c>
      <c r="L8320" s="27"/>
    </row>
    <row r="8321" customFormat="false" ht="15" hidden="false" customHeight="false" outlineLevel="0" collapsed="false">
      <c r="A8321" s="26" t="s">
        <v>21557</v>
      </c>
      <c r="B8321" s="27" t="s">
        <v>21558</v>
      </c>
      <c r="C8321" s="27" t="s">
        <v>144</v>
      </c>
      <c r="D8321" s="26"/>
      <c r="E8321" s="27"/>
      <c r="F8321" s="27"/>
      <c r="G8321" s="27" t="s">
        <v>11122</v>
      </c>
      <c r="H8321" s="27" t="s">
        <v>35</v>
      </c>
      <c r="I8321" s="27" t="s">
        <v>38</v>
      </c>
      <c r="J8321" s="28" t="s">
        <v>856</v>
      </c>
      <c r="K8321" s="27" t="s">
        <v>38</v>
      </c>
      <c r="L8321" s="27"/>
    </row>
    <row r="8322" customFormat="false" ht="15" hidden="false" customHeight="false" outlineLevel="0" collapsed="false">
      <c r="A8322" s="26" t="s">
        <v>21559</v>
      </c>
      <c r="B8322" s="27" t="s">
        <v>21560</v>
      </c>
      <c r="C8322" s="27" t="s">
        <v>144</v>
      </c>
      <c r="D8322" s="26"/>
      <c r="E8322" s="27"/>
      <c r="F8322" s="27"/>
      <c r="G8322" s="27" t="s">
        <v>11122</v>
      </c>
      <c r="H8322" s="27" t="s">
        <v>35</v>
      </c>
      <c r="I8322" s="27" t="s">
        <v>42</v>
      </c>
      <c r="J8322" s="28" t="s">
        <v>856</v>
      </c>
      <c r="K8322" s="27" t="s">
        <v>38</v>
      </c>
      <c r="L8322" s="27"/>
    </row>
    <row r="8323" customFormat="false" ht="15" hidden="false" customHeight="false" outlineLevel="0" collapsed="false">
      <c r="A8323" s="26" t="s">
        <v>21561</v>
      </c>
      <c r="B8323" s="27" t="s">
        <v>21562</v>
      </c>
      <c r="C8323" s="27" t="s">
        <v>144</v>
      </c>
      <c r="D8323" s="26"/>
      <c r="E8323" s="27"/>
      <c r="F8323" s="27"/>
      <c r="G8323" s="27" t="s">
        <v>11122</v>
      </c>
      <c r="H8323" s="27" t="s">
        <v>35</v>
      </c>
      <c r="I8323" s="27" t="s">
        <v>37</v>
      </c>
      <c r="J8323" s="28" t="s">
        <v>856</v>
      </c>
      <c r="K8323" s="27" t="s">
        <v>38</v>
      </c>
      <c r="L8323" s="27"/>
    </row>
    <row r="8324" customFormat="false" ht="15" hidden="false" customHeight="false" outlineLevel="0" collapsed="false">
      <c r="A8324" s="26" t="s">
        <v>21563</v>
      </c>
      <c r="B8324" s="27" t="s">
        <v>21564</v>
      </c>
      <c r="C8324" s="27" t="s">
        <v>144</v>
      </c>
      <c r="D8324" s="26"/>
      <c r="E8324" s="27"/>
      <c r="F8324" s="27"/>
      <c r="G8324" s="27" t="s">
        <v>11122</v>
      </c>
      <c r="H8324" s="27" t="s">
        <v>35</v>
      </c>
      <c r="I8324" s="27" t="s">
        <v>37</v>
      </c>
      <c r="J8324" s="28" t="s">
        <v>856</v>
      </c>
      <c r="K8324" s="27" t="s">
        <v>38</v>
      </c>
      <c r="L8324" s="27"/>
    </row>
    <row r="8325" customFormat="false" ht="15" hidden="false" customHeight="false" outlineLevel="0" collapsed="false">
      <c r="A8325" s="26" t="s">
        <v>21565</v>
      </c>
      <c r="B8325" s="27" t="s">
        <v>21566</v>
      </c>
      <c r="C8325" s="27" t="s">
        <v>144</v>
      </c>
      <c r="D8325" s="26"/>
      <c r="E8325" s="27"/>
      <c r="F8325" s="27"/>
      <c r="G8325" s="27" t="s">
        <v>11122</v>
      </c>
      <c r="H8325" s="27" t="s">
        <v>35</v>
      </c>
      <c r="I8325" s="27" t="s">
        <v>39</v>
      </c>
      <c r="J8325" s="28" t="s">
        <v>856</v>
      </c>
      <c r="K8325" s="27" t="s">
        <v>38</v>
      </c>
      <c r="L8325" s="27"/>
    </row>
    <row r="8326" customFormat="false" ht="15" hidden="false" customHeight="false" outlineLevel="0" collapsed="false">
      <c r="A8326" s="26" t="s">
        <v>21567</v>
      </c>
      <c r="B8326" s="27" t="s">
        <v>21568</v>
      </c>
      <c r="C8326" s="27" t="s">
        <v>144</v>
      </c>
      <c r="D8326" s="26"/>
      <c r="E8326" s="27"/>
      <c r="F8326" s="27"/>
      <c r="G8326" s="27" t="s">
        <v>11122</v>
      </c>
      <c r="H8326" s="27" t="s">
        <v>35</v>
      </c>
      <c r="I8326" s="27" t="s">
        <v>41</v>
      </c>
      <c r="J8326" s="28" t="s">
        <v>856</v>
      </c>
      <c r="K8326" s="27" t="s">
        <v>38</v>
      </c>
      <c r="L8326" s="27"/>
    </row>
    <row r="8327" customFormat="false" ht="15" hidden="false" customHeight="false" outlineLevel="0" collapsed="false">
      <c r="A8327" s="26" t="s">
        <v>21569</v>
      </c>
      <c r="B8327" s="27" t="s">
        <v>21570</v>
      </c>
      <c r="C8327" s="27" t="s">
        <v>144</v>
      </c>
      <c r="D8327" s="26"/>
      <c r="E8327" s="27"/>
      <c r="F8327" s="27"/>
      <c r="G8327" s="27" t="s">
        <v>11122</v>
      </c>
      <c r="H8327" s="27" t="s">
        <v>35</v>
      </c>
      <c r="I8327" s="27" t="s">
        <v>38</v>
      </c>
      <c r="J8327" s="28" t="s">
        <v>856</v>
      </c>
      <c r="K8327" s="27" t="s">
        <v>38</v>
      </c>
      <c r="L8327" s="27"/>
    </row>
    <row r="8328" customFormat="false" ht="15" hidden="false" customHeight="false" outlineLevel="0" collapsed="false">
      <c r="A8328" s="26" t="s">
        <v>21571</v>
      </c>
      <c r="B8328" s="27" t="s">
        <v>21572</v>
      </c>
      <c r="C8328" s="27" t="s">
        <v>144</v>
      </c>
      <c r="D8328" s="26"/>
      <c r="E8328" s="27"/>
      <c r="F8328" s="27"/>
      <c r="G8328" s="27" t="s">
        <v>11122</v>
      </c>
      <c r="H8328" s="27" t="s">
        <v>35</v>
      </c>
      <c r="I8328" s="27" t="s">
        <v>39</v>
      </c>
      <c r="J8328" s="28" t="s">
        <v>856</v>
      </c>
      <c r="K8328" s="27" t="s">
        <v>38</v>
      </c>
      <c r="L8328" s="27"/>
    </row>
    <row r="8329" customFormat="false" ht="15" hidden="false" customHeight="false" outlineLevel="0" collapsed="false">
      <c r="A8329" s="26" t="s">
        <v>21573</v>
      </c>
      <c r="B8329" s="27" t="s">
        <v>21574</v>
      </c>
      <c r="C8329" s="27" t="s">
        <v>144</v>
      </c>
      <c r="D8329" s="26"/>
      <c r="E8329" s="27"/>
      <c r="F8329" s="27"/>
      <c r="G8329" s="27" t="s">
        <v>11122</v>
      </c>
      <c r="H8329" s="27" t="s">
        <v>35</v>
      </c>
      <c r="I8329" s="27" t="s">
        <v>1296</v>
      </c>
      <c r="J8329" s="28" t="s">
        <v>856</v>
      </c>
      <c r="K8329" s="27" t="s">
        <v>38</v>
      </c>
      <c r="L8329" s="27"/>
    </row>
    <row r="8330" customFormat="false" ht="15" hidden="false" customHeight="false" outlineLevel="0" collapsed="false">
      <c r="A8330" s="26" t="s">
        <v>21575</v>
      </c>
      <c r="B8330" s="27" t="s">
        <v>21576</v>
      </c>
      <c r="C8330" s="27" t="s">
        <v>144</v>
      </c>
      <c r="D8330" s="26"/>
      <c r="E8330" s="27"/>
      <c r="F8330" s="27"/>
      <c r="G8330" s="27" t="s">
        <v>11122</v>
      </c>
      <c r="H8330" s="27" t="s">
        <v>35</v>
      </c>
      <c r="I8330" s="27" t="s">
        <v>42</v>
      </c>
      <c r="J8330" s="28" t="s">
        <v>856</v>
      </c>
      <c r="K8330" s="27" t="s">
        <v>38</v>
      </c>
      <c r="L8330" s="27"/>
    </row>
    <row r="8331" customFormat="false" ht="15" hidden="false" customHeight="false" outlineLevel="0" collapsed="false">
      <c r="A8331" s="26" t="s">
        <v>21577</v>
      </c>
      <c r="B8331" s="27" t="s">
        <v>21578</v>
      </c>
      <c r="C8331" s="27" t="s">
        <v>144</v>
      </c>
      <c r="D8331" s="26"/>
      <c r="E8331" s="27"/>
      <c r="F8331" s="27"/>
      <c r="G8331" s="27" t="s">
        <v>11122</v>
      </c>
      <c r="H8331" s="27" t="s">
        <v>35</v>
      </c>
      <c r="I8331" s="27" t="s">
        <v>37</v>
      </c>
      <c r="J8331" s="28" t="s">
        <v>856</v>
      </c>
      <c r="K8331" s="27" t="s">
        <v>38</v>
      </c>
      <c r="L8331" s="27"/>
    </row>
    <row r="8332" customFormat="false" ht="15" hidden="false" customHeight="false" outlineLevel="0" collapsed="false">
      <c r="A8332" s="26" t="s">
        <v>21579</v>
      </c>
      <c r="B8332" s="27" t="s">
        <v>21580</v>
      </c>
      <c r="C8332" s="27" t="s">
        <v>144</v>
      </c>
      <c r="D8332" s="26"/>
      <c r="E8332" s="27"/>
      <c r="F8332" s="27"/>
      <c r="G8332" s="27" t="s">
        <v>11122</v>
      </c>
      <c r="H8332" s="27" t="s">
        <v>35</v>
      </c>
      <c r="I8332" s="27" t="s">
        <v>37</v>
      </c>
      <c r="J8332" s="28" t="s">
        <v>856</v>
      </c>
      <c r="K8332" s="27" t="s">
        <v>38</v>
      </c>
      <c r="L8332" s="27"/>
    </row>
    <row r="8333" customFormat="false" ht="15" hidden="false" customHeight="false" outlineLevel="0" collapsed="false">
      <c r="A8333" s="26" t="s">
        <v>21581</v>
      </c>
      <c r="B8333" s="27" t="s">
        <v>21582</v>
      </c>
      <c r="C8333" s="27" t="s">
        <v>144</v>
      </c>
      <c r="D8333" s="26"/>
      <c r="E8333" s="27"/>
      <c r="F8333" s="27"/>
      <c r="G8333" s="27" t="s">
        <v>11122</v>
      </c>
      <c r="H8333" s="27" t="s">
        <v>35</v>
      </c>
      <c r="I8333" s="27" t="s">
        <v>38</v>
      </c>
      <c r="J8333" s="28" t="s">
        <v>856</v>
      </c>
      <c r="K8333" s="27" t="s">
        <v>38</v>
      </c>
      <c r="L8333" s="27"/>
    </row>
    <row r="8334" customFormat="false" ht="15" hidden="false" customHeight="false" outlineLevel="0" collapsed="false">
      <c r="A8334" s="26" t="s">
        <v>21583</v>
      </c>
      <c r="B8334" s="27" t="s">
        <v>21584</v>
      </c>
      <c r="C8334" s="27" t="s">
        <v>144</v>
      </c>
      <c r="D8334" s="26"/>
      <c r="E8334" s="27"/>
      <c r="F8334" s="27"/>
      <c r="G8334" s="27" t="s">
        <v>11122</v>
      </c>
      <c r="H8334" s="27" t="s">
        <v>35</v>
      </c>
      <c r="I8334" s="27" t="s">
        <v>38</v>
      </c>
      <c r="J8334" s="28" t="s">
        <v>856</v>
      </c>
      <c r="K8334" s="27" t="s">
        <v>38</v>
      </c>
      <c r="L8334" s="27"/>
    </row>
    <row r="8335" customFormat="false" ht="15" hidden="false" customHeight="false" outlineLevel="0" collapsed="false">
      <c r="A8335" s="26" t="s">
        <v>21585</v>
      </c>
      <c r="B8335" s="27" t="s">
        <v>21586</v>
      </c>
      <c r="C8335" s="27" t="s">
        <v>144</v>
      </c>
      <c r="D8335" s="26"/>
      <c r="E8335" s="27"/>
      <c r="F8335" s="27"/>
      <c r="G8335" s="27" t="s">
        <v>11122</v>
      </c>
      <c r="H8335" s="27" t="s">
        <v>35</v>
      </c>
      <c r="I8335" s="27" t="s">
        <v>38</v>
      </c>
      <c r="J8335" s="28" t="s">
        <v>856</v>
      </c>
      <c r="K8335" s="27" t="s">
        <v>38</v>
      </c>
      <c r="L8335" s="27"/>
    </row>
    <row r="8336" customFormat="false" ht="15" hidden="false" customHeight="false" outlineLevel="0" collapsed="false">
      <c r="A8336" s="26" t="s">
        <v>21587</v>
      </c>
      <c r="B8336" s="27" t="s">
        <v>21588</v>
      </c>
      <c r="C8336" s="27" t="s">
        <v>144</v>
      </c>
      <c r="D8336" s="26"/>
      <c r="E8336" s="27"/>
      <c r="F8336" s="27"/>
      <c r="G8336" s="27" t="s">
        <v>11122</v>
      </c>
      <c r="H8336" s="27" t="s">
        <v>35</v>
      </c>
      <c r="I8336" s="27" t="s">
        <v>38</v>
      </c>
      <c r="J8336" s="28" t="s">
        <v>856</v>
      </c>
      <c r="K8336" s="27" t="s">
        <v>38</v>
      </c>
      <c r="L8336" s="27"/>
    </row>
    <row r="8337" customFormat="false" ht="15" hidden="false" customHeight="false" outlineLevel="0" collapsed="false">
      <c r="A8337" s="26" t="s">
        <v>21589</v>
      </c>
      <c r="B8337" s="27" t="s">
        <v>21590</v>
      </c>
      <c r="C8337" s="27" t="s">
        <v>144</v>
      </c>
      <c r="D8337" s="26"/>
      <c r="E8337" s="27"/>
      <c r="F8337" s="27"/>
      <c r="G8337" s="27" t="s">
        <v>11122</v>
      </c>
      <c r="H8337" s="27" t="s">
        <v>35</v>
      </c>
      <c r="I8337" s="27" t="s">
        <v>38</v>
      </c>
      <c r="J8337" s="28" t="s">
        <v>856</v>
      </c>
      <c r="K8337" s="27" t="s">
        <v>38</v>
      </c>
      <c r="L8337" s="27"/>
    </row>
    <row r="8338" customFormat="false" ht="15" hidden="false" customHeight="false" outlineLevel="0" collapsed="false">
      <c r="A8338" s="26" t="s">
        <v>21591</v>
      </c>
      <c r="B8338" s="27" t="s">
        <v>21592</v>
      </c>
      <c r="C8338" s="27" t="s">
        <v>144</v>
      </c>
      <c r="D8338" s="26"/>
      <c r="E8338" s="27"/>
      <c r="F8338" s="27"/>
      <c r="G8338" s="27" t="s">
        <v>11122</v>
      </c>
      <c r="H8338" s="27" t="s">
        <v>35</v>
      </c>
      <c r="I8338" s="27" t="s">
        <v>39</v>
      </c>
      <c r="J8338" s="28" t="s">
        <v>856</v>
      </c>
      <c r="K8338" s="27" t="s">
        <v>38</v>
      </c>
      <c r="L8338" s="27"/>
    </row>
    <row r="8339" customFormat="false" ht="15" hidden="false" customHeight="false" outlineLevel="0" collapsed="false">
      <c r="A8339" s="26" t="s">
        <v>21593</v>
      </c>
      <c r="B8339" s="27" t="s">
        <v>21594</v>
      </c>
      <c r="C8339" s="27" t="s">
        <v>144</v>
      </c>
      <c r="D8339" s="26"/>
      <c r="E8339" s="27"/>
      <c r="F8339" s="27"/>
      <c r="G8339" s="27" t="s">
        <v>11122</v>
      </c>
      <c r="H8339" s="27" t="s">
        <v>35</v>
      </c>
      <c r="I8339" s="27" t="s">
        <v>38</v>
      </c>
      <c r="J8339" s="28" t="s">
        <v>856</v>
      </c>
      <c r="K8339" s="27" t="s">
        <v>38</v>
      </c>
      <c r="L8339" s="27"/>
    </row>
    <row r="8340" customFormat="false" ht="15" hidden="false" customHeight="false" outlineLevel="0" collapsed="false">
      <c r="A8340" s="26" t="s">
        <v>21595</v>
      </c>
      <c r="B8340" s="27" t="s">
        <v>21596</v>
      </c>
      <c r="C8340" s="27" t="s">
        <v>144</v>
      </c>
      <c r="D8340" s="26"/>
      <c r="E8340" s="27"/>
      <c r="F8340" s="27"/>
      <c r="G8340" s="27" t="s">
        <v>11122</v>
      </c>
      <c r="H8340" s="27" t="s">
        <v>35</v>
      </c>
      <c r="I8340" s="27" t="s">
        <v>887</v>
      </c>
      <c r="J8340" s="28" t="s">
        <v>856</v>
      </c>
      <c r="K8340" s="27" t="s">
        <v>38</v>
      </c>
      <c r="L8340" s="27"/>
    </row>
    <row r="8341" customFormat="false" ht="15" hidden="false" customHeight="false" outlineLevel="0" collapsed="false">
      <c r="A8341" s="26" t="s">
        <v>21597</v>
      </c>
      <c r="B8341" s="27" t="s">
        <v>21598</v>
      </c>
      <c r="C8341" s="27" t="s">
        <v>144</v>
      </c>
      <c r="D8341" s="26"/>
      <c r="E8341" s="27"/>
      <c r="F8341" s="27"/>
      <c r="G8341" s="27" t="s">
        <v>11122</v>
      </c>
      <c r="H8341" s="27" t="s">
        <v>35</v>
      </c>
      <c r="I8341" s="27" t="s">
        <v>38</v>
      </c>
      <c r="J8341" s="28" t="s">
        <v>856</v>
      </c>
      <c r="K8341" s="27" t="s">
        <v>38</v>
      </c>
      <c r="L8341" s="27"/>
    </row>
    <row r="8342" customFormat="false" ht="15" hidden="false" customHeight="false" outlineLevel="0" collapsed="false">
      <c r="A8342" s="26" t="s">
        <v>21599</v>
      </c>
      <c r="B8342" s="27" t="s">
        <v>21600</v>
      </c>
      <c r="C8342" s="27" t="s">
        <v>144</v>
      </c>
      <c r="D8342" s="26"/>
      <c r="E8342" s="27"/>
      <c r="F8342" s="27"/>
      <c r="G8342" s="27" t="s">
        <v>11122</v>
      </c>
      <c r="H8342" s="27" t="s">
        <v>35</v>
      </c>
      <c r="I8342" s="27" t="s">
        <v>38</v>
      </c>
      <c r="J8342" s="28" t="s">
        <v>856</v>
      </c>
      <c r="K8342" s="27" t="s">
        <v>38</v>
      </c>
      <c r="L8342" s="27"/>
    </row>
    <row r="8343" customFormat="false" ht="15" hidden="false" customHeight="false" outlineLevel="0" collapsed="false">
      <c r="A8343" s="26" t="s">
        <v>21601</v>
      </c>
      <c r="B8343" s="27" t="s">
        <v>21602</v>
      </c>
      <c r="C8343" s="27" t="s">
        <v>144</v>
      </c>
      <c r="D8343" s="26"/>
      <c r="E8343" s="27"/>
      <c r="F8343" s="27"/>
      <c r="G8343" s="27" t="s">
        <v>11122</v>
      </c>
      <c r="H8343" s="27" t="s">
        <v>35</v>
      </c>
      <c r="I8343" s="27" t="s">
        <v>38</v>
      </c>
      <c r="J8343" s="28" t="s">
        <v>856</v>
      </c>
      <c r="K8343" s="27" t="s">
        <v>38</v>
      </c>
      <c r="L8343" s="27"/>
    </row>
    <row r="8344" customFormat="false" ht="15" hidden="false" customHeight="false" outlineLevel="0" collapsed="false">
      <c r="A8344" s="26" t="s">
        <v>21603</v>
      </c>
      <c r="B8344" s="27" t="s">
        <v>21604</v>
      </c>
      <c r="C8344" s="27" t="s">
        <v>144</v>
      </c>
      <c r="D8344" s="26"/>
      <c r="E8344" s="27"/>
      <c r="F8344" s="27"/>
      <c r="G8344" s="27" t="s">
        <v>11122</v>
      </c>
      <c r="H8344" s="27" t="s">
        <v>35</v>
      </c>
      <c r="I8344" s="27" t="s">
        <v>38</v>
      </c>
      <c r="J8344" s="28" t="s">
        <v>856</v>
      </c>
      <c r="K8344" s="27" t="s">
        <v>38</v>
      </c>
      <c r="L8344" s="27"/>
    </row>
    <row r="8345" customFormat="false" ht="15" hidden="false" customHeight="false" outlineLevel="0" collapsed="false">
      <c r="A8345" s="26" t="s">
        <v>21605</v>
      </c>
      <c r="B8345" s="27" t="s">
        <v>21606</v>
      </c>
      <c r="C8345" s="27" t="s">
        <v>144</v>
      </c>
      <c r="D8345" s="26"/>
      <c r="E8345" s="27"/>
      <c r="F8345" s="27"/>
      <c r="G8345" s="27" t="s">
        <v>11122</v>
      </c>
      <c r="H8345" s="27" t="s">
        <v>35</v>
      </c>
      <c r="I8345" s="27" t="s">
        <v>38</v>
      </c>
      <c r="J8345" s="28" t="s">
        <v>856</v>
      </c>
      <c r="K8345" s="27" t="s">
        <v>38</v>
      </c>
      <c r="L8345" s="27"/>
    </row>
    <row r="8346" customFormat="false" ht="15" hidden="false" customHeight="false" outlineLevel="0" collapsed="false">
      <c r="A8346" s="26" t="s">
        <v>21607</v>
      </c>
      <c r="B8346" s="27" t="s">
        <v>21608</v>
      </c>
      <c r="C8346" s="27" t="s">
        <v>144</v>
      </c>
      <c r="D8346" s="26"/>
      <c r="E8346" s="27"/>
      <c r="F8346" s="27"/>
      <c r="G8346" s="27" t="s">
        <v>11122</v>
      </c>
      <c r="H8346" s="27" t="s">
        <v>35</v>
      </c>
      <c r="I8346" s="27" t="s">
        <v>43</v>
      </c>
      <c r="J8346" s="28" t="s">
        <v>856</v>
      </c>
      <c r="K8346" s="27" t="s">
        <v>38</v>
      </c>
      <c r="L8346" s="27"/>
    </row>
    <row r="8347" customFormat="false" ht="15" hidden="false" customHeight="false" outlineLevel="0" collapsed="false">
      <c r="A8347" s="26" t="s">
        <v>21609</v>
      </c>
      <c r="B8347" s="27" t="s">
        <v>21610</v>
      </c>
      <c r="C8347" s="27" t="s">
        <v>144</v>
      </c>
      <c r="D8347" s="26"/>
      <c r="E8347" s="27"/>
      <c r="F8347" s="27"/>
      <c r="G8347" s="27" t="s">
        <v>11122</v>
      </c>
      <c r="H8347" s="27" t="s">
        <v>35</v>
      </c>
      <c r="I8347" s="27" t="s">
        <v>38</v>
      </c>
      <c r="J8347" s="28" t="s">
        <v>856</v>
      </c>
      <c r="K8347" s="27" t="s">
        <v>38</v>
      </c>
      <c r="L8347" s="27"/>
    </row>
    <row r="8348" customFormat="false" ht="15" hidden="false" customHeight="false" outlineLevel="0" collapsed="false">
      <c r="A8348" s="26" t="s">
        <v>21611</v>
      </c>
      <c r="B8348" s="27" t="s">
        <v>21612</v>
      </c>
      <c r="C8348" s="27" t="s">
        <v>144</v>
      </c>
      <c r="D8348" s="26"/>
      <c r="E8348" s="27"/>
      <c r="F8348" s="27"/>
      <c r="G8348" s="27" t="s">
        <v>11122</v>
      </c>
      <c r="H8348" s="27" t="s">
        <v>35</v>
      </c>
      <c r="I8348" s="27" t="s">
        <v>38</v>
      </c>
      <c r="J8348" s="28" t="s">
        <v>856</v>
      </c>
      <c r="K8348" s="27" t="s">
        <v>38</v>
      </c>
      <c r="L8348" s="27"/>
    </row>
    <row r="8349" customFormat="false" ht="15" hidden="false" customHeight="false" outlineLevel="0" collapsed="false">
      <c r="A8349" s="26" t="s">
        <v>21613</v>
      </c>
      <c r="B8349" s="27" t="s">
        <v>21614</v>
      </c>
      <c r="C8349" s="27" t="s">
        <v>144</v>
      </c>
      <c r="D8349" s="26"/>
      <c r="E8349" s="27"/>
      <c r="F8349" s="27"/>
      <c r="G8349" s="27" t="s">
        <v>11122</v>
      </c>
      <c r="H8349" s="27" t="s">
        <v>35</v>
      </c>
      <c r="I8349" s="27" t="s">
        <v>1296</v>
      </c>
      <c r="J8349" s="28" t="s">
        <v>856</v>
      </c>
      <c r="K8349" s="27" t="s">
        <v>38</v>
      </c>
      <c r="L8349" s="27"/>
    </row>
    <row r="8350" customFormat="false" ht="15" hidden="false" customHeight="false" outlineLevel="0" collapsed="false">
      <c r="A8350" s="26" t="s">
        <v>21615</v>
      </c>
      <c r="B8350" s="27" t="s">
        <v>21616</v>
      </c>
      <c r="C8350" s="27" t="s">
        <v>144</v>
      </c>
      <c r="D8350" s="26"/>
      <c r="E8350" s="27"/>
      <c r="F8350" s="27"/>
      <c r="G8350" s="27" t="s">
        <v>11122</v>
      </c>
      <c r="H8350" s="27" t="s">
        <v>35</v>
      </c>
      <c r="I8350" s="27" t="s">
        <v>38</v>
      </c>
      <c r="J8350" s="28" t="s">
        <v>856</v>
      </c>
      <c r="K8350" s="27" t="s">
        <v>38</v>
      </c>
      <c r="L8350" s="27"/>
    </row>
    <row r="8351" customFormat="false" ht="15" hidden="false" customHeight="false" outlineLevel="0" collapsed="false">
      <c r="A8351" s="26" t="s">
        <v>21617</v>
      </c>
      <c r="B8351" s="27" t="s">
        <v>21618</v>
      </c>
      <c r="C8351" s="27" t="s">
        <v>144</v>
      </c>
      <c r="D8351" s="26"/>
      <c r="E8351" s="27"/>
      <c r="F8351" s="27"/>
      <c r="G8351" s="27" t="s">
        <v>11122</v>
      </c>
      <c r="H8351" s="27" t="s">
        <v>35</v>
      </c>
      <c r="I8351" s="28" t="s">
        <v>46</v>
      </c>
      <c r="J8351" s="28" t="s">
        <v>856</v>
      </c>
      <c r="K8351" s="27" t="s">
        <v>38</v>
      </c>
      <c r="L8351" s="27"/>
    </row>
    <row r="8352" customFormat="false" ht="15" hidden="false" customHeight="false" outlineLevel="0" collapsed="false">
      <c r="A8352" s="26" t="s">
        <v>21619</v>
      </c>
      <c r="B8352" s="27" t="s">
        <v>21620</v>
      </c>
      <c r="C8352" s="27" t="s">
        <v>144</v>
      </c>
      <c r="D8352" s="26"/>
      <c r="E8352" s="27"/>
      <c r="F8352" s="27"/>
      <c r="G8352" s="27" t="s">
        <v>11122</v>
      </c>
      <c r="H8352" s="27" t="s">
        <v>35</v>
      </c>
      <c r="I8352" s="27" t="s">
        <v>887</v>
      </c>
      <c r="J8352" s="28" t="s">
        <v>856</v>
      </c>
      <c r="K8352" s="27" t="s">
        <v>38</v>
      </c>
      <c r="L8352" s="27"/>
    </row>
    <row r="8353" customFormat="false" ht="15" hidden="false" customHeight="false" outlineLevel="0" collapsed="false">
      <c r="A8353" s="26" t="s">
        <v>21621</v>
      </c>
      <c r="B8353" s="27" t="s">
        <v>21622</v>
      </c>
      <c r="C8353" s="27" t="s">
        <v>144</v>
      </c>
      <c r="D8353" s="26"/>
      <c r="E8353" s="27"/>
      <c r="F8353" s="27"/>
      <c r="G8353" s="27" t="s">
        <v>11122</v>
      </c>
      <c r="H8353" s="27" t="s">
        <v>35</v>
      </c>
      <c r="I8353" s="27" t="s">
        <v>37</v>
      </c>
      <c r="J8353" s="28" t="s">
        <v>856</v>
      </c>
      <c r="K8353" s="27" t="s">
        <v>38</v>
      </c>
      <c r="L8353" s="27"/>
    </row>
    <row r="8354" customFormat="false" ht="15" hidden="false" customHeight="false" outlineLevel="0" collapsed="false">
      <c r="A8354" s="26" t="s">
        <v>21623</v>
      </c>
      <c r="B8354" s="27" t="s">
        <v>21624</v>
      </c>
      <c r="C8354" s="27" t="s">
        <v>144</v>
      </c>
      <c r="D8354" s="26"/>
      <c r="E8354" s="27"/>
      <c r="F8354" s="27"/>
      <c r="G8354" s="27" t="s">
        <v>11122</v>
      </c>
      <c r="H8354" s="27" t="s">
        <v>35</v>
      </c>
      <c r="I8354" s="27" t="s">
        <v>38</v>
      </c>
      <c r="J8354" s="28" t="s">
        <v>856</v>
      </c>
      <c r="K8354" s="27" t="s">
        <v>38</v>
      </c>
      <c r="L8354" s="27"/>
    </row>
    <row r="8355" customFormat="false" ht="15" hidden="false" customHeight="false" outlineLevel="0" collapsed="false">
      <c r="A8355" s="26" t="s">
        <v>21625</v>
      </c>
      <c r="B8355" s="27" t="s">
        <v>21626</v>
      </c>
      <c r="C8355" s="27" t="s">
        <v>144</v>
      </c>
      <c r="D8355" s="26"/>
      <c r="E8355" s="27"/>
      <c r="F8355" s="27"/>
      <c r="G8355" s="27" t="s">
        <v>11122</v>
      </c>
      <c r="H8355" s="27" t="s">
        <v>35</v>
      </c>
      <c r="I8355" s="27" t="s">
        <v>38</v>
      </c>
      <c r="J8355" s="28" t="s">
        <v>856</v>
      </c>
      <c r="K8355" s="27" t="s">
        <v>38</v>
      </c>
      <c r="L8355" s="27"/>
    </row>
    <row r="8356" customFormat="false" ht="15" hidden="false" customHeight="false" outlineLevel="0" collapsed="false">
      <c r="A8356" s="26" t="s">
        <v>21627</v>
      </c>
      <c r="B8356" s="27" t="s">
        <v>21628</v>
      </c>
      <c r="C8356" s="27" t="s">
        <v>144</v>
      </c>
      <c r="D8356" s="26"/>
      <c r="E8356" s="27"/>
      <c r="F8356" s="27"/>
      <c r="G8356" s="27" t="s">
        <v>11122</v>
      </c>
      <c r="H8356" s="27" t="s">
        <v>35</v>
      </c>
      <c r="I8356" s="27" t="s">
        <v>887</v>
      </c>
      <c r="J8356" s="28" t="s">
        <v>856</v>
      </c>
      <c r="K8356" s="27" t="s">
        <v>38</v>
      </c>
      <c r="L8356" s="27"/>
    </row>
    <row r="8357" customFormat="false" ht="15" hidden="false" customHeight="false" outlineLevel="0" collapsed="false">
      <c r="A8357" s="26" t="s">
        <v>21629</v>
      </c>
      <c r="B8357" s="27" t="s">
        <v>21630</v>
      </c>
      <c r="C8357" s="27" t="s">
        <v>144</v>
      </c>
      <c r="D8357" s="26"/>
      <c r="E8357" s="27"/>
      <c r="F8357" s="27"/>
      <c r="G8357" s="27" t="s">
        <v>11122</v>
      </c>
      <c r="H8357" s="27" t="s">
        <v>35</v>
      </c>
      <c r="I8357" s="27" t="s">
        <v>38</v>
      </c>
      <c r="J8357" s="28" t="s">
        <v>856</v>
      </c>
      <c r="K8357" s="27" t="s">
        <v>38</v>
      </c>
      <c r="L8357" s="27"/>
    </row>
    <row r="8358" customFormat="false" ht="15" hidden="false" customHeight="false" outlineLevel="0" collapsed="false">
      <c r="A8358" s="26" t="s">
        <v>21631</v>
      </c>
      <c r="B8358" s="27" t="s">
        <v>21632</v>
      </c>
      <c r="C8358" s="27" t="s">
        <v>144</v>
      </c>
      <c r="D8358" s="26"/>
      <c r="E8358" s="27"/>
      <c r="F8358" s="27"/>
      <c r="G8358" s="27" t="s">
        <v>11122</v>
      </c>
      <c r="H8358" s="27" t="s">
        <v>35</v>
      </c>
      <c r="I8358" s="27" t="s">
        <v>38</v>
      </c>
      <c r="J8358" s="28" t="s">
        <v>856</v>
      </c>
      <c r="K8358" s="27" t="s">
        <v>38</v>
      </c>
      <c r="L8358" s="27"/>
    </row>
    <row r="8359" customFormat="false" ht="15" hidden="false" customHeight="false" outlineLevel="0" collapsed="false">
      <c r="A8359" s="26" t="s">
        <v>21633</v>
      </c>
      <c r="B8359" s="27" t="s">
        <v>21634</v>
      </c>
      <c r="C8359" s="27" t="s">
        <v>144</v>
      </c>
      <c r="D8359" s="26"/>
      <c r="E8359" s="27"/>
      <c r="F8359" s="27"/>
      <c r="G8359" s="27" t="s">
        <v>11122</v>
      </c>
      <c r="H8359" s="27" t="s">
        <v>35</v>
      </c>
      <c r="I8359" s="27" t="s">
        <v>38</v>
      </c>
      <c r="J8359" s="28" t="s">
        <v>856</v>
      </c>
      <c r="K8359" s="27" t="s">
        <v>38</v>
      </c>
      <c r="L8359" s="27"/>
    </row>
    <row r="8360" customFormat="false" ht="15" hidden="false" customHeight="false" outlineLevel="0" collapsed="false">
      <c r="A8360" s="26" t="s">
        <v>21635</v>
      </c>
      <c r="B8360" s="27" t="s">
        <v>21636</v>
      </c>
      <c r="C8360" s="27" t="s">
        <v>144</v>
      </c>
      <c r="D8360" s="26"/>
      <c r="E8360" s="27"/>
      <c r="F8360" s="27"/>
      <c r="G8360" s="27" t="s">
        <v>11122</v>
      </c>
      <c r="H8360" s="27" t="s">
        <v>35</v>
      </c>
      <c r="I8360" s="27" t="s">
        <v>38</v>
      </c>
      <c r="J8360" s="28" t="s">
        <v>856</v>
      </c>
      <c r="K8360" s="27" t="s">
        <v>38</v>
      </c>
      <c r="L8360" s="27"/>
    </row>
    <row r="8361" customFormat="false" ht="15" hidden="false" customHeight="false" outlineLevel="0" collapsed="false">
      <c r="A8361" s="26" t="s">
        <v>21637</v>
      </c>
      <c r="B8361" s="27" t="s">
        <v>21638</v>
      </c>
      <c r="C8361" s="27" t="s">
        <v>144</v>
      </c>
      <c r="D8361" s="26"/>
      <c r="E8361" s="27"/>
      <c r="F8361" s="27"/>
      <c r="G8361" s="27" t="s">
        <v>11122</v>
      </c>
      <c r="H8361" s="27" t="s">
        <v>35</v>
      </c>
      <c r="I8361" s="27" t="s">
        <v>40</v>
      </c>
      <c r="J8361" s="28" t="s">
        <v>856</v>
      </c>
      <c r="K8361" s="27" t="s">
        <v>38</v>
      </c>
      <c r="L8361" s="27"/>
    </row>
    <row r="8362" customFormat="false" ht="15" hidden="false" customHeight="false" outlineLevel="0" collapsed="false">
      <c r="A8362" s="26" t="s">
        <v>21639</v>
      </c>
      <c r="B8362" s="27" t="s">
        <v>21640</v>
      </c>
      <c r="C8362" s="27" t="s">
        <v>144</v>
      </c>
      <c r="D8362" s="26"/>
      <c r="E8362" s="27"/>
      <c r="F8362" s="27"/>
      <c r="G8362" s="27" t="s">
        <v>11122</v>
      </c>
      <c r="H8362" s="27" t="s">
        <v>35</v>
      </c>
      <c r="I8362" s="27" t="s">
        <v>39</v>
      </c>
      <c r="J8362" s="28" t="s">
        <v>856</v>
      </c>
      <c r="K8362" s="27" t="s">
        <v>38</v>
      </c>
      <c r="L8362" s="27"/>
    </row>
    <row r="8363" customFormat="false" ht="15" hidden="false" customHeight="false" outlineLevel="0" collapsed="false">
      <c r="A8363" s="26" t="s">
        <v>21641</v>
      </c>
      <c r="B8363" s="27" t="s">
        <v>21642</v>
      </c>
      <c r="C8363" s="27" t="s">
        <v>144</v>
      </c>
      <c r="D8363" s="26"/>
      <c r="E8363" s="27"/>
      <c r="F8363" s="27"/>
      <c r="G8363" s="27" t="s">
        <v>11122</v>
      </c>
      <c r="H8363" s="27" t="s">
        <v>35</v>
      </c>
      <c r="I8363" s="27" t="s">
        <v>38</v>
      </c>
      <c r="J8363" s="28" t="s">
        <v>856</v>
      </c>
      <c r="K8363" s="27" t="s">
        <v>38</v>
      </c>
      <c r="L8363" s="27"/>
    </row>
    <row r="8364" customFormat="false" ht="15" hidden="false" customHeight="false" outlineLevel="0" collapsed="false">
      <c r="A8364" s="26" t="s">
        <v>21643</v>
      </c>
      <c r="B8364" s="27" t="s">
        <v>21644</v>
      </c>
      <c r="C8364" s="27" t="s">
        <v>144</v>
      </c>
      <c r="D8364" s="26"/>
      <c r="E8364" s="27"/>
      <c r="F8364" s="27"/>
      <c r="G8364" s="27" t="s">
        <v>11122</v>
      </c>
      <c r="H8364" s="27" t="s">
        <v>35</v>
      </c>
      <c r="I8364" s="27" t="s">
        <v>38</v>
      </c>
      <c r="J8364" s="28" t="s">
        <v>856</v>
      </c>
      <c r="K8364" s="27" t="s">
        <v>38</v>
      </c>
      <c r="L8364" s="27"/>
    </row>
    <row r="8365" customFormat="false" ht="15" hidden="false" customHeight="false" outlineLevel="0" collapsed="false">
      <c r="A8365" s="26" t="s">
        <v>21645</v>
      </c>
      <c r="B8365" s="27" t="s">
        <v>21646</v>
      </c>
      <c r="C8365" s="27" t="s">
        <v>144</v>
      </c>
      <c r="D8365" s="26"/>
      <c r="E8365" s="27"/>
      <c r="F8365" s="27"/>
      <c r="G8365" s="27" t="s">
        <v>11122</v>
      </c>
      <c r="H8365" s="27" t="s">
        <v>35</v>
      </c>
      <c r="I8365" s="27" t="s">
        <v>37</v>
      </c>
      <c r="J8365" s="28" t="s">
        <v>856</v>
      </c>
      <c r="K8365" s="27" t="s">
        <v>38</v>
      </c>
      <c r="L8365" s="27"/>
    </row>
    <row r="8366" customFormat="false" ht="15" hidden="false" customHeight="false" outlineLevel="0" collapsed="false">
      <c r="A8366" s="26" t="s">
        <v>21647</v>
      </c>
      <c r="B8366" s="27" t="s">
        <v>21648</v>
      </c>
      <c r="C8366" s="27" t="s">
        <v>144</v>
      </c>
      <c r="D8366" s="26"/>
      <c r="E8366" s="27"/>
      <c r="F8366" s="27"/>
      <c r="G8366" s="27" t="s">
        <v>11122</v>
      </c>
      <c r="H8366" s="27" t="s">
        <v>35</v>
      </c>
      <c r="I8366" s="27" t="s">
        <v>38</v>
      </c>
      <c r="J8366" s="28" t="s">
        <v>856</v>
      </c>
      <c r="K8366" s="27" t="s">
        <v>38</v>
      </c>
      <c r="L8366" s="27"/>
    </row>
    <row r="8367" customFormat="false" ht="15" hidden="false" customHeight="false" outlineLevel="0" collapsed="false">
      <c r="A8367" s="26" t="s">
        <v>21649</v>
      </c>
      <c r="B8367" s="27" t="s">
        <v>21650</v>
      </c>
      <c r="C8367" s="27" t="s">
        <v>144</v>
      </c>
      <c r="D8367" s="26"/>
      <c r="E8367" s="27"/>
      <c r="F8367" s="27"/>
      <c r="G8367" s="27" t="s">
        <v>11122</v>
      </c>
      <c r="H8367" s="27" t="s">
        <v>35</v>
      </c>
      <c r="I8367" s="27" t="s">
        <v>887</v>
      </c>
      <c r="J8367" s="28" t="s">
        <v>856</v>
      </c>
      <c r="K8367" s="27" t="s">
        <v>38</v>
      </c>
      <c r="L8367" s="27"/>
    </row>
    <row r="8368" customFormat="false" ht="15" hidden="false" customHeight="false" outlineLevel="0" collapsed="false">
      <c r="A8368" s="26" t="s">
        <v>21651</v>
      </c>
      <c r="B8368" s="27" t="s">
        <v>21652</v>
      </c>
      <c r="C8368" s="27" t="s">
        <v>144</v>
      </c>
      <c r="D8368" s="26"/>
      <c r="E8368" s="27"/>
      <c r="F8368" s="27"/>
      <c r="G8368" s="27" t="s">
        <v>11122</v>
      </c>
      <c r="H8368" s="27" t="s">
        <v>35</v>
      </c>
      <c r="I8368" s="27" t="s">
        <v>38</v>
      </c>
      <c r="J8368" s="28" t="s">
        <v>856</v>
      </c>
      <c r="K8368" s="27" t="s">
        <v>38</v>
      </c>
      <c r="L8368" s="27"/>
    </row>
    <row r="8369" customFormat="false" ht="15" hidden="false" customHeight="false" outlineLevel="0" collapsed="false">
      <c r="A8369" s="26" t="s">
        <v>21653</v>
      </c>
      <c r="B8369" s="27" t="s">
        <v>21654</v>
      </c>
      <c r="C8369" s="27" t="s">
        <v>144</v>
      </c>
      <c r="D8369" s="26"/>
      <c r="E8369" s="27"/>
      <c r="F8369" s="27"/>
      <c r="G8369" s="27" t="s">
        <v>11122</v>
      </c>
      <c r="H8369" s="27" t="s">
        <v>35</v>
      </c>
      <c r="I8369" s="27" t="s">
        <v>47</v>
      </c>
      <c r="J8369" s="28" t="s">
        <v>856</v>
      </c>
      <c r="K8369" s="27" t="s">
        <v>38</v>
      </c>
      <c r="L8369" s="27"/>
    </row>
    <row r="8370" customFormat="false" ht="15" hidden="false" customHeight="false" outlineLevel="0" collapsed="false">
      <c r="A8370" s="26" t="s">
        <v>21655</v>
      </c>
      <c r="B8370" s="27" t="s">
        <v>21656</v>
      </c>
      <c r="C8370" s="27" t="s">
        <v>144</v>
      </c>
      <c r="D8370" s="26"/>
      <c r="E8370" s="27"/>
      <c r="F8370" s="27"/>
      <c r="G8370" s="27" t="s">
        <v>11122</v>
      </c>
      <c r="H8370" s="27" t="s">
        <v>35</v>
      </c>
      <c r="I8370" s="27" t="s">
        <v>37</v>
      </c>
      <c r="J8370" s="28" t="s">
        <v>856</v>
      </c>
      <c r="K8370" s="27" t="s">
        <v>38</v>
      </c>
      <c r="L8370" s="27"/>
    </row>
    <row r="8371" customFormat="false" ht="15" hidden="false" customHeight="false" outlineLevel="0" collapsed="false">
      <c r="A8371" s="26" t="s">
        <v>21657</v>
      </c>
      <c r="B8371" s="27" t="s">
        <v>21658</v>
      </c>
      <c r="C8371" s="27" t="s">
        <v>144</v>
      </c>
      <c r="D8371" s="26"/>
      <c r="E8371" s="27"/>
      <c r="F8371" s="27"/>
      <c r="G8371" s="27" t="s">
        <v>11122</v>
      </c>
      <c r="H8371" s="27" t="s">
        <v>35</v>
      </c>
      <c r="I8371" s="27" t="s">
        <v>887</v>
      </c>
      <c r="J8371" s="28" t="s">
        <v>856</v>
      </c>
      <c r="K8371" s="27" t="s">
        <v>38</v>
      </c>
      <c r="L8371" s="27"/>
    </row>
    <row r="8372" customFormat="false" ht="15" hidden="false" customHeight="false" outlineLevel="0" collapsed="false">
      <c r="A8372" s="26" t="s">
        <v>21659</v>
      </c>
      <c r="B8372" s="27" t="s">
        <v>21660</v>
      </c>
      <c r="C8372" s="27" t="s">
        <v>144</v>
      </c>
      <c r="D8372" s="26"/>
      <c r="E8372" s="27"/>
      <c r="F8372" s="27"/>
      <c r="G8372" s="27" t="s">
        <v>11122</v>
      </c>
      <c r="H8372" s="27" t="s">
        <v>35</v>
      </c>
      <c r="I8372" s="27" t="s">
        <v>38</v>
      </c>
      <c r="J8372" s="28" t="s">
        <v>856</v>
      </c>
      <c r="K8372" s="27" t="s">
        <v>38</v>
      </c>
      <c r="L8372" s="27"/>
    </row>
    <row r="8373" customFormat="false" ht="15" hidden="false" customHeight="false" outlineLevel="0" collapsed="false">
      <c r="A8373" s="26" t="s">
        <v>21661</v>
      </c>
      <c r="B8373" s="27" t="s">
        <v>21662</v>
      </c>
      <c r="C8373" s="27" t="s">
        <v>144</v>
      </c>
      <c r="D8373" s="26"/>
      <c r="E8373" s="27"/>
      <c r="F8373" s="27"/>
      <c r="G8373" s="27" t="s">
        <v>11122</v>
      </c>
      <c r="H8373" s="27" t="s">
        <v>35</v>
      </c>
      <c r="I8373" s="27" t="s">
        <v>1296</v>
      </c>
      <c r="J8373" s="28" t="s">
        <v>856</v>
      </c>
      <c r="K8373" s="27" t="s">
        <v>38</v>
      </c>
      <c r="L8373" s="27"/>
    </row>
    <row r="8374" customFormat="false" ht="15" hidden="false" customHeight="false" outlineLevel="0" collapsed="false">
      <c r="A8374" s="26" t="s">
        <v>21663</v>
      </c>
      <c r="B8374" s="27" t="s">
        <v>21664</v>
      </c>
      <c r="C8374" s="27" t="s">
        <v>144</v>
      </c>
      <c r="D8374" s="26"/>
      <c r="E8374" s="27"/>
      <c r="F8374" s="27"/>
      <c r="G8374" s="27" t="s">
        <v>11122</v>
      </c>
      <c r="H8374" s="27" t="s">
        <v>35</v>
      </c>
      <c r="I8374" s="27" t="s">
        <v>38</v>
      </c>
      <c r="J8374" s="28" t="s">
        <v>856</v>
      </c>
      <c r="K8374" s="27" t="s">
        <v>38</v>
      </c>
      <c r="L8374" s="27"/>
    </row>
    <row r="8375" customFormat="false" ht="15" hidden="false" customHeight="false" outlineLevel="0" collapsed="false">
      <c r="A8375" s="26" t="s">
        <v>21665</v>
      </c>
      <c r="B8375" s="27" t="s">
        <v>21666</v>
      </c>
      <c r="C8375" s="27" t="s">
        <v>144</v>
      </c>
      <c r="D8375" s="26"/>
      <c r="E8375" s="27"/>
      <c r="F8375" s="27"/>
      <c r="G8375" s="27" t="s">
        <v>11122</v>
      </c>
      <c r="H8375" s="27" t="s">
        <v>35</v>
      </c>
      <c r="I8375" s="27" t="s">
        <v>887</v>
      </c>
      <c r="J8375" s="28" t="s">
        <v>856</v>
      </c>
      <c r="K8375" s="27" t="s">
        <v>38</v>
      </c>
      <c r="L8375" s="27"/>
    </row>
    <row r="8376" customFormat="false" ht="15" hidden="false" customHeight="false" outlineLevel="0" collapsed="false">
      <c r="A8376" s="26" t="s">
        <v>21667</v>
      </c>
      <c r="B8376" s="27" t="s">
        <v>21668</v>
      </c>
      <c r="C8376" s="27" t="s">
        <v>144</v>
      </c>
      <c r="D8376" s="26"/>
      <c r="E8376" s="27"/>
      <c r="F8376" s="27"/>
      <c r="G8376" s="27" t="s">
        <v>11122</v>
      </c>
      <c r="H8376" s="27" t="s">
        <v>35</v>
      </c>
      <c r="I8376" s="27" t="s">
        <v>41</v>
      </c>
      <c r="J8376" s="28" t="s">
        <v>856</v>
      </c>
      <c r="K8376" s="27" t="s">
        <v>38</v>
      </c>
      <c r="L8376" s="27"/>
    </row>
    <row r="8377" customFormat="false" ht="15" hidden="false" customHeight="false" outlineLevel="0" collapsed="false">
      <c r="A8377" s="26" t="s">
        <v>21669</v>
      </c>
      <c r="B8377" s="27" t="s">
        <v>21670</v>
      </c>
      <c r="C8377" s="27" t="s">
        <v>144</v>
      </c>
      <c r="D8377" s="26"/>
      <c r="E8377" s="27"/>
      <c r="F8377" s="27"/>
      <c r="G8377" s="27" t="s">
        <v>11122</v>
      </c>
      <c r="H8377" s="27" t="s">
        <v>35</v>
      </c>
      <c r="I8377" s="27" t="s">
        <v>42</v>
      </c>
      <c r="J8377" s="28" t="s">
        <v>856</v>
      </c>
      <c r="K8377" s="27" t="s">
        <v>38</v>
      </c>
      <c r="L8377" s="27"/>
    </row>
    <row r="8378" customFormat="false" ht="15" hidden="false" customHeight="false" outlineLevel="0" collapsed="false">
      <c r="A8378" s="26" t="s">
        <v>21671</v>
      </c>
      <c r="B8378" s="27" t="s">
        <v>21672</v>
      </c>
      <c r="C8378" s="27" t="s">
        <v>144</v>
      </c>
      <c r="D8378" s="26"/>
      <c r="E8378" s="27"/>
      <c r="F8378" s="27"/>
      <c r="G8378" s="27" t="s">
        <v>11122</v>
      </c>
      <c r="H8378" s="27" t="s">
        <v>35</v>
      </c>
      <c r="I8378" s="27" t="s">
        <v>38</v>
      </c>
      <c r="J8378" s="28" t="s">
        <v>856</v>
      </c>
      <c r="K8378" s="27" t="s">
        <v>38</v>
      </c>
      <c r="L8378" s="27"/>
    </row>
    <row r="8379" customFormat="false" ht="15" hidden="false" customHeight="false" outlineLevel="0" collapsed="false">
      <c r="A8379" s="26" t="s">
        <v>21673</v>
      </c>
      <c r="B8379" s="27" t="s">
        <v>21674</v>
      </c>
      <c r="C8379" s="27" t="s">
        <v>144</v>
      </c>
      <c r="D8379" s="26"/>
      <c r="E8379" s="27"/>
      <c r="F8379" s="27"/>
      <c r="G8379" s="27" t="s">
        <v>11122</v>
      </c>
      <c r="H8379" s="27" t="s">
        <v>35</v>
      </c>
      <c r="I8379" s="27" t="s">
        <v>887</v>
      </c>
      <c r="J8379" s="28" t="s">
        <v>856</v>
      </c>
      <c r="K8379" s="27" t="s">
        <v>38</v>
      </c>
      <c r="L8379" s="27"/>
    </row>
    <row r="8380" customFormat="false" ht="15" hidden="false" customHeight="false" outlineLevel="0" collapsed="false">
      <c r="A8380" s="26" t="s">
        <v>21675</v>
      </c>
      <c r="B8380" s="27" t="s">
        <v>21676</v>
      </c>
      <c r="C8380" s="27" t="s">
        <v>144</v>
      </c>
      <c r="D8380" s="26"/>
      <c r="E8380" s="27"/>
      <c r="F8380" s="27"/>
      <c r="G8380" s="27" t="s">
        <v>11122</v>
      </c>
      <c r="H8380" s="27" t="s">
        <v>35</v>
      </c>
      <c r="I8380" s="27" t="s">
        <v>38</v>
      </c>
      <c r="J8380" s="28" t="s">
        <v>856</v>
      </c>
      <c r="K8380" s="27" t="s">
        <v>38</v>
      </c>
      <c r="L8380" s="27"/>
    </row>
    <row r="8381" customFormat="false" ht="15" hidden="false" customHeight="false" outlineLevel="0" collapsed="false">
      <c r="A8381" s="26" t="s">
        <v>21677</v>
      </c>
      <c r="B8381" s="27" t="s">
        <v>21678</v>
      </c>
      <c r="C8381" s="27" t="s">
        <v>144</v>
      </c>
      <c r="D8381" s="26"/>
      <c r="E8381" s="27"/>
      <c r="F8381" s="27"/>
      <c r="G8381" s="27" t="s">
        <v>11122</v>
      </c>
      <c r="H8381" s="27" t="s">
        <v>35</v>
      </c>
      <c r="I8381" s="27" t="s">
        <v>38</v>
      </c>
      <c r="J8381" s="28" t="s">
        <v>856</v>
      </c>
      <c r="K8381" s="27" t="s">
        <v>38</v>
      </c>
      <c r="L8381" s="27"/>
    </row>
    <row r="8382" customFormat="false" ht="15" hidden="false" customHeight="false" outlineLevel="0" collapsed="false">
      <c r="A8382" s="26" t="s">
        <v>21679</v>
      </c>
      <c r="B8382" s="27" t="s">
        <v>21680</v>
      </c>
      <c r="C8382" s="27" t="s">
        <v>144</v>
      </c>
      <c r="D8382" s="26"/>
      <c r="E8382" s="27"/>
      <c r="F8382" s="27"/>
      <c r="G8382" s="27" t="s">
        <v>11122</v>
      </c>
      <c r="H8382" s="27" t="s">
        <v>35</v>
      </c>
      <c r="I8382" s="27" t="s">
        <v>887</v>
      </c>
      <c r="J8382" s="28" t="s">
        <v>856</v>
      </c>
      <c r="K8382" s="27" t="s">
        <v>38</v>
      </c>
      <c r="L8382" s="27"/>
    </row>
    <row r="8383" customFormat="false" ht="15" hidden="false" customHeight="false" outlineLevel="0" collapsed="false">
      <c r="A8383" s="26" t="s">
        <v>21681</v>
      </c>
      <c r="B8383" s="27" t="s">
        <v>21682</v>
      </c>
      <c r="C8383" s="27" t="s">
        <v>144</v>
      </c>
      <c r="D8383" s="26"/>
      <c r="E8383" s="27"/>
      <c r="F8383" s="27"/>
      <c r="G8383" s="27" t="s">
        <v>11122</v>
      </c>
      <c r="H8383" s="27" t="s">
        <v>35</v>
      </c>
      <c r="I8383" s="27" t="s">
        <v>38</v>
      </c>
      <c r="J8383" s="28" t="s">
        <v>856</v>
      </c>
      <c r="K8383" s="27" t="s">
        <v>38</v>
      </c>
      <c r="L8383" s="27"/>
    </row>
    <row r="8384" customFormat="false" ht="15" hidden="false" customHeight="false" outlineLevel="0" collapsed="false">
      <c r="A8384" s="26" t="s">
        <v>21683</v>
      </c>
      <c r="B8384" s="27" t="s">
        <v>21684</v>
      </c>
      <c r="C8384" s="27" t="s">
        <v>144</v>
      </c>
      <c r="D8384" s="26"/>
      <c r="E8384" s="27"/>
      <c r="F8384" s="27"/>
      <c r="G8384" s="27" t="s">
        <v>11122</v>
      </c>
      <c r="H8384" s="27" t="s">
        <v>35</v>
      </c>
      <c r="I8384" s="27" t="s">
        <v>39</v>
      </c>
      <c r="J8384" s="28" t="s">
        <v>856</v>
      </c>
      <c r="K8384" s="27" t="s">
        <v>38</v>
      </c>
      <c r="L8384" s="27"/>
    </row>
    <row r="8385" customFormat="false" ht="15" hidden="false" customHeight="false" outlineLevel="0" collapsed="false">
      <c r="A8385" s="26" t="s">
        <v>21685</v>
      </c>
      <c r="B8385" s="27" t="s">
        <v>21686</v>
      </c>
      <c r="C8385" s="27" t="s">
        <v>144</v>
      </c>
      <c r="D8385" s="26"/>
      <c r="E8385" s="27"/>
      <c r="F8385" s="27"/>
      <c r="G8385" s="27" t="s">
        <v>11122</v>
      </c>
      <c r="H8385" s="27" t="s">
        <v>35</v>
      </c>
      <c r="I8385" s="27" t="s">
        <v>37</v>
      </c>
      <c r="J8385" s="28" t="s">
        <v>856</v>
      </c>
      <c r="K8385" s="27" t="s">
        <v>38</v>
      </c>
      <c r="L8385" s="27"/>
    </row>
    <row r="8386" customFormat="false" ht="15" hidden="false" customHeight="false" outlineLevel="0" collapsed="false">
      <c r="A8386" s="26" t="s">
        <v>21687</v>
      </c>
      <c r="B8386" s="27" t="s">
        <v>21688</v>
      </c>
      <c r="C8386" s="27" t="s">
        <v>144</v>
      </c>
      <c r="D8386" s="26"/>
      <c r="E8386" s="27"/>
      <c r="F8386" s="27"/>
      <c r="G8386" s="27" t="s">
        <v>11122</v>
      </c>
      <c r="H8386" s="27" t="s">
        <v>35</v>
      </c>
      <c r="I8386" s="27" t="s">
        <v>45</v>
      </c>
      <c r="J8386" s="28" t="s">
        <v>856</v>
      </c>
      <c r="K8386" s="27" t="s">
        <v>38</v>
      </c>
      <c r="L8386" s="27"/>
    </row>
    <row r="8387" customFormat="false" ht="15" hidden="false" customHeight="false" outlineLevel="0" collapsed="false">
      <c r="A8387" s="26" t="s">
        <v>21689</v>
      </c>
      <c r="B8387" s="27" t="s">
        <v>21690</v>
      </c>
      <c r="C8387" s="27" t="s">
        <v>144</v>
      </c>
      <c r="D8387" s="26"/>
      <c r="E8387" s="27"/>
      <c r="F8387" s="27"/>
      <c r="G8387" s="27" t="s">
        <v>11122</v>
      </c>
      <c r="H8387" s="27" t="s">
        <v>35</v>
      </c>
      <c r="I8387" s="27" t="s">
        <v>41</v>
      </c>
      <c r="J8387" s="28" t="s">
        <v>856</v>
      </c>
      <c r="K8387" s="27" t="s">
        <v>38</v>
      </c>
      <c r="L8387" s="27"/>
    </row>
    <row r="8388" customFormat="false" ht="15" hidden="false" customHeight="false" outlineLevel="0" collapsed="false">
      <c r="A8388" s="26" t="s">
        <v>21691</v>
      </c>
      <c r="B8388" s="27" t="s">
        <v>21692</v>
      </c>
      <c r="C8388" s="27" t="s">
        <v>144</v>
      </c>
      <c r="D8388" s="26"/>
      <c r="E8388" s="27"/>
      <c r="F8388" s="27"/>
      <c r="G8388" s="27" t="s">
        <v>11122</v>
      </c>
      <c r="H8388" s="27" t="s">
        <v>35</v>
      </c>
      <c r="I8388" s="27" t="s">
        <v>37</v>
      </c>
      <c r="J8388" s="28" t="s">
        <v>856</v>
      </c>
      <c r="K8388" s="27" t="s">
        <v>38</v>
      </c>
      <c r="L8388" s="27"/>
    </row>
    <row r="8389" customFormat="false" ht="15" hidden="false" customHeight="false" outlineLevel="0" collapsed="false">
      <c r="A8389" s="26" t="s">
        <v>21693</v>
      </c>
      <c r="B8389" s="27" t="s">
        <v>21694</v>
      </c>
      <c r="C8389" s="27" t="s">
        <v>144</v>
      </c>
      <c r="D8389" s="26"/>
      <c r="E8389" s="27"/>
      <c r="F8389" s="27"/>
      <c r="G8389" s="27" t="s">
        <v>11122</v>
      </c>
      <c r="H8389" s="27" t="s">
        <v>35</v>
      </c>
      <c r="I8389" s="27" t="s">
        <v>39</v>
      </c>
      <c r="J8389" s="28" t="s">
        <v>856</v>
      </c>
      <c r="K8389" s="27" t="s">
        <v>38</v>
      </c>
      <c r="L8389" s="27"/>
    </row>
    <row r="8390" customFormat="false" ht="15" hidden="false" customHeight="false" outlineLevel="0" collapsed="false">
      <c r="A8390" s="26" t="s">
        <v>21695</v>
      </c>
      <c r="B8390" s="27" t="s">
        <v>21696</v>
      </c>
      <c r="C8390" s="27" t="s">
        <v>144</v>
      </c>
      <c r="D8390" s="26"/>
      <c r="E8390" s="27"/>
      <c r="F8390" s="27"/>
      <c r="G8390" s="27" t="s">
        <v>11122</v>
      </c>
      <c r="H8390" s="27" t="s">
        <v>35</v>
      </c>
      <c r="I8390" s="27" t="s">
        <v>38</v>
      </c>
      <c r="J8390" s="28" t="s">
        <v>856</v>
      </c>
      <c r="K8390" s="27" t="s">
        <v>38</v>
      </c>
      <c r="L8390" s="27"/>
    </row>
    <row r="8391" customFormat="false" ht="15" hidden="false" customHeight="false" outlineLevel="0" collapsed="false">
      <c r="A8391" s="26" t="s">
        <v>21697</v>
      </c>
      <c r="B8391" s="27" t="s">
        <v>21698</v>
      </c>
      <c r="C8391" s="27" t="s">
        <v>144</v>
      </c>
      <c r="D8391" s="26"/>
      <c r="E8391" s="27"/>
      <c r="F8391" s="27"/>
      <c r="G8391" s="27" t="s">
        <v>11122</v>
      </c>
      <c r="H8391" s="27" t="s">
        <v>35</v>
      </c>
      <c r="I8391" s="27" t="s">
        <v>38</v>
      </c>
      <c r="J8391" s="28" t="s">
        <v>856</v>
      </c>
      <c r="K8391" s="27" t="s">
        <v>38</v>
      </c>
      <c r="L8391" s="27"/>
    </row>
    <row r="8392" customFormat="false" ht="15" hidden="false" customHeight="false" outlineLevel="0" collapsed="false">
      <c r="A8392" s="26" t="s">
        <v>21699</v>
      </c>
      <c r="B8392" s="27" t="s">
        <v>21700</v>
      </c>
      <c r="C8392" s="27" t="s">
        <v>144</v>
      </c>
      <c r="D8392" s="26"/>
      <c r="E8392" s="27"/>
      <c r="F8392" s="27"/>
      <c r="G8392" s="27" t="s">
        <v>11122</v>
      </c>
      <c r="H8392" s="27" t="s">
        <v>35</v>
      </c>
      <c r="I8392" s="27" t="s">
        <v>44</v>
      </c>
      <c r="J8392" s="28" t="s">
        <v>856</v>
      </c>
      <c r="K8392" s="27" t="s">
        <v>38</v>
      </c>
      <c r="L8392" s="27"/>
    </row>
    <row r="8393" customFormat="false" ht="15" hidden="false" customHeight="false" outlineLevel="0" collapsed="false">
      <c r="A8393" s="26" t="s">
        <v>21701</v>
      </c>
      <c r="B8393" s="27" t="s">
        <v>21702</v>
      </c>
      <c r="C8393" s="27" t="s">
        <v>144</v>
      </c>
      <c r="D8393" s="26"/>
      <c r="E8393" s="27"/>
      <c r="F8393" s="27"/>
      <c r="G8393" s="27" t="s">
        <v>11122</v>
      </c>
      <c r="H8393" s="27" t="s">
        <v>35</v>
      </c>
      <c r="I8393" s="27" t="s">
        <v>39</v>
      </c>
      <c r="J8393" s="28" t="s">
        <v>856</v>
      </c>
      <c r="K8393" s="27" t="s">
        <v>38</v>
      </c>
      <c r="L8393" s="27"/>
    </row>
    <row r="8394" customFormat="false" ht="15" hidden="false" customHeight="false" outlineLevel="0" collapsed="false">
      <c r="A8394" s="26" t="s">
        <v>21703</v>
      </c>
      <c r="B8394" s="27" t="s">
        <v>21704</v>
      </c>
      <c r="C8394" s="27" t="s">
        <v>144</v>
      </c>
      <c r="D8394" s="26"/>
      <c r="E8394" s="27"/>
      <c r="F8394" s="27"/>
      <c r="G8394" s="27" t="s">
        <v>11122</v>
      </c>
      <c r="H8394" s="27" t="s">
        <v>35</v>
      </c>
      <c r="I8394" s="27" t="s">
        <v>38</v>
      </c>
      <c r="J8394" s="28" t="s">
        <v>856</v>
      </c>
      <c r="K8394" s="27" t="s">
        <v>38</v>
      </c>
      <c r="L8394" s="27"/>
    </row>
    <row r="8395" customFormat="false" ht="15" hidden="false" customHeight="false" outlineLevel="0" collapsed="false">
      <c r="A8395" s="26" t="s">
        <v>21705</v>
      </c>
      <c r="B8395" s="27" t="s">
        <v>21706</v>
      </c>
      <c r="C8395" s="27" t="s">
        <v>144</v>
      </c>
      <c r="D8395" s="26"/>
      <c r="E8395" s="27"/>
      <c r="F8395" s="27"/>
      <c r="G8395" s="27" t="s">
        <v>11122</v>
      </c>
      <c r="H8395" s="27" t="s">
        <v>35</v>
      </c>
      <c r="I8395" s="27" t="s">
        <v>41</v>
      </c>
      <c r="J8395" s="28" t="s">
        <v>856</v>
      </c>
      <c r="K8395" s="27" t="s">
        <v>38</v>
      </c>
      <c r="L8395" s="27"/>
    </row>
    <row r="8396" customFormat="false" ht="15" hidden="false" customHeight="false" outlineLevel="0" collapsed="false">
      <c r="A8396" s="26" t="s">
        <v>21707</v>
      </c>
      <c r="B8396" s="27" t="s">
        <v>21708</v>
      </c>
      <c r="C8396" s="27" t="s">
        <v>144</v>
      </c>
      <c r="D8396" s="26"/>
      <c r="E8396" s="27"/>
      <c r="F8396" s="27"/>
      <c r="G8396" s="27" t="s">
        <v>11122</v>
      </c>
      <c r="H8396" s="27" t="s">
        <v>35</v>
      </c>
      <c r="I8396" s="27" t="s">
        <v>38</v>
      </c>
      <c r="J8396" s="28" t="s">
        <v>856</v>
      </c>
      <c r="K8396" s="27" t="s">
        <v>38</v>
      </c>
      <c r="L8396" s="27"/>
    </row>
    <row r="8397" customFormat="false" ht="15" hidden="false" customHeight="false" outlineLevel="0" collapsed="false">
      <c r="A8397" s="26" t="s">
        <v>21709</v>
      </c>
      <c r="B8397" s="27" t="s">
        <v>21710</v>
      </c>
      <c r="C8397" s="27" t="s">
        <v>144</v>
      </c>
      <c r="D8397" s="26"/>
      <c r="E8397" s="27"/>
      <c r="F8397" s="27"/>
      <c r="G8397" s="27" t="s">
        <v>11122</v>
      </c>
      <c r="H8397" s="27" t="s">
        <v>35</v>
      </c>
      <c r="I8397" s="27" t="s">
        <v>47</v>
      </c>
      <c r="J8397" s="28" t="s">
        <v>856</v>
      </c>
      <c r="K8397" s="27" t="s">
        <v>38</v>
      </c>
      <c r="L8397" s="27"/>
    </row>
    <row r="8398" customFormat="false" ht="15" hidden="false" customHeight="false" outlineLevel="0" collapsed="false">
      <c r="A8398" s="26" t="s">
        <v>21711</v>
      </c>
      <c r="B8398" s="27" t="s">
        <v>21712</v>
      </c>
      <c r="C8398" s="27" t="s">
        <v>144</v>
      </c>
      <c r="D8398" s="26"/>
      <c r="E8398" s="27"/>
      <c r="F8398" s="27"/>
      <c r="G8398" s="27" t="s">
        <v>11122</v>
      </c>
      <c r="H8398" s="27" t="s">
        <v>35</v>
      </c>
      <c r="I8398" s="27" t="s">
        <v>41</v>
      </c>
      <c r="J8398" s="28" t="s">
        <v>856</v>
      </c>
      <c r="K8398" s="27" t="s">
        <v>38</v>
      </c>
      <c r="L8398" s="27"/>
    </row>
    <row r="8399" customFormat="false" ht="15" hidden="false" customHeight="false" outlineLevel="0" collapsed="false">
      <c r="A8399" s="26" t="s">
        <v>21713</v>
      </c>
      <c r="B8399" s="27" t="s">
        <v>21714</v>
      </c>
      <c r="C8399" s="27" t="s">
        <v>144</v>
      </c>
      <c r="D8399" s="26"/>
      <c r="E8399" s="27"/>
      <c r="F8399" s="27"/>
      <c r="G8399" s="27" t="s">
        <v>11122</v>
      </c>
      <c r="H8399" s="27" t="s">
        <v>35</v>
      </c>
      <c r="I8399" s="27" t="s">
        <v>41</v>
      </c>
      <c r="J8399" s="28" t="s">
        <v>856</v>
      </c>
      <c r="K8399" s="27" t="s">
        <v>38</v>
      </c>
      <c r="L8399" s="27"/>
    </row>
    <row r="8400" customFormat="false" ht="15" hidden="false" customHeight="false" outlineLevel="0" collapsed="false">
      <c r="A8400" s="26" t="s">
        <v>21715</v>
      </c>
      <c r="B8400" s="27" t="s">
        <v>21716</v>
      </c>
      <c r="C8400" s="27" t="s">
        <v>144</v>
      </c>
      <c r="D8400" s="26"/>
      <c r="E8400" s="27"/>
      <c r="F8400" s="27"/>
      <c r="G8400" s="27" t="s">
        <v>11122</v>
      </c>
      <c r="H8400" s="27" t="s">
        <v>35</v>
      </c>
      <c r="I8400" s="27" t="s">
        <v>39</v>
      </c>
      <c r="J8400" s="28" t="s">
        <v>856</v>
      </c>
      <c r="K8400" s="27" t="s">
        <v>38</v>
      </c>
      <c r="L8400" s="27"/>
    </row>
    <row r="8401" customFormat="false" ht="15" hidden="false" customHeight="false" outlineLevel="0" collapsed="false">
      <c r="A8401" s="26" t="s">
        <v>21717</v>
      </c>
      <c r="B8401" s="27" t="s">
        <v>21718</v>
      </c>
      <c r="C8401" s="27" t="s">
        <v>144</v>
      </c>
      <c r="D8401" s="26"/>
      <c r="E8401" s="27"/>
      <c r="F8401" s="27"/>
      <c r="G8401" s="27" t="s">
        <v>11122</v>
      </c>
      <c r="H8401" s="27" t="s">
        <v>35</v>
      </c>
      <c r="I8401" s="27" t="s">
        <v>38</v>
      </c>
      <c r="J8401" s="28" t="s">
        <v>856</v>
      </c>
      <c r="K8401" s="27" t="s">
        <v>38</v>
      </c>
      <c r="L8401" s="27"/>
    </row>
    <row r="8402" customFormat="false" ht="15" hidden="false" customHeight="false" outlineLevel="0" collapsed="false">
      <c r="A8402" s="26" t="s">
        <v>21719</v>
      </c>
      <c r="B8402" s="27" t="s">
        <v>21720</v>
      </c>
      <c r="C8402" s="27" t="s">
        <v>144</v>
      </c>
      <c r="D8402" s="26"/>
      <c r="E8402" s="27"/>
      <c r="F8402" s="27"/>
      <c r="G8402" s="27" t="s">
        <v>11122</v>
      </c>
      <c r="H8402" s="27" t="s">
        <v>35</v>
      </c>
      <c r="I8402" s="27" t="s">
        <v>41</v>
      </c>
      <c r="J8402" s="28" t="s">
        <v>856</v>
      </c>
      <c r="K8402" s="27" t="s">
        <v>38</v>
      </c>
      <c r="L8402" s="27"/>
    </row>
    <row r="8403" customFormat="false" ht="15" hidden="false" customHeight="false" outlineLevel="0" collapsed="false">
      <c r="A8403" s="26" t="s">
        <v>21721</v>
      </c>
      <c r="B8403" s="27" t="s">
        <v>21722</v>
      </c>
      <c r="C8403" s="27" t="s">
        <v>144</v>
      </c>
      <c r="D8403" s="26"/>
      <c r="E8403" s="27"/>
      <c r="F8403" s="27"/>
      <c r="G8403" s="27" t="s">
        <v>11122</v>
      </c>
      <c r="H8403" s="27" t="s">
        <v>35</v>
      </c>
      <c r="I8403" s="27" t="s">
        <v>38</v>
      </c>
      <c r="J8403" s="28" t="s">
        <v>856</v>
      </c>
      <c r="K8403" s="27" t="s">
        <v>38</v>
      </c>
      <c r="L8403" s="27"/>
    </row>
    <row r="8404" customFormat="false" ht="15" hidden="false" customHeight="false" outlineLevel="0" collapsed="false">
      <c r="A8404" s="26" t="s">
        <v>21723</v>
      </c>
      <c r="B8404" s="27" t="s">
        <v>21724</v>
      </c>
      <c r="C8404" s="27" t="s">
        <v>144</v>
      </c>
      <c r="D8404" s="26"/>
      <c r="E8404" s="27"/>
      <c r="F8404" s="27"/>
      <c r="G8404" s="27" t="s">
        <v>11122</v>
      </c>
      <c r="H8404" s="27" t="s">
        <v>35</v>
      </c>
      <c r="I8404" s="27" t="s">
        <v>44</v>
      </c>
      <c r="J8404" s="28" t="s">
        <v>856</v>
      </c>
      <c r="K8404" s="27" t="s">
        <v>38</v>
      </c>
      <c r="L8404" s="27"/>
    </row>
    <row r="8405" customFormat="false" ht="15" hidden="false" customHeight="false" outlineLevel="0" collapsed="false">
      <c r="A8405" s="26" t="s">
        <v>21725</v>
      </c>
      <c r="B8405" s="27" t="s">
        <v>21726</v>
      </c>
      <c r="C8405" s="27" t="s">
        <v>144</v>
      </c>
      <c r="D8405" s="26"/>
      <c r="E8405" s="27"/>
      <c r="F8405" s="27"/>
      <c r="G8405" s="27" t="s">
        <v>11122</v>
      </c>
      <c r="H8405" s="27" t="s">
        <v>35</v>
      </c>
      <c r="I8405" s="27" t="s">
        <v>45</v>
      </c>
      <c r="J8405" s="28" t="s">
        <v>856</v>
      </c>
      <c r="K8405" s="27" t="s">
        <v>38</v>
      </c>
      <c r="L8405" s="27"/>
    </row>
    <row r="8406" customFormat="false" ht="15" hidden="false" customHeight="false" outlineLevel="0" collapsed="false">
      <c r="A8406" s="26" t="s">
        <v>21727</v>
      </c>
      <c r="B8406" s="27" t="s">
        <v>21728</v>
      </c>
      <c r="C8406" s="27" t="s">
        <v>144</v>
      </c>
      <c r="D8406" s="26"/>
      <c r="E8406" s="27"/>
      <c r="F8406" s="27"/>
      <c r="G8406" s="27" t="s">
        <v>11122</v>
      </c>
      <c r="H8406" s="27" t="s">
        <v>35</v>
      </c>
      <c r="I8406" s="27" t="s">
        <v>44</v>
      </c>
      <c r="J8406" s="28" t="s">
        <v>856</v>
      </c>
      <c r="K8406" s="27" t="s">
        <v>38</v>
      </c>
      <c r="L8406" s="27"/>
    </row>
    <row r="8407" customFormat="false" ht="15" hidden="false" customHeight="false" outlineLevel="0" collapsed="false">
      <c r="A8407" s="26" t="s">
        <v>21729</v>
      </c>
      <c r="B8407" s="27" t="s">
        <v>21730</v>
      </c>
      <c r="C8407" s="27" t="s">
        <v>144</v>
      </c>
      <c r="D8407" s="26"/>
      <c r="E8407" s="27"/>
      <c r="F8407" s="27"/>
      <c r="G8407" s="27" t="s">
        <v>11122</v>
      </c>
      <c r="H8407" s="27" t="s">
        <v>35</v>
      </c>
      <c r="I8407" s="27" t="s">
        <v>37</v>
      </c>
      <c r="J8407" s="28" t="s">
        <v>856</v>
      </c>
      <c r="K8407" s="27" t="s">
        <v>38</v>
      </c>
      <c r="L8407" s="27"/>
    </row>
    <row r="8408" customFormat="false" ht="15" hidden="false" customHeight="false" outlineLevel="0" collapsed="false">
      <c r="A8408" s="26" t="s">
        <v>21731</v>
      </c>
      <c r="B8408" s="27" t="s">
        <v>21732</v>
      </c>
      <c r="C8408" s="27" t="s">
        <v>144</v>
      </c>
      <c r="D8408" s="26"/>
      <c r="E8408" s="27"/>
      <c r="F8408" s="27"/>
      <c r="G8408" s="27" t="s">
        <v>11122</v>
      </c>
      <c r="H8408" s="27" t="s">
        <v>35</v>
      </c>
      <c r="I8408" s="27" t="s">
        <v>38</v>
      </c>
      <c r="J8408" s="28" t="s">
        <v>856</v>
      </c>
      <c r="K8408" s="27" t="s">
        <v>38</v>
      </c>
      <c r="L8408" s="27"/>
    </row>
    <row r="8409" customFormat="false" ht="15" hidden="false" customHeight="false" outlineLevel="0" collapsed="false">
      <c r="A8409" s="26" t="s">
        <v>21733</v>
      </c>
      <c r="B8409" s="27" t="s">
        <v>21734</v>
      </c>
      <c r="C8409" s="27" t="s">
        <v>144</v>
      </c>
      <c r="D8409" s="26"/>
      <c r="E8409" s="27"/>
      <c r="F8409" s="27"/>
      <c r="G8409" s="27" t="s">
        <v>11122</v>
      </c>
      <c r="H8409" s="27" t="s">
        <v>35</v>
      </c>
      <c r="I8409" s="27" t="s">
        <v>45</v>
      </c>
      <c r="J8409" s="28" t="s">
        <v>856</v>
      </c>
      <c r="K8409" s="27" t="s">
        <v>38</v>
      </c>
      <c r="L8409" s="27"/>
    </row>
    <row r="8410" customFormat="false" ht="15" hidden="false" customHeight="false" outlineLevel="0" collapsed="false">
      <c r="A8410" s="26" t="s">
        <v>21735</v>
      </c>
      <c r="B8410" s="27" t="s">
        <v>21736</v>
      </c>
      <c r="C8410" s="27" t="s">
        <v>144</v>
      </c>
      <c r="D8410" s="26"/>
      <c r="E8410" s="27"/>
      <c r="F8410" s="27"/>
      <c r="G8410" s="27" t="s">
        <v>11122</v>
      </c>
      <c r="H8410" s="27" t="s">
        <v>35</v>
      </c>
      <c r="I8410" s="27" t="s">
        <v>38</v>
      </c>
      <c r="J8410" s="28" t="s">
        <v>856</v>
      </c>
      <c r="K8410" s="27" t="s">
        <v>38</v>
      </c>
      <c r="L8410" s="27"/>
    </row>
    <row r="8411" customFormat="false" ht="15" hidden="false" customHeight="false" outlineLevel="0" collapsed="false">
      <c r="A8411" s="26" t="s">
        <v>21737</v>
      </c>
      <c r="B8411" s="27" t="s">
        <v>21738</v>
      </c>
      <c r="C8411" s="27" t="s">
        <v>144</v>
      </c>
      <c r="D8411" s="26"/>
      <c r="E8411" s="27"/>
      <c r="F8411" s="27"/>
      <c r="G8411" s="27" t="s">
        <v>11122</v>
      </c>
      <c r="H8411" s="27" t="s">
        <v>35</v>
      </c>
      <c r="I8411" s="27" t="s">
        <v>37</v>
      </c>
      <c r="J8411" s="28" t="s">
        <v>856</v>
      </c>
      <c r="K8411" s="27" t="s">
        <v>38</v>
      </c>
      <c r="L8411" s="27"/>
    </row>
    <row r="8412" customFormat="false" ht="15" hidden="false" customHeight="false" outlineLevel="0" collapsed="false">
      <c r="A8412" s="26" t="s">
        <v>21739</v>
      </c>
      <c r="B8412" s="27" t="s">
        <v>21740</v>
      </c>
      <c r="C8412" s="27" t="s">
        <v>144</v>
      </c>
      <c r="D8412" s="26"/>
      <c r="E8412" s="27"/>
      <c r="F8412" s="27"/>
      <c r="G8412" s="27" t="s">
        <v>11122</v>
      </c>
      <c r="H8412" s="27" t="s">
        <v>35</v>
      </c>
      <c r="I8412" s="27" t="s">
        <v>39</v>
      </c>
      <c r="J8412" s="28" t="s">
        <v>856</v>
      </c>
      <c r="K8412" s="27" t="s">
        <v>38</v>
      </c>
      <c r="L8412" s="27"/>
    </row>
    <row r="8413" customFormat="false" ht="15" hidden="false" customHeight="false" outlineLevel="0" collapsed="false">
      <c r="A8413" s="26" t="s">
        <v>21741</v>
      </c>
      <c r="B8413" s="27" t="s">
        <v>21742</v>
      </c>
      <c r="C8413" s="27" t="s">
        <v>144</v>
      </c>
      <c r="D8413" s="26"/>
      <c r="E8413" s="27"/>
      <c r="F8413" s="27"/>
      <c r="G8413" s="27" t="s">
        <v>11122</v>
      </c>
      <c r="H8413" s="27" t="s">
        <v>35</v>
      </c>
      <c r="I8413" s="27" t="s">
        <v>38</v>
      </c>
      <c r="J8413" s="28" t="s">
        <v>856</v>
      </c>
      <c r="K8413" s="27" t="s">
        <v>38</v>
      </c>
      <c r="L8413" s="27"/>
    </row>
    <row r="8414" customFormat="false" ht="15" hidden="false" customHeight="false" outlineLevel="0" collapsed="false">
      <c r="A8414" s="26" t="s">
        <v>21743</v>
      </c>
      <c r="B8414" s="27" t="s">
        <v>21744</v>
      </c>
      <c r="C8414" s="27" t="s">
        <v>144</v>
      </c>
      <c r="D8414" s="26"/>
      <c r="E8414" s="27"/>
      <c r="F8414" s="27"/>
      <c r="G8414" s="27" t="s">
        <v>11122</v>
      </c>
      <c r="H8414" s="27" t="s">
        <v>35</v>
      </c>
      <c r="I8414" s="27" t="s">
        <v>38</v>
      </c>
      <c r="J8414" s="28" t="s">
        <v>856</v>
      </c>
      <c r="K8414" s="27" t="s">
        <v>38</v>
      </c>
      <c r="L8414" s="27"/>
    </row>
    <row r="8415" customFormat="false" ht="15" hidden="false" customHeight="false" outlineLevel="0" collapsed="false">
      <c r="A8415" s="26" t="s">
        <v>21745</v>
      </c>
      <c r="B8415" s="27" t="s">
        <v>21746</v>
      </c>
      <c r="C8415" s="27" t="s">
        <v>144</v>
      </c>
      <c r="D8415" s="26"/>
      <c r="E8415" s="27"/>
      <c r="F8415" s="27"/>
      <c r="G8415" s="27" t="s">
        <v>11122</v>
      </c>
      <c r="H8415" s="27" t="s">
        <v>35</v>
      </c>
      <c r="I8415" s="27" t="s">
        <v>39</v>
      </c>
      <c r="J8415" s="28" t="s">
        <v>856</v>
      </c>
      <c r="K8415" s="27" t="s">
        <v>38</v>
      </c>
      <c r="L8415" s="27"/>
    </row>
    <row r="8416" customFormat="false" ht="15" hidden="false" customHeight="false" outlineLevel="0" collapsed="false">
      <c r="A8416" s="26" t="s">
        <v>21747</v>
      </c>
      <c r="B8416" s="27" t="s">
        <v>21748</v>
      </c>
      <c r="C8416" s="27" t="s">
        <v>144</v>
      </c>
      <c r="D8416" s="26"/>
      <c r="E8416" s="27"/>
      <c r="F8416" s="27"/>
      <c r="G8416" s="27" t="s">
        <v>11122</v>
      </c>
      <c r="H8416" s="27" t="s">
        <v>35</v>
      </c>
      <c r="I8416" s="27" t="s">
        <v>38</v>
      </c>
      <c r="J8416" s="28" t="s">
        <v>856</v>
      </c>
      <c r="K8416" s="27" t="s">
        <v>38</v>
      </c>
      <c r="L8416" s="27"/>
    </row>
    <row r="8417" customFormat="false" ht="15" hidden="false" customHeight="false" outlineLevel="0" collapsed="false">
      <c r="A8417" s="26" t="s">
        <v>21749</v>
      </c>
      <c r="B8417" s="27" t="s">
        <v>21750</v>
      </c>
      <c r="C8417" s="27" t="s">
        <v>144</v>
      </c>
      <c r="D8417" s="26"/>
      <c r="E8417" s="27"/>
      <c r="F8417" s="27"/>
      <c r="G8417" s="27" t="s">
        <v>11122</v>
      </c>
      <c r="H8417" s="27" t="s">
        <v>35</v>
      </c>
      <c r="I8417" s="27" t="s">
        <v>38</v>
      </c>
      <c r="J8417" s="28" t="s">
        <v>856</v>
      </c>
      <c r="K8417" s="27" t="s">
        <v>38</v>
      </c>
      <c r="L8417" s="27"/>
    </row>
    <row r="8418" customFormat="false" ht="15" hidden="false" customHeight="false" outlineLevel="0" collapsed="false">
      <c r="A8418" s="26" t="s">
        <v>21751</v>
      </c>
      <c r="B8418" s="27" t="s">
        <v>21752</v>
      </c>
      <c r="C8418" s="27" t="s">
        <v>144</v>
      </c>
      <c r="D8418" s="26"/>
      <c r="E8418" s="27"/>
      <c r="F8418" s="27"/>
      <c r="G8418" s="27" t="s">
        <v>11122</v>
      </c>
      <c r="H8418" s="27" t="s">
        <v>35</v>
      </c>
      <c r="I8418" s="27" t="s">
        <v>38</v>
      </c>
      <c r="J8418" s="28" t="s">
        <v>856</v>
      </c>
      <c r="K8418" s="27" t="s">
        <v>38</v>
      </c>
      <c r="L8418" s="27"/>
    </row>
    <row r="8419" customFormat="false" ht="15" hidden="false" customHeight="false" outlineLevel="0" collapsed="false">
      <c r="A8419" s="26" t="s">
        <v>21753</v>
      </c>
      <c r="B8419" s="27" t="s">
        <v>21754</v>
      </c>
      <c r="C8419" s="27" t="s">
        <v>144</v>
      </c>
      <c r="D8419" s="26"/>
      <c r="E8419" s="27"/>
      <c r="F8419" s="27"/>
      <c r="G8419" s="27" t="s">
        <v>11122</v>
      </c>
      <c r="H8419" s="27" t="s">
        <v>35</v>
      </c>
      <c r="I8419" s="27" t="s">
        <v>38</v>
      </c>
      <c r="J8419" s="28" t="s">
        <v>856</v>
      </c>
      <c r="K8419" s="27" t="s">
        <v>38</v>
      </c>
      <c r="L8419" s="27"/>
    </row>
    <row r="8420" customFormat="false" ht="15" hidden="false" customHeight="false" outlineLevel="0" collapsed="false">
      <c r="A8420" s="26" t="s">
        <v>21755</v>
      </c>
      <c r="B8420" s="27" t="s">
        <v>21756</v>
      </c>
      <c r="C8420" s="27" t="s">
        <v>144</v>
      </c>
      <c r="D8420" s="26"/>
      <c r="E8420" s="27"/>
      <c r="F8420" s="27"/>
      <c r="G8420" s="27" t="s">
        <v>11122</v>
      </c>
      <c r="H8420" s="27" t="s">
        <v>35</v>
      </c>
      <c r="I8420" s="27" t="s">
        <v>37</v>
      </c>
      <c r="J8420" s="28" t="s">
        <v>856</v>
      </c>
      <c r="K8420" s="27" t="s">
        <v>38</v>
      </c>
      <c r="L8420" s="27"/>
    </row>
    <row r="8421" customFormat="false" ht="15" hidden="false" customHeight="false" outlineLevel="0" collapsed="false">
      <c r="A8421" s="26" t="s">
        <v>21757</v>
      </c>
      <c r="B8421" s="27" t="s">
        <v>21758</v>
      </c>
      <c r="C8421" s="27" t="s">
        <v>144</v>
      </c>
      <c r="D8421" s="26"/>
      <c r="E8421" s="27"/>
      <c r="F8421" s="27"/>
      <c r="G8421" s="27" t="s">
        <v>11122</v>
      </c>
      <c r="H8421" s="27" t="s">
        <v>35</v>
      </c>
      <c r="I8421" s="27" t="s">
        <v>38</v>
      </c>
      <c r="J8421" s="28" t="s">
        <v>856</v>
      </c>
      <c r="K8421" s="27" t="s">
        <v>38</v>
      </c>
      <c r="L8421" s="27"/>
    </row>
    <row r="8422" customFormat="false" ht="15" hidden="false" customHeight="false" outlineLevel="0" collapsed="false">
      <c r="A8422" s="26" t="s">
        <v>21759</v>
      </c>
      <c r="B8422" s="27" t="s">
        <v>21760</v>
      </c>
      <c r="C8422" s="27" t="s">
        <v>144</v>
      </c>
      <c r="D8422" s="26"/>
      <c r="E8422" s="27"/>
      <c r="F8422" s="27"/>
      <c r="G8422" s="27" t="s">
        <v>11122</v>
      </c>
      <c r="H8422" s="27" t="s">
        <v>35</v>
      </c>
      <c r="I8422" s="27" t="s">
        <v>39</v>
      </c>
      <c r="J8422" s="28" t="s">
        <v>856</v>
      </c>
      <c r="K8422" s="27" t="s">
        <v>38</v>
      </c>
      <c r="L8422" s="27"/>
    </row>
    <row r="8423" customFormat="false" ht="15" hidden="false" customHeight="false" outlineLevel="0" collapsed="false">
      <c r="A8423" s="26" t="s">
        <v>21761</v>
      </c>
      <c r="B8423" s="27" t="s">
        <v>21762</v>
      </c>
      <c r="C8423" s="27" t="s">
        <v>144</v>
      </c>
      <c r="D8423" s="26"/>
      <c r="E8423" s="27"/>
      <c r="F8423" s="27"/>
      <c r="G8423" s="27" t="s">
        <v>11122</v>
      </c>
      <c r="H8423" s="27" t="s">
        <v>35</v>
      </c>
      <c r="I8423" s="27" t="s">
        <v>37</v>
      </c>
      <c r="J8423" s="28" t="s">
        <v>856</v>
      </c>
      <c r="K8423" s="27" t="s">
        <v>38</v>
      </c>
      <c r="L8423" s="27"/>
    </row>
    <row r="8424" customFormat="false" ht="15" hidden="false" customHeight="false" outlineLevel="0" collapsed="false">
      <c r="A8424" s="26" t="s">
        <v>21763</v>
      </c>
      <c r="B8424" s="27" t="s">
        <v>21764</v>
      </c>
      <c r="C8424" s="27" t="s">
        <v>144</v>
      </c>
      <c r="D8424" s="26"/>
      <c r="E8424" s="27"/>
      <c r="F8424" s="27"/>
      <c r="G8424" s="27" t="s">
        <v>11122</v>
      </c>
      <c r="H8424" s="27" t="s">
        <v>35</v>
      </c>
      <c r="I8424" s="27" t="s">
        <v>41</v>
      </c>
      <c r="J8424" s="28" t="s">
        <v>856</v>
      </c>
      <c r="K8424" s="27" t="s">
        <v>38</v>
      </c>
      <c r="L8424" s="27"/>
    </row>
    <row r="8425" customFormat="false" ht="15" hidden="false" customHeight="false" outlineLevel="0" collapsed="false">
      <c r="A8425" s="26" t="s">
        <v>21765</v>
      </c>
      <c r="B8425" s="27" t="s">
        <v>21766</v>
      </c>
      <c r="C8425" s="27" t="s">
        <v>144</v>
      </c>
      <c r="D8425" s="26"/>
      <c r="E8425" s="27"/>
      <c r="F8425" s="27"/>
      <c r="G8425" s="27" t="s">
        <v>11122</v>
      </c>
      <c r="H8425" s="27" t="s">
        <v>35</v>
      </c>
      <c r="I8425" s="27" t="s">
        <v>41</v>
      </c>
      <c r="J8425" s="28" t="s">
        <v>856</v>
      </c>
      <c r="K8425" s="27" t="s">
        <v>38</v>
      </c>
      <c r="L8425" s="27"/>
    </row>
    <row r="8426" customFormat="false" ht="15" hidden="false" customHeight="false" outlineLevel="0" collapsed="false">
      <c r="A8426" s="26" t="s">
        <v>21767</v>
      </c>
      <c r="B8426" s="27" t="s">
        <v>21768</v>
      </c>
      <c r="C8426" s="27" t="s">
        <v>144</v>
      </c>
      <c r="D8426" s="26"/>
      <c r="E8426" s="27"/>
      <c r="F8426" s="27"/>
      <c r="G8426" s="27" t="s">
        <v>11122</v>
      </c>
      <c r="H8426" s="27" t="s">
        <v>35</v>
      </c>
      <c r="I8426" s="27" t="s">
        <v>41</v>
      </c>
      <c r="J8426" s="28" t="s">
        <v>856</v>
      </c>
      <c r="K8426" s="27" t="s">
        <v>38</v>
      </c>
      <c r="L8426" s="27"/>
    </row>
    <row r="8427" customFormat="false" ht="15" hidden="false" customHeight="false" outlineLevel="0" collapsed="false">
      <c r="A8427" s="26" t="s">
        <v>21769</v>
      </c>
      <c r="B8427" s="27" t="s">
        <v>21770</v>
      </c>
      <c r="C8427" s="27" t="s">
        <v>144</v>
      </c>
      <c r="D8427" s="26"/>
      <c r="E8427" s="27"/>
      <c r="F8427" s="27"/>
      <c r="G8427" s="27" t="s">
        <v>11122</v>
      </c>
      <c r="H8427" s="27" t="s">
        <v>35</v>
      </c>
      <c r="I8427" s="27" t="s">
        <v>38</v>
      </c>
      <c r="J8427" s="28" t="s">
        <v>856</v>
      </c>
      <c r="K8427" s="27" t="s">
        <v>38</v>
      </c>
      <c r="L8427" s="27"/>
    </row>
    <row r="8428" customFormat="false" ht="15" hidden="false" customHeight="false" outlineLevel="0" collapsed="false">
      <c r="A8428" s="26" t="s">
        <v>21771</v>
      </c>
      <c r="B8428" s="27" t="s">
        <v>21772</v>
      </c>
      <c r="C8428" s="27" t="s">
        <v>144</v>
      </c>
      <c r="D8428" s="26"/>
      <c r="E8428" s="27"/>
      <c r="F8428" s="27"/>
      <c r="G8428" s="27" t="s">
        <v>11122</v>
      </c>
      <c r="H8428" s="27" t="s">
        <v>35</v>
      </c>
      <c r="I8428" s="27" t="s">
        <v>41</v>
      </c>
      <c r="J8428" s="28" t="s">
        <v>856</v>
      </c>
      <c r="K8428" s="27" t="s">
        <v>38</v>
      </c>
      <c r="L8428" s="27"/>
    </row>
    <row r="8429" customFormat="false" ht="15" hidden="false" customHeight="false" outlineLevel="0" collapsed="false">
      <c r="A8429" s="26" t="s">
        <v>21773</v>
      </c>
      <c r="B8429" s="27" t="s">
        <v>21774</v>
      </c>
      <c r="C8429" s="27" t="s">
        <v>144</v>
      </c>
      <c r="D8429" s="26"/>
      <c r="E8429" s="27"/>
      <c r="F8429" s="27"/>
      <c r="G8429" s="27" t="s">
        <v>11122</v>
      </c>
      <c r="H8429" s="27" t="s">
        <v>35</v>
      </c>
      <c r="I8429" s="27" t="s">
        <v>38</v>
      </c>
      <c r="J8429" s="28" t="s">
        <v>856</v>
      </c>
      <c r="K8429" s="27" t="s">
        <v>38</v>
      </c>
      <c r="L8429" s="27"/>
    </row>
    <row r="8430" customFormat="false" ht="15" hidden="false" customHeight="false" outlineLevel="0" collapsed="false">
      <c r="A8430" s="26" t="s">
        <v>21775</v>
      </c>
      <c r="B8430" s="27" t="s">
        <v>21776</v>
      </c>
      <c r="C8430" s="27" t="s">
        <v>144</v>
      </c>
      <c r="D8430" s="26"/>
      <c r="E8430" s="27"/>
      <c r="F8430" s="27"/>
      <c r="G8430" s="27" t="s">
        <v>11122</v>
      </c>
      <c r="H8430" s="27" t="s">
        <v>35</v>
      </c>
      <c r="I8430" s="27" t="s">
        <v>41</v>
      </c>
      <c r="J8430" s="28" t="s">
        <v>856</v>
      </c>
      <c r="K8430" s="27" t="s">
        <v>38</v>
      </c>
      <c r="L8430" s="27"/>
    </row>
    <row r="8431" customFormat="false" ht="15" hidden="false" customHeight="false" outlineLevel="0" collapsed="false">
      <c r="A8431" s="26" t="s">
        <v>21777</v>
      </c>
      <c r="B8431" s="27" t="s">
        <v>21778</v>
      </c>
      <c r="C8431" s="27" t="s">
        <v>144</v>
      </c>
      <c r="D8431" s="26"/>
      <c r="E8431" s="27"/>
      <c r="F8431" s="27"/>
      <c r="G8431" s="27" t="s">
        <v>11122</v>
      </c>
      <c r="H8431" s="27" t="s">
        <v>35</v>
      </c>
      <c r="I8431" s="27" t="s">
        <v>38</v>
      </c>
      <c r="J8431" s="28" t="s">
        <v>856</v>
      </c>
      <c r="K8431" s="27" t="s">
        <v>38</v>
      </c>
      <c r="L8431" s="27"/>
    </row>
    <row r="8432" customFormat="false" ht="15" hidden="false" customHeight="false" outlineLevel="0" collapsed="false">
      <c r="A8432" s="26" t="s">
        <v>21779</v>
      </c>
      <c r="B8432" s="27" t="s">
        <v>21780</v>
      </c>
      <c r="C8432" s="27" t="s">
        <v>144</v>
      </c>
      <c r="D8432" s="26"/>
      <c r="E8432" s="27"/>
      <c r="F8432" s="27"/>
      <c r="G8432" s="27" t="s">
        <v>11122</v>
      </c>
      <c r="H8432" s="27" t="s">
        <v>35</v>
      </c>
      <c r="I8432" s="27" t="s">
        <v>39</v>
      </c>
      <c r="J8432" s="28" t="s">
        <v>856</v>
      </c>
      <c r="K8432" s="27" t="s">
        <v>38</v>
      </c>
      <c r="L8432" s="27"/>
    </row>
    <row r="8433" customFormat="false" ht="15" hidden="false" customHeight="false" outlineLevel="0" collapsed="false">
      <c r="A8433" s="26" t="s">
        <v>21781</v>
      </c>
      <c r="B8433" s="27" t="s">
        <v>21782</v>
      </c>
      <c r="C8433" s="27" t="s">
        <v>144</v>
      </c>
      <c r="D8433" s="26"/>
      <c r="E8433" s="27"/>
      <c r="F8433" s="27"/>
      <c r="G8433" s="27" t="s">
        <v>11122</v>
      </c>
      <c r="H8433" s="27" t="s">
        <v>35</v>
      </c>
      <c r="I8433" s="27" t="s">
        <v>41</v>
      </c>
      <c r="J8433" s="28" t="s">
        <v>856</v>
      </c>
      <c r="K8433" s="27" t="s">
        <v>38</v>
      </c>
      <c r="L8433" s="27"/>
    </row>
    <row r="8434" customFormat="false" ht="15" hidden="false" customHeight="false" outlineLevel="0" collapsed="false">
      <c r="A8434" s="26" t="s">
        <v>21783</v>
      </c>
      <c r="B8434" s="27" t="s">
        <v>21784</v>
      </c>
      <c r="C8434" s="27" t="s">
        <v>144</v>
      </c>
      <c r="D8434" s="26"/>
      <c r="E8434" s="27"/>
      <c r="F8434" s="27"/>
      <c r="G8434" s="27" t="s">
        <v>11122</v>
      </c>
      <c r="H8434" s="27" t="s">
        <v>35</v>
      </c>
      <c r="I8434" s="27" t="s">
        <v>38</v>
      </c>
      <c r="J8434" s="28" t="s">
        <v>856</v>
      </c>
      <c r="K8434" s="27" t="s">
        <v>38</v>
      </c>
      <c r="L8434" s="27"/>
    </row>
    <row r="8435" customFormat="false" ht="15" hidden="false" customHeight="false" outlineLevel="0" collapsed="false">
      <c r="A8435" s="26" t="s">
        <v>21785</v>
      </c>
      <c r="B8435" s="27" t="s">
        <v>21786</v>
      </c>
      <c r="C8435" s="27" t="s">
        <v>144</v>
      </c>
      <c r="D8435" s="26"/>
      <c r="E8435" s="27"/>
      <c r="F8435" s="27"/>
      <c r="G8435" s="27" t="s">
        <v>11122</v>
      </c>
      <c r="H8435" s="27" t="s">
        <v>35</v>
      </c>
      <c r="I8435" s="27" t="s">
        <v>38</v>
      </c>
      <c r="J8435" s="28" t="s">
        <v>856</v>
      </c>
      <c r="K8435" s="27" t="s">
        <v>38</v>
      </c>
      <c r="L8435" s="27"/>
    </row>
    <row r="8436" customFormat="false" ht="15" hidden="false" customHeight="false" outlineLevel="0" collapsed="false">
      <c r="A8436" s="26" t="s">
        <v>21787</v>
      </c>
      <c r="B8436" s="27" t="s">
        <v>21788</v>
      </c>
      <c r="C8436" s="27" t="s">
        <v>144</v>
      </c>
      <c r="D8436" s="26"/>
      <c r="E8436" s="27"/>
      <c r="F8436" s="27"/>
      <c r="G8436" s="27" t="s">
        <v>11122</v>
      </c>
      <c r="H8436" s="27" t="s">
        <v>35</v>
      </c>
      <c r="I8436" s="27" t="s">
        <v>38</v>
      </c>
      <c r="J8436" s="28" t="s">
        <v>856</v>
      </c>
      <c r="K8436" s="27" t="s">
        <v>38</v>
      </c>
      <c r="L8436" s="27"/>
    </row>
    <row r="8437" customFormat="false" ht="15" hidden="false" customHeight="false" outlineLevel="0" collapsed="false">
      <c r="A8437" s="26" t="s">
        <v>21789</v>
      </c>
      <c r="B8437" s="27" t="s">
        <v>21790</v>
      </c>
      <c r="C8437" s="27" t="s">
        <v>144</v>
      </c>
      <c r="D8437" s="26"/>
      <c r="E8437" s="27"/>
      <c r="F8437" s="27"/>
      <c r="G8437" s="27" t="s">
        <v>11122</v>
      </c>
      <c r="H8437" s="27" t="s">
        <v>35</v>
      </c>
      <c r="I8437" s="27" t="s">
        <v>41</v>
      </c>
      <c r="J8437" s="28" t="s">
        <v>856</v>
      </c>
      <c r="K8437" s="27" t="s">
        <v>38</v>
      </c>
      <c r="L8437" s="27"/>
    </row>
    <row r="8438" customFormat="false" ht="15" hidden="false" customHeight="false" outlineLevel="0" collapsed="false">
      <c r="A8438" s="26" t="s">
        <v>21791</v>
      </c>
      <c r="B8438" s="27" t="s">
        <v>21792</v>
      </c>
      <c r="C8438" s="27" t="s">
        <v>144</v>
      </c>
      <c r="D8438" s="26"/>
      <c r="E8438" s="27"/>
      <c r="F8438" s="27"/>
      <c r="G8438" s="27" t="s">
        <v>11122</v>
      </c>
      <c r="H8438" s="27" t="s">
        <v>35</v>
      </c>
      <c r="I8438" s="27" t="s">
        <v>38</v>
      </c>
      <c r="J8438" s="28" t="s">
        <v>856</v>
      </c>
      <c r="K8438" s="27" t="s">
        <v>38</v>
      </c>
      <c r="L8438" s="27"/>
    </row>
    <row r="8439" customFormat="false" ht="15" hidden="false" customHeight="false" outlineLevel="0" collapsed="false">
      <c r="A8439" s="26" t="s">
        <v>21793</v>
      </c>
      <c r="B8439" s="27" t="s">
        <v>21794</v>
      </c>
      <c r="C8439" s="27" t="s">
        <v>144</v>
      </c>
      <c r="D8439" s="26"/>
      <c r="E8439" s="27"/>
      <c r="F8439" s="27"/>
      <c r="G8439" s="27" t="s">
        <v>11122</v>
      </c>
      <c r="H8439" s="27" t="s">
        <v>35</v>
      </c>
      <c r="I8439" s="27" t="s">
        <v>38</v>
      </c>
      <c r="J8439" s="28" t="s">
        <v>856</v>
      </c>
      <c r="K8439" s="27" t="s">
        <v>38</v>
      </c>
      <c r="L8439" s="27"/>
    </row>
    <row r="8440" customFormat="false" ht="15" hidden="false" customHeight="false" outlineLevel="0" collapsed="false">
      <c r="A8440" s="26" t="s">
        <v>21795</v>
      </c>
      <c r="B8440" s="27" t="s">
        <v>21796</v>
      </c>
      <c r="C8440" s="27" t="s">
        <v>144</v>
      </c>
      <c r="D8440" s="26"/>
      <c r="E8440" s="27"/>
      <c r="F8440" s="27"/>
      <c r="G8440" s="27" t="s">
        <v>11122</v>
      </c>
      <c r="H8440" s="27" t="s">
        <v>35</v>
      </c>
      <c r="I8440" s="27" t="s">
        <v>887</v>
      </c>
      <c r="J8440" s="28" t="s">
        <v>856</v>
      </c>
      <c r="K8440" s="27" t="s">
        <v>38</v>
      </c>
      <c r="L8440" s="27"/>
    </row>
    <row r="8441" customFormat="false" ht="15" hidden="false" customHeight="false" outlineLevel="0" collapsed="false">
      <c r="A8441" s="26" t="s">
        <v>21797</v>
      </c>
      <c r="B8441" s="27" t="s">
        <v>21798</v>
      </c>
      <c r="C8441" s="27" t="s">
        <v>144</v>
      </c>
      <c r="D8441" s="26"/>
      <c r="E8441" s="27"/>
      <c r="F8441" s="27"/>
      <c r="G8441" s="27" t="s">
        <v>11122</v>
      </c>
      <c r="H8441" s="27" t="s">
        <v>35</v>
      </c>
      <c r="I8441" s="27" t="s">
        <v>41</v>
      </c>
      <c r="J8441" s="28" t="s">
        <v>856</v>
      </c>
      <c r="K8441" s="27" t="s">
        <v>38</v>
      </c>
      <c r="L8441" s="27"/>
    </row>
    <row r="8442" customFormat="false" ht="15" hidden="false" customHeight="false" outlineLevel="0" collapsed="false">
      <c r="A8442" s="26" t="s">
        <v>21799</v>
      </c>
      <c r="B8442" s="27" t="s">
        <v>21800</v>
      </c>
      <c r="C8442" s="27" t="s">
        <v>144</v>
      </c>
      <c r="D8442" s="26"/>
      <c r="E8442" s="27"/>
      <c r="F8442" s="27"/>
      <c r="G8442" s="27" t="s">
        <v>11122</v>
      </c>
      <c r="H8442" s="27" t="s">
        <v>35</v>
      </c>
      <c r="I8442" s="27" t="s">
        <v>38</v>
      </c>
      <c r="J8442" s="28" t="s">
        <v>856</v>
      </c>
      <c r="K8442" s="27" t="s">
        <v>38</v>
      </c>
      <c r="L8442" s="27"/>
    </row>
    <row r="8443" customFormat="false" ht="15" hidden="false" customHeight="false" outlineLevel="0" collapsed="false">
      <c r="A8443" s="26" t="s">
        <v>21801</v>
      </c>
      <c r="B8443" s="27" t="s">
        <v>21802</v>
      </c>
      <c r="C8443" s="27" t="s">
        <v>144</v>
      </c>
      <c r="D8443" s="26"/>
      <c r="E8443" s="27"/>
      <c r="F8443" s="27"/>
      <c r="G8443" s="27" t="s">
        <v>11122</v>
      </c>
      <c r="H8443" s="27" t="s">
        <v>35</v>
      </c>
      <c r="I8443" s="27" t="s">
        <v>41</v>
      </c>
      <c r="J8443" s="28" t="s">
        <v>856</v>
      </c>
      <c r="K8443" s="27" t="s">
        <v>38</v>
      </c>
      <c r="L8443" s="27"/>
    </row>
    <row r="8444" customFormat="false" ht="15" hidden="false" customHeight="false" outlineLevel="0" collapsed="false">
      <c r="A8444" s="26" t="s">
        <v>21803</v>
      </c>
      <c r="B8444" s="27" t="s">
        <v>21804</v>
      </c>
      <c r="C8444" s="27" t="s">
        <v>144</v>
      </c>
      <c r="D8444" s="26"/>
      <c r="E8444" s="27"/>
      <c r="F8444" s="27"/>
      <c r="G8444" s="27" t="s">
        <v>11122</v>
      </c>
      <c r="H8444" s="27" t="s">
        <v>35</v>
      </c>
      <c r="I8444" s="27" t="s">
        <v>38</v>
      </c>
      <c r="J8444" s="28" t="s">
        <v>856</v>
      </c>
      <c r="K8444" s="27" t="s">
        <v>38</v>
      </c>
      <c r="L8444" s="27"/>
    </row>
    <row r="8445" customFormat="false" ht="15" hidden="false" customHeight="false" outlineLevel="0" collapsed="false">
      <c r="A8445" s="26" t="s">
        <v>21805</v>
      </c>
      <c r="B8445" s="27" t="s">
        <v>21806</v>
      </c>
      <c r="C8445" s="27" t="s">
        <v>144</v>
      </c>
      <c r="D8445" s="26"/>
      <c r="E8445" s="27"/>
      <c r="F8445" s="27"/>
      <c r="G8445" s="27" t="s">
        <v>11122</v>
      </c>
      <c r="H8445" s="27" t="s">
        <v>35</v>
      </c>
      <c r="I8445" s="27" t="s">
        <v>38</v>
      </c>
      <c r="J8445" s="28" t="s">
        <v>856</v>
      </c>
      <c r="K8445" s="27" t="s">
        <v>38</v>
      </c>
      <c r="L8445" s="27"/>
    </row>
    <row r="8446" customFormat="false" ht="15" hidden="false" customHeight="false" outlineLevel="0" collapsed="false">
      <c r="A8446" s="26" t="s">
        <v>21807</v>
      </c>
      <c r="B8446" s="27" t="s">
        <v>21808</v>
      </c>
      <c r="C8446" s="27" t="s">
        <v>144</v>
      </c>
      <c r="D8446" s="26"/>
      <c r="E8446" s="27"/>
      <c r="F8446" s="27"/>
      <c r="G8446" s="27" t="s">
        <v>11122</v>
      </c>
      <c r="H8446" s="27" t="s">
        <v>35</v>
      </c>
      <c r="I8446" s="27" t="s">
        <v>41</v>
      </c>
      <c r="J8446" s="28" t="s">
        <v>856</v>
      </c>
      <c r="K8446" s="27" t="s">
        <v>38</v>
      </c>
      <c r="L8446" s="27"/>
    </row>
    <row r="8447" customFormat="false" ht="15" hidden="false" customHeight="false" outlineLevel="0" collapsed="false">
      <c r="A8447" s="26" t="s">
        <v>21809</v>
      </c>
      <c r="B8447" s="27" t="s">
        <v>21810</v>
      </c>
      <c r="C8447" s="27" t="s">
        <v>144</v>
      </c>
      <c r="D8447" s="26"/>
      <c r="E8447" s="27"/>
      <c r="F8447" s="27"/>
      <c r="G8447" s="27" t="s">
        <v>11122</v>
      </c>
      <c r="H8447" s="27" t="s">
        <v>35</v>
      </c>
      <c r="I8447" s="27" t="s">
        <v>41</v>
      </c>
      <c r="J8447" s="28" t="s">
        <v>856</v>
      </c>
      <c r="K8447" s="27" t="s">
        <v>38</v>
      </c>
      <c r="L8447" s="27"/>
    </row>
    <row r="8448" customFormat="false" ht="15" hidden="false" customHeight="false" outlineLevel="0" collapsed="false">
      <c r="A8448" s="26" t="s">
        <v>21811</v>
      </c>
      <c r="B8448" s="27" t="s">
        <v>21812</v>
      </c>
      <c r="C8448" s="27" t="s">
        <v>144</v>
      </c>
      <c r="D8448" s="26"/>
      <c r="E8448" s="27"/>
      <c r="F8448" s="27"/>
      <c r="G8448" s="27" t="s">
        <v>11122</v>
      </c>
      <c r="H8448" s="27" t="s">
        <v>35</v>
      </c>
      <c r="I8448" s="27" t="s">
        <v>38</v>
      </c>
      <c r="J8448" s="28" t="s">
        <v>856</v>
      </c>
      <c r="K8448" s="27" t="s">
        <v>38</v>
      </c>
      <c r="L8448" s="27"/>
    </row>
    <row r="8449" customFormat="false" ht="15" hidden="false" customHeight="false" outlineLevel="0" collapsed="false">
      <c r="A8449" s="26" t="s">
        <v>21813</v>
      </c>
      <c r="B8449" s="27" t="s">
        <v>21814</v>
      </c>
      <c r="C8449" s="27" t="s">
        <v>144</v>
      </c>
      <c r="D8449" s="26"/>
      <c r="E8449" s="27"/>
      <c r="F8449" s="27"/>
      <c r="G8449" s="27" t="s">
        <v>11122</v>
      </c>
      <c r="H8449" s="27" t="s">
        <v>35</v>
      </c>
      <c r="I8449" s="27" t="s">
        <v>38</v>
      </c>
      <c r="J8449" s="28" t="s">
        <v>856</v>
      </c>
      <c r="K8449" s="27" t="s">
        <v>38</v>
      </c>
      <c r="L8449" s="27"/>
    </row>
    <row r="8450" customFormat="false" ht="15" hidden="false" customHeight="false" outlineLevel="0" collapsed="false">
      <c r="A8450" s="26" t="s">
        <v>21815</v>
      </c>
      <c r="B8450" s="27" t="s">
        <v>21816</v>
      </c>
      <c r="C8450" s="27" t="s">
        <v>144</v>
      </c>
      <c r="D8450" s="26"/>
      <c r="E8450" s="27"/>
      <c r="F8450" s="27"/>
      <c r="G8450" s="27" t="s">
        <v>11122</v>
      </c>
      <c r="H8450" s="27" t="s">
        <v>35</v>
      </c>
      <c r="I8450" s="27" t="s">
        <v>41</v>
      </c>
      <c r="J8450" s="28" t="s">
        <v>856</v>
      </c>
      <c r="K8450" s="27" t="s">
        <v>38</v>
      </c>
      <c r="L8450" s="27"/>
    </row>
    <row r="8451" customFormat="false" ht="15" hidden="false" customHeight="false" outlineLevel="0" collapsed="false">
      <c r="A8451" s="26" t="s">
        <v>21817</v>
      </c>
      <c r="B8451" s="27" t="s">
        <v>21818</v>
      </c>
      <c r="C8451" s="27" t="s">
        <v>144</v>
      </c>
      <c r="D8451" s="26"/>
      <c r="E8451" s="27"/>
      <c r="F8451" s="27"/>
      <c r="G8451" s="27" t="s">
        <v>11122</v>
      </c>
      <c r="H8451" s="27" t="s">
        <v>35</v>
      </c>
      <c r="I8451" s="27" t="s">
        <v>41</v>
      </c>
      <c r="J8451" s="28" t="s">
        <v>856</v>
      </c>
      <c r="K8451" s="27" t="s">
        <v>38</v>
      </c>
      <c r="L8451" s="27"/>
    </row>
    <row r="8452" customFormat="false" ht="15" hidden="false" customHeight="false" outlineLevel="0" collapsed="false">
      <c r="A8452" s="26" t="s">
        <v>21819</v>
      </c>
      <c r="B8452" s="27" t="s">
        <v>21820</v>
      </c>
      <c r="C8452" s="27" t="s">
        <v>144</v>
      </c>
      <c r="D8452" s="26"/>
      <c r="E8452" s="27"/>
      <c r="F8452" s="27"/>
      <c r="G8452" s="27" t="s">
        <v>11122</v>
      </c>
      <c r="H8452" s="27" t="s">
        <v>35</v>
      </c>
      <c r="I8452" s="27" t="s">
        <v>37</v>
      </c>
      <c r="J8452" s="28" t="s">
        <v>856</v>
      </c>
      <c r="K8452" s="27" t="s">
        <v>38</v>
      </c>
      <c r="L8452" s="27"/>
    </row>
    <row r="8453" customFormat="false" ht="15" hidden="false" customHeight="false" outlineLevel="0" collapsed="false">
      <c r="A8453" s="26" t="s">
        <v>21821</v>
      </c>
      <c r="B8453" s="27" t="s">
        <v>21822</v>
      </c>
      <c r="C8453" s="27" t="s">
        <v>144</v>
      </c>
      <c r="D8453" s="26"/>
      <c r="E8453" s="27"/>
      <c r="F8453" s="27"/>
      <c r="G8453" s="27" t="s">
        <v>11122</v>
      </c>
      <c r="H8453" s="27" t="s">
        <v>35</v>
      </c>
      <c r="I8453" s="27" t="s">
        <v>42</v>
      </c>
      <c r="J8453" s="28" t="s">
        <v>856</v>
      </c>
      <c r="K8453" s="27" t="s">
        <v>38</v>
      </c>
      <c r="L8453" s="27"/>
    </row>
    <row r="8454" customFormat="false" ht="15" hidden="false" customHeight="false" outlineLevel="0" collapsed="false">
      <c r="A8454" s="26" t="s">
        <v>21823</v>
      </c>
      <c r="B8454" s="27" t="s">
        <v>21824</v>
      </c>
      <c r="C8454" s="27" t="s">
        <v>144</v>
      </c>
      <c r="D8454" s="26"/>
      <c r="E8454" s="27"/>
      <c r="F8454" s="27"/>
      <c r="G8454" s="27" t="s">
        <v>11122</v>
      </c>
      <c r="H8454" s="27" t="s">
        <v>35</v>
      </c>
      <c r="I8454" s="27" t="s">
        <v>38</v>
      </c>
      <c r="J8454" s="28" t="s">
        <v>856</v>
      </c>
      <c r="K8454" s="27" t="s">
        <v>38</v>
      </c>
      <c r="L8454" s="27"/>
    </row>
    <row r="8455" customFormat="false" ht="15" hidden="false" customHeight="false" outlineLevel="0" collapsed="false">
      <c r="A8455" s="26" t="s">
        <v>21825</v>
      </c>
      <c r="B8455" s="27" t="s">
        <v>21826</v>
      </c>
      <c r="C8455" s="27" t="s">
        <v>144</v>
      </c>
      <c r="D8455" s="26"/>
      <c r="E8455" s="27"/>
      <c r="F8455" s="27"/>
      <c r="G8455" s="27" t="s">
        <v>11122</v>
      </c>
      <c r="H8455" s="27" t="s">
        <v>35</v>
      </c>
      <c r="I8455" s="27" t="s">
        <v>37</v>
      </c>
      <c r="J8455" s="28" t="s">
        <v>856</v>
      </c>
      <c r="K8455" s="27" t="s">
        <v>38</v>
      </c>
      <c r="L8455" s="27"/>
    </row>
    <row r="8456" customFormat="false" ht="15" hidden="false" customHeight="false" outlineLevel="0" collapsed="false">
      <c r="A8456" s="26" t="s">
        <v>21827</v>
      </c>
      <c r="B8456" s="27" t="s">
        <v>21828</v>
      </c>
      <c r="C8456" s="27" t="s">
        <v>144</v>
      </c>
      <c r="D8456" s="26"/>
      <c r="E8456" s="27"/>
      <c r="F8456" s="27"/>
      <c r="G8456" s="27" t="s">
        <v>11122</v>
      </c>
      <c r="H8456" s="27" t="s">
        <v>35</v>
      </c>
      <c r="I8456" s="27" t="s">
        <v>41</v>
      </c>
      <c r="J8456" s="28" t="s">
        <v>856</v>
      </c>
      <c r="K8456" s="27" t="s">
        <v>38</v>
      </c>
      <c r="L8456" s="27"/>
    </row>
    <row r="8457" customFormat="false" ht="15" hidden="false" customHeight="false" outlineLevel="0" collapsed="false">
      <c r="A8457" s="26" t="s">
        <v>21829</v>
      </c>
      <c r="B8457" s="27" t="s">
        <v>21830</v>
      </c>
      <c r="C8457" s="27" t="s">
        <v>144</v>
      </c>
      <c r="D8457" s="26"/>
      <c r="E8457" s="27"/>
      <c r="F8457" s="27"/>
      <c r="G8457" s="27" t="s">
        <v>11122</v>
      </c>
      <c r="H8457" s="27" t="s">
        <v>35</v>
      </c>
      <c r="I8457" s="27" t="s">
        <v>41</v>
      </c>
      <c r="J8457" s="28" t="s">
        <v>856</v>
      </c>
      <c r="K8457" s="27" t="s">
        <v>38</v>
      </c>
      <c r="L8457" s="27"/>
    </row>
    <row r="8458" customFormat="false" ht="15" hidden="false" customHeight="false" outlineLevel="0" collapsed="false">
      <c r="A8458" s="26" t="s">
        <v>21831</v>
      </c>
      <c r="B8458" s="27" t="s">
        <v>21832</v>
      </c>
      <c r="C8458" s="27" t="s">
        <v>144</v>
      </c>
      <c r="D8458" s="26"/>
      <c r="E8458" s="27"/>
      <c r="F8458" s="27"/>
      <c r="G8458" s="27" t="s">
        <v>11122</v>
      </c>
      <c r="H8458" s="27" t="s">
        <v>35</v>
      </c>
      <c r="I8458" s="27" t="s">
        <v>37</v>
      </c>
      <c r="J8458" s="28" t="s">
        <v>856</v>
      </c>
      <c r="K8458" s="27" t="s">
        <v>38</v>
      </c>
      <c r="L8458" s="27"/>
    </row>
    <row r="8459" customFormat="false" ht="15" hidden="false" customHeight="false" outlineLevel="0" collapsed="false">
      <c r="A8459" s="26" t="s">
        <v>21833</v>
      </c>
      <c r="B8459" s="27" t="s">
        <v>21834</v>
      </c>
      <c r="C8459" s="27" t="s">
        <v>144</v>
      </c>
      <c r="D8459" s="26"/>
      <c r="E8459" s="27"/>
      <c r="F8459" s="27"/>
      <c r="G8459" s="27" t="s">
        <v>11122</v>
      </c>
      <c r="H8459" s="27" t="s">
        <v>35</v>
      </c>
      <c r="I8459" s="27" t="s">
        <v>37</v>
      </c>
      <c r="J8459" s="28" t="s">
        <v>856</v>
      </c>
      <c r="K8459" s="27" t="s">
        <v>38</v>
      </c>
      <c r="L8459" s="27"/>
    </row>
    <row r="8460" customFormat="false" ht="15" hidden="false" customHeight="false" outlineLevel="0" collapsed="false">
      <c r="A8460" s="26" t="s">
        <v>21835</v>
      </c>
      <c r="B8460" s="27" t="s">
        <v>21836</v>
      </c>
      <c r="C8460" s="27" t="s">
        <v>144</v>
      </c>
      <c r="D8460" s="26"/>
      <c r="E8460" s="27"/>
      <c r="F8460" s="27"/>
      <c r="G8460" s="27" t="s">
        <v>11122</v>
      </c>
      <c r="H8460" s="27" t="s">
        <v>35</v>
      </c>
      <c r="I8460" s="27" t="s">
        <v>37</v>
      </c>
      <c r="J8460" s="28" t="s">
        <v>856</v>
      </c>
      <c r="K8460" s="27" t="s">
        <v>38</v>
      </c>
      <c r="L8460" s="27"/>
    </row>
    <row r="8461" customFormat="false" ht="15" hidden="false" customHeight="false" outlineLevel="0" collapsed="false">
      <c r="A8461" s="26" t="s">
        <v>21837</v>
      </c>
      <c r="B8461" s="27" t="s">
        <v>21838</v>
      </c>
      <c r="C8461" s="27" t="s">
        <v>144</v>
      </c>
      <c r="D8461" s="26"/>
      <c r="E8461" s="27"/>
      <c r="F8461" s="27"/>
      <c r="G8461" s="27" t="s">
        <v>11122</v>
      </c>
      <c r="H8461" s="27" t="s">
        <v>35</v>
      </c>
      <c r="I8461" s="27" t="s">
        <v>41</v>
      </c>
      <c r="J8461" s="28" t="s">
        <v>856</v>
      </c>
      <c r="K8461" s="27" t="s">
        <v>38</v>
      </c>
      <c r="L8461" s="27"/>
    </row>
    <row r="8462" customFormat="false" ht="15" hidden="false" customHeight="false" outlineLevel="0" collapsed="false">
      <c r="A8462" s="26" t="s">
        <v>21839</v>
      </c>
      <c r="B8462" s="27" t="s">
        <v>21840</v>
      </c>
      <c r="C8462" s="27" t="s">
        <v>144</v>
      </c>
      <c r="D8462" s="26"/>
      <c r="E8462" s="27"/>
      <c r="F8462" s="27"/>
      <c r="G8462" s="27" t="s">
        <v>11122</v>
      </c>
      <c r="H8462" s="27" t="s">
        <v>35</v>
      </c>
      <c r="I8462" s="27" t="s">
        <v>41</v>
      </c>
      <c r="J8462" s="28" t="s">
        <v>856</v>
      </c>
      <c r="K8462" s="27" t="s">
        <v>38</v>
      </c>
      <c r="L8462" s="27"/>
    </row>
    <row r="8463" customFormat="false" ht="15" hidden="false" customHeight="false" outlineLevel="0" collapsed="false">
      <c r="A8463" s="26" t="s">
        <v>21841</v>
      </c>
      <c r="B8463" s="27" t="s">
        <v>21842</v>
      </c>
      <c r="C8463" s="27" t="s">
        <v>144</v>
      </c>
      <c r="D8463" s="26"/>
      <c r="E8463" s="27"/>
      <c r="F8463" s="27"/>
      <c r="G8463" s="27" t="s">
        <v>11122</v>
      </c>
      <c r="H8463" s="27" t="s">
        <v>35</v>
      </c>
      <c r="I8463" s="27" t="s">
        <v>37</v>
      </c>
      <c r="J8463" s="28" t="s">
        <v>856</v>
      </c>
      <c r="K8463" s="27" t="s">
        <v>38</v>
      </c>
      <c r="L8463" s="27"/>
    </row>
    <row r="8464" customFormat="false" ht="15" hidden="false" customHeight="false" outlineLevel="0" collapsed="false">
      <c r="A8464" s="26" t="s">
        <v>21843</v>
      </c>
      <c r="B8464" s="27" t="s">
        <v>21844</v>
      </c>
      <c r="C8464" s="27" t="s">
        <v>144</v>
      </c>
      <c r="D8464" s="26"/>
      <c r="E8464" s="27"/>
      <c r="F8464" s="27"/>
      <c r="G8464" s="27" t="s">
        <v>11122</v>
      </c>
      <c r="H8464" s="27" t="s">
        <v>35</v>
      </c>
      <c r="I8464" s="27" t="s">
        <v>37</v>
      </c>
      <c r="J8464" s="28" t="s">
        <v>856</v>
      </c>
      <c r="K8464" s="27" t="s">
        <v>38</v>
      </c>
      <c r="L8464" s="27"/>
    </row>
    <row r="8465" customFormat="false" ht="15" hidden="false" customHeight="false" outlineLevel="0" collapsed="false">
      <c r="A8465" s="26" t="s">
        <v>21845</v>
      </c>
      <c r="B8465" s="27" t="s">
        <v>21846</v>
      </c>
      <c r="C8465" s="27" t="s">
        <v>144</v>
      </c>
      <c r="D8465" s="26"/>
      <c r="E8465" s="27"/>
      <c r="F8465" s="27"/>
      <c r="G8465" s="27" t="s">
        <v>11122</v>
      </c>
      <c r="H8465" s="27" t="s">
        <v>35</v>
      </c>
      <c r="I8465" s="27" t="s">
        <v>37</v>
      </c>
      <c r="J8465" s="28" t="s">
        <v>856</v>
      </c>
      <c r="K8465" s="27" t="s">
        <v>38</v>
      </c>
      <c r="L8465" s="27"/>
    </row>
    <row r="8466" customFormat="false" ht="15" hidden="false" customHeight="false" outlineLevel="0" collapsed="false">
      <c r="A8466" s="26" t="s">
        <v>21847</v>
      </c>
      <c r="B8466" s="27" t="s">
        <v>21848</v>
      </c>
      <c r="C8466" s="27" t="s">
        <v>144</v>
      </c>
      <c r="D8466" s="26"/>
      <c r="E8466" s="27"/>
      <c r="F8466" s="27"/>
      <c r="G8466" s="27" t="s">
        <v>11122</v>
      </c>
      <c r="H8466" s="27" t="s">
        <v>35</v>
      </c>
      <c r="I8466" s="27" t="s">
        <v>37</v>
      </c>
      <c r="J8466" s="28" t="s">
        <v>856</v>
      </c>
      <c r="K8466" s="27" t="s">
        <v>38</v>
      </c>
      <c r="L8466" s="27"/>
    </row>
    <row r="8467" customFormat="false" ht="15" hidden="false" customHeight="false" outlineLevel="0" collapsed="false">
      <c r="A8467" s="26" t="s">
        <v>21849</v>
      </c>
      <c r="B8467" s="27" t="s">
        <v>21850</v>
      </c>
      <c r="C8467" s="27" t="s">
        <v>144</v>
      </c>
      <c r="D8467" s="26"/>
      <c r="E8467" s="27"/>
      <c r="F8467" s="27"/>
      <c r="G8467" s="27" t="s">
        <v>11122</v>
      </c>
      <c r="H8467" s="27" t="s">
        <v>35</v>
      </c>
      <c r="I8467" s="27" t="s">
        <v>37</v>
      </c>
      <c r="J8467" s="28" t="s">
        <v>856</v>
      </c>
      <c r="K8467" s="27" t="s">
        <v>38</v>
      </c>
      <c r="L8467" s="27"/>
    </row>
    <row r="8468" customFormat="false" ht="15" hidden="false" customHeight="false" outlineLevel="0" collapsed="false">
      <c r="A8468" s="26" t="s">
        <v>21851</v>
      </c>
      <c r="B8468" s="27" t="s">
        <v>21852</v>
      </c>
      <c r="C8468" s="27" t="s">
        <v>144</v>
      </c>
      <c r="D8468" s="26"/>
      <c r="E8468" s="27"/>
      <c r="F8468" s="27"/>
      <c r="G8468" s="27" t="s">
        <v>11122</v>
      </c>
      <c r="H8468" s="27" t="s">
        <v>35</v>
      </c>
      <c r="I8468" s="27" t="s">
        <v>37</v>
      </c>
      <c r="J8468" s="28" t="s">
        <v>856</v>
      </c>
      <c r="K8468" s="27" t="s">
        <v>38</v>
      </c>
      <c r="L8468" s="27"/>
    </row>
    <row r="8469" customFormat="false" ht="15" hidden="false" customHeight="false" outlineLevel="0" collapsed="false">
      <c r="A8469" s="26" t="s">
        <v>21853</v>
      </c>
      <c r="B8469" s="27" t="s">
        <v>21854</v>
      </c>
      <c r="C8469" s="27" t="s">
        <v>144</v>
      </c>
      <c r="D8469" s="26"/>
      <c r="E8469" s="27"/>
      <c r="F8469" s="27"/>
      <c r="G8469" s="27" t="s">
        <v>11122</v>
      </c>
      <c r="H8469" s="27" t="s">
        <v>35</v>
      </c>
      <c r="I8469" s="27" t="s">
        <v>887</v>
      </c>
      <c r="J8469" s="28" t="s">
        <v>856</v>
      </c>
      <c r="K8469" s="27" t="s">
        <v>38</v>
      </c>
      <c r="L8469" s="27"/>
    </row>
    <row r="8470" customFormat="false" ht="15" hidden="false" customHeight="false" outlineLevel="0" collapsed="false">
      <c r="A8470" s="26" t="s">
        <v>21855</v>
      </c>
      <c r="B8470" s="27" t="s">
        <v>21856</v>
      </c>
      <c r="C8470" s="27" t="s">
        <v>144</v>
      </c>
      <c r="D8470" s="26"/>
      <c r="E8470" s="27"/>
      <c r="F8470" s="27"/>
      <c r="G8470" s="27" t="s">
        <v>11122</v>
      </c>
      <c r="H8470" s="27" t="s">
        <v>35</v>
      </c>
      <c r="I8470" s="27" t="s">
        <v>887</v>
      </c>
      <c r="J8470" s="28" t="s">
        <v>856</v>
      </c>
      <c r="K8470" s="27" t="s">
        <v>38</v>
      </c>
      <c r="L8470" s="27"/>
    </row>
    <row r="8471" customFormat="false" ht="15" hidden="false" customHeight="false" outlineLevel="0" collapsed="false">
      <c r="A8471" s="26" t="s">
        <v>21857</v>
      </c>
      <c r="B8471" s="27" t="s">
        <v>21858</v>
      </c>
      <c r="C8471" s="27" t="s">
        <v>144</v>
      </c>
      <c r="D8471" s="26"/>
      <c r="E8471" s="27"/>
      <c r="F8471" s="27"/>
      <c r="G8471" s="27" t="s">
        <v>11122</v>
      </c>
      <c r="H8471" s="27" t="s">
        <v>35</v>
      </c>
      <c r="I8471" s="27" t="s">
        <v>38</v>
      </c>
      <c r="J8471" s="28" t="s">
        <v>856</v>
      </c>
      <c r="K8471" s="27" t="s">
        <v>38</v>
      </c>
      <c r="L8471" s="27"/>
    </row>
    <row r="8472" customFormat="false" ht="15" hidden="false" customHeight="false" outlineLevel="0" collapsed="false">
      <c r="A8472" s="26" t="s">
        <v>21859</v>
      </c>
      <c r="B8472" s="27" t="s">
        <v>21860</v>
      </c>
      <c r="C8472" s="27" t="s">
        <v>144</v>
      </c>
      <c r="D8472" s="26"/>
      <c r="E8472" s="27"/>
      <c r="F8472" s="27"/>
      <c r="G8472" s="27" t="s">
        <v>11122</v>
      </c>
      <c r="H8472" s="27" t="s">
        <v>35</v>
      </c>
      <c r="I8472" s="27" t="s">
        <v>887</v>
      </c>
      <c r="J8472" s="28" t="s">
        <v>856</v>
      </c>
      <c r="K8472" s="27" t="s">
        <v>38</v>
      </c>
      <c r="L8472" s="27"/>
    </row>
    <row r="8473" customFormat="false" ht="15" hidden="false" customHeight="false" outlineLevel="0" collapsed="false">
      <c r="A8473" s="26" t="s">
        <v>21861</v>
      </c>
      <c r="B8473" s="27" t="s">
        <v>21862</v>
      </c>
      <c r="C8473" s="27" t="s">
        <v>144</v>
      </c>
      <c r="D8473" s="26"/>
      <c r="E8473" s="27"/>
      <c r="F8473" s="27"/>
      <c r="G8473" s="27" t="s">
        <v>11122</v>
      </c>
      <c r="H8473" s="27" t="s">
        <v>35</v>
      </c>
      <c r="I8473" s="27" t="s">
        <v>887</v>
      </c>
      <c r="J8473" s="28" t="s">
        <v>856</v>
      </c>
      <c r="K8473" s="27" t="s">
        <v>38</v>
      </c>
      <c r="L8473" s="27"/>
    </row>
    <row r="8474" customFormat="false" ht="15" hidden="false" customHeight="false" outlineLevel="0" collapsed="false">
      <c r="A8474" s="26" t="s">
        <v>21863</v>
      </c>
      <c r="B8474" s="27" t="s">
        <v>21864</v>
      </c>
      <c r="C8474" s="27" t="s">
        <v>144</v>
      </c>
      <c r="D8474" s="26"/>
      <c r="E8474" s="27"/>
      <c r="F8474" s="27"/>
      <c r="G8474" s="27" t="s">
        <v>11122</v>
      </c>
      <c r="H8474" s="27" t="s">
        <v>35</v>
      </c>
      <c r="I8474" s="27" t="s">
        <v>887</v>
      </c>
      <c r="J8474" s="28" t="s">
        <v>856</v>
      </c>
      <c r="K8474" s="27" t="s">
        <v>38</v>
      </c>
      <c r="L8474" s="27"/>
    </row>
    <row r="8475" customFormat="false" ht="15" hidden="false" customHeight="false" outlineLevel="0" collapsed="false">
      <c r="A8475" s="26" t="s">
        <v>21865</v>
      </c>
      <c r="B8475" s="27" t="s">
        <v>21866</v>
      </c>
      <c r="C8475" s="27" t="s">
        <v>144</v>
      </c>
      <c r="D8475" s="26"/>
      <c r="E8475" s="27"/>
      <c r="F8475" s="27"/>
      <c r="G8475" s="27" t="s">
        <v>11122</v>
      </c>
      <c r="H8475" s="27" t="s">
        <v>35</v>
      </c>
      <c r="I8475" s="27" t="s">
        <v>37</v>
      </c>
      <c r="J8475" s="28" t="s">
        <v>856</v>
      </c>
      <c r="K8475" s="27" t="s">
        <v>38</v>
      </c>
      <c r="L8475" s="27"/>
    </row>
    <row r="8476" customFormat="false" ht="15" hidden="false" customHeight="false" outlineLevel="0" collapsed="false">
      <c r="A8476" s="26" t="s">
        <v>21867</v>
      </c>
      <c r="B8476" s="27" t="s">
        <v>21868</v>
      </c>
      <c r="C8476" s="27" t="s">
        <v>144</v>
      </c>
      <c r="D8476" s="26"/>
      <c r="E8476" s="27"/>
      <c r="F8476" s="27"/>
      <c r="G8476" s="27" t="s">
        <v>11122</v>
      </c>
      <c r="H8476" s="27" t="s">
        <v>35</v>
      </c>
      <c r="I8476" s="27" t="s">
        <v>37</v>
      </c>
      <c r="J8476" s="28" t="s">
        <v>856</v>
      </c>
      <c r="K8476" s="27" t="s">
        <v>38</v>
      </c>
      <c r="L8476" s="27"/>
    </row>
    <row r="8477" customFormat="false" ht="15" hidden="false" customHeight="false" outlineLevel="0" collapsed="false">
      <c r="A8477" s="26" t="s">
        <v>21869</v>
      </c>
      <c r="B8477" s="27" t="s">
        <v>21870</v>
      </c>
      <c r="C8477" s="27" t="s">
        <v>144</v>
      </c>
      <c r="D8477" s="26"/>
      <c r="E8477" s="27"/>
      <c r="F8477" s="27"/>
      <c r="G8477" s="27" t="s">
        <v>11122</v>
      </c>
      <c r="H8477" s="27" t="s">
        <v>35</v>
      </c>
      <c r="I8477" s="27" t="s">
        <v>38</v>
      </c>
      <c r="J8477" s="28" t="s">
        <v>856</v>
      </c>
      <c r="K8477" s="27" t="s">
        <v>38</v>
      </c>
      <c r="L8477" s="27"/>
    </row>
    <row r="8478" customFormat="false" ht="15" hidden="false" customHeight="false" outlineLevel="0" collapsed="false">
      <c r="A8478" s="26" t="s">
        <v>21871</v>
      </c>
      <c r="B8478" s="27" t="s">
        <v>21872</v>
      </c>
      <c r="C8478" s="27" t="s">
        <v>144</v>
      </c>
      <c r="D8478" s="26"/>
      <c r="E8478" s="27"/>
      <c r="F8478" s="27"/>
      <c r="G8478" s="27" t="s">
        <v>11122</v>
      </c>
      <c r="H8478" s="27" t="s">
        <v>35</v>
      </c>
      <c r="I8478" s="27" t="s">
        <v>887</v>
      </c>
      <c r="J8478" s="28" t="s">
        <v>856</v>
      </c>
      <c r="K8478" s="27" t="s">
        <v>38</v>
      </c>
      <c r="L8478" s="27"/>
    </row>
    <row r="8479" customFormat="false" ht="15" hidden="false" customHeight="false" outlineLevel="0" collapsed="false">
      <c r="A8479" s="26" t="s">
        <v>21873</v>
      </c>
      <c r="B8479" s="27" t="s">
        <v>21874</v>
      </c>
      <c r="C8479" s="27" t="s">
        <v>144</v>
      </c>
      <c r="D8479" s="26"/>
      <c r="E8479" s="27"/>
      <c r="F8479" s="27"/>
      <c r="G8479" s="27" t="s">
        <v>11122</v>
      </c>
      <c r="H8479" s="27" t="s">
        <v>35</v>
      </c>
      <c r="I8479" s="27" t="s">
        <v>37</v>
      </c>
      <c r="J8479" s="28" t="s">
        <v>856</v>
      </c>
      <c r="K8479" s="27" t="s">
        <v>38</v>
      </c>
      <c r="L8479" s="27"/>
    </row>
    <row r="8480" customFormat="false" ht="15" hidden="false" customHeight="false" outlineLevel="0" collapsed="false">
      <c r="A8480" s="26" t="s">
        <v>21875</v>
      </c>
      <c r="B8480" s="27" t="s">
        <v>21876</v>
      </c>
      <c r="C8480" s="27" t="s">
        <v>144</v>
      </c>
      <c r="D8480" s="26"/>
      <c r="E8480" s="27"/>
      <c r="F8480" s="27"/>
      <c r="G8480" s="27" t="s">
        <v>11122</v>
      </c>
      <c r="H8480" s="27" t="s">
        <v>35</v>
      </c>
      <c r="I8480" s="27" t="s">
        <v>37</v>
      </c>
      <c r="J8480" s="28" t="s">
        <v>856</v>
      </c>
      <c r="K8480" s="27" t="s">
        <v>38</v>
      </c>
      <c r="L8480" s="27"/>
    </row>
    <row r="8481" customFormat="false" ht="15" hidden="false" customHeight="false" outlineLevel="0" collapsed="false">
      <c r="A8481" s="26" t="s">
        <v>21877</v>
      </c>
      <c r="B8481" s="27" t="s">
        <v>21878</v>
      </c>
      <c r="C8481" s="27" t="s">
        <v>144</v>
      </c>
      <c r="D8481" s="26"/>
      <c r="E8481" s="27"/>
      <c r="F8481" s="27"/>
      <c r="G8481" s="27" t="s">
        <v>11122</v>
      </c>
      <c r="H8481" s="27" t="s">
        <v>35</v>
      </c>
      <c r="I8481" s="27" t="s">
        <v>38</v>
      </c>
      <c r="J8481" s="28" t="s">
        <v>856</v>
      </c>
      <c r="K8481" s="27" t="s">
        <v>38</v>
      </c>
      <c r="L8481" s="27"/>
    </row>
    <row r="8482" customFormat="false" ht="15" hidden="false" customHeight="false" outlineLevel="0" collapsed="false">
      <c r="A8482" s="26" t="s">
        <v>21879</v>
      </c>
      <c r="B8482" s="27" t="s">
        <v>21880</v>
      </c>
      <c r="C8482" s="27" t="s">
        <v>144</v>
      </c>
      <c r="D8482" s="26"/>
      <c r="E8482" s="27"/>
      <c r="F8482" s="27"/>
      <c r="G8482" s="27" t="s">
        <v>11122</v>
      </c>
      <c r="H8482" s="27" t="s">
        <v>35</v>
      </c>
      <c r="I8482" s="27" t="s">
        <v>37</v>
      </c>
      <c r="J8482" s="28" t="s">
        <v>856</v>
      </c>
      <c r="K8482" s="27" t="s">
        <v>38</v>
      </c>
      <c r="L8482" s="27"/>
    </row>
    <row r="8483" customFormat="false" ht="15" hidden="false" customHeight="false" outlineLevel="0" collapsed="false">
      <c r="A8483" s="26" t="s">
        <v>21881</v>
      </c>
      <c r="B8483" s="27" t="s">
        <v>21882</v>
      </c>
      <c r="C8483" s="27" t="s">
        <v>144</v>
      </c>
      <c r="D8483" s="26"/>
      <c r="E8483" s="27"/>
      <c r="F8483" s="27"/>
      <c r="G8483" s="27" t="s">
        <v>11122</v>
      </c>
      <c r="H8483" s="27" t="s">
        <v>35</v>
      </c>
      <c r="I8483" s="27" t="s">
        <v>37</v>
      </c>
      <c r="J8483" s="28" t="s">
        <v>856</v>
      </c>
      <c r="K8483" s="27" t="s">
        <v>38</v>
      </c>
      <c r="L8483" s="27"/>
    </row>
    <row r="8484" customFormat="false" ht="15" hidden="false" customHeight="false" outlineLevel="0" collapsed="false">
      <c r="A8484" s="26" t="s">
        <v>21883</v>
      </c>
      <c r="B8484" s="27" t="s">
        <v>21884</v>
      </c>
      <c r="C8484" s="27" t="s">
        <v>144</v>
      </c>
      <c r="D8484" s="26"/>
      <c r="E8484" s="27"/>
      <c r="F8484" s="27"/>
      <c r="G8484" s="27" t="s">
        <v>11122</v>
      </c>
      <c r="H8484" s="27" t="s">
        <v>35</v>
      </c>
      <c r="I8484" s="27" t="s">
        <v>37</v>
      </c>
      <c r="J8484" s="28" t="s">
        <v>856</v>
      </c>
      <c r="K8484" s="27" t="s">
        <v>38</v>
      </c>
      <c r="L8484" s="27"/>
    </row>
    <row r="8485" customFormat="false" ht="15" hidden="false" customHeight="false" outlineLevel="0" collapsed="false">
      <c r="A8485" s="26" t="s">
        <v>21885</v>
      </c>
      <c r="B8485" s="27" t="s">
        <v>21886</v>
      </c>
      <c r="C8485" s="27" t="s">
        <v>144</v>
      </c>
      <c r="D8485" s="26"/>
      <c r="E8485" s="27"/>
      <c r="F8485" s="27"/>
      <c r="G8485" s="27" t="s">
        <v>11122</v>
      </c>
      <c r="H8485" s="27" t="s">
        <v>35</v>
      </c>
      <c r="I8485" s="27" t="s">
        <v>38</v>
      </c>
      <c r="J8485" s="28" t="s">
        <v>856</v>
      </c>
      <c r="K8485" s="27" t="s">
        <v>38</v>
      </c>
      <c r="L8485" s="27"/>
    </row>
    <row r="8486" customFormat="false" ht="15" hidden="false" customHeight="false" outlineLevel="0" collapsed="false">
      <c r="A8486" s="26" t="s">
        <v>21887</v>
      </c>
      <c r="B8486" s="27" t="s">
        <v>21888</v>
      </c>
      <c r="C8486" s="27" t="s">
        <v>144</v>
      </c>
      <c r="D8486" s="26"/>
      <c r="E8486" s="27"/>
      <c r="F8486" s="27"/>
      <c r="G8486" s="27" t="s">
        <v>11122</v>
      </c>
      <c r="H8486" s="27" t="s">
        <v>35</v>
      </c>
      <c r="I8486" s="27" t="s">
        <v>44</v>
      </c>
      <c r="J8486" s="28" t="s">
        <v>856</v>
      </c>
      <c r="K8486" s="27" t="s">
        <v>38</v>
      </c>
      <c r="L8486" s="27"/>
    </row>
    <row r="8487" customFormat="false" ht="15" hidden="false" customHeight="false" outlineLevel="0" collapsed="false">
      <c r="A8487" s="26" t="s">
        <v>21889</v>
      </c>
      <c r="B8487" s="27" t="s">
        <v>21890</v>
      </c>
      <c r="C8487" s="27" t="s">
        <v>144</v>
      </c>
      <c r="D8487" s="26"/>
      <c r="E8487" s="27"/>
      <c r="F8487" s="27"/>
      <c r="G8487" s="27" t="s">
        <v>11122</v>
      </c>
      <c r="H8487" s="27" t="s">
        <v>35</v>
      </c>
      <c r="I8487" s="27" t="s">
        <v>39</v>
      </c>
      <c r="J8487" s="28" t="s">
        <v>856</v>
      </c>
      <c r="K8487" s="27" t="s">
        <v>38</v>
      </c>
      <c r="L8487" s="27"/>
    </row>
    <row r="8488" customFormat="false" ht="15" hidden="false" customHeight="false" outlineLevel="0" collapsed="false">
      <c r="A8488" s="26" t="s">
        <v>21891</v>
      </c>
      <c r="B8488" s="27" t="s">
        <v>21892</v>
      </c>
      <c r="C8488" s="27" t="s">
        <v>144</v>
      </c>
      <c r="D8488" s="26"/>
      <c r="E8488" s="27"/>
      <c r="F8488" s="27"/>
      <c r="G8488" s="27" t="s">
        <v>11122</v>
      </c>
      <c r="H8488" s="27" t="s">
        <v>35</v>
      </c>
      <c r="I8488" s="27" t="s">
        <v>64</v>
      </c>
      <c r="J8488" s="28" t="s">
        <v>856</v>
      </c>
      <c r="K8488" s="27" t="s">
        <v>38</v>
      </c>
      <c r="L8488" s="27"/>
    </row>
    <row r="8489" customFormat="false" ht="15" hidden="false" customHeight="false" outlineLevel="0" collapsed="false">
      <c r="A8489" s="26" t="s">
        <v>21893</v>
      </c>
      <c r="B8489" s="27" t="s">
        <v>21894</v>
      </c>
      <c r="C8489" s="27" t="s">
        <v>144</v>
      </c>
      <c r="D8489" s="26"/>
      <c r="E8489" s="27"/>
      <c r="F8489" s="27"/>
      <c r="G8489" s="27" t="s">
        <v>11122</v>
      </c>
      <c r="H8489" s="27" t="s">
        <v>35</v>
      </c>
      <c r="I8489" s="27" t="s">
        <v>3536</v>
      </c>
      <c r="J8489" s="28" t="s">
        <v>856</v>
      </c>
      <c r="K8489" s="27" t="s">
        <v>38</v>
      </c>
      <c r="L8489" s="27"/>
    </row>
    <row r="8490" customFormat="false" ht="15" hidden="false" customHeight="false" outlineLevel="0" collapsed="false">
      <c r="A8490" s="26" t="s">
        <v>21895</v>
      </c>
      <c r="B8490" s="27" t="s">
        <v>21896</v>
      </c>
      <c r="C8490" s="27" t="s">
        <v>144</v>
      </c>
      <c r="D8490" s="26"/>
      <c r="E8490" s="27"/>
      <c r="F8490" s="27"/>
      <c r="G8490" s="27" t="s">
        <v>11122</v>
      </c>
      <c r="H8490" s="27" t="s">
        <v>35</v>
      </c>
      <c r="I8490" s="27" t="s">
        <v>3536</v>
      </c>
      <c r="J8490" s="28" t="s">
        <v>856</v>
      </c>
      <c r="K8490" s="27" t="s">
        <v>38</v>
      </c>
      <c r="L8490" s="27"/>
    </row>
    <row r="8491" customFormat="false" ht="15" hidden="false" customHeight="false" outlineLevel="0" collapsed="false">
      <c r="A8491" s="26" t="s">
        <v>21897</v>
      </c>
      <c r="B8491" s="27" t="s">
        <v>21898</v>
      </c>
      <c r="C8491" s="27" t="s">
        <v>144</v>
      </c>
      <c r="D8491" s="26"/>
      <c r="E8491" s="27"/>
      <c r="F8491" s="27"/>
      <c r="G8491" s="27" t="s">
        <v>11122</v>
      </c>
      <c r="H8491" s="27" t="s">
        <v>35</v>
      </c>
      <c r="I8491" s="27" t="s">
        <v>37</v>
      </c>
      <c r="J8491" s="28" t="s">
        <v>856</v>
      </c>
      <c r="K8491" s="27" t="s">
        <v>38</v>
      </c>
      <c r="L8491" s="27"/>
    </row>
    <row r="8492" customFormat="false" ht="15" hidden="false" customHeight="false" outlineLevel="0" collapsed="false">
      <c r="A8492" s="26" t="s">
        <v>21899</v>
      </c>
      <c r="B8492" s="27" t="s">
        <v>21900</v>
      </c>
      <c r="C8492" s="27" t="s">
        <v>144</v>
      </c>
      <c r="D8492" s="26"/>
      <c r="E8492" s="27"/>
      <c r="F8492" s="27"/>
      <c r="G8492" s="27" t="s">
        <v>11122</v>
      </c>
      <c r="H8492" s="27" t="s">
        <v>35</v>
      </c>
      <c r="I8492" s="27" t="s">
        <v>39</v>
      </c>
      <c r="J8492" s="28" t="s">
        <v>856</v>
      </c>
      <c r="K8492" s="27" t="s">
        <v>38</v>
      </c>
      <c r="L8492" s="27"/>
    </row>
    <row r="8493" customFormat="false" ht="15" hidden="false" customHeight="false" outlineLevel="0" collapsed="false">
      <c r="A8493" s="26" t="s">
        <v>21901</v>
      </c>
      <c r="B8493" s="27" t="s">
        <v>21902</v>
      </c>
      <c r="C8493" s="27" t="s">
        <v>144</v>
      </c>
      <c r="D8493" s="26"/>
      <c r="E8493" s="27"/>
      <c r="F8493" s="27"/>
      <c r="G8493" s="27" t="s">
        <v>11122</v>
      </c>
      <c r="H8493" s="27" t="s">
        <v>35</v>
      </c>
      <c r="I8493" s="27" t="s">
        <v>1296</v>
      </c>
      <c r="J8493" s="28" t="s">
        <v>856</v>
      </c>
      <c r="K8493" s="27" t="s">
        <v>38</v>
      </c>
      <c r="L8493" s="27"/>
    </row>
    <row r="8494" customFormat="false" ht="15" hidden="false" customHeight="false" outlineLevel="0" collapsed="false">
      <c r="A8494" s="26" t="s">
        <v>21903</v>
      </c>
      <c r="B8494" s="27" t="s">
        <v>21904</v>
      </c>
      <c r="C8494" s="27" t="s">
        <v>144</v>
      </c>
      <c r="D8494" s="26"/>
      <c r="E8494" s="27"/>
      <c r="F8494" s="27"/>
      <c r="G8494" s="27" t="s">
        <v>11122</v>
      </c>
      <c r="H8494" s="27" t="s">
        <v>35</v>
      </c>
      <c r="I8494" s="27" t="s">
        <v>39</v>
      </c>
      <c r="J8494" s="28" t="s">
        <v>856</v>
      </c>
      <c r="K8494" s="27" t="s">
        <v>38</v>
      </c>
      <c r="L8494" s="27"/>
    </row>
    <row r="8495" customFormat="false" ht="15" hidden="false" customHeight="false" outlineLevel="0" collapsed="false">
      <c r="A8495" s="26" t="s">
        <v>21905</v>
      </c>
      <c r="B8495" s="27" t="s">
        <v>21906</v>
      </c>
      <c r="C8495" s="27" t="s">
        <v>144</v>
      </c>
      <c r="D8495" s="26"/>
      <c r="E8495" s="27"/>
      <c r="F8495" s="27"/>
      <c r="G8495" s="27" t="s">
        <v>11122</v>
      </c>
      <c r="H8495" s="27" t="s">
        <v>35</v>
      </c>
      <c r="I8495" s="27" t="s">
        <v>39</v>
      </c>
      <c r="J8495" s="28" t="s">
        <v>856</v>
      </c>
      <c r="K8495" s="27" t="s">
        <v>38</v>
      </c>
      <c r="L8495" s="27"/>
    </row>
    <row r="8496" customFormat="false" ht="15" hidden="false" customHeight="false" outlineLevel="0" collapsed="false">
      <c r="A8496" s="26" t="s">
        <v>21907</v>
      </c>
      <c r="B8496" s="27" t="s">
        <v>21908</v>
      </c>
      <c r="C8496" s="27" t="s">
        <v>144</v>
      </c>
      <c r="D8496" s="26"/>
      <c r="E8496" s="27"/>
      <c r="F8496" s="27"/>
      <c r="G8496" s="27" t="s">
        <v>11122</v>
      </c>
      <c r="H8496" s="27" t="s">
        <v>35</v>
      </c>
      <c r="I8496" s="27" t="s">
        <v>39</v>
      </c>
      <c r="J8496" s="28" t="s">
        <v>856</v>
      </c>
      <c r="K8496" s="27" t="s">
        <v>38</v>
      </c>
      <c r="L8496" s="27"/>
    </row>
    <row r="8497" customFormat="false" ht="15" hidden="false" customHeight="false" outlineLevel="0" collapsed="false">
      <c r="A8497" s="26" t="s">
        <v>21909</v>
      </c>
      <c r="B8497" s="27" t="s">
        <v>21910</v>
      </c>
      <c r="C8497" s="27" t="s">
        <v>144</v>
      </c>
      <c r="D8497" s="26"/>
      <c r="E8497" s="27"/>
      <c r="F8497" s="27"/>
      <c r="G8497" s="27" t="s">
        <v>11122</v>
      </c>
      <c r="H8497" s="27" t="s">
        <v>35</v>
      </c>
      <c r="I8497" s="27" t="s">
        <v>1296</v>
      </c>
      <c r="J8497" s="28" t="s">
        <v>856</v>
      </c>
      <c r="K8497" s="27" t="s">
        <v>38</v>
      </c>
      <c r="L8497" s="27"/>
    </row>
    <row r="8498" customFormat="false" ht="15" hidden="false" customHeight="false" outlineLevel="0" collapsed="false">
      <c r="A8498" s="26" t="s">
        <v>21911</v>
      </c>
      <c r="B8498" s="27" t="s">
        <v>21912</v>
      </c>
      <c r="C8498" s="27" t="s">
        <v>144</v>
      </c>
      <c r="D8498" s="26"/>
      <c r="E8498" s="27"/>
      <c r="F8498" s="27"/>
      <c r="G8498" s="27" t="s">
        <v>11122</v>
      </c>
      <c r="H8498" s="27" t="s">
        <v>35</v>
      </c>
      <c r="I8498" s="27" t="s">
        <v>39</v>
      </c>
      <c r="J8498" s="28" t="s">
        <v>856</v>
      </c>
      <c r="K8498" s="27" t="s">
        <v>38</v>
      </c>
      <c r="L8498" s="27"/>
    </row>
    <row r="8499" customFormat="false" ht="15" hidden="false" customHeight="false" outlineLevel="0" collapsed="false">
      <c r="A8499" s="26" t="s">
        <v>21913</v>
      </c>
      <c r="B8499" s="27" t="s">
        <v>21914</v>
      </c>
      <c r="C8499" s="27" t="s">
        <v>144</v>
      </c>
      <c r="D8499" s="26"/>
      <c r="E8499" s="27"/>
      <c r="F8499" s="27"/>
      <c r="G8499" s="27" t="s">
        <v>11122</v>
      </c>
      <c r="H8499" s="27" t="s">
        <v>35</v>
      </c>
      <c r="I8499" s="27" t="s">
        <v>39</v>
      </c>
      <c r="J8499" s="28" t="s">
        <v>856</v>
      </c>
      <c r="K8499" s="27" t="s">
        <v>38</v>
      </c>
      <c r="L8499" s="27"/>
    </row>
    <row r="8500" customFormat="false" ht="15" hidden="false" customHeight="false" outlineLevel="0" collapsed="false">
      <c r="A8500" s="26" t="s">
        <v>21915</v>
      </c>
      <c r="B8500" s="27" t="s">
        <v>21916</v>
      </c>
      <c r="C8500" s="27" t="s">
        <v>144</v>
      </c>
      <c r="D8500" s="26"/>
      <c r="E8500" s="27"/>
      <c r="F8500" s="27"/>
      <c r="G8500" s="27" t="s">
        <v>11122</v>
      </c>
      <c r="H8500" s="27" t="s">
        <v>35</v>
      </c>
      <c r="I8500" s="27" t="s">
        <v>37</v>
      </c>
      <c r="J8500" s="28" t="s">
        <v>856</v>
      </c>
      <c r="K8500" s="27" t="s">
        <v>38</v>
      </c>
      <c r="L8500" s="27"/>
    </row>
    <row r="8501" customFormat="false" ht="15" hidden="false" customHeight="false" outlineLevel="0" collapsed="false">
      <c r="A8501" s="26" t="s">
        <v>21917</v>
      </c>
      <c r="B8501" s="27" t="s">
        <v>21918</v>
      </c>
      <c r="C8501" s="27" t="s">
        <v>144</v>
      </c>
      <c r="D8501" s="26"/>
      <c r="E8501" s="27"/>
      <c r="F8501" s="27"/>
      <c r="G8501" s="27" t="s">
        <v>11122</v>
      </c>
      <c r="H8501" s="27" t="s">
        <v>35</v>
      </c>
      <c r="I8501" s="27" t="s">
        <v>37</v>
      </c>
      <c r="J8501" s="28" t="s">
        <v>856</v>
      </c>
      <c r="K8501" s="27" t="s">
        <v>38</v>
      </c>
      <c r="L8501" s="27"/>
    </row>
    <row r="8502" customFormat="false" ht="15" hidden="false" customHeight="false" outlineLevel="0" collapsed="false">
      <c r="A8502" s="26" t="s">
        <v>21919</v>
      </c>
      <c r="B8502" s="27" t="s">
        <v>21920</v>
      </c>
      <c r="C8502" s="27" t="s">
        <v>144</v>
      </c>
      <c r="D8502" s="26"/>
      <c r="E8502" s="27"/>
      <c r="F8502" s="27"/>
      <c r="G8502" s="27" t="s">
        <v>11122</v>
      </c>
      <c r="H8502" s="27" t="s">
        <v>35</v>
      </c>
      <c r="I8502" s="27" t="s">
        <v>39</v>
      </c>
      <c r="J8502" s="28" t="s">
        <v>856</v>
      </c>
      <c r="K8502" s="27" t="s">
        <v>38</v>
      </c>
      <c r="L8502" s="27"/>
    </row>
    <row r="8503" customFormat="false" ht="15" hidden="false" customHeight="false" outlineLevel="0" collapsed="false">
      <c r="A8503" s="26" t="s">
        <v>21921</v>
      </c>
      <c r="B8503" s="27" t="s">
        <v>21922</v>
      </c>
      <c r="C8503" s="27" t="s">
        <v>144</v>
      </c>
      <c r="D8503" s="26"/>
      <c r="E8503" s="27"/>
      <c r="F8503" s="27"/>
      <c r="G8503" s="27" t="s">
        <v>11122</v>
      </c>
      <c r="H8503" s="27" t="s">
        <v>35</v>
      </c>
      <c r="I8503" s="27" t="s">
        <v>37</v>
      </c>
      <c r="J8503" s="28" t="s">
        <v>856</v>
      </c>
      <c r="K8503" s="27" t="s">
        <v>38</v>
      </c>
      <c r="L8503" s="27"/>
    </row>
    <row r="8504" customFormat="false" ht="15" hidden="false" customHeight="false" outlineLevel="0" collapsed="false">
      <c r="A8504" s="26" t="s">
        <v>21923</v>
      </c>
      <c r="B8504" s="27" t="s">
        <v>21924</v>
      </c>
      <c r="C8504" s="27" t="s">
        <v>144</v>
      </c>
      <c r="D8504" s="26"/>
      <c r="E8504" s="27"/>
      <c r="F8504" s="27"/>
      <c r="G8504" s="27" t="s">
        <v>11122</v>
      </c>
      <c r="H8504" s="27" t="s">
        <v>35</v>
      </c>
      <c r="I8504" s="27" t="s">
        <v>39</v>
      </c>
      <c r="J8504" s="28" t="s">
        <v>856</v>
      </c>
      <c r="K8504" s="27" t="s">
        <v>38</v>
      </c>
      <c r="L8504" s="27"/>
    </row>
    <row r="8505" customFormat="false" ht="15" hidden="false" customHeight="false" outlineLevel="0" collapsed="false">
      <c r="A8505" s="26" t="s">
        <v>21925</v>
      </c>
      <c r="B8505" s="27" t="s">
        <v>21926</v>
      </c>
      <c r="C8505" s="27" t="s">
        <v>144</v>
      </c>
      <c r="D8505" s="26"/>
      <c r="E8505" s="27"/>
      <c r="F8505" s="27"/>
      <c r="G8505" s="27" t="s">
        <v>11122</v>
      </c>
      <c r="H8505" s="27" t="s">
        <v>35</v>
      </c>
      <c r="I8505" s="27" t="s">
        <v>1296</v>
      </c>
      <c r="J8505" s="28" t="s">
        <v>856</v>
      </c>
      <c r="K8505" s="27" t="s">
        <v>38</v>
      </c>
      <c r="L8505" s="27"/>
    </row>
    <row r="8506" customFormat="false" ht="15" hidden="false" customHeight="false" outlineLevel="0" collapsed="false">
      <c r="A8506" s="26" t="s">
        <v>21927</v>
      </c>
      <c r="B8506" s="27" t="s">
        <v>21928</v>
      </c>
      <c r="C8506" s="27" t="s">
        <v>144</v>
      </c>
      <c r="D8506" s="26"/>
      <c r="E8506" s="27"/>
      <c r="F8506" s="27"/>
      <c r="G8506" s="27" t="s">
        <v>11122</v>
      </c>
      <c r="H8506" s="27" t="s">
        <v>35</v>
      </c>
      <c r="I8506" s="27" t="s">
        <v>37</v>
      </c>
      <c r="J8506" s="28" t="s">
        <v>856</v>
      </c>
      <c r="K8506" s="27" t="s">
        <v>38</v>
      </c>
      <c r="L8506" s="27"/>
    </row>
    <row r="8507" customFormat="false" ht="15" hidden="false" customHeight="false" outlineLevel="0" collapsed="false">
      <c r="A8507" s="26" t="s">
        <v>21929</v>
      </c>
      <c r="B8507" s="27" t="s">
        <v>21930</v>
      </c>
      <c r="C8507" s="27" t="s">
        <v>144</v>
      </c>
      <c r="D8507" s="26"/>
      <c r="E8507" s="27"/>
      <c r="F8507" s="27"/>
      <c r="G8507" s="27" t="s">
        <v>11122</v>
      </c>
      <c r="H8507" s="27" t="s">
        <v>35</v>
      </c>
      <c r="I8507" s="27" t="s">
        <v>42</v>
      </c>
      <c r="J8507" s="28" t="s">
        <v>856</v>
      </c>
      <c r="K8507" s="27" t="s">
        <v>38</v>
      </c>
      <c r="L8507" s="27"/>
    </row>
    <row r="8508" customFormat="false" ht="15" hidden="false" customHeight="false" outlineLevel="0" collapsed="false">
      <c r="A8508" s="26" t="s">
        <v>21931</v>
      </c>
      <c r="B8508" s="27" t="s">
        <v>21932</v>
      </c>
      <c r="C8508" s="27" t="s">
        <v>144</v>
      </c>
      <c r="D8508" s="26"/>
      <c r="E8508" s="27"/>
      <c r="F8508" s="27"/>
      <c r="G8508" s="27" t="s">
        <v>11122</v>
      </c>
      <c r="H8508" s="27" t="s">
        <v>35</v>
      </c>
      <c r="I8508" s="27" t="s">
        <v>39</v>
      </c>
      <c r="J8508" s="28" t="s">
        <v>856</v>
      </c>
      <c r="K8508" s="27" t="s">
        <v>38</v>
      </c>
      <c r="L8508" s="27"/>
    </row>
    <row r="8509" customFormat="false" ht="15" hidden="false" customHeight="false" outlineLevel="0" collapsed="false">
      <c r="A8509" s="26" t="s">
        <v>21933</v>
      </c>
      <c r="B8509" s="27" t="s">
        <v>21934</v>
      </c>
      <c r="C8509" s="27" t="s">
        <v>144</v>
      </c>
      <c r="D8509" s="26"/>
      <c r="E8509" s="27"/>
      <c r="F8509" s="27"/>
      <c r="G8509" s="27" t="s">
        <v>11122</v>
      </c>
      <c r="H8509" s="27" t="s">
        <v>35</v>
      </c>
      <c r="I8509" s="27" t="s">
        <v>37</v>
      </c>
      <c r="J8509" s="28" t="s">
        <v>856</v>
      </c>
      <c r="K8509" s="27" t="s">
        <v>38</v>
      </c>
      <c r="L8509" s="27"/>
    </row>
    <row r="8510" customFormat="false" ht="15" hidden="false" customHeight="false" outlineLevel="0" collapsed="false">
      <c r="A8510" s="26" t="s">
        <v>21935</v>
      </c>
      <c r="B8510" s="27" t="s">
        <v>21936</v>
      </c>
      <c r="C8510" s="27" t="s">
        <v>144</v>
      </c>
      <c r="D8510" s="26"/>
      <c r="E8510" s="27"/>
      <c r="F8510" s="27"/>
      <c r="G8510" s="27" t="s">
        <v>11122</v>
      </c>
      <c r="H8510" s="27" t="s">
        <v>35</v>
      </c>
      <c r="I8510" s="27" t="s">
        <v>41</v>
      </c>
      <c r="J8510" s="28" t="s">
        <v>856</v>
      </c>
      <c r="K8510" s="27" t="s">
        <v>38</v>
      </c>
      <c r="L8510" s="27"/>
    </row>
    <row r="8511" customFormat="false" ht="15" hidden="false" customHeight="false" outlineLevel="0" collapsed="false">
      <c r="A8511" s="26" t="s">
        <v>21937</v>
      </c>
      <c r="B8511" s="27" t="s">
        <v>21938</v>
      </c>
      <c r="C8511" s="27" t="s">
        <v>144</v>
      </c>
      <c r="D8511" s="26"/>
      <c r="E8511" s="27"/>
      <c r="F8511" s="27"/>
      <c r="G8511" s="27" t="s">
        <v>11122</v>
      </c>
      <c r="H8511" s="27" t="s">
        <v>35</v>
      </c>
      <c r="I8511" s="27" t="s">
        <v>41</v>
      </c>
      <c r="J8511" s="28" t="s">
        <v>856</v>
      </c>
      <c r="K8511" s="27" t="s">
        <v>38</v>
      </c>
      <c r="L8511" s="27"/>
    </row>
    <row r="8512" customFormat="false" ht="15" hidden="false" customHeight="false" outlineLevel="0" collapsed="false">
      <c r="A8512" s="26" t="s">
        <v>21939</v>
      </c>
      <c r="B8512" s="27" t="s">
        <v>21940</v>
      </c>
      <c r="C8512" s="27" t="s">
        <v>144</v>
      </c>
      <c r="D8512" s="26"/>
      <c r="E8512" s="27"/>
      <c r="F8512" s="27"/>
      <c r="G8512" s="27" t="s">
        <v>11122</v>
      </c>
      <c r="H8512" s="27" t="s">
        <v>35</v>
      </c>
      <c r="I8512" s="27" t="s">
        <v>37</v>
      </c>
      <c r="J8512" s="28" t="s">
        <v>856</v>
      </c>
      <c r="K8512" s="27" t="s">
        <v>38</v>
      </c>
      <c r="L8512" s="27"/>
    </row>
    <row r="8513" customFormat="false" ht="15" hidden="false" customHeight="false" outlineLevel="0" collapsed="false">
      <c r="A8513" s="26" t="s">
        <v>21941</v>
      </c>
      <c r="B8513" s="27" t="s">
        <v>21942</v>
      </c>
      <c r="C8513" s="27" t="s">
        <v>144</v>
      </c>
      <c r="D8513" s="26"/>
      <c r="E8513" s="27"/>
      <c r="F8513" s="27"/>
      <c r="G8513" s="27" t="s">
        <v>11122</v>
      </c>
      <c r="H8513" s="27" t="s">
        <v>35</v>
      </c>
      <c r="I8513" s="27" t="s">
        <v>37</v>
      </c>
      <c r="J8513" s="28" t="s">
        <v>856</v>
      </c>
      <c r="K8513" s="27" t="s">
        <v>38</v>
      </c>
      <c r="L8513" s="27"/>
    </row>
    <row r="8514" customFormat="false" ht="15" hidden="false" customHeight="false" outlineLevel="0" collapsed="false">
      <c r="A8514" s="26" t="s">
        <v>21943</v>
      </c>
      <c r="B8514" s="27" t="s">
        <v>21944</v>
      </c>
      <c r="C8514" s="27" t="s">
        <v>144</v>
      </c>
      <c r="D8514" s="26"/>
      <c r="E8514" s="27"/>
      <c r="F8514" s="27"/>
      <c r="G8514" s="27" t="s">
        <v>11122</v>
      </c>
      <c r="H8514" s="27" t="s">
        <v>35</v>
      </c>
      <c r="I8514" s="27" t="s">
        <v>37</v>
      </c>
      <c r="J8514" s="28" t="s">
        <v>856</v>
      </c>
      <c r="K8514" s="27" t="s">
        <v>38</v>
      </c>
      <c r="L8514" s="27"/>
    </row>
    <row r="8515" customFormat="false" ht="15" hidden="false" customHeight="false" outlineLevel="0" collapsed="false">
      <c r="A8515" s="26" t="s">
        <v>21945</v>
      </c>
      <c r="B8515" s="27" t="s">
        <v>21946</v>
      </c>
      <c r="C8515" s="27" t="s">
        <v>144</v>
      </c>
      <c r="D8515" s="26"/>
      <c r="E8515" s="27"/>
      <c r="F8515" s="27"/>
      <c r="G8515" s="27" t="s">
        <v>11122</v>
      </c>
      <c r="H8515" s="27" t="s">
        <v>35</v>
      </c>
      <c r="I8515" s="27" t="s">
        <v>37</v>
      </c>
      <c r="J8515" s="28" t="s">
        <v>856</v>
      </c>
      <c r="K8515" s="27" t="s">
        <v>38</v>
      </c>
      <c r="L8515" s="27"/>
    </row>
    <row r="8516" customFormat="false" ht="15" hidden="false" customHeight="false" outlineLevel="0" collapsed="false">
      <c r="A8516" s="26" t="s">
        <v>21947</v>
      </c>
      <c r="B8516" s="27" t="s">
        <v>21948</v>
      </c>
      <c r="C8516" s="27" t="s">
        <v>144</v>
      </c>
      <c r="D8516" s="26"/>
      <c r="E8516" s="27"/>
      <c r="F8516" s="27"/>
      <c r="G8516" s="27" t="s">
        <v>11122</v>
      </c>
      <c r="H8516" s="27" t="s">
        <v>35</v>
      </c>
      <c r="I8516" s="27" t="s">
        <v>37</v>
      </c>
      <c r="J8516" s="28" t="s">
        <v>856</v>
      </c>
      <c r="K8516" s="27" t="s">
        <v>38</v>
      </c>
      <c r="L8516" s="27"/>
    </row>
    <row r="8517" customFormat="false" ht="15" hidden="false" customHeight="false" outlineLevel="0" collapsed="false">
      <c r="A8517" s="26" t="s">
        <v>21949</v>
      </c>
      <c r="B8517" s="27" t="s">
        <v>21950</v>
      </c>
      <c r="C8517" s="27" t="s">
        <v>144</v>
      </c>
      <c r="D8517" s="26"/>
      <c r="E8517" s="27"/>
      <c r="F8517" s="27"/>
      <c r="G8517" s="27" t="s">
        <v>11122</v>
      </c>
      <c r="H8517" s="27" t="s">
        <v>35</v>
      </c>
      <c r="I8517" s="27" t="s">
        <v>37</v>
      </c>
      <c r="J8517" s="28" t="s">
        <v>856</v>
      </c>
      <c r="K8517" s="27" t="s">
        <v>38</v>
      </c>
      <c r="L8517" s="27"/>
    </row>
    <row r="8518" customFormat="false" ht="15" hidden="false" customHeight="false" outlineLevel="0" collapsed="false">
      <c r="A8518" s="26" t="s">
        <v>21951</v>
      </c>
      <c r="B8518" s="27" t="s">
        <v>21952</v>
      </c>
      <c r="C8518" s="27" t="s">
        <v>144</v>
      </c>
      <c r="D8518" s="26"/>
      <c r="E8518" s="27"/>
      <c r="F8518" s="27"/>
      <c r="G8518" s="27" t="s">
        <v>11122</v>
      </c>
      <c r="H8518" s="27" t="s">
        <v>35</v>
      </c>
      <c r="I8518" s="27" t="s">
        <v>41</v>
      </c>
      <c r="J8518" s="28" t="s">
        <v>856</v>
      </c>
      <c r="K8518" s="27" t="s">
        <v>38</v>
      </c>
      <c r="L8518" s="27"/>
    </row>
    <row r="8519" customFormat="false" ht="15" hidden="false" customHeight="false" outlineLevel="0" collapsed="false">
      <c r="A8519" s="26" t="s">
        <v>21953</v>
      </c>
      <c r="B8519" s="27" t="s">
        <v>21954</v>
      </c>
      <c r="C8519" s="27" t="s">
        <v>144</v>
      </c>
      <c r="D8519" s="26"/>
      <c r="E8519" s="27"/>
      <c r="F8519" s="27"/>
      <c r="G8519" s="27" t="s">
        <v>11122</v>
      </c>
      <c r="H8519" s="27" t="s">
        <v>35</v>
      </c>
      <c r="I8519" s="27" t="s">
        <v>41</v>
      </c>
      <c r="J8519" s="28" t="s">
        <v>856</v>
      </c>
      <c r="K8519" s="27" t="s">
        <v>38</v>
      </c>
      <c r="L8519" s="27"/>
    </row>
    <row r="8520" customFormat="false" ht="15" hidden="false" customHeight="false" outlineLevel="0" collapsed="false">
      <c r="A8520" s="26" t="s">
        <v>21955</v>
      </c>
      <c r="B8520" s="27" t="s">
        <v>21956</v>
      </c>
      <c r="C8520" s="27" t="s">
        <v>144</v>
      </c>
      <c r="D8520" s="26"/>
      <c r="E8520" s="27"/>
      <c r="F8520" s="27"/>
      <c r="G8520" s="27" t="s">
        <v>11122</v>
      </c>
      <c r="H8520" s="27" t="s">
        <v>35</v>
      </c>
      <c r="I8520" s="27" t="s">
        <v>41</v>
      </c>
      <c r="J8520" s="28" t="s">
        <v>856</v>
      </c>
      <c r="K8520" s="27" t="s">
        <v>38</v>
      </c>
      <c r="L8520" s="27"/>
    </row>
    <row r="8521" customFormat="false" ht="15" hidden="false" customHeight="false" outlineLevel="0" collapsed="false">
      <c r="A8521" s="26" t="s">
        <v>21957</v>
      </c>
      <c r="B8521" s="27" t="s">
        <v>21958</v>
      </c>
      <c r="C8521" s="27" t="s">
        <v>144</v>
      </c>
      <c r="D8521" s="26"/>
      <c r="E8521" s="27"/>
      <c r="F8521" s="27"/>
      <c r="G8521" s="27" t="s">
        <v>11122</v>
      </c>
      <c r="H8521" s="27" t="s">
        <v>35</v>
      </c>
      <c r="I8521" s="27" t="s">
        <v>37</v>
      </c>
      <c r="J8521" s="28" t="s">
        <v>856</v>
      </c>
      <c r="K8521" s="27" t="s">
        <v>38</v>
      </c>
      <c r="L8521" s="27"/>
    </row>
    <row r="8522" customFormat="false" ht="15" hidden="false" customHeight="false" outlineLevel="0" collapsed="false">
      <c r="A8522" s="26" t="s">
        <v>21959</v>
      </c>
      <c r="B8522" s="27" t="s">
        <v>21960</v>
      </c>
      <c r="C8522" s="27" t="s">
        <v>144</v>
      </c>
      <c r="D8522" s="26"/>
      <c r="E8522" s="27"/>
      <c r="F8522" s="27"/>
      <c r="G8522" s="27" t="s">
        <v>11122</v>
      </c>
      <c r="H8522" s="27" t="s">
        <v>35</v>
      </c>
      <c r="I8522" s="27" t="s">
        <v>1309</v>
      </c>
      <c r="J8522" s="28" t="s">
        <v>856</v>
      </c>
      <c r="K8522" s="27" t="s">
        <v>38</v>
      </c>
      <c r="L8522" s="27"/>
    </row>
    <row r="8523" customFormat="false" ht="15" hidden="false" customHeight="false" outlineLevel="0" collapsed="false">
      <c r="A8523" s="26" t="s">
        <v>21961</v>
      </c>
      <c r="B8523" s="27" t="s">
        <v>21962</v>
      </c>
      <c r="C8523" s="27" t="s">
        <v>144</v>
      </c>
      <c r="D8523" s="26"/>
      <c r="E8523" s="27"/>
      <c r="F8523" s="27"/>
      <c r="G8523" s="27" t="s">
        <v>11122</v>
      </c>
      <c r="H8523" s="27" t="s">
        <v>35</v>
      </c>
      <c r="I8523" s="27" t="s">
        <v>37</v>
      </c>
      <c r="J8523" s="28" t="s">
        <v>856</v>
      </c>
      <c r="K8523" s="27" t="s">
        <v>38</v>
      </c>
      <c r="L8523" s="27"/>
    </row>
    <row r="8524" customFormat="false" ht="15" hidden="false" customHeight="false" outlineLevel="0" collapsed="false">
      <c r="A8524" s="26" t="s">
        <v>21963</v>
      </c>
      <c r="B8524" s="27" t="s">
        <v>21964</v>
      </c>
      <c r="C8524" s="27" t="s">
        <v>144</v>
      </c>
      <c r="D8524" s="26"/>
      <c r="E8524" s="27"/>
      <c r="F8524" s="27"/>
      <c r="G8524" s="27" t="s">
        <v>11122</v>
      </c>
      <c r="H8524" s="27" t="s">
        <v>35</v>
      </c>
      <c r="I8524" s="27" t="s">
        <v>37</v>
      </c>
      <c r="J8524" s="28" t="s">
        <v>856</v>
      </c>
      <c r="K8524" s="27" t="s">
        <v>38</v>
      </c>
      <c r="L8524" s="27"/>
    </row>
    <row r="8525" customFormat="false" ht="15" hidden="false" customHeight="false" outlineLevel="0" collapsed="false">
      <c r="A8525" s="26" t="s">
        <v>21965</v>
      </c>
      <c r="B8525" s="27" t="s">
        <v>21966</v>
      </c>
      <c r="C8525" s="27" t="s">
        <v>144</v>
      </c>
      <c r="D8525" s="26"/>
      <c r="E8525" s="27"/>
      <c r="F8525" s="27"/>
      <c r="G8525" s="27" t="s">
        <v>11122</v>
      </c>
      <c r="H8525" s="27" t="s">
        <v>35</v>
      </c>
      <c r="I8525" s="27" t="s">
        <v>37</v>
      </c>
      <c r="J8525" s="28" t="s">
        <v>856</v>
      </c>
      <c r="K8525" s="27" t="s">
        <v>38</v>
      </c>
      <c r="L8525" s="27"/>
    </row>
    <row r="8526" customFormat="false" ht="15" hidden="false" customHeight="false" outlineLevel="0" collapsed="false">
      <c r="A8526" s="26" t="s">
        <v>21967</v>
      </c>
      <c r="B8526" s="27" t="s">
        <v>21968</v>
      </c>
      <c r="C8526" s="27" t="s">
        <v>144</v>
      </c>
      <c r="D8526" s="26"/>
      <c r="E8526" s="27"/>
      <c r="F8526" s="27"/>
      <c r="G8526" s="27" t="s">
        <v>11122</v>
      </c>
      <c r="H8526" s="27" t="s">
        <v>35</v>
      </c>
      <c r="I8526" s="27" t="s">
        <v>37</v>
      </c>
      <c r="J8526" s="28" t="s">
        <v>856</v>
      </c>
      <c r="K8526" s="27" t="s">
        <v>38</v>
      </c>
      <c r="L8526" s="27"/>
    </row>
    <row r="8527" customFormat="false" ht="15" hidden="false" customHeight="false" outlineLevel="0" collapsed="false">
      <c r="A8527" s="26" t="s">
        <v>21969</v>
      </c>
      <c r="B8527" s="27" t="s">
        <v>21970</v>
      </c>
      <c r="C8527" s="27" t="s">
        <v>144</v>
      </c>
      <c r="D8527" s="26"/>
      <c r="E8527" s="27"/>
      <c r="F8527" s="27"/>
      <c r="G8527" s="27" t="s">
        <v>11122</v>
      </c>
      <c r="H8527" s="27" t="s">
        <v>35</v>
      </c>
      <c r="I8527" s="27" t="s">
        <v>37</v>
      </c>
      <c r="J8527" s="28" t="s">
        <v>856</v>
      </c>
      <c r="K8527" s="27" t="s">
        <v>38</v>
      </c>
      <c r="L8527" s="27"/>
    </row>
    <row r="8528" customFormat="false" ht="15" hidden="false" customHeight="false" outlineLevel="0" collapsed="false">
      <c r="A8528" s="26" t="s">
        <v>21971</v>
      </c>
      <c r="B8528" s="27" t="s">
        <v>21972</v>
      </c>
      <c r="C8528" s="27" t="s">
        <v>144</v>
      </c>
      <c r="D8528" s="26"/>
      <c r="E8528" s="27"/>
      <c r="F8528" s="27"/>
      <c r="G8528" s="27" t="s">
        <v>11122</v>
      </c>
      <c r="H8528" s="27" t="s">
        <v>35</v>
      </c>
      <c r="I8528" s="27" t="s">
        <v>37</v>
      </c>
      <c r="J8528" s="28" t="s">
        <v>856</v>
      </c>
      <c r="K8528" s="27" t="s">
        <v>38</v>
      </c>
      <c r="L8528" s="27"/>
    </row>
    <row r="8529" customFormat="false" ht="15" hidden="false" customHeight="false" outlineLevel="0" collapsed="false">
      <c r="A8529" s="26" t="s">
        <v>21973</v>
      </c>
      <c r="B8529" s="27" t="s">
        <v>21974</v>
      </c>
      <c r="C8529" s="27" t="s">
        <v>144</v>
      </c>
      <c r="D8529" s="26"/>
      <c r="E8529" s="27"/>
      <c r="F8529" s="27"/>
      <c r="G8529" s="27" t="s">
        <v>11122</v>
      </c>
      <c r="H8529" s="27" t="s">
        <v>35</v>
      </c>
      <c r="I8529" s="27" t="s">
        <v>37</v>
      </c>
      <c r="J8529" s="28" t="s">
        <v>856</v>
      </c>
      <c r="K8529" s="27" t="s">
        <v>38</v>
      </c>
      <c r="L8529" s="27"/>
    </row>
    <row r="8530" customFormat="false" ht="15" hidden="false" customHeight="false" outlineLevel="0" collapsed="false">
      <c r="A8530" s="26" t="s">
        <v>21975</v>
      </c>
      <c r="B8530" s="27" t="s">
        <v>21976</v>
      </c>
      <c r="C8530" s="27" t="s">
        <v>144</v>
      </c>
      <c r="D8530" s="26"/>
      <c r="E8530" s="27"/>
      <c r="F8530" s="27"/>
      <c r="G8530" s="27" t="s">
        <v>11122</v>
      </c>
      <c r="H8530" s="27" t="s">
        <v>35</v>
      </c>
      <c r="I8530" s="27" t="s">
        <v>38</v>
      </c>
      <c r="J8530" s="28" t="s">
        <v>856</v>
      </c>
      <c r="K8530" s="27" t="s">
        <v>38</v>
      </c>
      <c r="L8530" s="27"/>
    </row>
    <row r="8531" customFormat="false" ht="15" hidden="false" customHeight="false" outlineLevel="0" collapsed="false">
      <c r="A8531" s="26" t="s">
        <v>21977</v>
      </c>
      <c r="B8531" s="27" t="s">
        <v>21978</v>
      </c>
      <c r="C8531" s="27" t="s">
        <v>144</v>
      </c>
      <c r="D8531" s="26"/>
      <c r="E8531" s="27"/>
      <c r="F8531" s="27"/>
      <c r="G8531" s="27" t="s">
        <v>11122</v>
      </c>
      <c r="H8531" s="27" t="s">
        <v>35</v>
      </c>
      <c r="I8531" s="27" t="s">
        <v>38</v>
      </c>
      <c r="J8531" s="28" t="s">
        <v>856</v>
      </c>
      <c r="K8531" s="27" t="s">
        <v>38</v>
      </c>
      <c r="L8531" s="27"/>
    </row>
    <row r="8532" customFormat="false" ht="15" hidden="false" customHeight="false" outlineLevel="0" collapsed="false">
      <c r="A8532" s="26" t="s">
        <v>21979</v>
      </c>
      <c r="B8532" s="27" t="s">
        <v>21980</v>
      </c>
      <c r="C8532" s="27" t="s">
        <v>144</v>
      </c>
      <c r="D8532" s="26"/>
      <c r="E8532" s="27"/>
      <c r="F8532" s="27"/>
      <c r="G8532" s="27" t="s">
        <v>11122</v>
      </c>
      <c r="H8532" s="27" t="s">
        <v>35</v>
      </c>
      <c r="I8532" s="27" t="s">
        <v>38</v>
      </c>
      <c r="J8532" s="28" t="s">
        <v>856</v>
      </c>
      <c r="K8532" s="27" t="s">
        <v>38</v>
      </c>
      <c r="L8532" s="27"/>
    </row>
    <row r="8533" customFormat="false" ht="15" hidden="false" customHeight="false" outlineLevel="0" collapsed="false">
      <c r="A8533" s="26" t="s">
        <v>21981</v>
      </c>
      <c r="B8533" s="27" t="s">
        <v>21982</v>
      </c>
      <c r="C8533" s="27" t="s">
        <v>144</v>
      </c>
      <c r="D8533" s="26"/>
      <c r="E8533" s="27"/>
      <c r="F8533" s="27"/>
      <c r="G8533" s="27" t="s">
        <v>11122</v>
      </c>
      <c r="H8533" s="27" t="s">
        <v>35</v>
      </c>
      <c r="I8533" s="27" t="s">
        <v>41</v>
      </c>
      <c r="J8533" s="28" t="s">
        <v>856</v>
      </c>
      <c r="K8533" s="27" t="s">
        <v>38</v>
      </c>
      <c r="L8533" s="27"/>
    </row>
    <row r="8534" customFormat="false" ht="15" hidden="false" customHeight="false" outlineLevel="0" collapsed="false">
      <c r="A8534" s="26" t="s">
        <v>21983</v>
      </c>
      <c r="B8534" s="27" t="s">
        <v>21984</v>
      </c>
      <c r="C8534" s="27" t="s">
        <v>144</v>
      </c>
      <c r="D8534" s="26"/>
      <c r="E8534" s="27"/>
      <c r="F8534" s="27"/>
      <c r="G8534" s="27" t="s">
        <v>11122</v>
      </c>
      <c r="H8534" s="27" t="s">
        <v>35</v>
      </c>
      <c r="I8534" s="27" t="s">
        <v>37</v>
      </c>
      <c r="J8534" s="28" t="s">
        <v>856</v>
      </c>
      <c r="K8534" s="27" t="s">
        <v>38</v>
      </c>
      <c r="L8534" s="27"/>
    </row>
    <row r="8535" customFormat="false" ht="15" hidden="false" customHeight="false" outlineLevel="0" collapsed="false">
      <c r="A8535" s="26" t="s">
        <v>21985</v>
      </c>
      <c r="B8535" s="27" t="s">
        <v>21986</v>
      </c>
      <c r="C8535" s="27" t="s">
        <v>144</v>
      </c>
      <c r="D8535" s="26"/>
      <c r="E8535" s="27"/>
      <c r="F8535" s="27"/>
      <c r="G8535" s="27" t="s">
        <v>11122</v>
      </c>
      <c r="H8535" s="27" t="s">
        <v>35</v>
      </c>
      <c r="I8535" s="27" t="s">
        <v>37</v>
      </c>
      <c r="J8535" s="28" t="s">
        <v>856</v>
      </c>
      <c r="K8535" s="27" t="s">
        <v>38</v>
      </c>
      <c r="L8535" s="27"/>
    </row>
    <row r="8536" customFormat="false" ht="15" hidden="false" customHeight="false" outlineLevel="0" collapsed="false">
      <c r="A8536" s="26" t="s">
        <v>21987</v>
      </c>
      <c r="B8536" s="27" t="s">
        <v>21988</v>
      </c>
      <c r="C8536" s="27" t="s">
        <v>144</v>
      </c>
      <c r="D8536" s="26"/>
      <c r="E8536" s="27"/>
      <c r="F8536" s="27"/>
      <c r="G8536" s="27" t="s">
        <v>11122</v>
      </c>
      <c r="H8536" s="27" t="s">
        <v>35</v>
      </c>
      <c r="I8536" s="27" t="s">
        <v>37</v>
      </c>
      <c r="J8536" s="28" t="s">
        <v>856</v>
      </c>
      <c r="K8536" s="27" t="s">
        <v>38</v>
      </c>
      <c r="L8536" s="27"/>
    </row>
    <row r="8537" customFormat="false" ht="15" hidden="false" customHeight="false" outlineLevel="0" collapsed="false">
      <c r="A8537" s="26" t="s">
        <v>21989</v>
      </c>
      <c r="B8537" s="27" t="s">
        <v>21990</v>
      </c>
      <c r="C8537" s="27" t="s">
        <v>144</v>
      </c>
      <c r="D8537" s="26"/>
      <c r="E8537" s="27"/>
      <c r="F8537" s="27"/>
      <c r="G8537" s="27" t="s">
        <v>11122</v>
      </c>
      <c r="H8537" s="27" t="s">
        <v>35</v>
      </c>
      <c r="I8537" s="27" t="s">
        <v>38</v>
      </c>
      <c r="J8537" s="28" t="s">
        <v>856</v>
      </c>
      <c r="K8537" s="27" t="s">
        <v>38</v>
      </c>
      <c r="L8537" s="27"/>
    </row>
    <row r="8538" customFormat="false" ht="15" hidden="false" customHeight="false" outlineLevel="0" collapsed="false">
      <c r="A8538" s="26" t="s">
        <v>21991</v>
      </c>
      <c r="B8538" s="27" t="s">
        <v>21992</v>
      </c>
      <c r="C8538" s="27" t="s">
        <v>144</v>
      </c>
      <c r="D8538" s="26"/>
      <c r="E8538" s="27"/>
      <c r="F8538" s="27"/>
      <c r="G8538" s="27" t="s">
        <v>11122</v>
      </c>
      <c r="H8538" s="27" t="s">
        <v>35</v>
      </c>
      <c r="I8538" s="27" t="s">
        <v>49</v>
      </c>
      <c r="J8538" s="28" t="s">
        <v>856</v>
      </c>
      <c r="K8538" s="27" t="s">
        <v>38</v>
      </c>
      <c r="L8538" s="27"/>
    </row>
    <row r="8539" customFormat="false" ht="15" hidden="false" customHeight="false" outlineLevel="0" collapsed="false">
      <c r="A8539" s="26" t="s">
        <v>21993</v>
      </c>
      <c r="B8539" s="27" t="s">
        <v>21994</v>
      </c>
      <c r="C8539" s="27" t="s">
        <v>144</v>
      </c>
      <c r="D8539" s="26"/>
      <c r="E8539" s="27"/>
      <c r="F8539" s="27"/>
      <c r="G8539" s="27" t="s">
        <v>11122</v>
      </c>
      <c r="H8539" s="27" t="s">
        <v>35</v>
      </c>
      <c r="I8539" s="27" t="s">
        <v>43</v>
      </c>
      <c r="J8539" s="28" t="s">
        <v>856</v>
      </c>
      <c r="K8539" s="27" t="s">
        <v>38</v>
      </c>
      <c r="L8539" s="27"/>
    </row>
    <row r="8540" customFormat="false" ht="15" hidden="false" customHeight="false" outlineLevel="0" collapsed="false">
      <c r="A8540" s="26" t="s">
        <v>21995</v>
      </c>
      <c r="B8540" s="27" t="s">
        <v>21996</v>
      </c>
      <c r="C8540" s="27" t="s">
        <v>144</v>
      </c>
      <c r="D8540" s="26"/>
      <c r="E8540" s="27"/>
      <c r="F8540" s="27"/>
      <c r="G8540" s="27" t="s">
        <v>11122</v>
      </c>
      <c r="H8540" s="27" t="s">
        <v>35</v>
      </c>
      <c r="I8540" s="27" t="s">
        <v>37</v>
      </c>
      <c r="J8540" s="28" t="s">
        <v>856</v>
      </c>
      <c r="K8540" s="27" t="s">
        <v>38</v>
      </c>
      <c r="L8540" s="27"/>
    </row>
    <row r="8541" customFormat="false" ht="15" hidden="false" customHeight="false" outlineLevel="0" collapsed="false">
      <c r="A8541" s="26" t="s">
        <v>21997</v>
      </c>
      <c r="B8541" s="27" t="s">
        <v>21998</v>
      </c>
      <c r="C8541" s="27" t="s">
        <v>144</v>
      </c>
      <c r="D8541" s="26"/>
      <c r="E8541" s="27"/>
      <c r="F8541" s="27"/>
      <c r="G8541" s="27" t="s">
        <v>11122</v>
      </c>
      <c r="H8541" s="27" t="s">
        <v>35</v>
      </c>
      <c r="I8541" s="27" t="s">
        <v>42</v>
      </c>
      <c r="J8541" s="28" t="s">
        <v>856</v>
      </c>
      <c r="K8541" s="27" t="s">
        <v>38</v>
      </c>
      <c r="L8541" s="27"/>
    </row>
    <row r="8542" customFormat="false" ht="15" hidden="false" customHeight="false" outlineLevel="0" collapsed="false">
      <c r="A8542" s="26" t="s">
        <v>21999</v>
      </c>
      <c r="B8542" s="27" t="s">
        <v>22000</v>
      </c>
      <c r="C8542" s="27" t="s">
        <v>144</v>
      </c>
      <c r="D8542" s="26"/>
      <c r="E8542" s="27"/>
      <c r="F8542" s="27"/>
      <c r="G8542" s="27" t="s">
        <v>11122</v>
      </c>
      <c r="H8542" s="27" t="s">
        <v>35</v>
      </c>
      <c r="I8542" s="28" t="s">
        <v>50</v>
      </c>
      <c r="J8542" s="28" t="s">
        <v>856</v>
      </c>
      <c r="K8542" s="27" t="s">
        <v>38</v>
      </c>
      <c r="L8542" s="27"/>
    </row>
    <row r="8543" customFormat="false" ht="15" hidden="false" customHeight="false" outlineLevel="0" collapsed="false">
      <c r="A8543" s="26" t="s">
        <v>22001</v>
      </c>
      <c r="B8543" s="27" t="s">
        <v>22002</v>
      </c>
      <c r="C8543" s="27" t="s">
        <v>144</v>
      </c>
      <c r="D8543" s="26"/>
      <c r="E8543" s="27"/>
      <c r="F8543" s="27"/>
      <c r="G8543" s="27" t="s">
        <v>11122</v>
      </c>
      <c r="H8543" s="27" t="s">
        <v>35</v>
      </c>
      <c r="I8543" s="27" t="s">
        <v>49</v>
      </c>
      <c r="J8543" s="28" t="s">
        <v>856</v>
      </c>
      <c r="K8543" s="27" t="s">
        <v>38</v>
      </c>
      <c r="L8543" s="27"/>
    </row>
    <row r="8544" customFormat="false" ht="15" hidden="false" customHeight="false" outlineLevel="0" collapsed="false">
      <c r="A8544" s="26" t="s">
        <v>22003</v>
      </c>
      <c r="B8544" s="27" t="s">
        <v>22004</v>
      </c>
      <c r="C8544" s="27" t="s">
        <v>144</v>
      </c>
      <c r="D8544" s="26"/>
      <c r="E8544" s="27"/>
      <c r="F8544" s="27"/>
      <c r="G8544" s="27" t="s">
        <v>11122</v>
      </c>
      <c r="H8544" s="27" t="s">
        <v>35</v>
      </c>
      <c r="I8544" s="27" t="s">
        <v>40</v>
      </c>
      <c r="J8544" s="28" t="s">
        <v>856</v>
      </c>
      <c r="K8544" s="27" t="s">
        <v>38</v>
      </c>
      <c r="L8544" s="27"/>
    </row>
    <row r="8545" customFormat="false" ht="15" hidden="false" customHeight="false" outlineLevel="0" collapsed="false">
      <c r="A8545" s="26" t="s">
        <v>22005</v>
      </c>
      <c r="B8545" s="27" t="s">
        <v>22006</v>
      </c>
      <c r="C8545" s="27" t="s">
        <v>144</v>
      </c>
      <c r="D8545" s="26"/>
      <c r="E8545" s="27"/>
      <c r="F8545" s="27"/>
      <c r="G8545" s="27" t="s">
        <v>11122</v>
      </c>
      <c r="H8545" s="27" t="s">
        <v>35</v>
      </c>
      <c r="I8545" s="28" t="s">
        <v>50</v>
      </c>
      <c r="J8545" s="28" t="s">
        <v>856</v>
      </c>
      <c r="K8545" s="27" t="s">
        <v>38</v>
      </c>
      <c r="L8545" s="27"/>
    </row>
    <row r="8546" customFormat="false" ht="15" hidden="false" customHeight="false" outlineLevel="0" collapsed="false">
      <c r="A8546" s="26" t="s">
        <v>22007</v>
      </c>
      <c r="B8546" s="27" t="s">
        <v>22008</v>
      </c>
      <c r="C8546" s="27" t="s">
        <v>144</v>
      </c>
      <c r="D8546" s="26"/>
      <c r="E8546" s="27"/>
      <c r="F8546" s="27"/>
      <c r="G8546" s="27" t="s">
        <v>11122</v>
      </c>
      <c r="H8546" s="27" t="s">
        <v>35</v>
      </c>
      <c r="I8546" s="27" t="s">
        <v>37</v>
      </c>
      <c r="J8546" s="28" t="s">
        <v>856</v>
      </c>
      <c r="K8546" s="27" t="s">
        <v>38</v>
      </c>
      <c r="L8546" s="27"/>
    </row>
    <row r="8547" customFormat="false" ht="15" hidden="false" customHeight="false" outlineLevel="0" collapsed="false">
      <c r="A8547" s="26" t="s">
        <v>22009</v>
      </c>
      <c r="B8547" s="27" t="s">
        <v>22010</v>
      </c>
      <c r="C8547" s="27" t="s">
        <v>144</v>
      </c>
      <c r="D8547" s="26"/>
      <c r="E8547" s="27"/>
      <c r="F8547" s="27"/>
      <c r="G8547" s="27" t="s">
        <v>11122</v>
      </c>
      <c r="H8547" s="27" t="s">
        <v>35</v>
      </c>
      <c r="I8547" s="27" t="s">
        <v>37</v>
      </c>
      <c r="J8547" s="28" t="s">
        <v>856</v>
      </c>
      <c r="K8547" s="27" t="s">
        <v>38</v>
      </c>
      <c r="L8547" s="27"/>
    </row>
    <row r="8548" customFormat="false" ht="15" hidden="false" customHeight="false" outlineLevel="0" collapsed="false">
      <c r="A8548" s="26" t="s">
        <v>22011</v>
      </c>
      <c r="B8548" s="27" t="s">
        <v>22012</v>
      </c>
      <c r="C8548" s="27" t="s">
        <v>144</v>
      </c>
      <c r="D8548" s="26"/>
      <c r="E8548" s="27"/>
      <c r="F8548" s="27"/>
      <c r="G8548" s="27" t="s">
        <v>11122</v>
      </c>
      <c r="H8548" s="27" t="s">
        <v>35</v>
      </c>
      <c r="I8548" s="27" t="s">
        <v>37</v>
      </c>
      <c r="J8548" s="28" t="s">
        <v>856</v>
      </c>
      <c r="K8548" s="27" t="s">
        <v>38</v>
      </c>
      <c r="L8548" s="27"/>
    </row>
    <row r="8549" customFormat="false" ht="15" hidden="false" customHeight="false" outlineLevel="0" collapsed="false">
      <c r="A8549" s="26" t="s">
        <v>22013</v>
      </c>
      <c r="B8549" s="27" t="s">
        <v>22014</v>
      </c>
      <c r="C8549" s="27" t="s">
        <v>144</v>
      </c>
      <c r="D8549" s="26"/>
      <c r="E8549" s="27"/>
      <c r="F8549" s="27"/>
      <c r="G8549" s="27" t="s">
        <v>11122</v>
      </c>
      <c r="H8549" s="27" t="s">
        <v>35</v>
      </c>
      <c r="I8549" s="27" t="s">
        <v>37</v>
      </c>
      <c r="J8549" s="28" t="s">
        <v>856</v>
      </c>
      <c r="K8549" s="27" t="s">
        <v>38</v>
      </c>
      <c r="L8549" s="27"/>
    </row>
    <row r="8550" customFormat="false" ht="15" hidden="false" customHeight="false" outlineLevel="0" collapsed="false">
      <c r="A8550" s="26" t="s">
        <v>22015</v>
      </c>
      <c r="B8550" s="27" t="s">
        <v>22016</v>
      </c>
      <c r="C8550" s="27" t="s">
        <v>144</v>
      </c>
      <c r="D8550" s="26"/>
      <c r="E8550" s="27"/>
      <c r="F8550" s="27"/>
      <c r="G8550" s="27" t="s">
        <v>11122</v>
      </c>
      <c r="H8550" s="27" t="s">
        <v>35</v>
      </c>
      <c r="I8550" s="27" t="s">
        <v>38</v>
      </c>
      <c r="J8550" s="28" t="s">
        <v>856</v>
      </c>
      <c r="K8550" s="27" t="s">
        <v>38</v>
      </c>
      <c r="L8550" s="27"/>
    </row>
    <row r="8551" customFormat="false" ht="15" hidden="false" customHeight="false" outlineLevel="0" collapsed="false">
      <c r="A8551" s="26" t="s">
        <v>22017</v>
      </c>
      <c r="B8551" s="27" t="s">
        <v>22018</v>
      </c>
      <c r="C8551" s="27" t="s">
        <v>144</v>
      </c>
      <c r="D8551" s="26"/>
      <c r="E8551" s="27"/>
      <c r="F8551" s="27"/>
      <c r="G8551" s="27" t="s">
        <v>11122</v>
      </c>
      <c r="H8551" s="27" t="s">
        <v>35</v>
      </c>
      <c r="I8551" s="27" t="s">
        <v>38</v>
      </c>
      <c r="J8551" s="28" t="s">
        <v>856</v>
      </c>
      <c r="K8551" s="27" t="s">
        <v>38</v>
      </c>
      <c r="L8551" s="27"/>
    </row>
    <row r="8552" customFormat="false" ht="15" hidden="false" customHeight="false" outlineLevel="0" collapsed="false">
      <c r="A8552" s="26" t="s">
        <v>22019</v>
      </c>
      <c r="B8552" s="27" t="s">
        <v>22020</v>
      </c>
      <c r="C8552" s="27" t="s">
        <v>144</v>
      </c>
      <c r="D8552" s="26"/>
      <c r="E8552" s="27"/>
      <c r="F8552" s="27"/>
      <c r="G8552" s="27" t="s">
        <v>11122</v>
      </c>
      <c r="H8552" s="27" t="s">
        <v>35</v>
      </c>
      <c r="I8552" s="27" t="s">
        <v>47</v>
      </c>
      <c r="J8552" s="28" t="s">
        <v>856</v>
      </c>
      <c r="K8552" s="27" t="s">
        <v>38</v>
      </c>
      <c r="L8552" s="27"/>
    </row>
    <row r="8553" customFormat="false" ht="15" hidden="false" customHeight="false" outlineLevel="0" collapsed="false">
      <c r="A8553" s="26" t="s">
        <v>22021</v>
      </c>
      <c r="B8553" s="27" t="s">
        <v>22022</v>
      </c>
      <c r="C8553" s="27" t="s">
        <v>144</v>
      </c>
      <c r="D8553" s="26"/>
      <c r="E8553" s="27"/>
      <c r="F8553" s="27"/>
      <c r="G8553" s="27" t="s">
        <v>11122</v>
      </c>
      <c r="H8553" s="27" t="s">
        <v>35</v>
      </c>
      <c r="I8553" s="27" t="s">
        <v>37</v>
      </c>
      <c r="J8553" s="28" t="s">
        <v>856</v>
      </c>
      <c r="K8553" s="27" t="s">
        <v>38</v>
      </c>
      <c r="L8553" s="27"/>
    </row>
    <row r="8554" customFormat="false" ht="15" hidden="false" customHeight="false" outlineLevel="0" collapsed="false">
      <c r="A8554" s="26" t="s">
        <v>22023</v>
      </c>
      <c r="B8554" s="27" t="s">
        <v>22024</v>
      </c>
      <c r="C8554" s="27" t="s">
        <v>144</v>
      </c>
      <c r="D8554" s="26"/>
      <c r="E8554" s="27"/>
      <c r="F8554" s="27"/>
      <c r="G8554" s="27" t="s">
        <v>11122</v>
      </c>
      <c r="H8554" s="27" t="s">
        <v>35</v>
      </c>
      <c r="I8554" s="27" t="s">
        <v>39</v>
      </c>
      <c r="J8554" s="28" t="s">
        <v>856</v>
      </c>
      <c r="K8554" s="27" t="s">
        <v>38</v>
      </c>
      <c r="L8554" s="27"/>
    </row>
    <row r="8555" customFormat="false" ht="15" hidden="false" customHeight="false" outlineLevel="0" collapsed="false">
      <c r="A8555" s="26" t="s">
        <v>22025</v>
      </c>
      <c r="B8555" s="27" t="s">
        <v>22026</v>
      </c>
      <c r="C8555" s="27" t="s">
        <v>144</v>
      </c>
      <c r="D8555" s="26"/>
      <c r="E8555" s="27"/>
      <c r="F8555" s="27"/>
      <c r="G8555" s="27" t="s">
        <v>11122</v>
      </c>
      <c r="H8555" s="27" t="s">
        <v>35</v>
      </c>
      <c r="I8555" s="27" t="s">
        <v>37</v>
      </c>
      <c r="J8555" s="28" t="s">
        <v>856</v>
      </c>
      <c r="K8555" s="27" t="s">
        <v>38</v>
      </c>
      <c r="L8555" s="27"/>
    </row>
    <row r="8556" customFormat="false" ht="15" hidden="false" customHeight="false" outlineLevel="0" collapsed="false">
      <c r="A8556" s="26" t="s">
        <v>22027</v>
      </c>
      <c r="B8556" s="27" t="s">
        <v>22028</v>
      </c>
      <c r="C8556" s="27" t="s">
        <v>144</v>
      </c>
      <c r="D8556" s="26"/>
      <c r="E8556" s="27"/>
      <c r="F8556" s="27"/>
      <c r="G8556" s="27" t="s">
        <v>11122</v>
      </c>
      <c r="H8556" s="27" t="s">
        <v>35</v>
      </c>
      <c r="I8556" s="27" t="s">
        <v>37</v>
      </c>
      <c r="J8556" s="28" t="s">
        <v>856</v>
      </c>
      <c r="K8556" s="27" t="s">
        <v>38</v>
      </c>
      <c r="L8556" s="27"/>
    </row>
    <row r="8557" customFormat="false" ht="15" hidden="false" customHeight="false" outlineLevel="0" collapsed="false">
      <c r="A8557" s="26" t="s">
        <v>22029</v>
      </c>
      <c r="B8557" s="27" t="s">
        <v>22030</v>
      </c>
      <c r="C8557" s="27" t="s">
        <v>144</v>
      </c>
      <c r="D8557" s="26"/>
      <c r="E8557" s="27"/>
      <c r="F8557" s="27"/>
      <c r="G8557" s="27" t="s">
        <v>11122</v>
      </c>
      <c r="H8557" s="27" t="s">
        <v>35</v>
      </c>
      <c r="I8557" s="27" t="s">
        <v>38</v>
      </c>
      <c r="J8557" s="28" t="s">
        <v>856</v>
      </c>
      <c r="K8557" s="27" t="s">
        <v>38</v>
      </c>
      <c r="L8557" s="27"/>
    </row>
    <row r="8558" customFormat="false" ht="15" hidden="false" customHeight="false" outlineLevel="0" collapsed="false">
      <c r="A8558" s="26" t="s">
        <v>22031</v>
      </c>
      <c r="B8558" s="27" t="s">
        <v>22032</v>
      </c>
      <c r="C8558" s="27" t="s">
        <v>144</v>
      </c>
      <c r="D8558" s="26"/>
      <c r="E8558" s="27"/>
      <c r="F8558" s="27"/>
      <c r="G8558" s="27" t="s">
        <v>11122</v>
      </c>
      <c r="H8558" s="27" t="s">
        <v>35</v>
      </c>
      <c r="I8558" s="27" t="s">
        <v>37</v>
      </c>
      <c r="J8558" s="28" t="s">
        <v>856</v>
      </c>
      <c r="K8558" s="27" t="s">
        <v>38</v>
      </c>
      <c r="L8558" s="27"/>
    </row>
    <row r="8559" customFormat="false" ht="15" hidden="false" customHeight="false" outlineLevel="0" collapsed="false">
      <c r="A8559" s="26" t="s">
        <v>22033</v>
      </c>
      <c r="B8559" s="27" t="s">
        <v>22034</v>
      </c>
      <c r="C8559" s="27" t="s">
        <v>144</v>
      </c>
      <c r="D8559" s="26"/>
      <c r="E8559" s="27"/>
      <c r="F8559" s="27"/>
      <c r="G8559" s="27" t="s">
        <v>11122</v>
      </c>
      <c r="H8559" s="27" t="s">
        <v>35</v>
      </c>
      <c r="I8559" s="27" t="s">
        <v>37</v>
      </c>
      <c r="J8559" s="28" t="s">
        <v>856</v>
      </c>
      <c r="K8559" s="27" t="s">
        <v>38</v>
      </c>
      <c r="L8559" s="27"/>
    </row>
    <row r="8560" customFormat="false" ht="15" hidden="false" customHeight="false" outlineLevel="0" collapsed="false">
      <c r="A8560" s="26" t="s">
        <v>22035</v>
      </c>
      <c r="B8560" s="27" t="s">
        <v>22036</v>
      </c>
      <c r="C8560" s="27" t="s">
        <v>144</v>
      </c>
      <c r="D8560" s="26"/>
      <c r="E8560" s="27"/>
      <c r="F8560" s="27"/>
      <c r="G8560" s="27" t="s">
        <v>11122</v>
      </c>
      <c r="H8560" s="27" t="s">
        <v>35</v>
      </c>
      <c r="I8560" s="27" t="s">
        <v>37</v>
      </c>
      <c r="J8560" s="28" t="s">
        <v>856</v>
      </c>
      <c r="K8560" s="27" t="s">
        <v>38</v>
      </c>
      <c r="L8560" s="27"/>
    </row>
    <row r="8561" customFormat="false" ht="15" hidden="false" customHeight="false" outlineLevel="0" collapsed="false">
      <c r="A8561" s="26" t="s">
        <v>22037</v>
      </c>
      <c r="B8561" s="27" t="s">
        <v>22038</v>
      </c>
      <c r="C8561" s="27" t="s">
        <v>144</v>
      </c>
      <c r="D8561" s="26"/>
      <c r="E8561" s="27"/>
      <c r="F8561" s="27"/>
      <c r="G8561" s="27" t="s">
        <v>11122</v>
      </c>
      <c r="H8561" s="27" t="s">
        <v>35</v>
      </c>
      <c r="I8561" s="27" t="s">
        <v>37</v>
      </c>
      <c r="J8561" s="28" t="s">
        <v>856</v>
      </c>
      <c r="K8561" s="27" t="s">
        <v>38</v>
      </c>
      <c r="L8561" s="27"/>
    </row>
    <row r="8562" customFormat="false" ht="15" hidden="false" customHeight="false" outlineLevel="0" collapsed="false">
      <c r="A8562" s="26" t="s">
        <v>22039</v>
      </c>
      <c r="B8562" s="27" t="s">
        <v>22040</v>
      </c>
      <c r="C8562" s="27" t="s">
        <v>144</v>
      </c>
      <c r="D8562" s="26"/>
      <c r="E8562" s="27"/>
      <c r="F8562" s="27"/>
      <c r="G8562" s="27" t="s">
        <v>11122</v>
      </c>
      <c r="H8562" s="27" t="s">
        <v>35</v>
      </c>
      <c r="I8562" s="27" t="s">
        <v>40</v>
      </c>
      <c r="J8562" s="28" t="s">
        <v>856</v>
      </c>
      <c r="K8562" s="27" t="s">
        <v>38</v>
      </c>
      <c r="L8562" s="27"/>
    </row>
    <row r="8563" customFormat="false" ht="15" hidden="false" customHeight="false" outlineLevel="0" collapsed="false">
      <c r="A8563" s="26" t="s">
        <v>22041</v>
      </c>
      <c r="B8563" s="27" t="s">
        <v>22042</v>
      </c>
      <c r="C8563" s="27" t="s">
        <v>144</v>
      </c>
      <c r="D8563" s="26"/>
      <c r="E8563" s="27"/>
      <c r="F8563" s="27"/>
      <c r="G8563" s="27" t="s">
        <v>11122</v>
      </c>
      <c r="H8563" s="27" t="s">
        <v>35</v>
      </c>
      <c r="I8563" s="27" t="s">
        <v>38</v>
      </c>
      <c r="J8563" s="28" t="s">
        <v>856</v>
      </c>
      <c r="K8563" s="27" t="s">
        <v>38</v>
      </c>
      <c r="L8563" s="27"/>
    </row>
    <row r="8564" customFormat="false" ht="15" hidden="false" customHeight="false" outlineLevel="0" collapsed="false">
      <c r="A8564" s="26" t="s">
        <v>22043</v>
      </c>
      <c r="B8564" s="27" t="s">
        <v>22044</v>
      </c>
      <c r="C8564" s="27" t="s">
        <v>144</v>
      </c>
      <c r="D8564" s="26"/>
      <c r="E8564" s="27"/>
      <c r="F8564" s="27"/>
      <c r="G8564" s="27" t="s">
        <v>11122</v>
      </c>
      <c r="H8564" s="27" t="s">
        <v>35</v>
      </c>
      <c r="I8564" s="27" t="s">
        <v>40</v>
      </c>
      <c r="J8564" s="28" t="s">
        <v>856</v>
      </c>
      <c r="K8564" s="27" t="s">
        <v>38</v>
      </c>
      <c r="L8564" s="27"/>
    </row>
    <row r="8565" customFormat="false" ht="15" hidden="false" customHeight="false" outlineLevel="0" collapsed="false">
      <c r="A8565" s="26" t="s">
        <v>22045</v>
      </c>
      <c r="B8565" s="27" t="s">
        <v>22046</v>
      </c>
      <c r="C8565" s="27" t="s">
        <v>144</v>
      </c>
      <c r="D8565" s="26"/>
      <c r="E8565" s="27"/>
      <c r="F8565" s="27"/>
      <c r="G8565" s="27" t="s">
        <v>11122</v>
      </c>
      <c r="H8565" s="27" t="s">
        <v>35</v>
      </c>
      <c r="I8565" s="27" t="s">
        <v>40</v>
      </c>
      <c r="J8565" s="28" t="s">
        <v>856</v>
      </c>
      <c r="K8565" s="27" t="s">
        <v>38</v>
      </c>
      <c r="L8565" s="27"/>
    </row>
    <row r="8566" customFormat="false" ht="15" hidden="false" customHeight="false" outlineLevel="0" collapsed="false">
      <c r="A8566" s="26" t="s">
        <v>22047</v>
      </c>
      <c r="B8566" s="27" t="s">
        <v>22048</v>
      </c>
      <c r="C8566" s="27" t="s">
        <v>144</v>
      </c>
      <c r="D8566" s="26"/>
      <c r="E8566" s="27"/>
      <c r="F8566" s="27"/>
      <c r="G8566" s="27" t="s">
        <v>11122</v>
      </c>
      <c r="H8566" s="27" t="s">
        <v>35</v>
      </c>
      <c r="I8566" s="27" t="s">
        <v>40</v>
      </c>
      <c r="J8566" s="28" t="s">
        <v>856</v>
      </c>
      <c r="K8566" s="27" t="s">
        <v>38</v>
      </c>
      <c r="L8566" s="27"/>
    </row>
    <row r="8567" customFormat="false" ht="15" hidden="false" customHeight="false" outlineLevel="0" collapsed="false">
      <c r="A8567" s="26" t="s">
        <v>22049</v>
      </c>
      <c r="B8567" s="27" t="s">
        <v>22050</v>
      </c>
      <c r="C8567" s="27" t="s">
        <v>144</v>
      </c>
      <c r="D8567" s="26"/>
      <c r="E8567" s="27"/>
      <c r="F8567" s="27"/>
      <c r="G8567" s="27" t="s">
        <v>11122</v>
      </c>
      <c r="H8567" s="27" t="s">
        <v>35</v>
      </c>
      <c r="I8567" s="27" t="s">
        <v>40</v>
      </c>
      <c r="J8567" s="28" t="s">
        <v>856</v>
      </c>
      <c r="K8567" s="27" t="s">
        <v>38</v>
      </c>
      <c r="L8567" s="27"/>
    </row>
    <row r="8568" customFormat="false" ht="15" hidden="false" customHeight="false" outlineLevel="0" collapsed="false">
      <c r="A8568" s="26" t="s">
        <v>22051</v>
      </c>
      <c r="B8568" s="27" t="s">
        <v>22052</v>
      </c>
      <c r="C8568" s="27" t="s">
        <v>144</v>
      </c>
      <c r="D8568" s="26"/>
      <c r="E8568" s="27"/>
      <c r="F8568" s="27"/>
      <c r="G8568" s="27" t="s">
        <v>11122</v>
      </c>
      <c r="H8568" s="27" t="s">
        <v>35</v>
      </c>
      <c r="I8568" s="27" t="s">
        <v>41</v>
      </c>
      <c r="J8568" s="28" t="s">
        <v>856</v>
      </c>
      <c r="K8568" s="27" t="s">
        <v>38</v>
      </c>
      <c r="L8568" s="27"/>
    </row>
    <row r="8569" customFormat="false" ht="15" hidden="false" customHeight="false" outlineLevel="0" collapsed="false">
      <c r="A8569" s="26" t="s">
        <v>22053</v>
      </c>
      <c r="B8569" s="27" t="s">
        <v>22054</v>
      </c>
      <c r="C8569" s="27" t="s">
        <v>144</v>
      </c>
      <c r="D8569" s="26"/>
      <c r="E8569" s="27"/>
      <c r="F8569" s="27"/>
      <c r="G8569" s="27" t="s">
        <v>11122</v>
      </c>
      <c r="H8569" s="27" t="s">
        <v>35</v>
      </c>
      <c r="I8569" s="27" t="s">
        <v>38</v>
      </c>
      <c r="J8569" s="28" t="s">
        <v>856</v>
      </c>
      <c r="K8569" s="27" t="s">
        <v>38</v>
      </c>
      <c r="L8569" s="27"/>
    </row>
    <row r="8570" customFormat="false" ht="15" hidden="false" customHeight="false" outlineLevel="0" collapsed="false">
      <c r="A8570" s="26" t="s">
        <v>22055</v>
      </c>
      <c r="B8570" s="27" t="s">
        <v>22056</v>
      </c>
      <c r="C8570" s="27" t="s">
        <v>144</v>
      </c>
      <c r="D8570" s="26"/>
      <c r="E8570" s="27"/>
      <c r="F8570" s="27"/>
      <c r="G8570" s="27" t="s">
        <v>11122</v>
      </c>
      <c r="H8570" s="27" t="s">
        <v>35</v>
      </c>
      <c r="I8570" s="27" t="s">
        <v>38</v>
      </c>
      <c r="J8570" s="28" t="s">
        <v>856</v>
      </c>
      <c r="K8570" s="27" t="s">
        <v>38</v>
      </c>
      <c r="L8570" s="27"/>
    </row>
    <row r="8571" customFormat="false" ht="15" hidden="false" customHeight="false" outlineLevel="0" collapsed="false">
      <c r="A8571" s="26" t="s">
        <v>22057</v>
      </c>
      <c r="B8571" s="27" t="s">
        <v>22058</v>
      </c>
      <c r="C8571" s="27" t="s">
        <v>144</v>
      </c>
      <c r="D8571" s="26"/>
      <c r="E8571" s="27"/>
      <c r="F8571" s="27"/>
      <c r="G8571" s="27" t="s">
        <v>11122</v>
      </c>
      <c r="H8571" s="27" t="s">
        <v>35</v>
      </c>
      <c r="I8571" s="27" t="s">
        <v>37</v>
      </c>
      <c r="J8571" s="28" t="s">
        <v>856</v>
      </c>
      <c r="K8571" s="27" t="s">
        <v>38</v>
      </c>
      <c r="L8571" s="27"/>
    </row>
    <row r="8572" customFormat="false" ht="15" hidden="false" customHeight="false" outlineLevel="0" collapsed="false">
      <c r="A8572" s="26" t="s">
        <v>22059</v>
      </c>
      <c r="B8572" s="27" t="s">
        <v>22060</v>
      </c>
      <c r="C8572" s="27" t="s">
        <v>144</v>
      </c>
      <c r="D8572" s="26"/>
      <c r="E8572" s="27"/>
      <c r="F8572" s="27"/>
      <c r="G8572" s="27" t="s">
        <v>11122</v>
      </c>
      <c r="H8572" s="27" t="s">
        <v>35</v>
      </c>
      <c r="I8572" s="27" t="s">
        <v>41</v>
      </c>
      <c r="J8572" s="28" t="s">
        <v>856</v>
      </c>
      <c r="K8572" s="27" t="s">
        <v>38</v>
      </c>
      <c r="L8572" s="27"/>
    </row>
    <row r="8573" customFormat="false" ht="15" hidden="false" customHeight="false" outlineLevel="0" collapsed="false">
      <c r="A8573" s="26" t="s">
        <v>22061</v>
      </c>
      <c r="B8573" s="27" t="s">
        <v>22062</v>
      </c>
      <c r="C8573" s="27" t="s">
        <v>144</v>
      </c>
      <c r="D8573" s="26"/>
      <c r="E8573" s="27"/>
      <c r="F8573" s="27"/>
      <c r="G8573" s="27" t="s">
        <v>11122</v>
      </c>
      <c r="H8573" s="27" t="s">
        <v>35</v>
      </c>
      <c r="I8573" s="27" t="s">
        <v>41</v>
      </c>
      <c r="J8573" s="28" t="s">
        <v>856</v>
      </c>
      <c r="K8573" s="27" t="s">
        <v>38</v>
      </c>
      <c r="L8573" s="27"/>
    </row>
    <row r="8574" customFormat="false" ht="15" hidden="false" customHeight="false" outlineLevel="0" collapsed="false">
      <c r="A8574" s="26" t="s">
        <v>22063</v>
      </c>
      <c r="B8574" s="27" t="s">
        <v>22064</v>
      </c>
      <c r="C8574" s="27" t="s">
        <v>144</v>
      </c>
      <c r="D8574" s="26"/>
      <c r="E8574" s="27"/>
      <c r="F8574" s="27"/>
      <c r="G8574" s="27" t="s">
        <v>11122</v>
      </c>
      <c r="H8574" s="27" t="s">
        <v>35</v>
      </c>
      <c r="I8574" s="27" t="s">
        <v>37</v>
      </c>
      <c r="J8574" s="28" t="s">
        <v>856</v>
      </c>
      <c r="K8574" s="27" t="s">
        <v>38</v>
      </c>
      <c r="L8574" s="27"/>
    </row>
    <row r="8575" customFormat="false" ht="15" hidden="false" customHeight="false" outlineLevel="0" collapsed="false">
      <c r="A8575" s="26" t="s">
        <v>22065</v>
      </c>
      <c r="B8575" s="27" t="s">
        <v>22066</v>
      </c>
      <c r="C8575" s="27" t="s">
        <v>144</v>
      </c>
      <c r="D8575" s="26"/>
      <c r="E8575" s="27"/>
      <c r="F8575" s="27"/>
      <c r="G8575" s="27" t="s">
        <v>11122</v>
      </c>
      <c r="H8575" s="27" t="s">
        <v>35</v>
      </c>
      <c r="I8575" s="27" t="s">
        <v>41</v>
      </c>
      <c r="J8575" s="28" t="s">
        <v>856</v>
      </c>
      <c r="K8575" s="27" t="s">
        <v>38</v>
      </c>
      <c r="L8575" s="27"/>
    </row>
    <row r="8576" customFormat="false" ht="15" hidden="false" customHeight="false" outlineLevel="0" collapsed="false">
      <c r="A8576" s="26" t="s">
        <v>22067</v>
      </c>
      <c r="B8576" s="27" t="s">
        <v>22068</v>
      </c>
      <c r="C8576" s="27" t="s">
        <v>144</v>
      </c>
      <c r="D8576" s="26"/>
      <c r="E8576" s="27"/>
      <c r="F8576" s="27"/>
      <c r="G8576" s="27" t="s">
        <v>11122</v>
      </c>
      <c r="H8576" s="27" t="s">
        <v>35</v>
      </c>
      <c r="I8576" s="27" t="s">
        <v>41</v>
      </c>
      <c r="J8576" s="28" t="s">
        <v>856</v>
      </c>
      <c r="K8576" s="27" t="s">
        <v>38</v>
      </c>
      <c r="L8576" s="27"/>
    </row>
    <row r="8577" customFormat="false" ht="15" hidden="false" customHeight="false" outlineLevel="0" collapsed="false">
      <c r="A8577" s="26" t="s">
        <v>22069</v>
      </c>
      <c r="B8577" s="27" t="s">
        <v>22070</v>
      </c>
      <c r="C8577" s="27" t="s">
        <v>144</v>
      </c>
      <c r="D8577" s="26"/>
      <c r="E8577" s="27"/>
      <c r="F8577" s="27"/>
      <c r="G8577" s="27" t="s">
        <v>11122</v>
      </c>
      <c r="H8577" s="27" t="s">
        <v>35</v>
      </c>
      <c r="I8577" s="27" t="s">
        <v>41</v>
      </c>
      <c r="J8577" s="28" t="s">
        <v>856</v>
      </c>
      <c r="K8577" s="27" t="s">
        <v>38</v>
      </c>
      <c r="L8577" s="27"/>
    </row>
    <row r="8578" customFormat="false" ht="15" hidden="false" customHeight="false" outlineLevel="0" collapsed="false">
      <c r="A8578" s="26" t="s">
        <v>22071</v>
      </c>
      <c r="B8578" s="27" t="s">
        <v>22072</v>
      </c>
      <c r="C8578" s="27" t="s">
        <v>144</v>
      </c>
      <c r="D8578" s="26"/>
      <c r="E8578" s="27"/>
      <c r="F8578" s="27"/>
      <c r="G8578" s="27" t="s">
        <v>11122</v>
      </c>
      <c r="H8578" s="27" t="s">
        <v>35</v>
      </c>
      <c r="I8578" s="27" t="s">
        <v>41</v>
      </c>
      <c r="J8578" s="28" t="s">
        <v>856</v>
      </c>
      <c r="K8578" s="27" t="s">
        <v>38</v>
      </c>
      <c r="L8578" s="27"/>
    </row>
    <row r="8579" customFormat="false" ht="15" hidden="false" customHeight="false" outlineLevel="0" collapsed="false">
      <c r="A8579" s="26" t="s">
        <v>22073</v>
      </c>
      <c r="B8579" s="27" t="s">
        <v>22074</v>
      </c>
      <c r="C8579" s="27" t="s">
        <v>144</v>
      </c>
      <c r="D8579" s="26"/>
      <c r="E8579" s="27"/>
      <c r="F8579" s="27"/>
      <c r="G8579" s="27" t="s">
        <v>11122</v>
      </c>
      <c r="H8579" s="27" t="s">
        <v>35</v>
      </c>
      <c r="I8579" s="27" t="s">
        <v>41</v>
      </c>
      <c r="J8579" s="28" t="s">
        <v>856</v>
      </c>
      <c r="K8579" s="27" t="s">
        <v>38</v>
      </c>
      <c r="L8579" s="27"/>
    </row>
    <row r="8580" customFormat="false" ht="15" hidden="false" customHeight="false" outlineLevel="0" collapsed="false">
      <c r="A8580" s="26" t="s">
        <v>22075</v>
      </c>
      <c r="B8580" s="27" t="s">
        <v>22076</v>
      </c>
      <c r="C8580" s="27" t="s">
        <v>144</v>
      </c>
      <c r="D8580" s="26"/>
      <c r="E8580" s="27"/>
      <c r="F8580" s="27"/>
      <c r="G8580" s="27" t="s">
        <v>11122</v>
      </c>
      <c r="H8580" s="27" t="s">
        <v>35</v>
      </c>
      <c r="I8580" s="27" t="s">
        <v>37</v>
      </c>
      <c r="J8580" s="28" t="s">
        <v>856</v>
      </c>
      <c r="K8580" s="27" t="s">
        <v>38</v>
      </c>
      <c r="L8580" s="27"/>
    </row>
    <row r="8581" customFormat="false" ht="15" hidden="false" customHeight="false" outlineLevel="0" collapsed="false">
      <c r="A8581" s="26" t="s">
        <v>22077</v>
      </c>
      <c r="B8581" s="27" t="s">
        <v>22078</v>
      </c>
      <c r="C8581" s="27" t="s">
        <v>144</v>
      </c>
      <c r="D8581" s="26"/>
      <c r="E8581" s="27"/>
      <c r="F8581" s="27"/>
      <c r="G8581" s="27" t="s">
        <v>11122</v>
      </c>
      <c r="H8581" s="27" t="s">
        <v>35</v>
      </c>
      <c r="I8581" s="27" t="s">
        <v>43</v>
      </c>
      <c r="J8581" s="28" t="s">
        <v>856</v>
      </c>
      <c r="K8581" s="27" t="s">
        <v>38</v>
      </c>
      <c r="L8581" s="27"/>
    </row>
    <row r="8582" customFormat="false" ht="15" hidden="false" customHeight="false" outlineLevel="0" collapsed="false">
      <c r="A8582" s="26" t="s">
        <v>22079</v>
      </c>
      <c r="B8582" s="27" t="s">
        <v>22080</v>
      </c>
      <c r="C8582" s="27" t="s">
        <v>144</v>
      </c>
      <c r="D8582" s="26"/>
      <c r="E8582" s="27"/>
      <c r="F8582" s="27"/>
      <c r="G8582" s="27" t="s">
        <v>11122</v>
      </c>
      <c r="H8582" s="27" t="s">
        <v>35</v>
      </c>
      <c r="I8582" s="27" t="s">
        <v>43</v>
      </c>
      <c r="J8582" s="28" t="s">
        <v>856</v>
      </c>
      <c r="K8582" s="27" t="s">
        <v>38</v>
      </c>
      <c r="L8582" s="27"/>
    </row>
    <row r="8583" customFormat="false" ht="15" hidden="false" customHeight="false" outlineLevel="0" collapsed="false">
      <c r="A8583" s="26" t="s">
        <v>22081</v>
      </c>
      <c r="B8583" s="27" t="s">
        <v>22082</v>
      </c>
      <c r="C8583" s="27" t="s">
        <v>144</v>
      </c>
      <c r="D8583" s="26"/>
      <c r="E8583" s="27"/>
      <c r="F8583" s="27"/>
      <c r="G8583" s="27" t="s">
        <v>11122</v>
      </c>
      <c r="H8583" s="27" t="s">
        <v>35</v>
      </c>
      <c r="I8583" s="27" t="s">
        <v>41</v>
      </c>
      <c r="J8583" s="28" t="s">
        <v>856</v>
      </c>
      <c r="K8583" s="27" t="s">
        <v>38</v>
      </c>
      <c r="L8583" s="27"/>
    </row>
    <row r="8584" customFormat="false" ht="15" hidden="false" customHeight="false" outlineLevel="0" collapsed="false">
      <c r="A8584" s="26" t="s">
        <v>22083</v>
      </c>
      <c r="B8584" s="27" t="s">
        <v>22084</v>
      </c>
      <c r="C8584" s="27" t="s">
        <v>144</v>
      </c>
      <c r="D8584" s="26"/>
      <c r="E8584" s="27"/>
      <c r="F8584" s="27"/>
      <c r="G8584" s="27" t="s">
        <v>11122</v>
      </c>
      <c r="H8584" s="27" t="s">
        <v>35</v>
      </c>
      <c r="I8584" s="27" t="s">
        <v>43</v>
      </c>
      <c r="J8584" s="28" t="s">
        <v>856</v>
      </c>
      <c r="K8584" s="27" t="s">
        <v>38</v>
      </c>
      <c r="L8584" s="27"/>
    </row>
    <row r="8585" customFormat="false" ht="15" hidden="false" customHeight="false" outlineLevel="0" collapsed="false">
      <c r="A8585" s="26" t="s">
        <v>22085</v>
      </c>
      <c r="B8585" s="27" t="s">
        <v>22086</v>
      </c>
      <c r="C8585" s="27" t="s">
        <v>144</v>
      </c>
      <c r="D8585" s="26"/>
      <c r="E8585" s="27"/>
      <c r="F8585" s="27"/>
      <c r="G8585" s="27" t="s">
        <v>11122</v>
      </c>
      <c r="H8585" s="27" t="s">
        <v>35</v>
      </c>
      <c r="I8585" s="27" t="s">
        <v>41</v>
      </c>
      <c r="J8585" s="28" t="s">
        <v>856</v>
      </c>
      <c r="K8585" s="27" t="s">
        <v>38</v>
      </c>
      <c r="L8585" s="27"/>
    </row>
    <row r="8586" customFormat="false" ht="15" hidden="false" customHeight="false" outlineLevel="0" collapsed="false">
      <c r="A8586" s="26" t="s">
        <v>22087</v>
      </c>
      <c r="B8586" s="27" t="s">
        <v>22088</v>
      </c>
      <c r="C8586" s="27" t="s">
        <v>144</v>
      </c>
      <c r="D8586" s="26"/>
      <c r="E8586" s="27"/>
      <c r="F8586" s="27"/>
      <c r="G8586" s="27" t="s">
        <v>11122</v>
      </c>
      <c r="H8586" s="27" t="s">
        <v>35</v>
      </c>
      <c r="I8586" s="27" t="s">
        <v>37</v>
      </c>
      <c r="J8586" s="28" t="s">
        <v>856</v>
      </c>
      <c r="K8586" s="27" t="s">
        <v>38</v>
      </c>
      <c r="L8586" s="27"/>
    </row>
    <row r="8587" customFormat="false" ht="15" hidden="false" customHeight="false" outlineLevel="0" collapsed="false">
      <c r="A8587" s="26" t="s">
        <v>22089</v>
      </c>
      <c r="B8587" s="27" t="s">
        <v>22090</v>
      </c>
      <c r="C8587" s="27" t="s">
        <v>144</v>
      </c>
      <c r="D8587" s="26"/>
      <c r="E8587" s="27"/>
      <c r="F8587" s="27"/>
      <c r="G8587" s="27" t="s">
        <v>11122</v>
      </c>
      <c r="H8587" s="27" t="s">
        <v>35</v>
      </c>
      <c r="I8587" s="27" t="s">
        <v>41</v>
      </c>
      <c r="J8587" s="28" t="s">
        <v>856</v>
      </c>
      <c r="K8587" s="27" t="s">
        <v>38</v>
      </c>
      <c r="L8587" s="27"/>
    </row>
    <row r="8588" customFormat="false" ht="15" hidden="false" customHeight="false" outlineLevel="0" collapsed="false">
      <c r="A8588" s="26" t="s">
        <v>22091</v>
      </c>
      <c r="B8588" s="27" t="s">
        <v>22092</v>
      </c>
      <c r="C8588" s="27" t="s">
        <v>144</v>
      </c>
      <c r="D8588" s="26"/>
      <c r="E8588" s="27"/>
      <c r="F8588" s="27"/>
      <c r="G8588" s="27" t="s">
        <v>11122</v>
      </c>
      <c r="H8588" s="27" t="s">
        <v>35</v>
      </c>
      <c r="I8588" s="27" t="s">
        <v>41</v>
      </c>
      <c r="J8588" s="28" t="s">
        <v>856</v>
      </c>
      <c r="K8588" s="27" t="s">
        <v>38</v>
      </c>
      <c r="L8588" s="27"/>
    </row>
    <row r="8589" customFormat="false" ht="15" hidden="false" customHeight="false" outlineLevel="0" collapsed="false">
      <c r="A8589" s="26" t="s">
        <v>22093</v>
      </c>
      <c r="B8589" s="27" t="s">
        <v>22094</v>
      </c>
      <c r="C8589" s="27" t="s">
        <v>144</v>
      </c>
      <c r="D8589" s="26"/>
      <c r="E8589" s="27"/>
      <c r="F8589" s="27"/>
      <c r="G8589" s="27" t="s">
        <v>11122</v>
      </c>
      <c r="H8589" s="27" t="s">
        <v>35</v>
      </c>
      <c r="I8589" s="27" t="s">
        <v>41</v>
      </c>
      <c r="J8589" s="28" t="s">
        <v>856</v>
      </c>
      <c r="K8589" s="27" t="s">
        <v>38</v>
      </c>
      <c r="L8589" s="27"/>
    </row>
    <row r="8590" customFormat="false" ht="15" hidden="false" customHeight="false" outlineLevel="0" collapsed="false">
      <c r="A8590" s="26" t="s">
        <v>22095</v>
      </c>
      <c r="B8590" s="27" t="s">
        <v>22096</v>
      </c>
      <c r="C8590" s="27" t="s">
        <v>144</v>
      </c>
      <c r="D8590" s="26"/>
      <c r="E8590" s="27"/>
      <c r="F8590" s="27"/>
      <c r="G8590" s="27" t="s">
        <v>11122</v>
      </c>
      <c r="H8590" s="27" t="s">
        <v>35</v>
      </c>
      <c r="I8590" s="27" t="s">
        <v>41</v>
      </c>
      <c r="J8590" s="28" t="s">
        <v>856</v>
      </c>
      <c r="K8590" s="27" t="s">
        <v>38</v>
      </c>
      <c r="L8590" s="27"/>
    </row>
    <row r="8591" customFormat="false" ht="15" hidden="false" customHeight="false" outlineLevel="0" collapsed="false">
      <c r="A8591" s="26" t="s">
        <v>22097</v>
      </c>
      <c r="B8591" s="27" t="s">
        <v>22098</v>
      </c>
      <c r="C8591" s="27" t="s">
        <v>144</v>
      </c>
      <c r="D8591" s="26"/>
      <c r="E8591" s="27"/>
      <c r="F8591" s="27"/>
      <c r="G8591" s="27" t="s">
        <v>11122</v>
      </c>
      <c r="H8591" s="27" t="s">
        <v>35</v>
      </c>
      <c r="I8591" s="27" t="s">
        <v>41</v>
      </c>
      <c r="J8591" s="28" t="s">
        <v>856</v>
      </c>
      <c r="K8591" s="27" t="s">
        <v>38</v>
      </c>
      <c r="L8591" s="27"/>
    </row>
    <row r="8592" customFormat="false" ht="15" hidden="false" customHeight="false" outlineLevel="0" collapsed="false">
      <c r="A8592" s="26" t="s">
        <v>22099</v>
      </c>
      <c r="B8592" s="27" t="s">
        <v>22100</v>
      </c>
      <c r="C8592" s="27" t="s">
        <v>144</v>
      </c>
      <c r="D8592" s="26"/>
      <c r="E8592" s="27"/>
      <c r="F8592" s="27"/>
      <c r="G8592" s="27" t="s">
        <v>11122</v>
      </c>
      <c r="H8592" s="27" t="s">
        <v>35</v>
      </c>
      <c r="I8592" s="27" t="s">
        <v>41</v>
      </c>
      <c r="J8592" s="28" t="s">
        <v>856</v>
      </c>
      <c r="K8592" s="27" t="s">
        <v>38</v>
      </c>
      <c r="L8592" s="27"/>
    </row>
    <row r="8593" customFormat="false" ht="15" hidden="false" customHeight="false" outlineLevel="0" collapsed="false">
      <c r="A8593" s="26" t="s">
        <v>22101</v>
      </c>
      <c r="B8593" s="27" t="s">
        <v>22102</v>
      </c>
      <c r="C8593" s="27" t="s">
        <v>144</v>
      </c>
      <c r="D8593" s="26"/>
      <c r="E8593" s="27"/>
      <c r="F8593" s="27"/>
      <c r="G8593" s="27" t="s">
        <v>11122</v>
      </c>
      <c r="H8593" s="27" t="s">
        <v>35</v>
      </c>
      <c r="I8593" s="27" t="s">
        <v>37</v>
      </c>
      <c r="J8593" s="28" t="s">
        <v>856</v>
      </c>
      <c r="K8593" s="27" t="s">
        <v>38</v>
      </c>
      <c r="L8593" s="27"/>
    </row>
    <row r="8594" customFormat="false" ht="15" hidden="false" customHeight="false" outlineLevel="0" collapsed="false">
      <c r="A8594" s="26" t="s">
        <v>22103</v>
      </c>
      <c r="B8594" s="27" t="s">
        <v>22104</v>
      </c>
      <c r="C8594" s="27" t="s">
        <v>144</v>
      </c>
      <c r="D8594" s="26"/>
      <c r="E8594" s="27"/>
      <c r="F8594" s="27"/>
      <c r="G8594" s="27" t="s">
        <v>11122</v>
      </c>
      <c r="H8594" s="27" t="s">
        <v>35</v>
      </c>
      <c r="I8594" s="27" t="s">
        <v>37</v>
      </c>
      <c r="J8594" s="28" t="s">
        <v>856</v>
      </c>
      <c r="K8594" s="27" t="s">
        <v>38</v>
      </c>
      <c r="L8594" s="27"/>
    </row>
    <row r="8595" customFormat="false" ht="15" hidden="false" customHeight="false" outlineLevel="0" collapsed="false">
      <c r="A8595" s="26" t="s">
        <v>22105</v>
      </c>
      <c r="B8595" s="27" t="s">
        <v>22106</v>
      </c>
      <c r="C8595" s="27" t="s">
        <v>144</v>
      </c>
      <c r="D8595" s="26"/>
      <c r="E8595" s="27"/>
      <c r="F8595" s="27"/>
      <c r="G8595" s="27" t="s">
        <v>11122</v>
      </c>
      <c r="H8595" s="27" t="s">
        <v>35</v>
      </c>
      <c r="I8595" s="27" t="s">
        <v>37</v>
      </c>
      <c r="J8595" s="28" t="s">
        <v>856</v>
      </c>
      <c r="K8595" s="27" t="s">
        <v>38</v>
      </c>
      <c r="L8595" s="27"/>
    </row>
    <row r="8596" customFormat="false" ht="15" hidden="false" customHeight="false" outlineLevel="0" collapsed="false">
      <c r="A8596" s="26" t="s">
        <v>22107</v>
      </c>
      <c r="B8596" s="27" t="s">
        <v>22108</v>
      </c>
      <c r="C8596" s="27" t="s">
        <v>144</v>
      </c>
      <c r="D8596" s="26"/>
      <c r="E8596" s="27"/>
      <c r="F8596" s="27"/>
      <c r="G8596" s="27" t="s">
        <v>11122</v>
      </c>
      <c r="H8596" s="27" t="s">
        <v>35</v>
      </c>
      <c r="I8596" s="27" t="s">
        <v>43</v>
      </c>
      <c r="J8596" s="28" t="s">
        <v>856</v>
      </c>
      <c r="K8596" s="27" t="s">
        <v>38</v>
      </c>
      <c r="L8596" s="27"/>
    </row>
    <row r="8597" customFormat="false" ht="15" hidden="false" customHeight="false" outlineLevel="0" collapsed="false">
      <c r="A8597" s="26" t="s">
        <v>22109</v>
      </c>
      <c r="B8597" s="27" t="s">
        <v>22110</v>
      </c>
      <c r="C8597" s="27" t="s">
        <v>144</v>
      </c>
      <c r="D8597" s="26"/>
      <c r="E8597" s="27"/>
      <c r="F8597" s="27"/>
      <c r="G8597" s="27" t="s">
        <v>11122</v>
      </c>
      <c r="H8597" s="27" t="s">
        <v>35</v>
      </c>
      <c r="I8597" s="27" t="s">
        <v>43</v>
      </c>
      <c r="J8597" s="28" t="s">
        <v>856</v>
      </c>
      <c r="K8597" s="27" t="s">
        <v>38</v>
      </c>
      <c r="L8597" s="27"/>
    </row>
    <row r="8598" customFormat="false" ht="15" hidden="false" customHeight="false" outlineLevel="0" collapsed="false">
      <c r="A8598" s="26" t="s">
        <v>22111</v>
      </c>
      <c r="B8598" s="27" t="s">
        <v>22112</v>
      </c>
      <c r="C8598" s="27" t="s">
        <v>144</v>
      </c>
      <c r="D8598" s="26"/>
      <c r="E8598" s="27"/>
      <c r="F8598" s="27"/>
      <c r="G8598" s="27" t="s">
        <v>11122</v>
      </c>
      <c r="H8598" s="27" t="s">
        <v>35</v>
      </c>
      <c r="I8598" s="27" t="s">
        <v>43</v>
      </c>
      <c r="J8598" s="28" t="s">
        <v>856</v>
      </c>
      <c r="K8598" s="27" t="s">
        <v>38</v>
      </c>
      <c r="L8598" s="27"/>
    </row>
    <row r="8599" customFormat="false" ht="15" hidden="false" customHeight="false" outlineLevel="0" collapsed="false">
      <c r="A8599" s="26" t="s">
        <v>22113</v>
      </c>
      <c r="B8599" s="27" t="s">
        <v>22114</v>
      </c>
      <c r="C8599" s="27" t="s">
        <v>144</v>
      </c>
      <c r="D8599" s="26"/>
      <c r="E8599" s="27"/>
      <c r="F8599" s="27"/>
      <c r="G8599" s="27" t="s">
        <v>11122</v>
      </c>
      <c r="H8599" s="27" t="s">
        <v>35</v>
      </c>
      <c r="I8599" s="27" t="s">
        <v>43</v>
      </c>
      <c r="J8599" s="28" t="s">
        <v>856</v>
      </c>
      <c r="K8599" s="27" t="s">
        <v>38</v>
      </c>
      <c r="L8599" s="27"/>
    </row>
    <row r="8600" customFormat="false" ht="15" hidden="false" customHeight="false" outlineLevel="0" collapsed="false">
      <c r="A8600" s="26" t="s">
        <v>22115</v>
      </c>
      <c r="B8600" s="27" t="s">
        <v>22116</v>
      </c>
      <c r="C8600" s="27" t="s">
        <v>144</v>
      </c>
      <c r="D8600" s="26"/>
      <c r="E8600" s="27"/>
      <c r="F8600" s="27"/>
      <c r="G8600" s="27" t="s">
        <v>11122</v>
      </c>
      <c r="H8600" s="27" t="s">
        <v>35</v>
      </c>
      <c r="I8600" s="27" t="s">
        <v>43</v>
      </c>
      <c r="J8600" s="28" t="s">
        <v>856</v>
      </c>
      <c r="K8600" s="27" t="s">
        <v>38</v>
      </c>
      <c r="L8600" s="27"/>
    </row>
    <row r="8601" customFormat="false" ht="15" hidden="false" customHeight="false" outlineLevel="0" collapsed="false">
      <c r="A8601" s="26" t="s">
        <v>22117</v>
      </c>
      <c r="B8601" s="27" t="s">
        <v>22118</v>
      </c>
      <c r="C8601" s="27" t="s">
        <v>144</v>
      </c>
      <c r="D8601" s="26"/>
      <c r="E8601" s="27"/>
      <c r="F8601" s="27"/>
      <c r="G8601" s="27" t="s">
        <v>11122</v>
      </c>
      <c r="H8601" s="27" t="s">
        <v>35</v>
      </c>
      <c r="I8601" s="27" t="s">
        <v>37</v>
      </c>
      <c r="J8601" s="28" t="s">
        <v>856</v>
      </c>
      <c r="K8601" s="27" t="s">
        <v>38</v>
      </c>
      <c r="L8601" s="27"/>
    </row>
    <row r="8602" customFormat="false" ht="15" hidden="false" customHeight="false" outlineLevel="0" collapsed="false">
      <c r="A8602" s="26" t="s">
        <v>22119</v>
      </c>
      <c r="B8602" s="27" t="s">
        <v>22120</v>
      </c>
      <c r="C8602" s="27" t="s">
        <v>144</v>
      </c>
      <c r="D8602" s="26"/>
      <c r="E8602" s="27"/>
      <c r="F8602" s="27"/>
      <c r="G8602" s="27" t="s">
        <v>11122</v>
      </c>
      <c r="H8602" s="27" t="s">
        <v>35</v>
      </c>
      <c r="I8602" s="27" t="s">
        <v>37</v>
      </c>
      <c r="J8602" s="28" t="s">
        <v>856</v>
      </c>
      <c r="K8602" s="27" t="s">
        <v>38</v>
      </c>
      <c r="L8602" s="27"/>
    </row>
    <row r="8603" customFormat="false" ht="15" hidden="false" customHeight="false" outlineLevel="0" collapsed="false">
      <c r="A8603" s="26" t="s">
        <v>22121</v>
      </c>
      <c r="B8603" s="27" t="s">
        <v>22122</v>
      </c>
      <c r="C8603" s="27" t="s">
        <v>144</v>
      </c>
      <c r="D8603" s="26"/>
      <c r="E8603" s="27"/>
      <c r="F8603" s="27"/>
      <c r="G8603" s="27" t="s">
        <v>11122</v>
      </c>
      <c r="H8603" s="27" t="s">
        <v>35</v>
      </c>
      <c r="I8603" s="27" t="s">
        <v>37</v>
      </c>
      <c r="J8603" s="28" t="s">
        <v>856</v>
      </c>
      <c r="K8603" s="27" t="s">
        <v>38</v>
      </c>
      <c r="L8603" s="27"/>
    </row>
    <row r="8604" customFormat="false" ht="15" hidden="false" customHeight="false" outlineLevel="0" collapsed="false">
      <c r="A8604" s="26" t="s">
        <v>22123</v>
      </c>
      <c r="B8604" s="27" t="s">
        <v>22124</v>
      </c>
      <c r="C8604" s="27" t="s">
        <v>144</v>
      </c>
      <c r="D8604" s="26"/>
      <c r="E8604" s="27"/>
      <c r="F8604" s="27"/>
      <c r="G8604" s="27" t="s">
        <v>11122</v>
      </c>
      <c r="H8604" s="27" t="s">
        <v>35</v>
      </c>
      <c r="I8604" s="27" t="s">
        <v>41</v>
      </c>
      <c r="J8604" s="28" t="s">
        <v>856</v>
      </c>
      <c r="K8604" s="27" t="s">
        <v>38</v>
      </c>
      <c r="L8604" s="27"/>
    </row>
    <row r="8605" customFormat="false" ht="15" hidden="false" customHeight="false" outlineLevel="0" collapsed="false">
      <c r="A8605" s="26" t="s">
        <v>22125</v>
      </c>
      <c r="B8605" s="27" t="s">
        <v>22126</v>
      </c>
      <c r="C8605" s="27" t="s">
        <v>144</v>
      </c>
      <c r="D8605" s="26"/>
      <c r="E8605" s="27"/>
      <c r="F8605" s="27"/>
      <c r="G8605" s="27" t="s">
        <v>11122</v>
      </c>
      <c r="H8605" s="27" t="s">
        <v>35</v>
      </c>
      <c r="I8605" s="27" t="s">
        <v>41</v>
      </c>
      <c r="J8605" s="28" t="s">
        <v>856</v>
      </c>
      <c r="K8605" s="27" t="s">
        <v>38</v>
      </c>
      <c r="L8605" s="27"/>
    </row>
    <row r="8606" customFormat="false" ht="15" hidden="false" customHeight="false" outlineLevel="0" collapsed="false">
      <c r="A8606" s="26" t="s">
        <v>22127</v>
      </c>
      <c r="B8606" s="27" t="s">
        <v>22128</v>
      </c>
      <c r="C8606" s="27" t="s">
        <v>144</v>
      </c>
      <c r="D8606" s="26"/>
      <c r="E8606" s="27"/>
      <c r="F8606" s="27"/>
      <c r="G8606" s="27" t="s">
        <v>11122</v>
      </c>
      <c r="H8606" s="27" t="s">
        <v>35</v>
      </c>
      <c r="I8606" s="27" t="s">
        <v>41</v>
      </c>
      <c r="J8606" s="28" t="s">
        <v>856</v>
      </c>
      <c r="K8606" s="27" t="s">
        <v>38</v>
      </c>
      <c r="L8606" s="27"/>
    </row>
    <row r="8607" customFormat="false" ht="15" hidden="false" customHeight="false" outlineLevel="0" collapsed="false">
      <c r="A8607" s="26" t="s">
        <v>22129</v>
      </c>
      <c r="B8607" s="27" t="s">
        <v>22130</v>
      </c>
      <c r="C8607" s="27" t="s">
        <v>144</v>
      </c>
      <c r="D8607" s="26"/>
      <c r="E8607" s="27"/>
      <c r="F8607" s="27"/>
      <c r="G8607" s="27" t="s">
        <v>11122</v>
      </c>
      <c r="H8607" s="27" t="s">
        <v>35</v>
      </c>
      <c r="I8607" s="27" t="s">
        <v>41</v>
      </c>
      <c r="J8607" s="28" t="s">
        <v>856</v>
      </c>
      <c r="K8607" s="27" t="s">
        <v>38</v>
      </c>
      <c r="L8607" s="27"/>
    </row>
    <row r="8608" customFormat="false" ht="15" hidden="false" customHeight="false" outlineLevel="0" collapsed="false">
      <c r="A8608" s="26" t="s">
        <v>22131</v>
      </c>
      <c r="B8608" s="27" t="s">
        <v>22132</v>
      </c>
      <c r="C8608" s="27" t="s">
        <v>144</v>
      </c>
      <c r="D8608" s="26"/>
      <c r="E8608" s="27"/>
      <c r="F8608" s="27"/>
      <c r="G8608" s="27" t="s">
        <v>11122</v>
      </c>
      <c r="H8608" s="27" t="s">
        <v>35</v>
      </c>
      <c r="I8608" s="27" t="s">
        <v>37</v>
      </c>
      <c r="J8608" s="28" t="s">
        <v>856</v>
      </c>
      <c r="K8608" s="27" t="s">
        <v>38</v>
      </c>
      <c r="L8608" s="27"/>
    </row>
    <row r="8609" customFormat="false" ht="15" hidden="false" customHeight="false" outlineLevel="0" collapsed="false">
      <c r="A8609" s="26" t="s">
        <v>22133</v>
      </c>
      <c r="B8609" s="27" t="s">
        <v>22134</v>
      </c>
      <c r="C8609" s="27" t="s">
        <v>144</v>
      </c>
      <c r="D8609" s="26"/>
      <c r="E8609" s="27"/>
      <c r="F8609" s="27"/>
      <c r="G8609" s="27" t="s">
        <v>11122</v>
      </c>
      <c r="H8609" s="27" t="s">
        <v>35</v>
      </c>
      <c r="I8609" s="27" t="s">
        <v>37</v>
      </c>
      <c r="J8609" s="28" t="s">
        <v>856</v>
      </c>
      <c r="K8609" s="27" t="s">
        <v>38</v>
      </c>
      <c r="L8609" s="27"/>
    </row>
    <row r="8610" customFormat="false" ht="15" hidden="false" customHeight="false" outlineLevel="0" collapsed="false">
      <c r="A8610" s="26" t="s">
        <v>22135</v>
      </c>
      <c r="B8610" s="27" t="s">
        <v>22136</v>
      </c>
      <c r="C8610" s="27" t="s">
        <v>144</v>
      </c>
      <c r="D8610" s="26"/>
      <c r="E8610" s="27"/>
      <c r="F8610" s="27"/>
      <c r="G8610" s="27" t="s">
        <v>11122</v>
      </c>
      <c r="H8610" s="27" t="s">
        <v>35</v>
      </c>
      <c r="I8610" s="27" t="s">
        <v>39</v>
      </c>
      <c r="J8610" s="28" t="s">
        <v>856</v>
      </c>
      <c r="K8610" s="27" t="s">
        <v>38</v>
      </c>
      <c r="L8610" s="27"/>
    </row>
    <row r="8611" customFormat="false" ht="15" hidden="false" customHeight="false" outlineLevel="0" collapsed="false">
      <c r="A8611" s="26" t="s">
        <v>22137</v>
      </c>
      <c r="B8611" s="27" t="s">
        <v>22138</v>
      </c>
      <c r="C8611" s="27" t="s">
        <v>144</v>
      </c>
      <c r="D8611" s="26"/>
      <c r="E8611" s="27"/>
      <c r="F8611" s="27"/>
      <c r="G8611" s="27" t="s">
        <v>11122</v>
      </c>
      <c r="H8611" s="27" t="s">
        <v>35</v>
      </c>
      <c r="I8611" s="27" t="s">
        <v>38</v>
      </c>
      <c r="J8611" s="28" t="s">
        <v>856</v>
      </c>
      <c r="K8611" s="27" t="s">
        <v>38</v>
      </c>
      <c r="L8611" s="27"/>
    </row>
    <row r="8612" customFormat="false" ht="15" hidden="false" customHeight="false" outlineLevel="0" collapsed="false">
      <c r="A8612" s="26" t="s">
        <v>22139</v>
      </c>
      <c r="B8612" s="27" t="s">
        <v>22140</v>
      </c>
      <c r="C8612" s="27" t="s">
        <v>144</v>
      </c>
      <c r="D8612" s="26"/>
      <c r="E8612" s="27"/>
      <c r="F8612" s="27"/>
      <c r="G8612" s="27" t="s">
        <v>11122</v>
      </c>
      <c r="H8612" s="27" t="s">
        <v>35</v>
      </c>
      <c r="I8612" s="27" t="s">
        <v>39</v>
      </c>
      <c r="J8612" s="28" t="s">
        <v>856</v>
      </c>
      <c r="K8612" s="27" t="s">
        <v>38</v>
      </c>
      <c r="L8612" s="27"/>
    </row>
    <row r="8613" customFormat="false" ht="15" hidden="false" customHeight="false" outlineLevel="0" collapsed="false">
      <c r="A8613" s="26" t="s">
        <v>22141</v>
      </c>
      <c r="B8613" s="27" t="s">
        <v>22142</v>
      </c>
      <c r="C8613" s="27" t="s">
        <v>144</v>
      </c>
      <c r="D8613" s="26"/>
      <c r="E8613" s="27"/>
      <c r="F8613" s="27"/>
      <c r="G8613" s="27" t="s">
        <v>11122</v>
      </c>
      <c r="H8613" s="27" t="s">
        <v>35</v>
      </c>
      <c r="I8613" s="27" t="s">
        <v>39</v>
      </c>
      <c r="J8613" s="28" t="s">
        <v>856</v>
      </c>
      <c r="K8613" s="27" t="s">
        <v>38</v>
      </c>
      <c r="L8613" s="27"/>
    </row>
    <row r="8614" customFormat="false" ht="15" hidden="false" customHeight="false" outlineLevel="0" collapsed="false">
      <c r="A8614" s="26" t="s">
        <v>22143</v>
      </c>
      <c r="B8614" s="27" t="s">
        <v>22144</v>
      </c>
      <c r="C8614" s="27" t="s">
        <v>144</v>
      </c>
      <c r="D8614" s="26"/>
      <c r="E8614" s="27"/>
      <c r="F8614" s="27"/>
      <c r="G8614" s="27" t="s">
        <v>11122</v>
      </c>
      <c r="H8614" s="27" t="s">
        <v>35</v>
      </c>
      <c r="I8614" s="27" t="s">
        <v>43</v>
      </c>
      <c r="J8614" s="28" t="s">
        <v>856</v>
      </c>
      <c r="K8614" s="27" t="s">
        <v>38</v>
      </c>
      <c r="L8614" s="27"/>
    </row>
    <row r="8615" customFormat="false" ht="15" hidden="false" customHeight="false" outlineLevel="0" collapsed="false">
      <c r="A8615" s="26" t="s">
        <v>22145</v>
      </c>
      <c r="B8615" s="27" t="s">
        <v>22146</v>
      </c>
      <c r="C8615" s="27" t="s">
        <v>144</v>
      </c>
      <c r="D8615" s="26"/>
      <c r="E8615" s="27"/>
      <c r="F8615" s="27"/>
      <c r="G8615" s="27" t="s">
        <v>11122</v>
      </c>
      <c r="H8615" s="27" t="s">
        <v>35</v>
      </c>
      <c r="I8615" s="27" t="s">
        <v>39</v>
      </c>
      <c r="J8615" s="28" t="s">
        <v>856</v>
      </c>
      <c r="K8615" s="27" t="s">
        <v>38</v>
      </c>
      <c r="L8615" s="27"/>
    </row>
    <row r="8616" customFormat="false" ht="15" hidden="false" customHeight="false" outlineLevel="0" collapsed="false">
      <c r="A8616" s="26" t="s">
        <v>22147</v>
      </c>
      <c r="B8616" s="27" t="s">
        <v>22148</v>
      </c>
      <c r="C8616" s="27" t="s">
        <v>144</v>
      </c>
      <c r="D8616" s="26"/>
      <c r="E8616" s="27"/>
      <c r="F8616" s="27"/>
      <c r="G8616" s="27" t="s">
        <v>11122</v>
      </c>
      <c r="H8616" s="27" t="s">
        <v>35</v>
      </c>
      <c r="I8616" s="27" t="s">
        <v>44</v>
      </c>
      <c r="J8616" s="28" t="s">
        <v>856</v>
      </c>
      <c r="K8616" s="27" t="s">
        <v>38</v>
      </c>
      <c r="L8616" s="27"/>
    </row>
    <row r="8617" customFormat="false" ht="15" hidden="false" customHeight="false" outlineLevel="0" collapsed="false">
      <c r="A8617" s="26" t="s">
        <v>22149</v>
      </c>
      <c r="B8617" s="27" t="s">
        <v>22150</v>
      </c>
      <c r="C8617" s="27" t="s">
        <v>144</v>
      </c>
      <c r="D8617" s="26"/>
      <c r="E8617" s="27"/>
      <c r="F8617" s="27"/>
      <c r="G8617" s="27" t="s">
        <v>11122</v>
      </c>
      <c r="H8617" s="27" t="s">
        <v>35</v>
      </c>
      <c r="I8617" s="27" t="s">
        <v>44</v>
      </c>
      <c r="J8617" s="28" t="s">
        <v>856</v>
      </c>
      <c r="K8617" s="27" t="s">
        <v>38</v>
      </c>
      <c r="L8617" s="27"/>
    </row>
    <row r="8618" customFormat="false" ht="15" hidden="false" customHeight="false" outlineLevel="0" collapsed="false">
      <c r="A8618" s="26" t="s">
        <v>22151</v>
      </c>
      <c r="B8618" s="27" t="s">
        <v>22152</v>
      </c>
      <c r="C8618" s="27" t="s">
        <v>144</v>
      </c>
      <c r="D8618" s="26"/>
      <c r="E8618" s="27"/>
      <c r="F8618" s="27"/>
      <c r="G8618" s="27" t="s">
        <v>11122</v>
      </c>
      <c r="H8618" s="27" t="s">
        <v>35</v>
      </c>
      <c r="I8618" s="27" t="s">
        <v>39</v>
      </c>
      <c r="J8618" s="28" t="s">
        <v>856</v>
      </c>
      <c r="K8618" s="27" t="s">
        <v>38</v>
      </c>
      <c r="L8618" s="27"/>
    </row>
    <row r="8619" customFormat="false" ht="15" hidden="false" customHeight="false" outlineLevel="0" collapsed="false">
      <c r="A8619" s="26" t="s">
        <v>22153</v>
      </c>
      <c r="B8619" s="27" t="s">
        <v>22154</v>
      </c>
      <c r="C8619" s="27" t="s">
        <v>144</v>
      </c>
      <c r="D8619" s="26"/>
      <c r="E8619" s="27"/>
      <c r="F8619" s="27"/>
      <c r="G8619" s="27" t="s">
        <v>11122</v>
      </c>
      <c r="H8619" s="27" t="s">
        <v>35</v>
      </c>
      <c r="I8619" s="27" t="s">
        <v>39</v>
      </c>
      <c r="J8619" s="28" t="s">
        <v>856</v>
      </c>
      <c r="K8619" s="27" t="s">
        <v>38</v>
      </c>
      <c r="L8619" s="27"/>
    </row>
    <row r="8620" customFormat="false" ht="15" hidden="false" customHeight="false" outlineLevel="0" collapsed="false">
      <c r="A8620" s="26" t="s">
        <v>22155</v>
      </c>
      <c r="B8620" s="27" t="s">
        <v>22156</v>
      </c>
      <c r="C8620" s="27" t="s">
        <v>144</v>
      </c>
      <c r="D8620" s="26"/>
      <c r="E8620" s="27"/>
      <c r="F8620" s="27"/>
      <c r="G8620" s="27" t="s">
        <v>11122</v>
      </c>
      <c r="H8620" s="27" t="s">
        <v>35</v>
      </c>
      <c r="I8620" s="27" t="s">
        <v>43</v>
      </c>
      <c r="J8620" s="28" t="s">
        <v>856</v>
      </c>
      <c r="K8620" s="27" t="s">
        <v>38</v>
      </c>
      <c r="L8620" s="27"/>
    </row>
    <row r="8621" customFormat="false" ht="15" hidden="false" customHeight="false" outlineLevel="0" collapsed="false">
      <c r="A8621" s="26" t="s">
        <v>22157</v>
      </c>
      <c r="B8621" s="27" t="s">
        <v>22158</v>
      </c>
      <c r="C8621" s="27" t="s">
        <v>144</v>
      </c>
      <c r="D8621" s="26"/>
      <c r="E8621" s="27"/>
      <c r="F8621" s="27"/>
      <c r="G8621" s="27" t="s">
        <v>11122</v>
      </c>
      <c r="H8621" s="27" t="s">
        <v>35</v>
      </c>
      <c r="I8621" s="27" t="s">
        <v>39</v>
      </c>
      <c r="J8621" s="28" t="s">
        <v>856</v>
      </c>
      <c r="K8621" s="27" t="s">
        <v>38</v>
      </c>
      <c r="L8621" s="27"/>
    </row>
    <row r="8622" customFormat="false" ht="15" hidden="false" customHeight="false" outlineLevel="0" collapsed="false">
      <c r="A8622" s="26" t="s">
        <v>22159</v>
      </c>
      <c r="B8622" s="27" t="s">
        <v>22160</v>
      </c>
      <c r="C8622" s="27" t="s">
        <v>144</v>
      </c>
      <c r="D8622" s="26"/>
      <c r="E8622" s="27"/>
      <c r="F8622" s="27"/>
      <c r="G8622" s="27" t="s">
        <v>11122</v>
      </c>
      <c r="H8622" s="27" t="s">
        <v>35</v>
      </c>
      <c r="I8622" s="27" t="s">
        <v>39</v>
      </c>
      <c r="J8622" s="28" t="s">
        <v>856</v>
      </c>
      <c r="K8622" s="27" t="s">
        <v>38</v>
      </c>
      <c r="L8622" s="27"/>
    </row>
    <row r="8623" customFormat="false" ht="15" hidden="false" customHeight="false" outlineLevel="0" collapsed="false">
      <c r="A8623" s="26" t="s">
        <v>22161</v>
      </c>
      <c r="B8623" s="27" t="s">
        <v>22162</v>
      </c>
      <c r="C8623" s="27" t="s">
        <v>144</v>
      </c>
      <c r="D8623" s="26"/>
      <c r="E8623" s="27"/>
      <c r="F8623" s="27"/>
      <c r="G8623" s="27" t="s">
        <v>11122</v>
      </c>
      <c r="H8623" s="27" t="s">
        <v>35</v>
      </c>
      <c r="I8623" s="27" t="s">
        <v>38</v>
      </c>
      <c r="J8623" s="28" t="s">
        <v>856</v>
      </c>
      <c r="K8623" s="27" t="s">
        <v>38</v>
      </c>
      <c r="L8623" s="27"/>
    </row>
    <row r="8624" customFormat="false" ht="15" hidden="false" customHeight="false" outlineLevel="0" collapsed="false">
      <c r="A8624" s="26" t="s">
        <v>22163</v>
      </c>
      <c r="B8624" s="27" t="s">
        <v>22164</v>
      </c>
      <c r="C8624" s="27" t="s">
        <v>144</v>
      </c>
      <c r="D8624" s="26"/>
      <c r="E8624" s="27"/>
      <c r="F8624" s="27"/>
      <c r="G8624" s="27" t="s">
        <v>11122</v>
      </c>
      <c r="H8624" s="27" t="s">
        <v>35</v>
      </c>
      <c r="I8624" s="27" t="s">
        <v>37</v>
      </c>
      <c r="J8624" s="28" t="s">
        <v>856</v>
      </c>
      <c r="K8624" s="27" t="s">
        <v>38</v>
      </c>
      <c r="L8624" s="27"/>
    </row>
    <row r="8625" customFormat="false" ht="15" hidden="false" customHeight="false" outlineLevel="0" collapsed="false">
      <c r="A8625" s="26" t="s">
        <v>22165</v>
      </c>
      <c r="B8625" s="27" t="s">
        <v>22166</v>
      </c>
      <c r="C8625" s="27" t="s">
        <v>144</v>
      </c>
      <c r="D8625" s="26"/>
      <c r="E8625" s="27"/>
      <c r="F8625" s="27"/>
      <c r="G8625" s="27" t="s">
        <v>11122</v>
      </c>
      <c r="H8625" s="27" t="s">
        <v>35</v>
      </c>
      <c r="I8625" s="27" t="s">
        <v>37</v>
      </c>
      <c r="J8625" s="28" t="s">
        <v>856</v>
      </c>
      <c r="K8625" s="27" t="s">
        <v>38</v>
      </c>
      <c r="L8625" s="27"/>
    </row>
    <row r="8626" customFormat="false" ht="15" hidden="false" customHeight="false" outlineLevel="0" collapsed="false">
      <c r="A8626" s="26" t="s">
        <v>22167</v>
      </c>
      <c r="B8626" s="27" t="s">
        <v>22168</v>
      </c>
      <c r="C8626" s="27" t="s">
        <v>144</v>
      </c>
      <c r="D8626" s="26"/>
      <c r="E8626" s="27"/>
      <c r="F8626" s="27"/>
      <c r="G8626" s="27" t="s">
        <v>11122</v>
      </c>
      <c r="H8626" s="27" t="s">
        <v>35</v>
      </c>
      <c r="I8626" s="27" t="s">
        <v>37</v>
      </c>
      <c r="J8626" s="28" t="s">
        <v>856</v>
      </c>
      <c r="K8626" s="27" t="s">
        <v>38</v>
      </c>
      <c r="L8626" s="27"/>
    </row>
    <row r="8627" customFormat="false" ht="15" hidden="false" customHeight="false" outlineLevel="0" collapsed="false">
      <c r="A8627" s="26" t="s">
        <v>22169</v>
      </c>
      <c r="B8627" s="27" t="s">
        <v>22170</v>
      </c>
      <c r="C8627" s="27" t="s">
        <v>144</v>
      </c>
      <c r="D8627" s="26"/>
      <c r="E8627" s="27"/>
      <c r="F8627" s="27"/>
      <c r="G8627" s="27" t="s">
        <v>11122</v>
      </c>
      <c r="H8627" s="27" t="s">
        <v>35</v>
      </c>
      <c r="I8627" s="28" t="s">
        <v>50</v>
      </c>
      <c r="J8627" s="28" t="s">
        <v>856</v>
      </c>
      <c r="K8627" s="27" t="s">
        <v>38</v>
      </c>
      <c r="L8627" s="27"/>
    </row>
    <row r="8628" customFormat="false" ht="15" hidden="false" customHeight="false" outlineLevel="0" collapsed="false">
      <c r="A8628" s="26" t="s">
        <v>22171</v>
      </c>
      <c r="B8628" s="27" t="s">
        <v>22172</v>
      </c>
      <c r="C8628" s="27" t="s">
        <v>144</v>
      </c>
      <c r="D8628" s="26"/>
      <c r="E8628" s="27"/>
      <c r="F8628" s="27"/>
      <c r="G8628" s="27" t="s">
        <v>11122</v>
      </c>
      <c r="H8628" s="27" t="s">
        <v>35</v>
      </c>
      <c r="I8628" s="27" t="s">
        <v>37</v>
      </c>
      <c r="J8628" s="28" t="s">
        <v>856</v>
      </c>
      <c r="K8628" s="27" t="s">
        <v>38</v>
      </c>
      <c r="L8628" s="27"/>
    </row>
    <row r="8629" customFormat="false" ht="15" hidden="false" customHeight="false" outlineLevel="0" collapsed="false">
      <c r="A8629" s="26" t="s">
        <v>22173</v>
      </c>
      <c r="B8629" s="27" t="s">
        <v>22174</v>
      </c>
      <c r="C8629" s="27" t="s">
        <v>144</v>
      </c>
      <c r="D8629" s="26"/>
      <c r="E8629" s="27"/>
      <c r="F8629" s="27"/>
      <c r="G8629" s="27" t="s">
        <v>11122</v>
      </c>
      <c r="H8629" s="27" t="s">
        <v>35</v>
      </c>
      <c r="I8629" s="27" t="s">
        <v>37</v>
      </c>
      <c r="J8629" s="28" t="s">
        <v>856</v>
      </c>
      <c r="K8629" s="27" t="s">
        <v>38</v>
      </c>
      <c r="L8629" s="27"/>
    </row>
    <row r="8630" customFormat="false" ht="15" hidden="false" customHeight="false" outlineLevel="0" collapsed="false">
      <c r="A8630" s="26" t="s">
        <v>22175</v>
      </c>
      <c r="B8630" s="27" t="s">
        <v>22176</v>
      </c>
      <c r="C8630" s="27" t="s">
        <v>144</v>
      </c>
      <c r="D8630" s="26"/>
      <c r="E8630" s="27"/>
      <c r="F8630" s="27"/>
      <c r="G8630" s="27" t="s">
        <v>11122</v>
      </c>
      <c r="H8630" s="27" t="s">
        <v>35</v>
      </c>
      <c r="I8630" s="27" t="s">
        <v>37</v>
      </c>
      <c r="J8630" s="28" t="s">
        <v>856</v>
      </c>
      <c r="K8630" s="27" t="s">
        <v>38</v>
      </c>
      <c r="L8630" s="27"/>
    </row>
    <row r="8631" customFormat="false" ht="15" hidden="false" customHeight="false" outlineLevel="0" collapsed="false">
      <c r="A8631" s="26" t="s">
        <v>22177</v>
      </c>
      <c r="B8631" s="27" t="s">
        <v>22178</v>
      </c>
      <c r="C8631" s="27" t="s">
        <v>144</v>
      </c>
      <c r="D8631" s="26"/>
      <c r="E8631" s="27"/>
      <c r="F8631" s="27"/>
      <c r="G8631" s="27" t="s">
        <v>11122</v>
      </c>
      <c r="H8631" s="27" t="s">
        <v>35</v>
      </c>
      <c r="I8631" s="27" t="s">
        <v>37</v>
      </c>
      <c r="J8631" s="28" t="s">
        <v>856</v>
      </c>
      <c r="K8631" s="27" t="s">
        <v>38</v>
      </c>
      <c r="L8631" s="27"/>
    </row>
    <row r="8632" customFormat="false" ht="15" hidden="false" customHeight="false" outlineLevel="0" collapsed="false">
      <c r="A8632" s="26" t="s">
        <v>22179</v>
      </c>
      <c r="B8632" s="27" t="s">
        <v>22180</v>
      </c>
      <c r="C8632" s="27" t="s">
        <v>144</v>
      </c>
      <c r="D8632" s="26"/>
      <c r="E8632" s="27"/>
      <c r="F8632" s="27"/>
      <c r="G8632" s="27" t="s">
        <v>11122</v>
      </c>
      <c r="H8632" s="27" t="s">
        <v>35</v>
      </c>
      <c r="I8632" s="27" t="s">
        <v>37</v>
      </c>
      <c r="J8632" s="28" t="s">
        <v>856</v>
      </c>
      <c r="K8632" s="27" t="s">
        <v>38</v>
      </c>
      <c r="L8632" s="27"/>
    </row>
    <row r="8633" customFormat="false" ht="15" hidden="false" customHeight="false" outlineLevel="0" collapsed="false">
      <c r="A8633" s="26" t="s">
        <v>22181</v>
      </c>
      <c r="B8633" s="27" t="s">
        <v>22182</v>
      </c>
      <c r="C8633" s="27" t="s">
        <v>144</v>
      </c>
      <c r="D8633" s="26"/>
      <c r="E8633" s="27"/>
      <c r="F8633" s="27"/>
      <c r="G8633" s="27" t="s">
        <v>11122</v>
      </c>
      <c r="H8633" s="27" t="s">
        <v>35</v>
      </c>
      <c r="I8633" s="27" t="s">
        <v>39</v>
      </c>
      <c r="J8633" s="28" t="s">
        <v>856</v>
      </c>
      <c r="K8633" s="27" t="s">
        <v>38</v>
      </c>
      <c r="L8633" s="27"/>
    </row>
    <row r="8634" customFormat="false" ht="15" hidden="false" customHeight="false" outlineLevel="0" collapsed="false">
      <c r="A8634" s="26" t="s">
        <v>22183</v>
      </c>
      <c r="B8634" s="27" t="s">
        <v>22184</v>
      </c>
      <c r="C8634" s="27" t="s">
        <v>144</v>
      </c>
      <c r="D8634" s="26"/>
      <c r="E8634" s="27"/>
      <c r="F8634" s="27"/>
      <c r="G8634" s="27" t="s">
        <v>11122</v>
      </c>
      <c r="H8634" s="27" t="s">
        <v>35</v>
      </c>
      <c r="I8634" s="27" t="s">
        <v>37</v>
      </c>
      <c r="J8634" s="28" t="s">
        <v>856</v>
      </c>
      <c r="K8634" s="27" t="s">
        <v>38</v>
      </c>
      <c r="L8634" s="27"/>
    </row>
    <row r="8635" customFormat="false" ht="15" hidden="false" customHeight="false" outlineLevel="0" collapsed="false">
      <c r="A8635" s="26" t="s">
        <v>22185</v>
      </c>
      <c r="B8635" s="27" t="s">
        <v>22186</v>
      </c>
      <c r="C8635" s="27" t="s">
        <v>144</v>
      </c>
      <c r="D8635" s="26"/>
      <c r="E8635" s="27"/>
      <c r="F8635" s="27"/>
      <c r="G8635" s="27" t="s">
        <v>11122</v>
      </c>
      <c r="H8635" s="27" t="s">
        <v>35</v>
      </c>
      <c r="I8635" s="27" t="s">
        <v>39</v>
      </c>
      <c r="J8635" s="28" t="s">
        <v>856</v>
      </c>
      <c r="K8635" s="27" t="s">
        <v>38</v>
      </c>
      <c r="L8635" s="27"/>
    </row>
    <row r="8636" customFormat="false" ht="15" hidden="false" customHeight="false" outlineLevel="0" collapsed="false">
      <c r="A8636" s="26" t="s">
        <v>22187</v>
      </c>
      <c r="B8636" s="27" t="s">
        <v>22188</v>
      </c>
      <c r="C8636" s="27" t="s">
        <v>144</v>
      </c>
      <c r="D8636" s="26"/>
      <c r="E8636" s="27"/>
      <c r="F8636" s="27"/>
      <c r="G8636" s="27" t="s">
        <v>11122</v>
      </c>
      <c r="H8636" s="27" t="s">
        <v>35</v>
      </c>
      <c r="I8636" s="27" t="s">
        <v>37</v>
      </c>
      <c r="J8636" s="28" t="s">
        <v>856</v>
      </c>
      <c r="K8636" s="27" t="s">
        <v>38</v>
      </c>
      <c r="L8636" s="27"/>
    </row>
    <row r="8637" customFormat="false" ht="15" hidden="false" customHeight="false" outlineLevel="0" collapsed="false">
      <c r="A8637" s="26" t="s">
        <v>22189</v>
      </c>
      <c r="B8637" s="27" t="s">
        <v>22190</v>
      </c>
      <c r="C8637" s="27" t="s">
        <v>144</v>
      </c>
      <c r="D8637" s="26"/>
      <c r="E8637" s="27"/>
      <c r="F8637" s="27"/>
      <c r="G8637" s="27" t="s">
        <v>11122</v>
      </c>
      <c r="H8637" s="27" t="s">
        <v>35</v>
      </c>
      <c r="I8637" s="27" t="s">
        <v>37</v>
      </c>
      <c r="J8637" s="28" t="s">
        <v>856</v>
      </c>
      <c r="K8637" s="27" t="s">
        <v>38</v>
      </c>
      <c r="L8637" s="27"/>
    </row>
    <row r="8638" customFormat="false" ht="15" hidden="false" customHeight="false" outlineLevel="0" collapsed="false">
      <c r="A8638" s="26" t="s">
        <v>22191</v>
      </c>
      <c r="B8638" s="27" t="s">
        <v>22192</v>
      </c>
      <c r="C8638" s="27" t="s">
        <v>144</v>
      </c>
      <c r="D8638" s="26"/>
      <c r="E8638" s="27"/>
      <c r="F8638" s="27"/>
      <c r="G8638" s="27" t="s">
        <v>11122</v>
      </c>
      <c r="H8638" s="27" t="s">
        <v>35</v>
      </c>
      <c r="I8638" s="27" t="s">
        <v>37</v>
      </c>
      <c r="J8638" s="28" t="s">
        <v>856</v>
      </c>
      <c r="K8638" s="27" t="s">
        <v>38</v>
      </c>
      <c r="L8638" s="27"/>
    </row>
    <row r="8639" customFormat="false" ht="15" hidden="false" customHeight="false" outlineLevel="0" collapsed="false">
      <c r="A8639" s="26" t="s">
        <v>22193</v>
      </c>
      <c r="B8639" s="27" t="s">
        <v>22194</v>
      </c>
      <c r="C8639" s="27" t="s">
        <v>144</v>
      </c>
      <c r="D8639" s="26"/>
      <c r="E8639" s="27"/>
      <c r="F8639" s="27"/>
      <c r="G8639" s="27" t="s">
        <v>11122</v>
      </c>
      <c r="H8639" s="27" t="s">
        <v>35</v>
      </c>
      <c r="I8639" s="27" t="s">
        <v>37</v>
      </c>
      <c r="J8639" s="28" t="s">
        <v>856</v>
      </c>
      <c r="K8639" s="27" t="s">
        <v>38</v>
      </c>
      <c r="L8639" s="27"/>
    </row>
    <row r="8640" customFormat="false" ht="15" hidden="false" customHeight="false" outlineLevel="0" collapsed="false">
      <c r="A8640" s="26" t="s">
        <v>22195</v>
      </c>
      <c r="B8640" s="27" t="s">
        <v>22196</v>
      </c>
      <c r="C8640" s="27" t="s">
        <v>144</v>
      </c>
      <c r="D8640" s="26"/>
      <c r="E8640" s="27"/>
      <c r="F8640" s="27"/>
      <c r="G8640" s="27" t="s">
        <v>11122</v>
      </c>
      <c r="H8640" s="27" t="s">
        <v>35</v>
      </c>
      <c r="I8640" s="27" t="s">
        <v>41</v>
      </c>
      <c r="J8640" s="28" t="s">
        <v>856</v>
      </c>
      <c r="K8640" s="27" t="s">
        <v>38</v>
      </c>
      <c r="L8640" s="27"/>
    </row>
    <row r="8641" customFormat="false" ht="15" hidden="false" customHeight="false" outlineLevel="0" collapsed="false">
      <c r="A8641" s="26" t="s">
        <v>22197</v>
      </c>
      <c r="B8641" s="27" t="s">
        <v>22198</v>
      </c>
      <c r="C8641" s="27" t="s">
        <v>144</v>
      </c>
      <c r="D8641" s="26"/>
      <c r="E8641" s="27"/>
      <c r="F8641" s="27"/>
      <c r="G8641" s="27" t="s">
        <v>11122</v>
      </c>
      <c r="H8641" s="27" t="s">
        <v>35</v>
      </c>
      <c r="I8641" s="27" t="s">
        <v>41</v>
      </c>
      <c r="J8641" s="28" t="s">
        <v>856</v>
      </c>
      <c r="K8641" s="27" t="s">
        <v>38</v>
      </c>
      <c r="L8641" s="27"/>
    </row>
    <row r="8642" customFormat="false" ht="15" hidden="false" customHeight="false" outlineLevel="0" collapsed="false">
      <c r="A8642" s="26" t="s">
        <v>22199</v>
      </c>
      <c r="B8642" s="27" t="s">
        <v>22200</v>
      </c>
      <c r="C8642" s="27" t="s">
        <v>144</v>
      </c>
      <c r="D8642" s="26"/>
      <c r="E8642" s="27"/>
      <c r="F8642" s="27"/>
      <c r="G8642" s="27" t="s">
        <v>11122</v>
      </c>
      <c r="H8642" s="27" t="s">
        <v>35</v>
      </c>
      <c r="I8642" s="27" t="s">
        <v>41</v>
      </c>
      <c r="J8642" s="28" t="s">
        <v>856</v>
      </c>
      <c r="K8642" s="27" t="s">
        <v>38</v>
      </c>
      <c r="L8642" s="27"/>
    </row>
    <row r="8643" customFormat="false" ht="15" hidden="false" customHeight="false" outlineLevel="0" collapsed="false">
      <c r="A8643" s="26" t="s">
        <v>22201</v>
      </c>
      <c r="B8643" s="27" t="s">
        <v>22202</v>
      </c>
      <c r="C8643" s="27" t="s">
        <v>144</v>
      </c>
      <c r="D8643" s="26"/>
      <c r="E8643" s="27"/>
      <c r="F8643" s="27"/>
      <c r="G8643" s="27" t="s">
        <v>11122</v>
      </c>
      <c r="H8643" s="27" t="s">
        <v>35</v>
      </c>
      <c r="I8643" s="27" t="s">
        <v>38</v>
      </c>
      <c r="J8643" s="28" t="s">
        <v>856</v>
      </c>
      <c r="K8643" s="27" t="s">
        <v>38</v>
      </c>
      <c r="L8643" s="27"/>
    </row>
    <row r="8644" customFormat="false" ht="15" hidden="false" customHeight="false" outlineLevel="0" collapsed="false">
      <c r="A8644" s="26" t="s">
        <v>22203</v>
      </c>
      <c r="B8644" s="27" t="s">
        <v>22204</v>
      </c>
      <c r="C8644" s="27" t="s">
        <v>144</v>
      </c>
      <c r="D8644" s="26"/>
      <c r="E8644" s="27"/>
      <c r="F8644" s="27"/>
      <c r="G8644" s="27" t="s">
        <v>11122</v>
      </c>
      <c r="H8644" s="27" t="s">
        <v>35</v>
      </c>
      <c r="I8644" s="27" t="s">
        <v>40</v>
      </c>
      <c r="J8644" s="28" t="s">
        <v>856</v>
      </c>
      <c r="K8644" s="27" t="s">
        <v>38</v>
      </c>
      <c r="L8644" s="27"/>
    </row>
    <row r="8645" customFormat="false" ht="15" hidden="false" customHeight="false" outlineLevel="0" collapsed="false">
      <c r="A8645" s="26" t="s">
        <v>22205</v>
      </c>
      <c r="B8645" s="27" t="s">
        <v>22206</v>
      </c>
      <c r="C8645" s="27" t="s">
        <v>144</v>
      </c>
      <c r="D8645" s="26"/>
      <c r="E8645" s="27"/>
      <c r="F8645" s="27"/>
      <c r="G8645" s="27" t="s">
        <v>11122</v>
      </c>
      <c r="H8645" s="27" t="s">
        <v>35</v>
      </c>
      <c r="I8645" s="27" t="s">
        <v>40</v>
      </c>
      <c r="J8645" s="28" t="s">
        <v>856</v>
      </c>
      <c r="K8645" s="27" t="s">
        <v>38</v>
      </c>
      <c r="L8645" s="27"/>
    </row>
    <row r="8646" customFormat="false" ht="15" hidden="false" customHeight="false" outlineLevel="0" collapsed="false">
      <c r="A8646" s="26" t="s">
        <v>22207</v>
      </c>
      <c r="B8646" s="27" t="s">
        <v>22208</v>
      </c>
      <c r="C8646" s="27" t="s">
        <v>144</v>
      </c>
      <c r="D8646" s="26"/>
      <c r="E8646" s="27"/>
      <c r="F8646" s="27"/>
      <c r="G8646" s="27" t="s">
        <v>11122</v>
      </c>
      <c r="H8646" s="27" t="s">
        <v>35</v>
      </c>
      <c r="I8646" s="27" t="s">
        <v>37</v>
      </c>
      <c r="J8646" s="28" t="s">
        <v>856</v>
      </c>
      <c r="K8646" s="27" t="s">
        <v>38</v>
      </c>
      <c r="L8646" s="27"/>
    </row>
    <row r="8647" customFormat="false" ht="15" hidden="false" customHeight="false" outlineLevel="0" collapsed="false">
      <c r="A8647" s="26" t="s">
        <v>22209</v>
      </c>
      <c r="B8647" s="27" t="s">
        <v>22210</v>
      </c>
      <c r="C8647" s="27" t="s">
        <v>144</v>
      </c>
      <c r="D8647" s="26"/>
      <c r="E8647" s="27"/>
      <c r="F8647" s="27"/>
      <c r="G8647" s="27" t="s">
        <v>11122</v>
      </c>
      <c r="H8647" s="27" t="s">
        <v>35</v>
      </c>
      <c r="I8647" s="27" t="s">
        <v>43</v>
      </c>
      <c r="J8647" s="28" t="s">
        <v>856</v>
      </c>
      <c r="K8647" s="27" t="s">
        <v>38</v>
      </c>
      <c r="L8647" s="27"/>
    </row>
    <row r="8648" customFormat="false" ht="15" hidden="false" customHeight="false" outlineLevel="0" collapsed="false">
      <c r="A8648" s="26" t="s">
        <v>22211</v>
      </c>
      <c r="B8648" s="27" t="s">
        <v>22212</v>
      </c>
      <c r="C8648" s="27" t="s">
        <v>144</v>
      </c>
      <c r="D8648" s="26"/>
      <c r="E8648" s="27"/>
      <c r="F8648" s="27"/>
      <c r="G8648" s="27" t="s">
        <v>11122</v>
      </c>
      <c r="H8648" s="27" t="s">
        <v>35</v>
      </c>
      <c r="I8648" s="27" t="s">
        <v>37</v>
      </c>
      <c r="J8648" s="28" t="s">
        <v>856</v>
      </c>
      <c r="K8648" s="27" t="s">
        <v>38</v>
      </c>
      <c r="L8648" s="27"/>
    </row>
    <row r="8649" customFormat="false" ht="15" hidden="false" customHeight="false" outlineLevel="0" collapsed="false">
      <c r="A8649" s="26" t="s">
        <v>22213</v>
      </c>
      <c r="B8649" s="27" t="s">
        <v>22214</v>
      </c>
      <c r="C8649" s="27" t="s">
        <v>144</v>
      </c>
      <c r="D8649" s="26"/>
      <c r="E8649" s="27"/>
      <c r="F8649" s="27"/>
      <c r="G8649" s="27" t="s">
        <v>11122</v>
      </c>
      <c r="H8649" s="27" t="s">
        <v>35</v>
      </c>
      <c r="I8649" s="27" t="s">
        <v>40</v>
      </c>
      <c r="J8649" s="28" t="s">
        <v>856</v>
      </c>
      <c r="K8649" s="27" t="s">
        <v>38</v>
      </c>
      <c r="L8649" s="27"/>
    </row>
    <row r="8650" customFormat="false" ht="15" hidden="false" customHeight="false" outlineLevel="0" collapsed="false">
      <c r="A8650" s="26" t="s">
        <v>22215</v>
      </c>
      <c r="B8650" s="27" t="s">
        <v>22216</v>
      </c>
      <c r="C8650" s="27" t="s">
        <v>144</v>
      </c>
      <c r="D8650" s="26"/>
      <c r="E8650" s="27"/>
      <c r="F8650" s="27"/>
      <c r="G8650" s="27" t="s">
        <v>11122</v>
      </c>
      <c r="H8650" s="27" t="s">
        <v>35</v>
      </c>
      <c r="I8650" s="27" t="s">
        <v>39</v>
      </c>
      <c r="J8650" s="28" t="s">
        <v>856</v>
      </c>
      <c r="K8650" s="27" t="s">
        <v>38</v>
      </c>
      <c r="L8650" s="27"/>
    </row>
    <row r="8651" customFormat="false" ht="15" hidden="false" customHeight="false" outlineLevel="0" collapsed="false">
      <c r="A8651" s="26" t="s">
        <v>22217</v>
      </c>
      <c r="B8651" s="27" t="s">
        <v>22218</v>
      </c>
      <c r="C8651" s="27" t="s">
        <v>144</v>
      </c>
      <c r="D8651" s="26"/>
      <c r="E8651" s="27"/>
      <c r="F8651" s="27"/>
      <c r="G8651" s="27" t="s">
        <v>11122</v>
      </c>
      <c r="H8651" s="27" t="s">
        <v>35</v>
      </c>
      <c r="I8651" s="27" t="s">
        <v>37</v>
      </c>
      <c r="J8651" s="28" t="s">
        <v>856</v>
      </c>
      <c r="K8651" s="27" t="s">
        <v>38</v>
      </c>
      <c r="L8651" s="27"/>
    </row>
    <row r="8652" customFormat="false" ht="15" hidden="false" customHeight="false" outlineLevel="0" collapsed="false">
      <c r="A8652" s="26" t="s">
        <v>22219</v>
      </c>
      <c r="B8652" s="27" t="s">
        <v>22220</v>
      </c>
      <c r="C8652" s="27" t="s">
        <v>144</v>
      </c>
      <c r="D8652" s="26"/>
      <c r="E8652" s="27"/>
      <c r="F8652" s="27"/>
      <c r="G8652" s="27" t="s">
        <v>11122</v>
      </c>
      <c r="H8652" s="27" t="s">
        <v>35</v>
      </c>
      <c r="I8652" s="27" t="s">
        <v>41</v>
      </c>
      <c r="J8652" s="28" t="s">
        <v>856</v>
      </c>
      <c r="K8652" s="27" t="s">
        <v>38</v>
      </c>
      <c r="L8652" s="27"/>
    </row>
    <row r="8653" customFormat="false" ht="15" hidden="false" customHeight="false" outlineLevel="0" collapsed="false">
      <c r="A8653" s="26" t="s">
        <v>22221</v>
      </c>
      <c r="B8653" s="27" t="s">
        <v>22222</v>
      </c>
      <c r="C8653" s="27" t="s">
        <v>144</v>
      </c>
      <c r="D8653" s="26"/>
      <c r="E8653" s="27"/>
      <c r="F8653" s="27"/>
      <c r="G8653" s="27" t="s">
        <v>11122</v>
      </c>
      <c r="H8653" s="27" t="s">
        <v>35</v>
      </c>
      <c r="I8653" s="27" t="s">
        <v>37</v>
      </c>
      <c r="J8653" s="28" t="s">
        <v>856</v>
      </c>
      <c r="K8653" s="27" t="s">
        <v>38</v>
      </c>
      <c r="L8653" s="27"/>
    </row>
    <row r="8654" customFormat="false" ht="15" hidden="false" customHeight="false" outlineLevel="0" collapsed="false">
      <c r="A8654" s="26" t="s">
        <v>22223</v>
      </c>
      <c r="B8654" s="27" t="s">
        <v>22224</v>
      </c>
      <c r="C8654" s="27" t="s">
        <v>144</v>
      </c>
      <c r="D8654" s="26"/>
      <c r="E8654" s="27"/>
      <c r="F8654" s="27"/>
      <c r="G8654" s="27" t="s">
        <v>11122</v>
      </c>
      <c r="H8654" s="27" t="s">
        <v>35</v>
      </c>
      <c r="I8654" s="27" t="s">
        <v>37</v>
      </c>
      <c r="J8654" s="28" t="s">
        <v>856</v>
      </c>
      <c r="K8654" s="27" t="s">
        <v>38</v>
      </c>
      <c r="L8654" s="27"/>
    </row>
    <row r="8655" customFormat="false" ht="15" hidden="false" customHeight="false" outlineLevel="0" collapsed="false">
      <c r="A8655" s="26" t="s">
        <v>22225</v>
      </c>
      <c r="B8655" s="27" t="s">
        <v>22226</v>
      </c>
      <c r="C8655" s="27" t="s">
        <v>144</v>
      </c>
      <c r="D8655" s="26"/>
      <c r="E8655" s="27"/>
      <c r="F8655" s="27"/>
      <c r="G8655" s="27" t="s">
        <v>11122</v>
      </c>
      <c r="H8655" s="27" t="s">
        <v>35</v>
      </c>
      <c r="I8655" s="27" t="s">
        <v>41</v>
      </c>
      <c r="J8655" s="28" t="s">
        <v>856</v>
      </c>
      <c r="K8655" s="27" t="s">
        <v>38</v>
      </c>
      <c r="L8655" s="27"/>
    </row>
    <row r="8656" customFormat="false" ht="15" hidden="false" customHeight="false" outlineLevel="0" collapsed="false">
      <c r="A8656" s="26" t="s">
        <v>22227</v>
      </c>
      <c r="B8656" s="27" t="s">
        <v>22228</v>
      </c>
      <c r="C8656" s="27" t="s">
        <v>144</v>
      </c>
      <c r="D8656" s="26"/>
      <c r="E8656" s="27"/>
      <c r="F8656" s="27"/>
      <c r="G8656" s="27" t="s">
        <v>11122</v>
      </c>
      <c r="H8656" s="27" t="s">
        <v>35</v>
      </c>
      <c r="I8656" s="27" t="s">
        <v>41</v>
      </c>
      <c r="J8656" s="28" t="s">
        <v>856</v>
      </c>
      <c r="K8656" s="27" t="s">
        <v>38</v>
      </c>
      <c r="L8656" s="27"/>
    </row>
    <row r="8657" customFormat="false" ht="15" hidden="false" customHeight="false" outlineLevel="0" collapsed="false">
      <c r="A8657" s="26" t="s">
        <v>22229</v>
      </c>
      <c r="B8657" s="27" t="s">
        <v>22230</v>
      </c>
      <c r="C8657" s="27" t="s">
        <v>144</v>
      </c>
      <c r="D8657" s="26"/>
      <c r="E8657" s="27"/>
      <c r="F8657" s="27"/>
      <c r="G8657" s="27" t="s">
        <v>11122</v>
      </c>
      <c r="H8657" s="27" t="s">
        <v>35</v>
      </c>
      <c r="I8657" s="27" t="s">
        <v>41</v>
      </c>
      <c r="J8657" s="28" t="s">
        <v>856</v>
      </c>
      <c r="K8657" s="27" t="s">
        <v>38</v>
      </c>
      <c r="L8657" s="27"/>
    </row>
    <row r="8658" customFormat="false" ht="15" hidden="false" customHeight="false" outlineLevel="0" collapsed="false">
      <c r="A8658" s="26" t="s">
        <v>22231</v>
      </c>
      <c r="B8658" s="27" t="s">
        <v>22232</v>
      </c>
      <c r="C8658" s="27" t="s">
        <v>144</v>
      </c>
      <c r="D8658" s="26"/>
      <c r="E8658" s="27"/>
      <c r="F8658" s="27"/>
      <c r="G8658" s="27" t="s">
        <v>11122</v>
      </c>
      <c r="H8658" s="27" t="s">
        <v>35</v>
      </c>
      <c r="I8658" s="27" t="s">
        <v>41</v>
      </c>
      <c r="J8658" s="28" t="s">
        <v>856</v>
      </c>
      <c r="K8658" s="27" t="s">
        <v>38</v>
      </c>
      <c r="L8658" s="27"/>
    </row>
    <row r="8659" customFormat="false" ht="15" hidden="false" customHeight="false" outlineLevel="0" collapsed="false">
      <c r="A8659" s="26" t="s">
        <v>22233</v>
      </c>
      <c r="B8659" s="27" t="s">
        <v>22234</v>
      </c>
      <c r="C8659" s="27" t="s">
        <v>144</v>
      </c>
      <c r="D8659" s="26"/>
      <c r="E8659" s="27"/>
      <c r="F8659" s="27"/>
      <c r="G8659" s="27" t="s">
        <v>11122</v>
      </c>
      <c r="H8659" s="27" t="s">
        <v>35</v>
      </c>
      <c r="I8659" s="27" t="s">
        <v>41</v>
      </c>
      <c r="J8659" s="28" t="s">
        <v>856</v>
      </c>
      <c r="K8659" s="27" t="s">
        <v>38</v>
      </c>
      <c r="L8659" s="27"/>
    </row>
    <row r="8660" customFormat="false" ht="15" hidden="false" customHeight="false" outlineLevel="0" collapsed="false">
      <c r="A8660" s="26" t="s">
        <v>22235</v>
      </c>
      <c r="B8660" s="27" t="s">
        <v>22236</v>
      </c>
      <c r="C8660" s="27" t="s">
        <v>144</v>
      </c>
      <c r="D8660" s="26"/>
      <c r="E8660" s="27"/>
      <c r="F8660" s="27"/>
      <c r="G8660" s="27" t="s">
        <v>11122</v>
      </c>
      <c r="H8660" s="27" t="s">
        <v>35</v>
      </c>
      <c r="I8660" s="27" t="s">
        <v>41</v>
      </c>
      <c r="J8660" s="28" t="s">
        <v>856</v>
      </c>
      <c r="K8660" s="27" t="s">
        <v>38</v>
      </c>
      <c r="L8660" s="27"/>
    </row>
    <row r="8661" customFormat="false" ht="15" hidden="false" customHeight="false" outlineLevel="0" collapsed="false">
      <c r="A8661" s="26" t="s">
        <v>22237</v>
      </c>
      <c r="B8661" s="27" t="s">
        <v>22238</v>
      </c>
      <c r="C8661" s="27" t="s">
        <v>144</v>
      </c>
      <c r="D8661" s="26"/>
      <c r="E8661" s="27"/>
      <c r="F8661" s="27"/>
      <c r="G8661" s="27" t="s">
        <v>11122</v>
      </c>
      <c r="H8661" s="27" t="s">
        <v>35</v>
      </c>
      <c r="I8661" s="27" t="s">
        <v>41</v>
      </c>
      <c r="J8661" s="28" t="s">
        <v>856</v>
      </c>
      <c r="K8661" s="27" t="s">
        <v>38</v>
      </c>
      <c r="L8661" s="27"/>
    </row>
    <row r="8662" customFormat="false" ht="15" hidden="false" customHeight="false" outlineLevel="0" collapsed="false">
      <c r="A8662" s="26" t="s">
        <v>22239</v>
      </c>
      <c r="B8662" s="27" t="s">
        <v>22240</v>
      </c>
      <c r="C8662" s="27" t="s">
        <v>144</v>
      </c>
      <c r="D8662" s="26"/>
      <c r="E8662" s="27"/>
      <c r="F8662" s="27"/>
      <c r="G8662" s="27" t="s">
        <v>11122</v>
      </c>
      <c r="H8662" s="27" t="s">
        <v>35</v>
      </c>
      <c r="I8662" s="27" t="s">
        <v>41</v>
      </c>
      <c r="J8662" s="28" t="s">
        <v>856</v>
      </c>
      <c r="K8662" s="27" t="s">
        <v>38</v>
      </c>
      <c r="L8662" s="27"/>
    </row>
    <row r="8663" customFormat="false" ht="15" hidden="false" customHeight="false" outlineLevel="0" collapsed="false">
      <c r="A8663" s="26" t="s">
        <v>22241</v>
      </c>
      <c r="B8663" s="27" t="s">
        <v>22242</v>
      </c>
      <c r="C8663" s="27" t="s">
        <v>144</v>
      </c>
      <c r="D8663" s="26"/>
      <c r="E8663" s="27"/>
      <c r="F8663" s="27"/>
      <c r="G8663" s="27" t="s">
        <v>11122</v>
      </c>
      <c r="H8663" s="27" t="s">
        <v>35</v>
      </c>
      <c r="I8663" s="27" t="s">
        <v>41</v>
      </c>
      <c r="J8663" s="28" t="s">
        <v>856</v>
      </c>
      <c r="K8663" s="27" t="s">
        <v>38</v>
      </c>
      <c r="L8663" s="27"/>
    </row>
    <row r="8664" customFormat="false" ht="15" hidden="false" customHeight="false" outlineLevel="0" collapsed="false">
      <c r="A8664" s="26" t="s">
        <v>22243</v>
      </c>
      <c r="B8664" s="27" t="s">
        <v>22244</v>
      </c>
      <c r="C8664" s="27" t="s">
        <v>144</v>
      </c>
      <c r="D8664" s="26"/>
      <c r="E8664" s="27"/>
      <c r="F8664" s="27"/>
      <c r="G8664" s="27" t="s">
        <v>11122</v>
      </c>
      <c r="H8664" s="27" t="s">
        <v>35</v>
      </c>
      <c r="I8664" s="27" t="s">
        <v>38</v>
      </c>
      <c r="J8664" s="28" t="s">
        <v>856</v>
      </c>
      <c r="K8664" s="27" t="s">
        <v>38</v>
      </c>
      <c r="L8664" s="27"/>
    </row>
    <row r="8665" customFormat="false" ht="15" hidden="false" customHeight="false" outlineLevel="0" collapsed="false">
      <c r="A8665" s="26" t="s">
        <v>22245</v>
      </c>
      <c r="B8665" s="27" t="s">
        <v>22246</v>
      </c>
      <c r="C8665" s="27" t="s">
        <v>144</v>
      </c>
      <c r="D8665" s="26"/>
      <c r="E8665" s="27"/>
      <c r="F8665" s="27"/>
      <c r="G8665" s="27" t="s">
        <v>11122</v>
      </c>
      <c r="H8665" s="27" t="s">
        <v>35</v>
      </c>
      <c r="I8665" s="27" t="s">
        <v>38</v>
      </c>
      <c r="J8665" s="28" t="s">
        <v>856</v>
      </c>
      <c r="K8665" s="27" t="s">
        <v>38</v>
      </c>
      <c r="L8665" s="27"/>
    </row>
    <row r="8666" customFormat="false" ht="15" hidden="false" customHeight="false" outlineLevel="0" collapsed="false">
      <c r="A8666" s="26" t="s">
        <v>22247</v>
      </c>
      <c r="B8666" s="27" t="s">
        <v>22248</v>
      </c>
      <c r="C8666" s="27" t="s">
        <v>144</v>
      </c>
      <c r="D8666" s="26"/>
      <c r="E8666" s="27"/>
      <c r="F8666" s="27"/>
      <c r="G8666" s="27" t="s">
        <v>11122</v>
      </c>
      <c r="H8666" s="27" t="s">
        <v>35</v>
      </c>
      <c r="I8666" s="27" t="s">
        <v>38</v>
      </c>
      <c r="J8666" s="28" t="s">
        <v>856</v>
      </c>
      <c r="K8666" s="27" t="s">
        <v>38</v>
      </c>
      <c r="L8666" s="27"/>
    </row>
    <row r="8667" customFormat="false" ht="15" hidden="false" customHeight="false" outlineLevel="0" collapsed="false">
      <c r="A8667" s="26" t="s">
        <v>22249</v>
      </c>
      <c r="B8667" s="27" t="s">
        <v>22250</v>
      </c>
      <c r="C8667" s="27" t="s">
        <v>144</v>
      </c>
      <c r="D8667" s="26"/>
      <c r="E8667" s="27"/>
      <c r="F8667" s="27"/>
      <c r="G8667" s="27" t="s">
        <v>11122</v>
      </c>
      <c r="H8667" s="27" t="s">
        <v>35</v>
      </c>
      <c r="I8667" s="27" t="s">
        <v>38</v>
      </c>
      <c r="J8667" s="28" t="s">
        <v>856</v>
      </c>
      <c r="K8667" s="27" t="s">
        <v>38</v>
      </c>
      <c r="L8667" s="27"/>
    </row>
    <row r="8668" customFormat="false" ht="15" hidden="false" customHeight="false" outlineLevel="0" collapsed="false">
      <c r="A8668" s="26" t="s">
        <v>22251</v>
      </c>
      <c r="B8668" s="27" t="s">
        <v>22252</v>
      </c>
      <c r="C8668" s="27" t="s">
        <v>144</v>
      </c>
      <c r="D8668" s="26"/>
      <c r="E8668" s="27"/>
      <c r="F8668" s="27"/>
      <c r="G8668" s="27" t="s">
        <v>11122</v>
      </c>
      <c r="H8668" s="27" t="s">
        <v>35</v>
      </c>
      <c r="I8668" s="27" t="s">
        <v>38</v>
      </c>
      <c r="J8668" s="28" t="s">
        <v>856</v>
      </c>
      <c r="K8668" s="27" t="s">
        <v>38</v>
      </c>
      <c r="L8668" s="27"/>
    </row>
    <row r="8669" customFormat="false" ht="15" hidden="false" customHeight="false" outlineLevel="0" collapsed="false">
      <c r="A8669" s="26" t="s">
        <v>22253</v>
      </c>
      <c r="B8669" s="27" t="s">
        <v>22254</v>
      </c>
      <c r="C8669" s="27" t="s">
        <v>144</v>
      </c>
      <c r="D8669" s="26"/>
      <c r="E8669" s="27"/>
      <c r="F8669" s="27"/>
      <c r="G8669" s="27" t="s">
        <v>11122</v>
      </c>
      <c r="H8669" s="27" t="s">
        <v>35</v>
      </c>
      <c r="I8669" s="27" t="s">
        <v>38</v>
      </c>
      <c r="J8669" s="28" t="s">
        <v>856</v>
      </c>
      <c r="K8669" s="27" t="s">
        <v>38</v>
      </c>
      <c r="L8669" s="27"/>
    </row>
    <row r="8670" customFormat="false" ht="15" hidden="false" customHeight="false" outlineLevel="0" collapsed="false">
      <c r="A8670" s="26" t="s">
        <v>22255</v>
      </c>
      <c r="B8670" s="27" t="s">
        <v>22256</v>
      </c>
      <c r="C8670" s="27" t="s">
        <v>144</v>
      </c>
      <c r="D8670" s="26"/>
      <c r="E8670" s="27"/>
      <c r="F8670" s="27"/>
      <c r="G8670" s="27" t="s">
        <v>11122</v>
      </c>
      <c r="H8670" s="27" t="s">
        <v>35</v>
      </c>
      <c r="I8670" s="27" t="s">
        <v>41</v>
      </c>
      <c r="J8670" s="28" t="s">
        <v>856</v>
      </c>
      <c r="K8670" s="27" t="s">
        <v>38</v>
      </c>
      <c r="L8670" s="27"/>
    </row>
    <row r="8671" customFormat="false" ht="15" hidden="false" customHeight="false" outlineLevel="0" collapsed="false">
      <c r="A8671" s="26" t="s">
        <v>22257</v>
      </c>
      <c r="B8671" s="27" t="s">
        <v>22258</v>
      </c>
      <c r="C8671" s="27" t="s">
        <v>144</v>
      </c>
      <c r="D8671" s="26"/>
      <c r="E8671" s="27"/>
      <c r="F8671" s="27"/>
      <c r="G8671" s="27" t="s">
        <v>11122</v>
      </c>
      <c r="H8671" s="27" t="s">
        <v>35</v>
      </c>
      <c r="I8671" s="27" t="s">
        <v>37</v>
      </c>
      <c r="J8671" s="28" t="s">
        <v>856</v>
      </c>
      <c r="K8671" s="27" t="s">
        <v>38</v>
      </c>
      <c r="L8671" s="27"/>
    </row>
    <row r="8672" customFormat="false" ht="15" hidden="false" customHeight="false" outlineLevel="0" collapsed="false">
      <c r="A8672" s="26" t="s">
        <v>22259</v>
      </c>
      <c r="B8672" s="27" t="s">
        <v>22260</v>
      </c>
      <c r="C8672" s="27" t="s">
        <v>144</v>
      </c>
      <c r="D8672" s="26"/>
      <c r="E8672" s="27"/>
      <c r="F8672" s="27"/>
      <c r="G8672" s="27" t="s">
        <v>11122</v>
      </c>
      <c r="H8672" s="27" t="s">
        <v>35</v>
      </c>
      <c r="I8672" s="27" t="s">
        <v>41</v>
      </c>
      <c r="J8672" s="28" t="s">
        <v>856</v>
      </c>
      <c r="K8672" s="27" t="s">
        <v>38</v>
      </c>
      <c r="L8672" s="27"/>
    </row>
    <row r="8673" customFormat="false" ht="15" hidden="false" customHeight="false" outlineLevel="0" collapsed="false">
      <c r="A8673" s="26" t="s">
        <v>22261</v>
      </c>
      <c r="B8673" s="27" t="s">
        <v>22262</v>
      </c>
      <c r="C8673" s="27" t="s">
        <v>144</v>
      </c>
      <c r="D8673" s="26"/>
      <c r="E8673" s="27"/>
      <c r="F8673" s="27"/>
      <c r="G8673" s="27" t="s">
        <v>11122</v>
      </c>
      <c r="H8673" s="27" t="s">
        <v>35</v>
      </c>
      <c r="I8673" s="27" t="s">
        <v>37</v>
      </c>
      <c r="J8673" s="28" t="s">
        <v>856</v>
      </c>
      <c r="K8673" s="27" t="s">
        <v>38</v>
      </c>
      <c r="L8673" s="27"/>
    </row>
    <row r="8674" customFormat="false" ht="15" hidden="false" customHeight="false" outlineLevel="0" collapsed="false">
      <c r="A8674" s="26" t="s">
        <v>22263</v>
      </c>
      <c r="B8674" s="27" t="s">
        <v>22264</v>
      </c>
      <c r="C8674" s="27" t="s">
        <v>144</v>
      </c>
      <c r="D8674" s="26"/>
      <c r="E8674" s="27"/>
      <c r="F8674" s="27"/>
      <c r="G8674" s="27" t="s">
        <v>11122</v>
      </c>
      <c r="H8674" s="27" t="s">
        <v>35</v>
      </c>
      <c r="I8674" s="27" t="s">
        <v>41</v>
      </c>
      <c r="J8674" s="28" t="s">
        <v>856</v>
      </c>
      <c r="K8674" s="27" t="s">
        <v>38</v>
      </c>
      <c r="L8674" s="27"/>
    </row>
    <row r="8675" customFormat="false" ht="15" hidden="false" customHeight="false" outlineLevel="0" collapsed="false">
      <c r="A8675" s="26" t="s">
        <v>22265</v>
      </c>
      <c r="B8675" s="27" t="s">
        <v>22266</v>
      </c>
      <c r="C8675" s="27" t="s">
        <v>144</v>
      </c>
      <c r="D8675" s="26"/>
      <c r="E8675" s="27"/>
      <c r="F8675" s="27"/>
      <c r="G8675" s="27" t="s">
        <v>11122</v>
      </c>
      <c r="H8675" s="27" t="s">
        <v>35</v>
      </c>
      <c r="I8675" s="27" t="s">
        <v>37</v>
      </c>
      <c r="J8675" s="28" t="s">
        <v>856</v>
      </c>
      <c r="K8675" s="27" t="s">
        <v>38</v>
      </c>
      <c r="L8675" s="27"/>
    </row>
    <row r="8676" customFormat="false" ht="15" hidden="false" customHeight="false" outlineLevel="0" collapsed="false">
      <c r="A8676" s="26" t="s">
        <v>22267</v>
      </c>
      <c r="B8676" s="27" t="s">
        <v>22268</v>
      </c>
      <c r="C8676" s="27" t="s">
        <v>144</v>
      </c>
      <c r="D8676" s="26"/>
      <c r="E8676" s="27"/>
      <c r="F8676" s="27"/>
      <c r="G8676" s="27" t="s">
        <v>11122</v>
      </c>
      <c r="H8676" s="27" t="s">
        <v>35</v>
      </c>
      <c r="I8676" s="27" t="s">
        <v>37</v>
      </c>
      <c r="J8676" s="28" t="s">
        <v>856</v>
      </c>
      <c r="K8676" s="27" t="s">
        <v>38</v>
      </c>
      <c r="L8676" s="27"/>
    </row>
    <row r="8677" customFormat="false" ht="15" hidden="false" customHeight="false" outlineLevel="0" collapsed="false">
      <c r="A8677" s="26" t="s">
        <v>22269</v>
      </c>
      <c r="B8677" s="27" t="s">
        <v>22270</v>
      </c>
      <c r="C8677" s="27" t="s">
        <v>144</v>
      </c>
      <c r="D8677" s="26"/>
      <c r="E8677" s="27"/>
      <c r="F8677" s="27"/>
      <c r="G8677" s="27" t="s">
        <v>11122</v>
      </c>
      <c r="H8677" s="27" t="s">
        <v>35</v>
      </c>
      <c r="I8677" s="27" t="s">
        <v>43</v>
      </c>
      <c r="J8677" s="28" t="s">
        <v>856</v>
      </c>
      <c r="K8677" s="27" t="s">
        <v>38</v>
      </c>
      <c r="L8677" s="27"/>
    </row>
    <row r="8678" customFormat="false" ht="15" hidden="false" customHeight="false" outlineLevel="0" collapsed="false">
      <c r="A8678" s="26" t="s">
        <v>22271</v>
      </c>
      <c r="B8678" s="27" t="s">
        <v>22272</v>
      </c>
      <c r="C8678" s="27" t="s">
        <v>144</v>
      </c>
      <c r="D8678" s="26"/>
      <c r="E8678" s="27"/>
      <c r="F8678" s="27"/>
      <c r="G8678" s="27" t="s">
        <v>11122</v>
      </c>
      <c r="H8678" s="27" t="s">
        <v>35</v>
      </c>
      <c r="I8678" s="27" t="s">
        <v>40</v>
      </c>
      <c r="J8678" s="28" t="s">
        <v>856</v>
      </c>
      <c r="K8678" s="27" t="s">
        <v>38</v>
      </c>
      <c r="L8678" s="27"/>
    </row>
    <row r="8679" customFormat="false" ht="15" hidden="false" customHeight="false" outlineLevel="0" collapsed="false">
      <c r="A8679" s="26" t="s">
        <v>22273</v>
      </c>
      <c r="B8679" s="27" t="s">
        <v>22274</v>
      </c>
      <c r="C8679" s="27" t="s">
        <v>144</v>
      </c>
      <c r="D8679" s="26"/>
      <c r="E8679" s="27"/>
      <c r="F8679" s="27"/>
      <c r="G8679" s="27" t="s">
        <v>11122</v>
      </c>
      <c r="H8679" s="27" t="s">
        <v>35</v>
      </c>
      <c r="I8679" s="27" t="s">
        <v>37</v>
      </c>
      <c r="J8679" s="28" t="s">
        <v>856</v>
      </c>
      <c r="K8679" s="27" t="s">
        <v>38</v>
      </c>
      <c r="L8679" s="27"/>
    </row>
    <row r="8680" customFormat="false" ht="15" hidden="false" customHeight="false" outlineLevel="0" collapsed="false">
      <c r="A8680" s="26" t="s">
        <v>22275</v>
      </c>
      <c r="B8680" s="27" t="s">
        <v>22276</v>
      </c>
      <c r="C8680" s="27" t="s">
        <v>144</v>
      </c>
      <c r="D8680" s="26"/>
      <c r="E8680" s="27"/>
      <c r="F8680" s="27"/>
      <c r="G8680" s="27" t="s">
        <v>11122</v>
      </c>
      <c r="H8680" s="27" t="s">
        <v>35</v>
      </c>
      <c r="I8680" s="27" t="s">
        <v>39</v>
      </c>
      <c r="J8680" s="28" t="s">
        <v>856</v>
      </c>
      <c r="K8680" s="27" t="s">
        <v>38</v>
      </c>
      <c r="L8680" s="27"/>
    </row>
    <row r="8681" customFormat="false" ht="15" hidden="false" customHeight="false" outlineLevel="0" collapsed="false">
      <c r="A8681" s="26" t="s">
        <v>22277</v>
      </c>
      <c r="B8681" s="27" t="s">
        <v>22278</v>
      </c>
      <c r="C8681" s="27" t="s">
        <v>144</v>
      </c>
      <c r="D8681" s="26"/>
      <c r="E8681" s="27"/>
      <c r="F8681" s="27"/>
      <c r="G8681" s="27" t="s">
        <v>11122</v>
      </c>
      <c r="H8681" s="27" t="s">
        <v>35</v>
      </c>
      <c r="I8681" s="27" t="s">
        <v>37</v>
      </c>
      <c r="J8681" s="28" t="s">
        <v>856</v>
      </c>
      <c r="K8681" s="27" t="s">
        <v>38</v>
      </c>
      <c r="L8681" s="27"/>
    </row>
    <row r="8682" customFormat="false" ht="15" hidden="false" customHeight="false" outlineLevel="0" collapsed="false">
      <c r="A8682" s="26" t="s">
        <v>22279</v>
      </c>
      <c r="B8682" s="27" t="s">
        <v>22280</v>
      </c>
      <c r="C8682" s="27" t="s">
        <v>144</v>
      </c>
      <c r="D8682" s="26"/>
      <c r="E8682" s="27"/>
      <c r="F8682" s="27"/>
      <c r="G8682" s="27" t="s">
        <v>11122</v>
      </c>
      <c r="H8682" s="27" t="s">
        <v>35</v>
      </c>
      <c r="I8682" s="27" t="s">
        <v>41</v>
      </c>
      <c r="J8682" s="28" t="s">
        <v>856</v>
      </c>
      <c r="K8682" s="27" t="s">
        <v>38</v>
      </c>
      <c r="L8682" s="27"/>
    </row>
    <row r="8683" customFormat="false" ht="15" hidden="false" customHeight="false" outlineLevel="0" collapsed="false">
      <c r="A8683" s="26" t="s">
        <v>22281</v>
      </c>
      <c r="B8683" s="27" t="s">
        <v>22282</v>
      </c>
      <c r="C8683" s="27" t="s">
        <v>144</v>
      </c>
      <c r="D8683" s="26"/>
      <c r="E8683" s="27"/>
      <c r="F8683" s="27"/>
      <c r="G8683" s="27" t="s">
        <v>11122</v>
      </c>
      <c r="H8683" s="27" t="s">
        <v>35</v>
      </c>
      <c r="I8683" s="27" t="s">
        <v>41</v>
      </c>
      <c r="J8683" s="28" t="s">
        <v>856</v>
      </c>
      <c r="K8683" s="27" t="s">
        <v>38</v>
      </c>
      <c r="L8683" s="27"/>
    </row>
    <row r="8684" customFormat="false" ht="15" hidden="false" customHeight="false" outlineLevel="0" collapsed="false">
      <c r="A8684" s="26" t="s">
        <v>22283</v>
      </c>
      <c r="B8684" s="27" t="s">
        <v>22284</v>
      </c>
      <c r="C8684" s="27" t="s">
        <v>144</v>
      </c>
      <c r="D8684" s="26"/>
      <c r="E8684" s="27"/>
      <c r="F8684" s="27"/>
      <c r="G8684" s="27" t="s">
        <v>11122</v>
      </c>
      <c r="H8684" s="27" t="s">
        <v>35</v>
      </c>
      <c r="I8684" s="27" t="s">
        <v>41</v>
      </c>
      <c r="J8684" s="28" t="s">
        <v>856</v>
      </c>
      <c r="K8684" s="27" t="s">
        <v>38</v>
      </c>
      <c r="L8684" s="27"/>
    </row>
    <row r="8685" customFormat="false" ht="15" hidden="false" customHeight="false" outlineLevel="0" collapsed="false">
      <c r="A8685" s="26" t="s">
        <v>22285</v>
      </c>
      <c r="B8685" s="27" t="s">
        <v>22286</v>
      </c>
      <c r="C8685" s="27" t="s">
        <v>144</v>
      </c>
      <c r="D8685" s="26"/>
      <c r="E8685" s="27"/>
      <c r="F8685" s="27"/>
      <c r="G8685" s="27" t="s">
        <v>11122</v>
      </c>
      <c r="H8685" s="27" t="s">
        <v>35</v>
      </c>
      <c r="I8685" s="27" t="s">
        <v>37</v>
      </c>
      <c r="J8685" s="28" t="s">
        <v>856</v>
      </c>
      <c r="K8685" s="27" t="s">
        <v>38</v>
      </c>
      <c r="L8685" s="27"/>
    </row>
    <row r="8686" customFormat="false" ht="15" hidden="false" customHeight="false" outlineLevel="0" collapsed="false">
      <c r="A8686" s="26" t="s">
        <v>22287</v>
      </c>
      <c r="B8686" s="27" t="s">
        <v>22288</v>
      </c>
      <c r="C8686" s="27" t="s">
        <v>144</v>
      </c>
      <c r="D8686" s="26"/>
      <c r="E8686" s="27"/>
      <c r="F8686" s="27"/>
      <c r="G8686" s="27" t="s">
        <v>11122</v>
      </c>
      <c r="H8686" s="27" t="s">
        <v>35</v>
      </c>
      <c r="I8686" s="27" t="s">
        <v>41</v>
      </c>
      <c r="J8686" s="28" t="s">
        <v>856</v>
      </c>
      <c r="K8686" s="27" t="s">
        <v>38</v>
      </c>
      <c r="L8686" s="27"/>
    </row>
    <row r="8687" customFormat="false" ht="15" hidden="false" customHeight="false" outlineLevel="0" collapsed="false">
      <c r="A8687" s="26" t="s">
        <v>22289</v>
      </c>
      <c r="B8687" s="27" t="s">
        <v>22290</v>
      </c>
      <c r="C8687" s="27" t="s">
        <v>144</v>
      </c>
      <c r="D8687" s="26"/>
      <c r="E8687" s="27"/>
      <c r="F8687" s="27"/>
      <c r="G8687" s="27" t="s">
        <v>11122</v>
      </c>
      <c r="H8687" s="27" t="s">
        <v>35</v>
      </c>
      <c r="I8687" s="27" t="s">
        <v>41</v>
      </c>
      <c r="J8687" s="28" t="s">
        <v>856</v>
      </c>
      <c r="K8687" s="27" t="s">
        <v>38</v>
      </c>
      <c r="L8687" s="27"/>
    </row>
    <row r="8688" customFormat="false" ht="15" hidden="false" customHeight="false" outlineLevel="0" collapsed="false">
      <c r="A8688" s="26" t="s">
        <v>22291</v>
      </c>
      <c r="B8688" s="27" t="s">
        <v>22292</v>
      </c>
      <c r="C8688" s="27" t="s">
        <v>144</v>
      </c>
      <c r="D8688" s="26"/>
      <c r="E8688" s="27"/>
      <c r="F8688" s="27"/>
      <c r="G8688" s="27" t="s">
        <v>11122</v>
      </c>
      <c r="H8688" s="27" t="s">
        <v>35</v>
      </c>
      <c r="I8688" s="27" t="s">
        <v>41</v>
      </c>
      <c r="J8688" s="28" t="s">
        <v>856</v>
      </c>
      <c r="K8688" s="27" t="s">
        <v>38</v>
      </c>
      <c r="L8688" s="27"/>
    </row>
    <row r="8689" customFormat="false" ht="15" hidden="false" customHeight="false" outlineLevel="0" collapsed="false">
      <c r="A8689" s="26" t="s">
        <v>22293</v>
      </c>
      <c r="B8689" s="27" t="s">
        <v>22294</v>
      </c>
      <c r="C8689" s="27" t="s">
        <v>144</v>
      </c>
      <c r="D8689" s="26"/>
      <c r="E8689" s="27"/>
      <c r="F8689" s="27"/>
      <c r="G8689" s="27" t="s">
        <v>11122</v>
      </c>
      <c r="H8689" s="27" t="s">
        <v>35</v>
      </c>
      <c r="I8689" s="27" t="s">
        <v>41</v>
      </c>
      <c r="J8689" s="28" t="s">
        <v>856</v>
      </c>
      <c r="K8689" s="27" t="s">
        <v>38</v>
      </c>
      <c r="L8689" s="27"/>
    </row>
    <row r="8690" customFormat="false" ht="15" hidden="false" customHeight="false" outlineLevel="0" collapsed="false">
      <c r="A8690" s="26" t="s">
        <v>22295</v>
      </c>
      <c r="B8690" s="27" t="s">
        <v>22296</v>
      </c>
      <c r="C8690" s="27" t="s">
        <v>144</v>
      </c>
      <c r="D8690" s="26"/>
      <c r="E8690" s="27"/>
      <c r="F8690" s="27"/>
      <c r="G8690" s="27" t="s">
        <v>11122</v>
      </c>
      <c r="H8690" s="27" t="s">
        <v>35</v>
      </c>
      <c r="I8690" s="27" t="s">
        <v>43</v>
      </c>
      <c r="J8690" s="28" t="s">
        <v>856</v>
      </c>
      <c r="K8690" s="27" t="s">
        <v>38</v>
      </c>
      <c r="L8690" s="27"/>
    </row>
    <row r="8691" customFormat="false" ht="15" hidden="false" customHeight="false" outlineLevel="0" collapsed="false">
      <c r="A8691" s="26" t="s">
        <v>22297</v>
      </c>
      <c r="B8691" s="27" t="s">
        <v>22298</v>
      </c>
      <c r="C8691" s="27" t="s">
        <v>144</v>
      </c>
      <c r="D8691" s="26"/>
      <c r="E8691" s="27"/>
      <c r="F8691" s="27"/>
      <c r="G8691" s="27" t="s">
        <v>11122</v>
      </c>
      <c r="H8691" s="27" t="s">
        <v>35</v>
      </c>
      <c r="I8691" s="27" t="s">
        <v>41</v>
      </c>
      <c r="J8691" s="28" t="s">
        <v>856</v>
      </c>
      <c r="K8691" s="27" t="s">
        <v>38</v>
      </c>
      <c r="L8691" s="27"/>
    </row>
    <row r="8692" customFormat="false" ht="15" hidden="false" customHeight="false" outlineLevel="0" collapsed="false">
      <c r="A8692" s="26" t="s">
        <v>22299</v>
      </c>
      <c r="B8692" s="27" t="s">
        <v>22300</v>
      </c>
      <c r="C8692" s="27" t="s">
        <v>144</v>
      </c>
      <c r="D8692" s="26"/>
      <c r="E8692" s="27"/>
      <c r="F8692" s="27"/>
      <c r="G8692" s="27" t="s">
        <v>11122</v>
      </c>
      <c r="H8692" s="27" t="s">
        <v>35</v>
      </c>
      <c r="I8692" s="27" t="s">
        <v>40</v>
      </c>
      <c r="J8692" s="28" t="s">
        <v>856</v>
      </c>
      <c r="K8692" s="27" t="s">
        <v>38</v>
      </c>
      <c r="L8692" s="27"/>
    </row>
    <row r="8693" customFormat="false" ht="15" hidden="false" customHeight="false" outlineLevel="0" collapsed="false">
      <c r="A8693" s="26" t="s">
        <v>22301</v>
      </c>
      <c r="B8693" s="27" t="s">
        <v>22302</v>
      </c>
      <c r="C8693" s="27" t="s">
        <v>144</v>
      </c>
      <c r="D8693" s="26"/>
      <c r="E8693" s="27"/>
      <c r="F8693" s="27"/>
      <c r="G8693" s="27" t="s">
        <v>11122</v>
      </c>
      <c r="H8693" s="27" t="s">
        <v>35</v>
      </c>
      <c r="I8693" s="27" t="s">
        <v>38</v>
      </c>
      <c r="J8693" s="28" t="s">
        <v>856</v>
      </c>
      <c r="K8693" s="27" t="s">
        <v>38</v>
      </c>
      <c r="L8693" s="27"/>
    </row>
    <row r="8694" customFormat="false" ht="15" hidden="false" customHeight="false" outlineLevel="0" collapsed="false">
      <c r="A8694" s="26" t="s">
        <v>22303</v>
      </c>
      <c r="B8694" s="27" t="s">
        <v>22304</v>
      </c>
      <c r="C8694" s="27" t="s">
        <v>144</v>
      </c>
      <c r="D8694" s="26"/>
      <c r="E8694" s="27"/>
      <c r="F8694" s="27"/>
      <c r="G8694" s="27" t="s">
        <v>11122</v>
      </c>
      <c r="H8694" s="27" t="s">
        <v>35</v>
      </c>
      <c r="I8694" s="27" t="s">
        <v>41</v>
      </c>
      <c r="J8694" s="28" t="s">
        <v>856</v>
      </c>
      <c r="K8694" s="27" t="s">
        <v>38</v>
      </c>
      <c r="L8694" s="27"/>
    </row>
    <row r="8695" customFormat="false" ht="15" hidden="false" customHeight="false" outlineLevel="0" collapsed="false">
      <c r="A8695" s="26" t="s">
        <v>22305</v>
      </c>
      <c r="B8695" s="27" t="s">
        <v>22306</v>
      </c>
      <c r="C8695" s="27" t="s">
        <v>144</v>
      </c>
      <c r="D8695" s="26"/>
      <c r="E8695" s="27"/>
      <c r="F8695" s="27"/>
      <c r="G8695" s="27" t="s">
        <v>11122</v>
      </c>
      <c r="H8695" s="27" t="s">
        <v>35</v>
      </c>
      <c r="I8695" s="27" t="s">
        <v>42</v>
      </c>
      <c r="J8695" s="28" t="s">
        <v>856</v>
      </c>
      <c r="K8695" s="27" t="s">
        <v>38</v>
      </c>
      <c r="L8695" s="27"/>
    </row>
    <row r="8696" customFormat="false" ht="15" hidden="false" customHeight="false" outlineLevel="0" collapsed="false">
      <c r="A8696" s="26" t="s">
        <v>22307</v>
      </c>
      <c r="B8696" s="27" t="s">
        <v>22308</v>
      </c>
      <c r="C8696" s="27" t="s">
        <v>144</v>
      </c>
      <c r="D8696" s="26"/>
      <c r="E8696" s="27"/>
      <c r="F8696" s="27"/>
      <c r="G8696" s="27" t="s">
        <v>11122</v>
      </c>
      <c r="H8696" s="27" t="s">
        <v>35</v>
      </c>
      <c r="I8696" s="27" t="s">
        <v>41</v>
      </c>
      <c r="J8696" s="28" t="s">
        <v>856</v>
      </c>
      <c r="K8696" s="27" t="s">
        <v>38</v>
      </c>
      <c r="L8696" s="27"/>
    </row>
    <row r="8697" customFormat="false" ht="15" hidden="false" customHeight="false" outlineLevel="0" collapsed="false">
      <c r="A8697" s="26" t="s">
        <v>22309</v>
      </c>
      <c r="B8697" s="27" t="s">
        <v>22310</v>
      </c>
      <c r="C8697" s="27" t="s">
        <v>144</v>
      </c>
      <c r="D8697" s="26"/>
      <c r="E8697" s="27"/>
      <c r="F8697" s="27"/>
      <c r="G8697" s="27" t="s">
        <v>11122</v>
      </c>
      <c r="H8697" s="27" t="s">
        <v>35</v>
      </c>
      <c r="I8697" s="27" t="s">
        <v>41</v>
      </c>
      <c r="J8697" s="28" t="s">
        <v>856</v>
      </c>
      <c r="K8697" s="27" t="s">
        <v>38</v>
      </c>
      <c r="L8697" s="27"/>
    </row>
    <row r="8698" customFormat="false" ht="15" hidden="false" customHeight="false" outlineLevel="0" collapsed="false">
      <c r="A8698" s="26" t="s">
        <v>22311</v>
      </c>
      <c r="B8698" s="27" t="s">
        <v>22312</v>
      </c>
      <c r="C8698" s="27" t="s">
        <v>144</v>
      </c>
      <c r="D8698" s="26"/>
      <c r="E8698" s="27"/>
      <c r="F8698" s="27"/>
      <c r="G8698" s="27" t="s">
        <v>11122</v>
      </c>
      <c r="H8698" s="27" t="s">
        <v>35</v>
      </c>
      <c r="I8698" s="27" t="s">
        <v>41</v>
      </c>
      <c r="J8698" s="28" t="s">
        <v>856</v>
      </c>
      <c r="K8698" s="27" t="s">
        <v>38</v>
      </c>
      <c r="L8698" s="27"/>
    </row>
    <row r="8699" customFormat="false" ht="15" hidden="false" customHeight="false" outlineLevel="0" collapsed="false">
      <c r="A8699" s="26" t="s">
        <v>22313</v>
      </c>
      <c r="B8699" s="27" t="s">
        <v>22314</v>
      </c>
      <c r="C8699" s="27" t="s">
        <v>144</v>
      </c>
      <c r="D8699" s="26"/>
      <c r="E8699" s="27"/>
      <c r="F8699" s="27"/>
      <c r="G8699" s="27" t="s">
        <v>11122</v>
      </c>
      <c r="H8699" s="27" t="s">
        <v>35</v>
      </c>
      <c r="I8699" s="27" t="s">
        <v>39</v>
      </c>
      <c r="J8699" s="28" t="s">
        <v>856</v>
      </c>
      <c r="K8699" s="27" t="s">
        <v>38</v>
      </c>
      <c r="L8699" s="27"/>
    </row>
    <row r="8700" customFormat="false" ht="15" hidden="false" customHeight="false" outlineLevel="0" collapsed="false">
      <c r="A8700" s="26" t="s">
        <v>22315</v>
      </c>
      <c r="B8700" s="27" t="s">
        <v>22316</v>
      </c>
      <c r="C8700" s="27" t="s">
        <v>144</v>
      </c>
      <c r="D8700" s="26"/>
      <c r="E8700" s="27"/>
      <c r="F8700" s="27"/>
      <c r="G8700" s="27" t="s">
        <v>11122</v>
      </c>
      <c r="H8700" s="27" t="s">
        <v>35</v>
      </c>
      <c r="I8700" s="27" t="s">
        <v>1309</v>
      </c>
      <c r="J8700" s="28" t="s">
        <v>856</v>
      </c>
      <c r="K8700" s="27" t="s">
        <v>38</v>
      </c>
      <c r="L8700" s="27"/>
    </row>
    <row r="8701" customFormat="false" ht="15" hidden="false" customHeight="false" outlineLevel="0" collapsed="false">
      <c r="A8701" s="26" t="s">
        <v>22317</v>
      </c>
      <c r="B8701" s="27" t="s">
        <v>22318</v>
      </c>
      <c r="C8701" s="27" t="s">
        <v>144</v>
      </c>
      <c r="D8701" s="26"/>
      <c r="E8701" s="27"/>
      <c r="F8701" s="27"/>
      <c r="G8701" s="27" t="s">
        <v>11122</v>
      </c>
      <c r="H8701" s="27" t="s">
        <v>35</v>
      </c>
      <c r="I8701" s="27" t="s">
        <v>39</v>
      </c>
      <c r="J8701" s="28" t="s">
        <v>856</v>
      </c>
      <c r="K8701" s="27" t="s">
        <v>38</v>
      </c>
      <c r="L8701" s="27"/>
    </row>
    <row r="8702" customFormat="false" ht="15" hidden="false" customHeight="false" outlineLevel="0" collapsed="false">
      <c r="A8702" s="26" t="s">
        <v>22319</v>
      </c>
      <c r="B8702" s="27" t="s">
        <v>22320</v>
      </c>
      <c r="C8702" s="27" t="s">
        <v>144</v>
      </c>
      <c r="D8702" s="26"/>
      <c r="E8702" s="27"/>
      <c r="F8702" s="27"/>
      <c r="G8702" s="27" t="s">
        <v>11122</v>
      </c>
      <c r="H8702" s="27" t="s">
        <v>35</v>
      </c>
      <c r="I8702" s="27" t="s">
        <v>37</v>
      </c>
      <c r="J8702" s="28" t="s">
        <v>856</v>
      </c>
      <c r="K8702" s="27" t="s">
        <v>38</v>
      </c>
      <c r="L8702" s="27"/>
    </row>
    <row r="8703" customFormat="false" ht="15" hidden="false" customHeight="false" outlineLevel="0" collapsed="false">
      <c r="A8703" s="26" t="s">
        <v>22321</v>
      </c>
      <c r="B8703" s="27" t="s">
        <v>22322</v>
      </c>
      <c r="C8703" s="27" t="s">
        <v>144</v>
      </c>
      <c r="D8703" s="26"/>
      <c r="E8703" s="27"/>
      <c r="F8703" s="27"/>
      <c r="G8703" s="27" t="s">
        <v>11122</v>
      </c>
      <c r="H8703" s="27" t="s">
        <v>35</v>
      </c>
      <c r="I8703" s="27" t="s">
        <v>47</v>
      </c>
      <c r="J8703" s="28" t="s">
        <v>856</v>
      </c>
      <c r="K8703" s="27" t="s">
        <v>38</v>
      </c>
      <c r="L8703" s="27"/>
    </row>
    <row r="8704" customFormat="false" ht="15" hidden="false" customHeight="false" outlineLevel="0" collapsed="false">
      <c r="A8704" s="26" t="s">
        <v>22323</v>
      </c>
      <c r="B8704" s="27" t="s">
        <v>22324</v>
      </c>
      <c r="C8704" s="27" t="s">
        <v>144</v>
      </c>
      <c r="D8704" s="26"/>
      <c r="E8704" s="27"/>
      <c r="F8704" s="27"/>
      <c r="G8704" s="27" t="s">
        <v>11122</v>
      </c>
      <c r="H8704" s="27" t="s">
        <v>35</v>
      </c>
      <c r="I8704" s="27" t="s">
        <v>37</v>
      </c>
      <c r="J8704" s="28" t="s">
        <v>856</v>
      </c>
      <c r="K8704" s="27" t="s">
        <v>38</v>
      </c>
      <c r="L8704" s="27"/>
    </row>
    <row r="8705" customFormat="false" ht="15" hidden="false" customHeight="false" outlineLevel="0" collapsed="false">
      <c r="A8705" s="26" t="s">
        <v>22325</v>
      </c>
      <c r="B8705" s="27" t="s">
        <v>22326</v>
      </c>
      <c r="C8705" s="27" t="s">
        <v>144</v>
      </c>
      <c r="D8705" s="26"/>
      <c r="E8705" s="27"/>
      <c r="F8705" s="27"/>
      <c r="G8705" s="27" t="s">
        <v>11122</v>
      </c>
      <c r="H8705" s="27" t="s">
        <v>35</v>
      </c>
      <c r="I8705" s="27" t="s">
        <v>38</v>
      </c>
      <c r="J8705" s="28" t="s">
        <v>856</v>
      </c>
      <c r="K8705" s="27" t="s">
        <v>38</v>
      </c>
      <c r="L8705" s="27"/>
    </row>
    <row r="8706" customFormat="false" ht="15" hidden="false" customHeight="false" outlineLevel="0" collapsed="false">
      <c r="A8706" s="26" t="s">
        <v>22327</v>
      </c>
      <c r="B8706" s="27" t="s">
        <v>22328</v>
      </c>
      <c r="C8706" s="27" t="s">
        <v>144</v>
      </c>
      <c r="D8706" s="26"/>
      <c r="E8706" s="27"/>
      <c r="F8706" s="27"/>
      <c r="G8706" s="27" t="s">
        <v>11122</v>
      </c>
      <c r="H8706" s="27" t="s">
        <v>35</v>
      </c>
      <c r="I8706" s="27" t="s">
        <v>37</v>
      </c>
      <c r="J8706" s="28" t="s">
        <v>856</v>
      </c>
      <c r="K8706" s="27" t="s">
        <v>38</v>
      </c>
      <c r="L8706" s="27"/>
    </row>
    <row r="8707" customFormat="false" ht="15" hidden="false" customHeight="false" outlineLevel="0" collapsed="false">
      <c r="A8707" s="26" t="s">
        <v>22329</v>
      </c>
      <c r="B8707" s="27" t="s">
        <v>22330</v>
      </c>
      <c r="C8707" s="27" t="s">
        <v>144</v>
      </c>
      <c r="D8707" s="26"/>
      <c r="E8707" s="27"/>
      <c r="F8707" s="27"/>
      <c r="G8707" s="27" t="s">
        <v>11122</v>
      </c>
      <c r="H8707" s="27" t="s">
        <v>35</v>
      </c>
      <c r="I8707" s="27" t="s">
        <v>48</v>
      </c>
      <c r="J8707" s="28" t="s">
        <v>856</v>
      </c>
      <c r="K8707" s="27" t="s">
        <v>38</v>
      </c>
      <c r="L8707" s="27"/>
    </row>
    <row r="8708" customFormat="false" ht="15" hidden="false" customHeight="false" outlineLevel="0" collapsed="false">
      <c r="A8708" s="26" t="s">
        <v>22331</v>
      </c>
      <c r="B8708" s="27" t="s">
        <v>22332</v>
      </c>
      <c r="C8708" s="27" t="s">
        <v>144</v>
      </c>
      <c r="D8708" s="26"/>
      <c r="E8708" s="27"/>
      <c r="F8708" s="27"/>
      <c r="G8708" s="27" t="s">
        <v>11122</v>
      </c>
      <c r="H8708" s="27" t="s">
        <v>35</v>
      </c>
      <c r="I8708" s="27" t="s">
        <v>43</v>
      </c>
      <c r="J8708" s="28" t="s">
        <v>856</v>
      </c>
      <c r="K8708" s="27" t="s">
        <v>38</v>
      </c>
      <c r="L8708" s="27"/>
    </row>
    <row r="8709" customFormat="false" ht="15" hidden="false" customHeight="false" outlineLevel="0" collapsed="false">
      <c r="A8709" s="26" t="s">
        <v>22333</v>
      </c>
      <c r="B8709" s="27" t="s">
        <v>22334</v>
      </c>
      <c r="C8709" s="27" t="s">
        <v>144</v>
      </c>
      <c r="D8709" s="26"/>
      <c r="E8709" s="27"/>
      <c r="F8709" s="27"/>
      <c r="G8709" s="27" t="s">
        <v>11122</v>
      </c>
      <c r="H8709" s="27" t="s">
        <v>35</v>
      </c>
      <c r="I8709" s="27" t="s">
        <v>43</v>
      </c>
      <c r="J8709" s="28" t="s">
        <v>856</v>
      </c>
      <c r="K8709" s="27" t="s">
        <v>38</v>
      </c>
      <c r="L8709" s="27"/>
    </row>
    <row r="8710" customFormat="false" ht="15" hidden="false" customHeight="false" outlineLevel="0" collapsed="false">
      <c r="A8710" s="26" t="s">
        <v>22335</v>
      </c>
      <c r="B8710" s="27" t="s">
        <v>22336</v>
      </c>
      <c r="C8710" s="27" t="s">
        <v>144</v>
      </c>
      <c r="D8710" s="26"/>
      <c r="E8710" s="27"/>
      <c r="F8710" s="27"/>
      <c r="G8710" s="27" t="s">
        <v>11122</v>
      </c>
      <c r="H8710" s="27" t="s">
        <v>35</v>
      </c>
      <c r="I8710" s="27" t="s">
        <v>37</v>
      </c>
      <c r="J8710" s="28" t="s">
        <v>856</v>
      </c>
      <c r="K8710" s="27" t="s">
        <v>38</v>
      </c>
      <c r="L8710" s="27"/>
    </row>
    <row r="8711" customFormat="false" ht="15" hidden="false" customHeight="false" outlineLevel="0" collapsed="false">
      <c r="A8711" s="26" t="s">
        <v>22337</v>
      </c>
      <c r="B8711" s="27" t="s">
        <v>22338</v>
      </c>
      <c r="C8711" s="27" t="s">
        <v>144</v>
      </c>
      <c r="D8711" s="26"/>
      <c r="E8711" s="27"/>
      <c r="F8711" s="27"/>
      <c r="G8711" s="27" t="s">
        <v>11122</v>
      </c>
      <c r="H8711" s="27" t="s">
        <v>35</v>
      </c>
      <c r="I8711" s="28" t="s">
        <v>46</v>
      </c>
      <c r="J8711" s="28" t="s">
        <v>856</v>
      </c>
      <c r="K8711" s="27" t="s">
        <v>38</v>
      </c>
      <c r="L8711" s="27"/>
    </row>
    <row r="8712" customFormat="false" ht="15" hidden="false" customHeight="false" outlineLevel="0" collapsed="false">
      <c r="A8712" s="26" t="s">
        <v>22339</v>
      </c>
      <c r="B8712" s="27" t="s">
        <v>22340</v>
      </c>
      <c r="C8712" s="27" t="s">
        <v>144</v>
      </c>
      <c r="D8712" s="26"/>
      <c r="E8712" s="27"/>
      <c r="F8712" s="27"/>
      <c r="G8712" s="27" t="s">
        <v>11122</v>
      </c>
      <c r="H8712" s="27" t="s">
        <v>35</v>
      </c>
      <c r="I8712" s="27" t="s">
        <v>38</v>
      </c>
      <c r="J8712" s="28" t="s">
        <v>856</v>
      </c>
      <c r="K8712" s="27" t="s">
        <v>38</v>
      </c>
      <c r="L8712" s="27"/>
    </row>
    <row r="8713" customFormat="false" ht="15" hidden="false" customHeight="false" outlineLevel="0" collapsed="false">
      <c r="A8713" s="26" t="s">
        <v>22341</v>
      </c>
      <c r="B8713" s="27" t="s">
        <v>22342</v>
      </c>
      <c r="C8713" s="27" t="s">
        <v>144</v>
      </c>
      <c r="D8713" s="26"/>
      <c r="E8713" s="27"/>
      <c r="F8713" s="27"/>
      <c r="G8713" s="27" t="s">
        <v>11122</v>
      </c>
      <c r="H8713" s="27" t="s">
        <v>35</v>
      </c>
      <c r="I8713" s="27" t="s">
        <v>43</v>
      </c>
      <c r="J8713" s="28" t="s">
        <v>856</v>
      </c>
      <c r="K8713" s="27" t="s">
        <v>38</v>
      </c>
      <c r="L8713" s="27"/>
    </row>
    <row r="8714" customFormat="false" ht="15" hidden="false" customHeight="false" outlineLevel="0" collapsed="false">
      <c r="A8714" s="26" t="s">
        <v>22343</v>
      </c>
      <c r="B8714" s="27" t="s">
        <v>22344</v>
      </c>
      <c r="C8714" s="27" t="s">
        <v>144</v>
      </c>
      <c r="D8714" s="26"/>
      <c r="E8714" s="27"/>
      <c r="F8714" s="27"/>
      <c r="G8714" s="27" t="s">
        <v>11122</v>
      </c>
      <c r="H8714" s="27" t="s">
        <v>35</v>
      </c>
      <c r="I8714" s="27" t="s">
        <v>43</v>
      </c>
      <c r="J8714" s="28" t="s">
        <v>856</v>
      </c>
      <c r="K8714" s="27" t="s">
        <v>38</v>
      </c>
      <c r="L8714" s="27"/>
    </row>
    <row r="8715" customFormat="false" ht="15" hidden="false" customHeight="false" outlineLevel="0" collapsed="false">
      <c r="A8715" s="26" t="s">
        <v>22345</v>
      </c>
      <c r="B8715" s="27" t="s">
        <v>22346</v>
      </c>
      <c r="C8715" s="27" t="s">
        <v>144</v>
      </c>
      <c r="D8715" s="26"/>
      <c r="E8715" s="27"/>
      <c r="F8715" s="27"/>
      <c r="G8715" s="27" t="s">
        <v>11122</v>
      </c>
      <c r="H8715" s="27" t="s">
        <v>35</v>
      </c>
      <c r="I8715" s="27" t="s">
        <v>43</v>
      </c>
      <c r="J8715" s="28" t="s">
        <v>856</v>
      </c>
      <c r="K8715" s="27" t="s">
        <v>38</v>
      </c>
      <c r="L8715" s="27"/>
    </row>
    <row r="8716" customFormat="false" ht="15" hidden="false" customHeight="false" outlineLevel="0" collapsed="false">
      <c r="A8716" s="26" t="s">
        <v>22347</v>
      </c>
      <c r="B8716" s="27" t="s">
        <v>22348</v>
      </c>
      <c r="C8716" s="27" t="s">
        <v>144</v>
      </c>
      <c r="D8716" s="26"/>
      <c r="E8716" s="27"/>
      <c r="F8716" s="27"/>
      <c r="G8716" s="27" t="s">
        <v>11122</v>
      </c>
      <c r="H8716" s="27" t="s">
        <v>35</v>
      </c>
      <c r="I8716" s="27" t="s">
        <v>43</v>
      </c>
      <c r="J8716" s="28" t="s">
        <v>856</v>
      </c>
      <c r="K8716" s="27" t="s">
        <v>38</v>
      </c>
      <c r="L8716" s="27"/>
    </row>
    <row r="8717" customFormat="false" ht="15" hidden="false" customHeight="false" outlineLevel="0" collapsed="false">
      <c r="A8717" s="26" t="s">
        <v>22349</v>
      </c>
      <c r="B8717" s="27" t="s">
        <v>22350</v>
      </c>
      <c r="C8717" s="27" t="s">
        <v>144</v>
      </c>
      <c r="D8717" s="26"/>
      <c r="E8717" s="27"/>
      <c r="F8717" s="27"/>
      <c r="G8717" s="27" t="s">
        <v>11122</v>
      </c>
      <c r="H8717" s="27" t="s">
        <v>35</v>
      </c>
      <c r="I8717" s="27" t="s">
        <v>43</v>
      </c>
      <c r="J8717" s="28" t="s">
        <v>856</v>
      </c>
      <c r="K8717" s="27" t="s">
        <v>38</v>
      </c>
      <c r="L8717" s="27"/>
    </row>
    <row r="8718" customFormat="false" ht="15" hidden="false" customHeight="false" outlineLevel="0" collapsed="false">
      <c r="A8718" s="26" t="s">
        <v>22351</v>
      </c>
      <c r="B8718" s="27" t="s">
        <v>22352</v>
      </c>
      <c r="C8718" s="27" t="s">
        <v>144</v>
      </c>
      <c r="D8718" s="26"/>
      <c r="E8718" s="27"/>
      <c r="F8718" s="27"/>
      <c r="G8718" s="27" t="s">
        <v>11122</v>
      </c>
      <c r="H8718" s="27" t="s">
        <v>35</v>
      </c>
      <c r="I8718" s="27" t="s">
        <v>43</v>
      </c>
      <c r="J8718" s="28" t="s">
        <v>856</v>
      </c>
      <c r="K8718" s="27" t="s">
        <v>38</v>
      </c>
      <c r="L8718" s="27"/>
    </row>
    <row r="8719" customFormat="false" ht="15" hidden="false" customHeight="false" outlineLevel="0" collapsed="false">
      <c r="A8719" s="26" t="s">
        <v>22353</v>
      </c>
      <c r="B8719" s="27" t="s">
        <v>22354</v>
      </c>
      <c r="C8719" s="27" t="s">
        <v>144</v>
      </c>
      <c r="D8719" s="26"/>
      <c r="E8719" s="27"/>
      <c r="F8719" s="27"/>
      <c r="G8719" s="27" t="s">
        <v>11122</v>
      </c>
      <c r="H8719" s="27" t="s">
        <v>35</v>
      </c>
      <c r="I8719" s="27" t="s">
        <v>39</v>
      </c>
      <c r="J8719" s="28" t="s">
        <v>856</v>
      </c>
      <c r="K8719" s="27" t="s">
        <v>38</v>
      </c>
      <c r="L8719" s="27"/>
    </row>
    <row r="8720" customFormat="false" ht="15" hidden="false" customHeight="false" outlineLevel="0" collapsed="false">
      <c r="A8720" s="26" t="s">
        <v>22355</v>
      </c>
      <c r="B8720" s="27" t="s">
        <v>22356</v>
      </c>
      <c r="C8720" s="27" t="s">
        <v>144</v>
      </c>
      <c r="D8720" s="26"/>
      <c r="E8720" s="27"/>
      <c r="F8720" s="27"/>
      <c r="G8720" s="27" t="s">
        <v>11122</v>
      </c>
      <c r="H8720" s="27" t="s">
        <v>35</v>
      </c>
      <c r="I8720" s="27" t="s">
        <v>39</v>
      </c>
      <c r="J8720" s="28" t="s">
        <v>856</v>
      </c>
      <c r="K8720" s="27" t="s">
        <v>38</v>
      </c>
      <c r="L8720" s="27"/>
    </row>
    <row r="8721" customFormat="false" ht="15" hidden="false" customHeight="false" outlineLevel="0" collapsed="false">
      <c r="A8721" s="26" t="s">
        <v>22357</v>
      </c>
      <c r="B8721" s="27" t="s">
        <v>22358</v>
      </c>
      <c r="C8721" s="27" t="s">
        <v>144</v>
      </c>
      <c r="D8721" s="26"/>
      <c r="E8721" s="27"/>
      <c r="F8721" s="27"/>
      <c r="G8721" s="27" t="s">
        <v>11122</v>
      </c>
      <c r="H8721" s="27" t="s">
        <v>35</v>
      </c>
      <c r="I8721" s="27" t="s">
        <v>39</v>
      </c>
      <c r="J8721" s="28" t="s">
        <v>856</v>
      </c>
      <c r="K8721" s="27" t="s">
        <v>38</v>
      </c>
      <c r="L8721" s="27"/>
    </row>
    <row r="8722" customFormat="false" ht="15" hidden="false" customHeight="false" outlineLevel="0" collapsed="false">
      <c r="A8722" s="26" t="s">
        <v>22359</v>
      </c>
      <c r="B8722" s="27" t="s">
        <v>22360</v>
      </c>
      <c r="C8722" s="27" t="s">
        <v>144</v>
      </c>
      <c r="D8722" s="26"/>
      <c r="E8722" s="27"/>
      <c r="F8722" s="27"/>
      <c r="G8722" s="27" t="s">
        <v>11122</v>
      </c>
      <c r="H8722" s="27" t="s">
        <v>35</v>
      </c>
      <c r="I8722" s="27" t="s">
        <v>39</v>
      </c>
      <c r="J8722" s="28" t="s">
        <v>856</v>
      </c>
      <c r="K8722" s="27" t="s">
        <v>38</v>
      </c>
      <c r="L8722" s="27"/>
    </row>
    <row r="8723" customFormat="false" ht="15" hidden="false" customHeight="false" outlineLevel="0" collapsed="false">
      <c r="A8723" s="26" t="s">
        <v>22361</v>
      </c>
      <c r="B8723" s="27" t="s">
        <v>22362</v>
      </c>
      <c r="C8723" s="27" t="s">
        <v>144</v>
      </c>
      <c r="D8723" s="26"/>
      <c r="E8723" s="27"/>
      <c r="F8723" s="27"/>
      <c r="G8723" s="27" t="s">
        <v>11122</v>
      </c>
      <c r="H8723" s="27" t="s">
        <v>35</v>
      </c>
      <c r="I8723" s="27" t="s">
        <v>37</v>
      </c>
      <c r="J8723" s="28" t="s">
        <v>856</v>
      </c>
      <c r="K8723" s="27" t="s">
        <v>38</v>
      </c>
      <c r="L8723" s="27"/>
    </row>
    <row r="8724" customFormat="false" ht="15" hidden="false" customHeight="false" outlineLevel="0" collapsed="false">
      <c r="A8724" s="26" t="s">
        <v>22363</v>
      </c>
      <c r="B8724" s="27" t="s">
        <v>22364</v>
      </c>
      <c r="C8724" s="27" t="s">
        <v>144</v>
      </c>
      <c r="D8724" s="26"/>
      <c r="E8724" s="27"/>
      <c r="F8724" s="27"/>
      <c r="G8724" s="27" t="s">
        <v>11122</v>
      </c>
      <c r="H8724" s="27" t="s">
        <v>35</v>
      </c>
      <c r="I8724" s="27" t="s">
        <v>37</v>
      </c>
      <c r="J8724" s="28" t="s">
        <v>856</v>
      </c>
      <c r="K8724" s="27" t="s">
        <v>38</v>
      </c>
      <c r="L8724" s="27"/>
    </row>
    <row r="8725" customFormat="false" ht="15" hidden="false" customHeight="false" outlineLevel="0" collapsed="false">
      <c r="A8725" s="26" t="s">
        <v>22365</v>
      </c>
      <c r="B8725" s="27" t="s">
        <v>22366</v>
      </c>
      <c r="C8725" s="27" t="s">
        <v>144</v>
      </c>
      <c r="D8725" s="26"/>
      <c r="E8725" s="27"/>
      <c r="F8725" s="27"/>
      <c r="G8725" s="27" t="s">
        <v>11122</v>
      </c>
      <c r="H8725" s="27" t="s">
        <v>35</v>
      </c>
      <c r="I8725" s="27" t="s">
        <v>41</v>
      </c>
      <c r="J8725" s="28" t="s">
        <v>856</v>
      </c>
      <c r="K8725" s="27" t="s">
        <v>38</v>
      </c>
      <c r="L8725" s="27"/>
    </row>
    <row r="8726" customFormat="false" ht="15" hidden="false" customHeight="false" outlineLevel="0" collapsed="false">
      <c r="A8726" s="26" t="s">
        <v>22367</v>
      </c>
      <c r="B8726" s="27" t="s">
        <v>22368</v>
      </c>
      <c r="C8726" s="27" t="s">
        <v>144</v>
      </c>
      <c r="D8726" s="26"/>
      <c r="E8726" s="27"/>
      <c r="F8726" s="27"/>
      <c r="G8726" s="27" t="s">
        <v>11122</v>
      </c>
      <c r="H8726" s="27" t="s">
        <v>35</v>
      </c>
      <c r="I8726" s="27" t="s">
        <v>37</v>
      </c>
      <c r="J8726" s="28" t="s">
        <v>856</v>
      </c>
      <c r="K8726" s="27" t="s">
        <v>38</v>
      </c>
      <c r="L8726" s="27"/>
    </row>
    <row r="8727" customFormat="false" ht="15" hidden="false" customHeight="false" outlineLevel="0" collapsed="false">
      <c r="A8727" s="26" t="s">
        <v>22369</v>
      </c>
      <c r="B8727" s="27" t="s">
        <v>22370</v>
      </c>
      <c r="C8727" s="27" t="s">
        <v>144</v>
      </c>
      <c r="D8727" s="26"/>
      <c r="E8727" s="27"/>
      <c r="F8727" s="27"/>
      <c r="G8727" s="27" t="s">
        <v>11122</v>
      </c>
      <c r="H8727" s="27" t="s">
        <v>35</v>
      </c>
      <c r="I8727" s="27" t="s">
        <v>37</v>
      </c>
      <c r="J8727" s="28" t="s">
        <v>856</v>
      </c>
      <c r="K8727" s="27" t="s">
        <v>38</v>
      </c>
      <c r="L8727" s="27"/>
    </row>
    <row r="8728" customFormat="false" ht="15" hidden="false" customHeight="false" outlineLevel="0" collapsed="false">
      <c r="A8728" s="26" t="s">
        <v>22371</v>
      </c>
      <c r="B8728" s="27" t="s">
        <v>22372</v>
      </c>
      <c r="C8728" s="27" t="s">
        <v>144</v>
      </c>
      <c r="D8728" s="26"/>
      <c r="E8728" s="27"/>
      <c r="F8728" s="27"/>
      <c r="G8728" s="27" t="s">
        <v>11122</v>
      </c>
      <c r="H8728" s="27" t="s">
        <v>35</v>
      </c>
      <c r="I8728" s="27" t="s">
        <v>38</v>
      </c>
      <c r="J8728" s="28" t="s">
        <v>856</v>
      </c>
      <c r="K8728" s="27" t="s">
        <v>38</v>
      </c>
      <c r="L8728" s="27"/>
    </row>
    <row r="8729" customFormat="false" ht="15" hidden="false" customHeight="false" outlineLevel="0" collapsed="false">
      <c r="A8729" s="26" t="s">
        <v>22373</v>
      </c>
      <c r="B8729" s="27" t="s">
        <v>22374</v>
      </c>
      <c r="C8729" s="27" t="s">
        <v>144</v>
      </c>
      <c r="D8729" s="26"/>
      <c r="E8729" s="27"/>
      <c r="F8729" s="27"/>
      <c r="G8729" s="27" t="s">
        <v>11122</v>
      </c>
      <c r="H8729" s="27" t="s">
        <v>35</v>
      </c>
      <c r="I8729" s="27" t="s">
        <v>40</v>
      </c>
      <c r="J8729" s="28" t="s">
        <v>856</v>
      </c>
      <c r="K8729" s="27" t="s">
        <v>38</v>
      </c>
      <c r="L8729" s="27"/>
    </row>
    <row r="8730" customFormat="false" ht="15" hidden="false" customHeight="false" outlineLevel="0" collapsed="false">
      <c r="A8730" s="26" t="s">
        <v>22375</v>
      </c>
      <c r="B8730" s="27" t="s">
        <v>22376</v>
      </c>
      <c r="C8730" s="27" t="s">
        <v>144</v>
      </c>
      <c r="D8730" s="26"/>
      <c r="E8730" s="27"/>
      <c r="F8730" s="27"/>
      <c r="G8730" s="27" t="s">
        <v>11122</v>
      </c>
      <c r="H8730" s="27" t="s">
        <v>35</v>
      </c>
      <c r="I8730" s="27" t="s">
        <v>40</v>
      </c>
      <c r="J8730" s="28" t="s">
        <v>856</v>
      </c>
      <c r="K8730" s="27" t="s">
        <v>38</v>
      </c>
      <c r="L8730" s="27"/>
    </row>
    <row r="8731" customFormat="false" ht="15" hidden="false" customHeight="false" outlineLevel="0" collapsed="false">
      <c r="A8731" s="26" t="s">
        <v>22377</v>
      </c>
      <c r="B8731" s="27" t="s">
        <v>22378</v>
      </c>
      <c r="C8731" s="27" t="s">
        <v>144</v>
      </c>
      <c r="D8731" s="26"/>
      <c r="E8731" s="27"/>
      <c r="F8731" s="27"/>
      <c r="G8731" s="27" t="s">
        <v>11122</v>
      </c>
      <c r="H8731" s="27" t="s">
        <v>35</v>
      </c>
      <c r="I8731" s="27" t="s">
        <v>42</v>
      </c>
      <c r="J8731" s="28" t="s">
        <v>856</v>
      </c>
      <c r="K8731" s="27" t="s">
        <v>38</v>
      </c>
      <c r="L8731" s="27"/>
    </row>
    <row r="8732" customFormat="false" ht="15" hidden="false" customHeight="false" outlineLevel="0" collapsed="false">
      <c r="A8732" s="26" t="s">
        <v>22379</v>
      </c>
      <c r="B8732" s="27" t="s">
        <v>22380</v>
      </c>
      <c r="C8732" s="27" t="s">
        <v>144</v>
      </c>
      <c r="D8732" s="26"/>
      <c r="E8732" s="27"/>
      <c r="F8732" s="27"/>
      <c r="G8732" s="27" t="s">
        <v>11122</v>
      </c>
      <c r="H8732" s="27" t="s">
        <v>35</v>
      </c>
      <c r="I8732" s="27" t="s">
        <v>42</v>
      </c>
      <c r="J8732" s="28" t="s">
        <v>856</v>
      </c>
      <c r="K8732" s="27" t="s">
        <v>38</v>
      </c>
      <c r="L8732" s="27"/>
    </row>
    <row r="8733" customFormat="false" ht="15" hidden="false" customHeight="false" outlineLevel="0" collapsed="false">
      <c r="A8733" s="26" t="s">
        <v>22381</v>
      </c>
      <c r="B8733" s="27" t="s">
        <v>22382</v>
      </c>
      <c r="C8733" s="27" t="s">
        <v>144</v>
      </c>
      <c r="D8733" s="26"/>
      <c r="E8733" s="27"/>
      <c r="F8733" s="27"/>
      <c r="G8733" s="27" t="s">
        <v>11122</v>
      </c>
      <c r="H8733" s="27" t="s">
        <v>35</v>
      </c>
      <c r="I8733" s="27" t="s">
        <v>38</v>
      </c>
      <c r="J8733" s="28" t="s">
        <v>856</v>
      </c>
      <c r="K8733" s="27" t="s">
        <v>38</v>
      </c>
      <c r="L8733" s="27"/>
    </row>
    <row r="8734" customFormat="false" ht="15" hidden="false" customHeight="false" outlineLevel="0" collapsed="false">
      <c r="A8734" s="26" t="s">
        <v>22383</v>
      </c>
      <c r="B8734" s="27" t="s">
        <v>22384</v>
      </c>
      <c r="C8734" s="27" t="s">
        <v>144</v>
      </c>
      <c r="D8734" s="26"/>
      <c r="E8734" s="27"/>
      <c r="F8734" s="27"/>
      <c r="G8734" s="27" t="s">
        <v>11122</v>
      </c>
      <c r="H8734" s="27" t="s">
        <v>35</v>
      </c>
      <c r="I8734" s="27" t="s">
        <v>1075</v>
      </c>
      <c r="J8734" s="28" t="s">
        <v>856</v>
      </c>
      <c r="K8734" s="27" t="s">
        <v>38</v>
      </c>
      <c r="L8734" s="27"/>
    </row>
    <row r="8735" customFormat="false" ht="15" hidden="false" customHeight="false" outlineLevel="0" collapsed="false">
      <c r="A8735" s="26" t="s">
        <v>22385</v>
      </c>
      <c r="B8735" s="27" t="s">
        <v>22386</v>
      </c>
      <c r="C8735" s="27" t="s">
        <v>144</v>
      </c>
      <c r="D8735" s="26"/>
      <c r="E8735" s="27"/>
      <c r="F8735" s="27"/>
      <c r="G8735" s="27" t="s">
        <v>11122</v>
      </c>
      <c r="H8735" s="27" t="s">
        <v>35</v>
      </c>
      <c r="I8735" s="27" t="s">
        <v>39</v>
      </c>
      <c r="J8735" s="28" t="s">
        <v>856</v>
      </c>
      <c r="K8735" s="27" t="s">
        <v>38</v>
      </c>
      <c r="L8735" s="27"/>
    </row>
    <row r="8736" customFormat="false" ht="15" hidden="false" customHeight="false" outlineLevel="0" collapsed="false">
      <c r="A8736" s="26" t="s">
        <v>22387</v>
      </c>
      <c r="B8736" s="27" t="s">
        <v>22388</v>
      </c>
      <c r="C8736" s="27" t="s">
        <v>144</v>
      </c>
      <c r="D8736" s="26"/>
      <c r="E8736" s="27"/>
      <c r="F8736" s="27"/>
      <c r="G8736" s="27" t="s">
        <v>11122</v>
      </c>
      <c r="H8736" s="27" t="s">
        <v>35</v>
      </c>
      <c r="I8736" s="27" t="s">
        <v>40</v>
      </c>
      <c r="J8736" s="28" t="s">
        <v>856</v>
      </c>
      <c r="K8736" s="27" t="s">
        <v>38</v>
      </c>
      <c r="L8736" s="27"/>
    </row>
    <row r="8737" customFormat="false" ht="15" hidden="false" customHeight="false" outlineLevel="0" collapsed="false">
      <c r="A8737" s="26" t="s">
        <v>22389</v>
      </c>
      <c r="B8737" s="27" t="s">
        <v>22390</v>
      </c>
      <c r="C8737" s="27" t="s">
        <v>144</v>
      </c>
      <c r="D8737" s="26"/>
      <c r="E8737" s="27"/>
      <c r="F8737" s="27"/>
      <c r="G8737" s="27" t="s">
        <v>11122</v>
      </c>
      <c r="H8737" s="27" t="s">
        <v>35</v>
      </c>
      <c r="I8737" s="27" t="s">
        <v>40</v>
      </c>
      <c r="J8737" s="28" t="s">
        <v>856</v>
      </c>
      <c r="K8737" s="27" t="s">
        <v>38</v>
      </c>
      <c r="L8737" s="27"/>
    </row>
    <row r="8738" customFormat="false" ht="15" hidden="false" customHeight="false" outlineLevel="0" collapsed="false">
      <c r="A8738" s="26" t="s">
        <v>22391</v>
      </c>
      <c r="B8738" s="27" t="s">
        <v>22392</v>
      </c>
      <c r="C8738" s="27" t="s">
        <v>144</v>
      </c>
      <c r="D8738" s="26"/>
      <c r="E8738" s="27"/>
      <c r="F8738" s="27"/>
      <c r="G8738" s="27" t="s">
        <v>11122</v>
      </c>
      <c r="H8738" s="27" t="s">
        <v>35</v>
      </c>
      <c r="I8738" s="27" t="s">
        <v>40</v>
      </c>
      <c r="J8738" s="28" t="s">
        <v>856</v>
      </c>
      <c r="K8738" s="27" t="s">
        <v>38</v>
      </c>
      <c r="L8738" s="27"/>
    </row>
    <row r="8739" customFormat="false" ht="15" hidden="false" customHeight="false" outlineLevel="0" collapsed="false">
      <c r="A8739" s="26" t="s">
        <v>22393</v>
      </c>
      <c r="B8739" s="27" t="s">
        <v>22394</v>
      </c>
      <c r="C8739" s="27" t="s">
        <v>144</v>
      </c>
      <c r="D8739" s="26"/>
      <c r="E8739" s="27"/>
      <c r="F8739" s="27"/>
      <c r="G8739" s="27" t="s">
        <v>11122</v>
      </c>
      <c r="H8739" s="27" t="s">
        <v>35</v>
      </c>
      <c r="I8739" s="27" t="s">
        <v>40</v>
      </c>
      <c r="J8739" s="28" t="s">
        <v>856</v>
      </c>
      <c r="K8739" s="27" t="s">
        <v>38</v>
      </c>
      <c r="L8739" s="27"/>
    </row>
    <row r="8740" customFormat="false" ht="15" hidden="false" customHeight="false" outlineLevel="0" collapsed="false">
      <c r="A8740" s="26" t="s">
        <v>22395</v>
      </c>
      <c r="B8740" s="27" t="s">
        <v>22396</v>
      </c>
      <c r="C8740" s="27" t="s">
        <v>144</v>
      </c>
      <c r="D8740" s="26"/>
      <c r="E8740" s="27"/>
      <c r="F8740" s="27"/>
      <c r="G8740" s="27" t="s">
        <v>11122</v>
      </c>
      <c r="H8740" s="27" t="s">
        <v>35</v>
      </c>
      <c r="I8740" s="27" t="s">
        <v>41</v>
      </c>
      <c r="J8740" s="28" t="s">
        <v>856</v>
      </c>
      <c r="K8740" s="27" t="s">
        <v>38</v>
      </c>
      <c r="L8740" s="27"/>
    </row>
    <row r="8741" customFormat="false" ht="15" hidden="false" customHeight="false" outlineLevel="0" collapsed="false">
      <c r="A8741" s="26" t="s">
        <v>22397</v>
      </c>
      <c r="B8741" s="27" t="s">
        <v>22398</v>
      </c>
      <c r="C8741" s="27" t="s">
        <v>144</v>
      </c>
      <c r="D8741" s="26"/>
      <c r="E8741" s="27"/>
      <c r="F8741" s="27"/>
      <c r="G8741" s="27" t="s">
        <v>11122</v>
      </c>
      <c r="H8741" s="27" t="s">
        <v>35</v>
      </c>
      <c r="I8741" s="27" t="s">
        <v>41</v>
      </c>
      <c r="J8741" s="28" t="s">
        <v>856</v>
      </c>
      <c r="K8741" s="27" t="s">
        <v>38</v>
      </c>
      <c r="L8741" s="27"/>
    </row>
    <row r="8742" customFormat="false" ht="15" hidden="false" customHeight="false" outlineLevel="0" collapsed="false">
      <c r="A8742" s="26" t="s">
        <v>22399</v>
      </c>
      <c r="B8742" s="27" t="s">
        <v>22400</v>
      </c>
      <c r="C8742" s="27" t="s">
        <v>144</v>
      </c>
      <c r="D8742" s="26"/>
      <c r="E8742" s="27"/>
      <c r="F8742" s="27"/>
      <c r="G8742" s="27" t="s">
        <v>11122</v>
      </c>
      <c r="H8742" s="27" t="s">
        <v>35</v>
      </c>
      <c r="I8742" s="27" t="s">
        <v>37</v>
      </c>
      <c r="J8742" s="28" t="s">
        <v>856</v>
      </c>
      <c r="K8742" s="27" t="s">
        <v>38</v>
      </c>
      <c r="L8742" s="27"/>
    </row>
    <row r="8743" customFormat="false" ht="15" hidden="false" customHeight="false" outlineLevel="0" collapsed="false">
      <c r="A8743" s="26" t="s">
        <v>22401</v>
      </c>
      <c r="B8743" s="27" t="s">
        <v>22402</v>
      </c>
      <c r="C8743" s="27" t="s">
        <v>144</v>
      </c>
      <c r="D8743" s="26"/>
      <c r="E8743" s="27"/>
      <c r="F8743" s="27"/>
      <c r="G8743" s="27" t="s">
        <v>11122</v>
      </c>
      <c r="H8743" s="27" t="s">
        <v>35</v>
      </c>
      <c r="I8743" s="27" t="s">
        <v>41</v>
      </c>
      <c r="J8743" s="28" t="s">
        <v>856</v>
      </c>
      <c r="K8743" s="27" t="s">
        <v>38</v>
      </c>
      <c r="L8743" s="27"/>
    </row>
    <row r="8744" customFormat="false" ht="15" hidden="false" customHeight="false" outlineLevel="0" collapsed="false">
      <c r="A8744" s="26" t="s">
        <v>22403</v>
      </c>
      <c r="B8744" s="27" t="s">
        <v>22404</v>
      </c>
      <c r="C8744" s="27" t="s">
        <v>144</v>
      </c>
      <c r="D8744" s="26"/>
      <c r="E8744" s="27"/>
      <c r="F8744" s="27"/>
      <c r="G8744" s="27" t="s">
        <v>11122</v>
      </c>
      <c r="H8744" s="27" t="s">
        <v>35</v>
      </c>
      <c r="I8744" s="27" t="s">
        <v>37</v>
      </c>
      <c r="J8744" s="28" t="s">
        <v>856</v>
      </c>
      <c r="K8744" s="27" t="s">
        <v>38</v>
      </c>
      <c r="L8744" s="27"/>
    </row>
    <row r="8745" customFormat="false" ht="15" hidden="false" customHeight="false" outlineLevel="0" collapsed="false">
      <c r="A8745" s="26" t="s">
        <v>22405</v>
      </c>
      <c r="B8745" s="27" t="s">
        <v>22406</v>
      </c>
      <c r="C8745" s="27" t="s">
        <v>144</v>
      </c>
      <c r="D8745" s="26"/>
      <c r="E8745" s="27"/>
      <c r="F8745" s="27"/>
      <c r="G8745" s="27" t="s">
        <v>11122</v>
      </c>
      <c r="H8745" s="27" t="s">
        <v>35</v>
      </c>
      <c r="I8745" s="27" t="s">
        <v>42</v>
      </c>
      <c r="J8745" s="28" t="s">
        <v>856</v>
      </c>
      <c r="K8745" s="27" t="s">
        <v>38</v>
      </c>
      <c r="L8745" s="27"/>
    </row>
    <row r="8746" customFormat="false" ht="15" hidden="false" customHeight="false" outlineLevel="0" collapsed="false">
      <c r="A8746" s="26" t="s">
        <v>22407</v>
      </c>
      <c r="B8746" s="27" t="s">
        <v>22408</v>
      </c>
      <c r="C8746" s="27" t="s">
        <v>144</v>
      </c>
      <c r="D8746" s="26"/>
      <c r="E8746" s="27"/>
      <c r="F8746" s="27"/>
      <c r="G8746" s="27" t="s">
        <v>11122</v>
      </c>
      <c r="H8746" s="27" t="s">
        <v>35</v>
      </c>
      <c r="I8746" s="27" t="s">
        <v>37</v>
      </c>
      <c r="J8746" s="28" t="s">
        <v>856</v>
      </c>
      <c r="K8746" s="27" t="s">
        <v>38</v>
      </c>
      <c r="L8746" s="27"/>
    </row>
    <row r="8747" customFormat="false" ht="15" hidden="false" customHeight="false" outlineLevel="0" collapsed="false">
      <c r="A8747" s="26" t="s">
        <v>22409</v>
      </c>
      <c r="B8747" s="27" t="s">
        <v>22410</v>
      </c>
      <c r="C8747" s="27" t="s">
        <v>144</v>
      </c>
      <c r="D8747" s="26"/>
      <c r="E8747" s="27"/>
      <c r="F8747" s="27"/>
      <c r="G8747" s="27" t="s">
        <v>11122</v>
      </c>
      <c r="H8747" s="27" t="s">
        <v>35</v>
      </c>
      <c r="I8747" s="27" t="s">
        <v>37</v>
      </c>
      <c r="J8747" s="28" t="s">
        <v>856</v>
      </c>
      <c r="K8747" s="27" t="s">
        <v>38</v>
      </c>
      <c r="L8747" s="27"/>
    </row>
    <row r="8748" customFormat="false" ht="15" hidden="false" customHeight="false" outlineLevel="0" collapsed="false">
      <c r="A8748" s="26" t="s">
        <v>22411</v>
      </c>
      <c r="B8748" s="27" t="s">
        <v>22412</v>
      </c>
      <c r="C8748" s="27" t="s">
        <v>144</v>
      </c>
      <c r="D8748" s="26"/>
      <c r="E8748" s="27"/>
      <c r="F8748" s="27"/>
      <c r="G8748" s="27" t="s">
        <v>11122</v>
      </c>
      <c r="H8748" s="27" t="s">
        <v>35</v>
      </c>
      <c r="I8748" s="27" t="s">
        <v>37</v>
      </c>
      <c r="J8748" s="28" t="s">
        <v>856</v>
      </c>
      <c r="K8748" s="27" t="s">
        <v>38</v>
      </c>
      <c r="L8748" s="27"/>
    </row>
    <row r="8749" customFormat="false" ht="15" hidden="false" customHeight="false" outlineLevel="0" collapsed="false">
      <c r="A8749" s="26" t="s">
        <v>22413</v>
      </c>
      <c r="B8749" s="27" t="s">
        <v>22414</v>
      </c>
      <c r="C8749" s="27" t="s">
        <v>144</v>
      </c>
      <c r="D8749" s="26"/>
      <c r="E8749" s="27"/>
      <c r="F8749" s="27"/>
      <c r="G8749" s="27" t="s">
        <v>11122</v>
      </c>
      <c r="H8749" s="27" t="s">
        <v>35</v>
      </c>
      <c r="I8749" s="27" t="s">
        <v>40</v>
      </c>
      <c r="J8749" s="28" t="s">
        <v>856</v>
      </c>
      <c r="K8749" s="27" t="s">
        <v>38</v>
      </c>
      <c r="L8749" s="27"/>
    </row>
    <row r="8750" customFormat="false" ht="15" hidden="false" customHeight="false" outlineLevel="0" collapsed="false">
      <c r="A8750" s="26" t="s">
        <v>22415</v>
      </c>
      <c r="B8750" s="27" t="s">
        <v>22416</v>
      </c>
      <c r="C8750" s="27" t="s">
        <v>144</v>
      </c>
      <c r="D8750" s="26"/>
      <c r="E8750" s="27"/>
      <c r="F8750" s="27"/>
      <c r="G8750" s="27" t="s">
        <v>11122</v>
      </c>
      <c r="H8750" s="27" t="s">
        <v>35</v>
      </c>
      <c r="I8750" s="27" t="s">
        <v>37</v>
      </c>
      <c r="J8750" s="28" t="s">
        <v>856</v>
      </c>
      <c r="K8750" s="27" t="s">
        <v>38</v>
      </c>
      <c r="L8750" s="27"/>
    </row>
    <row r="8751" customFormat="false" ht="15" hidden="false" customHeight="false" outlineLevel="0" collapsed="false">
      <c r="A8751" s="26" t="s">
        <v>22417</v>
      </c>
      <c r="B8751" s="27" t="s">
        <v>22418</v>
      </c>
      <c r="C8751" s="27" t="s">
        <v>144</v>
      </c>
      <c r="D8751" s="26"/>
      <c r="E8751" s="27"/>
      <c r="F8751" s="27"/>
      <c r="G8751" s="27" t="s">
        <v>11122</v>
      </c>
      <c r="H8751" s="27" t="s">
        <v>35</v>
      </c>
      <c r="I8751" s="27" t="s">
        <v>41</v>
      </c>
      <c r="J8751" s="28" t="s">
        <v>856</v>
      </c>
      <c r="K8751" s="27" t="s">
        <v>38</v>
      </c>
      <c r="L8751" s="27"/>
    </row>
    <row r="8752" customFormat="false" ht="15" hidden="false" customHeight="false" outlineLevel="0" collapsed="false">
      <c r="A8752" s="26" t="s">
        <v>22419</v>
      </c>
      <c r="B8752" s="27" t="s">
        <v>22420</v>
      </c>
      <c r="C8752" s="27" t="s">
        <v>144</v>
      </c>
      <c r="D8752" s="26"/>
      <c r="E8752" s="27"/>
      <c r="F8752" s="27"/>
      <c r="G8752" s="27" t="s">
        <v>11122</v>
      </c>
      <c r="H8752" s="27" t="s">
        <v>35</v>
      </c>
      <c r="I8752" s="27" t="s">
        <v>41</v>
      </c>
      <c r="J8752" s="28" t="s">
        <v>856</v>
      </c>
      <c r="K8752" s="27" t="s">
        <v>38</v>
      </c>
      <c r="L8752" s="27"/>
    </row>
    <row r="8753" customFormat="false" ht="15" hidden="false" customHeight="false" outlineLevel="0" collapsed="false">
      <c r="A8753" s="26" t="s">
        <v>22421</v>
      </c>
      <c r="B8753" s="27" t="s">
        <v>22422</v>
      </c>
      <c r="C8753" s="27" t="s">
        <v>144</v>
      </c>
      <c r="D8753" s="26"/>
      <c r="E8753" s="27"/>
      <c r="F8753" s="27"/>
      <c r="G8753" s="27" t="s">
        <v>11122</v>
      </c>
      <c r="H8753" s="27" t="s">
        <v>35</v>
      </c>
      <c r="I8753" s="27" t="s">
        <v>37</v>
      </c>
      <c r="J8753" s="28" t="s">
        <v>856</v>
      </c>
      <c r="K8753" s="27" t="s">
        <v>38</v>
      </c>
      <c r="L8753" s="27"/>
    </row>
    <row r="8754" customFormat="false" ht="15" hidden="false" customHeight="false" outlineLevel="0" collapsed="false">
      <c r="A8754" s="26" t="s">
        <v>22423</v>
      </c>
      <c r="B8754" s="27" t="s">
        <v>22424</v>
      </c>
      <c r="C8754" s="27" t="s">
        <v>144</v>
      </c>
      <c r="D8754" s="26"/>
      <c r="E8754" s="27"/>
      <c r="F8754" s="27"/>
      <c r="G8754" s="27" t="s">
        <v>11122</v>
      </c>
      <c r="H8754" s="27" t="s">
        <v>35</v>
      </c>
      <c r="I8754" s="27" t="s">
        <v>37</v>
      </c>
      <c r="J8754" s="28" t="s">
        <v>856</v>
      </c>
      <c r="K8754" s="27" t="s">
        <v>38</v>
      </c>
      <c r="L8754" s="27"/>
    </row>
    <row r="8755" customFormat="false" ht="15" hidden="false" customHeight="false" outlineLevel="0" collapsed="false">
      <c r="A8755" s="26" t="s">
        <v>22425</v>
      </c>
      <c r="B8755" s="27" t="s">
        <v>22426</v>
      </c>
      <c r="C8755" s="27" t="s">
        <v>144</v>
      </c>
      <c r="D8755" s="26"/>
      <c r="E8755" s="27"/>
      <c r="F8755" s="27"/>
      <c r="G8755" s="27" t="s">
        <v>11122</v>
      </c>
      <c r="H8755" s="27" t="s">
        <v>35</v>
      </c>
      <c r="I8755" s="27" t="s">
        <v>37</v>
      </c>
      <c r="J8755" s="28" t="s">
        <v>856</v>
      </c>
      <c r="K8755" s="27" t="s">
        <v>38</v>
      </c>
      <c r="L8755" s="27"/>
    </row>
    <row r="8756" customFormat="false" ht="15" hidden="false" customHeight="false" outlineLevel="0" collapsed="false">
      <c r="A8756" s="26" t="s">
        <v>22427</v>
      </c>
      <c r="B8756" s="27" t="s">
        <v>22428</v>
      </c>
      <c r="C8756" s="27" t="s">
        <v>144</v>
      </c>
      <c r="D8756" s="26"/>
      <c r="E8756" s="27"/>
      <c r="F8756" s="27"/>
      <c r="G8756" s="27" t="s">
        <v>11122</v>
      </c>
      <c r="H8756" s="27" t="s">
        <v>35</v>
      </c>
      <c r="I8756" s="27" t="s">
        <v>37</v>
      </c>
      <c r="J8756" s="28" t="s">
        <v>856</v>
      </c>
      <c r="K8756" s="27" t="s">
        <v>38</v>
      </c>
      <c r="L8756" s="27"/>
    </row>
    <row r="8757" customFormat="false" ht="15" hidden="false" customHeight="false" outlineLevel="0" collapsed="false">
      <c r="A8757" s="26" t="s">
        <v>22429</v>
      </c>
      <c r="B8757" s="27" t="s">
        <v>22430</v>
      </c>
      <c r="C8757" s="27" t="s">
        <v>144</v>
      </c>
      <c r="D8757" s="26"/>
      <c r="E8757" s="27"/>
      <c r="F8757" s="27"/>
      <c r="G8757" s="27" t="s">
        <v>11122</v>
      </c>
      <c r="H8757" s="27" t="s">
        <v>35</v>
      </c>
      <c r="I8757" s="27" t="s">
        <v>37</v>
      </c>
      <c r="J8757" s="28" t="s">
        <v>856</v>
      </c>
      <c r="K8757" s="27" t="s">
        <v>38</v>
      </c>
      <c r="L8757" s="27"/>
    </row>
    <row r="8758" customFormat="false" ht="15" hidden="false" customHeight="false" outlineLevel="0" collapsed="false">
      <c r="A8758" s="26" t="s">
        <v>22431</v>
      </c>
      <c r="B8758" s="27" t="s">
        <v>22432</v>
      </c>
      <c r="C8758" s="27" t="s">
        <v>144</v>
      </c>
      <c r="D8758" s="26"/>
      <c r="E8758" s="27"/>
      <c r="F8758" s="27"/>
      <c r="G8758" s="27" t="s">
        <v>11122</v>
      </c>
      <c r="H8758" s="27" t="s">
        <v>35</v>
      </c>
      <c r="I8758" s="27" t="s">
        <v>37</v>
      </c>
      <c r="J8758" s="28" t="s">
        <v>856</v>
      </c>
      <c r="K8758" s="27" t="s">
        <v>38</v>
      </c>
      <c r="L8758" s="27"/>
    </row>
    <row r="8759" customFormat="false" ht="15" hidden="false" customHeight="false" outlineLevel="0" collapsed="false">
      <c r="A8759" s="26" t="s">
        <v>22433</v>
      </c>
      <c r="B8759" s="27" t="s">
        <v>22434</v>
      </c>
      <c r="C8759" s="27" t="s">
        <v>144</v>
      </c>
      <c r="D8759" s="26"/>
      <c r="E8759" s="27"/>
      <c r="F8759" s="27"/>
      <c r="G8759" s="27" t="s">
        <v>11122</v>
      </c>
      <c r="H8759" s="27" t="s">
        <v>35</v>
      </c>
      <c r="I8759" s="27" t="s">
        <v>37</v>
      </c>
      <c r="J8759" s="28" t="s">
        <v>856</v>
      </c>
      <c r="K8759" s="27" t="s">
        <v>38</v>
      </c>
      <c r="L8759" s="27"/>
    </row>
    <row r="8760" customFormat="false" ht="15" hidden="false" customHeight="false" outlineLevel="0" collapsed="false">
      <c r="A8760" s="26" t="s">
        <v>22435</v>
      </c>
      <c r="B8760" s="27" t="s">
        <v>22436</v>
      </c>
      <c r="C8760" s="27" t="s">
        <v>144</v>
      </c>
      <c r="D8760" s="26"/>
      <c r="E8760" s="27"/>
      <c r="F8760" s="27"/>
      <c r="G8760" s="27" t="s">
        <v>11122</v>
      </c>
      <c r="H8760" s="27" t="s">
        <v>35</v>
      </c>
      <c r="I8760" s="27" t="s">
        <v>37</v>
      </c>
      <c r="J8760" s="28" t="s">
        <v>856</v>
      </c>
      <c r="K8760" s="27" t="s">
        <v>38</v>
      </c>
      <c r="L8760" s="27"/>
    </row>
    <row r="8761" customFormat="false" ht="15" hidden="false" customHeight="false" outlineLevel="0" collapsed="false">
      <c r="A8761" s="26" t="s">
        <v>22437</v>
      </c>
      <c r="B8761" s="27" t="s">
        <v>22438</v>
      </c>
      <c r="C8761" s="27" t="s">
        <v>144</v>
      </c>
      <c r="D8761" s="26"/>
      <c r="E8761" s="27"/>
      <c r="F8761" s="27"/>
      <c r="G8761" s="27" t="s">
        <v>11122</v>
      </c>
      <c r="H8761" s="27" t="s">
        <v>35</v>
      </c>
      <c r="I8761" s="27" t="s">
        <v>37</v>
      </c>
      <c r="J8761" s="28" t="s">
        <v>856</v>
      </c>
      <c r="K8761" s="27" t="s">
        <v>38</v>
      </c>
      <c r="L8761" s="27"/>
    </row>
    <row r="8762" customFormat="false" ht="15" hidden="false" customHeight="false" outlineLevel="0" collapsed="false">
      <c r="A8762" s="26" t="s">
        <v>22439</v>
      </c>
      <c r="B8762" s="27" t="s">
        <v>22440</v>
      </c>
      <c r="C8762" s="27" t="s">
        <v>144</v>
      </c>
      <c r="D8762" s="26"/>
      <c r="E8762" s="27"/>
      <c r="F8762" s="27"/>
      <c r="G8762" s="27" t="s">
        <v>11122</v>
      </c>
      <c r="H8762" s="27" t="s">
        <v>35</v>
      </c>
      <c r="I8762" s="28" t="s">
        <v>46</v>
      </c>
      <c r="J8762" s="28" t="s">
        <v>856</v>
      </c>
      <c r="K8762" s="27" t="s">
        <v>38</v>
      </c>
      <c r="L8762" s="27"/>
    </row>
    <row r="8763" customFormat="false" ht="15" hidden="false" customHeight="false" outlineLevel="0" collapsed="false">
      <c r="A8763" s="26" t="s">
        <v>22441</v>
      </c>
      <c r="B8763" s="27" t="s">
        <v>22442</v>
      </c>
      <c r="C8763" s="27" t="s">
        <v>144</v>
      </c>
      <c r="D8763" s="26"/>
      <c r="E8763" s="27"/>
      <c r="F8763" s="27"/>
      <c r="G8763" s="27" t="s">
        <v>11122</v>
      </c>
      <c r="H8763" s="27" t="s">
        <v>35</v>
      </c>
      <c r="I8763" s="27" t="s">
        <v>37</v>
      </c>
      <c r="J8763" s="28" t="s">
        <v>856</v>
      </c>
      <c r="K8763" s="27" t="s">
        <v>38</v>
      </c>
      <c r="L8763" s="27"/>
    </row>
    <row r="8764" customFormat="false" ht="15" hidden="false" customHeight="false" outlineLevel="0" collapsed="false">
      <c r="A8764" s="26" t="s">
        <v>22443</v>
      </c>
      <c r="B8764" s="27" t="s">
        <v>22444</v>
      </c>
      <c r="C8764" s="27" t="s">
        <v>144</v>
      </c>
      <c r="D8764" s="26"/>
      <c r="E8764" s="27"/>
      <c r="F8764" s="27"/>
      <c r="G8764" s="27" t="s">
        <v>11122</v>
      </c>
      <c r="H8764" s="27" t="s">
        <v>35</v>
      </c>
      <c r="I8764" s="27" t="s">
        <v>41</v>
      </c>
      <c r="J8764" s="28" t="s">
        <v>856</v>
      </c>
      <c r="K8764" s="27" t="s">
        <v>38</v>
      </c>
      <c r="L8764" s="27"/>
    </row>
    <row r="8765" customFormat="false" ht="15" hidden="false" customHeight="false" outlineLevel="0" collapsed="false">
      <c r="A8765" s="26" t="s">
        <v>22445</v>
      </c>
      <c r="B8765" s="27" t="s">
        <v>22446</v>
      </c>
      <c r="C8765" s="27" t="s">
        <v>144</v>
      </c>
      <c r="D8765" s="26"/>
      <c r="E8765" s="27"/>
      <c r="F8765" s="27"/>
      <c r="G8765" s="27" t="s">
        <v>11122</v>
      </c>
      <c r="H8765" s="27" t="s">
        <v>35</v>
      </c>
      <c r="I8765" s="28" t="s">
        <v>46</v>
      </c>
      <c r="J8765" s="28" t="s">
        <v>856</v>
      </c>
      <c r="K8765" s="27" t="s">
        <v>38</v>
      </c>
      <c r="L8765" s="27"/>
    </row>
    <row r="8766" customFormat="false" ht="15" hidden="false" customHeight="false" outlineLevel="0" collapsed="false">
      <c r="A8766" s="26" t="s">
        <v>22447</v>
      </c>
      <c r="B8766" s="27" t="s">
        <v>22448</v>
      </c>
      <c r="C8766" s="27" t="s">
        <v>144</v>
      </c>
      <c r="D8766" s="26"/>
      <c r="E8766" s="27"/>
      <c r="F8766" s="27"/>
      <c r="G8766" s="27" t="s">
        <v>11122</v>
      </c>
      <c r="H8766" s="27" t="s">
        <v>35</v>
      </c>
      <c r="I8766" s="27" t="s">
        <v>41</v>
      </c>
      <c r="J8766" s="28" t="s">
        <v>856</v>
      </c>
      <c r="K8766" s="27" t="s">
        <v>38</v>
      </c>
      <c r="L8766" s="27"/>
    </row>
    <row r="8767" customFormat="false" ht="15" hidden="false" customHeight="false" outlineLevel="0" collapsed="false">
      <c r="A8767" s="26" t="s">
        <v>22449</v>
      </c>
      <c r="B8767" s="27" t="s">
        <v>22450</v>
      </c>
      <c r="C8767" s="27" t="s">
        <v>144</v>
      </c>
      <c r="D8767" s="26"/>
      <c r="E8767" s="27"/>
      <c r="F8767" s="27"/>
      <c r="G8767" s="27" t="s">
        <v>11122</v>
      </c>
      <c r="H8767" s="27" t="s">
        <v>35</v>
      </c>
      <c r="I8767" s="27" t="s">
        <v>39</v>
      </c>
      <c r="J8767" s="28" t="s">
        <v>856</v>
      </c>
      <c r="K8767" s="27" t="s">
        <v>38</v>
      </c>
      <c r="L8767" s="27"/>
    </row>
    <row r="8768" customFormat="false" ht="15" hidden="false" customHeight="false" outlineLevel="0" collapsed="false">
      <c r="A8768" s="26" t="s">
        <v>22451</v>
      </c>
      <c r="B8768" s="27" t="s">
        <v>22452</v>
      </c>
      <c r="C8768" s="27" t="s">
        <v>144</v>
      </c>
      <c r="D8768" s="26"/>
      <c r="E8768" s="27"/>
      <c r="F8768" s="27"/>
      <c r="G8768" s="27" t="s">
        <v>11122</v>
      </c>
      <c r="H8768" s="27" t="s">
        <v>35</v>
      </c>
      <c r="I8768" s="27" t="s">
        <v>37</v>
      </c>
      <c r="J8768" s="28" t="s">
        <v>856</v>
      </c>
      <c r="K8768" s="27" t="s">
        <v>38</v>
      </c>
      <c r="L8768" s="27"/>
    </row>
    <row r="8769" customFormat="false" ht="15" hidden="false" customHeight="false" outlineLevel="0" collapsed="false">
      <c r="A8769" s="26" t="s">
        <v>22453</v>
      </c>
      <c r="B8769" s="27" t="s">
        <v>22454</v>
      </c>
      <c r="C8769" s="27" t="s">
        <v>144</v>
      </c>
      <c r="D8769" s="26"/>
      <c r="E8769" s="27"/>
      <c r="F8769" s="27"/>
      <c r="G8769" s="27" t="s">
        <v>11122</v>
      </c>
      <c r="H8769" s="27" t="s">
        <v>35</v>
      </c>
      <c r="I8769" s="27" t="s">
        <v>37</v>
      </c>
      <c r="J8769" s="28" t="s">
        <v>856</v>
      </c>
      <c r="K8769" s="27" t="s">
        <v>38</v>
      </c>
      <c r="L8769" s="27"/>
    </row>
    <row r="8770" customFormat="false" ht="15" hidden="false" customHeight="false" outlineLevel="0" collapsed="false">
      <c r="A8770" s="26" t="s">
        <v>22455</v>
      </c>
      <c r="B8770" s="27" t="s">
        <v>22456</v>
      </c>
      <c r="C8770" s="27" t="s">
        <v>144</v>
      </c>
      <c r="D8770" s="26"/>
      <c r="E8770" s="27"/>
      <c r="F8770" s="27"/>
      <c r="G8770" s="27" t="s">
        <v>11122</v>
      </c>
      <c r="H8770" s="27" t="s">
        <v>35</v>
      </c>
      <c r="I8770" s="27" t="s">
        <v>41</v>
      </c>
      <c r="J8770" s="28" t="s">
        <v>856</v>
      </c>
      <c r="K8770" s="27" t="s">
        <v>38</v>
      </c>
      <c r="L8770" s="27"/>
    </row>
    <row r="8771" customFormat="false" ht="15" hidden="false" customHeight="false" outlineLevel="0" collapsed="false">
      <c r="A8771" s="26" t="s">
        <v>22457</v>
      </c>
      <c r="B8771" s="27" t="s">
        <v>22458</v>
      </c>
      <c r="C8771" s="27" t="s">
        <v>144</v>
      </c>
      <c r="D8771" s="26"/>
      <c r="E8771" s="27"/>
      <c r="F8771" s="27"/>
      <c r="G8771" s="27" t="s">
        <v>11122</v>
      </c>
      <c r="H8771" s="27" t="s">
        <v>35</v>
      </c>
      <c r="I8771" s="27" t="s">
        <v>41</v>
      </c>
      <c r="J8771" s="28" t="s">
        <v>856</v>
      </c>
      <c r="K8771" s="27" t="s">
        <v>38</v>
      </c>
      <c r="L8771" s="27"/>
    </row>
    <row r="8772" customFormat="false" ht="15" hidden="false" customHeight="false" outlineLevel="0" collapsed="false">
      <c r="A8772" s="26" t="s">
        <v>22459</v>
      </c>
      <c r="B8772" s="27" t="s">
        <v>22460</v>
      </c>
      <c r="C8772" s="27" t="s">
        <v>144</v>
      </c>
      <c r="D8772" s="26"/>
      <c r="E8772" s="27"/>
      <c r="F8772" s="27"/>
      <c r="G8772" s="27" t="s">
        <v>11122</v>
      </c>
      <c r="H8772" s="27" t="s">
        <v>35</v>
      </c>
      <c r="I8772" s="27" t="s">
        <v>37</v>
      </c>
      <c r="J8772" s="28" t="s">
        <v>856</v>
      </c>
      <c r="K8772" s="27" t="s">
        <v>38</v>
      </c>
      <c r="L8772" s="27"/>
    </row>
    <row r="8773" customFormat="false" ht="15" hidden="false" customHeight="false" outlineLevel="0" collapsed="false">
      <c r="A8773" s="26" t="s">
        <v>22461</v>
      </c>
      <c r="B8773" s="27" t="s">
        <v>22462</v>
      </c>
      <c r="C8773" s="27" t="s">
        <v>144</v>
      </c>
      <c r="D8773" s="26"/>
      <c r="E8773" s="27"/>
      <c r="F8773" s="27"/>
      <c r="G8773" s="27" t="s">
        <v>11122</v>
      </c>
      <c r="H8773" s="27" t="s">
        <v>35</v>
      </c>
      <c r="I8773" s="27" t="s">
        <v>43</v>
      </c>
      <c r="J8773" s="28" t="s">
        <v>856</v>
      </c>
      <c r="K8773" s="27" t="s">
        <v>38</v>
      </c>
      <c r="L8773" s="27"/>
    </row>
    <row r="8774" customFormat="false" ht="15" hidden="false" customHeight="false" outlineLevel="0" collapsed="false">
      <c r="A8774" s="26" t="s">
        <v>22463</v>
      </c>
      <c r="B8774" s="27" t="s">
        <v>22464</v>
      </c>
      <c r="C8774" s="27" t="s">
        <v>144</v>
      </c>
      <c r="D8774" s="26"/>
      <c r="E8774" s="27"/>
      <c r="F8774" s="27"/>
      <c r="G8774" s="27" t="s">
        <v>11122</v>
      </c>
      <c r="H8774" s="27" t="s">
        <v>35</v>
      </c>
      <c r="I8774" s="27" t="s">
        <v>47</v>
      </c>
      <c r="J8774" s="28" t="s">
        <v>856</v>
      </c>
      <c r="K8774" s="27" t="s">
        <v>38</v>
      </c>
      <c r="L8774" s="27"/>
    </row>
    <row r="8775" customFormat="false" ht="15" hidden="false" customHeight="false" outlineLevel="0" collapsed="false">
      <c r="A8775" s="26" t="s">
        <v>22465</v>
      </c>
      <c r="B8775" s="27" t="s">
        <v>22466</v>
      </c>
      <c r="C8775" s="27" t="s">
        <v>144</v>
      </c>
      <c r="D8775" s="26"/>
      <c r="E8775" s="27"/>
      <c r="F8775" s="27"/>
      <c r="G8775" s="27" t="s">
        <v>11122</v>
      </c>
      <c r="H8775" s="27" t="s">
        <v>35</v>
      </c>
      <c r="I8775" s="27" t="s">
        <v>37</v>
      </c>
      <c r="J8775" s="28" t="s">
        <v>856</v>
      </c>
      <c r="K8775" s="27" t="s">
        <v>38</v>
      </c>
      <c r="L8775" s="27"/>
    </row>
    <row r="8776" customFormat="false" ht="15" hidden="false" customHeight="false" outlineLevel="0" collapsed="false">
      <c r="A8776" s="26" t="s">
        <v>22467</v>
      </c>
      <c r="B8776" s="27" t="s">
        <v>22468</v>
      </c>
      <c r="C8776" s="27" t="s">
        <v>144</v>
      </c>
      <c r="D8776" s="26"/>
      <c r="E8776" s="27"/>
      <c r="F8776" s="27"/>
      <c r="G8776" s="27" t="s">
        <v>11122</v>
      </c>
      <c r="H8776" s="27" t="s">
        <v>35</v>
      </c>
      <c r="I8776" s="27" t="s">
        <v>43</v>
      </c>
      <c r="J8776" s="28" t="s">
        <v>856</v>
      </c>
      <c r="K8776" s="27" t="s">
        <v>38</v>
      </c>
      <c r="L8776" s="27"/>
    </row>
    <row r="8777" customFormat="false" ht="15" hidden="false" customHeight="false" outlineLevel="0" collapsed="false">
      <c r="A8777" s="26" t="s">
        <v>22469</v>
      </c>
      <c r="B8777" s="27" t="s">
        <v>22470</v>
      </c>
      <c r="C8777" s="27" t="s">
        <v>144</v>
      </c>
      <c r="D8777" s="26"/>
      <c r="E8777" s="27"/>
      <c r="F8777" s="27"/>
      <c r="G8777" s="27" t="s">
        <v>11122</v>
      </c>
      <c r="H8777" s="27" t="s">
        <v>35</v>
      </c>
      <c r="I8777" s="27" t="s">
        <v>37</v>
      </c>
      <c r="J8777" s="28" t="s">
        <v>856</v>
      </c>
      <c r="K8777" s="27" t="s">
        <v>38</v>
      </c>
      <c r="L8777" s="27"/>
    </row>
    <row r="8778" customFormat="false" ht="15" hidden="false" customHeight="false" outlineLevel="0" collapsed="false">
      <c r="A8778" s="26" t="s">
        <v>22471</v>
      </c>
      <c r="B8778" s="27" t="s">
        <v>22472</v>
      </c>
      <c r="C8778" s="27" t="s">
        <v>144</v>
      </c>
      <c r="D8778" s="26"/>
      <c r="E8778" s="27"/>
      <c r="F8778" s="27"/>
      <c r="G8778" s="27" t="s">
        <v>11122</v>
      </c>
      <c r="H8778" s="27" t="s">
        <v>35</v>
      </c>
      <c r="I8778" s="27" t="s">
        <v>37</v>
      </c>
      <c r="J8778" s="28" t="s">
        <v>856</v>
      </c>
      <c r="K8778" s="27" t="s">
        <v>38</v>
      </c>
      <c r="L8778" s="27"/>
    </row>
    <row r="8779" customFormat="false" ht="15" hidden="false" customHeight="false" outlineLevel="0" collapsed="false">
      <c r="A8779" s="26" t="s">
        <v>22473</v>
      </c>
      <c r="B8779" s="27" t="s">
        <v>22474</v>
      </c>
      <c r="C8779" s="27" t="s">
        <v>144</v>
      </c>
      <c r="D8779" s="26"/>
      <c r="E8779" s="27"/>
      <c r="F8779" s="27"/>
      <c r="G8779" s="27" t="s">
        <v>11122</v>
      </c>
      <c r="H8779" s="27" t="s">
        <v>35</v>
      </c>
      <c r="I8779" s="27" t="s">
        <v>37</v>
      </c>
      <c r="J8779" s="28" t="s">
        <v>856</v>
      </c>
      <c r="K8779" s="27" t="s">
        <v>38</v>
      </c>
      <c r="L8779" s="27"/>
    </row>
    <row r="8780" customFormat="false" ht="15" hidden="false" customHeight="false" outlineLevel="0" collapsed="false">
      <c r="A8780" s="26" t="s">
        <v>22475</v>
      </c>
      <c r="B8780" s="27" t="s">
        <v>22476</v>
      </c>
      <c r="C8780" s="27" t="s">
        <v>144</v>
      </c>
      <c r="D8780" s="26"/>
      <c r="E8780" s="27"/>
      <c r="F8780" s="27"/>
      <c r="G8780" s="27" t="s">
        <v>11122</v>
      </c>
      <c r="H8780" s="27" t="s">
        <v>35</v>
      </c>
      <c r="I8780" s="27" t="s">
        <v>41</v>
      </c>
      <c r="J8780" s="28" t="s">
        <v>856</v>
      </c>
      <c r="K8780" s="27" t="s">
        <v>38</v>
      </c>
      <c r="L8780" s="27"/>
    </row>
    <row r="8781" customFormat="false" ht="15" hidden="false" customHeight="false" outlineLevel="0" collapsed="false">
      <c r="A8781" s="26" t="s">
        <v>22477</v>
      </c>
      <c r="B8781" s="27" t="s">
        <v>22478</v>
      </c>
      <c r="C8781" s="27" t="s">
        <v>144</v>
      </c>
      <c r="D8781" s="26"/>
      <c r="E8781" s="27"/>
      <c r="F8781" s="27"/>
      <c r="G8781" s="27" t="s">
        <v>11122</v>
      </c>
      <c r="H8781" s="27" t="s">
        <v>35</v>
      </c>
      <c r="I8781" s="27" t="s">
        <v>41</v>
      </c>
      <c r="J8781" s="28" t="s">
        <v>856</v>
      </c>
      <c r="K8781" s="27" t="s">
        <v>38</v>
      </c>
      <c r="L8781" s="27"/>
    </row>
    <row r="8782" customFormat="false" ht="15" hidden="false" customHeight="false" outlineLevel="0" collapsed="false">
      <c r="A8782" s="26" t="s">
        <v>22479</v>
      </c>
      <c r="B8782" s="27" t="s">
        <v>22480</v>
      </c>
      <c r="C8782" s="27" t="s">
        <v>144</v>
      </c>
      <c r="D8782" s="26"/>
      <c r="E8782" s="27"/>
      <c r="F8782" s="27"/>
      <c r="G8782" s="27" t="s">
        <v>11122</v>
      </c>
      <c r="H8782" s="27" t="s">
        <v>35</v>
      </c>
      <c r="I8782" s="27" t="s">
        <v>43</v>
      </c>
      <c r="J8782" s="28" t="s">
        <v>856</v>
      </c>
      <c r="K8782" s="27" t="s">
        <v>38</v>
      </c>
      <c r="L8782" s="27"/>
    </row>
    <row r="8783" customFormat="false" ht="15" hidden="false" customHeight="false" outlineLevel="0" collapsed="false">
      <c r="A8783" s="26" t="s">
        <v>22481</v>
      </c>
      <c r="B8783" s="27" t="s">
        <v>22482</v>
      </c>
      <c r="C8783" s="27" t="s">
        <v>144</v>
      </c>
      <c r="D8783" s="26"/>
      <c r="E8783" s="27"/>
      <c r="F8783" s="27"/>
      <c r="G8783" s="27" t="s">
        <v>11122</v>
      </c>
      <c r="H8783" s="27" t="s">
        <v>35</v>
      </c>
      <c r="I8783" s="27" t="s">
        <v>37</v>
      </c>
      <c r="J8783" s="28" t="s">
        <v>856</v>
      </c>
      <c r="K8783" s="27" t="s">
        <v>38</v>
      </c>
      <c r="L8783" s="27"/>
    </row>
    <row r="8784" customFormat="false" ht="15" hidden="false" customHeight="false" outlineLevel="0" collapsed="false">
      <c r="A8784" s="26" t="s">
        <v>22483</v>
      </c>
      <c r="B8784" s="27" t="s">
        <v>22484</v>
      </c>
      <c r="C8784" s="27" t="s">
        <v>144</v>
      </c>
      <c r="D8784" s="26"/>
      <c r="E8784" s="27"/>
      <c r="F8784" s="27"/>
      <c r="G8784" s="27" t="s">
        <v>11122</v>
      </c>
      <c r="H8784" s="27" t="s">
        <v>35</v>
      </c>
      <c r="I8784" s="27" t="s">
        <v>37</v>
      </c>
      <c r="J8784" s="28" t="s">
        <v>856</v>
      </c>
      <c r="K8784" s="27" t="s">
        <v>38</v>
      </c>
      <c r="L8784" s="27"/>
    </row>
    <row r="8785" customFormat="false" ht="15" hidden="false" customHeight="false" outlineLevel="0" collapsed="false">
      <c r="A8785" s="26" t="s">
        <v>22485</v>
      </c>
      <c r="B8785" s="27" t="s">
        <v>22486</v>
      </c>
      <c r="C8785" s="27" t="s">
        <v>144</v>
      </c>
      <c r="D8785" s="26"/>
      <c r="E8785" s="27"/>
      <c r="F8785" s="27"/>
      <c r="G8785" s="27" t="s">
        <v>11122</v>
      </c>
      <c r="H8785" s="27" t="s">
        <v>35</v>
      </c>
      <c r="I8785" s="27" t="s">
        <v>41</v>
      </c>
      <c r="J8785" s="28" t="s">
        <v>856</v>
      </c>
      <c r="K8785" s="27" t="s">
        <v>38</v>
      </c>
      <c r="L8785" s="27"/>
    </row>
    <row r="8786" customFormat="false" ht="15" hidden="false" customHeight="false" outlineLevel="0" collapsed="false">
      <c r="A8786" s="26" t="s">
        <v>22487</v>
      </c>
      <c r="B8786" s="27" t="s">
        <v>22488</v>
      </c>
      <c r="C8786" s="27" t="s">
        <v>144</v>
      </c>
      <c r="D8786" s="26"/>
      <c r="E8786" s="27"/>
      <c r="F8786" s="27"/>
      <c r="G8786" s="27" t="s">
        <v>11122</v>
      </c>
      <c r="H8786" s="27" t="s">
        <v>35</v>
      </c>
      <c r="I8786" s="27" t="s">
        <v>37</v>
      </c>
      <c r="J8786" s="28" t="s">
        <v>856</v>
      </c>
      <c r="K8786" s="27" t="s">
        <v>38</v>
      </c>
      <c r="L8786" s="27"/>
    </row>
    <row r="8787" customFormat="false" ht="15" hidden="false" customHeight="false" outlineLevel="0" collapsed="false">
      <c r="A8787" s="26" t="s">
        <v>22489</v>
      </c>
      <c r="B8787" s="27" t="s">
        <v>22490</v>
      </c>
      <c r="C8787" s="27" t="s">
        <v>144</v>
      </c>
      <c r="D8787" s="26"/>
      <c r="E8787" s="27"/>
      <c r="F8787" s="27"/>
      <c r="G8787" s="27" t="s">
        <v>11122</v>
      </c>
      <c r="H8787" s="27" t="s">
        <v>35</v>
      </c>
      <c r="I8787" s="27" t="s">
        <v>37</v>
      </c>
      <c r="J8787" s="28" t="s">
        <v>856</v>
      </c>
      <c r="K8787" s="27" t="s">
        <v>38</v>
      </c>
      <c r="L8787" s="27"/>
    </row>
    <row r="8788" customFormat="false" ht="15" hidden="false" customHeight="false" outlineLevel="0" collapsed="false">
      <c r="A8788" s="26" t="s">
        <v>22491</v>
      </c>
      <c r="B8788" s="27" t="s">
        <v>22492</v>
      </c>
      <c r="C8788" s="27" t="s">
        <v>144</v>
      </c>
      <c r="D8788" s="26"/>
      <c r="E8788" s="27"/>
      <c r="F8788" s="27"/>
      <c r="G8788" s="27" t="s">
        <v>11122</v>
      </c>
      <c r="H8788" s="27" t="s">
        <v>35</v>
      </c>
      <c r="I8788" s="27" t="s">
        <v>43</v>
      </c>
      <c r="J8788" s="28" t="s">
        <v>856</v>
      </c>
      <c r="K8788" s="27" t="s">
        <v>38</v>
      </c>
      <c r="L8788" s="27"/>
    </row>
    <row r="8789" customFormat="false" ht="15" hidden="false" customHeight="false" outlineLevel="0" collapsed="false">
      <c r="A8789" s="26" t="s">
        <v>22493</v>
      </c>
      <c r="B8789" s="27" t="s">
        <v>22494</v>
      </c>
      <c r="C8789" s="27" t="s">
        <v>144</v>
      </c>
      <c r="D8789" s="26"/>
      <c r="E8789" s="27"/>
      <c r="F8789" s="27"/>
      <c r="G8789" s="27" t="s">
        <v>11122</v>
      </c>
      <c r="H8789" s="27" t="s">
        <v>35</v>
      </c>
      <c r="I8789" s="27" t="s">
        <v>43</v>
      </c>
      <c r="J8789" s="28" t="s">
        <v>856</v>
      </c>
      <c r="K8789" s="27" t="s">
        <v>38</v>
      </c>
      <c r="L8789" s="27"/>
    </row>
    <row r="8790" customFormat="false" ht="15" hidden="false" customHeight="false" outlineLevel="0" collapsed="false">
      <c r="A8790" s="26" t="s">
        <v>22495</v>
      </c>
      <c r="B8790" s="27" t="s">
        <v>22496</v>
      </c>
      <c r="C8790" s="27" t="s">
        <v>144</v>
      </c>
      <c r="D8790" s="26"/>
      <c r="E8790" s="27"/>
      <c r="F8790" s="27"/>
      <c r="G8790" s="27" t="s">
        <v>11122</v>
      </c>
      <c r="H8790" s="27" t="s">
        <v>35</v>
      </c>
      <c r="I8790" s="27" t="s">
        <v>43</v>
      </c>
      <c r="J8790" s="28" t="s">
        <v>856</v>
      </c>
      <c r="K8790" s="27" t="s">
        <v>38</v>
      </c>
      <c r="L8790" s="27"/>
    </row>
    <row r="8791" customFormat="false" ht="15" hidden="false" customHeight="false" outlineLevel="0" collapsed="false">
      <c r="A8791" s="26" t="s">
        <v>22497</v>
      </c>
      <c r="B8791" s="27" t="s">
        <v>22498</v>
      </c>
      <c r="C8791" s="27" t="s">
        <v>144</v>
      </c>
      <c r="D8791" s="26"/>
      <c r="E8791" s="27"/>
      <c r="F8791" s="27"/>
      <c r="G8791" s="27" t="s">
        <v>11122</v>
      </c>
      <c r="H8791" s="27" t="s">
        <v>35</v>
      </c>
      <c r="I8791" s="27" t="s">
        <v>48</v>
      </c>
      <c r="J8791" s="28" t="s">
        <v>856</v>
      </c>
      <c r="K8791" s="27" t="s">
        <v>38</v>
      </c>
      <c r="L8791" s="27"/>
    </row>
    <row r="8792" customFormat="false" ht="15" hidden="false" customHeight="false" outlineLevel="0" collapsed="false">
      <c r="A8792" s="26" t="s">
        <v>22499</v>
      </c>
      <c r="B8792" s="27" t="s">
        <v>22500</v>
      </c>
      <c r="C8792" s="27" t="s">
        <v>144</v>
      </c>
      <c r="D8792" s="26"/>
      <c r="E8792" s="27"/>
      <c r="F8792" s="27"/>
      <c r="G8792" s="27" t="s">
        <v>11122</v>
      </c>
      <c r="H8792" s="27" t="s">
        <v>35</v>
      </c>
      <c r="I8792" s="27" t="s">
        <v>48</v>
      </c>
      <c r="J8792" s="28" t="s">
        <v>856</v>
      </c>
      <c r="K8792" s="27" t="s">
        <v>38</v>
      </c>
      <c r="L8792" s="27"/>
    </row>
    <row r="8793" customFormat="false" ht="15" hidden="false" customHeight="false" outlineLevel="0" collapsed="false">
      <c r="A8793" s="26" t="s">
        <v>22501</v>
      </c>
      <c r="B8793" s="28" t="s">
        <v>22502</v>
      </c>
      <c r="C8793" s="27" t="s">
        <v>144</v>
      </c>
      <c r="D8793" s="26"/>
      <c r="E8793" s="27"/>
      <c r="F8793" s="27"/>
      <c r="G8793" s="27" t="s">
        <v>11122</v>
      </c>
      <c r="H8793" s="27" t="s">
        <v>35</v>
      </c>
      <c r="I8793" s="27" t="s">
        <v>48</v>
      </c>
      <c r="J8793" s="28" t="s">
        <v>856</v>
      </c>
      <c r="K8793" s="27" t="s">
        <v>38</v>
      </c>
      <c r="L8793" s="27"/>
    </row>
    <row r="8794" customFormat="false" ht="15" hidden="false" customHeight="false" outlineLevel="0" collapsed="false">
      <c r="A8794" s="26" t="s">
        <v>22503</v>
      </c>
      <c r="B8794" s="27" t="s">
        <v>22504</v>
      </c>
      <c r="C8794" s="27" t="s">
        <v>144</v>
      </c>
      <c r="D8794" s="26"/>
      <c r="E8794" s="27"/>
      <c r="F8794" s="27"/>
      <c r="G8794" s="27" t="s">
        <v>11122</v>
      </c>
      <c r="H8794" s="27" t="s">
        <v>35</v>
      </c>
      <c r="I8794" s="27" t="s">
        <v>43</v>
      </c>
      <c r="J8794" s="28" t="s">
        <v>856</v>
      </c>
      <c r="K8794" s="27" t="s">
        <v>38</v>
      </c>
      <c r="L8794" s="27"/>
    </row>
    <row r="8795" customFormat="false" ht="15" hidden="false" customHeight="false" outlineLevel="0" collapsed="false">
      <c r="A8795" s="26" t="s">
        <v>22505</v>
      </c>
      <c r="B8795" s="27" t="s">
        <v>22506</v>
      </c>
      <c r="C8795" s="27" t="s">
        <v>144</v>
      </c>
      <c r="D8795" s="26"/>
      <c r="E8795" s="27"/>
      <c r="F8795" s="27"/>
      <c r="G8795" s="27" t="s">
        <v>11122</v>
      </c>
      <c r="H8795" s="27" t="s">
        <v>35</v>
      </c>
      <c r="I8795" s="27" t="s">
        <v>48</v>
      </c>
      <c r="J8795" s="28" t="s">
        <v>856</v>
      </c>
      <c r="K8795" s="27" t="s">
        <v>38</v>
      </c>
      <c r="L8795" s="27"/>
    </row>
    <row r="8796" customFormat="false" ht="15" hidden="false" customHeight="false" outlineLevel="0" collapsed="false">
      <c r="A8796" s="26" t="s">
        <v>22507</v>
      </c>
      <c r="B8796" s="27" t="s">
        <v>22508</v>
      </c>
      <c r="C8796" s="27" t="s">
        <v>100</v>
      </c>
      <c r="D8796" s="26"/>
      <c r="E8796" s="27"/>
      <c r="F8796" s="27"/>
      <c r="G8796" s="27" t="s">
        <v>11122</v>
      </c>
      <c r="H8796" s="27" t="s">
        <v>35</v>
      </c>
      <c r="I8796" s="27" t="s">
        <v>39</v>
      </c>
      <c r="J8796" s="28" t="s">
        <v>856</v>
      </c>
      <c r="K8796" s="27" t="s">
        <v>38</v>
      </c>
      <c r="L8796" s="27"/>
    </row>
    <row r="8797" customFormat="false" ht="15" hidden="false" customHeight="false" outlineLevel="0" collapsed="false">
      <c r="A8797" s="26" t="s">
        <v>22509</v>
      </c>
      <c r="B8797" s="27" t="s">
        <v>22510</v>
      </c>
      <c r="C8797" s="27" t="s">
        <v>100</v>
      </c>
      <c r="D8797" s="26"/>
      <c r="E8797" s="27"/>
      <c r="F8797" s="27"/>
      <c r="G8797" s="27" t="s">
        <v>11122</v>
      </c>
      <c r="H8797" s="27" t="s">
        <v>35</v>
      </c>
      <c r="I8797" s="27" t="s">
        <v>43</v>
      </c>
      <c r="J8797" s="28" t="s">
        <v>856</v>
      </c>
      <c r="K8797" s="27" t="s">
        <v>38</v>
      </c>
      <c r="L8797" s="27"/>
    </row>
    <row r="8798" customFormat="false" ht="15" hidden="false" customHeight="false" outlineLevel="0" collapsed="false">
      <c r="A8798" s="26" t="s">
        <v>22511</v>
      </c>
      <c r="B8798" s="27" t="s">
        <v>22512</v>
      </c>
      <c r="C8798" s="27" t="s">
        <v>100</v>
      </c>
      <c r="D8798" s="26"/>
      <c r="E8798" s="27"/>
      <c r="F8798" s="27"/>
      <c r="G8798" s="27" t="s">
        <v>11122</v>
      </c>
      <c r="H8798" s="27" t="s">
        <v>35</v>
      </c>
      <c r="I8798" s="27" t="s">
        <v>39</v>
      </c>
      <c r="J8798" s="28" t="s">
        <v>856</v>
      </c>
      <c r="K8798" s="27" t="s">
        <v>38</v>
      </c>
      <c r="L8798" s="27"/>
    </row>
    <row r="8799" customFormat="false" ht="15" hidden="false" customHeight="false" outlineLevel="0" collapsed="false">
      <c r="A8799" s="26" t="s">
        <v>22513</v>
      </c>
      <c r="B8799" s="27" t="s">
        <v>22514</v>
      </c>
      <c r="C8799" s="27" t="s">
        <v>100</v>
      </c>
      <c r="D8799" s="26"/>
      <c r="E8799" s="27"/>
      <c r="F8799" s="27"/>
      <c r="G8799" s="27" t="s">
        <v>11122</v>
      </c>
      <c r="H8799" s="27" t="s">
        <v>35</v>
      </c>
      <c r="I8799" s="27" t="s">
        <v>39</v>
      </c>
      <c r="J8799" s="28" t="s">
        <v>856</v>
      </c>
      <c r="K8799" s="27" t="s">
        <v>38</v>
      </c>
      <c r="L8799" s="27"/>
    </row>
    <row r="8800" customFormat="false" ht="15" hidden="false" customHeight="false" outlineLevel="0" collapsed="false">
      <c r="A8800" s="26" t="s">
        <v>22515</v>
      </c>
      <c r="B8800" s="27" t="s">
        <v>22516</v>
      </c>
      <c r="C8800" s="27" t="s">
        <v>100</v>
      </c>
      <c r="D8800" s="26"/>
      <c r="E8800" s="27"/>
      <c r="F8800" s="27"/>
      <c r="G8800" s="27" t="s">
        <v>11122</v>
      </c>
      <c r="H8800" s="27" t="s">
        <v>35</v>
      </c>
      <c r="I8800" s="27" t="s">
        <v>39</v>
      </c>
      <c r="J8800" s="28" t="s">
        <v>856</v>
      </c>
      <c r="K8800" s="27" t="s">
        <v>38</v>
      </c>
      <c r="L8800" s="27"/>
    </row>
    <row r="8801" customFormat="false" ht="15" hidden="false" customHeight="false" outlineLevel="0" collapsed="false">
      <c r="A8801" s="26" t="s">
        <v>22517</v>
      </c>
      <c r="B8801" s="27" t="s">
        <v>22518</v>
      </c>
      <c r="C8801" s="27" t="s">
        <v>100</v>
      </c>
      <c r="D8801" s="26"/>
      <c r="E8801" s="27"/>
      <c r="F8801" s="27"/>
      <c r="G8801" s="27" t="s">
        <v>11122</v>
      </c>
      <c r="H8801" s="27" t="s">
        <v>35</v>
      </c>
      <c r="I8801" s="27" t="s">
        <v>39</v>
      </c>
      <c r="J8801" s="28" t="s">
        <v>856</v>
      </c>
      <c r="K8801" s="27" t="s">
        <v>38</v>
      </c>
      <c r="L8801" s="27"/>
    </row>
    <row r="8802" customFormat="false" ht="15" hidden="false" customHeight="false" outlineLevel="0" collapsed="false">
      <c r="A8802" s="26" t="s">
        <v>22519</v>
      </c>
      <c r="B8802" s="27" t="s">
        <v>22520</v>
      </c>
      <c r="C8802" s="27" t="s">
        <v>100</v>
      </c>
      <c r="D8802" s="26"/>
      <c r="E8802" s="27"/>
      <c r="F8802" s="27"/>
      <c r="G8802" s="27" t="s">
        <v>11122</v>
      </c>
      <c r="H8802" s="27" t="s">
        <v>35</v>
      </c>
      <c r="I8802" s="27" t="s">
        <v>39</v>
      </c>
      <c r="J8802" s="28" t="s">
        <v>856</v>
      </c>
      <c r="K8802" s="27" t="s">
        <v>38</v>
      </c>
      <c r="L8802" s="27"/>
    </row>
    <row r="8803" customFormat="false" ht="15" hidden="false" customHeight="false" outlineLevel="0" collapsed="false">
      <c r="A8803" s="26" t="s">
        <v>22521</v>
      </c>
      <c r="B8803" s="27" t="s">
        <v>22522</v>
      </c>
      <c r="C8803" s="27" t="s">
        <v>100</v>
      </c>
      <c r="D8803" s="26"/>
      <c r="E8803" s="27"/>
      <c r="F8803" s="27"/>
      <c r="G8803" s="27" t="s">
        <v>11122</v>
      </c>
      <c r="H8803" s="27" t="s">
        <v>35</v>
      </c>
      <c r="I8803" s="27" t="s">
        <v>45</v>
      </c>
      <c r="J8803" s="28" t="s">
        <v>856</v>
      </c>
      <c r="K8803" s="27" t="s">
        <v>38</v>
      </c>
      <c r="L8803" s="27"/>
    </row>
    <row r="8804" customFormat="false" ht="15" hidden="false" customHeight="false" outlineLevel="0" collapsed="false">
      <c r="A8804" s="26" t="s">
        <v>22523</v>
      </c>
      <c r="B8804" s="27" t="s">
        <v>22524</v>
      </c>
      <c r="C8804" s="27" t="s">
        <v>100</v>
      </c>
      <c r="D8804" s="26"/>
      <c r="E8804" s="27"/>
      <c r="F8804" s="27"/>
      <c r="G8804" s="27" t="s">
        <v>11122</v>
      </c>
      <c r="H8804" s="27" t="s">
        <v>35</v>
      </c>
      <c r="I8804" s="27" t="s">
        <v>40</v>
      </c>
      <c r="J8804" s="28" t="s">
        <v>856</v>
      </c>
      <c r="K8804" s="27" t="s">
        <v>38</v>
      </c>
      <c r="L8804" s="27"/>
    </row>
    <row r="8805" customFormat="false" ht="15" hidden="false" customHeight="false" outlineLevel="0" collapsed="false">
      <c r="A8805" s="26" t="s">
        <v>22525</v>
      </c>
      <c r="B8805" s="27" t="s">
        <v>22526</v>
      </c>
      <c r="C8805" s="27" t="s">
        <v>100</v>
      </c>
      <c r="D8805" s="26"/>
      <c r="E8805" s="27"/>
      <c r="F8805" s="27"/>
      <c r="G8805" s="27" t="s">
        <v>11122</v>
      </c>
      <c r="H8805" s="27" t="s">
        <v>35</v>
      </c>
      <c r="I8805" s="27" t="s">
        <v>45</v>
      </c>
      <c r="J8805" s="28" t="s">
        <v>856</v>
      </c>
      <c r="K8805" s="27" t="s">
        <v>38</v>
      </c>
      <c r="L8805" s="27"/>
    </row>
    <row r="8806" customFormat="false" ht="15" hidden="false" customHeight="false" outlineLevel="0" collapsed="false">
      <c r="A8806" s="26" t="s">
        <v>22527</v>
      </c>
      <c r="B8806" s="27" t="s">
        <v>22528</v>
      </c>
      <c r="C8806" s="27" t="s">
        <v>144</v>
      </c>
      <c r="D8806" s="26"/>
      <c r="E8806" s="27"/>
      <c r="F8806" s="27"/>
      <c r="G8806" s="27" t="s">
        <v>11122</v>
      </c>
      <c r="H8806" s="27" t="s">
        <v>35</v>
      </c>
      <c r="I8806" s="27" t="s">
        <v>39</v>
      </c>
      <c r="J8806" s="28" t="s">
        <v>856</v>
      </c>
      <c r="K8806" s="27" t="s">
        <v>38</v>
      </c>
      <c r="L8806" s="27"/>
    </row>
    <row r="8807" customFormat="false" ht="15" hidden="false" customHeight="false" outlineLevel="0" collapsed="false">
      <c r="A8807" s="26" t="s">
        <v>22529</v>
      </c>
      <c r="B8807" s="27" t="s">
        <v>22530</v>
      </c>
      <c r="C8807" s="27" t="s">
        <v>100</v>
      </c>
      <c r="D8807" s="26"/>
      <c r="E8807" s="27"/>
      <c r="F8807" s="27"/>
      <c r="G8807" s="27" t="s">
        <v>11122</v>
      </c>
      <c r="H8807" s="27" t="s">
        <v>35</v>
      </c>
      <c r="I8807" s="27" t="s">
        <v>45</v>
      </c>
      <c r="J8807" s="28" t="s">
        <v>856</v>
      </c>
      <c r="K8807" s="27" t="s">
        <v>38</v>
      </c>
      <c r="L8807" s="27"/>
    </row>
    <row r="8808" customFormat="false" ht="15" hidden="false" customHeight="false" outlineLevel="0" collapsed="false">
      <c r="A8808" s="26" t="s">
        <v>22531</v>
      </c>
      <c r="B8808" s="27" t="s">
        <v>22532</v>
      </c>
      <c r="C8808" s="27" t="s">
        <v>100</v>
      </c>
      <c r="D8808" s="26"/>
      <c r="E8808" s="27"/>
      <c r="F8808" s="27"/>
      <c r="G8808" s="27" t="s">
        <v>11122</v>
      </c>
      <c r="H8808" s="27" t="s">
        <v>35</v>
      </c>
      <c r="I8808" s="27" t="s">
        <v>45</v>
      </c>
      <c r="J8808" s="28" t="s">
        <v>856</v>
      </c>
      <c r="K8808" s="27" t="s">
        <v>38</v>
      </c>
      <c r="L8808" s="27"/>
    </row>
    <row r="8809" customFormat="false" ht="15" hidden="false" customHeight="false" outlineLevel="0" collapsed="false">
      <c r="A8809" s="26" t="s">
        <v>22533</v>
      </c>
      <c r="B8809" s="27" t="s">
        <v>22534</v>
      </c>
      <c r="C8809" s="27" t="s">
        <v>100</v>
      </c>
      <c r="D8809" s="26"/>
      <c r="E8809" s="27"/>
      <c r="F8809" s="27"/>
      <c r="G8809" s="27" t="s">
        <v>11122</v>
      </c>
      <c r="H8809" s="27" t="s">
        <v>35</v>
      </c>
      <c r="I8809" s="27" t="s">
        <v>44</v>
      </c>
      <c r="J8809" s="28" t="s">
        <v>856</v>
      </c>
      <c r="K8809" s="27" t="s">
        <v>38</v>
      </c>
      <c r="L8809" s="27"/>
    </row>
    <row r="8810" customFormat="false" ht="15" hidden="false" customHeight="false" outlineLevel="0" collapsed="false">
      <c r="A8810" s="26" t="s">
        <v>22535</v>
      </c>
      <c r="B8810" s="27" t="s">
        <v>22536</v>
      </c>
      <c r="C8810" s="27" t="s">
        <v>100</v>
      </c>
      <c r="D8810" s="26"/>
      <c r="E8810" s="27"/>
      <c r="F8810" s="27"/>
      <c r="G8810" s="27" t="s">
        <v>11122</v>
      </c>
      <c r="H8810" s="27" t="s">
        <v>35</v>
      </c>
      <c r="I8810" s="27" t="s">
        <v>44</v>
      </c>
      <c r="J8810" s="28" t="s">
        <v>856</v>
      </c>
      <c r="K8810" s="27" t="s">
        <v>38</v>
      </c>
      <c r="L8810" s="27"/>
    </row>
    <row r="8811" customFormat="false" ht="15" hidden="false" customHeight="false" outlineLevel="0" collapsed="false">
      <c r="A8811" s="26" t="s">
        <v>22537</v>
      </c>
      <c r="B8811" s="27" t="s">
        <v>22538</v>
      </c>
      <c r="C8811" s="27" t="s">
        <v>100</v>
      </c>
      <c r="D8811" s="26"/>
      <c r="E8811" s="27"/>
      <c r="F8811" s="27"/>
      <c r="G8811" s="27" t="s">
        <v>11122</v>
      </c>
      <c r="H8811" s="27" t="s">
        <v>35</v>
      </c>
      <c r="I8811" s="27" t="s">
        <v>39</v>
      </c>
      <c r="J8811" s="28" t="s">
        <v>856</v>
      </c>
      <c r="K8811" s="27" t="s">
        <v>38</v>
      </c>
      <c r="L8811" s="27"/>
    </row>
    <row r="8812" customFormat="false" ht="15" hidden="false" customHeight="false" outlineLevel="0" collapsed="false">
      <c r="A8812" s="26" t="s">
        <v>22539</v>
      </c>
      <c r="B8812" s="27" t="s">
        <v>22540</v>
      </c>
      <c r="C8812" s="27" t="s">
        <v>100</v>
      </c>
      <c r="D8812" s="26"/>
      <c r="E8812" s="27"/>
      <c r="F8812" s="27"/>
      <c r="G8812" s="27" t="s">
        <v>11122</v>
      </c>
      <c r="H8812" s="27" t="s">
        <v>35</v>
      </c>
      <c r="I8812" s="27" t="s">
        <v>45</v>
      </c>
      <c r="J8812" s="28" t="s">
        <v>856</v>
      </c>
      <c r="K8812" s="27" t="s">
        <v>38</v>
      </c>
      <c r="L8812" s="27"/>
    </row>
    <row r="8813" customFormat="false" ht="15" hidden="false" customHeight="false" outlineLevel="0" collapsed="false">
      <c r="A8813" s="26" t="s">
        <v>22541</v>
      </c>
      <c r="B8813" s="27" t="s">
        <v>22542</v>
      </c>
      <c r="C8813" s="27" t="s">
        <v>100</v>
      </c>
      <c r="D8813" s="26"/>
      <c r="E8813" s="27"/>
      <c r="F8813" s="27"/>
      <c r="G8813" s="27" t="s">
        <v>11122</v>
      </c>
      <c r="H8813" s="27" t="s">
        <v>35</v>
      </c>
      <c r="I8813" s="27" t="s">
        <v>45</v>
      </c>
      <c r="J8813" s="28" t="s">
        <v>856</v>
      </c>
      <c r="K8813" s="27" t="s">
        <v>38</v>
      </c>
      <c r="L8813" s="27"/>
    </row>
    <row r="8814" customFormat="false" ht="15" hidden="false" customHeight="false" outlineLevel="0" collapsed="false">
      <c r="A8814" s="26" t="s">
        <v>22543</v>
      </c>
      <c r="B8814" s="27" t="s">
        <v>22544</v>
      </c>
      <c r="C8814" s="27" t="s">
        <v>100</v>
      </c>
      <c r="D8814" s="26"/>
      <c r="E8814" s="27"/>
      <c r="F8814" s="27"/>
      <c r="G8814" s="27" t="s">
        <v>11122</v>
      </c>
      <c r="H8814" s="27" t="s">
        <v>35</v>
      </c>
      <c r="I8814" s="27" t="s">
        <v>40</v>
      </c>
      <c r="J8814" s="28" t="s">
        <v>856</v>
      </c>
      <c r="K8814" s="27" t="s">
        <v>38</v>
      </c>
      <c r="L8814" s="27"/>
    </row>
    <row r="8815" customFormat="false" ht="15" hidden="false" customHeight="false" outlineLevel="0" collapsed="false">
      <c r="A8815" s="26" t="s">
        <v>22545</v>
      </c>
      <c r="B8815" s="27" t="s">
        <v>22546</v>
      </c>
      <c r="C8815" s="27" t="s">
        <v>100</v>
      </c>
      <c r="D8815" s="26"/>
      <c r="E8815" s="27"/>
      <c r="F8815" s="27"/>
      <c r="G8815" s="27" t="s">
        <v>11122</v>
      </c>
      <c r="H8815" s="27" t="s">
        <v>35</v>
      </c>
      <c r="I8815" s="27" t="s">
        <v>42</v>
      </c>
      <c r="J8815" s="28" t="s">
        <v>856</v>
      </c>
      <c r="K8815" s="27" t="s">
        <v>38</v>
      </c>
      <c r="L8815" s="27"/>
    </row>
    <row r="8816" customFormat="false" ht="15" hidden="false" customHeight="false" outlineLevel="0" collapsed="false">
      <c r="A8816" s="26" t="s">
        <v>22547</v>
      </c>
      <c r="B8816" s="27" t="s">
        <v>22548</v>
      </c>
      <c r="C8816" s="27" t="s">
        <v>100</v>
      </c>
      <c r="D8816" s="26"/>
      <c r="E8816" s="27"/>
      <c r="F8816" s="27"/>
      <c r="G8816" s="27" t="s">
        <v>11122</v>
      </c>
      <c r="H8816" s="27" t="s">
        <v>35</v>
      </c>
      <c r="I8816" s="27" t="s">
        <v>39</v>
      </c>
      <c r="J8816" s="28" t="s">
        <v>856</v>
      </c>
      <c r="K8816" s="27" t="s">
        <v>38</v>
      </c>
      <c r="L8816" s="27"/>
    </row>
    <row r="8817" customFormat="false" ht="15" hidden="false" customHeight="false" outlineLevel="0" collapsed="false">
      <c r="A8817" s="26" t="s">
        <v>22549</v>
      </c>
      <c r="B8817" s="27" t="s">
        <v>22550</v>
      </c>
      <c r="C8817" s="27" t="s">
        <v>100</v>
      </c>
      <c r="D8817" s="26"/>
      <c r="E8817" s="27"/>
      <c r="F8817" s="27"/>
      <c r="G8817" s="27" t="s">
        <v>11122</v>
      </c>
      <c r="H8817" s="27" t="s">
        <v>35</v>
      </c>
      <c r="I8817" s="27" t="s">
        <v>39</v>
      </c>
      <c r="J8817" s="28" t="s">
        <v>856</v>
      </c>
      <c r="K8817" s="27" t="s">
        <v>38</v>
      </c>
      <c r="L8817" s="27"/>
    </row>
    <row r="8818" customFormat="false" ht="15" hidden="false" customHeight="false" outlineLevel="0" collapsed="false">
      <c r="A8818" s="26" t="s">
        <v>22551</v>
      </c>
      <c r="B8818" s="27" t="s">
        <v>22552</v>
      </c>
      <c r="C8818" s="27" t="s">
        <v>100</v>
      </c>
      <c r="D8818" s="26"/>
      <c r="E8818" s="27"/>
      <c r="F8818" s="27"/>
      <c r="G8818" s="27" t="s">
        <v>11122</v>
      </c>
      <c r="H8818" s="27" t="s">
        <v>35</v>
      </c>
      <c r="I8818" s="27" t="s">
        <v>45</v>
      </c>
      <c r="J8818" s="28" t="s">
        <v>856</v>
      </c>
      <c r="K8818" s="27" t="s">
        <v>38</v>
      </c>
      <c r="L8818" s="27"/>
    </row>
    <row r="8819" customFormat="false" ht="15" hidden="false" customHeight="false" outlineLevel="0" collapsed="false">
      <c r="A8819" s="26" t="s">
        <v>22553</v>
      </c>
      <c r="B8819" s="27" t="s">
        <v>22554</v>
      </c>
      <c r="C8819" s="27" t="s">
        <v>100</v>
      </c>
      <c r="D8819" s="26"/>
      <c r="E8819" s="27"/>
      <c r="F8819" s="27"/>
      <c r="G8819" s="27" t="s">
        <v>11122</v>
      </c>
      <c r="H8819" s="27" t="s">
        <v>35</v>
      </c>
      <c r="I8819" s="27" t="s">
        <v>45</v>
      </c>
      <c r="J8819" s="28" t="s">
        <v>856</v>
      </c>
      <c r="K8819" s="27" t="s">
        <v>38</v>
      </c>
      <c r="L8819" s="27"/>
    </row>
    <row r="8820" customFormat="false" ht="15" hidden="false" customHeight="false" outlineLevel="0" collapsed="false">
      <c r="A8820" s="26" t="s">
        <v>22555</v>
      </c>
      <c r="B8820" s="27" t="s">
        <v>22556</v>
      </c>
      <c r="C8820" s="27" t="s">
        <v>1845</v>
      </c>
      <c r="D8820" s="26"/>
      <c r="E8820" s="27"/>
      <c r="F8820" s="27"/>
      <c r="G8820" s="27" t="s">
        <v>11122</v>
      </c>
      <c r="H8820" s="27" t="s">
        <v>35</v>
      </c>
      <c r="I8820" s="27" t="s">
        <v>39</v>
      </c>
      <c r="J8820" s="28" t="s">
        <v>856</v>
      </c>
      <c r="K8820" s="27" t="s">
        <v>38</v>
      </c>
      <c r="L8820" s="27"/>
    </row>
    <row r="8821" customFormat="false" ht="15" hidden="false" customHeight="false" outlineLevel="0" collapsed="false">
      <c r="A8821" s="26" t="s">
        <v>22557</v>
      </c>
      <c r="B8821" s="27" t="s">
        <v>22558</v>
      </c>
      <c r="C8821" s="27" t="s">
        <v>100</v>
      </c>
      <c r="D8821" s="26"/>
      <c r="E8821" s="27"/>
      <c r="F8821" s="27"/>
      <c r="G8821" s="27" t="s">
        <v>11122</v>
      </c>
      <c r="H8821" s="27" t="s">
        <v>35</v>
      </c>
      <c r="I8821" s="27" t="s">
        <v>39</v>
      </c>
      <c r="J8821" s="28" t="s">
        <v>856</v>
      </c>
      <c r="K8821" s="27" t="s">
        <v>38</v>
      </c>
      <c r="L8821" s="27"/>
    </row>
    <row r="8822" customFormat="false" ht="15" hidden="false" customHeight="false" outlineLevel="0" collapsed="false">
      <c r="A8822" s="26" t="s">
        <v>22559</v>
      </c>
      <c r="B8822" s="27" t="s">
        <v>22560</v>
      </c>
      <c r="C8822" s="27" t="s">
        <v>100</v>
      </c>
      <c r="D8822" s="26"/>
      <c r="E8822" s="27"/>
      <c r="F8822" s="27"/>
      <c r="G8822" s="27" t="s">
        <v>11122</v>
      </c>
      <c r="H8822" s="27" t="s">
        <v>35</v>
      </c>
      <c r="I8822" s="27" t="s">
        <v>39</v>
      </c>
      <c r="J8822" s="28" t="s">
        <v>856</v>
      </c>
      <c r="K8822" s="27" t="s">
        <v>38</v>
      </c>
      <c r="L8822" s="27"/>
    </row>
    <row r="8823" customFormat="false" ht="15" hidden="false" customHeight="false" outlineLevel="0" collapsed="false">
      <c r="A8823" s="26" t="s">
        <v>22561</v>
      </c>
      <c r="B8823" s="27" t="s">
        <v>22562</v>
      </c>
      <c r="C8823" s="27" t="s">
        <v>144</v>
      </c>
      <c r="D8823" s="26"/>
      <c r="E8823" s="27"/>
      <c r="F8823" s="27"/>
      <c r="G8823" s="27" t="s">
        <v>11122</v>
      </c>
      <c r="H8823" s="27" t="s">
        <v>35</v>
      </c>
      <c r="I8823" s="27" t="s">
        <v>39</v>
      </c>
      <c r="J8823" s="28" t="s">
        <v>856</v>
      </c>
      <c r="K8823" s="27" t="s">
        <v>38</v>
      </c>
      <c r="L8823" s="27"/>
    </row>
    <row r="8824" customFormat="false" ht="15" hidden="false" customHeight="false" outlineLevel="0" collapsed="false">
      <c r="A8824" s="26" t="s">
        <v>22563</v>
      </c>
      <c r="B8824" s="27" t="s">
        <v>22564</v>
      </c>
      <c r="C8824" s="27" t="s">
        <v>100</v>
      </c>
      <c r="D8824" s="26"/>
      <c r="E8824" s="27"/>
      <c r="F8824" s="27"/>
      <c r="G8824" s="27" t="s">
        <v>11122</v>
      </c>
      <c r="H8824" s="27" t="s">
        <v>35</v>
      </c>
      <c r="I8824" s="27" t="s">
        <v>39</v>
      </c>
      <c r="J8824" s="28" t="s">
        <v>856</v>
      </c>
      <c r="K8824" s="27" t="s">
        <v>38</v>
      </c>
      <c r="L8824" s="27"/>
    </row>
    <row r="8825" customFormat="false" ht="15" hidden="false" customHeight="false" outlineLevel="0" collapsed="false">
      <c r="A8825" s="26" t="s">
        <v>22565</v>
      </c>
      <c r="B8825" s="27" t="s">
        <v>22566</v>
      </c>
      <c r="C8825" s="27" t="s">
        <v>100</v>
      </c>
      <c r="D8825" s="26"/>
      <c r="E8825" s="27"/>
      <c r="F8825" s="27"/>
      <c r="G8825" s="27" t="s">
        <v>11122</v>
      </c>
      <c r="H8825" s="27" t="s">
        <v>35</v>
      </c>
      <c r="I8825" s="27" t="s">
        <v>39</v>
      </c>
      <c r="J8825" s="28" t="s">
        <v>856</v>
      </c>
      <c r="K8825" s="27" t="s">
        <v>38</v>
      </c>
      <c r="L8825" s="27"/>
    </row>
    <row r="8826" customFormat="false" ht="15" hidden="false" customHeight="false" outlineLevel="0" collapsed="false">
      <c r="A8826" s="26" t="s">
        <v>22567</v>
      </c>
      <c r="B8826" s="27" t="s">
        <v>22568</v>
      </c>
      <c r="C8826" s="27" t="s">
        <v>100</v>
      </c>
      <c r="D8826" s="26"/>
      <c r="E8826" s="27"/>
      <c r="F8826" s="27"/>
      <c r="G8826" s="27" t="s">
        <v>11122</v>
      </c>
      <c r="H8826" s="27" t="s">
        <v>35</v>
      </c>
      <c r="I8826" s="27" t="s">
        <v>43</v>
      </c>
      <c r="J8826" s="28" t="s">
        <v>856</v>
      </c>
      <c r="K8826" s="27" t="s">
        <v>38</v>
      </c>
      <c r="L8826" s="27"/>
    </row>
    <row r="8827" customFormat="false" ht="15" hidden="false" customHeight="false" outlineLevel="0" collapsed="false">
      <c r="A8827" s="26" t="s">
        <v>22569</v>
      </c>
      <c r="B8827" s="27" t="s">
        <v>22570</v>
      </c>
      <c r="C8827" s="27" t="s">
        <v>100</v>
      </c>
      <c r="D8827" s="26"/>
      <c r="E8827" s="27"/>
      <c r="F8827" s="27"/>
      <c r="G8827" s="27" t="s">
        <v>11122</v>
      </c>
      <c r="H8827" s="27" t="s">
        <v>35</v>
      </c>
      <c r="I8827" s="27" t="s">
        <v>43</v>
      </c>
      <c r="J8827" s="28" t="s">
        <v>856</v>
      </c>
      <c r="K8827" s="27" t="s">
        <v>38</v>
      </c>
      <c r="L8827" s="27"/>
    </row>
    <row r="8828" customFormat="false" ht="15" hidden="false" customHeight="false" outlineLevel="0" collapsed="false">
      <c r="A8828" s="26" t="s">
        <v>22571</v>
      </c>
      <c r="B8828" s="27" t="s">
        <v>22572</v>
      </c>
      <c r="C8828" s="27" t="s">
        <v>100</v>
      </c>
      <c r="D8828" s="26"/>
      <c r="E8828" s="27"/>
      <c r="F8828" s="27"/>
      <c r="G8828" s="27" t="s">
        <v>11122</v>
      </c>
      <c r="H8828" s="27" t="s">
        <v>35</v>
      </c>
      <c r="I8828" s="27" t="s">
        <v>45</v>
      </c>
      <c r="J8828" s="28" t="s">
        <v>856</v>
      </c>
      <c r="K8828" s="27" t="s">
        <v>38</v>
      </c>
      <c r="L8828" s="27"/>
    </row>
    <row r="8829" customFormat="false" ht="15" hidden="false" customHeight="false" outlineLevel="0" collapsed="false">
      <c r="A8829" s="26" t="s">
        <v>22573</v>
      </c>
      <c r="B8829" s="27" t="s">
        <v>22574</v>
      </c>
      <c r="C8829" s="27" t="s">
        <v>144</v>
      </c>
      <c r="D8829" s="26"/>
      <c r="E8829" s="27"/>
      <c r="F8829" s="27"/>
      <c r="G8829" s="27" t="s">
        <v>11122</v>
      </c>
      <c r="H8829" s="27" t="s">
        <v>35</v>
      </c>
      <c r="I8829" s="27" t="s">
        <v>39</v>
      </c>
      <c r="J8829" s="28" t="s">
        <v>856</v>
      </c>
      <c r="K8829" s="27" t="s">
        <v>38</v>
      </c>
      <c r="L8829" s="27"/>
    </row>
    <row r="8830" customFormat="false" ht="15" hidden="false" customHeight="false" outlineLevel="0" collapsed="false">
      <c r="A8830" s="26" t="s">
        <v>22575</v>
      </c>
      <c r="B8830" s="27" t="s">
        <v>22576</v>
      </c>
      <c r="C8830" s="27" t="s">
        <v>100</v>
      </c>
      <c r="D8830" s="26"/>
      <c r="E8830" s="27"/>
      <c r="F8830" s="27"/>
      <c r="G8830" s="27" t="s">
        <v>11122</v>
      </c>
      <c r="H8830" s="27" t="s">
        <v>35</v>
      </c>
      <c r="I8830" s="27" t="s">
        <v>39</v>
      </c>
      <c r="J8830" s="28" t="s">
        <v>856</v>
      </c>
      <c r="K8830" s="27" t="s">
        <v>38</v>
      </c>
      <c r="L8830" s="27"/>
    </row>
    <row r="8831" customFormat="false" ht="15" hidden="false" customHeight="false" outlineLevel="0" collapsed="false">
      <c r="A8831" s="26" t="s">
        <v>22577</v>
      </c>
      <c r="B8831" s="27" t="s">
        <v>22578</v>
      </c>
      <c r="C8831" s="27" t="s">
        <v>100</v>
      </c>
      <c r="D8831" s="26"/>
      <c r="E8831" s="27"/>
      <c r="F8831" s="27"/>
      <c r="G8831" s="27" t="s">
        <v>11122</v>
      </c>
      <c r="H8831" s="27" t="s">
        <v>35</v>
      </c>
      <c r="I8831" s="27" t="s">
        <v>45</v>
      </c>
      <c r="J8831" s="28" t="s">
        <v>856</v>
      </c>
      <c r="K8831" s="27" t="s">
        <v>38</v>
      </c>
      <c r="L8831" s="27"/>
    </row>
    <row r="8832" customFormat="false" ht="15" hidden="false" customHeight="false" outlineLevel="0" collapsed="false">
      <c r="A8832" s="26" t="s">
        <v>22579</v>
      </c>
      <c r="B8832" s="27" t="s">
        <v>22580</v>
      </c>
      <c r="C8832" s="27" t="s">
        <v>100</v>
      </c>
      <c r="D8832" s="26"/>
      <c r="E8832" s="27"/>
      <c r="F8832" s="27"/>
      <c r="G8832" s="27" t="s">
        <v>11122</v>
      </c>
      <c r="H8832" s="27" t="s">
        <v>35</v>
      </c>
      <c r="I8832" s="27" t="s">
        <v>40</v>
      </c>
      <c r="J8832" s="28" t="s">
        <v>856</v>
      </c>
      <c r="K8832" s="27" t="s">
        <v>38</v>
      </c>
      <c r="L8832" s="27"/>
    </row>
    <row r="8833" customFormat="false" ht="15" hidden="false" customHeight="false" outlineLevel="0" collapsed="false">
      <c r="A8833" s="26" t="s">
        <v>22581</v>
      </c>
      <c r="B8833" s="27" t="s">
        <v>22582</v>
      </c>
      <c r="C8833" s="27" t="s">
        <v>144</v>
      </c>
      <c r="D8833" s="26"/>
      <c r="E8833" s="27"/>
      <c r="F8833" s="27"/>
      <c r="G8833" s="27" t="s">
        <v>11122</v>
      </c>
      <c r="H8833" s="27" t="s">
        <v>35</v>
      </c>
      <c r="I8833" s="27" t="s">
        <v>43</v>
      </c>
      <c r="J8833" s="28" t="s">
        <v>856</v>
      </c>
      <c r="K8833" s="27" t="s">
        <v>38</v>
      </c>
      <c r="L8833" s="27"/>
    </row>
    <row r="8834" customFormat="false" ht="15" hidden="false" customHeight="false" outlineLevel="0" collapsed="false">
      <c r="A8834" s="26" t="s">
        <v>22583</v>
      </c>
      <c r="B8834" s="27" t="s">
        <v>22584</v>
      </c>
      <c r="C8834" s="27" t="s">
        <v>144</v>
      </c>
      <c r="D8834" s="26"/>
      <c r="E8834" s="27"/>
      <c r="F8834" s="27"/>
      <c r="G8834" s="27" t="s">
        <v>11122</v>
      </c>
      <c r="H8834" s="27" t="s">
        <v>35</v>
      </c>
      <c r="I8834" s="27" t="s">
        <v>39</v>
      </c>
      <c r="J8834" s="28" t="s">
        <v>856</v>
      </c>
      <c r="K8834" s="27" t="s">
        <v>38</v>
      </c>
      <c r="L8834" s="27"/>
    </row>
    <row r="8835" customFormat="false" ht="15" hidden="false" customHeight="false" outlineLevel="0" collapsed="false">
      <c r="A8835" s="26" t="s">
        <v>22585</v>
      </c>
      <c r="B8835" s="27" t="s">
        <v>22586</v>
      </c>
      <c r="C8835" s="27" t="s">
        <v>144</v>
      </c>
      <c r="D8835" s="26"/>
      <c r="E8835" s="27"/>
      <c r="F8835" s="27"/>
      <c r="G8835" s="27" t="s">
        <v>11122</v>
      </c>
      <c r="H8835" s="27" t="s">
        <v>35</v>
      </c>
      <c r="I8835" s="27" t="s">
        <v>39</v>
      </c>
      <c r="J8835" s="28" t="s">
        <v>856</v>
      </c>
      <c r="K8835" s="27" t="s">
        <v>38</v>
      </c>
      <c r="L8835" s="27"/>
    </row>
    <row r="8836" customFormat="false" ht="15" hidden="false" customHeight="false" outlineLevel="0" collapsed="false">
      <c r="A8836" s="26" t="s">
        <v>22587</v>
      </c>
      <c r="B8836" s="27" t="s">
        <v>22588</v>
      </c>
      <c r="C8836" s="27" t="s">
        <v>144</v>
      </c>
      <c r="D8836" s="26"/>
      <c r="E8836" s="27"/>
      <c r="F8836" s="27"/>
      <c r="G8836" s="27" t="s">
        <v>11122</v>
      </c>
      <c r="H8836" s="27" t="s">
        <v>35</v>
      </c>
      <c r="I8836" s="27" t="s">
        <v>38</v>
      </c>
      <c r="J8836" s="28" t="s">
        <v>856</v>
      </c>
      <c r="K8836" s="27" t="s">
        <v>38</v>
      </c>
      <c r="L8836" s="27"/>
    </row>
    <row r="8837" customFormat="false" ht="15" hidden="false" customHeight="false" outlineLevel="0" collapsed="false">
      <c r="A8837" s="26" t="s">
        <v>22589</v>
      </c>
      <c r="B8837" s="27" t="s">
        <v>22590</v>
      </c>
      <c r="C8837" s="27" t="s">
        <v>144</v>
      </c>
      <c r="D8837" s="26"/>
      <c r="E8837" s="27"/>
      <c r="F8837" s="27"/>
      <c r="G8837" s="27" t="s">
        <v>11122</v>
      </c>
      <c r="H8837" s="27" t="s">
        <v>35</v>
      </c>
      <c r="I8837" s="27" t="s">
        <v>39</v>
      </c>
      <c r="J8837" s="28" t="s">
        <v>856</v>
      </c>
      <c r="K8837" s="27" t="s">
        <v>38</v>
      </c>
      <c r="L8837" s="27"/>
    </row>
    <row r="8838" customFormat="false" ht="15" hidden="false" customHeight="false" outlineLevel="0" collapsed="false">
      <c r="A8838" s="26" t="s">
        <v>22591</v>
      </c>
      <c r="B8838" s="27" t="s">
        <v>22592</v>
      </c>
      <c r="C8838" s="27" t="s">
        <v>1527</v>
      </c>
      <c r="D8838" s="26"/>
      <c r="E8838" s="27"/>
      <c r="F8838" s="27"/>
      <c r="G8838" s="27" t="s">
        <v>11122</v>
      </c>
      <c r="H8838" s="27" t="s">
        <v>35</v>
      </c>
      <c r="I8838" s="27" t="s">
        <v>38</v>
      </c>
      <c r="J8838" s="28" t="s">
        <v>856</v>
      </c>
      <c r="K8838" s="27" t="s">
        <v>38</v>
      </c>
      <c r="L8838" s="27"/>
    </row>
    <row r="8839" customFormat="false" ht="15" hidden="false" customHeight="false" outlineLevel="0" collapsed="false">
      <c r="A8839" s="26" t="s">
        <v>22593</v>
      </c>
      <c r="B8839" s="27" t="s">
        <v>22594</v>
      </c>
      <c r="C8839" s="27" t="s">
        <v>144</v>
      </c>
      <c r="D8839" s="26"/>
      <c r="E8839" s="27"/>
      <c r="F8839" s="27"/>
      <c r="G8839" s="27" t="s">
        <v>11122</v>
      </c>
      <c r="H8839" s="27" t="s">
        <v>35</v>
      </c>
      <c r="I8839" s="27" t="s">
        <v>39</v>
      </c>
      <c r="J8839" s="28" t="s">
        <v>856</v>
      </c>
      <c r="K8839" s="27" t="s">
        <v>38</v>
      </c>
      <c r="L8839" s="27"/>
    </row>
    <row r="8840" customFormat="false" ht="15" hidden="false" customHeight="false" outlineLevel="0" collapsed="false">
      <c r="A8840" s="26" t="s">
        <v>22595</v>
      </c>
      <c r="B8840" s="27" t="s">
        <v>22596</v>
      </c>
      <c r="C8840" s="27" t="s">
        <v>144</v>
      </c>
      <c r="D8840" s="26"/>
      <c r="E8840" s="27"/>
      <c r="F8840" s="27"/>
      <c r="G8840" s="27" t="s">
        <v>11122</v>
      </c>
      <c r="H8840" s="27" t="s">
        <v>35</v>
      </c>
      <c r="I8840" s="27" t="s">
        <v>40</v>
      </c>
      <c r="J8840" s="28" t="s">
        <v>856</v>
      </c>
      <c r="K8840" s="27" t="s">
        <v>38</v>
      </c>
      <c r="L8840" s="27"/>
    </row>
    <row r="8841" customFormat="false" ht="15" hidden="false" customHeight="false" outlineLevel="0" collapsed="false">
      <c r="A8841" s="26" t="s">
        <v>22597</v>
      </c>
      <c r="B8841" s="27" t="s">
        <v>22598</v>
      </c>
      <c r="C8841" s="27" t="s">
        <v>144</v>
      </c>
      <c r="D8841" s="26"/>
      <c r="E8841" s="27"/>
      <c r="F8841" s="27"/>
      <c r="G8841" s="27" t="s">
        <v>11122</v>
      </c>
      <c r="H8841" s="27" t="s">
        <v>35</v>
      </c>
      <c r="I8841" s="27" t="s">
        <v>40</v>
      </c>
      <c r="J8841" s="28" t="s">
        <v>856</v>
      </c>
      <c r="K8841" s="27" t="s">
        <v>38</v>
      </c>
      <c r="L8841" s="27"/>
    </row>
    <row r="8842" customFormat="false" ht="15" hidden="false" customHeight="false" outlineLevel="0" collapsed="false">
      <c r="A8842" s="26" t="s">
        <v>22599</v>
      </c>
      <c r="B8842" s="27" t="s">
        <v>22600</v>
      </c>
      <c r="C8842" s="27" t="s">
        <v>144</v>
      </c>
      <c r="D8842" s="26"/>
      <c r="E8842" s="27"/>
      <c r="F8842" s="27"/>
      <c r="G8842" s="27" t="s">
        <v>11122</v>
      </c>
      <c r="H8842" s="27" t="s">
        <v>35</v>
      </c>
      <c r="I8842" s="27" t="s">
        <v>39</v>
      </c>
      <c r="J8842" s="28" t="s">
        <v>856</v>
      </c>
      <c r="K8842" s="27" t="s">
        <v>38</v>
      </c>
      <c r="L8842" s="27"/>
    </row>
    <row r="8843" customFormat="false" ht="15" hidden="false" customHeight="false" outlineLevel="0" collapsed="false">
      <c r="A8843" s="26" t="s">
        <v>22601</v>
      </c>
      <c r="B8843" s="27" t="s">
        <v>22602</v>
      </c>
      <c r="C8843" s="27" t="s">
        <v>144</v>
      </c>
      <c r="D8843" s="26"/>
      <c r="E8843" s="27"/>
      <c r="F8843" s="27"/>
      <c r="G8843" s="27" t="s">
        <v>11122</v>
      </c>
      <c r="H8843" s="27" t="s">
        <v>35</v>
      </c>
      <c r="I8843" s="27" t="s">
        <v>39</v>
      </c>
      <c r="J8843" s="28" t="s">
        <v>856</v>
      </c>
      <c r="K8843" s="27" t="s">
        <v>38</v>
      </c>
      <c r="L8843" s="27"/>
    </row>
    <row r="8844" customFormat="false" ht="15" hidden="false" customHeight="false" outlineLevel="0" collapsed="false">
      <c r="A8844" s="26" t="s">
        <v>22603</v>
      </c>
      <c r="B8844" s="27" t="s">
        <v>22604</v>
      </c>
      <c r="C8844" s="27" t="s">
        <v>1187</v>
      </c>
      <c r="D8844" s="26"/>
      <c r="E8844" s="27"/>
      <c r="F8844" s="27"/>
      <c r="G8844" s="27" t="s">
        <v>11122</v>
      </c>
      <c r="H8844" s="27" t="s">
        <v>35</v>
      </c>
      <c r="I8844" s="27" t="s">
        <v>39</v>
      </c>
      <c r="J8844" s="28" t="s">
        <v>856</v>
      </c>
      <c r="K8844" s="27" t="s">
        <v>38</v>
      </c>
      <c r="L8844" s="27"/>
    </row>
    <row r="8845" customFormat="false" ht="15" hidden="false" customHeight="false" outlineLevel="0" collapsed="false">
      <c r="A8845" s="26" t="s">
        <v>22605</v>
      </c>
      <c r="B8845" s="27" t="s">
        <v>22606</v>
      </c>
      <c r="C8845" s="27" t="s">
        <v>1187</v>
      </c>
      <c r="D8845" s="26"/>
      <c r="E8845" s="27"/>
      <c r="F8845" s="27"/>
      <c r="G8845" s="27" t="s">
        <v>11122</v>
      </c>
      <c r="H8845" s="27" t="s">
        <v>35</v>
      </c>
      <c r="I8845" s="27" t="s">
        <v>39</v>
      </c>
      <c r="J8845" s="28" t="s">
        <v>856</v>
      </c>
      <c r="K8845" s="27" t="s">
        <v>38</v>
      </c>
      <c r="L8845" s="27"/>
    </row>
    <row r="8846" customFormat="false" ht="15" hidden="false" customHeight="false" outlineLevel="0" collapsed="false">
      <c r="A8846" s="26" t="s">
        <v>22607</v>
      </c>
      <c r="B8846" s="27" t="s">
        <v>22608</v>
      </c>
      <c r="C8846" s="27" t="s">
        <v>144</v>
      </c>
      <c r="D8846" s="26"/>
      <c r="E8846" s="27"/>
      <c r="F8846" s="27"/>
      <c r="G8846" s="27" t="s">
        <v>11122</v>
      </c>
      <c r="H8846" s="27" t="s">
        <v>35</v>
      </c>
      <c r="I8846" s="27" t="s">
        <v>39</v>
      </c>
      <c r="J8846" s="28" t="s">
        <v>856</v>
      </c>
      <c r="K8846" s="27" t="s">
        <v>38</v>
      </c>
      <c r="L8846" s="27"/>
    </row>
    <row r="8847" customFormat="false" ht="15" hidden="false" customHeight="false" outlineLevel="0" collapsed="false">
      <c r="A8847" s="26" t="s">
        <v>22609</v>
      </c>
      <c r="B8847" s="27" t="s">
        <v>22610</v>
      </c>
      <c r="C8847" s="27" t="s">
        <v>144</v>
      </c>
      <c r="D8847" s="26"/>
      <c r="E8847" s="27"/>
      <c r="F8847" s="27"/>
      <c r="G8847" s="27" t="s">
        <v>11122</v>
      </c>
      <c r="H8847" s="27" t="s">
        <v>35</v>
      </c>
      <c r="I8847" s="27" t="s">
        <v>41</v>
      </c>
      <c r="J8847" s="28" t="s">
        <v>856</v>
      </c>
      <c r="K8847" s="27" t="s">
        <v>38</v>
      </c>
      <c r="L8847" s="27"/>
    </row>
    <row r="8848" customFormat="false" ht="15" hidden="false" customHeight="false" outlineLevel="0" collapsed="false">
      <c r="A8848" s="26" t="s">
        <v>22611</v>
      </c>
      <c r="B8848" s="27" t="s">
        <v>22612</v>
      </c>
      <c r="C8848" s="27" t="s">
        <v>144</v>
      </c>
      <c r="D8848" s="26"/>
      <c r="E8848" s="27"/>
      <c r="F8848" s="27"/>
      <c r="G8848" s="27" t="s">
        <v>11122</v>
      </c>
      <c r="H8848" s="27" t="s">
        <v>35</v>
      </c>
      <c r="I8848" s="27" t="s">
        <v>44</v>
      </c>
      <c r="J8848" s="28" t="s">
        <v>856</v>
      </c>
      <c r="K8848" s="27" t="s">
        <v>38</v>
      </c>
      <c r="L8848" s="27"/>
    </row>
    <row r="8849" customFormat="false" ht="15" hidden="false" customHeight="false" outlineLevel="0" collapsed="false">
      <c r="A8849" s="26" t="s">
        <v>22613</v>
      </c>
      <c r="B8849" s="27" t="s">
        <v>22614</v>
      </c>
      <c r="C8849" s="27" t="s">
        <v>144</v>
      </c>
      <c r="D8849" s="26"/>
      <c r="E8849" s="27"/>
      <c r="F8849" s="27"/>
      <c r="G8849" s="27" t="s">
        <v>11122</v>
      </c>
      <c r="H8849" s="27" t="s">
        <v>35</v>
      </c>
      <c r="I8849" s="27" t="s">
        <v>39</v>
      </c>
      <c r="J8849" s="28" t="s">
        <v>856</v>
      </c>
      <c r="K8849" s="27" t="s">
        <v>38</v>
      </c>
      <c r="L8849" s="27"/>
    </row>
    <row r="8850" customFormat="false" ht="15" hidden="false" customHeight="false" outlineLevel="0" collapsed="false">
      <c r="A8850" s="26" t="s">
        <v>22615</v>
      </c>
      <c r="B8850" s="27" t="s">
        <v>22616</v>
      </c>
      <c r="C8850" s="27" t="s">
        <v>144</v>
      </c>
      <c r="D8850" s="26"/>
      <c r="E8850" s="27"/>
      <c r="F8850" s="27"/>
      <c r="G8850" s="27" t="s">
        <v>11122</v>
      </c>
      <c r="H8850" s="27" t="s">
        <v>35</v>
      </c>
      <c r="I8850" s="27" t="s">
        <v>41</v>
      </c>
      <c r="J8850" s="28" t="s">
        <v>856</v>
      </c>
      <c r="K8850" s="27" t="s">
        <v>38</v>
      </c>
      <c r="L8850" s="27"/>
    </row>
    <row r="8851" customFormat="false" ht="15" hidden="false" customHeight="false" outlineLevel="0" collapsed="false">
      <c r="A8851" s="26" t="s">
        <v>22617</v>
      </c>
      <c r="B8851" s="27" t="s">
        <v>22618</v>
      </c>
      <c r="C8851" s="27" t="s">
        <v>144</v>
      </c>
      <c r="D8851" s="26"/>
      <c r="E8851" s="27"/>
      <c r="F8851" s="27"/>
      <c r="G8851" s="27" t="s">
        <v>11122</v>
      </c>
      <c r="H8851" s="27" t="s">
        <v>35</v>
      </c>
      <c r="I8851" s="27" t="s">
        <v>39</v>
      </c>
      <c r="J8851" s="28" t="s">
        <v>856</v>
      </c>
      <c r="K8851" s="27" t="s">
        <v>38</v>
      </c>
      <c r="L8851" s="27"/>
    </row>
    <row r="8852" customFormat="false" ht="15" hidden="false" customHeight="false" outlineLevel="0" collapsed="false">
      <c r="A8852" s="26" t="s">
        <v>22619</v>
      </c>
      <c r="B8852" s="27" t="s">
        <v>22620</v>
      </c>
      <c r="C8852" s="27" t="s">
        <v>144</v>
      </c>
      <c r="D8852" s="26"/>
      <c r="E8852" s="27"/>
      <c r="F8852" s="27"/>
      <c r="G8852" s="27" t="s">
        <v>11122</v>
      </c>
      <c r="H8852" s="27" t="s">
        <v>35</v>
      </c>
      <c r="I8852" s="28" t="s">
        <v>46</v>
      </c>
      <c r="J8852" s="28" t="s">
        <v>856</v>
      </c>
      <c r="K8852" s="27" t="s">
        <v>38</v>
      </c>
      <c r="L8852" s="27"/>
    </row>
    <row r="8853" customFormat="false" ht="15" hidden="false" customHeight="false" outlineLevel="0" collapsed="false">
      <c r="A8853" s="26" t="s">
        <v>22621</v>
      </c>
      <c r="B8853" s="27" t="s">
        <v>22622</v>
      </c>
      <c r="C8853" s="27" t="s">
        <v>144</v>
      </c>
      <c r="D8853" s="26"/>
      <c r="E8853" s="27"/>
      <c r="F8853" s="27"/>
      <c r="G8853" s="27" t="s">
        <v>11122</v>
      </c>
      <c r="H8853" s="27" t="s">
        <v>35</v>
      </c>
      <c r="I8853" s="27" t="s">
        <v>39</v>
      </c>
      <c r="J8853" s="28" t="s">
        <v>856</v>
      </c>
      <c r="K8853" s="27" t="s">
        <v>38</v>
      </c>
      <c r="L8853" s="27"/>
    </row>
    <row r="8854" customFormat="false" ht="15" hidden="false" customHeight="false" outlineLevel="0" collapsed="false">
      <c r="A8854" s="26" t="s">
        <v>22623</v>
      </c>
      <c r="B8854" s="27" t="s">
        <v>22624</v>
      </c>
      <c r="C8854" s="27" t="s">
        <v>144</v>
      </c>
      <c r="D8854" s="26"/>
      <c r="E8854" s="27"/>
      <c r="F8854" s="27"/>
      <c r="G8854" s="27" t="s">
        <v>11122</v>
      </c>
      <c r="H8854" s="27" t="s">
        <v>35</v>
      </c>
      <c r="I8854" s="27" t="s">
        <v>38</v>
      </c>
      <c r="J8854" s="28" t="s">
        <v>856</v>
      </c>
      <c r="K8854" s="27" t="s">
        <v>38</v>
      </c>
      <c r="L8854" s="27"/>
    </row>
    <row r="8855" customFormat="false" ht="15" hidden="false" customHeight="false" outlineLevel="0" collapsed="false">
      <c r="A8855" s="26" t="s">
        <v>22625</v>
      </c>
      <c r="B8855" s="27" t="s">
        <v>22626</v>
      </c>
      <c r="C8855" s="27" t="s">
        <v>144</v>
      </c>
      <c r="D8855" s="26"/>
      <c r="E8855" s="27"/>
      <c r="F8855" s="27"/>
      <c r="G8855" s="27" t="s">
        <v>11122</v>
      </c>
      <c r="H8855" s="27" t="s">
        <v>35</v>
      </c>
      <c r="I8855" s="27" t="s">
        <v>39</v>
      </c>
      <c r="J8855" s="28" t="s">
        <v>856</v>
      </c>
      <c r="K8855" s="27" t="s">
        <v>38</v>
      </c>
      <c r="L8855" s="27"/>
    </row>
    <row r="8856" customFormat="false" ht="15" hidden="false" customHeight="false" outlineLevel="0" collapsed="false">
      <c r="A8856" s="26" t="s">
        <v>22627</v>
      </c>
      <c r="B8856" s="27" t="s">
        <v>22628</v>
      </c>
      <c r="C8856" s="27" t="s">
        <v>144</v>
      </c>
      <c r="D8856" s="26"/>
      <c r="E8856" s="27"/>
      <c r="F8856" s="27"/>
      <c r="G8856" s="27" t="s">
        <v>11122</v>
      </c>
      <c r="H8856" s="27" t="s">
        <v>35</v>
      </c>
      <c r="I8856" s="27" t="s">
        <v>39</v>
      </c>
      <c r="J8856" s="28" t="s">
        <v>856</v>
      </c>
      <c r="K8856" s="27" t="s">
        <v>38</v>
      </c>
      <c r="L8856" s="27"/>
    </row>
    <row r="8857" customFormat="false" ht="15" hidden="false" customHeight="false" outlineLevel="0" collapsed="false">
      <c r="A8857" s="26" t="s">
        <v>22629</v>
      </c>
      <c r="B8857" s="27" t="s">
        <v>22630</v>
      </c>
      <c r="C8857" s="27" t="s">
        <v>144</v>
      </c>
      <c r="D8857" s="26"/>
      <c r="E8857" s="27"/>
      <c r="F8857" s="27"/>
      <c r="G8857" s="27" t="s">
        <v>11122</v>
      </c>
      <c r="H8857" s="27" t="s">
        <v>35</v>
      </c>
      <c r="I8857" s="27" t="s">
        <v>39</v>
      </c>
      <c r="J8857" s="28" t="s">
        <v>856</v>
      </c>
      <c r="K8857" s="27" t="s">
        <v>38</v>
      </c>
      <c r="L8857" s="27"/>
    </row>
    <row r="8858" customFormat="false" ht="15" hidden="false" customHeight="false" outlineLevel="0" collapsed="false">
      <c r="A8858" s="26" t="s">
        <v>22631</v>
      </c>
      <c r="B8858" s="27" t="s">
        <v>22632</v>
      </c>
      <c r="C8858" s="27" t="s">
        <v>144</v>
      </c>
      <c r="D8858" s="26"/>
      <c r="E8858" s="27"/>
      <c r="F8858" s="27"/>
      <c r="G8858" s="27" t="s">
        <v>11122</v>
      </c>
      <c r="H8858" s="27" t="s">
        <v>35</v>
      </c>
      <c r="I8858" s="27" t="s">
        <v>39</v>
      </c>
      <c r="J8858" s="28" t="s">
        <v>856</v>
      </c>
      <c r="K8858" s="27" t="s">
        <v>38</v>
      </c>
      <c r="L8858" s="27"/>
    </row>
    <row r="8859" customFormat="false" ht="15" hidden="false" customHeight="false" outlineLevel="0" collapsed="false">
      <c r="A8859" s="26" t="s">
        <v>22633</v>
      </c>
      <c r="B8859" s="27" t="s">
        <v>22634</v>
      </c>
      <c r="C8859" s="27" t="s">
        <v>144</v>
      </c>
      <c r="D8859" s="26"/>
      <c r="E8859" s="27"/>
      <c r="F8859" s="27"/>
      <c r="G8859" s="27" t="s">
        <v>11122</v>
      </c>
      <c r="H8859" s="27" t="s">
        <v>35</v>
      </c>
      <c r="I8859" s="27" t="s">
        <v>39</v>
      </c>
      <c r="J8859" s="28" t="s">
        <v>856</v>
      </c>
      <c r="K8859" s="27" t="s">
        <v>38</v>
      </c>
      <c r="L8859" s="27"/>
    </row>
    <row r="8860" customFormat="false" ht="15" hidden="false" customHeight="false" outlineLevel="0" collapsed="false">
      <c r="A8860" s="26" t="s">
        <v>22635</v>
      </c>
      <c r="B8860" s="27" t="s">
        <v>22636</v>
      </c>
      <c r="C8860" s="27" t="s">
        <v>144</v>
      </c>
      <c r="D8860" s="26"/>
      <c r="E8860" s="27"/>
      <c r="F8860" s="27"/>
      <c r="G8860" s="27" t="s">
        <v>11122</v>
      </c>
      <c r="H8860" s="27" t="s">
        <v>35</v>
      </c>
      <c r="I8860" s="27" t="s">
        <v>44</v>
      </c>
      <c r="J8860" s="28" t="s">
        <v>856</v>
      </c>
      <c r="K8860" s="27" t="s">
        <v>38</v>
      </c>
      <c r="L8860" s="27"/>
    </row>
    <row r="8861" customFormat="false" ht="15" hidden="false" customHeight="false" outlineLevel="0" collapsed="false">
      <c r="A8861" s="26" t="s">
        <v>22637</v>
      </c>
      <c r="B8861" s="27" t="s">
        <v>22638</v>
      </c>
      <c r="C8861" s="27" t="s">
        <v>144</v>
      </c>
      <c r="D8861" s="26"/>
      <c r="E8861" s="27"/>
      <c r="F8861" s="27"/>
      <c r="G8861" s="27" t="s">
        <v>11122</v>
      </c>
      <c r="H8861" s="27" t="s">
        <v>35</v>
      </c>
      <c r="I8861" s="27" t="s">
        <v>39</v>
      </c>
      <c r="J8861" s="28" t="s">
        <v>856</v>
      </c>
      <c r="K8861" s="27" t="s">
        <v>38</v>
      </c>
      <c r="L8861" s="27"/>
    </row>
    <row r="8862" customFormat="false" ht="15" hidden="false" customHeight="false" outlineLevel="0" collapsed="false">
      <c r="A8862" s="26" t="s">
        <v>22639</v>
      </c>
      <c r="B8862" s="27" t="s">
        <v>22640</v>
      </c>
      <c r="C8862" s="27" t="s">
        <v>144</v>
      </c>
      <c r="D8862" s="26"/>
      <c r="E8862" s="27"/>
      <c r="F8862" s="27"/>
      <c r="G8862" s="27" t="s">
        <v>11122</v>
      </c>
      <c r="H8862" s="27" t="s">
        <v>35</v>
      </c>
      <c r="I8862" s="27" t="s">
        <v>39</v>
      </c>
      <c r="J8862" s="28" t="s">
        <v>856</v>
      </c>
      <c r="K8862" s="27" t="s">
        <v>38</v>
      </c>
      <c r="L8862" s="27"/>
    </row>
    <row r="8863" customFormat="false" ht="15" hidden="false" customHeight="false" outlineLevel="0" collapsed="false">
      <c r="A8863" s="26" t="s">
        <v>22641</v>
      </c>
      <c r="B8863" s="27" t="s">
        <v>22642</v>
      </c>
      <c r="C8863" s="27" t="s">
        <v>144</v>
      </c>
      <c r="D8863" s="26"/>
      <c r="E8863" s="27"/>
      <c r="F8863" s="27"/>
      <c r="G8863" s="27" t="s">
        <v>11122</v>
      </c>
      <c r="H8863" s="27" t="s">
        <v>35</v>
      </c>
      <c r="I8863" s="27" t="s">
        <v>39</v>
      </c>
      <c r="J8863" s="28" t="s">
        <v>856</v>
      </c>
      <c r="K8863" s="27" t="s">
        <v>38</v>
      </c>
      <c r="L8863" s="27"/>
    </row>
    <row r="8864" customFormat="false" ht="15" hidden="false" customHeight="false" outlineLevel="0" collapsed="false">
      <c r="A8864" s="26" t="s">
        <v>22643</v>
      </c>
      <c r="B8864" s="27" t="s">
        <v>22644</v>
      </c>
      <c r="C8864" s="27" t="s">
        <v>144</v>
      </c>
      <c r="D8864" s="26"/>
      <c r="E8864" s="27"/>
      <c r="F8864" s="27"/>
      <c r="G8864" s="27" t="s">
        <v>11122</v>
      </c>
      <c r="H8864" s="27" t="s">
        <v>35</v>
      </c>
      <c r="I8864" s="27" t="s">
        <v>39</v>
      </c>
      <c r="J8864" s="28" t="s">
        <v>856</v>
      </c>
      <c r="K8864" s="27" t="s">
        <v>38</v>
      </c>
      <c r="L8864" s="27"/>
    </row>
    <row r="8865" customFormat="false" ht="15" hidden="false" customHeight="false" outlineLevel="0" collapsed="false">
      <c r="A8865" s="26" t="s">
        <v>22645</v>
      </c>
      <c r="B8865" s="27" t="s">
        <v>22646</v>
      </c>
      <c r="C8865" s="27" t="s">
        <v>144</v>
      </c>
      <c r="D8865" s="26"/>
      <c r="E8865" s="27"/>
      <c r="F8865" s="27"/>
      <c r="G8865" s="27" t="s">
        <v>11122</v>
      </c>
      <c r="H8865" s="27" t="s">
        <v>35</v>
      </c>
      <c r="I8865" s="27" t="s">
        <v>39</v>
      </c>
      <c r="J8865" s="28" t="s">
        <v>856</v>
      </c>
      <c r="K8865" s="27" t="s">
        <v>38</v>
      </c>
      <c r="L8865" s="27"/>
    </row>
    <row r="8866" customFormat="false" ht="15" hidden="false" customHeight="false" outlineLevel="0" collapsed="false">
      <c r="A8866" s="26" t="s">
        <v>22647</v>
      </c>
      <c r="B8866" s="27" t="s">
        <v>22648</v>
      </c>
      <c r="C8866" s="27" t="s">
        <v>144</v>
      </c>
      <c r="D8866" s="26"/>
      <c r="E8866" s="27"/>
      <c r="F8866" s="27"/>
      <c r="G8866" s="27" t="s">
        <v>11122</v>
      </c>
      <c r="H8866" s="27" t="s">
        <v>35</v>
      </c>
      <c r="I8866" s="27" t="s">
        <v>39</v>
      </c>
      <c r="J8866" s="28" t="s">
        <v>856</v>
      </c>
      <c r="K8866" s="27" t="s">
        <v>38</v>
      </c>
      <c r="L8866" s="27"/>
    </row>
    <row r="8867" customFormat="false" ht="15" hidden="false" customHeight="false" outlineLevel="0" collapsed="false">
      <c r="A8867" s="26" t="s">
        <v>22649</v>
      </c>
      <c r="B8867" s="27" t="s">
        <v>22650</v>
      </c>
      <c r="C8867" s="27" t="s">
        <v>144</v>
      </c>
      <c r="D8867" s="26"/>
      <c r="E8867" s="27"/>
      <c r="F8867" s="27"/>
      <c r="G8867" s="27" t="s">
        <v>11122</v>
      </c>
      <c r="H8867" s="27" t="s">
        <v>35</v>
      </c>
      <c r="I8867" s="27" t="s">
        <v>39</v>
      </c>
      <c r="J8867" s="28" t="s">
        <v>856</v>
      </c>
      <c r="K8867" s="27" t="s">
        <v>38</v>
      </c>
      <c r="L8867" s="27"/>
    </row>
    <row r="8868" customFormat="false" ht="15" hidden="false" customHeight="false" outlineLevel="0" collapsed="false">
      <c r="A8868" s="26" t="s">
        <v>22651</v>
      </c>
      <c r="B8868" s="27" t="s">
        <v>22652</v>
      </c>
      <c r="C8868" s="27" t="s">
        <v>144</v>
      </c>
      <c r="D8868" s="26"/>
      <c r="E8868" s="27"/>
      <c r="F8868" s="27"/>
      <c r="G8868" s="27" t="s">
        <v>11122</v>
      </c>
      <c r="H8868" s="27" t="s">
        <v>35</v>
      </c>
      <c r="I8868" s="27" t="s">
        <v>39</v>
      </c>
      <c r="J8868" s="28" t="s">
        <v>856</v>
      </c>
      <c r="K8868" s="27" t="s">
        <v>38</v>
      </c>
      <c r="L8868" s="27"/>
    </row>
    <row r="8869" customFormat="false" ht="15" hidden="false" customHeight="false" outlineLevel="0" collapsed="false">
      <c r="A8869" s="26" t="s">
        <v>22653</v>
      </c>
      <c r="B8869" s="27" t="s">
        <v>22654</v>
      </c>
      <c r="C8869" s="27" t="s">
        <v>144</v>
      </c>
      <c r="D8869" s="26"/>
      <c r="E8869" s="27"/>
      <c r="F8869" s="27"/>
      <c r="G8869" s="27" t="s">
        <v>11122</v>
      </c>
      <c r="H8869" s="27" t="s">
        <v>35</v>
      </c>
      <c r="I8869" s="27" t="s">
        <v>39</v>
      </c>
      <c r="J8869" s="28" t="s">
        <v>856</v>
      </c>
      <c r="K8869" s="27" t="s">
        <v>38</v>
      </c>
      <c r="L8869" s="27"/>
    </row>
    <row r="8870" customFormat="false" ht="15" hidden="false" customHeight="false" outlineLevel="0" collapsed="false">
      <c r="A8870" s="26" t="s">
        <v>22655</v>
      </c>
      <c r="B8870" s="27" t="s">
        <v>22656</v>
      </c>
      <c r="C8870" s="27" t="s">
        <v>144</v>
      </c>
      <c r="D8870" s="26"/>
      <c r="E8870" s="27"/>
      <c r="F8870" s="27"/>
      <c r="G8870" s="27" t="s">
        <v>11122</v>
      </c>
      <c r="H8870" s="27" t="s">
        <v>35</v>
      </c>
      <c r="I8870" s="27" t="s">
        <v>39</v>
      </c>
      <c r="J8870" s="28" t="s">
        <v>856</v>
      </c>
      <c r="K8870" s="27" t="s">
        <v>38</v>
      </c>
      <c r="L8870" s="27"/>
    </row>
    <row r="8871" customFormat="false" ht="15" hidden="false" customHeight="false" outlineLevel="0" collapsed="false">
      <c r="A8871" s="26" t="s">
        <v>22657</v>
      </c>
      <c r="B8871" s="27" t="s">
        <v>22658</v>
      </c>
      <c r="C8871" s="27" t="s">
        <v>144</v>
      </c>
      <c r="D8871" s="26"/>
      <c r="E8871" s="27"/>
      <c r="F8871" s="27"/>
      <c r="G8871" s="27" t="s">
        <v>11122</v>
      </c>
      <c r="H8871" s="27" t="s">
        <v>35</v>
      </c>
      <c r="I8871" s="27" t="s">
        <v>39</v>
      </c>
      <c r="J8871" s="28" t="s">
        <v>856</v>
      </c>
      <c r="K8871" s="27" t="s">
        <v>38</v>
      </c>
      <c r="L8871" s="27"/>
    </row>
    <row r="8872" customFormat="false" ht="15" hidden="false" customHeight="false" outlineLevel="0" collapsed="false">
      <c r="A8872" s="26" t="s">
        <v>22659</v>
      </c>
      <c r="B8872" s="27" t="s">
        <v>22660</v>
      </c>
      <c r="C8872" s="27" t="s">
        <v>144</v>
      </c>
      <c r="D8872" s="26"/>
      <c r="E8872" s="27"/>
      <c r="F8872" s="27"/>
      <c r="G8872" s="27" t="s">
        <v>11122</v>
      </c>
      <c r="H8872" s="27" t="s">
        <v>35</v>
      </c>
      <c r="I8872" s="27" t="s">
        <v>39</v>
      </c>
      <c r="J8872" s="28" t="s">
        <v>856</v>
      </c>
      <c r="K8872" s="27" t="s">
        <v>38</v>
      </c>
      <c r="L8872" s="27"/>
    </row>
    <row r="8873" customFormat="false" ht="15" hidden="false" customHeight="false" outlineLevel="0" collapsed="false">
      <c r="A8873" s="26" t="s">
        <v>22661</v>
      </c>
      <c r="B8873" s="27" t="s">
        <v>22662</v>
      </c>
      <c r="C8873" s="27" t="s">
        <v>144</v>
      </c>
      <c r="D8873" s="26"/>
      <c r="E8873" s="27"/>
      <c r="F8873" s="27"/>
      <c r="G8873" s="27" t="s">
        <v>11122</v>
      </c>
      <c r="H8873" s="27" t="s">
        <v>35</v>
      </c>
      <c r="I8873" s="27" t="s">
        <v>39</v>
      </c>
      <c r="J8873" s="28" t="s">
        <v>856</v>
      </c>
      <c r="K8873" s="27" t="s">
        <v>38</v>
      </c>
      <c r="L8873" s="27"/>
    </row>
    <row r="8874" customFormat="false" ht="15" hidden="false" customHeight="false" outlineLevel="0" collapsed="false">
      <c r="A8874" s="26" t="s">
        <v>22663</v>
      </c>
      <c r="B8874" s="27" t="s">
        <v>22664</v>
      </c>
      <c r="C8874" s="27" t="s">
        <v>144</v>
      </c>
      <c r="D8874" s="26"/>
      <c r="E8874" s="27"/>
      <c r="F8874" s="27"/>
      <c r="G8874" s="27" t="s">
        <v>11122</v>
      </c>
      <c r="H8874" s="27" t="s">
        <v>35</v>
      </c>
      <c r="I8874" s="27" t="s">
        <v>39</v>
      </c>
      <c r="J8874" s="28" t="s">
        <v>856</v>
      </c>
      <c r="K8874" s="27" t="s">
        <v>38</v>
      </c>
      <c r="L8874" s="27"/>
    </row>
    <row r="8875" customFormat="false" ht="15" hidden="false" customHeight="false" outlineLevel="0" collapsed="false">
      <c r="A8875" s="26" t="s">
        <v>22665</v>
      </c>
      <c r="B8875" s="27" t="s">
        <v>22666</v>
      </c>
      <c r="C8875" s="27" t="s">
        <v>144</v>
      </c>
      <c r="D8875" s="26"/>
      <c r="E8875" s="27"/>
      <c r="F8875" s="27"/>
      <c r="G8875" s="27" t="s">
        <v>11122</v>
      </c>
      <c r="H8875" s="27" t="s">
        <v>35</v>
      </c>
      <c r="I8875" s="27" t="s">
        <v>39</v>
      </c>
      <c r="J8875" s="28" t="s">
        <v>856</v>
      </c>
      <c r="K8875" s="27" t="s">
        <v>38</v>
      </c>
      <c r="L8875" s="27"/>
    </row>
    <row r="8876" customFormat="false" ht="15" hidden="false" customHeight="false" outlineLevel="0" collapsed="false">
      <c r="A8876" s="26" t="s">
        <v>22667</v>
      </c>
      <c r="B8876" s="27" t="s">
        <v>22668</v>
      </c>
      <c r="C8876" s="27" t="s">
        <v>144</v>
      </c>
      <c r="D8876" s="26"/>
      <c r="E8876" s="27"/>
      <c r="F8876" s="27"/>
      <c r="G8876" s="27" t="s">
        <v>11122</v>
      </c>
      <c r="H8876" s="27" t="s">
        <v>35</v>
      </c>
      <c r="I8876" s="27" t="s">
        <v>39</v>
      </c>
      <c r="J8876" s="28" t="s">
        <v>856</v>
      </c>
      <c r="K8876" s="27" t="s">
        <v>38</v>
      </c>
      <c r="L8876" s="27"/>
    </row>
    <row r="8877" customFormat="false" ht="15" hidden="false" customHeight="false" outlineLevel="0" collapsed="false">
      <c r="A8877" s="26" t="s">
        <v>22669</v>
      </c>
      <c r="B8877" s="27" t="s">
        <v>22670</v>
      </c>
      <c r="C8877" s="27" t="s">
        <v>144</v>
      </c>
      <c r="D8877" s="26"/>
      <c r="E8877" s="27"/>
      <c r="F8877" s="27"/>
      <c r="G8877" s="27" t="s">
        <v>11122</v>
      </c>
      <c r="H8877" s="27" t="s">
        <v>35</v>
      </c>
      <c r="I8877" s="27" t="s">
        <v>38</v>
      </c>
      <c r="J8877" s="28" t="s">
        <v>856</v>
      </c>
      <c r="K8877" s="27" t="s">
        <v>38</v>
      </c>
      <c r="L8877" s="27"/>
    </row>
    <row r="8878" customFormat="false" ht="15" hidden="false" customHeight="false" outlineLevel="0" collapsed="false">
      <c r="A8878" s="26" t="s">
        <v>22671</v>
      </c>
      <c r="B8878" s="27" t="s">
        <v>22672</v>
      </c>
      <c r="C8878" s="27" t="s">
        <v>144</v>
      </c>
      <c r="D8878" s="26"/>
      <c r="E8878" s="27"/>
      <c r="F8878" s="27"/>
      <c r="G8878" s="27" t="s">
        <v>11122</v>
      </c>
      <c r="H8878" s="27" t="s">
        <v>35</v>
      </c>
      <c r="I8878" s="27" t="s">
        <v>38</v>
      </c>
      <c r="J8878" s="28" t="s">
        <v>856</v>
      </c>
      <c r="K8878" s="27" t="s">
        <v>38</v>
      </c>
      <c r="L8878" s="27"/>
    </row>
    <row r="8879" customFormat="false" ht="15" hidden="false" customHeight="false" outlineLevel="0" collapsed="false">
      <c r="A8879" s="26" t="s">
        <v>22673</v>
      </c>
      <c r="B8879" s="27" t="s">
        <v>22674</v>
      </c>
      <c r="C8879" s="27" t="s">
        <v>144</v>
      </c>
      <c r="D8879" s="26"/>
      <c r="E8879" s="27"/>
      <c r="F8879" s="27"/>
      <c r="G8879" s="27" t="s">
        <v>11122</v>
      </c>
      <c r="H8879" s="27" t="s">
        <v>35</v>
      </c>
      <c r="I8879" s="27" t="s">
        <v>37</v>
      </c>
      <c r="J8879" s="28" t="s">
        <v>856</v>
      </c>
      <c r="K8879" s="27" t="s">
        <v>38</v>
      </c>
      <c r="L8879" s="27"/>
    </row>
    <row r="8880" customFormat="false" ht="15" hidden="false" customHeight="false" outlineLevel="0" collapsed="false">
      <c r="A8880" s="26" t="s">
        <v>22675</v>
      </c>
      <c r="B8880" s="27" t="s">
        <v>22676</v>
      </c>
      <c r="C8880" s="27" t="s">
        <v>144</v>
      </c>
      <c r="D8880" s="26"/>
      <c r="E8880" s="27"/>
      <c r="F8880" s="27"/>
      <c r="G8880" s="27" t="s">
        <v>11122</v>
      </c>
      <c r="H8880" s="27" t="s">
        <v>35</v>
      </c>
      <c r="I8880" s="27" t="s">
        <v>39</v>
      </c>
      <c r="J8880" s="28" t="s">
        <v>856</v>
      </c>
      <c r="K8880" s="27" t="s">
        <v>38</v>
      </c>
      <c r="L8880" s="27"/>
    </row>
    <row r="8881" customFormat="false" ht="15" hidden="false" customHeight="false" outlineLevel="0" collapsed="false">
      <c r="A8881" s="26" t="s">
        <v>22677</v>
      </c>
      <c r="B8881" s="27" t="s">
        <v>22678</v>
      </c>
      <c r="C8881" s="27" t="s">
        <v>144</v>
      </c>
      <c r="D8881" s="26"/>
      <c r="E8881" s="27"/>
      <c r="F8881" s="27"/>
      <c r="G8881" s="27" t="s">
        <v>11122</v>
      </c>
      <c r="H8881" s="27" t="s">
        <v>35</v>
      </c>
      <c r="I8881" s="27" t="s">
        <v>38</v>
      </c>
      <c r="J8881" s="28" t="s">
        <v>856</v>
      </c>
      <c r="K8881" s="27" t="s">
        <v>38</v>
      </c>
      <c r="L8881" s="27"/>
    </row>
    <row r="8882" customFormat="false" ht="15" hidden="false" customHeight="false" outlineLevel="0" collapsed="false">
      <c r="A8882" s="26" t="s">
        <v>22679</v>
      </c>
      <c r="B8882" s="27" t="s">
        <v>22680</v>
      </c>
      <c r="C8882" s="27" t="s">
        <v>144</v>
      </c>
      <c r="D8882" s="26"/>
      <c r="E8882" s="27"/>
      <c r="F8882" s="27"/>
      <c r="G8882" s="27" t="s">
        <v>11122</v>
      </c>
      <c r="H8882" s="27" t="s">
        <v>35</v>
      </c>
      <c r="I8882" s="27" t="s">
        <v>38</v>
      </c>
      <c r="J8882" s="28" t="s">
        <v>856</v>
      </c>
      <c r="K8882" s="27" t="s">
        <v>38</v>
      </c>
      <c r="L8882" s="27"/>
    </row>
    <row r="8883" customFormat="false" ht="15" hidden="false" customHeight="false" outlineLevel="0" collapsed="false">
      <c r="A8883" s="26" t="s">
        <v>22681</v>
      </c>
      <c r="B8883" s="27" t="s">
        <v>22682</v>
      </c>
      <c r="C8883" s="27" t="s">
        <v>144</v>
      </c>
      <c r="D8883" s="26"/>
      <c r="E8883" s="27"/>
      <c r="F8883" s="27"/>
      <c r="G8883" s="27" t="s">
        <v>11122</v>
      </c>
      <c r="H8883" s="27" t="s">
        <v>35</v>
      </c>
      <c r="I8883" s="27" t="s">
        <v>38</v>
      </c>
      <c r="J8883" s="28" t="s">
        <v>856</v>
      </c>
      <c r="K8883" s="27" t="s">
        <v>38</v>
      </c>
      <c r="L8883" s="27"/>
    </row>
    <row r="8884" customFormat="false" ht="15" hidden="false" customHeight="false" outlineLevel="0" collapsed="false">
      <c r="A8884" s="26" t="s">
        <v>22683</v>
      </c>
      <c r="B8884" s="27" t="s">
        <v>22684</v>
      </c>
      <c r="C8884" s="27" t="s">
        <v>144</v>
      </c>
      <c r="D8884" s="26"/>
      <c r="E8884" s="27"/>
      <c r="F8884" s="27"/>
      <c r="G8884" s="27" t="s">
        <v>11122</v>
      </c>
      <c r="H8884" s="27" t="s">
        <v>35</v>
      </c>
      <c r="I8884" s="27" t="s">
        <v>39</v>
      </c>
      <c r="J8884" s="28" t="s">
        <v>856</v>
      </c>
      <c r="K8884" s="27" t="s">
        <v>38</v>
      </c>
      <c r="L8884" s="27"/>
    </row>
    <row r="8885" customFormat="false" ht="15" hidden="false" customHeight="false" outlineLevel="0" collapsed="false">
      <c r="A8885" s="26" t="s">
        <v>22685</v>
      </c>
      <c r="B8885" s="27" t="s">
        <v>22686</v>
      </c>
      <c r="C8885" s="27" t="s">
        <v>144</v>
      </c>
      <c r="D8885" s="26"/>
      <c r="E8885" s="27"/>
      <c r="F8885" s="27"/>
      <c r="G8885" s="27" t="s">
        <v>11122</v>
      </c>
      <c r="H8885" s="27" t="s">
        <v>35</v>
      </c>
      <c r="I8885" s="27" t="s">
        <v>39</v>
      </c>
      <c r="J8885" s="28" t="s">
        <v>856</v>
      </c>
      <c r="K8885" s="27" t="s">
        <v>38</v>
      </c>
      <c r="L8885" s="27"/>
    </row>
    <row r="8886" customFormat="false" ht="15" hidden="false" customHeight="false" outlineLevel="0" collapsed="false">
      <c r="A8886" s="26" t="s">
        <v>22687</v>
      </c>
      <c r="B8886" s="27" t="s">
        <v>22688</v>
      </c>
      <c r="C8886" s="27" t="s">
        <v>100</v>
      </c>
      <c r="D8886" s="26"/>
      <c r="E8886" s="27"/>
      <c r="F8886" s="27"/>
      <c r="G8886" s="27" t="s">
        <v>11122</v>
      </c>
      <c r="H8886" s="27" t="s">
        <v>35</v>
      </c>
      <c r="I8886" s="27" t="s">
        <v>44</v>
      </c>
      <c r="J8886" s="28" t="s">
        <v>856</v>
      </c>
      <c r="K8886" s="27" t="s">
        <v>38</v>
      </c>
      <c r="L8886" s="27"/>
    </row>
    <row r="8887" customFormat="false" ht="15" hidden="false" customHeight="false" outlineLevel="0" collapsed="false">
      <c r="A8887" s="26" t="s">
        <v>22689</v>
      </c>
      <c r="B8887" s="27" t="s">
        <v>22690</v>
      </c>
      <c r="C8887" s="27" t="s">
        <v>144</v>
      </c>
      <c r="D8887" s="26"/>
      <c r="E8887" s="27"/>
      <c r="F8887" s="27"/>
      <c r="G8887" s="27" t="s">
        <v>11122</v>
      </c>
      <c r="H8887" s="27" t="s">
        <v>35</v>
      </c>
      <c r="I8887" s="27" t="s">
        <v>41</v>
      </c>
      <c r="J8887" s="28" t="s">
        <v>856</v>
      </c>
      <c r="K8887" s="27" t="s">
        <v>38</v>
      </c>
      <c r="L8887" s="27"/>
    </row>
    <row r="8888" customFormat="false" ht="15" hidden="false" customHeight="false" outlineLevel="0" collapsed="false">
      <c r="A8888" s="26" t="s">
        <v>22691</v>
      </c>
      <c r="B8888" s="27" t="s">
        <v>22692</v>
      </c>
      <c r="C8888" s="27" t="s">
        <v>144</v>
      </c>
      <c r="D8888" s="26"/>
      <c r="E8888" s="27"/>
      <c r="F8888" s="27"/>
      <c r="G8888" s="27" t="s">
        <v>11122</v>
      </c>
      <c r="H8888" s="27" t="s">
        <v>35</v>
      </c>
      <c r="I8888" s="27" t="s">
        <v>48</v>
      </c>
      <c r="J8888" s="28" t="s">
        <v>856</v>
      </c>
      <c r="K8888" s="27" t="s">
        <v>38</v>
      </c>
      <c r="L8888" s="27"/>
    </row>
    <row r="8889" customFormat="false" ht="15" hidden="false" customHeight="false" outlineLevel="0" collapsed="false">
      <c r="A8889" s="26" t="s">
        <v>22693</v>
      </c>
      <c r="B8889" s="27" t="s">
        <v>22694</v>
      </c>
      <c r="C8889" s="27" t="s">
        <v>144</v>
      </c>
      <c r="D8889" s="26"/>
      <c r="E8889" s="27"/>
      <c r="F8889" s="27"/>
      <c r="G8889" s="27" t="s">
        <v>11122</v>
      </c>
      <c r="H8889" s="27" t="s">
        <v>35</v>
      </c>
      <c r="I8889" s="27" t="s">
        <v>38</v>
      </c>
      <c r="J8889" s="28" t="s">
        <v>856</v>
      </c>
      <c r="K8889" s="27" t="s">
        <v>38</v>
      </c>
      <c r="L8889" s="27"/>
    </row>
    <row r="8890" customFormat="false" ht="15" hidden="false" customHeight="false" outlineLevel="0" collapsed="false">
      <c r="A8890" s="26" t="s">
        <v>22695</v>
      </c>
      <c r="B8890" s="27" t="s">
        <v>22696</v>
      </c>
      <c r="C8890" s="27" t="s">
        <v>144</v>
      </c>
      <c r="D8890" s="26"/>
      <c r="E8890" s="27"/>
      <c r="F8890" s="27"/>
      <c r="G8890" s="27" t="s">
        <v>11122</v>
      </c>
      <c r="H8890" s="27" t="s">
        <v>35</v>
      </c>
      <c r="I8890" s="27" t="s">
        <v>38</v>
      </c>
      <c r="J8890" s="28" t="s">
        <v>856</v>
      </c>
      <c r="K8890" s="27" t="s">
        <v>38</v>
      </c>
      <c r="L8890" s="27"/>
    </row>
    <row r="8891" customFormat="false" ht="15" hidden="false" customHeight="false" outlineLevel="0" collapsed="false">
      <c r="A8891" s="26" t="s">
        <v>22697</v>
      </c>
      <c r="B8891" s="27" t="s">
        <v>22698</v>
      </c>
      <c r="C8891" s="27" t="s">
        <v>144</v>
      </c>
      <c r="D8891" s="26"/>
      <c r="E8891" s="27"/>
      <c r="F8891" s="27"/>
      <c r="G8891" s="27" t="s">
        <v>11122</v>
      </c>
      <c r="H8891" s="27" t="s">
        <v>35</v>
      </c>
      <c r="I8891" s="27" t="s">
        <v>38</v>
      </c>
      <c r="J8891" s="28" t="s">
        <v>856</v>
      </c>
      <c r="K8891" s="27" t="s">
        <v>38</v>
      </c>
      <c r="L8891" s="27"/>
    </row>
    <row r="8892" customFormat="false" ht="15" hidden="false" customHeight="false" outlineLevel="0" collapsed="false">
      <c r="A8892" s="26" t="s">
        <v>22699</v>
      </c>
      <c r="B8892" s="27" t="s">
        <v>22700</v>
      </c>
      <c r="C8892" s="27" t="s">
        <v>144</v>
      </c>
      <c r="D8892" s="26"/>
      <c r="E8892" s="27"/>
      <c r="F8892" s="27"/>
      <c r="G8892" s="27" t="s">
        <v>11122</v>
      </c>
      <c r="H8892" s="27" t="s">
        <v>35</v>
      </c>
      <c r="I8892" s="27" t="s">
        <v>38</v>
      </c>
      <c r="J8892" s="28" t="s">
        <v>856</v>
      </c>
      <c r="K8892" s="27" t="s">
        <v>38</v>
      </c>
      <c r="L8892" s="27"/>
    </row>
    <row r="8893" customFormat="false" ht="15" hidden="false" customHeight="false" outlineLevel="0" collapsed="false">
      <c r="A8893" s="26" t="s">
        <v>22701</v>
      </c>
      <c r="B8893" s="27" t="s">
        <v>22702</v>
      </c>
      <c r="C8893" s="27" t="s">
        <v>144</v>
      </c>
      <c r="D8893" s="26"/>
      <c r="E8893" s="27"/>
      <c r="F8893" s="27"/>
      <c r="G8893" s="27" t="s">
        <v>11122</v>
      </c>
      <c r="H8893" s="27" t="s">
        <v>35</v>
      </c>
      <c r="I8893" s="27" t="s">
        <v>38</v>
      </c>
      <c r="J8893" s="28" t="s">
        <v>856</v>
      </c>
      <c r="K8893" s="27" t="s">
        <v>38</v>
      </c>
      <c r="L8893" s="27"/>
    </row>
    <row r="8894" customFormat="false" ht="15" hidden="false" customHeight="false" outlineLevel="0" collapsed="false">
      <c r="A8894" s="26" t="s">
        <v>22703</v>
      </c>
      <c r="B8894" s="27" t="s">
        <v>22704</v>
      </c>
      <c r="C8894" s="27" t="s">
        <v>144</v>
      </c>
      <c r="D8894" s="26"/>
      <c r="E8894" s="27"/>
      <c r="F8894" s="27"/>
      <c r="G8894" s="27" t="s">
        <v>11122</v>
      </c>
      <c r="H8894" s="27" t="s">
        <v>35</v>
      </c>
      <c r="I8894" s="27" t="s">
        <v>38</v>
      </c>
      <c r="J8894" s="28" t="s">
        <v>856</v>
      </c>
      <c r="K8894" s="27" t="s">
        <v>38</v>
      </c>
      <c r="L8894" s="27"/>
    </row>
    <row r="8895" customFormat="false" ht="15" hidden="false" customHeight="false" outlineLevel="0" collapsed="false">
      <c r="A8895" s="26" t="s">
        <v>22705</v>
      </c>
      <c r="B8895" s="27" t="s">
        <v>22706</v>
      </c>
      <c r="C8895" s="27" t="s">
        <v>144</v>
      </c>
      <c r="D8895" s="26"/>
      <c r="E8895" s="27"/>
      <c r="F8895" s="27"/>
      <c r="G8895" s="27" t="s">
        <v>11122</v>
      </c>
      <c r="H8895" s="27" t="s">
        <v>35</v>
      </c>
      <c r="I8895" s="27" t="s">
        <v>38</v>
      </c>
      <c r="J8895" s="28" t="s">
        <v>856</v>
      </c>
      <c r="K8895" s="27" t="s">
        <v>38</v>
      </c>
      <c r="L8895" s="27"/>
    </row>
    <row r="8896" customFormat="false" ht="15" hidden="false" customHeight="false" outlineLevel="0" collapsed="false">
      <c r="A8896" s="26" t="s">
        <v>22707</v>
      </c>
      <c r="B8896" s="27" t="s">
        <v>22708</v>
      </c>
      <c r="C8896" s="27" t="s">
        <v>100</v>
      </c>
      <c r="D8896" s="26"/>
      <c r="E8896" s="27"/>
      <c r="F8896" s="27"/>
      <c r="G8896" s="27" t="s">
        <v>11122</v>
      </c>
      <c r="H8896" s="27" t="s">
        <v>35</v>
      </c>
      <c r="I8896" s="27" t="s">
        <v>42</v>
      </c>
      <c r="J8896" s="28" t="s">
        <v>856</v>
      </c>
      <c r="K8896" s="27" t="s">
        <v>38</v>
      </c>
      <c r="L8896" s="27"/>
    </row>
    <row r="8897" customFormat="false" ht="15" hidden="false" customHeight="false" outlineLevel="0" collapsed="false">
      <c r="A8897" s="26" t="s">
        <v>22709</v>
      </c>
      <c r="B8897" s="27" t="s">
        <v>22710</v>
      </c>
      <c r="C8897" s="27" t="s">
        <v>144</v>
      </c>
      <c r="D8897" s="26"/>
      <c r="E8897" s="27"/>
      <c r="F8897" s="27"/>
      <c r="G8897" s="27" t="s">
        <v>11122</v>
      </c>
      <c r="H8897" s="27" t="s">
        <v>35</v>
      </c>
      <c r="I8897" s="27" t="s">
        <v>39</v>
      </c>
      <c r="J8897" s="28" t="s">
        <v>856</v>
      </c>
      <c r="K8897" s="27" t="s">
        <v>38</v>
      </c>
      <c r="L8897" s="27"/>
    </row>
    <row r="8898" customFormat="false" ht="15" hidden="false" customHeight="false" outlineLevel="0" collapsed="false">
      <c r="A8898" s="26" t="s">
        <v>22711</v>
      </c>
      <c r="B8898" s="27" t="s">
        <v>22712</v>
      </c>
      <c r="C8898" s="27" t="s">
        <v>144</v>
      </c>
      <c r="D8898" s="26"/>
      <c r="E8898" s="27"/>
      <c r="F8898" s="27"/>
      <c r="G8898" s="27" t="s">
        <v>11122</v>
      </c>
      <c r="H8898" s="27" t="s">
        <v>35</v>
      </c>
      <c r="I8898" s="27" t="s">
        <v>39</v>
      </c>
      <c r="J8898" s="28" t="s">
        <v>856</v>
      </c>
      <c r="K8898" s="27" t="s">
        <v>38</v>
      </c>
      <c r="L8898" s="27"/>
    </row>
    <row r="8899" customFormat="false" ht="15" hidden="false" customHeight="false" outlineLevel="0" collapsed="false">
      <c r="A8899" s="26" t="s">
        <v>22713</v>
      </c>
      <c r="B8899" s="27" t="s">
        <v>22714</v>
      </c>
      <c r="C8899" s="27" t="s">
        <v>144</v>
      </c>
      <c r="D8899" s="26"/>
      <c r="E8899" s="27"/>
      <c r="F8899" s="27"/>
      <c r="G8899" s="27" t="s">
        <v>11122</v>
      </c>
      <c r="H8899" s="27" t="s">
        <v>35</v>
      </c>
      <c r="I8899" s="27" t="s">
        <v>39</v>
      </c>
      <c r="J8899" s="28" t="s">
        <v>856</v>
      </c>
      <c r="K8899" s="27" t="s">
        <v>38</v>
      </c>
      <c r="L8899" s="27"/>
    </row>
    <row r="8900" customFormat="false" ht="15" hidden="false" customHeight="false" outlineLevel="0" collapsed="false">
      <c r="A8900" s="26" t="s">
        <v>22715</v>
      </c>
      <c r="B8900" s="27" t="s">
        <v>22716</v>
      </c>
      <c r="C8900" s="27" t="s">
        <v>144</v>
      </c>
      <c r="D8900" s="26"/>
      <c r="E8900" s="27"/>
      <c r="F8900" s="27"/>
      <c r="G8900" s="27" t="s">
        <v>11122</v>
      </c>
      <c r="H8900" s="27" t="s">
        <v>35</v>
      </c>
      <c r="I8900" s="27" t="s">
        <v>39</v>
      </c>
      <c r="J8900" s="28" t="s">
        <v>856</v>
      </c>
      <c r="K8900" s="27" t="s">
        <v>38</v>
      </c>
      <c r="L8900" s="27"/>
    </row>
    <row r="8901" customFormat="false" ht="15" hidden="false" customHeight="false" outlineLevel="0" collapsed="false">
      <c r="A8901" s="26" t="s">
        <v>22717</v>
      </c>
      <c r="B8901" s="27" t="s">
        <v>22718</v>
      </c>
      <c r="C8901" s="27" t="s">
        <v>144</v>
      </c>
      <c r="D8901" s="26"/>
      <c r="E8901" s="27"/>
      <c r="F8901" s="27"/>
      <c r="G8901" s="27" t="s">
        <v>11122</v>
      </c>
      <c r="H8901" s="27" t="s">
        <v>35</v>
      </c>
      <c r="I8901" s="27" t="s">
        <v>42</v>
      </c>
      <c r="J8901" s="28" t="s">
        <v>856</v>
      </c>
      <c r="K8901" s="27" t="s">
        <v>38</v>
      </c>
      <c r="L8901" s="27"/>
    </row>
    <row r="8902" customFormat="false" ht="15" hidden="false" customHeight="false" outlineLevel="0" collapsed="false">
      <c r="A8902" s="26" t="s">
        <v>22719</v>
      </c>
      <c r="B8902" s="27" t="s">
        <v>22720</v>
      </c>
      <c r="C8902" s="27" t="s">
        <v>144</v>
      </c>
      <c r="D8902" s="26"/>
      <c r="E8902" s="27"/>
      <c r="F8902" s="27"/>
      <c r="G8902" s="27" t="s">
        <v>11122</v>
      </c>
      <c r="H8902" s="27" t="s">
        <v>35</v>
      </c>
      <c r="I8902" s="27" t="s">
        <v>39</v>
      </c>
      <c r="J8902" s="28" t="s">
        <v>856</v>
      </c>
      <c r="K8902" s="27" t="s">
        <v>38</v>
      </c>
      <c r="L8902" s="27"/>
    </row>
    <row r="8903" customFormat="false" ht="15" hidden="false" customHeight="false" outlineLevel="0" collapsed="false">
      <c r="A8903" s="26" t="s">
        <v>22721</v>
      </c>
      <c r="B8903" s="27" t="s">
        <v>22722</v>
      </c>
      <c r="C8903" s="27" t="s">
        <v>144</v>
      </c>
      <c r="D8903" s="26"/>
      <c r="E8903" s="27"/>
      <c r="F8903" s="27"/>
      <c r="G8903" s="27" t="s">
        <v>11122</v>
      </c>
      <c r="H8903" s="27" t="s">
        <v>35</v>
      </c>
      <c r="I8903" s="27" t="s">
        <v>39</v>
      </c>
      <c r="J8903" s="28" t="s">
        <v>856</v>
      </c>
      <c r="K8903" s="27" t="s">
        <v>38</v>
      </c>
      <c r="L8903" s="27"/>
    </row>
    <row r="8904" customFormat="false" ht="15" hidden="false" customHeight="false" outlineLevel="0" collapsed="false">
      <c r="A8904" s="26" t="s">
        <v>22723</v>
      </c>
      <c r="B8904" s="27" t="s">
        <v>22724</v>
      </c>
      <c r="C8904" s="27" t="s">
        <v>144</v>
      </c>
      <c r="D8904" s="26"/>
      <c r="E8904" s="27"/>
      <c r="F8904" s="27"/>
      <c r="G8904" s="27" t="s">
        <v>11122</v>
      </c>
      <c r="H8904" s="27" t="s">
        <v>35</v>
      </c>
      <c r="I8904" s="27" t="s">
        <v>39</v>
      </c>
      <c r="J8904" s="28" t="s">
        <v>856</v>
      </c>
      <c r="K8904" s="27" t="s">
        <v>38</v>
      </c>
      <c r="L8904" s="27"/>
    </row>
    <row r="8905" customFormat="false" ht="15" hidden="false" customHeight="false" outlineLevel="0" collapsed="false">
      <c r="A8905" s="26" t="s">
        <v>22725</v>
      </c>
      <c r="B8905" s="27" t="s">
        <v>22726</v>
      </c>
      <c r="C8905" s="27" t="s">
        <v>144</v>
      </c>
      <c r="D8905" s="26"/>
      <c r="E8905" s="27"/>
      <c r="F8905" s="27"/>
      <c r="G8905" s="27" t="s">
        <v>11122</v>
      </c>
      <c r="H8905" s="27" t="s">
        <v>35</v>
      </c>
      <c r="I8905" s="27" t="s">
        <v>39</v>
      </c>
      <c r="J8905" s="28" t="s">
        <v>856</v>
      </c>
      <c r="K8905" s="27" t="s">
        <v>38</v>
      </c>
      <c r="L8905" s="27"/>
    </row>
    <row r="8906" customFormat="false" ht="15" hidden="false" customHeight="false" outlineLevel="0" collapsed="false">
      <c r="A8906" s="26" t="s">
        <v>22727</v>
      </c>
      <c r="B8906" s="27" t="s">
        <v>22728</v>
      </c>
      <c r="C8906" s="27" t="s">
        <v>144</v>
      </c>
      <c r="D8906" s="26"/>
      <c r="E8906" s="27"/>
      <c r="F8906" s="27"/>
      <c r="G8906" s="27" t="s">
        <v>11122</v>
      </c>
      <c r="H8906" s="27" t="s">
        <v>35</v>
      </c>
      <c r="I8906" s="27" t="s">
        <v>39</v>
      </c>
      <c r="J8906" s="28" t="s">
        <v>856</v>
      </c>
      <c r="K8906" s="27" t="s">
        <v>38</v>
      </c>
      <c r="L8906" s="27"/>
    </row>
    <row r="8907" customFormat="false" ht="15" hidden="false" customHeight="false" outlineLevel="0" collapsed="false">
      <c r="A8907" s="26" t="s">
        <v>22729</v>
      </c>
      <c r="B8907" s="27" t="s">
        <v>22730</v>
      </c>
      <c r="C8907" s="27" t="s">
        <v>144</v>
      </c>
      <c r="D8907" s="26"/>
      <c r="E8907" s="27"/>
      <c r="F8907" s="27"/>
      <c r="G8907" s="27" t="s">
        <v>11122</v>
      </c>
      <c r="H8907" s="27" t="s">
        <v>35</v>
      </c>
      <c r="I8907" s="27" t="s">
        <v>43</v>
      </c>
      <c r="J8907" s="28" t="s">
        <v>856</v>
      </c>
      <c r="K8907" s="27" t="s">
        <v>38</v>
      </c>
      <c r="L8907" s="27"/>
    </row>
    <row r="8908" customFormat="false" ht="15" hidden="false" customHeight="false" outlineLevel="0" collapsed="false">
      <c r="A8908" s="26" t="s">
        <v>22731</v>
      </c>
      <c r="B8908" s="27" t="s">
        <v>22732</v>
      </c>
      <c r="C8908" s="27" t="s">
        <v>144</v>
      </c>
      <c r="D8908" s="26"/>
      <c r="E8908" s="27"/>
      <c r="F8908" s="27"/>
      <c r="G8908" s="27" t="s">
        <v>11122</v>
      </c>
      <c r="H8908" s="27" t="s">
        <v>35</v>
      </c>
      <c r="I8908" s="27" t="s">
        <v>38</v>
      </c>
      <c r="J8908" s="28" t="s">
        <v>856</v>
      </c>
      <c r="K8908" s="27" t="s">
        <v>38</v>
      </c>
      <c r="L8908" s="27"/>
    </row>
    <row r="8909" customFormat="false" ht="15" hidden="false" customHeight="false" outlineLevel="0" collapsed="false">
      <c r="A8909" s="26" t="s">
        <v>22733</v>
      </c>
      <c r="B8909" s="27" t="s">
        <v>22734</v>
      </c>
      <c r="C8909" s="27" t="s">
        <v>144</v>
      </c>
      <c r="D8909" s="26"/>
      <c r="E8909" s="27"/>
      <c r="F8909" s="27"/>
      <c r="G8909" s="27" t="s">
        <v>11122</v>
      </c>
      <c r="H8909" s="27" t="s">
        <v>35</v>
      </c>
      <c r="I8909" s="27" t="s">
        <v>38</v>
      </c>
      <c r="J8909" s="28" t="s">
        <v>856</v>
      </c>
      <c r="K8909" s="27" t="s">
        <v>38</v>
      </c>
      <c r="L8909" s="27"/>
    </row>
    <row r="8910" customFormat="false" ht="15" hidden="false" customHeight="false" outlineLevel="0" collapsed="false">
      <c r="A8910" s="26" t="s">
        <v>22735</v>
      </c>
      <c r="B8910" s="27" t="s">
        <v>22736</v>
      </c>
      <c r="C8910" s="27" t="s">
        <v>144</v>
      </c>
      <c r="D8910" s="26"/>
      <c r="E8910" s="27"/>
      <c r="F8910" s="27"/>
      <c r="G8910" s="27" t="s">
        <v>11122</v>
      </c>
      <c r="H8910" s="27" t="s">
        <v>35</v>
      </c>
      <c r="I8910" s="27" t="s">
        <v>38</v>
      </c>
      <c r="J8910" s="28" t="s">
        <v>856</v>
      </c>
      <c r="K8910" s="27" t="s">
        <v>38</v>
      </c>
      <c r="L8910" s="27"/>
    </row>
    <row r="8911" customFormat="false" ht="15" hidden="false" customHeight="false" outlineLevel="0" collapsed="false">
      <c r="A8911" s="26" t="s">
        <v>22737</v>
      </c>
      <c r="B8911" s="27" t="s">
        <v>22738</v>
      </c>
      <c r="C8911" s="27" t="s">
        <v>144</v>
      </c>
      <c r="D8911" s="26"/>
      <c r="E8911" s="27"/>
      <c r="F8911" s="27"/>
      <c r="G8911" s="27" t="s">
        <v>11122</v>
      </c>
      <c r="H8911" s="27" t="s">
        <v>35</v>
      </c>
      <c r="I8911" s="27" t="s">
        <v>37</v>
      </c>
      <c r="J8911" s="28" t="s">
        <v>856</v>
      </c>
      <c r="K8911" s="27" t="s">
        <v>38</v>
      </c>
      <c r="L8911" s="27"/>
    </row>
    <row r="8912" customFormat="false" ht="15" hidden="false" customHeight="false" outlineLevel="0" collapsed="false">
      <c r="A8912" s="26" t="s">
        <v>22739</v>
      </c>
      <c r="B8912" s="27" t="s">
        <v>22740</v>
      </c>
      <c r="C8912" s="27" t="s">
        <v>144</v>
      </c>
      <c r="D8912" s="26"/>
      <c r="E8912" s="27"/>
      <c r="F8912" s="27"/>
      <c r="G8912" s="27" t="s">
        <v>11122</v>
      </c>
      <c r="H8912" s="27" t="s">
        <v>35</v>
      </c>
      <c r="I8912" s="27" t="s">
        <v>37</v>
      </c>
      <c r="J8912" s="28" t="s">
        <v>856</v>
      </c>
      <c r="K8912" s="27" t="s">
        <v>38</v>
      </c>
      <c r="L8912" s="27"/>
    </row>
    <row r="8913" customFormat="false" ht="15" hidden="false" customHeight="false" outlineLevel="0" collapsed="false">
      <c r="A8913" s="26" t="s">
        <v>22741</v>
      </c>
      <c r="B8913" s="27" t="s">
        <v>22742</v>
      </c>
      <c r="C8913" s="27" t="s">
        <v>144</v>
      </c>
      <c r="D8913" s="26"/>
      <c r="E8913" s="27"/>
      <c r="F8913" s="27"/>
      <c r="G8913" s="27" t="s">
        <v>11122</v>
      </c>
      <c r="H8913" s="27" t="s">
        <v>35</v>
      </c>
      <c r="I8913" s="27" t="s">
        <v>38</v>
      </c>
      <c r="J8913" s="28" t="s">
        <v>856</v>
      </c>
      <c r="K8913" s="27" t="s">
        <v>38</v>
      </c>
      <c r="L8913" s="27"/>
    </row>
    <row r="8914" customFormat="false" ht="15" hidden="false" customHeight="false" outlineLevel="0" collapsed="false">
      <c r="A8914" s="26" t="s">
        <v>22743</v>
      </c>
      <c r="B8914" s="27" t="s">
        <v>22744</v>
      </c>
      <c r="C8914" s="27" t="s">
        <v>144</v>
      </c>
      <c r="D8914" s="26"/>
      <c r="E8914" s="27"/>
      <c r="F8914" s="27"/>
      <c r="G8914" s="27" t="s">
        <v>11122</v>
      </c>
      <c r="H8914" s="27" t="s">
        <v>35</v>
      </c>
      <c r="I8914" s="27" t="s">
        <v>39</v>
      </c>
      <c r="J8914" s="28" t="s">
        <v>856</v>
      </c>
      <c r="K8914" s="27" t="s">
        <v>38</v>
      </c>
      <c r="L8914" s="27"/>
    </row>
    <row r="8915" customFormat="false" ht="15" hidden="false" customHeight="false" outlineLevel="0" collapsed="false">
      <c r="A8915" s="26" t="s">
        <v>22745</v>
      </c>
      <c r="B8915" s="27" t="s">
        <v>22746</v>
      </c>
      <c r="C8915" s="27" t="s">
        <v>144</v>
      </c>
      <c r="D8915" s="26"/>
      <c r="E8915" s="27"/>
      <c r="F8915" s="27"/>
      <c r="G8915" s="27" t="s">
        <v>11122</v>
      </c>
      <c r="H8915" s="27" t="s">
        <v>35</v>
      </c>
      <c r="I8915" s="27" t="s">
        <v>43</v>
      </c>
      <c r="J8915" s="28" t="s">
        <v>856</v>
      </c>
      <c r="K8915" s="27" t="s">
        <v>38</v>
      </c>
      <c r="L8915" s="27"/>
    </row>
    <row r="8916" customFormat="false" ht="15" hidden="false" customHeight="false" outlineLevel="0" collapsed="false">
      <c r="A8916" s="26" t="s">
        <v>22747</v>
      </c>
      <c r="B8916" s="27" t="s">
        <v>22748</v>
      </c>
      <c r="C8916" s="27" t="s">
        <v>144</v>
      </c>
      <c r="D8916" s="26"/>
      <c r="E8916" s="27"/>
      <c r="F8916" s="27"/>
      <c r="G8916" s="27" t="s">
        <v>11122</v>
      </c>
      <c r="H8916" s="27" t="s">
        <v>35</v>
      </c>
      <c r="I8916" s="27" t="s">
        <v>64</v>
      </c>
      <c r="J8916" s="28" t="s">
        <v>856</v>
      </c>
      <c r="K8916" s="27" t="s">
        <v>38</v>
      </c>
      <c r="L8916" s="27"/>
    </row>
    <row r="8917" customFormat="false" ht="15" hidden="false" customHeight="false" outlineLevel="0" collapsed="false">
      <c r="A8917" s="26" t="s">
        <v>22749</v>
      </c>
      <c r="B8917" s="27" t="s">
        <v>22750</v>
      </c>
      <c r="C8917" s="27" t="s">
        <v>144</v>
      </c>
      <c r="D8917" s="26"/>
      <c r="E8917" s="27"/>
      <c r="F8917" s="27"/>
      <c r="G8917" s="27" t="s">
        <v>11122</v>
      </c>
      <c r="H8917" s="27" t="s">
        <v>35</v>
      </c>
      <c r="I8917" s="27" t="s">
        <v>47</v>
      </c>
      <c r="J8917" s="28" t="s">
        <v>856</v>
      </c>
      <c r="K8917" s="27" t="s">
        <v>38</v>
      </c>
      <c r="L8917" s="27"/>
    </row>
    <row r="8918" customFormat="false" ht="15" hidden="false" customHeight="false" outlineLevel="0" collapsed="false">
      <c r="A8918" s="26" t="s">
        <v>22751</v>
      </c>
      <c r="B8918" s="27" t="s">
        <v>22752</v>
      </c>
      <c r="C8918" s="27" t="s">
        <v>144</v>
      </c>
      <c r="D8918" s="26"/>
      <c r="E8918" s="27"/>
      <c r="F8918" s="27"/>
      <c r="G8918" s="27" t="s">
        <v>11122</v>
      </c>
      <c r="H8918" s="27" t="s">
        <v>35</v>
      </c>
      <c r="I8918" s="27" t="s">
        <v>39</v>
      </c>
      <c r="J8918" s="28" t="s">
        <v>856</v>
      </c>
      <c r="K8918" s="27" t="s">
        <v>38</v>
      </c>
      <c r="L8918" s="27"/>
    </row>
    <row r="8919" customFormat="false" ht="15" hidden="false" customHeight="false" outlineLevel="0" collapsed="false">
      <c r="A8919" s="26" t="s">
        <v>22753</v>
      </c>
      <c r="B8919" s="27" t="s">
        <v>22754</v>
      </c>
      <c r="C8919" s="27" t="s">
        <v>144</v>
      </c>
      <c r="D8919" s="26"/>
      <c r="E8919" s="27"/>
      <c r="F8919" s="27"/>
      <c r="G8919" s="27" t="s">
        <v>11122</v>
      </c>
      <c r="H8919" s="27" t="s">
        <v>35</v>
      </c>
      <c r="I8919" s="27" t="s">
        <v>39</v>
      </c>
      <c r="J8919" s="28" t="s">
        <v>856</v>
      </c>
      <c r="K8919" s="27" t="s">
        <v>38</v>
      </c>
      <c r="L8919" s="27"/>
    </row>
    <row r="8920" customFormat="false" ht="15" hidden="false" customHeight="false" outlineLevel="0" collapsed="false">
      <c r="A8920" s="26" t="s">
        <v>22755</v>
      </c>
      <c r="B8920" s="27" t="s">
        <v>22756</v>
      </c>
      <c r="C8920" s="27" t="s">
        <v>1187</v>
      </c>
      <c r="D8920" s="26"/>
      <c r="E8920" s="27"/>
      <c r="F8920" s="27"/>
      <c r="G8920" s="27" t="s">
        <v>11122</v>
      </c>
      <c r="H8920" s="27" t="s">
        <v>35</v>
      </c>
      <c r="I8920" s="27" t="s">
        <v>39</v>
      </c>
      <c r="J8920" s="28" t="s">
        <v>856</v>
      </c>
      <c r="K8920" s="27" t="s">
        <v>38</v>
      </c>
      <c r="L8920" s="27"/>
    </row>
    <row r="8921" customFormat="false" ht="15" hidden="false" customHeight="false" outlineLevel="0" collapsed="false">
      <c r="A8921" s="26" t="s">
        <v>22757</v>
      </c>
      <c r="B8921" s="27" t="s">
        <v>22758</v>
      </c>
      <c r="C8921" s="27" t="s">
        <v>144</v>
      </c>
      <c r="D8921" s="26"/>
      <c r="E8921" s="27"/>
      <c r="F8921" s="27"/>
      <c r="G8921" s="27" t="s">
        <v>11122</v>
      </c>
      <c r="H8921" s="27" t="s">
        <v>35</v>
      </c>
      <c r="I8921" s="27" t="s">
        <v>39</v>
      </c>
      <c r="J8921" s="28" t="s">
        <v>856</v>
      </c>
      <c r="K8921" s="27" t="s">
        <v>38</v>
      </c>
      <c r="L8921" s="27"/>
    </row>
    <row r="8922" customFormat="false" ht="15" hidden="false" customHeight="false" outlineLevel="0" collapsed="false">
      <c r="A8922" s="26" t="s">
        <v>22759</v>
      </c>
      <c r="B8922" s="27" t="s">
        <v>22760</v>
      </c>
      <c r="C8922" s="27" t="s">
        <v>1187</v>
      </c>
      <c r="D8922" s="26"/>
      <c r="E8922" s="27"/>
      <c r="F8922" s="27"/>
      <c r="G8922" s="27" t="s">
        <v>11122</v>
      </c>
      <c r="H8922" s="27" t="s">
        <v>35</v>
      </c>
      <c r="I8922" s="27" t="s">
        <v>39</v>
      </c>
      <c r="J8922" s="28" t="s">
        <v>856</v>
      </c>
      <c r="K8922" s="27" t="s">
        <v>38</v>
      </c>
      <c r="L8922" s="27"/>
    </row>
    <row r="8923" customFormat="false" ht="15" hidden="false" customHeight="false" outlineLevel="0" collapsed="false">
      <c r="A8923" s="26" t="s">
        <v>22761</v>
      </c>
      <c r="B8923" s="27" t="s">
        <v>22762</v>
      </c>
      <c r="C8923" s="27" t="s">
        <v>1187</v>
      </c>
      <c r="D8923" s="26"/>
      <c r="E8923" s="27"/>
      <c r="F8923" s="27"/>
      <c r="G8923" s="27" t="s">
        <v>11122</v>
      </c>
      <c r="H8923" s="27" t="s">
        <v>35</v>
      </c>
      <c r="I8923" s="27" t="s">
        <v>39</v>
      </c>
      <c r="J8923" s="28" t="s">
        <v>856</v>
      </c>
      <c r="K8923" s="27" t="s">
        <v>38</v>
      </c>
      <c r="L8923" s="27"/>
    </row>
    <row r="8924" customFormat="false" ht="15" hidden="false" customHeight="false" outlineLevel="0" collapsed="false">
      <c r="A8924" s="26" t="s">
        <v>22763</v>
      </c>
      <c r="B8924" s="27" t="s">
        <v>22764</v>
      </c>
      <c r="C8924" s="27" t="s">
        <v>1187</v>
      </c>
      <c r="D8924" s="26"/>
      <c r="E8924" s="27"/>
      <c r="F8924" s="27"/>
      <c r="G8924" s="27" t="s">
        <v>11122</v>
      </c>
      <c r="H8924" s="27" t="s">
        <v>35</v>
      </c>
      <c r="I8924" s="27" t="s">
        <v>39</v>
      </c>
      <c r="J8924" s="28" t="s">
        <v>856</v>
      </c>
      <c r="K8924" s="27" t="s">
        <v>38</v>
      </c>
      <c r="L8924" s="27"/>
    </row>
    <row r="8925" customFormat="false" ht="15" hidden="false" customHeight="false" outlineLevel="0" collapsed="false">
      <c r="A8925" s="26" t="s">
        <v>22765</v>
      </c>
      <c r="B8925" s="27" t="s">
        <v>22766</v>
      </c>
      <c r="C8925" s="27" t="s">
        <v>1187</v>
      </c>
      <c r="D8925" s="26"/>
      <c r="E8925" s="27"/>
      <c r="F8925" s="27"/>
      <c r="G8925" s="27" t="s">
        <v>11122</v>
      </c>
      <c r="H8925" s="27" t="s">
        <v>35</v>
      </c>
      <c r="I8925" s="27" t="s">
        <v>39</v>
      </c>
      <c r="J8925" s="28" t="s">
        <v>856</v>
      </c>
      <c r="K8925" s="27" t="s">
        <v>38</v>
      </c>
      <c r="L8925" s="27"/>
    </row>
    <row r="8926" customFormat="false" ht="15" hidden="false" customHeight="false" outlineLevel="0" collapsed="false">
      <c r="A8926" s="26" t="s">
        <v>22767</v>
      </c>
      <c r="B8926" s="27" t="s">
        <v>22768</v>
      </c>
      <c r="C8926" s="27" t="s">
        <v>144</v>
      </c>
      <c r="D8926" s="26"/>
      <c r="E8926" s="27"/>
      <c r="F8926" s="27"/>
      <c r="G8926" s="27" t="s">
        <v>11122</v>
      </c>
      <c r="H8926" s="27" t="s">
        <v>35</v>
      </c>
      <c r="I8926" s="27" t="s">
        <v>39</v>
      </c>
      <c r="J8926" s="28" t="s">
        <v>856</v>
      </c>
      <c r="K8926" s="27" t="s">
        <v>38</v>
      </c>
      <c r="L8926" s="27"/>
    </row>
    <row r="8927" customFormat="false" ht="15" hidden="false" customHeight="false" outlineLevel="0" collapsed="false">
      <c r="A8927" s="26" t="s">
        <v>22769</v>
      </c>
      <c r="B8927" s="27" t="s">
        <v>22770</v>
      </c>
      <c r="C8927" s="27" t="s">
        <v>144</v>
      </c>
      <c r="D8927" s="26"/>
      <c r="E8927" s="27"/>
      <c r="F8927" s="27"/>
      <c r="G8927" s="27" t="s">
        <v>11122</v>
      </c>
      <c r="H8927" s="27" t="s">
        <v>35</v>
      </c>
      <c r="I8927" s="27" t="s">
        <v>39</v>
      </c>
      <c r="J8927" s="28" t="s">
        <v>856</v>
      </c>
      <c r="K8927" s="27" t="s">
        <v>38</v>
      </c>
      <c r="L8927" s="27"/>
    </row>
    <row r="8928" customFormat="false" ht="15" hidden="false" customHeight="false" outlineLevel="0" collapsed="false">
      <c r="A8928" s="26" t="s">
        <v>22771</v>
      </c>
      <c r="B8928" s="27" t="s">
        <v>22772</v>
      </c>
      <c r="C8928" s="27" t="s">
        <v>1187</v>
      </c>
      <c r="D8928" s="26"/>
      <c r="E8928" s="27"/>
      <c r="F8928" s="27"/>
      <c r="G8928" s="27" t="s">
        <v>11122</v>
      </c>
      <c r="H8928" s="27" t="s">
        <v>35</v>
      </c>
      <c r="I8928" s="27" t="s">
        <v>41</v>
      </c>
      <c r="J8928" s="28" t="s">
        <v>856</v>
      </c>
      <c r="K8928" s="27" t="s">
        <v>38</v>
      </c>
      <c r="L8928" s="27"/>
    </row>
    <row r="8929" customFormat="false" ht="15" hidden="false" customHeight="false" outlineLevel="0" collapsed="false">
      <c r="A8929" s="26" t="s">
        <v>22773</v>
      </c>
      <c r="B8929" s="27" t="s">
        <v>22774</v>
      </c>
      <c r="C8929" s="27" t="s">
        <v>1187</v>
      </c>
      <c r="D8929" s="26"/>
      <c r="E8929" s="27"/>
      <c r="F8929" s="27"/>
      <c r="G8929" s="27" t="s">
        <v>11122</v>
      </c>
      <c r="H8929" s="27" t="s">
        <v>35</v>
      </c>
      <c r="I8929" s="27" t="s">
        <v>41</v>
      </c>
      <c r="J8929" s="28" t="s">
        <v>856</v>
      </c>
      <c r="K8929" s="27" t="s">
        <v>38</v>
      </c>
      <c r="L8929" s="27"/>
    </row>
    <row r="8930" customFormat="false" ht="15" hidden="false" customHeight="false" outlineLevel="0" collapsed="false">
      <c r="A8930" s="26" t="s">
        <v>22775</v>
      </c>
      <c r="B8930" s="27" t="s">
        <v>22776</v>
      </c>
      <c r="C8930" s="27" t="s">
        <v>144</v>
      </c>
      <c r="D8930" s="26"/>
      <c r="E8930" s="27"/>
      <c r="F8930" s="27"/>
      <c r="G8930" s="27" t="s">
        <v>11122</v>
      </c>
      <c r="H8930" s="27" t="s">
        <v>35</v>
      </c>
      <c r="I8930" s="27" t="s">
        <v>39</v>
      </c>
      <c r="J8930" s="28" t="s">
        <v>856</v>
      </c>
      <c r="K8930" s="27" t="s">
        <v>38</v>
      </c>
      <c r="L8930" s="27"/>
    </row>
    <row r="8931" customFormat="false" ht="15" hidden="false" customHeight="false" outlineLevel="0" collapsed="false">
      <c r="A8931" s="26" t="s">
        <v>22777</v>
      </c>
      <c r="B8931" s="27" t="s">
        <v>22778</v>
      </c>
      <c r="C8931" s="27" t="s">
        <v>144</v>
      </c>
      <c r="D8931" s="26"/>
      <c r="E8931" s="27"/>
      <c r="F8931" s="27"/>
      <c r="G8931" s="27" t="s">
        <v>11122</v>
      </c>
      <c r="H8931" s="27" t="s">
        <v>35</v>
      </c>
      <c r="I8931" s="27" t="s">
        <v>39</v>
      </c>
      <c r="J8931" s="28" t="s">
        <v>856</v>
      </c>
      <c r="K8931" s="27" t="s">
        <v>38</v>
      </c>
      <c r="L8931" s="27"/>
    </row>
    <row r="8932" customFormat="false" ht="15" hidden="false" customHeight="false" outlineLevel="0" collapsed="false">
      <c r="A8932" s="26" t="s">
        <v>22779</v>
      </c>
      <c r="B8932" s="27" t="s">
        <v>22780</v>
      </c>
      <c r="C8932" s="27" t="s">
        <v>370</v>
      </c>
      <c r="D8932" s="26"/>
      <c r="E8932" s="27"/>
      <c r="F8932" s="27"/>
      <c r="G8932" s="27" t="s">
        <v>11122</v>
      </c>
      <c r="H8932" s="27" t="s">
        <v>35</v>
      </c>
      <c r="I8932" s="27" t="s">
        <v>39</v>
      </c>
      <c r="J8932" s="28" t="s">
        <v>856</v>
      </c>
      <c r="K8932" s="27" t="s">
        <v>38</v>
      </c>
      <c r="L8932" s="27"/>
    </row>
    <row r="8933" customFormat="false" ht="15" hidden="false" customHeight="false" outlineLevel="0" collapsed="false">
      <c r="A8933" s="26" t="s">
        <v>22781</v>
      </c>
      <c r="B8933" s="27" t="s">
        <v>22782</v>
      </c>
      <c r="C8933" s="27" t="s">
        <v>144</v>
      </c>
      <c r="D8933" s="26"/>
      <c r="E8933" s="27"/>
      <c r="F8933" s="27"/>
      <c r="G8933" s="27" t="s">
        <v>11122</v>
      </c>
      <c r="H8933" s="27" t="s">
        <v>35</v>
      </c>
      <c r="I8933" s="27" t="s">
        <v>39</v>
      </c>
      <c r="J8933" s="28" t="s">
        <v>856</v>
      </c>
      <c r="K8933" s="27" t="s">
        <v>38</v>
      </c>
      <c r="L8933" s="27"/>
    </row>
    <row r="8934" customFormat="false" ht="15" hidden="false" customHeight="false" outlineLevel="0" collapsed="false">
      <c r="A8934" s="26" t="s">
        <v>22783</v>
      </c>
      <c r="B8934" s="27" t="s">
        <v>22784</v>
      </c>
      <c r="C8934" s="27" t="s">
        <v>144</v>
      </c>
      <c r="D8934" s="26"/>
      <c r="E8934" s="27"/>
      <c r="F8934" s="27"/>
      <c r="G8934" s="27" t="s">
        <v>11122</v>
      </c>
      <c r="H8934" s="27" t="s">
        <v>35</v>
      </c>
      <c r="I8934" s="27" t="s">
        <v>39</v>
      </c>
      <c r="J8934" s="28" t="s">
        <v>856</v>
      </c>
      <c r="K8934" s="27" t="s">
        <v>38</v>
      </c>
      <c r="L8934" s="27"/>
    </row>
    <row r="8935" customFormat="false" ht="15" hidden="false" customHeight="false" outlineLevel="0" collapsed="false">
      <c r="A8935" s="26" t="s">
        <v>22785</v>
      </c>
      <c r="B8935" s="27" t="s">
        <v>22786</v>
      </c>
      <c r="C8935" s="27" t="s">
        <v>144</v>
      </c>
      <c r="D8935" s="26"/>
      <c r="E8935" s="27"/>
      <c r="F8935" s="27"/>
      <c r="G8935" s="27" t="s">
        <v>11122</v>
      </c>
      <c r="H8935" s="27" t="s">
        <v>35</v>
      </c>
      <c r="I8935" s="27" t="s">
        <v>39</v>
      </c>
      <c r="J8935" s="28" t="s">
        <v>856</v>
      </c>
      <c r="K8935" s="27" t="s">
        <v>38</v>
      </c>
      <c r="L8935" s="27"/>
    </row>
    <row r="8936" customFormat="false" ht="15" hidden="false" customHeight="false" outlineLevel="0" collapsed="false">
      <c r="A8936" s="26" t="s">
        <v>22787</v>
      </c>
      <c r="B8936" s="27" t="s">
        <v>22788</v>
      </c>
      <c r="C8936" s="27" t="s">
        <v>144</v>
      </c>
      <c r="D8936" s="26"/>
      <c r="E8936" s="27"/>
      <c r="F8936" s="27"/>
      <c r="G8936" s="27" t="s">
        <v>11122</v>
      </c>
      <c r="H8936" s="27" t="s">
        <v>35</v>
      </c>
      <c r="I8936" s="27" t="s">
        <v>39</v>
      </c>
      <c r="J8936" s="28" t="s">
        <v>856</v>
      </c>
      <c r="K8936" s="27" t="s">
        <v>38</v>
      </c>
      <c r="L8936" s="27"/>
    </row>
    <row r="8937" customFormat="false" ht="15" hidden="false" customHeight="false" outlineLevel="0" collapsed="false">
      <c r="A8937" s="26" t="s">
        <v>22789</v>
      </c>
      <c r="B8937" s="27" t="s">
        <v>22790</v>
      </c>
      <c r="C8937" s="27" t="s">
        <v>144</v>
      </c>
      <c r="D8937" s="26"/>
      <c r="E8937" s="27"/>
      <c r="F8937" s="27"/>
      <c r="G8937" s="27" t="s">
        <v>11122</v>
      </c>
      <c r="H8937" s="27" t="s">
        <v>35</v>
      </c>
      <c r="I8937" s="27" t="s">
        <v>45</v>
      </c>
      <c r="J8937" s="28" t="s">
        <v>856</v>
      </c>
      <c r="K8937" s="27" t="s">
        <v>38</v>
      </c>
      <c r="L8937" s="27"/>
    </row>
    <row r="8938" customFormat="false" ht="15" hidden="false" customHeight="false" outlineLevel="0" collapsed="false">
      <c r="A8938" s="26" t="s">
        <v>22791</v>
      </c>
      <c r="B8938" s="27" t="s">
        <v>22792</v>
      </c>
      <c r="C8938" s="27" t="s">
        <v>144</v>
      </c>
      <c r="D8938" s="26"/>
      <c r="E8938" s="27"/>
      <c r="F8938" s="27"/>
      <c r="G8938" s="27" t="s">
        <v>11122</v>
      </c>
      <c r="H8938" s="27" t="s">
        <v>35</v>
      </c>
      <c r="I8938" s="27" t="s">
        <v>42</v>
      </c>
      <c r="J8938" s="28" t="s">
        <v>856</v>
      </c>
      <c r="K8938" s="27" t="s">
        <v>38</v>
      </c>
      <c r="L8938" s="27"/>
    </row>
    <row r="8939" customFormat="false" ht="15" hidden="false" customHeight="false" outlineLevel="0" collapsed="false">
      <c r="A8939" s="26" t="s">
        <v>22793</v>
      </c>
      <c r="B8939" s="27" t="s">
        <v>22794</v>
      </c>
      <c r="C8939" s="27" t="s">
        <v>144</v>
      </c>
      <c r="D8939" s="26"/>
      <c r="E8939" s="27"/>
      <c r="F8939" s="27"/>
      <c r="G8939" s="27" t="s">
        <v>11122</v>
      </c>
      <c r="H8939" s="27" t="s">
        <v>35</v>
      </c>
      <c r="I8939" s="27" t="s">
        <v>42</v>
      </c>
      <c r="J8939" s="28" t="s">
        <v>856</v>
      </c>
      <c r="K8939" s="27" t="s">
        <v>38</v>
      </c>
      <c r="L8939" s="27"/>
    </row>
    <row r="8940" customFormat="false" ht="15" hidden="false" customHeight="false" outlineLevel="0" collapsed="false">
      <c r="A8940" s="26" t="s">
        <v>22795</v>
      </c>
      <c r="B8940" s="27" t="s">
        <v>22796</v>
      </c>
      <c r="C8940" s="27" t="s">
        <v>144</v>
      </c>
      <c r="D8940" s="26"/>
      <c r="E8940" s="27"/>
      <c r="F8940" s="27"/>
      <c r="G8940" s="27" t="s">
        <v>11122</v>
      </c>
      <c r="H8940" s="27" t="s">
        <v>35</v>
      </c>
      <c r="I8940" s="27" t="s">
        <v>39</v>
      </c>
      <c r="J8940" s="28" t="s">
        <v>856</v>
      </c>
      <c r="K8940" s="27" t="s">
        <v>38</v>
      </c>
      <c r="L8940" s="27"/>
    </row>
    <row r="8941" customFormat="false" ht="15" hidden="false" customHeight="false" outlineLevel="0" collapsed="false">
      <c r="A8941" s="26" t="s">
        <v>22797</v>
      </c>
      <c r="B8941" s="27" t="s">
        <v>22798</v>
      </c>
      <c r="C8941" s="27" t="s">
        <v>144</v>
      </c>
      <c r="D8941" s="26"/>
      <c r="E8941" s="27"/>
      <c r="F8941" s="27"/>
      <c r="G8941" s="27" t="s">
        <v>11122</v>
      </c>
      <c r="H8941" s="27" t="s">
        <v>35</v>
      </c>
      <c r="I8941" s="27" t="s">
        <v>39</v>
      </c>
      <c r="J8941" s="28" t="s">
        <v>856</v>
      </c>
      <c r="K8941" s="27" t="s">
        <v>38</v>
      </c>
      <c r="L8941" s="27"/>
    </row>
    <row r="8942" customFormat="false" ht="15" hidden="false" customHeight="false" outlineLevel="0" collapsed="false">
      <c r="A8942" s="26" t="s">
        <v>22799</v>
      </c>
      <c r="B8942" s="27" t="s">
        <v>22800</v>
      </c>
      <c r="C8942" s="27" t="s">
        <v>144</v>
      </c>
      <c r="D8942" s="26"/>
      <c r="E8942" s="27"/>
      <c r="F8942" s="27"/>
      <c r="G8942" s="27" t="s">
        <v>11122</v>
      </c>
      <c r="H8942" s="27" t="s">
        <v>35</v>
      </c>
      <c r="I8942" s="27" t="s">
        <v>39</v>
      </c>
      <c r="J8942" s="28" t="s">
        <v>856</v>
      </c>
      <c r="K8942" s="27" t="s">
        <v>38</v>
      </c>
      <c r="L8942" s="27"/>
    </row>
    <row r="8943" customFormat="false" ht="15" hidden="false" customHeight="false" outlineLevel="0" collapsed="false">
      <c r="A8943" s="26" t="s">
        <v>22801</v>
      </c>
      <c r="B8943" s="27" t="s">
        <v>22802</v>
      </c>
      <c r="C8943" s="27" t="s">
        <v>144</v>
      </c>
      <c r="D8943" s="26"/>
      <c r="E8943" s="27"/>
      <c r="F8943" s="27"/>
      <c r="G8943" s="27" t="s">
        <v>11122</v>
      </c>
      <c r="H8943" s="27" t="s">
        <v>35</v>
      </c>
      <c r="I8943" s="27" t="s">
        <v>39</v>
      </c>
      <c r="J8943" s="28" t="s">
        <v>856</v>
      </c>
      <c r="K8943" s="27" t="s">
        <v>38</v>
      </c>
      <c r="L8943" s="27"/>
    </row>
    <row r="8944" customFormat="false" ht="15" hidden="false" customHeight="false" outlineLevel="0" collapsed="false">
      <c r="A8944" s="26" t="s">
        <v>22803</v>
      </c>
      <c r="B8944" s="27" t="s">
        <v>22804</v>
      </c>
      <c r="C8944" s="27" t="s">
        <v>144</v>
      </c>
      <c r="D8944" s="26"/>
      <c r="E8944" s="27"/>
      <c r="F8944" s="27"/>
      <c r="G8944" s="27" t="s">
        <v>11122</v>
      </c>
      <c r="H8944" s="27" t="s">
        <v>35</v>
      </c>
      <c r="I8944" s="27" t="s">
        <v>39</v>
      </c>
      <c r="J8944" s="28" t="s">
        <v>856</v>
      </c>
      <c r="K8944" s="27" t="s">
        <v>38</v>
      </c>
      <c r="L8944" s="27"/>
    </row>
    <row r="8945" customFormat="false" ht="15" hidden="false" customHeight="false" outlineLevel="0" collapsed="false">
      <c r="A8945" s="26" t="s">
        <v>22805</v>
      </c>
      <c r="B8945" s="27" t="s">
        <v>22806</v>
      </c>
      <c r="C8945" s="27" t="s">
        <v>144</v>
      </c>
      <c r="D8945" s="26"/>
      <c r="E8945" s="27"/>
      <c r="F8945" s="27"/>
      <c r="G8945" s="27" t="s">
        <v>11122</v>
      </c>
      <c r="H8945" s="27" t="s">
        <v>35</v>
      </c>
      <c r="I8945" s="27" t="s">
        <v>39</v>
      </c>
      <c r="J8945" s="28" t="s">
        <v>856</v>
      </c>
      <c r="K8945" s="27" t="s">
        <v>38</v>
      </c>
      <c r="L8945" s="27"/>
    </row>
    <row r="8946" customFormat="false" ht="15" hidden="false" customHeight="false" outlineLevel="0" collapsed="false">
      <c r="A8946" s="26" t="s">
        <v>22807</v>
      </c>
      <c r="B8946" s="27" t="s">
        <v>22808</v>
      </c>
      <c r="C8946" s="27" t="s">
        <v>144</v>
      </c>
      <c r="D8946" s="26"/>
      <c r="E8946" s="27"/>
      <c r="F8946" s="27"/>
      <c r="G8946" s="27" t="s">
        <v>11122</v>
      </c>
      <c r="H8946" s="27" t="s">
        <v>35</v>
      </c>
      <c r="I8946" s="27" t="s">
        <v>39</v>
      </c>
      <c r="J8946" s="28" t="s">
        <v>856</v>
      </c>
      <c r="K8946" s="27" t="s">
        <v>38</v>
      </c>
      <c r="L8946" s="27"/>
    </row>
    <row r="8947" customFormat="false" ht="15" hidden="false" customHeight="false" outlineLevel="0" collapsed="false">
      <c r="A8947" s="26" t="s">
        <v>22809</v>
      </c>
      <c r="B8947" s="27" t="s">
        <v>22810</v>
      </c>
      <c r="C8947" s="27" t="s">
        <v>144</v>
      </c>
      <c r="D8947" s="26"/>
      <c r="E8947" s="27"/>
      <c r="F8947" s="27"/>
      <c r="G8947" s="27" t="s">
        <v>11122</v>
      </c>
      <c r="H8947" s="27" t="s">
        <v>35</v>
      </c>
      <c r="I8947" s="27" t="s">
        <v>42</v>
      </c>
      <c r="J8947" s="28" t="s">
        <v>856</v>
      </c>
      <c r="K8947" s="27" t="s">
        <v>38</v>
      </c>
      <c r="L8947" s="27"/>
    </row>
    <row r="8948" customFormat="false" ht="15" hidden="false" customHeight="false" outlineLevel="0" collapsed="false">
      <c r="A8948" s="26" t="s">
        <v>22811</v>
      </c>
      <c r="B8948" s="27" t="s">
        <v>22812</v>
      </c>
      <c r="C8948" s="27" t="s">
        <v>144</v>
      </c>
      <c r="D8948" s="26"/>
      <c r="E8948" s="27"/>
      <c r="F8948" s="27"/>
      <c r="G8948" s="27" t="s">
        <v>11122</v>
      </c>
      <c r="H8948" s="27" t="s">
        <v>35</v>
      </c>
      <c r="I8948" s="27" t="s">
        <v>38</v>
      </c>
      <c r="J8948" s="28" t="s">
        <v>856</v>
      </c>
      <c r="K8948" s="27" t="s">
        <v>38</v>
      </c>
      <c r="L8948" s="27"/>
    </row>
    <row r="8949" customFormat="false" ht="15" hidden="false" customHeight="false" outlineLevel="0" collapsed="false">
      <c r="A8949" s="26" t="s">
        <v>22813</v>
      </c>
      <c r="B8949" s="27" t="s">
        <v>22814</v>
      </c>
      <c r="C8949" s="27" t="s">
        <v>144</v>
      </c>
      <c r="D8949" s="26"/>
      <c r="E8949" s="27"/>
      <c r="F8949" s="27"/>
      <c r="G8949" s="27" t="s">
        <v>11122</v>
      </c>
      <c r="H8949" s="27" t="s">
        <v>35</v>
      </c>
      <c r="I8949" s="27" t="s">
        <v>42</v>
      </c>
      <c r="J8949" s="28" t="s">
        <v>856</v>
      </c>
      <c r="K8949" s="27" t="s">
        <v>38</v>
      </c>
      <c r="L8949" s="27"/>
    </row>
    <row r="8950" customFormat="false" ht="15" hidden="false" customHeight="false" outlineLevel="0" collapsed="false">
      <c r="A8950" s="26" t="s">
        <v>22815</v>
      </c>
      <c r="B8950" s="27" t="s">
        <v>22816</v>
      </c>
      <c r="C8950" s="27" t="s">
        <v>144</v>
      </c>
      <c r="D8950" s="26"/>
      <c r="E8950" s="27"/>
      <c r="F8950" s="27"/>
      <c r="G8950" s="27" t="s">
        <v>11122</v>
      </c>
      <c r="H8950" s="27" t="s">
        <v>35</v>
      </c>
      <c r="I8950" s="27" t="s">
        <v>39</v>
      </c>
      <c r="J8950" s="28" t="s">
        <v>856</v>
      </c>
      <c r="K8950" s="27" t="s">
        <v>38</v>
      </c>
      <c r="L8950" s="27"/>
    </row>
    <row r="8951" customFormat="false" ht="15" hidden="false" customHeight="false" outlineLevel="0" collapsed="false">
      <c r="A8951" s="26" t="s">
        <v>22817</v>
      </c>
      <c r="B8951" s="27" t="s">
        <v>22818</v>
      </c>
      <c r="C8951" s="27" t="s">
        <v>144</v>
      </c>
      <c r="D8951" s="26"/>
      <c r="E8951" s="27"/>
      <c r="F8951" s="27"/>
      <c r="G8951" s="27" t="s">
        <v>11122</v>
      </c>
      <c r="H8951" s="27" t="s">
        <v>35</v>
      </c>
      <c r="I8951" s="27" t="s">
        <v>37</v>
      </c>
      <c r="J8951" s="28" t="s">
        <v>856</v>
      </c>
      <c r="K8951" s="27" t="s">
        <v>38</v>
      </c>
      <c r="L8951" s="27"/>
    </row>
    <row r="8952" customFormat="false" ht="15" hidden="false" customHeight="false" outlineLevel="0" collapsed="false">
      <c r="A8952" s="26" t="s">
        <v>22819</v>
      </c>
      <c r="B8952" s="27" t="s">
        <v>22820</v>
      </c>
      <c r="C8952" s="27" t="s">
        <v>144</v>
      </c>
      <c r="D8952" s="26"/>
      <c r="E8952" s="27"/>
      <c r="F8952" s="27"/>
      <c r="G8952" s="27" t="s">
        <v>11122</v>
      </c>
      <c r="H8952" s="27" t="s">
        <v>35</v>
      </c>
      <c r="I8952" s="27" t="s">
        <v>41</v>
      </c>
      <c r="J8952" s="28" t="s">
        <v>856</v>
      </c>
      <c r="K8952" s="27" t="s">
        <v>38</v>
      </c>
      <c r="L8952" s="27"/>
    </row>
    <row r="8953" customFormat="false" ht="15" hidden="false" customHeight="false" outlineLevel="0" collapsed="false">
      <c r="A8953" s="26" t="s">
        <v>22821</v>
      </c>
      <c r="B8953" s="27" t="s">
        <v>22822</v>
      </c>
      <c r="C8953" s="27" t="s">
        <v>144</v>
      </c>
      <c r="D8953" s="26"/>
      <c r="E8953" s="27"/>
      <c r="F8953" s="27"/>
      <c r="G8953" s="27" t="s">
        <v>11122</v>
      </c>
      <c r="H8953" s="27" t="s">
        <v>35</v>
      </c>
      <c r="I8953" s="27" t="s">
        <v>41</v>
      </c>
      <c r="J8953" s="28" t="s">
        <v>856</v>
      </c>
      <c r="K8953" s="27" t="s">
        <v>38</v>
      </c>
      <c r="L8953" s="27"/>
    </row>
    <row r="8954" customFormat="false" ht="15" hidden="false" customHeight="false" outlineLevel="0" collapsed="false">
      <c r="A8954" s="26" t="s">
        <v>22823</v>
      </c>
      <c r="B8954" s="27" t="s">
        <v>22824</v>
      </c>
      <c r="C8954" s="27" t="s">
        <v>144</v>
      </c>
      <c r="D8954" s="26"/>
      <c r="E8954" s="27"/>
      <c r="F8954" s="27"/>
      <c r="G8954" s="27" t="s">
        <v>11122</v>
      </c>
      <c r="H8954" s="27" t="s">
        <v>35</v>
      </c>
      <c r="I8954" s="27" t="s">
        <v>39</v>
      </c>
      <c r="J8954" s="28" t="s">
        <v>856</v>
      </c>
      <c r="K8954" s="27" t="s">
        <v>38</v>
      </c>
      <c r="L8954" s="27"/>
    </row>
    <row r="8955" customFormat="false" ht="15" hidden="false" customHeight="false" outlineLevel="0" collapsed="false">
      <c r="A8955" s="26" t="s">
        <v>22825</v>
      </c>
      <c r="B8955" s="27" t="s">
        <v>22826</v>
      </c>
      <c r="C8955" s="27" t="s">
        <v>144</v>
      </c>
      <c r="D8955" s="26"/>
      <c r="E8955" s="27"/>
      <c r="F8955" s="27"/>
      <c r="G8955" s="27" t="s">
        <v>11122</v>
      </c>
      <c r="H8955" s="27" t="s">
        <v>35</v>
      </c>
      <c r="I8955" s="27" t="s">
        <v>39</v>
      </c>
      <c r="J8955" s="28" t="s">
        <v>856</v>
      </c>
      <c r="K8955" s="27" t="s">
        <v>38</v>
      </c>
      <c r="L8955" s="27"/>
    </row>
    <row r="8956" customFormat="false" ht="15" hidden="false" customHeight="false" outlineLevel="0" collapsed="false">
      <c r="A8956" s="26" t="s">
        <v>22827</v>
      </c>
      <c r="B8956" s="27" t="s">
        <v>22828</v>
      </c>
      <c r="C8956" s="27" t="s">
        <v>144</v>
      </c>
      <c r="D8956" s="26"/>
      <c r="E8956" s="27"/>
      <c r="F8956" s="27"/>
      <c r="G8956" s="27" t="s">
        <v>11122</v>
      </c>
      <c r="H8956" s="27" t="s">
        <v>35</v>
      </c>
      <c r="I8956" s="27" t="s">
        <v>39</v>
      </c>
      <c r="J8956" s="28" t="s">
        <v>856</v>
      </c>
      <c r="K8956" s="27" t="s">
        <v>38</v>
      </c>
      <c r="L8956" s="27"/>
    </row>
    <row r="8957" customFormat="false" ht="15" hidden="false" customHeight="false" outlineLevel="0" collapsed="false">
      <c r="A8957" s="26" t="s">
        <v>22829</v>
      </c>
      <c r="B8957" s="27" t="s">
        <v>22830</v>
      </c>
      <c r="C8957" s="27" t="s">
        <v>144</v>
      </c>
      <c r="D8957" s="26"/>
      <c r="E8957" s="27"/>
      <c r="F8957" s="27"/>
      <c r="G8957" s="27" t="s">
        <v>11122</v>
      </c>
      <c r="H8957" s="27" t="s">
        <v>35</v>
      </c>
      <c r="I8957" s="27" t="s">
        <v>39</v>
      </c>
      <c r="J8957" s="28" t="s">
        <v>856</v>
      </c>
      <c r="K8957" s="27" t="s">
        <v>38</v>
      </c>
      <c r="L8957" s="27"/>
    </row>
    <row r="8958" customFormat="false" ht="15" hidden="false" customHeight="false" outlineLevel="0" collapsed="false">
      <c r="A8958" s="26" t="s">
        <v>22831</v>
      </c>
      <c r="B8958" s="27" t="s">
        <v>22832</v>
      </c>
      <c r="C8958" s="27" t="s">
        <v>144</v>
      </c>
      <c r="D8958" s="26"/>
      <c r="E8958" s="27"/>
      <c r="F8958" s="27"/>
      <c r="G8958" s="27" t="s">
        <v>11122</v>
      </c>
      <c r="H8958" s="27" t="s">
        <v>35</v>
      </c>
      <c r="I8958" s="27" t="s">
        <v>39</v>
      </c>
      <c r="J8958" s="28" t="s">
        <v>856</v>
      </c>
      <c r="K8958" s="27" t="s">
        <v>38</v>
      </c>
      <c r="L8958" s="27"/>
    </row>
    <row r="8959" customFormat="false" ht="15" hidden="false" customHeight="false" outlineLevel="0" collapsed="false">
      <c r="A8959" s="26" t="s">
        <v>22833</v>
      </c>
      <c r="B8959" s="27" t="s">
        <v>22834</v>
      </c>
      <c r="C8959" s="27" t="s">
        <v>144</v>
      </c>
      <c r="D8959" s="26"/>
      <c r="E8959" s="27"/>
      <c r="F8959" s="27"/>
      <c r="G8959" s="27" t="s">
        <v>11122</v>
      </c>
      <c r="H8959" s="27" t="s">
        <v>35</v>
      </c>
      <c r="I8959" s="27" t="s">
        <v>39</v>
      </c>
      <c r="J8959" s="28" t="s">
        <v>856</v>
      </c>
      <c r="K8959" s="27" t="s">
        <v>38</v>
      </c>
      <c r="L8959" s="27"/>
    </row>
    <row r="8960" customFormat="false" ht="15" hidden="false" customHeight="false" outlineLevel="0" collapsed="false">
      <c r="A8960" s="26" t="s">
        <v>22835</v>
      </c>
      <c r="B8960" s="27" t="s">
        <v>22836</v>
      </c>
      <c r="C8960" s="27" t="s">
        <v>144</v>
      </c>
      <c r="D8960" s="26"/>
      <c r="E8960" s="27"/>
      <c r="F8960" s="27"/>
      <c r="G8960" s="27" t="s">
        <v>11122</v>
      </c>
      <c r="H8960" s="27" t="s">
        <v>35</v>
      </c>
      <c r="I8960" s="27" t="s">
        <v>37</v>
      </c>
      <c r="J8960" s="28" t="s">
        <v>856</v>
      </c>
      <c r="K8960" s="27" t="s">
        <v>38</v>
      </c>
      <c r="L8960" s="27"/>
    </row>
    <row r="8961" customFormat="false" ht="15" hidden="false" customHeight="false" outlineLevel="0" collapsed="false">
      <c r="A8961" s="26" t="s">
        <v>22837</v>
      </c>
      <c r="B8961" s="27" t="s">
        <v>22838</v>
      </c>
      <c r="C8961" s="27" t="s">
        <v>144</v>
      </c>
      <c r="D8961" s="26"/>
      <c r="E8961" s="27"/>
      <c r="F8961" s="27"/>
      <c r="G8961" s="27" t="s">
        <v>11122</v>
      </c>
      <c r="H8961" s="27" t="s">
        <v>35</v>
      </c>
      <c r="I8961" s="27" t="s">
        <v>39</v>
      </c>
      <c r="J8961" s="28" t="s">
        <v>856</v>
      </c>
      <c r="K8961" s="27" t="s">
        <v>38</v>
      </c>
      <c r="L8961" s="27"/>
    </row>
    <row r="8962" customFormat="false" ht="15" hidden="false" customHeight="false" outlineLevel="0" collapsed="false">
      <c r="A8962" s="26" t="s">
        <v>22839</v>
      </c>
      <c r="B8962" s="27" t="s">
        <v>22840</v>
      </c>
      <c r="C8962" s="27" t="s">
        <v>144</v>
      </c>
      <c r="D8962" s="26"/>
      <c r="E8962" s="27"/>
      <c r="F8962" s="27"/>
      <c r="G8962" s="27" t="s">
        <v>11122</v>
      </c>
      <c r="H8962" s="27" t="s">
        <v>35</v>
      </c>
      <c r="I8962" s="27" t="s">
        <v>39</v>
      </c>
      <c r="J8962" s="28" t="s">
        <v>856</v>
      </c>
      <c r="K8962" s="27" t="s">
        <v>38</v>
      </c>
      <c r="L8962" s="27"/>
    </row>
    <row r="8963" customFormat="false" ht="15" hidden="false" customHeight="false" outlineLevel="0" collapsed="false">
      <c r="A8963" s="26" t="s">
        <v>22841</v>
      </c>
      <c r="B8963" s="27" t="s">
        <v>22842</v>
      </c>
      <c r="C8963" s="27" t="s">
        <v>144</v>
      </c>
      <c r="D8963" s="26"/>
      <c r="E8963" s="27"/>
      <c r="F8963" s="27"/>
      <c r="G8963" s="27" t="s">
        <v>11122</v>
      </c>
      <c r="H8963" s="27" t="s">
        <v>35</v>
      </c>
      <c r="I8963" s="27" t="s">
        <v>39</v>
      </c>
      <c r="J8963" s="28" t="s">
        <v>856</v>
      </c>
      <c r="K8963" s="27" t="s">
        <v>38</v>
      </c>
      <c r="L8963" s="27"/>
    </row>
    <row r="8964" customFormat="false" ht="15" hidden="false" customHeight="false" outlineLevel="0" collapsed="false">
      <c r="A8964" s="26" t="s">
        <v>22843</v>
      </c>
      <c r="B8964" s="27" t="s">
        <v>22844</v>
      </c>
      <c r="C8964" s="27" t="s">
        <v>144</v>
      </c>
      <c r="D8964" s="26"/>
      <c r="E8964" s="27"/>
      <c r="F8964" s="27"/>
      <c r="G8964" s="27" t="s">
        <v>11122</v>
      </c>
      <c r="H8964" s="27" t="s">
        <v>35</v>
      </c>
      <c r="I8964" s="27" t="s">
        <v>39</v>
      </c>
      <c r="J8964" s="28" t="s">
        <v>856</v>
      </c>
      <c r="K8964" s="27" t="s">
        <v>38</v>
      </c>
      <c r="L8964" s="27"/>
    </row>
    <row r="8965" customFormat="false" ht="15" hidden="false" customHeight="false" outlineLevel="0" collapsed="false">
      <c r="A8965" s="26" t="s">
        <v>22845</v>
      </c>
      <c r="B8965" s="27" t="s">
        <v>22846</v>
      </c>
      <c r="C8965" s="27" t="s">
        <v>144</v>
      </c>
      <c r="D8965" s="26"/>
      <c r="E8965" s="27"/>
      <c r="F8965" s="27"/>
      <c r="G8965" s="27" t="s">
        <v>11122</v>
      </c>
      <c r="H8965" s="27" t="s">
        <v>35</v>
      </c>
      <c r="I8965" s="27" t="s">
        <v>39</v>
      </c>
      <c r="J8965" s="28" t="s">
        <v>856</v>
      </c>
      <c r="K8965" s="27" t="s">
        <v>38</v>
      </c>
      <c r="L8965" s="27"/>
    </row>
    <row r="8966" customFormat="false" ht="15" hidden="false" customHeight="false" outlineLevel="0" collapsed="false">
      <c r="A8966" s="26" t="s">
        <v>22847</v>
      </c>
      <c r="B8966" s="27" t="s">
        <v>22848</v>
      </c>
      <c r="C8966" s="27" t="s">
        <v>144</v>
      </c>
      <c r="D8966" s="26"/>
      <c r="E8966" s="27"/>
      <c r="F8966" s="27"/>
      <c r="G8966" s="27" t="s">
        <v>11122</v>
      </c>
      <c r="H8966" s="27" t="s">
        <v>35</v>
      </c>
      <c r="I8966" s="27" t="s">
        <v>39</v>
      </c>
      <c r="J8966" s="28" t="s">
        <v>856</v>
      </c>
      <c r="K8966" s="27" t="s">
        <v>38</v>
      </c>
      <c r="L8966" s="27"/>
    </row>
    <row r="8967" customFormat="false" ht="15" hidden="false" customHeight="false" outlineLevel="0" collapsed="false">
      <c r="A8967" s="26" t="s">
        <v>22849</v>
      </c>
      <c r="B8967" s="27" t="s">
        <v>22850</v>
      </c>
      <c r="C8967" s="27" t="s">
        <v>144</v>
      </c>
      <c r="D8967" s="26"/>
      <c r="E8967" s="27"/>
      <c r="F8967" s="27"/>
      <c r="G8967" s="27" t="s">
        <v>11122</v>
      </c>
      <c r="H8967" s="27" t="s">
        <v>35</v>
      </c>
      <c r="I8967" s="27" t="s">
        <v>39</v>
      </c>
      <c r="J8967" s="28" t="s">
        <v>856</v>
      </c>
      <c r="K8967" s="27" t="s">
        <v>38</v>
      </c>
      <c r="L8967" s="27"/>
    </row>
    <row r="8968" customFormat="false" ht="15" hidden="false" customHeight="false" outlineLevel="0" collapsed="false">
      <c r="A8968" s="26" t="s">
        <v>22851</v>
      </c>
      <c r="B8968" s="27" t="s">
        <v>22852</v>
      </c>
      <c r="C8968" s="27" t="s">
        <v>144</v>
      </c>
      <c r="D8968" s="26"/>
      <c r="E8968" s="27"/>
      <c r="F8968" s="27"/>
      <c r="G8968" s="27" t="s">
        <v>11122</v>
      </c>
      <c r="H8968" s="27" t="s">
        <v>35</v>
      </c>
      <c r="I8968" s="27" t="s">
        <v>39</v>
      </c>
      <c r="J8968" s="28" t="s">
        <v>856</v>
      </c>
      <c r="K8968" s="27" t="s">
        <v>38</v>
      </c>
      <c r="L8968" s="27"/>
    </row>
    <row r="8969" customFormat="false" ht="15" hidden="false" customHeight="false" outlineLevel="0" collapsed="false">
      <c r="A8969" s="26" t="s">
        <v>22853</v>
      </c>
      <c r="B8969" s="27" t="s">
        <v>22854</v>
      </c>
      <c r="C8969" s="27" t="s">
        <v>144</v>
      </c>
      <c r="D8969" s="26"/>
      <c r="E8969" s="27"/>
      <c r="F8969" s="27"/>
      <c r="G8969" s="27" t="s">
        <v>11122</v>
      </c>
      <c r="H8969" s="27" t="s">
        <v>35</v>
      </c>
      <c r="I8969" s="27" t="s">
        <v>39</v>
      </c>
      <c r="J8969" s="28" t="s">
        <v>856</v>
      </c>
      <c r="K8969" s="27" t="s">
        <v>38</v>
      </c>
      <c r="L8969" s="27"/>
    </row>
    <row r="8970" customFormat="false" ht="15" hidden="false" customHeight="false" outlineLevel="0" collapsed="false">
      <c r="A8970" s="26" t="s">
        <v>22855</v>
      </c>
      <c r="B8970" s="27" t="s">
        <v>22856</v>
      </c>
      <c r="C8970" s="27" t="s">
        <v>144</v>
      </c>
      <c r="D8970" s="26"/>
      <c r="E8970" s="27"/>
      <c r="F8970" s="27"/>
      <c r="G8970" s="27" t="s">
        <v>11122</v>
      </c>
      <c r="H8970" s="27" t="s">
        <v>35</v>
      </c>
      <c r="I8970" s="27" t="s">
        <v>39</v>
      </c>
      <c r="J8970" s="28" t="s">
        <v>856</v>
      </c>
      <c r="K8970" s="27" t="s">
        <v>38</v>
      </c>
      <c r="L8970" s="27"/>
    </row>
    <row r="8971" customFormat="false" ht="15" hidden="false" customHeight="false" outlineLevel="0" collapsed="false">
      <c r="A8971" s="26" t="s">
        <v>22857</v>
      </c>
      <c r="B8971" s="27" t="s">
        <v>22858</v>
      </c>
      <c r="C8971" s="27" t="s">
        <v>144</v>
      </c>
      <c r="D8971" s="26"/>
      <c r="E8971" s="27"/>
      <c r="F8971" s="27"/>
      <c r="G8971" s="27" t="s">
        <v>11122</v>
      </c>
      <c r="H8971" s="27" t="s">
        <v>35</v>
      </c>
      <c r="I8971" s="27" t="s">
        <v>39</v>
      </c>
      <c r="J8971" s="28" t="s">
        <v>856</v>
      </c>
      <c r="K8971" s="27" t="s">
        <v>38</v>
      </c>
      <c r="L8971" s="27"/>
    </row>
    <row r="8972" customFormat="false" ht="15" hidden="false" customHeight="false" outlineLevel="0" collapsed="false">
      <c r="A8972" s="26" t="s">
        <v>22859</v>
      </c>
      <c r="B8972" s="27" t="s">
        <v>22860</v>
      </c>
      <c r="C8972" s="27" t="s">
        <v>144</v>
      </c>
      <c r="D8972" s="26"/>
      <c r="E8972" s="27"/>
      <c r="F8972" s="27"/>
      <c r="G8972" s="27" t="s">
        <v>11122</v>
      </c>
      <c r="H8972" s="27" t="s">
        <v>35</v>
      </c>
      <c r="I8972" s="27" t="s">
        <v>39</v>
      </c>
      <c r="J8972" s="28" t="s">
        <v>856</v>
      </c>
      <c r="K8972" s="27" t="s">
        <v>38</v>
      </c>
      <c r="L8972" s="27"/>
    </row>
    <row r="8973" customFormat="false" ht="15" hidden="false" customHeight="false" outlineLevel="0" collapsed="false">
      <c r="A8973" s="26" t="s">
        <v>22861</v>
      </c>
      <c r="B8973" s="27" t="s">
        <v>22862</v>
      </c>
      <c r="C8973" s="27" t="s">
        <v>144</v>
      </c>
      <c r="D8973" s="26"/>
      <c r="E8973" s="27"/>
      <c r="F8973" s="27"/>
      <c r="G8973" s="27" t="s">
        <v>11122</v>
      </c>
      <c r="H8973" s="27" t="s">
        <v>35</v>
      </c>
      <c r="I8973" s="27" t="s">
        <v>39</v>
      </c>
      <c r="J8973" s="28" t="s">
        <v>856</v>
      </c>
      <c r="K8973" s="27" t="s">
        <v>38</v>
      </c>
      <c r="L8973" s="27"/>
    </row>
    <row r="8974" customFormat="false" ht="15" hidden="false" customHeight="false" outlineLevel="0" collapsed="false">
      <c r="A8974" s="26" t="s">
        <v>22863</v>
      </c>
      <c r="B8974" s="27" t="s">
        <v>22864</v>
      </c>
      <c r="C8974" s="27" t="s">
        <v>144</v>
      </c>
      <c r="D8974" s="26"/>
      <c r="E8974" s="27"/>
      <c r="F8974" s="27"/>
      <c r="G8974" s="27" t="s">
        <v>11122</v>
      </c>
      <c r="H8974" s="27" t="s">
        <v>35</v>
      </c>
      <c r="I8974" s="27" t="s">
        <v>39</v>
      </c>
      <c r="J8974" s="28" t="s">
        <v>856</v>
      </c>
      <c r="K8974" s="27" t="s">
        <v>38</v>
      </c>
      <c r="L8974" s="27"/>
    </row>
    <row r="8975" customFormat="false" ht="15" hidden="false" customHeight="false" outlineLevel="0" collapsed="false">
      <c r="A8975" s="26" t="s">
        <v>22865</v>
      </c>
      <c r="B8975" s="27" t="s">
        <v>22866</v>
      </c>
      <c r="C8975" s="27" t="s">
        <v>144</v>
      </c>
      <c r="D8975" s="26"/>
      <c r="E8975" s="27"/>
      <c r="F8975" s="27"/>
      <c r="G8975" s="27" t="s">
        <v>11122</v>
      </c>
      <c r="H8975" s="27" t="s">
        <v>35</v>
      </c>
      <c r="I8975" s="27" t="s">
        <v>39</v>
      </c>
      <c r="J8975" s="28" t="s">
        <v>856</v>
      </c>
      <c r="K8975" s="27" t="s">
        <v>38</v>
      </c>
      <c r="L8975" s="27"/>
    </row>
    <row r="8976" customFormat="false" ht="15" hidden="false" customHeight="false" outlineLevel="0" collapsed="false">
      <c r="A8976" s="26" t="s">
        <v>22867</v>
      </c>
      <c r="B8976" s="27" t="s">
        <v>22868</v>
      </c>
      <c r="C8976" s="27" t="s">
        <v>144</v>
      </c>
      <c r="D8976" s="26"/>
      <c r="E8976" s="27"/>
      <c r="F8976" s="27"/>
      <c r="G8976" s="27" t="s">
        <v>11122</v>
      </c>
      <c r="H8976" s="27" t="s">
        <v>35</v>
      </c>
      <c r="I8976" s="27" t="s">
        <v>39</v>
      </c>
      <c r="J8976" s="28" t="s">
        <v>856</v>
      </c>
      <c r="K8976" s="27" t="s">
        <v>38</v>
      </c>
      <c r="L8976" s="27"/>
    </row>
    <row r="8977" customFormat="false" ht="15" hidden="false" customHeight="false" outlineLevel="0" collapsed="false">
      <c r="A8977" s="26" t="s">
        <v>22869</v>
      </c>
      <c r="B8977" s="27" t="s">
        <v>22870</v>
      </c>
      <c r="C8977" s="27" t="s">
        <v>144</v>
      </c>
      <c r="D8977" s="26"/>
      <c r="E8977" s="27"/>
      <c r="F8977" s="27"/>
      <c r="G8977" s="27" t="s">
        <v>11122</v>
      </c>
      <c r="H8977" s="27" t="s">
        <v>35</v>
      </c>
      <c r="I8977" s="27" t="s">
        <v>39</v>
      </c>
      <c r="J8977" s="28" t="s">
        <v>856</v>
      </c>
      <c r="K8977" s="27" t="s">
        <v>38</v>
      </c>
      <c r="L8977" s="27"/>
    </row>
    <row r="8978" customFormat="false" ht="15" hidden="false" customHeight="false" outlineLevel="0" collapsed="false">
      <c r="A8978" s="26" t="s">
        <v>22871</v>
      </c>
      <c r="B8978" s="27" t="s">
        <v>22872</v>
      </c>
      <c r="C8978" s="27" t="s">
        <v>144</v>
      </c>
      <c r="D8978" s="26"/>
      <c r="E8978" s="27"/>
      <c r="F8978" s="27"/>
      <c r="G8978" s="27" t="s">
        <v>11122</v>
      </c>
      <c r="H8978" s="27" t="s">
        <v>35</v>
      </c>
      <c r="I8978" s="27" t="s">
        <v>39</v>
      </c>
      <c r="J8978" s="28" t="s">
        <v>856</v>
      </c>
      <c r="K8978" s="27" t="s">
        <v>38</v>
      </c>
      <c r="L8978" s="27"/>
    </row>
    <row r="8979" customFormat="false" ht="15" hidden="false" customHeight="false" outlineLevel="0" collapsed="false">
      <c r="A8979" s="26" t="s">
        <v>22873</v>
      </c>
      <c r="B8979" s="27" t="s">
        <v>22874</v>
      </c>
      <c r="C8979" s="27" t="s">
        <v>144</v>
      </c>
      <c r="D8979" s="26"/>
      <c r="E8979" s="27"/>
      <c r="F8979" s="27"/>
      <c r="G8979" s="27" t="s">
        <v>11122</v>
      </c>
      <c r="H8979" s="27" t="s">
        <v>35</v>
      </c>
      <c r="I8979" s="27" t="s">
        <v>39</v>
      </c>
      <c r="J8979" s="28" t="s">
        <v>856</v>
      </c>
      <c r="K8979" s="27" t="s">
        <v>38</v>
      </c>
      <c r="L8979" s="27"/>
    </row>
    <row r="8980" customFormat="false" ht="15" hidden="false" customHeight="false" outlineLevel="0" collapsed="false">
      <c r="A8980" s="26" t="s">
        <v>22875</v>
      </c>
      <c r="B8980" s="27" t="s">
        <v>22876</v>
      </c>
      <c r="C8980" s="27" t="s">
        <v>144</v>
      </c>
      <c r="D8980" s="26"/>
      <c r="E8980" s="27"/>
      <c r="F8980" s="27"/>
      <c r="G8980" s="27" t="s">
        <v>11122</v>
      </c>
      <c r="H8980" s="27" t="s">
        <v>35</v>
      </c>
      <c r="I8980" s="27" t="s">
        <v>39</v>
      </c>
      <c r="J8980" s="28" t="s">
        <v>856</v>
      </c>
      <c r="K8980" s="27" t="s">
        <v>38</v>
      </c>
      <c r="L8980" s="27"/>
    </row>
    <row r="8981" customFormat="false" ht="15" hidden="false" customHeight="false" outlineLevel="0" collapsed="false">
      <c r="A8981" s="26" t="s">
        <v>22877</v>
      </c>
      <c r="B8981" s="27" t="s">
        <v>22878</v>
      </c>
      <c r="C8981" s="27" t="s">
        <v>144</v>
      </c>
      <c r="D8981" s="26"/>
      <c r="E8981" s="27"/>
      <c r="F8981" s="27"/>
      <c r="G8981" s="27" t="s">
        <v>11122</v>
      </c>
      <c r="H8981" s="27" t="s">
        <v>35</v>
      </c>
      <c r="I8981" s="27" t="s">
        <v>39</v>
      </c>
      <c r="J8981" s="28" t="s">
        <v>856</v>
      </c>
      <c r="K8981" s="27" t="s">
        <v>38</v>
      </c>
      <c r="L8981" s="27"/>
    </row>
    <row r="8982" customFormat="false" ht="15" hidden="false" customHeight="false" outlineLevel="0" collapsed="false">
      <c r="A8982" s="26" t="s">
        <v>22879</v>
      </c>
      <c r="B8982" s="27" t="s">
        <v>22880</v>
      </c>
      <c r="C8982" s="27" t="s">
        <v>144</v>
      </c>
      <c r="D8982" s="26"/>
      <c r="E8982" s="27"/>
      <c r="F8982" s="27"/>
      <c r="G8982" s="27" t="s">
        <v>11122</v>
      </c>
      <c r="H8982" s="27" t="s">
        <v>35</v>
      </c>
      <c r="I8982" s="27" t="s">
        <v>39</v>
      </c>
      <c r="J8982" s="28" t="s">
        <v>856</v>
      </c>
      <c r="K8982" s="27" t="s">
        <v>38</v>
      </c>
      <c r="L8982" s="27"/>
    </row>
    <row r="8983" customFormat="false" ht="15" hidden="false" customHeight="false" outlineLevel="0" collapsed="false">
      <c r="A8983" s="26" t="s">
        <v>22881</v>
      </c>
      <c r="B8983" s="27" t="s">
        <v>22882</v>
      </c>
      <c r="C8983" s="27" t="s">
        <v>144</v>
      </c>
      <c r="D8983" s="26"/>
      <c r="E8983" s="27"/>
      <c r="F8983" s="27"/>
      <c r="G8983" s="27" t="s">
        <v>11122</v>
      </c>
      <c r="H8983" s="27" t="s">
        <v>35</v>
      </c>
      <c r="I8983" s="27" t="s">
        <v>39</v>
      </c>
      <c r="J8983" s="28" t="s">
        <v>856</v>
      </c>
      <c r="K8983" s="27" t="s">
        <v>38</v>
      </c>
      <c r="L8983" s="27"/>
    </row>
    <row r="8984" customFormat="false" ht="15" hidden="false" customHeight="false" outlineLevel="0" collapsed="false">
      <c r="A8984" s="26" t="s">
        <v>22883</v>
      </c>
      <c r="B8984" s="27" t="s">
        <v>22884</v>
      </c>
      <c r="C8984" s="27" t="s">
        <v>144</v>
      </c>
      <c r="D8984" s="26"/>
      <c r="E8984" s="27"/>
      <c r="F8984" s="27"/>
      <c r="G8984" s="27" t="s">
        <v>11122</v>
      </c>
      <c r="H8984" s="27" t="s">
        <v>35</v>
      </c>
      <c r="I8984" s="27" t="s">
        <v>40</v>
      </c>
      <c r="J8984" s="28" t="s">
        <v>856</v>
      </c>
      <c r="K8984" s="27" t="s">
        <v>38</v>
      </c>
      <c r="L8984" s="27"/>
    </row>
    <row r="8985" customFormat="false" ht="15" hidden="false" customHeight="false" outlineLevel="0" collapsed="false">
      <c r="A8985" s="26" t="s">
        <v>22885</v>
      </c>
      <c r="B8985" s="27" t="s">
        <v>22886</v>
      </c>
      <c r="C8985" s="27" t="s">
        <v>144</v>
      </c>
      <c r="D8985" s="26"/>
      <c r="E8985" s="27"/>
      <c r="F8985" s="27"/>
      <c r="G8985" s="27" t="s">
        <v>11122</v>
      </c>
      <c r="H8985" s="27" t="s">
        <v>35</v>
      </c>
      <c r="I8985" s="27" t="s">
        <v>39</v>
      </c>
      <c r="J8985" s="28" t="s">
        <v>856</v>
      </c>
      <c r="K8985" s="27" t="s">
        <v>38</v>
      </c>
      <c r="L8985" s="27"/>
    </row>
    <row r="8986" customFormat="false" ht="15" hidden="false" customHeight="false" outlineLevel="0" collapsed="false">
      <c r="A8986" s="26" t="s">
        <v>22887</v>
      </c>
      <c r="B8986" s="27" t="s">
        <v>22888</v>
      </c>
      <c r="C8986" s="27" t="s">
        <v>144</v>
      </c>
      <c r="D8986" s="26"/>
      <c r="E8986" s="27"/>
      <c r="F8986" s="27"/>
      <c r="G8986" s="27" t="s">
        <v>11122</v>
      </c>
      <c r="H8986" s="27" t="s">
        <v>35</v>
      </c>
      <c r="I8986" s="27" t="s">
        <v>39</v>
      </c>
      <c r="J8986" s="28" t="s">
        <v>856</v>
      </c>
      <c r="K8986" s="27" t="s">
        <v>38</v>
      </c>
      <c r="L8986" s="27"/>
    </row>
    <row r="8987" customFormat="false" ht="15" hidden="false" customHeight="false" outlineLevel="0" collapsed="false">
      <c r="A8987" s="26" t="s">
        <v>22889</v>
      </c>
      <c r="B8987" s="27" t="s">
        <v>22890</v>
      </c>
      <c r="C8987" s="27" t="s">
        <v>144</v>
      </c>
      <c r="D8987" s="26"/>
      <c r="E8987" s="27"/>
      <c r="F8987" s="27"/>
      <c r="G8987" s="27" t="s">
        <v>11122</v>
      </c>
      <c r="H8987" s="27" t="s">
        <v>35</v>
      </c>
      <c r="I8987" s="27" t="s">
        <v>39</v>
      </c>
      <c r="J8987" s="28" t="s">
        <v>856</v>
      </c>
      <c r="K8987" s="27" t="s">
        <v>38</v>
      </c>
      <c r="L8987" s="27"/>
    </row>
    <row r="8988" customFormat="false" ht="15" hidden="false" customHeight="false" outlineLevel="0" collapsed="false">
      <c r="A8988" s="26" t="s">
        <v>22891</v>
      </c>
      <c r="B8988" s="27" t="s">
        <v>22892</v>
      </c>
      <c r="C8988" s="27" t="s">
        <v>144</v>
      </c>
      <c r="D8988" s="26"/>
      <c r="E8988" s="27"/>
      <c r="F8988" s="27"/>
      <c r="G8988" s="27" t="s">
        <v>11122</v>
      </c>
      <c r="H8988" s="27" t="s">
        <v>35</v>
      </c>
      <c r="I8988" s="27" t="s">
        <v>39</v>
      </c>
      <c r="J8988" s="28" t="s">
        <v>856</v>
      </c>
      <c r="K8988" s="27" t="s">
        <v>38</v>
      </c>
      <c r="L8988" s="27"/>
    </row>
    <row r="8989" customFormat="false" ht="15" hidden="false" customHeight="false" outlineLevel="0" collapsed="false">
      <c r="A8989" s="26" t="s">
        <v>22893</v>
      </c>
      <c r="B8989" s="27" t="s">
        <v>22894</v>
      </c>
      <c r="C8989" s="27" t="s">
        <v>144</v>
      </c>
      <c r="D8989" s="26"/>
      <c r="E8989" s="27"/>
      <c r="F8989" s="27"/>
      <c r="G8989" s="27" t="s">
        <v>11122</v>
      </c>
      <c r="H8989" s="27" t="s">
        <v>35</v>
      </c>
      <c r="I8989" s="27" t="s">
        <v>39</v>
      </c>
      <c r="J8989" s="28" t="s">
        <v>856</v>
      </c>
      <c r="K8989" s="27" t="s">
        <v>38</v>
      </c>
      <c r="L8989" s="27"/>
    </row>
    <row r="8990" customFormat="false" ht="15" hidden="false" customHeight="false" outlineLevel="0" collapsed="false">
      <c r="A8990" s="26" t="s">
        <v>22895</v>
      </c>
      <c r="B8990" s="27" t="s">
        <v>22896</v>
      </c>
      <c r="C8990" s="27" t="s">
        <v>144</v>
      </c>
      <c r="D8990" s="26"/>
      <c r="E8990" s="27"/>
      <c r="F8990" s="27"/>
      <c r="G8990" s="27" t="s">
        <v>11122</v>
      </c>
      <c r="H8990" s="27" t="s">
        <v>35</v>
      </c>
      <c r="I8990" s="27" t="s">
        <v>39</v>
      </c>
      <c r="J8990" s="28" t="s">
        <v>856</v>
      </c>
      <c r="K8990" s="27" t="s">
        <v>38</v>
      </c>
      <c r="L8990" s="27"/>
    </row>
    <row r="8991" customFormat="false" ht="15" hidden="false" customHeight="false" outlineLevel="0" collapsed="false">
      <c r="A8991" s="26" t="s">
        <v>22897</v>
      </c>
      <c r="B8991" s="27" t="s">
        <v>22898</v>
      </c>
      <c r="C8991" s="27" t="s">
        <v>144</v>
      </c>
      <c r="D8991" s="26"/>
      <c r="E8991" s="27"/>
      <c r="F8991" s="27"/>
      <c r="G8991" s="27" t="s">
        <v>11122</v>
      </c>
      <c r="H8991" s="27" t="s">
        <v>35</v>
      </c>
      <c r="I8991" s="27" t="s">
        <v>39</v>
      </c>
      <c r="J8991" s="28" t="s">
        <v>856</v>
      </c>
      <c r="K8991" s="27" t="s">
        <v>38</v>
      </c>
      <c r="L8991" s="27"/>
    </row>
    <row r="8992" customFormat="false" ht="15" hidden="false" customHeight="false" outlineLevel="0" collapsed="false">
      <c r="A8992" s="26" t="s">
        <v>22899</v>
      </c>
      <c r="B8992" s="27" t="s">
        <v>22900</v>
      </c>
      <c r="C8992" s="27" t="s">
        <v>144</v>
      </c>
      <c r="D8992" s="26"/>
      <c r="E8992" s="27"/>
      <c r="F8992" s="27"/>
      <c r="G8992" s="27" t="s">
        <v>11122</v>
      </c>
      <c r="H8992" s="27" t="s">
        <v>35</v>
      </c>
      <c r="I8992" s="27" t="s">
        <v>39</v>
      </c>
      <c r="J8992" s="28" t="s">
        <v>856</v>
      </c>
      <c r="K8992" s="27" t="s">
        <v>38</v>
      </c>
      <c r="L8992" s="27"/>
    </row>
    <row r="8993" customFormat="false" ht="15" hidden="false" customHeight="false" outlineLevel="0" collapsed="false">
      <c r="A8993" s="26" t="s">
        <v>22901</v>
      </c>
      <c r="B8993" s="27" t="s">
        <v>22902</v>
      </c>
      <c r="C8993" s="27" t="s">
        <v>144</v>
      </c>
      <c r="D8993" s="26"/>
      <c r="E8993" s="27"/>
      <c r="F8993" s="27"/>
      <c r="G8993" s="27" t="s">
        <v>11122</v>
      </c>
      <c r="H8993" s="27" t="s">
        <v>35</v>
      </c>
      <c r="I8993" s="27" t="s">
        <v>39</v>
      </c>
      <c r="J8993" s="28" t="s">
        <v>856</v>
      </c>
      <c r="K8993" s="27" t="s">
        <v>38</v>
      </c>
      <c r="L8993" s="27"/>
    </row>
    <row r="8994" customFormat="false" ht="15" hidden="false" customHeight="false" outlineLevel="0" collapsed="false">
      <c r="A8994" s="26" t="s">
        <v>22903</v>
      </c>
      <c r="B8994" s="27" t="s">
        <v>22904</v>
      </c>
      <c r="C8994" s="27" t="s">
        <v>144</v>
      </c>
      <c r="D8994" s="26"/>
      <c r="E8994" s="27"/>
      <c r="F8994" s="27"/>
      <c r="G8994" s="27" t="s">
        <v>11122</v>
      </c>
      <c r="H8994" s="27" t="s">
        <v>35</v>
      </c>
      <c r="I8994" s="27" t="s">
        <v>39</v>
      </c>
      <c r="J8994" s="28" t="s">
        <v>856</v>
      </c>
      <c r="K8994" s="27" t="s">
        <v>38</v>
      </c>
      <c r="L8994" s="27"/>
    </row>
    <row r="8995" customFormat="false" ht="15" hidden="false" customHeight="false" outlineLevel="0" collapsed="false">
      <c r="A8995" s="26" t="s">
        <v>22905</v>
      </c>
      <c r="B8995" s="27" t="s">
        <v>22906</v>
      </c>
      <c r="C8995" s="27" t="s">
        <v>144</v>
      </c>
      <c r="D8995" s="26"/>
      <c r="E8995" s="27"/>
      <c r="F8995" s="27"/>
      <c r="G8995" s="27" t="s">
        <v>11122</v>
      </c>
      <c r="H8995" s="27" t="s">
        <v>35</v>
      </c>
      <c r="I8995" s="27" t="s">
        <v>39</v>
      </c>
      <c r="J8995" s="28" t="s">
        <v>856</v>
      </c>
      <c r="K8995" s="27" t="s">
        <v>38</v>
      </c>
      <c r="L8995" s="27"/>
    </row>
    <row r="8996" customFormat="false" ht="15" hidden="false" customHeight="false" outlineLevel="0" collapsed="false">
      <c r="A8996" s="26" t="s">
        <v>22907</v>
      </c>
      <c r="B8996" s="27" t="s">
        <v>22908</v>
      </c>
      <c r="C8996" s="27" t="s">
        <v>144</v>
      </c>
      <c r="D8996" s="26"/>
      <c r="E8996" s="27"/>
      <c r="F8996" s="27"/>
      <c r="G8996" s="27" t="s">
        <v>11122</v>
      </c>
      <c r="H8996" s="27" t="s">
        <v>35</v>
      </c>
      <c r="I8996" s="27" t="s">
        <v>39</v>
      </c>
      <c r="J8996" s="28" t="s">
        <v>856</v>
      </c>
      <c r="K8996" s="27" t="s">
        <v>38</v>
      </c>
      <c r="L8996" s="27"/>
    </row>
    <row r="8997" customFormat="false" ht="15" hidden="false" customHeight="false" outlineLevel="0" collapsed="false">
      <c r="A8997" s="26" t="s">
        <v>22909</v>
      </c>
      <c r="B8997" s="27" t="s">
        <v>22910</v>
      </c>
      <c r="C8997" s="27" t="s">
        <v>144</v>
      </c>
      <c r="D8997" s="26"/>
      <c r="E8997" s="27"/>
      <c r="F8997" s="27"/>
      <c r="G8997" s="27" t="s">
        <v>11122</v>
      </c>
      <c r="H8997" s="27" t="s">
        <v>35</v>
      </c>
      <c r="I8997" s="27" t="s">
        <v>39</v>
      </c>
      <c r="J8997" s="28" t="s">
        <v>856</v>
      </c>
      <c r="K8997" s="27" t="s">
        <v>38</v>
      </c>
      <c r="L8997" s="27"/>
    </row>
    <row r="8998" customFormat="false" ht="15" hidden="false" customHeight="false" outlineLevel="0" collapsed="false">
      <c r="A8998" s="26" t="s">
        <v>22911</v>
      </c>
      <c r="B8998" s="27" t="s">
        <v>22912</v>
      </c>
      <c r="C8998" s="27" t="s">
        <v>144</v>
      </c>
      <c r="D8998" s="26"/>
      <c r="E8998" s="27"/>
      <c r="F8998" s="27"/>
      <c r="G8998" s="27" t="s">
        <v>11122</v>
      </c>
      <c r="H8998" s="27" t="s">
        <v>35</v>
      </c>
      <c r="I8998" s="27" t="s">
        <v>39</v>
      </c>
      <c r="J8998" s="28" t="s">
        <v>856</v>
      </c>
      <c r="K8998" s="27" t="s">
        <v>38</v>
      </c>
      <c r="L8998" s="27"/>
    </row>
    <row r="8999" customFormat="false" ht="15" hidden="false" customHeight="false" outlineLevel="0" collapsed="false">
      <c r="A8999" s="26" t="s">
        <v>22913</v>
      </c>
      <c r="B8999" s="27" t="s">
        <v>22914</v>
      </c>
      <c r="C8999" s="27" t="s">
        <v>144</v>
      </c>
      <c r="D8999" s="26"/>
      <c r="E8999" s="27"/>
      <c r="F8999" s="27"/>
      <c r="G8999" s="27" t="s">
        <v>11122</v>
      </c>
      <c r="H8999" s="27" t="s">
        <v>35</v>
      </c>
      <c r="I8999" s="27" t="s">
        <v>39</v>
      </c>
      <c r="J8999" s="28" t="s">
        <v>856</v>
      </c>
      <c r="K8999" s="27" t="s">
        <v>38</v>
      </c>
      <c r="L8999" s="27"/>
    </row>
    <row r="9000" customFormat="false" ht="15" hidden="false" customHeight="false" outlineLevel="0" collapsed="false">
      <c r="A9000" s="26" t="s">
        <v>22915</v>
      </c>
      <c r="B9000" s="27" t="s">
        <v>22914</v>
      </c>
      <c r="C9000" s="27" t="s">
        <v>144</v>
      </c>
      <c r="D9000" s="26"/>
      <c r="E9000" s="27"/>
      <c r="F9000" s="27"/>
      <c r="G9000" s="27" t="s">
        <v>11122</v>
      </c>
      <c r="H9000" s="27" t="s">
        <v>35</v>
      </c>
      <c r="I9000" s="27" t="s">
        <v>39</v>
      </c>
      <c r="J9000" s="28" t="s">
        <v>856</v>
      </c>
      <c r="K9000" s="27" t="s">
        <v>38</v>
      </c>
      <c r="L9000" s="27"/>
    </row>
    <row r="9001" customFormat="false" ht="15" hidden="false" customHeight="false" outlineLevel="0" collapsed="false">
      <c r="A9001" s="26" t="s">
        <v>22916</v>
      </c>
      <c r="B9001" s="27" t="s">
        <v>22917</v>
      </c>
      <c r="C9001" s="27" t="s">
        <v>144</v>
      </c>
      <c r="D9001" s="26"/>
      <c r="E9001" s="27"/>
      <c r="F9001" s="27"/>
      <c r="G9001" s="27" t="s">
        <v>11122</v>
      </c>
      <c r="H9001" s="27" t="s">
        <v>35</v>
      </c>
      <c r="I9001" s="27" t="s">
        <v>39</v>
      </c>
      <c r="J9001" s="28" t="s">
        <v>856</v>
      </c>
      <c r="K9001" s="27" t="s">
        <v>38</v>
      </c>
      <c r="L9001" s="27"/>
    </row>
    <row r="9002" customFormat="false" ht="15" hidden="false" customHeight="false" outlineLevel="0" collapsed="false">
      <c r="A9002" s="26" t="s">
        <v>22918</v>
      </c>
      <c r="B9002" s="27" t="s">
        <v>22919</v>
      </c>
      <c r="C9002" s="27" t="s">
        <v>144</v>
      </c>
      <c r="D9002" s="26"/>
      <c r="E9002" s="27"/>
      <c r="F9002" s="27"/>
      <c r="G9002" s="27" t="s">
        <v>11122</v>
      </c>
      <c r="H9002" s="27" t="s">
        <v>35</v>
      </c>
      <c r="I9002" s="27" t="s">
        <v>39</v>
      </c>
      <c r="J9002" s="28" t="s">
        <v>856</v>
      </c>
      <c r="K9002" s="27" t="s">
        <v>38</v>
      </c>
      <c r="L9002" s="27"/>
    </row>
    <row r="9003" customFormat="false" ht="15" hidden="false" customHeight="false" outlineLevel="0" collapsed="false">
      <c r="A9003" s="26" t="s">
        <v>22920</v>
      </c>
      <c r="B9003" s="27" t="s">
        <v>22921</v>
      </c>
      <c r="C9003" s="27" t="s">
        <v>144</v>
      </c>
      <c r="D9003" s="26"/>
      <c r="E9003" s="27"/>
      <c r="F9003" s="27"/>
      <c r="G9003" s="27" t="s">
        <v>11122</v>
      </c>
      <c r="H9003" s="27" t="s">
        <v>35</v>
      </c>
      <c r="I9003" s="27" t="s">
        <v>39</v>
      </c>
      <c r="J9003" s="28" t="s">
        <v>856</v>
      </c>
      <c r="K9003" s="27" t="s">
        <v>38</v>
      </c>
      <c r="L9003" s="27"/>
    </row>
    <row r="9004" customFormat="false" ht="15" hidden="false" customHeight="false" outlineLevel="0" collapsed="false">
      <c r="A9004" s="26" t="s">
        <v>22922</v>
      </c>
      <c r="B9004" s="27" t="s">
        <v>22923</v>
      </c>
      <c r="C9004" s="27" t="s">
        <v>144</v>
      </c>
      <c r="D9004" s="26"/>
      <c r="E9004" s="27"/>
      <c r="F9004" s="27"/>
      <c r="G9004" s="27" t="s">
        <v>11122</v>
      </c>
      <c r="H9004" s="27" t="s">
        <v>35</v>
      </c>
      <c r="I9004" s="27" t="s">
        <v>39</v>
      </c>
      <c r="J9004" s="28" t="s">
        <v>856</v>
      </c>
      <c r="K9004" s="27" t="s">
        <v>38</v>
      </c>
      <c r="L9004" s="27"/>
    </row>
    <row r="9005" customFormat="false" ht="15" hidden="false" customHeight="false" outlineLevel="0" collapsed="false">
      <c r="A9005" s="26" t="s">
        <v>22924</v>
      </c>
      <c r="B9005" s="27" t="s">
        <v>22925</v>
      </c>
      <c r="C9005" s="27" t="s">
        <v>144</v>
      </c>
      <c r="D9005" s="26"/>
      <c r="E9005" s="27"/>
      <c r="F9005" s="27"/>
      <c r="G9005" s="27" t="s">
        <v>11122</v>
      </c>
      <c r="H9005" s="27" t="s">
        <v>35</v>
      </c>
      <c r="I9005" s="27" t="s">
        <v>39</v>
      </c>
      <c r="J9005" s="28" t="s">
        <v>856</v>
      </c>
      <c r="K9005" s="27" t="s">
        <v>38</v>
      </c>
      <c r="L9005" s="27"/>
    </row>
    <row r="9006" customFormat="false" ht="15" hidden="false" customHeight="false" outlineLevel="0" collapsed="false">
      <c r="A9006" s="26" t="s">
        <v>22926</v>
      </c>
      <c r="B9006" s="27" t="s">
        <v>22927</v>
      </c>
      <c r="C9006" s="27" t="s">
        <v>144</v>
      </c>
      <c r="D9006" s="26"/>
      <c r="E9006" s="27"/>
      <c r="F9006" s="27"/>
      <c r="G9006" s="27" t="s">
        <v>11122</v>
      </c>
      <c r="H9006" s="27" t="s">
        <v>35</v>
      </c>
      <c r="I9006" s="27" t="s">
        <v>39</v>
      </c>
      <c r="J9006" s="28" t="s">
        <v>856</v>
      </c>
      <c r="K9006" s="27" t="s">
        <v>38</v>
      </c>
      <c r="L9006" s="27"/>
    </row>
    <row r="9007" customFormat="false" ht="15" hidden="false" customHeight="false" outlineLevel="0" collapsed="false">
      <c r="A9007" s="26" t="s">
        <v>22928</v>
      </c>
      <c r="B9007" s="27" t="s">
        <v>22929</v>
      </c>
      <c r="C9007" s="27" t="s">
        <v>144</v>
      </c>
      <c r="D9007" s="26"/>
      <c r="E9007" s="27"/>
      <c r="F9007" s="27"/>
      <c r="G9007" s="27" t="s">
        <v>11122</v>
      </c>
      <c r="H9007" s="27" t="s">
        <v>35</v>
      </c>
      <c r="I9007" s="27" t="s">
        <v>39</v>
      </c>
      <c r="J9007" s="28" t="s">
        <v>856</v>
      </c>
      <c r="K9007" s="27" t="s">
        <v>38</v>
      </c>
      <c r="L9007" s="27"/>
    </row>
    <row r="9008" customFormat="false" ht="15" hidden="false" customHeight="false" outlineLevel="0" collapsed="false">
      <c r="A9008" s="26" t="s">
        <v>22930</v>
      </c>
      <c r="B9008" s="27" t="s">
        <v>22931</v>
      </c>
      <c r="C9008" s="27" t="s">
        <v>144</v>
      </c>
      <c r="D9008" s="26"/>
      <c r="E9008" s="27"/>
      <c r="F9008" s="27"/>
      <c r="G9008" s="27" t="s">
        <v>11122</v>
      </c>
      <c r="H9008" s="27" t="s">
        <v>35</v>
      </c>
      <c r="I9008" s="27" t="s">
        <v>37</v>
      </c>
      <c r="J9008" s="28" t="s">
        <v>856</v>
      </c>
      <c r="K9008" s="27" t="s">
        <v>38</v>
      </c>
      <c r="L9008" s="27"/>
    </row>
    <row r="9009" customFormat="false" ht="15" hidden="false" customHeight="false" outlineLevel="0" collapsed="false">
      <c r="A9009" s="26" t="s">
        <v>22932</v>
      </c>
      <c r="B9009" s="27" t="s">
        <v>22933</v>
      </c>
      <c r="C9009" s="27" t="s">
        <v>144</v>
      </c>
      <c r="D9009" s="26"/>
      <c r="E9009" s="27"/>
      <c r="F9009" s="27"/>
      <c r="G9009" s="27" t="s">
        <v>11122</v>
      </c>
      <c r="H9009" s="27" t="s">
        <v>35</v>
      </c>
      <c r="I9009" s="27" t="s">
        <v>49</v>
      </c>
      <c r="J9009" s="28" t="s">
        <v>856</v>
      </c>
      <c r="K9009" s="27" t="s">
        <v>38</v>
      </c>
      <c r="L9009" s="27"/>
    </row>
    <row r="9010" customFormat="false" ht="15" hidden="false" customHeight="false" outlineLevel="0" collapsed="false">
      <c r="A9010" s="26" t="s">
        <v>22934</v>
      </c>
      <c r="B9010" s="27" t="s">
        <v>22935</v>
      </c>
      <c r="C9010" s="27" t="s">
        <v>144</v>
      </c>
      <c r="D9010" s="26"/>
      <c r="E9010" s="27"/>
      <c r="F9010" s="27"/>
      <c r="G9010" s="27" t="s">
        <v>11122</v>
      </c>
      <c r="H9010" s="27" t="s">
        <v>35</v>
      </c>
      <c r="I9010" s="27" t="s">
        <v>40</v>
      </c>
      <c r="J9010" s="28" t="s">
        <v>856</v>
      </c>
      <c r="K9010" s="27" t="s">
        <v>38</v>
      </c>
      <c r="L9010" s="27"/>
    </row>
    <row r="9011" customFormat="false" ht="15" hidden="false" customHeight="false" outlineLevel="0" collapsed="false">
      <c r="A9011" s="26" t="s">
        <v>22936</v>
      </c>
      <c r="B9011" s="27" t="s">
        <v>22937</v>
      </c>
      <c r="C9011" s="27" t="s">
        <v>144</v>
      </c>
      <c r="D9011" s="26"/>
      <c r="E9011" s="27"/>
      <c r="F9011" s="27"/>
      <c r="G9011" s="27" t="s">
        <v>11122</v>
      </c>
      <c r="H9011" s="27" t="s">
        <v>35</v>
      </c>
      <c r="I9011" s="27" t="s">
        <v>39</v>
      </c>
      <c r="J9011" s="28" t="s">
        <v>856</v>
      </c>
      <c r="K9011" s="27" t="s">
        <v>38</v>
      </c>
      <c r="L9011" s="27"/>
    </row>
    <row r="9012" customFormat="false" ht="15" hidden="false" customHeight="false" outlineLevel="0" collapsed="false">
      <c r="A9012" s="26" t="s">
        <v>22938</v>
      </c>
      <c r="B9012" s="27" t="s">
        <v>22939</v>
      </c>
      <c r="C9012" s="27" t="s">
        <v>144</v>
      </c>
      <c r="D9012" s="26"/>
      <c r="E9012" s="27"/>
      <c r="F9012" s="27"/>
      <c r="G9012" s="27" t="s">
        <v>11122</v>
      </c>
      <c r="H9012" s="27" t="s">
        <v>35</v>
      </c>
      <c r="I9012" s="27" t="s">
        <v>39</v>
      </c>
      <c r="J9012" s="28" t="s">
        <v>856</v>
      </c>
      <c r="K9012" s="27" t="s">
        <v>38</v>
      </c>
      <c r="L9012" s="27"/>
    </row>
    <row r="9013" customFormat="false" ht="15" hidden="false" customHeight="false" outlineLevel="0" collapsed="false">
      <c r="A9013" s="26" t="s">
        <v>22940</v>
      </c>
      <c r="B9013" s="27" t="s">
        <v>22941</v>
      </c>
      <c r="C9013" s="27" t="s">
        <v>144</v>
      </c>
      <c r="D9013" s="26"/>
      <c r="E9013" s="27"/>
      <c r="F9013" s="27"/>
      <c r="G9013" s="27" t="s">
        <v>11122</v>
      </c>
      <c r="H9013" s="27" t="s">
        <v>35</v>
      </c>
      <c r="I9013" s="27" t="s">
        <v>39</v>
      </c>
      <c r="J9013" s="28" t="s">
        <v>856</v>
      </c>
      <c r="K9013" s="27" t="s">
        <v>38</v>
      </c>
      <c r="L9013" s="27"/>
    </row>
    <row r="9014" customFormat="false" ht="15" hidden="false" customHeight="false" outlineLevel="0" collapsed="false">
      <c r="A9014" s="26" t="s">
        <v>22942</v>
      </c>
      <c r="B9014" s="27" t="s">
        <v>22943</v>
      </c>
      <c r="C9014" s="27" t="s">
        <v>144</v>
      </c>
      <c r="D9014" s="26"/>
      <c r="E9014" s="27"/>
      <c r="F9014" s="27"/>
      <c r="G9014" s="27" t="s">
        <v>11122</v>
      </c>
      <c r="H9014" s="27" t="s">
        <v>35</v>
      </c>
      <c r="I9014" s="27" t="s">
        <v>49</v>
      </c>
      <c r="J9014" s="28" t="s">
        <v>856</v>
      </c>
      <c r="K9014" s="27" t="s">
        <v>38</v>
      </c>
      <c r="L9014" s="27"/>
    </row>
    <row r="9015" customFormat="false" ht="15" hidden="false" customHeight="false" outlineLevel="0" collapsed="false">
      <c r="A9015" s="26" t="s">
        <v>22944</v>
      </c>
      <c r="B9015" s="27" t="s">
        <v>22945</v>
      </c>
      <c r="C9015" s="27" t="s">
        <v>144</v>
      </c>
      <c r="D9015" s="26"/>
      <c r="E9015" s="27"/>
      <c r="F9015" s="27"/>
      <c r="G9015" s="27" t="s">
        <v>11122</v>
      </c>
      <c r="H9015" s="27" t="s">
        <v>35</v>
      </c>
      <c r="I9015" s="27" t="s">
        <v>49</v>
      </c>
      <c r="J9015" s="28" t="s">
        <v>856</v>
      </c>
      <c r="K9015" s="27" t="s">
        <v>38</v>
      </c>
      <c r="L9015" s="27"/>
    </row>
    <row r="9016" customFormat="false" ht="15" hidden="false" customHeight="false" outlineLevel="0" collapsed="false">
      <c r="A9016" s="26" t="s">
        <v>22946</v>
      </c>
      <c r="B9016" s="27" t="s">
        <v>22947</v>
      </c>
      <c r="C9016" s="27" t="s">
        <v>144</v>
      </c>
      <c r="D9016" s="26"/>
      <c r="E9016" s="27"/>
      <c r="F9016" s="27"/>
      <c r="G9016" s="27" t="s">
        <v>11122</v>
      </c>
      <c r="H9016" s="27" t="s">
        <v>35</v>
      </c>
      <c r="I9016" s="27" t="s">
        <v>49</v>
      </c>
      <c r="J9016" s="28" t="s">
        <v>856</v>
      </c>
      <c r="K9016" s="27" t="s">
        <v>38</v>
      </c>
      <c r="L9016" s="27"/>
    </row>
    <row r="9017" customFormat="false" ht="15" hidden="false" customHeight="false" outlineLevel="0" collapsed="false">
      <c r="A9017" s="26" t="s">
        <v>22948</v>
      </c>
      <c r="B9017" s="27" t="s">
        <v>22949</v>
      </c>
      <c r="C9017" s="27" t="s">
        <v>370</v>
      </c>
      <c r="D9017" s="26"/>
      <c r="E9017" s="27"/>
      <c r="F9017" s="27"/>
      <c r="G9017" s="27" t="s">
        <v>11122</v>
      </c>
      <c r="H9017" s="27" t="s">
        <v>35</v>
      </c>
      <c r="I9017" s="27" t="s">
        <v>39</v>
      </c>
      <c r="J9017" s="28" t="s">
        <v>856</v>
      </c>
      <c r="K9017" s="27" t="s">
        <v>38</v>
      </c>
      <c r="L9017" s="27"/>
    </row>
    <row r="9018" customFormat="false" ht="15" hidden="false" customHeight="false" outlineLevel="0" collapsed="false">
      <c r="A9018" s="26" t="s">
        <v>22950</v>
      </c>
      <c r="B9018" s="27" t="s">
        <v>22951</v>
      </c>
      <c r="C9018" s="27" t="s">
        <v>370</v>
      </c>
      <c r="D9018" s="26"/>
      <c r="E9018" s="27"/>
      <c r="F9018" s="27"/>
      <c r="G9018" s="27" t="s">
        <v>11122</v>
      </c>
      <c r="H9018" s="27" t="s">
        <v>35</v>
      </c>
      <c r="I9018" s="27" t="s">
        <v>39</v>
      </c>
      <c r="J9018" s="28" t="s">
        <v>856</v>
      </c>
      <c r="K9018" s="27" t="s">
        <v>38</v>
      </c>
      <c r="L9018" s="27"/>
    </row>
    <row r="9019" customFormat="false" ht="15" hidden="false" customHeight="false" outlineLevel="0" collapsed="false">
      <c r="A9019" s="26" t="s">
        <v>22952</v>
      </c>
      <c r="B9019" s="27" t="s">
        <v>22953</v>
      </c>
      <c r="C9019" s="27" t="s">
        <v>370</v>
      </c>
      <c r="D9019" s="26"/>
      <c r="E9019" s="27"/>
      <c r="F9019" s="27"/>
      <c r="G9019" s="27" t="s">
        <v>11122</v>
      </c>
      <c r="H9019" s="27" t="s">
        <v>35</v>
      </c>
      <c r="I9019" s="27" t="s">
        <v>39</v>
      </c>
      <c r="J9019" s="28" t="s">
        <v>856</v>
      </c>
      <c r="K9019" s="27" t="s">
        <v>38</v>
      </c>
      <c r="L9019" s="27"/>
    </row>
    <row r="9020" customFormat="false" ht="15" hidden="false" customHeight="false" outlineLevel="0" collapsed="false">
      <c r="A9020" s="26" t="s">
        <v>22954</v>
      </c>
      <c r="B9020" s="27" t="s">
        <v>22955</v>
      </c>
      <c r="C9020" s="27" t="s">
        <v>144</v>
      </c>
      <c r="D9020" s="26"/>
      <c r="E9020" s="27"/>
      <c r="F9020" s="27"/>
      <c r="G9020" s="27" t="s">
        <v>11122</v>
      </c>
      <c r="H9020" s="27" t="s">
        <v>35</v>
      </c>
      <c r="I9020" s="27" t="s">
        <v>39</v>
      </c>
      <c r="J9020" s="28" t="s">
        <v>856</v>
      </c>
      <c r="K9020" s="27" t="s">
        <v>38</v>
      </c>
      <c r="L9020" s="27"/>
    </row>
    <row r="9021" customFormat="false" ht="15" hidden="false" customHeight="false" outlineLevel="0" collapsed="false">
      <c r="A9021" s="26" t="s">
        <v>22956</v>
      </c>
      <c r="B9021" s="27" t="s">
        <v>22957</v>
      </c>
      <c r="C9021" s="27" t="s">
        <v>144</v>
      </c>
      <c r="D9021" s="26"/>
      <c r="E9021" s="27"/>
      <c r="F9021" s="27"/>
      <c r="G9021" s="27" t="s">
        <v>11122</v>
      </c>
      <c r="H9021" s="27" t="s">
        <v>35</v>
      </c>
      <c r="I9021" s="27" t="s">
        <v>39</v>
      </c>
      <c r="J9021" s="28" t="s">
        <v>856</v>
      </c>
      <c r="K9021" s="27" t="s">
        <v>38</v>
      </c>
      <c r="L9021" s="27"/>
    </row>
    <row r="9022" customFormat="false" ht="15" hidden="false" customHeight="false" outlineLevel="0" collapsed="false">
      <c r="A9022" s="26" t="s">
        <v>22958</v>
      </c>
      <c r="B9022" s="27" t="s">
        <v>22959</v>
      </c>
      <c r="C9022" s="27" t="s">
        <v>144</v>
      </c>
      <c r="D9022" s="26"/>
      <c r="E9022" s="27"/>
      <c r="F9022" s="27"/>
      <c r="G9022" s="27" t="s">
        <v>11122</v>
      </c>
      <c r="H9022" s="27" t="s">
        <v>35</v>
      </c>
      <c r="I9022" s="27" t="s">
        <v>39</v>
      </c>
      <c r="J9022" s="28" t="s">
        <v>856</v>
      </c>
      <c r="K9022" s="27" t="s">
        <v>38</v>
      </c>
      <c r="L9022" s="27"/>
    </row>
    <row r="9023" customFormat="false" ht="15" hidden="false" customHeight="false" outlineLevel="0" collapsed="false">
      <c r="A9023" s="26" t="s">
        <v>22960</v>
      </c>
      <c r="B9023" s="27" t="s">
        <v>22961</v>
      </c>
      <c r="C9023" s="27" t="s">
        <v>144</v>
      </c>
      <c r="D9023" s="26"/>
      <c r="E9023" s="27"/>
      <c r="F9023" s="27"/>
      <c r="G9023" s="27" t="s">
        <v>11122</v>
      </c>
      <c r="H9023" s="27" t="s">
        <v>35</v>
      </c>
      <c r="I9023" s="27" t="s">
        <v>39</v>
      </c>
      <c r="J9023" s="28" t="s">
        <v>856</v>
      </c>
      <c r="K9023" s="27" t="s">
        <v>38</v>
      </c>
      <c r="L9023" s="27"/>
    </row>
    <row r="9024" customFormat="false" ht="15" hidden="false" customHeight="false" outlineLevel="0" collapsed="false">
      <c r="A9024" s="26" t="s">
        <v>22962</v>
      </c>
      <c r="B9024" s="27" t="s">
        <v>22963</v>
      </c>
      <c r="C9024" s="27" t="s">
        <v>144</v>
      </c>
      <c r="D9024" s="26"/>
      <c r="E9024" s="27"/>
      <c r="F9024" s="27"/>
      <c r="G9024" s="27" t="s">
        <v>11122</v>
      </c>
      <c r="H9024" s="27" t="s">
        <v>35</v>
      </c>
      <c r="I9024" s="27" t="s">
        <v>47</v>
      </c>
      <c r="J9024" s="28" t="s">
        <v>856</v>
      </c>
      <c r="K9024" s="27" t="s">
        <v>38</v>
      </c>
      <c r="L9024" s="27"/>
    </row>
    <row r="9025" customFormat="false" ht="15" hidden="false" customHeight="false" outlineLevel="0" collapsed="false">
      <c r="A9025" s="26" t="s">
        <v>22964</v>
      </c>
      <c r="B9025" s="27" t="s">
        <v>22965</v>
      </c>
      <c r="C9025" s="27" t="s">
        <v>144</v>
      </c>
      <c r="D9025" s="26"/>
      <c r="E9025" s="27"/>
      <c r="F9025" s="27"/>
      <c r="G9025" s="27" t="s">
        <v>11122</v>
      </c>
      <c r="H9025" s="27" t="s">
        <v>35</v>
      </c>
      <c r="I9025" s="28" t="s">
        <v>46</v>
      </c>
      <c r="J9025" s="28" t="s">
        <v>913</v>
      </c>
      <c r="K9025" s="27" t="s">
        <v>38</v>
      </c>
      <c r="L9025" s="27"/>
    </row>
    <row r="9026" customFormat="false" ht="15" hidden="false" customHeight="false" outlineLevel="0" collapsed="false">
      <c r="A9026" s="26" t="s">
        <v>22966</v>
      </c>
      <c r="B9026" s="27" t="s">
        <v>22967</v>
      </c>
      <c r="C9026" s="27" t="s">
        <v>144</v>
      </c>
      <c r="D9026" s="26"/>
      <c r="E9026" s="27"/>
      <c r="F9026" s="27"/>
      <c r="G9026" s="27" t="s">
        <v>11122</v>
      </c>
      <c r="H9026" s="27" t="s">
        <v>35</v>
      </c>
      <c r="I9026" s="27" t="s">
        <v>40</v>
      </c>
      <c r="J9026" s="28" t="s">
        <v>913</v>
      </c>
      <c r="K9026" s="27" t="s">
        <v>38</v>
      </c>
      <c r="L9026" s="27"/>
    </row>
    <row r="9027" customFormat="false" ht="15" hidden="false" customHeight="false" outlineLevel="0" collapsed="false">
      <c r="A9027" s="26" t="s">
        <v>22968</v>
      </c>
      <c r="B9027" s="27" t="s">
        <v>22969</v>
      </c>
      <c r="C9027" s="27" t="s">
        <v>144</v>
      </c>
      <c r="D9027" s="26"/>
      <c r="E9027" s="27"/>
      <c r="F9027" s="27"/>
      <c r="G9027" s="27" t="s">
        <v>11122</v>
      </c>
      <c r="H9027" s="27" t="s">
        <v>35</v>
      </c>
      <c r="I9027" s="27" t="s">
        <v>38</v>
      </c>
      <c r="J9027" s="28" t="s">
        <v>913</v>
      </c>
      <c r="K9027" s="27" t="s">
        <v>38</v>
      </c>
      <c r="L9027" s="27"/>
    </row>
    <row r="9028" customFormat="false" ht="15" hidden="false" customHeight="false" outlineLevel="0" collapsed="false">
      <c r="A9028" s="26" t="s">
        <v>22970</v>
      </c>
      <c r="B9028" s="27" t="s">
        <v>22971</v>
      </c>
      <c r="C9028" s="27" t="s">
        <v>144</v>
      </c>
      <c r="D9028" s="26"/>
      <c r="E9028" s="27"/>
      <c r="F9028" s="27"/>
      <c r="G9028" s="27" t="s">
        <v>11122</v>
      </c>
      <c r="H9028" s="27" t="s">
        <v>35</v>
      </c>
      <c r="I9028" s="27" t="s">
        <v>38</v>
      </c>
      <c r="J9028" s="28" t="s">
        <v>913</v>
      </c>
      <c r="K9028" s="27" t="s">
        <v>38</v>
      </c>
      <c r="L9028" s="27"/>
    </row>
    <row r="9029" customFormat="false" ht="15" hidden="false" customHeight="false" outlineLevel="0" collapsed="false">
      <c r="A9029" s="26" t="s">
        <v>22972</v>
      </c>
      <c r="B9029" s="27" t="s">
        <v>22973</v>
      </c>
      <c r="C9029" s="27" t="s">
        <v>370</v>
      </c>
      <c r="D9029" s="26"/>
      <c r="E9029" s="27"/>
      <c r="F9029" s="27"/>
      <c r="G9029" s="27" t="s">
        <v>11122</v>
      </c>
      <c r="H9029" s="27" t="s">
        <v>35</v>
      </c>
      <c r="I9029" s="27" t="s">
        <v>37</v>
      </c>
      <c r="J9029" s="28" t="s">
        <v>913</v>
      </c>
      <c r="K9029" s="27" t="s">
        <v>38</v>
      </c>
      <c r="L9029" s="27"/>
    </row>
    <row r="9030" customFormat="false" ht="15" hidden="false" customHeight="false" outlineLevel="0" collapsed="false">
      <c r="A9030" s="26" t="s">
        <v>22974</v>
      </c>
      <c r="B9030" s="27" t="s">
        <v>22975</v>
      </c>
      <c r="C9030" s="27" t="s">
        <v>144</v>
      </c>
      <c r="D9030" s="26"/>
      <c r="E9030" s="27"/>
      <c r="F9030" s="27"/>
      <c r="G9030" s="27" t="s">
        <v>11122</v>
      </c>
      <c r="H9030" s="27" t="s">
        <v>35</v>
      </c>
      <c r="I9030" s="27" t="s">
        <v>38</v>
      </c>
      <c r="J9030" s="28" t="s">
        <v>913</v>
      </c>
      <c r="K9030" s="27" t="s">
        <v>38</v>
      </c>
      <c r="L9030" s="27"/>
    </row>
    <row r="9031" customFormat="false" ht="15" hidden="false" customHeight="false" outlineLevel="0" collapsed="false">
      <c r="A9031" s="26" t="s">
        <v>22976</v>
      </c>
      <c r="B9031" s="27" t="s">
        <v>22977</v>
      </c>
      <c r="C9031" s="27" t="s">
        <v>144</v>
      </c>
      <c r="D9031" s="26"/>
      <c r="E9031" s="27"/>
      <c r="F9031" s="27"/>
      <c r="G9031" s="27" t="s">
        <v>11122</v>
      </c>
      <c r="H9031" s="27" t="s">
        <v>35</v>
      </c>
      <c r="I9031" s="27" t="s">
        <v>38</v>
      </c>
      <c r="J9031" s="28" t="s">
        <v>913</v>
      </c>
      <c r="K9031" s="27" t="s">
        <v>38</v>
      </c>
      <c r="L9031" s="27"/>
    </row>
    <row r="9032" customFormat="false" ht="15" hidden="false" customHeight="false" outlineLevel="0" collapsed="false">
      <c r="A9032" s="26" t="s">
        <v>22978</v>
      </c>
      <c r="B9032" s="27" t="s">
        <v>22979</v>
      </c>
      <c r="C9032" s="27" t="s">
        <v>144</v>
      </c>
      <c r="D9032" s="26"/>
      <c r="E9032" s="27"/>
      <c r="F9032" s="27"/>
      <c r="G9032" s="27" t="s">
        <v>11122</v>
      </c>
      <c r="H9032" s="27" t="s">
        <v>35</v>
      </c>
      <c r="I9032" s="27" t="s">
        <v>40</v>
      </c>
      <c r="J9032" s="28" t="s">
        <v>913</v>
      </c>
      <c r="K9032" s="27" t="s">
        <v>38</v>
      </c>
      <c r="L9032" s="27"/>
    </row>
    <row r="9033" customFormat="false" ht="15" hidden="false" customHeight="false" outlineLevel="0" collapsed="false">
      <c r="A9033" s="26" t="s">
        <v>22980</v>
      </c>
      <c r="B9033" s="27" t="s">
        <v>22981</v>
      </c>
      <c r="C9033" s="27" t="s">
        <v>144</v>
      </c>
      <c r="D9033" s="26"/>
      <c r="E9033" s="27"/>
      <c r="F9033" s="27"/>
      <c r="G9033" s="27" t="s">
        <v>11122</v>
      </c>
      <c r="H9033" s="27" t="s">
        <v>35</v>
      </c>
      <c r="I9033" s="27" t="s">
        <v>41</v>
      </c>
      <c r="J9033" s="28" t="s">
        <v>913</v>
      </c>
      <c r="K9033" s="27" t="s">
        <v>38</v>
      </c>
      <c r="L9033" s="27"/>
    </row>
    <row r="9034" customFormat="false" ht="15" hidden="false" customHeight="false" outlineLevel="0" collapsed="false">
      <c r="A9034" s="26" t="s">
        <v>22982</v>
      </c>
      <c r="B9034" s="27" t="s">
        <v>22983</v>
      </c>
      <c r="C9034" s="27" t="s">
        <v>144</v>
      </c>
      <c r="D9034" s="26"/>
      <c r="E9034" s="27"/>
      <c r="F9034" s="27"/>
      <c r="G9034" s="27" t="s">
        <v>11122</v>
      </c>
      <c r="H9034" s="27" t="s">
        <v>35</v>
      </c>
      <c r="I9034" s="27" t="s">
        <v>38</v>
      </c>
      <c r="J9034" s="28" t="s">
        <v>913</v>
      </c>
      <c r="K9034" s="27" t="s">
        <v>38</v>
      </c>
      <c r="L9034" s="27"/>
    </row>
    <row r="9035" customFormat="false" ht="15" hidden="false" customHeight="false" outlineLevel="0" collapsed="false">
      <c r="A9035" s="26" t="s">
        <v>22984</v>
      </c>
      <c r="B9035" s="27" t="s">
        <v>22985</v>
      </c>
      <c r="C9035" s="27" t="s">
        <v>144</v>
      </c>
      <c r="D9035" s="26"/>
      <c r="E9035" s="27"/>
      <c r="F9035" s="27"/>
      <c r="G9035" s="27" t="s">
        <v>11122</v>
      </c>
      <c r="H9035" s="27" t="s">
        <v>35</v>
      </c>
      <c r="I9035" s="27" t="s">
        <v>41</v>
      </c>
      <c r="J9035" s="28" t="s">
        <v>913</v>
      </c>
      <c r="K9035" s="27" t="s">
        <v>38</v>
      </c>
      <c r="L9035" s="27"/>
    </row>
    <row r="9036" customFormat="false" ht="15" hidden="false" customHeight="false" outlineLevel="0" collapsed="false">
      <c r="A9036" s="26" t="s">
        <v>22986</v>
      </c>
      <c r="B9036" s="27" t="s">
        <v>22987</v>
      </c>
      <c r="C9036" s="27" t="s">
        <v>144</v>
      </c>
      <c r="D9036" s="26"/>
      <c r="E9036" s="27"/>
      <c r="F9036" s="27"/>
      <c r="G9036" s="27" t="s">
        <v>11122</v>
      </c>
      <c r="H9036" s="27" t="s">
        <v>35</v>
      </c>
      <c r="I9036" s="27" t="s">
        <v>38</v>
      </c>
      <c r="J9036" s="28" t="s">
        <v>913</v>
      </c>
      <c r="K9036" s="27" t="s">
        <v>38</v>
      </c>
      <c r="L9036" s="27"/>
    </row>
    <row r="9037" customFormat="false" ht="15" hidden="false" customHeight="false" outlineLevel="0" collapsed="false">
      <c r="A9037" s="26" t="s">
        <v>22988</v>
      </c>
      <c r="B9037" s="27" t="s">
        <v>22989</v>
      </c>
      <c r="C9037" s="27" t="s">
        <v>144</v>
      </c>
      <c r="D9037" s="26"/>
      <c r="E9037" s="27"/>
      <c r="F9037" s="27"/>
      <c r="G9037" s="27" t="s">
        <v>11122</v>
      </c>
      <c r="H9037" s="27" t="s">
        <v>35</v>
      </c>
      <c r="I9037" s="27" t="s">
        <v>37</v>
      </c>
      <c r="J9037" s="28" t="s">
        <v>913</v>
      </c>
      <c r="K9037" s="27" t="s">
        <v>38</v>
      </c>
      <c r="L9037" s="27"/>
    </row>
    <row r="9038" customFormat="false" ht="15" hidden="false" customHeight="false" outlineLevel="0" collapsed="false">
      <c r="A9038" s="26" t="s">
        <v>22990</v>
      </c>
      <c r="B9038" s="27" t="s">
        <v>22991</v>
      </c>
      <c r="C9038" s="27" t="s">
        <v>144</v>
      </c>
      <c r="D9038" s="26"/>
      <c r="E9038" s="27"/>
      <c r="F9038" s="27"/>
      <c r="G9038" s="27" t="s">
        <v>11122</v>
      </c>
      <c r="H9038" s="27" t="s">
        <v>35</v>
      </c>
      <c r="I9038" s="27" t="s">
        <v>38</v>
      </c>
      <c r="J9038" s="28" t="s">
        <v>913</v>
      </c>
      <c r="K9038" s="27" t="s">
        <v>38</v>
      </c>
      <c r="L9038" s="27"/>
    </row>
    <row r="9039" customFormat="false" ht="15" hidden="false" customHeight="false" outlineLevel="0" collapsed="false">
      <c r="A9039" s="26" t="s">
        <v>22992</v>
      </c>
      <c r="B9039" s="27" t="s">
        <v>22993</v>
      </c>
      <c r="C9039" s="27" t="s">
        <v>144</v>
      </c>
      <c r="D9039" s="26"/>
      <c r="E9039" s="27"/>
      <c r="F9039" s="27"/>
      <c r="G9039" s="27" t="s">
        <v>11122</v>
      </c>
      <c r="H9039" s="27" t="s">
        <v>35</v>
      </c>
      <c r="I9039" s="27" t="s">
        <v>42</v>
      </c>
      <c r="J9039" s="28" t="s">
        <v>913</v>
      </c>
      <c r="K9039" s="27" t="s">
        <v>38</v>
      </c>
      <c r="L9039" s="27"/>
    </row>
    <row r="9040" customFormat="false" ht="15" hidden="false" customHeight="false" outlineLevel="0" collapsed="false">
      <c r="A9040" s="26" t="s">
        <v>22994</v>
      </c>
      <c r="B9040" s="27" t="s">
        <v>22995</v>
      </c>
      <c r="C9040" s="27" t="s">
        <v>144</v>
      </c>
      <c r="D9040" s="26"/>
      <c r="E9040" s="27"/>
      <c r="F9040" s="27"/>
      <c r="G9040" s="27" t="s">
        <v>11122</v>
      </c>
      <c r="H9040" s="27" t="s">
        <v>35</v>
      </c>
      <c r="I9040" s="27" t="s">
        <v>38</v>
      </c>
      <c r="J9040" s="28" t="s">
        <v>913</v>
      </c>
      <c r="K9040" s="27" t="s">
        <v>38</v>
      </c>
      <c r="L9040" s="27"/>
    </row>
    <row r="9041" customFormat="false" ht="15" hidden="false" customHeight="false" outlineLevel="0" collapsed="false">
      <c r="A9041" s="26" t="s">
        <v>22996</v>
      </c>
      <c r="B9041" s="27" t="s">
        <v>22997</v>
      </c>
      <c r="C9041" s="27" t="s">
        <v>144</v>
      </c>
      <c r="D9041" s="26"/>
      <c r="E9041" s="27"/>
      <c r="F9041" s="27"/>
      <c r="G9041" s="27" t="s">
        <v>11122</v>
      </c>
      <c r="H9041" s="27" t="s">
        <v>35</v>
      </c>
      <c r="I9041" s="27" t="s">
        <v>38</v>
      </c>
      <c r="J9041" s="28" t="s">
        <v>913</v>
      </c>
      <c r="K9041" s="27" t="s">
        <v>38</v>
      </c>
      <c r="L9041" s="27"/>
    </row>
    <row r="9042" customFormat="false" ht="15" hidden="false" customHeight="false" outlineLevel="0" collapsed="false">
      <c r="A9042" s="26" t="s">
        <v>22998</v>
      </c>
      <c r="B9042" s="27" t="s">
        <v>22999</v>
      </c>
      <c r="C9042" s="27" t="s">
        <v>144</v>
      </c>
      <c r="D9042" s="26"/>
      <c r="E9042" s="27"/>
      <c r="F9042" s="27"/>
      <c r="G9042" s="27" t="s">
        <v>11122</v>
      </c>
      <c r="H9042" s="27" t="s">
        <v>35</v>
      </c>
      <c r="I9042" s="27" t="s">
        <v>40</v>
      </c>
      <c r="J9042" s="28" t="s">
        <v>913</v>
      </c>
      <c r="K9042" s="27" t="s">
        <v>38</v>
      </c>
      <c r="L9042" s="27"/>
    </row>
    <row r="9043" customFormat="false" ht="15" hidden="false" customHeight="false" outlineLevel="0" collapsed="false">
      <c r="A9043" s="26" t="s">
        <v>23000</v>
      </c>
      <c r="B9043" s="27" t="s">
        <v>23001</v>
      </c>
      <c r="C9043" s="27" t="s">
        <v>144</v>
      </c>
      <c r="D9043" s="26"/>
      <c r="E9043" s="27"/>
      <c r="F9043" s="27"/>
      <c r="G9043" s="27" t="s">
        <v>11122</v>
      </c>
      <c r="H9043" s="27" t="s">
        <v>35</v>
      </c>
      <c r="I9043" s="27" t="s">
        <v>48</v>
      </c>
      <c r="J9043" s="28" t="s">
        <v>913</v>
      </c>
      <c r="K9043" s="27" t="s">
        <v>38</v>
      </c>
      <c r="L9043" s="27"/>
    </row>
    <row r="9044" customFormat="false" ht="15" hidden="false" customHeight="false" outlineLevel="0" collapsed="false">
      <c r="A9044" s="26" t="s">
        <v>23002</v>
      </c>
      <c r="B9044" s="27" t="s">
        <v>23003</v>
      </c>
      <c r="C9044" s="27" t="s">
        <v>144</v>
      </c>
      <c r="D9044" s="26"/>
      <c r="E9044" s="27"/>
      <c r="F9044" s="27"/>
      <c r="G9044" s="27" t="s">
        <v>11122</v>
      </c>
      <c r="H9044" s="27" t="s">
        <v>35</v>
      </c>
      <c r="I9044" s="27" t="s">
        <v>43</v>
      </c>
      <c r="J9044" s="28" t="s">
        <v>913</v>
      </c>
      <c r="K9044" s="27" t="s">
        <v>38</v>
      </c>
      <c r="L9044" s="27"/>
    </row>
    <row r="9045" customFormat="false" ht="15" hidden="false" customHeight="false" outlineLevel="0" collapsed="false">
      <c r="A9045" s="26" t="s">
        <v>23004</v>
      </c>
      <c r="B9045" s="27" t="s">
        <v>23005</v>
      </c>
      <c r="C9045" s="27" t="s">
        <v>144</v>
      </c>
      <c r="D9045" s="26"/>
      <c r="E9045" s="27"/>
      <c r="F9045" s="27"/>
      <c r="G9045" s="27" t="s">
        <v>11122</v>
      </c>
      <c r="H9045" s="27" t="s">
        <v>35</v>
      </c>
      <c r="I9045" s="27" t="s">
        <v>40</v>
      </c>
      <c r="J9045" s="28" t="s">
        <v>913</v>
      </c>
      <c r="K9045" s="27" t="s">
        <v>38</v>
      </c>
      <c r="L9045" s="27"/>
    </row>
    <row r="9046" customFormat="false" ht="15" hidden="false" customHeight="false" outlineLevel="0" collapsed="false">
      <c r="A9046" s="26" t="s">
        <v>23006</v>
      </c>
      <c r="B9046" s="27" t="s">
        <v>23007</v>
      </c>
      <c r="C9046" s="27" t="s">
        <v>144</v>
      </c>
      <c r="D9046" s="26"/>
      <c r="E9046" s="27"/>
      <c r="F9046" s="27"/>
      <c r="G9046" s="27" t="s">
        <v>11122</v>
      </c>
      <c r="H9046" s="27" t="s">
        <v>35</v>
      </c>
      <c r="I9046" s="27" t="s">
        <v>41</v>
      </c>
      <c r="J9046" s="28" t="s">
        <v>913</v>
      </c>
      <c r="K9046" s="27" t="s">
        <v>38</v>
      </c>
      <c r="L9046" s="27"/>
    </row>
    <row r="9047" customFormat="false" ht="15" hidden="false" customHeight="false" outlineLevel="0" collapsed="false">
      <c r="A9047" s="26" t="s">
        <v>23008</v>
      </c>
      <c r="B9047" s="27" t="s">
        <v>23009</v>
      </c>
      <c r="C9047" s="27" t="s">
        <v>144</v>
      </c>
      <c r="D9047" s="26"/>
      <c r="E9047" s="27"/>
      <c r="F9047" s="27"/>
      <c r="G9047" s="27" t="s">
        <v>11122</v>
      </c>
      <c r="H9047" s="27" t="s">
        <v>35</v>
      </c>
      <c r="I9047" s="27" t="s">
        <v>38</v>
      </c>
      <c r="J9047" s="28" t="s">
        <v>913</v>
      </c>
      <c r="K9047" s="27" t="s">
        <v>38</v>
      </c>
      <c r="L9047" s="27"/>
    </row>
    <row r="9048" customFormat="false" ht="15" hidden="false" customHeight="false" outlineLevel="0" collapsed="false">
      <c r="A9048" s="26" t="s">
        <v>23010</v>
      </c>
      <c r="B9048" s="27" t="s">
        <v>23011</v>
      </c>
      <c r="C9048" s="27" t="s">
        <v>144</v>
      </c>
      <c r="D9048" s="26"/>
      <c r="E9048" s="27"/>
      <c r="F9048" s="27"/>
      <c r="G9048" s="27" t="s">
        <v>11122</v>
      </c>
      <c r="H9048" s="27" t="s">
        <v>35</v>
      </c>
      <c r="I9048" s="27" t="s">
        <v>38</v>
      </c>
      <c r="J9048" s="28" t="s">
        <v>913</v>
      </c>
      <c r="K9048" s="27" t="s">
        <v>38</v>
      </c>
      <c r="L9048" s="27"/>
    </row>
    <row r="9049" customFormat="false" ht="15" hidden="false" customHeight="false" outlineLevel="0" collapsed="false">
      <c r="A9049" s="26" t="s">
        <v>23012</v>
      </c>
      <c r="B9049" s="27" t="s">
        <v>23013</v>
      </c>
      <c r="C9049" s="27" t="s">
        <v>144</v>
      </c>
      <c r="D9049" s="26"/>
      <c r="E9049" s="27"/>
      <c r="F9049" s="27"/>
      <c r="G9049" s="27" t="s">
        <v>11122</v>
      </c>
      <c r="H9049" s="27" t="s">
        <v>35</v>
      </c>
      <c r="I9049" s="27" t="s">
        <v>38</v>
      </c>
      <c r="J9049" s="28" t="s">
        <v>913</v>
      </c>
      <c r="K9049" s="27" t="s">
        <v>38</v>
      </c>
      <c r="L9049" s="27"/>
    </row>
    <row r="9050" customFormat="false" ht="15" hidden="false" customHeight="false" outlineLevel="0" collapsed="false">
      <c r="A9050" s="26" t="s">
        <v>23014</v>
      </c>
      <c r="B9050" s="27" t="s">
        <v>23015</v>
      </c>
      <c r="C9050" s="27" t="s">
        <v>144</v>
      </c>
      <c r="D9050" s="26"/>
      <c r="E9050" s="27"/>
      <c r="F9050" s="27"/>
      <c r="G9050" s="27" t="s">
        <v>11122</v>
      </c>
      <c r="H9050" s="27" t="s">
        <v>35</v>
      </c>
      <c r="I9050" s="27" t="s">
        <v>38</v>
      </c>
      <c r="J9050" s="28" t="s">
        <v>913</v>
      </c>
      <c r="K9050" s="27" t="s">
        <v>38</v>
      </c>
      <c r="L9050" s="27"/>
    </row>
    <row r="9051" customFormat="false" ht="15" hidden="false" customHeight="false" outlineLevel="0" collapsed="false">
      <c r="A9051" s="26" t="s">
        <v>23016</v>
      </c>
      <c r="B9051" s="27" t="s">
        <v>23017</v>
      </c>
      <c r="C9051" s="27" t="s">
        <v>144</v>
      </c>
      <c r="D9051" s="26"/>
      <c r="E9051" s="27"/>
      <c r="F9051" s="27"/>
      <c r="G9051" s="27" t="s">
        <v>11122</v>
      </c>
      <c r="H9051" s="27" t="s">
        <v>35</v>
      </c>
      <c r="I9051" s="27" t="s">
        <v>38</v>
      </c>
      <c r="J9051" s="28" t="s">
        <v>913</v>
      </c>
      <c r="K9051" s="27" t="s">
        <v>38</v>
      </c>
      <c r="L9051" s="27"/>
    </row>
    <row r="9052" customFormat="false" ht="15" hidden="false" customHeight="false" outlineLevel="0" collapsed="false">
      <c r="A9052" s="26" t="s">
        <v>23018</v>
      </c>
      <c r="B9052" s="27" t="s">
        <v>23019</v>
      </c>
      <c r="C9052" s="27" t="s">
        <v>144</v>
      </c>
      <c r="D9052" s="26"/>
      <c r="E9052" s="27"/>
      <c r="F9052" s="27"/>
      <c r="G9052" s="27" t="s">
        <v>11122</v>
      </c>
      <c r="H9052" s="27" t="s">
        <v>35</v>
      </c>
      <c r="I9052" s="27" t="s">
        <v>38</v>
      </c>
      <c r="J9052" s="28" t="s">
        <v>913</v>
      </c>
      <c r="K9052" s="27" t="s">
        <v>38</v>
      </c>
      <c r="L9052" s="27"/>
    </row>
    <row r="9053" customFormat="false" ht="15" hidden="false" customHeight="false" outlineLevel="0" collapsed="false">
      <c r="A9053" s="26" t="s">
        <v>23020</v>
      </c>
      <c r="B9053" s="27" t="s">
        <v>23021</v>
      </c>
      <c r="C9053" s="27" t="s">
        <v>144</v>
      </c>
      <c r="D9053" s="26"/>
      <c r="E9053" s="27"/>
      <c r="F9053" s="27"/>
      <c r="G9053" s="27" t="s">
        <v>11122</v>
      </c>
      <c r="H9053" s="27" t="s">
        <v>35</v>
      </c>
      <c r="I9053" s="27" t="s">
        <v>38</v>
      </c>
      <c r="J9053" s="28" t="s">
        <v>913</v>
      </c>
      <c r="K9053" s="27" t="s">
        <v>38</v>
      </c>
      <c r="L9053" s="27"/>
    </row>
    <row r="9054" customFormat="false" ht="15" hidden="false" customHeight="false" outlineLevel="0" collapsed="false">
      <c r="A9054" s="26" t="s">
        <v>23022</v>
      </c>
      <c r="B9054" s="27" t="s">
        <v>23023</v>
      </c>
      <c r="C9054" s="27" t="s">
        <v>144</v>
      </c>
      <c r="D9054" s="26"/>
      <c r="E9054" s="27"/>
      <c r="F9054" s="27"/>
      <c r="G9054" s="27" t="s">
        <v>11122</v>
      </c>
      <c r="H9054" s="27" t="s">
        <v>35</v>
      </c>
      <c r="I9054" s="27" t="s">
        <v>37</v>
      </c>
      <c r="J9054" s="28" t="s">
        <v>913</v>
      </c>
      <c r="K9054" s="27" t="s">
        <v>38</v>
      </c>
      <c r="L9054" s="27"/>
    </row>
    <row r="9055" customFormat="false" ht="15" hidden="false" customHeight="false" outlineLevel="0" collapsed="false">
      <c r="A9055" s="26" t="s">
        <v>23024</v>
      </c>
      <c r="B9055" s="27" t="s">
        <v>23025</v>
      </c>
      <c r="C9055" s="27" t="s">
        <v>144</v>
      </c>
      <c r="D9055" s="26"/>
      <c r="E9055" s="27"/>
      <c r="F9055" s="27"/>
      <c r="G9055" s="27" t="s">
        <v>11122</v>
      </c>
      <c r="H9055" s="27" t="s">
        <v>35</v>
      </c>
      <c r="I9055" s="27" t="s">
        <v>37</v>
      </c>
      <c r="J9055" s="28" t="s">
        <v>913</v>
      </c>
      <c r="K9055" s="27" t="s">
        <v>38</v>
      </c>
      <c r="L9055" s="27"/>
    </row>
    <row r="9056" customFormat="false" ht="15" hidden="false" customHeight="false" outlineLevel="0" collapsed="false">
      <c r="A9056" s="26" t="s">
        <v>23026</v>
      </c>
      <c r="B9056" s="27" t="s">
        <v>23027</v>
      </c>
      <c r="C9056" s="27" t="s">
        <v>144</v>
      </c>
      <c r="D9056" s="26"/>
      <c r="E9056" s="27"/>
      <c r="F9056" s="27"/>
      <c r="G9056" s="27" t="s">
        <v>11122</v>
      </c>
      <c r="H9056" s="27" t="s">
        <v>35</v>
      </c>
      <c r="I9056" s="27" t="s">
        <v>38</v>
      </c>
      <c r="J9056" s="28" t="s">
        <v>913</v>
      </c>
      <c r="K9056" s="27" t="s">
        <v>38</v>
      </c>
      <c r="L9056" s="27"/>
    </row>
    <row r="9057" customFormat="false" ht="15" hidden="false" customHeight="false" outlineLevel="0" collapsed="false">
      <c r="A9057" s="26" t="s">
        <v>23028</v>
      </c>
      <c r="B9057" s="27" t="s">
        <v>23029</v>
      </c>
      <c r="C9057" s="27" t="s">
        <v>144</v>
      </c>
      <c r="D9057" s="26"/>
      <c r="E9057" s="27"/>
      <c r="F9057" s="27"/>
      <c r="G9057" s="27" t="s">
        <v>11122</v>
      </c>
      <c r="H9057" s="27" t="s">
        <v>35</v>
      </c>
      <c r="I9057" s="27" t="s">
        <v>38</v>
      </c>
      <c r="J9057" s="28" t="s">
        <v>913</v>
      </c>
      <c r="K9057" s="27" t="s">
        <v>38</v>
      </c>
      <c r="L9057" s="27"/>
    </row>
    <row r="9058" customFormat="false" ht="15" hidden="false" customHeight="false" outlineLevel="0" collapsed="false">
      <c r="A9058" s="26" t="s">
        <v>23030</v>
      </c>
      <c r="B9058" s="27" t="s">
        <v>23031</v>
      </c>
      <c r="C9058" s="27" t="s">
        <v>144</v>
      </c>
      <c r="D9058" s="26"/>
      <c r="E9058" s="27"/>
      <c r="F9058" s="27"/>
      <c r="G9058" s="27" t="s">
        <v>11122</v>
      </c>
      <c r="H9058" s="27" t="s">
        <v>35</v>
      </c>
      <c r="I9058" s="27" t="s">
        <v>38</v>
      </c>
      <c r="J9058" s="28" t="s">
        <v>913</v>
      </c>
      <c r="K9058" s="27" t="s">
        <v>38</v>
      </c>
      <c r="L9058" s="27"/>
    </row>
    <row r="9059" customFormat="false" ht="15" hidden="false" customHeight="false" outlineLevel="0" collapsed="false">
      <c r="A9059" s="26" t="s">
        <v>23032</v>
      </c>
      <c r="B9059" s="27" t="s">
        <v>23033</v>
      </c>
      <c r="C9059" s="27" t="s">
        <v>144</v>
      </c>
      <c r="D9059" s="26"/>
      <c r="E9059" s="27"/>
      <c r="F9059" s="27"/>
      <c r="G9059" s="27" t="s">
        <v>11122</v>
      </c>
      <c r="H9059" s="27" t="s">
        <v>35</v>
      </c>
      <c r="I9059" s="27" t="s">
        <v>38</v>
      </c>
      <c r="J9059" s="28" t="s">
        <v>913</v>
      </c>
      <c r="K9059" s="27" t="s">
        <v>38</v>
      </c>
      <c r="L9059" s="27"/>
    </row>
    <row r="9060" customFormat="false" ht="15" hidden="false" customHeight="false" outlineLevel="0" collapsed="false">
      <c r="A9060" s="26" t="s">
        <v>23034</v>
      </c>
      <c r="B9060" s="27" t="s">
        <v>23035</v>
      </c>
      <c r="C9060" s="27" t="s">
        <v>144</v>
      </c>
      <c r="D9060" s="26"/>
      <c r="E9060" s="27"/>
      <c r="F9060" s="27"/>
      <c r="G9060" s="27" t="s">
        <v>11122</v>
      </c>
      <c r="H9060" s="27" t="s">
        <v>35</v>
      </c>
      <c r="I9060" s="27" t="s">
        <v>38</v>
      </c>
      <c r="J9060" s="28" t="s">
        <v>913</v>
      </c>
      <c r="K9060" s="27" t="s">
        <v>38</v>
      </c>
      <c r="L9060" s="27"/>
    </row>
    <row r="9061" customFormat="false" ht="15" hidden="false" customHeight="false" outlineLevel="0" collapsed="false">
      <c r="A9061" s="26" t="s">
        <v>23036</v>
      </c>
      <c r="B9061" s="27" t="s">
        <v>23037</v>
      </c>
      <c r="C9061" s="27" t="s">
        <v>144</v>
      </c>
      <c r="D9061" s="26"/>
      <c r="E9061" s="27"/>
      <c r="F9061" s="27"/>
      <c r="G9061" s="27" t="s">
        <v>11122</v>
      </c>
      <c r="H9061" s="27" t="s">
        <v>35</v>
      </c>
      <c r="I9061" s="27" t="s">
        <v>48</v>
      </c>
      <c r="J9061" s="28" t="s">
        <v>913</v>
      </c>
      <c r="K9061" s="27" t="s">
        <v>38</v>
      </c>
      <c r="L9061" s="27"/>
    </row>
    <row r="9062" customFormat="false" ht="15" hidden="false" customHeight="false" outlineLevel="0" collapsed="false">
      <c r="A9062" s="26" t="s">
        <v>23038</v>
      </c>
      <c r="B9062" s="27" t="s">
        <v>23039</v>
      </c>
      <c r="C9062" s="27" t="s">
        <v>144</v>
      </c>
      <c r="D9062" s="26"/>
      <c r="E9062" s="27"/>
      <c r="F9062" s="27"/>
      <c r="G9062" s="27" t="s">
        <v>11122</v>
      </c>
      <c r="H9062" s="27" t="s">
        <v>35</v>
      </c>
      <c r="I9062" s="27" t="s">
        <v>38</v>
      </c>
      <c r="J9062" s="28" t="s">
        <v>913</v>
      </c>
      <c r="K9062" s="27" t="s">
        <v>38</v>
      </c>
      <c r="L9062" s="27"/>
    </row>
    <row r="9063" customFormat="false" ht="15" hidden="false" customHeight="false" outlineLevel="0" collapsed="false">
      <c r="A9063" s="26" t="s">
        <v>23040</v>
      </c>
      <c r="B9063" s="27" t="s">
        <v>23041</v>
      </c>
      <c r="C9063" s="27" t="s">
        <v>144</v>
      </c>
      <c r="D9063" s="26"/>
      <c r="E9063" s="27"/>
      <c r="F9063" s="27"/>
      <c r="G9063" s="27" t="s">
        <v>11122</v>
      </c>
      <c r="H9063" s="27" t="s">
        <v>35</v>
      </c>
      <c r="I9063" s="27" t="s">
        <v>37</v>
      </c>
      <c r="J9063" s="28" t="s">
        <v>913</v>
      </c>
      <c r="K9063" s="27" t="s">
        <v>38</v>
      </c>
      <c r="L9063" s="27"/>
    </row>
    <row r="9064" customFormat="false" ht="15" hidden="false" customHeight="false" outlineLevel="0" collapsed="false">
      <c r="A9064" s="26" t="s">
        <v>23042</v>
      </c>
      <c r="B9064" s="27" t="s">
        <v>23043</v>
      </c>
      <c r="C9064" s="27" t="s">
        <v>144</v>
      </c>
      <c r="D9064" s="26"/>
      <c r="E9064" s="27"/>
      <c r="F9064" s="27"/>
      <c r="G9064" s="27" t="s">
        <v>11122</v>
      </c>
      <c r="H9064" s="27" t="s">
        <v>35</v>
      </c>
      <c r="I9064" s="27" t="s">
        <v>38</v>
      </c>
      <c r="J9064" s="28" t="s">
        <v>913</v>
      </c>
      <c r="K9064" s="27" t="s">
        <v>38</v>
      </c>
      <c r="L9064" s="27"/>
    </row>
    <row r="9065" customFormat="false" ht="15" hidden="false" customHeight="false" outlineLevel="0" collapsed="false">
      <c r="A9065" s="26" t="s">
        <v>23044</v>
      </c>
      <c r="B9065" s="27" t="s">
        <v>23045</v>
      </c>
      <c r="C9065" s="27" t="s">
        <v>144</v>
      </c>
      <c r="D9065" s="26"/>
      <c r="E9065" s="27"/>
      <c r="F9065" s="27"/>
      <c r="G9065" s="27" t="s">
        <v>11122</v>
      </c>
      <c r="H9065" s="27" t="s">
        <v>35</v>
      </c>
      <c r="I9065" s="27" t="s">
        <v>38</v>
      </c>
      <c r="J9065" s="28" t="s">
        <v>913</v>
      </c>
      <c r="K9065" s="27" t="s">
        <v>38</v>
      </c>
      <c r="L9065" s="27"/>
    </row>
    <row r="9066" customFormat="false" ht="15" hidden="false" customHeight="false" outlineLevel="0" collapsed="false">
      <c r="A9066" s="26" t="s">
        <v>23046</v>
      </c>
      <c r="B9066" s="27" t="s">
        <v>23047</v>
      </c>
      <c r="C9066" s="27" t="s">
        <v>144</v>
      </c>
      <c r="D9066" s="26"/>
      <c r="E9066" s="27"/>
      <c r="F9066" s="27"/>
      <c r="G9066" s="27" t="s">
        <v>11122</v>
      </c>
      <c r="H9066" s="27" t="s">
        <v>35</v>
      </c>
      <c r="I9066" s="27" t="s">
        <v>38</v>
      </c>
      <c r="J9066" s="28" t="s">
        <v>913</v>
      </c>
      <c r="K9066" s="27" t="s">
        <v>38</v>
      </c>
      <c r="L9066" s="27"/>
    </row>
    <row r="9067" customFormat="false" ht="15" hidden="false" customHeight="false" outlineLevel="0" collapsed="false">
      <c r="A9067" s="26" t="s">
        <v>23048</v>
      </c>
      <c r="B9067" s="27" t="s">
        <v>23049</v>
      </c>
      <c r="C9067" s="27" t="s">
        <v>144</v>
      </c>
      <c r="D9067" s="26"/>
      <c r="E9067" s="27"/>
      <c r="F9067" s="27"/>
      <c r="G9067" s="27" t="s">
        <v>11122</v>
      </c>
      <c r="H9067" s="27" t="s">
        <v>35</v>
      </c>
      <c r="I9067" s="27" t="s">
        <v>37</v>
      </c>
      <c r="J9067" s="28" t="s">
        <v>913</v>
      </c>
      <c r="K9067" s="27" t="s">
        <v>38</v>
      </c>
      <c r="L9067" s="27"/>
    </row>
    <row r="9068" customFormat="false" ht="15" hidden="false" customHeight="false" outlineLevel="0" collapsed="false">
      <c r="A9068" s="26" t="s">
        <v>23050</v>
      </c>
      <c r="B9068" s="27" t="s">
        <v>23051</v>
      </c>
      <c r="C9068" s="27" t="s">
        <v>144</v>
      </c>
      <c r="D9068" s="26"/>
      <c r="E9068" s="27"/>
      <c r="F9068" s="27"/>
      <c r="G9068" s="27" t="s">
        <v>11122</v>
      </c>
      <c r="H9068" s="27" t="s">
        <v>35</v>
      </c>
      <c r="I9068" s="27" t="s">
        <v>38</v>
      </c>
      <c r="J9068" s="28" t="s">
        <v>913</v>
      </c>
      <c r="K9068" s="27" t="s">
        <v>38</v>
      </c>
      <c r="L9068" s="27"/>
    </row>
    <row r="9069" customFormat="false" ht="15" hidden="false" customHeight="false" outlineLevel="0" collapsed="false">
      <c r="A9069" s="26" t="s">
        <v>23052</v>
      </c>
      <c r="B9069" s="27" t="s">
        <v>23053</v>
      </c>
      <c r="C9069" s="27" t="s">
        <v>144</v>
      </c>
      <c r="D9069" s="26"/>
      <c r="E9069" s="27"/>
      <c r="F9069" s="27"/>
      <c r="G9069" s="27" t="s">
        <v>11122</v>
      </c>
      <c r="H9069" s="27" t="s">
        <v>35</v>
      </c>
      <c r="I9069" s="27" t="s">
        <v>38</v>
      </c>
      <c r="J9069" s="28" t="s">
        <v>913</v>
      </c>
      <c r="K9069" s="27" t="s">
        <v>38</v>
      </c>
      <c r="L9069" s="27"/>
    </row>
    <row r="9070" customFormat="false" ht="15" hidden="false" customHeight="false" outlineLevel="0" collapsed="false">
      <c r="A9070" s="26" t="s">
        <v>23054</v>
      </c>
      <c r="B9070" s="27" t="s">
        <v>23055</v>
      </c>
      <c r="C9070" s="27" t="s">
        <v>144</v>
      </c>
      <c r="D9070" s="26"/>
      <c r="E9070" s="27"/>
      <c r="F9070" s="27"/>
      <c r="G9070" s="27" t="s">
        <v>11122</v>
      </c>
      <c r="H9070" s="27" t="s">
        <v>35</v>
      </c>
      <c r="I9070" s="27" t="s">
        <v>38</v>
      </c>
      <c r="J9070" s="28" t="s">
        <v>913</v>
      </c>
      <c r="K9070" s="27" t="s">
        <v>38</v>
      </c>
      <c r="L9070" s="27"/>
    </row>
    <row r="9071" customFormat="false" ht="15" hidden="false" customHeight="false" outlineLevel="0" collapsed="false">
      <c r="A9071" s="26" t="s">
        <v>23056</v>
      </c>
      <c r="B9071" s="27" t="s">
        <v>23057</v>
      </c>
      <c r="C9071" s="27" t="s">
        <v>144</v>
      </c>
      <c r="D9071" s="26"/>
      <c r="E9071" s="27"/>
      <c r="F9071" s="27"/>
      <c r="G9071" s="27" t="s">
        <v>11122</v>
      </c>
      <c r="H9071" s="27" t="s">
        <v>35</v>
      </c>
      <c r="I9071" s="27" t="s">
        <v>38</v>
      </c>
      <c r="J9071" s="28" t="s">
        <v>913</v>
      </c>
      <c r="K9071" s="27" t="s">
        <v>38</v>
      </c>
      <c r="L9071" s="27"/>
    </row>
    <row r="9072" customFormat="false" ht="15" hidden="false" customHeight="false" outlineLevel="0" collapsed="false">
      <c r="A9072" s="26" t="s">
        <v>23058</v>
      </c>
      <c r="B9072" s="27" t="s">
        <v>23059</v>
      </c>
      <c r="C9072" s="27" t="s">
        <v>144</v>
      </c>
      <c r="D9072" s="26"/>
      <c r="E9072" s="27"/>
      <c r="F9072" s="27"/>
      <c r="G9072" s="27" t="s">
        <v>11122</v>
      </c>
      <c r="H9072" s="27" t="s">
        <v>35</v>
      </c>
      <c r="I9072" s="27" t="s">
        <v>38</v>
      </c>
      <c r="J9072" s="28" t="s">
        <v>913</v>
      </c>
      <c r="K9072" s="27" t="s">
        <v>38</v>
      </c>
      <c r="L9072" s="27"/>
    </row>
    <row r="9073" customFormat="false" ht="15" hidden="false" customHeight="false" outlineLevel="0" collapsed="false">
      <c r="A9073" s="26" t="s">
        <v>23060</v>
      </c>
      <c r="B9073" s="27" t="s">
        <v>23061</v>
      </c>
      <c r="C9073" s="27" t="s">
        <v>144</v>
      </c>
      <c r="D9073" s="26"/>
      <c r="E9073" s="27"/>
      <c r="F9073" s="27"/>
      <c r="G9073" s="27" t="s">
        <v>11122</v>
      </c>
      <c r="H9073" s="27" t="s">
        <v>35</v>
      </c>
      <c r="I9073" s="27" t="s">
        <v>40</v>
      </c>
      <c r="J9073" s="28" t="s">
        <v>913</v>
      </c>
      <c r="K9073" s="27" t="s">
        <v>38</v>
      </c>
      <c r="L9073" s="27"/>
    </row>
    <row r="9074" customFormat="false" ht="15" hidden="false" customHeight="false" outlineLevel="0" collapsed="false">
      <c r="A9074" s="26" t="s">
        <v>23062</v>
      </c>
      <c r="B9074" s="27" t="s">
        <v>23063</v>
      </c>
      <c r="C9074" s="27" t="s">
        <v>144</v>
      </c>
      <c r="D9074" s="26"/>
      <c r="E9074" s="27"/>
      <c r="F9074" s="27"/>
      <c r="G9074" s="27" t="s">
        <v>11122</v>
      </c>
      <c r="H9074" s="27" t="s">
        <v>35</v>
      </c>
      <c r="I9074" s="27" t="s">
        <v>38</v>
      </c>
      <c r="J9074" s="28" t="s">
        <v>913</v>
      </c>
      <c r="K9074" s="27" t="s">
        <v>38</v>
      </c>
      <c r="L9074" s="27"/>
    </row>
    <row r="9075" customFormat="false" ht="15" hidden="false" customHeight="false" outlineLevel="0" collapsed="false">
      <c r="A9075" s="26" t="s">
        <v>23064</v>
      </c>
      <c r="B9075" s="27" t="s">
        <v>23065</v>
      </c>
      <c r="C9075" s="27" t="s">
        <v>144</v>
      </c>
      <c r="D9075" s="26"/>
      <c r="E9075" s="27"/>
      <c r="F9075" s="27"/>
      <c r="G9075" s="27" t="s">
        <v>11122</v>
      </c>
      <c r="H9075" s="27" t="s">
        <v>35</v>
      </c>
      <c r="I9075" s="27" t="s">
        <v>40</v>
      </c>
      <c r="J9075" s="28" t="s">
        <v>913</v>
      </c>
      <c r="K9075" s="27" t="s">
        <v>38</v>
      </c>
      <c r="L9075" s="27"/>
    </row>
    <row r="9076" customFormat="false" ht="15" hidden="false" customHeight="false" outlineLevel="0" collapsed="false">
      <c r="A9076" s="26" t="s">
        <v>23066</v>
      </c>
      <c r="B9076" s="27" t="s">
        <v>23067</v>
      </c>
      <c r="C9076" s="27" t="s">
        <v>144</v>
      </c>
      <c r="D9076" s="26"/>
      <c r="E9076" s="27"/>
      <c r="F9076" s="27"/>
      <c r="G9076" s="27" t="s">
        <v>11122</v>
      </c>
      <c r="H9076" s="27" t="s">
        <v>35</v>
      </c>
      <c r="I9076" s="27" t="s">
        <v>38</v>
      </c>
      <c r="J9076" s="28" t="s">
        <v>913</v>
      </c>
      <c r="K9076" s="27" t="s">
        <v>38</v>
      </c>
      <c r="L9076" s="27"/>
    </row>
    <row r="9077" customFormat="false" ht="15" hidden="false" customHeight="false" outlineLevel="0" collapsed="false">
      <c r="A9077" s="26" t="s">
        <v>23068</v>
      </c>
      <c r="B9077" s="27" t="s">
        <v>23069</v>
      </c>
      <c r="C9077" s="27" t="s">
        <v>144</v>
      </c>
      <c r="D9077" s="26"/>
      <c r="E9077" s="27"/>
      <c r="F9077" s="27"/>
      <c r="G9077" s="27" t="s">
        <v>11122</v>
      </c>
      <c r="H9077" s="27" t="s">
        <v>35</v>
      </c>
      <c r="I9077" s="27" t="s">
        <v>38</v>
      </c>
      <c r="J9077" s="28" t="s">
        <v>913</v>
      </c>
      <c r="K9077" s="27" t="s">
        <v>38</v>
      </c>
      <c r="L9077" s="27"/>
    </row>
    <row r="9078" customFormat="false" ht="15" hidden="false" customHeight="false" outlineLevel="0" collapsed="false">
      <c r="A9078" s="26" t="s">
        <v>23070</v>
      </c>
      <c r="B9078" s="27" t="s">
        <v>23071</v>
      </c>
      <c r="C9078" s="27" t="s">
        <v>144</v>
      </c>
      <c r="D9078" s="26"/>
      <c r="E9078" s="27"/>
      <c r="F9078" s="27"/>
      <c r="G9078" s="27" t="s">
        <v>11122</v>
      </c>
      <c r="H9078" s="27" t="s">
        <v>35</v>
      </c>
      <c r="I9078" s="27" t="s">
        <v>41</v>
      </c>
      <c r="J9078" s="28" t="s">
        <v>913</v>
      </c>
      <c r="K9078" s="27" t="s">
        <v>38</v>
      </c>
      <c r="L9078" s="27"/>
    </row>
    <row r="9079" customFormat="false" ht="15" hidden="false" customHeight="false" outlineLevel="0" collapsed="false">
      <c r="A9079" s="26" t="s">
        <v>23072</v>
      </c>
      <c r="B9079" s="27" t="s">
        <v>23073</v>
      </c>
      <c r="C9079" s="27" t="s">
        <v>144</v>
      </c>
      <c r="D9079" s="26"/>
      <c r="E9079" s="27"/>
      <c r="F9079" s="27"/>
      <c r="G9079" s="27" t="s">
        <v>11122</v>
      </c>
      <c r="H9079" s="27" t="s">
        <v>35</v>
      </c>
      <c r="I9079" s="27" t="s">
        <v>37</v>
      </c>
      <c r="J9079" s="28" t="s">
        <v>913</v>
      </c>
      <c r="K9079" s="27" t="s">
        <v>38</v>
      </c>
      <c r="L9079" s="27"/>
    </row>
    <row r="9080" customFormat="false" ht="15" hidden="false" customHeight="false" outlineLevel="0" collapsed="false">
      <c r="A9080" s="26" t="s">
        <v>23074</v>
      </c>
      <c r="B9080" s="27" t="s">
        <v>23075</v>
      </c>
      <c r="C9080" s="27" t="s">
        <v>144</v>
      </c>
      <c r="D9080" s="26"/>
      <c r="E9080" s="27"/>
      <c r="F9080" s="27"/>
      <c r="G9080" s="27" t="s">
        <v>11122</v>
      </c>
      <c r="H9080" s="27" t="s">
        <v>35</v>
      </c>
      <c r="I9080" s="27" t="s">
        <v>38</v>
      </c>
      <c r="J9080" s="28" t="s">
        <v>913</v>
      </c>
      <c r="K9080" s="27" t="s">
        <v>38</v>
      </c>
      <c r="L9080" s="27"/>
    </row>
    <row r="9081" customFormat="false" ht="15" hidden="false" customHeight="false" outlineLevel="0" collapsed="false">
      <c r="A9081" s="26" t="s">
        <v>23076</v>
      </c>
      <c r="B9081" s="27" t="s">
        <v>23077</v>
      </c>
      <c r="C9081" s="27" t="s">
        <v>144</v>
      </c>
      <c r="D9081" s="26"/>
      <c r="E9081" s="27"/>
      <c r="F9081" s="27"/>
      <c r="G9081" s="27" t="s">
        <v>11122</v>
      </c>
      <c r="H9081" s="27" t="s">
        <v>35</v>
      </c>
      <c r="I9081" s="27" t="s">
        <v>38</v>
      </c>
      <c r="J9081" s="28" t="s">
        <v>913</v>
      </c>
      <c r="K9081" s="27" t="s">
        <v>38</v>
      </c>
      <c r="L9081" s="27"/>
    </row>
    <row r="9082" customFormat="false" ht="15" hidden="false" customHeight="false" outlineLevel="0" collapsed="false">
      <c r="A9082" s="26" t="s">
        <v>23078</v>
      </c>
      <c r="B9082" s="27" t="s">
        <v>23079</v>
      </c>
      <c r="C9082" s="27" t="s">
        <v>144</v>
      </c>
      <c r="D9082" s="26"/>
      <c r="E9082" s="27"/>
      <c r="F9082" s="27"/>
      <c r="G9082" s="27" t="s">
        <v>11122</v>
      </c>
      <c r="H9082" s="27" t="s">
        <v>35</v>
      </c>
      <c r="I9082" s="27" t="s">
        <v>39</v>
      </c>
      <c r="J9082" s="28" t="s">
        <v>913</v>
      </c>
      <c r="K9082" s="27" t="s">
        <v>38</v>
      </c>
      <c r="L9082" s="27"/>
    </row>
    <row r="9083" customFormat="false" ht="15" hidden="false" customHeight="false" outlineLevel="0" collapsed="false">
      <c r="A9083" s="26" t="s">
        <v>23080</v>
      </c>
      <c r="B9083" s="27" t="s">
        <v>23081</v>
      </c>
      <c r="C9083" s="27" t="s">
        <v>144</v>
      </c>
      <c r="D9083" s="26"/>
      <c r="E9083" s="27"/>
      <c r="F9083" s="27"/>
      <c r="G9083" s="27" t="s">
        <v>11122</v>
      </c>
      <c r="H9083" s="27" t="s">
        <v>35</v>
      </c>
      <c r="I9083" s="28" t="s">
        <v>50</v>
      </c>
      <c r="J9083" s="28" t="s">
        <v>913</v>
      </c>
      <c r="K9083" s="27" t="s">
        <v>38</v>
      </c>
      <c r="L9083" s="27"/>
    </row>
    <row r="9084" customFormat="false" ht="15" hidden="false" customHeight="false" outlineLevel="0" collapsed="false">
      <c r="A9084" s="26" t="s">
        <v>23082</v>
      </c>
      <c r="B9084" s="27" t="s">
        <v>23083</v>
      </c>
      <c r="C9084" s="27" t="s">
        <v>144</v>
      </c>
      <c r="D9084" s="26"/>
      <c r="E9084" s="27"/>
      <c r="F9084" s="27"/>
      <c r="G9084" s="27" t="s">
        <v>11122</v>
      </c>
      <c r="H9084" s="27" t="s">
        <v>35</v>
      </c>
      <c r="I9084" s="27" t="s">
        <v>38</v>
      </c>
      <c r="J9084" s="28" t="s">
        <v>913</v>
      </c>
      <c r="K9084" s="27" t="s">
        <v>38</v>
      </c>
      <c r="L9084" s="27"/>
    </row>
    <row r="9085" customFormat="false" ht="15" hidden="false" customHeight="false" outlineLevel="0" collapsed="false">
      <c r="A9085" s="26" t="s">
        <v>23084</v>
      </c>
      <c r="B9085" s="27" t="s">
        <v>23085</v>
      </c>
      <c r="C9085" s="27" t="s">
        <v>144</v>
      </c>
      <c r="D9085" s="26"/>
      <c r="E9085" s="27"/>
      <c r="F9085" s="27"/>
      <c r="G9085" s="27" t="s">
        <v>11122</v>
      </c>
      <c r="H9085" s="27" t="s">
        <v>35</v>
      </c>
      <c r="I9085" s="27" t="s">
        <v>38</v>
      </c>
      <c r="J9085" s="28" t="s">
        <v>913</v>
      </c>
      <c r="K9085" s="27" t="s">
        <v>38</v>
      </c>
      <c r="L9085" s="27"/>
    </row>
    <row r="9086" customFormat="false" ht="15" hidden="false" customHeight="false" outlineLevel="0" collapsed="false">
      <c r="A9086" s="26" t="s">
        <v>23086</v>
      </c>
      <c r="B9086" s="27" t="s">
        <v>23087</v>
      </c>
      <c r="C9086" s="27" t="s">
        <v>144</v>
      </c>
      <c r="D9086" s="26"/>
      <c r="E9086" s="27"/>
      <c r="F9086" s="27"/>
      <c r="G9086" s="27" t="s">
        <v>11122</v>
      </c>
      <c r="H9086" s="27" t="s">
        <v>35</v>
      </c>
      <c r="I9086" s="27" t="s">
        <v>40</v>
      </c>
      <c r="J9086" s="28" t="s">
        <v>913</v>
      </c>
      <c r="K9086" s="27" t="s">
        <v>38</v>
      </c>
      <c r="L9086" s="27"/>
    </row>
    <row r="9087" customFormat="false" ht="15" hidden="false" customHeight="false" outlineLevel="0" collapsed="false">
      <c r="A9087" s="26" t="s">
        <v>23088</v>
      </c>
      <c r="B9087" s="27" t="s">
        <v>23089</v>
      </c>
      <c r="C9087" s="27" t="s">
        <v>144</v>
      </c>
      <c r="D9087" s="26"/>
      <c r="E9087" s="27"/>
      <c r="F9087" s="27"/>
      <c r="G9087" s="27" t="s">
        <v>11122</v>
      </c>
      <c r="H9087" s="27" t="s">
        <v>35</v>
      </c>
      <c r="I9087" s="27" t="s">
        <v>43</v>
      </c>
      <c r="J9087" s="28" t="s">
        <v>913</v>
      </c>
      <c r="K9087" s="27" t="s">
        <v>38</v>
      </c>
      <c r="L9087" s="27"/>
    </row>
    <row r="9088" customFormat="false" ht="15" hidden="false" customHeight="false" outlineLevel="0" collapsed="false">
      <c r="A9088" s="26" t="s">
        <v>23090</v>
      </c>
      <c r="B9088" s="27" t="s">
        <v>23091</v>
      </c>
      <c r="C9088" s="27" t="s">
        <v>144</v>
      </c>
      <c r="D9088" s="26"/>
      <c r="E9088" s="27"/>
      <c r="F9088" s="27"/>
      <c r="G9088" s="27" t="s">
        <v>11122</v>
      </c>
      <c r="H9088" s="27" t="s">
        <v>35</v>
      </c>
      <c r="I9088" s="27" t="s">
        <v>38</v>
      </c>
      <c r="J9088" s="28" t="s">
        <v>913</v>
      </c>
      <c r="K9088" s="27" t="s">
        <v>38</v>
      </c>
      <c r="L9088" s="27"/>
    </row>
    <row r="9089" customFormat="false" ht="15" hidden="false" customHeight="false" outlineLevel="0" collapsed="false">
      <c r="A9089" s="26" t="s">
        <v>23092</v>
      </c>
      <c r="B9089" s="27" t="s">
        <v>23093</v>
      </c>
      <c r="C9089" s="27" t="s">
        <v>144</v>
      </c>
      <c r="D9089" s="26"/>
      <c r="E9089" s="27"/>
      <c r="F9089" s="27"/>
      <c r="G9089" s="27" t="s">
        <v>11122</v>
      </c>
      <c r="H9089" s="27" t="s">
        <v>35</v>
      </c>
      <c r="I9089" s="28" t="s">
        <v>50</v>
      </c>
      <c r="J9089" s="28" t="s">
        <v>913</v>
      </c>
      <c r="K9089" s="27" t="s">
        <v>38</v>
      </c>
      <c r="L9089" s="27"/>
    </row>
    <row r="9090" customFormat="false" ht="15" hidden="false" customHeight="false" outlineLevel="0" collapsed="false">
      <c r="A9090" s="26" t="s">
        <v>23094</v>
      </c>
      <c r="B9090" s="27" t="s">
        <v>23095</v>
      </c>
      <c r="C9090" s="27" t="s">
        <v>144</v>
      </c>
      <c r="D9090" s="26"/>
      <c r="E9090" s="27"/>
      <c r="F9090" s="27"/>
      <c r="G9090" s="27" t="s">
        <v>11122</v>
      </c>
      <c r="H9090" s="27" t="s">
        <v>35</v>
      </c>
      <c r="I9090" s="27" t="s">
        <v>38</v>
      </c>
      <c r="J9090" s="28" t="s">
        <v>913</v>
      </c>
      <c r="K9090" s="27" t="s">
        <v>38</v>
      </c>
      <c r="L9090" s="27"/>
    </row>
    <row r="9091" customFormat="false" ht="15" hidden="false" customHeight="false" outlineLevel="0" collapsed="false">
      <c r="A9091" s="26" t="s">
        <v>23096</v>
      </c>
      <c r="B9091" s="27" t="s">
        <v>23097</v>
      </c>
      <c r="C9091" s="27" t="s">
        <v>144</v>
      </c>
      <c r="D9091" s="26"/>
      <c r="E9091" s="27"/>
      <c r="F9091" s="27"/>
      <c r="G9091" s="27" t="s">
        <v>11122</v>
      </c>
      <c r="H9091" s="27" t="s">
        <v>35</v>
      </c>
      <c r="I9091" s="27" t="s">
        <v>49</v>
      </c>
      <c r="J9091" s="28" t="s">
        <v>913</v>
      </c>
      <c r="K9091" s="27" t="s">
        <v>38</v>
      </c>
      <c r="L9091" s="27"/>
    </row>
    <row r="9092" customFormat="false" ht="15" hidden="false" customHeight="false" outlineLevel="0" collapsed="false">
      <c r="A9092" s="26" t="s">
        <v>23098</v>
      </c>
      <c r="B9092" s="27" t="s">
        <v>23099</v>
      </c>
      <c r="C9092" s="27" t="s">
        <v>144</v>
      </c>
      <c r="D9092" s="26"/>
      <c r="E9092" s="27"/>
      <c r="F9092" s="27"/>
      <c r="G9092" s="27" t="s">
        <v>11122</v>
      </c>
      <c r="H9092" s="27" t="s">
        <v>35</v>
      </c>
      <c r="I9092" s="27" t="s">
        <v>37</v>
      </c>
      <c r="J9092" s="28" t="s">
        <v>913</v>
      </c>
      <c r="K9092" s="27" t="s">
        <v>38</v>
      </c>
      <c r="L9092" s="27"/>
    </row>
    <row r="9093" customFormat="false" ht="15" hidden="false" customHeight="false" outlineLevel="0" collapsed="false">
      <c r="A9093" s="26" t="s">
        <v>23100</v>
      </c>
      <c r="B9093" s="27" t="s">
        <v>23101</v>
      </c>
      <c r="C9093" s="27" t="s">
        <v>144</v>
      </c>
      <c r="D9093" s="26"/>
      <c r="E9093" s="27"/>
      <c r="F9093" s="27"/>
      <c r="G9093" s="27" t="s">
        <v>11122</v>
      </c>
      <c r="H9093" s="27" t="s">
        <v>35</v>
      </c>
      <c r="I9093" s="28" t="s">
        <v>50</v>
      </c>
      <c r="J9093" s="28" t="s">
        <v>913</v>
      </c>
      <c r="K9093" s="27" t="s">
        <v>38</v>
      </c>
      <c r="L9093" s="27"/>
    </row>
    <row r="9094" customFormat="false" ht="15" hidden="false" customHeight="false" outlineLevel="0" collapsed="false">
      <c r="A9094" s="26" t="s">
        <v>23102</v>
      </c>
      <c r="B9094" s="27" t="s">
        <v>23103</v>
      </c>
      <c r="C9094" s="27" t="s">
        <v>144</v>
      </c>
      <c r="D9094" s="26"/>
      <c r="E9094" s="27"/>
      <c r="F9094" s="27"/>
      <c r="G9094" s="27" t="s">
        <v>11122</v>
      </c>
      <c r="H9094" s="27" t="s">
        <v>35</v>
      </c>
      <c r="I9094" s="27" t="s">
        <v>38</v>
      </c>
      <c r="J9094" s="28" t="s">
        <v>913</v>
      </c>
      <c r="K9094" s="27" t="s">
        <v>38</v>
      </c>
      <c r="L9094" s="27"/>
    </row>
    <row r="9095" customFormat="false" ht="15" hidden="false" customHeight="false" outlineLevel="0" collapsed="false">
      <c r="A9095" s="26" t="s">
        <v>23104</v>
      </c>
      <c r="B9095" s="27" t="s">
        <v>23105</v>
      </c>
      <c r="C9095" s="27" t="s">
        <v>144</v>
      </c>
      <c r="D9095" s="26"/>
      <c r="E9095" s="27"/>
      <c r="F9095" s="27"/>
      <c r="G9095" s="27" t="s">
        <v>11122</v>
      </c>
      <c r="H9095" s="27" t="s">
        <v>35</v>
      </c>
      <c r="I9095" s="27" t="s">
        <v>38</v>
      </c>
      <c r="J9095" s="28" t="s">
        <v>913</v>
      </c>
      <c r="K9095" s="27" t="s">
        <v>38</v>
      </c>
      <c r="L9095" s="27"/>
    </row>
    <row r="9096" customFormat="false" ht="15" hidden="false" customHeight="false" outlineLevel="0" collapsed="false">
      <c r="A9096" s="26" t="s">
        <v>23106</v>
      </c>
      <c r="B9096" s="27" t="s">
        <v>23107</v>
      </c>
      <c r="C9096" s="27" t="s">
        <v>144</v>
      </c>
      <c r="D9096" s="26"/>
      <c r="E9096" s="27"/>
      <c r="F9096" s="27"/>
      <c r="G9096" s="27" t="s">
        <v>11122</v>
      </c>
      <c r="H9096" s="27" t="s">
        <v>35</v>
      </c>
      <c r="I9096" s="27" t="s">
        <v>41</v>
      </c>
      <c r="J9096" s="28" t="s">
        <v>913</v>
      </c>
      <c r="K9096" s="27" t="s">
        <v>38</v>
      </c>
      <c r="L9096" s="27"/>
    </row>
    <row r="9097" customFormat="false" ht="15" hidden="false" customHeight="false" outlineLevel="0" collapsed="false">
      <c r="A9097" s="26" t="s">
        <v>23108</v>
      </c>
      <c r="B9097" s="27" t="s">
        <v>23109</v>
      </c>
      <c r="C9097" s="27" t="s">
        <v>144</v>
      </c>
      <c r="D9097" s="26"/>
      <c r="E9097" s="27"/>
      <c r="F9097" s="27"/>
      <c r="G9097" s="27" t="s">
        <v>11122</v>
      </c>
      <c r="H9097" s="27" t="s">
        <v>35</v>
      </c>
      <c r="I9097" s="28" t="s">
        <v>46</v>
      </c>
      <c r="J9097" s="28" t="s">
        <v>913</v>
      </c>
      <c r="K9097" s="27" t="s">
        <v>38</v>
      </c>
      <c r="L9097" s="27"/>
    </row>
    <row r="9098" customFormat="false" ht="15" hidden="false" customHeight="false" outlineLevel="0" collapsed="false">
      <c r="A9098" s="26" t="s">
        <v>23110</v>
      </c>
      <c r="B9098" s="27" t="s">
        <v>23111</v>
      </c>
      <c r="C9098" s="27" t="s">
        <v>1187</v>
      </c>
      <c r="D9098" s="26"/>
      <c r="E9098" s="27"/>
      <c r="F9098" s="27"/>
      <c r="G9098" s="27" t="s">
        <v>11122</v>
      </c>
      <c r="H9098" s="27" t="s">
        <v>35</v>
      </c>
      <c r="I9098" s="27" t="s">
        <v>41</v>
      </c>
      <c r="J9098" s="28" t="s">
        <v>913</v>
      </c>
      <c r="K9098" s="27" t="s">
        <v>38</v>
      </c>
      <c r="L9098" s="27"/>
    </row>
    <row r="9099" customFormat="false" ht="15" hidden="false" customHeight="false" outlineLevel="0" collapsed="false">
      <c r="A9099" s="26" t="s">
        <v>23112</v>
      </c>
      <c r="B9099" s="27" t="s">
        <v>23113</v>
      </c>
      <c r="C9099" s="27" t="s">
        <v>144</v>
      </c>
      <c r="D9099" s="26"/>
      <c r="E9099" s="27"/>
      <c r="F9099" s="27"/>
      <c r="G9099" s="27" t="s">
        <v>11122</v>
      </c>
      <c r="H9099" s="27" t="s">
        <v>35</v>
      </c>
      <c r="I9099" s="27" t="s">
        <v>39</v>
      </c>
      <c r="J9099" s="28" t="s">
        <v>913</v>
      </c>
      <c r="K9099" s="27" t="s">
        <v>38</v>
      </c>
      <c r="L9099" s="27"/>
    </row>
    <row r="9100" customFormat="false" ht="15" hidden="false" customHeight="false" outlineLevel="0" collapsed="false">
      <c r="A9100" s="26" t="s">
        <v>23114</v>
      </c>
      <c r="B9100" s="27" t="s">
        <v>23115</v>
      </c>
      <c r="C9100" s="27" t="s">
        <v>144</v>
      </c>
      <c r="D9100" s="26"/>
      <c r="E9100" s="27"/>
      <c r="F9100" s="27"/>
      <c r="G9100" s="27" t="s">
        <v>11122</v>
      </c>
      <c r="H9100" s="27" t="s">
        <v>35</v>
      </c>
      <c r="I9100" s="27" t="s">
        <v>38</v>
      </c>
      <c r="J9100" s="28" t="s">
        <v>913</v>
      </c>
      <c r="K9100" s="27" t="s">
        <v>38</v>
      </c>
      <c r="L9100" s="27"/>
    </row>
    <row r="9101" customFormat="false" ht="15" hidden="false" customHeight="false" outlineLevel="0" collapsed="false">
      <c r="A9101" s="26" t="s">
        <v>23116</v>
      </c>
      <c r="B9101" s="27" t="s">
        <v>23117</v>
      </c>
      <c r="C9101" s="27" t="s">
        <v>144</v>
      </c>
      <c r="D9101" s="26"/>
      <c r="E9101" s="27"/>
      <c r="F9101" s="27"/>
      <c r="G9101" s="27" t="s">
        <v>11122</v>
      </c>
      <c r="H9101" s="27" t="s">
        <v>35</v>
      </c>
      <c r="I9101" s="27" t="s">
        <v>38</v>
      </c>
      <c r="J9101" s="28" t="s">
        <v>913</v>
      </c>
      <c r="K9101" s="27" t="s">
        <v>38</v>
      </c>
      <c r="L9101" s="27"/>
    </row>
    <row r="9102" customFormat="false" ht="15" hidden="false" customHeight="false" outlineLevel="0" collapsed="false">
      <c r="A9102" s="26" t="s">
        <v>23118</v>
      </c>
      <c r="B9102" s="27" t="s">
        <v>23119</v>
      </c>
      <c r="C9102" s="27" t="s">
        <v>144</v>
      </c>
      <c r="D9102" s="26"/>
      <c r="E9102" s="27"/>
      <c r="F9102" s="27"/>
      <c r="G9102" s="27" t="s">
        <v>11122</v>
      </c>
      <c r="H9102" s="27" t="s">
        <v>35</v>
      </c>
      <c r="I9102" s="27" t="s">
        <v>42</v>
      </c>
      <c r="J9102" s="28" t="s">
        <v>913</v>
      </c>
      <c r="K9102" s="27" t="s">
        <v>38</v>
      </c>
      <c r="L9102" s="27"/>
    </row>
    <row r="9103" customFormat="false" ht="15" hidden="false" customHeight="false" outlineLevel="0" collapsed="false">
      <c r="A9103" s="26" t="s">
        <v>23120</v>
      </c>
      <c r="B9103" s="27" t="s">
        <v>23121</v>
      </c>
      <c r="C9103" s="27" t="s">
        <v>144</v>
      </c>
      <c r="D9103" s="26"/>
      <c r="E9103" s="27"/>
      <c r="F9103" s="27"/>
      <c r="G9103" s="27" t="s">
        <v>11122</v>
      </c>
      <c r="H9103" s="27" t="s">
        <v>35</v>
      </c>
      <c r="I9103" s="27" t="s">
        <v>41</v>
      </c>
      <c r="J9103" s="28" t="s">
        <v>913</v>
      </c>
      <c r="K9103" s="27" t="s">
        <v>38</v>
      </c>
      <c r="L9103" s="27"/>
    </row>
    <row r="9104" customFormat="false" ht="15" hidden="false" customHeight="false" outlineLevel="0" collapsed="false">
      <c r="A9104" s="26" t="s">
        <v>23122</v>
      </c>
      <c r="B9104" s="27" t="s">
        <v>23123</v>
      </c>
      <c r="C9104" s="27" t="s">
        <v>144</v>
      </c>
      <c r="D9104" s="26"/>
      <c r="E9104" s="27"/>
      <c r="F9104" s="27"/>
      <c r="G9104" s="27" t="s">
        <v>11122</v>
      </c>
      <c r="H9104" s="27" t="s">
        <v>35</v>
      </c>
      <c r="I9104" s="27" t="s">
        <v>38</v>
      </c>
      <c r="J9104" s="28" t="s">
        <v>913</v>
      </c>
      <c r="K9104" s="27" t="s">
        <v>38</v>
      </c>
      <c r="L9104" s="27"/>
    </row>
    <row r="9105" customFormat="false" ht="15" hidden="false" customHeight="false" outlineLevel="0" collapsed="false">
      <c r="A9105" s="26" t="s">
        <v>23124</v>
      </c>
      <c r="B9105" s="27" t="s">
        <v>23125</v>
      </c>
      <c r="C9105" s="27" t="s">
        <v>144</v>
      </c>
      <c r="D9105" s="26"/>
      <c r="E9105" s="27"/>
      <c r="F9105" s="27"/>
      <c r="G9105" s="27" t="s">
        <v>11122</v>
      </c>
      <c r="H9105" s="27" t="s">
        <v>35</v>
      </c>
      <c r="I9105" s="27" t="s">
        <v>38</v>
      </c>
      <c r="J9105" s="28" t="s">
        <v>913</v>
      </c>
      <c r="K9105" s="27" t="s">
        <v>38</v>
      </c>
      <c r="L9105" s="27"/>
    </row>
    <row r="9106" customFormat="false" ht="15" hidden="false" customHeight="false" outlineLevel="0" collapsed="false">
      <c r="A9106" s="26" t="s">
        <v>23126</v>
      </c>
      <c r="B9106" s="27" t="s">
        <v>23127</v>
      </c>
      <c r="C9106" s="27" t="s">
        <v>144</v>
      </c>
      <c r="D9106" s="26"/>
      <c r="E9106" s="27"/>
      <c r="F9106" s="27"/>
      <c r="G9106" s="27" t="s">
        <v>11122</v>
      </c>
      <c r="H9106" s="27" t="s">
        <v>35</v>
      </c>
      <c r="I9106" s="27" t="s">
        <v>38</v>
      </c>
      <c r="J9106" s="28" t="s">
        <v>913</v>
      </c>
      <c r="K9106" s="27" t="s">
        <v>38</v>
      </c>
      <c r="L9106" s="27"/>
    </row>
    <row r="9107" customFormat="false" ht="15" hidden="false" customHeight="false" outlineLevel="0" collapsed="false">
      <c r="A9107" s="26" t="s">
        <v>23128</v>
      </c>
      <c r="B9107" s="27" t="s">
        <v>23129</v>
      </c>
      <c r="C9107" s="27" t="s">
        <v>144</v>
      </c>
      <c r="D9107" s="26"/>
      <c r="E9107" s="27"/>
      <c r="F9107" s="27"/>
      <c r="G9107" s="27" t="s">
        <v>11122</v>
      </c>
      <c r="H9107" s="27" t="s">
        <v>35</v>
      </c>
      <c r="I9107" s="27" t="s">
        <v>38</v>
      </c>
      <c r="J9107" s="28" t="s">
        <v>913</v>
      </c>
      <c r="K9107" s="27" t="s">
        <v>38</v>
      </c>
      <c r="L9107" s="27"/>
    </row>
    <row r="9108" customFormat="false" ht="15" hidden="false" customHeight="false" outlineLevel="0" collapsed="false">
      <c r="A9108" s="26" t="s">
        <v>23130</v>
      </c>
      <c r="B9108" s="27" t="s">
        <v>23131</v>
      </c>
      <c r="C9108" s="27" t="s">
        <v>144</v>
      </c>
      <c r="D9108" s="26"/>
      <c r="E9108" s="27"/>
      <c r="F9108" s="27"/>
      <c r="G9108" s="27" t="s">
        <v>11122</v>
      </c>
      <c r="H9108" s="27" t="s">
        <v>35</v>
      </c>
      <c r="I9108" s="27" t="s">
        <v>38</v>
      </c>
      <c r="J9108" s="28" t="s">
        <v>913</v>
      </c>
      <c r="K9108" s="27" t="s">
        <v>38</v>
      </c>
      <c r="L9108" s="27"/>
    </row>
    <row r="9109" customFormat="false" ht="15" hidden="false" customHeight="false" outlineLevel="0" collapsed="false">
      <c r="A9109" s="26" t="s">
        <v>23132</v>
      </c>
      <c r="B9109" s="27" t="s">
        <v>23133</v>
      </c>
      <c r="C9109" s="27" t="s">
        <v>144</v>
      </c>
      <c r="D9109" s="26"/>
      <c r="E9109" s="27"/>
      <c r="F9109" s="27"/>
      <c r="G9109" s="27" t="s">
        <v>11122</v>
      </c>
      <c r="H9109" s="27" t="s">
        <v>35</v>
      </c>
      <c r="I9109" s="27" t="s">
        <v>38</v>
      </c>
      <c r="J9109" s="28" t="s">
        <v>913</v>
      </c>
      <c r="K9109" s="27" t="s">
        <v>38</v>
      </c>
      <c r="L9109" s="27"/>
    </row>
    <row r="9110" customFormat="false" ht="15" hidden="false" customHeight="false" outlineLevel="0" collapsed="false">
      <c r="A9110" s="26" t="s">
        <v>23134</v>
      </c>
      <c r="B9110" s="27" t="s">
        <v>23135</v>
      </c>
      <c r="C9110" s="27" t="s">
        <v>144</v>
      </c>
      <c r="D9110" s="26"/>
      <c r="E9110" s="27"/>
      <c r="F9110" s="27"/>
      <c r="G9110" s="27" t="s">
        <v>11122</v>
      </c>
      <c r="H9110" s="27" t="s">
        <v>35</v>
      </c>
      <c r="I9110" s="27" t="s">
        <v>40</v>
      </c>
      <c r="J9110" s="28" t="s">
        <v>913</v>
      </c>
      <c r="K9110" s="27" t="s">
        <v>38</v>
      </c>
      <c r="L9110" s="27"/>
    </row>
    <row r="9111" customFormat="false" ht="15" hidden="false" customHeight="false" outlineLevel="0" collapsed="false">
      <c r="A9111" s="26" t="s">
        <v>23136</v>
      </c>
      <c r="B9111" s="27" t="s">
        <v>23137</v>
      </c>
      <c r="C9111" s="27" t="s">
        <v>144</v>
      </c>
      <c r="D9111" s="26"/>
      <c r="E9111" s="27"/>
      <c r="F9111" s="27"/>
      <c r="G9111" s="27" t="s">
        <v>11122</v>
      </c>
      <c r="H9111" s="27" t="s">
        <v>35</v>
      </c>
      <c r="I9111" s="27" t="s">
        <v>38</v>
      </c>
      <c r="J9111" s="28" t="s">
        <v>913</v>
      </c>
      <c r="K9111" s="27" t="s">
        <v>38</v>
      </c>
      <c r="L9111" s="27"/>
    </row>
    <row r="9112" customFormat="false" ht="15" hidden="false" customHeight="false" outlineLevel="0" collapsed="false">
      <c r="A9112" s="26" t="s">
        <v>23138</v>
      </c>
      <c r="B9112" s="27" t="s">
        <v>23139</v>
      </c>
      <c r="C9112" s="27" t="s">
        <v>144</v>
      </c>
      <c r="D9112" s="26"/>
      <c r="E9112" s="27"/>
      <c r="F9112" s="27"/>
      <c r="G9112" s="27" t="s">
        <v>11122</v>
      </c>
      <c r="H9112" s="27" t="s">
        <v>35</v>
      </c>
      <c r="I9112" s="27" t="s">
        <v>37</v>
      </c>
      <c r="J9112" s="28" t="s">
        <v>913</v>
      </c>
      <c r="K9112" s="27" t="s">
        <v>38</v>
      </c>
      <c r="L9112" s="27"/>
    </row>
    <row r="9113" customFormat="false" ht="15" hidden="false" customHeight="false" outlineLevel="0" collapsed="false">
      <c r="A9113" s="26" t="s">
        <v>23140</v>
      </c>
      <c r="B9113" s="27" t="s">
        <v>23141</v>
      </c>
      <c r="C9113" s="27" t="s">
        <v>144</v>
      </c>
      <c r="D9113" s="26"/>
      <c r="E9113" s="27"/>
      <c r="F9113" s="27"/>
      <c r="G9113" s="27" t="s">
        <v>11122</v>
      </c>
      <c r="H9113" s="27" t="s">
        <v>35</v>
      </c>
      <c r="I9113" s="27" t="s">
        <v>43</v>
      </c>
      <c r="J9113" s="28" t="s">
        <v>913</v>
      </c>
      <c r="K9113" s="27" t="s">
        <v>38</v>
      </c>
      <c r="L9113" s="27"/>
    </row>
    <row r="9114" customFormat="false" ht="15" hidden="false" customHeight="false" outlineLevel="0" collapsed="false">
      <c r="A9114" s="26" t="s">
        <v>23142</v>
      </c>
      <c r="B9114" s="27" t="s">
        <v>23143</v>
      </c>
      <c r="C9114" s="27" t="s">
        <v>144</v>
      </c>
      <c r="D9114" s="26"/>
      <c r="E9114" s="27"/>
      <c r="F9114" s="27"/>
      <c r="G9114" s="27" t="s">
        <v>11122</v>
      </c>
      <c r="H9114" s="27" t="s">
        <v>35</v>
      </c>
      <c r="I9114" s="27" t="s">
        <v>37</v>
      </c>
      <c r="J9114" s="28" t="s">
        <v>913</v>
      </c>
      <c r="K9114" s="27" t="s">
        <v>38</v>
      </c>
      <c r="L9114" s="27"/>
    </row>
    <row r="9115" customFormat="false" ht="15" hidden="false" customHeight="false" outlineLevel="0" collapsed="false">
      <c r="A9115" s="26" t="s">
        <v>23144</v>
      </c>
      <c r="B9115" s="27" t="s">
        <v>23145</v>
      </c>
      <c r="C9115" s="27" t="s">
        <v>144</v>
      </c>
      <c r="D9115" s="26"/>
      <c r="E9115" s="27"/>
      <c r="F9115" s="27"/>
      <c r="G9115" s="27" t="s">
        <v>11122</v>
      </c>
      <c r="H9115" s="27" t="s">
        <v>35</v>
      </c>
      <c r="I9115" s="27" t="s">
        <v>38</v>
      </c>
      <c r="J9115" s="28" t="s">
        <v>913</v>
      </c>
      <c r="K9115" s="27" t="s">
        <v>38</v>
      </c>
      <c r="L9115" s="27"/>
    </row>
    <row r="9116" customFormat="false" ht="15" hidden="false" customHeight="false" outlineLevel="0" collapsed="false">
      <c r="A9116" s="26" t="s">
        <v>23146</v>
      </c>
      <c r="B9116" s="27" t="s">
        <v>23147</v>
      </c>
      <c r="C9116" s="27" t="s">
        <v>144</v>
      </c>
      <c r="D9116" s="26"/>
      <c r="E9116" s="27"/>
      <c r="F9116" s="27"/>
      <c r="G9116" s="27" t="s">
        <v>11122</v>
      </c>
      <c r="H9116" s="27" t="s">
        <v>35</v>
      </c>
      <c r="I9116" s="27" t="s">
        <v>38</v>
      </c>
      <c r="J9116" s="28" t="s">
        <v>913</v>
      </c>
      <c r="K9116" s="27" t="s">
        <v>38</v>
      </c>
      <c r="L9116" s="27"/>
    </row>
    <row r="9117" customFormat="false" ht="15" hidden="false" customHeight="false" outlineLevel="0" collapsed="false">
      <c r="A9117" s="26" t="s">
        <v>23148</v>
      </c>
      <c r="B9117" s="27" t="s">
        <v>23149</v>
      </c>
      <c r="C9117" s="27" t="s">
        <v>144</v>
      </c>
      <c r="D9117" s="26"/>
      <c r="E9117" s="27"/>
      <c r="F9117" s="27"/>
      <c r="G9117" s="27" t="s">
        <v>11122</v>
      </c>
      <c r="H9117" s="27" t="s">
        <v>35</v>
      </c>
      <c r="I9117" s="27" t="s">
        <v>38</v>
      </c>
      <c r="J9117" s="28" t="s">
        <v>913</v>
      </c>
      <c r="K9117" s="27" t="s">
        <v>38</v>
      </c>
      <c r="L9117" s="27"/>
    </row>
    <row r="9118" customFormat="false" ht="15" hidden="false" customHeight="false" outlineLevel="0" collapsed="false">
      <c r="A9118" s="26" t="s">
        <v>23150</v>
      </c>
      <c r="B9118" s="27" t="s">
        <v>23151</v>
      </c>
      <c r="C9118" s="27" t="s">
        <v>144</v>
      </c>
      <c r="D9118" s="26"/>
      <c r="E9118" s="27"/>
      <c r="F9118" s="27"/>
      <c r="G9118" s="27" t="s">
        <v>11122</v>
      </c>
      <c r="H9118" s="27" t="s">
        <v>35</v>
      </c>
      <c r="I9118" s="27" t="s">
        <v>38</v>
      </c>
      <c r="J9118" s="28" t="s">
        <v>913</v>
      </c>
      <c r="K9118" s="27" t="s">
        <v>38</v>
      </c>
      <c r="L9118" s="27"/>
    </row>
    <row r="9119" customFormat="false" ht="15" hidden="false" customHeight="false" outlineLevel="0" collapsed="false">
      <c r="A9119" s="26" t="s">
        <v>23152</v>
      </c>
      <c r="B9119" s="27" t="s">
        <v>23153</v>
      </c>
      <c r="C9119" s="27" t="s">
        <v>144</v>
      </c>
      <c r="D9119" s="26"/>
      <c r="E9119" s="27"/>
      <c r="F9119" s="27"/>
      <c r="G9119" s="27" t="s">
        <v>11122</v>
      </c>
      <c r="H9119" s="27" t="s">
        <v>35</v>
      </c>
      <c r="I9119" s="27" t="s">
        <v>38</v>
      </c>
      <c r="J9119" s="28" t="s">
        <v>913</v>
      </c>
      <c r="K9119" s="27" t="s">
        <v>38</v>
      </c>
      <c r="L9119" s="27"/>
    </row>
    <row r="9120" customFormat="false" ht="15" hidden="false" customHeight="false" outlineLevel="0" collapsed="false">
      <c r="A9120" s="26" t="s">
        <v>23154</v>
      </c>
      <c r="B9120" s="27" t="s">
        <v>23155</v>
      </c>
      <c r="C9120" s="27" t="s">
        <v>144</v>
      </c>
      <c r="D9120" s="26"/>
      <c r="E9120" s="27"/>
      <c r="F9120" s="27"/>
      <c r="G9120" s="27" t="s">
        <v>11122</v>
      </c>
      <c r="H9120" s="27" t="s">
        <v>35</v>
      </c>
      <c r="I9120" s="27" t="s">
        <v>38</v>
      </c>
      <c r="J9120" s="28" t="s">
        <v>913</v>
      </c>
      <c r="K9120" s="27" t="s">
        <v>38</v>
      </c>
      <c r="L9120" s="27"/>
    </row>
    <row r="9121" customFormat="false" ht="15" hidden="false" customHeight="false" outlineLevel="0" collapsed="false">
      <c r="A9121" s="26" t="s">
        <v>23156</v>
      </c>
      <c r="B9121" s="27" t="s">
        <v>23157</v>
      </c>
      <c r="C9121" s="27" t="s">
        <v>144</v>
      </c>
      <c r="D9121" s="26"/>
      <c r="E9121" s="27"/>
      <c r="F9121" s="27"/>
      <c r="G9121" s="27" t="s">
        <v>11122</v>
      </c>
      <c r="H9121" s="27" t="s">
        <v>35</v>
      </c>
      <c r="I9121" s="27" t="s">
        <v>38</v>
      </c>
      <c r="J9121" s="28" t="s">
        <v>913</v>
      </c>
      <c r="K9121" s="27" t="s">
        <v>38</v>
      </c>
      <c r="L9121" s="27"/>
    </row>
    <row r="9122" customFormat="false" ht="15" hidden="false" customHeight="false" outlineLevel="0" collapsed="false">
      <c r="A9122" s="26" t="s">
        <v>23158</v>
      </c>
      <c r="B9122" s="27" t="s">
        <v>23159</v>
      </c>
      <c r="C9122" s="27" t="s">
        <v>144</v>
      </c>
      <c r="D9122" s="26"/>
      <c r="E9122" s="27"/>
      <c r="F9122" s="27"/>
      <c r="G9122" s="27" t="s">
        <v>11122</v>
      </c>
      <c r="H9122" s="27" t="s">
        <v>35</v>
      </c>
      <c r="I9122" s="27" t="s">
        <v>38</v>
      </c>
      <c r="J9122" s="28" t="s">
        <v>913</v>
      </c>
      <c r="K9122" s="27" t="s">
        <v>38</v>
      </c>
      <c r="L9122" s="27"/>
    </row>
    <row r="9123" customFormat="false" ht="15" hidden="false" customHeight="false" outlineLevel="0" collapsed="false">
      <c r="A9123" s="26" t="s">
        <v>23160</v>
      </c>
      <c r="B9123" s="27" t="s">
        <v>23161</v>
      </c>
      <c r="C9123" s="27" t="s">
        <v>144</v>
      </c>
      <c r="D9123" s="26"/>
      <c r="E9123" s="27"/>
      <c r="F9123" s="27"/>
      <c r="G9123" s="27" t="s">
        <v>11122</v>
      </c>
      <c r="H9123" s="27" t="s">
        <v>35</v>
      </c>
      <c r="I9123" s="27" t="s">
        <v>38</v>
      </c>
      <c r="J9123" s="28" t="s">
        <v>913</v>
      </c>
      <c r="K9123" s="27" t="s">
        <v>38</v>
      </c>
      <c r="L9123" s="27"/>
    </row>
    <row r="9124" customFormat="false" ht="15" hidden="false" customHeight="false" outlineLevel="0" collapsed="false">
      <c r="A9124" s="26" t="s">
        <v>23162</v>
      </c>
      <c r="B9124" s="27" t="s">
        <v>23163</v>
      </c>
      <c r="C9124" s="27" t="s">
        <v>144</v>
      </c>
      <c r="D9124" s="26"/>
      <c r="E9124" s="27"/>
      <c r="F9124" s="27"/>
      <c r="G9124" s="27" t="s">
        <v>11122</v>
      </c>
      <c r="H9124" s="27" t="s">
        <v>35</v>
      </c>
      <c r="I9124" s="27" t="s">
        <v>37</v>
      </c>
      <c r="J9124" s="28" t="s">
        <v>913</v>
      </c>
      <c r="K9124" s="27" t="s">
        <v>38</v>
      </c>
      <c r="L9124" s="27"/>
    </row>
    <row r="9125" customFormat="false" ht="15" hidden="false" customHeight="false" outlineLevel="0" collapsed="false">
      <c r="A9125" s="26" t="s">
        <v>23164</v>
      </c>
      <c r="B9125" s="27" t="s">
        <v>23165</v>
      </c>
      <c r="C9125" s="27" t="s">
        <v>370</v>
      </c>
      <c r="D9125" s="26"/>
      <c r="E9125" s="27"/>
      <c r="F9125" s="27"/>
      <c r="G9125" s="27" t="s">
        <v>11122</v>
      </c>
      <c r="H9125" s="27" t="s">
        <v>35</v>
      </c>
      <c r="I9125" s="27" t="s">
        <v>48</v>
      </c>
      <c r="J9125" s="28" t="s">
        <v>913</v>
      </c>
      <c r="K9125" s="27" t="s">
        <v>38</v>
      </c>
      <c r="L9125" s="27"/>
    </row>
    <row r="9126" customFormat="false" ht="15" hidden="false" customHeight="false" outlineLevel="0" collapsed="false">
      <c r="A9126" s="26" t="s">
        <v>23166</v>
      </c>
      <c r="B9126" s="27" t="s">
        <v>23167</v>
      </c>
      <c r="C9126" s="27" t="s">
        <v>370</v>
      </c>
      <c r="D9126" s="26"/>
      <c r="E9126" s="27"/>
      <c r="F9126" s="27"/>
      <c r="G9126" s="27" t="s">
        <v>11122</v>
      </c>
      <c r="H9126" s="27" t="s">
        <v>35</v>
      </c>
      <c r="I9126" s="27" t="s">
        <v>48</v>
      </c>
      <c r="J9126" s="28" t="s">
        <v>913</v>
      </c>
      <c r="K9126" s="27" t="s">
        <v>38</v>
      </c>
      <c r="L9126" s="27"/>
    </row>
    <row r="9127" customFormat="false" ht="15" hidden="false" customHeight="false" outlineLevel="0" collapsed="false">
      <c r="A9127" s="26" t="s">
        <v>23168</v>
      </c>
      <c r="B9127" s="27" t="s">
        <v>23169</v>
      </c>
      <c r="C9127" s="27" t="s">
        <v>370</v>
      </c>
      <c r="D9127" s="26"/>
      <c r="E9127" s="27"/>
      <c r="F9127" s="27"/>
      <c r="G9127" s="27" t="s">
        <v>11122</v>
      </c>
      <c r="H9127" s="27" t="s">
        <v>35</v>
      </c>
      <c r="I9127" s="27" t="s">
        <v>48</v>
      </c>
      <c r="J9127" s="28" t="s">
        <v>913</v>
      </c>
      <c r="K9127" s="27" t="s">
        <v>38</v>
      </c>
      <c r="L9127" s="27"/>
    </row>
    <row r="9128" customFormat="false" ht="15" hidden="false" customHeight="false" outlineLevel="0" collapsed="false">
      <c r="A9128" s="26" t="s">
        <v>23170</v>
      </c>
      <c r="B9128" s="27" t="s">
        <v>23171</v>
      </c>
      <c r="C9128" s="27" t="s">
        <v>370</v>
      </c>
      <c r="D9128" s="26"/>
      <c r="E9128" s="27"/>
      <c r="F9128" s="27"/>
      <c r="G9128" s="27" t="s">
        <v>11122</v>
      </c>
      <c r="H9128" s="27" t="s">
        <v>35</v>
      </c>
      <c r="I9128" s="27" t="s">
        <v>48</v>
      </c>
      <c r="J9128" s="28" t="s">
        <v>913</v>
      </c>
      <c r="K9128" s="27" t="s">
        <v>38</v>
      </c>
      <c r="L9128" s="27"/>
    </row>
    <row r="9129" customFormat="false" ht="15" hidden="false" customHeight="false" outlineLevel="0" collapsed="false">
      <c r="A9129" s="26" t="s">
        <v>23172</v>
      </c>
      <c r="B9129" s="27" t="s">
        <v>23173</v>
      </c>
      <c r="C9129" s="27" t="s">
        <v>370</v>
      </c>
      <c r="D9129" s="26"/>
      <c r="E9129" s="27"/>
      <c r="F9129" s="27"/>
      <c r="G9129" s="27" t="s">
        <v>11122</v>
      </c>
      <c r="H9129" s="27" t="s">
        <v>35</v>
      </c>
      <c r="I9129" s="27" t="s">
        <v>48</v>
      </c>
      <c r="J9129" s="28" t="s">
        <v>913</v>
      </c>
      <c r="K9129" s="27" t="s">
        <v>38</v>
      </c>
      <c r="L9129" s="27"/>
    </row>
    <row r="9130" customFormat="false" ht="15" hidden="false" customHeight="false" outlineLevel="0" collapsed="false">
      <c r="A9130" s="26" t="s">
        <v>23174</v>
      </c>
      <c r="B9130" s="27" t="s">
        <v>23175</v>
      </c>
      <c r="C9130" s="27" t="s">
        <v>370</v>
      </c>
      <c r="D9130" s="26"/>
      <c r="E9130" s="27"/>
      <c r="F9130" s="27"/>
      <c r="G9130" s="27" t="s">
        <v>11122</v>
      </c>
      <c r="H9130" s="27" t="s">
        <v>35</v>
      </c>
      <c r="I9130" s="27" t="s">
        <v>48</v>
      </c>
      <c r="J9130" s="28" t="s">
        <v>913</v>
      </c>
      <c r="K9130" s="27" t="s">
        <v>38</v>
      </c>
      <c r="L9130" s="27"/>
    </row>
    <row r="9131" customFormat="false" ht="15" hidden="false" customHeight="false" outlineLevel="0" collapsed="false">
      <c r="A9131" s="26" t="s">
        <v>23176</v>
      </c>
      <c r="B9131" s="27" t="s">
        <v>23177</v>
      </c>
      <c r="C9131" s="27" t="s">
        <v>370</v>
      </c>
      <c r="D9131" s="26"/>
      <c r="E9131" s="27"/>
      <c r="F9131" s="27"/>
      <c r="G9131" s="27" t="s">
        <v>11122</v>
      </c>
      <c r="H9131" s="27" t="s">
        <v>35</v>
      </c>
      <c r="I9131" s="27" t="s">
        <v>48</v>
      </c>
      <c r="J9131" s="28" t="s">
        <v>913</v>
      </c>
      <c r="K9131" s="27" t="s">
        <v>38</v>
      </c>
      <c r="L9131" s="27"/>
    </row>
    <row r="9132" customFormat="false" ht="15" hidden="false" customHeight="false" outlineLevel="0" collapsed="false">
      <c r="A9132" s="26" t="s">
        <v>23178</v>
      </c>
      <c r="B9132" s="27" t="s">
        <v>23179</v>
      </c>
      <c r="C9132" s="27" t="s">
        <v>370</v>
      </c>
      <c r="D9132" s="26"/>
      <c r="E9132" s="27"/>
      <c r="F9132" s="27"/>
      <c r="G9132" s="27" t="s">
        <v>11122</v>
      </c>
      <c r="H9132" s="27" t="s">
        <v>35</v>
      </c>
      <c r="I9132" s="27" t="s">
        <v>48</v>
      </c>
      <c r="J9132" s="28" t="s">
        <v>913</v>
      </c>
      <c r="K9132" s="27" t="s">
        <v>38</v>
      </c>
      <c r="L9132" s="27"/>
    </row>
    <row r="9133" customFormat="false" ht="15" hidden="false" customHeight="false" outlineLevel="0" collapsed="false">
      <c r="A9133" s="26" t="s">
        <v>23180</v>
      </c>
      <c r="B9133" s="27" t="s">
        <v>23181</v>
      </c>
      <c r="C9133" s="27" t="s">
        <v>370</v>
      </c>
      <c r="D9133" s="26"/>
      <c r="E9133" s="27"/>
      <c r="F9133" s="27"/>
      <c r="G9133" s="27" t="s">
        <v>11122</v>
      </c>
      <c r="H9133" s="27" t="s">
        <v>35</v>
      </c>
      <c r="I9133" s="27" t="s">
        <v>48</v>
      </c>
      <c r="J9133" s="28" t="s">
        <v>913</v>
      </c>
      <c r="K9133" s="27" t="s">
        <v>38</v>
      </c>
      <c r="L9133" s="27"/>
    </row>
    <row r="9134" customFormat="false" ht="15" hidden="false" customHeight="false" outlineLevel="0" collapsed="false">
      <c r="A9134" s="26" t="s">
        <v>23182</v>
      </c>
      <c r="B9134" s="27" t="s">
        <v>23183</v>
      </c>
      <c r="C9134" s="27" t="s">
        <v>370</v>
      </c>
      <c r="D9134" s="26"/>
      <c r="E9134" s="27"/>
      <c r="F9134" s="27"/>
      <c r="G9134" s="27" t="s">
        <v>11122</v>
      </c>
      <c r="H9134" s="27" t="s">
        <v>35</v>
      </c>
      <c r="I9134" s="27" t="s">
        <v>48</v>
      </c>
      <c r="J9134" s="28" t="s">
        <v>913</v>
      </c>
      <c r="K9134" s="27" t="s">
        <v>38</v>
      </c>
      <c r="L9134" s="27"/>
    </row>
    <row r="9135" customFormat="false" ht="15" hidden="false" customHeight="false" outlineLevel="0" collapsed="false">
      <c r="A9135" s="26" t="s">
        <v>23184</v>
      </c>
      <c r="B9135" s="27" t="s">
        <v>23185</v>
      </c>
      <c r="C9135" s="27" t="s">
        <v>370</v>
      </c>
      <c r="D9135" s="26"/>
      <c r="E9135" s="27"/>
      <c r="F9135" s="27"/>
      <c r="G9135" s="27" t="s">
        <v>11122</v>
      </c>
      <c r="H9135" s="27" t="s">
        <v>35</v>
      </c>
      <c r="I9135" s="27" t="s">
        <v>38</v>
      </c>
      <c r="J9135" s="28" t="s">
        <v>913</v>
      </c>
      <c r="K9135" s="27" t="s">
        <v>38</v>
      </c>
      <c r="L9135" s="27"/>
    </row>
    <row r="9136" customFormat="false" ht="15" hidden="false" customHeight="false" outlineLevel="0" collapsed="false">
      <c r="A9136" s="26" t="s">
        <v>23186</v>
      </c>
      <c r="B9136" s="27" t="s">
        <v>23187</v>
      </c>
      <c r="C9136" s="27" t="s">
        <v>144</v>
      </c>
      <c r="D9136" s="26"/>
      <c r="E9136" s="27"/>
      <c r="F9136" s="27"/>
      <c r="G9136" s="27" t="s">
        <v>11122</v>
      </c>
      <c r="H9136" s="27" t="s">
        <v>35</v>
      </c>
      <c r="I9136" s="27" t="s">
        <v>38</v>
      </c>
      <c r="J9136" s="28" t="s">
        <v>913</v>
      </c>
      <c r="K9136" s="27" t="s">
        <v>38</v>
      </c>
      <c r="L9136" s="27"/>
    </row>
    <row r="9137" customFormat="false" ht="15" hidden="false" customHeight="false" outlineLevel="0" collapsed="false">
      <c r="A9137" s="26" t="s">
        <v>23188</v>
      </c>
      <c r="B9137" s="27" t="s">
        <v>23189</v>
      </c>
      <c r="C9137" s="27" t="s">
        <v>144</v>
      </c>
      <c r="D9137" s="26"/>
      <c r="E9137" s="27"/>
      <c r="F9137" s="27"/>
      <c r="G9137" s="27" t="s">
        <v>11122</v>
      </c>
      <c r="H9137" s="27" t="s">
        <v>35</v>
      </c>
      <c r="I9137" s="27" t="s">
        <v>41</v>
      </c>
      <c r="J9137" s="28" t="s">
        <v>913</v>
      </c>
      <c r="K9137" s="27" t="s">
        <v>38</v>
      </c>
      <c r="L9137" s="27"/>
    </row>
    <row r="9138" customFormat="false" ht="15" hidden="false" customHeight="false" outlineLevel="0" collapsed="false">
      <c r="A9138" s="26" t="s">
        <v>23190</v>
      </c>
      <c r="B9138" s="27" t="s">
        <v>23191</v>
      </c>
      <c r="C9138" s="27" t="s">
        <v>144</v>
      </c>
      <c r="D9138" s="26"/>
      <c r="E9138" s="27"/>
      <c r="F9138" s="27"/>
      <c r="G9138" s="27" t="s">
        <v>11122</v>
      </c>
      <c r="H9138" s="27" t="s">
        <v>35</v>
      </c>
      <c r="I9138" s="27" t="s">
        <v>38</v>
      </c>
      <c r="J9138" s="28" t="s">
        <v>913</v>
      </c>
      <c r="K9138" s="27" t="s">
        <v>38</v>
      </c>
      <c r="L9138" s="27"/>
    </row>
    <row r="9139" customFormat="false" ht="15" hidden="false" customHeight="false" outlineLevel="0" collapsed="false">
      <c r="A9139" s="26" t="s">
        <v>23192</v>
      </c>
      <c r="B9139" s="27" t="s">
        <v>23193</v>
      </c>
      <c r="C9139" s="27" t="s">
        <v>144</v>
      </c>
      <c r="D9139" s="26"/>
      <c r="E9139" s="27"/>
      <c r="F9139" s="27"/>
      <c r="G9139" s="27" t="s">
        <v>11122</v>
      </c>
      <c r="H9139" s="27" t="s">
        <v>35</v>
      </c>
      <c r="I9139" s="27" t="s">
        <v>37</v>
      </c>
      <c r="J9139" s="28" t="s">
        <v>913</v>
      </c>
      <c r="K9139" s="27" t="s">
        <v>38</v>
      </c>
      <c r="L9139" s="27"/>
    </row>
    <row r="9140" customFormat="false" ht="15" hidden="false" customHeight="false" outlineLevel="0" collapsed="false">
      <c r="A9140" s="26" t="s">
        <v>23194</v>
      </c>
      <c r="B9140" s="27" t="s">
        <v>23195</v>
      </c>
      <c r="C9140" s="27" t="s">
        <v>144</v>
      </c>
      <c r="D9140" s="26"/>
      <c r="E9140" s="27"/>
      <c r="F9140" s="27"/>
      <c r="G9140" s="27" t="s">
        <v>11122</v>
      </c>
      <c r="H9140" s="27" t="s">
        <v>35</v>
      </c>
      <c r="I9140" s="27" t="s">
        <v>38</v>
      </c>
      <c r="J9140" s="28" t="s">
        <v>913</v>
      </c>
      <c r="K9140" s="27" t="s">
        <v>38</v>
      </c>
      <c r="L9140" s="27"/>
    </row>
    <row r="9141" customFormat="false" ht="15" hidden="false" customHeight="false" outlineLevel="0" collapsed="false">
      <c r="A9141" s="26" t="s">
        <v>23196</v>
      </c>
      <c r="B9141" s="27" t="s">
        <v>23197</v>
      </c>
      <c r="C9141" s="27" t="s">
        <v>144</v>
      </c>
      <c r="D9141" s="26"/>
      <c r="E9141" s="27"/>
      <c r="F9141" s="27"/>
      <c r="G9141" s="27" t="s">
        <v>11122</v>
      </c>
      <c r="H9141" s="27" t="s">
        <v>35</v>
      </c>
      <c r="I9141" s="27" t="s">
        <v>43</v>
      </c>
      <c r="J9141" s="28" t="s">
        <v>913</v>
      </c>
      <c r="K9141" s="27" t="s">
        <v>38</v>
      </c>
      <c r="L9141" s="27"/>
    </row>
    <row r="9142" customFormat="false" ht="15" hidden="false" customHeight="false" outlineLevel="0" collapsed="false">
      <c r="A9142" s="26" t="s">
        <v>23198</v>
      </c>
      <c r="B9142" s="27" t="s">
        <v>23199</v>
      </c>
      <c r="C9142" s="27" t="s">
        <v>144</v>
      </c>
      <c r="D9142" s="26"/>
      <c r="E9142" s="27"/>
      <c r="F9142" s="27"/>
      <c r="G9142" s="27" t="s">
        <v>11122</v>
      </c>
      <c r="H9142" s="27" t="s">
        <v>35</v>
      </c>
      <c r="I9142" s="27" t="s">
        <v>43</v>
      </c>
      <c r="J9142" s="28" t="s">
        <v>913</v>
      </c>
      <c r="K9142" s="27" t="s">
        <v>38</v>
      </c>
      <c r="L9142" s="27"/>
    </row>
    <row r="9143" customFormat="false" ht="15" hidden="false" customHeight="false" outlineLevel="0" collapsed="false">
      <c r="A9143" s="26" t="s">
        <v>23200</v>
      </c>
      <c r="B9143" s="27" t="s">
        <v>23201</v>
      </c>
      <c r="C9143" s="27" t="s">
        <v>144</v>
      </c>
      <c r="D9143" s="26"/>
      <c r="E9143" s="27"/>
      <c r="F9143" s="27"/>
      <c r="G9143" s="27" t="s">
        <v>11122</v>
      </c>
      <c r="H9143" s="27" t="s">
        <v>35</v>
      </c>
      <c r="I9143" s="27" t="s">
        <v>43</v>
      </c>
      <c r="J9143" s="28" t="s">
        <v>913</v>
      </c>
      <c r="K9143" s="27" t="s">
        <v>38</v>
      </c>
      <c r="L9143" s="27"/>
    </row>
    <row r="9144" customFormat="false" ht="15" hidden="false" customHeight="false" outlineLevel="0" collapsed="false">
      <c r="A9144" s="26" t="s">
        <v>23202</v>
      </c>
      <c r="B9144" s="27" t="s">
        <v>23203</v>
      </c>
      <c r="C9144" s="27" t="s">
        <v>144</v>
      </c>
      <c r="D9144" s="26"/>
      <c r="E9144" s="27"/>
      <c r="F9144" s="27"/>
      <c r="G9144" s="27" t="s">
        <v>11122</v>
      </c>
      <c r="H9144" s="27" t="s">
        <v>35</v>
      </c>
      <c r="I9144" s="27" t="s">
        <v>38</v>
      </c>
      <c r="J9144" s="28" t="s">
        <v>913</v>
      </c>
      <c r="K9144" s="27" t="s">
        <v>38</v>
      </c>
      <c r="L9144" s="27"/>
    </row>
    <row r="9145" customFormat="false" ht="15" hidden="false" customHeight="false" outlineLevel="0" collapsed="false">
      <c r="A9145" s="26" t="s">
        <v>23204</v>
      </c>
      <c r="B9145" s="27" t="s">
        <v>23205</v>
      </c>
      <c r="C9145" s="27" t="s">
        <v>144</v>
      </c>
      <c r="D9145" s="26"/>
      <c r="E9145" s="27"/>
      <c r="F9145" s="27"/>
      <c r="G9145" s="27" t="s">
        <v>11122</v>
      </c>
      <c r="H9145" s="27" t="s">
        <v>35</v>
      </c>
      <c r="I9145" s="27" t="s">
        <v>41</v>
      </c>
      <c r="J9145" s="28" t="s">
        <v>913</v>
      </c>
      <c r="K9145" s="27" t="s">
        <v>38</v>
      </c>
      <c r="L9145" s="27"/>
    </row>
    <row r="9146" customFormat="false" ht="15" hidden="false" customHeight="false" outlineLevel="0" collapsed="false">
      <c r="A9146" s="26" t="s">
        <v>23206</v>
      </c>
      <c r="B9146" s="27" t="s">
        <v>23207</v>
      </c>
      <c r="C9146" s="27" t="s">
        <v>144</v>
      </c>
      <c r="D9146" s="26"/>
      <c r="E9146" s="27"/>
      <c r="F9146" s="27"/>
      <c r="G9146" s="27" t="s">
        <v>11122</v>
      </c>
      <c r="H9146" s="27" t="s">
        <v>35</v>
      </c>
      <c r="I9146" s="27" t="s">
        <v>38</v>
      </c>
      <c r="J9146" s="28" t="s">
        <v>913</v>
      </c>
      <c r="K9146" s="27" t="s">
        <v>38</v>
      </c>
      <c r="L9146" s="27"/>
    </row>
    <row r="9147" customFormat="false" ht="15" hidden="false" customHeight="false" outlineLevel="0" collapsed="false">
      <c r="A9147" s="26" t="s">
        <v>23208</v>
      </c>
      <c r="B9147" s="27" t="s">
        <v>23209</v>
      </c>
      <c r="C9147" s="27" t="s">
        <v>144</v>
      </c>
      <c r="D9147" s="26"/>
      <c r="E9147" s="27"/>
      <c r="F9147" s="27"/>
      <c r="G9147" s="27" t="s">
        <v>11122</v>
      </c>
      <c r="H9147" s="27" t="s">
        <v>35</v>
      </c>
      <c r="I9147" s="27" t="s">
        <v>38</v>
      </c>
      <c r="J9147" s="28" t="s">
        <v>913</v>
      </c>
      <c r="K9147" s="27" t="s">
        <v>38</v>
      </c>
      <c r="L9147" s="27"/>
    </row>
    <row r="9148" customFormat="false" ht="15" hidden="false" customHeight="false" outlineLevel="0" collapsed="false">
      <c r="A9148" s="26" t="s">
        <v>23210</v>
      </c>
      <c r="B9148" s="27" t="s">
        <v>23211</v>
      </c>
      <c r="C9148" s="27" t="s">
        <v>144</v>
      </c>
      <c r="D9148" s="26"/>
      <c r="E9148" s="27"/>
      <c r="F9148" s="27"/>
      <c r="G9148" s="27" t="s">
        <v>11122</v>
      </c>
      <c r="H9148" s="27" t="s">
        <v>35</v>
      </c>
      <c r="I9148" s="27" t="s">
        <v>38</v>
      </c>
      <c r="J9148" s="28" t="s">
        <v>913</v>
      </c>
      <c r="K9148" s="27" t="s">
        <v>38</v>
      </c>
      <c r="L9148" s="27"/>
    </row>
    <row r="9149" customFormat="false" ht="15" hidden="false" customHeight="false" outlineLevel="0" collapsed="false">
      <c r="A9149" s="26" t="s">
        <v>23212</v>
      </c>
      <c r="B9149" s="27" t="s">
        <v>23213</v>
      </c>
      <c r="C9149" s="27" t="s">
        <v>144</v>
      </c>
      <c r="D9149" s="26"/>
      <c r="E9149" s="27"/>
      <c r="F9149" s="27"/>
      <c r="G9149" s="27" t="s">
        <v>11122</v>
      </c>
      <c r="H9149" s="27" t="s">
        <v>35</v>
      </c>
      <c r="I9149" s="27" t="s">
        <v>38</v>
      </c>
      <c r="J9149" s="28" t="s">
        <v>913</v>
      </c>
      <c r="K9149" s="27" t="s">
        <v>38</v>
      </c>
      <c r="L9149" s="27"/>
    </row>
    <row r="9150" customFormat="false" ht="15" hidden="false" customHeight="false" outlineLevel="0" collapsed="false">
      <c r="A9150" s="26" t="s">
        <v>23214</v>
      </c>
      <c r="B9150" s="27" t="s">
        <v>23215</v>
      </c>
      <c r="C9150" s="27" t="s">
        <v>144</v>
      </c>
      <c r="D9150" s="26"/>
      <c r="E9150" s="27"/>
      <c r="F9150" s="27"/>
      <c r="G9150" s="27" t="s">
        <v>11122</v>
      </c>
      <c r="H9150" s="27" t="s">
        <v>35</v>
      </c>
      <c r="I9150" s="27" t="s">
        <v>38</v>
      </c>
      <c r="J9150" s="28" t="s">
        <v>913</v>
      </c>
      <c r="K9150" s="27" t="s">
        <v>38</v>
      </c>
      <c r="L9150" s="27"/>
    </row>
    <row r="9151" customFormat="false" ht="15" hidden="false" customHeight="false" outlineLevel="0" collapsed="false">
      <c r="A9151" s="26" t="s">
        <v>23216</v>
      </c>
      <c r="B9151" s="27" t="s">
        <v>23217</v>
      </c>
      <c r="C9151" s="27" t="s">
        <v>144</v>
      </c>
      <c r="D9151" s="26"/>
      <c r="E9151" s="27"/>
      <c r="F9151" s="27"/>
      <c r="G9151" s="27" t="s">
        <v>11122</v>
      </c>
      <c r="H9151" s="27" t="s">
        <v>35</v>
      </c>
      <c r="I9151" s="27" t="s">
        <v>38</v>
      </c>
      <c r="J9151" s="28" t="s">
        <v>913</v>
      </c>
      <c r="K9151" s="27" t="s">
        <v>38</v>
      </c>
      <c r="L9151" s="27"/>
    </row>
    <row r="9152" customFormat="false" ht="15" hidden="false" customHeight="false" outlineLevel="0" collapsed="false">
      <c r="A9152" s="26" t="s">
        <v>23218</v>
      </c>
      <c r="B9152" s="27" t="s">
        <v>23219</v>
      </c>
      <c r="C9152" s="27" t="s">
        <v>144</v>
      </c>
      <c r="D9152" s="26"/>
      <c r="E9152" s="27"/>
      <c r="F9152" s="27"/>
      <c r="G9152" s="27" t="s">
        <v>11122</v>
      </c>
      <c r="H9152" s="27" t="s">
        <v>35</v>
      </c>
      <c r="I9152" s="27" t="s">
        <v>887</v>
      </c>
      <c r="J9152" s="28" t="s">
        <v>913</v>
      </c>
      <c r="K9152" s="27" t="s">
        <v>38</v>
      </c>
      <c r="L9152" s="27"/>
    </row>
    <row r="9153" customFormat="false" ht="15" hidden="false" customHeight="false" outlineLevel="0" collapsed="false">
      <c r="A9153" s="26" t="s">
        <v>23220</v>
      </c>
      <c r="B9153" s="27" t="s">
        <v>23221</v>
      </c>
      <c r="C9153" s="27" t="s">
        <v>144</v>
      </c>
      <c r="D9153" s="26"/>
      <c r="E9153" s="27"/>
      <c r="F9153" s="27"/>
      <c r="G9153" s="27" t="s">
        <v>11122</v>
      </c>
      <c r="H9153" s="27" t="s">
        <v>35</v>
      </c>
      <c r="I9153" s="27" t="s">
        <v>38</v>
      </c>
      <c r="J9153" s="28" t="s">
        <v>913</v>
      </c>
      <c r="K9153" s="27" t="s">
        <v>38</v>
      </c>
      <c r="L9153" s="27"/>
    </row>
    <row r="9154" customFormat="false" ht="15" hidden="false" customHeight="false" outlineLevel="0" collapsed="false">
      <c r="A9154" s="26" t="s">
        <v>23222</v>
      </c>
      <c r="B9154" s="27" t="s">
        <v>23223</v>
      </c>
      <c r="C9154" s="27" t="s">
        <v>144</v>
      </c>
      <c r="D9154" s="26"/>
      <c r="E9154" s="27"/>
      <c r="F9154" s="27"/>
      <c r="G9154" s="27" t="s">
        <v>11122</v>
      </c>
      <c r="H9154" s="27" t="s">
        <v>35</v>
      </c>
      <c r="I9154" s="27" t="s">
        <v>39</v>
      </c>
      <c r="J9154" s="28" t="s">
        <v>913</v>
      </c>
      <c r="K9154" s="27" t="s">
        <v>38</v>
      </c>
      <c r="L9154" s="27"/>
    </row>
    <row r="9155" customFormat="false" ht="15" hidden="false" customHeight="false" outlineLevel="0" collapsed="false">
      <c r="A9155" s="26" t="s">
        <v>23224</v>
      </c>
      <c r="B9155" s="27" t="s">
        <v>23225</v>
      </c>
      <c r="C9155" s="27" t="s">
        <v>144</v>
      </c>
      <c r="D9155" s="26"/>
      <c r="E9155" s="27"/>
      <c r="F9155" s="27"/>
      <c r="G9155" s="27" t="s">
        <v>11122</v>
      </c>
      <c r="H9155" s="27" t="s">
        <v>35</v>
      </c>
      <c r="I9155" s="27" t="s">
        <v>37</v>
      </c>
      <c r="J9155" s="28" t="s">
        <v>913</v>
      </c>
      <c r="K9155" s="27" t="s">
        <v>38</v>
      </c>
      <c r="L9155" s="27"/>
    </row>
    <row r="9156" customFormat="false" ht="15" hidden="false" customHeight="false" outlineLevel="0" collapsed="false">
      <c r="A9156" s="26" t="s">
        <v>23226</v>
      </c>
      <c r="B9156" s="27" t="s">
        <v>23227</v>
      </c>
      <c r="C9156" s="27" t="s">
        <v>144</v>
      </c>
      <c r="D9156" s="26"/>
      <c r="E9156" s="27"/>
      <c r="F9156" s="27"/>
      <c r="G9156" s="27" t="s">
        <v>11122</v>
      </c>
      <c r="H9156" s="27" t="s">
        <v>35</v>
      </c>
      <c r="I9156" s="27" t="s">
        <v>38</v>
      </c>
      <c r="J9156" s="28" t="s">
        <v>913</v>
      </c>
      <c r="K9156" s="27" t="s">
        <v>38</v>
      </c>
      <c r="L9156" s="27"/>
    </row>
    <row r="9157" customFormat="false" ht="15" hidden="false" customHeight="false" outlineLevel="0" collapsed="false">
      <c r="A9157" s="26" t="s">
        <v>23228</v>
      </c>
      <c r="B9157" s="27" t="s">
        <v>23229</v>
      </c>
      <c r="C9157" s="27" t="s">
        <v>144</v>
      </c>
      <c r="D9157" s="26"/>
      <c r="E9157" s="27"/>
      <c r="F9157" s="27"/>
      <c r="G9157" s="27" t="s">
        <v>11122</v>
      </c>
      <c r="H9157" s="27" t="s">
        <v>35</v>
      </c>
      <c r="I9157" s="27" t="s">
        <v>38</v>
      </c>
      <c r="J9157" s="28" t="s">
        <v>913</v>
      </c>
      <c r="K9157" s="27" t="s">
        <v>38</v>
      </c>
      <c r="L9157" s="27"/>
    </row>
    <row r="9158" customFormat="false" ht="15" hidden="false" customHeight="false" outlineLevel="0" collapsed="false">
      <c r="A9158" s="26" t="s">
        <v>23230</v>
      </c>
      <c r="B9158" s="27" t="s">
        <v>23231</v>
      </c>
      <c r="C9158" s="27" t="s">
        <v>144</v>
      </c>
      <c r="D9158" s="26"/>
      <c r="E9158" s="27"/>
      <c r="F9158" s="27"/>
      <c r="G9158" s="27" t="s">
        <v>11122</v>
      </c>
      <c r="H9158" s="27" t="s">
        <v>35</v>
      </c>
      <c r="I9158" s="27" t="s">
        <v>39</v>
      </c>
      <c r="J9158" s="28" t="s">
        <v>913</v>
      </c>
      <c r="K9158" s="27" t="s">
        <v>38</v>
      </c>
      <c r="L9158" s="27"/>
    </row>
    <row r="9159" customFormat="false" ht="15" hidden="false" customHeight="false" outlineLevel="0" collapsed="false">
      <c r="A9159" s="26" t="s">
        <v>23232</v>
      </c>
      <c r="B9159" s="27" t="s">
        <v>23233</v>
      </c>
      <c r="C9159" s="27" t="s">
        <v>144</v>
      </c>
      <c r="D9159" s="26"/>
      <c r="E9159" s="27"/>
      <c r="F9159" s="27"/>
      <c r="G9159" s="27" t="s">
        <v>11122</v>
      </c>
      <c r="H9159" s="27" t="s">
        <v>35</v>
      </c>
      <c r="I9159" s="27" t="s">
        <v>37</v>
      </c>
      <c r="J9159" s="28" t="s">
        <v>913</v>
      </c>
      <c r="K9159" s="27" t="s">
        <v>38</v>
      </c>
      <c r="L9159" s="27"/>
    </row>
    <row r="9160" customFormat="false" ht="15" hidden="false" customHeight="false" outlineLevel="0" collapsed="false">
      <c r="A9160" s="26" t="s">
        <v>23234</v>
      </c>
      <c r="B9160" s="27" t="s">
        <v>23235</v>
      </c>
      <c r="C9160" s="27" t="s">
        <v>144</v>
      </c>
      <c r="D9160" s="26"/>
      <c r="E9160" s="27"/>
      <c r="F9160" s="27"/>
      <c r="G9160" s="27" t="s">
        <v>11122</v>
      </c>
      <c r="H9160" s="27" t="s">
        <v>35</v>
      </c>
      <c r="I9160" s="27" t="s">
        <v>42</v>
      </c>
      <c r="J9160" s="28" t="s">
        <v>913</v>
      </c>
      <c r="K9160" s="27" t="s">
        <v>38</v>
      </c>
      <c r="L9160" s="27"/>
    </row>
    <row r="9161" customFormat="false" ht="15" hidden="false" customHeight="false" outlineLevel="0" collapsed="false">
      <c r="A9161" s="26" t="s">
        <v>23236</v>
      </c>
      <c r="B9161" s="27" t="s">
        <v>23237</v>
      </c>
      <c r="C9161" s="27" t="s">
        <v>144</v>
      </c>
      <c r="D9161" s="26"/>
      <c r="E9161" s="27"/>
      <c r="F9161" s="27"/>
      <c r="G9161" s="27" t="s">
        <v>11122</v>
      </c>
      <c r="H9161" s="27" t="s">
        <v>35</v>
      </c>
      <c r="I9161" s="27" t="s">
        <v>38</v>
      </c>
      <c r="J9161" s="28" t="s">
        <v>913</v>
      </c>
      <c r="K9161" s="27" t="s">
        <v>38</v>
      </c>
      <c r="L9161" s="27"/>
    </row>
    <row r="9162" customFormat="false" ht="15" hidden="false" customHeight="false" outlineLevel="0" collapsed="false">
      <c r="A9162" s="26" t="s">
        <v>23238</v>
      </c>
      <c r="B9162" s="27" t="s">
        <v>23239</v>
      </c>
      <c r="C9162" s="27" t="s">
        <v>144</v>
      </c>
      <c r="D9162" s="26"/>
      <c r="E9162" s="27"/>
      <c r="F9162" s="27"/>
      <c r="G9162" s="27" t="s">
        <v>11122</v>
      </c>
      <c r="H9162" s="27" t="s">
        <v>35</v>
      </c>
      <c r="I9162" s="27" t="s">
        <v>38</v>
      </c>
      <c r="J9162" s="28" t="s">
        <v>913</v>
      </c>
      <c r="K9162" s="27" t="s">
        <v>38</v>
      </c>
      <c r="L9162" s="27"/>
    </row>
    <row r="9163" customFormat="false" ht="15" hidden="false" customHeight="false" outlineLevel="0" collapsed="false">
      <c r="A9163" s="26" t="s">
        <v>23240</v>
      </c>
      <c r="B9163" s="27" t="s">
        <v>23241</v>
      </c>
      <c r="C9163" s="27" t="s">
        <v>144</v>
      </c>
      <c r="D9163" s="26"/>
      <c r="E9163" s="27"/>
      <c r="F9163" s="27"/>
      <c r="G9163" s="27" t="s">
        <v>11122</v>
      </c>
      <c r="H9163" s="27" t="s">
        <v>35</v>
      </c>
      <c r="I9163" s="27" t="s">
        <v>38</v>
      </c>
      <c r="J9163" s="28" t="s">
        <v>913</v>
      </c>
      <c r="K9163" s="27" t="s">
        <v>38</v>
      </c>
      <c r="L9163" s="27"/>
    </row>
    <row r="9164" customFormat="false" ht="15" hidden="false" customHeight="false" outlineLevel="0" collapsed="false">
      <c r="A9164" s="26" t="s">
        <v>23242</v>
      </c>
      <c r="B9164" s="27" t="s">
        <v>23243</v>
      </c>
      <c r="C9164" s="27" t="s">
        <v>144</v>
      </c>
      <c r="D9164" s="26"/>
      <c r="E9164" s="27"/>
      <c r="F9164" s="27"/>
      <c r="G9164" s="27" t="s">
        <v>11122</v>
      </c>
      <c r="H9164" s="27" t="s">
        <v>35</v>
      </c>
      <c r="I9164" s="27" t="s">
        <v>38</v>
      </c>
      <c r="J9164" s="28" t="s">
        <v>913</v>
      </c>
      <c r="K9164" s="27" t="s">
        <v>38</v>
      </c>
      <c r="L9164" s="27"/>
    </row>
    <row r="9165" customFormat="false" ht="15" hidden="false" customHeight="false" outlineLevel="0" collapsed="false">
      <c r="A9165" s="26" t="s">
        <v>23244</v>
      </c>
      <c r="B9165" s="27" t="s">
        <v>23245</v>
      </c>
      <c r="C9165" s="27" t="s">
        <v>144</v>
      </c>
      <c r="D9165" s="26"/>
      <c r="E9165" s="27"/>
      <c r="F9165" s="27"/>
      <c r="G9165" s="27" t="s">
        <v>11122</v>
      </c>
      <c r="H9165" s="27" t="s">
        <v>35</v>
      </c>
      <c r="I9165" s="27" t="s">
        <v>38</v>
      </c>
      <c r="J9165" s="28" t="s">
        <v>913</v>
      </c>
      <c r="K9165" s="27" t="s">
        <v>38</v>
      </c>
      <c r="L9165" s="27"/>
    </row>
    <row r="9166" customFormat="false" ht="15" hidden="false" customHeight="false" outlineLevel="0" collapsed="false">
      <c r="A9166" s="26" t="s">
        <v>23246</v>
      </c>
      <c r="B9166" s="27" t="s">
        <v>23247</v>
      </c>
      <c r="C9166" s="27" t="s">
        <v>144</v>
      </c>
      <c r="D9166" s="26"/>
      <c r="E9166" s="27"/>
      <c r="F9166" s="27"/>
      <c r="G9166" s="27" t="s">
        <v>11122</v>
      </c>
      <c r="H9166" s="27" t="s">
        <v>35</v>
      </c>
      <c r="I9166" s="27" t="s">
        <v>37</v>
      </c>
      <c r="J9166" s="28" t="s">
        <v>913</v>
      </c>
      <c r="K9166" s="27" t="s">
        <v>38</v>
      </c>
      <c r="L9166" s="27"/>
    </row>
    <row r="9167" customFormat="false" ht="15" hidden="false" customHeight="false" outlineLevel="0" collapsed="false">
      <c r="A9167" s="26" t="s">
        <v>23248</v>
      </c>
      <c r="B9167" s="27" t="s">
        <v>23249</v>
      </c>
      <c r="C9167" s="27" t="s">
        <v>144</v>
      </c>
      <c r="D9167" s="26"/>
      <c r="E9167" s="27"/>
      <c r="F9167" s="27"/>
      <c r="G9167" s="27" t="s">
        <v>11122</v>
      </c>
      <c r="H9167" s="27" t="s">
        <v>35</v>
      </c>
      <c r="I9167" s="27" t="s">
        <v>37</v>
      </c>
      <c r="J9167" s="28" t="s">
        <v>913</v>
      </c>
      <c r="K9167" s="27" t="s">
        <v>38</v>
      </c>
      <c r="L9167" s="27"/>
    </row>
    <row r="9168" customFormat="false" ht="15" hidden="false" customHeight="false" outlineLevel="0" collapsed="false">
      <c r="A9168" s="26" t="s">
        <v>23250</v>
      </c>
      <c r="B9168" s="27" t="s">
        <v>23251</v>
      </c>
      <c r="C9168" s="27" t="s">
        <v>144</v>
      </c>
      <c r="D9168" s="26"/>
      <c r="E9168" s="27"/>
      <c r="F9168" s="27"/>
      <c r="G9168" s="27" t="s">
        <v>11122</v>
      </c>
      <c r="H9168" s="27" t="s">
        <v>35</v>
      </c>
      <c r="I9168" s="27" t="s">
        <v>38</v>
      </c>
      <c r="J9168" s="28" t="s">
        <v>913</v>
      </c>
      <c r="K9168" s="27" t="s">
        <v>38</v>
      </c>
      <c r="L9168" s="27"/>
    </row>
    <row r="9169" customFormat="false" ht="15" hidden="false" customHeight="false" outlineLevel="0" collapsed="false">
      <c r="A9169" s="26" t="s">
        <v>23252</v>
      </c>
      <c r="B9169" s="27" t="s">
        <v>23253</v>
      </c>
      <c r="C9169" s="27" t="s">
        <v>144</v>
      </c>
      <c r="D9169" s="26"/>
      <c r="E9169" s="27"/>
      <c r="F9169" s="27"/>
      <c r="G9169" s="27" t="s">
        <v>11122</v>
      </c>
      <c r="H9169" s="27" t="s">
        <v>35</v>
      </c>
      <c r="I9169" s="27" t="s">
        <v>38</v>
      </c>
      <c r="J9169" s="28" t="s">
        <v>913</v>
      </c>
      <c r="K9169" s="27" t="s">
        <v>38</v>
      </c>
      <c r="L9169" s="27"/>
    </row>
    <row r="9170" customFormat="false" ht="15" hidden="false" customHeight="false" outlineLevel="0" collapsed="false">
      <c r="A9170" s="26" t="s">
        <v>23254</v>
      </c>
      <c r="B9170" s="27" t="s">
        <v>23255</v>
      </c>
      <c r="C9170" s="27" t="s">
        <v>144</v>
      </c>
      <c r="D9170" s="26"/>
      <c r="E9170" s="27"/>
      <c r="F9170" s="27"/>
      <c r="G9170" s="27" t="s">
        <v>11122</v>
      </c>
      <c r="H9170" s="27" t="s">
        <v>35</v>
      </c>
      <c r="I9170" s="27" t="s">
        <v>38</v>
      </c>
      <c r="J9170" s="28" t="s">
        <v>913</v>
      </c>
      <c r="K9170" s="27" t="s">
        <v>38</v>
      </c>
      <c r="L9170" s="27"/>
    </row>
    <row r="9171" customFormat="false" ht="15" hidden="false" customHeight="false" outlineLevel="0" collapsed="false">
      <c r="A9171" s="26" t="s">
        <v>23256</v>
      </c>
      <c r="B9171" s="27" t="s">
        <v>23257</v>
      </c>
      <c r="C9171" s="27" t="s">
        <v>144</v>
      </c>
      <c r="D9171" s="26"/>
      <c r="E9171" s="27"/>
      <c r="F9171" s="27"/>
      <c r="G9171" s="27" t="s">
        <v>11122</v>
      </c>
      <c r="H9171" s="27" t="s">
        <v>35</v>
      </c>
      <c r="I9171" s="27" t="s">
        <v>38</v>
      </c>
      <c r="J9171" s="28" t="s">
        <v>913</v>
      </c>
      <c r="K9171" s="27" t="s">
        <v>38</v>
      </c>
      <c r="L9171" s="27"/>
    </row>
    <row r="9172" customFormat="false" ht="15" hidden="false" customHeight="false" outlineLevel="0" collapsed="false">
      <c r="A9172" s="26" t="s">
        <v>23258</v>
      </c>
      <c r="B9172" s="27" t="s">
        <v>23259</v>
      </c>
      <c r="C9172" s="27" t="s">
        <v>144</v>
      </c>
      <c r="D9172" s="26"/>
      <c r="E9172" s="27"/>
      <c r="F9172" s="27"/>
      <c r="G9172" s="27" t="s">
        <v>11122</v>
      </c>
      <c r="H9172" s="27" t="s">
        <v>35</v>
      </c>
      <c r="I9172" s="27" t="s">
        <v>37</v>
      </c>
      <c r="J9172" s="28" t="s">
        <v>913</v>
      </c>
      <c r="K9172" s="27" t="s">
        <v>38</v>
      </c>
      <c r="L9172" s="27"/>
    </row>
    <row r="9173" customFormat="false" ht="15" hidden="false" customHeight="false" outlineLevel="0" collapsed="false">
      <c r="A9173" s="26" t="s">
        <v>23260</v>
      </c>
      <c r="B9173" s="27" t="s">
        <v>23261</v>
      </c>
      <c r="C9173" s="27" t="s">
        <v>144</v>
      </c>
      <c r="D9173" s="26"/>
      <c r="E9173" s="27"/>
      <c r="F9173" s="27"/>
      <c r="G9173" s="27" t="s">
        <v>11122</v>
      </c>
      <c r="H9173" s="27" t="s">
        <v>35</v>
      </c>
      <c r="I9173" s="27" t="s">
        <v>37</v>
      </c>
      <c r="J9173" s="28" t="s">
        <v>913</v>
      </c>
      <c r="K9173" s="27" t="s">
        <v>38</v>
      </c>
      <c r="L9173" s="27"/>
    </row>
    <row r="9174" customFormat="false" ht="15" hidden="false" customHeight="false" outlineLevel="0" collapsed="false">
      <c r="A9174" s="26" t="s">
        <v>23262</v>
      </c>
      <c r="B9174" s="27" t="s">
        <v>23263</v>
      </c>
      <c r="C9174" s="27" t="s">
        <v>144</v>
      </c>
      <c r="D9174" s="26"/>
      <c r="E9174" s="27"/>
      <c r="F9174" s="27"/>
      <c r="G9174" s="27" t="s">
        <v>11122</v>
      </c>
      <c r="H9174" s="27" t="s">
        <v>35</v>
      </c>
      <c r="I9174" s="27" t="s">
        <v>38</v>
      </c>
      <c r="J9174" s="28" t="s">
        <v>913</v>
      </c>
      <c r="K9174" s="27" t="s">
        <v>38</v>
      </c>
      <c r="L9174" s="27"/>
    </row>
    <row r="9175" customFormat="false" ht="15" hidden="false" customHeight="false" outlineLevel="0" collapsed="false">
      <c r="A9175" s="26" t="s">
        <v>23264</v>
      </c>
      <c r="B9175" s="27" t="s">
        <v>23265</v>
      </c>
      <c r="C9175" s="27" t="s">
        <v>144</v>
      </c>
      <c r="D9175" s="26"/>
      <c r="E9175" s="27"/>
      <c r="F9175" s="27"/>
      <c r="G9175" s="27" t="s">
        <v>11122</v>
      </c>
      <c r="H9175" s="27" t="s">
        <v>35</v>
      </c>
      <c r="I9175" s="27" t="s">
        <v>38</v>
      </c>
      <c r="J9175" s="28" t="s">
        <v>913</v>
      </c>
      <c r="K9175" s="27" t="s">
        <v>38</v>
      </c>
      <c r="L9175" s="27"/>
    </row>
    <row r="9176" customFormat="false" ht="15" hidden="false" customHeight="false" outlineLevel="0" collapsed="false">
      <c r="A9176" s="26" t="s">
        <v>23266</v>
      </c>
      <c r="B9176" s="27" t="s">
        <v>23267</v>
      </c>
      <c r="C9176" s="27" t="s">
        <v>144</v>
      </c>
      <c r="D9176" s="26"/>
      <c r="E9176" s="27"/>
      <c r="F9176" s="27"/>
      <c r="G9176" s="27" t="s">
        <v>11122</v>
      </c>
      <c r="H9176" s="27" t="s">
        <v>35</v>
      </c>
      <c r="I9176" s="27" t="s">
        <v>38</v>
      </c>
      <c r="J9176" s="28" t="s">
        <v>913</v>
      </c>
      <c r="K9176" s="27" t="s">
        <v>38</v>
      </c>
      <c r="L9176" s="27"/>
    </row>
    <row r="9177" customFormat="false" ht="15" hidden="false" customHeight="false" outlineLevel="0" collapsed="false">
      <c r="A9177" s="26" t="s">
        <v>23268</v>
      </c>
      <c r="B9177" s="27" t="s">
        <v>23269</v>
      </c>
      <c r="C9177" s="27" t="s">
        <v>144</v>
      </c>
      <c r="D9177" s="26"/>
      <c r="E9177" s="27"/>
      <c r="F9177" s="27"/>
      <c r="G9177" s="27" t="s">
        <v>11122</v>
      </c>
      <c r="H9177" s="27" t="s">
        <v>35</v>
      </c>
      <c r="I9177" s="28" t="s">
        <v>46</v>
      </c>
      <c r="J9177" s="28" t="s">
        <v>913</v>
      </c>
      <c r="K9177" s="27" t="s">
        <v>38</v>
      </c>
      <c r="L9177" s="27"/>
    </row>
    <row r="9178" customFormat="false" ht="15" hidden="false" customHeight="false" outlineLevel="0" collapsed="false">
      <c r="A9178" s="26" t="s">
        <v>23270</v>
      </c>
      <c r="B9178" s="27" t="s">
        <v>23269</v>
      </c>
      <c r="C9178" s="27" t="s">
        <v>144</v>
      </c>
      <c r="D9178" s="26"/>
      <c r="E9178" s="27"/>
      <c r="F9178" s="27"/>
      <c r="G9178" s="27" t="s">
        <v>11122</v>
      </c>
      <c r="H9178" s="27" t="s">
        <v>35</v>
      </c>
      <c r="I9178" s="28" t="s">
        <v>46</v>
      </c>
      <c r="J9178" s="28" t="s">
        <v>913</v>
      </c>
      <c r="K9178" s="27" t="s">
        <v>38</v>
      </c>
      <c r="L9178" s="27"/>
    </row>
    <row r="9179" customFormat="false" ht="15" hidden="false" customHeight="false" outlineLevel="0" collapsed="false">
      <c r="A9179" s="26" t="s">
        <v>23271</v>
      </c>
      <c r="B9179" s="27" t="s">
        <v>23272</v>
      </c>
      <c r="C9179" s="27" t="s">
        <v>144</v>
      </c>
      <c r="D9179" s="26"/>
      <c r="E9179" s="27"/>
      <c r="F9179" s="27"/>
      <c r="G9179" s="27" t="s">
        <v>11122</v>
      </c>
      <c r="H9179" s="27" t="s">
        <v>35</v>
      </c>
      <c r="I9179" s="27" t="s">
        <v>38</v>
      </c>
      <c r="J9179" s="28" t="s">
        <v>913</v>
      </c>
      <c r="K9179" s="27" t="s">
        <v>38</v>
      </c>
      <c r="L9179" s="27"/>
    </row>
    <row r="9180" customFormat="false" ht="15" hidden="false" customHeight="false" outlineLevel="0" collapsed="false">
      <c r="A9180" s="26" t="s">
        <v>23273</v>
      </c>
      <c r="B9180" s="27" t="s">
        <v>23274</v>
      </c>
      <c r="C9180" s="27" t="s">
        <v>144</v>
      </c>
      <c r="D9180" s="26"/>
      <c r="E9180" s="27"/>
      <c r="F9180" s="27"/>
      <c r="G9180" s="27" t="s">
        <v>11122</v>
      </c>
      <c r="H9180" s="27" t="s">
        <v>35</v>
      </c>
      <c r="I9180" s="27" t="s">
        <v>38</v>
      </c>
      <c r="J9180" s="28" t="s">
        <v>913</v>
      </c>
      <c r="K9180" s="27" t="s">
        <v>38</v>
      </c>
      <c r="L9180" s="27"/>
    </row>
    <row r="9181" customFormat="false" ht="15" hidden="false" customHeight="false" outlineLevel="0" collapsed="false">
      <c r="A9181" s="26" t="s">
        <v>23275</v>
      </c>
      <c r="B9181" s="27" t="s">
        <v>23276</v>
      </c>
      <c r="C9181" s="27" t="s">
        <v>144</v>
      </c>
      <c r="D9181" s="26"/>
      <c r="E9181" s="27"/>
      <c r="F9181" s="27"/>
      <c r="G9181" s="27" t="s">
        <v>11122</v>
      </c>
      <c r="H9181" s="27" t="s">
        <v>35</v>
      </c>
      <c r="I9181" s="27" t="s">
        <v>38</v>
      </c>
      <c r="J9181" s="28" t="s">
        <v>913</v>
      </c>
      <c r="K9181" s="27" t="s">
        <v>38</v>
      </c>
      <c r="L9181" s="27"/>
    </row>
    <row r="9182" customFormat="false" ht="15" hidden="false" customHeight="false" outlineLevel="0" collapsed="false">
      <c r="A9182" s="26" t="s">
        <v>23277</v>
      </c>
      <c r="B9182" s="27" t="s">
        <v>23278</v>
      </c>
      <c r="C9182" s="27" t="s">
        <v>144</v>
      </c>
      <c r="D9182" s="26"/>
      <c r="E9182" s="27"/>
      <c r="F9182" s="27"/>
      <c r="G9182" s="27" t="s">
        <v>11122</v>
      </c>
      <c r="H9182" s="27" t="s">
        <v>35</v>
      </c>
      <c r="I9182" s="27" t="s">
        <v>38</v>
      </c>
      <c r="J9182" s="28" t="s">
        <v>913</v>
      </c>
      <c r="K9182" s="27" t="s">
        <v>38</v>
      </c>
      <c r="L9182" s="27"/>
    </row>
    <row r="9183" customFormat="false" ht="15" hidden="false" customHeight="false" outlineLevel="0" collapsed="false">
      <c r="A9183" s="26" t="s">
        <v>23279</v>
      </c>
      <c r="B9183" s="27" t="s">
        <v>23280</v>
      </c>
      <c r="C9183" s="27" t="s">
        <v>144</v>
      </c>
      <c r="D9183" s="26"/>
      <c r="E9183" s="27"/>
      <c r="F9183" s="27"/>
      <c r="G9183" s="27" t="s">
        <v>11122</v>
      </c>
      <c r="H9183" s="27" t="s">
        <v>35</v>
      </c>
      <c r="I9183" s="27" t="s">
        <v>38</v>
      </c>
      <c r="J9183" s="28" t="s">
        <v>913</v>
      </c>
      <c r="K9183" s="27" t="s">
        <v>38</v>
      </c>
      <c r="L9183" s="27"/>
    </row>
    <row r="9184" customFormat="false" ht="15" hidden="false" customHeight="false" outlineLevel="0" collapsed="false">
      <c r="A9184" s="26" t="s">
        <v>23281</v>
      </c>
      <c r="B9184" s="27" t="s">
        <v>23282</v>
      </c>
      <c r="C9184" s="27" t="s">
        <v>144</v>
      </c>
      <c r="D9184" s="26"/>
      <c r="E9184" s="27"/>
      <c r="F9184" s="27"/>
      <c r="G9184" s="27" t="s">
        <v>11122</v>
      </c>
      <c r="H9184" s="27" t="s">
        <v>35</v>
      </c>
      <c r="I9184" s="27" t="s">
        <v>43</v>
      </c>
      <c r="J9184" s="28" t="s">
        <v>913</v>
      </c>
      <c r="K9184" s="27" t="s">
        <v>38</v>
      </c>
      <c r="L9184" s="27"/>
    </row>
    <row r="9185" customFormat="false" ht="15" hidden="false" customHeight="false" outlineLevel="0" collapsed="false">
      <c r="A9185" s="26" t="s">
        <v>23283</v>
      </c>
      <c r="B9185" s="27" t="s">
        <v>23284</v>
      </c>
      <c r="C9185" s="27" t="s">
        <v>144</v>
      </c>
      <c r="D9185" s="26"/>
      <c r="E9185" s="27"/>
      <c r="F9185" s="27"/>
      <c r="G9185" s="27" t="s">
        <v>11122</v>
      </c>
      <c r="H9185" s="27" t="s">
        <v>35</v>
      </c>
      <c r="I9185" s="27" t="s">
        <v>43</v>
      </c>
      <c r="J9185" s="28" t="s">
        <v>913</v>
      </c>
      <c r="K9185" s="27" t="s">
        <v>38</v>
      </c>
      <c r="L9185" s="27"/>
    </row>
    <row r="9186" customFormat="false" ht="15" hidden="false" customHeight="false" outlineLevel="0" collapsed="false">
      <c r="A9186" s="26" t="s">
        <v>23285</v>
      </c>
      <c r="B9186" s="27" t="s">
        <v>23286</v>
      </c>
      <c r="C9186" s="27" t="s">
        <v>144</v>
      </c>
      <c r="D9186" s="26"/>
      <c r="E9186" s="27"/>
      <c r="F9186" s="27"/>
      <c r="G9186" s="27" t="s">
        <v>11122</v>
      </c>
      <c r="H9186" s="27" t="s">
        <v>35</v>
      </c>
      <c r="I9186" s="27" t="s">
        <v>43</v>
      </c>
      <c r="J9186" s="28" t="s">
        <v>913</v>
      </c>
      <c r="K9186" s="27" t="s">
        <v>38</v>
      </c>
      <c r="L9186" s="27"/>
    </row>
    <row r="9187" customFormat="false" ht="15" hidden="false" customHeight="false" outlineLevel="0" collapsed="false">
      <c r="A9187" s="26" t="s">
        <v>23287</v>
      </c>
      <c r="B9187" s="27" t="s">
        <v>23288</v>
      </c>
      <c r="C9187" s="27" t="s">
        <v>144</v>
      </c>
      <c r="D9187" s="26"/>
      <c r="E9187" s="27"/>
      <c r="F9187" s="27"/>
      <c r="G9187" s="27" t="s">
        <v>11122</v>
      </c>
      <c r="H9187" s="27" t="s">
        <v>35</v>
      </c>
      <c r="I9187" s="27" t="s">
        <v>41</v>
      </c>
      <c r="J9187" s="28" t="s">
        <v>913</v>
      </c>
      <c r="K9187" s="27" t="s">
        <v>38</v>
      </c>
      <c r="L9187" s="27"/>
    </row>
    <row r="9188" customFormat="false" ht="15" hidden="false" customHeight="false" outlineLevel="0" collapsed="false">
      <c r="A9188" s="26" t="s">
        <v>23289</v>
      </c>
      <c r="B9188" s="27" t="s">
        <v>23290</v>
      </c>
      <c r="C9188" s="27" t="s">
        <v>144</v>
      </c>
      <c r="D9188" s="26"/>
      <c r="E9188" s="27"/>
      <c r="F9188" s="27"/>
      <c r="G9188" s="27" t="s">
        <v>11122</v>
      </c>
      <c r="H9188" s="27" t="s">
        <v>35</v>
      </c>
      <c r="I9188" s="27" t="s">
        <v>38</v>
      </c>
      <c r="J9188" s="28" t="s">
        <v>913</v>
      </c>
      <c r="K9188" s="27" t="s">
        <v>38</v>
      </c>
      <c r="L9188" s="27"/>
    </row>
    <row r="9189" customFormat="false" ht="15" hidden="false" customHeight="false" outlineLevel="0" collapsed="false">
      <c r="A9189" s="26" t="s">
        <v>23291</v>
      </c>
      <c r="B9189" s="27" t="s">
        <v>23292</v>
      </c>
      <c r="C9189" s="27" t="s">
        <v>144</v>
      </c>
      <c r="D9189" s="26"/>
      <c r="E9189" s="27"/>
      <c r="F9189" s="27"/>
      <c r="G9189" s="27" t="s">
        <v>11122</v>
      </c>
      <c r="H9189" s="27" t="s">
        <v>35</v>
      </c>
      <c r="I9189" s="27" t="s">
        <v>38</v>
      </c>
      <c r="J9189" s="28" t="s">
        <v>913</v>
      </c>
      <c r="K9189" s="27" t="s">
        <v>38</v>
      </c>
      <c r="L9189" s="27"/>
    </row>
    <row r="9190" customFormat="false" ht="15" hidden="false" customHeight="false" outlineLevel="0" collapsed="false">
      <c r="A9190" s="26" t="s">
        <v>23293</v>
      </c>
      <c r="B9190" s="27" t="s">
        <v>23294</v>
      </c>
      <c r="C9190" s="27" t="s">
        <v>144</v>
      </c>
      <c r="D9190" s="26"/>
      <c r="E9190" s="27"/>
      <c r="F9190" s="27"/>
      <c r="G9190" s="27" t="s">
        <v>11122</v>
      </c>
      <c r="H9190" s="27" t="s">
        <v>35</v>
      </c>
      <c r="I9190" s="27" t="s">
        <v>38</v>
      </c>
      <c r="J9190" s="28" t="s">
        <v>913</v>
      </c>
      <c r="K9190" s="27" t="s">
        <v>38</v>
      </c>
      <c r="L9190" s="27"/>
    </row>
    <row r="9191" customFormat="false" ht="15" hidden="false" customHeight="false" outlineLevel="0" collapsed="false">
      <c r="A9191" s="26" t="s">
        <v>23295</v>
      </c>
      <c r="B9191" s="27" t="s">
        <v>23296</v>
      </c>
      <c r="C9191" s="27" t="s">
        <v>144</v>
      </c>
      <c r="D9191" s="26"/>
      <c r="E9191" s="27"/>
      <c r="F9191" s="27"/>
      <c r="G9191" s="27" t="s">
        <v>11122</v>
      </c>
      <c r="H9191" s="27" t="s">
        <v>35</v>
      </c>
      <c r="I9191" s="27" t="s">
        <v>38</v>
      </c>
      <c r="J9191" s="28" t="s">
        <v>913</v>
      </c>
      <c r="K9191" s="27" t="s">
        <v>38</v>
      </c>
      <c r="L9191" s="27"/>
    </row>
    <row r="9192" customFormat="false" ht="15" hidden="false" customHeight="false" outlineLevel="0" collapsed="false">
      <c r="A9192" s="26" t="s">
        <v>23297</v>
      </c>
      <c r="B9192" s="27" t="s">
        <v>23298</v>
      </c>
      <c r="C9192" s="27" t="s">
        <v>144</v>
      </c>
      <c r="D9192" s="26"/>
      <c r="E9192" s="27"/>
      <c r="F9192" s="27"/>
      <c r="G9192" s="27" t="s">
        <v>11122</v>
      </c>
      <c r="H9192" s="27" t="s">
        <v>35</v>
      </c>
      <c r="I9192" s="27" t="s">
        <v>38</v>
      </c>
      <c r="J9192" s="28" t="s">
        <v>913</v>
      </c>
      <c r="K9192" s="27" t="s">
        <v>38</v>
      </c>
      <c r="L9192" s="27"/>
    </row>
    <row r="9193" customFormat="false" ht="15" hidden="false" customHeight="false" outlineLevel="0" collapsed="false">
      <c r="A9193" s="26" t="s">
        <v>23299</v>
      </c>
      <c r="B9193" s="27" t="s">
        <v>23300</v>
      </c>
      <c r="C9193" s="27" t="s">
        <v>144</v>
      </c>
      <c r="D9193" s="26"/>
      <c r="E9193" s="27"/>
      <c r="F9193" s="27"/>
      <c r="G9193" s="27" t="s">
        <v>11122</v>
      </c>
      <c r="H9193" s="27" t="s">
        <v>35</v>
      </c>
      <c r="I9193" s="27" t="s">
        <v>41</v>
      </c>
      <c r="J9193" s="28" t="s">
        <v>913</v>
      </c>
      <c r="K9193" s="27" t="s">
        <v>38</v>
      </c>
      <c r="L9193" s="27"/>
    </row>
    <row r="9194" customFormat="false" ht="15" hidden="false" customHeight="false" outlineLevel="0" collapsed="false">
      <c r="A9194" s="26" t="s">
        <v>23301</v>
      </c>
      <c r="B9194" s="27" t="s">
        <v>23302</v>
      </c>
      <c r="C9194" s="27" t="s">
        <v>144</v>
      </c>
      <c r="D9194" s="26"/>
      <c r="E9194" s="27"/>
      <c r="F9194" s="27"/>
      <c r="G9194" s="27" t="s">
        <v>11122</v>
      </c>
      <c r="H9194" s="27" t="s">
        <v>35</v>
      </c>
      <c r="I9194" s="27" t="s">
        <v>38</v>
      </c>
      <c r="J9194" s="28" t="s">
        <v>913</v>
      </c>
      <c r="K9194" s="27" t="s">
        <v>38</v>
      </c>
      <c r="L9194" s="27"/>
    </row>
    <row r="9195" customFormat="false" ht="15" hidden="false" customHeight="false" outlineLevel="0" collapsed="false">
      <c r="A9195" s="26" t="s">
        <v>23303</v>
      </c>
      <c r="B9195" s="27" t="s">
        <v>23304</v>
      </c>
      <c r="C9195" s="27" t="s">
        <v>144</v>
      </c>
      <c r="D9195" s="26"/>
      <c r="E9195" s="27"/>
      <c r="F9195" s="27"/>
      <c r="G9195" s="27" t="s">
        <v>11122</v>
      </c>
      <c r="H9195" s="27" t="s">
        <v>35</v>
      </c>
      <c r="I9195" s="27" t="s">
        <v>38</v>
      </c>
      <c r="J9195" s="28" t="s">
        <v>913</v>
      </c>
      <c r="K9195" s="27" t="s">
        <v>38</v>
      </c>
      <c r="L9195" s="27"/>
    </row>
    <row r="9196" customFormat="false" ht="15" hidden="false" customHeight="false" outlineLevel="0" collapsed="false">
      <c r="A9196" s="26" t="s">
        <v>23305</v>
      </c>
      <c r="B9196" s="27" t="s">
        <v>23306</v>
      </c>
      <c r="C9196" s="27" t="s">
        <v>144</v>
      </c>
      <c r="D9196" s="26"/>
      <c r="E9196" s="27"/>
      <c r="F9196" s="27"/>
      <c r="G9196" s="27" t="s">
        <v>11122</v>
      </c>
      <c r="H9196" s="27" t="s">
        <v>35</v>
      </c>
      <c r="I9196" s="27" t="s">
        <v>38</v>
      </c>
      <c r="J9196" s="28" t="s">
        <v>913</v>
      </c>
      <c r="K9196" s="27" t="s">
        <v>38</v>
      </c>
      <c r="L9196" s="27"/>
    </row>
    <row r="9197" customFormat="false" ht="15" hidden="false" customHeight="false" outlineLevel="0" collapsed="false">
      <c r="A9197" s="26" t="s">
        <v>23307</v>
      </c>
      <c r="B9197" s="27" t="s">
        <v>23308</v>
      </c>
      <c r="C9197" s="27" t="s">
        <v>144</v>
      </c>
      <c r="D9197" s="26"/>
      <c r="E9197" s="27"/>
      <c r="F9197" s="27"/>
      <c r="G9197" s="27" t="s">
        <v>11122</v>
      </c>
      <c r="H9197" s="27" t="s">
        <v>35</v>
      </c>
      <c r="I9197" s="27" t="s">
        <v>38</v>
      </c>
      <c r="J9197" s="28" t="s">
        <v>913</v>
      </c>
      <c r="K9197" s="27" t="s">
        <v>38</v>
      </c>
      <c r="L9197" s="27"/>
    </row>
    <row r="9198" customFormat="false" ht="15" hidden="false" customHeight="false" outlineLevel="0" collapsed="false">
      <c r="A9198" s="26" t="s">
        <v>23309</v>
      </c>
      <c r="B9198" s="27" t="s">
        <v>23310</v>
      </c>
      <c r="C9198" s="27" t="s">
        <v>144</v>
      </c>
      <c r="D9198" s="26"/>
      <c r="E9198" s="27"/>
      <c r="F9198" s="27"/>
      <c r="G9198" s="27" t="s">
        <v>11122</v>
      </c>
      <c r="H9198" s="27" t="s">
        <v>35</v>
      </c>
      <c r="I9198" s="27" t="s">
        <v>38</v>
      </c>
      <c r="J9198" s="28" t="s">
        <v>913</v>
      </c>
      <c r="K9198" s="27" t="s">
        <v>38</v>
      </c>
      <c r="L9198" s="27"/>
    </row>
    <row r="9199" customFormat="false" ht="15" hidden="false" customHeight="false" outlineLevel="0" collapsed="false">
      <c r="A9199" s="26" t="s">
        <v>23311</v>
      </c>
      <c r="B9199" s="27" t="s">
        <v>23312</v>
      </c>
      <c r="C9199" s="27" t="s">
        <v>144</v>
      </c>
      <c r="D9199" s="26"/>
      <c r="E9199" s="27"/>
      <c r="F9199" s="27"/>
      <c r="G9199" s="27" t="s">
        <v>11122</v>
      </c>
      <c r="H9199" s="27" t="s">
        <v>35</v>
      </c>
      <c r="I9199" s="27" t="s">
        <v>38</v>
      </c>
      <c r="J9199" s="28" t="s">
        <v>913</v>
      </c>
      <c r="K9199" s="27" t="s">
        <v>38</v>
      </c>
      <c r="L9199" s="27"/>
    </row>
    <row r="9200" customFormat="false" ht="15" hidden="false" customHeight="false" outlineLevel="0" collapsed="false">
      <c r="A9200" s="26" t="s">
        <v>23313</v>
      </c>
      <c r="B9200" s="27" t="s">
        <v>23314</v>
      </c>
      <c r="C9200" s="27" t="s">
        <v>144</v>
      </c>
      <c r="D9200" s="26"/>
      <c r="E9200" s="27"/>
      <c r="F9200" s="27"/>
      <c r="G9200" s="27" t="s">
        <v>11122</v>
      </c>
      <c r="H9200" s="27" t="s">
        <v>35</v>
      </c>
      <c r="I9200" s="27" t="s">
        <v>38</v>
      </c>
      <c r="J9200" s="28" t="s">
        <v>913</v>
      </c>
      <c r="K9200" s="27" t="s">
        <v>38</v>
      </c>
      <c r="L9200" s="27"/>
    </row>
    <row r="9201" customFormat="false" ht="15" hidden="false" customHeight="false" outlineLevel="0" collapsed="false">
      <c r="A9201" s="26" t="s">
        <v>23315</v>
      </c>
      <c r="B9201" s="27" t="s">
        <v>23316</v>
      </c>
      <c r="C9201" s="27" t="s">
        <v>144</v>
      </c>
      <c r="D9201" s="26"/>
      <c r="E9201" s="27"/>
      <c r="F9201" s="27"/>
      <c r="G9201" s="27" t="s">
        <v>11122</v>
      </c>
      <c r="H9201" s="27" t="s">
        <v>35</v>
      </c>
      <c r="I9201" s="27" t="s">
        <v>38</v>
      </c>
      <c r="J9201" s="28" t="s">
        <v>913</v>
      </c>
      <c r="K9201" s="27" t="s">
        <v>38</v>
      </c>
      <c r="L9201" s="27"/>
    </row>
    <row r="9202" customFormat="false" ht="15" hidden="false" customHeight="false" outlineLevel="0" collapsed="false">
      <c r="A9202" s="26" t="s">
        <v>23317</v>
      </c>
      <c r="B9202" s="27" t="s">
        <v>23318</v>
      </c>
      <c r="C9202" s="27" t="s">
        <v>144</v>
      </c>
      <c r="D9202" s="26"/>
      <c r="E9202" s="27"/>
      <c r="F9202" s="27"/>
      <c r="G9202" s="27" t="s">
        <v>11122</v>
      </c>
      <c r="H9202" s="27" t="s">
        <v>35</v>
      </c>
      <c r="I9202" s="27" t="s">
        <v>41</v>
      </c>
      <c r="J9202" s="28" t="s">
        <v>913</v>
      </c>
      <c r="K9202" s="27" t="s">
        <v>38</v>
      </c>
      <c r="L9202" s="27"/>
    </row>
    <row r="9203" customFormat="false" ht="15" hidden="false" customHeight="false" outlineLevel="0" collapsed="false">
      <c r="A9203" s="26" t="s">
        <v>23319</v>
      </c>
      <c r="B9203" s="27" t="s">
        <v>23320</v>
      </c>
      <c r="C9203" s="27" t="s">
        <v>144</v>
      </c>
      <c r="D9203" s="26"/>
      <c r="E9203" s="27"/>
      <c r="F9203" s="27"/>
      <c r="G9203" s="27" t="s">
        <v>11122</v>
      </c>
      <c r="H9203" s="27" t="s">
        <v>35</v>
      </c>
      <c r="I9203" s="27" t="s">
        <v>38</v>
      </c>
      <c r="J9203" s="28" t="s">
        <v>913</v>
      </c>
      <c r="K9203" s="27" t="s">
        <v>38</v>
      </c>
      <c r="L9203" s="27"/>
    </row>
    <row r="9204" customFormat="false" ht="15" hidden="false" customHeight="false" outlineLevel="0" collapsed="false">
      <c r="A9204" s="26" t="s">
        <v>23321</v>
      </c>
      <c r="B9204" s="27" t="s">
        <v>23322</v>
      </c>
      <c r="C9204" s="27" t="s">
        <v>144</v>
      </c>
      <c r="D9204" s="26"/>
      <c r="E9204" s="27"/>
      <c r="F9204" s="27"/>
      <c r="G9204" s="27" t="s">
        <v>11122</v>
      </c>
      <c r="H9204" s="27" t="s">
        <v>35</v>
      </c>
      <c r="I9204" s="27" t="s">
        <v>41</v>
      </c>
      <c r="J9204" s="28" t="s">
        <v>913</v>
      </c>
      <c r="K9204" s="27" t="s">
        <v>38</v>
      </c>
      <c r="L9204" s="27"/>
    </row>
    <row r="9205" customFormat="false" ht="15" hidden="false" customHeight="false" outlineLevel="0" collapsed="false">
      <c r="A9205" s="26" t="s">
        <v>23323</v>
      </c>
      <c r="B9205" s="27" t="s">
        <v>23324</v>
      </c>
      <c r="C9205" s="27" t="s">
        <v>144</v>
      </c>
      <c r="D9205" s="26"/>
      <c r="E9205" s="27"/>
      <c r="F9205" s="27"/>
      <c r="G9205" s="27" t="s">
        <v>11122</v>
      </c>
      <c r="H9205" s="27" t="s">
        <v>35</v>
      </c>
      <c r="I9205" s="27" t="s">
        <v>41</v>
      </c>
      <c r="J9205" s="28" t="s">
        <v>913</v>
      </c>
      <c r="K9205" s="27" t="s">
        <v>38</v>
      </c>
      <c r="L9205" s="27"/>
    </row>
    <row r="9206" customFormat="false" ht="15" hidden="false" customHeight="false" outlineLevel="0" collapsed="false">
      <c r="A9206" s="26" t="s">
        <v>23325</v>
      </c>
      <c r="B9206" s="27" t="s">
        <v>23326</v>
      </c>
      <c r="C9206" s="27" t="s">
        <v>144</v>
      </c>
      <c r="D9206" s="26"/>
      <c r="E9206" s="27"/>
      <c r="F9206" s="27"/>
      <c r="G9206" s="27" t="s">
        <v>11122</v>
      </c>
      <c r="H9206" s="27" t="s">
        <v>35</v>
      </c>
      <c r="I9206" s="27" t="s">
        <v>48</v>
      </c>
      <c r="J9206" s="28" t="s">
        <v>913</v>
      </c>
      <c r="K9206" s="27" t="s">
        <v>38</v>
      </c>
      <c r="L9206" s="27"/>
    </row>
    <row r="9207" customFormat="false" ht="15" hidden="false" customHeight="false" outlineLevel="0" collapsed="false">
      <c r="A9207" s="26" t="s">
        <v>23327</v>
      </c>
      <c r="B9207" s="27" t="s">
        <v>23328</v>
      </c>
      <c r="C9207" s="27" t="s">
        <v>144</v>
      </c>
      <c r="D9207" s="26"/>
      <c r="E9207" s="27"/>
      <c r="F9207" s="27"/>
      <c r="G9207" s="27" t="s">
        <v>11122</v>
      </c>
      <c r="H9207" s="27" t="s">
        <v>35</v>
      </c>
      <c r="I9207" s="27" t="s">
        <v>39</v>
      </c>
      <c r="J9207" s="28" t="s">
        <v>913</v>
      </c>
      <c r="K9207" s="27" t="s">
        <v>38</v>
      </c>
      <c r="L9207" s="27"/>
    </row>
    <row r="9208" customFormat="false" ht="15" hidden="false" customHeight="false" outlineLevel="0" collapsed="false">
      <c r="A9208" s="26" t="s">
        <v>23329</v>
      </c>
      <c r="B9208" s="27" t="s">
        <v>23330</v>
      </c>
      <c r="C9208" s="27" t="s">
        <v>144</v>
      </c>
      <c r="D9208" s="26"/>
      <c r="E9208" s="27"/>
      <c r="F9208" s="27"/>
      <c r="G9208" s="27" t="s">
        <v>11122</v>
      </c>
      <c r="H9208" s="27" t="s">
        <v>35</v>
      </c>
      <c r="I9208" s="27" t="s">
        <v>38</v>
      </c>
      <c r="J9208" s="28" t="s">
        <v>913</v>
      </c>
      <c r="K9208" s="27" t="s">
        <v>38</v>
      </c>
      <c r="L9208" s="27"/>
    </row>
    <row r="9209" customFormat="false" ht="15" hidden="false" customHeight="false" outlineLevel="0" collapsed="false">
      <c r="A9209" s="26" t="s">
        <v>23331</v>
      </c>
      <c r="B9209" s="27" t="s">
        <v>23332</v>
      </c>
      <c r="C9209" s="27" t="s">
        <v>144</v>
      </c>
      <c r="D9209" s="26"/>
      <c r="E9209" s="27"/>
      <c r="F9209" s="27"/>
      <c r="G9209" s="27" t="s">
        <v>11122</v>
      </c>
      <c r="H9209" s="27" t="s">
        <v>35</v>
      </c>
      <c r="I9209" s="27" t="s">
        <v>48</v>
      </c>
      <c r="J9209" s="28" t="s">
        <v>913</v>
      </c>
      <c r="K9209" s="27" t="s">
        <v>38</v>
      </c>
      <c r="L9209" s="27"/>
    </row>
    <row r="9210" customFormat="false" ht="15" hidden="false" customHeight="false" outlineLevel="0" collapsed="false">
      <c r="A9210" s="26" t="s">
        <v>23333</v>
      </c>
      <c r="B9210" s="27" t="s">
        <v>23334</v>
      </c>
      <c r="C9210" s="27" t="s">
        <v>144</v>
      </c>
      <c r="D9210" s="26"/>
      <c r="E9210" s="27"/>
      <c r="F9210" s="27"/>
      <c r="G9210" s="27" t="s">
        <v>11122</v>
      </c>
      <c r="H9210" s="27" t="s">
        <v>35</v>
      </c>
      <c r="I9210" s="27" t="s">
        <v>38</v>
      </c>
      <c r="J9210" s="28" t="s">
        <v>913</v>
      </c>
      <c r="K9210" s="27" t="s">
        <v>38</v>
      </c>
      <c r="L9210" s="27"/>
    </row>
    <row r="9211" customFormat="false" ht="15" hidden="false" customHeight="false" outlineLevel="0" collapsed="false">
      <c r="A9211" s="26" t="s">
        <v>23335</v>
      </c>
      <c r="B9211" s="27" t="s">
        <v>23336</v>
      </c>
      <c r="C9211" s="27" t="s">
        <v>144</v>
      </c>
      <c r="D9211" s="26"/>
      <c r="E9211" s="27"/>
      <c r="F9211" s="27"/>
      <c r="G9211" s="27" t="s">
        <v>11122</v>
      </c>
      <c r="H9211" s="27" t="s">
        <v>35</v>
      </c>
      <c r="I9211" s="27" t="s">
        <v>38</v>
      </c>
      <c r="J9211" s="28" t="s">
        <v>913</v>
      </c>
      <c r="K9211" s="27" t="s">
        <v>38</v>
      </c>
      <c r="L9211" s="27"/>
    </row>
    <row r="9212" customFormat="false" ht="15" hidden="false" customHeight="false" outlineLevel="0" collapsed="false">
      <c r="A9212" s="26" t="s">
        <v>23337</v>
      </c>
      <c r="B9212" s="27" t="s">
        <v>23338</v>
      </c>
      <c r="C9212" s="27" t="s">
        <v>144</v>
      </c>
      <c r="D9212" s="26"/>
      <c r="E9212" s="27"/>
      <c r="F9212" s="27"/>
      <c r="G9212" s="27" t="s">
        <v>11122</v>
      </c>
      <c r="H9212" s="27" t="s">
        <v>35</v>
      </c>
      <c r="I9212" s="27" t="s">
        <v>38</v>
      </c>
      <c r="J9212" s="28" t="s">
        <v>913</v>
      </c>
      <c r="K9212" s="27" t="s">
        <v>38</v>
      </c>
      <c r="L9212" s="27"/>
    </row>
    <row r="9213" customFormat="false" ht="15" hidden="false" customHeight="false" outlineLevel="0" collapsed="false">
      <c r="A9213" s="26" t="s">
        <v>23339</v>
      </c>
      <c r="B9213" s="27" t="s">
        <v>23340</v>
      </c>
      <c r="C9213" s="27" t="s">
        <v>144</v>
      </c>
      <c r="D9213" s="26"/>
      <c r="E9213" s="27"/>
      <c r="F9213" s="27"/>
      <c r="G9213" s="27" t="s">
        <v>11122</v>
      </c>
      <c r="H9213" s="27" t="s">
        <v>35</v>
      </c>
      <c r="I9213" s="27" t="s">
        <v>38</v>
      </c>
      <c r="J9213" s="28" t="s">
        <v>913</v>
      </c>
      <c r="K9213" s="27" t="s">
        <v>38</v>
      </c>
      <c r="L9213" s="27"/>
    </row>
    <row r="9214" customFormat="false" ht="15" hidden="false" customHeight="false" outlineLevel="0" collapsed="false">
      <c r="A9214" s="26" t="s">
        <v>23341</v>
      </c>
      <c r="B9214" s="27" t="s">
        <v>23342</v>
      </c>
      <c r="C9214" s="27" t="s">
        <v>144</v>
      </c>
      <c r="D9214" s="26"/>
      <c r="E9214" s="27"/>
      <c r="F9214" s="27"/>
      <c r="G9214" s="27" t="s">
        <v>11122</v>
      </c>
      <c r="H9214" s="27" t="s">
        <v>35</v>
      </c>
      <c r="I9214" s="27" t="s">
        <v>64</v>
      </c>
      <c r="J9214" s="28" t="s">
        <v>913</v>
      </c>
      <c r="K9214" s="27" t="s">
        <v>38</v>
      </c>
      <c r="L9214" s="27"/>
    </row>
    <row r="9215" customFormat="false" ht="15" hidden="false" customHeight="false" outlineLevel="0" collapsed="false">
      <c r="A9215" s="26" t="s">
        <v>23343</v>
      </c>
      <c r="B9215" s="27" t="s">
        <v>23344</v>
      </c>
      <c r="C9215" s="27" t="s">
        <v>144</v>
      </c>
      <c r="D9215" s="26"/>
      <c r="E9215" s="27"/>
      <c r="F9215" s="27"/>
      <c r="G9215" s="27" t="s">
        <v>11122</v>
      </c>
      <c r="H9215" s="27" t="s">
        <v>35</v>
      </c>
      <c r="I9215" s="27" t="s">
        <v>64</v>
      </c>
      <c r="J9215" s="28" t="s">
        <v>913</v>
      </c>
      <c r="K9215" s="27" t="s">
        <v>38</v>
      </c>
      <c r="L9215" s="27"/>
    </row>
    <row r="9216" customFormat="false" ht="15" hidden="false" customHeight="false" outlineLevel="0" collapsed="false">
      <c r="A9216" s="26" t="s">
        <v>23345</v>
      </c>
      <c r="B9216" s="27" t="s">
        <v>23346</v>
      </c>
      <c r="C9216" s="27" t="s">
        <v>144</v>
      </c>
      <c r="D9216" s="26"/>
      <c r="E9216" s="27"/>
      <c r="F9216" s="27"/>
      <c r="G9216" s="27" t="s">
        <v>11122</v>
      </c>
      <c r="H9216" s="27" t="s">
        <v>35</v>
      </c>
      <c r="I9216" s="27" t="s">
        <v>38</v>
      </c>
      <c r="J9216" s="28" t="s">
        <v>913</v>
      </c>
      <c r="K9216" s="27" t="s">
        <v>38</v>
      </c>
      <c r="L9216" s="27"/>
    </row>
    <row r="9217" customFormat="false" ht="15" hidden="false" customHeight="false" outlineLevel="0" collapsed="false">
      <c r="A9217" s="26" t="s">
        <v>23347</v>
      </c>
      <c r="B9217" s="27" t="s">
        <v>23348</v>
      </c>
      <c r="C9217" s="27" t="s">
        <v>144</v>
      </c>
      <c r="D9217" s="26"/>
      <c r="E9217" s="27"/>
      <c r="F9217" s="27"/>
      <c r="G9217" s="27" t="s">
        <v>11122</v>
      </c>
      <c r="H9217" s="27" t="s">
        <v>35</v>
      </c>
      <c r="I9217" s="27" t="s">
        <v>37</v>
      </c>
      <c r="J9217" s="28" t="s">
        <v>913</v>
      </c>
      <c r="K9217" s="27" t="s">
        <v>38</v>
      </c>
      <c r="L9217" s="27"/>
    </row>
    <row r="9218" customFormat="false" ht="15" hidden="false" customHeight="false" outlineLevel="0" collapsed="false">
      <c r="A9218" s="26" t="s">
        <v>23349</v>
      </c>
      <c r="B9218" s="27" t="s">
        <v>23350</v>
      </c>
      <c r="C9218" s="27" t="s">
        <v>144</v>
      </c>
      <c r="D9218" s="26"/>
      <c r="E9218" s="27"/>
      <c r="F9218" s="27"/>
      <c r="G9218" s="27" t="s">
        <v>11122</v>
      </c>
      <c r="H9218" s="27" t="s">
        <v>35</v>
      </c>
      <c r="I9218" s="27" t="s">
        <v>38</v>
      </c>
      <c r="J9218" s="28" t="s">
        <v>913</v>
      </c>
      <c r="K9218" s="27" t="s">
        <v>38</v>
      </c>
      <c r="L9218" s="27"/>
    </row>
    <row r="9219" customFormat="false" ht="15" hidden="false" customHeight="false" outlineLevel="0" collapsed="false">
      <c r="A9219" s="26" t="s">
        <v>23351</v>
      </c>
      <c r="B9219" s="27" t="s">
        <v>23352</v>
      </c>
      <c r="C9219" s="27" t="s">
        <v>144</v>
      </c>
      <c r="D9219" s="26"/>
      <c r="E9219" s="27"/>
      <c r="F9219" s="27"/>
      <c r="G9219" s="27" t="s">
        <v>11122</v>
      </c>
      <c r="H9219" s="27" t="s">
        <v>35</v>
      </c>
      <c r="I9219" s="27" t="s">
        <v>38</v>
      </c>
      <c r="J9219" s="28" t="s">
        <v>913</v>
      </c>
      <c r="K9219" s="27" t="s">
        <v>38</v>
      </c>
      <c r="L9219" s="27"/>
    </row>
    <row r="9220" customFormat="false" ht="15" hidden="false" customHeight="false" outlineLevel="0" collapsed="false">
      <c r="A9220" s="26" t="s">
        <v>23353</v>
      </c>
      <c r="B9220" s="27" t="s">
        <v>23354</v>
      </c>
      <c r="C9220" s="27" t="s">
        <v>144</v>
      </c>
      <c r="D9220" s="26"/>
      <c r="E9220" s="27"/>
      <c r="F9220" s="27"/>
      <c r="G9220" s="27" t="s">
        <v>11122</v>
      </c>
      <c r="H9220" s="27" t="s">
        <v>35</v>
      </c>
      <c r="I9220" s="27" t="s">
        <v>38</v>
      </c>
      <c r="J9220" s="28" t="s">
        <v>913</v>
      </c>
      <c r="K9220" s="27" t="s">
        <v>38</v>
      </c>
      <c r="L9220" s="27"/>
    </row>
    <row r="9221" customFormat="false" ht="15" hidden="false" customHeight="false" outlineLevel="0" collapsed="false">
      <c r="A9221" s="26" t="s">
        <v>23355</v>
      </c>
      <c r="B9221" s="27" t="s">
        <v>23356</v>
      </c>
      <c r="C9221" s="27" t="s">
        <v>144</v>
      </c>
      <c r="D9221" s="26"/>
      <c r="E9221" s="27"/>
      <c r="F9221" s="27"/>
      <c r="G9221" s="27" t="s">
        <v>11122</v>
      </c>
      <c r="H9221" s="27" t="s">
        <v>35</v>
      </c>
      <c r="I9221" s="27" t="s">
        <v>38</v>
      </c>
      <c r="J9221" s="28" t="s">
        <v>913</v>
      </c>
      <c r="K9221" s="27" t="s">
        <v>38</v>
      </c>
      <c r="L9221" s="27"/>
    </row>
    <row r="9222" customFormat="false" ht="15" hidden="false" customHeight="false" outlineLevel="0" collapsed="false">
      <c r="A9222" s="26" t="s">
        <v>23357</v>
      </c>
      <c r="B9222" s="27" t="s">
        <v>23358</v>
      </c>
      <c r="C9222" s="27" t="s">
        <v>144</v>
      </c>
      <c r="D9222" s="26"/>
      <c r="E9222" s="27"/>
      <c r="F9222" s="27"/>
      <c r="G9222" s="27" t="s">
        <v>11122</v>
      </c>
      <c r="H9222" s="27" t="s">
        <v>35</v>
      </c>
      <c r="I9222" s="27" t="s">
        <v>38</v>
      </c>
      <c r="J9222" s="28" t="s">
        <v>913</v>
      </c>
      <c r="K9222" s="27" t="s">
        <v>38</v>
      </c>
      <c r="L9222" s="27"/>
    </row>
    <row r="9223" customFormat="false" ht="15" hidden="false" customHeight="false" outlineLevel="0" collapsed="false">
      <c r="A9223" s="26" t="s">
        <v>23359</v>
      </c>
      <c r="B9223" s="27" t="s">
        <v>23360</v>
      </c>
      <c r="C9223" s="27" t="s">
        <v>144</v>
      </c>
      <c r="D9223" s="26"/>
      <c r="E9223" s="27"/>
      <c r="F9223" s="27"/>
      <c r="G9223" s="27" t="s">
        <v>11122</v>
      </c>
      <c r="H9223" s="27" t="s">
        <v>35</v>
      </c>
      <c r="I9223" s="27" t="s">
        <v>38</v>
      </c>
      <c r="J9223" s="28" t="s">
        <v>913</v>
      </c>
      <c r="K9223" s="27" t="s">
        <v>38</v>
      </c>
      <c r="L9223" s="27"/>
    </row>
    <row r="9224" customFormat="false" ht="15" hidden="false" customHeight="false" outlineLevel="0" collapsed="false">
      <c r="A9224" s="26" t="s">
        <v>23361</v>
      </c>
      <c r="B9224" s="27" t="s">
        <v>23362</v>
      </c>
      <c r="C9224" s="27" t="s">
        <v>144</v>
      </c>
      <c r="D9224" s="26"/>
      <c r="E9224" s="27"/>
      <c r="F9224" s="27"/>
      <c r="G9224" s="27" t="s">
        <v>11122</v>
      </c>
      <c r="H9224" s="27" t="s">
        <v>35</v>
      </c>
      <c r="I9224" s="27" t="s">
        <v>38</v>
      </c>
      <c r="J9224" s="28" t="s">
        <v>913</v>
      </c>
      <c r="K9224" s="27" t="s">
        <v>38</v>
      </c>
      <c r="L9224" s="27"/>
    </row>
    <row r="9225" customFormat="false" ht="15" hidden="false" customHeight="false" outlineLevel="0" collapsed="false">
      <c r="A9225" s="26" t="s">
        <v>23363</v>
      </c>
      <c r="B9225" s="27" t="s">
        <v>23364</v>
      </c>
      <c r="C9225" s="27" t="s">
        <v>144</v>
      </c>
      <c r="D9225" s="26"/>
      <c r="E9225" s="27"/>
      <c r="F9225" s="27"/>
      <c r="G9225" s="27" t="s">
        <v>11122</v>
      </c>
      <c r="H9225" s="27" t="s">
        <v>35</v>
      </c>
      <c r="I9225" s="27" t="s">
        <v>38</v>
      </c>
      <c r="J9225" s="28" t="s">
        <v>913</v>
      </c>
      <c r="K9225" s="27" t="s">
        <v>38</v>
      </c>
      <c r="L9225" s="27"/>
    </row>
    <row r="9226" customFormat="false" ht="15" hidden="false" customHeight="false" outlineLevel="0" collapsed="false">
      <c r="A9226" s="26" t="s">
        <v>23365</v>
      </c>
      <c r="B9226" s="27" t="s">
        <v>23366</v>
      </c>
      <c r="C9226" s="27" t="s">
        <v>144</v>
      </c>
      <c r="D9226" s="26"/>
      <c r="E9226" s="27"/>
      <c r="F9226" s="27"/>
      <c r="G9226" s="27" t="s">
        <v>11122</v>
      </c>
      <c r="H9226" s="27" t="s">
        <v>35</v>
      </c>
      <c r="I9226" s="27" t="s">
        <v>38</v>
      </c>
      <c r="J9226" s="28" t="s">
        <v>913</v>
      </c>
      <c r="K9226" s="27" t="s">
        <v>38</v>
      </c>
      <c r="L9226" s="27"/>
    </row>
    <row r="9227" customFormat="false" ht="15" hidden="false" customHeight="false" outlineLevel="0" collapsed="false">
      <c r="A9227" s="26" t="s">
        <v>23367</v>
      </c>
      <c r="B9227" s="27" t="s">
        <v>23368</v>
      </c>
      <c r="C9227" s="27" t="s">
        <v>144</v>
      </c>
      <c r="D9227" s="26"/>
      <c r="E9227" s="27"/>
      <c r="F9227" s="27"/>
      <c r="G9227" s="27" t="s">
        <v>11122</v>
      </c>
      <c r="H9227" s="27" t="s">
        <v>35</v>
      </c>
      <c r="I9227" s="27" t="s">
        <v>38</v>
      </c>
      <c r="J9227" s="28" t="s">
        <v>913</v>
      </c>
      <c r="K9227" s="27" t="s">
        <v>38</v>
      </c>
      <c r="L9227" s="27"/>
    </row>
    <row r="9228" customFormat="false" ht="15" hidden="false" customHeight="false" outlineLevel="0" collapsed="false">
      <c r="A9228" s="26" t="s">
        <v>23369</v>
      </c>
      <c r="B9228" s="27" t="s">
        <v>23370</v>
      </c>
      <c r="C9228" s="27" t="s">
        <v>144</v>
      </c>
      <c r="D9228" s="26"/>
      <c r="E9228" s="27"/>
      <c r="F9228" s="27"/>
      <c r="G9228" s="27" t="s">
        <v>11122</v>
      </c>
      <c r="H9228" s="27" t="s">
        <v>35</v>
      </c>
      <c r="I9228" s="27" t="s">
        <v>41</v>
      </c>
      <c r="J9228" s="28" t="s">
        <v>913</v>
      </c>
      <c r="K9228" s="27" t="s">
        <v>38</v>
      </c>
      <c r="L9228" s="27"/>
    </row>
    <row r="9229" customFormat="false" ht="15" hidden="false" customHeight="false" outlineLevel="0" collapsed="false">
      <c r="A9229" s="26" t="s">
        <v>23371</v>
      </c>
      <c r="B9229" s="27" t="s">
        <v>23372</v>
      </c>
      <c r="C9229" s="27" t="s">
        <v>144</v>
      </c>
      <c r="D9229" s="26"/>
      <c r="E9229" s="27"/>
      <c r="F9229" s="27"/>
      <c r="G9229" s="27" t="s">
        <v>11122</v>
      </c>
      <c r="H9229" s="27" t="s">
        <v>35</v>
      </c>
      <c r="I9229" s="27" t="s">
        <v>38</v>
      </c>
      <c r="J9229" s="28" t="s">
        <v>913</v>
      </c>
      <c r="K9229" s="27" t="s">
        <v>38</v>
      </c>
      <c r="L9229" s="27"/>
    </row>
    <row r="9230" customFormat="false" ht="15" hidden="false" customHeight="false" outlineLevel="0" collapsed="false">
      <c r="A9230" s="26" t="s">
        <v>23373</v>
      </c>
      <c r="B9230" s="27" t="s">
        <v>23374</v>
      </c>
      <c r="C9230" s="27" t="s">
        <v>144</v>
      </c>
      <c r="D9230" s="26"/>
      <c r="E9230" s="27"/>
      <c r="F9230" s="27"/>
      <c r="G9230" s="27" t="s">
        <v>11122</v>
      </c>
      <c r="H9230" s="27" t="s">
        <v>35</v>
      </c>
      <c r="I9230" s="27" t="s">
        <v>38</v>
      </c>
      <c r="J9230" s="28" t="s">
        <v>913</v>
      </c>
      <c r="K9230" s="27" t="s">
        <v>38</v>
      </c>
      <c r="L9230" s="27"/>
    </row>
    <row r="9231" customFormat="false" ht="15" hidden="false" customHeight="false" outlineLevel="0" collapsed="false">
      <c r="A9231" s="26" t="s">
        <v>23375</v>
      </c>
      <c r="B9231" s="27" t="s">
        <v>23376</v>
      </c>
      <c r="C9231" s="27" t="s">
        <v>144</v>
      </c>
      <c r="D9231" s="26"/>
      <c r="E9231" s="27"/>
      <c r="F9231" s="27"/>
      <c r="G9231" s="27" t="s">
        <v>11122</v>
      </c>
      <c r="H9231" s="27" t="s">
        <v>35</v>
      </c>
      <c r="I9231" s="27" t="s">
        <v>38</v>
      </c>
      <c r="J9231" s="28" t="s">
        <v>913</v>
      </c>
      <c r="K9231" s="27" t="s">
        <v>38</v>
      </c>
      <c r="L9231" s="27"/>
    </row>
    <row r="9232" customFormat="false" ht="15" hidden="false" customHeight="false" outlineLevel="0" collapsed="false">
      <c r="A9232" s="26" t="s">
        <v>23377</v>
      </c>
      <c r="B9232" s="27" t="s">
        <v>23378</v>
      </c>
      <c r="C9232" s="27" t="s">
        <v>144</v>
      </c>
      <c r="D9232" s="26"/>
      <c r="E9232" s="27"/>
      <c r="F9232" s="27"/>
      <c r="G9232" s="27" t="s">
        <v>11122</v>
      </c>
      <c r="H9232" s="27" t="s">
        <v>35</v>
      </c>
      <c r="I9232" s="27" t="s">
        <v>43</v>
      </c>
      <c r="J9232" s="28" t="s">
        <v>913</v>
      </c>
      <c r="K9232" s="27" t="s">
        <v>38</v>
      </c>
      <c r="L9232" s="27"/>
    </row>
    <row r="9233" customFormat="false" ht="15" hidden="false" customHeight="false" outlineLevel="0" collapsed="false">
      <c r="A9233" s="26" t="s">
        <v>23379</v>
      </c>
      <c r="B9233" s="27" t="s">
        <v>23380</v>
      </c>
      <c r="C9233" s="27" t="s">
        <v>144</v>
      </c>
      <c r="D9233" s="26"/>
      <c r="E9233" s="27"/>
      <c r="F9233" s="27"/>
      <c r="G9233" s="27" t="s">
        <v>11122</v>
      </c>
      <c r="H9233" s="27" t="s">
        <v>35</v>
      </c>
      <c r="I9233" s="27" t="s">
        <v>43</v>
      </c>
      <c r="J9233" s="28" t="s">
        <v>913</v>
      </c>
      <c r="K9233" s="27" t="s">
        <v>38</v>
      </c>
      <c r="L9233" s="27"/>
    </row>
    <row r="9234" customFormat="false" ht="15" hidden="false" customHeight="false" outlineLevel="0" collapsed="false">
      <c r="A9234" s="26" t="s">
        <v>23381</v>
      </c>
      <c r="B9234" s="27" t="s">
        <v>23382</v>
      </c>
      <c r="C9234" s="27" t="s">
        <v>144</v>
      </c>
      <c r="D9234" s="26"/>
      <c r="E9234" s="27"/>
      <c r="F9234" s="27"/>
      <c r="G9234" s="27" t="s">
        <v>11122</v>
      </c>
      <c r="H9234" s="27" t="s">
        <v>35</v>
      </c>
      <c r="I9234" s="27" t="s">
        <v>38</v>
      </c>
      <c r="J9234" s="28" t="s">
        <v>913</v>
      </c>
      <c r="K9234" s="27" t="s">
        <v>38</v>
      </c>
      <c r="L9234" s="27"/>
    </row>
    <row r="9235" customFormat="false" ht="15" hidden="false" customHeight="false" outlineLevel="0" collapsed="false">
      <c r="A9235" s="26" t="s">
        <v>23383</v>
      </c>
      <c r="B9235" s="27" t="s">
        <v>23384</v>
      </c>
      <c r="C9235" s="27" t="s">
        <v>144</v>
      </c>
      <c r="D9235" s="26"/>
      <c r="E9235" s="27"/>
      <c r="F9235" s="27"/>
      <c r="G9235" s="27" t="s">
        <v>11122</v>
      </c>
      <c r="H9235" s="27" t="s">
        <v>35</v>
      </c>
      <c r="I9235" s="27" t="s">
        <v>38</v>
      </c>
      <c r="J9235" s="28" t="s">
        <v>913</v>
      </c>
      <c r="K9235" s="27" t="s">
        <v>38</v>
      </c>
      <c r="L9235" s="27"/>
    </row>
    <row r="9236" customFormat="false" ht="15" hidden="false" customHeight="false" outlineLevel="0" collapsed="false">
      <c r="A9236" s="26" t="s">
        <v>23385</v>
      </c>
      <c r="B9236" s="27" t="s">
        <v>23386</v>
      </c>
      <c r="C9236" s="27" t="s">
        <v>144</v>
      </c>
      <c r="D9236" s="26"/>
      <c r="E9236" s="27"/>
      <c r="F9236" s="27"/>
      <c r="G9236" s="27" t="s">
        <v>11122</v>
      </c>
      <c r="H9236" s="27" t="s">
        <v>35</v>
      </c>
      <c r="I9236" s="27" t="s">
        <v>38</v>
      </c>
      <c r="J9236" s="28" t="s">
        <v>913</v>
      </c>
      <c r="K9236" s="27" t="s">
        <v>38</v>
      </c>
      <c r="L9236" s="27"/>
    </row>
    <row r="9237" customFormat="false" ht="15" hidden="false" customHeight="false" outlineLevel="0" collapsed="false">
      <c r="A9237" s="26" t="s">
        <v>23387</v>
      </c>
      <c r="B9237" s="27" t="s">
        <v>23388</v>
      </c>
      <c r="C9237" s="27" t="s">
        <v>144</v>
      </c>
      <c r="D9237" s="26"/>
      <c r="E9237" s="27"/>
      <c r="F9237" s="27"/>
      <c r="G9237" s="27" t="s">
        <v>11122</v>
      </c>
      <c r="H9237" s="27" t="s">
        <v>35</v>
      </c>
      <c r="I9237" s="27" t="s">
        <v>38</v>
      </c>
      <c r="J9237" s="28" t="s">
        <v>913</v>
      </c>
      <c r="K9237" s="27" t="s">
        <v>38</v>
      </c>
      <c r="L9237" s="27"/>
    </row>
    <row r="9238" customFormat="false" ht="15" hidden="false" customHeight="false" outlineLevel="0" collapsed="false">
      <c r="A9238" s="26" t="s">
        <v>23389</v>
      </c>
      <c r="B9238" s="27" t="s">
        <v>23390</v>
      </c>
      <c r="C9238" s="27" t="s">
        <v>144</v>
      </c>
      <c r="D9238" s="26"/>
      <c r="E9238" s="27"/>
      <c r="F9238" s="27"/>
      <c r="G9238" s="27" t="s">
        <v>11122</v>
      </c>
      <c r="H9238" s="27" t="s">
        <v>35</v>
      </c>
      <c r="I9238" s="27" t="s">
        <v>38</v>
      </c>
      <c r="J9238" s="28" t="s">
        <v>913</v>
      </c>
      <c r="K9238" s="27" t="s">
        <v>38</v>
      </c>
      <c r="L9238" s="27"/>
    </row>
    <row r="9239" customFormat="false" ht="15" hidden="false" customHeight="false" outlineLevel="0" collapsed="false">
      <c r="A9239" s="26" t="s">
        <v>23391</v>
      </c>
      <c r="B9239" s="27" t="s">
        <v>23392</v>
      </c>
      <c r="C9239" s="27" t="s">
        <v>144</v>
      </c>
      <c r="D9239" s="26"/>
      <c r="E9239" s="27"/>
      <c r="F9239" s="27"/>
      <c r="G9239" s="27" t="s">
        <v>11122</v>
      </c>
      <c r="H9239" s="27" t="s">
        <v>35</v>
      </c>
      <c r="I9239" s="27" t="s">
        <v>38</v>
      </c>
      <c r="J9239" s="28" t="s">
        <v>913</v>
      </c>
      <c r="K9239" s="27" t="s">
        <v>38</v>
      </c>
      <c r="L9239" s="27"/>
    </row>
    <row r="9240" customFormat="false" ht="15" hidden="false" customHeight="false" outlineLevel="0" collapsed="false">
      <c r="A9240" s="26" t="s">
        <v>23393</v>
      </c>
      <c r="B9240" s="27" t="s">
        <v>23394</v>
      </c>
      <c r="C9240" s="27" t="s">
        <v>144</v>
      </c>
      <c r="D9240" s="26"/>
      <c r="E9240" s="27"/>
      <c r="F9240" s="27"/>
      <c r="G9240" s="27" t="s">
        <v>11122</v>
      </c>
      <c r="H9240" s="27" t="s">
        <v>35</v>
      </c>
      <c r="I9240" s="27" t="s">
        <v>38</v>
      </c>
      <c r="J9240" s="28" t="s">
        <v>913</v>
      </c>
      <c r="K9240" s="27" t="s">
        <v>38</v>
      </c>
      <c r="L9240" s="27"/>
    </row>
    <row r="9241" customFormat="false" ht="15" hidden="false" customHeight="false" outlineLevel="0" collapsed="false">
      <c r="A9241" s="26" t="s">
        <v>23395</v>
      </c>
      <c r="B9241" s="27" t="s">
        <v>23396</v>
      </c>
      <c r="C9241" s="27" t="s">
        <v>144</v>
      </c>
      <c r="D9241" s="26"/>
      <c r="E9241" s="27"/>
      <c r="F9241" s="27"/>
      <c r="G9241" s="27" t="s">
        <v>11122</v>
      </c>
      <c r="H9241" s="27" t="s">
        <v>35</v>
      </c>
      <c r="I9241" s="27" t="s">
        <v>38</v>
      </c>
      <c r="J9241" s="28" t="s">
        <v>913</v>
      </c>
      <c r="K9241" s="27" t="s">
        <v>38</v>
      </c>
      <c r="L9241" s="27"/>
    </row>
    <row r="9242" customFormat="false" ht="15" hidden="false" customHeight="false" outlineLevel="0" collapsed="false">
      <c r="A9242" s="26" t="s">
        <v>23397</v>
      </c>
      <c r="B9242" s="27" t="s">
        <v>23398</v>
      </c>
      <c r="C9242" s="27" t="s">
        <v>144</v>
      </c>
      <c r="D9242" s="26"/>
      <c r="E9242" s="27"/>
      <c r="F9242" s="27"/>
      <c r="G9242" s="27" t="s">
        <v>11122</v>
      </c>
      <c r="H9242" s="27" t="s">
        <v>35</v>
      </c>
      <c r="I9242" s="27" t="s">
        <v>38</v>
      </c>
      <c r="J9242" s="28" t="s">
        <v>913</v>
      </c>
      <c r="K9242" s="27" t="s">
        <v>38</v>
      </c>
      <c r="L9242" s="27"/>
    </row>
    <row r="9243" customFormat="false" ht="15" hidden="false" customHeight="false" outlineLevel="0" collapsed="false">
      <c r="A9243" s="26" t="s">
        <v>23399</v>
      </c>
      <c r="B9243" s="27" t="s">
        <v>23400</v>
      </c>
      <c r="C9243" s="27" t="s">
        <v>144</v>
      </c>
      <c r="D9243" s="26"/>
      <c r="E9243" s="27"/>
      <c r="F9243" s="27"/>
      <c r="G9243" s="27" t="s">
        <v>11122</v>
      </c>
      <c r="H9243" s="27" t="s">
        <v>35</v>
      </c>
      <c r="I9243" s="27" t="s">
        <v>38</v>
      </c>
      <c r="J9243" s="28" t="s">
        <v>913</v>
      </c>
      <c r="K9243" s="27" t="s">
        <v>38</v>
      </c>
      <c r="L9243" s="27"/>
    </row>
    <row r="9244" customFormat="false" ht="15" hidden="false" customHeight="false" outlineLevel="0" collapsed="false">
      <c r="A9244" s="26" t="s">
        <v>23401</v>
      </c>
      <c r="B9244" s="27" t="s">
        <v>23402</v>
      </c>
      <c r="C9244" s="27" t="s">
        <v>144</v>
      </c>
      <c r="D9244" s="26"/>
      <c r="E9244" s="27"/>
      <c r="F9244" s="27"/>
      <c r="G9244" s="27" t="s">
        <v>11122</v>
      </c>
      <c r="H9244" s="27" t="s">
        <v>35</v>
      </c>
      <c r="I9244" s="27" t="s">
        <v>38</v>
      </c>
      <c r="J9244" s="28" t="s">
        <v>913</v>
      </c>
      <c r="K9244" s="27" t="s">
        <v>38</v>
      </c>
      <c r="L9244" s="27"/>
    </row>
    <row r="9245" customFormat="false" ht="15" hidden="false" customHeight="false" outlineLevel="0" collapsed="false">
      <c r="A9245" s="26" t="s">
        <v>23403</v>
      </c>
      <c r="B9245" s="27" t="s">
        <v>23404</v>
      </c>
      <c r="C9245" s="27" t="s">
        <v>144</v>
      </c>
      <c r="D9245" s="26"/>
      <c r="E9245" s="27"/>
      <c r="F9245" s="27"/>
      <c r="G9245" s="27" t="s">
        <v>11122</v>
      </c>
      <c r="H9245" s="27" t="s">
        <v>35</v>
      </c>
      <c r="I9245" s="27" t="s">
        <v>38</v>
      </c>
      <c r="J9245" s="28" t="s">
        <v>913</v>
      </c>
      <c r="K9245" s="27" t="s">
        <v>38</v>
      </c>
      <c r="L9245" s="27"/>
    </row>
    <row r="9246" customFormat="false" ht="15" hidden="false" customHeight="false" outlineLevel="0" collapsed="false">
      <c r="A9246" s="26" t="s">
        <v>23405</v>
      </c>
      <c r="B9246" s="27" t="s">
        <v>23406</v>
      </c>
      <c r="C9246" s="27" t="s">
        <v>144</v>
      </c>
      <c r="D9246" s="26"/>
      <c r="E9246" s="27"/>
      <c r="F9246" s="27"/>
      <c r="G9246" s="27" t="s">
        <v>11122</v>
      </c>
      <c r="H9246" s="27" t="s">
        <v>35</v>
      </c>
      <c r="I9246" s="27" t="s">
        <v>38</v>
      </c>
      <c r="J9246" s="28" t="s">
        <v>913</v>
      </c>
      <c r="K9246" s="27" t="s">
        <v>38</v>
      </c>
      <c r="L9246" s="27"/>
    </row>
    <row r="9247" customFormat="false" ht="15" hidden="false" customHeight="false" outlineLevel="0" collapsed="false">
      <c r="A9247" s="26" t="s">
        <v>23407</v>
      </c>
      <c r="B9247" s="27" t="s">
        <v>23408</v>
      </c>
      <c r="C9247" s="27" t="s">
        <v>144</v>
      </c>
      <c r="D9247" s="26"/>
      <c r="E9247" s="27"/>
      <c r="F9247" s="27"/>
      <c r="G9247" s="27" t="s">
        <v>11122</v>
      </c>
      <c r="H9247" s="27" t="s">
        <v>35</v>
      </c>
      <c r="I9247" s="27" t="s">
        <v>38</v>
      </c>
      <c r="J9247" s="28" t="s">
        <v>913</v>
      </c>
      <c r="K9247" s="27" t="s">
        <v>38</v>
      </c>
      <c r="L9247" s="27"/>
    </row>
    <row r="9248" customFormat="false" ht="15" hidden="false" customHeight="false" outlineLevel="0" collapsed="false">
      <c r="A9248" s="26" t="s">
        <v>23409</v>
      </c>
      <c r="B9248" s="27" t="s">
        <v>23410</v>
      </c>
      <c r="C9248" s="27" t="s">
        <v>144</v>
      </c>
      <c r="D9248" s="26"/>
      <c r="E9248" s="27"/>
      <c r="F9248" s="27"/>
      <c r="G9248" s="27" t="s">
        <v>11122</v>
      </c>
      <c r="H9248" s="27" t="s">
        <v>35</v>
      </c>
      <c r="I9248" s="27" t="s">
        <v>38</v>
      </c>
      <c r="J9248" s="28" t="s">
        <v>913</v>
      </c>
      <c r="K9248" s="27" t="s">
        <v>38</v>
      </c>
      <c r="L9248" s="27"/>
    </row>
    <row r="9249" customFormat="false" ht="15" hidden="false" customHeight="false" outlineLevel="0" collapsed="false">
      <c r="A9249" s="26" t="s">
        <v>23411</v>
      </c>
      <c r="B9249" s="27" t="s">
        <v>23412</v>
      </c>
      <c r="C9249" s="27" t="s">
        <v>144</v>
      </c>
      <c r="D9249" s="26"/>
      <c r="E9249" s="27"/>
      <c r="F9249" s="27"/>
      <c r="G9249" s="27" t="s">
        <v>11122</v>
      </c>
      <c r="H9249" s="27" t="s">
        <v>35</v>
      </c>
      <c r="I9249" s="27" t="s">
        <v>38</v>
      </c>
      <c r="J9249" s="28" t="s">
        <v>913</v>
      </c>
      <c r="K9249" s="27" t="s">
        <v>38</v>
      </c>
      <c r="L9249" s="27"/>
    </row>
    <row r="9250" customFormat="false" ht="15" hidden="false" customHeight="false" outlineLevel="0" collapsed="false">
      <c r="A9250" s="26" t="s">
        <v>23413</v>
      </c>
      <c r="B9250" s="27" t="s">
        <v>23414</v>
      </c>
      <c r="C9250" s="27" t="s">
        <v>144</v>
      </c>
      <c r="D9250" s="26"/>
      <c r="E9250" s="27"/>
      <c r="F9250" s="27"/>
      <c r="G9250" s="27" t="s">
        <v>11122</v>
      </c>
      <c r="H9250" s="27" t="s">
        <v>35</v>
      </c>
      <c r="I9250" s="27" t="s">
        <v>38</v>
      </c>
      <c r="J9250" s="28" t="s">
        <v>913</v>
      </c>
      <c r="K9250" s="27" t="s">
        <v>38</v>
      </c>
      <c r="L9250" s="27"/>
    </row>
    <row r="9251" customFormat="false" ht="15" hidden="false" customHeight="false" outlineLevel="0" collapsed="false">
      <c r="A9251" s="26" t="s">
        <v>23415</v>
      </c>
      <c r="B9251" s="27" t="s">
        <v>23416</v>
      </c>
      <c r="C9251" s="27" t="s">
        <v>144</v>
      </c>
      <c r="D9251" s="26"/>
      <c r="E9251" s="27"/>
      <c r="F9251" s="27"/>
      <c r="G9251" s="27" t="s">
        <v>11122</v>
      </c>
      <c r="H9251" s="27" t="s">
        <v>35</v>
      </c>
      <c r="I9251" s="27" t="s">
        <v>41</v>
      </c>
      <c r="J9251" s="28" t="s">
        <v>913</v>
      </c>
      <c r="K9251" s="27" t="s">
        <v>38</v>
      </c>
      <c r="L9251" s="27"/>
    </row>
    <row r="9252" customFormat="false" ht="15" hidden="false" customHeight="false" outlineLevel="0" collapsed="false">
      <c r="A9252" s="26" t="s">
        <v>23417</v>
      </c>
      <c r="B9252" s="27" t="s">
        <v>23418</v>
      </c>
      <c r="C9252" s="27" t="s">
        <v>144</v>
      </c>
      <c r="D9252" s="26"/>
      <c r="E9252" s="27"/>
      <c r="F9252" s="27"/>
      <c r="G9252" s="27" t="s">
        <v>11122</v>
      </c>
      <c r="H9252" s="27" t="s">
        <v>35</v>
      </c>
      <c r="I9252" s="27" t="s">
        <v>64</v>
      </c>
      <c r="J9252" s="28" t="s">
        <v>913</v>
      </c>
      <c r="K9252" s="27" t="s">
        <v>38</v>
      </c>
      <c r="L9252" s="27"/>
    </row>
    <row r="9253" customFormat="false" ht="15" hidden="false" customHeight="false" outlineLevel="0" collapsed="false">
      <c r="A9253" s="26" t="s">
        <v>23419</v>
      </c>
      <c r="B9253" s="27" t="s">
        <v>23420</v>
      </c>
      <c r="C9253" s="27" t="s">
        <v>144</v>
      </c>
      <c r="D9253" s="26"/>
      <c r="E9253" s="27"/>
      <c r="F9253" s="27"/>
      <c r="G9253" s="27" t="s">
        <v>11122</v>
      </c>
      <c r="H9253" s="27" t="s">
        <v>35</v>
      </c>
      <c r="I9253" s="27" t="s">
        <v>38</v>
      </c>
      <c r="J9253" s="28" t="s">
        <v>913</v>
      </c>
      <c r="K9253" s="27" t="s">
        <v>38</v>
      </c>
      <c r="L9253" s="27"/>
    </row>
    <row r="9254" customFormat="false" ht="15" hidden="false" customHeight="false" outlineLevel="0" collapsed="false">
      <c r="A9254" s="26" t="s">
        <v>23421</v>
      </c>
      <c r="B9254" s="27" t="s">
        <v>23422</v>
      </c>
      <c r="C9254" s="27" t="s">
        <v>144</v>
      </c>
      <c r="D9254" s="26"/>
      <c r="E9254" s="27"/>
      <c r="F9254" s="27"/>
      <c r="G9254" s="27" t="s">
        <v>11122</v>
      </c>
      <c r="H9254" s="27" t="s">
        <v>35</v>
      </c>
      <c r="I9254" s="27" t="s">
        <v>38</v>
      </c>
      <c r="J9254" s="28" t="s">
        <v>913</v>
      </c>
      <c r="K9254" s="27" t="s">
        <v>38</v>
      </c>
      <c r="L9254" s="27"/>
    </row>
    <row r="9255" customFormat="false" ht="15" hidden="false" customHeight="false" outlineLevel="0" collapsed="false">
      <c r="A9255" s="26" t="s">
        <v>23423</v>
      </c>
      <c r="B9255" s="27" t="s">
        <v>23424</v>
      </c>
      <c r="C9255" s="27" t="s">
        <v>144</v>
      </c>
      <c r="D9255" s="26"/>
      <c r="E9255" s="27"/>
      <c r="F9255" s="27"/>
      <c r="G9255" s="27" t="s">
        <v>11122</v>
      </c>
      <c r="H9255" s="27" t="s">
        <v>35</v>
      </c>
      <c r="I9255" s="27" t="s">
        <v>43</v>
      </c>
      <c r="J9255" s="28" t="s">
        <v>913</v>
      </c>
      <c r="K9255" s="27" t="s">
        <v>38</v>
      </c>
      <c r="L9255" s="27"/>
    </row>
    <row r="9256" customFormat="false" ht="15" hidden="false" customHeight="false" outlineLevel="0" collapsed="false">
      <c r="A9256" s="26" t="s">
        <v>23425</v>
      </c>
      <c r="B9256" s="27" t="s">
        <v>23426</v>
      </c>
      <c r="C9256" s="27" t="s">
        <v>144</v>
      </c>
      <c r="D9256" s="26"/>
      <c r="E9256" s="27"/>
      <c r="F9256" s="27"/>
      <c r="G9256" s="27" t="s">
        <v>11122</v>
      </c>
      <c r="H9256" s="27" t="s">
        <v>35</v>
      </c>
      <c r="I9256" s="27" t="s">
        <v>43</v>
      </c>
      <c r="J9256" s="28" t="s">
        <v>913</v>
      </c>
      <c r="K9256" s="27" t="s">
        <v>38</v>
      </c>
      <c r="L9256" s="27"/>
    </row>
    <row r="9257" customFormat="false" ht="15" hidden="false" customHeight="false" outlineLevel="0" collapsed="false">
      <c r="A9257" s="26" t="s">
        <v>23427</v>
      </c>
      <c r="B9257" s="27" t="s">
        <v>23428</v>
      </c>
      <c r="C9257" s="27" t="s">
        <v>144</v>
      </c>
      <c r="D9257" s="26"/>
      <c r="E9257" s="27"/>
      <c r="F9257" s="27"/>
      <c r="G9257" s="27" t="s">
        <v>11122</v>
      </c>
      <c r="H9257" s="27" t="s">
        <v>35</v>
      </c>
      <c r="I9257" s="27" t="s">
        <v>38</v>
      </c>
      <c r="J9257" s="28" t="s">
        <v>913</v>
      </c>
      <c r="K9257" s="27" t="s">
        <v>38</v>
      </c>
      <c r="L9257" s="27"/>
    </row>
    <row r="9258" customFormat="false" ht="15" hidden="false" customHeight="false" outlineLevel="0" collapsed="false">
      <c r="A9258" s="26" t="s">
        <v>23429</v>
      </c>
      <c r="B9258" s="27" t="s">
        <v>23430</v>
      </c>
      <c r="C9258" s="27" t="s">
        <v>144</v>
      </c>
      <c r="D9258" s="26"/>
      <c r="E9258" s="27"/>
      <c r="F9258" s="27"/>
      <c r="G9258" s="27" t="s">
        <v>11122</v>
      </c>
      <c r="H9258" s="27" t="s">
        <v>35</v>
      </c>
      <c r="I9258" s="27" t="s">
        <v>37</v>
      </c>
      <c r="J9258" s="28" t="s">
        <v>913</v>
      </c>
      <c r="K9258" s="27" t="s">
        <v>38</v>
      </c>
      <c r="L9258" s="27"/>
    </row>
    <row r="9259" customFormat="false" ht="15" hidden="false" customHeight="false" outlineLevel="0" collapsed="false">
      <c r="A9259" s="26" t="s">
        <v>23431</v>
      </c>
      <c r="B9259" s="27" t="s">
        <v>23432</v>
      </c>
      <c r="C9259" s="27" t="s">
        <v>144</v>
      </c>
      <c r="D9259" s="26"/>
      <c r="E9259" s="27"/>
      <c r="F9259" s="27"/>
      <c r="G9259" s="27" t="s">
        <v>11122</v>
      </c>
      <c r="H9259" s="27" t="s">
        <v>35</v>
      </c>
      <c r="I9259" s="27" t="s">
        <v>37</v>
      </c>
      <c r="J9259" s="28" t="s">
        <v>913</v>
      </c>
      <c r="K9259" s="27" t="s">
        <v>38</v>
      </c>
      <c r="L9259" s="27"/>
    </row>
    <row r="9260" customFormat="false" ht="15" hidden="false" customHeight="false" outlineLevel="0" collapsed="false">
      <c r="A9260" s="26" t="s">
        <v>23433</v>
      </c>
      <c r="B9260" s="27" t="s">
        <v>23434</v>
      </c>
      <c r="C9260" s="27" t="s">
        <v>144</v>
      </c>
      <c r="D9260" s="26"/>
      <c r="E9260" s="27"/>
      <c r="F9260" s="27"/>
      <c r="G9260" s="27" t="s">
        <v>11122</v>
      </c>
      <c r="H9260" s="27" t="s">
        <v>35</v>
      </c>
      <c r="I9260" s="27" t="s">
        <v>38</v>
      </c>
      <c r="J9260" s="28" t="s">
        <v>913</v>
      </c>
      <c r="K9260" s="27" t="s">
        <v>38</v>
      </c>
      <c r="L9260" s="27"/>
    </row>
    <row r="9261" customFormat="false" ht="15" hidden="false" customHeight="false" outlineLevel="0" collapsed="false">
      <c r="A9261" s="26" t="s">
        <v>23435</v>
      </c>
      <c r="B9261" s="27" t="s">
        <v>23436</v>
      </c>
      <c r="C9261" s="27" t="s">
        <v>144</v>
      </c>
      <c r="D9261" s="26"/>
      <c r="E9261" s="27"/>
      <c r="F9261" s="27"/>
      <c r="G9261" s="27" t="s">
        <v>11122</v>
      </c>
      <c r="H9261" s="27" t="s">
        <v>35</v>
      </c>
      <c r="I9261" s="27" t="s">
        <v>38</v>
      </c>
      <c r="J9261" s="28" t="s">
        <v>913</v>
      </c>
      <c r="K9261" s="27" t="s">
        <v>38</v>
      </c>
      <c r="L9261" s="27"/>
    </row>
    <row r="9262" customFormat="false" ht="15" hidden="false" customHeight="false" outlineLevel="0" collapsed="false">
      <c r="A9262" s="26" t="s">
        <v>23437</v>
      </c>
      <c r="B9262" s="27" t="s">
        <v>23438</v>
      </c>
      <c r="C9262" s="27" t="s">
        <v>144</v>
      </c>
      <c r="D9262" s="26"/>
      <c r="E9262" s="27"/>
      <c r="F9262" s="27"/>
      <c r="G9262" s="27" t="s">
        <v>11122</v>
      </c>
      <c r="H9262" s="27" t="s">
        <v>35</v>
      </c>
      <c r="I9262" s="27" t="s">
        <v>38</v>
      </c>
      <c r="J9262" s="28" t="s">
        <v>913</v>
      </c>
      <c r="K9262" s="27" t="s">
        <v>38</v>
      </c>
      <c r="L9262" s="27"/>
    </row>
    <row r="9263" customFormat="false" ht="15" hidden="false" customHeight="false" outlineLevel="0" collapsed="false">
      <c r="A9263" s="26" t="s">
        <v>23439</v>
      </c>
      <c r="B9263" s="27" t="s">
        <v>23440</v>
      </c>
      <c r="C9263" s="27" t="s">
        <v>144</v>
      </c>
      <c r="D9263" s="26"/>
      <c r="E9263" s="27"/>
      <c r="F9263" s="27"/>
      <c r="G9263" s="27" t="s">
        <v>11122</v>
      </c>
      <c r="H9263" s="27" t="s">
        <v>35</v>
      </c>
      <c r="I9263" s="27" t="s">
        <v>38</v>
      </c>
      <c r="J9263" s="28" t="s">
        <v>913</v>
      </c>
      <c r="K9263" s="27" t="s">
        <v>38</v>
      </c>
      <c r="L9263" s="27"/>
    </row>
    <row r="9264" customFormat="false" ht="15" hidden="false" customHeight="false" outlineLevel="0" collapsed="false">
      <c r="A9264" s="26" t="s">
        <v>23441</v>
      </c>
      <c r="B9264" s="27" t="s">
        <v>23442</v>
      </c>
      <c r="C9264" s="27" t="s">
        <v>144</v>
      </c>
      <c r="D9264" s="26"/>
      <c r="E9264" s="27"/>
      <c r="F9264" s="27"/>
      <c r="G9264" s="27" t="s">
        <v>11122</v>
      </c>
      <c r="H9264" s="27" t="s">
        <v>35</v>
      </c>
      <c r="I9264" s="27" t="s">
        <v>37</v>
      </c>
      <c r="J9264" s="28" t="s">
        <v>913</v>
      </c>
      <c r="K9264" s="27" t="s">
        <v>38</v>
      </c>
      <c r="L9264" s="27"/>
    </row>
    <row r="9265" customFormat="false" ht="15" hidden="false" customHeight="false" outlineLevel="0" collapsed="false">
      <c r="A9265" s="26" t="s">
        <v>23443</v>
      </c>
      <c r="B9265" s="27" t="s">
        <v>23444</v>
      </c>
      <c r="C9265" s="27" t="s">
        <v>144</v>
      </c>
      <c r="D9265" s="26"/>
      <c r="E9265" s="27"/>
      <c r="F9265" s="27"/>
      <c r="G9265" s="27" t="s">
        <v>11122</v>
      </c>
      <c r="H9265" s="27" t="s">
        <v>35</v>
      </c>
      <c r="I9265" s="27" t="s">
        <v>38</v>
      </c>
      <c r="J9265" s="28" t="s">
        <v>913</v>
      </c>
      <c r="K9265" s="27" t="s">
        <v>38</v>
      </c>
      <c r="L9265" s="27"/>
    </row>
    <row r="9266" customFormat="false" ht="15" hidden="false" customHeight="false" outlineLevel="0" collapsed="false">
      <c r="A9266" s="26" t="s">
        <v>23445</v>
      </c>
      <c r="B9266" s="27" t="s">
        <v>23446</v>
      </c>
      <c r="C9266" s="27" t="s">
        <v>144</v>
      </c>
      <c r="D9266" s="26"/>
      <c r="E9266" s="27"/>
      <c r="F9266" s="27"/>
      <c r="G9266" s="27" t="s">
        <v>11122</v>
      </c>
      <c r="H9266" s="27" t="s">
        <v>35</v>
      </c>
      <c r="I9266" s="27" t="s">
        <v>41</v>
      </c>
      <c r="J9266" s="28" t="s">
        <v>913</v>
      </c>
      <c r="K9266" s="27" t="s">
        <v>38</v>
      </c>
      <c r="L9266" s="27"/>
    </row>
    <row r="9267" customFormat="false" ht="15" hidden="false" customHeight="false" outlineLevel="0" collapsed="false">
      <c r="A9267" s="26" t="s">
        <v>23447</v>
      </c>
      <c r="B9267" s="27" t="s">
        <v>23448</v>
      </c>
      <c r="C9267" s="27" t="s">
        <v>144</v>
      </c>
      <c r="D9267" s="26"/>
      <c r="E9267" s="27"/>
      <c r="F9267" s="27"/>
      <c r="G9267" s="27" t="s">
        <v>11122</v>
      </c>
      <c r="H9267" s="27" t="s">
        <v>35</v>
      </c>
      <c r="I9267" s="27" t="s">
        <v>38</v>
      </c>
      <c r="J9267" s="28" t="s">
        <v>913</v>
      </c>
      <c r="K9267" s="27" t="s">
        <v>38</v>
      </c>
      <c r="L9267" s="27"/>
    </row>
    <row r="9268" customFormat="false" ht="15" hidden="false" customHeight="false" outlineLevel="0" collapsed="false">
      <c r="A9268" s="26" t="s">
        <v>23449</v>
      </c>
      <c r="B9268" s="27" t="s">
        <v>23450</v>
      </c>
      <c r="C9268" s="27" t="s">
        <v>144</v>
      </c>
      <c r="D9268" s="26"/>
      <c r="E9268" s="27"/>
      <c r="F9268" s="27"/>
      <c r="G9268" s="27" t="s">
        <v>11122</v>
      </c>
      <c r="H9268" s="27" t="s">
        <v>35</v>
      </c>
      <c r="I9268" s="27" t="s">
        <v>38</v>
      </c>
      <c r="J9268" s="28" t="s">
        <v>913</v>
      </c>
      <c r="K9268" s="27" t="s">
        <v>38</v>
      </c>
      <c r="L9268" s="27"/>
    </row>
    <row r="9269" customFormat="false" ht="15" hidden="false" customHeight="false" outlineLevel="0" collapsed="false">
      <c r="A9269" s="26" t="s">
        <v>23451</v>
      </c>
      <c r="B9269" s="27" t="s">
        <v>23452</v>
      </c>
      <c r="C9269" s="27" t="s">
        <v>144</v>
      </c>
      <c r="D9269" s="26"/>
      <c r="E9269" s="27"/>
      <c r="F9269" s="27"/>
      <c r="G9269" s="27" t="s">
        <v>11122</v>
      </c>
      <c r="H9269" s="27" t="s">
        <v>35</v>
      </c>
      <c r="I9269" s="27" t="s">
        <v>39</v>
      </c>
      <c r="J9269" s="28" t="s">
        <v>913</v>
      </c>
      <c r="K9269" s="27" t="s">
        <v>38</v>
      </c>
      <c r="L9269" s="27"/>
    </row>
    <row r="9270" customFormat="false" ht="15" hidden="false" customHeight="false" outlineLevel="0" collapsed="false">
      <c r="A9270" s="26" t="s">
        <v>23453</v>
      </c>
      <c r="B9270" s="27" t="s">
        <v>23454</v>
      </c>
      <c r="C9270" s="27" t="s">
        <v>144</v>
      </c>
      <c r="D9270" s="26"/>
      <c r="E9270" s="27"/>
      <c r="F9270" s="27"/>
      <c r="G9270" s="27" t="s">
        <v>11122</v>
      </c>
      <c r="H9270" s="27" t="s">
        <v>35</v>
      </c>
      <c r="I9270" s="27" t="s">
        <v>39</v>
      </c>
      <c r="J9270" s="28" t="s">
        <v>913</v>
      </c>
      <c r="K9270" s="27" t="s">
        <v>38</v>
      </c>
      <c r="L9270" s="27"/>
    </row>
    <row r="9271" customFormat="false" ht="15" hidden="false" customHeight="false" outlineLevel="0" collapsed="false">
      <c r="A9271" s="26" t="s">
        <v>23455</v>
      </c>
      <c r="B9271" s="27" t="s">
        <v>23456</v>
      </c>
      <c r="C9271" s="27" t="s">
        <v>144</v>
      </c>
      <c r="D9271" s="26"/>
      <c r="E9271" s="27"/>
      <c r="F9271" s="27"/>
      <c r="G9271" s="27" t="s">
        <v>11122</v>
      </c>
      <c r="H9271" s="27" t="s">
        <v>35</v>
      </c>
      <c r="I9271" s="27" t="s">
        <v>39</v>
      </c>
      <c r="J9271" s="28" t="s">
        <v>913</v>
      </c>
      <c r="K9271" s="27" t="s">
        <v>38</v>
      </c>
      <c r="L9271" s="27"/>
    </row>
    <row r="9272" customFormat="false" ht="15" hidden="false" customHeight="false" outlineLevel="0" collapsed="false">
      <c r="A9272" s="26" t="s">
        <v>23457</v>
      </c>
      <c r="B9272" s="27" t="s">
        <v>23458</v>
      </c>
      <c r="C9272" s="27" t="s">
        <v>144</v>
      </c>
      <c r="D9272" s="26"/>
      <c r="E9272" s="27"/>
      <c r="F9272" s="27"/>
      <c r="G9272" s="27" t="s">
        <v>11122</v>
      </c>
      <c r="H9272" s="27" t="s">
        <v>35</v>
      </c>
      <c r="I9272" s="27" t="s">
        <v>38</v>
      </c>
      <c r="J9272" s="28" t="s">
        <v>913</v>
      </c>
      <c r="K9272" s="27" t="s">
        <v>38</v>
      </c>
      <c r="L9272" s="27"/>
    </row>
    <row r="9273" customFormat="false" ht="15" hidden="false" customHeight="false" outlineLevel="0" collapsed="false">
      <c r="A9273" s="26" t="s">
        <v>23459</v>
      </c>
      <c r="B9273" s="27" t="s">
        <v>23460</v>
      </c>
      <c r="C9273" s="27" t="s">
        <v>144</v>
      </c>
      <c r="D9273" s="26"/>
      <c r="E9273" s="27"/>
      <c r="F9273" s="27"/>
      <c r="G9273" s="27" t="s">
        <v>11122</v>
      </c>
      <c r="H9273" s="27" t="s">
        <v>35</v>
      </c>
      <c r="I9273" s="27" t="s">
        <v>38</v>
      </c>
      <c r="J9273" s="28" t="s">
        <v>913</v>
      </c>
      <c r="K9273" s="27" t="s">
        <v>38</v>
      </c>
      <c r="L9273" s="27"/>
    </row>
    <row r="9274" customFormat="false" ht="15" hidden="false" customHeight="false" outlineLevel="0" collapsed="false">
      <c r="A9274" s="26" t="s">
        <v>23461</v>
      </c>
      <c r="B9274" s="27" t="s">
        <v>23462</v>
      </c>
      <c r="C9274" s="27" t="s">
        <v>144</v>
      </c>
      <c r="D9274" s="26"/>
      <c r="E9274" s="27"/>
      <c r="F9274" s="27"/>
      <c r="G9274" s="27" t="s">
        <v>11122</v>
      </c>
      <c r="H9274" s="27" t="s">
        <v>35</v>
      </c>
      <c r="I9274" s="27" t="s">
        <v>38</v>
      </c>
      <c r="J9274" s="28" t="s">
        <v>913</v>
      </c>
      <c r="K9274" s="27" t="s">
        <v>38</v>
      </c>
      <c r="L9274" s="27"/>
    </row>
    <row r="9275" customFormat="false" ht="15" hidden="false" customHeight="false" outlineLevel="0" collapsed="false">
      <c r="A9275" s="26" t="s">
        <v>23463</v>
      </c>
      <c r="B9275" s="27" t="s">
        <v>23464</v>
      </c>
      <c r="C9275" s="27" t="s">
        <v>144</v>
      </c>
      <c r="D9275" s="26"/>
      <c r="E9275" s="27"/>
      <c r="F9275" s="27"/>
      <c r="G9275" s="27" t="s">
        <v>11122</v>
      </c>
      <c r="H9275" s="27" t="s">
        <v>35</v>
      </c>
      <c r="I9275" s="27" t="s">
        <v>38</v>
      </c>
      <c r="J9275" s="28" t="s">
        <v>913</v>
      </c>
      <c r="K9275" s="27" t="s">
        <v>38</v>
      </c>
      <c r="L9275" s="27"/>
    </row>
    <row r="9276" customFormat="false" ht="15" hidden="false" customHeight="false" outlineLevel="0" collapsed="false">
      <c r="A9276" s="26" t="s">
        <v>23465</v>
      </c>
      <c r="B9276" s="27" t="s">
        <v>23466</v>
      </c>
      <c r="C9276" s="27" t="s">
        <v>144</v>
      </c>
      <c r="D9276" s="26"/>
      <c r="E9276" s="27"/>
      <c r="F9276" s="27"/>
      <c r="G9276" s="27" t="s">
        <v>11122</v>
      </c>
      <c r="H9276" s="27" t="s">
        <v>35</v>
      </c>
      <c r="I9276" s="27" t="s">
        <v>41</v>
      </c>
      <c r="J9276" s="28" t="s">
        <v>913</v>
      </c>
      <c r="K9276" s="27" t="s">
        <v>38</v>
      </c>
      <c r="L9276" s="27"/>
    </row>
    <row r="9277" customFormat="false" ht="15" hidden="false" customHeight="false" outlineLevel="0" collapsed="false">
      <c r="A9277" s="26" t="s">
        <v>23467</v>
      </c>
      <c r="B9277" s="27" t="s">
        <v>23468</v>
      </c>
      <c r="C9277" s="27" t="s">
        <v>144</v>
      </c>
      <c r="D9277" s="26"/>
      <c r="E9277" s="27"/>
      <c r="F9277" s="27"/>
      <c r="G9277" s="27" t="s">
        <v>11122</v>
      </c>
      <c r="H9277" s="27" t="s">
        <v>35</v>
      </c>
      <c r="I9277" s="27" t="s">
        <v>38</v>
      </c>
      <c r="J9277" s="28" t="s">
        <v>913</v>
      </c>
      <c r="K9277" s="27" t="s">
        <v>38</v>
      </c>
      <c r="L9277" s="27"/>
    </row>
    <row r="9278" customFormat="false" ht="15" hidden="false" customHeight="false" outlineLevel="0" collapsed="false">
      <c r="A9278" s="26" t="s">
        <v>23469</v>
      </c>
      <c r="B9278" s="27" t="s">
        <v>23470</v>
      </c>
      <c r="C9278" s="27" t="s">
        <v>144</v>
      </c>
      <c r="D9278" s="26"/>
      <c r="E9278" s="27"/>
      <c r="F9278" s="27"/>
      <c r="G9278" s="27" t="s">
        <v>11122</v>
      </c>
      <c r="H9278" s="27" t="s">
        <v>35</v>
      </c>
      <c r="I9278" s="27" t="s">
        <v>48</v>
      </c>
      <c r="J9278" s="28" t="s">
        <v>913</v>
      </c>
      <c r="K9278" s="27" t="s">
        <v>38</v>
      </c>
      <c r="L9278" s="27"/>
    </row>
    <row r="9279" customFormat="false" ht="15" hidden="false" customHeight="false" outlineLevel="0" collapsed="false">
      <c r="A9279" s="26" t="s">
        <v>23471</v>
      </c>
      <c r="B9279" s="27" t="s">
        <v>23472</v>
      </c>
      <c r="C9279" s="27" t="s">
        <v>144</v>
      </c>
      <c r="D9279" s="26"/>
      <c r="E9279" s="27"/>
      <c r="F9279" s="27"/>
      <c r="G9279" s="27" t="s">
        <v>11122</v>
      </c>
      <c r="H9279" s="27" t="s">
        <v>35</v>
      </c>
      <c r="I9279" s="27" t="s">
        <v>48</v>
      </c>
      <c r="J9279" s="28" t="s">
        <v>913</v>
      </c>
      <c r="K9279" s="27" t="s">
        <v>38</v>
      </c>
      <c r="L9279" s="27"/>
    </row>
    <row r="9280" customFormat="false" ht="15" hidden="false" customHeight="false" outlineLevel="0" collapsed="false">
      <c r="A9280" s="26" t="s">
        <v>23473</v>
      </c>
      <c r="B9280" s="27" t="s">
        <v>23474</v>
      </c>
      <c r="C9280" s="27" t="s">
        <v>144</v>
      </c>
      <c r="D9280" s="26"/>
      <c r="E9280" s="27"/>
      <c r="F9280" s="27"/>
      <c r="G9280" s="27" t="s">
        <v>11122</v>
      </c>
      <c r="H9280" s="27" t="s">
        <v>35</v>
      </c>
      <c r="I9280" s="27" t="s">
        <v>38</v>
      </c>
      <c r="J9280" s="28" t="s">
        <v>913</v>
      </c>
      <c r="K9280" s="27" t="s">
        <v>38</v>
      </c>
      <c r="L9280" s="27"/>
    </row>
    <row r="9281" customFormat="false" ht="15" hidden="false" customHeight="false" outlineLevel="0" collapsed="false">
      <c r="A9281" s="26" t="s">
        <v>23475</v>
      </c>
      <c r="B9281" s="27" t="s">
        <v>23476</v>
      </c>
      <c r="C9281" s="27" t="s">
        <v>144</v>
      </c>
      <c r="D9281" s="26"/>
      <c r="E9281" s="27"/>
      <c r="F9281" s="27"/>
      <c r="G9281" s="27" t="s">
        <v>11122</v>
      </c>
      <c r="H9281" s="27" t="s">
        <v>35</v>
      </c>
      <c r="I9281" s="27" t="s">
        <v>38</v>
      </c>
      <c r="J9281" s="28" t="s">
        <v>913</v>
      </c>
      <c r="K9281" s="27" t="s">
        <v>38</v>
      </c>
      <c r="L9281" s="27"/>
    </row>
    <row r="9282" customFormat="false" ht="15" hidden="false" customHeight="false" outlineLevel="0" collapsed="false">
      <c r="A9282" s="26" t="s">
        <v>23477</v>
      </c>
      <c r="B9282" s="27" t="s">
        <v>23478</v>
      </c>
      <c r="C9282" s="27" t="s">
        <v>144</v>
      </c>
      <c r="D9282" s="26"/>
      <c r="E9282" s="27"/>
      <c r="F9282" s="27"/>
      <c r="G9282" s="27" t="s">
        <v>11122</v>
      </c>
      <c r="H9282" s="27" t="s">
        <v>35</v>
      </c>
      <c r="I9282" s="27" t="s">
        <v>38</v>
      </c>
      <c r="J9282" s="28" t="s">
        <v>913</v>
      </c>
      <c r="K9282" s="27" t="s">
        <v>38</v>
      </c>
      <c r="L9282" s="27"/>
    </row>
    <row r="9283" customFormat="false" ht="15" hidden="false" customHeight="false" outlineLevel="0" collapsed="false">
      <c r="A9283" s="26" t="s">
        <v>23479</v>
      </c>
      <c r="B9283" s="27" t="s">
        <v>23480</v>
      </c>
      <c r="C9283" s="27" t="s">
        <v>144</v>
      </c>
      <c r="D9283" s="26"/>
      <c r="E9283" s="27"/>
      <c r="F9283" s="27"/>
      <c r="G9283" s="27" t="s">
        <v>11122</v>
      </c>
      <c r="H9283" s="27" t="s">
        <v>35</v>
      </c>
      <c r="I9283" s="27" t="s">
        <v>38</v>
      </c>
      <c r="J9283" s="28" t="s">
        <v>913</v>
      </c>
      <c r="K9283" s="27" t="s">
        <v>38</v>
      </c>
      <c r="L9283" s="27"/>
    </row>
    <row r="9284" customFormat="false" ht="15" hidden="false" customHeight="false" outlineLevel="0" collapsed="false">
      <c r="A9284" s="26" t="s">
        <v>23481</v>
      </c>
      <c r="B9284" s="27" t="s">
        <v>23482</v>
      </c>
      <c r="C9284" s="27" t="s">
        <v>144</v>
      </c>
      <c r="D9284" s="26"/>
      <c r="E9284" s="27"/>
      <c r="F9284" s="27"/>
      <c r="G9284" s="27" t="s">
        <v>11122</v>
      </c>
      <c r="H9284" s="27" t="s">
        <v>35</v>
      </c>
      <c r="I9284" s="27" t="s">
        <v>38</v>
      </c>
      <c r="J9284" s="28" t="s">
        <v>913</v>
      </c>
      <c r="K9284" s="27" t="s">
        <v>38</v>
      </c>
      <c r="L9284" s="27"/>
    </row>
    <row r="9285" customFormat="false" ht="15" hidden="false" customHeight="false" outlineLevel="0" collapsed="false">
      <c r="A9285" s="26" t="s">
        <v>23483</v>
      </c>
      <c r="B9285" s="27" t="s">
        <v>23484</v>
      </c>
      <c r="C9285" s="27" t="s">
        <v>144</v>
      </c>
      <c r="D9285" s="26"/>
      <c r="E9285" s="27"/>
      <c r="F9285" s="27"/>
      <c r="G9285" s="27" t="s">
        <v>11122</v>
      </c>
      <c r="H9285" s="27" t="s">
        <v>35</v>
      </c>
      <c r="I9285" s="27" t="s">
        <v>37</v>
      </c>
      <c r="J9285" s="28" t="s">
        <v>913</v>
      </c>
      <c r="K9285" s="27" t="s">
        <v>38</v>
      </c>
      <c r="L9285" s="27"/>
    </row>
    <row r="9286" customFormat="false" ht="15" hidden="false" customHeight="false" outlineLevel="0" collapsed="false">
      <c r="A9286" s="26" t="s">
        <v>23485</v>
      </c>
      <c r="B9286" s="27" t="s">
        <v>23486</v>
      </c>
      <c r="C9286" s="27" t="s">
        <v>144</v>
      </c>
      <c r="D9286" s="26"/>
      <c r="E9286" s="27"/>
      <c r="F9286" s="27"/>
      <c r="G9286" s="27" t="s">
        <v>11122</v>
      </c>
      <c r="H9286" s="27" t="s">
        <v>35</v>
      </c>
      <c r="I9286" s="27" t="s">
        <v>38</v>
      </c>
      <c r="J9286" s="28" t="s">
        <v>913</v>
      </c>
      <c r="K9286" s="27" t="s">
        <v>38</v>
      </c>
      <c r="L9286" s="27"/>
    </row>
    <row r="9287" customFormat="false" ht="15" hidden="false" customHeight="false" outlineLevel="0" collapsed="false">
      <c r="A9287" s="26" t="s">
        <v>23487</v>
      </c>
      <c r="B9287" s="27" t="s">
        <v>23488</v>
      </c>
      <c r="C9287" s="27" t="s">
        <v>144</v>
      </c>
      <c r="D9287" s="26"/>
      <c r="E9287" s="27"/>
      <c r="F9287" s="27"/>
      <c r="G9287" s="27" t="s">
        <v>11122</v>
      </c>
      <c r="H9287" s="27" t="s">
        <v>35</v>
      </c>
      <c r="I9287" s="27" t="s">
        <v>38</v>
      </c>
      <c r="J9287" s="28" t="s">
        <v>913</v>
      </c>
      <c r="K9287" s="27" t="s">
        <v>38</v>
      </c>
      <c r="L9287" s="27"/>
    </row>
    <row r="9288" customFormat="false" ht="15" hidden="false" customHeight="false" outlineLevel="0" collapsed="false">
      <c r="A9288" s="26" t="s">
        <v>23489</v>
      </c>
      <c r="B9288" s="27" t="s">
        <v>23490</v>
      </c>
      <c r="C9288" s="27" t="s">
        <v>144</v>
      </c>
      <c r="D9288" s="26"/>
      <c r="E9288" s="27"/>
      <c r="F9288" s="27"/>
      <c r="G9288" s="27" t="s">
        <v>11122</v>
      </c>
      <c r="H9288" s="27" t="s">
        <v>35</v>
      </c>
      <c r="I9288" s="27" t="s">
        <v>38</v>
      </c>
      <c r="J9288" s="28" t="s">
        <v>913</v>
      </c>
      <c r="K9288" s="27" t="s">
        <v>38</v>
      </c>
      <c r="L9288" s="27"/>
    </row>
    <row r="9289" customFormat="false" ht="15" hidden="false" customHeight="false" outlineLevel="0" collapsed="false">
      <c r="A9289" s="26" t="s">
        <v>23491</v>
      </c>
      <c r="B9289" s="27" t="s">
        <v>23492</v>
      </c>
      <c r="C9289" s="27" t="s">
        <v>144</v>
      </c>
      <c r="D9289" s="26"/>
      <c r="E9289" s="27"/>
      <c r="F9289" s="27"/>
      <c r="G9289" s="27" t="s">
        <v>11122</v>
      </c>
      <c r="H9289" s="27" t="s">
        <v>35</v>
      </c>
      <c r="I9289" s="27" t="s">
        <v>38</v>
      </c>
      <c r="J9289" s="28" t="s">
        <v>913</v>
      </c>
      <c r="K9289" s="27" t="s">
        <v>38</v>
      </c>
      <c r="L9289" s="27"/>
    </row>
    <row r="9290" customFormat="false" ht="15" hidden="false" customHeight="false" outlineLevel="0" collapsed="false">
      <c r="A9290" s="26" t="s">
        <v>23493</v>
      </c>
      <c r="B9290" s="27" t="s">
        <v>23494</v>
      </c>
      <c r="C9290" s="27" t="s">
        <v>144</v>
      </c>
      <c r="D9290" s="26"/>
      <c r="E9290" s="27"/>
      <c r="F9290" s="27"/>
      <c r="G9290" s="27" t="s">
        <v>11122</v>
      </c>
      <c r="H9290" s="27" t="s">
        <v>35</v>
      </c>
      <c r="I9290" s="27" t="s">
        <v>38</v>
      </c>
      <c r="J9290" s="28" t="s">
        <v>913</v>
      </c>
      <c r="K9290" s="27" t="s">
        <v>38</v>
      </c>
      <c r="L9290" s="27"/>
    </row>
    <row r="9291" customFormat="false" ht="15" hidden="false" customHeight="false" outlineLevel="0" collapsed="false">
      <c r="A9291" s="26" t="s">
        <v>23495</v>
      </c>
      <c r="B9291" s="27" t="s">
        <v>23496</v>
      </c>
      <c r="C9291" s="27" t="s">
        <v>144</v>
      </c>
      <c r="D9291" s="26"/>
      <c r="E9291" s="27"/>
      <c r="F9291" s="27"/>
      <c r="G9291" s="27" t="s">
        <v>11122</v>
      </c>
      <c r="H9291" s="27" t="s">
        <v>35</v>
      </c>
      <c r="I9291" s="27" t="s">
        <v>38</v>
      </c>
      <c r="J9291" s="28" t="s">
        <v>913</v>
      </c>
      <c r="K9291" s="27" t="s">
        <v>38</v>
      </c>
      <c r="L9291" s="27"/>
    </row>
    <row r="9292" customFormat="false" ht="15" hidden="false" customHeight="false" outlineLevel="0" collapsed="false">
      <c r="A9292" s="26" t="s">
        <v>23497</v>
      </c>
      <c r="B9292" s="27" t="s">
        <v>23498</v>
      </c>
      <c r="C9292" s="27" t="s">
        <v>144</v>
      </c>
      <c r="D9292" s="26"/>
      <c r="E9292" s="27"/>
      <c r="F9292" s="27"/>
      <c r="G9292" s="27" t="s">
        <v>11122</v>
      </c>
      <c r="H9292" s="27" t="s">
        <v>35</v>
      </c>
      <c r="I9292" s="27" t="s">
        <v>38</v>
      </c>
      <c r="J9292" s="28" t="s">
        <v>913</v>
      </c>
      <c r="K9292" s="27" t="s">
        <v>38</v>
      </c>
      <c r="L9292" s="27"/>
    </row>
    <row r="9293" customFormat="false" ht="15" hidden="false" customHeight="false" outlineLevel="0" collapsed="false">
      <c r="A9293" s="26" t="s">
        <v>23499</v>
      </c>
      <c r="B9293" s="27" t="s">
        <v>23500</v>
      </c>
      <c r="C9293" s="27" t="s">
        <v>144</v>
      </c>
      <c r="D9293" s="26"/>
      <c r="E9293" s="27"/>
      <c r="F9293" s="27"/>
      <c r="G9293" s="27" t="s">
        <v>11122</v>
      </c>
      <c r="H9293" s="27" t="s">
        <v>35</v>
      </c>
      <c r="I9293" s="27" t="s">
        <v>38</v>
      </c>
      <c r="J9293" s="28" t="s">
        <v>913</v>
      </c>
      <c r="K9293" s="27" t="s">
        <v>38</v>
      </c>
      <c r="L9293" s="27"/>
    </row>
    <row r="9294" customFormat="false" ht="15" hidden="false" customHeight="false" outlineLevel="0" collapsed="false">
      <c r="A9294" s="26" t="s">
        <v>23501</v>
      </c>
      <c r="B9294" s="27" t="s">
        <v>23502</v>
      </c>
      <c r="C9294" s="27" t="s">
        <v>144</v>
      </c>
      <c r="D9294" s="26"/>
      <c r="E9294" s="27"/>
      <c r="F9294" s="27"/>
      <c r="G9294" s="27" t="s">
        <v>11122</v>
      </c>
      <c r="H9294" s="27" t="s">
        <v>35</v>
      </c>
      <c r="I9294" s="27" t="s">
        <v>37</v>
      </c>
      <c r="J9294" s="28" t="s">
        <v>913</v>
      </c>
      <c r="K9294" s="27" t="s">
        <v>38</v>
      </c>
      <c r="L9294" s="27"/>
    </row>
    <row r="9295" customFormat="false" ht="15" hidden="false" customHeight="false" outlineLevel="0" collapsed="false">
      <c r="A9295" s="26" t="s">
        <v>23503</v>
      </c>
      <c r="B9295" s="27" t="s">
        <v>23504</v>
      </c>
      <c r="C9295" s="27" t="s">
        <v>144</v>
      </c>
      <c r="D9295" s="26"/>
      <c r="E9295" s="27"/>
      <c r="F9295" s="27"/>
      <c r="G9295" s="27" t="s">
        <v>11122</v>
      </c>
      <c r="H9295" s="27" t="s">
        <v>35</v>
      </c>
      <c r="I9295" s="27" t="s">
        <v>37</v>
      </c>
      <c r="J9295" s="28" t="s">
        <v>913</v>
      </c>
      <c r="K9295" s="27" t="s">
        <v>38</v>
      </c>
      <c r="L9295" s="27"/>
    </row>
    <row r="9296" customFormat="false" ht="15" hidden="false" customHeight="false" outlineLevel="0" collapsed="false">
      <c r="A9296" s="26" t="s">
        <v>23505</v>
      </c>
      <c r="B9296" s="27" t="s">
        <v>23506</v>
      </c>
      <c r="C9296" s="27" t="s">
        <v>144</v>
      </c>
      <c r="D9296" s="26"/>
      <c r="E9296" s="27"/>
      <c r="F9296" s="27"/>
      <c r="G9296" s="27" t="s">
        <v>11122</v>
      </c>
      <c r="H9296" s="27" t="s">
        <v>35</v>
      </c>
      <c r="I9296" s="27" t="s">
        <v>38</v>
      </c>
      <c r="J9296" s="28" t="s">
        <v>913</v>
      </c>
      <c r="K9296" s="27" t="s">
        <v>38</v>
      </c>
      <c r="L9296" s="27"/>
    </row>
    <row r="9297" customFormat="false" ht="15" hidden="false" customHeight="false" outlineLevel="0" collapsed="false">
      <c r="A9297" s="26" t="s">
        <v>23507</v>
      </c>
      <c r="B9297" s="27" t="s">
        <v>23508</v>
      </c>
      <c r="C9297" s="27" t="s">
        <v>144</v>
      </c>
      <c r="D9297" s="26"/>
      <c r="E9297" s="27"/>
      <c r="F9297" s="27"/>
      <c r="G9297" s="27" t="s">
        <v>11122</v>
      </c>
      <c r="H9297" s="27" t="s">
        <v>35</v>
      </c>
      <c r="I9297" s="27" t="s">
        <v>38</v>
      </c>
      <c r="J9297" s="28" t="s">
        <v>913</v>
      </c>
      <c r="K9297" s="27" t="s">
        <v>38</v>
      </c>
      <c r="L9297" s="27"/>
    </row>
    <row r="9298" customFormat="false" ht="15" hidden="false" customHeight="false" outlineLevel="0" collapsed="false">
      <c r="A9298" s="26" t="s">
        <v>23509</v>
      </c>
      <c r="B9298" s="27" t="s">
        <v>23510</v>
      </c>
      <c r="C9298" s="27" t="s">
        <v>144</v>
      </c>
      <c r="D9298" s="26"/>
      <c r="E9298" s="27"/>
      <c r="F9298" s="27"/>
      <c r="G9298" s="27" t="s">
        <v>11122</v>
      </c>
      <c r="H9298" s="27" t="s">
        <v>35</v>
      </c>
      <c r="I9298" s="27" t="s">
        <v>38</v>
      </c>
      <c r="J9298" s="28" t="s">
        <v>913</v>
      </c>
      <c r="K9298" s="27" t="s">
        <v>38</v>
      </c>
      <c r="L9298" s="27"/>
    </row>
    <row r="9299" customFormat="false" ht="15" hidden="false" customHeight="false" outlineLevel="0" collapsed="false">
      <c r="A9299" s="26" t="s">
        <v>23511</v>
      </c>
      <c r="B9299" s="27" t="s">
        <v>23512</v>
      </c>
      <c r="C9299" s="27" t="s">
        <v>144</v>
      </c>
      <c r="D9299" s="26"/>
      <c r="E9299" s="27"/>
      <c r="F9299" s="27"/>
      <c r="G9299" s="27" t="s">
        <v>11122</v>
      </c>
      <c r="H9299" s="27" t="s">
        <v>35</v>
      </c>
      <c r="I9299" s="27" t="s">
        <v>41</v>
      </c>
      <c r="J9299" s="28" t="s">
        <v>913</v>
      </c>
      <c r="K9299" s="27" t="s">
        <v>38</v>
      </c>
      <c r="L9299" s="27"/>
    </row>
    <row r="9300" customFormat="false" ht="15" hidden="false" customHeight="false" outlineLevel="0" collapsed="false">
      <c r="A9300" s="26" t="s">
        <v>23513</v>
      </c>
      <c r="B9300" s="27" t="s">
        <v>23514</v>
      </c>
      <c r="C9300" s="27" t="s">
        <v>144</v>
      </c>
      <c r="D9300" s="26"/>
      <c r="E9300" s="27"/>
      <c r="F9300" s="27"/>
      <c r="G9300" s="27" t="s">
        <v>11122</v>
      </c>
      <c r="H9300" s="27" t="s">
        <v>35</v>
      </c>
      <c r="I9300" s="27" t="s">
        <v>38</v>
      </c>
      <c r="J9300" s="28" t="s">
        <v>913</v>
      </c>
      <c r="K9300" s="27" t="s">
        <v>38</v>
      </c>
      <c r="L9300" s="27"/>
    </row>
    <row r="9301" customFormat="false" ht="15" hidden="false" customHeight="false" outlineLevel="0" collapsed="false">
      <c r="A9301" s="26" t="s">
        <v>23515</v>
      </c>
      <c r="B9301" s="27" t="s">
        <v>23516</v>
      </c>
      <c r="C9301" s="27" t="s">
        <v>144</v>
      </c>
      <c r="D9301" s="26"/>
      <c r="E9301" s="27"/>
      <c r="F9301" s="27"/>
      <c r="G9301" s="27" t="s">
        <v>11122</v>
      </c>
      <c r="H9301" s="27" t="s">
        <v>35</v>
      </c>
      <c r="I9301" s="27" t="s">
        <v>38</v>
      </c>
      <c r="J9301" s="28" t="s">
        <v>913</v>
      </c>
      <c r="K9301" s="27" t="s">
        <v>38</v>
      </c>
      <c r="L9301" s="27"/>
    </row>
    <row r="9302" customFormat="false" ht="15" hidden="false" customHeight="false" outlineLevel="0" collapsed="false">
      <c r="A9302" s="26" t="s">
        <v>23517</v>
      </c>
      <c r="B9302" s="27" t="s">
        <v>23518</v>
      </c>
      <c r="C9302" s="27" t="s">
        <v>144</v>
      </c>
      <c r="D9302" s="26"/>
      <c r="E9302" s="27"/>
      <c r="F9302" s="27"/>
      <c r="G9302" s="27" t="s">
        <v>11122</v>
      </c>
      <c r="H9302" s="27" t="s">
        <v>35</v>
      </c>
      <c r="I9302" s="27" t="s">
        <v>43</v>
      </c>
      <c r="J9302" s="28" t="s">
        <v>913</v>
      </c>
      <c r="K9302" s="27" t="s">
        <v>38</v>
      </c>
      <c r="L9302" s="27"/>
    </row>
    <row r="9303" customFormat="false" ht="15" hidden="false" customHeight="false" outlineLevel="0" collapsed="false">
      <c r="A9303" s="26" t="s">
        <v>23519</v>
      </c>
      <c r="B9303" s="27" t="s">
        <v>23520</v>
      </c>
      <c r="C9303" s="27" t="s">
        <v>144</v>
      </c>
      <c r="D9303" s="26"/>
      <c r="E9303" s="27"/>
      <c r="F9303" s="27"/>
      <c r="G9303" s="27" t="s">
        <v>11122</v>
      </c>
      <c r="H9303" s="27" t="s">
        <v>35</v>
      </c>
      <c r="I9303" s="27" t="s">
        <v>38</v>
      </c>
      <c r="J9303" s="28" t="s">
        <v>913</v>
      </c>
      <c r="K9303" s="27" t="s">
        <v>38</v>
      </c>
      <c r="L9303" s="27"/>
    </row>
    <row r="9304" customFormat="false" ht="15" hidden="false" customHeight="false" outlineLevel="0" collapsed="false">
      <c r="A9304" s="26" t="s">
        <v>23521</v>
      </c>
      <c r="B9304" s="27" t="s">
        <v>23522</v>
      </c>
      <c r="C9304" s="27" t="s">
        <v>370</v>
      </c>
      <c r="D9304" s="26"/>
      <c r="E9304" s="27"/>
      <c r="F9304" s="27"/>
      <c r="G9304" s="27" t="s">
        <v>11122</v>
      </c>
      <c r="H9304" s="27" t="s">
        <v>35</v>
      </c>
      <c r="I9304" s="27" t="s">
        <v>41</v>
      </c>
      <c r="J9304" s="28" t="s">
        <v>913</v>
      </c>
      <c r="K9304" s="27" t="s">
        <v>38</v>
      </c>
      <c r="L9304" s="27"/>
    </row>
    <row r="9305" customFormat="false" ht="15" hidden="false" customHeight="false" outlineLevel="0" collapsed="false">
      <c r="A9305" s="26" t="s">
        <v>23523</v>
      </c>
      <c r="B9305" s="27" t="s">
        <v>23524</v>
      </c>
      <c r="C9305" s="27" t="s">
        <v>144</v>
      </c>
      <c r="D9305" s="26"/>
      <c r="E9305" s="27"/>
      <c r="F9305" s="27"/>
      <c r="G9305" s="27" t="s">
        <v>11122</v>
      </c>
      <c r="H9305" s="27" t="s">
        <v>35</v>
      </c>
      <c r="I9305" s="27" t="s">
        <v>38</v>
      </c>
      <c r="J9305" s="28" t="s">
        <v>913</v>
      </c>
      <c r="K9305" s="27" t="s">
        <v>38</v>
      </c>
      <c r="L9305" s="27"/>
    </row>
    <row r="9306" customFormat="false" ht="15" hidden="false" customHeight="false" outlineLevel="0" collapsed="false">
      <c r="A9306" s="26" t="s">
        <v>23525</v>
      </c>
      <c r="B9306" s="27" t="s">
        <v>23526</v>
      </c>
      <c r="C9306" s="27" t="s">
        <v>144</v>
      </c>
      <c r="D9306" s="26"/>
      <c r="E9306" s="27"/>
      <c r="F9306" s="27"/>
      <c r="G9306" s="27" t="s">
        <v>11122</v>
      </c>
      <c r="H9306" s="27" t="s">
        <v>35</v>
      </c>
      <c r="I9306" s="27" t="s">
        <v>38</v>
      </c>
      <c r="J9306" s="28" t="s">
        <v>913</v>
      </c>
      <c r="K9306" s="27" t="s">
        <v>38</v>
      </c>
      <c r="L9306" s="27"/>
    </row>
    <row r="9307" customFormat="false" ht="15" hidden="false" customHeight="false" outlineLevel="0" collapsed="false">
      <c r="A9307" s="26" t="s">
        <v>23527</v>
      </c>
      <c r="B9307" s="27" t="s">
        <v>23528</v>
      </c>
      <c r="C9307" s="27" t="s">
        <v>144</v>
      </c>
      <c r="D9307" s="26"/>
      <c r="E9307" s="27"/>
      <c r="F9307" s="27"/>
      <c r="G9307" s="27" t="s">
        <v>11122</v>
      </c>
      <c r="H9307" s="27" t="s">
        <v>35</v>
      </c>
      <c r="I9307" s="27" t="s">
        <v>37</v>
      </c>
      <c r="J9307" s="28" t="s">
        <v>913</v>
      </c>
      <c r="K9307" s="27" t="s">
        <v>38</v>
      </c>
      <c r="L9307" s="27"/>
    </row>
    <row r="9308" customFormat="false" ht="15" hidden="false" customHeight="false" outlineLevel="0" collapsed="false">
      <c r="A9308" s="26" t="s">
        <v>23529</v>
      </c>
      <c r="B9308" s="27" t="s">
        <v>23530</v>
      </c>
      <c r="C9308" s="27" t="s">
        <v>144</v>
      </c>
      <c r="D9308" s="26"/>
      <c r="E9308" s="27"/>
      <c r="F9308" s="27"/>
      <c r="G9308" s="27" t="s">
        <v>11122</v>
      </c>
      <c r="H9308" s="27" t="s">
        <v>35</v>
      </c>
      <c r="I9308" s="27" t="s">
        <v>41</v>
      </c>
      <c r="J9308" s="28" t="s">
        <v>913</v>
      </c>
      <c r="K9308" s="27" t="s">
        <v>38</v>
      </c>
      <c r="L9308" s="27"/>
    </row>
    <row r="9309" customFormat="false" ht="15" hidden="false" customHeight="false" outlineLevel="0" collapsed="false">
      <c r="A9309" s="26" t="s">
        <v>23531</v>
      </c>
      <c r="B9309" s="27" t="s">
        <v>23532</v>
      </c>
      <c r="C9309" s="27" t="s">
        <v>144</v>
      </c>
      <c r="D9309" s="26"/>
      <c r="E9309" s="27"/>
      <c r="F9309" s="27"/>
      <c r="G9309" s="27" t="s">
        <v>11122</v>
      </c>
      <c r="H9309" s="27" t="s">
        <v>35</v>
      </c>
      <c r="I9309" s="27" t="s">
        <v>38</v>
      </c>
      <c r="J9309" s="28" t="s">
        <v>913</v>
      </c>
      <c r="K9309" s="27" t="s">
        <v>38</v>
      </c>
      <c r="L9309" s="27"/>
    </row>
    <row r="9310" customFormat="false" ht="15" hidden="false" customHeight="false" outlineLevel="0" collapsed="false">
      <c r="A9310" s="26" t="s">
        <v>23533</v>
      </c>
      <c r="B9310" s="27" t="s">
        <v>23534</v>
      </c>
      <c r="C9310" s="27" t="s">
        <v>144</v>
      </c>
      <c r="D9310" s="26"/>
      <c r="E9310" s="27"/>
      <c r="F9310" s="27"/>
      <c r="G9310" s="27" t="s">
        <v>11122</v>
      </c>
      <c r="H9310" s="27" t="s">
        <v>35</v>
      </c>
      <c r="I9310" s="27" t="s">
        <v>38</v>
      </c>
      <c r="J9310" s="28" t="s">
        <v>913</v>
      </c>
      <c r="K9310" s="27" t="s">
        <v>38</v>
      </c>
      <c r="L9310" s="27"/>
    </row>
    <row r="9311" customFormat="false" ht="15" hidden="false" customHeight="false" outlineLevel="0" collapsed="false">
      <c r="A9311" s="26" t="s">
        <v>23535</v>
      </c>
      <c r="B9311" s="27" t="s">
        <v>23536</v>
      </c>
      <c r="C9311" s="27" t="s">
        <v>144</v>
      </c>
      <c r="D9311" s="26"/>
      <c r="E9311" s="27"/>
      <c r="F9311" s="27"/>
      <c r="G9311" s="27" t="s">
        <v>11122</v>
      </c>
      <c r="H9311" s="27" t="s">
        <v>35</v>
      </c>
      <c r="I9311" s="27" t="s">
        <v>38</v>
      </c>
      <c r="J9311" s="28" t="s">
        <v>913</v>
      </c>
      <c r="K9311" s="27" t="s">
        <v>38</v>
      </c>
      <c r="L9311" s="27"/>
    </row>
    <row r="9312" customFormat="false" ht="15" hidden="false" customHeight="false" outlineLevel="0" collapsed="false">
      <c r="A9312" s="26" t="s">
        <v>23537</v>
      </c>
      <c r="B9312" s="27" t="s">
        <v>23538</v>
      </c>
      <c r="C9312" s="27" t="s">
        <v>144</v>
      </c>
      <c r="D9312" s="26"/>
      <c r="E9312" s="27"/>
      <c r="F9312" s="27"/>
      <c r="G9312" s="27" t="s">
        <v>11122</v>
      </c>
      <c r="H9312" s="27" t="s">
        <v>35</v>
      </c>
      <c r="I9312" s="27" t="s">
        <v>38</v>
      </c>
      <c r="J9312" s="28" t="s">
        <v>913</v>
      </c>
      <c r="K9312" s="27" t="s">
        <v>38</v>
      </c>
      <c r="L9312" s="27"/>
    </row>
    <row r="9313" customFormat="false" ht="15" hidden="false" customHeight="false" outlineLevel="0" collapsed="false">
      <c r="A9313" s="26" t="s">
        <v>23539</v>
      </c>
      <c r="B9313" s="27" t="s">
        <v>23540</v>
      </c>
      <c r="C9313" s="27" t="s">
        <v>144</v>
      </c>
      <c r="D9313" s="26"/>
      <c r="E9313" s="27"/>
      <c r="F9313" s="27"/>
      <c r="G9313" s="27" t="s">
        <v>11122</v>
      </c>
      <c r="H9313" s="27" t="s">
        <v>35</v>
      </c>
      <c r="I9313" s="27" t="s">
        <v>38</v>
      </c>
      <c r="J9313" s="28" t="s">
        <v>913</v>
      </c>
      <c r="K9313" s="27" t="s">
        <v>38</v>
      </c>
      <c r="L9313" s="27"/>
    </row>
    <row r="9314" customFormat="false" ht="15" hidden="false" customHeight="false" outlineLevel="0" collapsed="false">
      <c r="A9314" s="26" t="s">
        <v>23541</v>
      </c>
      <c r="B9314" s="27" t="s">
        <v>23542</v>
      </c>
      <c r="C9314" s="27" t="s">
        <v>144</v>
      </c>
      <c r="D9314" s="26"/>
      <c r="E9314" s="27"/>
      <c r="F9314" s="27"/>
      <c r="G9314" s="27" t="s">
        <v>11122</v>
      </c>
      <c r="H9314" s="27" t="s">
        <v>35</v>
      </c>
      <c r="I9314" s="27" t="s">
        <v>37</v>
      </c>
      <c r="J9314" s="28" t="s">
        <v>913</v>
      </c>
      <c r="K9314" s="27" t="s">
        <v>38</v>
      </c>
      <c r="L9314" s="27"/>
    </row>
    <row r="9315" customFormat="false" ht="15" hidden="false" customHeight="false" outlineLevel="0" collapsed="false">
      <c r="A9315" s="26" t="s">
        <v>23543</v>
      </c>
      <c r="B9315" s="27" t="s">
        <v>23544</v>
      </c>
      <c r="C9315" s="27" t="s">
        <v>144</v>
      </c>
      <c r="D9315" s="26"/>
      <c r="E9315" s="27"/>
      <c r="F9315" s="27"/>
      <c r="G9315" s="27" t="s">
        <v>11122</v>
      </c>
      <c r="H9315" s="27" t="s">
        <v>35</v>
      </c>
      <c r="I9315" s="27" t="s">
        <v>38</v>
      </c>
      <c r="J9315" s="28" t="s">
        <v>913</v>
      </c>
      <c r="K9315" s="27" t="s">
        <v>38</v>
      </c>
      <c r="L9315" s="27"/>
    </row>
    <row r="9316" customFormat="false" ht="15" hidden="false" customHeight="false" outlineLevel="0" collapsed="false">
      <c r="A9316" s="26" t="s">
        <v>23545</v>
      </c>
      <c r="B9316" s="27" t="s">
        <v>23546</v>
      </c>
      <c r="C9316" s="27" t="s">
        <v>144</v>
      </c>
      <c r="D9316" s="26"/>
      <c r="E9316" s="27"/>
      <c r="F9316" s="27"/>
      <c r="G9316" s="27" t="s">
        <v>11122</v>
      </c>
      <c r="H9316" s="27" t="s">
        <v>35</v>
      </c>
      <c r="I9316" s="27" t="s">
        <v>48</v>
      </c>
      <c r="J9316" s="28" t="s">
        <v>913</v>
      </c>
      <c r="K9316" s="27" t="s">
        <v>38</v>
      </c>
      <c r="L9316" s="27"/>
    </row>
    <row r="9317" customFormat="false" ht="15" hidden="false" customHeight="false" outlineLevel="0" collapsed="false">
      <c r="A9317" s="26" t="s">
        <v>23547</v>
      </c>
      <c r="B9317" s="27" t="s">
        <v>23548</v>
      </c>
      <c r="C9317" s="27" t="s">
        <v>144</v>
      </c>
      <c r="D9317" s="26"/>
      <c r="E9317" s="27"/>
      <c r="F9317" s="27"/>
      <c r="G9317" s="27" t="s">
        <v>11122</v>
      </c>
      <c r="H9317" s="27" t="s">
        <v>35</v>
      </c>
      <c r="I9317" s="27" t="s">
        <v>38</v>
      </c>
      <c r="J9317" s="28" t="s">
        <v>913</v>
      </c>
      <c r="K9317" s="27" t="s">
        <v>38</v>
      </c>
      <c r="L9317" s="27"/>
    </row>
    <row r="9318" customFormat="false" ht="15" hidden="false" customHeight="false" outlineLevel="0" collapsed="false">
      <c r="A9318" s="26" t="s">
        <v>23549</v>
      </c>
      <c r="B9318" s="27" t="s">
        <v>23550</v>
      </c>
      <c r="C9318" s="27" t="s">
        <v>144</v>
      </c>
      <c r="D9318" s="26"/>
      <c r="E9318" s="27"/>
      <c r="F9318" s="27"/>
      <c r="G9318" s="27" t="s">
        <v>11122</v>
      </c>
      <c r="H9318" s="27" t="s">
        <v>35</v>
      </c>
      <c r="I9318" s="27" t="s">
        <v>40</v>
      </c>
      <c r="J9318" s="28" t="s">
        <v>913</v>
      </c>
      <c r="K9318" s="27" t="s">
        <v>38</v>
      </c>
      <c r="L9318" s="27"/>
    </row>
    <row r="9319" customFormat="false" ht="15" hidden="false" customHeight="false" outlineLevel="0" collapsed="false">
      <c r="A9319" s="26" t="s">
        <v>23551</v>
      </c>
      <c r="B9319" s="27" t="s">
        <v>23552</v>
      </c>
      <c r="C9319" s="27" t="s">
        <v>144</v>
      </c>
      <c r="D9319" s="26"/>
      <c r="E9319" s="27"/>
      <c r="F9319" s="27"/>
      <c r="G9319" s="27" t="s">
        <v>11122</v>
      </c>
      <c r="H9319" s="27" t="s">
        <v>35</v>
      </c>
      <c r="I9319" s="27" t="s">
        <v>38</v>
      </c>
      <c r="J9319" s="28" t="s">
        <v>913</v>
      </c>
      <c r="K9319" s="27" t="s">
        <v>38</v>
      </c>
      <c r="L9319" s="27"/>
    </row>
    <row r="9320" customFormat="false" ht="15" hidden="false" customHeight="false" outlineLevel="0" collapsed="false">
      <c r="A9320" s="26" t="s">
        <v>23553</v>
      </c>
      <c r="B9320" s="27" t="s">
        <v>23554</v>
      </c>
      <c r="C9320" s="27" t="s">
        <v>144</v>
      </c>
      <c r="D9320" s="26"/>
      <c r="E9320" s="27"/>
      <c r="F9320" s="27"/>
      <c r="G9320" s="27" t="s">
        <v>11122</v>
      </c>
      <c r="H9320" s="27" t="s">
        <v>35</v>
      </c>
      <c r="I9320" s="27" t="s">
        <v>43</v>
      </c>
      <c r="J9320" s="28" t="s">
        <v>913</v>
      </c>
      <c r="K9320" s="27" t="s">
        <v>38</v>
      </c>
      <c r="L9320" s="27"/>
    </row>
    <row r="9321" customFormat="false" ht="15" hidden="false" customHeight="false" outlineLevel="0" collapsed="false">
      <c r="A9321" s="26" t="s">
        <v>23555</v>
      </c>
      <c r="B9321" s="27" t="s">
        <v>23556</v>
      </c>
      <c r="C9321" s="27" t="s">
        <v>144</v>
      </c>
      <c r="D9321" s="26"/>
      <c r="E9321" s="27"/>
      <c r="F9321" s="27"/>
      <c r="G9321" s="27" t="s">
        <v>11122</v>
      </c>
      <c r="H9321" s="27" t="s">
        <v>35</v>
      </c>
      <c r="I9321" s="27" t="s">
        <v>38</v>
      </c>
      <c r="J9321" s="28" t="s">
        <v>913</v>
      </c>
      <c r="K9321" s="27" t="s">
        <v>38</v>
      </c>
      <c r="L9321" s="27"/>
    </row>
    <row r="9322" customFormat="false" ht="15" hidden="false" customHeight="false" outlineLevel="0" collapsed="false">
      <c r="A9322" s="26" t="s">
        <v>23557</v>
      </c>
      <c r="B9322" s="27" t="s">
        <v>23558</v>
      </c>
      <c r="C9322" s="27" t="s">
        <v>144</v>
      </c>
      <c r="D9322" s="26"/>
      <c r="E9322" s="27"/>
      <c r="F9322" s="27"/>
      <c r="G9322" s="27" t="s">
        <v>11122</v>
      </c>
      <c r="H9322" s="27" t="s">
        <v>35</v>
      </c>
      <c r="I9322" s="27" t="s">
        <v>38</v>
      </c>
      <c r="J9322" s="28" t="s">
        <v>913</v>
      </c>
      <c r="K9322" s="27" t="s">
        <v>38</v>
      </c>
      <c r="L9322" s="27"/>
    </row>
    <row r="9323" customFormat="false" ht="15" hidden="false" customHeight="false" outlineLevel="0" collapsed="false">
      <c r="A9323" s="26" t="s">
        <v>23559</v>
      </c>
      <c r="B9323" s="27" t="s">
        <v>23560</v>
      </c>
      <c r="C9323" s="27" t="s">
        <v>144</v>
      </c>
      <c r="D9323" s="26"/>
      <c r="E9323" s="27"/>
      <c r="F9323" s="27"/>
      <c r="G9323" s="27" t="s">
        <v>11122</v>
      </c>
      <c r="H9323" s="27" t="s">
        <v>35</v>
      </c>
      <c r="I9323" s="27" t="s">
        <v>38</v>
      </c>
      <c r="J9323" s="28" t="s">
        <v>913</v>
      </c>
      <c r="K9323" s="27" t="s">
        <v>38</v>
      </c>
      <c r="L9323" s="27"/>
    </row>
    <row r="9324" customFormat="false" ht="15" hidden="false" customHeight="false" outlineLevel="0" collapsed="false">
      <c r="A9324" s="26" t="s">
        <v>23561</v>
      </c>
      <c r="B9324" s="27" t="s">
        <v>23562</v>
      </c>
      <c r="C9324" s="27" t="s">
        <v>144</v>
      </c>
      <c r="D9324" s="26"/>
      <c r="E9324" s="27"/>
      <c r="F9324" s="27"/>
      <c r="G9324" s="27" t="s">
        <v>11122</v>
      </c>
      <c r="H9324" s="27" t="s">
        <v>35</v>
      </c>
      <c r="I9324" s="27" t="s">
        <v>38</v>
      </c>
      <c r="J9324" s="28" t="s">
        <v>913</v>
      </c>
      <c r="K9324" s="27" t="s">
        <v>38</v>
      </c>
      <c r="L9324" s="27"/>
    </row>
    <row r="9325" customFormat="false" ht="15" hidden="false" customHeight="false" outlineLevel="0" collapsed="false">
      <c r="A9325" s="26" t="s">
        <v>23563</v>
      </c>
      <c r="B9325" s="27" t="s">
        <v>23564</v>
      </c>
      <c r="C9325" s="27" t="s">
        <v>144</v>
      </c>
      <c r="D9325" s="26"/>
      <c r="E9325" s="27"/>
      <c r="F9325" s="27"/>
      <c r="G9325" s="27" t="s">
        <v>11122</v>
      </c>
      <c r="H9325" s="27" t="s">
        <v>35</v>
      </c>
      <c r="I9325" s="27" t="s">
        <v>38</v>
      </c>
      <c r="J9325" s="28" t="s">
        <v>913</v>
      </c>
      <c r="K9325" s="27" t="s">
        <v>38</v>
      </c>
      <c r="L9325" s="27"/>
    </row>
    <row r="9326" customFormat="false" ht="15" hidden="false" customHeight="false" outlineLevel="0" collapsed="false">
      <c r="A9326" s="26" t="s">
        <v>23565</v>
      </c>
      <c r="B9326" s="27" t="s">
        <v>23566</v>
      </c>
      <c r="C9326" s="27" t="s">
        <v>144</v>
      </c>
      <c r="D9326" s="26"/>
      <c r="E9326" s="27"/>
      <c r="F9326" s="27"/>
      <c r="G9326" s="27" t="s">
        <v>11122</v>
      </c>
      <c r="H9326" s="27" t="s">
        <v>35</v>
      </c>
      <c r="I9326" s="27" t="s">
        <v>38</v>
      </c>
      <c r="J9326" s="28" t="s">
        <v>913</v>
      </c>
      <c r="K9326" s="27" t="s">
        <v>38</v>
      </c>
      <c r="L9326" s="27"/>
    </row>
    <row r="9327" customFormat="false" ht="15" hidden="false" customHeight="false" outlineLevel="0" collapsed="false">
      <c r="A9327" s="26" t="s">
        <v>23567</v>
      </c>
      <c r="B9327" s="28" t="s">
        <v>23568</v>
      </c>
      <c r="C9327" s="27" t="s">
        <v>144</v>
      </c>
      <c r="D9327" s="26"/>
      <c r="E9327" s="27"/>
      <c r="F9327" s="27"/>
      <c r="G9327" s="27" t="s">
        <v>11122</v>
      </c>
      <c r="H9327" s="27" t="s">
        <v>35</v>
      </c>
      <c r="I9327" s="27" t="s">
        <v>41</v>
      </c>
      <c r="J9327" s="28" t="s">
        <v>913</v>
      </c>
      <c r="K9327" s="27" t="s">
        <v>38</v>
      </c>
      <c r="L9327" s="27"/>
    </row>
    <row r="9328" customFormat="false" ht="15" hidden="false" customHeight="false" outlineLevel="0" collapsed="false">
      <c r="A9328" s="26" t="s">
        <v>23569</v>
      </c>
      <c r="B9328" s="27" t="s">
        <v>23570</v>
      </c>
      <c r="C9328" s="27" t="s">
        <v>1187</v>
      </c>
      <c r="D9328" s="26"/>
      <c r="E9328" s="27"/>
      <c r="F9328" s="27"/>
      <c r="G9328" s="27" t="s">
        <v>11122</v>
      </c>
      <c r="H9328" s="27" t="s">
        <v>35</v>
      </c>
      <c r="I9328" s="27" t="s">
        <v>39</v>
      </c>
      <c r="J9328" s="28" t="s">
        <v>913</v>
      </c>
      <c r="K9328" s="27" t="s">
        <v>38</v>
      </c>
      <c r="L9328" s="27"/>
    </row>
    <row r="9329" customFormat="false" ht="15" hidden="false" customHeight="false" outlineLevel="0" collapsed="false">
      <c r="A9329" s="26" t="s">
        <v>23571</v>
      </c>
      <c r="B9329" s="27" t="s">
        <v>23572</v>
      </c>
      <c r="C9329" s="27" t="s">
        <v>144</v>
      </c>
      <c r="D9329" s="26"/>
      <c r="E9329" s="27"/>
      <c r="F9329" s="27"/>
      <c r="G9329" s="27" t="s">
        <v>11122</v>
      </c>
      <c r="H9329" s="27" t="s">
        <v>35</v>
      </c>
      <c r="I9329" s="28" t="s">
        <v>50</v>
      </c>
      <c r="J9329" s="28" t="s">
        <v>913</v>
      </c>
      <c r="K9329" s="27" t="s">
        <v>38</v>
      </c>
      <c r="L9329" s="27"/>
    </row>
    <row r="9330" customFormat="false" ht="15" hidden="false" customHeight="false" outlineLevel="0" collapsed="false">
      <c r="A9330" s="26" t="s">
        <v>23573</v>
      </c>
      <c r="B9330" s="27" t="s">
        <v>23574</v>
      </c>
      <c r="C9330" s="27" t="s">
        <v>370</v>
      </c>
      <c r="D9330" s="26"/>
      <c r="E9330" s="27"/>
      <c r="F9330" s="27"/>
      <c r="G9330" s="27" t="s">
        <v>11122</v>
      </c>
      <c r="H9330" s="27" t="s">
        <v>35</v>
      </c>
      <c r="I9330" s="28" t="s">
        <v>50</v>
      </c>
      <c r="J9330" s="28" t="s">
        <v>913</v>
      </c>
      <c r="K9330" s="27" t="s">
        <v>38</v>
      </c>
      <c r="L9330" s="27"/>
    </row>
    <row r="9331" customFormat="false" ht="15" hidden="false" customHeight="false" outlineLevel="0" collapsed="false">
      <c r="A9331" s="26" t="s">
        <v>23575</v>
      </c>
      <c r="B9331" s="27" t="s">
        <v>23576</v>
      </c>
      <c r="C9331" s="27" t="s">
        <v>144</v>
      </c>
      <c r="D9331" s="26"/>
      <c r="E9331" s="27"/>
      <c r="F9331" s="27"/>
      <c r="G9331" s="27" t="s">
        <v>11122</v>
      </c>
      <c r="H9331" s="27" t="s">
        <v>35</v>
      </c>
      <c r="I9331" s="27" t="s">
        <v>38</v>
      </c>
      <c r="J9331" s="28" t="s">
        <v>913</v>
      </c>
      <c r="K9331" s="27" t="s">
        <v>38</v>
      </c>
      <c r="L9331" s="27"/>
    </row>
    <row r="9332" customFormat="false" ht="15" hidden="false" customHeight="false" outlineLevel="0" collapsed="false">
      <c r="A9332" s="26" t="s">
        <v>23577</v>
      </c>
      <c r="B9332" s="27" t="s">
        <v>23578</v>
      </c>
      <c r="C9332" s="27" t="s">
        <v>144</v>
      </c>
      <c r="D9332" s="26"/>
      <c r="E9332" s="27"/>
      <c r="F9332" s="27"/>
      <c r="G9332" s="27" t="s">
        <v>11122</v>
      </c>
      <c r="H9332" s="27" t="s">
        <v>35</v>
      </c>
      <c r="I9332" s="27" t="s">
        <v>38</v>
      </c>
      <c r="J9332" s="28" t="s">
        <v>913</v>
      </c>
      <c r="K9332" s="27" t="s">
        <v>38</v>
      </c>
      <c r="L9332" s="27"/>
    </row>
    <row r="9333" customFormat="false" ht="15" hidden="false" customHeight="false" outlineLevel="0" collapsed="false">
      <c r="A9333" s="26" t="s">
        <v>23579</v>
      </c>
      <c r="B9333" s="27" t="s">
        <v>23580</v>
      </c>
      <c r="C9333" s="27" t="s">
        <v>144</v>
      </c>
      <c r="D9333" s="26"/>
      <c r="E9333" s="27"/>
      <c r="F9333" s="27"/>
      <c r="G9333" s="27" t="s">
        <v>11122</v>
      </c>
      <c r="H9333" s="27" t="s">
        <v>35</v>
      </c>
      <c r="I9333" s="27" t="s">
        <v>1296</v>
      </c>
      <c r="J9333" s="28" t="s">
        <v>913</v>
      </c>
      <c r="K9333" s="27" t="s">
        <v>38</v>
      </c>
      <c r="L9333" s="27"/>
    </row>
    <row r="9334" customFormat="false" ht="15" hidden="false" customHeight="false" outlineLevel="0" collapsed="false">
      <c r="A9334" s="26" t="s">
        <v>23581</v>
      </c>
      <c r="B9334" s="27" t="s">
        <v>23582</v>
      </c>
      <c r="C9334" s="27" t="s">
        <v>144</v>
      </c>
      <c r="D9334" s="26"/>
      <c r="E9334" s="27"/>
      <c r="F9334" s="27"/>
      <c r="G9334" s="27" t="s">
        <v>11122</v>
      </c>
      <c r="H9334" s="27" t="s">
        <v>35</v>
      </c>
      <c r="I9334" s="27" t="s">
        <v>38</v>
      </c>
      <c r="J9334" s="28" t="s">
        <v>913</v>
      </c>
      <c r="K9334" s="27" t="s">
        <v>38</v>
      </c>
      <c r="L9334" s="27"/>
    </row>
    <row r="9335" customFormat="false" ht="15" hidden="false" customHeight="false" outlineLevel="0" collapsed="false">
      <c r="A9335" s="26" t="s">
        <v>23583</v>
      </c>
      <c r="B9335" s="27" t="s">
        <v>23584</v>
      </c>
      <c r="C9335" s="27" t="s">
        <v>144</v>
      </c>
      <c r="D9335" s="26"/>
      <c r="E9335" s="27"/>
      <c r="F9335" s="27"/>
      <c r="G9335" s="27" t="s">
        <v>11122</v>
      </c>
      <c r="H9335" s="27" t="s">
        <v>35</v>
      </c>
      <c r="I9335" s="27" t="s">
        <v>38</v>
      </c>
      <c r="J9335" s="28" t="s">
        <v>913</v>
      </c>
      <c r="K9335" s="27" t="s">
        <v>38</v>
      </c>
      <c r="L9335" s="27"/>
    </row>
    <row r="9336" customFormat="false" ht="15" hidden="false" customHeight="false" outlineLevel="0" collapsed="false">
      <c r="A9336" s="26" t="s">
        <v>23585</v>
      </c>
      <c r="B9336" s="27" t="s">
        <v>23586</v>
      </c>
      <c r="C9336" s="27" t="s">
        <v>144</v>
      </c>
      <c r="D9336" s="26"/>
      <c r="E9336" s="27"/>
      <c r="F9336" s="27"/>
      <c r="G9336" s="27" t="s">
        <v>11122</v>
      </c>
      <c r="H9336" s="27" t="s">
        <v>35</v>
      </c>
      <c r="I9336" s="27" t="s">
        <v>39</v>
      </c>
      <c r="J9336" s="28" t="s">
        <v>913</v>
      </c>
      <c r="K9336" s="27" t="s">
        <v>38</v>
      </c>
      <c r="L9336" s="27"/>
    </row>
    <row r="9337" customFormat="false" ht="15" hidden="false" customHeight="false" outlineLevel="0" collapsed="false">
      <c r="A9337" s="26" t="s">
        <v>23587</v>
      </c>
      <c r="B9337" s="27" t="s">
        <v>23588</v>
      </c>
      <c r="C9337" s="27" t="s">
        <v>144</v>
      </c>
      <c r="D9337" s="26"/>
      <c r="E9337" s="27"/>
      <c r="F9337" s="27"/>
      <c r="G9337" s="27" t="s">
        <v>11122</v>
      </c>
      <c r="H9337" s="27" t="s">
        <v>35</v>
      </c>
      <c r="I9337" s="27" t="s">
        <v>38</v>
      </c>
      <c r="J9337" s="28" t="s">
        <v>913</v>
      </c>
      <c r="K9337" s="27" t="s">
        <v>38</v>
      </c>
      <c r="L9337" s="27"/>
    </row>
    <row r="9338" customFormat="false" ht="15" hidden="false" customHeight="false" outlineLevel="0" collapsed="false">
      <c r="A9338" s="26" t="s">
        <v>23589</v>
      </c>
      <c r="B9338" s="28" t="s">
        <v>23590</v>
      </c>
      <c r="C9338" s="27" t="s">
        <v>144</v>
      </c>
      <c r="D9338" s="26"/>
      <c r="E9338" s="27"/>
      <c r="F9338" s="27"/>
      <c r="G9338" s="27" t="s">
        <v>11122</v>
      </c>
      <c r="H9338" s="27" t="s">
        <v>35</v>
      </c>
      <c r="I9338" s="27" t="s">
        <v>37</v>
      </c>
      <c r="J9338" s="28" t="s">
        <v>913</v>
      </c>
      <c r="K9338" s="27" t="s">
        <v>38</v>
      </c>
      <c r="L9338" s="27"/>
    </row>
    <row r="9339" customFormat="false" ht="15" hidden="false" customHeight="false" outlineLevel="0" collapsed="false">
      <c r="A9339" s="26" t="s">
        <v>23591</v>
      </c>
      <c r="B9339" s="27" t="s">
        <v>23592</v>
      </c>
      <c r="C9339" s="27" t="s">
        <v>144</v>
      </c>
      <c r="D9339" s="26"/>
      <c r="E9339" s="27"/>
      <c r="F9339" s="27"/>
      <c r="G9339" s="27" t="s">
        <v>11122</v>
      </c>
      <c r="H9339" s="27" t="s">
        <v>35</v>
      </c>
      <c r="I9339" s="27" t="s">
        <v>38</v>
      </c>
      <c r="J9339" s="28" t="s">
        <v>913</v>
      </c>
      <c r="K9339" s="27" t="s">
        <v>38</v>
      </c>
      <c r="L9339" s="27"/>
    </row>
    <row r="9340" customFormat="false" ht="15" hidden="false" customHeight="false" outlineLevel="0" collapsed="false">
      <c r="A9340" s="26" t="s">
        <v>23593</v>
      </c>
      <c r="B9340" s="27" t="s">
        <v>23594</v>
      </c>
      <c r="C9340" s="27" t="s">
        <v>144</v>
      </c>
      <c r="D9340" s="26"/>
      <c r="E9340" s="27"/>
      <c r="F9340" s="27"/>
      <c r="G9340" s="27" t="s">
        <v>11122</v>
      </c>
      <c r="H9340" s="27" t="s">
        <v>35</v>
      </c>
      <c r="I9340" s="27" t="s">
        <v>37</v>
      </c>
      <c r="J9340" s="28" t="s">
        <v>913</v>
      </c>
      <c r="K9340" s="27" t="s">
        <v>38</v>
      </c>
      <c r="L9340" s="27"/>
    </row>
    <row r="9341" customFormat="false" ht="15" hidden="false" customHeight="false" outlineLevel="0" collapsed="false">
      <c r="A9341" s="26" t="s">
        <v>23595</v>
      </c>
      <c r="B9341" s="27" t="s">
        <v>23596</v>
      </c>
      <c r="C9341" s="27" t="s">
        <v>144</v>
      </c>
      <c r="D9341" s="26"/>
      <c r="E9341" s="27"/>
      <c r="F9341" s="27"/>
      <c r="G9341" s="27" t="s">
        <v>11122</v>
      </c>
      <c r="H9341" s="27" t="s">
        <v>35</v>
      </c>
      <c r="I9341" s="27" t="s">
        <v>38</v>
      </c>
      <c r="J9341" s="28" t="s">
        <v>913</v>
      </c>
      <c r="K9341" s="27" t="s">
        <v>38</v>
      </c>
      <c r="L9341" s="27"/>
    </row>
    <row r="9342" customFormat="false" ht="15" hidden="false" customHeight="false" outlineLevel="0" collapsed="false">
      <c r="A9342" s="26" t="s">
        <v>23597</v>
      </c>
      <c r="B9342" s="27" t="s">
        <v>23598</v>
      </c>
      <c r="C9342" s="27" t="s">
        <v>144</v>
      </c>
      <c r="D9342" s="26"/>
      <c r="E9342" s="27"/>
      <c r="F9342" s="27"/>
      <c r="G9342" s="27" t="s">
        <v>11122</v>
      </c>
      <c r="H9342" s="27" t="s">
        <v>35</v>
      </c>
      <c r="I9342" s="27" t="s">
        <v>38</v>
      </c>
      <c r="J9342" s="28" t="s">
        <v>913</v>
      </c>
      <c r="K9342" s="27" t="s">
        <v>38</v>
      </c>
      <c r="L9342" s="27"/>
    </row>
    <row r="9343" customFormat="false" ht="15" hidden="false" customHeight="false" outlineLevel="0" collapsed="false">
      <c r="A9343" s="26" t="s">
        <v>23599</v>
      </c>
      <c r="B9343" s="27" t="s">
        <v>23600</v>
      </c>
      <c r="C9343" s="27" t="s">
        <v>144</v>
      </c>
      <c r="D9343" s="26"/>
      <c r="E9343" s="27"/>
      <c r="F9343" s="27"/>
      <c r="G9343" s="27" t="s">
        <v>11122</v>
      </c>
      <c r="H9343" s="27" t="s">
        <v>35</v>
      </c>
      <c r="I9343" s="28" t="s">
        <v>50</v>
      </c>
      <c r="J9343" s="28" t="s">
        <v>913</v>
      </c>
      <c r="K9343" s="27" t="s">
        <v>38</v>
      </c>
      <c r="L9343" s="27"/>
    </row>
    <row r="9344" customFormat="false" ht="15" hidden="false" customHeight="false" outlineLevel="0" collapsed="false">
      <c r="A9344" s="26" t="s">
        <v>23601</v>
      </c>
      <c r="B9344" s="27" t="s">
        <v>23602</v>
      </c>
      <c r="C9344" s="27" t="s">
        <v>144</v>
      </c>
      <c r="D9344" s="26"/>
      <c r="E9344" s="27"/>
      <c r="F9344" s="27"/>
      <c r="G9344" s="27" t="s">
        <v>11122</v>
      </c>
      <c r="H9344" s="27" t="s">
        <v>35</v>
      </c>
      <c r="I9344" s="27" t="s">
        <v>37</v>
      </c>
      <c r="J9344" s="28" t="s">
        <v>913</v>
      </c>
      <c r="K9344" s="27" t="s">
        <v>38</v>
      </c>
      <c r="L9344" s="27"/>
    </row>
    <row r="9345" customFormat="false" ht="15" hidden="false" customHeight="false" outlineLevel="0" collapsed="false">
      <c r="A9345" s="26" t="s">
        <v>23603</v>
      </c>
      <c r="B9345" s="27" t="s">
        <v>23604</v>
      </c>
      <c r="C9345" s="27" t="s">
        <v>144</v>
      </c>
      <c r="D9345" s="26"/>
      <c r="E9345" s="27"/>
      <c r="F9345" s="27"/>
      <c r="G9345" s="27" t="s">
        <v>11122</v>
      </c>
      <c r="H9345" s="27" t="s">
        <v>35</v>
      </c>
      <c r="I9345" s="28" t="s">
        <v>50</v>
      </c>
      <c r="J9345" s="28" t="s">
        <v>913</v>
      </c>
      <c r="K9345" s="27" t="s">
        <v>38</v>
      </c>
      <c r="L9345" s="27"/>
    </row>
    <row r="9346" customFormat="false" ht="15" hidden="false" customHeight="false" outlineLevel="0" collapsed="false">
      <c r="A9346" s="26" t="s">
        <v>23605</v>
      </c>
      <c r="B9346" s="27" t="s">
        <v>23606</v>
      </c>
      <c r="C9346" s="27" t="s">
        <v>144</v>
      </c>
      <c r="D9346" s="26"/>
      <c r="E9346" s="27"/>
      <c r="F9346" s="27"/>
      <c r="G9346" s="27" t="s">
        <v>11122</v>
      </c>
      <c r="H9346" s="27" t="s">
        <v>35</v>
      </c>
      <c r="I9346" s="27" t="s">
        <v>38</v>
      </c>
      <c r="J9346" s="28" t="s">
        <v>913</v>
      </c>
      <c r="K9346" s="27" t="s">
        <v>38</v>
      </c>
      <c r="L9346" s="27"/>
    </row>
    <row r="9347" customFormat="false" ht="15" hidden="false" customHeight="false" outlineLevel="0" collapsed="false">
      <c r="A9347" s="26" t="s">
        <v>23607</v>
      </c>
      <c r="B9347" s="27" t="s">
        <v>23608</v>
      </c>
      <c r="C9347" s="27" t="s">
        <v>144</v>
      </c>
      <c r="D9347" s="26"/>
      <c r="E9347" s="27"/>
      <c r="F9347" s="27"/>
      <c r="G9347" s="27" t="s">
        <v>11122</v>
      </c>
      <c r="H9347" s="27" t="s">
        <v>35</v>
      </c>
      <c r="I9347" s="27" t="s">
        <v>38</v>
      </c>
      <c r="J9347" s="28" t="s">
        <v>913</v>
      </c>
      <c r="K9347" s="27" t="s">
        <v>38</v>
      </c>
      <c r="L9347" s="27"/>
    </row>
    <row r="9348" customFormat="false" ht="15" hidden="false" customHeight="false" outlineLevel="0" collapsed="false">
      <c r="A9348" s="26" t="s">
        <v>23609</v>
      </c>
      <c r="B9348" s="27" t="s">
        <v>23610</v>
      </c>
      <c r="C9348" s="27" t="s">
        <v>144</v>
      </c>
      <c r="D9348" s="26"/>
      <c r="E9348" s="27"/>
      <c r="F9348" s="27"/>
      <c r="G9348" s="27" t="s">
        <v>11122</v>
      </c>
      <c r="H9348" s="27" t="s">
        <v>35</v>
      </c>
      <c r="I9348" s="27" t="s">
        <v>38</v>
      </c>
      <c r="J9348" s="28" t="s">
        <v>913</v>
      </c>
      <c r="K9348" s="27" t="s">
        <v>38</v>
      </c>
      <c r="L9348" s="27"/>
    </row>
    <row r="9349" customFormat="false" ht="15" hidden="false" customHeight="false" outlineLevel="0" collapsed="false">
      <c r="A9349" s="26" t="s">
        <v>23611</v>
      </c>
      <c r="B9349" s="27" t="s">
        <v>23612</v>
      </c>
      <c r="C9349" s="27" t="s">
        <v>144</v>
      </c>
      <c r="D9349" s="26"/>
      <c r="E9349" s="27"/>
      <c r="F9349" s="27"/>
      <c r="G9349" s="27" t="s">
        <v>11122</v>
      </c>
      <c r="H9349" s="27" t="s">
        <v>35</v>
      </c>
      <c r="I9349" s="27" t="s">
        <v>38</v>
      </c>
      <c r="J9349" s="28" t="s">
        <v>913</v>
      </c>
      <c r="K9349" s="27" t="s">
        <v>38</v>
      </c>
      <c r="L9349" s="27"/>
    </row>
    <row r="9350" customFormat="false" ht="15" hidden="false" customHeight="false" outlineLevel="0" collapsed="false">
      <c r="A9350" s="26" t="s">
        <v>23613</v>
      </c>
      <c r="B9350" s="27" t="s">
        <v>23614</v>
      </c>
      <c r="C9350" s="27" t="s">
        <v>144</v>
      </c>
      <c r="D9350" s="26"/>
      <c r="E9350" s="27"/>
      <c r="F9350" s="27"/>
      <c r="G9350" s="27" t="s">
        <v>11122</v>
      </c>
      <c r="H9350" s="27" t="s">
        <v>35</v>
      </c>
      <c r="I9350" s="27" t="s">
        <v>38</v>
      </c>
      <c r="J9350" s="28" t="s">
        <v>913</v>
      </c>
      <c r="K9350" s="27" t="s">
        <v>38</v>
      </c>
      <c r="L9350" s="27"/>
    </row>
    <row r="9351" customFormat="false" ht="15" hidden="false" customHeight="false" outlineLevel="0" collapsed="false">
      <c r="A9351" s="26" t="s">
        <v>23615</v>
      </c>
      <c r="B9351" s="27" t="s">
        <v>23616</v>
      </c>
      <c r="C9351" s="27" t="s">
        <v>144</v>
      </c>
      <c r="D9351" s="26"/>
      <c r="E9351" s="27"/>
      <c r="F9351" s="27"/>
      <c r="G9351" s="27" t="s">
        <v>11122</v>
      </c>
      <c r="H9351" s="27" t="s">
        <v>35</v>
      </c>
      <c r="I9351" s="27" t="s">
        <v>38</v>
      </c>
      <c r="J9351" s="28" t="s">
        <v>913</v>
      </c>
      <c r="K9351" s="27" t="s">
        <v>38</v>
      </c>
      <c r="L9351" s="27"/>
    </row>
    <row r="9352" customFormat="false" ht="15" hidden="false" customHeight="false" outlineLevel="0" collapsed="false">
      <c r="A9352" s="26" t="s">
        <v>23617</v>
      </c>
      <c r="B9352" s="27" t="s">
        <v>23618</v>
      </c>
      <c r="C9352" s="27" t="s">
        <v>144</v>
      </c>
      <c r="D9352" s="26"/>
      <c r="E9352" s="27"/>
      <c r="F9352" s="27"/>
      <c r="G9352" s="27" t="s">
        <v>11122</v>
      </c>
      <c r="H9352" s="27" t="s">
        <v>35</v>
      </c>
      <c r="I9352" s="27" t="s">
        <v>38</v>
      </c>
      <c r="J9352" s="28" t="s">
        <v>913</v>
      </c>
      <c r="K9352" s="27" t="s">
        <v>38</v>
      </c>
      <c r="L9352" s="27"/>
    </row>
    <row r="9353" customFormat="false" ht="15" hidden="false" customHeight="false" outlineLevel="0" collapsed="false">
      <c r="A9353" s="26" t="s">
        <v>23619</v>
      </c>
      <c r="B9353" s="27" t="s">
        <v>23620</v>
      </c>
      <c r="C9353" s="27" t="s">
        <v>144</v>
      </c>
      <c r="D9353" s="26"/>
      <c r="E9353" s="27"/>
      <c r="F9353" s="27"/>
      <c r="G9353" s="27" t="s">
        <v>11122</v>
      </c>
      <c r="H9353" s="27" t="s">
        <v>35</v>
      </c>
      <c r="I9353" s="27" t="s">
        <v>38</v>
      </c>
      <c r="J9353" s="28" t="s">
        <v>913</v>
      </c>
      <c r="K9353" s="27" t="s">
        <v>38</v>
      </c>
      <c r="L9353" s="27"/>
    </row>
    <row r="9354" customFormat="false" ht="15" hidden="false" customHeight="false" outlineLevel="0" collapsed="false">
      <c r="A9354" s="26" t="s">
        <v>23621</v>
      </c>
      <c r="B9354" s="27" t="s">
        <v>23622</v>
      </c>
      <c r="C9354" s="27" t="s">
        <v>144</v>
      </c>
      <c r="D9354" s="26"/>
      <c r="E9354" s="27"/>
      <c r="F9354" s="27"/>
      <c r="G9354" s="27" t="s">
        <v>11122</v>
      </c>
      <c r="H9354" s="27" t="s">
        <v>35</v>
      </c>
      <c r="I9354" s="27" t="s">
        <v>38</v>
      </c>
      <c r="J9354" s="28" t="s">
        <v>913</v>
      </c>
      <c r="K9354" s="27" t="s">
        <v>38</v>
      </c>
      <c r="L9354" s="27"/>
    </row>
    <row r="9355" customFormat="false" ht="15" hidden="false" customHeight="false" outlineLevel="0" collapsed="false">
      <c r="A9355" s="26" t="s">
        <v>23623</v>
      </c>
      <c r="B9355" s="27" t="s">
        <v>23624</v>
      </c>
      <c r="C9355" s="27" t="s">
        <v>144</v>
      </c>
      <c r="D9355" s="26"/>
      <c r="E9355" s="27"/>
      <c r="F9355" s="27"/>
      <c r="G9355" s="27" t="s">
        <v>11122</v>
      </c>
      <c r="H9355" s="27" t="s">
        <v>35</v>
      </c>
      <c r="I9355" s="27" t="s">
        <v>38</v>
      </c>
      <c r="J9355" s="28" t="s">
        <v>913</v>
      </c>
      <c r="K9355" s="27" t="s">
        <v>38</v>
      </c>
      <c r="L9355" s="27"/>
    </row>
    <row r="9356" customFormat="false" ht="15" hidden="false" customHeight="false" outlineLevel="0" collapsed="false">
      <c r="A9356" s="26" t="s">
        <v>23625</v>
      </c>
      <c r="B9356" s="27" t="s">
        <v>23626</v>
      </c>
      <c r="C9356" s="27" t="s">
        <v>144</v>
      </c>
      <c r="D9356" s="26"/>
      <c r="E9356" s="27"/>
      <c r="F9356" s="27"/>
      <c r="G9356" s="27" t="s">
        <v>11122</v>
      </c>
      <c r="H9356" s="27" t="s">
        <v>35</v>
      </c>
      <c r="I9356" s="27" t="s">
        <v>38</v>
      </c>
      <c r="J9356" s="28" t="s">
        <v>913</v>
      </c>
      <c r="K9356" s="27" t="s">
        <v>38</v>
      </c>
      <c r="L9356" s="27"/>
    </row>
    <row r="9357" customFormat="false" ht="15" hidden="false" customHeight="false" outlineLevel="0" collapsed="false">
      <c r="A9357" s="26" t="s">
        <v>23627</v>
      </c>
      <c r="B9357" s="27" t="s">
        <v>23628</v>
      </c>
      <c r="C9357" s="27" t="s">
        <v>144</v>
      </c>
      <c r="D9357" s="26"/>
      <c r="E9357" s="27"/>
      <c r="F9357" s="27"/>
      <c r="G9357" s="27" t="s">
        <v>11122</v>
      </c>
      <c r="H9357" s="27" t="s">
        <v>35</v>
      </c>
      <c r="I9357" s="27" t="s">
        <v>38</v>
      </c>
      <c r="J9357" s="28" t="s">
        <v>913</v>
      </c>
      <c r="K9357" s="27" t="s">
        <v>38</v>
      </c>
      <c r="L9357" s="27"/>
    </row>
    <row r="9358" customFormat="false" ht="15" hidden="false" customHeight="false" outlineLevel="0" collapsed="false">
      <c r="A9358" s="26" t="s">
        <v>23629</v>
      </c>
      <c r="B9358" s="27" t="s">
        <v>23630</v>
      </c>
      <c r="C9358" s="27" t="s">
        <v>144</v>
      </c>
      <c r="D9358" s="26"/>
      <c r="E9358" s="27"/>
      <c r="F9358" s="27"/>
      <c r="G9358" s="27" t="s">
        <v>11122</v>
      </c>
      <c r="H9358" s="27" t="s">
        <v>35</v>
      </c>
      <c r="I9358" s="27" t="s">
        <v>38</v>
      </c>
      <c r="J9358" s="28" t="s">
        <v>913</v>
      </c>
      <c r="K9358" s="27" t="s">
        <v>38</v>
      </c>
      <c r="L9358" s="27"/>
    </row>
    <row r="9359" customFormat="false" ht="15" hidden="false" customHeight="false" outlineLevel="0" collapsed="false">
      <c r="A9359" s="26" t="s">
        <v>23631</v>
      </c>
      <c r="B9359" s="27" t="s">
        <v>23632</v>
      </c>
      <c r="C9359" s="27" t="s">
        <v>144</v>
      </c>
      <c r="D9359" s="26"/>
      <c r="E9359" s="27"/>
      <c r="F9359" s="27"/>
      <c r="G9359" s="27" t="s">
        <v>11122</v>
      </c>
      <c r="H9359" s="27" t="s">
        <v>35</v>
      </c>
      <c r="I9359" s="27" t="s">
        <v>38</v>
      </c>
      <c r="J9359" s="28" t="s">
        <v>913</v>
      </c>
      <c r="K9359" s="27" t="s">
        <v>38</v>
      </c>
      <c r="L9359" s="27"/>
    </row>
    <row r="9360" customFormat="false" ht="15" hidden="false" customHeight="false" outlineLevel="0" collapsed="false">
      <c r="A9360" s="26" t="s">
        <v>23633</v>
      </c>
      <c r="B9360" s="27" t="s">
        <v>23634</v>
      </c>
      <c r="C9360" s="27" t="s">
        <v>144</v>
      </c>
      <c r="D9360" s="26"/>
      <c r="E9360" s="27"/>
      <c r="F9360" s="27"/>
      <c r="G9360" s="27" t="s">
        <v>11122</v>
      </c>
      <c r="H9360" s="27" t="s">
        <v>35</v>
      </c>
      <c r="I9360" s="27" t="s">
        <v>38</v>
      </c>
      <c r="J9360" s="28" t="s">
        <v>913</v>
      </c>
      <c r="K9360" s="27" t="s">
        <v>38</v>
      </c>
      <c r="L9360" s="27"/>
    </row>
    <row r="9361" customFormat="false" ht="15" hidden="false" customHeight="false" outlineLevel="0" collapsed="false">
      <c r="A9361" s="26" t="s">
        <v>23635</v>
      </c>
      <c r="B9361" s="27" t="s">
        <v>23636</v>
      </c>
      <c r="C9361" s="27" t="s">
        <v>144</v>
      </c>
      <c r="D9361" s="26"/>
      <c r="E9361" s="27"/>
      <c r="F9361" s="27"/>
      <c r="G9361" s="27" t="s">
        <v>11122</v>
      </c>
      <c r="H9361" s="27" t="s">
        <v>35</v>
      </c>
      <c r="I9361" s="27" t="s">
        <v>38</v>
      </c>
      <c r="J9361" s="28" t="s">
        <v>913</v>
      </c>
      <c r="K9361" s="27" t="s">
        <v>38</v>
      </c>
      <c r="L9361" s="27"/>
    </row>
    <row r="9362" customFormat="false" ht="15" hidden="false" customHeight="false" outlineLevel="0" collapsed="false">
      <c r="A9362" s="26" t="s">
        <v>23637</v>
      </c>
      <c r="B9362" s="27" t="s">
        <v>23638</v>
      </c>
      <c r="C9362" s="27" t="s">
        <v>144</v>
      </c>
      <c r="D9362" s="26"/>
      <c r="E9362" s="27"/>
      <c r="F9362" s="27"/>
      <c r="G9362" s="27" t="s">
        <v>11122</v>
      </c>
      <c r="H9362" s="27" t="s">
        <v>35</v>
      </c>
      <c r="I9362" s="27" t="s">
        <v>38</v>
      </c>
      <c r="J9362" s="28" t="s">
        <v>913</v>
      </c>
      <c r="K9362" s="27" t="s">
        <v>38</v>
      </c>
      <c r="L9362" s="27"/>
    </row>
    <row r="9363" customFormat="false" ht="15" hidden="false" customHeight="false" outlineLevel="0" collapsed="false">
      <c r="A9363" s="26" t="s">
        <v>23639</v>
      </c>
      <c r="B9363" s="27" t="s">
        <v>23640</v>
      </c>
      <c r="C9363" s="27" t="s">
        <v>144</v>
      </c>
      <c r="D9363" s="26"/>
      <c r="E9363" s="27"/>
      <c r="F9363" s="27"/>
      <c r="G9363" s="27" t="s">
        <v>11122</v>
      </c>
      <c r="H9363" s="27" t="s">
        <v>35</v>
      </c>
      <c r="I9363" s="27" t="s">
        <v>38</v>
      </c>
      <c r="J9363" s="28" t="s">
        <v>913</v>
      </c>
      <c r="K9363" s="27" t="s">
        <v>38</v>
      </c>
      <c r="L9363" s="27"/>
    </row>
    <row r="9364" customFormat="false" ht="15" hidden="false" customHeight="false" outlineLevel="0" collapsed="false">
      <c r="A9364" s="26" t="s">
        <v>23641</v>
      </c>
      <c r="B9364" s="27" t="s">
        <v>23642</v>
      </c>
      <c r="C9364" s="27" t="s">
        <v>144</v>
      </c>
      <c r="D9364" s="26"/>
      <c r="E9364" s="27"/>
      <c r="F9364" s="27"/>
      <c r="G9364" s="27" t="s">
        <v>11122</v>
      </c>
      <c r="H9364" s="27" t="s">
        <v>35</v>
      </c>
      <c r="I9364" s="27" t="s">
        <v>38</v>
      </c>
      <c r="J9364" s="28" t="s">
        <v>913</v>
      </c>
      <c r="K9364" s="27" t="s">
        <v>38</v>
      </c>
      <c r="L9364" s="27"/>
    </row>
    <row r="9365" customFormat="false" ht="15" hidden="false" customHeight="false" outlineLevel="0" collapsed="false">
      <c r="A9365" s="26" t="s">
        <v>23643</v>
      </c>
      <c r="B9365" s="27" t="s">
        <v>23644</v>
      </c>
      <c r="C9365" s="27" t="s">
        <v>144</v>
      </c>
      <c r="D9365" s="26"/>
      <c r="E9365" s="27"/>
      <c r="F9365" s="27"/>
      <c r="G9365" s="27" t="s">
        <v>11122</v>
      </c>
      <c r="H9365" s="27" t="s">
        <v>35</v>
      </c>
      <c r="I9365" s="27" t="s">
        <v>38</v>
      </c>
      <c r="J9365" s="28" t="s">
        <v>913</v>
      </c>
      <c r="K9365" s="27" t="s">
        <v>38</v>
      </c>
      <c r="L9365" s="27"/>
    </row>
    <row r="9366" customFormat="false" ht="15" hidden="false" customHeight="false" outlineLevel="0" collapsed="false">
      <c r="A9366" s="26" t="s">
        <v>23645</v>
      </c>
      <c r="B9366" s="27" t="s">
        <v>23646</v>
      </c>
      <c r="C9366" s="27" t="s">
        <v>144</v>
      </c>
      <c r="D9366" s="26"/>
      <c r="E9366" s="27"/>
      <c r="F9366" s="27"/>
      <c r="G9366" s="27" t="s">
        <v>11122</v>
      </c>
      <c r="H9366" s="27" t="s">
        <v>35</v>
      </c>
      <c r="I9366" s="27" t="s">
        <v>38</v>
      </c>
      <c r="J9366" s="28" t="s">
        <v>913</v>
      </c>
      <c r="K9366" s="27" t="s">
        <v>38</v>
      </c>
      <c r="L9366" s="27"/>
    </row>
    <row r="9367" customFormat="false" ht="15" hidden="false" customHeight="false" outlineLevel="0" collapsed="false">
      <c r="A9367" s="26" t="s">
        <v>23647</v>
      </c>
      <c r="B9367" s="27" t="s">
        <v>23648</v>
      </c>
      <c r="C9367" s="27" t="s">
        <v>144</v>
      </c>
      <c r="D9367" s="26"/>
      <c r="E9367" s="27"/>
      <c r="F9367" s="27"/>
      <c r="G9367" s="27" t="s">
        <v>11122</v>
      </c>
      <c r="H9367" s="27" t="s">
        <v>35</v>
      </c>
      <c r="I9367" s="27" t="s">
        <v>38</v>
      </c>
      <c r="J9367" s="28" t="s">
        <v>913</v>
      </c>
      <c r="K9367" s="27" t="s">
        <v>38</v>
      </c>
      <c r="L9367" s="27"/>
    </row>
    <row r="9368" customFormat="false" ht="15" hidden="false" customHeight="false" outlineLevel="0" collapsed="false">
      <c r="A9368" s="26" t="s">
        <v>23649</v>
      </c>
      <c r="B9368" s="27" t="s">
        <v>23650</v>
      </c>
      <c r="C9368" s="27" t="s">
        <v>144</v>
      </c>
      <c r="D9368" s="26"/>
      <c r="E9368" s="27"/>
      <c r="F9368" s="27"/>
      <c r="G9368" s="27" t="s">
        <v>11122</v>
      </c>
      <c r="H9368" s="27" t="s">
        <v>35</v>
      </c>
      <c r="I9368" s="27" t="s">
        <v>44</v>
      </c>
      <c r="J9368" s="28" t="s">
        <v>913</v>
      </c>
      <c r="K9368" s="27" t="s">
        <v>38</v>
      </c>
      <c r="L9368" s="27"/>
    </row>
    <row r="9369" customFormat="false" ht="15" hidden="false" customHeight="false" outlineLevel="0" collapsed="false">
      <c r="A9369" s="26" t="s">
        <v>23651</v>
      </c>
      <c r="B9369" s="27" t="s">
        <v>23652</v>
      </c>
      <c r="C9369" s="27" t="s">
        <v>144</v>
      </c>
      <c r="D9369" s="26"/>
      <c r="E9369" s="27"/>
      <c r="F9369" s="27"/>
      <c r="G9369" s="27" t="s">
        <v>11122</v>
      </c>
      <c r="H9369" s="27" t="s">
        <v>35</v>
      </c>
      <c r="I9369" s="27" t="s">
        <v>44</v>
      </c>
      <c r="J9369" s="28" t="s">
        <v>913</v>
      </c>
      <c r="K9369" s="27" t="s">
        <v>38</v>
      </c>
      <c r="L9369" s="27"/>
    </row>
    <row r="9370" customFormat="false" ht="15" hidden="false" customHeight="false" outlineLevel="0" collapsed="false">
      <c r="A9370" s="26" t="s">
        <v>23653</v>
      </c>
      <c r="B9370" s="27" t="s">
        <v>23654</v>
      </c>
      <c r="C9370" s="27" t="s">
        <v>144</v>
      </c>
      <c r="D9370" s="26"/>
      <c r="E9370" s="27"/>
      <c r="F9370" s="27"/>
      <c r="G9370" s="27" t="s">
        <v>11122</v>
      </c>
      <c r="H9370" s="27" t="s">
        <v>35</v>
      </c>
      <c r="I9370" s="27" t="s">
        <v>44</v>
      </c>
      <c r="J9370" s="28" t="s">
        <v>913</v>
      </c>
      <c r="K9370" s="27" t="s">
        <v>38</v>
      </c>
      <c r="L9370" s="27"/>
    </row>
    <row r="9371" customFormat="false" ht="15" hidden="false" customHeight="false" outlineLevel="0" collapsed="false">
      <c r="A9371" s="26" t="s">
        <v>23655</v>
      </c>
      <c r="B9371" s="27" t="s">
        <v>23656</v>
      </c>
      <c r="C9371" s="27" t="s">
        <v>144</v>
      </c>
      <c r="D9371" s="26"/>
      <c r="E9371" s="27"/>
      <c r="F9371" s="27"/>
      <c r="G9371" s="27" t="s">
        <v>11122</v>
      </c>
      <c r="H9371" s="27" t="s">
        <v>35</v>
      </c>
      <c r="I9371" s="27" t="s">
        <v>44</v>
      </c>
      <c r="J9371" s="28" t="s">
        <v>913</v>
      </c>
      <c r="K9371" s="27" t="s">
        <v>38</v>
      </c>
      <c r="L9371" s="27"/>
    </row>
    <row r="9372" customFormat="false" ht="15" hidden="false" customHeight="false" outlineLevel="0" collapsed="false">
      <c r="A9372" s="26" t="s">
        <v>23657</v>
      </c>
      <c r="B9372" s="27" t="s">
        <v>23658</v>
      </c>
      <c r="C9372" s="27" t="s">
        <v>144</v>
      </c>
      <c r="D9372" s="26"/>
      <c r="E9372" s="27"/>
      <c r="F9372" s="27"/>
      <c r="G9372" s="27" t="s">
        <v>11122</v>
      </c>
      <c r="H9372" s="27" t="s">
        <v>35</v>
      </c>
      <c r="I9372" s="27" t="s">
        <v>38</v>
      </c>
      <c r="J9372" s="28" t="s">
        <v>913</v>
      </c>
      <c r="K9372" s="27" t="s">
        <v>38</v>
      </c>
      <c r="L9372" s="27"/>
    </row>
    <row r="9373" customFormat="false" ht="15" hidden="false" customHeight="false" outlineLevel="0" collapsed="false">
      <c r="A9373" s="26" t="s">
        <v>23659</v>
      </c>
      <c r="B9373" s="27" t="s">
        <v>23660</v>
      </c>
      <c r="C9373" s="27" t="s">
        <v>144</v>
      </c>
      <c r="D9373" s="26"/>
      <c r="E9373" s="27"/>
      <c r="F9373" s="27"/>
      <c r="G9373" s="27" t="s">
        <v>11122</v>
      </c>
      <c r="H9373" s="27" t="s">
        <v>35</v>
      </c>
      <c r="I9373" s="27" t="s">
        <v>38</v>
      </c>
      <c r="J9373" s="28" t="s">
        <v>913</v>
      </c>
      <c r="K9373" s="27" t="s">
        <v>38</v>
      </c>
      <c r="L9373" s="27"/>
    </row>
    <row r="9374" customFormat="false" ht="15" hidden="false" customHeight="false" outlineLevel="0" collapsed="false">
      <c r="A9374" s="26" t="s">
        <v>23661</v>
      </c>
      <c r="B9374" s="27" t="s">
        <v>23662</v>
      </c>
      <c r="C9374" s="27" t="s">
        <v>144</v>
      </c>
      <c r="D9374" s="26"/>
      <c r="E9374" s="27"/>
      <c r="F9374" s="27"/>
      <c r="G9374" s="27" t="s">
        <v>11122</v>
      </c>
      <c r="H9374" s="27" t="s">
        <v>35</v>
      </c>
      <c r="I9374" s="27" t="s">
        <v>38</v>
      </c>
      <c r="J9374" s="28" t="s">
        <v>913</v>
      </c>
      <c r="K9374" s="27" t="s">
        <v>38</v>
      </c>
      <c r="L9374" s="27"/>
    </row>
    <row r="9375" customFormat="false" ht="15" hidden="false" customHeight="false" outlineLevel="0" collapsed="false">
      <c r="A9375" s="26" t="s">
        <v>23663</v>
      </c>
      <c r="B9375" s="27" t="s">
        <v>23664</v>
      </c>
      <c r="C9375" s="27" t="s">
        <v>144</v>
      </c>
      <c r="D9375" s="26"/>
      <c r="E9375" s="27"/>
      <c r="F9375" s="27"/>
      <c r="G9375" s="27" t="s">
        <v>11122</v>
      </c>
      <c r="H9375" s="27" t="s">
        <v>35</v>
      </c>
      <c r="I9375" s="27" t="s">
        <v>38</v>
      </c>
      <c r="J9375" s="28" t="s">
        <v>913</v>
      </c>
      <c r="K9375" s="27" t="s">
        <v>38</v>
      </c>
      <c r="L9375" s="27"/>
    </row>
    <row r="9376" customFormat="false" ht="15" hidden="false" customHeight="false" outlineLevel="0" collapsed="false">
      <c r="A9376" s="26" t="s">
        <v>23665</v>
      </c>
      <c r="B9376" s="27" t="s">
        <v>23666</v>
      </c>
      <c r="C9376" s="27" t="s">
        <v>144</v>
      </c>
      <c r="D9376" s="26"/>
      <c r="E9376" s="27"/>
      <c r="F9376" s="27"/>
      <c r="G9376" s="27" t="s">
        <v>11122</v>
      </c>
      <c r="H9376" s="27" t="s">
        <v>35</v>
      </c>
      <c r="I9376" s="27" t="s">
        <v>38</v>
      </c>
      <c r="J9376" s="28" t="s">
        <v>913</v>
      </c>
      <c r="K9376" s="27" t="s">
        <v>38</v>
      </c>
      <c r="L9376" s="27"/>
    </row>
    <row r="9377" customFormat="false" ht="15" hidden="false" customHeight="false" outlineLevel="0" collapsed="false">
      <c r="A9377" s="26" t="s">
        <v>23667</v>
      </c>
      <c r="B9377" s="27" t="s">
        <v>23668</v>
      </c>
      <c r="C9377" s="27" t="s">
        <v>144</v>
      </c>
      <c r="D9377" s="26"/>
      <c r="E9377" s="27"/>
      <c r="F9377" s="27"/>
      <c r="G9377" s="27" t="s">
        <v>11122</v>
      </c>
      <c r="H9377" s="27" t="s">
        <v>35</v>
      </c>
      <c r="I9377" s="27" t="s">
        <v>38</v>
      </c>
      <c r="J9377" s="28" t="s">
        <v>913</v>
      </c>
      <c r="K9377" s="27" t="s">
        <v>38</v>
      </c>
      <c r="L9377" s="27"/>
    </row>
    <row r="9378" customFormat="false" ht="15" hidden="false" customHeight="false" outlineLevel="0" collapsed="false">
      <c r="A9378" s="26" t="s">
        <v>23669</v>
      </c>
      <c r="B9378" s="27" t="s">
        <v>23670</v>
      </c>
      <c r="C9378" s="27" t="s">
        <v>144</v>
      </c>
      <c r="D9378" s="26"/>
      <c r="E9378" s="27"/>
      <c r="F9378" s="27"/>
      <c r="G9378" s="27" t="s">
        <v>11122</v>
      </c>
      <c r="H9378" s="27" t="s">
        <v>35</v>
      </c>
      <c r="I9378" s="27" t="s">
        <v>38</v>
      </c>
      <c r="J9378" s="28" t="s">
        <v>913</v>
      </c>
      <c r="K9378" s="27" t="s">
        <v>38</v>
      </c>
      <c r="L9378" s="27"/>
    </row>
    <row r="9379" customFormat="false" ht="15" hidden="false" customHeight="false" outlineLevel="0" collapsed="false">
      <c r="A9379" s="26" t="s">
        <v>23671</v>
      </c>
      <c r="B9379" s="27" t="s">
        <v>23672</v>
      </c>
      <c r="C9379" s="27" t="s">
        <v>144</v>
      </c>
      <c r="D9379" s="26"/>
      <c r="E9379" s="27"/>
      <c r="F9379" s="27"/>
      <c r="G9379" s="27" t="s">
        <v>11122</v>
      </c>
      <c r="H9379" s="27" t="s">
        <v>35</v>
      </c>
      <c r="I9379" s="27" t="s">
        <v>38</v>
      </c>
      <c r="J9379" s="28" t="s">
        <v>913</v>
      </c>
      <c r="K9379" s="27" t="s">
        <v>38</v>
      </c>
      <c r="L9379" s="27"/>
    </row>
    <row r="9380" customFormat="false" ht="15" hidden="false" customHeight="false" outlineLevel="0" collapsed="false">
      <c r="A9380" s="26" t="s">
        <v>23673</v>
      </c>
      <c r="B9380" s="27" t="s">
        <v>23674</v>
      </c>
      <c r="C9380" s="27" t="s">
        <v>144</v>
      </c>
      <c r="D9380" s="26"/>
      <c r="E9380" s="27"/>
      <c r="F9380" s="27"/>
      <c r="G9380" s="27" t="s">
        <v>11122</v>
      </c>
      <c r="H9380" s="27" t="s">
        <v>35</v>
      </c>
      <c r="I9380" s="27" t="s">
        <v>39</v>
      </c>
      <c r="J9380" s="28" t="s">
        <v>913</v>
      </c>
      <c r="K9380" s="27" t="s">
        <v>38</v>
      </c>
      <c r="L9380" s="27"/>
    </row>
    <row r="9381" customFormat="false" ht="15" hidden="false" customHeight="false" outlineLevel="0" collapsed="false">
      <c r="A9381" s="26" t="s">
        <v>23675</v>
      </c>
      <c r="B9381" s="27" t="s">
        <v>23676</v>
      </c>
      <c r="C9381" s="27" t="s">
        <v>144</v>
      </c>
      <c r="D9381" s="26"/>
      <c r="E9381" s="27"/>
      <c r="F9381" s="27"/>
      <c r="G9381" s="27" t="s">
        <v>11122</v>
      </c>
      <c r="H9381" s="27" t="s">
        <v>35</v>
      </c>
      <c r="I9381" s="27" t="s">
        <v>38</v>
      </c>
      <c r="J9381" s="28" t="s">
        <v>913</v>
      </c>
      <c r="K9381" s="27" t="s">
        <v>38</v>
      </c>
      <c r="L9381" s="27"/>
    </row>
    <row r="9382" customFormat="false" ht="15" hidden="false" customHeight="false" outlineLevel="0" collapsed="false">
      <c r="A9382" s="26" t="s">
        <v>23677</v>
      </c>
      <c r="B9382" s="27" t="s">
        <v>23678</v>
      </c>
      <c r="C9382" s="27" t="s">
        <v>144</v>
      </c>
      <c r="D9382" s="26"/>
      <c r="E9382" s="27"/>
      <c r="F9382" s="27"/>
      <c r="G9382" s="27" t="s">
        <v>11122</v>
      </c>
      <c r="H9382" s="27" t="s">
        <v>35</v>
      </c>
      <c r="I9382" s="27" t="s">
        <v>38</v>
      </c>
      <c r="J9382" s="28" t="s">
        <v>913</v>
      </c>
      <c r="K9382" s="27" t="s">
        <v>38</v>
      </c>
      <c r="L9382" s="27"/>
    </row>
    <row r="9383" customFormat="false" ht="15" hidden="false" customHeight="false" outlineLevel="0" collapsed="false">
      <c r="A9383" s="26" t="s">
        <v>23679</v>
      </c>
      <c r="B9383" s="27" t="s">
        <v>23680</v>
      </c>
      <c r="C9383" s="27" t="s">
        <v>144</v>
      </c>
      <c r="D9383" s="26"/>
      <c r="E9383" s="27"/>
      <c r="F9383" s="27"/>
      <c r="G9383" s="27" t="s">
        <v>11122</v>
      </c>
      <c r="H9383" s="27" t="s">
        <v>35</v>
      </c>
      <c r="I9383" s="27" t="s">
        <v>38</v>
      </c>
      <c r="J9383" s="28" t="s">
        <v>913</v>
      </c>
      <c r="K9383" s="27" t="s">
        <v>38</v>
      </c>
      <c r="L9383" s="27"/>
    </row>
    <row r="9384" customFormat="false" ht="15" hidden="false" customHeight="false" outlineLevel="0" collapsed="false">
      <c r="A9384" s="26" t="s">
        <v>23681</v>
      </c>
      <c r="B9384" s="27" t="s">
        <v>23682</v>
      </c>
      <c r="C9384" s="27" t="s">
        <v>144</v>
      </c>
      <c r="D9384" s="26"/>
      <c r="E9384" s="27"/>
      <c r="F9384" s="27"/>
      <c r="G9384" s="27" t="s">
        <v>11122</v>
      </c>
      <c r="H9384" s="27" t="s">
        <v>35</v>
      </c>
      <c r="I9384" s="27" t="s">
        <v>38</v>
      </c>
      <c r="J9384" s="28" t="s">
        <v>913</v>
      </c>
      <c r="K9384" s="27" t="s">
        <v>38</v>
      </c>
      <c r="L9384" s="27"/>
    </row>
    <row r="9385" customFormat="false" ht="15" hidden="false" customHeight="false" outlineLevel="0" collapsed="false">
      <c r="A9385" s="26" t="s">
        <v>23683</v>
      </c>
      <c r="B9385" s="27" t="s">
        <v>23684</v>
      </c>
      <c r="C9385" s="27" t="s">
        <v>144</v>
      </c>
      <c r="D9385" s="26"/>
      <c r="E9385" s="27"/>
      <c r="F9385" s="27"/>
      <c r="G9385" s="27" t="s">
        <v>11122</v>
      </c>
      <c r="H9385" s="27" t="s">
        <v>35</v>
      </c>
      <c r="I9385" s="27" t="s">
        <v>38</v>
      </c>
      <c r="J9385" s="28" t="s">
        <v>913</v>
      </c>
      <c r="K9385" s="27" t="s">
        <v>38</v>
      </c>
      <c r="L9385" s="27"/>
    </row>
    <row r="9386" customFormat="false" ht="15" hidden="false" customHeight="false" outlineLevel="0" collapsed="false">
      <c r="A9386" s="26" t="s">
        <v>23685</v>
      </c>
      <c r="B9386" s="27" t="s">
        <v>23686</v>
      </c>
      <c r="C9386" s="27" t="s">
        <v>144</v>
      </c>
      <c r="D9386" s="26"/>
      <c r="E9386" s="27"/>
      <c r="F9386" s="27"/>
      <c r="G9386" s="27" t="s">
        <v>11122</v>
      </c>
      <c r="H9386" s="27" t="s">
        <v>35</v>
      </c>
      <c r="I9386" s="27" t="s">
        <v>44</v>
      </c>
      <c r="J9386" s="28" t="s">
        <v>913</v>
      </c>
      <c r="K9386" s="27" t="s">
        <v>38</v>
      </c>
      <c r="L9386" s="27"/>
    </row>
    <row r="9387" customFormat="false" ht="15" hidden="false" customHeight="false" outlineLevel="0" collapsed="false">
      <c r="A9387" s="26" t="s">
        <v>23687</v>
      </c>
      <c r="B9387" s="27" t="s">
        <v>23688</v>
      </c>
      <c r="C9387" s="27" t="s">
        <v>144</v>
      </c>
      <c r="D9387" s="26"/>
      <c r="E9387" s="27"/>
      <c r="F9387" s="27"/>
      <c r="G9387" s="27" t="s">
        <v>11122</v>
      </c>
      <c r="H9387" s="27" t="s">
        <v>35</v>
      </c>
      <c r="I9387" s="27" t="s">
        <v>38</v>
      </c>
      <c r="J9387" s="28" t="s">
        <v>913</v>
      </c>
      <c r="K9387" s="27" t="s">
        <v>38</v>
      </c>
      <c r="L9387" s="27"/>
    </row>
    <row r="9388" customFormat="false" ht="15" hidden="false" customHeight="false" outlineLevel="0" collapsed="false">
      <c r="A9388" s="26" t="s">
        <v>23689</v>
      </c>
      <c r="B9388" s="27" t="s">
        <v>23690</v>
      </c>
      <c r="C9388" s="27" t="s">
        <v>144</v>
      </c>
      <c r="D9388" s="26"/>
      <c r="E9388" s="27"/>
      <c r="F9388" s="27"/>
      <c r="G9388" s="27" t="s">
        <v>11122</v>
      </c>
      <c r="H9388" s="27" t="s">
        <v>35</v>
      </c>
      <c r="I9388" s="27" t="s">
        <v>38</v>
      </c>
      <c r="J9388" s="28" t="s">
        <v>913</v>
      </c>
      <c r="K9388" s="27" t="s">
        <v>38</v>
      </c>
      <c r="L9388" s="27"/>
    </row>
    <row r="9389" customFormat="false" ht="15" hidden="false" customHeight="false" outlineLevel="0" collapsed="false">
      <c r="A9389" s="26" t="s">
        <v>23691</v>
      </c>
      <c r="B9389" s="27" t="s">
        <v>23692</v>
      </c>
      <c r="C9389" s="27" t="s">
        <v>144</v>
      </c>
      <c r="D9389" s="26"/>
      <c r="E9389" s="27"/>
      <c r="F9389" s="27"/>
      <c r="G9389" s="27" t="s">
        <v>11122</v>
      </c>
      <c r="H9389" s="27" t="s">
        <v>35</v>
      </c>
      <c r="I9389" s="27" t="s">
        <v>38</v>
      </c>
      <c r="J9389" s="28" t="s">
        <v>913</v>
      </c>
      <c r="K9389" s="27" t="s">
        <v>38</v>
      </c>
      <c r="L9389" s="27"/>
    </row>
    <row r="9390" customFormat="false" ht="15" hidden="false" customHeight="false" outlineLevel="0" collapsed="false">
      <c r="A9390" s="26" t="s">
        <v>23693</v>
      </c>
      <c r="B9390" s="27" t="s">
        <v>23694</v>
      </c>
      <c r="C9390" s="27" t="s">
        <v>144</v>
      </c>
      <c r="D9390" s="26"/>
      <c r="E9390" s="27"/>
      <c r="F9390" s="27"/>
      <c r="G9390" s="27" t="s">
        <v>11122</v>
      </c>
      <c r="H9390" s="27" t="s">
        <v>35</v>
      </c>
      <c r="I9390" s="27" t="s">
        <v>38</v>
      </c>
      <c r="J9390" s="28" t="s">
        <v>913</v>
      </c>
      <c r="K9390" s="27" t="s">
        <v>38</v>
      </c>
      <c r="L9390" s="27"/>
    </row>
    <row r="9391" customFormat="false" ht="15" hidden="false" customHeight="false" outlineLevel="0" collapsed="false">
      <c r="A9391" s="26" t="s">
        <v>23695</v>
      </c>
      <c r="B9391" s="27" t="s">
        <v>23696</v>
      </c>
      <c r="C9391" s="27" t="s">
        <v>144</v>
      </c>
      <c r="D9391" s="26"/>
      <c r="E9391" s="27"/>
      <c r="F9391" s="27"/>
      <c r="G9391" s="27" t="s">
        <v>11122</v>
      </c>
      <c r="H9391" s="27" t="s">
        <v>35</v>
      </c>
      <c r="I9391" s="27" t="s">
        <v>41</v>
      </c>
      <c r="J9391" s="28" t="s">
        <v>913</v>
      </c>
      <c r="K9391" s="27" t="s">
        <v>38</v>
      </c>
      <c r="L9391" s="27"/>
    </row>
    <row r="9392" customFormat="false" ht="15" hidden="false" customHeight="false" outlineLevel="0" collapsed="false">
      <c r="A9392" s="26" t="s">
        <v>23697</v>
      </c>
      <c r="B9392" s="27" t="s">
        <v>23698</v>
      </c>
      <c r="C9392" s="27" t="s">
        <v>144</v>
      </c>
      <c r="D9392" s="26"/>
      <c r="E9392" s="27"/>
      <c r="F9392" s="27"/>
      <c r="G9392" s="27" t="s">
        <v>11122</v>
      </c>
      <c r="H9392" s="27" t="s">
        <v>35</v>
      </c>
      <c r="I9392" s="27" t="s">
        <v>38</v>
      </c>
      <c r="J9392" s="28" t="s">
        <v>913</v>
      </c>
      <c r="K9392" s="27" t="s">
        <v>38</v>
      </c>
      <c r="L9392" s="27"/>
    </row>
    <row r="9393" customFormat="false" ht="15" hidden="false" customHeight="false" outlineLevel="0" collapsed="false">
      <c r="A9393" s="26" t="s">
        <v>23699</v>
      </c>
      <c r="B9393" s="27" t="s">
        <v>23700</v>
      </c>
      <c r="C9393" s="27" t="s">
        <v>144</v>
      </c>
      <c r="D9393" s="26"/>
      <c r="E9393" s="27"/>
      <c r="F9393" s="27"/>
      <c r="G9393" s="27" t="s">
        <v>11122</v>
      </c>
      <c r="H9393" s="27" t="s">
        <v>35</v>
      </c>
      <c r="I9393" s="27" t="s">
        <v>38</v>
      </c>
      <c r="J9393" s="28" t="s">
        <v>913</v>
      </c>
      <c r="K9393" s="27" t="s">
        <v>38</v>
      </c>
      <c r="L9393" s="27"/>
    </row>
    <row r="9394" customFormat="false" ht="15" hidden="false" customHeight="false" outlineLevel="0" collapsed="false">
      <c r="A9394" s="26" t="s">
        <v>23701</v>
      </c>
      <c r="B9394" s="27" t="s">
        <v>23702</v>
      </c>
      <c r="C9394" s="27" t="s">
        <v>144</v>
      </c>
      <c r="D9394" s="26"/>
      <c r="E9394" s="27"/>
      <c r="F9394" s="27"/>
      <c r="G9394" s="27" t="s">
        <v>11122</v>
      </c>
      <c r="H9394" s="27" t="s">
        <v>35</v>
      </c>
      <c r="I9394" s="27" t="s">
        <v>41</v>
      </c>
      <c r="J9394" s="28" t="s">
        <v>913</v>
      </c>
      <c r="K9394" s="27" t="s">
        <v>38</v>
      </c>
      <c r="L9394" s="27"/>
    </row>
    <row r="9395" customFormat="false" ht="15" hidden="false" customHeight="false" outlineLevel="0" collapsed="false">
      <c r="A9395" s="26" t="s">
        <v>23703</v>
      </c>
      <c r="B9395" s="27" t="s">
        <v>23704</v>
      </c>
      <c r="C9395" s="27" t="s">
        <v>144</v>
      </c>
      <c r="D9395" s="26"/>
      <c r="E9395" s="27"/>
      <c r="F9395" s="27"/>
      <c r="G9395" s="27" t="s">
        <v>11122</v>
      </c>
      <c r="H9395" s="27" t="s">
        <v>35</v>
      </c>
      <c r="I9395" s="27" t="s">
        <v>38</v>
      </c>
      <c r="J9395" s="28" t="s">
        <v>913</v>
      </c>
      <c r="K9395" s="27" t="s">
        <v>38</v>
      </c>
      <c r="L9395" s="27"/>
    </row>
    <row r="9396" customFormat="false" ht="15" hidden="false" customHeight="false" outlineLevel="0" collapsed="false">
      <c r="A9396" s="26" t="s">
        <v>23705</v>
      </c>
      <c r="B9396" s="27" t="s">
        <v>23706</v>
      </c>
      <c r="C9396" s="27" t="s">
        <v>144</v>
      </c>
      <c r="D9396" s="26"/>
      <c r="E9396" s="27"/>
      <c r="F9396" s="27"/>
      <c r="G9396" s="27" t="s">
        <v>11122</v>
      </c>
      <c r="H9396" s="27" t="s">
        <v>35</v>
      </c>
      <c r="I9396" s="27" t="s">
        <v>38</v>
      </c>
      <c r="J9396" s="28" t="s">
        <v>913</v>
      </c>
      <c r="K9396" s="27" t="s">
        <v>38</v>
      </c>
      <c r="L9396" s="27"/>
    </row>
    <row r="9397" customFormat="false" ht="15" hidden="false" customHeight="false" outlineLevel="0" collapsed="false">
      <c r="A9397" s="26" t="s">
        <v>23707</v>
      </c>
      <c r="B9397" s="27" t="s">
        <v>23708</v>
      </c>
      <c r="C9397" s="27" t="s">
        <v>144</v>
      </c>
      <c r="D9397" s="26"/>
      <c r="E9397" s="27"/>
      <c r="F9397" s="27"/>
      <c r="G9397" s="27" t="s">
        <v>11122</v>
      </c>
      <c r="H9397" s="27" t="s">
        <v>35</v>
      </c>
      <c r="I9397" s="27" t="s">
        <v>44</v>
      </c>
      <c r="J9397" s="28" t="s">
        <v>913</v>
      </c>
      <c r="K9397" s="27" t="s">
        <v>38</v>
      </c>
      <c r="L9397" s="27"/>
    </row>
    <row r="9398" customFormat="false" ht="15" hidden="false" customHeight="false" outlineLevel="0" collapsed="false">
      <c r="A9398" s="26" t="s">
        <v>23709</v>
      </c>
      <c r="B9398" s="27" t="s">
        <v>23710</v>
      </c>
      <c r="C9398" s="27" t="s">
        <v>144</v>
      </c>
      <c r="D9398" s="26"/>
      <c r="E9398" s="27"/>
      <c r="F9398" s="27"/>
      <c r="G9398" s="27" t="s">
        <v>11122</v>
      </c>
      <c r="H9398" s="27" t="s">
        <v>35</v>
      </c>
      <c r="I9398" s="27" t="s">
        <v>38</v>
      </c>
      <c r="J9398" s="28" t="s">
        <v>913</v>
      </c>
      <c r="K9398" s="27" t="s">
        <v>38</v>
      </c>
      <c r="L9398" s="27"/>
    </row>
    <row r="9399" customFormat="false" ht="15" hidden="false" customHeight="false" outlineLevel="0" collapsed="false">
      <c r="A9399" s="26" t="s">
        <v>23711</v>
      </c>
      <c r="B9399" s="27" t="s">
        <v>23712</v>
      </c>
      <c r="C9399" s="27" t="s">
        <v>144</v>
      </c>
      <c r="D9399" s="26"/>
      <c r="E9399" s="27"/>
      <c r="F9399" s="27"/>
      <c r="G9399" s="27" t="s">
        <v>11122</v>
      </c>
      <c r="H9399" s="27" t="s">
        <v>35</v>
      </c>
      <c r="I9399" s="27" t="s">
        <v>38</v>
      </c>
      <c r="J9399" s="28" t="s">
        <v>913</v>
      </c>
      <c r="K9399" s="27" t="s">
        <v>38</v>
      </c>
      <c r="L9399" s="27"/>
    </row>
    <row r="9400" customFormat="false" ht="15" hidden="false" customHeight="false" outlineLevel="0" collapsed="false">
      <c r="A9400" s="26" t="s">
        <v>23713</v>
      </c>
      <c r="B9400" s="27" t="s">
        <v>23714</v>
      </c>
      <c r="C9400" s="27" t="s">
        <v>144</v>
      </c>
      <c r="D9400" s="26"/>
      <c r="E9400" s="27"/>
      <c r="F9400" s="27"/>
      <c r="G9400" s="27" t="s">
        <v>11122</v>
      </c>
      <c r="H9400" s="27" t="s">
        <v>35</v>
      </c>
      <c r="I9400" s="27" t="s">
        <v>38</v>
      </c>
      <c r="J9400" s="28" t="s">
        <v>913</v>
      </c>
      <c r="K9400" s="27" t="s">
        <v>38</v>
      </c>
      <c r="L9400" s="27"/>
    </row>
    <row r="9401" customFormat="false" ht="15" hidden="false" customHeight="false" outlineLevel="0" collapsed="false">
      <c r="A9401" s="26" t="s">
        <v>23715</v>
      </c>
      <c r="B9401" s="27" t="s">
        <v>23716</v>
      </c>
      <c r="C9401" s="27" t="s">
        <v>144</v>
      </c>
      <c r="D9401" s="26"/>
      <c r="E9401" s="27"/>
      <c r="F9401" s="27"/>
      <c r="G9401" s="27" t="s">
        <v>11122</v>
      </c>
      <c r="H9401" s="27" t="s">
        <v>35</v>
      </c>
      <c r="I9401" s="27" t="s">
        <v>38</v>
      </c>
      <c r="J9401" s="28" t="s">
        <v>913</v>
      </c>
      <c r="K9401" s="27" t="s">
        <v>38</v>
      </c>
      <c r="L9401" s="27"/>
    </row>
    <row r="9402" customFormat="false" ht="15" hidden="false" customHeight="false" outlineLevel="0" collapsed="false">
      <c r="A9402" s="26" t="s">
        <v>23717</v>
      </c>
      <c r="B9402" s="27" t="s">
        <v>23718</v>
      </c>
      <c r="C9402" s="27" t="s">
        <v>144</v>
      </c>
      <c r="D9402" s="26"/>
      <c r="E9402" s="27"/>
      <c r="F9402" s="27"/>
      <c r="G9402" s="27" t="s">
        <v>11122</v>
      </c>
      <c r="H9402" s="27" t="s">
        <v>35</v>
      </c>
      <c r="I9402" s="27" t="s">
        <v>38</v>
      </c>
      <c r="J9402" s="28" t="s">
        <v>913</v>
      </c>
      <c r="K9402" s="27" t="s">
        <v>38</v>
      </c>
      <c r="L9402" s="27"/>
    </row>
    <row r="9403" customFormat="false" ht="15" hidden="false" customHeight="false" outlineLevel="0" collapsed="false">
      <c r="A9403" s="26" t="s">
        <v>23719</v>
      </c>
      <c r="B9403" s="27" t="s">
        <v>23720</v>
      </c>
      <c r="C9403" s="27" t="s">
        <v>144</v>
      </c>
      <c r="D9403" s="26"/>
      <c r="E9403" s="27"/>
      <c r="F9403" s="27"/>
      <c r="G9403" s="27" t="s">
        <v>11122</v>
      </c>
      <c r="H9403" s="27" t="s">
        <v>35</v>
      </c>
      <c r="I9403" s="27" t="s">
        <v>38</v>
      </c>
      <c r="J9403" s="28" t="s">
        <v>913</v>
      </c>
      <c r="K9403" s="27" t="s">
        <v>38</v>
      </c>
      <c r="L9403" s="27"/>
    </row>
    <row r="9404" customFormat="false" ht="15" hidden="false" customHeight="false" outlineLevel="0" collapsed="false">
      <c r="A9404" s="26" t="s">
        <v>23721</v>
      </c>
      <c r="B9404" s="27" t="s">
        <v>23722</v>
      </c>
      <c r="C9404" s="27" t="s">
        <v>144</v>
      </c>
      <c r="D9404" s="26"/>
      <c r="E9404" s="27"/>
      <c r="F9404" s="27"/>
      <c r="G9404" s="27" t="s">
        <v>11122</v>
      </c>
      <c r="H9404" s="27" t="s">
        <v>35</v>
      </c>
      <c r="I9404" s="27" t="s">
        <v>38</v>
      </c>
      <c r="J9404" s="28" t="s">
        <v>913</v>
      </c>
      <c r="K9404" s="27" t="s">
        <v>38</v>
      </c>
      <c r="L9404" s="27"/>
    </row>
    <row r="9405" customFormat="false" ht="15" hidden="false" customHeight="false" outlineLevel="0" collapsed="false">
      <c r="A9405" s="26" t="s">
        <v>23723</v>
      </c>
      <c r="B9405" s="27" t="s">
        <v>23724</v>
      </c>
      <c r="C9405" s="27" t="s">
        <v>144</v>
      </c>
      <c r="D9405" s="26"/>
      <c r="E9405" s="27"/>
      <c r="F9405" s="27"/>
      <c r="G9405" s="27" t="s">
        <v>11122</v>
      </c>
      <c r="H9405" s="27" t="s">
        <v>35</v>
      </c>
      <c r="I9405" s="27" t="s">
        <v>38</v>
      </c>
      <c r="J9405" s="28" t="s">
        <v>913</v>
      </c>
      <c r="K9405" s="27" t="s">
        <v>38</v>
      </c>
      <c r="L9405" s="27"/>
    </row>
    <row r="9406" customFormat="false" ht="15" hidden="false" customHeight="false" outlineLevel="0" collapsed="false">
      <c r="A9406" s="26" t="s">
        <v>23725</v>
      </c>
      <c r="B9406" s="27" t="s">
        <v>23726</v>
      </c>
      <c r="C9406" s="27" t="s">
        <v>144</v>
      </c>
      <c r="D9406" s="26"/>
      <c r="E9406" s="27"/>
      <c r="F9406" s="27"/>
      <c r="G9406" s="27" t="s">
        <v>11122</v>
      </c>
      <c r="H9406" s="27" t="s">
        <v>35</v>
      </c>
      <c r="I9406" s="27" t="s">
        <v>38</v>
      </c>
      <c r="J9406" s="28" t="s">
        <v>913</v>
      </c>
      <c r="K9406" s="27" t="s">
        <v>38</v>
      </c>
      <c r="L9406" s="27"/>
    </row>
    <row r="9407" customFormat="false" ht="15" hidden="false" customHeight="false" outlineLevel="0" collapsed="false">
      <c r="A9407" s="26" t="s">
        <v>23727</v>
      </c>
      <c r="B9407" s="27" t="s">
        <v>23728</v>
      </c>
      <c r="C9407" s="27" t="s">
        <v>144</v>
      </c>
      <c r="D9407" s="26"/>
      <c r="E9407" s="27"/>
      <c r="F9407" s="27"/>
      <c r="G9407" s="27" t="s">
        <v>11122</v>
      </c>
      <c r="H9407" s="27" t="s">
        <v>35</v>
      </c>
      <c r="I9407" s="27" t="s">
        <v>38</v>
      </c>
      <c r="J9407" s="28" t="s">
        <v>913</v>
      </c>
      <c r="K9407" s="27" t="s">
        <v>38</v>
      </c>
      <c r="L9407" s="27"/>
    </row>
    <row r="9408" customFormat="false" ht="15" hidden="false" customHeight="false" outlineLevel="0" collapsed="false">
      <c r="A9408" s="26" t="s">
        <v>23729</v>
      </c>
      <c r="B9408" s="27" t="s">
        <v>23730</v>
      </c>
      <c r="C9408" s="27" t="s">
        <v>144</v>
      </c>
      <c r="D9408" s="26"/>
      <c r="E9408" s="27"/>
      <c r="F9408" s="27"/>
      <c r="G9408" s="27" t="s">
        <v>11122</v>
      </c>
      <c r="H9408" s="27" t="s">
        <v>35</v>
      </c>
      <c r="I9408" s="27" t="s">
        <v>38</v>
      </c>
      <c r="J9408" s="28" t="s">
        <v>913</v>
      </c>
      <c r="K9408" s="27" t="s">
        <v>38</v>
      </c>
      <c r="L9408" s="27"/>
    </row>
    <row r="9409" customFormat="false" ht="15" hidden="false" customHeight="false" outlineLevel="0" collapsed="false">
      <c r="A9409" s="26" t="s">
        <v>23731</v>
      </c>
      <c r="B9409" s="27" t="s">
        <v>23732</v>
      </c>
      <c r="C9409" s="27" t="s">
        <v>144</v>
      </c>
      <c r="D9409" s="26"/>
      <c r="E9409" s="27"/>
      <c r="F9409" s="27"/>
      <c r="G9409" s="27" t="s">
        <v>11122</v>
      </c>
      <c r="H9409" s="27" t="s">
        <v>35</v>
      </c>
      <c r="I9409" s="27" t="s">
        <v>38</v>
      </c>
      <c r="J9409" s="28" t="s">
        <v>913</v>
      </c>
      <c r="K9409" s="27" t="s">
        <v>38</v>
      </c>
      <c r="L9409" s="27"/>
    </row>
    <row r="9410" customFormat="false" ht="15" hidden="false" customHeight="false" outlineLevel="0" collapsed="false">
      <c r="A9410" s="26" t="s">
        <v>23733</v>
      </c>
      <c r="B9410" s="27" t="s">
        <v>23734</v>
      </c>
      <c r="C9410" s="27" t="s">
        <v>144</v>
      </c>
      <c r="D9410" s="26"/>
      <c r="E9410" s="27"/>
      <c r="F9410" s="27"/>
      <c r="G9410" s="27" t="s">
        <v>11122</v>
      </c>
      <c r="H9410" s="27" t="s">
        <v>35</v>
      </c>
      <c r="I9410" s="27" t="s">
        <v>38</v>
      </c>
      <c r="J9410" s="28" t="s">
        <v>913</v>
      </c>
      <c r="K9410" s="27" t="s">
        <v>38</v>
      </c>
      <c r="L9410" s="27"/>
    </row>
    <row r="9411" customFormat="false" ht="15" hidden="false" customHeight="false" outlineLevel="0" collapsed="false">
      <c r="A9411" s="26" t="s">
        <v>23735</v>
      </c>
      <c r="B9411" s="27" t="s">
        <v>23736</v>
      </c>
      <c r="C9411" s="27" t="s">
        <v>144</v>
      </c>
      <c r="D9411" s="26"/>
      <c r="E9411" s="27"/>
      <c r="F9411" s="27"/>
      <c r="G9411" s="27" t="s">
        <v>11122</v>
      </c>
      <c r="H9411" s="27" t="s">
        <v>35</v>
      </c>
      <c r="I9411" s="27" t="s">
        <v>38</v>
      </c>
      <c r="J9411" s="28" t="s">
        <v>913</v>
      </c>
      <c r="K9411" s="27" t="s">
        <v>38</v>
      </c>
      <c r="L9411" s="27"/>
    </row>
    <row r="9412" customFormat="false" ht="15" hidden="false" customHeight="false" outlineLevel="0" collapsed="false">
      <c r="A9412" s="26" t="s">
        <v>23737</v>
      </c>
      <c r="B9412" s="27" t="s">
        <v>23738</v>
      </c>
      <c r="C9412" s="27" t="s">
        <v>144</v>
      </c>
      <c r="D9412" s="26"/>
      <c r="E9412" s="27"/>
      <c r="F9412" s="27"/>
      <c r="G9412" s="27" t="s">
        <v>11122</v>
      </c>
      <c r="H9412" s="27" t="s">
        <v>35</v>
      </c>
      <c r="I9412" s="27" t="s">
        <v>38</v>
      </c>
      <c r="J9412" s="28" t="s">
        <v>913</v>
      </c>
      <c r="K9412" s="27" t="s">
        <v>38</v>
      </c>
      <c r="L9412" s="27"/>
    </row>
    <row r="9413" customFormat="false" ht="15" hidden="false" customHeight="false" outlineLevel="0" collapsed="false">
      <c r="A9413" s="26" t="s">
        <v>23739</v>
      </c>
      <c r="B9413" s="27" t="s">
        <v>23740</v>
      </c>
      <c r="C9413" s="27" t="s">
        <v>144</v>
      </c>
      <c r="D9413" s="26"/>
      <c r="E9413" s="27"/>
      <c r="F9413" s="27"/>
      <c r="G9413" s="27" t="s">
        <v>11122</v>
      </c>
      <c r="H9413" s="27" t="s">
        <v>35</v>
      </c>
      <c r="I9413" s="27" t="s">
        <v>38</v>
      </c>
      <c r="J9413" s="28" t="s">
        <v>913</v>
      </c>
      <c r="K9413" s="27" t="s">
        <v>38</v>
      </c>
      <c r="L9413" s="27"/>
    </row>
    <row r="9414" customFormat="false" ht="15" hidden="false" customHeight="false" outlineLevel="0" collapsed="false">
      <c r="A9414" s="26" t="s">
        <v>23741</v>
      </c>
      <c r="B9414" s="27" t="s">
        <v>23742</v>
      </c>
      <c r="C9414" s="27" t="s">
        <v>144</v>
      </c>
      <c r="D9414" s="26"/>
      <c r="E9414" s="27"/>
      <c r="F9414" s="27"/>
      <c r="G9414" s="27" t="s">
        <v>11122</v>
      </c>
      <c r="H9414" s="27" t="s">
        <v>35</v>
      </c>
      <c r="I9414" s="27" t="s">
        <v>38</v>
      </c>
      <c r="J9414" s="28" t="s">
        <v>913</v>
      </c>
      <c r="K9414" s="27" t="s">
        <v>38</v>
      </c>
      <c r="L9414" s="27"/>
    </row>
    <row r="9415" customFormat="false" ht="15" hidden="false" customHeight="false" outlineLevel="0" collapsed="false">
      <c r="A9415" s="26" t="s">
        <v>23743</v>
      </c>
      <c r="B9415" s="27" t="s">
        <v>23744</v>
      </c>
      <c r="C9415" s="27" t="s">
        <v>144</v>
      </c>
      <c r="D9415" s="26"/>
      <c r="E9415" s="27"/>
      <c r="F9415" s="27"/>
      <c r="G9415" s="27" t="s">
        <v>11122</v>
      </c>
      <c r="H9415" s="27" t="s">
        <v>35</v>
      </c>
      <c r="I9415" s="27" t="s">
        <v>38</v>
      </c>
      <c r="J9415" s="28" t="s">
        <v>913</v>
      </c>
      <c r="K9415" s="27" t="s">
        <v>38</v>
      </c>
      <c r="L9415" s="27"/>
    </row>
    <row r="9416" customFormat="false" ht="15" hidden="false" customHeight="false" outlineLevel="0" collapsed="false">
      <c r="A9416" s="26" t="s">
        <v>23745</v>
      </c>
      <c r="B9416" s="27" t="s">
        <v>23746</v>
      </c>
      <c r="C9416" s="27" t="s">
        <v>144</v>
      </c>
      <c r="D9416" s="26"/>
      <c r="E9416" s="27"/>
      <c r="F9416" s="27"/>
      <c r="G9416" s="27" t="s">
        <v>11122</v>
      </c>
      <c r="H9416" s="27" t="s">
        <v>35</v>
      </c>
      <c r="I9416" s="27" t="s">
        <v>38</v>
      </c>
      <c r="J9416" s="28" t="s">
        <v>913</v>
      </c>
      <c r="K9416" s="27" t="s">
        <v>38</v>
      </c>
      <c r="L9416" s="27"/>
    </row>
    <row r="9417" customFormat="false" ht="15" hidden="false" customHeight="false" outlineLevel="0" collapsed="false">
      <c r="A9417" s="26" t="s">
        <v>23747</v>
      </c>
      <c r="B9417" s="27" t="s">
        <v>23748</v>
      </c>
      <c r="C9417" s="27" t="s">
        <v>144</v>
      </c>
      <c r="D9417" s="26"/>
      <c r="E9417" s="27"/>
      <c r="F9417" s="27"/>
      <c r="G9417" s="27" t="s">
        <v>11122</v>
      </c>
      <c r="H9417" s="27" t="s">
        <v>35</v>
      </c>
      <c r="I9417" s="27" t="s">
        <v>38</v>
      </c>
      <c r="J9417" s="28" t="s">
        <v>913</v>
      </c>
      <c r="K9417" s="27" t="s">
        <v>38</v>
      </c>
      <c r="L9417" s="27"/>
    </row>
    <row r="9418" customFormat="false" ht="15" hidden="false" customHeight="false" outlineLevel="0" collapsed="false">
      <c r="A9418" s="26" t="s">
        <v>23749</v>
      </c>
      <c r="B9418" s="27" t="s">
        <v>23750</v>
      </c>
      <c r="C9418" s="27" t="s">
        <v>144</v>
      </c>
      <c r="D9418" s="26"/>
      <c r="E9418" s="27"/>
      <c r="F9418" s="27"/>
      <c r="G9418" s="27" t="s">
        <v>11122</v>
      </c>
      <c r="H9418" s="27" t="s">
        <v>35</v>
      </c>
      <c r="I9418" s="27" t="s">
        <v>38</v>
      </c>
      <c r="J9418" s="28" t="s">
        <v>913</v>
      </c>
      <c r="K9418" s="27" t="s">
        <v>38</v>
      </c>
      <c r="L9418" s="27"/>
    </row>
    <row r="9419" customFormat="false" ht="15" hidden="false" customHeight="false" outlineLevel="0" collapsed="false">
      <c r="A9419" s="26" t="s">
        <v>23751</v>
      </c>
      <c r="B9419" s="27" t="s">
        <v>23752</v>
      </c>
      <c r="C9419" s="27" t="s">
        <v>144</v>
      </c>
      <c r="D9419" s="26"/>
      <c r="E9419" s="27"/>
      <c r="F9419" s="27"/>
      <c r="G9419" s="27" t="s">
        <v>11122</v>
      </c>
      <c r="H9419" s="27" t="s">
        <v>35</v>
      </c>
      <c r="I9419" s="27" t="s">
        <v>38</v>
      </c>
      <c r="J9419" s="28" t="s">
        <v>913</v>
      </c>
      <c r="K9419" s="27" t="s">
        <v>38</v>
      </c>
      <c r="L9419" s="27"/>
    </row>
    <row r="9420" customFormat="false" ht="15" hidden="false" customHeight="false" outlineLevel="0" collapsed="false">
      <c r="A9420" s="26" t="s">
        <v>23753</v>
      </c>
      <c r="B9420" s="27" t="s">
        <v>23754</v>
      </c>
      <c r="C9420" s="27" t="s">
        <v>144</v>
      </c>
      <c r="D9420" s="26"/>
      <c r="E9420" s="27"/>
      <c r="F9420" s="27"/>
      <c r="G9420" s="27" t="s">
        <v>11122</v>
      </c>
      <c r="H9420" s="27" t="s">
        <v>35</v>
      </c>
      <c r="I9420" s="27" t="s">
        <v>38</v>
      </c>
      <c r="J9420" s="28" t="s">
        <v>913</v>
      </c>
      <c r="K9420" s="27" t="s">
        <v>38</v>
      </c>
      <c r="L9420" s="27"/>
    </row>
    <row r="9421" customFormat="false" ht="15" hidden="false" customHeight="false" outlineLevel="0" collapsed="false">
      <c r="A9421" s="26" t="s">
        <v>23755</v>
      </c>
      <c r="B9421" s="27" t="s">
        <v>23756</v>
      </c>
      <c r="C9421" s="27" t="s">
        <v>144</v>
      </c>
      <c r="D9421" s="26"/>
      <c r="E9421" s="27"/>
      <c r="F9421" s="27"/>
      <c r="G9421" s="27" t="s">
        <v>11122</v>
      </c>
      <c r="H9421" s="27" t="s">
        <v>35</v>
      </c>
      <c r="I9421" s="27" t="s">
        <v>38</v>
      </c>
      <c r="J9421" s="28" t="s">
        <v>913</v>
      </c>
      <c r="K9421" s="27" t="s">
        <v>38</v>
      </c>
      <c r="L9421" s="27"/>
    </row>
    <row r="9422" customFormat="false" ht="15" hidden="false" customHeight="false" outlineLevel="0" collapsed="false">
      <c r="A9422" s="26" t="s">
        <v>23757</v>
      </c>
      <c r="B9422" s="27" t="s">
        <v>23758</v>
      </c>
      <c r="C9422" s="27" t="s">
        <v>144</v>
      </c>
      <c r="D9422" s="26"/>
      <c r="E9422" s="27"/>
      <c r="F9422" s="27"/>
      <c r="G9422" s="27" t="s">
        <v>11122</v>
      </c>
      <c r="H9422" s="27" t="s">
        <v>35</v>
      </c>
      <c r="I9422" s="27" t="s">
        <v>38</v>
      </c>
      <c r="J9422" s="28" t="s">
        <v>913</v>
      </c>
      <c r="K9422" s="27" t="s">
        <v>38</v>
      </c>
      <c r="L9422" s="27"/>
    </row>
    <row r="9423" customFormat="false" ht="15" hidden="false" customHeight="false" outlineLevel="0" collapsed="false">
      <c r="A9423" s="26" t="s">
        <v>23759</v>
      </c>
      <c r="B9423" s="27" t="s">
        <v>23760</v>
      </c>
      <c r="C9423" s="27" t="s">
        <v>144</v>
      </c>
      <c r="D9423" s="26"/>
      <c r="E9423" s="27"/>
      <c r="F9423" s="27"/>
      <c r="G9423" s="27" t="s">
        <v>11122</v>
      </c>
      <c r="H9423" s="27" t="s">
        <v>35</v>
      </c>
      <c r="I9423" s="27" t="s">
        <v>38</v>
      </c>
      <c r="J9423" s="28" t="s">
        <v>913</v>
      </c>
      <c r="K9423" s="27" t="s">
        <v>38</v>
      </c>
      <c r="L9423" s="27"/>
    </row>
    <row r="9424" customFormat="false" ht="15" hidden="false" customHeight="false" outlineLevel="0" collapsed="false">
      <c r="A9424" s="26" t="s">
        <v>23761</v>
      </c>
      <c r="B9424" s="27" t="s">
        <v>23762</v>
      </c>
      <c r="C9424" s="27" t="s">
        <v>144</v>
      </c>
      <c r="D9424" s="26"/>
      <c r="E9424" s="27"/>
      <c r="F9424" s="27"/>
      <c r="G9424" s="27" t="s">
        <v>11122</v>
      </c>
      <c r="H9424" s="27" t="s">
        <v>35</v>
      </c>
      <c r="I9424" s="27" t="s">
        <v>38</v>
      </c>
      <c r="J9424" s="28" t="s">
        <v>913</v>
      </c>
      <c r="K9424" s="27" t="s">
        <v>38</v>
      </c>
      <c r="L9424" s="27"/>
    </row>
    <row r="9425" customFormat="false" ht="15" hidden="false" customHeight="false" outlineLevel="0" collapsed="false">
      <c r="A9425" s="26" t="s">
        <v>23763</v>
      </c>
      <c r="B9425" s="27" t="s">
        <v>23764</v>
      </c>
      <c r="C9425" s="27" t="s">
        <v>144</v>
      </c>
      <c r="D9425" s="26"/>
      <c r="E9425" s="27"/>
      <c r="F9425" s="27"/>
      <c r="G9425" s="27" t="s">
        <v>11122</v>
      </c>
      <c r="H9425" s="27" t="s">
        <v>35</v>
      </c>
      <c r="I9425" s="27" t="s">
        <v>38</v>
      </c>
      <c r="J9425" s="28" t="s">
        <v>913</v>
      </c>
      <c r="K9425" s="27" t="s">
        <v>38</v>
      </c>
      <c r="L9425" s="27"/>
    </row>
    <row r="9426" customFormat="false" ht="15" hidden="false" customHeight="false" outlineLevel="0" collapsed="false">
      <c r="A9426" s="26" t="s">
        <v>23765</v>
      </c>
      <c r="B9426" s="27" t="s">
        <v>23766</v>
      </c>
      <c r="C9426" s="27" t="s">
        <v>144</v>
      </c>
      <c r="D9426" s="26"/>
      <c r="E9426" s="27"/>
      <c r="F9426" s="27"/>
      <c r="G9426" s="27" t="s">
        <v>11122</v>
      </c>
      <c r="H9426" s="27" t="s">
        <v>35</v>
      </c>
      <c r="I9426" s="27" t="s">
        <v>38</v>
      </c>
      <c r="J9426" s="28" t="s">
        <v>913</v>
      </c>
      <c r="K9426" s="27" t="s">
        <v>38</v>
      </c>
      <c r="L9426" s="27"/>
    </row>
    <row r="9427" customFormat="false" ht="15" hidden="false" customHeight="false" outlineLevel="0" collapsed="false">
      <c r="A9427" s="26" t="s">
        <v>23767</v>
      </c>
      <c r="B9427" s="27" t="s">
        <v>23768</v>
      </c>
      <c r="C9427" s="27" t="s">
        <v>144</v>
      </c>
      <c r="D9427" s="26"/>
      <c r="E9427" s="27"/>
      <c r="F9427" s="27"/>
      <c r="G9427" s="27" t="s">
        <v>11122</v>
      </c>
      <c r="H9427" s="27" t="s">
        <v>35</v>
      </c>
      <c r="I9427" s="27" t="s">
        <v>38</v>
      </c>
      <c r="J9427" s="28" t="s">
        <v>913</v>
      </c>
      <c r="K9427" s="27" t="s">
        <v>38</v>
      </c>
      <c r="L9427" s="27"/>
    </row>
    <row r="9428" customFormat="false" ht="15" hidden="false" customHeight="false" outlineLevel="0" collapsed="false">
      <c r="A9428" s="26" t="s">
        <v>23769</v>
      </c>
      <c r="B9428" s="27" t="s">
        <v>23770</v>
      </c>
      <c r="C9428" s="27" t="s">
        <v>144</v>
      </c>
      <c r="D9428" s="26"/>
      <c r="E9428" s="27"/>
      <c r="F9428" s="27"/>
      <c r="G9428" s="27" t="s">
        <v>11122</v>
      </c>
      <c r="H9428" s="27" t="s">
        <v>35</v>
      </c>
      <c r="I9428" s="27" t="s">
        <v>38</v>
      </c>
      <c r="J9428" s="28" t="s">
        <v>913</v>
      </c>
      <c r="K9428" s="27" t="s">
        <v>38</v>
      </c>
      <c r="L9428" s="27"/>
    </row>
    <row r="9429" customFormat="false" ht="15" hidden="false" customHeight="false" outlineLevel="0" collapsed="false">
      <c r="A9429" s="26" t="s">
        <v>23771</v>
      </c>
      <c r="B9429" s="27" t="s">
        <v>23772</v>
      </c>
      <c r="C9429" s="27" t="s">
        <v>144</v>
      </c>
      <c r="D9429" s="26"/>
      <c r="E9429" s="27"/>
      <c r="F9429" s="27"/>
      <c r="G9429" s="27" t="s">
        <v>11122</v>
      </c>
      <c r="H9429" s="27" t="s">
        <v>35</v>
      </c>
      <c r="I9429" s="27" t="s">
        <v>38</v>
      </c>
      <c r="J9429" s="28" t="s">
        <v>913</v>
      </c>
      <c r="K9429" s="27" t="s">
        <v>38</v>
      </c>
      <c r="L9429" s="27"/>
    </row>
    <row r="9430" customFormat="false" ht="15" hidden="false" customHeight="false" outlineLevel="0" collapsed="false">
      <c r="A9430" s="26" t="s">
        <v>23773</v>
      </c>
      <c r="B9430" s="27" t="s">
        <v>23774</v>
      </c>
      <c r="C9430" s="27" t="s">
        <v>144</v>
      </c>
      <c r="D9430" s="26"/>
      <c r="E9430" s="27"/>
      <c r="F9430" s="27"/>
      <c r="G9430" s="27" t="s">
        <v>11122</v>
      </c>
      <c r="H9430" s="27" t="s">
        <v>35</v>
      </c>
      <c r="I9430" s="27" t="s">
        <v>38</v>
      </c>
      <c r="J9430" s="28" t="s">
        <v>913</v>
      </c>
      <c r="K9430" s="27" t="s">
        <v>38</v>
      </c>
      <c r="L9430" s="27"/>
    </row>
    <row r="9431" customFormat="false" ht="15" hidden="false" customHeight="false" outlineLevel="0" collapsed="false">
      <c r="A9431" s="26" t="s">
        <v>23775</v>
      </c>
      <c r="B9431" s="27" t="s">
        <v>23776</v>
      </c>
      <c r="C9431" s="27" t="s">
        <v>144</v>
      </c>
      <c r="D9431" s="26"/>
      <c r="E9431" s="27"/>
      <c r="F9431" s="27"/>
      <c r="G9431" s="27" t="s">
        <v>11122</v>
      </c>
      <c r="H9431" s="27" t="s">
        <v>35</v>
      </c>
      <c r="I9431" s="27" t="s">
        <v>37</v>
      </c>
      <c r="J9431" s="28" t="s">
        <v>913</v>
      </c>
      <c r="K9431" s="27" t="s">
        <v>38</v>
      </c>
      <c r="L9431" s="27"/>
    </row>
    <row r="9432" customFormat="false" ht="15" hidden="false" customHeight="false" outlineLevel="0" collapsed="false">
      <c r="A9432" s="26" t="s">
        <v>23777</v>
      </c>
      <c r="B9432" s="27" t="s">
        <v>23778</v>
      </c>
      <c r="C9432" s="27" t="s">
        <v>144</v>
      </c>
      <c r="D9432" s="26"/>
      <c r="E9432" s="27"/>
      <c r="F9432" s="27"/>
      <c r="G9432" s="27" t="s">
        <v>11122</v>
      </c>
      <c r="H9432" s="27" t="s">
        <v>35</v>
      </c>
      <c r="I9432" s="27" t="s">
        <v>42</v>
      </c>
      <c r="J9432" s="28" t="s">
        <v>913</v>
      </c>
      <c r="K9432" s="27" t="s">
        <v>38</v>
      </c>
      <c r="L9432" s="27"/>
    </row>
    <row r="9433" customFormat="false" ht="15" hidden="false" customHeight="false" outlineLevel="0" collapsed="false">
      <c r="A9433" s="26" t="s">
        <v>23779</v>
      </c>
      <c r="B9433" s="27" t="s">
        <v>23780</v>
      </c>
      <c r="C9433" s="27" t="s">
        <v>144</v>
      </c>
      <c r="D9433" s="26"/>
      <c r="E9433" s="27"/>
      <c r="F9433" s="27"/>
      <c r="G9433" s="27" t="s">
        <v>11122</v>
      </c>
      <c r="H9433" s="27" t="s">
        <v>35</v>
      </c>
      <c r="I9433" s="27" t="s">
        <v>38</v>
      </c>
      <c r="J9433" s="28" t="s">
        <v>913</v>
      </c>
      <c r="K9433" s="27" t="s">
        <v>38</v>
      </c>
      <c r="L9433" s="27"/>
    </row>
    <row r="9434" customFormat="false" ht="15" hidden="false" customHeight="false" outlineLevel="0" collapsed="false">
      <c r="A9434" s="26" t="s">
        <v>23781</v>
      </c>
      <c r="B9434" s="27" t="s">
        <v>23782</v>
      </c>
      <c r="C9434" s="27" t="s">
        <v>144</v>
      </c>
      <c r="D9434" s="26"/>
      <c r="E9434" s="27"/>
      <c r="F9434" s="27"/>
      <c r="G9434" s="27" t="s">
        <v>11122</v>
      </c>
      <c r="H9434" s="27" t="s">
        <v>35</v>
      </c>
      <c r="I9434" s="27" t="s">
        <v>38</v>
      </c>
      <c r="J9434" s="28" t="s">
        <v>913</v>
      </c>
      <c r="K9434" s="27" t="s">
        <v>38</v>
      </c>
      <c r="L9434" s="27"/>
    </row>
    <row r="9435" customFormat="false" ht="15" hidden="false" customHeight="false" outlineLevel="0" collapsed="false">
      <c r="A9435" s="26" t="s">
        <v>23783</v>
      </c>
      <c r="B9435" s="27" t="s">
        <v>23784</v>
      </c>
      <c r="C9435" s="27" t="s">
        <v>144</v>
      </c>
      <c r="D9435" s="26"/>
      <c r="E9435" s="27"/>
      <c r="F9435" s="27"/>
      <c r="G9435" s="27" t="s">
        <v>11122</v>
      </c>
      <c r="H9435" s="27" t="s">
        <v>35</v>
      </c>
      <c r="I9435" s="27" t="s">
        <v>38</v>
      </c>
      <c r="J9435" s="28" t="s">
        <v>913</v>
      </c>
      <c r="K9435" s="27" t="s">
        <v>38</v>
      </c>
      <c r="L9435" s="27"/>
    </row>
    <row r="9436" customFormat="false" ht="15" hidden="false" customHeight="false" outlineLevel="0" collapsed="false">
      <c r="A9436" s="26" t="s">
        <v>23785</v>
      </c>
      <c r="B9436" s="27" t="s">
        <v>23786</v>
      </c>
      <c r="C9436" s="27" t="s">
        <v>144</v>
      </c>
      <c r="D9436" s="26"/>
      <c r="E9436" s="27"/>
      <c r="F9436" s="27"/>
      <c r="G9436" s="27" t="s">
        <v>11122</v>
      </c>
      <c r="H9436" s="27" t="s">
        <v>35</v>
      </c>
      <c r="I9436" s="27" t="s">
        <v>38</v>
      </c>
      <c r="J9436" s="28" t="s">
        <v>913</v>
      </c>
      <c r="K9436" s="27" t="s">
        <v>38</v>
      </c>
      <c r="L9436" s="27"/>
    </row>
    <row r="9437" customFormat="false" ht="15" hidden="false" customHeight="false" outlineLevel="0" collapsed="false">
      <c r="A9437" s="26" t="s">
        <v>23787</v>
      </c>
      <c r="B9437" s="27" t="s">
        <v>23788</v>
      </c>
      <c r="C9437" s="27" t="s">
        <v>144</v>
      </c>
      <c r="D9437" s="26"/>
      <c r="E9437" s="27"/>
      <c r="F9437" s="27"/>
      <c r="G9437" s="27" t="s">
        <v>11122</v>
      </c>
      <c r="H9437" s="27" t="s">
        <v>35</v>
      </c>
      <c r="I9437" s="27" t="s">
        <v>38</v>
      </c>
      <c r="J9437" s="28" t="s">
        <v>913</v>
      </c>
      <c r="K9437" s="27" t="s">
        <v>38</v>
      </c>
      <c r="L9437" s="27"/>
    </row>
    <row r="9438" customFormat="false" ht="15" hidden="false" customHeight="false" outlineLevel="0" collapsed="false">
      <c r="A9438" s="26" t="s">
        <v>23789</v>
      </c>
      <c r="B9438" s="27" t="s">
        <v>23790</v>
      </c>
      <c r="C9438" s="27" t="s">
        <v>144</v>
      </c>
      <c r="D9438" s="26"/>
      <c r="E9438" s="27"/>
      <c r="F9438" s="27"/>
      <c r="G9438" s="27" t="s">
        <v>11122</v>
      </c>
      <c r="H9438" s="27" t="s">
        <v>35</v>
      </c>
      <c r="I9438" s="27" t="s">
        <v>38</v>
      </c>
      <c r="J9438" s="28" t="s">
        <v>913</v>
      </c>
      <c r="K9438" s="27" t="s">
        <v>38</v>
      </c>
      <c r="L9438" s="27"/>
    </row>
    <row r="9439" customFormat="false" ht="15" hidden="false" customHeight="false" outlineLevel="0" collapsed="false">
      <c r="A9439" s="26" t="s">
        <v>23791</v>
      </c>
      <c r="B9439" s="27" t="s">
        <v>23792</v>
      </c>
      <c r="C9439" s="27" t="s">
        <v>144</v>
      </c>
      <c r="D9439" s="26"/>
      <c r="E9439" s="27"/>
      <c r="F9439" s="27"/>
      <c r="G9439" s="27" t="s">
        <v>11122</v>
      </c>
      <c r="H9439" s="27" t="s">
        <v>35</v>
      </c>
      <c r="I9439" s="27" t="s">
        <v>44</v>
      </c>
      <c r="J9439" s="28" t="s">
        <v>913</v>
      </c>
      <c r="K9439" s="27" t="s">
        <v>38</v>
      </c>
      <c r="L9439" s="27"/>
    </row>
    <row r="9440" customFormat="false" ht="15" hidden="false" customHeight="false" outlineLevel="0" collapsed="false">
      <c r="A9440" s="26" t="s">
        <v>23793</v>
      </c>
      <c r="B9440" s="27" t="s">
        <v>23794</v>
      </c>
      <c r="C9440" s="27" t="s">
        <v>144</v>
      </c>
      <c r="D9440" s="26"/>
      <c r="E9440" s="27"/>
      <c r="F9440" s="27"/>
      <c r="G9440" s="27" t="s">
        <v>11122</v>
      </c>
      <c r="H9440" s="27" t="s">
        <v>35</v>
      </c>
      <c r="I9440" s="27" t="s">
        <v>38</v>
      </c>
      <c r="J9440" s="28" t="s">
        <v>913</v>
      </c>
      <c r="K9440" s="27" t="s">
        <v>38</v>
      </c>
      <c r="L9440" s="27"/>
    </row>
    <row r="9441" customFormat="false" ht="15" hidden="false" customHeight="false" outlineLevel="0" collapsed="false">
      <c r="A9441" s="26" t="s">
        <v>23795</v>
      </c>
      <c r="B9441" s="27" t="s">
        <v>23796</v>
      </c>
      <c r="C9441" s="27" t="s">
        <v>144</v>
      </c>
      <c r="D9441" s="26"/>
      <c r="E9441" s="27"/>
      <c r="F9441" s="27"/>
      <c r="G9441" s="27" t="s">
        <v>11122</v>
      </c>
      <c r="H9441" s="27" t="s">
        <v>35</v>
      </c>
      <c r="I9441" s="27" t="s">
        <v>38</v>
      </c>
      <c r="J9441" s="28" t="s">
        <v>913</v>
      </c>
      <c r="K9441" s="27" t="s">
        <v>38</v>
      </c>
      <c r="L9441" s="27"/>
    </row>
    <row r="9442" customFormat="false" ht="15" hidden="false" customHeight="false" outlineLevel="0" collapsed="false">
      <c r="A9442" s="26" t="s">
        <v>23797</v>
      </c>
      <c r="B9442" s="27" t="s">
        <v>23798</v>
      </c>
      <c r="C9442" s="27" t="s">
        <v>144</v>
      </c>
      <c r="D9442" s="26"/>
      <c r="E9442" s="27"/>
      <c r="F9442" s="27"/>
      <c r="G9442" s="27" t="s">
        <v>11122</v>
      </c>
      <c r="H9442" s="27" t="s">
        <v>35</v>
      </c>
      <c r="I9442" s="27" t="s">
        <v>38</v>
      </c>
      <c r="J9442" s="28" t="s">
        <v>913</v>
      </c>
      <c r="K9442" s="27" t="s">
        <v>38</v>
      </c>
      <c r="L9442" s="27"/>
    </row>
    <row r="9443" customFormat="false" ht="15" hidden="false" customHeight="false" outlineLevel="0" collapsed="false">
      <c r="A9443" s="26" t="s">
        <v>23799</v>
      </c>
      <c r="B9443" s="27" t="s">
        <v>23800</v>
      </c>
      <c r="C9443" s="27" t="s">
        <v>144</v>
      </c>
      <c r="D9443" s="26"/>
      <c r="E9443" s="27"/>
      <c r="F9443" s="27"/>
      <c r="G9443" s="27" t="s">
        <v>11122</v>
      </c>
      <c r="H9443" s="27" t="s">
        <v>35</v>
      </c>
      <c r="I9443" s="27" t="s">
        <v>38</v>
      </c>
      <c r="J9443" s="28" t="s">
        <v>913</v>
      </c>
      <c r="K9443" s="27" t="s">
        <v>38</v>
      </c>
      <c r="L9443" s="27"/>
    </row>
    <row r="9444" customFormat="false" ht="15" hidden="false" customHeight="false" outlineLevel="0" collapsed="false">
      <c r="A9444" s="26" t="s">
        <v>23801</v>
      </c>
      <c r="B9444" s="27" t="s">
        <v>23802</v>
      </c>
      <c r="C9444" s="27" t="s">
        <v>144</v>
      </c>
      <c r="D9444" s="26"/>
      <c r="E9444" s="27"/>
      <c r="F9444" s="27"/>
      <c r="G9444" s="27" t="s">
        <v>11122</v>
      </c>
      <c r="H9444" s="27" t="s">
        <v>35</v>
      </c>
      <c r="I9444" s="27" t="s">
        <v>38</v>
      </c>
      <c r="J9444" s="28" t="s">
        <v>913</v>
      </c>
      <c r="K9444" s="27" t="s">
        <v>38</v>
      </c>
      <c r="L9444" s="27"/>
    </row>
    <row r="9445" customFormat="false" ht="15" hidden="false" customHeight="false" outlineLevel="0" collapsed="false">
      <c r="A9445" s="26" t="s">
        <v>23803</v>
      </c>
      <c r="B9445" s="27" t="s">
        <v>23804</v>
      </c>
      <c r="C9445" s="27" t="s">
        <v>144</v>
      </c>
      <c r="D9445" s="26"/>
      <c r="E9445" s="27"/>
      <c r="F9445" s="27"/>
      <c r="G9445" s="27" t="s">
        <v>11122</v>
      </c>
      <c r="H9445" s="27" t="s">
        <v>35</v>
      </c>
      <c r="I9445" s="27" t="s">
        <v>38</v>
      </c>
      <c r="J9445" s="28" t="s">
        <v>913</v>
      </c>
      <c r="K9445" s="27" t="s">
        <v>38</v>
      </c>
      <c r="L9445" s="27"/>
    </row>
    <row r="9446" customFormat="false" ht="15" hidden="false" customHeight="false" outlineLevel="0" collapsed="false">
      <c r="A9446" s="26" t="s">
        <v>23805</v>
      </c>
      <c r="B9446" s="27" t="s">
        <v>23806</v>
      </c>
      <c r="C9446" s="27" t="s">
        <v>144</v>
      </c>
      <c r="D9446" s="26"/>
      <c r="E9446" s="27"/>
      <c r="F9446" s="27"/>
      <c r="G9446" s="27" t="s">
        <v>11122</v>
      </c>
      <c r="H9446" s="27" t="s">
        <v>35</v>
      </c>
      <c r="I9446" s="27" t="s">
        <v>41</v>
      </c>
      <c r="J9446" s="28" t="s">
        <v>913</v>
      </c>
      <c r="K9446" s="27" t="s">
        <v>38</v>
      </c>
      <c r="L9446" s="27"/>
    </row>
    <row r="9447" customFormat="false" ht="15" hidden="false" customHeight="false" outlineLevel="0" collapsed="false">
      <c r="A9447" s="26" t="s">
        <v>23807</v>
      </c>
      <c r="B9447" s="27" t="s">
        <v>23808</v>
      </c>
      <c r="C9447" s="27" t="s">
        <v>144</v>
      </c>
      <c r="D9447" s="26"/>
      <c r="E9447" s="27"/>
      <c r="F9447" s="27"/>
      <c r="G9447" s="27" t="s">
        <v>11122</v>
      </c>
      <c r="H9447" s="27" t="s">
        <v>35</v>
      </c>
      <c r="I9447" s="27" t="s">
        <v>38</v>
      </c>
      <c r="J9447" s="28" t="s">
        <v>913</v>
      </c>
      <c r="K9447" s="27" t="s">
        <v>38</v>
      </c>
      <c r="L9447" s="27"/>
    </row>
    <row r="9448" customFormat="false" ht="15" hidden="false" customHeight="false" outlineLevel="0" collapsed="false">
      <c r="A9448" s="26" t="s">
        <v>23809</v>
      </c>
      <c r="B9448" s="27" t="s">
        <v>23810</v>
      </c>
      <c r="C9448" s="27" t="s">
        <v>144</v>
      </c>
      <c r="D9448" s="26"/>
      <c r="E9448" s="27"/>
      <c r="F9448" s="27"/>
      <c r="G9448" s="27" t="s">
        <v>11122</v>
      </c>
      <c r="H9448" s="27" t="s">
        <v>35</v>
      </c>
      <c r="I9448" s="27" t="s">
        <v>38</v>
      </c>
      <c r="J9448" s="28" t="s">
        <v>913</v>
      </c>
      <c r="K9448" s="27" t="s">
        <v>38</v>
      </c>
      <c r="L9448" s="27"/>
    </row>
    <row r="9449" customFormat="false" ht="15" hidden="false" customHeight="false" outlineLevel="0" collapsed="false">
      <c r="A9449" s="26" t="s">
        <v>23811</v>
      </c>
      <c r="B9449" s="27" t="s">
        <v>23812</v>
      </c>
      <c r="C9449" s="27" t="s">
        <v>144</v>
      </c>
      <c r="D9449" s="26"/>
      <c r="E9449" s="27"/>
      <c r="F9449" s="27"/>
      <c r="G9449" s="27" t="s">
        <v>11122</v>
      </c>
      <c r="H9449" s="27" t="s">
        <v>35</v>
      </c>
      <c r="I9449" s="27" t="s">
        <v>4159</v>
      </c>
      <c r="J9449" s="28" t="s">
        <v>913</v>
      </c>
      <c r="K9449" s="27" t="s">
        <v>38</v>
      </c>
      <c r="L9449" s="27"/>
    </row>
    <row r="9450" customFormat="false" ht="15" hidden="false" customHeight="false" outlineLevel="0" collapsed="false">
      <c r="A9450" s="26" t="s">
        <v>23813</v>
      </c>
      <c r="B9450" s="27" t="s">
        <v>23814</v>
      </c>
      <c r="C9450" s="27" t="s">
        <v>144</v>
      </c>
      <c r="D9450" s="26"/>
      <c r="E9450" s="27"/>
      <c r="F9450" s="27"/>
      <c r="G9450" s="27" t="s">
        <v>11122</v>
      </c>
      <c r="H9450" s="27" t="s">
        <v>35</v>
      </c>
      <c r="I9450" s="27" t="s">
        <v>40</v>
      </c>
      <c r="J9450" s="28" t="s">
        <v>913</v>
      </c>
      <c r="K9450" s="27" t="s">
        <v>38</v>
      </c>
      <c r="L9450" s="27"/>
    </row>
    <row r="9451" customFormat="false" ht="15" hidden="false" customHeight="false" outlineLevel="0" collapsed="false">
      <c r="A9451" s="26" t="s">
        <v>23815</v>
      </c>
      <c r="B9451" s="27" t="s">
        <v>23816</v>
      </c>
      <c r="C9451" s="27" t="s">
        <v>144</v>
      </c>
      <c r="D9451" s="26"/>
      <c r="E9451" s="27"/>
      <c r="F9451" s="27"/>
      <c r="G9451" s="27" t="s">
        <v>11122</v>
      </c>
      <c r="H9451" s="27" t="s">
        <v>35</v>
      </c>
      <c r="I9451" s="27" t="s">
        <v>4159</v>
      </c>
      <c r="J9451" s="28" t="s">
        <v>913</v>
      </c>
      <c r="K9451" s="27" t="s">
        <v>38</v>
      </c>
      <c r="L9451" s="27"/>
    </row>
    <row r="9452" customFormat="false" ht="15" hidden="false" customHeight="false" outlineLevel="0" collapsed="false">
      <c r="A9452" s="26" t="s">
        <v>23817</v>
      </c>
      <c r="B9452" s="27" t="s">
        <v>23818</v>
      </c>
      <c r="C9452" s="27" t="s">
        <v>144</v>
      </c>
      <c r="D9452" s="26"/>
      <c r="E9452" s="27"/>
      <c r="F9452" s="27"/>
      <c r="G9452" s="27" t="s">
        <v>11122</v>
      </c>
      <c r="H9452" s="27" t="s">
        <v>35</v>
      </c>
      <c r="I9452" s="27" t="s">
        <v>38</v>
      </c>
      <c r="J9452" s="28" t="s">
        <v>913</v>
      </c>
      <c r="K9452" s="27" t="s">
        <v>38</v>
      </c>
      <c r="L9452" s="27"/>
    </row>
    <row r="9453" customFormat="false" ht="15" hidden="false" customHeight="false" outlineLevel="0" collapsed="false">
      <c r="A9453" s="26" t="s">
        <v>23819</v>
      </c>
      <c r="B9453" s="27" t="s">
        <v>23820</v>
      </c>
      <c r="C9453" s="27" t="s">
        <v>144</v>
      </c>
      <c r="D9453" s="26"/>
      <c r="E9453" s="27"/>
      <c r="F9453" s="27"/>
      <c r="G9453" s="27" t="s">
        <v>11122</v>
      </c>
      <c r="H9453" s="27" t="s">
        <v>35</v>
      </c>
      <c r="I9453" s="27" t="s">
        <v>38</v>
      </c>
      <c r="J9453" s="28" t="s">
        <v>913</v>
      </c>
      <c r="K9453" s="27" t="s">
        <v>38</v>
      </c>
      <c r="L9453" s="27"/>
    </row>
    <row r="9454" customFormat="false" ht="15" hidden="false" customHeight="false" outlineLevel="0" collapsed="false">
      <c r="A9454" s="26" t="s">
        <v>23821</v>
      </c>
      <c r="B9454" s="27" t="s">
        <v>23822</v>
      </c>
      <c r="C9454" s="27" t="s">
        <v>144</v>
      </c>
      <c r="D9454" s="26"/>
      <c r="E9454" s="27"/>
      <c r="F9454" s="27"/>
      <c r="G9454" s="27" t="s">
        <v>11122</v>
      </c>
      <c r="H9454" s="27" t="s">
        <v>35</v>
      </c>
      <c r="I9454" s="27" t="s">
        <v>38</v>
      </c>
      <c r="J9454" s="28" t="s">
        <v>913</v>
      </c>
      <c r="K9454" s="27" t="s">
        <v>38</v>
      </c>
      <c r="L9454" s="27"/>
    </row>
    <row r="9455" customFormat="false" ht="15" hidden="false" customHeight="false" outlineLevel="0" collapsed="false">
      <c r="A9455" s="26" t="s">
        <v>23823</v>
      </c>
      <c r="B9455" s="27" t="s">
        <v>23824</v>
      </c>
      <c r="C9455" s="27" t="s">
        <v>144</v>
      </c>
      <c r="D9455" s="26"/>
      <c r="E9455" s="27"/>
      <c r="F9455" s="27"/>
      <c r="G9455" s="27" t="s">
        <v>11122</v>
      </c>
      <c r="H9455" s="27" t="s">
        <v>35</v>
      </c>
      <c r="I9455" s="27" t="s">
        <v>38</v>
      </c>
      <c r="J9455" s="28" t="s">
        <v>913</v>
      </c>
      <c r="K9455" s="27" t="s">
        <v>38</v>
      </c>
      <c r="L9455" s="27"/>
    </row>
    <row r="9456" customFormat="false" ht="15" hidden="false" customHeight="false" outlineLevel="0" collapsed="false">
      <c r="A9456" s="26" t="s">
        <v>23825</v>
      </c>
      <c r="B9456" s="27" t="s">
        <v>23826</v>
      </c>
      <c r="C9456" s="27" t="s">
        <v>144</v>
      </c>
      <c r="D9456" s="26"/>
      <c r="E9456" s="27"/>
      <c r="F9456" s="27"/>
      <c r="G9456" s="27" t="s">
        <v>11122</v>
      </c>
      <c r="H9456" s="27" t="s">
        <v>35</v>
      </c>
      <c r="I9456" s="27" t="s">
        <v>41</v>
      </c>
      <c r="J9456" s="28" t="s">
        <v>913</v>
      </c>
      <c r="K9456" s="27" t="s">
        <v>38</v>
      </c>
      <c r="L9456" s="27"/>
    </row>
    <row r="9457" customFormat="false" ht="15" hidden="false" customHeight="false" outlineLevel="0" collapsed="false">
      <c r="A9457" s="26" t="s">
        <v>23827</v>
      </c>
      <c r="B9457" s="27" t="s">
        <v>23828</v>
      </c>
      <c r="C9457" s="27" t="s">
        <v>144</v>
      </c>
      <c r="D9457" s="26"/>
      <c r="E9457" s="27"/>
      <c r="F9457" s="27"/>
      <c r="G9457" s="27" t="s">
        <v>11122</v>
      </c>
      <c r="H9457" s="27" t="s">
        <v>35</v>
      </c>
      <c r="I9457" s="27" t="s">
        <v>38</v>
      </c>
      <c r="J9457" s="28" t="s">
        <v>913</v>
      </c>
      <c r="K9457" s="27" t="s">
        <v>38</v>
      </c>
      <c r="L9457" s="27"/>
    </row>
    <row r="9458" customFormat="false" ht="15" hidden="false" customHeight="false" outlineLevel="0" collapsed="false">
      <c r="A9458" s="26" t="s">
        <v>23829</v>
      </c>
      <c r="B9458" s="27" t="s">
        <v>23830</v>
      </c>
      <c r="C9458" s="27" t="s">
        <v>144</v>
      </c>
      <c r="D9458" s="26"/>
      <c r="E9458" s="27"/>
      <c r="F9458" s="27"/>
      <c r="G9458" s="27" t="s">
        <v>11122</v>
      </c>
      <c r="H9458" s="27" t="s">
        <v>35</v>
      </c>
      <c r="I9458" s="27" t="s">
        <v>38</v>
      </c>
      <c r="J9458" s="28" t="s">
        <v>913</v>
      </c>
      <c r="K9458" s="27" t="s">
        <v>38</v>
      </c>
      <c r="L9458" s="27"/>
    </row>
    <row r="9459" customFormat="false" ht="15" hidden="false" customHeight="false" outlineLevel="0" collapsed="false">
      <c r="A9459" s="26" t="s">
        <v>23831</v>
      </c>
      <c r="B9459" s="27" t="s">
        <v>23832</v>
      </c>
      <c r="C9459" s="27" t="s">
        <v>144</v>
      </c>
      <c r="D9459" s="26"/>
      <c r="E9459" s="27"/>
      <c r="F9459" s="27"/>
      <c r="G9459" s="27" t="s">
        <v>11122</v>
      </c>
      <c r="H9459" s="27" t="s">
        <v>35</v>
      </c>
      <c r="I9459" s="27" t="s">
        <v>38</v>
      </c>
      <c r="J9459" s="28" t="s">
        <v>913</v>
      </c>
      <c r="K9459" s="27" t="s">
        <v>38</v>
      </c>
      <c r="L9459" s="27"/>
    </row>
    <row r="9460" customFormat="false" ht="15" hidden="false" customHeight="false" outlineLevel="0" collapsed="false">
      <c r="A9460" s="26" t="s">
        <v>23833</v>
      </c>
      <c r="B9460" s="27" t="s">
        <v>23834</v>
      </c>
      <c r="C9460" s="27" t="s">
        <v>144</v>
      </c>
      <c r="D9460" s="26"/>
      <c r="E9460" s="27"/>
      <c r="F9460" s="27"/>
      <c r="G9460" s="27" t="s">
        <v>11122</v>
      </c>
      <c r="H9460" s="27" t="s">
        <v>35</v>
      </c>
      <c r="I9460" s="27" t="s">
        <v>38</v>
      </c>
      <c r="J9460" s="28" t="s">
        <v>913</v>
      </c>
      <c r="K9460" s="27" t="s">
        <v>38</v>
      </c>
      <c r="L9460" s="27"/>
    </row>
    <row r="9461" customFormat="false" ht="15" hidden="false" customHeight="false" outlineLevel="0" collapsed="false">
      <c r="A9461" s="26" t="s">
        <v>23835</v>
      </c>
      <c r="B9461" s="27" t="s">
        <v>23836</v>
      </c>
      <c r="C9461" s="27" t="s">
        <v>144</v>
      </c>
      <c r="D9461" s="26"/>
      <c r="E9461" s="27"/>
      <c r="F9461" s="27"/>
      <c r="G9461" s="27" t="s">
        <v>11122</v>
      </c>
      <c r="H9461" s="27" t="s">
        <v>35</v>
      </c>
      <c r="I9461" s="27" t="s">
        <v>38</v>
      </c>
      <c r="J9461" s="28" t="s">
        <v>913</v>
      </c>
      <c r="K9461" s="27" t="s">
        <v>38</v>
      </c>
      <c r="L9461" s="27"/>
    </row>
    <row r="9462" customFormat="false" ht="15" hidden="false" customHeight="false" outlineLevel="0" collapsed="false">
      <c r="A9462" s="26" t="s">
        <v>23837</v>
      </c>
      <c r="B9462" s="27" t="s">
        <v>23838</v>
      </c>
      <c r="C9462" s="27" t="s">
        <v>144</v>
      </c>
      <c r="D9462" s="26"/>
      <c r="E9462" s="27"/>
      <c r="F9462" s="27"/>
      <c r="G9462" s="27" t="s">
        <v>11122</v>
      </c>
      <c r="H9462" s="27" t="s">
        <v>35</v>
      </c>
      <c r="I9462" s="27" t="s">
        <v>38</v>
      </c>
      <c r="J9462" s="28" t="s">
        <v>913</v>
      </c>
      <c r="K9462" s="27" t="s">
        <v>38</v>
      </c>
      <c r="L9462" s="27"/>
    </row>
    <row r="9463" customFormat="false" ht="15" hidden="false" customHeight="false" outlineLevel="0" collapsed="false">
      <c r="A9463" s="26" t="s">
        <v>23839</v>
      </c>
      <c r="B9463" s="27" t="s">
        <v>23840</v>
      </c>
      <c r="C9463" s="27" t="s">
        <v>144</v>
      </c>
      <c r="D9463" s="26"/>
      <c r="E9463" s="27"/>
      <c r="F9463" s="27"/>
      <c r="G9463" s="27" t="s">
        <v>11122</v>
      </c>
      <c r="H9463" s="27" t="s">
        <v>35</v>
      </c>
      <c r="I9463" s="27" t="s">
        <v>38</v>
      </c>
      <c r="J9463" s="28" t="s">
        <v>913</v>
      </c>
      <c r="K9463" s="27" t="s">
        <v>38</v>
      </c>
      <c r="L9463" s="27"/>
    </row>
    <row r="9464" customFormat="false" ht="15" hidden="false" customHeight="false" outlineLevel="0" collapsed="false">
      <c r="A9464" s="26" t="s">
        <v>23841</v>
      </c>
      <c r="B9464" s="27" t="s">
        <v>23842</v>
      </c>
      <c r="C9464" s="27" t="s">
        <v>144</v>
      </c>
      <c r="D9464" s="26"/>
      <c r="E9464" s="27"/>
      <c r="F9464" s="27"/>
      <c r="G9464" s="27" t="s">
        <v>11122</v>
      </c>
      <c r="H9464" s="27" t="s">
        <v>35</v>
      </c>
      <c r="I9464" s="27" t="s">
        <v>38</v>
      </c>
      <c r="J9464" s="28" t="s">
        <v>913</v>
      </c>
      <c r="K9464" s="27" t="s">
        <v>38</v>
      </c>
      <c r="L9464" s="27"/>
    </row>
    <row r="9465" customFormat="false" ht="15" hidden="false" customHeight="false" outlineLevel="0" collapsed="false">
      <c r="A9465" s="26" t="s">
        <v>23843</v>
      </c>
      <c r="B9465" s="27" t="s">
        <v>23844</v>
      </c>
      <c r="C9465" s="27" t="s">
        <v>144</v>
      </c>
      <c r="D9465" s="26"/>
      <c r="E9465" s="27"/>
      <c r="F9465" s="27"/>
      <c r="G9465" s="27" t="s">
        <v>11122</v>
      </c>
      <c r="H9465" s="27" t="s">
        <v>35</v>
      </c>
      <c r="I9465" s="27" t="s">
        <v>38</v>
      </c>
      <c r="J9465" s="28" t="s">
        <v>913</v>
      </c>
      <c r="K9465" s="27" t="s">
        <v>38</v>
      </c>
      <c r="L9465" s="27"/>
    </row>
    <row r="9466" customFormat="false" ht="15" hidden="false" customHeight="false" outlineLevel="0" collapsed="false">
      <c r="A9466" s="26" t="s">
        <v>23845</v>
      </c>
      <c r="B9466" s="27" t="s">
        <v>23846</v>
      </c>
      <c r="C9466" s="27" t="s">
        <v>144</v>
      </c>
      <c r="D9466" s="26"/>
      <c r="E9466" s="27"/>
      <c r="F9466" s="27"/>
      <c r="G9466" s="27" t="s">
        <v>11122</v>
      </c>
      <c r="H9466" s="27" t="s">
        <v>35</v>
      </c>
      <c r="I9466" s="27" t="s">
        <v>38</v>
      </c>
      <c r="J9466" s="28" t="s">
        <v>913</v>
      </c>
      <c r="K9466" s="27" t="s">
        <v>38</v>
      </c>
      <c r="L9466" s="27"/>
    </row>
    <row r="9467" customFormat="false" ht="15" hidden="false" customHeight="false" outlineLevel="0" collapsed="false">
      <c r="A9467" s="26" t="s">
        <v>23847</v>
      </c>
      <c r="B9467" s="27" t="s">
        <v>23848</v>
      </c>
      <c r="C9467" s="27" t="s">
        <v>144</v>
      </c>
      <c r="D9467" s="26"/>
      <c r="E9467" s="27"/>
      <c r="F9467" s="27"/>
      <c r="G9467" s="27" t="s">
        <v>11122</v>
      </c>
      <c r="H9467" s="27" t="s">
        <v>35</v>
      </c>
      <c r="I9467" s="27" t="s">
        <v>38</v>
      </c>
      <c r="J9467" s="28" t="s">
        <v>913</v>
      </c>
      <c r="K9467" s="27" t="s">
        <v>38</v>
      </c>
      <c r="L9467" s="27"/>
    </row>
    <row r="9468" customFormat="false" ht="15" hidden="false" customHeight="false" outlineLevel="0" collapsed="false">
      <c r="A9468" s="26" t="s">
        <v>23849</v>
      </c>
      <c r="B9468" s="27" t="s">
        <v>23850</v>
      </c>
      <c r="C9468" s="27" t="s">
        <v>144</v>
      </c>
      <c r="D9468" s="26"/>
      <c r="E9468" s="27"/>
      <c r="F9468" s="27"/>
      <c r="G9468" s="27" t="s">
        <v>11122</v>
      </c>
      <c r="H9468" s="27" t="s">
        <v>35</v>
      </c>
      <c r="I9468" s="27" t="s">
        <v>38</v>
      </c>
      <c r="J9468" s="28" t="s">
        <v>913</v>
      </c>
      <c r="K9468" s="27" t="s">
        <v>38</v>
      </c>
      <c r="L9468" s="27"/>
    </row>
    <row r="9469" customFormat="false" ht="15" hidden="false" customHeight="false" outlineLevel="0" collapsed="false">
      <c r="A9469" s="26" t="s">
        <v>23851</v>
      </c>
      <c r="B9469" s="27" t="s">
        <v>23852</v>
      </c>
      <c r="C9469" s="27" t="s">
        <v>144</v>
      </c>
      <c r="D9469" s="26"/>
      <c r="E9469" s="27"/>
      <c r="F9469" s="27"/>
      <c r="G9469" s="27" t="s">
        <v>11122</v>
      </c>
      <c r="H9469" s="27" t="s">
        <v>35</v>
      </c>
      <c r="I9469" s="27" t="s">
        <v>38</v>
      </c>
      <c r="J9469" s="28" t="s">
        <v>913</v>
      </c>
      <c r="K9469" s="27" t="s">
        <v>38</v>
      </c>
      <c r="L9469" s="27"/>
    </row>
    <row r="9470" customFormat="false" ht="15" hidden="false" customHeight="false" outlineLevel="0" collapsed="false">
      <c r="A9470" s="26" t="s">
        <v>23853</v>
      </c>
      <c r="B9470" s="27" t="s">
        <v>23854</v>
      </c>
      <c r="C9470" s="27" t="s">
        <v>144</v>
      </c>
      <c r="D9470" s="26"/>
      <c r="E9470" s="27"/>
      <c r="F9470" s="27"/>
      <c r="G9470" s="27" t="s">
        <v>11122</v>
      </c>
      <c r="H9470" s="27" t="s">
        <v>35</v>
      </c>
      <c r="I9470" s="27" t="s">
        <v>41</v>
      </c>
      <c r="J9470" s="28" t="s">
        <v>913</v>
      </c>
      <c r="K9470" s="27" t="s">
        <v>38</v>
      </c>
      <c r="L9470" s="27"/>
    </row>
    <row r="9471" customFormat="false" ht="15" hidden="false" customHeight="false" outlineLevel="0" collapsed="false">
      <c r="A9471" s="26" t="s">
        <v>23855</v>
      </c>
      <c r="B9471" s="27" t="s">
        <v>23856</v>
      </c>
      <c r="C9471" s="27" t="s">
        <v>144</v>
      </c>
      <c r="D9471" s="26"/>
      <c r="E9471" s="27"/>
      <c r="F9471" s="27"/>
      <c r="G9471" s="27" t="s">
        <v>11122</v>
      </c>
      <c r="H9471" s="27" t="s">
        <v>35</v>
      </c>
      <c r="I9471" s="27" t="s">
        <v>38</v>
      </c>
      <c r="J9471" s="28" t="s">
        <v>913</v>
      </c>
      <c r="K9471" s="27" t="s">
        <v>38</v>
      </c>
      <c r="L9471" s="27"/>
    </row>
    <row r="9472" customFormat="false" ht="15" hidden="false" customHeight="false" outlineLevel="0" collapsed="false">
      <c r="A9472" s="26" t="s">
        <v>23857</v>
      </c>
      <c r="B9472" s="27" t="s">
        <v>23858</v>
      </c>
      <c r="C9472" s="27" t="s">
        <v>144</v>
      </c>
      <c r="D9472" s="26"/>
      <c r="E9472" s="27"/>
      <c r="F9472" s="27"/>
      <c r="G9472" s="27" t="s">
        <v>11122</v>
      </c>
      <c r="H9472" s="27" t="s">
        <v>35</v>
      </c>
      <c r="I9472" s="27" t="s">
        <v>38</v>
      </c>
      <c r="J9472" s="28" t="s">
        <v>913</v>
      </c>
      <c r="K9472" s="27" t="s">
        <v>38</v>
      </c>
      <c r="L9472" s="27"/>
    </row>
    <row r="9473" customFormat="false" ht="15" hidden="false" customHeight="false" outlineLevel="0" collapsed="false">
      <c r="A9473" s="26" t="s">
        <v>23859</v>
      </c>
      <c r="B9473" s="27" t="s">
        <v>23860</v>
      </c>
      <c r="C9473" s="27" t="s">
        <v>144</v>
      </c>
      <c r="D9473" s="26"/>
      <c r="E9473" s="27"/>
      <c r="F9473" s="27"/>
      <c r="G9473" s="27" t="s">
        <v>11122</v>
      </c>
      <c r="H9473" s="27" t="s">
        <v>35</v>
      </c>
      <c r="I9473" s="27" t="s">
        <v>38</v>
      </c>
      <c r="J9473" s="28" t="s">
        <v>913</v>
      </c>
      <c r="K9473" s="27" t="s">
        <v>38</v>
      </c>
      <c r="L9473" s="27"/>
    </row>
    <row r="9474" customFormat="false" ht="15" hidden="false" customHeight="false" outlineLevel="0" collapsed="false">
      <c r="A9474" s="26" t="s">
        <v>23861</v>
      </c>
      <c r="B9474" s="27" t="s">
        <v>23862</v>
      </c>
      <c r="C9474" s="27" t="s">
        <v>144</v>
      </c>
      <c r="D9474" s="26"/>
      <c r="E9474" s="27"/>
      <c r="F9474" s="27"/>
      <c r="G9474" s="27" t="s">
        <v>11122</v>
      </c>
      <c r="H9474" s="27" t="s">
        <v>35</v>
      </c>
      <c r="I9474" s="27" t="s">
        <v>38</v>
      </c>
      <c r="J9474" s="28" t="s">
        <v>913</v>
      </c>
      <c r="K9474" s="27" t="s">
        <v>38</v>
      </c>
      <c r="L9474" s="27"/>
    </row>
    <row r="9475" customFormat="false" ht="15" hidden="false" customHeight="false" outlineLevel="0" collapsed="false">
      <c r="A9475" s="26" t="s">
        <v>23863</v>
      </c>
      <c r="B9475" s="27" t="s">
        <v>23864</v>
      </c>
      <c r="C9475" s="27" t="s">
        <v>144</v>
      </c>
      <c r="D9475" s="26"/>
      <c r="E9475" s="27"/>
      <c r="F9475" s="27"/>
      <c r="G9475" s="27" t="s">
        <v>11122</v>
      </c>
      <c r="H9475" s="27" t="s">
        <v>35</v>
      </c>
      <c r="I9475" s="27" t="s">
        <v>38</v>
      </c>
      <c r="J9475" s="28" t="s">
        <v>913</v>
      </c>
      <c r="K9475" s="27" t="s">
        <v>38</v>
      </c>
      <c r="L9475" s="27"/>
    </row>
    <row r="9476" customFormat="false" ht="15" hidden="false" customHeight="false" outlineLevel="0" collapsed="false">
      <c r="A9476" s="26" t="s">
        <v>23865</v>
      </c>
      <c r="B9476" s="27" t="s">
        <v>23866</v>
      </c>
      <c r="C9476" s="27" t="s">
        <v>144</v>
      </c>
      <c r="D9476" s="26"/>
      <c r="E9476" s="27"/>
      <c r="F9476" s="27"/>
      <c r="G9476" s="27" t="s">
        <v>11122</v>
      </c>
      <c r="H9476" s="27" t="s">
        <v>35</v>
      </c>
      <c r="I9476" s="27" t="s">
        <v>38</v>
      </c>
      <c r="J9476" s="28" t="s">
        <v>913</v>
      </c>
      <c r="K9476" s="27" t="s">
        <v>38</v>
      </c>
      <c r="L9476" s="27"/>
    </row>
    <row r="9477" customFormat="false" ht="15" hidden="false" customHeight="false" outlineLevel="0" collapsed="false">
      <c r="A9477" s="26" t="s">
        <v>23867</v>
      </c>
      <c r="B9477" s="27" t="s">
        <v>23868</v>
      </c>
      <c r="C9477" s="27" t="s">
        <v>144</v>
      </c>
      <c r="D9477" s="26"/>
      <c r="E9477" s="27"/>
      <c r="F9477" s="27"/>
      <c r="G9477" s="27" t="s">
        <v>11122</v>
      </c>
      <c r="H9477" s="27" t="s">
        <v>35</v>
      </c>
      <c r="I9477" s="27" t="s">
        <v>38</v>
      </c>
      <c r="J9477" s="28" t="s">
        <v>913</v>
      </c>
      <c r="K9477" s="27" t="s">
        <v>38</v>
      </c>
      <c r="L9477" s="27"/>
    </row>
    <row r="9478" customFormat="false" ht="15" hidden="false" customHeight="false" outlineLevel="0" collapsed="false">
      <c r="A9478" s="26" t="s">
        <v>23869</v>
      </c>
      <c r="B9478" s="27" t="s">
        <v>23870</v>
      </c>
      <c r="C9478" s="27" t="s">
        <v>144</v>
      </c>
      <c r="D9478" s="26"/>
      <c r="E9478" s="27"/>
      <c r="F9478" s="27"/>
      <c r="G9478" s="27" t="s">
        <v>11122</v>
      </c>
      <c r="H9478" s="27" t="s">
        <v>35</v>
      </c>
      <c r="I9478" s="27" t="s">
        <v>38</v>
      </c>
      <c r="J9478" s="28" t="s">
        <v>913</v>
      </c>
      <c r="K9478" s="27" t="s">
        <v>38</v>
      </c>
      <c r="L9478" s="27"/>
    </row>
    <row r="9479" customFormat="false" ht="15" hidden="false" customHeight="false" outlineLevel="0" collapsed="false">
      <c r="A9479" s="26" t="s">
        <v>23871</v>
      </c>
      <c r="B9479" s="27" t="s">
        <v>23872</v>
      </c>
      <c r="C9479" s="27" t="s">
        <v>144</v>
      </c>
      <c r="D9479" s="26"/>
      <c r="E9479" s="27"/>
      <c r="F9479" s="27"/>
      <c r="G9479" s="27" t="s">
        <v>11122</v>
      </c>
      <c r="H9479" s="27" t="s">
        <v>35</v>
      </c>
      <c r="I9479" s="27" t="s">
        <v>38</v>
      </c>
      <c r="J9479" s="28" t="s">
        <v>913</v>
      </c>
      <c r="K9479" s="27" t="s">
        <v>38</v>
      </c>
      <c r="L9479" s="27"/>
    </row>
    <row r="9480" customFormat="false" ht="15" hidden="false" customHeight="false" outlineLevel="0" collapsed="false">
      <c r="A9480" s="26" t="s">
        <v>23873</v>
      </c>
      <c r="B9480" s="27" t="s">
        <v>23874</v>
      </c>
      <c r="C9480" s="27" t="s">
        <v>144</v>
      </c>
      <c r="D9480" s="26"/>
      <c r="E9480" s="27"/>
      <c r="F9480" s="27"/>
      <c r="G9480" s="27" t="s">
        <v>11122</v>
      </c>
      <c r="H9480" s="27" t="s">
        <v>35</v>
      </c>
      <c r="I9480" s="27" t="s">
        <v>37</v>
      </c>
      <c r="J9480" s="28" t="s">
        <v>913</v>
      </c>
      <c r="K9480" s="27" t="s">
        <v>38</v>
      </c>
      <c r="L9480" s="27"/>
    </row>
    <row r="9481" customFormat="false" ht="15" hidden="false" customHeight="false" outlineLevel="0" collapsed="false">
      <c r="A9481" s="26" t="s">
        <v>23875</v>
      </c>
      <c r="B9481" s="27" t="s">
        <v>23876</v>
      </c>
      <c r="C9481" s="27" t="s">
        <v>144</v>
      </c>
      <c r="D9481" s="26"/>
      <c r="E9481" s="27"/>
      <c r="F9481" s="27"/>
      <c r="G9481" s="27" t="s">
        <v>11122</v>
      </c>
      <c r="H9481" s="27" t="s">
        <v>35</v>
      </c>
      <c r="I9481" s="27" t="s">
        <v>38</v>
      </c>
      <c r="J9481" s="28" t="s">
        <v>913</v>
      </c>
      <c r="K9481" s="27" t="s">
        <v>38</v>
      </c>
      <c r="L9481" s="27"/>
    </row>
    <row r="9482" customFormat="false" ht="15" hidden="false" customHeight="false" outlineLevel="0" collapsed="false">
      <c r="A9482" s="26" t="s">
        <v>23877</v>
      </c>
      <c r="B9482" s="27" t="s">
        <v>23878</v>
      </c>
      <c r="C9482" s="27" t="s">
        <v>144</v>
      </c>
      <c r="D9482" s="26"/>
      <c r="E9482" s="27"/>
      <c r="F9482" s="27"/>
      <c r="G9482" s="27" t="s">
        <v>11122</v>
      </c>
      <c r="H9482" s="27" t="s">
        <v>35</v>
      </c>
      <c r="I9482" s="27" t="s">
        <v>40</v>
      </c>
      <c r="J9482" s="28" t="s">
        <v>913</v>
      </c>
      <c r="K9482" s="27" t="s">
        <v>38</v>
      </c>
      <c r="L9482" s="27"/>
    </row>
    <row r="9483" customFormat="false" ht="15" hidden="false" customHeight="false" outlineLevel="0" collapsed="false">
      <c r="A9483" s="26" t="s">
        <v>23879</v>
      </c>
      <c r="B9483" s="27" t="s">
        <v>23880</v>
      </c>
      <c r="C9483" s="27" t="s">
        <v>144</v>
      </c>
      <c r="D9483" s="26"/>
      <c r="E9483" s="27"/>
      <c r="F9483" s="27"/>
      <c r="G9483" s="27" t="s">
        <v>11122</v>
      </c>
      <c r="H9483" s="27" t="s">
        <v>35</v>
      </c>
      <c r="I9483" s="27" t="s">
        <v>4159</v>
      </c>
      <c r="J9483" s="28" t="s">
        <v>913</v>
      </c>
      <c r="K9483" s="27" t="s">
        <v>38</v>
      </c>
      <c r="L9483" s="27"/>
    </row>
    <row r="9484" customFormat="false" ht="15" hidden="false" customHeight="false" outlineLevel="0" collapsed="false">
      <c r="A9484" s="26" t="s">
        <v>23881</v>
      </c>
      <c r="B9484" s="27" t="s">
        <v>23882</v>
      </c>
      <c r="C9484" s="27" t="s">
        <v>144</v>
      </c>
      <c r="D9484" s="26"/>
      <c r="E9484" s="27"/>
      <c r="F9484" s="27"/>
      <c r="G9484" s="27" t="s">
        <v>11122</v>
      </c>
      <c r="H9484" s="27" t="s">
        <v>35</v>
      </c>
      <c r="I9484" s="27" t="s">
        <v>38</v>
      </c>
      <c r="J9484" s="28" t="s">
        <v>913</v>
      </c>
      <c r="K9484" s="27" t="s">
        <v>38</v>
      </c>
      <c r="L9484" s="27"/>
    </row>
    <row r="9485" customFormat="false" ht="15" hidden="false" customHeight="false" outlineLevel="0" collapsed="false">
      <c r="A9485" s="26" t="s">
        <v>23883</v>
      </c>
      <c r="B9485" s="27" t="s">
        <v>23884</v>
      </c>
      <c r="C9485" s="27" t="s">
        <v>144</v>
      </c>
      <c r="D9485" s="26"/>
      <c r="E9485" s="27"/>
      <c r="F9485" s="27"/>
      <c r="G9485" s="27" t="s">
        <v>11122</v>
      </c>
      <c r="H9485" s="27" t="s">
        <v>35</v>
      </c>
      <c r="I9485" s="27" t="s">
        <v>4159</v>
      </c>
      <c r="J9485" s="28" t="s">
        <v>913</v>
      </c>
      <c r="K9485" s="27" t="s">
        <v>38</v>
      </c>
      <c r="L9485" s="27"/>
    </row>
    <row r="9486" customFormat="false" ht="15" hidden="false" customHeight="false" outlineLevel="0" collapsed="false">
      <c r="A9486" s="26" t="s">
        <v>23885</v>
      </c>
      <c r="B9486" s="27" t="s">
        <v>23886</v>
      </c>
      <c r="C9486" s="27" t="s">
        <v>144</v>
      </c>
      <c r="D9486" s="26"/>
      <c r="E9486" s="27"/>
      <c r="F9486" s="27"/>
      <c r="G9486" s="27" t="s">
        <v>11122</v>
      </c>
      <c r="H9486" s="27" t="s">
        <v>35</v>
      </c>
      <c r="I9486" s="27" t="s">
        <v>41</v>
      </c>
      <c r="J9486" s="28" t="s">
        <v>913</v>
      </c>
      <c r="K9486" s="27" t="s">
        <v>38</v>
      </c>
      <c r="L9486" s="27"/>
    </row>
    <row r="9487" customFormat="false" ht="15" hidden="false" customHeight="false" outlineLevel="0" collapsed="false">
      <c r="A9487" s="26" t="s">
        <v>23887</v>
      </c>
      <c r="B9487" s="27" t="s">
        <v>23888</v>
      </c>
      <c r="C9487" s="27" t="s">
        <v>144</v>
      </c>
      <c r="D9487" s="26"/>
      <c r="E9487" s="27"/>
      <c r="F9487" s="27"/>
      <c r="G9487" s="27" t="s">
        <v>11122</v>
      </c>
      <c r="H9487" s="27" t="s">
        <v>35</v>
      </c>
      <c r="I9487" s="27" t="s">
        <v>38</v>
      </c>
      <c r="J9487" s="28" t="s">
        <v>913</v>
      </c>
      <c r="K9487" s="27" t="s">
        <v>38</v>
      </c>
      <c r="L9487" s="27"/>
    </row>
    <row r="9488" customFormat="false" ht="15" hidden="false" customHeight="false" outlineLevel="0" collapsed="false">
      <c r="A9488" s="26" t="s">
        <v>23889</v>
      </c>
      <c r="B9488" s="27" t="s">
        <v>23890</v>
      </c>
      <c r="C9488" s="27" t="s">
        <v>144</v>
      </c>
      <c r="D9488" s="26"/>
      <c r="E9488" s="27"/>
      <c r="F9488" s="27"/>
      <c r="G9488" s="27" t="s">
        <v>11122</v>
      </c>
      <c r="H9488" s="27" t="s">
        <v>35</v>
      </c>
      <c r="I9488" s="27" t="s">
        <v>38</v>
      </c>
      <c r="J9488" s="28" t="s">
        <v>913</v>
      </c>
      <c r="K9488" s="27" t="s">
        <v>38</v>
      </c>
      <c r="L9488" s="27"/>
    </row>
    <row r="9489" customFormat="false" ht="15" hidden="false" customHeight="false" outlineLevel="0" collapsed="false">
      <c r="A9489" s="26" t="s">
        <v>23891</v>
      </c>
      <c r="B9489" s="27" t="s">
        <v>23892</v>
      </c>
      <c r="C9489" s="27" t="s">
        <v>144</v>
      </c>
      <c r="D9489" s="26"/>
      <c r="E9489" s="27"/>
      <c r="F9489" s="27"/>
      <c r="G9489" s="27" t="s">
        <v>11122</v>
      </c>
      <c r="H9489" s="27" t="s">
        <v>35</v>
      </c>
      <c r="I9489" s="27" t="s">
        <v>37</v>
      </c>
      <c r="J9489" s="28" t="s">
        <v>913</v>
      </c>
      <c r="K9489" s="27" t="s">
        <v>38</v>
      </c>
      <c r="L9489" s="27"/>
    </row>
    <row r="9490" customFormat="false" ht="15" hidden="false" customHeight="false" outlineLevel="0" collapsed="false">
      <c r="A9490" s="26" t="s">
        <v>23893</v>
      </c>
      <c r="B9490" s="27" t="s">
        <v>23894</v>
      </c>
      <c r="C9490" s="27" t="s">
        <v>144</v>
      </c>
      <c r="D9490" s="26"/>
      <c r="E9490" s="27"/>
      <c r="F9490" s="27"/>
      <c r="G9490" s="27" t="s">
        <v>11122</v>
      </c>
      <c r="H9490" s="27" t="s">
        <v>35</v>
      </c>
      <c r="I9490" s="27" t="s">
        <v>38</v>
      </c>
      <c r="J9490" s="28" t="s">
        <v>913</v>
      </c>
      <c r="K9490" s="27" t="s">
        <v>38</v>
      </c>
      <c r="L9490" s="27"/>
    </row>
    <row r="9491" customFormat="false" ht="15" hidden="false" customHeight="false" outlineLevel="0" collapsed="false">
      <c r="A9491" s="26" t="s">
        <v>23895</v>
      </c>
      <c r="B9491" s="27" t="s">
        <v>23896</v>
      </c>
      <c r="C9491" s="27" t="s">
        <v>144</v>
      </c>
      <c r="D9491" s="26"/>
      <c r="E9491" s="27"/>
      <c r="F9491" s="27"/>
      <c r="G9491" s="27" t="s">
        <v>11122</v>
      </c>
      <c r="H9491" s="27" t="s">
        <v>35</v>
      </c>
      <c r="I9491" s="27" t="s">
        <v>38</v>
      </c>
      <c r="J9491" s="28" t="s">
        <v>913</v>
      </c>
      <c r="K9491" s="27" t="s">
        <v>38</v>
      </c>
      <c r="L9491" s="27"/>
    </row>
    <row r="9492" customFormat="false" ht="15" hidden="false" customHeight="false" outlineLevel="0" collapsed="false">
      <c r="A9492" s="26" t="s">
        <v>23897</v>
      </c>
      <c r="B9492" s="27" t="s">
        <v>23898</v>
      </c>
      <c r="C9492" s="27" t="s">
        <v>144</v>
      </c>
      <c r="D9492" s="26"/>
      <c r="E9492" s="27"/>
      <c r="F9492" s="27"/>
      <c r="G9492" s="27" t="s">
        <v>11122</v>
      </c>
      <c r="H9492" s="27" t="s">
        <v>35</v>
      </c>
      <c r="I9492" s="27" t="s">
        <v>38</v>
      </c>
      <c r="J9492" s="28" t="s">
        <v>913</v>
      </c>
      <c r="K9492" s="27" t="s">
        <v>38</v>
      </c>
      <c r="L9492" s="27"/>
    </row>
    <row r="9493" customFormat="false" ht="15" hidden="false" customHeight="false" outlineLevel="0" collapsed="false">
      <c r="A9493" s="26" t="s">
        <v>23899</v>
      </c>
      <c r="B9493" s="27" t="s">
        <v>23900</v>
      </c>
      <c r="C9493" s="27" t="s">
        <v>144</v>
      </c>
      <c r="D9493" s="26"/>
      <c r="E9493" s="27"/>
      <c r="F9493" s="27"/>
      <c r="G9493" s="27" t="s">
        <v>11122</v>
      </c>
      <c r="H9493" s="27" t="s">
        <v>35</v>
      </c>
      <c r="I9493" s="27" t="s">
        <v>38</v>
      </c>
      <c r="J9493" s="28" t="s">
        <v>913</v>
      </c>
      <c r="K9493" s="27" t="s">
        <v>38</v>
      </c>
      <c r="L9493" s="27"/>
    </row>
    <row r="9494" customFormat="false" ht="15" hidden="false" customHeight="false" outlineLevel="0" collapsed="false">
      <c r="A9494" s="26" t="s">
        <v>23901</v>
      </c>
      <c r="B9494" s="27" t="s">
        <v>23902</v>
      </c>
      <c r="C9494" s="27" t="s">
        <v>144</v>
      </c>
      <c r="D9494" s="26"/>
      <c r="E9494" s="27"/>
      <c r="F9494" s="27"/>
      <c r="G9494" s="27" t="s">
        <v>11122</v>
      </c>
      <c r="H9494" s="27" t="s">
        <v>35</v>
      </c>
      <c r="I9494" s="27" t="s">
        <v>41</v>
      </c>
      <c r="J9494" s="28" t="s">
        <v>913</v>
      </c>
      <c r="K9494" s="27" t="s">
        <v>38</v>
      </c>
      <c r="L9494" s="27"/>
    </row>
    <row r="9495" customFormat="false" ht="15" hidden="false" customHeight="false" outlineLevel="0" collapsed="false">
      <c r="A9495" s="26" t="s">
        <v>23903</v>
      </c>
      <c r="B9495" s="27" t="s">
        <v>23904</v>
      </c>
      <c r="C9495" s="27" t="s">
        <v>144</v>
      </c>
      <c r="D9495" s="26"/>
      <c r="E9495" s="27"/>
      <c r="F9495" s="27"/>
      <c r="G9495" s="27" t="s">
        <v>11122</v>
      </c>
      <c r="H9495" s="27" t="s">
        <v>35</v>
      </c>
      <c r="I9495" s="27" t="s">
        <v>38</v>
      </c>
      <c r="J9495" s="28" t="s">
        <v>913</v>
      </c>
      <c r="K9495" s="27" t="s">
        <v>38</v>
      </c>
      <c r="L9495" s="27"/>
    </row>
    <row r="9496" customFormat="false" ht="15" hidden="false" customHeight="false" outlineLevel="0" collapsed="false">
      <c r="A9496" s="26" t="s">
        <v>23905</v>
      </c>
      <c r="B9496" s="27" t="s">
        <v>23906</v>
      </c>
      <c r="C9496" s="27" t="s">
        <v>144</v>
      </c>
      <c r="D9496" s="26"/>
      <c r="E9496" s="27"/>
      <c r="F9496" s="27"/>
      <c r="G9496" s="27" t="s">
        <v>11122</v>
      </c>
      <c r="H9496" s="27" t="s">
        <v>35</v>
      </c>
      <c r="I9496" s="27" t="s">
        <v>41</v>
      </c>
      <c r="J9496" s="28" t="s">
        <v>913</v>
      </c>
      <c r="K9496" s="27" t="s">
        <v>38</v>
      </c>
      <c r="L9496" s="27"/>
    </row>
    <row r="9497" customFormat="false" ht="15" hidden="false" customHeight="false" outlineLevel="0" collapsed="false">
      <c r="A9497" s="26" t="s">
        <v>23907</v>
      </c>
      <c r="B9497" s="27" t="s">
        <v>23908</v>
      </c>
      <c r="C9497" s="27" t="s">
        <v>144</v>
      </c>
      <c r="D9497" s="26"/>
      <c r="E9497" s="27"/>
      <c r="F9497" s="27"/>
      <c r="G9497" s="27" t="s">
        <v>11122</v>
      </c>
      <c r="H9497" s="27" t="s">
        <v>35</v>
      </c>
      <c r="I9497" s="27" t="s">
        <v>38</v>
      </c>
      <c r="J9497" s="28" t="s">
        <v>913</v>
      </c>
      <c r="K9497" s="27" t="s">
        <v>38</v>
      </c>
      <c r="L9497" s="27"/>
    </row>
    <row r="9498" customFormat="false" ht="15" hidden="false" customHeight="false" outlineLevel="0" collapsed="false">
      <c r="A9498" s="26" t="s">
        <v>23909</v>
      </c>
      <c r="B9498" s="27" t="s">
        <v>23910</v>
      </c>
      <c r="C9498" s="27" t="s">
        <v>144</v>
      </c>
      <c r="D9498" s="26"/>
      <c r="E9498" s="27"/>
      <c r="F9498" s="27"/>
      <c r="G9498" s="27" t="s">
        <v>11122</v>
      </c>
      <c r="H9498" s="27" t="s">
        <v>35</v>
      </c>
      <c r="I9498" s="27" t="s">
        <v>38</v>
      </c>
      <c r="J9498" s="28" t="s">
        <v>913</v>
      </c>
      <c r="K9498" s="27" t="s">
        <v>38</v>
      </c>
      <c r="L9498" s="27"/>
    </row>
    <row r="9499" customFormat="false" ht="15" hidden="false" customHeight="false" outlineLevel="0" collapsed="false">
      <c r="A9499" s="26" t="s">
        <v>23911</v>
      </c>
      <c r="B9499" s="27" t="s">
        <v>23912</v>
      </c>
      <c r="C9499" s="27" t="s">
        <v>144</v>
      </c>
      <c r="D9499" s="26"/>
      <c r="E9499" s="27"/>
      <c r="F9499" s="27"/>
      <c r="G9499" s="27" t="s">
        <v>11122</v>
      </c>
      <c r="H9499" s="27" t="s">
        <v>35</v>
      </c>
      <c r="I9499" s="27" t="s">
        <v>38</v>
      </c>
      <c r="J9499" s="28" t="s">
        <v>913</v>
      </c>
      <c r="K9499" s="27" t="s">
        <v>38</v>
      </c>
      <c r="L9499" s="27"/>
    </row>
    <row r="9500" customFormat="false" ht="15" hidden="false" customHeight="false" outlineLevel="0" collapsed="false">
      <c r="A9500" s="26" t="s">
        <v>23913</v>
      </c>
      <c r="B9500" s="27" t="s">
        <v>23914</v>
      </c>
      <c r="C9500" s="27" t="s">
        <v>144</v>
      </c>
      <c r="D9500" s="26"/>
      <c r="E9500" s="27"/>
      <c r="F9500" s="27"/>
      <c r="G9500" s="27" t="s">
        <v>11122</v>
      </c>
      <c r="H9500" s="27" t="s">
        <v>35</v>
      </c>
      <c r="I9500" s="27" t="s">
        <v>37</v>
      </c>
      <c r="J9500" s="28" t="s">
        <v>913</v>
      </c>
      <c r="K9500" s="27" t="s">
        <v>38</v>
      </c>
      <c r="L9500" s="27"/>
    </row>
    <row r="9501" customFormat="false" ht="15" hidden="false" customHeight="false" outlineLevel="0" collapsed="false">
      <c r="A9501" s="26" t="s">
        <v>23915</v>
      </c>
      <c r="B9501" s="27" t="s">
        <v>23916</v>
      </c>
      <c r="C9501" s="27" t="s">
        <v>144</v>
      </c>
      <c r="D9501" s="26"/>
      <c r="E9501" s="27"/>
      <c r="F9501" s="27"/>
      <c r="G9501" s="27" t="s">
        <v>11122</v>
      </c>
      <c r="H9501" s="27" t="s">
        <v>35</v>
      </c>
      <c r="I9501" s="27" t="s">
        <v>37</v>
      </c>
      <c r="J9501" s="28" t="s">
        <v>913</v>
      </c>
      <c r="K9501" s="27" t="s">
        <v>38</v>
      </c>
      <c r="L9501" s="27"/>
    </row>
    <row r="9502" customFormat="false" ht="15" hidden="false" customHeight="false" outlineLevel="0" collapsed="false">
      <c r="A9502" s="26" t="s">
        <v>23917</v>
      </c>
      <c r="B9502" s="27" t="s">
        <v>23918</v>
      </c>
      <c r="C9502" s="27" t="s">
        <v>144</v>
      </c>
      <c r="D9502" s="26"/>
      <c r="E9502" s="27"/>
      <c r="F9502" s="27"/>
      <c r="G9502" s="27" t="s">
        <v>11122</v>
      </c>
      <c r="H9502" s="27" t="s">
        <v>35</v>
      </c>
      <c r="I9502" s="27" t="s">
        <v>37</v>
      </c>
      <c r="J9502" s="28" t="s">
        <v>913</v>
      </c>
      <c r="K9502" s="27" t="s">
        <v>38</v>
      </c>
      <c r="L9502" s="27"/>
    </row>
    <row r="9503" customFormat="false" ht="15" hidden="false" customHeight="false" outlineLevel="0" collapsed="false">
      <c r="A9503" s="26" t="s">
        <v>23919</v>
      </c>
      <c r="B9503" s="27" t="s">
        <v>23920</v>
      </c>
      <c r="C9503" s="27" t="s">
        <v>144</v>
      </c>
      <c r="D9503" s="26"/>
      <c r="E9503" s="27"/>
      <c r="F9503" s="27"/>
      <c r="G9503" s="27" t="s">
        <v>11122</v>
      </c>
      <c r="H9503" s="27" t="s">
        <v>35</v>
      </c>
      <c r="I9503" s="27" t="s">
        <v>40</v>
      </c>
      <c r="J9503" s="28" t="s">
        <v>913</v>
      </c>
      <c r="K9503" s="27" t="s">
        <v>38</v>
      </c>
      <c r="L9503" s="27"/>
    </row>
    <row r="9504" customFormat="false" ht="15" hidden="false" customHeight="false" outlineLevel="0" collapsed="false">
      <c r="A9504" s="26" t="s">
        <v>23921</v>
      </c>
      <c r="B9504" s="27" t="s">
        <v>23922</v>
      </c>
      <c r="C9504" s="27" t="s">
        <v>144</v>
      </c>
      <c r="D9504" s="26"/>
      <c r="E9504" s="27"/>
      <c r="F9504" s="27"/>
      <c r="G9504" s="27" t="s">
        <v>11122</v>
      </c>
      <c r="H9504" s="27" t="s">
        <v>35</v>
      </c>
      <c r="I9504" s="27" t="s">
        <v>38</v>
      </c>
      <c r="J9504" s="28" t="s">
        <v>913</v>
      </c>
      <c r="K9504" s="27" t="s">
        <v>38</v>
      </c>
      <c r="L9504" s="27"/>
    </row>
    <row r="9505" customFormat="false" ht="15" hidden="false" customHeight="false" outlineLevel="0" collapsed="false">
      <c r="A9505" s="26" t="s">
        <v>23923</v>
      </c>
      <c r="B9505" s="27" t="s">
        <v>23924</v>
      </c>
      <c r="C9505" s="27" t="s">
        <v>144</v>
      </c>
      <c r="D9505" s="26"/>
      <c r="E9505" s="27"/>
      <c r="F9505" s="27"/>
      <c r="G9505" s="27" t="s">
        <v>11122</v>
      </c>
      <c r="H9505" s="27" t="s">
        <v>35</v>
      </c>
      <c r="I9505" s="27" t="s">
        <v>38</v>
      </c>
      <c r="J9505" s="28" t="s">
        <v>913</v>
      </c>
      <c r="K9505" s="27" t="s">
        <v>38</v>
      </c>
      <c r="L9505" s="27"/>
    </row>
    <row r="9506" customFormat="false" ht="15" hidden="false" customHeight="false" outlineLevel="0" collapsed="false">
      <c r="A9506" s="26" t="s">
        <v>23925</v>
      </c>
      <c r="B9506" s="27" t="s">
        <v>23926</v>
      </c>
      <c r="C9506" s="27" t="s">
        <v>144</v>
      </c>
      <c r="D9506" s="26"/>
      <c r="E9506" s="27"/>
      <c r="F9506" s="27"/>
      <c r="G9506" s="27" t="s">
        <v>11122</v>
      </c>
      <c r="H9506" s="27" t="s">
        <v>35</v>
      </c>
      <c r="I9506" s="27" t="s">
        <v>38</v>
      </c>
      <c r="J9506" s="28" t="s">
        <v>913</v>
      </c>
      <c r="K9506" s="27" t="s">
        <v>38</v>
      </c>
      <c r="L9506" s="27"/>
    </row>
    <row r="9507" customFormat="false" ht="15" hidden="false" customHeight="false" outlineLevel="0" collapsed="false">
      <c r="A9507" s="26" t="s">
        <v>23927</v>
      </c>
      <c r="B9507" s="27" t="s">
        <v>23928</v>
      </c>
      <c r="C9507" s="27" t="s">
        <v>144</v>
      </c>
      <c r="D9507" s="26"/>
      <c r="E9507" s="27"/>
      <c r="F9507" s="27"/>
      <c r="G9507" s="27" t="s">
        <v>11122</v>
      </c>
      <c r="H9507" s="27" t="s">
        <v>35</v>
      </c>
      <c r="I9507" s="27" t="s">
        <v>41</v>
      </c>
      <c r="J9507" s="28" t="s">
        <v>913</v>
      </c>
      <c r="K9507" s="27" t="s">
        <v>38</v>
      </c>
      <c r="L9507" s="27"/>
    </row>
    <row r="9508" customFormat="false" ht="15" hidden="false" customHeight="false" outlineLevel="0" collapsed="false">
      <c r="A9508" s="26" t="s">
        <v>23929</v>
      </c>
      <c r="B9508" s="27" t="s">
        <v>23930</v>
      </c>
      <c r="C9508" s="27" t="s">
        <v>144</v>
      </c>
      <c r="D9508" s="26"/>
      <c r="E9508" s="27"/>
      <c r="F9508" s="27"/>
      <c r="G9508" s="27" t="s">
        <v>11122</v>
      </c>
      <c r="H9508" s="27" t="s">
        <v>35</v>
      </c>
      <c r="I9508" s="27" t="s">
        <v>40</v>
      </c>
      <c r="J9508" s="28" t="s">
        <v>913</v>
      </c>
      <c r="K9508" s="27" t="s">
        <v>38</v>
      </c>
      <c r="L9508" s="27"/>
    </row>
    <row r="9509" customFormat="false" ht="15" hidden="false" customHeight="false" outlineLevel="0" collapsed="false">
      <c r="A9509" s="26" t="s">
        <v>23931</v>
      </c>
      <c r="B9509" s="27" t="s">
        <v>23932</v>
      </c>
      <c r="C9509" s="27" t="s">
        <v>144</v>
      </c>
      <c r="D9509" s="26"/>
      <c r="E9509" s="27"/>
      <c r="F9509" s="27"/>
      <c r="G9509" s="27" t="s">
        <v>11122</v>
      </c>
      <c r="H9509" s="27" t="s">
        <v>35</v>
      </c>
      <c r="I9509" s="27" t="s">
        <v>38</v>
      </c>
      <c r="J9509" s="28" t="s">
        <v>913</v>
      </c>
      <c r="K9509" s="27" t="s">
        <v>38</v>
      </c>
      <c r="L9509" s="27"/>
    </row>
    <row r="9510" customFormat="false" ht="15" hidden="false" customHeight="false" outlineLevel="0" collapsed="false">
      <c r="A9510" s="26" t="s">
        <v>23933</v>
      </c>
      <c r="B9510" s="27" t="s">
        <v>23934</v>
      </c>
      <c r="C9510" s="27" t="s">
        <v>144</v>
      </c>
      <c r="D9510" s="26"/>
      <c r="E9510" s="27"/>
      <c r="F9510" s="27"/>
      <c r="G9510" s="27" t="s">
        <v>11122</v>
      </c>
      <c r="H9510" s="27" t="s">
        <v>35</v>
      </c>
      <c r="I9510" s="27" t="s">
        <v>38</v>
      </c>
      <c r="J9510" s="28" t="s">
        <v>913</v>
      </c>
      <c r="K9510" s="27" t="s">
        <v>38</v>
      </c>
      <c r="L9510" s="27"/>
    </row>
    <row r="9511" customFormat="false" ht="15" hidden="false" customHeight="false" outlineLevel="0" collapsed="false">
      <c r="A9511" s="26" t="s">
        <v>23935</v>
      </c>
      <c r="B9511" s="27" t="s">
        <v>23936</v>
      </c>
      <c r="C9511" s="27" t="s">
        <v>144</v>
      </c>
      <c r="D9511" s="26"/>
      <c r="E9511" s="27"/>
      <c r="F9511" s="27"/>
      <c r="G9511" s="27" t="s">
        <v>11122</v>
      </c>
      <c r="H9511" s="27" t="s">
        <v>35</v>
      </c>
      <c r="I9511" s="27" t="s">
        <v>38</v>
      </c>
      <c r="J9511" s="28" t="s">
        <v>913</v>
      </c>
      <c r="K9511" s="27" t="s">
        <v>38</v>
      </c>
      <c r="L9511" s="27"/>
    </row>
    <row r="9512" customFormat="false" ht="15" hidden="false" customHeight="false" outlineLevel="0" collapsed="false">
      <c r="A9512" s="26" t="s">
        <v>23937</v>
      </c>
      <c r="B9512" s="27" t="s">
        <v>23938</v>
      </c>
      <c r="C9512" s="27" t="s">
        <v>144</v>
      </c>
      <c r="D9512" s="26"/>
      <c r="E9512" s="27"/>
      <c r="F9512" s="27"/>
      <c r="G9512" s="27" t="s">
        <v>11122</v>
      </c>
      <c r="H9512" s="27" t="s">
        <v>35</v>
      </c>
      <c r="I9512" s="27" t="s">
        <v>38</v>
      </c>
      <c r="J9512" s="28" t="s">
        <v>913</v>
      </c>
      <c r="K9512" s="27" t="s">
        <v>38</v>
      </c>
      <c r="L9512" s="27"/>
    </row>
    <row r="9513" customFormat="false" ht="15" hidden="false" customHeight="false" outlineLevel="0" collapsed="false">
      <c r="A9513" s="26" t="s">
        <v>23939</v>
      </c>
      <c r="B9513" s="27" t="s">
        <v>23940</v>
      </c>
      <c r="C9513" s="27" t="s">
        <v>144</v>
      </c>
      <c r="D9513" s="26"/>
      <c r="E9513" s="27"/>
      <c r="F9513" s="27"/>
      <c r="G9513" s="27" t="s">
        <v>11122</v>
      </c>
      <c r="H9513" s="27" t="s">
        <v>35</v>
      </c>
      <c r="I9513" s="27" t="s">
        <v>38</v>
      </c>
      <c r="J9513" s="28" t="s">
        <v>913</v>
      </c>
      <c r="K9513" s="27" t="s">
        <v>38</v>
      </c>
      <c r="L9513" s="27"/>
    </row>
    <row r="9514" customFormat="false" ht="15" hidden="false" customHeight="false" outlineLevel="0" collapsed="false">
      <c r="A9514" s="26" t="s">
        <v>23941</v>
      </c>
      <c r="B9514" s="27" t="s">
        <v>23942</v>
      </c>
      <c r="C9514" s="27" t="s">
        <v>144</v>
      </c>
      <c r="D9514" s="26"/>
      <c r="E9514" s="27"/>
      <c r="F9514" s="27"/>
      <c r="G9514" s="27" t="s">
        <v>11122</v>
      </c>
      <c r="H9514" s="27" t="s">
        <v>35</v>
      </c>
      <c r="I9514" s="27" t="s">
        <v>38</v>
      </c>
      <c r="J9514" s="28" t="s">
        <v>913</v>
      </c>
      <c r="K9514" s="27" t="s">
        <v>38</v>
      </c>
      <c r="L9514" s="27"/>
    </row>
    <row r="9515" customFormat="false" ht="15" hidden="false" customHeight="false" outlineLevel="0" collapsed="false">
      <c r="A9515" s="26" t="s">
        <v>23943</v>
      </c>
      <c r="B9515" s="27" t="s">
        <v>23944</v>
      </c>
      <c r="C9515" s="27" t="s">
        <v>144</v>
      </c>
      <c r="D9515" s="26"/>
      <c r="E9515" s="27"/>
      <c r="F9515" s="27"/>
      <c r="G9515" s="27" t="s">
        <v>11122</v>
      </c>
      <c r="H9515" s="27" t="s">
        <v>35</v>
      </c>
      <c r="I9515" s="27" t="s">
        <v>38</v>
      </c>
      <c r="J9515" s="28" t="s">
        <v>913</v>
      </c>
      <c r="K9515" s="27" t="s">
        <v>38</v>
      </c>
      <c r="L9515" s="27"/>
    </row>
    <row r="9516" customFormat="false" ht="15" hidden="false" customHeight="false" outlineLevel="0" collapsed="false">
      <c r="A9516" s="26" t="s">
        <v>23945</v>
      </c>
      <c r="B9516" s="27" t="s">
        <v>23946</v>
      </c>
      <c r="C9516" s="27" t="s">
        <v>144</v>
      </c>
      <c r="D9516" s="26"/>
      <c r="E9516" s="27"/>
      <c r="F9516" s="27"/>
      <c r="G9516" s="27" t="s">
        <v>11122</v>
      </c>
      <c r="H9516" s="27" t="s">
        <v>35</v>
      </c>
      <c r="I9516" s="27" t="s">
        <v>38</v>
      </c>
      <c r="J9516" s="28" t="s">
        <v>913</v>
      </c>
      <c r="K9516" s="27" t="s">
        <v>38</v>
      </c>
      <c r="L9516" s="27"/>
    </row>
    <row r="9517" customFormat="false" ht="15" hidden="false" customHeight="false" outlineLevel="0" collapsed="false">
      <c r="A9517" s="26" t="s">
        <v>23947</v>
      </c>
      <c r="B9517" s="27" t="s">
        <v>23948</v>
      </c>
      <c r="C9517" s="27" t="s">
        <v>144</v>
      </c>
      <c r="D9517" s="26"/>
      <c r="E9517" s="27"/>
      <c r="F9517" s="27"/>
      <c r="G9517" s="27" t="s">
        <v>11122</v>
      </c>
      <c r="H9517" s="27" t="s">
        <v>35</v>
      </c>
      <c r="I9517" s="27" t="s">
        <v>38</v>
      </c>
      <c r="J9517" s="28" t="s">
        <v>913</v>
      </c>
      <c r="K9517" s="27" t="s">
        <v>38</v>
      </c>
      <c r="L9517" s="27"/>
    </row>
    <row r="9518" customFormat="false" ht="15" hidden="false" customHeight="false" outlineLevel="0" collapsed="false">
      <c r="A9518" s="26" t="s">
        <v>23949</v>
      </c>
      <c r="B9518" s="27" t="s">
        <v>23950</v>
      </c>
      <c r="C9518" s="27" t="s">
        <v>144</v>
      </c>
      <c r="D9518" s="26"/>
      <c r="E9518" s="27"/>
      <c r="F9518" s="27"/>
      <c r="G9518" s="27" t="s">
        <v>11122</v>
      </c>
      <c r="H9518" s="27" t="s">
        <v>35</v>
      </c>
      <c r="I9518" s="27" t="s">
        <v>4159</v>
      </c>
      <c r="J9518" s="28" t="s">
        <v>913</v>
      </c>
      <c r="K9518" s="27" t="s">
        <v>38</v>
      </c>
      <c r="L9518" s="27"/>
    </row>
    <row r="9519" customFormat="false" ht="15" hidden="false" customHeight="false" outlineLevel="0" collapsed="false">
      <c r="A9519" s="26" t="s">
        <v>23951</v>
      </c>
      <c r="B9519" s="27" t="s">
        <v>23952</v>
      </c>
      <c r="C9519" s="27" t="s">
        <v>144</v>
      </c>
      <c r="D9519" s="26"/>
      <c r="E9519" s="27"/>
      <c r="F9519" s="27"/>
      <c r="G9519" s="27" t="s">
        <v>11122</v>
      </c>
      <c r="H9519" s="27" t="s">
        <v>35</v>
      </c>
      <c r="I9519" s="27" t="s">
        <v>38</v>
      </c>
      <c r="J9519" s="28" t="s">
        <v>913</v>
      </c>
      <c r="K9519" s="27" t="s">
        <v>38</v>
      </c>
      <c r="L9519" s="27"/>
    </row>
    <row r="9520" customFormat="false" ht="15" hidden="false" customHeight="false" outlineLevel="0" collapsed="false">
      <c r="A9520" s="26" t="s">
        <v>23953</v>
      </c>
      <c r="B9520" s="27" t="s">
        <v>23954</v>
      </c>
      <c r="C9520" s="27" t="s">
        <v>144</v>
      </c>
      <c r="D9520" s="26"/>
      <c r="E9520" s="27"/>
      <c r="F9520" s="27"/>
      <c r="G9520" s="27" t="s">
        <v>11122</v>
      </c>
      <c r="H9520" s="27" t="s">
        <v>35</v>
      </c>
      <c r="I9520" s="27" t="s">
        <v>38</v>
      </c>
      <c r="J9520" s="28" t="s">
        <v>913</v>
      </c>
      <c r="K9520" s="27" t="s">
        <v>38</v>
      </c>
      <c r="L9520" s="27"/>
    </row>
    <row r="9521" customFormat="false" ht="15" hidden="false" customHeight="false" outlineLevel="0" collapsed="false">
      <c r="A9521" s="26" t="s">
        <v>23955</v>
      </c>
      <c r="B9521" s="27" t="s">
        <v>23956</v>
      </c>
      <c r="C9521" s="27" t="s">
        <v>144</v>
      </c>
      <c r="D9521" s="26"/>
      <c r="E9521" s="27"/>
      <c r="F9521" s="27"/>
      <c r="G9521" s="27" t="s">
        <v>11122</v>
      </c>
      <c r="H9521" s="27" t="s">
        <v>35</v>
      </c>
      <c r="I9521" s="27" t="s">
        <v>38</v>
      </c>
      <c r="J9521" s="28" t="s">
        <v>913</v>
      </c>
      <c r="K9521" s="27" t="s">
        <v>38</v>
      </c>
      <c r="L9521" s="27"/>
    </row>
    <row r="9522" customFormat="false" ht="15" hidden="false" customHeight="false" outlineLevel="0" collapsed="false">
      <c r="A9522" s="26" t="s">
        <v>23957</v>
      </c>
      <c r="B9522" s="27" t="s">
        <v>23958</v>
      </c>
      <c r="C9522" s="27" t="s">
        <v>144</v>
      </c>
      <c r="D9522" s="26"/>
      <c r="E9522" s="27"/>
      <c r="F9522" s="27"/>
      <c r="G9522" s="27" t="s">
        <v>11122</v>
      </c>
      <c r="H9522" s="27" t="s">
        <v>35</v>
      </c>
      <c r="I9522" s="27" t="s">
        <v>39</v>
      </c>
      <c r="J9522" s="28" t="s">
        <v>913</v>
      </c>
      <c r="K9522" s="27" t="s">
        <v>38</v>
      </c>
      <c r="L9522" s="27"/>
    </row>
    <row r="9523" customFormat="false" ht="15" hidden="false" customHeight="false" outlineLevel="0" collapsed="false">
      <c r="A9523" s="26" t="s">
        <v>23959</v>
      </c>
      <c r="B9523" s="27" t="s">
        <v>23960</v>
      </c>
      <c r="C9523" s="27" t="s">
        <v>144</v>
      </c>
      <c r="D9523" s="26"/>
      <c r="E9523" s="27"/>
      <c r="F9523" s="27"/>
      <c r="G9523" s="27" t="s">
        <v>11122</v>
      </c>
      <c r="H9523" s="27" t="s">
        <v>35</v>
      </c>
      <c r="I9523" s="27" t="s">
        <v>38</v>
      </c>
      <c r="J9523" s="28" t="s">
        <v>913</v>
      </c>
      <c r="K9523" s="27" t="s">
        <v>38</v>
      </c>
      <c r="L9523" s="27"/>
    </row>
    <row r="9524" customFormat="false" ht="15" hidden="false" customHeight="false" outlineLevel="0" collapsed="false">
      <c r="A9524" s="26" t="s">
        <v>23961</v>
      </c>
      <c r="B9524" s="27" t="s">
        <v>23962</v>
      </c>
      <c r="C9524" s="27" t="s">
        <v>144</v>
      </c>
      <c r="D9524" s="26"/>
      <c r="E9524" s="27"/>
      <c r="F9524" s="27"/>
      <c r="G9524" s="27" t="s">
        <v>11122</v>
      </c>
      <c r="H9524" s="27" t="s">
        <v>35</v>
      </c>
      <c r="I9524" s="27" t="s">
        <v>38</v>
      </c>
      <c r="J9524" s="28" t="s">
        <v>913</v>
      </c>
      <c r="K9524" s="27" t="s">
        <v>38</v>
      </c>
      <c r="L9524" s="27"/>
    </row>
    <row r="9525" customFormat="false" ht="15" hidden="false" customHeight="false" outlineLevel="0" collapsed="false">
      <c r="A9525" s="26" t="s">
        <v>23963</v>
      </c>
      <c r="B9525" s="27" t="s">
        <v>23964</v>
      </c>
      <c r="C9525" s="27" t="s">
        <v>144</v>
      </c>
      <c r="D9525" s="26"/>
      <c r="E9525" s="27"/>
      <c r="F9525" s="27"/>
      <c r="G9525" s="27" t="s">
        <v>11122</v>
      </c>
      <c r="H9525" s="27" t="s">
        <v>35</v>
      </c>
      <c r="I9525" s="27" t="s">
        <v>38</v>
      </c>
      <c r="J9525" s="28" t="s">
        <v>913</v>
      </c>
      <c r="K9525" s="27" t="s">
        <v>38</v>
      </c>
      <c r="L9525" s="27"/>
    </row>
    <row r="9526" customFormat="false" ht="15" hidden="false" customHeight="false" outlineLevel="0" collapsed="false">
      <c r="A9526" s="26" t="s">
        <v>23965</v>
      </c>
      <c r="B9526" s="27" t="s">
        <v>23966</v>
      </c>
      <c r="C9526" s="27" t="s">
        <v>144</v>
      </c>
      <c r="D9526" s="26"/>
      <c r="E9526" s="27"/>
      <c r="F9526" s="27"/>
      <c r="G9526" s="27" t="s">
        <v>11122</v>
      </c>
      <c r="H9526" s="27" t="s">
        <v>35</v>
      </c>
      <c r="I9526" s="27" t="s">
        <v>38</v>
      </c>
      <c r="J9526" s="28" t="s">
        <v>913</v>
      </c>
      <c r="K9526" s="27" t="s">
        <v>38</v>
      </c>
      <c r="L9526" s="27"/>
    </row>
    <row r="9527" customFormat="false" ht="15" hidden="false" customHeight="false" outlineLevel="0" collapsed="false">
      <c r="A9527" s="26" t="s">
        <v>23967</v>
      </c>
      <c r="B9527" s="27" t="s">
        <v>23968</v>
      </c>
      <c r="C9527" s="27" t="s">
        <v>144</v>
      </c>
      <c r="D9527" s="26"/>
      <c r="E9527" s="27"/>
      <c r="F9527" s="27"/>
      <c r="G9527" s="27" t="s">
        <v>11122</v>
      </c>
      <c r="H9527" s="27" t="s">
        <v>35</v>
      </c>
      <c r="I9527" s="27" t="s">
        <v>38</v>
      </c>
      <c r="J9527" s="28" t="s">
        <v>913</v>
      </c>
      <c r="K9527" s="27" t="s">
        <v>38</v>
      </c>
      <c r="L9527" s="27"/>
    </row>
    <row r="9528" customFormat="false" ht="15" hidden="false" customHeight="false" outlineLevel="0" collapsed="false">
      <c r="A9528" s="26" t="s">
        <v>23969</v>
      </c>
      <c r="B9528" s="27" t="s">
        <v>23970</v>
      </c>
      <c r="C9528" s="27" t="s">
        <v>144</v>
      </c>
      <c r="D9528" s="26"/>
      <c r="E9528" s="27"/>
      <c r="F9528" s="27"/>
      <c r="G9528" s="27" t="s">
        <v>11122</v>
      </c>
      <c r="H9528" s="27" t="s">
        <v>35</v>
      </c>
      <c r="I9528" s="27" t="s">
        <v>38</v>
      </c>
      <c r="J9528" s="28" t="s">
        <v>913</v>
      </c>
      <c r="K9528" s="27" t="s">
        <v>38</v>
      </c>
      <c r="L9528" s="27"/>
    </row>
    <row r="9529" customFormat="false" ht="15" hidden="false" customHeight="false" outlineLevel="0" collapsed="false">
      <c r="A9529" s="26" t="s">
        <v>23971</v>
      </c>
      <c r="B9529" s="27" t="s">
        <v>23972</v>
      </c>
      <c r="C9529" s="27" t="s">
        <v>144</v>
      </c>
      <c r="D9529" s="26"/>
      <c r="E9529" s="27"/>
      <c r="F9529" s="27"/>
      <c r="G9529" s="27" t="s">
        <v>11122</v>
      </c>
      <c r="H9529" s="27" t="s">
        <v>35</v>
      </c>
      <c r="I9529" s="27" t="s">
        <v>38</v>
      </c>
      <c r="J9529" s="28" t="s">
        <v>913</v>
      </c>
      <c r="K9529" s="27" t="s">
        <v>38</v>
      </c>
      <c r="L9529" s="27"/>
    </row>
    <row r="9530" customFormat="false" ht="15" hidden="false" customHeight="false" outlineLevel="0" collapsed="false">
      <c r="A9530" s="26" t="s">
        <v>23973</v>
      </c>
      <c r="B9530" s="27" t="s">
        <v>23974</v>
      </c>
      <c r="C9530" s="27" t="s">
        <v>144</v>
      </c>
      <c r="D9530" s="26"/>
      <c r="E9530" s="27"/>
      <c r="F9530" s="27"/>
      <c r="G9530" s="27" t="s">
        <v>11122</v>
      </c>
      <c r="H9530" s="27" t="s">
        <v>35</v>
      </c>
      <c r="I9530" s="27" t="s">
        <v>38</v>
      </c>
      <c r="J9530" s="28" t="s">
        <v>913</v>
      </c>
      <c r="K9530" s="27" t="s">
        <v>38</v>
      </c>
      <c r="L9530" s="27"/>
    </row>
    <row r="9531" customFormat="false" ht="15" hidden="false" customHeight="false" outlineLevel="0" collapsed="false">
      <c r="A9531" s="26" t="s">
        <v>23975</v>
      </c>
      <c r="B9531" s="27" t="s">
        <v>23976</v>
      </c>
      <c r="C9531" s="27" t="s">
        <v>1187</v>
      </c>
      <c r="D9531" s="26"/>
      <c r="E9531" s="27"/>
      <c r="F9531" s="27"/>
      <c r="G9531" s="27" t="s">
        <v>11122</v>
      </c>
      <c r="H9531" s="27" t="s">
        <v>35</v>
      </c>
      <c r="I9531" s="27" t="s">
        <v>41</v>
      </c>
      <c r="J9531" s="28" t="s">
        <v>913</v>
      </c>
      <c r="K9531" s="27" t="s">
        <v>38</v>
      </c>
      <c r="L9531" s="27"/>
    </row>
    <row r="9532" customFormat="false" ht="15" hidden="false" customHeight="false" outlineLevel="0" collapsed="false">
      <c r="A9532" s="26" t="s">
        <v>23977</v>
      </c>
      <c r="B9532" s="27" t="s">
        <v>23978</v>
      </c>
      <c r="C9532" s="27" t="s">
        <v>144</v>
      </c>
      <c r="D9532" s="26"/>
      <c r="E9532" s="27"/>
      <c r="F9532" s="27"/>
      <c r="G9532" s="27" t="s">
        <v>11122</v>
      </c>
      <c r="H9532" s="27" t="s">
        <v>35</v>
      </c>
      <c r="I9532" s="27" t="s">
        <v>41</v>
      </c>
      <c r="J9532" s="28" t="s">
        <v>913</v>
      </c>
      <c r="K9532" s="27" t="s">
        <v>38</v>
      </c>
      <c r="L9532" s="27"/>
    </row>
    <row r="9533" customFormat="false" ht="15" hidden="false" customHeight="false" outlineLevel="0" collapsed="false">
      <c r="A9533" s="26" t="s">
        <v>23979</v>
      </c>
      <c r="B9533" s="27" t="s">
        <v>23980</v>
      </c>
      <c r="C9533" s="27" t="s">
        <v>144</v>
      </c>
      <c r="D9533" s="26"/>
      <c r="E9533" s="27"/>
      <c r="F9533" s="27"/>
      <c r="G9533" s="27" t="s">
        <v>11122</v>
      </c>
      <c r="H9533" s="27" t="s">
        <v>35</v>
      </c>
      <c r="I9533" s="27" t="s">
        <v>38</v>
      </c>
      <c r="J9533" s="28" t="s">
        <v>913</v>
      </c>
      <c r="K9533" s="27" t="s">
        <v>38</v>
      </c>
      <c r="L9533" s="27"/>
    </row>
    <row r="9534" customFormat="false" ht="15" hidden="false" customHeight="false" outlineLevel="0" collapsed="false">
      <c r="A9534" s="26" t="s">
        <v>23981</v>
      </c>
      <c r="B9534" s="27" t="s">
        <v>23982</v>
      </c>
      <c r="C9534" s="27" t="s">
        <v>144</v>
      </c>
      <c r="D9534" s="26"/>
      <c r="E9534" s="27"/>
      <c r="F9534" s="27"/>
      <c r="G9534" s="27" t="s">
        <v>11122</v>
      </c>
      <c r="H9534" s="27" t="s">
        <v>35</v>
      </c>
      <c r="I9534" s="27" t="s">
        <v>38</v>
      </c>
      <c r="J9534" s="28" t="s">
        <v>913</v>
      </c>
      <c r="K9534" s="27" t="s">
        <v>38</v>
      </c>
      <c r="L9534" s="27"/>
    </row>
    <row r="9535" customFormat="false" ht="15" hidden="false" customHeight="false" outlineLevel="0" collapsed="false">
      <c r="A9535" s="26" t="s">
        <v>23983</v>
      </c>
      <c r="B9535" s="27" t="s">
        <v>23984</v>
      </c>
      <c r="C9535" s="27" t="s">
        <v>144</v>
      </c>
      <c r="D9535" s="26"/>
      <c r="E9535" s="27"/>
      <c r="F9535" s="27"/>
      <c r="G9535" s="27" t="s">
        <v>11122</v>
      </c>
      <c r="H9535" s="27" t="s">
        <v>35</v>
      </c>
      <c r="I9535" s="27" t="s">
        <v>38</v>
      </c>
      <c r="J9535" s="28" t="s">
        <v>913</v>
      </c>
      <c r="K9535" s="27" t="s">
        <v>38</v>
      </c>
      <c r="L9535" s="27"/>
    </row>
    <row r="9536" customFormat="false" ht="15" hidden="false" customHeight="false" outlineLevel="0" collapsed="false">
      <c r="A9536" s="26" t="s">
        <v>23985</v>
      </c>
      <c r="B9536" s="27" t="s">
        <v>23986</v>
      </c>
      <c r="C9536" s="27" t="s">
        <v>144</v>
      </c>
      <c r="D9536" s="26"/>
      <c r="E9536" s="27"/>
      <c r="F9536" s="27"/>
      <c r="G9536" s="27" t="s">
        <v>11122</v>
      </c>
      <c r="H9536" s="27" t="s">
        <v>35</v>
      </c>
      <c r="I9536" s="27" t="s">
        <v>39</v>
      </c>
      <c r="J9536" s="28" t="s">
        <v>913</v>
      </c>
      <c r="K9536" s="27" t="s">
        <v>38</v>
      </c>
      <c r="L9536" s="27"/>
    </row>
    <row r="9537" customFormat="false" ht="15" hidden="false" customHeight="false" outlineLevel="0" collapsed="false">
      <c r="A9537" s="26" t="s">
        <v>23987</v>
      </c>
      <c r="B9537" s="27" t="s">
        <v>23988</v>
      </c>
      <c r="C9537" s="27" t="s">
        <v>144</v>
      </c>
      <c r="D9537" s="26"/>
      <c r="E9537" s="27"/>
      <c r="F9537" s="27"/>
      <c r="G9537" s="27" t="s">
        <v>11122</v>
      </c>
      <c r="H9537" s="27" t="s">
        <v>35</v>
      </c>
      <c r="I9537" s="27" t="s">
        <v>43</v>
      </c>
      <c r="J9537" s="28" t="s">
        <v>913</v>
      </c>
      <c r="K9537" s="27" t="s">
        <v>38</v>
      </c>
      <c r="L9537" s="27"/>
    </row>
    <row r="9538" customFormat="false" ht="15" hidden="false" customHeight="false" outlineLevel="0" collapsed="false">
      <c r="A9538" s="26" t="s">
        <v>23989</v>
      </c>
      <c r="B9538" s="27" t="s">
        <v>23990</v>
      </c>
      <c r="C9538" s="27" t="s">
        <v>144</v>
      </c>
      <c r="D9538" s="26"/>
      <c r="E9538" s="27"/>
      <c r="F9538" s="27"/>
      <c r="G9538" s="27" t="s">
        <v>11122</v>
      </c>
      <c r="H9538" s="27" t="s">
        <v>35</v>
      </c>
      <c r="I9538" s="27" t="s">
        <v>38</v>
      </c>
      <c r="J9538" s="28" t="s">
        <v>913</v>
      </c>
      <c r="K9538" s="27" t="s">
        <v>38</v>
      </c>
      <c r="L9538" s="27"/>
    </row>
    <row r="9539" customFormat="false" ht="15" hidden="false" customHeight="false" outlineLevel="0" collapsed="false">
      <c r="A9539" s="26" t="s">
        <v>23991</v>
      </c>
      <c r="B9539" s="27" t="s">
        <v>23992</v>
      </c>
      <c r="C9539" s="27" t="s">
        <v>144</v>
      </c>
      <c r="D9539" s="26"/>
      <c r="E9539" s="27"/>
      <c r="F9539" s="27"/>
      <c r="G9539" s="27" t="s">
        <v>11122</v>
      </c>
      <c r="H9539" s="27" t="s">
        <v>35</v>
      </c>
      <c r="I9539" s="27" t="s">
        <v>38</v>
      </c>
      <c r="J9539" s="28" t="s">
        <v>913</v>
      </c>
      <c r="K9539" s="27" t="s">
        <v>38</v>
      </c>
      <c r="L9539" s="27"/>
    </row>
    <row r="9540" customFormat="false" ht="15" hidden="false" customHeight="false" outlineLevel="0" collapsed="false">
      <c r="A9540" s="26" t="s">
        <v>23993</v>
      </c>
      <c r="B9540" s="27" t="s">
        <v>23994</v>
      </c>
      <c r="C9540" s="27" t="s">
        <v>144</v>
      </c>
      <c r="D9540" s="26"/>
      <c r="E9540" s="27"/>
      <c r="F9540" s="27"/>
      <c r="G9540" s="27" t="s">
        <v>11122</v>
      </c>
      <c r="H9540" s="27" t="s">
        <v>35</v>
      </c>
      <c r="I9540" s="27" t="s">
        <v>41</v>
      </c>
      <c r="J9540" s="28" t="s">
        <v>913</v>
      </c>
      <c r="K9540" s="27" t="s">
        <v>38</v>
      </c>
      <c r="L9540" s="27"/>
    </row>
    <row r="9541" customFormat="false" ht="15" hidden="false" customHeight="false" outlineLevel="0" collapsed="false">
      <c r="A9541" s="26" t="s">
        <v>23995</v>
      </c>
      <c r="B9541" s="27" t="s">
        <v>23996</v>
      </c>
      <c r="C9541" s="27" t="s">
        <v>144</v>
      </c>
      <c r="D9541" s="26"/>
      <c r="E9541" s="27"/>
      <c r="F9541" s="27"/>
      <c r="G9541" s="27" t="s">
        <v>11122</v>
      </c>
      <c r="H9541" s="27" t="s">
        <v>35</v>
      </c>
      <c r="I9541" s="27" t="s">
        <v>38</v>
      </c>
      <c r="J9541" s="28" t="s">
        <v>913</v>
      </c>
      <c r="K9541" s="27" t="s">
        <v>38</v>
      </c>
      <c r="L9541" s="27"/>
    </row>
    <row r="9542" customFormat="false" ht="15" hidden="false" customHeight="false" outlineLevel="0" collapsed="false">
      <c r="A9542" s="26" t="s">
        <v>23997</v>
      </c>
      <c r="B9542" s="27" t="s">
        <v>23998</v>
      </c>
      <c r="C9542" s="27" t="s">
        <v>144</v>
      </c>
      <c r="D9542" s="26"/>
      <c r="E9542" s="27"/>
      <c r="F9542" s="27"/>
      <c r="G9542" s="27" t="s">
        <v>11122</v>
      </c>
      <c r="H9542" s="27" t="s">
        <v>35</v>
      </c>
      <c r="I9542" s="27" t="s">
        <v>38</v>
      </c>
      <c r="J9542" s="28" t="s">
        <v>913</v>
      </c>
      <c r="K9542" s="27" t="s">
        <v>38</v>
      </c>
      <c r="L9542" s="27"/>
    </row>
    <row r="9543" customFormat="false" ht="15" hidden="false" customHeight="false" outlineLevel="0" collapsed="false">
      <c r="A9543" s="26" t="s">
        <v>23999</v>
      </c>
      <c r="B9543" s="27" t="s">
        <v>24000</v>
      </c>
      <c r="C9543" s="27" t="s">
        <v>144</v>
      </c>
      <c r="D9543" s="26"/>
      <c r="E9543" s="27"/>
      <c r="F9543" s="27"/>
      <c r="G9543" s="27" t="s">
        <v>11122</v>
      </c>
      <c r="H9543" s="27" t="s">
        <v>35</v>
      </c>
      <c r="I9543" s="27" t="s">
        <v>38</v>
      </c>
      <c r="J9543" s="28" t="s">
        <v>913</v>
      </c>
      <c r="K9543" s="27" t="s">
        <v>38</v>
      </c>
      <c r="L9543" s="27"/>
    </row>
    <row r="9544" customFormat="false" ht="15" hidden="false" customHeight="false" outlineLevel="0" collapsed="false">
      <c r="A9544" s="26" t="s">
        <v>24001</v>
      </c>
      <c r="B9544" s="27" t="s">
        <v>24002</v>
      </c>
      <c r="C9544" s="27" t="s">
        <v>144</v>
      </c>
      <c r="D9544" s="26"/>
      <c r="E9544" s="27"/>
      <c r="F9544" s="27"/>
      <c r="G9544" s="27" t="s">
        <v>11122</v>
      </c>
      <c r="H9544" s="27" t="s">
        <v>35</v>
      </c>
      <c r="I9544" s="27" t="s">
        <v>38</v>
      </c>
      <c r="J9544" s="28" t="s">
        <v>913</v>
      </c>
      <c r="K9544" s="27" t="s">
        <v>38</v>
      </c>
      <c r="L9544" s="27"/>
    </row>
    <row r="9545" customFormat="false" ht="15" hidden="false" customHeight="false" outlineLevel="0" collapsed="false">
      <c r="A9545" s="26" t="s">
        <v>24003</v>
      </c>
      <c r="B9545" s="27" t="s">
        <v>24004</v>
      </c>
      <c r="C9545" s="27" t="s">
        <v>144</v>
      </c>
      <c r="D9545" s="26"/>
      <c r="E9545" s="27"/>
      <c r="F9545" s="27"/>
      <c r="G9545" s="27" t="s">
        <v>11122</v>
      </c>
      <c r="H9545" s="27" t="s">
        <v>35</v>
      </c>
      <c r="I9545" s="27" t="s">
        <v>38</v>
      </c>
      <c r="J9545" s="28" t="s">
        <v>913</v>
      </c>
      <c r="K9545" s="27" t="s">
        <v>38</v>
      </c>
      <c r="L9545" s="27"/>
    </row>
    <row r="9546" customFormat="false" ht="15" hidden="false" customHeight="false" outlineLevel="0" collapsed="false">
      <c r="A9546" s="26" t="s">
        <v>24005</v>
      </c>
      <c r="B9546" s="27" t="s">
        <v>24006</v>
      </c>
      <c r="C9546" s="27" t="s">
        <v>144</v>
      </c>
      <c r="D9546" s="26"/>
      <c r="E9546" s="27"/>
      <c r="F9546" s="27"/>
      <c r="G9546" s="27" t="s">
        <v>11122</v>
      </c>
      <c r="H9546" s="27" t="s">
        <v>35</v>
      </c>
      <c r="I9546" s="27" t="s">
        <v>38</v>
      </c>
      <c r="J9546" s="28" t="s">
        <v>913</v>
      </c>
      <c r="K9546" s="27" t="s">
        <v>38</v>
      </c>
      <c r="L9546" s="27"/>
    </row>
    <row r="9547" customFormat="false" ht="15" hidden="false" customHeight="false" outlineLevel="0" collapsed="false">
      <c r="A9547" s="26" t="s">
        <v>24007</v>
      </c>
      <c r="B9547" s="27" t="s">
        <v>24008</v>
      </c>
      <c r="C9547" s="27" t="s">
        <v>144</v>
      </c>
      <c r="D9547" s="26"/>
      <c r="E9547" s="27"/>
      <c r="F9547" s="27"/>
      <c r="G9547" s="27" t="s">
        <v>11122</v>
      </c>
      <c r="H9547" s="27" t="s">
        <v>35</v>
      </c>
      <c r="I9547" s="27" t="s">
        <v>37</v>
      </c>
      <c r="J9547" s="28" t="s">
        <v>913</v>
      </c>
      <c r="K9547" s="27" t="s">
        <v>38</v>
      </c>
      <c r="L9547" s="27"/>
    </row>
    <row r="9548" customFormat="false" ht="15" hidden="false" customHeight="false" outlineLevel="0" collapsed="false">
      <c r="A9548" s="26" t="s">
        <v>24009</v>
      </c>
      <c r="B9548" s="27" t="s">
        <v>24010</v>
      </c>
      <c r="C9548" s="27" t="s">
        <v>144</v>
      </c>
      <c r="D9548" s="26"/>
      <c r="E9548" s="27"/>
      <c r="F9548" s="27"/>
      <c r="G9548" s="27" t="s">
        <v>11122</v>
      </c>
      <c r="H9548" s="27" t="s">
        <v>35</v>
      </c>
      <c r="I9548" s="27" t="s">
        <v>38</v>
      </c>
      <c r="J9548" s="28" t="s">
        <v>913</v>
      </c>
      <c r="K9548" s="27" t="s">
        <v>38</v>
      </c>
      <c r="L9548" s="27"/>
    </row>
    <row r="9549" customFormat="false" ht="15" hidden="false" customHeight="false" outlineLevel="0" collapsed="false">
      <c r="A9549" s="26" t="s">
        <v>24011</v>
      </c>
      <c r="B9549" s="27" t="s">
        <v>24012</v>
      </c>
      <c r="C9549" s="27" t="s">
        <v>144</v>
      </c>
      <c r="D9549" s="26"/>
      <c r="E9549" s="27"/>
      <c r="F9549" s="27"/>
      <c r="G9549" s="27" t="s">
        <v>11122</v>
      </c>
      <c r="H9549" s="27" t="s">
        <v>35</v>
      </c>
      <c r="I9549" s="27" t="s">
        <v>38</v>
      </c>
      <c r="J9549" s="28" t="s">
        <v>913</v>
      </c>
      <c r="K9549" s="27" t="s">
        <v>38</v>
      </c>
      <c r="L9549" s="27"/>
    </row>
    <row r="9550" customFormat="false" ht="15" hidden="false" customHeight="false" outlineLevel="0" collapsed="false">
      <c r="A9550" s="26" t="s">
        <v>24013</v>
      </c>
      <c r="B9550" s="27" t="s">
        <v>24014</v>
      </c>
      <c r="C9550" s="27" t="s">
        <v>144</v>
      </c>
      <c r="D9550" s="26"/>
      <c r="E9550" s="27"/>
      <c r="F9550" s="27"/>
      <c r="G9550" s="27" t="s">
        <v>11122</v>
      </c>
      <c r="H9550" s="27" t="s">
        <v>35</v>
      </c>
      <c r="I9550" s="27" t="s">
        <v>38</v>
      </c>
      <c r="J9550" s="28" t="s">
        <v>913</v>
      </c>
      <c r="K9550" s="27" t="s">
        <v>38</v>
      </c>
      <c r="L9550" s="27"/>
    </row>
    <row r="9551" customFormat="false" ht="15" hidden="false" customHeight="false" outlineLevel="0" collapsed="false">
      <c r="A9551" s="26" t="s">
        <v>24015</v>
      </c>
      <c r="B9551" s="27" t="s">
        <v>24016</v>
      </c>
      <c r="C9551" s="27" t="s">
        <v>144</v>
      </c>
      <c r="D9551" s="26"/>
      <c r="E9551" s="27"/>
      <c r="F9551" s="27"/>
      <c r="G9551" s="27" t="s">
        <v>11122</v>
      </c>
      <c r="H9551" s="27" t="s">
        <v>35</v>
      </c>
      <c r="I9551" s="27" t="s">
        <v>38</v>
      </c>
      <c r="J9551" s="28" t="s">
        <v>913</v>
      </c>
      <c r="K9551" s="27" t="s">
        <v>38</v>
      </c>
      <c r="L9551" s="27"/>
    </row>
    <row r="9552" customFormat="false" ht="15" hidden="false" customHeight="false" outlineLevel="0" collapsed="false">
      <c r="A9552" s="26" t="s">
        <v>24017</v>
      </c>
      <c r="B9552" s="27" t="s">
        <v>24018</v>
      </c>
      <c r="C9552" s="27" t="s">
        <v>144</v>
      </c>
      <c r="D9552" s="26"/>
      <c r="E9552" s="27"/>
      <c r="F9552" s="27"/>
      <c r="G9552" s="27" t="s">
        <v>11122</v>
      </c>
      <c r="H9552" s="27" t="s">
        <v>35</v>
      </c>
      <c r="I9552" s="27" t="s">
        <v>38</v>
      </c>
      <c r="J9552" s="28" t="s">
        <v>913</v>
      </c>
      <c r="K9552" s="27" t="s">
        <v>38</v>
      </c>
      <c r="L9552" s="27"/>
    </row>
    <row r="9553" customFormat="false" ht="15" hidden="false" customHeight="false" outlineLevel="0" collapsed="false">
      <c r="A9553" s="26" t="s">
        <v>24019</v>
      </c>
      <c r="B9553" s="27" t="s">
        <v>24020</v>
      </c>
      <c r="C9553" s="27" t="s">
        <v>144</v>
      </c>
      <c r="D9553" s="26"/>
      <c r="E9553" s="27"/>
      <c r="F9553" s="27"/>
      <c r="G9553" s="27" t="s">
        <v>11122</v>
      </c>
      <c r="H9553" s="27" t="s">
        <v>35</v>
      </c>
      <c r="I9553" s="27" t="s">
        <v>37</v>
      </c>
      <c r="J9553" s="28" t="s">
        <v>913</v>
      </c>
      <c r="K9553" s="27" t="s">
        <v>38</v>
      </c>
      <c r="L9553" s="27"/>
    </row>
    <row r="9554" customFormat="false" ht="15" hidden="false" customHeight="false" outlineLevel="0" collapsed="false">
      <c r="A9554" s="26" t="s">
        <v>24021</v>
      </c>
      <c r="B9554" s="27" t="s">
        <v>24022</v>
      </c>
      <c r="C9554" s="27" t="s">
        <v>144</v>
      </c>
      <c r="D9554" s="26"/>
      <c r="E9554" s="27"/>
      <c r="F9554" s="27"/>
      <c r="G9554" s="27" t="s">
        <v>11122</v>
      </c>
      <c r="H9554" s="27" t="s">
        <v>35</v>
      </c>
      <c r="I9554" s="27" t="s">
        <v>38</v>
      </c>
      <c r="J9554" s="28" t="s">
        <v>913</v>
      </c>
      <c r="K9554" s="27" t="s">
        <v>38</v>
      </c>
      <c r="L9554" s="27"/>
    </row>
    <row r="9555" customFormat="false" ht="15" hidden="false" customHeight="false" outlineLevel="0" collapsed="false">
      <c r="A9555" s="26" t="s">
        <v>24023</v>
      </c>
      <c r="B9555" s="27" t="s">
        <v>24024</v>
      </c>
      <c r="C9555" s="27" t="s">
        <v>144</v>
      </c>
      <c r="D9555" s="26"/>
      <c r="E9555" s="27"/>
      <c r="F9555" s="27"/>
      <c r="G9555" s="27" t="s">
        <v>11122</v>
      </c>
      <c r="H9555" s="27" t="s">
        <v>35</v>
      </c>
      <c r="I9555" s="27" t="s">
        <v>38</v>
      </c>
      <c r="J9555" s="28" t="s">
        <v>913</v>
      </c>
      <c r="K9555" s="27" t="s">
        <v>38</v>
      </c>
      <c r="L9555" s="27"/>
    </row>
    <row r="9556" customFormat="false" ht="15" hidden="false" customHeight="false" outlineLevel="0" collapsed="false">
      <c r="A9556" s="26" t="s">
        <v>24025</v>
      </c>
      <c r="B9556" s="27" t="s">
        <v>24026</v>
      </c>
      <c r="C9556" s="27" t="s">
        <v>144</v>
      </c>
      <c r="D9556" s="26"/>
      <c r="E9556" s="27"/>
      <c r="F9556" s="27"/>
      <c r="G9556" s="27" t="s">
        <v>11122</v>
      </c>
      <c r="H9556" s="27" t="s">
        <v>35</v>
      </c>
      <c r="I9556" s="27" t="s">
        <v>38</v>
      </c>
      <c r="J9556" s="28" t="s">
        <v>913</v>
      </c>
      <c r="K9556" s="27" t="s">
        <v>38</v>
      </c>
      <c r="L9556" s="27"/>
    </row>
    <row r="9557" customFormat="false" ht="15" hidden="false" customHeight="false" outlineLevel="0" collapsed="false">
      <c r="A9557" s="26" t="s">
        <v>24027</v>
      </c>
      <c r="B9557" s="27" t="s">
        <v>24028</v>
      </c>
      <c r="C9557" s="27" t="s">
        <v>144</v>
      </c>
      <c r="D9557" s="26"/>
      <c r="E9557" s="27"/>
      <c r="F9557" s="27"/>
      <c r="G9557" s="27" t="s">
        <v>11122</v>
      </c>
      <c r="H9557" s="27" t="s">
        <v>35</v>
      </c>
      <c r="I9557" s="27" t="s">
        <v>38</v>
      </c>
      <c r="J9557" s="28" t="s">
        <v>913</v>
      </c>
      <c r="K9557" s="27" t="s">
        <v>38</v>
      </c>
      <c r="L9557" s="27"/>
    </row>
    <row r="9558" customFormat="false" ht="15" hidden="false" customHeight="false" outlineLevel="0" collapsed="false">
      <c r="A9558" s="26" t="s">
        <v>24029</v>
      </c>
      <c r="B9558" s="27" t="s">
        <v>24030</v>
      </c>
      <c r="C9558" s="27" t="s">
        <v>144</v>
      </c>
      <c r="D9558" s="26"/>
      <c r="E9558" s="27"/>
      <c r="F9558" s="27"/>
      <c r="G9558" s="27" t="s">
        <v>11122</v>
      </c>
      <c r="H9558" s="27" t="s">
        <v>35</v>
      </c>
      <c r="I9558" s="27" t="s">
        <v>38</v>
      </c>
      <c r="J9558" s="28" t="s">
        <v>913</v>
      </c>
      <c r="K9558" s="27" t="s">
        <v>38</v>
      </c>
      <c r="L9558" s="27"/>
    </row>
    <row r="9559" customFormat="false" ht="15" hidden="false" customHeight="false" outlineLevel="0" collapsed="false">
      <c r="A9559" s="26" t="s">
        <v>24031</v>
      </c>
      <c r="B9559" s="27" t="s">
        <v>24032</v>
      </c>
      <c r="C9559" s="27" t="s">
        <v>144</v>
      </c>
      <c r="D9559" s="26"/>
      <c r="E9559" s="27"/>
      <c r="F9559" s="27"/>
      <c r="G9559" s="27" t="s">
        <v>11122</v>
      </c>
      <c r="H9559" s="27" t="s">
        <v>35</v>
      </c>
      <c r="I9559" s="27" t="s">
        <v>38</v>
      </c>
      <c r="J9559" s="28" t="s">
        <v>913</v>
      </c>
      <c r="K9559" s="27" t="s">
        <v>38</v>
      </c>
      <c r="L9559" s="27"/>
    </row>
    <row r="9560" customFormat="false" ht="15" hidden="false" customHeight="false" outlineLevel="0" collapsed="false">
      <c r="A9560" s="26" t="s">
        <v>24033</v>
      </c>
      <c r="B9560" s="27" t="s">
        <v>24034</v>
      </c>
      <c r="C9560" s="27" t="s">
        <v>144</v>
      </c>
      <c r="D9560" s="26"/>
      <c r="E9560" s="27"/>
      <c r="F9560" s="27"/>
      <c r="G9560" s="27" t="s">
        <v>11122</v>
      </c>
      <c r="H9560" s="27" t="s">
        <v>35</v>
      </c>
      <c r="I9560" s="27" t="s">
        <v>38</v>
      </c>
      <c r="J9560" s="28" t="s">
        <v>913</v>
      </c>
      <c r="K9560" s="27" t="s">
        <v>38</v>
      </c>
      <c r="L9560" s="27"/>
    </row>
    <row r="9561" customFormat="false" ht="15" hidden="false" customHeight="false" outlineLevel="0" collapsed="false">
      <c r="A9561" s="26" t="s">
        <v>24035</v>
      </c>
      <c r="B9561" s="27" t="s">
        <v>24036</v>
      </c>
      <c r="C9561" s="27" t="s">
        <v>144</v>
      </c>
      <c r="D9561" s="26"/>
      <c r="E9561" s="27"/>
      <c r="F9561" s="27"/>
      <c r="G9561" s="27" t="s">
        <v>11122</v>
      </c>
      <c r="H9561" s="27" t="s">
        <v>35</v>
      </c>
      <c r="I9561" s="27" t="s">
        <v>39</v>
      </c>
      <c r="J9561" s="28" t="s">
        <v>913</v>
      </c>
      <c r="K9561" s="27" t="s">
        <v>38</v>
      </c>
      <c r="L9561" s="27"/>
    </row>
    <row r="9562" customFormat="false" ht="15" hidden="false" customHeight="false" outlineLevel="0" collapsed="false">
      <c r="A9562" s="26" t="s">
        <v>24037</v>
      </c>
      <c r="B9562" s="27" t="s">
        <v>24038</v>
      </c>
      <c r="C9562" s="27" t="s">
        <v>144</v>
      </c>
      <c r="D9562" s="26"/>
      <c r="E9562" s="27"/>
      <c r="F9562" s="27"/>
      <c r="G9562" s="27" t="s">
        <v>11122</v>
      </c>
      <c r="H9562" s="27" t="s">
        <v>35</v>
      </c>
      <c r="I9562" s="27" t="s">
        <v>37</v>
      </c>
      <c r="J9562" s="28" t="s">
        <v>913</v>
      </c>
      <c r="K9562" s="27" t="s">
        <v>38</v>
      </c>
      <c r="L9562" s="27"/>
    </row>
    <row r="9563" customFormat="false" ht="15" hidden="false" customHeight="false" outlineLevel="0" collapsed="false">
      <c r="A9563" s="26" t="s">
        <v>24039</v>
      </c>
      <c r="B9563" s="27" t="s">
        <v>24040</v>
      </c>
      <c r="C9563" s="27" t="s">
        <v>144</v>
      </c>
      <c r="D9563" s="26"/>
      <c r="E9563" s="27"/>
      <c r="F9563" s="27"/>
      <c r="G9563" s="27" t="s">
        <v>11122</v>
      </c>
      <c r="H9563" s="27" t="s">
        <v>35</v>
      </c>
      <c r="I9563" s="27" t="s">
        <v>38</v>
      </c>
      <c r="J9563" s="28" t="s">
        <v>913</v>
      </c>
      <c r="K9563" s="27" t="s">
        <v>38</v>
      </c>
      <c r="L9563" s="27"/>
    </row>
    <row r="9564" customFormat="false" ht="15" hidden="false" customHeight="false" outlineLevel="0" collapsed="false">
      <c r="A9564" s="26" t="s">
        <v>24041</v>
      </c>
      <c r="B9564" s="27" t="s">
        <v>24042</v>
      </c>
      <c r="C9564" s="27" t="s">
        <v>144</v>
      </c>
      <c r="D9564" s="26"/>
      <c r="E9564" s="27"/>
      <c r="F9564" s="27"/>
      <c r="G9564" s="27" t="s">
        <v>11122</v>
      </c>
      <c r="H9564" s="27" t="s">
        <v>35</v>
      </c>
      <c r="I9564" s="27" t="s">
        <v>38</v>
      </c>
      <c r="J9564" s="28" t="s">
        <v>913</v>
      </c>
      <c r="K9564" s="27" t="s">
        <v>38</v>
      </c>
      <c r="L9564" s="27"/>
    </row>
    <row r="9565" customFormat="false" ht="15" hidden="false" customHeight="false" outlineLevel="0" collapsed="false">
      <c r="A9565" s="26" t="s">
        <v>24043</v>
      </c>
      <c r="B9565" s="27" t="s">
        <v>24044</v>
      </c>
      <c r="C9565" s="27" t="s">
        <v>144</v>
      </c>
      <c r="D9565" s="26"/>
      <c r="E9565" s="27"/>
      <c r="F9565" s="27"/>
      <c r="G9565" s="27" t="s">
        <v>11122</v>
      </c>
      <c r="H9565" s="27" t="s">
        <v>35</v>
      </c>
      <c r="I9565" s="27" t="s">
        <v>38</v>
      </c>
      <c r="J9565" s="28" t="s">
        <v>913</v>
      </c>
      <c r="K9565" s="27" t="s">
        <v>38</v>
      </c>
      <c r="L9565" s="27"/>
    </row>
    <row r="9566" customFormat="false" ht="15" hidden="false" customHeight="false" outlineLevel="0" collapsed="false">
      <c r="A9566" s="26" t="s">
        <v>24045</v>
      </c>
      <c r="B9566" s="27" t="s">
        <v>24046</v>
      </c>
      <c r="C9566" s="27" t="s">
        <v>144</v>
      </c>
      <c r="D9566" s="26"/>
      <c r="E9566" s="27"/>
      <c r="F9566" s="27"/>
      <c r="G9566" s="27" t="s">
        <v>11122</v>
      </c>
      <c r="H9566" s="27" t="s">
        <v>35</v>
      </c>
      <c r="I9566" s="27" t="s">
        <v>40</v>
      </c>
      <c r="J9566" s="28" t="s">
        <v>913</v>
      </c>
      <c r="K9566" s="27" t="s">
        <v>38</v>
      </c>
      <c r="L9566" s="27"/>
    </row>
    <row r="9567" customFormat="false" ht="15" hidden="false" customHeight="false" outlineLevel="0" collapsed="false">
      <c r="A9567" s="26" t="s">
        <v>24047</v>
      </c>
      <c r="B9567" s="27" t="s">
        <v>24048</v>
      </c>
      <c r="C9567" s="27" t="s">
        <v>144</v>
      </c>
      <c r="D9567" s="26"/>
      <c r="E9567" s="27"/>
      <c r="F9567" s="27"/>
      <c r="G9567" s="27" t="s">
        <v>11122</v>
      </c>
      <c r="H9567" s="27" t="s">
        <v>35</v>
      </c>
      <c r="I9567" s="27" t="s">
        <v>38</v>
      </c>
      <c r="J9567" s="28" t="s">
        <v>913</v>
      </c>
      <c r="K9567" s="27" t="s">
        <v>38</v>
      </c>
      <c r="L9567" s="27"/>
    </row>
    <row r="9568" customFormat="false" ht="15" hidden="false" customHeight="false" outlineLevel="0" collapsed="false">
      <c r="A9568" s="26" t="s">
        <v>24049</v>
      </c>
      <c r="B9568" s="27" t="s">
        <v>24050</v>
      </c>
      <c r="C9568" s="27" t="s">
        <v>144</v>
      </c>
      <c r="D9568" s="26"/>
      <c r="E9568" s="27"/>
      <c r="F9568" s="27"/>
      <c r="G9568" s="27" t="s">
        <v>11122</v>
      </c>
      <c r="H9568" s="27" t="s">
        <v>35</v>
      </c>
      <c r="I9568" s="27" t="s">
        <v>39</v>
      </c>
      <c r="J9568" s="28" t="s">
        <v>913</v>
      </c>
      <c r="K9568" s="27" t="s">
        <v>38</v>
      </c>
      <c r="L9568" s="27"/>
    </row>
    <row r="9569" customFormat="false" ht="15" hidden="false" customHeight="false" outlineLevel="0" collapsed="false">
      <c r="A9569" s="26" t="s">
        <v>24051</v>
      </c>
      <c r="B9569" s="27" t="s">
        <v>24052</v>
      </c>
      <c r="C9569" s="27" t="s">
        <v>144</v>
      </c>
      <c r="D9569" s="26"/>
      <c r="E9569" s="27"/>
      <c r="F9569" s="27"/>
      <c r="G9569" s="27" t="s">
        <v>11122</v>
      </c>
      <c r="H9569" s="27" t="s">
        <v>35</v>
      </c>
      <c r="I9569" s="27" t="s">
        <v>38</v>
      </c>
      <c r="J9569" s="28" t="s">
        <v>913</v>
      </c>
      <c r="K9569" s="27" t="s">
        <v>38</v>
      </c>
      <c r="L9569" s="27"/>
    </row>
    <row r="9570" customFormat="false" ht="15" hidden="false" customHeight="false" outlineLevel="0" collapsed="false">
      <c r="A9570" s="26" t="s">
        <v>24053</v>
      </c>
      <c r="B9570" s="27" t="s">
        <v>24054</v>
      </c>
      <c r="C9570" s="27" t="s">
        <v>144</v>
      </c>
      <c r="D9570" s="26"/>
      <c r="E9570" s="27"/>
      <c r="F9570" s="27"/>
      <c r="G9570" s="27" t="s">
        <v>11122</v>
      </c>
      <c r="H9570" s="27" t="s">
        <v>35</v>
      </c>
      <c r="I9570" s="27" t="s">
        <v>37</v>
      </c>
      <c r="J9570" s="28" t="s">
        <v>913</v>
      </c>
      <c r="K9570" s="27" t="s">
        <v>38</v>
      </c>
      <c r="L9570" s="27"/>
    </row>
    <row r="9571" customFormat="false" ht="15" hidden="false" customHeight="false" outlineLevel="0" collapsed="false">
      <c r="A9571" s="26" t="s">
        <v>24055</v>
      </c>
      <c r="B9571" s="27" t="s">
        <v>24056</v>
      </c>
      <c r="C9571" s="27" t="s">
        <v>144</v>
      </c>
      <c r="D9571" s="26"/>
      <c r="E9571" s="27"/>
      <c r="F9571" s="27"/>
      <c r="G9571" s="27" t="s">
        <v>11122</v>
      </c>
      <c r="H9571" s="27" t="s">
        <v>35</v>
      </c>
      <c r="I9571" s="27" t="s">
        <v>40</v>
      </c>
      <c r="J9571" s="28" t="s">
        <v>913</v>
      </c>
      <c r="K9571" s="27" t="s">
        <v>38</v>
      </c>
      <c r="L9571" s="27"/>
    </row>
    <row r="9572" customFormat="false" ht="15" hidden="false" customHeight="false" outlineLevel="0" collapsed="false">
      <c r="A9572" s="26" t="s">
        <v>24057</v>
      </c>
      <c r="B9572" s="27" t="s">
        <v>24058</v>
      </c>
      <c r="C9572" s="27" t="s">
        <v>144</v>
      </c>
      <c r="D9572" s="26"/>
      <c r="E9572" s="27"/>
      <c r="F9572" s="27"/>
      <c r="G9572" s="27" t="s">
        <v>11122</v>
      </c>
      <c r="H9572" s="27" t="s">
        <v>35</v>
      </c>
      <c r="I9572" s="27" t="s">
        <v>38</v>
      </c>
      <c r="J9572" s="28" t="s">
        <v>913</v>
      </c>
      <c r="K9572" s="27" t="s">
        <v>38</v>
      </c>
      <c r="L9572" s="27"/>
    </row>
    <row r="9573" customFormat="false" ht="15" hidden="false" customHeight="false" outlineLevel="0" collapsed="false">
      <c r="A9573" s="26" t="s">
        <v>24059</v>
      </c>
      <c r="B9573" s="27" t="s">
        <v>24060</v>
      </c>
      <c r="C9573" s="27" t="s">
        <v>144</v>
      </c>
      <c r="D9573" s="26"/>
      <c r="E9573" s="27"/>
      <c r="F9573" s="27"/>
      <c r="G9573" s="27" t="s">
        <v>11122</v>
      </c>
      <c r="H9573" s="27" t="s">
        <v>35</v>
      </c>
      <c r="I9573" s="27" t="s">
        <v>38</v>
      </c>
      <c r="J9573" s="28" t="s">
        <v>913</v>
      </c>
      <c r="K9573" s="27" t="s">
        <v>38</v>
      </c>
      <c r="L9573" s="27"/>
    </row>
    <row r="9574" customFormat="false" ht="15" hidden="false" customHeight="false" outlineLevel="0" collapsed="false">
      <c r="A9574" s="26" t="s">
        <v>24061</v>
      </c>
      <c r="B9574" s="27" t="s">
        <v>24062</v>
      </c>
      <c r="C9574" s="27" t="s">
        <v>144</v>
      </c>
      <c r="D9574" s="26"/>
      <c r="E9574" s="27"/>
      <c r="F9574" s="27"/>
      <c r="G9574" s="27" t="s">
        <v>11122</v>
      </c>
      <c r="H9574" s="27" t="s">
        <v>35</v>
      </c>
      <c r="I9574" s="27" t="s">
        <v>41</v>
      </c>
      <c r="J9574" s="28" t="s">
        <v>913</v>
      </c>
      <c r="K9574" s="27" t="s">
        <v>38</v>
      </c>
      <c r="L9574" s="27"/>
    </row>
    <row r="9575" customFormat="false" ht="15" hidden="false" customHeight="false" outlineLevel="0" collapsed="false">
      <c r="A9575" s="26" t="s">
        <v>24063</v>
      </c>
      <c r="B9575" s="27" t="s">
        <v>24064</v>
      </c>
      <c r="C9575" s="27" t="s">
        <v>144</v>
      </c>
      <c r="D9575" s="26"/>
      <c r="E9575" s="27"/>
      <c r="F9575" s="27"/>
      <c r="G9575" s="27" t="s">
        <v>11122</v>
      </c>
      <c r="H9575" s="27" t="s">
        <v>35</v>
      </c>
      <c r="I9575" s="27" t="s">
        <v>38</v>
      </c>
      <c r="J9575" s="28" t="s">
        <v>913</v>
      </c>
      <c r="K9575" s="27" t="s">
        <v>38</v>
      </c>
      <c r="L9575" s="27"/>
    </row>
    <row r="9576" customFormat="false" ht="15" hidden="false" customHeight="false" outlineLevel="0" collapsed="false">
      <c r="A9576" s="26" t="s">
        <v>24065</v>
      </c>
      <c r="B9576" s="27" t="s">
        <v>24066</v>
      </c>
      <c r="C9576" s="27" t="s">
        <v>144</v>
      </c>
      <c r="D9576" s="26"/>
      <c r="E9576" s="27"/>
      <c r="F9576" s="27"/>
      <c r="G9576" s="27" t="s">
        <v>11122</v>
      </c>
      <c r="H9576" s="27" t="s">
        <v>35</v>
      </c>
      <c r="I9576" s="27" t="s">
        <v>38</v>
      </c>
      <c r="J9576" s="28" t="s">
        <v>913</v>
      </c>
      <c r="K9576" s="27" t="s">
        <v>38</v>
      </c>
      <c r="L9576" s="27"/>
    </row>
    <row r="9577" customFormat="false" ht="15" hidden="false" customHeight="false" outlineLevel="0" collapsed="false">
      <c r="A9577" s="26" t="s">
        <v>24067</v>
      </c>
      <c r="B9577" s="27" t="s">
        <v>24068</v>
      </c>
      <c r="C9577" s="27" t="s">
        <v>144</v>
      </c>
      <c r="D9577" s="26"/>
      <c r="E9577" s="27"/>
      <c r="F9577" s="27"/>
      <c r="G9577" s="27" t="s">
        <v>11122</v>
      </c>
      <c r="H9577" s="27" t="s">
        <v>35</v>
      </c>
      <c r="I9577" s="27" t="s">
        <v>38</v>
      </c>
      <c r="J9577" s="28" t="s">
        <v>913</v>
      </c>
      <c r="K9577" s="27" t="s">
        <v>38</v>
      </c>
      <c r="L9577" s="27"/>
    </row>
    <row r="9578" customFormat="false" ht="15" hidden="false" customHeight="false" outlineLevel="0" collapsed="false">
      <c r="A9578" s="26" t="s">
        <v>24069</v>
      </c>
      <c r="B9578" s="27" t="s">
        <v>24070</v>
      </c>
      <c r="C9578" s="27" t="s">
        <v>144</v>
      </c>
      <c r="D9578" s="26"/>
      <c r="E9578" s="27"/>
      <c r="F9578" s="27"/>
      <c r="G9578" s="27" t="s">
        <v>11122</v>
      </c>
      <c r="H9578" s="27" t="s">
        <v>35</v>
      </c>
      <c r="I9578" s="27" t="s">
        <v>38</v>
      </c>
      <c r="J9578" s="28" t="s">
        <v>913</v>
      </c>
      <c r="K9578" s="27" t="s">
        <v>38</v>
      </c>
      <c r="L9578" s="27"/>
    </row>
    <row r="9579" customFormat="false" ht="15" hidden="false" customHeight="false" outlineLevel="0" collapsed="false">
      <c r="A9579" s="26" t="s">
        <v>24071</v>
      </c>
      <c r="B9579" s="27" t="s">
        <v>24072</v>
      </c>
      <c r="C9579" s="27" t="s">
        <v>144</v>
      </c>
      <c r="D9579" s="26"/>
      <c r="E9579" s="27"/>
      <c r="F9579" s="27"/>
      <c r="G9579" s="27" t="s">
        <v>11122</v>
      </c>
      <c r="H9579" s="27" t="s">
        <v>35</v>
      </c>
      <c r="I9579" s="27" t="s">
        <v>38</v>
      </c>
      <c r="J9579" s="28" t="s">
        <v>913</v>
      </c>
      <c r="K9579" s="27" t="s">
        <v>38</v>
      </c>
      <c r="L9579" s="27"/>
    </row>
    <row r="9580" customFormat="false" ht="15" hidden="false" customHeight="false" outlineLevel="0" collapsed="false">
      <c r="A9580" s="26" t="s">
        <v>24073</v>
      </c>
      <c r="B9580" s="27" t="s">
        <v>24074</v>
      </c>
      <c r="C9580" s="27" t="s">
        <v>144</v>
      </c>
      <c r="D9580" s="26"/>
      <c r="E9580" s="27"/>
      <c r="F9580" s="27"/>
      <c r="G9580" s="27" t="s">
        <v>11122</v>
      </c>
      <c r="H9580" s="27" t="s">
        <v>35</v>
      </c>
      <c r="I9580" s="27" t="s">
        <v>38</v>
      </c>
      <c r="J9580" s="28" t="s">
        <v>913</v>
      </c>
      <c r="K9580" s="27" t="s">
        <v>38</v>
      </c>
      <c r="L9580" s="27"/>
    </row>
    <row r="9581" customFormat="false" ht="15" hidden="false" customHeight="false" outlineLevel="0" collapsed="false">
      <c r="A9581" s="26" t="s">
        <v>24075</v>
      </c>
      <c r="B9581" s="27" t="s">
        <v>24076</v>
      </c>
      <c r="C9581" s="27" t="s">
        <v>144</v>
      </c>
      <c r="D9581" s="26"/>
      <c r="E9581" s="27"/>
      <c r="F9581" s="27"/>
      <c r="G9581" s="27" t="s">
        <v>11122</v>
      </c>
      <c r="H9581" s="27" t="s">
        <v>35</v>
      </c>
      <c r="I9581" s="27" t="s">
        <v>38</v>
      </c>
      <c r="J9581" s="28" t="s">
        <v>913</v>
      </c>
      <c r="K9581" s="27" t="s">
        <v>38</v>
      </c>
      <c r="L9581" s="27"/>
    </row>
    <row r="9582" customFormat="false" ht="15" hidden="false" customHeight="false" outlineLevel="0" collapsed="false">
      <c r="A9582" s="26" t="s">
        <v>24077</v>
      </c>
      <c r="B9582" s="27" t="s">
        <v>24078</v>
      </c>
      <c r="C9582" s="27" t="s">
        <v>144</v>
      </c>
      <c r="D9582" s="26"/>
      <c r="E9582" s="27"/>
      <c r="F9582" s="27"/>
      <c r="G9582" s="27" t="s">
        <v>11122</v>
      </c>
      <c r="H9582" s="27" t="s">
        <v>35</v>
      </c>
      <c r="I9582" s="27" t="s">
        <v>38</v>
      </c>
      <c r="J9582" s="28" t="s">
        <v>913</v>
      </c>
      <c r="K9582" s="27" t="s">
        <v>38</v>
      </c>
      <c r="L9582" s="27"/>
    </row>
    <row r="9583" customFormat="false" ht="15" hidden="false" customHeight="false" outlineLevel="0" collapsed="false">
      <c r="A9583" s="26" t="s">
        <v>24079</v>
      </c>
      <c r="B9583" s="27" t="s">
        <v>24080</v>
      </c>
      <c r="C9583" s="27" t="s">
        <v>144</v>
      </c>
      <c r="D9583" s="26"/>
      <c r="E9583" s="27"/>
      <c r="F9583" s="27"/>
      <c r="G9583" s="27" t="s">
        <v>11122</v>
      </c>
      <c r="H9583" s="27" t="s">
        <v>35</v>
      </c>
      <c r="I9583" s="27" t="s">
        <v>38</v>
      </c>
      <c r="J9583" s="28" t="s">
        <v>913</v>
      </c>
      <c r="K9583" s="27" t="s">
        <v>38</v>
      </c>
      <c r="L9583" s="27"/>
    </row>
    <row r="9584" customFormat="false" ht="15" hidden="false" customHeight="false" outlineLevel="0" collapsed="false">
      <c r="A9584" s="26" t="s">
        <v>24081</v>
      </c>
      <c r="B9584" s="27" t="s">
        <v>24082</v>
      </c>
      <c r="C9584" s="27" t="s">
        <v>144</v>
      </c>
      <c r="D9584" s="26"/>
      <c r="E9584" s="27"/>
      <c r="F9584" s="27"/>
      <c r="G9584" s="27" t="s">
        <v>11122</v>
      </c>
      <c r="H9584" s="27" t="s">
        <v>35</v>
      </c>
      <c r="I9584" s="27" t="s">
        <v>38</v>
      </c>
      <c r="J9584" s="28" t="s">
        <v>913</v>
      </c>
      <c r="K9584" s="27" t="s">
        <v>38</v>
      </c>
      <c r="L9584" s="27"/>
    </row>
    <row r="9585" customFormat="false" ht="15" hidden="false" customHeight="false" outlineLevel="0" collapsed="false">
      <c r="A9585" s="26" t="s">
        <v>24083</v>
      </c>
      <c r="B9585" s="27" t="s">
        <v>24084</v>
      </c>
      <c r="C9585" s="27" t="s">
        <v>144</v>
      </c>
      <c r="D9585" s="26"/>
      <c r="E9585" s="27"/>
      <c r="F9585" s="27"/>
      <c r="G9585" s="27" t="s">
        <v>11122</v>
      </c>
      <c r="H9585" s="27" t="s">
        <v>35</v>
      </c>
      <c r="I9585" s="27" t="s">
        <v>38</v>
      </c>
      <c r="J9585" s="28" t="s">
        <v>913</v>
      </c>
      <c r="K9585" s="27" t="s">
        <v>38</v>
      </c>
      <c r="L9585" s="27"/>
    </row>
    <row r="9586" customFormat="false" ht="15" hidden="false" customHeight="false" outlineLevel="0" collapsed="false">
      <c r="A9586" s="26" t="s">
        <v>24085</v>
      </c>
      <c r="B9586" s="27" t="s">
        <v>24086</v>
      </c>
      <c r="C9586" s="27" t="s">
        <v>144</v>
      </c>
      <c r="D9586" s="26"/>
      <c r="E9586" s="27"/>
      <c r="F9586" s="27"/>
      <c r="G9586" s="27" t="s">
        <v>11122</v>
      </c>
      <c r="H9586" s="27" t="s">
        <v>35</v>
      </c>
      <c r="I9586" s="27" t="s">
        <v>38</v>
      </c>
      <c r="J9586" s="28" t="s">
        <v>913</v>
      </c>
      <c r="K9586" s="27" t="s">
        <v>38</v>
      </c>
      <c r="L9586" s="27"/>
    </row>
    <row r="9587" customFormat="false" ht="15" hidden="false" customHeight="false" outlineLevel="0" collapsed="false">
      <c r="A9587" s="26" t="s">
        <v>24087</v>
      </c>
      <c r="B9587" s="27" t="s">
        <v>24088</v>
      </c>
      <c r="C9587" s="27" t="s">
        <v>144</v>
      </c>
      <c r="D9587" s="26"/>
      <c r="E9587" s="27"/>
      <c r="F9587" s="27"/>
      <c r="G9587" s="27" t="s">
        <v>11122</v>
      </c>
      <c r="H9587" s="27" t="s">
        <v>35</v>
      </c>
      <c r="I9587" s="27" t="s">
        <v>38</v>
      </c>
      <c r="J9587" s="28" t="s">
        <v>913</v>
      </c>
      <c r="K9587" s="27" t="s">
        <v>38</v>
      </c>
      <c r="L9587" s="27"/>
    </row>
    <row r="9588" customFormat="false" ht="15" hidden="false" customHeight="false" outlineLevel="0" collapsed="false">
      <c r="A9588" s="26" t="s">
        <v>24089</v>
      </c>
      <c r="B9588" s="27" t="s">
        <v>24090</v>
      </c>
      <c r="C9588" s="27" t="s">
        <v>144</v>
      </c>
      <c r="D9588" s="26"/>
      <c r="E9588" s="27"/>
      <c r="F9588" s="27"/>
      <c r="G9588" s="27" t="s">
        <v>11122</v>
      </c>
      <c r="H9588" s="27" t="s">
        <v>35</v>
      </c>
      <c r="I9588" s="27" t="s">
        <v>38</v>
      </c>
      <c r="J9588" s="28" t="s">
        <v>913</v>
      </c>
      <c r="K9588" s="27" t="s">
        <v>38</v>
      </c>
      <c r="L9588" s="27"/>
    </row>
    <row r="9589" customFormat="false" ht="15" hidden="false" customHeight="false" outlineLevel="0" collapsed="false">
      <c r="A9589" s="26" t="s">
        <v>24091</v>
      </c>
      <c r="B9589" s="27" t="s">
        <v>24092</v>
      </c>
      <c r="C9589" s="27" t="s">
        <v>144</v>
      </c>
      <c r="D9589" s="26"/>
      <c r="E9589" s="27"/>
      <c r="F9589" s="27"/>
      <c r="G9589" s="27" t="s">
        <v>11122</v>
      </c>
      <c r="H9589" s="27" t="s">
        <v>35</v>
      </c>
      <c r="I9589" s="27" t="s">
        <v>38</v>
      </c>
      <c r="J9589" s="28" t="s">
        <v>913</v>
      </c>
      <c r="K9589" s="27" t="s">
        <v>38</v>
      </c>
      <c r="L9589" s="27"/>
    </row>
    <row r="9590" customFormat="false" ht="15" hidden="false" customHeight="false" outlineLevel="0" collapsed="false">
      <c r="A9590" s="26" t="s">
        <v>24093</v>
      </c>
      <c r="B9590" s="27" t="s">
        <v>24094</v>
      </c>
      <c r="C9590" s="27" t="s">
        <v>144</v>
      </c>
      <c r="D9590" s="26"/>
      <c r="E9590" s="27"/>
      <c r="F9590" s="27"/>
      <c r="G9590" s="27" t="s">
        <v>11122</v>
      </c>
      <c r="H9590" s="27" t="s">
        <v>35</v>
      </c>
      <c r="I9590" s="27" t="s">
        <v>38</v>
      </c>
      <c r="J9590" s="28" t="s">
        <v>913</v>
      </c>
      <c r="K9590" s="27" t="s">
        <v>38</v>
      </c>
      <c r="L9590" s="27"/>
    </row>
    <row r="9591" customFormat="false" ht="15" hidden="false" customHeight="false" outlineLevel="0" collapsed="false">
      <c r="A9591" s="26" t="s">
        <v>24095</v>
      </c>
      <c r="B9591" s="27" t="s">
        <v>24096</v>
      </c>
      <c r="C9591" s="27" t="s">
        <v>144</v>
      </c>
      <c r="D9591" s="26"/>
      <c r="E9591" s="27"/>
      <c r="F9591" s="27"/>
      <c r="G9591" s="27" t="s">
        <v>11122</v>
      </c>
      <c r="H9591" s="27" t="s">
        <v>35</v>
      </c>
      <c r="I9591" s="27" t="s">
        <v>38</v>
      </c>
      <c r="J9591" s="28" t="s">
        <v>913</v>
      </c>
      <c r="K9591" s="27" t="s">
        <v>38</v>
      </c>
      <c r="L9591" s="27"/>
    </row>
    <row r="9592" customFormat="false" ht="15" hidden="false" customHeight="false" outlineLevel="0" collapsed="false">
      <c r="A9592" s="26" t="s">
        <v>24097</v>
      </c>
      <c r="B9592" s="27" t="s">
        <v>24098</v>
      </c>
      <c r="C9592" s="27" t="s">
        <v>144</v>
      </c>
      <c r="D9592" s="26"/>
      <c r="E9592" s="27"/>
      <c r="F9592" s="27"/>
      <c r="G9592" s="27" t="s">
        <v>11122</v>
      </c>
      <c r="H9592" s="27" t="s">
        <v>35</v>
      </c>
      <c r="I9592" s="27" t="s">
        <v>38</v>
      </c>
      <c r="J9592" s="28" t="s">
        <v>913</v>
      </c>
      <c r="K9592" s="27" t="s">
        <v>38</v>
      </c>
      <c r="L9592" s="27"/>
    </row>
    <row r="9593" customFormat="false" ht="15" hidden="false" customHeight="false" outlineLevel="0" collapsed="false">
      <c r="A9593" s="26" t="s">
        <v>24099</v>
      </c>
      <c r="B9593" s="27" t="s">
        <v>24100</v>
      </c>
      <c r="C9593" s="27" t="s">
        <v>144</v>
      </c>
      <c r="D9593" s="26"/>
      <c r="E9593" s="27"/>
      <c r="F9593" s="27"/>
      <c r="G9593" s="27" t="s">
        <v>11122</v>
      </c>
      <c r="H9593" s="27" t="s">
        <v>35</v>
      </c>
      <c r="I9593" s="27" t="s">
        <v>38</v>
      </c>
      <c r="J9593" s="28" t="s">
        <v>913</v>
      </c>
      <c r="K9593" s="27" t="s">
        <v>38</v>
      </c>
      <c r="L9593" s="27"/>
    </row>
    <row r="9594" customFormat="false" ht="15" hidden="false" customHeight="false" outlineLevel="0" collapsed="false">
      <c r="A9594" s="26" t="s">
        <v>24101</v>
      </c>
      <c r="B9594" s="27" t="s">
        <v>24102</v>
      </c>
      <c r="C9594" s="27" t="s">
        <v>144</v>
      </c>
      <c r="D9594" s="26"/>
      <c r="E9594" s="27"/>
      <c r="F9594" s="27"/>
      <c r="G9594" s="27" t="s">
        <v>11122</v>
      </c>
      <c r="H9594" s="27" t="s">
        <v>35</v>
      </c>
      <c r="I9594" s="27" t="s">
        <v>38</v>
      </c>
      <c r="J9594" s="28" t="s">
        <v>913</v>
      </c>
      <c r="K9594" s="27" t="s">
        <v>38</v>
      </c>
      <c r="L9594" s="27"/>
    </row>
    <row r="9595" customFormat="false" ht="15" hidden="false" customHeight="false" outlineLevel="0" collapsed="false">
      <c r="A9595" s="26" t="s">
        <v>24103</v>
      </c>
      <c r="B9595" s="27" t="s">
        <v>24104</v>
      </c>
      <c r="C9595" s="27" t="s">
        <v>144</v>
      </c>
      <c r="D9595" s="26"/>
      <c r="E9595" s="27"/>
      <c r="F9595" s="27"/>
      <c r="G9595" s="27" t="s">
        <v>11122</v>
      </c>
      <c r="H9595" s="27" t="s">
        <v>35</v>
      </c>
      <c r="I9595" s="27" t="s">
        <v>38</v>
      </c>
      <c r="J9595" s="28" t="s">
        <v>913</v>
      </c>
      <c r="K9595" s="27" t="s">
        <v>38</v>
      </c>
      <c r="L9595" s="27"/>
    </row>
    <row r="9596" customFormat="false" ht="15" hidden="false" customHeight="false" outlineLevel="0" collapsed="false">
      <c r="A9596" s="26" t="s">
        <v>24105</v>
      </c>
      <c r="B9596" s="27" t="s">
        <v>24106</v>
      </c>
      <c r="C9596" s="27" t="s">
        <v>144</v>
      </c>
      <c r="D9596" s="26"/>
      <c r="E9596" s="27"/>
      <c r="F9596" s="27"/>
      <c r="G9596" s="27" t="s">
        <v>11122</v>
      </c>
      <c r="H9596" s="27" t="s">
        <v>35</v>
      </c>
      <c r="I9596" s="27" t="s">
        <v>38</v>
      </c>
      <c r="J9596" s="28" t="s">
        <v>913</v>
      </c>
      <c r="K9596" s="27" t="s">
        <v>38</v>
      </c>
      <c r="L9596" s="27"/>
    </row>
    <row r="9597" customFormat="false" ht="15" hidden="false" customHeight="false" outlineLevel="0" collapsed="false">
      <c r="A9597" s="26" t="s">
        <v>24107</v>
      </c>
      <c r="B9597" s="27" t="s">
        <v>24108</v>
      </c>
      <c r="C9597" s="27" t="s">
        <v>144</v>
      </c>
      <c r="D9597" s="26"/>
      <c r="E9597" s="27"/>
      <c r="F9597" s="27"/>
      <c r="G9597" s="27" t="s">
        <v>11122</v>
      </c>
      <c r="H9597" s="27" t="s">
        <v>35</v>
      </c>
      <c r="I9597" s="27" t="s">
        <v>38</v>
      </c>
      <c r="J9597" s="28" t="s">
        <v>913</v>
      </c>
      <c r="K9597" s="27" t="s">
        <v>38</v>
      </c>
      <c r="L9597" s="27"/>
    </row>
    <row r="9598" customFormat="false" ht="15" hidden="false" customHeight="false" outlineLevel="0" collapsed="false">
      <c r="A9598" s="26" t="s">
        <v>24109</v>
      </c>
      <c r="B9598" s="27" t="s">
        <v>24110</v>
      </c>
      <c r="C9598" s="27" t="s">
        <v>144</v>
      </c>
      <c r="D9598" s="26"/>
      <c r="E9598" s="27"/>
      <c r="F9598" s="27"/>
      <c r="G9598" s="27" t="s">
        <v>11122</v>
      </c>
      <c r="H9598" s="27" t="s">
        <v>35</v>
      </c>
      <c r="I9598" s="27" t="s">
        <v>38</v>
      </c>
      <c r="J9598" s="28" t="s">
        <v>913</v>
      </c>
      <c r="K9598" s="27" t="s">
        <v>38</v>
      </c>
      <c r="L9598" s="27"/>
    </row>
    <row r="9599" customFormat="false" ht="15" hidden="false" customHeight="false" outlineLevel="0" collapsed="false">
      <c r="A9599" s="26" t="s">
        <v>24111</v>
      </c>
      <c r="B9599" s="27" t="s">
        <v>24112</v>
      </c>
      <c r="C9599" s="27" t="s">
        <v>144</v>
      </c>
      <c r="D9599" s="26"/>
      <c r="E9599" s="27"/>
      <c r="F9599" s="27"/>
      <c r="G9599" s="27" t="s">
        <v>11122</v>
      </c>
      <c r="H9599" s="27" t="s">
        <v>35</v>
      </c>
      <c r="I9599" s="27" t="s">
        <v>38</v>
      </c>
      <c r="J9599" s="28" t="s">
        <v>913</v>
      </c>
      <c r="K9599" s="27" t="s">
        <v>38</v>
      </c>
      <c r="L9599" s="27"/>
    </row>
    <row r="9600" customFormat="false" ht="15" hidden="false" customHeight="false" outlineLevel="0" collapsed="false">
      <c r="A9600" s="26" t="s">
        <v>24113</v>
      </c>
      <c r="B9600" s="27" t="s">
        <v>24114</v>
      </c>
      <c r="C9600" s="27" t="s">
        <v>144</v>
      </c>
      <c r="D9600" s="26"/>
      <c r="E9600" s="27"/>
      <c r="F9600" s="27"/>
      <c r="G9600" s="27" t="s">
        <v>11122</v>
      </c>
      <c r="H9600" s="27" t="s">
        <v>35</v>
      </c>
      <c r="I9600" s="27" t="s">
        <v>41</v>
      </c>
      <c r="J9600" s="28" t="s">
        <v>913</v>
      </c>
      <c r="K9600" s="27" t="s">
        <v>38</v>
      </c>
      <c r="L9600" s="27"/>
    </row>
    <row r="9601" customFormat="false" ht="15" hidden="false" customHeight="false" outlineLevel="0" collapsed="false">
      <c r="A9601" s="26" t="s">
        <v>24115</v>
      </c>
      <c r="B9601" s="27" t="s">
        <v>24116</v>
      </c>
      <c r="C9601" s="27" t="s">
        <v>144</v>
      </c>
      <c r="D9601" s="26"/>
      <c r="E9601" s="27"/>
      <c r="F9601" s="27"/>
      <c r="G9601" s="27" t="s">
        <v>11122</v>
      </c>
      <c r="H9601" s="27" t="s">
        <v>35</v>
      </c>
      <c r="I9601" s="27" t="s">
        <v>37</v>
      </c>
      <c r="J9601" s="28" t="s">
        <v>913</v>
      </c>
      <c r="K9601" s="27" t="s">
        <v>38</v>
      </c>
      <c r="L9601" s="27"/>
    </row>
    <row r="9602" customFormat="false" ht="15" hidden="false" customHeight="false" outlineLevel="0" collapsed="false">
      <c r="A9602" s="26" t="s">
        <v>24117</v>
      </c>
      <c r="B9602" s="27" t="s">
        <v>24118</v>
      </c>
      <c r="C9602" s="27" t="s">
        <v>144</v>
      </c>
      <c r="D9602" s="26"/>
      <c r="E9602" s="27"/>
      <c r="F9602" s="27"/>
      <c r="G9602" s="27" t="s">
        <v>11122</v>
      </c>
      <c r="H9602" s="27" t="s">
        <v>35</v>
      </c>
      <c r="I9602" s="27" t="s">
        <v>38</v>
      </c>
      <c r="J9602" s="28" t="s">
        <v>913</v>
      </c>
      <c r="K9602" s="27" t="s">
        <v>38</v>
      </c>
      <c r="L9602" s="27"/>
    </row>
    <row r="9603" customFormat="false" ht="15" hidden="false" customHeight="false" outlineLevel="0" collapsed="false">
      <c r="A9603" s="26" t="s">
        <v>24119</v>
      </c>
      <c r="B9603" s="27" t="s">
        <v>24120</v>
      </c>
      <c r="C9603" s="27" t="s">
        <v>144</v>
      </c>
      <c r="D9603" s="26"/>
      <c r="E9603" s="27"/>
      <c r="F9603" s="27"/>
      <c r="G9603" s="27" t="s">
        <v>11122</v>
      </c>
      <c r="H9603" s="27" t="s">
        <v>35</v>
      </c>
      <c r="I9603" s="27" t="s">
        <v>37</v>
      </c>
      <c r="J9603" s="28" t="s">
        <v>913</v>
      </c>
      <c r="K9603" s="27" t="s">
        <v>38</v>
      </c>
      <c r="L9603" s="27"/>
    </row>
    <row r="9604" customFormat="false" ht="15" hidden="false" customHeight="false" outlineLevel="0" collapsed="false">
      <c r="A9604" s="26" t="s">
        <v>24121</v>
      </c>
      <c r="B9604" s="27" t="s">
        <v>24122</v>
      </c>
      <c r="C9604" s="27" t="s">
        <v>144</v>
      </c>
      <c r="D9604" s="26"/>
      <c r="E9604" s="27"/>
      <c r="F9604" s="27"/>
      <c r="G9604" s="27" t="s">
        <v>11122</v>
      </c>
      <c r="H9604" s="27" t="s">
        <v>35</v>
      </c>
      <c r="I9604" s="27" t="s">
        <v>38</v>
      </c>
      <c r="J9604" s="28" t="s">
        <v>913</v>
      </c>
      <c r="K9604" s="27" t="s">
        <v>38</v>
      </c>
      <c r="L9604" s="27"/>
    </row>
    <row r="9605" customFormat="false" ht="15" hidden="false" customHeight="false" outlineLevel="0" collapsed="false">
      <c r="A9605" s="26" t="s">
        <v>24123</v>
      </c>
      <c r="B9605" s="27" t="s">
        <v>24124</v>
      </c>
      <c r="C9605" s="27" t="s">
        <v>144</v>
      </c>
      <c r="D9605" s="26"/>
      <c r="E9605" s="27"/>
      <c r="F9605" s="27"/>
      <c r="G9605" s="27" t="s">
        <v>11122</v>
      </c>
      <c r="H9605" s="27" t="s">
        <v>35</v>
      </c>
      <c r="I9605" s="27" t="s">
        <v>40</v>
      </c>
      <c r="J9605" s="28" t="s">
        <v>913</v>
      </c>
      <c r="K9605" s="27" t="s">
        <v>38</v>
      </c>
      <c r="L9605" s="27"/>
    </row>
    <row r="9606" customFormat="false" ht="15" hidden="false" customHeight="false" outlineLevel="0" collapsed="false">
      <c r="A9606" s="26" t="s">
        <v>24125</v>
      </c>
      <c r="B9606" s="27" t="s">
        <v>24126</v>
      </c>
      <c r="C9606" s="27" t="s">
        <v>144</v>
      </c>
      <c r="D9606" s="26"/>
      <c r="E9606" s="27"/>
      <c r="F9606" s="27"/>
      <c r="G9606" s="27" t="s">
        <v>11122</v>
      </c>
      <c r="H9606" s="27" t="s">
        <v>35</v>
      </c>
      <c r="I9606" s="27" t="s">
        <v>37</v>
      </c>
      <c r="J9606" s="28" t="s">
        <v>913</v>
      </c>
      <c r="K9606" s="27" t="s">
        <v>38</v>
      </c>
      <c r="L9606" s="27"/>
    </row>
    <row r="9607" customFormat="false" ht="15" hidden="false" customHeight="false" outlineLevel="0" collapsed="false">
      <c r="A9607" s="26" t="s">
        <v>24127</v>
      </c>
      <c r="B9607" s="27" t="s">
        <v>24128</v>
      </c>
      <c r="C9607" s="27" t="s">
        <v>144</v>
      </c>
      <c r="D9607" s="26"/>
      <c r="E9607" s="27"/>
      <c r="F9607" s="27"/>
      <c r="G9607" s="27" t="s">
        <v>11122</v>
      </c>
      <c r="H9607" s="27" t="s">
        <v>35</v>
      </c>
      <c r="I9607" s="27" t="s">
        <v>38</v>
      </c>
      <c r="J9607" s="28" t="s">
        <v>913</v>
      </c>
      <c r="K9607" s="27" t="s">
        <v>38</v>
      </c>
      <c r="L9607" s="27"/>
    </row>
    <row r="9608" customFormat="false" ht="15" hidden="false" customHeight="false" outlineLevel="0" collapsed="false">
      <c r="A9608" s="26" t="s">
        <v>24129</v>
      </c>
      <c r="B9608" s="27" t="s">
        <v>24130</v>
      </c>
      <c r="C9608" s="27" t="s">
        <v>144</v>
      </c>
      <c r="D9608" s="26"/>
      <c r="E9608" s="27"/>
      <c r="F9608" s="27"/>
      <c r="G9608" s="27" t="s">
        <v>11122</v>
      </c>
      <c r="H9608" s="27" t="s">
        <v>35</v>
      </c>
      <c r="I9608" s="27" t="s">
        <v>37</v>
      </c>
      <c r="J9608" s="28" t="s">
        <v>913</v>
      </c>
      <c r="K9608" s="27" t="s">
        <v>38</v>
      </c>
      <c r="L9608" s="27"/>
    </row>
    <row r="9609" customFormat="false" ht="15" hidden="false" customHeight="false" outlineLevel="0" collapsed="false">
      <c r="A9609" s="26" t="s">
        <v>24131</v>
      </c>
      <c r="B9609" s="27" t="s">
        <v>24132</v>
      </c>
      <c r="C9609" s="27" t="s">
        <v>144</v>
      </c>
      <c r="D9609" s="26"/>
      <c r="E9609" s="27"/>
      <c r="F9609" s="27"/>
      <c r="G9609" s="27" t="s">
        <v>11122</v>
      </c>
      <c r="H9609" s="27" t="s">
        <v>35</v>
      </c>
      <c r="I9609" s="27" t="s">
        <v>37</v>
      </c>
      <c r="J9609" s="28" t="s">
        <v>913</v>
      </c>
      <c r="K9609" s="27" t="s">
        <v>38</v>
      </c>
      <c r="L9609" s="27"/>
    </row>
    <row r="9610" customFormat="false" ht="15" hidden="false" customHeight="false" outlineLevel="0" collapsed="false">
      <c r="A9610" s="26" t="s">
        <v>24133</v>
      </c>
      <c r="B9610" s="27" t="s">
        <v>24134</v>
      </c>
      <c r="C9610" s="27" t="s">
        <v>144</v>
      </c>
      <c r="D9610" s="26"/>
      <c r="E9610" s="27"/>
      <c r="F9610" s="27"/>
      <c r="G9610" s="27" t="s">
        <v>11122</v>
      </c>
      <c r="H9610" s="27" t="s">
        <v>35</v>
      </c>
      <c r="I9610" s="27" t="s">
        <v>40</v>
      </c>
      <c r="J9610" s="28" t="s">
        <v>913</v>
      </c>
      <c r="K9610" s="27" t="s">
        <v>38</v>
      </c>
      <c r="L9610" s="27"/>
    </row>
    <row r="9611" customFormat="false" ht="15" hidden="false" customHeight="false" outlineLevel="0" collapsed="false">
      <c r="A9611" s="26" t="s">
        <v>24135</v>
      </c>
      <c r="B9611" s="27" t="s">
        <v>24136</v>
      </c>
      <c r="C9611" s="27" t="s">
        <v>144</v>
      </c>
      <c r="D9611" s="26"/>
      <c r="E9611" s="27"/>
      <c r="F9611" s="27"/>
      <c r="G9611" s="27" t="s">
        <v>11122</v>
      </c>
      <c r="H9611" s="27" t="s">
        <v>35</v>
      </c>
      <c r="I9611" s="27" t="s">
        <v>38</v>
      </c>
      <c r="J9611" s="28" t="s">
        <v>913</v>
      </c>
      <c r="K9611" s="27" t="s">
        <v>38</v>
      </c>
      <c r="L9611" s="27"/>
    </row>
    <row r="9612" customFormat="false" ht="15" hidden="false" customHeight="false" outlineLevel="0" collapsed="false">
      <c r="A9612" s="26" t="s">
        <v>24137</v>
      </c>
      <c r="B9612" s="27" t="s">
        <v>24138</v>
      </c>
      <c r="C9612" s="27" t="s">
        <v>144</v>
      </c>
      <c r="D9612" s="26"/>
      <c r="E9612" s="27"/>
      <c r="F9612" s="27"/>
      <c r="G9612" s="27" t="s">
        <v>11122</v>
      </c>
      <c r="H9612" s="27" t="s">
        <v>35</v>
      </c>
      <c r="I9612" s="27" t="s">
        <v>42</v>
      </c>
      <c r="J9612" s="28" t="s">
        <v>913</v>
      </c>
      <c r="K9612" s="27" t="s">
        <v>38</v>
      </c>
      <c r="L9612" s="27"/>
    </row>
    <row r="9613" customFormat="false" ht="15" hidden="false" customHeight="false" outlineLevel="0" collapsed="false">
      <c r="A9613" s="26" t="s">
        <v>24139</v>
      </c>
      <c r="B9613" s="27" t="s">
        <v>24140</v>
      </c>
      <c r="C9613" s="27" t="s">
        <v>144</v>
      </c>
      <c r="D9613" s="26"/>
      <c r="E9613" s="27"/>
      <c r="F9613" s="27"/>
      <c r="G9613" s="27" t="s">
        <v>11122</v>
      </c>
      <c r="H9613" s="27" t="s">
        <v>35</v>
      </c>
      <c r="I9613" s="28" t="s">
        <v>50</v>
      </c>
      <c r="J9613" s="28" t="s">
        <v>913</v>
      </c>
      <c r="K9613" s="27" t="s">
        <v>38</v>
      </c>
      <c r="L9613" s="27"/>
    </row>
    <row r="9614" customFormat="false" ht="15" hidden="false" customHeight="false" outlineLevel="0" collapsed="false">
      <c r="A9614" s="26" t="s">
        <v>24141</v>
      </c>
      <c r="B9614" s="27" t="s">
        <v>24142</v>
      </c>
      <c r="C9614" s="27" t="s">
        <v>144</v>
      </c>
      <c r="D9614" s="26"/>
      <c r="E9614" s="27"/>
      <c r="F9614" s="27"/>
      <c r="G9614" s="27" t="s">
        <v>11122</v>
      </c>
      <c r="H9614" s="27" t="s">
        <v>35</v>
      </c>
      <c r="I9614" s="27" t="s">
        <v>38</v>
      </c>
      <c r="J9614" s="28" t="s">
        <v>913</v>
      </c>
      <c r="K9614" s="27" t="s">
        <v>38</v>
      </c>
      <c r="L9614" s="27"/>
    </row>
    <row r="9615" customFormat="false" ht="15" hidden="false" customHeight="false" outlineLevel="0" collapsed="false">
      <c r="A9615" s="26" t="s">
        <v>24143</v>
      </c>
      <c r="B9615" s="27" t="s">
        <v>24144</v>
      </c>
      <c r="C9615" s="27" t="s">
        <v>144</v>
      </c>
      <c r="D9615" s="26"/>
      <c r="E9615" s="27"/>
      <c r="F9615" s="27"/>
      <c r="G9615" s="27" t="s">
        <v>11122</v>
      </c>
      <c r="H9615" s="27" t="s">
        <v>35</v>
      </c>
      <c r="I9615" s="27" t="s">
        <v>38</v>
      </c>
      <c r="J9615" s="28" t="s">
        <v>913</v>
      </c>
      <c r="K9615" s="27" t="s">
        <v>38</v>
      </c>
      <c r="L9615" s="27"/>
    </row>
    <row r="9616" customFormat="false" ht="15" hidden="false" customHeight="false" outlineLevel="0" collapsed="false">
      <c r="A9616" s="26" t="s">
        <v>24145</v>
      </c>
      <c r="B9616" s="27" t="s">
        <v>24146</v>
      </c>
      <c r="C9616" s="27" t="s">
        <v>144</v>
      </c>
      <c r="D9616" s="26"/>
      <c r="E9616" s="27"/>
      <c r="F9616" s="27"/>
      <c r="G9616" s="27" t="s">
        <v>11122</v>
      </c>
      <c r="H9616" s="27" t="s">
        <v>35</v>
      </c>
      <c r="I9616" s="27" t="s">
        <v>38</v>
      </c>
      <c r="J9616" s="28" t="s">
        <v>913</v>
      </c>
      <c r="K9616" s="27" t="s">
        <v>38</v>
      </c>
      <c r="L9616" s="27"/>
    </row>
    <row r="9617" customFormat="false" ht="15" hidden="false" customHeight="false" outlineLevel="0" collapsed="false">
      <c r="A9617" s="26" t="s">
        <v>24147</v>
      </c>
      <c r="B9617" s="27" t="s">
        <v>24148</v>
      </c>
      <c r="C9617" s="27" t="s">
        <v>144</v>
      </c>
      <c r="D9617" s="26"/>
      <c r="E9617" s="27"/>
      <c r="F9617" s="27"/>
      <c r="G9617" s="27" t="s">
        <v>11122</v>
      </c>
      <c r="H9617" s="27" t="s">
        <v>35</v>
      </c>
      <c r="I9617" s="27" t="s">
        <v>38</v>
      </c>
      <c r="J9617" s="28" t="s">
        <v>913</v>
      </c>
      <c r="K9617" s="27" t="s">
        <v>38</v>
      </c>
      <c r="L9617" s="27"/>
    </row>
    <row r="9618" customFormat="false" ht="15" hidden="false" customHeight="false" outlineLevel="0" collapsed="false">
      <c r="A9618" s="26" t="s">
        <v>24149</v>
      </c>
      <c r="B9618" s="27" t="s">
        <v>24150</v>
      </c>
      <c r="C9618" s="27" t="s">
        <v>144</v>
      </c>
      <c r="D9618" s="26"/>
      <c r="E9618" s="27"/>
      <c r="F9618" s="27"/>
      <c r="G9618" s="27" t="s">
        <v>11122</v>
      </c>
      <c r="H9618" s="27" t="s">
        <v>35</v>
      </c>
      <c r="I9618" s="27" t="s">
        <v>38</v>
      </c>
      <c r="J9618" s="28" t="s">
        <v>913</v>
      </c>
      <c r="K9618" s="27" t="s">
        <v>38</v>
      </c>
      <c r="L9618" s="27"/>
    </row>
    <row r="9619" customFormat="false" ht="15" hidden="false" customHeight="false" outlineLevel="0" collapsed="false">
      <c r="A9619" s="26" t="s">
        <v>24151</v>
      </c>
      <c r="B9619" s="27" t="s">
        <v>24152</v>
      </c>
      <c r="C9619" s="27" t="s">
        <v>144</v>
      </c>
      <c r="D9619" s="26"/>
      <c r="E9619" s="27"/>
      <c r="F9619" s="27"/>
      <c r="G9619" s="27" t="s">
        <v>11122</v>
      </c>
      <c r="H9619" s="27" t="s">
        <v>35</v>
      </c>
      <c r="I9619" s="27" t="s">
        <v>38</v>
      </c>
      <c r="J9619" s="28" t="s">
        <v>913</v>
      </c>
      <c r="K9619" s="27" t="s">
        <v>38</v>
      </c>
      <c r="L9619" s="27"/>
    </row>
    <row r="9620" customFormat="false" ht="15" hidden="false" customHeight="false" outlineLevel="0" collapsed="false">
      <c r="A9620" s="26" t="s">
        <v>24153</v>
      </c>
      <c r="B9620" s="27" t="s">
        <v>24154</v>
      </c>
      <c r="C9620" s="27" t="s">
        <v>144</v>
      </c>
      <c r="D9620" s="26"/>
      <c r="E9620" s="27"/>
      <c r="F9620" s="27"/>
      <c r="G9620" s="27" t="s">
        <v>11122</v>
      </c>
      <c r="H9620" s="27" t="s">
        <v>35</v>
      </c>
      <c r="I9620" s="27" t="s">
        <v>38</v>
      </c>
      <c r="J9620" s="28" t="s">
        <v>913</v>
      </c>
      <c r="K9620" s="27" t="s">
        <v>38</v>
      </c>
      <c r="L9620" s="27"/>
    </row>
    <row r="9621" customFormat="false" ht="15" hidden="false" customHeight="false" outlineLevel="0" collapsed="false">
      <c r="A9621" s="26" t="s">
        <v>24155</v>
      </c>
      <c r="B9621" s="27" t="s">
        <v>24156</v>
      </c>
      <c r="C9621" s="27" t="s">
        <v>144</v>
      </c>
      <c r="D9621" s="26"/>
      <c r="E9621" s="27"/>
      <c r="F9621" s="27"/>
      <c r="G9621" s="27" t="s">
        <v>11122</v>
      </c>
      <c r="H9621" s="27" t="s">
        <v>35</v>
      </c>
      <c r="I9621" s="27" t="s">
        <v>38</v>
      </c>
      <c r="J9621" s="28" t="s">
        <v>913</v>
      </c>
      <c r="K9621" s="27" t="s">
        <v>38</v>
      </c>
      <c r="L9621" s="27"/>
    </row>
    <row r="9622" customFormat="false" ht="15" hidden="false" customHeight="false" outlineLevel="0" collapsed="false">
      <c r="A9622" s="26" t="s">
        <v>24157</v>
      </c>
      <c r="B9622" s="27" t="s">
        <v>24158</v>
      </c>
      <c r="C9622" s="27" t="s">
        <v>144</v>
      </c>
      <c r="D9622" s="26"/>
      <c r="E9622" s="27"/>
      <c r="F9622" s="27"/>
      <c r="G9622" s="27" t="s">
        <v>11122</v>
      </c>
      <c r="H9622" s="27" t="s">
        <v>35</v>
      </c>
      <c r="I9622" s="27" t="s">
        <v>38</v>
      </c>
      <c r="J9622" s="28" t="s">
        <v>913</v>
      </c>
      <c r="K9622" s="27" t="s">
        <v>38</v>
      </c>
      <c r="L9622" s="27"/>
    </row>
    <row r="9623" customFormat="false" ht="15" hidden="false" customHeight="false" outlineLevel="0" collapsed="false">
      <c r="A9623" s="26" t="s">
        <v>24159</v>
      </c>
      <c r="B9623" s="27" t="s">
        <v>24160</v>
      </c>
      <c r="C9623" s="27" t="s">
        <v>144</v>
      </c>
      <c r="D9623" s="26"/>
      <c r="E9623" s="27"/>
      <c r="F9623" s="27"/>
      <c r="G9623" s="27" t="s">
        <v>11122</v>
      </c>
      <c r="H9623" s="27" t="s">
        <v>35</v>
      </c>
      <c r="I9623" s="27" t="s">
        <v>38</v>
      </c>
      <c r="J9623" s="28" t="s">
        <v>913</v>
      </c>
      <c r="K9623" s="27" t="s">
        <v>38</v>
      </c>
      <c r="L9623" s="27"/>
    </row>
    <row r="9624" customFormat="false" ht="15" hidden="false" customHeight="false" outlineLevel="0" collapsed="false">
      <c r="A9624" s="26" t="s">
        <v>24161</v>
      </c>
      <c r="B9624" s="27" t="s">
        <v>24162</v>
      </c>
      <c r="C9624" s="27" t="s">
        <v>144</v>
      </c>
      <c r="D9624" s="26"/>
      <c r="E9624" s="27"/>
      <c r="F9624" s="27"/>
      <c r="G9624" s="27" t="s">
        <v>11122</v>
      </c>
      <c r="H9624" s="27" t="s">
        <v>35</v>
      </c>
      <c r="I9624" s="27" t="s">
        <v>38</v>
      </c>
      <c r="J9624" s="28" t="s">
        <v>913</v>
      </c>
      <c r="K9624" s="27" t="s">
        <v>38</v>
      </c>
      <c r="L9624" s="27"/>
    </row>
    <row r="9625" customFormat="false" ht="15" hidden="false" customHeight="false" outlineLevel="0" collapsed="false">
      <c r="A9625" s="26" t="s">
        <v>24163</v>
      </c>
      <c r="B9625" s="27" t="s">
        <v>24164</v>
      </c>
      <c r="C9625" s="27" t="s">
        <v>144</v>
      </c>
      <c r="D9625" s="26"/>
      <c r="E9625" s="27"/>
      <c r="F9625" s="27"/>
      <c r="G9625" s="27" t="s">
        <v>11122</v>
      </c>
      <c r="H9625" s="27" t="s">
        <v>35</v>
      </c>
      <c r="I9625" s="27" t="s">
        <v>38</v>
      </c>
      <c r="J9625" s="28" t="s">
        <v>913</v>
      </c>
      <c r="K9625" s="27" t="s">
        <v>38</v>
      </c>
      <c r="L9625" s="27"/>
    </row>
    <row r="9626" customFormat="false" ht="15" hidden="false" customHeight="false" outlineLevel="0" collapsed="false">
      <c r="A9626" s="26" t="s">
        <v>24165</v>
      </c>
      <c r="B9626" s="27" t="s">
        <v>24166</v>
      </c>
      <c r="C9626" s="27" t="s">
        <v>144</v>
      </c>
      <c r="D9626" s="26"/>
      <c r="E9626" s="27"/>
      <c r="F9626" s="27"/>
      <c r="G9626" s="27" t="s">
        <v>11122</v>
      </c>
      <c r="H9626" s="27" t="s">
        <v>35</v>
      </c>
      <c r="I9626" s="27" t="s">
        <v>38</v>
      </c>
      <c r="J9626" s="28" t="s">
        <v>913</v>
      </c>
      <c r="K9626" s="27" t="s">
        <v>38</v>
      </c>
      <c r="L9626" s="27"/>
    </row>
    <row r="9627" customFormat="false" ht="15" hidden="false" customHeight="false" outlineLevel="0" collapsed="false">
      <c r="A9627" s="26" t="s">
        <v>24167</v>
      </c>
      <c r="B9627" s="27" t="s">
        <v>24168</v>
      </c>
      <c r="C9627" s="27" t="s">
        <v>144</v>
      </c>
      <c r="D9627" s="26"/>
      <c r="E9627" s="27"/>
      <c r="F9627" s="27"/>
      <c r="G9627" s="27" t="s">
        <v>11122</v>
      </c>
      <c r="H9627" s="27" t="s">
        <v>35</v>
      </c>
      <c r="I9627" s="27" t="s">
        <v>38</v>
      </c>
      <c r="J9627" s="28" t="s">
        <v>913</v>
      </c>
      <c r="K9627" s="27" t="s">
        <v>38</v>
      </c>
      <c r="L9627" s="27"/>
    </row>
    <row r="9628" customFormat="false" ht="15" hidden="false" customHeight="false" outlineLevel="0" collapsed="false">
      <c r="A9628" s="26" t="s">
        <v>24169</v>
      </c>
      <c r="B9628" s="27" t="s">
        <v>24170</v>
      </c>
      <c r="C9628" s="27" t="s">
        <v>144</v>
      </c>
      <c r="D9628" s="26"/>
      <c r="E9628" s="27"/>
      <c r="F9628" s="27"/>
      <c r="G9628" s="27" t="s">
        <v>11122</v>
      </c>
      <c r="H9628" s="27" t="s">
        <v>35</v>
      </c>
      <c r="I9628" s="27" t="s">
        <v>38</v>
      </c>
      <c r="J9628" s="28" t="s">
        <v>913</v>
      </c>
      <c r="K9628" s="27" t="s">
        <v>38</v>
      </c>
      <c r="L9628" s="27"/>
    </row>
    <row r="9629" customFormat="false" ht="15" hidden="false" customHeight="false" outlineLevel="0" collapsed="false">
      <c r="A9629" s="26" t="s">
        <v>24171</v>
      </c>
      <c r="B9629" s="27" t="s">
        <v>24172</v>
      </c>
      <c r="C9629" s="27" t="s">
        <v>144</v>
      </c>
      <c r="D9629" s="26"/>
      <c r="E9629" s="27"/>
      <c r="F9629" s="27"/>
      <c r="G9629" s="27" t="s">
        <v>11122</v>
      </c>
      <c r="H9629" s="27" t="s">
        <v>35</v>
      </c>
      <c r="I9629" s="27" t="s">
        <v>38</v>
      </c>
      <c r="J9629" s="28" t="s">
        <v>913</v>
      </c>
      <c r="K9629" s="27" t="s">
        <v>38</v>
      </c>
      <c r="L9629" s="27"/>
    </row>
    <row r="9630" customFormat="false" ht="15" hidden="false" customHeight="false" outlineLevel="0" collapsed="false">
      <c r="A9630" s="26" t="s">
        <v>24173</v>
      </c>
      <c r="B9630" s="27" t="s">
        <v>24174</v>
      </c>
      <c r="C9630" s="27" t="s">
        <v>144</v>
      </c>
      <c r="D9630" s="26"/>
      <c r="E9630" s="27"/>
      <c r="F9630" s="27"/>
      <c r="G9630" s="27" t="s">
        <v>11122</v>
      </c>
      <c r="H9630" s="27" t="s">
        <v>35</v>
      </c>
      <c r="I9630" s="27" t="s">
        <v>38</v>
      </c>
      <c r="J9630" s="28" t="s">
        <v>913</v>
      </c>
      <c r="K9630" s="27" t="s">
        <v>38</v>
      </c>
      <c r="L9630" s="27"/>
    </row>
    <row r="9631" customFormat="false" ht="15" hidden="false" customHeight="false" outlineLevel="0" collapsed="false">
      <c r="A9631" s="26" t="s">
        <v>24175</v>
      </c>
      <c r="B9631" s="27" t="s">
        <v>24176</v>
      </c>
      <c r="C9631" s="27" t="s">
        <v>144</v>
      </c>
      <c r="D9631" s="26"/>
      <c r="E9631" s="27"/>
      <c r="F9631" s="27"/>
      <c r="G9631" s="27" t="s">
        <v>11122</v>
      </c>
      <c r="H9631" s="27" t="s">
        <v>35</v>
      </c>
      <c r="I9631" s="27" t="s">
        <v>38</v>
      </c>
      <c r="J9631" s="28" t="s">
        <v>913</v>
      </c>
      <c r="K9631" s="27" t="s">
        <v>38</v>
      </c>
      <c r="L9631" s="27"/>
    </row>
    <row r="9632" customFormat="false" ht="15" hidden="false" customHeight="false" outlineLevel="0" collapsed="false">
      <c r="A9632" s="26" t="s">
        <v>24177</v>
      </c>
      <c r="B9632" s="27" t="s">
        <v>24178</v>
      </c>
      <c r="C9632" s="27" t="s">
        <v>144</v>
      </c>
      <c r="D9632" s="26"/>
      <c r="E9632" s="27"/>
      <c r="F9632" s="27"/>
      <c r="G9632" s="27" t="s">
        <v>11122</v>
      </c>
      <c r="H9632" s="27" t="s">
        <v>35</v>
      </c>
      <c r="I9632" s="27" t="s">
        <v>38</v>
      </c>
      <c r="J9632" s="28" t="s">
        <v>913</v>
      </c>
      <c r="K9632" s="27" t="s">
        <v>38</v>
      </c>
      <c r="L9632" s="27"/>
    </row>
    <row r="9633" customFormat="false" ht="15" hidden="false" customHeight="false" outlineLevel="0" collapsed="false">
      <c r="A9633" s="26" t="s">
        <v>24179</v>
      </c>
      <c r="B9633" s="27" t="s">
        <v>24180</v>
      </c>
      <c r="C9633" s="27" t="s">
        <v>144</v>
      </c>
      <c r="D9633" s="26"/>
      <c r="E9633" s="27"/>
      <c r="F9633" s="27"/>
      <c r="G9633" s="27" t="s">
        <v>11122</v>
      </c>
      <c r="H9633" s="27" t="s">
        <v>35</v>
      </c>
      <c r="I9633" s="27" t="s">
        <v>38</v>
      </c>
      <c r="J9633" s="28" t="s">
        <v>913</v>
      </c>
      <c r="K9633" s="27" t="s">
        <v>38</v>
      </c>
      <c r="L9633" s="27"/>
    </row>
    <row r="9634" customFormat="false" ht="15" hidden="false" customHeight="false" outlineLevel="0" collapsed="false">
      <c r="A9634" s="26" t="s">
        <v>24181</v>
      </c>
      <c r="B9634" s="27" t="s">
        <v>24182</v>
      </c>
      <c r="C9634" s="27" t="s">
        <v>144</v>
      </c>
      <c r="D9634" s="26"/>
      <c r="E9634" s="27"/>
      <c r="F9634" s="27"/>
      <c r="G9634" s="27" t="s">
        <v>11122</v>
      </c>
      <c r="H9634" s="27" t="s">
        <v>35</v>
      </c>
      <c r="I9634" s="27" t="s">
        <v>38</v>
      </c>
      <c r="J9634" s="28" t="s">
        <v>913</v>
      </c>
      <c r="K9634" s="27" t="s">
        <v>38</v>
      </c>
      <c r="L9634" s="27"/>
    </row>
    <row r="9635" customFormat="false" ht="15" hidden="false" customHeight="false" outlineLevel="0" collapsed="false">
      <c r="A9635" s="26" t="s">
        <v>24183</v>
      </c>
      <c r="B9635" s="27" t="s">
        <v>24184</v>
      </c>
      <c r="C9635" s="27" t="s">
        <v>144</v>
      </c>
      <c r="D9635" s="26"/>
      <c r="E9635" s="27"/>
      <c r="F9635" s="27"/>
      <c r="G9635" s="27" t="s">
        <v>11122</v>
      </c>
      <c r="H9635" s="27" t="s">
        <v>35</v>
      </c>
      <c r="I9635" s="27" t="s">
        <v>38</v>
      </c>
      <c r="J9635" s="28" t="s">
        <v>913</v>
      </c>
      <c r="K9635" s="27" t="s">
        <v>38</v>
      </c>
      <c r="L9635" s="27"/>
    </row>
    <row r="9636" customFormat="false" ht="15" hidden="false" customHeight="false" outlineLevel="0" collapsed="false">
      <c r="A9636" s="26" t="s">
        <v>24185</v>
      </c>
      <c r="B9636" s="27" t="s">
        <v>24186</v>
      </c>
      <c r="C9636" s="27" t="s">
        <v>144</v>
      </c>
      <c r="D9636" s="26"/>
      <c r="E9636" s="27"/>
      <c r="F9636" s="27"/>
      <c r="G9636" s="27" t="s">
        <v>11122</v>
      </c>
      <c r="H9636" s="27" t="s">
        <v>35</v>
      </c>
      <c r="I9636" s="27" t="s">
        <v>38</v>
      </c>
      <c r="J9636" s="28" t="s">
        <v>913</v>
      </c>
      <c r="K9636" s="27" t="s">
        <v>38</v>
      </c>
      <c r="L9636" s="27"/>
    </row>
    <row r="9637" customFormat="false" ht="15" hidden="false" customHeight="false" outlineLevel="0" collapsed="false">
      <c r="A9637" s="26" t="s">
        <v>24187</v>
      </c>
      <c r="B9637" s="27" t="s">
        <v>24188</v>
      </c>
      <c r="C9637" s="27" t="s">
        <v>144</v>
      </c>
      <c r="D9637" s="26"/>
      <c r="E9637" s="27"/>
      <c r="F9637" s="27"/>
      <c r="G9637" s="27" t="s">
        <v>11122</v>
      </c>
      <c r="H9637" s="27" t="s">
        <v>35</v>
      </c>
      <c r="I9637" s="27" t="s">
        <v>38</v>
      </c>
      <c r="J9637" s="28" t="s">
        <v>913</v>
      </c>
      <c r="K9637" s="27" t="s">
        <v>38</v>
      </c>
      <c r="L9637" s="27"/>
    </row>
    <row r="9638" customFormat="false" ht="15" hidden="false" customHeight="false" outlineLevel="0" collapsed="false">
      <c r="A9638" s="26" t="s">
        <v>24189</v>
      </c>
      <c r="B9638" s="27" t="s">
        <v>24190</v>
      </c>
      <c r="C9638" s="27" t="s">
        <v>144</v>
      </c>
      <c r="D9638" s="26"/>
      <c r="E9638" s="27"/>
      <c r="F9638" s="27"/>
      <c r="G9638" s="27" t="s">
        <v>11122</v>
      </c>
      <c r="H9638" s="27" t="s">
        <v>35</v>
      </c>
      <c r="I9638" s="27" t="s">
        <v>38</v>
      </c>
      <c r="J9638" s="28" t="s">
        <v>913</v>
      </c>
      <c r="K9638" s="27" t="s">
        <v>38</v>
      </c>
      <c r="L9638" s="27"/>
    </row>
    <row r="9639" customFormat="false" ht="15" hidden="false" customHeight="false" outlineLevel="0" collapsed="false">
      <c r="A9639" s="26" t="s">
        <v>24191</v>
      </c>
      <c r="B9639" s="27" t="s">
        <v>24192</v>
      </c>
      <c r="C9639" s="27" t="s">
        <v>144</v>
      </c>
      <c r="D9639" s="26"/>
      <c r="E9639" s="27"/>
      <c r="F9639" s="27"/>
      <c r="G9639" s="27" t="s">
        <v>11122</v>
      </c>
      <c r="H9639" s="27" t="s">
        <v>35</v>
      </c>
      <c r="I9639" s="27" t="s">
        <v>41</v>
      </c>
      <c r="J9639" s="28" t="s">
        <v>913</v>
      </c>
      <c r="K9639" s="27" t="s">
        <v>38</v>
      </c>
      <c r="L9639" s="27"/>
    </row>
    <row r="9640" customFormat="false" ht="15" hidden="false" customHeight="false" outlineLevel="0" collapsed="false">
      <c r="A9640" s="26" t="s">
        <v>24193</v>
      </c>
      <c r="B9640" s="27" t="s">
        <v>24194</v>
      </c>
      <c r="C9640" s="27" t="s">
        <v>144</v>
      </c>
      <c r="D9640" s="26"/>
      <c r="E9640" s="27"/>
      <c r="F9640" s="27"/>
      <c r="G9640" s="27" t="s">
        <v>11122</v>
      </c>
      <c r="H9640" s="27" t="s">
        <v>35</v>
      </c>
      <c r="I9640" s="27" t="s">
        <v>38</v>
      </c>
      <c r="J9640" s="28" t="s">
        <v>913</v>
      </c>
      <c r="K9640" s="27" t="s">
        <v>38</v>
      </c>
      <c r="L9640" s="27"/>
    </row>
    <row r="9641" customFormat="false" ht="15" hidden="false" customHeight="false" outlineLevel="0" collapsed="false">
      <c r="A9641" s="26" t="s">
        <v>24195</v>
      </c>
      <c r="B9641" s="27" t="s">
        <v>24196</v>
      </c>
      <c r="C9641" s="27" t="s">
        <v>144</v>
      </c>
      <c r="D9641" s="26"/>
      <c r="E9641" s="27"/>
      <c r="F9641" s="27"/>
      <c r="G9641" s="27" t="s">
        <v>11122</v>
      </c>
      <c r="H9641" s="27" t="s">
        <v>35</v>
      </c>
      <c r="I9641" s="27" t="s">
        <v>41</v>
      </c>
      <c r="J9641" s="28" t="s">
        <v>913</v>
      </c>
      <c r="K9641" s="27" t="s">
        <v>38</v>
      </c>
      <c r="L9641" s="27"/>
    </row>
    <row r="9642" customFormat="false" ht="15" hidden="false" customHeight="false" outlineLevel="0" collapsed="false">
      <c r="A9642" s="26" t="s">
        <v>24197</v>
      </c>
      <c r="B9642" s="27" t="s">
        <v>24198</v>
      </c>
      <c r="C9642" s="27" t="s">
        <v>144</v>
      </c>
      <c r="D9642" s="26"/>
      <c r="E9642" s="27"/>
      <c r="F9642" s="27"/>
      <c r="G9642" s="27" t="s">
        <v>11122</v>
      </c>
      <c r="H9642" s="27" t="s">
        <v>35</v>
      </c>
      <c r="I9642" s="27" t="s">
        <v>38</v>
      </c>
      <c r="J9642" s="28" t="s">
        <v>913</v>
      </c>
      <c r="K9642" s="27" t="s">
        <v>38</v>
      </c>
      <c r="L9642" s="27"/>
    </row>
    <row r="9643" customFormat="false" ht="15" hidden="false" customHeight="false" outlineLevel="0" collapsed="false">
      <c r="A9643" s="26" t="s">
        <v>24199</v>
      </c>
      <c r="B9643" s="27" t="s">
        <v>24200</v>
      </c>
      <c r="C9643" s="27" t="s">
        <v>144</v>
      </c>
      <c r="D9643" s="26"/>
      <c r="E9643" s="27"/>
      <c r="F9643" s="27"/>
      <c r="G9643" s="27" t="s">
        <v>11122</v>
      </c>
      <c r="H9643" s="27" t="s">
        <v>35</v>
      </c>
      <c r="I9643" s="27" t="s">
        <v>38</v>
      </c>
      <c r="J9643" s="28" t="s">
        <v>913</v>
      </c>
      <c r="K9643" s="27" t="s">
        <v>38</v>
      </c>
      <c r="L9643" s="27"/>
    </row>
    <row r="9644" customFormat="false" ht="15" hidden="false" customHeight="false" outlineLevel="0" collapsed="false">
      <c r="A9644" s="26" t="s">
        <v>24201</v>
      </c>
      <c r="B9644" s="27" t="s">
        <v>24202</v>
      </c>
      <c r="C9644" s="27" t="s">
        <v>144</v>
      </c>
      <c r="D9644" s="26"/>
      <c r="E9644" s="27"/>
      <c r="F9644" s="27"/>
      <c r="G9644" s="27" t="s">
        <v>11122</v>
      </c>
      <c r="H9644" s="27" t="s">
        <v>35</v>
      </c>
      <c r="I9644" s="27" t="s">
        <v>38</v>
      </c>
      <c r="J9644" s="28" t="s">
        <v>913</v>
      </c>
      <c r="K9644" s="27" t="s">
        <v>38</v>
      </c>
      <c r="L9644" s="27"/>
    </row>
    <row r="9645" customFormat="false" ht="15" hidden="false" customHeight="false" outlineLevel="0" collapsed="false">
      <c r="A9645" s="26" t="s">
        <v>24203</v>
      </c>
      <c r="B9645" s="27" t="s">
        <v>24204</v>
      </c>
      <c r="C9645" s="27" t="s">
        <v>144</v>
      </c>
      <c r="D9645" s="26"/>
      <c r="E9645" s="27"/>
      <c r="F9645" s="27"/>
      <c r="G9645" s="27" t="s">
        <v>11122</v>
      </c>
      <c r="H9645" s="27" t="s">
        <v>35</v>
      </c>
      <c r="I9645" s="27" t="s">
        <v>38</v>
      </c>
      <c r="J9645" s="28" t="s">
        <v>913</v>
      </c>
      <c r="K9645" s="27" t="s">
        <v>38</v>
      </c>
      <c r="L9645" s="27"/>
    </row>
    <row r="9646" customFormat="false" ht="15" hidden="false" customHeight="false" outlineLevel="0" collapsed="false">
      <c r="A9646" s="26" t="s">
        <v>24205</v>
      </c>
      <c r="B9646" s="27" t="s">
        <v>24206</v>
      </c>
      <c r="C9646" s="27" t="s">
        <v>144</v>
      </c>
      <c r="D9646" s="26"/>
      <c r="E9646" s="27"/>
      <c r="F9646" s="27"/>
      <c r="G9646" s="27" t="s">
        <v>11122</v>
      </c>
      <c r="H9646" s="27" t="s">
        <v>35</v>
      </c>
      <c r="I9646" s="27" t="s">
        <v>38</v>
      </c>
      <c r="J9646" s="28" t="s">
        <v>913</v>
      </c>
      <c r="K9646" s="27" t="s">
        <v>38</v>
      </c>
      <c r="L9646" s="27"/>
    </row>
    <row r="9647" customFormat="false" ht="15" hidden="false" customHeight="false" outlineLevel="0" collapsed="false">
      <c r="A9647" s="26" t="s">
        <v>24207</v>
      </c>
      <c r="B9647" s="27" t="s">
        <v>24208</v>
      </c>
      <c r="C9647" s="27" t="s">
        <v>144</v>
      </c>
      <c r="D9647" s="26"/>
      <c r="E9647" s="27"/>
      <c r="F9647" s="27"/>
      <c r="G9647" s="27" t="s">
        <v>11122</v>
      </c>
      <c r="H9647" s="27" t="s">
        <v>35</v>
      </c>
      <c r="I9647" s="27" t="s">
        <v>38</v>
      </c>
      <c r="J9647" s="28" t="s">
        <v>913</v>
      </c>
      <c r="K9647" s="27" t="s">
        <v>38</v>
      </c>
      <c r="L9647" s="27"/>
    </row>
    <row r="9648" customFormat="false" ht="15" hidden="false" customHeight="false" outlineLevel="0" collapsed="false">
      <c r="A9648" s="26" t="s">
        <v>24209</v>
      </c>
      <c r="B9648" s="27" t="s">
        <v>24210</v>
      </c>
      <c r="C9648" s="27" t="s">
        <v>144</v>
      </c>
      <c r="D9648" s="26"/>
      <c r="E9648" s="27"/>
      <c r="F9648" s="27"/>
      <c r="G9648" s="27" t="s">
        <v>11122</v>
      </c>
      <c r="H9648" s="27" t="s">
        <v>35</v>
      </c>
      <c r="I9648" s="27" t="s">
        <v>38</v>
      </c>
      <c r="J9648" s="28" t="s">
        <v>913</v>
      </c>
      <c r="K9648" s="27" t="s">
        <v>38</v>
      </c>
      <c r="L9648" s="27"/>
    </row>
    <row r="9649" customFormat="false" ht="15" hidden="false" customHeight="false" outlineLevel="0" collapsed="false">
      <c r="A9649" s="26" t="s">
        <v>24211</v>
      </c>
      <c r="B9649" s="27" t="s">
        <v>24212</v>
      </c>
      <c r="C9649" s="27" t="s">
        <v>144</v>
      </c>
      <c r="D9649" s="26"/>
      <c r="E9649" s="27"/>
      <c r="F9649" s="27"/>
      <c r="G9649" s="27" t="s">
        <v>11122</v>
      </c>
      <c r="H9649" s="27" t="s">
        <v>35</v>
      </c>
      <c r="I9649" s="27" t="s">
        <v>38</v>
      </c>
      <c r="J9649" s="28" t="s">
        <v>913</v>
      </c>
      <c r="K9649" s="27" t="s">
        <v>38</v>
      </c>
      <c r="L9649" s="27"/>
    </row>
    <row r="9650" customFormat="false" ht="15" hidden="false" customHeight="false" outlineLevel="0" collapsed="false">
      <c r="A9650" s="26" t="s">
        <v>24213</v>
      </c>
      <c r="B9650" s="27" t="s">
        <v>24214</v>
      </c>
      <c r="C9650" s="27" t="s">
        <v>144</v>
      </c>
      <c r="D9650" s="26"/>
      <c r="E9650" s="27"/>
      <c r="F9650" s="27"/>
      <c r="G9650" s="27" t="s">
        <v>11122</v>
      </c>
      <c r="H9650" s="27" t="s">
        <v>35</v>
      </c>
      <c r="I9650" s="27" t="s">
        <v>38</v>
      </c>
      <c r="J9650" s="28" t="s">
        <v>913</v>
      </c>
      <c r="K9650" s="27" t="s">
        <v>38</v>
      </c>
      <c r="L9650" s="27"/>
    </row>
    <row r="9651" customFormat="false" ht="15" hidden="false" customHeight="false" outlineLevel="0" collapsed="false">
      <c r="A9651" s="26" t="s">
        <v>24215</v>
      </c>
      <c r="B9651" s="27" t="s">
        <v>24216</v>
      </c>
      <c r="C9651" s="27" t="s">
        <v>144</v>
      </c>
      <c r="D9651" s="26"/>
      <c r="E9651" s="27"/>
      <c r="F9651" s="27"/>
      <c r="G9651" s="27" t="s">
        <v>11122</v>
      </c>
      <c r="H9651" s="27" t="s">
        <v>35</v>
      </c>
      <c r="I9651" s="27" t="s">
        <v>38</v>
      </c>
      <c r="J9651" s="28" t="s">
        <v>913</v>
      </c>
      <c r="K9651" s="27" t="s">
        <v>38</v>
      </c>
      <c r="L9651" s="27"/>
    </row>
    <row r="9652" customFormat="false" ht="15" hidden="false" customHeight="false" outlineLevel="0" collapsed="false">
      <c r="A9652" s="26" t="s">
        <v>24217</v>
      </c>
      <c r="B9652" s="27" t="s">
        <v>24218</v>
      </c>
      <c r="C9652" s="27" t="s">
        <v>144</v>
      </c>
      <c r="D9652" s="26"/>
      <c r="E9652" s="27"/>
      <c r="F9652" s="27"/>
      <c r="G9652" s="27" t="s">
        <v>11122</v>
      </c>
      <c r="H9652" s="27" t="s">
        <v>35</v>
      </c>
      <c r="I9652" s="27" t="s">
        <v>38</v>
      </c>
      <c r="J9652" s="28" t="s">
        <v>913</v>
      </c>
      <c r="K9652" s="27" t="s">
        <v>38</v>
      </c>
      <c r="L9652" s="27"/>
    </row>
    <row r="9653" customFormat="false" ht="15" hidden="false" customHeight="false" outlineLevel="0" collapsed="false">
      <c r="A9653" s="26" t="s">
        <v>24219</v>
      </c>
      <c r="B9653" s="27" t="s">
        <v>24220</v>
      </c>
      <c r="C9653" s="27" t="s">
        <v>144</v>
      </c>
      <c r="D9653" s="26"/>
      <c r="E9653" s="27"/>
      <c r="F9653" s="27"/>
      <c r="G9653" s="27" t="s">
        <v>11122</v>
      </c>
      <c r="H9653" s="27" t="s">
        <v>35</v>
      </c>
      <c r="I9653" s="27" t="s">
        <v>38</v>
      </c>
      <c r="J9653" s="28" t="s">
        <v>913</v>
      </c>
      <c r="K9653" s="27" t="s">
        <v>38</v>
      </c>
      <c r="L9653" s="27"/>
    </row>
    <row r="9654" customFormat="false" ht="15" hidden="false" customHeight="false" outlineLevel="0" collapsed="false">
      <c r="A9654" s="26" t="s">
        <v>24221</v>
      </c>
      <c r="B9654" s="27" t="s">
        <v>24222</v>
      </c>
      <c r="C9654" s="27" t="s">
        <v>144</v>
      </c>
      <c r="D9654" s="26"/>
      <c r="E9654" s="27"/>
      <c r="F9654" s="27"/>
      <c r="G9654" s="27" t="s">
        <v>11122</v>
      </c>
      <c r="H9654" s="27" t="s">
        <v>35</v>
      </c>
      <c r="I9654" s="27" t="s">
        <v>38</v>
      </c>
      <c r="J9654" s="28" t="s">
        <v>913</v>
      </c>
      <c r="K9654" s="27" t="s">
        <v>38</v>
      </c>
      <c r="L9654" s="27"/>
    </row>
    <row r="9655" customFormat="false" ht="15" hidden="false" customHeight="false" outlineLevel="0" collapsed="false">
      <c r="A9655" s="26" t="s">
        <v>24223</v>
      </c>
      <c r="B9655" s="27" t="s">
        <v>24224</v>
      </c>
      <c r="C9655" s="27" t="s">
        <v>144</v>
      </c>
      <c r="D9655" s="26"/>
      <c r="E9655" s="27"/>
      <c r="F9655" s="27"/>
      <c r="G9655" s="27" t="s">
        <v>11122</v>
      </c>
      <c r="H9655" s="27" t="s">
        <v>35</v>
      </c>
      <c r="I9655" s="27" t="s">
        <v>41</v>
      </c>
      <c r="J9655" s="28" t="s">
        <v>913</v>
      </c>
      <c r="K9655" s="27" t="s">
        <v>38</v>
      </c>
      <c r="L9655" s="27"/>
    </row>
    <row r="9656" customFormat="false" ht="15" hidden="false" customHeight="false" outlineLevel="0" collapsed="false">
      <c r="A9656" s="26" t="s">
        <v>24225</v>
      </c>
      <c r="B9656" s="27" t="s">
        <v>24226</v>
      </c>
      <c r="C9656" s="27" t="s">
        <v>144</v>
      </c>
      <c r="D9656" s="26"/>
      <c r="E9656" s="27"/>
      <c r="F9656" s="27"/>
      <c r="G9656" s="27" t="s">
        <v>11122</v>
      </c>
      <c r="H9656" s="27" t="s">
        <v>35</v>
      </c>
      <c r="I9656" s="27" t="s">
        <v>38</v>
      </c>
      <c r="J9656" s="28" t="s">
        <v>913</v>
      </c>
      <c r="K9656" s="27" t="s">
        <v>38</v>
      </c>
      <c r="L9656" s="27"/>
    </row>
    <row r="9657" customFormat="false" ht="15" hidden="false" customHeight="false" outlineLevel="0" collapsed="false">
      <c r="A9657" s="26" t="s">
        <v>24227</v>
      </c>
      <c r="B9657" s="27" t="s">
        <v>24228</v>
      </c>
      <c r="C9657" s="27" t="s">
        <v>144</v>
      </c>
      <c r="D9657" s="26"/>
      <c r="E9657" s="27"/>
      <c r="F9657" s="27"/>
      <c r="G9657" s="27" t="s">
        <v>11122</v>
      </c>
      <c r="H9657" s="27" t="s">
        <v>35</v>
      </c>
      <c r="I9657" s="27" t="s">
        <v>38</v>
      </c>
      <c r="J9657" s="28" t="s">
        <v>913</v>
      </c>
      <c r="K9657" s="27" t="s">
        <v>38</v>
      </c>
      <c r="L9657" s="27"/>
    </row>
    <row r="9658" customFormat="false" ht="15" hidden="false" customHeight="false" outlineLevel="0" collapsed="false">
      <c r="A9658" s="26" t="s">
        <v>24229</v>
      </c>
      <c r="B9658" s="27" t="s">
        <v>24230</v>
      </c>
      <c r="C9658" s="27" t="s">
        <v>144</v>
      </c>
      <c r="D9658" s="26"/>
      <c r="E9658" s="27"/>
      <c r="F9658" s="27"/>
      <c r="G9658" s="27" t="s">
        <v>11122</v>
      </c>
      <c r="H9658" s="27" t="s">
        <v>35</v>
      </c>
      <c r="I9658" s="27" t="s">
        <v>38</v>
      </c>
      <c r="J9658" s="28" t="s">
        <v>913</v>
      </c>
      <c r="K9658" s="27" t="s">
        <v>38</v>
      </c>
      <c r="L9658" s="27"/>
    </row>
    <row r="9659" customFormat="false" ht="15" hidden="false" customHeight="false" outlineLevel="0" collapsed="false">
      <c r="A9659" s="26" t="s">
        <v>24231</v>
      </c>
      <c r="B9659" s="27" t="s">
        <v>24232</v>
      </c>
      <c r="C9659" s="27" t="s">
        <v>144</v>
      </c>
      <c r="D9659" s="26"/>
      <c r="E9659" s="27"/>
      <c r="F9659" s="27"/>
      <c r="G9659" s="27" t="s">
        <v>11122</v>
      </c>
      <c r="H9659" s="27" t="s">
        <v>35</v>
      </c>
      <c r="I9659" s="27" t="s">
        <v>38</v>
      </c>
      <c r="J9659" s="28" t="s">
        <v>913</v>
      </c>
      <c r="K9659" s="27" t="s">
        <v>38</v>
      </c>
      <c r="L9659" s="27"/>
    </row>
    <row r="9660" customFormat="false" ht="15" hidden="false" customHeight="false" outlineLevel="0" collapsed="false">
      <c r="A9660" s="26" t="s">
        <v>24233</v>
      </c>
      <c r="B9660" s="27" t="s">
        <v>24234</v>
      </c>
      <c r="C9660" s="27" t="s">
        <v>144</v>
      </c>
      <c r="D9660" s="26"/>
      <c r="E9660" s="27"/>
      <c r="F9660" s="27"/>
      <c r="G9660" s="27" t="s">
        <v>11122</v>
      </c>
      <c r="H9660" s="27" t="s">
        <v>35</v>
      </c>
      <c r="I9660" s="27" t="s">
        <v>38</v>
      </c>
      <c r="J9660" s="28" t="s">
        <v>913</v>
      </c>
      <c r="K9660" s="27" t="s">
        <v>38</v>
      </c>
      <c r="L9660" s="27"/>
    </row>
    <row r="9661" customFormat="false" ht="15" hidden="false" customHeight="false" outlineLevel="0" collapsed="false">
      <c r="A9661" s="26" t="s">
        <v>24235</v>
      </c>
      <c r="B9661" s="27" t="s">
        <v>24236</v>
      </c>
      <c r="C9661" s="27" t="s">
        <v>144</v>
      </c>
      <c r="D9661" s="26"/>
      <c r="E9661" s="27"/>
      <c r="F9661" s="27"/>
      <c r="G9661" s="27" t="s">
        <v>11122</v>
      </c>
      <c r="H9661" s="27" t="s">
        <v>35</v>
      </c>
      <c r="I9661" s="27" t="s">
        <v>37</v>
      </c>
      <c r="J9661" s="28" t="s">
        <v>913</v>
      </c>
      <c r="K9661" s="27" t="s">
        <v>38</v>
      </c>
      <c r="L9661" s="27"/>
    </row>
    <row r="9662" customFormat="false" ht="15" hidden="false" customHeight="false" outlineLevel="0" collapsed="false">
      <c r="A9662" s="26" t="s">
        <v>24237</v>
      </c>
      <c r="B9662" s="27" t="s">
        <v>24238</v>
      </c>
      <c r="C9662" s="27" t="s">
        <v>144</v>
      </c>
      <c r="D9662" s="26"/>
      <c r="E9662" s="27"/>
      <c r="F9662" s="27"/>
      <c r="G9662" s="27" t="s">
        <v>11122</v>
      </c>
      <c r="H9662" s="27" t="s">
        <v>35</v>
      </c>
      <c r="I9662" s="27" t="s">
        <v>37</v>
      </c>
      <c r="J9662" s="28" t="s">
        <v>913</v>
      </c>
      <c r="K9662" s="27" t="s">
        <v>38</v>
      </c>
      <c r="L9662" s="27"/>
    </row>
    <row r="9663" customFormat="false" ht="15" hidden="false" customHeight="false" outlineLevel="0" collapsed="false">
      <c r="A9663" s="26" t="s">
        <v>24239</v>
      </c>
      <c r="B9663" s="27" t="s">
        <v>24240</v>
      </c>
      <c r="C9663" s="27" t="s">
        <v>144</v>
      </c>
      <c r="D9663" s="26"/>
      <c r="E9663" s="27"/>
      <c r="F9663" s="27"/>
      <c r="G9663" s="27" t="s">
        <v>11122</v>
      </c>
      <c r="H9663" s="27" t="s">
        <v>35</v>
      </c>
      <c r="I9663" s="27" t="s">
        <v>38</v>
      </c>
      <c r="J9663" s="28" t="s">
        <v>913</v>
      </c>
      <c r="K9663" s="27" t="s">
        <v>38</v>
      </c>
      <c r="L9663" s="27"/>
    </row>
    <row r="9664" customFormat="false" ht="15" hidden="false" customHeight="false" outlineLevel="0" collapsed="false">
      <c r="A9664" s="26" t="s">
        <v>24241</v>
      </c>
      <c r="B9664" s="27" t="s">
        <v>24242</v>
      </c>
      <c r="C9664" s="27" t="s">
        <v>144</v>
      </c>
      <c r="D9664" s="26"/>
      <c r="E9664" s="27"/>
      <c r="F9664" s="27"/>
      <c r="G9664" s="27" t="s">
        <v>11122</v>
      </c>
      <c r="H9664" s="27" t="s">
        <v>35</v>
      </c>
      <c r="I9664" s="27" t="s">
        <v>38</v>
      </c>
      <c r="J9664" s="28" t="s">
        <v>913</v>
      </c>
      <c r="K9664" s="27" t="s">
        <v>38</v>
      </c>
      <c r="L9664" s="27"/>
    </row>
    <row r="9665" customFormat="false" ht="15" hidden="false" customHeight="false" outlineLevel="0" collapsed="false">
      <c r="A9665" s="26" t="s">
        <v>24243</v>
      </c>
      <c r="B9665" s="27" t="s">
        <v>24244</v>
      </c>
      <c r="C9665" s="27" t="s">
        <v>144</v>
      </c>
      <c r="D9665" s="26"/>
      <c r="E9665" s="27"/>
      <c r="F9665" s="27"/>
      <c r="G9665" s="27" t="s">
        <v>11122</v>
      </c>
      <c r="H9665" s="27" t="s">
        <v>35</v>
      </c>
      <c r="I9665" s="27" t="s">
        <v>38</v>
      </c>
      <c r="J9665" s="28" t="s">
        <v>913</v>
      </c>
      <c r="K9665" s="27" t="s">
        <v>38</v>
      </c>
      <c r="L9665" s="27"/>
    </row>
    <row r="9666" customFormat="false" ht="15" hidden="false" customHeight="false" outlineLevel="0" collapsed="false">
      <c r="A9666" s="26" t="s">
        <v>24245</v>
      </c>
      <c r="B9666" s="27" t="s">
        <v>24246</v>
      </c>
      <c r="C9666" s="27" t="s">
        <v>144</v>
      </c>
      <c r="D9666" s="26"/>
      <c r="E9666" s="27"/>
      <c r="F9666" s="27"/>
      <c r="G9666" s="27" t="s">
        <v>11122</v>
      </c>
      <c r="H9666" s="27" t="s">
        <v>35</v>
      </c>
      <c r="I9666" s="27" t="s">
        <v>38</v>
      </c>
      <c r="J9666" s="28" t="s">
        <v>913</v>
      </c>
      <c r="K9666" s="27" t="s">
        <v>38</v>
      </c>
      <c r="L9666" s="27"/>
    </row>
    <row r="9667" customFormat="false" ht="15" hidden="false" customHeight="false" outlineLevel="0" collapsed="false">
      <c r="A9667" s="26" t="s">
        <v>24247</v>
      </c>
      <c r="B9667" s="27" t="s">
        <v>24248</v>
      </c>
      <c r="C9667" s="27" t="s">
        <v>144</v>
      </c>
      <c r="D9667" s="26"/>
      <c r="E9667" s="27"/>
      <c r="F9667" s="27"/>
      <c r="G9667" s="27" t="s">
        <v>11122</v>
      </c>
      <c r="H9667" s="27" t="s">
        <v>35</v>
      </c>
      <c r="I9667" s="27" t="s">
        <v>38</v>
      </c>
      <c r="J9667" s="28" t="s">
        <v>913</v>
      </c>
      <c r="K9667" s="27" t="s">
        <v>38</v>
      </c>
      <c r="L9667" s="27"/>
    </row>
    <row r="9668" customFormat="false" ht="15" hidden="false" customHeight="false" outlineLevel="0" collapsed="false">
      <c r="A9668" s="26" t="s">
        <v>24249</v>
      </c>
      <c r="B9668" s="27" t="s">
        <v>24250</v>
      </c>
      <c r="C9668" s="27" t="s">
        <v>144</v>
      </c>
      <c r="D9668" s="26"/>
      <c r="E9668" s="27"/>
      <c r="F9668" s="27"/>
      <c r="G9668" s="27" t="s">
        <v>11122</v>
      </c>
      <c r="H9668" s="27" t="s">
        <v>35</v>
      </c>
      <c r="I9668" s="27" t="s">
        <v>38</v>
      </c>
      <c r="J9668" s="28" t="s">
        <v>913</v>
      </c>
      <c r="K9668" s="27" t="s">
        <v>38</v>
      </c>
      <c r="L9668" s="27"/>
    </row>
    <row r="9669" customFormat="false" ht="15" hidden="false" customHeight="false" outlineLevel="0" collapsed="false">
      <c r="A9669" s="26" t="s">
        <v>24251</v>
      </c>
      <c r="B9669" s="27" t="s">
        <v>24252</v>
      </c>
      <c r="C9669" s="27" t="s">
        <v>144</v>
      </c>
      <c r="D9669" s="26"/>
      <c r="E9669" s="27"/>
      <c r="F9669" s="27"/>
      <c r="G9669" s="27" t="s">
        <v>11122</v>
      </c>
      <c r="H9669" s="27" t="s">
        <v>35</v>
      </c>
      <c r="I9669" s="27" t="s">
        <v>38</v>
      </c>
      <c r="J9669" s="28" t="s">
        <v>913</v>
      </c>
      <c r="K9669" s="27" t="s">
        <v>38</v>
      </c>
      <c r="L9669" s="27"/>
    </row>
    <row r="9670" customFormat="false" ht="15" hidden="false" customHeight="false" outlineLevel="0" collapsed="false">
      <c r="A9670" s="26" t="s">
        <v>24253</v>
      </c>
      <c r="B9670" s="27" t="s">
        <v>24254</v>
      </c>
      <c r="C9670" s="27" t="s">
        <v>144</v>
      </c>
      <c r="D9670" s="26"/>
      <c r="E9670" s="27"/>
      <c r="F9670" s="27"/>
      <c r="G9670" s="27" t="s">
        <v>11122</v>
      </c>
      <c r="H9670" s="27" t="s">
        <v>35</v>
      </c>
      <c r="I9670" s="27" t="s">
        <v>38</v>
      </c>
      <c r="J9670" s="28" t="s">
        <v>913</v>
      </c>
      <c r="K9670" s="27" t="s">
        <v>38</v>
      </c>
      <c r="L9670" s="27"/>
    </row>
    <row r="9671" customFormat="false" ht="15" hidden="false" customHeight="false" outlineLevel="0" collapsed="false">
      <c r="A9671" s="26" t="s">
        <v>24255</v>
      </c>
      <c r="B9671" s="27" t="s">
        <v>24256</v>
      </c>
      <c r="C9671" s="27" t="s">
        <v>144</v>
      </c>
      <c r="D9671" s="26"/>
      <c r="E9671" s="27"/>
      <c r="F9671" s="27"/>
      <c r="G9671" s="27" t="s">
        <v>11122</v>
      </c>
      <c r="H9671" s="27" t="s">
        <v>35</v>
      </c>
      <c r="I9671" s="27" t="s">
        <v>38</v>
      </c>
      <c r="J9671" s="28" t="s">
        <v>913</v>
      </c>
      <c r="K9671" s="27" t="s">
        <v>38</v>
      </c>
      <c r="L9671" s="27"/>
    </row>
    <row r="9672" customFormat="false" ht="15" hidden="false" customHeight="false" outlineLevel="0" collapsed="false">
      <c r="A9672" s="26" t="s">
        <v>24257</v>
      </c>
      <c r="B9672" s="27" t="s">
        <v>24258</v>
      </c>
      <c r="C9672" s="27" t="s">
        <v>144</v>
      </c>
      <c r="D9672" s="26"/>
      <c r="E9672" s="27"/>
      <c r="F9672" s="27"/>
      <c r="G9672" s="27" t="s">
        <v>11122</v>
      </c>
      <c r="H9672" s="27" t="s">
        <v>35</v>
      </c>
      <c r="I9672" s="27" t="s">
        <v>38</v>
      </c>
      <c r="J9672" s="28" t="s">
        <v>913</v>
      </c>
      <c r="K9672" s="27" t="s">
        <v>38</v>
      </c>
      <c r="L9672" s="27"/>
    </row>
    <row r="9673" customFormat="false" ht="15" hidden="false" customHeight="false" outlineLevel="0" collapsed="false">
      <c r="A9673" s="26" t="s">
        <v>24259</v>
      </c>
      <c r="B9673" s="27" t="s">
        <v>24260</v>
      </c>
      <c r="C9673" s="27" t="s">
        <v>144</v>
      </c>
      <c r="D9673" s="26"/>
      <c r="E9673" s="27"/>
      <c r="F9673" s="27"/>
      <c r="G9673" s="27" t="s">
        <v>11122</v>
      </c>
      <c r="H9673" s="27" t="s">
        <v>35</v>
      </c>
      <c r="I9673" s="27" t="s">
        <v>38</v>
      </c>
      <c r="J9673" s="28" t="s">
        <v>913</v>
      </c>
      <c r="K9673" s="27" t="s">
        <v>38</v>
      </c>
      <c r="L9673" s="27"/>
    </row>
    <row r="9674" customFormat="false" ht="15" hidden="false" customHeight="false" outlineLevel="0" collapsed="false">
      <c r="A9674" s="26" t="s">
        <v>24261</v>
      </c>
      <c r="B9674" s="27" t="s">
        <v>24262</v>
      </c>
      <c r="C9674" s="27" t="s">
        <v>144</v>
      </c>
      <c r="D9674" s="26"/>
      <c r="E9674" s="27"/>
      <c r="F9674" s="27"/>
      <c r="G9674" s="27" t="s">
        <v>11122</v>
      </c>
      <c r="H9674" s="27" t="s">
        <v>35</v>
      </c>
      <c r="I9674" s="27" t="s">
        <v>38</v>
      </c>
      <c r="J9674" s="28" t="s">
        <v>913</v>
      </c>
      <c r="K9674" s="27" t="s">
        <v>38</v>
      </c>
      <c r="L9674" s="27"/>
    </row>
    <row r="9675" customFormat="false" ht="15" hidden="false" customHeight="false" outlineLevel="0" collapsed="false">
      <c r="A9675" s="26" t="s">
        <v>24263</v>
      </c>
      <c r="B9675" s="27" t="s">
        <v>24264</v>
      </c>
      <c r="C9675" s="27" t="s">
        <v>144</v>
      </c>
      <c r="D9675" s="26"/>
      <c r="E9675" s="27"/>
      <c r="F9675" s="27"/>
      <c r="G9675" s="27" t="s">
        <v>11122</v>
      </c>
      <c r="H9675" s="27" t="s">
        <v>35</v>
      </c>
      <c r="I9675" s="27" t="s">
        <v>38</v>
      </c>
      <c r="J9675" s="28" t="s">
        <v>913</v>
      </c>
      <c r="K9675" s="27" t="s">
        <v>38</v>
      </c>
      <c r="L9675" s="27"/>
    </row>
    <row r="9676" customFormat="false" ht="15" hidden="false" customHeight="false" outlineLevel="0" collapsed="false">
      <c r="A9676" s="26" t="s">
        <v>24265</v>
      </c>
      <c r="B9676" s="27" t="s">
        <v>24266</v>
      </c>
      <c r="C9676" s="27" t="s">
        <v>144</v>
      </c>
      <c r="D9676" s="26"/>
      <c r="E9676" s="27"/>
      <c r="F9676" s="27"/>
      <c r="G9676" s="27" t="s">
        <v>11122</v>
      </c>
      <c r="H9676" s="27" t="s">
        <v>35</v>
      </c>
      <c r="I9676" s="27" t="s">
        <v>38</v>
      </c>
      <c r="J9676" s="28" t="s">
        <v>913</v>
      </c>
      <c r="K9676" s="27" t="s">
        <v>38</v>
      </c>
      <c r="L9676" s="27"/>
    </row>
    <row r="9677" customFormat="false" ht="15" hidden="false" customHeight="false" outlineLevel="0" collapsed="false">
      <c r="A9677" s="26" t="s">
        <v>24267</v>
      </c>
      <c r="B9677" s="27" t="s">
        <v>24268</v>
      </c>
      <c r="C9677" s="27" t="s">
        <v>144</v>
      </c>
      <c r="D9677" s="26"/>
      <c r="E9677" s="27"/>
      <c r="F9677" s="27"/>
      <c r="G9677" s="27" t="s">
        <v>11122</v>
      </c>
      <c r="H9677" s="27" t="s">
        <v>35</v>
      </c>
      <c r="I9677" s="27" t="s">
        <v>38</v>
      </c>
      <c r="J9677" s="28" t="s">
        <v>913</v>
      </c>
      <c r="K9677" s="27" t="s">
        <v>38</v>
      </c>
      <c r="L9677" s="27"/>
    </row>
    <row r="9678" customFormat="false" ht="15" hidden="false" customHeight="false" outlineLevel="0" collapsed="false">
      <c r="A9678" s="26" t="s">
        <v>24269</v>
      </c>
      <c r="B9678" s="27" t="s">
        <v>24270</v>
      </c>
      <c r="C9678" s="27" t="s">
        <v>144</v>
      </c>
      <c r="D9678" s="26"/>
      <c r="E9678" s="27"/>
      <c r="F9678" s="27"/>
      <c r="G9678" s="27" t="s">
        <v>11122</v>
      </c>
      <c r="H9678" s="27" t="s">
        <v>35</v>
      </c>
      <c r="I9678" s="27" t="s">
        <v>38</v>
      </c>
      <c r="J9678" s="28" t="s">
        <v>913</v>
      </c>
      <c r="K9678" s="27" t="s">
        <v>38</v>
      </c>
      <c r="L9678" s="27"/>
    </row>
    <row r="9679" customFormat="false" ht="15" hidden="false" customHeight="false" outlineLevel="0" collapsed="false">
      <c r="A9679" s="26" t="s">
        <v>24271</v>
      </c>
      <c r="B9679" s="27" t="s">
        <v>24272</v>
      </c>
      <c r="C9679" s="27" t="s">
        <v>144</v>
      </c>
      <c r="D9679" s="26"/>
      <c r="E9679" s="27"/>
      <c r="F9679" s="27"/>
      <c r="G9679" s="27" t="s">
        <v>11122</v>
      </c>
      <c r="H9679" s="27" t="s">
        <v>35</v>
      </c>
      <c r="I9679" s="27" t="s">
        <v>38</v>
      </c>
      <c r="J9679" s="28" t="s">
        <v>913</v>
      </c>
      <c r="K9679" s="27" t="s">
        <v>38</v>
      </c>
      <c r="L9679" s="27"/>
    </row>
    <row r="9680" customFormat="false" ht="15" hidden="false" customHeight="false" outlineLevel="0" collapsed="false">
      <c r="A9680" s="26" t="s">
        <v>24273</v>
      </c>
      <c r="B9680" s="27" t="s">
        <v>24274</v>
      </c>
      <c r="C9680" s="27" t="s">
        <v>144</v>
      </c>
      <c r="D9680" s="26"/>
      <c r="E9680" s="27"/>
      <c r="F9680" s="27"/>
      <c r="G9680" s="27" t="s">
        <v>11122</v>
      </c>
      <c r="H9680" s="27" t="s">
        <v>35</v>
      </c>
      <c r="I9680" s="27" t="s">
        <v>38</v>
      </c>
      <c r="J9680" s="28" t="s">
        <v>913</v>
      </c>
      <c r="K9680" s="27" t="s">
        <v>38</v>
      </c>
      <c r="L9680" s="27"/>
    </row>
    <row r="9681" customFormat="false" ht="15" hidden="false" customHeight="false" outlineLevel="0" collapsed="false">
      <c r="A9681" s="26" t="s">
        <v>24275</v>
      </c>
      <c r="B9681" s="27" t="s">
        <v>24276</v>
      </c>
      <c r="C9681" s="27" t="s">
        <v>144</v>
      </c>
      <c r="D9681" s="26"/>
      <c r="E9681" s="27"/>
      <c r="F9681" s="27"/>
      <c r="G9681" s="27" t="s">
        <v>11122</v>
      </c>
      <c r="H9681" s="27" t="s">
        <v>35</v>
      </c>
      <c r="I9681" s="27" t="s">
        <v>38</v>
      </c>
      <c r="J9681" s="28" t="s">
        <v>913</v>
      </c>
      <c r="K9681" s="27" t="s">
        <v>38</v>
      </c>
      <c r="L9681" s="27"/>
    </row>
    <row r="9682" customFormat="false" ht="15" hidden="false" customHeight="false" outlineLevel="0" collapsed="false">
      <c r="A9682" s="26" t="s">
        <v>24277</v>
      </c>
      <c r="B9682" s="27" t="s">
        <v>24278</v>
      </c>
      <c r="C9682" s="27" t="s">
        <v>144</v>
      </c>
      <c r="D9682" s="26"/>
      <c r="E9682" s="27"/>
      <c r="F9682" s="27"/>
      <c r="G9682" s="27" t="s">
        <v>11122</v>
      </c>
      <c r="H9682" s="27" t="s">
        <v>35</v>
      </c>
      <c r="I9682" s="27" t="s">
        <v>38</v>
      </c>
      <c r="J9682" s="28" t="s">
        <v>913</v>
      </c>
      <c r="K9682" s="27" t="s">
        <v>38</v>
      </c>
      <c r="L9682" s="27"/>
    </row>
    <row r="9683" customFormat="false" ht="15" hidden="false" customHeight="false" outlineLevel="0" collapsed="false">
      <c r="A9683" s="26" t="s">
        <v>24279</v>
      </c>
      <c r="B9683" s="27" t="s">
        <v>24280</v>
      </c>
      <c r="C9683" s="27" t="s">
        <v>144</v>
      </c>
      <c r="D9683" s="26"/>
      <c r="E9683" s="27"/>
      <c r="F9683" s="27"/>
      <c r="G9683" s="27" t="s">
        <v>11122</v>
      </c>
      <c r="H9683" s="27" t="s">
        <v>35</v>
      </c>
      <c r="I9683" s="27" t="s">
        <v>38</v>
      </c>
      <c r="J9683" s="28" t="s">
        <v>913</v>
      </c>
      <c r="K9683" s="27" t="s">
        <v>38</v>
      </c>
      <c r="L9683" s="27"/>
    </row>
    <row r="9684" customFormat="false" ht="15" hidden="false" customHeight="false" outlineLevel="0" collapsed="false">
      <c r="A9684" s="26" t="s">
        <v>24281</v>
      </c>
      <c r="B9684" s="27" t="s">
        <v>24282</v>
      </c>
      <c r="C9684" s="27" t="s">
        <v>144</v>
      </c>
      <c r="D9684" s="26"/>
      <c r="E9684" s="27"/>
      <c r="F9684" s="27"/>
      <c r="G9684" s="27" t="s">
        <v>11122</v>
      </c>
      <c r="H9684" s="27" t="s">
        <v>35</v>
      </c>
      <c r="I9684" s="27" t="s">
        <v>38</v>
      </c>
      <c r="J9684" s="28" t="s">
        <v>913</v>
      </c>
      <c r="K9684" s="27" t="s">
        <v>38</v>
      </c>
      <c r="L9684" s="27"/>
    </row>
    <row r="9685" customFormat="false" ht="15" hidden="false" customHeight="false" outlineLevel="0" collapsed="false">
      <c r="A9685" s="26" t="s">
        <v>24283</v>
      </c>
      <c r="B9685" s="27" t="s">
        <v>24284</v>
      </c>
      <c r="C9685" s="27" t="s">
        <v>144</v>
      </c>
      <c r="D9685" s="26"/>
      <c r="E9685" s="27"/>
      <c r="F9685" s="27"/>
      <c r="G9685" s="27" t="s">
        <v>11122</v>
      </c>
      <c r="H9685" s="27" t="s">
        <v>35</v>
      </c>
      <c r="I9685" s="28" t="s">
        <v>50</v>
      </c>
      <c r="J9685" s="28" t="s">
        <v>913</v>
      </c>
      <c r="K9685" s="27" t="s">
        <v>38</v>
      </c>
      <c r="L9685" s="27"/>
    </row>
    <row r="9686" customFormat="false" ht="15" hidden="false" customHeight="false" outlineLevel="0" collapsed="false">
      <c r="A9686" s="26" t="s">
        <v>24285</v>
      </c>
      <c r="B9686" s="27" t="s">
        <v>24286</v>
      </c>
      <c r="C9686" s="27" t="s">
        <v>144</v>
      </c>
      <c r="D9686" s="26"/>
      <c r="E9686" s="27"/>
      <c r="F9686" s="27"/>
      <c r="G9686" s="27" t="s">
        <v>11122</v>
      </c>
      <c r="H9686" s="27" t="s">
        <v>35</v>
      </c>
      <c r="I9686" s="27" t="s">
        <v>38</v>
      </c>
      <c r="J9686" s="28" t="s">
        <v>913</v>
      </c>
      <c r="K9686" s="27" t="s">
        <v>38</v>
      </c>
      <c r="L9686" s="27"/>
    </row>
    <row r="9687" customFormat="false" ht="15" hidden="false" customHeight="false" outlineLevel="0" collapsed="false">
      <c r="A9687" s="26" t="s">
        <v>24287</v>
      </c>
      <c r="B9687" s="27" t="s">
        <v>24288</v>
      </c>
      <c r="C9687" s="27" t="s">
        <v>144</v>
      </c>
      <c r="D9687" s="26"/>
      <c r="E9687" s="27"/>
      <c r="F9687" s="27"/>
      <c r="G9687" s="27" t="s">
        <v>11122</v>
      </c>
      <c r="H9687" s="27" t="s">
        <v>35</v>
      </c>
      <c r="I9687" s="27" t="s">
        <v>38</v>
      </c>
      <c r="J9687" s="28" t="s">
        <v>913</v>
      </c>
      <c r="K9687" s="27" t="s">
        <v>38</v>
      </c>
      <c r="L9687" s="27"/>
    </row>
    <row r="9688" customFormat="false" ht="15" hidden="false" customHeight="false" outlineLevel="0" collapsed="false">
      <c r="A9688" s="26" t="s">
        <v>24289</v>
      </c>
      <c r="B9688" s="27" t="s">
        <v>24290</v>
      </c>
      <c r="C9688" s="27" t="s">
        <v>144</v>
      </c>
      <c r="D9688" s="26"/>
      <c r="E9688" s="27"/>
      <c r="F9688" s="27"/>
      <c r="G9688" s="27" t="s">
        <v>11122</v>
      </c>
      <c r="H9688" s="27" t="s">
        <v>35</v>
      </c>
      <c r="I9688" s="27" t="s">
        <v>38</v>
      </c>
      <c r="J9688" s="28" t="s">
        <v>913</v>
      </c>
      <c r="K9688" s="27" t="s">
        <v>38</v>
      </c>
      <c r="L9688" s="27"/>
    </row>
    <row r="9689" customFormat="false" ht="15" hidden="false" customHeight="false" outlineLevel="0" collapsed="false">
      <c r="A9689" s="26" t="s">
        <v>24291</v>
      </c>
      <c r="B9689" s="27" t="s">
        <v>24292</v>
      </c>
      <c r="C9689" s="27" t="s">
        <v>144</v>
      </c>
      <c r="D9689" s="26"/>
      <c r="E9689" s="27"/>
      <c r="F9689" s="27"/>
      <c r="G9689" s="27" t="s">
        <v>11122</v>
      </c>
      <c r="H9689" s="27" t="s">
        <v>35</v>
      </c>
      <c r="I9689" s="27" t="s">
        <v>38</v>
      </c>
      <c r="J9689" s="28" t="s">
        <v>913</v>
      </c>
      <c r="K9689" s="27" t="s">
        <v>38</v>
      </c>
      <c r="L9689" s="27"/>
    </row>
    <row r="9690" customFormat="false" ht="15" hidden="false" customHeight="false" outlineLevel="0" collapsed="false">
      <c r="A9690" s="26" t="s">
        <v>24293</v>
      </c>
      <c r="B9690" s="27" t="s">
        <v>24294</v>
      </c>
      <c r="C9690" s="27" t="s">
        <v>144</v>
      </c>
      <c r="D9690" s="26"/>
      <c r="E9690" s="27"/>
      <c r="F9690" s="27"/>
      <c r="G9690" s="27" t="s">
        <v>11122</v>
      </c>
      <c r="H9690" s="27" t="s">
        <v>35</v>
      </c>
      <c r="I9690" s="27" t="s">
        <v>39</v>
      </c>
      <c r="J9690" s="28" t="s">
        <v>913</v>
      </c>
      <c r="K9690" s="27" t="s">
        <v>38</v>
      </c>
      <c r="L9690" s="27"/>
    </row>
    <row r="9691" customFormat="false" ht="15" hidden="false" customHeight="false" outlineLevel="0" collapsed="false">
      <c r="A9691" s="26" t="s">
        <v>24295</v>
      </c>
      <c r="B9691" s="27" t="s">
        <v>24296</v>
      </c>
      <c r="C9691" s="27" t="s">
        <v>144</v>
      </c>
      <c r="D9691" s="26"/>
      <c r="E9691" s="27"/>
      <c r="F9691" s="27"/>
      <c r="G9691" s="27" t="s">
        <v>11122</v>
      </c>
      <c r="H9691" s="27" t="s">
        <v>35</v>
      </c>
      <c r="I9691" s="27" t="s">
        <v>38</v>
      </c>
      <c r="J9691" s="28" t="s">
        <v>913</v>
      </c>
      <c r="K9691" s="27" t="s">
        <v>38</v>
      </c>
      <c r="L9691" s="27"/>
    </row>
    <row r="9692" customFormat="false" ht="15" hidden="false" customHeight="false" outlineLevel="0" collapsed="false">
      <c r="A9692" s="26" t="s">
        <v>24297</v>
      </c>
      <c r="B9692" s="27" t="s">
        <v>24298</v>
      </c>
      <c r="C9692" s="27" t="s">
        <v>144</v>
      </c>
      <c r="D9692" s="26"/>
      <c r="E9692" s="27"/>
      <c r="F9692" s="27"/>
      <c r="G9692" s="27" t="s">
        <v>11122</v>
      </c>
      <c r="H9692" s="27" t="s">
        <v>35</v>
      </c>
      <c r="I9692" s="27" t="s">
        <v>41</v>
      </c>
      <c r="J9692" s="28" t="s">
        <v>913</v>
      </c>
      <c r="K9692" s="27" t="s">
        <v>38</v>
      </c>
      <c r="L9692" s="27"/>
    </row>
    <row r="9693" customFormat="false" ht="15" hidden="false" customHeight="false" outlineLevel="0" collapsed="false">
      <c r="A9693" s="26" t="s">
        <v>24299</v>
      </c>
      <c r="B9693" s="27" t="s">
        <v>24300</v>
      </c>
      <c r="C9693" s="27" t="s">
        <v>144</v>
      </c>
      <c r="D9693" s="26"/>
      <c r="E9693" s="27"/>
      <c r="F9693" s="27"/>
      <c r="G9693" s="27" t="s">
        <v>11122</v>
      </c>
      <c r="H9693" s="27" t="s">
        <v>35</v>
      </c>
      <c r="I9693" s="27" t="s">
        <v>38</v>
      </c>
      <c r="J9693" s="28" t="s">
        <v>913</v>
      </c>
      <c r="K9693" s="27" t="s">
        <v>38</v>
      </c>
      <c r="L9693" s="27"/>
    </row>
    <row r="9694" customFormat="false" ht="15" hidden="false" customHeight="false" outlineLevel="0" collapsed="false">
      <c r="A9694" s="26" t="s">
        <v>24301</v>
      </c>
      <c r="B9694" s="27" t="s">
        <v>24302</v>
      </c>
      <c r="C9694" s="27" t="s">
        <v>144</v>
      </c>
      <c r="D9694" s="26"/>
      <c r="E9694" s="27"/>
      <c r="F9694" s="27"/>
      <c r="G9694" s="27" t="s">
        <v>11122</v>
      </c>
      <c r="H9694" s="27" t="s">
        <v>35</v>
      </c>
      <c r="I9694" s="27" t="s">
        <v>38</v>
      </c>
      <c r="J9694" s="28" t="s">
        <v>913</v>
      </c>
      <c r="K9694" s="27" t="s">
        <v>38</v>
      </c>
      <c r="L9694" s="27"/>
    </row>
    <row r="9695" customFormat="false" ht="15" hidden="false" customHeight="false" outlineLevel="0" collapsed="false">
      <c r="A9695" s="26" t="s">
        <v>24303</v>
      </c>
      <c r="B9695" s="27" t="s">
        <v>24304</v>
      </c>
      <c r="C9695" s="27" t="s">
        <v>144</v>
      </c>
      <c r="D9695" s="26"/>
      <c r="E9695" s="27"/>
      <c r="F9695" s="27"/>
      <c r="G9695" s="27" t="s">
        <v>11122</v>
      </c>
      <c r="H9695" s="27" t="s">
        <v>35</v>
      </c>
      <c r="I9695" s="27" t="s">
        <v>38</v>
      </c>
      <c r="J9695" s="28" t="s">
        <v>913</v>
      </c>
      <c r="K9695" s="27" t="s">
        <v>38</v>
      </c>
      <c r="L9695" s="27"/>
    </row>
    <row r="9696" customFormat="false" ht="15" hidden="false" customHeight="false" outlineLevel="0" collapsed="false">
      <c r="A9696" s="26" t="s">
        <v>24305</v>
      </c>
      <c r="B9696" s="27" t="s">
        <v>24306</v>
      </c>
      <c r="C9696" s="27" t="s">
        <v>144</v>
      </c>
      <c r="D9696" s="26"/>
      <c r="E9696" s="27"/>
      <c r="F9696" s="27"/>
      <c r="G9696" s="27" t="s">
        <v>11122</v>
      </c>
      <c r="H9696" s="27" t="s">
        <v>35</v>
      </c>
      <c r="I9696" s="27" t="s">
        <v>38</v>
      </c>
      <c r="J9696" s="28" t="s">
        <v>913</v>
      </c>
      <c r="K9696" s="27" t="s">
        <v>38</v>
      </c>
      <c r="L9696" s="27"/>
    </row>
    <row r="9697" customFormat="false" ht="15" hidden="false" customHeight="false" outlineLevel="0" collapsed="false">
      <c r="A9697" s="26" t="s">
        <v>24307</v>
      </c>
      <c r="B9697" s="27" t="s">
        <v>24308</v>
      </c>
      <c r="C9697" s="27" t="s">
        <v>144</v>
      </c>
      <c r="D9697" s="26"/>
      <c r="E9697" s="27"/>
      <c r="F9697" s="27"/>
      <c r="G9697" s="27" t="s">
        <v>11122</v>
      </c>
      <c r="H9697" s="27" t="s">
        <v>35</v>
      </c>
      <c r="I9697" s="27" t="s">
        <v>38</v>
      </c>
      <c r="J9697" s="28" t="s">
        <v>913</v>
      </c>
      <c r="K9697" s="27" t="s">
        <v>38</v>
      </c>
      <c r="L9697" s="27"/>
    </row>
    <row r="9698" customFormat="false" ht="15" hidden="false" customHeight="false" outlineLevel="0" collapsed="false">
      <c r="A9698" s="26" t="s">
        <v>24309</v>
      </c>
      <c r="B9698" s="27" t="s">
        <v>24310</v>
      </c>
      <c r="C9698" s="27" t="s">
        <v>144</v>
      </c>
      <c r="D9698" s="26"/>
      <c r="E9698" s="27"/>
      <c r="F9698" s="27"/>
      <c r="G9698" s="27" t="s">
        <v>11122</v>
      </c>
      <c r="H9698" s="27" t="s">
        <v>35</v>
      </c>
      <c r="I9698" s="27" t="s">
        <v>38</v>
      </c>
      <c r="J9698" s="28" t="s">
        <v>913</v>
      </c>
      <c r="K9698" s="27" t="s">
        <v>38</v>
      </c>
      <c r="L9698" s="27"/>
    </row>
    <row r="9699" customFormat="false" ht="15" hidden="false" customHeight="false" outlineLevel="0" collapsed="false">
      <c r="A9699" s="26" t="s">
        <v>24311</v>
      </c>
      <c r="B9699" s="27" t="s">
        <v>24312</v>
      </c>
      <c r="C9699" s="27" t="s">
        <v>144</v>
      </c>
      <c r="D9699" s="26"/>
      <c r="E9699" s="27"/>
      <c r="F9699" s="27"/>
      <c r="G9699" s="27" t="s">
        <v>11122</v>
      </c>
      <c r="H9699" s="27" t="s">
        <v>35</v>
      </c>
      <c r="I9699" s="27" t="s">
        <v>38</v>
      </c>
      <c r="J9699" s="28" t="s">
        <v>913</v>
      </c>
      <c r="K9699" s="27" t="s">
        <v>38</v>
      </c>
      <c r="L9699" s="27"/>
    </row>
    <row r="9700" customFormat="false" ht="15" hidden="false" customHeight="false" outlineLevel="0" collapsed="false">
      <c r="A9700" s="26" t="s">
        <v>24313</v>
      </c>
      <c r="B9700" s="27" t="s">
        <v>24314</v>
      </c>
      <c r="C9700" s="27" t="s">
        <v>144</v>
      </c>
      <c r="D9700" s="26"/>
      <c r="E9700" s="27"/>
      <c r="F9700" s="27"/>
      <c r="G9700" s="27" t="s">
        <v>11122</v>
      </c>
      <c r="H9700" s="27" t="s">
        <v>35</v>
      </c>
      <c r="I9700" s="27" t="s">
        <v>38</v>
      </c>
      <c r="J9700" s="28" t="s">
        <v>913</v>
      </c>
      <c r="K9700" s="27" t="s">
        <v>38</v>
      </c>
      <c r="L9700" s="27"/>
    </row>
    <row r="9701" customFormat="false" ht="15" hidden="false" customHeight="false" outlineLevel="0" collapsed="false">
      <c r="A9701" s="26" t="s">
        <v>24315</v>
      </c>
      <c r="B9701" s="27" t="s">
        <v>24316</v>
      </c>
      <c r="C9701" s="27" t="s">
        <v>144</v>
      </c>
      <c r="D9701" s="26"/>
      <c r="E9701" s="27"/>
      <c r="F9701" s="27"/>
      <c r="G9701" s="27" t="s">
        <v>11122</v>
      </c>
      <c r="H9701" s="27" t="s">
        <v>35</v>
      </c>
      <c r="I9701" s="27" t="s">
        <v>38</v>
      </c>
      <c r="J9701" s="28" t="s">
        <v>913</v>
      </c>
      <c r="K9701" s="27" t="s">
        <v>38</v>
      </c>
      <c r="L9701" s="27"/>
    </row>
    <row r="9702" customFormat="false" ht="15" hidden="false" customHeight="false" outlineLevel="0" collapsed="false">
      <c r="A9702" s="26" t="s">
        <v>24317</v>
      </c>
      <c r="B9702" s="27" t="s">
        <v>24318</v>
      </c>
      <c r="C9702" s="27" t="s">
        <v>144</v>
      </c>
      <c r="D9702" s="26"/>
      <c r="E9702" s="27"/>
      <c r="F9702" s="27"/>
      <c r="G9702" s="27" t="s">
        <v>11122</v>
      </c>
      <c r="H9702" s="27" t="s">
        <v>35</v>
      </c>
      <c r="I9702" s="27" t="s">
        <v>38</v>
      </c>
      <c r="J9702" s="28" t="s">
        <v>913</v>
      </c>
      <c r="K9702" s="27" t="s">
        <v>38</v>
      </c>
      <c r="L9702" s="27"/>
    </row>
    <row r="9703" customFormat="false" ht="15" hidden="false" customHeight="false" outlineLevel="0" collapsed="false">
      <c r="A9703" s="26" t="s">
        <v>24319</v>
      </c>
      <c r="B9703" s="27" t="s">
        <v>24320</v>
      </c>
      <c r="C9703" s="27" t="s">
        <v>144</v>
      </c>
      <c r="D9703" s="26"/>
      <c r="E9703" s="27"/>
      <c r="F9703" s="27"/>
      <c r="G9703" s="27" t="s">
        <v>11122</v>
      </c>
      <c r="H9703" s="27" t="s">
        <v>35</v>
      </c>
      <c r="I9703" s="27" t="s">
        <v>38</v>
      </c>
      <c r="J9703" s="28" t="s">
        <v>913</v>
      </c>
      <c r="K9703" s="27" t="s">
        <v>38</v>
      </c>
      <c r="L9703" s="27"/>
    </row>
    <row r="9704" customFormat="false" ht="15" hidden="false" customHeight="false" outlineLevel="0" collapsed="false">
      <c r="A9704" s="26" t="s">
        <v>24321</v>
      </c>
      <c r="B9704" s="27" t="s">
        <v>24322</v>
      </c>
      <c r="C9704" s="27" t="s">
        <v>144</v>
      </c>
      <c r="D9704" s="26"/>
      <c r="E9704" s="27"/>
      <c r="F9704" s="27"/>
      <c r="G9704" s="27" t="s">
        <v>11122</v>
      </c>
      <c r="H9704" s="27" t="s">
        <v>35</v>
      </c>
      <c r="I9704" s="27" t="s">
        <v>38</v>
      </c>
      <c r="J9704" s="28" t="s">
        <v>913</v>
      </c>
      <c r="K9704" s="27" t="s">
        <v>38</v>
      </c>
      <c r="L9704" s="27"/>
    </row>
    <row r="9705" customFormat="false" ht="15" hidden="false" customHeight="false" outlineLevel="0" collapsed="false">
      <c r="A9705" s="26" t="s">
        <v>24323</v>
      </c>
      <c r="B9705" s="27" t="s">
        <v>24324</v>
      </c>
      <c r="C9705" s="27" t="s">
        <v>144</v>
      </c>
      <c r="D9705" s="26"/>
      <c r="E9705" s="27"/>
      <c r="F9705" s="27"/>
      <c r="G9705" s="27" t="s">
        <v>11122</v>
      </c>
      <c r="H9705" s="27" t="s">
        <v>35</v>
      </c>
      <c r="I9705" s="27" t="s">
        <v>38</v>
      </c>
      <c r="J9705" s="28" t="s">
        <v>913</v>
      </c>
      <c r="K9705" s="27" t="s">
        <v>38</v>
      </c>
      <c r="L9705" s="27"/>
    </row>
    <row r="9706" customFormat="false" ht="15" hidden="false" customHeight="false" outlineLevel="0" collapsed="false">
      <c r="A9706" s="26" t="s">
        <v>24325</v>
      </c>
      <c r="B9706" s="27" t="s">
        <v>24326</v>
      </c>
      <c r="C9706" s="27" t="s">
        <v>144</v>
      </c>
      <c r="D9706" s="26"/>
      <c r="E9706" s="27"/>
      <c r="F9706" s="27"/>
      <c r="G9706" s="27" t="s">
        <v>11122</v>
      </c>
      <c r="H9706" s="27" t="s">
        <v>35</v>
      </c>
      <c r="I9706" s="27" t="s">
        <v>47</v>
      </c>
      <c r="J9706" s="28" t="s">
        <v>913</v>
      </c>
      <c r="K9706" s="27" t="s">
        <v>38</v>
      </c>
      <c r="L9706" s="27"/>
    </row>
    <row r="9707" customFormat="false" ht="15" hidden="false" customHeight="false" outlineLevel="0" collapsed="false">
      <c r="A9707" s="26" t="s">
        <v>24327</v>
      </c>
      <c r="B9707" s="27" t="s">
        <v>24328</v>
      </c>
      <c r="C9707" s="27" t="s">
        <v>144</v>
      </c>
      <c r="D9707" s="26"/>
      <c r="E9707" s="27"/>
      <c r="F9707" s="27"/>
      <c r="G9707" s="27" t="s">
        <v>11122</v>
      </c>
      <c r="H9707" s="27" t="s">
        <v>35</v>
      </c>
      <c r="I9707" s="27" t="s">
        <v>38</v>
      </c>
      <c r="J9707" s="28" t="s">
        <v>913</v>
      </c>
      <c r="K9707" s="27" t="s">
        <v>38</v>
      </c>
      <c r="L9707" s="27"/>
    </row>
    <row r="9708" customFormat="false" ht="15" hidden="false" customHeight="false" outlineLevel="0" collapsed="false">
      <c r="A9708" s="26" t="s">
        <v>24329</v>
      </c>
      <c r="B9708" s="27" t="s">
        <v>24330</v>
      </c>
      <c r="C9708" s="27" t="s">
        <v>144</v>
      </c>
      <c r="D9708" s="26"/>
      <c r="E9708" s="27"/>
      <c r="F9708" s="27"/>
      <c r="G9708" s="27" t="s">
        <v>11122</v>
      </c>
      <c r="H9708" s="27" t="s">
        <v>35</v>
      </c>
      <c r="I9708" s="28" t="s">
        <v>50</v>
      </c>
      <c r="J9708" s="28" t="s">
        <v>913</v>
      </c>
      <c r="K9708" s="27" t="s">
        <v>38</v>
      </c>
      <c r="L9708" s="27"/>
    </row>
    <row r="9709" customFormat="false" ht="15" hidden="false" customHeight="false" outlineLevel="0" collapsed="false">
      <c r="A9709" s="26" t="s">
        <v>24331</v>
      </c>
      <c r="B9709" s="27" t="s">
        <v>24332</v>
      </c>
      <c r="C9709" s="27" t="s">
        <v>144</v>
      </c>
      <c r="D9709" s="26"/>
      <c r="E9709" s="27"/>
      <c r="F9709" s="27"/>
      <c r="G9709" s="27" t="s">
        <v>11122</v>
      </c>
      <c r="H9709" s="27" t="s">
        <v>35</v>
      </c>
      <c r="I9709" s="27" t="s">
        <v>47</v>
      </c>
      <c r="J9709" s="28" t="s">
        <v>913</v>
      </c>
      <c r="K9709" s="27" t="s">
        <v>38</v>
      </c>
      <c r="L9709" s="27"/>
    </row>
    <row r="9710" customFormat="false" ht="15" hidden="false" customHeight="false" outlineLevel="0" collapsed="false">
      <c r="A9710" s="26" t="s">
        <v>24333</v>
      </c>
      <c r="B9710" s="27" t="s">
        <v>24334</v>
      </c>
      <c r="C9710" s="27" t="s">
        <v>144</v>
      </c>
      <c r="D9710" s="26"/>
      <c r="E9710" s="27"/>
      <c r="F9710" s="27"/>
      <c r="G9710" s="27" t="s">
        <v>11122</v>
      </c>
      <c r="H9710" s="27" t="s">
        <v>35</v>
      </c>
      <c r="I9710" s="27" t="s">
        <v>47</v>
      </c>
      <c r="J9710" s="28" t="s">
        <v>913</v>
      </c>
      <c r="K9710" s="27" t="s">
        <v>38</v>
      </c>
      <c r="L9710" s="27"/>
    </row>
    <row r="9711" customFormat="false" ht="15" hidden="false" customHeight="false" outlineLevel="0" collapsed="false">
      <c r="A9711" s="26" t="s">
        <v>24335</v>
      </c>
      <c r="B9711" s="27" t="s">
        <v>24336</v>
      </c>
      <c r="C9711" s="27" t="s">
        <v>144</v>
      </c>
      <c r="D9711" s="26"/>
      <c r="E9711" s="27"/>
      <c r="F9711" s="27"/>
      <c r="G9711" s="27" t="s">
        <v>11122</v>
      </c>
      <c r="H9711" s="27" t="s">
        <v>35</v>
      </c>
      <c r="I9711" s="27" t="s">
        <v>41</v>
      </c>
      <c r="J9711" s="28" t="s">
        <v>913</v>
      </c>
      <c r="K9711" s="27" t="s">
        <v>38</v>
      </c>
      <c r="L9711" s="27"/>
    </row>
    <row r="9712" customFormat="false" ht="15" hidden="false" customHeight="false" outlineLevel="0" collapsed="false">
      <c r="A9712" s="26" t="s">
        <v>24337</v>
      </c>
      <c r="B9712" s="27" t="s">
        <v>24338</v>
      </c>
      <c r="C9712" s="27" t="s">
        <v>144</v>
      </c>
      <c r="D9712" s="26"/>
      <c r="E9712" s="27"/>
      <c r="F9712" s="27"/>
      <c r="G9712" s="27" t="s">
        <v>11122</v>
      </c>
      <c r="H9712" s="27" t="s">
        <v>35</v>
      </c>
      <c r="I9712" s="27" t="s">
        <v>37</v>
      </c>
      <c r="J9712" s="28" t="s">
        <v>913</v>
      </c>
      <c r="K9712" s="27" t="s">
        <v>38</v>
      </c>
      <c r="L9712" s="27"/>
    </row>
    <row r="9713" customFormat="false" ht="15" hidden="false" customHeight="false" outlineLevel="0" collapsed="false">
      <c r="A9713" s="26" t="s">
        <v>24339</v>
      </c>
      <c r="B9713" s="27" t="s">
        <v>24340</v>
      </c>
      <c r="C9713" s="27" t="s">
        <v>144</v>
      </c>
      <c r="D9713" s="26"/>
      <c r="E9713" s="27"/>
      <c r="F9713" s="27"/>
      <c r="G9713" s="27" t="s">
        <v>11122</v>
      </c>
      <c r="H9713" s="27" t="s">
        <v>35</v>
      </c>
      <c r="I9713" s="27" t="s">
        <v>38</v>
      </c>
      <c r="J9713" s="28" t="s">
        <v>913</v>
      </c>
      <c r="K9713" s="27" t="s">
        <v>38</v>
      </c>
      <c r="L9713" s="27"/>
    </row>
    <row r="9714" customFormat="false" ht="15" hidden="false" customHeight="false" outlineLevel="0" collapsed="false">
      <c r="A9714" s="26" t="s">
        <v>24341</v>
      </c>
      <c r="B9714" s="27" t="s">
        <v>24342</v>
      </c>
      <c r="C9714" s="27" t="s">
        <v>144</v>
      </c>
      <c r="D9714" s="26"/>
      <c r="E9714" s="27"/>
      <c r="F9714" s="27"/>
      <c r="G9714" s="27" t="s">
        <v>11122</v>
      </c>
      <c r="H9714" s="27" t="s">
        <v>35</v>
      </c>
      <c r="I9714" s="27" t="s">
        <v>37</v>
      </c>
      <c r="J9714" s="28" t="s">
        <v>913</v>
      </c>
      <c r="K9714" s="27" t="s">
        <v>38</v>
      </c>
      <c r="L9714" s="27"/>
    </row>
    <row r="9715" customFormat="false" ht="15" hidden="false" customHeight="false" outlineLevel="0" collapsed="false">
      <c r="A9715" s="26" t="s">
        <v>24343</v>
      </c>
      <c r="B9715" s="27" t="s">
        <v>24344</v>
      </c>
      <c r="C9715" s="27" t="s">
        <v>144</v>
      </c>
      <c r="D9715" s="26"/>
      <c r="E9715" s="27"/>
      <c r="F9715" s="27"/>
      <c r="G9715" s="27" t="s">
        <v>11122</v>
      </c>
      <c r="H9715" s="27" t="s">
        <v>35</v>
      </c>
      <c r="I9715" s="27" t="s">
        <v>37</v>
      </c>
      <c r="J9715" s="28" t="s">
        <v>913</v>
      </c>
      <c r="K9715" s="27" t="s">
        <v>38</v>
      </c>
      <c r="L9715" s="27"/>
    </row>
    <row r="9716" customFormat="false" ht="15" hidden="false" customHeight="false" outlineLevel="0" collapsed="false">
      <c r="A9716" s="26" t="s">
        <v>24345</v>
      </c>
      <c r="B9716" s="27" t="s">
        <v>24346</v>
      </c>
      <c r="C9716" s="27" t="s">
        <v>144</v>
      </c>
      <c r="D9716" s="26"/>
      <c r="E9716" s="27"/>
      <c r="F9716" s="27"/>
      <c r="G9716" s="27" t="s">
        <v>11122</v>
      </c>
      <c r="H9716" s="27" t="s">
        <v>35</v>
      </c>
      <c r="I9716" s="27" t="s">
        <v>37</v>
      </c>
      <c r="J9716" s="28" t="s">
        <v>913</v>
      </c>
      <c r="K9716" s="27" t="s">
        <v>38</v>
      </c>
      <c r="L9716" s="27"/>
    </row>
    <row r="9717" customFormat="false" ht="15" hidden="false" customHeight="false" outlineLevel="0" collapsed="false">
      <c r="A9717" s="26" t="s">
        <v>24347</v>
      </c>
      <c r="B9717" s="27" t="s">
        <v>24348</v>
      </c>
      <c r="C9717" s="27" t="s">
        <v>144</v>
      </c>
      <c r="D9717" s="26"/>
      <c r="E9717" s="27"/>
      <c r="F9717" s="27"/>
      <c r="G9717" s="27" t="s">
        <v>11122</v>
      </c>
      <c r="H9717" s="27" t="s">
        <v>35</v>
      </c>
      <c r="I9717" s="27" t="s">
        <v>37</v>
      </c>
      <c r="J9717" s="28" t="s">
        <v>913</v>
      </c>
      <c r="K9717" s="27" t="s">
        <v>38</v>
      </c>
      <c r="L9717" s="27"/>
    </row>
    <row r="9718" customFormat="false" ht="15" hidden="false" customHeight="false" outlineLevel="0" collapsed="false">
      <c r="A9718" s="26" t="s">
        <v>24349</v>
      </c>
      <c r="B9718" s="27" t="s">
        <v>24350</v>
      </c>
      <c r="C9718" s="27" t="s">
        <v>144</v>
      </c>
      <c r="D9718" s="26"/>
      <c r="E9718" s="27"/>
      <c r="F9718" s="27"/>
      <c r="G9718" s="27" t="s">
        <v>11122</v>
      </c>
      <c r="H9718" s="27" t="s">
        <v>35</v>
      </c>
      <c r="I9718" s="27" t="s">
        <v>37</v>
      </c>
      <c r="J9718" s="28" t="s">
        <v>913</v>
      </c>
      <c r="K9718" s="27" t="s">
        <v>38</v>
      </c>
      <c r="L9718" s="27"/>
    </row>
    <row r="9719" customFormat="false" ht="15" hidden="false" customHeight="false" outlineLevel="0" collapsed="false">
      <c r="A9719" s="26" t="s">
        <v>24351</v>
      </c>
      <c r="B9719" s="27" t="s">
        <v>24352</v>
      </c>
      <c r="C9719" s="27" t="s">
        <v>144</v>
      </c>
      <c r="D9719" s="26"/>
      <c r="E9719" s="27"/>
      <c r="F9719" s="27"/>
      <c r="G9719" s="27" t="s">
        <v>11122</v>
      </c>
      <c r="H9719" s="27" t="s">
        <v>35</v>
      </c>
      <c r="I9719" s="27" t="s">
        <v>38</v>
      </c>
      <c r="J9719" s="28" t="s">
        <v>913</v>
      </c>
      <c r="K9719" s="27" t="s">
        <v>38</v>
      </c>
      <c r="L9719" s="27"/>
    </row>
    <row r="9720" customFormat="false" ht="15" hidden="false" customHeight="false" outlineLevel="0" collapsed="false">
      <c r="A9720" s="26" t="s">
        <v>24353</v>
      </c>
      <c r="B9720" s="27" t="s">
        <v>24354</v>
      </c>
      <c r="C9720" s="27" t="s">
        <v>144</v>
      </c>
      <c r="D9720" s="26"/>
      <c r="E9720" s="27"/>
      <c r="F9720" s="27"/>
      <c r="G9720" s="27" t="s">
        <v>11122</v>
      </c>
      <c r="H9720" s="27" t="s">
        <v>35</v>
      </c>
      <c r="I9720" s="27" t="s">
        <v>38</v>
      </c>
      <c r="J9720" s="28" t="s">
        <v>913</v>
      </c>
      <c r="K9720" s="27" t="s">
        <v>38</v>
      </c>
      <c r="L9720" s="27"/>
    </row>
    <row r="9721" customFormat="false" ht="15" hidden="false" customHeight="false" outlineLevel="0" collapsed="false">
      <c r="A9721" s="26" t="s">
        <v>24355</v>
      </c>
      <c r="B9721" s="27" t="s">
        <v>24356</v>
      </c>
      <c r="C9721" s="27" t="s">
        <v>144</v>
      </c>
      <c r="D9721" s="26"/>
      <c r="E9721" s="27"/>
      <c r="F9721" s="27"/>
      <c r="G9721" s="27" t="s">
        <v>11122</v>
      </c>
      <c r="H9721" s="27" t="s">
        <v>35</v>
      </c>
      <c r="I9721" s="27" t="s">
        <v>38</v>
      </c>
      <c r="J9721" s="28" t="s">
        <v>913</v>
      </c>
      <c r="K9721" s="27" t="s">
        <v>38</v>
      </c>
      <c r="L9721" s="27"/>
    </row>
    <row r="9722" customFormat="false" ht="15" hidden="false" customHeight="false" outlineLevel="0" collapsed="false">
      <c r="A9722" s="26" t="s">
        <v>24357</v>
      </c>
      <c r="B9722" s="27" t="s">
        <v>24358</v>
      </c>
      <c r="C9722" s="27" t="s">
        <v>144</v>
      </c>
      <c r="D9722" s="26"/>
      <c r="E9722" s="27"/>
      <c r="F9722" s="27"/>
      <c r="G9722" s="27" t="s">
        <v>11122</v>
      </c>
      <c r="H9722" s="27" t="s">
        <v>35</v>
      </c>
      <c r="I9722" s="27" t="s">
        <v>39</v>
      </c>
      <c r="J9722" s="28" t="s">
        <v>913</v>
      </c>
      <c r="K9722" s="27" t="s">
        <v>38</v>
      </c>
      <c r="L9722" s="27"/>
    </row>
    <row r="9723" customFormat="false" ht="15" hidden="false" customHeight="false" outlineLevel="0" collapsed="false">
      <c r="A9723" s="26" t="s">
        <v>24359</v>
      </c>
      <c r="B9723" s="27" t="s">
        <v>24360</v>
      </c>
      <c r="C9723" s="27" t="s">
        <v>144</v>
      </c>
      <c r="D9723" s="26"/>
      <c r="E9723" s="27"/>
      <c r="F9723" s="27"/>
      <c r="G9723" s="27" t="s">
        <v>11122</v>
      </c>
      <c r="H9723" s="27" t="s">
        <v>35</v>
      </c>
      <c r="I9723" s="27" t="s">
        <v>38</v>
      </c>
      <c r="J9723" s="28" t="s">
        <v>913</v>
      </c>
      <c r="K9723" s="27" t="s">
        <v>38</v>
      </c>
      <c r="L9723" s="27"/>
    </row>
    <row r="9724" customFormat="false" ht="15" hidden="false" customHeight="false" outlineLevel="0" collapsed="false">
      <c r="A9724" s="26" t="s">
        <v>24361</v>
      </c>
      <c r="B9724" s="27" t="s">
        <v>24362</v>
      </c>
      <c r="C9724" s="27" t="s">
        <v>144</v>
      </c>
      <c r="D9724" s="26"/>
      <c r="E9724" s="27"/>
      <c r="F9724" s="27"/>
      <c r="G9724" s="27" t="s">
        <v>11122</v>
      </c>
      <c r="H9724" s="27" t="s">
        <v>35</v>
      </c>
      <c r="I9724" s="27" t="s">
        <v>38</v>
      </c>
      <c r="J9724" s="28" t="s">
        <v>913</v>
      </c>
      <c r="K9724" s="27" t="s">
        <v>38</v>
      </c>
      <c r="L9724" s="27"/>
    </row>
    <row r="9725" customFormat="false" ht="15" hidden="false" customHeight="false" outlineLevel="0" collapsed="false">
      <c r="A9725" s="26" t="s">
        <v>24363</v>
      </c>
      <c r="B9725" s="27" t="s">
        <v>24364</v>
      </c>
      <c r="C9725" s="27" t="s">
        <v>144</v>
      </c>
      <c r="D9725" s="26"/>
      <c r="E9725" s="27"/>
      <c r="F9725" s="27"/>
      <c r="G9725" s="27" t="s">
        <v>11122</v>
      </c>
      <c r="H9725" s="27" t="s">
        <v>35</v>
      </c>
      <c r="I9725" s="27" t="s">
        <v>38</v>
      </c>
      <c r="J9725" s="28" t="s">
        <v>913</v>
      </c>
      <c r="K9725" s="27" t="s">
        <v>38</v>
      </c>
      <c r="L9725" s="27"/>
    </row>
    <row r="9726" customFormat="false" ht="15" hidden="false" customHeight="false" outlineLevel="0" collapsed="false">
      <c r="A9726" s="26" t="s">
        <v>24365</v>
      </c>
      <c r="B9726" s="27" t="s">
        <v>24366</v>
      </c>
      <c r="C9726" s="27" t="s">
        <v>144</v>
      </c>
      <c r="D9726" s="26"/>
      <c r="E9726" s="27"/>
      <c r="F9726" s="27"/>
      <c r="G9726" s="27" t="s">
        <v>11122</v>
      </c>
      <c r="H9726" s="27" t="s">
        <v>35</v>
      </c>
      <c r="I9726" s="27" t="s">
        <v>38</v>
      </c>
      <c r="J9726" s="28" t="s">
        <v>913</v>
      </c>
      <c r="K9726" s="27" t="s">
        <v>38</v>
      </c>
      <c r="L9726" s="27"/>
    </row>
    <row r="9727" customFormat="false" ht="15" hidden="false" customHeight="false" outlineLevel="0" collapsed="false">
      <c r="A9727" s="26" t="s">
        <v>24367</v>
      </c>
      <c r="B9727" s="27" t="s">
        <v>24368</v>
      </c>
      <c r="C9727" s="27" t="s">
        <v>144</v>
      </c>
      <c r="D9727" s="26"/>
      <c r="E9727" s="27"/>
      <c r="F9727" s="27"/>
      <c r="G9727" s="27" t="s">
        <v>11122</v>
      </c>
      <c r="H9727" s="27" t="s">
        <v>35</v>
      </c>
      <c r="I9727" s="27" t="s">
        <v>38</v>
      </c>
      <c r="J9727" s="28" t="s">
        <v>913</v>
      </c>
      <c r="K9727" s="27" t="s">
        <v>38</v>
      </c>
      <c r="L9727" s="27"/>
    </row>
    <row r="9728" customFormat="false" ht="15" hidden="false" customHeight="false" outlineLevel="0" collapsed="false">
      <c r="A9728" s="26" t="s">
        <v>24369</v>
      </c>
      <c r="B9728" s="27" t="s">
        <v>24370</v>
      </c>
      <c r="C9728" s="27" t="s">
        <v>144</v>
      </c>
      <c r="D9728" s="26"/>
      <c r="E9728" s="27"/>
      <c r="F9728" s="27"/>
      <c r="G9728" s="27" t="s">
        <v>11122</v>
      </c>
      <c r="H9728" s="27" t="s">
        <v>35</v>
      </c>
      <c r="I9728" s="27" t="s">
        <v>38</v>
      </c>
      <c r="J9728" s="28" t="s">
        <v>913</v>
      </c>
      <c r="K9728" s="27" t="s">
        <v>38</v>
      </c>
      <c r="L9728" s="27"/>
    </row>
    <row r="9729" customFormat="false" ht="15" hidden="false" customHeight="false" outlineLevel="0" collapsed="false">
      <c r="A9729" s="26" t="s">
        <v>24371</v>
      </c>
      <c r="B9729" s="27" t="s">
        <v>24372</v>
      </c>
      <c r="C9729" s="27" t="s">
        <v>144</v>
      </c>
      <c r="D9729" s="26"/>
      <c r="E9729" s="27"/>
      <c r="F9729" s="27"/>
      <c r="G9729" s="27" t="s">
        <v>11122</v>
      </c>
      <c r="H9729" s="27" t="s">
        <v>35</v>
      </c>
      <c r="I9729" s="27" t="s">
        <v>38</v>
      </c>
      <c r="J9729" s="28" t="s">
        <v>913</v>
      </c>
      <c r="K9729" s="27" t="s">
        <v>38</v>
      </c>
      <c r="L9729" s="27"/>
    </row>
    <row r="9730" customFormat="false" ht="15" hidden="false" customHeight="false" outlineLevel="0" collapsed="false">
      <c r="A9730" s="26" t="s">
        <v>24373</v>
      </c>
      <c r="B9730" s="27" t="s">
        <v>24374</v>
      </c>
      <c r="C9730" s="27" t="s">
        <v>144</v>
      </c>
      <c r="D9730" s="26"/>
      <c r="E9730" s="27"/>
      <c r="F9730" s="27"/>
      <c r="G9730" s="27" t="s">
        <v>11122</v>
      </c>
      <c r="H9730" s="27" t="s">
        <v>35</v>
      </c>
      <c r="I9730" s="27" t="s">
        <v>38</v>
      </c>
      <c r="J9730" s="28" t="s">
        <v>913</v>
      </c>
      <c r="K9730" s="27" t="s">
        <v>38</v>
      </c>
      <c r="L9730" s="27"/>
    </row>
    <row r="9731" customFormat="false" ht="15" hidden="false" customHeight="false" outlineLevel="0" collapsed="false">
      <c r="A9731" s="26" t="s">
        <v>24375</v>
      </c>
      <c r="B9731" s="27" t="s">
        <v>24376</v>
      </c>
      <c r="C9731" s="27" t="s">
        <v>144</v>
      </c>
      <c r="D9731" s="26"/>
      <c r="E9731" s="27"/>
      <c r="F9731" s="27"/>
      <c r="G9731" s="27" t="s">
        <v>11122</v>
      </c>
      <c r="H9731" s="27" t="s">
        <v>35</v>
      </c>
      <c r="I9731" s="27" t="s">
        <v>38</v>
      </c>
      <c r="J9731" s="28" t="s">
        <v>913</v>
      </c>
      <c r="K9731" s="27" t="s">
        <v>38</v>
      </c>
      <c r="L9731" s="27"/>
    </row>
    <row r="9732" customFormat="false" ht="15" hidden="false" customHeight="false" outlineLevel="0" collapsed="false">
      <c r="A9732" s="26" t="s">
        <v>24377</v>
      </c>
      <c r="B9732" s="27" t="s">
        <v>24378</v>
      </c>
      <c r="C9732" s="27" t="s">
        <v>144</v>
      </c>
      <c r="D9732" s="26"/>
      <c r="E9732" s="27"/>
      <c r="F9732" s="27"/>
      <c r="G9732" s="27" t="s">
        <v>11122</v>
      </c>
      <c r="H9732" s="27" t="s">
        <v>35</v>
      </c>
      <c r="I9732" s="27" t="s">
        <v>4159</v>
      </c>
      <c r="J9732" s="28" t="s">
        <v>913</v>
      </c>
      <c r="K9732" s="27" t="s">
        <v>38</v>
      </c>
      <c r="L9732" s="27"/>
    </row>
    <row r="9733" customFormat="false" ht="15" hidden="false" customHeight="false" outlineLevel="0" collapsed="false">
      <c r="A9733" s="26" t="s">
        <v>24379</v>
      </c>
      <c r="B9733" s="27" t="s">
        <v>24380</v>
      </c>
      <c r="C9733" s="27" t="s">
        <v>144</v>
      </c>
      <c r="D9733" s="26"/>
      <c r="E9733" s="27"/>
      <c r="F9733" s="27"/>
      <c r="G9733" s="27" t="s">
        <v>11122</v>
      </c>
      <c r="H9733" s="27" t="s">
        <v>35</v>
      </c>
      <c r="I9733" s="27" t="s">
        <v>38</v>
      </c>
      <c r="J9733" s="28" t="s">
        <v>913</v>
      </c>
      <c r="K9733" s="27" t="s">
        <v>38</v>
      </c>
      <c r="L9733" s="27"/>
    </row>
    <row r="9734" customFormat="false" ht="15" hidden="false" customHeight="false" outlineLevel="0" collapsed="false">
      <c r="A9734" s="26" t="s">
        <v>24381</v>
      </c>
      <c r="B9734" s="27" t="s">
        <v>24382</v>
      </c>
      <c r="C9734" s="27" t="s">
        <v>144</v>
      </c>
      <c r="D9734" s="26"/>
      <c r="E9734" s="27"/>
      <c r="F9734" s="27"/>
      <c r="G9734" s="27" t="s">
        <v>11122</v>
      </c>
      <c r="H9734" s="27" t="s">
        <v>35</v>
      </c>
      <c r="I9734" s="27" t="s">
        <v>38</v>
      </c>
      <c r="J9734" s="28" t="s">
        <v>913</v>
      </c>
      <c r="K9734" s="27" t="s">
        <v>38</v>
      </c>
      <c r="L9734" s="27"/>
    </row>
    <row r="9735" customFormat="false" ht="15" hidden="false" customHeight="false" outlineLevel="0" collapsed="false">
      <c r="A9735" s="26" t="s">
        <v>24383</v>
      </c>
      <c r="B9735" s="27" t="s">
        <v>24384</v>
      </c>
      <c r="C9735" s="27" t="s">
        <v>144</v>
      </c>
      <c r="D9735" s="26"/>
      <c r="E9735" s="27"/>
      <c r="F9735" s="27"/>
      <c r="G9735" s="27" t="s">
        <v>11122</v>
      </c>
      <c r="H9735" s="27" t="s">
        <v>35</v>
      </c>
      <c r="I9735" s="27" t="s">
        <v>38</v>
      </c>
      <c r="J9735" s="28" t="s">
        <v>913</v>
      </c>
      <c r="K9735" s="27" t="s">
        <v>38</v>
      </c>
      <c r="L9735" s="27"/>
    </row>
    <row r="9736" customFormat="false" ht="15" hidden="false" customHeight="false" outlineLevel="0" collapsed="false">
      <c r="A9736" s="26" t="s">
        <v>24385</v>
      </c>
      <c r="B9736" s="27" t="s">
        <v>24386</v>
      </c>
      <c r="C9736" s="27" t="s">
        <v>144</v>
      </c>
      <c r="D9736" s="26"/>
      <c r="E9736" s="27"/>
      <c r="F9736" s="27"/>
      <c r="G9736" s="27" t="s">
        <v>11122</v>
      </c>
      <c r="H9736" s="27" t="s">
        <v>35</v>
      </c>
      <c r="I9736" s="27" t="s">
        <v>38</v>
      </c>
      <c r="J9736" s="28" t="s">
        <v>913</v>
      </c>
      <c r="K9736" s="27" t="s">
        <v>38</v>
      </c>
      <c r="L9736" s="27"/>
    </row>
    <row r="9737" customFormat="false" ht="15" hidden="false" customHeight="false" outlineLevel="0" collapsed="false">
      <c r="A9737" s="26" t="s">
        <v>24387</v>
      </c>
      <c r="B9737" s="27" t="s">
        <v>24388</v>
      </c>
      <c r="C9737" s="27" t="s">
        <v>144</v>
      </c>
      <c r="D9737" s="26"/>
      <c r="E9737" s="27"/>
      <c r="F9737" s="27"/>
      <c r="G9737" s="27" t="s">
        <v>11122</v>
      </c>
      <c r="H9737" s="27" t="s">
        <v>35</v>
      </c>
      <c r="I9737" s="27" t="s">
        <v>38</v>
      </c>
      <c r="J9737" s="28" t="s">
        <v>913</v>
      </c>
      <c r="K9737" s="27" t="s">
        <v>38</v>
      </c>
      <c r="L9737" s="27"/>
    </row>
    <row r="9738" customFormat="false" ht="15" hidden="false" customHeight="false" outlineLevel="0" collapsed="false">
      <c r="A9738" s="26" t="s">
        <v>24389</v>
      </c>
      <c r="B9738" s="27" t="s">
        <v>24390</v>
      </c>
      <c r="C9738" s="27" t="s">
        <v>144</v>
      </c>
      <c r="D9738" s="26"/>
      <c r="E9738" s="27"/>
      <c r="F9738" s="27"/>
      <c r="G9738" s="27" t="s">
        <v>11122</v>
      </c>
      <c r="H9738" s="27" t="s">
        <v>35</v>
      </c>
      <c r="I9738" s="27" t="s">
        <v>38</v>
      </c>
      <c r="J9738" s="28" t="s">
        <v>913</v>
      </c>
      <c r="K9738" s="27" t="s">
        <v>38</v>
      </c>
      <c r="L9738" s="27"/>
    </row>
    <row r="9739" customFormat="false" ht="15" hidden="false" customHeight="false" outlineLevel="0" collapsed="false">
      <c r="A9739" s="26" t="s">
        <v>24391</v>
      </c>
      <c r="B9739" s="27" t="s">
        <v>24392</v>
      </c>
      <c r="C9739" s="27" t="s">
        <v>144</v>
      </c>
      <c r="D9739" s="26"/>
      <c r="E9739" s="27"/>
      <c r="F9739" s="27"/>
      <c r="G9739" s="27" t="s">
        <v>11122</v>
      </c>
      <c r="H9739" s="27" t="s">
        <v>35</v>
      </c>
      <c r="I9739" s="27" t="s">
        <v>4159</v>
      </c>
      <c r="J9739" s="28" t="s">
        <v>913</v>
      </c>
      <c r="K9739" s="27" t="s">
        <v>38</v>
      </c>
      <c r="L9739" s="27"/>
    </row>
    <row r="9740" customFormat="false" ht="15" hidden="false" customHeight="false" outlineLevel="0" collapsed="false">
      <c r="A9740" s="26" t="s">
        <v>24393</v>
      </c>
      <c r="B9740" s="27" t="s">
        <v>24394</v>
      </c>
      <c r="C9740" s="27" t="s">
        <v>144</v>
      </c>
      <c r="D9740" s="26"/>
      <c r="E9740" s="27"/>
      <c r="F9740" s="27"/>
      <c r="G9740" s="27" t="s">
        <v>11122</v>
      </c>
      <c r="H9740" s="27" t="s">
        <v>35</v>
      </c>
      <c r="I9740" s="27" t="s">
        <v>38</v>
      </c>
      <c r="J9740" s="28" t="s">
        <v>913</v>
      </c>
      <c r="K9740" s="27" t="s">
        <v>38</v>
      </c>
      <c r="L9740" s="27"/>
    </row>
    <row r="9741" customFormat="false" ht="15" hidden="false" customHeight="false" outlineLevel="0" collapsed="false">
      <c r="A9741" s="26" t="s">
        <v>24395</v>
      </c>
      <c r="B9741" s="27" t="s">
        <v>24396</v>
      </c>
      <c r="C9741" s="27" t="s">
        <v>144</v>
      </c>
      <c r="D9741" s="26"/>
      <c r="E9741" s="27"/>
      <c r="F9741" s="27"/>
      <c r="G9741" s="27" t="s">
        <v>11122</v>
      </c>
      <c r="H9741" s="27" t="s">
        <v>35</v>
      </c>
      <c r="I9741" s="27" t="s">
        <v>39</v>
      </c>
      <c r="J9741" s="28" t="s">
        <v>913</v>
      </c>
      <c r="K9741" s="27" t="s">
        <v>38</v>
      </c>
      <c r="L9741" s="27"/>
    </row>
    <row r="9742" customFormat="false" ht="15" hidden="false" customHeight="false" outlineLevel="0" collapsed="false">
      <c r="A9742" s="26" t="s">
        <v>24397</v>
      </c>
      <c r="B9742" s="27" t="s">
        <v>24398</v>
      </c>
      <c r="C9742" s="27" t="s">
        <v>144</v>
      </c>
      <c r="D9742" s="26"/>
      <c r="E9742" s="27"/>
      <c r="F9742" s="27"/>
      <c r="G9742" s="27" t="s">
        <v>11122</v>
      </c>
      <c r="H9742" s="27" t="s">
        <v>35</v>
      </c>
      <c r="I9742" s="27" t="s">
        <v>38</v>
      </c>
      <c r="J9742" s="28" t="s">
        <v>913</v>
      </c>
      <c r="K9742" s="27" t="s">
        <v>38</v>
      </c>
      <c r="L9742" s="27"/>
    </row>
    <row r="9743" customFormat="false" ht="15" hidden="false" customHeight="false" outlineLevel="0" collapsed="false">
      <c r="A9743" s="26" t="s">
        <v>24399</v>
      </c>
      <c r="B9743" s="27" t="s">
        <v>24400</v>
      </c>
      <c r="C9743" s="27" t="s">
        <v>144</v>
      </c>
      <c r="D9743" s="26"/>
      <c r="E9743" s="27"/>
      <c r="F9743" s="27"/>
      <c r="G9743" s="27" t="s">
        <v>11122</v>
      </c>
      <c r="H9743" s="27" t="s">
        <v>35</v>
      </c>
      <c r="I9743" s="27" t="s">
        <v>41</v>
      </c>
      <c r="J9743" s="28" t="s">
        <v>913</v>
      </c>
      <c r="K9743" s="27" t="s">
        <v>38</v>
      </c>
      <c r="L9743" s="27"/>
    </row>
    <row r="9744" customFormat="false" ht="15" hidden="false" customHeight="false" outlineLevel="0" collapsed="false">
      <c r="A9744" s="26" t="s">
        <v>24401</v>
      </c>
      <c r="B9744" s="27" t="s">
        <v>24402</v>
      </c>
      <c r="C9744" s="27" t="s">
        <v>144</v>
      </c>
      <c r="D9744" s="26"/>
      <c r="E9744" s="27"/>
      <c r="F9744" s="27"/>
      <c r="G9744" s="27" t="s">
        <v>11122</v>
      </c>
      <c r="H9744" s="27" t="s">
        <v>35</v>
      </c>
      <c r="I9744" s="27" t="s">
        <v>4159</v>
      </c>
      <c r="J9744" s="28" t="s">
        <v>913</v>
      </c>
      <c r="K9744" s="27" t="s">
        <v>38</v>
      </c>
      <c r="L9744" s="27"/>
    </row>
    <row r="9745" customFormat="false" ht="15" hidden="false" customHeight="false" outlineLevel="0" collapsed="false">
      <c r="A9745" s="26" t="s">
        <v>24403</v>
      </c>
      <c r="B9745" s="27" t="s">
        <v>24404</v>
      </c>
      <c r="C9745" s="27" t="s">
        <v>144</v>
      </c>
      <c r="D9745" s="26"/>
      <c r="E9745" s="27"/>
      <c r="F9745" s="27"/>
      <c r="G9745" s="27" t="s">
        <v>11122</v>
      </c>
      <c r="H9745" s="27" t="s">
        <v>35</v>
      </c>
      <c r="I9745" s="27" t="s">
        <v>43</v>
      </c>
      <c r="J9745" s="28" t="s">
        <v>913</v>
      </c>
      <c r="K9745" s="27" t="s">
        <v>38</v>
      </c>
      <c r="L9745" s="27"/>
    </row>
    <row r="9746" customFormat="false" ht="15" hidden="false" customHeight="false" outlineLevel="0" collapsed="false">
      <c r="A9746" s="26" t="s">
        <v>24405</v>
      </c>
      <c r="B9746" s="27" t="s">
        <v>24406</v>
      </c>
      <c r="C9746" s="27" t="s">
        <v>144</v>
      </c>
      <c r="D9746" s="26"/>
      <c r="E9746" s="27"/>
      <c r="F9746" s="27"/>
      <c r="G9746" s="27" t="s">
        <v>11122</v>
      </c>
      <c r="H9746" s="27" t="s">
        <v>35</v>
      </c>
      <c r="I9746" s="27" t="s">
        <v>41</v>
      </c>
      <c r="J9746" s="28" t="s">
        <v>913</v>
      </c>
      <c r="K9746" s="27" t="s">
        <v>38</v>
      </c>
      <c r="L9746" s="27"/>
    </row>
    <row r="9747" customFormat="false" ht="15" hidden="false" customHeight="false" outlineLevel="0" collapsed="false">
      <c r="A9747" s="26" t="s">
        <v>24407</v>
      </c>
      <c r="B9747" s="27" t="s">
        <v>24408</v>
      </c>
      <c r="C9747" s="27" t="s">
        <v>144</v>
      </c>
      <c r="D9747" s="26"/>
      <c r="E9747" s="27"/>
      <c r="F9747" s="27"/>
      <c r="G9747" s="27" t="s">
        <v>11122</v>
      </c>
      <c r="H9747" s="27" t="s">
        <v>35</v>
      </c>
      <c r="I9747" s="27" t="s">
        <v>38</v>
      </c>
      <c r="J9747" s="28" t="s">
        <v>913</v>
      </c>
      <c r="K9747" s="27" t="s">
        <v>38</v>
      </c>
      <c r="L9747" s="27"/>
    </row>
    <row r="9748" customFormat="false" ht="15" hidden="false" customHeight="false" outlineLevel="0" collapsed="false">
      <c r="A9748" s="26" t="s">
        <v>24409</v>
      </c>
      <c r="B9748" s="27" t="s">
        <v>24410</v>
      </c>
      <c r="C9748" s="27" t="s">
        <v>144</v>
      </c>
      <c r="D9748" s="26"/>
      <c r="E9748" s="27"/>
      <c r="F9748" s="27"/>
      <c r="G9748" s="27" t="s">
        <v>11122</v>
      </c>
      <c r="H9748" s="27" t="s">
        <v>35</v>
      </c>
      <c r="I9748" s="27" t="s">
        <v>38</v>
      </c>
      <c r="J9748" s="28" t="s">
        <v>913</v>
      </c>
      <c r="K9748" s="27" t="s">
        <v>38</v>
      </c>
      <c r="L9748" s="27"/>
    </row>
    <row r="9749" customFormat="false" ht="15" hidden="false" customHeight="false" outlineLevel="0" collapsed="false">
      <c r="A9749" s="26" t="s">
        <v>24411</v>
      </c>
      <c r="B9749" s="27" t="s">
        <v>24412</v>
      </c>
      <c r="C9749" s="27" t="s">
        <v>144</v>
      </c>
      <c r="D9749" s="26"/>
      <c r="E9749" s="27"/>
      <c r="F9749" s="27"/>
      <c r="G9749" s="27" t="s">
        <v>11122</v>
      </c>
      <c r="H9749" s="27" t="s">
        <v>35</v>
      </c>
      <c r="I9749" s="27" t="s">
        <v>38</v>
      </c>
      <c r="J9749" s="28" t="s">
        <v>913</v>
      </c>
      <c r="K9749" s="27" t="s">
        <v>38</v>
      </c>
      <c r="L9749" s="27"/>
    </row>
    <row r="9750" customFormat="false" ht="15" hidden="false" customHeight="false" outlineLevel="0" collapsed="false">
      <c r="A9750" s="26" t="s">
        <v>24413</v>
      </c>
      <c r="B9750" s="27" t="s">
        <v>24414</v>
      </c>
      <c r="C9750" s="27" t="s">
        <v>144</v>
      </c>
      <c r="D9750" s="26"/>
      <c r="E9750" s="27"/>
      <c r="F9750" s="27"/>
      <c r="G9750" s="27" t="s">
        <v>11122</v>
      </c>
      <c r="H9750" s="27" t="s">
        <v>35</v>
      </c>
      <c r="I9750" s="27" t="s">
        <v>38</v>
      </c>
      <c r="J9750" s="28" t="s">
        <v>913</v>
      </c>
      <c r="K9750" s="27" t="s">
        <v>38</v>
      </c>
      <c r="L9750" s="27"/>
    </row>
    <row r="9751" customFormat="false" ht="15" hidden="false" customHeight="false" outlineLevel="0" collapsed="false">
      <c r="A9751" s="26" t="s">
        <v>24415</v>
      </c>
      <c r="B9751" s="27" t="s">
        <v>24416</v>
      </c>
      <c r="C9751" s="27" t="s">
        <v>144</v>
      </c>
      <c r="D9751" s="26"/>
      <c r="E9751" s="27"/>
      <c r="F9751" s="27"/>
      <c r="G9751" s="27" t="s">
        <v>11122</v>
      </c>
      <c r="H9751" s="27" t="s">
        <v>35</v>
      </c>
      <c r="I9751" s="27" t="s">
        <v>37</v>
      </c>
      <c r="J9751" s="28" t="s">
        <v>913</v>
      </c>
      <c r="K9751" s="27" t="s">
        <v>38</v>
      </c>
      <c r="L9751" s="27"/>
    </row>
    <row r="9752" customFormat="false" ht="15" hidden="false" customHeight="false" outlineLevel="0" collapsed="false">
      <c r="A9752" s="26" t="s">
        <v>24417</v>
      </c>
      <c r="B9752" s="27" t="s">
        <v>24418</v>
      </c>
      <c r="C9752" s="27" t="s">
        <v>144</v>
      </c>
      <c r="D9752" s="26"/>
      <c r="E9752" s="27"/>
      <c r="F9752" s="27"/>
      <c r="G9752" s="27" t="s">
        <v>11122</v>
      </c>
      <c r="H9752" s="27" t="s">
        <v>35</v>
      </c>
      <c r="I9752" s="27" t="s">
        <v>38</v>
      </c>
      <c r="J9752" s="28" t="s">
        <v>913</v>
      </c>
      <c r="K9752" s="27" t="s">
        <v>38</v>
      </c>
      <c r="L9752" s="27"/>
    </row>
    <row r="9753" customFormat="false" ht="15" hidden="false" customHeight="false" outlineLevel="0" collapsed="false">
      <c r="A9753" s="26" t="s">
        <v>24419</v>
      </c>
      <c r="B9753" s="27" t="s">
        <v>24420</v>
      </c>
      <c r="C9753" s="27" t="s">
        <v>144</v>
      </c>
      <c r="D9753" s="26"/>
      <c r="E9753" s="27"/>
      <c r="F9753" s="27"/>
      <c r="G9753" s="27" t="s">
        <v>11122</v>
      </c>
      <c r="H9753" s="27" t="s">
        <v>35</v>
      </c>
      <c r="I9753" s="27" t="s">
        <v>38</v>
      </c>
      <c r="J9753" s="28" t="s">
        <v>913</v>
      </c>
      <c r="K9753" s="27" t="s">
        <v>38</v>
      </c>
      <c r="L9753" s="27"/>
    </row>
    <row r="9754" customFormat="false" ht="15" hidden="false" customHeight="false" outlineLevel="0" collapsed="false">
      <c r="A9754" s="26" t="s">
        <v>24421</v>
      </c>
      <c r="B9754" s="27" t="s">
        <v>24422</v>
      </c>
      <c r="C9754" s="27" t="s">
        <v>144</v>
      </c>
      <c r="D9754" s="26"/>
      <c r="E9754" s="27"/>
      <c r="F9754" s="27"/>
      <c r="G9754" s="27" t="s">
        <v>11122</v>
      </c>
      <c r="H9754" s="27" t="s">
        <v>35</v>
      </c>
      <c r="I9754" s="27" t="s">
        <v>37</v>
      </c>
      <c r="J9754" s="28" t="s">
        <v>913</v>
      </c>
      <c r="K9754" s="27" t="s">
        <v>38</v>
      </c>
      <c r="L9754" s="27"/>
    </row>
    <row r="9755" customFormat="false" ht="15" hidden="false" customHeight="false" outlineLevel="0" collapsed="false">
      <c r="A9755" s="26" t="s">
        <v>24423</v>
      </c>
      <c r="B9755" s="27" t="s">
        <v>24424</v>
      </c>
      <c r="C9755" s="27" t="s">
        <v>144</v>
      </c>
      <c r="D9755" s="26"/>
      <c r="E9755" s="27"/>
      <c r="F9755" s="27"/>
      <c r="G9755" s="27" t="s">
        <v>11122</v>
      </c>
      <c r="H9755" s="27" t="s">
        <v>35</v>
      </c>
      <c r="I9755" s="27" t="s">
        <v>37</v>
      </c>
      <c r="J9755" s="28" t="s">
        <v>913</v>
      </c>
      <c r="K9755" s="27" t="s">
        <v>38</v>
      </c>
      <c r="L9755" s="27"/>
    </row>
    <row r="9756" customFormat="false" ht="15" hidden="false" customHeight="false" outlineLevel="0" collapsed="false">
      <c r="A9756" s="26" t="s">
        <v>24425</v>
      </c>
      <c r="B9756" s="27" t="s">
        <v>24426</v>
      </c>
      <c r="C9756" s="27" t="s">
        <v>144</v>
      </c>
      <c r="D9756" s="26"/>
      <c r="E9756" s="27"/>
      <c r="F9756" s="27"/>
      <c r="G9756" s="27" t="s">
        <v>11122</v>
      </c>
      <c r="H9756" s="27" t="s">
        <v>35</v>
      </c>
      <c r="I9756" s="27" t="s">
        <v>38</v>
      </c>
      <c r="J9756" s="28" t="s">
        <v>913</v>
      </c>
      <c r="K9756" s="27" t="s">
        <v>38</v>
      </c>
      <c r="L9756" s="27"/>
    </row>
    <row r="9757" customFormat="false" ht="15" hidden="false" customHeight="false" outlineLevel="0" collapsed="false">
      <c r="A9757" s="26" t="s">
        <v>24427</v>
      </c>
      <c r="B9757" s="27" t="s">
        <v>24428</v>
      </c>
      <c r="C9757" s="27" t="s">
        <v>144</v>
      </c>
      <c r="D9757" s="26"/>
      <c r="E9757" s="27"/>
      <c r="F9757" s="27"/>
      <c r="G9757" s="27" t="s">
        <v>11122</v>
      </c>
      <c r="H9757" s="27" t="s">
        <v>35</v>
      </c>
      <c r="I9757" s="27" t="s">
        <v>41</v>
      </c>
      <c r="J9757" s="28" t="s">
        <v>913</v>
      </c>
      <c r="K9757" s="27" t="s">
        <v>38</v>
      </c>
      <c r="L9757" s="27"/>
    </row>
    <row r="9758" customFormat="false" ht="15" hidden="false" customHeight="false" outlineLevel="0" collapsed="false">
      <c r="A9758" s="26" t="s">
        <v>24429</v>
      </c>
      <c r="B9758" s="27" t="s">
        <v>24430</v>
      </c>
      <c r="C9758" s="27" t="s">
        <v>144</v>
      </c>
      <c r="D9758" s="26"/>
      <c r="E9758" s="27"/>
      <c r="F9758" s="27"/>
      <c r="G9758" s="27" t="s">
        <v>11122</v>
      </c>
      <c r="H9758" s="27" t="s">
        <v>35</v>
      </c>
      <c r="I9758" s="27" t="s">
        <v>37</v>
      </c>
      <c r="J9758" s="28" t="s">
        <v>913</v>
      </c>
      <c r="K9758" s="27" t="s">
        <v>38</v>
      </c>
      <c r="L9758" s="27"/>
    </row>
    <row r="9759" customFormat="false" ht="15" hidden="false" customHeight="false" outlineLevel="0" collapsed="false">
      <c r="A9759" s="26" t="s">
        <v>24431</v>
      </c>
      <c r="B9759" s="27" t="s">
        <v>24432</v>
      </c>
      <c r="C9759" s="27" t="s">
        <v>144</v>
      </c>
      <c r="D9759" s="26"/>
      <c r="E9759" s="27"/>
      <c r="F9759" s="27"/>
      <c r="G9759" s="27" t="s">
        <v>11122</v>
      </c>
      <c r="H9759" s="27" t="s">
        <v>35</v>
      </c>
      <c r="I9759" s="27" t="s">
        <v>38</v>
      </c>
      <c r="J9759" s="28" t="s">
        <v>913</v>
      </c>
      <c r="K9759" s="27" t="s">
        <v>38</v>
      </c>
      <c r="L9759" s="27"/>
    </row>
    <row r="9760" customFormat="false" ht="15" hidden="false" customHeight="false" outlineLevel="0" collapsed="false">
      <c r="A9760" s="26" t="s">
        <v>24433</v>
      </c>
      <c r="B9760" s="27" t="s">
        <v>24434</v>
      </c>
      <c r="C9760" s="27" t="s">
        <v>144</v>
      </c>
      <c r="D9760" s="26"/>
      <c r="E9760" s="27"/>
      <c r="F9760" s="27"/>
      <c r="G9760" s="27" t="s">
        <v>11122</v>
      </c>
      <c r="H9760" s="27" t="s">
        <v>35</v>
      </c>
      <c r="I9760" s="27" t="s">
        <v>38</v>
      </c>
      <c r="J9760" s="28" t="s">
        <v>913</v>
      </c>
      <c r="K9760" s="27" t="s">
        <v>38</v>
      </c>
      <c r="L9760" s="27"/>
    </row>
    <row r="9761" customFormat="false" ht="15" hidden="false" customHeight="false" outlineLevel="0" collapsed="false">
      <c r="A9761" s="26" t="s">
        <v>24435</v>
      </c>
      <c r="B9761" s="27" t="s">
        <v>24436</v>
      </c>
      <c r="C9761" s="27" t="s">
        <v>144</v>
      </c>
      <c r="D9761" s="26"/>
      <c r="E9761" s="27"/>
      <c r="F9761" s="27"/>
      <c r="G9761" s="27" t="s">
        <v>11122</v>
      </c>
      <c r="H9761" s="27" t="s">
        <v>35</v>
      </c>
      <c r="I9761" s="27" t="s">
        <v>47</v>
      </c>
      <c r="J9761" s="28" t="s">
        <v>913</v>
      </c>
      <c r="K9761" s="27" t="s">
        <v>38</v>
      </c>
      <c r="L9761" s="27"/>
    </row>
    <row r="9762" customFormat="false" ht="15" hidden="false" customHeight="false" outlineLevel="0" collapsed="false">
      <c r="A9762" s="26" t="s">
        <v>24437</v>
      </c>
      <c r="B9762" s="27" t="s">
        <v>24438</v>
      </c>
      <c r="C9762" s="27" t="s">
        <v>144</v>
      </c>
      <c r="D9762" s="26"/>
      <c r="E9762" s="27"/>
      <c r="F9762" s="27"/>
      <c r="G9762" s="27" t="s">
        <v>11122</v>
      </c>
      <c r="H9762" s="27" t="s">
        <v>35</v>
      </c>
      <c r="I9762" s="27" t="s">
        <v>38</v>
      </c>
      <c r="J9762" s="28" t="s">
        <v>913</v>
      </c>
      <c r="K9762" s="27" t="s">
        <v>38</v>
      </c>
      <c r="L9762" s="27"/>
    </row>
    <row r="9763" customFormat="false" ht="15" hidden="false" customHeight="false" outlineLevel="0" collapsed="false">
      <c r="A9763" s="26" t="s">
        <v>24439</v>
      </c>
      <c r="B9763" s="27" t="s">
        <v>24440</v>
      </c>
      <c r="C9763" s="27" t="s">
        <v>144</v>
      </c>
      <c r="D9763" s="26"/>
      <c r="E9763" s="27"/>
      <c r="F9763" s="27"/>
      <c r="G9763" s="27" t="s">
        <v>11122</v>
      </c>
      <c r="H9763" s="27" t="s">
        <v>35</v>
      </c>
      <c r="I9763" s="27" t="s">
        <v>38</v>
      </c>
      <c r="J9763" s="28" t="s">
        <v>913</v>
      </c>
      <c r="K9763" s="27" t="s">
        <v>38</v>
      </c>
      <c r="L9763" s="27"/>
    </row>
    <row r="9764" customFormat="false" ht="15" hidden="false" customHeight="false" outlineLevel="0" collapsed="false">
      <c r="A9764" s="26" t="s">
        <v>24441</v>
      </c>
      <c r="B9764" s="27" t="s">
        <v>24442</v>
      </c>
      <c r="C9764" s="27" t="s">
        <v>144</v>
      </c>
      <c r="D9764" s="26"/>
      <c r="E9764" s="27"/>
      <c r="F9764" s="27"/>
      <c r="G9764" s="27" t="s">
        <v>11122</v>
      </c>
      <c r="H9764" s="27" t="s">
        <v>35</v>
      </c>
      <c r="I9764" s="27" t="s">
        <v>37</v>
      </c>
      <c r="J9764" s="28" t="s">
        <v>913</v>
      </c>
      <c r="K9764" s="27" t="s">
        <v>38</v>
      </c>
      <c r="L9764" s="27"/>
    </row>
    <row r="9765" customFormat="false" ht="15" hidden="false" customHeight="false" outlineLevel="0" collapsed="false">
      <c r="A9765" s="26" t="s">
        <v>24443</v>
      </c>
      <c r="B9765" s="27" t="s">
        <v>24444</v>
      </c>
      <c r="C9765" s="27" t="s">
        <v>144</v>
      </c>
      <c r="D9765" s="26"/>
      <c r="E9765" s="27"/>
      <c r="F9765" s="27"/>
      <c r="G9765" s="27" t="s">
        <v>11122</v>
      </c>
      <c r="H9765" s="27" t="s">
        <v>35</v>
      </c>
      <c r="I9765" s="27" t="s">
        <v>38</v>
      </c>
      <c r="J9765" s="28" t="s">
        <v>913</v>
      </c>
      <c r="K9765" s="27" t="s">
        <v>38</v>
      </c>
      <c r="L9765" s="27"/>
    </row>
    <row r="9766" customFormat="false" ht="15" hidden="false" customHeight="false" outlineLevel="0" collapsed="false">
      <c r="A9766" s="26" t="s">
        <v>24445</v>
      </c>
      <c r="B9766" s="27" t="s">
        <v>24446</v>
      </c>
      <c r="C9766" s="27" t="s">
        <v>144</v>
      </c>
      <c r="D9766" s="26"/>
      <c r="E9766" s="27"/>
      <c r="F9766" s="27"/>
      <c r="G9766" s="27" t="s">
        <v>11122</v>
      </c>
      <c r="H9766" s="27" t="s">
        <v>35</v>
      </c>
      <c r="I9766" s="27" t="s">
        <v>37</v>
      </c>
      <c r="J9766" s="28" t="s">
        <v>913</v>
      </c>
      <c r="K9766" s="27" t="s">
        <v>38</v>
      </c>
      <c r="L9766" s="27"/>
    </row>
    <row r="9767" customFormat="false" ht="15" hidden="false" customHeight="false" outlineLevel="0" collapsed="false">
      <c r="A9767" s="26" t="s">
        <v>24447</v>
      </c>
      <c r="B9767" s="27" t="s">
        <v>24448</v>
      </c>
      <c r="C9767" s="27" t="s">
        <v>144</v>
      </c>
      <c r="D9767" s="26"/>
      <c r="E9767" s="27"/>
      <c r="F9767" s="27"/>
      <c r="G9767" s="27" t="s">
        <v>11122</v>
      </c>
      <c r="H9767" s="27" t="s">
        <v>35</v>
      </c>
      <c r="I9767" s="27" t="s">
        <v>38</v>
      </c>
      <c r="J9767" s="28" t="s">
        <v>913</v>
      </c>
      <c r="K9767" s="27" t="s">
        <v>38</v>
      </c>
      <c r="L9767" s="27"/>
    </row>
    <row r="9768" customFormat="false" ht="15" hidden="false" customHeight="false" outlineLevel="0" collapsed="false">
      <c r="A9768" s="26" t="s">
        <v>24449</v>
      </c>
      <c r="B9768" s="27" t="s">
        <v>24450</v>
      </c>
      <c r="C9768" s="27" t="s">
        <v>144</v>
      </c>
      <c r="D9768" s="26"/>
      <c r="E9768" s="27"/>
      <c r="F9768" s="27"/>
      <c r="G9768" s="27" t="s">
        <v>11122</v>
      </c>
      <c r="H9768" s="27" t="s">
        <v>35</v>
      </c>
      <c r="I9768" s="27" t="s">
        <v>38</v>
      </c>
      <c r="J9768" s="28" t="s">
        <v>913</v>
      </c>
      <c r="K9768" s="27" t="s">
        <v>38</v>
      </c>
      <c r="L9768" s="27"/>
    </row>
    <row r="9769" customFormat="false" ht="15" hidden="false" customHeight="false" outlineLevel="0" collapsed="false">
      <c r="A9769" s="26" t="s">
        <v>24451</v>
      </c>
      <c r="B9769" s="27" t="s">
        <v>24452</v>
      </c>
      <c r="C9769" s="27" t="s">
        <v>144</v>
      </c>
      <c r="D9769" s="26"/>
      <c r="E9769" s="27"/>
      <c r="F9769" s="27"/>
      <c r="G9769" s="27" t="s">
        <v>11122</v>
      </c>
      <c r="H9769" s="27" t="s">
        <v>35</v>
      </c>
      <c r="I9769" s="27" t="s">
        <v>37</v>
      </c>
      <c r="J9769" s="28" t="s">
        <v>913</v>
      </c>
      <c r="K9769" s="27" t="s">
        <v>38</v>
      </c>
      <c r="L9769" s="27"/>
    </row>
    <row r="9770" customFormat="false" ht="15" hidden="false" customHeight="false" outlineLevel="0" collapsed="false">
      <c r="A9770" s="26" t="s">
        <v>24453</v>
      </c>
      <c r="B9770" s="27" t="s">
        <v>24454</v>
      </c>
      <c r="C9770" s="27" t="s">
        <v>144</v>
      </c>
      <c r="D9770" s="26"/>
      <c r="E9770" s="27"/>
      <c r="F9770" s="27"/>
      <c r="G9770" s="27" t="s">
        <v>11122</v>
      </c>
      <c r="H9770" s="27" t="s">
        <v>35</v>
      </c>
      <c r="I9770" s="27" t="s">
        <v>38</v>
      </c>
      <c r="J9770" s="28" t="s">
        <v>913</v>
      </c>
      <c r="K9770" s="27" t="s">
        <v>38</v>
      </c>
      <c r="L9770" s="27"/>
    </row>
    <row r="9771" customFormat="false" ht="15" hidden="false" customHeight="false" outlineLevel="0" collapsed="false">
      <c r="A9771" s="26" t="s">
        <v>24455</v>
      </c>
      <c r="B9771" s="27" t="s">
        <v>24456</v>
      </c>
      <c r="C9771" s="27" t="s">
        <v>144</v>
      </c>
      <c r="D9771" s="26"/>
      <c r="E9771" s="27"/>
      <c r="F9771" s="27"/>
      <c r="G9771" s="27" t="s">
        <v>11122</v>
      </c>
      <c r="H9771" s="27" t="s">
        <v>35</v>
      </c>
      <c r="I9771" s="27" t="s">
        <v>38</v>
      </c>
      <c r="J9771" s="28" t="s">
        <v>913</v>
      </c>
      <c r="K9771" s="27" t="s">
        <v>38</v>
      </c>
      <c r="L9771" s="27"/>
    </row>
    <row r="9772" customFormat="false" ht="15" hidden="false" customHeight="false" outlineLevel="0" collapsed="false">
      <c r="A9772" s="26" t="s">
        <v>24457</v>
      </c>
      <c r="B9772" s="27" t="s">
        <v>24458</v>
      </c>
      <c r="C9772" s="27" t="s">
        <v>144</v>
      </c>
      <c r="D9772" s="26"/>
      <c r="E9772" s="27"/>
      <c r="F9772" s="27"/>
      <c r="G9772" s="27" t="s">
        <v>11122</v>
      </c>
      <c r="H9772" s="27" t="s">
        <v>35</v>
      </c>
      <c r="I9772" s="27" t="s">
        <v>38</v>
      </c>
      <c r="J9772" s="28" t="s">
        <v>913</v>
      </c>
      <c r="K9772" s="27" t="s">
        <v>38</v>
      </c>
      <c r="L9772" s="27"/>
    </row>
    <row r="9773" customFormat="false" ht="15" hidden="false" customHeight="false" outlineLevel="0" collapsed="false">
      <c r="A9773" s="26" t="s">
        <v>24459</v>
      </c>
      <c r="B9773" s="27" t="s">
        <v>24460</v>
      </c>
      <c r="C9773" s="27" t="s">
        <v>144</v>
      </c>
      <c r="D9773" s="26"/>
      <c r="E9773" s="27"/>
      <c r="F9773" s="27"/>
      <c r="G9773" s="27" t="s">
        <v>11122</v>
      </c>
      <c r="H9773" s="27" t="s">
        <v>35</v>
      </c>
      <c r="I9773" s="27" t="s">
        <v>37</v>
      </c>
      <c r="J9773" s="28" t="s">
        <v>913</v>
      </c>
      <c r="K9773" s="27" t="s">
        <v>38</v>
      </c>
      <c r="L9773" s="27"/>
    </row>
    <row r="9774" customFormat="false" ht="15" hidden="false" customHeight="false" outlineLevel="0" collapsed="false">
      <c r="A9774" s="26" t="s">
        <v>24461</v>
      </c>
      <c r="B9774" s="27" t="s">
        <v>24462</v>
      </c>
      <c r="C9774" s="27" t="s">
        <v>144</v>
      </c>
      <c r="D9774" s="26"/>
      <c r="E9774" s="27"/>
      <c r="F9774" s="27"/>
      <c r="G9774" s="27" t="s">
        <v>11122</v>
      </c>
      <c r="H9774" s="27" t="s">
        <v>35</v>
      </c>
      <c r="I9774" s="27" t="s">
        <v>38</v>
      </c>
      <c r="J9774" s="28" t="s">
        <v>913</v>
      </c>
      <c r="K9774" s="27" t="s">
        <v>38</v>
      </c>
      <c r="L9774" s="27"/>
    </row>
    <row r="9775" customFormat="false" ht="15" hidden="false" customHeight="false" outlineLevel="0" collapsed="false">
      <c r="A9775" s="26" t="s">
        <v>24463</v>
      </c>
      <c r="B9775" s="27" t="s">
        <v>24464</v>
      </c>
      <c r="C9775" s="27" t="s">
        <v>144</v>
      </c>
      <c r="D9775" s="26"/>
      <c r="E9775" s="27"/>
      <c r="F9775" s="27"/>
      <c r="G9775" s="27" t="s">
        <v>11122</v>
      </c>
      <c r="H9775" s="27" t="s">
        <v>35</v>
      </c>
      <c r="I9775" s="27" t="s">
        <v>37</v>
      </c>
      <c r="J9775" s="28" t="s">
        <v>913</v>
      </c>
      <c r="K9775" s="27" t="s">
        <v>38</v>
      </c>
      <c r="L9775" s="27"/>
    </row>
    <row r="9776" customFormat="false" ht="15" hidden="false" customHeight="false" outlineLevel="0" collapsed="false">
      <c r="A9776" s="26" t="s">
        <v>24465</v>
      </c>
      <c r="B9776" s="27" t="s">
        <v>24466</v>
      </c>
      <c r="C9776" s="27" t="s">
        <v>144</v>
      </c>
      <c r="D9776" s="26"/>
      <c r="E9776" s="27"/>
      <c r="F9776" s="27"/>
      <c r="G9776" s="27" t="s">
        <v>11122</v>
      </c>
      <c r="H9776" s="27" t="s">
        <v>35</v>
      </c>
      <c r="I9776" s="27" t="s">
        <v>38</v>
      </c>
      <c r="J9776" s="28" t="s">
        <v>913</v>
      </c>
      <c r="K9776" s="27" t="s">
        <v>38</v>
      </c>
      <c r="L9776" s="27"/>
    </row>
    <row r="9777" customFormat="false" ht="15" hidden="false" customHeight="false" outlineLevel="0" collapsed="false">
      <c r="A9777" s="26" t="s">
        <v>24467</v>
      </c>
      <c r="B9777" s="27" t="s">
        <v>24468</v>
      </c>
      <c r="C9777" s="27" t="s">
        <v>144</v>
      </c>
      <c r="D9777" s="26"/>
      <c r="E9777" s="27"/>
      <c r="F9777" s="27"/>
      <c r="G9777" s="27" t="s">
        <v>11122</v>
      </c>
      <c r="H9777" s="27" t="s">
        <v>35</v>
      </c>
      <c r="I9777" s="27" t="s">
        <v>38</v>
      </c>
      <c r="J9777" s="28" t="s">
        <v>913</v>
      </c>
      <c r="K9777" s="27" t="s">
        <v>38</v>
      </c>
      <c r="L9777" s="27"/>
    </row>
    <row r="9778" customFormat="false" ht="15" hidden="false" customHeight="false" outlineLevel="0" collapsed="false">
      <c r="A9778" s="26" t="s">
        <v>24469</v>
      </c>
      <c r="B9778" s="27" t="s">
        <v>24470</v>
      </c>
      <c r="C9778" s="27" t="s">
        <v>144</v>
      </c>
      <c r="D9778" s="26"/>
      <c r="E9778" s="27"/>
      <c r="F9778" s="27"/>
      <c r="G9778" s="27" t="s">
        <v>11122</v>
      </c>
      <c r="H9778" s="27" t="s">
        <v>35</v>
      </c>
      <c r="I9778" s="27" t="s">
        <v>38</v>
      </c>
      <c r="J9778" s="28" t="s">
        <v>913</v>
      </c>
      <c r="K9778" s="27" t="s">
        <v>38</v>
      </c>
      <c r="L9778" s="27"/>
    </row>
    <row r="9779" customFormat="false" ht="15" hidden="false" customHeight="false" outlineLevel="0" collapsed="false">
      <c r="A9779" s="26" t="s">
        <v>24471</v>
      </c>
      <c r="B9779" s="27" t="s">
        <v>24472</v>
      </c>
      <c r="C9779" s="27" t="s">
        <v>144</v>
      </c>
      <c r="D9779" s="26"/>
      <c r="E9779" s="27"/>
      <c r="F9779" s="27"/>
      <c r="G9779" s="27" t="s">
        <v>11122</v>
      </c>
      <c r="H9779" s="27" t="s">
        <v>35</v>
      </c>
      <c r="I9779" s="27" t="s">
        <v>40</v>
      </c>
      <c r="J9779" s="28" t="s">
        <v>913</v>
      </c>
      <c r="K9779" s="27" t="s">
        <v>38</v>
      </c>
      <c r="L9779" s="27"/>
    </row>
    <row r="9780" customFormat="false" ht="15" hidden="false" customHeight="false" outlineLevel="0" collapsed="false">
      <c r="A9780" s="26" t="s">
        <v>24473</v>
      </c>
      <c r="B9780" s="27" t="s">
        <v>24474</v>
      </c>
      <c r="C9780" s="27" t="s">
        <v>144</v>
      </c>
      <c r="D9780" s="26"/>
      <c r="E9780" s="27"/>
      <c r="F9780" s="27"/>
      <c r="G9780" s="27" t="s">
        <v>11122</v>
      </c>
      <c r="H9780" s="27" t="s">
        <v>35</v>
      </c>
      <c r="I9780" s="27" t="s">
        <v>37</v>
      </c>
      <c r="J9780" s="28" t="s">
        <v>913</v>
      </c>
      <c r="K9780" s="27" t="s">
        <v>38</v>
      </c>
      <c r="L9780" s="27"/>
    </row>
    <row r="9781" customFormat="false" ht="15" hidden="false" customHeight="false" outlineLevel="0" collapsed="false">
      <c r="A9781" s="26" t="s">
        <v>24475</v>
      </c>
      <c r="B9781" s="27" t="s">
        <v>24476</v>
      </c>
      <c r="C9781" s="27" t="s">
        <v>144</v>
      </c>
      <c r="D9781" s="26"/>
      <c r="E9781" s="27"/>
      <c r="F9781" s="27"/>
      <c r="G9781" s="27" t="s">
        <v>11122</v>
      </c>
      <c r="H9781" s="27" t="s">
        <v>35</v>
      </c>
      <c r="I9781" s="27" t="s">
        <v>38</v>
      </c>
      <c r="J9781" s="28" t="s">
        <v>913</v>
      </c>
      <c r="K9781" s="27" t="s">
        <v>38</v>
      </c>
      <c r="L9781" s="27"/>
    </row>
    <row r="9782" customFormat="false" ht="15" hidden="false" customHeight="false" outlineLevel="0" collapsed="false">
      <c r="A9782" s="26" t="s">
        <v>24477</v>
      </c>
      <c r="B9782" s="27" t="s">
        <v>24478</v>
      </c>
      <c r="C9782" s="27" t="s">
        <v>144</v>
      </c>
      <c r="D9782" s="26"/>
      <c r="E9782" s="27"/>
      <c r="F9782" s="27"/>
      <c r="G9782" s="27" t="s">
        <v>11122</v>
      </c>
      <c r="H9782" s="27" t="s">
        <v>35</v>
      </c>
      <c r="I9782" s="27" t="s">
        <v>38</v>
      </c>
      <c r="J9782" s="28" t="s">
        <v>913</v>
      </c>
      <c r="K9782" s="27" t="s">
        <v>38</v>
      </c>
      <c r="L9782" s="27"/>
    </row>
    <row r="9783" customFormat="false" ht="15" hidden="false" customHeight="false" outlineLevel="0" collapsed="false">
      <c r="A9783" s="26" t="s">
        <v>24479</v>
      </c>
      <c r="B9783" s="27" t="s">
        <v>24480</v>
      </c>
      <c r="C9783" s="27" t="s">
        <v>144</v>
      </c>
      <c r="D9783" s="26"/>
      <c r="E9783" s="27"/>
      <c r="F9783" s="27"/>
      <c r="G9783" s="27" t="s">
        <v>11122</v>
      </c>
      <c r="H9783" s="27" t="s">
        <v>35</v>
      </c>
      <c r="I9783" s="27" t="s">
        <v>1067</v>
      </c>
      <c r="J9783" s="28" t="s">
        <v>913</v>
      </c>
      <c r="K9783" s="27" t="s">
        <v>38</v>
      </c>
      <c r="L9783" s="27"/>
    </row>
    <row r="9784" customFormat="false" ht="15" hidden="false" customHeight="false" outlineLevel="0" collapsed="false">
      <c r="A9784" s="26" t="s">
        <v>24481</v>
      </c>
      <c r="B9784" s="27" t="s">
        <v>24482</v>
      </c>
      <c r="C9784" s="27" t="s">
        <v>144</v>
      </c>
      <c r="D9784" s="26"/>
      <c r="E9784" s="27"/>
      <c r="F9784" s="27"/>
      <c r="G9784" s="27" t="s">
        <v>11122</v>
      </c>
      <c r="H9784" s="27" t="s">
        <v>35</v>
      </c>
      <c r="I9784" s="27" t="s">
        <v>41</v>
      </c>
      <c r="J9784" s="28" t="s">
        <v>913</v>
      </c>
      <c r="K9784" s="27" t="s">
        <v>38</v>
      </c>
      <c r="L9784" s="27"/>
    </row>
    <row r="9785" customFormat="false" ht="15" hidden="false" customHeight="false" outlineLevel="0" collapsed="false">
      <c r="A9785" s="26" t="s">
        <v>24483</v>
      </c>
      <c r="B9785" s="27" t="s">
        <v>24484</v>
      </c>
      <c r="C9785" s="27" t="s">
        <v>144</v>
      </c>
      <c r="D9785" s="26"/>
      <c r="E9785" s="27"/>
      <c r="F9785" s="27"/>
      <c r="G9785" s="27" t="s">
        <v>11122</v>
      </c>
      <c r="H9785" s="27" t="s">
        <v>35</v>
      </c>
      <c r="I9785" s="27" t="s">
        <v>38</v>
      </c>
      <c r="J9785" s="28" t="s">
        <v>913</v>
      </c>
      <c r="K9785" s="27" t="s">
        <v>38</v>
      </c>
      <c r="L9785" s="27"/>
    </row>
    <row r="9786" customFormat="false" ht="15" hidden="false" customHeight="false" outlineLevel="0" collapsed="false">
      <c r="A9786" s="26" t="s">
        <v>24485</v>
      </c>
      <c r="B9786" s="27" t="s">
        <v>24486</v>
      </c>
      <c r="C9786" s="27" t="s">
        <v>144</v>
      </c>
      <c r="D9786" s="26"/>
      <c r="E9786" s="27"/>
      <c r="F9786" s="27"/>
      <c r="G9786" s="27" t="s">
        <v>11122</v>
      </c>
      <c r="H9786" s="27" t="s">
        <v>35</v>
      </c>
      <c r="I9786" s="27" t="s">
        <v>38</v>
      </c>
      <c r="J9786" s="28" t="s">
        <v>913</v>
      </c>
      <c r="K9786" s="27" t="s">
        <v>38</v>
      </c>
      <c r="L9786" s="27"/>
    </row>
    <row r="9787" customFormat="false" ht="15" hidden="false" customHeight="false" outlineLevel="0" collapsed="false">
      <c r="A9787" s="26" t="s">
        <v>24487</v>
      </c>
      <c r="B9787" s="27" t="s">
        <v>24488</v>
      </c>
      <c r="C9787" s="27" t="s">
        <v>144</v>
      </c>
      <c r="D9787" s="26"/>
      <c r="E9787" s="27"/>
      <c r="F9787" s="27"/>
      <c r="G9787" s="27" t="s">
        <v>11122</v>
      </c>
      <c r="H9787" s="27" t="s">
        <v>35</v>
      </c>
      <c r="I9787" s="27" t="s">
        <v>38</v>
      </c>
      <c r="J9787" s="28" t="s">
        <v>913</v>
      </c>
      <c r="K9787" s="27" t="s">
        <v>38</v>
      </c>
      <c r="L9787" s="27"/>
    </row>
    <row r="9788" customFormat="false" ht="15" hidden="false" customHeight="false" outlineLevel="0" collapsed="false">
      <c r="A9788" s="26" t="s">
        <v>24489</v>
      </c>
      <c r="B9788" s="27" t="s">
        <v>24490</v>
      </c>
      <c r="C9788" s="27" t="s">
        <v>144</v>
      </c>
      <c r="D9788" s="26"/>
      <c r="E9788" s="27"/>
      <c r="F9788" s="27"/>
      <c r="G9788" s="27" t="s">
        <v>11122</v>
      </c>
      <c r="H9788" s="27" t="s">
        <v>35</v>
      </c>
      <c r="I9788" s="27" t="s">
        <v>38</v>
      </c>
      <c r="J9788" s="28" t="s">
        <v>913</v>
      </c>
      <c r="K9788" s="27" t="s">
        <v>38</v>
      </c>
      <c r="L9788" s="27"/>
    </row>
    <row r="9789" customFormat="false" ht="15" hidden="false" customHeight="false" outlineLevel="0" collapsed="false">
      <c r="A9789" s="26" t="s">
        <v>24491</v>
      </c>
      <c r="B9789" s="27" t="s">
        <v>24492</v>
      </c>
      <c r="C9789" s="27" t="s">
        <v>144</v>
      </c>
      <c r="D9789" s="26"/>
      <c r="E9789" s="27"/>
      <c r="F9789" s="27"/>
      <c r="G9789" s="27" t="s">
        <v>11122</v>
      </c>
      <c r="H9789" s="27" t="s">
        <v>35</v>
      </c>
      <c r="I9789" s="27" t="s">
        <v>38</v>
      </c>
      <c r="J9789" s="28" t="s">
        <v>913</v>
      </c>
      <c r="K9789" s="27" t="s">
        <v>38</v>
      </c>
      <c r="L9789" s="27"/>
    </row>
    <row r="9790" customFormat="false" ht="15" hidden="false" customHeight="false" outlineLevel="0" collapsed="false">
      <c r="A9790" s="26" t="s">
        <v>24493</v>
      </c>
      <c r="B9790" s="27" t="s">
        <v>24494</v>
      </c>
      <c r="C9790" s="27" t="s">
        <v>144</v>
      </c>
      <c r="D9790" s="26"/>
      <c r="E9790" s="27"/>
      <c r="F9790" s="27"/>
      <c r="G9790" s="27" t="s">
        <v>11122</v>
      </c>
      <c r="H9790" s="27" t="s">
        <v>35</v>
      </c>
      <c r="I9790" s="27" t="s">
        <v>38</v>
      </c>
      <c r="J9790" s="28" t="s">
        <v>913</v>
      </c>
      <c r="K9790" s="27" t="s">
        <v>38</v>
      </c>
      <c r="L9790" s="27"/>
    </row>
    <row r="9791" customFormat="false" ht="15" hidden="false" customHeight="false" outlineLevel="0" collapsed="false">
      <c r="A9791" s="26" t="s">
        <v>24495</v>
      </c>
      <c r="B9791" s="27" t="s">
        <v>24496</v>
      </c>
      <c r="C9791" s="27" t="s">
        <v>144</v>
      </c>
      <c r="D9791" s="26"/>
      <c r="E9791" s="27"/>
      <c r="F9791" s="27"/>
      <c r="G9791" s="27" t="s">
        <v>11122</v>
      </c>
      <c r="H9791" s="27" t="s">
        <v>35</v>
      </c>
      <c r="I9791" s="27" t="s">
        <v>38</v>
      </c>
      <c r="J9791" s="28" t="s">
        <v>913</v>
      </c>
      <c r="K9791" s="27" t="s">
        <v>38</v>
      </c>
      <c r="L9791" s="27"/>
    </row>
    <row r="9792" customFormat="false" ht="15" hidden="false" customHeight="false" outlineLevel="0" collapsed="false">
      <c r="A9792" s="26" t="s">
        <v>24497</v>
      </c>
      <c r="B9792" s="27" t="s">
        <v>24498</v>
      </c>
      <c r="C9792" s="27" t="s">
        <v>144</v>
      </c>
      <c r="D9792" s="26"/>
      <c r="E9792" s="27"/>
      <c r="F9792" s="27"/>
      <c r="G9792" s="27" t="s">
        <v>11122</v>
      </c>
      <c r="H9792" s="27" t="s">
        <v>35</v>
      </c>
      <c r="I9792" s="27" t="s">
        <v>41</v>
      </c>
      <c r="J9792" s="28" t="s">
        <v>913</v>
      </c>
      <c r="K9792" s="27" t="s">
        <v>38</v>
      </c>
      <c r="L9792" s="27"/>
    </row>
    <row r="9793" customFormat="false" ht="15" hidden="false" customHeight="false" outlineLevel="0" collapsed="false">
      <c r="A9793" s="26" t="s">
        <v>24499</v>
      </c>
      <c r="B9793" s="27" t="s">
        <v>24500</v>
      </c>
      <c r="C9793" s="27" t="s">
        <v>144</v>
      </c>
      <c r="D9793" s="26"/>
      <c r="E9793" s="27"/>
      <c r="F9793" s="27"/>
      <c r="G9793" s="27" t="s">
        <v>11122</v>
      </c>
      <c r="H9793" s="27" t="s">
        <v>35</v>
      </c>
      <c r="I9793" s="27" t="s">
        <v>42</v>
      </c>
      <c r="J9793" s="28" t="s">
        <v>913</v>
      </c>
      <c r="K9793" s="27" t="s">
        <v>38</v>
      </c>
      <c r="L9793" s="27"/>
    </row>
    <row r="9794" customFormat="false" ht="15" hidden="false" customHeight="false" outlineLevel="0" collapsed="false">
      <c r="A9794" s="26" t="s">
        <v>24501</v>
      </c>
      <c r="B9794" s="27" t="s">
        <v>24502</v>
      </c>
      <c r="C9794" s="27" t="s">
        <v>144</v>
      </c>
      <c r="D9794" s="26"/>
      <c r="E9794" s="27"/>
      <c r="F9794" s="27"/>
      <c r="G9794" s="27" t="s">
        <v>11122</v>
      </c>
      <c r="H9794" s="27" t="s">
        <v>35</v>
      </c>
      <c r="I9794" s="27" t="s">
        <v>39</v>
      </c>
      <c r="J9794" s="28" t="s">
        <v>913</v>
      </c>
      <c r="K9794" s="27" t="s">
        <v>38</v>
      </c>
      <c r="L9794" s="27"/>
    </row>
    <row r="9795" customFormat="false" ht="15" hidden="false" customHeight="false" outlineLevel="0" collapsed="false">
      <c r="A9795" s="26" t="s">
        <v>24503</v>
      </c>
      <c r="B9795" s="27" t="s">
        <v>24504</v>
      </c>
      <c r="C9795" s="27" t="s">
        <v>144</v>
      </c>
      <c r="D9795" s="26"/>
      <c r="E9795" s="27"/>
      <c r="F9795" s="27"/>
      <c r="G9795" s="27" t="s">
        <v>11122</v>
      </c>
      <c r="H9795" s="27" t="s">
        <v>35</v>
      </c>
      <c r="I9795" s="27" t="s">
        <v>38</v>
      </c>
      <c r="J9795" s="28" t="s">
        <v>913</v>
      </c>
      <c r="K9795" s="27" t="s">
        <v>38</v>
      </c>
      <c r="L9795" s="27"/>
    </row>
    <row r="9796" customFormat="false" ht="15" hidden="false" customHeight="false" outlineLevel="0" collapsed="false">
      <c r="A9796" s="26" t="s">
        <v>24505</v>
      </c>
      <c r="B9796" s="27" t="s">
        <v>24506</v>
      </c>
      <c r="C9796" s="27" t="s">
        <v>144</v>
      </c>
      <c r="D9796" s="26"/>
      <c r="E9796" s="27"/>
      <c r="F9796" s="27"/>
      <c r="G9796" s="27" t="s">
        <v>11122</v>
      </c>
      <c r="H9796" s="27" t="s">
        <v>35</v>
      </c>
      <c r="I9796" s="27" t="s">
        <v>38</v>
      </c>
      <c r="J9796" s="28" t="s">
        <v>913</v>
      </c>
      <c r="K9796" s="27" t="s">
        <v>38</v>
      </c>
      <c r="L9796" s="27"/>
    </row>
    <row r="9797" customFormat="false" ht="15" hidden="false" customHeight="false" outlineLevel="0" collapsed="false">
      <c r="A9797" s="26" t="s">
        <v>24507</v>
      </c>
      <c r="B9797" s="27" t="s">
        <v>24508</v>
      </c>
      <c r="C9797" s="27" t="s">
        <v>144</v>
      </c>
      <c r="D9797" s="26"/>
      <c r="E9797" s="27"/>
      <c r="F9797" s="27"/>
      <c r="G9797" s="27" t="s">
        <v>11122</v>
      </c>
      <c r="H9797" s="27" t="s">
        <v>35</v>
      </c>
      <c r="I9797" s="27" t="s">
        <v>38</v>
      </c>
      <c r="J9797" s="28" t="s">
        <v>913</v>
      </c>
      <c r="K9797" s="27" t="s">
        <v>38</v>
      </c>
      <c r="L9797" s="27"/>
    </row>
    <row r="9798" customFormat="false" ht="15" hidden="false" customHeight="false" outlineLevel="0" collapsed="false">
      <c r="A9798" s="26" t="s">
        <v>24509</v>
      </c>
      <c r="B9798" s="27" t="s">
        <v>24510</v>
      </c>
      <c r="C9798" s="27" t="s">
        <v>144</v>
      </c>
      <c r="D9798" s="26"/>
      <c r="E9798" s="27"/>
      <c r="F9798" s="27"/>
      <c r="G9798" s="27" t="s">
        <v>11122</v>
      </c>
      <c r="H9798" s="27" t="s">
        <v>35</v>
      </c>
      <c r="I9798" s="27" t="s">
        <v>40</v>
      </c>
      <c r="J9798" s="28" t="s">
        <v>913</v>
      </c>
      <c r="K9798" s="27" t="s">
        <v>38</v>
      </c>
      <c r="L9798" s="27"/>
    </row>
    <row r="9799" customFormat="false" ht="15" hidden="false" customHeight="false" outlineLevel="0" collapsed="false">
      <c r="A9799" s="26" t="s">
        <v>24511</v>
      </c>
      <c r="B9799" s="27" t="s">
        <v>24512</v>
      </c>
      <c r="C9799" s="27" t="s">
        <v>144</v>
      </c>
      <c r="D9799" s="26"/>
      <c r="E9799" s="27"/>
      <c r="F9799" s="27"/>
      <c r="G9799" s="27" t="s">
        <v>11122</v>
      </c>
      <c r="H9799" s="27" t="s">
        <v>35</v>
      </c>
      <c r="I9799" s="27" t="s">
        <v>40</v>
      </c>
      <c r="J9799" s="28" t="s">
        <v>913</v>
      </c>
      <c r="K9799" s="27" t="s">
        <v>38</v>
      </c>
      <c r="L9799" s="27"/>
    </row>
    <row r="9800" customFormat="false" ht="15" hidden="false" customHeight="false" outlineLevel="0" collapsed="false">
      <c r="A9800" s="26" t="s">
        <v>24513</v>
      </c>
      <c r="B9800" s="27" t="s">
        <v>24514</v>
      </c>
      <c r="C9800" s="27" t="s">
        <v>144</v>
      </c>
      <c r="D9800" s="26"/>
      <c r="E9800" s="27"/>
      <c r="F9800" s="27"/>
      <c r="G9800" s="27" t="s">
        <v>11122</v>
      </c>
      <c r="H9800" s="27" t="s">
        <v>35</v>
      </c>
      <c r="I9800" s="27" t="s">
        <v>40</v>
      </c>
      <c r="J9800" s="28" t="s">
        <v>913</v>
      </c>
      <c r="K9800" s="27" t="s">
        <v>38</v>
      </c>
      <c r="L9800" s="27"/>
    </row>
    <row r="9801" customFormat="false" ht="15" hidden="false" customHeight="false" outlineLevel="0" collapsed="false">
      <c r="A9801" s="26" t="s">
        <v>24515</v>
      </c>
      <c r="B9801" s="27" t="s">
        <v>24516</v>
      </c>
      <c r="C9801" s="27" t="s">
        <v>144</v>
      </c>
      <c r="D9801" s="26"/>
      <c r="E9801" s="27"/>
      <c r="F9801" s="27"/>
      <c r="G9801" s="27" t="s">
        <v>11122</v>
      </c>
      <c r="H9801" s="27" t="s">
        <v>35</v>
      </c>
      <c r="I9801" s="27" t="s">
        <v>38</v>
      </c>
      <c r="J9801" s="28" t="s">
        <v>913</v>
      </c>
      <c r="K9801" s="27" t="s">
        <v>38</v>
      </c>
      <c r="L9801" s="27"/>
    </row>
    <row r="9802" customFormat="false" ht="15" hidden="false" customHeight="false" outlineLevel="0" collapsed="false">
      <c r="A9802" s="26" t="s">
        <v>24517</v>
      </c>
      <c r="B9802" s="27" t="s">
        <v>24518</v>
      </c>
      <c r="C9802" s="27" t="s">
        <v>144</v>
      </c>
      <c r="D9802" s="26"/>
      <c r="E9802" s="27"/>
      <c r="F9802" s="27"/>
      <c r="G9802" s="27" t="s">
        <v>11122</v>
      </c>
      <c r="H9802" s="27" t="s">
        <v>35</v>
      </c>
      <c r="I9802" s="27" t="s">
        <v>45</v>
      </c>
      <c r="J9802" s="28" t="s">
        <v>913</v>
      </c>
      <c r="K9802" s="27" t="s">
        <v>38</v>
      </c>
      <c r="L9802" s="27"/>
    </row>
    <row r="9803" customFormat="false" ht="15" hidden="false" customHeight="false" outlineLevel="0" collapsed="false">
      <c r="A9803" s="26" t="s">
        <v>24519</v>
      </c>
      <c r="B9803" s="27" t="s">
        <v>24520</v>
      </c>
      <c r="C9803" s="27" t="s">
        <v>144</v>
      </c>
      <c r="D9803" s="26"/>
      <c r="E9803" s="27"/>
      <c r="F9803" s="27"/>
      <c r="G9803" s="27" t="s">
        <v>11122</v>
      </c>
      <c r="H9803" s="27" t="s">
        <v>35</v>
      </c>
      <c r="I9803" s="27" t="s">
        <v>38</v>
      </c>
      <c r="J9803" s="28" t="s">
        <v>913</v>
      </c>
      <c r="K9803" s="27" t="s">
        <v>38</v>
      </c>
      <c r="L9803" s="27"/>
    </row>
    <row r="9804" customFormat="false" ht="15" hidden="false" customHeight="false" outlineLevel="0" collapsed="false">
      <c r="A9804" s="26" t="s">
        <v>24521</v>
      </c>
      <c r="B9804" s="27" t="s">
        <v>24522</v>
      </c>
      <c r="C9804" s="27" t="s">
        <v>144</v>
      </c>
      <c r="D9804" s="26"/>
      <c r="E9804" s="27"/>
      <c r="F9804" s="27"/>
      <c r="G9804" s="27" t="s">
        <v>11122</v>
      </c>
      <c r="H9804" s="27" t="s">
        <v>35</v>
      </c>
      <c r="I9804" s="27" t="s">
        <v>38</v>
      </c>
      <c r="J9804" s="28" t="s">
        <v>913</v>
      </c>
      <c r="K9804" s="27" t="s">
        <v>38</v>
      </c>
      <c r="L9804" s="27"/>
    </row>
    <row r="9805" customFormat="false" ht="15" hidden="false" customHeight="false" outlineLevel="0" collapsed="false">
      <c r="A9805" s="26" t="s">
        <v>24523</v>
      </c>
      <c r="B9805" s="27" t="s">
        <v>24524</v>
      </c>
      <c r="C9805" s="27" t="s">
        <v>144</v>
      </c>
      <c r="D9805" s="26"/>
      <c r="E9805" s="27"/>
      <c r="F9805" s="27"/>
      <c r="G9805" s="27" t="s">
        <v>11122</v>
      </c>
      <c r="H9805" s="27" t="s">
        <v>35</v>
      </c>
      <c r="I9805" s="27" t="s">
        <v>41</v>
      </c>
      <c r="J9805" s="28" t="s">
        <v>913</v>
      </c>
      <c r="K9805" s="27" t="s">
        <v>38</v>
      </c>
      <c r="L9805" s="27"/>
    </row>
    <row r="9806" customFormat="false" ht="15" hidden="false" customHeight="false" outlineLevel="0" collapsed="false">
      <c r="A9806" s="26" t="s">
        <v>24525</v>
      </c>
      <c r="B9806" s="27" t="s">
        <v>24526</v>
      </c>
      <c r="C9806" s="27" t="s">
        <v>144</v>
      </c>
      <c r="D9806" s="26"/>
      <c r="E9806" s="27"/>
      <c r="F9806" s="27"/>
      <c r="G9806" s="27" t="s">
        <v>11122</v>
      </c>
      <c r="H9806" s="27" t="s">
        <v>35</v>
      </c>
      <c r="I9806" s="27" t="s">
        <v>45</v>
      </c>
      <c r="J9806" s="28" t="s">
        <v>913</v>
      </c>
      <c r="K9806" s="27" t="s">
        <v>38</v>
      </c>
      <c r="L9806" s="27"/>
    </row>
    <row r="9807" customFormat="false" ht="15" hidden="false" customHeight="false" outlineLevel="0" collapsed="false">
      <c r="A9807" s="26" t="s">
        <v>24527</v>
      </c>
      <c r="B9807" s="27" t="s">
        <v>24528</v>
      </c>
      <c r="C9807" s="27" t="s">
        <v>144</v>
      </c>
      <c r="D9807" s="26"/>
      <c r="E9807" s="27"/>
      <c r="F9807" s="27"/>
      <c r="G9807" s="27" t="s">
        <v>11122</v>
      </c>
      <c r="H9807" s="27" t="s">
        <v>35</v>
      </c>
      <c r="I9807" s="27" t="s">
        <v>41</v>
      </c>
      <c r="J9807" s="28" t="s">
        <v>913</v>
      </c>
      <c r="K9807" s="27" t="s">
        <v>38</v>
      </c>
      <c r="L9807" s="27"/>
    </row>
    <row r="9808" customFormat="false" ht="15" hidden="false" customHeight="false" outlineLevel="0" collapsed="false">
      <c r="A9808" s="26" t="s">
        <v>24529</v>
      </c>
      <c r="B9808" s="27" t="s">
        <v>24530</v>
      </c>
      <c r="C9808" s="27" t="s">
        <v>144</v>
      </c>
      <c r="D9808" s="26"/>
      <c r="E9808" s="27"/>
      <c r="F9808" s="27"/>
      <c r="G9808" s="27" t="s">
        <v>11122</v>
      </c>
      <c r="H9808" s="27" t="s">
        <v>35</v>
      </c>
      <c r="I9808" s="27" t="s">
        <v>38</v>
      </c>
      <c r="J9808" s="28" t="s">
        <v>913</v>
      </c>
      <c r="K9808" s="27" t="s">
        <v>38</v>
      </c>
      <c r="L9808" s="27"/>
    </row>
    <row r="9809" customFormat="false" ht="15" hidden="false" customHeight="false" outlineLevel="0" collapsed="false">
      <c r="A9809" s="26" t="s">
        <v>24531</v>
      </c>
      <c r="B9809" s="27" t="s">
        <v>24532</v>
      </c>
      <c r="C9809" s="27" t="s">
        <v>144</v>
      </c>
      <c r="D9809" s="26"/>
      <c r="E9809" s="27"/>
      <c r="F9809" s="27"/>
      <c r="G9809" s="27" t="s">
        <v>11122</v>
      </c>
      <c r="H9809" s="27" t="s">
        <v>35</v>
      </c>
      <c r="I9809" s="27" t="s">
        <v>45</v>
      </c>
      <c r="J9809" s="28" t="s">
        <v>913</v>
      </c>
      <c r="K9809" s="27" t="s">
        <v>38</v>
      </c>
      <c r="L9809" s="27"/>
    </row>
    <row r="9810" customFormat="false" ht="15" hidden="false" customHeight="false" outlineLevel="0" collapsed="false">
      <c r="A9810" s="26" t="s">
        <v>24533</v>
      </c>
      <c r="B9810" s="27" t="s">
        <v>24534</v>
      </c>
      <c r="C9810" s="27" t="s">
        <v>144</v>
      </c>
      <c r="D9810" s="26"/>
      <c r="E9810" s="27"/>
      <c r="F9810" s="27"/>
      <c r="G9810" s="27" t="s">
        <v>11122</v>
      </c>
      <c r="H9810" s="27" t="s">
        <v>35</v>
      </c>
      <c r="I9810" s="27" t="s">
        <v>38</v>
      </c>
      <c r="J9810" s="28" t="s">
        <v>913</v>
      </c>
      <c r="K9810" s="27" t="s">
        <v>38</v>
      </c>
      <c r="L9810" s="27"/>
    </row>
    <row r="9811" customFormat="false" ht="15" hidden="false" customHeight="false" outlineLevel="0" collapsed="false">
      <c r="A9811" s="26" t="s">
        <v>24535</v>
      </c>
      <c r="B9811" s="27" t="s">
        <v>24536</v>
      </c>
      <c r="C9811" s="27" t="s">
        <v>144</v>
      </c>
      <c r="D9811" s="26"/>
      <c r="E9811" s="27"/>
      <c r="F9811" s="27"/>
      <c r="G9811" s="27" t="s">
        <v>11122</v>
      </c>
      <c r="H9811" s="27" t="s">
        <v>35</v>
      </c>
      <c r="I9811" s="27" t="s">
        <v>38</v>
      </c>
      <c r="J9811" s="28" t="s">
        <v>913</v>
      </c>
      <c r="K9811" s="27" t="s">
        <v>38</v>
      </c>
      <c r="L9811" s="27"/>
    </row>
    <row r="9812" customFormat="false" ht="15" hidden="false" customHeight="false" outlineLevel="0" collapsed="false">
      <c r="A9812" s="26" t="s">
        <v>24537</v>
      </c>
      <c r="B9812" s="27" t="s">
        <v>24538</v>
      </c>
      <c r="C9812" s="27" t="s">
        <v>144</v>
      </c>
      <c r="D9812" s="26"/>
      <c r="E9812" s="27"/>
      <c r="F9812" s="27"/>
      <c r="G9812" s="27" t="s">
        <v>11122</v>
      </c>
      <c r="H9812" s="27" t="s">
        <v>35</v>
      </c>
      <c r="I9812" s="27" t="s">
        <v>41</v>
      </c>
      <c r="J9812" s="28" t="s">
        <v>913</v>
      </c>
      <c r="K9812" s="27" t="s">
        <v>38</v>
      </c>
      <c r="L9812" s="27"/>
    </row>
    <row r="9813" customFormat="false" ht="15" hidden="false" customHeight="false" outlineLevel="0" collapsed="false">
      <c r="A9813" s="26" t="s">
        <v>24539</v>
      </c>
      <c r="B9813" s="27" t="s">
        <v>24540</v>
      </c>
      <c r="C9813" s="27" t="s">
        <v>144</v>
      </c>
      <c r="D9813" s="26"/>
      <c r="E9813" s="27"/>
      <c r="F9813" s="27"/>
      <c r="G9813" s="27" t="s">
        <v>11122</v>
      </c>
      <c r="H9813" s="27" t="s">
        <v>35</v>
      </c>
      <c r="I9813" s="27" t="s">
        <v>38</v>
      </c>
      <c r="J9813" s="28" t="s">
        <v>913</v>
      </c>
      <c r="K9813" s="27" t="s">
        <v>38</v>
      </c>
      <c r="L9813" s="27"/>
    </row>
    <row r="9814" customFormat="false" ht="15" hidden="false" customHeight="false" outlineLevel="0" collapsed="false">
      <c r="A9814" s="26" t="s">
        <v>24541</v>
      </c>
      <c r="B9814" s="27" t="s">
        <v>24542</v>
      </c>
      <c r="C9814" s="27" t="s">
        <v>144</v>
      </c>
      <c r="D9814" s="26"/>
      <c r="E9814" s="27"/>
      <c r="F9814" s="27"/>
      <c r="G9814" s="27" t="s">
        <v>11122</v>
      </c>
      <c r="H9814" s="27" t="s">
        <v>35</v>
      </c>
      <c r="I9814" s="27" t="s">
        <v>38</v>
      </c>
      <c r="J9814" s="28" t="s">
        <v>913</v>
      </c>
      <c r="K9814" s="27" t="s">
        <v>38</v>
      </c>
      <c r="L9814" s="27"/>
    </row>
    <row r="9815" customFormat="false" ht="15" hidden="false" customHeight="false" outlineLevel="0" collapsed="false">
      <c r="A9815" s="26" t="s">
        <v>24543</v>
      </c>
      <c r="B9815" s="27" t="s">
        <v>24544</v>
      </c>
      <c r="C9815" s="27" t="s">
        <v>144</v>
      </c>
      <c r="D9815" s="26"/>
      <c r="E9815" s="27"/>
      <c r="F9815" s="27"/>
      <c r="G9815" s="27" t="s">
        <v>11122</v>
      </c>
      <c r="H9815" s="27" t="s">
        <v>35</v>
      </c>
      <c r="I9815" s="27" t="s">
        <v>38</v>
      </c>
      <c r="J9815" s="28" t="s">
        <v>913</v>
      </c>
      <c r="K9815" s="27" t="s">
        <v>38</v>
      </c>
      <c r="L9815" s="27"/>
    </row>
    <row r="9816" customFormat="false" ht="15" hidden="false" customHeight="false" outlineLevel="0" collapsed="false">
      <c r="A9816" s="26" t="s">
        <v>24545</v>
      </c>
      <c r="B9816" s="27" t="s">
        <v>24546</v>
      </c>
      <c r="C9816" s="27" t="s">
        <v>144</v>
      </c>
      <c r="D9816" s="26"/>
      <c r="E9816" s="27"/>
      <c r="F9816" s="27"/>
      <c r="G9816" s="27" t="s">
        <v>11122</v>
      </c>
      <c r="H9816" s="27" t="s">
        <v>35</v>
      </c>
      <c r="I9816" s="27" t="s">
        <v>49</v>
      </c>
      <c r="J9816" s="28" t="s">
        <v>913</v>
      </c>
      <c r="K9816" s="27" t="s">
        <v>38</v>
      </c>
      <c r="L9816" s="27"/>
    </row>
    <row r="9817" customFormat="false" ht="15" hidden="false" customHeight="false" outlineLevel="0" collapsed="false">
      <c r="A9817" s="26" t="s">
        <v>24547</v>
      </c>
      <c r="B9817" s="27" t="s">
        <v>24548</v>
      </c>
      <c r="C9817" s="27" t="s">
        <v>144</v>
      </c>
      <c r="D9817" s="26"/>
      <c r="E9817" s="27"/>
      <c r="F9817" s="27"/>
      <c r="G9817" s="27" t="s">
        <v>11122</v>
      </c>
      <c r="H9817" s="27" t="s">
        <v>35</v>
      </c>
      <c r="I9817" s="27" t="s">
        <v>41</v>
      </c>
      <c r="J9817" s="28" t="s">
        <v>913</v>
      </c>
      <c r="K9817" s="27" t="s">
        <v>38</v>
      </c>
      <c r="L9817" s="27"/>
    </row>
    <row r="9818" customFormat="false" ht="15" hidden="false" customHeight="false" outlineLevel="0" collapsed="false">
      <c r="A9818" s="26" t="s">
        <v>24549</v>
      </c>
      <c r="B9818" s="27" t="s">
        <v>24550</v>
      </c>
      <c r="C9818" s="27" t="s">
        <v>144</v>
      </c>
      <c r="D9818" s="26"/>
      <c r="E9818" s="27"/>
      <c r="F9818" s="27"/>
      <c r="G9818" s="27" t="s">
        <v>11122</v>
      </c>
      <c r="H9818" s="27" t="s">
        <v>35</v>
      </c>
      <c r="I9818" s="27" t="s">
        <v>45</v>
      </c>
      <c r="J9818" s="28" t="s">
        <v>913</v>
      </c>
      <c r="K9818" s="27" t="s">
        <v>38</v>
      </c>
      <c r="L9818" s="27"/>
    </row>
    <row r="9819" customFormat="false" ht="15" hidden="false" customHeight="false" outlineLevel="0" collapsed="false">
      <c r="A9819" s="26" t="s">
        <v>24551</v>
      </c>
      <c r="B9819" s="27" t="s">
        <v>24552</v>
      </c>
      <c r="C9819" s="27" t="s">
        <v>144</v>
      </c>
      <c r="D9819" s="26"/>
      <c r="E9819" s="27"/>
      <c r="F9819" s="27"/>
      <c r="G9819" s="27" t="s">
        <v>11122</v>
      </c>
      <c r="H9819" s="27" t="s">
        <v>35</v>
      </c>
      <c r="I9819" s="27" t="s">
        <v>45</v>
      </c>
      <c r="J9819" s="28" t="s">
        <v>913</v>
      </c>
      <c r="K9819" s="27" t="s">
        <v>38</v>
      </c>
      <c r="L9819" s="27"/>
    </row>
    <row r="9820" customFormat="false" ht="15" hidden="false" customHeight="false" outlineLevel="0" collapsed="false">
      <c r="A9820" s="26" t="s">
        <v>24553</v>
      </c>
      <c r="B9820" s="27" t="s">
        <v>24554</v>
      </c>
      <c r="C9820" s="27" t="s">
        <v>144</v>
      </c>
      <c r="D9820" s="26"/>
      <c r="E9820" s="27"/>
      <c r="F9820" s="27"/>
      <c r="G9820" s="27" t="s">
        <v>11122</v>
      </c>
      <c r="H9820" s="27" t="s">
        <v>35</v>
      </c>
      <c r="I9820" s="27" t="s">
        <v>38</v>
      </c>
      <c r="J9820" s="28" t="s">
        <v>913</v>
      </c>
      <c r="K9820" s="27" t="s">
        <v>38</v>
      </c>
      <c r="L9820" s="27"/>
    </row>
    <row r="9821" customFormat="false" ht="15" hidden="false" customHeight="false" outlineLevel="0" collapsed="false">
      <c r="A9821" s="26" t="s">
        <v>24555</v>
      </c>
      <c r="B9821" s="27" t="s">
        <v>24556</v>
      </c>
      <c r="C9821" s="27" t="s">
        <v>144</v>
      </c>
      <c r="D9821" s="26"/>
      <c r="E9821" s="27"/>
      <c r="F9821" s="27"/>
      <c r="G9821" s="27" t="s">
        <v>11122</v>
      </c>
      <c r="H9821" s="27" t="s">
        <v>35</v>
      </c>
      <c r="I9821" s="27" t="s">
        <v>38</v>
      </c>
      <c r="J9821" s="28" t="s">
        <v>913</v>
      </c>
      <c r="K9821" s="27" t="s">
        <v>38</v>
      </c>
      <c r="L9821" s="27"/>
    </row>
    <row r="9822" customFormat="false" ht="15" hidden="false" customHeight="false" outlineLevel="0" collapsed="false">
      <c r="A9822" s="26" t="s">
        <v>24557</v>
      </c>
      <c r="B9822" s="27" t="s">
        <v>24558</v>
      </c>
      <c r="C9822" s="27" t="s">
        <v>144</v>
      </c>
      <c r="D9822" s="26"/>
      <c r="E9822" s="27"/>
      <c r="F9822" s="27"/>
      <c r="G9822" s="27" t="s">
        <v>11122</v>
      </c>
      <c r="H9822" s="27" t="s">
        <v>35</v>
      </c>
      <c r="I9822" s="27" t="s">
        <v>37</v>
      </c>
      <c r="J9822" s="28" t="s">
        <v>913</v>
      </c>
      <c r="K9822" s="27" t="s">
        <v>38</v>
      </c>
      <c r="L9822" s="27"/>
    </row>
    <row r="9823" customFormat="false" ht="15" hidden="false" customHeight="false" outlineLevel="0" collapsed="false">
      <c r="A9823" s="26" t="s">
        <v>24559</v>
      </c>
      <c r="B9823" s="27" t="s">
        <v>24560</v>
      </c>
      <c r="C9823" s="27" t="s">
        <v>144</v>
      </c>
      <c r="D9823" s="26"/>
      <c r="E9823" s="27"/>
      <c r="F9823" s="27"/>
      <c r="G9823" s="27" t="s">
        <v>11122</v>
      </c>
      <c r="H9823" s="27" t="s">
        <v>35</v>
      </c>
      <c r="I9823" s="27" t="s">
        <v>41</v>
      </c>
      <c r="J9823" s="28" t="s">
        <v>913</v>
      </c>
      <c r="K9823" s="27" t="s">
        <v>38</v>
      </c>
      <c r="L9823" s="27"/>
    </row>
    <row r="9824" customFormat="false" ht="15" hidden="false" customHeight="false" outlineLevel="0" collapsed="false">
      <c r="A9824" s="26" t="s">
        <v>24561</v>
      </c>
      <c r="B9824" s="27" t="s">
        <v>24562</v>
      </c>
      <c r="C9824" s="27" t="s">
        <v>144</v>
      </c>
      <c r="D9824" s="26"/>
      <c r="E9824" s="27"/>
      <c r="F9824" s="27"/>
      <c r="G9824" s="27" t="s">
        <v>11122</v>
      </c>
      <c r="H9824" s="27" t="s">
        <v>35</v>
      </c>
      <c r="I9824" s="27" t="s">
        <v>44</v>
      </c>
      <c r="J9824" s="28" t="s">
        <v>913</v>
      </c>
      <c r="K9824" s="27" t="s">
        <v>38</v>
      </c>
      <c r="L9824" s="27"/>
    </row>
    <row r="9825" customFormat="false" ht="15" hidden="false" customHeight="false" outlineLevel="0" collapsed="false">
      <c r="A9825" s="26" t="s">
        <v>24563</v>
      </c>
      <c r="B9825" s="27" t="s">
        <v>24564</v>
      </c>
      <c r="C9825" s="27" t="s">
        <v>144</v>
      </c>
      <c r="D9825" s="26"/>
      <c r="E9825" s="27"/>
      <c r="F9825" s="27"/>
      <c r="G9825" s="27" t="s">
        <v>11122</v>
      </c>
      <c r="H9825" s="27" t="s">
        <v>35</v>
      </c>
      <c r="I9825" s="27" t="s">
        <v>38</v>
      </c>
      <c r="J9825" s="28" t="s">
        <v>913</v>
      </c>
      <c r="K9825" s="27" t="s">
        <v>38</v>
      </c>
      <c r="L9825" s="27"/>
    </row>
    <row r="9826" customFormat="false" ht="15" hidden="false" customHeight="false" outlineLevel="0" collapsed="false">
      <c r="A9826" s="26" t="s">
        <v>24565</v>
      </c>
      <c r="B9826" s="27" t="s">
        <v>24566</v>
      </c>
      <c r="C9826" s="27" t="s">
        <v>144</v>
      </c>
      <c r="D9826" s="26"/>
      <c r="E9826" s="27"/>
      <c r="F9826" s="27"/>
      <c r="G9826" s="27" t="s">
        <v>11122</v>
      </c>
      <c r="H9826" s="27" t="s">
        <v>35</v>
      </c>
      <c r="I9826" s="27" t="s">
        <v>38</v>
      </c>
      <c r="J9826" s="28" t="s">
        <v>913</v>
      </c>
      <c r="K9826" s="27" t="s">
        <v>38</v>
      </c>
      <c r="L9826" s="27"/>
    </row>
    <row r="9827" customFormat="false" ht="15" hidden="false" customHeight="false" outlineLevel="0" collapsed="false">
      <c r="A9827" s="26" t="s">
        <v>24567</v>
      </c>
      <c r="B9827" s="27" t="s">
        <v>24568</v>
      </c>
      <c r="C9827" s="27" t="s">
        <v>144</v>
      </c>
      <c r="D9827" s="26"/>
      <c r="E9827" s="27"/>
      <c r="F9827" s="27"/>
      <c r="G9827" s="27" t="s">
        <v>11122</v>
      </c>
      <c r="H9827" s="27" t="s">
        <v>35</v>
      </c>
      <c r="I9827" s="27" t="s">
        <v>38</v>
      </c>
      <c r="J9827" s="28" t="s">
        <v>913</v>
      </c>
      <c r="K9827" s="27" t="s">
        <v>38</v>
      </c>
      <c r="L9827" s="27"/>
    </row>
    <row r="9828" customFormat="false" ht="15" hidden="false" customHeight="false" outlineLevel="0" collapsed="false">
      <c r="A9828" s="26" t="s">
        <v>24569</v>
      </c>
      <c r="B9828" s="27" t="s">
        <v>24570</v>
      </c>
      <c r="C9828" s="27" t="s">
        <v>144</v>
      </c>
      <c r="D9828" s="26"/>
      <c r="E9828" s="27"/>
      <c r="F9828" s="27"/>
      <c r="G9828" s="27" t="s">
        <v>11122</v>
      </c>
      <c r="H9828" s="27" t="s">
        <v>35</v>
      </c>
      <c r="I9828" s="27" t="s">
        <v>38</v>
      </c>
      <c r="J9828" s="28" t="s">
        <v>913</v>
      </c>
      <c r="K9828" s="27" t="s">
        <v>38</v>
      </c>
      <c r="L9828" s="27"/>
    </row>
    <row r="9829" customFormat="false" ht="15" hidden="false" customHeight="false" outlineLevel="0" collapsed="false">
      <c r="A9829" s="26" t="s">
        <v>24571</v>
      </c>
      <c r="B9829" s="27" t="s">
        <v>24572</v>
      </c>
      <c r="C9829" s="27" t="s">
        <v>144</v>
      </c>
      <c r="D9829" s="26"/>
      <c r="E9829" s="27"/>
      <c r="F9829" s="27"/>
      <c r="G9829" s="27" t="s">
        <v>11122</v>
      </c>
      <c r="H9829" s="27" t="s">
        <v>35</v>
      </c>
      <c r="I9829" s="27" t="s">
        <v>38</v>
      </c>
      <c r="J9829" s="28" t="s">
        <v>913</v>
      </c>
      <c r="K9829" s="27" t="s">
        <v>38</v>
      </c>
      <c r="L9829" s="27"/>
    </row>
    <row r="9830" customFormat="false" ht="15" hidden="false" customHeight="false" outlineLevel="0" collapsed="false">
      <c r="A9830" s="26" t="s">
        <v>24573</v>
      </c>
      <c r="B9830" s="27" t="s">
        <v>24574</v>
      </c>
      <c r="C9830" s="27" t="s">
        <v>144</v>
      </c>
      <c r="D9830" s="26"/>
      <c r="E9830" s="27"/>
      <c r="F9830" s="27"/>
      <c r="G9830" s="27" t="s">
        <v>11122</v>
      </c>
      <c r="H9830" s="27" t="s">
        <v>35</v>
      </c>
      <c r="I9830" s="27" t="s">
        <v>38</v>
      </c>
      <c r="J9830" s="28" t="s">
        <v>913</v>
      </c>
      <c r="K9830" s="27" t="s">
        <v>38</v>
      </c>
      <c r="L9830" s="27"/>
    </row>
    <row r="9831" customFormat="false" ht="15" hidden="false" customHeight="false" outlineLevel="0" collapsed="false">
      <c r="A9831" s="26" t="s">
        <v>24575</v>
      </c>
      <c r="B9831" s="27" t="s">
        <v>24576</v>
      </c>
      <c r="C9831" s="27" t="s">
        <v>144</v>
      </c>
      <c r="D9831" s="26"/>
      <c r="E9831" s="27"/>
      <c r="F9831" s="27"/>
      <c r="G9831" s="27" t="s">
        <v>11122</v>
      </c>
      <c r="H9831" s="27" t="s">
        <v>35</v>
      </c>
      <c r="I9831" s="27" t="s">
        <v>38</v>
      </c>
      <c r="J9831" s="28" t="s">
        <v>913</v>
      </c>
      <c r="K9831" s="27" t="s">
        <v>38</v>
      </c>
      <c r="L9831" s="27"/>
    </row>
    <row r="9832" customFormat="false" ht="15" hidden="false" customHeight="false" outlineLevel="0" collapsed="false">
      <c r="A9832" s="26" t="s">
        <v>24577</v>
      </c>
      <c r="B9832" s="27" t="s">
        <v>24578</v>
      </c>
      <c r="C9832" s="27" t="s">
        <v>144</v>
      </c>
      <c r="D9832" s="26"/>
      <c r="E9832" s="27"/>
      <c r="F9832" s="27"/>
      <c r="G9832" s="27" t="s">
        <v>11122</v>
      </c>
      <c r="H9832" s="27" t="s">
        <v>35</v>
      </c>
      <c r="I9832" s="27" t="s">
        <v>38</v>
      </c>
      <c r="J9832" s="28" t="s">
        <v>913</v>
      </c>
      <c r="K9832" s="27" t="s">
        <v>38</v>
      </c>
      <c r="L9832" s="27"/>
    </row>
    <row r="9833" customFormat="false" ht="15" hidden="false" customHeight="false" outlineLevel="0" collapsed="false">
      <c r="A9833" s="26" t="s">
        <v>24579</v>
      </c>
      <c r="B9833" s="27" t="s">
        <v>24580</v>
      </c>
      <c r="C9833" s="27" t="s">
        <v>144</v>
      </c>
      <c r="D9833" s="26"/>
      <c r="E9833" s="27"/>
      <c r="F9833" s="27"/>
      <c r="G9833" s="27" t="s">
        <v>11122</v>
      </c>
      <c r="H9833" s="27" t="s">
        <v>35</v>
      </c>
      <c r="I9833" s="27" t="s">
        <v>41</v>
      </c>
      <c r="J9833" s="28" t="s">
        <v>913</v>
      </c>
      <c r="K9833" s="27" t="s">
        <v>38</v>
      </c>
      <c r="L9833" s="27"/>
    </row>
    <row r="9834" customFormat="false" ht="15" hidden="false" customHeight="false" outlineLevel="0" collapsed="false">
      <c r="A9834" s="26" t="s">
        <v>24581</v>
      </c>
      <c r="B9834" s="27" t="s">
        <v>24582</v>
      </c>
      <c r="C9834" s="27" t="s">
        <v>144</v>
      </c>
      <c r="D9834" s="26"/>
      <c r="E9834" s="27"/>
      <c r="F9834" s="27"/>
      <c r="G9834" s="27" t="s">
        <v>11122</v>
      </c>
      <c r="H9834" s="27" t="s">
        <v>35</v>
      </c>
      <c r="I9834" s="27" t="s">
        <v>42</v>
      </c>
      <c r="J9834" s="28" t="s">
        <v>913</v>
      </c>
      <c r="K9834" s="27" t="s">
        <v>38</v>
      </c>
      <c r="L9834" s="27"/>
    </row>
    <row r="9835" customFormat="false" ht="15" hidden="false" customHeight="false" outlineLevel="0" collapsed="false">
      <c r="A9835" s="26" t="s">
        <v>24583</v>
      </c>
      <c r="B9835" s="27" t="s">
        <v>24584</v>
      </c>
      <c r="C9835" s="27" t="s">
        <v>144</v>
      </c>
      <c r="D9835" s="26"/>
      <c r="E9835" s="27"/>
      <c r="F9835" s="27"/>
      <c r="G9835" s="27" t="s">
        <v>11122</v>
      </c>
      <c r="H9835" s="27" t="s">
        <v>35</v>
      </c>
      <c r="I9835" s="27" t="s">
        <v>38</v>
      </c>
      <c r="J9835" s="28" t="s">
        <v>913</v>
      </c>
      <c r="K9835" s="27" t="s">
        <v>38</v>
      </c>
      <c r="L9835" s="27"/>
    </row>
    <row r="9836" customFormat="false" ht="15" hidden="false" customHeight="false" outlineLevel="0" collapsed="false">
      <c r="A9836" s="26" t="s">
        <v>24585</v>
      </c>
      <c r="B9836" s="27" t="s">
        <v>24586</v>
      </c>
      <c r="C9836" s="27" t="s">
        <v>144</v>
      </c>
      <c r="D9836" s="26"/>
      <c r="E9836" s="27"/>
      <c r="F9836" s="27"/>
      <c r="G9836" s="27" t="s">
        <v>11122</v>
      </c>
      <c r="H9836" s="27" t="s">
        <v>35</v>
      </c>
      <c r="I9836" s="27" t="s">
        <v>41</v>
      </c>
      <c r="J9836" s="28" t="s">
        <v>913</v>
      </c>
      <c r="K9836" s="27" t="s">
        <v>38</v>
      </c>
      <c r="L9836" s="27"/>
    </row>
    <row r="9837" customFormat="false" ht="15" hidden="false" customHeight="false" outlineLevel="0" collapsed="false">
      <c r="A9837" s="26" t="s">
        <v>24587</v>
      </c>
      <c r="B9837" s="27" t="s">
        <v>24588</v>
      </c>
      <c r="C9837" s="27" t="s">
        <v>144</v>
      </c>
      <c r="D9837" s="26"/>
      <c r="E9837" s="27"/>
      <c r="F9837" s="27"/>
      <c r="G9837" s="27" t="s">
        <v>11122</v>
      </c>
      <c r="H9837" s="27" t="s">
        <v>35</v>
      </c>
      <c r="I9837" s="27" t="s">
        <v>41</v>
      </c>
      <c r="J9837" s="28" t="s">
        <v>913</v>
      </c>
      <c r="K9837" s="27" t="s">
        <v>38</v>
      </c>
      <c r="L9837" s="27"/>
    </row>
    <row r="9838" customFormat="false" ht="15" hidden="false" customHeight="false" outlineLevel="0" collapsed="false">
      <c r="A9838" s="26" t="s">
        <v>24589</v>
      </c>
      <c r="B9838" s="27" t="s">
        <v>24590</v>
      </c>
      <c r="C9838" s="27" t="s">
        <v>144</v>
      </c>
      <c r="D9838" s="26"/>
      <c r="E9838" s="27"/>
      <c r="F9838" s="27"/>
      <c r="G9838" s="27" t="s">
        <v>11122</v>
      </c>
      <c r="H9838" s="27" t="s">
        <v>35</v>
      </c>
      <c r="I9838" s="27" t="s">
        <v>38</v>
      </c>
      <c r="J9838" s="28" t="s">
        <v>913</v>
      </c>
      <c r="K9838" s="27" t="s">
        <v>38</v>
      </c>
      <c r="L9838" s="27"/>
    </row>
    <row r="9839" customFormat="false" ht="15" hidden="false" customHeight="false" outlineLevel="0" collapsed="false">
      <c r="A9839" s="26" t="s">
        <v>24591</v>
      </c>
      <c r="B9839" s="27" t="s">
        <v>24592</v>
      </c>
      <c r="C9839" s="27" t="s">
        <v>144</v>
      </c>
      <c r="D9839" s="26"/>
      <c r="E9839" s="27"/>
      <c r="F9839" s="27"/>
      <c r="G9839" s="27" t="s">
        <v>11122</v>
      </c>
      <c r="H9839" s="27" t="s">
        <v>35</v>
      </c>
      <c r="I9839" s="27" t="s">
        <v>38</v>
      </c>
      <c r="J9839" s="28" t="s">
        <v>913</v>
      </c>
      <c r="K9839" s="27" t="s">
        <v>38</v>
      </c>
      <c r="L9839" s="27"/>
    </row>
    <row r="9840" customFormat="false" ht="15" hidden="false" customHeight="false" outlineLevel="0" collapsed="false">
      <c r="A9840" s="26" t="s">
        <v>24593</v>
      </c>
      <c r="B9840" s="27" t="s">
        <v>24594</v>
      </c>
      <c r="C9840" s="27" t="s">
        <v>144</v>
      </c>
      <c r="D9840" s="26"/>
      <c r="E9840" s="27"/>
      <c r="F9840" s="27"/>
      <c r="G9840" s="27" t="s">
        <v>11122</v>
      </c>
      <c r="H9840" s="27" t="s">
        <v>35</v>
      </c>
      <c r="I9840" s="27" t="s">
        <v>38</v>
      </c>
      <c r="J9840" s="28" t="s">
        <v>913</v>
      </c>
      <c r="K9840" s="27" t="s">
        <v>38</v>
      </c>
      <c r="L9840" s="27"/>
    </row>
    <row r="9841" customFormat="false" ht="15" hidden="false" customHeight="false" outlineLevel="0" collapsed="false">
      <c r="A9841" s="26" t="s">
        <v>24595</v>
      </c>
      <c r="B9841" s="27" t="s">
        <v>24596</v>
      </c>
      <c r="C9841" s="27" t="s">
        <v>144</v>
      </c>
      <c r="D9841" s="26"/>
      <c r="E9841" s="27"/>
      <c r="F9841" s="27"/>
      <c r="G9841" s="27" t="s">
        <v>11122</v>
      </c>
      <c r="H9841" s="27" t="s">
        <v>35</v>
      </c>
      <c r="I9841" s="27" t="s">
        <v>38</v>
      </c>
      <c r="J9841" s="28" t="s">
        <v>913</v>
      </c>
      <c r="K9841" s="27" t="s">
        <v>38</v>
      </c>
      <c r="L9841" s="27"/>
    </row>
    <row r="9842" customFormat="false" ht="15" hidden="false" customHeight="false" outlineLevel="0" collapsed="false">
      <c r="A9842" s="26" t="s">
        <v>24597</v>
      </c>
      <c r="B9842" s="27" t="s">
        <v>24598</v>
      </c>
      <c r="C9842" s="27" t="s">
        <v>1612</v>
      </c>
      <c r="D9842" s="26"/>
      <c r="E9842" s="27"/>
      <c r="F9842" s="27"/>
      <c r="G9842" s="27" t="s">
        <v>11122</v>
      </c>
      <c r="H9842" s="27" t="s">
        <v>35</v>
      </c>
      <c r="I9842" s="27" t="s">
        <v>38</v>
      </c>
      <c r="J9842" s="28" t="s">
        <v>913</v>
      </c>
      <c r="K9842" s="27" t="s">
        <v>38</v>
      </c>
      <c r="L9842" s="27"/>
    </row>
    <row r="9843" customFormat="false" ht="15" hidden="false" customHeight="false" outlineLevel="0" collapsed="false">
      <c r="A9843" s="26" t="s">
        <v>24599</v>
      </c>
      <c r="B9843" s="27" t="s">
        <v>24600</v>
      </c>
      <c r="C9843" s="27" t="s">
        <v>144</v>
      </c>
      <c r="D9843" s="26"/>
      <c r="E9843" s="27"/>
      <c r="F9843" s="27"/>
      <c r="G9843" s="27" t="s">
        <v>11122</v>
      </c>
      <c r="H9843" s="27" t="s">
        <v>35</v>
      </c>
      <c r="I9843" s="27" t="s">
        <v>38</v>
      </c>
      <c r="J9843" s="28" t="s">
        <v>913</v>
      </c>
      <c r="K9843" s="27" t="s">
        <v>38</v>
      </c>
      <c r="L9843" s="27"/>
    </row>
    <row r="9844" customFormat="false" ht="15" hidden="false" customHeight="false" outlineLevel="0" collapsed="false">
      <c r="A9844" s="26" t="s">
        <v>24601</v>
      </c>
      <c r="B9844" s="27" t="s">
        <v>24602</v>
      </c>
      <c r="C9844" s="27" t="s">
        <v>144</v>
      </c>
      <c r="D9844" s="26"/>
      <c r="E9844" s="27"/>
      <c r="F9844" s="27"/>
      <c r="G9844" s="27" t="s">
        <v>11122</v>
      </c>
      <c r="H9844" s="27" t="s">
        <v>35</v>
      </c>
      <c r="I9844" s="27" t="s">
        <v>38</v>
      </c>
      <c r="J9844" s="28" t="s">
        <v>913</v>
      </c>
      <c r="K9844" s="27" t="s">
        <v>38</v>
      </c>
      <c r="L9844" s="27"/>
    </row>
    <row r="9845" customFormat="false" ht="15" hidden="false" customHeight="false" outlineLevel="0" collapsed="false">
      <c r="A9845" s="26" t="s">
        <v>24603</v>
      </c>
      <c r="B9845" s="27" t="s">
        <v>24604</v>
      </c>
      <c r="C9845" s="27" t="s">
        <v>144</v>
      </c>
      <c r="D9845" s="26"/>
      <c r="E9845" s="27"/>
      <c r="F9845" s="27"/>
      <c r="G9845" s="27" t="s">
        <v>11122</v>
      </c>
      <c r="H9845" s="27" t="s">
        <v>35</v>
      </c>
      <c r="I9845" s="27" t="s">
        <v>41</v>
      </c>
      <c r="J9845" s="28" t="s">
        <v>913</v>
      </c>
      <c r="K9845" s="27" t="s">
        <v>38</v>
      </c>
      <c r="L9845" s="27"/>
    </row>
    <row r="9846" customFormat="false" ht="15" hidden="false" customHeight="false" outlineLevel="0" collapsed="false">
      <c r="A9846" s="26" t="s">
        <v>24605</v>
      </c>
      <c r="B9846" s="27" t="s">
        <v>24606</v>
      </c>
      <c r="C9846" s="27" t="s">
        <v>144</v>
      </c>
      <c r="D9846" s="26"/>
      <c r="E9846" s="27"/>
      <c r="F9846" s="27"/>
      <c r="G9846" s="27" t="s">
        <v>11122</v>
      </c>
      <c r="H9846" s="27" t="s">
        <v>35</v>
      </c>
      <c r="I9846" s="27" t="s">
        <v>38</v>
      </c>
      <c r="J9846" s="28" t="s">
        <v>913</v>
      </c>
      <c r="K9846" s="27" t="s">
        <v>38</v>
      </c>
      <c r="L9846" s="27"/>
    </row>
    <row r="9847" customFormat="false" ht="15" hidden="false" customHeight="false" outlineLevel="0" collapsed="false">
      <c r="A9847" s="26" t="s">
        <v>24607</v>
      </c>
      <c r="B9847" s="27" t="s">
        <v>24608</v>
      </c>
      <c r="C9847" s="27" t="s">
        <v>144</v>
      </c>
      <c r="D9847" s="26"/>
      <c r="E9847" s="27"/>
      <c r="F9847" s="27"/>
      <c r="G9847" s="27" t="s">
        <v>11122</v>
      </c>
      <c r="H9847" s="27" t="s">
        <v>35</v>
      </c>
      <c r="I9847" s="27" t="s">
        <v>4159</v>
      </c>
      <c r="J9847" s="28" t="s">
        <v>913</v>
      </c>
      <c r="K9847" s="27" t="s">
        <v>38</v>
      </c>
      <c r="L9847" s="27"/>
    </row>
    <row r="9848" customFormat="false" ht="15" hidden="false" customHeight="false" outlineLevel="0" collapsed="false">
      <c r="A9848" s="26" t="s">
        <v>24609</v>
      </c>
      <c r="B9848" s="27" t="s">
        <v>24610</v>
      </c>
      <c r="C9848" s="27" t="s">
        <v>144</v>
      </c>
      <c r="D9848" s="26"/>
      <c r="E9848" s="27"/>
      <c r="F9848" s="27"/>
      <c r="G9848" s="27" t="s">
        <v>11122</v>
      </c>
      <c r="H9848" s="27" t="s">
        <v>35</v>
      </c>
      <c r="I9848" s="27" t="s">
        <v>38</v>
      </c>
      <c r="J9848" s="28" t="s">
        <v>913</v>
      </c>
      <c r="K9848" s="27" t="s">
        <v>38</v>
      </c>
      <c r="L9848" s="27"/>
    </row>
    <row r="9849" customFormat="false" ht="15" hidden="false" customHeight="false" outlineLevel="0" collapsed="false">
      <c r="A9849" s="26" t="s">
        <v>24611</v>
      </c>
      <c r="B9849" s="27" t="s">
        <v>24612</v>
      </c>
      <c r="C9849" s="27" t="s">
        <v>144</v>
      </c>
      <c r="D9849" s="26"/>
      <c r="E9849" s="27"/>
      <c r="F9849" s="27"/>
      <c r="G9849" s="27" t="s">
        <v>11122</v>
      </c>
      <c r="H9849" s="27" t="s">
        <v>35</v>
      </c>
      <c r="I9849" s="27" t="s">
        <v>38</v>
      </c>
      <c r="J9849" s="28" t="s">
        <v>913</v>
      </c>
      <c r="K9849" s="27" t="s">
        <v>38</v>
      </c>
      <c r="L9849" s="27"/>
    </row>
    <row r="9850" customFormat="false" ht="15" hidden="false" customHeight="false" outlineLevel="0" collapsed="false">
      <c r="A9850" s="26" t="s">
        <v>24613</v>
      </c>
      <c r="B9850" s="27" t="s">
        <v>24614</v>
      </c>
      <c r="C9850" s="27" t="s">
        <v>144</v>
      </c>
      <c r="D9850" s="26"/>
      <c r="E9850" s="27"/>
      <c r="F9850" s="27"/>
      <c r="G9850" s="27" t="s">
        <v>11122</v>
      </c>
      <c r="H9850" s="27" t="s">
        <v>35</v>
      </c>
      <c r="I9850" s="27" t="s">
        <v>41</v>
      </c>
      <c r="J9850" s="28" t="s">
        <v>913</v>
      </c>
      <c r="K9850" s="27" t="s">
        <v>38</v>
      </c>
      <c r="L9850" s="27"/>
    </row>
    <row r="9851" customFormat="false" ht="15" hidden="false" customHeight="false" outlineLevel="0" collapsed="false">
      <c r="A9851" s="26" t="s">
        <v>24615</v>
      </c>
      <c r="B9851" s="27" t="s">
        <v>24616</v>
      </c>
      <c r="C9851" s="27" t="s">
        <v>144</v>
      </c>
      <c r="D9851" s="26"/>
      <c r="E9851" s="27"/>
      <c r="F9851" s="27"/>
      <c r="G9851" s="27" t="s">
        <v>11122</v>
      </c>
      <c r="H9851" s="27" t="s">
        <v>35</v>
      </c>
      <c r="I9851" s="27" t="s">
        <v>38</v>
      </c>
      <c r="J9851" s="28" t="s">
        <v>913</v>
      </c>
      <c r="K9851" s="27" t="s">
        <v>38</v>
      </c>
      <c r="L9851" s="27"/>
    </row>
    <row r="9852" customFormat="false" ht="15" hidden="false" customHeight="false" outlineLevel="0" collapsed="false">
      <c r="A9852" s="26" t="s">
        <v>24617</v>
      </c>
      <c r="B9852" s="27" t="s">
        <v>24618</v>
      </c>
      <c r="C9852" s="27" t="s">
        <v>144</v>
      </c>
      <c r="D9852" s="26"/>
      <c r="E9852" s="27"/>
      <c r="F9852" s="27"/>
      <c r="G9852" s="27" t="s">
        <v>11122</v>
      </c>
      <c r="H9852" s="27" t="s">
        <v>35</v>
      </c>
      <c r="I9852" s="27" t="s">
        <v>38</v>
      </c>
      <c r="J9852" s="28" t="s">
        <v>913</v>
      </c>
      <c r="K9852" s="27" t="s">
        <v>38</v>
      </c>
      <c r="L9852" s="27"/>
    </row>
    <row r="9853" customFormat="false" ht="15" hidden="false" customHeight="false" outlineLevel="0" collapsed="false">
      <c r="A9853" s="26" t="s">
        <v>24619</v>
      </c>
      <c r="B9853" s="27" t="s">
        <v>24620</v>
      </c>
      <c r="C9853" s="27" t="s">
        <v>144</v>
      </c>
      <c r="D9853" s="26"/>
      <c r="E9853" s="27"/>
      <c r="F9853" s="27"/>
      <c r="G9853" s="27" t="s">
        <v>11122</v>
      </c>
      <c r="H9853" s="27" t="s">
        <v>35</v>
      </c>
      <c r="I9853" s="27" t="s">
        <v>38</v>
      </c>
      <c r="J9853" s="28" t="s">
        <v>913</v>
      </c>
      <c r="K9853" s="27" t="s">
        <v>38</v>
      </c>
      <c r="L9853" s="27"/>
    </row>
    <row r="9854" customFormat="false" ht="15" hidden="false" customHeight="false" outlineLevel="0" collapsed="false">
      <c r="A9854" s="26" t="s">
        <v>24621</v>
      </c>
      <c r="B9854" s="27" t="s">
        <v>24622</v>
      </c>
      <c r="C9854" s="27" t="s">
        <v>144</v>
      </c>
      <c r="D9854" s="26"/>
      <c r="E9854" s="27"/>
      <c r="F9854" s="27"/>
      <c r="G9854" s="27" t="s">
        <v>11122</v>
      </c>
      <c r="H9854" s="27" t="s">
        <v>35</v>
      </c>
      <c r="I9854" s="27" t="s">
        <v>38</v>
      </c>
      <c r="J9854" s="28" t="s">
        <v>913</v>
      </c>
      <c r="K9854" s="27" t="s">
        <v>38</v>
      </c>
      <c r="L9854" s="27"/>
    </row>
    <row r="9855" customFormat="false" ht="15" hidden="false" customHeight="false" outlineLevel="0" collapsed="false">
      <c r="A9855" s="26" t="s">
        <v>24623</v>
      </c>
      <c r="B9855" s="27" t="s">
        <v>24624</v>
      </c>
      <c r="C9855" s="27" t="s">
        <v>144</v>
      </c>
      <c r="D9855" s="26"/>
      <c r="E9855" s="27"/>
      <c r="F9855" s="27"/>
      <c r="G9855" s="27" t="s">
        <v>11122</v>
      </c>
      <c r="H9855" s="27" t="s">
        <v>35</v>
      </c>
      <c r="I9855" s="27" t="s">
        <v>38</v>
      </c>
      <c r="J9855" s="28" t="s">
        <v>913</v>
      </c>
      <c r="K9855" s="27" t="s">
        <v>38</v>
      </c>
      <c r="L9855" s="27"/>
    </row>
    <row r="9856" customFormat="false" ht="15" hidden="false" customHeight="false" outlineLevel="0" collapsed="false">
      <c r="A9856" s="26" t="s">
        <v>24625</v>
      </c>
      <c r="B9856" s="27" t="s">
        <v>24626</v>
      </c>
      <c r="C9856" s="27" t="s">
        <v>144</v>
      </c>
      <c r="D9856" s="26"/>
      <c r="E9856" s="27"/>
      <c r="F9856" s="27"/>
      <c r="G9856" s="27" t="s">
        <v>11122</v>
      </c>
      <c r="H9856" s="27" t="s">
        <v>35</v>
      </c>
      <c r="I9856" s="27" t="s">
        <v>38</v>
      </c>
      <c r="J9856" s="28" t="s">
        <v>913</v>
      </c>
      <c r="K9856" s="27" t="s">
        <v>38</v>
      </c>
      <c r="L9856" s="27"/>
    </row>
    <row r="9857" customFormat="false" ht="15" hidden="false" customHeight="false" outlineLevel="0" collapsed="false">
      <c r="A9857" s="26" t="s">
        <v>24627</v>
      </c>
      <c r="B9857" s="27" t="s">
        <v>24628</v>
      </c>
      <c r="C9857" s="27" t="s">
        <v>144</v>
      </c>
      <c r="D9857" s="26"/>
      <c r="E9857" s="27"/>
      <c r="F9857" s="27"/>
      <c r="G9857" s="27" t="s">
        <v>11122</v>
      </c>
      <c r="H9857" s="27" t="s">
        <v>35</v>
      </c>
      <c r="I9857" s="27" t="s">
        <v>42</v>
      </c>
      <c r="J9857" s="28" t="s">
        <v>913</v>
      </c>
      <c r="K9857" s="27" t="s">
        <v>38</v>
      </c>
      <c r="L9857" s="27"/>
    </row>
    <row r="9858" customFormat="false" ht="15" hidden="false" customHeight="false" outlineLevel="0" collapsed="false">
      <c r="A9858" s="26" t="s">
        <v>24629</v>
      </c>
      <c r="B9858" s="27" t="s">
        <v>24630</v>
      </c>
      <c r="C9858" s="27" t="s">
        <v>144</v>
      </c>
      <c r="D9858" s="26"/>
      <c r="E9858" s="27"/>
      <c r="F9858" s="27"/>
      <c r="G9858" s="27" t="s">
        <v>11122</v>
      </c>
      <c r="H9858" s="27" t="s">
        <v>35</v>
      </c>
      <c r="I9858" s="27" t="s">
        <v>42</v>
      </c>
      <c r="J9858" s="28" t="s">
        <v>913</v>
      </c>
      <c r="K9858" s="27" t="s">
        <v>38</v>
      </c>
      <c r="L9858" s="27"/>
    </row>
    <row r="9859" customFormat="false" ht="15" hidden="false" customHeight="false" outlineLevel="0" collapsed="false">
      <c r="A9859" s="26" t="s">
        <v>24631</v>
      </c>
      <c r="B9859" s="27" t="s">
        <v>24632</v>
      </c>
      <c r="C9859" s="27" t="s">
        <v>144</v>
      </c>
      <c r="D9859" s="26"/>
      <c r="E9859" s="27"/>
      <c r="F9859" s="27"/>
      <c r="G9859" s="27" t="s">
        <v>11122</v>
      </c>
      <c r="H9859" s="27" t="s">
        <v>35</v>
      </c>
      <c r="I9859" s="27" t="s">
        <v>38</v>
      </c>
      <c r="J9859" s="28" t="s">
        <v>913</v>
      </c>
      <c r="K9859" s="27" t="s">
        <v>38</v>
      </c>
      <c r="L9859" s="27"/>
    </row>
    <row r="9860" customFormat="false" ht="15" hidden="false" customHeight="false" outlineLevel="0" collapsed="false">
      <c r="A9860" s="26" t="s">
        <v>24633</v>
      </c>
      <c r="B9860" s="27" t="s">
        <v>24634</v>
      </c>
      <c r="C9860" s="27" t="s">
        <v>144</v>
      </c>
      <c r="D9860" s="26"/>
      <c r="E9860" s="27"/>
      <c r="F9860" s="27"/>
      <c r="G9860" s="27" t="s">
        <v>11122</v>
      </c>
      <c r="H9860" s="27" t="s">
        <v>35</v>
      </c>
      <c r="I9860" s="27" t="s">
        <v>38</v>
      </c>
      <c r="J9860" s="28" t="s">
        <v>913</v>
      </c>
      <c r="K9860" s="27" t="s">
        <v>38</v>
      </c>
      <c r="L9860" s="27"/>
    </row>
    <row r="9861" customFormat="false" ht="15" hidden="false" customHeight="false" outlineLevel="0" collapsed="false">
      <c r="A9861" s="26" t="s">
        <v>24635</v>
      </c>
      <c r="B9861" s="27" t="s">
        <v>24636</v>
      </c>
      <c r="C9861" s="27" t="s">
        <v>144</v>
      </c>
      <c r="D9861" s="26"/>
      <c r="E9861" s="27"/>
      <c r="F9861" s="27"/>
      <c r="G9861" s="27" t="s">
        <v>11122</v>
      </c>
      <c r="H9861" s="27" t="s">
        <v>35</v>
      </c>
      <c r="I9861" s="27" t="s">
        <v>38</v>
      </c>
      <c r="J9861" s="28" t="s">
        <v>913</v>
      </c>
      <c r="K9861" s="27" t="s">
        <v>38</v>
      </c>
      <c r="L9861" s="27"/>
    </row>
    <row r="9862" customFormat="false" ht="15" hidden="false" customHeight="false" outlineLevel="0" collapsed="false">
      <c r="A9862" s="26" t="s">
        <v>24637</v>
      </c>
      <c r="B9862" s="27" t="s">
        <v>24638</v>
      </c>
      <c r="C9862" s="27" t="s">
        <v>144</v>
      </c>
      <c r="D9862" s="26"/>
      <c r="E9862" s="27"/>
      <c r="F9862" s="27"/>
      <c r="G9862" s="27" t="s">
        <v>11122</v>
      </c>
      <c r="H9862" s="27" t="s">
        <v>35</v>
      </c>
      <c r="I9862" s="27" t="s">
        <v>38</v>
      </c>
      <c r="J9862" s="28" t="s">
        <v>913</v>
      </c>
      <c r="K9862" s="27" t="s">
        <v>38</v>
      </c>
      <c r="L9862" s="27"/>
    </row>
    <row r="9863" customFormat="false" ht="15" hidden="false" customHeight="false" outlineLevel="0" collapsed="false">
      <c r="A9863" s="26" t="s">
        <v>24639</v>
      </c>
      <c r="B9863" s="27" t="s">
        <v>24640</v>
      </c>
      <c r="C9863" s="27" t="s">
        <v>144</v>
      </c>
      <c r="D9863" s="26"/>
      <c r="E9863" s="27"/>
      <c r="F9863" s="27"/>
      <c r="G9863" s="27" t="s">
        <v>11122</v>
      </c>
      <c r="H9863" s="27" t="s">
        <v>35</v>
      </c>
      <c r="I9863" s="27" t="s">
        <v>38</v>
      </c>
      <c r="J9863" s="28" t="s">
        <v>913</v>
      </c>
      <c r="K9863" s="27" t="s">
        <v>38</v>
      </c>
      <c r="L9863" s="27"/>
    </row>
    <row r="9864" customFormat="false" ht="15" hidden="false" customHeight="false" outlineLevel="0" collapsed="false">
      <c r="A9864" s="26" t="s">
        <v>24641</v>
      </c>
      <c r="B9864" s="27" t="s">
        <v>24642</v>
      </c>
      <c r="C9864" s="27" t="s">
        <v>144</v>
      </c>
      <c r="D9864" s="26"/>
      <c r="E9864" s="27"/>
      <c r="F9864" s="27"/>
      <c r="G9864" s="27" t="s">
        <v>11122</v>
      </c>
      <c r="H9864" s="27" t="s">
        <v>35</v>
      </c>
      <c r="I9864" s="27" t="s">
        <v>38</v>
      </c>
      <c r="J9864" s="28" t="s">
        <v>913</v>
      </c>
      <c r="K9864" s="27" t="s">
        <v>38</v>
      </c>
      <c r="L9864" s="27"/>
    </row>
    <row r="9865" customFormat="false" ht="15" hidden="false" customHeight="false" outlineLevel="0" collapsed="false">
      <c r="A9865" s="26" t="s">
        <v>24643</v>
      </c>
      <c r="B9865" s="27" t="s">
        <v>24644</v>
      </c>
      <c r="C9865" s="27" t="s">
        <v>144</v>
      </c>
      <c r="D9865" s="26"/>
      <c r="E9865" s="27"/>
      <c r="F9865" s="27"/>
      <c r="G9865" s="27" t="s">
        <v>11122</v>
      </c>
      <c r="H9865" s="27" t="s">
        <v>35</v>
      </c>
      <c r="I9865" s="27" t="s">
        <v>37</v>
      </c>
      <c r="J9865" s="28" t="s">
        <v>913</v>
      </c>
      <c r="K9865" s="27" t="s">
        <v>38</v>
      </c>
      <c r="L9865" s="27"/>
    </row>
    <row r="9866" customFormat="false" ht="15" hidden="false" customHeight="false" outlineLevel="0" collapsed="false">
      <c r="A9866" s="26" t="s">
        <v>24645</v>
      </c>
      <c r="B9866" s="27" t="s">
        <v>24646</v>
      </c>
      <c r="C9866" s="27" t="s">
        <v>144</v>
      </c>
      <c r="D9866" s="26"/>
      <c r="E9866" s="27"/>
      <c r="F9866" s="27"/>
      <c r="G9866" s="27" t="s">
        <v>11122</v>
      </c>
      <c r="H9866" s="27" t="s">
        <v>35</v>
      </c>
      <c r="I9866" s="27" t="s">
        <v>38</v>
      </c>
      <c r="J9866" s="28" t="s">
        <v>913</v>
      </c>
      <c r="K9866" s="27" t="s">
        <v>38</v>
      </c>
      <c r="L9866" s="27"/>
    </row>
    <row r="9867" customFormat="false" ht="15" hidden="false" customHeight="false" outlineLevel="0" collapsed="false">
      <c r="A9867" s="26" t="s">
        <v>24647</v>
      </c>
      <c r="B9867" s="27" t="s">
        <v>24648</v>
      </c>
      <c r="C9867" s="27" t="s">
        <v>144</v>
      </c>
      <c r="D9867" s="26"/>
      <c r="E9867" s="27"/>
      <c r="F9867" s="27"/>
      <c r="G9867" s="27" t="s">
        <v>11122</v>
      </c>
      <c r="H9867" s="27" t="s">
        <v>35</v>
      </c>
      <c r="I9867" s="27" t="s">
        <v>4159</v>
      </c>
      <c r="J9867" s="28" t="s">
        <v>913</v>
      </c>
      <c r="K9867" s="27" t="s">
        <v>38</v>
      </c>
      <c r="L9867" s="27"/>
    </row>
    <row r="9868" customFormat="false" ht="15" hidden="false" customHeight="false" outlineLevel="0" collapsed="false">
      <c r="A9868" s="26" t="s">
        <v>24649</v>
      </c>
      <c r="B9868" s="27" t="s">
        <v>24650</v>
      </c>
      <c r="C9868" s="27" t="s">
        <v>144</v>
      </c>
      <c r="D9868" s="26"/>
      <c r="E9868" s="27"/>
      <c r="F9868" s="27"/>
      <c r="G9868" s="27" t="s">
        <v>11122</v>
      </c>
      <c r="H9868" s="27" t="s">
        <v>35</v>
      </c>
      <c r="I9868" s="27" t="s">
        <v>38</v>
      </c>
      <c r="J9868" s="28" t="s">
        <v>913</v>
      </c>
      <c r="K9868" s="27" t="s">
        <v>38</v>
      </c>
      <c r="L9868" s="27"/>
    </row>
    <row r="9869" customFormat="false" ht="15" hidden="false" customHeight="false" outlineLevel="0" collapsed="false">
      <c r="A9869" s="26" t="s">
        <v>24651</v>
      </c>
      <c r="B9869" s="27" t="s">
        <v>24652</v>
      </c>
      <c r="C9869" s="27" t="s">
        <v>144</v>
      </c>
      <c r="D9869" s="26"/>
      <c r="E9869" s="27"/>
      <c r="F9869" s="27"/>
      <c r="G9869" s="27" t="s">
        <v>11122</v>
      </c>
      <c r="H9869" s="27" t="s">
        <v>35</v>
      </c>
      <c r="I9869" s="27" t="s">
        <v>40</v>
      </c>
      <c r="J9869" s="28" t="s">
        <v>913</v>
      </c>
      <c r="K9869" s="27" t="s">
        <v>38</v>
      </c>
      <c r="L9869" s="27"/>
    </row>
    <row r="9870" customFormat="false" ht="15" hidden="false" customHeight="false" outlineLevel="0" collapsed="false">
      <c r="A9870" s="26" t="s">
        <v>24653</v>
      </c>
      <c r="B9870" s="27" t="s">
        <v>24654</v>
      </c>
      <c r="C9870" s="27" t="s">
        <v>144</v>
      </c>
      <c r="D9870" s="26"/>
      <c r="E9870" s="27"/>
      <c r="F9870" s="27"/>
      <c r="G9870" s="27" t="s">
        <v>11122</v>
      </c>
      <c r="H9870" s="27" t="s">
        <v>35</v>
      </c>
      <c r="I9870" s="27" t="s">
        <v>38</v>
      </c>
      <c r="J9870" s="28" t="s">
        <v>913</v>
      </c>
      <c r="K9870" s="27" t="s">
        <v>38</v>
      </c>
      <c r="L9870" s="27"/>
    </row>
    <row r="9871" customFormat="false" ht="15" hidden="false" customHeight="false" outlineLevel="0" collapsed="false">
      <c r="A9871" s="26" t="s">
        <v>24655</v>
      </c>
      <c r="B9871" s="27" t="s">
        <v>24656</v>
      </c>
      <c r="C9871" s="27" t="s">
        <v>144</v>
      </c>
      <c r="D9871" s="26"/>
      <c r="E9871" s="27"/>
      <c r="F9871" s="27"/>
      <c r="G9871" s="27" t="s">
        <v>11122</v>
      </c>
      <c r="H9871" s="27" t="s">
        <v>35</v>
      </c>
      <c r="I9871" s="27" t="s">
        <v>38</v>
      </c>
      <c r="J9871" s="28" t="s">
        <v>913</v>
      </c>
      <c r="K9871" s="27" t="s">
        <v>38</v>
      </c>
      <c r="L9871" s="27"/>
    </row>
    <row r="9872" customFormat="false" ht="15" hidden="false" customHeight="false" outlineLevel="0" collapsed="false">
      <c r="A9872" s="26" t="s">
        <v>24657</v>
      </c>
      <c r="B9872" s="27" t="s">
        <v>24658</v>
      </c>
      <c r="C9872" s="27" t="s">
        <v>144</v>
      </c>
      <c r="D9872" s="26"/>
      <c r="E9872" s="27"/>
      <c r="F9872" s="27"/>
      <c r="G9872" s="27" t="s">
        <v>11122</v>
      </c>
      <c r="H9872" s="27" t="s">
        <v>35</v>
      </c>
      <c r="I9872" s="27" t="s">
        <v>38</v>
      </c>
      <c r="J9872" s="28" t="s">
        <v>913</v>
      </c>
      <c r="K9872" s="27" t="s">
        <v>38</v>
      </c>
      <c r="L9872" s="27"/>
    </row>
    <row r="9873" customFormat="false" ht="15" hidden="false" customHeight="false" outlineLevel="0" collapsed="false">
      <c r="A9873" s="26" t="s">
        <v>24659</v>
      </c>
      <c r="B9873" s="27" t="s">
        <v>24660</v>
      </c>
      <c r="C9873" s="27" t="s">
        <v>144</v>
      </c>
      <c r="D9873" s="26"/>
      <c r="E9873" s="27"/>
      <c r="F9873" s="27"/>
      <c r="G9873" s="27" t="s">
        <v>11122</v>
      </c>
      <c r="H9873" s="27" t="s">
        <v>35</v>
      </c>
      <c r="I9873" s="27" t="s">
        <v>38</v>
      </c>
      <c r="J9873" s="28" t="s">
        <v>913</v>
      </c>
      <c r="K9873" s="27" t="s">
        <v>38</v>
      </c>
      <c r="L9873" s="27"/>
    </row>
    <row r="9874" customFormat="false" ht="15" hidden="false" customHeight="false" outlineLevel="0" collapsed="false">
      <c r="A9874" s="26" t="s">
        <v>24661</v>
      </c>
      <c r="B9874" s="27" t="s">
        <v>24662</v>
      </c>
      <c r="C9874" s="27" t="s">
        <v>144</v>
      </c>
      <c r="D9874" s="26"/>
      <c r="E9874" s="27"/>
      <c r="F9874" s="27"/>
      <c r="G9874" s="27" t="s">
        <v>11122</v>
      </c>
      <c r="H9874" s="27" t="s">
        <v>35</v>
      </c>
      <c r="I9874" s="27" t="s">
        <v>38</v>
      </c>
      <c r="J9874" s="28" t="s">
        <v>913</v>
      </c>
      <c r="K9874" s="27" t="s">
        <v>38</v>
      </c>
      <c r="L9874" s="27"/>
    </row>
    <row r="9875" customFormat="false" ht="15" hidden="false" customHeight="false" outlineLevel="0" collapsed="false">
      <c r="A9875" s="26" t="s">
        <v>24663</v>
      </c>
      <c r="B9875" s="27" t="s">
        <v>24664</v>
      </c>
      <c r="C9875" s="27" t="s">
        <v>144</v>
      </c>
      <c r="D9875" s="26"/>
      <c r="E9875" s="27"/>
      <c r="F9875" s="27"/>
      <c r="G9875" s="27" t="s">
        <v>11122</v>
      </c>
      <c r="H9875" s="27" t="s">
        <v>35</v>
      </c>
      <c r="I9875" s="27" t="s">
        <v>38</v>
      </c>
      <c r="J9875" s="28" t="s">
        <v>913</v>
      </c>
      <c r="K9875" s="27" t="s">
        <v>38</v>
      </c>
      <c r="L9875" s="27"/>
    </row>
    <row r="9876" customFormat="false" ht="15" hidden="false" customHeight="false" outlineLevel="0" collapsed="false">
      <c r="A9876" s="26" t="s">
        <v>24665</v>
      </c>
      <c r="B9876" s="27" t="s">
        <v>24666</v>
      </c>
      <c r="C9876" s="27" t="s">
        <v>144</v>
      </c>
      <c r="D9876" s="26"/>
      <c r="E9876" s="27"/>
      <c r="F9876" s="27"/>
      <c r="G9876" s="27" t="s">
        <v>11122</v>
      </c>
      <c r="H9876" s="27" t="s">
        <v>35</v>
      </c>
      <c r="I9876" s="27" t="s">
        <v>38</v>
      </c>
      <c r="J9876" s="28" t="s">
        <v>913</v>
      </c>
      <c r="K9876" s="27" t="s">
        <v>38</v>
      </c>
      <c r="L9876" s="27"/>
    </row>
    <row r="9877" customFormat="false" ht="15" hidden="false" customHeight="false" outlineLevel="0" collapsed="false">
      <c r="A9877" s="26" t="s">
        <v>24667</v>
      </c>
      <c r="B9877" s="27" t="s">
        <v>24668</v>
      </c>
      <c r="C9877" s="27" t="s">
        <v>144</v>
      </c>
      <c r="D9877" s="26"/>
      <c r="E9877" s="27"/>
      <c r="F9877" s="27"/>
      <c r="G9877" s="27" t="s">
        <v>11122</v>
      </c>
      <c r="H9877" s="27" t="s">
        <v>35</v>
      </c>
      <c r="I9877" s="27" t="s">
        <v>38</v>
      </c>
      <c r="J9877" s="28" t="s">
        <v>913</v>
      </c>
      <c r="K9877" s="27" t="s">
        <v>38</v>
      </c>
      <c r="L9877" s="27"/>
    </row>
    <row r="9878" customFormat="false" ht="15" hidden="false" customHeight="false" outlineLevel="0" collapsed="false">
      <c r="A9878" s="26" t="s">
        <v>24669</v>
      </c>
      <c r="B9878" s="27" t="s">
        <v>24670</v>
      </c>
      <c r="C9878" s="27" t="s">
        <v>144</v>
      </c>
      <c r="D9878" s="26"/>
      <c r="E9878" s="27"/>
      <c r="F9878" s="27"/>
      <c r="G9878" s="27" t="s">
        <v>11122</v>
      </c>
      <c r="H9878" s="27" t="s">
        <v>35</v>
      </c>
      <c r="I9878" s="27" t="s">
        <v>38</v>
      </c>
      <c r="J9878" s="28" t="s">
        <v>913</v>
      </c>
      <c r="K9878" s="27" t="s">
        <v>38</v>
      </c>
      <c r="L9878" s="27"/>
    </row>
    <row r="9879" customFormat="false" ht="15" hidden="false" customHeight="false" outlineLevel="0" collapsed="false">
      <c r="A9879" s="26" t="s">
        <v>24671</v>
      </c>
      <c r="B9879" s="27" t="s">
        <v>24672</v>
      </c>
      <c r="C9879" s="27" t="s">
        <v>144</v>
      </c>
      <c r="D9879" s="26"/>
      <c r="E9879" s="27"/>
      <c r="F9879" s="27"/>
      <c r="G9879" s="27" t="s">
        <v>11122</v>
      </c>
      <c r="H9879" s="27" t="s">
        <v>35</v>
      </c>
      <c r="I9879" s="27" t="s">
        <v>41</v>
      </c>
      <c r="J9879" s="28" t="s">
        <v>913</v>
      </c>
      <c r="K9879" s="27" t="s">
        <v>38</v>
      </c>
      <c r="L9879" s="27"/>
    </row>
    <row r="9880" customFormat="false" ht="15" hidden="false" customHeight="false" outlineLevel="0" collapsed="false">
      <c r="A9880" s="26" t="s">
        <v>24673</v>
      </c>
      <c r="B9880" s="27" t="s">
        <v>24674</v>
      </c>
      <c r="C9880" s="27" t="s">
        <v>144</v>
      </c>
      <c r="D9880" s="26"/>
      <c r="E9880" s="27"/>
      <c r="F9880" s="27"/>
      <c r="G9880" s="27" t="s">
        <v>11122</v>
      </c>
      <c r="H9880" s="27" t="s">
        <v>35</v>
      </c>
      <c r="I9880" s="27" t="s">
        <v>38</v>
      </c>
      <c r="J9880" s="28" t="s">
        <v>913</v>
      </c>
      <c r="K9880" s="27" t="s">
        <v>38</v>
      </c>
      <c r="L9880" s="27"/>
    </row>
    <row r="9881" customFormat="false" ht="15" hidden="false" customHeight="false" outlineLevel="0" collapsed="false">
      <c r="A9881" s="26" t="s">
        <v>24675</v>
      </c>
      <c r="B9881" s="27" t="s">
        <v>24676</v>
      </c>
      <c r="C9881" s="27" t="s">
        <v>144</v>
      </c>
      <c r="D9881" s="26"/>
      <c r="E9881" s="27"/>
      <c r="F9881" s="27"/>
      <c r="G9881" s="27" t="s">
        <v>11122</v>
      </c>
      <c r="H9881" s="27" t="s">
        <v>35</v>
      </c>
      <c r="I9881" s="27" t="s">
        <v>39</v>
      </c>
      <c r="J9881" s="28" t="s">
        <v>913</v>
      </c>
      <c r="K9881" s="27" t="s">
        <v>38</v>
      </c>
      <c r="L9881" s="27"/>
    </row>
    <row r="9882" customFormat="false" ht="15" hidden="false" customHeight="false" outlineLevel="0" collapsed="false">
      <c r="A9882" s="26" t="s">
        <v>24677</v>
      </c>
      <c r="B9882" s="27" t="s">
        <v>24678</v>
      </c>
      <c r="C9882" s="27" t="s">
        <v>144</v>
      </c>
      <c r="D9882" s="26"/>
      <c r="E9882" s="27"/>
      <c r="F9882" s="27"/>
      <c r="G9882" s="27" t="s">
        <v>11122</v>
      </c>
      <c r="H9882" s="27" t="s">
        <v>35</v>
      </c>
      <c r="I9882" s="27" t="s">
        <v>38</v>
      </c>
      <c r="J9882" s="28" t="s">
        <v>913</v>
      </c>
      <c r="K9882" s="27" t="s">
        <v>38</v>
      </c>
      <c r="L9882" s="27"/>
    </row>
    <row r="9883" customFormat="false" ht="15" hidden="false" customHeight="false" outlineLevel="0" collapsed="false">
      <c r="A9883" s="26" t="s">
        <v>24679</v>
      </c>
      <c r="B9883" s="27" t="s">
        <v>24680</v>
      </c>
      <c r="C9883" s="27" t="s">
        <v>144</v>
      </c>
      <c r="D9883" s="26"/>
      <c r="E9883" s="27"/>
      <c r="F9883" s="27"/>
      <c r="G9883" s="27" t="s">
        <v>11122</v>
      </c>
      <c r="H9883" s="27" t="s">
        <v>35</v>
      </c>
      <c r="I9883" s="27" t="s">
        <v>41</v>
      </c>
      <c r="J9883" s="28" t="s">
        <v>913</v>
      </c>
      <c r="K9883" s="27" t="s">
        <v>38</v>
      </c>
      <c r="L9883" s="27"/>
    </row>
    <row r="9884" customFormat="false" ht="15" hidden="false" customHeight="false" outlineLevel="0" collapsed="false">
      <c r="A9884" s="26" t="s">
        <v>24681</v>
      </c>
      <c r="B9884" s="27" t="s">
        <v>24682</v>
      </c>
      <c r="C9884" s="27" t="s">
        <v>144</v>
      </c>
      <c r="D9884" s="26"/>
      <c r="E9884" s="27"/>
      <c r="F9884" s="27"/>
      <c r="G9884" s="27" t="s">
        <v>11122</v>
      </c>
      <c r="H9884" s="27" t="s">
        <v>35</v>
      </c>
      <c r="I9884" s="27" t="s">
        <v>38</v>
      </c>
      <c r="J9884" s="28" t="s">
        <v>913</v>
      </c>
      <c r="K9884" s="27" t="s">
        <v>38</v>
      </c>
      <c r="L9884" s="27"/>
    </row>
    <row r="9885" customFormat="false" ht="15" hidden="false" customHeight="false" outlineLevel="0" collapsed="false">
      <c r="A9885" s="26" t="s">
        <v>24683</v>
      </c>
      <c r="B9885" s="27" t="s">
        <v>24684</v>
      </c>
      <c r="C9885" s="27" t="s">
        <v>144</v>
      </c>
      <c r="D9885" s="26"/>
      <c r="E9885" s="27"/>
      <c r="F9885" s="27"/>
      <c r="G9885" s="27" t="s">
        <v>11122</v>
      </c>
      <c r="H9885" s="27" t="s">
        <v>35</v>
      </c>
      <c r="I9885" s="27" t="s">
        <v>45</v>
      </c>
      <c r="J9885" s="28" t="s">
        <v>913</v>
      </c>
      <c r="K9885" s="27" t="s">
        <v>38</v>
      </c>
      <c r="L9885" s="27"/>
    </row>
    <row r="9886" customFormat="false" ht="15" hidden="false" customHeight="false" outlineLevel="0" collapsed="false">
      <c r="A9886" s="26" t="s">
        <v>24685</v>
      </c>
      <c r="B9886" s="27" t="s">
        <v>24686</v>
      </c>
      <c r="C9886" s="27" t="s">
        <v>144</v>
      </c>
      <c r="D9886" s="26"/>
      <c r="E9886" s="27"/>
      <c r="F9886" s="27"/>
      <c r="G9886" s="27" t="s">
        <v>11122</v>
      </c>
      <c r="H9886" s="27" t="s">
        <v>35</v>
      </c>
      <c r="I9886" s="27" t="s">
        <v>45</v>
      </c>
      <c r="J9886" s="28" t="s">
        <v>913</v>
      </c>
      <c r="K9886" s="27" t="s">
        <v>38</v>
      </c>
      <c r="L9886" s="27"/>
    </row>
    <row r="9887" customFormat="false" ht="15" hidden="false" customHeight="false" outlineLevel="0" collapsed="false">
      <c r="A9887" s="26" t="s">
        <v>24687</v>
      </c>
      <c r="B9887" s="27" t="s">
        <v>24688</v>
      </c>
      <c r="C9887" s="27" t="s">
        <v>144</v>
      </c>
      <c r="D9887" s="26"/>
      <c r="E9887" s="27"/>
      <c r="F9887" s="27"/>
      <c r="G9887" s="27" t="s">
        <v>11122</v>
      </c>
      <c r="H9887" s="27" t="s">
        <v>35</v>
      </c>
      <c r="I9887" s="27" t="s">
        <v>38</v>
      </c>
      <c r="J9887" s="28" t="s">
        <v>913</v>
      </c>
      <c r="K9887" s="27" t="s">
        <v>38</v>
      </c>
      <c r="L9887" s="27"/>
    </row>
    <row r="9888" customFormat="false" ht="15" hidden="false" customHeight="false" outlineLevel="0" collapsed="false">
      <c r="A9888" s="26" t="s">
        <v>24689</v>
      </c>
      <c r="B9888" s="27" t="s">
        <v>24690</v>
      </c>
      <c r="C9888" s="27" t="s">
        <v>144</v>
      </c>
      <c r="D9888" s="26"/>
      <c r="E9888" s="27"/>
      <c r="F9888" s="27"/>
      <c r="G9888" s="27" t="s">
        <v>11122</v>
      </c>
      <c r="H9888" s="27" t="s">
        <v>35</v>
      </c>
      <c r="I9888" s="27" t="s">
        <v>38</v>
      </c>
      <c r="J9888" s="28" t="s">
        <v>913</v>
      </c>
      <c r="K9888" s="27" t="s">
        <v>38</v>
      </c>
      <c r="L9888" s="27"/>
    </row>
    <row r="9889" customFormat="false" ht="15" hidden="false" customHeight="false" outlineLevel="0" collapsed="false">
      <c r="A9889" s="26" t="s">
        <v>24691</v>
      </c>
      <c r="B9889" s="27" t="s">
        <v>24692</v>
      </c>
      <c r="C9889" s="27" t="s">
        <v>144</v>
      </c>
      <c r="D9889" s="26"/>
      <c r="E9889" s="27"/>
      <c r="F9889" s="27"/>
      <c r="G9889" s="27" t="s">
        <v>11122</v>
      </c>
      <c r="H9889" s="27" t="s">
        <v>35</v>
      </c>
      <c r="I9889" s="27" t="s">
        <v>38</v>
      </c>
      <c r="J9889" s="28" t="s">
        <v>913</v>
      </c>
      <c r="K9889" s="27" t="s">
        <v>38</v>
      </c>
      <c r="L9889" s="27"/>
    </row>
    <row r="9890" customFormat="false" ht="15" hidden="false" customHeight="false" outlineLevel="0" collapsed="false">
      <c r="A9890" s="26" t="s">
        <v>24693</v>
      </c>
      <c r="B9890" s="27" t="s">
        <v>24694</v>
      </c>
      <c r="C9890" s="27" t="s">
        <v>144</v>
      </c>
      <c r="D9890" s="26"/>
      <c r="E9890" s="27"/>
      <c r="F9890" s="27"/>
      <c r="G9890" s="27" t="s">
        <v>11122</v>
      </c>
      <c r="H9890" s="27" t="s">
        <v>35</v>
      </c>
      <c r="I9890" s="27" t="s">
        <v>38</v>
      </c>
      <c r="J9890" s="28" t="s">
        <v>913</v>
      </c>
      <c r="K9890" s="27" t="s">
        <v>38</v>
      </c>
      <c r="L9890" s="27"/>
    </row>
    <row r="9891" customFormat="false" ht="15" hidden="false" customHeight="false" outlineLevel="0" collapsed="false">
      <c r="A9891" s="26" t="s">
        <v>24695</v>
      </c>
      <c r="B9891" s="27" t="s">
        <v>24696</v>
      </c>
      <c r="C9891" s="27" t="s">
        <v>144</v>
      </c>
      <c r="D9891" s="26"/>
      <c r="E9891" s="27"/>
      <c r="F9891" s="27"/>
      <c r="G9891" s="27" t="s">
        <v>11122</v>
      </c>
      <c r="H9891" s="27" t="s">
        <v>35</v>
      </c>
      <c r="I9891" s="27" t="s">
        <v>38</v>
      </c>
      <c r="J9891" s="28" t="s">
        <v>913</v>
      </c>
      <c r="K9891" s="27" t="s">
        <v>38</v>
      </c>
      <c r="L9891" s="27"/>
    </row>
    <row r="9892" customFormat="false" ht="15" hidden="false" customHeight="false" outlineLevel="0" collapsed="false">
      <c r="A9892" s="26" t="s">
        <v>24697</v>
      </c>
      <c r="B9892" s="27" t="s">
        <v>24698</v>
      </c>
      <c r="C9892" s="27" t="s">
        <v>144</v>
      </c>
      <c r="D9892" s="26"/>
      <c r="E9892" s="27"/>
      <c r="F9892" s="27"/>
      <c r="G9892" s="27" t="s">
        <v>11122</v>
      </c>
      <c r="H9892" s="27" t="s">
        <v>35</v>
      </c>
      <c r="I9892" s="27" t="s">
        <v>38</v>
      </c>
      <c r="J9892" s="28" t="s">
        <v>913</v>
      </c>
      <c r="K9892" s="27" t="s">
        <v>38</v>
      </c>
      <c r="L9892" s="27"/>
    </row>
    <row r="9893" customFormat="false" ht="15" hidden="false" customHeight="false" outlineLevel="0" collapsed="false">
      <c r="A9893" s="26" t="s">
        <v>24699</v>
      </c>
      <c r="B9893" s="27" t="s">
        <v>24700</v>
      </c>
      <c r="C9893" s="27" t="s">
        <v>144</v>
      </c>
      <c r="D9893" s="26"/>
      <c r="E9893" s="27"/>
      <c r="F9893" s="27"/>
      <c r="G9893" s="27" t="s">
        <v>11122</v>
      </c>
      <c r="H9893" s="27" t="s">
        <v>35</v>
      </c>
      <c r="I9893" s="27" t="s">
        <v>41</v>
      </c>
      <c r="J9893" s="28" t="s">
        <v>913</v>
      </c>
      <c r="K9893" s="27" t="s">
        <v>38</v>
      </c>
      <c r="L9893" s="27"/>
    </row>
    <row r="9894" customFormat="false" ht="15" hidden="false" customHeight="false" outlineLevel="0" collapsed="false">
      <c r="A9894" s="26" t="s">
        <v>24701</v>
      </c>
      <c r="B9894" s="27" t="s">
        <v>24702</v>
      </c>
      <c r="C9894" s="27" t="s">
        <v>144</v>
      </c>
      <c r="D9894" s="26"/>
      <c r="E9894" s="27"/>
      <c r="F9894" s="27"/>
      <c r="G9894" s="27" t="s">
        <v>11122</v>
      </c>
      <c r="H9894" s="27" t="s">
        <v>35</v>
      </c>
      <c r="I9894" s="27" t="s">
        <v>41</v>
      </c>
      <c r="J9894" s="28" t="s">
        <v>913</v>
      </c>
      <c r="K9894" s="27" t="s">
        <v>38</v>
      </c>
      <c r="L9894" s="27"/>
    </row>
    <row r="9895" customFormat="false" ht="15" hidden="false" customHeight="false" outlineLevel="0" collapsed="false">
      <c r="A9895" s="26" t="s">
        <v>24703</v>
      </c>
      <c r="B9895" s="27" t="s">
        <v>24704</v>
      </c>
      <c r="C9895" s="27" t="s">
        <v>144</v>
      </c>
      <c r="D9895" s="26"/>
      <c r="E9895" s="27"/>
      <c r="F9895" s="27"/>
      <c r="G9895" s="27" t="s">
        <v>11122</v>
      </c>
      <c r="H9895" s="27" t="s">
        <v>35</v>
      </c>
      <c r="I9895" s="27" t="s">
        <v>38</v>
      </c>
      <c r="J9895" s="28" t="s">
        <v>913</v>
      </c>
      <c r="K9895" s="27" t="s">
        <v>38</v>
      </c>
      <c r="L9895" s="27"/>
    </row>
    <row r="9896" customFormat="false" ht="15" hidden="false" customHeight="false" outlineLevel="0" collapsed="false">
      <c r="A9896" s="26" t="s">
        <v>24705</v>
      </c>
      <c r="B9896" s="27" t="s">
        <v>24706</v>
      </c>
      <c r="C9896" s="27" t="s">
        <v>144</v>
      </c>
      <c r="D9896" s="26"/>
      <c r="E9896" s="27"/>
      <c r="F9896" s="27"/>
      <c r="G9896" s="27" t="s">
        <v>11122</v>
      </c>
      <c r="H9896" s="27" t="s">
        <v>35</v>
      </c>
      <c r="I9896" s="27" t="s">
        <v>4159</v>
      </c>
      <c r="J9896" s="28" t="s">
        <v>913</v>
      </c>
      <c r="K9896" s="27" t="s">
        <v>38</v>
      </c>
      <c r="L9896" s="27"/>
    </row>
    <row r="9897" customFormat="false" ht="15" hidden="false" customHeight="false" outlineLevel="0" collapsed="false">
      <c r="A9897" s="26" t="s">
        <v>24707</v>
      </c>
      <c r="B9897" s="27" t="s">
        <v>24708</v>
      </c>
      <c r="C9897" s="27" t="s">
        <v>144</v>
      </c>
      <c r="D9897" s="26"/>
      <c r="E9897" s="27"/>
      <c r="F9897" s="27"/>
      <c r="G9897" s="27" t="s">
        <v>11122</v>
      </c>
      <c r="H9897" s="27" t="s">
        <v>35</v>
      </c>
      <c r="I9897" s="27" t="s">
        <v>39</v>
      </c>
      <c r="J9897" s="28" t="s">
        <v>913</v>
      </c>
      <c r="K9897" s="27" t="s">
        <v>38</v>
      </c>
      <c r="L9897" s="27"/>
    </row>
    <row r="9898" customFormat="false" ht="15" hidden="false" customHeight="false" outlineLevel="0" collapsed="false">
      <c r="A9898" s="26" t="s">
        <v>24709</v>
      </c>
      <c r="B9898" s="27" t="s">
        <v>24710</v>
      </c>
      <c r="C9898" s="27" t="s">
        <v>144</v>
      </c>
      <c r="D9898" s="26"/>
      <c r="E9898" s="27"/>
      <c r="F9898" s="27"/>
      <c r="G9898" s="27" t="s">
        <v>11122</v>
      </c>
      <c r="H9898" s="27" t="s">
        <v>35</v>
      </c>
      <c r="I9898" s="27" t="s">
        <v>41</v>
      </c>
      <c r="J9898" s="28" t="s">
        <v>913</v>
      </c>
      <c r="K9898" s="27" t="s">
        <v>38</v>
      </c>
      <c r="L9898" s="27"/>
    </row>
    <row r="9899" customFormat="false" ht="15" hidden="false" customHeight="false" outlineLevel="0" collapsed="false">
      <c r="A9899" s="26" t="s">
        <v>24711</v>
      </c>
      <c r="B9899" s="27" t="s">
        <v>24712</v>
      </c>
      <c r="C9899" s="27" t="s">
        <v>144</v>
      </c>
      <c r="D9899" s="26"/>
      <c r="E9899" s="27"/>
      <c r="F9899" s="27"/>
      <c r="G9899" s="27" t="s">
        <v>11122</v>
      </c>
      <c r="H9899" s="27" t="s">
        <v>35</v>
      </c>
      <c r="I9899" s="27" t="s">
        <v>39</v>
      </c>
      <c r="J9899" s="28" t="s">
        <v>913</v>
      </c>
      <c r="K9899" s="27" t="s">
        <v>38</v>
      </c>
      <c r="L9899" s="27"/>
    </row>
    <row r="9900" customFormat="false" ht="15" hidden="false" customHeight="false" outlineLevel="0" collapsed="false">
      <c r="A9900" s="26" t="s">
        <v>24713</v>
      </c>
      <c r="B9900" s="27" t="s">
        <v>24714</v>
      </c>
      <c r="C9900" s="27" t="s">
        <v>144</v>
      </c>
      <c r="D9900" s="26"/>
      <c r="E9900" s="27"/>
      <c r="F9900" s="27"/>
      <c r="G9900" s="27" t="s">
        <v>11122</v>
      </c>
      <c r="H9900" s="27" t="s">
        <v>35</v>
      </c>
      <c r="I9900" s="27" t="s">
        <v>38</v>
      </c>
      <c r="J9900" s="28" t="s">
        <v>913</v>
      </c>
      <c r="K9900" s="27" t="s">
        <v>38</v>
      </c>
      <c r="L9900" s="27"/>
    </row>
    <row r="9901" customFormat="false" ht="15" hidden="false" customHeight="false" outlineLevel="0" collapsed="false">
      <c r="A9901" s="26" t="s">
        <v>24715</v>
      </c>
      <c r="B9901" s="27" t="s">
        <v>24716</v>
      </c>
      <c r="C9901" s="27" t="s">
        <v>144</v>
      </c>
      <c r="D9901" s="26"/>
      <c r="E9901" s="27"/>
      <c r="F9901" s="27"/>
      <c r="G9901" s="27" t="s">
        <v>11122</v>
      </c>
      <c r="H9901" s="27" t="s">
        <v>35</v>
      </c>
      <c r="I9901" s="27" t="s">
        <v>40</v>
      </c>
      <c r="J9901" s="28" t="s">
        <v>913</v>
      </c>
      <c r="K9901" s="27" t="s">
        <v>38</v>
      </c>
      <c r="L9901" s="27"/>
    </row>
    <row r="9902" customFormat="false" ht="15" hidden="false" customHeight="false" outlineLevel="0" collapsed="false">
      <c r="A9902" s="26" t="s">
        <v>24717</v>
      </c>
      <c r="B9902" s="27" t="s">
        <v>24718</v>
      </c>
      <c r="C9902" s="27" t="s">
        <v>144</v>
      </c>
      <c r="D9902" s="26"/>
      <c r="E9902" s="27"/>
      <c r="F9902" s="27"/>
      <c r="G9902" s="27" t="s">
        <v>11122</v>
      </c>
      <c r="H9902" s="27" t="s">
        <v>35</v>
      </c>
      <c r="I9902" s="27" t="s">
        <v>38</v>
      </c>
      <c r="J9902" s="28" t="s">
        <v>913</v>
      </c>
      <c r="K9902" s="27" t="s">
        <v>38</v>
      </c>
      <c r="L9902" s="27"/>
    </row>
    <row r="9903" customFormat="false" ht="15" hidden="false" customHeight="false" outlineLevel="0" collapsed="false">
      <c r="A9903" s="26" t="s">
        <v>24719</v>
      </c>
      <c r="B9903" s="27" t="s">
        <v>24720</v>
      </c>
      <c r="C9903" s="27" t="s">
        <v>144</v>
      </c>
      <c r="D9903" s="26"/>
      <c r="E9903" s="27"/>
      <c r="F9903" s="27"/>
      <c r="G9903" s="27" t="s">
        <v>11122</v>
      </c>
      <c r="H9903" s="27" t="s">
        <v>35</v>
      </c>
      <c r="I9903" s="27" t="s">
        <v>38</v>
      </c>
      <c r="J9903" s="28" t="s">
        <v>913</v>
      </c>
      <c r="K9903" s="27" t="s">
        <v>38</v>
      </c>
      <c r="L9903" s="27"/>
    </row>
    <row r="9904" customFormat="false" ht="15" hidden="false" customHeight="false" outlineLevel="0" collapsed="false">
      <c r="A9904" s="26" t="s">
        <v>24721</v>
      </c>
      <c r="B9904" s="27" t="s">
        <v>24722</v>
      </c>
      <c r="C9904" s="27" t="s">
        <v>144</v>
      </c>
      <c r="D9904" s="26"/>
      <c r="E9904" s="27"/>
      <c r="F9904" s="27"/>
      <c r="G9904" s="27" t="s">
        <v>11122</v>
      </c>
      <c r="H9904" s="27" t="s">
        <v>35</v>
      </c>
      <c r="I9904" s="27" t="s">
        <v>38</v>
      </c>
      <c r="J9904" s="28" t="s">
        <v>913</v>
      </c>
      <c r="K9904" s="27" t="s">
        <v>38</v>
      </c>
      <c r="L9904" s="27"/>
    </row>
    <row r="9905" customFormat="false" ht="15" hidden="false" customHeight="false" outlineLevel="0" collapsed="false">
      <c r="A9905" s="26" t="s">
        <v>24723</v>
      </c>
      <c r="B9905" s="27" t="s">
        <v>24724</v>
      </c>
      <c r="C9905" s="27" t="s">
        <v>1527</v>
      </c>
      <c r="D9905" s="26"/>
      <c r="E9905" s="27"/>
      <c r="F9905" s="27"/>
      <c r="G9905" s="27" t="s">
        <v>11122</v>
      </c>
      <c r="H9905" s="27" t="s">
        <v>35</v>
      </c>
      <c r="I9905" s="27" t="s">
        <v>44</v>
      </c>
      <c r="J9905" s="28" t="s">
        <v>913</v>
      </c>
      <c r="K9905" s="27" t="s">
        <v>38</v>
      </c>
      <c r="L9905" s="27"/>
    </row>
    <row r="9906" customFormat="false" ht="15" hidden="false" customHeight="false" outlineLevel="0" collapsed="false">
      <c r="A9906" s="26" t="s">
        <v>24725</v>
      </c>
      <c r="B9906" s="27" t="s">
        <v>24726</v>
      </c>
      <c r="C9906" s="27" t="s">
        <v>144</v>
      </c>
      <c r="D9906" s="26"/>
      <c r="E9906" s="27"/>
      <c r="F9906" s="27"/>
      <c r="G9906" s="27" t="s">
        <v>11122</v>
      </c>
      <c r="H9906" s="27" t="s">
        <v>35</v>
      </c>
      <c r="I9906" s="27" t="s">
        <v>38</v>
      </c>
      <c r="J9906" s="28" t="s">
        <v>913</v>
      </c>
      <c r="K9906" s="27" t="s">
        <v>38</v>
      </c>
      <c r="L9906" s="27"/>
    </row>
    <row r="9907" customFormat="false" ht="15" hidden="false" customHeight="false" outlineLevel="0" collapsed="false">
      <c r="A9907" s="26" t="s">
        <v>24727</v>
      </c>
      <c r="B9907" s="27" t="s">
        <v>24728</v>
      </c>
      <c r="C9907" s="27" t="s">
        <v>144</v>
      </c>
      <c r="D9907" s="26"/>
      <c r="E9907" s="27"/>
      <c r="F9907" s="27"/>
      <c r="G9907" s="27" t="s">
        <v>11122</v>
      </c>
      <c r="H9907" s="27" t="s">
        <v>35</v>
      </c>
      <c r="I9907" s="27" t="s">
        <v>38</v>
      </c>
      <c r="J9907" s="28" t="s">
        <v>913</v>
      </c>
      <c r="K9907" s="27" t="s">
        <v>38</v>
      </c>
      <c r="L9907" s="27"/>
    </row>
    <row r="9908" customFormat="false" ht="15" hidden="false" customHeight="false" outlineLevel="0" collapsed="false">
      <c r="A9908" s="26" t="s">
        <v>24729</v>
      </c>
      <c r="B9908" s="27" t="s">
        <v>24730</v>
      </c>
      <c r="C9908" s="27" t="s">
        <v>144</v>
      </c>
      <c r="D9908" s="26"/>
      <c r="E9908" s="27"/>
      <c r="F9908" s="27"/>
      <c r="G9908" s="27" t="s">
        <v>11122</v>
      </c>
      <c r="H9908" s="27" t="s">
        <v>35</v>
      </c>
      <c r="I9908" s="28" t="s">
        <v>50</v>
      </c>
      <c r="J9908" s="28" t="s">
        <v>913</v>
      </c>
      <c r="K9908" s="27" t="s">
        <v>38</v>
      </c>
      <c r="L9908" s="27"/>
    </row>
    <row r="9909" customFormat="false" ht="15" hidden="false" customHeight="false" outlineLevel="0" collapsed="false">
      <c r="A9909" s="26" t="s">
        <v>24731</v>
      </c>
      <c r="B9909" s="27" t="s">
        <v>24732</v>
      </c>
      <c r="C9909" s="27" t="s">
        <v>137</v>
      </c>
      <c r="D9909" s="26"/>
      <c r="E9909" s="27"/>
      <c r="F9909" s="27"/>
      <c r="G9909" s="27" t="s">
        <v>11122</v>
      </c>
      <c r="H9909" s="27" t="s">
        <v>35</v>
      </c>
      <c r="I9909" s="27" t="s">
        <v>38</v>
      </c>
      <c r="J9909" s="28" t="s">
        <v>913</v>
      </c>
      <c r="K9909" s="27" t="s">
        <v>38</v>
      </c>
      <c r="L9909" s="27"/>
    </row>
    <row r="9910" customFormat="false" ht="15" hidden="false" customHeight="false" outlineLevel="0" collapsed="false">
      <c r="A9910" s="26" t="s">
        <v>24733</v>
      </c>
      <c r="B9910" s="27" t="s">
        <v>24734</v>
      </c>
      <c r="C9910" s="27" t="s">
        <v>137</v>
      </c>
      <c r="D9910" s="26"/>
      <c r="E9910" s="27"/>
      <c r="F9910" s="27"/>
      <c r="G9910" s="27" t="s">
        <v>11122</v>
      </c>
      <c r="H9910" s="27" t="s">
        <v>35</v>
      </c>
      <c r="I9910" s="27" t="s">
        <v>38</v>
      </c>
      <c r="J9910" s="28" t="s">
        <v>913</v>
      </c>
      <c r="K9910" s="27" t="s">
        <v>38</v>
      </c>
      <c r="L9910" s="27"/>
    </row>
    <row r="9911" customFormat="false" ht="15" hidden="false" customHeight="false" outlineLevel="0" collapsed="false">
      <c r="A9911" s="26" t="s">
        <v>24735</v>
      </c>
      <c r="B9911" s="27" t="s">
        <v>24736</v>
      </c>
      <c r="C9911" s="27" t="s">
        <v>137</v>
      </c>
      <c r="D9911" s="26"/>
      <c r="E9911" s="27"/>
      <c r="F9911" s="27"/>
      <c r="G9911" s="27" t="s">
        <v>11122</v>
      </c>
      <c r="H9911" s="27" t="s">
        <v>35</v>
      </c>
      <c r="I9911" s="27" t="s">
        <v>38</v>
      </c>
      <c r="J9911" s="28" t="s">
        <v>913</v>
      </c>
      <c r="K9911" s="27" t="s">
        <v>38</v>
      </c>
      <c r="L9911" s="27"/>
    </row>
    <row r="9912" customFormat="false" ht="15" hidden="false" customHeight="false" outlineLevel="0" collapsed="false">
      <c r="A9912" s="26" t="s">
        <v>24737</v>
      </c>
      <c r="B9912" s="27" t="s">
        <v>24738</v>
      </c>
      <c r="C9912" s="27" t="s">
        <v>144</v>
      </c>
      <c r="D9912" s="26"/>
      <c r="E9912" s="27"/>
      <c r="F9912" s="27"/>
      <c r="G9912" s="27" t="s">
        <v>11122</v>
      </c>
      <c r="H9912" s="27" t="s">
        <v>35</v>
      </c>
      <c r="I9912" s="27" t="s">
        <v>41</v>
      </c>
      <c r="J9912" s="28" t="s">
        <v>913</v>
      </c>
      <c r="K9912" s="27" t="s">
        <v>38</v>
      </c>
      <c r="L9912" s="27"/>
    </row>
    <row r="9913" customFormat="false" ht="15" hidden="false" customHeight="false" outlineLevel="0" collapsed="false">
      <c r="A9913" s="26" t="s">
        <v>24739</v>
      </c>
      <c r="B9913" s="27" t="s">
        <v>24740</v>
      </c>
      <c r="C9913" s="27" t="s">
        <v>137</v>
      </c>
      <c r="D9913" s="26"/>
      <c r="E9913" s="27"/>
      <c r="F9913" s="27"/>
      <c r="G9913" s="27" t="s">
        <v>11122</v>
      </c>
      <c r="H9913" s="27" t="s">
        <v>35</v>
      </c>
      <c r="I9913" s="27" t="s">
        <v>38</v>
      </c>
      <c r="J9913" s="28" t="s">
        <v>913</v>
      </c>
      <c r="K9913" s="27" t="s">
        <v>38</v>
      </c>
      <c r="L9913" s="27"/>
    </row>
    <row r="9914" customFormat="false" ht="15" hidden="false" customHeight="false" outlineLevel="0" collapsed="false">
      <c r="A9914" s="26" t="s">
        <v>24741</v>
      </c>
      <c r="B9914" s="27" t="s">
        <v>24742</v>
      </c>
      <c r="C9914" s="27" t="s">
        <v>137</v>
      </c>
      <c r="D9914" s="26"/>
      <c r="E9914" s="27"/>
      <c r="F9914" s="27"/>
      <c r="G9914" s="27" t="s">
        <v>11122</v>
      </c>
      <c r="H9914" s="27" t="s">
        <v>35</v>
      </c>
      <c r="I9914" s="27" t="s">
        <v>41</v>
      </c>
      <c r="J9914" s="28" t="s">
        <v>913</v>
      </c>
      <c r="K9914" s="27" t="s">
        <v>38</v>
      </c>
      <c r="L9914" s="27"/>
    </row>
    <row r="9915" customFormat="false" ht="15" hidden="false" customHeight="false" outlineLevel="0" collapsed="false">
      <c r="A9915" s="26" t="s">
        <v>24743</v>
      </c>
      <c r="B9915" s="27" t="s">
        <v>24744</v>
      </c>
      <c r="C9915" s="27" t="s">
        <v>137</v>
      </c>
      <c r="D9915" s="26"/>
      <c r="E9915" s="27"/>
      <c r="F9915" s="27"/>
      <c r="G9915" s="27" t="s">
        <v>11122</v>
      </c>
      <c r="H9915" s="27" t="s">
        <v>35</v>
      </c>
      <c r="I9915" s="27" t="s">
        <v>38</v>
      </c>
      <c r="J9915" s="28" t="s">
        <v>913</v>
      </c>
      <c r="K9915" s="27" t="s">
        <v>38</v>
      </c>
      <c r="L9915" s="27"/>
    </row>
    <row r="9916" customFormat="false" ht="15" hidden="false" customHeight="false" outlineLevel="0" collapsed="false">
      <c r="A9916" s="26" t="s">
        <v>24745</v>
      </c>
      <c r="B9916" s="27" t="s">
        <v>24746</v>
      </c>
      <c r="C9916" s="27" t="s">
        <v>144</v>
      </c>
      <c r="D9916" s="26"/>
      <c r="E9916" s="27"/>
      <c r="F9916" s="27"/>
      <c r="G9916" s="27" t="s">
        <v>11122</v>
      </c>
      <c r="H9916" s="27" t="s">
        <v>35</v>
      </c>
      <c r="I9916" s="27" t="s">
        <v>39</v>
      </c>
      <c r="J9916" s="28" t="s">
        <v>913</v>
      </c>
      <c r="K9916" s="27" t="s">
        <v>38</v>
      </c>
      <c r="L9916" s="27"/>
    </row>
    <row r="9917" customFormat="false" ht="15" hidden="false" customHeight="false" outlineLevel="0" collapsed="false">
      <c r="A9917" s="26" t="s">
        <v>24747</v>
      </c>
      <c r="B9917" s="27" t="s">
        <v>24748</v>
      </c>
      <c r="C9917" s="27" t="s">
        <v>144</v>
      </c>
      <c r="D9917" s="26"/>
      <c r="E9917" s="27"/>
      <c r="F9917" s="27"/>
      <c r="G9917" s="27" t="s">
        <v>11122</v>
      </c>
      <c r="H9917" s="27" t="s">
        <v>35</v>
      </c>
      <c r="I9917" s="27" t="s">
        <v>38</v>
      </c>
      <c r="J9917" s="28" t="s">
        <v>913</v>
      </c>
      <c r="K9917" s="27" t="s">
        <v>38</v>
      </c>
      <c r="L9917" s="27"/>
    </row>
    <row r="9918" customFormat="false" ht="15" hidden="false" customHeight="false" outlineLevel="0" collapsed="false">
      <c r="A9918" s="26" t="s">
        <v>24749</v>
      </c>
      <c r="B9918" s="27" t="s">
        <v>24750</v>
      </c>
      <c r="C9918" s="27" t="s">
        <v>144</v>
      </c>
      <c r="D9918" s="26"/>
      <c r="E9918" s="27"/>
      <c r="F9918" s="27"/>
      <c r="G9918" s="27" t="s">
        <v>11122</v>
      </c>
      <c r="H9918" s="27" t="s">
        <v>35</v>
      </c>
      <c r="I9918" s="27" t="s">
        <v>38</v>
      </c>
      <c r="J9918" s="28" t="s">
        <v>913</v>
      </c>
      <c r="K9918" s="27" t="s">
        <v>38</v>
      </c>
      <c r="L9918" s="27"/>
    </row>
    <row r="9919" customFormat="false" ht="15" hidden="false" customHeight="false" outlineLevel="0" collapsed="false">
      <c r="A9919" s="26" t="s">
        <v>24751</v>
      </c>
      <c r="B9919" s="27" t="s">
        <v>24752</v>
      </c>
      <c r="C9919" s="27" t="s">
        <v>144</v>
      </c>
      <c r="D9919" s="26"/>
      <c r="E9919" s="27"/>
      <c r="F9919" s="27"/>
      <c r="G9919" s="27" t="s">
        <v>11122</v>
      </c>
      <c r="H9919" s="27" t="s">
        <v>35</v>
      </c>
      <c r="I9919" s="27" t="s">
        <v>38</v>
      </c>
      <c r="J9919" s="28" t="s">
        <v>913</v>
      </c>
      <c r="K9919" s="27" t="s">
        <v>38</v>
      </c>
      <c r="L9919" s="27"/>
    </row>
    <row r="9920" customFormat="false" ht="15" hidden="false" customHeight="false" outlineLevel="0" collapsed="false">
      <c r="A9920" s="26" t="s">
        <v>24753</v>
      </c>
      <c r="B9920" s="27" t="s">
        <v>24754</v>
      </c>
      <c r="C9920" s="27" t="s">
        <v>144</v>
      </c>
      <c r="D9920" s="26"/>
      <c r="E9920" s="27"/>
      <c r="F9920" s="27"/>
      <c r="G9920" s="27" t="s">
        <v>11122</v>
      </c>
      <c r="H9920" s="27" t="s">
        <v>35</v>
      </c>
      <c r="I9920" s="27" t="s">
        <v>37</v>
      </c>
      <c r="J9920" s="28" t="s">
        <v>913</v>
      </c>
      <c r="K9920" s="27" t="s">
        <v>38</v>
      </c>
      <c r="L9920" s="27"/>
    </row>
    <row r="9921" customFormat="false" ht="15" hidden="false" customHeight="false" outlineLevel="0" collapsed="false">
      <c r="A9921" s="26" t="s">
        <v>24755</v>
      </c>
      <c r="B9921" s="27" t="s">
        <v>24756</v>
      </c>
      <c r="C9921" s="27" t="s">
        <v>137</v>
      </c>
      <c r="D9921" s="26"/>
      <c r="E9921" s="27"/>
      <c r="F9921" s="27"/>
      <c r="G9921" s="27" t="s">
        <v>11122</v>
      </c>
      <c r="H9921" s="27" t="s">
        <v>35</v>
      </c>
      <c r="I9921" s="27" t="s">
        <v>38</v>
      </c>
      <c r="J9921" s="28" t="s">
        <v>913</v>
      </c>
      <c r="K9921" s="27" t="s">
        <v>38</v>
      </c>
      <c r="L9921" s="27"/>
    </row>
    <row r="9922" customFormat="false" ht="15" hidden="false" customHeight="false" outlineLevel="0" collapsed="false">
      <c r="A9922" s="26" t="s">
        <v>24757</v>
      </c>
      <c r="B9922" s="27" t="s">
        <v>24758</v>
      </c>
      <c r="C9922" s="27" t="s">
        <v>144</v>
      </c>
      <c r="D9922" s="26"/>
      <c r="E9922" s="27"/>
      <c r="F9922" s="27"/>
      <c r="G9922" s="27" t="s">
        <v>11122</v>
      </c>
      <c r="H9922" s="27" t="s">
        <v>35</v>
      </c>
      <c r="I9922" s="27" t="s">
        <v>38</v>
      </c>
      <c r="J9922" s="28" t="s">
        <v>913</v>
      </c>
      <c r="K9922" s="27" t="s">
        <v>38</v>
      </c>
      <c r="L9922" s="27"/>
    </row>
    <row r="9923" customFormat="false" ht="15" hidden="false" customHeight="false" outlineLevel="0" collapsed="false">
      <c r="A9923" s="26" t="s">
        <v>24759</v>
      </c>
      <c r="B9923" s="27" t="s">
        <v>24760</v>
      </c>
      <c r="C9923" s="27" t="s">
        <v>137</v>
      </c>
      <c r="D9923" s="26"/>
      <c r="E9923" s="27"/>
      <c r="F9923" s="27"/>
      <c r="G9923" s="27" t="s">
        <v>11122</v>
      </c>
      <c r="H9923" s="27" t="s">
        <v>35</v>
      </c>
      <c r="I9923" s="27" t="s">
        <v>38</v>
      </c>
      <c r="J9923" s="28" t="s">
        <v>913</v>
      </c>
      <c r="K9923" s="27" t="s">
        <v>38</v>
      </c>
      <c r="L9923" s="27"/>
    </row>
    <row r="9924" customFormat="false" ht="15" hidden="false" customHeight="false" outlineLevel="0" collapsed="false">
      <c r="A9924" s="26" t="s">
        <v>24761</v>
      </c>
      <c r="B9924" s="27" t="s">
        <v>24762</v>
      </c>
      <c r="C9924" s="27" t="s">
        <v>137</v>
      </c>
      <c r="D9924" s="26"/>
      <c r="E9924" s="27"/>
      <c r="F9924" s="27"/>
      <c r="G9924" s="27" t="s">
        <v>11122</v>
      </c>
      <c r="H9924" s="27" t="s">
        <v>35</v>
      </c>
      <c r="I9924" s="27" t="s">
        <v>38</v>
      </c>
      <c r="J9924" s="28" t="s">
        <v>913</v>
      </c>
      <c r="K9924" s="27" t="s">
        <v>38</v>
      </c>
      <c r="L9924" s="27"/>
    </row>
    <row r="9925" customFormat="false" ht="15" hidden="false" customHeight="false" outlineLevel="0" collapsed="false">
      <c r="A9925" s="26" t="s">
        <v>24763</v>
      </c>
      <c r="B9925" s="27" t="s">
        <v>24764</v>
      </c>
      <c r="C9925" s="27" t="s">
        <v>144</v>
      </c>
      <c r="D9925" s="26"/>
      <c r="E9925" s="27"/>
      <c r="F9925" s="27"/>
      <c r="G9925" s="27" t="s">
        <v>11122</v>
      </c>
      <c r="H9925" s="27" t="s">
        <v>35</v>
      </c>
      <c r="I9925" s="27" t="s">
        <v>38</v>
      </c>
      <c r="J9925" s="28" t="s">
        <v>913</v>
      </c>
      <c r="K9925" s="27" t="s">
        <v>38</v>
      </c>
      <c r="L9925" s="27"/>
    </row>
    <row r="9926" customFormat="false" ht="15" hidden="false" customHeight="false" outlineLevel="0" collapsed="false">
      <c r="A9926" s="26" t="s">
        <v>24765</v>
      </c>
      <c r="B9926" s="27" t="s">
        <v>24766</v>
      </c>
      <c r="C9926" s="27" t="s">
        <v>144</v>
      </c>
      <c r="D9926" s="26"/>
      <c r="E9926" s="27"/>
      <c r="F9926" s="27"/>
      <c r="G9926" s="27" t="s">
        <v>11122</v>
      </c>
      <c r="H9926" s="27" t="s">
        <v>35</v>
      </c>
      <c r="I9926" s="27" t="s">
        <v>38</v>
      </c>
      <c r="J9926" s="28" t="s">
        <v>913</v>
      </c>
      <c r="K9926" s="27" t="s">
        <v>38</v>
      </c>
      <c r="L9926" s="27"/>
    </row>
    <row r="9927" customFormat="false" ht="15" hidden="false" customHeight="false" outlineLevel="0" collapsed="false">
      <c r="A9927" s="26" t="s">
        <v>24767</v>
      </c>
      <c r="B9927" s="27" t="s">
        <v>24768</v>
      </c>
      <c r="C9927" s="27" t="s">
        <v>144</v>
      </c>
      <c r="D9927" s="26"/>
      <c r="E9927" s="27"/>
      <c r="F9927" s="27"/>
      <c r="G9927" s="27" t="s">
        <v>11122</v>
      </c>
      <c r="H9927" s="27" t="s">
        <v>35</v>
      </c>
      <c r="I9927" s="27" t="s">
        <v>38</v>
      </c>
      <c r="J9927" s="28" t="s">
        <v>913</v>
      </c>
      <c r="K9927" s="27" t="s">
        <v>38</v>
      </c>
      <c r="L9927" s="27"/>
    </row>
    <row r="9928" customFormat="false" ht="15" hidden="false" customHeight="false" outlineLevel="0" collapsed="false">
      <c r="A9928" s="26" t="s">
        <v>24769</v>
      </c>
      <c r="B9928" s="27" t="s">
        <v>24770</v>
      </c>
      <c r="C9928" s="27" t="s">
        <v>137</v>
      </c>
      <c r="D9928" s="26"/>
      <c r="E9928" s="27"/>
      <c r="F9928" s="27"/>
      <c r="G9928" s="27" t="s">
        <v>11122</v>
      </c>
      <c r="H9928" s="27" t="s">
        <v>35</v>
      </c>
      <c r="I9928" s="27" t="s">
        <v>38</v>
      </c>
      <c r="J9928" s="28" t="s">
        <v>913</v>
      </c>
      <c r="K9928" s="27" t="s">
        <v>38</v>
      </c>
      <c r="L9928" s="27"/>
    </row>
    <row r="9929" customFormat="false" ht="15" hidden="false" customHeight="false" outlineLevel="0" collapsed="false">
      <c r="A9929" s="26" t="s">
        <v>24771</v>
      </c>
      <c r="B9929" s="27" t="s">
        <v>24772</v>
      </c>
      <c r="C9929" s="27" t="s">
        <v>137</v>
      </c>
      <c r="D9929" s="26"/>
      <c r="E9929" s="27"/>
      <c r="F9929" s="27"/>
      <c r="G9929" s="27" t="s">
        <v>11122</v>
      </c>
      <c r="H9929" s="27" t="s">
        <v>35</v>
      </c>
      <c r="I9929" s="27" t="s">
        <v>39</v>
      </c>
      <c r="J9929" s="28" t="s">
        <v>913</v>
      </c>
      <c r="K9929" s="27" t="s">
        <v>38</v>
      </c>
      <c r="L9929" s="27"/>
    </row>
    <row r="9930" customFormat="false" ht="15" hidden="false" customHeight="false" outlineLevel="0" collapsed="false">
      <c r="A9930" s="26" t="s">
        <v>24773</v>
      </c>
      <c r="B9930" s="27" t="s">
        <v>24774</v>
      </c>
      <c r="C9930" s="27" t="s">
        <v>137</v>
      </c>
      <c r="D9930" s="26"/>
      <c r="E9930" s="27"/>
      <c r="F9930" s="27"/>
      <c r="G9930" s="27" t="s">
        <v>11122</v>
      </c>
      <c r="H9930" s="27" t="s">
        <v>35</v>
      </c>
      <c r="I9930" s="28" t="s">
        <v>50</v>
      </c>
      <c r="J9930" s="28" t="s">
        <v>913</v>
      </c>
      <c r="K9930" s="27" t="s">
        <v>38</v>
      </c>
      <c r="L9930" s="27"/>
    </row>
    <row r="9931" customFormat="false" ht="15" hidden="false" customHeight="false" outlineLevel="0" collapsed="false">
      <c r="A9931" s="26" t="s">
        <v>24775</v>
      </c>
      <c r="B9931" s="27" t="s">
        <v>24776</v>
      </c>
      <c r="C9931" s="27" t="s">
        <v>144</v>
      </c>
      <c r="D9931" s="26"/>
      <c r="E9931" s="27"/>
      <c r="F9931" s="27"/>
      <c r="G9931" s="27" t="s">
        <v>11122</v>
      </c>
      <c r="H9931" s="27" t="s">
        <v>35</v>
      </c>
      <c r="I9931" s="27" t="s">
        <v>37</v>
      </c>
      <c r="J9931" s="28" t="s">
        <v>913</v>
      </c>
      <c r="K9931" s="27" t="s">
        <v>38</v>
      </c>
      <c r="L9931" s="27"/>
    </row>
    <row r="9932" customFormat="false" ht="15" hidden="false" customHeight="false" outlineLevel="0" collapsed="false">
      <c r="A9932" s="26" t="s">
        <v>24777</v>
      </c>
      <c r="B9932" s="27" t="s">
        <v>24778</v>
      </c>
      <c r="C9932" s="27" t="s">
        <v>144</v>
      </c>
      <c r="D9932" s="26"/>
      <c r="E9932" s="27"/>
      <c r="F9932" s="27"/>
      <c r="G9932" s="27" t="s">
        <v>11122</v>
      </c>
      <c r="H9932" s="27" t="s">
        <v>35</v>
      </c>
      <c r="I9932" s="27" t="s">
        <v>37</v>
      </c>
      <c r="J9932" s="28" t="s">
        <v>913</v>
      </c>
      <c r="K9932" s="27" t="s">
        <v>38</v>
      </c>
      <c r="L9932" s="27"/>
    </row>
    <row r="9933" customFormat="false" ht="15" hidden="false" customHeight="false" outlineLevel="0" collapsed="false">
      <c r="A9933" s="26" t="s">
        <v>24779</v>
      </c>
      <c r="B9933" s="27" t="s">
        <v>24780</v>
      </c>
      <c r="C9933" s="27" t="s">
        <v>144</v>
      </c>
      <c r="D9933" s="26"/>
      <c r="E9933" s="27"/>
      <c r="F9933" s="27"/>
      <c r="G9933" s="27" t="s">
        <v>11122</v>
      </c>
      <c r="H9933" s="27" t="s">
        <v>35</v>
      </c>
      <c r="I9933" s="27" t="s">
        <v>37</v>
      </c>
      <c r="J9933" s="28" t="s">
        <v>913</v>
      </c>
      <c r="K9933" s="27" t="s">
        <v>38</v>
      </c>
      <c r="L9933" s="27"/>
    </row>
    <row r="9934" customFormat="false" ht="15" hidden="false" customHeight="false" outlineLevel="0" collapsed="false">
      <c r="A9934" s="26" t="s">
        <v>24781</v>
      </c>
      <c r="B9934" s="27" t="s">
        <v>24782</v>
      </c>
      <c r="C9934" s="27" t="s">
        <v>144</v>
      </c>
      <c r="D9934" s="26"/>
      <c r="E9934" s="27"/>
      <c r="F9934" s="27"/>
      <c r="G9934" s="27" t="s">
        <v>11122</v>
      </c>
      <c r="H9934" s="27" t="s">
        <v>35</v>
      </c>
      <c r="I9934" s="27" t="s">
        <v>37</v>
      </c>
      <c r="J9934" s="28" t="s">
        <v>913</v>
      </c>
      <c r="K9934" s="27" t="s">
        <v>38</v>
      </c>
      <c r="L9934" s="27"/>
    </row>
    <row r="9935" customFormat="false" ht="15" hidden="false" customHeight="false" outlineLevel="0" collapsed="false">
      <c r="A9935" s="26" t="s">
        <v>24783</v>
      </c>
      <c r="B9935" s="27" t="s">
        <v>24784</v>
      </c>
      <c r="C9935" s="27" t="s">
        <v>144</v>
      </c>
      <c r="D9935" s="26"/>
      <c r="E9935" s="27"/>
      <c r="F9935" s="27"/>
      <c r="G9935" s="27" t="s">
        <v>11122</v>
      </c>
      <c r="H9935" s="27" t="s">
        <v>35</v>
      </c>
      <c r="I9935" s="27" t="s">
        <v>38</v>
      </c>
      <c r="J9935" s="28" t="s">
        <v>913</v>
      </c>
      <c r="K9935" s="27" t="s">
        <v>38</v>
      </c>
      <c r="L9935" s="27"/>
    </row>
    <row r="9936" customFormat="false" ht="15" hidden="false" customHeight="false" outlineLevel="0" collapsed="false">
      <c r="A9936" s="26" t="s">
        <v>24785</v>
      </c>
      <c r="B9936" s="27" t="s">
        <v>24786</v>
      </c>
      <c r="C9936" s="27" t="s">
        <v>144</v>
      </c>
      <c r="D9936" s="26"/>
      <c r="E9936" s="27"/>
      <c r="F9936" s="27"/>
      <c r="G9936" s="27" t="s">
        <v>11122</v>
      </c>
      <c r="H9936" s="27" t="s">
        <v>35</v>
      </c>
      <c r="I9936" s="27" t="s">
        <v>38</v>
      </c>
      <c r="J9936" s="28" t="s">
        <v>913</v>
      </c>
      <c r="K9936" s="27" t="s">
        <v>38</v>
      </c>
      <c r="L9936" s="27"/>
    </row>
    <row r="9937" customFormat="false" ht="15" hidden="false" customHeight="false" outlineLevel="0" collapsed="false">
      <c r="A9937" s="26" t="s">
        <v>24787</v>
      </c>
      <c r="B9937" s="27" t="s">
        <v>24788</v>
      </c>
      <c r="C9937" s="27" t="s">
        <v>144</v>
      </c>
      <c r="D9937" s="26"/>
      <c r="E9937" s="27"/>
      <c r="F9937" s="27"/>
      <c r="G9937" s="27" t="s">
        <v>11122</v>
      </c>
      <c r="H9937" s="27" t="s">
        <v>35</v>
      </c>
      <c r="I9937" s="27" t="s">
        <v>38</v>
      </c>
      <c r="J9937" s="28" t="s">
        <v>913</v>
      </c>
      <c r="K9937" s="27" t="s">
        <v>38</v>
      </c>
      <c r="L9937" s="27"/>
    </row>
    <row r="9938" customFormat="false" ht="15" hidden="false" customHeight="false" outlineLevel="0" collapsed="false">
      <c r="A9938" s="26" t="s">
        <v>24789</v>
      </c>
      <c r="B9938" s="27" t="s">
        <v>24790</v>
      </c>
      <c r="C9938" s="27" t="s">
        <v>137</v>
      </c>
      <c r="D9938" s="26"/>
      <c r="E9938" s="27"/>
      <c r="F9938" s="27"/>
      <c r="G9938" s="27" t="s">
        <v>11122</v>
      </c>
      <c r="H9938" s="27" t="s">
        <v>35</v>
      </c>
      <c r="I9938" s="27" t="s">
        <v>38</v>
      </c>
      <c r="J9938" s="28" t="s">
        <v>913</v>
      </c>
      <c r="K9938" s="27" t="s">
        <v>38</v>
      </c>
      <c r="L9938" s="27"/>
    </row>
    <row r="9939" customFormat="false" ht="15" hidden="false" customHeight="false" outlineLevel="0" collapsed="false">
      <c r="A9939" s="26" t="s">
        <v>24791</v>
      </c>
      <c r="B9939" s="27" t="s">
        <v>24792</v>
      </c>
      <c r="C9939" s="27" t="s">
        <v>137</v>
      </c>
      <c r="D9939" s="26"/>
      <c r="E9939" s="27"/>
      <c r="F9939" s="27"/>
      <c r="G9939" s="27" t="s">
        <v>11122</v>
      </c>
      <c r="H9939" s="27" t="s">
        <v>35</v>
      </c>
      <c r="I9939" s="27" t="s">
        <v>38</v>
      </c>
      <c r="J9939" s="28" t="s">
        <v>913</v>
      </c>
      <c r="K9939" s="27" t="s">
        <v>38</v>
      </c>
      <c r="L9939" s="27"/>
    </row>
    <row r="9940" customFormat="false" ht="15" hidden="false" customHeight="false" outlineLevel="0" collapsed="false">
      <c r="A9940" s="26" t="s">
        <v>24793</v>
      </c>
      <c r="B9940" s="27" t="s">
        <v>24794</v>
      </c>
      <c r="C9940" s="27" t="s">
        <v>137</v>
      </c>
      <c r="D9940" s="26"/>
      <c r="E9940" s="27"/>
      <c r="F9940" s="27"/>
      <c r="G9940" s="27" t="s">
        <v>11122</v>
      </c>
      <c r="H9940" s="27" t="s">
        <v>35</v>
      </c>
      <c r="I9940" s="27" t="s">
        <v>38</v>
      </c>
      <c r="J9940" s="28" t="s">
        <v>913</v>
      </c>
      <c r="K9940" s="27" t="s">
        <v>38</v>
      </c>
      <c r="L9940" s="27"/>
    </row>
    <row r="9941" customFormat="false" ht="15" hidden="false" customHeight="false" outlineLevel="0" collapsed="false">
      <c r="A9941" s="26" t="s">
        <v>24795</v>
      </c>
      <c r="B9941" s="27" t="s">
        <v>24796</v>
      </c>
      <c r="C9941" s="27" t="s">
        <v>144</v>
      </c>
      <c r="D9941" s="26"/>
      <c r="E9941" s="27"/>
      <c r="F9941" s="27"/>
      <c r="G9941" s="27" t="s">
        <v>11122</v>
      </c>
      <c r="H9941" s="27" t="s">
        <v>35</v>
      </c>
      <c r="I9941" s="27" t="s">
        <v>38</v>
      </c>
      <c r="J9941" s="28" t="s">
        <v>913</v>
      </c>
      <c r="K9941" s="27" t="s">
        <v>38</v>
      </c>
      <c r="L9941" s="27"/>
    </row>
    <row r="9942" customFormat="false" ht="15" hidden="false" customHeight="false" outlineLevel="0" collapsed="false">
      <c r="A9942" s="26" t="s">
        <v>24797</v>
      </c>
      <c r="B9942" s="27" t="s">
        <v>24798</v>
      </c>
      <c r="C9942" s="27" t="s">
        <v>144</v>
      </c>
      <c r="D9942" s="26"/>
      <c r="E9942" s="27"/>
      <c r="F9942" s="27"/>
      <c r="G9942" s="27" t="s">
        <v>11122</v>
      </c>
      <c r="H9942" s="27" t="s">
        <v>35</v>
      </c>
      <c r="I9942" s="27" t="s">
        <v>38</v>
      </c>
      <c r="J9942" s="28" t="s">
        <v>913</v>
      </c>
      <c r="K9942" s="27" t="s">
        <v>38</v>
      </c>
      <c r="L9942" s="27"/>
    </row>
    <row r="9943" customFormat="false" ht="15" hidden="false" customHeight="false" outlineLevel="0" collapsed="false">
      <c r="A9943" s="26" t="s">
        <v>24799</v>
      </c>
      <c r="B9943" s="27" t="s">
        <v>24800</v>
      </c>
      <c r="C9943" s="27" t="s">
        <v>137</v>
      </c>
      <c r="D9943" s="26"/>
      <c r="E9943" s="27"/>
      <c r="F9943" s="27"/>
      <c r="G9943" s="27" t="s">
        <v>11122</v>
      </c>
      <c r="H9943" s="27" t="s">
        <v>35</v>
      </c>
      <c r="I9943" s="27" t="s">
        <v>38</v>
      </c>
      <c r="J9943" s="28" t="s">
        <v>913</v>
      </c>
      <c r="K9943" s="27" t="s">
        <v>38</v>
      </c>
      <c r="L9943" s="27"/>
    </row>
    <row r="9944" customFormat="false" ht="15" hidden="false" customHeight="false" outlineLevel="0" collapsed="false">
      <c r="A9944" s="26" t="s">
        <v>24801</v>
      </c>
      <c r="B9944" s="27" t="s">
        <v>24802</v>
      </c>
      <c r="C9944" s="27" t="s">
        <v>144</v>
      </c>
      <c r="D9944" s="26"/>
      <c r="E9944" s="27"/>
      <c r="F9944" s="27"/>
      <c r="G9944" s="27" t="s">
        <v>11122</v>
      </c>
      <c r="H9944" s="27" t="s">
        <v>35</v>
      </c>
      <c r="I9944" s="27" t="s">
        <v>38</v>
      </c>
      <c r="J9944" s="28" t="s">
        <v>913</v>
      </c>
      <c r="K9944" s="27" t="s">
        <v>38</v>
      </c>
      <c r="L9944" s="27"/>
    </row>
    <row r="9945" customFormat="false" ht="15" hidden="false" customHeight="false" outlineLevel="0" collapsed="false">
      <c r="A9945" s="26" t="s">
        <v>24803</v>
      </c>
      <c r="B9945" s="27" t="s">
        <v>24804</v>
      </c>
      <c r="C9945" s="27" t="s">
        <v>137</v>
      </c>
      <c r="D9945" s="26"/>
      <c r="E9945" s="27"/>
      <c r="F9945" s="27"/>
      <c r="G9945" s="27" t="s">
        <v>11122</v>
      </c>
      <c r="H9945" s="27" t="s">
        <v>35</v>
      </c>
      <c r="I9945" s="27" t="s">
        <v>38</v>
      </c>
      <c r="J9945" s="28" t="s">
        <v>913</v>
      </c>
      <c r="K9945" s="27" t="s">
        <v>38</v>
      </c>
      <c r="L9945" s="27"/>
    </row>
    <row r="9946" customFormat="false" ht="15" hidden="false" customHeight="false" outlineLevel="0" collapsed="false">
      <c r="A9946" s="26" t="s">
        <v>24805</v>
      </c>
      <c r="B9946" s="27" t="s">
        <v>24806</v>
      </c>
      <c r="C9946" s="27" t="s">
        <v>137</v>
      </c>
      <c r="D9946" s="26"/>
      <c r="E9946" s="27"/>
      <c r="F9946" s="27"/>
      <c r="G9946" s="27" t="s">
        <v>11122</v>
      </c>
      <c r="H9946" s="27" t="s">
        <v>35</v>
      </c>
      <c r="I9946" s="27" t="s">
        <v>38</v>
      </c>
      <c r="J9946" s="28" t="s">
        <v>913</v>
      </c>
      <c r="K9946" s="27" t="s">
        <v>38</v>
      </c>
      <c r="L9946" s="27"/>
    </row>
    <row r="9947" customFormat="false" ht="15" hidden="false" customHeight="false" outlineLevel="0" collapsed="false">
      <c r="A9947" s="26" t="s">
        <v>24807</v>
      </c>
      <c r="B9947" s="27" t="s">
        <v>24808</v>
      </c>
      <c r="C9947" s="27" t="s">
        <v>144</v>
      </c>
      <c r="D9947" s="26"/>
      <c r="E9947" s="27"/>
      <c r="F9947" s="27"/>
      <c r="G9947" s="27" t="s">
        <v>11122</v>
      </c>
      <c r="H9947" s="27" t="s">
        <v>35</v>
      </c>
      <c r="I9947" s="27" t="s">
        <v>38</v>
      </c>
      <c r="J9947" s="28" t="s">
        <v>913</v>
      </c>
      <c r="K9947" s="27" t="s">
        <v>38</v>
      </c>
      <c r="L9947" s="27"/>
    </row>
    <row r="9948" customFormat="false" ht="15" hidden="false" customHeight="false" outlineLevel="0" collapsed="false">
      <c r="A9948" s="26" t="s">
        <v>24809</v>
      </c>
      <c r="B9948" s="27" t="s">
        <v>24810</v>
      </c>
      <c r="C9948" s="27" t="s">
        <v>144</v>
      </c>
      <c r="D9948" s="26"/>
      <c r="E9948" s="27"/>
      <c r="F9948" s="27"/>
      <c r="G9948" s="27" t="s">
        <v>11122</v>
      </c>
      <c r="H9948" s="27" t="s">
        <v>35</v>
      </c>
      <c r="I9948" s="28" t="s">
        <v>50</v>
      </c>
      <c r="J9948" s="28" t="s">
        <v>913</v>
      </c>
      <c r="K9948" s="27" t="s">
        <v>38</v>
      </c>
      <c r="L9948" s="27"/>
    </row>
    <row r="9949" customFormat="false" ht="15" hidden="false" customHeight="false" outlineLevel="0" collapsed="false">
      <c r="A9949" s="26" t="s">
        <v>24811</v>
      </c>
      <c r="B9949" s="27" t="s">
        <v>24812</v>
      </c>
      <c r="C9949" s="27" t="s">
        <v>137</v>
      </c>
      <c r="D9949" s="26"/>
      <c r="E9949" s="27"/>
      <c r="F9949" s="27"/>
      <c r="G9949" s="27" t="s">
        <v>11122</v>
      </c>
      <c r="H9949" s="27" t="s">
        <v>35</v>
      </c>
      <c r="I9949" s="27" t="s">
        <v>38</v>
      </c>
      <c r="J9949" s="28" t="s">
        <v>913</v>
      </c>
      <c r="K9949" s="27" t="s">
        <v>38</v>
      </c>
      <c r="L9949" s="27"/>
    </row>
    <row r="9950" customFormat="false" ht="15" hidden="false" customHeight="false" outlineLevel="0" collapsed="false">
      <c r="A9950" s="26" t="s">
        <v>24813</v>
      </c>
      <c r="B9950" s="27" t="s">
        <v>24814</v>
      </c>
      <c r="C9950" s="27" t="s">
        <v>144</v>
      </c>
      <c r="D9950" s="26"/>
      <c r="E9950" s="27"/>
      <c r="F9950" s="27"/>
      <c r="G9950" s="27" t="s">
        <v>11122</v>
      </c>
      <c r="H9950" s="27" t="s">
        <v>35</v>
      </c>
      <c r="I9950" s="27" t="s">
        <v>37</v>
      </c>
      <c r="J9950" s="28" t="s">
        <v>913</v>
      </c>
      <c r="K9950" s="27" t="s">
        <v>38</v>
      </c>
      <c r="L9950" s="27"/>
    </row>
    <row r="9951" customFormat="false" ht="15" hidden="false" customHeight="false" outlineLevel="0" collapsed="false">
      <c r="A9951" s="26" t="s">
        <v>24815</v>
      </c>
      <c r="B9951" s="27" t="s">
        <v>24816</v>
      </c>
      <c r="C9951" s="27" t="s">
        <v>137</v>
      </c>
      <c r="D9951" s="26"/>
      <c r="E9951" s="27"/>
      <c r="F9951" s="27"/>
      <c r="G9951" s="27" t="s">
        <v>11122</v>
      </c>
      <c r="H9951" s="27" t="s">
        <v>35</v>
      </c>
      <c r="I9951" s="27" t="s">
        <v>38</v>
      </c>
      <c r="J9951" s="28" t="s">
        <v>913</v>
      </c>
      <c r="K9951" s="27" t="s">
        <v>38</v>
      </c>
      <c r="L9951" s="27"/>
    </row>
    <row r="9952" customFormat="false" ht="15" hidden="false" customHeight="false" outlineLevel="0" collapsed="false">
      <c r="A9952" s="26" t="s">
        <v>24817</v>
      </c>
      <c r="B9952" s="27" t="s">
        <v>24818</v>
      </c>
      <c r="C9952" s="27" t="s">
        <v>144</v>
      </c>
      <c r="D9952" s="26"/>
      <c r="E9952" s="27"/>
      <c r="F9952" s="27"/>
      <c r="G9952" s="27" t="s">
        <v>11122</v>
      </c>
      <c r="H9952" s="27" t="s">
        <v>35</v>
      </c>
      <c r="I9952" s="27" t="s">
        <v>37</v>
      </c>
      <c r="J9952" s="28" t="s">
        <v>913</v>
      </c>
      <c r="K9952" s="27" t="s">
        <v>38</v>
      </c>
      <c r="L9952" s="27"/>
    </row>
    <row r="9953" customFormat="false" ht="15" hidden="false" customHeight="false" outlineLevel="0" collapsed="false">
      <c r="A9953" s="26" t="s">
        <v>24819</v>
      </c>
      <c r="B9953" s="27" t="s">
        <v>24820</v>
      </c>
      <c r="C9953" s="27" t="s">
        <v>144</v>
      </c>
      <c r="D9953" s="26"/>
      <c r="E9953" s="27"/>
      <c r="F9953" s="27"/>
      <c r="G9953" s="27" t="s">
        <v>11122</v>
      </c>
      <c r="H9953" s="27" t="s">
        <v>35</v>
      </c>
      <c r="I9953" s="27" t="s">
        <v>38</v>
      </c>
      <c r="J9953" s="28" t="s">
        <v>913</v>
      </c>
      <c r="K9953" s="27" t="s">
        <v>38</v>
      </c>
      <c r="L9953" s="27"/>
    </row>
    <row r="9954" customFormat="false" ht="15" hidden="false" customHeight="false" outlineLevel="0" collapsed="false">
      <c r="A9954" s="26" t="s">
        <v>24821</v>
      </c>
      <c r="B9954" s="27" t="s">
        <v>24822</v>
      </c>
      <c r="C9954" s="27" t="s">
        <v>137</v>
      </c>
      <c r="D9954" s="26"/>
      <c r="E9954" s="27"/>
      <c r="F9954" s="27"/>
      <c r="G9954" s="27" t="s">
        <v>11122</v>
      </c>
      <c r="H9954" s="27" t="s">
        <v>35</v>
      </c>
      <c r="I9954" s="27" t="s">
        <v>38</v>
      </c>
      <c r="J9954" s="28" t="s">
        <v>913</v>
      </c>
      <c r="K9954" s="27" t="s">
        <v>38</v>
      </c>
      <c r="L9954" s="27"/>
    </row>
    <row r="9955" customFormat="false" ht="15" hidden="false" customHeight="false" outlineLevel="0" collapsed="false">
      <c r="A9955" s="26" t="s">
        <v>24823</v>
      </c>
      <c r="B9955" s="27" t="s">
        <v>24824</v>
      </c>
      <c r="C9955" s="27" t="s">
        <v>144</v>
      </c>
      <c r="D9955" s="26"/>
      <c r="E9955" s="27"/>
      <c r="F9955" s="27"/>
      <c r="G9955" s="27" t="s">
        <v>11122</v>
      </c>
      <c r="H9955" s="27" t="s">
        <v>35</v>
      </c>
      <c r="I9955" s="27" t="s">
        <v>41</v>
      </c>
      <c r="J9955" s="28" t="s">
        <v>913</v>
      </c>
      <c r="K9955" s="27" t="s">
        <v>38</v>
      </c>
      <c r="L9955" s="27"/>
    </row>
    <row r="9956" customFormat="false" ht="15" hidden="false" customHeight="false" outlineLevel="0" collapsed="false">
      <c r="A9956" s="26" t="s">
        <v>24825</v>
      </c>
      <c r="B9956" s="27" t="s">
        <v>24826</v>
      </c>
      <c r="C9956" s="27" t="s">
        <v>144</v>
      </c>
      <c r="D9956" s="26"/>
      <c r="E9956" s="27"/>
      <c r="F9956" s="27"/>
      <c r="G9956" s="27" t="s">
        <v>11122</v>
      </c>
      <c r="H9956" s="27" t="s">
        <v>35</v>
      </c>
      <c r="I9956" s="27" t="s">
        <v>38</v>
      </c>
      <c r="J9956" s="28" t="s">
        <v>913</v>
      </c>
      <c r="K9956" s="27" t="s">
        <v>38</v>
      </c>
      <c r="L9956" s="27"/>
    </row>
    <row r="9957" customFormat="false" ht="15" hidden="false" customHeight="false" outlineLevel="0" collapsed="false">
      <c r="A9957" s="26" t="s">
        <v>24827</v>
      </c>
      <c r="B9957" s="27" t="s">
        <v>24828</v>
      </c>
      <c r="C9957" s="27" t="s">
        <v>137</v>
      </c>
      <c r="D9957" s="26"/>
      <c r="E9957" s="27"/>
      <c r="F9957" s="27"/>
      <c r="G9957" s="27" t="s">
        <v>11122</v>
      </c>
      <c r="H9957" s="27" t="s">
        <v>35</v>
      </c>
      <c r="I9957" s="27" t="s">
        <v>38</v>
      </c>
      <c r="J9957" s="28" t="s">
        <v>913</v>
      </c>
      <c r="K9957" s="27" t="s">
        <v>38</v>
      </c>
      <c r="L9957" s="27"/>
    </row>
    <row r="9958" customFormat="false" ht="15" hidden="false" customHeight="false" outlineLevel="0" collapsed="false">
      <c r="A9958" s="26" t="s">
        <v>24829</v>
      </c>
      <c r="B9958" s="27" t="s">
        <v>24830</v>
      </c>
      <c r="C9958" s="27" t="s">
        <v>144</v>
      </c>
      <c r="D9958" s="26"/>
      <c r="E9958" s="27"/>
      <c r="F9958" s="27"/>
      <c r="G9958" s="27" t="s">
        <v>11122</v>
      </c>
      <c r="H9958" s="27" t="s">
        <v>35</v>
      </c>
      <c r="I9958" s="27" t="s">
        <v>38</v>
      </c>
      <c r="J9958" s="28" t="s">
        <v>913</v>
      </c>
      <c r="K9958" s="27" t="s">
        <v>38</v>
      </c>
      <c r="L9958" s="27"/>
    </row>
    <row r="9959" customFormat="false" ht="15" hidden="false" customHeight="false" outlineLevel="0" collapsed="false">
      <c r="A9959" s="26" t="s">
        <v>24831</v>
      </c>
      <c r="B9959" s="27" t="s">
        <v>24832</v>
      </c>
      <c r="C9959" s="27" t="s">
        <v>137</v>
      </c>
      <c r="D9959" s="26"/>
      <c r="E9959" s="27"/>
      <c r="F9959" s="27"/>
      <c r="G9959" s="27" t="s">
        <v>11122</v>
      </c>
      <c r="H9959" s="27" t="s">
        <v>35</v>
      </c>
      <c r="I9959" s="27" t="s">
        <v>38</v>
      </c>
      <c r="J9959" s="28" t="s">
        <v>913</v>
      </c>
      <c r="K9959" s="27" t="s">
        <v>38</v>
      </c>
      <c r="L9959" s="27"/>
    </row>
    <row r="9960" customFormat="false" ht="15" hidden="false" customHeight="false" outlineLevel="0" collapsed="false">
      <c r="A9960" s="26" t="s">
        <v>24833</v>
      </c>
      <c r="B9960" s="27" t="s">
        <v>24834</v>
      </c>
      <c r="C9960" s="27" t="s">
        <v>144</v>
      </c>
      <c r="D9960" s="26"/>
      <c r="E9960" s="27"/>
      <c r="F9960" s="27"/>
      <c r="G9960" s="27" t="s">
        <v>11122</v>
      </c>
      <c r="H9960" s="27" t="s">
        <v>35</v>
      </c>
      <c r="I9960" s="27" t="s">
        <v>40</v>
      </c>
      <c r="J9960" s="28" t="s">
        <v>913</v>
      </c>
      <c r="K9960" s="27" t="s">
        <v>38</v>
      </c>
      <c r="L9960" s="27"/>
    </row>
    <row r="9961" customFormat="false" ht="15" hidden="false" customHeight="false" outlineLevel="0" collapsed="false">
      <c r="A9961" s="26" t="s">
        <v>24835</v>
      </c>
      <c r="B9961" s="27" t="s">
        <v>24836</v>
      </c>
      <c r="C9961" s="27" t="s">
        <v>137</v>
      </c>
      <c r="D9961" s="26"/>
      <c r="E9961" s="27"/>
      <c r="F9961" s="27"/>
      <c r="G9961" s="27" t="s">
        <v>11122</v>
      </c>
      <c r="H9961" s="27" t="s">
        <v>35</v>
      </c>
      <c r="I9961" s="27" t="s">
        <v>39</v>
      </c>
      <c r="J9961" s="28" t="s">
        <v>913</v>
      </c>
      <c r="K9961" s="27" t="s">
        <v>38</v>
      </c>
      <c r="L9961" s="27"/>
    </row>
    <row r="9962" customFormat="false" ht="15" hidden="false" customHeight="false" outlineLevel="0" collapsed="false">
      <c r="A9962" s="26" t="s">
        <v>24837</v>
      </c>
      <c r="B9962" s="27" t="s">
        <v>24838</v>
      </c>
      <c r="C9962" s="27" t="s">
        <v>137</v>
      </c>
      <c r="D9962" s="26"/>
      <c r="E9962" s="27"/>
      <c r="F9962" s="27"/>
      <c r="G9962" s="27" t="s">
        <v>11122</v>
      </c>
      <c r="H9962" s="27" t="s">
        <v>35</v>
      </c>
      <c r="I9962" s="27" t="s">
        <v>39</v>
      </c>
      <c r="J9962" s="28" t="s">
        <v>913</v>
      </c>
      <c r="K9962" s="27" t="s">
        <v>38</v>
      </c>
      <c r="L9962" s="27"/>
    </row>
    <row r="9963" customFormat="false" ht="15" hidden="false" customHeight="false" outlineLevel="0" collapsed="false">
      <c r="A9963" s="26" t="s">
        <v>24839</v>
      </c>
      <c r="B9963" s="27" t="s">
        <v>24840</v>
      </c>
      <c r="C9963" s="27" t="s">
        <v>144</v>
      </c>
      <c r="D9963" s="26"/>
      <c r="E9963" s="27"/>
      <c r="F9963" s="27"/>
      <c r="G9963" s="27" t="s">
        <v>11122</v>
      </c>
      <c r="H9963" s="27" t="s">
        <v>35</v>
      </c>
      <c r="I9963" s="27" t="s">
        <v>38</v>
      </c>
      <c r="J9963" s="28" t="s">
        <v>913</v>
      </c>
      <c r="K9963" s="27" t="s">
        <v>38</v>
      </c>
      <c r="L9963" s="27"/>
    </row>
    <row r="9964" customFormat="false" ht="15" hidden="false" customHeight="false" outlineLevel="0" collapsed="false">
      <c r="A9964" s="26" t="s">
        <v>24841</v>
      </c>
      <c r="B9964" s="27" t="s">
        <v>24842</v>
      </c>
      <c r="C9964" s="27" t="s">
        <v>144</v>
      </c>
      <c r="D9964" s="26"/>
      <c r="E9964" s="27"/>
      <c r="F9964" s="27"/>
      <c r="G9964" s="27" t="s">
        <v>11122</v>
      </c>
      <c r="H9964" s="27" t="s">
        <v>35</v>
      </c>
      <c r="I9964" s="27" t="s">
        <v>38</v>
      </c>
      <c r="J9964" s="28" t="s">
        <v>913</v>
      </c>
      <c r="K9964" s="27" t="s">
        <v>38</v>
      </c>
      <c r="L9964" s="27"/>
    </row>
    <row r="9965" customFormat="false" ht="15" hidden="false" customHeight="false" outlineLevel="0" collapsed="false">
      <c r="A9965" s="26" t="s">
        <v>24843</v>
      </c>
      <c r="B9965" s="27" t="s">
        <v>24844</v>
      </c>
      <c r="C9965" s="27" t="s">
        <v>144</v>
      </c>
      <c r="D9965" s="26"/>
      <c r="E9965" s="27"/>
      <c r="F9965" s="27"/>
      <c r="G9965" s="27" t="s">
        <v>11122</v>
      </c>
      <c r="H9965" s="27" t="s">
        <v>35</v>
      </c>
      <c r="I9965" s="27" t="s">
        <v>38</v>
      </c>
      <c r="J9965" s="28" t="s">
        <v>913</v>
      </c>
      <c r="K9965" s="27" t="s">
        <v>38</v>
      </c>
      <c r="L9965" s="27"/>
    </row>
    <row r="9966" customFormat="false" ht="15" hidden="false" customHeight="false" outlineLevel="0" collapsed="false">
      <c r="A9966" s="26" t="s">
        <v>24845</v>
      </c>
      <c r="B9966" s="27" t="s">
        <v>24846</v>
      </c>
      <c r="C9966" s="27" t="s">
        <v>144</v>
      </c>
      <c r="D9966" s="26"/>
      <c r="E9966" s="27"/>
      <c r="F9966" s="27"/>
      <c r="G9966" s="27" t="s">
        <v>11122</v>
      </c>
      <c r="H9966" s="27" t="s">
        <v>35</v>
      </c>
      <c r="I9966" s="27" t="s">
        <v>38</v>
      </c>
      <c r="J9966" s="28" t="s">
        <v>913</v>
      </c>
      <c r="K9966" s="27" t="s">
        <v>38</v>
      </c>
      <c r="L9966" s="27"/>
    </row>
    <row r="9967" customFormat="false" ht="15" hidden="false" customHeight="false" outlineLevel="0" collapsed="false">
      <c r="A9967" s="26" t="s">
        <v>24847</v>
      </c>
      <c r="B9967" s="27" t="s">
        <v>24848</v>
      </c>
      <c r="C9967" s="27" t="s">
        <v>144</v>
      </c>
      <c r="D9967" s="26"/>
      <c r="E9967" s="27"/>
      <c r="F9967" s="27"/>
      <c r="G9967" s="27" t="s">
        <v>11122</v>
      </c>
      <c r="H9967" s="27" t="s">
        <v>35</v>
      </c>
      <c r="I9967" s="27" t="s">
        <v>38</v>
      </c>
      <c r="J9967" s="28" t="s">
        <v>913</v>
      </c>
      <c r="K9967" s="27" t="s">
        <v>38</v>
      </c>
      <c r="L9967" s="27"/>
    </row>
    <row r="9968" customFormat="false" ht="15" hidden="false" customHeight="false" outlineLevel="0" collapsed="false">
      <c r="A9968" s="26" t="s">
        <v>24849</v>
      </c>
      <c r="B9968" s="27" t="s">
        <v>24850</v>
      </c>
      <c r="C9968" s="27" t="s">
        <v>144</v>
      </c>
      <c r="D9968" s="26"/>
      <c r="E9968" s="27"/>
      <c r="F9968" s="27"/>
      <c r="G9968" s="27" t="s">
        <v>11122</v>
      </c>
      <c r="H9968" s="27" t="s">
        <v>35</v>
      </c>
      <c r="I9968" s="27" t="s">
        <v>38</v>
      </c>
      <c r="J9968" s="28" t="s">
        <v>913</v>
      </c>
      <c r="K9968" s="27" t="s">
        <v>38</v>
      </c>
      <c r="L9968" s="27"/>
    </row>
    <row r="9969" customFormat="false" ht="15" hidden="false" customHeight="false" outlineLevel="0" collapsed="false">
      <c r="A9969" s="26" t="s">
        <v>24851</v>
      </c>
      <c r="B9969" s="27" t="s">
        <v>24852</v>
      </c>
      <c r="C9969" s="27" t="s">
        <v>144</v>
      </c>
      <c r="D9969" s="26"/>
      <c r="E9969" s="27"/>
      <c r="F9969" s="27"/>
      <c r="G9969" s="27" t="s">
        <v>11122</v>
      </c>
      <c r="H9969" s="27" t="s">
        <v>35</v>
      </c>
      <c r="I9969" s="27" t="s">
        <v>38</v>
      </c>
      <c r="J9969" s="28" t="s">
        <v>913</v>
      </c>
      <c r="K9969" s="27" t="s">
        <v>38</v>
      </c>
      <c r="L9969" s="27"/>
    </row>
    <row r="9970" customFormat="false" ht="15" hidden="false" customHeight="false" outlineLevel="0" collapsed="false">
      <c r="A9970" s="26" t="s">
        <v>24853</v>
      </c>
      <c r="B9970" s="27" t="s">
        <v>24854</v>
      </c>
      <c r="C9970" s="27" t="s">
        <v>144</v>
      </c>
      <c r="D9970" s="26"/>
      <c r="E9970" s="27"/>
      <c r="F9970" s="27"/>
      <c r="G9970" s="27" t="s">
        <v>11122</v>
      </c>
      <c r="H9970" s="27" t="s">
        <v>35</v>
      </c>
      <c r="I9970" s="27" t="s">
        <v>38</v>
      </c>
      <c r="J9970" s="28" t="s">
        <v>913</v>
      </c>
      <c r="K9970" s="27" t="s">
        <v>38</v>
      </c>
      <c r="L9970" s="27"/>
    </row>
    <row r="9971" customFormat="false" ht="15" hidden="false" customHeight="false" outlineLevel="0" collapsed="false">
      <c r="A9971" s="26" t="s">
        <v>24855</v>
      </c>
      <c r="B9971" s="27" t="s">
        <v>24856</v>
      </c>
      <c r="C9971" s="27" t="s">
        <v>144</v>
      </c>
      <c r="D9971" s="26"/>
      <c r="E9971" s="27"/>
      <c r="F9971" s="27"/>
      <c r="G9971" s="27" t="s">
        <v>11122</v>
      </c>
      <c r="H9971" s="27" t="s">
        <v>35</v>
      </c>
      <c r="I9971" s="27" t="s">
        <v>41</v>
      </c>
      <c r="J9971" s="28" t="s">
        <v>913</v>
      </c>
      <c r="K9971" s="27" t="s">
        <v>38</v>
      </c>
      <c r="L9971" s="27"/>
    </row>
    <row r="9972" customFormat="false" ht="15" hidden="false" customHeight="false" outlineLevel="0" collapsed="false">
      <c r="A9972" s="26" t="s">
        <v>24857</v>
      </c>
      <c r="B9972" s="27" t="s">
        <v>24858</v>
      </c>
      <c r="C9972" s="27" t="s">
        <v>144</v>
      </c>
      <c r="D9972" s="26"/>
      <c r="E9972" s="27"/>
      <c r="F9972" s="27"/>
      <c r="G9972" s="27" t="s">
        <v>11122</v>
      </c>
      <c r="H9972" s="27" t="s">
        <v>35</v>
      </c>
      <c r="I9972" s="27" t="s">
        <v>41</v>
      </c>
      <c r="J9972" s="28" t="s">
        <v>913</v>
      </c>
      <c r="K9972" s="27" t="s">
        <v>38</v>
      </c>
      <c r="L9972" s="27"/>
    </row>
    <row r="9973" customFormat="false" ht="15" hidden="false" customHeight="false" outlineLevel="0" collapsed="false">
      <c r="A9973" s="26" t="s">
        <v>24859</v>
      </c>
      <c r="B9973" s="27" t="s">
        <v>24860</v>
      </c>
      <c r="C9973" s="27" t="s">
        <v>144</v>
      </c>
      <c r="D9973" s="26"/>
      <c r="E9973" s="27"/>
      <c r="F9973" s="27"/>
      <c r="G9973" s="27" t="s">
        <v>11122</v>
      </c>
      <c r="H9973" s="27" t="s">
        <v>35</v>
      </c>
      <c r="I9973" s="27" t="s">
        <v>41</v>
      </c>
      <c r="J9973" s="28" t="s">
        <v>913</v>
      </c>
      <c r="K9973" s="27" t="s">
        <v>38</v>
      </c>
      <c r="L9973" s="27"/>
    </row>
    <row r="9974" customFormat="false" ht="15" hidden="false" customHeight="false" outlineLevel="0" collapsed="false">
      <c r="A9974" s="26" t="s">
        <v>24861</v>
      </c>
      <c r="B9974" s="27" t="s">
        <v>24862</v>
      </c>
      <c r="C9974" s="27" t="s">
        <v>144</v>
      </c>
      <c r="D9974" s="26"/>
      <c r="E9974" s="27"/>
      <c r="F9974" s="27"/>
      <c r="G9974" s="27" t="s">
        <v>11122</v>
      </c>
      <c r="H9974" s="27" t="s">
        <v>35</v>
      </c>
      <c r="I9974" s="27" t="s">
        <v>43</v>
      </c>
      <c r="J9974" s="28" t="s">
        <v>913</v>
      </c>
      <c r="K9974" s="27" t="s">
        <v>38</v>
      </c>
      <c r="L9974" s="27"/>
    </row>
    <row r="9975" customFormat="false" ht="15" hidden="false" customHeight="false" outlineLevel="0" collapsed="false">
      <c r="A9975" s="26" t="s">
        <v>24863</v>
      </c>
      <c r="B9975" s="27" t="s">
        <v>24864</v>
      </c>
      <c r="C9975" s="27" t="s">
        <v>144</v>
      </c>
      <c r="D9975" s="26"/>
      <c r="E9975" s="27"/>
      <c r="F9975" s="27"/>
      <c r="G9975" s="27" t="s">
        <v>11122</v>
      </c>
      <c r="H9975" s="27" t="s">
        <v>35</v>
      </c>
      <c r="I9975" s="27" t="s">
        <v>41</v>
      </c>
      <c r="J9975" s="28" t="s">
        <v>913</v>
      </c>
      <c r="K9975" s="27" t="s">
        <v>38</v>
      </c>
      <c r="L9975" s="27"/>
    </row>
    <row r="9976" customFormat="false" ht="15" hidden="false" customHeight="false" outlineLevel="0" collapsed="false">
      <c r="A9976" s="26" t="s">
        <v>24865</v>
      </c>
      <c r="B9976" s="27" t="s">
        <v>24866</v>
      </c>
      <c r="C9976" s="27" t="s">
        <v>144</v>
      </c>
      <c r="D9976" s="26"/>
      <c r="E9976" s="27"/>
      <c r="F9976" s="27"/>
      <c r="G9976" s="27" t="s">
        <v>11122</v>
      </c>
      <c r="H9976" s="27" t="s">
        <v>35</v>
      </c>
      <c r="I9976" s="27" t="s">
        <v>41</v>
      </c>
      <c r="J9976" s="28" t="s">
        <v>913</v>
      </c>
      <c r="K9976" s="27" t="s">
        <v>38</v>
      </c>
      <c r="L9976" s="27"/>
    </row>
    <row r="9977" customFormat="false" ht="15" hidden="false" customHeight="false" outlineLevel="0" collapsed="false">
      <c r="A9977" s="26" t="s">
        <v>24867</v>
      </c>
      <c r="B9977" s="27" t="s">
        <v>24868</v>
      </c>
      <c r="C9977" s="27" t="s">
        <v>144</v>
      </c>
      <c r="D9977" s="26"/>
      <c r="E9977" s="27"/>
      <c r="F9977" s="27"/>
      <c r="G9977" s="27" t="s">
        <v>11122</v>
      </c>
      <c r="H9977" s="27" t="s">
        <v>35</v>
      </c>
      <c r="I9977" s="27" t="s">
        <v>37</v>
      </c>
      <c r="J9977" s="28" t="s">
        <v>913</v>
      </c>
      <c r="K9977" s="27" t="s">
        <v>38</v>
      </c>
      <c r="L9977" s="27"/>
    </row>
    <row r="9978" customFormat="false" ht="15" hidden="false" customHeight="false" outlineLevel="0" collapsed="false">
      <c r="A9978" s="26" t="s">
        <v>24869</v>
      </c>
      <c r="B9978" s="27" t="s">
        <v>24870</v>
      </c>
      <c r="C9978" s="27" t="s">
        <v>144</v>
      </c>
      <c r="D9978" s="26"/>
      <c r="E9978" s="27"/>
      <c r="F9978" s="27"/>
      <c r="G9978" s="27" t="s">
        <v>11122</v>
      </c>
      <c r="H9978" s="27" t="s">
        <v>35</v>
      </c>
      <c r="I9978" s="27" t="s">
        <v>41</v>
      </c>
      <c r="J9978" s="28" t="s">
        <v>913</v>
      </c>
      <c r="K9978" s="27" t="s">
        <v>38</v>
      </c>
      <c r="L9978" s="27"/>
    </row>
    <row r="9979" customFormat="false" ht="15" hidden="false" customHeight="false" outlineLevel="0" collapsed="false">
      <c r="A9979" s="26" t="s">
        <v>24871</v>
      </c>
      <c r="B9979" s="27" t="s">
        <v>24872</v>
      </c>
      <c r="C9979" s="27" t="s">
        <v>144</v>
      </c>
      <c r="D9979" s="26"/>
      <c r="E9979" s="27"/>
      <c r="F9979" s="27"/>
      <c r="G9979" s="27" t="s">
        <v>11122</v>
      </c>
      <c r="H9979" s="27" t="s">
        <v>35</v>
      </c>
      <c r="I9979" s="27" t="s">
        <v>37</v>
      </c>
      <c r="J9979" s="28" t="s">
        <v>913</v>
      </c>
      <c r="K9979" s="27" t="s">
        <v>38</v>
      </c>
      <c r="L9979" s="27"/>
    </row>
    <row r="9980" customFormat="false" ht="15" hidden="false" customHeight="false" outlineLevel="0" collapsed="false">
      <c r="A9980" s="26" t="s">
        <v>24873</v>
      </c>
      <c r="B9980" s="27" t="s">
        <v>24874</v>
      </c>
      <c r="C9980" s="27" t="s">
        <v>144</v>
      </c>
      <c r="D9980" s="26"/>
      <c r="E9980" s="27"/>
      <c r="F9980" s="27"/>
      <c r="G9980" s="27" t="s">
        <v>11122</v>
      </c>
      <c r="H9980" s="27" t="s">
        <v>35</v>
      </c>
      <c r="I9980" s="27" t="s">
        <v>37</v>
      </c>
      <c r="J9980" s="28" t="s">
        <v>913</v>
      </c>
      <c r="K9980" s="27" t="s">
        <v>38</v>
      </c>
      <c r="L9980" s="27"/>
    </row>
    <row r="9981" customFormat="false" ht="15" hidden="false" customHeight="false" outlineLevel="0" collapsed="false">
      <c r="A9981" s="26" t="s">
        <v>24875</v>
      </c>
      <c r="B9981" s="27" t="s">
        <v>24876</v>
      </c>
      <c r="C9981" s="27" t="s">
        <v>144</v>
      </c>
      <c r="D9981" s="26"/>
      <c r="E9981" s="27"/>
      <c r="F9981" s="27"/>
      <c r="G9981" s="27" t="s">
        <v>11122</v>
      </c>
      <c r="H9981" s="27" t="s">
        <v>35</v>
      </c>
      <c r="I9981" s="27" t="s">
        <v>37</v>
      </c>
      <c r="J9981" s="28" t="s">
        <v>913</v>
      </c>
      <c r="K9981" s="27" t="s">
        <v>38</v>
      </c>
      <c r="L9981" s="27"/>
    </row>
    <row r="9982" customFormat="false" ht="15" hidden="false" customHeight="false" outlineLevel="0" collapsed="false">
      <c r="A9982" s="26" t="s">
        <v>24877</v>
      </c>
      <c r="B9982" s="27" t="s">
        <v>24878</v>
      </c>
      <c r="C9982" s="27" t="s">
        <v>144</v>
      </c>
      <c r="D9982" s="26"/>
      <c r="E9982" s="27"/>
      <c r="F9982" s="27"/>
      <c r="G9982" s="27" t="s">
        <v>11122</v>
      </c>
      <c r="H9982" s="27" t="s">
        <v>35</v>
      </c>
      <c r="I9982" s="27" t="s">
        <v>41</v>
      </c>
      <c r="J9982" s="28" t="s">
        <v>913</v>
      </c>
      <c r="K9982" s="27" t="s">
        <v>38</v>
      </c>
      <c r="L9982" s="27"/>
    </row>
    <row r="9983" customFormat="false" ht="15" hidden="false" customHeight="false" outlineLevel="0" collapsed="false">
      <c r="A9983" s="26" t="s">
        <v>24879</v>
      </c>
      <c r="B9983" s="27" t="s">
        <v>24880</v>
      </c>
      <c r="C9983" s="27" t="s">
        <v>144</v>
      </c>
      <c r="D9983" s="26"/>
      <c r="E9983" s="27"/>
      <c r="F9983" s="27"/>
      <c r="G9983" s="27" t="s">
        <v>11122</v>
      </c>
      <c r="H9983" s="27" t="s">
        <v>35</v>
      </c>
      <c r="I9983" s="27" t="s">
        <v>41</v>
      </c>
      <c r="J9983" s="28" t="s">
        <v>913</v>
      </c>
      <c r="K9983" s="27" t="s">
        <v>38</v>
      </c>
      <c r="L9983" s="27"/>
    </row>
    <row r="9984" customFormat="false" ht="15" hidden="false" customHeight="false" outlineLevel="0" collapsed="false">
      <c r="A9984" s="26" t="s">
        <v>24881</v>
      </c>
      <c r="B9984" s="27" t="s">
        <v>24882</v>
      </c>
      <c r="C9984" s="27" t="s">
        <v>144</v>
      </c>
      <c r="D9984" s="26"/>
      <c r="E9984" s="27"/>
      <c r="F9984" s="27"/>
      <c r="G9984" s="27" t="s">
        <v>11122</v>
      </c>
      <c r="H9984" s="27" t="s">
        <v>35</v>
      </c>
      <c r="I9984" s="27" t="s">
        <v>41</v>
      </c>
      <c r="J9984" s="28" t="s">
        <v>913</v>
      </c>
      <c r="K9984" s="27" t="s">
        <v>38</v>
      </c>
      <c r="L9984" s="27"/>
    </row>
    <row r="9985" customFormat="false" ht="15" hidden="false" customHeight="false" outlineLevel="0" collapsed="false">
      <c r="A9985" s="26" t="s">
        <v>24883</v>
      </c>
      <c r="B9985" s="27" t="s">
        <v>24884</v>
      </c>
      <c r="C9985" s="27" t="s">
        <v>144</v>
      </c>
      <c r="D9985" s="26"/>
      <c r="E9985" s="27"/>
      <c r="F9985" s="27"/>
      <c r="G9985" s="27" t="s">
        <v>11122</v>
      </c>
      <c r="H9985" s="27" t="s">
        <v>35</v>
      </c>
      <c r="I9985" s="27" t="s">
        <v>37</v>
      </c>
      <c r="J9985" s="28" t="s">
        <v>913</v>
      </c>
      <c r="K9985" s="27" t="s">
        <v>38</v>
      </c>
      <c r="L9985" s="27"/>
    </row>
    <row r="9986" customFormat="false" ht="15" hidden="false" customHeight="false" outlineLevel="0" collapsed="false">
      <c r="A9986" s="26" t="s">
        <v>24885</v>
      </c>
      <c r="B9986" s="27" t="s">
        <v>24886</v>
      </c>
      <c r="C9986" s="27" t="s">
        <v>144</v>
      </c>
      <c r="D9986" s="26"/>
      <c r="E9986" s="27"/>
      <c r="F9986" s="27"/>
      <c r="G9986" s="27" t="s">
        <v>11122</v>
      </c>
      <c r="H9986" s="27" t="s">
        <v>35</v>
      </c>
      <c r="I9986" s="27" t="s">
        <v>38</v>
      </c>
      <c r="J9986" s="28" t="s">
        <v>913</v>
      </c>
      <c r="K9986" s="27" t="s">
        <v>38</v>
      </c>
      <c r="L9986" s="27"/>
    </row>
    <row r="9987" customFormat="false" ht="15" hidden="false" customHeight="false" outlineLevel="0" collapsed="false">
      <c r="A9987" s="26" t="s">
        <v>24887</v>
      </c>
      <c r="B9987" s="27" t="s">
        <v>24888</v>
      </c>
      <c r="C9987" s="27" t="s">
        <v>144</v>
      </c>
      <c r="D9987" s="26"/>
      <c r="E9987" s="27"/>
      <c r="F9987" s="27"/>
      <c r="G9987" s="27" t="s">
        <v>11122</v>
      </c>
      <c r="H9987" s="27" t="s">
        <v>35</v>
      </c>
      <c r="I9987" s="27" t="s">
        <v>38</v>
      </c>
      <c r="J9987" s="28" t="s">
        <v>913</v>
      </c>
      <c r="K9987" s="27" t="s">
        <v>38</v>
      </c>
      <c r="L9987" s="27"/>
    </row>
    <row r="9988" customFormat="false" ht="15" hidden="false" customHeight="false" outlineLevel="0" collapsed="false">
      <c r="A9988" s="26" t="s">
        <v>24889</v>
      </c>
      <c r="B9988" s="27" t="s">
        <v>24890</v>
      </c>
      <c r="C9988" s="27" t="s">
        <v>144</v>
      </c>
      <c r="D9988" s="26"/>
      <c r="E9988" s="27"/>
      <c r="F9988" s="27"/>
      <c r="G9988" s="27" t="s">
        <v>11122</v>
      </c>
      <c r="H9988" s="27" t="s">
        <v>35</v>
      </c>
      <c r="I9988" s="27" t="s">
        <v>43</v>
      </c>
      <c r="J9988" s="28" t="s">
        <v>913</v>
      </c>
      <c r="K9988" s="27" t="s">
        <v>38</v>
      </c>
      <c r="L9988" s="27"/>
    </row>
    <row r="9989" customFormat="false" ht="15" hidden="false" customHeight="false" outlineLevel="0" collapsed="false">
      <c r="A9989" s="26" t="s">
        <v>24891</v>
      </c>
      <c r="B9989" s="27" t="s">
        <v>24892</v>
      </c>
      <c r="C9989" s="27" t="s">
        <v>137</v>
      </c>
      <c r="D9989" s="26"/>
      <c r="E9989" s="27"/>
      <c r="F9989" s="27"/>
      <c r="G9989" s="27" t="s">
        <v>11122</v>
      </c>
      <c r="H9989" s="27" t="s">
        <v>35</v>
      </c>
      <c r="I9989" s="27" t="s">
        <v>41</v>
      </c>
      <c r="J9989" s="28" t="s">
        <v>913</v>
      </c>
      <c r="K9989" s="27" t="s">
        <v>38</v>
      </c>
      <c r="L9989" s="27"/>
    </row>
    <row r="9990" customFormat="false" ht="15" hidden="false" customHeight="false" outlineLevel="0" collapsed="false">
      <c r="A9990" s="26" t="s">
        <v>24893</v>
      </c>
      <c r="B9990" s="27" t="s">
        <v>24894</v>
      </c>
      <c r="C9990" s="27" t="s">
        <v>137</v>
      </c>
      <c r="D9990" s="26"/>
      <c r="E9990" s="27"/>
      <c r="F9990" s="27"/>
      <c r="G9990" s="27" t="s">
        <v>11122</v>
      </c>
      <c r="H9990" s="27" t="s">
        <v>35</v>
      </c>
      <c r="I9990" s="27" t="s">
        <v>41</v>
      </c>
      <c r="J9990" s="28" t="s">
        <v>913</v>
      </c>
      <c r="K9990" s="27" t="s">
        <v>38</v>
      </c>
      <c r="L9990" s="27"/>
    </row>
    <row r="9991" customFormat="false" ht="15" hidden="false" customHeight="false" outlineLevel="0" collapsed="false">
      <c r="A9991" s="26" t="s">
        <v>24895</v>
      </c>
      <c r="B9991" s="27" t="s">
        <v>24896</v>
      </c>
      <c r="C9991" s="27" t="s">
        <v>137</v>
      </c>
      <c r="D9991" s="26"/>
      <c r="E9991" s="27"/>
      <c r="F9991" s="27"/>
      <c r="G9991" s="27" t="s">
        <v>11122</v>
      </c>
      <c r="H9991" s="27" t="s">
        <v>35</v>
      </c>
      <c r="I9991" s="27" t="s">
        <v>41</v>
      </c>
      <c r="J9991" s="28" t="s">
        <v>913</v>
      </c>
      <c r="K9991" s="27" t="s">
        <v>38</v>
      </c>
      <c r="L9991" s="27"/>
    </row>
    <row r="9992" customFormat="false" ht="15" hidden="false" customHeight="false" outlineLevel="0" collapsed="false">
      <c r="A9992" s="26" t="s">
        <v>24897</v>
      </c>
      <c r="B9992" s="27" t="s">
        <v>24898</v>
      </c>
      <c r="C9992" s="27" t="s">
        <v>137</v>
      </c>
      <c r="D9992" s="26"/>
      <c r="E9992" s="27"/>
      <c r="F9992" s="27"/>
      <c r="G9992" s="27" t="s">
        <v>11122</v>
      </c>
      <c r="H9992" s="27" t="s">
        <v>35</v>
      </c>
      <c r="I9992" s="27" t="s">
        <v>41</v>
      </c>
      <c r="J9992" s="28" t="s">
        <v>913</v>
      </c>
      <c r="K9992" s="27" t="s">
        <v>38</v>
      </c>
      <c r="L9992" s="27"/>
    </row>
    <row r="9993" customFormat="false" ht="15" hidden="false" customHeight="false" outlineLevel="0" collapsed="false">
      <c r="A9993" s="26" t="s">
        <v>24899</v>
      </c>
      <c r="B9993" s="27" t="s">
        <v>24900</v>
      </c>
      <c r="C9993" s="27" t="s">
        <v>137</v>
      </c>
      <c r="D9993" s="26"/>
      <c r="E9993" s="27"/>
      <c r="F9993" s="27"/>
      <c r="G9993" s="27" t="s">
        <v>11122</v>
      </c>
      <c r="H9993" s="27" t="s">
        <v>35</v>
      </c>
      <c r="I9993" s="27" t="s">
        <v>40</v>
      </c>
      <c r="J9993" s="28" t="s">
        <v>913</v>
      </c>
      <c r="K9993" s="27" t="s">
        <v>38</v>
      </c>
      <c r="L9993" s="27"/>
    </row>
    <row r="9994" customFormat="false" ht="15" hidden="false" customHeight="false" outlineLevel="0" collapsed="false">
      <c r="A9994" s="26" t="s">
        <v>24901</v>
      </c>
      <c r="B9994" s="27" t="s">
        <v>24902</v>
      </c>
      <c r="C9994" s="27" t="s">
        <v>137</v>
      </c>
      <c r="D9994" s="26"/>
      <c r="E9994" s="27"/>
      <c r="F9994" s="27"/>
      <c r="G9994" s="27" t="s">
        <v>11122</v>
      </c>
      <c r="H9994" s="27" t="s">
        <v>35</v>
      </c>
      <c r="I9994" s="27" t="s">
        <v>38</v>
      </c>
      <c r="J9994" s="28" t="s">
        <v>913</v>
      </c>
      <c r="K9994" s="27" t="s">
        <v>38</v>
      </c>
      <c r="L9994" s="27"/>
    </row>
    <row r="9995" customFormat="false" ht="15" hidden="false" customHeight="false" outlineLevel="0" collapsed="false">
      <c r="A9995" s="26" t="s">
        <v>24903</v>
      </c>
      <c r="B9995" s="27" t="s">
        <v>24904</v>
      </c>
      <c r="C9995" s="27" t="s">
        <v>137</v>
      </c>
      <c r="D9995" s="26"/>
      <c r="E9995" s="27"/>
      <c r="F9995" s="27"/>
      <c r="G9995" s="27" t="s">
        <v>11122</v>
      </c>
      <c r="H9995" s="27" t="s">
        <v>35</v>
      </c>
      <c r="I9995" s="27" t="s">
        <v>41</v>
      </c>
      <c r="J9995" s="28" t="s">
        <v>913</v>
      </c>
      <c r="K9995" s="27" t="s">
        <v>38</v>
      </c>
      <c r="L9995" s="27"/>
    </row>
    <row r="9996" customFormat="false" ht="15" hidden="false" customHeight="false" outlineLevel="0" collapsed="false">
      <c r="A9996" s="26" t="s">
        <v>24905</v>
      </c>
      <c r="B9996" s="27" t="s">
        <v>24906</v>
      </c>
      <c r="C9996" s="27" t="s">
        <v>137</v>
      </c>
      <c r="D9996" s="26"/>
      <c r="E9996" s="27"/>
      <c r="F9996" s="27"/>
      <c r="G9996" s="27" t="s">
        <v>11122</v>
      </c>
      <c r="H9996" s="27" t="s">
        <v>35</v>
      </c>
      <c r="I9996" s="27" t="s">
        <v>38</v>
      </c>
      <c r="J9996" s="28" t="s">
        <v>913</v>
      </c>
      <c r="K9996" s="27" t="s">
        <v>38</v>
      </c>
      <c r="L9996" s="27"/>
    </row>
    <row r="9997" customFormat="false" ht="15" hidden="false" customHeight="false" outlineLevel="0" collapsed="false">
      <c r="A9997" s="26" t="s">
        <v>24907</v>
      </c>
      <c r="B9997" s="27" t="s">
        <v>24908</v>
      </c>
      <c r="C9997" s="27" t="s">
        <v>137</v>
      </c>
      <c r="D9997" s="26"/>
      <c r="E9997" s="27"/>
      <c r="F9997" s="27"/>
      <c r="G9997" s="27" t="s">
        <v>11122</v>
      </c>
      <c r="H9997" s="27" t="s">
        <v>35</v>
      </c>
      <c r="I9997" s="27" t="s">
        <v>38</v>
      </c>
      <c r="J9997" s="28" t="s">
        <v>913</v>
      </c>
      <c r="K9997" s="27" t="s">
        <v>38</v>
      </c>
      <c r="L9997" s="27"/>
    </row>
    <row r="9998" customFormat="false" ht="15" hidden="false" customHeight="false" outlineLevel="0" collapsed="false">
      <c r="A9998" s="26" t="s">
        <v>24909</v>
      </c>
      <c r="B9998" s="27" t="s">
        <v>24910</v>
      </c>
      <c r="C9998" s="27" t="s">
        <v>1845</v>
      </c>
      <c r="D9998" s="26"/>
      <c r="E9998" s="27"/>
      <c r="F9998" s="27"/>
      <c r="G9998" s="27" t="s">
        <v>11122</v>
      </c>
      <c r="H9998" s="27" t="s">
        <v>35</v>
      </c>
      <c r="I9998" s="27" t="s">
        <v>38</v>
      </c>
      <c r="J9998" s="28" t="s">
        <v>913</v>
      </c>
      <c r="K9998" s="27" t="s">
        <v>38</v>
      </c>
      <c r="L9998" s="27"/>
    </row>
    <row r="9999" customFormat="false" ht="15" hidden="false" customHeight="false" outlineLevel="0" collapsed="false">
      <c r="A9999" s="26" t="s">
        <v>24911</v>
      </c>
      <c r="B9999" s="27" t="s">
        <v>24912</v>
      </c>
      <c r="C9999" s="27" t="s">
        <v>100</v>
      </c>
      <c r="D9999" s="26"/>
      <c r="E9999" s="27"/>
      <c r="F9999" s="27"/>
      <c r="G9999" s="27" t="s">
        <v>11122</v>
      </c>
      <c r="H9999" s="27" t="s">
        <v>35</v>
      </c>
      <c r="I9999" s="27" t="s">
        <v>37</v>
      </c>
      <c r="J9999" s="28" t="s">
        <v>913</v>
      </c>
      <c r="K9999" s="27" t="s">
        <v>38</v>
      </c>
      <c r="L9999" s="27"/>
    </row>
    <row r="10000" customFormat="false" ht="15" hidden="false" customHeight="false" outlineLevel="0" collapsed="false">
      <c r="A10000" s="26" t="s">
        <v>24913</v>
      </c>
      <c r="B10000" s="27" t="s">
        <v>24914</v>
      </c>
      <c r="C10000" s="27" t="s">
        <v>137</v>
      </c>
      <c r="D10000" s="26"/>
      <c r="E10000" s="27"/>
      <c r="F10000" s="27"/>
      <c r="G10000" s="27" t="s">
        <v>11122</v>
      </c>
      <c r="H10000" s="27" t="s">
        <v>35</v>
      </c>
      <c r="I10000" s="27" t="s">
        <v>38</v>
      </c>
      <c r="J10000" s="28" t="s">
        <v>913</v>
      </c>
      <c r="K10000" s="27" t="s">
        <v>38</v>
      </c>
      <c r="L10000" s="27"/>
    </row>
    <row r="10001" customFormat="false" ht="15" hidden="false" customHeight="false" outlineLevel="0" collapsed="false">
      <c r="A10001" s="26" t="s">
        <v>24915</v>
      </c>
      <c r="B10001" s="27" t="s">
        <v>24916</v>
      </c>
      <c r="C10001" s="27" t="s">
        <v>1845</v>
      </c>
      <c r="D10001" s="26"/>
      <c r="E10001" s="27"/>
      <c r="F10001" s="27"/>
      <c r="G10001" s="27" t="s">
        <v>11122</v>
      </c>
      <c r="H10001" s="27" t="s">
        <v>35</v>
      </c>
      <c r="I10001" s="27" t="s">
        <v>38</v>
      </c>
      <c r="J10001" s="28" t="s">
        <v>913</v>
      </c>
      <c r="K10001" s="27" t="s">
        <v>38</v>
      </c>
      <c r="L10001" s="27"/>
    </row>
    <row r="10002" customFormat="false" ht="15" hidden="false" customHeight="false" outlineLevel="0" collapsed="false">
      <c r="A10002" s="26" t="s">
        <v>24917</v>
      </c>
      <c r="B10002" s="27" t="s">
        <v>24918</v>
      </c>
      <c r="C10002" s="27" t="s">
        <v>100</v>
      </c>
      <c r="D10002" s="26"/>
      <c r="E10002" s="27"/>
      <c r="F10002" s="27"/>
      <c r="G10002" s="27" t="s">
        <v>11122</v>
      </c>
      <c r="H10002" s="27" t="s">
        <v>35</v>
      </c>
      <c r="I10002" s="27" t="s">
        <v>38</v>
      </c>
      <c r="J10002" s="28" t="s">
        <v>913</v>
      </c>
      <c r="K10002" s="27" t="s">
        <v>38</v>
      </c>
      <c r="L10002" s="27"/>
    </row>
    <row r="10003" customFormat="false" ht="15" hidden="false" customHeight="false" outlineLevel="0" collapsed="false">
      <c r="A10003" s="26" t="s">
        <v>24919</v>
      </c>
      <c r="B10003" s="27" t="s">
        <v>24920</v>
      </c>
      <c r="C10003" s="27" t="s">
        <v>1845</v>
      </c>
      <c r="D10003" s="26"/>
      <c r="E10003" s="27"/>
      <c r="F10003" s="27"/>
      <c r="G10003" s="27" t="s">
        <v>11122</v>
      </c>
      <c r="H10003" s="27" t="s">
        <v>35</v>
      </c>
      <c r="I10003" s="27" t="s">
        <v>39</v>
      </c>
      <c r="J10003" s="28" t="s">
        <v>913</v>
      </c>
      <c r="K10003" s="27" t="s">
        <v>38</v>
      </c>
      <c r="L10003" s="27"/>
    </row>
    <row r="10004" customFormat="false" ht="15" hidden="false" customHeight="false" outlineLevel="0" collapsed="false">
      <c r="A10004" s="26" t="s">
        <v>24921</v>
      </c>
      <c r="B10004" s="27" t="s">
        <v>24922</v>
      </c>
      <c r="C10004" s="27" t="s">
        <v>144</v>
      </c>
      <c r="D10004" s="26"/>
      <c r="E10004" s="27"/>
      <c r="F10004" s="27"/>
      <c r="G10004" s="27" t="s">
        <v>11122</v>
      </c>
      <c r="H10004" s="27" t="s">
        <v>35</v>
      </c>
      <c r="I10004" s="27" t="s">
        <v>41</v>
      </c>
      <c r="J10004" s="28" t="s">
        <v>913</v>
      </c>
      <c r="K10004" s="27" t="s">
        <v>38</v>
      </c>
      <c r="L10004" s="27"/>
    </row>
    <row r="10005" customFormat="false" ht="15" hidden="false" customHeight="false" outlineLevel="0" collapsed="false">
      <c r="A10005" s="26" t="s">
        <v>24923</v>
      </c>
      <c r="B10005" s="27" t="s">
        <v>24924</v>
      </c>
      <c r="C10005" s="27" t="s">
        <v>144</v>
      </c>
      <c r="D10005" s="26"/>
      <c r="E10005" s="27"/>
      <c r="F10005" s="27"/>
      <c r="G10005" s="27" t="s">
        <v>11122</v>
      </c>
      <c r="H10005" s="27" t="s">
        <v>35</v>
      </c>
      <c r="I10005" s="27" t="s">
        <v>38</v>
      </c>
      <c r="J10005" s="28" t="s">
        <v>913</v>
      </c>
      <c r="K10005" s="27" t="s">
        <v>38</v>
      </c>
      <c r="L10005" s="27"/>
    </row>
    <row r="10006" customFormat="false" ht="15" hidden="false" customHeight="false" outlineLevel="0" collapsed="false">
      <c r="A10006" s="26" t="s">
        <v>24925</v>
      </c>
      <c r="B10006" s="27" t="s">
        <v>24926</v>
      </c>
      <c r="C10006" s="27" t="s">
        <v>144</v>
      </c>
      <c r="D10006" s="26"/>
      <c r="E10006" s="27"/>
      <c r="F10006" s="27"/>
      <c r="G10006" s="27" t="s">
        <v>11122</v>
      </c>
      <c r="H10006" s="27" t="s">
        <v>35</v>
      </c>
      <c r="I10006" s="27" t="s">
        <v>37</v>
      </c>
      <c r="J10006" s="28" t="s">
        <v>913</v>
      </c>
      <c r="K10006" s="27" t="s">
        <v>38</v>
      </c>
      <c r="L10006" s="27"/>
    </row>
    <row r="10007" customFormat="false" ht="15" hidden="false" customHeight="false" outlineLevel="0" collapsed="false">
      <c r="A10007" s="26" t="s">
        <v>24927</v>
      </c>
      <c r="B10007" s="27" t="s">
        <v>24928</v>
      </c>
      <c r="C10007" s="27" t="s">
        <v>100</v>
      </c>
      <c r="D10007" s="26"/>
      <c r="E10007" s="27"/>
      <c r="F10007" s="27"/>
      <c r="G10007" s="27" t="s">
        <v>11122</v>
      </c>
      <c r="H10007" s="27" t="s">
        <v>35</v>
      </c>
      <c r="I10007" s="27" t="s">
        <v>45</v>
      </c>
      <c r="J10007" s="28" t="s">
        <v>913</v>
      </c>
      <c r="K10007" s="27" t="s">
        <v>38</v>
      </c>
      <c r="L10007" s="27"/>
    </row>
    <row r="10008" customFormat="false" ht="15" hidden="false" customHeight="false" outlineLevel="0" collapsed="false">
      <c r="A10008" s="26" t="s">
        <v>24929</v>
      </c>
      <c r="B10008" s="27" t="s">
        <v>24930</v>
      </c>
      <c r="C10008" s="27" t="s">
        <v>144</v>
      </c>
      <c r="D10008" s="26"/>
      <c r="E10008" s="27"/>
      <c r="F10008" s="27"/>
      <c r="G10008" s="27" t="s">
        <v>11122</v>
      </c>
      <c r="H10008" s="27" t="s">
        <v>35</v>
      </c>
      <c r="I10008" s="27" t="s">
        <v>38</v>
      </c>
      <c r="J10008" s="28" t="s">
        <v>913</v>
      </c>
      <c r="K10008" s="27" t="s">
        <v>38</v>
      </c>
      <c r="L10008" s="27"/>
    </row>
    <row r="10009" customFormat="false" ht="15" hidden="false" customHeight="false" outlineLevel="0" collapsed="false">
      <c r="A10009" s="26" t="s">
        <v>24931</v>
      </c>
      <c r="B10009" s="27" t="s">
        <v>24932</v>
      </c>
      <c r="C10009" s="27" t="s">
        <v>144</v>
      </c>
      <c r="D10009" s="26"/>
      <c r="E10009" s="27"/>
      <c r="F10009" s="27"/>
      <c r="G10009" s="27" t="s">
        <v>11122</v>
      </c>
      <c r="H10009" s="27" t="s">
        <v>35</v>
      </c>
      <c r="I10009" s="27" t="s">
        <v>38</v>
      </c>
      <c r="J10009" s="28" t="s">
        <v>913</v>
      </c>
      <c r="K10009" s="27" t="s">
        <v>38</v>
      </c>
      <c r="L10009" s="27"/>
    </row>
    <row r="10010" customFormat="false" ht="15" hidden="false" customHeight="false" outlineLevel="0" collapsed="false">
      <c r="A10010" s="26" t="s">
        <v>24933</v>
      </c>
      <c r="B10010" s="27" t="s">
        <v>24934</v>
      </c>
      <c r="C10010" s="27" t="s">
        <v>144</v>
      </c>
      <c r="D10010" s="26"/>
      <c r="E10010" s="27"/>
      <c r="F10010" s="27"/>
      <c r="G10010" s="27" t="s">
        <v>11122</v>
      </c>
      <c r="H10010" s="27" t="s">
        <v>35</v>
      </c>
      <c r="I10010" s="27" t="s">
        <v>38</v>
      </c>
      <c r="J10010" s="28" t="s">
        <v>913</v>
      </c>
      <c r="K10010" s="27" t="s">
        <v>38</v>
      </c>
      <c r="L10010" s="27"/>
    </row>
    <row r="10011" customFormat="false" ht="15" hidden="false" customHeight="false" outlineLevel="0" collapsed="false">
      <c r="A10011" s="26" t="s">
        <v>24935</v>
      </c>
      <c r="B10011" s="27" t="s">
        <v>24936</v>
      </c>
      <c r="C10011" s="27" t="s">
        <v>144</v>
      </c>
      <c r="D10011" s="26"/>
      <c r="E10011" s="27"/>
      <c r="F10011" s="27"/>
      <c r="G10011" s="27" t="s">
        <v>11122</v>
      </c>
      <c r="H10011" s="27" t="s">
        <v>35</v>
      </c>
      <c r="I10011" s="27" t="s">
        <v>38</v>
      </c>
      <c r="J10011" s="28" t="s">
        <v>913</v>
      </c>
      <c r="K10011" s="27" t="s">
        <v>38</v>
      </c>
      <c r="L10011" s="27"/>
    </row>
    <row r="10012" customFormat="false" ht="15" hidden="false" customHeight="false" outlineLevel="0" collapsed="false">
      <c r="A10012" s="26" t="s">
        <v>24937</v>
      </c>
      <c r="B10012" s="27" t="s">
        <v>24938</v>
      </c>
      <c r="C10012" s="27" t="s">
        <v>144</v>
      </c>
      <c r="D10012" s="26"/>
      <c r="E10012" s="27"/>
      <c r="F10012" s="27"/>
      <c r="G10012" s="27" t="s">
        <v>11122</v>
      </c>
      <c r="H10012" s="27" t="s">
        <v>35</v>
      </c>
      <c r="I10012" s="27" t="s">
        <v>38</v>
      </c>
      <c r="J10012" s="28" t="s">
        <v>913</v>
      </c>
      <c r="K10012" s="27" t="s">
        <v>38</v>
      </c>
      <c r="L10012" s="27"/>
    </row>
    <row r="10013" customFormat="false" ht="15" hidden="false" customHeight="false" outlineLevel="0" collapsed="false">
      <c r="A10013" s="26" t="s">
        <v>24939</v>
      </c>
      <c r="B10013" s="27" t="s">
        <v>24940</v>
      </c>
      <c r="C10013" s="27" t="s">
        <v>144</v>
      </c>
      <c r="D10013" s="26"/>
      <c r="E10013" s="27"/>
      <c r="F10013" s="27"/>
      <c r="G10013" s="27" t="s">
        <v>11122</v>
      </c>
      <c r="H10013" s="27" t="s">
        <v>35</v>
      </c>
      <c r="I10013" s="27" t="s">
        <v>37</v>
      </c>
      <c r="J10013" s="28" t="s">
        <v>913</v>
      </c>
      <c r="K10013" s="27" t="s">
        <v>38</v>
      </c>
      <c r="L10013" s="27"/>
    </row>
    <row r="10014" customFormat="false" ht="15" hidden="false" customHeight="false" outlineLevel="0" collapsed="false">
      <c r="A10014" s="26" t="s">
        <v>24941</v>
      </c>
      <c r="B10014" s="27" t="s">
        <v>24942</v>
      </c>
      <c r="C10014" s="27" t="s">
        <v>144</v>
      </c>
      <c r="D10014" s="26"/>
      <c r="E10014" s="27"/>
      <c r="F10014" s="27"/>
      <c r="G10014" s="27" t="s">
        <v>11122</v>
      </c>
      <c r="H10014" s="27" t="s">
        <v>35</v>
      </c>
      <c r="I10014" s="27" t="s">
        <v>38</v>
      </c>
      <c r="J10014" s="28" t="s">
        <v>913</v>
      </c>
      <c r="K10014" s="27" t="s">
        <v>38</v>
      </c>
      <c r="L10014" s="27"/>
    </row>
    <row r="10015" customFormat="false" ht="15" hidden="false" customHeight="false" outlineLevel="0" collapsed="false">
      <c r="A10015" s="26" t="s">
        <v>24943</v>
      </c>
      <c r="B10015" s="27" t="s">
        <v>24944</v>
      </c>
      <c r="C10015" s="27" t="s">
        <v>100</v>
      </c>
      <c r="D10015" s="26"/>
      <c r="E10015" s="27"/>
      <c r="F10015" s="27"/>
      <c r="G10015" s="27" t="s">
        <v>11122</v>
      </c>
      <c r="H10015" s="27" t="s">
        <v>35</v>
      </c>
      <c r="I10015" s="27" t="s">
        <v>45</v>
      </c>
      <c r="J10015" s="28" t="s">
        <v>913</v>
      </c>
      <c r="K10015" s="27" t="s">
        <v>38</v>
      </c>
      <c r="L10015" s="27"/>
    </row>
    <row r="10016" customFormat="false" ht="15" hidden="false" customHeight="false" outlineLevel="0" collapsed="false">
      <c r="A10016" s="26" t="s">
        <v>24945</v>
      </c>
      <c r="B10016" s="27" t="s">
        <v>24946</v>
      </c>
      <c r="C10016" s="27" t="s">
        <v>100</v>
      </c>
      <c r="D10016" s="26"/>
      <c r="E10016" s="27"/>
      <c r="F10016" s="27"/>
      <c r="G10016" s="27" t="s">
        <v>11122</v>
      </c>
      <c r="H10016" s="27" t="s">
        <v>35</v>
      </c>
      <c r="I10016" s="27" t="s">
        <v>45</v>
      </c>
      <c r="J10016" s="28" t="s">
        <v>913</v>
      </c>
      <c r="K10016" s="27" t="s">
        <v>38</v>
      </c>
      <c r="L10016" s="27"/>
    </row>
    <row r="10017" customFormat="false" ht="15" hidden="false" customHeight="false" outlineLevel="0" collapsed="false">
      <c r="A10017" s="26" t="s">
        <v>24947</v>
      </c>
      <c r="B10017" s="27" t="s">
        <v>24948</v>
      </c>
      <c r="C10017" s="27" t="s">
        <v>100</v>
      </c>
      <c r="D10017" s="26"/>
      <c r="E10017" s="27"/>
      <c r="F10017" s="27"/>
      <c r="G10017" s="27" t="s">
        <v>11122</v>
      </c>
      <c r="H10017" s="27" t="s">
        <v>35</v>
      </c>
      <c r="I10017" s="27" t="s">
        <v>38</v>
      </c>
      <c r="J10017" s="28" t="s">
        <v>913</v>
      </c>
      <c r="K10017" s="27" t="s">
        <v>38</v>
      </c>
      <c r="L10017" s="27"/>
    </row>
    <row r="10018" customFormat="false" ht="15" hidden="false" customHeight="false" outlineLevel="0" collapsed="false">
      <c r="A10018" s="26" t="s">
        <v>24949</v>
      </c>
      <c r="B10018" s="27" t="s">
        <v>24950</v>
      </c>
      <c r="C10018" s="27" t="s">
        <v>100</v>
      </c>
      <c r="D10018" s="26"/>
      <c r="E10018" s="27"/>
      <c r="F10018" s="27"/>
      <c r="G10018" s="27" t="s">
        <v>11122</v>
      </c>
      <c r="H10018" s="27" t="s">
        <v>35</v>
      </c>
      <c r="I10018" s="27" t="s">
        <v>45</v>
      </c>
      <c r="J10018" s="28" t="s">
        <v>913</v>
      </c>
      <c r="K10018" s="27" t="s">
        <v>38</v>
      </c>
      <c r="L10018" s="27"/>
    </row>
    <row r="10019" customFormat="false" ht="15" hidden="false" customHeight="false" outlineLevel="0" collapsed="false">
      <c r="A10019" s="26" t="s">
        <v>24951</v>
      </c>
      <c r="B10019" s="27" t="s">
        <v>24952</v>
      </c>
      <c r="C10019" s="27" t="s">
        <v>100</v>
      </c>
      <c r="D10019" s="26"/>
      <c r="E10019" s="27"/>
      <c r="F10019" s="27"/>
      <c r="G10019" s="27" t="s">
        <v>11122</v>
      </c>
      <c r="H10019" s="27" t="s">
        <v>35</v>
      </c>
      <c r="I10019" s="27" t="s">
        <v>38</v>
      </c>
      <c r="J10019" s="28" t="s">
        <v>913</v>
      </c>
      <c r="K10019" s="27" t="s">
        <v>38</v>
      </c>
      <c r="L10019" s="27"/>
    </row>
    <row r="10020" customFormat="false" ht="15" hidden="false" customHeight="false" outlineLevel="0" collapsed="false">
      <c r="A10020" s="26" t="s">
        <v>24953</v>
      </c>
      <c r="B10020" s="27" t="s">
        <v>24954</v>
      </c>
      <c r="C10020" s="27" t="s">
        <v>100</v>
      </c>
      <c r="D10020" s="26"/>
      <c r="E10020" s="27"/>
      <c r="F10020" s="27"/>
      <c r="G10020" s="27" t="s">
        <v>11122</v>
      </c>
      <c r="H10020" s="27" t="s">
        <v>35</v>
      </c>
      <c r="I10020" s="27" t="s">
        <v>45</v>
      </c>
      <c r="J10020" s="28" t="s">
        <v>913</v>
      </c>
      <c r="K10020" s="27" t="s">
        <v>38</v>
      </c>
      <c r="L10020" s="27"/>
    </row>
    <row r="10021" customFormat="false" ht="15" hidden="false" customHeight="false" outlineLevel="0" collapsed="false">
      <c r="A10021" s="26" t="s">
        <v>24955</v>
      </c>
      <c r="B10021" s="27" t="s">
        <v>24956</v>
      </c>
      <c r="C10021" s="27" t="s">
        <v>144</v>
      </c>
      <c r="D10021" s="26"/>
      <c r="E10021" s="27"/>
      <c r="F10021" s="27"/>
      <c r="G10021" s="27" t="s">
        <v>11122</v>
      </c>
      <c r="H10021" s="27" t="s">
        <v>35</v>
      </c>
      <c r="I10021" s="27" t="s">
        <v>41</v>
      </c>
      <c r="J10021" s="28" t="s">
        <v>913</v>
      </c>
      <c r="K10021" s="27" t="s">
        <v>38</v>
      </c>
      <c r="L10021" s="27"/>
    </row>
    <row r="10022" customFormat="false" ht="15" hidden="false" customHeight="false" outlineLevel="0" collapsed="false">
      <c r="A10022" s="26" t="s">
        <v>24957</v>
      </c>
      <c r="B10022" s="27" t="s">
        <v>24958</v>
      </c>
      <c r="C10022" s="27" t="s">
        <v>100</v>
      </c>
      <c r="D10022" s="26"/>
      <c r="E10022" s="27"/>
      <c r="F10022" s="27"/>
      <c r="G10022" s="27" t="s">
        <v>11122</v>
      </c>
      <c r="H10022" s="27" t="s">
        <v>35</v>
      </c>
      <c r="I10022" s="27" t="s">
        <v>45</v>
      </c>
      <c r="J10022" s="28" t="s">
        <v>913</v>
      </c>
      <c r="K10022" s="27" t="s">
        <v>38</v>
      </c>
      <c r="L10022" s="27"/>
    </row>
    <row r="10023" customFormat="false" ht="15" hidden="false" customHeight="false" outlineLevel="0" collapsed="false">
      <c r="A10023" s="26" t="s">
        <v>24959</v>
      </c>
      <c r="B10023" s="27" t="s">
        <v>24960</v>
      </c>
      <c r="C10023" s="27" t="s">
        <v>137</v>
      </c>
      <c r="D10023" s="26"/>
      <c r="E10023" s="27"/>
      <c r="F10023" s="27"/>
      <c r="G10023" s="27" t="s">
        <v>11122</v>
      </c>
      <c r="H10023" s="27" t="s">
        <v>35</v>
      </c>
      <c r="I10023" s="27" t="s">
        <v>41</v>
      </c>
      <c r="J10023" s="28" t="s">
        <v>913</v>
      </c>
      <c r="K10023" s="27" t="s">
        <v>38</v>
      </c>
      <c r="L10023" s="27"/>
    </row>
    <row r="10024" customFormat="false" ht="15" hidden="false" customHeight="false" outlineLevel="0" collapsed="false">
      <c r="A10024" s="26" t="s">
        <v>24961</v>
      </c>
      <c r="B10024" s="27" t="s">
        <v>24962</v>
      </c>
      <c r="C10024" s="27" t="s">
        <v>100</v>
      </c>
      <c r="D10024" s="26"/>
      <c r="E10024" s="27"/>
      <c r="F10024" s="27"/>
      <c r="G10024" s="27" t="s">
        <v>11122</v>
      </c>
      <c r="H10024" s="27" t="s">
        <v>35</v>
      </c>
      <c r="I10024" s="27" t="s">
        <v>38</v>
      </c>
      <c r="J10024" s="28" t="s">
        <v>913</v>
      </c>
      <c r="K10024" s="27" t="s">
        <v>38</v>
      </c>
      <c r="L10024" s="27"/>
    </row>
    <row r="10025" customFormat="false" ht="15" hidden="false" customHeight="false" outlineLevel="0" collapsed="false">
      <c r="A10025" s="26" t="s">
        <v>24963</v>
      </c>
      <c r="B10025" s="27" t="s">
        <v>24964</v>
      </c>
      <c r="C10025" s="27" t="s">
        <v>137</v>
      </c>
      <c r="D10025" s="26"/>
      <c r="E10025" s="27"/>
      <c r="F10025" s="27"/>
      <c r="G10025" s="27" t="s">
        <v>11122</v>
      </c>
      <c r="H10025" s="27" t="s">
        <v>35</v>
      </c>
      <c r="I10025" s="27" t="s">
        <v>40</v>
      </c>
      <c r="J10025" s="28" t="s">
        <v>913</v>
      </c>
      <c r="K10025" s="27" t="s">
        <v>38</v>
      </c>
      <c r="L10025" s="27"/>
    </row>
    <row r="10026" customFormat="false" ht="15" hidden="false" customHeight="false" outlineLevel="0" collapsed="false">
      <c r="A10026" s="26" t="s">
        <v>24965</v>
      </c>
      <c r="B10026" s="27" t="s">
        <v>24966</v>
      </c>
      <c r="C10026" s="27" t="s">
        <v>100</v>
      </c>
      <c r="D10026" s="26"/>
      <c r="E10026" s="27"/>
      <c r="F10026" s="27"/>
      <c r="G10026" s="27" t="s">
        <v>11122</v>
      </c>
      <c r="H10026" s="27" t="s">
        <v>35</v>
      </c>
      <c r="I10026" s="27" t="s">
        <v>38</v>
      </c>
      <c r="J10026" s="28" t="s">
        <v>913</v>
      </c>
      <c r="K10026" s="27" t="s">
        <v>38</v>
      </c>
      <c r="L10026" s="27"/>
    </row>
    <row r="10027" customFormat="false" ht="15" hidden="false" customHeight="false" outlineLevel="0" collapsed="false">
      <c r="A10027" s="26" t="s">
        <v>24967</v>
      </c>
      <c r="B10027" s="27" t="s">
        <v>24968</v>
      </c>
      <c r="C10027" s="27" t="s">
        <v>100</v>
      </c>
      <c r="D10027" s="26"/>
      <c r="E10027" s="27"/>
      <c r="F10027" s="27"/>
      <c r="G10027" s="27" t="s">
        <v>11122</v>
      </c>
      <c r="H10027" s="27" t="s">
        <v>35</v>
      </c>
      <c r="I10027" s="27" t="s">
        <v>38</v>
      </c>
      <c r="J10027" s="28" t="s">
        <v>913</v>
      </c>
      <c r="K10027" s="27" t="s">
        <v>38</v>
      </c>
      <c r="L10027" s="27"/>
    </row>
    <row r="10028" customFormat="false" ht="15" hidden="false" customHeight="false" outlineLevel="0" collapsed="false">
      <c r="A10028" s="26" t="s">
        <v>24969</v>
      </c>
      <c r="B10028" s="27" t="s">
        <v>24970</v>
      </c>
      <c r="C10028" s="27" t="s">
        <v>1845</v>
      </c>
      <c r="D10028" s="26"/>
      <c r="E10028" s="27"/>
      <c r="F10028" s="27"/>
      <c r="G10028" s="27" t="s">
        <v>11122</v>
      </c>
      <c r="H10028" s="27" t="s">
        <v>35</v>
      </c>
      <c r="I10028" s="27" t="s">
        <v>38</v>
      </c>
      <c r="J10028" s="28" t="s">
        <v>913</v>
      </c>
      <c r="K10028" s="27" t="s">
        <v>38</v>
      </c>
      <c r="L10028" s="27"/>
    </row>
    <row r="10029" customFormat="false" ht="15" hidden="false" customHeight="false" outlineLevel="0" collapsed="false">
      <c r="A10029" s="26" t="s">
        <v>24971</v>
      </c>
      <c r="B10029" s="27" t="s">
        <v>24972</v>
      </c>
      <c r="C10029" s="27" t="s">
        <v>100</v>
      </c>
      <c r="D10029" s="26"/>
      <c r="E10029" s="27"/>
      <c r="F10029" s="27"/>
      <c r="G10029" s="27" t="s">
        <v>11122</v>
      </c>
      <c r="H10029" s="27" t="s">
        <v>35</v>
      </c>
      <c r="I10029" s="27" t="s">
        <v>45</v>
      </c>
      <c r="J10029" s="28" t="s">
        <v>913</v>
      </c>
      <c r="K10029" s="27" t="s">
        <v>38</v>
      </c>
      <c r="L10029" s="27"/>
    </row>
    <row r="10030" customFormat="false" ht="15" hidden="false" customHeight="false" outlineLevel="0" collapsed="false">
      <c r="A10030" s="26" t="s">
        <v>24973</v>
      </c>
      <c r="B10030" s="27" t="s">
        <v>24974</v>
      </c>
      <c r="C10030" s="27" t="s">
        <v>100</v>
      </c>
      <c r="D10030" s="26"/>
      <c r="E10030" s="27"/>
      <c r="F10030" s="27"/>
      <c r="G10030" s="27" t="s">
        <v>11122</v>
      </c>
      <c r="H10030" s="27" t="s">
        <v>35</v>
      </c>
      <c r="I10030" s="27" t="s">
        <v>38</v>
      </c>
      <c r="J10030" s="28" t="s">
        <v>913</v>
      </c>
      <c r="K10030" s="27" t="s">
        <v>38</v>
      </c>
      <c r="L10030" s="27"/>
    </row>
    <row r="10031" customFormat="false" ht="15" hidden="false" customHeight="false" outlineLevel="0" collapsed="false">
      <c r="A10031" s="26" t="s">
        <v>24975</v>
      </c>
      <c r="B10031" s="27" t="s">
        <v>24976</v>
      </c>
      <c r="C10031" s="27" t="s">
        <v>100</v>
      </c>
      <c r="D10031" s="26"/>
      <c r="E10031" s="27"/>
      <c r="F10031" s="27"/>
      <c r="G10031" s="27" t="s">
        <v>11122</v>
      </c>
      <c r="H10031" s="27" t="s">
        <v>35</v>
      </c>
      <c r="I10031" s="27" t="s">
        <v>38</v>
      </c>
      <c r="J10031" s="28" t="s">
        <v>913</v>
      </c>
      <c r="K10031" s="27" t="s">
        <v>38</v>
      </c>
      <c r="L10031" s="27"/>
    </row>
    <row r="10032" customFormat="false" ht="15" hidden="false" customHeight="false" outlineLevel="0" collapsed="false">
      <c r="A10032" s="26" t="s">
        <v>24977</v>
      </c>
      <c r="B10032" s="27" t="s">
        <v>24978</v>
      </c>
      <c r="C10032" s="27" t="s">
        <v>144</v>
      </c>
      <c r="D10032" s="26"/>
      <c r="E10032" s="27"/>
      <c r="F10032" s="27"/>
      <c r="G10032" s="27" t="s">
        <v>11122</v>
      </c>
      <c r="H10032" s="27" t="s">
        <v>35</v>
      </c>
      <c r="I10032" s="27" t="s">
        <v>39</v>
      </c>
      <c r="J10032" s="28" t="s">
        <v>913</v>
      </c>
      <c r="K10032" s="27" t="s">
        <v>38</v>
      </c>
      <c r="L10032" s="27"/>
    </row>
    <row r="10033" customFormat="false" ht="15" hidden="false" customHeight="false" outlineLevel="0" collapsed="false">
      <c r="A10033" s="26" t="s">
        <v>24979</v>
      </c>
      <c r="B10033" s="27" t="s">
        <v>24980</v>
      </c>
      <c r="C10033" s="27" t="s">
        <v>144</v>
      </c>
      <c r="D10033" s="26"/>
      <c r="E10033" s="27"/>
      <c r="F10033" s="27"/>
      <c r="G10033" s="27" t="s">
        <v>11122</v>
      </c>
      <c r="H10033" s="27" t="s">
        <v>35</v>
      </c>
      <c r="I10033" s="27" t="s">
        <v>39</v>
      </c>
      <c r="J10033" s="28" t="s">
        <v>913</v>
      </c>
      <c r="K10033" s="27" t="s">
        <v>38</v>
      </c>
      <c r="L10033" s="27"/>
    </row>
    <row r="10034" customFormat="false" ht="15" hidden="false" customHeight="false" outlineLevel="0" collapsed="false">
      <c r="A10034" s="26" t="s">
        <v>24981</v>
      </c>
      <c r="B10034" s="27" t="s">
        <v>24982</v>
      </c>
      <c r="C10034" s="27" t="s">
        <v>137</v>
      </c>
      <c r="D10034" s="26"/>
      <c r="E10034" s="27"/>
      <c r="F10034" s="27"/>
      <c r="G10034" s="27" t="s">
        <v>11122</v>
      </c>
      <c r="H10034" s="27" t="s">
        <v>35</v>
      </c>
      <c r="I10034" s="27" t="s">
        <v>38</v>
      </c>
      <c r="J10034" s="28" t="s">
        <v>913</v>
      </c>
      <c r="K10034" s="27" t="s">
        <v>38</v>
      </c>
      <c r="L10034" s="27"/>
    </row>
    <row r="10035" customFormat="false" ht="15" hidden="false" customHeight="false" outlineLevel="0" collapsed="false">
      <c r="A10035" s="26" t="s">
        <v>24983</v>
      </c>
      <c r="B10035" s="27" t="s">
        <v>24984</v>
      </c>
      <c r="C10035" s="27" t="s">
        <v>137</v>
      </c>
      <c r="D10035" s="26"/>
      <c r="E10035" s="27"/>
      <c r="F10035" s="27"/>
      <c r="G10035" s="27" t="s">
        <v>11122</v>
      </c>
      <c r="H10035" s="27" t="s">
        <v>35</v>
      </c>
      <c r="I10035" s="27" t="s">
        <v>41</v>
      </c>
      <c r="J10035" s="28" t="s">
        <v>913</v>
      </c>
      <c r="K10035" s="27" t="s">
        <v>38</v>
      </c>
      <c r="L10035" s="27"/>
    </row>
    <row r="10036" customFormat="false" ht="15" hidden="false" customHeight="false" outlineLevel="0" collapsed="false">
      <c r="A10036" s="26" t="s">
        <v>24985</v>
      </c>
      <c r="B10036" s="27" t="s">
        <v>24986</v>
      </c>
      <c r="C10036" s="27" t="s">
        <v>1845</v>
      </c>
      <c r="D10036" s="26"/>
      <c r="E10036" s="27"/>
      <c r="F10036" s="27"/>
      <c r="G10036" s="27" t="s">
        <v>11122</v>
      </c>
      <c r="H10036" s="27" t="s">
        <v>35</v>
      </c>
      <c r="I10036" s="27" t="s">
        <v>38</v>
      </c>
      <c r="J10036" s="28" t="s">
        <v>913</v>
      </c>
      <c r="K10036" s="27" t="s">
        <v>38</v>
      </c>
      <c r="L10036" s="27"/>
    </row>
    <row r="10037" customFormat="false" ht="15" hidden="false" customHeight="false" outlineLevel="0" collapsed="false">
      <c r="A10037" s="26" t="s">
        <v>24987</v>
      </c>
      <c r="B10037" s="27" t="s">
        <v>24988</v>
      </c>
      <c r="C10037" s="27" t="s">
        <v>1845</v>
      </c>
      <c r="D10037" s="26"/>
      <c r="E10037" s="27"/>
      <c r="F10037" s="27"/>
      <c r="G10037" s="27" t="s">
        <v>11122</v>
      </c>
      <c r="H10037" s="27" t="s">
        <v>35</v>
      </c>
      <c r="I10037" s="27" t="s">
        <v>38</v>
      </c>
      <c r="J10037" s="28" t="s">
        <v>913</v>
      </c>
      <c r="K10037" s="27" t="s">
        <v>38</v>
      </c>
      <c r="L10037" s="27"/>
    </row>
    <row r="10038" customFormat="false" ht="15" hidden="false" customHeight="false" outlineLevel="0" collapsed="false">
      <c r="A10038" s="26" t="s">
        <v>24989</v>
      </c>
      <c r="B10038" s="27" t="s">
        <v>24990</v>
      </c>
      <c r="C10038" s="27" t="s">
        <v>1845</v>
      </c>
      <c r="D10038" s="26"/>
      <c r="E10038" s="27"/>
      <c r="F10038" s="27"/>
      <c r="G10038" s="27" t="s">
        <v>11122</v>
      </c>
      <c r="H10038" s="27" t="s">
        <v>35</v>
      </c>
      <c r="I10038" s="27" t="s">
        <v>38</v>
      </c>
      <c r="J10038" s="28" t="s">
        <v>913</v>
      </c>
      <c r="K10038" s="27" t="s">
        <v>38</v>
      </c>
      <c r="L10038" s="27"/>
    </row>
    <row r="10039" customFormat="false" ht="15" hidden="false" customHeight="false" outlineLevel="0" collapsed="false">
      <c r="A10039" s="26" t="s">
        <v>24991</v>
      </c>
      <c r="B10039" s="27" t="s">
        <v>24992</v>
      </c>
      <c r="C10039" s="27" t="s">
        <v>1845</v>
      </c>
      <c r="D10039" s="26"/>
      <c r="E10039" s="27"/>
      <c r="F10039" s="27"/>
      <c r="G10039" s="27" t="s">
        <v>11122</v>
      </c>
      <c r="H10039" s="27" t="s">
        <v>35</v>
      </c>
      <c r="I10039" s="27" t="s">
        <v>38</v>
      </c>
      <c r="J10039" s="28" t="s">
        <v>913</v>
      </c>
      <c r="K10039" s="27" t="s">
        <v>38</v>
      </c>
      <c r="L10039" s="27"/>
    </row>
    <row r="10040" customFormat="false" ht="15" hidden="false" customHeight="false" outlineLevel="0" collapsed="false">
      <c r="A10040" s="26" t="s">
        <v>24993</v>
      </c>
      <c r="B10040" s="27" t="s">
        <v>24994</v>
      </c>
      <c r="C10040" s="27" t="s">
        <v>1845</v>
      </c>
      <c r="D10040" s="26"/>
      <c r="E10040" s="27"/>
      <c r="F10040" s="27"/>
      <c r="G10040" s="27" t="s">
        <v>11122</v>
      </c>
      <c r="H10040" s="27" t="s">
        <v>35</v>
      </c>
      <c r="I10040" s="27" t="s">
        <v>38</v>
      </c>
      <c r="J10040" s="28" t="s">
        <v>913</v>
      </c>
      <c r="K10040" s="27" t="s">
        <v>38</v>
      </c>
      <c r="L10040" s="27"/>
    </row>
    <row r="10041" customFormat="false" ht="15" hidden="false" customHeight="false" outlineLevel="0" collapsed="false">
      <c r="A10041" s="26" t="s">
        <v>24995</v>
      </c>
      <c r="B10041" s="27" t="s">
        <v>24996</v>
      </c>
      <c r="C10041" s="27" t="s">
        <v>137</v>
      </c>
      <c r="D10041" s="26"/>
      <c r="E10041" s="27"/>
      <c r="F10041" s="27"/>
      <c r="G10041" s="27" t="s">
        <v>11122</v>
      </c>
      <c r="H10041" s="27" t="s">
        <v>35</v>
      </c>
      <c r="I10041" s="27" t="s">
        <v>45</v>
      </c>
      <c r="J10041" s="28" t="s">
        <v>913</v>
      </c>
      <c r="K10041" s="27" t="s">
        <v>38</v>
      </c>
      <c r="L10041" s="27"/>
    </row>
    <row r="10042" customFormat="false" ht="15" hidden="false" customHeight="false" outlineLevel="0" collapsed="false">
      <c r="A10042" s="26" t="s">
        <v>24997</v>
      </c>
      <c r="B10042" s="27" t="s">
        <v>24998</v>
      </c>
      <c r="C10042" s="27" t="s">
        <v>144</v>
      </c>
      <c r="D10042" s="26"/>
      <c r="E10042" s="27"/>
      <c r="F10042" s="27"/>
      <c r="G10042" s="27" t="s">
        <v>11122</v>
      </c>
      <c r="H10042" s="27" t="s">
        <v>35</v>
      </c>
      <c r="I10042" s="27" t="s">
        <v>37</v>
      </c>
      <c r="J10042" s="28" t="s">
        <v>913</v>
      </c>
      <c r="K10042" s="27" t="s">
        <v>38</v>
      </c>
      <c r="L10042" s="27"/>
    </row>
    <row r="10043" customFormat="false" ht="15" hidden="false" customHeight="false" outlineLevel="0" collapsed="false">
      <c r="A10043" s="26" t="s">
        <v>24999</v>
      </c>
      <c r="B10043" s="27" t="s">
        <v>25000</v>
      </c>
      <c r="C10043" s="27" t="s">
        <v>100</v>
      </c>
      <c r="D10043" s="26"/>
      <c r="E10043" s="27"/>
      <c r="F10043" s="27"/>
      <c r="G10043" s="27" t="s">
        <v>11122</v>
      </c>
      <c r="H10043" s="27" t="s">
        <v>35</v>
      </c>
      <c r="I10043" s="27" t="s">
        <v>37</v>
      </c>
      <c r="J10043" s="28" t="s">
        <v>913</v>
      </c>
      <c r="K10043" s="27" t="s">
        <v>38</v>
      </c>
      <c r="L10043" s="27"/>
    </row>
    <row r="10044" customFormat="false" ht="15" hidden="false" customHeight="false" outlineLevel="0" collapsed="false">
      <c r="A10044" s="26" t="s">
        <v>25001</v>
      </c>
      <c r="B10044" s="27" t="s">
        <v>25002</v>
      </c>
      <c r="C10044" s="27" t="s">
        <v>1845</v>
      </c>
      <c r="D10044" s="26"/>
      <c r="E10044" s="27"/>
      <c r="F10044" s="27"/>
      <c r="G10044" s="27" t="s">
        <v>11122</v>
      </c>
      <c r="H10044" s="27" t="s">
        <v>35</v>
      </c>
      <c r="I10044" s="27" t="s">
        <v>38</v>
      </c>
      <c r="J10044" s="28" t="s">
        <v>913</v>
      </c>
      <c r="K10044" s="27" t="s">
        <v>38</v>
      </c>
      <c r="L10044" s="27"/>
    </row>
    <row r="10045" customFormat="false" ht="15" hidden="false" customHeight="false" outlineLevel="0" collapsed="false">
      <c r="A10045" s="26" t="s">
        <v>25003</v>
      </c>
      <c r="B10045" s="27" t="s">
        <v>25004</v>
      </c>
      <c r="C10045" s="27" t="s">
        <v>1845</v>
      </c>
      <c r="D10045" s="26"/>
      <c r="E10045" s="27"/>
      <c r="F10045" s="27"/>
      <c r="G10045" s="27" t="s">
        <v>11122</v>
      </c>
      <c r="H10045" s="27" t="s">
        <v>35</v>
      </c>
      <c r="I10045" s="27" t="s">
        <v>38</v>
      </c>
      <c r="J10045" s="28" t="s">
        <v>913</v>
      </c>
      <c r="K10045" s="27" t="s">
        <v>38</v>
      </c>
      <c r="L10045" s="27"/>
    </row>
    <row r="10046" customFormat="false" ht="15" hidden="false" customHeight="false" outlineLevel="0" collapsed="false">
      <c r="A10046" s="26" t="s">
        <v>25005</v>
      </c>
      <c r="B10046" s="27" t="s">
        <v>25006</v>
      </c>
      <c r="C10046" s="27" t="s">
        <v>1845</v>
      </c>
      <c r="D10046" s="26"/>
      <c r="E10046" s="27"/>
      <c r="F10046" s="27"/>
      <c r="G10046" s="27" t="s">
        <v>11122</v>
      </c>
      <c r="H10046" s="27" t="s">
        <v>35</v>
      </c>
      <c r="I10046" s="27" t="s">
        <v>38</v>
      </c>
      <c r="J10046" s="28" t="s">
        <v>913</v>
      </c>
      <c r="K10046" s="27" t="s">
        <v>38</v>
      </c>
      <c r="L10046" s="27"/>
    </row>
    <row r="10047" customFormat="false" ht="15" hidden="false" customHeight="false" outlineLevel="0" collapsed="false">
      <c r="A10047" s="26" t="s">
        <v>25007</v>
      </c>
      <c r="B10047" s="27" t="s">
        <v>25008</v>
      </c>
      <c r="C10047" s="27" t="s">
        <v>1845</v>
      </c>
      <c r="D10047" s="26"/>
      <c r="E10047" s="27"/>
      <c r="F10047" s="27"/>
      <c r="G10047" s="27" t="s">
        <v>11122</v>
      </c>
      <c r="H10047" s="27" t="s">
        <v>35</v>
      </c>
      <c r="I10047" s="27" t="s">
        <v>38</v>
      </c>
      <c r="J10047" s="28" t="s">
        <v>913</v>
      </c>
      <c r="K10047" s="27" t="s">
        <v>38</v>
      </c>
      <c r="L10047" s="27"/>
    </row>
    <row r="10048" customFormat="false" ht="15" hidden="false" customHeight="false" outlineLevel="0" collapsed="false">
      <c r="A10048" s="26" t="s">
        <v>25009</v>
      </c>
      <c r="B10048" s="27" t="s">
        <v>25010</v>
      </c>
      <c r="C10048" s="27" t="s">
        <v>137</v>
      </c>
      <c r="D10048" s="26"/>
      <c r="E10048" s="27"/>
      <c r="F10048" s="27"/>
      <c r="G10048" s="27" t="s">
        <v>11122</v>
      </c>
      <c r="H10048" s="27" t="s">
        <v>35</v>
      </c>
      <c r="I10048" s="27" t="s">
        <v>38</v>
      </c>
      <c r="J10048" s="28" t="s">
        <v>913</v>
      </c>
      <c r="K10048" s="27" t="s">
        <v>38</v>
      </c>
      <c r="L10048" s="27"/>
    </row>
    <row r="10049" customFormat="false" ht="15" hidden="false" customHeight="false" outlineLevel="0" collapsed="false">
      <c r="A10049" s="26" t="s">
        <v>25011</v>
      </c>
      <c r="B10049" s="27" t="s">
        <v>25012</v>
      </c>
      <c r="C10049" s="27" t="s">
        <v>137</v>
      </c>
      <c r="D10049" s="26"/>
      <c r="E10049" s="27"/>
      <c r="F10049" s="27"/>
      <c r="G10049" s="27" t="s">
        <v>11122</v>
      </c>
      <c r="H10049" s="27" t="s">
        <v>35</v>
      </c>
      <c r="I10049" s="27" t="s">
        <v>38</v>
      </c>
      <c r="J10049" s="28" t="s">
        <v>913</v>
      </c>
      <c r="K10049" s="27" t="s">
        <v>38</v>
      </c>
      <c r="L10049" s="27"/>
    </row>
    <row r="10050" customFormat="false" ht="15" hidden="false" customHeight="false" outlineLevel="0" collapsed="false">
      <c r="A10050" s="26" t="s">
        <v>25013</v>
      </c>
      <c r="B10050" s="27" t="s">
        <v>25014</v>
      </c>
      <c r="C10050" s="27" t="s">
        <v>137</v>
      </c>
      <c r="D10050" s="26"/>
      <c r="E10050" s="27"/>
      <c r="F10050" s="27"/>
      <c r="G10050" s="27" t="s">
        <v>11122</v>
      </c>
      <c r="H10050" s="27" t="s">
        <v>35</v>
      </c>
      <c r="I10050" s="27" t="s">
        <v>38</v>
      </c>
      <c r="J10050" s="28" t="s">
        <v>913</v>
      </c>
      <c r="K10050" s="27" t="s">
        <v>38</v>
      </c>
      <c r="L10050" s="27"/>
    </row>
    <row r="10051" customFormat="false" ht="15" hidden="false" customHeight="false" outlineLevel="0" collapsed="false">
      <c r="A10051" s="26" t="s">
        <v>25015</v>
      </c>
      <c r="B10051" s="27" t="s">
        <v>25016</v>
      </c>
      <c r="C10051" s="27" t="s">
        <v>137</v>
      </c>
      <c r="D10051" s="26"/>
      <c r="E10051" s="27"/>
      <c r="F10051" s="27"/>
      <c r="G10051" s="27" t="s">
        <v>11122</v>
      </c>
      <c r="H10051" s="27" t="s">
        <v>35</v>
      </c>
      <c r="I10051" s="27" t="s">
        <v>38</v>
      </c>
      <c r="J10051" s="28" t="s">
        <v>913</v>
      </c>
      <c r="K10051" s="27" t="s">
        <v>38</v>
      </c>
      <c r="L10051" s="27"/>
    </row>
    <row r="10052" customFormat="false" ht="15" hidden="false" customHeight="false" outlineLevel="0" collapsed="false">
      <c r="A10052" s="26" t="s">
        <v>25017</v>
      </c>
      <c r="B10052" s="27" t="s">
        <v>25018</v>
      </c>
      <c r="C10052" s="27" t="s">
        <v>137</v>
      </c>
      <c r="D10052" s="26"/>
      <c r="E10052" s="27"/>
      <c r="F10052" s="27"/>
      <c r="G10052" s="27" t="s">
        <v>11122</v>
      </c>
      <c r="H10052" s="27" t="s">
        <v>35</v>
      </c>
      <c r="I10052" s="27" t="s">
        <v>45</v>
      </c>
      <c r="J10052" s="28" t="s">
        <v>913</v>
      </c>
      <c r="K10052" s="27" t="s">
        <v>38</v>
      </c>
      <c r="L10052" s="27"/>
    </row>
    <row r="10053" customFormat="false" ht="15" hidden="false" customHeight="false" outlineLevel="0" collapsed="false">
      <c r="A10053" s="26" t="s">
        <v>25019</v>
      </c>
      <c r="B10053" s="27" t="s">
        <v>25020</v>
      </c>
      <c r="C10053" s="27" t="s">
        <v>100</v>
      </c>
      <c r="D10053" s="26"/>
      <c r="E10053" s="27"/>
      <c r="F10053" s="27"/>
      <c r="G10053" s="27" t="s">
        <v>11122</v>
      </c>
      <c r="H10053" s="27" t="s">
        <v>35</v>
      </c>
      <c r="I10053" s="27" t="s">
        <v>45</v>
      </c>
      <c r="J10053" s="28" t="s">
        <v>913</v>
      </c>
      <c r="K10053" s="27" t="s">
        <v>38</v>
      </c>
      <c r="L10053" s="27"/>
    </row>
    <row r="10054" customFormat="false" ht="15" hidden="false" customHeight="false" outlineLevel="0" collapsed="false">
      <c r="A10054" s="26" t="s">
        <v>25021</v>
      </c>
      <c r="B10054" s="27" t="s">
        <v>25022</v>
      </c>
      <c r="C10054" s="27" t="s">
        <v>1845</v>
      </c>
      <c r="D10054" s="26"/>
      <c r="E10054" s="27"/>
      <c r="F10054" s="27"/>
      <c r="G10054" s="27" t="s">
        <v>11122</v>
      </c>
      <c r="H10054" s="27" t="s">
        <v>35</v>
      </c>
      <c r="I10054" s="27" t="s">
        <v>38</v>
      </c>
      <c r="J10054" s="28" t="s">
        <v>913</v>
      </c>
      <c r="K10054" s="27" t="s">
        <v>38</v>
      </c>
      <c r="L10054" s="27"/>
    </row>
    <row r="10055" customFormat="false" ht="15" hidden="false" customHeight="false" outlineLevel="0" collapsed="false">
      <c r="A10055" s="26" t="s">
        <v>25023</v>
      </c>
      <c r="B10055" s="27" t="s">
        <v>25024</v>
      </c>
      <c r="C10055" s="27" t="s">
        <v>1845</v>
      </c>
      <c r="D10055" s="26"/>
      <c r="E10055" s="27"/>
      <c r="F10055" s="27"/>
      <c r="G10055" s="27" t="s">
        <v>11122</v>
      </c>
      <c r="H10055" s="27" t="s">
        <v>35</v>
      </c>
      <c r="I10055" s="27" t="s">
        <v>4159</v>
      </c>
      <c r="J10055" s="28" t="s">
        <v>913</v>
      </c>
      <c r="K10055" s="27" t="s">
        <v>38</v>
      </c>
      <c r="L10055" s="27"/>
    </row>
    <row r="10056" customFormat="false" ht="15" hidden="false" customHeight="false" outlineLevel="0" collapsed="false">
      <c r="A10056" s="26" t="s">
        <v>25025</v>
      </c>
      <c r="B10056" s="27" t="s">
        <v>25026</v>
      </c>
      <c r="C10056" s="27" t="s">
        <v>1845</v>
      </c>
      <c r="D10056" s="26"/>
      <c r="E10056" s="27"/>
      <c r="F10056" s="27"/>
      <c r="G10056" s="27" t="s">
        <v>11122</v>
      </c>
      <c r="H10056" s="27" t="s">
        <v>35</v>
      </c>
      <c r="I10056" s="27" t="s">
        <v>38</v>
      </c>
      <c r="J10056" s="28" t="s">
        <v>913</v>
      </c>
      <c r="K10056" s="27" t="s">
        <v>38</v>
      </c>
      <c r="L10056" s="27"/>
    </row>
    <row r="10057" customFormat="false" ht="15" hidden="false" customHeight="false" outlineLevel="0" collapsed="false">
      <c r="A10057" s="26" t="s">
        <v>25027</v>
      </c>
      <c r="B10057" s="27" t="s">
        <v>25028</v>
      </c>
      <c r="C10057" s="27" t="s">
        <v>1845</v>
      </c>
      <c r="D10057" s="26"/>
      <c r="E10057" s="27"/>
      <c r="F10057" s="27"/>
      <c r="G10057" s="27" t="s">
        <v>11122</v>
      </c>
      <c r="H10057" s="27" t="s">
        <v>35</v>
      </c>
      <c r="I10057" s="27" t="s">
        <v>38</v>
      </c>
      <c r="J10057" s="28" t="s">
        <v>913</v>
      </c>
      <c r="K10057" s="27" t="s">
        <v>38</v>
      </c>
      <c r="L10057" s="27"/>
    </row>
    <row r="10058" customFormat="false" ht="15" hidden="false" customHeight="false" outlineLevel="0" collapsed="false">
      <c r="A10058" s="26" t="s">
        <v>25029</v>
      </c>
      <c r="B10058" s="27" t="s">
        <v>25030</v>
      </c>
      <c r="C10058" s="27" t="s">
        <v>1845</v>
      </c>
      <c r="D10058" s="26"/>
      <c r="E10058" s="27"/>
      <c r="F10058" s="27"/>
      <c r="G10058" s="27" t="s">
        <v>11122</v>
      </c>
      <c r="H10058" s="27" t="s">
        <v>35</v>
      </c>
      <c r="I10058" s="27" t="s">
        <v>38</v>
      </c>
      <c r="J10058" s="28" t="s">
        <v>913</v>
      </c>
      <c r="K10058" s="27" t="s">
        <v>38</v>
      </c>
      <c r="L10058" s="27"/>
    </row>
    <row r="10059" customFormat="false" ht="15" hidden="false" customHeight="false" outlineLevel="0" collapsed="false">
      <c r="A10059" s="26" t="s">
        <v>25031</v>
      </c>
      <c r="B10059" s="27" t="s">
        <v>25032</v>
      </c>
      <c r="C10059" s="27" t="s">
        <v>137</v>
      </c>
      <c r="D10059" s="26"/>
      <c r="E10059" s="27"/>
      <c r="F10059" s="27"/>
      <c r="G10059" s="27" t="s">
        <v>11122</v>
      </c>
      <c r="H10059" s="27" t="s">
        <v>35</v>
      </c>
      <c r="I10059" s="27" t="s">
        <v>41</v>
      </c>
      <c r="J10059" s="28" t="s">
        <v>913</v>
      </c>
      <c r="K10059" s="27" t="s">
        <v>38</v>
      </c>
      <c r="L10059" s="27"/>
    </row>
    <row r="10060" customFormat="false" ht="15" hidden="false" customHeight="false" outlineLevel="0" collapsed="false">
      <c r="A10060" s="26" t="s">
        <v>25033</v>
      </c>
      <c r="B10060" s="27" t="s">
        <v>25034</v>
      </c>
      <c r="C10060" s="27" t="s">
        <v>137</v>
      </c>
      <c r="D10060" s="26"/>
      <c r="E10060" s="27"/>
      <c r="F10060" s="27"/>
      <c r="G10060" s="27" t="s">
        <v>11122</v>
      </c>
      <c r="H10060" s="27" t="s">
        <v>35</v>
      </c>
      <c r="I10060" s="27" t="s">
        <v>41</v>
      </c>
      <c r="J10060" s="28" t="s">
        <v>913</v>
      </c>
      <c r="K10060" s="27" t="s">
        <v>38</v>
      </c>
      <c r="L10060" s="27"/>
    </row>
    <row r="10061" customFormat="false" ht="15" hidden="false" customHeight="false" outlineLevel="0" collapsed="false">
      <c r="A10061" s="26" t="s">
        <v>25035</v>
      </c>
      <c r="B10061" s="27" t="s">
        <v>25036</v>
      </c>
      <c r="C10061" s="27" t="s">
        <v>1845</v>
      </c>
      <c r="D10061" s="26"/>
      <c r="E10061" s="27"/>
      <c r="F10061" s="27"/>
      <c r="G10061" s="27" t="s">
        <v>11122</v>
      </c>
      <c r="H10061" s="27" t="s">
        <v>35</v>
      </c>
      <c r="I10061" s="27" t="s">
        <v>38</v>
      </c>
      <c r="J10061" s="28" t="s">
        <v>913</v>
      </c>
      <c r="K10061" s="27" t="s">
        <v>38</v>
      </c>
      <c r="L10061" s="27"/>
    </row>
    <row r="10062" customFormat="false" ht="15" hidden="false" customHeight="false" outlineLevel="0" collapsed="false">
      <c r="A10062" s="26" t="s">
        <v>25037</v>
      </c>
      <c r="B10062" s="27" t="s">
        <v>25038</v>
      </c>
      <c r="C10062" s="27" t="s">
        <v>137</v>
      </c>
      <c r="D10062" s="26"/>
      <c r="E10062" s="27"/>
      <c r="F10062" s="27"/>
      <c r="G10062" s="27" t="s">
        <v>11122</v>
      </c>
      <c r="H10062" s="27" t="s">
        <v>35</v>
      </c>
      <c r="I10062" s="27" t="s">
        <v>41</v>
      </c>
      <c r="J10062" s="28" t="s">
        <v>913</v>
      </c>
      <c r="K10062" s="27" t="s">
        <v>38</v>
      </c>
      <c r="L10062" s="27"/>
    </row>
    <row r="10063" customFormat="false" ht="15" hidden="false" customHeight="false" outlineLevel="0" collapsed="false">
      <c r="A10063" s="26" t="s">
        <v>25039</v>
      </c>
      <c r="B10063" s="27" t="s">
        <v>25040</v>
      </c>
      <c r="C10063" s="27" t="s">
        <v>137</v>
      </c>
      <c r="D10063" s="26"/>
      <c r="E10063" s="27"/>
      <c r="F10063" s="27"/>
      <c r="G10063" s="27" t="s">
        <v>11122</v>
      </c>
      <c r="H10063" s="27" t="s">
        <v>35</v>
      </c>
      <c r="I10063" s="27" t="s">
        <v>41</v>
      </c>
      <c r="J10063" s="28" t="s">
        <v>913</v>
      </c>
      <c r="K10063" s="27" t="s">
        <v>38</v>
      </c>
      <c r="L10063" s="27"/>
    </row>
    <row r="10064" customFormat="false" ht="15" hidden="false" customHeight="false" outlineLevel="0" collapsed="false">
      <c r="A10064" s="26" t="s">
        <v>25041</v>
      </c>
      <c r="B10064" s="27" t="s">
        <v>25042</v>
      </c>
      <c r="C10064" s="27" t="s">
        <v>1845</v>
      </c>
      <c r="D10064" s="26"/>
      <c r="E10064" s="27"/>
      <c r="F10064" s="27"/>
      <c r="G10064" s="27" t="s">
        <v>11122</v>
      </c>
      <c r="H10064" s="27" t="s">
        <v>35</v>
      </c>
      <c r="I10064" s="27" t="s">
        <v>39</v>
      </c>
      <c r="J10064" s="28" t="s">
        <v>913</v>
      </c>
      <c r="K10064" s="27" t="s">
        <v>38</v>
      </c>
      <c r="L10064" s="27"/>
    </row>
    <row r="10065" customFormat="false" ht="15" hidden="false" customHeight="false" outlineLevel="0" collapsed="false">
      <c r="A10065" s="26" t="s">
        <v>25043</v>
      </c>
      <c r="B10065" s="27" t="s">
        <v>25044</v>
      </c>
      <c r="C10065" s="27" t="s">
        <v>144</v>
      </c>
      <c r="D10065" s="26"/>
      <c r="E10065" s="27"/>
      <c r="F10065" s="27"/>
      <c r="G10065" s="27" t="s">
        <v>11122</v>
      </c>
      <c r="H10065" s="27" t="s">
        <v>35</v>
      </c>
      <c r="I10065" s="27" t="s">
        <v>38</v>
      </c>
      <c r="J10065" s="28" t="s">
        <v>913</v>
      </c>
      <c r="K10065" s="27" t="s">
        <v>38</v>
      </c>
      <c r="L10065" s="27"/>
    </row>
    <row r="10066" customFormat="false" ht="15" hidden="false" customHeight="false" outlineLevel="0" collapsed="false">
      <c r="A10066" s="26" t="s">
        <v>25045</v>
      </c>
      <c r="B10066" s="27" t="s">
        <v>25046</v>
      </c>
      <c r="C10066" s="27" t="s">
        <v>1845</v>
      </c>
      <c r="D10066" s="26"/>
      <c r="E10066" s="27"/>
      <c r="F10066" s="27"/>
      <c r="G10066" s="27" t="s">
        <v>11122</v>
      </c>
      <c r="H10066" s="27" t="s">
        <v>35</v>
      </c>
      <c r="I10066" s="27" t="s">
        <v>38</v>
      </c>
      <c r="J10066" s="28" t="s">
        <v>913</v>
      </c>
      <c r="K10066" s="27" t="s">
        <v>38</v>
      </c>
      <c r="L10066" s="27"/>
    </row>
    <row r="10067" customFormat="false" ht="15" hidden="false" customHeight="false" outlineLevel="0" collapsed="false">
      <c r="A10067" s="26" t="s">
        <v>25047</v>
      </c>
      <c r="B10067" s="27" t="s">
        <v>25048</v>
      </c>
      <c r="C10067" s="27" t="s">
        <v>1845</v>
      </c>
      <c r="D10067" s="26"/>
      <c r="E10067" s="27"/>
      <c r="F10067" s="27"/>
      <c r="G10067" s="27" t="s">
        <v>11122</v>
      </c>
      <c r="H10067" s="27" t="s">
        <v>35</v>
      </c>
      <c r="I10067" s="27" t="s">
        <v>38</v>
      </c>
      <c r="J10067" s="28" t="s">
        <v>913</v>
      </c>
      <c r="K10067" s="27" t="s">
        <v>38</v>
      </c>
      <c r="L10067" s="27"/>
    </row>
    <row r="10068" customFormat="false" ht="15" hidden="false" customHeight="false" outlineLevel="0" collapsed="false">
      <c r="A10068" s="26" t="s">
        <v>25049</v>
      </c>
      <c r="B10068" s="27" t="s">
        <v>25050</v>
      </c>
      <c r="C10068" s="27" t="s">
        <v>1845</v>
      </c>
      <c r="D10068" s="26"/>
      <c r="E10068" s="27"/>
      <c r="F10068" s="27"/>
      <c r="G10068" s="27" t="s">
        <v>11122</v>
      </c>
      <c r="H10068" s="27" t="s">
        <v>35</v>
      </c>
      <c r="I10068" s="27" t="s">
        <v>38</v>
      </c>
      <c r="J10068" s="28" t="s">
        <v>913</v>
      </c>
      <c r="K10068" s="27" t="s">
        <v>38</v>
      </c>
      <c r="L10068" s="27"/>
    </row>
    <row r="10069" customFormat="false" ht="15" hidden="false" customHeight="false" outlineLevel="0" collapsed="false">
      <c r="A10069" s="26" t="s">
        <v>25051</v>
      </c>
      <c r="B10069" s="27" t="s">
        <v>25052</v>
      </c>
      <c r="C10069" s="27" t="s">
        <v>1845</v>
      </c>
      <c r="D10069" s="26"/>
      <c r="E10069" s="27"/>
      <c r="F10069" s="27"/>
      <c r="G10069" s="27" t="s">
        <v>11122</v>
      </c>
      <c r="H10069" s="27" t="s">
        <v>35</v>
      </c>
      <c r="I10069" s="27" t="s">
        <v>38</v>
      </c>
      <c r="J10069" s="28" t="s">
        <v>913</v>
      </c>
      <c r="K10069" s="27" t="s">
        <v>38</v>
      </c>
      <c r="L10069" s="27"/>
    </row>
    <row r="10070" customFormat="false" ht="15" hidden="false" customHeight="false" outlineLevel="0" collapsed="false">
      <c r="A10070" s="26" t="s">
        <v>25053</v>
      </c>
      <c r="B10070" s="27" t="s">
        <v>25054</v>
      </c>
      <c r="C10070" s="27" t="s">
        <v>1845</v>
      </c>
      <c r="D10070" s="26"/>
      <c r="E10070" s="27"/>
      <c r="F10070" s="27"/>
      <c r="G10070" s="27" t="s">
        <v>11122</v>
      </c>
      <c r="H10070" s="27" t="s">
        <v>35</v>
      </c>
      <c r="I10070" s="27" t="s">
        <v>38</v>
      </c>
      <c r="J10070" s="28" t="s">
        <v>913</v>
      </c>
      <c r="K10070" s="27" t="s">
        <v>38</v>
      </c>
      <c r="L10070" s="27"/>
    </row>
    <row r="10071" customFormat="false" ht="15" hidden="false" customHeight="false" outlineLevel="0" collapsed="false">
      <c r="A10071" s="26" t="s">
        <v>25055</v>
      </c>
      <c r="B10071" s="27" t="s">
        <v>25056</v>
      </c>
      <c r="C10071" s="27" t="s">
        <v>1845</v>
      </c>
      <c r="D10071" s="26"/>
      <c r="E10071" s="27"/>
      <c r="F10071" s="27"/>
      <c r="G10071" s="27" t="s">
        <v>11122</v>
      </c>
      <c r="H10071" s="27" t="s">
        <v>35</v>
      </c>
      <c r="I10071" s="27" t="s">
        <v>38</v>
      </c>
      <c r="J10071" s="28" t="s">
        <v>913</v>
      </c>
      <c r="K10071" s="27" t="s">
        <v>38</v>
      </c>
      <c r="L10071" s="27"/>
    </row>
    <row r="10072" customFormat="false" ht="15" hidden="false" customHeight="false" outlineLevel="0" collapsed="false">
      <c r="A10072" s="26" t="s">
        <v>25057</v>
      </c>
      <c r="B10072" s="27" t="s">
        <v>25058</v>
      </c>
      <c r="C10072" s="27" t="s">
        <v>100</v>
      </c>
      <c r="D10072" s="26"/>
      <c r="E10072" s="27"/>
      <c r="F10072" s="27"/>
      <c r="G10072" s="27" t="s">
        <v>11122</v>
      </c>
      <c r="H10072" s="27" t="s">
        <v>35</v>
      </c>
      <c r="I10072" s="27" t="s">
        <v>45</v>
      </c>
      <c r="J10072" s="28" t="s">
        <v>913</v>
      </c>
      <c r="K10072" s="27" t="s">
        <v>38</v>
      </c>
      <c r="L10072" s="27"/>
    </row>
    <row r="10073" customFormat="false" ht="15" hidden="false" customHeight="false" outlineLevel="0" collapsed="false">
      <c r="A10073" s="26" t="s">
        <v>25059</v>
      </c>
      <c r="B10073" s="27" t="s">
        <v>25060</v>
      </c>
      <c r="C10073" s="27" t="s">
        <v>100</v>
      </c>
      <c r="D10073" s="26"/>
      <c r="E10073" s="27"/>
      <c r="F10073" s="27"/>
      <c r="G10073" s="27" t="s">
        <v>11122</v>
      </c>
      <c r="H10073" s="27" t="s">
        <v>35</v>
      </c>
      <c r="I10073" s="27" t="s">
        <v>38</v>
      </c>
      <c r="J10073" s="28" t="s">
        <v>913</v>
      </c>
      <c r="K10073" s="27" t="s">
        <v>38</v>
      </c>
      <c r="L10073" s="27"/>
    </row>
    <row r="10074" customFormat="false" ht="15" hidden="false" customHeight="false" outlineLevel="0" collapsed="false">
      <c r="A10074" s="26" t="s">
        <v>25061</v>
      </c>
      <c r="B10074" s="27" t="s">
        <v>25062</v>
      </c>
      <c r="C10074" s="27" t="s">
        <v>1845</v>
      </c>
      <c r="D10074" s="26"/>
      <c r="E10074" s="27"/>
      <c r="F10074" s="27"/>
      <c r="G10074" s="27" t="s">
        <v>11122</v>
      </c>
      <c r="H10074" s="27" t="s">
        <v>35</v>
      </c>
      <c r="I10074" s="27" t="s">
        <v>38</v>
      </c>
      <c r="J10074" s="28" t="s">
        <v>913</v>
      </c>
      <c r="K10074" s="27" t="s">
        <v>38</v>
      </c>
      <c r="L10074" s="27"/>
    </row>
    <row r="10075" customFormat="false" ht="15" hidden="false" customHeight="false" outlineLevel="0" collapsed="false">
      <c r="A10075" s="26" t="s">
        <v>25063</v>
      </c>
      <c r="B10075" s="27" t="s">
        <v>25064</v>
      </c>
      <c r="C10075" s="27" t="s">
        <v>100</v>
      </c>
      <c r="D10075" s="26"/>
      <c r="E10075" s="27"/>
      <c r="F10075" s="27"/>
      <c r="G10075" s="27" t="s">
        <v>11122</v>
      </c>
      <c r="H10075" s="27" t="s">
        <v>35</v>
      </c>
      <c r="I10075" s="27" t="s">
        <v>38</v>
      </c>
      <c r="J10075" s="28" t="s">
        <v>913</v>
      </c>
      <c r="K10075" s="27" t="s">
        <v>38</v>
      </c>
      <c r="L10075" s="27"/>
    </row>
    <row r="10076" customFormat="false" ht="15" hidden="false" customHeight="false" outlineLevel="0" collapsed="false">
      <c r="A10076" s="26" t="s">
        <v>25065</v>
      </c>
      <c r="B10076" s="27" t="s">
        <v>25066</v>
      </c>
      <c r="C10076" s="27" t="s">
        <v>144</v>
      </c>
      <c r="D10076" s="26"/>
      <c r="E10076" s="27"/>
      <c r="F10076" s="27"/>
      <c r="G10076" s="27" t="s">
        <v>11122</v>
      </c>
      <c r="H10076" s="27" t="s">
        <v>35</v>
      </c>
      <c r="I10076" s="27" t="s">
        <v>38</v>
      </c>
      <c r="J10076" s="28" t="s">
        <v>913</v>
      </c>
      <c r="K10076" s="27" t="s">
        <v>38</v>
      </c>
      <c r="L10076" s="27"/>
    </row>
    <row r="10077" customFormat="false" ht="15" hidden="false" customHeight="false" outlineLevel="0" collapsed="false">
      <c r="A10077" s="26" t="s">
        <v>25067</v>
      </c>
      <c r="B10077" s="27" t="s">
        <v>25068</v>
      </c>
      <c r="C10077" s="27" t="s">
        <v>100</v>
      </c>
      <c r="D10077" s="26"/>
      <c r="E10077" s="27"/>
      <c r="F10077" s="27"/>
      <c r="G10077" s="27" t="s">
        <v>11122</v>
      </c>
      <c r="H10077" s="27" t="s">
        <v>35</v>
      </c>
      <c r="I10077" s="27" t="s">
        <v>37</v>
      </c>
      <c r="J10077" s="28" t="s">
        <v>913</v>
      </c>
      <c r="K10077" s="27" t="s">
        <v>38</v>
      </c>
      <c r="L10077" s="27"/>
    </row>
    <row r="10078" customFormat="false" ht="15" hidden="false" customHeight="false" outlineLevel="0" collapsed="false">
      <c r="A10078" s="26" t="s">
        <v>25069</v>
      </c>
      <c r="B10078" s="27" t="s">
        <v>25070</v>
      </c>
      <c r="C10078" s="27" t="s">
        <v>100</v>
      </c>
      <c r="D10078" s="26"/>
      <c r="E10078" s="27"/>
      <c r="F10078" s="27"/>
      <c r="G10078" s="27" t="s">
        <v>11122</v>
      </c>
      <c r="H10078" s="27" t="s">
        <v>35</v>
      </c>
      <c r="I10078" s="27" t="s">
        <v>45</v>
      </c>
      <c r="J10078" s="28" t="s">
        <v>913</v>
      </c>
      <c r="K10078" s="27" t="s">
        <v>38</v>
      </c>
      <c r="L10078" s="27"/>
    </row>
    <row r="10079" customFormat="false" ht="15" hidden="false" customHeight="false" outlineLevel="0" collapsed="false">
      <c r="A10079" s="26" t="s">
        <v>25071</v>
      </c>
      <c r="B10079" s="27" t="s">
        <v>25072</v>
      </c>
      <c r="C10079" s="27" t="s">
        <v>100</v>
      </c>
      <c r="D10079" s="26"/>
      <c r="E10079" s="27"/>
      <c r="F10079" s="27"/>
      <c r="G10079" s="27" t="s">
        <v>11122</v>
      </c>
      <c r="H10079" s="27" t="s">
        <v>35</v>
      </c>
      <c r="I10079" s="27" t="s">
        <v>44</v>
      </c>
      <c r="J10079" s="28" t="s">
        <v>913</v>
      </c>
      <c r="K10079" s="27" t="s">
        <v>38</v>
      </c>
      <c r="L10079" s="27"/>
    </row>
    <row r="10080" customFormat="false" ht="15" hidden="false" customHeight="false" outlineLevel="0" collapsed="false">
      <c r="A10080" s="26" t="s">
        <v>25073</v>
      </c>
      <c r="B10080" s="27" t="s">
        <v>25074</v>
      </c>
      <c r="C10080" s="27" t="s">
        <v>100</v>
      </c>
      <c r="D10080" s="26"/>
      <c r="E10080" s="27"/>
      <c r="F10080" s="27"/>
      <c r="G10080" s="27" t="s">
        <v>11122</v>
      </c>
      <c r="H10080" s="27" t="s">
        <v>35</v>
      </c>
      <c r="I10080" s="27" t="s">
        <v>45</v>
      </c>
      <c r="J10080" s="28" t="s">
        <v>913</v>
      </c>
      <c r="K10080" s="27" t="s">
        <v>38</v>
      </c>
      <c r="L10080" s="27"/>
    </row>
    <row r="10081" customFormat="false" ht="15" hidden="false" customHeight="false" outlineLevel="0" collapsed="false">
      <c r="A10081" s="26" t="s">
        <v>25075</v>
      </c>
      <c r="B10081" s="27" t="s">
        <v>25076</v>
      </c>
      <c r="C10081" s="27" t="s">
        <v>137</v>
      </c>
      <c r="D10081" s="26"/>
      <c r="E10081" s="27"/>
      <c r="F10081" s="27"/>
      <c r="G10081" s="27" t="s">
        <v>11122</v>
      </c>
      <c r="H10081" s="27" t="s">
        <v>35</v>
      </c>
      <c r="I10081" s="27" t="s">
        <v>45</v>
      </c>
      <c r="J10081" s="28" t="s">
        <v>913</v>
      </c>
      <c r="K10081" s="27" t="s">
        <v>38</v>
      </c>
      <c r="L10081" s="27"/>
    </row>
    <row r="10082" customFormat="false" ht="15" hidden="false" customHeight="false" outlineLevel="0" collapsed="false">
      <c r="A10082" s="26" t="s">
        <v>25077</v>
      </c>
      <c r="B10082" s="27" t="s">
        <v>25078</v>
      </c>
      <c r="C10082" s="27" t="s">
        <v>137</v>
      </c>
      <c r="D10082" s="26"/>
      <c r="E10082" s="27"/>
      <c r="F10082" s="27"/>
      <c r="G10082" s="27" t="s">
        <v>11122</v>
      </c>
      <c r="H10082" s="27" t="s">
        <v>35</v>
      </c>
      <c r="I10082" s="27" t="s">
        <v>45</v>
      </c>
      <c r="J10082" s="28" t="s">
        <v>913</v>
      </c>
      <c r="K10082" s="27" t="s">
        <v>38</v>
      </c>
      <c r="L10082" s="27"/>
    </row>
    <row r="10083" customFormat="false" ht="15" hidden="false" customHeight="false" outlineLevel="0" collapsed="false">
      <c r="A10083" s="26" t="s">
        <v>25079</v>
      </c>
      <c r="B10083" s="27" t="s">
        <v>25080</v>
      </c>
      <c r="C10083" s="27" t="s">
        <v>144</v>
      </c>
      <c r="D10083" s="26"/>
      <c r="E10083" s="27"/>
      <c r="F10083" s="27"/>
      <c r="G10083" s="27" t="s">
        <v>11122</v>
      </c>
      <c r="H10083" s="27" t="s">
        <v>35</v>
      </c>
      <c r="I10083" s="27" t="s">
        <v>39</v>
      </c>
      <c r="J10083" s="28" t="s">
        <v>913</v>
      </c>
      <c r="K10083" s="27" t="s">
        <v>38</v>
      </c>
      <c r="L10083" s="27"/>
    </row>
    <row r="10084" customFormat="false" ht="15" hidden="false" customHeight="false" outlineLevel="0" collapsed="false">
      <c r="A10084" s="26" t="s">
        <v>25081</v>
      </c>
      <c r="B10084" s="27" t="s">
        <v>25082</v>
      </c>
      <c r="C10084" s="27" t="s">
        <v>144</v>
      </c>
      <c r="D10084" s="26"/>
      <c r="E10084" s="27"/>
      <c r="F10084" s="27"/>
      <c r="G10084" s="27" t="s">
        <v>11122</v>
      </c>
      <c r="H10084" s="27" t="s">
        <v>35</v>
      </c>
      <c r="I10084" s="27" t="s">
        <v>38</v>
      </c>
      <c r="J10084" s="28" t="s">
        <v>913</v>
      </c>
      <c r="K10084" s="27" t="s">
        <v>38</v>
      </c>
      <c r="L10084" s="27"/>
    </row>
    <row r="10085" customFormat="false" ht="15" hidden="false" customHeight="false" outlineLevel="0" collapsed="false">
      <c r="A10085" s="26" t="s">
        <v>25083</v>
      </c>
      <c r="B10085" s="27" t="s">
        <v>25084</v>
      </c>
      <c r="C10085" s="27" t="s">
        <v>144</v>
      </c>
      <c r="D10085" s="26"/>
      <c r="E10085" s="27"/>
      <c r="F10085" s="27"/>
      <c r="G10085" s="27" t="s">
        <v>11122</v>
      </c>
      <c r="H10085" s="27" t="s">
        <v>35</v>
      </c>
      <c r="I10085" s="27" t="s">
        <v>39</v>
      </c>
      <c r="J10085" s="28" t="s">
        <v>913</v>
      </c>
      <c r="K10085" s="27" t="s">
        <v>38</v>
      </c>
      <c r="L10085" s="27"/>
    </row>
    <row r="10086" customFormat="false" ht="15" hidden="false" customHeight="false" outlineLevel="0" collapsed="false">
      <c r="A10086" s="26" t="s">
        <v>25085</v>
      </c>
      <c r="B10086" s="27" t="s">
        <v>25086</v>
      </c>
      <c r="C10086" s="27" t="s">
        <v>144</v>
      </c>
      <c r="D10086" s="26"/>
      <c r="E10086" s="27"/>
      <c r="F10086" s="27"/>
      <c r="G10086" s="27" t="s">
        <v>11122</v>
      </c>
      <c r="H10086" s="27" t="s">
        <v>35</v>
      </c>
      <c r="I10086" s="27" t="s">
        <v>38</v>
      </c>
      <c r="J10086" s="28" t="s">
        <v>913</v>
      </c>
      <c r="K10086" s="27" t="s">
        <v>38</v>
      </c>
      <c r="L10086" s="27"/>
    </row>
    <row r="10087" customFormat="false" ht="15" hidden="false" customHeight="false" outlineLevel="0" collapsed="false">
      <c r="A10087" s="26" t="s">
        <v>25087</v>
      </c>
      <c r="B10087" s="27" t="s">
        <v>25088</v>
      </c>
      <c r="C10087" s="27" t="s">
        <v>100</v>
      </c>
      <c r="D10087" s="26"/>
      <c r="E10087" s="27"/>
      <c r="F10087" s="27"/>
      <c r="G10087" s="27" t="s">
        <v>11122</v>
      </c>
      <c r="H10087" s="27" t="s">
        <v>35</v>
      </c>
      <c r="I10087" s="27" t="s">
        <v>38</v>
      </c>
      <c r="J10087" s="28" t="s">
        <v>913</v>
      </c>
      <c r="K10087" s="27" t="s">
        <v>38</v>
      </c>
      <c r="L10087" s="27"/>
    </row>
    <row r="10088" customFormat="false" ht="15" hidden="false" customHeight="false" outlineLevel="0" collapsed="false">
      <c r="A10088" s="26" t="s">
        <v>25089</v>
      </c>
      <c r="B10088" s="27" t="s">
        <v>25090</v>
      </c>
      <c r="C10088" s="27" t="s">
        <v>100</v>
      </c>
      <c r="D10088" s="26"/>
      <c r="E10088" s="27"/>
      <c r="F10088" s="27"/>
      <c r="G10088" s="27" t="s">
        <v>11122</v>
      </c>
      <c r="H10088" s="27" t="s">
        <v>35</v>
      </c>
      <c r="I10088" s="27" t="s">
        <v>45</v>
      </c>
      <c r="J10088" s="28" t="s">
        <v>913</v>
      </c>
      <c r="K10088" s="27" t="s">
        <v>38</v>
      </c>
      <c r="L10088" s="27"/>
    </row>
    <row r="10089" customFormat="false" ht="15" hidden="false" customHeight="false" outlineLevel="0" collapsed="false">
      <c r="A10089" s="26" t="s">
        <v>25091</v>
      </c>
      <c r="B10089" s="27" t="s">
        <v>25092</v>
      </c>
      <c r="C10089" s="27" t="s">
        <v>144</v>
      </c>
      <c r="D10089" s="26"/>
      <c r="E10089" s="27"/>
      <c r="F10089" s="27"/>
      <c r="G10089" s="27" t="s">
        <v>11122</v>
      </c>
      <c r="H10089" s="27" t="s">
        <v>35</v>
      </c>
      <c r="I10089" s="27" t="s">
        <v>38</v>
      </c>
      <c r="J10089" s="28" t="s">
        <v>913</v>
      </c>
      <c r="K10089" s="27" t="s">
        <v>38</v>
      </c>
      <c r="L10089" s="27"/>
    </row>
    <row r="10090" customFormat="false" ht="15" hidden="false" customHeight="false" outlineLevel="0" collapsed="false">
      <c r="A10090" s="26" t="s">
        <v>25093</v>
      </c>
      <c r="B10090" s="27" t="s">
        <v>25094</v>
      </c>
      <c r="C10090" s="27" t="s">
        <v>1845</v>
      </c>
      <c r="D10090" s="26"/>
      <c r="E10090" s="27"/>
      <c r="F10090" s="27"/>
      <c r="G10090" s="27" t="s">
        <v>11122</v>
      </c>
      <c r="H10090" s="27" t="s">
        <v>35</v>
      </c>
      <c r="I10090" s="27" t="s">
        <v>38</v>
      </c>
      <c r="J10090" s="28" t="s">
        <v>913</v>
      </c>
      <c r="K10090" s="27" t="s">
        <v>38</v>
      </c>
      <c r="L10090" s="27"/>
    </row>
    <row r="10091" customFormat="false" ht="15" hidden="false" customHeight="false" outlineLevel="0" collapsed="false">
      <c r="A10091" s="26" t="s">
        <v>25095</v>
      </c>
      <c r="B10091" s="27" t="s">
        <v>25096</v>
      </c>
      <c r="C10091" s="27" t="s">
        <v>1845</v>
      </c>
      <c r="D10091" s="26"/>
      <c r="E10091" s="27"/>
      <c r="F10091" s="27"/>
      <c r="G10091" s="27" t="s">
        <v>11122</v>
      </c>
      <c r="H10091" s="27" t="s">
        <v>35</v>
      </c>
      <c r="I10091" s="27" t="s">
        <v>38</v>
      </c>
      <c r="J10091" s="28" t="s">
        <v>913</v>
      </c>
      <c r="K10091" s="27" t="s">
        <v>38</v>
      </c>
      <c r="L10091" s="27"/>
    </row>
    <row r="10092" customFormat="false" ht="15" hidden="false" customHeight="false" outlineLevel="0" collapsed="false">
      <c r="A10092" s="26" t="s">
        <v>25097</v>
      </c>
      <c r="B10092" s="27" t="s">
        <v>25098</v>
      </c>
      <c r="C10092" s="27" t="s">
        <v>1845</v>
      </c>
      <c r="D10092" s="26"/>
      <c r="E10092" s="27"/>
      <c r="F10092" s="27"/>
      <c r="G10092" s="27" t="s">
        <v>11122</v>
      </c>
      <c r="H10092" s="27" t="s">
        <v>35</v>
      </c>
      <c r="I10092" s="27" t="s">
        <v>38</v>
      </c>
      <c r="J10092" s="28" t="s">
        <v>913</v>
      </c>
      <c r="K10092" s="27" t="s">
        <v>38</v>
      </c>
      <c r="L10092" s="27"/>
    </row>
    <row r="10093" customFormat="false" ht="15" hidden="false" customHeight="false" outlineLevel="0" collapsed="false">
      <c r="A10093" s="26" t="s">
        <v>25099</v>
      </c>
      <c r="B10093" s="27" t="s">
        <v>25100</v>
      </c>
      <c r="C10093" s="27" t="s">
        <v>100</v>
      </c>
      <c r="D10093" s="26"/>
      <c r="E10093" s="27"/>
      <c r="F10093" s="27"/>
      <c r="G10093" s="27" t="s">
        <v>11122</v>
      </c>
      <c r="H10093" s="27" t="s">
        <v>35</v>
      </c>
      <c r="I10093" s="27" t="s">
        <v>38</v>
      </c>
      <c r="J10093" s="28" t="s">
        <v>913</v>
      </c>
      <c r="K10093" s="27" t="s">
        <v>38</v>
      </c>
      <c r="L10093" s="27"/>
    </row>
    <row r="10094" customFormat="false" ht="15" hidden="false" customHeight="false" outlineLevel="0" collapsed="false">
      <c r="A10094" s="26" t="s">
        <v>25101</v>
      </c>
      <c r="B10094" s="27" t="s">
        <v>25102</v>
      </c>
      <c r="C10094" s="27" t="s">
        <v>100</v>
      </c>
      <c r="D10094" s="26"/>
      <c r="E10094" s="27"/>
      <c r="F10094" s="27"/>
      <c r="G10094" s="27" t="s">
        <v>11122</v>
      </c>
      <c r="H10094" s="27" t="s">
        <v>35</v>
      </c>
      <c r="I10094" s="27" t="s">
        <v>38</v>
      </c>
      <c r="J10094" s="28" t="s">
        <v>913</v>
      </c>
      <c r="K10094" s="27" t="s">
        <v>38</v>
      </c>
      <c r="L10094" s="27"/>
    </row>
    <row r="10095" customFormat="false" ht="15" hidden="false" customHeight="false" outlineLevel="0" collapsed="false">
      <c r="A10095" s="26" t="s">
        <v>25103</v>
      </c>
      <c r="B10095" s="27" t="s">
        <v>25104</v>
      </c>
      <c r="C10095" s="27" t="s">
        <v>100</v>
      </c>
      <c r="D10095" s="26"/>
      <c r="E10095" s="27"/>
      <c r="F10095" s="27"/>
      <c r="G10095" s="27" t="s">
        <v>11122</v>
      </c>
      <c r="H10095" s="27" t="s">
        <v>35</v>
      </c>
      <c r="I10095" s="27" t="s">
        <v>38</v>
      </c>
      <c r="J10095" s="28" t="s">
        <v>913</v>
      </c>
      <c r="K10095" s="27" t="s">
        <v>38</v>
      </c>
      <c r="L10095" s="27"/>
    </row>
    <row r="10096" customFormat="false" ht="15" hidden="false" customHeight="false" outlineLevel="0" collapsed="false">
      <c r="A10096" s="26" t="s">
        <v>25105</v>
      </c>
      <c r="B10096" s="27" t="s">
        <v>25106</v>
      </c>
      <c r="C10096" s="27" t="s">
        <v>100</v>
      </c>
      <c r="D10096" s="26"/>
      <c r="E10096" s="27"/>
      <c r="F10096" s="27"/>
      <c r="G10096" s="27" t="s">
        <v>11122</v>
      </c>
      <c r="H10096" s="27" t="s">
        <v>35</v>
      </c>
      <c r="I10096" s="27" t="s">
        <v>38</v>
      </c>
      <c r="J10096" s="28" t="s">
        <v>913</v>
      </c>
      <c r="K10096" s="27" t="s">
        <v>38</v>
      </c>
      <c r="L10096" s="27"/>
    </row>
    <row r="10097" customFormat="false" ht="15" hidden="false" customHeight="false" outlineLevel="0" collapsed="false">
      <c r="A10097" s="26" t="s">
        <v>25107</v>
      </c>
      <c r="B10097" s="27" t="s">
        <v>25108</v>
      </c>
      <c r="C10097" s="27" t="s">
        <v>100</v>
      </c>
      <c r="D10097" s="26"/>
      <c r="E10097" s="27"/>
      <c r="F10097" s="27"/>
      <c r="G10097" s="27" t="s">
        <v>11122</v>
      </c>
      <c r="H10097" s="27" t="s">
        <v>35</v>
      </c>
      <c r="I10097" s="27" t="s">
        <v>38</v>
      </c>
      <c r="J10097" s="28" t="s">
        <v>913</v>
      </c>
      <c r="K10097" s="27" t="s">
        <v>38</v>
      </c>
      <c r="L10097" s="27"/>
    </row>
    <row r="10098" customFormat="false" ht="15" hidden="false" customHeight="false" outlineLevel="0" collapsed="false">
      <c r="A10098" s="26" t="s">
        <v>25109</v>
      </c>
      <c r="B10098" s="27" t="s">
        <v>25110</v>
      </c>
      <c r="C10098" s="27" t="s">
        <v>144</v>
      </c>
      <c r="D10098" s="26"/>
      <c r="E10098" s="27"/>
      <c r="F10098" s="27"/>
      <c r="G10098" s="27" t="s">
        <v>11122</v>
      </c>
      <c r="H10098" s="27" t="s">
        <v>35</v>
      </c>
      <c r="I10098" s="27" t="s">
        <v>49</v>
      </c>
      <c r="J10098" s="28" t="s">
        <v>913</v>
      </c>
      <c r="K10098" s="27" t="s">
        <v>38</v>
      </c>
      <c r="L10098" s="27"/>
    </row>
    <row r="10099" customFormat="false" ht="15" hidden="false" customHeight="false" outlineLevel="0" collapsed="false">
      <c r="A10099" s="26" t="s">
        <v>25111</v>
      </c>
      <c r="B10099" s="27" t="s">
        <v>25112</v>
      </c>
      <c r="C10099" s="27" t="s">
        <v>100</v>
      </c>
      <c r="D10099" s="26"/>
      <c r="E10099" s="27"/>
      <c r="F10099" s="27"/>
      <c r="G10099" s="27" t="s">
        <v>11122</v>
      </c>
      <c r="H10099" s="27" t="s">
        <v>35</v>
      </c>
      <c r="I10099" s="27" t="s">
        <v>37</v>
      </c>
      <c r="J10099" s="28" t="s">
        <v>913</v>
      </c>
      <c r="K10099" s="27" t="s">
        <v>38</v>
      </c>
      <c r="L10099" s="27"/>
    </row>
    <row r="10100" customFormat="false" ht="15" hidden="false" customHeight="false" outlineLevel="0" collapsed="false">
      <c r="A10100" s="26" t="s">
        <v>25113</v>
      </c>
      <c r="B10100" s="27" t="s">
        <v>25114</v>
      </c>
      <c r="C10100" s="27" t="s">
        <v>144</v>
      </c>
      <c r="D10100" s="26"/>
      <c r="E10100" s="27"/>
      <c r="F10100" s="27"/>
      <c r="G10100" s="27" t="s">
        <v>11122</v>
      </c>
      <c r="H10100" s="27" t="s">
        <v>35</v>
      </c>
      <c r="I10100" s="27" t="s">
        <v>37</v>
      </c>
      <c r="J10100" s="28" t="s">
        <v>913</v>
      </c>
      <c r="K10100" s="27" t="s">
        <v>38</v>
      </c>
      <c r="L10100" s="27"/>
    </row>
    <row r="10101" customFormat="false" ht="15" hidden="false" customHeight="false" outlineLevel="0" collapsed="false">
      <c r="A10101" s="26" t="s">
        <v>25115</v>
      </c>
      <c r="B10101" s="27" t="s">
        <v>25116</v>
      </c>
      <c r="C10101" s="27" t="s">
        <v>144</v>
      </c>
      <c r="D10101" s="26"/>
      <c r="E10101" s="27"/>
      <c r="F10101" s="27"/>
      <c r="G10101" s="27" t="s">
        <v>11122</v>
      </c>
      <c r="H10101" s="27" t="s">
        <v>35</v>
      </c>
      <c r="I10101" s="27" t="s">
        <v>39</v>
      </c>
      <c r="J10101" s="28" t="s">
        <v>913</v>
      </c>
      <c r="K10101" s="27" t="s">
        <v>38</v>
      </c>
      <c r="L10101" s="27"/>
    </row>
    <row r="10102" customFormat="false" ht="15" hidden="false" customHeight="false" outlineLevel="0" collapsed="false">
      <c r="A10102" s="26" t="s">
        <v>25117</v>
      </c>
      <c r="B10102" s="27" t="s">
        <v>25118</v>
      </c>
      <c r="C10102" s="27" t="s">
        <v>100</v>
      </c>
      <c r="D10102" s="26"/>
      <c r="E10102" s="27"/>
      <c r="F10102" s="27"/>
      <c r="G10102" s="27" t="s">
        <v>11122</v>
      </c>
      <c r="H10102" s="27" t="s">
        <v>35</v>
      </c>
      <c r="I10102" s="27" t="s">
        <v>38</v>
      </c>
      <c r="J10102" s="28" t="s">
        <v>913</v>
      </c>
      <c r="K10102" s="27" t="s">
        <v>38</v>
      </c>
      <c r="L10102" s="27"/>
    </row>
    <row r="10103" customFormat="false" ht="15" hidden="false" customHeight="false" outlineLevel="0" collapsed="false">
      <c r="A10103" s="26" t="s">
        <v>25119</v>
      </c>
      <c r="B10103" s="27" t="s">
        <v>25120</v>
      </c>
      <c r="C10103" s="27" t="s">
        <v>1845</v>
      </c>
      <c r="D10103" s="26"/>
      <c r="E10103" s="27"/>
      <c r="F10103" s="27"/>
      <c r="G10103" s="27" t="s">
        <v>11122</v>
      </c>
      <c r="H10103" s="27" t="s">
        <v>35</v>
      </c>
      <c r="I10103" s="27" t="s">
        <v>38</v>
      </c>
      <c r="J10103" s="28" t="s">
        <v>913</v>
      </c>
      <c r="K10103" s="27" t="s">
        <v>38</v>
      </c>
      <c r="L10103" s="27"/>
    </row>
    <row r="10104" customFormat="false" ht="15" hidden="false" customHeight="false" outlineLevel="0" collapsed="false">
      <c r="A10104" s="26" t="s">
        <v>25121</v>
      </c>
      <c r="B10104" s="27" t="s">
        <v>25122</v>
      </c>
      <c r="C10104" s="27" t="s">
        <v>137</v>
      </c>
      <c r="D10104" s="26"/>
      <c r="E10104" s="27"/>
      <c r="F10104" s="27"/>
      <c r="G10104" s="27" t="s">
        <v>11122</v>
      </c>
      <c r="H10104" s="27" t="s">
        <v>35</v>
      </c>
      <c r="I10104" s="27" t="s">
        <v>38</v>
      </c>
      <c r="J10104" s="28" t="s">
        <v>913</v>
      </c>
      <c r="K10104" s="27" t="s">
        <v>38</v>
      </c>
      <c r="L10104" s="27"/>
    </row>
    <row r="10105" customFormat="false" ht="15" hidden="false" customHeight="false" outlineLevel="0" collapsed="false">
      <c r="A10105" s="26" t="s">
        <v>25123</v>
      </c>
      <c r="B10105" s="27" t="s">
        <v>25124</v>
      </c>
      <c r="C10105" s="27" t="s">
        <v>100</v>
      </c>
      <c r="D10105" s="26"/>
      <c r="E10105" s="27"/>
      <c r="F10105" s="27"/>
      <c r="G10105" s="27" t="s">
        <v>11122</v>
      </c>
      <c r="H10105" s="27" t="s">
        <v>35</v>
      </c>
      <c r="I10105" s="27" t="s">
        <v>44</v>
      </c>
      <c r="J10105" s="28" t="s">
        <v>913</v>
      </c>
      <c r="K10105" s="27" t="s">
        <v>38</v>
      </c>
      <c r="L10105" s="27"/>
    </row>
    <row r="10106" customFormat="false" ht="15" hidden="false" customHeight="false" outlineLevel="0" collapsed="false">
      <c r="A10106" s="26" t="s">
        <v>25125</v>
      </c>
      <c r="B10106" s="27" t="s">
        <v>25126</v>
      </c>
      <c r="C10106" s="27" t="s">
        <v>100</v>
      </c>
      <c r="D10106" s="26"/>
      <c r="E10106" s="27"/>
      <c r="F10106" s="27"/>
      <c r="G10106" s="27" t="s">
        <v>11122</v>
      </c>
      <c r="H10106" s="27" t="s">
        <v>35</v>
      </c>
      <c r="I10106" s="27" t="s">
        <v>45</v>
      </c>
      <c r="J10106" s="28" t="s">
        <v>913</v>
      </c>
      <c r="K10106" s="27" t="s">
        <v>38</v>
      </c>
      <c r="L10106" s="27"/>
    </row>
    <row r="10107" customFormat="false" ht="15" hidden="false" customHeight="false" outlineLevel="0" collapsed="false">
      <c r="A10107" s="26" t="s">
        <v>25127</v>
      </c>
      <c r="B10107" s="27" t="s">
        <v>25128</v>
      </c>
      <c r="C10107" s="27" t="s">
        <v>144</v>
      </c>
      <c r="D10107" s="26"/>
      <c r="E10107" s="27"/>
      <c r="F10107" s="27"/>
      <c r="G10107" s="27" t="s">
        <v>11122</v>
      </c>
      <c r="H10107" s="27" t="s">
        <v>35</v>
      </c>
      <c r="I10107" s="27" t="s">
        <v>42</v>
      </c>
      <c r="J10107" s="28" t="s">
        <v>913</v>
      </c>
      <c r="K10107" s="27" t="s">
        <v>38</v>
      </c>
      <c r="L10107" s="27"/>
    </row>
    <row r="10108" customFormat="false" ht="15" hidden="false" customHeight="false" outlineLevel="0" collapsed="false">
      <c r="A10108" s="26" t="s">
        <v>25129</v>
      </c>
      <c r="B10108" s="27" t="s">
        <v>25130</v>
      </c>
      <c r="C10108" s="27" t="s">
        <v>137</v>
      </c>
      <c r="D10108" s="26"/>
      <c r="E10108" s="27"/>
      <c r="F10108" s="27"/>
      <c r="G10108" s="27" t="s">
        <v>11122</v>
      </c>
      <c r="H10108" s="27" t="s">
        <v>35</v>
      </c>
      <c r="I10108" s="27" t="s">
        <v>37</v>
      </c>
      <c r="J10108" s="28" t="s">
        <v>913</v>
      </c>
      <c r="K10108" s="27" t="s">
        <v>38</v>
      </c>
      <c r="L10108" s="27"/>
    </row>
    <row r="10109" customFormat="false" ht="15" hidden="false" customHeight="false" outlineLevel="0" collapsed="false">
      <c r="A10109" s="26" t="s">
        <v>25131</v>
      </c>
      <c r="B10109" s="27" t="s">
        <v>25132</v>
      </c>
      <c r="C10109" s="27" t="s">
        <v>144</v>
      </c>
      <c r="D10109" s="26"/>
      <c r="E10109" s="27"/>
      <c r="F10109" s="27"/>
      <c r="G10109" s="27" t="s">
        <v>11122</v>
      </c>
      <c r="H10109" s="27" t="s">
        <v>35</v>
      </c>
      <c r="I10109" s="27" t="s">
        <v>38</v>
      </c>
      <c r="J10109" s="28" t="s">
        <v>913</v>
      </c>
      <c r="K10109" s="27" t="s">
        <v>38</v>
      </c>
      <c r="L10109" s="27"/>
    </row>
    <row r="10110" customFormat="false" ht="15" hidden="false" customHeight="false" outlineLevel="0" collapsed="false">
      <c r="A10110" s="26" t="s">
        <v>25133</v>
      </c>
      <c r="B10110" s="27" t="s">
        <v>25134</v>
      </c>
      <c r="C10110" s="27" t="s">
        <v>137</v>
      </c>
      <c r="D10110" s="26"/>
      <c r="E10110" s="27"/>
      <c r="F10110" s="27"/>
      <c r="G10110" s="27" t="s">
        <v>11122</v>
      </c>
      <c r="H10110" s="27" t="s">
        <v>35</v>
      </c>
      <c r="I10110" s="27" t="s">
        <v>38</v>
      </c>
      <c r="J10110" s="28" t="s">
        <v>913</v>
      </c>
      <c r="K10110" s="27" t="s">
        <v>38</v>
      </c>
      <c r="L10110" s="27"/>
    </row>
    <row r="10111" customFormat="false" ht="15" hidden="false" customHeight="false" outlineLevel="0" collapsed="false">
      <c r="A10111" s="26" t="s">
        <v>25135</v>
      </c>
      <c r="B10111" s="27" t="s">
        <v>25136</v>
      </c>
      <c r="C10111" s="27" t="s">
        <v>144</v>
      </c>
      <c r="D10111" s="26"/>
      <c r="E10111" s="27"/>
      <c r="F10111" s="27"/>
      <c r="G10111" s="27" t="s">
        <v>11122</v>
      </c>
      <c r="H10111" s="27" t="s">
        <v>35</v>
      </c>
      <c r="I10111" s="27" t="s">
        <v>38</v>
      </c>
      <c r="J10111" s="28" t="s">
        <v>913</v>
      </c>
      <c r="K10111" s="27" t="s">
        <v>38</v>
      </c>
      <c r="L10111" s="27"/>
    </row>
    <row r="10112" customFormat="false" ht="15" hidden="false" customHeight="false" outlineLevel="0" collapsed="false">
      <c r="A10112" s="26" t="s">
        <v>25137</v>
      </c>
      <c r="B10112" s="27" t="s">
        <v>25138</v>
      </c>
      <c r="C10112" s="27" t="s">
        <v>144</v>
      </c>
      <c r="D10112" s="26"/>
      <c r="E10112" s="27"/>
      <c r="F10112" s="27"/>
      <c r="G10112" s="27" t="s">
        <v>11122</v>
      </c>
      <c r="H10112" s="27" t="s">
        <v>35</v>
      </c>
      <c r="I10112" s="27" t="s">
        <v>38</v>
      </c>
      <c r="J10112" s="28" t="s">
        <v>913</v>
      </c>
      <c r="K10112" s="27" t="s">
        <v>38</v>
      </c>
      <c r="L10112" s="27"/>
    </row>
    <row r="10113" customFormat="false" ht="15" hidden="false" customHeight="false" outlineLevel="0" collapsed="false">
      <c r="A10113" s="26" t="s">
        <v>25139</v>
      </c>
      <c r="B10113" s="27" t="s">
        <v>25140</v>
      </c>
      <c r="C10113" s="27" t="s">
        <v>144</v>
      </c>
      <c r="D10113" s="26"/>
      <c r="E10113" s="27"/>
      <c r="F10113" s="27"/>
      <c r="G10113" s="27" t="s">
        <v>11122</v>
      </c>
      <c r="H10113" s="27" t="s">
        <v>35</v>
      </c>
      <c r="I10113" s="27" t="s">
        <v>38</v>
      </c>
      <c r="J10113" s="28" t="s">
        <v>913</v>
      </c>
      <c r="K10113" s="27" t="s">
        <v>38</v>
      </c>
      <c r="L10113" s="27"/>
    </row>
    <row r="10114" customFormat="false" ht="15" hidden="false" customHeight="false" outlineLevel="0" collapsed="false">
      <c r="A10114" s="26" t="s">
        <v>25141</v>
      </c>
      <c r="B10114" s="27" t="s">
        <v>25142</v>
      </c>
      <c r="C10114" s="27" t="s">
        <v>144</v>
      </c>
      <c r="D10114" s="26"/>
      <c r="E10114" s="27"/>
      <c r="F10114" s="27"/>
      <c r="G10114" s="27" t="s">
        <v>11122</v>
      </c>
      <c r="H10114" s="27" t="s">
        <v>35</v>
      </c>
      <c r="I10114" s="27" t="s">
        <v>38</v>
      </c>
      <c r="J10114" s="28" t="s">
        <v>913</v>
      </c>
      <c r="K10114" s="27" t="s">
        <v>38</v>
      </c>
      <c r="L10114" s="27"/>
    </row>
    <row r="10115" customFormat="false" ht="15" hidden="false" customHeight="false" outlineLevel="0" collapsed="false">
      <c r="A10115" s="26" t="s">
        <v>25143</v>
      </c>
      <c r="B10115" s="27" t="s">
        <v>25144</v>
      </c>
      <c r="C10115" s="27" t="s">
        <v>144</v>
      </c>
      <c r="D10115" s="26"/>
      <c r="E10115" s="27"/>
      <c r="F10115" s="27"/>
      <c r="G10115" s="27" t="s">
        <v>11122</v>
      </c>
      <c r="H10115" s="27" t="s">
        <v>35</v>
      </c>
      <c r="I10115" s="27" t="s">
        <v>38</v>
      </c>
      <c r="J10115" s="28" t="s">
        <v>913</v>
      </c>
      <c r="K10115" s="27" t="s">
        <v>38</v>
      </c>
      <c r="L10115" s="27"/>
    </row>
    <row r="10116" customFormat="false" ht="15" hidden="false" customHeight="false" outlineLevel="0" collapsed="false">
      <c r="A10116" s="26" t="s">
        <v>25145</v>
      </c>
      <c r="B10116" s="27" t="s">
        <v>25146</v>
      </c>
      <c r="C10116" s="27" t="s">
        <v>144</v>
      </c>
      <c r="D10116" s="26"/>
      <c r="E10116" s="27"/>
      <c r="F10116" s="27"/>
      <c r="G10116" s="27" t="s">
        <v>11122</v>
      </c>
      <c r="H10116" s="27" t="s">
        <v>35</v>
      </c>
      <c r="I10116" s="27" t="s">
        <v>38</v>
      </c>
      <c r="J10116" s="28" t="s">
        <v>913</v>
      </c>
      <c r="K10116" s="27" t="s">
        <v>38</v>
      </c>
      <c r="L10116" s="27"/>
    </row>
    <row r="10117" customFormat="false" ht="15" hidden="false" customHeight="false" outlineLevel="0" collapsed="false">
      <c r="A10117" s="26" t="s">
        <v>25147</v>
      </c>
      <c r="B10117" s="27" t="s">
        <v>25148</v>
      </c>
      <c r="C10117" s="27" t="s">
        <v>144</v>
      </c>
      <c r="D10117" s="26"/>
      <c r="E10117" s="27"/>
      <c r="F10117" s="27"/>
      <c r="G10117" s="27" t="s">
        <v>11122</v>
      </c>
      <c r="H10117" s="27" t="s">
        <v>35</v>
      </c>
      <c r="I10117" s="27" t="s">
        <v>41</v>
      </c>
      <c r="J10117" s="28" t="s">
        <v>913</v>
      </c>
      <c r="K10117" s="27" t="s">
        <v>38</v>
      </c>
      <c r="L10117" s="27"/>
    </row>
    <row r="10118" customFormat="false" ht="15" hidden="false" customHeight="false" outlineLevel="0" collapsed="false">
      <c r="A10118" s="26" t="s">
        <v>25149</v>
      </c>
      <c r="B10118" s="27" t="s">
        <v>25150</v>
      </c>
      <c r="C10118" s="27" t="s">
        <v>144</v>
      </c>
      <c r="D10118" s="26"/>
      <c r="E10118" s="27"/>
      <c r="F10118" s="27"/>
      <c r="G10118" s="27" t="s">
        <v>11122</v>
      </c>
      <c r="H10118" s="27" t="s">
        <v>35</v>
      </c>
      <c r="I10118" s="27" t="s">
        <v>38</v>
      </c>
      <c r="J10118" s="28" t="s">
        <v>913</v>
      </c>
      <c r="K10118" s="27" t="s">
        <v>38</v>
      </c>
      <c r="L10118" s="27"/>
    </row>
    <row r="10119" customFormat="false" ht="15" hidden="false" customHeight="false" outlineLevel="0" collapsed="false">
      <c r="A10119" s="26" t="s">
        <v>25151</v>
      </c>
      <c r="B10119" s="27" t="s">
        <v>25152</v>
      </c>
      <c r="C10119" s="27" t="s">
        <v>144</v>
      </c>
      <c r="D10119" s="26"/>
      <c r="E10119" s="27"/>
      <c r="F10119" s="27"/>
      <c r="G10119" s="27" t="s">
        <v>11122</v>
      </c>
      <c r="H10119" s="27" t="s">
        <v>35</v>
      </c>
      <c r="I10119" s="27" t="s">
        <v>41</v>
      </c>
      <c r="J10119" s="28" t="s">
        <v>913</v>
      </c>
      <c r="K10119" s="27" t="s">
        <v>38</v>
      </c>
      <c r="L10119" s="27"/>
    </row>
    <row r="10120" customFormat="false" ht="15" hidden="false" customHeight="false" outlineLevel="0" collapsed="false">
      <c r="A10120" s="26" t="s">
        <v>25153</v>
      </c>
      <c r="B10120" s="27" t="s">
        <v>25154</v>
      </c>
      <c r="C10120" s="27" t="s">
        <v>144</v>
      </c>
      <c r="D10120" s="26"/>
      <c r="E10120" s="27"/>
      <c r="F10120" s="27"/>
      <c r="G10120" s="27" t="s">
        <v>11122</v>
      </c>
      <c r="H10120" s="27" t="s">
        <v>35</v>
      </c>
      <c r="I10120" s="27" t="s">
        <v>41</v>
      </c>
      <c r="J10120" s="28" t="s">
        <v>913</v>
      </c>
      <c r="K10120" s="27" t="s">
        <v>38</v>
      </c>
      <c r="L10120" s="27"/>
    </row>
    <row r="10121" customFormat="false" ht="15" hidden="false" customHeight="false" outlineLevel="0" collapsed="false">
      <c r="A10121" s="26" t="s">
        <v>25155</v>
      </c>
      <c r="B10121" s="27" t="s">
        <v>25156</v>
      </c>
      <c r="C10121" s="27" t="s">
        <v>144</v>
      </c>
      <c r="D10121" s="26"/>
      <c r="E10121" s="27"/>
      <c r="F10121" s="27"/>
      <c r="G10121" s="27" t="s">
        <v>11122</v>
      </c>
      <c r="H10121" s="27" t="s">
        <v>35</v>
      </c>
      <c r="I10121" s="27" t="s">
        <v>37</v>
      </c>
      <c r="J10121" s="28" t="s">
        <v>913</v>
      </c>
      <c r="K10121" s="27" t="s">
        <v>38</v>
      </c>
      <c r="L10121" s="27"/>
    </row>
    <row r="10122" customFormat="false" ht="15" hidden="false" customHeight="false" outlineLevel="0" collapsed="false">
      <c r="A10122" s="26" t="s">
        <v>25157</v>
      </c>
      <c r="B10122" s="27" t="s">
        <v>25158</v>
      </c>
      <c r="C10122" s="27" t="s">
        <v>144</v>
      </c>
      <c r="D10122" s="26"/>
      <c r="E10122" s="27"/>
      <c r="F10122" s="27"/>
      <c r="G10122" s="27" t="s">
        <v>11122</v>
      </c>
      <c r="H10122" s="27" t="s">
        <v>35</v>
      </c>
      <c r="I10122" s="27" t="s">
        <v>41</v>
      </c>
      <c r="J10122" s="28" t="s">
        <v>913</v>
      </c>
      <c r="K10122" s="27" t="s">
        <v>38</v>
      </c>
      <c r="L10122" s="27"/>
    </row>
    <row r="10123" customFormat="false" ht="15" hidden="false" customHeight="false" outlineLevel="0" collapsed="false">
      <c r="A10123" s="26" t="s">
        <v>25159</v>
      </c>
      <c r="B10123" s="27" t="s">
        <v>25160</v>
      </c>
      <c r="C10123" s="27" t="s">
        <v>144</v>
      </c>
      <c r="D10123" s="26"/>
      <c r="E10123" s="27"/>
      <c r="F10123" s="27"/>
      <c r="G10123" s="27" t="s">
        <v>11122</v>
      </c>
      <c r="H10123" s="27" t="s">
        <v>35</v>
      </c>
      <c r="I10123" s="27" t="s">
        <v>38</v>
      </c>
      <c r="J10123" s="28" t="s">
        <v>913</v>
      </c>
      <c r="K10123" s="27" t="s">
        <v>38</v>
      </c>
      <c r="L10123" s="27"/>
    </row>
    <row r="10124" customFormat="false" ht="15" hidden="false" customHeight="false" outlineLevel="0" collapsed="false">
      <c r="A10124" s="26" t="s">
        <v>25161</v>
      </c>
      <c r="B10124" s="27" t="s">
        <v>25162</v>
      </c>
      <c r="C10124" s="27" t="s">
        <v>144</v>
      </c>
      <c r="D10124" s="26"/>
      <c r="E10124" s="27"/>
      <c r="F10124" s="27"/>
      <c r="G10124" s="27" t="s">
        <v>11122</v>
      </c>
      <c r="H10124" s="27" t="s">
        <v>35</v>
      </c>
      <c r="I10124" s="27" t="s">
        <v>38</v>
      </c>
      <c r="J10124" s="28" t="s">
        <v>913</v>
      </c>
      <c r="K10124" s="27" t="s">
        <v>38</v>
      </c>
      <c r="L10124" s="27"/>
    </row>
    <row r="10125" customFormat="false" ht="15" hidden="false" customHeight="false" outlineLevel="0" collapsed="false">
      <c r="A10125" s="26" t="s">
        <v>25163</v>
      </c>
      <c r="B10125" s="27" t="s">
        <v>25164</v>
      </c>
      <c r="C10125" s="27" t="s">
        <v>144</v>
      </c>
      <c r="D10125" s="26"/>
      <c r="E10125" s="27"/>
      <c r="F10125" s="27"/>
      <c r="G10125" s="27" t="s">
        <v>11122</v>
      </c>
      <c r="H10125" s="27" t="s">
        <v>35</v>
      </c>
      <c r="I10125" s="27" t="s">
        <v>38</v>
      </c>
      <c r="J10125" s="28" t="s">
        <v>913</v>
      </c>
      <c r="K10125" s="27" t="s">
        <v>38</v>
      </c>
      <c r="L10125" s="27"/>
    </row>
    <row r="10126" customFormat="false" ht="15" hidden="false" customHeight="false" outlineLevel="0" collapsed="false">
      <c r="A10126" s="26" t="s">
        <v>25165</v>
      </c>
      <c r="B10126" s="27" t="s">
        <v>25166</v>
      </c>
      <c r="C10126" s="27" t="s">
        <v>144</v>
      </c>
      <c r="D10126" s="26"/>
      <c r="E10126" s="27"/>
      <c r="F10126" s="27"/>
      <c r="G10126" s="27" t="s">
        <v>11122</v>
      </c>
      <c r="H10126" s="27" t="s">
        <v>35</v>
      </c>
      <c r="I10126" s="27" t="s">
        <v>38</v>
      </c>
      <c r="J10126" s="28" t="s">
        <v>913</v>
      </c>
      <c r="K10126" s="27" t="s">
        <v>38</v>
      </c>
      <c r="L10126" s="27"/>
    </row>
    <row r="10127" customFormat="false" ht="15" hidden="false" customHeight="false" outlineLevel="0" collapsed="false">
      <c r="A10127" s="26" t="s">
        <v>25167</v>
      </c>
      <c r="B10127" s="27" t="s">
        <v>25168</v>
      </c>
      <c r="C10127" s="27" t="s">
        <v>144</v>
      </c>
      <c r="D10127" s="26"/>
      <c r="E10127" s="27"/>
      <c r="F10127" s="27"/>
      <c r="G10127" s="27" t="s">
        <v>11122</v>
      </c>
      <c r="H10127" s="27" t="s">
        <v>35</v>
      </c>
      <c r="I10127" s="27" t="s">
        <v>38</v>
      </c>
      <c r="J10127" s="28" t="s">
        <v>913</v>
      </c>
      <c r="K10127" s="27" t="s">
        <v>38</v>
      </c>
      <c r="L10127" s="27"/>
    </row>
    <row r="10128" customFormat="false" ht="15" hidden="false" customHeight="false" outlineLevel="0" collapsed="false">
      <c r="A10128" s="26" t="s">
        <v>25169</v>
      </c>
      <c r="B10128" s="27" t="s">
        <v>25170</v>
      </c>
      <c r="C10128" s="27" t="s">
        <v>144</v>
      </c>
      <c r="D10128" s="26"/>
      <c r="E10128" s="27"/>
      <c r="F10128" s="27"/>
      <c r="G10128" s="27" t="s">
        <v>11122</v>
      </c>
      <c r="H10128" s="27" t="s">
        <v>35</v>
      </c>
      <c r="I10128" s="27" t="s">
        <v>40</v>
      </c>
      <c r="J10128" s="28" t="s">
        <v>913</v>
      </c>
      <c r="K10128" s="27" t="s">
        <v>38</v>
      </c>
      <c r="L10128" s="27"/>
    </row>
    <row r="10129" customFormat="false" ht="15" hidden="false" customHeight="false" outlineLevel="0" collapsed="false">
      <c r="A10129" s="26" t="s">
        <v>25171</v>
      </c>
      <c r="B10129" s="27" t="s">
        <v>25172</v>
      </c>
      <c r="C10129" s="27" t="s">
        <v>144</v>
      </c>
      <c r="D10129" s="26"/>
      <c r="E10129" s="27"/>
      <c r="F10129" s="27"/>
      <c r="G10129" s="27" t="s">
        <v>11122</v>
      </c>
      <c r="H10129" s="27" t="s">
        <v>35</v>
      </c>
      <c r="I10129" s="27" t="s">
        <v>41</v>
      </c>
      <c r="J10129" s="28" t="s">
        <v>913</v>
      </c>
      <c r="K10129" s="27" t="s">
        <v>38</v>
      </c>
      <c r="L10129" s="27"/>
    </row>
    <row r="10130" customFormat="false" ht="15" hidden="false" customHeight="false" outlineLevel="0" collapsed="false">
      <c r="A10130" s="26" t="s">
        <v>25173</v>
      </c>
      <c r="B10130" s="27" t="s">
        <v>25174</v>
      </c>
      <c r="C10130" s="27" t="s">
        <v>144</v>
      </c>
      <c r="D10130" s="26"/>
      <c r="E10130" s="27"/>
      <c r="F10130" s="27"/>
      <c r="G10130" s="27" t="s">
        <v>11122</v>
      </c>
      <c r="H10130" s="27" t="s">
        <v>35</v>
      </c>
      <c r="I10130" s="27" t="s">
        <v>48</v>
      </c>
      <c r="J10130" s="28" t="s">
        <v>913</v>
      </c>
      <c r="K10130" s="27" t="s">
        <v>38</v>
      </c>
      <c r="L10130" s="27"/>
    </row>
    <row r="10131" customFormat="false" ht="15" hidden="false" customHeight="false" outlineLevel="0" collapsed="false">
      <c r="A10131" s="26" t="s">
        <v>25175</v>
      </c>
      <c r="B10131" s="27" t="s">
        <v>25176</v>
      </c>
      <c r="C10131" s="27" t="s">
        <v>144</v>
      </c>
      <c r="D10131" s="26"/>
      <c r="E10131" s="27"/>
      <c r="F10131" s="27"/>
      <c r="G10131" s="27" t="s">
        <v>11122</v>
      </c>
      <c r="H10131" s="27" t="s">
        <v>35</v>
      </c>
      <c r="I10131" s="27" t="s">
        <v>38</v>
      </c>
      <c r="J10131" s="28" t="s">
        <v>913</v>
      </c>
      <c r="K10131" s="27" t="s">
        <v>38</v>
      </c>
      <c r="L10131" s="27"/>
    </row>
    <row r="10132" customFormat="false" ht="15" hidden="false" customHeight="false" outlineLevel="0" collapsed="false">
      <c r="A10132" s="26" t="s">
        <v>25177</v>
      </c>
      <c r="B10132" s="27" t="s">
        <v>25178</v>
      </c>
      <c r="C10132" s="27" t="s">
        <v>144</v>
      </c>
      <c r="D10132" s="26"/>
      <c r="E10132" s="27"/>
      <c r="F10132" s="27"/>
      <c r="G10132" s="27" t="s">
        <v>11122</v>
      </c>
      <c r="H10132" s="27" t="s">
        <v>35</v>
      </c>
      <c r="I10132" s="27" t="s">
        <v>38</v>
      </c>
      <c r="J10132" s="28" t="s">
        <v>913</v>
      </c>
      <c r="K10132" s="27" t="s">
        <v>38</v>
      </c>
      <c r="L10132" s="27"/>
    </row>
    <row r="10133" customFormat="false" ht="15" hidden="false" customHeight="false" outlineLevel="0" collapsed="false">
      <c r="A10133" s="26" t="s">
        <v>25179</v>
      </c>
      <c r="B10133" s="27" t="s">
        <v>25180</v>
      </c>
      <c r="C10133" s="27" t="s">
        <v>144</v>
      </c>
      <c r="D10133" s="26"/>
      <c r="E10133" s="27"/>
      <c r="F10133" s="27"/>
      <c r="G10133" s="27" t="s">
        <v>11122</v>
      </c>
      <c r="H10133" s="27" t="s">
        <v>35</v>
      </c>
      <c r="I10133" s="27" t="s">
        <v>37</v>
      </c>
      <c r="J10133" s="28" t="s">
        <v>913</v>
      </c>
      <c r="K10133" s="27" t="s">
        <v>38</v>
      </c>
      <c r="L10133" s="27"/>
    </row>
    <row r="10134" customFormat="false" ht="15" hidden="false" customHeight="false" outlineLevel="0" collapsed="false">
      <c r="A10134" s="26" t="s">
        <v>25181</v>
      </c>
      <c r="B10134" s="27" t="s">
        <v>25182</v>
      </c>
      <c r="C10134" s="27" t="s">
        <v>144</v>
      </c>
      <c r="D10134" s="26"/>
      <c r="E10134" s="27"/>
      <c r="F10134" s="27"/>
      <c r="G10134" s="27" t="s">
        <v>11122</v>
      </c>
      <c r="H10134" s="27" t="s">
        <v>35</v>
      </c>
      <c r="I10134" s="27" t="s">
        <v>38</v>
      </c>
      <c r="J10134" s="28" t="s">
        <v>913</v>
      </c>
      <c r="K10134" s="27" t="s">
        <v>38</v>
      </c>
      <c r="L10134" s="27"/>
    </row>
    <row r="10135" customFormat="false" ht="15" hidden="false" customHeight="false" outlineLevel="0" collapsed="false">
      <c r="A10135" s="26" t="s">
        <v>25183</v>
      </c>
      <c r="B10135" s="27" t="s">
        <v>25184</v>
      </c>
      <c r="C10135" s="27" t="s">
        <v>144</v>
      </c>
      <c r="D10135" s="26"/>
      <c r="E10135" s="27"/>
      <c r="F10135" s="27"/>
      <c r="G10135" s="27" t="s">
        <v>11122</v>
      </c>
      <c r="H10135" s="27" t="s">
        <v>35</v>
      </c>
      <c r="I10135" s="27" t="s">
        <v>37</v>
      </c>
      <c r="J10135" s="28" t="s">
        <v>913</v>
      </c>
      <c r="K10135" s="27" t="s">
        <v>38</v>
      </c>
      <c r="L10135" s="27"/>
    </row>
    <row r="10136" customFormat="false" ht="15" hidden="false" customHeight="false" outlineLevel="0" collapsed="false">
      <c r="A10136" s="26" t="s">
        <v>25185</v>
      </c>
      <c r="B10136" s="27" t="s">
        <v>25186</v>
      </c>
      <c r="C10136" s="27" t="s">
        <v>144</v>
      </c>
      <c r="D10136" s="26"/>
      <c r="E10136" s="27"/>
      <c r="F10136" s="27"/>
      <c r="G10136" s="27" t="s">
        <v>11122</v>
      </c>
      <c r="H10136" s="27" t="s">
        <v>35</v>
      </c>
      <c r="I10136" s="27" t="s">
        <v>37</v>
      </c>
      <c r="J10136" s="28" t="s">
        <v>913</v>
      </c>
      <c r="K10136" s="27" t="s">
        <v>38</v>
      </c>
      <c r="L10136" s="27"/>
    </row>
    <row r="10137" customFormat="false" ht="15" hidden="false" customHeight="false" outlineLevel="0" collapsed="false">
      <c r="A10137" s="26" t="s">
        <v>25187</v>
      </c>
      <c r="B10137" s="27" t="s">
        <v>25188</v>
      </c>
      <c r="C10137" s="27" t="s">
        <v>144</v>
      </c>
      <c r="D10137" s="26"/>
      <c r="E10137" s="27"/>
      <c r="F10137" s="27"/>
      <c r="G10137" s="27" t="s">
        <v>11122</v>
      </c>
      <c r="H10137" s="27" t="s">
        <v>35</v>
      </c>
      <c r="I10137" s="27" t="s">
        <v>37</v>
      </c>
      <c r="J10137" s="28" t="s">
        <v>913</v>
      </c>
      <c r="K10137" s="27" t="s">
        <v>38</v>
      </c>
      <c r="L10137" s="27"/>
    </row>
    <row r="10138" customFormat="false" ht="15" hidden="false" customHeight="false" outlineLevel="0" collapsed="false">
      <c r="A10138" s="26" t="s">
        <v>25189</v>
      </c>
      <c r="B10138" s="27" t="s">
        <v>25190</v>
      </c>
      <c r="C10138" s="27" t="s">
        <v>144</v>
      </c>
      <c r="D10138" s="26"/>
      <c r="E10138" s="27"/>
      <c r="F10138" s="27"/>
      <c r="G10138" s="27" t="s">
        <v>11122</v>
      </c>
      <c r="H10138" s="27" t="s">
        <v>35</v>
      </c>
      <c r="I10138" s="27" t="s">
        <v>37</v>
      </c>
      <c r="J10138" s="28" t="s">
        <v>913</v>
      </c>
      <c r="K10138" s="27" t="s">
        <v>38</v>
      </c>
      <c r="L10138" s="27"/>
    </row>
    <row r="10139" customFormat="false" ht="15" hidden="false" customHeight="false" outlineLevel="0" collapsed="false">
      <c r="A10139" s="26" t="s">
        <v>25191</v>
      </c>
      <c r="B10139" s="27" t="s">
        <v>25192</v>
      </c>
      <c r="C10139" s="27" t="s">
        <v>144</v>
      </c>
      <c r="D10139" s="26"/>
      <c r="E10139" s="27"/>
      <c r="F10139" s="27"/>
      <c r="G10139" s="27" t="s">
        <v>11122</v>
      </c>
      <c r="H10139" s="27" t="s">
        <v>35</v>
      </c>
      <c r="I10139" s="27" t="s">
        <v>37</v>
      </c>
      <c r="J10139" s="28" t="s">
        <v>913</v>
      </c>
      <c r="K10139" s="27" t="s">
        <v>38</v>
      </c>
      <c r="L10139" s="27"/>
    </row>
    <row r="10140" customFormat="false" ht="15" hidden="false" customHeight="false" outlineLevel="0" collapsed="false">
      <c r="A10140" s="26" t="s">
        <v>25193</v>
      </c>
      <c r="B10140" s="27" t="s">
        <v>25194</v>
      </c>
      <c r="C10140" s="27" t="s">
        <v>144</v>
      </c>
      <c r="D10140" s="26"/>
      <c r="E10140" s="27"/>
      <c r="F10140" s="27"/>
      <c r="G10140" s="27" t="s">
        <v>11122</v>
      </c>
      <c r="H10140" s="27" t="s">
        <v>35</v>
      </c>
      <c r="I10140" s="27" t="s">
        <v>38</v>
      </c>
      <c r="J10140" s="28" t="s">
        <v>913</v>
      </c>
      <c r="K10140" s="27" t="s">
        <v>38</v>
      </c>
      <c r="L10140" s="27"/>
    </row>
    <row r="10141" customFormat="false" ht="15" hidden="false" customHeight="false" outlineLevel="0" collapsed="false">
      <c r="A10141" s="26" t="s">
        <v>25195</v>
      </c>
      <c r="B10141" s="27" t="s">
        <v>25196</v>
      </c>
      <c r="C10141" s="27" t="s">
        <v>144</v>
      </c>
      <c r="D10141" s="26"/>
      <c r="E10141" s="27"/>
      <c r="F10141" s="27"/>
      <c r="G10141" s="27" t="s">
        <v>11122</v>
      </c>
      <c r="H10141" s="27" t="s">
        <v>35</v>
      </c>
      <c r="I10141" s="27" t="s">
        <v>38</v>
      </c>
      <c r="J10141" s="28" t="s">
        <v>913</v>
      </c>
      <c r="K10141" s="27" t="s">
        <v>38</v>
      </c>
      <c r="L10141" s="27"/>
    </row>
    <row r="10142" customFormat="false" ht="15" hidden="false" customHeight="false" outlineLevel="0" collapsed="false">
      <c r="A10142" s="26" t="s">
        <v>25197</v>
      </c>
      <c r="B10142" s="27" t="s">
        <v>25198</v>
      </c>
      <c r="C10142" s="27" t="s">
        <v>144</v>
      </c>
      <c r="D10142" s="26"/>
      <c r="E10142" s="27"/>
      <c r="F10142" s="27"/>
      <c r="G10142" s="27" t="s">
        <v>11122</v>
      </c>
      <c r="H10142" s="27" t="s">
        <v>35</v>
      </c>
      <c r="I10142" s="27" t="s">
        <v>47</v>
      </c>
      <c r="J10142" s="28" t="s">
        <v>913</v>
      </c>
      <c r="K10142" s="27" t="s">
        <v>38</v>
      </c>
      <c r="L10142" s="27"/>
    </row>
    <row r="10143" customFormat="false" ht="15" hidden="false" customHeight="false" outlineLevel="0" collapsed="false">
      <c r="A10143" s="26" t="s">
        <v>25199</v>
      </c>
      <c r="B10143" s="27" t="s">
        <v>25200</v>
      </c>
      <c r="C10143" s="27" t="s">
        <v>144</v>
      </c>
      <c r="D10143" s="26"/>
      <c r="E10143" s="27"/>
      <c r="F10143" s="27"/>
      <c r="G10143" s="27" t="s">
        <v>11122</v>
      </c>
      <c r="H10143" s="27" t="s">
        <v>35</v>
      </c>
      <c r="I10143" s="27" t="s">
        <v>37</v>
      </c>
      <c r="J10143" s="28" t="s">
        <v>913</v>
      </c>
      <c r="K10143" s="27" t="s">
        <v>38</v>
      </c>
      <c r="L10143" s="27"/>
    </row>
    <row r="10144" customFormat="false" ht="15" hidden="false" customHeight="false" outlineLevel="0" collapsed="false">
      <c r="A10144" s="26" t="s">
        <v>25201</v>
      </c>
      <c r="B10144" s="27" t="s">
        <v>25202</v>
      </c>
      <c r="C10144" s="27" t="s">
        <v>144</v>
      </c>
      <c r="D10144" s="26"/>
      <c r="E10144" s="27"/>
      <c r="F10144" s="27"/>
      <c r="G10144" s="27" t="s">
        <v>11122</v>
      </c>
      <c r="H10144" s="27" t="s">
        <v>35</v>
      </c>
      <c r="I10144" s="27" t="s">
        <v>37</v>
      </c>
      <c r="J10144" s="28" t="s">
        <v>913</v>
      </c>
      <c r="K10144" s="27" t="s">
        <v>38</v>
      </c>
      <c r="L10144" s="27"/>
    </row>
    <row r="10145" customFormat="false" ht="15" hidden="false" customHeight="false" outlineLevel="0" collapsed="false">
      <c r="A10145" s="26" t="s">
        <v>25203</v>
      </c>
      <c r="B10145" s="27" t="s">
        <v>25204</v>
      </c>
      <c r="C10145" s="27" t="s">
        <v>144</v>
      </c>
      <c r="D10145" s="26"/>
      <c r="E10145" s="27"/>
      <c r="F10145" s="27"/>
      <c r="G10145" s="27" t="s">
        <v>11122</v>
      </c>
      <c r="H10145" s="27" t="s">
        <v>35</v>
      </c>
      <c r="I10145" s="27" t="s">
        <v>37</v>
      </c>
      <c r="J10145" s="28" t="s">
        <v>913</v>
      </c>
      <c r="K10145" s="27" t="s">
        <v>38</v>
      </c>
      <c r="L10145" s="27"/>
    </row>
    <row r="10146" customFormat="false" ht="15" hidden="false" customHeight="false" outlineLevel="0" collapsed="false">
      <c r="A10146" s="26" t="s">
        <v>25205</v>
      </c>
      <c r="B10146" s="27" t="s">
        <v>25206</v>
      </c>
      <c r="C10146" s="27" t="s">
        <v>144</v>
      </c>
      <c r="D10146" s="26"/>
      <c r="E10146" s="27"/>
      <c r="F10146" s="27"/>
      <c r="G10146" s="27" t="s">
        <v>11122</v>
      </c>
      <c r="H10146" s="27" t="s">
        <v>35</v>
      </c>
      <c r="I10146" s="27" t="s">
        <v>37</v>
      </c>
      <c r="J10146" s="28" t="s">
        <v>913</v>
      </c>
      <c r="K10146" s="27" t="s">
        <v>38</v>
      </c>
      <c r="L10146" s="27"/>
    </row>
    <row r="10147" customFormat="false" ht="15" hidden="false" customHeight="false" outlineLevel="0" collapsed="false">
      <c r="A10147" s="26" t="s">
        <v>25207</v>
      </c>
      <c r="B10147" s="27" t="s">
        <v>25208</v>
      </c>
      <c r="C10147" s="27" t="s">
        <v>144</v>
      </c>
      <c r="D10147" s="26"/>
      <c r="E10147" s="27"/>
      <c r="F10147" s="27"/>
      <c r="G10147" s="27" t="s">
        <v>11122</v>
      </c>
      <c r="H10147" s="27" t="s">
        <v>35</v>
      </c>
      <c r="I10147" s="27" t="s">
        <v>38</v>
      </c>
      <c r="J10147" s="28" t="s">
        <v>913</v>
      </c>
      <c r="K10147" s="27" t="s">
        <v>38</v>
      </c>
      <c r="L10147" s="27"/>
    </row>
    <row r="10148" customFormat="false" ht="15" hidden="false" customHeight="false" outlineLevel="0" collapsed="false">
      <c r="A10148" s="26" t="s">
        <v>25209</v>
      </c>
      <c r="B10148" s="27" t="s">
        <v>25210</v>
      </c>
      <c r="C10148" s="27" t="s">
        <v>144</v>
      </c>
      <c r="D10148" s="26"/>
      <c r="E10148" s="27"/>
      <c r="F10148" s="27"/>
      <c r="G10148" s="27" t="s">
        <v>11122</v>
      </c>
      <c r="H10148" s="27" t="s">
        <v>35</v>
      </c>
      <c r="I10148" s="27" t="s">
        <v>38</v>
      </c>
      <c r="J10148" s="28" t="s">
        <v>913</v>
      </c>
      <c r="K10148" s="27" t="s">
        <v>38</v>
      </c>
      <c r="L10148" s="27"/>
    </row>
    <row r="10149" customFormat="false" ht="15" hidden="false" customHeight="false" outlineLevel="0" collapsed="false">
      <c r="A10149" s="26" t="s">
        <v>25211</v>
      </c>
      <c r="B10149" s="27" t="s">
        <v>25212</v>
      </c>
      <c r="C10149" s="27" t="s">
        <v>144</v>
      </c>
      <c r="D10149" s="26"/>
      <c r="E10149" s="27"/>
      <c r="F10149" s="27"/>
      <c r="G10149" s="27" t="s">
        <v>11122</v>
      </c>
      <c r="H10149" s="27" t="s">
        <v>35</v>
      </c>
      <c r="I10149" s="27" t="s">
        <v>38</v>
      </c>
      <c r="J10149" s="28" t="s">
        <v>913</v>
      </c>
      <c r="K10149" s="27" t="s">
        <v>38</v>
      </c>
      <c r="L10149" s="27"/>
    </row>
    <row r="10150" customFormat="false" ht="15" hidden="false" customHeight="false" outlineLevel="0" collapsed="false">
      <c r="A10150" s="26" t="s">
        <v>25213</v>
      </c>
      <c r="B10150" s="27" t="s">
        <v>25214</v>
      </c>
      <c r="C10150" s="27" t="s">
        <v>144</v>
      </c>
      <c r="D10150" s="26"/>
      <c r="E10150" s="27"/>
      <c r="F10150" s="27"/>
      <c r="G10150" s="27" t="s">
        <v>11122</v>
      </c>
      <c r="H10150" s="27" t="s">
        <v>35</v>
      </c>
      <c r="I10150" s="27" t="s">
        <v>37</v>
      </c>
      <c r="J10150" s="28" t="s">
        <v>913</v>
      </c>
      <c r="K10150" s="27" t="s">
        <v>38</v>
      </c>
      <c r="L10150" s="27"/>
    </row>
    <row r="10151" customFormat="false" ht="15" hidden="false" customHeight="false" outlineLevel="0" collapsed="false">
      <c r="A10151" s="26" t="s">
        <v>25215</v>
      </c>
      <c r="B10151" s="27" t="s">
        <v>25216</v>
      </c>
      <c r="C10151" s="27" t="s">
        <v>1845</v>
      </c>
      <c r="D10151" s="26"/>
      <c r="E10151" s="27"/>
      <c r="F10151" s="27"/>
      <c r="G10151" s="27" t="s">
        <v>11122</v>
      </c>
      <c r="H10151" s="27" t="s">
        <v>35</v>
      </c>
      <c r="I10151" s="27" t="s">
        <v>38</v>
      </c>
      <c r="J10151" s="28" t="s">
        <v>913</v>
      </c>
      <c r="K10151" s="27" t="s">
        <v>38</v>
      </c>
      <c r="L10151" s="27"/>
    </row>
    <row r="10152" customFormat="false" ht="15" hidden="false" customHeight="false" outlineLevel="0" collapsed="false">
      <c r="A10152" s="26" t="s">
        <v>25217</v>
      </c>
      <c r="B10152" s="27" t="s">
        <v>25218</v>
      </c>
      <c r="C10152" s="27" t="s">
        <v>144</v>
      </c>
      <c r="D10152" s="26"/>
      <c r="E10152" s="27"/>
      <c r="F10152" s="27"/>
      <c r="G10152" s="27" t="s">
        <v>11122</v>
      </c>
      <c r="H10152" s="27" t="s">
        <v>35</v>
      </c>
      <c r="I10152" s="28" t="s">
        <v>50</v>
      </c>
      <c r="J10152" s="28" t="s">
        <v>913</v>
      </c>
      <c r="K10152" s="27" t="s">
        <v>38</v>
      </c>
      <c r="L10152" s="27"/>
    </row>
    <row r="10153" customFormat="false" ht="15" hidden="false" customHeight="false" outlineLevel="0" collapsed="false">
      <c r="A10153" s="26" t="s">
        <v>25219</v>
      </c>
      <c r="B10153" s="27" t="s">
        <v>25220</v>
      </c>
      <c r="C10153" s="27" t="s">
        <v>144</v>
      </c>
      <c r="D10153" s="26"/>
      <c r="E10153" s="27"/>
      <c r="F10153" s="27"/>
      <c r="G10153" s="27" t="s">
        <v>11122</v>
      </c>
      <c r="H10153" s="27" t="s">
        <v>35</v>
      </c>
      <c r="I10153" s="27" t="s">
        <v>39</v>
      </c>
      <c r="J10153" s="28" t="s">
        <v>913</v>
      </c>
      <c r="K10153" s="27" t="s">
        <v>38</v>
      </c>
      <c r="L10153" s="27"/>
    </row>
    <row r="10154" customFormat="false" ht="15" hidden="false" customHeight="false" outlineLevel="0" collapsed="false">
      <c r="A10154" s="26" t="s">
        <v>25221</v>
      </c>
      <c r="B10154" s="27" t="s">
        <v>25222</v>
      </c>
      <c r="C10154" s="27" t="s">
        <v>144</v>
      </c>
      <c r="D10154" s="26"/>
      <c r="E10154" s="27"/>
      <c r="F10154" s="27"/>
      <c r="G10154" s="27" t="s">
        <v>11122</v>
      </c>
      <c r="H10154" s="27" t="s">
        <v>35</v>
      </c>
      <c r="I10154" s="27" t="s">
        <v>39</v>
      </c>
      <c r="J10154" s="28" t="s">
        <v>913</v>
      </c>
      <c r="K10154" s="27" t="s">
        <v>38</v>
      </c>
      <c r="L10154" s="27"/>
    </row>
    <row r="10155" customFormat="false" ht="15" hidden="false" customHeight="false" outlineLevel="0" collapsed="false">
      <c r="A10155" s="26" t="s">
        <v>25223</v>
      </c>
      <c r="B10155" s="27" t="s">
        <v>25224</v>
      </c>
      <c r="C10155" s="27" t="s">
        <v>144</v>
      </c>
      <c r="D10155" s="26"/>
      <c r="E10155" s="27"/>
      <c r="F10155" s="27"/>
      <c r="G10155" s="27" t="s">
        <v>11122</v>
      </c>
      <c r="H10155" s="27" t="s">
        <v>35</v>
      </c>
      <c r="I10155" s="28" t="s">
        <v>50</v>
      </c>
      <c r="J10155" s="28" t="s">
        <v>913</v>
      </c>
      <c r="K10155" s="27" t="s">
        <v>38</v>
      </c>
      <c r="L10155" s="27"/>
    </row>
    <row r="10156" customFormat="false" ht="15" hidden="false" customHeight="false" outlineLevel="0" collapsed="false">
      <c r="A10156" s="26" t="s">
        <v>25225</v>
      </c>
      <c r="B10156" s="27" t="s">
        <v>25226</v>
      </c>
      <c r="C10156" s="27" t="s">
        <v>144</v>
      </c>
      <c r="D10156" s="26"/>
      <c r="E10156" s="27"/>
      <c r="F10156" s="27"/>
      <c r="G10156" s="27" t="s">
        <v>11122</v>
      </c>
      <c r="H10156" s="27" t="s">
        <v>35</v>
      </c>
      <c r="I10156" s="28" t="s">
        <v>50</v>
      </c>
      <c r="J10156" s="28" t="s">
        <v>913</v>
      </c>
      <c r="K10156" s="27" t="s">
        <v>38</v>
      </c>
      <c r="L10156" s="27"/>
    </row>
    <row r="10157" customFormat="false" ht="15" hidden="false" customHeight="false" outlineLevel="0" collapsed="false">
      <c r="A10157" s="26" t="s">
        <v>25227</v>
      </c>
      <c r="B10157" s="27" t="s">
        <v>25228</v>
      </c>
      <c r="C10157" s="27" t="s">
        <v>144</v>
      </c>
      <c r="D10157" s="26"/>
      <c r="E10157" s="27"/>
      <c r="F10157" s="27"/>
      <c r="G10157" s="27" t="s">
        <v>11122</v>
      </c>
      <c r="H10157" s="27" t="s">
        <v>35</v>
      </c>
      <c r="I10157" s="28" t="s">
        <v>50</v>
      </c>
      <c r="J10157" s="28" t="s">
        <v>913</v>
      </c>
      <c r="K10157" s="27" t="s">
        <v>38</v>
      </c>
      <c r="L10157" s="27"/>
    </row>
    <row r="10158" customFormat="false" ht="15" hidden="false" customHeight="false" outlineLevel="0" collapsed="false">
      <c r="A10158" s="26" t="s">
        <v>25229</v>
      </c>
      <c r="B10158" s="27" t="s">
        <v>25230</v>
      </c>
      <c r="C10158" s="27" t="s">
        <v>144</v>
      </c>
      <c r="D10158" s="26"/>
      <c r="E10158" s="27"/>
      <c r="F10158" s="27"/>
      <c r="G10158" s="27" t="s">
        <v>11122</v>
      </c>
      <c r="H10158" s="27" t="s">
        <v>35</v>
      </c>
      <c r="I10158" s="28" t="s">
        <v>50</v>
      </c>
      <c r="J10158" s="28" t="s">
        <v>913</v>
      </c>
      <c r="K10158" s="27" t="s">
        <v>38</v>
      </c>
      <c r="L10158" s="27"/>
    </row>
    <row r="10159" customFormat="false" ht="15" hidden="false" customHeight="false" outlineLevel="0" collapsed="false">
      <c r="A10159" s="26" t="s">
        <v>25231</v>
      </c>
      <c r="B10159" s="27" t="s">
        <v>25232</v>
      </c>
      <c r="C10159" s="27" t="s">
        <v>144</v>
      </c>
      <c r="D10159" s="26"/>
      <c r="E10159" s="27"/>
      <c r="F10159" s="27"/>
      <c r="G10159" s="27" t="s">
        <v>11122</v>
      </c>
      <c r="H10159" s="27" t="s">
        <v>35</v>
      </c>
      <c r="I10159" s="27" t="s">
        <v>39</v>
      </c>
      <c r="J10159" s="28" t="s">
        <v>913</v>
      </c>
      <c r="K10159" s="27" t="s">
        <v>38</v>
      </c>
      <c r="L10159" s="27"/>
    </row>
    <row r="10160" customFormat="false" ht="15" hidden="false" customHeight="false" outlineLevel="0" collapsed="false">
      <c r="A10160" s="26" t="s">
        <v>25233</v>
      </c>
      <c r="B10160" s="27" t="s">
        <v>25234</v>
      </c>
      <c r="C10160" s="27" t="s">
        <v>144</v>
      </c>
      <c r="D10160" s="26"/>
      <c r="E10160" s="27"/>
      <c r="F10160" s="27"/>
      <c r="G10160" s="27" t="s">
        <v>11122</v>
      </c>
      <c r="H10160" s="27" t="s">
        <v>35</v>
      </c>
      <c r="I10160" s="27" t="s">
        <v>39</v>
      </c>
      <c r="J10160" s="28" t="s">
        <v>913</v>
      </c>
      <c r="K10160" s="27" t="s">
        <v>38</v>
      </c>
      <c r="L10160" s="27"/>
    </row>
    <row r="10161" customFormat="false" ht="15" hidden="false" customHeight="false" outlineLevel="0" collapsed="false">
      <c r="A10161" s="26" t="s">
        <v>25235</v>
      </c>
      <c r="B10161" s="27" t="s">
        <v>25236</v>
      </c>
      <c r="C10161" s="27" t="s">
        <v>144</v>
      </c>
      <c r="D10161" s="26"/>
      <c r="E10161" s="27"/>
      <c r="F10161" s="27"/>
      <c r="G10161" s="27" t="s">
        <v>11122</v>
      </c>
      <c r="H10161" s="27" t="s">
        <v>35</v>
      </c>
      <c r="I10161" s="27" t="s">
        <v>39</v>
      </c>
      <c r="J10161" s="28" t="s">
        <v>913</v>
      </c>
      <c r="K10161" s="27" t="s">
        <v>38</v>
      </c>
      <c r="L10161" s="27"/>
    </row>
    <row r="10162" customFormat="false" ht="15" hidden="false" customHeight="false" outlineLevel="0" collapsed="false">
      <c r="A10162" s="26" t="s">
        <v>25237</v>
      </c>
      <c r="B10162" s="27" t="s">
        <v>25238</v>
      </c>
      <c r="C10162" s="27" t="s">
        <v>144</v>
      </c>
      <c r="D10162" s="26"/>
      <c r="E10162" s="27"/>
      <c r="F10162" s="27"/>
      <c r="G10162" s="27" t="s">
        <v>11122</v>
      </c>
      <c r="H10162" s="27" t="s">
        <v>35</v>
      </c>
      <c r="I10162" s="27" t="s">
        <v>39</v>
      </c>
      <c r="J10162" s="28" t="s">
        <v>913</v>
      </c>
      <c r="K10162" s="27" t="s">
        <v>38</v>
      </c>
      <c r="L10162" s="27"/>
    </row>
    <row r="10163" customFormat="false" ht="15" hidden="false" customHeight="false" outlineLevel="0" collapsed="false">
      <c r="A10163" s="26" t="s">
        <v>25239</v>
      </c>
      <c r="B10163" s="27" t="s">
        <v>25240</v>
      </c>
      <c r="C10163" s="27" t="s">
        <v>144</v>
      </c>
      <c r="D10163" s="26"/>
      <c r="E10163" s="27"/>
      <c r="F10163" s="27"/>
      <c r="G10163" s="27" t="s">
        <v>11122</v>
      </c>
      <c r="H10163" s="27" t="s">
        <v>35</v>
      </c>
      <c r="I10163" s="27" t="s">
        <v>39</v>
      </c>
      <c r="J10163" s="28" t="s">
        <v>913</v>
      </c>
      <c r="K10163" s="27" t="s">
        <v>38</v>
      </c>
      <c r="L10163" s="27"/>
    </row>
    <row r="10164" customFormat="false" ht="15" hidden="false" customHeight="false" outlineLevel="0" collapsed="false">
      <c r="A10164" s="26" t="s">
        <v>25241</v>
      </c>
      <c r="B10164" s="27" t="s">
        <v>25242</v>
      </c>
      <c r="C10164" s="27" t="s">
        <v>144</v>
      </c>
      <c r="D10164" s="26"/>
      <c r="E10164" s="27"/>
      <c r="F10164" s="27"/>
      <c r="G10164" s="27" t="s">
        <v>11122</v>
      </c>
      <c r="H10164" s="27" t="s">
        <v>35</v>
      </c>
      <c r="I10164" s="27" t="s">
        <v>39</v>
      </c>
      <c r="J10164" s="28" t="s">
        <v>913</v>
      </c>
      <c r="K10164" s="27" t="s">
        <v>38</v>
      </c>
      <c r="L10164" s="27"/>
    </row>
    <row r="10165" customFormat="false" ht="15" hidden="false" customHeight="false" outlineLevel="0" collapsed="false">
      <c r="A10165" s="26" t="s">
        <v>25243</v>
      </c>
      <c r="B10165" s="27" t="s">
        <v>25244</v>
      </c>
      <c r="C10165" s="27" t="s">
        <v>144</v>
      </c>
      <c r="D10165" s="26"/>
      <c r="E10165" s="27"/>
      <c r="F10165" s="27"/>
      <c r="G10165" s="27" t="s">
        <v>11122</v>
      </c>
      <c r="H10165" s="27" t="s">
        <v>35</v>
      </c>
      <c r="I10165" s="27" t="s">
        <v>39</v>
      </c>
      <c r="J10165" s="28" t="s">
        <v>913</v>
      </c>
      <c r="K10165" s="27" t="s">
        <v>38</v>
      </c>
      <c r="L10165" s="27"/>
    </row>
    <row r="10166" customFormat="false" ht="15" hidden="false" customHeight="false" outlineLevel="0" collapsed="false">
      <c r="A10166" s="26" t="s">
        <v>25245</v>
      </c>
      <c r="B10166" s="27" t="s">
        <v>25246</v>
      </c>
      <c r="C10166" s="27" t="s">
        <v>144</v>
      </c>
      <c r="D10166" s="26"/>
      <c r="E10166" s="27"/>
      <c r="F10166" s="27"/>
      <c r="G10166" s="27" t="s">
        <v>11122</v>
      </c>
      <c r="H10166" s="27" t="s">
        <v>35</v>
      </c>
      <c r="I10166" s="27" t="s">
        <v>42</v>
      </c>
      <c r="J10166" s="28" t="s">
        <v>913</v>
      </c>
      <c r="K10166" s="27" t="s">
        <v>38</v>
      </c>
      <c r="L10166" s="27"/>
    </row>
    <row r="10167" customFormat="false" ht="15" hidden="false" customHeight="false" outlineLevel="0" collapsed="false">
      <c r="A10167" s="26" t="s">
        <v>25247</v>
      </c>
      <c r="B10167" s="27" t="s">
        <v>25248</v>
      </c>
      <c r="C10167" s="27" t="s">
        <v>144</v>
      </c>
      <c r="D10167" s="26"/>
      <c r="E10167" s="27"/>
      <c r="F10167" s="27"/>
      <c r="G10167" s="27" t="s">
        <v>11122</v>
      </c>
      <c r="H10167" s="27" t="s">
        <v>35</v>
      </c>
      <c r="I10167" s="27" t="s">
        <v>39</v>
      </c>
      <c r="J10167" s="28" t="s">
        <v>913</v>
      </c>
      <c r="K10167" s="27" t="s">
        <v>38</v>
      </c>
      <c r="L10167" s="27"/>
    </row>
    <row r="10168" customFormat="false" ht="15" hidden="false" customHeight="false" outlineLevel="0" collapsed="false">
      <c r="A10168" s="26" t="s">
        <v>25249</v>
      </c>
      <c r="B10168" s="27" t="s">
        <v>25250</v>
      </c>
      <c r="C10168" s="27" t="s">
        <v>144</v>
      </c>
      <c r="D10168" s="26"/>
      <c r="E10168" s="27"/>
      <c r="F10168" s="27"/>
      <c r="G10168" s="27" t="s">
        <v>11122</v>
      </c>
      <c r="H10168" s="27" t="s">
        <v>35</v>
      </c>
      <c r="I10168" s="27" t="s">
        <v>39</v>
      </c>
      <c r="J10168" s="28" t="s">
        <v>913</v>
      </c>
      <c r="K10168" s="27" t="s">
        <v>38</v>
      </c>
      <c r="L10168" s="27"/>
    </row>
    <row r="10169" customFormat="false" ht="15" hidden="false" customHeight="false" outlineLevel="0" collapsed="false">
      <c r="A10169" s="26" t="s">
        <v>25251</v>
      </c>
      <c r="B10169" s="27" t="s">
        <v>25252</v>
      </c>
      <c r="C10169" s="27" t="s">
        <v>144</v>
      </c>
      <c r="D10169" s="26"/>
      <c r="E10169" s="27"/>
      <c r="F10169" s="27"/>
      <c r="G10169" s="27" t="s">
        <v>11122</v>
      </c>
      <c r="H10169" s="27" t="s">
        <v>35</v>
      </c>
      <c r="I10169" s="27" t="s">
        <v>39</v>
      </c>
      <c r="J10169" s="28" t="s">
        <v>913</v>
      </c>
      <c r="K10169" s="27" t="s">
        <v>38</v>
      </c>
      <c r="L10169" s="27"/>
    </row>
    <row r="10170" customFormat="false" ht="15" hidden="false" customHeight="false" outlineLevel="0" collapsed="false">
      <c r="A10170" s="26" t="s">
        <v>25253</v>
      </c>
      <c r="B10170" s="27" t="s">
        <v>25254</v>
      </c>
      <c r="C10170" s="27" t="s">
        <v>144</v>
      </c>
      <c r="D10170" s="26"/>
      <c r="E10170" s="27"/>
      <c r="F10170" s="27"/>
      <c r="G10170" s="27" t="s">
        <v>11122</v>
      </c>
      <c r="H10170" s="27" t="s">
        <v>35</v>
      </c>
      <c r="I10170" s="27" t="s">
        <v>39</v>
      </c>
      <c r="J10170" s="28" t="s">
        <v>913</v>
      </c>
      <c r="K10170" s="27" t="s">
        <v>38</v>
      </c>
      <c r="L10170" s="27"/>
    </row>
    <row r="10171" customFormat="false" ht="15" hidden="false" customHeight="false" outlineLevel="0" collapsed="false">
      <c r="A10171" s="26" t="s">
        <v>25255</v>
      </c>
      <c r="B10171" s="27" t="s">
        <v>25256</v>
      </c>
      <c r="C10171" s="27" t="s">
        <v>144</v>
      </c>
      <c r="D10171" s="26"/>
      <c r="E10171" s="27"/>
      <c r="F10171" s="27"/>
      <c r="G10171" s="27" t="s">
        <v>11122</v>
      </c>
      <c r="H10171" s="27" t="s">
        <v>35</v>
      </c>
      <c r="I10171" s="27" t="s">
        <v>37</v>
      </c>
      <c r="J10171" s="28" t="s">
        <v>913</v>
      </c>
      <c r="K10171" s="27" t="s">
        <v>38</v>
      </c>
      <c r="L10171" s="27"/>
    </row>
    <row r="10172" customFormat="false" ht="15" hidden="false" customHeight="false" outlineLevel="0" collapsed="false">
      <c r="A10172" s="26" t="s">
        <v>25257</v>
      </c>
      <c r="B10172" s="27" t="s">
        <v>25258</v>
      </c>
      <c r="C10172" s="27" t="s">
        <v>1612</v>
      </c>
      <c r="D10172" s="26"/>
      <c r="E10172" s="27"/>
      <c r="F10172" s="27"/>
      <c r="G10172" s="27" t="s">
        <v>11122</v>
      </c>
      <c r="H10172" s="27" t="s">
        <v>35</v>
      </c>
      <c r="I10172" s="28" t="s">
        <v>50</v>
      </c>
      <c r="J10172" s="28" t="s">
        <v>913</v>
      </c>
      <c r="K10172" s="27" t="s">
        <v>38</v>
      </c>
      <c r="L10172" s="27"/>
    </row>
    <row r="10173" customFormat="false" ht="15" hidden="false" customHeight="false" outlineLevel="0" collapsed="false">
      <c r="A10173" s="26" t="s">
        <v>25259</v>
      </c>
      <c r="B10173" s="27" t="s">
        <v>25260</v>
      </c>
      <c r="C10173" s="27" t="s">
        <v>144</v>
      </c>
      <c r="D10173" s="26"/>
      <c r="E10173" s="27"/>
      <c r="F10173" s="27"/>
      <c r="G10173" s="27" t="s">
        <v>11122</v>
      </c>
      <c r="H10173" s="27" t="s">
        <v>35</v>
      </c>
      <c r="I10173" s="27" t="s">
        <v>37</v>
      </c>
      <c r="J10173" s="28" t="s">
        <v>913</v>
      </c>
      <c r="K10173" s="27" t="s">
        <v>38</v>
      </c>
      <c r="L10173" s="27"/>
    </row>
    <row r="10174" customFormat="false" ht="15" hidden="false" customHeight="false" outlineLevel="0" collapsed="false">
      <c r="A10174" s="26" t="s">
        <v>25261</v>
      </c>
      <c r="B10174" s="27" t="s">
        <v>25262</v>
      </c>
      <c r="C10174" s="27" t="s">
        <v>144</v>
      </c>
      <c r="D10174" s="26"/>
      <c r="E10174" s="27"/>
      <c r="F10174" s="27"/>
      <c r="G10174" s="27" t="s">
        <v>11122</v>
      </c>
      <c r="H10174" s="27" t="s">
        <v>35</v>
      </c>
      <c r="I10174" s="27" t="s">
        <v>37</v>
      </c>
      <c r="J10174" s="28" t="s">
        <v>913</v>
      </c>
      <c r="K10174" s="27" t="s">
        <v>38</v>
      </c>
      <c r="L10174" s="27"/>
    </row>
    <row r="10175" customFormat="false" ht="15" hidden="false" customHeight="false" outlineLevel="0" collapsed="false">
      <c r="A10175" s="26" t="s">
        <v>25263</v>
      </c>
      <c r="B10175" s="27" t="s">
        <v>25264</v>
      </c>
      <c r="C10175" s="27" t="s">
        <v>144</v>
      </c>
      <c r="D10175" s="26"/>
      <c r="E10175" s="27"/>
      <c r="F10175" s="27"/>
      <c r="G10175" s="27" t="s">
        <v>11122</v>
      </c>
      <c r="H10175" s="27" t="s">
        <v>35</v>
      </c>
      <c r="I10175" s="27" t="s">
        <v>38</v>
      </c>
      <c r="J10175" s="28" t="s">
        <v>913</v>
      </c>
      <c r="K10175" s="27" t="s">
        <v>38</v>
      </c>
      <c r="L10175" s="27"/>
    </row>
    <row r="10176" customFormat="false" ht="15" hidden="false" customHeight="false" outlineLevel="0" collapsed="false">
      <c r="A10176" s="26" t="s">
        <v>25265</v>
      </c>
      <c r="B10176" s="27" t="s">
        <v>25266</v>
      </c>
      <c r="C10176" s="27" t="s">
        <v>144</v>
      </c>
      <c r="D10176" s="26"/>
      <c r="E10176" s="27"/>
      <c r="F10176" s="27"/>
      <c r="G10176" s="27" t="s">
        <v>11122</v>
      </c>
      <c r="H10176" s="27" t="s">
        <v>35</v>
      </c>
      <c r="I10176" s="27" t="s">
        <v>37</v>
      </c>
      <c r="J10176" s="28" t="s">
        <v>913</v>
      </c>
      <c r="K10176" s="27" t="s">
        <v>38</v>
      </c>
      <c r="L10176" s="27"/>
    </row>
    <row r="10177" customFormat="false" ht="15" hidden="false" customHeight="false" outlineLevel="0" collapsed="false">
      <c r="A10177" s="26" t="s">
        <v>25267</v>
      </c>
      <c r="B10177" s="27" t="s">
        <v>25268</v>
      </c>
      <c r="C10177" s="27" t="s">
        <v>144</v>
      </c>
      <c r="D10177" s="26"/>
      <c r="E10177" s="27"/>
      <c r="F10177" s="27"/>
      <c r="G10177" s="27" t="s">
        <v>11122</v>
      </c>
      <c r="H10177" s="27" t="s">
        <v>35</v>
      </c>
      <c r="I10177" s="27" t="s">
        <v>37</v>
      </c>
      <c r="J10177" s="28" t="s">
        <v>913</v>
      </c>
      <c r="K10177" s="27" t="s">
        <v>38</v>
      </c>
      <c r="L10177" s="27"/>
    </row>
    <row r="10178" customFormat="false" ht="15" hidden="false" customHeight="false" outlineLevel="0" collapsed="false">
      <c r="A10178" s="26" t="s">
        <v>25269</v>
      </c>
      <c r="B10178" s="27" t="s">
        <v>25270</v>
      </c>
      <c r="C10178" s="27" t="s">
        <v>144</v>
      </c>
      <c r="D10178" s="26"/>
      <c r="E10178" s="27"/>
      <c r="F10178" s="27"/>
      <c r="G10178" s="27" t="s">
        <v>11122</v>
      </c>
      <c r="H10178" s="27" t="s">
        <v>35</v>
      </c>
      <c r="I10178" s="27" t="s">
        <v>37</v>
      </c>
      <c r="J10178" s="28" t="s">
        <v>913</v>
      </c>
      <c r="K10178" s="27" t="s">
        <v>38</v>
      </c>
      <c r="L10178" s="27"/>
    </row>
    <row r="10179" customFormat="false" ht="15" hidden="false" customHeight="false" outlineLevel="0" collapsed="false">
      <c r="A10179" s="26" t="s">
        <v>25271</v>
      </c>
      <c r="B10179" s="27" t="s">
        <v>25272</v>
      </c>
      <c r="C10179" s="27" t="s">
        <v>144</v>
      </c>
      <c r="D10179" s="26"/>
      <c r="E10179" s="27"/>
      <c r="F10179" s="27"/>
      <c r="G10179" s="27" t="s">
        <v>11122</v>
      </c>
      <c r="H10179" s="27" t="s">
        <v>35</v>
      </c>
      <c r="I10179" s="27" t="s">
        <v>37</v>
      </c>
      <c r="J10179" s="28" t="s">
        <v>913</v>
      </c>
      <c r="K10179" s="27" t="s">
        <v>38</v>
      </c>
      <c r="L10179" s="27"/>
    </row>
    <row r="10180" customFormat="false" ht="15" hidden="false" customHeight="false" outlineLevel="0" collapsed="false">
      <c r="A10180" s="26" t="s">
        <v>25273</v>
      </c>
      <c r="B10180" s="27" t="s">
        <v>25274</v>
      </c>
      <c r="C10180" s="27" t="s">
        <v>144</v>
      </c>
      <c r="D10180" s="26"/>
      <c r="E10180" s="27"/>
      <c r="F10180" s="27"/>
      <c r="G10180" s="27" t="s">
        <v>11122</v>
      </c>
      <c r="H10180" s="27" t="s">
        <v>35</v>
      </c>
      <c r="I10180" s="27" t="s">
        <v>47</v>
      </c>
      <c r="J10180" s="28" t="s">
        <v>913</v>
      </c>
      <c r="K10180" s="27" t="s">
        <v>38</v>
      </c>
      <c r="L10180" s="27"/>
    </row>
    <row r="10181" customFormat="false" ht="15" hidden="false" customHeight="false" outlineLevel="0" collapsed="false">
      <c r="A10181" s="26" t="s">
        <v>25275</v>
      </c>
      <c r="B10181" s="27" t="s">
        <v>25276</v>
      </c>
      <c r="C10181" s="27" t="s">
        <v>144</v>
      </c>
      <c r="D10181" s="26"/>
      <c r="E10181" s="27"/>
      <c r="F10181" s="27"/>
      <c r="G10181" s="27" t="s">
        <v>11122</v>
      </c>
      <c r="H10181" s="27" t="s">
        <v>35</v>
      </c>
      <c r="I10181" s="27" t="s">
        <v>42</v>
      </c>
      <c r="J10181" s="28" t="s">
        <v>913</v>
      </c>
      <c r="K10181" s="27" t="s">
        <v>38</v>
      </c>
      <c r="L10181" s="27"/>
    </row>
    <row r="10182" customFormat="false" ht="15" hidden="false" customHeight="false" outlineLevel="0" collapsed="false">
      <c r="A10182" s="26" t="s">
        <v>25277</v>
      </c>
      <c r="B10182" s="27" t="s">
        <v>25278</v>
      </c>
      <c r="C10182" s="27" t="s">
        <v>144</v>
      </c>
      <c r="D10182" s="26"/>
      <c r="E10182" s="27"/>
      <c r="F10182" s="27"/>
      <c r="G10182" s="27" t="s">
        <v>11122</v>
      </c>
      <c r="H10182" s="27" t="s">
        <v>35</v>
      </c>
      <c r="I10182" s="27" t="s">
        <v>40</v>
      </c>
      <c r="J10182" s="28" t="s">
        <v>913</v>
      </c>
      <c r="K10182" s="27" t="s">
        <v>38</v>
      </c>
      <c r="L10182" s="27"/>
    </row>
    <row r="10183" customFormat="false" ht="15" hidden="false" customHeight="false" outlineLevel="0" collapsed="false">
      <c r="A10183" s="26" t="s">
        <v>25279</v>
      </c>
      <c r="B10183" s="27" t="s">
        <v>25280</v>
      </c>
      <c r="C10183" s="27" t="s">
        <v>144</v>
      </c>
      <c r="D10183" s="26"/>
      <c r="E10183" s="27"/>
      <c r="F10183" s="27"/>
      <c r="G10183" s="27" t="s">
        <v>11122</v>
      </c>
      <c r="H10183" s="27" t="s">
        <v>35</v>
      </c>
      <c r="I10183" s="28" t="s">
        <v>46</v>
      </c>
      <c r="J10183" s="28" t="s">
        <v>913</v>
      </c>
      <c r="K10183" s="27" t="s">
        <v>38</v>
      </c>
      <c r="L10183" s="27"/>
    </row>
    <row r="10184" customFormat="false" ht="15" hidden="false" customHeight="false" outlineLevel="0" collapsed="false">
      <c r="A10184" s="26" t="s">
        <v>25281</v>
      </c>
      <c r="B10184" s="27" t="s">
        <v>25282</v>
      </c>
      <c r="C10184" s="27" t="s">
        <v>144</v>
      </c>
      <c r="D10184" s="26"/>
      <c r="E10184" s="27"/>
      <c r="F10184" s="27"/>
      <c r="G10184" s="27" t="s">
        <v>11122</v>
      </c>
      <c r="H10184" s="27" t="s">
        <v>35</v>
      </c>
      <c r="I10184" s="27" t="s">
        <v>37</v>
      </c>
      <c r="J10184" s="28" t="s">
        <v>913</v>
      </c>
      <c r="K10184" s="27" t="s">
        <v>38</v>
      </c>
      <c r="L10184" s="27"/>
    </row>
    <row r="10185" customFormat="false" ht="15" hidden="false" customHeight="false" outlineLevel="0" collapsed="false">
      <c r="A10185" s="26" t="s">
        <v>25283</v>
      </c>
      <c r="B10185" s="27" t="s">
        <v>25284</v>
      </c>
      <c r="C10185" s="27" t="s">
        <v>144</v>
      </c>
      <c r="D10185" s="26"/>
      <c r="E10185" s="27"/>
      <c r="F10185" s="27"/>
      <c r="G10185" s="27" t="s">
        <v>11122</v>
      </c>
      <c r="H10185" s="27" t="s">
        <v>35</v>
      </c>
      <c r="I10185" s="27" t="s">
        <v>41</v>
      </c>
      <c r="J10185" s="28" t="s">
        <v>913</v>
      </c>
      <c r="K10185" s="27" t="s">
        <v>38</v>
      </c>
      <c r="L10185" s="27"/>
    </row>
    <row r="10186" customFormat="false" ht="15" hidden="false" customHeight="false" outlineLevel="0" collapsed="false">
      <c r="A10186" s="26" t="s">
        <v>25285</v>
      </c>
      <c r="B10186" s="27" t="s">
        <v>25286</v>
      </c>
      <c r="C10186" s="27" t="s">
        <v>144</v>
      </c>
      <c r="D10186" s="26"/>
      <c r="E10186" s="27"/>
      <c r="F10186" s="27"/>
      <c r="G10186" s="27" t="s">
        <v>11122</v>
      </c>
      <c r="H10186" s="27" t="s">
        <v>35</v>
      </c>
      <c r="I10186" s="27" t="s">
        <v>38</v>
      </c>
      <c r="J10186" s="28" t="s">
        <v>913</v>
      </c>
      <c r="K10186" s="27" t="s">
        <v>38</v>
      </c>
      <c r="L10186" s="27"/>
    </row>
    <row r="10187" customFormat="false" ht="15" hidden="false" customHeight="false" outlineLevel="0" collapsed="false">
      <c r="A10187" s="26" t="s">
        <v>25287</v>
      </c>
      <c r="B10187" s="27" t="s">
        <v>25288</v>
      </c>
      <c r="C10187" s="27" t="s">
        <v>144</v>
      </c>
      <c r="D10187" s="26"/>
      <c r="E10187" s="27"/>
      <c r="F10187" s="27"/>
      <c r="G10187" s="27" t="s">
        <v>11122</v>
      </c>
      <c r="H10187" s="27" t="s">
        <v>35</v>
      </c>
      <c r="I10187" s="27" t="s">
        <v>41</v>
      </c>
      <c r="J10187" s="28" t="s">
        <v>913</v>
      </c>
      <c r="K10187" s="27" t="s">
        <v>38</v>
      </c>
      <c r="L10187" s="27"/>
    </row>
    <row r="10188" customFormat="false" ht="15" hidden="false" customHeight="false" outlineLevel="0" collapsed="false">
      <c r="A10188" s="26" t="s">
        <v>25289</v>
      </c>
      <c r="B10188" s="27" t="s">
        <v>25290</v>
      </c>
      <c r="C10188" s="27" t="s">
        <v>144</v>
      </c>
      <c r="D10188" s="26"/>
      <c r="E10188" s="27"/>
      <c r="F10188" s="27"/>
      <c r="G10188" s="27" t="s">
        <v>11122</v>
      </c>
      <c r="H10188" s="27" t="s">
        <v>35</v>
      </c>
      <c r="I10188" s="27" t="s">
        <v>41</v>
      </c>
      <c r="J10188" s="28" t="s">
        <v>913</v>
      </c>
      <c r="K10188" s="27" t="s">
        <v>38</v>
      </c>
      <c r="L10188" s="27"/>
    </row>
    <row r="10189" customFormat="false" ht="15" hidden="false" customHeight="false" outlineLevel="0" collapsed="false">
      <c r="A10189" s="26" t="s">
        <v>25291</v>
      </c>
      <c r="B10189" s="27" t="s">
        <v>25292</v>
      </c>
      <c r="C10189" s="27" t="s">
        <v>144</v>
      </c>
      <c r="D10189" s="26"/>
      <c r="E10189" s="27"/>
      <c r="F10189" s="27"/>
      <c r="G10189" s="27" t="s">
        <v>11122</v>
      </c>
      <c r="H10189" s="27" t="s">
        <v>35</v>
      </c>
      <c r="I10189" s="27" t="s">
        <v>48</v>
      </c>
      <c r="J10189" s="28" t="s">
        <v>913</v>
      </c>
      <c r="K10189" s="27" t="s">
        <v>38</v>
      </c>
      <c r="L10189" s="27"/>
    </row>
    <row r="10190" customFormat="false" ht="15" hidden="false" customHeight="false" outlineLevel="0" collapsed="false">
      <c r="A10190" s="26" t="s">
        <v>25293</v>
      </c>
      <c r="B10190" s="27" t="s">
        <v>25294</v>
      </c>
      <c r="C10190" s="27" t="s">
        <v>144</v>
      </c>
      <c r="D10190" s="26"/>
      <c r="E10190" s="27"/>
      <c r="F10190" s="27"/>
      <c r="G10190" s="27" t="s">
        <v>11122</v>
      </c>
      <c r="H10190" s="27" t="s">
        <v>35</v>
      </c>
      <c r="I10190" s="27" t="s">
        <v>48</v>
      </c>
      <c r="J10190" s="28" t="s">
        <v>913</v>
      </c>
      <c r="K10190" s="27" t="s">
        <v>38</v>
      </c>
      <c r="L10190" s="27"/>
    </row>
    <row r="10191" customFormat="false" ht="15" hidden="false" customHeight="false" outlineLevel="0" collapsed="false">
      <c r="A10191" s="26" t="s">
        <v>25295</v>
      </c>
      <c r="B10191" s="27" t="s">
        <v>25296</v>
      </c>
      <c r="C10191" s="27" t="s">
        <v>144</v>
      </c>
      <c r="D10191" s="26"/>
      <c r="E10191" s="27"/>
      <c r="F10191" s="27"/>
      <c r="G10191" s="27" t="s">
        <v>11122</v>
      </c>
      <c r="H10191" s="27" t="s">
        <v>35</v>
      </c>
      <c r="I10191" s="27" t="s">
        <v>48</v>
      </c>
      <c r="J10191" s="28" t="s">
        <v>913</v>
      </c>
      <c r="K10191" s="27" t="s">
        <v>38</v>
      </c>
      <c r="L10191" s="27"/>
    </row>
    <row r="10192" customFormat="false" ht="15" hidden="false" customHeight="false" outlineLevel="0" collapsed="false">
      <c r="A10192" s="26" t="s">
        <v>25297</v>
      </c>
      <c r="B10192" s="27" t="s">
        <v>25298</v>
      </c>
      <c r="C10192" s="27" t="s">
        <v>144</v>
      </c>
      <c r="D10192" s="26"/>
      <c r="E10192" s="27"/>
      <c r="F10192" s="27"/>
      <c r="G10192" s="27" t="s">
        <v>11122</v>
      </c>
      <c r="H10192" s="27" t="s">
        <v>35</v>
      </c>
      <c r="I10192" s="27" t="s">
        <v>41</v>
      </c>
      <c r="J10192" s="28" t="s">
        <v>913</v>
      </c>
      <c r="K10192" s="27" t="s">
        <v>38</v>
      </c>
      <c r="L10192" s="27"/>
    </row>
    <row r="10193" customFormat="false" ht="15" hidden="false" customHeight="false" outlineLevel="0" collapsed="false">
      <c r="A10193" s="26" t="s">
        <v>25299</v>
      </c>
      <c r="B10193" s="27" t="s">
        <v>25300</v>
      </c>
      <c r="C10193" s="27" t="s">
        <v>144</v>
      </c>
      <c r="D10193" s="26"/>
      <c r="E10193" s="27"/>
      <c r="F10193" s="27"/>
      <c r="G10193" s="27" t="s">
        <v>11122</v>
      </c>
      <c r="H10193" s="27" t="s">
        <v>35</v>
      </c>
      <c r="I10193" s="27" t="s">
        <v>37</v>
      </c>
      <c r="J10193" s="28" t="s">
        <v>913</v>
      </c>
      <c r="K10193" s="27" t="s">
        <v>38</v>
      </c>
      <c r="L10193" s="27"/>
    </row>
    <row r="10194" customFormat="false" ht="15" hidden="false" customHeight="false" outlineLevel="0" collapsed="false">
      <c r="A10194" s="26" t="s">
        <v>25301</v>
      </c>
      <c r="B10194" s="27" t="s">
        <v>25302</v>
      </c>
      <c r="C10194" s="27" t="s">
        <v>144</v>
      </c>
      <c r="D10194" s="26"/>
      <c r="E10194" s="27"/>
      <c r="F10194" s="27"/>
      <c r="G10194" s="27" t="s">
        <v>11122</v>
      </c>
      <c r="H10194" s="27" t="s">
        <v>35</v>
      </c>
      <c r="I10194" s="27" t="s">
        <v>41</v>
      </c>
      <c r="J10194" s="28" t="s">
        <v>913</v>
      </c>
      <c r="K10194" s="27" t="s">
        <v>38</v>
      </c>
      <c r="L10194" s="27"/>
    </row>
    <row r="10195" customFormat="false" ht="15" hidden="false" customHeight="false" outlineLevel="0" collapsed="false">
      <c r="A10195" s="26" t="s">
        <v>25303</v>
      </c>
      <c r="B10195" s="27" t="s">
        <v>25304</v>
      </c>
      <c r="C10195" s="27" t="s">
        <v>144</v>
      </c>
      <c r="D10195" s="26"/>
      <c r="E10195" s="27"/>
      <c r="F10195" s="27"/>
      <c r="G10195" s="27" t="s">
        <v>11122</v>
      </c>
      <c r="H10195" s="27" t="s">
        <v>35</v>
      </c>
      <c r="I10195" s="27" t="s">
        <v>41</v>
      </c>
      <c r="J10195" s="28" t="s">
        <v>913</v>
      </c>
      <c r="K10195" s="27" t="s">
        <v>38</v>
      </c>
      <c r="L10195" s="27"/>
    </row>
    <row r="10196" customFormat="false" ht="15" hidden="false" customHeight="false" outlineLevel="0" collapsed="false">
      <c r="A10196" s="26" t="s">
        <v>25305</v>
      </c>
      <c r="B10196" s="27" t="s">
        <v>25306</v>
      </c>
      <c r="C10196" s="27" t="s">
        <v>144</v>
      </c>
      <c r="D10196" s="26"/>
      <c r="E10196" s="27"/>
      <c r="F10196" s="27"/>
      <c r="G10196" s="27" t="s">
        <v>11122</v>
      </c>
      <c r="H10196" s="27" t="s">
        <v>35</v>
      </c>
      <c r="I10196" s="27" t="s">
        <v>37</v>
      </c>
      <c r="J10196" s="28" t="s">
        <v>913</v>
      </c>
      <c r="K10196" s="27" t="s">
        <v>38</v>
      </c>
      <c r="L10196" s="27"/>
    </row>
    <row r="10197" customFormat="false" ht="15" hidden="false" customHeight="false" outlineLevel="0" collapsed="false">
      <c r="A10197" s="26" t="s">
        <v>25307</v>
      </c>
      <c r="B10197" s="27" t="s">
        <v>25308</v>
      </c>
      <c r="C10197" s="27" t="s">
        <v>144</v>
      </c>
      <c r="D10197" s="26"/>
      <c r="E10197" s="27"/>
      <c r="F10197" s="27"/>
      <c r="G10197" s="27" t="s">
        <v>11122</v>
      </c>
      <c r="H10197" s="27" t="s">
        <v>35</v>
      </c>
      <c r="I10197" s="27" t="s">
        <v>37</v>
      </c>
      <c r="J10197" s="28" t="s">
        <v>913</v>
      </c>
      <c r="K10197" s="27" t="s">
        <v>38</v>
      </c>
      <c r="L10197" s="27"/>
    </row>
    <row r="10198" customFormat="false" ht="15" hidden="false" customHeight="false" outlineLevel="0" collapsed="false">
      <c r="A10198" s="26" t="s">
        <v>25309</v>
      </c>
      <c r="B10198" s="27" t="s">
        <v>25310</v>
      </c>
      <c r="C10198" s="27" t="s">
        <v>144</v>
      </c>
      <c r="D10198" s="26"/>
      <c r="E10198" s="27"/>
      <c r="F10198" s="27"/>
      <c r="G10198" s="27" t="s">
        <v>11122</v>
      </c>
      <c r="H10198" s="27" t="s">
        <v>35</v>
      </c>
      <c r="I10198" s="27" t="s">
        <v>38</v>
      </c>
      <c r="J10198" s="28" t="s">
        <v>913</v>
      </c>
      <c r="K10198" s="27" t="s">
        <v>38</v>
      </c>
      <c r="L10198" s="27"/>
    </row>
    <row r="10199" customFormat="false" ht="15" hidden="false" customHeight="false" outlineLevel="0" collapsed="false">
      <c r="A10199" s="26" t="s">
        <v>25311</v>
      </c>
      <c r="B10199" s="27" t="s">
        <v>25312</v>
      </c>
      <c r="C10199" s="27" t="s">
        <v>144</v>
      </c>
      <c r="D10199" s="26"/>
      <c r="E10199" s="27"/>
      <c r="F10199" s="27"/>
      <c r="G10199" s="27" t="s">
        <v>11122</v>
      </c>
      <c r="H10199" s="27" t="s">
        <v>35</v>
      </c>
      <c r="I10199" s="27" t="s">
        <v>41</v>
      </c>
      <c r="J10199" s="28" t="s">
        <v>913</v>
      </c>
      <c r="K10199" s="27" t="s">
        <v>38</v>
      </c>
      <c r="L10199" s="27"/>
    </row>
    <row r="10200" customFormat="false" ht="15" hidden="false" customHeight="false" outlineLevel="0" collapsed="false">
      <c r="A10200" s="26" t="s">
        <v>25313</v>
      </c>
      <c r="B10200" s="27" t="s">
        <v>25314</v>
      </c>
      <c r="C10200" s="27" t="s">
        <v>144</v>
      </c>
      <c r="D10200" s="26"/>
      <c r="E10200" s="27"/>
      <c r="F10200" s="27"/>
      <c r="G10200" s="27" t="s">
        <v>11122</v>
      </c>
      <c r="H10200" s="27" t="s">
        <v>35</v>
      </c>
      <c r="I10200" s="27" t="s">
        <v>38</v>
      </c>
      <c r="J10200" s="28" t="s">
        <v>913</v>
      </c>
      <c r="K10200" s="27" t="s">
        <v>38</v>
      </c>
      <c r="L10200" s="27"/>
    </row>
    <row r="10201" customFormat="false" ht="15" hidden="false" customHeight="false" outlineLevel="0" collapsed="false">
      <c r="A10201" s="26" t="s">
        <v>25315</v>
      </c>
      <c r="B10201" s="27" t="s">
        <v>25316</v>
      </c>
      <c r="C10201" s="27" t="s">
        <v>144</v>
      </c>
      <c r="D10201" s="26"/>
      <c r="E10201" s="27"/>
      <c r="F10201" s="27"/>
      <c r="G10201" s="27" t="s">
        <v>11122</v>
      </c>
      <c r="H10201" s="27" t="s">
        <v>35</v>
      </c>
      <c r="I10201" s="27" t="s">
        <v>42</v>
      </c>
      <c r="J10201" s="28" t="s">
        <v>913</v>
      </c>
      <c r="K10201" s="27" t="s">
        <v>38</v>
      </c>
      <c r="L10201" s="27"/>
    </row>
    <row r="10202" customFormat="false" ht="15" hidden="false" customHeight="false" outlineLevel="0" collapsed="false">
      <c r="A10202" s="26" t="s">
        <v>25317</v>
      </c>
      <c r="B10202" s="27" t="s">
        <v>25318</v>
      </c>
      <c r="C10202" s="27" t="s">
        <v>144</v>
      </c>
      <c r="D10202" s="26"/>
      <c r="E10202" s="27"/>
      <c r="F10202" s="27"/>
      <c r="G10202" s="27" t="s">
        <v>11122</v>
      </c>
      <c r="H10202" s="27" t="s">
        <v>35</v>
      </c>
      <c r="I10202" s="27" t="s">
        <v>40</v>
      </c>
      <c r="J10202" s="28" t="s">
        <v>913</v>
      </c>
      <c r="K10202" s="27" t="s">
        <v>38</v>
      </c>
      <c r="L10202" s="27"/>
    </row>
    <row r="10203" customFormat="false" ht="15" hidden="false" customHeight="false" outlineLevel="0" collapsed="false">
      <c r="A10203" s="26" t="s">
        <v>25319</v>
      </c>
      <c r="B10203" s="27" t="s">
        <v>25320</v>
      </c>
      <c r="C10203" s="27" t="s">
        <v>144</v>
      </c>
      <c r="D10203" s="26"/>
      <c r="E10203" s="27"/>
      <c r="F10203" s="27"/>
      <c r="G10203" s="27" t="s">
        <v>11122</v>
      </c>
      <c r="H10203" s="27" t="s">
        <v>35</v>
      </c>
      <c r="I10203" s="27" t="s">
        <v>39</v>
      </c>
      <c r="J10203" s="28" t="s">
        <v>913</v>
      </c>
      <c r="K10203" s="27" t="s">
        <v>38</v>
      </c>
      <c r="L10203" s="27"/>
    </row>
    <row r="10204" customFormat="false" ht="15" hidden="false" customHeight="false" outlineLevel="0" collapsed="false">
      <c r="A10204" s="26" t="s">
        <v>25321</v>
      </c>
      <c r="B10204" s="27" t="s">
        <v>25322</v>
      </c>
      <c r="C10204" s="27" t="s">
        <v>144</v>
      </c>
      <c r="D10204" s="26"/>
      <c r="E10204" s="27"/>
      <c r="F10204" s="27"/>
      <c r="G10204" s="27" t="s">
        <v>11122</v>
      </c>
      <c r="H10204" s="27" t="s">
        <v>35</v>
      </c>
      <c r="I10204" s="27" t="s">
        <v>44</v>
      </c>
      <c r="J10204" s="28" t="s">
        <v>913</v>
      </c>
      <c r="K10204" s="27" t="s">
        <v>38</v>
      </c>
      <c r="L10204" s="27"/>
    </row>
    <row r="10205" customFormat="false" ht="15" hidden="false" customHeight="false" outlineLevel="0" collapsed="false">
      <c r="A10205" s="26" t="s">
        <v>25323</v>
      </c>
      <c r="B10205" s="27" t="s">
        <v>25324</v>
      </c>
      <c r="C10205" s="27" t="s">
        <v>144</v>
      </c>
      <c r="D10205" s="26"/>
      <c r="E10205" s="27"/>
      <c r="F10205" s="27"/>
      <c r="G10205" s="27" t="s">
        <v>11122</v>
      </c>
      <c r="H10205" s="27" t="s">
        <v>35</v>
      </c>
      <c r="I10205" s="27" t="s">
        <v>44</v>
      </c>
      <c r="J10205" s="28" t="s">
        <v>913</v>
      </c>
      <c r="K10205" s="27" t="s">
        <v>38</v>
      </c>
      <c r="L10205" s="27"/>
    </row>
    <row r="10206" customFormat="false" ht="15" hidden="false" customHeight="false" outlineLevel="0" collapsed="false">
      <c r="A10206" s="26" t="s">
        <v>25325</v>
      </c>
      <c r="B10206" s="27" t="s">
        <v>25326</v>
      </c>
      <c r="C10206" s="27" t="s">
        <v>144</v>
      </c>
      <c r="D10206" s="26"/>
      <c r="E10206" s="27"/>
      <c r="F10206" s="27"/>
      <c r="G10206" s="27" t="s">
        <v>11122</v>
      </c>
      <c r="H10206" s="27" t="s">
        <v>35</v>
      </c>
      <c r="I10206" s="27" t="s">
        <v>41</v>
      </c>
      <c r="J10206" s="28" t="s">
        <v>913</v>
      </c>
      <c r="K10206" s="27" t="s">
        <v>38</v>
      </c>
      <c r="L10206" s="27"/>
    </row>
    <row r="10207" customFormat="false" ht="15" hidden="false" customHeight="false" outlineLevel="0" collapsed="false">
      <c r="A10207" s="26" t="s">
        <v>25327</v>
      </c>
      <c r="B10207" s="27" t="s">
        <v>25328</v>
      </c>
      <c r="C10207" s="27" t="s">
        <v>144</v>
      </c>
      <c r="D10207" s="26"/>
      <c r="E10207" s="27"/>
      <c r="F10207" s="27"/>
      <c r="G10207" s="27" t="s">
        <v>11122</v>
      </c>
      <c r="H10207" s="27" t="s">
        <v>35</v>
      </c>
      <c r="I10207" s="27" t="s">
        <v>41</v>
      </c>
      <c r="J10207" s="28" t="s">
        <v>913</v>
      </c>
      <c r="K10207" s="27" t="s">
        <v>38</v>
      </c>
      <c r="L10207" s="27"/>
    </row>
    <row r="10208" customFormat="false" ht="15" hidden="false" customHeight="false" outlineLevel="0" collapsed="false">
      <c r="A10208" s="26" t="s">
        <v>25329</v>
      </c>
      <c r="B10208" s="27" t="s">
        <v>25330</v>
      </c>
      <c r="C10208" s="27" t="s">
        <v>144</v>
      </c>
      <c r="D10208" s="26"/>
      <c r="E10208" s="27"/>
      <c r="F10208" s="27"/>
      <c r="G10208" s="27" t="s">
        <v>11122</v>
      </c>
      <c r="H10208" s="27" t="s">
        <v>35</v>
      </c>
      <c r="I10208" s="27" t="s">
        <v>41</v>
      </c>
      <c r="J10208" s="28" t="s">
        <v>913</v>
      </c>
      <c r="K10208" s="27" t="s">
        <v>38</v>
      </c>
      <c r="L10208" s="27"/>
    </row>
    <row r="10209" customFormat="false" ht="15" hidden="false" customHeight="false" outlineLevel="0" collapsed="false">
      <c r="A10209" s="26" t="s">
        <v>25331</v>
      </c>
      <c r="B10209" s="27" t="s">
        <v>25332</v>
      </c>
      <c r="C10209" s="27" t="s">
        <v>144</v>
      </c>
      <c r="D10209" s="26"/>
      <c r="E10209" s="27"/>
      <c r="F10209" s="27"/>
      <c r="G10209" s="27" t="s">
        <v>11122</v>
      </c>
      <c r="H10209" s="27" t="s">
        <v>35</v>
      </c>
      <c r="I10209" s="27" t="s">
        <v>44</v>
      </c>
      <c r="J10209" s="28" t="s">
        <v>913</v>
      </c>
      <c r="K10209" s="27" t="s">
        <v>38</v>
      </c>
      <c r="L10209" s="27"/>
    </row>
    <row r="10210" customFormat="false" ht="15" hidden="false" customHeight="false" outlineLevel="0" collapsed="false">
      <c r="A10210" s="26" t="s">
        <v>25333</v>
      </c>
      <c r="B10210" s="27" t="s">
        <v>25334</v>
      </c>
      <c r="C10210" s="27" t="s">
        <v>144</v>
      </c>
      <c r="D10210" s="26"/>
      <c r="E10210" s="27"/>
      <c r="F10210" s="27"/>
      <c r="G10210" s="27" t="s">
        <v>11122</v>
      </c>
      <c r="H10210" s="27" t="s">
        <v>35</v>
      </c>
      <c r="I10210" s="27" t="s">
        <v>44</v>
      </c>
      <c r="J10210" s="28" t="s">
        <v>913</v>
      </c>
      <c r="K10210" s="27" t="s">
        <v>38</v>
      </c>
      <c r="L10210" s="27"/>
    </row>
    <row r="10211" customFormat="false" ht="15" hidden="false" customHeight="false" outlineLevel="0" collapsed="false">
      <c r="A10211" s="26" t="s">
        <v>25335</v>
      </c>
      <c r="B10211" s="27" t="s">
        <v>25336</v>
      </c>
      <c r="C10211" s="27" t="s">
        <v>144</v>
      </c>
      <c r="D10211" s="26"/>
      <c r="E10211" s="27"/>
      <c r="F10211" s="27"/>
      <c r="G10211" s="27" t="s">
        <v>11122</v>
      </c>
      <c r="H10211" s="27" t="s">
        <v>35</v>
      </c>
      <c r="I10211" s="27" t="s">
        <v>44</v>
      </c>
      <c r="J10211" s="28" t="s">
        <v>913</v>
      </c>
      <c r="K10211" s="27" t="s">
        <v>38</v>
      </c>
      <c r="L10211" s="27"/>
    </row>
    <row r="10212" customFormat="false" ht="15" hidden="false" customHeight="false" outlineLevel="0" collapsed="false">
      <c r="A10212" s="26" t="s">
        <v>25337</v>
      </c>
      <c r="B10212" s="27" t="s">
        <v>25338</v>
      </c>
      <c r="C10212" s="27" t="s">
        <v>144</v>
      </c>
      <c r="D10212" s="26"/>
      <c r="E10212" s="27"/>
      <c r="F10212" s="27"/>
      <c r="G10212" s="27" t="s">
        <v>11122</v>
      </c>
      <c r="H10212" s="27" t="s">
        <v>35</v>
      </c>
      <c r="I10212" s="27" t="s">
        <v>44</v>
      </c>
      <c r="J10212" s="28" t="s">
        <v>913</v>
      </c>
      <c r="K10212" s="27" t="s">
        <v>38</v>
      </c>
      <c r="L10212" s="27"/>
    </row>
    <row r="10213" customFormat="false" ht="15" hidden="false" customHeight="false" outlineLevel="0" collapsed="false">
      <c r="A10213" s="26" t="s">
        <v>25339</v>
      </c>
      <c r="B10213" s="27" t="s">
        <v>25340</v>
      </c>
      <c r="C10213" s="27" t="s">
        <v>144</v>
      </c>
      <c r="D10213" s="26"/>
      <c r="E10213" s="27"/>
      <c r="F10213" s="27"/>
      <c r="G10213" s="27" t="s">
        <v>11122</v>
      </c>
      <c r="H10213" s="27" t="s">
        <v>35</v>
      </c>
      <c r="I10213" s="27" t="s">
        <v>44</v>
      </c>
      <c r="J10213" s="28" t="s">
        <v>913</v>
      </c>
      <c r="K10213" s="27" t="s">
        <v>38</v>
      </c>
      <c r="L10213" s="27"/>
    </row>
    <row r="10214" customFormat="false" ht="15" hidden="false" customHeight="false" outlineLevel="0" collapsed="false">
      <c r="A10214" s="26" t="s">
        <v>25341</v>
      </c>
      <c r="B10214" s="27" t="s">
        <v>25342</v>
      </c>
      <c r="C10214" s="27" t="s">
        <v>144</v>
      </c>
      <c r="D10214" s="26"/>
      <c r="E10214" s="27"/>
      <c r="F10214" s="27"/>
      <c r="G10214" s="27" t="s">
        <v>11122</v>
      </c>
      <c r="H10214" s="27" t="s">
        <v>35</v>
      </c>
      <c r="I10214" s="27" t="s">
        <v>44</v>
      </c>
      <c r="J10214" s="28" t="s">
        <v>913</v>
      </c>
      <c r="K10214" s="27" t="s">
        <v>38</v>
      </c>
      <c r="L10214" s="27"/>
    </row>
    <row r="10215" customFormat="false" ht="15" hidden="false" customHeight="false" outlineLevel="0" collapsed="false">
      <c r="A10215" s="26" t="s">
        <v>25343</v>
      </c>
      <c r="B10215" s="27" t="s">
        <v>25344</v>
      </c>
      <c r="C10215" s="27" t="s">
        <v>144</v>
      </c>
      <c r="D10215" s="26"/>
      <c r="E10215" s="27"/>
      <c r="F10215" s="27"/>
      <c r="G10215" s="27" t="s">
        <v>11122</v>
      </c>
      <c r="H10215" s="27" t="s">
        <v>35</v>
      </c>
      <c r="I10215" s="27" t="s">
        <v>44</v>
      </c>
      <c r="J10215" s="28" t="s">
        <v>913</v>
      </c>
      <c r="K10215" s="27" t="s">
        <v>38</v>
      </c>
      <c r="L10215" s="27"/>
    </row>
    <row r="10216" customFormat="false" ht="15" hidden="false" customHeight="false" outlineLevel="0" collapsed="false">
      <c r="A10216" s="26" t="s">
        <v>25345</v>
      </c>
      <c r="B10216" s="27" t="s">
        <v>25346</v>
      </c>
      <c r="C10216" s="27" t="s">
        <v>144</v>
      </c>
      <c r="D10216" s="26"/>
      <c r="E10216" s="27"/>
      <c r="F10216" s="27"/>
      <c r="G10216" s="27" t="s">
        <v>11122</v>
      </c>
      <c r="H10216" s="27" t="s">
        <v>35</v>
      </c>
      <c r="I10216" s="27" t="s">
        <v>44</v>
      </c>
      <c r="J10216" s="28" t="s">
        <v>913</v>
      </c>
      <c r="K10216" s="27" t="s">
        <v>38</v>
      </c>
      <c r="L10216" s="27"/>
    </row>
    <row r="10217" customFormat="false" ht="15" hidden="false" customHeight="false" outlineLevel="0" collapsed="false">
      <c r="A10217" s="26" t="s">
        <v>25347</v>
      </c>
      <c r="B10217" s="27" t="s">
        <v>25348</v>
      </c>
      <c r="C10217" s="27" t="s">
        <v>144</v>
      </c>
      <c r="D10217" s="26"/>
      <c r="E10217" s="27"/>
      <c r="F10217" s="27"/>
      <c r="G10217" s="27" t="s">
        <v>11122</v>
      </c>
      <c r="H10217" s="27" t="s">
        <v>35</v>
      </c>
      <c r="I10217" s="27" t="s">
        <v>44</v>
      </c>
      <c r="J10217" s="28" t="s">
        <v>913</v>
      </c>
      <c r="K10217" s="27" t="s">
        <v>38</v>
      </c>
      <c r="L10217" s="27"/>
    </row>
    <row r="10218" customFormat="false" ht="15" hidden="false" customHeight="false" outlineLevel="0" collapsed="false">
      <c r="A10218" s="26" t="s">
        <v>25349</v>
      </c>
      <c r="B10218" s="27" t="s">
        <v>25350</v>
      </c>
      <c r="C10218" s="27" t="s">
        <v>144</v>
      </c>
      <c r="D10218" s="26"/>
      <c r="E10218" s="27"/>
      <c r="F10218" s="27"/>
      <c r="G10218" s="27" t="s">
        <v>11122</v>
      </c>
      <c r="H10218" s="27" t="s">
        <v>35</v>
      </c>
      <c r="I10218" s="27" t="s">
        <v>41</v>
      </c>
      <c r="J10218" s="28" t="s">
        <v>913</v>
      </c>
      <c r="K10218" s="27" t="s">
        <v>38</v>
      </c>
      <c r="L10218" s="27"/>
    </row>
    <row r="10219" customFormat="false" ht="15" hidden="false" customHeight="false" outlineLevel="0" collapsed="false">
      <c r="A10219" s="26" t="s">
        <v>25351</v>
      </c>
      <c r="B10219" s="27" t="s">
        <v>25352</v>
      </c>
      <c r="C10219" s="27" t="s">
        <v>144</v>
      </c>
      <c r="D10219" s="26"/>
      <c r="E10219" s="27"/>
      <c r="F10219" s="27"/>
      <c r="G10219" s="27" t="s">
        <v>11122</v>
      </c>
      <c r="H10219" s="27" t="s">
        <v>35</v>
      </c>
      <c r="I10219" s="27" t="s">
        <v>40</v>
      </c>
      <c r="J10219" s="28" t="s">
        <v>913</v>
      </c>
      <c r="K10219" s="27" t="s">
        <v>38</v>
      </c>
      <c r="L10219" s="27"/>
    </row>
    <row r="10220" customFormat="false" ht="15" hidden="false" customHeight="false" outlineLevel="0" collapsed="false">
      <c r="A10220" s="26" t="s">
        <v>25353</v>
      </c>
      <c r="B10220" s="27" t="s">
        <v>25354</v>
      </c>
      <c r="C10220" s="27" t="s">
        <v>144</v>
      </c>
      <c r="D10220" s="26"/>
      <c r="E10220" s="27"/>
      <c r="F10220" s="27"/>
      <c r="G10220" s="27" t="s">
        <v>11122</v>
      </c>
      <c r="H10220" s="27" t="s">
        <v>35</v>
      </c>
      <c r="I10220" s="27" t="s">
        <v>40</v>
      </c>
      <c r="J10220" s="28" t="s">
        <v>913</v>
      </c>
      <c r="K10220" s="27" t="s">
        <v>38</v>
      </c>
      <c r="L10220" s="27"/>
    </row>
    <row r="10221" customFormat="false" ht="15" hidden="false" customHeight="false" outlineLevel="0" collapsed="false">
      <c r="A10221" s="26" t="s">
        <v>25355</v>
      </c>
      <c r="B10221" s="27" t="s">
        <v>25356</v>
      </c>
      <c r="C10221" s="27" t="s">
        <v>144</v>
      </c>
      <c r="D10221" s="26"/>
      <c r="E10221" s="27"/>
      <c r="F10221" s="27"/>
      <c r="G10221" s="27" t="s">
        <v>11122</v>
      </c>
      <c r="H10221" s="27" t="s">
        <v>35</v>
      </c>
      <c r="I10221" s="27" t="s">
        <v>41</v>
      </c>
      <c r="J10221" s="28" t="s">
        <v>913</v>
      </c>
      <c r="K10221" s="27" t="s">
        <v>38</v>
      </c>
      <c r="L10221" s="27"/>
    </row>
    <row r="10222" customFormat="false" ht="15" hidden="false" customHeight="false" outlineLevel="0" collapsed="false">
      <c r="A10222" s="26" t="s">
        <v>25357</v>
      </c>
      <c r="B10222" s="27" t="s">
        <v>25358</v>
      </c>
      <c r="C10222" s="27" t="s">
        <v>144</v>
      </c>
      <c r="D10222" s="26"/>
      <c r="E10222" s="27"/>
      <c r="F10222" s="27"/>
      <c r="G10222" s="27" t="s">
        <v>11122</v>
      </c>
      <c r="H10222" s="27" t="s">
        <v>35</v>
      </c>
      <c r="I10222" s="27" t="s">
        <v>40</v>
      </c>
      <c r="J10222" s="28" t="s">
        <v>913</v>
      </c>
      <c r="K10222" s="27" t="s">
        <v>38</v>
      </c>
      <c r="L10222" s="27"/>
    </row>
    <row r="10223" customFormat="false" ht="15" hidden="false" customHeight="false" outlineLevel="0" collapsed="false">
      <c r="A10223" s="26" t="s">
        <v>25359</v>
      </c>
      <c r="B10223" s="27" t="s">
        <v>25360</v>
      </c>
      <c r="C10223" s="27" t="s">
        <v>144</v>
      </c>
      <c r="D10223" s="26"/>
      <c r="E10223" s="27"/>
      <c r="F10223" s="27"/>
      <c r="G10223" s="27" t="s">
        <v>11122</v>
      </c>
      <c r="H10223" s="27" t="s">
        <v>35</v>
      </c>
      <c r="I10223" s="27" t="s">
        <v>44</v>
      </c>
      <c r="J10223" s="28" t="s">
        <v>913</v>
      </c>
      <c r="K10223" s="27" t="s">
        <v>38</v>
      </c>
      <c r="L10223" s="27"/>
    </row>
    <row r="10224" customFormat="false" ht="15" hidden="false" customHeight="false" outlineLevel="0" collapsed="false">
      <c r="A10224" s="26" t="s">
        <v>25361</v>
      </c>
      <c r="B10224" s="27" t="s">
        <v>25362</v>
      </c>
      <c r="C10224" s="27" t="s">
        <v>1087</v>
      </c>
      <c r="D10224" s="26"/>
      <c r="E10224" s="27"/>
      <c r="F10224" s="27"/>
      <c r="G10224" s="27" t="s">
        <v>11122</v>
      </c>
      <c r="H10224" s="27" t="s">
        <v>35</v>
      </c>
      <c r="I10224" s="27" t="s">
        <v>44</v>
      </c>
      <c r="J10224" s="28" t="s">
        <v>913</v>
      </c>
      <c r="K10224" s="27" t="s">
        <v>38</v>
      </c>
      <c r="L10224" s="27"/>
    </row>
    <row r="10225" customFormat="false" ht="15" hidden="false" customHeight="false" outlineLevel="0" collapsed="false">
      <c r="A10225" s="26" t="s">
        <v>25363</v>
      </c>
      <c r="B10225" s="27" t="s">
        <v>25364</v>
      </c>
      <c r="C10225" s="27" t="s">
        <v>144</v>
      </c>
      <c r="D10225" s="26"/>
      <c r="E10225" s="27"/>
      <c r="F10225" s="27"/>
      <c r="G10225" s="27" t="s">
        <v>11122</v>
      </c>
      <c r="H10225" s="27" t="s">
        <v>35</v>
      </c>
      <c r="I10225" s="27" t="s">
        <v>40</v>
      </c>
      <c r="J10225" s="28" t="s">
        <v>913</v>
      </c>
      <c r="K10225" s="27" t="s">
        <v>38</v>
      </c>
      <c r="L10225" s="27"/>
    </row>
    <row r="10226" customFormat="false" ht="15" hidden="false" customHeight="false" outlineLevel="0" collapsed="false">
      <c r="A10226" s="26" t="s">
        <v>25365</v>
      </c>
      <c r="B10226" s="27" t="s">
        <v>25366</v>
      </c>
      <c r="C10226" s="27" t="s">
        <v>144</v>
      </c>
      <c r="D10226" s="26"/>
      <c r="E10226" s="27"/>
      <c r="F10226" s="27"/>
      <c r="G10226" s="27" t="s">
        <v>11122</v>
      </c>
      <c r="H10226" s="27" t="s">
        <v>35</v>
      </c>
      <c r="I10226" s="27" t="s">
        <v>44</v>
      </c>
      <c r="J10226" s="28" t="s">
        <v>913</v>
      </c>
      <c r="K10226" s="27" t="s">
        <v>38</v>
      </c>
      <c r="L10226" s="27"/>
    </row>
    <row r="10227" customFormat="false" ht="15" hidden="false" customHeight="false" outlineLevel="0" collapsed="false">
      <c r="A10227" s="26" t="s">
        <v>25367</v>
      </c>
      <c r="B10227" s="27" t="s">
        <v>25368</v>
      </c>
      <c r="C10227" s="27" t="s">
        <v>144</v>
      </c>
      <c r="D10227" s="26"/>
      <c r="E10227" s="27"/>
      <c r="F10227" s="27"/>
      <c r="G10227" s="27" t="s">
        <v>11122</v>
      </c>
      <c r="H10227" s="27" t="s">
        <v>35</v>
      </c>
      <c r="I10227" s="27" t="s">
        <v>44</v>
      </c>
      <c r="J10227" s="28" t="s">
        <v>913</v>
      </c>
      <c r="K10227" s="27" t="s">
        <v>38</v>
      </c>
      <c r="L10227" s="27"/>
    </row>
    <row r="10228" customFormat="false" ht="15" hidden="false" customHeight="false" outlineLevel="0" collapsed="false">
      <c r="A10228" s="26" t="s">
        <v>25369</v>
      </c>
      <c r="B10228" s="27" t="s">
        <v>25370</v>
      </c>
      <c r="C10228" s="27" t="s">
        <v>144</v>
      </c>
      <c r="D10228" s="26"/>
      <c r="E10228" s="27"/>
      <c r="F10228" s="27"/>
      <c r="G10228" s="27" t="s">
        <v>11122</v>
      </c>
      <c r="H10228" s="27" t="s">
        <v>35</v>
      </c>
      <c r="I10228" s="27" t="s">
        <v>44</v>
      </c>
      <c r="J10228" s="28" t="s">
        <v>913</v>
      </c>
      <c r="K10228" s="27" t="s">
        <v>38</v>
      </c>
      <c r="L10228" s="27"/>
    </row>
    <row r="10229" customFormat="false" ht="15" hidden="false" customHeight="false" outlineLevel="0" collapsed="false">
      <c r="A10229" s="26" t="s">
        <v>25371</v>
      </c>
      <c r="B10229" s="27" t="s">
        <v>25372</v>
      </c>
      <c r="C10229" s="27" t="s">
        <v>1087</v>
      </c>
      <c r="D10229" s="26"/>
      <c r="E10229" s="27"/>
      <c r="F10229" s="27"/>
      <c r="G10229" s="27" t="s">
        <v>11122</v>
      </c>
      <c r="H10229" s="27" t="s">
        <v>35</v>
      </c>
      <c r="I10229" s="27" t="s">
        <v>44</v>
      </c>
      <c r="J10229" s="28" t="s">
        <v>913</v>
      </c>
      <c r="K10229" s="27" t="s">
        <v>38</v>
      </c>
      <c r="L10229" s="27"/>
    </row>
    <row r="10230" customFormat="false" ht="15" hidden="false" customHeight="false" outlineLevel="0" collapsed="false">
      <c r="A10230" s="26" t="s">
        <v>25373</v>
      </c>
      <c r="B10230" s="27" t="s">
        <v>25374</v>
      </c>
      <c r="C10230" s="27" t="s">
        <v>144</v>
      </c>
      <c r="D10230" s="26"/>
      <c r="E10230" s="27"/>
      <c r="F10230" s="27"/>
      <c r="G10230" s="27" t="s">
        <v>11122</v>
      </c>
      <c r="H10230" s="27" t="s">
        <v>35</v>
      </c>
      <c r="I10230" s="27" t="s">
        <v>44</v>
      </c>
      <c r="J10230" s="28" t="s">
        <v>913</v>
      </c>
      <c r="K10230" s="27" t="s">
        <v>38</v>
      </c>
      <c r="L10230" s="27"/>
    </row>
    <row r="10231" customFormat="false" ht="15" hidden="false" customHeight="false" outlineLevel="0" collapsed="false">
      <c r="A10231" s="26" t="s">
        <v>25375</v>
      </c>
      <c r="B10231" s="27" t="s">
        <v>25376</v>
      </c>
      <c r="C10231" s="27" t="s">
        <v>144</v>
      </c>
      <c r="D10231" s="26"/>
      <c r="E10231" s="27"/>
      <c r="F10231" s="27"/>
      <c r="G10231" s="27" t="s">
        <v>11122</v>
      </c>
      <c r="H10231" s="27" t="s">
        <v>35</v>
      </c>
      <c r="I10231" s="27" t="s">
        <v>44</v>
      </c>
      <c r="J10231" s="28" t="s">
        <v>913</v>
      </c>
      <c r="K10231" s="27" t="s">
        <v>38</v>
      </c>
      <c r="L10231" s="27"/>
    </row>
    <row r="10232" customFormat="false" ht="15" hidden="false" customHeight="false" outlineLevel="0" collapsed="false">
      <c r="A10232" s="26" t="s">
        <v>25377</v>
      </c>
      <c r="B10232" s="27" t="s">
        <v>25378</v>
      </c>
      <c r="C10232" s="27" t="s">
        <v>144</v>
      </c>
      <c r="D10232" s="26"/>
      <c r="E10232" s="27"/>
      <c r="F10232" s="27"/>
      <c r="G10232" s="27" t="s">
        <v>11122</v>
      </c>
      <c r="H10232" s="27" t="s">
        <v>35</v>
      </c>
      <c r="I10232" s="27" t="s">
        <v>44</v>
      </c>
      <c r="J10232" s="28" t="s">
        <v>913</v>
      </c>
      <c r="K10232" s="27" t="s">
        <v>38</v>
      </c>
      <c r="L10232" s="27"/>
    </row>
    <row r="10233" customFormat="false" ht="15" hidden="false" customHeight="false" outlineLevel="0" collapsed="false">
      <c r="A10233" s="26" t="s">
        <v>25379</v>
      </c>
      <c r="B10233" s="27" t="s">
        <v>25380</v>
      </c>
      <c r="C10233" s="27" t="s">
        <v>144</v>
      </c>
      <c r="D10233" s="26"/>
      <c r="E10233" s="27"/>
      <c r="F10233" s="27"/>
      <c r="G10233" s="27" t="s">
        <v>11122</v>
      </c>
      <c r="H10233" s="27" t="s">
        <v>35</v>
      </c>
      <c r="I10233" s="27" t="s">
        <v>44</v>
      </c>
      <c r="J10233" s="28" t="s">
        <v>913</v>
      </c>
      <c r="K10233" s="27" t="s">
        <v>38</v>
      </c>
      <c r="L10233" s="27"/>
    </row>
    <row r="10234" customFormat="false" ht="15" hidden="false" customHeight="false" outlineLevel="0" collapsed="false">
      <c r="A10234" s="26" t="s">
        <v>25381</v>
      </c>
      <c r="B10234" s="27" t="s">
        <v>25382</v>
      </c>
      <c r="C10234" s="27" t="s">
        <v>144</v>
      </c>
      <c r="D10234" s="26"/>
      <c r="E10234" s="27"/>
      <c r="F10234" s="27"/>
      <c r="G10234" s="27" t="s">
        <v>11122</v>
      </c>
      <c r="H10234" s="27" t="s">
        <v>35</v>
      </c>
      <c r="I10234" s="27" t="s">
        <v>44</v>
      </c>
      <c r="J10234" s="28" t="s">
        <v>913</v>
      </c>
      <c r="K10234" s="27" t="s">
        <v>38</v>
      </c>
      <c r="L10234" s="27"/>
    </row>
    <row r="10235" customFormat="false" ht="15" hidden="false" customHeight="false" outlineLevel="0" collapsed="false">
      <c r="A10235" s="26" t="s">
        <v>25383</v>
      </c>
      <c r="B10235" s="27" t="s">
        <v>25384</v>
      </c>
      <c r="C10235" s="27" t="s">
        <v>144</v>
      </c>
      <c r="D10235" s="26"/>
      <c r="E10235" s="27"/>
      <c r="F10235" s="27"/>
      <c r="G10235" s="27" t="s">
        <v>11122</v>
      </c>
      <c r="H10235" s="27" t="s">
        <v>35</v>
      </c>
      <c r="I10235" s="27" t="s">
        <v>44</v>
      </c>
      <c r="J10235" s="28" t="s">
        <v>913</v>
      </c>
      <c r="K10235" s="27" t="s">
        <v>38</v>
      </c>
      <c r="L10235" s="27"/>
    </row>
    <row r="10236" customFormat="false" ht="15" hidden="false" customHeight="false" outlineLevel="0" collapsed="false">
      <c r="A10236" s="26" t="s">
        <v>25385</v>
      </c>
      <c r="B10236" s="27" t="s">
        <v>25386</v>
      </c>
      <c r="C10236" s="27" t="s">
        <v>144</v>
      </c>
      <c r="D10236" s="26"/>
      <c r="E10236" s="27"/>
      <c r="F10236" s="27"/>
      <c r="G10236" s="27" t="s">
        <v>11122</v>
      </c>
      <c r="H10236" s="27" t="s">
        <v>35</v>
      </c>
      <c r="I10236" s="27" t="s">
        <v>44</v>
      </c>
      <c r="J10236" s="28" t="s">
        <v>913</v>
      </c>
      <c r="K10236" s="27" t="s">
        <v>38</v>
      </c>
      <c r="L10236" s="27"/>
    </row>
    <row r="10237" customFormat="false" ht="15" hidden="false" customHeight="false" outlineLevel="0" collapsed="false">
      <c r="A10237" s="26" t="s">
        <v>25387</v>
      </c>
      <c r="B10237" s="27" t="s">
        <v>25388</v>
      </c>
      <c r="C10237" s="27" t="s">
        <v>144</v>
      </c>
      <c r="D10237" s="26"/>
      <c r="E10237" s="27"/>
      <c r="F10237" s="27"/>
      <c r="G10237" s="27" t="s">
        <v>11122</v>
      </c>
      <c r="H10237" s="27" t="s">
        <v>35</v>
      </c>
      <c r="I10237" s="27" t="s">
        <v>38</v>
      </c>
      <c r="J10237" s="28" t="s">
        <v>913</v>
      </c>
      <c r="K10237" s="27" t="s">
        <v>38</v>
      </c>
      <c r="L10237" s="27"/>
    </row>
    <row r="10238" customFormat="false" ht="15" hidden="false" customHeight="false" outlineLevel="0" collapsed="false">
      <c r="A10238" s="26" t="s">
        <v>25389</v>
      </c>
      <c r="B10238" s="27" t="s">
        <v>25390</v>
      </c>
      <c r="C10238" s="27" t="s">
        <v>144</v>
      </c>
      <c r="D10238" s="26"/>
      <c r="E10238" s="27"/>
      <c r="F10238" s="27"/>
      <c r="G10238" s="27" t="s">
        <v>11122</v>
      </c>
      <c r="H10238" s="27" t="s">
        <v>35</v>
      </c>
      <c r="I10238" s="27" t="s">
        <v>38</v>
      </c>
      <c r="J10238" s="28" t="s">
        <v>913</v>
      </c>
      <c r="K10238" s="27" t="s">
        <v>38</v>
      </c>
      <c r="L10238" s="27"/>
    </row>
    <row r="10239" customFormat="false" ht="15" hidden="false" customHeight="false" outlineLevel="0" collapsed="false">
      <c r="A10239" s="26" t="s">
        <v>25391</v>
      </c>
      <c r="B10239" s="27" t="s">
        <v>25392</v>
      </c>
      <c r="C10239" s="27" t="s">
        <v>144</v>
      </c>
      <c r="D10239" s="26"/>
      <c r="E10239" s="27"/>
      <c r="F10239" s="27"/>
      <c r="G10239" s="27" t="s">
        <v>11122</v>
      </c>
      <c r="H10239" s="27" t="s">
        <v>35</v>
      </c>
      <c r="I10239" s="27" t="s">
        <v>43</v>
      </c>
      <c r="J10239" s="28" t="s">
        <v>913</v>
      </c>
      <c r="K10239" s="27" t="s">
        <v>38</v>
      </c>
      <c r="L10239" s="27"/>
    </row>
    <row r="10240" customFormat="false" ht="15" hidden="false" customHeight="false" outlineLevel="0" collapsed="false">
      <c r="A10240" s="26" t="s">
        <v>25393</v>
      </c>
      <c r="B10240" s="27" t="s">
        <v>25394</v>
      </c>
      <c r="C10240" s="27" t="s">
        <v>144</v>
      </c>
      <c r="D10240" s="26"/>
      <c r="E10240" s="27"/>
      <c r="F10240" s="27"/>
      <c r="G10240" s="27" t="s">
        <v>11122</v>
      </c>
      <c r="H10240" s="27" t="s">
        <v>35</v>
      </c>
      <c r="I10240" s="27" t="s">
        <v>44</v>
      </c>
      <c r="J10240" s="28" t="s">
        <v>913</v>
      </c>
      <c r="K10240" s="27" t="s">
        <v>38</v>
      </c>
      <c r="L10240" s="27"/>
    </row>
    <row r="10241" customFormat="false" ht="15" hidden="false" customHeight="false" outlineLevel="0" collapsed="false">
      <c r="A10241" s="26" t="s">
        <v>25395</v>
      </c>
      <c r="B10241" s="27" t="s">
        <v>25396</v>
      </c>
      <c r="C10241" s="27" t="s">
        <v>1087</v>
      </c>
      <c r="D10241" s="26"/>
      <c r="E10241" s="27"/>
      <c r="F10241" s="27"/>
      <c r="G10241" s="27" t="s">
        <v>11122</v>
      </c>
      <c r="H10241" s="27" t="s">
        <v>35</v>
      </c>
      <c r="I10241" s="27" t="s">
        <v>44</v>
      </c>
      <c r="J10241" s="28" t="s">
        <v>913</v>
      </c>
      <c r="K10241" s="27" t="s">
        <v>38</v>
      </c>
      <c r="L10241" s="27"/>
    </row>
    <row r="10242" customFormat="false" ht="15" hidden="false" customHeight="false" outlineLevel="0" collapsed="false">
      <c r="A10242" s="26" t="s">
        <v>25397</v>
      </c>
      <c r="B10242" s="27" t="s">
        <v>25398</v>
      </c>
      <c r="C10242" s="27" t="s">
        <v>144</v>
      </c>
      <c r="D10242" s="26"/>
      <c r="E10242" s="27"/>
      <c r="F10242" s="27"/>
      <c r="G10242" s="27" t="s">
        <v>11122</v>
      </c>
      <c r="H10242" s="27" t="s">
        <v>35</v>
      </c>
      <c r="I10242" s="27" t="s">
        <v>43</v>
      </c>
      <c r="J10242" s="28" t="s">
        <v>913</v>
      </c>
      <c r="K10242" s="27" t="s">
        <v>38</v>
      </c>
      <c r="L10242" s="27"/>
    </row>
    <row r="10243" customFormat="false" ht="15" hidden="false" customHeight="false" outlineLevel="0" collapsed="false">
      <c r="A10243" s="26" t="s">
        <v>25399</v>
      </c>
      <c r="B10243" s="27" t="s">
        <v>25400</v>
      </c>
      <c r="C10243" s="27" t="s">
        <v>144</v>
      </c>
      <c r="D10243" s="26"/>
      <c r="E10243" s="27"/>
      <c r="F10243" s="27"/>
      <c r="G10243" s="27" t="s">
        <v>11122</v>
      </c>
      <c r="H10243" s="27" t="s">
        <v>35</v>
      </c>
      <c r="I10243" s="27" t="s">
        <v>44</v>
      </c>
      <c r="J10243" s="28" t="s">
        <v>913</v>
      </c>
      <c r="K10243" s="27" t="s">
        <v>38</v>
      </c>
      <c r="L10243" s="27"/>
    </row>
    <row r="10244" customFormat="false" ht="15" hidden="false" customHeight="false" outlineLevel="0" collapsed="false">
      <c r="A10244" s="26" t="s">
        <v>25401</v>
      </c>
      <c r="B10244" s="27" t="s">
        <v>25402</v>
      </c>
      <c r="C10244" s="27" t="s">
        <v>144</v>
      </c>
      <c r="D10244" s="26"/>
      <c r="E10244" s="27"/>
      <c r="F10244" s="27"/>
      <c r="G10244" s="27" t="s">
        <v>11122</v>
      </c>
      <c r="H10244" s="27" t="s">
        <v>35</v>
      </c>
      <c r="I10244" s="27" t="s">
        <v>44</v>
      </c>
      <c r="J10244" s="28" t="s">
        <v>913</v>
      </c>
      <c r="K10244" s="27" t="s">
        <v>38</v>
      </c>
      <c r="L10244" s="27"/>
    </row>
    <row r="10245" customFormat="false" ht="15" hidden="false" customHeight="false" outlineLevel="0" collapsed="false">
      <c r="A10245" s="26" t="s">
        <v>25403</v>
      </c>
      <c r="B10245" s="27" t="s">
        <v>25404</v>
      </c>
      <c r="C10245" s="27" t="s">
        <v>144</v>
      </c>
      <c r="D10245" s="26"/>
      <c r="E10245" s="27"/>
      <c r="F10245" s="27"/>
      <c r="G10245" s="27" t="s">
        <v>11122</v>
      </c>
      <c r="H10245" s="27" t="s">
        <v>35</v>
      </c>
      <c r="I10245" s="27" t="s">
        <v>42</v>
      </c>
      <c r="J10245" s="28" t="s">
        <v>913</v>
      </c>
      <c r="K10245" s="27" t="s">
        <v>38</v>
      </c>
      <c r="L10245" s="27"/>
    </row>
    <row r="10246" customFormat="false" ht="15" hidden="false" customHeight="false" outlineLevel="0" collapsed="false">
      <c r="A10246" s="26" t="s">
        <v>25405</v>
      </c>
      <c r="B10246" s="27" t="s">
        <v>25406</v>
      </c>
      <c r="C10246" s="27" t="s">
        <v>144</v>
      </c>
      <c r="D10246" s="26"/>
      <c r="E10246" s="27"/>
      <c r="F10246" s="27"/>
      <c r="G10246" s="27" t="s">
        <v>11122</v>
      </c>
      <c r="H10246" s="27" t="s">
        <v>35</v>
      </c>
      <c r="I10246" s="27" t="s">
        <v>40</v>
      </c>
      <c r="J10246" s="28" t="s">
        <v>913</v>
      </c>
      <c r="K10246" s="27" t="s">
        <v>38</v>
      </c>
      <c r="L10246" s="27"/>
    </row>
    <row r="10247" customFormat="false" ht="15" hidden="false" customHeight="false" outlineLevel="0" collapsed="false">
      <c r="A10247" s="26" t="s">
        <v>25407</v>
      </c>
      <c r="B10247" s="27" t="s">
        <v>25408</v>
      </c>
      <c r="C10247" s="27" t="s">
        <v>144</v>
      </c>
      <c r="D10247" s="26"/>
      <c r="E10247" s="27"/>
      <c r="F10247" s="27"/>
      <c r="G10247" s="27" t="s">
        <v>11122</v>
      </c>
      <c r="H10247" s="27" t="s">
        <v>35</v>
      </c>
      <c r="I10247" s="27" t="s">
        <v>44</v>
      </c>
      <c r="J10247" s="28" t="s">
        <v>913</v>
      </c>
      <c r="K10247" s="27" t="s">
        <v>38</v>
      </c>
      <c r="L10247" s="27"/>
    </row>
    <row r="10248" customFormat="false" ht="15" hidden="false" customHeight="false" outlineLevel="0" collapsed="false">
      <c r="A10248" s="26" t="s">
        <v>25409</v>
      </c>
      <c r="B10248" s="27" t="s">
        <v>25410</v>
      </c>
      <c r="C10248" s="27" t="s">
        <v>144</v>
      </c>
      <c r="D10248" s="26"/>
      <c r="E10248" s="27"/>
      <c r="F10248" s="27"/>
      <c r="G10248" s="27" t="s">
        <v>11122</v>
      </c>
      <c r="H10248" s="27" t="s">
        <v>35</v>
      </c>
      <c r="I10248" s="27" t="s">
        <v>44</v>
      </c>
      <c r="J10248" s="28" t="s">
        <v>913</v>
      </c>
      <c r="K10248" s="27" t="s">
        <v>38</v>
      </c>
      <c r="L10248" s="27"/>
    </row>
    <row r="10249" customFormat="false" ht="15" hidden="false" customHeight="false" outlineLevel="0" collapsed="false">
      <c r="A10249" s="26" t="s">
        <v>25411</v>
      </c>
      <c r="B10249" s="27" t="s">
        <v>25412</v>
      </c>
      <c r="C10249" s="27" t="s">
        <v>144</v>
      </c>
      <c r="D10249" s="26"/>
      <c r="E10249" s="27"/>
      <c r="F10249" s="27"/>
      <c r="G10249" s="27" t="s">
        <v>11122</v>
      </c>
      <c r="H10249" s="27" t="s">
        <v>35</v>
      </c>
      <c r="I10249" s="27" t="s">
        <v>44</v>
      </c>
      <c r="J10249" s="28" t="s">
        <v>913</v>
      </c>
      <c r="K10249" s="27" t="s">
        <v>38</v>
      </c>
      <c r="L10249" s="27"/>
    </row>
    <row r="10250" customFormat="false" ht="15" hidden="false" customHeight="false" outlineLevel="0" collapsed="false">
      <c r="A10250" s="26" t="s">
        <v>25413</v>
      </c>
      <c r="B10250" s="27" t="s">
        <v>25414</v>
      </c>
      <c r="C10250" s="27" t="s">
        <v>144</v>
      </c>
      <c r="D10250" s="26"/>
      <c r="E10250" s="27"/>
      <c r="F10250" s="27"/>
      <c r="G10250" s="27" t="s">
        <v>11122</v>
      </c>
      <c r="H10250" s="27" t="s">
        <v>35</v>
      </c>
      <c r="I10250" s="27" t="s">
        <v>43</v>
      </c>
      <c r="J10250" s="28" t="s">
        <v>913</v>
      </c>
      <c r="K10250" s="27" t="s">
        <v>38</v>
      </c>
      <c r="L10250" s="27"/>
    </row>
    <row r="10251" customFormat="false" ht="15" hidden="false" customHeight="false" outlineLevel="0" collapsed="false">
      <c r="A10251" s="26" t="s">
        <v>25415</v>
      </c>
      <c r="B10251" s="27" t="s">
        <v>25416</v>
      </c>
      <c r="C10251" s="27" t="s">
        <v>144</v>
      </c>
      <c r="D10251" s="26"/>
      <c r="E10251" s="27"/>
      <c r="F10251" s="27"/>
      <c r="G10251" s="27" t="s">
        <v>11122</v>
      </c>
      <c r="H10251" s="27" t="s">
        <v>35</v>
      </c>
      <c r="I10251" s="27" t="s">
        <v>37</v>
      </c>
      <c r="J10251" s="28" t="s">
        <v>913</v>
      </c>
      <c r="K10251" s="27" t="s">
        <v>38</v>
      </c>
      <c r="L10251" s="27"/>
    </row>
    <row r="10252" customFormat="false" ht="15" hidden="false" customHeight="false" outlineLevel="0" collapsed="false">
      <c r="A10252" s="26" t="s">
        <v>25417</v>
      </c>
      <c r="B10252" s="27" t="s">
        <v>25418</v>
      </c>
      <c r="C10252" s="27" t="s">
        <v>144</v>
      </c>
      <c r="D10252" s="26"/>
      <c r="E10252" s="27"/>
      <c r="F10252" s="27"/>
      <c r="G10252" s="27" t="s">
        <v>11122</v>
      </c>
      <c r="H10252" s="27" t="s">
        <v>35</v>
      </c>
      <c r="I10252" s="27" t="s">
        <v>43</v>
      </c>
      <c r="J10252" s="28" t="s">
        <v>913</v>
      </c>
      <c r="K10252" s="27" t="s">
        <v>38</v>
      </c>
      <c r="L10252" s="27"/>
    </row>
    <row r="10253" customFormat="false" ht="15" hidden="false" customHeight="false" outlineLevel="0" collapsed="false">
      <c r="A10253" s="26" t="s">
        <v>25419</v>
      </c>
      <c r="B10253" s="27" t="s">
        <v>25420</v>
      </c>
      <c r="C10253" s="27" t="s">
        <v>144</v>
      </c>
      <c r="D10253" s="26"/>
      <c r="E10253" s="27"/>
      <c r="F10253" s="27"/>
      <c r="G10253" s="27" t="s">
        <v>11122</v>
      </c>
      <c r="H10253" s="27" t="s">
        <v>35</v>
      </c>
      <c r="I10253" s="27" t="s">
        <v>37</v>
      </c>
      <c r="J10253" s="28" t="s">
        <v>913</v>
      </c>
      <c r="K10253" s="27" t="s">
        <v>38</v>
      </c>
      <c r="L10253" s="27"/>
    </row>
    <row r="10254" customFormat="false" ht="15" hidden="false" customHeight="false" outlineLevel="0" collapsed="false">
      <c r="A10254" s="26" t="s">
        <v>25421</v>
      </c>
      <c r="B10254" s="27" t="s">
        <v>25422</v>
      </c>
      <c r="C10254" s="27" t="s">
        <v>144</v>
      </c>
      <c r="D10254" s="26"/>
      <c r="E10254" s="27"/>
      <c r="F10254" s="27"/>
      <c r="G10254" s="27" t="s">
        <v>11122</v>
      </c>
      <c r="H10254" s="27" t="s">
        <v>35</v>
      </c>
      <c r="I10254" s="27" t="s">
        <v>44</v>
      </c>
      <c r="J10254" s="28" t="s">
        <v>913</v>
      </c>
      <c r="K10254" s="27" t="s">
        <v>38</v>
      </c>
      <c r="L10254" s="27"/>
    </row>
    <row r="10255" customFormat="false" ht="15" hidden="false" customHeight="false" outlineLevel="0" collapsed="false">
      <c r="A10255" s="26" t="s">
        <v>25423</v>
      </c>
      <c r="B10255" s="27" t="s">
        <v>25424</v>
      </c>
      <c r="C10255" s="27" t="s">
        <v>144</v>
      </c>
      <c r="D10255" s="26"/>
      <c r="E10255" s="27"/>
      <c r="F10255" s="27"/>
      <c r="G10255" s="27" t="s">
        <v>11122</v>
      </c>
      <c r="H10255" s="27" t="s">
        <v>35</v>
      </c>
      <c r="I10255" s="27" t="s">
        <v>44</v>
      </c>
      <c r="J10255" s="28" t="s">
        <v>913</v>
      </c>
      <c r="K10255" s="27" t="s">
        <v>38</v>
      </c>
      <c r="L10255" s="27"/>
    </row>
    <row r="10256" customFormat="false" ht="15" hidden="false" customHeight="false" outlineLevel="0" collapsed="false">
      <c r="A10256" s="26" t="s">
        <v>25425</v>
      </c>
      <c r="B10256" s="27" t="s">
        <v>25426</v>
      </c>
      <c r="C10256" s="27" t="s">
        <v>137</v>
      </c>
      <c r="D10256" s="26"/>
      <c r="E10256" s="27"/>
      <c r="F10256" s="27"/>
      <c r="G10256" s="27" t="s">
        <v>11122</v>
      </c>
      <c r="H10256" s="27" t="s">
        <v>35</v>
      </c>
      <c r="I10256" s="27" t="s">
        <v>44</v>
      </c>
      <c r="J10256" s="28" t="s">
        <v>913</v>
      </c>
      <c r="K10256" s="27" t="s">
        <v>38</v>
      </c>
      <c r="L10256" s="27"/>
    </row>
    <row r="10257" customFormat="false" ht="15" hidden="false" customHeight="false" outlineLevel="0" collapsed="false">
      <c r="A10257" s="26" t="s">
        <v>25427</v>
      </c>
      <c r="B10257" s="27" t="s">
        <v>25428</v>
      </c>
      <c r="C10257" s="27" t="s">
        <v>144</v>
      </c>
      <c r="D10257" s="26"/>
      <c r="E10257" s="27"/>
      <c r="F10257" s="27"/>
      <c r="G10257" s="27" t="s">
        <v>11122</v>
      </c>
      <c r="H10257" s="27" t="s">
        <v>35</v>
      </c>
      <c r="I10257" s="27" t="s">
        <v>44</v>
      </c>
      <c r="J10257" s="28" t="s">
        <v>913</v>
      </c>
      <c r="K10257" s="27" t="s">
        <v>38</v>
      </c>
      <c r="L10257" s="27"/>
    </row>
    <row r="10258" customFormat="false" ht="15" hidden="false" customHeight="false" outlineLevel="0" collapsed="false">
      <c r="A10258" s="26" t="s">
        <v>25429</v>
      </c>
      <c r="B10258" s="27" t="s">
        <v>25430</v>
      </c>
      <c r="C10258" s="27" t="s">
        <v>144</v>
      </c>
      <c r="D10258" s="26"/>
      <c r="E10258" s="27"/>
      <c r="F10258" s="27"/>
      <c r="G10258" s="27" t="s">
        <v>11122</v>
      </c>
      <c r="H10258" s="27" t="s">
        <v>35</v>
      </c>
      <c r="I10258" s="27" t="s">
        <v>37</v>
      </c>
      <c r="J10258" s="28" t="s">
        <v>913</v>
      </c>
      <c r="K10258" s="27" t="s">
        <v>38</v>
      </c>
      <c r="L10258" s="27"/>
    </row>
    <row r="10259" customFormat="false" ht="15" hidden="false" customHeight="false" outlineLevel="0" collapsed="false">
      <c r="A10259" s="26" t="s">
        <v>25431</v>
      </c>
      <c r="B10259" s="27" t="s">
        <v>25432</v>
      </c>
      <c r="C10259" s="27" t="s">
        <v>144</v>
      </c>
      <c r="D10259" s="26"/>
      <c r="E10259" s="27"/>
      <c r="F10259" s="27"/>
      <c r="G10259" s="27" t="s">
        <v>11122</v>
      </c>
      <c r="H10259" s="27" t="s">
        <v>35</v>
      </c>
      <c r="I10259" s="27" t="s">
        <v>37</v>
      </c>
      <c r="J10259" s="28" t="s">
        <v>913</v>
      </c>
      <c r="K10259" s="27" t="s">
        <v>38</v>
      </c>
      <c r="L10259" s="27"/>
    </row>
    <row r="10260" customFormat="false" ht="15" hidden="false" customHeight="false" outlineLevel="0" collapsed="false">
      <c r="A10260" s="26" t="s">
        <v>25433</v>
      </c>
      <c r="B10260" s="27" t="s">
        <v>25434</v>
      </c>
      <c r="C10260" s="27" t="s">
        <v>144</v>
      </c>
      <c r="D10260" s="26"/>
      <c r="E10260" s="27"/>
      <c r="F10260" s="27"/>
      <c r="G10260" s="27" t="s">
        <v>11122</v>
      </c>
      <c r="H10260" s="27" t="s">
        <v>35</v>
      </c>
      <c r="I10260" s="27" t="s">
        <v>37</v>
      </c>
      <c r="J10260" s="28" t="s">
        <v>913</v>
      </c>
      <c r="K10260" s="27" t="s">
        <v>38</v>
      </c>
      <c r="L10260" s="27"/>
    </row>
    <row r="10261" customFormat="false" ht="15" hidden="false" customHeight="false" outlineLevel="0" collapsed="false">
      <c r="A10261" s="26" t="s">
        <v>25435</v>
      </c>
      <c r="B10261" s="27" t="s">
        <v>25436</v>
      </c>
      <c r="C10261" s="27" t="s">
        <v>144</v>
      </c>
      <c r="D10261" s="26"/>
      <c r="E10261" s="27"/>
      <c r="F10261" s="27"/>
      <c r="G10261" s="27" t="s">
        <v>11122</v>
      </c>
      <c r="H10261" s="27" t="s">
        <v>35</v>
      </c>
      <c r="I10261" s="27" t="s">
        <v>37</v>
      </c>
      <c r="J10261" s="28" t="s">
        <v>913</v>
      </c>
      <c r="K10261" s="27" t="s">
        <v>38</v>
      </c>
      <c r="L10261" s="27"/>
    </row>
    <row r="10262" customFormat="false" ht="15" hidden="false" customHeight="false" outlineLevel="0" collapsed="false">
      <c r="A10262" s="26" t="s">
        <v>25437</v>
      </c>
      <c r="B10262" s="27" t="s">
        <v>25438</v>
      </c>
      <c r="C10262" s="27" t="s">
        <v>144</v>
      </c>
      <c r="D10262" s="26"/>
      <c r="E10262" s="27"/>
      <c r="F10262" s="27"/>
      <c r="G10262" s="27" t="s">
        <v>11122</v>
      </c>
      <c r="H10262" s="27" t="s">
        <v>35</v>
      </c>
      <c r="I10262" s="27" t="s">
        <v>37</v>
      </c>
      <c r="J10262" s="28" t="s">
        <v>913</v>
      </c>
      <c r="K10262" s="27" t="s">
        <v>38</v>
      </c>
      <c r="L10262" s="27"/>
    </row>
    <row r="10263" customFormat="false" ht="15" hidden="false" customHeight="false" outlineLevel="0" collapsed="false">
      <c r="A10263" s="26" t="s">
        <v>25439</v>
      </c>
      <c r="B10263" s="27" t="s">
        <v>25440</v>
      </c>
      <c r="C10263" s="27" t="s">
        <v>144</v>
      </c>
      <c r="D10263" s="26"/>
      <c r="E10263" s="27"/>
      <c r="F10263" s="27"/>
      <c r="G10263" s="27" t="s">
        <v>11122</v>
      </c>
      <c r="H10263" s="27" t="s">
        <v>35</v>
      </c>
      <c r="I10263" s="27" t="s">
        <v>37</v>
      </c>
      <c r="J10263" s="28" t="s">
        <v>913</v>
      </c>
      <c r="K10263" s="27" t="s">
        <v>38</v>
      </c>
      <c r="L10263" s="27"/>
    </row>
    <row r="10264" customFormat="false" ht="15" hidden="false" customHeight="false" outlineLevel="0" collapsed="false">
      <c r="A10264" s="26" t="s">
        <v>25441</v>
      </c>
      <c r="B10264" s="27" t="s">
        <v>25442</v>
      </c>
      <c r="C10264" s="27" t="s">
        <v>144</v>
      </c>
      <c r="D10264" s="26"/>
      <c r="E10264" s="27"/>
      <c r="F10264" s="27"/>
      <c r="G10264" s="27" t="s">
        <v>11122</v>
      </c>
      <c r="H10264" s="27" t="s">
        <v>35</v>
      </c>
      <c r="I10264" s="27" t="s">
        <v>37</v>
      </c>
      <c r="J10264" s="28" t="s">
        <v>913</v>
      </c>
      <c r="K10264" s="27" t="s">
        <v>38</v>
      </c>
      <c r="L10264" s="27"/>
    </row>
    <row r="10265" customFormat="false" ht="15" hidden="false" customHeight="false" outlineLevel="0" collapsed="false">
      <c r="A10265" s="26" t="s">
        <v>25443</v>
      </c>
      <c r="B10265" s="27" t="s">
        <v>25444</v>
      </c>
      <c r="C10265" s="27" t="s">
        <v>144</v>
      </c>
      <c r="D10265" s="26"/>
      <c r="E10265" s="27"/>
      <c r="F10265" s="27"/>
      <c r="G10265" s="27" t="s">
        <v>11122</v>
      </c>
      <c r="H10265" s="27" t="s">
        <v>35</v>
      </c>
      <c r="I10265" s="27" t="s">
        <v>37</v>
      </c>
      <c r="J10265" s="28" t="s">
        <v>913</v>
      </c>
      <c r="K10265" s="27" t="s">
        <v>38</v>
      </c>
      <c r="L10265" s="27"/>
    </row>
    <row r="10266" customFormat="false" ht="15" hidden="false" customHeight="false" outlineLevel="0" collapsed="false">
      <c r="A10266" s="26" t="s">
        <v>25445</v>
      </c>
      <c r="B10266" s="27" t="s">
        <v>25446</v>
      </c>
      <c r="C10266" s="27" t="s">
        <v>144</v>
      </c>
      <c r="D10266" s="26"/>
      <c r="E10266" s="27"/>
      <c r="F10266" s="27"/>
      <c r="G10266" s="27" t="s">
        <v>11122</v>
      </c>
      <c r="H10266" s="27" t="s">
        <v>35</v>
      </c>
      <c r="I10266" s="27" t="s">
        <v>37</v>
      </c>
      <c r="J10266" s="28" t="s">
        <v>913</v>
      </c>
      <c r="K10266" s="27" t="s">
        <v>38</v>
      </c>
      <c r="L10266" s="27"/>
    </row>
    <row r="10267" customFormat="false" ht="15" hidden="false" customHeight="false" outlineLevel="0" collapsed="false">
      <c r="A10267" s="26" t="s">
        <v>25447</v>
      </c>
      <c r="B10267" s="27" t="s">
        <v>25448</v>
      </c>
      <c r="C10267" s="27" t="s">
        <v>144</v>
      </c>
      <c r="D10267" s="26"/>
      <c r="E10267" s="27"/>
      <c r="F10267" s="27"/>
      <c r="G10267" s="27" t="s">
        <v>11122</v>
      </c>
      <c r="H10267" s="27" t="s">
        <v>35</v>
      </c>
      <c r="I10267" s="27" t="s">
        <v>37</v>
      </c>
      <c r="J10267" s="28" t="s">
        <v>913</v>
      </c>
      <c r="K10267" s="27" t="s">
        <v>38</v>
      </c>
      <c r="L10267" s="27"/>
    </row>
    <row r="10268" customFormat="false" ht="15" hidden="false" customHeight="false" outlineLevel="0" collapsed="false">
      <c r="A10268" s="26" t="s">
        <v>25449</v>
      </c>
      <c r="B10268" s="27" t="s">
        <v>25450</v>
      </c>
      <c r="C10268" s="27" t="s">
        <v>144</v>
      </c>
      <c r="D10268" s="26"/>
      <c r="E10268" s="27"/>
      <c r="F10268" s="27"/>
      <c r="G10268" s="27" t="s">
        <v>11122</v>
      </c>
      <c r="H10268" s="27" t="s">
        <v>35</v>
      </c>
      <c r="I10268" s="27" t="s">
        <v>1067</v>
      </c>
      <c r="J10268" s="28" t="s">
        <v>913</v>
      </c>
      <c r="K10268" s="27" t="s">
        <v>38</v>
      </c>
      <c r="L10268" s="27"/>
    </row>
    <row r="10269" customFormat="false" ht="15" hidden="false" customHeight="false" outlineLevel="0" collapsed="false">
      <c r="A10269" s="26" t="s">
        <v>25451</v>
      </c>
      <c r="B10269" s="27" t="s">
        <v>25452</v>
      </c>
      <c r="C10269" s="27" t="s">
        <v>144</v>
      </c>
      <c r="D10269" s="26"/>
      <c r="E10269" s="27"/>
      <c r="F10269" s="27"/>
      <c r="G10269" s="27" t="s">
        <v>11122</v>
      </c>
      <c r="H10269" s="27" t="s">
        <v>35</v>
      </c>
      <c r="I10269" s="27" t="s">
        <v>38</v>
      </c>
      <c r="J10269" s="28" t="s">
        <v>913</v>
      </c>
      <c r="K10269" s="27" t="s">
        <v>38</v>
      </c>
      <c r="L10269" s="27"/>
    </row>
    <row r="10270" customFormat="false" ht="15" hidden="false" customHeight="false" outlineLevel="0" collapsed="false">
      <c r="A10270" s="26" t="s">
        <v>25453</v>
      </c>
      <c r="B10270" s="27" t="s">
        <v>25454</v>
      </c>
      <c r="C10270" s="27" t="s">
        <v>144</v>
      </c>
      <c r="D10270" s="26"/>
      <c r="E10270" s="27"/>
      <c r="F10270" s="27"/>
      <c r="G10270" s="27" t="s">
        <v>11122</v>
      </c>
      <c r="H10270" s="27" t="s">
        <v>35</v>
      </c>
      <c r="I10270" s="27" t="s">
        <v>41</v>
      </c>
      <c r="J10270" s="28" t="s">
        <v>913</v>
      </c>
      <c r="K10270" s="27" t="s">
        <v>38</v>
      </c>
      <c r="L10270" s="27"/>
    </row>
    <row r="10271" customFormat="false" ht="15" hidden="false" customHeight="false" outlineLevel="0" collapsed="false">
      <c r="A10271" s="26" t="s">
        <v>25455</v>
      </c>
      <c r="B10271" s="27" t="s">
        <v>25456</v>
      </c>
      <c r="C10271" s="27" t="s">
        <v>144</v>
      </c>
      <c r="D10271" s="26"/>
      <c r="E10271" s="27"/>
      <c r="F10271" s="27"/>
      <c r="G10271" s="27" t="s">
        <v>11122</v>
      </c>
      <c r="H10271" s="27" t="s">
        <v>35</v>
      </c>
      <c r="I10271" s="27" t="s">
        <v>37</v>
      </c>
      <c r="J10271" s="28" t="s">
        <v>997</v>
      </c>
      <c r="K10271" s="27" t="s">
        <v>39</v>
      </c>
      <c r="L10271" s="27"/>
    </row>
    <row r="10272" customFormat="false" ht="15" hidden="false" customHeight="false" outlineLevel="0" collapsed="false">
      <c r="A10272" s="26" t="s">
        <v>25457</v>
      </c>
      <c r="B10272" s="27" t="s">
        <v>25458</v>
      </c>
      <c r="C10272" s="27" t="s">
        <v>144</v>
      </c>
      <c r="D10272" s="26"/>
      <c r="E10272" s="27"/>
      <c r="F10272" s="27"/>
      <c r="G10272" s="27" t="s">
        <v>11122</v>
      </c>
      <c r="H10272" s="27" t="s">
        <v>35</v>
      </c>
      <c r="I10272" s="27" t="s">
        <v>37</v>
      </c>
      <c r="J10272" s="28" t="s">
        <v>997</v>
      </c>
      <c r="K10272" s="27" t="s">
        <v>39</v>
      </c>
      <c r="L10272" s="27"/>
    </row>
    <row r="10273" customFormat="false" ht="15" hidden="false" customHeight="false" outlineLevel="0" collapsed="false">
      <c r="A10273" s="26" t="s">
        <v>25459</v>
      </c>
      <c r="B10273" s="27" t="s">
        <v>25460</v>
      </c>
      <c r="C10273" s="27" t="s">
        <v>144</v>
      </c>
      <c r="D10273" s="26"/>
      <c r="E10273" s="27"/>
      <c r="F10273" s="27"/>
      <c r="G10273" s="27" t="s">
        <v>11122</v>
      </c>
      <c r="H10273" s="27" t="s">
        <v>35</v>
      </c>
      <c r="I10273" s="27" t="s">
        <v>37</v>
      </c>
      <c r="J10273" s="28" t="s">
        <v>997</v>
      </c>
      <c r="K10273" s="27" t="s">
        <v>39</v>
      </c>
      <c r="L10273" s="27"/>
    </row>
    <row r="10274" customFormat="false" ht="15" hidden="false" customHeight="false" outlineLevel="0" collapsed="false">
      <c r="A10274" s="26" t="s">
        <v>25461</v>
      </c>
      <c r="B10274" s="27" t="s">
        <v>25462</v>
      </c>
      <c r="C10274" s="27" t="s">
        <v>144</v>
      </c>
      <c r="D10274" s="26"/>
      <c r="E10274" s="27"/>
      <c r="F10274" s="27"/>
      <c r="G10274" s="27" t="s">
        <v>11122</v>
      </c>
      <c r="H10274" s="27" t="s">
        <v>35</v>
      </c>
      <c r="I10274" s="27" t="s">
        <v>37</v>
      </c>
      <c r="J10274" s="28" t="s">
        <v>997</v>
      </c>
      <c r="K10274" s="27" t="s">
        <v>39</v>
      </c>
      <c r="L10274" s="27"/>
    </row>
    <row r="10275" customFormat="false" ht="15" hidden="false" customHeight="false" outlineLevel="0" collapsed="false">
      <c r="A10275" s="26" t="s">
        <v>25463</v>
      </c>
      <c r="B10275" s="27" t="s">
        <v>25464</v>
      </c>
      <c r="C10275" s="27" t="s">
        <v>144</v>
      </c>
      <c r="D10275" s="26"/>
      <c r="E10275" s="27"/>
      <c r="F10275" s="27"/>
      <c r="G10275" s="27" t="s">
        <v>11122</v>
      </c>
      <c r="H10275" s="27" t="s">
        <v>35</v>
      </c>
      <c r="I10275" s="27" t="s">
        <v>47</v>
      </c>
      <c r="J10275" s="28" t="s">
        <v>997</v>
      </c>
      <c r="K10275" s="27" t="s">
        <v>39</v>
      </c>
      <c r="L10275" s="27"/>
    </row>
    <row r="10276" customFormat="false" ht="15" hidden="false" customHeight="false" outlineLevel="0" collapsed="false">
      <c r="A10276" s="26" t="s">
        <v>25465</v>
      </c>
      <c r="B10276" s="27" t="s">
        <v>25466</v>
      </c>
      <c r="C10276" s="27" t="s">
        <v>1187</v>
      </c>
      <c r="D10276" s="26"/>
      <c r="E10276" s="27"/>
      <c r="F10276" s="27"/>
      <c r="G10276" s="27" t="s">
        <v>11122</v>
      </c>
      <c r="H10276" s="27" t="s">
        <v>35</v>
      </c>
      <c r="I10276" s="27" t="s">
        <v>42</v>
      </c>
      <c r="J10276" s="28" t="s">
        <v>997</v>
      </c>
      <c r="K10276" s="27" t="s">
        <v>39</v>
      </c>
      <c r="L10276" s="27"/>
    </row>
    <row r="10277" customFormat="false" ht="15" hidden="false" customHeight="false" outlineLevel="0" collapsed="false">
      <c r="A10277" s="26" t="s">
        <v>25467</v>
      </c>
      <c r="B10277" s="27" t="s">
        <v>25468</v>
      </c>
      <c r="C10277" s="27" t="s">
        <v>144</v>
      </c>
      <c r="D10277" s="26"/>
      <c r="E10277" s="27"/>
      <c r="F10277" s="27"/>
      <c r="G10277" s="27" t="s">
        <v>11122</v>
      </c>
      <c r="H10277" s="27" t="s">
        <v>35</v>
      </c>
      <c r="I10277" s="27" t="s">
        <v>20386</v>
      </c>
      <c r="J10277" s="28" t="s">
        <v>997</v>
      </c>
      <c r="K10277" s="27" t="s">
        <v>39</v>
      </c>
      <c r="L10277" s="27"/>
    </row>
    <row r="10278" customFormat="false" ht="15" hidden="false" customHeight="false" outlineLevel="0" collapsed="false">
      <c r="A10278" s="26" t="s">
        <v>25469</v>
      </c>
      <c r="B10278" s="27" t="s">
        <v>25470</v>
      </c>
      <c r="C10278" s="27" t="s">
        <v>144</v>
      </c>
      <c r="D10278" s="26"/>
      <c r="E10278" s="27"/>
      <c r="F10278" s="27"/>
      <c r="G10278" s="27" t="s">
        <v>11122</v>
      </c>
      <c r="H10278" s="27" t="s">
        <v>35</v>
      </c>
      <c r="I10278" s="27" t="s">
        <v>41</v>
      </c>
      <c r="J10278" s="28" t="s">
        <v>997</v>
      </c>
      <c r="K10278" s="27" t="s">
        <v>39</v>
      </c>
      <c r="L10278" s="27"/>
    </row>
    <row r="10279" customFormat="false" ht="15" hidden="false" customHeight="false" outlineLevel="0" collapsed="false">
      <c r="A10279" s="26" t="s">
        <v>25471</v>
      </c>
      <c r="B10279" s="27" t="s">
        <v>25472</v>
      </c>
      <c r="C10279" s="27" t="s">
        <v>144</v>
      </c>
      <c r="D10279" s="26"/>
      <c r="E10279" s="27"/>
      <c r="F10279" s="27"/>
      <c r="G10279" s="27" t="s">
        <v>11122</v>
      </c>
      <c r="H10279" s="27" t="s">
        <v>35</v>
      </c>
      <c r="I10279" s="27" t="s">
        <v>41</v>
      </c>
      <c r="J10279" s="28" t="s">
        <v>997</v>
      </c>
      <c r="K10279" s="27" t="s">
        <v>39</v>
      </c>
      <c r="L10279" s="27"/>
    </row>
    <row r="10280" customFormat="false" ht="15" hidden="false" customHeight="false" outlineLevel="0" collapsed="false">
      <c r="A10280" s="26" t="s">
        <v>25473</v>
      </c>
      <c r="B10280" s="27" t="s">
        <v>25474</v>
      </c>
      <c r="C10280" s="27" t="s">
        <v>144</v>
      </c>
      <c r="D10280" s="26"/>
      <c r="E10280" s="27"/>
      <c r="F10280" s="27"/>
      <c r="G10280" s="27" t="s">
        <v>11122</v>
      </c>
      <c r="H10280" s="27" t="s">
        <v>35</v>
      </c>
      <c r="I10280" s="27" t="s">
        <v>41</v>
      </c>
      <c r="J10280" s="28" t="s">
        <v>997</v>
      </c>
      <c r="K10280" s="27" t="s">
        <v>39</v>
      </c>
      <c r="L10280" s="27"/>
    </row>
    <row r="10281" customFormat="false" ht="15" hidden="false" customHeight="false" outlineLevel="0" collapsed="false">
      <c r="A10281" s="26" t="s">
        <v>25475</v>
      </c>
      <c r="B10281" s="27" t="s">
        <v>25476</v>
      </c>
      <c r="C10281" s="27" t="s">
        <v>144</v>
      </c>
      <c r="D10281" s="26"/>
      <c r="E10281" s="27"/>
      <c r="F10281" s="27"/>
      <c r="G10281" s="27" t="s">
        <v>11122</v>
      </c>
      <c r="H10281" s="27" t="s">
        <v>35</v>
      </c>
      <c r="I10281" s="27" t="s">
        <v>41</v>
      </c>
      <c r="J10281" s="28" t="s">
        <v>997</v>
      </c>
      <c r="K10281" s="27" t="s">
        <v>39</v>
      </c>
      <c r="L10281" s="27"/>
    </row>
    <row r="10282" customFormat="false" ht="15" hidden="false" customHeight="false" outlineLevel="0" collapsed="false">
      <c r="A10282" s="26" t="s">
        <v>25477</v>
      </c>
      <c r="B10282" s="27" t="s">
        <v>25478</v>
      </c>
      <c r="C10282" s="27" t="s">
        <v>144</v>
      </c>
      <c r="D10282" s="26"/>
      <c r="E10282" s="27"/>
      <c r="F10282" s="27"/>
      <c r="G10282" s="27" t="s">
        <v>11122</v>
      </c>
      <c r="H10282" s="27" t="s">
        <v>35</v>
      </c>
      <c r="I10282" s="27" t="s">
        <v>41</v>
      </c>
      <c r="J10282" s="28" t="s">
        <v>997</v>
      </c>
      <c r="K10282" s="27" t="s">
        <v>39</v>
      </c>
      <c r="L10282" s="27"/>
    </row>
    <row r="10283" customFormat="false" ht="15" hidden="false" customHeight="false" outlineLevel="0" collapsed="false">
      <c r="A10283" s="26" t="s">
        <v>25479</v>
      </c>
      <c r="B10283" s="27" t="s">
        <v>25480</v>
      </c>
      <c r="C10283" s="27" t="s">
        <v>144</v>
      </c>
      <c r="D10283" s="26"/>
      <c r="E10283" s="27"/>
      <c r="F10283" s="27"/>
      <c r="G10283" s="27" t="s">
        <v>11122</v>
      </c>
      <c r="H10283" s="27" t="s">
        <v>35</v>
      </c>
      <c r="I10283" s="27" t="s">
        <v>41</v>
      </c>
      <c r="J10283" s="28" t="s">
        <v>997</v>
      </c>
      <c r="K10283" s="27" t="s">
        <v>39</v>
      </c>
      <c r="L10283" s="27"/>
    </row>
    <row r="10284" customFormat="false" ht="15" hidden="false" customHeight="false" outlineLevel="0" collapsed="false">
      <c r="A10284" s="26" t="s">
        <v>25481</v>
      </c>
      <c r="B10284" s="27" t="s">
        <v>25482</v>
      </c>
      <c r="C10284" s="27" t="s">
        <v>144</v>
      </c>
      <c r="D10284" s="26"/>
      <c r="E10284" s="27"/>
      <c r="F10284" s="27"/>
      <c r="G10284" s="27" t="s">
        <v>11122</v>
      </c>
      <c r="H10284" s="27" t="s">
        <v>35</v>
      </c>
      <c r="I10284" s="27" t="s">
        <v>41</v>
      </c>
      <c r="J10284" s="28" t="s">
        <v>997</v>
      </c>
      <c r="K10284" s="27" t="s">
        <v>39</v>
      </c>
      <c r="L10284" s="27"/>
    </row>
    <row r="10285" customFormat="false" ht="15" hidden="false" customHeight="false" outlineLevel="0" collapsed="false">
      <c r="A10285" s="26" t="s">
        <v>25483</v>
      </c>
      <c r="B10285" s="27" t="s">
        <v>25484</v>
      </c>
      <c r="C10285" s="27" t="s">
        <v>144</v>
      </c>
      <c r="D10285" s="26"/>
      <c r="E10285" s="27"/>
      <c r="F10285" s="27"/>
      <c r="G10285" s="27" t="s">
        <v>11122</v>
      </c>
      <c r="H10285" s="27" t="s">
        <v>35</v>
      </c>
      <c r="I10285" s="27" t="s">
        <v>41</v>
      </c>
      <c r="J10285" s="28" t="s">
        <v>997</v>
      </c>
      <c r="K10285" s="27" t="s">
        <v>39</v>
      </c>
      <c r="L10285" s="27"/>
    </row>
    <row r="10286" customFormat="false" ht="15" hidden="false" customHeight="false" outlineLevel="0" collapsed="false">
      <c r="A10286" s="26" t="s">
        <v>25485</v>
      </c>
      <c r="B10286" s="27" t="s">
        <v>25486</v>
      </c>
      <c r="C10286" s="27" t="s">
        <v>144</v>
      </c>
      <c r="D10286" s="26"/>
      <c r="E10286" s="27"/>
      <c r="F10286" s="27"/>
      <c r="G10286" s="27" t="s">
        <v>11122</v>
      </c>
      <c r="H10286" s="27" t="s">
        <v>35</v>
      </c>
      <c r="I10286" s="27" t="s">
        <v>41</v>
      </c>
      <c r="J10286" s="28" t="s">
        <v>997</v>
      </c>
      <c r="K10286" s="27" t="s">
        <v>39</v>
      </c>
      <c r="L10286" s="27"/>
    </row>
    <row r="10287" customFormat="false" ht="15" hidden="false" customHeight="false" outlineLevel="0" collapsed="false">
      <c r="A10287" s="26" t="s">
        <v>25487</v>
      </c>
      <c r="B10287" s="27" t="s">
        <v>25488</v>
      </c>
      <c r="C10287" s="27" t="s">
        <v>144</v>
      </c>
      <c r="D10287" s="26"/>
      <c r="E10287" s="27"/>
      <c r="F10287" s="27"/>
      <c r="G10287" s="27" t="s">
        <v>11122</v>
      </c>
      <c r="H10287" s="27" t="s">
        <v>35</v>
      </c>
      <c r="I10287" s="27" t="s">
        <v>41</v>
      </c>
      <c r="J10287" s="28" t="s">
        <v>997</v>
      </c>
      <c r="K10287" s="27" t="s">
        <v>39</v>
      </c>
      <c r="L10287" s="27"/>
    </row>
    <row r="10288" customFormat="false" ht="15" hidden="false" customHeight="false" outlineLevel="0" collapsed="false">
      <c r="A10288" s="26" t="s">
        <v>25489</v>
      </c>
      <c r="B10288" s="27" t="s">
        <v>25490</v>
      </c>
      <c r="C10288" s="27" t="s">
        <v>144</v>
      </c>
      <c r="D10288" s="26"/>
      <c r="E10288" s="27"/>
      <c r="F10288" s="27"/>
      <c r="G10288" s="27" t="s">
        <v>11122</v>
      </c>
      <c r="H10288" s="27" t="s">
        <v>35</v>
      </c>
      <c r="I10288" s="27" t="s">
        <v>37</v>
      </c>
      <c r="J10288" s="28" t="s">
        <v>997</v>
      </c>
      <c r="K10288" s="27" t="s">
        <v>39</v>
      </c>
      <c r="L10288" s="27"/>
    </row>
    <row r="10289" customFormat="false" ht="15" hidden="false" customHeight="false" outlineLevel="0" collapsed="false">
      <c r="A10289" s="26" t="s">
        <v>25491</v>
      </c>
      <c r="B10289" s="27" t="s">
        <v>25492</v>
      </c>
      <c r="C10289" s="27" t="s">
        <v>144</v>
      </c>
      <c r="D10289" s="26"/>
      <c r="E10289" s="27"/>
      <c r="F10289" s="27"/>
      <c r="G10289" s="27" t="s">
        <v>11122</v>
      </c>
      <c r="H10289" s="27" t="s">
        <v>35</v>
      </c>
      <c r="I10289" s="27" t="s">
        <v>47</v>
      </c>
      <c r="J10289" s="28" t="s">
        <v>997</v>
      </c>
      <c r="K10289" s="27" t="s">
        <v>39</v>
      </c>
      <c r="L10289" s="27"/>
    </row>
    <row r="10290" customFormat="false" ht="15" hidden="false" customHeight="false" outlineLevel="0" collapsed="false">
      <c r="A10290" s="26" t="s">
        <v>25493</v>
      </c>
      <c r="B10290" s="27" t="s">
        <v>25494</v>
      </c>
      <c r="C10290" s="27" t="s">
        <v>144</v>
      </c>
      <c r="D10290" s="26"/>
      <c r="E10290" s="27"/>
      <c r="F10290" s="27"/>
      <c r="G10290" s="27" t="s">
        <v>11122</v>
      </c>
      <c r="H10290" s="27" t="s">
        <v>35</v>
      </c>
      <c r="I10290" s="27" t="s">
        <v>47</v>
      </c>
      <c r="J10290" s="28" t="s">
        <v>997</v>
      </c>
      <c r="K10290" s="27" t="s">
        <v>39</v>
      </c>
      <c r="L10290" s="27"/>
    </row>
    <row r="10291" customFormat="false" ht="15" hidden="false" customHeight="false" outlineLevel="0" collapsed="false">
      <c r="A10291" s="26" t="s">
        <v>25495</v>
      </c>
      <c r="B10291" s="27" t="s">
        <v>25496</v>
      </c>
      <c r="C10291" s="27" t="s">
        <v>144</v>
      </c>
      <c r="D10291" s="26"/>
      <c r="E10291" s="27"/>
      <c r="F10291" s="27"/>
      <c r="G10291" s="27" t="s">
        <v>11122</v>
      </c>
      <c r="H10291" s="27" t="s">
        <v>35</v>
      </c>
      <c r="I10291" s="27" t="s">
        <v>37</v>
      </c>
      <c r="J10291" s="28" t="s">
        <v>997</v>
      </c>
      <c r="K10291" s="27" t="s">
        <v>39</v>
      </c>
      <c r="L10291" s="27"/>
    </row>
    <row r="10292" customFormat="false" ht="15" hidden="false" customHeight="false" outlineLevel="0" collapsed="false">
      <c r="A10292" s="26" t="s">
        <v>25497</v>
      </c>
      <c r="B10292" s="27" t="s">
        <v>25498</v>
      </c>
      <c r="C10292" s="27" t="s">
        <v>144</v>
      </c>
      <c r="D10292" s="26"/>
      <c r="E10292" s="27"/>
      <c r="F10292" s="27"/>
      <c r="G10292" s="27" t="s">
        <v>11122</v>
      </c>
      <c r="H10292" s="27" t="s">
        <v>35</v>
      </c>
      <c r="I10292" s="27" t="s">
        <v>39</v>
      </c>
      <c r="J10292" s="28" t="s">
        <v>997</v>
      </c>
      <c r="K10292" s="27" t="s">
        <v>39</v>
      </c>
      <c r="L10292" s="27"/>
    </row>
    <row r="10293" customFormat="false" ht="15" hidden="false" customHeight="false" outlineLevel="0" collapsed="false">
      <c r="A10293" s="26" t="s">
        <v>25499</v>
      </c>
      <c r="B10293" s="27" t="s">
        <v>25500</v>
      </c>
      <c r="C10293" s="27" t="s">
        <v>144</v>
      </c>
      <c r="D10293" s="26"/>
      <c r="E10293" s="27"/>
      <c r="F10293" s="27"/>
      <c r="G10293" s="27" t="s">
        <v>11122</v>
      </c>
      <c r="H10293" s="27" t="s">
        <v>35</v>
      </c>
      <c r="I10293" s="27" t="s">
        <v>39</v>
      </c>
      <c r="J10293" s="28" t="s">
        <v>997</v>
      </c>
      <c r="K10293" s="27" t="s">
        <v>39</v>
      </c>
      <c r="L10293" s="27"/>
    </row>
    <row r="10294" customFormat="false" ht="15" hidden="false" customHeight="false" outlineLevel="0" collapsed="false">
      <c r="A10294" s="26" t="s">
        <v>25501</v>
      </c>
      <c r="B10294" s="27" t="s">
        <v>25502</v>
      </c>
      <c r="C10294" s="27" t="s">
        <v>144</v>
      </c>
      <c r="D10294" s="26"/>
      <c r="E10294" s="27"/>
      <c r="F10294" s="27"/>
      <c r="G10294" s="27" t="s">
        <v>11122</v>
      </c>
      <c r="H10294" s="27" t="s">
        <v>35</v>
      </c>
      <c r="I10294" s="27" t="s">
        <v>39</v>
      </c>
      <c r="J10294" s="28" t="s">
        <v>997</v>
      </c>
      <c r="K10294" s="27" t="s">
        <v>39</v>
      </c>
      <c r="L10294" s="27"/>
    </row>
    <row r="10295" customFormat="false" ht="15" hidden="false" customHeight="false" outlineLevel="0" collapsed="false">
      <c r="A10295" s="26" t="s">
        <v>25503</v>
      </c>
      <c r="B10295" s="27" t="s">
        <v>25504</v>
      </c>
      <c r="C10295" s="27" t="s">
        <v>144</v>
      </c>
      <c r="D10295" s="26"/>
      <c r="E10295" s="27"/>
      <c r="F10295" s="27"/>
      <c r="G10295" s="27" t="s">
        <v>11122</v>
      </c>
      <c r="H10295" s="27" t="s">
        <v>35</v>
      </c>
      <c r="I10295" s="27" t="s">
        <v>37</v>
      </c>
      <c r="J10295" s="28" t="s">
        <v>997</v>
      </c>
      <c r="K10295" s="27" t="s">
        <v>39</v>
      </c>
      <c r="L10295" s="27"/>
    </row>
    <row r="10296" customFormat="false" ht="15" hidden="false" customHeight="false" outlineLevel="0" collapsed="false">
      <c r="A10296" s="26" t="s">
        <v>25505</v>
      </c>
      <c r="B10296" s="27" t="s">
        <v>25506</v>
      </c>
      <c r="C10296" s="27" t="s">
        <v>144</v>
      </c>
      <c r="D10296" s="26"/>
      <c r="E10296" s="27"/>
      <c r="F10296" s="27"/>
      <c r="G10296" s="27" t="s">
        <v>11122</v>
      </c>
      <c r="H10296" s="27" t="s">
        <v>35</v>
      </c>
      <c r="I10296" s="27" t="s">
        <v>37</v>
      </c>
      <c r="J10296" s="28" t="s">
        <v>997</v>
      </c>
      <c r="K10296" s="27" t="s">
        <v>39</v>
      </c>
      <c r="L10296" s="27"/>
    </row>
    <row r="10297" customFormat="false" ht="15" hidden="false" customHeight="false" outlineLevel="0" collapsed="false">
      <c r="A10297" s="26" t="s">
        <v>25507</v>
      </c>
      <c r="B10297" s="27" t="s">
        <v>25508</v>
      </c>
      <c r="C10297" s="27" t="s">
        <v>144</v>
      </c>
      <c r="D10297" s="26"/>
      <c r="E10297" s="27"/>
      <c r="F10297" s="27"/>
      <c r="G10297" s="27" t="s">
        <v>11122</v>
      </c>
      <c r="H10297" s="27" t="s">
        <v>35</v>
      </c>
      <c r="I10297" s="27" t="s">
        <v>39</v>
      </c>
      <c r="J10297" s="28" t="s">
        <v>997</v>
      </c>
      <c r="K10297" s="27" t="s">
        <v>39</v>
      </c>
      <c r="L10297" s="27"/>
    </row>
    <row r="10298" customFormat="false" ht="15" hidden="false" customHeight="false" outlineLevel="0" collapsed="false">
      <c r="A10298" s="26" t="s">
        <v>25509</v>
      </c>
      <c r="B10298" s="27" t="s">
        <v>25510</v>
      </c>
      <c r="C10298" s="27" t="s">
        <v>144</v>
      </c>
      <c r="D10298" s="26"/>
      <c r="E10298" s="27"/>
      <c r="F10298" s="27"/>
      <c r="G10298" s="27" t="s">
        <v>11122</v>
      </c>
      <c r="H10298" s="27" t="s">
        <v>35</v>
      </c>
      <c r="I10298" s="27" t="s">
        <v>42</v>
      </c>
      <c r="J10298" s="28" t="s">
        <v>997</v>
      </c>
      <c r="K10298" s="27" t="s">
        <v>39</v>
      </c>
      <c r="L10298" s="27"/>
    </row>
    <row r="10299" customFormat="false" ht="15" hidden="false" customHeight="false" outlineLevel="0" collapsed="false">
      <c r="A10299" s="26" t="s">
        <v>25511</v>
      </c>
      <c r="B10299" s="27" t="s">
        <v>25512</v>
      </c>
      <c r="C10299" s="27" t="s">
        <v>144</v>
      </c>
      <c r="D10299" s="26"/>
      <c r="E10299" s="27"/>
      <c r="F10299" s="27"/>
      <c r="G10299" s="27" t="s">
        <v>11122</v>
      </c>
      <c r="H10299" s="27" t="s">
        <v>35</v>
      </c>
      <c r="I10299" s="27" t="s">
        <v>41</v>
      </c>
      <c r="J10299" s="28" t="s">
        <v>997</v>
      </c>
      <c r="K10299" s="27" t="s">
        <v>39</v>
      </c>
      <c r="L10299" s="27"/>
    </row>
    <row r="10300" customFormat="false" ht="15" hidden="false" customHeight="false" outlineLevel="0" collapsed="false">
      <c r="A10300" s="26" t="s">
        <v>25513</v>
      </c>
      <c r="B10300" s="27" t="s">
        <v>25514</v>
      </c>
      <c r="C10300" s="27" t="s">
        <v>144</v>
      </c>
      <c r="D10300" s="26"/>
      <c r="E10300" s="27"/>
      <c r="F10300" s="27"/>
      <c r="G10300" s="27" t="s">
        <v>11122</v>
      </c>
      <c r="H10300" s="27" t="s">
        <v>35</v>
      </c>
      <c r="I10300" s="27" t="s">
        <v>41</v>
      </c>
      <c r="J10300" s="28" t="s">
        <v>997</v>
      </c>
      <c r="K10300" s="27" t="s">
        <v>39</v>
      </c>
      <c r="L10300" s="27"/>
    </row>
    <row r="10301" customFormat="false" ht="15" hidden="false" customHeight="false" outlineLevel="0" collapsed="false">
      <c r="A10301" s="26" t="s">
        <v>25515</v>
      </c>
      <c r="B10301" s="27" t="s">
        <v>25516</v>
      </c>
      <c r="C10301" s="27" t="s">
        <v>144</v>
      </c>
      <c r="D10301" s="26"/>
      <c r="E10301" s="27"/>
      <c r="F10301" s="27"/>
      <c r="G10301" s="27" t="s">
        <v>11122</v>
      </c>
      <c r="H10301" s="27" t="s">
        <v>35</v>
      </c>
      <c r="I10301" s="27" t="s">
        <v>41</v>
      </c>
      <c r="J10301" s="28" t="s">
        <v>997</v>
      </c>
      <c r="K10301" s="27" t="s">
        <v>39</v>
      </c>
      <c r="L10301" s="27"/>
    </row>
    <row r="10302" customFormat="false" ht="15" hidden="false" customHeight="false" outlineLevel="0" collapsed="false">
      <c r="A10302" s="26" t="s">
        <v>25517</v>
      </c>
      <c r="B10302" s="27" t="s">
        <v>25518</v>
      </c>
      <c r="C10302" s="27" t="s">
        <v>144</v>
      </c>
      <c r="D10302" s="26"/>
      <c r="E10302" s="27"/>
      <c r="F10302" s="27"/>
      <c r="G10302" s="27" t="s">
        <v>11122</v>
      </c>
      <c r="H10302" s="27" t="s">
        <v>35</v>
      </c>
      <c r="I10302" s="27" t="s">
        <v>41</v>
      </c>
      <c r="J10302" s="28" t="s">
        <v>997</v>
      </c>
      <c r="K10302" s="27" t="s">
        <v>39</v>
      </c>
      <c r="L10302" s="27"/>
    </row>
    <row r="10303" customFormat="false" ht="15" hidden="false" customHeight="false" outlineLevel="0" collapsed="false">
      <c r="A10303" s="26" t="s">
        <v>25519</v>
      </c>
      <c r="B10303" s="27" t="s">
        <v>25520</v>
      </c>
      <c r="C10303" s="27" t="s">
        <v>144</v>
      </c>
      <c r="D10303" s="26"/>
      <c r="E10303" s="27"/>
      <c r="F10303" s="27"/>
      <c r="G10303" s="27" t="s">
        <v>11122</v>
      </c>
      <c r="H10303" s="27" t="s">
        <v>35</v>
      </c>
      <c r="I10303" s="27" t="s">
        <v>41</v>
      </c>
      <c r="J10303" s="28" t="s">
        <v>997</v>
      </c>
      <c r="K10303" s="27" t="s">
        <v>39</v>
      </c>
      <c r="L10303" s="27"/>
    </row>
    <row r="10304" customFormat="false" ht="15" hidden="false" customHeight="false" outlineLevel="0" collapsed="false">
      <c r="A10304" s="26" t="s">
        <v>25521</v>
      </c>
      <c r="B10304" s="27" t="s">
        <v>25522</v>
      </c>
      <c r="C10304" s="27" t="s">
        <v>144</v>
      </c>
      <c r="D10304" s="26"/>
      <c r="E10304" s="27"/>
      <c r="F10304" s="27"/>
      <c r="G10304" s="27" t="s">
        <v>11122</v>
      </c>
      <c r="H10304" s="27" t="s">
        <v>35</v>
      </c>
      <c r="I10304" s="27" t="s">
        <v>41</v>
      </c>
      <c r="J10304" s="28" t="s">
        <v>997</v>
      </c>
      <c r="K10304" s="27" t="s">
        <v>39</v>
      </c>
      <c r="L10304" s="27"/>
    </row>
    <row r="10305" customFormat="false" ht="15" hidden="false" customHeight="false" outlineLevel="0" collapsed="false">
      <c r="A10305" s="26" t="s">
        <v>25523</v>
      </c>
      <c r="B10305" s="27" t="s">
        <v>25524</v>
      </c>
      <c r="C10305" s="27" t="s">
        <v>144</v>
      </c>
      <c r="D10305" s="26"/>
      <c r="E10305" s="27"/>
      <c r="F10305" s="27"/>
      <c r="G10305" s="27" t="s">
        <v>11122</v>
      </c>
      <c r="H10305" s="27" t="s">
        <v>35</v>
      </c>
      <c r="I10305" s="27" t="s">
        <v>42</v>
      </c>
      <c r="J10305" s="28" t="s">
        <v>997</v>
      </c>
      <c r="K10305" s="27" t="s">
        <v>39</v>
      </c>
      <c r="L10305" s="27"/>
    </row>
    <row r="10306" customFormat="false" ht="15" hidden="false" customHeight="false" outlineLevel="0" collapsed="false">
      <c r="A10306" s="26" t="s">
        <v>25525</v>
      </c>
      <c r="B10306" s="27" t="s">
        <v>25526</v>
      </c>
      <c r="C10306" s="27" t="s">
        <v>144</v>
      </c>
      <c r="D10306" s="26"/>
      <c r="E10306" s="27"/>
      <c r="F10306" s="27"/>
      <c r="G10306" s="27" t="s">
        <v>11122</v>
      </c>
      <c r="H10306" s="27" t="s">
        <v>35</v>
      </c>
      <c r="I10306" s="27" t="s">
        <v>39</v>
      </c>
      <c r="J10306" s="28" t="s">
        <v>997</v>
      </c>
      <c r="K10306" s="27" t="s">
        <v>39</v>
      </c>
      <c r="L10306" s="27"/>
    </row>
    <row r="10307" customFormat="false" ht="15" hidden="false" customHeight="false" outlineLevel="0" collapsed="false">
      <c r="A10307" s="26" t="s">
        <v>25527</v>
      </c>
      <c r="B10307" s="27" t="s">
        <v>25528</v>
      </c>
      <c r="C10307" s="27" t="s">
        <v>1187</v>
      </c>
      <c r="D10307" s="26"/>
      <c r="E10307" s="27"/>
      <c r="F10307" s="27"/>
      <c r="G10307" s="27" t="s">
        <v>11122</v>
      </c>
      <c r="H10307" s="27" t="s">
        <v>35</v>
      </c>
      <c r="I10307" s="27" t="s">
        <v>42</v>
      </c>
      <c r="J10307" s="28" t="s">
        <v>997</v>
      </c>
      <c r="K10307" s="27" t="s">
        <v>39</v>
      </c>
      <c r="L10307" s="27"/>
    </row>
    <row r="10308" customFormat="false" ht="15" hidden="false" customHeight="false" outlineLevel="0" collapsed="false">
      <c r="A10308" s="26" t="s">
        <v>25529</v>
      </c>
      <c r="B10308" s="27" t="s">
        <v>25530</v>
      </c>
      <c r="C10308" s="27" t="s">
        <v>144</v>
      </c>
      <c r="D10308" s="26"/>
      <c r="E10308" s="27"/>
      <c r="F10308" s="27"/>
      <c r="G10308" s="27" t="s">
        <v>11122</v>
      </c>
      <c r="H10308" s="27" t="s">
        <v>35</v>
      </c>
      <c r="I10308" s="27" t="s">
        <v>37</v>
      </c>
      <c r="J10308" s="28" t="s">
        <v>997</v>
      </c>
      <c r="K10308" s="27" t="s">
        <v>39</v>
      </c>
      <c r="L10308" s="27"/>
    </row>
    <row r="10309" customFormat="false" ht="15" hidden="false" customHeight="false" outlineLevel="0" collapsed="false">
      <c r="A10309" s="26" t="s">
        <v>25531</v>
      </c>
      <c r="B10309" s="27" t="s">
        <v>25532</v>
      </c>
      <c r="C10309" s="27" t="s">
        <v>144</v>
      </c>
      <c r="D10309" s="26"/>
      <c r="E10309" s="27"/>
      <c r="F10309" s="27"/>
      <c r="G10309" s="27" t="s">
        <v>11122</v>
      </c>
      <c r="H10309" s="27" t="s">
        <v>35</v>
      </c>
      <c r="I10309" s="27" t="s">
        <v>42</v>
      </c>
      <c r="J10309" s="28" t="s">
        <v>997</v>
      </c>
      <c r="K10309" s="27" t="s">
        <v>39</v>
      </c>
      <c r="L10309" s="27"/>
    </row>
    <row r="10310" customFormat="false" ht="15" hidden="false" customHeight="false" outlineLevel="0" collapsed="false">
      <c r="A10310" s="26" t="s">
        <v>25533</v>
      </c>
      <c r="B10310" s="27" t="s">
        <v>25534</v>
      </c>
      <c r="C10310" s="27" t="s">
        <v>144</v>
      </c>
      <c r="D10310" s="26"/>
      <c r="E10310" s="27"/>
      <c r="F10310" s="27"/>
      <c r="G10310" s="27" t="s">
        <v>11122</v>
      </c>
      <c r="H10310" s="27" t="s">
        <v>35</v>
      </c>
      <c r="I10310" s="27" t="s">
        <v>37</v>
      </c>
      <c r="J10310" s="28" t="s">
        <v>997</v>
      </c>
      <c r="K10310" s="27" t="s">
        <v>39</v>
      </c>
      <c r="L10310" s="27"/>
    </row>
    <row r="10311" customFormat="false" ht="15" hidden="false" customHeight="false" outlineLevel="0" collapsed="false">
      <c r="A10311" s="26" t="s">
        <v>25535</v>
      </c>
      <c r="B10311" s="27" t="s">
        <v>25536</v>
      </c>
      <c r="C10311" s="27" t="s">
        <v>144</v>
      </c>
      <c r="D10311" s="26"/>
      <c r="E10311" s="27"/>
      <c r="F10311" s="27"/>
      <c r="G10311" s="27" t="s">
        <v>11122</v>
      </c>
      <c r="H10311" s="27" t="s">
        <v>35</v>
      </c>
      <c r="I10311" s="27" t="s">
        <v>37</v>
      </c>
      <c r="J10311" s="28" t="s">
        <v>997</v>
      </c>
      <c r="K10311" s="27" t="s">
        <v>39</v>
      </c>
      <c r="L10311" s="27"/>
    </row>
    <row r="10312" customFormat="false" ht="15" hidden="false" customHeight="false" outlineLevel="0" collapsed="false">
      <c r="A10312" s="26" t="s">
        <v>25537</v>
      </c>
      <c r="B10312" s="27" t="s">
        <v>25538</v>
      </c>
      <c r="C10312" s="27" t="s">
        <v>144</v>
      </c>
      <c r="D10312" s="26"/>
      <c r="E10312" s="27"/>
      <c r="F10312" s="27"/>
      <c r="G10312" s="27" t="s">
        <v>11122</v>
      </c>
      <c r="H10312" s="27" t="s">
        <v>35</v>
      </c>
      <c r="I10312" s="27" t="s">
        <v>37</v>
      </c>
      <c r="J10312" s="28" t="s">
        <v>997</v>
      </c>
      <c r="K10312" s="27" t="s">
        <v>39</v>
      </c>
      <c r="L10312" s="27"/>
    </row>
    <row r="10313" customFormat="false" ht="15" hidden="false" customHeight="false" outlineLevel="0" collapsed="false">
      <c r="A10313" s="26" t="s">
        <v>25539</v>
      </c>
      <c r="B10313" s="27" t="s">
        <v>25540</v>
      </c>
      <c r="C10313" s="27" t="s">
        <v>144</v>
      </c>
      <c r="D10313" s="26"/>
      <c r="E10313" s="27"/>
      <c r="F10313" s="27"/>
      <c r="G10313" s="27" t="s">
        <v>11122</v>
      </c>
      <c r="H10313" s="27" t="s">
        <v>35</v>
      </c>
      <c r="I10313" s="27" t="s">
        <v>37</v>
      </c>
      <c r="J10313" s="28" t="s">
        <v>997</v>
      </c>
      <c r="K10313" s="27" t="s">
        <v>39</v>
      </c>
      <c r="L10313" s="27"/>
    </row>
    <row r="10314" customFormat="false" ht="15" hidden="false" customHeight="false" outlineLevel="0" collapsed="false">
      <c r="A10314" s="26" t="s">
        <v>25541</v>
      </c>
      <c r="B10314" s="27" t="s">
        <v>25542</v>
      </c>
      <c r="C10314" s="27" t="s">
        <v>144</v>
      </c>
      <c r="D10314" s="26"/>
      <c r="E10314" s="27"/>
      <c r="F10314" s="27"/>
      <c r="G10314" s="27" t="s">
        <v>11122</v>
      </c>
      <c r="H10314" s="27" t="s">
        <v>35</v>
      </c>
      <c r="I10314" s="27" t="s">
        <v>42</v>
      </c>
      <c r="J10314" s="28" t="s">
        <v>997</v>
      </c>
      <c r="K10314" s="27" t="s">
        <v>39</v>
      </c>
      <c r="L10314" s="27"/>
    </row>
    <row r="10315" customFormat="false" ht="15" hidden="false" customHeight="false" outlineLevel="0" collapsed="false">
      <c r="A10315" s="26" t="s">
        <v>25543</v>
      </c>
      <c r="B10315" s="27" t="s">
        <v>25544</v>
      </c>
      <c r="C10315" s="27" t="s">
        <v>144</v>
      </c>
      <c r="D10315" s="26"/>
      <c r="E10315" s="27"/>
      <c r="F10315" s="27"/>
      <c r="G10315" s="27" t="s">
        <v>11122</v>
      </c>
      <c r="H10315" s="27" t="s">
        <v>35</v>
      </c>
      <c r="I10315" s="27" t="s">
        <v>37</v>
      </c>
      <c r="J10315" s="28" t="s">
        <v>997</v>
      </c>
      <c r="K10315" s="27" t="s">
        <v>39</v>
      </c>
      <c r="L10315" s="27"/>
    </row>
    <row r="10316" customFormat="false" ht="15" hidden="false" customHeight="false" outlineLevel="0" collapsed="false">
      <c r="A10316" s="26" t="s">
        <v>25545</v>
      </c>
      <c r="B10316" s="27" t="s">
        <v>25546</v>
      </c>
      <c r="C10316" s="27" t="s">
        <v>144</v>
      </c>
      <c r="D10316" s="26"/>
      <c r="E10316" s="27"/>
      <c r="F10316" s="27"/>
      <c r="G10316" s="27" t="s">
        <v>11122</v>
      </c>
      <c r="H10316" s="27" t="s">
        <v>35</v>
      </c>
      <c r="I10316" s="27" t="s">
        <v>37</v>
      </c>
      <c r="J10316" s="28" t="s">
        <v>997</v>
      </c>
      <c r="K10316" s="27" t="s">
        <v>39</v>
      </c>
      <c r="L10316" s="27"/>
    </row>
    <row r="10317" customFormat="false" ht="15" hidden="false" customHeight="false" outlineLevel="0" collapsed="false">
      <c r="A10317" s="26" t="s">
        <v>25547</v>
      </c>
      <c r="B10317" s="27" t="s">
        <v>25548</v>
      </c>
      <c r="C10317" s="27" t="s">
        <v>144</v>
      </c>
      <c r="D10317" s="26"/>
      <c r="E10317" s="27"/>
      <c r="F10317" s="27"/>
      <c r="G10317" s="27" t="s">
        <v>11122</v>
      </c>
      <c r="H10317" s="27" t="s">
        <v>35</v>
      </c>
      <c r="I10317" s="27" t="s">
        <v>37</v>
      </c>
      <c r="J10317" s="28" t="s">
        <v>997</v>
      </c>
      <c r="K10317" s="27" t="s">
        <v>39</v>
      </c>
      <c r="L10317" s="27"/>
    </row>
    <row r="10318" customFormat="false" ht="15" hidden="false" customHeight="false" outlineLevel="0" collapsed="false">
      <c r="A10318" s="26" t="s">
        <v>25549</v>
      </c>
      <c r="B10318" s="27" t="s">
        <v>25550</v>
      </c>
      <c r="C10318" s="27" t="s">
        <v>144</v>
      </c>
      <c r="D10318" s="26"/>
      <c r="E10318" s="27"/>
      <c r="F10318" s="27"/>
      <c r="G10318" s="27" t="s">
        <v>11122</v>
      </c>
      <c r="H10318" s="27" t="s">
        <v>35</v>
      </c>
      <c r="I10318" s="27" t="s">
        <v>47</v>
      </c>
      <c r="J10318" s="28" t="s">
        <v>997</v>
      </c>
      <c r="K10318" s="27" t="s">
        <v>39</v>
      </c>
      <c r="L10318" s="27"/>
    </row>
    <row r="10319" customFormat="false" ht="15" hidden="false" customHeight="false" outlineLevel="0" collapsed="false">
      <c r="A10319" s="26" t="s">
        <v>25551</v>
      </c>
      <c r="B10319" s="27" t="s">
        <v>25552</v>
      </c>
      <c r="C10319" s="27" t="s">
        <v>144</v>
      </c>
      <c r="D10319" s="26"/>
      <c r="E10319" s="27"/>
      <c r="F10319" s="27"/>
      <c r="G10319" s="27" t="s">
        <v>11122</v>
      </c>
      <c r="H10319" s="27" t="s">
        <v>35</v>
      </c>
      <c r="I10319" s="27" t="s">
        <v>47</v>
      </c>
      <c r="J10319" s="28" t="s">
        <v>997</v>
      </c>
      <c r="K10319" s="27" t="s">
        <v>39</v>
      </c>
      <c r="L10319" s="27"/>
    </row>
    <row r="10320" customFormat="false" ht="15" hidden="false" customHeight="false" outlineLevel="0" collapsed="false">
      <c r="A10320" s="26" t="s">
        <v>25553</v>
      </c>
      <c r="B10320" s="27" t="s">
        <v>25554</v>
      </c>
      <c r="C10320" s="27" t="s">
        <v>144</v>
      </c>
      <c r="D10320" s="26"/>
      <c r="E10320" s="27"/>
      <c r="F10320" s="27"/>
      <c r="G10320" s="27" t="s">
        <v>11122</v>
      </c>
      <c r="H10320" s="27" t="s">
        <v>35</v>
      </c>
      <c r="I10320" s="27" t="s">
        <v>42</v>
      </c>
      <c r="J10320" s="28" t="s">
        <v>997</v>
      </c>
      <c r="K10320" s="27" t="s">
        <v>39</v>
      </c>
      <c r="L10320" s="27"/>
    </row>
    <row r="10321" customFormat="false" ht="15" hidden="false" customHeight="false" outlineLevel="0" collapsed="false">
      <c r="A10321" s="26" t="s">
        <v>25555</v>
      </c>
      <c r="B10321" s="27" t="s">
        <v>25556</v>
      </c>
      <c r="C10321" s="27" t="s">
        <v>144</v>
      </c>
      <c r="D10321" s="26"/>
      <c r="E10321" s="27"/>
      <c r="F10321" s="27"/>
      <c r="G10321" s="27" t="s">
        <v>11122</v>
      </c>
      <c r="H10321" s="27" t="s">
        <v>35</v>
      </c>
      <c r="I10321" s="27" t="s">
        <v>39</v>
      </c>
      <c r="J10321" s="28" t="s">
        <v>997</v>
      </c>
      <c r="K10321" s="27" t="s">
        <v>39</v>
      </c>
      <c r="L10321" s="27"/>
    </row>
    <row r="10322" customFormat="false" ht="15" hidden="false" customHeight="false" outlineLevel="0" collapsed="false">
      <c r="A10322" s="26" t="s">
        <v>25557</v>
      </c>
      <c r="B10322" s="27" t="s">
        <v>25558</v>
      </c>
      <c r="C10322" s="27" t="s">
        <v>144</v>
      </c>
      <c r="D10322" s="26"/>
      <c r="E10322" s="27"/>
      <c r="F10322" s="27"/>
      <c r="G10322" s="27" t="s">
        <v>11122</v>
      </c>
      <c r="H10322" s="27" t="s">
        <v>35</v>
      </c>
      <c r="I10322" s="27" t="s">
        <v>39</v>
      </c>
      <c r="J10322" s="28" t="s">
        <v>997</v>
      </c>
      <c r="K10322" s="27" t="s">
        <v>39</v>
      </c>
      <c r="L10322" s="27"/>
    </row>
    <row r="10323" customFormat="false" ht="15" hidden="false" customHeight="false" outlineLevel="0" collapsed="false">
      <c r="A10323" s="26" t="s">
        <v>25559</v>
      </c>
      <c r="B10323" s="27" t="s">
        <v>25560</v>
      </c>
      <c r="C10323" s="27" t="s">
        <v>144</v>
      </c>
      <c r="D10323" s="26"/>
      <c r="E10323" s="27"/>
      <c r="F10323" s="27"/>
      <c r="G10323" s="27" t="s">
        <v>11122</v>
      </c>
      <c r="H10323" s="27" t="s">
        <v>35</v>
      </c>
      <c r="I10323" s="27" t="s">
        <v>39</v>
      </c>
      <c r="J10323" s="28" t="s">
        <v>997</v>
      </c>
      <c r="K10323" s="27" t="s">
        <v>39</v>
      </c>
      <c r="L10323" s="27"/>
    </row>
    <row r="10324" customFormat="false" ht="15" hidden="false" customHeight="false" outlineLevel="0" collapsed="false">
      <c r="A10324" s="26" t="s">
        <v>25561</v>
      </c>
      <c r="B10324" s="27" t="s">
        <v>25562</v>
      </c>
      <c r="C10324" s="27" t="s">
        <v>144</v>
      </c>
      <c r="D10324" s="26"/>
      <c r="E10324" s="27"/>
      <c r="F10324" s="27"/>
      <c r="G10324" s="27" t="s">
        <v>11122</v>
      </c>
      <c r="H10324" s="27" t="s">
        <v>35</v>
      </c>
      <c r="I10324" s="27" t="s">
        <v>39</v>
      </c>
      <c r="J10324" s="28" t="s">
        <v>997</v>
      </c>
      <c r="K10324" s="27" t="s">
        <v>39</v>
      </c>
      <c r="L10324" s="27"/>
    </row>
    <row r="10325" customFormat="false" ht="15" hidden="false" customHeight="false" outlineLevel="0" collapsed="false">
      <c r="A10325" s="26" t="s">
        <v>25563</v>
      </c>
      <c r="B10325" s="27" t="s">
        <v>25564</v>
      </c>
      <c r="C10325" s="27" t="s">
        <v>144</v>
      </c>
      <c r="D10325" s="26"/>
      <c r="E10325" s="27"/>
      <c r="F10325" s="27"/>
      <c r="G10325" s="27" t="s">
        <v>11122</v>
      </c>
      <c r="H10325" s="27" t="s">
        <v>35</v>
      </c>
      <c r="I10325" s="27" t="s">
        <v>39</v>
      </c>
      <c r="J10325" s="28" t="s">
        <v>997</v>
      </c>
      <c r="K10325" s="27" t="s">
        <v>39</v>
      </c>
      <c r="L10325" s="27"/>
    </row>
    <row r="10326" customFormat="false" ht="15" hidden="false" customHeight="false" outlineLevel="0" collapsed="false">
      <c r="A10326" s="26" t="s">
        <v>25565</v>
      </c>
      <c r="B10326" s="27" t="s">
        <v>25566</v>
      </c>
      <c r="C10326" s="27" t="s">
        <v>144</v>
      </c>
      <c r="D10326" s="26"/>
      <c r="E10326" s="27"/>
      <c r="F10326" s="27"/>
      <c r="G10326" s="27" t="s">
        <v>11122</v>
      </c>
      <c r="H10326" s="27" t="s">
        <v>35</v>
      </c>
      <c r="I10326" s="27" t="s">
        <v>39</v>
      </c>
      <c r="J10326" s="28" t="s">
        <v>997</v>
      </c>
      <c r="K10326" s="27" t="s">
        <v>39</v>
      </c>
      <c r="L10326" s="27"/>
    </row>
    <row r="10327" customFormat="false" ht="15" hidden="false" customHeight="false" outlineLevel="0" collapsed="false">
      <c r="A10327" s="26" t="s">
        <v>25567</v>
      </c>
      <c r="B10327" s="27" t="s">
        <v>25568</v>
      </c>
      <c r="C10327" s="27" t="s">
        <v>1187</v>
      </c>
      <c r="D10327" s="26"/>
      <c r="E10327" s="27"/>
      <c r="F10327" s="27"/>
      <c r="G10327" s="27" t="s">
        <v>11122</v>
      </c>
      <c r="H10327" s="27" t="s">
        <v>35</v>
      </c>
      <c r="I10327" s="27" t="s">
        <v>40</v>
      </c>
      <c r="J10327" s="28" t="s">
        <v>997</v>
      </c>
      <c r="K10327" s="27" t="s">
        <v>39</v>
      </c>
      <c r="L10327" s="27"/>
    </row>
    <row r="10328" customFormat="false" ht="15" hidden="false" customHeight="false" outlineLevel="0" collapsed="false">
      <c r="A10328" s="26" t="s">
        <v>25569</v>
      </c>
      <c r="B10328" s="27" t="s">
        <v>25570</v>
      </c>
      <c r="C10328" s="27" t="s">
        <v>144</v>
      </c>
      <c r="D10328" s="26"/>
      <c r="E10328" s="27"/>
      <c r="F10328" s="27"/>
      <c r="G10328" s="27" t="s">
        <v>11122</v>
      </c>
      <c r="H10328" s="27" t="s">
        <v>35</v>
      </c>
      <c r="I10328" s="27" t="s">
        <v>1067</v>
      </c>
      <c r="J10328" s="28" t="s">
        <v>997</v>
      </c>
      <c r="K10328" s="27" t="s">
        <v>39</v>
      </c>
      <c r="L10328" s="27"/>
    </row>
    <row r="10329" customFormat="false" ht="15" hidden="false" customHeight="false" outlineLevel="0" collapsed="false">
      <c r="A10329" s="26" t="s">
        <v>25571</v>
      </c>
      <c r="B10329" s="27" t="s">
        <v>25572</v>
      </c>
      <c r="C10329" s="27" t="s">
        <v>144</v>
      </c>
      <c r="D10329" s="26"/>
      <c r="E10329" s="27"/>
      <c r="F10329" s="27"/>
      <c r="G10329" s="27" t="s">
        <v>11122</v>
      </c>
      <c r="H10329" s="27" t="s">
        <v>35</v>
      </c>
      <c r="I10329" s="27" t="s">
        <v>39</v>
      </c>
      <c r="J10329" s="28" t="s">
        <v>997</v>
      </c>
      <c r="K10329" s="27" t="s">
        <v>39</v>
      </c>
      <c r="L10329" s="27"/>
    </row>
    <row r="10330" customFormat="false" ht="15" hidden="false" customHeight="false" outlineLevel="0" collapsed="false">
      <c r="A10330" s="26" t="s">
        <v>25573</v>
      </c>
      <c r="B10330" s="27" t="s">
        <v>25574</v>
      </c>
      <c r="C10330" s="27" t="s">
        <v>144</v>
      </c>
      <c r="D10330" s="26"/>
      <c r="E10330" s="27"/>
      <c r="F10330" s="27"/>
      <c r="G10330" s="27" t="s">
        <v>11122</v>
      </c>
      <c r="H10330" s="27" t="s">
        <v>35</v>
      </c>
      <c r="I10330" s="27" t="s">
        <v>10510</v>
      </c>
      <c r="J10330" s="28" t="s">
        <v>997</v>
      </c>
      <c r="K10330" s="27" t="s">
        <v>39</v>
      </c>
      <c r="L10330" s="27"/>
    </row>
    <row r="10331" customFormat="false" ht="15" hidden="false" customHeight="false" outlineLevel="0" collapsed="false">
      <c r="A10331" s="26" t="s">
        <v>25575</v>
      </c>
      <c r="B10331" s="27" t="s">
        <v>25576</v>
      </c>
      <c r="C10331" s="27" t="s">
        <v>144</v>
      </c>
      <c r="D10331" s="26"/>
      <c r="E10331" s="27"/>
      <c r="F10331" s="27"/>
      <c r="G10331" s="27" t="s">
        <v>11122</v>
      </c>
      <c r="H10331" s="27" t="s">
        <v>35</v>
      </c>
      <c r="I10331" s="27" t="s">
        <v>39</v>
      </c>
      <c r="J10331" s="28" t="s">
        <v>997</v>
      </c>
      <c r="K10331" s="27" t="s">
        <v>39</v>
      </c>
      <c r="L10331" s="27"/>
    </row>
    <row r="10332" customFormat="false" ht="15" hidden="false" customHeight="false" outlineLevel="0" collapsed="false">
      <c r="A10332" s="26" t="s">
        <v>25577</v>
      </c>
      <c r="B10332" s="27" t="s">
        <v>25578</v>
      </c>
      <c r="C10332" s="27" t="s">
        <v>144</v>
      </c>
      <c r="D10332" s="26"/>
      <c r="E10332" s="27"/>
      <c r="F10332" s="27"/>
      <c r="G10332" s="27" t="s">
        <v>11122</v>
      </c>
      <c r="H10332" s="27" t="s">
        <v>35</v>
      </c>
      <c r="I10332" s="27" t="s">
        <v>41</v>
      </c>
      <c r="J10332" s="28" t="s">
        <v>997</v>
      </c>
      <c r="K10332" s="27" t="s">
        <v>39</v>
      </c>
      <c r="L10332" s="27"/>
    </row>
    <row r="10333" customFormat="false" ht="15" hidden="false" customHeight="false" outlineLevel="0" collapsed="false">
      <c r="A10333" s="26" t="s">
        <v>25579</v>
      </c>
      <c r="B10333" s="27" t="s">
        <v>25580</v>
      </c>
      <c r="C10333" s="27" t="s">
        <v>144</v>
      </c>
      <c r="D10333" s="26"/>
      <c r="E10333" s="27"/>
      <c r="F10333" s="27"/>
      <c r="G10333" s="27" t="s">
        <v>11122</v>
      </c>
      <c r="H10333" s="27" t="s">
        <v>35</v>
      </c>
      <c r="I10333" s="27" t="s">
        <v>41</v>
      </c>
      <c r="J10333" s="28" t="s">
        <v>997</v>
      </c>
      <c r="K10333" s="27" t="s">
        <v>39</v>
      </c>
      <c r="L10333" s="27"/>
    </row>
    <row r="10334" customFormat="false" ht="15" hidden="false" customHeight="false" outlineLevel="0" collapsed="false">
      <c r="A10334" s="26" t="s">
        <v>25581</v>
      </c>
      <c r="B10334" s="27" t="s">
        <v>25582</v>
      </c>
      <c r="C10334" s="27" t="s">
        <v>144</v>
      </c>
      <c r="D10334" s="26"/>
      <c r="E10334" s="27"/>
      <c r="F10334" s="27"/>
      <c r="G10334" s="27" t="s">
        <v>11122</v>
      </c>
      <c r="H10334" s="27" t="s">
        <v>35</v>
      </c>
      <c r="I10334" s="27" t="s">
        <v>41</v>
      </c>
      <c r="J10334" s="28" t="s">
        <v>997</v>
      </c>
      <c r="K10334" s="27" t="s">
        <v>39</v>
      </c>
      <c r="L10334" s="27"/>
    </row>
    <row r="10335" customFormat="false" ht="15" hidden="false" customHeight="false" outlineLevel="0" collapsed="false">
      <c r="A10335" s="26" t="s">
        <v>25583</v>
      </c>
      <c r="B10335" s="27" t="s">
        <v>25584</v>
      </c>
      <c r="C10335" s="27" t="s">
        <v>144</v>
      </c>
      <c r="D10335" s="26"/>
      <c r="E10335" s="27"/>
      <c r="F10335" s="27"/>
      <c r="G10335" s="27" t="s">
        <v>11122</v>
      </c>
      <c r="H10335" s="27" t="s">
        <v>35</v>
      </c>
      <c r="I10335" s="27" t="s">
        <v>43</v>
      </c>
      <c r="J10335" s="28" t="s">
        <v>997</v>
      </c>
      <c r="K10335" s="27" t="s">
        <v>39</v>
      </c>
      <c r="L10335" s="27"/>
    </row>
    <row r="10336" customFormat="false" ht="15" hidden="false" customHeight="false" outlineLevel="0" collapsed="false">
      <c r="A10336" s="26" t="s">
        <v>25585</v>
      </c>
      <c r="B10336" s="27" t="s">
        <v>25586</v>
      </c>
      <c r="C10336" s="27" t="s">
        <v>144</v>
      </c>
      <c r="D10336" s="26"/>
      <c r="E10336" s="27"/>
      <c r="F10336" s="27"/>
      <c r="G10336" s="27" t="s">
        <v>11122</v>
      </c>
      <c r="H10336" s="27" t="s">
        <v>35</v>
      </c>
      <c r="I10336" s="27" t="s">
        <v>39</v>
      </c>
      <c r="J10336" s="28" t="s">
        <v>997</v>
      </c>
      <c r="K10336" s="27" t="s">
        <v>39</v>
      </c>
      <c r="L10336" s="27"/>
    </row>
    <row r="10337" customFormat="false" ht="15" hidden="false" customHeight="false" outlineLevel="0" collapsed="false">
      <c r="A10337" s="26" t="s">
        <v>25587</v>
      </c>
      <c r="B10337" s="27" t="s">
        <v>25588</v>
      </c>
      <c r="C10337" s="27" t="s">
        <v>144</v>
      </c>
      <c r="D10337" s="26"/>
      <c r="E10337" s="27"/>
      <c r="F10337" s="27"/>
      <c r="G10337" s="27" t="s">
        <v>11122</v>
      </c>
      <c r="H10337" s="27" t="s">
        <v>35</v>
      </c>
      <c r="I10337" s="27" t="s">
        <v>39</v>
      </c>
      <c r="J10337" s="28" t="s">
        <v>997</v>
      </c>
      <c r="K10337" s="27" t="s">
        <v>39</v>
      </c>
      <c r="L10337" s="27"/>
    </row>
    <row r="10338" customFormat="false" ht="15" hidden="false" customHeight="false" outlineLevel="0" collapsed="false">
      <c r="A10338" s="26" t="s">
        <v>25589</v>
      </c>
      <c r="B10338" s="27" t="s">
        <v>25590</v>
      </c>
      <c r="C10338" s="27" t="s">
        <v>144</v>
      </c>
      <c r="D10338" s="26"/>
      <c r="E10338" s="27"/>
      <c r="F10338" s="27"/>
      <c r="G10338" s="27" t="s">
        <v>11122</v>
      </c>
      <c r="H10338" s="27" t="s">
        <v>35</v>
      </c>
      <c r="I10338" s="27" t="s">
        <v>39</v>
      </c>
      <c r="J10338" s="28" t="s">
        <v>997</v>
      </c>
      <c r="K10338" s="27" t="s">
        <v>39</v>
      </c>
      <c r="L10338" s="27"/>
    </row>
    <row r="10339" customFormat="false" ht="15" hidden="false" customHeight="false" outlineLevel="0" collapsed="false">
      <c r="A10339" s="26" t="s">
        <v>25591</v>
      </c>
      <c r="B10339" s="27" t="s">
        <v>25592</v>
      </c>
      <c r="C10339" s="27" t="s">
        <v>144</v>
      </c>
      <c r="D10339" s="26"/>
      <c r="E10339" s="27"/>
      <c r="F10339" s="27"/>
      <c r="G10339" s="27" t="s">
        <v>11122</v>
      </c>
      <c r="H10339" s="27" t="s">
        <v>35</v>
      </c>
      <c r="I10339" s="27" t="s">
        <v>39</v>
      </c>
      <c r="J10339" s="28" t="s">
        <v>997</v>
      </c>
      <c r="K10339" s="27" t="s">
        <v>39</v>
      </c>
      <c r="L10339" s="27"/>
    </row>
    <row r="10340" customFormat="false" ht="15" hidden="false" customHeight="false" outlineLevel="0" collapsed="false">
      <c r="A10340" s="26" t="s">
        <v>25593</v>
      </c>
      <c r="B10340" s="27" t="s">
        <v>25594</v>
      </c>
      <c r="C10340" s="27" t="s">
        <v>144</v>
      </c>
      <c r="D10340" s="26"/>
      <c r="E10340" s="27"/>
      <c r="F10340" s="27"/>
      <c r="G10340" s="27" t="s">
        <v>11122</v>
      </c>
      <c r="H10340" s="27" t="s">
        <v>35</v>
      </c>
      <c r="I10340" s="27" t="s">
        <v>39</v>
      </c>
      <c r="J10340" s="28" t="s">
        <v>997</v>
      </c>
      <c r="K10340" s="27" t="s">
        <v>39</v>
      </c>
      <c r="L10340" s="27"/>
    </row>
    <row r="10341" customFormat="false" ht="15" hidden="false" customHeight="false" outlineLevel="0" collapsed="false">
      <c r="A10341" s="26" t="s">
        <v>25595</v>
      </c>
      <c r="B10341" s="27" t="s">
        <v>25596</v>
      </c>
      <c r="C10341" s="27" t="s">
        <v>144</v>
      </c>
      <c r="D10341" s="26"/>
      <c r="E10341" s="27"/>
      <c r="F10341" s="27"/>
      <c r="G10341" s="27" t="s">
        <v>11122</v>
      </c>
      <c r="H10341" s="27" t="s">
        <v>35</v>
      </c>
      <c r="I10341" s="27" t="s">
        <v>39</v>
      </c>
      <c r="J10341" s="28" t="s">
        <v>997</v>
      </c>
      <c r="K10341" s="27" t="s">
        <v>39</v>
      </c>
      <c r="L10341" s="27"/>
    </row>
    <row r="10342" customFormat="false" ht="15" hidden="false" customHeight="false" outlineLevel="0" collapsed="false">
      <c r="A10342" s="26" t="s">
        <v>25597</v>
      </c>
      <c r="B10342" s="27" t="s">
        <v>25598</v>
      </c>
      <c r="C10342" s="27" t="s">
        <v>137</v>
      </c>
      <c r="D10342" s="26"/>
      <c r="E10342" s="27"/>
      <c r="F10342" s="27"/>
      <c r="G10342" s="27" t="s">
        <v>11122</v>
      </c>
      <c r="H10342" s="27" t="s">
        <v>35</v>
      </c>
      <c r="I10342" s="27" t="s">
        <v>39</v>
      </c>
      <c r="J10342" s="28" t="s">
        <v>997</v>
      </c>
      <c r="K10342" s="27" t="s">
        <v>39</v>
      </c>
      <c r="L10342" s="27"/>
    </row>
    <row r="10343" customFormat="false" ht="15" hidden="false" customHeight="false" outlineLevel="0" collapsed="false">
      <c r="A10343" s="26" t="s">
        <v>25599</v>
      </c>
      <c r="B10343" s="27" t="s">
        <v>25600</v>
      </c>
      <c r="C10343" s="27" t="s">
        <v>144</v>
      </c>
      <c r="D10343" s="26"/>
      <c r="E10343" s="27"/>
      <c r="F10343" s="27"/>
      <c r="G10343" s="27" t="s">
        <v>11122</v>
      </c>
      <c r="H10343" s="27" t="s">
        <v>35</v>
      </c>
      <c r="I10343" s="27" t="s">
        <v>39</v>
      </c>
      <c r="J10343" s="28" t="s">
        <v>997</v>
      </c>
      <c r="K10343" s="27" t="s">
        <v>39</v>
      </c>
      <c r="L10343" s="27"/>
    </row>
    <row r="10344" customFormat="false" ht="15" hidden="false" customHeight="false" outlineLevel="0" collapsed="false">
      <c r="A10344" s="26" t="s">
        <v>25601</v>
      </c>
      <c r="B10344" s="27" t="s">
        <v>25602</v>
      </c>
      <c r="C10344" s="27" t="s">
        <v>144</v>
      </c>
      <c r="D10344" s="26"/>
      <c r="E10344" s="27"/>
      <c r="F10344" s="27"/>
      <c r="G10344" s="27" t="s">
        <v>11122</v>
      </c>
      <c r="H10344" s="27" t="s">
        <v>35</v>
      </c>
      <c r="I10344" s="27" t="s">
        <v>39</v>
      </c>
      <c r="J10344" s="28" t="s">
        <v>997</v>
      </c>
      <c r="K10344" s="27" t="s">
        <v>39</v>
      </c>
      <c r="L10344" s="27"/>
    </row>
    <row r="10345" customFormat="false" ht="15" hidden="false" customHeight="false" outlineLevel="0" collapsed="false">
      <c r="A10345" s="26" t="s">
        <v>25603</v>
      </c>
      <c r="B10345" s="27" t="s">
        <v>25604</v>
      </c>
      <c r="C10345" s="27" t="s">
        <v>144</v>
      </c>
      <c r="D10345" s="26"/>
      <c r="E10345" s="27"/>
      <c r="F10345" s="27"/>
      <c r="G10345" s="27" t="s">
        <v>11122</v>
      </c>
      <c r="H10345" s="27" t="s">
        <v>35</v>
      </c>
      <c r="I10345" s="27" t="s">
        <v>39</v>
      </c>
      <c r="J10345" s="28" t="s">
        <v>997</v>
      </c>
      <c r="K10345" s="27" t="s">
        <v>39</v>
      </c>
      <c r="L10345" s="27"/>
    </row>
    <row r="10346" customFormat="false" ht="15" hidden="false" customHeight="false" outlineLevel="0" collapsed="false">
      <c r="A10346" s="26" t="s">
        <v>25605</v>
      </c>
      <c r="B10346" s="27" t="s">
        <v>25606</v>
      </c>
      <c r="C10346" s="27" t="s">
        <v>144</v>
      </c>
      <c r="D10346" s="26"/>
      <c r="E10346" s="27"/>
      <c r="F10346" s="27"/>
      <c r="G10346" s="27" t="s">
        <v>11122</v>
      </c>
      <c r="H10346" s="27" t="s">
        <v>35</v>
      </c>
      <c r="I10346" s="27" t="s">
        <v>39</v>
      </c>
      <c r="J10346" s="28" t="s">
        <v>997</v>
      </c>
      <c r="K10346" s="27" t="s">
        <v>39</v>
      </c>
      <c r="L10346" s="27"/>
    </row>
    <row r="10347" customFormat="false" ht="15" hidden="false" customHeight="false" outlineLevel="0" collapsed="false">
      <c r="A10347" s="26" t="s">
        <v>25607</v>
      </c>
      <c r="B10347" s="27" t="s">
        <v>25608</v>
      </c>
      <c r="C10347" s="27" t="s">
        <v>144</v>
      </c>
      <c r="D10347" s="26"/>
      <c r="E10347" s="27"/>
      <c r="F10347" s="27"/>
      <c r="G10347" s="27" t="s">
        <v>11122</v>
      </c>
      <c r="H10347" s="27" t="s">
        <v>35</v>
      </c>
      <c r="I10347" s="27" t="s">
        <v>39</v>
      </c>
      <c r="J10347" s="28" t="s">
        <v>997</v>
      </c>
      <c r="K10347" s="27" t="s">
        <v>39</v>
      </c>
      <c r="L10347" s="27"/>
    </row>
    <row r="10348" customFormat="false" ht="15" hidden="false" customHeight="false" outlineLevel="0" collapsed="false">
      <c r="A10348" s="26" t="s">
        <v>25609</v>
      </c>
      <c r="B10348" s="27" t="s">
        <v>25610</v>
      </c>
      <c r="C10348" s="27" t="s">
        <v>144</v>
      </c>
      <c r="D10348" s="26"/>
      <c r="E10348" s="27"/>
      <c r="F10348" s="27"/>
      <c r="G10348" s="27" t="s">
        <v>11122</v>
      </c>
      <c r="H10348" s="27" t="s">
        <v>35</v>
      </c>
      <c r="I10348" s="27" t="s">
        <v>39</v>
      </c>
      <c r="J10348" s="28" t="s">
        <v>997</v>
      </c>
      <c r="K10348" s="27" t="s">
        <v>39</v>
      </c>
      <c r="L10348" s="27"/>
    </row>
    <row r="10349" customFormat="false" ht="15" hidden="false" customHeight="false" outlineLevel="0" collapsed="false">
      <c r="A10349" s="26" t="s">
        <v>25611</v>
      </c>
      <c r="B10349" s="27" t="s">
        <v>25612</v>
      </c>
      <c r="C10349" s="27" t="s">
        <v>1990</v>
      </c>
      <c r="D10349" s="26"/>
      <c r="E10349" s="27"/>
      <c r="F10349" s="27"/>
      <c r="G10349" s="27" t="s">
        <v>11122</v>
      </c>
      <c r="H10349" s="27" t="s">
        <v>35</v>
      </c>
      <c r="I10349" s="27" t="s">
        <v>39</v>
      </c>
      <c r="J10349" s="28" t="s">
        <v>997</v>
      </c>
      <c r="K10349" s="27" t="s">
        <v>39</v>
      </c>
      <c r="L10349" s="27"/>
    </row>
    <row r="10350" customFormat="false" ht="15" hidden="false" customHeight="false" outlineLevel="0" collapsed="false">
      <c r="A10350" s="26" t="s">
        <v>25613</v>
      </c>
      <c r="B10350" s="27" t="s">
        <v>25614</v>
      </c>
      <c r="C10350" s="27" t="s">
        <v>380</v>
      </c>
      <c r="D10350" s="26"/>
      <c r="E10350" s="27"/>
      <c r="F10350" s="27"/>
      <c r="G10350" s="27" t="s">
        <v>11122</v>
      </c>
      <c r="H10350" s="27" t="s">
        <v>35</v>
      </c>
      <c r="I10350" s="27" t="s">
        <v>39</v>
      </c>
      <c r="J10350" s="28" t="s">
        <v>997</v>
      </c>
      <c r="K10350" s="27" t="s">
        <v>39</v>
      </c>
      <c r="L10350" s="27"/>
    </row>
    <row r="10351" customFormat="false" ht="15" hidden="false" customHeight="false" outlineLevel="0" collapsed="false">
      <c r="A10351" s="26" t="s">
        <v>25615</v>
      </c>
      <c r="B10351" s="27" t="s">
        <v>25616</v>
      </c>
      <c r="C10351" s="27" t="s">
        <v>380</v>
      </c>
      <c r="D10351" s="26"/>
      <c r="E10351" s="27"/>
      <c r="F10351" s="27"/>
      <c r="G10351" s="27" t="s">
        <v>11122</v>
      </c>
      <c r="H10351" s="27" t="s">
        <v>35</v>
      </c>
      <c r="I10351" s="27" t="s">
        <v>39</v>
      </c>
      <c r="J10351" s="28" t="s">
        <v>997</v>
      </c>
      <c r="K10351" s="27" t="s">
        <v>39</v>
      </c>
      <c r="L10351" s="27"/>
    </row>
    <row r="10352" customFormat="false" ht="15" hidden="false" customHeight="false" outlineLevel="0" collapsed="false">
      <c r="A10352" s="26" t="s">
        <v>25617</v>
      </c>
      <c r="B10352" s="27" t="s">
        <v>25618</v>
      </c>
      <c r="C10352" s="27" t="s">
        <v>380</v>
      </c>
      <c r="D10352" s="26"/>
      <c r="E10352" s="27"/>
      <c r="F10352" s="27"/>
      <c r="G10352" s="27" t="s">
        <v>11122</v>
      </c>
      <c r="H10352" s="27" t="s">
        <v>35</v>
      </c>
      <c r="I10352" s="27" t="s">
        <v>39</v>
      </c>
      <c r="J10352" s="28" t="s">
        <v>997</v>
      </c>
      <c r="K10352" s="27" t="s">
        <v>39</v>
      </c>
      <c r="L10352" s="27"/>
    </row>
    <row r="10353" customFormat="false" ht="15" hidden="false" customHeight="false" outlineLevel="0" collapsed="false">
      <c r="A10353" s="26" t="s">
        <v>25619</v>
      </c>
      <c r="B10353" s="27" t="s">
        <v>25620</v>
      </c>
      <c r="C10353" s="27" t="s">
        <v>380</v>
      </c>
      <c r="D10353" s="26"/>
      <c r="E10353" s="27"/>
      <c r="F10353" s="27"/>
      <c r="G10353" s="27" t="s">
        <v>11122</v>
      </c>
      <c r="H10353" s="27" t="s">
        <v>35</v>
      </c>
      <c r="I10353" s="27" t="s">
        <v>39</v>
      </c>
      <c r="J10353" s="28" t="s">
        <v>997</v>
      </c>
      <c r="K10353" s="27" t="s">
        <v>39</v>
      </c>
      <c r="L10353" s="27"/>
    </row>
    <row r="10354" customFormat="false" ht="15" hidden="false" customHeight="false" outlineLevel="0" collapsed="false">
      <c r="A10354" s="26" t="s">
        <v>25621</v>
      </c>
      <c r="B10354" s="27" t="s">
        <v>25622</v>
      </c>
      <c r="C10354" s="27" t="s">
        <v>380</v>
      </c>
      <c r="D10354" s="26"/>
      <c r="E10354" s="27"/>
      <c r="F10354" s="27"/>
      <c r="G10354" s="27" t="s">
        <v>11122</v>
      </c>
      <c r="H10354" s="27" t="s">
        <v>35</v>
      </c>
      <c r="I10354" s="27" t="s">
        <v>39</v>
      </c>
      <c r="J10354" s="28" t="s">
        <v>997</v>
      </c>
      <c r="K10354" s="27" t="s">
        <v>39</v>
      </c>
      <c r="L10354" s="27"/>
    </row>
    <row r="10355" customFormat="false" ht="15" hidden="false" customHeight="false" outlineLevel="0" collapsed="false">
      <c r="A10355" s="26" t="s">
        <v>25623</v>
      </c>
      <c r="B10355" s="27" t="s">
        <v>25624</v>
      </c>
      <c r="C10355" s="27" t="s">
        <v>380</v>
      </c>
      <c r="D10355" s="26"/>
      <c r="E10355" s="27"/>
      <c r="F10355" s="27"/>
      <c r="G10355" s="27" t="s">
        <v>11122</v>
      </c>
      <c r="H10355" s="27" t="s">
        <v>35</v>
      </c>
      <c r="I10355" s="27" t="s">
        <v>39</v>
      </c>
      <c r="J10355" s="28" t="s">
        <v>997</v>
      </c>
      <c r="K10355" s="27" t="s">
        <v>39</v>
      </c>
      <c r="L10355" s="27"/>
    </row>
    <row r="10356" customFormat="false" ht="15" hidden="false" customHeight="false" outlineLevel="0" collapsed="false">
      <c r="A10356" s="26" t="s">
        <v>25625</v>
      </c>
      <c r="B10356" s="27" t="s">
        <v>25626</v>
      </c>
      <c r="C10356" s="27" t="s">
        <v>380</v>
      </c>
      <c r="D10356" s="26"/>
      <c r="E10356" s="27"/>
      <c r="F10356" s="27"/>
      <c r="G10356" s="27" t="s">
        <v>11122</v>
      </c>
      <c r="H10356" s="27" t="s">
        <v>35</v>
      </c>
      <c r="I10356" s="27" t="s">
        <v>39</v>
      </c>
      <c r="J10356" s="28" t="s">
        <v>997</v>
      </c>
      <c r="K10356" s="27" t="s">
        <v>39</v>
      </c>
      <c r="L10356" s="27"/>
    </row>
    <row r="10357" customFormat="false" ht="15" hidden="false" customHeight="false" outlineLevel="0" collapsed="false">
      <c r="A10357" s="26" t="s">
        <v>25627</v>
      </c>
      <c r="B10357" s="27" t="s">
        <v>25628</v>
      </c>
      <c r="C10357" s="27" t="s">
        <v>144</v>
      </c>
      <c r="D10357" s="26"/>
      <c r="E10357" s="27"/>
      <c r="F10357" s="27"/>
      <c r="G10357" s="27" t="s">
        <v>11122</v>
      </c>
      <c r="H10357" s="27" t="s">
        <v>35</v>
      </c>
      <c r="I10357" s="27" t="s">
        <v>39</v>
      </c>
      <c r="J10357" s="28" t="s">
        <v>997</v>
      </c>
      <c r="K10357" s="27" t="s">
        <v>39</v>
      </c>
      <c r="L10357" s="27"/>
    </row>
    <row r="10358" customFormat="false" ht="15" hidden="false" customHeight="false" outlineLevel="0" collapsed="false">
      <c r="A10358" s="26" t="s">
        <v>25629</v>
      </c>
      <c r="B10358" s="27" t="s">
        <v>25630</v>
      </c>
      <c r="C10358" s="27" t="s">
        <v>144</v>
      </c>
      <c r="D10358" s="26"/>
      <c r="E10358" s="27"/>
      <c r="F10358" s="27"/>
      <c r="G10358" s="27" t="s">
        <v>11122</v>
      </c>
      <c r="H10358" s="27" t="s">
        <v>35</v>
      </c>
      <c r="I10358" s="27" t="s">
        <v>39</v>
      </c>
      <c r="J10358" s="28" t="s">
        <v>997</v>
      </c>
      <c r="K10358" s="27" t="s">
        <v>39</v>
      </c>
      <c r="L10358" s="27"/>
    </row>
    <row r="10359" customFormat="false" ht="15" hidden="false" customHeight="false" outlineLevel="0" collapsed="false">
      <c r="A10359" s="26" t="s">
        <v>25631</v>
      </c>
      <c r="B10359" s="27" t="s">
        <v>25632</v>
      </c>
      <c r="C10359" s="27" t="s">
        <v>144</v>
      </c>
      <c r="D10359" s="26"/>
      <c r="E10359" s="27"/>
      <c r="F10359" s="27"/>
      <c r="G10359" s="27" t="s">
        <v>11122</v>
      </c>
      <c r="H10359" s="27" t="s">
        <v>35</v>
      </c>
      <c r="I10359" s="27" t="s">
        <v>37</v>
      </c>
      <c r="J10359" s="28" t="s">
        <v>997</v>
      </c>
      <c r="K10359" s="27" t="s">
        <v>39</v>
      </c>
      <c r="L10359" s="27"/>
    </row>
    <row r="10360" customFormat="false" ht="15" hidden="false" customHeight="false" outlineLevel="0" collapsed="false">
      <c r="A10360" s="26" t="s">
        <v>25633</v>
      </c>
      <c r="B10360" s="27" t="s">
        <v>25634</v>
      </c>
      <c r="C10360" s="27" t="s">
        <v>144</v>
      </c>
      <c r="D10360" s="26"/>
      <c r="E10360" s="27"/>
      <c r="F10360" s="27"/>
      <c r="G10360" s="27" t="s">
        <v>11122</v>
      </c>
      <c r="H10360" s="27" t="s">
        <v>35</v>
      </c>
      <c r="I10360" s="27" t="s">
        <v>41</v>
      </c>
      <c r="J10360" s="28" t="s">
        <v>997</v>
      </c>
      <c r="K10360" s="27" t="s">
        <v>39</v>
      </c>
      <c r="L10360" s="27"/>
    </row>
    <row r="10361" customFormat="false" ht="15" hidden="false" customHeight="false" outlineLevel="0" collapsed="false">
      <c r="A10361" s="26" t="s">
        <v>25635</v>
      </c>
      <c r="B10361" s="27" t="s">
        <v>25636</v>
      </c>
      <c r="C10361" s="27" t="s">
        <v>144</v>
      </c>
      <c r="D10361" s="26"/>
      <c r="E10361" s="27"/>
      <c r="F10361" s="27"/>
      <c r="G10361" s="27" t="s">
        <v>11122</v>
      </c>
      <c r="H10361" s="27" t="s">
        <v>35</v>
      </c>
      <c r="I10361" s="27" t="s">
        <v>39</v>
      </c>
      <c r="J10361" s="28" t="s">
        <v>997</v>
      </c>
      <c r="K10361" s="27" t="s">
        <v>39</v>
      </c>
      <c r="L10361" s="27"/>
    </row>
    <row r="10362" customFormat="false" ht="15" hidden="false" customHeight="false" outlineLevel="0" collapsed="false">
      <c r="A10362" s="26" t="s">
        <v>25637</v>
      </c>
      <c r="B10362" s="27" t="s">
        <v>25638</v>
      </c>
      <c r="C10362" s="27" t="s">
        <v>144</v>
      </c>
      <c r="D10362" s="26"/>
      <c r="E10362" s="27"/>
      <c r="F10362" s="27"/>
      <c r="G10362" s="27" t="s">
        <v>11122</v>
      </c>
      <c r="H10362" s="27" t="s">
        <v>35</v>
      </c>
      <c r="I10362" s="27" t="s">
        <v>39</v>
      </c>
      <c r="J10362" s="28" t="s">
        <v>997</v>
      </c>
      <c r="K10362" s="27" t="s">
        <v>39</v>
      </c>
      <c r="L10362" s="27"/>
    </row>
    <row r="10363" customFormat="false" ht="15" hidden="false" customHeight="false" outlineLevel="0" collapsed="false">
      <c r="A10363" s="26" t="s">
        <v>25639</v>
      </c>
      <c r="B10363" s="27" t="s">
        <v>25640</v>
      </c>
      <c r="C10363" s="27" t="s">
        <v>144</v>
      </c>
      <c r="D10363" s="26"/>
      <c r="E10363" s="27"/>
      <c r="F10363" s="27"/>
      <c r="G10363" s="27" t="s">
        <v>11122</v>
      </c>
      <c r="H10363" s="27" t="s">
        <v>35</v>
      </c>
      <c r="I10363" s="27" t="s">
        <v>39</v>
      </c>
      <c r="J10363" s="28" t="s">
        <v>997</v>
      </c>
      <c r="K10363" s="27" t="s">
        <v>39</v>
      </c>
      <c r="L10363" s="27"/>
    </row>
    <row r="10364" customFormat="false" ht="15" hidden="false" customHeight="false" outlineLevel="0" collapsed="false">
      <c r="A10364" s="26" t="s">
        <v>25641</v>
      </c>
      <c r="B10364" s="27" t="s">
        <v>25642</v>
      </c>
      <c r="C10364" s="27" t="s">
        <v>144</v>
      </c>
      <c r="D10364" s="26"/>
      <c r="E10364" s="27"/>
      <c r="F10364" s="27"/>
      <c r="G10364" s="27" t="s">
        <v>11122</v>
      </c>
      <c r="H10364" s="27" t="s">
        <v>35</v>
      </c>
      <c r="I10364" s="27" t="s">
        <v>39</v>
      </c>
      <c r="J10364" s="28" t="s">
        <v>997</v>
      </c>
      <c r="K10364" s="27" t="s">
        <v>39</v>
      </c>
      <c r="L10364" s="27"/>
    </row>
    <row r="10365" customFormat="false" ht="15" hidden="false" customHeight="false" outlineLevel="0" collapsed="false">
      <c r="A10365" s="26" t="s">
        <v>25643</v>
      </c>
      <c r="B10365" s="27" t="s">
        <v>25644</v>
      </c>
      <c r="C10365" s="27" t="s">
        <v>144</v>
      </c>
      <c r="D10365" s="26"/>
      <c r="E10365" s="27"/>
      <c r="F10365" s="27"/>
      <c r="G10365" s="27" t="s">
        <v>11122</v>
      </c>
      <c r="H10365" s="27" t="s">
        <v>35</v>
      </c>
      <c r="I10365" s="27" t="s">
        <v>40</v>
      </c>
      <c r="J10365" s="28" t="s">
        <v>997</v>
      </c>
      <c r="K10365" s="27" t="s">
        <v>39</v>
      </c>
      <c r="L10365" s="27"/>
    </row>
    <row r="10366" customFormat="false" ht="15" hidden="false" customHeight="false" outlineLevel="0" collapsed="false">
      <c r="A10366" s="26" t="s">
        <v>25645</v>
      </c>
      <c r="B10366" s="27" t="s">
        <v>25646</v>
      </c>
      <c r="C10366" s="27" t="s">
        <v>144</v>
      </c>
      <c r="D10366" s="26"/>
      <c r="E10366" s="27"/>
      <c r="F10366" s="27"/>
      <c r="G10366" s="27" t="s">
        <v>11122</v>
      </c>
      <c r="H10366" s="27" t="s">
        <v>35</v>
      </c>
      <c r="I10366" s="27" t="s">
        <v>39</v>
      </c>
      <c r="J10366" s="28" t="s">
        <v>997</v>
      </c>
      <c r="K10366" s="27" t="s">
        <v>39</v>
      </c>
      <c r="L10366" s="27"/>
    </row>
    <row r="10367" customFormat="false" ht="15" hidden="false" customHeight="false" outlineLevel="0" collapsed="false">
      <c r="A10367" s="26" t="s">
        <v>25647</v>
      </c>
      <c r="B10367" s="27" t="s">
        <v>25648</v>
      </c>
      <c r="C10367" s="27" t="s">
        <v>144</v>
      </c>
      <c r="D10367" s="26"/>
      <c r="E10367" s="27"/>
      <c r="F10367" s="27"/>
      <c r="G10367" s="27" t="s">
        <v>11122</v>
      </c>
      <c r="H10367" s="27" t="s">
        <v>35</v>
      </c>
      <c r="I10367" s="27" t="s">
        <v>39</v>
      </c>
      <c r="J10367" s="28" t="s">
        <v>997</v>
      </c>
      <c r="K10367" s="27" t="s">
        <v>39</v>
      </c>
      <c r="L10367" s="27"/>
    </row>
    <row r="10368" customFormat="false" ht="15" hidden="false" customHeight="false" outlineLevel="0" collapsed="false">
      <c r="A10368" s="26" t="s">
        <v>25649</v>
      </c>
      <c r="B10368" s="27" t="s">
        <v>25650</v>
      </c>
      <c r="C10368" s="27" t="s">
        <v>144</v>
      </c>
      <c r="D10368" s="26"/>
      <c r="E10368" s="27"/>
      <c r="F10368" s="27"/>
      <c r="G10368" s="27" t="s">
        <v>11122</v>
      </c>
      <c r="H10368" s="27" t="s">
        <v>35</v>
      </c>
      <c r="I10368" s="27" t="s">
        <v>39</v>
      </c>
      <c r="J10368" s="28" t="s">
        <v>997</v>
      </c>
      <c r="K10368" s="27" t="s">
        <v>39</v>
      </c>
      <c r="L10368" s="27"/>
    </row>
    <row r="10369" customFormat="false" ht="15" hidden="false" customHeight="false" outlineLevel="0" collapsed="false">
      <c r="A10369" s="26" t="s">
        <v>25651</v>
      </c>
      <c r="B10369" s="27" t="s">
        <v>25652</v>
      </c>
      <c r="C10369" s="27" t="s">
        <v>1187</v>
      </c>
      <c r="D10369" s="26"/>
      <c r="E10369" s="27"/>
      <c r="F10369" s="27"/>
      <c r="G10369" s="27" t="s">
        <v>11122</v>
      </c>
      <c r="H10369" s="27" t="s">
        <v>35</v>
      </c>
      <c r="I10369" s="27" t="s">
        <v>39</v>
      </c>
      <c r="J10369" s="28" t="s">
        <v>997</v>
      </c>
      <c r="K10369" s="27" t="s">
        <v>39</v>
      </c>
      <c r="L10369" s="27"/>
    </row>
    <row r="10370" customFormat="false" ht="15" hidden="false" customHeight="false" outlineLevel="0" collapsed="false">
      <c r="A10370" s="26" t="s">
        <v>25653</v>
      </c>
      <c r="B10370" s="27" t="s">
        <v>25654</v>
      </c>
      <c r="C10370" s="27" t="s">
        <v>144</v>
      </c>
      <c r="D10370" s="26"/>
      <c r="E10370" s="27"/>
      <c r="F10370" s="27"/>
      <c r="G10370" s="27" t="s">
        <v>11122</v>
      </c>
      <c r="H10370" s="27" t="s">
        <v>35</v>
      </c>
      <c r="I10370" s="27" t="s">
        <v>38</v>
      </c>
      <c r="J10370" s="28" t="s">
        <v>997</v>
      </c>
      <c r="K10370" s="27" t="s">
        <v>39</v>
      </c>
      <c r="L10370" s="27"/>
    </row>
    <row r="10371" customFormat="false" ht="15" hidden="false" customHeight="false" outlineLevel="0" collapsed="false">
      <c r="A10371" s="26" t="s">
        <v>25655</v>
      </c>
      <c r="B10371" s="27" t="s">
        <v>25656</v>
      </c>
      <c r="C10371" s="27" t="s">
        <v>144</v>
      </c>
      <c r="D10371" s="26"/>
      <c r="E10371" s="27"/>
      <c r="F10371" s="27"/>
      <c r="G10371" s="27" t="s">
        <v>11122</v>
      </c>
      <c r="H10371" s="27" t="s">
        <v>35</v>
      </c>
      <c r="I10371" s="27" t="s">
        <v>39</v>
      </c>
      <c r="J10371" s="28" t="s">
        <v>997</v>
      </c>
      <c r="K10371" s="27" t="s">
        <v>39</v>
      </c>
      <c r="L10371" s="27"/>
    </row>
    <row r="10372" customFormat="false" ht="15" hidden="false" customHeight="false" outlineLevel="0" collapsed="false">
      <c r="A10372" s="26" t="s">
        <v>25657</v>
      </c>
      <c r="B10372" s="27" t="s">
        <v>25658</v>
      </c>
      <c r="C10372" s="27" t="s">
        <v>144</v>
      </c>
      <c r="D10372" s="26"/>
      <c r="E10372" s="27"/>
      <c r="F10372" s="27"/>
      <c r="G10372" s="27" t="s">
        <v>11122</v>
      </c>
      <c r="H10372" s="27" t="s">
        <v>35</v>
      </c>
      <c r="I10372" s="28" t="s">
        <v>50</v>
      </c>
      <c r="J10372" s="28" t="s">
        <v>997</v>
      </c>
      <c r="K10372" s="27" t="s">
        <v>39</v>
      </c>
      <c r="L10372" s="27"/>
    </row>
    <row r="10373" customFormat="false" ht="15" hidden="false" customHeight="false" outlineLevel="0" collapsed="false">
      <c r="A10373" s="26" t="s">
        <v>25659</v>
      </c>
      <c r="B10373" s="27" t="s">
        <v>25660</v>
      </c>
      <c r="C10373" s="27" t="s">
        <v>144</v>
      </c>
      <c r="D10373" s="26"/>
      <c r="E10373" s="27"/>
      <c r="F10373" s="27"/>
      <c r="G10373" s="27" t="s">
        <v>11122</v>
      </c>
      <c r="H10373" s="27" t="s">
        <v>35</v>
      </c>
      <c r="I10373" s="28" t="s">
        <v>50</v>
      </c>
      <c r="J10373" s="28" t="s">
        <v>997</v>
      </c>
      <c r="K10373" s="27" t="s">
        <v>39</v>
      </c>
      <c r="L10373" s="27"/>
    </row>
    <row r="10374" customFormat="false" ht="15" hidden="false" customHeight="false" outlineLevel="0" collapsed="false">
      <c r="A10374" s="26" t="s">
        <v>25661</v>
      </c>
      <c r="B10374" s="27" t="s">
        <v>25662</v>
      </c>
      <c r="C10374" s="27" t="s">
        <v>144</v>
      </c>
      <c r="D10374" s="26"/>
      <c r="E10374" s="27"/>
      <c r="F10374" s="27"/>
      <c r="G10374" s="27" t="s">
        <v>11122</v>
      </c>
      <c r="H10374" s="27" t="s">
        <v>35</v>
      </c>
      <c r="I10374" s="27" t="s">
        <v>39</v>
      </c>
      <c r="J10374" s="28" t="s">
        <v>997</v>
      </c>
      <c r="K10374" s="27" t="s">
        <v>39</v>
      </c>
      <c r="L10374" s="27"/>
    </row>
    <row r="10375" customFormat="false" ht="15" hidden="false" customHeight="false" outlineLevel="0" collapsed="false">
      <c r="A10375" s="26" t="s">
        <v>25663</v>
      </c>
      <c r="B10375" s="27" t="s">
        <v>25664</v>
      </c>
      <c r="C10375" s="27" t="s">
        <v>144</v>
      </c>
      <c r="D10375" s="26"/>
      <c r="E10375" s="27"/>
      <c r="F10375" s="27"/>
      <c r="G10375" s="27" t="s">
        <v>11122</v>
      </c>
      <c r="H10375" s="27" t="s">
        <v>35</v>
      </c>
      <c r="I10375" s="27" t="s">
        <v>39</v>
      </c>
      <c r="J10375" s="28" t="s">
        <v>997</v>
      </c>
      <c r="K10375" s="27" t="s">
        <v>39</v>
      </c>
      <c r="L10375" s="27"/>
    </row>
    <row r="10376" customFormat="false" ht="15" hidden="false" customHeight="false" outlineLevel="0" collapsed="false">
      <c r="A10376" s="26" t="s">
        <v>25665</v>
      </c>
      <c r="B10376" s="27" t="s">
        <v>25666</v>
      </c>
      <c r="C10376" s="27" t="s">
        <v>144</v>
      </c>
      <c r="D10376" s="26"/>
      <c r="E10376" s="27"/>
      <c r="F10376" s="27"/>
      <c r="G10376" s="27" t="s">
        <v>11122</v>
      </c>
      <c r="H10376" s="27" t="s">
        <v>35</v>
      </c>
      <c r="I10376" s="27" t="s">
        <v>39</v>
      </c>
      <c r="J10376" s="28" t="s">
        <v>997</v>
      </c>
      <c r="K10376" s="27" t="s">
        <v>39</v>
      </c>
      <c r="L10376" s="27"/>
    </row>
    <row r="10377" customFormat="false" ht="15" hidden="false" customHeight="false" outlineLevel="0" collapsed="false">
      <c r="A10377" s="26" t="s">
        <v>25667</v>
      </c>
      <c r="B10377" s="27" t="s">
        <v>25668</v>
      </c>
      <c r="C10377" s="27" t="s">
        <v>144</v>
      </c>
      <c r="D10377" s="26"/>
      <c r="E10377" s="27"/>
      <c r="F10377" s="27"/>
      <c r="G10377" s="27" t="s">
        <v>11122</v>
      </c>
      <c r="H10377" s="27" t="s">
        <v>35</v>
      </c>
      <c r="I10377" s="27" t="s">
        <v>39</v>
      </c>
      <c r="J10377" s="28" t="s">
        <v>997</v>
      </c>
      <c r="K10377" s="27" t="s">
        <v>39</v>
      </c>
      <c r="L10377" s="27"/>
    </row>
    <row r="10378" customFormat="false" ht="15" hidden="false" customHeight="false" outlineLevel="0" collapsed="false">
      <c r="A10378" s="26" t="s">
        <v>25669</v>
      </c>
      <c r="B10378" s="27" t="s">
        <v>25670</v>
      </c>
      <c r="C10378" s="27" t="s">
        <v>144</v>
      </c>
      <c r="D10378" s="26"/>
      <c r="E10378" s="27"/>
      <c r="F10378" s="27"/>
      <c r="G10378" s="27" t="s">
        <v>11122</v>
      </c>
      <c r="H10378" s="27" t="s">
        <v>35</v>
      </c>
      <c r="I10378" s="27" t="s">
        <v>39</v>
      </c>
      <c r="J10378" s="28" t="s">
        <v>997</v>
      </c>
      <c r="K10378" s="27" t="s">
        <v>39</v>
      </c>
      <c r="L10378" s="27"/>
    </row>
    <row r="10379" customFormat="false" ht="15" hidden="false" customHeight="false" outlineLevel="0" collapsed="false">
      <c r="A10379" s="26" t="s">
        <v>25671</v>
      </c>
      <c r="B10379" s="27" t="s">
        <v>25672</v>
      </c>
      <c r="C10379" s="27" t="s">
        <v>144</v>
      </c>
      <c r="D10379" s="26"/>
      <c r="E10379" s="27"/>
      <c r="F10379" s="27"/>
      <c r="G10379" s="27" t="s">
        <v>11122</v>
      </c>
      <c r="H10379" s="27" t="s">
        <v>35</v>
      </c>
      <c r="I10379" s="27" t="s">
        <v>47</v>
      </c>
      <c r="J10379" s="28" t="s">
        <v>997</v>
      </c>
      <c r="K10379" s="27" t="s">
        <v>39</v>
      </c>
      <c r="L10379" s="27"/>
    </row>
    <row r="10380" customFormat="false" ht="15" hidden="false" customHeight="false" outlineLevel="0" collapsed="false">
      <c r="A10380" s="26" t="s">
        <v>25673</v>
      </c>
      <c r="B10380" s="27" t="s">
        <v>25674</v>
      </c>
      <c r="C10380" s="27" t="s">
        <v>144</v>
      </c>
      <c r="D10380" s="26"/>
      <c r="E10380" s="27"/>
      <c r="F10380" s="27"/>
      <c r="G10380" s="27" t="s">
        <v>11122</v>
      </c>
      <c r="H10380" s="27" t="s">
        <v>35</v>
      </c>
      <c r="I10380" s="27" t="s">
        <v>38</v>
      </c>
      <c r="J10380" s="28" t="s">
        <v>997</v>
      </c>
      <c r="K10380" s="27" t="s">
        <v>39</v>
      </c>
      <c r="L10380" s="27"/>
    </row>
    <row r="10381" customFormat="false" ht="15" hidden="false" customHeight="false" outlineLevel="0" collapsed="false">
      <c r="A10381" s="26" t="s">
        <v>25675</v>
      </c>
      <c r="B10381" s="27" t="s">
        <v>25676</v>
      </c>
      <c r="C10381" s="27" t="s">
        <v>144</v>
      </c>
      <c r="D10381" s="26"/>
      <c r="E10381" s="27"/>
      <c r="F10381" s="27"/>
      <c r="G10381" s="27" t="s">
        <v>11122</v>
      </c>
      <c r="H10381" s="27" t="s">
        <v>35</v>
      </c>
      <c r="I10381" s="27" t="s">
        <v>39</v>
      </c>
      <c r="J10381" s="28" t="s">
        <v>997</v>
      </c>
      <c r="K10381" s="27" t="s">
        <v>39</v>
      </c>
      <c r="L10381" s="27"/>
    </row>
    <row r="10382" customFormat="false" ht="15" hidden="false" customHeight="false" outlineLevel="0" collapsed="false">
      <c r="A10382" s="26" t="s">
        <v>25677</v>
      </c>
      <c r="B10382" s="27" t="s">
        <v>25678</v>
      </c>
      <c r="C10382" s="27" t="s">
        <v>370</v>
      </c>
      <c r="D10382" s="26"/>
      <c r="E10382" s="27"/>
      <c r="F10382" s="27"/>
      <c r="G10382" s="27" t="s">
        <v>11122</v>
      </c>
      <c r="H10382" s="27" t="s">
        <v>35</v>
      </c>
      <c r="I10382" s="27" t="s">
        <v>39</v>
      </c>
      <c r="J10382" s="28" t="s">
        <v>997</v>
      </c>
      <c r="K10382" s="27" t="s">
        <v>39</v>
      </c>
      <c r="L10382" s="27"/>
    </row>
    <row r="10383" customFormat="false" ht="15" hidden="false" customHeight="false" outlineLevel="0" collapsed="false">
      <c r="A10383" s="26" t="s">
        <v>25679</v>
      </c>
      <c r="B10383" s="27" t="s">
        <v>25680</v>
      </c>
      <c r="C10383" s="27" t="s">
        <v>370</v>
      </c>
      <c r="D10383" s="26"/>
      <c r="E10383" s="27"/>
      <c r="F10383" s="27"/>
      <c r="G10383" s="27" t="s">
        <v>11122</v>
      </c>
      <c r="H10383" s="27" t="s">
        <v>35</v>
      </c>
      <c r="I10383" s="27" t="s">
        <v>39</v>
      </c>
      <c r="J10383" s="28" t="s">
        <v>997</v>
      </c>
      <c r="K10383" s="27" t="s">
        <v>39</v>
      </c>
      <c r="L10383" s="27"/>
    </row>
    <row r="10384" customFormat="false" ht="15" hidden="false" customHeight="false" outlineLevel="0" collapsed="false">
      <c r="A10384" s="26" t="s">
        <v>25681</v>
      </c>
      <c r="B10384" s="27" t="s">
        <v>25682</v>
      </c>
      <c r="C10384" s="27" t="s">
        <v>370</v>
      </c>
      <c r="D10384" s="26"/>
      <c r="E10384" s="27"/>
      <c r="F10384" s="27"/>
      <c r="G10384" s="27" t="s">
        <v>11122</v>
      </c>
      <c r="H10384" s="27" t="s">
        <v>35</v>
      </c>
      <c r="I10384" s="27" t="s">
        <v>43</v>
      </c>
      <c r="J10384" s="28" t="s">
        <v>997</v>
      </c>
      <c r="K10384" s="27" t="s">
        <v>39</v>
      </c>
      <c r="L10384" s="27"/>
    </row>
    <row r="10385" customFormat="false" ht="15" hidden="false" customHeight="false" outlineLevel="0" collapsed="false">
      <c r="A10385" s="26" t="s">
        <v>25683</v>
      </c>
      <c r="B10385" s="27" t="s">
        <v>25684</v>
      </c>
      <c r="C10385" s="27" t="s">
        <v>370</v>
      </c>
      <c r="D10385" s="26"/>
      <c r="E10385" s="27"/>
      <c r="F10385" s="27"/>
      <c r="G10385" s="27" t="s">
        <v>11122</v>
      </c>
      <c r="H10385" s="27" t="s">
        <v>35</v>
      </c>
      <c r="I10385" s="27" t="s">
        <v>43</v>
      </c>
      <c r="J10385" s="28" t="s">
        <v>997</v>
      </c>
      <c r="K10385" s="27" t="s">
        <v>39</v>
      </c>
      <c r="L10385" s="27"/>
    </row>
    <row r="10386" customFormat="false" ht="15" hidden="false" customHeight="false" outlineLevel="0" collapsed="false">
      <c r="A10386" s="26" t="s">
        <v>25685</v>
      </c>
      <c r="B10386" s="27" t="s">
        <v>25686</v>
      </c>
      <c r="C10386" s="27" t="s">
        <v>144</v>
      </c>
      <c r="D10386" s="26"/>
      <c r="E10386" s="27"/>
      <c r="F10386" s="27"/>
      <c r="G10386" s="27" t="s">
        <v>11122</v>
      </c>
      <c r="H10386" s="27" t="s">
        <v>35</v>
      </c>
      <c r="I10386" s="27" t="s">
        <v>39</v>
      </c>
      <c r="J10386" s="28" t="s">
        <v>997</v>
      </c>
      <c r="K10386" s="27" t="s">
        <v>39</v>
      </c>
      <c r="L10386" s="27"/>
    </row>
    <row r="10387" customFormat="false" ht="15" hidden="false" customHeight="false" outlineLevel="0" collapsed="false">
      <c r="A10387" s="26" t="s">
        <v>25687</v>
      </c>
      <c r="B10387" s="27" t="s">
        <v>25688</v>
      </c>
      <c r="C10387" s="27" t="s">
        <v>144</v>
      </c>
      <c r="D10387" s="26"/>
      <c r="E10387" s="27"/>
      <c r="F10387" s="27"/>
      <c r="G10387" s="27" t="s">
        <v>11122</v>
      </c>
      <c r="H10387" s="27" t="s">
        <v>35</v>
      </c>
      <c r="I10387" s="27" t="s">
        <v>39</v>
      </c>
      <c r="J10387" s="28" t="s">
        <v>997</v>
      </c>
      <c r="K10387" s="27" t="s">
        <v>39</v>
      </c>
      <c r="L10387" s="27"/>
    </row>
    <row r="10388" customFormat="false" ht="15" hidden="false" customHeight="false" outlineLevel="0" collapsed="false">
      <c r="A10388" s="26" t="s">
        <v>25689</v>
      </c>
      <c r="B10388" s="27" t="s">
        <v>25690</v>
      </c>
      <c r="C10388" s="27" t="s">
        <v>370</v>
      </c>
      <c r="D10388" s="26"/>
      <c r="E10388" s="27"/>
      <c r="F10388" s="27"/>
      <c r="G10388" s="27" t="s">
        <v>11122</v>
      </c>
      <c r="H10388" s="27" t="s">
        <v>35</v>
      </c>
      <c r="I10388" s="27" t="s">
        <v>42</v>
      </c>
      <c r="J10388" s="28" t="s">
        <v>997</v>
      </c>
      <c r="K10388" s="27" t="s">
        <v>39</v>
      </c>
      <c r="L10388" s="27"/>
    </row>
    <row r="10389" customFormat="false" ht="15" hidden="false" customHeight="false" outlineLevel="0" collapsed="false">
      <c r="A10389" s="26" t="s">
        <v>25691</v>
      </c>
      <c r="B10389" s="27" t="s">
        <v>25692</v>
      </c>
      <c r="C10389" s="27" t="s">
        <v>370</v>
      </c>
      <c r="D10389" s="26"/>
      <c r="E10389" s="27"/>
      <c r="F10389" s="27"/>
      <c r="G10389" s="27" t="s">
        <v>11122</v>
      </c>
      <c r="H10389" s="27" t="s">
        <v>35</v>
      </c>
      <c r="I10389" s="27" t="s">
        <v>42</v>
      </c>
      <c r="J10389" s="28" t="s">
        <v>997</v>
      </c>
      <c r="K10389" s="27" t="s">
        <v>39</v>
      </c>
      <c r="L10389" s="27"/>
    </row>
    <row r="10390" customFormat="false" ht="15" hidden="false" customHeight="false" outlineLevel="0" collapsed="false">
      <c r="A10390" s="26" t="s">
        <v>25693</v>
      </c>
      <c r="B10390" s="27" t="s">
        <v>25694</v>
      </c>
      <c r="C10390" s="27" t="s">
        <v>370</v>
      </c>
      <c r="D10390" s="26"/>
      <c r="E10390" s="27"/>
      <c r="F10390" s="27"/>
      <c r="G10390" s="27" t="s">
        <v>11122</v>
      </c>
      <c r="H10390" s="27" t="s">
        <v>35</v>
      </c>
      <c r="I10390" s="27" t="s">
        <v>42</v>
      </c>
      <c r="J10390" s="28" t="s">
        <v>997</v>
      </c>
      <c r="K10390" s="27" t="s">
        <v>39</v>
      </c>
      <c r="L10390" s="27"/>
    </row>
    <row r="10391" customFormat="false" ht="15" hidden="false" customHeight="false" outlineLevel="0" collapsed="false">
      <c r="A10391" s="26" t="s">
        <v>25695</v>
      </c>
      <c r="B10391" s="27" t="s">
        <v>25696</v>
      </c>
      <c r="C10391" s="27" t="s">
        <v>144</v>
      </c>
      <c r="D10391" s="26"/>
      <c r="E10391" s="27"/>
      <c r="F10391" s="27"/>
      <c r="G10391" s="27" t="s">
        <v>11122</v>
      </c>
      <c r="H10391" s="27" t="s">
        <v>35</v>
      </c>
      <c r="I10391" s="27" t="s">
        <v>39</v>
      </c>
      <c r="J10391" s="28" t="s">
        <v>997</v>
      </c>
      <c r="K10391" s="27" t="s">
        <v>39</v>
      </c>
      <c r="L10391" s="27"/>
    </row>
    <row r="10392" customFormat="false" ht="15" hidden="false" customHeight="false" outlineLevel="0" collapsed="false">
      <c r="A10392" s="26" t="s">
        <v>25697</v>
      </c>
      <c r="B10392" s="27" t="s">
        <v>25698</v>
      </c>
      <c r="C10392" s="27" t="s">
        <v>144</v>
      </c>
      <c r="D10392" s="26"/>
      <c r="E10392" s="27"/>
      <c r="F10392" s="27"/>
      <c r="G10392" s="27" t="s">
        <v>11122</v>
      </c>
      <c r="H10392" s="27" t="s">
        <v>35</v>
      </c>
      <c r="I10392" s="27" t="s">
        <v>39</v>
      </c>
      <c r="J10392" s="28" t="s">
        <v>997</v>
      </c>
      <c r="K10392" s="27" t="s">
        <v>39</v>
      </c>
      <c r="L10392" s="27"/>
    </row>
    <row r="10393" customFormat="false" ht="15" hidden="false" customHeight="false" outlineLevel="0" collapsed="false">
      <c r="A10393" s="26" t="s">
        <v>25699</v>
      </c>
      <c r="B10393" s="27" t="s">
        <v>25700</v>
      </c>
      <c r="C10393" s="27" t="s">
        <v>144</v>
      </c>
      <c r="D10393" s="26"/>
      <c r="E10393" s="27"/>
      <c r="F10393" s="27"/>
      <c r="G10393" s="27" t="s">
        <v>11122</v>
      </c>
      <c r="H10393" s="27" t="s">
        <v>35</v>
      </c>
      <c r="I10393" s="27" t="s">
        <v>39</v>
      </c>
      <c r="J10393" s="28" t="s">
        <v>997</v>
      </c>
      <c r="K10393" s="27" t="s">
        <v>39</v>
      </c>
      <c r="L10393" s="27"/>
    </row>
    <row r="10394" customFormat="false" ht="15" hidden="false" customHeight="false" outlineLevel="0" collapsed="false">
      <c r="A10394" s="26" t="s">
        <v>25701</v>
      </c>
      <c r="B10394" s="27" t="s">
        <v>25702</v>
      </c>
      <c r="C10394" s="27" t="s">
        <v>370</v>
      </c>
      <c r="D10394" s="26"/>
      <c r="E10394" s="27"/>
      <c r="F10394" s="27"/>
      <c r="G10394" s="27" t="s">
        <v>11122</v>
      </c>
      <c r="H10394" s="27" t="s">
        <v>35</v>
      </c>
      <c r="I10394" s="27" t="s">
        <v>39</v>
      </c>
      <c r="J10394" s="28" t="s">
        <v>997</v>
      </c>
      <c r="K10394" s="27" t="s">
        <v>39</v>
      </c>
      <c r="L10394" s="27"/>
    </row>
    <row r="10395" customFormat="false" ht="15" hidden="false" customHeight="false" outlineLevel="0" collapsed="false">
      <c r="A10395" s="26" t="s">
        <v>25703</v>
      </c>
      <c r="B10395" s="27" t="s">
        <v>25704</v>
      </c>
      <c r="C10395" s="27" t="s">
        <v>144</v>
      </c>
      <c r="D10395" s="26"/>
      <c r="E10395" s="27"/>
      <c r="F10395" s="27"/>
      <c r="G10395" s="27" t="s">
        <v>11122</v>
      </c>
      <c r="H10395" s="27" t="s">
        <v>35</v>
      </c>
      <c r="I10395" s="27" t="s">
        <v>39</v>
      </c>
      <c r="J10395" s="28" t="s">
        <v>997</v>
      </c>
      <c r="K10395" s="27" t="s">
        <v>39</v>
      </c>
      <c r="L10395" s="27"/>
    </row>
    <row r="10396" customFormat="false" ht="15" hidden="false" customHeight="false" outlineLevel="0" collapsed="false">
      <c r="A10396" s="26" t="s">
        <v>25705</v>
      </c>
      <c r="B10396" s="27" t="s">
        <v>25706</v>
      </c>
      <c r="C10396" s="27" t="s">
        <v>144</v>
      </c>
      <c r="D10396" s="26"/>
      <c r="E10396" s="27"/>
      <c r="F10396" s="27"/>
      <c r="G10396" s="27" t="s">
        <v>11122</v>
      </c>
      <c r="H10396" s="27" t="s">
        <v>35</v>
      </c>
      <c r="I10396" s="27" t="s">
        <v>39</v>
      </c>
      <c r="J10396" s="28" t="s">
        <v>997</v>
      </c>
      <c r="K10396" s="27" t="s">
        <v>39</v>
      </c>
      <c r="L10396" s="27"/>
    </row>
    <row r="10397" customFormat="false" ht="15" hidden="false" customHeight="false" outlineLevel="0" collapsed="false">
      <c r="A10397" s="26" t="s">
        <v>25707</v>
      </c>
      <c r="B10397" s="27" t="s">
        <v>25708</v>
      </c>
      <c r="C10397" s="27" t="s">
        <v>144</v>
      </c>
      <c r="D10397" s="26"/>
      <c r="E10397" s="27"/>
      <c r="F10397" s="27"/>
      <c r="G10397" s="27" t="s">
        <v>11122</v>
      </c>
      <c r="H10397" s="27" t="s">
        <v>35</v>
      </c>
      <c r="I10397" s="27" t="s">
        <v>39</v>
      </c>
      <c r="J10397" s="28" t="s">
        <v>997</v>
      </c>
      <c r="K10397" s="27" t="s">
        <v>39</v>
      </c>
      <c r="L10397" s="27"/>
    </row>
    <row r="10398" customFormat="false" ht="15" hidden="false" customHeight="false" outlineLevel="0" collapsed="false">
      <c r="A10398" s="26" t="s">
        <v>25709</v>
      </c>
      <c r="B10398" s="27" t="s">
        <v>25710</v>
      </c>
      <c r="C10398" s="27" t="s">
        <v>144</v>
      </c>
      <c r="D10398" s="26"/>
      <c r="E10398" s="27"/>
      <c r="F10398" s="27"/>
      <c r="G10398" s="27" t="s">
        <v>11122</v>
      </c>
      <c r="H10398" s="27" t="s">
        <v>35</v>
      </c>
      <c r="I10398" s="27" t="s">
        <v>39</v>
      </c>
      <c r="J10398" s="28" t="s">
        <v>997</v>
      </c>
      <c r="K10398" s="27" t="s">
        <v>39</v>
      </c>
      <c r="L10398" s="27"/>
    </row>
    <row r="10399" customFormat="false" ht="15" hidden="false" customHeight="false" outlineLevel="0" collapsed="false">
      <c r="A10399" s="26" t="s">
        <v>25711</v>
      </c>
      <c r="B10399" s="27" t="s">
        <v>25712</v>
      </c>
      <c r="C10399" s="27" t="s">
        <v>144</v>
      </c>
      <c r="D10399" s="26"/>
      <c r="E10399" s="27"/>
      <c r="F10399" s="27"/>
      <c r="G10399" s="27" t="s">
        <v>11122</v>
      </c>
      <c r="H10399" s="27" t="s">
        <v>35</v>
      </c>
      <c r="I10399" s="27" t="s">
        <v>39</v>
      </c>
      <c r="J10399" s="28" t="s">
        <v>997</v>
      </c>
      <c r="K10399" s="27" t="s">
        <v>39</v>
      </c>
      <c r="L10399" s="27"/>
    </row>
    <row r="10400" customFormat="false" ht="15" hidden="false" customHeight="false" outlineLevel="0" collapsed="false">
      <c r="A10400" s="26" t="s">
        <v>25713</v>
      </c>
      <c r="B10400" s="27" t="s">
        <v>25714</v>
      </c>
      <c r="C10400" s="27" t="s">
        <v>1187</v>
      </c>
      <c r="D10400" s="26"/>
      <c r="E10400" s="27"/>
      <c r="F10400" s="27"/>
      <c r="G10400" s="27" t="s">
        <v>11122</v>
      </c>
      <c r="H10400" s="27" t="s">
        <v>35</v>
      </c>
      <c r="I10400" s="27" t="s">
        <v>39</v>
      </c>
      <c r="J10400" s="28" t="s">
        <v>997</v>
      </c>
      <c r="K10400" s="27" t="s">
        <v>39</v>
      </c>
      <c r="L10400" s="27"/>
    </row>
    <row r="10401" customFormat="false" ht="15" hidden="false" customHeight="false" outlineLevel="0" collapsed="false">
      <c r="A10401" s="26" t="s">
        <v>25715</v>
      </c>
      <c r="B10401" s="27" t="s">
        <v>25716</v>
      </c>
      <c r="C10401" s="27" t="s">
        <v>144</v>
      </c>
      <c r="D10401" s="26"/>
      <c r="E10401" s="27"/>
      <c r="F10401" s="27"/>
      <c r="G10401" s="27" t="s">
        <v>11122</v>
      </c>
      <c r="H10401" s="27" t="s">
        <v>35</v>
      </c>
      <c r="I10401" s="27" t="s">
        <v>39</v>
      </c>
      <c r="J10401" s="28" t="s">
        <v>997</v>
      </c>
      <c r="K10401" s="27" t="s">
        <v>39</v>
      </c>
      <c r="L10401" s="27"/>
    </row>
    <row r="10402" customFormat="false" ht="15" hidden="false" customHeight="false" outlineLevel="0" collapsed="false">
      <c r="A10402" s="26" t="s">
        <v>25717</v>
      </c>
      <c r="B10402" s="27" t="s">
        <v>25718</v>
      </c>
      <c r="C10402" s="27" t="s">
        <v>144</v>
      </c>
      <c r="D10402" s="26"/>
      <c r="E10402" s="27"/>
      <c r="F10402" s="27"/>
      <c r="G10402" s="27" t="s">
        <v>11122</v>
      </c>
      <c r="H10402" s="27" t="s">
        <v>35</v>
      </c>
      <c r="I10402" s="27" t="s">
        <v>39</v>
      </c>
      <c r="J10402" s="28" t="s">
        <v>997</v>
      </c>
      <c r="K10402" s="27" t="s">
        <v>39</v>
      </c>
      <c r="L10402" s="27"/>
    </row>
    <row r="10403" customFormat="false" ht="15" hidden="false" customHeight="false" outlineLevel="0" collapsed="false">
      <c r="A10403" s="26" t="s">
        <v>25719</v>
      </c>
      <c r="B10403" s="27" t="s">
        <v>25720</v>
      </c>
      <c r="C10403" s="27" t="s">
        <v>144</v>
      </c>
      <c r="D10403" s="26"/>
      <c r="E10403" s="27"/>
      <c r="F10403" s="27"/>
      <c r="G10403" s="27" t="s">
        <v>11122</v>
      </c>
      <c r="H10403" s="27" t="s">
        <v>35</v>
      </c>
      <c r="I10403" s="27" t="s">
        <v>39</v>
      </c>
      <c r="J10403" s="28" t="s">
        <v>997</v>
      </c>
      <c r="K10403" s="27" t="s">
        <v>39</v>
      </c>
      <c r="L10403" s="27"/>
    </row>
    <row r="10404" customFormat="false" ht="15" hidden="false" customHeight="false" outlineLevel="0" collapsed="false">
      <c r="A10404" s="26" t="s">
        <v>25721</v>
      </c>
      <c r="B10404" s="27" t="s">
        <v>25722</v>
      </c>
      <c r="C10404" s="27" t="s">
        <v>144</v>
      </c>
      <c r="D10404" s="26"/>
      <c r="E10404" s="27"/>
      <c r="F10404" s="27"/>
      <c r="G10404" s="27" t="s">
        <v>11122</v>
      </c>
      <c r="H10404" s="27" t="s">
        <v>35</v>
      </c>
      <c r="I10404" s="27" t="s">
        <v>44</v>
      </c>
      <c r="J10404" s="28" t="s">
        <v>997</v>
      </c>
      <c r="K10404" s="27" t="s">
        <v>39</v>
      </c>
      <c r="L10404" s="27"/>
    </row>
    <row r="10405" customFormat="false" ht="15" hidden="false" customHeight="false" outlineLevel="0" collapsed="false">
      <c r="A10405" s="26" t="s">
        <v>25723</v>
      </c>
      <c r="B10405" s="27" t="s">
        <v>25724</v>
      </c>
      <c r="C10405" s="27" t="s">
        <v>144</v>
      </c>
      <c r="D10405" s="26"/>
      <c r="E10405" s="27"/>
      <c r="F10405" s="27"/>
      <c r="G10405" s="27" t="s">
        <v>11122</v>
      </c>
      <c r="H10405" s="27" t="s">
        <v>35</v>
      </c>
      <c r="I10405" s="27" t="s">
        <v>44</v>
      </c>
      <c r="J10405" s="28" t="s">
        <v>997</v>
      </c>
      <c r="K10405" s="27" t="s">
        <v>39</v>
      </c>
      <c r="L10405" s="27"/>
    </row>
    <row r="10406" customFormat="false" ht="15" hidden="false" customHeight="false" outlineLevel="0" collapsed="false">
      <c r="A10406" s="26" t="s">
        <v>25725</v>
      </c>
      <c r="B10406" s="27" t="s">
        <v>25726</v>
      </c>
      <c r="C10406" s="27" t="s">
        <v>144</v>
      </c>
      <c r="D10406" s="26"/>
      <c r="E10406" s="27"/>
      <c r="F10406" s="27"/>
      <c r="G10406" s="27" t="s">
        <v>11122</v>
      </c>
      <c r="H10406" s="27" t="s">
        <v>35</v>
      </c>
      <c r="I10406" s="27" t="s">
        <v>39</v>
      </c>
      <c r="J10406" s="28" t="s">
        <v>997</v>
      </c>
      <c r="K10406" s="27" t="s">
        <v>39</v>
      </c>
      <c r="L10406" s="27"/>
    </row>
    <row r="10407" customFormat="false" ht="15" hidden="false" customHeight="false" outlineLevel="0" collapsed="false">
      <c r="A10407" s="26" t="s">
        <v>25727</v>
      </c>
      <c r="B10407" s="27" t="s">
        <v>25728</v>
      </c>
      <c r="C10407" s="27" t="s">
        <v>144</v>
      </c>
      <c r="D10407" s="26"/>
      <c r="E10407" s="27"/>
      <c r="F10407" s="27"/>
      <c r="G10407" s="27" t="s">
        <v>11122</v>
      </c>
      <c r="H10407" s="27" t="s">
        <v>35</v>
      </c>
      <c r="I10407" s="27" t="s">
        <v>39</v>
      </c>
      <c r="J10407" s="28" t="s">
        <v>997</v>
      </c>
      <c r="K10407" s="27" t="s">
        <v>39</v>
      </c>
      <c r="L10407" s="27"/>
    </row>
    <row r="10408" customFormat="false" ht="15" hidden="false" customHeight="false" outlineLevel="0" collapsed="false">
      <c r="A10408" s="26" t="s">
        <v>25729</v>
      </c>
      <c r="B10408" s="27" t="s">
        <v>25730</v>
      </c>
      <c r="C10408" s="27" t="s">
        <v>144</v>
      </c>
      <c r="D10408" s="26"/>
      <c r="E10408" s="27"/>
      <c r="F10408" s="27"/>
      <c r="G10408" s="27" t="s">
        <v>11122</v>
      </c>
      <c r="H10408" s="27" t="s">
        <v>35</v>
      </c>
      <c r="I10408" s="27" t="s">
        <v>39</v>
      </c>
      <c r="J10408" s="28" t="s">
        <v>997</v>
      </c>
      <c r="K10408" s="27" t="s">
        <v>39</v>
      </c>
      <c r="L10408" s="27"/>
    </row>
    <row r="10409" customFormat="false" ht="15" hidden="false" customHeight="false" outlineLevel="0" collapsed="false">
      <c r="A10409" s="26" t="s">
        <v>25731</v>
      </c>
      <c r="B10409" s="27" t="s">
        <v>25732</v>
      </c>
      <c r="C10409" s="27" t="s">
        <v>144</v>
      </c>
      <c r="D10409" s="26"/>
      <c r="E10409" s="27"/>
      <c r="F10409" s="27"/>
      <c r="G10409" s="27" t="s">
        <v>11122</v>
      </c>
      <c r="H10409" s="27" t="s">
        <v>35</v>
      </c>
      <c r="I10409" s="27" t="s">
        <v>39</v>
      </c>
      <c r="J10409" s="28" t="s">
        <v>997</v>
      </c>
      <c r="K10409" s="27" t="s">
        <v>39</v>
      </c>
      <c r="L10409" s="27"/>
    </row>
    <row r="10410" customFormat="false" ht="15" hidden="false" customHeight="false" outlineLevel="0" collapsed="false">
      <c r="A10410" s="26" t="s">
        <v>25733</v>
      </c>
      <c r="B10410" s="27" t="s">
        <v>25734</v>
      </c>
      <c r="C10410" s="27" t="s">
        <v>144</v>
      </c>
      <c r="D10410" s="26"/>
      <c r="E10410" s="27"/>
      <c r="F10410" s="27"/>
      <c r="G10410" s="27" t="s">
        <v>11122</v>
      </c>
      <c r="H10410" s="27" t="s">
        <v>35</v>
      </c>
      <c r="I10410" s="27" t="s">
        <v>39</v>
      </c>
      <c r="J10410" s="28" t="s">
        <v>997</v>
      </c>
      <c r="K10410" s="27" t="s">
        <v>39</v>
      </c>
      <c r="L10410" s="27"/>
    </row>
    <row r="10411" customFormat="false" ht="15" hidden="false" customHeight="false" outlineLevel="0" collapsed="false">
      <c r="A10411" s="26" t="s">
        <v>25735</v>
      </c>
      <c r="B10411" s="27" t="s">
        <v>25736</v>
      </c>
      <c r="C10411" s="27" t="s">
        <v>144</v>
      </c>
      <c r="D10411" s="26"/>
      <c r="E10411" s="27"/>
      <c r="F10411" s="27"/>
      <c r="G10411" s="27" t="s">
        <v>11122</v>
      </c>
      <c r="H10411" s="27" t="s">
        <v>35</v>
      </c>
      <c r="I10411" s="27" t="s">
        <v>39</v>
      </c>
      <c r="J10411" s="28" t="s">
        <v>997</v>
      </c>
      <c r="K10411" s="27" t="s">
        <v>39</v>
      </c>
      <c r="L10411" s="27"/>
    </row>
    <row r="10412" customFormat="false" ht="15" hidden="false" customHeight="false" outlineLevel="0" collapsed="false">
      <c r="A10412" s="26" t="s">
        <v>25737</v>
      </c>
      <c r="B10412" s="27" t="s">
        <v>25738</v>
      </c>
      <c r="C10412" s="27" t="s">
        <v>144</v>
      </c>
      <c r="D10412" s="26"/>
      <c r="E10412" s="27"/>
      <c r="F10412" s="27"/>
      <c r="G10412" s="27" t="s">
        <v>11122</v>
      </c>
      <c r="H10412" s="27" t="s">
        <v>35</v>
      </c>
      <c r="I10412" s="27" t="s">
        <v>39</v>
      </c>
      <c r="J10412" s="28" t="s">
        <v>997</v>
      </c>
      <c r="K10412" s="27" t="s">
        <v>39</v>
      </c>
      <c r="L10412" s="27"/>
    </row>
    <row r="10413" customFormat="false" ht="15" hidden="false" customHeight="false" outlineLevel="0" collapsed="false">
      <c r="A10413" s="26" t="s">
        <v>25739</v>
      </c>
      <c r="B10413" s="27" t="s">
        <v>25740</v>
      </c>
      <c r="C10413" s="27" t="s">
        <v>144</v>
      </c>
      <c r="D10413" s="26"/>
      <c r="E10413" s="27"/>
      <c r="F10413" s="27"/>
      <c r="G10413" s="27" t="s">
        <v>11122</v>
      </c>
      <c r="H10413" s="27" t="s">
        <v>35</v>
      </c>
      <c r="I10413" s="27" t="s">
        <v>39</v>
      </c>
      <c r="J10413" s="28" t="s">
        <v>997</v>
      </c>
      <c r="K10413" s="27" t="s">
        <v>39</v>
      </c>
      <c r="L10413" s="27"/>
    </row>
    <row r="10414" customFormat="false" ht="15" hidden="false" customHeight="false" outlineLevel="0" collapsed="false">
      <c r="A10414" s="26" t="s">
        <v>25741</v>
      </c>
      <c r="B10414" s="27" t="s">
        <v>25742</v>
      </c>
      <c r="C10414" s="27" t="s">
        <v>144</v>
      </c>
      <c r="D10414" s="26"/>
      <c r="E10414" s="27"/>
      <c r="F10414" s="27"/>
      <c r="G10414" s="27" t="s">
        <v>11122</v>
      </c>
      <c r="H10414" s="27" t="s">
        <v>35</v>
      </c>
      <c r="I10414" s="27" t="s">
        <v>39</v>
      </c>
      <c r="J10414" s="28" t="s">
        <v>997</v>
      </c>
      <c r="K10414" s="27" t="s">
        <v>39</v>
      </c>
      <c r="L10414" s="27"/>
    </row>
    <row r="10415" customFormat="false" ht="15" hidden="false" customHeight="false" outlineLevel="0" collapsed="false">
      <c r="A10415" s="26" t="s">
        <v>25743</v>
      </c>
      <c r="B10415" s="27" t="s">
        <v>25744</v>
      </c>
      <c r="C10415" s="27" t="s">
        <v>144</v>
      </c>
      <c r="D10415" s="26"/>
      <c r="E10415" s="27"/>
      <c r="F10415" s="27"/>
      <c r="G10415" s="27" t="s">
        <v>11122</v>
      </c>
      <c r="H10415" s="27" t="s">
        <v>35</v>
      </c>
      <c r="I10415" s="27" t="s">
        <v>39</v>
      </c>
      <c r="J10415" s="28" t="s">
        <v>997</v>
      </c>
      <c r="K10415" s="27" t="s">
        <v>39</v>
      </c>
      <c r="L10415" s="27"/>
    </row>
    <row r="10416" customFormat="false" ht="15" hidden="false" customHeight="false" outlineLevel="0" collapsed="false">
      <c r="A10416" s="26" t="s">
        <v>25745</v>
      </c>
      <c r="B10416" s="27" t="s">
        <v>25746</v>
      </c>
      <c r="C10416" s="27" t="s">
        <v>144</v>
      </c>
      <c r="D10416" s="26"/>
      <c r="E10416" s="27"/>
      <c r="F10416" s="27"/>
      <c r="G10416" s="27" t="s">
        <v>11122</v>
      </c>
      <c r="H10416" s="27" t="s">
        <v>35</v>
      </c>
      <c r="I10416" s="27" t="s">
        <v>39</v>
      </c>
      <c r="J10416" s="28" t="s">
        <v>997</v>
      </c>
      <c r="K10416" s="27" t="s">
        <v>39</v>
      </c>
      <c r="L10416" s="27"/>
    </row>
    <row r="10417" customFormat="false" ht="15" hidden="false" customHeight="false" outlineLevel="0" collapsed="false">
      <c r="A10417" s="26" t="s">
        <v>25747</v>
      </c>
      <c r="B10417" s="27" t="s">
        <v>25748</v>
      </c>
      <c r="C10417" s="27" t="s">
        <v>144</v>
      </c>
      <c r="D10417" s="26"/>
      <c r="E10417" s="27"/>
      <c r="F10417" s="27"/>
      <c r="G10417" s="27" t="s">
        <v>11122</v>
      </c>
      <c r="H10417" s="27" t="s">
        <v>35</v>
      </c>
      <c r="I10417" s="27" t="s">
        <v>39</v>
      </c>
      <c r="J10417" s="28" t="s">
        <v>997</v>
      </c>
      <c r="K10417" s="27" t="s">
        <v>39</v>
      </c>
      <c r="L10417" s="27"/>
    </row>
    <row r="10418" customFormat="false" ht="15" hidden="false" customHeight="false" outlineLevel="0" collapsed="false">
      <c r="A10418" s="26" t="s">
        <v>25749</v>
      </c>
      <c r="B10418" s="27" t="s">
        <v>25750</v>
      </c>
      <c r="C10418" s="27" t="s">
        <v>144</v>
      </c>
      <c r="D10418" s="26"/>
      <c r="E10418" s="27"/>
      <c r="F10418" s="27"/>
      <c r="G10418" s="27" t="s">
        <v>11122</v>
      </c>
      <c r="H10418" s="27" t="s">
        <v>35</v>
      </c>
      <c r="I10418" s="27" t="s">
        <v>39</v>
      </c>
      <c r="J10418" s="28" t="s">
        <v>997</v>
      </c>
      <c r="K10418" s="27" t="s">
        <v>39</v>
      </c>
      <c r="L10418" s="27"/>
    </row>
    <row r="10419" customFormat="false" ht="15" hidden="false" customHeight="false" outlineLevel="0" collapsed="false">
      <c r="A10419" s="26" t="s">
        <v>25751</v>
      </c>
      <c r="B10419" s="27" t="s">
        <v>25752</v>
      </c>
      <c r="C10419" s="27" t="s">
        <v>144</v>
      </c>
      <c r="D10419" s="26"/>
      <c r="E10419" s="27"/>
      <c r="F10419" s="27"/>
      <c r="G10419" s="27" t="s">
        <v>11122</v>
      </c>
      <c r="H10419" s="27" t="s">
        <v>35</v>
      </c>
      <c r="I10419" s="27" t="s">
        <v>39</v>
      </c>
      <c r="J10419" s="28" t="s">
        <v>997</v>
      </c>
      <c r="K10419" s="27" t="s">
        <v>39</v>
      </c>
      <c r="L10419" s="27"/>
    </row>
    <row r="10420" customFormat="false" ht="15" hidden="false" customHeight="false" outlineLevel="0" collapsed="false">
      <c r="A10420" s="26" t="s">
        <v>25753</v>
      </c>
      <c r="B10420" s="27" t="s">
        <v>25754</v>
      </c>
      <c r="C10420" s="27" t="s">
        <v>3373</v>
      </c>
      <c r="D10420" s="26"/>
      <c r="E10420" s="27"/>
      <c r="F10420" s="27"/>
      <c r="G10420" s="27" t="s">
        <v>11122</v>
      </c>
      <c r="H10420" s="27" t="s">
        <v>35</v>
      </c>
      <c r="I10420" s="27" t="s">
        <v>39</v>
      </c>
      <c r="J10420" s="28" t="s">
        <v>997</v>
      </c>
      <c r="K10420" s="27" t="s">
        <v>39</v>
      </c>
      <c r="L10420" s="27"/>
    </row>
    <row r="10421" customFormat="false" ht="15" hidden="false" customHeight="false" outlineLevel="0" collapsed="false">
      <c r="A10421" s="26" t="s">
        <v>25755</v>
      </c>
      <c r="B10421" s="27" t="s">
        <v>25756</v>
      </c>
      <c r="C10421" s="27" t="s">
        <v>144</v>
      </c>
      <c r="D10421" s="26"/>
      <c r="E10421" s="27"/>
      <c r="F10421" s="27"/>
      <c r="G10421" s="27" t="s">
        <v>11122</v>
      </c>
      <c r="H10421" s="27" t="s">
        <v>35</v>
      </c>
      <c r="I10421" s="27" t="s">
        <v>39</v>
      </c>
      <c r="J10421" s="28" t="s">
        <v>997</v>
      </c>
      <c r="K10421" s="27" t="s">
        <v>39</v>
      </c>
      <c r="L10421" s="27"/>
    </row>
    <row r="10422" customFormat="false" ht="15" hidden="false" customHeight="false" outlineLevel="0" collapsed="false">
      <c r="A10422" s="26" t="s">
        <v>25757</v>
      </c>
      <c r="B10422" s="27" t="s">
        <v>25758</v>
      </c>
      <c r="C10422" s="27" t="s">
        <v>1187</v>
      </c>
      <c r="D10422" s="26"/>
      <c r="E10422" s="27"/>
      <c r="F10422" s="27"/>
      <c r="G10422" s="27" t="s">
        <v>11122</v>
      </c>
      <c r="H10422" s="27" t="s">
        <v>35</v>
      </c>
      <c r="I10422" s="27" t="s">
        <v>39</v>
      </c>
      <c r="J10422" s="28" t="s">
        <v>997</v>
      </c>
      <c r="K10422" s="27" t="s">
        <v>39</v>
      </c>
      <c r="L10422" s="27"/>
    </row>
    <row r="10423" customFormat="false" ht="15" hidden="false" customHeight="false" outlineLevel="0" collapsed="false">
      <c r="A10423" s="26" t="s">
        <v>25759</v>
      </c>
      <c r="B10423" s="27" t="s">
        <v>25760</v>
      </c>
      <c r="C10423" s="27" t="s">
        <v>144</v>
      </c>
      <c r="D10423" s="26"/>
      <c r="E10423" s="27"/>
      <c r="F10423" s="27"/>
      <c r="G10423" s="27" t="s">
        <v>11122</v>
      </c>
      <c r="H10423" s="27" t="s">
        <v>35</v>
      </c>
      <c r="I10423" s="27" t="s">
        <v>39</v>
      </c>
      <c r="J10423" s="28" t="s">
        <v>997</v>
      </c>
      <c r="K10423" s="27" t="s">
        <v>39</v>
      </c>
      <c r="L10423" s="27"/>
    </row>
    <row r="10424" customFormat="false" ht="15" hidden="false" customHeight="false" outlineLevel="0" collapsed="false">
      <c r="A10424" s="26" t="s">
        <v>25761</v>
      </c>
      <c r="B10424" s="27" t="s">
        <v>25762</v>
      </c>
      <c r="C10424" s="27" t="s">
        <v>144</v>
      </c>
      <c r="D10424" s="26"/>
      <c r="E10424" s="27"/>
      <c r="F10424" s="27"/>
      <c r="G10424" s="27" t="s">
        <v>11122</v>
      </c>
      <c r="H10424" s="27" t="s">
        <v>35</v>
      </c>
      <c r="I10424" s="27" t="s">
        <v>39</v>
      </c>
      <c r="J10424" s="28" t="s">
        <v>997</v>
      </c>
      <c r="K10424" s="27" t="s">
        <v>39</v>
      </c>
      <c r="L10424" s="27"/>
    </row>
    <row r="10425" customFormat="false" ht="15" hidden="false" customHeight="false" outlineLevel="0" collapsed="false">
      <c r="A10425" s="26" t="s">
        <v>25763</v>
      </c>
      <c r="B10425" s="27" t="s">
        <v>25764</v>
      </c>
      <c r="C10425" s="27" t="s">
        <v>370</v>
      </c>
      <c r="D10425" s="26"/>
      <c r="E10425" s="27"/>
      <c r="F10425" s="27"/>
      <c r="G10425" s="27" t="s">
        <v>11122</v>
      </c>
      <c r="H10425" s="27" t="s">
        <v>35</v>
      </c>
      <c r="I10425" s="27" t="s">
        <v>39</v>
      </c>
      <c r="J10425" s="28" t="s">
        <v>997</v>
      </c>
      <c r="K10425" s="27" t="s">
        <v>39</v>
      </c>
      <c r="L10425" s="27"/>
    </row>
    <row r="10426" customFormat="false" ht="15" hidden="false" customHeight="false" outlineLevel="0" collapsed="false">
      <c r="A10426" s="26" t="s">
        <v>25765</v>
      </c>
      <c r="B10426" s="27" t="s">
        <v>25766</v>
      </c>
      <c r="C10426" s="27" t="s">
        <v>2041</v>
      </c>
      <c r="D10426" s="26"/>
      <c r="E10426" s="27"/>
      <c r="F10426" s="27"/>
      <c r="G10426" s="27" t="s">
        <v>11122</v>
      </c>
      <c r="H10426" s="27" t="s">
        <v>35</v>
      </c>
      <c r="I10426" s="27" t="s">
        <v>40</v>
      </c>
      <c r="J10426" s="28" t="s">
        <v>997</v>
      </c>
      <c r="K10426" s="27" t="s">
        <v>39</v>
      </c>
      <c r="L10426" s="27"/>
    </row>
    <row r="10427" customFormat="false" ht="15" hidden="false" customHeight="false" outlineLevel="0" collapsed="false">
      <c r="A10427" s="26" t="s">
        <v>25767</v>
      </c>
      <c r="B10427" s="27" t="s">
        <v>25768</v>
      </c>
      <c r="C10427" s="27" t="s">
        <v>144</v>
      </c>
      <c r="D10427" s="26"/>
      <c r="E10427" s="27"/>
      <c r="F10427" s="27"/>
      <c r="G10427" s="27" t="s">
        <v>11122</v>
      </c>
      <c r="H10427" s="27" t="s">
        <v>35</v>
      </c>
      <c r="I10427" s="27" t="s">
        <v>39</v>
      </c>
      <c r="J10427" s="28" t="s">
        <v>997</v>
      </c>
      <c r="K10427" s="27" t="s">
        <v>39</v>
      </c>
      <c r="L10427" s="27"/>
    </row>
    <row r="10428" customFormat="false" ht="15" hidden="false" customHeight="false" outlineLevel="0" collapsed="false">
      <c r="A10428" s="26" t="s">
        <v>25769</v>
      </c>
      <c r="B10428" s="27" t="s">
        <v>25770</v>
      </c>
      <c r="C10428" s="27" t="s">
        <v>144</v>
      </c>
      <c r="D10428" s="26"/>
      <c r="E10428" s="27"/>
      <c r="F10428" s="27"/>
      <c r="G10428" s="27" t="s">
        <v>11122</v>
      </c>
      <c r="H10428" s="27" t="s">
        <v>35</v>
      </c>
      <c r="I10428" s="27" t="s">
        <v>39</v>
      </c>
      <c r="J10428" s="28" t="s">
        <v>997</v>
      </c>
      <c r="K10428" s="27" t="s">
        <v>39</v>
      </c>
      <c r="L10428" s="27"/>
    </row>
    <row r="10429" customFormat="false" ht="15" hidden="false" customHeight="false" outlineLevel="0" collapsed="false">
      <c r="A10429" s="26" t="s">
        <v>25771</v>
      </c>
      <c r="B10429" s="27" t="s">
        <v>25772</v>
      </c>
      <c r="C10429" s="27" t="s">
        <v>144</v>
      </c>
      <c r="D10429" s="26"/>
      <c r="E10429" s="27"/>
      <c r="F10429" s="27"/>
      <c r="G10429" s="27" t="s">
        <v>11122</v>
      </c>
      <c r="H10429" s="27" t="s">
        <v>35</v>
      </c>
      <c r="I10429" s="27" t="s">
        <v>39</v>
      </c>
      <c r="J10429" s="28" t="s">
        <v>997</v>
      </c>
      <c r="K10429" s="27" t="s">
        <v>39</v>
      </c>
      <c r="L10429" s="27"/>
    </row>
    <row r="10430" customFormat="false" ht="15" hidden="false" customHeight="false" outlineLevel="0" collapsed="false">
      <c r="A10430" s="26" t="s">
        <v>25773</v>
      </c>
      <c r="B10430" s="27" t="s">
        <v>25774</v>
      </c>
      <c r="C10430" s="27" t="s">
        <v>144</v>
      </c>
      <c r="D10430" s="26"/>
      <c r="E10430" s="27"/>
      <c r="F10430" s="27"/>
      <c r="G10430" s="27" t="s">
        <v>11122</v>
      </c>
      <c r="H10430" s="27" t="s">
        <v>35</v>
      </c>
      <c r="I10430" s="27" t="s">
        <v>39</v>
      </c>
      <c r="J10430" s="28" t="s">
        <v>997</v>
      </c>
      <c r="K10430" s="27" t="s">
        <v>39</v>
      </c>
      <c r="L10430" s="27"/>
    </row>
    <row r="10431" customFormat="false" ht="15" hidden="false" customHeight="false" outlineLevel="0" collapsed="false">
      <c r="A10431" s="26" t="s">
        <v>25775</v>
      </c>
      <c r="B10431" s="27" t="s">
        <v>25776</v>
      </c>
      <c r="C10431" s="27" t="s">
        <v>144</v>
      </c>
      <c r="D10431" s="26"/>
      <c r="E10431" s="27"/>
      <c r="F10431" s="27"/>
      <c r="G10431" s="27" t="s">
        <v>11122</v>
      </c>
      <c r="H10431" s="27" t="s">
        <v>35</v>
      </c>
      <c r="I10431" s="27" t="s">
        <v>39</v>
      </c>
      <c r="J10431" s="28" t="s">
        <v>997</v>
      </c>
      <c r="K10431" s="27" t="s">
        <v>39</v>
      </c>
      <c r="L10431" s="27"/>
    </row>
    <row r="10432" customFormat="false" ht="15" hidden="false" customHeight="false" outlineLevel="0" collapsed="false">
      <c r="A10432" s="26" t="s">
        <v>25777</v>
      </c>
      <c r="B10432" s="27" t="s">
        <v>25778</v>
      </c>
      <c r="C10432" s="27" t="s">
        <v>144</v>
      </c>
      <c r="D10432" s="26"/>
      <c r="E10432" s="27"/>
      <c r="F10432" s="27"/>
      <c r="G10432" s="27" t="s">
        <v>11122</v>
      </c>
      <c r="H10432" s="27" t="s">
        <v>35</v>
      </c>
      <c r="I10432" s="27" t="s">
        <v>39</v>
      </c>
      <c r="J10432" s="28" t="s">
        <v>997</v>
      </c>
      <c r="K10432" s="27" t="s">
        <v>39</v>
      </c>
      <c r="L10432" s="27"/>
    </row>
    <row r="10433" customFormat="false" ht="15" hidden="false" customHeight="false" outlineLevel="0" collapsed="false">
      <c r="A10433" s="26" t="s">
        <v>25779</v>
      </c>
      <c r="B10433" s="27" t="s">
        <v>25780</v>
      </c>
      <c r="C10433" s="27" t="s">
        <v>144</v>
      </c>
      <c r="D10433" s="26"/>
      <c r="E10433" s="27"/>
      <c r="F10433" s="27"/>
      <c r="G10433" s="27" t="s">
        <v>11122</v>
      </c>
      <c r="H10433" s="27" t="s">
        <v>35</v>
      </c>
      <c r="I10433" s="27" t="s">
        <v>47</v>
      </c>
      <c r="J10433" s="28" t="s">
        <v>997</v>
      </c>
      <c r="K10433" s="27" t="s">
        <v>39</v>
      </c>
      <c r="L10433" s="27"/>
    </row>
    <row r="10434" customFormat="false" ht="15" hidden="false" customHeight="false" outlineLevel="0" collapsed="false">
      <c r="A10434" s="26" t="s">
        <v>25781</v>
      </c>
      <c r="B10434" s="27" t="s">
        <v>25782</v>
      </c>
      <c r="C10434" s="27" t="s">
        <v>144</v>
      </c>
      <c r="D10434" s="26"/>
      <c r="E10434" s="27"/>
      <c r="F10434" s="27"/>
      <c r="G10434" s="27" t="s">
        <v>11122</v>
      </c>
      <c r="H10434" s="27" t="s">
        <v>35</v>
      </c>
      <c r="I10434" s="27" t="s">
        <v>37</v>
      </c>
      <c r="J10434" s="28" t="s">
        <v>997</v>
      </c>
      <c r="K10434" s="27" t="s">
        <v>39</v>
      </c>
      <c r="L10434" s="27"/>
    </row>
    <row r="10435" customFormat="false" ht="15" hidden="false" customHeight="false" outlineLevel="0" collapsed="false">
      <c r="A10435" s="26" t="s">
        <v>25783</v>
      </c>
      <c r="B10435" s="27" t="s">
        <v>25784</v>
      </c>
      <c r="C10435" s="27" t="s">
        <v>144</v>
      </c>
      <c r="D10435" s="26"/>
      <c r="E10435" s="27"/>
      <c r="F10435" s="27"/>
      <c r="G10435" s="27" t="s">
        <v>11122</v>
      </c>
      <c r="H10435" s="27" t="s">
        <v>35</v>
      </c>
      <c r="I10435" s="27" t="s">
        <v>39</v>
      </c>
      <c r="J10435" s="28" t="s">
        <v>997</v>
      </c>
      <c r="K10435" s="27" t="s">
        <v>39</v>
      </c>
      <c r="L10435" s="27"/>
    </row>
    <row r="10436" customFormat="false" ht="15" hidden="false" customHeight="false" outlineLevel="0" collapsed="false">
      <c r="A10436" s="26" t="s">
        <v>25785</v>
      </c>
      <c r="B10436" s="27" t="s">
        <v>25786</v>
      </c>
      <c r="C10436" s="27" t="s">
        <v>370</v>
      </c>
      <c r="D10436" s="26"/>
      <c r="E10436" s="27"/>
      <c r="F10436" s="27"/>
      <c r="G10436" s="27" t="s">
        <v>11122</v>
      </c>
      <c r="H10436" s="27" t="s">
        <v>35</v>
      </c>
      <c r="I10436" s="27" t="s">
        <v>39</v>
      </c>
      <c r="J10436" s="28" t="s">
        <v>997</v>
      </c>
      <c r="K10436" s="27" t="s">
        <v>39</v>
      </c>
      <c r="L10436" s="27"/>
    </row>
    <row r="10437" customFormat="false" ht="15" hidden="false" customHeight="false" outlineLevel="0" collapsed="false">
      <c r="A10437" s="26" t="s">
        <v>25787</v>
      </c>
      <c r="B10437" s="27" t="s">
        <v>25788</v>
      </c>
      <c r="C10437" s="27" t="s">
        <v>144</v>
      </c>
      <c r="D10437" s="26"/>
      <c r="E10437" s="27"/>
      <c r="F10437" s="27"/>
      <c r="G10437" s="27" t="s">
        <v>11122</v>
      </c>
      <c r="H10437" s="27" t="s">
        <v>35</v>
      </c>
      <c r="I10437" s="27" t="s">
        <v>39</v>
      </c>
      <c r="J10437" s="28" t="s">
        <v>997</v>
      </c>
      <c r="K10437" s="27" t="s">
        <v>39</v>
      </c>
      <c r="L10437" s="27"/>
    </row>
    <row r="10438" customFormat="false" ht="15" hidden="false" customHeight="false" outlineLevel="0" collapsed="false">
      <c r="A10438" s="26" t="s">
        <v>25789</v>
      </c>
      <c r="B10438" s="27" t="s">
        <v>25790</v>
      </c>
      <c r="C10438" s="27" t="s">
        <v>144</v>
      </c>
      <c r="D10438" s="26"/>
      <c r="E10438" s="27"/>
      <c r="F10438" s="27"/>
      <c r="G10438" s="27" t="s">
        <v>11122</v>
      </c>
      <c r="H10438" s="27" t="s">
        <v>35</v>
      </c>
      <c r="I10438" s="27" t="s">
        <v>39</v>
      </c>
      <c r="J10438" s="28" t="s">
        <v>997</v>
      </c>
      <c r="K10438" s="27" t="s">
        <v>39</v>
      </c>
      <c r="L10438" s="27"/>
    </row>
    <row r="10439" customFormat="false" ht="15" hidden="false" customHeight="false" outlineLevel="0" collapsed="false">
      <c r="A10439" s="26" t="s">
        <v>25791</v>
      </c>
      <c r="B10439" s="27" t="s">
        <v>25792</v>
      </c>
      <c r="C10439" s="27" t="s">
        <v>144</v>
      </c>
      <c r="D10439" s="26"/>
      <c r="E10439" s="27"/>
      <c r="F10439" s="27"/>
      <c r="G10439" s="27" t="s">
        <v>11122</v>
      </c>
      <c r="H10439" s="27" t="s">
        <v>35</v>
      </c>
      <c r="I10439" s="27" t="s">
        <v>39</v>
      </c>
      <c r="J10439" s="28" t="s">
        <v>997</v>
      </c>
      <c r="K10439" s="27" t="s">
        <v>39</v>
      </c>
      <c r="L10439" s="27"/>
    </row>
    <row r="10440" customFormat="false" ht="15" hidden="false" customHeight="false" outlineLevel="0" collapsed="false">
      <c r="A10440" s="26" t="s">
        <v>25793</v>
      </c>
      <c r="B10440" s="27" t="s">
        <v>25794</v>
      </c>
      <c r="C10440" s="27" t="s">
        <v>144</v>
      </c>
      <c r="D10440" s="26"/>
      <c r="E10440" s="27"/>
      <c r="F10440" s="27"/>
      <c r="G10440" s="27" t="s">
        <v>11122</v>
      </c>
      <c r="H10440" s="27" t="s">
        <v>35</v>
      </c>
      <c r="I10440" s="27" t="s">
        <v>39</v>
      </c>
      <c r="J10440" s="28" t="s">
        <v>997</v>
      </c>
      <c r="K10440" s="27" t="s">
        <v>39</v>
      </c>
      <c r="L10440" s="27"/>
    </row>
    <row r="10441" customFormat="false" ht="15" hidden="false" customHeight="false" outlineLevel="0" collapsed="false">
      <c r="A10441" s="26" t="s">
        <v>25795</v>
      </c>
      <c r="B10441" s="27" t="s">
        <v>25796</v>
      </c>
      <c r="C10441" s="27" t="s">
        <v>144</v>
      </c>
      <c r="D10441" s="26"/>
      <c r="E10441" s="27"/>
      <c r="F10441" s="27"/>
      <c r="G10441" s="27" t="s">
        <v>11122</v>
      </c>
      <c r="H10441" s="27" t="s">
        <v>35</v>
      </c>
      <c r="I10441" s="27" t="s">
        <v>38</v>
      </c>
      <c r="J10441" s="28" t="s">
        <v>997</v>
      </c>
      <c r="K10441" s="27" t="s">
        <v>39</v>
      </c>
      <c r="L10441" s="27"/>
    </row>
    <row r="10442" customFormat="false" ht="15" hidden="false" customHeight="false" outlineLevel="0" collapsed="false">
      <c r="A10442" s="26" t="s">
        <v>25797</v>
      </c>
      <c r="B10442" s="27" t="s">
        <v>25798</v>
      </c>
      <c r="C10442" s="27" t="s">
        <v>144</v>
      </c>
      <c r="D10442" s="26"/>
      <c r="E10442" s="27"/>
      <c r="F10442" s="27"/>
      <c r="G10442" s="27" t="s">
        <v>11122</v>
      </c>
      <c r="H10442" s="27" t="s">
        <v>35</v>
      </c>
      <c r="I10442" s="27" t="s">
        <v>39</v>
      </c>
      <c r="J10442" s="28" t="s">
        <v>997</v>
      </c>
      <c r="K10442" s="27" t="s">
        <v>39</v>
      </c>
      <c r="L10442" s="27"/>
    </row>
    <row r="10443" customFormat="false" ht="15" hidden="false" customHeight="false" outlineLevel="0" collapsed="false">
      <c r="A10443" s="26" t="s">
        <v>25799</v>
      </c>
      <c r="B10443" s="27" t="s">
        <v>25800</v>
      </c>
      <c r="C10443" s="27" t="s">
        <v>144</v>
      </c>
      <c r="D10443" s="26"/>
      <c r="E10443" s="27"/>
      <c r="F10443" s="27"/>
      <c r="G10443" s="27" t="s">
        <v>11122</v>
      </c>
      <c r="H10443" s="27" t="s">
        <v>35</v>
      </c>
      <c r="I10443" s="27" t="s">
        <v>39</v>
      </c>
      <c r="J10443" s="28" t="s">
        <v>997</v>
      </c>
      <c r="K10443" s="27" t="s">
        <v>39</v>
      </c>
      <c r="L10443" s="27"/>
    </row>
    <row r="10444" customFormat="false" ht="15" hidden="false" customHeight="false" outlineLevel="0" collapsed="false">
      <c r="A10444" s="26" t="s">
        <v>25801</v>
      </c>
      <c r="B10444" s="27" t="s">
        <v>25802</v>
      </c>
      <c r="C10444" s="27" t="s">
        <v>137</v>
      </c>
      <c r="D10444" s="26"/>
      <c r="E10444" s="27"/>
      <c r="F10444" s="27"/>
      <c r="G10444" s="27" t="s">
        <v>11122</v>
      </c>
      <c r="H10444" s="27" t="s">
        <v>35</v>
      </c>
      <c r="I10444" s="27" t="s">
        <v>40</v>
      </c>
      <c r="J10444" s="28" t="s">
        <v>997</v>
      </c>
      <c r="K10444" s="27" t="s">
        <v>39</v>
      </c>
      <c r="L10444" s="27"/>
    </row>
    <row r="10445" customFormat="false" ht="15" hidden="false" customHeight="false" outlineLevel="0" collapsed="false">
      <c r="A10445" s="26" t="s">
        <v>25803</v>
      </c>
      <c r="B10445" s="27" t="s">
        <v>25804</v>
      </c>
      <c r="C10445" s="27" t="s">
        <v>144</v>
      </c>
      <c r="D10445" s="26"/>
      <c r="E10445" s="27"/>
      <c r="F10445" s="27"/>
      <c r="G10445" s="27" t="s">
        <v>11122</v>
      </c>
      <c r="H10445" s="27" t="s">
        <v>35</v>
      </c>
      <c r="I10445" s="27" t="s">
        <v>39</v>
      </c>
      <c r="J10445" s="28" t="s">
        <v>997</v>
      </c>
      <c r="K10445" s="27" t="s">
        <v>39</v>
      </c>
      <c r="L10445" s="27"/>
    </row>
    <row r="10446" customFormat="false" ht="15" hidden="false" customHeight="false" outlineLevel="0" collapsed="false">
      <c r="A10446" s="26" t="s">
        <v>25805</v>
      </c>
      <c r="B10446" s="27" t="s">
        <v>25806</v>
      </c>
      <c r="C10446" s="27" t="s">
        <v>144</v>
      </c>
      <c r="D10446" s="26"/>
      <c r="E10446" s="27"/>
      <c r="F10446" s="27"/>
      <c r="G10446" s="27" t="s">
        <v>11122</v>
      </c>
      <c r="H10446" s="27" t="s">
        <v>35</v>
      </c>
      <c r="I10446" s="27" t="s">
        <v>64</v>
      </c>
      <c r="J10446" s="28" t="s">
        <v>997</v>
      </c>
      <c r="K10446" s="27" t="s">
        <v>39</v>
      </c>
      <c r="L10446" s="27"/>
    </row>
    <row r="10447" customFormat="false" ht="15" hidden="false" customHeight="false" outlineLevel="0" collapsed="false">
      <c r="A10447" s="26" t="s">
        <v>25807</v>
      </c>
      <c r="B10447" s="27" t="s">
        <v>25808</v>
      </c>
      <c r="C10447" s="27" t="s">
        <v>144</v>
      </c>
      <c r="D10447" s="26"/>
      <c r="E10447" s="27"/>
      <c r="F10447" s="27"/>
      <c r="G10447" s="27" t="s">
        <v>11122</v>
      </c>
      <c r="H10447" s="27" t="s">
        <v>35</v>
      </c>
      <c r="I10447" s="27" t="s">
        <v>39</v>
      </c>
      <c r="J10447" s="28" t="s">
        <v>997</v>
      </c>
      <c r="K10447" s="27" t="s">
        <v>39</v>
      </c>
      <c r="L10447" s="27"/>
    </row>
    <row r="10448" customFormat="false" ht="15" hidden="false" customHeight="false" outlineLevel="0" collapsed="false">
      <c r="A10448" s="26" t="s">
        <v>25809</v>
      </c>
      <c r="B10448" s="27" t="s">
        <v>25810</v>
      </c>
      <c r="C10448" s="27" t="s">
        <v>144</v>
      </c>
      <c r="D10448" s="26"/>
      <c r="E10448" s="27"/>
      <c r="F10448" s="27"/>
      <c r="G10448" s="27" t="s">
        <v>11122</v>
      </c>
      <c r="H10448" s="27" t="s">
        <v>35</v>
      </c>
      <c r="I10448" s="27" t="s">
        <v>39</v>
      </c>
      <c r="J10448" s="28" t="s">
        <v>997</v>
      </c>
      <c r="K10448" s="27" t="s">
        <v>39</v>
      </c>
      <c r="L10448" s="27"/>
    </row>
    <row r="10449" customFormat="false" ht="15" hidden="false" customHeight="false" outlineLevel="0" collapsed="false">
      <c r="A10449" s="26" t="s">
        <v>25811</v>
      </c>
      <c r="B10449" s="27" t="s">
        <v>25812</v>
      </c>
      <c r="C10449" s="27" t="s">
        <v>144</v>
      </c>
      <c r="D10449" s="26"/>
      <c r="E10449" s="27"/>
      <c r="F10449" s="27"/>
      <c r="G10449" s="27" t="s">
        <v>11122</v>
      </c>
      <c r="H10449" s="27" t="s">
        <v>35</v>
      </c>
      <c r="I10449" s="27" t="s">
        <v>39</v>
      </c>
      <c r="J10449" s="28" t="s">
        <v>997</v>
      </c>
      <c r="K10449" s="27" t="s">
        <v>39</v>
      </c>
      <c r="L10449" s="27"/>
    </row>
    <row r="10450" customFormat="false" ht="15" hidden="false" customHeight="false" outlineLevel="0" collapsed="false">
      <c r="A10450" s="26" t="s">
        <v>25813</v>
      </c>
      <c r="B10450" s="27" t="s">
        <v>25814</v>
      </c>
      <c r="C10450" s="27" t="s">
        <v>144</v>
      </c>
      <c r="D10450" s="26"/>
      <c r="E10450" s="27"/>
      <c r="F10450" s="27"/>
      <c r="G10450" s="27" t="s">
        <v>11122</v>
      </c>
      <c r="H10450" s="27" t="s">
        <v>35</v>
      </c>
      <c r="I10450" s="27" t="s">
        <v>39</v>
      </c>
      <c r="J10450" s="28" t="s">
        <v>997</v>
      </c>
      <c r="K10450" s="27" t="s">
        <v>39</v>
      </c>
      <c r="L10450" s="27"/>
    </row>
    <row r="10451" customFormat="false" ht="15" hidden="false" customHeight="false" outlineLevel="0" collapsed="false">
      <c r="A10451" s="26" t="s">
        <v>25815</v>
      </c>
      <c r="B10451" s="27" t="s">
        <v>25816</v>
      </c>
      <c r="C10451" s="27" t="s">
        <v>144</v>
      </c>
      <c r="D10451" s="26"/>
      <c r="E10451" s="27"/>
      <c r="F10451" s="27"/>
      <c r="G10451" s="27" t="s">
        <v>11122</v>
      </c>
      <c r="H10451" s="27" t="s">
        <v>35</v>
      </c>
      <c r="I10451" s="27" t="s">
        <v>39</v>
      </c>
      <c r="J10451" s="28" t="s">
        <v>997</v>
      </c>
      <c r="K10451" s="27" t="s">
        <v>39</v>
      </c>
      <c r="L10451" s="27"/>
    </row>
    <row r="10452" customFormat="false" ht="15" hidden="false" customHeight="false" outlineLevel="0" collapsed="false">
      <c r="A10452" s="26" t="s">
        <v>25817</v>
      </c>
      <c r="B10452" s="27" t="s">
        <v>25818</v>
      </c>
      <c r="C10452" s="27" t="s">
        <v>144</v>
      </c>
      <c r="D10452" s="26"/>
      <c r="E10452" s="27"/>
      <c r="F10452" s="27"/>
      <c r="G10452" s="27" t="s">
        <v>11122</v>
      </c>
      <c r="H10452" s="27" t="s">
        <v>35</v>
      </c>
      <c r="I10452" s="27" t="s">
        <v>40</v>
      </c>
      <c r="J10452" s="28" t="s">
        <v>997</v>
      </c>
      <c r="K10452" s="27" t="s">
        <v>39</v>
      </c>
      <c r="L10452" s="27"/>
    </row>
    <row r="10453" customFormat="false" ht="15" hidden="false" customHeight="false" outlineLevel="0" collapsed="false">
      <c r="A10453" s="26" t="s">
        <v>25819</v>
      </c>
      <c r="B10453" s="27" t="s">
        <v>25820</v>
      </c>
      <c r="C10453" s="27" t="s">
        <v>144</v>
      </c>
      <c r="D10453" s="26"/>
      <c r="E10453" s="27"/>
      <c r="F10453" s="27"/>
      <c r="G10453" s="27" t="s">
        <v>11122</v>
      </c>
      <c r="H10453" s="27" t="s">
        <v>35</v>
      </c>
      <c r="I10453" s="27" t="s">
        <v>37</v>
      </c>
      <c r="J10453" s="28" t="s">
        <v>997</v>
      </c>
      <c r="K10453" s="27" t="s">
        <v>39</v>
      </c>
      <c r="L10453" s="27"/>
    </row>
    <row r="10454" customFormat="false" ht="15" hidden="false" customHeight="false" outlineLevel="0" collapsed="false">
      <c r="A10454" s="26" t="s">
        <v>25821</v>
      </c>
      <c r="B10454" s="27" t="s">
        <v>25822</v>
      </c>
      <c r="C10454" s="27" t="s">
        <v>144</v>
      </c>
      <c r="D10454" s="26"/>
      <c r="E10454" s="27"/>
      <c r="F10454" s="27"/>
      <c r="G10454" s="27" t="s">
        <v>11122</v>
      </c>
      <c r="H10454" s="27" t="s">
        <v>35</v>
      </c>
      <c r="I10454" s="27" t="s">
        <v>39</v>
      </c>
      <c r="J10454" s="28" t="s">
        <v>997</v>
      </c>
      <c r="K10454" s="27" t="s">
        <v>39</v>
      </c>
      <c r="L10454" s="27"/>
    </row>
    <row r="10455" customFormat="false" ht="15" hidden="false" customHeight="false" outlineLevel="0" collapsed="false">
      <c r="A10455" s="26" t="s">
        <v>25823</v>
      </c>
      <c r="B10455" s="27" t="s">
        <v>25824</v>
      </c>
      <c r="C10455" s="27" t="s">
        <v>144</v>
      </c>
      <c r="D10455" s="26"/>
      <c r="E10455" s="27"/>
      <c r="F10455" s="27"/>
      <c r="G10455" s="27" t="s">
        <v>11122</v>
      </c>
      <c r="H10455" s="27" t="s">
        <v>35</v>
      </c>
      <c r="I10455" s="27" t="s">
        <v>39</v>
      </c>
      <c r="J10455" s="28" t="s">
        <v>997</v>
      </c>
      <c r="K10455" s="27" t="s">
        <v>39</v>
      </c>
      <c r="L10455" s="27"/>
    </row>
    <row r="10456" customFormat="false" ht="15" hidden="false" customHeight="false" outlineLevel="0" collapsed="false">
      <c r="A10456" s="26" t="s">
        <v>25825</v>
      </c>
      <c r="B10456" s="27" t="s">
        <v>25826</v>
      </c>
      <c r="C10456" s="27" t="s">
        <v>144</v>
      </c>
      <c r="D10456" s="26"/>
      <c r="E10456" s="27"/>
      <c r="F10456" s="27"/>
      <c r="G10456" s="27" t="s">
        <v>11122</v>
      </c>
      <c r="H10456" s="27" t="s">
        <v>35</v>
      </c>
      <c r="I10456" s="27" t="s">
        <v>39</v>
      </c>
      <c r="J10456" s="28" t="s">
        <v>997</v>
      </c>
      <c r="K10456" s="27" t="s">
        <v>39</v>
      </c>
      <c r="L10456" s="27"/>
    </row>
    <row r="10457" customFormat="false" ht="15" hidden="false" customHeight="false" outlineLevel="0" collapsed="false">
      <c r="A10457" s="26" t="s">
        <v>25827</v>
      </c>
      <c r="B10457" s="27" t="s">
        <v>25828</v>
      </c>
      <c r="C10457" s="27" t="s">
        <v>144</v>
      </c>
      <c r="D10457" s="26"/>
      <c r="E10457" s="27"/>
      <c r="F10457" s="27"/>
      <c r="G10457" s="27" t="s">
        <v>11122</v>
      </c>
      <c r="H10457" s="27" t="s">
        <v>35</v>
      </c>
      <c r="I10457" s="27" t="s">
        <v>47</v>
      </c>
      <c r="J10457" s="28" t="s">
        <v>997</v>
      </c>
      <c r="K10457" s="27" t="s">
        <v>39</v>
      </c>
      <c r="L10457" s="27"/>
    </row>
    <row r="10458" customFormat="false" ht="15" hidden="false" customHeight="false" outlineLevel="0" collapsed="false">
      <c r="A10458" s="26" t="s">
        <v>25829</v>
      </c>
      <c r="B10458" s="27" t="s">
        <v>25830</v>
      </c>
      <c r="C10458" s="27" t="s">
        <v>144</v>
      </c>
      <c r="D10458" s="26"/>
      <c r="E10458" s="27"/>
      <c r="F10458" s="27"/>
      <c r="G10458" s="27" t="s">
        <v>11122</v>
      </c>
      <c r="H10458" s="27" t="s">
        <v>35</v>
      </c>
      <c r="I10458" s="27" t="s">
        <v>42</v>
      </c>
      <c r="J10458" s="28" t="s">
        <v>997</v>
      </c>
      <c r="K10458" s="27" t="s">
        <v>39</v>
      </c>
      <c r="L10458" s="27"/>
    </row>
    <row r="10459" customFormat="false" ht="15" hidden="false" customHeight="false" outlineLevel="0" collapsed="false">
      <c r="A10459" s="26" t="s">
        <v>25831</v>
      </c>
      <c r="B10459" s="27" t="s">
        <v>25832</v>
      </c>
      <c r="C10459" s="27" t="s">
        <v>144</v>
      </c>
      <c r="D10459" s="26"/>
      <c r="E10459" s="27"/>
      <c r="F10459" s="27"/>
      <c r="G10459" s="27" t="s">
        <v>11122</v>
      </c>
      <c r="H10459" s="27" t="s">
        <v>35</v>
      </c>
      <c r="I10459" s="27" t="s">
        <v>39</v>
      </c>
      <c r="J10459" s="28" t="s">
        <v>997</v>
      </c>
      <c r="K10459" s="27" t="s">
        <v>39</v>
      </c>
      <c r="L10459" s="27"/>
    </row>
    <row r="10460" customFormat="false" ht="15" hidden="false" customHeight="false" outlineLevel="0" collapsed="false">
      <c r="A10460" s="26" t="s">
        <v>25833</v>
      </c>
      <c r="B10460" s="27" t="s">
        <v>25834</v>
      </c>
      <c r="C10460" s="27" t="s">
        <v>100</v>
      </c>
      <c r="D10460" s="26"/>
      <c r="E10460" s="27"/>
      <c r="F10460" s="27"/>
      <c r="G10460" s="27" t="s">
        <v>11122</v>
      </c>
      <c r="H10460" s="27" t="s">
        <v>35</v>
      </c>
      <c r="I10460" s="27" t="s">
        <v>49</v>
      </c>
      <c r="J10460" s="28" t="s">
        <v>997</v>
      </c>
      <c r="K10460" s="27" t="s">
        <v>39</v>
      </c>
      <c r="L10460" s="27"/>
    </row>
    <row r="10461" customFormat="false" ht="15" hidden="false" customHeight="false" outlineLevel="0" collapsed="false">
      <c r="A10461" s="26" t="s">
        <v>25835</v>
      </c>
      <c r="B10461" s="27" t="s">
        <v>25836</v>
      </c>
      <c r="C10461" s="27" t="s">
        <v>144</v>
      </c>
      <c r="D10461" s="26"/>
      <c r="E10461" s="27"/>
      <c r="F10461" s="27"/>
      <c r="G10461" s="27" t="s">
        <v>11122</v>
      </c>
      <c r="H10461" s="27" t="s">
        <v>35</v>
      </c>
      <c r="I10461" s="27" t="s">
        <v>39</v>
      </c>
      <c r="J10461" s="28" t="s">
        <v>997</v>
      </c>
      <c r="K10461" s="27" t="s">
        <v>39</v>
      </c>
      <c r="L10461" s="27"/>
    </row>
    <row r="10462" customFormat="false" ht="15" hidden="false" customHeight="false" outlineLevel="0" collapsed="false">
      <c r="A10462" s="26" t="s">
        <v>25837</v>
      </c>
      <c r="B10462" s="27" t="s">
        <v>25838</v>
      </c>
      <c r="C10462" s="27" t="s">
        <v>144</v>
      </c>
      <c r="D10462" s="26"/>
      <c r="E10462" s="27"/>
      <c r="F10462" s="27"/>
      <c r="G10462" s="27" t="s">
        <v>11122</v>
      </c>
      <c r="H10462" s="27" t="s">
        <v>35</v>
      </c>
      <c r="I10462" s="27" t="s">
        <v>39</v>
      </c>
      <c r="J10462" s="28" t="s">
        <v>997</v>
      </c>
      <c r="K10462" s="27" t="s">
        <v>39</v>
      </c>
      <c r="L10462" s="27"/>
    </row>
    <row r="10463" customFormat="false" ht="15" hidden="false" customHeight="false" outlineLevel="0" collapsed="false">
      <c r="A10463" s="26" t="s">
        <v>25839</v>
      </c>
      <c r="B10463" s="27" t="s">
        <v>25840</v>
      </c>
      <c r="C10463" s="27" t="s">
        <v>144</v>
      </c>
      <c r="D10463" s="26"/>
      <c r="E10463" s="27"/>
      <c r="F10463" s="27"/>
      <c r="G10463" s="27" t="s">
        <v>11122</v>
      </c>
      <c r="H10463" s="27" t="s">
        <v>35</v>
      </c>
      <c r="I10463" s="27" t="s">
        <v>39</v>
      </c>
      <c r="J10463" s="28" t="s">
        <v>997</v>
      </c>
      <c r="K10463" s="27" t="s">
        <v>39</v>
      </c>
      <c r="L10463" s="27"/>
    </row>
    <row r="10464" customFormat="false" ht="15" hidden="false" customHeight="false" outlineLevel="0" collapsed="false">
      <c r="A10464" s="26" t="s">
        <v>25841</v>
      </c>
      <c r="B10464" s="27" t="s">
        <v>25842</v>
      </c>
      <c r="C10464" s="27" t="s">
        <v>144</v>
      </c>
      <c r="D10464" s="26"/>
      <c r="E10464" s="27"/>
      <c r="F10464" s="27"/>
      <c r="G10464" s="27" t="s">
        <v>11122</v>
      </c>
      <c r="H10464" s="27" t="s">
        <v>35</v>
      </c>
      <c r="I10464" s="27" t="s">
        <v>39</v>
      </c>
      <c r="J10464" s="28" t="s">
        <v>997</v>
      </c>
      <c r="K10464" s="27" t="s">
        <v>39</v>
      </c>
      <c r="L10464" s="27"/>
    </row>
    <row r="10465" customFormat="false" ht="15" hidden="false" customHeight="false" outlineLevel="0" collapsed="false">
      <c r="A10465" s="26" t="s">
        <v>25843</v>
      </c>
      <c r="B10465" s="27" t="s">
        <v>25844</v>
      </c>
      <c r="C10465" s="27" t="s">
        <v>144</v>
      </c>
      <c r="D10465" s="26"/>
      <c r="E10465" s="27"/>
      <c r="F10465" s="27"/>
      <c r="G10465" s="27" t="s">
        <v>11122</v>
      </c>
      <c r="H10465" s="27" t="s">
        <v>35</v>
      </c>
      <c r="I10465" s="27" t="s">
        <v>4159</v>
      </c>
      <c r="J10465" s="28" t="s">
        <v>997</v>
      </c>
      <c r="K10465" s="27" t="s">
        <v>39</v>
      </c>
      <c r="L10465" s="27"/>
    </row>
    <row r="10466" customFormat="false" ht="15" hidden="false" customHeight="false" outlineLevel="0" collapsed="false">
      <c r="A10466" s="26" t="s">
        <v>25845</v>
      </c>
      <c r="B10466" s="27" t="s">
        <v>25846</v>
      </c>
      <c r="C10466" s="27" t="s">
        <v>144</v>
      </c>
      <c r="D10466" s="26"/>
      <c r="E10466" s="27"/>
      <c r="F10466" s="27"/>
      <c r="G10466" s="27" t="s">
        <v>11122</v>
      </c>
      <c r="H10466" s="27" t="s">
        <v>35</v>
      </c>
      <c r="I10466" s="27" t="s">
        <v>39</v>
      </c>
      <c r="J10466" s="28" t="s">
        <v>997</v>
      </c>
      <c r="K10466" s="27" t="s">
        <v>39</v>
      </c>
      <c r="L10466" s="27"/>
    </row>
    <row r="10467" customFormat="false" ht="15" hidden="false" customHeight="false" outlineLevel="0" collapsed="false">
      <c r="A10467" s="26" t="s">
        <v>25847</v>
      </c>
      <c r="B10467" s="27" t="s">
        <v>25848</v>
      </c>
      <c r="C10467" s="27" t="s">
        <v>144</v>
      </c>
      <c r="D10467" s="26"/>
      <c r="E10467" s="27"/>
      <c r="F10467" s="27"/>
      <c r="G10467" s="27" t="s">
        <v>11122</v>
      </c>
      <c r="H10467" s="27" t="s">
        <v>35</v>
      </c>
      <c r="I10467" s="27" t="s">
        <v>39</v>
      </c>
      <c r="J10467" s="28" t="s">
        <v>997</v>
      </c>
      <c r="K10467" s="27" t="s">
        <v>39</v>
      </c>
      <c r="L10467" s="27"/>
    </row>
    <row r="10468" customFormat="false" ht="15" hidden="false" customHeight="false" outlineLevel="0" collapsed="false">
      <c r="A10468" s="26" t="s">
        <v>25849</v>
      </c>
      <c r="B10468" s="27" t="s">
        <v>25850</v>
      </c>
      <c r="C10468" s="27" t="s">
        <v>144</v>
      </c>
      <c r="D10468" s="26"/>
      <c r="E10468" s="27"/>
      <c r="F10468" s="27"/>
      <c r="G10468" s="27" t="s">
        <v>11122</v>
      </c>
      <c r="H10468" s="27" t="s">
        <v>35</v>
      </c>
      <c r="I10468" s="27" t="s">
        <v>39</v>
      </c>
      <c r="J10468" s="28" t="s">
        <v>997</v>
      </c>
      <c r="K10468" s="27" t="s">
        <v>39</v>
      </c>
      <c r="L10468" s="27"/>
    </row>
    <row r="10469" customFormat="false" ht="15" hidden="false" customHeight="false" outlineLevel="0" collapsed="false">
      <c r="A10469" s="26" t="s">
        <v>25851</v>
      </c>
      <c r="B10469" s="27" t="s">
        <v>25852</v>
      </c>
      <c r="C10469" s="27" t="s">
        <v>144</v>
      </c>
      <c r="D10469" s="26"/>
      <c r="E10469" s="27"/>
      <c r="F10469" s="27"/>
      <c r="G10469" s="27" t="s">
        <v>11122</v>
      </c>
      <c r="H10469" s="27" t="s">
        <v>35</v>
      </c>
      <c r="I10469" s="27" t="s">
        <v>39</v>
      </c>
      <c r="J10469" s="28" t="s">
        <v>997</v>
      </c>
      <c r="K10469" s="27" t="s">
        <v>39</v>
      </c>
      <c r="L10469" s="27"/>
    </row>
    <row r="10470" customFormat="false" ht="15" hidden="false" customHeight="false" outlineLevel="0" collapsed="false">
      <c r="A10470" s="26" t="s">
        <v>25853</v>
      </c>
      <c r="B10470" s="27" t="s">
        <v>25854</v>
      </c>
      <c r="C10470" s="27" t="s">
        <v>144</v>
      </c>
      <c r="D10470" s="26"/>
      <c r="E10470" s="27"/>
      <c r="F10470" s="27"/>
      <c r="G10470" s="27" t="s">
        <v>11122</v>
      </c>
      <c r="H10470" s="27" t="s">
        <v>35</v>
      </c>
      <c r="I10470" s="27" t="s">
        <v>39</v>
      </c>
      <c r="J10470" s="28" t="s">
        <v>997</v>
      </c>
      <c r="K10470" s="27" t="s">
        <v>39</v>
      </c>
      <c r="L10470" s="27"/>
    </row>
    <row r="10471" customFormat="false" ht="15" hidden="false" customHeight="false" outlineLevel="0" collapsed="false">
      <c r="A10471" s="26" t="s">
        <v>25855</v>
      </c>
      <c r="B10471" s="27" t="s">
        <v>25856</v>
      </c>
      <c r="C10471" s="27" t="s">
        <v>144</v>
      </c>
      <c r="D10471" s="26"/>
      <c r="E10471" s="27"/>
      <c r="F10471" s="27"/>
      <c r="G10471" s="27" t="s">
        <v>11122</v>
      </c>
      <c r="H10471" s="27" t="s">
        <v>35</v>
      </c>
      <c r="I10471" s="27" t="s">
        <v>39</v>
      </c>
      <c r="J10471" s="28" t="s">
        <v>997</v>
      </c>
      <c r="K10471" s="27" t="s">
        <v>39</v>
      </c>
      <c r="L10471" s="27"/>
    </row>
    <row r="10472" customFormat="false" ht="15" hidden="false" customHeight="false" outlineLevel="0" collapsed="false">
      <c r="A10472" s="26" t="s">
        <v>25857</v>
      </c>
      <c r="B10472" s="27" t="s">
        <v>25858</v>
      </c>
      <c r="C10472" s="27" t="s">
        <v>144</v>
      </c>
      <c r="D10472" s="26"/>
      <c r="E10472" s="27"/>
      <c r="F10472" s="27"/>
      <c r="G10472" s="27" t="s">
        <v>11122</v>
      </c>
      <c r="H10472" s="27" t="s">
        <v>35</v>
      </c>
      <c r="I10472" s="27" t="s">
        <v>42</v>
      </c>
      <c r="J10472" s="28" t="s">
        <v>997</v>
      </c>
      <c r="K10472" s="27" t="s">
        <v>39</v>
      </c>
      <c r="L10472" s="27"/>
    </row>
    <row r="10473" customFormat="false" ht="15" hidden="false" customHeight="false" outlineLevel="0" collapsed="false">
      <c r="A10473" s="26" t="s">
        <v>25859</v>
      </c>
      <c r="B10473" s="27" t="s">
        <v>25860</v>
      </c>
      <c r="C10473" s="27" t="s">
        <v>144</v>
      </c>
      <c r="D10473" s="26"/>
      <c r="E10473" s="27"/>
      <c r="F10473" s="27"/>
      <c r="G10473" s="27" t="s">
        <v>11122</v>
      </c>
      <c r="H10473" s="27" t="s">
        <v>35</v>
      </c>
      <c r="I10473" s="27" t="s">
        <v>39</v>
      </c>
      <c r="J10473" s="28" t="s">
        <v>997</v>
      </c>
      <c r="K10473" s="27" t="s">
        <v>39</v>
      </c>
      <c r="L10473" s="27"/>
    </row>
    <row r="10474" customFormat="false" ht="15" hidden="false" customHeight="false" outlineLevel="0" collapsed="false">
      <c r="A10474" s="26" t="s">
        <v>25861</v>
      </c>
      <c r="B10474" s="27" t="s">
        <v>25862</v>
      </c>
      <c r="C10474" s="27" t="s">
        <v>144</v>
      </c>
      <c r="D10474" s="26"/>
      <c r="E10474" s="27"/>
      <c r="F10474" s="27"/>
      <c r="G10474" s="27" t="s">
        <v>11122</v>
      </c>
      <c r="H10474" s="27" t="s">
        <v>35</v>
      </c>
      <c r="I10474" s="27" t="s">
        <v>39</v>
      </c>
      <c r="J10474" s="28" t="s">
        <v>997</v>
      </c>
      <c r="K10474" s="27" t="s">
        <v>39</v>
      </c>
      <c r="L10474" s="27"/>
    </row>
    <row r="10475" customFormat="false" ht="15" hidden="false" customHeight="false" outlineLevel="0" collapsed="false">
      <c r="A10475" s="26" t="s">
        <v>25863</v>
      </c>
      <c r="B10475" s="27" t="s">
        <v>25864</v>
      </c>
      <c r="C10475" s="27" t="s">
        <v>144</v>
      </c>
      <c r="D10475" s="26"/>
      <c r="E10475" s="27"/>
      <c r="F10475" s="27"/>
      <c r="G10475" s="27" t="s">
        <v>11122</v>
      </c>
      <c r="H10475" s="27" t="s">
        <v>35</v>
      </c>
      <c r="I10475" s="27" t="s">
        <v>39</v>
      </c>
      <c r="J10475" s="28" t="s">
        <v>997</v>
      </c>
      <c r="K10475" s="27" t="s">
        <v>39</v>
      </c>
      <c r="L10475" s="27"/>
    </row>
    <row r="10476" customFormat="false" ht="15" hidden="false" customHeight="false" outlineLevel="0" collapsed="false">
      <c r="A10476" s="26" t="s">
        <v>25865</v>
      </c>
      <c r="B10476" s="27" t="s">
        <v>25866</v>
      </c>
      <c r="C10476" s="27" t="s">
        <v>144</v>
      </c>
      <c r="D10476" s="26"/>
      <c r="E10476" s="27"/>
      <c r="F10476" s="27"/>
      <c r="G10476" s="27" t="s">
        <v>11122</v>
      </c>
      <c r="H10476" s="27" t="s">
        <v>35</v>
      </c>
      <c r="I10476" s="27" t="s">
        <v>39</v>
      </c>
      <c r="J10476" s="28" t="s">
        <v>997</v>
      </c>
      <c r="K10476" s="27" t="s">
        <v>39</v>
      </c>
      <c r="L10476" s="27"/>
    </row>
    <row r="10477" customFormat="false" ht="15" hidden="false" customHeight="false" outlineLevel="0" collapsed="false">
      <c r="A10477" s="26" t="s">
        <v>25867</v>
      </c>
      <c r="B10477" s="27" t="s">
        <v>25868</v>
      </c>
      <c r="C10477" s="27" t="s">
        <v>144</v>
      </c>
      <c r="D10477" s="26"/>
      <c r="E10477" s="27"/>
      <c r="F10477" s="27"/>
      <c r="G10477" s="27" t="s">
        <v>11122</v>
      </c>
      <c r="H10477" s="27" t="s">
        <v>35</v>
      </c>
      <c r="I10477" s="27" t="s">
        <v>42</v>
      </c>
      <c r="J10477" s="28" t="s">
        <v>997</v>
      </c>
      <c r="K10477" s="27" t="s">
        <v>39</v>
      </c>
      <c r="L10477" s="27"/>
    </row>
    <row r="10478" customFormat="false" ht="15" hidden="false" customHeight="false" outlineLevel="0" collapsed="false">
      <c r="A10478" s="26" t="s">
        <v>25869</v>
      </c>
      <c r="B10478" s="27" t="s">
        <v>25870</v>
      </c>
      <c r="C10478" s="27" t="s">
        <v>144</v>
      </c>
      <c r="D10478" s="26"/>
      <c r="E10478" s="27"/>
      <c r="F10478" s="27"/>
      <c r="G10478" s="27" t="s">
        <v>11122</v>
      </c>
      <c r="H10478" s="27" t="s">
        <v>35</v>
      </c>
      <c r="I10478" s="27" t="s">
        <v>42</v>
      </c>
      <c r="J10478" s="28" t="s">
        <v>997</v>
      </c>
      <c r="K10478" s="27" t="s">
        <v>39</v>
      </c>
      <c r="L10478" s="27"/>
    </row>
    <row r="10479" customFormat="false" ht="15" hidden="false" customHeight="false" outlineLevel="0" collapsed="false">
      <c r="A10479" s="26" t="s">
        <v>25871</v>
      </c>
      <c r="B10479" s="27" t="s">
        <v>25872</v>
      </c>
      <c r="C10479" s="27" t="s">
        <v>144</v>
      </c>
      <c r="D10479" s="26"/>
      <c r="E10479" s="27"/>
      <c r="F10479" s="27"/>
      <c r="G10479" s="27" t="s">
        <v>11122</v>
      </c>
      <c r="H10479" s="27" t="s">
        <v>35</v>
      </c>
      <c r="I10479" s="27" t="s">
        <v>1344</v>
      </c>
      <c r="J10479" s="28" t="s">
        <v>997</v>
      </c>
      <c r="K10479" s="27" t="s">
        <v>39</v>
      </c>
      <c r="L10479" s="27"/>
    </row>
    <row r="10480" customFormat="false" ht="15" hidden="false" customHeight="false" outlineLevel="0" collapsed="false">
      <c r="A10480" s="26" t="s">
        <v>25873</v>
      </c>
      <c r="B10480" s="27" t="s">
        <v>25874</v>
      </c>
      <c r="C10480" s="27" t="s">
        <v>144</v>
      </c>
      <c r="D10480" s="26"/>
      <c r="E10480" s="27"/>
      <c r="F10480" s="27"/>
      <c r="G10480" s="27" t="s">
        <v>11122</v>
      </c>
      <c r="H10480" s="27" t="s">
        <v>35</v>
      </c>
      <c r="I10480" s="27" t="s">
        <v>1344</v>
      </c>
      <c r="J10480" s="28" t="s">
        <v>997</v>
      </c>
      <c r="K10480" s="27" t="s">
        <v>39</v>
      </c>
      <c r="L10480" s="27"/>
    </row>
    <row r="10481" customFormat="false" ht="15" hidden="false" customHeight="false" outlineLevel="0" collapsed="false">
      <c r="A10481" s="26" t="s">
        <v>25875</v>
      </c>
      <c r="B10481" s="27" t="s">
        <v>25876</v>
      </c>
      <c r="C10481" s="27" t="s">
        <v>144</v>
      </c>
      <c r="D10481" s="26"/>
      <c r="E10481" s="27"/>
      <c r="F10481" s="27"/>
      <c r="G10481" s="27" t="s">
        <v>11122</v>
      </c>
      <c r="H10481" s="27" t="s">
        <v>35</v>
      </c>
      <c r="I10481" s="27" t="s">
        <v>39</v>
      </c>
      <c r="J10481" s="28" t="s">
        <v>997</v>
      </c>
      <c r="K10481" s="27" t="s">
        <v>39</v>
      </c>
      <c r="L10481" s="27"/>
    </row>
    <row r="10482" customFormat="false" ht="15" hidden="false" customHeight="false" outlineLevel="0" collapsed="false">
      <c r="A10482" s="26" t="s">
        <v>25877</v>
      </c>
      <c r="B10482" s="27" t="s">
        <v>25878</v>
      </c>
      <c r="C10482" s="27" t="s">
        <v>144</v>
      </c>
      <c r="D10482" s="26"/>
      <c r="E10482" s="27"/>
      <c r="F10482" s="27"/>
      <c r="G10482" s="27" t="s">
        <v>11122</v>
      </c>
      <c r="H10482" s="27" t="s">
        <v>35</v>
      </c>
      <c r="I10482" s="27" t="s">
        <v>42</v>
      </c>
      <c r="J10482" s="28" t="s">
        <v>997</v>
      </c>
      <c r="K10482" s="27" t="s">
        <v>39</v>
      </c>
      <c r="L10482" s="27"/>
    </row>
    <row r="10483" customFormat="false" ht="15" hidden="false" customHeight="false" outlineLevel="0" collapsed="false">
      <c r="A10483" s="26" t="s">
        <v>25879</v>
      </c>
      <c r="B10483" s="27" t="s">
        <v>25880</v>
      </c>
      <c r="C10483" s="27" t="s">
        <v>144</v>
      </c>
      <c r="D10483" s="26"/>
      <c r="E10483" s="27"/>
      <c r="F10483" s="27"/>
      <c r="G10483" s="27" t="s">
        <v>11122</v>
      </c>
      <c r="H10483" s="27" t="s">
        <v>35</v>
      </c>
      <c r="I10483" s="27" t="s">
        <v>39</v>
      </c>
      <c r="J10483" s="28" t="s">
        <v>997</v>
      </c>
      <c r="K10483" s="27" t="s">
        <v>39</v>
      </c>
      <c r="L10483" s="27"/>
    </row>
    <row r="10484" customFormat="false" ht="15" hidden="false" customHeight="false" outlineLevel="0" collapsed="false">
      <c r="A10484" s="26" t="s">
        <v>25881</v>
      </c>
      <c r="B10484" s="27" t="s">
        <v>25882</v>
      </c>
      <c r="C10484" s="27" t="s">
        <v>144</v>
      </c>
      <c r="D10484" s="26"/>
      <c r="E10484" s="27"/>
      <c r="F10484" s="27"/>
      <c r="G10484" s="27" t="s">
        <v>11122</v>
      </c>
      <c r="H10484" s="27" t="s">
        <v>35</v>
      </c>
      <c r="I10484" s="27" t="s">
        <v>39</v>
      </c>
      <c r="J10484" s="28" t="s">
        <v>997</v>
      </c>
      <c r="K10484" s="27" t="s">
        <v>39</v>
      </c>
      <c r="L10484" s="27"/>
    </row>
    <row r="10485" customFormat="false" ht="15" hidden="false" customHeight="false" outlineLevel="0" collapsed="false">
      <c r="A10485" s="26" t="s">
        <v>25883</v>
      </c>
      <c r="B10485" s="27" t="s">
        <v>25884</v>
      </c>
      <c r="C10485" s="27" t="s">
        <v>144</v>
      </c>
      <c r="D10485" s="26"/>
      <c r="E10485" s="27"/>
      <c r="F10485" s="27"/>
      <c r="G10485" s="27" t="s">
        <v>11122</v>
      </c>
      <c r="H10485" s="27" t="s">
        <v>35</v>
      </c>
      <c r="I10485" s="27" t="s">
        <v>39</v>
      </c>
      <c r="J10485" s="28" t="s">
        <v>997</v>
      </c>
      <c r="K10485" s="27" t="s">
        <v>39</v>
      </c>
      <c r="L10485" s="27"/>
    </row>
    <row r="10486" customFormat="false" ht="15" hidden="false" customHeight="false" outlineLevel="0" collapsed="false">
      <c r="A10486" s="26" t="s">
        <v>25885</v>
      </c>
      <c r="B10486" s="27" t="s">
        <v>25886</v>
      </c>
      <c r="C10486" s="27" t="s">
        <v>144</v>
      </c>
      <c r="D10486" s="26"/>
      <c r="E10486" s="27"/>
      <c r="F10486" s="27"/>
      <c r="G10486" s="27" t="s">
        <v>11122</v>
      </c>
      <c r="H10486" s="27" t="s">
        <v>35</v>
      </c>
      <c r="I10486" s="27" t="s">
        <v>39</v>
      </c>
      <c r="J10486" s="28" t="s">
        <v>997</v>
      </c>
      <c r="K10486" s="27" t="s">
        <v>39</v>
      </c>
      <c r="L10486" s="27"/>
    </row>
    <row r="10487" customFormat="false" ht="15" hidden="false" customHeight="false" outlineLevel="0" collapsed="false">
      <c r="A10487" s="26" t="s">
        <v>25887</v>
      </c>
      <c r="B10487" s="27" t="s">
        <v>25888</v>
      </c>
      <c r="C10487" s="27" t="s">
        <v>144</v>
      </c>
      <c r="D10487" s="26"/>
      <c r="E10487" s="27"/>
      <c r="F10487" s="27"/>
      <c r="G10487" s="27" t="s">
        <v>11122</v>
      </c>
      <c r="H10487" s="27" t="s">
        <v>35</v>
      </c>
      <c r="I10487" s="27" t="s">
        <v>39</v>
      </c>
      <c r="J10487" s="28" t="s">
        <v>997</v>
      </c>
      <c r="K10487" s="27" t="s">
        <v>39</v>
      </c>
      <c r="L10487" s="27"/>
    </row>
    <row r="10488" customFormat="false" ht="15" hidden="false" customHeight="false" outlineLevel="0" collapsed="false">
      <c r="A10488" s="26" t="s">
        <v>25889</v>
      </c>
      <c r="B10488" s="27" t="s">
        <v>25890</v>
      </c>
      <c r="C10488" s="27" t="s">
        <v>144</v>
      </c>
      <c r="D10488" s="26"/>
      <c r="E10488" s="27"/>
      <c r="F10488" s="27"/>
      <c r="G10488" s="27" t="s">
        <v>11122</v>
      </c>
      <c r="H10488" s="27" t="s">
        <v>35</v>
      </c>
      <c r="I10488" s="27" t="s">
        <v>38</v>
      </c>
      <c r="J10488" s="28" t="s">
        <v>997</v>
      </c>
      <c r="K10488" s="27" t="s">
        <v>39</v>
      </c>
      <c r="L10488" s="27"/>
    </row>
    <row r="10489" customFormat="false" ht="15" hidden="false" customHeight="false" outlineLevel="0" collapsed="false">
      <c r="A10489" s="26" t="s">
        <v>25891</v>
      </c>
      <c r="B10489" s="27" t="s">
        <v>25892</v>
      </c>
      <c r="C10489" s="27" t="s">
        <v>144</v>
      </c>
      <c r="D10489" s="26"/>
      <c r="E10489" s="27"/>
      <c r="F10489" s="27"/>
      <c r="G10489" s="27" t="s">
        <v>11122</v>
      </c>
      <c r="H10489" s="27" t="s">
        <v>35</v>
      </c>
      <c r="I10489" s="27" t="s">
        <v>42</v>
      </c>
      <c r="J10489" s="28" t="s">
        <v>997</v>
      </c>
      <c r="K10489" s="27" t="s">
        <v>39</v>
      </c>
      <c r="L10489" s="27"/>
    </row>
    <row r="10490" customFormat="false" ht="15" hidden="false" customHeight="false" outlineLevel="0" collapsed="false">
      <c r="A10490" s="26" t="s">
        <v>25893</v>
      </c>
      <c r="B10490" s="27" t="s">
        <v>25894</v>
      </c>
      <c r="C10490" s="27" t="s">
        <v>144</v>
      </c>
      <c r="D10490" s="26"/>
      <c r="E10490" s="27"/>
      <c r="F10490" s="27"/>
      <c r="G10490" s="27" t="s">
        <v>11122</v>
      </c>
      <c r="H10490" s="27" t="s">
        <v>35</v>
      </c>
      <c r="I10490" s="27" t="s">
        <v>42</v>
      </c>
      <c r="J10490" s="28" t="s">
        <v>997</v>
      </c>
      <c r="K10490" s="27" t="s">
        <v>39</v>
      </c>
      <c r="L10490" s="27"/>
    </row>
    <row r="10491" customFormat="false" ht="15" hidden="false" customHeight="false" outlineLevel="0" collapsed="false">
      <c r="A10491" s="26" t="s">
        <v>25895</v>
      </c>
      <c r="B10491" s="27" t="s">
        <v>25896</v>
      </c>
      <c r="C10491" s="27" t="s">
        <v>144</v>
      </c>
      <c r="D10491" s="26"/>
      <c r="E10491" s="27"/>
      <c r="F10491" s="27"/>
      <c r="G10491" s="27" t="s">
        <v>11122</v>
      </c>
      <c r="H10491" s="27" t="s">
        <v>35</v>
      </c>
      <c r="I10491" s="27" t="s">
        <v>42</v>
      </c>
      <c r="J10491" s="28" t="s">
        <v>997</v>
      </c>
      <c r="K10491" s="27" t="s">
        <v>39</v>
      </c>
      <c r="L10491" s="27"/>
    </row>
    <row r="10492" customFormat="false" ht="15" hidden="false" customHeight="false" outlineLevel="0" collapsed="false">
      <c r="A10492" s="26" t="s">
        <v>25897</v>
      </c>
      <c r="B10492" s="27" t="s">
        <v>25898</v>
      </c>
      <c r="C10492" s="27" t="s">
        <v>144</v>
      </c>
      <c r="D10492" s="26"/>
      <c r="E10492" s="27"/>
      <c r="F10492" s="27"/>
      <c r="G10492" s="27" t="s">
        <v>11122</v>
      </c>
      <c r="H10492" s="27" t="s">
        <v>35</v>
      </c>
      <c r="I10492" s="27" t="s">
        <v>39</v>
      </c>
      <c r="J10492" s="28" t="s">
        <v>997</v>
      </c>
      <c r="K10492" s="27" t="s">
        <v>39</v>
      </c>
      <c r="L10492" s="27"/>
    </row>
    <row r="10493" customFormat="false" ht="15" hidden="false" customHeight="false" outlineLevel="0" collapsed="false">
      <c r="A10493" s="26" t="s">
        <v>25899</v>
      </c>
      <c r="B10493" s="27" t="s">
        <v>25900</v>
      </c>
      <c r="C10493" s="27" t="s">
        <v>144</v>
      </c>
      <c r="D10493" s="26"/>
      <c r="E10493" s="27"/>
      <c r="F10493" s="27"/>
      <c r="G10493" s="27" t="s">
        <v>11122</v>
      </c>
      <c r="H10493" s="27" t="s">
        <v>35</v>
      </c>
      <c r="I10493" s="27" t="s">
        <v>42</v>
      </c>
      <c r="J10493" s="28" t="s">
        <v>997</v>
      </c>
      <c r="K10493" s="27" t="s">
        <v>39</v>
      </c>
      <c r="L10493" s="27"/>
    </row>
    <row r="10494" customFormat="false" ht="15" hidden="false" customHeight="false" outlineLevel="0" collapsed="false">
      <c r="A10494" s="26" t="s">
        <v>25901</v>
      </c>
      <c r="B10494" s="27" t="s">
        <v>25902</v>
      </c>
      <c r="C10494" s="27" t="s">
        <v>144</v>
      </c>
      <c r="D10494" s="26"/>
      <c r="E10494" s="27"/>
      <c r="F10494" s="27"/>
      <c r="G10494" s="27" t="s">
        <v>11122</v>
      </c>
      <c r="H10494" s="27" t="s">
        <v>35</v>
      </c>
      <c r="I10494" s="27" t="s">
        <v>39</v>
      </c>
      <c r="J10494" s="28" t="s">
        <v>997</v>
      </c>
      <c r="K10494" s="27" t="s">
        <v>39</v>
      </c>
      <c r="L10494" s="27"/>
    </row>
    <row r="10495" customFormat="false" ht="15" hidden="false" customHeight="false" outlineLevel="0" collapsed="false">
      <c r="A10495" s="26" t="s">
        <v>25903</v>
      </c>
      <c r="B10495" s="27" t="s">
        <v>25904</v>
      </c>
      <c r="C10495" s="27" t="s">
        <v>144</v>
      </c>
      <c r="D10495" s="26"/>
      <c r="E10495" s="27"/>
      <c r="F10495" s="27"/>
      <c r="G10495" s="27" t="s">
        <v>11122</v>
      </c>
      <c r="H10495" s="27" t="s">
        <v>35</v>
      </c>
      <c r="I10495" s="27" t="s">
        <v>39</v>
      </c>
      <c r="J10495" s="28" t="s">
        <v>997</v>
      </c>
      <c r="K10495" s="27" t="s">
        <v>39</v>
      </c>
      <c r="L10495" s="27"/>
    </row>
    <row r="10496" customFormat="false" ht="15" hidden="false" customHeight="false" outlineLevel="0" collapsed="false">
      <c r="A10496" s="26" t="s">
        <v>25905</v>
      </c>
      <c r="B10496" s="27" t="s">
        <v>25906</v>
      </c>
      <c r="C10496" s="27" t="s">
        <v>144</v>
      </c>
      <c r="D10496" s="26"/>
      <c r="E10496" s="27"/>
      <c r="F10496" s="27"/>
      <c r="G10496" s="27" t="s">
        <v>11122</v>
      </c>
      <c r="H10496" s="27" t="s">
        <v>35</v>
      </c>
      <c r="I10496" s="27" t="s">
        <v>37</v>
      </c>
      <c r="J10496" s="28" t="s">
        <v>997</v>
      </c>
      <c r="K10496" s="27" t="s">
        <v>39</v>
      </c>
      <c r="L10496" s="27"/>
    </row>
    <row r="10497" customFormat="false" ht="15" hidden="false" customHeight="false" outlineLevel="0" collapsed="false">
      <c r="A10497" s="26" t="s">
        <v>25907</v>
      </c>
      <c r="B10497" s="27" t="s">
        <v>25908</v>
      </c>
      <c r="C10497" s="27" t="s">
        <v>144</v>
      </c>
      <c r="D10497" s="26"/>
      <c r="E10497" s="27"/>
      <c r="F10497" s="27"/>
      <c r="G10497" s="27" t="s">
        <v>11122</v>
      </c>
      <c r="H10497" s="27" t="s">
        <v>35</v>
      </c>
      <c r="I10497" s="27" t="s">
        <v>39</v>
      </c>
      <c r="J10497" s="28" t="s">
        <v>997</v>
      </c>
      <c r="K10497" s="27" t="s">
        <v>39</v>
      </c>
      <c r="L10497" s="27"/>
    </row>
    <row r="10498" customFormat="false" ht="15" hidden="false" customHeight="false" outlineLevel="0" collapsed="false">
      <c r="A10498" s="26" t="s">
        <v>25909</v>
      </c>
      <c r="B10498" s="27" t="s">
        <v>25910</v>
      </c>
      <c r="C10498" s="27" t="s">
        <v>144</v>
      </c>
      <c r="D10498" s="26"/>
      <c r="E10498" s="27"/>
      <c r="F10498" s="27"/>
      <c r="G10498" s="27" t="s">
        <v>11122</v>
      </c>
      <c r="H10498" s="27" t="s">
        <v>35</v>
      </c>
      <c r="I10498" s="27" t="s">
        <v>39</v>
      </c>
      <c r="J10498" s="28" t="s">
        <v>997</v>
      </c>
      <c r="K10498" s="27" t="s">
        <v>39</v>
      </c>
      <c r="L10498" s="27"/>
    </row>
    <row r="10499" customFormat="false" ht="15" hidden="false" customHeight="false" outlineLevel="0" collapsed="false">
      <c r="A10499" s="26" t="s">
        <v>25911</v>
      </c>
      <c r="B10499" s="27" t="s">
        <v>25912</v>
      </c>
      <c r="C10499" s="27" t="s">
        <v>144</v>
      </c>
      <c r="D10499" s="26"/>
      <c r="E10499" s="27"/>
      <c r="F10499" s="27"/>
      <c r="G10499" s="27" t="s">
        <v>11122</v>
      </c>
      <c r="H10499" s="27" t="s">
        <v>35</v>
      </c>
      <c r="I10499" s="27" t="s">
        <v>39</v>
      </c>
      <c r="J10499" s="28" t="s">
        <v>997</v>
      </c>
      <c r="K10499" s="27" t="s">
        <v>39</v>
      </c>
      <c r="L10499" s="27"/>
    </row>
    <row r="10500" customFormat="false" ht="15" hidden="false" customHeight="false" outlineLevel="0" collapsed="false">
      <c r="A10500" s="26" t="s">
        <v>25913</v>
      </c>
      <c r="B10500" s="27" t="s">
        <v>25914</v>
      </c>
      <c r="C10500" s="27" t="s">
        <v>144</v>
      </c>
      <c r="D10500" s="26"/>
      <c r="E10500" s="27"/>
      <c r="F10500" s="27"/>
      <c r="G10500" s="27" t="s">
        <v>11122</v>
      </c>
      <c r="H10500" s="27" t="s">
        <v>35</v>
      </c>
      <c r="I10500" s="27" t="s">
        <v>39</v>
      </c>
      <c r="J10500" s="28" t="s">
        <v>997</v>
      </c>
      <c r="K10500" s="27" t="s">
        <v>39</v>
      </c>
      <c r="L10500" s="27"/>
    </row>
    <row r="10501" customFormat="false" ht="15" hidden="false" customHeight="false" outlineLevel="0" collapsed="false">
      <c r="A10501" s="26" t="s">
        <v>25915</v>
      </c>
      <c r="B10501" s="27" t="s">
        <v>25916</v>
      </c>
      <c r="C10501" s="27" t="s">
        <v>144</v>
      </c>
      <c r="D10501" s="26"/>
      <c r="E10501" s="27"/>
      <c r="F10501" s="27"/>
      <c r="G10501" s="27" t="s">
        <v>11122</v>
      </c>
      <c r="H10501" s="27" t="s">
        <v>35</v>
      </c>
      <c r="I10501" s="27" t="s">
        <v>39</v>
      </c>
      <c r="J10501" s="28" t="s">
        <v>997</v>
      </c>
      <c r="K10501" s="27" t="s">
        <v>39</v>
      </c>
      <c r="L10501" s="27"/>
    </row>
    <row r="10502" customFormat="false" ht="15" hidden="false" customHeight="false" outlineLevel="0" collapsed="false">
      <c r="A10502" s="26" t="s">
        <v>25917</v>
      </c>
      <c r="B10502" s="27" t="s">
        <v>25918</v>
      </c>
      <c r="C10502" s="27" t="s">
        <v>1527</v>
      </c>
      <c r="D10502" s="26"/>
      <c r="E10502" s="27"/>
      <c r="F10502" s="27"/>
      <c r="G10502" s="27" t="s">
        <v>11122</v>
      </c>
      <c r="H10502" s="27" t="s">
        <v>35</v>
      </c>
      <c r="I10502" s="27" t="s">
        <v>42</v>
      </c>
      <c r="J10502" s="28" t="s">
        <v>997</v>
      </c>
      <c r="K10502" s="27" t="s">
        <v>39</v>
      </c>
      <c r="L10502" s="27"/>
    </row>
    <row r="10503" customFormat="false" ht="15" hidden="false" customHeight="false" outlineLevel="0" collapsed="false">
      <c r="A10503" s="26" t="s">
        <v>25919</v>
      </c>
      <c r="B10503" s="27" t="s">
        <v>25920</v>
      </c>
      <c r="C10503" s="27" t="s">
        <v>144</v>
      </c>
      <c r="D10503" s="26"/>
      <c r="E10503" s="27"/>
      <c r="F10503" s="27"/>
      <c r="G10503" s="27" t="s">
        <v>11122</v>
      </c>
      <c r="H10503" s="27" t="s">
        <v>35</v>
      </c>
      <c r="I10503" s="27" t="s">
        <v>39</v>
      </c>
      <c r="J10503" s="28" t="s">
        <v>997</v>
      </c>
      <c r="K10503" s="27" t="s">
        <v>39</v>
      </c>
      <c r="L10503" s="27"/>
    </row>
    <row r="10504" customFormat="false" ht="15" hidden="false" customHeight="false" outlineLevel="0" collapsed="false">
      <c r="A10504" s="26" t="s">
        <v>25921</v>
      </c>
      <c r="B10504" s="27" t="s">
        <v>25922</v>
      </c>
      <c r="C10504" s="27" t="s">
        <v>144</v>
      </c>
      <c r="D10504" s="26"/>
      <c r="E10504" s="27"/>
      <c r="F10504" s="27"/>
      <c r="G10504" s="27" t="s">
        <v>11122</v>
      </c>
      <c r="H10504" s="27" t="s">
        <v>35</v>
      </c>
      <c r="I10504" s="27" t="s">
        <v>47</v>
      </c>
      <c r="J10504" s="28" t="s">
        <v>997</v>
      </c>
      <c r="K10504" s="27" t="s">
        <v>39</v>
      </c>
      <c r="L10504" s="27"/>
    </row>
    <row r="10505" customFormat="false" ht="15" hidden="false" customHeight="false" outlineLevel="0" collapsed="false">
      <c r="A10505" s="26" t="s">
        <v>25923</v>
      </c>
      <c r="B10505" s="27" t="s">
        <v>25924</v>
      </c>
      <c r="C10505" s="27" t="s">
        <v>144</v>
      </c>
      <c r="D10505" s="26"/>
      <c r="E10505" s="27"/>
      <c r="F10505" s="27"/>
      <c r="G10505" s="27" t="s">
        <v>11122</v>
      </c>
      <c r="H10505" s="27" t="s">
        <v>35</v>
      </c>
      <c r="I10505" s="27" t="s">
        <v>887</v>
      </c>
      <c r="J10505" s="28" t="s">
        <v>997</v>
      </c>
      <c r="K10505" s="27" t="s">
        <v>39</v>
      </c>
      <c r="L10505" s="27"/>
    </row>
    <row r="10506" customFormat="false" ht="15" hidden="false" customHeight="false" outlineLevel="0" collapsed="false">
      <c r="A10506" s="26" t="s">
        <v>25925</v>
      </c>
      <c r="B10506" s="27" t="s">
        <v>25926</v>
      </c>
      <c r="C10506" s="27" t="s">
        <v>144</v>
      </c>
      <c r="D10506" s="26"/>
      <c r="E10506" s="27"/>
      <c r="F10506" s="27"/>
      <c r="G10506" s="27" t="s">
        <v>11122</v>
      </c>
      <c r="H10506" s="27" t="s">
        <v>35</v>
      </c>
      <c r="I10506" s="27" t="s">
        <v>43</v>
      </c>
      <c r="J10506" s="28" t="s">
        <v>997</v>
      </c>
      <c r="K10506" s="27" t="s">
        <v>39</v>
      </c>
      <c r="L10506" s="27"/>
    </row>
    <row r="10507" customFormat="false" ht="15" hidden="false" customHeight="false" outlineLevel="0" collapsed="false">
      <c r="A10507" s="26" t="s">
        <v>25927</v>
      </c>
      <c r="B10507" s="27" t="s">
        <v>25928</v>
      </c>
      <c r="C10507" s="27" t="s">
        <v>144</v>
      </c>
      <c r="D10507" s="26"/>
      <c r="E10507" s="27"/>
      <c r="F10507" s="27"/>
      <c r="G10507" s="27" t="s">
        <v>11122</v>
      </c>
      <c r="H10507" s="27" t="s">
        <v>35</v>
      </c>
      <c r="I10507" s="27" t="s">
        <v>43</v>
      </c>
      <c r="J10507" s="28" t="s">
        <v>997</v>
      </c>
      <c r="K10507" s="27" t="s">
        <v>39</v>
      </c>
      <c r="L10507" s="27"/>
    </row>
    <row r="10508" customFormat="false" ht="15" hidden="false" customHeight="false" outlineLevel="0" collapsed="false">
      <c r="A10508" s="26" t="s">
        <v>25929</v>
      </c>
      <c r="B10508" s="27" t="s">
        <v>25930</v>
      </c>
      <c r="C10508" s="27" t="s">
        <v>144</v>
      </c>
      <c r="D10508" s="26"/>
      <c r="E10508" s="27"/>
      <c r="F10508" s="27"/>
      <c r="G10508" s="27" t="s">
        <v>11122</v>
      </c>
      <c r="H10508" s="27" t="s">
        <v>35</v>
      </c>
      <c r="I10508" s="27" t="s">
        <v>42</v>
      </c>
      <c r="J10508" s="28" t="s">
        <v>997</v>
      </c>
      <c r="K10508" s="27" t="s">
        <v>39</v>
      </c>
      <c r="L10508" s="27"/>
    </row>
    <row r="10509" customFormat="false" ht="15" hidden="false" customHeight="false" outlineLevel="0" collapsed="false">
      <c r="A10509" s="26" t="s">
        <v>25931</v>
      </c>
      <c r="B10509" s="27" t="s">
        <v>25932</v>
      </c>
      <c r="C10509" s="27" t="s">
        <v>144</v>
      </c>
      <c r="D10509" s="26"/>
      <c r="E10509" s="27"/>
      <c r="F10509" s="27"/>
      <c r="G10509" s="27" t="s">
        <v>11122</v>
      </c>
      <c r="H10509" s="27" t="s">
        <v>35</v>
      </c>
      <c r="I10509" s="27" t="s">
        <v>39</v>
      </c>
      <c r="J10509" s="28" t="s">
        <v>997</v>
      </c>
      <c r="K10509" s="27" t="s">
        <v>39</v>
      </c>
      <c r="L10509" s="27"/>
    </row>
    <row r="10510" customFormat="false" ht="15" hidden="false" customHeight="false" outlineLevel="0" collapsed="false">
      <c r="A10510" s="26" t="s">
        <v>25933</v>
      </c>
      <c r="B10510" s="27" t="s">
        <v>25934</v>
      </c>
      <c r="C10510" s="27" t="s">
        <v>370</v>
      </c>
      <c r="D10510" s="26"/>
      <c r="E10510" s="27"/>
      <c r="F10510" s="27"/>
      <c r="G10510" s="27" t="s">
        <v>11122</v>
      </c>
      <c r="H10510" s="27" t="s">
        <v>35</v>
      </c>
      <c r="I10510" s="27" t="s">
        <v>39</v>
      </c>
      <c r="J10510" s="28" t="s">
        <v>997</v>
      </c>
      <c r="K10510" s="27" t="s">
        <v>39</v>
      </c>
      <c r="L10510" s="27"/>
    </row>
    <row r="10511" customFormat="false" ht="15" hidden="false" customHeight="false" outlineLevel="0" collapsed="false">
      <c r="A10511" s="26" t="s">
        <v>25935</v>
      </c>
      <c r="B10511" s="27" t="s">
        <v>25936</v>
      </c>
      <c r="C10511" s="27" t="s">
        <v>144</v>
      </c>
      <c r="D10511" s="26"/>
      <c r="E10511" s="27"/>
      <c r="F10511" s="27"/>
      <c r="G10511" s="27" t="s">
        <v>11122</v>
      </c>
      <c r="H10511" s="27" t="s">
        <v>35</v>
      </c>
      <c r="I10511" s="27" t="s">
        <v>39</v>
      </c>
      <c r="J10511" s="28" t="s">
        <v>997</v>
      </c>
      <c r="K10511" s="27" t="s">
        <v>39</v>
      </c>
      <c r="L10511" s="27"/>
    </row>
    <row r="10512" customFormat="false" ht="15" hidden="false" customHeight="false" outlineLevel="0" collapsed="false">
      <c r="A10512" s="26" t="s">
        <v>25937</v>
      </c>
      <c r="B10512" s="27" t="s">
        <v>25938</v>
      </c>
      <c r="C10512" s="27" t="s">
        <v>370</v>
      </c>
      <c r="D10512" s="26"/>
      <c r="E10512" s="27"/>
      <c r="F10512" s="27"/>
      <c r="G10512" s="27" t="s">
        <v>11122</v>
      </c>
      <c r="H10512" s="27" t="s">
        <v>35</v>
      </c>
      <c r="I10512" s="27" t="s">
        <v>39</v>
      </c>
      <c r="J10512" s="28" t="s">
        <v>997</v>
      </c>
      <c r="K10512" s="27" t="s">
        <v>39</v>
      </c>
      <c r="L10512" s="27"/>
    </row>
    <row r="10513" customFormat="false" ht="15" hidden="false" customHeight="false" outlineLevel="0" collapsed="false">
      <c r="A10513" s="26" t="s">
        <v>25939</v>
      </c>
      <c r="B10513" s="27" t="s">
        <v>25940</v>
      </c>
      <c r="C10513" s="27" t="s">
        <v>370</v>
      </c>
      <c r="D10513" s="26"/>
      <c r="E10513" s="27"/>
      <c r="F10513" s="27"/>
      <c r="G10513" s="27" t="s">
        <v>11122</v>
      </c>
      <c r="H10513" s="27" t="s">
        <v>35</v>
      </c>
      <c r="I10513" s="27" t="s">
        <v>39</v>
      </c>
      <c r="J10513" s="28" t="s">
        <v>997</v>
      </c>
      <c r="K10513" s="27" t="s">
        <v>39</v>
      </c>
      <c r="L10513" s="27"/>
    </row>
    <row r="10514" customFormat="false" ht="15" hidden="false" customHeight="false" outlineLevel="0" collapsed="false">
      <c r="A10514" s="26" t="s">
        <v>25941</v>
      </c>
      <c r="B10514" s="27" t="s">
        <v>25942</v>
      </c>
      <c r="C10514" s="27" t="s">
        <v>144</v>
      </c>
      <c r="D10514" s="26"/>
      <c r="E10514" s="27"/>
      <c r="F10514" s="27"/>
      <c r="G10514" s="27" t="s">
        <v>11122</v>
      </c>
      <c r="H10514" s="27" t="s">
        <v>35</v>
      </c>
      <c r="I10514" s="27" t="s">
        <v>39</v>
      </c>
      <c r="J10514" s="28" t="s">
        <v>997</v>
      </c>
      <c r="K10514" s="27" t="s">
        <v>39</v>
      </c>
      <c r="L10514" s="27"/>
    </row>
    <row r="10515" customFormat="false" ht="15" hidden="false" customHeight="false" outlineLevel="0" collapsed="false">
      <c r="A10515" s="26" t="s">
        <v>25943</v>
      </c>
      <c r="B10515" s="27" t="s">
        <v>25944</v>
      </c>
      <c r="C10515" s="27" t="s">
        <v>144</v>
      </c>
      <c r="D10515" s="26"/>
      <c r="E10515" s="27"/>
      <c r="F10515" s="27"/>
      <c r="G10515" s="27" t="s">
        <v>11122</v>
      </c>
      <c r="H10515" s="27" t="s">
        <v>35</v>
      </c>
      <c r="I10515" s="27" t="s">
        <v>39</v>
      </c>
      <c r="J10515" s="28" t="s">
        <v>997</v>
      </c>
      <c r="K10515" s="27" t="s">
        <v>39</v>
      </c>
      <c r="L10515" s="27"/>
    </row>
    <row r="10516" customFormat="false" ht="15" hidden="false" customHeight="false" outlineLevel="0" collapsed="false">
      <c r="A10516" s="26" t="s">
        <v>25945</v>
      </c>
      <c r="B10516" s="27" t="s">
        <v>25946</v>
      </c>
      <c r="C10516" s="27" t="s">
        <v>144</v>
      </c>
      <c r="D10516" s="26"/>
      <c r="E10516" s="27"/>
      <c r="F10516" s="27"/>
      <c r="G10516" s="27" t="s">
        <v>11122</v>
      </c>
      <c r="H10516" s="27" t="s">
        <v>35</v>
      </c>
      <c r="I10516" s="27" t="s">
        <v>39</v>
      </c>
      <c r="J10516" s="28" t="s">
        <v>997</v>
      </c>
      <c r="K10516" s="27" t="s">
        <v>39</v>
      </c>
      <c r="L10516" s="27"/>
    </row>
    <row r="10517" customFormat="false" ht="15" hidden="false" customHeight="false" outlineLevel="0" collapsed="false">
      <c r="A10517" s="26" t="s">
        <v>25947</v>
      </c>
      <c r="B10517" s="27" t="s">
        <v>25948</v>
      </c>
      <c r="C10517" s="27" t="s">
        <v>144</v>
      </c>
      <c r="D10517" s="26"/>
      <c r="E10517" s="27"/>
      <c r="F10517" s="27"/>
      <c r="G10517" s="27" t="s">
        <v>11122</v>
      </c>
      <c r="H10517" s="27" t="s">
        <v>35</v>
      </c>
      <c r="I10517" s="27" t="s">
        <v>39</v>
      </c>
      <c r="J10517" s="28" t="s">
        <v>997</v>
      </c>
      <c r="K10517" s="27" t="s">
        <v>39</v>
      </c>
      <c r="L10517" s="27"/>
    </row>
    <row r="10518" customFormat="false" ht="15" hidden="false" customHeight="false" outlineLevel="0" collapsed="false">
      <c r="A10518" s="26" t="s">
        <v>25949</v>
      </c>
      <c r="B10518" s="27" t="s">
        <v>25950</v>
      </c>
      <c r="C10518" s="27" t="s">
        <v>144</v>
      </c>
      <c r="D10518" s="26"/>
      <c r="E10518" s="27"/>
      <c r="F10518" s="27"/>
      <c r="G10518" s="27" t="s">
        <v>11122</v>
      </c>
      <c r="H10518" s="27" t="s">
        <v>35</v>
      </c>
      <c r="I10518" s="27" t="s">
        <v>39</v>
      </c>
      <c r="J10518" s="28" t="s">
        <v>997</v>
      </c>
      <c r="K10518" s="27" t="s">
        <v>39</v>
      </c>
      <c r="L10518" s="27"/>
    </row>
    <row r="10519" customFormat="false" ht="15" hidden="false" customHeight="false" outlineLevel="0" collapsed="false">
      <c r="A10519" s="26" t="s">
        <v>25951</v>
      </c>
      <c r="B10519" s="27" t="s">
        <v>25952</v>
      </c>
      <c r="C10519" s="27" t="s">
        <v>144</v>
      </c>
      <c r="D10519" s="26"/>
      <c r="E10519" s="27"/>
      <c r="F10519" s="27"/>
      <c r="G10519" s="27" t="s">
        <v>11122</v>
      </c>
      <c r="H10519" s="27" t="s">
        <v>35</v>
      </c>
      <c r="I10519" s="27" t="s">
        <v>39</v>
      </c>
      <c r="J10519" s="28" t="s">
        <v>997</v>
      </c>
      <c r="K10519" s="27" t="s">
        <v>39</v>
      </c>
      <c r="L10519" s="27"/>
    </row>
    <row r="10520" customFormat="false" ht="15" hidden="false" customHeight="false" outlineLevel="0" collapsed="false">
      <c r="A10520" s="26" t="s">
        <v>25953</v>
      </c>
      <c r="B10520" s="27" t="s">
        <v>25954</v>
      </c>
      <c r="C10520" s="27" t="s">
        <v>144</v>
      </c>
      <c r="D10520" s="26"/>
      <c r="E10520" s="27"/>
      <c r="F10520" s="27"/>
      <c r="G10520" s="27" t="s">
        <v>11122</v>
      </c>
      <c r="H10520" s="27" t="s">
        <v>35</v>
      </c>
      <c r="I10520" s="27" t="s">
        <v>39</v>
      </c>
      <c r="J10520" s="28" t="s">
        <v>997</v>
      </c>
      <c r="K10520" s="27" t="s">
        <v>39</v>
      </c>
      <c r="L10520" s="27"/>
    </row>
    <row r="10521" customFormat="false" ht="15" hidden="false" customHeight="false" outlineLevel="0" collapsed="false">
      <c r="A10521" s="26" t="s">
        <v>25955</v>
      </c>
      <c r="B10521" s="27" t="s">
        <v>25956</v>
      </c>
      <c r="C10521" s="27" t="s">
        <v>144</v>
      </c>
      <c r="D10521" s="26"/>
      <c r="E10521" s="27"/>
      <c r="F10521" s="27"/>
      <c r="G10521" s="27" t="s">
        <v>11122</v>
      </c>
      <c r="H10521" s="27" t="s">
        <v>35</v>
      </c>
      <c r="I10521" s="27" t="s">
        <v>39</v>
      </c>
      <c r="J10521" s="28" t="s">
        <v>997</v>
      </c>
      <c r="K10521" s="27" t="s">
        <v>39</v>
      </c>
      <c r="L10521" s="27"/>
    </row>
    <row r="10522" customFormat="false" ht="15" hidden="false" customHeight="false" outlineLevel="0" collapsed="false">
      <c r="A10522" s="26" t="s">
        <v>25957</v>
      </c>
      <c r="B10522" s="27" t="s">
        <v>25958</v>
      </c>
      <c r="C10522" s="27" t="s">
        <v>144</v>
      </c>
      <c r="D10522" s="26"/>
      <c r="E10522" s="27"/>
      <c r="F10522" s="27"/>
      <c r="G10522" s="27" t="s">
        <v>11122</v>
      </c>
      <c r="H10522" s="27" t="s">
        <v>35</v>
      </c>
      <c r="I10522" s="27" t="s">
        <v>39</v>
      </c>
      <c r="J10522" s="28" t="s">
        <v>997</v>
      </c>
      <c r="K10522" s="27" t="s">
        <v>39</v>
      </c>
      <c r="L10522" s="27"/>
    </row>
    <row r="10523" customFormat="false" ht="15" hidden="false" customHeight="false" outlineLevel="0" collapsed="false">
      <c r="A10523" s="26" t="s">
        <v>25959</v>
      </c>
      <c r="B10523" s="27" t="s">
        <v>25960</v>
      </c>
      <c r="C10523" s="27" t="s">
        <v>144</v>
      </c>
      <c r="D10523" s="26"/>
      <c r="E10523" s="27"/>
      <c r="F10523" s="27"/>
      <c r="G10523" s="27" t="s">
        <v>11122</v>
      </c>
      <c r="H10523" s="27" t="s">
        <v>35</v>
      </c>
      <c r="I10523" s="27" t="s">
        <v>39</v>
      </c>
      <c r="J10523" s="28" t="s">
        <v>997</v>
      </c>
      <c r="K10523" s="27" t="s">
        <v>39</v>
      </c>
      <c r="L10523" s="27"/>
    </row>
    <row r="10524" customFormat="false" ht="15" hidden="false" customHeight="false" outlineLevel="0" collapsed="false">
      <c r="A10524" s="26" t="s">
        <v>25961</v>
      </c>
      <c r="B10524" s="27" t="s">
        <v>25962</v>
      </c>
      <c r="C10524" s="27" t="s">
        <v>144</v>
      </c>
      <c r="D10524" s="26"/>
      <c r="E10524" s="27"/>
      <c r="F10524" s="27"/>
      <c r="G10524" s="27" t="s">
        <v>11122</v>
      </c>
      <c r="H10524" s="27" t="s">
        <v>35</v>
      </c>
      <c r="I10524" s="27" t="s">
        <v>39</v>
      </c>
      <c r="J10524" s="28" t="s">
        <v>997</v>
      </c>
      <c r="K10524" s="27" t="s">
        <v>39</v>
      </c>
      <c r="L10524" s="27"/>
    </row>
    <row r="10525" customFormat="false" ht="15" hidden="false" customHeight="false" outlineLevel="0" collapsed="false">
      <c r="A10525" s="26" t="s">
        <v>25963</v>
      </c>
      <c r="B10525" s="27" t="s">
        <v>25964</v>
      </c>
      <c r="C10525" s="27" t="s">
        <v>370</v>
      </c>
      <c r="D10525" s="26"/>
      <c r="E10525" s="27"/>
      <c r="F10525" s="27"/>
      <c r="G10525" s="27" t="s">
        <v>11122</v>
      </c>
      <c r="H10525" s="27" t="s">
        <v>35</v>
      </c>
      <c r="I10525" s="27" t="s">
        <v>40</v>
      </c>
      <c r="J10525" s="28" t="s">
        <v>997</v>
      </c>
      <c r="K10525" s="27" t="s">
        <v>39</v>
      </c>
      <c r="L10525" s="27"/>
    </row>
    <row r="10526" customFormat="false" ht="15" hidden="false" customHeight="false" outlineLevel="0" collapsed="false">
      <c r="A10526" s="26" t="s">
        <v>25965</v>
      </c>
      <c r="B10526" s="27" t="s">
        <v>25966</v>
      </c>
      <c r="C10526" s="27" t="s">
        <v>370</v>
      </c>
      <c r="D10526" s="26"/>
      <c r="E10526" s="27"/>
      <c r="F10526" s="27"/>
      <c r="G10526" s="27" t="s">
        <v>11122</v>
      </c>
      <c r="H10526" s="27" t="s">
        <v>35</v>
      </c>
      <c r="I10526" s="27" t="s">
        <v>39</v>
      </c>
      <c r="J10526" s="28" t="s">
        <v>997</v>
      </c>
      <c r="K10526" s="27" t="s">
        <v>39</v>
      </c>
      <c r="L10526" s="27"/>
    </row>
    <row r="10527" customFormat="false" ht="15" hidden="false" customHeight="false" outlineLevel="0" collapsed="false">
      <c r="A10527" s="26" t="s">
        <v>25967</v>
      </c>
      <c r="B10527" s="27" t="s">
        <v>25968</v>
      </c>
      <c r="C10527" s="27" t="s">
        <v>370</v>
      </c>
      <c r="D10527" s="26"/>
      <c r="E10527" s="27"/>
      <c r="F10527" s="27"/>
      <c r="G10527" s="27" t="s">
        <v>11122</v>
      </c>
      <c r="H10527" s="27" t="s">
        <v>35</v>
      </c>
      <c r="I10527" s="27" t="s">
        <v>39</v>
      </c>
      <c r="J10527" s="28" t="s">
        <v>997</v>
      </c>
      <c r="K10527" s="27" t="s">
        <v>39</v>
      </c>
      <c r="L10527" s="27"/>
    </row>
    <row r="10528" customFormat="false" ht="15" hidden="false" customHeight="false" outlineLevel="0" collapsed="false">
      <c r="A10528" s="26" t="s">
        <v>25969</v>
      </c>
      <c r="B10528" s="27" t="s">
        <v>25970</v>
      </c>
      <c r="C10528" s="27" t="s">
        <v>370</v>
      </c>
      <c r="D10528" s="26"/>
      <c r="E10528" s="27"/>
      <c r="F10528" s="27"/>
      <c r="G10528" s="27" t="s">
        <v>11122</v>
      </c>
      <c r="H10528" s="27" t="s">
        <v>35</v>
      </c>
      <c r="I10528" s="27" t="s">
        <v>39</v>
      </c>
      <c r="J10528" s="28" t="s">
        <v>997</v>
      </c>
      <c r="K10528" s="27" t="s">
        <v>39</v>
      </c>
      <c r="L10528" s="27"/>
    </row>
    <row r="10529" customFormat="false" ht="15" hidden="false" customHeight="false" outlineLevel="0" collapsed="false">
      <c r="A10529" s="26" t="s">
        <v>25971</v>
      </c>
      <c r="B10529" s="27" t="s">
        <v>25972</v>
      </c>
      <c r="C10529" s="27" t="s">
        <v>370</v>
      </c>
      <c r="D10529" s="26"/>
      <c r="E10529" s="27"/>
      <c r="F10529" s="27"/>
      <c r="G10529" s="27" t="s">
        <v>11122</v>
      </c>
      <c r="H10529" s="27" t="s">
        <v>35</v>
      </c>
      <c r="I10529" s="27" t="s">
        <v>39</v>
      </c>
      <c r="J10529" s="28" t="s">
        <v>997</v>
      </c>
      <c r="K10529" s="27" t="s">
        <v>39</v>
      </c>
      <c r="L10529" s="27"/>
    </row>
    <row r="10530" customFormat="false" ht="15" hidden="false" customHeight="false" outlineLevel="0" collapsed="false">
      <c r="A10530" s="26" t="s">
        <v>25973</v>
      </c>
      <c r="B10530" s="27" t="s">
        <v>25974</v>
      </c>
      <c r="C10530" s="27" t="s">
        <v>144</v>
      </c>
      <c r="D10530" s="26"/>
      <c r="E10530" s="27"/>
      <c r="F10530" s="27"/>
      <c r="G10530" s="27" t="s">
        <v>11122</v>
      </c>
      <c r="H10530" s="27" t="s">
        <v>35</v>
      </c>
      <c r="I10530" s="27" t="s">
        <v>39</v>
      </c>
      <c r="J10530" s="28" t="s">
        <v>997</v>
      </c>
      <c r="K10530" s="27" t="s">
        <v>39</v>
      </c>
      <c r="L10530" s="27"/>
    </row>
    <row r="10531" customFormat="false" ht="15" hidden="false" customHeight="false" outlineLevel="0" collapsed="false">
      <c r="A10531" s="26" t="s">
        <v>25975</v>
      </c>
      <c r="B10531" s="27" t="s">
        <v>25976</v>
      </c>
      <c r="C10531" s="27" t="s">
        <v>370</v>
      </c>
      <c r="D10531" s="26"/>
      <c r="E10531" s="27"/>
      <c r="F10531" s="27"/>
      <c r="G10531" s="27" t="s">
        <v>11122</v>
      </c>
      <c r="H10531" s="27" t="s">
        <v>35</v>
      </c>
      <c r="I10531" s="27" t="s">
        <v>37</v>
      </c>
      <c r="J10531" s="28" t="s">
        <v>997</v>
      </c>
      <c r="K10531" s="27" t="s">
        <v>39</v>
      </c>
      <c r="L10531" s="27"/>
    </row>
    <row r="10532" customFormat="false" ht="15" hidden="false" customHeight="false" outlineLevel="0" collapsed="false">
      <c r="A10532" s="26" t="s">
        <v>25977</v>
      </c>
      <c r="B10532" s="27" t="s">
        <v>25978</v>
      </c>
      <c r="C10532" s="27" t="s">
        <v>370</v>
      </c>
      <c r="D10532" s="26"/>
      <c r="E10532" s="27"/>
      <c r="F10532" s="27"/>
      <c r="G10532" s="27" t="s">
        <v>11122</v>
      </c>
      <c r="H10532" s="27" t="s">
        <v>35</v>
      </c>
      <c r="I10532" s="27" t="s">
        <v>39</v>
      </c>
      <c r="J10532" s="28" t="s">
        <v>997</v>
      </c>
      <c r="K10532" s="27" t="s">
        <v>39</v>
      </c>
      <c r="L10532" s="27"/>
    </row>
    <row r="10533" customFormat="false" ht="15" hidden="false" customHeight="false" outlineLevel="0" collapsed="false">
      <c r="A10533" s="26" t="s">
        <v>25979</v>
      </c>
      <c r="B10533" s="27" t="s">
        <v>25980</v>
      </c>
      <c r="C10533" s="27" t="s">
        <v>370</v>
      </c>
      <c r="D10533" s="26"/>
      <c r="E10533" s="27"/>
      <c r="F10533" s="27"/>
      <c r="G10533" s="27" t="s">
        <v>11122</v>
      </c>
      <c r="H10533" s="27" t="s">
        <v>35</v>
      </c>
      <c r="I10533" s="27" t="s">
        <v>40</v>
      </c>
      <c r="J10533" s="28" t="s">
        <v>997</v>
      </c>
      <c r="K10533" s="27" t="s">
        <v>39</v>
      </c>
      <c r="L10533" s="27"/>
    </row>
    <row r="10534" customFormat="false" ht="15" hidden="false" customHeight="false" outlineLevel="0" collapsed="false">
      <c r="A10534" s="26" t="s">
        <v>25981</v>
      </c>
      <c r="B10534" s="27" t="s">
        <v>25982</v>
      </c>
      <c r="C10534" s="27" t="s">
        <v>144</v>
      </c>
      <c r="D10534" s="26"/>
      <c r="E10534" s="27"/>
      <c r="F10534" s="27"/>
      <c r="G10534" s="27" t="s">
        <v>11122</v>
      </c>
      <c r="H10534" s="27" t="s">
        <v>35</v>
      </c>
      <c r="I10534" s="27" t="s">
        <v>41</v>
      </c>
      <c r="J10534" s="28" t="s">
        <v>997</v>
      </c>
      <c r="K10534" s="27" t="s">
        <v>39</v>
      </c>
      <c r="L10534" s="27"/>
    </row>
    <row r="10535" customFormat="false" ht="15" hidden="false" customHeight="false" outlineLevel="0" collapsed="false">
      <c r="A10535" s="26" t="s">
        <v>25983</v>
      </c>
      <c r="B10535" s="27" t="s">
        <v>25984</v>
      </c>
      <c r="C10535" s="27" t="s">
        <v>370</v>
      </c>
      <c r="D10535" s="26"/>
      <c r="E10535" s="27"/>
      <c r="F10535" s="27"/>
      <c r="G10535" s="27" t="s">
        <v>11122</v>
      </c>
      <c r="H10535" s="27" t="s">
        <v>35</v>
      </c>
      <c r="I10535" s="27" t="s">
        <v>43</v>
      </c>
      <c r="J10535" s="28" t="s">
        <v>997</v>
      </c>
      <c r="K10535" s="27" t="s">
        <v>39</v>
      </c>
      <c r="L10535" s="27"/>
    </row>
    <row r="10536" customFormat="false" ht="15" hidden="false" customHeight="false" outlineLevel="0" collapsed="false">
      <c r="A10536" s="26" t="s">
        <v>25985</v>
      </c>
      <c r="B10536" s="27" t="s">
        <v>25986</v>
      </c>
      <c r="C10536" s="27" t="s">
        <v>144</v>
      </c>
      <c r="D10536" s="26"/>
      <c r="E10536" s="27"/>
      <c r="F10536" s="27"/>
      <c r="G10536" s="27" t="s">
        <v>11122</v>
      </c>
      <c r="H10536" s="27" t="s">
        <v>35</v>
      </c>
      <c r="I10536" s="27" t="s">
        <v>39</v>
      </c>
      <c r="J10536" s="28" t="s">
        <v>997</v>
      </c>
      <c r="K10536" s="27" t="s">
        <v>39</v>
      </c>
      <c r="L10536" s="27"/>
    </row>
    <row r="10537" customFormat="false" ht="15" hidden="false" customHeight="false" outlineLevel="0" collapsed="false">
      <c r="A10537" s="26" t="s">
        <v>25987</v>
      </c>
      <c r="B10537" s="27" t="s">
        <v>25988</v>
      </c>
      <c r="C10537" s="27" t="s">
        <v>144</v>
      </c>
      <c r="D10537" s="26"/>
      <c r="E10537" s="27"/>
      <c r="F10537" s="27"/>
      <c r="G10537" s="27" t="s">
        <v>11122</v>
      </c>
      <c r="H10537" s="27" t="s">
        <v>35</v>
      </c>
      <c r="I10537" s="27" t="s">
        <v>40</v>
      </c>
      <c r="J10537" s="28" t="s">
        <v>997</v>
      </c>
      <c r="K10537" s="27" t="s">
        <v>39</v>
      </c>
      <c r="L10537" s="27"/>
    </row>
    <row r="10538" customFormat="false" ht="15" hidden="false" customHeight="false" outlineLevel="0" collapsed="false">
      <c r="A10538" s="26" t="s">
        <v>25989</v>
      </c>
      <c r="B10538" s="27" t="s">
        <v>25990</v>
      </c>
      <c r="C10538" s="27" t="s">
        <v>370</v>
      </c>
      <c r="D10538" s="26"/>
      <c r="E10538" s="27"/>
      <c r="F10538" s="27"/>
      <c r="G10538" s="27" t="s">
        <v>11122</v>
      </c>
      <c r="H10538" s="27" t="s">
        <v>35</v>
      </c>
      <c r="I10538" s="27" t="s">
        <v>40</v>
      </c>
      <c r="J10538" s="28" t="s">
        <v>997</v>
      </c>
      <c r="K10538" s="27" t="s">
        <v>39</v>
      </c>
      <c r="L10538" s="27"/>
    </row>
    <row r="10539" customFormat="false" ht="15" hidden="false" customHeight="false" outlineLevel="0" collapsed="false">
      <c r="A10539" s="26" t="s">
        <v>25991</v>
      </c>
      <c r="B10539" s="27" t="s">
        <v>25992</v>
      </c>
      <c r="C10539" s="27" t="s">
        <v>370</v>
      </c>
      <c r="D10539" s="26"/>
      <c r="E10539" s="27"/>
      <c r="F10539" s="27"/>
      <c r="G10539" s="27" t="s">
        <v>11122</v>
      </c>
      <c r="H10539" s="27" t="s">
        <v>35</v>
      </c>
      <c r="I10539" s="27" t="s">
        <v>39</v>
      </c>
      <c r="J10539" s="28" t="s">
        <v>997</v>
      </c>
      <c r="K10539" s="27" t="s">
        <v>39</v>
      </c>
      <c r="L10539" s="27"/>
    </row>
    <row r="10540" customFormat="false" ht="15" hidden="false" customHeight="false" outlineLevel="0" collapsed="false">
      <c r="A10540" s="26" t="s">
        <v>25993</v>
      </c>
      <c r="B10540" s="27" t="s">
        <v>25994</v>
      </c>
      <c r="C10540" s="27" t="s">
        <v>370</v>
      </c>
      <c r="D10540" s="26"/>
      <c r="E10540" s="27"/>
      <c r="F10540" s="27"/>
      <c r="G10540" s="27" t="s">
        <v>11122</v>
      </c>
      <c r="H10540" s="27" t="s">
        <v>35</v>
      </c>
      <c r="I10540" s="27" t="s">
        <v>39</v>
      </c>
      <c r="J10540" s="28" t="s">
        <v>997</v>
      </c>
      <c r="K10540" s="27" t="s">
        <v>39</v>
      </c>
      <c r="L10540" s="27"/>
    </row>
    <row r="10541" customFormat="false" ht="15" hidden="false" customHeight="false" outlineLevel="0" collapsed="false">
      <c r="A10541" s="26" t="s">
        <v>25995</v>
      </c>
      <c r="B10541" s="27" t="s">
        <v>25996</v>
      </c>
      <c r="C10541" s="27" t="s">
        <v>370</v>
      </c>
      <c r="D10541" s="26"/>
      <c r="E10541" s="27"/>
      <c r="F10541" s="27"/>
      <c r="G10541" s="27" t="s">
        <v>11122</v>
      </c>
      <c r="H10541" s="27" t="s">
        <v>35</v>
      </c>
      <c r="I10541" s="27" t="s">
        <v>37</v>
      </c>
      <c r="J10541" s="28" t="s">
        <v>997</v>
      </c>
      <c r="K10541" s="27" t="s">
        <v>39</v>
      </c>
      <c r="L10541" s="27"/>
    </row>
    <row r="10542" customFormat="false" ht="15" hidden="false" customHeight="false" outlineLevel="0" collapsed="false">
      <c r="A10542" s="26" t="s">
        <v>25997</v>
      </c>
      <c r="B10542" s="27" t="s">
        <v>25998</v>
      </c>
      <c r="C10542" s="27" t="s">
        <v>144</v>
      </c>
      <c r="D10542" s="26"/>
      <c r="E10542" s="27"/>
      <c r="F10542" s="27"/>
      <c r="G10542" s="27" t="s">
        <v>11122</v>
      </c>
      <c r="H10542" s="27" t="s">
        <v>35</v>
      </c>
      <c r="I10542" s="27" t="s">
        <v>39</v>
      </c>
      <c r="J10542" s="28" t="s">
        <v>997</v>
      </c>
      <c r="K10542" s="27" t="s">
        <v>39</v>
      </c>
      <c r="L10542" s="27"/>
    </row>
    <row r="10543" customFormat="false" ht="15" hidden="false" customHeight="false" outlineLevel="0" collapsed="false">
      <c r="A10543" s="26" t="s">
        <v>25999</v>
      </c>
      <c r="B10543" s="27" t="s">
        <v>26000</v>
      </c>
      <c r="C10543" s="27" t="s">
        <v>370</v>
      </c>
      <c r="D10543" s="26"/>
      <c r="E10543" s="27"/>
      <c r="F10543" s="27"/>
      <c r="G10543" s="27" t="s">
        <v>11122</v>
      </c>
      <c r="H10543" s="27" t="s">
        <v>35</v>
      </c>
      <c r="I10543" s="27" t="s">
        <v>39</v>
      </c>
      <c r="J10543" s="28" t="s">
        <v>997</v>
      </c>
      <c r="K10543" s="27" t="s">
        <v>39</v>
      </c>
      <c r="L10543" s="27"/>
    </row>
    <row r="10544" customFormat="false" ht="15" hidden="false" customHeight="false" outlineLevel="0" collapsed="false">
      <c r="A10544" s="26" t="s">
        <v>26001</v>
      </c>
      <c r="B10544" s="27" t="s">
        <v>26002</v>
      </c>
      <c r="C10544" s="27" t="s">
        <v>144</v>
      </c>
      <c r="D10544" s="26"/>
      <c r="E10544" s="27"/>
      <c r="F10544" s="27"/>
      <c r="G10544" s="27" t="s">
        <v>11122</v>
      </c>
      <c r="H10544" s="27" t="s">
        <v>35</v>
      </c>
      <c r="I10544" s="27" t="s">
        <v>39</v>
      </c>
      <c r="J10544" s="28" t="s">
        <v>997</v>
      </c>
      <c r="K10544" s="27" t="s">
        <v>39</v>
      </c>
      <c r="L10544" s="27"/>
    </row>
    <row r="10545" customFormat="false" ht="15" hidden="false" customHeight="false" outlineLevel="0" collapsed="false">
      <c r="A10545" s="26" t="s">
        <v>26003</v>
      </c>
      <c r="B10545" s="27" t="s">
        <v>26004</v>
      </c>
      <c r="C10545" s="27" t="s">
        <v>370</v>
      </c>
      <c r="D10545" s="26"/>
      <c r="E10545" s="27"/>
      <c r="F10545" s="27"/>
      <c r="G10545" s="27" t="s">
        <v>11122</v>
      </c>
      <c r="H10545" s="27" t="s">
        <v>35</v>
      </c>
      <c r="I10545" s="27" t="s">
        <v>38</v>
      </c>
      <c r="J10545" s="28" t="s">
        <v>997</v>
      </c>
      <c r="K10545" s="27" t="s">
        <v>39</v>
      </c>
      <c r="L10545" s="27"/>
    </row>
    <row r="10546" customFormat="false" ht="15" hidden="false" customHeight="false" outlineLevel="0" collapsed="false">
      <c r="A10546" s="26" t="s">
        <v>26005</v>
      </c>
      <c r="B10546" s="27" t="s">
        <v>26006</v>
      </c>
      <c r="C10546" s="27" t="s">
        <v>370</v>
      </c>
      <c r="D10546" s="26"/>
      <c r="E10546" s="27"/>
      <c r="F10546" s="27"/>
      <c r="G10546" s="27" t="s">
        <v>11122</v>
      </c>
      <c r="H10546" s="27" t="s">
        <v>35</v>
      </c>
      <c r="I10546" s="27" t="s">
        <v>39</v>
      </c>
      <c r="J10546" s="28" t="s">
        <v>997</v>
      </c>
      <c r="K10546" s="27" t="s">
        <v>39</v>
      </c>
      <c r="L10546" s="27"/>
    </row>
    <row r="10547" customFormat="false" ht="15" hidden="false" customHeight="false" outlineLevel="0" collapsed="false">
      <c r="A10547" s="26" t="s">
        <v>26007</v>
      </c>
      <c r="B10547" s="27" t="s">
        <v>26008</v>
      </c>
      <c r="C10547" s="27" t="s">
        <v>370</v>
      </c>
      <c r="D10547" s="26"/>
      <c r="E10547" s="27"/>
      <c r="F10547" s="27"/>
      <c r="G10547" s="27" t="s">
        <v>11122</v>
      </c>
      <c r="H10547" s="27" t="s">
        <v>35</v>
      </c>
      <c r="I10547" s="27" t="s">
        <v>39</v>
      </c>
      <c r="J10547" s="28" t="s">
        <v>997</v>
      </c>
      <c r="K10547" s="27" t="s">
        <v>39</v>
      </c>
      <c r="L10547" s="27"/>
    </row>
    <row r="10548" customFormat="false" ht="15" hidden="false" customHeight="false" outlineLevel="0" collapsed="false">
      <c r="A10548" s="26" t="s">
        <v>26009</v>
      </c>
      <c r="B10548" s="27" t="s">
        <v>26010</v>
      </c>
      <c r="C10548" s="27" t="s">
        <v>370</v>
      </c>
      <c r="D10548" s="26"/>
      <c r="E10548" s="27"/>
      <c r="F10548" s="27"/>
      <c r="G10548" s="27" t="s">
        <v>11122</v>
      </c>
      <c r="H10548" s="27" t="s">
        <v>35</v>
      </c>
      <c r="I10548" s="27" t="s">
        <v>48</v>
      </c>
      <c r="J10548" s="28" t="s">
        <v>997</v>
      </c>
      <c r="K10548" s="27" t="s">
        <v>39</v>
      </c>
      <c r="L10548" s="27"/>
    </row>
    <row r="10549" customFormat="false" ht="15" hidden="false" customHeight="false" outlineLevel="0" collapsed="false">
      <c r="A10549" s="26" t="s">
        <v>26011</v>
      </c>
      <c r="B10549" s="27" t="s">
        <v>26012</v>
      </c>
      <c r="C10549" s="27" t="s">
        <v>370</v>
      </c>
      <c r="D10549" s="26"/>
      <c r="E10549" s="27"/>
      <c r="F10549" s="27"/>
      <c r="G10549" s="27" t="s">
        <v>11122</v>
      </c>
      <c r="H10549" s="27" t="s">
        <v>35</v>
      </c>
      <c r="I10549" s="27" t="s">
        <v>39</v>
      </c>
      <c r="J10549" s="28" t="s">
        <v>997</v>
      </c>
      <c r="K10549" s="27" t="s">
        <v>39</v>
      </c>
      <c r="L10549" s="27"/>
    </row>
    <row r="10550" customFormat="false" ht="15" hidden="false" customHeight="false" outlineLevel="0" collapsed="false">
      <c r="A10550" s="26" t="s">
        <v>26013</v>
      </c>
      <c r="B10550" s="27" t="s">
        <v>26014</v>
      </c>
      <c r="C10550" s="27" t="s">
        <v>370</v>
      </c>
      <c r="D10550" s="26"/>
      <c r="E10550" s="27"/>
      <c r="F10550" s="27"/>
      <c r="G10550" s="27" t="s">
        <v>11122</v>
      </c>
      <c r="H10550" s="27" t="s">
        <v>35</v>
      </c>
      <c r="I10550" s="27" t="s">
        <v>39</v>
      </c>
      <c r="J10550" s="28" t="s">
        <v>997</v>
      </c>
      <c r="K10550" s="27" t="s">
        <v>39</v>
      </c>
      <c r="L10550" s="27"/>
    </row>
    <row r="10551" customFormat="false" ht="15" hidden="false" customHeight="false" outlineLevel="0" collapsed="false">
      <c r="A10551" s="26" t="s">
        <v>26015</v>
      </c>
      <c r="B10551" s="27" t="s">
        <v>26016</v>
      </c>
      <c r="C10551" s="27" t="s">
        <v>144</v>
      </c>
      <c r="D10551" s="26"/>
      <c r="E10551" s="27"/>
      <c r="F10551" s="27"/>
      <c r="G10551" s="27" t="s">
        <v>11122</v>
      </c>
      <c r="H10551" s="27" t="s">
        <v>35</v>
      </c>
      <c r="I10551" s="27" t="s">
        <v>42</v>
      </c>
      <c r="J10551" s="28" t="s">
        <v>997</v>
      </c>
      <c r="K10551" s="27" t="s">
        <v>39</v>
      </c>
      <c r="L10551" s="27"/>
    </row>
    <row r="10552" customFormat="false" ht="15" hidden="false" customHeight="false" outlineLevel="0" collapsed="false">
      <c r="A10552" s="26" t="s">
        <v>26017</v>
      </c>
      <c r="B10552" s="27" t="s">
        <v>26018</v>
      </c>
      <c r="C10552" s="27" t="s">
        <v>144</v>
      </c>
      <c r="D10552" s="26"/>
      <c r="E10552" s="27"/>
      <c r="F10552" s="27"/>
      <c r="G10552" s="27" t="s">
        <v>11122</v>
      </c>
      <c r="H10552" s="27" t="s">
        <v>35</v>
      </c>
      <c r="I10552" s="27" t="s">
        <v>1296</v>
      </c>
      <c r="J10552" s="28" t="s">
        <v>997</v>
      </c>
      <c r="K10552" s="27" t="s">
        <v>39</v>
      </c>
      <c r="L10552" s="27"/>
    </row>
    <row r="10553" customFormat="false" ht="15" hidden="false" customHeight="false" outlineLevel="0" collapsed="false">
      <c r="A10553" s="26" t="s">
        <v>26019</v>
      </c>
      <c r="B10553" s="27" t="s">
        <v>26020</v>
      </c>
      <c r="C10553" s="27" t="s">
        <v>144</v>
      </c>
      <c r="D10553" s="26"/>
      <c r="E10553" s="27"/>
      <c r="F10553" s="27"/>
      <c r="G10553" s="27" t="s">
        <v>11122</v>
      </c>
      <c r="H10553" s="27" t="s">
        <v>35</v>
      </c>
      <c r="I10553" s="27" t="s">
        <v>39</v>
      </c>
      <c r="J10553" s="28" t="s">
        <v>997</v>
      </c>
      <c r="K10553" s="27" t="s">
        <v>39</v>
      </c>
      <c r="L10553" s="27"/>
    </row>
    <row r="10554" customFormat="false" ht="15" hidden="false" customHeight="false" outlineLevel="0" collapsed="false">
      <c r="A10554" s="26" t="s">
        <v>26021</v>
      </c>
      <c r="B10554" s="27" t="s">
        <v>26022</v>
      </c>
      <c r="C10554" s="27" t="s">
        <v>144</v>
      </c>
      <c r="D10554" s="26"/>
      <c r="E10554" s="27"/>
      <c r="F10554" s="27"/>
      <c r="G10554" s="27" t="s">
        <v>11122</v>
      </c>
      <c r="H10554" s="27" t="s">
        <v>35</v>
      </c>
      <c r="I10554" s="27" t="s">
        <v>38</v>
      </c>
      <c r="J10554" s="28" t="s">
        <v>997</v>
      </c>
      <c r="K10554" s="27" t="s">
        <v>39</v>
      </c>
      <c r="L10554" s="27"/>
    </row>
    <row r="10555" customFormat="false" ht="15" hidden="false" customHeight="false" outlineLevel="0" collapsed="false">
      <c r="A10555" s="26" t="s">
        <v>26023</v>
      </c>
      <c r="B10555" s="27" t="s">
        <v>26024</v>
      </c>
      <c r="C10555" s="27" t="s">
        <v>1612</v>
      </c>
      <c r="D10555" s="26"/>
      <c r="E10555" s="27"/>
      <c r="F10555" s="27"/>
      <c r="G10555" s="27" t="s">
        <v>11122</v>
      </c>
      <c r="H10555" s="27" t="s">
        <v>35</v>
      </c>
      <c r="I10555" s="27" t="s">
        <v>42</v>
      </c>
      <c r="J10555" s="28" t="s">
        <v>997</v>
      </c>
      <c r="K10555" s="27" t="s">
        <v>39</v>
      </c>
      <c r="L10555" s="27"/>
    </row>
    <row r="10556" customFormat="false" ht="15" hidden="false" customHeight="false" outlineLevel="0" collapsed="false">
      <c r="A10556" s="26" t="s">
        <v>26025</v>
      </c>
      <c r="B10556" s="27" t="s">
        <v>26026</v>
      </c>
      <c r="C10556" s="27" t="s">
        <v>144</v>
      </c>
      <c r="D10556" s="26"/>
      <c r="E10556" s="27"/>
      <c r="F10556" s="27"/>
      <c r="G10556" s="27" t="s">
        <v>11122</v>
      </c>
      <c r="H10556" s="27" t="s">
        <v>35</v>
      </c>
      <c r="I10556" s="28" t="s">
        <v>50</v>
      </c>
      <c r="J10556" s="28" t="s">
        <v>997</v>
      </c>
      <c r="K10556" s="27" t="s">
        <v>39</v>
      </c>
      <c r="L10556" s="27"/>
    </row>
    <row r="10557" customFormat="false" ht="15" hidden="false" customHeight="false" outlineLevel="0" collapsed="false">
      <c r="A10557" s="26" t="s">
        <v>26027</v>
      </c>
      <c r="B10557" s="27" t="s">
        <v>26028</v>
      </c>
      <c r="C10557" s="27" t="s">
        <v>1527</v>
      </c>
      <c r="D10557" s="26"/>
      <c r="E10557" s="27"/>
      <c r="F10557" s="27"/>
      <c r="G10557" s="27" t="s">
        <v>11122</v>
      </c>
      <c r="H10557" s="27" t="s">
        <v>35</v>
      </c>
      <c r="I10557" s="27" t="s">
        <v>1296</v>
      </c>
      <c r="J10557" s="28" t="s">
        <v>997</v>
      </c>
      <c r="K10557" s="27" t="s">
        <v>39</v>
      </c>
      <c r="L10557" s="27"/>
    </row>
    <row r="10558" customFormat="false" ht="15" hidden="false" customHeight="false" outlineLevel="0" collapsed="false">
      <c r="A10558" s="26" t="s">
        <v>26029</v>
      </c>
      <c r="B10558" s="27" t="s">
        <v>26030</v>
      </c>
      <c r="C10558" s="27" t="s">
        <v>144</v>
      </c>
      <c r="D10558" s="26"/>
      <c r="E10558" s="27"/>
      <c r="F10558" s="27"/>
      <c r="G10558" s="27" t="s">
        <v>11122</v>
      </c>
      <c r="H10558" s="27" t="s">
        <v>35</v>
      </c>
      <c r="I10558" s="28" t="s">
        <v>50</v>
      </c>
      <c r="J10558" s="28" t="s">
        <v>997</v>
      </c>
      <c r="K10558" s="27" t="s">
        <v>39</v>
      </c>
      <c r="L10558" s="27"/>
    </row>
    <row r="10559" customFormat="false" ht="15" hidden="false" customHeight="false" outlineLevel="0" collapsed="false">
      <c r="A10559" s="26" t="s">
        <v>26031</v>
      </c>
      <c r="B10559" s="27" t="s">
        <v>26032</v>
      </c>
      <c r="C10559" s="27" t="s">
        <v>1612</v>
      </c>
      <c r="D10559" s="26"/>
      <c r="E10559" s="27"/>
      <c r="F10559" s="27"/>
      <c r="G10559" s="27" t="s">
        <v>11122</v>
      </c>
      <c r="H10559" s="27" t="s">
        <v>35</v>
      </c>
      <c r="I10559" s="27" t="s">
        <v>1296</v>
      </c>
      <c r="J10559" s="28" t="s">
        <v>997</v>
      </c>
      <c r="K10559" s="27" t="s">
        <v>39</v>
      </c>
      <c r="L10559" s="27"/>
    </row>
    <row r="10560" customFormat="false" ht="15" hidden="false" customHeight="false" outlineLevel="0" collapsed="false">
      <c r="A10560" s="26" t="s">
        <v>26033</v>
      </c>
      <c r="B10560" s="27" t="s">
        <v>26034</v>
      </c>
      <c r="C10560" s="27" t="s">
        <v>1527</v>
      </c>
      <c r="D10560" s="26"/>
      <c r="E10560" s="27"/>
      <c r="F10560" s="27"/>
      <c r="G10560" s="27" t="s">
        <v>11122</v>
      </c>
      <c r="H10560" s="27" t="s">
        <v>35</v>
      </c>
      <c r="I10560" s="27" t="s">
        <v>1296</v>
      </c>
      <c r="J10560" s="28" t="s">
        <v>997</v>
      </c>
      <c r="K10560" s="27" t="s">
        <v>39</v>
      </c>
      <c r="L10560" s="27"/>
    </row>
    <row r="10561" customFormat="false" ht="15" hidden="false" customHeight="false" outlineLevel="0" collapsed="false">
      <c r="A10561" s="26" t="s">
        <v>26035</v>
      </c>
      <c r="B10561" s="27" t="s">
        <v>26036</v>
      </c>
      <c r="C10561" s="27" t="s">
        <v>1612</v>
      </c>
      <c r="D10561" s="26"/>
      <c r="E10561" s="27"/>
      <c r="F10561" s="27"/>
      <c r="G10561" s="27" t="s">
        <v>11122</v>
      </c>
      <c r="H10561" s="27" t="s">
        <v>35</v>
      </c>
      <c r="I10561" s="27" t="s">
        <v>1067</v>
      </c>
      <c r="J10561" s="28" t="s">
        <v>997</v>
      </c>
      <c r="K10561" s="27" t="s">
        <v>39</v>
      </c>
      <c r="L10561" s="27"/>
    </row>
    <row r="10562" customFormat="false" ht="15" hidden="false" customHeight="false" outlineLevel="0" collapsed="false">
      <c r="A10562" s="26" t="s">
        <v>26037</v>
      </c>
      <c r="B10562" s="27" t="s">
        <v>26038</v>
      </c>
      <c r="C10562" s="27" t="s">
        <v>1612</v>
      </c>
      <c r="D10562" s="26"/>
      <c r="E10562" s="27"/>
      <c r="F10562" s="27"/>
      <c r="G10562" s="27" t="s">
        <v>11122</v>
      </c>
      <c r="H10562" s="27" t="s">
        <v>35</v>
      </c>
      <c r="I10562" s="27" t="s">
        <v>108</v>
      </c>
      <c r="J10562" s="28" t="s">
        <v>997</v>
      </c>
      <c r="K10562" s="27" t="s">
        <v>39</v>
      </c>
      <c r="L10562" s="27"/>
    </row>
    <row r="10563" customFormat="false" ht="15" hidden="false" customHeight="false" outlineLevel="0" collapsed="false">
      <c r="A10563" s="26" t="s">
        <v>26039</v>
      </c>
      <c r="B10563" s="27" t="s">
        <v>26040</v>
      </c>
      <c r="C10563" s="27" t="s">
        <v>144</v>
      </c>
      <c r="D10563" s="26"/>
      <c r="E10563" s="27"/>
      <c r="F10563" s="27"/>
      <c r="G10563" s="27" t="s">
        <v>11122</v>
      </c>
      <c r="H10563" s="27" t="s">
        <v>35</v>
      </c>
      <c r="I10563" s="27" t="s">
        <v>1296</v>
      </c>
      <c r="J10563" s="28" t="s">
        <v>997</v>
      </c>
      <c r="K10563" s="27" t="s">
        <v>39</v>
      </c>
      <c r="L10563" s="27"/>
    </row>
    <row r="10564" customFormat="false" ht="15" hidden="false" customHeight="false" outlineLevel="0" collapsed="false">
      <c r="A10564" s="26" t="s">
        <v>26041</v>
      </c>
      <c r="B10564" s="27" t="s">
        <v>26042</v>
      </c>
      <c r="C10564" s="27" t="s">
        <v>144</v>
      </c>
      <c r="D10564" s="26"/>
      <c r="E10564" s="27"/>
      <c r="F10564" s="27"/>
      <c r="G10564" s="27" t="s">
        <v>11122</v>
      </c>
      <c r="H10564" s="27" t="s">
        <v>35</v>
      </c>
      <c r="I10564" s="27" t="s">
        <v>1296</v>
      </c>
      <c r="J10564" s="28" t="s">
        <v>997</v>
      </c>
      <c r="K10564" s="27" t="s">
        <v>39</v>
      </c>
      <c r="L10564" s="27"/>
    </row>
    <row r="10565" customFormat="false" ht="15" hidden="false" customHeight="false" outlineLevel="0" collapsed="false">
      <c r="A10565" s="26" t="s">
        <v>26043</v>
      </c>
      <c r="B10565" s="27" t="s">
        <v>26044</v>
      </c>
      <c r="C10565" s="27" t="s">
        <v>144</v>
      </c>
      <c r="D10565" s="26"/>
      <c r="E10565" s="27"/>
      <c r="F10565" s="27"/>
      <c r="G10565" s="27" t="s">
        <v>11122</v>
      </c>
      <c r="H10565" s="27" t="s">
        <v>35</v>
      </c>
      <c r="I10565" s="27" t="s">
        <v>1296</v>
      </c>
      <c r="J10565" s="28" t="s">
        <v>997</v>
      </c>
      <c r="K10565" s="27" t="s">
        <v>39</v>
      </c>
      <c r="L10565" s="27"/>
    </row>
    <row r="10566" customFormat="false" ht="15" hidden="false" customHeight="false" outlineLevel="0" collapsed="false">
      <c r="A10566" s="26" t="s">
        <v>26045</v>
      </c>
      <c r="B10566" s="27" t="s">
        <v>26046</v>
      </c>
      <c r="C10566" s="27" t="s">
        <v>144</v>
      </c>
      <c r="D10566" s="26"/>
      <c r="E10566" s="27"/>
      <c r="F10566" s="27"/>
      <c r="G10566" s="27" t="s">
        <v>11122</v>
      </c>
      <c r="H10566" s="27" t="s">
        <v>35</v>
      </c>
      <c r="I10566" s="27" t="s">
        <v>152</v>
      </c>
      <c r="J10566" s="28" t="s">
        <v>997</v>
      </c>
      <c r="K10566" s="27" t="s">
        <v>39</v>
      </c>
      <c r="L10566" s="27"/>
    </row>
    <row r="10567" customFormat="false" ht="15" hidden="false" customHeight="false" outlineLevel="0" collapsed="false">
      <c r="A10567" s="26" t="s">
        <v>26047</v>
      </c>
      <c r="B10567" s="27" t="s">
        <v>26048</v>
      </c>
      <c r="C10567" s="27" t="s">
        <v>144</v>
      </c>
      <c r="D10567" s="26"/>
      <c r="E10567" s="27"/>
      <c r="F10567" s="27"/>
      <c r="G10567" s="27" t="s">
        <v>11122</v>
      </c>
      <c r="H10567" s="27" t="s">
        <v>35</v>
      </c>
      <c r="I10567" s="27" t="s">
        <v>39</v>
      </c>
      <c r="J10567" s="28" t="s">
        <v>997</v>
      </c>
      <c r="K10567" s="27" t="s">
        <v>39</v>
      </c>
      <c r="L10567" s="27"/>
    </row>
    <row r="10568" customFormat="false" ht="15" hidden="false" customHeight="false" outlineLevel="0" collapsed="false">
      <c r="A10568" s="26" t="s">
        <v>26049</v>
      </c>
      <c r="B10568" s="27" t="s">
        <v>26050</v>
      </c>
      <c r="C10568" s="27" t="s">
        <v>144</v>
      </c>
      <c r="D10568" s="26"/>
      <c r="E10568" s="27"/>
      <c r="F10568" s="27"/>
      <c r="G10568" s="27" t="s">
        <v>11122</v>
      </c>
      <c r="H10568" s="27" t="s">
        <v>35</v>
      </c>
      <c r="I10568" s="27" t="s">
        <v>1296</v>
      </c>
      <c r="J10568" s="28" t="s">
        <v>997</v>
      </c>
      <c r="K10568" s="27" t="s">
        <v>39</v>
      </c>
      <c r="L10568" s="27"/>
    </row>
    <row r="10569" customFormat="false" ht="15" hidden="false" customHeight="false" outlineLevel="0" collapsed="false">
      <c r="A10569" s="26" t="s">
        <v>26051</v>
      </c>
      <c r="B10569" s="27" t="s">
        <v>26052</v>
      </c>
      <c r="C10569" s="27" t="s">
        <v>144</v>
      </c>
      <c r="D10569" s="26"/>
      <c r="E10569" s="27"/>
      <c r="F10569" s="27"/>
      <c r="G10569" s="27" t="s">
        <v>11122</v>
      </c>
      <c r="H10569" s="27" t="s">
        <v>35</v>
      </c>
      <c r="I10569" s="27" t="s">
        <v>44</v>
      </c>
      <c r="J10569" s="28" t="s">
        <v>997</v>
      </c>
      <c r="K10569" s="27" t="s">
        <v>39</v>
      </c>
      <c r="L10569" s="27"/>
    </row>
    <row r="10570" customFormat="false" ht="15" hidden="false" customHeight="false" outlineLevel="0" collapsed="false">
      <c r="A10570" s="26" t="s">
        <v>26053</v>
      </c>
      <c r="B10570" s="27" t="s">
        <v>26054</v>
      </c>
      <c r="C10570" s="27" t="s">
        <v>144</v>
      </c>
      <c r="D10570" s="26"/>
      <c r="E10570" s="27"/>
      <c r="F10570" s="27"/>
      <c r="G10570" s="27" t="s">
        <v>11122</v>
      </c>
      <c r="H10570" s="27" t="s">
        <v>35</v>
      </c>
      <c r="I10570" s="27" t="s">
        <v>39</v>
      </c>
      <c r="J10570" s="28" t="s">
        <v>997</v>
      </c>
      <c r="K10570" s="27" t="s">
        <v>39</v>
      </c>
      <c r="L10570" s="27"/>
    </row>
    <row r="10571" customFormat="false" ht="15" hidden="false" customHeight="false" outlineLevel="0" collapsed="false">
      <c r="A10571" s="26" t="s">
        <v>26055</v>
      </c>
      <c r="B10571" s="27" t="s">
        <v>26056</v>
      </c>
      <c r="C10571" s="27" t="s">
        <v>144</v>
      </c>
      <c r="D10571" s="26"/>
      <c r="E10571" s="27"/>
      <c r="F10571" s="27"/>
      <c r="G10571" s="27" t="s">
        <v>11122</v>
      </c>
      <c r="H10571" s="27" t="s">
        <v>35</v>
      </c>
      <c r="I10571" s="27" t="s">
        <v>39</v>
      </c>
      <c r="J10571" s="28" t="s">
        <v>997</v>
      </c>
      <c r="K10571" s="27" t="s">
        <v>39</v>
      </c>
      <c r="L10571" s="27"/>
    </row>
    <row r="10572" customFormat="false" ht="15" hidden="false" customHeight="false" outlineLevel="0" collapsed="false">
      <c r="A10572" s="26" t="s">
        <v>26057</v>
      </c>
      <c r="B10572" s="27" t="s">
        <v>26058</v>
      </c>
      <c r="C10572" s="27" t="s">
        <v>144</v>
      </c>
      <c r="D10572" s="26"/>
      <c r="E10572" s="27"/>
      <c r="F10572" s="27"/>
      <c r="G10572" s="27" t="s">
        <v>11122</v>
      </c>
      <c r="H10572" s="27" t="s">
        <v>35</v>
      </c>
      <c r="I10572" s="27" t="s">
        <v>39</v>
      </c>
      <c r="J10572" s="28" t="s">
        <v>997</v>
      </c>
      <c r="K10572" s="27" t="s">
        <v>39</v>
      </c>
      <c r="L10572" s="27"/>
    </row>
    <row r="10573" customFormat="false" ht="15" hidden="false" customHeight="false" outlineLevel="0" collapsed="false">
      <c r="A10573" s="26" t="s">
        <v>26059</v>
      </c>
      <c r="B10573" s="27" t="s">
        <v>26060</v>
      </c>
      <c r="C10573" s="27" t="s">
        <v>144</v>
      </c>
      <c r="D10573" s="26"/>
      <c r="E10573" s="27"/>
      <c r="F10573" s="27"/>
      <c r="G10573" s="27" t="s">
        <v>11122</v>
      </c>
      <c r="H10573" s="27" t="s">
        <v>35</v>
      </c>
      <c r="I10573" s="27" t="s">
        <v>39</v>
      </c>
      <c r="J10573" s="28" t="s">
        <v>997</v>
      </c>
      <c r="K10573" s="27" t="s">
        <v>39</v>
      </c>
      <c r="L10573" s="27"/>
    </row>
    <row r="10574" customFormat="false" ht="15" hidden="false" customHeight="false" outlineLevel="0" collapsed="false">
      <c r="A10574" s="26" t="s">
        <v>26061</v>
      </c>
      <c r="B10574" s="27" t="s">
        <v>26062</v>
      </c>
      <c r="C10574" s="27" t="s">
        <v>144</v>
      </c>
      <c r="D10574" s="26"/>
      <c r="E10574" s="27"/>
      <c r="F10574" s="27"/>
      <c r="G10574" s="27" t="s">
        <v>11122</v>
      </c>
      <c r="H10574" s="27" t="s">
        <v>35</v>
      </c>
      <c r="I10574" s="27" t="s">
        <v>39</v>
      </c>
      <c r="J10574" s="28" t="s">
        <v>997</v>
      </c>
      <c r="K10574" s="27" t="s">
        <v>39</v>
      </c>
      <c r="L10574" s="27"/>
    </row>
    <row r="10575" customFormat="false" ht="15" hidden="false" customHeight="false" outlineLevel="0" collapsed="false">
      <c r="A10575" s="26" t="s">
        <v>26063</v>
      </c>
      <c r="B10575" s="27" t="s">
        <v>26064</v>
      </c>
      <c r="C10575" s="27" t="s">
        <v>144</v>
      </c>
      <c r="D10575" s="26"/>
      <c r="E10575" s="27"/>
      <c r="F10575" s="27"/>
      <c r="G10575" s="27" t="s">
        <v>11122</v>
      </c>
      <c r="H10575" s="27" t="s">
        <v>35</v>
      </c>
      <c r="I10575" s="27" t="s">
        <v>39</v>
      </c>
      <c r="J10575" s="28" t="s">
        <v>997</v>
      </c>
      <c r="K10575" s="27" t="s">
        <v>39</v>
      </c>
      <c r="L10575" s="27"/>
    </row>
    <row r="10576" customFormat="false" ht="15" hidden="false" customHeight="false" outlineLevel="0" collapsed="false">
      <c r="A10576" s="26" t="s">
        <v>26065</v>
      </c>
      <c r="B10576" s="27" t="s">
        <v>26066</v>
      </c>
      <c r="C10576" s="27" t="s">
        <v>144</v>
      </c>
      <c r="D10576" s="26"/>
      <c r="E10576" s="27"/>
      <c r="F10576" s="27"/>
      <c r="G10576" s="27" t="s">
        <v>11122</v>
      </c>
      <c r="H10576" s="27" t="s">
        <v>35</v>
      </c>
      <c r="I10576" s="28" t="s">
        <v>50</v>
      </c>
      <c r="J10576" s="28" t="s">
        <v>997</v>
      </c>
      <c r="K10576" s="27" t="s">
        <v>39</v>
      </c>
      <c r="L10576" s="27"/>
    </row>
    <row r="10577" customFormat="false" ht="15" hidden="false" customHeight="false" outlineLevel="0" collapsed="false">
      <c r="A10577" s="26" t="s">
        <v>26067</v>
      </c>
      <c r="B10577" s="27" t="s">
        <v>26068</v>
      </c>
      <c r="C10577" s="27" t="s">
        <v>144</v>
      </c>
      <c r="D10577" s="26"/>
      <c r="E10577" s="27"/>
      <c r="F10577" s="27"/>
      <c r="G10577" s="27" t="s">
        <v>11122</v>
      </c>
      <c r="H10577" s="27" t="s">
        <v>35</v>
      </c>
      <c r="I10577" s="27" t="s">
        <v>42</v>
      </c>
      <c r="J10577" s="28" t="s">
        <v>997</v>
      </c>
      <c r="K10577" s="27" t="s">
        <v>39</v>
      </c>
      <c r="L10577" s="27"/>
    </row>
    <row r="10578" customFormat="false" ht="15" hidden="false" customHeight="false" outlineLevel="0" collapsed="false">
      <c r="A10578" s="26" t="s">
        <v>26069</v>
      </c>
      <c r="B10578" s="27" t="s">
        <v>26070</v>
      </c>
      <c r="C10578" s="27" t="s">
        <v>1087</v>
      </c>
      <c r="D10578" s="26"/>
      <c r="E10578" s="27"/>
      <c r="F10578" s="27"/>
      <c r="G10578" s="27" t="s">
        <v>11122</v>
      </c>
      <c r="H10578" s="27" t="s">
        <v>35</v>
      </c>
      <c r="I10578" s="27" t="s">
        <v>44</v>
      </c>
      <c r="J10578" s="28" t="s">
        <v>997</v>
      </c>
      <c r="K10578" s="27" t="s">
        <v>39</v>
      </c>
      <c r="L10578" s="27"/>
    </row>
    <row r="10579" customFormat="false" ht="15" hidden="false" customHeight="false" outlineLevel="0" collapsed="false">
      <c r="A10579" s="26" t="s">
        <v>26071</v>
      </c>
      <c r="B10579" s="27" t="s">
        <v>26072</v>
      </c>
      <c r="C10579" s="27" t="s">
        <v>144</v>
      </c>
      <c r="D10579" s="26"/>
      <c r="E10579" s="27"/>
      <c r="F10579" s="27"/>
      <c r="G10579" s="27" t="s">
        <v>11122</v>
      </c>
      <c r="H10579" s="27" t="s">
        <v>35</v>
      </c>
      <c r="I10579" s="27" t="s">
        <v>43</v>
      </c>
      <c r="J10579" s="28" t="s">
        <v>1047</v>
      </c>
      <c r="K10579" s="27" t="s">
        <v>45</v>
      </c>
      <c r="L10579" s="27"/>
    </row>
    <row r="10580" customFormat="false" ht="15" hidden="false" customHeight="false" outlineLevel="0" collapsed="false">
      <c r="A10580" s="26" t="s">
        <v>26073</v>
      </c>
      <c r="B10580" s="27" t="s">
        <v>26074</v>
      </c>
      <c r="C10580" s="27" t="s">
        <v>144</v>
      </c>
      <c r="D10580" s="26"/>
      <c r="E10580" s="27"/>
      <c r="F10580" s="27"/>
      <c r="G10580" s="27" t="s">
        <v>11122</v>
      </c>
      <c r="H10580" s="27" t="s">
        <v>35</v>
      </c>
      <c r="I10580" s="27" t="s">
        <v>45</v>
      </c>
      <c r="J10580" s="28" t="s">
        <v>1047</v>
      </c>
      <c r="K10580" s="27" t="s">
        <v>45</v>
      </c>
      <c r="L10580" s="27"/>
    </row>
    <row r="10581" customFormat="false" ht="15" hidden="false" customHeight="false" outlineLevel="0" collapsed="false">
      <c r="A10581" s="26" t="s">
        <v>26075</v>
      </c>
      <c r="B10581" s="27" t="s">
        <v>26076</v>
      </c>
      <c r="C10581" s="27" t="s">
        <v>144</v>
      </c>
      <c r="D10581" s="26"/>
      <c r="E10581" s="27"/>
      <c r="F10581" s="27"/>
      <c r="G10581" s="27" t="s">
        <v>11122</v>
      </c>
      <c r="H10581" s="27" t="s">
        <v>35</v>
      </c>
      <c r="I10581" s="27" t="s">
        <v>39</v>
      </c>
      <c r="J10581" s="28" t="s">
        <v>1047</v>
      </c>
      <c r="K10581" s="27" t="s">
        <v>45</v>
      </c>
      <c r="L10581" s="27"/>
    </row>
    <row r="10582" customFormat="false" ht="15" hidden="false" customHeight="false" outlineLevel="0" collapsed="false">
      <c r="A10582" s="26" t="s">
        <v>26077</v>
      </c>
      <c r="B10582" s="27" t="s">
        <v>26078</v>
      </c>
      <c r="C10582" s="27" t="s">
        <v>2094</v>
      </c>
      <c r="D10582" s="26"/>
      <c r="E10582" s="27"/>
      <c r="F10582" s="27"/>
      <c r="G10582" s="27" t="s">
        <v>11122</v>
      </c>
      <c r="H10582" s="27" t="s">
        <v>35</v>
      </c>
      <c r="I10582" s="27" t="s">
        <v>43</v>
      </c>
      <c r="J10582" s="28" t="s">
        <v>1047</v>
      </c>
      <c r="K10582" s="27" t="s">
        <v>45</v>
      </c>
      <c r="L10582" s="27"/>
    </row>
    <row r="10583" customFormat="false" ht="15" hidden="false" customHeight="false" outlineLevel="0" collapsed="false">
      <c r="A10583" s="26" t="s">
        <v>26079</v>
      </c>
      <c r="B10583" s="27" t="s">
        <v>26080</v>
      </c>
      <c r="C10583" s="27" t="s">
        <v>144</v>
      </c>
      <c r="D10583" s="26"/>
      <c r="E10583" s="27"/>
      <c r="F10583" s="27"/>
      <c r="G10583" s="27" t="s">
        <v>11122</v>
      </c>
      <c r="H10583" s="27" t="s">
        <v>35</v>
      </c>
      <c r="I10583" s="27" t="s">
        <v>43</v>
      </c>
      <c r="J10583" s="28" t="s">
        <v>1047</v>
      </c>
      <c r="K10583" s="27" t="s">
        <v>45</v>
      </c>
      <c r="L10583" s="27"/>
    </row>
    <row r="10584" customFormat="false" ht="15" hidden="false" customHeight="false" outlineLevel="0" collapsed="false">
      <c r="A10584" s="26" t="s">
        <v>26081</v>
      </c>
      <c r="B10584" s="27" t="s">
        <v>26082</v>
      </c>
      <c r="C10584" s="27" t="s">
        <v>1845</v>
      </c>
      <c r="D10584" s="26"/>
      <c r="E10584" s="27"/>
      <c r="F10584" s="27"/>
      <c r="G10584" s="27" t="s">
        <v>11122</v>
      </c>
      <c r="H10584" s="27" t="s">
        <v>35</v>
      </c>
      <c r="I10584" s="27" t="s">
        <v>45</v>
      </c>
      <c r="J10584" s="28" t="s">
        <v>1047</v>
      </c>
      <c r="K10584" s="27" t="s">
        <v>45</v>
      </c>
      <c r="L10584" s="27"/>
    </row>
    <row r="10585" customFormat="false" ht="15" hidden="false" customHeight="false" outlineLevel="0" collapsed="false">
      <c r="A10585" s="26" t="s">
        <v>26083</v>
      </c>
      <c r="B10585" s="27" t="s">
        <v>26084</v>
      </c>
      <c r="C10585" s="27" t="s">
        <v>2094</v>
      </c>
      <c r="D10585" s="26"/>
      <c r="E10585" s="27"/>
      <c r="F10585" s="27"/>
      <c r="G10585" s="27" t="s">
        <v>11122</v>
      </c>
      <c r="H10585" s="27" t="s">
        <v>35</v>
      </c>
      <c r="I10585" s="27" t="s">
        <v>45</v>
      </c>
      <c r="J10585" s="28" t="s">
        <v>1047</v>
      </c>
      <c r="K10585" s="27" t="s">
        <v>45</v>
      </c>
      <c r="L10585" s="27"/>
    </row>
    <row r="10586" customFormat="false" ht="15" hidden="false" customHeight="false" outlineLevel="0" collapsed="false">
      <c r="A10586" s="26" t="s">
        <v>26085</v>
      </c>
      <c r="B10586" s="27" t="s">
        <v>26086</v>
      </c>
      <c r="C10586" s="27" t="s">
        <v>144</v>
      </c>
      <c r="D10586" s="26"/>
      <c r="E10586" s="27"/>
      <c r="F10586" s="27"/>
      <c r="G10586" s="27" t="s">
        <v>11122</v>
      </c>
      <c r="H10586" s="27" t="s">
        <v>35</v>
      </c>
      <c r="I10586" s="27" t="s">
        <v>44</v>
      </c>
      <c r="J10586" s="28" t="s">
        <v>1047</v>
      </c>
      <c r="K10586" s="27" t="s">
        <v>45</v>
      </c>
      <c r="L10586" s="27"/>
    </row>
    <row r="10587" customFormat="false" ht="15" hidden="false" customHeight="false" outlineLevel="0" collapsed="false">
      <c r="A10587" s="26" t="s">
        <v>26087</v>
      </c>
      <c r="B10587" s="27" t="s">
        <v>26088</v>
      </c>
      <c r="C10587" s="27" t="s">
        <v>380</v>
      </c>
      <c r="D10587" s="26"/>
      <c r="E10587" s="27"/>
      <c r="F10587" s="27"/>
      <c r="G10587" s="27" t="s">
        <v>11122</v>
      </c>
      <c r="H10587" s="27" t="s">
        <v>35</v>
      </c>
      <c r="I10587" s="27" t="s">
        <v>44</v>
      </c>
      <c r="J10587" s="28" t="s">
        <v>1047</v>
      </c>
      <c r="K10587" s="27" t="s">
        <v>45</v>
      </c>
      <c r="L10587" s="27"/>
    </row>
    <row r="10588" customFormat="false" ht="15" hidden="false" customHeight="false" outlineLevel="0" collapsed="false">
      <c r="A10588" s="26" t="s">
        <v>26089</v>
      </c>
      <c r="B10588" s="27" t="s">
        <v>26090</v>
      </c>
      <c r="C10588" s="27" t="s">
        <v>380</v>
      </c>
      <c r="D10588" s="26"/>
      <c r="E10588" s="27"/>
      <c r="F10588" s="27"/>
      <c r="G10588" s="27" t="s">
        <v>11122</v>
      </c>
      <c r="H10588" s="27" t="s">
        <v>35</v>
      </c>
      <c r="I10588" s="27" t="s">
        <v>44</v>
      </c>
      <c r="J10588" s="28" t="s">
        <v>1047</v>
      </c>
      <c r="K10588" s="27" t="s">
        <v>45</v>
      </c>
      <c r="L10588" s="27"/>
    </row>
    <row r="10589" customFormat="false" ht="15" hidden="false" customHeight="false" outlineLevel="0" collapsed="false">
      <c r="A10589" s="26" t="s">
        <v>26091</v>
      </c>
      <c r="B10589" s="27" t="s">
        <v>26092</v>
      </c>
      <c r="C10589" s="27" t="s">
        <v>380</v>
      </c>
      <c r="D10589" s="26"/>
      <c r="E10589" s="27"/>
      <c r="F10589" s="27"/>
      <c r="G10589" s="27" t="s">
        <v>11122</v>
      </c>
      <c r="H10589" s="27" t="s">
        <v>35</v>
      </c>
      <c r="I10589" s="27" t="s">
        <v>44</v>
      </c>
      <c r="J10589" s="28" t="s">
        <v>1047</v>
      </c>
      <c r="K10589" s="27" t="s">
        <v>45</v>
      </c>
      <c r="L10589" s="27"/>
    </row>
    <row r="10590" customFormat="false" ht="15" hidden="false" customHeight="false" outlineLevel="0" collapsed="false">
      <c r="A10590" s="26" t="s">
        <v>26093</v>
      </c>
      <c r="B10590" s="27" t="s">
        <v>26094</v>
      </c>
      <c r="C10590" s="27" t="s">
        <v>380</v>
      </c>
      <c r="D10590" s="26"/>
      <c r="E10590" s="27"/>
      <c r="F10590" s="27"/>
      <c r="G10590" s="27" t="s">
        <v>11122</v>
      </c>
      <c r="H10590" s="27" t="s">
        <v>35</v>
      </c>
      <c r="I10590" s="27" t="s">
        <v>44</v>
      </c>
      <c r="J10590" s="28" t="s">
        <v>1047</v>
      </c>
      <c r="K10590" s="27" t="s">
        <v>45</v>
      </c>
      <c r="L10590" s="27"/>
    </row>
    <row r="10591" customFormat="false" ht="15" hidden="false" customHeight="false" outlineLevel="0" collapsed="false">
      <c r="A10591" s="26" t="s">
        <v>26095</v>
      </c>
      <c r="B10591" s="27" t="s">
        <v>26096</v>
      </c>
      <c r="C10591" s="27" t="s">
        <v>380</v>
      </c>
      <c r="D10591" s="26"/>
      <c r="E10591" s="27"/>
      <c r="F10591" s="27"/>
      <c r="G10591" s="27" t="s">
        <v>11122</v>
      </c>
      <c r="H10591" s="27" t="s">
        <v>35</v>
      </c>
      <c r="I10591" s="27" t="s">
        <v>44</v>
      </c>
      <c r="J10591" s="28" t="s">
        <v>1047</v>
      </c>
      <c r="K10591" s="27" t="s">
        <v>45</v>
      </c>
      <c r="L10591" s="27"/>
    </row>
    <row r="10592" customFormat="false" ht="15" hidden="false" customHeight="false" outlineLevel="0" collapsed="false">
      <c r="A10592" s="26" t="s">
        <v>26097</v>
      </c>
      <c r="B10592" s="27" t="s">
        <v>26098</v>
      </c>
      <c r="C10592" s="27" t="s">
        <v>380</v>
      </c>
      <c r="D10592" s="26"/>
      <c r="E10592" s="27"/>
      <c r="F10592" s="27"/>
      <c r="G10592" s="27" t="s">
        <v>11122</v>
      </c>
      <c r="H10592" s="27" t="s">
        <v>35</v>
      </c>
      <c r="I10592" s="27" t="s">
        <v>44</v>
      </c>
      <c r="J10592" s="28" t="s">
        <v>1047</v>
      </c>
      <c r="K10592" s="27" t="s">
        <v>45</v>
      </c>
      <c r="L10592" s="27"/>
    </row>
    <row r="10593" customFormat="false" ht="15" hidden="false" customHeight="false" outlineLevel="0" collapsed="false">
      <c r="A10593" s="26" t="s">
        <v>26099</v>
      </c>
      <c r="B10593" s="27" t="s">
        <v>26100</v>
      </c>
      <c r="C10593" s="27" t="s">
        <v>380</v>
      </c>
      <c r="D10593" s="26"/>
      <c r="E10593" s="27"/>
      <c r="F10593" s="27"/>
      <c r="G10593" s="27" t="s">
        <v>11122</v>
      </c>
      <c r="H10593" s="27" t="s">
        <v>35</v>
      </c>
      <c r="I10593" s="27" t="s">
        <v>45</v>
      </c>
      <c r="J10593" s="28" t="s">
        <v>1047</v>
      </c>
      <c r="K10593" s="27" t="s">
        <v>45</v>
      </c>
      <c r="L10593" s="27"/>
    </row>
    <row r="10594" customFormat="false" ht="15" hidden="false" customHeight="false" outlineLevel="0" collapsed="false">
      <c r="A10594" s="26" t="s">
        <v>26101</v>
      </c>
      <c r="B10594" s="27" t="s">
        <v>26102</v>
      </c>
      <c r="C10594" s="27" t="s">
        <v>380</v>
      </c>
      <c r="D10594" s="26"/>
      <c r="E10594" s="27"/>
      <c r="F10594" s="27"/>
      <c r="G10594" s="27" t="s">
        <v>11122</v>
      </c>
      <c r="H10594" s="27" t="s">
        <v>35</v>
      </c>
      <c r="I10594" s="27" t="s">
        <v>45</v>
      </c>
      <c r="J10594" s="28" t="s">
        <v>1047</v>
      </c>
      <c r="K10594" s="27" t="s">
        <v>45</v>
      </c>
      <c r="L10594" s="27"/>
    </row>
    <row r="10595" customFormat="false" ht="15" hidden="false" customHeight="false" outlineLevel="0" collapsed="false">
      <c r="A10595" s="26" t="s">
        <v>26103</v>
      </c>
      <c r="B10595" s="27" t="s">
        <v>26104</v>
      </c>
      <c r="C10595" s="27" t="s">
        <v>380</v>
      </c>
      <c r="D10595" s="26"/>
      <c r="E10595" s="27"/>
      <c r="F10595" s="27"/>
      <c r="G10595" s="27" t="s">
        <v>11122</v>
      </c>
      <c r="H10595" s="27" t="s">
        <v>35</v>
      </c>
      <c r="I10595" s="27" t="s">
        <v>45</v>
      </c>
      <c r="J10595" s="28" t="s">
        <v>1047</v>
      </c>
      <c r="K10595" s="27" t="s">
        <v>45</v>
      </c>
      <c r="L10595" s="27"/>
    </row>
    <row r="10596" customFormat="false" ht="15" hidden="false" customHeight="false" outlineLevel="0" collapsed="false">
      <c r="A10596" s="26" t="s">
        <v>26105</v>
      </c>
      <c r="B10596" s="27" t="s">
        <v>26106</v>
      </c>
      <c r="C10596" s="27" t="s">
        <v>380</v>
      </c>
      <c r="D10596" s="26"/>
      <c r="E10596" s="27"/>
      <c r="F10596" s="27"/>
      <c r="G10596" s="27" t="s">
        <v>11122</v>
      </c>
      <c r="H10596" s="27" t="s">
        <v>35</v>
      </c>
      <c r="I10596" s="27" t="s">
        <v>45</v>
      </c>
      <c r="J10596" s="28" t="s">
        <v>1047</v>
      </c>
      <c r="K10596" s="27" t="s">
        <v>45</v>
      </c>
      <c r="L10596" s="27"/>
    </row>
    <row r="10597" customFormat="false" ht="15" hidden="false" customHeight="false" outlineLevel="0" collapsed="false">
      <c r="A10597" s="26" t="s">
        <v>26107</v>
      </c>
      <c r="B10597" s="27" t="s">
        <v>26108</v>
      </c>
      <c r="C10597" s="27" t="s">
        <v>380</v>
      </c>
      <c r="D10597" s="26"/>
      <c r="E10597" s="27"/>
      <c r="F10597" s="27"/>
      <c r="G10597" s="27" t="s">
        <v>11122</v>
      </c>
      <c r="H10597" s="27" t="s">
        <v>35</v>
      </c>
      <c r="I10597" s="27" t="s">
        <v>45</v>
      </c>
      <c r="J10597" s="28" t="s">
        <v>1047</v>
      </c>
      <c r="K10597" s="27" t="s">
        <v>45</v>
      </c>
      <c r="L10597" s="27"/>
    </row>
    <row r="10598" customFormat="false" ht="15" hidden="false" customHeight="false" outlineLevel="0" collapsed="false">
      <c r="A10598" s="26" t="s">
        <v>26109</v>
      </c>
      <c r="B10598" s="27" t="s">
        <v>26110</v>
      </c>
      <c r="C10598" s="27" t="s">
        <v>380</v>
      </c>
      <c r="D10598" s="26"/>
      <c r="E10598" s="27"/>
      <c r="F10598" s="27"/>
      <c r="G10598" s="27" t="s">
        <v>11122</v>
      </c>
      <c r="H10598" s="27" t="s">
        <v>35</v>
      </c>
      <c r="I10598" s="27" t="s">
        <v>45</v>
      </c>
      <c r="J10598" s="28" t="s">
        <v>1047</v>
      </c>
      <c r="K10598" s="27" t="s">
        <v>45</v>
      </c>
      <c r="L10598" s="27"/>
    </row>
    <row r="10599" customFormat="false" ht="15" hidden="false" customHeight="false" outlineLevel="0" collapsed="false">
      <c r="A10599" s="26" t="s">
        <v>26111</v>
      </c>
      <c r="B10599" s="27" t="s">
        <v>26112</v>
      </c>
      <c r="C10599" s="27" t="s">
        <v>144</v>
      </c>
      <c r="D10599" s="26"/>
      <c r="E10599" s="27"/>
      <c r="F10599" s="27"/>
      <c r="G10599" s="27" t="s">
        <v>11122</v>
      </c>
      <c r="H10599" s="27" t="s">
        <v>35</v>
      </c>
      <c r="I10599" s="27" t="s">
        <v>44</v>
      </c>
      <c r="J10599" s="28" t="s">
        <v>1047</v>
      </c>
      <c r="K10599" s="27" t="s">
        <v>45</v>
      </c>
      <c r="L10599" s="27"/>
    </row>
    <row r="10600" customFormat="false" ht="15" hidden="false" customHeight="false" outlineLevel="0" collapsed="false">
      <c r="A10600" s="26" t="s">
        <v>26113</v>
      </c>
      <c r="B10600" s="27" t="s">
        <v>26114</v>
      </c>
      <c r="C10600" s="27" t="s">
        <v>2094</v>
      </c>
      <c r="D10600" s="26"/>
      <c r="E10600" s="27"/>
      <c r="F10600" s="27"/>
      <c r="G10600" s="27" t="s">
        <v>11122</v>
      </c>
      <c r="H10600" s="27" t="s">
        <v>35</v>
      </c>
      <c r="I10600" s="27" t="s">
        <v>45</v>
      </c>
      <c r="J10600" s="28" t="s">
        <v>1047</v>
      </c>
      <c r="K10600" s="27" t="s">
        <v>45</v>
      </c>
      <c r="L10600" s="27"/>
    </row>
    <row r="10601" customFormat="false" ht="15" hidden="false" customHeight="false" outlineLevel="0" collapsed="false">
      <c r="A10601" s="26" t="s">
        <v>26115</v>
      </c>
      <c r="B10601" s="27" t="s">
        <v>26116</v>
      </c>
      <c r="C10601" s="27" t="s">
        <v>1087</v>
      </c>
      <c r="D10601" s="26"/>
      <c r="E10601" s="27"/>
      <c r="F10601" s="27"/>
      <c r="G10601" s="27" t="s">
        <v>11122</v>
      </c>
      <c r="H10601" s="27" t="s">
        <v>35</v>
      </c>
      <c r="I10601" s="27" t="s">
        <v>45</v>
      </c>
      <c r="J10601" s="28" t="s">
        <v>1047</v>
      </c>
      <c r="K10601" s="27" t="s">
        <v>45</v>
      </c>
      <c r="L10601" s="27"/>
    </row>
    <row r="10602" customFormat="false" ht="15" hidden="false" customHeight="false" outlineLevel="0" collapsed="false">
      <c r="A10602" s="26" t="s">
        <v>26117</v>
      </c>
      <c r="B10602" s="27" t="s">
        <v>26118</v>
      </c>
      <c r="C10602" s="27" t="s">
        <v>380</v>
      </c>
      <c r="D10602" s="26"/>
      <c r="E10602" s="27"/>
      <c r="F10602" s="27"/>
      <c r="G10602" s="27" t="s">
        <v>11122</v>
      </c>
      <c r="H10602" s="27" t="s">
        <v>35</v>
      </c>
      <c r="I10602" s="27" t="s">
        <v>44</v>
      </c>
      <c r="J10602" s="28" t="s">
        <v>1047</v>
      </c>
      <c r="K10602" s="27" t="s">
        <v>45</v>
      </c>
      <c r="L10602" s="27"/>
    </row>
    <row r="10603" customFormat="false" ht="15" hidden="false" customHeight="false" outlineLevel="0" collapsed="false">
      <c r="A10603" s="26" t="s">
        <v>26119</v>
      </c>
      <c r="B10603" s="27" t="s">
        <v>26120</v>
      </c>
      <c r="C10603" s="27" t="s">
        <v>380</v>
      </c>
      <c r="D10603" s="26"/>
      <c r="E10603" s="27"/>
      <c r="F10603" s="27"/>
      <c r="G10603" s="27" t="s">
        <v>11122</v>
      </c>
      <c r="H10603" s="27" t="s">
        <v>35</v>
      </c>
      <c r="I10603" s="27" t="s">
        <v>37</v>
      </c>
      <c r="J10603" s="28" t="s">
        <v>1047</v>
      </c>
      <c r="K10603" s="27" t="s">
        <v>45</v>
      </c>
      <c r="L10603" s="27"/>
    </row>
    <row r="10604" customFormat="false" ht="15" hidden="false" customHeight="false" outlineLevel="0" collapsed="false">
      <c r="A10604" s="26" t="s">
        <v>26121</v>
      </c>
      <c r="B10604" s="27" t="s">
        <v>26122</v>
      </c>
      <c r="C10604" s="27" t="s">
        <v>380</v>
      </c>
      <c r="D10604" s="26"/>
      <c r="E10604" s="27"/>
      <c r="F10604" s="27"/>
      <c r="G10604" s="27" t="s">
        <v>11122</v>
      </c>
      <c r="H10604" s="27" t="s">
        <v>35</v>
      </c>
      <c r="I10604" s="27" t="s">
        <v>44</v>
      </c>
      <c r="J10604" s="28" t="s">
        <v>1047</v>
      </c>
      <c r="K10604" s="27" t="s">
        <v>45</v>
      </c>
      <c r="L10604" s="27"/>
    </row>
    <row r="10605" customFormat="false" ht="15" hidden="false" customHeight="false" outlineLevel="0" collapsed="false">
      <c r="A10605" s="26" t="s">
        <v>26123</v>
      </c>
      <c r="B10605" s="27" t="s">
        <v>26124</v>
      </c>
      <c r="C10605" s="27" t="s">
        <v>380</v>
      </c>
      <c r="D10605" s="26"/>
      <c r="E10605" s="27"/>
      <c r="F10605" s="27"/>
      <c r="G10605" s="27" t="s">
        <v>11122</v>
      </c>
      <c r="H10605" s="27" t="s">
        <v>35</v>
      </c>
      <c r="I10605" s="27" t="s">
        <v>44</v>
      </c>
      <c r="J10605" s="28" t="s">
        <v>1047</v>
      </c>
      <c r="K10605" s="27" t="s">
        <v>45</v>
      </c>
      <c r="L10605" s="27"/>
    </row>
    <row r="10606" customFormat="false" ht="15" hidden="false" customHeight="false" outlineLevel="0" collapsed="false">
      <c r="A10606" s="26" t="s">
        <v>26125</v>
      </c>
      <c r="B10606" s="27" t="s">
        <v>26126</v>
      </c>
      <c r="C10606" s="27" t="s">
        <v>137</v>
      </c>
      <c r="D10606" s="26"/>
      <c r="E10606" s="27"/>
      <c r="F10606" s="27"/>
      <c r="G10606" s="27" t="s">
        <v>11122</v>
      </c>
      <c r="H10606" s="27" t="s">
        <v>35</v>
      </c>
      <c r="I10606" s="27" t="s">
        <v>44</v>
      </c>
      <c r="J10606" s="28" t="s">
        <v>1047</v>
      </c>
      <c r="K10606" s="27" t="s">
        <v>45</v>
      </c>
      <c r="L10606" s="27"/>
    </row>
    <row r="10607" customFormat="false" ht="15" hidden="false" customHeight="false" outlineLevel="0" collapsed="false">
      <c r="A10607" s="26" t="s">
        <v>26127</v>
      </c>
      <c r="B10607" s="27" t="s">
        <v>26128</v>
      </c>
      <c r="C10607" s="27" t="s">
        <v>137</v>
      </c>
      <c r="D10607" s="26"/>
      <c r="E10607" s="27"/>
      <c r="F10607" s="27"/>
      <c r="G10607" s="27" t="s">
        <v>11122</v>
      </c>
      <c r="H10607" s="27" t="s">
        <v>35</v>
      </c>
      <c r="I10607" s="27" t="s">
        <v>45</v>
      </c>
      <c r="J10607" s="28" t="s">
        <v>1047</v>
      </c>
      <c r="K10607" s="27" t="s">
        <v>45</v>
      </c>
      <c r="L10607" s="27"/>
    </row>
    <row r="10608" customFormat="false" ht="15" hidden="false" customHeight="false" outlineLevel="0" collapsed="false">
      <c r="A10608" s="26" t="s">
        <v>26129</v>
      </c>
      <c r="B10608" s="27" t="s">
        <v>26130</v>
      </c>
      <c r="C10608" s="27" t="s">
        <v>137</v>
      </c>
      <c r="D10608" s="26"/>
      <c r="E10608" s="27"/>
      <c r="F10608" s="27"/>
      <c r="G10608" s="27" t="s">
        <v>11122</v>
      </c>
      <c r="H10608" s="27" t="s">
        <v>35</v>
      </c>
      <c r="I10608" s="27" t="s">
        <v>44</v>
      </c>
      <c r="J10608" s="28" t="s">
        <v>1047</v>
      </c>
      <c r="K10608" s="27" t="s">
        <v>45</v>
      </c>
      <c r="L10608" s="27"/>
    </row>
    <row r="10609" customFormat="false" ht="15" hidden="false" customHeight="false" outlineLevel="0" collapsed="false">
      <c r="A10609" s="26" t="s">
        <v>26131</v>
      </c>
      <c r="B10609" s="27" t="s">
        <v>26132</v>
      </c>
      <c r="C10609" s="27" t="s">
        <v>137</v>
      </c>
      <c r="D10609" s="26"/>
      <c r="E10609" s="27"/>
      <c r="F10609" s="27"/>
      <c r="G10609" s="27" t="s">
        <v>11122</v>
      </c>
      <c r="H10609" s="27" t="s">
        <v>35</v>
      </c>
      <c r="I10609" s="27" t="s">
        <v>44</v>
      </c>
      <c r="J10609" s="28" t="s">
        <v>1047</v>
      </c>
      <c r="K10609" s="27" t="s">
        <v>45</v>
      </c>
      <c r="L10609" s="27"/>
    </row>
    <row r="10610" customFormat="false" ht="15" hidden="false" customHeight="false" outlineLevel="0" collapsed="false">
      <c r="A10610" s="26" t="s">
        <v>26133</v>
      </c>
      <c r="B10610" s="27" t="s">
        <v>26134</v>
      </c>
      <c r="C10610" s="27" t="s">
        <v>380</v>
      </c>
      <c r="D10610" s="26"/>
      <c r="E10610" s="27"/>
      <c r="F10610" s="27"/>
      <c r="G10610" s="27" t="s">
        <v>11122</v>
      </c>
      <c r="H10610" s="27" t="s">
        <v>35</v>
      </c>
      <c r="I10610" s="27" t="s">
        <v>37</v>
      </c>
      <c r="J10610" s="28" t="s">
        <v>1047</v>
      </c>
      <c r="K10610" s="27" t="s">
        <v>45</v>
      </c>
      <c r="L10610" s="27"/>
    </row>
    <row r="10611" customFormat="false" ht="15" hidden="false" customHeight="false" outlineLevel="0" collapsed="false">
      <c r="A10611" s="26" t="s">
        <v>26135</v>
      </c>
      <c r="B10611" s="27" t="s">
        <v>26136</v>
      </c>
      <c r="C10611" s="27" t="s">
        <v>380</v>
      </c>
      <c r="D10611" s="26"/>
      <c r="E10611" s="27"/>
      <c r="F10611" s="27"/>
      <c r="G10611" s="27" t="s">
        <v>11122</v>
      </c>
      <c r="H10611" s="27" t="s">
        <v>35</v>
      </c>
      <c r="I10611" s="27" t="s">
        <v>44</v>
      </c>
      <c r="J10611" s="28" t="s">
        <v>1047</v>
      </c>
      <c r="K10611" s="27" t="s">
        <v>45</v>
      </c>
      <c r="L10611" s="27"/>
    </row>
    <row r="10612" customFormat="false" ht="15" hidden="false" customHeight="false" outlineLevel="0" collapsed="false">
      <c r="A10612" s="26" t="s">
        <v>26137</v>
      </c>
      <c r="B10612" s="27" t="s">
        <v>26138</v>
      </c>
      <c r="C10612" s="27" t="s">
        <v>144</v>
      </c>
      <c r="D10612" s="26"/>
      <c r="E10612" s="27"/>
      <c r="F10612" s="27"/>
      <c r="G10612" s="27" t="s">
        <v>11122</v>
      </c>
      <c r="H10612" s="27" t="s">
        <v>35</v>
      </c>
      <c r="I10612" s="27" t="s">
        <v>45</v>
      </c>
      <c r="J10612" s="28" t="s">
        <v>1047</v>
      </c>
      <c r="K10612" s="27" t="s">
        <v>45</v>
      </c>
      <c r="L10612" s="27"/>
    </row>
    <row r="10613" customFormat="false" ht="15" hidden="false" customHeight="false" outlineLevel="0" collapsed="false">
      <c r="A10613" s="26" t="s">
        <v>26139</v>
      </c>
      <c r="B10613" s="27" t="s">
        <v>26140</v>
      </c>
      <c r="C10613" s="27" t="s">
        <v>144</v>
      </c>
      <c r="D10613" s="26"/>
      <c r="E10613" s="27"/>
      <c r="F10613" s="27"/>
      <c r="G10613" s="27" t="s">
        <v>11122</v>
      </c>
      <c r="H10613" s="27" t="s">
        <v>35</v>
      </c>
      <c r="I10613" s="27" t="s">
        <v>45</v>
      </c>
      <c r="J10613" s="28" t="s">
        <v>1047</v>
      </c>
      <c r="K10613" s="27" t="s">
        <v>45</v>
      </c>
      <c r="L10613" s="27"/>
    </row>
    <row r="10614" customFormat="false" ht="15" hidden="false" customHeight="false" outlineLevel="0" collapsed="false">
      <c r="A10614" s="26" t="s">
        <v>26141</v>
      </c>
      <c r="B10614" s="27" t="s">
        <v>26142</v>
      </c>
      <c r="C10614" s="27" t="s">
        <v>144</v>
      </c>
      <c r="D10614" s="26"/>
      <c r="E10614" s="27"/>
      <c r="F10614" s="27"/>
      <c r="G10614" s="27" t="s">
        <v>11122</v>
      </c>
      <c r="H10614" s="27" t="s">
        <v>35</v>
      </c>
      <c r="I10614" s="27" t="s">
        <v>45</v>
      </c>
      <c r="J10614" s="28" t="s">
        <v>1047</v>
      </c>
      <c r="K10614" s="27" t="s">
        <v>45</v>
      </c>
      <c r="L10614" s="27"/>
    </row>
    <row r="10615" customFormat="false" ht="15" hidden="false" customHeight="false" outlineLevel="0" collapsed="false">
      <c r="A10615" s="26" t="s">
        <v>26143</v>
      </c>
      <c r="B10615" s="27" t="s">
        <v>26144</v>
      </c>
      <c r="C10615" s="27" t="s">
        <v>144</v>
      </c>
      <c r="D10615" s="26"/>
      <c r="E10615" s="27"/>
      <c r="F10615" s="27"/>
      <c r="G10615" s="27" t="s">
        <v>11122</v>
      </c>
      <c r="H10615" s="27" t="s">
        <v>35</v>
      </c>
      <c r="I10615" s="27" t="s">
        <v>45</v>
      </c>
      <c r="J10615" s="28" t="s">
        <v>1047</v>
      </c>
      <c r="K10615" s="27" t="s">
        <v>45</v>
      </c>
      <c r="L10615" s="27"/>
    </row>
    <row r="10616" customFormat="false" ht="15" hidden="false" customHeight="false" outlineLevel="0" collapsed="false">
      <c r="A10616" s="26" t="s">
        <v>26145</v>
      </c>
      <c r="B10616" s="27" t="s">
        <v>26146</v>
      </c>
      <c r="C10616" s="27" t="s">
        <v>137</v>
      </c>
      <c r="D10616" s="26"/>
      <c r="E10616" s="27"/>
      <c r="F10616" s="27"/>
      <c r="G10616" s="27" t="s">
        <v>11122</v>
      </c>
      <c r="H10616" s="27" t="s">
        <v>35</v>
      </c>
      <c r="I10616" s="27" t="s">
        <v>45</v>
      </c>
      <c r="J10616" s="28" t="s">
        <v>1047</v>
      </c>
      <c r="K10616" s="27" t="s">
        <v>45</v>
      </c>
      <c r="L10616" s="27"/>
    </row>
    <row r="10617" customFormat="false" ht="15" hidden="false" customHeight="false" outlineLevel="0" collapsed="false">
      <c r="A10617" s="26" t="s">
        <v>26147</v>
      </c>
      <c r="B10617" s="27" t="s">
        <v>26148</v>
      </c>
      <c r="C10617" s="27" t="s">
        <v>137</v>
      </c>
      <c r="D10617" s="26"/>
      <c r="E10617" s="27"/>
      <c r="F10617" s="27"/>
      <c r="G10617" s="27" t="s">
        <v>11122</v>
      </c>
      <c r="H10617" s="27" t="s">
        <v>35</v>
      </c>
      <c r="I10617" s="27" t="s">
        <v>45</v>
      </c>
      <c r="J10617" s="28" t="s">
        <v>1047</v>
      </c>
      <c r="K10617" s="27" t="s">
        <v>45</v>
      </c>
      <c r="L10617" s="27"/>
    </row>
    <row r="10618" customFormat="false" ht="15" hidden="false" customHeight="false" outlineLevel="0" collapsed="false">
      <c r="A10618" s="26" t="s">
        <v>26149</v>
      </c>
      <c r="B10618" s="27" t="s">
        <v>26150</v>
      </c>
      <c r="C10618" s="27" t="s">
        <v>137</v>
      </c>
      <c r="D10618" s="26"/>
      <c r="E10618" s="27"/>
      <c r="F10618" s="27"/>
      <c r="G10618" s="27" t="s">
        <v>11122</v>
      </c>
      <c r="H10618" s="27" t="s">
        <v>35</v>
      </c>
      <c r="I10618" s="27" t="s">
        <v>45</v>
      </c>
      <c r="J10618" s="28" t="s">
        <v>1047</v>
      </c>
      <c r="K10618" s="27" t="s">
        <v>45</v>
      </c>
      <c r="L10618" s="27"/>
    </row>
    <row r="10619" customFormat="false" ht="15" hidden="false" customHeight="false" outlineLevel="0" collapsed="false">
      <c r="A10619" s="26" t="s">
        <v>26151</v>
      </c>
      <c r="B10619" s="27" t="s">
        <v>26152</v>
      </c>
      <c r="C10619" s="27" t="s">
        <v>137</v>
      </c>
      <c r="D10619" s="26"/>
      <c r="E10619" s="27"/>
      <c r="F10619" s="27"/>
      <c r="G10619" s="27" t="s">
        <v>11122</v>
      </c>
      <c r="H10619" s="27" t="s">
        <v>35</v>
      </c>
      <c r="I10619" s="27" t="s">
        <v>45</v>
      </c>
      <c r="J10619" s="28" t="s">
        <v>1047</v>
      </c>
      <c r="K10619" s="27" t="s">
        <v>45</v>
      </c>
      <c r="L10619" s="27"/>
    </row>
    <row r="10620" customFormat="false" ht="15" hidden="false" customHeight="false" outlineLevel="0" collapsed="false">
      <c r="A10620" s="26" t="s">
        <v>26153</v>
      </c>
      <c r="B10620" s="27" t="s">
        <v>26154</v>
      </c>
      <c r="C10620" s="27" t="s">
        <v>380</v>
      </c>
      <c r="D10620" s="26"/>
      <c r="E10620" s="27"/>
      <c r="F10620" s="27"/>
      <c r="G10620" s="27" t="s">
        <v>11122</v>
      </c>
      <c r="H10620" s="27" t="s">
        <v>35</v>
      </c>
      <c r="I10620" s="27" t="s">
        <v>44</v>
      </c>
      <c r="J10620" s="28" t="s">
        <v>1047</v>
      </c>
      <c r="K10620" s="27" t="s">
        <v>45</v>
      </c>
      <c r="L10620" s="27"/>
    </row>
    <row r="10621" customFormat="false" ht="15" hidden="false" customHeight="false" outlineLevel="0" collapsed="false">
      <c r="A10621" s="26" t="s">
        <v>26155</v>
      </c>
      <c r="B10621" s="27" t="s">
        <v>26156</v>
      </c>
      <c r="C10621" s="27" t="s">
        <v>2094</v>
      </c>
      <c r="D10621" s="26"/>
      <c r="E10621" s="27"/>
      <c r="F10621" s="27"/>
      <c r="G10621" s="27" t="s">
        <v>11122</v>
      </c>
      <c r="H10621" s="27" t="s">
        <v>35</v>
      </c>
      <c r="I10621" s="27" t="s">
        <v>45</v>
      </c>
      <c r="J10621" s="28" t="s">
        <v>1047</v>
      </c>
      <c r="K10621" s="27" t="s">
        <v>45</v>
      </c>
      <c r="L10621" s="27"/>
    </row>
    <row r="10622" customFormat="false" ht="15" hidden="false" customHeight="false" outlineLevel="0" collapsed="false">
      <c r="A10622" s="26" t="s">
        <v>26157</v>
      </c>
      <c r="B10622" s="27" t="s">
        <v>26158</v>
      </c>
      <c r="C10622" s="27" t="s">
        <v>100</v>
      </c>
      <c r="D10622" s="26"/>
      <c r="E10622" s="27"/>
      <c r="F10622" s="27"/>
      <c r="G10622" s="27" t="s">
        <v>11122</v>
      </c>
      <c r="H10622" s="27" t="s">
        <v>35</v>
      </c>
      <c r="I10622" s="27" t="s">
        <v>41</v>
      </c>
      <c r="J10622" s="28" t="s">
        <v>1047</v>
      </c>
      <c r="K10622" s="27" t="s">
        <v>45</v>
      </c>
      <c r="L10622" s="27"/>
    </row>
    <row r="10623" customFormat="false" ht="15" hidden="false" customHeight="false" outlineLevel="0" collapsed="false">
      <c r="A10623" s="26" t="s">
        <v>26159</v>
      </c>
      <c r="B10623" s="27" t="s">
        <v>26160</v>
      </c>
      <c r="C10623" s="27" t="s">
        <v>100</v>
      </c>
      <c r="D10623" s="26"/>
      <c r="E10623" s="27"/>
      <c r="F10623" s="27"/>
      <c r="G10623" s="27" t="s">
        <v>11122</v>
      </c>
      <c r="H10623" s="27" t="s">
        <v>35</v>
      </c>
      <c r="I10623" s="27" t="s">
        <v>45</v>
      </c>
      <c r="J10623" s="28" t="s">
        <v>1047</v>
      </c>
      <c r="K10623" s="27" t="s">
        <v>45</v>
      </c>
      <c r="L10623" s="27"/>
    </row>
    <row r="10624" customFormat="false" ht="15" hidden="false" customHeight="false" outlineLevel="0" collapsed="false">
      <c r="A10624" s="26" t="s">
        <v>26161</v>
      </c>
      <c r="B10624" s="27" t="s">
        <v>26162</v>
      </c>
      <c r="C10624" s="27" t="s">
        <v>100</v>
      </c>
      <c r="D10624" s="26"/>
      <c r="E10624" s="27"/>
      <c r="F10624" s="27"/>
      <c r="G10624" s="27" t="s">
        <v>11122</v>
      </c>
      <c r="H10624" s="27" t="s">
        <v>35</v>
      </c>
      <c r="I10624" s="27" t="s">
        <v>45</v>
      </c>
      <c r="J10624" s="28" t="s">
        <v>1047</v>
      </c>
      <c r="K10624" s="27" t="s">
        <v>45</v>
      </c>
      <c r="L10624" s="27"/>
    </row>
    <row r="10625" customFormat="false" ht="15" hidden="false" customHeight="false" outlineLevel="0" collapsed="false">
      <c r="A10625" s="26" t="s">
        <v>26163</v>
      </c>
      <c r="B10625" s="27" t="s">
        <v>26164</v>
      </c>
      <c r="C10625" s="27" t="s">
        <v>100</v>
      </c>
      <c r="D10625" s="26"/>
      <c r="E10625" s="27"/>
      <c r="F10625" s="27"/>
      <c r="G10625" s="27" t="s">
        <v>11122</v>
      </c>
      <c r="H10625" s="27" t="s">
        <v>35</v>
      </c>
      <c r="I10625" s="27" t="s">
        <v>45</v>
      </c>
      <c r="J10625" s="28" t="s">
        <v>1047</v>
      </c>
      <c r="K10625" s="27" t="s">
        <v>45</v>
      </c>
      <c r="L10625" s="27"/>
    </row>
    <row r="10626" customFormat="false" ht="15" hidden="false" customHeight="false" outlineLevel="0" collapsed="false">
      <c r="A10626" s="26" t="s">
        <v>26165</v>
      </c>
      <c r="B10626" s="27" t="s">
        <v>26166</v>
      </c>
      <c r="C10626" s="27" t="s">
        <v>2094</v>
      </c>
      <c r="D10626" s="26"/>
      <c r="E10626" s="27"/>
      <c r="F10626" s="27"/>
      <c r="G10626" s="27" t="s">
        <v>11122</v>
      </c>
      <c r="H10626" s="27" t="s">
        <v>35</v>
      </c>
      <c r="I10626" s="27" t="s">
        <v>38</v>
      </c>
      <c r="J10626" s="28" t="s">
        <v>1047</v>
      </c>
      <c r="K10626" s="27" t="s">
        <v>45</v>
      </c>
      <c r="L10626" s="27"/>
    </row>
    <row r="10627" customFormat="false" ht="15" hidden="false" customHeight="false" outlineLevel="0" collapsed="false">
      <c r="A10627" s="26" t="s">
        <v>26167</v>
      </c>
      <c r="B10627" s="27" t="s">
        <v>26168</v>
      </c>
      <c r="C10627" s="27" t="s">
        <v>380</v>
      </c>
      <c r="D10627" s="26"/>
      <c r="E10627" s="27"/>
      <c r="F10627" s="27"/>
      <c r="G10627" s="27" t="s">
        <v>11122</v>
      </c>
      <c r="H10627" s="27" t="s">
        <v>35</v>
      </c>
      <c r="I10627" s="27" t="s">
        <v>41</v>
      </c>
      <c r="J10627" s="28" t="s">
        <v>1047</v>
      </c>
      <c r="K10627" s="27" t="s">
        <v>45</v>
      </c>
      <c r="L10627" s="27"/>
    </row>
    <row r="10628" customFormat="false" ht="15" hidden="false" customHeight="false" outlineLevel="0" collapsed="false">
      <c r="A10628" s="26" t="s">
        <v>26169</v>
      </c>
      <c r="B10628" s="27" t="s">
        <v>26170</v>
      </c>
      <c r="C10628" s="27" t="s">
        <v>380</v>
      </c>
      <c r="D10628" s="26"/>
      <c r="E10628" s="27"/>
      <c r="F10628" s="27"/>
      <c r="G10628" s="27" t="s">
        <v>11122</v>
      </c>
      <c r="H10628" s="27" t="s">
        <v>35</v>
      </c>
      <c r="I10628" s="27" t="s">
        <v>41</v>
      </c>
      <c r="J10628" s="28" t="s">
        <v>1047</v>
      </c>
      <c r="K10628" s="27" t="s">
        <v>45</v>
      </c>
      <c r="L10628" s="27"/>
    </row>
    <row r="10629" customFormat="false" ht="15" hidden="false" customHeight="false" outlineLevel="0" collapsed="false">
      <c r="A10629" s="26" t="s">
        <v>26171</v>
      </c>
      <c r="B10629" s="27" t="s">
        <v>26172</v>
      </c>
      <c r="C10629" s="27" t="s">
        <v>380</v>
      </c>
      <c r="D10629" s="26"/>
      <c r="E10629" s="27"/>
      <c r="F10629" s="27"/>
      <c r="G10629" s="27" t="s">
        <v>11122</v>
      </c>
      <c r="H10629" s="27" t="s">
        <v>35</v>
      </c>
      <c r="I10629" s="27" t="s">
        <v>41</v>
      </c>
      <c r="J10629" s="28" t="s">
        <v>1047</v>
      </c>
      <c r="K10629" s="27" t="s">
        <v>45</v>
      </c>
      <c r="L10629" s="27"/>
    </row>
    <row r="10630" customFormat="false" ht="15" hidden="false" customHeight="false" outlineLevel="0" collapsed="false">
      <c r="A10630" s="26" t="s">
        <v>26173</v>
      </c>
      <c r="B10630" s="27" t="s">
        <v>26174</v>
      </c>
      <c r="C10630" s="27" t="s">
        <v>1845</v>
      </c>
      <c r="D10630" s="26"/>
      <c r="E10630" s="27"/>
      <c r="F10630" s="27"/>
      <c r="G10630" s="27" t="s">
        <v>11122</v>
      </c>
      <c r="H10630" s="27" t="s">
        <v>35</v>
      </c>
      <c r="I10630" s="27" t="s">
        <v>44</v>
      </c>
      <c r="J10630" s="28" t="s">
        <v>1047</v>
      </c>
      <c r="K10630" s="27" t="s">
        <v>45</v>
      </c>
      <c r="L10630" s="27"/>
    </row>
    <row r="10631" customFormat="false" ht="15" hidden="false" customHeight="false" outlineLevel="0" collapsed="false">
      <c r="A10631" s="26" t="s">
        <v>26175</v>
      </c>
      <c r="B10631" s="27" t="s">
        <v>26176</v>
      </c>
      <c r="C10631" s="27" t="s">
        <v>1845</v>
      </c>
      <c r="D10631" s="26"/>
      <c r="E10631" s="27"/>
      <c r="F10631" s="27"/>
      <c r="G10631" s="27" t="s">
        <v>11122</v>
      </c>
      <c r="H10631" s="27" t="s">
        <v>35</v>
      </c>
      <c r="I10631" s="27" t="s">
        <v>45</v>
      </c>
      <c r="J10631" s="28" t="s">
        <v>1047</v>
      </c>
      <c r="K10631" s="27" t="s">
        <v>45</v>
      </c>
      <c r="L10631" s="27"/>
    </row>
    <row r="10632" customFormat="false" ht="15" hidden="false" customHeight="false" outlineLevel="0" collapsed="false">
      <c r="A10632" s="26" t="s">
        <v>26177</v>
      </c>
      <c r="B10632" s="27" t="s">
        <v>26178</v>
      </c>
      <c r="C10632" s="27" t="s">
        <v>1845</v>
      </c>
      <c r="D10632" s="26"/>
      <c r="E10632" s="27"/>
      <c r="F10632" s="27"/>
      <c r="G10632" s="27" t="s">
        <v>11122</v>
      </c>
      <c r="H10632" s="27" t="s">
        <v>35</v>
      </c>
      <c r="I10632" s="27" t="s">
        <v>44</v>
      </c>
      <c r="J10632" s="28" t="s">
        <v>1047</v>
      </c>
      <c r="K10632" s="27" t="s">
        <v>45</v>
      </c>
      <c r="L10632" s="27"/>
    </row>
    <row r="10633" customFormat="false" ht="15" hidden="false" customHeight="false" outlineLevel="0" collapsed="false">
      <c r="A10633" s="26" t="s">
        <v>26179</v>
      </c>
      <c r="B10633" s="27" t="s">
        <v>26180</v>
      </c>
      <c r="C10633" s="27" t="s">
        <v>1845</v>
      </c>
      <c r="D10633" s="26"/>
      <c r="E10633" s="27"/>
      <c r="F10633" s="27"/>
      <c r="G10633" s="27" t="s">
        <v>11122</v>
      </c>
      <c r="H10633" s="27" t="s">
        <v>35</v>
      </c>
      <c r="I10633" s="27" t="s">
        <v>45</v>
      </c>
      <c r="J10633" s="28" t="s">
        <v>1047</v>
      </c>
      <c r="K10633" s="27" t="s">
        <v>45</v>
      </c>
      <c r="L10633" s="27"/>
    </row>
    <row r="10634" customFormat="false" ht="15" hidden="false" customHeight="false" outlineLevel="0" collapsed="false">
      <c r="A10634" s="26" t="s">
        <v>26181</v>
      </c>
      <c r="B10634" s="27" t="s">
        <v>26182</v>
      </c>
      <c r="C10634" s="27" t="s">
        <v>1845</v>
      </c>
      <c r="D10634" s="26"/>
      <c r="E10634" s="27"/>
      <c r="F10634" s="27"/>
      <c r="G10634" s="27" t="s">
        <v>11122</v>
      </c>
      <c r="H10634" s="27" t="s">
        <v>35</v>
      </c>
      <c r="I10634" s="27" t="s">
        <v>45</v>
      </c>
      <c r="J10634" s="28" t="s">
        <v>1047</v>
      </c>
      <c r="K10634" s="27" t="s">
        <v>45</v>
      </c>
      <c r="L10634" s="27"/>
    </row>
    <row r="10635" customFormat="false" ht="15" hidden="false" customHeight="false" outlineLevel="0" collapsed="false">
      <c r="A10635" s="26" t="s">
        <v>26183</v>
      </c>
      <c r="B10635" s="27" t="s">
        <v>26184</v>
      </c>
      <c r="C10635" s="27" t="s">
        <v>1845</v>
      </c>
      <c r="D10635" s="26"/>
      <c r="E10635" s="27"/>
      <c r="F10635" s="27"/>
      <c r="G10635" s="27" t="s">
        <v>11122</v>
      </c>
      <c r="H10635" s="27" t="s">
        <v>35</v>
      </c>
      <c r="I10635" s="27" t="s">
        <v>45</v>
      </c>
      <c r="J10635" s="28" t="s">
        <v>1047</v>
      </c>
      <c r="K10635" s="27" t="s">
        <v>45</v>
      </c>
      <c r="L10635" s="27"/>
    </row>
    <row r="10636" customFormat="false" ht="15" hidden="false" customHeight="false" outlineLevel="0" collapsed="false">
      <c r="A10636" s="26" t="s">
        <v>26185</v>
      </c>
      <c r="B10636" s="27" t="s">
        <v>26186</v>
      </c>
      <c r="C10636" s="27" t="s">
        <v>1845</v>
      </c>
      <c r="D10636" s="26"/>
      <c r="E10636" s="27"/>
      <c r="F10636" s="27"/>
      <c r="G10636" s="27" t="s">
        <v>11122</v>
      </c>
      <c r="H10636" s="27" t="s">
        <v>35</v>
      </c>
      <c r="I10636" s="27" t="s">
        <v>44</v>
      </c>
      <c r="J10636" s="28" t="s">
        <v>1047</v>
      </c>
      <c r="K10636" s="27" t="s">
        <v>45</v>
      </c>
      <c r="L10636" s="27"/>
    </row>
    <row r="10637" customFormat="false" ht="15" hidden="false" customHeight="false" outlineLevel="0" collapsed="false">
      <c r="A10637" s="26" t="s">
        <v>26187</v>
      </c>
      <c r="B10637" s="27" t="s">
        <v>26188</v>
      </c>
      <c r="C10637" s="27" t="s">
        <v>1845</v>
      </c>
      <c r="D10637" s="26"/>
      <c r="E10637" s="27"/>
      <c r="F10637" s="27"/>
      <c r="G10637" s="27" t="s">
        <v>11122</v>
      </c>
      <c r="H10637" s="27" t="s">
        <v>35</v>
      </c>
      <c r="I10637" s="27" t="s">
        <v>45</v>
      </c>
      <c r="J10637" s="28" t="s">
        <v>1047</v>
      </c>
      <c r="K10637" s="27" t="s">
        <v>45</v>
      </c>
      <c r="L10637" s="27"/>
    </row>
    <row r="10638" customFormat="false" ht="15" hidden="false" customHeight="false" outlineLevel="0" collapsed="false">
      <c r="A10638" s="26" t="s">
        <v>26189</v>
      </c>
      <c r="B10638" s="27" t="s">
        <v>26190</v>
      </c>
      <c r="C10638" s="27" t="s">
        <v>1845</v>
      </c>
      <c r="D10638" s="26"/>
      <c r="E10638" s="27"/>
      <c r="F10638" s="27"/>
      <c r="G10638" s="27" t="s">
        <v>11122</v>
      </c>
      <c r="H10638" s="27" t="s">
        <v>35</v>
      </c>
      <c r="I10638" s="27" t="s">
        <v>45</v>
      </c>
      <c r="J10638" s="28" t="s">
        <v>1047</v>
      </c>
      <c r="K10638" s="27" t="s">
        <v>45</v>
      </c>
      <c r="L10638" s="27"/>
    </row>
    <row r="10639" customFormat="false" ht="15" hidden="false" customHeight="false" outlineLevel="0" collapsed="false">
      <c r="A10639" s="26" t="s">
        <v>26191</v>
      </c>
      <c r="B10639" s="27" t="s">
        <v>26192</v>
      </c>
      <c r="C10639" s="27" t="s">
        <v>137</v>
      </c>
      <c r="D10639" s="26"/>
      <c r="E10639" s="27"/>
      <c r="F10639" s="27"/>
      <c r="G10639" s="27" t="s">
        <v>11122</v>
      </c>
      <c r="H10639" s="27" t="s">
        <v>35</v>
      </c>
      <c r="I10639" s="27" t="s">
        <v>45</v>
      </c>
      <c r="J10639" s="28" t="s">
        <v>1047</v>
      </c>
      <c r="K10639" s="27" t="s">
        <v>45</v>
      </c>
      <c r="L10639" s="27"/>
    </row>
    <row r="10640" customFormat="false" ht="15" hidden="false" customHeight="false" outlineLevel="0" collapsed="false">
      <c r="A10640" s="26" t="s">
        <v>26193</v>
      </c>
      <c r="B10640" s="27" t="s">
        <v>26194</v>
      </c>
      <c r="C10640" s="27" t="s">
        <v>100</v>
      </c>
      <c r="D10640" s="26"/>
      <c r="E10640" s="27"/>
      <c r="F10640" s="27"/>
      <c r="G10640" s="27" t="s">
        <v>11122</v>
      </c>
      <c r="H10640" s="27" t="s">
        <v>35</v>
      </c>
      <c r="I10640" s="27" t="s">
        <v>45</v>
      </c>
      <c r="J10640" s="28" t="s">
        <v>1047</v>
      </c>
      <c r="K10640" s="27" t="s">
        <v>45</v>
      </c>
      <c r="L10640" s="27"/>
    </row>
    <row r="10641" customFormat="false" ht="15" hidden="false" customHeight="false" outlineLevel="0" collapsed="false">
      <c r="A10641" s="26" t="s">
        <v>26195</v>
      </c>
      <c r="B10641" s="27" t="s">
        <v>26196</v>
      </c>
      <c r="C10641" s="27" t="s">
        <v>137</v>
      </c>
      <c r="D10641" s="26"/>
      <c r="E10641" s="27"/>
      <c r="F10641" s="27"/>
      <c r="G10641" s="27" t="s">
        <v>11122</v>
      </c>
      <c r="H10641" s="27" t="s">
        <v>35</v>
      </c>
      <c r="I10641" s="27" t="s">
        <v>40</v>
      </c>
      <c r="J10641" s="28" t="s">
        <v>1047</v>
      </c>
      <c r="K10641" s="27" t="s">
        <v>45</v>
      </c>
      <c r="L10641" s="27"/>
    </row>
    <row r="10642" customFormat="false" ht="15" hidden="false" customHeight="false" outlineLevel="0" collapsed="false">
      <c r="A10642" s="26" t="s">
        <v>26197</v>
      </c>
      <c r="B10642" s="27" t="s">
        <v>26198</v>
      </c>
      <c r="C10642" s="27" t="s">
        <v>137</v>
      </c>
      <c r="D10642" s="26"/>
      <c r="E10642" s="27"/>
      <c r="F10642" s="27"/>
      <c r="G10642" s="27" t="s">
        <v>11122</v>
      </c>
      <c r="H10642" s="27" t="s">
        <v>35</v>
      </c>
      <c r="I10642" s="27" t="s">
        <v>40</v>
      </c>
      <c r="J10642" s="28" t="s">
        <v>1047</v>
      </c>
      <c r="K10642" s="27" t="s">
        <v>45</v>
      </c>
      <c r="L10642" s="27"/>
    </row>
    <row r="10643" customFormat="false" ht="15" hidden="false" customHeight="false" outlineLevel="0" collapsed="false">
      <c r="A10643" s="26" t="s">
        <v>26199</v>
      </c>
      <c r="B10643" s="27" t="s">
        <v>26200</v>
      </c>
      <c r="C10643" s="27" t="s">
        <v>137</v>
      </c>
      <c r="D10643" s="26"/>
      <c r="E10643" s="27"/>
      <c r="F10643" s="27"/>
      <c r="G10643" s="27" t="s">
        <v>11122</v>
      </c>
      <c r="H10643" s="27" t="s">
        <v>35</v>
      </c>
      <c r="I10643" s="27" t="s">
        <v>45</v>
      </c>
      <c r="J10643" s="28" t="s">
        <v>1047</v>
      </c>
      <c r="K10643" s="27" t="s">
        <v>45</v>
      </c>
      <c r="L10643" s="27"/>
    </row>
    <row r="10644" customFormat="false" ht="15" hidden="false" customHeight="false" outlineLevel="0" collapsed="false">
      <c r="A10644" s="26" t="s">
        <v>26201</v>
      </c>
      <c r="B10644" s="27" t="s">
        <v>26202</v>
      </c>
      <c r="C10644" s="27" t="s">
        <v>144</v>
      </c>
      <c r="D10644" s="26"/>
      <c r="E10644" s="27"/>
      <c r="F10644" s="27"/>
      <c r="G10644" s="27" t="s">
        <v>11122</v>
      </c>
      <c r="H10644" s="27" t="s">
        <v>35</v>
      </c>
      <c r="I10644" s="27" t="s">
        <v>40</v>
      </c>
      <c r="J10644" s="28" t="s">
        <v>1047</v>
      </c>
      <c r="K10644" s="27" t="s">
        <v>45</v>
      </c>
      <c r="L10644" s="27"/>
    </row>
    <row r="10645" customFormat="false" ht="15" hidden="false" customHeight="false" outlineLevel="0" collapsed="false">
      <c r="A10645" s="26" t="s">
        <v>26203</v>
      </c>
      <c r="B10645" s="27" t="s">
        <v>26204</v>
      </c>
      <c r="C10645" s="27" t="s">
        <v>1845</v>
      </c>
      <c r="D10645" s="26"/>
      <c r="E10645" s="27"/>
      <c r="F10645" s="27"/>
      <c r="G10645" s="27" t="s">
        <v>11122</v>
      </c>
      <c r="H10645" s="27" t="s">
        <v>35</v>
      </c>
      <c r="I10645" s="27" t="s">
        <v>45</v>
      </c>
      <c r="J10645" s="28" t="s">
        <v>1047</v>
      </c>
      <c r="K10645" s="27" t="s">
        <v>45</v>
      </c>
      <c r="L10645" s="27"/>
    </row>
    <row r="10646" customFormat="false" ht="15" hidden="false" customHeight="false" outlineLevel="0" collapsed="false">
      <c r="A10646" s="26" t="s">
        <v>26205</v>
      </c>
      <c r="B10646" s="27" t="s">
        <v>26206</v>
      </c>
      <c r="C10646" s="27" t="s">
        <v>1845</v>
      </c>
      <c r="D10646" s="26"/>
      <c r="E10646" s="27"/>
      <c r="F10646" s="27"/>
      <c r="G10646" s="27" t="s">
        <v>11122</v>
      </c>
      <c r="H10646" s="27" t="s">
        <v>35</v>
      </c>
      <c r="I10646" s="27" t="s">
        <v>45</v>
      </c>
      <c r="J10646" s="28" t="s">
        <v>1047</v>
      </c>
      <c r="K10646" s="27" t="s">
        <v>45</v>
      </c>
      <c r="L10646" s="27"/>
    </row>
    <row r="10647" customFormat="false" ht="15" hidden="false" customHeight="false" outlineLevel="0" collapsed="false">
      <c r="A10647" s="26" t="s">
        <v>26207</v>
      </c>
      <c r="B10647" s="27" t="s">
        <v>26208</v>
      </c>
      <c r="C10647" s="27" t="s">
        <v>1845</v>
      </c>
      <c r="D10647" s="26"/>
      <c r="E10647" s="27"/>
      <c r="F10647" s="27"/>
      <c r="G10647" s="27" t="s">
        <v>11122</v>
      </c>
      <c r="H10647" s="27" t="s">
        <v>35</v>
      </c>
      <c r="I10647" s="27" t="s">
        <v>45</v>
      </c>
      <c r="J10647" s="28" t="s">
        <v>1047</v>
      </c>
      <c r="K10647" s="27" t="s">
        <v>45</v>
      </c>
      <c r="L10647" s="27"/>
    </row>
    <row r="10648" customFormat="false" ht="15" hidden="false" customHeight="false" outlineLevel="0" collapsed="false">
      <c r="A10648" s="26" t="s">
        <v>26209</v>
      </c>
      <c r="B10648" s="27" t="s">
        <v>26210</v>
      </c>
      <c r="C10648" s="27" t="s">
        <v>1845</v>
      </c>
      <c r="D10648" s="26"/>
      <c r="E10648" s="27"/>
      <c r="F10648" s="27"/>
      <c r="G10648" s="27" t="s">
        <v>11122</v>
      </c>
      <c r="H10648" s="27" t="s">
        <v>35</v>
      </c>
      <c r="I10648" s="27" t="s">
        <v>45</v>
      </c>
      <c r="J10648" s="28" t="s">
        <v>1047</v>
      </c>
      <c r="K10648" s="27" t="s">
        <v>45</v>
      </c>
      <c r="L10648" s="27"/>
    </row>
    <row r="10649" customFormat="false" ht="15" hidden="false" customHeight="false" outlineLevel="0" collapsed="false">
      <c r="A10649" s="26" t="s">
        <v>26211</v>
      </c>
      <c r="B10649" s="27" t="s">
        <v>26212</v>
      </c>
      <c r="C10649" s="27" t="s">
        <v>1845</v>
      </c>
      <c r="D10649" s="26"/>
      <c r="E10649" s="27"/>
      <c r="F10649" s="27"/>
      <c r="G10649" s="27" t="s">
        <v>11122</v>
      </c>
      <c r="H10649" s="27" t="s">
        <v>35</v>
      </c>
      <c r="I10649" s="27" t="s">
        <v>45</v>
      </c>
      <c r="J10649" s="28" t="s">
        <v>1047</v>
      </c>
      <c r="K10649" s="27" t="s">
        <v>45</v>
      </c>
      <c r="L10649" s="27"/>
    </row>
    <row r="10650" customFormat="false" ht="15" hidden="false" customHeight="false" outlineLevel="0" collapsed="false">
      <c r="A10650" s="26" t="s">
        <v>26213</v>
      </c>
      <c r="B10650" s="27" t="s">
        <v>26214</v>
      </c>
      <c r="C10650" s="27" t="s">
        <v>1845</v>
      </c>
      <c r="D10650" s="26"/>
      <c r="E10650" s="27"/>
      <c r="F10650" s="27"/>
      <c r="G10650" s="27" t="s">
        <v>11122</v>
      </c>
      <c r="H10650" s="27" t="s">
        <v>35</v>
      </c>
      <c r="I10650" s="27" t="s">
        <v>45</v>
      </c>
      <c r="J10650" s="28" t="s">
        <v>1047</v>
      </c>
      <c r="K10650" s="27" t="s">
        <v>45</v>
      </c>
      <c r="L10650" s="27"/>
    </row>
    <row r="10651" customFormat="false" ht="15" hidden="false" customHeight="false" outlineLevel="0" collapsed="false">
      <c r="A10651" s="26" t="s">
        <v>26215</v>
      </c>
      <c r="B10651" s="27" t="s">
        <v>26216</v>
      </c>
      <c r="C10651" s="27" t="s">
        <v>1845</v>
      </c>
      <c r="D10651" s="26"/>
      <c r="E10651" s="27"/>
      <c r="F10651" s="27"/>
      <c r="G10651" s="27" t="s">
        <v>11122</v>
      </c>
      <c r="H10651" s="27" t="s">
        <v>35</v>
      </c>
      <c r="I10651" s="27" t="s">
        <v>45</v>
      </c>
      <c r="J10651" s="28" t="s">
        <v>1047</v>
      </c>
      <c r="K10651" s="27" t="s">
        <v>45</v>
      </c>
      <c r="L10651" s="27"/>
    </row>
    <row r="10652" customFormat="false" ht="15" hidden="false" customHeight="false" outlineLevel="0" collapsed="false">
      <c r="A10652" s="26" t="s">
        <v>26217</v>
      </c>
      <c r="B10652" s="27" t="s">
        <v>26218</v>
      </c>
      <c r="C10652" s="27" t="s">
        <v>1845</v>
      </c>
      <c r="D10652" s="26"/>
      <c r="E10652" s="27"/>
      <c r="F10652" s="27"/>
      <c r="G10652" s="27" t="s">
        <v>11122</v>
      </c>
      <c r="H10652" s="27" t="s">
        <v>35</v>
      </c>
      <c r="I10652" s="27" t="s">
        <v>64</v>
      </c>
      <c r="J10652" s="28" t="s">
        <v>1047</v>
      </c>
      <c r="K10652" s="27" t="s">
        <v>45</v>
      </c>
      <c r="L10652" s="27"/>
    </row>
    <row r="10653" customFormat="false" ht="15" hidden="false" customHeight="false" outlineLevel="0" collapsed="false">
      <c r="A10653" s="26" t="s">
        <v>26219</v>
      </c>
      <c r="B10653" s="27" t="s">
        <v>26220</v>
      </c>
      <c r="C10653" s="27" t="s">
        <v>1845</v>
      </c>
      <c r="D10653" s="26"/>
      <c r="E10653" s="27"/>
      <c r="F10653" s="27"/>
      <c r="G10653" s="27" t="s">
        <v>11122</v>
      </c>
      <c r="H10653" s="27" t="s">
        <v>35</v>
      </c>
      <c r="I10653" s="27" t="s">
        <v>45</v>
      </c>
      <c r="J10653" s="28" t="s">
        <v>1047</v>
      </c>
      <c r="K10653" s="27" t="s">
        <v>45</v>
      </c>
      <c r="L10653" s="27"/>
    </row>
    <row r="10654" customFormat="false" ht="15" hidden="false" customHeight="false" outlineLevel="0" collapsed="false">
      <c r="A10654" s="26" t="s">
        <v>26221</v>
      </c>
      <c r="B10654" s="27" t="s">
        <v>26222</v>
      </c>
      <c r="C10654" s="27" t="s">
        <v>144</v>
      </c>
      <c r="D10654" s="26"/>
      <c r="E10654" s="27"/>
      <c r="F10654" s="27"/>
      <c r="G10654" s="27" t="s">
        <v>11122</v>
      </c>
      <c r="H10654" s="27" t="s">
        <v>35</v>
      </c>
      <c r="I10654" s="27" t="s">
        <v>44</v>
      </c>
      <c r="J10654" s="28" t="s">
        <v>1047</v>
      </c>
      <c r="K10654" s="27" t="s">
        <v>45</v>
      </c>
      <c r="L10654" s="27"/>
    </row>
    <row r="10655" customFormat="false" ht="15" hidden="false" customHeight="false" outlineLevel="0" collapsed="false">
      <c r="A10655" s="26" t="s">
        <v>26223</v>
      </c>
      <c r="B10655" s="27" t="s">
        <v>26224</v>
      </c>
      <c r="C10655" s="27" t="s">
        <v>1845</v>
      </c>
      <c r="D10655" s="26"/>
      <c r="E10655" s="27"/>
      <c r="F10655" s="27"/>
      <c r="G10655" s="27" t="s">
        <v>11122</v>
      </c>
      <c r="H10655" s="27" t="s">
        <v>35</v>
      </c>
      <c r="I10655" s="27" t="s">
        <v>45</v>
      </c>
      <c r="J10655" s="28" t="s">
        <v>1047</v>
      </c>
      <c r="K10655" s="27" t="s">
        <v>45</v>
      </c>
      <c r="L10655" s="27"/>
    </row>
    <row r="10656" customFormat="false" ht="15" hidden="false" customHeight="false" outlineLevel="0" collapsed="false">
      <c r="A10656" s="26" t="s">
        <v>26225</v>
      </c>
      <c r="B10656" s="27" t="s">
        <v>26226</v>
      </c>
      <c r="C10656" s="27" t="s">
        <v>144</v>
      </c>
      <c r="D10656" s="26"/>
      <c r="E10656" s="27"/>
      <c r="F10656" s="27"/>
      <c r="G10656" s="27" t="s">
        <v>11122</v>
      </c>
      <c r="H10656" s="27" t="s">
        <v>35</v>
      </c>
      <c r="I10656" s="27" t="s">
        <v>37</v>
      </c>
      <c r="J10656" s="28" t="s">
        <v>1047</v>
      </c>
      <c r="K10656" s="27" t="s">
        <v>45</v>
      </c>
      <c r="L10656" s="27"/>
    </row>
    <row r="10657" customFormat="false" ht="15" hidden="false" customHeight="false" outlineLevel="0" collapsed="false">
      <c r="A10657" s="26" t="s">
        <v>26227</v>
      </c>
      <c r="B10657" s="27" t="s">
        <v>26228</v>
      </c>
      <c r="C10657" s="27" t="s">
        <v>1845</v>
      </c>
      <c r="D10657" s="26"/>
      <c r="E10657" s="27"/>
      <c r="F10657" s="27"/>
      <c r="G10657" s="27" t="s">
        <v>11122</v>
      </c>
      <c r="H10657" s="27" t="s">
        <v>35</v>
      </c>
      <c r="I10657" s="27" t="s">
        <v>45</v>
      </c>
      <c r="J10657" s="28" t="s">
        <v>1047</v>
      </c>
      <c r="K10657" s="27" t="s">
        <v>45</v>
      </c>
      <c r="L10657" s="27"/>
    </row>
    <row r="10658" customFormat="false" ht="15" hidden="false" customHeight="false" outlineLevel="0" collapsed="false">
      <c r="A10658" s="26" t="s">
        <v>26229</v>
      </c>
      <c r="B10658" s="27" t="s">
        <v>26230</v>
      </c>
      <c r="C10658" s="27" t="s">
        <v>1845</v>
      </c>
      <c r="D10658" s="26"/>
      <c r="E10658" s="27"/>
      <c r="F10658" s="27"/>
      <c r="G10658" s="27" t="s">
        <v>11122</v>
      </c>
      <c r="H10658" s="27" t="s">
        <v>35</v>
      </c>
      <c r="I10658" s="27" t="s">
        <v>45</v>
      </c>
      <c r="J10658" s="28" t="s">
        <v>1047</v>
      </c>
      <c r="K10658" s="27" t="s">
        <v>45</v>
      </c>
      <c r="L10658" s="27"/>
    </row>
    <row r="10659" customFormat="false" ht="15" hidden="false" customHeight="false" outlineLevel="0" collapsed="false">
      <c r="A10659" s="26" t="s">
        <v>26231</v>
      </c>
      <c r="B10659" s="27" t="s">
        <v>26232</v>
      </c>
      <c r="C10659" s="27" t="s">
        <v>1845</v>
      </c>
      <c r="D10659" s="26"/>
      <c r="E10659" s="27"/>
      <c r="F10659" s="27"/>
      <c r="G10659" s="27" t="s">
        <v>11122</v>
      </c>
      <c r="H10659" s="27" t="s">
        <v>35</v>
      </c>
      <c r="I10659" s="27" t="s">
        <v>45</v>
      </c>
      <c r="J10659" s="28" t="s">
        <v>1047</v>
      </c>
      <c r="K10659" s="27" t="s">
        <v>45</v>
      </c>
      <c r="L10659" s="27"/>
    </row>
    <row r="10660" customFormat="false" ht="15" hidden="false" customHeight="false" outlineLevel="0" collapsed="false">
      <c r="A10660" s="26" t="s">
        <v>26233</v>
      </c>
      <c r="B10660" s="27" t="s">
        <v>26234</v>
      </c>
      <c r="C10660" s="27" t="s">
        <v>1845</v>
      </c>
      <c r="D10660" s="26"/>
      <c r="E10660" s="27"/>
      <c r="F10660" s="27"/>
      <c r="G10660" s="27" t="s">
        <v>11122</v>
      </c>
      <c r="H10660" s="27" t="s">
        <v>35</v>
      </c>
      <c r="I10660" s="27" t="s">
        <v>44</v>
      </c>
      <c r="J10660" s="28" t="s">
        <v>1047</v>
      </c>
      <c r="K10660" s="27" t="s">
        <v>45</v>
      </c>
      <c r="L10660" s="27"/>
    </row>
    <row r="10661" customFormat="false" ht="15" hidden="false" customHeight="false" outlineLevel="0" collapsed="false">
      <c r="A10661" s="26" t="s">
        <v>26235</v>
      </c>
      <c r="B10661" s="27" t="s">
        <v>26236</v>
      </c>
      <c r="C10661" s="27" t="s">
        <v>100</v>
      </c>
      <c r="D10661" s="26"/>
      <c r="E10661" s="27"/>
      <c r="F10661" s="27"/>
      <c r="G10661" s="27" t="s">
        <v>11122</v>
      </c>
      <c r="H10661" s="27" t="s">
        <v>35</v>
      </c>
      <c r="I10661" s="27" t="s">
        <v>44</v>
      </c>
      <c r="J10661" s="28" t="s">
        <v>1047</v>
      </c>
      <c r="K10661" s="27" t="s">
        <v>45</v>
      </c>
      <c r="L10661" s="27"/>
    </row>
    <row r="10662" customFormat="false" ht="15" hidden="false" customHeight="false" outlineLevel="0" collapsed="false">
      <c r="A10662" s="26" t="s">
        <v>26237</v>
      </c>
      <c r="B10662" s="27" t="s">
        <v>26238</v>
      </c>
      <c r="C10662" s="27" t="s">
        <v>1845</v>
      </c>
      <c r="D10662" s="26"/>
      <c r="E10662" s="27"/>
      <c r="F10662" s="27"/>
      <c r="G10662" s="27" t="s">
        <v>11122</v>
      </c>
      <c r="H10662" s="27" t="s">
        <v>35</v>
      </c>
      <c r="I10662" s="27" t="s">
        <v>44</v>
      </c>
      <c r="J10662" s="28" t="s">
        <v>1047</v>
      </c>
      <c r="K10662" s="27" t="s">
        <v>45</v>
      </c>
      <c r="L10662" s="27"/>
    </row>
    <row r="10663" customFormat="false" ht="15" hidden="false" customHeight="false" outlineLevel="0" collapsed="false">
      <c r="A10663" s="26" t="s">
        <v>26239</v>
      </c>
      <c r="B10663" s="27" t="s">
        <v>26240</v>
      </c>
      <c r="C10663" s="27" t="s">
        <v>1845</v>
      </c>
      <c r="D10663" s="26"/>
      <c r="E10663" s="27"/>
      <c r="F10663" s="27"/>
      <c r="G10663" s="27" t="s">
        <v>11122</v>
      </c>
      <c r="H10663" s="27" t="s">
        <v>35</v>
      </c>
      <c r="I10663" s="27" t="s">
        <v>45</v>
      </c>
      <c r="J10663" s="28" t="s">
        <v>1047</v>
      </c>
      <c r="K10663" s="27" t="s">
        <v>45</v>
      </c>
      <c r="L10663" s="27"/>
    </row>
    <row r="10664" customFormat="false" ht="15" hidden="false" customHeight="false" outlineLevel="0" collapsed="false">
      <c r="A10664" s="26" t="s">
        <v>26241</v>
      </c>
      <c r="B10664" s="27" t="s">
        <v>26242</v>
      </c>
      <c r="C10664" s="27" t="s">
        <v>1845</v>
      </c>
      <c r="D10664" s="26"/>
      <c r="E10664" s="27"/>
      <c r="F10664" s="27"/>
      <c r="G10664" s="27" t="s">
        <v>11122</v>
      </c>
      <c r="H10664" s="27" t="s">
        <v>35</v>
      </c>
      <c r="I10664" s="27" t="s">
        <v>45</v>
      </c>
      <c r="J10664" s="28" t="s">
        <v>1047</v>
      </c>
      <c r="K10664" s="27" t="s">
        <v>45</v>
      </c>
      <c r="L10664" s="27"/>
    </row>
    <row r="10665" customFormat="false" ht="15" hidden="false" customHeight="false" outlineLevel="0" collapsed="false">
      <c r="A10665" s="26" t="s">
        <v>26243</v>
      </c>
      <c r="B10665" s="27" t="s">
        <v>26244</v>
      </c>
      <c r="C10665" s="27" t="s">
        <v>144</v>
      </c>
      <c r="D10665" s="26"/>
      <c r="E10665" s="27"/>
      <c r="F10665" s="27"/>
      <c r="G10665" s="27" t="s">
        <v>11122</v>
      </c>
      <c r="H10665" s="27" t="s">
        <v>35</v>
      </c>
      <c r="I10665" s="27" t="s">
        <v>1296</v>
      </c>
      <c r="J10665" s="28" t="s">
        <v>1047</v>
      </c>
      <c r="K10665" s="27" t="s">
        <v>45</v>
      </c>
      <c r="L10665" s="27"/>
    </row>
    <row r="10666" customFormat="false" ht="15" hidden="false" customHeight="false" outlineLevel="0" collapsed="false">
      <c r="A10666" s="26" t="s">
        <v>26245</v>
      </c>
      <c r="B10666" s="27" t="s">
        <v>26246</v>
      </c>
      <c r="C10666" s="27" t="s">
        <v>144</v>
      </c>
      <c r="D10666" s="26"/>
      <c r="E10666" s="27"/>
      <c r="F10666" s="27"/>
      <c r="G10666" s="27" t="s">
        <v>11122</v>
      </c>
      <c r="H10666" s="27" t="s">
        <v>35</v>
      </c>
      <c r="I10666" s="28" t="s">
        <v>50</v>
      </c>
      <c r="J10666" s="28" t="s">
        <v>1047</v>
      </c>
      <c r="K10666" s="27" t="s">
        <v>45</v>
      </c>
      <c r="L10666" s="27"/>
    </row>
    <row r="10667" customFormat="false" ht="15" hidden="false" customHeight="false" outlineLevel="0" collapsed="false">
      <c r="A10667" s="26" t="s">
        <v>26247</v>
      </c>
      <c r="B10667" s="27" t="s">
        <v>26248</v>
      </c>
      <c r="C10667" s="27" t="s">
        <v>144</v>
      </c>
      <c r="D10667" s="26"/>
      <c r="E10667" s="27"/>
      <c r="F10667" s="27"/>
      <c r="G10667" s="27" t="s">
        <v>11122</v>
      </c>
      <c r="H10667" s="27" t="s">
        <v>35</v>
      </c>
      <c r="I10667" s="27" t="s">
        <v>1296</v>
      </c>
      <c r="J10667" s="28" t="s">
        <v>1047</v>
      </c>
      <c r="K10667" s="27" t="s">
        <v>45</v>
      </c>
      <c r="L10667" s="27"/>
    </row>
    <row r="10668" customFormat="false" ht="15" hidden="false" customHeight="false" outlineLevel="0" collapsed="false">
      <c r="A10668" s="26" t="s">
        <v>26249</v>
      </c>
      <c r="B10668" s="27" t="s">
        <v>26250</v>
      </c>
      <c r="C10668" s="27" t="s">
        <v>144</v>
      </c>
      <c r="D10668" s="26"/>
      <c r="E10668" s="27"/>
      <c r="F10668" s="27"/>
      <c r="G10668" s="27" t="s">
        <v>11122</v>
      </c>
      <c r="H10668" s="27" t="s">
        <v>35</v>
      </c>
      <c r="I10668" s="27" t="s">
        <v>39</v>
      </c>
      <c r="J10668" s="28" t="s">
        <v>1047</v>
      </c>
      <c r="K10668" s="27" t="s">
        <v>45</v>
      </c>
      <c r="L10668" s="27"/>
    </row>
    <row r="10669" customFormat="false" ht="15" hidden="false" customHeight="false" outlineLevel="0" collapsed="false">
      <c r="A10669" s="26" t="s">
        <v>26251</v>
      </c>
      <c r="B10669" s="27" t="s">
        <v>26252</v>
      </c>
      <c r="C10669" s="27" t="s">
        <v>144</v>
      </c>
      <c r="D10669" s="26"/>
      <c r="E10669" s="27"/>
      <c r="F10669" s="27"/>
      <c r="G10669" s="27" t="s">
        <v>11122</v>
      </c>
      <c r="H10669" s="27" t="s">
        <v>35</v>
      </c>
      <c r="I10669" s="27" t="s">
        <v>43</v>
      </c>
      <c r="J10669" s="28" t="s">
        <v>1047</v>
      </c>
      <c r="K10669" s="27" t="s">
        <v>45</v>
      </c>
      <c r="L10669" s="27"/>
    </row>
    <row r="10670" customFormat="false" ht="15" hidden="false" customHeight="false" outlineLevel="0" collapsed="false">
      <c r="A10670" s="26" t="s">
        <v>26253</v>
      </c>
      <c r="B10670" s="27" t="s">
        <v>26254</v>
      </c>
      <c r="C10670" s="27" t="s">
        <v>100</v>
      </c>
      <c r="D10670" s="26"/>
      <c r="E10670" s="27"/>
      <c r="F10670" s="27"/>
      <c r="G10670" s="27" t="s">
        <v>11122</v>
      </c>
      <c r="H10670" s="27" t="s">
        <v>35</v>
      </c>
      <c r="I10670" s="27" t="s">
        <v>45</v>
      </c>
      <c r="J10670" s="28" t="s">
        <v>1047</v>
      </c>
      <c r="K10670" s="27" t="s">
        <v>45</v>
      </c>
      <c r="L10670" s="27"/>
    </row>
    <row r="10671" customFormat="false" ht="15" hidden="false" customHeight="false" outlineLevel="0" collapsed="false">
      <c r="A10671" s="26" t="s">
        <v>26255</v>
      </c>
      <c r="B10671" s="27" t="s">
        <v>26256</v>
      </c>
      <c r="C10671" s="27" t="s">
        <v>100</v>
      </c>
      <c r="D10671" s="26"/>
      <c r="E10671" s="27"/>
      <c r="F10671" s="27"/>
      <c r="G10671" s="27" t="s">
        <v>11122</v>
      </c>
      <c r="H10671" s="27" t="s">
        <v>35</v>
      </c>
      <c r="I10671" s="27" t="s">
        <v>37</v>
      </c>
      <c r="J10671" s="28" t="s">
        <v>1047</v>
      </c>
      <c r="K10671" s="27" t="s">
        <v>45</v>
      </c>
      <c r="L10671" s="27"/>
    </row>
    <row r="10672" customFormat="false" ht="15" hidden="false" customHeight="false" outlineLevel="0" collapsed="false">
      <c r="A10672" s="26" t="s">
        <v>26257</v>
      </c>
      <c r="B10672" s="27" t="s">
        <v>26258</v>
      </c>
      <c r="C10672" s="27" t="s">
        <v>100</v>
      </c>
      <c r="D10672" s="26"/>
      <c r="E10672" s="27"/>
      <c r="F10672" s="27"/>
      <c r="G10672" s="27" t="s">
        <v>11122</v>
      </c>
      <c r="H10672" s="27" t="s">
        <v>35</v>
      </c>
      <c r="I10672" s="27" t="s">
        <v>37</v>
      </c>
      <c r="J10672" s="28" t="s">
        <v>1047</v>
      </c>
      <c r="K10672" s="27" t="s">
        <v>45</v>
      </c>
      <c r="L10672" s="27"/>
    </row>
    <row r="10673" customFormat="false" ht="15" hidden="false" customHeight="false" outlineLevel="0" collapsed="false">
      <c r="A10673" s="26" t="s">
        <v>26259</v>
      </c>
      <c r="B10673" s="27" t="s">
        <v>26260</v>
      </c>
      <c r="C10673" s="27" t="s">
        <v>100</v>
      </c>
      <c r="D10673" s="26"/>
      <c r="E10673" s="27"/>
      <c r="F10673" s="27"/>
      <c r="G10673" s="27" t="s">
        <v>11122</v>
      </c>
      <c r="H10673" s="27" t="s">
        <v>35</v>
      </c>
      <c r="I10673" s="27" t="s">
        <v>40</v>
      </c>
      <c r="J10673" s="28" t="s">
        <v>1047</v>
      </c>
      <c r="K10673" s="27" t="s">
        <v>45</v>
      </c>
      <c r="L10673" s="27"/>
    </row>
    <row r="10674" customFormat="false" ht="15" hidden="false" customHeight="false" outlineLevel="0" collapsed="false">
      <c r="A10674" s="26" t="s">
        <v>26261</v>
      </c>
      <c r="B10674" s="27" t="s">
        <v>26262</v>
      </c>
      <c r="C10674" s="27" t="s">
        <v>100</v>
      </c>
      <c r="D10674" s="26"/>
      <c r="E10674" s="27"/>
      <c r="F10674" s="27"/>
      <c r="G10674" s="27" t="s">
        <v>11122</v>
      </c>
      <c r="H10674" s="27" t="s">
        <v>35</v>
      </c>
      <c r="I10674" s="27" t="s">
        <v>45</v>
      </c>
      <c r="J10674" s="28" t="s">
        <v>1047</v>
      </c>
      <c r="K10674" s="27" t="s">
        <v>45</v>
      </c>
      <c r="L10674" s="27"/>
    </row>
    <row r="10675" customFormat="false" ht="15" hidden="false" customHeight="false" outlineLevel="0" collapsed="false">
      <c r="A10675" s="26" t="s">
        <v>26263</v>
      </c>
      <c r="B10675" s="27" t="s">
        <v>26264</v>
      </c>
      <c r="C10675" s="27" t="s">
        <v>100</v>
      </c>
      <c r="D10675" s="26"/>
      <c r="E10675" s="27"/>
      <c r="F10675" s="27"/>
      <c r="G10675" s="27" t="s">
        <v>11122</v>
      </c>
      <c r="H10675" s="27" t="s">
        <v>35</v>
      </c>
      <c r="I10675" s="27" t="s">
        <v>37</v>
      </c>
      <c r="J10675" s="28" t="s">
        <v>1047</v>
      </c>
      <c r="K10675" s="27" t="s">
        <v>45</v>
      </c>
      <c r="L10675" s="27"/>
    </row>
    <row r="10676" customFormat="false" ht="15" hidden="false" customHeight="false" outlineLevel="0" collapsed="false">
      <c r="A10676" s="26" t="s">
        <v>26265</v>
      </c>
      <c r="B10676" s="27" t="s">
        <v>26266</v>
      </c>
      <c r="C10676" s="27" t="s">
        <v>100</v>
      </c>
      <c r="D10676" s="26"/>
      <c r="E10676" s="27"/>
      <c r="F10676" s="27"/>
      <c r="G10676" s="27" t="s">
        <v>11122</v>
      </c>
      <c r="H10676" s="27" t="s">
        <v>35</v>
      </c>
      <c r="I10676" s="27" t="s">
        <v>37</v>
      </c>
      <c r="J10676" s="28" t="s">
        <v>1047</v>
      </c>
      <c r="K10676" s="27" t="s">
        <v>45</v>
      </c>
      <c r="L10676" s="27"/>
    </row>
    <row r="10677" customFormat="false" ht="15" hidden="false" customHeight="false" outlineLevel="0" collapsed="false">
      <c r="A10677" s="26" t="s">
        <v>26267</v>
      </c>
      <c r="B10677" s="27" t="s">
        <v>26268</v>
      </c>
      <c r="C10677" s="27" t="s">
        <v>100</v>
      </c>
      <c r="D10677" s="26"/>
      <c r="E10677" s="27"/>
      <c r="F10677" s="27"/>
      <c r="G10677" s="27" t="s">
        <v>11122</v>
      </c>
      <c r="H10677" s="27" t="s">
        <v>35</v>
      </c>
      <c r="I10677" s="27" t="s">
        <v>37</v>
      </c>
      <c r="J10677" s="28" t="s">
        <v>1047</v>
      </c>
      <c r="K10677" s="27" t="s">
        <v>45</v>
      </c>
      <c r="L10677" s="27"/>
    </row>
    <row r="10678" customFormat="false" ht="15" hidden="false" customHeight="false" outlineLevel="0" collapsed="false">
      <c r="A10678" s="26" t="s">
        <v>26269</v>
      </c>
      <c r="B10678" s="27" t="s">
        <v>26270</v>
      </c>
      <c r="C10678" s="27" t="s">
        <v>100</v>
      </c>
      <c r="D10678" s="26"/>
      <c r="E10678" s="27"/>
      <c r="F10678" s="27"/>
      <c r="G10678" s="27" t="s">
        <v>11122</v>
      </c>
      <c r="H10678" s="27" t="s">
        <v>35</v>
      </c>
      <c r="I10678" s="27" t="s">
        <v>45</v>
      </c>
      <c r="J10678" s="28" t="s">
        <v>1047</v>
      </c>
      <c r="K10678" s="27" t="s">
        <v>45</v>
      </c>
      <c r="L10678" s="27"/>
    </row>
    <row r="10679" customFormat="false" ht="15" hidden="false" customHeight="false" outlineLevel="0" collapsed="false">
      <c r="A10679" s="26" t="s">
        <v>26271</v>
      </c>
      <c r="B10679" s="27" t="s">
        <v>26272</v>
      </c>
      <c r="C10679" s="27" t="s">
        <v>100</v>
      </c>
      <c r="D10679" s="26"/>
      <c r="E10679" s="27"/>
      <c r="F10679" s="27"/>
      <c r="G10679" s="27" t="s">
        <v>11122</v>
      </c>
      <c r="H10679" s="27" t="s">
        <v>35</v>
      </c>
      <c r="I10679" s="27" t="s">
        <v>45</v>
      </c>
      <c r="J10679" s="28" t="s">
        <v>1047</v>
      </c>
      <c r="K10679" s="27" t="s">
        <v>45</v>
      </c>
      <c r="L10679" s="27"/>
    </row>
    <row r="10680" customFormat="false" ht="15" hidden="false" customHeight="false" outlineLevel="0" collapsed="false">
      <c r="A10680" s="26" t="s">
        <v>26273</v>
      </c>
      <c r="B10680" s="27" t="s">
        <v>26274</v>
      </c>
      <c r="C10680" s="27" t="s">
        <v>100</v>
      </c>
      <c r="D10680" s="26"/>
      <c r="E10680" s="27"/>
      <c r="F10680" s="27"/>
      <c r="G10680" s="27" t="s">
        <v>11122</v>
      </c>
      <c r="H10680" s="27" t="s">
        <v>35</v>
      </c>
      <c r="I10680" s="27" t="s">
        <v>45</v>
      </c>
      <c r="J10680" s="28" t="s">
        <v>1047</v>
      </c>
      <c r="K10680" s="27" t="s">
        <v>45</v>
      </c>
      <c r="L10680" s="27"/>
    </row>
    <row r="10681" customFormat="false" ht="15" hidden="false" customHeight="false" outlineLevel="0" collapsed="false">
      <c r="A10681" s="26" t="s">
        <v>26275</v>
      </c>
      <c r="B10681" s="27" t="s">
        <v>26276</v>
      </c>
      <c r="C10681" s="27" t="s">
        <v>100</v>
      </c>
      <c r="D10681" s="26"/>
      <c r="E10681" s="27"/>
      <c r="F10681" s="27"/>
      <c r="G10681" s="27" t="s">
        <v>11122</v>
      </c>
      <c r="H10681" s="27" t="s">
        <v>35</v>
      </c>
      <c r="I10681" s="27" t="s">
        <v>45</v>
      </c>
      <c r="J10681" s="28" t="s">
        <v>1047</v>
      </c>
      <c r="K10681" s="27" t="s">
        <v>45</v>
      </c>
      <c r="L10681" s="27"/>
    </row>
    <row r="10682" customFormat="false" ht="15" hidden="false" customHeight="false" outlineLevel="0" collapsed="false">
      <c r="A10682" s="26" t="s">
        <v>26277</v>
      </c>
      <c r="B10682" s="27" t="s">
        <v>26278</v>
      </c>
      <c r="C10682" s="27" t="s">
        <v>100</v>
      </c>
      <c r="D10682" s="26"/>
      <c r="E10682" s="27"/>
      <c r="F10682" s="27"/>
      <c r="G10682" s="27" t="s">
        <v>11122</v>
      </c>
      <c r="H10682" s="27" t="s">
        <v>35</v>
      </c>
      <c r="I10682" s="27" t="s">
        <v>45</v>
      </c>
      <c r="J10682" s="28" t="s">
        <v>1047</v>
      </c>
      <c r="K10682" s="27" t="s">
        <v>45</v>
      </c>
      <c r="L10682" s="27"/>
    </row>
    <row r="10683" customFormat="false" ht="15" hidden="false" customHeight="false" outlineLevel="0" collapsed="false">
      <c r="A10683" s="26" t="s">
        <v>26279</v>
      </c>
      <c r="B10683" s="27" t="s">
        <v>26280</v>
      </c>
      <c r="C10683" s="27" t="s">
        <v>1845</v>
      </c>
      <c r="D10683" s="26"/>
      <c r="E10683" s="27"/>
      <c r="F10683" s="27"/>
      <c r="G10683" s="27" t="s">
        <v>11122</v>
      </c>
      <c r="H10683" s="27" t="s">
        <v>35</v>
      </c>
      <c r="I10683" s="27" t="s">
        <v>38</v>
      </c>
      <c r="J10683" s="28" t="s">
        <v>1047</v>
      </c>
      <c r="K10683" s="27" t="s">
        <v>45</v>
      </c>
      <c r="L10683" s="27"/>
    </row>
    <row r="10684" customFormat="false" ht="15" hidden="false" customHeight="false" outlineLevel="0" collapsed="false">
      <c r="A10684" s="26" t="s">
        <v>26281</v>
      </c>
      <c r="B10684" s="27" t="s">
        <v>26282</v>
      </c>
      <c r="C10684" s="27" t="s">
        <v>137</v>
      </c>
      <c r="D10684" s="26"/>
      <c r="E10684" s="27"/>
      <c r="F10684" s="27"/>
      <c r="G10684" s="27" t="s">
        <v>11122</v>
      </c>
      <c r="H10684" s="27" t="s">
        <v>35</v>
      </c>
      <c r="I10684" s="27" t="s">
        <v>39</v>
      </c>
      <c r="J10684" s="28" t="s">
        <v>1047</v>
      </c>
      <c r="K10684" s="27" t="s">
        <v>45</v>
      </c>
      <c r="L10684" s="27"/>
    </row>
    <row r="10685" customFormat="false" ht="15" hidden="false" customHeight="false" outlineLevel="0" collapsed="false">
      <c r="A10685" s="26" t="s">
        <v>26283</v>
      </c>
      <c r="B10685" s="27" t="s">
        <v>26284</v>
      </c>
      <c r="C10685" s="27" t="s">
        <v>137</v>
      </c>
      <c r="D10685" s="26"/>
      <c r="E10685" s="27"/>
      <c r="F10685" s="27"/>
      <c r="G10685" s="27" t="s">
        <v>11122</v>
      </c>
      <c r="H10685" s="27" t="s">
        <v>35</v>
      </c>
      <c r="I10685" s="27" t="s">
        <v>38</v>
      </c>
      <c r="J10685" s="28" t="s">
        <v>1047</v>
      </c>
      <c r="K10685" s="27" t="s">
        <v>45</v>
      </c>
      <c r="L10685" s="27"/>
    </row>
    <row r="10686" customFormat="false" ht="15" hidden="false" customHeight="false" outlineLevel="0" collapsed="false">
      <c r="A10686" s="26" t="s">
        <v>26285</v>
      </c>
      <c r="B10686" s="27" t="s">
        <v>26286</v>
      </c>
      <c r="C10686" s="27" t="s">
        <v>100</v>
      </c>
      <c r="D10686" s="26"/>
      <c r="E10686" s="27"/>
      <c r="F10686" s="27"/>
      <c r="G10686" s="27" t="s">
        <v>11122</v>
      </c>
      <c r="H10686" s="27" t="s">
        <v>35</v>
      </c>
      <c r="I10686" s="27" t="s">
        <v>45</v>
      </c>
      <c r="J10686" s="28" t="s">
        <v>1047</v>
      </c>
      <c r="K10686" s="27" t="s">
        <v>45</v>
      </c>
      <c r="L10686" s="27"/>
    </row>
    <row r="10687" customFormat="false" ht="15" hidden="false" customHeight="false" outlineLevel="0" collapsed="false">
      <c r="A10687" s="26" t="s">
        <v>26287</v>
      </c>
      <c r="B10687" s="27" t="s">
        <v>26288</v>
      </c>
      <c r="C10687" s="27" t="s">
        <v>100</v>
      </c>
      <c r="D10687" s="26"/>
      <c r="E10687" s="27"/>
      <c r="F10687" s="27"/>
      <c r="G10687" s="27" t="s">
        <v>11122</v>
      </c>
      <c r="H10687" s="27" t="s">
        <v>35</v>
      </c>
      <c r="I10687" s="27" t="s">
        <v>37</v>
      </c>
      <c r="J10687" s="28" t="s">
        <v>1047</v>
      </c>
      <c r="K10687" s="27" t="s">
        <v>45</v>
      </c>
      <c r="L10687" s="27"/>
    </row>
    <row r="10688" customFormat="false" ht="15" hidden="false" customHeight="false" outlineLevel="0" collapsed="false">
      <c r="A10688" s="26" t="s">
        <v>26289</v>
      </c>
      <c r="B10688" s="27" t="s">
        <v>26290</v>
      </c>
      <c r="C10688" s="27" t="s">
        <v>100</v>
      </c>
      <c r="D10688" s="26"/>
      <c r="E10688" s="27"/>
      <c r="F10688" s="27"/>
      <c r="G10688" s="27" t="s">
        <v>11122</v>
      </c>
      <c r="H10688" s="27" t="s">
        <v>35</v>
      </c>
      <c r="I10688" s="27" t="s">
        <v>37</v>
      </c>
      <c r="J10688" s="28" t="s">
        <v>1047</v>
      </c>
      <c r="K10688" s="27" t="s">
        <v>45</v>
      </c>
      <c r="L10688" s="27"/>
    </row>
    <row r="10689" customFormat="false" ht="15" hidden="false" customHeight="false" outlineLevel="0" collapsed="false">
      <c r="A10689" s="26" t="s">
        <v>26291</v>
      </c>
      <c r="B10689" s="27" t="s">
        <v>26292</v>
      </c>
      <c r="C10689" s="27" t="s">
        <v>137</v>
      </c>
      <c r="D10689" s="26"/>
      <c r="E10689" s="27"/>
      <c r="F10689" s="27"/>
      <c r="G10689" s="27" t="s">
        <v>11122</v>
      </c>
      <c r="H10689" s="27" t="s">
        <v>35</v>
      </c>
      <c r="I10689" s="27" t="s">
        <v>38</v>
      </c>
      <c r="J10689" s="28" t="s">
        <v>1047</v>
      </c>
      <c r="K10689" s="27" t="s">
        <v>45</v>
      </c>
      <c r="L10689" s="27"/>
    </row>
    <row r="10690" customFormat="false" ht="15" hidden="false" customHeight="false" outlineLevel="0" collapsed="false">
      <c r="A10690" s="26" t="s">
        <v>26293</v>
      </c>
      <c r="B10690" s="27" t="s">
        <v>26294</v>
      </c>
      <c r="C10690" s="27" t="s">
        <v>100</v>
      </c>
      <c r="D10690" s="26"/>
      <c r="E10690" s="27"/>
      <c r="F10690" s="27"/>
      <c r="G10690" s="27" t="s">
        <v>11122</v>
      </c>
      <c r="H10690" s="27" t="s">
        <v>35</v>
      </c>
      <c r="I10690" s="27" t="s">
        <v>37</v>
      </c>
      <c r="J10690" s="28" t="s">
        <v>1047</v>
      </c>
      <c r="K10690" s="27" t="s">
        <v>45</v>
      </c>
      <c r="L10690" s="27"/>
    </row>
    <row r="10691" customFormat="false" ht="15" hidden="false" customHeight="false" outlineLevel="0" collapsed="false">
      <c r="A10691" s="26" t="s">
        <v>26295</v>
      </c>
      <c r="B10691" s="27" t="s">
        <v>26296</v>
      </c>
      <c r="C10691" s="27" t="s">
        <v>100</v>
      </c>
      <c r="D10691" s="26"/>
      <c r="E10691" s="27"/>
      <c r="F10691" s="27"/>
      <c r="G10691" s="27" t="s">
        <v>11122</v>
      </c>
      <c r="H10691" s="27" t="s">
        <v>35</v>
      </c>
      <c r="I10691" s="27" t="s">
        <v>37</v>
      </c>
      <c r="J10691" s="28" t="s">
        <v>1047</v>
      </c>
      <c r="K10691" s="27" t="s">
        <v>45</v>
      </c>
      <c r="L10691" s="27"/>
    </row>
    <row r="10692" customFormat="false" ht="15" hidden="false" customHeight="false" outlineLevel="0" collapsed="false">
      <c r="A10692" s="26" t="s">
        <v>26297</v>
      </c>
      <c r="B10692" s="27" t="s">
        <v>26298</v>
      </c>
      <c r="C10692" s="27" t="s">
        <v>100</v>
      </c>
      <c r="D10692" s="26"/>
      <c r="E10692" s="27"/>
      <c r="F10692" s="27"/>
      <c r="G10692" s="27" t="s">
        <v>11122</v>
      </c>
      <c r="H10692" s="27" t="s">
        <v>35</v>
      </c>
      <c r="I10692" s="27" t="s">
        <v>45</v>
      </c>
      <c r="J10692" s="28" t="s">
        <v>1047</v>
      </c>
      <c r="K10692" s="27" t="s">
        <v>45</v>
      </c>
      <c r="L10692" s="27"/>
    </row>
    <row r="10693" customFormat="false" ht="15" hidden="false" customHeight="false" outlineLevel="0" collapsed="false">
      <c r="A10693" s="26" t="s">
        <v>26299</v>
      </c>
      <c r="B10693" s="27" t="s">
        <v>26300</v>
      </c>
      <c r="C10693" s="27" t="s">
        <v>100</v>
      </c>
      <c r="D10693" s="26"/>
      <c r="E10693" s="27"/>
      <c r="F10693" s="27"/>
      <c r="G10693" s="27" t="s">
        <v>11122</v>
      </c>
      <c r="H10693" s="27" t="s">
        <v>35</v>
      </c>
      <c r="I10693" s="27" t="s">
        <v>45</v>
      </c>
      <c r="J10693" s="28" t="s">
        <v>1047</v>
      </c>
      <c r="K10693" s="27" t="s">
        <v>45</v>
      </c>
      <c r="L10693" s="27"/>
    </row>
    <row r="10694" customFormat="false" ht="15" hidden="false" customHeight="false" outlineLevel="0" collapsed="false">
      <c r="A10694" s="26" t="s">
        <v>26301</v>
      </c>
      <c r="B10694" s="27" t="s">
        <v>26302</v>
      </c>
      <c r="C10694" s="27" t="s">
        <v>100</v>
      </c>
      <c r="D10694" s="26"/>
      <c r="E10694" s="27"/>
      <c r="F10694" s="27"/>
      <c r="G10694" s="27" t="s">
        <v>11122</v>
      </c>
      <c r="H10694" s="27" t="s">
        <v>35</v>
      </c>
      <c r="I10694" s="27" t="s">
        <v>45</v>
      </c>
      <c r="J10694" s="28" t="s">
        <v>1047</v>
      </c>
      <c r="K10694" s="27" t="s">
        <v>45</v>
      </c>
      <c r="L10694" s="27"/>
    </row>
    <row r="10695" customFormat="false" ht="15" hidden="false" customHeight="false" outlineLevel="0" collapsed="false">
      <c r="A10695" s="26" t="s">
        <v>26303</v>
      </c>
      <c r="B10695" s="27" t="s">
        <v>26304</v>
      </c>
      <c r="C10695" s="27" t="s">
        <v>100</v>
      </c>
      <c r="D10695" s="26"/>
      <c r="E10695" s="27"/>
      <c r="F10695" s="27"/>
      <c r="G10695" s="27" t="s">
        <v>11122</v>
      </c>
      <c r="H10695" s="27" t="s">
        <v>35</v>
      </c>
      <c r="I10695" s="27" t="s">
        <v>45</v>
      </c>
      <c r="J10695" s="28" t="s">
        <v>1047</v>
      </c>
      <c r="K10695" s="27" t="s">
        <v>45</v>
      </c>
      <c r="L10695" s="27"/>
    </row>
    <row r="10696" customFormat="false" ht="15" hidden="false" customHeight="false" outlineLevel="0" collapsed="false">
      <c r="A10696" s="26" t="s">
        <v>26305</v>
      </c>
      <c r="B10696" s="27" t="s">
        <v>26306</v>
      </c>
      <c r="C10696" s="27" t="s">
        <v>100</v>
      </c>
      <c r="D10696" s="26"/>
      <c r="E10696" s="27"/>
      <c r="F10696" s="27"/>
      <c r="G10696" s="27" t="s">
        <v>11122</v>
      </c>
      <c r="H10696" s="27" t="s">
        <v>35</v>
      </c>
      <c r="I10696" s="27" t="s">
        <v>45</v>
      </c>
      <c r="J10696" s="28" t="s">
        <v>1047</v>
      </c>
      <c r="K10696" s="27" t="s">
        <v>45</v>
      </c>
      <c r="L10696" s="27"/>
    </row>
    <row r="10697" customFormat="false" ht="15" hidden="false" customHeight="false" outlineLevel="0" collapsed="false">
      <c r="A10697" s="26" t="s">
        <v>26307</v>
      </c>
      <c r="B10697" s="27" t="s">
        <v>26308</v>
      </c>
      <c r="C10697" s="27" t="s">
        <v>100</v>
      </c>
      <c r="D10697" s="26"/>
      <c r="E10697" s="27"/>
      <c r="F10697" s="27"/>
      <c r="G10697" s="27" t="s">
        <v>11122</v>
      </c>
      <c r="H10697" s="27" t="s">
        <v>35</v>
      </c>
      <c r="I10697" s="27" t="s">
        <v>45</v>
      </c>
      <c r="J10697" s="28" t="s">
        <v>1047</v>
      </c>
      <c r="K10697" s="27" t="s">
        <v>45</v>
      </c>
      <c r="L10697" s="27"/>
    </row>
    <row r="10698" customFormat="false" ht="15" hidden="false" customHeight="false" outlineLevel="0" collapsed="false">
      <c r="A10698" s="26" t="s">
        <v>26309</v>
      </c>
      <c r="B10698" s="27" t="s">
        <v>26310</v>
      </c>
      <c r="C10698" s="27" t="s">
        <v>100</v>
      </c>
      <c r="D10698" s="26"/>
      <c r="E10698" s="27"/>
      <c r="F10698" s="27"/>
      <c r="G10698" s="27" t="s">
        <v>11122</v>
      </c>
      <c r="H10698" s="27" t="s">
        <v>35</v>
      </c>
      <c r="I10698" s="27" t="s">
        <v>45</v>
      </c>
      <c r="J10698" s="28" t="s">
        <v>1047</v>
      </c>
      <c r="K10698" s="27" t="s">
        <v>45</v>
      </c>
      <c r="L10698" s="27"/>
    </row>
    <row r="10699" customFormat="false" ht="15" hidden="false" customHeight="false" outlineLevel="0" collapsed="false">
      <c r="A10699" s="26" t="s">
        <v>26311</v>
      </c>
      <c r="B10699" s="27" t="s">
        <v>26312</v>
      </c>
      <c r="C10699" s="27" t="s">
        <v>100</v>
      </c>
      <c r="D10699" s="26"/>
      <c r="E10699" s="27"/>
      <c r="F10699" s="27"/>
      <c r="G10699" s="27" t="s">
        <v>11122</v>
      </c>
      <c r="H10699" s="27" t="s">
        <v>35</v>
      </c>
      <c r="I10699" s="27" t="s">
        <v>45</v>
      </c>
      <c r="J10699" s="28" t="s">
        <v>1047</v>
      </c>
      <c r="K10699" s="27" t="s">
        <v>45</v>
      </c>
      <c r="L10699" s="27"/>
    </row>
    <row r="10700" customFormat="false" ht="15" hidden="false" customHeight="false" outlineLevel="0" collapsed="false">
      <c r="A10700" s="26" t="s">
        <v>26313</v>
      </c>
      <c r="B10700" s="27" t="s">
        <v>26314</v>
      </c>
      <c r="C10700" s="27" t="s">
        <v>100</v>
      </c>
      <c r="D10700" s="26"/>
      <c r="E10700" s="27"/>
      <c r="F10700" s="27"/>
      <c r="G10700" s="27" t="s">
        <v>11122</v>
      </c>
      <c r="H10700" s="27" t="s">
        <v>35</v>
      </c>
      <c r="I10700" s="27" t="s">
        <v>45</v>
      </c>
      <c r="J10700" s="28" t="s">
        <v>1047</v>
      </c>
      <c r="K10700" s="27" t="s">
        <v>45</v>
      </c>
      <c r="L10700" s="27"/>
    </row>
    <row r="10701" customFormat="false" ht="15" hidden="false" customHeight="false" outlineLevel="0" collapsed="false">
      <c r="A10701" s="26" t="s">
        <v>26315</v>
      </c>
      <c r="B10701" s="27" t="s">
        <v>26316</v>
      </c>
      <c r="C10701" s="27" t="s">
        <v>100</v>
      </c>
      <c r="D10701" s="26"/>
      <c r="E10701" s="27"/>
      <c r="F10701" s="27"/>
      <c r="G10701" s="27" t="s">
        <v>11122</v>
      </c>
      <c r="H10701" s="27" t="s">
        <v>35</v>
      </c>
      <c r="I10701" s="27" t="s">
        <v>38</v>
      </c>
      <c r="J10701" s="28" t="s">
        <v>1047</v>
      </c>
      <c r="K10701" s="27" t="s">
        <v>45</v>
      </c>
      <c r="L10701" s="27"/>
    </row>
    <row r="10702" customFormat="false" ht="15" hidden="false" customHeight="false" outlineLevel="0" collapsed="false">
      <c r="A10702" s="26" t="s">
        <v>26317</v>
      </c>
      <c r="B10702" s="27" t="s">
        <v>26318</v>
      </c>
      <c r="C10702" s="27" t="s">
        <v>100</v>
      </c>
      <c r="D10702" s="26"/>
      <c r="E10702" s="27"/>
      <c r="F10702" s="27"/>
      <c r="G10702" s="27" t="s">
        <v>11122</v>
      </c>
      <c r="H10702" s="27" t="s">
        <v>35</v>
      </c>
      <c r="I10702" s="27" t="s">
        <v>38</v>
      </c>
      <c r="J10702" s="28" t="s">
        <v>1047</v>
      </c>
      <c r="K10702" s="27" t="s">
        <v>45</v>
      </c>
      <c r="L10702" s="27"/>
    </row>
    <row r="10703" customFormat="false" ht="15" hidden="false" customHeight="false" outlineLevel="0" collapsed="false">
      <c r="A10703" s="26" t="s">
        <v>26319</v>
      </c>
      <c r="B10703" s="27" t="s">
        <v>26320</v>
      </c>
      <c r="C10703" s="27" t="s">
        <v>100</v>
      </c>
      <c r="D10703" s="26"/>
      <c r="E10703" s="27"/>
      <c r="F10703" s="27"/>
      <c r="G10703" s="27" t="s">
        <v>11122</v>
      </c>
      <c r="H10703" s="27" t="s">
        <v>35</v>
      </c>
      <c r="I10703" s="27" t="s">
        <v>45</v>
      </c>
      <c r="J10703" s="28" t="s">
        <v>1047</v>
      </c>
      <c r="K10703" s="27" t="s">
        <v>45</v>
      </c>
      <c r="L10703" s="27"/>
    </row>
    <row r="10704" customFormat="false" ht="15" hidden="false" customHeight="false" outlineLevel="0" collapsed="false">
      <c r="A10704" s="26" t="s">
        <v>26321</v>
      </c>
      <c r="B10704" s="27" t="s">
        <v>26322</v>
      </c>
      <c r="C10704" s="27" t="s">
        <v>100</v>
      </c>
      <c r="D10704" s="26"/>
      <c r="E10704" s="27"/>
      <c r="F10704" s="27"/>
      <c r="G10704" s="27" t="s">
        <v>11122</v>
      </c>
      <c r="H10704" s="27" t="s">
        <v>35</v>
      </c>
      <c r="I10704" s="27" t="s">
        <v>45</v>
      </c>
      <c r="J10704" s="28" t="s">
        <v>1047</v>
      </c>
      <c r="K10704" s="27" t="s">
        <v>45</v>
      </c>
      <c r="L10704" s="27"/>
    </row>
    <row r="10705" customFormat="false" ht="15" hidden="false" customHeight="false" outlineLevel="0" collapsed="false">
      <c r="A10705" s="26" t="s">
        <v>26323</v>
      </c>
      <c r="B10705" s="27" t="s">
        <v>26324</v>
      </c>
      <c r="C10705" s="27" t="s">
        <v>100</v>
      </c>
      <c r="D10705" s="26"/>
      <c r="E10705" s="27"/>
      <c r="F10705" s="27"/>
      <c r="G10705" s="27" t="s">
        <v>11122</v>
      </c>
      <c r="H10705" s="27" t="s">
        <v>35</v>
      </c>
      <c r="I10705" s="27" t="s">
        <v>45</v>
      </c>
      <c r="J10705" s="28" t="s">
        <v>1047</v>
      </c>
      <c r="K10705" s="27" t="s">
        <v>45</v>
      </c>
      <c r="L10705" s="27"/>
    </row>
    <row r="10706" customFormat="false" ht="15" hidden="false" customHeight="false" outlineLevel="0" collapsed="false">
      <c r="A10706" s="26" t="s">
        <v>26325</v>
      </c>
      <c r="B10706" s="27" t="s">
        <v>26326</v>
      </c>
      <c r="C10706" s="27" t="s">
        <v>137</v>
      </c>
      <c r="D10706" s="26"/>
      <c r="E10706" s="27"/>
      <c r="F10706" s="27"/>
      <c r="G10706" s="27" t="s">
        <v>11122</v>
      </c>
      <c r="H10706" s="27" t="s">
        <v>35</v>
      </c>
      <c r="I10706" s="27" t="s">
        <v>44</v>
      </c>
      <c r="J10706" s="28" t="s">
        <v>1047</v>
      </c>
      <c r="K10706" s="27" t="s">
        <v>45</v>
      </c>
      <c r="L10706" s="27"/>
    </row>
    <row r="10707" customFormat="false" ht="15" hidden="false" customHeight="false" outlineLevel="0" collapsed="false">
      <c r="A10707" s="26" t="s">
        <v>26327</v>
      </c>
      <c r="B10707" s="27" t="s">
        <v>26328</v>
      </c>
      <c r="C10707" s="27" t="s">
        <v>137</v>
      </c>
      <c r="D10707" s="26"/>
      <c r="E10707" s="27"/>
      <c r="F10707" s="27"/>
      <c r="G10707" s="27" t="s">
        <v>11122</v>
      </c>
      <c r="H10707" s="27" t="s">
        <v>35</v>
      </c>
      <c r="I10707" s="27" t="s">
        <v>44</v>
      </c>
      <c r="J10707" s="28" t="s">
        <v>1047</v>
      </c>
      <c r="K10707" s="27" t="s">
        <v>45</v>
      </c>
      <c r="L10707" s="27"/>
    </row>
    <row r="10708" customFormat="false" ht="15" hidden="false" customHeight="false" outlineLevel="0" collapsed="false">
      <c r="A10708" s="26" t="s">
        <v>26329</v>
      </c>
      <c r="B10708" s="27" t="s">
        <v>26330</v>
      </c>
      <c r="C10708" s="27" t="s">
        <v>137</v>
      </c>
      <c r="D10708" s="26"/>
      <c r="E10708" s="27"/>
      <c r="F10708" s="27"/>
      <c r="G10708" s="27" t="s">
        <v>11122</v>
      </c>
      <c r="H10708" s="27" t="s">
        <v>35</v>
      </c>
      <c r="I10708" s="27" t="s">
        <v>44</v>
      </c>
      <c r="J10708" s="28" t="s">
        <v>1047</v>
      </c>
      <c r="K10708" s="27" t="s">
        <v>45</v>
      </c>
      <c r="L10708" s="27"/>
    </row>
    <row r="10709" customFormat="false" ht="15" hidden="false" customHeight="false" outlineLevel="0" collapsed="false">
      <c r="A10709" s="26" t="s">
        <v>26331</v>
      </c>
      <c r="B10709" s="27" t="s">
        <v>26332</v>
      </c>
      <c r="C10709" s="27" t="s">
        <v>1087</v>
      </c>
      <c r="D10709" s="26"/>
      <c r="E10709" s="27"/>
      <c r="F10709" s="27"/>
      <c r="G10709" s="27" t="s">
        <v>11122</v>
      </c>
      <c r="H10709" s="27" t="s">
        <v>35</v>
      </c>
      <c r="I10709" s="27" t="s">
        <v>44</v>
      </c>
      <c r="J10709" s="28" t="s">
        <v>1047</v>
      </c>
      <c r="K10709" s="27" t="s">
        <v>45</v>
      </c>
      <c r="L10709" s="27"/>
    </row>
    <row r="10710" customFormat="false" ht="15" hidden="false" customHeight="false" outlineLevel="0" collapsed="false">
      <c r="A10710" s="26" t="s">
        <v>26333</v>
      </c>
      <c r="B10710" s="27" t="s">
        <v>26334</v>
      </c>
      <c r="C10710" s="27" t="s">
        <v>1087</v>
      </c>
      <c r="D10710" s="26"/>
      <c r="E10710" s="27"/>
      <c r="F10710" s="27"/>
      <c r="G10710" s="27" t="s">
        <v>11122</v>
      </c>
      <c r="H10710" s="27" t="s">
        <v>35</v>
      </c>
      <c r="I10710" s="27" t="s">
        <v>44</v>
      </c>
      <c r="J10710" s="28" t="s">
        <v>1047</v>
      </c>
      <c r="K10710" s="27" t="s">
        <v>45</v>
      </c>
      <c r="L10710" s="27"/>
    </row>
    <row r="10711" customFormat="false" ht="15" hidden="false" customHeight="false" outlineLevel="0" collapsed="false">
      <c r="A10711" s="26" t="s">
        <v>26335</v>
      </c>
      <c r="B10711" s="27" t="s">
        <v>26336</v>
      </c>
      <c r="C10711" s="27" t="s">
        <v>1087</v>
      </c>
      <c r="D10711" s="26"/>
      <c r="E10711" s="27"/>
      <c r="F10711" s="27"/>
      <c r="G10711" s="27" t="s">
        <v>11122</v>
      </c>
      <c r="H10711" s="27" t="s">
        <v>35</v>
      </c>
      <c r="I10711" s="27" t="s">
        <v>44</v>
      </c>
      <c r="J10711" s="28" t="s">
        <v>1047</v>
      </c>
      <c r="K10711" s="27" t="s">
        <v>45</v>
      </c>
      <c r="L10711" s="27"/>
    </row>
    <row r="10712" customFormat="false" ht="15" hidden="false" customHeight="false" outlineLevel="0" collapsed="false">
      <c r="A10712" s="26" t="s">
        <v>26337</v>
      </c>
      <c r="B10712" s="27" t="s">
        <v>26338</v>
      </c>
      <c r="C10712" s="27" t="s">
        <v>1087</v>
      </c>
      <c r="D10712" s="26"/>
      <c r="E10712" s="27"/>
      <c r="F10712" s="27"/>
      <c r="G10712" s="27" t="s">
        <v>11122</v>
      </c>
      <c r="H10712" s="27" t="s">
        <v>35</v>
      </c>
      <c r="I10712" s="27" t="s">
        <v>44</v>
      </c>
      <c r="J10712" s="28" t="s">
        <v>1047</v>
      </c>
      <c r="K10712" s="27" t="s">
        <v>45</v>
      </c>
      <c r="L10712" s="27"/>
    </row>
    <row r="10713" customFormat="false" ht="15" hidden="false" customHeight="false" outlineLevel="0" collapsed="false">
      <c r="A10713" s="26" t="s">
        <v>26339</v>
      </c>
      <c r="B10713" s="27" t="s">
        <v>26340</v>
      </c>
      <c r="C10713" s="27" t="s">
        <v>1087</v>
      </c>
      <c r="D10713" s="26"/>
      <c r="E10713" s="27"/>
      <c r="F10713" s="27"/>
      <c r="G10713" s="27" t="s">
        <v>11122</v>
      </c>
      <c r="H10713" s="27" t="s">
        <v>35</v>
      </c>
      <c r="I10713" s="27" t="s">
        <v>45</v>
      </c>
      <c r="J10713" s="28" t="s">
        <v>1047</v>
      </c>
      <c r="K10713" s="27" t="s">
        <v>45</v>
      </c>
      <c r="L10713" s="27"/>
    </row>
    <row r="10714" customFormat="false" ht="15" hidden="false" customHeight="false" outlineLevel="0" collapsed="false">
      <c r="A10714" s="26" t="s">
        <v>26341</v>
      </c>
      <c r="B10714" s="27" t="s">
        <v>26342</v>
      </c>
      <c r="C10714" s="27" t="s">
        <v>1087</v>
      </c>
      <c r="D10714" s="26"/>
      <c r="E10714" s="27"/>
      <c r="F10714" s="27"/>
      <c r="G10714" s="27" t="s">
        <v>11122</v>
      </c>
      <c r="H10714" s="27" t="s">
        <v>35</v>
      </c>
      <c r="I10714" s="27" t="s">
        <v>44</v>
      </c>
      <c r="J10714" s="28" t="s">
        <v>1047</v>
      </c>
      <c r="K10714" s="27" t="s">
        <v>45</v>
      </c>
      <c r="L10714" s="27"/>
    </row>
    <row r="10715" customFormat="false" ht="15" hidden="false" customHeight="false" outlineLevel="0" collapsed="false">
      <c r="A10715" s="26" t="s">
        <v>26343</v>
      </c>
      <c r="B10715" s="27" t="s">
        <v>26344</v>
      </c>
      <c r="C10715" s="27" t="s">
        <v>1087</v>
      </c>
      <c r="D10715" s="26"/>
      <c r="E10715" s="27"/>
      <c r="F10715" s="27"/>
      <c r="G10715" s="27" t="s">
        <v>11122</v>
      </c>
      <c r="H10715" s="27" t="s">
        <v>35</v>
      </c>
      <c r="I10715" s="27" t="s">
        <v>44</v>
      </c>
      <c r="J10715" s="28" t="s">
        <v>1047</v>
      </c>
      <c r="K10715" s="27" t="s">
        <v>45</v>
      </c>
      <c r="L10715" s="27"/>
    </row>
    <row r="10716" customFormat="false" ht="15" hidden="false" customHeight="false" outlineLevel="0" collapsed="false">
      <c r="A10716" s="26" t="s">
        <v>26345</v>
      </c>
      <c r="B10716" s="27" t="s">
        <v>26346</v>
      </c>
      <c r="C10716" s="27" t="s">
        <v>1087</v>
      </c>
      <c r="D10716" s="26"/>
      <c r="E10716" s="27"/>
      <c r="F10716" s="27"/>
      <c r="G10716" s="27" t="s">
        <v>11122</v>
      </c>
      <c r="H10716" s="27" t="s">
        <v>35</v>
      </c>
      <c r="I10716" s="27" t="s">
        <v>44</v>
      </c>
      <c r="J10716" s="28" t="s">
        <v>1047</v>
      </c>
      <c r="K10716" s="27" t="s">
        <v>45</v>
      </c>
      <c r="L10716" s="27"/>
    </row>
    <row r="10717" customFormat="false" ht="15" hidden="false" customHeight="false" outlineLevel="0" collapsed="false">
      <c r="A10717" s="26" t="s">
        <v>26347</v>
      </c>
      <c r="B10717" s="27" t="s">
        <v>26348</v>
      </c>
      <c r="C10717" s="27" t="s">
        <v>1087</v>
      </c>
      <c r="D10717" s="26"/>
      <c r="E10717" s="27"/>
      <c r="F10717" s="27"/>
      <c r="G10717" s="27" t="s">
        <v>11122</v>
      </c>
      <c r="H10717" s="27" t="s">
        <v>35</v>
      </c>
      <c r="I10717" s="27" t="s">
        <v>44</v>
      </c>
      <c r="J10717" s="28" t="s">
        <v>1047</v>
      </c>
      <c r="K10717" s="27" t="s">
        <v>45</v>
      </c>
      <c r="L10717" s="27"/>
    </row>
    <row r="10718" customFormat="false" ht="15" hidden="false" customHeight="false" outlineLevel="0" collapsed="false">
      <c r="A10718" s="26" t="s">
        <v>26349</v>
      </c>
      <c r="B10718" s="27" t="s">
        <v>26350</v>
      </c>
      <c r="C10718" s="27" t="s">
        <v>1087</v>
      </c>
      <c r="D10718" s="26"/>
      <c r="E10718" s="27"/>
      <c r="F10718" s="27"/>
      <c r="G10718" s="27" t="s">
        <v>11122</v>
      </c>
      <c r="H10718" s="27" t="s">
        <v>35</v>
      </c>
      <c r="I10718" s="27" t="s">
        <v>45</v>
      </c>
      <c r="J10718" s="28" t="s">
        <v>1047</v>
      </c>
      <c r="K10718" s="27" t="s">
        <v>45</v>
      </c>
      <c r="L10718" s="27"/>
    </row>
    <row r="10719" customFormat="false" ht="15" hidden="false" customHeight="false" outlineLevel="0" collapsed="false">
      <c r="A10719" s="26" t="s">
        <v>26351</v>
      </c>
      <c r="B10719" s="27" t="s">
        <v>26352</v>
      </c>
      <c r="C10719" s="27" t="s">
        <v>1087</v>
      </c>
      <c r="D10719" s="26"/>
      <c r="E10719" s="27"/>
      <c r="F10719" s="27"/>
      <c r="G10719" s="27" t="s">
        <v>11122</v>
      </c>
      <c r="H10719" s="27" t="s">
        <v>35</v>
      </c>
      <c r="I10719" s="27" t="s">
        <v>45</v>
      </c>
      <c r="J10719" s="28" t="s">
        <v>1047</v>
      </c>
      <c r="K10719" s="27" t="s">
        <v>45</v>
      </c>
      <c r="L10719" s="27"/>
    </row>
    <row r="10720" customFormat="false" ht="15" hidden="false" customHeight="false" outlineLevel="0" collapsed="false">
      <c r="A10720" s="26" t="s">
        <v>26353</v>
      </c>
      <c r="B10720" s="27" t="s">
        <v>26354</v>
      </c>
      <c r="C10720" s="27" t="s">
        <v>100</v>
      </c>
      <c r="D10720" s="26"/>
      <c r="E10720" s="27"/>
      <c r="F10720" s="27"/>
      <c r="G10720" s="27" t="s">
        <v>11122</v>
      </c>
      <c r="H10720" s="27" t="s">
        <v>35</v>
      </c>
      <c r="I10720" s="27" t="s">
        <v>45</v>
      </c>
      <c r="J10720" s="28" t="s">
        <v>1047</v>
      </c>
      <c r="K10720" s="27" t="s">
        <v>45</v>
      </c>
      <c r="L10720" s="27"/>
    </row>
    <row r="10721" customFormat="false" ht="15" hidden="false" customHeight="false" outlineLevel="0" collapsed="false">
      <c r="A10721" s="26" t="s">
        <v>26355</v>
      </c>
      <c r="B10721" s="27" t="s">
        <v>26356</v>
      </c>
      <c r="C10721" s="27" t="s">
        <v>100</v>
      </c>
      <c r="D10721" s="26"/>
      <c r="E10721" s="27"/>
      <c r="F10721" s="27"/>
      <c r="G10721" s="27" t="s">
        <v>11122</v>
      </c>
      <c r="H10721" s="27" t="s">
        <v>35</v>
      </c>
      <c r="I10721" s="27" t="s">
        <v>45</v>
      </c>
      <c r="J10721" s="28" t="s">
        <v>1047</v>
      </c>
      <c r="K10721" s="27" t="s">
        <v>45</v>
      </c>
      <c r="L10721" s="27"/>
    </row>
    <row r="10722" customFormat="false" ht="15" hidden="false" customHeight="false" outlineLevel="0" collapsed="false">
      <c r="A10722" s="26" t="s">
        <v>26357</v>
      </c>
      <c r="B10722" s="27" t="s">
        <v>26358</v>
      </c>
      <c r="C10722" s="27" t="s">
        <v>100</v>
      </c>
      <c r="D10722" s="26"/>
      <c r="E10722" s="27"/>
      <c r="F10722" s="27"/>
      <c r="G10722" s="27" t="s">
        <v>11122</v>
      </c>
      <c r="H10722" s="27" t="s">
        <v>35</v>
      </c>
      <c r="I10722" s="27" t="s">
        <v>37</v>
      </c>
      <c r="J10722" s="28" t="s">
        <v>1047</v>
      </c>
      <c r="K10722" s="27" t="s">
        <v>45</v>
      </c>
      <c r="L10722" s="27"/>
    </row>
    <row r="10723" customFormat="false" ht="15" hidden="false" customHeight="false" outlineLevel="0" collapsed="false">
      <c r="A10723" s="26" t="s">
        <v>26359</v>
      </c>
      <c r="B10723" s="27" t="s">
        <v>26360</v>
      </c>
      <c r="C10723" s="27" t="s">
        <v>100</v>
      </c>
      <c r="D10723" s="26"/>
      <c r="E10723" s="27"/>
      <c r="F10723" s="27"/>
      <c r="G10723" s="27" t="s">
        <v>11122</v>
      </c>
      <c r="H10723" s="27" t="s">
        <v>35</v>
      </c>
      <c r="I10723" s="27" t="s">
        <v>45</v>
      </c>
      <c r="J10723" s="28" t="s">
        <v>1047</v>
      </c>
      <c r="K10723" s="27" t="s">
        <v>45</v>
      </c>
      <c r="L10723" s="27"/>
    </row>
    <row r="10724" customFormat="false" ht="15" hidden="false" customHeight="false" outlineLevel="0" collapsed="false">
      <c r="A10724" s="26" t="s">
        <v>26361</v>
      </c>
      <c r="B10724" s="27" t="s">
        <v>26362</v>
      </c>
      <c r="C10724" s="27" t="s">
        <v>100</v>
      </c>
      <c r="D10724" s="26"/>
      <c r="E10724" s="27"/>
      <c r="F10724" s="27"/>
      <c r="G10724" s="27" t="s">
        <v>11122</v>
      </c>
      <c r="H10724" s="27" t="s">
        <v>35</v>
      </c>
      <c r="I10724" s="27" t="s">
        <v>45</v>
      </c>
      <c r="J10724" s="28" t="s">
        <v>1047</v>
      </c>
      <c r="K10724" s="27" t="s">
        <v>45</v>
      </c>
      <c r="L10724" s="27"/>
    </row>
    <row r="10725" customFormat="false" ht="15" hidden="false" customHeight="false" outlineLevel="0" collapsed="false">
      <c r="A10725" s="26" t="s">
        <v>26363</v>
      </c>
      <c r="B10725" s="27" t="s">
        <v>26364</v>
      </c>
      <c r="C10725" s="27" t="s">
        <v>100</v>
      </c>
      <c r="D10725" s="26"/>
      <c r="E10725" s="27"/>
      <c r="F10725" s="27"/>
      <c r="G10725" s="27" t="s">
        <v>11122</v>
      </c>
      <c r="H10725" s="27" t="s">
        <v>35</v>
      </c>
      <c r="I10725" s="27" t="s">
        <v>45</v>
      </c>
      <c r="J10725" s="28" t="s">
        <v>1047</v>
      </c>
      <c r="K10725" s="27" t="s">
        <v>45</v>
      </c>
      <c r="L10725" s="27"/>
    </row>
    <row r="10726" customFormat="false" ht="15" hidden="false" customHeight="false" outlineLevel="0" collapsed="false">
      <c r="A10726" s="26" t="s">
        <v>26365</v>
      </c>
      <c r="B10726" s="27" t="s">
        <v>26366</v>
      </c>
      <c r="C10726" s="27" t="s">
        <v>100</v>
      </c>
      <c r="D10726" s="26"/>
      <c r="E10726" s="27"/>
      <c r="F10726" s="27"/>
      <c r="G10726" s="27" t="s">
        <v>11122</v>
      </c>
      <c r="H10726" s="27" t="s">
        <v>35</v>
      </c>
      <c r="I10726" s="27" t="s">
        <v>45</v>
      </c>
      <c r="J10726" s="28" t="s">
        <v>1047</v>
      </c>
      <c r="K10726" s="27" t="s">
        <v>45</v>
      </c>
      <c r="L10726" s="27"/>
    </row>
    <row r="10727" customFormat="false" ht="15" hidden="false" customHeight="false" outlineLevel="0" collapsed="false">
      <c r="A10727" s="26" t="s">
        <v>26367</v>
      </c>
      <c r="B10727" s="27" t="s">
        <v>26368</v>
      </c>
      <c r="C10727" s="27" t="s">
        <v>100</v>
      </c>
      <c r="D10727" s="26"/>
      <c r="E10727" s="27"/>
      <c r="F10727" s="27"/>
      <c r="G10727" s="27" t="s">
        <v>11122</v>
      </c>
      <c r="H10727" s="27" t="s">
        <v>35</v>
      </c>
      <c r="I10727" s="27" t="s">
        <v>45</v>
      </c>
      <c r="J10727" s="28" t="s">
        <v>1047</v>
      </c>
      <c r="K10727" s="27" t="s">
        <v>45</v>
      </c>
      <c r="L10727" s="27"/>
    </row>
    <row r="10728" customFormat="false" ht="15" hidden="false" customHeight="false" outlineLevel="0" collapsed="false">
      <c r="A10728" s="26" t="s">
        <v>26369</v>
      </c>
      <c r="B10728" s="27" t="s">
        <v>26370</v>
      </c>
      <c r="C10728" s="27" t="s">
        <v>100</v>
      </c>
      <c r="D10728" s="26"/>
      <c r="E10728" s="27"/>
      <c r="F10728" s="27"/>
      <c r="G10728" s="27" t="s">
        <v>11122</v>
      </c>
      <c r="H10728" s="27" t="s">
        <v>35</v>
      </c>
      <c r="I10728" s="27" t="s">
        <v>45</v>
      </c>
      <c r="J10728" s="28" t="s">
        <v>1047</v>
      </c>
      <c r="K10728" s="27" t="s">
        <v>45</v>
      </c>
      <c r="L10728" s="27"/>
    </row>
    <row r="10729" customFormat="false" ht="15" hidden="false" customHeight="false" outlineLevel="0" collapsed="false">
      <c r="A10729" s="26" t="s">
        <v>26371</v>
      </c>
      <c r="B10729" s="27" t="s">
        <v>26372</v>
      </c>
      <c r="C10729" s="27" t="s">
        <v>100</v>
      </c>
      <c r="D10729" s="26"/>
      <c r="E10729" s="27"/>
      <c r="F10729" s="27"/>
      <c r="G10729" s="27" t="s">
        <v>11122</v>
      </c>
      <c r="H10729" s="27" t="s">
        <v>35</v>
      </c>
      <c r="I10729" s="27" t="s">
        <v>45</v>
      </c>
      <c r="J10729" s="28" t="s">
        <v>1047</v>
      </c>
      <c r="K10729" s="27" t="s">
        <v>45</v>
      </c>
      <c r="L10729" s="27"/>
    </row>
    <row r="10730" customFormat="false" ht="15" hidden="false" customHeight="false" outlineLevel="0" collapsed="false">
      <c r="A10730" s="26" t="s">
        <v>26373</v>
      </c>
      <c r="B10730" s="27" t="s">
        <v>26374</v>
      </c>
      <c r="C10730" s="27" t="s">
        <v>100</v>
      </c>
      <c r="D10730" s="26"/>
      <c r="E10730" s="27"/>
      <c r="F10730" s="27"/>
      <c r="G10730" s="27" t="s">
        <v>11122</v>
      </c>
      <c r="H10730" s="27" t="s">
        <v>35</v>
      </c>
      <c r="I10730" s="27" t="s">
        <v>37</v>
      </c>
      <c r="J10730" s="28" t="s">
        <v>1047</v>
      </c>
      <c r="K10730" s="27" t="s">
        <v>45</v>
      </c>
      <c r="L10730" s="27"/>
    </row>
    <row r="10731" customFormat="false" ht="15" hidden="false" customHeight="false" outlineLevel="0" collapsed="false">
      <c r="A10731" s="26" t="s">
        <v>26375</v>
      </c>
      <c r="B10731" s="27" t="s">
        <v>26376</v>
      </c>
      <c r="C10731" s="27" t="s">
        <v>100</v>
      </c>
      <c r="D10731" s="26"/>
      <c r="E10731" s="27"/>
      <c r="F10731" s="27"/>
      <c r="G10731" s="27" t="s">
        <v>11122</v>
      </c>
      <c r="H10731" s="27" t="s">
        <v>35</v>
      </c>
      <c r="I10731" s="27" t="s">
        <v>37</v>
      </c>
      <c r="J10731" s="28" t="s">
        <v>1047</v>
      </c>
      <c r="K10731" s="27" t="s">
        <v>45</v>
      </c>
      <c r="L10731" s="27"/>
    </row>
    <row r="10732" customFormat="false" ht="15" hidden="false" customHeight="false" outlineLevel="0" collapsed="false">
      <c r="A10732" s="26" t="s">
        <v>26377</v>
      </c>
      <c r="B10732" s="27" t="s">
        <v>26378</v>
      </c>
      <c r="C10732" s="27" t="s">
        <v>100</v>
      </c>
      <c r="D10732" s="26"/>
      <c r="E10732" s="27"/>
      <c r="F10732" s="27"/>
      <c r="G10732" s="27" t="s">
        <v>11122</v>
      </c>
      <c r="H10732" s="27" t="s">
        <v>35</v>
      </c>
      <c r="I10732" s="27" t="s">
        <v>45</v>
      </c>
      <c r="J10732" s="28" t="s">
        <v>1047</v>
      </c>
      <c r="K10732" s="27" t="s">
        <v>45</v>
      </c>
      <c r="L10732" s="27"/>
    </row>
    <row r="10733" customFormat="false" ht="15" hidden="false" customHeight="false" outlineLevel="0" collapsed="false">
      <c r="A10733" s="26" t="s">
        <v>26379</v>
      </c>
      <c r="B10733" s="27" t="s">
        <v>26380</v>
      </c>
      <c r="C10733" s="27" t="s">
        <v>100</v>
      </c>
      <c r="D10733" s="26"/>
      <c r="E10733" s="27"/>
      <c r="F10733" s="27"/>
      <c r="G10733" s="27" t="s">
        <v>11122</v>
      </c>
      <c r="H10733" s="27" t="s">
        <v>35</v>
      </c>
      <c r="I10733" s="27" t="s">
        <v>45</v>
      </c>
      <c r="J10733" s="28" t="s">
        <v>1047</v>
      </c>
      <c r="K10733" s="27" t="s">
        <v>45</v>
      </c>
      <c r="L10733" s="27"/>
    </row>
    <row r="10734" customFormat="false" ht="15" hidden="false" customHeight="false" outlineLevel="0" collapsed="false">
      <c r="A10734" s="26" t="s">
        <v>26381</v>
      </c>
      <c r="B10734" s="27" t="s">
        <v>26382</v>
      </c>
      <c r="C10734" s="27" t="s">
        <v>100</v>
      </c>
      <c r="D10734" s="26"/>
      <c r="E10734" s="27"/>
      <c r="F10734" s="27"/>
      <c r="G10734" s="27" t="s">
        <v>11122</v>
      </c>
      <c r="H10734" s="27" t="s">
        <v>35</v>
      </c>
      <c r="I10734" s="27" t="s">
        <v>45</v>
      </c>
      <c r="J10734" s="28" t="s">
        <v>1047</v>
      </c>
      <c r="K10734" s="27" t="s">
        <v>45</v>
      </c>
      <c r="L10734" s="27"/>
    </row>
    <row r="10735" customFormat="false" ht="15" hidden="false" customHeight="false" outlineLevel="0" collapsed="false">
      <c r="A10735" s="26" t="s">
        <v>26383</v>
      </c>
      <c r="B10735" s="27" t="s">
        <v>26384</v>
      </c>
      <c r="C10735" s="27" t="s">
        <v>100</v>
      </c>
      <c r="D10735" s="26"/>
      <c r="E10735" s="27"/>
      <c r="F10735" s="27"/>
      <c r="G10735" s="27" t="s">
        <v>11122</v>
      </c>
      <c r="H10735" s="27" t="s">
        <v>35</v>
      </c>
      <c r="I10735" s="27" t="s">
        <v>45</v>
      </c>
      <c r="J10735" s="28" t="s">
        <v>1047</v>
      </c>
      <c r="K10735" s="27" t="s">
        <v>45</v>
      </c>
      <c r="L10735" s="27"/>
    </row>
    <row r="10736" customFormat="false" ht="15" hidden="false" customHeight="false" outlineLevel="0" collapsed="false">
      <c r="A10736" s="26" t="s">
        <v>26385</v>
      </c>
      <c r="B10736" s="27" t="s">
        <v>26386</v>
      </c>
      <c r="C10736" s="27" t="s">
        <v>100</v>
      </c>
      <c r="D10736" s="26"/>
      <c r="E10736" s="27"/>
      <c r="F10736" s="27"/>
      <c r="G10736" s="27" t="s">
        <v>11122</v>
      </c>
      <c r="H10736" s="27" t="s">
        <v>35</v>
      </c>
      <c r="I10736" s="27" t="s">
        <v>45</v>
      </c>
      <c r="J10736" s="28" t="s">
        <v>1047</v>
      </c>
      <c r="K10736" s="27" t="s">
        <v>45</v>
      </c>
      <c r="L10736" s="27"/>
    </row>
    <row r="10737" customFormat="false" ht="15" hidden="false" customHeight="false" outlineLevel="0" collapsed="false">
      <c r="A10737" s="26" t="s">
        <v>26387</v>
      </c>
      <c r="B10737" s="27" t="s">
        <v>26388</v>
      </c>
      <c r="C10737" s="27" t="s">
        <v>100</v>
      </c>
      <c r="D10737" s="26"/>
      <c r="E10737" s="27"/>
      <c r="F10737" s="27"/>
      <c r="G10737" s="27" t="s">
        <v>11122</v>
      </c>
      <c r="H10737" s="27" t="s">
        <v>35</v>
      </c>
      <c r="I10737" s="27" t="s">
        <v>45</v>
      </c>
      <c r="J10737" s="28" t="s">
        <v>1047</v>
      </c>
      <c r="K10737" s="27" t="s">
        <v>45</v>
      </c>
      <c r="L10737" s="27"/>
    </row>
    <row r="10738" customFormat="false" ht="15" hidden="false" customHeight="false" outlineLevel="0" collapsed="false">
      <c r="A10738" s="26" t="s">
        <v>26389</v>
      </c>
      <c r="B10738" s="27" t="s">
        <v>26390</v>
      </c>
      <c r="C10738" s="27" t="s">
        <v>100</v>
      </c>
      <c r="D10738" s="26"/>
      <c r="E10738" s="27"/>
      <c r="F10738" s="27"/>
      <c r="G10738" s="27" t="s">
        <v>11122</v>
      </c>
      <c r="H10738" s="27" t="s">
        <v>35</v>
      </c>
      <c r="I10738" s="27" t="s">
        <v>45</v>
      </c>
      <c r="J10738" s="28" t="s">
        <v>1047</v>
      </c>
      <c r="K10738" s="27" t="s">
        <v>45</v>
      </c>
      <c r="L10738" s="27"/>
    </row>
    <row r="10739" customFormat="false" ht="15" hidden="false" customHeight="false" outlineLevel="0" collapsed="false">
      <c r="A10739" s="26" t="s">
        <v>26391</v>
      </c>
      <c r="B10739" s="27" t="s">
        <v>26392</v>
      </c>
      <c r="C10739" s="27" t="s">
        <v>100</v>
      </c>
      <c r="D10739" s="26"/>
      <c r="E10739" s="27"/>
      <c r="F10739" s="27"/>
      <c r="G10739" s="27" t="s">
        <v>11122</v>
      </c>
      <c r="H10739" s="27" t="s">
        <v>35</v>
      </c>
      <c r="I10739" s="27" t="s">
        <v>45</v>
      </c>
      <c r="J10739" s="28" t="s">
        <v>1047</v>
      </c>
      <c r="K10739" s="27" t="s">
        <v>45</v>
      </c>
      <c r="L10739" s="27"/>
    </row>
    <row r="10740" customFormat="false" ht="15" hidden="false" customHeight="false" outlineLevel="0" collapsed="false">
      <c r="A10740" s="26" t="s">
        <v>26393</v>
      </c>
      <c r="B10740" s="27" t="s">
        <v>26394</v>
      </c>
      <c r="C10740" s="27" t="s">
        <v>100</v>
      </c>
      <c r="D10740" s="26"/>
      <c r="E10740" s="27"/>
      <c r="F10740" s="27"/>
      <c r="G10740" s="27" t="s">
        <v>11122</v>
      </c>
      <c r="H10740" s="27" t="s">
        <v>35</v>
      </c>
      <c r="I10740" s="27" t="s">
        <v>44</v>
      </c>
      <c r="J10740" s="28" t="s">
        <v>1047</v>
      </c>
      <c r="K10740" s="27" t="s">
        <v>45</v>
      </c>
      <c r="L10740" s="27"/>
    </row>
    <row r="10741" customFormat="false" ht="15" hidden="false" customHeight="false" outlineLevel="0" collapsed="false">
      <c r="A10741" s="26" t="s">
        <v>26395</v>
      </c>
      <c r="B10741" s="27" t="s">
        <v>26396</v>
      </c>
      <c r="C10741" s="27" t="s">
        <v>100</v>
      </c>
      <c r="D10741" s="26"/>
      <c r="E10741" s="27"/>
      <c r="F10741" s="27"/>
      <c r="G10741" s="27" t="s">
        <v>11122</v>
      </c>
      <c r="H10741" s="27" t="s">
        <v>35</v>
      </c>
      <c r="I10741" s="27" t="s">
        <v>45</v>
      </c>
      <c r="J10741" s="28" t="s">
        <v>1047</v>
      </c>
      <c r="K10741" s="27" t="s">
        <v>45</v>
      </c>
      <c r="L10741" s="27"/>
    </row>
    <row r="10742" customFormat="false" ht="15" hidden="false" customHeight="false" outlineLevel="0" collapsed="false">
      <c r="A10742" s="26" t="s">
        <v>26397</v>
      </c>
      <c r="B10742" s="27" t="s">
        <v>26398</v>
      </c>
      <c r="C10742" s="27" t="s">
        <v>100</v>
      </c>
      <c r="D10742" s="26"/>
      <c r="E10742" s="27"/>
      <c r="F10742" s="27"/>
      <c r="G10742" s="27" t="s">
        <v>11122</v>
      </c>
      <c r="H10742" s="27" t="s">
        <v>35</v>
      </c>
      <c r="I10742" s="27" t="s">
        <v>45</v>
      </c>
      <c r="J10742" s="28" t="s">
        <v>1047</v>
      </c>
      <c r="K10742" s="27" t="s">
        <v>45</v>
      </c>
      <c r="L10742" s="27"/>
    </row>
    <row r="10743" customFormat="false" ht="15" hidden="false" customHeight="false" outlineLevel="0" collapsed="false">
      <c r="A10743" s="26" t="s">
        <v>26399</v>
      </c>
      <c r="B10743" s="27" t="s">
        <v>26400</v>
      </c>
      <c r="C10743" s="27" t="s">
        <v>100</v>
      </c>
      <c r="D10743" s="26"/>
      <c r="E10743" s="27"/>
      <c r="F10743" s="27"/>
      <c r="G10743" s="27" t="s">
        <v>11122</v>
      </c>
      <c r="H10743" s="27" t="s">
        <v>35</v>
      </c>
      <c r="I10743" s="27" t="s">
        <v>45</v>
      </c>
      <c r="J10743" s="28" t="s">
        <v>1047</v>
      </c>
      <c r="K10743" s="27" t="s">
        <v>45</v>
      </c>
      <c r="L10743" s="27"/>
    </row>
    <row r="10744" customFormat="false" ht="15" hidden="false" customHeight="false" outlineLevel="0" collapsed="false">
      <c r="A10744" s="26" t="s">
        <v>26401</v>
      </c>
      <c r="B10744" s="27" t="s">
        <v>26402</v>
      </c>
      <c r="C10744" s="27" t="s">
        <v>100</v>
      </c>
      <c r="D10744" s="26"/>
      <c r="E10744" s="27"/>
      <c r="F10744" s="27"/>
      <c r="G10744" s="27" t="s">
        <v>11122</v>
      </c>
      <c r="H10744" s="27" t="s">
        <v>35</v>
      </c>
      <c r="I10744" s="27" t="s">
        <v>45</v>
      </c>
      <c r="J10744" s="28" t="s">
        <v>1047</v>
      </c>
      <c r="K10744" s="27" t="s">
        <v>45</v>
      </c>
      <c r="L10744" s="27"/>
    </row>
    <row r="10745" customFormat="false" ht="15" hidden="false" customHeight="false" outlineLevel="0" collapsed="false">
      <c r="A10745" s="26" t="s">
        <v>26403</v>
      </c>
      <c r="B10745" s="27" t="s">
        <v>26404</v>
      </c>
      <c r="C10745" s="27" t="s">
        <v>100</v>
      </c>
      <c r="D10745" s="26"/>
      <c r="E10745" s="27"/>
      <c r="F10745" s="27"/>
      <c r="G10745" s="27" t="s">
        <v>11122</v>
      </c>
      <c r="H10745" s="27" t="s">
        <v>35</v>
      </c>
      <c r="I10745" s="27" t="s">
        <v>45</v>
      </c>
      <c r="J10745" s="28" t="s">
        <v>1047</v>
      </c>
      <c r="K10745" s="27" t="s">
        <v>45</v>
      </c>
      <c r="L10745" s="27"/>
    </row>
    <row r="10746" customFormat="false" ht="15" hidden="false" customHeight="false" outlineLevel="0" collapsed="false">
      <c r="A10746" s="26" t="s">
        <v>26405</v>
      </c>
      <c r="B10746" s="27" t="s">
        <v>26406</v>
      </c>
      <c r="C10746" s="27" t="s">
        <v>100</v>
      </c>
      <c r="D10746" s="26"/>
      <c r="E10746" s="27"/>
      <c r="F10746" s="27"/>
      <c r="G10746" s="27" t="s">
        <v>11122</v>
      </c>
      <c r="H10746" s="27" t="s">
        <v>35</v>
      </c>
      <c r="I10746" s="27" t="s">
        <v>44</v>
      </c>
      <c r="J10746" s="28" t="s">
        <v>1047</v>
      </c>
      <c r="K10746" s="27" t="s">
        <v>45</v>
      </c>
      <c r="L10746" s="27"/>
    </row>
    <row r="10747" customFormat="false" ht="15" hidden="false" customHeight="false" outlineLevel="0" collapsed="false">
      <c r="A10747" s="26" t="s">
        <v>26407</v>
      </c>
      <c r="B10747" s="27" t="s">
        <v>26408</v>
      </c>
      <c r="C10747" s="27" t="s">
        <v>100</v>
      </c>
      <c r="D10747" s="26"/>
      <c r="E10747" s="27"/>
      <c r="F10747" s="27"/>
      <c r="G10747" s="27" t="s">
        <v>11122</v>
      </c>
      <c r="H10747" s="27" t="s">
        <v>35</v>
      </c>
      <c r="I10747" s="27" t="s">
        <v>45</v>
      </c>
      <c r="J10747" s="28" t="s">
        <v>1047</v>
      </c>
      <c r="K10747" s="27" t="s">
        <v>45</v>
      </c>
      <c r="L10747" s="27"/>
    </row>
    <row r="10748" customFormat="false" ht="15" hidden="false" customHeight="false" outlineLevel="0" collapsed="false">
      <c r="A10748" s="26" t="s">
        <v>26409</v>
      </c>
      <c r="B10748" s="27" t="s">
        <v>26410</v>
      </c>
      <c r="C10748" s="27" t="s">
        <v>100</v>
      </c>
      <c r="D10748" s="26"/>
      <c r="E10748" s="27"/>
      <c r="F10748" s="27"/>
      <c r="G10748" s="27" t="s">
        <v>11122</v>
      </c>
      <c r="H10748" s="27" t="s">
        <v>35</v>
      </c>
      <c r="I10748" s="27" t="s">
        <v>45</v>
      </c>
      <c r="J10748" s="28" t="s">
        <v>1047</v>
      </c>
      <c r="K10748" s="27" t="s">
        <v>45</v>
      </c>
      <c r="L10748" s="27"/>
    </row>
    <row r="10749" customFormat="false" ht="15" hidden="false" customHeight="false" outlineLevel="0" collapsed="false">
      <c r="A10749" s="26" t="s">
        <v>26411</v>
      </c>
      <c r="B10749" s="27" t="s">
        <v>26412</v>
      </c>
      <c r="C10749" s="27" t="s">
        <v>100</v>
      </c>
      <c r="D10749" s="26"/>
      <c r="E10749" s="27"/>
      <c r="F10749" s="27"/>
      <c r="G10749" s="27" t="s">
        <v>11122</v>
      </c>
      <c r="H10749" s="27" t="s">
        <v>35</v>
      </c>
      <c r="I10749" s="27" t="s">
        <v>45</v>
      </c>
      <c r="J10749" s="28" t="s">
        <v>1047</v>
      </c>
      <c r="K10749" s="27" t="s">
        <v>45</v>
      </c>
      <c r="L10749" s="27"/>
    </row>
    <row r="10750" customFormat="false" ht="15" hidden="false" customHeight="false" outlineLevel="0" collapsed="false">
      <c r="A10750" s="26" t="s">
        <v>26413</v>
      </c>
      <c r="B10750" s="27" t="s">
        <v>26414</v>
      </c>
      <c r="C10750" s="27" t="s">
        <v>100</v>
      </c>
      <c r="D10750" s="26"/>
      <c r="E10750" s="27"/>
      <c r="F10750" s="27"/>
      <c r="G10750" s="27" t="s">
        <v>11122</v>
      </c>
      <c r="H10750" s="27" t="s">
        <v>35</v>
      </c>
      <c r="I10750" s="27" t="s">
        <v>45</v>
      </c>
      <c r="J10750" s="28" t="s">
        <v>1047</v>
      </c>
      <c r="K10750" s="27" t="s">
        <v>45</v>
      </c>
      <c r="L10750" s="27"/>
    </row>
    <row r="10751" customFormat="false" ht="15" hidden="false" customHeight="false" outlineLevel="0" collapsed="false">
      <c r="A10751" s="26" t="s">
        <v>26415</v>
      </c>
      <c r="B10751" s="27" t="s">
        <v>26416</v>
      </c>
      <c r="C10751" s="27" t="s">
        <v>100</v>
      </c>
      <c r="D10751" s="26"/>
      <c r="E10751" s="27"/>
      <c r="F10751" s="27"/>
      <c r="G10751" s="27" t="s">
        <v>11122</v>
      </c>
      <c r="H10751" s="27" t="s">
        <v>35</v>
      </c>
      <c r="I10751" s="27" t="s">
        <v>45</v>
      </c>
      <c r="J10751" s="28" t="s">
        <v>1047</v>
      </c>
      <c r="K10751" s="27" t="s">
        <v>45</v>
      </c>
      <c r="L10751" s="27"/>
    </row>
    <row r="10752" customFormat="false" ht="15" hidden="false" customHeight="false" outlineLevel="0" collapsed="false">
      <c r="A10752" s="26" t="s">
        <v>26417</v>
      </c>
      <c r="B10752" s="27" t="s">
        <v>26418</v>
      </c>
      <c r="C10752" s="27" t="s">
        <v>100</v>
      </c>
      <c r="D10752" s="26"/>
      <c r="E10752" s="27"/>
      <c r="F10752" s="27"/>
      <c r="G10752" s="27" t="s">
        <v>11122</v>
      </c>
      <c r="H10752" s="27" t="s">
        <v>35</v>
      </c>
      <c r="I10752" s="27" t="s">
        <v>45</v>
      </c>
      <c r="J10752" s="28" t="s">
        <v>1047</v>
      </c>
      <c r="K10752" s="27" t="s">
        <v>45</v>
      </c>
      <c r="L10752" s="27"/>
    </row>
    <row r="10753" customFormat="false" ht="15" hidden="false" customHeight="false" outlineLevel="0" collapsed="false">
      <c r="A10753" s="26" t="s">
        <v>26419</v>
      </c>
      <c r="B10753" s="27" t="s">
        <v>26420</v>
      </c>
      <c r="C10753" s="27" t="s">
        <v>100</v>
      </c>
      <c r="D10753" s="26"/>
      <c r="E10753" s="27"/>
      <c r="F10753" s="27"/>
      <c r="G10753" s="27" t="s">
        <v>11122</v>
      </c>
      <c r="H10753" s="27" t="s">
        <v>35</v>
      </c>
      <c r="I10753" s="27" t="s">
        <v>45</v>
      </c>
      <c r="J10753" s="28" t="s">
        <v>1047</v>
      </c>
      <c r="K10753" s="27" t="s">
        <v>45</v>
      </c>
      <c r="L10753" s="27"/>
    </row>
    <row r="10754" customFormat="false" ht="15" hidden="false" customHeight="false" outlineLevel="0" collapsed="false">
      <c r="A10754" s="26" t="s">
        <v>26421</v>
      </c>
      <c r="B10754" s="27" t="s">
        <v>26422</v>
      </c>
      <c r="C10754" s="27" t="s">
        <v>100</v>
      </c>
      <c r="D10754" s="26"/>
      <c r="E10754" s="27"/>
      <c r="F10754" s="27"/>
      <c r="G10754" s="27" t="s">
        <v>11122</v>
      </c>
      <c r="H10754" s="27" t="s">
        <v>35</v>
      </c>
      <c r="I10754" s="27" t="s">
        <v>45</v>
      </c>
      <c r="J10754" s="28" t="s">
        <v>1047</v>
      </c>
      <c r="K10754" s="27" t="s">
        <v>45</v>
      </c>
      <c r="L10754" s="27"/>
    </row>
    <row r="10755" customFormat="false" ht="15" hidden="false" customHeight="false" outlineLevel="0" collapsed="false">
      <c r="A10755" s="26" t="s">
        <v>26423</v>
      </c>
      <c r="B10755" s="27" t="s">
        <v>26424</v>
      </c>
      <c r="C10755" s="27" t="s">
        <v>100</v>
      </c>
      <c r="D10755" s="26"/>
      <c r="E10755" s="27"/>
      <c r="F10755" s="27"/>
      <c r="G10755" s="27" t="s">
        <v>11122</v>
      </c>
      <c r="H10755" s="27" t="s">
        <v>35</v>
      </c>
      <c r="I10755" s="27" t="s">
        <v>45</v>
      </c>
      <c r="J10755" s="28" t="s">
        <v>1047</v>
      </c>
      <c r="K10755" s="27" t="s">
        <v>45</v>
      </c>
      <c r="L10755" s="27"/>
    </row>
    <row r="10756" customFormat="false" ht="15" hidden="false" customHeight="false" outlineLevel="0" collapsed="false">
      <c r="A10756" s="26" t="s">
        <v>26425</v>
      </c>
      <c r="B10756" s="27" t="s">
        <v>26426</v>
      </c>
      <c r="C10756" s="27" t="s">
        <v>100</v>
      </c>
      <c r="D10756" s="26"/>
      <c r="E10756" s="27"/>
      <c r="F10756" s="27"/>
      <c r="G10756" s="27" t="s">
        <v>11122</v>
      </c>
      <c r="H10756" s="27" t="s">
        <v>35</v>
      </c>
      <c r="I10756" s="27" t="s">
        <v>45</v>
      </c>
      <c r="J10756" s="28" t="s">
        <v>1047</v>
      </c>
      <c r="K10756" s="27" t="s">
        <v>45</v>
      </c>
      <c r="L10756" s="27"/>
    </row>
    <row r="10757" customFormat="false" ht="15" hidden="false" customHeight="false" outlineLevel="0" collapsed="false">
      <c r="A10757" s="26" t="s">
        <v>26427</v>
      </c>
      <c r="B10757" s="27" t="s">
        <v>26428</v>
      </c>
      <c r="C10757" s="27" t="s">
        <v>144</v>
      </c>
      <c r="D10757" s="26"/>
      <c r="E10757" s="27"/>
      <c r="F10757" s="27"/>
      <c r="G10757" s="27" t="s">
        <v>11122</v>
      </c>
      <c r="H10757" s="27" t="s">
        <v>35</v>
      </c>
      <c r="I10757" s="27" t="s">
        <v>37</v>
      </c>
      <c r="J10757" s="28" t="s">
        <v>1047</v>
      </c>
      <c r="K10757" s="27" t="s">
        <v>45</v>
      </c>
      <c r="L10757" s="27"/>
    </row>
    <row r="10758" customFormat="false" ht="15" hidden="false" customHeight="false" outlineLevel="0" collapsed="false">
      <c r="A10758" s="26" t="s">
        <v>26429</v>
      </c>
      <c r="B10758" s="27" t="s">
        <v>26430</v>
      </c>
      <c r="C10758" s="27" t="s">
        <v>100</v>
      </c>
      <c r="D10758" s="26"/>
      <c r="E10758" s="27"/>
      <c r="F10758" s="27"/>
      <c r="G10758" s="27" t="s">
        <v>11122</v>
      </c>
      <c r="H10758" s="27" t="s">
        <v>35</v>
      </c>
      <c r="I10758" s="27" t="s">
        <v>45</v>
      </c>
      <c r="J10758" s="28" t="s">
        <v>1047</v>
      </c>
      <c r="K10758" s="27" t="s">
        <v>45</v>
      </c>
      <c r="L10758" s="27"/>
    </row>
    <row r="10759" customFormat="false" ht="15" hidden="false" customHeight="false" outlineLevel="0" collapsed="false">
      <c r="A10759" s="26" t="s">
        <v>26431</v>
      </c>
      <c r="B10759" s="27" t="s">
        <v>26432</v>
      </c>
      <c r="C10759" s="27" t="s">
        <v>100</v>
      </c>
      <c r="D10759" s="26"/>
      <c r="E10759" s="27"/>
      <c r="F10759" s="27"/>
      <c r="G10759" s="27" t="s">
        <v>11122</v>
      </c>
      <c r="H10759" s="27" t="s">
        <v>35</v>
      </c>
      <c r="I10759" s="27" t="s">
        <v>45</v>
      </c>
      <c r="J10759" s="28" t="s">
        <v>1047</v>
      </c>
      <c r="K10759" s="27" t="s">
        <v>45</v>
      </c>
      <c r="L10759" s="27"/>
    </row>
    <row r="10760" customFormat="false" ht="15" hidden="false" customHeight="false" outlineLevel="0" collapsed="false">
      <c r="A10760" s="26" t="s">
        <v>26433</v>
      </c>
      <c r="B10760" s="27" t="s">
        <v>26434</v>
      </c>
      <c r="C10760" s="27" t="s">
        <v>100</v>
      </c>
      <c r="D10760" s="26"/>
      <c r="E10760" s="27"/>
      <c r="F10760" s="27"/>
      <c r="G10760" s="27" t="s">
        <v>11122</v>
      </c>
      <c r="H10760" s="27" t="s">
        <v>35</v>
      </c>
      <c r="I10760" s="27" t="s">
        <v>45</v>
      </c>
      <c r="J10760" s="28" t="s">
        <v>1047</v>
      </c>
      <c r="K10760" s="27" t="s">
        <v>45</v>
      </c>
      <c r="L10760" s="27"/>
    </row>
    <row r="10761" customFormat="false" ht="15" hidden="false" customHeight="false" outlineLevel="0" collapsed="false">
      <c r="A10761" s="26" t="s">
        <v>26435</v>
      </c>
      <c r="B10761" s="27" t="s">
        <v>26436</v>
      </c>
      <c r="C10761" s="27" t="s">
        <v>1845</v>
      </c>
      <c r="D10761" s="26"/>
      <c r="E10761" s="27"/>
      <c r="F10761" s="27"/>
      <c r="G10761" s="27" t="s">
        <v>11122</v>
      </c>
      <c r="H10761" s="27" t="s">
        <v>35</v>
      </c>
      <c r="I10761" s="27" t="s">
        <v>45</v>
      </c>
      <c r="J10761" s="28" t="s">
        <v>1047</v>
      </c>
      <c r="K10761" s="27" t="s">
        <v>45</v>
      </c>
      <c r="L10761" s="27"/>
    </row>
    <row r="10762" customFormat="false" ht="15" hidden="false" customHeight="false" outlineLevel="0" collapsed="false">
      <c r="A10762" s="26" t="s">
        <v>26437</v>
      </c>
      <c r="B10762" s="27" t="s">
        <v>26438</v>
      </c>
      <c r="C10762" s="27" t="s">
        <v>1845</v>
      </c>
      <c r="D10762" s="26"/>
      <c r="E10762" s="27"/>
      <c r="F10762" s="27"/>
      <c r="G10762" s="27" t="s">
        <v>11122</v>
      </c>
      <c r="H10762" s="27" t="s">
        <v>35</v>
      </c>
      <c r="I10762" s="27" t="s">
        <v>45</v>
      </c>
      <c r="J10762" s="28" t="s">
        <v>1047</v>
      </c>
      <c r="K10762" s="27" t="s">
        <v>45</v>
      </c>
      <c r="L10762" s="27"/>
    </row>
    <row r="10763" customFormat="false" ht="15" hidden="false" customHeight="false" outlineLevel="0" collapsed="false">
      <c r="A10763" s="26" t="s">
        <v>26439</v>
      </c>
      <c r="B10763" s="27" t="s">
        <v>26440</v>
      </c>
      <c r="C10763" s="27" t="s">
        <v>100</v>
      </c>
      <c r="D10763" s="26"/>
      <c r="E10763" s="27"/>
      <c r="F10763" s="27"/>
      <c r="G10763" s="27" t="s">
        <v>11122</v>
      </c>
      <c r="H10763" s="27" t="s">
        <v>35</v>
      </c>
      <c r="I10763" s="27" t="s">
        <v>45</v>
      </c>
      <c r="J10763" s="28" t="s">
        <v>1047</v>
      </c>
      <c r="K10763" s="27" t="s">
        <v>45</v>
      </c>
      <c r="L10763" s="27"/>
    </row>
    <row r="10764" customFormat="false" ht="15" hidden="false" customHeight="false" outlineLevel="0" collapsed="false">
      <c r="A10764" s="26" t="s">
        <v>26441</v>
      </c>
      <c r="B10764" s="27" t="s">
        <v>26442</v>
      </c>
      <c r="C10764" s="27" t="s">
        <v>1845</v>
      </c>
      <c r="D10764" s="26"/>
      <c r="E10764" s="27"/>
      <c r="F10764" s="27"/>
      <c r="G10764" s="27" t="s">
        <v>11122</v>
      </c>
      <c r="H10764" s="27" t="s">
        <v>35</v>
      </c>
      <c r="I10764" s="27" t="s">
        <v>44</v>
      </c>
      <c r="J10764" s="28" t="s">
        <v>1047</v>
      </c>
      <c r="K10764" s="27" t="s">
        <v>45</v>
      </c>
      <c r="L10764" s="27"/>
    </row>
    <row r="10765" customFormat="false" ht="15" hidden="false" customHeight="false" outlineLevel="0" collapsed="false">
      <c r="A10765" s="26" t="s">
        <v>26443</v>
      </c>
      <c r="B10765" s="27" t="s">
        <v>26444</v>
      </c>
      <c r="C10765" s="27" t="s">
        <v>100</v>
      </c>
      <c r="D10765" s="26"/>
      <c r="E10765" s="27"/>
      <c r="F10765" s="27"/>
      <c r="G10765" s="27" t="s">
        <v>11122</v>
      </c>
      <c r="H10765" s="27" t="s">
        <v>35</v>
      </c>
      <c r="I10765" s="27" t="s">
        <v>45</v>
      </c>
      <c r="J10765" s="28" t="s">
        <v>1047</v>
      </c>
      <c r="K10765" s="27" t="s">
        <v>45</v>
      </c>
      <c r="L10765" s="27"/>
    </row>
    <row r="10766" customFormat="false" ht="15" hidden="false" customHeight="false" outlineLevel="0" collapsed="false">
      <c r="A10766" s="26" t="s">
        <v>26445</v>
      </c>
      <c r="B10766" s="27" t="s">
        <v>26446</v>
      </c>
      <c r="C10766" s="27" t="s">
        <v>100</v>
      </c>
      <c r="D10766" s="26"/>
      <c r="E10766" s="27"/>
      <c r="F10766" s="27"/>
      <c r="G10766" s="27" t="s">
        <v>11122</v>
      </c>
      <c r="H10766" s="27" t="s">
        <v>35</v>
      </c>
      <c r="I10766" s="27" t="s">
        <v>45</v>
      </c>
      <c r="J10766" s="28" t="s">
        <v>1047</v>
      </c>
      <c r="K10766" s="27" t="s">
        <v>45</v>
      </c>
      <c r="L10766" s="27"/>
    </row>
    <row r="10767" customFormat="false" ht="15" hidden="false" customHeight="false" outlineLevel="0" collapsed="false">
      <c r="A10767" s="26" t="s">
        <v>26447</v>
      </c>
      <c r="B10767" s="27" t="s">
        <v>26448</v>
      </c>
      <c r="C10767" s="27" t="s">
        <v>100</v>
      </c>
      <c r="D10767" s="26"/>
      <c r="E10767" s="27"/>
      <c r="F10767" s="27"/>
      <c r="G10767" s="27" t="s">
        <v>11122</v>
      </c>
      <c r="H10767" s="27" t="s">
        <v>35</v>
      </c>
      <c r="I10767" s="27" t="s">
        <v>45</v>
      </c>
      <c r="J10767" s="28" t="s">
        <v>1047</v>
      </c>
      <c r="K10767" s="27" t="s">
        <v>45</v>
      </c>
      <c r="L10767" s="27"/>
    </row>
    <row r="10768" customFormat="false" ht="15" hidden="false" customHeight="false" outlineLevel="0" collapsed="false">
      <c r="A10768" s="26" t="s">
        <v>26449</v>
      </c>
      <c r="B10768" s="27" t="s">
        <v>26450</v>
      </c>
      <c r="C10768" s="27" t="s">
        <v>100</v>
      </c>
      <c r="D10768" s="26"/>
      <c r="E10768" s="27"/>
      <c r="F10768" s="27"/>
      <c r="G10768" s="27" t="s">
        <v>11122</v>
      </c>
      <c r="H10768" s="27" t="s">
        <v>35</v>
      </c>
      <c r="I10768" s="27" t="s">
        <v>45</v>
      </c>
      <c r="J10768" s="28" t="s">
        <v>1047</v>
      </c>
      <c r="K10768" s="27" t="s">
        <v>45</v>
      </c>
      <c r="L10768" s="27"/>
    </row>
    <row r="10769" customFormat="false" ht="15" hidden="false" customHeight="false" outlineLevel="0" collapsed="false">
      <c r="A10769" s="26" t="s">
        <v>26451</v>
      </c>
      <c r="B10769" s="27" t="s">
        <v>26452</v>
      </c>
      <c r="C10769" s="27" t="s">
        <v>137</v>
      </c>
      <c r="D10769" s="26"/>
      <c r="E10769" s="27"/>
      <c r="F10769" s="27"/>
      <c r="G10769" s="27" t="s">
        <v>11122</v>
      </c>
      <c r="H10769" s="27" t="s">
        <v>35</v>
      </c>
      <c r="I10769" s="27" t="s">
        <v>45</v>
      </c>
      <c r="J10769" s="28" t="s">
        <v>1047</v>
      </c>
      <c r="K10769" s="27" t="s">
        <v>45</v>
      </c>
      <c r="L10769" s="27"/>
    </row>
    <row r="10770" customFormat="false" ht="15" hidden="false" customHeight="false" outlineLevel="0" collapsed="false">
      <c r="A10770" s="26" t="s">
        <v>26453</v>
      </c>
      <c r="B10770" s="27" t="s">
        <v>26454</v>
      </c>
      <c r="C10770" s="27" t="s">
        <v>100</v>
      </c>
      <c r="D10770" s="26"/>
      <c r="E10770" s="27"/>
      <c r="F10770" s="27"/>
      <c r="G10770" s="27" t="s">
        <v>11122</v>
      </c>
      <c r="H10770" s="27" t="s">
        <v>35</v>
      </c>
      <c r="I10770" s="27" t="s">
        <v>45</v>
      </c>
      <c r="J10770" s="28" t="s">
        <v>1047</v>
      </c>
      <c r="K10770" s="27" t="s">
        <v>45</v>
      </c>
      <c r="L10770" s="27"/>
    </row>
    <row r="10771" customFormat="false" ht="15" hidden="false" customHeight="false" outlineLevel="0" collapsed="false">
      <c r="A10771" s="26" t="s">
        <v>26455</v>
      </c>
      <c r="B10771" s="27" t="s">
        <v>26456</v>
      </c>
      <c r="C10771" s="27" t="s">
        <v>1845</v>
      </c>
      <c r="D10771" s="26"/>
      <c r="E10771" s="27"/>
      <c r="F10771" s="27"/>
      <c r="G10771" s="27" t="s">
        <v>11122</v>
      </c>
      <c r="H10771" s="27" t="s">
        <v>35</v>
      </c>
      <c r="I10771" s="27" t="s">
        <v>49</v>
      </c>
      <c r="J10771" s="28" t="s">
        <v>1047</v>
      </c>
      <c r="K10771" s="27" t="s">
        <v>45</v>
      </c>
      <c r="L10771" s="27"/>
    </row>
    <row r="10772" customFormat="false" ht="15" hidden="false" customHeight="false" outlineLevel="0" collapsed="false">
      <c r="A10772" s="26" t="s">
        <v>26457</v>
      </c>
      <c r="B10772" s="27" t="s">
        <v>26458</v>
      </c>
      <c r="C10772" s="27" t="s">
        <v>1845</v>
      </c>
      <c r="D10772" s="26"/>
      <c r="E10772" s="27"/>
      <c r="F10772" s="27"/>
      <c r="G10772" s="27" t="s">
        <v>11122</v>
      </c>
      <c r="H10772" s="27" t="s">
        <v>35</v>
      </c>
      <c r="I10772" s="27" t="s">
        <v>45</v>
      </c>
      <c r="J10772" s="28" t="s">
        <v>1047</v>
      </c>
      <c r="K10772" s="27" t="s">
        <v>45</v>
      </c>
      <c r="L10772" s="27"/>
    </row>
    <row r="10773" customFormat="false" ht="15" hidden="false" customHeight="false" outlineLevel="0" collapsed="false">
      <c r="A10773" s="26" t="s">
        <v>26459</v>
      </c>
      <c r="B10773" s="27" t="s">
        <v>26460</v>
      </c>
      <c r="C10773" s="27" t="s">
        <v>1845</v>
      </c>
      <c r="D10773" s="26"/>
      <c r="E10773" s="27"/>
      <c r="F10773" s="27"/>
      <c r="G10773" s="27" t="s">
        <v>11122</v>
      </c>
      <c r="H10773" s="27" t="s">
        <v>35</v>
      </c>
      <c r="I10773" s="27" t="s">
        <v>45</v>
      </c>
      <c r="J10773" s="28" t="s">
        <v>1047</v>
      </c>
      <c r="K10773" s="27" t="s">
        <v>45</v>
      </c>
      <c r="L10773" s="27"/>
    </row>
    <row r="10774" customFormat="false" ht="15" hidden="false" customHeight="false" outlineLevel="0" collapsed="false">
      <c r="A10774" s="26" t="s">
        <v>26461</v>
      </c>
      <c r="B10774" s="27" t="s">
        <v>26462</v>
      </c>
      <c r="C10774" s="27" t="s">
        <v>100</v>
      </c>
      <c r="D10774" s="26"/>
      <c r="E10774" s="27"/>
      <c r="F10774" s="27"/>
      <c r="G10774" s="27" t="s">
        <v>11122</v>
      </c>
      <c r="H10774" s="27" t="s">
        <v>35</v>
      </c>
      <c r="I10774" s="27" t="s">
        <v>45</v>
      </c>
      <c r="J10774" s="28" t="s">
        <v>1047</v>
      </c>
      <c r="K10774" s="27" t="s">
        <v>45</v>
      </c>
      <c r="L10774" s="27"/>
    </row>
    <row r="10775" customFormat="false" ht="15" hidden="false" customHeight="false" outlineLevel="0" collapsed="false">
      <c r="A10775" s="26" t="s">
        <v>26463</v>
      </c>
      <c r="B10775" s="27" t="s">
        <v>26464</v>
      </c>
      <c r="C10775" s="27" t="s">
        <v>100</v>
      </c>
      <c r="D10775" s="26"/>
      <c r="E10775" s="27"/>
      <c r="F10775" s="27"/>
      <c r="G10775" s="27" t="s">
        <v>11122</v>
      </c>
      <c r="H10775" s="27" t="s">
        <v>35</v>
      </c>
      <c r="I10775" s="27" t="s">
        <v>45</v>
      </c>
      <c r="J10775" s="28" t="s">
        <v>1047</v>
      </c>
      <c r="K10775" s="27" t="s">
        <v>45</v>
      </c>
      <c r="L10775" s="27"/>
    </row>
    <row r="10776" customFormat="false" ht="15" hidden="false" customHeight="false" outlineLevel="0" collapsed="false">
      <c r="A10776" s="26" t="s">
        <v>26465</v>
      </c>
      <c r="B10776" s="27" t="s">
        <v>26466</v>
      </c>
      <c r="C10776" s="27" t="s">
        <v>100</v>
      </c>
      <c r="D10776" s="26"/>
      <c r="E10776" s="27"/>
      <c r="F10776" s="27"/>
      <c r="G10776" s="27" t="s">
        <v>11122</v>
      </c>
      <c r="H10776" s="27" t="s">
        <v>35</v>
      </c>
      <c r="I10776" s="27" t="s">
        <v>45</v>
      </c>
      <c r="J10776" s="28" t="s">
        <v>1047</v>
      </c>
      <c r="K10776" s="27" t="s">
        <v>45</v>
      </c>
      <c r="L10776" s="27"/>
    </row>
    <row r="10777" customFormat="false" ht="15" hidden="false" customHeight="false" outlineLevel="0" collapsed="false">
      <c r="A10777" s="26" t="s">
        <v>26467</v>
      </c>
      <c r="B10777" s="27" t="s">
        <v>26468</v>
      </c>
      <c r="C10777" s="27" t="s">
        <v>100</v>
      </c>
      <c r="D10777" s="26"/>
      <c r="E10777" s="27"/>
      <c r="F10777" s="27"/>
      <c r="G10777" s="27" t="s">
        <v>11122</v>
      </c>
      <c r="H10777" s="27" t="s">
        <v>35</v>
      </c>
      <c r="I10777" s="27" t="s">
        <v>45</v>
      </c>
      <c r="J10777" s="28" t="s">
        <v>1047</v>
      </c>
      <c r="K10777" s="27" t="s">
        <v>45</v>
      </c>
      <c r="L10777" s="27"/>
    </row>
    <row r="10778" customFormat="false" ht="15" hidden="false" customHeight="false" outlineLevel="0" collapsed="false">
      <c r="A10778" s="26" t="s">
        <v>26469</v>
      </c>
      <c r="B10778" s="27" t="s">
        <v>26470</v>
      </c>
      <c r="C10778" s="27" t="s">
        <v>100</v>
      </c>
      <c r="D10778" s="26"/>
      <c r="E10778" s="27"/>
      <c r="F10778" s="27"/>
      <c r="G10778" s="27" t="s">
        <v>11122</v>
      </c>
      <c r="H10778" s="27" t="s">
        <v>35</v>
      </c>
      <c r="I10778" s="27" t="s">
        <v>45</v>
      </c>
      <c r="J10778" s="28" t="s">
        <v>1047</v>
      </c>
      <c r="K10778" s="27" t="s">
        <v>45</v>
      </c>
      <c r="L10778" s="27"/>
    </row>
    <row r="10779" customFormat="false" ht="15" hidden="false" customHeight="false" outlineLevel="0" collapsed="false">
      <c r="A10779" s="26" t="s">
        <v>26471</v>
      </c>
      <c r="B10779" s="27" t="s">
        <v>26472</v>
      </c>
      <c r="C10779" s="27" t="s">
        <v>100</v>
      </c>
      <c r="D10779" s="26"/>
      <c r="E10779" s="27"/>
      <c r="F10779" s="27"/>
      <c r="G10779" s="27" t="s">
        <v>11122</v>
      </c>
      <c r="H10779" s="27" t="s">
        <v>35</v>
      </c>
      <c r="I10779" s="27" t="s">
        <v>45</v>
      </c>
      <c r="J10779" s="28" t="s">
        <v>1047</v>
      </c>
      <c r="K10779" s="27" t="s">
        <v>45</v>
      </c>
      <c r="L10779" s="27"/>
    </row>
    <row r="10780" customFormat="false" ht="15" hidden="false" customHeight="false" outlineLevel="0" collapsed="false">
      <c r="A10780" s="26" t="s">
        <v>26473</v>
      </c>
      <c r="B10780" s="27" t="s">
        <v>26474</v>
      </c>
      <c r="C10780" s="27" t="s">
        <v>137</v>
      </c>
      <c r="D10780" s="26"/>
      <c r="E10780" s="27"/>
      <c r="F10780" s="27"/>
      <c r="G10780" s="27" t="s">
        <v>11122</v>
      </c>
      <c r="H10780" s="27" t="s">
        <v>35</v>
      </c>
      <c r="I10780" s="27" t="s">
        <v>45</v>
      </c>
      <c r="J10780" s="28" t="s">
        <v>1047</v>
      </c>
      <c r="K10780" s="27" t="s">
        <v>45</v>
      </c>
      <c r="L10780" s="27"/>
    </row>
    <row r="10781" customFormat="false" ht="15" hidden="false" customHeight="false" outlineLevel="0" collapsed="false">
      <c r="A10781" s="26" t="s">
        <v>26475</v>
      </c>
      <c r="B10781" s="27" t="s">
        <v>26476</v>
      </c>
      <c r="C10781" s="27" t="s">
        <v>1845</v>
      </c>
      <c r="D10781" s="26"/>
      <c r="E10781" s="27"/>
      <c r="F10781" s="27"/>
      <c r="G10781" s="27" t="s">
        <v>11122</v>
      </c>
      <c r="H10781" s="27" t="s">
        <v>35</v>
      </c>
      <c r="I10781" s="27" t="s">
        <v>44</v>
      </c>
      <c r="J10781" s="28" t="s">
        <v>1047</v>
      </c>
      <c r="K10781" s="27" t="s">
        <v>45</v>
      </c>
      <c r="L10781" s="27"/>
    </row>
    <row r="10782" customFormat="false" ht="15" hidden="false" customHeight="false" outlineLevel="0" collapsed="false">
      <c r="A10782" s="26" t="s">
        <v>26477</v>
      </c>
      <c r="B10782" s="27" t="s">
        <v>26478</v>
      </c>
      <c r="C10782" s="27" t="s">
        <v>1845</v>
      </c>
      <c r="D10782" s="26"/>
      <c r="E10782" s="27"/>
      <c r="F10782" s="27"/>
      <c r="G10782" s="27" t="s">
        <v>11122</v>
      </c>
      <c r="H10782" s="27" t="s">
        <v>35</v>
      </c>
      <c r="I10782" s="27" t="s">
        <v>45</v>
      </c>
      <c r="J10782" s="28" t="s">
        <v>1047</v>
      </c>
      <c r="K10782" s="27" t="s">
        <v>45</v>
      </c>
      <c r="L10782" s="27"/>
    </row>
    <row r="10783" customFormat="false" ht="15" hidden="false" customHeight="false" outlineLevel="0" collapsed="false">
      <c r="A10783" s="26" t="s">
        <v>26479</v>
      </c>
      <c r="B10783" s="27" t="s">
        <v>26480</v>
      </c>
      <c r="C10783" s="27" t="s">
        <v>100</v>
      </c>
      <c r="D10783" s="26"/>
      <c r="E10783" s="27"/>
      <c r="F10783" s="27"/>
      <c r="G10783" s="27" t="s">
        <v>11122</v>
      </c>
      <c r="H10783" s="27" t="s">
        <v>35</v>
      </c>
      <c r="I10783" s="27" t="s">
        <v>45</v>
      </c>
      <c r="J10783" s="28" t="s">
        <v>1047</v>
      </c>
      <c r="K10783" s="27" t="s">
        <v>45</v>
      </c>
      <c r="L10783" s="27"/>
    </row>
    <row r="10784" customFormat="false" ht="15" hidden="false" customHeight="false" outlineLevel="0" collapsed="false">
      <c r="A10784" s="26" t="s">
        <v>26481</v>
      </c>
      <c r="B10784" s="27" t="s">
        <v>26482</v>
      </c>
      <c r="C10784" s="27" t="s">
        <v>1845</v>
      </c>
      <c r="D10784" s="26"/>
      <c r="E10784" s="27"/>
      <c r="F10784" s="27"/>
      <c r="G10784" s="27" t="s">
        <v>11122</v>
      </c>
      <c r="H10784" s="27" t="s">
        <v>35</v>
      </c>
      <c r="I10784" s="27" t="s">
        <v>45</v>
      </c>
      <c r="J10784" s="28" t="s">
        <v>1047</v>
      </c>
      <c r="K10784" s="27" t="s">
        <v>45</v>
      </c>
      <c r="L10784" s="27"/>
    </row>
    <row r="10785" customFormat="false" ht="15" hidden="false" customHeight="false" outlineLevel="0" collapsed="false">
      <c r="A10785" s="26" t="s">
        <v>26483</v>
      </c>
      <c r="B10785" s="27" t="s">
        <v>26484</v>
      </c>
      <c r="C10785" s="27" t="s">
        <v>1845</v>
      </c>
      <c r="D10785" s="26"/>
      <c r="E10785" s="27"/>
      <c r="F10785" s="27"/>
      <c r="G10785" s="27" t="s">
        <v>11122</v>
      </c>
      <c r="H10785" s="27" t="s">
        <v>35</v>
      </c>
      <c r="I10785" s="27" t="s">
        <v>44</v>
      </c>
      <c r="J10785" s="28" t="s">
        <v>1047</v>
      </c>
      <c r="K10785" s="27" t="s">
        <v>45</v>
      </c>
      <c r="L10785" s="27"/>
    </row>
    <row r="10786" customFormat="false" ht="15" hidden="false" customHeight="false" outlineLevel="0" collapsed="false">
      <c r="A10786" s="26" t="s">
        <v>26485</v>
      </c>
      <c r="B10786" s="27" t="s">
        <v>26486</v>
      </c>
      <c r="C10786" s="27" t="s">
        <v>144</v>
      </c>
      <c r="D10786" s="26"/>
      <c r="E10786" s="27"/>
      <c r="F10786" s="27"/>
      <c r="G10786" s="27" t="s">
        <v>11122</v>
      </c>
      <c r="H10786" s="27" t="s">
        <v>35</v>
      </c>
      <c r="I10786" s="27" t="s">
        <v>45</v>
      </c>
      <c r="J10786" s="28" t="s">
        <v>1047</v>
      </c>
      <c r="K10786" s="27" t="s">
        <v>45</v>
      </c>
      <c r="L10786" s="27"/>
    </row>
    <row r="10787" customFormat="false" ht="15" hidden="false" customHeight="false" outlineLevel="0" collapsed="false">
      <c r="A10787" s="26" t="s">
        <v>26487</v>
      </c>
      <c r="B10787" s="27" t="s">
        <v>26488</v>
      </c>
      <c r="C10787" s="27" t="s">
        <v>137</v>
      </c>
      <c r="D10787" s="26"/>
      <c r="E10787" s="27"/>
      <c r="F10787" s="27"/>
      <c r="G10787" s="27" t="s">
        <v>11122</v>
      </c>
      <c r="H10787" s="27" t="s">
        <v>35</v>
      </c>
      <c r="I10787" s="27" t="s">
        <v>45</v>
      </c>
      <c r="J10787" s="28" t="s">
        <v>1047</v>
      </c>
      <c r="K10787" s="27" t="s">
        <v>45</v>
      </c>
      <c r="L10787" s="27"/>
    </row>
    <row r="10788" customFormat="false" ht="15" hidden="false" customHeight="false" outlineLevel="0" collapsed="false">
      <c r="A10788" s="26" t="s">
        <v>26489</v>
      </c>
      <c r="B10788" s="27" t="s">
        <v>26490</v>
      </c>
      <c r="C10788" s="27" t="s">
        <v>100</v>
      </c>
      <c r="D10788" s="26"/>
      <c r="E10788" s="27"/>
      <c r="F10788" s="27"/>
      <c r="G10788" s="27" t="s">
        <v>11122</v>
      </c>
      <c r="H10788" s="27" t="s">
        <v>35</v>
      </c>
      <c r="I10788" s="27" t="s">
        <v>45</v>
      </c>
      <c r="J10788" s="28" t="s">
        <v>1047</v>
      </c>
      <c r="K10788" s="27" t="s">
        <v>45</v>
      </c>
      <c r="L10788" s="27"/>
    </row>
    <row r="10789" customFormat="false" ht="15" hidden="false" customHeight="false" outlineLevel="0" collapsed="false">
      <c r="A10789" s="26" t="s">
        <v>26491</v>
      </c>
      <c r="B10789" s="27" t="s">
        <v>26492</v>
      </c>
      <c r="C10789" s="27" t="s">
        <v>100</v>
      </c>
      <c r="D10789" s="26"/>
      <c r="E10789" s="27"/>
      <c r="F10789" s="27"/>
      <c r="G10789" s="27" t="s">
        <v>11122</v>
      </c>
      <c r="H10789" s="27" t="s">
        <v>35</v>
      </c>
      <c r="I10789" s="27" t="s">
        <v>45</v>
      </c>
      <c r="J10789" s="28" t="s">
        <v>1047</v>
      </c>
      <c r="K10789" s="27" t="s">
        <v>45</v>
      </c>
      <c r="L10789" s="27"/>
    </row>
    <row r="10790" customFormat="false" ht="15" hidden="false" customHeight="false" outlineLevel="0" collapsed="false">
      <c r="A10790" s="26" t="s">
        <v>26493</v>
      </c>
      <c r="B10790" s="27" t="s">
        <v>26494</v>
      </c>
      <c r="C10790" s="27" t="s">
        <v>100</v>
      </c>
      <c r="D10790" s="26"/>
      <c r="E10790" s="27"/>
      <c r="F10790" s="27"/>
      <c r="G10790" s="27" t="s">
        <v>11122</v>
      </c>
      <c r="H10790" s="27" t="s">
        <v>35</v>
      </c>
      <c r="I10790" s="27" t="s">
        <v>45</v>
      </c>
      <c r="J10790" s="28" t="s">
        <v>1047</v>
      </c>
      <c r="K10790" s="27" t="s">
        <v>45</v>
      </c>
      <c r="L10790" s="27"/>
    </row>
    <row r="10791" customFormat="false" ht="15" hidden="false" customHeight="false" outlineLevel="0" collapsed="false">
      <c r="A10791" s="26" t="s">
        <v>26495</v>
      </c>
      <c r="B10791" s="27" t="s">
        <v>26496</v>
      </c>
      <c r="C10791" s="27" t="s">
        <v>1845</v>
      </c>
      <c r="D10791" s="26"/>
      <c r="E10791" s="27"/>
      <c r="F10791" s="27"/>
      <c r="G10791" s="27" t="s">
        <v>11122</v>
      </c>
      <c r="H10791" s="27" t="s">
        <v>35</v>
      </c>
      <c r="I10791" s="27" t="s">
        <v>45</v>
      </c>
      <c r="J10791" s="28" t="s">
        <v>1047</v>
      </c>
      <c r="K10791" s="27" t="s">
        <v>45</v>
      </c>
      <c r="L10791" s="27"/>
    </row>
    <row r="10792" customFormat="false" ht="15" hidden="false" customHeight="false" outlineLevel="0" collapsed="false">
      <c r="A10792" s="26" t="s">
        <v>26497</v>
      </c>
      <c r="B10792" s="27" t="s">
        <v>26498</v>
      </c>
      <c r="C10792" s="27" t="s">
        <v>100</v>
      </c>
      <c r="D10792" s="26"/>
      <c r="E10792" s="27"/>
      <c r="F10792" s="27"/>
      <c r="G10792" s="27" t="s">
        <v>11122</v>
      </c>
      <c r="H10792" s="27" t="s">
        <v>35</v>
      </c>
      <c r="I10792" s="27" t="s">
        <v>45</v>
      </c>
      <c r="J10792" s="28" t="s">
        <v>1047</v>
      </c>
      <c r="K10792" s="27" t="s">
        <v>45</v>
      </c>
      <c r="L10792" s="27"/>
    </row>
    <row r="10793" customFormat="false" ht="15" hidden="false" customHeight="false" outlineLevel="0" collapsed="false">
      <c r="A10793" s="26" t="s">
        <v>26499</v>
      </c>
      <c r="B10793" s="27" t="s">
        <v>26500</v>
      </c>
      <c r="C10793" s="27" t="s">
        <v>1845</v>
      </c>
      <c r="D10793" s="26"/>
      <c r="E10793" s="27"/>
      <c r="F10793" s="27"/>
      <c r="G10793" s="27" t="s">
        <v>11122</v>
      </c>
      <c r="H10793" s="27" t="s">
        <v>35</v>
      </c>
      <c r="I10793" s="27" t="s">
        <v>45</v>
      </c>
      <c r="J10793" s="28" t="s">
        <v>1047</v>
      </c>
      <c r="K10793" s="27" t="s">
        <v>45</v>
      </c>
      <c r="L10793" s="27"/>
    </row>
    <row r="10794" customFormat="false" ht="15" hidden="false" customHeight="false" outlineLevel="0" collapsed="false">
      <c r="A10794" s="26" t="s">
        <v>26501</v>
      </c>
      <c r="B10794" s="27" t="s">
        <v>26502</v>
      </c>
      <c r="C10794" s="27" t="s">
        <v>370</v>
      </c>
      <c r="D10794" s="26"/>
      <c r="E10794" s="27"/>
      <c r="F10794" s="27"/>
      <c r="G10794" s="27" t="s">
        <v>11122</v>
      </c>
      <c r="H10794" s="27" t="s">
        <v>35</v>
      </c>
      <c r="I10794" s="27" t="s">
        <v>45</v>
      </c>
      <c r="J10794" s="28" t="s">
        <v>1047</v>
      </c>
      <c r="K10794" s="27" t="s">
        <v>45</v>
      </c>
      <c r="L10794" s="27"/>
    </row>
    <row r="10795" customFormat="false" ht="15" hidden="false" customHeight="false" outlineLevel="0" collapsed="false">
      <c r="A10795" s="26" t="s">
        <v>26503</v>
      </c>
      <c r="B10795" s="27" t="s">
        <v>26504</v>
      </c>
      <c r="C10795" s="27" t="s">
        <v>1845</v>
      </c>
      <c r="D10795" s="26"/>
      <c r="E10795" s="27"/>
      <c r="F10795" s="27"/>
      <c r="G10795" s="27" t="s">
        <v>11122</v>
      </c>
      <c r="H10795" s="27" t="s">
        <v>35</v>
      </c>
      <c r="I10795" s="27" t="s">
        <v>38</v>
      </c>
      <c r="J10795" s="28" t="s">
        <v>1047</v>
      </c>
      <c r="K10795" s="27" t="s">
        <v>45</v>
      </c>
      <c r="L10795" s="27"/>
    </row>
    <row r="10796" customFormat="false" ht="15" hidden="false" customHeight="false" outlineLevel="0" collapsed="false">
      <c r="A10796" s="26" t="s">
        <v>26505</v>
      </c>
      <c r="B10796" s="27" t="s">
        <v>26506</v>
      </c>
      <c r="C10796" s="27" t="s">
        <v>1845</v>
      </c>
      <c r="D10796" s="26"/>
      <c r="E10796" s="27"/>
      <c r="F10796" s="27"/>
      <c r="G10796" s="27" t="s">
        <v>11122</v>
      </c>
      <c r="H10796" s="27" t="s">
        <v>35</v>
      </c>
      <c r="I10796" s="27" t="s">
        <v>38</v>
      </c>
      <c r="J10796" s="28" t="s">
        <v>1047</v>
      </c>
      <c r="K10796" s="27" t="s">
        <v>45</v>
      </c>
      <c r="L10796" s="27"/>
    </row>
    <row r="10797" customFormat="false" ht="15" hidden="false" customHeight="false" outlineLevel="0" collapsed="false">
      <c r="A10797" s="26" t="s">
        <v>26507</v>
      </c>
      <c r="B10797" s="27" t="s">
        <v>26508</v>
      </c>
      <c r="C10797" s="27" t="s">
        <v>1845</v>
      </c>
      <c r="D10797" s="26"/>
      <c r="E10797" s="27"/>
      <c r="F10797" s="27"/>
      <c r="G10797" s="27" t="s">
        <v>11122</v>
      </c>
      <c r="H10797" s="27" t="s">
        <v>35</v>
      </c>
      <c r="I10797" s="27" t="s">
        <v>38</v>
      </c>
      <c r="J10797" s="28" t="s">
        <v>1047</v>
      </c>
      <c r="K10797" s="27" t="s">
        <v>45</v>
      </c>
      <c r="L10797" s="27"/>
    </row>
    <row r="10798" customFormat="false" ht="15" hidden="false" customHeight="false" outlineLevel="0" collapsed="false">
      <c r="A10798" s="26" t="s">
        <v>26509</v>
      </c>
      <c r="B10798" s="27" t="s">
        <v>26510</v>
      </c>
      <c r="C10798" s="27" t="s">
        <v>137</v>
      </c>
      <c r="D10798" s="26"/>
      <c r="E10798" s="27"/>
      <c r="F10798" s="27"/>
      <c r="G10798" s="27" t="s">
        <v>11122</v>
      </c>
      <c r="H10798" s="27" t="s">
        <v>35</v>
      </c>
      <c r="I10798" s="27" t="s">
        <v>45</v>
      </c>
      <c r="J10798" s="28" t="s">
        <v>1047</v>
      </c>
      <c r="K10798" s="27" t="s">
        <v>45</v>
      </c>
      <c r="L10798" s="27"/>
    </row>
    <row r="10799" customFormat="false" ht="15" hidden="false" customHeight="false" outlineLevel="0" collapsed="false">
      <c r="A10799" s="26" t="s">
        <v>26511</v>
      </c>
      <c r="B10799" s="27" t="s">
        <v>26512</v>
      </c>
      <c r="C10799" s="27" t="s">
        <v>100</v>
      </c>
      <c r="D10799" s="26"/>
      <c r="E10799" s="27"/>
      <c r="F10799" s="27"/>
      <c r="G10799" s="27" t="s">
        <v>11122</v>
      </c>
      <c r="H10799" s="27" t="s">
        <v>35</v>
      </c>
      <c r="I10799" s="27" t="s">
        <v>45</v>
      </c>
      <c r="J10799" s="28" t="s">
        <v>1047</v>
      </c>
      <c r="K10799" s="27" t="s">
        <v>45</v>
      </c>
      <c r="L10799" s="27"/>
    </row>
    <row r="10800" customFormat="false" ht="15" hidden="false" customHeight="false" outlineLevel="0" collapsed="false">
      <c r="A10800" s="26" t="s">
        <v>26513</v>
      </c>
      <c r="B10800" s="27" t="s">
        <v>26514</v>
      </c>
      <c r="C10800" s="27" t="s">
        <v>100</v>
      </c>
      <c r="D10800" s="26"/>
      <c r="E10800" s="27"/>
      <c r="F10800" s="27"/>
      <c r="G10800" s="27" t="s">
        <v>11122</v>
      </c>
      <c r="H10800" s="27" t="s">
        <v>35</v>
      </c>
      <c r="I10800" s="27" t="s">
        <v>45</v>
      </c>
      <c r="J10800" s="28" t="s">
        <v>1047</v>
      </c>
      <c r="K10800" s="27" t="s">
        <v>45</v>
      </c>
      <c r="L10800" s="27"/>
    </row>
    <row r="10801" customFormat="false" ht="15" hidden="false" customHeight="false" outlineLevel="0" collapsed="false">
      <c r="A10801" s="26" t="s">
        <v>26515</v>
      </c>
      <c r="B10801" s="27" t="s">
        <v>26516</v>
      </c>
      <c r="C10801" s="27" t="s">
        <v>100</v>
      </c>
      <c r="D10801" s="26"/>
      <c r="E10801" s="27"/>
      <c r="F10801" s="27"/>
      <c r="G10801" s="27" t="s">
        <v>11122</v>
      </c>
      <c r="H10801" s="27" t="s">
        <v>35</v>
      </c>
      <c r="I10801" s="27" t="s">
        <v>45</v>
      </c>
      <c r="J10801" s="28" t="s">
        <v>1047</v>
      </c>
      <c r="K10801" s="27" t="s">
        <v>45</v>
      </c>
      <c r="L10801" s="27"/>
    </row>
    <row r="10802" customFormat="false" ht="15" hidden="false" customHeight="false" outlineLevel="0" collapsed="false">
      <c r="A10802" s="26" t="s">
        <v>26517</v>
      </c>
      <c r="B10802" s="27" t="s">
        <v>26518</v>
      </c>
      <c r="C10802" s="27" t="s">
        <v>100</v>
      </c>
      <c r="D10802" s="26"/>
      <c r="E10802" s="27"/>
      <c r="F10802" s="27"/>
      <c r="G10802" s="27" t="s">
        <v>11122</v>
      </c>
      <c r="H10802" s="27" t="s">
        <v>35</v>
      </c>
      <c r="I10802" s="27" t="s">
        <v>45</v>
      </c>
      <c r="J10802" s="28" t="s">
        <v>1047</v>
      </c>
      <c r="K10802" s="27" t="s">
        <v>45</v>
      </c>
      <c r="L10802" s="27"/>
    </row>
    <row r="10803" customFormat="false" ht="15" hidden="false" customHeight="false" outlineLevel="0" collapsed="false">
      <c r="A10803" s="26" t="s">
        <v>26519</v>
      </c>
      <c r="B10803" s="27" t="s">
        <v>26520</v>
      </c>
      <c r="C10803" s="27" t="s">
        <v>100</v>
      </c>
      <c r="D10803" s="26"/>
      <c r="E10803" s="27"/>
      <c r="F10803" s="27"/>
      <c r="G10803" s="27" t="s">
        <v>11122</v>
      </c>
      <c r="H10803" s="27" t="s">
        <v>35</v>
      </c>
      <c r="I10803" s="27" t="s">
        <v>45</v>
      </c>
      <c r="J10803" s="28" t="s">
        <v>1047</v>
      </c>
      <c r="K10803" s="27" t="s">
        <v>45</v>
      </c>
      <c r="L10803" s="27"/>
    </row>
    <row r="10804" customFormat="false" ht="15" hidden="false" customHeight="false" outlineLevel="0" collapsed="false">
      <c r="A10804" s="26" t="s">
        <v>26521</v>
      </c>
      <c r="B10804" s="27" t="s">
        <v>26522</v>
      </c>
      <c r="C10804" s="27" t="s">
        <v>100</v>
      </c>
      <c r="D10804" s="26"/>
      <c r="E10804" s="27"/>
      <c r="F10804" s="27"/>
      <c r="G10804" s="27" t="s">
        <v>11122</v>
      </c>
      <c r="H10804" s="27" t="s">
        <v>35</v>
      </c>
      <c r="I10804" s="27" t="s">
        <v>45</v>
      </c>
      <c r="J10804" s="28" t="s">
        <v>1047</v>
      </c>
      <c r="K10804" s="27" t="s">
        <v>45</v>
      </c>
      <c r="L10804" s="27"/>
    </row>
    <row r="10805" customFormat="false" ht="15" hidden="false" customHeight="false" outlineLevel="0" collapsed="false">
      <c r="A10805" s="26" t="s">
        <v>26523</v>
      </c>
      <c r="B10805" s="27" t="s">
        <v>26524</v>
      </c>
      <c r="C10805" s="27" t="s">
        <v>100</v>
      </c>
      <c r="D10805" s="26"/>
      <c r="E10805" s="27"/>
      <c r="F10805" s="27"/>
      <c r="G10805" s="27" t="s">
        <v>11122</v>
      </c>
      <c r="H10805" s="27" t="s">
        <v>35</v>
      </c>
      <c r="I10805" s="27" t="s">
        <v>45</v>
      </c>
      <c r="J10805" s="28" t="s">
        <v>1047</v>
      </c>
      <c r="K10805" s="27" t="s">
        <v>45</v>
      </c>
      <c r="L10805" s="27"/>
    </row>
    <row r="10806" customFormat="false" ht="15" hidden="false" customHeight="false" outlineLevel="0" collapsed="false">
      <c r="A10806" s="26" t="s">
        <v>26525</v>
      </c>
      <c r="B10806" s="27" t="s">
        <v>26526</v>
      </c>
      <c r="C10806" s="27" t="s">
        <v>100</v>
      </c>
      <c r="D10806" s="26"/>
      <c r="E10806" s="27"/>
      <c r="F10806" s="27"/>
      <c r="G10806" s="27" t="s">
        <v>11122</v>
      </c>
      <c r="H10806" s="27" t="s">
        <v>35</v>
      </c>
      <c r="I10806" s="27" t="s">
        <v>45</v>
      </c>
      <c r="J10806" s="28" t="s">
        <v>1047</v>
      </c>
      <c r="K10806" s="27" t="s">
        <v>45</v>
      </c>
      <c r="L10806" s="27"/>
    </row>
    <row r="10807" customFormat="false" ht="15" hidden="false" customHeight="false" outlineLevel="0" collapsed="false">
      <c r="A10807" s="26" t="s">
        <v>26527</v>
      </c>
      <c r="B10807" s="27" t="s">
        <v>26528</v>
      </c>
      <c r="C10807" s="27" t="s">
        <v>100</v>
      </c>
      <c r="D10807" s="26"/>
      <c r="E10807" s="27"/>
      <c r="F10807" s="27"/>
      <c r="G10807" s="27" t="s">
        <v>11122</v>
      </c>
      <c r="H10807" s="27" t="s">
        <v>35</v>
      </c>
      <c r="I10807" s="27" t="s">
        <v>45</v>
      </c>
      <c r="J10807" s="28" t="s">
        <v>1047</v>
      </c>
      <c r="K10807" s="27" t="s">
        <v>45</v>
      </c>
      <c r="L10807" s="27"/>
    </row>
    <row r="10808" customFormat="false" ht="15" hidden="false" customHeight="false" outlineLevel="0" collapsed="false">
      <c r="A10808" s="26" t="s">
        <v>26529</v>
      </c>
      <c r="B10808" s="27" t="s">
        <v>26530</v>
      </c>
      <c r="C10808" s="27" t="s">
        <v>100</v>
      </c>
      <c r="D10808" s="26"/>
      <c r="E10808" s="27"/>
      <c r="F10808" s="27"/>
      <c r="G10808" s="27" t="s">
        <v>11122</v>
      </c>
      <c r="H10808" s="27" t="s">
        <v>35</v>
      </c>
      <c r="I10808" s="27" t="s">
        <v>45</v>
      </c>
      <c r="J10808" s="28" t="s">
        <v>1047</v>
      </c>
      <c r="K10808" s="27" t="s">
        <v>45</v>
      </c>
      <c r="L10808" s="27"/>
    </row>
    <row r="10809" customFormat="false" ht="15" hidden="false" customHeight="false" outlineLevel="0" collapsed="false">
      <c r="A10809" s="26" t="s">
        <v>26531</v>
      </c>
      <c r="B10809" s="27" t="s">
        <v>26532</v>
      </c>
      <c r="C10809" s="27" t="s">
        <v>100</v>
      </c>
      <c r="D10809" s="26"/>
      <c r="E10809" s="27"/>
      <c r="F10809" s="27"/>
      <c r="G10809" s="27" t="s">
        <v>11122</v>
      </c>
      <c r="H10809" s="27" t="s">
        <v>35</v>
      </c>
      <c r="I10809" s="27" t="s">
        <v>45</v>
      </c>
      <c r="J10809" s="28" t="s">
        <v>1047</v>
      </c>
      <c r="K10809" s="27" t="s">
        <v>45</v>
      </c>
      <c r="L10809" s="27"/>
    </row>
    <row r="10810" customFormat="false" ht="15" hidden="false" customHeight="false" outlineLevel="0" collapsed="false">
      <c r="A10810" s="26" t="s">
        <v>26533</v>
      </c>
      <c r="B10810" s="27" t="s">
        <v>26534</v>
      </c>
      <c r="C10810" s="27" t="s">
        <v>100</v>
      </c>
      <c r="D10810" s="26"/>
      <c r="E10810" s="27"/>
      <c r="F10810" s="27"/>
      <c r="G10810" s="27" t="s">
        <v>11122</v>
      </c>
      <c r="H10810" s="27" t="s">
        <v>35</v>
      </c>
      <c r="I10810" s="27" t="s">
        <v>45</v>
      </c>
      <c r="J10810" s="28" t="s">
        <v>1047</v>
      </c>
      <c r="K10810" s="27" t="s">
        <v>45</v>
      </c>
      <c r="L10810" s="27"/>
    </row>
    <row r="10811" customFormat="false" ht="15" hidden="false" customHeight="false" outlineLevel="0" collapsed="false">
      <c r="A10811" s="26" t="s">
        <v>26535</v>
      </c>
      <c r="B10811" s="27" t="s">
        <v>26536</v>
      </c>
      <c r="C10811" s="27" t="s">
        <v>100</v>
      </c>
      <c r="D10811" s="26"/>
      <c r="E10811" s="27"/>
      <c r="F10811" s="27"/>
      <c r="G10811" s="27" t="s">
        <v>11122</v>
      </c>
      <c r="H10811" s="27" t="s">
        <v>35</v>
      </c>
      <c r="I10811" s="27" t="s">
        <v>45</v>
      </c>
      <c r="J10811" s="28" t="s">
        <v>1047</v>
      </c>
      <c r="K10811" s="27" t="s">
        <v>45</v>
      </c>
      <c r="L10811" s="27"/>
    </row>
    <row r="10812" customFormat="false" ht="15" hidden="false" customHeight="false" outlineLevel="0" collapsed="false">
      <c r="A10812" s="26" t="s">
        <v>26537</v>
      </c>
      <c r="B10812" s="27" t="s">
        <v>26538</v>
      </c>
      <c r="C10812" s="27" t="s">
        <v>100</v>
      </c>
      <c r="D10812" s="26"/>
      <c r="E10812" s="27"/>
      <c r="F10812" s="27"/>
      <c r="G10812" s="27" t="s">
        <v>11122</v>
      </c>
      <c r="H10812" s="27" t="s">
        <v>35</v>
      </c>
      <c r="I10812" s="27" t="s">
        <v>45</v>
      </c>
      <c r="J10812" s="28" t="s">
        <v>1047</v>
      </c>
      <c r="K10812" s="27" t="s">
        <v>45</v>
      </c>
      <c r="L10812" s="27"/>
    </row>
    <row r="10813" customFormat="false" ht="15" hidden="false" customHeight="false" outlineLevel="0" collapsed="false">
      <c r="A10813" s="26" t="s">
        <v>26539</v>
      </c>
      <c r="B10813" s="27" t="s">
        <v>26540</v>
      </c>
      <c r="C10813" s="27" t="s">
        <v>100</v>
      </c>
      <c r="D10813" s="26"/>
      <c r="E10813" s="27"/>
      <c r="F10813" s="27"/>
      <c r="G10813" s="27" t="s">
        <v>11122</v>
      </c>
      <c r="H10813" s="27" t="s">
        <v>35</v>
      </c>
      <c r="I10813" s="27" t="s">
        <v>45</v>
      </c>
      <c r="J10813" s="28" t="s">
        <v>1047</v>
      </c>
      <c r="K10813" s="27" t="s">
        <v>45</v>
      </c>
      <c r="L10813" s="27"/>
    </row>
    <row r="10814" customFormat="false" ht="15" hidden="false" customHeight="false" outlineLevel="0" collapsed="false">
      <c r="A10814" s="26" t="s">
        <v>26541</v>
      </c>
      <c r="B10814" s="27" t="s">
        <v>26542</v>
      </c>
      <c r="C10814" s="27" t="s">
        <v>100</v>
      </c>
      <c r="D10814" s="26"/>
      <c r="E10814" s="27"/>
      <c r="F10814" s="27"/>
      <c r="G10814" s="27" t="s">
        <v>11122</v>
      </c>
      <c r="H10814" s="27" t="s">
        <v>35</v>
      </c>
      <c r="I10814" s="27" t="s">
        <v>45</v>
      </c>
      <c r="J10814" s="28" t="s">
        <v>1047</v>
      </c>
      <c r="K10814" s="27" t="s">
        <v>45</v>
      </c>
      <c r="L10814" s="27"/>
    </row>
    <row r="10815" customFormat="false" ht="15" hidden="false" customHeight="false" outlineLevel="0" collapsed="false">
      <c r="A10815" s="26" t="s">
        <v>26543</v>
      </c>
      <c r="B10815" s="27" t="s">
        <v>26544</v>
      </c>
      <c r="C10815" s="27" t="s">
        <v>100</v>
      </c>
      <c r="D10815" s="26"/>
      <c r="E10815" s="27"/>
      <c r="F10815" s="27"/>
      <c r="G10815" s="27" t="s">
        <v>11122</v>
      </c>
      <c r="H10815" s="27" t="s">
        <v>35</v>
      </c>
      <c r="I10815" s="27" t="s">
        <v>45</v>
      </c>
      <c r="J10815" s="28" t="s">
        <v>1047</v>
      </c>
      <c r="K10815" s="27" t="s">
        <v>45</v>
      </c>
      <c r="L10815" s="27"/>
    </row>
    <row r="10816" customFormat="false" ht="15" hidden="false" customHeight="false" outlineLevel="0" collapsed="false">
      <c r="A10816" s="26" t="s">
        <v>26545</v>
      </c>
      <c r="B10816" s="27" t="s">
        <v>26546</v>
      </c>
      <c r="C10816" s="27" t="s">
        <v>100</v>
      </c>
      <c r="D10816" s="26"/>
      <c r="E10816" s="27"/>
      <c r="F10816" s="27"/>
      <c r="G10816" s="27" t="s">
        <v>11122</v>
      </c>
      <c r="H10816" s="27" t="s">
        <v>35</v>
      </c>
      <c r="I10816" s="27" t="s">
        <v>45</v>
      </c>
      <c r="J10816" s="28" t="s">
        <v>1047</v>
      </c>
      <c r="K10816" s="27" t="s">
        <v>45</v>
      </c>
      <c r="L10816" s="27"/>
    </row>
    <row r="10817" customFormat="false" ht="15" hidden="false" customHeight="false" outlineLevel="0" collapsed="false">
      <c r="A10817" s="26" t="s">
        <v>26547</v>
      </c>
      <c r="B10817" s="27" t="s">
        <v>26548</v>
      </c>
      <c r="C10817" s="27" t="s">
        <v>100</v>
      </c>
      <c r="D10817" s="26"/>
      <c r="E10817" s="27"/>
      <c r="F10817" s="27"/>
      <c r="G10817" s="27" t="s">
        <v>11122</v>
      </c>
      <c r="H10817" s="27" t="s">
        <v>35</v>
      </c>
      <c r="I10817" s="27" t="s">
        <v>45</v>
      </c>
      <c r="J10817" s="28" t="s">
        <v>1047</v>
      </c>
      <c r="K10817" s="27" t="s">
        <v>45</v>
      </c>
      <c r="L10817" s="27"/>
    </row>
    <row r="10818" customFormat="false" ht="15" hidden="false" customHeight="false" outlineLevel="0" collapsed="false">
      <c r="A10818" s="26" t="s">
        <v>26549</v>
      </c>
      <c r="B10818" s="27" t="s">
        <v>26550</v>
      </c>
      <c r="C10818" s="27" t="s">
        <v>100</v>
      </c>
      <c r="D10818" s="26"/>
      <c r="E10818" s="27"/>
      <c r="F10818" s="27"/>
      <c r="G10818" s="27" t="s">
        <v>11122</v>
      </c>
      <c r="H10818" s="27" t="s">
        <v>35</v>
      </c>
      <c r="I10818" s="27" t="s">
        <v>45</v>
      </c>
      <c r="J10818" s="28" t="s">
        <v>1047</v>
      </c>
      <c r="K10818" s="27" t="s">
        <v>45</v>
      </c>
      <c r="L10818" s="27"/>
    </row>
    <row r="10819" customFormat="false" ht="15" hidden="false" customHeight="false" outlineLevel="0" collapsed="false">
      <c r="A10819" s="26" t="s">
        <v>26551</v>
      </c>
      <c r="B10819" s="27" t="s">
        <v>26552</v>
      </c>
      <c r="C10819" s="27" t="s">
        <v>100</v>
      </c>
      <c r="D10819" s="26"/>
      <c r="E10819" s="27"/>
      <c r="F10819" s="27"/>
      <c r="G10819" s="27" t="s">
        <v>11122</v>
      </c>
      <c r="H10819" s="27" t="s">
        <v>35</v>
      </c>
      <c r="I10819" s="27" t="s">
        <v>45</v>
      </c>
      <c r="J10819" s="28" t="s">
        <v>1047</v>
      </c>
      <c r="K10819" s="27" t="s">
        <v>45</v>
      </c>
      <c r="L10819" s="27"/>
    </row>
    <row r="10820" customFormat="false" ht="15" hidden="false" customHeight="false" outlineLevel="0" collapsed="false">
      <c r="A10820" s="26" t="s">
        <v>26553</v>
      </c>
      <c r="B10820" s="27" t="s">
        <v>26554</v>
      </c>
      <c r="C10820" s="27" t="s">
        <v>100</v>
      </c>
      <c r="D10820" s="26"/>
      <c r="E10820" s="27"/>
      <c r="F10820" s="27"/>
      <c r="G10820" s="27" t="s">
        <v>11122</v>
      </c>
      <c r="H10820" s="27" t="s">
        <v>35</v>
      </c>
      <c r="I10820" s="27" t="s">
        <v>45</v>
      </c>
      <c r="J10820" s="28" t="s">
        <v>1047</v>
      </c>
      <c r="K10820" s="27" t="s">
        <v>45</v>
      </c>
      <c r="L10820" s="27"/>
    </row>
    <row r="10821" customFormat="false" ht="15" hidden="false" customHeight="false" outlineLevel="0" collapsed="false">
      <c r="A10821" s="26" t="s">
        <v>26555</v>
      </c>
      <c r="B10821" s="27" t="s">
        <v>26556</v>
      </c>
      <c r="C10821" s="27" t="s">
        <v>100</v>
      </c>
      <c r="D10821" s="26"/>
      <c r="E10821" s="27"/>
      <c r="F10821" s="27"/>
      <c r="G10821" s="27" t="s">
        <v>11122</v>
      </c>
      <c r="H10821" s="27" t="s">
        <v>35</v>
      </c>
      <c r="I10821" s="27" t="s">
        <v>45</v>
      </c>
      <c r="J10821" s="28" t="s">
        <v>1047</v>
      </c>
      <c r="K10821" s="27" t="s">
        <v>45</v>
      </c>
      <c r="L10821" s="27"/>
    </row>
    <row r="10822" customFormat="false" ht="15" hidden="false" customHeight="false" outlineLevel="0" collapsed="false">
      <c r="A10822" s="26" t="s">
        <v>26557</v>
      </c>
      <c r="B10822" s="27" t="s">
        <v>26558</v>
      </c>
      <c r="C10822" s="27" t="s">
        <v>100</v>
      </c>
      <c r="D10822" s="26"/>
      <c r="E10822" s="27"/>
      <c r="F10822" s="27"/>
      <c r="G10822" s="27" t="s">
        <v>11122</v>
      </c>
      <c r="H10822" s="27" t="s">
        <v>35</v>
      </c>
      <c r="I10822" s="27" t="s">
        <v>45</v>
      </c>
      <c r="J10822" s="28" t="s">
        <v>1047</v>
      </c>
      <c r="K10822" s="27" t="s">
        <v>45</v>
      </c>
      <c r="L10822" s="27"/>
    </row>
    <row r="10823" customFormat="false" ht="15" hidden="false" customHeight="false" outlineLevel="0" collapsed="false">
      <c r="A10823" s="26" t="s">
        <v>26559</v>
      </c>
      <c r="B10823" s="27" t="s">
        <v>26560</v>
      </c>
      <c r="C10823" s="27" t="s">
        <v>100</v>
      </c>
      <c r="D10823" s="26"/>
      <c r="E10823" s="27"/>
      <c r="F10823" s="27"/>
      <c r="G10823" s="27" t="s">
        <v>11122</v>
      </c>
      <c r="H10823" s="27" t="s">
        <v>35</v>
      </c>
      <c r="I10823" s="27" t="s">
        <v>45</v>
      </c>
      <c r="J10823" s="28" t="s">
        <v>1047</v>
      </c>
      <c r="K10823" s="27" t="s">
        <v>45</v>
      </c>
      <c r="L10823" s="27"/>
    </row>
    <row r="10824" customFormat="false" ht="15" hidden="false" customHeight="false" outlineLevel="0" collapsed="false">
      <c r="A10824" s="26" t="s">
        <v>26561</v>
      </c>
      <c r="B10824" s="27" t="s">
        <v>26562</v>
      </c>
      <c r="C10824" s="27" t="s">
        <v>100</v>
      </c>
      <c r="D10824" s="26"/>
      <c r="E10824" s="27"/>
      <c r="F10824" s="27"/>
      <c r="G10824" s="27" t="s">
        <v>11122</v>
      </c>
      <c r="H10824" s="27" t="s">
        <v>35</v>
      </c>
      <c r="I10824" s="27" t="s">
        <v>45</v>
      </c>
      <c r="J10824" s="28" t="s">
        <v>1047</v>
      </c>
      <c r="K10824" s="27" t="s">
        <v>45</v>
      </c>
      <c r="L10824" s="27"/>
    </row>
    <row r="10825" customFormat="false" ht="15" hidden="false" customHeight="false" outlineLevel="0" collapsed="false">
      <c r="A10825" s="26" t="s">
        <v>26563</v>
      </c>
      <c r="B10825" s="27" t="s">
        <v>26564</v>
      </c>
      <c r="C10825" s="27" t="s">
        <v>100</v>
      </c>
      <c r="D10825" s="26"/>
      <c r="E10825" s="27"/>
      <c r="F10825" s="27"/>
      <c r="G10825" s="27" t="s">
        <v>11122</v>
      </c>
      <c r="H10825" s="27" t="s">
        <v>35</v>
      </c>
      <c r="I10825" s="27" t="s">
        <v>45</v>
      </c>
      <c r="J10825" s="28" t="s">
        <v>1047</v>
      </c>
      <c r="K10825" s="27" t="s">
        <v>45</v>
      </c>
      <c r="L10825" s="27"/>
    </row>
    <row r="10826" customFormat="false" ht="15" hidden="false" customHeight="false" outlineLevel="0" collapsed="false">
      <c r="A10826" s="26" t="s">
        <v>26565</v>
      </c>
      <c r="B10826" s="27" t="s">
        <v>26566</v>
      </c>
      <c r="C10826" s="27" t="s">
        <v>100</v>
      </c>
      <c r="D10826" s="26"/>
      <c r="E10826" s="27"/>
      <c r="F10826" s="27"/>
      <c r="G10826" s="27" t="s">
        <v>11122</v>
      </c>
      <c r="H10826" s="27" t="s">
        <v>35</v>
      </c>
      <c r="I10826" s="27" t="s">
        <v>45</v>
      </c>
      <c r="J10826" s="28" t="s">
        <v>1047</v>
      </c>
      <c r="K10826" s="27" t="s">
        <v>45</v>
      </c>
      <c r="L10826" s="27"/>
    </row>
    <row r="10827" customFormat="false" ht="15" hidden="false" customHeight="false" outlineLevel="0" collapsed="false">
      <c r="A10827" s="26" t="s">
        <v>26567</v>
      </c>
      <c r="B10827" s="27" t="s">
        <v>26568</v>
      </c>
      <c r="C10827" s="27" t="s">
        <v>100</v>
      </c>
      <c r="D10827" s="26"/>
      <c r="E10827" s="27"/>
      <c r="F10827" s="27"/>
      <c r="G10827" s="27" t="s">
        <v>11122</v>
      </c>
      <c r="H10827" s="27" t="s">
        <v>35</v>
      </c>
      <c r="I10827" s="27" t="s">
        <v>45</v>
      </c>
      <c r="J10827" s="28" t="s">
        <v>1047</v>
      </c>
      <c r="K10827" s="27" t="s">
        <v>45</v>
      </c>
      <c r="L10827" s="27"/>
    </row>
    <row r="10828" customFormat="false" ht="15" hidden="false" customHeight="false" outlineLevel="0" collapsed="false">
      <c r="A10828" s="26" t="s">
        <v>26569</v>
      </c>
      <c r="B10828" s="27" t="s">
        <v>26570</v>
      </c>
      <c r="C10828" s="27" t="s">
        <v>100</v>
      </c>
      <c r="D10828" s="26"/>
      <c r="E10828" s="27"/>
      <c r="F10828" s="27"/>
      <c r="G10828" s="27" t="s">
        <v>11122</v>
      </c>
      <c r="H10828" s="27" t="s">
        <v>35</v>
      </c>
      <c r="I10828" s="27" t="s">
        <v>45</v>
      </c>
      <c r="J10828" s="28" t="s">
        <v>1047</v>
      </c>
      <c r="K10828" s="27" t="s">
        <v>45</v>
      </c>
      <c r="L10828" s="27"/>
    </row>
    <row r="10829" customFormat="false" ht="15" hidden="false" customHeight="false" outlineLevel="0" collapsed="false">
      <c r="A10829" s="26" t="s">
        <v>26571</v>
      </c>
      <c r="B10829" s="27" t="s">
        <v>26572</v>
      </c>
      <c r="C10829" s="27" t="s">
        <v>100</v>
      </c>
      <c r="D10829" s="26"/>
      <c r="E10829" s="27"/>
      <c r="F10829" s="27"/>
      <c r="G10829" s="27" t="s">
        <v>11122</v>
      </c>
      <c r="H10829" s="27" t="s">
        <v>35</v>
      </c>
      <c r="I10829" s="27" t="s">
        <v>45</v>
      </c>
      <c r="J10829" s="28" t="s">
        <v>1047</v>
      </c>
      <c r="K10829" s="27" t="s">
        <v>45</v>
      </c>
      <c r="L10829" s="27"/>
    </row>
    <row r="10830" customFormat="false" ht="15" hidden="false" customHeight="false" outlineLevel="0" collapsed="false">
      <c r="A10830" s="26" t="s">
        <v>26573</v>
      </c>
      <c r="B10830" s="27" t="s">
        <v>26574</v>
      </c>
      <c r="C10830" s="27" t="s">
        <v>100</v>
      </c>
      <c r="D10830" s="26"/>
      <c r="E10830" s="27"/>
      <c r="F10830" s="27"/>
      <c r="G10830" s="27" t="s">
        <v>11122</v>
      </c>
      <c r="H10830" s="27" t="s">
        <v>35</v>
      </c>
      <c r="I10830" s="27" t="s">
        <v>45</v>
      </c>
      <c r="J10830" s="28" t="s">
        <v>1047</v>
      </c>
      <c r="K10830" s="27" t="s">
        <v>45</v>
      </c>
      <c r="L10830" s="27"/>
    </row>
    <row r="10831" customFormat="false" ht="15" hidden="false" customHeight="false" outlineLevel="0" collapsed="false">
      <c r="A10831" s="26" t="s">
        <v>26575</v>
      </c>
      <c r="B10831" s="27" t="s">
        <v>26576</v>
      </c>
      <c r="C10831" s="27" t="s">
        <v>100</v>
      </c>
      <c r="D10831" s="26"/>
      <c r="E10831" s="27"/>
      <c r="F10831" s="27"/>
      <c r="G10831" s="27" t="s">
        <v>11122</v>
      </c>
      <c r="H10831" s="27" t="s">
        <v>35</v>
      </c>
      <c r="I10831" s="27" t="s">
        <v>45</v>
      </c>
      <c r="J10831" s="28" t="s">
        <v>1047</v>
      </c>
      <c r="K10831" s="27" t="s">
        <v>45</v>
      </c>
      <c r="L10831" s="27"/>
    </row>
    <row r="10832" customFormat="false" ht="15" hidden="false" customHeight="false" outlineLevel="0" collapsed="false">
      <c r="A10832" s="26" t="s">
        <v>26577</v>
      </c>
      <c r="B10832" s="27" t="s">
        <v>26578</v>
      </c>
      <c r="C10832" s="27" t="s">
        <v>100</v>
      </c>
      <c r="D10832" s="26"/>
      <c r="E10832" s="27"/>
      <c r="F10832" s="27"/>
      <c r="G10832" s="27" t="s">
        <v>11122</v>
      </c>
      <c r="H10832" s="27" t="s">
        <v>35</v>
      </c>
      <c r="I10832" s="27" t="s">
        <v>45</v>
      </c>
      <c r="J10832" s="28" t="s">
        <v>1047</v>
      </c>
      <c r="K10832" s="27" t="s">
        <v>45</v>
      </c>
      <c r="L10832" s="27"/>
    </row>
    <row r="10833" customFormat="false" ht="15" hidden="false" customHeight="false" outlineLevel="0" collapsed="false">
      <c r="A10833" s="26" t="s">
        <v>26579</v>
      </c>
      <c r="B10833" s="27" t="s">
        <v>26580</v>
      </c>
      <c r="C10833" s="27" t="s">
        <v>144</v>
      </c>
      <c r="D10833" s="26"/>
      <c r="E10833" s="27"/>
      <c r="F10833" s="27"/>
      <c r="G10833" s="27" t="s">
        <v>11122</v>
      </c>
      <c r="H10833" s="27" t="s">
        <v>35</v>
      </c>
      <c r="I10833" s="27" t="s">
        <v>44</v>
      </c>
      <c r="J10833" s="28" t="s">
        <v>1047</v>
      </c>
      <c r="K10833" s="27" t="s">
        <v>45</v>
      </c>
      <c r="L10833" s="27"/>
    </row>
    <row r="10834" customFormat="false" ht="15" hidden="false" customHeight="false" outlineLevel="0" collapsed="false">
      <c r="A10834" s="26" t="s">
        <v>26581</v>
      </c>
      <c r="B10834" s="27" t="s">
        <v>26582</v>
      </c>
      <c r="C10834" s="27" t="s">
        <v>144</v>
      </c>
      <c r="D10834" s="26"/>
      <c r="E10834" s="27"/>
      <c r="F10834" s="27"/>
      <c r="G10834" s="27" t="s">
        <v>11122</v>
      </c>
      <c r="H10834" s="27" t="s">
        <v>35</v>
      </c>
      <c r="I10834" s="27" t="s">
        <v>44</v>
      </c>
      <c r="J10834" s="28" t="s">
        <v>1047</v>
      </c>
      <c r="K10834" s="27" t="s">
        <v>45</v>
      </c>
      <c r="L10834" s="27"/>
    </row>
    <row r="10835" customFormat="false" ht="15" hidden="false" customHeight="false" outlineLevel="0" collapsed="false">
      <c r="A10835" s="26" t="s">
        <v>26583</v>
      </c>
      <c r="B10835" s="27" t="s">
        <v>26584</v>
      </c>
      <c r="C10835" s="27" t="s">
        <v>144</v>
      </c>
      <c r="D10835" s="26"/>
      <c r="E10835" s="27"/>
      <c r="F10835" s="27"/>
      <c r="G10835" s="27" t="s">
        <v>11122</v>
      </c>
      <c r="H10835" s="27" t="s">
        <v>35</v>
      </c>
      <c r="I10835" s="27" t="s">
        <v>49</v>
      </c>
      <c r="J10835" s="28" t="s">
        <v>1047</v>
      </c>
      <c r="K10835" s="27" t="s">
        <v>45</v>
      </c>
      <c r="L10835" s="27"/>
    </row>
    <row r="10836" customFormat="false" ht="15" hidden="false" customHeight="false" outlineLevel="0" collapsed="false">
      <c r="A10836" s="26" t="s">
        <v>26585</v>
      </c>
      <c r="B10836" s="27" t="s">
        <v>26586</v>
      </c>
      <c r="C10836" s="27" t="s">
        <v>3373</v>
      </c>
      <c r="D10836" s="26"/>
      <c r="E10836" s="27"/>
      <c r="F10836" s="27"/>
      <c r="G10836" s="27" t="s">
        <v>11122</v>
      </c>
      <c r="H10836" s="27" t="s">
        <v>35</v>
      </c>
      <c r="I10836" s="27" t="s">
        <v>49</v>
      </c>
      <c r="J10836" s="28" t="s">
        <v>1047</v>
      </c>
      <c r="K10836" s="27" t="s">
        <v>45</v>
      </c>
      <c r="L10836" s="27"/>
    </row>
    <row r="10837" customFormat="false" ht="15" hidden="false" customHeight="false" outlineLevel="0" collapsed="false">
      <c r="A10837" s="26" t="s">
        <v>26587</v>
      </c>
      <c r="B10837" s="27" t="s">
        <v>26588</v>
      </c>
      <c r="C10837" s="27" t="s">
        <v>144</v>
      </c>
      <c r="D10837" s="26"/>
      <c r="E10837" s="27"/>
      <c r="F10837" s="27"/>
      <c r="G10837" s="27" t="s">
        <v>11122</v>
      </c>
      <c r="H10837" s="27" t="s">
        <v>35</v>
      </c>
      <c r="I10837" s="27" t="s">
        <v>40</v>
      </c>
      <c r="J10837" s="28" t="s">
        <v>1047</v>
      </c>
      <c r="K10837" s="27" t="s">
        <v>45</v>
      </c>
      <c r="L10837" s="27"/>
    </row>
    <row r="10838" customFormat="false" ht="15" hidden="false" customHeight="false" outlineLevel="0" collapsed="false">
      <c r="A10838" s="26" t="s">
        <v>26589</v>
      </c>
      <c r="B10838" s="27" t="s">
        <v>26590</v>
      </c>
      <c r="C10838" s="27" t="s">
        <v>144</v>
      </c>
      <c r="D10838" s="26"/>
      <c r="E10838" s="27"/>
      <c r="F10838" s="27"/>
      <c r="G10838" s="27" t="s">
        <v>11122</v>
      </c>
      <c r="H10838" s="27" t="s">
        <v>35</v>
      </c>
      <c r="I10838" s="28" t="s">
        <v>50</v>
      </c>
      <c r="J10838" s="28" t="s">
        <v>1047</v>
      </c>
      <c r="K10838" s="27" t="s">
        <v>45</v>
      </c>
      <c r="L10838" s="27"/>
    </row>
    <row r="10839" customFormat="false" ht="15" hidden="false" customHeight="false" outlineLevel="0" collapsed="false">
      <c r="A10839" s="26" t="s">
        <v>26591</v>
      </c>
      <c r="B10839" s="27" t="s">
        <v>26592</v>
      </c>
      <c r="C10839" s="27" t="s">
        <v>144</v>
      </c>
      <c r="D10839" s="26"/>
      <c r="E10839" s="27"/>
      <c r="F10839" s="27"/>
      <c r="G10839" s="27" t="s">
        <v>11122</v>
      </c>
      <c r="H10839" s="27" t="s">
        <v>35</v>
      </c>
      <c r="I10839" s="27" t="s">
        <v>43</v>
      </c>
      <c r="J10839" s="28" t="s">
        <v>1047</v>
      </c>
      <c r="K10839" s="27" t="s">
        <v>45</v>
      </c>
      <c r="L10839" s="27"/>
    </row>
    <row r="10840" customFormat="false" ht="15" hidden="false" customHeight="false" outlineLevel="0" collapsed="false">
      <c r="A10840" s="26" t="s">
        <v>26593</v>
      </c>
      <c r="B10840" s="27" t="s">
        <v>26594</v>
      </c>
      <c r="C10840" s="27" t="s">
        <v>144</v>
      </c>
      <c r="D10840" s="26"/>
      <c r="E10840" s="27"/>
      <c r="F10840" s="27"/>
      <c r="G10840" s="27" t="s">
        <v>11122</v>
      </c>
      <c r="H10840" s="27" t="s">
        <v>35</v>
      </c>
      <c r="I10840" s="27" t="s">
        <v>38</v>
      </c>
      <c r="J10840" s="28" t="s">
        <v>1047</v>
      </c>
      <c r="K10840" s="27" t="s">
        <v>45</v>
      </c>
      <c r="L10840" s="27"/>
    </row>
    <row r="10841" customFormat="false" ht="15" hidden="false" customHeight="false" outlineLevel="0" collapsed="false">
      <c r="A10841" s="26" t="s">
        <v>26595</v>
      </c>
      <c r="B10841" s="27" t="s">
        <v>26596</v>
      </c>
      <c r="C10841" s="27" t="s">
        <v>144</v>
      </c>
      <c r="D10841" s="26"/>
      <c r="E10841" s="27"/>
      <c r="F10841" s="27"/>
      <c r="G10841" s="27" t="s">
        <v>11122</v>
      </c>
      <c r="H10841" s="27" t="s">
        <v>35</v>
      </c>
      <c r="I10841" s="28" t="s">
        <v>46</v>
      </c>
      <c r="J10841" s="28" t="s">
        <v>1047</v>
      </c>
      <c r="K10841" s="27" t="s">
        <v>45</v>
      </c>
      <c r="L10841" s="27"/>
    </row>
    <row r="10842" customFormat="false" ht="15" hidden="false" customHeight="false" outlineLevel="0" collapsed="false">
      <c r="A10842" s="26" t="s">
        <v>26597</v>
      </c>
      <c r="B10842" s="27" t="s">
        <v>26598</v>
      </c>
      <c r="C10842" s="27" t="s">
        <v>144</v>
      </c>
      <c r="D10842" s="26"/>
      <c r="E10842" s="27"/>
      <c r="F10842" s="27"/>
      <c r="G10842" s="27" t="s">
        <v>11122</v>
      </c>
      <c r="H10842" s="27" t="s">
        <v>35</v>
      </c>
      <c r="I10842" s="27" t="s">
        <v>41</v>
      </c>
      <c r="J10842" s="28" t="s">
        <v>1047</v>
      </c>
      <c r="K10842" s="27" t="s">
        <v>45</v>
      </c>
      <c r="L10842" s="27"/>
    </row>
    <row r="10843" customFormat="false" ht="15" hidden="false" customHeight="false" outlineLevel="0" collapsed="false">
      <c r="A10843" s="26" t="s">
        <v>26599</v>
      </c>
      <c r="B10843" s="27" t="s">
        <v>26600</v>
      </c>
      <c r="C10843" s="27" t="s">
        <v>144</v>
      </c>
      <c r="D10843" s="26"/>
      <c r="E10843" s="27"/>
      <c r="F10843" s="27"/>
      <c r="G10843" s="27" t="s">
        <v>11122</v>
      </c>
      <c r="H10843" s="27" t="s">
        <v>35</v>
      </c>
      <c r="I10843" s="27" t="s">
        <v>1067</v>
      </c>
      <c r="J10843" s="28" t="s">
        <v>1047</v>
      </c>
      <c r="K10843" s="27" t="s">
        <v>45</v>
      </c>
      <c r="L10843" s="27"/>
    </row>
    <row r="10844" customFormat="false" ht="15" hidden="false" customHeight="false" outlineLevel="0" collapsed="false">
      <c r="A10844" s="26" t="s">
        <v>26601</v>
      </c>
      <c r="B10844" s="27" t="s">
        <v>26602</v>
      </c>
      <c r="C10844" s="27" t="s">
        <v>144</v>
      </c>
      <c r="D10844" s="26"/>
      <c r="E10844" s="27"/>
      <c r="F10844" s="27"/>
      <c r="G10844" s="27" t="s">
        <v>11122</v>
      </c>
      <c r="H10844" s="27" t="s">
        <v>35</v>
      </c>
      <c r="I10844" s="27" t="s">
        <v>39</v>
      </c>
      <c r="J10844" s="28" t="s">
        <v>1047</v>
      </c>
      <c r="K10844" s="27" t="s">
        <v>45</v>
      </c>
      <c r="L10844" s="27"/>
    </row>
    <row r="10845" customFormat="false" ht="15" hidden="false" customHeight="false" outlineLevel="0" collapsed="false">
      <c r="A10845" s="26" t="s">
        <v>26603</v>
      </c>
      <c r="B10845" s="27" t="s">
        <v>26604</v>
      </c>
      <c r="C10845" s="27" t="s">
        <v>144</v>
      </c>
      <c r="D10845" s="26"/>
      <c r="E10845" s="27"/>
      <c r="F10845" s="27"/>
      <c r="G10845" s="27" t="s">
        <v>11122</v>
      </c>
      <c r="H10845" s="27" t="s">
        <v>35</v>
      </c>
      <c r="I10845" s="27" t="s">
        <v>44</v>
      </c>
      <c r="J10845" s="28" t="s">
        <v>1047</v>
      </c>
      <c r="K10845" s="27" t="s">
        <v>45</v>
      </c>
      <c r="L10845" s="27"/>
    </row>
    <row r="10846" customFormat="false" ht="15" hidden="false" customHeight="false" outlineLevel="0" collapsed="false">
      <c r="A10846" s="26" t="s">
        <v>26605</v>
      </c>
      <c r="B10846" s="27" t="s">
        <v>26606</v>
      </c>
      <c r="C10846" s="27" t="s">
        <v>144</v>
      </c>
      <c r="D10846" s="26"/>
      <c r="E10846" s="27"/>
      <c r="F10846" s="27"/>
      <c r="G10846" s="27" t="s">
        <v>11122</v>
      </c>
      <c r="H10846" s="27" t="s">
        <v>35</v>
      </c>
      <c r="I10846" s="27" t="s">
        <v>41</v>
      </c>
      <c r="J10846" s="28" t="s">
        <v>1047</v>
      </c>
      <c r="K10846" s="27" t="s">
        <v>45</v>
      </c>
      <c r="L10846" s="27"/>
    </row>
    <row r="10847" customFormat="false" ht="15" hidden="false" customHeight="false" outlineLevel="0" collapsed="false">
      <c r="A10847" s="26" t="s">
        <v>26607</v>
      </c>
      <c r="B10847" s="27" t="s">
        <v>26608</v>
      </c>
      <c r="C10847" s="27" t="s">
        <v>144</v>
      </c>
      <c r="D10847" s="26"/>
      <c r="E10847" s="27"/>
      <c r="F10847" s="27"/>
      <c r="G10847" s="27" t="s">
        <v>11122</v>
      </c>
      <c r="H10847" s="27" t="s">
        <v>35</v>
      </c>
      <c r="I10847" s="27" t="s">
        <v>37</v>
      </c>
      <c r="J10847" s="28" t="s">
        <v>1047</v>
      </c>
      <c r="K10847" s="27" t="s">
        <v>45</v>
      </c>
      <c r="L10847" s="27"/>
    </row>
    <row r="10848" customFormat="false" ht="15" hidden="false" customHeight="false" outlineLevel="0" collapsed="false">
      <c r="A10848" s="26" t="s">
        <v>26609</v>
      </c>
      <c r="B10848" s="27" t="s">
        <v>26610</v>
      </c>
      <c r="C10848" s="27" t="s">
        <v>137</v>
      </c>
      <c r="D10848" s="26"/>
      <c r="E10848" s="27"/>
      <c r="F10848" s="27"/>
      <c r="G10848" s="27" t="s">
        <v>11122</v>
      </c>
      <c r="H10848" s="27" t="s">
        <v>35</v>
      </c>
      <c r="I10848" s="27" t="s">
        <v>37</v>
      </c>
      <c r="J10848" s="28" t="s">
        <v>1047</v>
      </c>
      <c r="K10848" s="27" t="s">
        <v>45</v>
      </c>
      <c r="L10848" s="27"/>
    </row>
    <row r="10849" customFormat="false" ht="15" hidden="false" customHeight="false" outlineLevel="0" collapsed="false">
      <c r="A10849" s="26" t="s">
        <v>26611</v>
      </c>
      <c r="B10849" s="27" t="s">
        <v>26612</v>
      </c>
      <c r="C10849" s="27" t="s">
        <v>2041</v>
      </c>
      <c r="D10849" s="26"/>
      <c r="E10849" s="27"/>
      <c r="F10849" s="27"/>
      <c r="G10849" s="27" t="s">
        <v>11122</v>
      </c>
      <c r="H10849" s="27" t="s">
        <v>35</v>
      </c>
      <c r="I10849" s="27" t="s">
        <v>47</v>
      </c>
      <c r="J10849" s="28" t="s">
        <v>1047</v>
      </c>
      <c r="K10849" s="27" t="s">
        <v>45</v>
      </c>
      <c r="L10849" s="27"/>
    </row>
    <row r="10850" customFormat="false" ht="15" hidden="false" customHeight="false" outlineLevel="0" collapsed="false">
      <c r="A10850" s="26" t="s">
        <v>26613</v>
      </c>
      <c r="B10850" s="27" t="s">
        <v>26614</v>
      </c>
      <c r="C10850" s="27" t="s">
        <v>2041</v>
      </c>
      <c r="D10850" s="26"/>
      <c r="E10850" s="27"/>
      <c r="F10850" s="27"/>
      <c r="G10850" s="27" t="s">
        <v>11122</v>
      </c>
      <c r="H10850" s="27" t="s">
        <v>35</v>
      </c>
      <c r="I10850" s="27" t="s">
        <v>37</v>
      </c>
      <c r="J10850" s="28" t="s">
        <v>1047</v>
      </c>
      <c r="K10850" s="27" t="s">
        <v>45</v>
      </c>
      <c r="L10850" s="27"/>
    </row>
    <row r="10851" customFormat="false" ht="15" hidden="false" customHeight="false" outlineLevel="0" collapsed="false">
      <c r="A10851" s="26" t="s">
        <v>26615</v>
      </c>
      <c r="B10851" s="27" t="s">
        <v>26616</v>
      </c>
      <c r="C10851" s="27" t="s">
        <v>2041</v>
      </c>
      <c r="D10851" s="26"/>
      <c r="E10851" s="27"/>
      <c r="F10851" s="27"/>
      <c r="G10851" s="27" t="s">
        <v>11122</v>
      </c>
      <c r="H10851" s="27" t="s">
        <v>35</v>
      </c>
      <c r="I10851" s="27" t="s">
        <v>37</v>
      </c>
      <c r="J10851" s="28" t="s">
        <v>1047</v>
      </c>
      <c r="K10851" s="27" t="s">
        <v>45</v>
      </c>
      <c r="L10851" s="27"/>
    </row>
    <row r="10852" customFormat="false" ht="15" hidden="false" customHeight="false" outlineLevel="0" collapsed="false">
      <c r="A10852" s="26" t="s">
        <v>26617</v>
      </c>
      <c r="B10852" s="27" t="s">
        <v>26618</v>
      </c>
      <c r="C10852" s="27" t="s">
        <v>2041</v>
      </c>
      <c r="D10852" s="26"/>
      <c r="E10852" s="27"/>
      <c r="F10852" s="27"/>
      <c r="G10852" s="27" t="s">
        <v>11122</v>
      </c>
      <c r="H10852" s="27" t="s">
        <v>35</v>
      </c>
      <c r="I10852" s="27" t="s">
        <v>39</v>
      </c>
      <c r="J10852" s="28" t="s">
        <v>1047</v>
      </c>
      <c r="K10852" s="27" t="s">
        <v>45</v>
      </c>
      <c r="L10852" s="27"/>
    </row>
    <row r="10853" customFormat="false" ht="15" hidden="false" customHeight="false" outlineLevel="0" collapsed="false">
      <c r="A10853" s="26" t="s">
        <v>26619</v>
      </c>
      <c r="B10853" s="27" t="s">
        <v>26620</v>
      </c>
      <c r="C10853" s="27" t="s">
        <v>2041</v>
      </c>
      <c r="D10853" s="26"/>
      <c r="E10853" s="27"/>
      <c r="F10853" s="27"/>
      <c r="G10853" s="27" t="s">
        <v>11122</v>
      </c>
      <c r="H10853" s="27" t="s">
        <v>35</v>
      </c>
      <c r="I10853" s="27" t="s">
        <v>37</v>
      </c>
      <c r="J10853" s="28" t="s">
        <v>1047</v>
      </c>
      <c r="K10853" s="27" t="s">
        <v>45</v>
      </c>
      <c r="L10853" s="27"/>
    </row>
    <row r="10854" customFormat="false" ht="15" hidden="false" customHeight="false" outlineLevel="0" collapsed="false">
      <c r="A10854" s="26" t="s">
        <v>26621</v>
      </c>
      <c r="B10854" s="27" t="s">
        <v>26622</v>
      </c>
      <c r="C10854" s="27" t="s">
        <v>2041</v>
      </c>
      <c r="D10854" s="26"/>
      <c r="E10854" s="27"/>
      <c r="F10854" s="27"/>
      <c r="G10854" s="27" t="s">
        <v>11122</v>
      </c>
      <c r="H10854" s="27" t="s">
        <v>35</v>
      </c>
      <c r="I10854" s="27" t="s">
        <v>39</v>
      </c>
      <c r="J10854" s="28" t="s">
        <v>1047</v>
      </c>
      <c r="K10854" s="27" t="s">
        <v>45</v>
      </c>
      <c r="L10854" s="27"/>
    </row>
    <row r="10855" customFormat="false" ht="15" hidden="false" customHeight="false" outlineLevel="0" collapsed="false">
      <c r="A10855" s="26" t="s">
        <v>26623</v>
      </c>
      <c r="B10855" s="27" t="s">
        <v>26624</v>
      </c>
      <c r="C10855" s="27" t="s">
        <v>2041</v>
      </c>
      <c r="D10855" s="26"/>
      <c r="E10855" s="27"/>
      <c r="F10855" s="27"/>
      <c r="G10855" s="27" t="s">
        <v>11122</v>
      </c>
      <c r="H10855" s="27" t="s">
        <v>35</v>
      </c>
      <c r="I10855" s="27" t="s">
        <v>47</v>
      </c>
      <c r="J10855" s="28" t="s">
        <v>1047</v>
      </c>
      <c r="K10855" s="27" t="s">
        <v>45</v>
      </c>
      <c r="L10855" s="27"/>
    </row>
    <row r="10856" customFormat="false" ht="15" hidden="false" customHeight="false" outlineLevel="0" collapsed="false">
      <c r="A10856" s="26" t="s">
        <v>26625</v>
      </c>
      <c r="B10856" s="27" t="s">
        <v>26626</v>
      </c>
      <c r="C10856" s="27" t="s">
        <v>2041</v>
      </c>
      <c r="D10856" s="26"/>
      <c r="E10856" s="27"/>
      <c r="F10856" s="27"/>
      <c r="G10856" s="27" t="s">
        <v>11122</v>
      </c>
      <c r="H10856" s="27" t="s">
        <v>35</v>
      </c>
      <c r="I10856" s="27" t="s">
        <v>39</v>
      </c>
      <c r="J10856" s="28" t="s">
        <v>1047</v>
      </c>
      <c r="K10856" s="27" t="s">
        <v>45</v>
      </c>
      <c r="L10856" s="27"/>
    </row>
    <row r="10857" customFormat="false" ht="15" hidden="false" customHeight="false" outlineLevel="0" collapsed="false">
      <c r="A10857" s="26" t="s">
        <v>26627</v>
      </c>
      <c r="B10857" s="27" t="s">
        <v>26628</v>
      </c>
      <c r="C10857" s="27" t="s">
        <v>2041</v>
      </c>
      <c r="D10857" s="26"/>
      <c r="E10857" s="27"/>
      <c r="F10857" s="27"/>
      <c r="G10857" s="27" t="s">
        <v>11122</v>
      </c>
      <c r="H10857" s="27" t="s">
        <v>35</v>
      </c>
      <c r="I10857" s="27" t="s">
        <v>37</v>
      </c>
      <c r="J10857" s="28" t="s">
        <v>1047</v>
      </c>
      <c r="K10857" s="27" t="s">
        <v>45</v>
      </c>
      <c r="L10857" s="27"/>
    </row>
    <row r="10858" customFormat="false" ht="15" hidden="false" customHeight="false" outlineLevel="0" collapsed="false">
      <c r="A10858" s="26" t="s">
        <v>26629</v>
      </c>
      <c r="B10858" s="27" t="s">
        <v>26630</v>
      </c>
      <c r="C10858" s="27" t="s">
        <v>2041</v>
      </c>
      <c r="D10858" s="26"/>
      <c r="E10858" s="27"/>
      <c r="F10858" s="27"/>
      <c r="G10858" s="27" t="s">
        <v>11122</v>
      </c>
      <c r="H10858" s="27" t="s">
        <v>35</v>
      </c>
      <c r="I10858" s="27" t="s">
        <v>37</v>
      </c>
      <c r="J10858" s="28" t="s">
        <v>1047</v>
      </c>
      <c r="K10858" s="27" t="s">
        <v>45</v>
      </c>
      <c r="L10858" s="27"/>
    </row>
    <row r="10859" customFormat="false" ht="15" hidden="false" customHeight="false" outlineLevel="0" collapsed="false">
      <c r="A10859" s="26" t="s">
        <v>26631</v>
      </c>
      <c r="B10859" s="27" t="s">
        <v>26632</v>
      </c>
      <c r="C10859" s="27" t="s">
        <v>1990</v>
      </c>
      <c r="D10859" s="26"/>
      <c r="E10859" s="27"/>
      <c r="F10859" s="27"/>
      <c r="G10859" s="27" t="s">
        <v>11122</v>
      </c>
      <c r="H10859" s="27" t="s">
        <v>35</v>
      </c>
      <c r="I10859" s="27" t="s">
        <v>43</v>
      </c>
      <c r="J10859" s="28" t="s">
        <v>1047</v>
      </c>
      <c r="K10859" s="27" t="s">
        <v>45</v>
      </c>
      <c r="L10859" s="27"/>
    </row>
    <row r="10860" customFormat="false" ht="15" hidden="false" customHeight="false" outlineLevel="0" collapsed="false">
      <c r="A10860" s="26" t="s">
        <v>26633</v>
      </c>
      <c r="B10860" s="27" t="s">
        <v>26634</v>
      </c>
      <c r="C10860" s="27" t="s">
        <v>370</v>
      </c>
      <c r="D10860" s="26"/>
      <c r="E10860" s="27"/>
      <c r="F10860" s="27"/>
      <c r="G10860" s="27" t="s">
        <v>11122</v>
      </c>
      <c r="H10860" s="27" t="s">
        <v>35</v>
      </c>
      <c r="I10860" s="27" t="s">
        <v>41</v>
      </c>
      <c r="J10860" s="28" t="s">
        <v>1047</v>
      </c>
      <c r="K10860" s="27" t="s">
        <v>45</v>
      </c>
      <c r="L10860" s="27"/>
    </row>
    <row r="10861" customFormat="false" ht="15" hidden="false" customHeight="false" outlineLevel="0" collapsed="false">
      <c r="A10861" s="26" t="s">
        <v>26635</v>
      </c>
      <c r="B10861" s="27" t="s">
        <v>26636</v>
      </c>
      <c r="C10861" s="27" t="s">
        <v>144</v>
      </c>
      <c r="D10861" s="26"/>
      <c r="E10861" s="27"/>
      <c r="F10861" s="27"/>
      <c r="G10861" s="27" t="s">
        <v>11122</v>
      </c>
      <c r="H10861" s="27" t="s">
        <v>35</v>
      </c>
      <c r="I10861" s="27" t="s">
        <v>39</v>
      </c>
      <c r="J10861" s="28" t="s">
        <v>1047</v>
      </c>
      <c r="K10861" s="27" t="s">
        <v>45</v>
      </c>
      <c r="L10861" s="27"/>
    </row>
    <row r="10862" customFormat="false" ht="15" hidden="false" customHeight="false" outlineLevel="0" collapsed="false">
      <c r="A10862" s="26" t="s">
        <v>26637</v>
      </c>
      <c r="B10862" s="27" t="s">
        <v>26638</v>
      </c>
      <c r="C10862" s="27" t="s">
        <v>144</v>
      </c>
      <c r="D10862" s="26"/>
      <c r="E10862" s="27"/>
      <c r="F10862" s="27"/>
      <c r="G10862" s="27" t="s">
        <v>11122</v>
      </c>
      <c r="H10862" s="27" t="s">
        <v>35</v>
      </c>
      <c r="I10862" s="27" t="s">
        <v>37</v>
      </c>
      <c r="J10862" s="28" t="s">
        <v>1047</v>
      </c>
      <c r="K10862" s="27" t="s">
        <v>45</v>
      </c>
      <c r="L10862" s="27"/>
    </row>
    <row r="10863" customFormat="false" ht="15" hidden="false" customHeight="false" outlineLevel="0" collapsed="false">
      <c r="A10863" s="26" t="s">
        <v>26639</v>
      </c>
      <c r="B10863" s="27" t="s">
        <v>26640</v>
      </c>
      <c r="C10863" s="27" t="s">
        <v>144</v>
      </c>
      <c r="D10863" s="26"/>
      <c r="E10863" s="27"/>
      <c r="F10863" s="27"/>
      <c r="G10863" s="27" t="s">
        <v>11122</v>
      </c>
      <c r="H10863" s="27" t="s">
        <v>35</v>
      </c>
      <c r="I10863" s="27" t="s">
        <v>39</v>
      </c>
      <c r="J10863" s="28" t="s">
        <v>1047</v>
      </c>
      <c r="K10863" s="27" t="s">
        <v>45</v>
      </c>
      <c r="L10863" s="27"/>
    </row>
    <row r="10864" customFormat="false" ht="15" hidden="false" customHeight="false" outlineLevel="0" collapsed="false">
      <c r="A10864" s="26" t="s">
        <v>26641</v>
      </c>
      <c r="B10864" s="27" t="s">
        <v>26642</v>
      </c>
      <c r="C10864" s="27" t="s">
        <v>144</v>
      </c>
      <c r="D10864" s="26"/>
      <c r="E10864" s="27"/>
      <c r="F10864" s="27"/>
      <c r="G10864" s="27" t="s">
        <v>11122</v>
      </c>
      <c r="H10864" s="27" t="s">
        <v>35</v>
      </c>
      <c r="I10864" s="27" t="s">
        <v>39</v>
      </c>
      <c r="J10864" s="28" t="s">
        <v>1047</v>
      </c>
      <c r="K10864" s="27" t="s">
        <v>45</v>
      </c>
      <c r="L10864" s="27"/>
    </row>
    <row r="10865" customFormat="false" ht="15" hidden="false" customHeight="false" outlineLevel="0" collapsed="false">
      <c r="A10865" s="26" t="s">
        <v>26643</v>
      </c>
      <c r="B10865" s="27" t="s">
        <v>26644</v>
      </c>
      <c r="C10865" s="27" t="s">
        <v>144</v>
      </c>
      <c r="D10865" s="26"/>
      <c r="E10865" s="27"/>
      <c r="F10865" s="27"/>
      <c r="G10865" s="27" t="s">
        <v>11122</v>
      </c>
      <c r="H10865" s="27" t="s">
        <v>35</v>
      </c>
      <c r="I10865" s="27" t="s">
        <v>39</v>
      </c>
      <c r="J10865" s="28" t="s">
        <v>1047</v>
      </c>
      <c r="K10865" s="27" t="s">
        <v>45</v>
      </c>
      <c r="L10865" s="27"/>
    </row>
    <row r="10866" customFormat="false" ht="15" hidden="false" customHeight="false" outlineLevel="0" collapsed="false">
      <c r="A10866" s="26" t="s">
        <v>26645</v>
      </c>
      <c r="B10866" s="27" t="s">
        <v>26646</v>
      </c>
      <c r="C10866" s="27" t="s">
        <v>144</v>
      </c>
      <c r="D10866" s="26"/>
      <c r="E10866" s="27"/>
      <c r="F10866" s="27"/>
      <c r="G10866" s="27" t="s">
        <v>11122</v>
      </c>
      <c r="H10866" s="27" t="s">
        <v>35</v>
      </c>
      <c r="I10866" s="27" t="s">
        <v>37</v>
      </c>
      <c r="J10866" s="28" t="s">
        <v>1047</v>
      </c>
      <c r="K10866" s="27" t="s">
        <v>45</v>
      </c>
      <c r="L10866" s="27"/>
    </row>
    <row r="10867" customFormat="false" ht="15" hidden="false" customHeight="false" outlineLevel="0" collapsed="false">
      <c r="A10867" s="26" t="s">
        <v>26647</v>
      </c>
      <c r="B10867" s="27" t="s">
        <v>26648</v>
      </c>
      <c r="C10867" s="27" t="s">
        <v>144</v>
      </c>
      <c r="D10867" s="26"/>
      <c r="E10867" s="27"/>
      <c r="F10867" s="27"/>
      <c r="G10867" s="27" t="s">
        <v>11122</v>
      </c>
      <c r="H10867" s="27" t="s">
        <v>35</v>
      </c>
      <c r="I10867" s="27" t="s">
        <v>37</v>
      </c>
      <c r="J10867" s="28" t="s">
        <v>1047</v>
      </c>
      <c r="K10867" s="27" t="s">
        <v>45</v>
      </c>
      <c r="L10867" s="27"/>
    </row>
    <row r="10868" customFormat="false" ht="15" hidden="false" customHeight="false" outlineLevel="0" collapsed="false">
      <c r="A10868" s="26" t="s">
        <v>26649</v>
      </c>
      <c r="B10868" s="27" t="s">
        <v>26650</v>
      </c>
      <c r="C10868" s="27" t="s">
        <v>144</v>
      </c>
      <c r="D10868" s="26"/>
      <c r="E10868" s="27"/>
      <c r="F10868" s="27"/>
      <c r="G10868" s="27" t="s">
        <v>11122</v>
      </c>
      <c r="H10868" s="27" t="s">
        <v>35</v>
      </c>
      <c r="I10868" s="27" t="s">
        <v>37</v>
      </c>
      <c r="J10868" s="28" t="s">
        <v>1047</v>
      </c>
      <c r="K10868" s="27" t="s">
        <v>45</v>
      </c>
      <c r="L10868" s="27"/>
    </row>
    <row r="10869" customFormat="false" ht="15" hidden="false" customHeight="false" outlineLevel="0" collapsed="false">
      <c r="A10869" s="26" t="s">
        <v>26651</v>
      </c>
      <c r="B10869" s="27" t="s">
        <v>26652</v>
      </c>
      <c r="C10869" s="27" t="s">
        <v>144</v>
      </c>
      <c r="D10869" s="26"/>
      <c r="E10869" s="27"/>
      <c r="F10869" s="27"/>
      <c r="G10869" s="27" t="s">
        <v>11122</v>
      </c>
      <c r="H10869" s="27" t="s">
        <v>35</v>
      </c>
      <c r="I10869" s="27" t="s">
        <v>37</v>
      </c>
      <c r="J10869" s="28" t="s">
        <v>1047</v>
      </c>
      <c r="K10869" s="27" t="s">
        <v>45</v>
      </c>
      <c r="L10869" s="27"/>
    </row>
    <row r="10870" customFormat="false" ht="15" hidden="false" customHeight="false" outlineLevel="0" collapsed="false">
      <c r="A10870" s="26" t="s">
        <v>26653</v>
      </c>
      <c r="B10870" s="27" t="s">
        <v>26654</v>
      </c>
      <c r="C10870" s="27" t="s">
        <v>144</v>
      </c>
      <c r="D10870" s="26"/>
      <c r="E10870" s="27"/>
      <c r="F10870" s="27"/>
      <c r="G10870" s="27" t="s">
        <v>11122</v>
      </c>
      <c r="H10870" s="27" t="s">
        <v>35</v>
      </c>
      <c r="I10870" s="27" t="s">
        <v>39</v>
      </c>
      <c r="J10870" s="28" t="s">
        <v>1047</v>
      </c>
      <c r="K10870" s="27" t="s">
        <v>45</v>
      </c>
      <c r="L10870" s="27"/>
    </row>
    <row r="10871" customFormat="false" ht="15" hidden="false" customHeight="false" outlineLevel="0" collapsed="false">
      <c r="A10871" s="26" t="s">
        <v>26655</v>
      </c>
      <c r="B10871" s="27" t="s">
        <v>26656</v>
      </c>
      <c r="C10871" s="27" t="s">
        <v>144</v>
      </c>
      <c r="D10871" s="26"/>
      <c r="E10871" s="27"/>
      <c r="F10871" s="27"/>
      <c r="G10871" s="27" t="s">
        <v>11122</v>
      </c>
      <c r="H10871" s="27" t="s">
        <v>35</v>
      </c>
      <c r="I10871" s="27" t="s">
        <v>37</v>
      </c>
      <c r="J10871" s="28" t="s">
        <v>1047</v>
      </c>
      <c r="K10871" s="27" t="s">
        <v>45</v>
      </c>
      <c r="L10871" s="27"/>
    </row>
    <row r="10872" customFormat="false" ht="15" hidden="false" customHeight="false" outlineLevel="0" collapsed="false">
      <c r="A10872" s="26" t="s">
        <v>26657</v>
      </c>
      <c r="B10872" s="27" t="s">
        <v>26658</v>
      </c>
      <c r="C10872" s="27" t="s">
        <v>144</v>
      </c>
      <c r="D10872" s="26"/>
      <c r="E10872" s="27"/>
      <c r="F10872" s="27"/>
      <c r="G10872" s="27" t="s">
        <v>11122</v>
      </c>
      <c r="H10872" s="27" t="s">
        <v>35</v>
      </c>
      <c r="I10872" s="27" t="s">
        <v>37</v>
      </c>
      <c r="J10872" s="28" t="s">
        <v>1047</v>
      </c>
      <c r="K10872" s="27" t="s">
        <v>45</v>
      </c>
      <c r="L10872" s="27"/>
    </row>
    <row r="10873" customFormat="false" ht="15" hidden="false" customHeight="false" outlineLevel="0" collapsed="false">
      <c r="A10873" s="26" t="s">
        <v>26659</v>
      </c>
      <c r="B10873" s="27" t="s">
        <v>26660</v>
      </c>
      <c r="C10873" s="27" t="s">
        <v>144</v>
      </c>
      <c r="D10873" s="26"/>
      <c r="E10873" s="27"/>
      <c r="F10873" s="27"/>
      <c r="G10873" s="27" t="s">
        <v>11122</v>
      </c>
      <c r="H10873" s="27" t="s">
        <v>35</v>
      </c>
      <c r="I10873" s="27" t="s">
        <v>37</v>
      </c>
      <c r="J10873" s="28" t="s">
        <v>1047</v>
      </c>
      <c r="K10873" s="27" t="s">
        <v>45</v>
      </c>
      <c r="L10873" s="27"/>
    </row>
    <row r="10874" customFormat="false" ht="15" hidden="false" customHeight="false" outlineLevel="0" collapsed="false">
      <c r="A10874" s="26" t="s">
        <v>26661</v>
      </c>
      <c r="B10874" s="27" t="s">
        <v>26662</v>
      </c>
      <c r="C10874" s="27" t="s">
        <v>1187</v>
      </c>
      <c r="D10874" s="26"/>
      <c r="E10874" s="27"/>
      <c r="F10874" s="27"/>
      <c r="G10874" s="27" t="s">
        <v>11122</v>
      </c>
      <c r="H10874" s="27" t="s">
        <v>35</v>
      </c>
      <c r="I10874" s="27" t="s">
        <v>37</v>
      </c>
      <c r="J10874" s="28" t="s">
        <v>1047</v>
      </c>
      <c r="K10874" s="27" t="s">
        <v>45</v>
      </c>
      <c r="L10874" s="27"/>
    </row>
    <row r="10875" customFormat="false" ht="15" hidden="false" customHeight="false" outlineLevel="0" collapsed="false">
      <c r="A10875" s="26" t="s">
        <v>26663</v>
      </c>
      <c r="B10875" s="27" t="s">
        <v>26664</v>
      </c>
      <c r="C10875" s="27" t="s">
        <v>144</v>
      </c>
      <c r="D10875" s="26"/>
      <c r="E10875" s="27"/>
      <c r="F10875" s="27"/>
      <c r="G10875" s="27" t="s">
        <v>11122</v>
      </c>
      <c r="H10875" s="27" t="s">
        <v>35</v>
      </c>
      <c r="I10875" s="27" t="s">
        <v>37</v>
      </c>
      <c r="J10875" s="28" t="s">
        <v>1047</v>
      </c>
      <c r="K10875" s="27" t="s">
        <v>45</v>
      </c>
      <c r="L10875" s="27"/>
    </row>
    <row r="10876" customFormat="false" ht="15" hidden="false" customHeight="false" outlineLevel="0" collapsed="false">
      <c r="A10876" s="26" t="s">
        <v>26665</v>
      </c>
      <c r="B10876" s="27" t="s">
        <v>26666</v>
      </c>
      <c r="C10876" s="27" t="s">
        <v>1187</v>
      </c>
      <c r="D10876" s="26"/>
      <c r="E10876" s="27"/>
      <c r="F10876" s="27"/>
      <c r="G10876" s="27" t="s">
        <v>11122</v>
      </c>
      <c r="H10876" s="27" t="s">
        <v>35</v>
      </c>
      <c r="I10876" s="27" t="s">
        <v>37</v>
      </c>
      <c r="J10876" s="28" t="s">
        <v>1047</v>
      </c>
      <c r="K10876" s="27" t="s">
        <v>45</v>
      </c>
      <c r="L10876" s="27"/>
    </row>
    <row r="10877" customFormat="false" ht="15" hidden="false" customHeight="false" outlineLevel="0" collapsed="false">
      <c r="A10877" s="26" t="s">
        <v>26667</v>
      </c>
      <c r="B10877" s="27" t="s">
        <v>26668</v>
      </c>
      <c r="C10877" s="27" t="s">
        <v>144</v>
      </c>
      <c r="D10877" s="26"/>
      <c r="E10877" s="27"/>
      <c r="F10877" s="27"/>
      <c r="G10877" s="27" t="s">
        <v>11122</v>
      </c>
      <c r="H10877" s="27" t="s">
        <v>35</v>
      </c>
      <c r="I10877" s="27" t="s">
        <v>37</v>
      </c>
      <c r="J10877" s="28" t="s">
        <v>1047</v>
      </c>
      <c r="K10877" s="27" t="s">
        <v>45</v>
      </c>
      <c r="L10877" s="27"/>
    </row>
    <row r="10878" customFormat="false" ht="15" hidden="false" customHeight="false" outlineLevel="0" collapsed="false">
      <c r="A10878" s="26" t="s">
        <v>26669</v>
      </c>
      <c r="B10878" s="27" t="s">
        <v>26670</v>
      </c>
      <c r="C10878" s="27" t="s">
        <v>144</v>
      </c>
      <c r="D10878" s="26"/>
      <c r="E10878" s="27"/>
      <c r="F10878" s="27"/>
      <c r="G10878" s="27" t="s">
        <v>11122</v>
      </c>
      <c r="H10878" s="27" t="s">
        <v>35</v>
      </c>
      <c r="I10878" s="27" t="s">
        <v>37</v>
      </c>
      <c r="J10878" s="28" t="s">
        <v>1047</v>
      </c>
      <c r="K10878" s="27" t="s">
        <v>45</v>
      </c>
      <c r="L10878" s="27"/>
    </row>
    <row r="10879" customFormat="false" ht="15" hidden="false" customHeight="false" outlineLevel="0" collapsed="false">
      <c r="A10879" s="26" t="s">
        <v>26671</v>
      </c>
      <c r="B10879" s="27" t="s">
        <v>26666</v>
      </c>
      <c r="C10879" s="27" t="s">
        <v>144</v>
      </c>
      <c r="D10879" s="26"/>
      <c r="E10879" s="27"/>
      <c r="F10879" s="27"/>
      <c r="G10879" s="27" t="s">
        <v>11122</v>
      </c>
      <c r="H10879" s="27" t="s">
        <v>35</v>
      </c>
      <c r="I10879" s="27" t="s">
        <v>37</v>
      </c>
      <c r="J10879" s="28" t="s">
        <v>1047</v>
      </c>
      <c r="K10879" s="27" t="s">
        <v>45</v>
      </c>
      <c r="L10879" s="27"/>
    </row>
    <row r="10880" customFormat="false" ht="15" hidden="false" customHeight="false" outlineLevel="0" collapsed="false">
      <c r="A10880" s="26" t="s">
        <v>26672</v>
      </c>
      <c r="B10880" s="27" t="s">
        <v>26673</v>
      </c>
      <c r="C10880" s="27" t="s">
        <v>144</v>
      </c>
      <c r="D10880" s="26"/>
      <c r="E10880" s="27"/>
      <c r="F10880" s="27"/>
      <c r="G10880" s="27" t="s">
        <v>11122</v>
      </c>
      <c r="H10880" s="27" t="s">
        <v>35</v>
      </c>
      <c r="I10880" s="27" t="s">
        <v>37</v>
      </c>
      <c r="J10880" s="28" t="s">
        <v>1047</v>
      </c>
      <c r="K10880" s="27" t="s">
        <v>45</v>
      </c>
      <c r="L10880" s="27"/>
    </row>
    <row r="10881" customFormat="false" ht="15" hidden="false" customHeight="false" outlineLevel="0" collapsed="false">
      <c r="A10881" s="26" t="s">
        <v>26674</v>
      </c>
      <c r="B10881" s="27" t="s">
        <v>26675</v>
      </c>
      <c r="C10881" s="27" t="s">
        <v>144</v>
      </c>
      <c r="D10881" s="26"/>
      <c r="E10881" s="27"/>
      <c r="F10881" s="27"/>
      <c r="G10881" s="27" t="s">
        <v>11122</v>
      </c>
      <c r="H10881" s="27" t="s">
        <v>35</v>
      </c>
      <c r="I10881" s="27" t="s">
        <v>39</v>
      </c>
      <c r="J10881" s="28" t="s">
        <v>1047</v>
      </c>
      <c r="K10881" s="27" t="s">
        <v>45</v>
      </c>
      <c r="L10881" s="27"/>
    </row>
    <row r="10882" customFormat="false" ht="15" hidden="false" customHeight="false" outlineLevel="0" collapsed="false">
      <c r="A10882" s="26" t="s">
        <v>26676</v>
      </c>
      <c r="B10882" s="27" t="s">
        <v>26677</v>
      </c>
      <c r="C10882" s="27" t="s">
        <v>1187</v>
      </c>
      <c r="D10882" s="26"/>
      <c r="E10882" s="27"/>
      <c r="F10882" s="27"/>
      <c r="G10882" s="27" t="s">
        <v>11122</v>
      </c>
      <c r="H10882" s="27" t="s">
        <v>35</v>
      </c>
      <c r="I10882" s="27" t="s">
        <v>37</v>
      </c>
      <c r="J10882" s="28" t="s">
        <v>1047</v>
      </c>
      <c r="K10882" s="27" t="s">
        <v>45</v>
      </c>
      <c r="L10882" s="27"/>
    </row>
    <row r="10883" customFormat="false" ht="15" hidden="false" customHeight="false" outlineLevel="0" collapsed="false">
      <c r="A10883" s="26" t="s">
        <v>26678</v>
      </c>
      <c r="B10883" s="27" t="s">
        <v>26679</v>
      </c>
      <c r="C10883" s="27" t="s">
        <v>144</v>
      </c>
      <c r="D10883" s="26"/>
      <c r="E10883" s="27"/>
      <c r="F10883" s="27"/>
      <c r="G10883" s="27" t="s">
        <v>11122</v>
      </c>
      <c r="H10883" s="27" t="s">
        <v>35</v>
      </c>
      <c r="I10883" s="27" t="s">
        <v>39</v>
      </c>
      <c r="J10883" s="28" t="s">
        <v>1047</v>
      </c>
      <c r="K10883" s="27" t="s">
        <v>45</v>
      </c>
      <c r="L10883" s="27"/>
    </row>
    <row r="10884" customFormat="false" ht="15" hidden="false" customHeight="false" outlineLevel="0" collapsed="false">
      <c r="A10884" s="26" t="s">
        <v>26680</v>
      </c>
      <c r="B10884" s="27" t="s">
        <v>26681</v>
      </c>
      <c r="C10884" s="27" t="s">
        <v>144</v>
      </c>
      <c r="D10884" s="26"/>
      <c r="E10884" s="27"/>
      <c r="F10884" s="27"/>
      <c r="G10884" s="27" t="s">
        <v>11122</v>
      </c>
      <c r="H10884" s="27" t="s">
        <v>35</v>
      </c>
      <c r="I10884" s="27" t="s">
        <v>39</v>
      </c>
      <c r="J10884" s="28" t="s">
        <v>1047</v>
      </c>
      <c r="K10884" s="27" t="s">
        <v>45</v>
      </c>
      <c r="L10884" s="27"/>
    </row>
    <row r="10885" customFormat="false" ht="15" hidden="false" customHeight="false" outlineLevel="0" collapsed="false">
      <c r="A10885" s="26" t="s">
        <v>26682</v>
      </c>
      <c r="B10885" s="27" t="s">
        <v>26683</v>
      </c>
      <c r="C10885" s="27" t="s">
        <v>1187</v>
      </c>
      <c r="D10885" s="26"/>
      <c r="E10885" s="27"/>
      <c r="F10885" s="27"/>
      <c r="G10885" s="27" t="s">
        <v>11122</v>
      </c>
      <c r="H10885" s="27" t="s">
        <v>35</v>
      </c>
      <c r="I10885" s="27" t="s">
        <v>38</v>
      </c>
      <c r="J10885" s="28" t="s">
        <v>1047</v>
      </c>
      <c r="K10885" s="27" t="s">
        <v>45</v>
      </c>
      <c r="L10885" s="27"/>
    </row>
    <row r="10886" customFormat="false" ht="15" hidden="false" customHeight="false" outlineLevel="0" collapsed="false">
      <c r="A10886" s="26" t="s">
        <v>26684</v>
      </c>
      <c r="B10886" s="27" t="s">
        <v>26685</v>
      </c>
      <c r="C10886" s="27" t="s">
        <v>144</v>
      </c>
      <c r="D10886" s="26"/>
      <c r="E10886" s="27"/>
      <c r="F10886" s="27"/>
      <c r="G10886" s="27" t="s">
        <v>11122</v>
      </c>
      <c r="H10886" s="27" t="s">
        <v>35</v>
      </c>
      <c r="I10886" s="27" t="s">
        <v>38</v>
      </c>
      <c r="J10886" s="28" t="s">
        <v>1047</v>
      </c>
      <c r="K10886" s="27" t="s">
        <v>45</v>
      </c>
      <c r="L10886" s="27"/>
    </row>
    <row r="10887" customFormat="false" ht="15" hidden="false" customHeight="false" outlineLevel="0" collapsed="false">
      <c r="A10887" s="26" t="s">
        <v>26686</v>
      </c>
      <c r="B10887" s="27" t="s">
        <v>26687</v>
      </c>
      <c r="C10887" s="27" t="s">
        <v>144</v>
      </c>
      <c r="D10887" s="26"/>
      <c r="E10887" s="27"/>
      <c r="F10887" s="27"/>
      <c r="G10887" s="27" t="s">
        <v>11122</v>
      </c>
      <c r="H10887" s="27" t="s">
        <v>35</v>
      </c>
      <c r="I10887" s="27" t="s">
        <v>41</v>
      </c>
      <c r="J10887" s="28" t="s">
        <v>1047</v>
      </c>
      <c r="K10887" s="27" t="s">
        <v>45</v>
      </c>
      <c r="L10887" s="27"/>
    </row>
    <row r="10888" customFormat="false" ht="15" hidden="false" customHeight="false" outlineLevel="0" collapsed="false">
      <c r="A10888" s="26" t="s">
        <v>26688</v>
      </c>
      <c r="B10888" s="27" t="s">
        <v>26689</v>
      </c>
      <c r="C10888" s="27" t="s">
        <v>144</v>
      </c>
      <c r="D10888" s="26"/>
      <c r="E10888" s="27"/>
      <c r="F10888" s="27"/>
      <c r="G10888" s="27" t="s">
        <v>11122</v>
      </c>
      <c r="H10888" s="27" t="s">
        <v>35</v>
      </c>
      <c r="I10888" s="27" t="s">
        <v>37</v>
      </c>
      <c r="J10888" s="28" t="s">
        <v>1047</v>
      </c>
      <c r="K10888" s="27" t="s">
        <v>45</v>
      </c>
      <c r="L10888" s="27"/>
    </row>
    <row r="10889" customFormat="false" ht="15" hidden="false" customHeight="false" outlineLevel="0" collapsed="false">
      <c r="A10889" s="26" t="s">
        <v>26690</v>
      </c>
      <c r="B10889" s="27" t="s">
        <v>26691</v>
      </c>
      <c r="C10889" s="27" t="s">
        <v>144</v>
      </c>
      <c r="D10889" s="26"/>
      <c r="E10889" s="27"/>
      <c r="F10889" s="27"/>
      <c r="G10889" s="27" t="s">
        <v>11122</v>
      </c>
      <c r="H10889" s="27" t="s">
        <v>35</v>
      </c>
      <c r="I10889" s="27" t="s">
        <v>44</v>
      </c>
      <c r="J10889" s="28" t="s">
        <v>1047</v>
      </c>
      <c r="K10889" s="27" t="s">
        <v>45</v>
      </c>
      <c r="L10889" s="27"/>
    </row>
    <row r="10890" customFormat="false" ht="15" hidden="false" customHeight="false" outlineLevel="0" collapsed="false">
      <c r="A10890" s="26" t="s">
        <v>26692</v>
      </c>
      <c r="B10890" s="27" t="s">
        <v>26693</v>
      </c>
      <c r="C10890" s="27" t="s">
        <v>144</v>
      </c>
      <c r="D10890" s="26"/>
      <c r="E10890" s="27"/>
      <c r="F10890" s="27"/>
      <c r="G10890" s="27" t="s">
        <v>11122</v>
      </c>
      <c r="H10890" s="27" t="s">
        <v>35</v>
      </c>
      <c r="I10890" s="27" t="s">
        <v>37</v>
      </c>
      <c r="J10890" s="28" t="s">
        <v>1047</v>
      </c>
      <c r="K10890" s="27" t="s">
        <v>45</v>
      </c>
      <c r="L10890" s="27"/>
    </row>
    <row r="10891" customFormat="false" ht="15" hidden="false" customHeight="false" outlineLevel="0" collapsed="false">
      <c r="A10891" s="26" t="s">
        <v>26694</v>
      </c>
      <c r="B10891" s="27" t="s">
        <v>26695</v>
      </c>
      <c r="C10891" s="27" t="s">
        <v>144</v>
      </c>
      <c r="D10891" s="26"/>
      <c r="E10891" s="27"/>
      <c r="F10891" s="27"/>
      <c r="G10891" s="27" t="s">
        <v>11122</v>
      </c>
      <c r="H10891" s="27" t="s">
        <v>35</v>
      </c>
      <c r="I10891" s="27" t="s">
        <v>37</v>
      </c>
      <c r="J10891" s="28" t="s">
        <v>1047</v>
      </c>
      <c r="K10891" s="27" t="s">
        <v>45</v>
      </c>
      <c r="L10891" s="27"/>
    </row>
    <row r="10892" customFormat="false" ht="15" hidden="false" customHeight="false" outlineLevel="0" collapsed="false">
      <c r="A10892" s="26" t="s">
        <v>26696</v>
      </c>
      <c r="B10892" s="27" t="s">
        <v>26697</v>
      </c>
      <c r="C10892" s="27" t="s">
        <v>144</v>
      </c>
      <c r="D10892" s="26"/>
      <c r="E10892" s="27"/>
      <c r="F10892" s="27"/>
      <c r="G10892" s="27" t="s">
        <v>11122</v>
      </c>
      <c r="H10892" s="27" t="s">
        <v>35</v>
      </c>
      <c r="I10892" s="27" t="s">
        <v>41</v>
      </c>
      <c r="J10892" s="28" t="s">
        <v>1047</v>
      </c>
      <c r="K10892" s="27" t="s">
        <v>45</v>
      </c>
      <c r="L10892" s="27"/>
    </row>
    <row r="10893" customFormat="false" ht="15" hidden="false" customHeight="false" outlineLevel="0" collapsed="false">
      <c r="A10893" s="26" t="s">
        <v>26698</v>
      </c>
      <c r="B10893" s="27" t="s">
        <v>26699</v>
      </c>
      <c r="C10893" s="27" t="s">
        <v>144</v>
      </c>
      <c r="D10893" s="26"/>
      <c r="E10893" s="27"/>
      <c r="F10893" s="27"/>
      <c r="G10893" s="27" t="s">
        <v>11122</v>
      </c>
      <c r="H10893" s="27" t="s">
        <v>35</v>
      </c>
      <c r="I10893" s="27" t="s">
        <v>41</v>
      </c>
      <c r="J10893" s="28" t="s">
        <v>1047</v>
      </c>
      <c r="K10893" s="27" t="s">
        <v>45</v>
      </c>
      <c r="L10893" s="27"/>
    </row>
    <row r="10894" customFormat="false" ht="15" hidden="false" customHeight="false" outlineLevel="0" collapsed="false">
      <c r="A10894" s="26" t="s">
        <v>26700</v>
      </c>
      <c r="B10894" s="27" t="s">
        <v>26701</v>
      </c>
      <c r="C10894" s="27" t="s">
        <v>144</v>
      </c>
      <c r="D10894" s="26"/>
      <c r="E10894" s="27"/>
      <c r="F10894" s="27"/>
      <c r="G10894" s="27" t="s">
        <v>11122</v>
      </c>
      <c r="H10894" s="27" t="s">
        <v>35</v>
      </c>
      <c r="I10894" s="27" t="s">
        <v>41</v>
      </c>
      <c r="J10894" s="28" t="s">
        <v>1047</v>
      </c>
      <c r="K10894" s="27" t="s">
        <v>45</v>
      </c>
      <c r="L10894" s="27"/>
    </row>
    <row r="10895" customFormat="false" ht="15" hidden="false" customHeight="false" outlineLevel="0" collapsed="false">
      <c r="A10895" s="26" t="s">
        <v>26702</v>
      </c>
      <c r="B10895" s="27" t="s">
        <v>26703</v>
      </c>
      <c r="C10895" s="27" t="s">
        <v>144</v>
      </c>
      <c r="D10895" s="26"/>
      <c r="E10895" s="27"/>
      <c r="F10895" s="27"/>
      <c r="G10895" s="27" t="s">
        <v>11122</v>
      </c>
      <c r="H10895" s="27" t="s">
        <v>35</v>
      </c>
      <c r="I10895" s="27" t="s">
        <v>43</v>
      </c>
      <c r="J10895" s="28" t="s">
        <v>1047</v>
      </c>
      <c r="K10895" s="27" t="s">
        <v>45</v>
      </c>
      <c r="L10895" s="27"/>
    </row>
    <row r="10896" customFormat="false" ht="15" hidden="false" customHeight="false" outlineLevel="0" collapsed="false">
      <c r="A10896" s="26" t="s">
        <v>26704</v>
      </c>
      <c r="B10896" s="27" t="s">
        <v>26705</v>
      </c>
      <c r="C10896" s="27" t="s">
        <v>144</v>
      </c>
      <c r="D10896" s="26"/>
      <c r="E10896" s="27"/>
      <c r="F10896" s="27"/>
      <c r="G10896" s="27" t="s">
        <v>11122</v>
      </c>
      <c r="H10896" s="27" t="s">
        <v>35</v>
      </c>
      <c r="I10896" s="27" t="s">
        <v>42</v>
      </c>
      <c r="J10896" s="28" t="s">
        <v>1047</v>
      </c>
      <c r="K10896" s="27" t="s">
        <v>45</v>
      </c>
      <c r="L10896" s="27"/>
    </row>
    <row r="10897" customFormat="false" ht="15" hidden="false" customHeight="false" outlineLevel="0" collapsed="false">
      <c r="A10897" s="26" t="s">
        <v>26706</v>
      </c>
      <c r="B10897" s="27" t="s">
        <v>26707</v>
      </c>
      <c r="C10897" s="27" t="s">
        <v>144</v>
      </c>
      <c r="D10897" s="26"/>
      <c r="E10897" s="27"/>
      <c r="F10897" s="27"/>
      <c r="G10897" s="27" t="s">
        <v>11122</v>
      </c>
      <c r="H10897" s="27" t="s">
        <v>35</v>
      </c>
      <c r="I10897" s="27" t="s">
        <v>37</v>
      </c>
      <c r="J10897" s="28" t="s">
        <v>1047</v>
      </c>
      <c r="K10897" s="27" t="s">
        <v>45</v>
      </c>
      <c r="L10897" s="27"/>
    </row>
    <row r="10898" customFormat="false" ht="15" hidden="false" customHeight="false" outlineLevel="0" collapsed="false">
      <c r="A10898" s="26" t="s">
        <v>26708</v>
      </c>
      <c r="B10898" s="27" t="s">
        <v>26709</v>
      </c>
      <c r="C10898" s="27" t="s">
        <v>144</v>
      </c>
      <c r="D10898" s="26"/>
      <c r="E10898" s="27"/>
      <c r="F10898" s="27"/>
      <c r="G10898" s="27" t="s">
        <v>11122</v>
      </c>
      <c r="H10898" s="27" t="s">
        <v>35</v>
      </c>
      <c r="I10898" s="27" t="s">
        <v>37</v>
      </c>
      <c r="J10898" s="28" t="s">
        <v>1047</v>
      </c>
      <c r="K10898" s="27" t="s">
        <v>45</v>
      </c>
      <c r="L10898" s="27"/>
    </row>
    <row r="10899" customFormat="false" ht="15" hidden="false" customHeight="false" outlineLevel="0" collapsed="false">
      <c r="A10899" s="26" t="s">
        <v>26710</v>
      </c>
      <c r="B10899" s="27" t="s">
        <v>26711</v>
      </c>
      <c r="C10899" s="27" t="s">
        <v>144</v>
      </c>
      <c r="D10899" s="26"/>
      <c r="E10899" s="27"/>
      <c r="F10899" s="27"/>
      <c r="G10899" s="27" t="s">
        <v>11122</v>
      </c>
      <c r="H10899" s="27" t="s">
        <v>35</v>
      </c>
      <c r="I10899" s="27" t="s">
        <v>37</v>
      </c>
      <c r="J10899" s="28" t="s">
        <v>1047</v>
      </c>
      <c r="K10899" s="27" t="s">
        <v>45</v>
      </c>
      <c r="L10899" s="27"/>
    </row>
    <row r="10900" customFormat="false" ht="15" hidden="false" customHeight="false" outlineLevel="0" collapsed="false">
      <c r="A10900" s="26" t="s">
        <v>26712</v>
      </c>
      <c r="B10900" s="27" t="s">
        <v>26713</v>
      </c>
      <c r="C10900" s="27" t="s">
        <v>144</v>
      </c>
      <c r="D10900" s="26"/>
      <c r="E10900" s="27"/>
      <c r="F10900" s="27"/>
      <c r="G10900" s="27" t="s">
        <v>11122</v>
      </c>
      <c r="H10900" s="27" t="s">
        <v>35</v>
      </c>
      <c r="I10900" s="27" t="s">
        <v>37</v>
      </c>
      <c r="J10900" s="28" t="s">
        <v>1047</v>
      </c>
      <c r="K10900" s="27" t="s">
        <v>45</v>
      </c>
      <c r="L10900" s="27"/>
    </row>
    <row r="10901" customFormat="false" ht="15" hidden="false" customHeight="false" outlineLevel="0" collapsed="false">
      <c r="A10901" s="26" t="s">
        <v>26714</v>
      </c>
      <c r="B10901" s="27" t="s">
        <v>26715</v>
      </c>
      <c r="C10901" s="27" t="s">
        <v>144</v>
      </c>
      <c r="D10901" s="26"/>
      <c r="E10901" s="27"/>
      <c r="F10901" s="27"/>
      <c r="G10901" s="27" t="s">
        <v>11122</v>
      </c>
      <c r="H10901" s="27" t="s">
        <v>35</v>
      </c>
      <c r="I10901" s="27" t="s">
        <v>42</v>
      </c>
      <c r="J10901" s="28" t="s">
        <v>1047</v>
      </c>
      <c r="K10901" s="27" t="s">
        <v>45</v>
      </c>
      <c r="L10901" s="27"/>
    </row>
    <row r="10902" customFormat="false" ht="15" hidden="false" customHeight="false" outlineLevel="0" collapsed="false">
      <c r="A10902" s="26" t="s">
        <v>26716</v>
      </c>
      <c r="B10902" s="27" t="s">
        <v>26717</v>
      </c>
      <c r="C10902" s="27" t="s">
        <v>144</v>
      </c>
      <c r="D10902" s="26"/>
      <c r="E10902" s="27"/>
      <c r="F10902" s="27"/>
      <c r="G10902" s="27" t="s">
        <v>11122</v>
      </c>
      <c r="H10902" s="27" t="s">
        <v>35</v>
      </c>
      <c r="I10902" s="27" t="s">
        <v>37</v>
      </c>
      <c r="J10902" s="28" t="s">
        <v>1047</v>
      </c>
      <c r="K10902" s="27" t="s">
        <v>45</v>
      </c>
      <c r="L10902" s="27"/>
    </row>
    <row r="10903" customFormat="false" ht="15" hidden="false" customHeight="false" outlineLevel="0" collapsed="false">
      <c r="A10903" s="26" t="s">
        <v>26718</v>
      </c>
      <c r="B10903" s="27" t="s">
        <v>26719</v>
      </c>
      <c r="C10903" s="27" t="s">
        <v>144</v>
      </c>
      <c r="D10903" s="26"/>
      <c r="E10903" s="27"/>
      <c r="F10903" s="27"/>
      <c r="G10903" s="27" t="s">
        <v>11122</v>
      </c>
      <c r="H10903" s="27" t="s">
        <v>35</v>
      </c>
      <c r="I10903" s="27" t="s">
        <v>39</v>
      </c>
      <c r="J10903" s="28" t="s">
        <v>1047</v>
      </c>
      <c r="K10903" s="27" t="s">
        <v>45</v>
      </c>
      <c r="L10903" s="27"/>
    </row>
    <row r="10904" customFormat="false" ht="15" hidden="false" customHeight="false" outlineLevel="0" collapsed="false">
      <c r="A10904" s="26" t="s">
        <v>26720</v>
      </c>
      <c r="B10904" s="27" t="s">
        <v>26721</v>
      </c>
      <c r="C10904" s="27" t="s">
        <v>144</v>
      </c>
      <c r="D10904" s="26"/>
      <c r="E10904" s="27"/>
      <c r="F10904" s="27"/>
      <c r="G10904" s="27" t="s">
        <v>11122</v>
      </c>
      <c r="H10904" s="27" t="s">
        <v>35</v>
      </c>
      <c r="I10904" s="27" t="s">
        <v>39</v>
      </c>
      <c r="J10904" s="28" t="s">
        <v>1047</v>
      </c>
      <c r="K10904" s="27" t="s">
        <v>45</v>
      </c>
      <c r="L10904" s="27"/>
    </row>
    <row r="10905" customFormat="false" ht="15" hidden="false" customHeight="false" outlineLevel="0" collapsed="false">
      <c r="A10905" s="26" t="s">
        <v>26722</v>
      </c>
      <c r="B10905" s="27" t="s">
        <v>26723</v>
      </c>
      <c r="C10905" s="27" t="s">
        <v>1187</v>
      </c>
      <c r="D10905" s="26"/>
      <c r="E10905" s="27"/>
      <c r="F10905" s="27"/>
      <c r="G10905" s="27" t="s">
        <v>11122</v>
      </c>
      <c r="H10905" s="27" t="s">
        <v>35</v>
      </c>
      <c r="I10905" s="27" t="s">
        <v>41</v>
      </c>
      <c r="J10905" s="28" t="s">
        <v>1047</v>
      </c>
      <c r="K10905" s="27" t="s">
        <v>45</v>
      </c>
      <c r="L10905" s="27"/>
    </row>
    <row r="10906" customFormat="false" ht="15" hidden="false" customHeight="false" outlineLevel="0" collapsed="false">
      <c r="A10906" s="26" t="s">
        <v>26724</v>
      </c>
      <c r="B10906" s="27" t="s">
        <v>26725</v>
      </c>
      <c r="C10906" s="27" t="s">
        <v>144</v>
      </c>
      <c r="D10906" s="26"/>
      <c r="E10906" s="27"/>
      <c r="F10906" s="27"/>
      <c r="G10906" s="27" t="s">
        <v>11122</v>
      </c>
      <c r="H10906" s="27" t="s">
        <v>35</v>
      </c>
      <c r="I10906" s="27" t="s">
        <v>37</v>
      </c>
      <c r="J10906" s="28" t="s">
        <v>1047</v>
      </c>
      <c r="K10906" s="27" t="s">
        <v>45</v>
      </c>
      <c r="L10906" s="27"/>
    </row>
    <row r="10907" customFormat="false" ht="15" hidden="false" customHeight="false" outlineLevel="0" collapsed="false">
      <c r="A10907" s="26" t="s">
        <v>26726</v>
      </c>
      <c r="B10907" s="27" t="s">
        <v>26727</v>
      </c>
      <c r="C10907" s="27" t="s">
        <v>144</v>
      </c>
      <c r="D10907" s="26"/>
      <c r="E10907" s="27"/>
      <c r="F10907" s="27"/>
      <c r="G10907" s="27" t="s">
        <v>11122</v>
      </c>
      <c r="H10907" s="27" t="s">
        <v>35</v>
      </c>
      <c r="I10907" s="28" t="s">
        <v>50</v>
      </c>
      <c r="J10907" s="28" t="s">
        <v>1047</v>
      </c>
      <c r="K10907" s="27" t="s">
        <v>45</v>
      </c>
      <c r="L10907" s="27"/>
    </row>
    <row r="10908" customFormat="false" ht="15" hidden="false" customHeight="false" outlineLevel="0" collapsed="false">
      <c r="A10908" s="26" t="s">
        <v>26728</v>
      </c>
      <c r="B10908" s="27" t="s">
        <v>26729</v>
      </c>
      <c r="C10908" s="27" t="s">
        <v>144</v>
      </c>
      <c r="D10908" s="26"/>
      <c r="E10908" s="27"/>
      <c r="F10908" s="27"/>
      <c r="G10908" s="27" t="s">
        <v>11122</v>
      </c>
      <c r="H10908" s="27" t="s">
        <v>35</v>
      </c>
      <c r="I10908" s="27" t="s">
        <v>39</v>
      </c>
      <c r="J10908" s="28" t="s">
        <v>1047</v>
      </c>
      <c r="K10908" s="27" t="s">
        <v>45</v>
      </c>
      <c r="L10908" s="27"/>
    </row>
    <row r="10909" customFormat="false" ht="15" hidden="false" customHeight="false" outlineLevel="0" collapsed="false">
      <c r="A10909" s="26" t="s">
        <v>26730</v>
      </c>
      <c r="B10909" s="27" t="s">
        <v>26731</v>
      </c>
      <c r="C10909" s="27" t="s">
        <v>1527</v>
      </c>
      <c r="D10909" s="26"/>
      <c r="E10909" s="27"/>
      <c r="F10909" s="27"/>
      <c r="G10909" s="27" t="s">
        <v>11122</v>
      </c>
      <c r="H10909" s="27" t="s">
        <v>35</v>
      </c>
      <c r="I10909" s="27" t="s">
        <v>49</v>
      </c>
      <c r="J10909" s="28" t="s">
        <v>1047</v>
      </c>
      <c r="K10909" s="27" t="s">
        <v>45</v>
      </c>
      <c r="L10909" s="27"/>
    </row>
    <row r="10910" customFormat="false" ht="15" hidden="false" customHeight="false" outlineLevel="0" collapsed="false">
      <c r="A10910" s="26" t="s">
        <v>26732</v>
      </c>
      <c r="B10910" s="27" t="s">
        <v>26733</v>
      </c>
      <c r="C10910" s="27" t="s">
        <v>144</v>
      </c>
      <c r="D10910" s="26"/>
      <c r="E10910" s="27"/>
      <c r="F10910" s="27"/>
      <c r="G10910" s="27" t="s">
        <v>11122</v>
      </c>
      <c r="H10910" s="27" t="s">
        <v>35</v>
      </c>
      <c r="I10910" s="27" t="s">
        <v>39</v>
      </c>
      <c r="J10910" s="28" t="s">
        <v>1047</v>
      </c>
      <c r="K10910" s="27" t="s">
        <v>45</v>
      </c>
      <c r="L10910" s="27"/>
    </row>
    <row r="10911" customFormat="false" ht="15" hidden="false" customHeight="false" outlineLevel="0" collapsed="false">
      <c r="A10911" s="26" t="s">
        <v>26734</v>
      </c>
      <c r="B10911" s="27" t="s">
        <v>26735</v>
      </c>
      <c r="C10911" s="27" t="s">
        <v>144</v>
      </c>
      <c r="D10911" s="26"/>
      <c r="E10911" s="27"/>
      <c r="F10911" s="27"/>
      <c r="G10911" s="27" t="s">
        <v>11122</v>
      </c>
      <c r="H10911" s="27" t="s">
        <v>35</v>
      </c>
      <c r="I10911" s="27" t="s">
        <v>39</v>
      </c>
      <c r="J10911" s="28" t="s">
        <v>1047</v>
      </c>
      <c r="K10911" s="27" t="s">
        <v>45</v>
      </c>
      <c r="L10911" s="27"/>
    </row>
    <row r="10912" customFormat="false" ht="15" hidden="false" customHeight="false" outlineLevel="0" collapsed="false">
      <c r="A10912" s="26" t="s">
        <v>26736</v>
      </c>
      <c r="B10912" s="27" t="s">
        <v>26737</v>
      </c>
      <c r="C10912" s="27" t="s">
        <v>144</v>
      </c>
      <c r="D10912" s="26"/>
      <c r="E10912" s="27"/>
      <c r="F10912" s="27"/>
      <c r="G10912" s="27" t="s">
        <v>11122</v>
      </c>
      <c r="H10912" s="27" t="s">
        <v>35</v>
      </c>
      <c r="I10912" s="27" t="s">
        <v>41</v>
      </c>
      <c r="J10912" s="28" t="s">
        <v>1047</v>
      </c>
      <c r="K10912" s="27" t="s">
        <v>45</v>
      </c>
      <c r="L10912" s="27"/>
    </row>
    <row r="10913" customFormat="false" ht="15" hidden="false" customHeight="false" outlineLevel="0" collapsed="false">
      <c r="A10913" s="26" t="s">
        <v>26738</v>
      </c>
      <c r="B10913" s="27" t="s">
        <v>26739</v>
      </c>
      <c r="C10913" s="27" t="s">
        <v>144</v>
      </c>
      <c r="D10913" s="26"/>
      <c r="E10913" s="27"/>
      <c r="F10913" s="27"/>
      <c r="G10913" s="27" t="s">
        <v>11122</v>
      </c>
      <c r="H10913" s="27" t="s">
        <v>35</v>
      </c>
      <c r="I10913" s="27" t="s">
        <v>4159</v>
      </c>
      <c r="J10913" s="28" t="s">
        <v>1047</v>
      </c>
      <c r="K10913" s="27" t="s">
        <v>45</v>
      </c>
      <c r="L10913" s="27"/>
    </row>
    <row r="10914" customFormat="false" ht="15" hidden="false" customHeight="false" outlineLevel="0" collapsed="false">
      <c r="A10914" s="26" t="s">
        <v>26740</v>
      </c>
      <c r="B10914" s="27" t="s">
        <v>26741</v>
      </c>
      <c r="C10914" s="27" t="s">
        <v>144</v>
      </c>
      <c r="D10914" s="26"/>
      <c r="E10914" s="27"/>
      <c r="F10914" s="27"/>
      <c r="G10914" s="27" t="s">
        <v>11122</v>
      </c>
      <c r="H10914" s="27" t="s">
        <v>35</v>
      </c>
      <c r="I10914" s="27" t="s">
        <v>49</v>
      </c>
      <c r="J10914" s="28" t="s">
        <v>1047</v>
      </c>
      <c r="K10914" s="27" t="s">
        <v>45</v>
      </c>
      <c r="L10914" s="27"/>
    </row>
    <row r="10915" customFormat="false" ht="15" hidden="false" customHeight="false" outlineLevel="0" collapsed="false">
      <c r="A10915" s="26" t="s">
        <v>26742</v>
      </c>
      <c r="B10915" s="27" t="s">
        <v>26743</v>
      </c>
      <c r="C10915" s="27" t="s">
        <v>144</v>
      </c>
      <c r="D10915" s="26"/>
      <c r="E10915" s="27"/>
      <c r="F10915" s="27"/>
      <c r="G10915" s="27" t="s">
        <v>11122</v>
      </c>
      <c r="H10915" s="27" t="s">
        <v>35</v>
      </c>
      <c r="I10915" s="27" t="s">
        <v>41</v>
      </c>
      <c r="J10915" s="28" t="s">
        <v>1047</v>
      </c>
      <c r="K10915" s="27" t="s">
        <v>45</v>
      </c>
      <c r="L10915" s="27"/>
    </row>
    <row r="10916" customFormat="false" ht="15" hidden="false" customHeight="false" outlineLevel="0" collapsed="false">
      <c r="A10916" s="26" t="s">
        <v>26744</v>
      </c>
      <c r="B10916" s="27" t="s">
        <v>26745</v>
      </c>
      <c r="C10916" s="27" t="s">
        <v>144</v>
      </c>
      <c r="D10916" s="26"/>
      <c r="E10916" s="27"/>
      <c r="F10916" s="27"/>
      <c r="G10916" s="27" t="s">
        <v>11122</v>
      </c>
      <c r="H10916" s="27" t="s">
        <v>35</v>
      </c>
      <c r="I10916" s="27" t="s">
        <v>49</v>
      </c>
      <c r="J10916" s="28" t="s">
        <v>1047</v>
      </c>
      <c r="K10916" s="27" t="s">
        <v>45</v>
      </c>
      <c r="L10916" s="27"/>
    </row>
    <row r="10917" customFormat="false" ht="15" hidden="false" customHeight="false" outlineLevel="0" collapsed="false">
      <c r="A10917" s="26" t="s">
        <v>26746</v>
      </c>
      <c r="B10917" s="27" t="s">
        <v>26747</v>
      </c>
      <c r="C10917" s="27" t="s">
        <v>144</v>
      </c>
      <c r="D10917" s="26"/>
      <c r="E10917" s="27"/>
      <c r="F10917" s="27"/>
      <c r="G10917" s="27" t="s">
        <v>11122</v>
      </c>
      <c r="H10917" s="27" t="s">
        <v>35</v>
      </c>
      <c r="I10917" s="27" t="s">
        <v>49</v>
      </c>
      <c r="J10917" s="28" t="s">
        <v>1047</v>
      </c>
      <c r="K10917" s="27" t="s">
        <v>45</v>
      </c>
      <c r="L10917" s="27"/>
    </row>
    <row r="10918" customFormat="false" ht="15" hidden="false" customHeight="false" outlineLevel="0" collapsed="false">
      <c r="A10918" s="26" t="s">
        <v>26748</v>
      </c>
      <c r="B10918" s="27" t="s">
        <v>26749</v>
      </c>
      <c r="C10918" s="27" t="s">
        <v>3373</v>
      </c>
      <c r="D10918" s="26"/>
      <c r="E10918" s="27"/>
      <c r="F10918" s="27"/>
      <c r="G10918" s="27" t="s">
        <v>11122</v>
      </c>
      <c r="H10918" s="27" t="s">
        <v>35</v>
      </c>
      <c r="I10918" s="28" t="s">
        <v>46</v>
      </c>
      <c r="J10918" s="28" t="s">
        <v>1047</v>
      </c>
      <c r="K10918" s="27" t="s">
        <v>45</v>
      </c>
      <c r="L10918" s="27"/>
    </row>
    <row r="10919" customFormat="false" ht="15" hidden="false" customHeight="false" outlineLevel="0" collapsed="false">
      <c r="A10919" s="26" t="s">
        <v>26750</v>
      </c>
      <c r="B10919" s="27" t="s">
        <v>26751</v>
      </c>
      <c r="C10919" s="27" t="s">
        <v>144</v>
      </c>
      <c r="D10919" s="26"/>
      <c r="E10919" s="27"/>
      <c r="F10919" s="27"/>
      <c r="G10919" s="27" t="s">
        <v>11122</v>
      </c>
      <c r="H10919" s="27" t="s">
        <v>35</v>
      </c>
      <c r="I10919" s="28" t="s">
        <v>46</v>
      </c>
      <c r="J10919" s="28" t="s">
        <v>1047</v>
      </c>
      <c r="K10919" s="27" t="s">
        <v>45</v>
      </c>
      <c r="L10919" s="27"/>
    </row>
    <row r="10920" customFormat="false" ht="15" hidden="false" customHeight="false" outlineLevel="0" collapsed="false">
      <c r="A10920" s="26" t="s">
        <v>26752</v>
      </c>
      <c r="B10920" s="27" t="s">
        <v>26753</v>
      </c>
      <c r="C10920" s="27" t="s">
        <v>144</v>
      </c>
      <c r="D10920" s="26"/>
      <c r="E10920" s="27"/>
      <c r="F10920" s="27"/>
      <c r="G10920" s="27" t="s">
        <v>11122</v>
      </c>
      <c r="H10920" s="27" t="s">
        <v>35</v>
      </c>
      <c r="I10920" s="28" t="s">
        <v>50</v>
      </c>
      <c r="J10920" s="28" t="s">
        <v>1047</v>
      </c>
      <c r="K10920" s="27" t="s">
        <v>45</v>
      </c>
      <c r="L10920" s="27"/>
    </row>
    <row r="10921" customFormat="false" ht="15" hidden="false" customHeight="false" outlineLevel="0" collapsed="false">
      <c r="A10921" s="26" t="s">
        <v>26754</v>
      </c>
      <c r="B10921" s="27" t="s">
        <v>26755</v>
      </c>
      <c r="C10921" s="27" t="s">
        <v>144</v>
      </c>
      <c r="D10921" s="26"/>
      <c r="E10921" s="27"/>
      <c r="F10921" s="27"/>
      <c r="G10921" s="27" t="s">
        <v>11122</v>
      </c>
      <c r="H10921" s="27" t="s">
        <v>35</v>
      </c>
      <c r="I10921" s="27" t="s">
        <v>37</v>
      </c>
      <c r="J10921" s="28" t="s">
        <v>1047</v>
      </c>
      <c r="K10921" s="27" t="s">
        <v>45</v>
      </c>
      <c r="L10921" s="27"/>
    </row>
    <row r="10922" customFormat="false" ht="15" hidden="false" customHeight="false" outlineLevel="0" collapsed="false">
      <c r="A10922" s="26" t="s">
        <v>26756</v>
      </c>
      <c r="B10922" s="27" t="s">
        <v>26757</v>
      </c>
      <c r="C10922" s="27" t="s">
        <v>144</v>
      </c>
      <c r="D10922" s="26"/>
      <c r="E10922" s="27"/>
      <c r="F10922" s="27"/>
      <c r="G10922" s="27" t="s">
        <v>11122</v>
      </c>
      <c r="H10922" s="27" t="s">
        <v>35</v>
      </c>
      <c r="I10922" s="28" t="s">
        <v>50</v>
      </c>
      <c r="J10922" s="28" t="s">
        <v>1047</v>
      </c>
      <c r="K10922" s="27" t="s">
        <v>45</v>
      </c>
      <c r="L10922" s="27"/>
    </row>
    <row r="10923" customFormat="false" ht="15" hidden="false" customHeight="false" outlineLevel="0" collapsed="false">
      <c r="A10923" s="26" t="s">
        <v>26758</v>
      </c>
      <c r="B10923" s="27" t="s">
        <v>26759</v>
      </c>
      <c r="C10923" s="27" t="s">
        <v>144</v>
      </c>
      <c r="D10923" s="26"/>
      <c r="E10923" s="27"/>
      <c r="F10923" s="27"/>
      <c r="G10923" s="27" t="s">
        <v>11122</v>
      </c>
      <c r="H10923" s="27" t="s">
        <v>35</v>
      </c>
      <c r="I10923" s="28" t="s">
        <v>46</v>
      </c>
      <c r="J10923" s="28" t="s">
        <v>1047</v>
      </c>
      <c r="K10923" s="27" t="s">
        <v>45</v>
      </c>
      <c r="L10923" s="27"/>
    </row>
    <row r="10924" customFormat="false" ht="15" hidden="false" customHeight="false" outlineLevel="0" collapsed="false">
      <c r="A10924" s="26" t="s">
        <v>26760</v>
      </c>
      <c r="B10924" s="27" t="s">
        <v>26761</v>
      </c>
      <c r="C10924" s="27" t="s">
        <v>144</v>
      </c>
      <c r="D10924" s="26"/>
      <c r="E10924" s="27"/>
      <c r="F10924" s="27"/>
      <c r="G10924" s="27" t="s">
        <v>11122</v>
      </c>
      <c r="H10924" s="27" t="s">
        <v>35</v>
      </c>
      <c r="I10924" s="27" t="s">
        <v>1067</v>
      </c>
      <c r="J10924" s="28" t="s">
        <v>1047</v>
      </c>
      <c r="K10924" s="27" t="s">
        <v>45</v>
      </c>
      <c r="L10924" s="27"/>
    </row>
    <row r="10925" customFormat="false" ht="15" hidden="false" customHeight="false" outlineLevel="0" collapsed="false">
      <c r="A10925" s="26" t="s">
        <v>26762</v>
      </c>
      <c r="B10925" s="27" t="s">
        <v>26763</v>
      </c>
      <c r="C10925" s="27" t="s">
        <v>144</v>
      </c>
      <c r="D10925" s="26"/>
      <c r="E10925" s="27"/>
      <c r="F10925" s="27"/>
      <c r="G10925" s="27" t="s">
        <v>11122</v>
      </c>
      <c r="H10925" s="27" t="s">
        <v>35</v>
      </c>
      <c r="I10925" s="27" t="s">
        <v>37</v>
      </c>
      <c r="J10925" s="28" t="s">
        <v>1047</v>
      </c>
      <c r="K10925" s="27" t="s">
        <v>45</v>
      </c>
      <c r="L10925" s="27"/>
    </row>
    <row r="10926" customFormat="false" ht="15" hidden="false" customHeight="false" outlineLevel="0" collapsed="false">
      <c r="A10926" s="26" t="s">
        <v>26764</v>
      </c>
      <c r="B10926" s="27" t="s">
        <v>26765</v>
      </c>
      <c r="C10926" s="27" t="s">
        <v>144</v>
      </c>
      <c r="D10926" s="26"/>
      <c r="E10926" s="27"/>
      <c r="F10926" s="27"/>
      <c r="G10926" s="27" t="s">
        <v>11122</v>
      </c>
      <c r="H10926" s="27" t="s">
        <v>35</v>
      </c>
      <c r="I10926" s="27" t="s">
        <v>37</v>
      </c>
      <c r="J10926" s="28" t="s">
        <v>1047</v>
      </c>
      <c r="K10926" s="27" t="s">
        <v>45</v>
      </c>
      <c r="L10926" s="27"/>
    </row>
    <row r="10927" customFormat="false" ht="15" hidden="false" customHeight="false" outlineLevel="0" collapsed="false">
      <c r="A10927" s="26" t="s">
        <v>26766</v>
      </c>
      <c r="B10927" s="27" t="s">
        <v>26767</v>
      </c>
      <c r="C10927" s="27" t="s">
        <v>144</v>
      </c>
      <c r="D10927" s="26"/>
      <c r="E10927" s="27"/>
      <c r="F10927" s="27"/>
      <c r="G10927" s="27" t="s">
        <v>11122</v>
      </c>
      <c r="H10927" s="27" t="s">
        <v>35</v>
      </c>
      <c r="I10927" s="27" t="s">
        <v>37</v>
      </c>
      <c r="J10927" s="28" t="s">
        <v>1047</v>
      </c>
      <c r="K10927" s="27" t="s">
        <v>45</v>
      </c>
      <c r="L10927" s="27"/>
    </row>
    <row r="10928" customFormat="false" ht="15" hidden="false" customHeight="false" outlineLevel="0" collapsed="false">
      <c r="A10928" s="26" t="s">
        <v>26768</v>
      </c>
      <c r="B10928" s="27" t="s">
        <v>26769</v>
      </c>
      <c r="C10928" s="27" t="s">
        <v>1187</v>
      </c>
      <c r="D10928" s="26"/>
      <c r="E10928" s="27"/>
      <c r="F10928" s="27"/>
      <c r="G10928" s="27" t="s">
        <v>11122</v>
      </c>
      <c r="H10928" s="27" t="s">
        <v>35</v>
      </c>
      <c r="I10928" s="27" t="s">
        <v>37</v>
      </c>
      <c r="J10928" s="28" t="s">
        <v>1047</v>
      </c>
      <c r="K10928" s="27" t="s">
        <v>45</v>
      </c>
      <c r="L10928" s="27"/>
    </row>
    <row r="10929" customFormat="false" ht="15" hidden="false" customHeight="false" outlineLevel="0" collapsed="false">
      <c r="A10929" s="26" t="s">
        <v>26770</v>
      </c>
      <c r="B10929" s="27" t="s">
        <v>26771</v>
      </c>
      <c r="C10929" s="27" t="s">
        <v>144</v>
      </c>
      <c r="D10929" s="26"/>
      <c r="E10929" s="27"/>
      <c r="F10929" s="27"/>
      <c r="G10929" s="27" t="s">
        <v>11122</v>
      </c>
      <c r="H10929" s="27" t="s">
        <v>35</v>
      </c>
      <c r="I10929" s="27" t="s">
        <v>39</v>
      </c>
      <c r="J10929" s="28" t="s">
        <v>1047</v>
      </c>
      <c r="K10929" s="27" t="s">
        <v>45</v>
      </c>
      <c r="L10929" s="27"/>
    </row>
    <row r="10930" customFormat="false" ht="15" hidden="false" customHeight="false" outlineLevel="0" collapsed="false">
      <c r="A10930" s="26" t="s">
        <v>26772</v>
      </c>
      <c r="B10930" s="27" t="s">
        <v>26773</v>
      </c>
      <c r="C10930" s="27" t="s">
        <v>1187</v>
      </c>
      <c r="D10930" s="26"/>
      <c r="E10930" s="27"/>
      <c r="F10930" s="27"/>
      <c r="G10930" s="27" t="s">
        <v>11122</v>
      </c>
      <c r="H10930" s="27" t="s">
        <v>35</v>
      </c>
      <c r="I10930" s="27" t="s">
        <v>37</v>
      </c>
      <c r="J10930" s="28" t="s">
        <v>1047</v>
      </c>
      <c r="K10930" s="27" t="s">
        <v>45</v>
      </c>
      <c r="L10930" s="27"/>
    </row>
    <row r="10931" customFormat="false" ht="15" hidden="false" customHeight="false" outlineLevel="0" collapsed="false">
      <c r="A10931" s="26" t="s">
        <v>26774</v>
      </c>
      <c r="B10931" s="27" t="s">
        <v>26775</v>
      </c>
      <c r="C10931" s="27" t="s">
        <v>144</v>
      </c>
      <c r="D10931" s="26"/>
      <c r="E10931" s="27"/>
      <c r="F10931" s="27"/>
      <c r="G10931" s="27" t="s">
        <v>11122</v>
      </c>
      <c r="H10931" s="27" t="s">
        <v>35</v>
      </c>
      <c r="I10931" s="27" t="s">
        <v>37</v>
      </c>
      <c r="J10931" s="28" t="s">
        <v>1047</v>
      </c>
      <c r="K10931" s="27" t="s">
        <v>45</v>
      </c>
      <c r="L10931" s="27"/>
    </row>
    <row r="10932" customFormat="false" ht="15" hidden="false" customHeight="false" outlineLevel="0" collapsed="false">
      <c r="A10932" s="26" t="s">
        <v>26776</v>
      </c>
      <c r="B10932" s="27" t="s">
        <v>26777</v>
      </c>
      <c r="C10932" s="27" t="s">
        <v>144</v>
      </c>
      <c r="D10932" s="26"/>
      <c r="E10932" s="27"/>
      <c r="F10932" s="27"/>
      <c r="G10932" s="27" t="s">
        <v>11122</v>
      </c>
      <c r="H10932" s="27" t="s">
        <v>35</v>
      </c>
      <c r="I10932" s="27" t="s">
        <v>37</v>
      </c>
      <c r="J10932" s="28" t="s">
        <v>1047</v>
      </c>
      <c r="K10932" s="27" t="s">
        <v>45</v>
      </c>
      <c r="L10932" s="27"/>
    </row>
    <row r="10933" customFormat="false" ht="15" hidden="false" customHeight="false" outlineLevel="0" collapsed="false">
      <c r="A10933" s="26" t="s">
        <v>26778</v>
      </c>
      <c r="B10933" s="27" t="s">
        <v>26779</v>
      </c>
      <c r="C10933" s="27" t="s">
        <v>370</v>
      </c>
      <c r="D10933" s="26"/>
      <c r="E10933" s="27"/>
      <c r="F10933" s="27"/>
      <c r="G10933" s="27" t="s">
        <v>11122</v>
      </c>
      <c r="H10933" s="27" t="s">
        <v>35</v>
      </c>
      <c r="I10933" s="27" t="s">
        <v>43</v>
      </c>
      <c r="J10933" s="28" t="s">
        <v>1047</v>
      </c>
      <c r="K10933" s="27" t="s">
        <v>45</v>
      </c>
      <c r="L10933" s="27"/>
    </row>
    <row r="10934" customFormat="false" ht="15" hidden="false" customHeight="false" outlineLevel="0" collapsed="false">
      <c r="A10934" s="26" t="s">
        <v>26780</v>
      </c>
      <c r="B10934" s="27" t="s">
        <v>26781</v>
      </c>
      <c r="C10934" s="27" t="s">
        <v>144</v>
      </c>
      <c r="D10934" s="26"/>
      <c r="E10934" s="27"/>
      <c r="F10934" s="27"/>
      <c r="G10934" s="27" t="s">
        <v>11122</v>
      </c>
      <c r="H10934" s="27" t="s">
        <v>35</v>
      </c>
      <c r="I10934" s="27" t="s">
        <v>1578</v>
      </c>
      <c r="J10934" s="28" t="s">
        <v>1047</v>
      </c>
      <c r="K10934" s="27" t="s">
        <v>45</v>
      </c>
      <c r="L10934" s="27"/>
    </row>
    <row r="10935" customFormat="false" ht="15" hidden="false" customHeight="false" outlineLevel="0" collapsed="false">
      <c r="A10935" s="26" t="s">
        <v>26782</v>
      </c>
      <c r="B10935" s="27" t="s">
        <v>26783</v>
      </c>
      <c r="C10935" s="27" t="s">
        <v>144</v>
      </c>
      <c r="D10935" s="26"/>
      <c r="E10935" s="27"/>
      <c r="F10935" s="27"/>
      <c r="G10935" s="27" t="s">
        <v>11122</v>
      </c>
      <c r="H10935" s="27" t="s">
        <v>35</v>
      </c>
      <c r="I10935" s="27" t="s">
        <v>47</v>
      </c>
      <c r="J10935" s="28" t="s">
        <v>1047</v>
      </c>
      <c r="K10935" s="27" t="s">
        <v>45</v>
      </c>
      <c r="L10935" s="27"/>
    </row>
    <row r="10936" customFormat="false" ht="15" hidden="false" customHeight="false" outlineLevel="0" collapsed="false">
      <c r="A10936" s="26" t="s">
        <v>26784</v>
      </c>
      <c r="B10936" s="27" t="s">
        <v>26785</v>
      </c>
      <c r="C10936" s="27" t="s">
        <v>370</v>
      </c>
      <c r="D10936" s="26"/>
      <c r="E10936" s="27"/>
      <c r="F10936" s="27"/>
      <c r="G10936" s="27" t="s">
        <v>11122</v>
      </c>
      <c r="H10936" s="27" t="s">
        <v>35</v>
      </c>
      <c r="I10936" s="27" t="s">
        <v>41</v>
      </c>
      <c r="J10936" s="28" t="s">
        <v>1047</v>
      </c>
      <c r="K10936" s="27" t="s">
        <v>45</v>
      </c>
      <c r="L10936" s="27"/>
    </row>
    <row r="10937" customFormat="false" ht="15" hidden="false" customHeight="false" outlineLevel="0" collapsed="false">
      <c r="A10937" s="26" t="s">
        <v>26786</v>
      </c>
      <c r="B10937" s="27" t="s">
        <v>26787</v>
      </c>
      <c r="C10937" s="27" t="s">
        <v>144</v>
      </c>
      <c r="D10937" s="26"/>
      <c r="E10937" s="27"/>
      <c r="F10937" s="27"/>
      <c r="G10937" s="27" t="s">
        <v>11122</v>
      </c>
      <c r="H10937" s="27" t="s">
        <v>35</v>
      </c>
      <c r="I10937" s="27" t="s">
        <v>37</v>
      </c>
      <c r="J10937" s="28" t="s">
        <v>1047</v>
      </c>
      <c r="K10937" s="27" t="s">
        <v>45</v>
      </c>
      <c r="L10937" s="27"/>
    </row>
    <row r="10938" customFormat="false" ht="15" hidden="false" customHeight="false" outlineLevel="0" collapsed="false">
      <c r="A10938" s="26" t="s">
        <v>26788</v>
      </c>
      <c r="B10938" s="27" t="s">
        <v>26789</v>
      </c>
      <c r="C10938" s="27" t="s">
        <v>370</v>
      </c>
      <c r="D10938" s="26"/>
      <c r="E10938" s="27"/>
      <c r="F10938" s="27"/>
      <c r="G10938" s="27" t="s">
        <v>11122</v>
      </c>
      <c r="H10938" s="27" t="s">
        <v>35</v>
      </c>
      <c r="I10938" s="28" t="s">
        <v>46</v>
      </c>
      <c r="J10938" s="28" t="s">
        <v>1047</v>
      </c>
      <c r="K10938" s="27" t="s">
        <v>45</v>
      </c>
      <c r="L10938" s="27"/>
    </row>
    <row r="10939" customFormat="false" ht="15" hidden="false" customHeight="false" outlineLevel="0" collapsed="false">
      <c r="A10939" s="26" t="s">
        <v>26790</v>
      </c>
      <c r="B10939" s="27" t="s">
        <v>26791</v>
      </c>
      <c r="C10939" s="27" t="s">
        <v>370</v>
      </c>
      <c r="D10939" s="26"/>
      <c r="E10939" s="27"/>
      <c r="F10939" s="27"/>
      <c r="G10939" s="27" t="s">
        <v>11122</v>
      </c>
      <c r="H10939" s="27" t="s">
        <v>35</v>
      </c>
      <c r="I10939" s="27" t="s">
        <v>43</v>
      </c>
      <c r="J10939" s="28" t="s">
        <v>1047</v>
      </c>
      <c r="K10939" s="27" t="s">
        <v>45</v>
      </c>
      <c r="L10939" s="27"/>
    </row>
    <row r="10940" customFormat="false" ht="15" hidden="false" customHeight="false" outlineLevel="0" collapsed="false">
      <c r="A10940" s="26" t="s">
        <v>26792</v>
      </c>
      <c r="B10940" s="27" t="s">
        <v>26793</v>
      </c>
      <c r="C10940" s="27" t="s">
        <v>370</v>
      </c>
      <c r="D10940" s="26"/>
      <c r="E10940" s="27"/>
      <c r="F10940" s="27"/>
      <c r="G10940" s="27" t="s">
        <v>11122</v>
      </c>
      <c r="H10940" s="27" t="s">
        <v>35</v>
      </c>
      <c r="I10940" s="27" t="s">
        <v>43</v>
      </c>
      <c r="J10940" s="28" t="s">
        <v>1047</v>
      </c>
      <c r="K10940" s="27" t="s">
        <v>45</v>
      </c>
      <c r="L10940" s="27"/>
    </row>
    <row r="10941" customFormat="false" ht="15" hidden="false" customHeight="false" outlineLevel="0" collapsed="false">
      <c r="A10941" s="26" t="s">
        <v>26794</v>
      </c>
      <c r="B10941" s="27" t="s">
        <v>26795</v>
      </c>
      <c r="C10941" s="27" t="s">
        <v>144</v>
      </c>
      <c r="D10941" s="26"/>
      <c r="E10941" s="27"/>
      <c r="F10941" s="27"/>
      <c r="G10941" s="27" t="s">
        <v>11122</v>
      </c>
      <c r="H10941" s="27" t="s">
        <v>35</v>
      </c>
      <c r="I10941" s="27" t="s">
        <v>48</v>
      </c>
      <c r="J10941" s="28" t="s">
        <v>1047</v>
      </c>
      <c r="K10941" s="27" t="s">
        <v>45</v>
      </c>
      <c r="L10941" s="27"/>
    </row>
    <row r="10942" customFormat="false" ht="15" hidden="false" customHeight="false" outlineLevel="0" collapsed="false">
      <c r="A10942" s="26" t="s">
        <v>26796</v>
      </c>
      <c r="B10942" s="27" t="s">
        <v>26797</v>
      </c>
      <c r="C10942" s="27" t="s">
        <v>144</v>
      </c>
      <c r="D10942" s="26"/>
      <c r="E10942" s="27"/>
      <c r="F10942" s="27"/>
      <c r="G10942" s="27" t="s">
        <v>11122</v>
      </c>
      <c r="H10942" s="27" t="s">
        <v>35</v>
      </c>
      <c r="I10942" s="27" t="s">
        <v>37</v>
      </c>
      <c r="J10942" s="28" t="s">
        <v>1047</v>
      </c>
      <c r="K10942" s="27" t="s">
        <v>45</v>
      </c>
      <c r="L10942" s="27"/>
    </row>
    <row r="10943" customFormat="false" ht="15" hidden="false" customHeight="false" outlineLevel="0" collapsed="false">
      <c r="A10943" s="26" t="s">
        <v>26798</v>
      </c>
      <c r="B10943" s="27" t="s">
        <v>26799</v>
      </c>
      <c r="C10943" s="27" t="s">
        <v>144</v>
      </c>
      <c r="D10943" s="26"/>
      <c r="E10943" s="27"/>
      <c r="F10943" s="27"/>
      <c r="G10943" s="27" t="s">
        <v>11122</v>
      </c>
      <c r="H10943" s="27" t="s">
        <v>35</v>
      </c>
      <c r="I10943" s="27" t="s">
        <v>48</v>
      </c>
      <c r="J10943" s="28" t="s">
        <v>1047</v>
      </c>
      <c r="K10943" s="27" t="s">
        <v>45</v>
      </c>
      <c r="L10943" s="27"/>
    </row>
    <row r="10944" customFormat="false" ht="15" hidden="false" customHeight="false" outlineLevel="0" collapsed="false">
      <c r="A10944" s="26" t="s">
        <v>26800</v>
      </c>
      <c r="B10944" s="27" t="s">
        <v>26801</v>
      </c>
      <c r="C10944" s="27" t="s">
        <v>3373</v>
      </c>
      <c r="D10944" s="26"/>
      <c r="E10944" s="27"/>
      <c r="F10944" s="27"/>
      <c r="G10944" s="27" t="s">
        <v>11122</v>
      </c>
      <c r="H10944" s="27" t="s">
        <v>35</v>
      </c>
      <c r="I10944" s="27" t="s">
        <v>39</v>
      </c>
      <c r="J10944" s="28" t="s">
        <v>1047</v>
      </c>
      <c r="K10944" s="27" t="s">
        <v>45</v>
      </c>
      <c r="L10944" s="27"/>
    </row>
    <row r="10945" customFormat="false" ht="15" hidden="false" customHeight="false" outlineLevel="0" collapsed="false">
      <c r="A10945" s="26" t="s">
        <v>26802</v>
      </c>
      <c r="B10945" s="27" t="s">
        <v>26803</v>
      </c>
      <c r="C10945" s="27" t="s">
        <v>144</v>
      </c>
      <c r="D10945" s="26"/>
      <c r="E10945" s="27"/>
      <c r="F10945" s="27"/>
      <c r="G10945" s="27" t="s">
        <v>11122</v>
      </c>
      <c r="H10945" s="27" t="s">
        <v>35</v>
      </c>
      <c r="I10945" s="27" t="s">
        <v>47</v>
      </c>
      <c r="J10945" s="28" t="s">
        <v>1047</v>
      </c>
      <c r="K10945" s="27" t="s">
        <v>45</v>
      </c>
      <c r="L10945" s="27"/>
    </row>
    <row r="10946" customFormat="false" ht="15" hidden="false" customHeight="false" outlineLevel="0" collapsed="false">
      <c r="A10946" s="26" t="s">
        <v>26804</v>
      </c>
      <c r="B10946" s="27" t="s">
        <v>26805</v>
      </c>
      <c r="C10946" s="27" t="s">
        <v>144</v>
      </c>
      <c r="D10946" s="26"/>
      <c r="E10946" s="27"/>
      <c r="F10946" s="27"/>
      <c r="G10946" s="27" t="s">
        <v>11122</v>
      </c>
      <c r="H10946" s="27" t="s">
        <v>35</v>
      </c>
      <c r="I10946" s="27" t="s">
        <v>39</v>
      </c>
      <c r="J10946" s="28" t="s">
        <v>1047</v>
      </c>
      <c r="K10946" s="27" t="s">
        <v>45</v>
      </c>
      <c r="L10946" s="27"/>
    </row>
    <row r="10947" customFormat="false" ht="15" hidden="false" customHeight="false" outlineLevel="0" collapsed="false">
      <c r="A10947" s="26" t="s">
        <v>26806</v>
      </c>
      <c r="B10947" s="27" t="s">
        <v>26807</v>
      </c>
      <c r="C10947" s="27" t="s">
        <v>370</v>
      </c>
      <c r="D10947" s="26"/>
      <c r="E10947" s="27"/>
      <c r="F10947" s="27"/>
      <c r="G10947" s="27" t="s">
        <v>11122</v>
      </c>
      <c r="H10947" s="27" t="s">
        <v>35</v>
      </c>
      <c r="I10947" s="27" t="s">
        <v>39</v>
      </c>
      <c r="J10947" s="28" t="s">
        <v>1047</v>
      </c>
      <c r="K10947" s="27" t="s">
        <v>45</v>
      </c>
      <c r="L10947" s="27"/>
    </row>
    <row r="10948" customFormat="false" ht="15" hidden="false" customHeight="false" outlineLevel="0" collapsed="false">
      <c r="A10948" s="26" t="s">
        <v>26808</v>
      </c>
      <c r="B10948" s="27" t="s">
        <v>26809</v>
      </c>
      <c r="C10948" s="27" t="s">
        <v>144</v>
      </c>
      <c r="D10948" s="26"/>
      <c r="E10948" s="27"/>
      <c r="F10948" s="27"/>
      <c r="G10948" s="27" t="s">
        <v>11122</v>
      </c>
      <c r="H10948" s="27" t="s">
        <v>35</v>
      </c>
      <c r="I10948" s="27" t="s">
        <v>4159</v>
      </c>
      <c r="J10948" s="28" t="s">
        <v>1047</v>
      </c>
      <c r="K10948" s="27" t="s">
        <v>45</v>
      </c>
      <c r="L10948" s="27"/>
    </row>
    <row r="10949" customFormat="false" ht="15" hidden="false" customHeight="false" outlineLevel="0" collapsed="false">
      <c r="A10949" s="26" t="s">
        <v>26810</v>
      </c>
      <c r="B10949" s="27" t="s">
        <v>26811</v>
      </c>
      <c r="C10949" s="27" t="s">
        <v>144</v>
      </c>
      <c r="D10949" s="26"/>
      <c r="E10949" s="27"/>
      <c r="F10949" s="27"/>
      <c r="G10949" s="27" t="s">
        <v>11122</v>
      </c>
      <c r="H10949" s="27" t="s">
        <v>35</v>
      </c>
      <c r="I10949" s="27" t="s">
        <v>4159</v>
      </c>
      <c r="J10949" s="28" t="s">
        <v>1047</v>
      </c>
      <c r="K10949" s="27" t="s">
        <v>45</v>
      </c>
      <c r="L10949" s="27"/>
    </row>
    <row r="10950" customFormat="false" ht="15" hidden="false" customHeight="false" outlineLevel="0" collapsed="false">
      <c r="A10950" s="26" t="s">
        <v>26812</v>
      </c>
      <c r="B10950" s="27" t="s">
        <v>26813</v>
      </c>
      <c r="C10950" s="27" t="s">
        <v>144</v>
      </c>
      <c r="D10950" s="26"/>
      <c r="E10950" s="27"/>
      <c r="F10950" s="27"/>
      <c r="G10950" s="27" t="s">
        <v>11122</v>
      </c>
      <c r="H10950" s="27" t="s">
        <v>35</v>
      </c>
      <c r="I10950" s="27" t="s">
        <v>41</v>
      </c>
      <c r="J10950" s="28" t="s">
        <v>1047</v>
      </c>
      <c r="K10950" s="27" t="s">
        <v>45</v>
      </c>
      <c r="L10950" s="27"/>
    </row>
    <row r="10951" customFormat="false" ht="15" hidden="false" customHeight="false" outlineLevel="0" collapsed="false">
      <c r="A10951" s="26" t="s">
        <v>26814</v>
      </c>
      <c r="B10951" s="27" t="s">
        <v>26815</v>
      </c>
      <c r="C10951" s="27" t="s">
        <v>144</v>
      </c>
      <c r="D10951" s="26"/>
      <c r="E10951" s="27"/>
      <c r="F10951" s="27"/>
      <c r="G10951" s="27" t="s">
        <v>11122</v>
      </c>
      <c r="H10951" s="27" t="s">
        <v>35</v>
      </c>
      <c r="I10951" s="27" t="s">
        <v>37</v>
      </c>
      <c r="J10951" s="28" t="s">
        <v>1047</v>
      </c>
      <c r="K10951" s="27" t="s">
        <v>45</v>
      </c>
      <c r="L10951" s="27"/>
    </row>
    <row r="10952" customFormat="false" ht="15" hidden="false" customHeight="false" outlineLevel="0" collapsed="false">
      <c r="A10952" s="26" t="s">
        <v>26816</v>
      </c>
      <c r="B10952" s="27" t="s">
        <v>26817</v>
      </c>
      <c r="C10952" s="27" t="s">
        <v>144</v>
      </c>
      <c r="D10952" s="26"/>
      <c r="E10952" s="27"/>
      <c r="F10952" s="27"/>
      <c r="G10952" s="27" t="s">
        <v>11122</v>
      </c>
      <c r="H10952" s="27" t="s">
        <v>35</v>
      </c>
      <c r="I10952" s="27" t="s">
        <v>42</v>
      </c>
      <c r="J10952" s="28" t="s">
        <v>1047</v>
      </c>
      <c r="K10952" s="27" t="s">
        <v>45</v>
      </c>
      <c r="L10952" s="27"/>
    </row>
    <row r="10953" customFormat="false" ht="15" hidden="false" customHeight="false" outlineLevel="0" collapsed="false">
      <c r="A10953" s="26" t="s">
        <v>26818</v>
      </c>
      <c r="B10953" s="27" t="s">
        <v>26819</v>
      </c>
      <c r="C10953" s="27" t="s">
        <v>144</v>
      </c>
      <c r="D10953" s="26"/>
      <c r="E10953" s="27"/>
      <c r="F10953" s="27"/>
      <c r="G10953" s="27" t="s">
        <v>11122</v>
      </c>
      <c r="H10953" s="27" t="s">
        <v>35</v>
      </c>
      <c r="I10953" s="27" t="s">
        <v>44</v>
      </c>
      <c r="J10953" s="28" t="s">
        <v>1047</v>
      </c>
      <c r="K10953" s="27" t="s">
        <v>45</v>
      </c>
      <c r="L10953" s="27"/>
    </row>
    <row r="10954" customFormat="false" ht="15" hidden="false" customHeight="false" outlineLevel="0" collapsed="false">
      <c r="A10954" s="26" t="s">
        <v>26820</v>
      </c>
      <c r="B10954" s="27" t="s">
        <v>26821</v>
      </c>
      <c r="C10954" s="27" t="s">
        <v>144</v>
      </c>
      <c r="D10954" s="26"/>
      <c r="E10954" s="27"/>
      <c r="F10954" s="27"/>
      <c r="G10954" s="27" t="s">
        <v>11122</v>
      </c>
      <c r="H10954" s="27" t="s">
        <v>35</v>
      </c>
      <c r="I10954" s="27" t="s">
        <v>44</v>
      </c>
      <c r="J10954" s="28" t="s">
        <v>1047</v>
      </c>
      <c r="K10954" s="27" t="s">
        <v>45</v>
      </c>
      <c r="L10954" s="27"/>
    </row>
    <row r="10955" customFormat="false" ht="15" hidden="false" customHeight="false" outlineLevel="0" collapsed="false">
      <c r="A10955" s="26" t="s">
        <v>26822</v>
      </c>
      <c r="B10955" s="27" t="s">
        <v>26823</v>
      </c>
      <c r="C10955" s="27" t="s">
        <v>144</v>
      </c>
      <c r="D10955" s="26"/>
      <c r="E10955" s="27"/>
      <c r="F10955" s="27"/>
      <c r="G10955" s="27" t="s">
        <v>11122</v>
      </c>
      <c r="H10955" s="27" t="s">
        <v>35</v>
      </c>
      <c r="I10955" s="27" t="s">
        <v>41</v>
      </c>
      <c r="J10955" s="28" t="s">
        <v>1047</v>
      </c>
      <c r="K10955" s="27" t="s">
        <v>45</v>
      </c>
      <c r="L10955" s="27"/>
    </row>
    <row r="10956" customFormat="false" ht="15" hidden="false" customHeight="false" outlineLevel="0" collapsed="false">
      <c r="A10956" s="26" t="s">
        <v>26824</v>
      </c>
      <c r="B10956" s="27" t="s">
        <v>26825</v>
      </c>
      <c r="C10956" s="27" t="s">
        <v>144</v>
      </c>
      <c r="D10956" s="26"/>
      <c r="E10956" s="27"/>
      <c r="F10956" s="27"/>
      <c r="G10956" s="27" t="s">
        <v>11122</v>
      </c>
      <c r="H10956" s="27" t="s">
        <v>35</v>
      </c>
      <c r="I10956" s="27" t="s">
        <v>44</v>
      </c>
      <c r="J10956" s="28" t="s">
        <v>1047</v>
      </c>
      <c r="K10956" s="27" t="s">
        <v>45</v>
      </c>
      <c r="L10956" s="27"/>
    </row>
    <row r="10957" customFormat="false" ht="15" hidden="false" customHeight="false" outlineLevel="0" collapsed="false">
      <c r="A10957" s="26" t="s">
        <v>26826</v>
      </c>
      <c r="B10957" s="27" t="s">
        <v>26827</v>
      </c>
      <c r="C10957" s="27" t="s">
        <v>144</v>
      </c>
      <c r="D10957" s="26"/>
      <c r="E10957" s="27"/>
      <c r="F10957" s="27"/>
      <c r="G10957" s="27" t="s">
        <v>11122</v>
      </c>
      <c r="H10957" s="27" t="s">
        <v>35</v>
      </c>
      <c r="I10957" s="27" t="s">
        <v>41</v>
      </c>
      <c r="J10957" s="28" t="s">
        <v>1047</v>
      </c>
      <c r="K10957" s="27" t="s">
        <v>45</v>
      </c>
      <c r="L10957" s="27"/>
    </row>
    <row r="10958" customFormat="false" ht="15" hidden="false" customHeight="false" outlineLevel="0" collapsed="false">
      <c r="A10958" s="26" t="s">
        <v>26828</v>
      </c>
      <c r="B10958" s="27" t="s">
        <v>26829</v>
      </c>
      <c r="C10958" s="27" t="s">
        <v>137</v>
      </c>
      <c r="D10958" s="26"/>
      <c r="E10958" s="27"/>
      <c r="F10958" s="27"/>
      <c r="G10958" s="27" t="s">
        <v>11122</v>
      </c>
      <c r="H10958" s="27" t="s">
        <v>35</v>
      </c>
      <c r="I10958" s="27" t="s">
        <v>39</v>
      </c>
      <c r="J10958" s="28" t="s">
        <v>1047</v>
      </c>
      <c r="K10958" s="27" t="s">
        <v>45</v>
      </c>
      <c r="L10958" s="27"/>
    </row>
    <row r="10959" customFormat="false" ht="15" hidden="false" customHeight="false" outlineLevel="0" collapsed="false">
      <c r="A10959" s="26" t="s">
        <v>26830</v>
      </c>
      <c r="B10959" s="27" t="s">
        <v>26831</v>
      </c>
      <c r="C10959" s="27" t="s">
        <v>144</v>
      </c>
      <c r="D10959" s="26"/>
      <c r="E10959" s="27"/>
      <c r="F10959" s="27"/>
      <c r="G10959" s="27" t="s">
        <v>11122</v>
      </c>
      <c r="H10959" s="27" t="s">
        <v>35</v>
      </c>
      <c r="I10959" s="27" t="s">
        <v>41</v>
      </c>
      <c r="J10959" s="28" t="s">
        <v>1047</v>
      </c>
      <c r="K10959" s="27" t="s">
        <v>45</v>
      </c>
      <c r="L10959" s="27"/>
    </row>
    <row r="10960" customFormat="false" ht="15" hidden="false" customHeight="false" outlineLevel="0" collapsed="false">
      <c r="A10960" s="26" t="s">
        <v>26832</v>
      </c>
      <c r="B10960" s="27" t="s">
        <v>26833</v>
      </c>
      <c r="C10960" s="27" t="s">
        <v>144</v>
      </c>
      <c r="D10960" s="26"/>
      <c r="E10960" s="27"/>
      <c r="F10960" s="27"/>
      <c r="G10960" s="27" t="s">
        <v>11122</v>
      </c>
      <c r="H10960" s="27" t="s">
        <v>35</v>
      </c>
      <c r="I10960" s="27" t="s">
        <v>41</v>
      </c>
      <c r="J10960" s="28" t="s">
        <v>1047</v>
      </c>
      <c r="K10960" s="27" t="s">
        <v>45</v>
      </c>
      <c r="L10960" s="27"/>
    </row>
    <row r="10961" customFormat="false" ht="15" hidden="false" customHeight="false" outlineLevel="0" collapsed="false">
      <c r="A10961" s="26" t="s">
        <v>26834</v>
      </c>
      <c r="B10961" s="27" t="s">
        <v>26835</v>
      </c>
      <c r="C10961" s="27" t="s">
        <v>137</v>
      </c>
      <c r="D10961" s="26"/>
      <c r="E10961" s="27"/>
      <c r="F10961" s="27"/>
      <c r="G10961" s="27" t="s">
        <v>11122</v>
      </c>
      <c r="H10961" s="27" t="s">
        <v>35</v>
      </c>
      <c r="I10961" s="27" t="s">
        <v>44</v>
      </c>
      <c r="J10961" s="28" t="s">
        <v>1047</v>
      </c>
      <c r="K10961" s="27" t="s">
        <v>45</v>
      </c>
      <c r="L10961" s="27"/>
    </row>
    <row r="10962" customFormat="false" ht="15" hidden="false" customHeight="false" outlineLevel="0" collapsed="false">
      <c r="A10962" s="26" t="s">
        <v>26836</v>
      </c>
      <c r="B10962" s="27" t="s">
        <v>26837</v>
      </c>
      <c r="C10962" s="27" t="s">
        <v>144</v>
      </c>
      <c r="D10962" s="26"/>
      <c r="E10962" s="27"/>
      <c r="F10962" s="27"/>
      <c r="G10962" s="27" t="s">
        <v>11122</v>
      </c>
      <c r="H10962" s="27" t="s">
        <v>35</v>
      </c>
      <c r="I10962" s="27" t="s">
        <v>41</v>
      </c>
      <c r="J10962" s="28" t="s">
        <v>1047</v>
      </c>
      <c r="K10962" s="27" t="s">
        <v>45</v>
      </c>
      <c r="L10962" s="27"/>
    </row>
    <row r="10963" customFormat="false" ht="15" hidden="false" customHeight="false" outlineLevel="0" collapsed="false">
      <c r="A10963" s="26" t="s">
        <v>26838</v>
      </c>
      <c r="B10963" s="27" t="s">
        <v>26839</v>
      </c>
      <c r="C10963" s="27" t="s">
        <v>144</v>
      </c>
      <c r="D10963" s="26"/>
      <c r="E10963" s="27"/>
      <c r="F10963" s="27"/>
      <c r="G10963" s="27" t="s">
        <v>11122</v>
      </c>
      <c r="H10963" s="27" t="s">
        <v>35</v>
      </c>
      <c r="I10963" s="27" t="s">
        <v>44</v>
      </c>
      <c r="J10963" s="28" t="s">
        <v>1047</v>
      </c>
      <c r="K10963" s="27" t="s">
        <v>45</v>
      </c>
      <c r="L10963" s="27"/>
    </row>
    <row r="10964" customFormat="false" ht="15" hidden="false" customHeight="false" outlineLevel="0" collapsed="false">
      <c r="A10964" s="26" t="s">
        <v>26840</v>
      </c>
      <c r="B10964" s="27" t="s">
        <v>26841</v>
      </c>
      <c r="C10964" s="27" t="s">
        <v>144</v>
      </c>
      <c r="D10964" s="26"/>
      <c r="E10964" s="27"/>
      <c r="F10964" s="27"/>
      <c r="G10964" s="27" t="s">
        <v>11122</v>
      </c>
      <c r="H10964" s="27" t="s">
        <v>35</v>
      </c>
      <c r="I10964" s="27" t="s">
        <v>42</v>
      </c>
      <c r="J10964" s="28" t="s">
        <v>1047</v>
      </c>
      <c r="K10964" s="27" t="s">
        <v>45</v>
      </c>
      <c r="L10964" s="27"/>
    </row>
    <row r="10965" customFormat="false" ht="15" hidden="false" customHeight="false" outlineLevel="0" collapsed="false">
      <c r="A10965" s="26" t="s">
        <v>26842</v>
      </c>
      <c r="B10965" s="27" t="s">
        <v>26843</v>
      </c>
      <c r="C10965" s="27" t="s">
        <v>137</v>
      </c>
      <c r="D10965" s="26"/>
      <c r="E10965" s="27"/>
      <c r="F10965" s="27"/>
      <c r="G10965" s="27" t="s">
        <v>11122</v>
      </c>
      <c r="H10965" s="27" t="s">
        <v>35</v>
      </c>
      <c r="I10965" s="27" t="s">
        <v>37</v>
      </c>
      <c r="J10965" s="28" t="s">
        <v>1047</v>
      </c>
      <c r="K10965" s="27" t="s">
        <v>45</v>
      </c>
      <c r="L10965" s="27"/>
    </row>
    <row r="10966" customFormat="false" ht="15" hidden="false" customHeight="false" outlineLevel="0" collapsed="false">
      <c r="A10966" s="26" t="s">
        <v>26844</v>
      </c>
      <c r="B10966" s="27" t="s">
        <v>26845</v>
      </c>
      <c r="C10966" s="27" t="s">
        <v>137</v>
      </c>
      <c r="D10966" s="26"/>
      <c r="E10966" s="27"/>
      <c r="F10966" s="27"/>
      <c r="G10966" s="27" t="s">
        <v>11122</v>
      </c>
      <c r="H10966" s="27" t="s">
        <v>35</v>
      </c>
      <c r="I10966" s="27" t="s">
        <v>45</v>
      </c>
      <c r="J10966" s="28" t="s">
        <v>1047</v>
      </c>
      <c r="K10966" s="27" t="s">
        <v>45</v>
      </c>
      <c r="L10966" s="27"/>
    </row>
    <row r="10967" customFormat="false" ht="15" hidden="false" customHeight="false" outlineLevel="0" collapsed="false">
      <c r="A10967" s="26" t="s">
        <v>26846</v>
      </c>
      <c r="B10967" s="27" t="s">
        <v>26847</v>
      </c>
      <c r="C10967" s="27" t="s">
        <v>144</v>
      </c>
      <c r="D10967" s="26"/>
      <c r="E10967" s="27"/>
      <c r="F10967" s="27"/>
      <c r="G10967" s="27" t="s">
        <v>11122</v>
      </c>
      <c r="H10967" s="27" t="s">
        <v>35</v>
      </c>
      <c r="I10967" s="27" t="s">
        <v>40</v>
      </c>
      <c r="J10967" s="28" t="s">
        <v>1047</v>
      </c>
      <c r="K10967" s="27" t="s">
        <v>45</v>
      </c>
      <c r="L10967" s="27"/>
    </row>
    <row r="10968" customFormat="false" ht="15" hidden="false" customHeight="false" outlineLevel="0" collapsed="false">
      <c r="A10968" s="26" t="s">
        <v>26848</v>
      </c>
      <c r="B10968" s="27" t="s">
        <v>26849</v>
      </c>
      <c r="C10968" s="27" t="s">
        <v>137</v>
      </c>
      <c r="D10968" s="26"/>
      <c r="E10968" s="27"/>
      <c r="F10968" s="27"/>
      <c r="G10968" s="27" t="s">
        <v>11122</v>
      </c>
      <c r="H10968" s="27" t="s">
        <v>35</v>
      </c>
      <c r="I10968" s="27" t="s">
        <v>41</v>
      </c>
      <c r="J10968" s="28" t="s">
        <v>1047</v>
      </c>
      <c r="K10968" s="27" t="s">
        <v>45</v>
      </c>
      <c r="L10968" s="27"/>
    </row>
    <row r="10969" customFormat="false" ht="15" hidden="false" customHeight="false" outlineLevel="0" collapsed="false">
      <c r="A10969" s="26" t="s">
        <v>26850</v>
      </c>
      <c r="B10969" s="27" t="s">
        <v>26851</v>
      </c>
      <c r="C10969" s="27" t="s">
        <v>16906</v>
      </c>
      <c r="D10969" s="26"/>
      <c r="E10969" s="27"/>
      <c r="F10969" s="27"/>
      <c r="G10969" s="27" t="s">
        <v>11122</v>
      </c>
      <c r="H10969" s="27" t="s">
        <v>35</v>
      </c>
      <c r="I10969" s="27" t="s">
        <v>44</v>
      </c>
      <c r="J10969" s="28" t="s">
        <v>1047</v>
      </c>
      <c r="K10969" s="27" t="s">
        <v>45</v>
      </c>
      <c r="L10969" s="27"/>
    </row>
    <row r="10970" customFormat="false" ht="15" hidden="false" customHeight="false" outlineLevel="0" collapsed="false">
      <c r="A10970" s="26" t="s">
        <v>26852</v>
      </c>
      <c r="B10970" s="27" t="s">
        <v>26853</v>
      </c>
      <c r="C10970" s="27" t="s">
        <v>144</v>
      </c>
      <c r="D10970" s="26"/>
      <c r="E10970" s="27"/>
      <c r="F10970" s="27"/>
      <c r="G10970" s="27" t="s">
        <v>11122</v>
      </c>
      <c r="H10970" s="27" t="s">
        <v>35</v>
      </c>
      <c r="I10970" s="27" t="s">
        <v>37</v>
      </c>
      <c r="J10970" s="28" t="s">
        <v>1047</v>
      </c>
      <c r="K10970" s="27" t="s">
        <v>45</v>
      </c>
      <c r="L10970" s="27"/>
    </row>
    <row r="10971" customFormat="false" ht="15" hidden="false" customHeight="false" outlineLevel="0" collapsed="false">
      <c r="A10971" s="26" t="s">
        <v>26854</v>
      </c>
      <c r="B10971" s="27" t="s">
        <v>26855</v>
      </c>
      <c r="C10971" s="27" t="s">
        <v>137</v>
      </c>
      <c r="D10971" s="26"/>
      <c r="E10971" s="27"/>
      <c r="F10971" s="27"/>
      <c r="G10971" s="27" t="s">
        <v>11122</v>
      </c>
      <c r="H10971" s="27" t="s">
        <v>35</v>
      </c>
      <c r="I10971" s="27" t="s">
        <v>41</v>
      </c>
      <c r="J10971" s="28" t="s">
        <v>1047</v>
      </c>
      <c r="K10971" s="27" t="s">
        <v>45</v>
      </c>
      <c r="L10971" s="27"/>
    </row>
    <row r="10972" customFormat="false" ht="15" hidden="false" customHeight="false" outlineLevel="0" collapsed="false">
      <c r="A10972" s="26" t="s">
        <v>26856</v>
      </c>
      <c r="B10972" s="27" t="s">
        <v>26857</v>
      </c>
      <c r="C10972" s="27" t="s">
        <v>137</v>
      </c>
      <c r="D10972" s="26"/>
      <c r="E10972" s="27"/>
      <c r="F10972" s="27"/>
      <c r="G10972" s="27" t="s">
        <v>11122</v>
      </c>
      <c r="H10972" s="27" t="s">
        <v>35</v>
      </c>
      <c r="I10972" s="27" t="s">
        <v>41</v>
      </c>
      <c r="J10972" s="28" t="s">
        <v>1047</v>
      </c>
      <c r="K10972" s="27" t="s">
        <v>45</v>
      </c>
      <c r="L10972" s="27"/>
    </row>
    <row r="10973" customFormat="false" ht="15" hidden="false" customHeight="false" outlineLevel="0" collapsed="false">
      <c r="A10973" s="26" t="s">
        <v>26858</v>
      </c>
      <c r="B10973" s="27" t="s">
        <v>26859</v>
      </c>
      <c r="C10973" s="27" t="s">
        <v>137</v>
      </c>
      <c r="D10973" s="26"/>
      <c r="E10973" s="27"/>
      <c r="F10973" s="27"/>
      <c r="G10973" s="27" t="s">
        <v>11122</v>
      </c>
      <c r="H10973" s="27" t="s">
        <v>35</v>
      </c>
      <c r="I10973" s="28" t="s">
        <v>50</v>
      </c>
      <c r="J10973" s="28" t="s">
        <v>1047</v>
      </c>
      <c r="K10973" s="27" t="s">
        <v>45</v>
      </c>
      <c r="L10973" s="27"/>
    </row>
    <row r="10974" customFormat="false" ht="15" hidden="false" customHeight="false" outlineLevel="0" collapsed="false">
      <c r="A10974" s="26" t="s">
        <v>26860</v>
      </c>
      <c r="B10974" s="27" t="s">
        <v>26861</v>
      </c>
      <c r="C10974" s="27" t="s">
        <v>144</v>
      </c>
      <c r="D10974" s="26"/>
      <c r="E10974" s="27"/>
      <c r="F10974" s="27"/>
      <c r="G10974" s="27" t="s">
        <v>11122</v>
      </c>
      <c r="H10974" s="27" t="s">
        <v>35</v>
      </c>
      <c r="I10974" s="27" t="s">
        <v>44</v>
      </c>
      <c r="J10974" s="28" t="s">
        <v>1047</v>
      </c>
      <c r="K10974" s="27" t="s">
        <v>45</v>
      </c>
      <c r="L10974" s="27"/>
    </row>
    <row r="10975" customFormat="false" ht="15" hidden="false" customHeight="false" outlineLevel="0" collapsed="false">
      <c r="A10975" s="26" t="s">
        <v>26862</v>
      </c>
      <c r="B10975" s="27" t="s">
        <v>26863</v>
      </c>
      <c r="C10975" s="27" t="s">
        <v>144</v>
      </c>
      <c r="D10975" s="26"/>
      <c r="E10975" s="27"/>
      <c r="F10975" s="27"/>
      <c r="G10975" s="27" t="s">
        <v>11122</v>
      </c>
      <c r="H10975" s="27" t="s">
        <v>35</v>
      </c>
      <c r="I10975" s="27" t="s">
        <v>47</v>
      </c>
      <c r="J10975" s="28" t="s">
        <v>1047</v>
      </c>
      <c r="K10975" s="27" t="s">
        <v>45</v>
      </c>
      <c r="L10975" s="27"/>
    </row>
    <row r="10976" customFormat="false" ht="15" hidden="false" customHeight="false" outlineLevel="0" collapsed="false">
      <c r="A10976" s="26" t="s">
        <v>26864</v>
      </c>
      <c r="B10976" s="27" t="s">
        <v>26865</v>
      </c>
      <c r="C10976" s="27" t="s">
        <v>144</v>
      </c>
      <c r="D10976" s="26"/>
      <c r="E10976" s="27"/>
      <c r="F10976" s="27"/>
      <c r="G10976" s="27" t="s">
        <v>11122</v>
      </c>
      <c r="H10976" s="27" t="s">
        <v>35</v>
      </c>
      <c r="I10976" s="27" t="s">
        <v>42</v>
      </c>
      <c r="J10976" s="28" t="s">
        <v>1047</v>
      </c>
      <c r="K10976" s="27" t="s">
        <v>45</v>
      </c>
      <c r="L10976" s="27"/>
    </row>
    <row r="10977" customFormat="false" ht="15" hidden="false" customHeight="false" outlineLevel="0" collapsed="false">
      <c r="A10977" s="26" t="s">
        <v>26866</v>
      </c>
      <c r="B10977" s="27" t="s">
        <v>26867</v>
      </c>
      <c r="C10977" s="27" t="s">
        <v>144</v>
      </c>
      <c r="D10977" s="26"/>
      <c r="E10977" s="27"/>
      <c r="F10977" s="27"/>
      <c r="G10977" s="27" t="s">
        <v>11122</v>
      </c>
      <c r="H10977" s="27" t="s">
        <v>35</v>
      </c>
      <c r="I10977" s="28" t="s">
        <v>46</v>
      </c>
      <c r="J10977" s="28" t="s">
        <v>1047</v>
      </c>
      <c r="K10977" s="27" t="s">
        <v>45</v>
      </c>
      <c r="L10977" s="27"/>
    </row>
    <row r="10978" customFormat="false" ht="15" hidden="false" customHeight="false" outlineLevel="0" collapsed="false">
      <c r="A10978" s="26" t="s">
        <v>26868</v>
      </c>
      <c r="B10978" s="27" t="s">
        <v>26869</v>
      </c>
      <c r="C10978" s="27" t="s">
        <v>144</v>
      </c>
      <c r="D10978" s="26"/>
      <c r="E10978" s="27"/>
      <c r="F10978" s="27"/>
      <c r="G10978" s="27" t="s">
        <v>11122</v>
      </c>
      <c r="H10978" s="27" t="s">
        <v>35</v>
      </c>
      <c r="I10978" s="27" t="s">
        <v>40</v>
      </c>
      <c r="J10978" s="28" t="s">
        <v>1047</v>
      </c>
      <c r="K10978" s="27" t="s">
        <v>45</v>
      </c>
      <c r="L10978" s="27"/>
    </row>
    <row r="10979" customFormat="false" ht="15" hidden="false" customHeight="false" outlineLevel="0" collapsed="false">
      <c r="A10979" s="26" t="s">
        <v>26870</v>
      </c>
      <c r="B10979" s="27" t="s">
        <v>26871</v>
      </c>
      <c r="C10979" s="27" t="s">
        <v>144</v>
      </c>
      <c r="D10979" s="26"/>
      <c r="E10979" s="27"/>
      <c r="F10979" s="27"/>
      <c r="G10979" s="27" t="s">
        <v>11122</v>
      </c>
      <c r="H10979" s="27" t="s">
        <v>35</v>
      </c>
      <c r="I10979" s="28" t="s">
        <v>46</v>
      </c>
      <c r="J10979" s="28" t="s">
        <v>1047</v>
      </c>
      <c r="K10979" s="27" t="s">
        <v>45</v>
      </c>
      <c r="L10979" s="27"/>
    </row>
    <row r="10980" customFormat="false" ht="15" hidden="false" customHeight="false" outlineLevel="0" collapsed="false">
      <c r="A10980" s="26" t="s">
        <v>26872</v>
      </c>
      <c r="B10980" s="27" t="s">
        <v>26873</v>
      </c>
      <c r="C10980" s="27" t="s">
        <v>144</v>
      </c>
      <c r="D10980" s="26"/>
      <c r="E10980" s="27"/>
      <c r="F10980" s="27"/>
      <c r="G10980" s="27" t="s">
        <v>11122</v>
      </c>
      <c r="H10980" s="27" t="s">
        <v>35</v>
      </c>
      <c r="I10980" s="27" t="s">
        <v>40</v>
      </c>
      <c r="J10980" s="28" t="s">
        <v>1047</v>
      </c>
      <c r="K10980" s="27" t="s">
        <v>45</v>
      </c>
      <c r="L10980" s="27"/>
    </row>
    <row r="10981" customFormat="false" ht="15" hidden="false" customHeight="false" outlineLevel="0" collapsed="false">
      <c r="A10981" s="26" t="s">
        <v>26874</v>
      </c>
      <c r="B10981" s="27" t="s">
        <v>26875</v>
      </c>
      <c r="C10981" s="27" t="s">
        <v>144</v>
      </c>
      <c r="D10981" s="26"/>
      <c r="E10981" s="27"/>
      <c r="F10981" s="27"/>
      <c r="G10981" s="27" t="s">
        <v>11122</v>
      </c>
      <c r="H10981" s="27" t="s">
        <v>35</v>
      </c>
      <c r="I10981" s="28" t="s">
        <v>46</v>
      </c>
      <c r="J10981" s="28" t="s">
        <v>1047</v>
      </c>
      <c r="K10981" s="27" t="s">
        <v>45</v>
      </c>
      <c r="L10981" s="27"/>
    </row>
    <row r="10982" customFormat="false" ht="15" hidden="false" customHeight="false" outlineLevel="0" collapsed="false">
      <c r="A10982" s="26" t="s">
        <v>26876</v>
      </c>
      <c r="B10982" s="27" t="s">
        <v>26877</v>
      </c>
      <c r="C10982" s="27" t="s">
        <v>144</v>
      </c>
      <c r="D10982" s="26"/>
      <c r="E10982" s="27"/>
      <c r="F10982" s="27"/>
      <c r="G10982" s="27" t="s">
        <v>11122</v>
      </c>
      <c r="H10982" s="27" t="s">
        <v>35</v>
      </c>
      <c r="I10982" s="27" t="s">
        <v>40</v>
      </c>
      <c r="J10982" s="28" t="s">
        <v>1047</v>
      </c>
      <c r="K10982" s="27" t="s">
        <v>45</v>
      </c>
      <c r="L10982" s="27"/>
    </row>
    <row r="10983" customFormat="false" ht="15" hidden="false" customHeight="false" outlineLevel="0" collapsed="false">
      <c r="A10983" s="26" t="s">
        <v>26878</v>
      </c>
      <c r="B10983" s="27" t="s">
        <v>26879</v>
      </c>
      <c r="C10983" s="27" t="s">
        <v>144</v>
      </c>
      <c r="D10983" s="26"/>
      <c r="E10983" s="27"/>
      <c r="F10983" s="27"/>
      <c r="G10983" s="27" t="s">
        <v>11122</v>
      </c>
      <c r="H10983" s="27" t="s">
        <v>35</v>
      </c>
      <c r="I10983" s="27" t="s">
        <v>48</v>
      </c>
      <c r="J10983" s="28" t="s">
        <v>1047</v>
      </c>
      <c r="K10983" s="27" t="s">
        <v>45</v>
      </c>
      <c r="L10983" s="27"/>
    </row>
    <row r="10984" customFormat="false" ht="15" hidden="false" customHeight="false" outlineLevel="0" collapsed="false">
      <c r="A10984" s="26" t="s">
        <v>26880</v>
      </c>
      <c r="B10984" s="27" t="s">
        <v>26881</v>
      </c>
      <c r="C10984" s="27" t="s">
        <v>144</v>
      </c>
      <c r="D10984" s="26"/>
      <c r="E10984" s="27"/>
      <c r="F10984" s="27"/>
      <c r="G10984" s="27" t="s">
        <v>11122</v>
      </c>
      <c r="H10984" s="27" t="s">
        <v>35</v>
      </c>
      <c r="I10984" s="28" t="s">
        <v>46</v>
      </c>
      <c r="J10984" s="28" t="s">
        <v>1047</v>
      </c>
      <c r="K10984" s="27" t="s">
        <v>45</v>
      </c>
      <c r="L10984" s="27"/>
    </row>
    <row r="10985" customFormat="false" ht="15" hidden="false" customHeight="false" outlineLevel="0" collapsed="false">
      <c r="A10985" s="26" t="s">
        <v>26882</v>
      </c>
      <c r="B10985" s="27" t="s">
        <v>26883</v>
      </c>
      <c r="C10985" s="27" t="s">
        <v>144</v>
      </c>
      <c r="D10985" s="26"/>
      <c r="E10985" s="27"/>
      <c r="F10985" s="27"/>
      <c r="G10985" s="27" t="s">
        <v>11122</v>
      </c>
      <c r="H10985" s="27" t="s">
        <v>35</v>
      </c>
      <c r="I10985" s="27" t="s">
        <v>42</v>
      </c>
      <c r="J10985" s="28" t="s">
        <v>1047</v>
      </c>
      <c r="K10985" s="27" t="s">
        <v>45</v>
      </c>
      <c r="L10985" s="27"/>
    </row>
    <row r="10986" customFormat="false" ht="15" hidden="false" customHeight="false" outlineLevel="0" collapsed="false">
      <c r="A10986" s="26" t="s">
        <v>26884</v>
      </c>
      <c r="B10986" s="27" t="s">
        <v>26885</v>
      </c>
      <c r="C10986" s="27" t="s">
        <v>144</v>
      </c>
      <c r="D10986" s="26"/>
      <c r="E10986" s="27"/>
      <c r="F10986" s="27"/>
      <c r="G10986" s="27" t="s">
        <v>11122</v>
      </c>
      <c r="H10986" s="27" t="s">
        <v>35</v>
      </c>
      <c r="I10986" s="27" t="s">
        <v>37</v>
      </c>
      <c r="J10986" s="28" t="s">
        <v>1047</v>
      </c>
      <c r="K10986" s="27" t="s">
        <v>45</v>
      </c>
      <c r="L10986" s="27"/>
    </row>
    <row r="10987" customFormat="false" ht="15" hidden="false" customHeight="false" outlineLevel="0" collapsed="false">
      <c r="A10987" s="26" t="s">
        <v>26886</v>
      </c>
      <c r="B10987" s="27" t="s">
        <v>26887</v>
      </c>
      <c r="C10987" s="27" t="s">
        <v>144</v>
      </c>
      <c r="D10987" s="26"/>
      <c r="E10987" s="27"/>
      <c r="F10987" s="27"/>
      <c r="G10987" s="27" t="s">
        <v>11122</v>
      </c>
      <c r="H10987" s="27" t="s">
        <v>35</v>
      </c>
      <c r="I10987" s="28" t="s">
        <v>46</v>
      </c>
      <c r="J10987" s="28" t="s">
        <v>1047</v>
      </c>
      <c r="K10987" s="27" t="s">
        <v>45</v>
      </c>
      <c r="L10987" s="27"/>
    </row>
    <row r="10988" customFormat="false" ht="15" hidden="false" customHeight="false" outlineLevel="0" collapsed="false">
      <c r="A10988" s="26" t="s">
        <v>26888</v>
      </c>
      <c r="B10988" s="27" t="s">
        <v>26889</v>
      </c>
      <c r="C10988" s="27" t="s">
        <v>144</v>
      </c>
      <c r="D10988" s="26"/>
      <c r="E10988" s="27"/>
      <c r="F10988" s="27"/>
      <c r="G10988" s="27" t="s">
        <v>11122</v>
      </c>
      <c r="H10988" s="27" t="s">
        <v>35</v>
      </c>
      <c r="I10988" s="27" t="s">
        <v>39</v>
      </c>
      <c r="J10988" s="28" t="s">
        <v>1047</v>
      </c>
      <c r="K10988" s="27" t="s">
        <v>45</v>
      </c>
      <c r="L10988" s="27"/>
    </row>
    <row r="10989" customFormat="false" ht="15" hidden="false" customHeight="false" outlineLevel="0" collapsed="false">
      <c r="A10989" s="26" t="s">
        <v>26890</v>
      </c>
      <c r="B10989" s="27" t="s">
        <v>26891</v>
      </c>
      <c r="C10989" s="27" t="s">
        <v>144</v>
      </c>
      <c r="D10989" s="26"/>
      <c r="E10989" s="27"/>
      <c r="F10989" s="27"/>
      <c r="G10989" s="27" t="s">
        <v>11122</v>
      </c>
      <c r="H10989" s="27" t="s">
        <v>35</v>
      </c>
      <c r="I10989" s="27" t="s">
        <v>42</v>
      </c>
      <c r="J10989" s="28" t="s">
        <v>1047</v>
      </c>
      <c r="K10989" s="27" t="s">
        <v>45</v>
      </c>
      <c r="L10989" s="27"/>
    </row>
    <row r="10990" customFormat="false" ht="15" hidden="false" customHeight="false" outlineLevel="0" collapsed="false">
      <c r="A10990" s="26" t="s">
        <v>26892</v>
      </c>
      <c r="B10990" s="27" t="s">
        <v>26893</v>
      </c>
      <c r="C10990" s="27" t="s">
        <v>370</v>
      </c>
      <c r="D10990" s="26"/>
      <c r="E10990" s="27"/>
      <c r="F10990" s="27"/>
      <c r="G10990" s="27" t="s">
        <v>11122</v>
      </c>
      <c r="H10990" s="27" t="s">
        <v>35</v>
      </c>
      <c r="I10990" s="27" t="s">
        <v>37</v>
      </c>
      <c r="J10990" s="28" t="s">
        <v>1047</v>
      </c>
      <c r="K10990" s="27" t="s">
        <v>45</v>
      </c>
      <c r="L10990" s="27"/>
    </row>
    <row r="10991" customFormat="false" ht="15" hidden="false" customHeight="false" outlineLevel="0" collapsed="false">
      <c r="A10991" s="26" t="s">
        <v>26894</v>
      </c>
      <c r="B10991" s="27" t="s">
        <v>26895</v>
      </c>
      <c r="C10991" s="27" t="s">
        <v>144</v>
      </c>
      <c r="D10991" s="26"/>
      <c r="E10991" s="27"/>
      <c r="F10991" s="27"/>
      <c r="G10991" s="27" t="s">
        <v>11122</v>
      </c>
      <c r="H10991" s="27" t="s">
        <v>35</v>
      </c>
      <c r="I10991" s="28" t="s">
        <v>46</v>
      </c>
      <c r="J10991" s="28" t="s">
        <v>1047</v>
      </c>
      <c r="K10991" s="27" t="s">
        <v>45</v>
      </c>
      <c r="L10991" s="27"/>
    </row>
    <row r="10992" customFormat="false" ht="15" hidden="false" customHeight="false" outlineLevel="0" collapsed="false">
      <c r="A10992" s="26" t="s">
        <v>26896</v>
      </c>
      <c r="B10992" s="27" t="s">
        <v>26897</v>
      </c>
      <c r="C10992" s="27" t="s">
        <v>144</v>
      </c>
      <c r="D10992" s="26"/>
      <c r="E10992" s="27"/>
      <c r="F10992" s="27"/>
      <c r="G10992" s="27" t="s">
        <v>11122</v>
      </c>
      <c r="H10992" s="27" t="s">
        <v>35</v>
      </c>
      <c r="I10992" s="27" t="s">
        <v>49</v>
      </c>
      <c r="J10992" s="28" t="s">
        <v>1047</v>
      </c>
      <c r="K10992" s="27" t="s">
        <v>45</v>
      </c>
      <c r="L10992" s="27"/>
    </row>
    <row r="10993" customFormat="false" ht="15" hidden="false" customHeight="false" outlineLevel="0" collapsed="false">
      <c r="A10993" s="26" t="s">
        <v>26898</v>
      </c>
      <c r="B10993" s="27" t="s">
        <v>26899</v>
      </c>
      <c r="C10993" s="27" t="s">
        <v>144</v>
      </c>
      <c r="D10993" s="26"/>
      <c r="E10993" s="27"/>
      <c r="F10993" s="27"/>
      <c r="G10993" s="27" t="s">
        <v>11122</v>
      </c>
      <c r="H10993" s="27" t="s">
        <v>35</v>
      </c>
      <c r="I10993" s="28" t="s">
        <v>46</v>
      </c>
      <c r="J10993" s="28" t="s">
        <v>1047</v>
      </c>
      <c r="K10993" s="27" t="s">
        <v>45</v>
      </c>
      <c r="L10993" s="27"/>
    </row>
    <row r="10994" customFormat="false" ht="15" hidden="false" customHeight="false" outlineLevel="0" collapsed="false">
      <c r="A10994" s="26" t="s">
        <v>26900</v>
      </c>
      <c r="B10994" s="27" t="s">
        <v>26901</v>
      </c>
      <c r="C10994" s="27" t="s">
        <v>144</v>
      </c>
      <c r="D10994" s="26"/>
      <c r="E10994" s="27"/>
      <c r="F10994" s="27"/>
      <c r="G10994" s="27" t="s">
        <v>11122</v>
      </c>
      <c r="H10994" s="27" t="s">
        <v>35</v>
      </c>
      <c r="I10994" s="27" t="s">
        <v>42</v>
      </c>
      <c r="J10994" s="28" t="s">
        <v>1047</v>
      </c>
      <c r="K10994" s="27" t="s">
        <v>45</v>
      </c>
      <c r="L10994" s="27"/>
    </row>
    <row r="10995" customFormat="false" ht="15" hidden="false" customHeight="false" outlineLevel="0" collapsed="false">
      <c r="A10995" s="26" t="s">
        <v>26902</v>
      </c>
      <c r="B10995" s="27" t="s">
        <v>26903</v>
      </c>
      <c r="C10995" s="27" t="s">
        <v>144</v>
      </c>
      <c r="D10995" s="26"/>
      <c r="E10995" s="27"/>
      <c r="F10995" s="27"/>
      <c r="G10995" s="27" t="s">
        <v>11122</v>
      </c>
      <c r="H10995" s="27" t="s">
        <v>35</v>
      </c>
      <c r="I10995" s="28" t="s">
        <v>46</v>
      </c>
      <c r="J10995" s="28" t="s">
        <v>1047</v>
      </c>
      <c r="K10995" s="27" t="s">
        <v>45</v>
      </c>
      <c r="L10995" s="27"/>
    </row>
    <row r="10996" customFormat="false" ht="15" hidden="false" customHeight="false" outlineLevel="0" collapsed="false">
      <c r="A10996" s="26" t="s">
        <v>26904</v>
      </c>
      <c r="B10996" s="27" t="s">
        <v>26905</v>
      </c>
      <c r="C10996" s="27" t="s">
        <v>144</v>
      </c>
      <c r="D10996" s="26"/>
      <c r="E10996" s="27"/>
      <c r="F10996" s="27"/>
      <c r="G10996" s="27" t="s">
        <v>11122</v>
      </c>
      <c r="H10996" s="27" t="s">
        <v>35</v>
      </c>
      <c r="I10996" s="27" t="s">
        <v>37</v>
      </c>
      <c r="J10996" s="28" t="s">
        <v>1047</v>
      </c>
      <c r="K10996" s="27" t="s">
        <v>45</v>
      </c>
      <c r="L10996" s="27"/>
    </row>
    <row r="10997" customFormat="false" ht="15" hidden="false" customHeight="false" outlineLevel="0" collapsed="false">
      <c r="A10997" s="26" t="s">
        <v>26906</v>
      </c>
      <c r="B10997" s="27" t="s">
        <v>26907</v>
      </c>
      <c r="C10997" s="27" t="s">
        <v>144</v>
      </c>
      <c r="D10997" s="26"/>
      <c r="E10997" s="27"/>
      <c r="F10997" s="27"/>
      <c r="G10997" s="27" t="s">
        <v>11122</v>
      </c>
      <c r="H10997" s="27" t="s">
        <v>35</v>
      </c>
      <c r="I10997" s="27" t="s">
        <v>37</v>
      </c>
      <c r="J10997" s="28" t="s">
        <v>1047</v>
      </c>
      <c r="K10997" s="27" t="s">
        <v>45</v>
      </c>
      <c r="L10997" s="27"/>
    </row>
    <row r="10998" customFormat="false" ht="15" hidden="false" customHeight="false" outlineLevel="0" collapsed="false">
      <c r="A10998" s="26" t="s">
        <v>26908</v>
      </c>
      <c r="B10998" s="27" t="s">
        <v>26909</v>
      </c>
      <c r="C10998" s="27" t="s">
        <v>100</v>
      </c>
      <c r="D10998" s="26"/>
      <c r="E10998" s="27"/>
      <c r="F10998" s="27"/>
      <c r="G10998" s="27" t="s">
        <v>11122</v>
      </c>
      <c r="H10998" s="27" t="s">
        <v>35</v>
      </c>
      <c r="I10998" s="27" t="s">
        <v>42</v>
      </c>
      <c r="J10998" s="28" t="s">
        <v>1047</v>
      </c>
      <c r="K10998" s="27" t="s">
        <v>45</v>
      </c>
      <c r="L10998" s="27"/>
    </row>
    <row r="10999" customFormat="false" ht="15" hidden="false" customHeight="false" outlineLevel="0" collapsed="false">
      <c r="A10999" s="26" t="s">
        <v>26910</v>
      </c>
      <c r="B10999" s="27" t="s">
        <v>26911</v>
      </c>
      <c r="C10999" s="27" t="s">
        <v>100</v>
      </c>
      <c r="D10999" s="26"/>
      <c r="E10999" s="27"/>
      <c r="F10999" s="27"/>
      <c r="G10999" s="27" t="s">
        <v>11122</v>
      </c>
      <c r="H10999" s="27" t="s">
        <v>35</v>
      </c>
      <c r="I10999" s="27" t="s">
        <v>10510</v>
      </c>
      <c r="J10999" s="28" t="s">
        <v>1047</v>
      </c>
      <c r="K10999" s="27" t="s">
        <v>45</v>
      </c>
      <c r="L10999" s="27"/>
    </row>
    <row r="11000" customFormat="false" ht="15" hidden="false" customHeight="false" outlineLevel="0" collapsed="false">
      <c r="A11000" s="26" t="s">
        <v>26912</v>
      </c>
      <c r="B11000" s="27" t="s">
        <v>26913</v>
      </c>
      <c r="C11000" s="27" t="s">
        <v>137</v>
      </c>
      <c r="D11000" s="26"/>
      <c r="E11000" s="27"/>
      <c r="F11000" s="27"/>
      <c r="G11000" s="27" t="s">
        <v>11122</v>
      </c>
      <c r="H11000" s="27" t="s">
        <v>35</v>
      </c>
      <c r="I11000" s="27" t="s">
        <v>47</v>
      </c>
      <c r="J11000" s="28" t="s">
        <v>1047</v>
      </c>
      <c r="K11000" s="27" t="s">
        <v>45</v>
      </c>
      <c r="L11000" s="27"/>
    </row>
    <row r="11001" customFormat="false" ht="15" hidden="false" customHeight="false" outlineLevel="0" collapsed="false">
      <c r="A11001" s="26" t="s">
        <v>26914</v>
      </c>
      <c r="B11001" s="27" t="s">
        <v>26915</v>
      </c>
      <c r="C11001" s="27" t="s">
        <v>100</v>
      </c>
      <c r="D11001" s="26"/>
      <c r="E11001" s="27"/>
      <c r="F11001" s="27"/>
      <c r="G11001" s="27" t="s">
        <v>11122</v>
      </c>
      <c r="H11001" s="27" t="s">
        <v>35</v>
      </c>
      <c r="I11001" s="27" t="s">
        <v>152</v>
      </c>
      <c r="J11001" s="28" t="s">
        <v>1047</v>
      </c>
      <c r="K11001" s="27" t="s">
        <v>45</v>
      </c>
      <c r="L11001" s="27"/>
    </row>
    <row r="11002" customFormat="false" ht="15" hidden="false" customHeight="false" outlineLevel="0" collapsed="false">
      <c r="A11002" s="26" t="s">
        <v>26916</v>
      </c>
      <c r="B11002" s="27" t="s">
        <v>26917</v>
      </c>
      <c r="C11002" s="27" t="s">
        <v>1527</v>
      </c>
      <c r="D11002" s="26"/>
      <c r="E11002" s="27"/>
      <c r="F11002" s="27"/>
      <c r="G11002" s="27" t="s">
        <v>11122</v>
      </c>
      <c r="H11002" s="27" t="s">
        <v>35</v>
      </c>
      <c r="I11002" s="27" t="s">
        <v>1578</v>
      </c>
      <c r="J11002" s="28" t="s">
        <v>1047</v>
      </c>
      <c r="K11002" s="27" t="s">
        <v>45</v>
      </c>
      <c r="L11002" s="27"/>
    </row>
    <row r="11003" customFormat="false" ht="15" hidden="false" customHeight="false" outlineLevel="0" collapsed="false">
      <c r="A11003" s="26" t="s">
        <v>26918</v>
      </c>
      <c r="B11003" s="27" t="s">
        <v>26919</v>
      </c>
      <c r="C11003" s="27" t="s">
        <v>144</v>
      </c>
      <c r="D11003" s="26"/>
      <c r="E11003" s="27"/>
      <c r="F11003" s="27"/>
      <c r="G11003" s="27" t="s">
        <v>11122</v>
      </c>
      <c r="H11003" s="27" t="s">
        <v>35</v>
      </c>
      <c r="I11003" s="27" t="s">
        <v>37</v>
      </c>
      <c r="J11003" s="28" t="s">
        <v>1047</v>
      </c>
      <c r="K11003" s="27" t="s">
        <v>45</v>
      </c>
      <c r="L11003" s="27"/>
    </row>
    <row r="11004" customFormat="false" ht="15" hidden="false" customHeight="false" outlineLevel="0" collapsed="false">
      <c r="A11004" s="26" t="s">
        <v>26920</v>
      </c>
      <c r="B11004" s="27" t="s">
        <v>26921</v>
      </c>
      <c r="C11004" s="27" t="s">
        <v>370</v>
      </c>
      <c r="D11004" s="26"/>
      <c r="E11004" s="27"/>
      <c r="F11004" s="27"/>
      <c r="G11004" s="27" t="s">
        <v>11122</v>
      </c>
      <c r="H11004" s="27" t="s">
        <v>35</v>
      </c>
      <c r="I11004" s="27" t="s">
        <v>39</v>
      </c>
      <c r="J11004" s="28" t="s">
        <v>1047</v>
      </c>
      <c r="K11004" s="27" t="s">
        <v>45</v>
      </c>
      <c r="L11004" s="27"/>
    </row>
    <row r="11005" customFormat="false" ht="15" hidden="false" customHeight="false" outlineLevel="0" collapsed="false">
      <c r="A11005" s="26" t="s">
        <v>26922</v>
      </c>
      <c r="B11005" s="27" t="s">
        <v>26923</v>
      </c>
      <c r="C11005" s="27" t="s">
        <v>100</v>
      </c>
      <c r="D11005" s="26"/>
      <c r="E11005" s="27"/>
      <c r="F11005" s="27"/>
      <c r="G11005" s="27" t="s">
        <v>11122</v>
      </c>
      <c r="H11005" s="27" t="s">
        <v>35</v>
      </c>
      <c r="I11005" s="27" t="s">
        <v>47</v>
      </c>
      <c r="J11005" s="28" t="s">
        <v>1047</v>
      </c>
      <c r="K11005" s="27" t="s">
        <v>45</v>
      </c>
      <c r="L11005" s="27"/>
    </row>
    <row r="11006" customFormat="false" ht="15" hidden="false" customHeight="false" outlineLevel="0" collapsed="false">
      <c r="A11006" s="26" t="s">
        <v>26924</v>
      </c>
      <c r="B11006" s="27" t="s">
        <v>26925</v>
      </c>
      <c r="C11006" s="27" t="s">
        <v>370</v>
      </c>
      <c r="D11006" s="26"/>
      <c r="E11006" s="27"/>
      <c r="F11006" s="27"/>
      <c r="G11006" s="27" t="s">
        <v>11122</v>
      </c>
      <c r="H11006" s="27" t="s">
        <v>35</v>
      </c>
      <c r="I11006" s="27" t="s">
        <v>39</v>
      </c>
      <c r="J11006" s="28" t="s">
        <v>1047</v>
      </c>
      <c r="K11006" s="27" t="s">
        <v>45</v>
      </c>
      <c r="L11006" s="27"/>
    </row>
    <row r="11007" customFormat="false" ht="15" hidden="false" customHeight="false" outlineLevel="0" collapsed="false">
      <c r="A11007" s="26" t="s">
        <v>26926</v>
      </c>
      <c r="B11007" s="27" t="s">
        <v>26927</v>
      </c>
      <c r="C11007" s="27" t="s">
        <v>144</v>
      </c>
      <c r="D11007" s="26"/>
      <c r="E11007" s="27"/>
      <c r="F11007" s="27"/>
      <c r="G11007" s="27" t="s">
        <v>11122</v>
      </c>
      <c r="H11007" s="27" t="s">
        <v>35</v>
      </c>
      <c r="I11007" s="27" t="s">
        <v>38</v>
      </c>
      <c r="J11007" s="28" t="s">
        <v>1047</v>
      </c>
      <c r="K11007" s="27" t="s">
        <v>45</v>
      </c>
      <c r="L11007" s="27"/>
    </row>
    <row r="11008" customFormat="false" ht="15" hidden="false" customHeight="false" outlineLevel="0" collapsed="false">
      <c r="A11008" s="26" t="s">
        <v>26928</v>
      </c>
      <c r="B11008" s="27" t="s">
        <v>26929</v>
      </c>
      <c r="C11008" s="27" t="s">
        <v>1527</v>
      </c>
      <c r="D11008" s="26"/>
      <c r="E11008" s="27"/>
      <c r="F11008" s="27"/>
      <c r="G11008" s="27" t="s">
        <v>11122</v>
      </c>
      <c r="H11008" s="27" t="s">
        <v>35</v>
      </c>
      <c r="I11008" s="27" t="s">
        <v>47</v>
      </c>
      <c r="J11008" s="28" t="s">
        <v>1047</v>
      </c>
      <c r="K11008" s="27" t="s">
        <v>45</v>
      </c>
      <c r="L11008" s="27"/>
    </row>
    <row r="11009" customFormat="false" ht="15" hidden="false" customHeight="false" outlineLevel="0" collapsed="false">
      <c r="A11009" s="26" t="s">
        <v>26930</v>
      </c>
      <c r="B11009" s="27" t="s">
        <v>26931</v>
      </c>
      <c r="C11009" s="27" t="s">
        <v>144</v>
      </c>
      <c r="D11009" s="26"/>
      <c r="E11009" s="27"/>
      <c r="F11009" s="27"/>
      <c r="G11009" s="27" t="s">
        <v>11122</v>
      </c>
      <c r="H11009" s="27" t="s">
        <v>35</v>
      </c>
      <c r="I11009" s="27" t="s">
        <v>39</v>
      </c>
      <c r="J11009" s="28" t="s">
        <v>1047</v>
      </c>
      <c r="K11009" s="27" t="s">
        <v>45</v>
      </c>
      <c r="L11009" s="27"/>
    </row>
    <row r="11010" customFormat="false" ht="15" hidden="false" customHeight="false" outlineLevel="0" collapsed="false">
      <c r="A11010" s="26" t="s">
        <v>26932</v>
      </c>
      <c r="B11010" s="27" t="s">
        <v>26933</v>
      </c>
      <c r="C11010" s="27" t="s">
        <v>144</v>
      </c>
      <c r="D11010" s="26"/>
      <c r="E11010" s="27"/>
      <c r="F11010" s="27"/>
      <c r="G11010" s="27" t="s">
        <v>11122</v>
      </c>
      <c r="H11010" s="27" t="s">
        <v>35</v>
      </c>
      <c r="I11010" s="27" t="s">
        <v>39</v>
      </c>
      <c r="J11010" s="28" t="s">
        <v>1047</v>
      </c>
      <c r="K11010" s="27" t="s">
        <v>45</v>
      </c>
      <c r="L11010" s="27"/>
    </row>
    <row r="11011" customFormat="false" ht="15" hidden="false" customHeight="false" outlineLevel="0" collapsed="false">
      <c r="A11011" s="26" t="s">
        <v>26934</v>
      </c>
      <c r="B11011" s="27" t="s">
        <v>26935</v>
      </c>
      <c r="C11011" s="27" t="s">
        <v>370</v>
      </c>
      <c r="D11011" s="26"/>
      <c r="E11011" s="27"/>
      <c r="F11011" s="27"/>
      <c r="G11011" s="27" t="s">
        <v>11122</v>
      </c>
      <c r="H11011" s="27" t="s">
        <v>35</v>
      </c>
      <c r="I11011" s="27" t="s">
        <v>41</v>
      </c>
      <c r="J11011" s="28" t="s">
        <v>1047</v>
      </c>
      <c r="K11011" s="27" t="s">
        <v>45</v>
      </c>
      <c r="L11011" s="27"/>
    </row>
    <row r="11012" customFormat="false" ht="15" hidden="false" customHeight="false" outlineLevel="0" collapsed="false">
      <c r="A11012" s="26" t="s">
        <v>26936</v>
      </c>
      <c r="B11012" s="27" t="s">
        <v>26937</v>
      </c>
      <c r="C11012" s="27" t="s">
        <v>144</v>
      </c>
      <c r="D11012" s="26"/>
      <c r="E11012" s="27"/>
      <c r="F11012" s="27"/>
      <c r="G11012" s="27" t="s">
        <v>11122</v>
      </c>
      <c r="H11012" s="27" t="s">
        <v>35</v>
      </c>
      <c r="I11012" s="28" t="s">
        <v>46</v>
      </c>
      <c r="J11012" s="28" t="s">
        <v>1047</v>
      </c>
      <c r="K11012" s="27" t="s">
        <v>45</v>
      </c>
      <c r="L11012" s="27"/>
    </row>
    <row r="11013" customFormat="false" ht="15" hidden="false" customHeight="false" outlineLevel="0" collapsed="false">
      <c r="A11013" s="26" t="s">
        <v>26938</v>
      </c>
      <c r="B11013" s="27" t="s">
        <v>26939</v>
      </c>
      <c r="C11013" s="27" t="s">
        <v>144</v>
      </c>
      <c r="D11013" s="26"/>
      <c r="E11013" s="27"/>
      <c r="F11013" s="27"/>
      <c r="G11013" s="27" t="s">
        <v>11122</v>
      </c>
      <c r="H11013" s="27" t="s">
        <v>35</v>
      </c>
      <c r="I11013" s="27" t="s">
        <v>40</v>
      </c>
      <c r="J11013" s="28" t="s">
        <v>1047</v>
      </c>
      <c r="K11013" s="27" t="s">
        <v>45</v>
      </c>
      <c r="L11013" s="27"/>
    </row>
    <row r="11014" customFormat="false" ht="15" hidden="false" customHeight="false" outlineLevel="0" collapsed="false">
      <c r="A11014" s="26" t="s">
        <v>26940</v>
      </c>
      <c r="B11014" s="27" t="s">
        <v>26941</v>
      </c>
      <c r="C11014" s="27" t="s">
        <v>144</v>
      </c>
      <c r="D11014" s="26"/>
      <c r="E11014" s="27"/>
      <c r="F11014" s="27"/>
      <c r="G11014" s="27" t="s">
        <v>11122</v>
      </c>
      <c r="H11014" s="27" t="s">
        <v>35</v>
      </c>
      <c r="I11014" s="28" t="s">
        <v>46</v>
      </c>
      <c r="J11014" s="28" t="s">
        <v>1047</v>
      </c>
      <c r="K11014" s="27" t="s">
        <v>45</v>
      </c>
      <c r="L11014" s="27"/>
    </row>
    <row r="11015" customFormat="false" ht="15" hidden="false" customHeight="false" outlineLevel="0" collapsed="false">
      <c r="A11015" s="26" t="s">
        <v>26942</v>
      </c>
      <c r="B11015" s="27" t="s">
        <v>26943</v>
      </c>
      <c r="C11015" s="27" t="s">
        <v>370</v>
      </c>
      <c r="D11015" s="26"/>
      <c r="E11015" s="27"/>
      <c r="F11015" s="27"/>
      <c r="G11015" s="27" t="s">
        <v>11122</v>
      </c>
      <c r="H11015" s="27" t="s">
        <v>35</v>
      </c>
      <c r="I11015" s="28" t="s">
        <v>46</v>
      </c>
      <c r="J11015" s="28" t="s">
        <v>1047</v>
      </c>
      <c r="K11015" s="27" t="s">
        <v>45</v>
      </c>
      <c r="L11015" s="27"/>
    </row>
    <row r="11016" customFormat="false" ht="15" hidden="false" customHeight="false" outlineLevel="0" collapsed="false">
      <c r="A11016" s="26" t="s">
        <v>26944</v>
      </c>
      <c r="B11016" s="27" t="s">
        <v>26945</v>
      </c>
      <c r="C11016" s="27" t="s">
        <v>137</v>
      </c>
      <c r="D11016" s="26"/>
      <c r="E11016" s="27"/>
      <c r="F11016" s="27"/>
      <c r="G11016" s="27" t="s">
        <v>11122</v>
      </c>
      <c r="H11016" s="27" t="s">
        <v>35</v>
      </c>
      <c r="I11016" s="27" t="s">
        <v>37</v>
      </c>
      <c r="J11016" s="28" t="s">
        <v>1047</v>
      </c>
      <c r="K11016" s="27" t="s">
        <v>45</v>
      </c>
      <c r="L11016" s="27"/>
    </row>
    <row r="11017" customFormat="false" ht="15" hidden="false" customHeight="false" outlineLevel="0" collapsed="false">
      <c r="A11017" s="26" t="s">
        <v>26946</v>
      </c>
      <c r="B11017" s="27" t="s">
        <v>26947</v>
      </c>
      <c r="C11017" s="27" t="s">
        <v>370</v>
      </c>
      <c r="D11017" s="26"/>
      <c r="E11017" s="27"/>
      <c r="F11017" s="27"/>
      <c r="G11017" s="27" t="s">
        <v>11122</v>
      </c>
      <c r="H11017" s="27" t="s">
        <v>35</v>
      </c>
      <c r="I11017" s="27" t="s">
        <v>37</v>
      </c>
      <c r="J11017" s="28" t="s">
        <v>1047</v>
      </c>
      <c r="K11017" s="27" t="s">
        <v>45</v>
      </c>
      <c r="L11017" s="27"/>
    </row>
    <row r="11018" customFormat="false" ht="15" hidden="false" customHeight="false" outlineLevel="0" collapsed="false">
      <c r="A11018" s="26" t="s">
        <v>26948</v>
      </c>
      <c r="B11018" s="27" t="s">
        <v>26949</v>
      </c>
      <c r="C11018" s="27" t="s">
        <v>144</v>
      </c>
      <c r="D11018" s="26"/>
      <c r="E11018" s="27"/>
      <c r="F11018" s="27"/>
      <c r="G11018" s="27" t="s">
        <v>11122</v>
      </c>
      <c r="H11018" s="27" t="s">
        <v>35</v>
      </c>
      <c r="I11018" s="28" t="s">
        <v>46</v>
      </c>
      <c r="J11018" s="28" t="s">
        <v>1047</v>
      </c>
      <c r="K11018" s="27" t="s">
        <v>45</v>
      </c>
      <c r="L11018" s="27"/>
    </row>
    <row r="11019" customFormat="false" ht="15" hidden="false" customHeight="false" outlineLevel="0" collapsed="false">
      <c r="A11019" s="26" t="s">
        <v>26950</v>
      </c>
      <c r="B11019" s="27" t="s">
        <v>26951</v>
      </c>
      <c r="C11019" s="27" t="s">
        <v>370</v>
      </c>
      <c r="D11019" s="26"/>
      <c r="E11019" s="27"/>
      <c r="F11019" s="27"/>
      <c r="G11019" s="27" t="s">
        <v>11122</v>
      </c>
      <c r="H11019" s="27" t="s">
        <v>35</v>
      </c>
      <c r="I11019" s="28" t="s">
        <v>46</v>
      </c>
      <c r="J11019" s="28" t="s">
        <v>1047</v>
      </c>
      <c r="K11019" s="27" t="s">
        <v>45</v>
      </c>
      <c r="L11019" s="27"/>
    </row>
    <row r="11020" customFormat="false" ht="15" hidden="false" customHeight="false" outlineLevel="0" collapsed="false">
      <c r="A11020" s="26" t="s">
        <v>26952</v>
      </c>
      <c r="B11020" s="27" t="s">
        <v>26953</v>
      </c>
      <c r="C11020" s="27" t="s">
        <v>370</v>
      </c>
      <c r="D11020" s="26"/>
      <c r="E11020" s="27"/>
      <c r="F11020" s="27"/>
      <c r="G11020" s="27" t="s">
        <v>11122</v>
      </c>
      <c r="H11020" s="27" t="s">
        <v>35</v>
      </c>
      <c r="I11020" s="28" t="s">
        <v>46</v>
      </c>
      <c r="J11020" s="28" t="s">
        <v>1047</v>
      </c>
      <c r="K11020" s="27" t="s">
        <v>45</v>
      </c>
      <c r="L11020" s="27"/>
    </row>
    <row r="11021" customFormat="false" ht="15" hidden="false" customHeight="false" outlineLevel="0" collapsed="false">
      <c r="A11021" s="26" t="s">
        <v>26954</v>
      </c>
      <c r="B11021" s="27" t="s">
        <v>26955</v>
      </c>
      <c r="C11021" s="27" t="s">
        <v>100</v>
      </c>
      <c r="D11021" s="26"/>
      <c r="E11021" s="27"/>
      <c r="F11021" s="27"/>
      <c r="G11021" s="27" t="s">
        <v>11122</v>
      </c>
      <c r="H11021" s="27" t="s">
        <v>35</v>
      </c>
      <c r="I11021" s="27" t="s">
        <v>44</v>
      </c>
      <c r="J11021" s="28" t="s">
        <v>1907</v>
      </c>
      <c r="K11021" s="27" t="s">
        <v>44</v>
      </c>
      <c r="L11021" s="27"/>
    </row>
    <row r="11022" customFormat="false" ht="15" hidden="false" customHeight="false" outlineLevel="0" collapsed="false">
      <c r="A11022" s="26" t="s">
        <v>26956</v>
      </c>
      <c r="B11022" s="27" t="s">
        <v>26957</v>
      </c>
      <c r="C11022" s="27" t="s">
        <v>3043</v>
      </c>
      <c r="D11022" s="26"/>
      <c r="E11022" s="27"/>
      <c r="F11022" s="27"/>
      <c r="G11022" s="27" t="s">
        <v>11122</v>
      </c>
      <c r="H11022" s="27" t="s">
        <v>35</v>
      </c>
      <c r="I11022" s="27" t="s">
        <v>44</v>
      </c>
      <c r="J11022" s="28" t="s">
        <v>1907</v>
      </c>
      <c r="K11022" s="27" t="s">
        <v>44</v>
      </c>
      <c r="L11022" s="27"/>
    </row>
    <row r="11023" customFormat="false" ht="15" hidden="false" customHeight="false" outlineLevel="0" collapsed="false">
      <c r="A11023" s="26" t="s">
        <v>26958</v>
      </c>
      <c r="B11023" s="27" t="s">
        <v>26959</v>
      </c>
      <c r="C11023" s="27" t="s">
        <v>144</v>
      </c>
      <c r="D11023" s="26"/>
      <c r="E11023" s="27"/>
      <c r="F11023" s="27"/>
      <c r="G11023" s="27" t="s">
        <v>11122</v>
      </c>
      <c r="H11023" s="27" t="s">
        <v>35</v>
      </c>
      <c r="I11023" s="27" t="s">
        <v>42</v>
      </c>
      <c r="J11023" s="28" t="s">
        <v>26960</v>
      </c>
      <c r="K11023" s="27"/>
      <c r="L11023" s="27"/>
    </row>
    <row r="11024" customFormat="false" ht="15" hidden="false" customHeight="false" outlineLevel="0" collapsed="false">
      <c r="A11024" s="26" t="s">
        <v>26961</v>
      </c>
      <c r="B11024" s="27" t="s">
        <v>26962</v>
      </c>
      <c r="C11024" s="27" t="s">
        <v>26963</v>
      </c>
      <c r="D11024" s="26"/>
      <c r="E11024" s="27"/>
      <c r="F11024" s="27"/>
      <c r="G11024" s="27" t="s">
        <v>11122</v>
      </c>
      <c r="H11024" s="27" t="s">
        <v>35</v>
      </c>
      <c r="I11024" s="27" t="s">
        <v>44</v>
      </c>
      <c r="J11024" s="28" t="s">
        <v>1080</v>
      </c>
      <c r="K11024" s="27" t="s">
        <v>44</v>
      </c>
      <c r="L11024" s="27"/>
    </row>
    <row r="11025" customFormat="false" ht="15" hidden="false" customHeight="false" outlineLevel="0" collapsed="false">
      <c r="A11025" s="26" t="s">
        <v>26964</v>
      </c>
      <c r="B11025" s="27" t="s">
        <v>26965</v>
      </c>
      <c r="C11025" s="27" t="s">
        <v>1087</v>
      </c>
      <c r="D11025" s="26"/>
      <c r="E11025" s="27"/>
      <c r="F11025" s="27"/>
      <c r="G11025" s="27" t="s">
        <v>11122</v>
      </c>
      <c r="H11025" s="27" t="s">
        <v>35</v>
      </c>
      <c r="I11025" s="27" t="s">
        <v>44</v>
      </c>
      <c r="J11025" s="28" t="s">
        <v>1080</v>
      </c>
      <c r="K11025" s="27" t="s">
        <v>44</v>
      </c>
      <c r="L11025" s="27"/>
    </row>
    <row r="11026" customFormat="false" ht="15" hidden="false" customHeight="false" outlineLevel="0" collapsed="false">
      <c r="A11026" s="26" t="s">
        <v>26966</v>
      </c>
      <c r="B11026" s="27" t="s">
        <v>26967</v>
      </c>
      <c r="C11026" s="27" t="s">
        <v>137</v>
      </c>
      <c r="D11026" s="26"/>
      <c r="E11026" s="27"/>
      <c r="F11026" s="27"/>
      <c r="G11026" s="27" t="s">
        <v>11122</v>
      </c>
      <c r="H11026" s="27" t="s">
        <v>35</v>
      </c>
      <c r="I11026" s="27" t="s">
        <v>44</v>
      </c>
      <c r="J11026" s="28" t="s">
        <v>1080</v>
      </c>
      <c r="K11026" s="27" t="s">
        <v>44</v>
      </c>
      <c r="L11026" s="27"/>
    </row>
    <row r="11027" customFormat="false" ht="15" hidden="false" customHeight="false" outlineLevel="0" collapsed="false">
      <c r="A11027" s="26" t="s">
        <v>26968</v>
      </c>
      <c r="B11027" s="27" t="s">
        <v>26969</v>
      </c>
      <c r="C11027" s="27" t="s">
        <v>137</v>
      </c>
      <c r="D11027" s="26"/>
      <c r="E11027" s="27"/>
      <c r="F11027" s="27"/>
      <c r="G11027" s="27" t="s">
        <v>11122</v>
      </c>
      <c r="H11027" s="27" t="s">
        <v>35</v>
      </c>
      <c r="I11027" s="27" t="s">
        <v>44</v>
      </c>
      <c r="J11027" s="28" t="s">
        <v>1080</v>
      </c>
      <c r="K11027" s="27" t="s">
        <v>44</v>
      </c>
      <c r="L11027" s="27"/>
    </row>
    <row r="11028" customFormat="false" ht="15" hidden="false" customHeight="false" outlineLevel="0" collapsed="false">
      <c r="A11028" s="26" t="s">
        <v>26970</v>
      </c>
      <c r="B11028" s="27" t="s">
        <v>26971</v>
      </c>
      <c r="C11028" s="27" t="s">
        <v>3053</v>
      </c>
      <c r="D11028" s="26"/>
      <c r="E11028" s="27"/>
      <c r="F11028" s="27"/>
      <c r="G11028" s="27" t="s">
        <v>11122</v>
      </c>
      <c r="H11028" s="27" t="s">
        <v>35</v>
      </c>
      <c r="I11028" s="27" t="s">
        <v>42</v>
      </c>
      <c r="J11028" s="28" t="s">
        <v>1080</v>
      </c>
      <c r="K11028" s="27" t="s">
        <v>44</v>
      </c>
      <c r="L11028" s="27"/>
    </row>
    <row r="11029" customFormat="false" ht="15" hidden="false" customHeight="false" outlineLevel="0" collapsed="false">
      <c r="A11029" s="26" t="s">
        <v>26972</v>
      </c>
      <c r="B11029" s="27" t="s">
        <v>26973</v>
      </c>
      <c r="C11029" s="27" t="s">
        <v>144</v>
      </c>
      <c r="D11029" s="26"/>
      <c r="E11029" s="27"/>
      <c r="F11029" s="27"/>
      <c r="G11029" s="27" t="s">
        <v>11122</v>
      </c>
      <c r="H11029" s="27" t="s">
        <v>35</v>
      </c>
      <c r="I11029" s="27" t="s">
        <v>40</v>
      </c>
      <c r="J11029" s="28" t="s">
        <v>1080</v>
      </c>
      <c r="K11029" s="27" t="s">
        <v>44</v>
      </c>
      <c r="L11029" s="27"/>
    </row>
    <row r="11030" customFormat="false" ht="15" hidden="false" customHeight="false" outlineLevel="0" collapsed="false">
      <c r="A11030" s="26" t="s">
        <v>26974</v>
      </c>
      <c r="B11030" s="27" t="s">
        <v>26975</v>
      </c>
      <c r="C11030" s="27" t="s">
        <v>16906</v>
      </c>
      <c r="D11030" s="26"/>
      <c r="E11030" s="27"/>
      <c r="F11030" s="27"/>
      <c r="G11030" s="27" t="s">
        <v>11122</v>
      </c>
      <c r="H11030" s="27" t="s">
        <v>35</v>
      </c>
      <c r="I11030" s="27" t="s">
        <v>44</v>
      </c>
      <c r="J11030" s="28" t="s">
        <v>1080</v>
      </c>
      <c r="K11030" s="27" t="s">
        <v>44</v>
      </c>
      <c r="L11030" s="27"/>
    </row>
    <row r="11031" customFormat="false" ht="15" hidden="false" customHeight="false" outlineLevel="0" collapsed="false">
      <c r="A11031" s="26" t="s">
        <v>26976</v>
      </c>
      <c r="B11031" s="27" t="s">
        <v>26977</v>
      </c>
      <c r="C11031" s="27" t="s">
        <v>144</v>
      </c>
      <c r="D11031" s="26"/>
      <c r="E11031" s="27"/>
      <c r="F11031" s="27"/>
      <c r="G11031" s="27" t="s">
        <v>11122</v>
      </c>
      <c r="H11031" s="27" t="s">
        <v>35</v>
      </c>
      <c r="I11031" s="27" t="s">
        <v>37</v>
      </c>
      <c r="J11031" s="28" t="s">
        <v>1080</v>
      </c>
      <c r="K11031" s="27" t="s">
        <v>44</v>
      </c>
      <c r="L11031" s="27"/>
    </row>
    <row r="11032" customFormat="false" ht="15" hidden="false" customHeight="false" outlineLevel="0" collapsed="false">
      <c r="A11032" s="26" t="s">
        <v>26978</v>
      </c>
      <c r="B11032" s="27" t="s">
        <v>26979</v>
      </c>
      <c r="C11032" s="27" t="s">
        <v>380</v>
      </c>
      <c r="D11032" s="26"/>
      <c r="E11032" s="27"/>
      <c r="F11032" s="27"/>
      <c r="G11032" s="27" t="s">
        <v>11122</v>
      </c>
      <c r="H11032" s="27" t="s">
        <v>35</v>
      </c>
      <c r="I11032" s="27" t="s">
        <v>44</v>
      </c>
      <c r="J11032" s="28" t="s">
        <v>1080</v>
      </c>
      <c r="K11032" s="27" t="s">
        <v>44</v>
      </c>
      <c r="L11032" s="27"/>
    </row>
    <row r="11033" customFormat="false" ht="15" hidden="false" customHeight="false" outlineLevel="0" collapsed="false">
      <c r="A11033" s="26" t="s">
        <v>26980</v>
      </c>
      <c r="B11033" s="27" t="s">
        <v>26981</v>
      </c>
      <c r="C11033" s="27" t="s">
        <v>137</v>
      </c>
      <c r="D11033" s="26"/>
      <c r="E11033" s="27"/>
      <c r="F11033" s="27"/>
      <c r="G11033" s="27" t="s">
        <v>11122</v>
      </c>
      <c r="H11033" s="27" t="s">
        <v>35</v>
      </c>
      <c r="I11033" s="27" t="s">
        <v>39</v>
      </c>
      <c r="J11033" s="28" t="s">
        <v>1080</v>
      </c>
      <c r="K11033" s="27" t="s">
        <v>44</v>
      </c>
      <c r="L11033" s="27"/>
    </row>
    <row r="11034" customFormat="false" ht="15" hidden="false" customHeight="false" outlineLevel="0" collapsed="false">
      <c r="A11034" s="26" t="s">
        <v>26982</v>
      </c>
      <c r="B11034" s="27" t="s">
        <v>26983</v>
      </c>
      <c r="C11034" s="27" t="s">
        <v>3053</v>
      </c>
      <c r="D11034" s="26"/>
      <c r="E11034" s="27"/>
      <c r="F11034" s="27"/>
      <c r="G11034" s="27" t="s">
        <v>11122</v>
      </c>
      <c r="H11034" s="27" t="s">
        <v>35</v>
      </c>
      <c r="I11034" s="27" t="s">
        <v>64</v>
      </c>
      <c r="J11034" s="28" t="s">
        <v>1080</v>
      </c>
      <c r="K11034" s="27" t="s">
        <v>44</v>
      </c>
      <c r="L11034" s="27"/>
    </row>
    <row r="11035" customFormat="false" ht="15" hidden="false" customHeight="false" outlineLevel="0" collapsed="false">
      <c r="A11035" s="26" t="s">
        <v>26984</v>
      </c>
      <c r="B11035" s="27" t="s">
        <v>26985</v>
      </c>
      <c r="C11035" s="27" t="s">
        <v>144</v>
      </c>
      <c r="D11035" s="26"/>
      <c r="E11035" s="27"/>
      <c r="F11035" s="27"/>
      <c r="G11035" s="27" t="s">
        <v>11122</v>
      </c>
      <c r="H11035" s="27" t="s">
        <v>35</v>
      </c>
      <c r="I11035" s="27" t="s">
        <v>39</v>
      </c>
      <c r="J11035" s="28" t="s">
        <v>1080</v>
      </c>
      <c r="K11035" s="27" t="s">
        <v>44</v>
      </c>
      <c r="L11035" s="27"/>
    </row>
    <row r="11036" customFormat="false" ht="15" hidden="false" customHeight="false" outlineLevel="0" collapsed="false">
      <c r="A11036" s="26" t="s">
        <v>26986</v>
      </c>
      <c r="B11036" s="27" t="s">
        <v>26987</v>
      </c>
      <c r="C11036" s="27" t="s">
        <v>16906</v>
      </c>
      <c r="D11036" s="26"/>
      <c r="E11036" s="27"/>
      <c r="F11036" s="27"/>
      <c r="G11036" s="27" t="s">
        <v>11122</v>
      </c>
      <c r="H11036" s="27" t="s">
        <v>35</v>
      </c>
      <c r="I11036" s="27" t="s">
        <v>44</v>
      </c>
      <c r="J11036" s="28" t="s">
        <v>1080</v>
      </c>
      <c r="K11036" s="27" t="s">
        <v>44</v>
      </c>
      <c r="L11036" s="27"/>
    </row>
    <row r="11037" customFormat="false" ht="15" hidden="false" customHeight="false" outlineLevel="0" collapsed="false">
      <c r="A11037" s="26" t="s">
        <v>26988</v>
      </c>
      <c r="B11037" s="27" t="s">
        <v>26989</v>
      </c>
      <c r="C11037" s="27" t="s">
        <v>1087</v>
      </c>
      <c r="D11037" s="26"/>
      <c r="E11037" s="27"/>
      <c r="F11037" s="27"/>
      <c r="G11037" s="27" t="s">
        <v>11122</v>
      </c>
      <c r="H11037" s="27" t="s">
        <v>35</v>
      </c>
      <c r="I11037" s="27" t="s">
        <v>44</v>
      </c>
      <c r="J11037" s="28" t="s">
        <v>1080</v>
      </c>
      <c r="K11037" s="27" t="s">
        <v>44</v>
      </c>
      <c r="L11037" s="27"/>
    </row>
    <row r="11038" customFormat="false" ht="15" hidden="false" customHeight="false" outlineLevel="0" collapsed="false">
      <c r="A11038" s="26" t="s">
        <v>26990</v>
      </c>
      <c r="B11038" s="27" t="s">
        <v>26991</v>
      </c>
      <c r="C11038" s="27" t="s">
        <v>1087</v>
      </c>
      <c r="D11038" s="26"/>
      <c r="E11038" s="27"/>
      <c r="F11038" s="27"/>
      <c r="G11038" s="27" t="s">
        <v>11122</v>
      </c>
      <c r="H11038" s="27" t="s">
        <v>35</v>
      </c>
      <c r="I11038" s="27" t="s">
        <v>44</v>
      </c>
      <c r="J11038" s="28" t="s">
        <v>1080</v>
      </c>
      <c r="K11038" s="27" t="s">
        <v>44</v>
      </c>
      <c r="L11038" s="27"/>
    </row>
    <row r="11039" customFormat="false" ht="15" hidden="false" customHeight="false" outlineLevel="0" collapsed="false">
      <c r="A11039" s="26" t="s">
        <v>26992</v>
      </c>
      <c r="B11039" s="27" t="s">
        <v>26993</v>
      </c>
      <c r="C11039" s="27" t="s">
        <v>137</v>
      </c>
      <c r="D11039" s="26"/>
      <c r="E11039" s="27"/>
      <c r="F11039" s="27"/>
      <c r="G11039" s="27" t="s">
        <v>11122</v>
      </c>
      <c r="H11039" s="27" t="s">
        <v>35</v>
      </c>
      <c r="I11039" s="27" t="s">
        <v>44</v>
      </c>
      <c r="J11039" s="28" t="s">
        <v>1080</v>
      </c>
      <c r="K11039" s="27" t="s">
        <v>44</v>
      </c>
      <c r="L11039" s="27"/>
    </row>
    <row r="11040" customFormat="false" ht="15" hidden="false" customHeight="false" outlineLevel="0" collapsed="false">
      <c r="A11040" s="26" t="s">
        <v>26994</v>
      </c>
      <c r="B11040" s="27" t="s">
        <v>26995</v>
      </c>
      <c r="C11040" s="27" t="s">
        <v>137</v>
      </c>
      <c r="D11040" s="26"/>
      <c r="E11040" s="27"/>
      <c r="F11040" s="27"/>
      <c r="G11040" s="27" t="s">
        <v>11122</v>
      </c>
      <c r="H11040" s="27" t="s">
        <v>35</v>
      </c>
      <c r="I11040" s="27" t="s">
        <v>40</v>
      </c>
      <c r="J11040" s="28" t="s">
        <v>1080</v>
      </c>
      <c r="K11040" s="27" t="s">
        <v>44</v>
      </c>
      <c r="L11040" s="27"/>
    </row>
    <row r="11041" customFormat="false" ht="15" hidden="false" customHeight="false" outlineLevel="0" collapsed="false">
      <c r="A11041" s="26" t="s">
        <v>26996</v>
      </c>
      <c r="B11041" s="27" t="s">
        <v>26997</v>
      </c>
      <c r="C11041" s="27" t="s">
        <v>100</v>
      </c>
      <c r="D11041" s="26"/>
      <c r="E11041" s="27"/>
      <c r="F11041" s="27"/>
      <c r="G11041" s="27" t="s">
        <v>11122</v>
      </c>
      <c r="H11041" s="27" t="s">
        <v>35</v>
      </c>
      <c r="I11041" s="27" t="s">
        <v>64</v>
      </c>
      <c r="J11041" s="28" t="s">
        <v>1080</v>
      </c>
      <c r="K11041" s="27" t="s">
        <v>44</v>
      </c>
      <c r="L11041" s="27"/>
    </row>
    <row r="11042" customFormat="false" ht="15" hidden="false" customHeight="false" outlineLevel="0" collapsed="false">
      <c r="A11042" s="26" t="s">
        <v>26998</v>
      </c>
      <c r="B11042" s="27" t="s">
        <v>26999</v>
      </c>
      <c r="C11042" s="27" t="s">
        <v>1087</v>
      </c>
      <c r="D11042" s="26"/>
      <c r="E11042" s="27"/>
      <c r="F11042" s="27"/>
      <c r="G11042" s="27" t="s">
        <v>11122</v>
      </c>
      <c r="H11042" s="27" t="s">
        <v>35</v>
      </c>
      <c r="I11042" s="27" t="s">
        <v>44</v>
      </c>
      <c r="J11042" s="28" t="s">
        <v>1080</v>
      </c>
      <c r="K11042" s="27" t="s">
        <v>44</v>
      </c>
      <c r="L11042" s="27"/>
    </row>
    <row r="11043" customFormat="false" ht="15" hidden="false" customHeight="false" outlineLevel="0" collapsed="false">
      <c r="A11043" s="26" t="s">
        <v>27000</v>
      </c>
      <c r="B11043" s="27" t="s">
        <v>27001</v>
      </c>
      <c r="C11043" s="27" t="s">
        <v>1087</v>
      </c>
      <c r="D11043" s="26"/>
      <c r="E11043" s="27"/>
      <c r="F11043" s="27"/>
      <c r="G11043" s="27" t="s">
        <v>11122</v>
      </c>
      <c r="H11043" s="27" t="s">
        <v>35</v>
      </c>
      <c r="I11043" s="27" t="s">
        <v>1296</v>
      </c>
      <c r="J11043" s="28" t="s">
        <v>1080</v>
      </c>
      <c r="K11043" s="27" t="s">
        <v>44</v>
      </c>
      <c r="L11043" s="27"/>
    </row>
    <row r="11044" customFormat="false" ht="15" hidden="false" customHeight="false" outlineLevel="0" collapsed="false">
      <c r="A11044" s="26" t="s">
        <v>27002</v>
      </c>
      <c r="B11044" s="27" t="s">
        <v>27003</v>
      </c>
      <c r="C11044" s="27" t="s">
        <v>380</v>
      </c>
      <c r="D11044" s="26"/>
      <c r="E11044" s="27"/>
      <c r="F11044" s="27"/>
      <c r="G11044" s="27" t="s">
        <v>11122</v>
      </c>
      <c r="H11044" s="27" t="s">
        <v>35</v>
      </c>
      <c r="I11044" s="27" t="s">
        <v>44</v>
      </c>
      <c r="J11044" s="28" t="s">
        <v>1080</v>
      </c>
      <c r="K11044" s="27" t="s">
        <v>44</v>
      </c>
      <c r="L11044" s="27"/>
    </row>
    <row r="11045" customFormat="false" ht="15" hidden="false" customHeight="false" outlineLevel="0" collapsed="false">
      <c r="A11045" s="26" t="s">
        <v>27004</v>
      </c>
      <c r="B11045" s="27" t="s">
        <v>27005</v>
      </c>
      <c r="C11045" s="27" t="s">
        <v>144</v>
      </c>
      <c r="D11045" s="26"/>
      <c r="E11045" s="27"/>
      <c r="F11045" s="27"/>
      <c r="G11045" s="27" t="s">
        <v>11122</v>
      </c>
      <c r="H11045" s="27" t="s">
        <v>35</v>
      </c>
      <c r="I11045" s="27" t="s">
        <v>44</v>
      </c>
      <c r="J11045" s="28" t="s">
        <v>1080</v>
      </c>
      <c r="K11045" s="27" t="s">
        <v>44</v>
      </c>
      <c r="L11045" s="27"/>
    </row>
    <row r="11046" customFormat="false" ht="15" hidden="false" customHeight="false" outlineLevel="0" collapsed="false">
      <c r="A11046" s="26" t="s">
        <v>27006</v>
      </c>
      <c r="B11046" s="27" t="s">
        <v>27007</v>
      </c>
      <c r="C11046" s="27" t="s">
        <v>16906</v>
      </c>
      <c r="D11046" s="26"/>
      <c r="E11046" s="27"/>
      <c r="F11046" s="27"/>
      <c r="G11046" s="27" t="s">
        <v>11122</v>
      </c>
      <c r="H11046" s="27" t="s">
        <v>35</v>
      </c>
      <c r="I11046" s="27" t="s">
        <v>44</v>
      </c>
      <c r="J11046" s="28" t="s">
        <v>1080</v>
      </c>
      <c r="K11046" s="27" t="s">
        <v>44</v>
      </c>
      <c r="L11046" s="27"/>
    </row>
    <row r="11047" customFormat="false" ht="15" hidden="false" customHeight="false" outlineLevel="0" collapsed="false">
      <c r="A11047" s="26" t="s">
        <v>27008</v>
      </c>
      <c r="B11047" s="27" t="s">
        <v>27009</v>
      </c>
      <c r="C11047" s="27" t="s">
        <v>1187</v>
      </c>
      <c r="D11047" s="26"/>
      <c r="E11047" s="27"/>
      <c r="F11047" s="27"/>
      <c r="G11047" s="27" t="s">
        <v>11122</v>
      </c>
      <c r="H11047" s="27" t="s">
        <v>35</v>
      </c>
      <c r="I11047" s="27" t="s">
        <v>47</v>
      </c>
      <c r="J11047" s="28" t="s">
        <v>1080</v>
      </c>
      <c r="K11047" s="27" t="s">
        <v>44</v>
      </c>
      <c r="L11047" s="27"/>
    </row>
    <row r="11048" customFormat="false" ht="15" hidden="false" customHeight="false" outlineLevel="0" collapsed="false">
      <c r="A11048" s="26" t="s">
        <v>27010</v>
      </c>
      <c r="B11048" s="27" t="s">
        <v>27011</v>
      </c>
      <c r="C11048" s="27" t="s">
        <v>100</v>
      </c>
      <c r="D11048" s="26"/>
      <c r="E11048" s="27"/>
      <c r="F11048" s="27"/>
      <c r="G11048" s="27" t="s">
        <v>11122</v>
      </c>
      <c r="H11048" s="27" t="s">
        <v>35</v>
      </c>
      <c r="I11048" s="27" t="s">
        <v>44</v>
      </c>
      <c r="J11048" s="28" t="s">
        <v>1080</v>
      </c>
      <c r="K11048" s="27" t="s">
        <v>44</v>
      </c>
      <c r="L11048" s="27"/>
    </row>
    <row r="11049" customFormat="false" ht="15" hidden="false" customHeight="false" outlineLevel="0" collapsed="false">
      <c r="A11049" s="26" t="s">
        <v>27012</v>
      </c>
      <c r="B11049" s="27" t="s">
        <v>27013</v>
      </c>
      <c r="C11049" s="27" t="s">
        <v>380</v>
      </c>
      <c r="D11049" s="26"/>
      <c r="E11049" s="27"/>
      <c r="F11049" s="27"/>
      <c r="G11049" s="27" t="s">
        <v>11122</v>
      </c>
      <c r="H11049" s="27" t="s">
        <v>35</v>
      </c>
      <c r="I11049" s="27" t="s">
        <v>44</v>
      </c>
      <c r="J11049" s="28" t="s">
        <v>1080</v>
      </c>
      <c r="K11049" s="27" t="s">
        <v>44</v>
      </c>
      <c r="L11049" s="27"/>
    </row>
    <row r="11050" customFormat="false" ht="15" hidden="false" customHeight="false" outlineLevel="0" collapsed="false">
      <c r="A11050" s="26" t="s">
        <v>27014</v>
      </c>
      <c r="B11050" s="27" t="s">
        <v>27015</v>
      </c>
      <c r="C11050" s="27" t="s">
        <v>16906</v>
      </c>
      <c r="D11050" s="26"/>
      <c r="E11050" s="27"/>
      <c r="F11050" s="27"/>
      <c r="G11050" s="27" t="s">
        <v>11122</v>
      </c>
      <c r="H11050" s="27" t="s">
        <v>35</v>
      </c>
      <c r="I11050" s="27" t="s">
        <v>44</v>
      </c>
      <c r="J11050" s="28" t="s">
        <v>1080</v>
      </c>
      <c r="K11050" s="27" t="s">
        <v>44</v>
      </c>
      <c r="L11050" s="27"/>
    </row>
    <row r="11051" customFormat="false" ht="15" hidden="false" customHeight="false" outlineLevel="0" collapsed="false">
      <c r="A11051" s="26" t="s">
        <v>27016</v>
      </c>
      <c r="B11051" s="27" t="s">
        <v>27017</v>
      </c>
      <c r="C11051" s="27" t="s">
        <v>100</v>
      </c>
      <c r="D11051" s="26"/>
      <c r="E11051" s="27"/>
      <c r="F11051" s="27"/>
      <c r="G11051" s="27" t="s">
        <v>11122</v>
      </c>
      <c r="H11051" s="27" t="s">
        <v>35</v>
      </c>
      <c r="I11051" s="27" t="s">
        <v>44</v>
      </c>
      <c r="J11051" s="28" t="s">
        <v>1080</v>
      </c>
      <c r="K11051" s="27" t="s">
        <v>44</v>
      </c>
      <c r="L11051" s="27"/>
    </row>
    <row r="11052" customFormat="false" ht="15" hidden="false" customHeight="false" outlineLevel="0" collapsed="false">
      <c r="A11052" s="26" t="s">
        <v>27018</v>
      </c>
      <c r="B11052" s="27" t="s">
        <v>27019</v>
      </c>
      <c r="C11052" s="27" t="s">
        <v>100</v>
      </c>
      <c r="D11052" s="26"/>
      <c r="E11052" s="27"/>
      <c r="F11052" s="27"/>
      <c r="G11052" s="27" t="s">
        <v>11122</v>
      </c>
      <c r="H11052" s="27" t="s">
        <v>35</v>
      </c>
      <c r="I11052" s="27" t="s">
        <v>42</v>
      </c>
      <c r="J11052" s="28" t="s">
        <v>1080</v>
      </c>
      <c r="K11052" s="27" t="s">
        <v>44</v>
      </c>
      <c r="L11052" s="27"/>
    </row>
    <row r="11053" customFormat="false" ht="15" hidden="false" customHeight="false" outlineLevel="0" collapsed="false">
      <c r="A11053" s="26" t="s">
        <v>27020</v>
      </c>
      <c r="B11053" s="27" t="s">
        <v>27021</v>
      </c>
      <c r="C11053" s="27" t="s">
        <v>1087</v>
      </c>
      <c r="D11053" s="26"/>
      <c r="E11053" s="27"/>
      <c r="F11053" s="27"/>
      <c r="G11053" s="27" t="s">
        <v>11122</v>
      </c>
      <c r="H11053" s="27" t="s">
        <v>35</v>
      </c>
      <c r="I11053" s="27" t="s">
        <v>41</v>
      </c>
      <c r="J11053" s="28" t="s">
        <v>1080</v>
      </c>
      <c r="K11053" s="27" t="s">
        <v>44</v>
      </c>
      <c r="L11053" s="27"/>
    </row>
    <row r="11054" customFormat="false" ht="15" hidden="false" customHeight="false" outlineLevel="0" collapsed="false">
      <c r="A11054" s="26" t="s">
        <v>27022</v>
      </c>
      <c r="B11054" s="27" t="s">
        <v>27023</v>
      </c>
      <c r="C11054" s="27" t="s">
        <v>100</v>
      </c>
      <c r="D11054" s="26"/>
      <c r="E11054" s="27"/>
      <c r="F11054" s="27"/>
      <c r="G11054" s="27" t="s">
        <v>11122</v>
      </c>
      <c r="H11054" s="27" t="s">
        <v>35</v>
      </c>
      <c r="I11054" s="27" t="s">
        <v>44</v>
      </c>
      <c r="J11054" s="28" t="s">
        <v>1080</v>
      </c>
      <c r="K11054" s="27" t="s">
        <v>44</v>
      </c>
      <c r="L11054" s="27"/>
    </row>
    <row r="11055" customFormat="false" ht="15" hidden="false" customHeight="false" outlineLevel="0" collapsed="false">
      <c r="A11055" s="26" t="s">
        <v>27024</v>
      </c>
      <c r="B11055" s="27" t="s">
        <v>27025</v>
      </c>
      <c r="C11055" s="27" t="s">
        <v>100</v>
      </c>
      <c r="D11055" s="26"/>
      <c r="E11055" s="27"/>
      <c r="F11055" s="27"/>
      <c r="G11055" s="27" t="s">
        <v>11122</v>
      </c>
      <c r="H11055" s="27" t="s">
        <v>35</v>
      </c>
      <c r="I11055" s="27" t="s">
        <v>44</v>
      </c>
      <c r="J11055" s="28" t="s">
        <v>1080</v>
      </c>
      <c r="K11055" s="27" t="s">
        <v>44</v>
      </c>
      <c r="L11055" s="27"/>
    </row>
    <row r="11056" customFormat="false" ht="15" hidden="false" customHeight="false" outlineLevel="0" collapsed="false">
      <c r="A11056" s="26" t="s">
        <v>27026</v>
      </c>
      <c r="B11056" s="27" t="s">
        <v>27027</v>
      </c>
      <c r="C11056" s="27" t="s">
        <v>100</v>
      </c>
      <c r="D11056" s="26"/>
      <c r="E11056" s="27"/>
      <c r="F11056" s="27"/>
      <c r="G11056" s="27" t="s">
        <v>11122</v>
      </c>
      <c r="H11056" s="27" t="s">
        <v>35</v>
      </c>
      <c r="I11056" s="27" t="s">
        <v>64</v>
      </c>
      <c r="J11056" s="28" t="s">
        <v>1080</v>
      </c>
      <c r="K11056" s="27" t="s">
        <v>44</v>
      </c>
      <c r="L11056" s="27"/>
    </row>
    <row r="11057" customFormat="false" ht="15" hidden="false" customHeight="false" outlineLevel="0" collapsed="false">
      <c r="A11057" s="26" t="s">
        <v>27028</v>
      </c>
      <c r="B11057" s="27" t="s">
        <v>27029</v>
      </c>
      <c r="C11057" s="27" t="s">
        <v>144</v>
      </c>
      <c r="D11057" s="26"/>
      <c r="E11057" s="27"/>
      <c r="F11057" s="27"/>
      <c r="G11057" s="27" t="s">
        <v>11122</v>
      </c>
      <c r="H11057" s="27" t="s">
        <v>35</v>
      </c>
      <c r="I11057" s="27" t="s">
        <v>37</v>
      </c>
      <c r="J11057" s="28" t="s">
        <v>1080</v>
      </c>
      <c r="K11057" s="27" t="s">
        <v>44</v>
      </c>
      <c r="L11057" s="27"/>
    </row>
    <row r="11058" customFormat="false" ht="15" hidden="false" customHeight="false" outlineLevel="0" collapsed="false">
      <c r="A11058" s="26" t="s">
        <v>27030</v>
      </c>
      <c r="B11058" s="27" t="s">
        <v>27031</v>
      </c>
      <c r="C11058" s="27" t="s">
        <v>144</v>
      </c>
      <c r="D11058" s="26"/>
      <c r="E11058" s="27"/>
      <c r="F11058" s="27"/>
      <c r="G11058" s="27" t="s">
        <v>11122</v>
      </c>
      <c r="H11058" s="27" t="s">
        <v>35</v>
      </c>
      <c r="I11058" s="27" t="s">
        <v>39</v>
      </c>
      <c r="J11058" s="28" t="s">
        <v>1080</v>
      </c>
      <c r="K11058" s="27" t="s">
        <v>44</v>
      </c>
      <c r="L11058" s="27"/>
    </row>
    <row r="11059" customFormat="false" ht="15" hidden="false" customHeight="false" outlineLevel="0" collapsed="false">
      <c r="A11059" s="26" t="s">
        <v>27032</v>
      </c>
      <c r="B11059" s="27" t="s">
        <v>27033</v>
      </c>
      <c r="C11059" s="27" t="s">
        <v>16906</v>
      </c>
      <c r="D11059" s="26"/>
      <c r="E11059" s="27"/>
      <c r="F11059" s="27"/>
      <c r="G11059" s="27" t="s">
        <v>11122</v>
      </c>
      <c r="H11059" s="27" t="s">
        <v>35</v>
      </c>
      <c r="I11059" s="27" t="s">
        <v>44</v>
      </c>
      <c r="J11059" s="28" t="s">
        <v>1080</v>
      </c>
      <c r="K11059" s="27" t="s">
        <v>44</v>
      </c>
      <c r="L11059" s="27"/>
    </row>
    <row r="11060" customFormat="false" ht="15" hidden="false" customHeight="false" outlineLevel="0" collapsed="false">
      <c r="A11060" s="26" t="s">
        <v>27034</v>
      </c>
      <c r="B11060" s="27" t="s">
        <v>27035</v>
      </c>
      <c r="C11060" s="27" t="s">
        <v>144</v>
      </c>
      <c r="D11060" s="26"/>
      <c r="E11060" s="27"/>
      <c r="F11060" s="27"/>
      <c r="G11060" s="27" t="s">
        <v>11122</v>
      </c>
      <c r="H11060" s="27" t="s">
        <v>35</v>
      </c>
      <c r="I11060" s="27" t="s">
        <v>152</v>
      </c>
      <c r="J11060" s="28" t="s">
        <v>1080</v>
      </c>
      <c r="K11060" s="27" t="s">
        <v>44</v>
      </c>
      <c r="L11060" s="27"/>
    </row>
    <row r="11061" customFormat="false" ht="15" hidden="false" customHeight="false" outlineLevel="0" collapsed="false">
      <c r="A11061" s="26" t="s">
        <v>27036</v>
      </c>
      <c r="B11061" s="27" t="s">
        <v>27037</v>
      </c>
      <c r="C11061" s="27" t="s">
        <v>3053</v>
      </c>
      <c r="D11061" s="26"/>
      <c r="E11061" s="27"/>
      <c r="F11061" s="27"/>
      <c r="G11061" s="27" t="s">
        <v>11122</v>
      </c>
      <c r="H11061" s="27" t="s">
        <v>35</v>
      </c>
      <c r="I11061" s="27" t="s">
        <v>47</v>
      </c>
      <c r="J11061" s="28" t="s">
        <v>1080</v>
      </c>
      <c r="K11061" s="27" t="s">
        <v>44</v>
      </c>
      <c r="L11061" s="27"/>
    </row>
    <row r="11062" customFormat="false" ht="15" hidden="false" customHeight="false" outlineLevel="0" collapsed="false">
      <c r="A11062" s="26" t="s">
        <v>27038</v>
      </c>
      <c r="B11062" s="27" t="s">
        <v>27039</v>
      </c>
      <c r="C11062" s="27" t="s">
        <v>144</v>
      </c>
      <c r="D11062" s="26"/>
      <c r="E11062" s="27"/>
      <c r="F11062" s="27"/>
      <c r="G11062" s="27" t="s">
        <v>11122</v>
      </c>
      <c r="H11062" s="27" t="s">
        <v>35</v>
      </c>
      <c r="I11062" s="27" t="s">
        <v>44</v>
      </c>
      <c r="J11062" s="28" t="s">
        <v>1080</v>
      </c>
      <c r="K11062" s="27" t="s">
        <v>44</v>
      </c>
      <c r="L11062" s="27"/>
    </row>
    <row r="11063" customFormat="false" ht="15" hidden="false" customHeight="false" outlineLevel="0" collapsed="false">
      <c r="A11063" s="26" t="s">
        <v>27040</v>
      </c>
      <c r="B11063" s="27" t="s">
        <v>27041</v>
      </c>
      <c r="C11063" s="27" t="s">
        <v>1087</v>
      </c>
      <c r="D11063" s="26"/>
      <c r="E11063" s="27"/>
      <c r="F11063" s="27"/>
      <c r="G11063" s="27" t="s">
        <v>11122</v>
      </c>
      <c r="H11063" s="27" t="s">
        <v>35</v>
      </c>
      <c r="I11063" s="27" t="s">
        <v>44</v>
      </c>
      <c r="J11063" s="28" t="s">
        <v>1080</v>
      </c>
      <c r="K11063" s="27" t="s">
        <v>44</v>
      </c>
      <c r="L11063" s="27"/>
    </row>
    <row r="11064" customFormat="false" ht="15" hidden="false" customHeight="false" outlineLevel="0" collapsed="false">
      <c r="A11064" s="26" t="s">
        <v>27042</v>
      </c>
      <c r="B11064" s="27" t="s">
        <v>27043</v>
      </c>
      <c r="C11064" s="27" t="s">
        <v>1087</v>
      </c>
      <c r="D11064" s="26"/>
      <c r="E11064" s="27"/>
      <c r="F11064" s="27"/>
      <c r="G11064" s="27" t="s">
        <v>11122</v>
      </c>
      <c r="H11064" s="27" t="s">
        <v>35</v>
      </c>
      <c r="I11064" s="27" t="s">
        <v>44</v>
      </c>
      <c r="J11064" s="28" t="s">
        <v>1080</v>
      </c>
      <c r="K11064" s="27" t="s">
        <v>44</v>
      </c>
      <c r="L11064" s="27"/>
    </row>
    <row r="11065" customFormat="false" ht="15" hidden="false" customHeight="false" outlineLevel="0" collapsed="false">
      <c r="A11065" s="26" t="s">
        <v>27044</v>
      </c>
      <c r="B11065" s="27" t="s">
        <v>27045</v>
      </c>
      <c r="C11065" s="27" t="s">
        <v>1087</v>
      </c>
      <c r="D11065" s="26"/>
      <c r="E11065" s="27"/>
      <c r="F11065" s="27"/>
      <c r="G11065" s="27" t="s">
        <v>11122</v>
      </c>
      <c r="H11065" s="27" t="s">
        <v>35</v>
      </c>
      <c r="I11065" s="27" t="s">
        <v>44</v>
      </c>
      <c r="J11065" s="28" t="s">
        <v>1080</v>
      </c>
      <c r="K11065" s="27" t="s">
        <v>44</v>
      </c>
      <c r="L11065" s="27"/>
    </row>
    <row r="11066" customFormat="false" ht="15" hidden="false" customHeight="false" outlineLevel="0" collapsed="false">
      <c r="A11066" s="26" t="s">
        <v>27046</v>
      </c>
      <c r="B11066" s="27" t="s">
        <v>27047</v>
      </c>
      <c r="C11066" s="27" t="s">
        <v>1087</v>
      </c>
      <c r="D11066" s="26"/>
      <c r="E11066" s="27"/>
      <c r="F11066" s="27"/>
      <c r="G11066" s="27" t="s">
        <v>11122</v>
      </c>
      <c r="H11066" s="27" t="s">
        <v>35</v>
      </c>
      <c r="I11066" s="27" t="s">
        <v>44</v>
      </c>
      <c r="J11066" s="28" t="s">
        <v>1080</v>
      </c>
      <c r="K11066" s="27" t="s">
        <v>44</v>
      </c>
      <c r="L11066" s="27"/>
    </row>
    <row r="11067" customFormat="false" ht="15" hidden="false" customHeight="false" outlineLevel="0" collapsed="false">
      <c r="A11067" s="26" t="s">
        <v>27048</v>
      </c>
      <c r="B11067" s="27" t="s">
        <v>27049</v>
      </c>
      <c r="C11067" s="27" t="s">
        <v>137</v>
      </c>
      <c r="D11067" s="26"/>
      <c r="E11067" s="27"/>
      <c r="F11067" s="27"/>
      <c r="G11067" s="27" t="s">
        <v>11122</v>
      </c>
      <c r="H11067" s="27" t="s">
        <v>35</v>
      </c>
      <c r="I11067" s="27" t="s">
        <v>44</v>
      </c>
      <c r="J11067" s="28" t="s">
        <v>1080</v>
      </c>
      <c r="K11067" s="27" t="s">
        <v>44</v>
      </c>
      <c r="L11067" s="27"/>
    </row>
    <row r="11068" customFormat="false" ht="15" hidden="false" customHeight="false" outlineLevel="0" collapsed="false">
      <c r="A11068" s="26" t="s">
        <v>27050</v>
      </c>
      <c r="B11068" s="27" t="s">
        <v>27051</v>
      </c>
      <c r="C11068" s="27" t="s">
        <v>137</v>
      </c>
      <c r="D11068" s="26"/>
      <c r="E11068" s="27"/>
      <c r="F11068" s="27"/>
      <c r="G11068" s="27" t="s">
        <v>11122</v>
      </c>
      <c r="H11068" s="27" t="s">
        <v>35</v>
      </c>
      <c r="I11068" s="27" t="s">
        <v>42</v>
      </c>
      <c r="J11068" s="28" t="s">
        <v>1080</v>
      </c>
      <c r="K11068" s="27" t="s">
        <v>44</v>
      </c>
      <c r="L11068" s="27"/>
    </row>
    <row r="11069" customFormat="false" ht="15" hidden="false" customHeight="false" outlineLevel="0" collapsed="false">
      <c r="A11069" s="26" t="s">
        <v>27052</v>
      </c>
      <c r="B11069" s="27" t="s">
        <v>27053</v>
      </c>
      <c r="C11069" s="27" t="s">
        <v>16906</v>
      </c>
      <c r="D11069" s="26"/>
      <c r="E11069" s="27"/>
      <c r="F11069" s="27"/>
      <c r="G11069" s="27" t="s">
        <v>11122</v>
      </c>
      <c r="H11069" s="27" t="s">
        <v>35</v>
      </c>
      <c r="I11069" s="27" t="s">
        <v>44</v>
      </c>
      <c r="J11069" s="28" t="s">
        <v>1080</v>
      </c>
      <c r="K11069" s="27" t="s">
        <v>44</v>
      </c>
      <c r="L11069" s="27"/>
    </row>
    <row r="11070" customFormat="false" ht="15" hidden="false" customHeight="false" outlineLevel="0" collapsed="false">
      <c r="A11070" s="26" t="s">
        <v>27054</v>
      </c>
      <c r="B11070" s="27" t="s">
        <v>27055</v>
      </c>
      <c r="C11070" s="27" t="s">
        <v>1087</v>
      </c>
      <c r="D11070" s="26"/>
      <c r="E11070" s="27"/>
      <c r="F11070" s="27"/>
      <c r="G11070" s="27" t="s">
        <v>11122</v>
      </c>
      <c r="H11070" s="27" t="s">
        <v>35</v>
      </c>
      <c r="I11070" s="27" t="s">
        <v>44</v>
      </c>
      <c r="J11070" s="28" t="s">
        <v>1080</v>
      </c>
      <c r="K11070" s="27" t="s">
        <v>44</v>
      </c>
      <c r="L11070" s="27"/>
    </row>
    <row r="11071" customFormat="false" ht="15" hidden="false" customHeight="false" outlineLevel="0" collapsed="false">
      <c r="A11071" s="26" t="s">
        <v>27056</v>
      </c>
      <c r="B11071" s="27" t="s">
        <v>27057</v>
      </c>
      <c r="C11071" s="27" t="s">
        <v>1087</v>
      </c>
      <c r="D11071" s="26"/>
      <c r="E11071" s="27"/>
      <c r="F11071" s="27"/>
      <c r="G11071" s="27" t="s">
        <v>11122</v>
      </c>
      <c r="H11071" s="27" t="s">
        <v>35</v>
      </c>
      <c r="I11071" s="27" t="s">
        <v>44</v>
      </c>
      <c r="J11071" s="28" t="s">
        <v>1080</v>
      </c>
      <c r="K11071" s="27" t="s">
        <v>44</v>
      </c>
      <c r="L11071" s="27"/>
    </row>
    <row r="11072" customFormat="false" ht="15" hidden="false" customHeight="false" outlineLevel="0" collapsed="false">
      <c r="A11072" s="26" t="s">
        <v>27058</v>
      </c>
      <c r="B11072" s="27" t="s">
        <v>27059</v>
      </c>
      <c r="C11072" s="27" t="s">
        <v>137</v>
      </c>
      <c r="D11072" s="26"/>
      <c r="E11072" s="27"/>
      <c r="F11072" s="27"/>
      <c r="G11072" s="27" t="s">
        <v>11122</v>
      </c>
      <c r="H11072" s="27" t="s">
        <v>35</v>
      </c>
      <c r="I11072" s="27" t="s">
        <v>44</v>
      </c>
      <c r="J11072" s="28" t="s">
        <v>1080</v>
      </c>
      <c r="K11072" s="27" t="s">
        <v>44</v>
      </c>
      <c r="L11072" s="27"/>
    </row>
    <row r="11073" customFormat="false" ht="15" hidden="false" customHeight="false" outlineLevel="0" collapsed="false">
      <c r="A11073" s="26" t="s">
        <v>27060</v>
      </c>
      <c r="B11073" s="27" t="s">
        <v>27061</v>
      </c>
      <c r="C11073" s="27" t="s">
        <v>1087</v>
      </c>
      <c r="D11073" s="26"/>
      <c r="E11073" s="27"/>
      <c r="F11073" s="27"/>
      <c r="G11073" s="27" t="s">
        <v>11122</v>
      </c>
      <c r="H11073" s="27" t="s">
        <v>35</v>
      </c>
      <c r="I11073" s="27" t="s">
        <v>44</v>
      </c>
      <c r="J11073" s="28" t="s">
        <v>1080</v>
      </c>
      <c r="K11073" s="27" t="s">
        <v>44</v>
      </c>
      <c r="L11073" s="27"/>
    </row>
    <row r="11074" customFormat="false" ht="15" hidden="false" customHeight="false" outlineLevel="0" collapsed="false">
      <c r="A11074" s="26" t="s">
        <v>27062</v>
      </c>
      <c r="B11074" s="27" t="s">
        <v>27063</v>
      </c>
      <c r="C11074" s="27" t="s">
        <v>144</v>
      </c>
      <c r="D11074" s="26"/>
      <c r="E11074" s="27"/>
      <c r="F11074" s="27"/>
      <c r="G11074" s="27" t="s">
        <v>11122</v>
      </c>
      <c r="H11074" s="27" t="s">
        <v>35</v>
      </c>
      <c r="I11074" s="27" t="s">
        <v>44</v>
      </c>
      <c r="J11074" s="28" t="s">
        <v>1080</v>
      </c>
      <c r="K11074" s="27" t="s">
        <v>44</v>
      </c>
      <c r="L11074" s="27"/>
    </row>
    <row r="11075" customFormat="false" ht="15" hidden="false" customHeight="false" outlineLevel="0" collapsed="false">
      <c r="A11075" s="26" t="s">
        <v>27064</v>
      </c>
      <c r="B11075" s="27" t="s">
        <v>27065</v>
      </c>
      <c r="C11075" s="27" t="s">
        <v>144</v>
      </c>
      <c r="D11075" s="26"/>
      <c r="E11075" s="27"/>
      <c r="F11075" s="27"/>
      <c r="G11075" s="27" t="s">
        <v>11122</v>
      </c>
      <c r="H11075" s="27" t="s">
        <v>35</v>
      </c>
      <c r="I11075" s="27" t="s">
        <v>44</v>
      </c>
      <c r="J11075" s="28" t="s">
        <v>1080</v>
      </c>
      <c r="K11075" s="27" t="s">
        <v>44</v>
      </c>
      <c r="L11075" s="27"/>
    </row>
    <row r="11076" customFormat="false" ht="15" hidden="false" customHeight="false" outlineLevel="0" collapsed="false">
      <c r="A11076" s="26" t="s">
        <v>27066</v>
      </c>
      <c r="B11076" s="27" t="s">
        <v>27067</v>
      </c>
      <c r="C11076" s="27" t="s">
        <v>144</v>
      </c>
      <c r="D11076" s="26"/>
      <c r="E11076" s="27"/>
      <c r="F11076" s="27"/>
      <c r="G11076" s="27" t="s">
        <v>11122</v>
      </c>
      <c r="H11076" s="27" t="s">
        <v>35</v>
      </c>
      <c r="I11076" s="27" t="s">
        <v>44</v>
      </c>
      <c r="J11076" s="28" t="s">
        <v>1080</v>
      </c>
      <c r="K11076" s="27" t="s">
        <v>44</v>
      </c>
      <c r="L11076" s="27"/>
    </row>
    <row r="11077" customFormat="false" ht="15" hidden="false" customHeight="false" outlineLevel="0" collapsed="false">
      <c r="A11077" s="26" t="s">
        <v>27068</v>
      </c>
      <c r="B11077" s="27" t="s">
        <v>27069</v>
      </c>
      <c r="C11077" s="27" t="s">
        <v>144</v>
      </c>
      <c r="D11077" s="26"/>
      <c r="E11077" s="27"/>
      <c r="F11077" s="27"/>
      <c r="G11077" s="27" t="s">
        <v>11122</v>
      </c>
      <c r="H11077" s="27" t="s">
        <v>35</v>
      </c>
      <c r="I11077" s="27" t="s">
        <v>44</v>
      </c>
      <c r="J11077" s="28" t="s">
        <v>1080</v>
      </c>
      <c r="K11077" s="27" t="s">
        <v>44</v>
      </c>
      <c r="L11077" s="27"/>
    </row>
    <row r="11078" customFormat="false" ht="15" hidden="false" customHeight="false" outlineLevel="0" collapsed="false">
      <c r="A11078" s="26" t="s">
        <v>27070</v>
      </c>
      <c r="B11078" s="27" t="s">
        <v>27071</v>
      </c>
      <c r="C11078" s="27" t="s">
        <v>1087</v>
      </c>
      <c r="D11078" s="26"/>
      <c r="E11078" s="27"/>
      <c r="F11078" s="27"/>
      <c r="G11078" s="27" t="s">
        <v>11122</v>
      </c>
      <c r="H11078" s="27" t="s">
        <v>35</v>
      </c>
      <c r="I11078" s="27" t="s">
        <v>44</v>
      </c>
      <c r="J11078" s="28" t="s">
        <v>1080</v>
      </c>
      <c r="K11078" s="27" t="s">
        <v>44</v>
      </c>
      <c r="L11078" s="27"/>
    </row>
    <row r="11079" customFormat="false" ht="15" hidden="false" customHeight="false" outlineLevel="0" collapsed="false">
      <c r="A11079" s="26" t="s">
        <v>27072</v>
      </c>
      <c r="B11079" s="27" t="s">
        <v>27073</v>
      </c>
      <c r="C11079" s="27" t="s">
        <v>144</v>
      </c>
      <c r="D11079" s="26"/>
      <c r="E11079" s="27"/>
      <c r="F11079" s="27"/>
      <c r="G11079" s="27" t="s">
        <v>11122</v>
      </c>
      <c r="H11079" s="27" t="s">
        <v>35</v>
      </c>
      <c r="I11079" s="27" t="s">
        <v>41</v>
      </c>
      <c r="J11079" s="28" t="s">
        <v>9707</v>
      </c>
      <c r="K11079" s="28" t="s">
        <v>46</v>
      </c>
      <c r="L11079" s="27"/>
    </row>
    <row r="11080" customFormat="false" ht="15" hidden="false" customHeight="false" outlineLevel="0" collapsed="false">
      <c r="A11080" s="26" t="s">
        <v>27074</v>
      </c>
      <c r="B11080" s="27" t="s">
        <v>27075</v>
      </c>
      <c r="C11080" s="27" t="s">
        <v>144</v>
      </c>
      <c r="D11080" s="26"/>
      <c r="E11080" s="27"/>
      <c r="F11080" s="27"/>
      <c r="G11080" s="27" t="s">
        <v>11122</v>
      </c>
      <c r="H11080" s="27" t="s">
        <v>35</v>
      </c>
      <c r="I11080" s="28" t="s">
        <v>46</v>
      </c>
      <c r="J11080" s="28" t="s">
        <v>9707</v>
      </c>
      <c r="K11080" s="28" t="s">
        <v>46</v>
      </c>
      <c r="L11080" s="27"/>
    </row>
    <row r="11081" customFormat="false" ht="15" hidden="false" customHeight="false" outlineLevel="0" collapsed="false">
      <c r="A11081" s="26" t="s">
        <v>27076</v>
      </c>
      <c r="B11081" s="27" t="s">
        <v>27077</v>
      </c>
      <c r="C11081" s="27" t="s">
        <v>144</v>
      </c>
      <c r="D11081" s="26"/>
      <c r="E11081" s="27"/>
      <c r="F11081" s="27"/>
      <c r="G11081" s="27" t="s">
        <v>11122</v>
      </c>
      <c r="H11081" s="27" t="s">
        <v>35</v>
      </c>
      <c r="I11081" s="28" t="s">
        <v>46</v>
      </c>
      <c r="J11081" s="28" t="s">
        <v>9707</v>
      </c>
      <c r="K11081" s="28" t="s">
        <v>46</v>
      </c>
      <c r="L11081" s="27"/>
    </row>
    <row r="11082" customFormat="false" ht="15" hidden="false" customHeight="false" outlineLevel="0" collapsed="false">
      <c r="A11082" s="26" t="s">
        <v>27078</v>
      </c>
      <c r="B11082" s="27" t="s">
        <v>27079</v>
      </c>
      <c r="C11082" s="27" t="s">
        <v>144</v>
      </c>
      <c r="D11082" s="26"/>
      <c r="E11082" s="27"/>
      <c r="F11082" s="27"/>
      <c r="G11082" s="27" t="s">
        <v>11122</v>
      </c>
      <c r="H11082" s="27" t="s">
        <v>35</v>
      </c>
      <c r="I11082" s="27" t="s">
        <v>47</v>
      </c>
      <c r="J11082" s="28" t="s">
        <v>9707</v>
      </c>
      <c r="K11082" s="28" t="s">
        <v>46</v>
      </c>
      <c r="L11082" s="27"/>
    </row>
    <row r="11083" customFormat="false" ht="15" hidden="false" customHeight="false" outlineLevel="0" collapsed="false">
      <c r="A11083" s="26" t="s">
        <v>27080</v>
      </c>
      <c r="B11083" s="27" t="s">
        <v>27081</v>
      </c>
      <c r="C11083" s="27" t="s">
        <v>144</v>
      </c>
      <c r="D11083" s="26"/>
      <c r="E11083" s="27"/>
      <c r="F11083" s="27"/>
      <c r="G11083" s="27" t="s">
        <v>11122</v>
      </c>
      <c r="H11083" s="27" t="s">
        <v>35</v>
      </c>
      <c r="I11083" s="27" t="s">
        <v>47</v>
      </c>
      <c r="J11083" s="28" t="s">
        <v>9707</v>
      </c>
      <c r="K11083" s="28" t="s">
        <v>46</v>
      </c>
      <c r="L11083" s="27"/>
    </row>
    <row r="11084" customFormat="false" ht="15" hidden="false" customHeight="false" outlineLevel="0" collapsed="false">
      <c r="A11084" s="26" t="s">
        <v>27082</v>
      </c>
      <c r="B11084" s="27" t="s">
        <v>27083</v>
      </c>
      <c r="C11084" s="27" t="s">
        <v>144</v>
      </c>
      <c r="D11084" s="26"/>
      <c r="E11084" s="27"/>
      <c r="F11084" s="27"/>
      <c r="G11084" s="27" t="s">
        <v>11122</v>
      </c>
      <c r="H11084" s="27" t="s">
        <v>35</v>
      </c>
      <c r="I11084" s="27" t="s">
        <v>47</v>
      </c>
      <c r="J11084" s="28" t="s">
        <v>9707</v>
      </c>
      <c r="K11084" s="28" t="s">
        <v>46</v>
      </c>
      <c r="L11084" s="27"/>
    </row>
    <row r="11085" customFormat="false" ht="15" hidden="false" customHeight="false" outlineLevel="0" collapsed="false">
      <c r="A11085" s="26" t="s">
        <v>27084</v>
      </c>
      <c r="B11085" s="27" t="s">
        <v>27085</v>
      </c>
      <c r="C11085" s="27" t="s">
        <v>144</v>
      </c>
      <c r="D11085" s="26"/>
      <c r="E11085" s="27"/>
      <c r="F11085" s="27"/>
      <c r="G11085" s="27" t="s">
        <v>11122</v>
      </c>
      <c r="H11085" s="27" t="s">
        <v>35</v>
      </c>
      <c r="I11085" s="27" t="s">
        <v>47</v>
      </c>
      <c r="J11085" s="28" t="s">
        <v>9707</v>
      </c>
      <c r="K11085" s="28" t="s">
        <v>46</v>
      </c>
      <c r="L11085" s="27"/>
    </row>
    <row r="11086" customFormat="false" ht="15" hidden="false" customHeight="false" outlineLevel="0" collapsed="false">
      <c r="A11086" s="26" t="s">
        <v>27086</v>
      </c>
      <c r="B11086" s="27" t="s">
        <v>27087</v>
      </c>
      <c r="C11086" s="27" t="s">
        <v>144</v>
      </c>
      <c r="D11086" s="26"/>
      <c r="E11086" s="27"/>
      <c r="F11086" s="27"/>
      <c r="G11086" s="27" t="s">
        <v>11122</v>
      </c>
      <c r="H11086" s="27" t="s">
        <v>35</v>
      </c>
      <c r="I11086" s="27" t="s">
        <v>47</v>
      </c>
      <c r="J11086" s="28" t="s">
        <v>9707</v>
      </c>
      <c r="K11086" s="28" t="s">
        <v>46</v>
      </c>
      <c r="L11086" s="27"/>
    </row>
    <row r="11087" customFormat="false" ht="15" hidden="false" customHeight="false" outlineLevel="0" collapsed="false">
      <c r="A11087" s="26" t="s">
        <v>27088</v>
      </c>
      <c r="B11087" s="27" t="s">
        <v>27089</v>
      </c>
      <c r="C11087" s="27" t="s">
        <v>144</v>
      </c>
      <c r="D11087" s="26"/>
      <c r="E11087" s="27"/>
      <c r="F11087" s="27"/>
      <c r="G11087" s="27" t="s">
        <v>11122</v>
      </c>
      <c r="H11087" s="27" t="s">
        <v>35</v>
      </c>
      <c r="I11087" s="27" t="s">
        <v>47</v>
      </c>
      <c r="J11087" s="28" t="s">
        <v>9707</v>
      </c>
      <c r="K11087" s="28" t="s">
        <v>46</v>
      </c>
      <c r="L11087" s="27"/>
    </row>
    <row r="11088" customFormat="false" ht="15" hidden="false" customHeight="false" outlineLevel="0" collapsed="false">
      <c r="A11088" s="26" t="s">
        <v>27090</v>
      </c>
      <c r="B11088" s="27" t="s">
        <v>27091</v>
      </c>
      <c r="C11088" s="27" t="s">
        <v>144</v>
      </c>
      <c r="D11088" s="26"/>
      <c r="E11088" s="27"/>
      <c r="F11088" s="27"/>
      <c r="G11088" s="27" t="s">
        <v>11122</v>
      </c>
      <c r="H11088" s="27" t="s">
        <v>35</v>
      </c>
      <c r="I11088" s="28" t="s">
        <v>46</v>
      </c>
      <c r="J11088" s="28" t="s">
        <v>9707</v>
      </c>
      <c r="K11088" s="28" t="s">
        <v>46</v>
      </c>
      <c r="L11088" s="27"/>
    </row>
    <row r="11089" customFormat="false" ht="15" hidden="false" customHeight="false" outlineLevel="0" collapsed="false">
      <c r="A11089" s="26" t="s">
        <v>27092</v>
      </c>
      <c r="B11089" s="27" t="s">
        <v>27093</v>
      </c>
      <c r="C11089" s="27" t="s">
        <v>144</v>
      </c>
      <c r="D11089" s="26"/>
      <c r="E11089" s="27"/>
      <c r="F11089" s="27"/>
      <c r="G11089" s="27" t="s">
        <v>11122</v>
      </c>
      <c r="H11089" s="27" t="s">
        <v>35</v>
      </c>
      <c r="I11089" s="28" t="s">
        <v>46</v>
      </c>
      <c r="J11089" s="28" t="s">
        <v>9707</v>
      </c>
      <c r="K11089" s="28" t="s">
        <v>46</v>
      </c>
      <c r="L11089" s="27"/>
    </row>
    <row r="11090" customFormat="false" ht="15" hidden="false" customHeight="false" outlineLevel="0" collapsed="false">
      <c r="A11090" s="26" t="s">
        <v>27094</v>
      </c>
      <c r="B11090" s="27" t="s">
        <v>27095</v>
      </c>
      <c r="C11090" s="27" t="s">
        <v>144</v>
      </c>
      <c r="D11090" s="26"/>
      <c r="E11090" s="27"/>
      <c r="F11090" s="27"/>
      <c r="G11090" s="27" t="s">
        <v>11122</v>
      </c>
      <c r="H11090" s="27" t="s">
        <v>35</v>
      </c>
      <c r="I11090" s="28" t="s">
        <v>46</v>
      </c>
      <c r="J11090" s="28" t="s">
        <v>9707</v>
      </c>
      <c r="K11090" s="28" t="s">
        <v>46</v>
      </c>
      <c r="L11090" s="27"/>
    </row>
    <row r="11091" customFormat="false" ht="15" hidden="false" customHeight="false" outlineLevel="0" collapsed="false">
      <c r="A11091" s="26" t="s">
        <v>27096</v>
      </c>
      <c r="B11091" s="27" t="s">
        <v>27097</v>
      </c>
      <c r="C11091" s="27" t="s">
        <v>144</v>
      </c>
      <c r="D11091" s="26"/>
      <c r="E11091" s="27"/>
      <c r="F11091" s="27"/>
      <c r="G11091" s="27" t="s">
        <v>11122</v>
      </c>
      <c r="H11091" s="27" t="s">
        <v>35</v>
      </c>
      <c r="I11091" s="28" t="s">
        <v>46</v>
      </c>
      <c r="J11091" s="28" t="s">
        <v>9707</v>
      </c>
      <c r="K11091" s="28" t="s">
        <v>46</v>
      </c>
      <c r="L11091" s="27"/>
    </row>
    <row r="11092" customFormat="false" ht="15" hidden="false" customHeight="false" outlineLevel="0" collapsed="false">
      <c r="A11092" s="26" t="s">
        <v>27098</v>
      </c>
      <c r="B11092" s="27" t="s">
        <v>27099</v>
      </c>
      <c r="C11092" s="27" t="s">
        <v>144</v>
      </c>
      <c r="D11092" s="26"/>
      <c r="E11092" s="27"/>
      <c r="F11092" s="27"/>
      <c r="G11092" s="27" t="s">
        <v>11122</v>
      </c>
      <c r="H11092" s="27" t="s">
        <v>35</v>
      </c>
      <c r="I11092" s="27" t="s">
        <v>42</v>
      </c>
      <c r="J11092" s="28" t="s">
        <v>1106</v>
      </c>
      <c r="K11092" s="27" t="s">
        <v>40</v>
      </c>
      <c r="L11092" s="27"/>
    </row>
    <row r="11093" customFormat="false" ht="15" hidden="false" customHeight="false" outlineLevel="0" collapsed="false">
      <c r="A11093" s="26" t="s">
        <v>27100</v>
      </c>
      <c r="B11093" s="27" t="s">
        <v>27101</v>
      </c>
      <c r="C11093" s="27" t="s">
        <v>144</v>
      </c>
      <c r="D11093" s="26"/>
      <c r="E11093" s="27"/>
      <c r="F11093" s="27"/>
      <c r="G11093" s="27" t="s">
        <v>11122</v>
      </c>
      <c r="H11093" s="27" t="s">
        <v>35</v>
      </c>
      <c r="I11093" s="27" t="s">
        <v>40</v>
      </c>
      <c r="J11093" s="28" t="s">
        <v>1106</v>
      </c>
      <c r="K11093" s="27" t="s">
        <v>40</v>
      </c>
      <c r="L11093" s="27"/>
    </row>
    <row r="11094" customFormat="false" ht="15" hidden="false" customHeight="false" outlineLevel="0" collapsed="false">
      <c r="A11094" s="26" t="s">
        <v>27102</v>
      </c>
      <c r="B11094" s="27" t="s">
        <v>27103</v>
      </c>
      <c r="C11094" s="27" t="s">
        <v>144</v>
      </c>
      <c r="D11094" s="26"/>
      <c r="E11094" s="27"/>
      <c r="F11094" s="27"/>
      <c r="G11094" s="27" t="s">
        <v>11122</v>
      </c>
      <c r="H11094" s="27" t="s">
        <v>35</v>
      </c>
      <c r="I11094" s="27" t="s">
        <v>40</v>
      </c>
      <c r="J11094" s="28" t="s">
        <v>1106</v>
      </c>
      <c r="K11094" s="27" t="s">
        <v>40</v>
      </c>
      <c r="L11094" s="27"/>
    </row>
    <row r="11095" customFormat="false" ht="15" hidden="false" customHeight="false" outlineLevel="0" collapsed="false">
      <c r="A11095" s="26" t="s">
        <v>27104</v>
      </c>
      <c r="B11095" s="27" t="s">
        <v>14902</v>
      </c>
      <c r="C11095" s="27" t="s">
        <v>144</v>
      </c>
      <c r="D11095" s="26"/>
      <c r="E11095" s="27"/>
      <c r="F11095" s="27"/>
      <c r="G11095" s="27" t="s">
        <v>11122</v>
      </c>
      <c r="H11095" s="27" t="s">
        <v>35</v>
      </c>
      <c r="I11095" s="27" t="s">
        <v>40</v>
      </c>
      <c r="J11095" s="28" t="s">
        <v>1106</v>
      </c>
      <c r="K11095" s="27" t="s">
        <v>40</v>
      </c>
      <c r="L11095" s="27"/>
    </row>
    <row r="11096" customFormat="false" ht="15" hidden="false" customHeight="false" outlineLevel="0" collapsed="false">
      <c r="A11096" s="26" t="s">
        <v>27105</v>
      </c>
      <c r="B11096" s="27" t="s">
        <v>27106</v>
      </c>
      <c r="C11096" s="27" t="s">
        <v>144</v>
      </c>
      <c r="D11096" s="26"/>
      <c r="E11096" s="27"/>
      <c r="F11096" s="27"/>
      <c r="G11096" s="27" t="s">
        <v>11122</v>
      </c>
      <c r="H11096" s="27" t="s">
        <v>35</v>
      </c>
      <c r="I11096" s="27" t="s">
        <v>40</v>
      </c>
      <c r="J11096" s="28" t="s">
        <v>1106</v>
      </c>
      <c r="K11096" s="27" t="s">
        <v>40</v>
      </c>
      <c r="L11096" s="27"/>
    </row>
    <row r="11097" customFormat="false" ht="15" hidden="false" customHeight="false" outlineLevel="0" collapsed="false">
      <c r="A11097" s="26" t="s">
        <v>27107</v>
      </c>
      <c r="B11097" s="27" t="s">
        <v>27108</v>
      </c>
      <c r="C11097" s="27" t="s">
        <v>144</v>
      </c>
      <c r="D11097" s="26"/>
      <c r="E11097" s="27"/>
      <c r="F11097" s="27"/>
      <c r="G11097" s="27" t="s">
        <v>11122</v>
      </c>
      <c r="H11097" s="27" t="s">
        <v>35</v>
      </c>
      <c r="I11097" s="27" t="s">
        <v>40</v>
      </c>
      <c r="J11097" s="28" t="s">
        <v>1106</v>
      </c>
      <c r="K11097" s="27" t="s">
        <v>40</v>
      </c>
      <c r="L11097" s="27"/>
    </row>
    <row r="11098" customFormat="false" ht="15" hidden="false" customHeight="false" outlineLevel="0" collapsed="false">
      <c r="A11098" s="26" t="s">
        <v>27109</v>
      </c>
      <c r="B11098" s="27" t="s">
        <v>27110</v>
      </c>
      <c r="C11098" s="27" t="s">
        <v>144</v>
      </c>
      <c r="D11098" s="26"/>
      <c r="E11098" s="27"/>
      <c r="F11098" s="27"/>
      <c r="G11098" s="27" t="s">
        <v>11122</v>
      </c>
      <c r="H11098" s="27" t="s">
        <v>35</v>
      </c>
      <c r="I11098" s="28" t="s">
        <v>46</v>
      </c>
      <c r="J11098" s="28" t="s">
        <v>1106</v>
      </c>
      <c r="K11098" s="27" t="s">
        <v>40</v>
      </c>
      <c r="L11098" s="27"/>
    </row>
    <row r="11099" customFormat="false" ht="15" hidden="false" customHeight="false" outlineLevel="0" collapsed="false">
      <c r="A11099" s="26" t="s">
        <v>27111</v>
      </c>
      <c r="B11099" s="27" t="s">
        <v>27112</v>
      </c>
      <c r="C11099" s="27" t="s">
        <v>370</v>
      </c>
      <c r="D11099" s="26"/>
      <c r="E11099" s="27"/>
      <c r="F11099" s="27"/>
      <c r="G11099" s="27" t="s">
        <v>11122</v>
      </c>
      <c r="H11099" s="27" t="s">
        <v>35</v>
      </c>
      <c r="I11099" s="27" t="s">
        <v>39</v>
      </c>
      <c r="J11099" s="28" t="s">
        <v>1106</v>
      </c>
      <c r="K11099" s="27" t="s">
        <v>40</v>
      </c>
      <c r="L11099" s="27"/>
    </row>
    <row r="11100" customFormat="false" ht="15" hidden="false" customHeight="false" outlineLevel="0" collapsed="false">
      <c r="A11100" s="26" t="s">
        <v>27113</v>
      </c>
      <c r="B11100" s="27" t="s">
        <v>27114</v>
      </c>
      <c r="C11100" s="27" t="s">
        <v>370</v>
      </c>
      <c r="D11100" s="26"/>
      <c r="E11100" s="27"/>
      <c r="F11100" s="27"/>
      <c r="G11100" s="27" t="s">
        <v>11122</v>
      </c>
      <c r="H11100" s="27" t="s">
        <v>35</v>
      </c>
      <c r="I11100" s="27" t="s">
        <v>37</v>
      </c>
      <c r="J11100" s="28" t="s">
        <v>1106</v>
      </c>
      <c r="K11100" s="27" t="s">
        <v>40</v>
      </c>
      <c r="L11100" s="27"/>
    </row>
    <row r="11101" customFormat="false" ht="15" hidden="false" customHeight="false" outlineLevel="0" collapsed="false">
      <c r="A11101" s="26" t="s">
        <v>27115</v>
      </c>
      <c r="B11101" s="27" t="s">
        <v>27116</v>
      </c>
      <c r="C11101" s="27" t="s">
        <v>370</v>
      </c>
      <c r="D11101" s="26"/>
      <c r="E11101" s="27"/>
      <c r="F11101" s="27"/>
      <c r="G11101" s="27" t="s">
        <v>11122</v>
      </c>
      <c r="H11101" s="27" t="s">
        <v>35</v>
      </c>
      <c r="I11101" s="28" t="s">
        <v>46</v>
      </c>
      <c r="J11101" s="28" t="s">
        <v>1106</v>
      </c>
      <c r="K11101" s="27" t="s">
        <v>40</v>
      </c>
      <c r="L11101" s="27"/>
    </row>
    <row r="11102" customFormat="false" ht="15" hidden="false" customHeight="false" outlineLevel="0" collapsed="false">
      <c r="A11102" s="26" t="s">
        <v>27117</v>
      </c>
      <c r="B11102" s="27" t="s">
        <v>27118</v>
      </c>
      <c r="C11102" s="27" t="s">
        <v>370</v>
      </c>
      <c r="D11102" s="26"/>
      <c r="E11102" s="27"/>
      <c r="F11102" s="27"/>
      <c r="G11102" s="27" t="s">
        <v>11122</v>
      </c>
      <c r="H11102" s="27" t="s">
        <v>35</v>
      </c>
      <c r="I11102" s="27" t="s">
        <v>40</v>
      </c>
      <c r="J11102" s="28" t="s">
        <v>1106</v>
      </c>
      <c r="K11102" s="27" t="s">
        <v>40</v>
      </c>
      <c r="L11102" s="27"/>
    </row>
    <row r="11103" customFormat="false" ht="15" hidden="false" customHeight="false" outlineLevel="0" collapsed="false">
      <c r="A11103" s="26" t="s">
        <v>27119</v>
      </c>
      <c r="B11103" s="27" t="s">
        <v>27120</v>
      </c>
      <c r="C11103" s="27" t="s">
        <v>144</v>
      </c>
      <c r="D11103" s="26"/>
      <c r="E11103" s="27"/>
      <c r="F11103" s="27"/>
      <c r="G11103" s="27" t="s">
        <v>11122</v>
      </c>
      <c r="H11103" s="27" t="s">
        <v>35</v>
      </c>
      <c r="I11103" s="27" t="s">
        <v>48</v>
      </c>
      <c r="J11103" s="28" t="s">
        <v>1106</v>
      </c>
      <c r="K11103" s="27" t="s">
        <v>40</v>
      </c>
      <c r="L11103" s="27"/>
    </row>
    <row r="11104" customFormat="false" ht="15" hidden="false" customHeight="false" outlineLevel="0" collapsed="false">
      <c r="A11104" s="26" t="s">
        <v>27121</v>
      </c>
      <c r="B11104" s="27" t="s">
        <v>27122</v>
      </c>
      <c r="C11104" s="27" t="s">
        <v>144</v>
      </c>
      <c r="D11104" s="26"/>
      <c r="E11104" s="27"/>
      <c r="F11104" s="27"/>
      <c r="G11104" s="27" t="s">
        <v>11122</v>
      </c>
      <c r="H11104" s="27" t="s">
        <v>35</v>
      </c>
      <c r="I11104" s="27" t="s">
        <v>48</v>
      </c>
      <c r="J11104" s="28" t="s">
        <v>1106</v>
      </c>
      <c r="K11104" s="27" t="s">
        <v>40</v>
      </c>
      <c r="L11104" s="27"/>
    </row>
    <row r="11105" customFormat="false" ht="15" hidden="false" customHeight="false" outlineLevel="0" collapsed="false">
      <c r="A11105" s="26" t="s">
        <v>27123</v>
      </c>
      <c r="B11105" s="27" t="s">
        <v>27124</v>
      </c>
      <c r="C11105" s="27" t="s">
        <v>144</v>
      </c>
      <c r="D11105" s="26"/>
      <c r="E11105" s="27"/>
      <c r="F11105" s="27"/>
      <c r="G11105" s="27" t="s">
        <v>11122</v>
      </c>
      <c r="H11105" s="27" t="s">
        <v>35</v>
      </c>
      <c r="I11105" s="27" t="s">
        <v>40</v>
      </c>
      <c r="J11105" s="28" t="s">
        <v>1106</v>
      </c>
      <c r="K11105" s="27" t="s">
        <v>40</v>
      </c>
      <c r="L11105" s="27"/>
    </row>
    <row r="11106" customFormat="false" ht="15" hidden="false" customHeight="false" outlineLevel="0" collapsed="false">
      <c r="A11106" s="26" t="s">
        <v>27125</v>
      </c>
      <c r="B11106" s="27" t="s">
        <v>27126</v>
      </c>
      <c r="C11106" s="27" t="s">
        <v>144</v>
      </c>
      <c r="D11106" s="26"/>
      <c r="E11106" s="27"/>
      <c r="F11106" s="27"/>
      <c r="G11106" s="27" t="s">
        <v>11122</v>
      </c>
      <c r="H11106" s="27" t="s">
        <v>35</v>
      </c>
      <c r="I11106" s="27" t="s">
        <v>40</v>
      </c>
      <c r="J11106" s="28" t="s">
        <v>1106</v>
      </c>
      <c r="K11106" s="27" t="s">
        <v>40</v>
      </c>
      <c r="L11106" s="27"/>
    </row>
    <row r="11107" customFormat="false" ht="15" hidden="false" customHeight="false" outlineLevel="0" collapsed="false">
      <c r="A11107" s="26" t="s">
        <v>27127</v>
      </c>
      <c r="B11107" s="27" t="s">
        <v>27128</v>
      </c>
      <c r="C11107" s="27" t="s">
        <v>144</v>
      </c>
      <c r="D11107" s="26"/>
      <c r="E11107" s="27"/>
      <c r="F11107" s="27"/>
      <c r="G11107" s="27" t="s">
        <v>11122</v>
      </c>
      <c r="H11107" s="27" t="s">
        <v>35</v>
      </c>
      <c r="I11107" s="27" t="s">
        <v>4159</v>
      </c>
      <c r="J11107" s="28" t="s">
        <v>1106</v>
      </c>
      <c r="K11107" s="27" t="s">
        <v>40</v>
      </c>
      <c r="L11107" s="27"/>
    </row>
    <row r="11108" customFormat="false" ht="15" hidden="false" customHeight="false" outlineLevel="0" collapsed="false">
      <c r="A11108" s="26" t="s">
        <v>27129</v>
      </c>
      <c r="B11108" s="27" t="s">
        <v>27130</v>
      </c>
      <c r="C11108" s="27" t="s">
        <v>144</v>
      </c>
      <c r="D11108" s="26"/>
      <c r="E11108" s="27"/>
      <c r="F11108" s="27"/>
      <c r="G11108" s="27" t="s">
        <v>11122</v>
      </c>
      <c r="H11108" s="27" t="s">
        <v>35</v>
      </c>
      <c r="I11108" s="27" t="s">
        <v>40</v>
      </c>
      <c r="J11108" s="28" t="s">
        <v>1106</v>
      </c>
      <c r="K11108" s="27" t="s">
        <v>40</v>
      </c>
      <c r="L11108" s="27"/>
    </row>
    <row r="11109" customFormat="false" ht="15" hidden="false" customHeight="false" outlineLevel="0" collapsed="false">
      <c r="A11109" s="26" t="s">
        <v>27131</v>
      </c>
      <c r="B11109" s="27" t="s">
        <v>27132</v>
      </c>
      <c r="C11109" s="27" t="s">
        <v>144</v>
      </c>
      <c r="D11109" s="26"/>
      <c r="E11109" s="27"/>
      <c r="F11109" s="27"/>
      <c r="G11109" s="27" t="s">
        <v>11122</v>
      </c>
      <c r="H11109" s="27" t="s">
        <v>35</v>
      </c>
      <c r="I11109" s="27" t="s">
        <v>40</v>
      </c>
      <c r="J11109" s="28" t="s">
        <v>1106</v>
      </c>
      <c r="K11109" s="27" t="s">
        <v>40</v>
      </c>
      <c r="L11109" s="27"/>
    </row>
    <row r="11110" customFormat="false" ht="15" hidden="false" customHeight="false" outlineLevel="0" collapsed="false">
      <c r="A11110" s="26" t="s">
        <v>27133</v>
      </c>
      <c r="B11110" s="27" t="s">
        <v>27134</v>
      </c>
      <c r="C11110" s="27" t="s">
        <v>144</v>
      </c>
      <c r="D11110" s="26"/>
      <c r="E11110" s="27"/>
      <c r="F11110" s="27"/>
      <c r="G11110" s="27" t="s">
        <v>11122</v>
      </c>
      <c r="H11110" s="27" t="s">
        <v>35</v>
      </c>
      <c r="I11110" s="27" t="s">
        <v>40</v>
      </c>
      <c r="J11110" s="28" t="s">
        <v>1106</v>
      </c>
      <c r="K11110" s="27" t="s">
        <v>40</v>
      </c>
      <c r="L11110" s="27"/>
    </row>
    <row r="11111" customFormat="false" ht="15" hidden="false" customHeight="false" outlineLevel="0" collapsed="false">
      <c r="A11111" s="26" t="s">
        <v>27135</v>
      </c>
      <c r="B11111" s="27" t="s">
        <v>27136</v>
      </c>
      <c r="C11111" s="27" t="s">
        <v>1845</v>
      </c>
      <c r="D11111" s="26"/>
      <c r="E11111" s="27"/>
      <c r="F11111" s="27"/>
      <c r="G11111" s="27" t="s">
        <v>11122</v>
      </c>
      <c r="H11111" s="27" t="s">
        <v>35</v>
      </c>
      <c r="I11111" s="27" t="s">
        <v>40</v>
      </c>
      <c r="J11111" s="28" t="s">
        <v>1106</v>
      </c>
      <c r="K11111" s="27" t="s">
        <v>40</v>
      </c>
      <c r="L11111" s="27"/>
    </row>
    <row r="11112" customFormat="false" ht="15" hidden="false" customHeight="false" outlineLevel="0" collapsed="false">
      <c r="A11112" s="26" t="s">
        <v>27137</v>
      </c>
      <c r="B11112" s="27" t="s">
        <v>27138</v>
      </c>
      <c r="C11112" s="27" t="s">
        <v>144</v>
      </c>
      <c r="D11112" s="26"/>
      <c r="E11112" s="27"/>
      <c r="F11112" s="27"/>
      <c r="G11112" s="27" t="s">
        <v>11122</v>
      </c>
      <c r="H11112" s="27" t="s">
        <v>35</v>
      </c>
      <c r="I11112" s="27" t="s">
        <v>38</v>
      </c>
      <c r="J11112" s="28" t="s">
        <v>1106</v>
      </c>
      <c r="K11112" s="27" t="s">
        <v>40</v>
      </c>
      <c r="L11112" s="27"/>
    </row>
    <row r="11113" customFormat="false" ht="15" hidden="false" customHeight="false" outlineLevel="0" collapsed="false">
      <c r="A11113" s="26" t="s">
        <v>27139</v>
      </c>
      <c r="B11113" s="27" t="s">
        <v>27140</v>
      </c>
      <c r="C11113" s="27" t="s">
        <v>144</v>
      </c>
      <c r="D11113" s="26"/>
      <c r="E11113" s="27"/>
      <c r="F11113" s="27"/>
      <c r="G11113" s="27" t="s">
        <v>11122</v>
      </c>
      <c r="H11113" s="27" t="s">
        <v>35</v>
      </c>
      <c r="I11113" s="27" t="s">
        <v>40</v>
      </c>
      <c r="J11113" s="28" t="s">
        <v>1106</v>
      </c>
      <c r="K11113" s="27" t="s">
        <v>40</v>
      </c>
      <c r="L11113" s="27"/>
    </row>
    <row r="11114" customFormat="false" ht="15" hidden="false" customHeight="false" outlineLevel="0" collapsed="false">
      <c r="A11114" s="26" t="s">
        <v>27141</v>
      </c>
      <c r="B11114" s="27" t="s">
        <v>27142</v>
      </c>
      <c r="C11114" s="27" t="s">
        <v>370</v>
      </c>
      <c r="D11114" s="26"/>
      <c r="E11114" s="27"/>
      <c r="F11114" s="27"/>
      <c r="G11114" s="27" t="s">
        <v>11122</v>
      </c>
      <c r="H11114" s="27" t="s">
        <v>35</v>
      </c>
      <c r="I11114" s="27" t="s">
        <v>47</v>
      </c>
      <c r="J11114" s="28" t="s">
        <v>1106</v>
      </c>
      <c r="K11114" s="27" t="s">
        <v>40</v>
      </c>
      <c r="L11114" s="27"/>
    </row>
    <row r="11115" customFormat="false" ht="15" hidden="false" customHeight="false" outlineLevel="0" collapsed="false">
      <c r="A11115" s="26" t="s">
        <v>27143</v>
      </c>
      <c r="B11115" s="27" t="s">
        <v>27144</v>
      </c>
      <c r="C11115" s="27" t="s">
        <v>144</v>
      </c>
      <c r="D11115" s="26"/>
      <c r="E11115" s="27"/>
      <c r="F11115" s="27"/>
      <c r="G11115" s="27" t="s">
        <v>11122</v>
      </c>
      <c r="H11115" s="27" t="s">
        <v>35</v>
      </c>
      <c r="I11115" s="27" t="s">
        <v>42</v>
      </c>
      <c r="J11115" s="28" t="s">
        <v>1106</v>
      </c>
      <c r="K11115" s="27" t="s">
        <v>40</v>
      </c>
      <c r="L11115" s="27"/>
    </row>
    <row r="11116" customFormat="false" ht="15" hidden="false" customHeight="false" outlineLevel="0" collapsed="false">
      <c r="A11116" s="26" t="s">
        <v>27145</v>
      </c>
      <c r="B11116" s="27" t="s">
        <v>27146</v>
      </c>
      <c r="C11116" s="27" t="s">
        <v>144</v>
      </c>
      <c r="D11116" s="26"/>
      <c r="E11116" s="27"/>
      <c r="F11116" s="27"/>
      <c r="G11116" s="27" t="s">
        <v>11122</v>
      </c>
      <c r="H11116" s="27" t="s">
        <v>35</v>
      </c>
      <c r="I11116" s="27" t="s">
        <v>44</v>
      </c>
      <c r="J11116" s="28" t="s">
        <v>1106</v>
      </c>
      <c r="K11116" s="27" t="s">
        <v>40</v>
      </c>
      <c r="L11116" s="27"/>
    </row>
    <row r="11117" customFormat="false" ht="15" hidden="false" customHeight="false" outlineLevel="0" collapsed="false">
      <c r="A11117" s="26" t="s">
        <v>27147</v>
      </c>
      <c r="B11117" s="27" t="s">
        <v>27148</v>
      </c>
      <c r="C11117" s="27" t="s">
        <v>144</v>
      </c>
      <c r="D11117" s="26"/>
      <c r="E11117" s="27"/>
      <c r="F11117" s="27"/>
      <c r="G11117" s="27" t="s">
        <v>11122</v>
      </c>
      <c r="H11117" s="27" t="s">
        <v>35</v>
      </c>
      <c r="I11117" s="28" t="s">
        <v>46</v>
      </c>
      <c r="J11117" s="28" t="s">
        <v>1106</v>
      </c>
      <c r="K11117" s="27" t="s">
        <v>40</v>
      </c>
      <c r="L11117" s="27"/>
    </row>
    <row r="11118" customFormat="false" ht="15" hidden="false" customHeight="false" outlineLevel="0" collapsed="false">
      <c r="A11118" s="26" t="s">
        <v>27149</v>
      </c>
      <c r="B11118" s="27" t="s">
        <v>27150</v>
      </c>
      <c r="C11118" s="27" t="s">
        <v>370</v>
      </c>
      <c r="D11118" s="26"/>
      <c r="E11118" s="27"/>
      <c r="F11118" s="27"/>
      <c r="G11118" s="27" t="s">
        <v>11122</v>
      </c>
      <c r="H11118" s="27" t="s">
        <v>35</v>
      </c>
      <c r="I11118" s="28" t="s">
        <v>46</v>
      </c>
      <c r="J11118" s="28" t="s">
        <v>1106</v>
      </c>
      <c r="K11118" s="27" t="s">
        <v>40</v>
      </c>
      <c r="L11118" s="27"/>
    </row>
    <row r="11119" customFormat="false" ht="15" hidden="false" customHeight="false" outlineLevel="0" collapsed="false">
      <c r="A11119" s="26" t="s">
        <v>27151</v>
      </c>
      <c r="B11119" s="27" t="s">
        <v>27152</v>
      </c>
      <c r="C11119" s="27" t="s">
        <v>144</v>
      </c>
      <c r="D11119" s="26"/>
      <c r="E11119" s="27"/>
      <c r="F11119" s="27"/>
      <c r="G11119" s="27" t="s">
        <v>11122</v>
      </c>
      <c r="H11119" s="27" t="s">
        <v>35</v>
      </c>
      <c r="I11119" s="28" t="s">
        <v>46</v>
      </c>
      <c r="J11119" s="28" t="s">
        <v>1106</v>
      </c>
      <c r="K11119" s="27" t="s">
        <v>40</v>
      </c>
      <c r="L11119" s="27"/>
    </row>
    <row r="11120" customFormat="false" ht="15" hidden="false" customHeight="false" outlineLevel="0" collapsed="false">
      <c r="A11120" s="26" t="s">
        <v>27153</v>
      </c>
      <c r="B11120" s="27" t="s">
        <v>27154</v>
      </c>
      <c r="C11120" s="27" t="s">
        <v>144</v>
      </c>
      <c r="D11120" s="26"/>
      <c r="E11120" s="27"/>
      <c r="F11120" s="27"/>
      <c r="G11120" s="27" t="s">
        <v>11122</v>
      </c>
      <c r="H11120" s="27" t="s">
        <v>35</v>
      </c>
      <c r="I11120" s="28" t="s">
        <v>46</v>
      </c>
      <c r="J11120" s="28" t="s">
        <v>1106</v>
      </c>
      <c r="K11120" s="27" t="s">
        <v>40</v>
      </c>
      <c r="L11120" s="27"/>
    </row>
    <row r="11121" customFormat="false" ht="15" hidden="false" customHeight="false" outlineLevel="0" collapsed="false">
      <c r="A11121" s="26" t="s">
        <v>27155</v>
      </c>
      <c r="B11121" s="27" t="s">
        <v>27156</v>
      </c>
      <c r="C11121" s="27" t="s">
        <v>144</v>
      </c>
      <c r="D11121" s="26"/>
      <c r="E11121" s="27"/>
      <c r="F11121" s="27"/>
      <c r="G11121" s="27" t="s">
        <v>11122</v>
      </c>
      <c r="H11121" s="27" t="s">
        <v>35</v>
      </c>
      <c r="I11121" s="28" t="s">
        <v>46</v>
      </c>
      <c r="J11121" s="28" t="s">
        <v>1106</v>
      </c>
      <c r="K11121" s="27" t="s">
        <v>40</v>
      </c>
      <c r="L11121" s="27"/>
    </row>
    <row r="11122" customFormat="false" ht="15" hidden="false" customHeight="false" outlineLevel="0" collapsed="false">
      <c r="A11122" s="26" t="s">
        <v>27157</v>
      </c>
      <c r="B11122" s="27" t="s">
        <v>27158</v>
      </c>
      <c r="C11122" s="27" t="s">
        <v>144</v>
      </c>
      <c r="D11122" s="26"/>
      <c r="E11122" s="27"/>
      <c r="F11122" s="27"/>
      <c r="G11122" s="27" t="s">
        <v>11122</v>
      </c>
      <c r="H11122" s="27" t="s">
        <v>35</v>
      </c>
      <c r="I11122" s="28" t="s">
        <v>46</v>
      </c>
      <c r="J11122" s="28" t="s">
        <v>1106</v>
      </c>
      <c r="K11122" s="27" t="s">
        <v>40</v>
      </c>
      <c r="L11122" s="27"/>
    </row>
    <row r="11123" customFormat="false" ht="15" hidden="false" customHeight="false" outlineLevel="0" collapsed="false">
      <c r="A11123" s="26" t="s">
        <v>27159</v>
      </c>
      <c r="B11123" s="27" t="s">
        <v>27160</v>
      </c>
      <c r="C11123" s="27" t="s">
        <v>144</v>
      </c>
      <c r="D11123" s="26"/>
      <c r="E11123" s="27"/>
      <c r="F11123" s="27"/>
      <c r="G11123" s="27" t="s">
        <v>11122</v>
      </c>
      <c r="H11123" s="27" t="s">
        <v>35</v>
      </c>
      <c r="I11123" s="28" t="s">
        <v>46</v>
      </c>
      <c r="J11123" s="28" t="s">
        <v>1106</v>
      </c>
      <c r="K11123" s="27" t="s">
        <v>40</v>
      </c>
      <c r="L11123" s="27"/>
    </row>
    <row r="11124" customFormat="false" ht="15" hidden="false" customHeight="false" outlineLevel="0" collapsed="false">
      <c r="A11124" s="26" t="s">
        <v>27161</v>
      </c>
      <c r="B11124" s="28" t="s">
        <v>27162</v>
      </c>
      <c r="C11124" s="27" t="s">
        <v>370</v>
      </c>
      <c r="D11124" s="26"/>
      <c r="E11124" s="27"/>
      <c r="F11124" s="27"/>
      <c r="G11124" s="27" t="s">
        <v>11122</v>
      </c>
      <c r="H11124" s="27" t="s">
        <v>35</v>
      </c>
      <c r="I11124" s="28" t="s">
        <v>46</v>
      </c>
      <c r="J11124" s="28" t="s">
        <v>1106</v>
      </c>
      <c r="K11124" s="27" t="s">
        <v>40</v>
      </c>
      <c r="L11124" s="27"/>
    </row>
    <row r="11125" customFormat="false" ht="15" hidden="false" customHeight="false" outlineLevel="0" collapsed="false">
      <c r="A11125" s="26" t="s">
        <v>27163</v>
      </c>
      <c r="B11125" s="28" t="s">
        <v>27164</v>
      </c>
      <c r="C11125" s="27" t="s">
        <v>370</v>
      </c>
      <c r="D11125" s="26"/>
      <c r="E11125" s="27"/>
      <c r="F11125" s="27"/>
      <c r="G11125" s="27" t="s">
        <v>11122</v>
      </c>
      <c r="H11125" s="27" t="s">
        <v>35</v>
      </c>
      <c r="I11125" s="28" t="s">
        <v>46</v>
      </c>
      <c r="J11125" s="28" t="s">
        <v>1106</v>
      </c>
      <c r="K11125" s="27" t="s">
        <v>40</v>
      </c>
      <c r="L11125" s="27"/>
    </row>
    <row r="11126" customFormat="false" ht="15" hidden="false" customHeight="false" outlineLevel="0" collapsed="false">
      <c r="A11126" s="26" t="s">
        <v>27165</v>
      </c>
      <c r="B11126" s="27" t="s">
        <v>27166</v>
      </c>
      <c r="C11126" s="27" t="s">
        <v>370</v>
      </c>
      <c r="D11126" s="26"/>
      <c r="E11126" s="27"/>
      <c r="F11126" s="27"/>
      <c r="G11126" s="27" t="s">
        <v>11122</v>
      </c>
      <c r="H11126" s="27" t="s">
        <v>35</v>
      </c>
      <c r="I11126" s="28" t="s">
        <v>46</v>
      </c>
      <c r="J11126" s="28" t="s">
        <v>1106</v>
      </c>
      <c r="K11126" s="27" t="s">
        <v>40</v>
      </c>
      <c r="L11126" s="27"/>
    </row>
    <row r="11127" customFormat="false" ht="15" hidden="false" customHeight="false" outlineLevel="0" collapsed="false">
      <c r="A11127" s="26" t="s">
        <v>27167</v>
      </c>
      <c r="B11127" s="28" t="s">
        <v>27168</v>
      </c>
      <c r="C11127" s="27" t="s">
        <v>370</v>
      </c>
      <c r="D11127" s="26"/>
      <c r="E11127" s="27"/>
      <c r="F11127" s="27"/>
      <c r="G11127" s="27" t="s">
        <v>11122</v>
      </c>
      <c r="H11127" s="27" t="s">
        <v>35</v>
      </c>
      <c r="I11127" s="28" t="s">
        <v>46</v>
      </c>
      <c r="J11127" s="28" t="s">
        <v>1106</v>
      </c>
      <c r="K11127" s="27" t="s">
        <v>40</v>
      </c>
      <c r="L11127" s="27"/>
    </row>
    <row r="11128" customFormat="false" ht="15" hidden="false" customHeight="false" outlineLevel="0" collapsed="false">
      <c r="A11128" s="26" t="s">
        <v>27169</v>
      </c>
      <c r="B11128" s="27" t="s">
        <v>27170</v>
      </c>
      <c r="C11128" s="27" t="s">
        <v>144</v>
      </c>
      <c r="D11128" s="26"/>
      <c r="E11128" s="27"/>
      <c r="F11128" s="27"/>
      <c r="G11128" s="27" t="s">
        <v>11122</v>
      </c>
      <c r="H11128" s="27" t="s">
        <v>35</v>
      </c>
      <c r="I11128" s="27" t="s">
        <v>40</v>
      </c>
      <c r="J11128" s="28" t="s">
        <v>1106</v>
      </c>
      <c r="K11128" s="27" t="s">
        <v>40</v>
      </c>
      <c r="L11128" s="27"/>
    </row>
    <row r="11129" customFormat="false" ht="15" hidden="false" customHeight="false" outlineLevel="0" collapsed="false">
      <c r="A11129" s="26" t="s">
        <v>27171</v>
      </c>
      <c r="B11129" s="27" t="s">
        <v>27172</v>
      </c>
      <c r="C11129" s="27" t="s">
        <v>3103</v>
      </c>
      <c r="D11129" s="26"/>
      <c r="E11129" s="27"/>
      <c r="F11129" s="27"/>
      <c r="G11129" s="27" t="s">
        <v>11122</v>
      </c>
      <c r="H11129" s="27" t="s">
        <v>35</v>
      </c>
      <c r="I11129" s="27" t="s">
        <v>42</v>
      </c>
      <c r="J11129" s="28" t="s">
        <v>1106</v>
      </c>
      <c r="K11129" s="27" t="s">
        <v>40</v>
      </c>
      <c r="L11129" s="27"/>
    </row>
    <row r="11130" customFormat="false" ht="15" hidden="false" customHeight="false" outlineLevel="0" collapsed="false">
      <c r="A11130" s="26" t="s">
        <v>27173</v>
      </c>
      <c r="B11130" s="27" t="s">
        <v>27174</v>
      </c>
      <c r="C11130" s="27" t="s">
        <v>370</v>
      </c>
      <c r="D11130" s="26"/>
      <c r="E11130" s="27"/>
      <c r="F11130" s="27"/>
      <c r="G11130" s="27" t="s">
        <v>11122</v>
      </c>
      <c r="H11130" s="27" t="s">
        <v>35</v>
      </c>
      <c r="I11130" s="27" t="s">
        <v>42</v>
      </c>
      <c r="J11130" s="28" t="s">
        <v>1106</v>
      </c>
      <c r="K11130" s="27" t="s">
        <v>40</v>
      </c>
      <c r="L11130" s="27"/>
    </row>
    <row r="11131" customFormat="false" ht="15" hidden="false" customHeight="false" outlineLevel="0" collapsed="false">
      <c r="A11131" s="26" t="s">
        <v>27175</v>
      </c>
      <c r="B11131" s="27" t="s">
        <v>27176</v>
      </c>
      <c r="C11131" s="27" t="s">
        <v>144</v>
      </c>
      <c r="D11131" s="26"/>
      <c r="E11131" s="27"/>
      <c r="F11131" s="27"/>
      <c r="G11131" s="27" t="s">
        <v>11122</v>
      </c>
      <c r="H11131" s="27" t="s">
        <v>35</v>
      </c>
      <c r="I11131" s="28" t="s">
        <v>46</v>
      </c>
      <c r="J11131" s="28" t="s">
        <v>1106</v>
      </c>
      <c r="K11131" s="27" t="s">
        <v>40</v>
      </c>
      <c r="L11131" s="27"/>
    </row>
    <row r="11132" customFormat="false" ht="15" hidden="false" customHeight="false" outlineLevel="0" collapsed="false">
      <c r="A11132" s="26" t="s">
        <v>27177</v>
      </c>
      <c r="B11132" s="27" t="s">
        <v>27178</v>
      </c>
      <c r="C11132" s="27" t="s">
        <v>370</v>
      </c>
      <c r="D11132" s="26"/>
      <c r="E11132" s="27"/>
      <c r="F11132" s="27"/>
      <c r="G11132" s="27" t="s">
        <v>11122</v>
      </c>
      <c r="H11132" s="27" t="s">
        <v>35</v>
      </c>
      <c r="I11132" s="28" t="s">
        <v>46</v>
      </c>
      <c r="J11132" s="28" t="s">
        <v>1106</v>
      </c>
      <c r="K11132" s="27" t="s">
        <v>40</v>
      </c>
      <c r="L11132" s="27"/>
    </row>
    <row r="11133" customFormat="false" ht="15" hidden="false" customHeight="false" outlineLevel="0" collapsed="false">
      <c r="A11133" s="26" t="s">
        <v>27179</v>
      </c>
      <c r="B11133" s="27" t="s">
        <v>27180</v>
      </c>
      <c r="C11133" s="27" t="s">
        <v>370</v>
      </c>
      <c r="D11133" s="26"/>
      <c r="E11133" s="27"/>
      <c r="F11133" s="27"/>
      <c r="G11133" s="27" t="s">
        <v>11122</v>
      </c>
      <c r="H11133" s="27" t="s">
        <v>35</v>
      </c>
      <c r="I11133" s="27" t="s">
        <v>42</v>
      </c>
      <c r="J11133" s="28" t="s">
        <v>1106</v>
      </c>
      <c r="K11133" s="27" t="s">
        <v>40</v>
      </c>
      <c r="L11133" s="27"/>
    </row>
    <row r="11134" customFormat="false" ht="15" hidden="false" customHeight="false" outlineLevel="0" collapsed="false">
      <c r="A11134" s="26" t="s">
        <v>27181</v>
      </c>
      <c r="B11134" s="27" t="s">
        <v>27182</v>
      </c>
      <c r="C11134" s="27" t="s">
        <v>144</v>
      </c>
      <c r="D11134" s="26"/>
      <c r="E11134" s="27"/>
      <c r="F11134" s="27"/>
      <c r="G11134" s="27" t="s">
        <v>11122</v>
      </c>
      <c r="H11134" s="27" t="s">
        <v>35</v>
      </c>
      <c r="I11134" s="27" t="s">
        <v>42</v>
      </c>
      <c r="J11134" s="28" t="s">
        <v>1106</v>
      </c>
      <c r="K11134" s="27" t="s">
        <v>40</v>
      </c>
      <c r="L11134" s="27"/>
    </row>
    <row r="11135" customFormat="false" ht="15" hidden="false" customHeight="false" outlineLevel="0" collapsed="false">
      <c r="A11135" s="26" t="s">
        <v>27183</v>
      </c>
      <c r="B11135" s="27" t="s">
        <v>27184</v>
      </c>
      <c r="C11135" s="27" t="s">
        <v>144</v>
      </c>
      <c r="D11135" s="26"/>
      <c r="E11135" s="27"/>
      <c r="F11135" s="27"/>
      <c r="G11135" s="27" t="s">
        <v>11122</v>
      </c>
      <c r="H11135" s="27" t="s">
        <v>35</v>
      </c>
      <c r="I11135" s="27" t="s">
        <v>40</v>
      </c>
      <c r="J11135" s="28" t="s">
        <v>1106</v>
      </c>
      <c r="K11135" s="27" t="s">
        <v>40</v>
      </c>
      <c r="L11135" s="27"/>
    </row>
    <row r="11136" customFormat="false" ht="15" hidden="false" customHeight="false" outlineLevel="0" collapsed="false">
      <c r="A11136" s="26" t="s">
        <v>27185</v>
      </c>
      <c r="B11136" s="27" t="s">
        <v>27186</v>
      </c>
      <c r="C11136" s="27" t="s">
        <v>144</v>
      </c>
      <c r="D11136" s="26"/>
      <c r="E11136" s="27"/>
      <c r="F11136" s="27"/>
      <c r="G11136" s="27" t="s">
        <v>11122</v>
      </c>
      <c r="H11136" s="27" t="s">
        <v>35</v>
      </c>
      <c r="I11136" s="28" t="s">
        <v>46</v>
      </c>
      <c r="J11136" s="28" t="s">
        <v>1106</v>
      </c>
      <c r="K11136" s="27" t="s">
        <v>40</v>
      </c>
      <c r="L11136" s="27"/>
    </row>
    <row r="11137" customFormat="false" ht="15" hidden="false" customHeight="false" outlineLevel="0" collapsed="false">
      <c r="A11137" s="26" t="s">
        <v>27187</v>
      </c>
      <c r="B11137" s="28" t="s">
        <v>27188</v>
      </c>
      <c r="C11137" s="27" t="s">
        <v>370</v>
      </c>
      <c r="D11137" s="26"/>
      <c r="E11137" s="27"/>
      <c r="F11137" s="27"/>
      <c r="G11137" s="27" t="s">
        <v>11122</v>
      </c>
      <c r="H11137" s="27" t="s">
        <v>35</v>
      </c>
      <c r="I11137" s="28" t="s">
        <v>46</v>
      </c>
      <c r="J11137" s="28" t="s">
        <v>1106</v>
      </c>
      <c r="K11137" s="27" t="s">
        <v>40</v>
      </c>
      <c r="L11137" s="27"/>
    </row>
    <row r="11138" customFormat="false" ht="15" hidden="false" customHeight="false" outlineLevel="0" collapsed="false">
      <c r="A11138" s="26" t="s">
        <v>27189</v>
      </c>
      <c r="B11138" s="27" t="s">
        <v>27190</v>
      </c>
      <c r="C11138" s="27" t="s">
        <v>370</v>
      </c>
      <c r="D11138" s="26"/>
      <c r="E11138" s="27"/>
      <c r="F11138" s="27"/>
      <c r="G11138" s="27" t="s">
        <v>11122</v>
      </c>
      <c r="H11138" s="27" t="s">
        <v>35</v>
      </c>
      <c r="I11138" s="28" t="s">
        <v>46</v>
      </c>
      <c r="J11138" s="28" t="s">
        <v>1106</v>
      </c>
      <c r="K11138" s="27" t="s">
        <v>40</v>
      </c>
      <c r="L11138" s="27"/>
    </row>
    <row r="11139" customFormat="false" ht="15" hidden="false" customHeight="false" outlineLevel="0" collapsed="false">
      <c r="A11139" s="26" t="s">
        <v>27191</v>
      </c>
      <c r="B11139" s="27" t="s">
        <v>27192</v>
      </c>
      <c r="C11139" s="27" t="s">
        <v>370</v>
      </c>
      <c r="D11139" s="26"/>
      <c r="E11139" s="27"/>
      <c r="F11139" s="27"/>
      <c r="G11139" s="27" t="s">
        <v>11122</v>
      </c>
      <c r="H11139" s="27" t="s">
        <v>35</v>
      </c>
      <c r="I11139" s="27" t="s">
        <v>42</v>
      </c>
      <c r="J11139" s="28" t="s">
        <v>1106</v>
      </c>
      <c r="K11139" s="27" t="s">
        <v>40</v>
      </c>
      <c r="L11139" s="27"/>
    </row>
    <row r="11140" customFormat="false" ht="15" hidden="false" customHeight="false" outlineLevel="0" collapsed="false">
      <c r="A11140" s="26" t="s">
        <v>27193</v>
      </c>
      <c r="B11140" s="27" t="s">
        <v>27194</v>
      </c>
      <c r="C11140" s="27" t="s">
        <v>370</v>
      </c>
      <c r="D11140" s="26"/>
      <c r="E11140" s="27"/>
      <c r="F11140" s="27"/>
      <c r="G11140" s="27" t="s">
        <v>11122</v>
      </c>
      <c r="H11140" s="27" t="s">
        <v>35</v>
      </c>
      <c r="I11140" s="28" t="s">
        <v>46</v>
      </c>
      <c r="J11140" s="28" t="s">
        <v>1106</v>
      </c>
      <c r="K11140" s="27" t="s">
        <v>40</v>
      </c>
      <c r="L11140" s="27"/>
    </row>
    <row r="11141" customFormat="false" ht="15" hidden="false" customHeight="false" outlineLevel="0" collapsed="false">
      <c r="A11141" s="26" t="s">
        <v>27195</v>
      </c>
      <c r="B11141" s="27" t="s">
        <v>27196</v>
      </c>
      <c r="C11141" s="27" t="s">
        <v>370</v>
      </c>
      <c r="D11141" s="26"/>
      <c r="E11141" s="27"/>
      <c r="F11141" s="27"/>
      <c r="G11141" s="27" t="s">
        <v>11122</v>
      </c>
      <c r="H11141" s="27" t="s">
        <v>35</v>
      </c>
      <c r="I11141" s="28" t="s">
        <v>46</v>
      </c>
      <c r="J11141" s="28" t="s">
        <v>1106</v>
      </c>
      <c r="K11141" s="27" t="s">
        <v>40</v>
      </c>
      <c r="L11141" s="27"/>
    </row>
    <row r="11142" customFormat="false" ht="15" hidden="false" customHeight="false" outlineLevel="0" collapsed="false">
      <c r="A11142" s="26" t="s">
        <v>27197</v>
      </c>
      <c r="B11142" s="27" t="s">
        <v>27198</v>
      </c>
      <c r="C11142" s="27" t="s">
        <v>370</v>
      </c>
      <c r="D11142" s="26"/>
      <c r="E11142" s="27"/>
      <c r="F11142" s="27"/>
      <c r="G11142" s="27" t="s">
        <v>11122</v>
      </c>
      <c r="H11142" s="27" t="s">
        <v>35</v>
      </c>
      <c r="I11142" s="28" t="s">
        <v>46</v>
      </c>
      <c r="J11142" s="28" t="s">
        <v>1106</v>
      </c>
      <c r="K11142" s="27" t="s">
        <v>40</v>
      </c>
      <c r="L11142" s="27"/>
    </row>
    <row r="11143" customFormat="false" ht="15" hidden="false" customHeight="false" outlineLevel="0" collapsed="false">
      <c r="A11143" s="26" t="s">
        <v>27199</v>
      </c>
      <c r="B11143" s="27" t="s">
        <v>27200</v>
      </c>
      <c r="C11143" s="27" t="s">
        <v>370</v>
      </c>
      <c r="D11143" s="26"/>
      <c r="E11143" s="27"/>
      <c r="F11143" s="27"/>
      <c r="G11143" s="27" t="s">
        <v>11122</v>
      </c>
      <c r="H11143" s="27" t="s">
        <v>35</v>
      </c>
      <c r="I11143" s="28" t="s">
        <v>46</v>
      </c>
      <c r="J11143" s="28" t="s">
        <v>1106</v>
      </c>
      <c r="K11143" s="27" t="s">
        <v>40</v>
      </c>
      <c r="L11143" s="27"/>
    </row>
    <row r="11144" customFormat="false" ht="15" hidden="false" customHeight="false" outlineLevel="0" collapsed="false">
      <c r="A11144" s="26" t="s">
        <v>27201</v>
      </c>
      <c r="B11144" s="28" t="s">
        <v>27202</v>
      </c>
      <c r="C11144" s="27" t="s">
        <v>144</v>
      </c>
      <c r="D11144" s="26"/>
      <c r="E11144" s="27"/>
      <c r="F11144" s="27"/>
      <c r="G11144" s="27" t="s">
        <v>11122</v>
      </c>
      <c r="H11144" s="27" t="s">
        <v>35</v>
      </c>
      <c r="I11144" s="27" t="s">
        <v>41</v>
      </c>
      <c r="J11144" s="28" t="s">
        <v>1106</v>
      </c>
      <c r="K11144" s="27" t="s">
        <v>40</v>
      </c>
      <c r="L11144" s="27"/>
    </row>
    <row r="11145" customFormat="false" ht="15" hidden="false" customHeight="false" outlineLevel="0" collapsed="false">
      <c r="A11145" s="26" t="s">
        <v>27203</v>
      </c>
      <c r="B11145" s="27" t="s">
        <v>27204</v>
      </c>
      <c r="C11145" s="27" t="s">
        <v>144</v>
      </c>
      <c r="D11145" s="26"/>
      <c r="E11145" s="27"/>
      <c r="F11145" s="27"/>
      <c r="G11145" s="27" t="s">
        <v>11122</v>
      </c>
      <c r="H11145" s="27" t="s">
        <v>35</v>
      </c>
      <c r="I11145" s="28" t="s">
        <v>46</v>
      </c>
      <c r="J11145" s="28" t="s">
        <v>1106</v>
      </c>
      <c r="K11145" s="27" t="s">
        <v>40</v>
      </c>
      <c r="L11145" s="27"/>
    </row>
    <row r="11146" customFormat="false" ht="15" hidden="false" customHeight="false" outlineLevel="0" collapsed="false">
      <c r="A11146" s="26" t="s">
        <v>27205</v>
      </c>
      <c r="B11146" s="28" t="s">
        <v>27206</v>
      </c>
      <c r="C11146" s="27" t="s">
        <v>144</v>
      </c>
      <c r="D11146" s="26"/>
      <c r="E11146" s="27"/>
      <c r="F11146" s="27"/>
      <c r="G11146" s="27" t="s">
        <v>11122</v>
      </c>
      <c r="H11146" s="27" t="s">
        <v>35</v>
      </c>
      <c r="I11146" s="28" t="s">
        <v>46</v>
      </c>
      <c r="J11146" s="28" t="s">
        <v>1106</v>
      </c>
      <c r="K11146" s="27" t="s">
        <v>40</v>
      </c>
      <c r="L11146" s="27"/>
    </row>
    <row r="11147" customFormat="false" ht="15" hidden="false" customHeight="false" outlineLevel="0" collapsed="false">
      <c r="A11147" s="26" t="s">
        <v>27207</v>
      </c>
      <c r="B11147" s="27" t="s">
        <v>27208</v>
      </c>
      <c r="C11147" s="27" t="s">
        <v>144</v>
      </c>
      <c r="D11147" s="26"/>
      <c r="E11147" s="27"/>
      <c r="F11147" s="27"/>
      <c r="G11147" s="27" t="s">
        <v>11122</v>
      </c>
      <c r="H11147" s="27" t="s">
        <v>35</v>
      </c>
      <c r="I11147" s="27" t="s">
        <v>40</v>
      </c>
      <c r="J11147" s="28" t="s">
        <v>1106</v>
      </c>
      <c r="K11147" s="27" t="s">
        <v>40</v>
      </c>
      <c r="L11147" s="27"/>
    </row>
    <row r="11148" customFormat="false" ht="15" hidden="false" customHeight="false" outlineLevel="0" collapsed="false">
      <c r="A11148" s="26" t="s">
        <v>27209</v>
      </c>
      <c r="B11148" s="27" t="s">
        <v>27210</v>
      </c>
      <c r="C11148" s="27" t="s">
        <v>144</v>
      </c>
      <c r="D11148" s="26"/>
      <c r="E11148" s="27"/>
      <c r="F11148" s="27"/>
      <c r="G11148" s="27" t="s">
        <v>11122</v>
      </c>
      <c r="H11148" s="27" t="s">
        <v>35</v>
      </c>
      <c r="I11148" s="27" t="s">
        <v>48</v>
      </c>
      <c r="J11148" s="28" t="s">
        <v>1106</v>
      </c>
      <c r="K11148" s="27" t="s">
        <v>40</v>
      </c>
      <c r="L11148" s="27"/>
    </row>
    <row r="11149" customFormat="false" ht="15" hidden="false" customHeight="false" outlineLevel="0" collapsed="false">
      <c r="A11149" s="26" t="s">
        <v>27211</v>
      </c>
      <c r="B11149" s="28" t="s">
        <v>27212</v>
      </c>
      <c r="C11149" s="27" t="s">
        <v>2434</v>
      </c>
      <c r="D11149" s="26"/>
      <c r="E11149" s="27"/>
      <c r="F11149" s="27"/>
      <c r="G11149" s="27" t="s">
        <v>11122</v>
      </c>
      <c r="H11149" s="27" t="s">
        <v>35</v>
      </c>
      <c r="I11149" s="27" t="s">
        <v>48</v>
      </c>
      <c r="J11149" s="28" t="s">
        <v>1106</v>
      </c>
      <c r="K11149" s="27" t="s">
        <v>40</v>
      </c>
      <c r="L11149" s="27"/>
    </row>
    <row r="11150" customFormat="false" ht="15" hidden="false" customHeight="false" outlineLevel="0" collapsed="false">
      <c r="A11150" s="26" t="s">
        <v>27213</v>
      </c>
      <c r="B11150" s="28" t="s">
        <v>27214</v>
      </c>
      <c r="C11150" s="27" t="s">
        <v>144</v>
      </c>
      <c r="D11150" s="26"/>
      <c r="E11150" s="27"/>
      <c r="F11150" s="27"/>
      <c r="G11150" s="27" t="s">
        <v>11122</v>
      </c>
      <c r="H11150" s="27" t="s">
        <v>35</v>
      </c>
      <c r="I11150" s="27" t="s">
        <v>47</v>
      </c>
      <c r="J11150" s="28" t="s">
        <v>1106</v>
      </c>
      <c r="K11150" s="27" t="s">
        <v>40</v>
      </c>
      <c r="L11150" s="27"/>
    </row>
    <row r="11151" customFormat="false" ht="15" hidden="false" customHeight="false" outlineLevel="0" collapsed="false">
      <c r="A11151" s="26" t="s">
        <v>27215</v>
      </c>
      <c r="B11151" s="28" t="s">
        <v>27216</v>
      </c>
      <c r="C11151" s="27" t="s">
        <v>144</v>
      </c>
      <c r="D11151" s="26"/>
      <c r="E11151" s="27"/>
      <c r="F11151" s="27"/>
      <c r="G11151" s="27" t="s">
        <v>11122</v>
      </c>
      <c r="H11151" s="27" t="s">
        <v>35</v>
      </c>
      <c r="I11151" s="27" t="s">
        <v>48</v>
      </c>
      <c r="J11151" s="28" t="s">
        <v>1106</v>
      </c>
      <c r="K11151" s="27" t="s">
        <v>40</v>
      </c>
      <c r="L11151" s="27"/>
    </row>
    <row r="11152" customFormat="false" ht="15" hidden="false" customHeight="false" outlineLevel="0" collapsed="false">
      <c r="A11152" s="26" t="s">
        <v>27217</v>
      </c>
      <c r="B11152" s="28" t="s">
        <v>27218</v>
      </c>
      <c r="C11152" s="27" t="s">
        <v>144</v>
      </c>
      <c r="D11152" s="26"/>
      <c r="E11152" s="27"/>
      <c r="F11152" s="27"/>
      <c r="G11152" s="27" t="s">
        <v>11122</v>
      </c>
      <c r="H11152" s="27" t="s">
        <v>35</v>
      </c>
      <c r="I11152" s="27" t="s">
        <v>38</v>
      </c>
      <c r="J11152" s="28" t="s">
        <v>1106</v>
      </c>
      <c r="K11152" s="27" t="s">
        <v>40</v>
      </c>
      <c r="L11152" s="27"/>
    </row>
    <row r="11153" customFormat="false" ht="15" hidden="false" customHeight="false" outlineLevel="0" collapsed="false">
      <c r="A11153" s="26" t="s">
        <v>27219</v>
      </c>
      <c r="B11153" s="27" t="s">
        <v>27220</v>
      </c>
      <c r="C11153" s="27" t="s">
        <v>144</v>
      </c>
      <c r="D11153" s="26"/>
      <c r="E11153" s="27"/>
      <c r="F11153" s="27"/>
      <c r="G11153" s="27" t="s">
        <v>11122</v>
      </c>
      <c r="H11153" s="27" t="s">
        <v>35</v>
      </c>
      <c r="I11153" s="28" t="s">
        <v>46</v>
      </c>
      <c r="J11153" s="28" t="s">
        <v>1106</v>
      </c>
      <c r="K11153" s="27" t="s">
        <v>40</v>
      </c>
      <c r="L11153" s="27"/>
    </row>
    <row r="11154" customFormat="false" ht="15" hidden="false" customHeight="false" outlineLevel="0" collapsed="false">
      <c r="A11154" s="26" t="s">
        <v>27221</v>
      </c>
      <c r="B11154" s="28" t="s">
        <v>27222</v>
      </c>
      <c r="C11154" s="27" t="s">
        <v>370</v>
      </c>
      <c r="D11154" s="26"/>
      <c r="E11154" s="27"/>
      <c r="F11154" s="27"/>
      <c r="G11154" s="27" t="s">
        <v>11122</v>
      </c>
      <c r="H11154" s="27" t="s">
        <v>35</v>
      </c>
      <c r="I11154" s="27" t="s">
        <v>40</v>
      </c>
      <c r="J11154" s="28" t="s">
        <v>1106</v>
      </c>
      <c r="K11154" s="27" t="s">
        <v>40</v>
      </c>
      <c r="L11154" s="27"/>
    </row>
    <row r="11155" customFormat="false" ht="15" hidden="false" customHeight="false" outlineLevel="0" collapsed="false">
      <c r="A11155" s="26" t="s">
        <v>27223</v>
      </c>
      <c r="B11155" s="28" t="s">
        <v>27224</v>
      </c>
      <c r="C11155" s="27" t="s">
        <v>144</v>
      </c>
      <c r="D11155" s="26"/>
      <c r="E11155" s="27"/>
      <c r="F11155" s="27"/>
      <c r="G11155" s="27" t="s">
        <v>11122</v>
      </c>
      <c r="H11155" s="27" t="s">
        <v>35</v>
      </c>
      <c r="I11155" s="27" t="s">
        <v>40</v>
      </c>
      <c r="J11155" s="28" t="s">
        <v>1106</v>
      </c>
      <c r="K11155" s="27" t="s">
        <v>40</v>
      </c>
      <c r="L11155" s="27"/>
    </row>
    <row r="11156" customFormat="false" ht="15" hidden="false" customHeight="false" outlineLevel="0" collapsed="false">
      <c r="A11156" s="26" t="s">
        <v>27225</v>
      </c>
      <c r="B11156" s="27" t="s">
        <v>12781</v>
      </c>
      <c r="C11156" s="27" t="s">
        <v>144</v>
      </c>
      <c r="D11156" s="26"/>
      <c r="E11156" s="27"/>
      <c r="F11156" s="27"/>
      <c r="G11156" s="27" t="s">
        <v>11122</v>
      </c>
      <c r="H11156" s="27" t="s">
        <v>35</v>
      </c>
      <c r="I11156" s="27" t="s">
        <v>41</v>
      </c>
      <c r="J11156" s="28" t="s">
        <v>1106</v>
      </c>
      <c r="K11156" s="27" t="s">
        <v>40</v>
      </c>
      <c r="L11156" s="27"/>
    </row>
    <row r="11157" customFormat="false" ht="15" hidden="false" customHeight="false" outlineLevel="0" collapsed="false">
      <c r="A11157" s="26" t="s">
        <v>27226</v>
      </c>
      <c r="B11157" s="27" t="s">
        <v>27227</v>
      </c>
      <c r="C11157" s="27" t="s">
        <v>144</v>
      </c>
      <c r="D11157" s="26"/>
      <c r="E11157" s="27"/>
      <c r="F11157" s="27"/>
      <c r="G11157" s="27" t="s">
        <v>11122</v>
      </c>
      <c r="H11157" s="27" t="s">
        <v>35</v>
      </c>
      <c r="I11157" s="28" t="s">
        <v>46</v>
      </c>
      <c r="J11157" s="28" t="s">
        <v>1106</v>
      </c>
      <c r="K11157" s="27" t="s">
        <v>40</v>
      </c>
      <c r="L11157" s="27"/>
    </row>
    <row r="11158" customFormat="false" ht="15" hidden="false" customHeight="false" outlineLevel="0" collapsed="false">
      <c r="A11158" s="26" t="s">
        <v>27228</v>
      </c>
      <c r="B11158" s="27" t="s">
        <v>27229</v>
      </c>
      <c r="C11158" s="27" t="s">
        <v>144</v>
      </c>
      <c r="D11158" s="26"/>
      <c r="E11158" s="27"/>
      <c r="F11158" s="27"/>
      <c r="G11158" s="27" t="s">
        <v>11122</v>
      </c>
      <c r="H11158" s="27" t="s">
        <v>35</v>
      </c>
      <c r="I11158" s="27" t="s">
        <v>40</v>
      </c>
      <c r="J11158" s="28" t="s">
        <v>1106</v>
      </c>
      <c r="K11158" s="27" t="s">
        <v>40</v>
      </c>
      <c r="L11158" s="27"/>
    </row>
    <row r="11159" customFormat="false" ht="15" hidden="false" customHeight="false" outlineLevel="0" collapsed="false">
      <c r="A11159" s="26" t="s">
        <v>27230</v>
      </c>
      <c r="B11159" s="27" t="s">
        <v>27231</v>
      </c>
      <c r="C11159" s="27" t="s">
        <v>144</v>
      </c>
      <c r="D11159" s="26"/>
      <c r="E11159" s="27"/>
      <c r="F11159" s="27"/>
      <c r="G11159" s="27" t="s">
        <v>11122</v>
      </c>
      <c r="H11159" s="27" t="s">
        <v>35</v>
      </c>
      <c r="I11159" s="28" t="s">
        <v>46</v>
      </c>
      <c r="J11159" s="28" t="s">
        <v>1106</v>
      </c>
      <c r="K11159" s="27" t="s">
        <v>40</v>
      </c>
      <c r="L11159" s="27"/>
    </row>
    <row r="11160" customFormat="false" ht="15" hidden="false" customHeight="false" outlineLevel="0" collapsed="false">
      <c r="A11160" s="26" t="s">
        <v>27232</v>
      </c>
      <c r="B11160" s="28" t="s">
        <v>27233</v>
      </c>
      <c r="C11160" s="27" t="s">
        <v>370</v>
      </c>
      <c r="D11160" s="26"/>
      <c r="E11160" s="27"/>
      <c r="F11160" s="27"/>
      <c r="G11160" s="27" t="s">
        <v>11122</v>
      </c>
      <c r="H11160" s="27" t="s">
        <v>35</v>
      </c>
      <c r="I11160" s="28" t="s">
        <v>46</v>
      </c>
      <c r="J11160" s="28" t="s">
        <v>1106</v>
      </c>
      <c r="K11160" s="27" t="s">
        <v>40</v>
      </c>
      <c r="L11160" s="27"/>
    </row>
    <row r="11161" customFormat="false" ht="15" hidden="false" customHeight="false" outlineLevel="0" collapsed="false">
      <c r="A11161" s="26" t="s">
        <v>27234</v>
      </c>
      <c r="B11161" s="27" t="s">
        <v>27235</v>
      </c>
      <c r="C11161" s="27" t="s">
        <v>137</v>
      </c>
      <c r="D11161" s="26"/>
      <c r="E11161" s="27"/>
      <c r="F11161" s="27"/>
      <c r="G11161" s="27" t="s">
        <v>11122</v>
      </c>
      <c r="H11161" s="27" t="s">
        <v>35</v>
      </c>
      <c r="I11161" s="27" t="s">
        <v>49</v>
      </c>
      <c r="J11161" s="28" t="s">
        <v>1106</v>
      </c>
      <c r="K11161" s="27" t="s">
        <v>40</v>
      </c>
      <c r="L11161" s="27"/>
    </row>
    <row r="11162" customFormat="false" ht="15" hidden="false" customHeight="false" outlineLevel="0" collapsed="false">
      <c r="A11162" s="26" t="s">
        <v>27236</v>
      </c>
      <c r="B11162" s="28" t="s">
        <v>27237</v>
      </c>
      <c r="C11162" s="27" t="s">
        <v>144</v>
      </c>
      <c r="D11162" s="26"/>
      <c r="E11162" s="27"/>
      <c r="F11162" s="27"/>
      <c r="G11162" s="27" t="s">
        <v>11122</v>
      </c>
      <c r="H11162" s="27" t="s">
        <v>35</v>
      </c>
      <c r="I11162" s="27" t="s">
        <v>40</v>
      </c>
      <c r="J11162" s="28" t="s">
        <v>1106</v>
      </c>
      <c r="K11162" s="27" t="s">
        <v>40</v>
      </c>
      <c r="L11162" s="27"/>
    </row>
    <row r="11163" customFormat="false" ht="15" hidden="false" customHeight="false" outlineLevel="0" collapsed="false">
      <c r="A11163" s="26" t="s">
        <v>27238</v>
      </c>
      <c r="B11163" s="27" t="s">
        <v>27239</v>
      </c>
      <c r="C11163" s="27" t="s">
        <v>137</v>
      </c>
      <c r="D11163" s="26"/>
      <c r="E11163" s="27"/>
      <c r="F11163" s="27"/>
      <c r="G11163" s="27" t="s">
        <v>11122</v>
      </c>
      <c r="H11163" s="27" t="s">
        <v>35</v>
      </c>
      <c r="I11163" s="27" t="s">
        <v>49</v>
      </c>
      <c r="J11163" s="28" t="s">
        <v>1106</v>
      </c>
      <c r="K11163" s="27" t="s">
        <v>40</v>
      </c>
      <c r="L11163" s="27"/>
    </row>
    <row r="11164" customFormat="false" ht="15" hidden="false" customHeight="false" outlineLevel="0" collapsed="false">
      <c r="A11164" s="26" t="s">
        <v>27240</v>
      </c>
      <c r="B11164" s="27" t="s">
        <v>27241</v>
      </c>
      <c r="C11164" s="27" t="s">
        <v>144</v>
      </c>
      <c r="D11164" s="26"/>
      <c r="E11164" s="27"/>
      <c r="F11164" s="27"/>
      <c r="G11164" s="27" t="s">
        <v>11122</v>
      </c>
      <c r="H11164" s="27" t="s">
        <v>35</v>
      </c>
      <c r="I11164" s="28" t="s">
        <v>46</v>
      </c>
      <c r="J11164" s="28" t="s">
        <v>1106</v>
      </c>
      <c r="K11164" s="27" t="s">
        <v>40</v>
      </c>
      <c r="L11164" s="27"/>
    </row>
    <row r="11165" customFormat="false" ht="15" hidden="false" customHeight="false" outlineLevel="0" collapsed="false">
      <c r="A11165" s="26" t="s">
        <v>27242</v>
      </c>
      <c r="B11165" s="27" t="s">
        <v>27243</v>
      </c>
      <c r="C11165" s="27" t="s">
        <v>144</v>
      </c>
      <c r="D11165" s="26"/>
      <c r="E11165" s="27"/>
      <c r="F11165" s="27"/>
      <c r="G11165" s="27" t="s">
        <v>11122</v>
      </c>
      <c r="H11165" s="27" t="s">
        <v>35</v>
      </c>
      <c r="I11165" s="27" t="s">
        <v>40</v>
      </c>
      <c r="J11165" s="28" t="s">
        <v>1106</v>
      </c>
      <c r="K11165" s="27" t="s">
        <v>40</v>
      </c>
      <c r="L11165" s="27"/>
    </row>
    <row r="11166" customFormat="false" ht="15" hidden="false" customHeight="false" outlineLevel="0" collapsed="false">
      <c r="A11166" s="26" t="s">
        <v>27244</v>
      </c>
      <c r="B11166" s="27" t="s">
        <v>27245</v>
      </c>
      <c r="C11166" s="27" t="s">
        <v>144</v>
      </c>
      <c r="D11166" s="26"/>
      <c r="E11166" s="27"/>
      <c r="F11166" s="27"/>
      <c r="G11166" s="27" t="s">
        <v>11122</v>
      </c>
      <c r="H11166" s="27" t="s">
        <v>35</v>
      </c>
      <c r="I11166" s="27" t="s">
        <v>48</v>
      </c>
      <c r="J11166" s="28" t="s">
        <v>1106</v>
      </c>
      <c r="K11166" s="27" t="s">
        <v>40</v>
      </c>
      <c r="L11166" s="27"/>
    </row>
    <row r="11167" customFormat="false" ht="15" hidden="false" customHeight="false" outlineLevel="0" collapsed="false">
      <c r="A11167" s="26" t="s">
        <v>27246</v>
      </c>
      <c r="B11167" s="27" t="s">
        <v>27247</v>
      </c>
      <c r="C11167" s="27" t="s">
        <v>144</v>
      </c>
      <c r="D11167" s="26"/>
      <c r="E11167" s="27"/>
      <c r="F11167" s="27"/>
      <c r="G11167" s="27" t="s">
        <v>11122</v>
      </c>
      <c r="H11167" s="27" t="s">
        <v>35</v>
      </c>
      <c r="I11167" s="27" t="s">
        <v>40</v>
      </c>
      <c r="J11167" s="28" t="s">
        <v>1106</v>
      </c>
      <c r="K11167" s="27" t="s">
        <v>40</v>
      </c>
      <c r="L11167" s="27"/>
    </row>
    <row r="11168" customFormat="false" ht="15" hidden="false" customHeight="false" outlineLevel="0" collapsed="false">
      <c r="A11168" s="26" t="s">
        <v>27248</v>
      </c>
      <c r="B11168" s="27" t="s">
        <v>27249</v>
      </c>
      <c r="C11168" s="27" t="s">
        <v>144</v>
      </c>
      <c r="D11168" s="26"/>
      <c r="E11168" s="27"/>
      <c r="F11168" s="27"/>
      <c r="G11168" s="27" t="s">
        <v>11122</v>
      </c>
      <c r="H11168" s="27" t="s">
        <v>35</v>
      </c>
      <c r="I11168" s="28" t="s">
        <v>46</v>
      </c>
      <c r="J11168" s="28" t="s">
        <v>1106</v>
      </c>
      <c r="K11168" s="27" t="s">
        <v>40</v>
      </c>
      <c r="L11168" s="27"/>
    </row>
    <row r="11169" customFormat="false" ht="15" hidden="false" customHeight="false" outlineLevel="0" collapsed="false">
      <c r="A11169" s="26" t="s">
        <v>27250</v>
      </c>
      <c r="B11169" s="27" t="s">
        <v>27251</v>
      </c>
      <c r="C11169" s="27" t="s">
        <v>144</v>
      </c>
      <c r="D11169" s="26"/>
      <c r="E11169" s="27"/>
      <c r="F11169" s="27"/>
      <c r="G11169" s="27" t="s">
        <v>11122</v>
      </c>
      <c r="H11169" s="27" t="s">
        <v>35</v>
      </c>
      <c r="I11169" s="27" t="s">
        <v>40</v>
      </c>
      <c r="J11169" s="28" t="s">
        <v>1106</v>
      </c>
      <c r="K11169" s="27" t="s">
        <v>40</v>
      </c>
      <c r="L11169" s="27"/>
    </row>
    <row r="11170" customFormat="false" ht="15" hidden="false" customHeight="false" outlineLevel="0" collapsed="false">
      <c r="A11170" s="26" t="s">
        <v>27252</v>
      </c>
      <c r="B11170" s="27" t="s">
        <v>27253</v>
      </c>
      <c r="C11170" s="27" t="s">
        <v>144</v>
      </c>
      <c r="D11170" s="26"/>
      <c r="E11170" s="27"/>
      <c r="F11170" s="27"/>
      <c r="G11170" s="27" t="s">
        <v>11122</v>
      </c>
      <c r="H11170" s="27" t="s">
        <v>35</v>
      </c>
      <c r="I11170" s="27" t="s">
        <v>40</v>
      </c>
      <c r="J11170" s="28" t="s">
        <v>1106</v>
      </c>
      <c r="K11170" s="27" t="s">
        <v>40</v>
      </c>
      <c r="L11170" s="27"/>
    </row>
    <row r="11171" customFormat="false" ht="15" hidden="false" customHeight="false" outlineLevel="0" collapsed="false">
      <c r="A11171" s="26" t="s">
        <v>27254</v>
      </c>
      <c r="B11171" s="27" t="s">
        <v>27255</v>
      </c>
      <c r="C11171" s="27" t="s">
        <v>144</v>
      </c>
      <c r="D11171" s="26"/>
      <c r="E11171" s="27"/>
      <c r="F11171" s="27"/>
      <c r="G11171" s="27" t="s">
        <v>11122</v>
      </c>
      <c r="H11171" s="27" t="s">
        <v>35</v>
      </c>
      <c r="I11171" s="27" t="s">
        <v>42</v>
      </c>
      <c r="J11171" s="28" t="s">
        <v>1106</v>
      </c>
      <c r="K11171" s="27" t="s">
        <v>40</v>
      </c>
      <c r="L11171" s="27"/>
    </row>
    <row r="11172" customFormat="false" ht="15" hidden="false" customHeight="false" outlineLevel="0" collapsed="false">
      <c r="A11172" s="26" t="s">
        <v>27256</v>
      </c>
      <c r="B11172" s="27" t="s">
        <v>27257</v>
      </c>
      <c r="C11172" s="27" t="s">
        <v>144</v>
      </c>
      <c r="D11172" s="26"/>
      <c r="E11172" s="27"/>
      <c r="F11172" s="27"/>
      <c r="G11172" s="27" t="s">
        <v>11122</v>
      </c>
      <c r="H11172" s="27" t="s">
        <v>35</v>
      </c>
      <c r="I11172" s="27" t="s">
        <v>40</v>
      </c>
      <c r="J11172" s="28" t="s">
        <v>1106</v>
      </c>
      <c r="K11172" s="27" t="s">
        <v>40</v>
      </c>
      <c r="L11172" s="27"/>
    </row>
    <row r="11173" customFormat="false" ht="15" hidden="false" customHeight="false" outlineLevel="0" collapsed="false">
      <c r="A11173" s="26" t="s">
        <v>27258</v>
      </c>
      <c r="B11173" s="27" t="s">
        <v>27259</v>
      </c>
      <c r="C11173" s="27" t="s">
        <v>144</v>
      </c>
      <c r="D11173" s="26"/>
      <c r="E11173" s="27"/>
      <c r="F11173" s="27"/>
      <c r="G11173" s="27" t="s">
        <v>11122</v>
      </c>
      <c r="H11173" s="27" t="s">
        <v>35</v>
      </c>
      <c r="I11173" s="27" t="s">
        <v>42</v>
      </c>
      <c r="J11173" s="28" t="s">
        <v>1106</v>
      </c>
      <c r="K11173" s="27" t="s">
        <v>40</v>
      </c>
      <c r="L11173" s="27"/>
    </row>
    <row r="11174" customFormat="false" ht="15" hidden="false" customHeight="false" outlineLevel="0" collapsed="false">
      <c r="A11174" s="26" t="s">
        <v>27260</v>
      </c>
      <c r="B11174" s="27" t="s">
        <v>27261</v>
      </c>
      <c r="C11174" s="27" t="s">
        <v>370</v>
      </c>
      <c r="D11174" s="26"/>
      <c r="E11174" s="27"/>
      <c r="F11174" s="27"/>
      <c r="G11174" s="27" t="s">
        <v>11122</v>
      </c>
      <c r="H11174" s="27" t="s">
        <v>35</v>
      </c>
      <c r="I11174" s="28" t="s">
        <v>46</v>
      </c>
      <c r="J11174" s="28" t="s">
        <v>1106</v>
      </c>
      <c r="K11174" s="27" t="s">
        <v>40</v>
      </c>
      <c r="L11174" s="27"/>
    </row>
    <row r="11175" customFormat="false" ht="15" hidden="false" customHeight="false" outlineLevel="0" collapsed="false">
      <c r="A11175" s="26" t="s">
        <v>27262</v>
      </c>
      <c r="B11175" s="27" t="s">
        <v>27263</v>
      </c>
      <c r="C11175" s="27" t="s">
        <v>144</v>
      </c>
      <c r="D11175" s="26"/>
      <c r="E11175" s="27"/>
      <c r="F11175" s="27"/>
      <c r="G11175" s="27" t="s">
        <v>11122</v>
      </c>
      <c r="H11175" s="27" t="s">
        <v>35</v>
      </c>
      <c r="I11175" s="27" t="s">
        <v>42</v>
      </c>
      <c r="J11175" s="28" t="s">
        <v>1106</v>
      </c>
      <c r="K11175" s="27" t="s">
        <v>40</v>
      </c>
      <c r="L11175" s="27"/>
    </row>
    <row r="11176" customFormat="false" ht="15" hidden="false" customHeight="false" outlineLevel="0" collapsed="false">
      <c r="A11176" s="26" t="s">
        <v>27264</v>
      </c>
      <c r="B11176" s="27" t="s">
        <v>27265</v>
      </c>
      <c r="C11176" s="27" t="s">
        <v>144</v>
      </c>
      <c r="D11176" s="26"/>
      <c r="E11176" s="27"/>
      <c r="F11176" s="27"/>
      <c r="G11176" s="27" t="s">
        <v>11122</v>
      </c>
      <c r="H11176" s="27" t="s">
        <v>35</v>
      </c>
      <c r="I11176" s="27" t="s">
        <v>37</v>
      </c>
      <c r="J11176" s="28" t="s">
        <v>1106</v>
      </c>
      <c r="K11176" s="27" t="s">
        <v>40</v>
      </c>
      <c r="L11176" s="27"/>
    </row>
    <row r="11177" customFormat="false" ht="15" hidden="false" customHeight="false" outlineLevel="0" collapsed="false">
      <c r="A11177" s="26" t="s">
        <v>27266</v>
      </c>
      <c r="B11177" s="27" t="s">
        <v>27267</v>
      </c>
      <c r="C11177" s="27" t="s">
        <v>144</v>
      </c>
      <c r="D11177" s="26"/>
      <c r="E11177" s="27"/>
      <c r="F11177" s="27"/>
      <c r="G11177" s="27" t="s">
        <v>11122</v>
      </c>
      <c r="H11177" s="27" t="s">
        <v>35</v>
      </c>
      <c r="I11177" s="27" t="s">
        <v>44</v>
      </c>
      <c r="J11177" s="28" t="s">
        <v>1106</v>
      </c>
      <c r="K11177" s="27" t="s">
        <v>40</v>
      </c>
      <c r="L11177" s="27"/>
    </row>
    <row r="11178" customFormat="false" ht="15" hidden="false" customHeight="false" outlineLevel="0" collapsed="false">
      <c r="A11178" s="26" t="s">
        <v>27268</v>
      </c>
      <c r="B11178" s="27" t="s">
        <v>27269</v>
      </c>
      <c r="C11178" s="27" t="s">
        <v>370</v>
      </c>
      <c r="D11178" s="26"/>
      <c r="E11178" s="27"/>
      <c r="F11178" s="27"/>
      <c r="G11178" s="27" t="s">
        <v>11122</v>
      </c>
      <c r="H11178" s="27" t="s">
        <v>35</v>
      </c>
      <c r="I11178" s="27" t="s">
        <v>43</v>
      </c>
      <c r="J11178" s="28" t="s">
        <v>1106</v>
      </c>
      <c r="K11178" s="27" t="s">
        <v>40</v>
      </c>
      <c r="L11178" s="27"/>
    </row>
    <row r="11179" customFormat="false" ht="15" hidden="false" customHeight="false" outlineLevel="0" collapsed="false">
      <c r="A11179" s="26" t="s">
        <v>27270</v>
      </c>
      <c r="B11179" s="27" t="s">
        <v>27271</v>
      </c>
      <c r="C11179" s="27" t="s">
        <v>144</v>
      </c>
      <c r="D11179" s="26"/>
      <c r="E11179" s="27"/>
      <c r="F11179" s="27"/>
      <c r="G11179" s="27" t="s">
        <v>11122</v>
      </c>
      <c r="H11179" s="27" t="s">
        <v>35</v>
      </c>
      <c r="I11179" s="27" t="s">
        <v>40</v>
      </c>
      <c r="J11179" s="28" t="s">
        <v>1106</v>
      </c>
      <c r="K11179" s="27" t="s">
        <v>40</v>
      </c>
      <c r="L11179" s="27"/>
    </row>
    <row r="11180" customFormat="false" ht="15" hidden="false" customHeight="false" outlineLevel="0" collapsed="false">
      <c r="A11180" s="26" t="s">
        <v>27272</v>
      </c>
      <c r="B11180" s="28" t="s">
        <v>27273</v>
      </c>
      <c r="C11180" s="27" t="s">
        <v>370</v>
      </c>
      <c r="D11180" s="26"/>
      <c r="E11180" s="27"/>
      <c r="F11180" s="27"/>
      <c r="G11180" s="27" t="s">
        <v>11122</v>
      </c>
      <c r="H11180" s="27" t="s">
        <v>35</v>
      </c>
      <c r="I11180" s="27" t="s">
        <v>41</v>
      </c>
      <c r="J11180" s="28" t="s">
        <v>1106</v>
      </c>
      <c r="K11180" s="27" t="s">
        <v>40</v>
      </c>
      <c r="L11180" s="27"/>
    </row>
    <row r="11181" customFormat="false" ht="15" hidden="false" customHeight="false" outlineLevel="0" collapsed="false">
      <c r="A11181" s="26" t="s">
        <v>27274</v>
      </c>
      <c r="B11181" s="27" t="s">
        <v>27275</v>
      </c>
      <c r="C11181" s="27" t="s">
        <v>137</v>
      </c>
      <c r="D11181" s="26"/>
      <c r="E11181" s="27"/>
      <c r="F11181" s="27"/>
      <c r="G11181" s="27" t="s">
        <v>11122</v>
      </c>
      <c r="H11181" s="27" t="s">
        <v>35</v>
      </c>
      <c r="I11181" s="27" t="s">
        <v>64</v>
      </c>
      <c r="J11181" s="28" t="s">
        <v>1106</v>
      </c>
      <c r="K11181" s="27" t="s">
        <v>40</v>
      </c>
      <c r="L11181" s="27"/>
    </row>
    <row r="11182" customFormat="false" ht="15" hidden="false" customHeight="false" outlineLevel="0" collapsed="false">
      <c r="A11182" s="26" t="s">
        <v>27276</v>
      </c>
      <c r="B11182" s="27" t="s">
        <v>27277</v>
      </c>
      <c r="C11182" s="27" t="s">
        <v>144</v>
      </c>
      <c r="D11182" s="26"/>
      <c r="E11182" s="27"/>
      <c r="F11182" s="27"/>
      <c r="G11182" s="27" t="s">
        <v>11122</v>
      </c>
      <c r="H11182" s="27" t="s">
        <v>35</v>
      </c>
      <c r="I11182" s="27" t="s">
        <v>4159</v>
      </c>
      <c r="J11182" s="28" t="s">
        <v>1106</v>
      </c>
      <c r="K11182" s="27" t="s">
        <v>40</v>
      </c>
      <c r="L11182" s="27"/>
    </row>
    <row r="11183" customFormat="false" ht="15" hidden="false" customHeight="false" outlineLevel="0" collapsed="false">
      <c r="A11183" s="26" t="s">
        <v>27278</v>
      </c>
      <c r="B11183" s="27" t="s">
        <v>27279</v>
      </c>
      <c r="C11183" s="27" t="s">
        <v>144</v>
      </c>
      <c r="D11183" s="26"/>
      <c r="E11183" s="27"/>
      <c r="F11183" s="27"/>
      <c r="G11183" s="27" t="s">
        <v>11122</v>
      </c>
      <c r="H11183" s="27" t="s">
        <v>35</v>
      </c>
      <c r="I11183" s="27" t="s">
        <v>4159</v>
      </c>
      <c r="J11183" s="28" t="s">
        <v>1106</v>
      </c>
      <c r="K11183" s="27" t="s">
        <v>40</v>
      </c>
      <c r="L11183" s="27"/>
    </row>
    <row r="11184" customFormat="false" ht="15" hidden="false" customHeight="false" outlineLevel="0" collapsed="false">
      <c r="A11184" s="26" t="s">
        <v>27280</v>
      </c>
      <c r="B11184" s="27" t="s">
        <v>27281</v>
      </c>
      <c r="C11184" s="27" t="s">
        <v>144</v>
      </c>
      <c r="D11184" s="26"/>
      <c r="E11184" s="27"/>
      <c r="F11184" s="27"/>
      <c r="G11184" s="27" t="s">
        <v>11122</v>
      </c>
      <c r="H11184" s="27" t="s">
        <v>35</v>
      </c>
      <c r="I11184" s="27" t="s">
        <v>4159</v>
      </c>
      <c r="J11184" s="28" t="s">
        <v>1106</v>
      </c>
      <c r="K11184" s="27" t="s">
        <v>40</v>
      </c>
      <c r="L11184" s="27"/>
    </row>
    <row r="11185" customFormat="false" ht="15" hidden="false" customHeight="false" outlineLevel="0" collapsed="false">
      <c r="A11185" s="26" t="s">
        <v>27282</v>
      </c>
      <c r="B11185" s="27" t="s">
        <v>27283</v>
      </c>
      <c r="C11185" s="27" t="s">
        <v>144</v>
      </c>
      <c r="D11185" s="26"/>
      <c r="E11185" s="27"/>
      <c r="F11185" s="27"/>
      <c r="G11185" s="27" t="s">
        <v>11122</v>
      </c>
      <c r="H11185" s="27" t="s">
        <v>35</v>
      </c>
      <c r="I11185" s="28" t="s">
        <v>46</v>
      </c>
      <c r="J11185" s="28" t="s">
        <v>1106</v>
      </c>
      <c r="K11185" s="27" t="s">
        <v>40</v>
      </c>
      <c r="L11185" s="27"/>
    </row>
    <row r="11186" customFormat="false" ht="15" hidden="false" customHeight="false" outlineLevel="0" collapsed="false">
      <c r="A11186" s="26" t="s">
        <v>27284</v>
      </c>
      <c r="B11186" s="27" t="s">
        <v>27285</v>
      </c>
      <c r="C11186" s="27" t="s">
        <v>144</v>
      </c>
      <c r="D11186" s="26"/>
      <c r="E11186" s="27"/>
      <c r="F11186" s="27"/>
      <c r="G11186" s="27" t="s">
        <v>11122</v>
      </c>
      <c r="H11186" s="27" t="s">
        <v>35</v>
      </c>
      <c r="I11186" s="28" t="s">
        <v>46</v>
      </c>
      <c r="J11186" s="28" t="s">
        <v>1106</v>
      </c>
      <c r="K11186" s="27" t="s">
        <v>40</v>
      </c>
      <c r="L11186" s="27"/>
    </row>
    <row r="11187" customFormat="false" ht="15" hidden="false" customHeight="false" outlineLevel="0" collapsed="false">
      <c r="A11187" s="26" t="s">
        <v>27286</v>
      </c>
      <c r="B11187" s="27" t="s">
        <v>27287</v>
      </c>
      <c r="C11187" s="27" t="s">
        <v>144</v>
      </c>
      <c r="D11187" s="26"/>
      <c r="E11187" s="27"/>
      <c r="F11187" s="27"/>
      <c r="G11187" s="27" t="s">
        <v>11122</v>
      </c>
      <c r="H11187" s="27" t="s">
        <v>35</v>
      </c>
      <c r="I11187" s="27" t="s">
        <v>40</v>
      </c>
      <c r="J11187" s="28" t="s">
        <v>1106</v>
      </c>
      <c r="K11187" s="27" t="s">
        <v>40</v>
      </c>
      <c r="L11187" s="27"/>
    </row>
    <row r="11188" customFormat="false" ht="15" hidden="false" customHeight="false" outlineLevel="0" collapsed="false">
      <c r="A11188" s="26" t="s">
        <v>27288</v>
      </c>
      <c r="B11188" s="27" t="s">
        <v>27289</v>
      </c>
      <c r="C11188" s="27" t="s">
        <v>144</v>
      </c>
      <c r="D11188" s="26"/>
      <c r="E11188" s="27"/>
      <c r="F11188" s="27"/>
      <c r="G11188" s="27" t="s">
        <v>11122</v>
      </c>
      <c r="H11188" s="27" t="s">
        <v>35</v>
      </c>
      <c r="I11188" s="27" t="s">
        <v>38</v>
      </c>
      <c r="J11188" s="28" t="s">
        <v>1106</v>
      </c>
      <c r="K11188" s="27" t="s">
        <v>40</v>
      </c>
      <c r="L11188" s="27"/>
    </row>
    <row r="11189" customFormat="false" ht="15" hidden="false" customHeight="false" outlineLevel="0" collapsed="false">
      <c r="A11189" s="26" t="s">
        <v>27290</v>
      </c>
      <c r="B11189" s="27" t="s">
        <v>27291</v>
      </c>
      <c r="C11189" s="27" t="s">
        <v>144</v>
      </c>
      <c r="D11189" s="26"/>
      <c r="E11189" s="27"/>
      <c r="F11189" s="27"/>
      <c r="G11189" s="27" t="s">
        <v>11122</v>
      </c>
      <c r="H11189" s="27" t="s">
        <v>35</v>
      </c>
      <c r="I11189" s="27" t="s">
        <v>40</v>
      </c>
      <c r="J11189" s="28" t="s">
        <v>1106</v>
      </c>
      <c r="K11189" s="27" t="s">
        <v>40</v>
      </c>
      <c r="L11189" s="27"/>
    </row>
    <row r="11190" customFormat="false" ht="15" hidden="false" customHeight="false" outlineLevel="0" collapsed="false">
      <c r="A11190" s="26" t="s">
        <v>27292</v>
      </c>
      <c r="B11190" s="27" t="s">
        <v>27293</v>
      </c>
      <c r="C11190" s="27" t="s">
        <v>144</v>
      </c>
      <c r="D11190" s="26"/>
      <c r="E11190" s="27"/>
      <c r="F11190" s="27"/>
      <c r="G11190" s="27" t="s">
        <v>11122</v>
      </c>
      <c r="H11190" s="27" t="s">
        <v>35</v>
      </c>
      <c r="I11190" s="27" t="s">
        <v>4159</v>
      </c>
      <c r="J11190" s="28" t="s">
        <v>1106</v>
      </c>
      <c r="K11190" s="27" t="s">
        <v>40</v>
      </c>
      <c r="L11190" s="27"/>
    </row>
    <row r="11191" customFormat="false" ht="15" hidden="false" customHeight="false" outlineLevel="0" collapsed="false">
      <c r="A11191" s="26" t="s">
        <v>27294</v>
      </c>
      <c r="B11191" s="27" t="s">
        <v>27295</v>
      </c>
      <c r="C11191" s="27" t="s">
        <v>144</v>
      </c>
      <c r="D11191" s="26"/>
      <c r="E11191" s="27"/>
      <c r="F11191" s="27"/>
      <c r="G11191" s="27" t="s">
        <v>11122</v>
      </c>
      <c r="H11191" s="27" t="s">
        <v>35</v>
      </c>
      <c r="I11191" s="27" t="s">
        <v>40</v>
      </c>
      <c r="J11191" s="28" t="s">
        <v>1106</v>
      </c>
      <c r="K11191" s="27" t="s">
        <v>40</v>
      </c>
      <c r="L11191" s="27"/>
    </row>
    <row r="11192" customFormat="false" ht="15" hidden="false" customHeight="false" outlineLevel="0" collapsed="false">
      <c r="A11192" s="26" t="s">
        <v>27296</v>
      </c>
      <c r="B11192" s="27" t="s">
        <v>27297</v>
      </c>
      <c r="C11192" s="27" t="s">
        <v>144</v>
      </c>
      <c r="D11192" s="26"/>
      <c r="E11192" s="27"/>
      <c r="F11192" s="27"/>
      <c r="G11192" s="27" t="s">
        <v>11122</v>
      </c>
      <c r="H11192" s="27" t="s">
        <v>35</v>
      </c>
      <c r="I11192" s="28" t="s">
        <v>46</v>
      </c>
      <c r="J11192" s="28" t="s">
        <v>1106</v>
      </c>
      <c r="K11192" s="27" t="s">
        <v>40</v>
      </c>
      <c r="L11192" s="27"/>
    </row>
    <row r="11193" customFormat="false" ht="15" hidden="false" customHeight="false" outlineLevel="0" collapsed="false">
      <c r="A11193" s="26" t="s">
        <v>27298</v>
      </c>
      <c r="B11193" s="27" t="s">
        <v>27299</v>
      </c>
      <c r="C11193" s="27" t="s">
        <v>144</v>
      </c>
      <c r="D11193" s="26"/>
      <c r="E11193" s="27"/>
      <c r="F11193" s="27"/>
      <c r="G11193" s="27" t="s">
        <v>11122</v>
      </c>
      <c r="H11193" s="27" t="s">
        <v>35</v>
      </c>
      <c r="I11193" s="27" t="s">
        <v>40</v>
      </c>
      <c r="J11193" s="28" t="s">
        <v>1106</v>
      </c>
      <c r="K11193" s="27" t="s">
        <v>40</v>
      </c>
      <c r="L11193" s="27"/>
    </row>
    <row r="11194" customFormat="false" ht="15" hidden="false" customHeight="false" outlineLevel="0" collapsed="false">
      <c r="A11194" s="26" t="s">
        <v>27300</v>
      </c>
      <c r="B11194" s="27" t="s">
        <v>27301</v>
      </c>
      <c r="C11194" s="27" t="s">
        <v>1845</v>
      </c>
      <c r="D11194" s="26"/>
      <c r="E11194" s="27"/>
      <c r="F11194" s="27"/>
      <c r="G11194" s="27" t="s">
        <v>11122</v>
      </c>
      <c r="H11194" s="27" t="s">
        <v>35</v>
      </c>
      <c r="I11194" s="27" t="s">
        <v>4159</v>
      </c>
      <c r="J11194" s="28" t="s">
        <v>1106</v>
      </c>
      <c r="K11194" s="27" t="s">
        <v>40</v>
      </c>
      <c r="L11194" s="27"/>
    </row>
    <row r="11195" customFormat="false" ht="15" hidden="false" customHeight="false" outlineLevel="0" collapsed="false">
      <c r="A11195" s="26" t="s">
        <v>27302</v>
      </c>
      <c r="B11195" s="27" t="s">
        <v>27303</v>
      </c>
      <c r="C11195" s="27" t="s">
        <v>144</v>
      </c>
      <c r="D11195" s="26"/>
      <c r="E11195" s="27"/>
      <c r="F11195" s="27"/>
      <c r="G11195" s="27" t="s">
        <v>11122</v>
      </c>
      <c r="H11195" s="27" t="s">
        <v>35</v>
      </c>
      <c r="I11195" s="27" t="s">
        <v>38</v>
      </c>
      <c r="J11195" s="28" t="s">
        <v>1106</v>
      </c>
      <c r="K11195" s="27" t="s">
        <v>40</v>
      </c>
      <c r="L11195" s="27"/>
    </row>
    <row r="11196" customFormat="false" ht="15" hidden="false" customHeight="false" outlineLevel="0" collapsed="false">
      <c r="A11196" s="26" t="s">
        <v>27304</v>
      </c>
      <c r="B11196" s="27" t="s">
        <v>27305</v>
      </c>
      <c r="C11196" s="27" t="s">
        <v>144</v>
      </c>
      <c r="D11196" s="26"/>
      <c r="E11196" s="27"/>
      <c r="F11196" s="27"/>
      <c r="G11196" s="27" t="s">
        <v>11122</v>
      </c>
      <c r="H11196" s="27" t="s">
        <v>35</v>
      </c>
      <c r="I11196" s="27" t="s">
        <v>4159</v>
      </c>
      <c r="J11196" s="28" t="s">
        <v>1106</v>
      </c>
      <c r="K11196" s="27" t="s">
        <v>40</v>
      </c>
      <c r="L11196" s="27"/>
    </row>
    <row r="11197" customFormat="false" ht="15" hidden="false" customHeight="false" outlineLevel="0" collapsed="false">
      <c r="A11197" s="26" t="s">
        <v>27306</v>
      </c>
      <c r="B11197" s="27" t="s">
        <v>27307</v>
      </c>
      <c r="C11197" s="27" t="s">
        <v>144</v>
      </c>
      <c r="D11197" s="26"/>
      <c r="E11197" s="27"/>
      <c r="F11197" s="27"/>
      <c r="G11197" s="27" t="s">
        <v>11122</v>
      </c>
      <c r="H11197" s="27" t="s">
        <v>35</v>
      </c>
      <c r="I11197" s="27" t="s">
        <v>37</v>
      </c>
      <c r="J11197" s="28" t="s">
        <v>1106</v>
      </c>
      <c r="K11197" s="27" t="s">
        <v>40</v>
      </c>
      <c r="L11197" s="27"/>
    </row>
    <row r="11198" customFormat="false" ht="15" hidden="false" customHeight="false" outlineLevel="0" collapsed="false">
      <c r="A11198" s="26" t="s">
        <v>27308</v>
      </c>
      <c r="B11198" s="27" t="s">
        <v>27309</v>
      </c>
      <c r="C11198" s="27" t="s">
        <v>144</v>
      </c>
      <c r="D11198" s="26"/>
      <c r="E11198" s="27"/>
      <c r="F11198" s="27"/>
      <c r="G11198" s="27" t="s">
        <v>11122</v>
      </c>
      <c r="H11198" s="27" t="s">
        <v>35</v>
      </c>
      <c r="I11198" s="27" t="s">
        <v>40</v>
      </c>
      <c r="J11198" s="28" t="s">
        <v>1106</v>
      </c>
      <c r="K11198" s="27" t="s">
        <v>40</v>
      </c>
      <c r="L11198" s="27"/>
    </row>
    <row r="11199" customFormat="false" ht="15" hidden="false" customHeight="false" outlineLevel="0" collapsed="false">
      <c r="A11199" s="26" t="s">
        <v>27310</v>
      </c>
      <c r="B11199" s="27" t="s">
        <v>27311</v>
      </c>
      <c r="C11199" s="27" t="s">
        <v>144</v>
      </c>
      <c r="D11199" s="26"/>
      <c r="E11199" s="27"/>
      <c r="F11199" s="27"/>
      <c r="G11199" s="27" t="s">
        <v>11122</v>
      </c>
      <c r="H11199" s="27" t="s">
        <v>35</v>
      </c>
      <c r="I11199" s="27" t="s">
        <v>40</v>
      </c>
      <c r="J11199" s="28" t="s">
        <v>1106</v>
      </c>
      <c r="K11199" s="27" t="s">
        <v>40</v>
      </c>
      <c r="L11199" s="27"/>
    </row>
    <row r="11200" customFormat="false" ht="15" hidden="false" customHeight="false" outlineLevel="0" collapsed="false">
      <c r="A11200" s="26" t="s">
        <v>27312</v>
      </c>
      <c r="B11200" s="27" t="s">
        <v>27313</v>
      </c>
      <c r="C11200" s="27" t="s">
        <v>144</v>
      </c>
      <c r="D11200" s="26"/>
      <c r="E11200" s="27"/>
      <c r="F11200" s="27"/>
      <c r="G11200" s="27" t="s">
        <v>11122</v>
      </c>
      <c r="H11200" s="27" t="s">
        <v>35</v>
      </c>
      <c r="I11200" s="28" t="s">
        <v>46</v>
      </c>
      <c r="J11200" s="28" t="s">
        <v>1106</v>
      </c>
      <c r="K11200" s="27" t="s">
        <v>40</v>
      </c>
      <c r="L11200" s="27"/>
    </row>
    <row r="11201" customFormat="false" ht="15" hidden="false" customHeight="false" outlineLevel="0" collapsed="false">
      <c r="A11201" s="26" t="s">
        <v>27314</v>
      </c>
      <c r="B11201" s="27" t="s">
        <v>27315</v>
      </c>
      <c r="C11201" s="27" t="s">
        <v>144</v>
      </c>
      <c r="D11201" s="26"/>
      <c r="E11201" s="27"/>
      <c r="F11201" s="27"/>
      <c r="G11201" s="27" t="s">
        <v>11122</v>
      </c>
      <c r="H11201" s="27" t="s">
        <v>35</v>
      </c>
      <c r="I11201" s="28" t="s">
        <v>46</v>
      </c>
      <c r="J11201" s="28" t="s">
        <v>1106</v>
      </c>
      <c r="K11201" s="27" t="s">
        <v>40</v>
      </c>
      <c r="L11201" s="27"/>
    </row>
    <row r="11202" customFormat="false" ht="15" hidden="false" customHeight="false" outlineLevel="0" collapsed="false">
      <c r="A11202" s="26" t="s">
        <v>27316</v>
      </c>
      <c r="B11202" s="27" t="s">
        <v>27317</v>
      </c>
      <c r="C11202" s="27" t="s">
        <v>144</v>
      </c>
      <c r="D11202" s="26"/>
      <c r="E11202" s="27"/>
      <c r="F11202" s="27"/>
      <c r="G11202" s="27" t="s">
        <v>11122</v>
      </c>
      <c r="H11202" s="27" t="s">
        <v>35</v>
      </c>
      <c r="I11202" s="27" t="s">
        <v>4159</v>
      </c>
      <c r="J11202" s="28" t="s">
        <v>1106</v>
      </c>
      <c r="K11202" s="27" t="s">
        <v>40</v>
      </c>
      <c r="L11202" s="27"/>
    </row>
    <row r="11203" customFormat="false" ht="15" hidden="false" customHeight="false" outlineLevel="0" collapsed="false">
      <c r="A11203" s="26" t="s">
        <v>27318</v>
      </c>
      <c r="B11203" s="27" t="s">
        <v>27319</v>
      </c>
      <c r="C11203" s="27" t="s">
        <v>144</v>
      </c>
      <c r="D11203" s="26"/>
      <c r="E11203" s="27"/>
      <c r="F11203" s="27"/>
      <c r="G11203" s="27" t="s">
        <v>11122</v>
      </c>
      <c r="H11203" s="27" t="s">
        <v>35</v>
      </c>
      <c r="I11203" s="27" t="s">
        <v>40</v>
      </c>
      <c r="J11203" s="28" t="s">
        <v>1106</v>
      </c>
      <c r="K11203" s="27" t="s">
        <v>40</v>
      </c>
      <c r="L11203" s="27"/>
    </row>
    <row r="11204" customFormat="false" ht="15" hidden="false" customHeight="false" outlineLevel="0" collapsed="false">
      <c r="A11204" s="26" t="s">
        <v>27320</v>
      </c>
      <c r="B11204" s="27" t="s">
        <v>27321</v>
      </c>
      <c r="C11204" s="27" t="s">
        <v>144</v>
      </c>
      <c r="D11204" s="26"/>
      <c r="E11204" s="27"/>
      <c r="F11204" s="27"/>
      <c r="G11204" s="27" t="s">
        <v>11122</v>
      </c>
      <c r="H11204" s="27" t="s">
        <v>35</v>
      </c>
      <c r="I11204" s="27" t="s">
        <v>4159</v>
      </c>
      <c r="J11204" s="28" t="s">
        <v>1106</v>
      </c>
      <c r="K11204" s="27" t="s">
        <v>40</v>
      </c>
      <c r="L11204" s="27"/>
    </row>
    <row r="11205" customFormat="false" ht="15" hidden="false" customHeight="false" outlineLevel="0" collapsed="false">
      <c r="A11205" s="26" t="s">
        <v>27322</v>
      </c>
      <c r="B11205" s="27" t="s">
        <v>27323</v>
      </c>
      <c r="C11205" s="27" t="s">
        <v>1612</v>
      </c>
      <c r="D11205" s="26"/>
      <c r="E11205" s="27"/>
      <c r="F11205" s="27"/>
      <c r="G11205" s="27" t="s">
        <v>11122</v>
      </c>
      <c r="H11205" s="27" t="s">
        <v>35</v>
      </c>
      <c r="I11205" s="27" t="s">
        <v>40</v>
      </c>
      <c r="J11205" s="28" t="s">
        <v>1106</v>
      </c>
      <c r="K11205" s="27" t="s">
        <v>40</v>
      </c>
      <c r="L11205" s="27"/>
    </row>
    <row r="11206" customFormat="false" ht="15" hidden="false" customHeight="false" outlineLevel="0" collapsed="false">
      <c r="A11206" s="26" t="s">
        <v>27324</v>
      </c>
      <c r="B11206" s="27" t="s">
        <v>27325</v>
      </c>
      <c r="C11206" s="27" t="s">
        <v>1612</v>
      </c>
      <c r="D11206" s="26"/>
      <c r="E11206" s="27"/>
      <c r="F11206" s="27"/>
      <c r="G11206" s="27" t="s">
        <v>11122</v>
      </c>
      <c r="H11206" s="27" t="s">
        <v>35</v>
      </c>
      <c r="I11206" s="27" t="s">
        <v>40</v>
      </c>
      <c r="J11206" s="28" t="s">
        <v>1106</v>
      </c>
      <c r="K11206" s="27" t="s">
        <v>40</v>
      </c>
      <c r="L11206" s="27"/>
    </row>
    <row r="11207" customFormat="false" ht="15" hidden="false" customHeight="false" outlineLevel="0" collapsed="false">
      <c r="A11207" s="26" t="s">
        <v>27326</v>
      </c>
      <c r="B11207" s="27" t="s">
        <v>27327</v>
      </c>
      <c r="C11207" s="27" t="s">
        <v>1845</v>
      </c>
      <c r="D11207" s="26"/>
      <c r="E11207" s="27"/>
      <c r="F11207" s="27"/>
      <c r="G11207" s="27" t="s">
        <v>11122</v>
      </c>
      <c r="H11207" s="27" t="s">
        <v>35</v>
      </c>
      <c r="I11207" s="27" t="s">
        <v>40</v>
      </c>
      <c r="J11207" s="28" t="s">
        <v>1106</v>
      </c>
      <c r="K11207" s="27" t="s">
        <v>40</v>
      </c>
      <c r="L11207" s="27"/>
    </row>
    <row r="11208" customFormat="false" ht="15" hidden="false" customHeight="false" outlineLevel="0" collapsed="false">
      <c r="A11208" s="26" t="s">
        <v>27328</v>
      </c>
      <c r="B11208" s="27" t="s">
        <v>27329</v>
      </c>
      <c r="C11208" s="27" t="s">
        <v>1845</v>
      </c>
      <c r="D11208" s="26"/>
      <c r="E11208" s="27"/>
      <c r="F11208" s="27"/>
      <c r="G11208" s="27" t="s">
        <v>11122</v>
      </c>
      <c r="H11208" s="27" t="s">
        <v>35</v>
      </c>
      <c r="I11208" s="27" t="s">
        <v>40</v>
      </c>
      <c r="J11208" s="28" t="s">
        <v>1106</v>
      </c>
      <c r="K11208" s="27" t="s">
        <v>40</v>
      </c>
      <c r="L11208" s="27"/>
    </row>
    <row r="11209" customFormat="false" ht="15" hidden="false" customHeight="false" outlineLevel="0" collapsed="false">
      <c r="A11209" s="26" t="s">
        <v>27330</v>
      </c>
      <c r="B11209" s="27" t="s">
        <v>27331</v>
      </c>
      <c r="C11209" s="27" t="s">
        <v>144</v>
      </c>
      <c r="D11209" s="26"/>
      <c r="E11209" s="27"/>
      <c r="F11209" s="27"/>
      <c r="G11209" s="27" t="s">
        <v>11122</v>
      </c>
      <c r="H11209" s="27" t="s">
        <v>35</v>
      </c>
      <c r="I11209" s="27" t="s">
        <v>38</v>
      </c>
      <c r="J11209" s="28" t="s">
        <v>1106</v>
      </c>
      <c r="K11209" s="27" t="s">
        <v>40</v>
      </c>
      <c r="L11209" s="27"/>
    </row>
    <row r="11210" customFormat="false" ht="15" hidden="false" customHeight="false" outlineLevel="0" collapsed="false">
      <c r="A11210" s="26" t="s">
        <v>27332</v>
      </c>
      <c r="B11210" s="27" t="s">
        <v>27333</v>
      </c>
      <c r="C11210" s="27" t="s">
        <v>144</v>
      </c>
      <c r="D11210" s="26"/>
      <c r="E11210" s="27"/>
      <c r="F11210" s="27"/>
      <c r="G11210" s="27" t="s">
        <v>11122</v>
      </c>
      <c r="H11210" s="27" t="s">
        <v>35</v>
      </c>
      <c r="I11210" s="27" t="s">
        <v>37</v>
      </c>
      <c r="J11210" s="28" t="s">
        <v>1106</v>
      </c>
      <c r="K11210" s="27" t="s">
        <v>40</v>
      </c>
      <c r="L11210" s="27"/>
    </row>
    <row r="11211" customFormat="false" ht="15" hidden="false" customHeight="false" outlineLevel="0" collapsed="false">
      <c r="A11211" s="26" t="s">
        <v>27334</v>
      </c>
      <c r="B11211" s="27" t="s">
        <v>27335</v>
      </c>
      <c r="C11211" s="27" t="s">
        <v>370</v>
      </c>
      <c r="D11211" s="26"/>
      <c r="E11211" s="27"/>
      <c r="F11211" s="27"/>
      <c r="G11211" s="27" t="s">
        <v>11122</v>
      </c>
      <c r="H11211" s="27" t="s">
        <v>35</v>
      </c>
      <c r="I11211" s="27" t="s">
        <v>40</v>
      </c>
      <c r="J11211" s="28" t="s">
        <v>3115</v>
      </c>
      <c r="K11211" s="27" t="s">
        <v>44</v>
      </c>
      <c r="L11211" s="27"/>
    </row>
    <row r="11212" customFormat="false" ht="15" hidden="false" customHeight="false" outlineLevel="0" collapsed="false">
      <c r="A11212" s="26" t="s">
        <v>27336</v>
      </c>
      <c r="B11212" s="27" t="s">
        <v>27337</v>
      </c>
      <c r="C11212" s="27" t="s">
        <v>370</v>
      </c>
      <c r="D11212" s="26"/>
      <c r="E11212" s="27"/>
      <c r="F11212" s="27"/>
      <c r="G11212" s="27" t="s">
        <v>11122</v>
      </c>
      <c r="H11212" s="27" t="s">
        <v>35</v>
      </c>
      <c r="I11212" s="27" t="s">
        <v>43</v>
      </c>
      <c r="J11212" s="28" t="s">
        <v>3115</v>
      </c>
      <c r="K11212" s="27" t="s">
        <v>44</v>
      </c>
      <c r="L11212" s="27"/>
    </row>
    <row r="11213" customFormat="false" ht="15" hidden="false" customHeight="false" outlineLevel="0" collapsed="false">
      <c r="A11213" s="26" t="s">
        <v>27338</v>
      </c>
      <c r="B11213" s="27" t="s">
        <v>27339</v>
      </c>
      <c r="C11213" s="27" t="s">
        <v>144</v>
      </c>
      <c r="D11213" s="26"/>
      <c r="E11213" s="27"/>
      <c r="F11213" s="27"/>
      <c r="G11213" s="27" t="s">
        <v>11122</v>
      </c>
      <c r="H11213" s="27" t="s">
        <v>35</v>
      </c>
      <c r="I11213" s="28" t="s">
        <v>50</v>
      </c>
      <c r="J11213" s="28" t="s">
        <v>3115</v>
      </c>
      <c r="K11213" s="27" t="s">
        <v>44</v>
      </c>
      <c r="L11213" s="27"/>
    </row>
    <row r="11214" customFormat="false" ht="15" hidden="false" customHeight="false" outlineLevel="0" collapsed="false">
      <c r="A11214" s="26" t="s">
        <v>27340</v>
      </c>
      <c r="B11214" s="27" t="s">
        <v>27341</v>
      </c>
      <c r="C11214" s="27" t="s">
        <v>144</v>
      </c>
      <c r="D11214" s="26"/>
      <c r="E11214" s="27"/>
      <c r="F11214" s="27"/>
      <c r="G11214" s="27" t="s">
        <v>11122</v>
      </c>
      <c r="H11214" s="27" t="s">
        <v>35</v>
      </c>
      <c r="I11214" s="28" t="s">
        <v>50</v>
      </c>
      <c r="J11214" s="28" t="s">
        <v>3115</v>
      </c>
      <c r="K11214" s="27" t="s">
        <v>44</v>
      </c>
      <c r="L11214" s="27"/>
    </row>
    <row r="11215" customFormat="false" ht="15" hidden="false" customHeight="false" outlineLevel="0" collapsed="false">
      <c r="A11215" s="26" t="s">
        <v>27342</v>
      </c>
      <c r="B11215" s="27" t="s">
        <v>27343</v>
      </c>
      <c r="C11215" s="27" t="s">
        <v>144</v>
      </c>
      <c r="D11215" s="26"/>
      <c r="E11215" s="27"/>
      <c r="F11215" s="27"/>
      <c r="G11215" s="27" t="s">
        <v>11122</v>
      </c>
      <c r="H11215" s="27" t="s">
        <v>35</v>
      </c>
      <c r="I11215" s="28" t="s">
        <v>50</v>
      </c>
      <c r="J11215" s="28" t="s">
        <v>3115</v>
      </c>
      <c r="K11215" s="27" t="s">
        <v>44</v>
      </c>
      <c r="L11215" s="27"/>
    </row>
    <row r="11216" customFormat="false" ht="15" hidden="false" customHeight="false" outlineLevel="0" collapsed="false">
      <c r="A11216" s="26" t="s">
        <v>27344</v>
      </c>
      <c r="B11216" s="27" t="s">
        <v>27345</v>
      </c>
      <c r="C11216" s="27" t="s">
        <v>144</v>
      </c>
      <c r="D11216" s="26"/>
      <c r="E11216" s="27"/>
      <c r="F11216" s="27"/>
      <c r="G11216" s="27" t="s">
        <v>11122</v>
      </c>
      <c r="H11216" s="27" t="s">
        <v>35</v>
      </c>
      <c r="I11216" s="28" t="s">
        <v>50</v>
      </c>
      <c r="J11216" s="28" t="s">
        <v>3115</v>
      </c>
      <c r="K11216" s="27" t="s">
        <v>44</v>
      </c>
      <c r="L11216" s="27"/>
    </row>
    <row r="11217" customFormat="false" ht="15" hidden="false" customHeight="false" outlineLevel="0" collapsed="false">
      <c r="A11217" s="26" t="s">
        <v>27346</v>
      </c>
      <c r="B11217" s="27" t="s">
        <v>27347</v>
      </c>
      <c r="C11217" s="27" t="s">
        <v>144</v>
      </c>
      <c r="D11217" s="26"/>
      <c r="E11217" s="27"/>
      <c r="F11217" s="27"/>
      <c r="G11217" s="27" t="s">
        <v>11122</v>
      </c>
      <c r="H11217" s="27" t="s">
        <v>35</v>
      </c>
      <c r="I11217" s="27" t="s">
        <v>37</v>
      </c>
      <c r="J11217" s="28" t="s">
        <v>3115</v>
      </c>
      <c r="K11217" s="27" t="s">
        <v>44</v>
      </c>
      <c r="L11217" s="27"/>
    </row>
    <row r="11218" customFormat="false" ht="15" hidden="false" customHeight="false" outlineLevel="0" collapsed="false">
      <c r="A11218" s="26" t="s">
        <v>27348</v>
      </c>
      <c r="B11218" s="27" t="s">
        <v>27349</v>
      </c>
      <c r="C11218" s="27" t="s">
        <v>144</v>
      </c>
      <c r="D11218" s="26"/>
      <c r="E11218" s="27"/>
      <c r="F11218" s="27"/>
      <c r="G11218" s="27" t="s">
        <v>11122</v>
      </c>
      <c r="H11218" s="27" t="s">
        <v>35</v>
      </c>
      <c r="I11218" s="27" t="s">
        <v>27350</v>
      </c>
      <c r="J11218" s="28" t="s">
        <v>3115</v>
      </c>
      <c r="K11218" s="27" t="s">
        <v>44</v>
      </c>
      <c r="L11218" s="27"/>
    </row>
    <row r="11219" customFormat="false" ht="15" hidden="false" customHeight="false" outlineLevel="0" collapsed="false">
      <c r="A11219" s="26" t="s">
        <v>27351</v>
      </c>
      <c r="B11219" s="27" t="s">
        <v>27352</v>
      </c>
      <c r="C11219" s="27" t="s">
        <v>144</v>
      </c>
      <c r="D11219" s="26"/>
      <c r="E11219" s="27"/>
      <c r="F11219" s="27"/>
      <c r="G11219" s="27" t="s">
        <v>11122</v>
      </c>
      <c r="H11219" s="27" t="s">
        <v>35</v>
      </c>
      <c r="I11219" s="27" t="s">
        <v>37</v>
      </c>
      <c r="J11219" s="28" t="s">
        <v>3115</v>
      </c>
      <c r="K11219" s="27" t="s">
        <v>44</v>
      </c>
      <c r="L11219" s="27"/>
    </row>
    <row r="11220" customFormat="false" ht="15" hidden="false" customHeight="false" outlineLevel="0" collapsed="false">
      <c r="A11220" s="26" t="s">
        <v>27353</v>
      </c>
      <c r="B11220" s="27" t="s">
        <v>27354</v>
      </c>
      <c r="C11220" s="27" t="s">
        <v>144</v>
      </c>
      <c r="D11220" s="26"/>
      <c r="E11220" s="27"/>
      <c r="F11220" s="27"/>
      <c r="G11220" s="27" t="s">
        <v>11122</v>
      </c>
      <c r="H11220" s="27" t="s">
        <v>35</v>
      </c>
      <c r="I11220" s="27" t="s">
        <v>37</v>
      </c>
      <c r="J11220" s="28" t="s">
        <v>3115</v>
      </c>
      <c r="K11220" s="27" t="s">
        <v>44</v>
      </c>
      <c r="L11220" s="27"/>
    </row>
    <row r="11221" customFormat="false" ht="15" hidden="false" customHeight="false" outlineLevel="0" collapsed="false">
      <c r="A11221" s="26" t="s">
        <v>27355</v>
      </c>
      <c r="B11221" s="27" t="s">
        <v>27356</v>
      </c>
      <c r="C11221" s="27" t="s">
        <v>1087</v>
      </c>
      <c r="D11221" s="26"/>
      <c r="E11221" s="27"/>
      <c r="F11221" s="27"/>
      <c r="G11221" s="27" t="s">
        <v>11122</v>
      </c>
      <c r="H11221" s="27" t="s">
        <v>35</v>
      </c>
      <c r="I11221" s="27" t="s">
        <v>44</v>
      </c>
      <c r="J11221" s="28" t="s">
        <v>3115</v>
      </c>
      <c r="K11221" s="27" t="s">
        <v>44</v>
      </c>
      <c r="L11221" s="27"/>
    </row>
    <row r="11222" customFormat="false" ht="15" hidden="false" customHeight="false" outlineLevel="0" collapsed="false">
      <c r="A11222" s="26" t="s">
        <v>27357</v>
      </c>
      <c r="B11222" s="27" t="s">
        <v>27358</v>
      </c>
      <c r="C11222" s="27" t="s">
        <v>137</v>
      </c>
      <c r="D11222" s="26"/>
      <c r="E11222" s="27"/>
      <c r="F11222" s="27"/>
      <c r="G11222" s="27" t="s">
        <v>11122</v>
      </c>
      <c r="H11222" s="27" t="s">
        <v>35</v>
      </c>
      <c r="I11222" s="27" t="s">
        <v>44</v>
      </c>
      <c r="J11222" s="28" t="s">
        <v>3115</v>
      </c>
      <c r="K11222" s="27" t="s">
        <v>44</v>
      </c>
      <c r="L11222" s="27"/>
    </row>
    <row r="11223" customFormat="false" ht="15" hidden="false" customHeight="false" outlineLevel="0" collapsed="false">
      <c r="A11223" s="26" t="s">
        <v>27359</v>
      </c>
      <c r="B11223" s="27" t="s">
        <v>27360</v>
      </c>
      <c r="C11223" s="27" t="s">
        <v>137</v>
      </c>
      <c r="D11223" s="26"/>
      <c r="E11223" s="27"/>
      <c r="F11223" s="27"/>
      <c r="G11223" s="27" t="s">
        <v>11122</v>
      </c>
      <c r="H11223" s="27" t="s">
        <v>35</v>
      </c>
      <c r="I11223" s="27" t="s">
        <v>44</v>
      </c>
      <c r="J11223" s="28" t="s">
        <v>3115</v>
      </c>
      <c r="K11223" s="27" t="s">
        <v>44</v>
      </c>
      <c r="L11223" s="27"/>
    </row>
    <row r="11224" customFormat="false" ht="15" hidden="false" customHeight="false" outlineLevel="0" collapsed="false">
      <c r="A11224" s="26" t="s">
        <v>27361</v>
      </c>
      <c r="B11224" s="27" t="s">
        <v>27362</v>
      </c>
      <c r="C11224" s="27" t="s">
        <v>137</v>
      </c>
      <c r="D11224" s="26"/>
      <c r="E11224" s="27"/>
      <c r="F11224" s="27"/>
      <c r="G11224" s="27" t="s">
        <v>11122</v>
      </c>
      <c r="H11224" s="27" t="s">
        <v>35</v>
      </c>
      <c r="I11224" s="27" t="s">
        <v>44</v>
      </c>
      <c r="J11224" s="28" t="s">
        <v>3115</v>
      </c>
      <c r="K11224" s="27" t="s">
        <v>44</v>
      </c>
      <c r="L11224" s="27"/>
    </row>
    <row r="11225" customFormat="false" ht="15" hidden="false" customHeight="false" outlineLevel="0" collapsed="false">
      <c r="A11225" s="26" t="s">
        <v>27363</v>
      </c>
      <c r="B11225" s="27" t="s">
        <v>27364</v>
      </c>
      <c r="C11225" s="27" t="s">
        <v>137</v>
      </c>
      <c r="D11225" s="26"/>
      <c r="E11225" s="27"/>
      <c r="F11225" s="27"/>
      <c r="G11225" s="27" t="s">
        <v>11122</v>
      </c>
      <c r="H11225" s="27" t="s">
        <v>35</v>
      </c>
      <c r="I11225" s="27" t="s">
        <v>44</v>
      </c>
      <c r="J11225" s="28" t="s">
        <v>3115</v>
      </c>
      <c r="K11225" s="27" t="s">
        <v>44</v>
      </c>
      <c r="L11225" s="27"/>
    </row>
    <row r="11226" customFormat="false" ht="15" hidden="false" customHeight="false" outlineLevel="0" collapsed="false">
      <c r="A11226" s="26" t="s">
        <v>27365</v>
      </c>
      <c r="B11226" s="27" t="s">
        <v>27366</v>
      </c>
      <c r="C11226" s="27" t="s">
        <v>137</v>
      </c>
      <c r="D11226" s="26"/>
      <c r="E11226" s="27"/>
      <c r="F11226" s="27"/>
      <c r="G11226" s="27" t="s">
        <v>11122</v>
      </c>
      <c r="H11226" s="27" t="s">
        <v>35</v>
      </c>
      <c r="I11226" s="27" t="s">
        <v>44</v>
      </c>
      <c r="J11226" s="28" t="s">
        <v>3115</v>
      </c>
      <c r="K11226" s="27" t="s">
        <v>44</v>
      </c>
      <c r="L11226" s="27"/>
    </row>
    <row r="11227" customFormat="false" ht="15" hidden="false" customHeight="false" outlineLevel="0" collapsed="false">
      <c r="A11227" s="26" t="s">
        <v>27367</v>
      </c>
      <c r="B11227" s="27" t="s">
        <v>27368</v>
      </c>
      <c r="C11227" s="27" t="s">
        <v>144</v>
      </c>
      <c r="D11227" s="26"/>
      <c r="E11227" s="27"/>
      <c r="F11227" s="27"/>
      <c r="G11227" s="27" t="s">
        <v>11122</v>
      </c>
      <c r="H11227" s="27" t="s">
        <v>35</v>
      </c>
      <c r="I11227" s="27" t="s">
        <v>38</v>
      </c>
      <c r="J11227" s="28" t="s">
        <v>3115</v>
      </c>
      <c r="K11227" s="27" t="s">
        <v>44</v>
      </c>
      <c r="L11227" s="27"/>
    </row>
    <row r="11228" customFormat="false" ht="15" hidden="false" customHeight="false" outlineLevel="0" collapsed="false">
      <c r="A11228" s="26" t="s">
        <v>27369</v>
      </c>
      <c r="B11228" s="27" t="s">
        <v>27370</v>
      </c>
      <c r="C11228" s="27" t="s">
        <v>144</v>
      </c>
      <c r="D11228" s="26"/>
      <c r="E11228" s="27"/>
      <c r="F11228" s="27"/>
      <c r="G11228" s="27" t="s">
        <v>11122</v>
      </c>
      <c r="H11228" s="27" t="s">
        <v>35</v>
      </c>
      <c r="I11228" s="27" t="s">
        <v>41</v>
      </c>
      <c r="J11228" s="28" t="s">
        <v>3115</v>
      </c>
      <c r="K11228" s="27" t="s">
        <v>44</v>
      </c>
      <c r="L11228" s="27"/>
    </row>
    <row r="11229" customFormat="false" ht="15" hidden="false" customHeight="false" outlineLevel="0" collapsed="false">
      <c r="A11229" s="26" t="s">
        <v>27371</v>
      </c>
      <c r="B11229" s="27" t="s">
        <v>27372</v>
      </c>
      <c r="C11229" s="27" t="s">
        <v>144</v>
      </c>
      <c r="D11229" s="26"/>
      <c r="E11229" s="27"/>
      <c r="F11229" s="27"/>
      <c r="G11229" s="27" t="s">
        <v>11122</v>
      </c>
      <c r="H11229" s="27" t="s">
        <v>35</v>
      </c>
      <c r="I11229" s="27" t="s">
        <v>41</v>
      </c>
      <c r="J11229" s="28" t="s">
        <v>3115</v>
      </c>
      <c r="K11229" s="27" t="s">
        <v>44</v>
      </c>
      <c r="L11229" s="27"/>
    </row>
    <row r="11230" customFormat="false" ht="15" hidden="false" customHeight="false" outlineLevel="0" collapsed="false">
      <c r="A11230" s="26" t="s">
        <v>27373</v>
      </c>
      <c r="B11230" s="27" t="s">
        <v>27374</v>
      </c>
      <c r="C11230" s="27" t="s">
        <v>144</v>
      </c>
      <c r="D11230" s="26"/>
      <c r="E11230" s="27"/>
      <c r="F11230" s="27"/>
      <c r="G11230" s="27" t="s">
        <v>11122</v>
      </c>
      <c r="H11230" s="27" t="s">
        <v>35</v>
      </c>
      <c r="I11230" s="27" t="s">
        <v>40</v>
      </c>
      <c r="J11230" s="28" t="s">
        <v>3115</v>
      </c>
      <c r="K11230" s="27" t="s">
        <v>44</v>
      </c>
      <c r="L11230" s="27"/>
    </row>
    <row r="11231" customFormat="false" ht="15" hidden="false" customHeight="false" outlineLevel="0" collapsed="false">
      <c r="A11231" s="26" t="s">
        <v>27375</v>
      </c>
      <c r="B11231" s="27" t="s">
        <v>27376</v>
      </c>
      <c r="C11231" s="27" t="s">
        <v>144</v>
      </c>
      <c r="D11231" s="26"/>
      <c r="E11231" s="27"/>
      <c r="F11231" s="27"/>
      <c r="G11231" s="27" t="s">
        <v>11122</v>
      </c>
      <c r="H11231" s="27" t="s">
        <v>35</v>
      </c>
      <c r="I11231" s="27" t="s">
        <v>41</v>
      </c>
      <c r="J11231" s="28" t="s">
        <v>3115</v>
      </c>
      <c r="K11231" s="27" t="s">
        <v>44</v>
      </c>
      <c r="L11231" s="27"/>
    </row>
    <row r="11232" customFormat="false" ht="15" hidden="false" customHeight="false" outlineLevel="0" collapsed="false">
      <c r="A11232" s="26" t="s">
        <v>27377</v>
      </c>
      <c r="B11232" s="27" t="s">
        <v>27378</v>
      </c>
      <c r="C11232" s="27" t="s">
        <v>144</v>
      </c>
      <c r="D11232" s="26"/>
      <c r="E11232" s="27"/>
      <c r="F11232" s="27"/>
      <c r="G11232" s="27" t="s">
        <v>11122</v>
      </c>
      <c r="H11232" s="27" t="s">
        <v>35</v>
      </c>
      <c r="I11232" s="27" t="s">
        <v>40</v>
      </c>
      <c r="J11232" s="28" t="s">
        <v>3115</v>
      </c>
      <c r="K11232" s="27" t="s">
        <v>44</v>
      </c>
      <c r="L11232" s="27"/>
    </row>
    <row r="11233" customFormat="false" ht="15" hidden="false" customHeight="false" outlineLevel="0" collapsed="false">
      <c r="A11233" s="26" t="s">
        <v>27379</v>
      </c>
      <c r="B11233" s="27" t="s">
        <v>27380</v>
      </c>
      <c r="C11233" s="27" t="s">
        <v>144</v>
      </c>
      <c r="D11233" s="26"/>
      <c r="E11233" s="27"/>
      <c r="F11233" s="27"/>
      <c r="G11233" s="27" t="s">
        <v>11122</v>
      </c>
      <c r="H11233" s="27" t="s">
        <v>35</v>
      </c>
      <c r="I11233" s="27" t="s">
        <v>40</v>
      </c>
      <c r="J11233" s="28" t="s">
        <v>3115</v>
      </c>
      <c r="K11233" s="27" t="s">
        <v>44</v>
      </c>
      <c r="L11233" s="27"/>
    </row>
    <row r="11234" customFormat="false" ht="15" hidden="false" customHeight="false" outlineLevel="0" collapsed="false">
      <c r="A11234" s="26" t="s">
        <v>27381</v>
      </c>
      <c r="B11234" s="27" t="s">
        <v>27382</v>
      </c>
      <c r="C11234" s="27" t="s">
        <v>144</v>
      </c>
      <c r="D11234" s="26"/>
      <c r="E11234" s="27"/>
      <c r="F11234" s="27"/>
      <c r="G11234" s="27" t="s">
        <v>11122</v>
      </c>
      <c r="H11234" s="27" t="s">
        <v>35</v>
      </c>
      <c r="I11234" s="27" t="s">
        <v>37</v>
      </c>
      <c r="J11234" s="28" t="s">
        <v>3115</v>
      </c>
      <c r="K11234" s="27" t="s">
        <v>44</v>
      </c>
      <c r="L11234" s="27"/>
    </row>
    <row r="11235" customFormat="false" ht="15" hidden="false" customHeight="false" outlineLevel="0" collapsed="false">
      <c r="A11235" s="26" t="s">
        <v>27383</v>
      </c>
      <c r="B11235" s="27" t="s">
        <v>27384</v>
      </c>
      <c r="C11235" s="27" t="s">
        <v>144</v>
      </c>
      <c r="D11235" s="26"/>
      <c r="E11235" s="27"/>
      <c r="F11235" s="27"/>
      <c r="G11235" s="27" t="s">
        <v>11122</v>
      </c>
      <c r="H11235" s="27" t="s">
        <v>35</v>
      </c>
      <c r="I11235" s="27" t="s">
        <v>40</v>
      </c>
      <c r="J11235" s="28" t="s">
        <v>3115</v>
      </c>
      <c r="K11235" s="27" t="s">
        <v>44</v>
      </c>
      <c r="L11235" s="27"/>
    </row>
    <row r="11236" customFormat="false" ht="15" hidden="false" customHeight="false" outlineLevel="0" collapsed="false">
      <c r="A11236" s="26" t="s">
        <v>27385</v>
      </c>
      <c r="B11236" s="27" t="s">
        <v>27386</v>
      </c>
      <c r="C11236" s="27" t="s">
        <v>144</v>
      </c>
      <c r="D11236" s="26"/>
      <c r="E11236" s="27"/>
      <c r="F11236" s="27"/>
      <c r="G11236" s="27" t="s">
        <v>11122</v>
      </c>
      <c r="H11236" s="27" t="s">
        <v>35</v>
      </c>
      <c r="I11236" s="28" t="s">
        <v>50</v>
      </c>
      <c r="J11236" s="28" t="s">
        <v>3115</v>
      </c>
      <c r="K11236" s="27" t="s">
        <v>44</v>
      </c>
      <c r="L11236" s="27"/>
    </row>
    <row r="11237" customFormat="false" ht="15" hidden="false" customHeight="false" outlineLevel="0" collapsed="false">
      <c r="A11237" s="26" t="s">
        <v>27387</v>
      </c>
      <c r="B11237" s="27" t="s">
        <v>27388</v>
      </c>
      <c r="C11237" s="27" t="s">
        <v>144</v>
      </c>
      <c r="D11237" s="26"/>
      <c r="E11237" s="27"/>
      <c r="F11237" s="27"/>
      <c r="G11237" s="27" t="s">
        <v>11122</v>
      </c>
      <c r="H11237" s="27" t="s">
        <v>35</v>
      </c>
      <c r="I11237" s="27" t="s">
        <v>42</v>
      </c>
      <c r="J11237" s="28" t="s">
        <v>3115</v>
      </c>
      <c r="K11237" s="27" t="s">
        <v>44</v>
      </c>
      <c r="L11237" s="27"/>
    </row>
    <row r="11238" customFormat="false" ht="15" hidden="false" customHeight="false" outlineLevel="0" collapsed="false">
      <c r="A11238" s="26" t="s">
        <v>27389</v>
      </c>
      <c r="B11238" s="27" t="s">
        <v>27390</v>
      </c>
      <c r="C11238" s="27" t="s">
        <v>144</v>
      </c>
      <c r="D11238" s="26"/>
      <c r="E11238" s="27"/>
      <c r="F11238" s="27"/>
      <c r="G11238" s="27" t="s">
        <v>11122</v>
      </c>
      <c r="H11238" s="27" t="s">
        <v>35</v>
      </c>
      <c r="I11238" s="27" t="s">
        <v>42</v>
      </c>
      <c r="J11238" s="28" t="s">
        <v>3115</v>
      </c>
      <c r="K11238" s="27" t="s">
        <v>44</v>
      </c>
      <c r="L11238" s="27"/>
    </row>
    <row r="11239" customFormat="false" ht="15" hidden="false" customHeight="false" outlineLevel="0" collapsed="false">
      <c r="A11239" s="26" t="s">
        <v>27391</v>
      </c>
      <c r="B11239" s="27" t="s">
        <v>27392</v>
      </c>
      <c r="C11239" s="27" t="s">
        <v>144</v>
      </c>
      <c r="D11239" s="26"/>
      <c r="E11239" s="27"/>
      <c r="F11239" s="27"/>
      <c r="G11239" s="27" t="s">
        <v>11122</v>
      </c>
      <c r="H11239" s="27" t="s">
        <v>35</v>
      </c>
      <c r="I11239" s="28" t="s">
        <v>50</v>
      </c>
      <c r="J11239" s="28" t="s">
        <v>3115</v>
      </c>
      <c r="K11239" s="27" t="s">
        <v>44</v>
      </c>
      <c r="L11239" s="27"/>
    </row>
    <row r="11240" customFormat="false" ht="15" hidden="false" customHeight="false" outlineLevel="0" collapsed="false">
      <c r="A11240" s="26" t="s">
        <v>27393</v>
      </c>
      <c r="B11240" s="27" t="s">
        <v>27394</v>
      </c>
      <c r="C11240" s="27" t="s">
        <v>144</v>
      </c>
      <c r="D11240" s="26"/>
      <c r="E11240" s="27"/>
      <c r="F11240" s="27"/>
      <c r="G11240" s="27" t="s">
        <v>11122</v>
      </c>
      <c r="H11240" s="27" t="s">
        <v>35</v>
      </c>
      <c r="I11240" s="28" t="s">
        <v>50</v>
      </c>
      <c r="J11240" s="28" t="s">
        <v>3115</v>
      </c>
      <c r="K11240" s="27" t="s">
        <v>44</v>
      </c>
      <c r="L11240" s="27"/>
    </row>
    <row r="11241" customFormat="false" ht="15" hidden="false" customHeight="false" outlineLevel="0" collapsed="false">
      <c r="A11241" s="26" t="s">
        <v>27395</v>
      </c>
      <c r="B11241" s="27" t="s">
        <v>27396</v>
      </c>
      <c r="C11241" s="27" t="s">
        <v>144</v>
      </c>
      <c r="D11241" s="26"/>
      <c r="E11241" s="27"/>
      <c r="F11241" s="27"/>
      <c r="G11241" s="27" t="s">
        <v>11122</v>
      </c>
      <c r="H11241" s="27" t="s">
        <v>35</v>
      </c>
      <c r="I11241" s="27" t="s">
        <v>37</v>
      </c>
      <c r="J11241" s="28" t="s">
        <v>3115</v>
      </c>
      <c r="K11241" s="27" t="s">
        <v>44</v>
      </c>
      <c r="L11241" s="27"/>
    </row>
    <row r="11242" customFormat="false" ht="15" hidden="false" customHeight="false" outlineLevel="0" collapsed="false">
      <c r="A11242" s="26" t="s">
        <v>27397</v>
      </c>
      <c r="B11242" s="27" t="s">
        <v>27398</v>
      </c>
      <c r="C11242" s="27" t="s">
        <v>144</v>
      </c>
      <c r="D11242" s="26"/>
      <c r="E11242" s="27"/>
      <c r="F11242" s="27"/>
      <c r="G11242" s="27" t="s">
        <v>11122</v>
      </c>
      <c r="H11242" s="27" t="s">
        <v>35</v>
      </c>
      <c r="I11242" s="27" t="s">
        <v>40</v>
      </c>
      <c r="J11242" s="28" t="s">
        <v>3115</v>
      </c>
      <c r="K11242" s="27" t="s">
        <v>44</v>
      </c>
      <c r="L11242" s="27"/>
    </row>
    <row r="11243" customFormat="false" ht="15" hidden="false" customHeight="false" outlineLevel="0" collapsed="false">
      <c r="A11243" s="26" t="s">
        <v>27399</v>
      </c>
      <c r="B11243" s="27" t="s">
        <v>27400</v>
      </c>
      <c r="C11243" s="27" t="s">
        <v>144</v>
      </c>
      <c r="D11243" s="26"/>
      <c r="E11243" s="27"/>
      <c r="F11243" s="27"/>
      <c r="G11243" s="27" t="s">
        <v>11122</v>
      </c>
      <c r="H11243" s="27" t="s">
        <v>35</v>
      </c>
      <c r="I11243" s="27" t="s">
        <v>40</v>
      </c>
      <c r="J11243" s="28" t="s">
        <v>3115</v>
      </c>
      <c r="K11243" s="27" t="s">
        <v>44</v>
      </c>
      <c r="L11243" s="27"/>
    </row>
    <row r="11244" customFormat="false" ht="15" hidden="false" customHeight="false" outlineLevel="0" collapsed="false">
      <c r="A11244" s="26" t="s">
        <v>27401</v>
      </c>
      <c r="B11244" s="27" t="s">
        <v>27402</v>
      </c>
      <c r="C11244" s="27" t="s">
        <v>144</v>
      </c>
      <c r="D11244" s="26"/>
      <c r="E11244" s="27"/>
      <c r="F11244" s="27"/>
      <c r="G11244" s="27" t="s">
        <v>11122</v>
      </c>
      <c r="H11244" s="27" t="s">
        <v>35</v>
      </c>
      <c r="I11244" s="27" t="s">
        <v>41</v>
      </c>
      <c r="J11244" s="28" t="s">
        <v>3115</v>
      </c>
      <c r="K11244" s="27" t="s">
        <v>44</v>
      </c>
      <c r="L11244" s="27"/>
    </row>
    <row r="11245" customFormat="false" ht="15" hidden="false" customHeight="false" outlineLevel="0" collapsed="false">
      <c r="A11245" s="26" t="s">
        <v>27403</v>
      </c>
      <c r="B11245" s="27" t="s">
        <v>27404</v>
      </c>
      <c r="C11245" s="27" t="s">
        <v>144</v>
      </c>
      <c r="D11245" s="26"/>
      <c r="E11245" s="27"/>
      <c r="F11245" s="27"/>
      <c r="G11245" s="27" t="s">
        <v>11122</v>
      </c>
      <c r="H11245" s="27" t="s">
        <v>35</v>
      </c>
      <c r="I11245" s="27" t="s">
        <v>40</v>
      </c>
      <c r="J11245" s="28" t="s">
        <v>3115</v>
      </c>
      <c r="K11245" s="27" t="s">
        <v>44</v>
      </c>
      <c r="L11245" s="27"/>
    </row>
    <row r="11246" customFormat="false" ht="15" hidden="false" customHeight="false" outlineLevel="0" collapsed="false">
      <c r="A11246" s="26" t="s">
        <v>27405</v>
      </c>
      <c r="B11246" s="27" t="s">
        <v>27406</v>
      </c>
      <c r="C11246" s="27" t="s">
        <v>144</v>
      </c>
      <c r="D11246" s="26"/>
      <c r="E11246" s="27"/>
      <c r="F11246" s="27"/>
      <c r="G11246" s="27" t="s">
        <v>11122</v>
      </c>
      <c r="H11246" s="27" t="s">
        <v>35</v>
      </c>
      <c r="I11246" s="28" t="s">
        <v>50</v>
      </c>
      <c r="J11246" s="28" t="s">
        <v>3115</v>
      </c>
      <c r="K11246" s="27" t="s">
        <v>44</v>
      </c>
      <c r="L11246" s="27"/>
    </row>
    <row r="11247" customFormat="false" ht="15" hidden="false" customHeight="false" outlineLevel="0" collapsed="false">
      <c r="A11247" s="26" t="s">
        <v>27407</v>
      </c>
      <c r="B11247" s="27" t="s">
        <v>27408</v>
      </c>
      <c r="C11247" s="27" t="s">
        <v>144</v>
      </c>
      <c r="D11247" s="26"/>
      <c r="E11247" s="27"/>
      <c r="F11247" s="27"/>
      <c r="G11247" s="27" t="s">
        <v>11122</v>
      </c>
      <c r="H11247" s="27" t="s">
        <v>35</v>
      </c>
      <c r="I11247" s="27" t="s">
        <v>41</v>
      </c>
      <c r="J11247" s="28" t="s">
        <v>3115</v>
      </c>
      <c r="K11247" s="27" t="s">
        <v>44</v>
      </c>
      <c r="L11247" s="27"/>
    </row>
    <row r="11248" customFormat="false" ht="15" hidden="false" customHeight="false" outlineLevel="0" collapsed="false">
      <c r="A11248" s="26" t="s">
        <v>27409</v>
      </c>
      <c r="B11248" s="27" t="s">
        <v>27410</v>
      </c>
      <c r="C11248" s="27" t="s">
        <v>144</v>
      </c>
      <c r="D11248" s="26"/>
      <c r="E11248" s="27"/>
      <c r="F11248" s="27"/>
      <c r="G11248" s="27" t="s">
        <v>11122</v>
      </c>
      <c r="H11248" s="27" t="s">
        <v>35</v>
      </c>
      <c r="I11248" s="27" t="s">
        <v>37</v>
      </c>
      <c r="J11248" s="28" t="s">
        <v>3115</v>
      </c>
      <c r="K11248" s="27" t="s">
        <v>44</v>
      </c>
      <c r="L11248" s="27"/>
    </row>
    <row r="11249" customFormat="false" ht="15" hidden="false" customHeight="false" outlineLevel="0" collapsed="false">
      <c r="A11249" s="26" t="s">
        <v>27411</v>
      </c>
      <c r="B11249" s="27" t="s">
        <v>27412</v>
      </c>
      <c r="C11249" s="27" t="s">
        <v>144</v>
      </c>
      <c r="D11249" s="26"/>
      <c r="E11249" s="27"/>
      <c r="F11249" s="27"/>
      <c r="G11249" s="27" t="s">
        <v>11122</v>
      </c>
      <c r="H11249" s="27" t="s">
        <v>35</v>
      </c>
      <c r="I11249" s="27" t="s">
        <v>40</v>
      </c>
      <c r="J11249" s="28" t="s">
        <v>3115</v>
      </c>
      <c r="K11249" s="27" t="s">
        <v>44</v>
      </c>
      <c r="L11249" s="27"/>
    </row>
    <row r="11250" customFormat="false" ht="15" hidden="false" customHeight="false" outlineLevel="0" collapsed="false">
      <c r="A11250" s="26" t="s">
        <v>27413</v>
      </c>
      <c r="B11250" s="27" t="s">
        <v>27414</v>
      </c>
      <c r="C11250" s="27" t="s">
        <v>144</v>
      </c>
      <c r="D11250" s="26"/>
      <c r="E11250" s="27"/>
      <c r="F11250" s="27"/>
      <c r="G11250" s="27" t="s">
        <v>11122</v>
      </c>
      <c r="H11250" s="27" t="s">
        <v>35</v>
      </c>
      <c r="I11250" s="27" t="s">
        <v>37</v>
      </c>
      <c r="J11250" s="28" t="s">
        <v>3115</v>
      </c>
      <c r="K11250" s="27" t="s">
        <v>44</v>
      </c>
      <c r="L11250" s="27"/>
    </row>
    <row r="11251" customFormat="false" ht="15" hidden="false" customHeight="false" outlineLevel="0" collapsed="false">
      <c r="A11251" s="26" t="s">
        <v>27415</v>
      </c>
      <c r="B11251" s="27" t="s">
        <v>27416</v>
      </c>
      <c r="C11251" s="27" t="s">
        <v>144</v>
      </c>
      <c r="D11251" s="26"/>
      <c r="E11251" s="27"/>
      <c r="F11251" s="27"/>
      <c r="G11251" s="27" t="s">
        <v>11122</v>
      </c>
      <c r="H11251" s="27" t="s">
        <v>35</v>
      </c>
      <c r="I11251" s="27" t="s">
        <v>37</v>
      </c>
      <c r="J11251" s="28" t="s">
        <v>3115</v>
      </c>
      <c r="K11251" s="27" t="s">
        <v>44</v>
      </c>
      <c r="L11251" s="27"/>
    </row>
    <row r="11252" customFormat="false" ht="15" hidden="false" customHeight="false" outlineLevel="0" collapsed="false">
      <c r="A11252" s="26" t="s">
        <v>27417</v>
      </c>
      <c r="B11252" s="27" t="s">
        <v>27418</v>
      </c>
      <c r="C11252" s="27" t="s">
        <v>144</v>
      </c>
      <c r="D11252" s="26"/>
      <c r="E11252" s="27"/>
      <c r="F11252" s="27"/>
      <c r="G11252" s="27" t="s">
        <v>11122</v>
      </c>
      <c r="H11252" s="27" t="s">
        <v>35</v>
      </c>
      <c r="I11252" s="27" t="s">
        <v>40</v>
      </c>
      <c r="J11252" s="28" t="s">
        <v>3115</v>
      </c>
      <c r="K11252" s="27" t="s">
        <v>44</v>
      </c>
      <c r="L11252" s="27"/>
    </row>
    <row r="11253" customFormat="false" ht="15" hidden="false" customHeight="false" outlineLevel="0" collapsed="false">
      <c r="A11253" s="26" t="s">
        <v>27419</v>
      </c>
      <c r="B11253" s="27" t="s">
        <v>27420</v>
      </c>
      <c r="C11253" s="27" t="s">
        <v>144</v>
      </c>
      <c r="D11253" s="26"/>
      <c r="E11253" s="27"/>
      <c r="F11253" s="27"/>
      <c r="G11253" s="27" t="s">
        <v>11122</v>
      </c>
      <c r="H11253" s="27" t="s">
        <v>35</v>
      </c>
      <c r="I11253" s="27" t="s">
        <v>1067</v>
      </c>
      <c r="J11253" s="28" t="s">
        <v>3115</v>
      </c>
      <c r="K11253" s="27" t="s">
        <v>44</v>
      </c>
      <c r="L11253" s="27"/>
    </row>
    <row r="11254" customFormat="false" ht="15" hidden="false" customHeight="false" outlineLevel="0" collapsed="false">
      <c r="A11254" s="26" t="s">
        <v>27421</v>
      </c>
      <c r="B11254" s="27" t="s">
        <v>27422</v>
      </c>
      <c r="C11254" s="27" t="s">
        <v>144</v>
      </c>
      <c r="D11254" s="26"/>
      <c r="E11254" s="27"/>
      <c r="F11254" s="27"/>
      <c r="G11254" s="27" t="s">
        <v>11122</v>
      </c>
      <c r="H11254" s="27" t="s">
        <v>35</v>
      </c>
      <c r="I11254" s="27" t="s">
        <v>40</v>
      </c>
      <c r="J11254" s="28" t="s">
        <v>3115</v>
      </c>
      <c r="K11254" s="27" t="s">
        <v>44</v>
      </c>
      <c r="L11254" s="27"/>
    </row>
    <row r="11255" customFormat="false" ht="15" hidden="false" customHeight="false" outlineLevel="0" collapsed="false">
      <c r="A11255" s="26" t="s">
        <v>27423</v>
      </c>
      <c r="B11255" s="27" t="s">
        <v>27424</v>
      </c>
      <c r="C11255" s="27" t="s">
        <v>144</v>
      </c>
      <c r="D11255" s="26"/>
      <c r="E11255" s="27"/>
      <c r="F11255" s="27"/>
      <c r="G11255" s="27" t="s">
        <v>11122</v>
      </c>
      <c r="H11255" s="27" t="s">
        <v>35</v>
      </c>
      <c r="I11255" s="27" t="s">
        <v>37</v>
      </c>
      <c r="J11255" s="28" t="s">
        <v>3115</v>
      </c>
      <c r="K11255" s="27" t="s">
        <v>44</v>
      </c>
      <c r="L11255" s="27"/>
    </row>
    <row r="11256" customFormat="false" ht="15" hidden="false" customHeight="false" outlineLevel="0" collapsed="false">
      <c r="A11256" s="26" t="s">
        <v>27425</v>
      </c>
      <c r="B11256" s="27" t="s">
        <v>27426</v>
      </c>
      <c r="C11256" s="27" t="s">
        <v>144</v>
      </c>
      <c r="D11256" s="26"/>
      <c r="E11256" s="27"/>
      <c r="F11256" s="27"/>
      <c r="G11256" s="27" t="s">
        <v>11122</v>
      </c>
      <c r="H11256" s="27" t="s">
        <v>35</v>
      </c>
      <c r="I11256" s="28" t="s">
        <v>50</v>
      </c>
      <c r="J11256" s="28" t="s">
        <v>3115</v>
      </c>
      <c r="K11256" s="27" t="s">
        <v>44</v>
      </c>
      <c r="L11256" s="27"/>
    </row>
    <row r="11257" customFormat="false" ht="15" hidden="false" customHeight="false" outlineLevel="0" collapsed="false">
      <c r="A11257" s="26" t="s">
        <v>27427</v>
      </c>
      <c r="B11257" s="27" t="s">
        <v>27428</v>
      </c>
      <c r="C11257" s="27" t="s">
        <v>144</v>
      </c>
      <c r="D11257" s="26"/>
      <c r="E11257" s="27"/>
      <c r="F11257" s="27"/>
      <c r="G11257" s="27" t="s">
        <v>11122</v>
      </c>
      <c r="H11257" s="27" t="s">
        <v>35</v>
      </c>
      <c r="I11257" s="27" t="s">
        <v>40</v>
      </c>
      <c r="J11257" s="28" t="s">
        <v>3115</v>
      </c>
      <c r="K11257" s="27" t="s">
        <v>44</v>
      </c>
      <c r="L11257" s="27"/>
    </row>
    <row r="11258" customFormat="false" ht="15" hidden="false" customHeight="false" outlineLevel="0" collapsed="false">
      <c r="A11258" s="26" t="s">
        <v>27429</v>
      </c>
      <c r="B11258" s="27" t="s">
        <v>27430</v>
      </c>
      <c r="C11258" s="27" t="s">
        <v>144</v>
      </c>
      <c r="D11258" s="26"/>
      <c r="E11258" s="27"/>
      <c r="F11258" s="27"/>
      <c r="G11258" s="27" t="s">
        <v>11122</v>
      </c>
      <c r="H11258" s="27" t="s">
        <v>35</v>
      </c>
      <c r="I11258" s="27" t="s">
        <v>37</v>
      </c>
      <c r="J11258" s="28" t="s">
        <v>3115</v>
      </c>
      <c r="K11258" s="27" t="s">
        <v>44</v>
      </c>
      <c r="L11258" s="27"/>
    </row>
    <row r="11259" customFormat="false" ht="15" hidden="false" customHeight="false" outlineLevel="0" collapsed="false">
      <c r="A11259" s="26" t="s">
        <v>27431</v>
      </c>
      <c r="B11259" s="27" t="s">
        <v>27432</v>
      </c>
      <c r="C11259" s="27" t="s">
        <v>144</v>
      </c>
      <c r="D11259" s="26"/>
      <c r="E11259" s="27"/>
      <c r="F11259" s="27"/>
      <c r="G11259" s="27" t="s">
        <v>11122</v>
      </c>
      <c r="H11259" s="27" t="s">
        <v>35</v>
      </c>
      <c r="I11259" s="27" t="s">
        <v>40</v>
      </c>
      <c r="J11259" s="28" t="s">
        <v>3115</v>
      </c>
      <c r="K11259" s="27" t="s">
        <v>44</v>
      </c>
      <c r="L11259" s="27"/>
    </row>
    <row r="11260" customFormat="false" ht="15" hidden="false" customHeight="false" outlineLevel="0" collapsed="false">
      <c r="A11260" s="26" t="s">
        <v>27433</v>
      </c>
      <c r="B11260" s="27" t="s">
        <v>27434</v>
      </c>
      <c r="C11260" s="27" t="s">
        <v>144</v>
      </c>
      <c r="D11260" s="26"/>
      <c r="E11260" s="27"/>
      <c r="F11260" s="27"/>
      <c r="G11260" s="27" t="s">
        <v>11122</v>
      </c>
      <c r="H11260" s="27" t="s">
        <v>35</v>
      </c>
      <c r="I11260" s="27" t="s">
        <v>27435</v>
      </c>
      <c r="J11260" s="28" t="s">
        <v>3115</v>
      </c>
      <c r="K11260" s="27" t="s">
        <v>44</v>
      </c>
      <c r="L11260" s="27"/>
    </row>
    <row r="11261" customFormat="false" ht="15" hidden="false" customHeight="false" outlineLevel="0" collapsed="false">
      <c r="A11261" s="26" t="s">
        <v>27436</v>
      </c>
      <c r="B11261" s="27" t="s">
        <v>27437</v>
      </c>
      <c r="C11261" s="27" t="s">
        <v>144</v>
      </c>
      <c r="D11261" s="26"/>
      <c r="E11261" s="27"/>
      <c r="F11261" s="27"/>
      <c r="G11261" s="27" t="s">
        <v>11122</v>
      </c>
      <c r="H11261" s="27" t="s">
        <v>35</v>
      </c>
      <c r="I11261" s="28" t="s">
        <v>50</v>
      </c>
      <c r="J11261" s="28" t="s">
        <v>3115</v>
      </c>
      <c r="K11261" s="27" t="s">
        <v>44</v>
      </c>
      <c r="L11261" s="27"/>
    </row>
    <row r="11262" customFormat="false" ht="15" hidden="false" customHeight="false" outlineLevel="0" collapsed="false">
      <c r="A11262" s="26" t="s">
        <v>27438</v>
      </c>
      <c r="B11262" s="27" t="s">
        <v>27439</v>
      </c>
      <c r="C11262" s="27" t="s">
        <v>137</v>
      </c>
      <c r="D11262" s="26"/>
      <c r="E11262" s="27"/>
      <c r="F11262" s="27"/>
      <c r="G11262" s="27" t="s">
        <v>11122</v>
      </c>
      <c r="H11262" s="27" t="s">
        <v>35</v>
      </c>
      <c r="I11262" s="27" t="s">
        <v>41</v>
      </c>
      <c r="J11262" s="28" t="s">
        <v>3115</v>
      </c>
      <c r="K11262" s="27" t="s">
        <v>44</v>
      </c>
      <c r="L11262" s="27"/>
    </row>
    <row r="11263" customFormat="false" ht="15" hidden="false" customHeight="false" outlineLevel="0" collapsed="false">
      <c r="A11263" s="26" t="s">
        <v>27440</v>
      </c>
      <c r="B11263" s="27" t="s">
        <v>27441</v>
      </c>
      <c r="C11263" s="27" t="s">
        <v>144</v>
      </c>
      <c r="D11263" s="26"/>
      <c r="E11263" s="27"/>
      <c r="F11263" s="27"/>
      <c r="G11263" s="27" t="s">
        <v>11122</v>
      </c>
      <c r="H11263" s="27" t="s">
        <v>35</v>
      </c>
      <c r="I11263" s="28" t="s">
        <v>50</v>
      </c>
      <c r="J11263" s="28" t="s">
        <v>3115</v>
      </c>
      <c r="K11263" s="27" t="s">
        <v>44</v>
      </c>
      <c r="L11263" s="27"/>
    </row>
    <row r="11264" customFormat="false" ht="15" hidden="false" customHeight="false" outlineLevel="0" collapsed="false">
      <c r="A11264" s="26" t="s">
        <v>27442</v>
      </c>
      <c r="B11264" s="27" t="s">
        <v>27443</v>
      </c>
      <c r="C11264" s="27" t="s">
        <v>144</v>
      </c>
      <c r="D11264" s="26"/>
      <c r="E11264" s="27"/>
      <c r="F11264" s="27"/>
      <c r="G11264" s="27" t="s">
        <v>11122</v>
      </c>
      <c r="H11264" s="27" t="s">
        <v>35</v>
      </c>
      <c r="I11264" s="28" t="s">
        <v>50</v>
      </c>
      <c r="J11264" s="28" t="s">
        <v>3115</v>
      </c>
      <c r="K11264" s="27" t="s">
        <v>44</v>
      </c>
      <c r="L11264" s="27"/>
    </row>
    <row r="11265" customFormat="false" ht="15" hidden="false" customHeight="false" outlineLevel="0" collapsed="false">
      <c r="A11265" s="26" t="s">
        <v>27444</v>
      </c>
      <c r="B11265" s="27" t="s">
        <v>27445</v>
      </c>
      <c r="C11265" s="27" t="s">
        <v>144</v>
      </c>
      <c r="D11265" s="26"/>
      <c r="E11265" s="27"/>
      <c r="F11265" s="27"/>
      <c r="G11265" s="27" t="s">
        <v>11122</v>
      </c>
      <c r="H11265" s="27" t="s">
        <v>35</v>
      </c>
      <c r="I11265" s="27" t="s">
        <v>40</v>
      </c>
      <c r="J11265" s="28" t="s">
        <v>3115</v>
      </c>
      <c r="K11265" s="27" t="s">
        <v>44</v>
      </c>
      <c r="L11265" s="27"/>
    </row>
    <row r="11266" customFormat="false" ht="15" hidden="false" customHeight="false" outlineLevel="0" collapsed="false">
      <c r="A11266" s="26" t="s">
        <v>27446</v>
      </c>
      <c r="B11266" s="27" t="s">
        <v>27447</v>
      </c>
      <c r="C11266" s="27" t="s">
        <v>144</v>
      </c>
      <c r="D11266" s="26"/>
      <c r="E11266" s="27"/>
      <c r="F11266" s="27"/>
      <c r="G11266" s="27" t="s">
        <v>11122</v>
      </c>
      <c r="H11266" s="27" t="s">
        <v>35</v>
      </c>
      <c r="I11266" s="27" t="s">
        <v>40</v>
      </c>
      <c r="J11266" s="28" t="s">
        <v>3115</v>
      </c>
      <c r="K11266" s="27" t="s">
        <v>44</v>
      </c>
      <c r="L11266" s="27"/>
    </row>
    <row r="11267" customFormat="false" ht="15" hidden="false" customHeight="false" outlineLevel="0" collapsed="false">
      <c r="A11267" s="26" t="s">
        <v>27448</v>
      </c>
      <c r="B11267" s="27" t="s">
        <v>27449</v>
      </c>
      <c r="C11267" s="27" t="s">
        <v>144</v>
      </c>
      <c r="D11267" s="26"/>
      <c r="E11267" s="27"/>
      <c r="F11267" s="27"/>
      <c r="G11267" s="27" t="s">
        <v>11122</v>
      </c>
      <c r="H11267" s="27" t="s">
        <v>35</v>
      </c>
      <c r="I11267" s="27" t="s">
        <v>41</v>
      </c>
      <c r="J11267" s="28" t="s">
        <v>3115</v>
      </c>
      <c r="K11267" s="27" t="s">
        <v>44</v>
      </c>
      <c r="L11267" s="27"/>
    </row>
    <row r="11268" customFormat="false" ht="15" hidden="false" customHeight="false" outlineLevel="0" collapsed="false">
      <c r="A11268" s="26" t="s">
        <v>27450</v>
      </c>
      <c r="B11268" s="27" t="s">
        <v>27451</v>
      </c>
      <c r="C11268" s="27" t="s">
        <v>144</v>
      </c>
      <c r="D11268" s="26"/>
      <c r="E11268" s="27"/>
      <c r="F11268" s="27"/>
      <c r="G11268" s="27" t="s">
        <v>11122</v>
      </c>
      <c r="H11268" s="27" t="s">
        <v>35</v>
      </c>
      <c r="I11268" s="27" t="s">
        <v>37</v>
      </c>
      <c r="J11268" s="28" t="s">
        <v>3115</v>
      </c>
      <c r="K11268" s="27" t="s">
        <v>44</v>
      </c>
      <c r="L11268" s="27"/>
    </row>
    <row r="11269" customFormat="false" ht="15" hidden="false" customHeight="false" outlineLevel="0" collapsed="false">
      <c r="A11269" s="26" t="s">
        <v>27452</v>
      </c>
      <c r="B11269" s="27" t="s">
        <v>27453</v>
      </c>
      <c r="C11269" s="27" t="s">
        <v>144</v>
      </c>
      <c r="D11269" s="26"/>
      <c r="E11269" s="27"/>
      <c r="F11269" s="27"/>
      <c r="G11269" s="27" t="s">
        <v>11122</v>
      </c>
      <c r="H11269" s="27" t="s">
        <v>35</v>
      </c>
      <c r="I11269" s="27" t="s">
        <v>41</v>
      </c>
      <c r="J11269" s="28" t="s">
        <v>3115</v>
      </c>
      <c r="K11269" s="27" t="s">
        <v>44</v>
      </c>
      <c r="L11269" s="27"/>
    </row>
    <row r="11270" customFormat="false" ht="15" hidden="false" customHeight="false" outlineLevel="0" collapsed="false">
      <c r="A11270" s="26" t="s">
        <v>27454</v>
      </c>
      <c r="B11270" s="27" t="s">
        <v>27455</v>
      </c>
      <c r="C11270" s="27" t="s">
        <v>100</v>
      </c>
      <c r="D11270" s="26"/>
      <c r="E11270" s="27"/>
      <c r="F11270" s="27"/>
      <c r="G11270" s="27" t="s">
        <v>11122</v>
      </c>
      <c r="H11270" s="27" t="s">
        <v>35</v>
      </c>
      <c r="I11270" s="27" t="s">
        <v>39</v>
      </c>
      <c r="J11270" s="28" t="s">
        <v>3115</v>
      </c>
      <c r="K11270" s="27" t="s">
        <v>44</v>
      </c>
      <c r="L11270" s="27"/>
    </row>
    <row r="11271" customFormat="false" ht="15" hidden="false" customHeight="false" outlineLevel="0" collapsed="false">
      <c r="A11271" s="26" t="s">
        <v>27456</v>
      </c>
      <c r="B11271" s="27" t="s">
        <v>27457</v>
      </c>
      <c r="C11271" s="27" t="s">
        <v>100</v>
      </c>
      <c r="D11271" s="26"/>
      <c r="E11271" s="27"/>
      <c r="F11271" s="27"/>
      <c r="G11271" s="27" t="s">
        <v>11122</v>
      </c>
      <c r="H11271" s="27" t="s">
        <v>35</v>
      </c>
      <c r="I11271" s="27" t="s">
        <v>47</v>
      </c>
      <c r="J11271" s="28" t="s">
        <v>3115</v>
      </c>
      <c r="K11271" s="27" t="s">
        <v>44</v>
      </c>
      <c r="L11271" s="27"/>
    </row>
    <row r="11272" customFormat="false" ht="15" hidden="false" customHeight="false" outlineLevel="0" collapsed="false">
      <c r="A11272" s="26" t="s">
        <v>27458</v>
      </c>
      <c r="B11272" s="27" t="s">
        <v>27459</v>
      </c>
      <c r="C11272" s="27" t="s">
        <v>144</v>
      </c>
      <c r="D11272" s="26"/>
      <c r="E11272" s="27"/>
      <c r="F11272" s="27"/>
      <c r="G11272" s="27" t="s">
        <v>11122</v>
      </c>
      <c r="H11272" s="27" t="s">
        <v>35</v>
      </c>
      <c r="I11272" s="27" t="s">
        <v>41</v>
      </c>
      <c r="J11272" s="28" t="s">
        <v>27460</v>
      </c>
      <c r="K11272" s="27"/>
      <c r="L11272" s="27"/>
    </row>
    <row r="11273" customFormat="false" ht="15" hidden="false" customHeight="false" outlineLevel="0" collapsed="false">
      <c r="A11273" s="26" t="s">
        <v>27461</v>
      </c>
      <c r="B11273" s="27" t="s">
        <v>27462</v>
      </c>
      <c r="C11273" s="27" t="s">
        <v>144</v>
      </c>
      <c r="D11273" s="26"/>
      <c r="E11273" s="27"/>
      <c r="F11273" s="27"/>
      <c r="G11273" s="27" t="s">
        <v>11122</v>
      </c>
      <c r="H11273" s="27" t="s">
        <v>35</v>
      </c>
      <c r="I11273" s="27" t="s">
        <v>38</v>
      </c>
      <c r="J11273" s="28" t="s">
        <v>27460</v>
      </c>
      <c r="K11273" s="27"/>
      <c r="L11273" s="27"/>
    </row>
    <row r="11274" customFormat="false" ht="15" hidden="false" customHeight="false" outlineLevel="0" collapsed="false">
      <c r="A11274" s="26" t="s">
        <v>27463</v>
      </c>
      <c r="B11274" s="27" t="s">
        <v>27464</v>
      </c>
      <c r="C11274" s="27" t="s">
        <v>144</v>
      </c>
      <c r="D11274" s="26"/>
      <c r="E11274" s="27"/>
      <c r="F11274" s="27"/>
      <c r="G11274" s="27" t="s">
        <v>11122</v>
      </c>
      <c r="H11274" s="27" t="s">
        <v>35</v>
      </c>
      <c r="I11274" s="27" t="s">
        <v>40</v>
      </c>
      <c r="J11274" s="28" t="s">
        <v>9780</v>
      </c>
      <c r="K11274" s="27" t="s">
        <v>39</v>
      </c>
      <c r="L11274" s="27"/>
    </row>
    <row r="11275" customFormat="false" ht="15" hidden="false" customHeight="false" outlineLevel="0" collapsed="false">
      <c r="A11275" s="26" t="s">
        <v>27465</v>
      </c>
      <c r="B11275" s="27" t="s">
        <v>27466</v>
      </c>
      <c r="C11275" s="27" t="s">
        <v>144</v>
      </c>
      <c r="D11275" s="26"/>
      <c r="E11275" s="27"/>
      <c r="F11275" s="27"/>
      <c r="G11275" s="27" t="s">
        <v>11122</v>
      </c>
      <c r="H11275" s="27" t="s">
        <v>35</v>
      </c>
      <c r="I11275" s="27" t="s">
        <v>887</v>
      </c>
      <c r="J11275" s="28" t="s">
        <v>27467</v>
      </c>
      <c r="K11275" s="27"/>
      <c r="L11275" s="27"/>
    </row>
    <row r="11276" customFormat="false" ht="15" hidden="false" customHeight="false" outlineLevel="0" collapsed="false">
      <c r="A11276" s="26" t="s">
        <v>27468</v>
      </c>
      <c r="B11276" s="27" t="s">
        <v>27469</v>
      </c>
      <c r="C11276" s="27" t="s">
        <v>144</v>
      </c>
      <c r="D11276" s="26"/>
      <c r="E11276" s="27"/>
      <c r="F11276" s="27"/>
      <c r="G11276" s="27" t="s">
        <v>11122</v>
      </c>
      <c r="H11276" s="27" t="s">
        <v>35</v>
      </c>
      <c r="I11276" s="27" t="s">
        <v>39</v>
      </c>
      <c r="J11276" s="28" t="s">
        <v>27467</v>
      </c>
      <c r="K11276" s="27"/>
      <c r="L11276" s="27"/>
    </row>
    <row r="11277" customFormat="false" ht="15" hidden="false" customHeight="false" outlineLevel="0" collapsed="false">
      <c r="A11277" s="26" t="s">
        <v>27470</v>
      </c>
      <c r="B11277" s="27" t="s">
        <v>27471</v>
      </c>
      <c r="C11277" s="27" t="s">
        <v>144</v>
      </c>
      <c r="D11277" s="26"/>
      <c r="E11277" s="27"/>
      <c r="F11277" s="27"/>
      <c r="G11277" s="27" t="s">
        <v>11122</v>
      </c>
      <c r="H11277" s="27" t="s">
        <v>35</v>
      </c>
      <c r="I11277" s="27" t="s">
        <v>39</v>
      </c>
      <c r="J11277" s="28" t="s">
        <v>27467</v>
      </c>
      <c r="K11277" s="27"/>
      <c r="L11277" s="27"/>
    </row>
    <row r="11278" customFormat="false" ht="15" hidden="false" customHeight="false" outlineLevel="0" collapsed="false">
      <c r="A11278" s="26" t="s">
        <v>27472</v>
      </c>
      <c r="B11278" s="27" t="s">
        <v>27473</v>
      </c>
      <c r="C11278" s="27" t="s">
        <v>137</v>
      </c>
      <c r="D11278" s="26"/>
      <c r="E11278" s="27"/>
      <c r="F11278" s="27"/>
      <c r="G11278" s="27" t="s">
        <v>11122</v>
      </c>
      <c r="H11278" s="27" t="s">
        <v>35</v>
      </c>
      <c r="I11278" s="27" t="s">
        <v>37</v>
      </c>
      <c r="J11278" s="28" t="s">
        <v>27467</v>
      </c>
      <c r="K11278" s="27"/>
      <c r="L11278" s="27"/>
    </row>
    <row r="11279" customFormat="false" ht="15" hidden="false" customHeight="false" outlineLevel="0" collapsed="false">
      <c r="A11279" s="26" t="s">
        <v>27474</v>
      </c>
      <c r="B11279" s="27" t="s">
        <v>27475</v>
      </c>
      <c r="C11279" s="27" t="s">
        <v>144</v>
      </c>
      <c r="D11279" s="26"/>
      <c r="E11279" s="27"/>
      <c r="F11279" s="27"/>
      <c r="G11279" s="27" t="s">
        <v>11122</v>
      </c>
      <c r="H11279" s="27" t="s">
        <v>35</v>
      </c>
      <c r="I11279" s="27" t="s">
        <v>38</v>
      </c>
      <c r="J11279" s="28" t="s">
        <v>1114</v>
      </c>
      <c r="K11279" s="27" t="s">
        <v>44</v>
      </c>
      <c r="L11279" s="27"/>
    </row>
    <row r="11280" customFormat="false" ht="15" hidden="false" customHeight="false" outlineLevel="0" collapsed="false">
      <c r="A11280" s="26" t="s">
        <v>27476</v>
      </c>
      <c r="B11280" s="27" t="s">
        <v>27477</v>
      </c>
      <c r="C11280" s="27" t="s">
        <v>144</v>
      </c>
      <c r="D11280" s="26"/>
      <c r="E11280" s="27"/>
      <c r="F11280" s="27"/>
      <c r="G11280" s="27" t="s">
        <v>11122</v>
      </c>
      <c r="H11280" s="27" t="s">
        <v>35</v>
      </c>
      <c r="I11280" s="27" t="s">
        <v>1067</v>
      </c>
      <c r="J11280" s="28" t="s">
        <v>1114</v>
      </c>
      <c r="K11280" s="27" t="s">
        <v>44</v>
      </c>
      <c r="L11280" s="27"/>
    </row>
    <row r="11281" customFormat="false" ht="15" hidden="false" customHeight="false" outlineLevel="0" collapsed="false">
      <c r="A11281" s="26" t="s">
        <v>27478</v>
      </c>
      <c r="B11281" s="27" t="s">
        <v>27479</v>
      </c>
      <c r="C11281" s="27" t="s">
        <v>144</v>
      </c>
      <c r="D11281" s="26"/>
      <c r="E11281" s="27"/>
      <c r="F11281" s="27"/>
      <c r="G11281" s="27" t="s">
        <v>11122</v>
      </c>
      <c r="H11281" s="27" t="s">
        <v>35</v>
      </c>
      <c r="I11281" s="27" t="s">
        <v>38</v>
      </c>
      <c r="J11281" s="28" t="s">
        <v>1114</v>
      </c>
      <c r="K11281" s="27" t="s">
        <v>44</v>
      </c>
      <c r="L11281" s="27"/>
    </row>
    <row r="11282" customFormat="false" ht="15" hidden="false" customHeight="false" outlineLevel="0" collapsed="false">
      <c r="A11282" s="26" t="s">
        <v>27480</v>
      </c>
      <c r="B11282" s="27" t="s">
        <v>27481</v>
      </c>
      <c r="C11282" s="27" t="s">
        <v>144</v>
      </c>
      <c r="D11282" s="26"/>
      <c r="E11282" s="27"/>
      <c r="F11282" s="27"/>
      <c r="G11282" s="27" t="s">
        <v>11122</v>
      </c>
      <c r="H11282" s="27" t="s">
        <v>35</v>
      </c>
      <c r="I11282" s="27" t="s">
        <v>38</v>
      </c>
      <c r="J11282" s="28" t="s">
        <v>1114</v>
      </c>
      <c r="K11282" s="27" t="s">
        <v>44</v>
      </c>
      <c r="L11282" s="27"/>
    </row>
    <row r="11283" customFormat="false" ht="15" hidden="false" customHeight="false" outlineLevel="0" collapsed="false">
      <c r="A11283" s="26" t="s">
        <v>27482</v>
      </c>
      <c r="B11283" s="27" t="s">
        <v>27483</v>
      </c>
      <c r="C11283" s="27" t="s">
        <v>144</v>
      </c>
      <c r="D11283" s="26"/>
      <c r="E11283" s="27"/>
      <c r="F11283" s="27"/>
      <c r="G11283" s="27" t="s">
        <v>11122</v>
      </c>
      <c r="H11283" s="27" t="s">
        <v>35</v>
      </c>
      <c r="I11283" s="27" t="s">
        <v>41</v>
      </c>
      <c r="J11283" s="28" t="s">
        <v>1114</v>
      </c>
      <c r="K11283" s="27" t="s">
        <v>44</v>
      </c>
      <c r="L11283" s="27"/>
    </row>
    <row r="11284" customFormat="false" ht="15" hidden="false" customHeight="false" outlineLevel="0" collapsed="false">
      <c r="A11284" s="26" t="s">
        <v>27484</v>
      </c>
      <c r="B11284" s="27" t="s">
        <v>27485</v>
      </c>
      <c r="C11284" s="27" t="s">
        <v>144</v>
      </c>
      <c r="D11284" s="26"/>
      <c r="E11284" s="27"/>
      <c r="F11284" s="27"/>
      <c r="G11284" s="27" t="s">
        <v>11122</v>
      </c>
      <c r="H11284" s="27" t="s">
        <v>35</v>
      </c>
      <c r="I11284" s="27" t="s">
        <v>38</v>
      </c>
      <c r="J11284" s="28" t="s">
        <v>1114</v>
      </c>
      <c r="K11284" s="27" t="s">
        <v>44</v>
      </c>
      <c r="L11284" s="27"/>
    </row>
    <row r="11285" customFormat="false" ht="15" hidden="false" customHeight="false" outlineLevel="0" collapsed="false">
      <c r="A11285" s="26" t="s">
        <v>27486</v>
      </c>
      <c r="B11285" s="27" t="s">
        <v>27487</v>
      </c>
      <c r="C11285" s="27" t="s">
        <v>144</v>
      </c>
      <c r="D11285" s="26"/>
      <c r="E11285" s="27"/>
      <c r="F11285" s="27"/>
      <c r="G11285" s="27" t="s">
        <v>11122</v>
      </c>
      <c r="H11285" s="27" t="s">
        <v>35</v>
      </c>
      <c r="I11285" s="27" t="s">
        <v>41</v>
      </c>
      <c r="J11285" s="28" t="s">
        <v>1114</v>
      </c>
      <c r="K11285" s="27" t="s">
        <v>44</v>
      </c>
      <c r="L11285" s="27"/>
    </row>
    <row r="11286" customFormat="false" ht="15" hidden="false" customHeight="false" outlineLevel="0" collapsed="false">
      <c r="A11286" s="26" t="s">
        <v>27488</v>
      </c>
      <c r="B11286" s="27" t="s">
        <v>27489</v>
      </c>
      <c r="C11286" s="27" t="s">
        <v>144</v>
      </c>
      <c r="D11286" s="26"/>
      <c r="E11286" s="27"/>
      <c r="F11286" s="27"/>
      <c r="G11286" s="27" t="s">
        <v>11122</v>
      </c>
      <c r="H11286" s="27" t="s">
        <v>35</v>
      </c>
      <c r="I11286" s="27" t="s">
        <v>43</v>
      </c>
      <c r="J11286" s="28" t="s">
        <v>1114</v>
      </c>
      <c r="K11286" s="27" t="s">
        <v>44</v>
      </c>
      <c r="L11286" s="27"/>
    </row>
    <row r="11287" customFormat="false" ht="15" hidden="false" customHeight="false" outlineLevel="0" collapsed="false">
      <c r="A11287" s="26" t="s">
        <v>27490</v>
      </c>
      <c r="B11287" s="27" t="s">
        <v>27491</v>
      </c>
      <c r="C11287" s="27" t="s">
        <v>144</v>
      </c>
      <c r="D11287" s="26"/>
      <c r="E11287" s="27"/>
      <c r="F11287" s="27"/>
      <c r="G11287" s="27" t="s">
        <v>11122</v>
      </c>
      <c r="H11287" s="27" t="s">
        <v>35</v>
      </c>
      <c r="I11287" s="27" t="s">
        <v>43</v>
      </c>
      <c r="J11287" s="28" t="s">
        <v>1114</v>
      </c>
      <c r="K11287" s="27" t="s">
        <v>44</v>
      </c>
      <c r="L11287" s="27"/>
    </row>
    <row r="11288" customFormat="false" ht="15" hidden="false" customHeight="false" outlineLevel="0" collapsed="false">
      <c r="A11288" s="26" t="s">
        <v>27492</v>
      </c>
      <c r="B11288" s="27" t="s">
        <v>27493</v>
      </c>
      <c r="C11288" s="27" t="s">
        <v>144</v>
      </c>
      <c r="D11288" s="26"/>
      <c r="E11288" s="27"/>
      <c r="F11288" s="27"/>
      <c r="G11288" s="27" t="s">
        <v>11122</v>
      </c>
      <c r="H11288" s="27" t="s">
        <v>35</v>
      </c>
      <c r="I11288" s="27" t="s">
        <v>44</v>
      </c>
      <c r="J11288" s="28" t="s">
        <v>1114</v>
      </c>
      <c r="K11288" s="27" t="s">
        <v>44</v>
      </c>
      <c r="L11288" s="27"/>
    </row>
    <row r="11289" customFormat="false" ht="15" hidden="false" customHeight="false" outlineLevel="0" collapsed="false">
      <c r="A11289" s="26" t="s">
        <v>27494</v>
      </c>
      <c r="B11289" s="27" t="s">
        <v>27495</v>
      </c>
      <c r="C11289" s="27" t="s">
        <v>144</v>
      </c>
      <c r="D11289" s="26"/>
      <c r="E11289" s="27"/>
      <c r="F11289" s="27"/>
      <c r="G11289" s="27" t="s">
        <v>11122</v>
      </c>
      <c r="H11289" s="27" t="s">
        <v>35</v>
      </c>
      <c r="I11289" s="27" t="s">
        <v>1296</v>
      </c>
      <c r="J11289" s="28" t="s">
        <v>1114</v>
      </c>
      <c r="K11289" s="27" t="s">
        <v>44</v>
      </c>
      <c r="L11289" s="27"/>
    </row>
    <row r="11290" customFormat="false" ht="15" hidden="false" customHeight="false" outlineLevel="0" collapsed="false">
      <c r="A11290" s="26" t="s">
        <v>27496</v>
      </c>
      <c r="B11290" s="27" t="s">
        <v>27497</v>
      </c>
      <c r="C11290" s="27" t="s">
        <v>370</v>
      </c>
      <c r="D11290" s="26"/>
      <c r="E11290" s="27"/>
      <c r="F11290" s="27"/>
      <c r="G11290" s="27" t="s">
        <v>11122</v>
      </c>
      <c r="H11290" s="27" t="s">
        <v>35</v>
      </c>
      <c r="I11290" s="27" t="s">
        <v>39</v>
      </c>
      <c r="J11290" s="28" t="s">
        <v>1114</v>
      </c>
      <c r="K11290" s="27" t="s">
        <v>44</v>
      </c>
      <c r="L11290" s="27"/>
    </row>
    <row r="11291" customFormat="false" ht="15" hidden="false" customHeight="false" outlineLevel="0" collapsed="false">
      <c r="A11291" s="26" t="s">
        <v>27498</v>
      </c>
      <c r="B11291" s="27" t="s">
        <v>27499</v>
      </c>
      <c r="C11291" s="27" t="s">
        <v>144</v>
      </c>
      <c r="D11291" s="26"/>
      <c r="E11291" s="27"/>
      <c r="F11291" s="27"/>
      <c r="G11291" s="27" t="s">
        <v>11122</v>
      </c>
      <c r="H11291" s="27" t="s">
        <v>35</v>
      </c>
      <c r="I11291" s="27" t="s">
        <v>42</v>
      </c>
      <c r="J11291" s="28" t="s">
        <v>1114</v>
      </c>
      <c r="K11291" s="27" t="s">
        <v>44</v>
      </c>
      <c r="L11291" s="27"/>
    </row>
    <row r="11292" customFormat="false" ht="15" hidden="false" customHeight="false" outlineLevel="0" collapsed="false">
      <c r="A11292" s="26" t="s">
        <v>27500</v>
      </c>
      <c r="B11292" s="27" t="s">
        <v>27501</v>
      </c>
      <c r="C11292" s="27" t="s">
        <v>144</v>
      </c>
      <c r="D11292" s="26"/>
      <c r="E11292" s="27"/>
      <c r="F11292" s="27"/>
      <c r="G11292" s="27" t="s">
        <v>11122</v>
      </c>
      <c r="H11292" s="27" t="s">
        <v>35</v>
      </c>
      <c r="I11292" s="27" t="s">
        <v>41</v>
      </c>
      <c r="J11292" s="28" t="s">
        <v>1114</v>
      </c>
      <c r="K11292" s="27" t="s">
        <v>44</v>
      </c>
      <c r="L11292" s="27"/>
    </row>
    <row r="11293" customFormat="false" ht="15" hidden="false" customHeight="false" outlineLevel="0" collapsed="false">
      <c r="A11293" s="26" t="s">
        <v>27502</v>
      </c>
      <c r="B11293" s="27" t="s">
        <v>27503</v>
      </c>
      <c r="C11293" s="27" t="s">
        <v>144</v>
      </c>
      <c r="D11293" s="26"/>
      <c r="E11293" s="27"/>
      <c r="F11293" s="27"/>
      <c r="G11293" s="27" t="s">
        <v>11122</v>
      </c>
      <c r="H11293" s="27" t="s">
        <v>35</v>
      </c>
      <c r="I11293" s="27" t="s">
        <v>44</v>
      </c>
      <c r="J11293" s="28" t="s">
        <v>1114</v>
      </c>
      <c r="K11293" s="27" t="s">
        <v>44</v>
      </c>
      <c r="L11293" s="27"/>
    </row>
    <row r="11294" customFormat="false" ht="15" hidden="false" customHeight="false" outlineLevel="0" collapsed="false">
      <c r="A11294" s="26" t="s">
        <v>27504</v>
      </c>
      <c r="B11294" s="27" t="s">
        <v>27505</v>
      </c>
      <c r="C11294" s="27" t="s">
        <v>144</v>
      </c>
      <c r="D11294" s="26"/>
      <c r="E11294" s="27"/>
      <c r="F11294" s="27"/>
      <c r="G11294" s="27" t="s">
        <v>11122</v>
      </c>
      <c r="H11294" s="27" t="s">
        <v>35</v>
      </c>
      <c r="I11294" s="27" t="s">
        <v>41</v>
      </c>
      <c r="J11294" s="28" t="s">
        <v>1114</v>
      </c>
      <c r="K11294" s="27" t="s">
        <v>44</v>
      </c>
      <c r="L11294" s="27"/>
    </row>
    <row r="11295" customFormat="false" ht="15" hidden="false" customHeight="false" outlineLevel="0" collapsed="false">
      <c r="A11295" s="26" t="s">
        <v>27506</v>
      </c>
      <c r="B11295" s="27" t="s">
        <v>27507</v>
      </c>
      <c r="C11295" s="27" t="s">
        <v>144</v>
      </c>
      <c r="D11295" s="26"/>
      <c r="E11295" s="27"/>
      <c r="F11295" s="27"/>
      <c r="G11295" s="27" t="s">
        <v>11122</v>
      </c>
      <c r="H11295" s="27" t="s">
        <v>35</v>
      </c>
      <c r="I11295" s="27" t="s">
        <v>44</v>
      </c>
      <c r="J11295" s="28" t="s">
        <v>1114</v>
      </c>
      <c r="K11295" s="27" t="s">
        <v>44</v>
      </c>
      <c r="L11295" s="27"/>
    </row>
    <row r="11296" customFormat="false" ht="15" hidden="false" customHeight="false" outlineLevel="0" collapsed="false">
      <c r="A11296" s="26" t="s">
        <v>27508</v>
      </c>
      <c r="B11296" s="27" t="s">
        <v>27509</v>
      </c>
      <c r="C11296" s="27" t="s">
        <v>1087</v>
      </c>
      <c r="D11296" s="26"/>
      <c r="E11296" s="27"/>
      <c r="F11296" s="27"/>
      <c r="G11296" s="27" t="s">
        <v>11122</v>
      </c>
      <c r="H11296" s="27" t="s">
        <v>35</v>
      </c>
      <c r="I11296" s="27" t="s">
        <v>39</v>
      </c>
      <c r="J11296" s="28" t="s">
        <v>1114</v>
      </c>
      <c r="K11296" s="27" t="s">
        <v>44</v>
      </c>
      <c r="L11296" s="27"/>
    </row>
    <row r="11297" customFormat="false" ht="15" hidden="false" customHeight="false" outlineLevel="0" collapsed="false">
      <c r="A11297" s="26" t="s">
        <v>27510</v>
      </c>
      <c r="B11297" s="27" t="s">
        <v>27511</v>
      </c>
      <c r="C11297" s="27" t="s">
        <v>144</v>
      </c>
      <c r="D11297" s="26"/>
      <c r="E11297" s="27"/>
      <c r="F11297" s="27"/>
      <c r="G11297" s="27" t="s">
        <v>11122</v>
      </c>
      <c r="H11297" s="27" t="s">
        <v>35</v>
      </c>
      <c r="I11297" s="27" t="s">
        <v>44</v>
      </c>
      <c r="J11297" s="28" t="s">
        <v>1114</v>
      </c>
      <c r="K11297" s="27" t="s">
        <v>44</v>
      </c>
      <c r="L11297" s="27"/>
    </row>
    <row r="11298" customFormat="false" ht="15" hidden="false" customHeight="false" outlineLevel="0" collapsed="false">
      <c r="A11298" s="26" t="s">
        <v>27512</v>
      </c>
      <c r="B11298" s="27" t="s">
        <v>27513</v>
      </c>
      <c r="C11298" s="27" t="s">
        <v>144</v>
      </c>
      <c r="D11298" s="26"/>
      <c r="E11298" s="27"/>
      <c r="F11298" s="27"/>
      <c r="G11298" s="27" t="s">
        <v>11122</v>
      </c>
      <c r="H11298" s="27" t="s">
        <v>35</v>
      </c>
      <c r="I11298" s="27" t="s">
        <v>44</v>
      </c>
      <c r="J11298" s="28" t="s">
        <v>1114</v>
      </c>
      <c r="K11298" s="27" t="s">
        <v>44</v>
      </c>
      <c r="L11298" s="27"/>
    </row>
    <row r="11299" customFormat="false" ht="15" hidden="false" customHeight="false" outlineLevel="0" collapsed="false">
      <c r="A11299" s="26" t="s">
        <v>27514</v>
      </c>
      <c r="B11299" s="27" t="s">
        <v>27515</v>
      </c>
      <c r="C11299" s="27" t="s">
        <v>144</v>
      </c>
      <c r="D11299" s="26"/>
      <c r="E11299" s="27"/>
      <c r="F11299" s="27"/>
      <c r="G11299" s="27" t="s">
        <v>11122</v>
      </c>
      <c r="H11299" s="27" t="s">
        <v>35</v>
      </c>
      <c r="I11299" s="27" t="s">
        <v>1296</v>
      </c>
      <c r="J11299" s="28" t="s">
        <v>1114</v>
      </c>
      <c r="K11299" s="27" t="s">
        <v>44</v>
      </c>
      <c r="L11299" s="27"/>
    </row>
    <row r="11300" customFormat="false" ht="15" hidden="false" customHeight="false" outlineLevel="0" collapsed="false">
      <c r="A11300" s="26" t="s">
        <v>27516</v>
      </c>
      <c r="B11300" s="27" t="s">
        <v>27517</v>
      </c>
      <c r="C11300" s="27" t="s">
        <v>144</v>
      </c>
      <c r="D11300" s="26"/>
      <c r="E11300" s="27"/>
      <c r="F11300" s="27"/>
      <c r="G11300" s="27" t="s">
        <v>11122</v>
      </c>
      <c r="H11300" s="27" t="s">
        <v>35</v>
      </c>
      <c r="I11300" s="27" t="s">
        <v>39</v>
      </c>
      <c r="J11300" s="28" t="s">
        <v>1114</v>
      </c>
      <c r="K11300" s="27" t="s">
        <v>44</v>
      </c>
      <c r="L11300" s="27"/>
    </row>
    <row r="11301" customFormat="false" ht="15" hidden="false" customHeight="false" outlineLevel="0" collapsed="false">
      <c r="A11301" s="26" t="s">
        <v>27518</v>
      </c>
      <c r="B11301" s="27" t="s">
        <v>27519</v>
      </c>
      <c r="C11301" s="27" t="s">
        <v>144</v>
      </c>
      <c r="D11301" s="26"/>
      <c r="E11301" s="27"/>
      <c r="F11301" s="27"/>
      <c r="G11301" s="27" t="s">
        <v>11122</v>
      </c>
      <c r="H11301" s="27" t="s">
        <v>35</v>
      </c>
      <c r="I11301" s="27" t="s">
        <v>37</v>
      </c>
      <c r="J11301" s="28" t="s">
        <v>1114</v>
      </c>
      <c r="K11301" s="27" t="s">
        <v>44</v>
      </c>
      <c r="L11301" s="27"/>
    </row>
    <row r="11302" customFormat="false" ht="15" hidden="false" customHeight="false" outlineLevel="0" collapsed="false">
      <c r="A11302" s="26" t="s">
        <v>27520</v>
      </c>
      <c r="B11302" s="27" t="s">
        <v>27521</v>
      </c>
      <c r="C11302" s="27" t="s">
        <v>137</v>
      </c>
      <c r="D11302" s="26"/>
      <c r="E11302" s="27"/>
      <c r="F11302" s="27"/>
      <c r="G11302" s="27" t="s">
        <v>11122</v>
      </c>
      <c r="H11302" s="27" t="s">
        <v>35</v>
      </c>
      <c r="I11302" s="27" t="s">
        <v>41</v>
      </c>
      <c r="J11302" s="28" t="s">
        <v>1114</v>
      </c>
      <c r="K11302" s="27" t="s">
        <v>44</v>
      </c>
      <c r="L11302" s="27"/>
    </row>
    <row r="11303" customFormat="false" ht="15" hidden="false" customHeight="false" outlineLevel="0" collapsed="false">
      <c r="A11303" s="26" t="s">
        <v>27522</v>
      </c>
      <c r="B11303" s="27" t="s">
        <v>27523</v>
      </c>
      <c r="C11303" s="27" t="s">
        <v>144</v>
      </c>
      <c r="D11303" s="26"/>
      <c r="E11303" s="27"/>
      <c r="F11303" s="27"/>
      <c r="G11303" s="27" t="s">
        <v>11122</v>
      </c>
      <c r="H11303" s="27" t="s">
        <v>35</v>
      </c>
      <c r="I11303" s="27" t="s">
        <v>39</v>
      </c>
      <c r="J11303" s="28" t="s">
        <v>1114</v>
      </c>
      <c r="K11303" s="27" t="s">
        <v>44</v>
      </c>
      <c r="L11303" s="27"/>
    </row>
    <row r="11304" customFormat="false" ht="15" hidden="false" customHeight="false" outlineLevel="0" collapsed="false">
      <c r="A11304" s="26" t="s">
        <v>27524</v>
      </c>
      <c r="B11304" s="27" t="s">
        <v>27525</v>
      </c>
      <c r="C11304" s="27" t="s">
        <v>137</v>
      </c>
      <c r="D11304" s="26"/>
      <c r="E11304" s="27"/>
      <c r="F11304" s="27"/>
      <c r="G11304" s="27" t="s">
        <v>11122</v>
      </c>
      <c r="H11304" s="27" t="s">
        <v>35</v>
      </c>
      <c r="I11304" s="27" t="s">
        <v>41</v>
      </c>
      <c r="J11304" s="28" t="s">
        <v>1114</v>
      </c>
      <c r="K11304" s="27" t="s">
        <v>44</v>
      </c>
      <c r="L11304" s="27"/>
    </row>
    <row r="11305" customFormat="false" ht="15" hidden="false" customHeight="false" outlineLevel="0" collapsed="false">
      <c r="A11305" s="26" t="s">
        <v>27526</v>
      </c>
      <c r="B11305" s="27" t="s">
        <v>27527</v>
      </c>
      <c r="C11305" s="27" t="s">
        <v>144</v>
      </c>
      <c r="D11305" s="26"/>
      <c r="E11305" s="27"/>
      <c r="F11305" s="27"/>
      <c r="G11305" s="27" t="s">
        <v>11122</v>
      </c>
      <c r="H11305" s="27" t="s">
        <v>35</v>
      </c>
      <c r="I11305" s="27" t="s">
        <v>44</v>
      </c>
      <c r="J11305" s="28" t="s">
        <v>1114</v>
      </c>
      <c r="K11305" s="27" t="s">
        <v>44</v>
      </c>
      <c r="L11305" s="27"/>
    </row>
    <row r="11306" customFormat="false" ht="15" hidden="false" customHeight="false" outlineLevel="0" collapsed="false">
      <c r="A11306" s="26" t="s">
        <v>27528</v>
      </c>
      <c r="B11306" s="27" t="s">
        <v>27529</v>
      </c>
      <c r="C11306" s="27" t="s">
        <v>1087</v>
      </c>
      <c r="D11306" s="26"/>
      <c r="E11306" s="27"/>
      <c r="F11306" s="27"/>
      <c r="G11306" s="27" t="s">
        <v>11122</v>
      </c>
      <c r="H11306" s="27" t="s">
        <v>35</v>
      </c>
      <c r="I11306" s="27" t="s">
        <v>44</v>
      </c>
      <c r="J11306" s="28" t="s">
        <v>1114</v>
      </c>
      <c r="K11306" s="27" t="s">
        <v>44</v>
      </c>
      <c r="L11306" s="27"/>
    </row>
    <row r="11307" customFormat="false" ht="15" hidden="false" customHeight="false" outlineLevel="0" collapsed="false">
      <c r="A11307" s="26" t="s">
        <v>27530</v>
      </c>
      <c r="B11307" s="27" t="s">
        <v>27531</v>
      </c>
      <c r="C11307" s="27" t="s">
        <v>1527</v>
      </c>
      <c r="D11307" s="26"/>
      <c r="E11307" s="27"/>
      <c r="F11307" s="27"/>
      <c r="G11307" s="27" t="s">
        <v>11122</v>
      </c>
      <c r="H11307" s="27" t="s">
        <v>35</v>
      </c>
      <c r="I11307" s="27" t="s">
        <v>41</v>
      </c>
      <c r="J11307" s="28" t="s">
        <v>1114</v>
      </c>
      <c r="K11307" s="27" t="s">
        <v>44</v>
      </c>
      <c r="L11307" s="27"/>
    </row>
    <row r="11308" customFormat="false" ht="15" hidden="false" customHeight="false" outlineLevel="0" collapsed="false">
      <c r="A11308" s="26" t="s">
        <v>27532</v>
      </c>
      <c r="B11308" s="27" t="s">
        <v>27533</v>
      </c>
      <c r="C11308" s="27" t="s">
        <v>144</v>
      </c>
      <c r="D11308" s="26"/>
      <c r="E11308" s="27"/>
      <c r="F11308" s="27"/>
      <c r="G11308" s="27" t="s">
        <v>11122</v>
      </c>
      <c r="H11308" s="27" t="s">
        <v>35</v>
      </c>
      <c r="I11308" s="27" t="s">
        <v>37</v>
      </c>
      <c r="J11308" s="28" t="s">
        <v>1129</v>
      </c>
      <c r="K11308" s="27" t="s">
        <v>39</v>
      </c>
      <c r="L11308" s="27"/>
    </row>
    <row r="11309" customFormat="false" ht="15" hidden="false" customHeight="false" outlineLevel="0" collapsed="false">
      <c r="A11309" s="26" t="s">
        <v>27534</v>
      </c>
      <c r="B11309" s="27" t="s">
        <v>27535</v>
      </c>
      <c r="C11309" s="27" t="s">
        <v>144</v>
      </c>
      <c r="D11309" s="26"/>
      <c r="E11309" s="27"/>
      <c r="F11309" s="27"/>
      <c r="G11309" s="27" t="s">
        <v>11122</v>
      </c>
      <c r="H11309" s="27" t="s">
        <v>35</v>
      </c>
      <c r="I11309" s="27" t="s">
        <v>39</v>
      </c>
      <c r="J11309" s="28" t="s">
        <v>1129</v>
      </c>
      <c r="K11309" s="27" t="s">
        <v>39</v>
      </c>
      <c r="L11309" s="27"/>
    </row>
    <row r="11310" customFormat="false" ht="15" hidden="false" customHeight="false" outlineLevel="0" collapsed="false">
      <c r="A11310" s="26" t="s">
        <v>27536</v>
      </c>
      <c r="B11310" s="27" t="s">
        <v>27537</v>
      </c>
      <c r="C11310" s="27" t="s">
        <v>144</v>
      </c>
      <c r="D11310" s="26"/>
      <c r="E11310" s="27"/>
      <c r="F11310" s="27"/>
      <c r="G11310" s="27" t="s">
        <v>11122</v>
      </c>
      <c r="H11310" s="27" t="s">
        <v>35</v>
      </c>
      <c r="I11310" s="27" t="s">
        <v>39</v>
      </c>
      <c r="J11310" s="28" t="s">
        <v>1129</v>
      </c>
      <c r="K11310" s="27" t="s">
        <v>39</v>
      </c>
      <c r="L11310" s="27"/>
    </row>
    <row r="11311" customFormat="false" ht="15" hidden="false" customHeight="false" outlineLevel="0" collapsed="false">
      <c r="A11311" s="26" t="s">
        <v>27538</v>
      </c>
      <c r="B11311" s="27" t="s">
        <v>27539</v>
      </c>
      <c r="C11311" s="27" t="s">
        <v>144</v>
      </c>
      <c r="D11311" s="26"/>
      <c r="E11311" s="27"/>
      <c r="F11311" s="27"/>
      <c r="G11311" s="27" t="s">
        <v>11122</v>
      </c>
      <c r="H11311" s="27" t="s">
        <v>35</v>
      </c>
      <c r="I11311" s="27" t="s">
        <v>41</v>
      </c>
      <c r="J11311" s="28" t="s">
        <v>1129</v>
      </c>
      <c r="K11311" s="27" t="s">
        <v>39</v>
      </c>
      <c r="L11311" s="27"/>
    </row>
    <row r="11312" customFormat="false" ht="15" hidden="false" customHeight="false" outlineLevel="0" collapsed="false">
      <c r="A11312" s="26" t="s">
        <v>27540</v>
      </c>
      <c r="B11312" s="27" t="s">
        <v>27541</v>
      </c>
      <c r="C11312" s="27" t="s">
        <v>144</v>
      </c>
      <c r="D11312" s="26"/>
      <c r="E11312" s="27"/>
      <c r="F11312" s="27"/>
      <c r="G11312" s="27" t="s">
        <v>11122</v>
      </c>
      <c r="H11312" s="27" t="s">
        <v>35</v>
      </c>
      <c r="I11312" s="27" t="s">
        <v>43</v>
      </c>
      <c r="J11312" s="28" t="s">
        <v>1129</v>
      </c>
      <c r="K11312" s="27" t="s">
        <v>39</v>
      </c>
      <c r="L11312" s="27"/>
    </row>
    <row r="11313" customFormat="false" ht="15" hidden="false" customHeight="false" outlineLevel="0" collapsed="false">
      <c r="A11313" s="26" t="s">
        <v>27542</v>
      </c>
      <c r="B11313" s="27" t="s">
        <v>27543</v>
      </c>
      <c r="C11313" s="27" t="s">
        <v>144</v>
      </c>
      <c r="D11313" s="26"/>
      <c r="E11313" s="27"/>
      <c r="F11313" s="27"/>
      <c r="G11313" s="27" t="s">
        <v>11122</v>
      </c>
      <c r="H11313" s="27" t="s">
        <v>35</v>
      </c>
      <c r="I11313" s="27" t="s">
        <v>39</v>
      </c>
      <c r="J11313" s="28" t="s">
        <v>1129</v>
      </c>
      <c r="K11313" s="27" t="s">
        <v>39</v>
      </c>
      <c r="L11313" s="27"/>
    </row>
    <row r="11314" customFormat="false" ht="15" hidden="false" customHeight="false" outlineLevel="0" collapsed="false">
      <c r="A11314" s="26" t="s">
        <v>27544</v>
      </c>
      <c r="B11314" s="27" t="s">
        <v>27545</v>
      </c>
      <c r="C11314" s="27" t="s">
        <v>144</v>
      </c>
      <c r="D11314" s="26"/>
      <c r="E11314" s="27"/>
      <c r="F11314" s="27"/>
      <c r="G11314" s="27" t="s">
        <v>11122</v>
      </c>
      <c r="H11314" s="27" t="s">
        <v>35</v>
      </c>
      <c r="I11314" s="27" t="s">
        <v>39</v>
      </c>
      <c r="J11314" s="28" t="s">
        <v>1129</v>
      </c>
      <c r="K11314" s="27" t="s">
        <v>39</v>
      </c>
      <c r="L11314" s="27"/>
    </row>
    <row r="11315" customFormat="false" ht="15" hidden="false" customHeight="false" outlineLevel="0" collapsed="false">
      <c r="A11315" s="26" t="s">
        <v>27546</v>
      </c>
      <c r="B11315" s="27" t="s">
        <v>27547</v>
      </c>
      <c r="C11315" s="27" t="s">
        <v>144</v>
      </c>
      <c r="D11315" s="26"/>
      <c r="E11315" s="27"/>
      <c r="F11315" s="27"/>
      <c r="G11315" s="27" t="s">
        <v>11122</v>
      </c>
      <c r="H11315" s="27" t="s">
        <v>35</v>
      </c>
      <c r="I11315" s="27" t="s">
        <v>39</v>
      </c>
      <c r="J11315" s="28" t="s">
        <v>1129</v>
      </c>
      <c r="K11315" s="27" t="s">
        <v>39</v>
      </c>
      <c r="L11315" s="27"/>
    </row>
    <row r="11316" customFormat="false" ht="15" hidden="false" customHeight="false" outlineLevel="0" collapsed="false">
      <c r="A11316" s="26" t="s">
        <v>27548</v>
      </c>
      <c r="B11316" s="27" t="s">
        <v>27549</v>
      </c>
      <c r="C11316" s="27" t="s">
        <v>144</v>
      </c>
      <c r="D11316" s="26"/>
      <c r="E11316" s="27"/>
      <c r="F11316" s="27"/>
      <c r="G11316" s="27" t="s">
        <v>11122</v>
      </c>
      <c r="H11316" s="27" t="s">
        <v>35</v>
      </c>
      <c r="I11316" s="27" t="s">
        <v>39</v>
      </c>
      <c r="J11316" s="28" t="s">
        <v>1129</v>
      </c>
      <c r="K11316" s="27" t="s">
        <v>39</v>
      </c>
      <c r="L11316" s="27"/>
    </row>
    <row r="11317" customFormat="false" ht="15" hidden="false" customHeight="false" outlineLevel="0" collapsed="false">
      <c r="A11317" s="26" t="s">
        <v>27550</v>
      </c>
      <c r="B11317" s="27" t="s">
        <v>27551</v>
      </c>
      <c r="C11317" s="27" t="s">
        <v>144</v>
      </c>
      <c r="D11317" s="26"/>
      <c r="E11317" s="27"/>
      <c r="F11317" s="27"/>
      <c r="G11317" s="27" t="s">
        <v>11122</v>
      </c>
      <c r="H11317" s="27" t="s">
        <v>35</v>
      </c>
      <c r="I11317" s="27" t="s">
        <v>38</v>
      </c>
      <c r="J11317" s="28" t="s">
        <v>1129</v>
      </c>
      <c r="K11317" s="27" t="s">
        <v>39</v>
      </c>
      <c r="L11317" s="27"/>
    </row>
    <row r="11318" customFormat="false" ht="15" hidden="false" customHeight="false" outlineLevel="0" collapsed="false">
      <c r="A11318" s="26" t="s">
        <v>27552</v>
      </c>
      <c r="B11318" s="27" t="s">
        <v>27553</v>
      </c>
      <c r="C11318" s="27" t="s">
        <v>144</v>
      </c>
      <c r="D11318" s="26"/>
      <c r="E11318" s="27"/>
      <c r="F11318" s="27"/>
      <c r="G11318" s="27" t="s">
        <v>11122</v>
      </c>
      <c r="H11318" s="27" t="s">
        <v>35</v>
      </c>
      <c r="I11318" s="27" t="s">
        <v>40</v>
      </c>
      <c r="J11318" s="28" t="s">
        <v>1129</v>
      </c>
      <c r="K11318" s="27" t="s">
        <v>39</v>
      </c>
      <c r="L11318" s="27"/>
    </row>
    <row r="11319" customFormat="false" ht="15" hidden="false" customHeight="false" outlineLevel="0" collapsed="false">
      <c r="A11319" s="26" t="s">
        <v>27554</v>
      </c>
      <c r="B11319" s="27" t="s">
        <v>27555</v>
      </c>
      <c r="C11319" s="27" t="s">
        <v>144</v>
      </c>
      <c r="D11319" s="26"/>
      <c r="E11319" s="27"/>
      <c r="F11319" s="27"/>
      <c r="G11319" s="27" t="s">
        <v>11122</v>
      </c>
      <c r="H11319" s="27" t="s">
        <v>35</v>
      </c>
      <c r="I11319" s="27" t="s">
        <v>40</v>
      </c>
      <c r="J11319" s="28" t="s">
        <v>1129</v>
      </c>
      <c r="K11319" s="27" t="s">
        <v>39</v>
      </c>
      <c r="L11319" s="27"/>
    </row>
    <row r="11320" customFormat="false" ht="15" hidden="false" customHeight="false" outlineLevel="0" collapsed="false">
      <c r="A11320" s="26" t="s">
        <v>27556</v>
      </c>
      <c r="B11320" s="27" t="s">
        <v>27557</v>
      </c>
      <c r="C11320" s="27" t="s">
        <v>144</v>
      </c>
      <c r="D11320" s="26"/>
      <c r="E11320" s="27"/>
      <c r="F11320" s="27"/>
      <c r="G11320" s="27" t="s">
        <v>11122</v>
      </c>
      <c r="H11320" s="27" t="s">
        <v>35</v>
      </c>
      <c r="I11320" s="27" t="s">
        <v>44</v>
      </c>
      <c r="J11320" s="28" t="s">
        <v>1129</v>
      </c>
      <c r="K11320" s="27" t="s">
        <v>39</v>
      </c>
      <c r="L11320" s="27"/>
    </row>
    <row r="11321" customFormat="false" ht="15" hidden="false" customHeight="false" outlineLevel="0" collapsed="false">
      <c r="A11321" s="26" t="s">
        <v>27558</v>
      </c>
      <c r="B11321" s="27" t="s">
        <v>27559</v>
      </c>
      <c r="C11321" s="27" t="s">
        <v>144</v>
      </c>
      <c r="D11321" s="26"/>
      <c r="E11321" s="27"/>
      <c r="F11321" s="27"/>
      <c r="G11321" s="27" t="s">
        <v>11122</v>
      </c>
      <c r="H11321" s="27" t="s">
        <v>35</v>
      </c>
      <c r="I11321" s="27" t="s">
        <v>39</v>
      </c>
      <c r="J11321" s="28" t="s">
        <v>1129</v>
      </c>
      <c r="K11321" s="27" t="s">
        <v>39</v>
      </c>
      <c r="L11321" s="27"/>
    </row>
    <row r="11322" customFormat="false" ht="15" hidden="false" customHeight="false" outlineLevel="0" collapsed="false">
      <c r="A11322" s="26" t="s">
        <v>27560</v>
      </c>
      <c r="B11322" s="27" t="s">
        <v>27561</v>
      </c>
      <c r="C11322" s="27" t="s">
        <v>144</v>
      </c>
      <c r="D11322" s="26"/>
      <c r="E11322" s="27"/>
      <c r="F11322" s="27"/>
      <c r="G11322" s="27" t="s">
        <v>11122</v>
      </c>
      <c r="H11322" s="27" t="s">
        <v>35</v>
      </c>
      <c r="I11322" s="27" t="s">
        <v>39</v>
      </c>
      <c r="J11322" s="28" t="s">
        <v>1129</v>
      </c>
      <c r="K11322" s="27" t="s">
        <v>39</v>
      </c>
      <c r="L11322" s="27"/>
    </row>
    <row r="11323" customFormat="false" ht="15" hidden="false" customHeight="false" outlineLevel="0" collapsed="false">
      <c r="A11323" s="26" t="s">
        <v>27562</v>
      </c>
      <c r="B11323" s="27" t="s">
        <v>27563</v>
      </c>
      <c r="C11323" s="27" t="s">
        <v>144</v>
      </c>
      <c r="D11323" s="26"/>
      <c r="E11323" s="27"/>
      <c r="F11323" s="27"/>
      <c r="G11323" s="27" t="s">
        <v>11122</v>
      </c>
      <c r="H11323" s="27" t="s">
        <v>35</v>
      </c>
      <c r="I11323" s="27" t="s">
        <v>40</v>
      </c>
      <c r="J11323" s="28" t="s">
        <v>1129</v>
      </c>
      <c r="K11323" s="27" t="s">
        <v>39</v>
      </c>
      <c r="L11323" s="27"/>
    </row>
    <row r="11324" customFormat="false" ht="15" hidden="false" customHeight="false" outlineLevel="0" collapsed="false">
      <c r="A11324" s="26" t="s">
        <v>27564</v>
      </c>
      <c r="B11324" s="27" t="s">
        <v>27565</v>
      </c>
      <c r="C11324" s="27" t="s">
        <v>144</v>
      </c>
      <c r="D11324" s="26"/>
      <c r="E11324" s="27"/>
      <c r="F11324" s="27"/>
      <c r="G11324" s="27" t="s">
        <v>11122</v>
      </c>
      <c r="H11324" s="27" t="s">
        <v>35</v>
      </c>
      <c r="I11324" s="27" t="s">
        <v>39</v>
      </c>
      <c r="J11324" s="28" t="s">
        <v>1129</v>
      </c>
      <c r="K11324" s="27" t="s">
        <v>39</v>
      </c>
      <c r="L11324" s="27"/>
    </row>
    <row r="11325" customFormat="false" ht="15" hidden="false" customHeight="false" outlineLevel="0" collapsed="false">
      <c r="A11325" s="26" t="s">
        <v>27566</v>
      </c>
      <c r="B11325" s="27" t="s">
        <v>27567</v>
      </c>
      <c r="C11325" s="27" t="s">
        <v>144</v>
      </c>
      <c r="D11325" s="26"/>
      <c r="E11325" s="27"/>
      <c r="F11325" s="27"/>
      <c r="G11325" s="27" t="s">
        <v>11122</v>
      </c>
      <c r="H11325" s="27" t="s">
        <v>35</v>
      </c>
      <c r="I11325" s="27" t="s">
        <v>39</v>
      </c>
      <c r="J11325" s="28" t="s">
        <v>1129</v>
      </c>
      <c r="K11325" s="27" t="s">
        <v>39</v>
      </c>
      <c r="L11325" s="27"/>
    </row>
    <row r="11326" customFormat="false" ht="15" hidden="false" customHeight="false" outlineLevel="0" collapsed="false">
      <c r="A11326" s="26" t="s">
        <v>27568</v>
      </c>
      <c r="B11326" s="27" t="s">
        <v>27569</v>
      </c>
      <c r="C11326" s="27" t="s">
        <v>370</v>
      </c>
      <c r="D11326" s="26"/>
      <c r="E11326" s="27"/>
      <c r="F11326" s="27"/>
      <c r="G11326" s="27" t="s">
        <v>11122</v>
      </c>
      <c r="H11326" s="27" t="s">
        <v>35</v>
      </c>
      <c r="I11326" s="27" t="s">
        <v>38</v>
      </c>
      <c r="J11326" s="28" t="s">
        <v>1129</v>
      </c>
      <c r="K11326" s="27" t="s">
        <v>39</v>
      </c>
      <c r="L11326" s="27"/>
    </row>
    <row r="11327" customFormat="false" ht="15" hidden="false" customHeight="false" outlineLevel="0" collapsed="false">
      <c r="A11327" s="26" t="s">
        <v>27570</v>
      </c>
      <c r="B11327" s="27" t="s">
        <v>27571</v>
      </c>
      <c r="C11327" s="27" t="s">
        <v>144</v>
      </c>
      <c r="D11327" s="26"/>
      <c r="E11327" s="27"/>
      <c r="F11327" s="27"/>
      <c r="G11327" s="27" t="s">
        <v>11122</v>
      </c>
      <c r="H11327" s="27" t="s">
        <v>35</v>
      </c>
      <c r="I11327" s="27" t="s">
        <v>39</v>
      </c>
      <c r="J11327" s="28" t="s">
        <v>1129</v>
      </c>
      <c r="K11327" s="27" t="s">
        <v>39</v>
      </c>
      <c r="L11327" s="27"/>
    </row>
    <row r="11328" customFormat="false" ht="15" hidden="false" customHeight="false" outlineLevel="0" collapsed="false">
      <c r="A11328" s="26" t="s">
        <v>27572</v>
      </c>
      <c r="B11328" s="27" t="s">
        <v>27573</v>
      </c>
      <c r="C11328" s="27" t="s">
        <v>144</v>
      </c>
      <c r="D11328" s="26"/>
      <c r="E11328" s="27"/>
      <c r="F11328" s="27"/>
      <c r="G11328" s="27" t="s">
        <v>11122</v>
      </c>
      <c r="H11328" s="27" t="s">
        <v>35</v>
      </c>
      <c r="I11328" s="27" t="s">
        <v>39</v>
      </c>
      <c r="J11328" s="28" t="s">
        <v>1129</v>
      </c>
      <c r="K11328" s="27" t="s">
        <v>39</v>
      </c>
      <c r="L11328" s="27"/>
    </row>
    <row r="11329" customFormat="false" ht="15" hidden="false" customHeight="false" outlineLevel="0" collapsed="false">
      <c r="A11329" s="26" t="s">
        <v>27574</v>
      </c>
      <c r="B11329" s="27" t="s">
        <v>27575</v>
      </c>
      <c r="C11329" s="27" t="s">
        <v>144</v>
      </c>
      <c r="D11329" s="26"/>
      <c r="E11329" s="27"/>
      <c r="F11329" s="27"/>
      <c r="G11329" s="27" t="s">
        <v>11122</v>
      </c>
      <c r="H11329" s="27" t="s">
        <v>35</v>
      </c>
      <c r="I11329" s="27" t="s">
        <v>39</v>
      </c>
      <c r="J11329" s="28" t="s">
        <v>1129</v>
      </c>
      <c r="K11329" s="27" t="s">
        <v>39</v>
      </c>
      <c r="L11329" s="27"/>
    </row>
    <row r="11330" customFormat="false" ht="15" hidden="false" customHeight="false" outlineLevel="0" collapsed="false">
      <c r="A11330" s="26" t="s">
        <v>27576</v>
      </c>
      <c r="B11330" s="27" t="s">
        <v>27577</v>
      </c>
      <c r="C11330" s="27" t="s">
        <v>1187</v>
      </c>
      <c r="D11330" s="26"/>
      <c r="E11330" s="27"/>
      <c r="F11330" s="27"/>
      <c r="G11330" s="27" t="s">
        <v>11122</v>
      </c>
      <c r="H11330" s="27" t="s">
        <v>35</v>
      </c>
      <c r="I11330" s="27" t="s">
        <v>39</v>
      </c>
      <c r="J11330" s="28" t="s">
        <v>1129</v>
      </c>
      <c r="K11330" s="27" t="s">
        <v>39</v>
      </c>
      <c r="L11330" s="27"/>
    </row>
    <row r="11331" customFormat="false" ht="15" hidden="false" customHeight="false" outlineLevel="0" collapsed="false">
      <c r="A11331" s="26" t="s">
        <v>27578</v>
      </c>
      <c r="B11331" s="27" t="s">
        <v>27579</v>
      </c>
      <c r="C11331" s="27" t="s">
        <v>144</v>
      </c>
      <c r="D11331" s="26"/>
      <c r="E11331" s="27"/>
      <c r="F11331" s="27"/>
      <c r="G11331" s="27" t="s">
        <v>11122</v>
      </c>
      <c r="H11331" s="27" t="s">
        <v>35</v>
      </c>
      <c r="I11331" s="27" t="s">
        <v>39</v>
      </c>
      <c r="J11331" s="28" t="s">
        <v>1129</v>
      </c>
      <c r="K11331" s="27" t="s">
        <v>39</v>
      </c>
      <c r="L11331" s="27"/>
    </row>
    <row r="11332" customFormat="false" ht="15" hidden="false" customHeight="false" outlineLevel="0" collapsed="false">
      <c r="A11332" s="26" t="s">
        <v>27580</v>
      </c>
      <c r="B11332" s="27" t="s">
        <v>27581</v>
      </c>
      <c r="C11332" s="27" t="s">
        <v>144</v>
      </c>
      <c r="D11332" s="26"/>
      <c r="E11332" s="27"/>
      <c r="F11332" s="27"/>
      <c r="G11332" s="27" t="s">
        <v>11122</v>
      </c>
      <c r="H11332" s="27" t="s">
        <v>35</v>
      </c>
      <c r="I11332" s="27" t="s">
        <v>42</v>
      </c>
      <c r="J11332" s="28" t="s">
        <v>1129</v>
      </c>
      <c r="K11332" s="27" t="s">
        <v>39</v>
      </c>
      <c r="L11332" s="27"/>
    </row>
    <row r="11333" customFormat="false" ht="15" hidden="false" customHeight="false" outlineLevel="0" collapsed="false">
      <c r="A11333" s="26" t="s">
        <v>27582</v>
      </c>
      <c r="B11333" s="27" t="s">
        <v>27583</v>
      </c>
      <c r="C11333" s="27" t="s">
        <v>144</v>
      </c>
      <c r="D11333" s="26"/>
      <c r="E11333" s="27"/>
      <c r="F11333" s="27"/>
      <c r="G11333" s="27" t="s">
        <v>11122</v>
      </c>
      <c r="H11333" s="27" t="s">
        <v>35</v>
      </c>
      <c r="I11333" s="27" t="s">
        <v>45</v>
      </c>
      <c r="J11333" s="28" t="s">
        <v>1129</v>
      </c>
      <c r="K11333" s="27" t="s">
        <v>39</v>
      </c>
      <c r="L11333" s="27"/>
    </row>
    <row r="11334" customFormat="false" ht="15" hidden="false" customHeight="false" outlineLevel="0" collapsed="false">
      <c r="A11334" s="26" t="s">
        <v>27584</v>
      </c>
      <c r="B11334" s="27" t="s">
        <v>27585</v>
      </c>
      <c r="C11334" s="27" t="s">
        <v>144</v>
      </c>
      <c r="D11334" s="26"/>
      <c r="E11334" s="27"/>
      <c r="F11334" s="27"/>
      <c r="G11334" s="27" t="s">
        <v>11122</v>
      </c>
      <c r="H11334" s="27" t="s">
        <v>35</v>
      </c>
      <c r="I11334" s="27" t="s">
        <v>39</v>
      </c>
      <c r="J11334" s="28" t="s">
        <v>1129</v>
      </c>
      <c r="K11334" s="27" t="s">
        <v>39</v>
      </c>
      <c r="L11334" s="27"/>
    </row>
    <row r="11335" customFormat="false" ht="15" hidden="false" customHeight="false" outlineLevel="0" collapsed="false">
      <c r="A11335" s="26" t="s">
        <v>27586</v>
      </c>
      <c r="B11335" s="27" t="s">
        <v>27587</v>
      </c>
      <c r="C11335" s="27" t="s">
        <v>1990</v>
      </c>
      <c r="D11335" s="26"/>
      <c r="E11335" s="27"/>
      <c r="F11335" s="27"/>
      <c r="G11335" s="27" t="s">
        <v>11122</v>
      </c>
      <c r="H11335" s="27" t="s">
        <v>35</v>
      </c>
      <c r="I11335" s="27" t="s">
        <v>39</v>
      </c>
      <c r="J11335" s="28" t="s">
        <v>1129</v>
      </c>
      <c r="K11335" s="27" t="s">
        <v>39</v>
      </c>
      <c r="L11335" s="27"/>
    </row>
    <row r="11336" customFormat="false" ht="15" hidden="false" customHeight="false" outlineLevel="0" collapsed="false">
      <c r="A11336" s="26" t="s">
        <v>27588</v>
      </c>
      <c r="B11336" s="27" t="s">
        <v>27589</v>
      </c>
      <c r="C11336" s="27" t="s">
        <v>1187</v>
      </c>
      <c r="D11336" s="26"/>
      <c r="E11336" s="27"/>
      <c r="F11336" s="27"/>
      <c r="G11336" s="27" t="s">
        <v>11122</v>
      </c>
      <c r="H11336" s="27" t="s">
        <v>35</v>
      </c>
      <c r="I11336" s="27" t="s">
        <v>45</v>
      </c>
      <c r="J11336" s="28" t="s">
        <v>1129</v>
      </c>
      <c r="K11336" s="27" t="s">
        <v>39</v>
      </c>
      <c r="L11336" s="27"/>
    </row>
    <row r="11337" customFormat="false" ht="15" hidden="false" customHeight="false" outlineLevel="0" collapsed="false">
      <c r="A11337" s="26" t="s">
        <v>27590</v>
      </c>
      <c r="B11337" s="27" t="s">
        <v>27591</v>
      </c>
      <c r="C11337" s="27" t="s">
        <v>137</v>
      </c>
      <c r="D11337" s="26"/>
      <c r="E11337" s="27"/>
      <c r="F11337" s="27"/>
      <c r="G11337" s="27" t="s">
        <v>11122</v>
      </c>
      <c r="H11337" s="27" t="s">
        <v>35</v>
      </c>
      <c r="I11337" s="27" t="s">
        <v>39</v>
      </c>
      <c r="J11337" s="28" t="s">
        <v>1129</v>
      </c>
      <c r="K11337" s="27" t="s">
        <v>39</v>
      </c>
      <c r="L11337" s="27"/>
    </row>
    <row r="11338" customFormat="false" ht="15" hidden="false" customHeight="false" outlineLevel="0" collapsed="false">
      <c r="A11338" s="26" t="s">
        <v>27592</v>
      </c>
      <c r="B11338" s="27" t="s">
        <v>27593</v>
      </c>
      <c r="C11338" s="27" t="s">
        <v>137</v>
      </c>
      <c r="D11338" s="26"/>
      <c r="E11338" s="27"/>
      <c r="F11338" s="27"/>
      <c r="G11338" s="27" t="s">
        <v>11122</v>
      </c>
      <c r="H11338" s="27" t="s">
        <v>35</v>
      </c>
      <c r="I11338" s="27" t="s">
        <v>40</v>
      </c>
      <c r="J11338" s="28" t="s">
        <v>1129</v>
      </c>
      <c r="K11338" s="27" t="s">
        <v>39</v>
      </c>
      <c r="L11338" s="27"/>
    </row>
    <row r="11339" customFormat="false" ht="15" hidden="false" customHeight="false" outlineLevel="0" collapsed="false">
      <c r="A11339" s="26" t="s">
        <v>27594</v>
      </c>
      <c r="B11339" s="27" t="s">
        <v>27595</v>
      </c>
      <c r="C11339" s="27" t="s">
        <v>144</v>
      </c>
      <c r="D11339" s="26"/>
      <c r="E11339" s="27"/>
      <c r="F11339" s="27"/>
      <c r="G11339" s="27" t="s">
        <v>11122</v>
      </c>
      <c r="H11339" s="27" t="s">
        <v>35</v>
      </c>
      <c r="I11339" s="27" t="s">
        <v>39</v>
      </c>
      <c r="J11339" s="28" t="s">
        <v>1129</v>
      </c>
      <c r="K11339" s="27" t="s">
        <v>39</v>
      </c>
      <c r="L11339" s="27"/>
    </row>
    <row r="11340" customFormat="false" ht="15" hidden="false" customHeight="false" outlineLevel="0" collapsed="false">
      <c r="A11340" s="26" t="s">
        <v>27596</v>
      </c>
      <c r="B11340" s="27" t="s">
        <v>27597</v>
      </c>
      <c r="C11340" s="27" t="s">
        <v>144</v>
      </c>
      <c r="D11340" s="26"/>
      <c r="E11340" s="27"/>
      <c r="F11340" s="27"/>
      <c r="G11340" s="27" t="s">
        <v>11122</v>
      </c>
      <c r="H11340" s="27" t="s">
        <v>35</v>
      </c>
      <c r="I11340" s="27" t="s">
        <v>39</v>
      </c>
      <c r="J11340" s="28" t="s">
        <v>1129</v>
      </c>
      <c r="K11340" s="27" t="s">
        <v>39</v>
      </c>
      <c r="L11340" s="27"/>
    </row>
    <row r="11341" customFormat="false" ht="15" hidden="false" customHeight="false" outlineLevel="0" collapsed="false">
      <c r="A11341" s="26" t="s">
        <v>27598</v>
      </c>
      <c r="B11341" s="27" t="s">
        <v>27599</v>
      </c>
      <c r="C11341" s="27" t="s">
        <v>144</v>
      </c>
      <c r="D11341" s="26"/>
      <c r="E11341" s="27"/>
      <c r="F11341" s="27"/>
      <c r="G11341" s="27" t="s">
        <v>11122</v>
      </c>
      <c r="H11341" s="27" t="s">
        <v>35</v>
      </c>
      <c r="I11341" s="27" t="s">
        <v>39</v>
      </c>
      <c r="J11341" s="28" t="s">
        <v>1129</v>
      </c>
      <c r="K11341" s="27" t="s">
        <v>39</v>
      </c>
      <c r="L11341" s="27"/>
    </row>
    <row r="11342" customFormat="false" ht="15" hidden="false" customHeight="false" outlineLevel="0" collapsed="false">
      <c r="A11342" s="26" t="s">
        <v>27600</v>
      </c>
      <c r="B11342" s="27" t="s">
        <v>27601</v>
      </c>
      <c r="C11342" s="27" t="s">
        <v>144</v>
      </c>
      <c r="D11342" s="26"/>
      <c r="E11342" s="27"/>
      <c r="F11342" s="27"/>
      <c r="G11342" s="27" t="s">
        <v>11122</v>
      </c>
      <c r="H11342" s="27" t="s">
        <v>35</v>
      </c>
      <c r="I11342" s="27" t="s">
        <v>39</v>
      </c>
      <c r="J11342" s="28" t="s">
        <v>1129</v>
      </c>
      <c r="K11342" s="27" t="s">
        <v>39</v>
      </c>
      <c r="L11342" s="27"/>
    </row>
    <row r="11343" customFormat="false" ht="15" hidden="false" customHeight="false" outlineLevel="0" collapsed="false">
      <c r="A11343" s="26" t="s">
        <v>27602</v>
      </c>
      <c r="B11343" s="27" t="s">
        <v>27603</v>
      </c>
      <c r="C11343" s="27" t="s">
        <v>144</v>
      </c>
      <c r="D11343" s="26"/>
      <c r="E11343" s="27"/>
      <c r="F11343" s="27"/>
      <c r="G11343" s="27" t="s">
        <v>11122</v>
      </c>
      <c r="H11343" s="27" t="s">
        <v>35</v>
      </c>
      <c r="I11343" s="27" t="s">
        <v>39</v>
      </c>
      <c r="J11343" s="28" t="s">
        <v>1129</v>
      </c>
      <c r="K11343" s="27" t="s">
        <v>39</v>
      </c>
      <c r="L11343" s="27"/>
    </row>
    <row r="11344" customFormat="false" ht="15" hidden="false" customHeight="false" outlineLevel="0" collapsed="false">
      <c r="A11344" s="26" t="s">
        <v>27604</v>
      </c>
      <c r="B11344" s="27" t="s">
        <v>27605</v>
      </c>
      <c r="C11344" s="27" t="s">
        <v>144</v>
      </c>
      <c r="D11344" s="26"/>
      <c r="E11344" s="27"/>
      <c r="F11344" s="27"/>
      <c r="G11344" s="27" t="s">
        <v>11122</v>
      </c>
      <c r="H11344" s="27" t="s">
        <v>35</v>
      </c>
      <c r="I11344" s="27" t="s">
        <v>39</v>
      </c>
      <c r="J11344" s="28" t="s">
        <v>1129</v>
      </c>
      <c r="K11344" s="27" t="s">
        <v>39</v>
      </c>
      <c r="L11344" s="27"/>
    </row>
    <row r="11345" customFormat="false" ht="15" hidden="false" customHeight="false" outlineLevel="0" collapsed="false">
      <c r="A11345" s="26" t="s">
        <v>27606</v>
      </c>
      <c r="B11345" s="27" t="s">
        <v>27607</v>
      </c>
      <c r="C11345" s="27" t="s">
        <v>144</v>
      </c>
      <c r="D11345" s="26"/>
      <c r="E11345" s="27"/>
      <c r="F11345" s="27"/>
      <c r="G11345" s="27" t="s">
        <v>11122</v>
      </c>
      <c r="H11345" s="27" t="s">
        <v>35</v>
      </c>
      <c r="I11345" s="27" t="s">
        <v>39</v>
      </c>
      <c r="J11345" s="28" t="s">
        <v>1129</v>
      </c>
      <c r="K11345" s="27" t="s">
        <v>39</v>
      </c>
      <c r="L11345" s="27"/>
    </row>
    <row r="11346" customFormat="false" ht="15" hidden="false" customHeight="false" outlineLevel="0" collapsed="false">
      <c r="A11346" s="26" t="s">
        <v>27608</v>
      </c>
      <c r="B11346" s="27" t="s">
        <v>27609</v>
      </c>
      <c r="C11346" s="27" t="s">
        <v>144</v>
      </c>
      <c r="D11346" s="26"/>
      <c r="E11346" s="27"/>
      <c r="F11346" s="27"/>
      <c r="G11346" s="27" t="s">
        <v>11122</v>
      </c>
      <c r="H11346" s="27" t="s">
        <v>35</v>
      </c>
      <c r="I11346" s="27" t="s">
        <v>39</v>
      </c>
      <c r="J11346" s="28" t="s">
        <v>1129</v>
      </c>
      <c r="K11346" s="27" t="s">
        <v>39</v>
      </c>
      <c r="L11346" s="27"/>
    </row>
    <row r="11347" customFormat="false" ht="15" hidden="false" customHeight="false" outlineLevel="0" collapsed="false">
      <c r="A11347" s="26" t="s">
        <v>27610</v>
      </c>
      <c r="B11347" s="27" t="s">
        <v>27611</v>
      </c>
      <c r="C11347" s="27" t="s">
        <v>144</v>
      </c>
      <c r="D11347" s="26"/>
      <c r="E11347" s="27"/>
      <c r="F11347" s="27"/>
      <c r="G11347" s="27" t="s">
        <v>11122</v>
      </c>
      <c r="H11347" s="27" t="s">
        <v>35</v>
      </c>
      <c r="I11347" s="27" t="s">
        <v>42</v>
      </c>
      <c r="J11347" s="28" t="s">
        <v>1129</v>
      </c>
      <c r="K11347" s="27" t="s">
        <v>39</v>
      </c>
      <c r="L11347" s="27"/>
    </row>
    <row r="11348" customFormat="false" ht="15" hidden="false" customHeight="false" outlineLevel="0" collapsed="false">
      <c r="A11348" s="26" t="s">
        <v>27612</v>
      </c>
      <c r="B11348" s="27" t="s">
        <v>27613</v>
      </c>
      <c r="C11348" s="27" t="s">
        <v>144</v>
      </c>
      <c r="D11348" s="26"/>
      <c r="E11348" s="27"/>
      <c r="F11348" s="27"/>
      <c r="G11348" s="27" t="s">
        <v>11122</v>
      </c>
      <c r="H11348" s="27" t="s">
        <v>35</v>
      </c>
      <c r="I11348" s="27" t="s">
        <v>1067</v>
      </c>
      <c r="J11348" s="28" t="s">
        <v>1129</v>
      </c>
      <c r="K11348" s="27" t="s">
        <v>39</v>
      </c>
      <c r="L11348" s="27"/>
    </row>
    <row r="11349" customFormat="false" ht="15" hidden="false" customHeight="false" outlineLevel="0" collapsed="false">
      <c r="A11349" s="26" t="s">
        <v>27614</v>
      </c>
      <c r="B11349" s="27" t="s">
        <v>27615</v>
      </c>
      <c r="C11349" s="27" t="s">
        <v>370</v>
      </c>
      <c r="D11349" s="26"/>
      <c r="E11349" s="27"/>
      <c r="F11349" s="27"/>
      <c r="G11349" s="27" t="s">
        <v>11122</v>
      </c>
      <c r="H11349" s="27" t="s">
        <v>35</v>
      </c>
      <c r="I11349" s="27" t="s">
        <v>39</v>
      </c>
      <c r="J11349" s="28" t="s">
        <v>1129</v>
      </c>
      <c r="K11349" s="27" t="s">
        <v>39</v>
      </c>
      <c r="L11349" s="27"/>
    </row>
    <row r="11350" customFormat="false" ht="15" hidden="false" customHeight="false" outlineLevel="0" collapsed="false">
      <c r="A11350" s="26" t="s">
        <v>27616</v>
      </c>
      <c r="B11350" s="27" t="s">
        <v>27617</v>
      </c>
      <c r="C11350" s="27" t="s">
        <v>370</v>
      </c>
      <c r="D11350" s="26"/>
      <c r="E11350" s="27"/>
      <c r="F11350" s="27"/>
      <c r="G11350" s="27" t="s">
        <v>11122</v>
      </c>
      <c r="H11350" s="27" t="s">
        <v>35</v>
      </c>
      <c r="I11350" s="27" t="s">
        <v>39</v>
      </c>
      <c r="J11350" s="28" t="s">
        <v>1129</v>
      </c>
      <c r="K11350" s="27" t="s">
        <v>39</v>
      </c>
      <c r="L11350" s="27"/>
    </row>
    <row r="11351" customFormat="false" ht="15" hidden="false" customHeight="false" outlineLevel="0" collapsed="false">
      <c r="A11351" s="26" t="s">
        <v>27618</v>
      </c>
      <c r="B11351" s="27" t="s">
        <v>27619</v>
      </c>
      <c r="C11351" s="27" t="s">
        <v>144</v>
      </c>
      <c r="D11351" s="26"/>
      <c r="E11351" s="27"/>
      <c r="F11351" s="27"/>
      <c r="G11351" s="27" t="s">
        <v>11122</v>
      </c>
      <c r="H11351" s="27" t="s">
        <v>35</v>
      </c>
      <c r="I11351" s="27" t="s">
        <v>41</v>
      </c>
      <c r="J11351" s="28" t="s">
        <v>1129</v>
      </c>
      <c r="K11351" s="27" t="s">
        <v>39</v>
      </c>
      <c r="L11351" s="27"/>
    </row>
    <row r="11352" customFormat="false" ht="15" hidden="false" customHeight="false" outlineLevel="0" collapsed="false">
      <c r="A11352" s="26" t="s">
        <v>27620</v>
      </c>
      <c r="B11352" s="27" t="s">
        <v>27621</v>
      </c>
      <c r="C11352" s="27" t="s">
        <v>144</v>
      </c>
      <c r="D11352" s="26"/>
      <c r="E11352" s="27"/>
      <c r="F11352" s="27"/>
      <c r="G11352" s="27" t="s">
        <v>11122</v>
      </c>
      <c r="H11352" s="27" t="s">
        <v>35</v>
      </c>
      <c r="I11352" s="27" t="s">
        <v>39</v>
      </c>
      <c r="J11352" s="28" t="s">
        <v>1129</v>
      </c>
      <c r="K11352" s="27" t="s">
        <v>39</v>
      </c>
      <c r="L11352" s="27"/>
    </row>
    <row r="11353" customFormat="false" ht="15" hidden="false" customHeight="false" outlineLevel="0" collapsed="false">
      <c r="A11353" s="26" t="s">
        <v>27622</v>
      </c>
      <c r="B11353" s="27" t="s">
        <v>27623</v>
      </c>
      <c r="C11353" s="27" t="s">
        <v>144</v>
      </c>
      <c r="D11353" s="26"/>
      <c r="E11353" s="27"/>
      <c r="F11353" s="27"/>
      <c r="G11353" s="27" t="s">
        <v>11122</v>
      </c>
      <c r="H11353" s="27" t="s">
        <v>35</v>
      </c>
      <c r="I11353" s="27" t="s">
        <v>39</v>
      </c>
      <c r="J11353" s="28" t="s">
        <v>1129</v>
      </c>
      <c r="K11353" s="27" t="s">
        <v>39</v>
      </c>
      <c r="L11353" s="27"/>
    </row>
    <row r="11354" customFormat="false" ht="15" hidden="false" customHeight="false" outlineLevel="0" collapsed="false">
      <c r="A11354" s="26" t="s">
        <v>27624</v>
      </c>
      <c r="B11354" s="27" t="s">
        <v>27625</v>
      </c>
      <c r="C11354" s="27" t="s">
        <v>144</v>
      </c>
      <c r="D11354" s="26"/>
      <c r="E11354" s="27"/>
      <c r="F11354" s="27"/>
      <c r="G11354" s="27" t="s">
        <v>11122</v>
      </c>
      <c r="H11354" s="27" t="s">
        <v>35</v>
      </c>
      <c r="I11354" s="27" t="s">
        <v>39</v>
      </c>
      <c r="J11354" s="28" t="s">
        <v>1129</v>
      </c>
      <c r="K11354" s="27" t="s">
        <v>39</v>
      </c>
      <c r="L11354" s="27"/>
    </row>
    <row r="11355" customFormat="false" ht="15" hidden="false" customHeight="false" outlineLevel="0" collapsed="false">
      <c r="A11355" s="26" t="s">
        <v>27626</v>
      </c>
      <c r="B11355" s="27" t="s">
        <v>27627</v>
      </c>
      <c r="C11355" s="27" t="s">
        <v>144</v>
      </c>
      <c r="D11355" s="26"/>
      <c r="E11355" s="27"/>
      <c r="F11355" s="27"/>
      <c r="G11355" s="27" t="s">
        <v>11122</v>
      </c>
      <c r="H11355" s="27" t="s">
        <v>35</v>
      </c>
      <c r="I11355" s="27" t="s">
        <v>39</v>
      </c>
      <c r="J11355" s="28" t="s">
        <v>1129</v>
      </c>
      <c r="K11355" s="27" t="s">
        <v>39</v>
      </c>
      <c r="L11355" s="27"/>
    </row>
    <row r="11356" customFormat="false" ht="15" hidden="false" customHeight="false" outlineLevel="0" collapsed="false">
      <c r="A11356" s="26" t="s">
        <v>27628</v>
      </c>
      <c r="B11356" s="27" t="s">
        <v>27629</v>
      </c>
      <c r="C11356" s="27" t="s">
        <v>144</v>
      </c>
      <c r="D11356" s="26"/>
      <c r="E11356" s="27"/>
      <c r="F11356" s="27"/>
      <c r="G11356" s="27" t="s">
        <v>11122</v>
      </c>
      <c r="H11356" s="27" t="s">
        <v>35</v>
      </c>
      <c r="I11356" s="27" t="s">
        <v>39</v>
      </c>
      <c r="J11356" s="28" t="s">
        <v>1129</v>
      </c>
      <c r="K11356" s="27" t="s">
        <v>39</v>
      </c>
      <c r="L11356" s="27"/>
    </row>
    <row r="11357" customFormat="false" ht="15" hidden="false" customHeight="false" outlineLevel="0" collapsed="false">
      <c r="A11357" s="26" t="s">
        <v>27630</v>
      </c>
      <c r="B11357" s="27" t="s">
        <v>27631</v>
      </c>
      <c r="C11357" s="27" t="s">
        <v>144</v>
      </c>
      <c r="D11357" s="26"/>
      <c r="E11357" s="27"/>
      <c r="F11357" s="27"/>
      <c r="G11357" s="27" t="s">
        <v>11122</v>
      </c>
      <c r="H11357" s="27" t="s">
        <v>35</v>
      </c>
      <c r="I11357" s="27" t="s">
        <v>39</v>
      </c>
      <c r="J11357" s="28" t="s">
        <v>1129</v>
      </c>
      <c r="K11357" s="27" t="s">
        <v>39</v>
      </c>
      <c r="L11357" s="27"/>
    </row>
    <row r="11358" customFormat="false" ht="15" hidden="false" customHeight="false" outlineLevel="0" collapsed="false">
      <c r="A11358" s="26" t="s">
        <v>27632</v>
      </c>
      <c r="B11358" s="27" t="s">
        <v>27633</v>
      </c>
      <c r="C11358" s="27" t="s">
        <v>144</v>
      </c>
      <c r="D11358" s="26"/>
      <c r="E11358" s="27"/>
      <c r="F11358" s="27"/>
      <c r="G11358" s="27" t="s">
        <v>11122</v>
      </c>
      <c r="H11358" s="27" t="s">
        <v>35</v>
      </c>
      <c r="I11358" s="27" t="s">
        <v>39</v>
      </c>
      <c r="J11358" s="28" t="s">
        <v>1129</v>
      </c>
      <c r="K11358" s="27" t="s">
        <v>39</v>
      </c>
      <c r="L11358" s="27"/>
    </row>
    <row r="11359" customFormat="false" ht="15" hidden="false" customHeight="false" outlineLevel="0" collapsed="false">
      <c r="A11359" s="26" t="s">
        <v>27634</v>
      </c>
      <c r="B11359" s="27" t="s">
        <v>27635</v>
      </c>
      <c r="C11359" s="27" t="s">
        <v>144</v>
      </c>
      <c r="D11359" s="26"/>
      <c r="E11359" s="27"/>
      <c r="F11359" s="27"/>
      <c r="G11359" s="27" t="s">
        <v>11122</v>
      </c>
      <c r="H11359" s="27" t="s">
        <v>35</v>
      </c>
      <c r="I11359" s="27" t="s">
        <v>39</v>
      </c>
      <c r="J11359" s="28" t="s">
        <v>1129</v>
      </c>
      <c r="K11359" s="27" t="s">
        <v>39</v>
      </c>
      <c r="L11359" s="27"/>
    </row>
    <row r="11360" customFormat="false" ht="15" hidden="false" customHeight="false" outlineLevel="0" collapsed="false">
      <c r="A11360" s="26" t="s">
        <v>27636</v>
      </c>
      <c r="B11360" s="27" t="s">
        <v>27637</v>
      </c>
      <c r="C11360" s="27" t="s">
        <v>144</v>
      </c>
      <c r="D11360" s="26"/>
      <c r="E11360" s="27"/>
      <c r="F11360" s="27"/>
      <c r="G11360" s="27" t="s">
        <v>11122</v>
      </c>
      <c r="H11360" s="27" t="s">
        <v>35</v>
      </c>
      <c r="I11360" s="27" t="s">
        <v>39</v>
      </c>
      <c r="J11360" s="28" t="s">
        <v>1129</v>
      </c>
      <c r="K11360" s="27" t="s">
        <v>39</v>
      </c>
      <c r="L11360" s="27"/>
    </row>
    <row r="11361" customFormat="false" ht="15" hidden="false" customHeight="false" outlineLevel="0" collapsed="false">
      <c r="A11361" s="26" t="s">
        <v>27638</v>
      </c>
      <c r="B11361" s="27" t="s">
        <v>27639</v>
      </c>
      <c r="C11361" s="27" t="s">
        <v>144</v>
      </c>
      <c r="D11361" s="26"/>
      <c r="E11361" s="27"/>
      <c r="F11361" s="27"/>
      <c r="G11361" s="27" t="s">
        <v>11122</v>
      </c>
      <c r="H11361" s="27" t="s">
        <v>35</v>
      </c>
      <c r="I11361" s="27" t="s">
        <v>39</v>
      </c>
      <c r="J11361" s="28" t="s">
        <v>1129</v>
      </c>
      <c r="K11361" s="27" t="s">
        <v>39</v>
      </c>
      <c r="L11361" s="27"/>
    </row>
    <row r="11362" customFormat="false" ht="15" hidden="false" customHeight="false" outlineLevel="0" collapsed="false">
      <c r="A11362" s="26" t="s">
        <v>27640</v>
      </c>
      <c r="B11362" s="27" t="s">
        <v>27641</v>
      </c>
      <c r="C11362" s="27" t="s">
        <v>144</v>
      </c>
      <c r="D11362" s="26"/>
      <c r="E11362" s="27"/>
      <c r="F11362" s="27"/>
      <c r="G11362" s="27" t="s">
        <v>11122</v>
      </c>
      <c r="H11362" s="27" t="s">
        <v>35</v>
      </c>
      <c r="I11362" s="27" t="s">
        <v>39</v>
      </c>
      <c r="J11362" s="28" t="s">
        <v>1129</v>
      </c>
      <c r="K11362" s="27" t="s">
        <v>39</v>
      </c>
      <c r="L11362" s="27"/>
    </row>
    <row r="11363" customFormat="false" ht="15" hidden="false" customHeight="false" outlineLevel="0" collapsed="false">
      <c r="A11363" s="26" t="s">
        <v>27642</v>
      </c>
      <c r="B11363" s="27" t="s">
        <v>27643</v>
      </c>
      <c r="C11363" s="27" t="s">
        <v>144</v>
      </c>
      <c r="D11363" s="26"/>
      <c r="E11363" s="27"/>
      <c r="F11363" s="27"/>
      <c r="G11363" s="27" t="s">
        <v>11122</v>
      </c>
      <c r="H11363" s="27" t="s">
        <v>35</v>
      </c>
      <c r="I11363" s="27" t="s">
        <v>39</v>
      </c>
      <c r="J11363" s="28" t="s">
        <v>1129</v>
      </c>
      <c r="K11363" s="27" t="s">
        <v>39</v>
      </c>
      <c r="L11363" s="27"/>
    </row>
    <row r="11364" customFormat="false" ht="15" hidden="false" customHeight="false" outlineLevel="0" collapsed="false">
      <c r="A11364" s="26" t="s">
        <v>27644</v>
      </c>
      <c r="B11364" s="27" t="s">
        <v>27645</v>
      </c>
      <c r="C11364" s="27" t="s">
        <v>1187</v>
      </c>
      <c r="D11364" s="26"/>
      <c r="E11364" s="27"/>
      <c r="F11364" s="27"/>
      <c r="G11364" s="27" t="s">
        <v>11122</v>
      </c>
      <c r="H11364" s="27" t="s">
        <v>35</v>
      </c>
      <c r="I11364" s="27" t="s">
        <v>39</v>
      </c>
      <c r="J11364" s="28" t="s">
        <v>1129</v>
      </c>
      <c r="K11364" s="27" t="s">
        <v>39</v>
      </c>
      <c r="L11364" s="27"/>
    </row>
    <row r="11365" customFormat="false" ht="15" hidden="false" customHeight="false" outlineLevel="0" collapsed="false">
      <c r="A11365" s="26" t="s">
        <v>27646</v>
      </c>
      <c r="B11365" s="27" t="s">
        <v>27647</v>
      </c>
      <c r="C11365" s="27" t="s">
        <v>1187</v>
      </c>
      <c r="D11365" s="26"/>
      <c r="E11365" s="27"/>
      <c r="F11365" s="27"/>
      <c r="G11365" s="27" t="s">
        <v>11122</v>
      </c>
      <c r="H11365" s="27" t="s">
        <v>35</v>
      </c>
      <c r="I11365" s="27" t="s">
        <v>39</v>
      </c>
      <c r="J11365" s="28" t="s">
        <v>1129</v>
      </c>
      <c r="K11365" s="27" t="s">
        <v>39</v>
      </c>
      <c r="L11365" s="27"/>
    </row>
    <row r="11366" customFormat="false" ht="15" hidden="false" customHeight="false" outlineLevel="0" collapsed="false">
      <c r="A11366" s="26" t="s">
        <v>27648</v>
      </c>
      <c r="B11366" s="27" t="s">
        <v>27649</v>
      </c>
      <c r="C11366" s="27" t="s">
        <v>1187</v>
      </c>
      <c r="D11366" s="26"/>
      <c r="E11366" s="27"/>
      <c r="F11366" s="27"/>
      <c r="G11366" s="27" t="s">
        <v>11122</v>
      </c>
      <c r="H11366" s="27" t="s">
        <v>35</v>
      </c>
      <c r="I11366" s="27" t="s">
        <v>39</v>
      </c>
      <c r="J11366" s="28" t="s">
        <v>1129</v>
      </c>
      <c r="K11366" s="27" t="s">
        <v>39</v>
      </c>
      <c r="L11366" s="27"/>
    </row>
    <row r="11367" customFormat="false" ht="15" hidden="false" customHeight="false" outlineLevel="0" collapsed="false">
      <c r="A11367" s="26" t="s">
        <v>27650</v>
      </c>
      <c r="B11367" s="27" t="s">
        <v>27651</v>
      </c>
      <c r="C11367" s="27" t="s">
        <v>144</v>
      </c>
      <c r="D11367" s="26"/>
      <c r="E11367" s="27"/>
      <c r="F11367" s="27"/>
      <c r="G11367" s="27" t="s">
        <v>11122</v>
      </c>
      <c r="H11367" s="27" t="s">
        <v>35</v>
      </c>
      <c r="I11367" s="27" t="s">
        <v>39</v>
      </c>
      <c r="J11367" s="28" t="s">
        <v>1129</v>
      </c>
      <c r="K11367" s="27" t="s">
        <v>39</v>
      </c>
      <c r="L11367" s="27"/>
    </row>
    <row r="11368" customFormat="false" ht="15" hidden="false" customHeight="false" outlineLevel="0" collapsed="false">
      <c r="A11368" s="26" t="s">
        <v>27652</v>
      </c>
      <c r="B11368" s="27" t="s">
        <v>27653</v>
      </c>
      <c r="C11368" s="27" t="s">
        <v>144</v>
      </c>
      <c r="D11368" s="26"/>
      <c r="E11368" s="27"/>
      <c r="F11368" s="27"/>
      <c r="G11368" s="27" t="s">
        <v>11122</v>
      </c>
      <c r="H11368" s="27" t="s">
        <v>35</v>
      </c>
      <c r="I11368" s="27" t="s">
        <v>39</v>
      </c>
      <c r="J11368" s="28" t="s">
        <v>1129</v>
      </c>
      <c r="K11368" s="27" t="s">
        <v>39</v>
      </c>
      <c r="L11368" s="27"/>
    </row>
    <row r="11369" customFormat="false" ht="15" hidden="false" customHeight="false" outlineLevel="0" collapsed="false">
      <c r="A11369" s="26" t="s">
        <v>27654</v>
      </c>
      <c r="B11369" s="27" t="s">
        <v>27655</v>
      </c>
      <c r="C11369" s="27" t="s">
        <v>144</v>
      </c>
      <c r="D11369" s="26"/>
      <c r="E11369" s="27"/>
      <c r="F11369" s="27"/>
      <c r="G11369" s="27" t="s">
        <v>11122</v>
      </c>
      <c r="H11369" s="27" t="s">
        <v>35</v>
      </c>
      <c r="I11369" s="27" t="s">
        <v>39</v>
      </c>
      <c r="J11369" s="28" t="s">
        <v>1129</v>
      </c>
      <c r="K11369" s="27" t="s">
        <v>39</v>
      </c>
      <c r="L11369" s="27"/>
    </row>
    <row r="11370" customFormat="false" ht="15" hidden="false" customHeight="false" outlineLevel="0" collapsed="false">
      <c r="A11370" s="26" t="s">
        <v>27656</v>
      </c>
      <c r="B11370" s="27" t="s">
        <v>27657</v>
      </c>
      <c r="C11370" s="27" t="s">
        <v>144</v>
      </c>
      <c r="D11370" s="26"/>
      <c r="E11370" s="27"/>
      <c r="F11370" s="27"/>
      <c r="G11370" s="27" t="s">
        <v>11122</v>
      </c>
      <c r="H11370" s="27" t="s">
        <v>35</v>
      </c>
      <c r="I11370" s="27" t="s">
        <v>39</v>
      </c>
      <c r="J11370" s="28" t="s">
        <v>1129</v>
      </c>
      <c r="K11370" s="27" t="s">
        <v>39</v>
      </c>
      <c r="L11370" s="27"/>
    </row>
    <row r="11371" customFormat="false" ht="15" hidden="false" customHeight="false" outlineLevel="0" collapsed="false">
      <c r="A11371" s="26" t="s">
        <v>27658</v>
      </c>
      <c r="B11371" s="27" t="s">
        <v>27659</v>
      </c>
      <c r="C11371" s="27" t="s">
        <v>144</v>
      </c>
      <c r="D11371" s="26"/>
      <c r="E11371" s="27"/>
      <c r="F11371" s="27"/>
      <c r="G11371" s="27" t="s">
        <v>11122</v>
      </c>
      <c r="H11371" s="27" t="s">
        <v>35</v>
      </c>
      <c r="I11371" s="27" t="s">
        <v>39</v>
      </c>
      <c r="J11371" s="28" t="s">
        <v>1129</v>
      </c>
      <c r="K11371" s="27" t="s">
        <v>39</v>
      </c>
      <c r="L11371" s="27"/>
    </row>
    <row r="11372" customFormat="false" ht="15" hidden="false" customHeight="false" outlineLevel="0" collapsed="false">
      <c r="A11372" s="26" t="s">
        <v>27660</v>
      </c>
      <c r="B11372" s="27" t="s">
        <v>27661</v>
      </c>
      <c r="C11372" s="27" t="s">
        <v>144</v>
      </c>
      <c r="D11372" s="26"/>
      <c r="E11372" s="27"/>
      <c r="F11372" s="27"/>
      <c r="G11372" s="27" t="s">
        <v>11122</v>
      </c>
      <c r="H11372" s="27" t="s">
        <v>35</v>
      </c>
      <c r="I11372" s="27" t="s">
        <v>39</v>
      </c>
      <c r="J11372" s="28" t="s">
        <v>1129</v>
      </c>
      <c r="K11372" s="27" t="s">
        <v>39</v>
      </c>
      <c r="L11372" s="27"/>
    </row>
    <row r="11373" customFormat="false" ht="15" hidden="false" customHeight="false" outlineLevel="0" collapsed="false">
      <c r="A11373" s="26" t="s">
        <v>27662</v>
      </c>
      <c r="B11373" s="27" t="s">
        <v>27663</v>
      </c>
      <c r="C11373" s="27" t="s">
        <v>144</v>
      </c>
      <c r="D11373" s="26"/>
      <c r="E11373" s="27"/>
      <c r="F11373" s="27"/>
      <c r="G11373" s="27" t="s">
        <v>11122</v>
      </c>
      <c r="H11373" s="27" t="s">
        <v>35</v>
      </c>
      <c r="I11373" s="27" t="s">
        <v>39</v>
      </c>
      <c r="J11373" s="28" t="s">
        <v>1129</v>
      </c>
      <c r="K11373" s="27" t="s">
        <v>39</v>
      </c>
      <c r="L11373" s="27"/>
    </row>
    <row r="11374" customFormat="false" ht="15" hidden="false" customHeight="false" outlineLevel="0" collapsed="false">
      <c r="A11374" s="26" t="s">
        <v>27664</v>
      </c>
      <c r="B11374" s="27" t="s">
        <v>27665</v>
      </c>
      <c r="C11374" s="27" t="s">
        <v>144</v>
      </c>
      <c r="D11374" s="26"/>
      <c r="E11374" s="27"/>
      <c r="F11374" s="27"/>
      <c r="G11374" s="27" t="s">
        <v>11122</v>
      </c>
      <c r="H11374" s="27" t="s">
        <v>35</v>
      </c>
      <c r="I11374" s="27" t="s">
        <v>39</v>
      </c>
      <c r="J11374" s="28" t="s">
        <v>1129</v>
      </c>
      <c r="K11374" s="27" t="s">
        <v>39</v>
      </c>
      <c r="L11374" s="27"/>
    </row>
    <row r="11375" customFormat="false" ht="15" hidden="false" customHeight="false" outlineLevel="0" collapsed="false">
      <c r="A11375" s="26" t="s">
        <v>27666</v>
      </c>
      <c r="B11375" s="27" t="s">
        <v>27667</v>
      </c>
      <c r="C11375" s="27" t="s">
        <v>144</v>
      </c>
      <c r="D11375" s="26"/>
      <c r="E11375" s="27"/>
      <c r="F11375" s="27"/>
      <c r="G11375" s="27" t="s">
        <v>11122</v>
      </c>
      <c r="H11375" s="27" t="s">
        <v>35</v>
      </c>
      <c r="I11375" s="27" t="s">
        <v>39</v>
      </c>
      <c r="J11375" s="28" t="s">
        <v>1129</v>
      </c>
      <c r="K11375" s="27" t="s">
        <v>39</v>
      </c>
      <c r="L11375" s="27"/>
    </row>
    <row r="11376" customFormat="false" ht="15" hidden="false" customHeight="false" outlineLevel="0" collapsed="false">
      <c r="A11376" s="26" t="s">
        <v>27668</v>
      </c>
      <c r="B11376" s="27" t="s">
        <v>27669</v>
      </c>
      <c r="C11376" s="27" t="s">
        <v>144</v>
      </c>
      <c r="D11376" s="26"/>
      <c r="E11376" s="27"/>
      <c r="F11376" s="27"/>
      <c r="G11376" s="27" t="s">
        <v>11122</v>
      </c>
      <c r="H11376" s="27" t="s">
        <v>35</v>
      </c>
      <c r="I11376" s="27" t="s">
        <v>39</v>
      </c>
      <c r="J11376" s="28" t="s">
        <v>1129</v>
      </c>
      <c r="K11376" s="27" t="s">
        <v>39</v>
      </c>
      <c r="L11376" s="27"/>
    </row>
    <row r="11377" customFormat="false" ht="15" hidden="false" customHeight="false" outlineLevel="0" collapsed="false">
      <c r="A11377" s="26" t="s">
        <v>27670</v>
      </c>
      <c r="B11377" s="27" t="s">
        <v>27671</v>
      </c>
      <c r="C11377" s="27" t="s">
        <v>144</v>
      </c>
      <c r="D11377" s="26"/>
      <c r="E11377" s="27"/>
      <c r="F11377" s="27"/>
      <c r="G11377" s="27" t="s">
        <v>11122</v>
      </c>
      <c r="H11377" s="27" t="s">
        <v>35</v>
      </c>
      <c r="I11377" s="27" t="s">
        <v>39</v>
      </c>
      <c r="J11377" s="28" t="s">
        <v>1129</v>
      </c>
      <c r="K11377" s="27" t="s">
        <v>39</v>
      </c>
      <c r="L11377" s="27"/>
    </row>
    <row r="11378" customFormat="false" ht="15" hidden="false" customHeight="false" outlineLevel="0" collapsed="false">
      <c r="A11378" s="26" t="s">
        <v>27672</v>
      </c>
      <c r="B11378" s="27" t="s">
        <v>27673</v>
      </c>
      <c r="C11378" s="27" t="s">
        <v>144</v>
      </c>
      <c r="D11378" s="26"/>
      <c r="E11378" s="27"/>
      <c r="F11378" s="27"/>
      <c r="G11378" s="27" t="s">
        <v>11122</v>
      </c>
      <c r="H11378" s="27" t="s">
        <v>35</v>
      </c>
      <c r="I11378" s="27" t="s">
        <v>39</v>
      </c>
      <c r="J11378" s="28" t="s">
        <v>1129</v>
      </c>
      <c r="K11378" s="27" t="s">
        <v>39</v>
      </c>
      <c r="L11378" s="27"/>
    </row>
    <row r="11379" customFormat="false" ht="15" hidden="false" customHeight="false" outlineLevel="0" collapsed="false">
      <c r="A11379" s="26" t="s">
        <v>27674</v>
      </c>
      <c r="B11379" s="27" t="s">
        <v>27675</v>
      </c>
      <c r="C11379" s="27" t="s">
        <v>144</v>
      </c>
      <c r="D11379" s="26"/>
      <c r="E11379" s="27"/>
      <c r="F11379" s="27"/>
      <c r="G11379" s="27" t="s">
        <v>11122</v>
      </c>
      <c r="H11379" s="27" t="s">
        <v>35</v>
      </c>
      <c r="I11379" s="27" t="s">
        <v>38</v>
      </c>
      <c r="J11379" s="28" t="s">
        <v>1129</v>
      </c>
      <c r="K11379" s="27" t="s">
        <v>39</v>
      </c>
      <c r="L11379" s="27"/>
    </row>
    <row r="11380" customFormat="false" ht="15" hidden="false" customHeight="false" outlineLevel="0" collapsed="false">
      <c r="A11380" s="26" t="s">
        <v>27676</v>
      </c>
      <c r="B11380" s="27" t="s">
        <v>27677</v>
      </c>
      <c r="C11380" s="27" t="s">
        <v>144</v>
      </c>
      <c r="D11380" s="26"/>
      <c r="E11380" s="27"/>
      <c r="F11380" s="27"/>
      <c r="G11380" s="27" t="s">
        <v>11122</v>
      </c>
      <c r="H11380" s="27" t="s">
        <v>35</v>
      </c>
      <c r="I11380" s="27" t="s">
        <v>38</v>
      </c>
      <c r="J11380" s="28" t="s">
        <v>1129</v>
      </c>
      <c r="K11380" s="27" t="s">
        <v>39</v>
      </c>
      <c r="L11380" s="27"/>
    </row>
    <row r="11381" customFormat="false" ht="15" hidden="false" customHeight="false" outlineLevel="0" collapsed="false">
      <c r="A11381" s="26" t="s">
        <v>27678</v>
      </c>
      <c r="B11381" s="27" t="s">
        <v>27679</v>
      </c>
      <c r="C11381" s="27" t="s">
        <v>144</v>
      </c>
      <c r="D11381" s="26"/>
      <c r="E11381" s="27"/>
      <c r="F11381" s="27"/>
      <c r="G11381" s="27" t="s">
        <v>11122</v>
      </c>
      <c r="H11381" s="27" t="s">
        <v>35</v>
      </c>
      <c r="I11381" s="27" t="s">
        <v>38</v>
      </c>
      <c r="J11381" s="28" t="s">
        <v>1129</v>
      </c>
      <c r="K11381" s="27" t="s">
        <v>39</v>
      </c>
      <c r="L11381" s="27"/>
    </row>
    <row r="11382" customFormat="false" ht="15" hidden="false" customHeight="false" outlineLevel="0" collapsed="false">
      <c r="A11382" s="26" t="s">
        <v>27680</v>
      </c>
      <c r="B11382" s="27" t="s">
        <v>27681</v>
      </c>
      <c r="C11382" s="27" t="s">
        <v>370</v>
      </c>
      <c r="D11382" s="26"/>
      <c r="E11382" s="27"/>
      <c r="F11382" s="27"/>
      <c r="G11382" s="27" t="s">
        <v>11122</v>
      </c>
      <c r="H11382" s="27" t="s">
        <v>35</v>
      </c>
      <c r="I11382" s="27" t="s">
        <v>39</v>
      </c>
      <c r="J11382" s="28" t="s">
        <v>1129</v>
      </c>
      <c r="K11382" s="27" t="s">
        <v>39</v>
      </c>
      <c r="L11382" s="27"/>
    </row>
    <row r="11383" customFormat="false" ht="15" hidden="false" customHeight="false" outlineLevel="0" collapsed="false">
      <c r="A11383" s="26" t="s">
        <v>27682</v>
      </c>
      <c r="B11383" s="27" t="s">
        <v>27683</v>
      </c>
      <c r="C11383" s="27" t="s">
        <v>137</v>
      </c>
      <c r="D11383" s="26"/>
      <c r="E11383" s="27"/>
      <c r="F11383" s="27"/>
      <c r="G11383" s="27" t="s">
        <v>11122</v>
      </c>
      <c r="H11383" s="27" t="s">
        <v>35</v>
      </c>
      <c r="I11383" s="27" t="s">
        <v>4159</v>
      </c>
      <c r="J11383" s="28" t="s">
        <v>1129</v>
      </c>
      <c r="K11383" s="27" t="s">
        <v>39</v>
      </c>
      <c r="L11383" s="27"/>
    </row>
    <row r="11384" customFormat="false" ht="15" hidden="false" customHeight="false" outlineLevel="0" collapsed="false">
      <c r="A11384" s="26" t="s">
        <v>27684</v>
      </c>
      <c r="B11384" s="27" t="s">
        <v>27685</v>
      </c>
      <c r="C11384" s="27" t="s">
        <v>144</v>
      </c>
      <c r="D11384" s="26"/>
      <c r="E11384" s="27"/>
      <c r="F11384" s="27"/>
      <c r="G11384" s="27" t="s">
        <v>11122</v>
      </c>
      <c r="H11384" s="27" t="s">
        <v>35</v>
      </c>
      <c r="I11384" s="27" t="s">
        <v>39</v>
      </c>
      <c r="J11384" s="28" t="s">
        <v>1129</v>
      </c>
      <c r="K11384" s="27" t="s">
        <v>39</v>
      </c>
      <c r="L11384" s="27"/>
    </row>
    <row r="11385" customFormat="false" ht="15" hidden="false" customHeight="false" outlineLevel="0" collapsed="false">
      <c r="A11385" s="26" t="s">
        <v>27686</v>
      </c>
      <c r="B11385" s="27" t="s">
        <v>27687</v>
      </c>
      <c r="C11385" s="27" t="s">
        <v>144</v>
      </c>
      <c r="D11385" s="26"/>
      <c r="E11385" s="27"/>
      <c r="F11385" s="27"/>
      <c r="G11385" s="27" t="s">
        <v>11122</v>
      </c>
      <c r="H11385" s="27" t="s">
        <v>35</v>
      </c>
      <c r="I11385" s="27" t="s">
        <v>39</v>
      </c>
      <c r="J11385" s="28" t="s">
        <v>1129</v>
      </c>
      <c r="K11385" s="27" t="s">
        <v>39</v>
      </c>
      <c r="L11385" s="27"/>
    </row>
    <row r="11386" customFormat="false" ht="15" hidden="false" customHeight="false" outlineLevel="0" collapsed="false">
      <c r="A11386" s="26" t="s">
        <v>27688</v>
      </c>
      <c r="B11386" s="27" t="s">
        <v>27689</v>
      </c>
      <c r="C11386" s="27" t="s">
        <v>144</v>
      </c>
      <c r="D11386" s="26"/>
      <c r="E11386" s="27"/>
      <c r="F11386" s="27"/>
      <c r="G11386" s="27" t="s">
        <v>11122</v>
      </c>
      <c r="H11386" s="27" t="s">
        <v>35</v>
      </c>
      <c r="I11386" s="27" t="s">
        <v>39</v>
      </c>
      <c r="J11386" s="28" t="s">
        <v>1129</v>
      </c>
      <c r="K11386" s="27" t="s">
        <v>39</v>
      </c>
      <c r="L11386" s="27"/>
    </row>
    <row r="11387" customFormat="false" ht="15" hidden="false" customHeight="false" outlineLevel="0" collapsed="false">
      <c r="A11387" s="26" t="s">
        <v>27690</v>
      </c>
      <c r="B11387" s="27" t="s">
        <v>27691</v>
      </c>
      <c r="C11387" s="27" t="s">
        <v>144</v>
      </c>
      <c r="D11387" s="26"/>
      <c r="E11387" s="27"/>
      <c r="F11387" s="27"/>
      <c r="G11387" s="27" t="s">
        <v>11122</v>
      </c>
      <c r="H11387" s="27" t="s">
        <v>35</v>
      </c>
      <c r="I11387" s="27" t="s">
        <v>39</v>
      </c>
      <c r="J11387" s="28" t="s">
        <v>1129</v>
      </c>
      <c r="K11387" s="27" t="s">
        <v>39</v>
      </c>
      <c r="L11387" s="27"/>
    </row>
    <row r="11388" customFormat="false" ht="15" hidden="false" customHeight="false" outlineLevel="0" collapsed="false">
      <c r="A11388" s="26" t="s">
        <v>27692</v>
      </c>
      <c r="B11388" s="27" t="s">
        <v>27693</v>
      </c>
      <c r="C11388" s="27" t="s">
        <v>1187</v>
      </c>
      <c r="D11388" s="26"/>
      <c r="E11388" s="27"/>
      <c r="F11388" s="27"/>
      <c r="G11388" s="27" t="s">
        <v>11122</v>
      </c>
      <c r="H11388" s="27" t="s">
        <v>35</v>
      </c>
      <c r="I11388" s="27" t="s">
        <v>39</v>
      </c>
      <c r="J11388" s="28" t="s">
        <v>1129</v>
      </c>
      <c r="K11388" s="27" t="s">
        <v>39</v>
      </c>
      <c r="L11388" s="27"/>
    </row>
    <row r="11389" customFormat="false" ht="15" hidden="false" customHeight="false" outlineLevel="0" collapsed="false">
      <c r="A11389" s="26" t="s">
        <v>27694</v>
      </c>
      <c r="B11389" s="27" t="s">
        <v>27695</v>
      </c>
      <c r="C11389" s="27" t="s">
        <v>144</v>
      </c>
      <c r="D11389" s="26"/>
      <c r="E11389" s="27"/>
      <c r="F11389" s="27"/>
      <c r="G11389" s="27" t="s">
        <v>11122</v>
      </c>
      <c r="H11389" s="27" t="s">
        <v>35</v>
      </c>
      <c r="I11389" s="27" t="s">
        <v>39</v>
      </c>
      <c r="J11389" s="28" t="s">
        <v>1129</v>
      </c>
      <c r="K11389" s="27" t="s">
        <v>39</v>
      </c>
      <c r="L11389" s="27"/>
    </row>
    <row r="11390" customFormat="false" ht="15" hidden="false" customHeight="false" outlineLevel="0" collapsed="false">
      <c r="A11390" s="26" t="s">
        <v>27696</v>
      </c>
      <c r="B11390" s="27" t="s">
        <v>27697</v>
      </c>
      <c r="C11390" s="27" t="s">
        <v>370</v>
      </c>
      <c r="D11390" s="26"/>
      <c r="E11390" s="27"/>
      <c r="F11390" s="27"/>
      <c r="G11390" s="27" t="s">
        <v>11122</v>
      </c>
      <c r="H11390" s="27" t="s">
        <v>35</v>
      </c>
      <c r="I11390" s="27" t="s">
        <v>39</v>
      </c>
      <c r="J11390" s="28" t="s">
        <v>1129</v>
      </c>
      <c r="K11390" s="27" t="s">
        <v>39</v>
      </c>
      <c r="L11390" s="27"/>
    </row>
    <row r="11391" customFormat="false" ht="15" hidden="false" customHeight="false" outlineLevel="0" collapsed="false">
      <c r="A11391" s="26" t="s">
        <v>27698</v>
      </c>
      <c r="B11391" s="27" t="s">
        <v>27699</v>
      </c>
      <c r="C11391" s="27" t="s">
        <v>370</v>
      </c>
      <c r="D11391" s="26"/>
      <c r="E11391" s="27"/>
      <c r="F11391" s="27"/>
      <c r="G11391" s="27" t="s">
        <v>11122</v>
      </c>
      <c r="H11391" s="27" t="s">
        <v>35</v>
      </c>
      <c r="I11391" s="27" t="s">
        <v>39</v>
      </c>
      <c r="J11391" s="28" t="s">
        <v>1129</v>
      </c>
      <c r="K11391" s="27" t="s">
        <v>39</v>
      </c>
      <c r="L11391" s="27"/>
    </row>
    <row r="11392" customFormat="false" ht="15" hidden="false" customHeight="false" outlineLevel="0" collapsed="false">
      <c r="A11392" s="26" t="s">
        <v>27700</v>
      </c>
      <c r="B11392" s="27" t="s">
        <v>27701</v>
      </c>
      <c r="C11392" s="27" t="s">
        <v>144</v>
      </c>
      <c r="D11392" s="26"/>
      <c r="E11392" s="27"/>
      <c r="F11392" s="27"/>
      <c r="G11392" s="27" t="s">
        <v>11122</v>
      </c>
      <c r="H11392" s="27" t="s">
        <v>35</v>
      </c>
      <c r="I11392" s="27" t="s">
        <v>42</v>
      </c>
      <c r="J11392" s="28" t="s">
        <v>1129</v>
      </c>
      <c r="K11392" s="27" t="s">
        <v>39</v>
      </c>
      <c r="L11392" s="27"/>
    </row>
    <row r="11393" customFormat="false" ht="15" hidden="false" customHeight="false" outlineLevel="0" collapsed="false">
      <c r="A11393" s="26" t="s">
        <v>27702</v>
      </c>
      <c r="B11393" s="27" t="s">
        <v>27703</v>
      </c>
      <c r="C11393" s="27" t="s">
        <v>144</v>
      </c>
      <c r="D11393" s="26"/>
      <c r="E11393" s="27"/>
      <c r="F11393" s="27"/>
      <c r="G11393" s="27" t="s">
        <v>11122</v>
      </c>
      <c r="H11393" s="27" t="s">
        <v>35</v>
      </c>
      <c r="I11393" s="27" t="s">
        <v>887</v>
      </c>
      <c r="J11393" s="28" t="s">
        <v>1129</v>
      </c>
      <c r="K11393" s="27" t="s">
        <v>39</v>
      </c>
      <c r="L11393" s="27"/>
    </row>
    <row r="11394" customFormat="false" ht="15" hidden="false" customHeight="false" outlineLevel="0" collapsed="false">
      <c r="A11394" s="26" t="s">
        <v>27704</v>
      </c>
      <c r="B11394" s="27" t="s">
        <v>27705</v>
      </c>
      <c r="C11394" s="27" t="s">
        <v>144</v>
      </c>
      <c r="D11394" s="26"/>
      <c r="E11394" s="27"/>
      <c r="F11394" s="27"/>
      <c r="G11394" s="27" t="s">
        <v>11122</v>
      </c>
      <c r="H11394" s="27" t="s">
        <v>35</v>
      </c>
      <c r="I11394" s="27" t="s">
        <v>39</v>
      </c>
      <c r="J11394" s="28" t="s">
        <v>1129</v>
      </c>
      <c r="K11394" s="27" t="s">
        <v>39</v>
      </c>
      <c r="L11394" s="27"/>
    </row>
    <row r="11395" customFormat="false" ht="15" hidden="false" customHeight="false" outlineLevel="0" collapsed="false">
      <c r="A11395" s="26" t="s">
        <v>27706</v>
      </c>
      <c r="B11395" s="27" t="s">
        <v>27707</v>
      </c>
      <c r="C11395" s="27" t="s">
        <v>144</v>
      </c>
      <c r="D11395" s="26"/>
      <c r="E11395" s="27"/>
      <c r="F11395" s="27"/>
      <c r="G11395" s="27" t="s">
        <v>11122</v>
      </c>
      <c r="H11395" s="27" t="s">
        <v>35</v>
      </c>
      <c r="I11395" s="27" t="s">
        <v>37</v>
      </c>
      <c r="J11395" s="28" t="s">
        <v>1129</v>
      </c>
      <c r="K11395" s="27" t="s">
        <v>39</v>
      </c>
      <c r="L11395" s="27"/>
    </row>
    <row r="11396" customFormat="false" ht="15" hidden="false" customHeight="false" outlineLevel="0" collapsed="false">
      <c r="A11396" s="26" t="s">
        <v>27708</v>
      </c>
      <c r="B11396" s="27" t="s">
        <v>27709</v>
      </c>
      <c r="C11396" s="27" t="s">
        <v>144</v>
      </c>
      <c r="D11396" s="26"/>
      <c r="E11396" s="27"/>
      <c r="F11396" s="27"/>
      <c r="G11396" s="27" t="s">
        <v>11122</v>
      </c>
      <c r="H11396" s="27" t="s">
        <v>35</v>
      </c>
      <c r="I11396" s="27" t="s">
        <v>39</v>
      </c>
      <c r="J11396" s="28" t="s">
        <v>1129</v>
      </c>
      <c r="K11396" s="27" t="s">
        <v>39</v>
      </c>
      <c r="L11396" s="27"/>
    </row>
    <row r="11397" customFormat="false" ht="15" hidden="false" customHeight="false" outlineLevel="0" collapsed="false">
      <c r="A11397" s="26" t="s">
        <v>27710</v>
      </c>
      <c r="B11397" s="27" t="s">
        <v>27711</v>
      </c>
      <c r="C11397" s="27" t="s">
        <v>144</v>
      </c>
      <c r="D11397" s="26"/>
      <c r="E11397" s="27"/>
      <c r="F11397" s="27"/>
      <c r="G11397" s="27" t="s">
        <v>11122</v>
      </c>
      <c r="H11397" s="27" t="s">
        <v>35</v>
      </c>
      <c r="I11397" s="27" t="s">
        <v>39</v>
      </c>
      <c r="J11397" s="28" t="s">
        <v>1129</v>
      </c>
      <c r="K11397" s="27" t="s">
        <v>39</v>
      </c>
      <c r="L11397" s="27"/>
    </row>
    <row r="11398" customFormat="false" ht="15" hidden="false" customHeight="false" outlineLevel="0" collapsed="false">
      <c r="A11398" s="26" t="s">
        <v>27712</v>
      </c>
      <c r="B11398" s="27" t="s">
        <v>27713</v>
      </c>
      <c r="C11398" s="27" t="s">
        <v>144</v>
      </c>
      <c r="D11398" s="26"/>
      <c r="E11398" s="27"/>
      <c r="F11398" s="27"/>
      <c r="G11398" s="27" t="s">
        <v>11122</v>
      </c>
      <c r="H11398" s="27" t="s">
        <v>35</v>
      </c>
      <c r="I11398" s="27" t="s">
        <v>39</v>
      </c>
      <c r="J11398" s="28" t="s">
        <v>1129</v>
      </c>
      <c r="K11398" s="27" t="s">
        <v>39</v>
      </c>
      <c r="L11398" s="27"/>
    </row>
    <row r="11399" customFormat="false" ht="15" hidden="false" customHeight="false" outlineLevel="0" collapsed="false">
      <c r="A11399" s="26" t="s">
        <v>27714</v>
      </c>
      <c r="B11399" s="27" t="s">
        <v>27715</v>
      </c>
      <c r="C11399" s="27" t="s">
        <v>144</v>
      </c>
      <c r="D11399" s="26"/>
      <c r="E11399" s="27"/>
      <c r="F11399" s="27"/>
      <c r="G11399" s="27" t="s">
        <v>11122</v>
      </c>
      <c r="H11399" s="27" t="s">
        <v>35</v>
      </c>
      <c r="I11399" s="27" t="s">
        <v>39</v>
      </c>
      <c r="J11399" s="28" t="s">
        <v>1129</v>
      </c>
      <c r="K11399" s="27" t="s">
        <v>39</v>
      </c>
      <c r="L11399" s="27"/>
    </row>
    <row r="11400" customFormat="false" ht="15" hidden="false" customHeight="false" outlineLevel="0" collapsed="false">
      <c r="A11400" s="26" t="s">
        <v>27716</v>
      </c>
      <c r="B11400" s="27" t="s">
        <v>27717</v>
      </c>
      <c r="C11400" s="27" t="s">
        <v>1187</v>
      </c>
      <c r="D11400" s="26"/>
      <c r="E11400" s="27"/>
      <c r="F11400" s="27"/>
      <c r="G11400" s="27" t="s">
        <v>11122</v>
      </c>
      <c r="H11400" s="27" t="s">
        <v>35</v>
      </c>
      <c r="I11400" s="27" t="s">
        <v>39</v>
      </c>
      <c r="J11400" s="28" t="s">
        <v>1129</v>
      </c>
      <c r="K11400" s="27" t="s">
        <v>39</v>
      </c>
      <c r="L11400" s="27"/>
    </row>
    <row r="11401" customFormat="false" ht="15" hidden="false" customHeight="false" outlineLevel="0" collapsed="false">
      <c r="A11401" s="26" t="s">
        <v>27718</v>
      </c>
      <c r="B11401" s="27" t="s">
        <v>27719</v>
      </c>
      <c r="C11401" s="27" t="s">
        <v>144</v>
      </c>
      <c r="D11401" s="26"/>
      <c r="E11401" s="27"/>
      <c r="F11401" s="27"/>
      <c r="G11401" s="27" t="s">
        <v>11122</v>
      </c>
      <c r="H11401" s="27" t="s">
        <v>35</v>
      </c>
      <c r="I11401" s="27" t="s">
        <v>40</v>
      </c>
      <c r="J11401" s="28" t="s">
        <v>1129</v>
      </c>
      <c r="K11401" s="27" t="s">
        <v>39</v>
      </c>
      <c r="L11401" s="27"/>
    </row>
    <row r="11402" customFormat="false" ht="15" hidden="false" customHeight="false" outlineLevel="0" collapsed="false">
      <c r="A11402" s="26" t="s">
        <v>27720</v>
      </c>
      <c r="B11402" s="27" t="s">
        <v>27721</v>
      </c>
      <c r="C11402" s="27" t="s">
        <v>144</v>
      </c>
      <c r="D11402" s="26"/>
      <c r="E11402" s="27"/>
      <c r="F11402" s="27"/>
      <c r="G11402" s="27" t="s">
        <v>11122</v>
      </c>
      <c r="H11402" s="27" t="s">
        <v>35</v>
      </c>
      <c r="I11402" s="27" t="s">
        <v>37</v>
      </c>
      <c r="J11402" s="28" t="s">
        <v>1129</v>
      </c>
      <c r="K11402" s="27" t="s">
        <v>39</v>
      </c>
      <c r="L11402" s="27"/>
    </row>
    <row r="11403" customFormat="false" ht="15" hidden="false" customHeight="false" outlineLevel="0" collapsed="false">
      <c r="A11403" s="26" t="s">
        <v>27722</v>
      </c>
      <c r="B11403" s="27" t="s">
        <v>27723</v>
      </c>
      <c r="C11403" s="27" t="s">
        <v>370</v>
      </c>
      <c r="D11403" s="26"/>
      <c r="E11403" s="27"/>
      <c r="F11403" s="27"/>
      <c r="G11403" s="27" t="s">
        <v>11122</v>
      </c>
      <c r="H11403" s="27" t="s">
        <v>35</v>
      </c>
      <c r="I11403" s="27" t="s">
        <v>40</v>
      </c>
      <c r="J11403" s="28" t="s">
        <v>1129</v>
      </c>
      <c r="K11403" s="27" t="s">
        <v>39</v>
      </c>
      <c r="L11403" s="27"/>
    </row>
    <row r="11404" customFormat="false" ht="15" hidden="false" customHeight="false" outlineLevel="0" collapsed="false">
      <c r="A11404" s="26" t="s">
        <v>27724</v>
      </c>
      <c r="B11404" s="27" t="s">
        <v>27725</v>
      </c>
      <c r="C11404" s="27" t="s">
        <v>144</v>
      </c>
      <c r="D11404" s="26"/>
      <c r="E11404" s="27"/>
      <c r="F11404" s="27"/>
      <c r="G11404" s="27" t="s">
        <v>11122</v>
      </c>
      <c r="H11404" s="27" t="s">
        <v>35</v>
      </c>
      <c r="I11404" s="27" t="s">
        <v>39</v>
      </c>
      <c r="J11404" s="28" t="s">
        <v>1129</v>
      </c>
      <c r="K11404" s="27" t="s">
        <v>39</v>
      </c>
      <c r="L11404" s="27"/>
    </row>
    <row r="11405" customFormat="false" ht="15" hidden="false" customHeight="false" outlineLevel="0" collapsed="false">
      <c r="A11405" s="26" t="s">
        <v>27726</v>
      </c>
      <c r="B11405" s="27" t="s">
        <v>27727</v>
      </c>
      <c r="C11405" s="27" t="s">
        <v>144</v>
      </c>
      <c r="D11405" s="26"/>
      <c r="E11405" s="27"/>
      <c r="F11405" s="27"/>
      <c r="G11405" s="27" t="s">
        <v>11122</v>
      </c>
      <c r="H11405" s="27" t="s">
        <v>35</v>
      </c>
      <c r="I11405" s="27" t="s">
        <v>39</v>
      </c>
      <c r="J11405" s="28" t="s">
        <v>1129</v>
      </c>
      <c r="K11405" s="27" t="s">
        <v>39</v>
      </c>
      <c r="L11405" s="27"/>
    </row>
    <row r="11406" customFormat="false" ht="15" hidden="false" customHeight="false" outlineLevel="0" collapsed="false">
      <c r="A11406" s="26" t="s">
        <v>27728</v>
      </c>
      <c r="B11406" s="27" t="s">
        <v>27729</v>
      </c>
      <c r="C11406" s="27" t="s">
        <v>144</v>
      </c>
      <c r="D11406" s="26"/>
      <c r="E11406" s="27"/>
      <c r="F11406" s="27"/>
      <c r="G11406" s="27" t="s">
        <v>11122</v>
      </c>
      <c r="H11406" s="27" t="s">
        <v>35</v>
      </c>
      <c r="I11406" s="27" t="s">
        <v>39</v>
      </c>
      <c r="J11406" s="28" t="s">
        <v>1129</v>
      </c>
      <c r="K11406" s="27" t="s">
        <v>39</v>
      </c>
      <c r="L11406" s="27"/>
    </row>
    <row r="11407" customFormat="false" ht="15" hidden="false" customHeight="false" outlineLevel="0" collapsed="false">
      <c r="A11407" s="26" t="s">
        <v>27730</v>
      </c>
      <c r="B11407" s="27" t="s">
        <v>27731</v>
      </c>
      <c r="C11407" s="27" t="s">
        <v>144</v>
      </c>
      <c r="D11407" s="26"/>
      <c r="E11407" s="27"/>
      <c r="F11407" s="27"/>
      <c r="G11407" s="27" t="s">
        <v>11122</v>
      </c>
      <c r="H11407" s="27" t="s">
        <v>35</v>
      </c>
      <c r="I11407" s="27" t="s">
        <v>39</v>
      </c>
      <c r="J11407" s="28" t="s">
        <v>1129</v>
      </c>
      <c r="K11407" s="27" t="s">
        <v>39</v>
      </c>
      <c r="L11407" s="27"/>
    </row>
    <row r="11408" customFormat="false" ht="15" hidden="false" customHeight="false" outlineLevel="0" collapsed="false">
      <c r="A11408" s="26" t="s">
        <v>27732</v>
      </c>
      <c r="B11408" s="27" t="s">
        <v>27733</v>
      </c>
      <c r="C11408" s="27" t="s">
        <v>1187</v>
      </c>
      <c r="D11408" s="26"/>
      <c r="E11408" s="27"/>
      <c r="F11408" s="27"/>
      <c r="G11408" s="27" t="s">
        <v>11122</v>
      </c>
      <c r="H11408" s="27" t="s">
        <v>35</v>
      </c>
      <c r="I11408" s="27" t="s">
        <v>39</v>
      </c>
      <c r="J11408" s="28" t="s">
        <v>1129</v>
      </c>
      <c r="K11408" s="27" t="s">
        <v>39</v>
      </c>
      <c r="L11408" s="27"/>
    </row>
    <row r="11409" customFormat="false" ht="15" hidden="false" customHeight="false" outlineLevel="0" collapsed="false">
      <c r="A11409" s="26" t="s">
        <v>27734</v>
      </c>
      <c r="B11409" s="27" t="s">
        <v>27735</v>
      </c>
      <c r="C11409" s="27" t="s">
        <v>144</v>
      </c>
      <c r="D11409" s="26"/>
      <c r="E11409" s="27"/>
      <c r="F11409" s="27"/>
      <c r="G11409" s="27" t="s">
        <v>11122</v>
      </c>
      <c r="H11409" s="27" t="s">
        <v>35</v>
      </c>
      <c r="I11409" s="27" t="s">
        <v>39</v>
      </c>
      <c r="J11409" s="28" t="s">
        <v>1129</v>
      </c>
      <c r="K11409" s="27" t="s">
        <v>39</v>
      </c>
      <c r="L11409" s="27"/>
    </row>
    <row r="11410" customFormat="false" ht="15" hidden="false" customHeight="false" outlineLevel="0" collapsed="false">
      <c r="A11410" s="26" t="s">
        <v>27736</v>
      </c>
      <c r="B11410" s="27" t="s">
        <v>27737</v>
      </c>
      <c r="C11410" s="27" t="s">
        <v>144</v>
      </c>
      <c r="D11410" s="26"/>
      <c r="E11410" s="27"/>
      <c r="F11410" s="27"/>
      <c r="G11410" s="27" t="s">
        <v>11122</v>
      </c>
      <c r="H11410" s="27" t="s">
        <v>35</v>
      </c>
      <c r="I11410" s="27" t="s">
        <v>39</v>
      </c>
      <c r="J11410" s="28" t="s">
        <v>1129</v>
      </c>
      <c r="K11410" s="27" t="s">
        <v>39</v>
      </c>
      <c r="L11410" s="27"/>
    </row>
    <row r="11411" customFormat="false" ht="15" hidden="false" customHeight="false" outlineLevel="0" collapsed="false">
      <c r="A11411" s="26" t="s">
        <v>27738</v>
      </c>
      <c r="B11411" s="27" t="s">
        <v>27739</v>
      </c>
      <c r="C11411" s="27" t="s">
        <v>1187</v>
      </c>
      <c r="D11411" s="26"/>
      <c r="E11411" s="27"/>
      <c r="F11411" s="27"/>
      <c r="G11411" s="27" t="s">
        <v>11122</v>
      </c>
      <c r="H11411" s="27" t="s">
        <v>35</v>
      </c>
      <c r="I11411" s="27" t="s">
        <v>39</v>
      </c>
      <c r="J11411" s="28" t="s">
        <v>1129</v>
      </c>
      <c r="K11411" s="27" t="s">
        <v>39</v>
      </c>
      <c r="L11411" s="27"/>
    </row>
    <row r="11412" customFormat="false" ht="15" hidden="false" customHeight="false" outlineLevel="0" collapsed="false">
      <c r="A11412" s="26" t="s">
        <v>27740</v>
      </c>
      <c r="B11412" s="27" t="s">
        <v>27741</v>
      </c>
      <c r="C11412" s="27" t="s">
        <v>144</v>
      </c>
      <c r="D11412" s="26"/>
      <c r="E11412" s="27"/>
      <c r="F11412" s="27"/>
      <c r="G11412" s="27" t="s">
        <v>11122</v>
      </c>
      <c r="H11412" s="27" t="s">
        <v>35</v>
      </c>
      <c r="I11412" s="27" t="s">
        <v>39</v>
      </c>
      <c r="J11412" s="28" t="s">
        <v>1129</v>
      </c>
      <c r="K11412" s="27" t="s">
        <v>39</v>
      </c>
      <c r="L11412" s="27"/>
    </row>
    <row r="11413" customFormat="false" ht="15" hidden="false" customHeight="false" outlineLevel="0" collapsed="false">
      <c r="A11413" s="26" t="s">
        <v>27742</v>
      </c>
      <c r="B11413" s="27" t="s">
        <v>27743</v>
      </c>
      <c r="C11413" s="27" t="s">
        <v>144</v>
      </c>
      <c r="D11413" s="26"/>
      <c r="E11413" s="27"/>
      <c r="F11413" s="27"/>
      <c r="G11413" s="27" t="s">
        <v>11122</v>
      </c>
      <c r="H11413" s="27" t="s">
        <v>35</v>
      </c>
      <c r="I11413" s="27" t="s">
        <v>39</v>
      </c>
      <c r="J11413" s="28" t="s">
        <v>1129</v>
      </c>
      <c r="K11413" s="27" t="s">
        <v>39</v>
      </c>
      <c r="L11413" s="27"/>
    </row>
    <row r="11414" customFormat="false" ht="15" hidden="false" customHeight="false" outlineLevel="0" collapsed="false">
      <c r="A11414" s="26" t="s">
        <v>27744</v>
      </c>
      <c r="B11414" s="27" t="s">
        <v>27745</v>
      </c>
      <c r="C11414" s="27" t="s">
        <v>1187</v>
      </c>
      <c r="D11414" s="26"/>
      <c r="E11414" s="27"/>
      <c r="F11414" s="27"/>
      <c r="G11414" s="27" t="s">
        <v>11122</v>
      </c>
      <c r="H11414" s="27" t="s">
        <v>35</v>
      </c>
      <c r="I11414" s="27" t="s">
        <v>39</v>
      </c>
      <c r="J11414" s="28" t="s">
        <v>1129</v>
      </c>
      <c r="K11414" s="27" t="s">
        <v>39</v>
      </c>
      <c r="L11414" s="27"/>
    </row>
    <row r="11415" customFormat="false" ht="15" hidden="false" customHeight="false" outlineLevel="0" collapsed="false">
      <c r="A11415" s="26" t="s">
        <v>27746</v>
      </c>
      <c r="B11415" s="27" t="s">
        <v>27747</v>
      </c>
      <c r="C11415" s="27" t="s">
        <v>1187</v>
      </c>
      <c r="D11415" s="26"/>
      <c r="E11415" s="27"/>
      <c r="F11415" s="27"/>
      <c r="G11415" s="27" t="s">
        <v>11122</v>
      </c>
      <c r="H11415" s="27" t="s">
        <v>35</v>
      </c>
      <c r="I11415" s="27" t="s">
        <v>39</v>
      </c>
      <c r="J11415" s="28" t="s">
        <v>1129</v>
      </c>
      <c r="K11415" s="27" t="s">
        <v>39</v>
      </c>
      <c r="L11415" s="27"/>
    </row>
    <row r="11416" customFormat="false" ht="15" hidden="false" customHeight="false" outlineLevel="0" collapsed="false">
      <c r="A11416" s="26" t="s">
        <v>27748</v>
      </c>
      <c r="B11416" s="27" t="s">
        <v>27749</v>
      </c>
      <c r="C11416" s="27" t="s">
        <v>144</v>
      </c>
      <c r="D11416" s="26"/>
      <c r="E11416" s="27"/>
      <c r="F11416" s="27"/>
      <c r="G11416" s="27" t="s">
        <v>11122</v>
      </c>
      <c r="H11416" s="27" t="s">
        <v>35</v>
      </c>
      <c r="I11416" s="27" t="s">
        <v>39</v>
      </c>
      <c r="J11416" s="28" t="s">
        <v>1129</v>
      </c>
      <c r="K11416" s="27" t="s">
        <v>39</v>
      </c>
      <c r="L11416" s="27"/>
    </row>
    <row r="11417" customFormat="false" ht="15" hidden="false" customHeight="false" outlineLevel="0" collapsed="false">
      <c r="A11417" s="26" t="s">
        <v>27750</v>
      </c>
      <c r="B11417" s="27" t="s">
        <v>27751</v>
      </c>
      <c r="C11417" s="27" t="s">
        <v>144</v>
      </c>
      <c r="D11417" s="26"/>
      <c r="E11417" s="27"/>
      <c r="F11417" s="27"/>
      <c r="G11417" s="27" t="s">
        <v>11122</v>
      </c>
      <c r="H11417" s="27" t="s">
        <v>35</v>
      </c>
      <c r="I11417" s="27" t="s">
        <v>39</v>
      </c>
      <c r="J11417" s="28" t="s">
        <v>1129</v>
      </c>
      <c r="K11417" s="27" t="s">
        <v>39</v>
      </c>
      <c r="L11417" s="27"/>
    </row>
    <row r="11418" customFormat="false" ht="15" hidden="false" customHeight="false" outlineLevel="0" collapsed="false">
      <c r="A11418" s="26" t="s">
        <v>27752</v>
      </c>
      <c r="B11418" s="27" t="s">
        <v>27753</v>
      </c>
      <c r="C11418" s="27" t="s">
        <v>144</v>
      </c>
      <c r="D11418" s="26"/>
      <c r="E11418" s="27"/>
      <c r="F11418" s="27"/>
      <c r="G11418" s="27" t="s">
        <v>11122</v>
      </c>
      <c r="H11418" s="27" t="s">
        <v>35</v>
      </c>
      <c r="I11418" s="27" t="s">
        <v>39</v>
      </c>
      <c r="J11418" s="28" t="s">
        <v>1129</v>
      </c>
      <c r="K11418" s="27" t="s">
        <v>39</v>
      </c>
      <c r="L11418" s="27"/>
    </row>
    <row r="11419" customFormat="false" ht="15" hidden="false" customHeight="false" outlineLevel="0" collapsed="false">
      <c r="A11419" s="26" t="s">
        <v>27754</v>
      </c>
      <c r="B11419" s="27" t="s">
        <v>27755</v>
      </c>
      <c r="C11419" s="27" t="s">
        <v>370</v>
      </c>
      <c r="D11419" s="26"/>
      <c r="E11419" s="27"/>
      <c r="F11419" s="27"/>
      <c r="G11419" s="27" t="s">
        <v>11122</v>
      </c>
      <c r="H11419" s="27" t="s">
        <v>35</v>
      </c>
      <c r="I11419" s="27" t="s">
        <v>39</v>
      </c>
      <c r="J11419" s="28" t="s">
        <v>1129</v>
      </c>
      <c r="K11419" s="27" t="s">
        <v>39</v>
      </c>
      <c r="L11419" s="27"/>
    </row>
    <row r="11420" customFormat="false" ht="15" hidden="false" customHeight="false" outlineLevel="0" collapsed="false">
      <c r="A11420" s="26" t="s">
        <v>27756</v>
      </c>
      <c r="B11420" s="27" t="s">
        <v>27757</v>
      </c>
      <c r="C11420" s="27" t="s">
        <v>370</v>
      </c>
      <c r="D11420" s="26"/>
      <c r="E11420" s="27"/>
      <c r="F11420" s="27"/>
      <c r="G11420" s="27" t="s">
        <v>11122</v>
      </c>
      <c r="H11420" s="27" t="s">
        <v>35</v>
      </c>
      <c r="I11420" s="27" t="s">
        <v>39</v>
      </c>
      <c r="J11420" s="28" t="s">
        <v>1129</v>
      </c>
      <c r="K11420" s="27" t="s">
        <v>39</v>
      </c>
      <c r="L11420" s="27"/>
    </row>
    <row r="11421" customFormat="false" ht="15" hidden="false" customHeight="false" outlineLevel="0" collapsed="false">
      <c r="A11421" s="26" t="s">
        <v>27758</v>
      </c>
      <c r="B11421" s="27" t="s">
        <v>27759</v>
      </c>
      <c r="C11421" s="27" t="s">
        <v>144</v>
      </c>
      <c r="D11421" s="26"/>
      <c r="E11421" s="27"/>
      <c r="F11421" s="27"/>
      <c r="G11421" s="27" t="s">
        <v>11122</v>
      </c>
      <c r="H11421" s="27" t="s">
        <v>35</v>
      </c>
      <c r="I11421" s="27" t="s">
        <v>39</v>
      </c>
      <c r="J11421" s="28" t="s">
        <v>1129</v>
      </c>
      <c r="K11421" s="27" t="s">
        <v>39</v>
      </c>
      <c r="L11421" s="27"/>
    </row>
    <row r="11422" customFormat="false" ht="15" hidden="false" customHeight="false" outlineLevel="0" collapsed="false">
      <c r="A11422" s="26" t="s">
        <v>27760</v>
      </c>
      <c r="B11422" s="27" t="s">
        <v>27761</v>
      </c>
      <c r="C11422" s="27" t="s">
        <v>144</v>
      </c>
      <c r="D11422" s="26"/>
      <c r="E11422" s="27"/>
      <c r="F11422" s="27"/>
      <c r="G11422" s="27" t="s">
        <v>11122</v>
      </c>
      <c r="H11422" s="27" t="s">
        <v>35</v>
      </c>
      <c r="I11422" s="27" t="s">
        <v>39</v>
      </c>
      <c r="J11422" s="28" t="s">
        <v>1129</v>
      </c>
      <c r="K11422" s="27" t="s">
        <v>39</v>
      </c>
      <c r="L11422" s="27"/>
    </row>
    <row r="11423" customFormat="false" ht="15" hidden="false" customHeight="false" outlineLevel="0" collapsed="false">
      <c r="A11423" s="26" t="s">
        <v>27762</v>
      </c>
      <c r="B11423" s="27" t="s">
        <v>27763</v>
      </c>
      <c r="C11423" s="27" t="s">
        <v>144</v>
      </c>
      <c r="D11423" s="26"/>
      <c r="E11423" s="27"/>
      <c r="F11423" s="27"/>
      <c r="G11423" s="27" t="s">
        <v>11122</v>
      </c>
      <c r="H11423" s="27" t="s">
        <v>35</v>
      </c>
      <c r="I11423" s="27" t="s">
        <v>38</v>
      </c>
      <c r="J11423" s="28" t="s">
        <v>1129</v>
      </c>
      <c r="K11423" s="27" t="s">
        <v>39</v>
      </c>
      <c r="L11423" s="27"/>
    </row>
    <row r="11424" customFormat="false" ht="15" hidden="false" customHeight="false" outlineLevel="0" collapsed="false">
      <c r="A11424" s="26" t="s">
        <v>27764</v>
      </c>
      <c r="B11424" s="27" t="s">
        <v>27765</v>
      </c>
      <c r="C11424" s="27" t="s">
        <v>144</v>
      </c>
      <c r="D11424" s="26"/>
      <c r="E11424" s="27"/>
      <c r="F11424" s="27"/>
      <c r="G11424" s="27" t="s">
        <v>11122</v>
      </c>
      <c r="H11424" s="27" t="s">
        <v>35</v>
      </c>
      <c r="I11424" s="27" t="s">
        <v>39</v>
      </c>
      <c r="J11424" s="28" t="s">
        <v>1129</v>
      </c>
      <c r="K11424" s="27" t="s">
        <v>39</v>
      </c>
      <c r="L11424" s="27"/>
    </row>
    <row r="11425" customFormat="false" ht="15" hidden="false" customHeight="false" outlineLevel="0" collapsed="false">
      <c r="A11425" s="26" t="s">
        <v>27766</v>
      </c>
      <c r="B11425" s="27" t="s">
        <v>27767</v>
      </c>
      <c r="C11425" s="27" t="s">
        <v>144</v>
      </c>
      <c r="D11425" s="26"/>
      <c r="E11425" s="27"/>
      <c r="F11425" s="27"/>
      <c r="G11425" s="27" t="s">
        <v>11122</v>
      </c>
      <c r="H11425" s="27" t="s">
        <v>35</v>
      </c>
      <c r="I11425" s="27" t="s">
        <v>39</v>
      </c>
      <c r="J11425" s="28" t="s">
        <v>1129</v>
      </c>
      <c r="K11425" s="27" t="s">
        <v>39</v>
      </c>
      <c r="L11425" s="27"/>
    </row>
    <row r="11426" customFormat="false" ht="15" hidden="false" customHeight="false" outlineLevel="0" collapsed="false">
      <c r="A11426" s="26" t="s">
        <v>27768</v>
      </c>
      <c r="B11426" s="27" t="s">
        <v>27769</v>
      </c>
      <c r="C11426" s="27" t="s">
        <v>144</v>
      </c>
      <c r="D11426" s="26"/>
      <c r="E11426" s="27"/>
      <c r="F11426" s="27"/>
      <c r="G11426" s="27" t="s">
        <v>11122</v>
      </c>
      <c r="H11426" s="27" t="s">
        <v>35</v>
      </c>
      <c r="I11426" s="27" t="s">
        <v>39</v>
      </c>
      <c r="J11426" s="28" t="s">
        <v>1129</v>
      </c>
      <c r="K11426" s="27" t="s">
        <v>39</v>
      </c>
      <c r="L11426" s="27"/>
    </row>
    <row r="11427" customFormat="false" ht="15" hidden="false" customHeight="false" outlineLevel="0" collapsed="false">
      <c r="A11427" s="26" t="s">
        <v>27770</v>
      </c>
      <c r="B11427" s="27" t="s">
        <v>27771</v>
      </c>
      <c r="C11427" s="27" t="s">
        <v>144</v>
      </c>
      <c r="D11427" s="26"/>
      <c r="E11427" s="27"/>
      <c r="F11427" s="27"/>
      <c r="G11427" s="27" t="s">
        <v>11122</v>
      </c>
      <c r="H11427" s="27" t="s">
        <v>35</v>
      </c>
      <c r="I11427" s="27" t="s">
        <v>48</v>
      </c>
      <c r="J11427" s="28" t="s">
        <v>1129</v>
      </c>
      <c r="K11427" s="27" t="s">
        <v>39</v>
      </c>
      <c r="L11427" s="27"/>
    </row>
    <row r="11428" customFormat="false" ht="15" hidden="false" customHeight="false" outlineLevel="0" collapsed="false">
      <c r="A11428" s="26" t="s">
        <v>27772</v>
      </c>
      <c r="B11428" s="27" t="s">
        <v>27773</v>
      </c>
      <c r="C11428" s="27" t="s">
        <v>144</v>
      </c>
      <c r="D11428" s="26"/>
      <c r="E11428" s="27"/>
      <c r="F11428" s="27"/>
      <c r="G11428" s="27" t="s">
        <v>11122</v>
      </c>
      <c r="H11428" s="27" t="s">
        <v>35</v>
      </c>
      <c r="I11428" s="27" t="s">
        <v>39</v>
      </c>
      <c r="J11428" s="28" t="s">
        <v>1129</v>
      </c>
      <c r="K11428" s="27" t="s">
        <v>39</v>
      </c>
      <c r="L11428" s="27"/>
    </row>
    <row r="11429" customFormat="false" ht="15" hidden="false" customHeight="false" outlineLevel="0" collapsed="false">
      <c r="A11429" s="26" t="s">
        <v>27774</v>
      </c>
      <c r="B11429" s="27" t="s">
        <v>27775</v>
      </c>
      <c r="C11429" s="27" t="s">
        <v>144</v>
      </c>
      <c r="D11429" s="26"/>
      <c r="E11429" s="27"/>
      <c r="F11429" s="27"/>
      <c r="G11429" s="27" t="s">
        <v>11122</v>
      </c>
      <c r="H11429" s="27" t="s">
        <v>35</v>
      </c>
      <c r="I11429" s="27" t="s">
        <v>37</v>
      </c>
      <c r="J11429" s="28" t="s">
        <v>1129</v>
      </c>
      <c r="K11429" s="27" t="s">
        <v>39</v>
      </c>
      <c r="L11429" s="27"/>
    </row>
    <row r="11430" customFormat="false" ht="15" hidden="false" customHeight="false" outlineLevel="0" collapsed="false">
      <c r="A11430" s="26" t="s">
        <v>27776</v>
      </c>
      <c r="B11430" s="27" t="s">
        <v>27777</v>
      </c>
      <c r="C11430" s="27" t="s">
        <v>144</v>
      </c>
      <c r="D11430" s="26"/>
      <c r="E11430" s="27"/>
      <c r="F11430" s="27"/>
      <c r="G11430" s="27" t="s">
        <v>11122</v>
      </c>
      <c r="H11430" s="27" t="s">
        <v>35</v>
      </c>
      <c r="I11430" s="27" t="s">
        <v>39</v>
      </c>
      <c r="J11430" s="28" t="s">
        <v>1129</v>
      </c>
      <c r="K11430" s="27" t="s">
        <v>39</v>
      </c>
      <c r="L11430" s="27"/>
    </row>
    <row r="11431" customFormat="false" ht="15" hidden="false" customHeight="false" outlineLevel="0" collapsed="false">
      <c r="A11431" s="26" t="s">
        <v>27778</v>
      </c>
      <c r="B11431" s="27" t="s">
        <v>27779</v>
      </c>
      <c r="C11431" s="27" t="s">
        <v>144</v>
      </c>
      <c r="D11431" s="26"/>
      <c r="E11431" s="27"/>
      <c r="F11431" s="27"/>
      <c r="G11431" s="27" t="s">
        <v>11122</v>
      </c>
      <c r="H11431" s="27" t="s">
        <v>35</v>
      </c>
      <c r="I11431" s="27" t="s">
        <v>39</v>
      </c>
      <c r="J11431" s="28" t="s">
        <v>1129</v>
      </c>
      <c r="K11431" s="27" t="s">
        <v>39</v>
      </c>
      <c r="L11431" s="27"/>
    </row>
    <row r="11432" customFormat="false" ht="15" hidden="false" customHeight="false" outlineLevel="0" collapsed="false">
      <c r="A11432" s="26" t="s">
        <v>27780</v>
      </c>
      <c r="B11432" s="27" t="s">
        <v>27781</v>
      </c>
      <c r="C11432" s="27" t="s">
        <v>144</v>
      </c>
      <c r="D11432" s="26"/>
      <c r="E11432" s="27"/>
      <c r="F11432" s="27"/>
      <c r="G11432" s="27" t="s">
        <v>11122</v>
      </c>
      <c r="H11432" s="27" t="s">
        <v>35</v>
      </c>
      <c r="I11432" s="27" t="s">
        <v>39</v>
      </c>
      <c r="J11432" s="28" t="s">
        <v>1129</v>
      </c>
      <c r="K11432" s="27" t="s">
        <v>39</v>
      </c>
      <c r="L11432" s="27"/>
    </row>
    <row r="11433" customFormat="false" ht="15" hidden="false" customHeight="false" outlineLevel="0" collapsed="false">
      <c r="A11433" s="26" t="s">
        <v>27782</v>
      </c>
      <c r="B11433" s="27" t="s">
        <v>27783</v>
      </c>
      <c r="C11433" s="27" t="s">
        <v>144</v>
      </c>
      <c r="D11433" s="26"/>
      <c r="E11433" s="27"/>
      <c r="F11433" s="27"/>
      <c r="G11433" s="27" t="s">
        <v>11122</v>
      </c>
      <c r="H11433" s="27" t="s">
        <v>35</v>
      </c>
      <c r="I11433" s="27" t="s">
        <v>39</v>
      </c>
      <c r="J11433" s="28" t="s">
        <v>1129</v>
      </c>
      <c r="K11433" s="27" t="s">
        <v>39</v>
      </c>
      <c r="L11433" s="27"/>
    </row>
    <row r="11434" customFormat="false" ht="15" hidden="false" customHeight="false" outlineLevel="0" collapsed="false">
      <c r="A11434" s="26" t="s">
        <v>27784</v>
      </c>
      <c r="B11434" s="27" t="s">
        <v>27785</v>
      </c>
      <c r="C11434" s="27" t="s">
        <v>370</v>
      </c>
      <c r="D11434" s="26"/>
      <c r="E11434" s="27"/>
      <c r="F11434" s="27"/>
      <c r="G11434" s="27" t="s">
        <v>11122</v>
      </c>
      <c r="H11434" s="27" t="s">
        <v>35</v>
      </c>
      <c r="I11434" s="27" t="s">
        <v>40</v>
      </c>
      <c r="J11434" s="28" t="s">
        <v>1129</v>
      </c>
      <c r="K11434" s="27" t="s">
        <v>39</v>
      </c>
      <c r="L11434" s="27"/>
    </row>
    <row r="11435" customFormat="false" ht="15" hidden="false" customHeight="false" outlineLevel="0" collapsed="false">
      <c r="A11435" s="26" t="s">
        <v>27786</v>
      </c>
      <c r="B11435" s="27" t="s">
        <v>27787</v>
      </c>
      <c r="C11435" s="27" t="s">
        <v>144</v>
      </c>
      <c r="D11435" s="26"/>
      <c r="E11435" s="27"/>
      <c r="F11435" s="27"/>
      <c r="G11435" s="27" t="s">
        <v>11122</v>
      </c>
      <c r="H11435" s="27" t="s">
        <v>35</v>
      </c>
      <c r="I11435" s="27" t="s">
        <v>39</v>
      </c>
      <c r="J11435" s="28" t="s">
        <v>1129</v>
      </c>
      <c r="K11435" s="27" t="s">
        <v>39</v>
      </c>
      <c r="L11435" s="27"/>
    </row>
    <row r="11436" customFormat="false" ht="15" hidden="false" customHeight="false" outlineLevel="0" collapsed="false">
      <c r="A11436" s="26" t="s">
        <v>27788</v>
      </c>
      <c r="B11436" s="27" t="s">
        <v>27789</v>
      </c>
      <c r="C11436" s="27" t="s">
        <v>144</v>
      </c>
      <c r="D11436" s="26"/>
      <c r="E11436" s="27"/>
      <c r="F11436" s="27"/>
      <c r="G11436" s="27" t="s">
        <v>11122</v>
      </c>
      <c r="H11436" s="27" t="s">
        <v>35</v>
      </c>
      <c r="I11436" s="27" t="s">
        <v>43</v>
      </c>
      <c r="J11436" s="28" t="s">
        <v>1129</v>
      </c>
      <c r="K11436" s="27" t="s">
        <v>39</v>
      </c>
      <c r="L11436" s="27"/>
    </row>
    <row r="11437" customFormat="false" ht="15" hidden="false" customHeight="false" outlineLevel="0" collapsed="false">
      <c r="A11437" s="26" t="s">
        <v>27790</v>
      </c>
      <c r="B11437" s="27" t="s">
        <v>27791</v>
      </c>
      <c r="C11437" s="27" t="s">
        <v>144</v>
      </c>
      <c r="D11437" s="26"/>
      <c r="E11437" s="27"/>
      <c r="F11437" s="27"/>
      <c r="G11437" s="27" t="s">
        <v>11122</v>
      </c>
      <c r="H11437" s="27" t="s">
        <v>35</v>
      </c>
      <c r="I11437" s="27" t="s">
        <v>38</v>
      </c>
      <c r="J11437" s="28" t="s">
        <v>1129</v>
      </c>
      <c r="K11437" s="27" t="s">
        <v>39</v>
      </c>
      <c r="L11437" s="27"/>
    </row>
    <row r="11438" customFormat="false" ht="15" hidden="false" customHeight="false" outlineLevel="0" collapsed="false">
      <c r="A11438" s="26" t="s">
        <v>27792</v>
      </c>
      <c r="B11438" s="27" t="s">
        <v>27793</v>
      </c>
      <c r="C11438" s="27" t="s">
        <v>144</v>
      </c>
      <c r="D11438" s="26"/>
      <c r="E11438" s="27"/>
      <c r="F11438" s="27"/>
      <c r="G11438" s="27" t="s">
        <v>11122</v>
      </c>
      <c r="H11438" s="27" t="s">
        <v>35</v>
      </c>
      <c r="I11438" s="27" t="s">
        <v>49</v>
      </c>
      <c r="J11438" s="28" t="s">
        <v>1129</v>
      </c>
      <c r="K11438" s="27" t="s">
        <v>39</v>
      </c>
      <c r="L11438" s="27"/>
    </row>
    <row r="11439" customFormat="false" ht="15" hidden="false" customHeight="false" outlineLevel="0" collapsed="false">
      <c r="A11439" s="26" t="s">
        <v>27794</v>
      </c>
      <c r="B11439" s="27" t="s">
        <v>27795</v>
      </c>
      <c r="C11439" s="27" t="s">
        <v>370</v>
      </c>
      <c r="D11439" s="26"/>
      <c r="E11439" s="27"/>
      <c r="F11439" s="27"/>
      <c r="G11439" s="27" t="s">
        <v>11122</v>
      </c>
      <c r="H11439" s="27" t="s">
        <v>35</v>
      </c>
      <c r="I11439" s="27" t="s">
        <v>39</v>
      </c>
      <c r="J11439" s="28" t="s">
        <v>1129</v>
      </c>
      <c r="K11439" s="27" t="s">
        <v>39</v>
      </c>
      <c r="L11439" s="27"/>
    </row>
    <row r="11440" customFormat="false" ht="15" hidden="false" customHeight="false" outlineLevel="0" collapsed="false">
      <c r="A11440" s="26" t="s">
        <v>27796</v>
      </c>
      <c r="B11440" s="27" t="s">
        <v>27797</v>
      </c>
      <c r="C11440" s="27" t="s">
        <v>144</v>
      </c>
      <c r="D11440" s="26"/>
      <c r="E11440" s="27"/>
      <c r="F11440" s="27"/>
      <c r="G11440" s="27" t="s">
        <v>11122</v>
      </c>
      <c r="H11440" s="27" t="s">
        <v>35</v>
      </c>
      <c r="I11440" s="27" t="s">
        <v>49</v>
      </c>
      <c r="J11440" s="28" t="s">
        <v>1129</v>
      </c>
      <c r="K11440" s="27" t="s">
        <v>39</v>
      </c>
      <c r="L11440" s="27"/>
    </row>
    <row r="11441" customFormat="false" ht="15" hidden="false" customHeight="false" outlineLevel="0" collapsed="false">
      <c r="A11441" s="26" t="s">
        <v>27798</v>
      </c>
      <c r="B11441" s="27" t="s">
        <v>27799</v>
      </c>
      <c r="C11441" s="27" t="s">
        <v>144</v>
      </c>
      <c r="D11441" s="26"/>
      <c r="E11441" s="27"/>
      <c r="F11441" s="27"/>
      <c r="G11441" s="27" t="s">
        <v>11122</v>
      </c>
      <c r="H11441" s="27" t="s">
        <v>35</v>
      </c>
      <c r="I11441" s="27" t="s">
        <v>39</v>
      </c>
      <c r="J11441" s="28" t="s">
        <v>1129</v>
      </c>
      <c r="K11441" s="27" t="s">
        <v>39</v>
      </c>
      <c r="L11441" s="27"/>
    </row>
    <row r="11442" customFormat="false" ht="15" hidden="false" customHeight="false" outlineLevel="0" collapsed="false">
      <c r="A11442" s="26" t="s">
        <v>27800</v>
      </c>
      <c r="B11442" s="27" t="s">
        <v>27801</v>
      </c>
      <c r="C11442" s="27" t="s">
        <v>144</v>
      </c>
      <c r="D11442" s="26"/>
      <c r="E11442" s="27"/>
      <c r="F11442" s="27"/>
      <c r="G11442" s="27" t="s">
        <v>11122</v>
      </c>
      <c r="H11442" s="27" t="s">
        <v>35</v>
      </c>
      <c r="I11442" s="27" t="s">
        <v>37</v>
      </c>
      <c r="J11442" s="28" t="s">
        <v>1232</v>
      </c>
      <c r="K11442" s="27" t="s">
        <v>49</v>
      </c>
      <c r="L11442" s="27"/>
    </row>
    <row r="11443" customFormat="false" ht="15" hidden="false" customHeight="false" outlineLevel="0" collapsed="false">
      <c r="A11443" s="26" t="s">
        <v>27802</v>
      </c>
      <c r="B11443" s="27" t="s">
        <v>27803</v>
      </c>
      <c r="C11443" s="27" t="s">
        <v>1087</v>
      </c>
      <c r="D11443" s="26"/>
      <c r="E11443" s="27"/>
      <c r="F11443" s="27"/>
      <c r="G11443" s="27" t="s">
        <v>11122</v>
      </c>
      <c r="H11443" s="27" t="s">
        <v>35</v>
      </c>
      <c r="I11443" s="27" t="s">
        <v>27435</v>
      </c>
      <c r="J11443" s="28" t="s">
        <v>1232</v>
      </c>
      <c r="K11443" s="27" t="s">
        <v>49</v>
      </c>
      <c r="L11443" s="27"/>
    </row>
    <row r="11444" customFormat="false" ht="15" hidden="false" customHeight="false" outlineLevel="0" collapsed="false">
      <c r="A11444" s="26" t="s">
        <v>27804</v>
      </c>
      <c r="B11444" s="27" t="s">
        <v>27805</v>
      </c>
      <c r="C11444" s="27" t="s">
        <v>144</v>
      </c>
      <c r="D11444" s="26"/>
      <c r="E11444" s="27"/>
      <c r="F11444" s="27"/>
      <c r="G11444" s="27" t="s">
        <v>11122</v>
      </c>
      <c r="H11444" s="27" t="s">
        <v>35</v>
      </c>
      <c r="I11444" s="27" t="s">
        <v>40</v>
      </c>
      <c r="J11444" s="28" t="s">
        <v>1232</v>
      </c>
      <c r="K11444" s="27" t="s">
        <v>49</v>
      </c>
      <c r="L11444" s="27"/>
    </row>
    <row r="11445" customFormat="false" ht="15" hidden="false" customHeight="false" outlineLevel="0" collapsed="false">
      <c r="A11445" s="26" t="s">
        <v>27806</v>
      </c>
      <c r="B11445" s="27" t="s">
        <v>27807</v>
      </c>
      <c r="C11445" s="27" t="s">
        <v>100</v>
      </c>
      <c r="D11445" s="26"/>
      <c r="E11445" s="27"/>
      <c r="F11445" s="27"/>
      <c r="G11445" s="27" t="s">
        <v>11122</v>
      </c>
      <c r="H11445" s="27" t="s">
        <v>35</v>
      </c>
      <c r="I11445" s="27" t="s">
        <v>37</v>
      </c>
      <c r="J11445" s="28" t="s">
        <v>1232</v>
      </c>
      <c r="K11445" s="27" t="s">
        <v>49</v>
      </c>
      <c r="L11445" s="27"/>
    </row>
    <row r="11446" customFormat="false" ht="15" hidden="false" customHeight="false" outlineLevel="0" collapsed="false">
      <c r="A11446" s="26" t="s">
        <v>27808</v>
      </c>
      <c r="B11446" s="27" t="s">
        <v>27809</v>
      </c>
      <c r="C11446" s="27" t="s">
        <v>1845</v>
      </c>
      <c r="D11446" s="26"/>
      <c r="E11446" s="27"/>
      <c r="F11446" s="27"/>
      <c r="G11446" s="27" t="s">
        <v>11122</v>
      </c>
      <c r="H11446" s="27" t="s">
        <v>35</v>
      </c>
      <c r="I11446" s="27" t="s">
        <v>44</v>
      </c>
      <c r="J11446" s="28" t="s">
        <v>1232</v>
      </c>
      <c r="K11446" s="27" t="s">
        <v>49</v>
      </c>
      <c r="L11446" s="27"/>
    </row>
    <row r="11447" customFormat="false" ht="15" hidden="false" customHeight="false" outlineLevel="0" collapsed="false">
      <c r="A11447" s="26" t="s">
        <v>27810</v>
      </c>
      <c r="B11447" s="27" t="s">
        <v>27811</v>
      </c>
      <c r="C11447" s="27" t="s">
        <v>144</v>
      </c>
      <c r="D11447" s="26"/>
      <c r="E11447" s="27"/>
      <c r="F11447" s="27"/>
      <c r="G11447" s="27" t="s">
        <v>11122</v>
      </c>
      <c r="H11447" s="27" t="s">
        <v>35</v>
      </c>
      <c r="I11447" s="27" t="s">
        <v>44</v>
      </c>
      <c r="J11447" s="28" t="s">
        <v>1232</v>
      </c>
      <c r="K11447" s="27" t="s">
        <v>49</v>
      </c>
      <c r="L11447" s="27"/>
    </row>
    <row r="11448" customFormat="false" ht="15" hidden="false" customHeight="false" outlineLevel="0" collapsed="false">
      <c r="A11448" s="26" t="s">
        <v>27812</v>
      </c>
      <c r="B11448" s="27" t="s">
        <v>27811</v>
      </c>
      <c r="C11448" s="27" t="s">
        <v>137</v>
      </c>
      <c r="D11448" s="26"/>
      <c r="E11448" s="27"/>
      <c r="F11448" s="27"/>
      <c r="G11448" s="27" t="s">
        <v>11122</v>
      </c>
      <c r="H11448" s="27" t="s">
        <v>35</v>
      </c>
      <c r="I11448" s="27" t="s">
        <v>44</v>
      </c>
      <c r="J11448" s="28" t="s">
        <v>1232</v>
      </c>
      <c r="K11448" s="27" t="s">
        <v>49</v>
      </c>
      <c r="L11448" s="27"/>
    </row>
    <row r="11449" customFormat="false" ht="15" hidden="false" customHeight="false" outlineLevel="0" collapsed="false">
      <c r="A11449" s="26" t="s">
        <v>27813</v>
      </c>
      <c r="B11449" s="27" t="s">
        <v>27814</v>
      </c>
      <c r="C11449" s="27" t="s">
        <v>144</v>
      </c>
      <c r="D11449" s="26"/>
      <c r="E11449" s="27"/>
      <c r="F11449" s="27"/>
      <c r="G11449" s="27" t="s">
        <v>11122</v>
      </c>
      <c r="H11449" s="27" t="s">
        <v>35</v>
      </c>
      <c r="I11449" s="27" t="s">
        <v>39</v>
      </c>
      <c r="J11449" s="28" t="s">
        <v>1232</v>
      </c>
      <c r="K11449" s="27" t="s">
        <v>49</v>
      </c>
      <c r="L11449" s="27"/>
    </row>
    <row r="11450" customFormat="false" ht="15" hidden="false" customHeight="false" outlineLevel="0" collapsed="false">
      <c r="A11450" s="26" t="s">
        <v>27815</v>
      </c>
      <c r="B11450" s="27" t="s">
        <v>27816</v>
      </c>
      <c r="C11450" s="27" t="s">
        <v>144</v>
      </c>
      <c r="D11450" s="26"/>
      <c r="E11450" s="27"/>
      <c r="F11450" s="27"/>
      <c r="G11450" s="27" t="s">
        <v>11122</v>
      </c>
      <c r="H11450" s="27" t="s">
        <v>35</v>
      </c>
      <c r="I11450" s="27" t="s">
        <v>39</v>
      </c>
      <c r="J11450" s="28" t="s">
        <v>1232</v>
      </c>
      <c r="K11450" s="27" t="s">
        <v>49</v>
      </c>
      <c r="L11450" s="27"/>
    </row>
    <row r="11451" customFormat="false" ht="15" hidden="false" customHeight="false" outlineLevel="0" collapsed="false">
      <c r="A11451" s="26" t="s">
        <v>27817</v>
      </c>
      <c r="B11451" s="27" t="s">
        <v>27818</v>
      </c>
      <c r="C11451" s="27" t="s">
        <v>144</v>
      </c>
      <c r="D11451" s="26"/>
      <c r="E11451" s="27"/>
      <c r="F11451" s="27"/>
      <c r="G11451" s="27" t="s">
        <v>11122</v>
      </c>
      <c r="H11451" s="27" t="s">
        <v>35</v>
      </c>
      <c r="I11451" s="27" t="s">
        <v>39</v>
      </c>
      <c r="J11451" s="28" t="s">
        <v>1232</v>
      </c>
      <c r="K11451" s="27" t="s">
        <v>49</v>
      </c>
      <c r="L11451" s="27"/>
    </row>
    <row r="11452" customFormat="false" ht="15" hidden="false" customHeight="false" outlineLevel="0" collapsed="false">
      <c r="A11452" s="26" t="s">
        <v>27819</v>
      </c>
      <c r="B11452" s="27" t="s">
        <v>27820</v>
      </c>
      <c r="C11452" s="27" t="s">
        <v>144</v>
      </c>
      <c r="D11452" s="26"/>
      <c r="E11452" s="27"/>
      <c r="F11452" s="27"/>
      <c r="G11452" s="27" t="s">
        <v>11122</v>
      </c>
      <c r="H11452" s="27" t="s">
        <v>35</v>
      </c>
      <c r="I11452" s="27" t="s">
        <v>39</v>
      </c>
      <c r="J11452" s="28" t="s">
        <v>1232</v>
      </c>
      <c r="K11452" s="27" t="s">
        <v>49</v>
      </c>
      <c r="L11452" s="27"/>
    </row>
    <row r="11453" customFormat="false" ht="15" hidden="false" customHeight="false" outlineLevel="0" collapsed="false">
      <c r="A11453" s="26" t="s">
        <v>27821</v>
      </c>
      <c r="B11453" s="27" t="s">
        <v>27822</v>
      </c>
      <c r="C11453" s="27" t="s">
        <v>144</v>
      </c>
      <c r="D11453" s="26"/>
      <c r="E11453" s="27"/>
      <c r="F11453" s="27"/>
      <c r="G11453" s="27" t="s">
        <v>11122</v>
      </c>
      <c r="H11453" s="27" t="s">
        <v>35</v>
      </c>
      <c r="I11453" s="27" t="s">
        <v>39</v>
      </c>
      <c r="J11453" s="28" t="s">
        <v>1232</v>
      </c>
      <c r="K11453" s="27" t="s">
        <v>49</v>
      </c>
      <c r="L11453" s="27"/>
    </row>
    <row r="11454" customFormat="false" ht="15" hidden="false" customHeight="false" outlineLevel="0" collapsed="false">
      <c r="A11454" s="26" t="s">
        <v>27823</v>
      </c>
      <c r="B11454" s="27" t="s">
        <v>27824</v>
      </c>
      <c r="C11454" s="27" t="s">
        <v>144</v>
      </c>
      <c r="D11454" s="26"/>
      <c r="E11454" s="27"/>
      <c r="F11454" s="27"/>
      <c r="G11454" s="27" t="s">
        <v>11122</v>
      </c>
      <c r="H11454" s="27" t="s">
        <v>35</v>
      </c>
      <c r="I11454" s="27" t="s">
        <v>39</v>
      </c>
      <c r="J11454" s="28" t="s">
        <v>1232</v>
      </c>
      <c r="K11454" s="27" t="s">
        <v>49</v>
      </c>
      <c r="L11454" s="27"/>
    </row>
    <row r="11455" customFormat="false" ht="15" hidden="false" customHeight="false" outlineLevel="0" collapsed="false">
      <c r="A11455" s="26" t="s">
        <v>27825</v>
      </c>
      <c r="B11455" s="27" t="s">
        <v>27826</v>
      </c>
      <c r="C11455" s="27" t="s">
        <v>144</v>
      </c>
      <c r="D11455" s="26"/>
      <c r="E11455" s="27"/>
      <c r="F11455" s="27"/>
      <c r="G11455" s="27" t="s">
        <v>11122</v>
      </c>
      <c r="H11455" s="27" t="s">
        <v>35</v>
      </c>
      <c r="I11455" s="27" t="s">
        <v>37</v>
      </c>
      <c r="J11455" s="28" t="s">
        <v>1232</v>
      </c>
      <c r="K11455" s="27" t="s">
        <v>49</v>
      </c>
      <c r="L11455" s="27"/>
    </row>
    <row r="11456" customFormat="false" ht="15" hidden="false" customHeight="false" outlineLevel="0" collapsed="false">
      <c r="A11456" s="26" t="s">
        <v>27827</v>
      </c>
      <c r="B11456" s="27" t="s">
        <v>27828</v>
      </c>
      <c r="C11456" s="27" t="s">
        <v>370</v>
      </c>
      <c r="D11456" s="26"/>
      <c r="E11456" s="27"/>
      <c r="F11456" s="27"/>
      <c r="G11456" s="27" t="s">
        <v>11122</v>
      </c>
      <c r="H11456" s="27" t="s">
        <v>35</v>
      </c>
      <c r="I11456" s="27" t="s">
        <v>41</v>
      </c>
      <c r="J11456" s="28" t="s">
        <v>1232</v>
      </c>
      <c r="K11456" s="27" t="s">
        <v>49</v>
      </c>
      <c r="L11456" s="27"/>
    </row>
    <row r="11457" customFormat="false" ht="15" hidden="false" customHeight="false" outlineLevel="0" collapsed="false">
      <c r="A11457" s="26" t="s">
        <v>27829</v>
      </c>
      <c r="B11457" s="27" t="s">
        <v>27830</v>
      </c>
      <c r="C11457" s="27" t="s">
        <v>144</v>
      </c>
      <c r="D11457" s="26"/>
      <c r="E11457" s="27"/>
      <c r="F11457" s="27"/>
      <c r="G11457" s="27" t="s">
        <v>11122</v>
      </c>
      <c r="H11457" s="27" t="s">
        <v>35</v>
      </c>
      <c r="I11457" s="27" t="s">
        <v>40</v>
      </c>
      <c r="J11457" s="28" t="s">
        <v>1232</v>
      </c>
      <c r="K11457" s="27" t="s">
        <v>49</v>
      </c>
      <c r="L11457" s="27"/>
    </row>
    <row r="11458" customFormat="false" ht="15" hidden="false" customHeight="false" outlineLevel="0" collapsed="false">
      <c r="A11458" s="26" t="s">
        <v>27831</v>
      </c>
      <c r="B11458" s="27" t="s">
        <v>27832</v>
      </c>
      <c r="C11458" s="27" t="s">
        <v>137</v>
      </c>
      <c r="D11458" s="26"/>
      <c r="E11458" s="27"/>
      <c r="F11458" s="27"/>
      <c r="G11458" s="27" t="s">
        <v>11122</v>
      </c>
      <c r="H11458" s="27" t="s">
        <v>35</v>
      </c>
      <c r="I11458" s="27" t="s">
        <v>44</v>
      </c>
      <c r="J11458" s="28" t="s">
        <v>1232</v>
      </c>
      <c r="K11458" s="27" t="s">
        <v>49</v>
      </c>
      <c r="L11458" s="27"/>
    </row>
    <row r="11459" customFormat="false" ht="15" hidden="false" customHeight="false" outlineLevel="0" collapsed="false">
      <c r="A11459" s="26" t="s">
        <v>27833</v>
      </c>
      <c r="B11459" s="27" t="s">
        <v>27834</v>
      </c>
      <c r="C11459" s="27" t="s">
        <v>100</v>
      </c>
      <c r="D11459" s="26"/>
      <c r="E11459" s="27"/>
      <c r="F11459" s="27"/>
      <c r="G11459" s="27" t="s">
        <v>11122</v>
      </c>
      <c r="H11459" s="27" t="s">
        <v>35</v>
      </c>
      <c r="I11459" s="27" t="s">
        <v>45</v>
      </c>
      <c r="J11459" s="28" t="s">
        <v>1232</v>
      </c>
      <c r="K11459" s="27" t="s">
        <v>49</v>
      </c>
      <c r="L11459" s="27"/>
    </row>
    <row r="11460" customFormat="false" ht="15" hidden="false" customHeight="false" outlineLevel="0" collapsed="false">
      <c r="A11460" s="26" t="s">
        <v>27835</v>
      </c>
      <c r="B11460" s="27" t="s">
        <v>27836</v>
      </c>
      <c r="C11460" s="27" t="s">
        <v>1087</v>
      </c>
      <c r="D11460" s="26"/>
      <c r="E11460" s="27"/>
      <c r="F11460" s="27"/>
      <c r="G11460" s="27" t="s">
        <v>11122</v>
      </c>
      <c r="H11460" s="27" t="s">
        <v>35</v>
      </c>
      <c r="I11460" s="27" t="s">
        <v>39</v>
      </c>
      <c r="J11460" s="28" t="s">
        <v>1232</v>
      </c>
      <c r="K11460" s="27" t="s">
        <v>49</v>
      </c>
      <c r="L11460" s="27"/>
    </row>
    <row r="11461" customFormat="false" ht="15" hidden="false" customHeight="false" outlineLevel="0" collapsed="false">
      <c r="A11461" s="26" t="s">
        <v>27837</v>
      </c>
      <c r="B11461" s="27" t="s">
        <v>27838</v>
      </c>
      <c r="C11461" s="27" t="s">
        <v>1845</v>
      </c>
      <c r="D11461" s="26"/>
      <c r="E11461" s="27"/>
      <c r="F11461" s="27"/>
      <c r="G11461" s="27" t="s">
        <v>11122</v>
      </c>
      <c r="H11461" s="27" t="s">
        <v>35</v>
      </c>
      <c r="I11461" s="27" t="s">
        <v>44</v>
      </c>
      <c r="J11461" s="28" t="s">
        <v>1232</v>
      </c>
      <c r="K11461" s="27" t="s">
        <v>49</v>
      </c>
      <c r="L11461" s="27"/>
    </row>
    <row r="11462" customFormat="false" ht="15" hidden="false" customHeight="false" outlineLevel="0" collapsed="false">
      <c r="A11462" s="26" t="s">
        <v>27839</v>
      </c>
      <c r="B11462" s="27" t="s">
        <v>27840</v>
      </c>
      <c r="C11462" s="27" t="s">
        <v>1087</v>
      </c>
      <c r="D11462" s="26"/>
      <c r="E11462" s="27"/>
      <c r="F11462" s="27"/>
      <c r="G11462" s="27" t="s">
        <v>11122</v>
      </c>
      <c r="H11462" s="27" t="s">
        <v>35</v>
      </c>
      <c r="I11462" s="27" t="s">
        <v>37</v>
      </c>
      <c r="J11462" s="28" t="s">
        <v>1232</v>
      </c>
      <c r="K11462" s="27" t="s">
        <v>49</v>
      </c>
      <c r="L11462" s="27"/>
    </row>
    <row r="11463" customFormat="false" ht="15" hidden="false" customHeight="false" outlineLevel="0" collapsed="false">
      <c r="A11463" s="26" t="s">
        <v>27841</v>
      </c>
      <c r="B11463" s="27" t="s">
        <v>27842</v>
      </c>
      <c r="C11463" s="27" t="s">
        <v>137</v>
      </c>
      <c r="D11463" s="26"/>
      <c r="E11463" s="27"/>
      <c r="F11463" s="27"/>
      <c r="G11463" s="27" t="s">
        <v>11122</v>
      </c>
      <c r="H11463" s="27" t="s">
        <v>35</v>
      </c>
      <c r="I11463" s="27" t="s">
        <v>44</v>
      </c>
      <c r="J11463" s="28" t="s">
        <v>1232</v>
      </c>
      <c r="K11463" s="27" t="s">
        <v>49</v>
      </c>
      <c r="L11463" s="27"/>
    </row>
    <row r="11464" customFormat="false" ht="15" hidden="false" customHeight="false" outlineLevel="0" collapsed="false">
      <c r="A11464" s="26" t="s">
        <v>27843</v>
      </c>
      <c r="B11464" s="27" t="s">
        <v>27844</v>
      </c>
      <c r="C11464" s="27" t="s">
        <v>1845</v>
      </c>
      <c r="D11464" s="26"/>
      <c r="E11464" s="27"/>
      <c r="F11464" s="27"/>
      <c r="G11464" s="27" t="s">
        <v>11122</v>
      </c>
      <c r="H11464" s="27" t="s">
        <v>35</v>
      </c>
      <c r="I11464" s="27" t="s">
        <v>45</v>
      </c>
      <c r="J11464" s="28" t="s">
        <v>1232</v>
      </c>
      <c r="K11464" s="27" t="s">
        <v>49</v>
      </c>
      <c r="L11464" s="27"/>
    </row>
    <row r="11465" customFormat="false" ht="15" hidden="false" customHeight="false" outlineLevel="0" collapsed="false">
      <c r="A11465" s="26" t="s">
        <v>27845</v>
      </c>
      <c r="B11465" s="27" t="s">
        <v>27846</v>
      </c>
      <c r="C11465" s="27" t="s">
        <v>137</v>
      </c>
      <c r="D11465" s="26"/>
      <c r="E11465" s="27"/>
      <c r="F11465" s="27"/>
      <c r="G11465" s="27" t="s">
        <v>11122</v>
      </c>
      <c r="H11465" s="27" t="s">
        <v>35</v>
      </c>
      <c r="I11465" s="27" t="s">
        <v>38</v>
      </c>
      <c r="J11465" s="28" t="s">
        <v>1232</v>
      </c>
      <c r="K11465" s="27" t="s">
        <v>49</v>
      </c>
      <c r="L11465" s="27"/>
    </row>
    <row r="11466" customFormat="false" ht="15" hidden="false" customHeight="false" outlineLevel="0" collapsed="false">
      <c r="A11466" s="26" t="s">
        <v>27847</v>
      </c>
      <c r="B11466" s="27" t="s">
        <v>27848</v>
      </c>
      <c r="C11466" s="27" t="s">
        <v>137</v>
      </c>
      <c r="D11466" s="26"/>
      <c r="E11466" s="27"/>
      <c r="F11466" s="27"/>
      <c r="G11466" s="27" t="s">
        <v>11122</v>
      </c>
      <c r="H11466" s="27" t="s">
        <v>35</v>
      </c>
      <c r="I11466" s="27" t="s">
        <v>38</v>
      </c>
      <c r="J11466" s="28" t="s">
        <v>1232</v>
      </c>
      <c r="K11466" s="27" t="s">
        <v>49</v>
      </c>
      <c r="L11466" s="27"/>
    </row>
    <row r="11467" customFormat="false" ht="15" hidden="false" customHeight="false" outlineLevel="0" collapsed="false">
      <c r="A11467" s="26" t="s">
        <v>27849</v>
      </c>
      <c r="B11467" s="27" t="s">
        <v>27850</v>
      </c>
      <c r="C11467" s="27" t="s">
        <v>137</v>
      </c>
      <c r="D11467" s="26"/>
      <c r="E11467" s="27"/>
      <c r="F11467" s="27"/>
      <c r="G11467" s="27" t="s">
        <v>11122</v>
      </c>
      <c r="H11467" s="27" t="s">
        <v>35</v>
      </c>
      <c r="I11467" s="27" t="s">
        <v>38</v>
      </c>
      <c r="J11467" s="28" t="s">
        <v>1232</v>
      </c>
      <c r="K11467" s="27" t="s">
        <v>49</v>
      </c>
      <c r="L11467" s="27"/>
    </row>
    <row r="11468" customFormat="false" ht="15" hidden="false" customHeight="false" outlineLevel="0" collapsed="false">
      <c r="A11468" s="26" t="s">
        <v>27851</v>
      </c>
      <c r="B11468" s="27" t="s">
        <v>27852</v>
      </c>
      <c r="C11468" s="27" t="s">
        <v>137</v>
      </c>
      <c r="D11468" s="26"/>
      <c r="E11468" s="27"/>
      <c r="F11468" s="27"/>
      <c r="G11468" s="27" t="s">
        <v>11122</v>
      </c>
      <c r="H11468" s="27" t="s">
        <v>35</v>
      </c>
      <c r="I11468" s="27" t="s">
        <v>38</v>
      </c>
      <c r="J11468" s="28" t="s">
        <v>1232</v>
      </c>
      <c r="K11468" s="27" t="s">
        <v>49</v>
      </c>
      <c r="L11468" s="27"/>
    </row>
    <row r="11469" customFormat="false" ht="15" hidden="false" customHeight="false" outlineLevel="0" collapsed="false">
      <c r="A11469" s="26" t="s">
        <v>27853</v>
      </c>
      <c r="B11469" s="27" t="s">
        <v>27854</v>
      </c>
      <c r="C11469" s="27" t="s">
        <v>100</v>
      </c>
      <c r="D11469" s="26"/>
      <c r="E11469" s="27"/>
      <c r="F11469" s="27"/>
      <c r="G11469" s="27" t="s">
        <v>11122</v>
      </c>
      <c r="H11469" s="27" t="s">
        <v>35</v>
      </c>
      <c r="I11469" s="27" t="s">
        <v>37</v>
      </c>
      <c r="J11469" s="28" t="s">
        <v>1232</v>
      </c>
      <c r="K11469" s="27" t="s">
        <v>49</v>
      </c>
      <c r="L11469" s="27"/>
    </row>
    <row r="11470" customFormat="false" ht="15" hidden="false" customHeight="false" outlineLevel="0" collapsed="false">
      <c r="A11470" s="26" t="s">
        <v>27855</v>
      </c>
      <c r="B11470" s="27" t="s">
        <v>27856</v>
      </c>
      <c r="C11470" s="27" t="s">
        <v>137</v>
      </c>
      <c r="D11470" s="26"/>
      <c r="E11470" s="27"/>
      <c r="F11470" s="27"/>
      <c r="G11470" s="27" t="s">
        <v>11122</v>
      </c>
      <c r="H11470" s="27" t="s">
        <v>35</v>
      </c>
      <c r="I11470" s="27" t="s">
        <v>45</v>
      </c>
      <c r="J11470" s="28" t="s">
        <v>1232</v>
      </c>
      <c r="K11470" s="27" t="s">
        <v>49</v>
      </c>
      <c r="L11470" s="27"/>
    </row>
    <row r="11471" customFormat="false" ht="15" hidden="false" customHeight="false" outlineLevel="0" collapsed="false">
      <c r="A11471" s="26" t="s">
        <v>27857</v>
      </c>
      <c r="B11471" s="27" t="s">
        <v>27858</v>
      </c>
      <c r="C11471" s="27" t="s">
        <v>380</v>
      </c>
      <c r="D11471" s="26"/>
      <c r="E11471" s="27"/>
      <c r="F11471" s="27"/>
      <c r="G11471" s="27" t="s">
        <v>11122</v>
      </c>
      <c r="H11471" s="27" t="s">
        <v>35</v>
      </c>
      <c r="I11471" s="27" t="s">
        <v>45</v>
      </c>
      <c r="J11471" s="28" t="s">
        <v>1232</v>
      </c>
      <c r="K11471" s="27" t="s">
        <v>49</v>
      </c>
      <c r="L11471" s="27"/>
    </row>
    <row r="11472" customFormat="false" ht="15" hidden="false" customHeight="false" outlineLevel="0" collapsed="false">
      <c r="A11472" s="26" t="s">
        <v>27859</v>
      </c>
      <c r="B11472" s="27" t="s">
        <v>27860</v>
      </c>
      <c r="C11472" s="27" t="s">
        <v>137</v>
      </c>
      <c r="D11472" s="26"/>
      <c r="E11472" s="27"/>
      <c r="F11472" s="27"/>
      <c r="G11472" s="27" t="s">
        <v>11122</v>
      </c>
      <c r="H11472" s="27" t="s">
        <v>35</v>
      </c>
      <c r="I11472" s="27" t="s">
        <v>45</v>
      </c>
      <c r="J11472" s="28" t="s">
        <v>1232</v>
      </c>
      <c r="K11472" s="27" t="s">
        <v>49</v>
      </c>
      <c r="L11472" s="27"/>
    </row>
    <row r="11473" customFormat="false" ht="15" hidden="false" customHeight="false" outlineLevel="0" collapsed="false">
      <c r="A11473" s="26" t="s">
        <v>27861</v>
      </c>
      <c r="B11473" s="27" t="s">
        <v>27862</v>
      </c>
      <c r="C11473" s="27" t="s">
        <v>144</v>
      </c>
      <c r="D11473" s="26"/>
      <c r="E11473" s="27"/>
      <c r="F11473" s="27"/>
      <c r="G11473" s="27" t="s">
        <v>11122</v>
      </c>
      <c r="H11473" s="27" t="s">
        <v>35</v>
      </c>
      <c r="I11473" s="27" t="s">
        <v>45</v>
      </c>
      <c r="J11473" s="28" t="s">
        <v>1232</v>
      </c>
      <c r="K11473" s="27" t="s">
        <v>49</v>
      </c>
      <c r="L11473" s="27"/>
    </row>
    <row r="11474" customFormat="false" ht="15" hidden="false" customHeight="false" outlineLevel="0" collapsed="false">
      <c r="A11474" s="26" t="s">
        <v>27863</v>
      </c>
      <c r="B11474" s="27" t="s">
        <v>27864</v>
      </c>
      <c r="C11474" s="27" t="s">
        <v>144</v>
      </c>
      <c r="D11474" s="26"/>
      <c r="E11474" s="27"/>
      <c r="F11474" s="27"/>
      <c r="G11474" s="27" t="s">
        <v>11122</v>
      </c>
      <c r="H11474" s="27" t="s">
        <v>35</v>
      </c>
      <c r="I11474" s="27" t="s">
        <v>45</v>
      </c>
      <c r="J11474" s="28" t="s">
        <v>1232</v>
      </c>
      <c r="K11474" s="27" t="s">
        <v>49</v>
      </c>
      <c r="L11474" s="27"/>
    </row>
    <row r="11475" customFormat="false" ht="15" hidden="false" customHeight="false" outlineLevel="0" collapsed="false">
      <c r="A11475" s="26" t="s">
        <v>27865</v>
      </c>
      <c r="B11475" s="27" t="s">
        <v>27866</v>
      </c>
      <c r="C11475" s="27" t="s">
        <v>380</v>
      </c>
      <c r="D11475" s="26"/>
      <c r="E11475" s="27"/>
      <c r="F11475" s="27"/>
      <c r="G11475" s="27" t="s">
        <v>11122</v>
      </c>
      <c r="H11475" s="27" t="s">
        <v>35</v>
      </c>
      <c r="I11475" s="27" t="s">
        <v>39</v>
      </c>
      <c r="J11475" s="28" t="s">
        <v>1232</v>
      </c>
      <c r="K11475" s="27" t="s">
        <v>49</v>
      </c>
      <c r="L11475" s="27"/>
    </row>
    <row r="11476" customFormat="false" ht="15" hidden="false" customHeight="false" outlineLevel="0" collapsed="false">
      <c r="A11476" s="26" t="s">
        <v>27867</v>
      </c>
      <c r="B11476" s="27" t="s">
        <v>27868</v>
      </c>
      <c r="C11476" s="27" t="s">
        <v>380</v>
      </c>
      <c r="D11476" s="26"/>
      <c r="E11476" s="27"/>
      <c r="F11476" s="27"/>
      <c r="G11476" s="27" t="s">
        <v>11122</v>
      </c>
      <c r="H11476" s="27" t="s">
        <v>35</v>
      </c>
      <c r="I11476" s="27" t="s">
        <v>39</v>
      </c>
      <c r="J11476" s="28" t="s">
        <v>1232</v>
      </c>
      <c r="K11476" s="27" t="s">
        <v>49</v>
      </c>
      <c r="L11476" s="27"/>
    </row>
    <row r="11477" customFormat="false" ht="15" hidden="false" customHeight="false" outlineLevel="0" collapsed="false">
      <c r="A11477" s="26" t="s">
        <v>27869</v>
      </c>
      <c r="B11477" s="27" t="s">
        <v>27870</v>
      </c>
      <c r="C11477" s="27" t="s">
        <v>380</v>
      </c>
      <c r="D11477" s="26"/>
      <c r="E11477" s="27"/>
      <c r="F11477" s="27"/>
      <c r="G11477" s="27" t="s">
        <v>11122</v>
      </c>
      <c r="H11477" s="27" t="s">
        <v>35</v>
      </c>
      <c r="I11477" s="27" t="s">
        <v>39</v>
      </c>
      <c r="J11477" s="28" t="s">
        <v>1232</v>
      </c>
      <c r="K11477" s="27" t="s">
        <v>49</v>
      </c>
      <c r="L11477" s="27"/>
    </row>
    <row r="11478" customFormat="false" ht="15" hidden="false" customHeight="false" outlineLevel="0" collapsed="false">
      <c r="A11478" s="26" t="s">
        <v>27871</v>
      </c>
      <c r="B11478" s="27" t="s">
        <v>27872</v>
      </c>
      <c r="C11478" s="27" t="s">
        <v>137</v>
      </c>
      <c r="D11478" s="26"/>
      <c r="E11478" s="27"/>
      <c r="F11478" s="27"/>
      <c r="G11478" s="27" t="s">
        <v>11122</v>
      </c>
      <c r="H11478" s="27" t="s">
        <v>35</v>
      </c>
      <c r="I11478" s="27" t="s">
        <v>44</v>
      </c>
      <c r="J11478" s="28" t="s">
        <v>1232</v>
      </c>
      <c r="K11478" s="27" t="s">
        <v>49</v>
      </c>
      <c r="L11478" s="27"/>
    </row>
    <row r="11479" customFormat="false" ht="15" hidden="false" customHeight="false" outlineLevel="0" collapsed="false">
      <c r="A11479" s="26" t="s">
        <v>27873</v>
      </c>
      <c r="B11479" s="27" t="s">
        <v>27874</v>
      </c>
      <c r="C11479" s="27" t="s">
        <v>137</v>
      </c>
      <c r="D11479" s="26"/>
      <c r="E11479" s="27"/>
      <c r="F11479" s="27"/>
      <c r="G11479" s="27" t="s">
        <v>11122</v>
      </c>
      <c r="H11479" s="27" t="s">
        <v>35</v>
      </c>
      <c r="I11479" s="27" t="s">
        <v>45</v>
      </c>
      <c r="J11479" s="28" t="s">
        <v>1232</v>
      </c>
      <c r="K11479" s="27" t="s">
        <v>49</v>
      </c>
      <c r="L11479" s="27"/>
    </row>
    <row r="11480" customFormat="false" ht="15" hidden="false" customHeight="false" outlineLevel="0" collapsed="false">
      <c r="A11480" s="26" t="s">
        <v>27875</v>
      </c>
      <c r="B11480" s="27" t="s">
        <v>27876</v>
      </c>
      <c r="C11480" s="27" t="s">
        <v>144</v>
      </c>
      <c r="D11480" s="26"/>
      <c r="E11480" s="27"/>
      <c r="F11480" s="27"/>
      <c r="G11480" s="27" t="s">
        <v>11122</v>
      </c>
      <c r="H11480" s="27" t="s">
        <v>35</v>
      </c>
      <c r="I11480" s="27" t="s">
        <v>38</v>
      </c>
      <c r="J11480" s="28" t="s">
        <v>1232</v>
      </c>
      <c r="K11480" s="27" t="s">
        <v>49</v>
      </c>
      <c r="L11480" s="27"/>
    </row>
    <row r="11481" customFormat="false" ht="15" hidden="false" customHeight="false" outlineLevel="0" collapsed="false">
      <c r="A11481" s="26" t="s">
        <v>27877</v>
      </c>
      <c r="B11481" s="27" t="s">
        <v>27878</v>
      </c>
      <c r="C11481" s="27" t="s">
        <v>137</v>
      </c>
      <c r="D11481" s="26"/>
      <c r="E11481" s="27"/>
      <c r="F11481" s="27"/>
      <c r="G11481" s="27" t="s">
        <v>11122</v>
      </c>
      <c r="H11481" s="27" t="s">
        <v>35</v>
      </c>
      <c r="I11481" s="27" t="s">
        <v>38</v>
      </c>
      <c r="J11481" s="28" t="s">
        <v>1232</v>
      </c>
      <c r="K11481" s="27" t="s">
        <v>49</v>
      </c>
      <c r="L11481" s="27"/>
    </row>
    <row r="11482" customFormat="false" ht="15" hidden="false" customHeight="false" outlineLevel="0" collapsed="false">
      <c r="A11482" s="26" t="s">
        <v>27879</v>
      </c>
      <c r="B11482" s="27" t="s">
        <v>27880</v>
      </c>
      <c r="C11482" s="27" t="s">
        <v>137</v>
      </c>
      <c r="D11482" s="26"/>
      <c r="E11482" s="27"/>
      <c r="F11482" s="27"/>
      <c r="G11482" s="27" t="s">
        <v>11122</v>
      </c>
      <c r="H11482" s="27" t="s">
        <v>35</v>
      </c>
      <c r="I11482" s="27" t="s">
        <v>38</v>
      </c>
      <c r="J11482" s="28" t="s">
        <v>1232</v>
      </c>
      <c r="K11482" s="27" t="s">
        <v>49</v>
      </c>
      <c r="L11482" s="27"/>
    </row>
    <row r="11483" customFormat="false" ht="15" hidden="false" customHeight="false" outlineLevel="0" collapsed="false">
      <c r="A11483" s="26" t="s">
        <v>27881</v>
      </c>
      <c r="B11483" s="27" t="s">
        <v>27882</v>
      </c>
      <c r="C11483" s="27" t="s">
        <v>1845</v>
      </c>
      <c r="D11483" s="26"/>
      <c r="E11483" s="27"/>
      <c r="F11483" s="27"/>
      <c r="G11483" s="27" t="s">
        <v>11122</v>
      </c>
      <c r="H11483" s="27" t="s">
        <v>35</v>
      </c>
      <c r="I11483" s="27" t="s">
        <v>44</v>
      </c>
      <c r="J11483" s="28" t="s">
        <v>1232</v>
      </c>
      <c r="K11483" s="27" t="s">
        <v>49</v>
      </c>
      <c r="L11483" s="27"/>
    </row>
    <row r="11484" customFormat="false" ht="15" hidden="false" customHeight="false" outlineLevel="0" collapsed="false">
      <c r="A11484" s="26" t="s">
        <v>27883</v>
      </c>
      <c r="B11484" s="27" t="s">
        <v>27884</v>
      </c>
      <c r="C11484" s="27" t="s">
        <v>137</v>
      </c>
      <c r="D11484" s="26"/>
      <c r="E11484" s="27"/>
      <c r="F11484" s="27"/>
      <c r="G11484" s="27" t="s">
        <v>11122</v>
      </c>
      <c r="H11484" s="27" t="s">
        <v>35</v>
      </c>
      <c r="I11484" s="27" t="s">
        <v>44</v>
      </c>
      <c r="J11484" s="28" t="s">
        <v>1232</v>
      </c>
      <c r="K11484" s="27" t="s">
        <v>49</v>
      </c>
      <c r="L11484" s="27"/>
    </row>
    <row r="11485" customFormat="false" ht="15" hidden="false" customHeight="false" outlineLevel="0" collapsed="false">
      <c r="A11485" s="26" t="s">
        <v>27885</v>
      </c>
      <c r="B11485" s="27" t="s">
        <v>27886</v>
      </c>
      <c r="C11485" s="27" t="s">
        <v>1845</v>
      </c>
      <c r="D11485" s="26"/>
      <c r="E11485" s="27"/>
      <c r="F11485" s="27"/>
      <c r="G11485" s="27" t="s">
        <v>11122</v>
      </c>
      <c r="H11485" s="27" t="s">
        <v>35</v>
      </c>
      <c r="I11485" s="27" t="s">
        <v>45</v>
      </c>
      <c r="J11485" s="28" t="s">
        <v>1232</v>
      </c>
      <c r="K11485" s="27" t="s">
        <v>49</v>
      </c>
      <c r="L11485" s="27"/>
    </row>
    <row r="11486" customFormat="false" ht="15" hidden="false" customHeight="false" outlineLevel="0" collapsed="false">
      <c r="A11486" s="26" t="s">
        <v>27887</v>
      </c>
      <c r="B11486" s="27" t="s">
        <v>27888</v>
      </c>
      <c r="C11486" s="27" t="s">
        <v>1845</v>
      </c>
      <c r="D11486" s="26"/>
      <c r="E11486" s="27"/>
      <c r="F11486" s="27"/>
      <c r="G11486" s="27" t="s">
        <v>11122</v>
      </c>
      <c r="H11486" s="27" t="s">
        <v>35</v>
      </c>
      <c r="I11486" s="27" t="s">
        <v>45</v>
      </c>
      <c r="J11486" s="28" t="s">
        <v>1232</v>
      </c>
      <c r="K11486" s="27" t="s">
        <v>49</v>
      </c>
      <c r="L11486" s="27"/>
    </row>
    <row r="11487" customFormat="false" ht="15" hidden="false" customHeight="false" outlineLevel="0" collapsed="false">
      <c r="A11487" s="26" t="s">
        <v>27889</v>
      </c>
      <c r="B11487" s="27" t="s">
        <v>27890</v>
      </c>
      <c r="C11487" s="27" t="s">
        <v>380</v>
      </c>
      <c r="D11487" s="26"/>
      <c r="E11487" s="27"/>
      <c r="F11487" s="27"/>
      <c r="G11487" s="27" t="s">
        <v>11122</v>
      </c>
      <c r="H11487" s="27" t="s">
        <v>35</v>
      </c>
      <c r="I11487" s="27" t="s">
        <v>44</v>
      </c>
      <c r="J11487" s="28" t="s">
        <v>1232</v>
      </c>
      <c r="K11487" s="27" t="s">
        <v>49</v>
      </c>
      <c r="L11487" s="27"/>
    </row>
    <row r="11488" customFormat="false" ht="15" hidden="false" customHeight="false" outlineLevel="0" collapsed="false">
      <c r="A11488" s="26" t="s">
        <v>27891</v>
      </c>
      <c r="B11488" s="27" t="s">
        <v>27892</v>
      </c>
      <c r="C11488" s="27" t="s">
        <v>144</v>
      </c>
      <c r="D11488" s="26"/>
      <c r="E11488" s="27"/>
      <c r="F11488" s="27"/>
      <c r="G11488" s="27" t="s">
        <v>11122</v>
      </c>
      <c r="H11488" s="27" t="s">
        <v>35</v>
      </c>
      <c r="I11488" s="27" t="s">
        <v>38</v>
      </c>
      <c r="J11488" s="28" t="s">
        <v>1232</v>
      </c>
      <c r="K11488" s="27" t="s">
        <v>49</v>
      </c>
      <c r="L11488" s="27"/>
    </row>
    <row r="11489" customFormat="false" ht="15" hidden="false" customHeight="false" outlineLevel="0" collapsed="false">
      <c r="A11489" s="26" t="s">
        <v>27893</v>
      </c>
      <c r="B11489" s="27" t="s">
        <v>27894</v>
      </c>
      <c r="C11489" s="27" t="s">
        <v>1845</v>
      </c>
      <c r="D11489" s="26"/>
      <c r="E11489" s="27"/>
      <c r="F11489" s="27"/>
      <c r="G11489" s="27" t="s">
        <v>11122</v>
      </c>
      <c r="H11489" s="27" t="s">
        <v>35</v>
      </c>
      <c r="I11489" s="27" t="s">
        <v>45</v>
      </c>
      <c r="J11489" s="28" t="s">
        <v>1232</v>
      </c>
      <c r="K11489" s="27" t="s">
        <v>49</v>
      </c>
      <c r="L11489" s="27"/>
    </row>
    <row r="11490" customFormat="false" ht="15" hidden="false" customHeight="false" outlineLevel="0" collapsed="false">
      <c r="A11490" s="26" t="s">
        <v>27895</v>
      </c>
      <c r="B11490" s="27" t="s">
        <v>27896</v>
      </c>
      <c r="C11490" s="27" t="s">
        <v>1845</v>
      </c>
      <c r="D11490" s="26"/>
      <c r="E11490" s="27"/>
      <c r="F11490" s="27"/>
      <c r="G11490" s="27" t="s">
        <v>11122</v>
      </c>
      <c r="H11490" s="27" t="s">
        <v>35</v>
      </c>
      <c r="I11490" s="27" t="s">
        <v>45</v>
      </c>
      <c r="J11490" s="28" t="s">
        <v>1232</v>
      </c>
      <c r="K11490" s="27" t="s">
        <v>49</v>
      </c>
      <c r="L11490" s="27"/>
    </row>
    <row r="11491" customFormat="false" ht="15" hidden="false" customHeight="false" outlineLevel="0" collapsed="false">
      <c r="A11491" s="26" t="s">
        <v>27897</v>
      </c>
      <c r="B11491" s="27" t="s">
        <v>27898</v>
      </c>
      <c r="C11491" s="27" t="s">
        <v>137</v>
      </c>
      <c r="D11491" s="26"/>
      <c r="E11491" s="27"/>
      <c r="F11491" s="27"/>
      <c r="G11491" s="27" t="s">
        <v>11122</v>
      </c>
      <c r="H11491" s="27" t="s">
        <v>35</v>
      </c>
      <c r="I11491" s="27" t="s">
        <v>45</v>
      </c>
      <c r="J11491" s="28" t="s">
        <v>1232</v>
      </c>
      <c r="K11491" s="27" t="s">
        <v>49</v>
      </c>
      <c r="L11491" s="27"/>
    </row>
    <row r="11492" customFormat="false" ht="15" hidden="false" customHeight="false" outlineLevel="0" collapsed="false">
      <c r="A11492" s="26" t="s">
        <v>27899</v>
      </c>
      <c r="B11492" s="27" t="s">
        <v>27900</v>
      </c>
      <c r="C11492" s="27" t="s">
        <v>137</v>
      </c>
      <c r="D11492" s="26"/>
      <c r="E11492" s="27"/>
      <c r="F11492" s="27"/>
      <c r="G11492" s="27" t="s">
        <v>11122</v>
      </c>
      <c r="H11492" s="27" t="s">
        <v>35</v>
      </c>
      <c r="I11492" s="27" t="s">
        <v>45</v>
      </c>
      <c r="J11492" s="28" t="s">
        <v>1232</v>
      </c>
      <c r="K11492" s="27" t="s">
        <v>49</v>
      </c>
      <c r="L11492" s="27"/>
    </row>
    <row r="11493" customFormat="false" ht="15" hidden="false" customHeight="false" outlineLevel="0" collapsed="false">
      <c r="A11493" s="26" t="s">
        <v>27901</v>
      </c>
      <c r="B11493" s="27" t="s">
        <v>27902</v>
      </c>
      <c r="C11493" s="27" t="s">
        <v>137</v>
      </c>
      <c r="D11493" s="26"/>
      <c r="E11493" s="27"/>
      <c r="F11493" s="27"/>
      <c r="G11493" s="27" t="s">
        <v>11122</v>
      </c>
      <c r="H11493" s="27" t="s">
        <v>35</v>
      </c>
      <c r="I11493" s="27" t="s">
        <v>45</v>
      </c>
      <c r="J11493" s="28" t="s">
        <v>1232</v>
      </c>
      <c r="K11493" s="27" t="s">
        <v>49</v>
      </c>
      <c r="L11493" s="27"/>
    </row>
    <row r="11494" customFormat="false" ht="15" hidden="false" customHeight="false" outlineLevel="0" collapsed="false">
      <c r="A11494" s="26" t="s">
        <v>27903</v>
      </c>
      <c r="B11494" s="27" t="s">
        <v>27904</v>
      </c>
      <c r="C11494" s="27" t="s">
        <v>137</v>
      </c>
      <c r="D11494" s="26"/>
      <c r="E11494" s="27"/>
      <c r="F11494" s="27"/>
      <c r="G11494" s="27" t="s">
        <v>11122</v>
      </c>
      <c r="H11494" s="27" t="s">
        <v>35</v>
      </c>
      <c r="I11494" s="27" t="s">
        <v>42</v>
      </c>
      <c r="J11494" s="28" t="s">
        <v>1232</v>
      </c>
      <c r="K11494" s="27" t="s">
        <v>49</v>
      </c>
      <c r="L11494" s="27"/>
    </row>
    <row r="11495" customFormat="false" ht="15" hidden="false" customHeight="false" outlineLevel="0" collapsed="false">
      <c r="A11495" s="26" t="s">
        <v>27905</v>
      </c>
      <c r="B11495" s="27" t="s">
        <v>27906</v>
      </c>
      <c r="C11495" s="27" t="s">
        <v>137</v>
      </c>
      <c r="D11495" s="26"/>
      <c r="E11495" s="27"/>
      <c r="F11495" s="27"/>
      <c r="G11495" s="27" t="s">
        <v>11122</v>
      </c>
      <c r="H11495" s="27" t="s">
        <v>35</v>
      </c>
      <c r="I11495" s="27" t="s">
        <v>45</v>
      </c>
      <c r="J11495" s="28" t="s">
        <v>1232</v>
      </c>
      <c r="K11495" s="27" t="s">
        <v>49</v>
      </c>
      <c r="L11495" s="27"/>
    </row>
    <row r="11496" customFormat="false" ht="15" hidden="false" customHeight="false" outlineLevel="0" collapsed="false">
      <c r="A11496" s="26" t="s">
        <v>27907</v>
      </c>
      <c r="B11496" s="27" t="s">
        <v>27908</v>
      </c>
      <c r="C11496" s="27" t="s">
        <v>137</v>
      </c>
      <c r="D11496" s="26"/>
      <c r="E11496" s="27"/>
      <c r="F11496" s="27"/>
      <c r="G11496" s="27" t="s">
        <v>11122</v>
      </c>
      <c r="H11496" s="27" t="s">
        <v>35</v>
      </c>
      <c r="I11496" s="27" t="s">
        <v>44</v>
      </c>
      <c r="J11496" s="28" t="s">
        <v>1232</v>
      </c>
      <c r="K11496" s="27" t="s">
        <v>49</v>
      </c>
      <c r="L11496" s="27"/>
    </row>
    <row r="11497" customFormat="false" ht="15" hidden="false" customHeight="false" outlineLevel="0" collapsed="false">
      <c r="A11497" s="26" t="s">
        <v>27909</v>
      </c>
      <c r="B11497" s="27" t="s">
        <v>27910</v>
      </c>
      <c r="C11497" s="27" t="s">
        <v>380</v>
      </c>
      <c r="D11497" s="26"/>
      <c r="E11497" s="27"/>
      <c r="F11497" s="27"/>
      <c r="G11497" s="27" t="s">
        <v>11122</v>
      </c>
      <c r="H11497" s="27" t="s">
        <v>35</v>
      </c>
      <c r="I11497" s="27" t="s">
        <v>44</v>
      </c>
      <c r="J11497" s="28" t="s">
        <v>1232</v>
      </c>
      <c r="K11497" s="27" t="s">
        <v>49</v>
      </c>
      <c r="L11497" s="27"/>
    </row>
    <row r="11498" customFormat="false" ht="15" hidden="false" customHeight="false" outlineLevel="0" collapsed="false">
      <c r="A11498" s="26" t="s">
        <v>27911</v>
      </c>
      <c r="B11498" s="27" t="s">
        <v>27912</v>
      </c>
      <c r="C11498" s="27" t="s">
        <v>1845</v>
      </c>
      <c r="D11498" s="26"/>
      <c r="E11498" s="27"/>
      <c r="F11498" s="27"/>
      <c r="G11498" s="27" t="s">
        <v>11122</v>
      </c>
      <c r="H11498" s="27" t="s">
        <v>35</v>
      </c>
      <c r="I11498" s="27" t="s">
        <v>45</v>
      </c>
      <c r="J11498" s="28" t="s">
        <v>1232</v>
      </c>
      <c r="K11498" s="27" t="s">
        <v>49</v>
      </c>
      <c r="L11498" s="27"/>
    </row>
    <row r="11499" customFormat="false" ht="15" hidden="false" customHeight="false" outlineLevel="0" collapsed="false">
      <c r="A11499" s="26" t="s">
        <v>27913</v>
      </c>
      <c r="B11499" s="27" t="s">
        <v>27914</v>
      </c>
      <c r="C11499" s="27" t="s">
        <v>137</v>
      </c>
      <c r="D11499" s="26"/>
      <c r="E11499" s="27"/>
      <c r="F11499" s="27"/>
      <c r="G11499" s="27" t="s">
        <v>11122</v>
      </c>
      <c r="H11499" s="27" t="s">
        <v>35</v>
      </c>
      <c r="I11499" s="27" t="s">
        <v>44</v>
      </c>
      <c r="J11499" s="28" t="s">
        <v>1232</v>
      </c>
      <c r="K11499" s="27" t="s">
        <v>49</v>
      </c>
      <c r="L11499" s="27"/>
    </row>
    <row r="11500" customFormat="false" ht="15" hidden="false" customHeight="false" outlineLevel="0" collapsed="false">
      <c r="A11500" s="26" t="s">
        <v>27915</v>
      </c>
      <c r="B11500" s="27" t="s">
        <v>27916</v>
      </c>
      <c r="C11500" s="27" t="s">
        <v>1845</v>
      </c>
      <c r="D11500" s="26"/>
      <c r="E11500" s="27"/>
      <c r="F11500" s="27"/>
      <c r="G11500" s="27" t="s">
        <v>11122</v>
      </c>
      <c r="H11500" s="27" t="s">
        <v>35</v>
      </c>
      <c r="I11500" s="27" t="s">
        <v>45</v>
      </c>
      <c r="J11500" s="28" t="s">
        <v>1232</v>
      </c>
      <c r="K11500" s="27" t="s">
        <v>49</v>
      </c>
      <c r="L11500" s="27"/>
    </row>
    <row r="11501" customFormat="false" ht="15" hidden="false" customHeight="false" outlineLevel="0" collapsed="false">
      <c r="A11501" s="26" t="s">
        <v>27917</v>
      </c>
      <c r="B11501" s="27" t="s">
        <v>27918</v>
      </c>
      <c r="C11501" s="27" t="s">
        <v>1845</v>
      </c>
      <c r="D11501" s="26"/>
      <c r="E11501" s="27"/>
      <c r="F11501" s="27"/>
      <c r="G11501" s="27" t="s">
        <v>11122</v>
      </c>
      <c r="H11501" s="27" t="s">
        <v>35</v>
      </c>
      <c r="I11501" s="27" t="s">
        <v>44</v>
      </c>
      <c r="J11501" s="28" t="s">
        <v>1232</v>
      </c>
      <c r="K11501" s="27" t="s">
        <v>49</v>
      </c>
      <c r="L11501" s="27"/>
    </row>
    <row r="11502" customFormat="false" ht="15" hidden="false" customHeight="false" outlineLevel="0" collapsed="false">
      <c r="A11502" s="26" t="s">
        <v>27919</v>
      </c>
      <c r="B11502" s="27" t="s">
        <v>27920</v>
      </c>
      <c r="C11502" s="27" t="s">
        <v>1845</v>
      </c>
      <c r="D11502" s="26"/>
      <c r="E11502" s="27"/>
      <c r="F11502" s="27"/>
      <c r="G11502" s="27" t="s">
        <v>11122</v>
      </c>
      <c r="H11502" s="27" t="s">
        <v>35</v>
      </c>
      <c r="I11502" s="27" t="s">
        <v>45</v>
      </c>
      <c r="J11502" s="28" t="s">
        <v>1232</v>
      </c>
      <c r="K11502" s="27" t="s">
        <v>49</v>
      </c>
      <c r="L11502" s="27"/>
    </row>
    <row r="11503" customFormat="false" ht="15" hidden="false" customHeight="false" outlineLevel="0" collapsed="false">
      <c r="A11503" s="26" t="s">
        <v>27921</v>
      </c>
      <c r="B11503" s="27" t="s">
        <v>27922</v>
      </c>
      <c r="C11503" s="27" t="s">
        <v>137</v>
      </c>
      <c r="D11503" s="26"/>
      <c r="E11503" s="27"/>
      <c r="F11503" s="27"/>
      <c r="G11503" s="27" t="s">
        <v>11122</v>
      </c>
      <c r="H11503" s="27" t="s">
        <v>35</v>
      </c>
      <c r="I11503" s="27" t="s">
        <v>45</v>
      </c>
      <c r="J11503" s="28" t="s">
        <v>1232</v>
      </c>
      <c r="K11503" s="27" t="s">
        <v>49</v>
      </c>
      <c r="L11503" s="27"/>
    </row>
    <row r="11504" customFormat="false" ht="15" hidden="false" customHeight="false" outlineLevel="0" collapsed="false">
      <c r="A11504" s="26" t="s">
        <v>27923</v>
      </c>
      <c r="B11504" s="27" t="s">
        <v>27924</v>
      </c>
      <c r="C11504" s="27" t="s">
        <v>137</v>
      </c>
      <c r="D11504" s="26"/>
      <c r="E11504" s="27"/>
      <c r="F11504" s="27"/>
      <c r="G11504" s="27" t="s">
        <v>11122</v>
      </c>
      <c r="H11504" s="27" t="s">
        <v>35</v>
      </c>
      <c r="I11504" s="27" t="s">
        <v>45</v>
      </c>
      <c r="J11504" s="28" t="s">
        <v>1232</v>
      </c>
      <c r="K11504" s="27" t="s">
        <v>49</v>
      </c>
      <c r="L11504" s="27"/>
    </row>
    <row r="11505" customFormat="false" ht="15" hidden="false" customHeight="false" outlineLevel="0" collapsed="false">
      <c r="A11505" s="26" t="s">
        <v>27925</v>
      </c>
      <c r="B11505" s="27" t="s">
        <v>27926</v>
      </c>
      <c r="C11505" s="27" t="s">
        <v>137</v>
      </c>
      <c r="D11505" s="26"/>
      <c r="E11505" s="27"/>
      <c r="F11505" s="27"/>
      <c r="G11505" s="27" t="s">
        <v>11122</v>
      </c>
      <c r="H11505" s="27" t="s">
        <v>35</v>
      </c>
      <c r="I11505" s="27" t="s">
        <v>44</v>
      </c>
      <c r="J11505" s="28" t="s">
        <v>1232</v>
      </c>
      <c r="K11505" s="27" t="s">
        <v>49</v>
      </c>
      <c r="L11505" s="27"/>
    </row>
    <row r="11506" customFormat="false" ht="15" hidden="false" customHeight="false" outlineLevel="0" collapsed="false">
      <c r="A11506" s="26" t="s">
        <v>27927</v>
      </c>
      <c r="B11506" s="27" t="s">
        <v>27928</v>
      </c>
      <c r="C11506" s="27" t="s">
        <v>137</v>
      </c>
      <c r="D11506" s="26"/>
      <c r="E11506" s="27"/>
      <c r="F11506" s="27"/>
      <c r="G11506" s="27" t="s">
        <v>11122</v>
      </c>
      <c r="H11506" s="27" t="s">
        <v>35</v>
      </c>
      <c r="I11506" s="27" t="s">
        <v>45</v>
      </c>
      <c r="J11506" s="28" t="s">
        <v>1232</v>
      </c>
      <c r="K11506" s="27" t="s">
        <v>49</v>
      </c>
      <c r="L11506" s="27"/>
    </row>
    <row r="11507" customFormat="false" ht="15" hidden="false" customHeight="false" outlineLevel="0" collapsed="false">
      <c r="A11507" s="26" t="s">
        <v>27929</v>
      </c>
      <c r="B11507" s="27" t="s">
        <v>27930</v>
      </c>
      <c r="C11507" s="27" t="s">
        <v>137</v>
      </c>
      <c r="D11507" s="26"/>
      <c r="E11507" s="27"/>
      <c r="F11507" s="27"/>
      <c r="G11507" s="27" t="s">
        <v>11122</v>
      </c>
      <c r="H11507" s="27" t="s">
        <v>35</v>
      </c>
      <c r="I11507" s="27" t="s">
        <v>45</v>
      </c>
      <c r="J11507" s="28" t="s">
        <v>1232</v>
      </c>
      <c r="K11507" s="27" t="s">
        <v>49</v>
      </c>
      <c r="L11507" s="27"/>
    </row>
    <row r="11508" customFormat="false" ht="15" hidden="false" customHeight="false" outlineLevel="0" collapsed="false">
      <c r="A11508" s="26" t="s">
        <v>27931</v>
      </c>
      <c r="B11508" s="27" t="s">
        <v>27932</v>
      </c>
      <c r="C11508" s="27" t="s">
        <v>1845</v>
      </c>
      <c r="D11508" s="26"/>
      <c r="E11508" s="27"/>
      <c r="F11508" s="27"/>
      <c r="G11508" s="27" t="s">
        <v>11122</v>
      </c>
      <c r="H11508" s="27" t="s">
        <v>35</v>
      </c>
      <c r="I11508" s="27" t="s">
        <v>44</v>
      </c>
      <c r="J11508" s="28" t="s">
        <v>1232</v>
      </c>
      <c r="K11508" s="27" t="s">
        <v>49</v>
      </c>
      <c r="L11508" s="27"/>
    </row>
    <row r="11509" customFormat="false" ht="15" hidden="false" customHeight="false" outlineLevel="0" collapsed="false">
      <c r="A11509" s="26" t="s">
        <v>27933</v>
      </c>
      <c r="B11509" s="27" t="s">
        <v>27934</v>
      </c>
      <c r="C11509" s="27" t="s">
        <v>1845</v>
      </c>
      <c r="D11509" s="26"/>
      <c r="E11509" s="27"/>
      <c r="F11509" s="27"/>
      <c r="G11509" s="27" t="s">
        <v>11122</v>
      </c>
      <c r="H11509" s="27" t="s">
        <v>35</v>
      </c>
      <c r="I11509" s="27" t="s">
        <v>45</v>
      </c>
      <c r="J11509" s="28" t="s">
        <v>1232</v>
      </c>
      <c r="K11509" s="27" t="s">
        <v>49</v>
      </c>
      <c r="L11509" s="27"/>
    </row>
    <row r="11510" customFormat="false" ht="15" hidden="false" customHeight="false" outlineLevel="0" collapsed="false">
      <c r="A11510" s="26" t="s">
        <v>27935</v>
      </c>
      <c r="B11510" s="27" t="s">
        <v>27936</v>
      </c>
      <c r="C11510" s="27" t="s">
        <v>137</v>
      </c>
      <c r="D11510" s="26"/>
      <c r="E11510" s="27"/>
      <c r="F11510" s="27"/>
      <c r="G11510" s="27" t="s">
        <v>11122</v>
      </c>
      <c r="H11510" s="27" t="s">
        <v>35</v>
      </c>
      <c r="I11510" s="27" t="s">
        <v>39</v>
      </c>
      <c r="J11510" s="28" t="s">
        <v>1232</v>
      </c>
      <c r="K11510" s="27" t="s">
        <v>49</v>
      </c>
      <c r="L11510" s="27"/>
    </row>
    <row r="11511" customFormat="false" ht="15" hidden="false" customHeight="false" outlineLevel="0" collapsed="false">
      <c r="A11511" s="26" t="s">
        <v>27937</v>
      </c>
      <c r="B11511" s="27" t="s">
        <v>27938</v>
      </c>
      <c r="C11511" s="27" t="s">
        <v>1845</v>
      </c>
      <c r="D11511" s="26"/>
      <c r="E11511" s="27"/>
      <c r="F11511" s="27"/>
      <c r="G11511" s="27" t="s">
        <v>11122</v>
      </c>
      <c r="H11511" s="27" t="s">
        <v>35</v>
      </c>
      <c r="I11511" s="27" t="s">
        <v>45</v>
      </c>
      <c r="J11511" s="28" t="s">
        <v>1232</v>
      </c>
      <c r="K11511" s="27" t="s">
        <v>49</v>
      </c>
      <c r="L11511" s="27"/>
    </row>
    <row r="11512" customFormat="false" ht="15" hidden="false" customHeight="false" outlineLevel="0" collapsed="false">
      <c r="A11512" s="26" t="s">
        <v>27939</v>
      </c>
      <c r="B11512" s="27" t="s">
        <v>27940</v>
      </c>
      <c r="C11512" s="27" t="s">
        <v>137</v>
      </c>
      <c r="D11512" s="26"/>
      <c r="E11512" s="27"/>
      <c r="F11512" s="27"/>
      <c r="G11512" s="27" t="s">
        <v>11122</v>
      </c>
      <c r="H11512" s="27" t="s">
        <v>35</v>
      </c>
      <c r="I11512" s="27" t="s">
        <v>45</v>
      </c>
      <c r="J11512" s="28" t="s">
        <v>1232</v>
      </c>
      <c r="K11512" s="27" t="s">
        <v>49</v>
      </c>
      <c r="L11512" s="27"/>
    </row>
    <row r="11513" customFormat="false" ht="15" hidden="false" customHeight="false" outlineLevel="0" collapsed="false">
      <c r="A11513" s="26" t="s">
        <v>27941</v>
      </c>
      <c r="B11513" s="27" t="s">
        <v>27942</v>
      </c>
      <c r="C11513" s="27" t="s">
        <v>380</v>
      </c>
      <c r="D11513" s="26"/>
      <c r="E11513" s="27"/>
      <c r="F11513" s="27"/>
      <c r="G11513" s="27" t="s">
        <v>11122</v>
      </c>
      <c r="H11513" s="27" t="s">
        <v>35</v>
      </c>
      <c r="I11513" s="27" t="s">
        <v>45</v>
      </c>
      <c r="J11513" s="28" t="s">
        <v>1232</v>
      </c>
      <c r="K11513" s="27" t="s">
        <v>49</v>
      </c>
      <c r="L11513" s="27"/>
    </row>
    <row r="11514" customFormat="false" ht="15" hidden="false" customHeight="false" outlineLevel="0" collapsed="false">
      <c r="A11514" s="26" t="s">
        <v>27943</v>
      </c>
      <c r="B11514" s="27" t="s">
        <v>27944</v>
      </c>
      <c r="C11514" s="27" t="s">
        <v>380</v>
      </c>
      <c r="D11514" s="26"/>
      <c r="E11514" s="27"/>
      <c r="F11514" s="27"/>
      <c r="G11514" s="27" t="s">
        <v>11122</v>
      </c>
      <c r="H11514" s="27" t="s">
        <v>35</v>
      </c>
      <c r="I11514" s="27" t="s">
        <v>45</v>
      </c>
      <c r="J11514" s="28" t="s">
        <v>1232</v>
      </c>
      <c r="K11514" s="27" t="s">
        <v>49</v>
      </c>
      <c r="L11514" s="27"/>
    </row>
    <row r="11515" customFormat="false" ht="15" hidden="false" customHeight="false" outlineLevel="0" collapsed="false">
      <c r="A11515" s="26" t="s">
        <v>27945</v>
      </c>
      <c r="B11515" s="27" t="s">
        <v>27946</v>
      </c>
      <c r="C11515" s="27" t="s">
        <v>144</v>
      </c>
      <c r="D11515" s="26"/>
      <c r="E11515" s="27"/>
      <c r="F11515" s="27"/>
      <c r="G11515" s="27" t="s">
        <v>11122</v>
      </c>
      <c r="H11515" s="27" t="s">
        <v>35</v>
      </c>
      <c r="I11515" s="27" t="s">
        <v>44</v>
      </c>
      <c r="J11515" s="28" t="s">
        <v>1232</v>
      </c>
      <c r="K11515" s="27" t="s">
        <v>49</v>
      </c>
      <c r="L11515" s="27"/>
    </row>
    <row r="11516" customFormat="false" ht="15" hidden="false" customHeight="false" outlineLevel="0" collapsed="false">
      <c r="A11516" s="26" t="s">
        <v>27947</v>
      </c>
      <c r="B11516" s="27" t="s">
        <v>27948</v>
      </c>
      <c r="C11516" s="27" t="s">
        <v>144</v>
      </c>
      <c r="D11516" s="26"/>
      <c r="E11516" s="27"/>
      <c r="F11516" s="27"/>
      <c r="G11516" s="27" t="s">
        <v>11122</v>
      </c>
      <c r="H11516" s="27" t="s">
        <v>35</v>
      </c>
      <c r="I11516" s="27" t="s">
        <v>44</v>
      </c>
      <c r="J11516" s="28" t="s">
        <v>1232</v>
      </c>
      <c r="K11516" s="27" t="s">
        <v>49</v>
      </c>
      <c r="L11516" s="27"/>
    </row>
    <row r="11517" customFormat="false" ht="15" hidden="false" customHeight="false" outlineLevel="0" collapsed="false">
      <c r="A11517" s="26" t="s">
        <v>27949</v>
      </c>
      <c r="B11517" s="27" t="s">
        <v>27950</v>
      </c>
      <c r="C11517" s="27" t="s">
        <v>144</v>
      </c>
      <c r="D11517" s="26"/>
      <c r="E11517" s="27"/>
      <c r="F11517" s="27"/>
      <c r="G11517" s="27" t="s">
        <v>11122</v>
      </c>
      <c r="H11517" s="27" t="s">
        <v>35</v>
      </c>
      <c r="I11517" s="27" t="s">
        <v>44</v>
      </c>
      <c r="J11517" s="28" t="s">
        <v>1232</v>
      </c>
      <c r="K11517" s="27" t="s">
        <v>49</v>
      </c>
      <c r="L11517" s="27"/>
    </row>
    <row r="11518" customFormat="false" ht="15" hidden="false" customHeight="false" outlineLevel="0" collapsed="false">
      <c r="A11518" s="26" t="s">
        <v>27951</v>
      </c>
      <c r="B11518" s="27" t="s">
        <v>27952</v>
      </c>
      <c r="C11518" s="27" t="s">
        <v>144</v>
      </c>
      <c r="D11518" s="26"/>
      <c r="E11518" s="27"/>
      <c r="F11518" s="27"/>
      <c r="G11518" s="27" t="s">
        <v>11122</v>
      </c>
      <c r="H11518" s="27" t="s">
        <v>35</v>
      </c>
      <c r="I11518" s="27" t="s">
        <v>44</v>
      </c>
      <c r="J11518" s="28" t="s">
        <v>1232</v>
      </c>
      <c r="K11518" s="27" t="s">
        <v>49</v>
      </c>
      <c r="L11518" s="27"/>
    </row>
    <row r="11519" customFormat="false" ht="15" hidden="false" customHeight="false" outlineLevel="0" collapsed="false">
      <c r="A11519" s="26" t="s">
        <v>27953</v>
      </c>
      <c r="B11519" s="27" t="s">
        <v>27954</v>
      </c>
      <c r="C11519" s="27" t="s">
        <v>144</v>
      </c>
      <c r="D11519" s="26"/>
      <c r="E11519" s="27"/>
      <c r="F11519" s="27"/>
      <c r="G11519" s="27" t="s">
        <v>11122</v>
      </c>
      <c r="H11519" s="27" t="s">
        <v>35</v>
      </c>
      <c r="I11519" s="27" t="s">
        <v>44</v>
      </c>
      <c r="J11519" s="28" t="s">
        <v>1232</v>
      </c>
      <c r="K11519" s="27" t="s">
        <v>49</v>
      </c>
      <c r="L11519" s="27"/>
    </row>
    <row r="11520" customFormat="false" ht="15" hidden="false" customHeight="false" outlineLevel="0" collapsed="false">
      <c r="A11520" s="26" t="s">
        <v>27955</v>
      </c>
      <c r="B11520" s="27" t="s">
        <v>27956</v>
      </c>
      <c r="C11520" s="27" t="s">
        <v>144</v>
      </c>
      <c r="D11520" s="26"/>
      <c r="E11520" s="27"/>
      <c r="F11520" s="27"/>
      <c r="G11520" s="27" t="s">
        <v>11122</v>
      </c>
      <c r="H11520" s="27" t="s">
        <v>35</v>
      </c>
      <c r="I11520" s="27" t="s">
        <v>44</v>
      </c>
      <c r="J11520" s="28" t="s">
        <v>1232</v>
      </c>
      <c r="K11520" s="27" t="s">
        <v>49</v>
      </c>
      <c r="L11520" s="27"/>
    </row>
    <row r="11521" customFormat="false" ht="15" hidden="false" customHeight="false" outlineLevel="0" collapsed="false">
      <c r="A11521" s="26" t="s">
        <v>27957</v>
      </c>
      <c r="B11521" s="28" t="s">
        <v>27958</v>
      </c>
      <c r="C11521" s="27" t="s">
        <v>144</v>
      </c>
      <c r="D11521" s="26"/>
      <c r="E11521" s="27"/>
      <c r="F11521" s="27"/>
      <c r="G11521" s="27" t="s">
        <v>11122</v>
      </c>
      <c r="H11521" s="27" t="s">
        <v>35</v>
      </c>
      <c r="I11521" s="27" t="s">
        <v>44</v>
      </c>
      <c r="J11521" s="28" t="s">
        <v>1232</v>
      </c>
      <c r="K11521" s="27" t="s">
        <v>49</v>
      </c>
      <c r="L11521" s="27"/>
    </row>
    <row r="11522" customFormat="false" ht="15" hidden="false" customHeight="false" outlineLevel="0" collapsed="false">
      <c r="A11522" s="26" t="s">
        <v>27959</v>
      </c>
      <c r="B11522" s="27" t="s">
        <v>27960</v>
      </c>
      <c r="C11522" s="27" t="s">
        <v>144</v>
      </c>
      <c r="D11522" s="26"/>
      <c r="E11522" s="27"/>
      <c r="F11522" s="27"/>
      <c r="G11522" s="27" t="s">
        <v>11122</v>
      </c>
      <c r="H11522" s="27" t="s">
        <v>35</v>
      </c>
      <c r="I11522" s="27" t="s">
        <v>44</v>
      </c>
      <c r="J11522" s="28" t="s">
        <v>1232</v>
      </c>
      <c r="K11522" s="27" t="s">
        <v>49</v>
      </c>
      <c r="L11522" s="27"/>
    </row>
    <row r="11523" customFormat="false" ht="15" hidden="false" customHeight="false" outlineLevel="0" collapsed="false">
      <c r="A11523" s="26" t="s">
        <v>27961</v>
      </c>
      <c r="B11523" s="27" t="s">
        <v>27962</v>
      </c>
      <c r="C11523" s="27" t="s">
        <v>144</v>
      </c>
      <c r="D11523" s="26"/>
      <c r="E11523" s="27"/>
      <c r="F11523" s="27"/>
      <c r="G11523" s="27" t="s">
        <v>11122</v>
      </c>
      <c r="H11523" s="27" t="s">
        <v>35</v>
      </c>
      <c r="I11523" s="27" t="s">
        <v>44</v>
      </c>
      <c r="J11523" s="28" t="s">
        <v>1232</v>
      </c>
      <c r="K11523" s="27" t="s">
        <v>49</v>
      </c>
      <c r="L11523" s="27"/>
    </row>
    <row r="11524" customFormat="false" ht="15" hidden="false" customHeight="false" outlineLevel="0" collapsed="false">
      <c r="A11524" s="26" t="s">
        <v>27963</v>
      </c>
      <c r="B11524" s="27" t="s">
        <v>27964</v>
      </c>
      <c r="C11524" s="27" t="s">
        <v>1845</v>
      </c>
      <c r="D11524" s="26"/>
      <c r="E11524" s="27"/>
      <c r="F11524" s="27"/>
      <c r="G11524" s="27" t="s">
        <v>11122</v>
      </c>
      <c r="H11524" s="27" t="s">
        <v>35</v>
      </c>
      <c r="I11524" s="27" t="s">
        <v>45</v>
      </c>
      <c r="J11524" s="28" t="s">
        <v>1232</v>
      </c>
      <c r="K11524" s="27" t="s">
        <v>49</v>
      </c>
      <c r="L11524" s="27"/>
    </row>
    <row r="11525" customFormat="false" ht="15" hidden="false" customHeight="false" outlineLevel="0" collapsed="false">
      <c r="A11525" s="26" t="s">
        <v>27965</v>
      </c>
      <c r="B11525" s="27" t="s">
        <v>27966</v>
      </c>
      <c r="C11525" s="27" t="s">
        <v>144</v>
      </c>
      <c r="D11525" s="26"/>
      <c r="E11525" s="27"/>
      <c r="F11525" s="27"/>
      <c r="G11525" s="27" t="s">
        <v>11122</v>
      </c>
      <c r="H11525" s="27" t="s">
        <v>35</v>
      </c>
      <c r="I11525" s="27" t="s">
        <v>44</v>
      </c>
      <c r="J11525" s="28" t="s">
        <v>1232</v>
      </c>
      <c r="K11525" s="27" t="s">
        <v>49</v>
      </c>
      <c r="L11525" s="27"/>
    </row>
    <row r="11526" customFormat="false" ht="15" hidden="false" customHeight="false" outlineLevel="0" collapsed="false">
      <c r="A11526" s="26" t="s">
        <v>27967</v>
      </c>
      <c r="B11526" s="27" t="s">
        <v>27968</v>
      </c>
      <c r="C11526" s="27" t="s">
        <v>144</v>
      </c>
      <c r="D11526" s="26"/>
      <c r="E11526" s="27"/>
      <c r="F11526" s="27"/>
      <c r="G11526" s="27" t="s">
        <v>11122</v>
      </c>
      <c r="H11526" s="27" t="s">
        <v>35</v>
      </c>
      <c r="I11526" s="27" t="s">
        <v>44</v>
      </c>
      <c r="J11526" s="28" t="s">
        <v>1232</v>
      </c>
      <c r="K11526" s="27" t="s">
        <v>49</v>
      </c>
      <c r="L11526" s="27"/>
    </row>
    <row r="11527" customFormat="false" ht="15" hidden="false" customHeight="false" outlineLevel="0" collapsed="false">
      <c r="A11527" s="26" t="s">
        <v>27969</v>
      </c>
      <c r="B11527" s="27" t="s">
        <v>27970</v>
      </c>
      <c r="C11527" s="27" t="s">
        <v>144</v>
      </c>
      <c r="D11527" s="26"/>
      <c r="E11527" s="27"/>
      <c r="F11527" s="27"/>
      <c r="G11527" s="27" t="s">
        <v>11122</v>
      </c>
      <c r="H11527" s="27" t="s">
        <v>35</v>
      </c>
      <c r="I11527" s="27" t="s">
        <v>44</v>
      </c>
      <c r="J11527" s="28" t="s">
        <v>1232</v>
      </c>
      <c r="K11527" s="27" t="s">
        <v>49</v>
      </c>
      <c r="L11527" s="27"/>
    </row>
    <row r="11528" customFormat="false" ht="15" hidden="false" customHeight="false" outlineLevel="0" collapsed="false">
      <c r="A11528" s="26" t="s">
        <v>27971</v>
      </c>
      <c r="B11528" s="27" t="s">
        <v>27972</v>
      </c>
      <c r="C11528" s="27" t="s">
        <v>144</v>
      </c>
      <c r="D11528" s="26"/>
      <c r="E11528" s="27"/>
      <c r="F11528" s="27"/>
      <c r="G11528" s="27" t="s">
        <v>11122</v>
      </c>
      <c r="H11528" s="27" t="s">
        <v>35</v>
      </c>
      <c r="I11528" s="27" t="s">
        <v>44</v>
      </c>
      <c r="J11528" s="28" t="s">
        <v>1232</v>
      </c>
      <c r="K11528" s="27" t="s">
        <v>49</v>
      </c>
      <c r="L11528" s="27"/>
    </row>
    <row r="11529" customFormat="false" ht="15" hidden="false" customHeight="false" outlineLevel="0" collapsed="false">
      <c r="A11529" s="26" t="s">
        <v>27973</v>
      </c>
      <c r="B11529" s="27" t="s">
        <v>27974</v>
      </c>
      <c r="C11529" s="27" t="s">
        <v>144</v>
      </c>
      <c r="D11529" s="26"/>
      <c r="E11529" s="27"/>
      <c r="F11529" s="27"/>
      <c r="G11529" s="27" t="s">
        <v>11122</v>
      </c>
      <c r="H11529" s="27" t="s">
        <v>35</v>
      </c>
      <c r="I11529" s="27" t="s">
        <v>44</v>
      </c>
      <c r="J11529" s="28" t="s">
        <v>1232</v>
      </c>
      <c r="K11529" s="27" t="s">
        <v>49</v>
      </c>
      <c r="L11529" s="27"/>
    </row>
    <row r="11530" customFormat="false" ht="15" hidden="false" customHeight="false" outlineLevel="0" collapsed="false">
      <c r="A11530" s="26" t="s">
        <v>27975</v>
      </c>
      <c r="B11530" s="27" t="s">
        <v>27976</v>
      </c>
      <c r="C11530" s="27" t="s">
        <v>144</v>
      </c>
      <c r="D11530" s="26"/>
      <c r="E11530" s="27"/>
      <c r="F11530" s="27"/>
      <c r="G11530" s="27" t="s">
        <v>11122</v>
      </c>
      <c r="H11530" s="27" t="s">
        <v>35</v>
      </c>
      <c r="I11530" s="27" t="s">
        <v>44</v>
      </c>
      <c r="J11530" s="28" t="s">
        <v>1232</v>
      </c>
      <c r="K11530" s="27" t="s">
        <v>49</v>
      </c>
      <c r="L11530" s="27"/>
    </row>
    <row r="11531" customFormat="false" ht="15" hidden="false" customHeight="false" outlineLevel="0" collapsed="false">
      <c r="A11531" s="26" t="s">
        <v>27977</v>
      </c>
      <c r="B11531" s="27" t="s">
        <v>27978</v>
      </c>
      <c r="C11531" s="27" t="s">
        <v>144</v>
      </c>
      <c r="D11531" s="26"/>
      <c r="E11531" s="27"/>
      <c r="F11531" s="27"/>
      <c r="G11531" s="27" t="s">
        <v>11122</v>
      </c>
      <c r="H11531" s="27" t="s">
        <v>35</v>
      </c>
      <c r="I11531" s="27" t="s">
        <v>44</v>
      </c>
      <c r="J11531" s="28" t="s">
        <v>1232</v>
      </c>
      <c r="K11531" s="27" t="s">
        <v>49</v>
      </c>
      <c r="L11531" s="27"/>
    </row>
    <row r="11532" customFormat="false" ht="15" hidden="false" customHeight="false" outlineLevel="0" collapsed="false">
      <c r="A11532" s="26" t="s">
        <v>27979</v>
      </c>
      <c r="B11532" s="27" t="s">
        <v>27980</v>
      </c>
      <c r="C11532" s="27" t="s">
        <v>144</v>
      </c>
      <c r="D11532" s="26"/>
      <c r="E11532" s="27"/>
      <c r="F11532" s="27"/>
      <c r="G11532" s="27" t="s">
        <v>11122</v>
      </c>
      <c r="H11532" s="27" t="s">
        <v>35</v>
      </c>
      <c r="I11532" s="27" t="s">
        <v>44</v>
      </c>
      <c r="J11532" s="28" t="s">
        <v>1232</v>
      </c>
      <c r="K11532" s="27" t="s">
        <v>49</v>
      </c>
      <c r="L11532" s="27"/>
    </row>
    <row r="11533" customFormat="false" ht="15" hidden="false" customHeight="false" outlineLevel="0" collapsed="false">
      <c r="A11533" s="26" t="s">
        <v>27981</v>
      </c>
      <c r="B11533" s="27" t="s">
        <v>27982</v>
      </c>
      <c r="C11533" s="27" t="s">
        <v>3373</v>
      </c>
      <c r="D11533" s="26"/>
      <c r="E11533" s="27"/>
      <c r="F11533" s="27"/>
      <c r="G11533" s="27" t="s">
        <v>11122</v>
      </c>
      <c r="H11533" s="27" t="s">
        <v>35</v>
      </c>
      <c r="I11533" s="27" t="s">
        <v>39</v>
      </c>
      <c r="J11533" s="28" t="s">
        <v>1232</v>
      </c>
      <c r="K11533" s="27" t="s">
        <v>49</v>
      </c>
      <c r="L11533" s="27"/>
    </row>
    <row r="11534" customFormat="false" ht="15" hidden="false" customHeight="false" outlineLevel="0" collapsed="false">
      <c r="A11534" s="26" t="s">
        <v>27983</v>
      </c>
      <c r="B11534" s="27" t="s">
        <v>27984</v>
      </c>
      <c r="C11534" s="27" t="s">
        <v>3373</v>
      </c>
      <c r="D11534" s="26"/>
      <c r="E11534" s="27"/>
      <c r="F11534" s="27"/>
      <c r="G11534" s="27" t="s">
        <v>11122</v>
      </c>
      <c r="H11534" s="27" t="s">
        <v>35</v>
      </c>
      <c r="I11534" s="27" t="s">
        <v>39</v>
      </c>
      <c r="J11534" s="28" t="s">
        <v>1232</v>
      </c>
      <c r="K11534" s="27" t="s">
        <v>49</v>
      </c>
      <c r="L11534" s="27"/>
    </row>
    <row r="11535" customFormat="false" ht="15" hidden="false" customHeight="false" outlineLevel="0" collapsed="false">
      <c r="A11535" s="26" t="s">
        <v>27985</v>
      </c>
      <c r="B11535" s="27" t="s">
        <v>27986</v>
      </c>
      <c r="C11535" s="27" t="s">
        <v>3373</v>
      </c>
      <c r="D11535" s="26"/>
      <c r="E11535" s="27"/>
      <c r="F11535" s="27"/>
      <c r="G11535" s="27" t="s">
        <v>11122</v>
      </c>
      <c r="H11535" s="27" t="s">
        <v>35</v>
      </c>
      <c r="I11535" s="27" t="s">
        <v>39</v>
      </c>
      <c r="J11535" s="28" t="s">
        <v>1232</v>
      </c>
      <c r="K11535" s="27" t="s">
        <v>49</v>
      </c>
      <c r="L11535" s="27"/>
    </row>
    <row r="11536" customFormat="false" ht="15" hidden="false" customHeight="false" outlineLevel="0" collapsed="false">
      <c r="A11536" s="26" t="s">
        <v>27987</v>
      </c>
      <c r="B11536" s="28" t="s">
        <v>27988</v>
      </c>
      <c r="C11536" s="27" t="s">
        <v>3373</v>
      </c>
      <c r="D11536" s="26"/>
      <c r="E11536" s="27"/>
      <c r="F11536" s="27"/>
      <c r="G11536" s="27" t="s">
        <v>11122</v>
      </c>
      <c r="H11536" s="27" t="s">
        <v>35</v>
      </c>
      <c r="I11536" s="27" t="s">
        <v>39</v>
      </c>
      <c r="J11536" s="28" t="s">
        <v>1232</v>
      </c>
      <c r="K11536" s="27" t="s">
        <v>49</v>
      </c>
      <c r="L11536" s="27"/>
    </row>
    <row r="11537" customFormat="false" ht="15" hidden="false" customHeight="false" outlineLevel="0" collapsed="false">
      <c r="A11537" s="26" t="s">
        <v>27989</v>
      </c>
      <c r="B11537" s="27" t="s">
        <v>27990</v>
      </c>
      <c r="C11537" s="27" t="s">
        <v>144</v>
      </c>
      <c r="D11537" s="26"/>
      <c r="E11537" s="27"/>
      <c r="F11537" s="27"/>
      <c r="G11537" s="27" t="s">
        <v>11122</v>
      </c>
      <c r="H11537" s="27" t="s">
        <v>35</v>
      </c>
      <c r="I11537" s="27" t="s">
        <v>44</v>
      </c>
      <c r="J11537" s="28" t="s">
        <v>1232</v>
      </c>
      <c r="K11537" s="27" t="s">
        <v>49</v>
      </c>
      <c r="L11537" s="27"/>
    </row>
    <row r="11538" customFormat="false" ht="15" hidden="false" customHeight="false" outlineLevel="0" collapsed="false">
      <c r="A11538" s="26" t="s">
        <v>27991</v>
      </c>
      <c r="B11538" s="27" t="s">
        <v>27992</v>
      </c>
      <c r="C11538" s="27" t="s">
        <v>3373</v>
      </c>
      <c r="D11538" s="26"/>
      <c r="E11538" s="27"/>
      <c r="F11538" s="27"/>
      <c r="G11538" s="27" t="s">
        <v>11122</v>
      </c>
      <c r="H11538" s="27" t="s">
        <v>35</v>
      </c>
      <c r="I11538" s="27" t="s">
        <v>39</v>
      </c>
      <c r="J11538" s="28" t="s">
        <v>1232</v>
      </c>
      <c r="K11538" s="27" t="s">
        <v>49</v>
      </c>
      <c r="L11538" s="27"/>
    </row>
    <row r="11539" customFormat="false" ht="15" hidden="false" customHeight="false" outlineLevel="0" collapsed="false">
      <c r="A11539" s="26" t="s">
        <v>27993</v>
      </c>
      <c r="B11539" s="28" t="s">
        <v>27994</v>
      </c>
      <c r="C11539" s="27" t="s">
        <v>144</v>
      </c>
      <c r="D11539" s="26"/>
      <c r="E11539" s="27"/>
      <c r="F11539" s="27"/>
      <c r="G11539" s="27" t="s">
        <v>11122</v>
      </c>
      <c r="H11539" s="27" t="s">
        <v>35</v>
      </c>
      <c r="I11539" s="27" t="s">
        <v>44</v>
      </c>
      <c r="J11539" s="28" t="s">
        <v>1232</v>
      </c>
      <c r="K11539" s="27" t="s">
        <v>49</v>
      </c>
      <c r="L11539" s="27"/>
    </row>
    <row r="11540" customFormat="false" ht="15" hidden="false" customHeight="false" outlineLevel="0" collapsed="false">
      <c r="A11540" s="26" t="s">
        <v>27995</v>
      </c>
      <c r="B11540" s="27" t="s">
        <v>27996</v>
      </c>
      <c r="C11540" s="27" t="s">
        <v>3373</v>
      </c>
      <c r="D11540" s="26"/>
      <c r="E11540" s="27"/>
      <c r="F11540" s="27"/>
      <c r="G11540" s="27" t="s">
        <v>11122</v>
      </c>
      <c r="H11540" s="27" t="s">
        <v>35</v>
      </c>
      <c r="I11540" s="27" t="s">
        <v>39</v>
      </c>
      <c r="J11540" s="28" t="s">
        <v>1232</v>
      </c>
      <c r="K11540" s="27" t="s">
        <v>49</v>
      </c>
      <c r="L11540" s="27"/>
    </row>
    <row r="11541" customFormat="false" ht="15" hidden="false" customHeight="false" outlineLevel="0" collapsed="false">
      <c r="A11541" s="26" t="s">
        <v>27997</v>
      </c>
      <c r="B11541" s="27" t="s">
        <v>27998</v>
      </c>
      <c r="C11541" s="27" t="s">
        <v>144</v>
      </c>
      <c r="D11541" s="26"/>
      <c r="E11541" s="27"/>
      <c r="F11541" s="27"/>
      <c r="G11541" s="27" t="s">
        <v>11122</v>
      </c>
      <c r="H11541" s="27" t="s">
        <v>35</v>
      </c>
      <c r="I11541" s="27" t="s">
        <v>39</v>
      </c>
      <c r="J11541" s="28" t="s">
        <v>1232</v>
      </c>
      <c r="K11541" s="27" t="s">
        <v>49</v>
      </c>
      <c r="L11541" s="27"/>
    </row>
    <row r="11542" customFormat="false" ht="15" hidden="false" customHeight="false" outlineLevel="0" collapsed="false">
      <c r="A11542" s="26" t="s">
        <v>27999</v>
      </c>
      <c r="B11542" s="27" t="s">
        <v>28000</v>
      </c>
      <c r="C11542" s="27" t="s">
        <v>144</v>
      </c>
      <c r="D11542" s="26"/>
      <c r="E11542" s="27"/>
      <c r="F11542" s="27"/>
      <c r="G11542" s="27" t="s">
        <v>11122</v>
      </c>
      <c r="H11542" s="27" t="s">
        <v>35</v>
      </c>
      <c r="I11542" s="27" t="s">
        <v>43</v>
      </c>
      <c r="J11542" s="28" t="s">
        <v>1232</v>
      </c>
      <c r="K11542" s="27" t="s">
        <v>49</v>
      </c>
      <c r="L11542" s="27"/>
    </row>
    <row r="11543" customFormat="false" ht="15" hidden="false" customHeight="false" outlineLevel="0" collapsed="false">
      <c r="A11543" s="26" t="s">
        <v>28001</v>
      </c>
      <c r="B11543" s="27" t="s">
        <v>28002</v>
      </c>
      <c r="C11543" s="27" t="s">
        <v>144</v>
      </c>
      <c r="D11543" s="26"/>
      <c r="E11543" s="27"/>
      <c r="F11543" s="27"/>
      <c r="G11543" s="27" t="s">
        <v>11122</v>
      </c>
      <c r="H11543" s="27" t="s">
        <v>35</v>
      </c>
      <c r="I11543" s="27" t="s">
        <v>43</v>
      </c>
      <c r="J11543" s="28" t="s">
        <v>1232</v>
      </c>
      <c r="K11543" s="27" t="s">
        <v>49</v>
      </c>
      <c r="L11543" s="27"/>
    </row>
    <row r="11544" customFormat="false" ht="15" hidden="false" customHeight="false" outlineLevel="0" collapsed="false">
      <c r="A11544" s="26" t="s">
        <v>28003</v>
      </c>
      <c r="B11544" s="27" t="s">
        <v>28004</v>
      </c>
      <c r="C11544" s="27" t="s">
        <v>144</v>
      </c>
      <c r="D11544" s="26"/>
      <c r="E11544" s="27"/>
      <c r="F11544" s="27"/>
      <c r="G11544" s="27" t="s">
        <v>11122</v>
      </c>
      <c r="H11544" s="27" t="s">
        <v>35</v>
      </c>
      <c r="I11544" s="27" t="s">
        <v>42</v>
      </c>
      <c r="J11544" s="28" t="s">
        <v>1232</v>
      </c>
      <c r="K11544" s="27" t="s">
        <v>49</v>
      </c>
      <c r="L11544" s="27"/>
    </row>
    <row r="11545" customFormat="false" ht="15" hidden="false" customHeight="false" outlineLevel="0" collapsed="false">
      <c r="A11545" s="26" t="s">
        <v>28005</v>
      </c>
      <c r="B11545" s="27" t="s">
        <v>28006</v>
      </c>
      <c r="C11545" s="27" t="s">
        <v>144</v>
      </c>
      <c r="D11545" s="26"/>
      <c r="E11545" s="27"/>
      <c r="F11545" s="27"/>
      <c r="G11545" s="27" t="s">
        <v>11122</v>
      </c>
      <c r="H11545" s="27" t="s">
        <v>35</v>
      </c>
      <c r="I11545" s="27" t="s">
        <v>39</v>
      </c>
      <c r="J11545" s="28" t="s">
        <v>1232</v>
      </c>
      <c r="K11545" s="27" t="s">
        <v>49</v>
      </c>
      <c r="L11545" s="27"/>
    </row>
    <row r="11546" customFormat="false" ht="15" hidden="false" customHeight="false" outlineLevel="0" collapsed="false">
      <c r="A11546" s="26" t="s">
        <v>28007</v>
      </c>
      <c r="B11546" s="27" t="s">
        <v>28008</v>
      </c>
      <c r="C11546" s="27" t="s">
        <v>137</v>
      </c>
      <c r="D11546" s="26"/>
      <c r="E11546" s="27"/>
      <c r="F11546" s="27"/>
      <c r="G11546" s="27" t="s">
        <v>11122</v>
      </c>
      <c r="H11546" s="27" t="s">
        <v>35</v>
      </c>
      <c r="I11546" s="27" t="s">
        <v>44</v>
      </c>
      <c r="J11546" s="28" t="s">
        <v>1232</v>
      </c>
      <c r="K11546" s="27" t="s">
        <v>49</v>
      </c>
      <c r="L11546" s="27"/>
    </row>
    <row r="11547" customFormat="false" ht="15" hidden="false" customHeight="false" outlineLevel="0" collapsed="false">
      <c r="A11547" s="26" t="s">
        <v>28009</v>
      </c>
      <c r="B11547" s="27" t="s">
        <v>28010</v>
      </c>
      <c r="C11547" s="27" t="s">
        <v>144</v>
      </c>
      <c r="D11547" s="26"/>
      <c r="E11547" s="27"/>
      <c r="F11547" s="27"/>
      <c r="G11547" s="27" t="s">
        <v>11122</v>
      </c>
      <c r="H11547" s="27" t="s">
        <v>35</v>
      </c>
      <c r="I11547" s="27" t="s">
        <v>39</v>
      </c>
      <c r="J11547" s="28" t="s">
        <v>1232</v>
      </c>
      <c r="K11547" s="27" t="s">
        <v>49</v>
      </c>
      <c r="L11547" s="27"/>
    </row>
    <row r="11548" customFormat="false" ht="15" hidden="false" customHeight="false" outlineLevel="0" collapsed="false">
      <c r="A11548" s="26" t="s">
        <v>28011</v>
      </c>
      <c r="B11548" s="27" t="s">
        <v>28012</v>
      </c>
      <c r="C11548" s="27" t="s">
        <v>144</v>
      </c>
      <c r="D11548" s="26"/>
      <c r="E11548" s="27"/>
      <c r="F11548" s="27"/>
      <c r="G11548" s="27" t="s">
        <v>11122</v>
      </c>
      <c r="H11548" s="27" t="s">
        <v>35</v>
      </c>
      <c r="I11548" s="27" t="s">
        <v>39</v>
      </c>
      <c r="J11548" s="28" t="s">
        <v>1232</v>
      </c>
      <c r="K11548" s="27" t="s">
        <v>49</v>
      </c>
      <c r="L11548" s="27"/>
    </row>
    <row r="11549" customFormat="false" ht="15" hidden="false" customHeight="false" outlineLevel="0" collapsed="false">
      <c r="A11549" s="26" t="s">
        <v>28013</v>
      </c>
      <c r="B11549" s="27" t="s">
        <v>28014</v>
      </c>
      <c r="C11549" s="27" t="s">
        <v>144</v>
      </c>
      <c r="D11549" s="26"/>
      <c r="E11549" s="27"/>
      <c r="F11549" s="27"/>
      <c r="G11549" s="27" t="s">
        <v>11122</v>
      </c>
      <c r="H11549" s="27" t="s">
        <v>35</v>
      </c>
      <c r="I11549" s="27" t="s">
        <v>38</v>
      </c>
      <c r="J11549" s="28" t="s">
        <v>1232</v>
      </c>
      <c r="K11549" s="27" t="s">
        <v>49</v>
      </c>
      <c r="L11549" s="27"/>
    </row>
    <row r="11550" customFormat="false" ht="15" hidden="false" customHeight="false" outlineLevel="0" collapsed="false">
      <c r="A11550" s="26" t="s">
        <v>28015</v>
      </c>
      <c r="B11550" s="27" t="s">
        <v>28016</v>
      </c>
      <c r="C11550" s="27" t="s">
        <v>144</v>
      </c>
      <c r="D11550" s="26"/>
      <c r="E11550" s="27"/>
      <c r="F11550" s="27"/>
      <c r="G11550" s="27" t="s">
        <v>11122</v>
      </c>
      <c r="H11550" s="27" t="s">
        <v>35</v>
      </c>
      <c r="I11550" s="27" t="s">
        <v>39</v>
      </c>
      <c r="J11550" s="28" t="s">
        <v>1232</v>
      </c>
      <c r="K11550" s="27" t="s">
        <v>49</v>
      </c>
      <c r="L11550" s="27"/>
    </row>
    <row r="11551" customFormat="false" ht="15" hidden="false" customHeight="false" outlineLevel="0" collapsed="false">
      <c r="A11551" s="26" t="s">
        <v>28017</v>
      </c>
      <c r="B11551" s="27" t="s">
        <v>28018</v>
      </c>
      <c r="C11551" s="27" t="s">
        <v>144</v>
      </c>
      <c r="D11551" s="26"/>
      <c r="E11551" s="27"/>
      <c r="F11551" s="27"/>
      <c r="G11551" s="27" t="s">
        <v>11122</v>
      </c>
      <c r="H11551" s="27" t="s">
        <v>35</v>
      </c>
      <c r="I11551" s="27" t="s">
        <v>39</v>
      </c>
      <c r="J11551" s="28" t="s">
        <v>1232</v>
      </c>
      <c r="K11551" s="27" t="s">
        <v>49</v>
      </c>
      <c r="L11551" s="27"/>
    </row>
    <row r="11552" customFormat="false" ht="15" hidden="false" customHeight="false" outlineLevel="0" collapsed="false">
      <c r="A11552" s="26" t="s">
        <v>28019</v>
      </c>
      <c r="B11552" s="27" t="s">
        <v>28020</v>
      </c>
      <c r="C11552" s="27" t="s">
        <v>144</v>
      </c>
      <c r="D11552" s="26"/>
      <c r="E11552" s="27"/>
      <c r="F11552" s="27"/>
      <c r="G11552" s="27" t="s">
        <v>11122</v>
      </c>
      <c r="H11552" s="27" t="s">
        <v>35</v>
      </c>
      <c r="I11552" s="27" t="s">
        <v>39</v>
      </c>
      <c r="J11552" s="28" t="s">
        <v>1232</v>
      </c>
      <c r="K11552" s="27" t="s">
        <v>49</v>
      </c>
      <c r="L11552" s="27"/>
    </row>
    <row r="11553" customFormat="false" ht="15" hidden="false" customHeight="false" outlineLevel="0" collapsed="false">
      <c r="A11553" s="26" t="s">
        <v>28021</v>
      </c>
      <c r="B11553" s="27" t="s">
        <v>28022</v>
      </c>
      <c r="C11553" s="27" t="s">
        <v>144</v>
      </c>
      <c r="D11553" s="26"/>
      <c r="E11553" s="27"/>
      <c r="F11553" s="27"/>
      <c r="G11553" s="27" t="s">
        <v>11122</v>
      </c>
      <c r="H11553" s="27" t="s">
        <v>35</v>
      </c>
      <c r="I11553" s="27" t="s">
        <v>39</v>
      </c>
      <c r="J11553" s="28" t="s">
        <v>1232</v>
      </c>
      <c r="K11553" s="27" t="s">
        <v>49</v>
      </c>
      <c r="L11553" s="27"/>
    </row>
    <row r="11554" customFormat="false" ht="15" hidden="false" customHeight="false" outlineLevel="0" collapsed="false">
      <c r="A11554" s="26" t="s">
        <v>28023</v>
      </c>
      <c r="B11554" s="27" t="s">
        <v>28024</v>
      </c>
      <c r="C11554" s="27" t="s">
        <v>144</v>
      </c>
      <c r="D11554" s="26"/>
      <c r="E11554" s="27"/>
      <c r="F11554" s="27"/>
      <c r="G11554" s="27" t="s">
        <v>11122</v>
      </c>
      <c r="H11554" s="27" t="s">
        <v>35</v>
      </c>
      <c r="I11554" s="27" t="s">
        <v>38</v>
      </c>
      <c r="J11554" s="28" t="s">
        <v>1232</v>
      </c>
      <c r="K11554" s="27" t="s">
        <v>49</v>
      </c>
      <c r="L11554" s="27"/>
    </row>
    <row r="11555" customFormat="false" ht="15" hidden="false" customHeight="false" outlineLevel="0" collapsed="false">
      <c r="A11555" s="26" t="s">
        <v>28025</v>
      </c>
      <c r="B11555" s="27" t="s">
        <v>28026</v>
      </c>
      <c r="C11555" s="27" t="s">
        <v>1845</v>
      </c>
      <c r="D11555" s="26"/>
      <c r="E11555" s="27"/>
      <c r="F11555" s="27"/>
      <c r="G11555" s="27" t="s">
        <v>11122</v>
      </c>
      <c r="H11555" s="27" t="s">
        <v>35</v>
      </c>
      <c r="I11555" s="27" t="s">
        <v>45</v>
      </c>
      <c r="J11555" s="28" t="s">
        <v>1232</v>
      </c>
      <c r="K11555" s="27" t="s">
        <v>49</v>
      </c>
      <c r="L11555" s="27"/>
    </row>
    <row r="11556" customFormat="false" ht="15" hidden="false" customHeight="false" outlineLevel="0" collapsed="false">
      <c r="A11556" s="26" t="s">
        <v>28027</v>
      </c>
      <c r="B11556" s="27" t="s">
        <v>28028</v>
      </c>
      <c r="C11556" s="27" t="s">
        <v>144</v>
      </c>
      <c r="D11556" s="26"/>
      <c r="E11556" s="27"/>
      <c r="F11556" s="27"/>
      <c r="G11556" s="27" t="s">
        <v>11122</v>
      </c>
      <c r="H11556" s="27" t="s">
        <v>35</v>
      </c>
      <c r="I11556" s="27" t="s">
        <v>44</v>
      </c>
      <c r="J11556" s="28" t="s">
        <v>1232</v>
      </c>
      <c r="K11556" s="27" t="s">
        <v>49</v>
      </c>
      <c r="L11556" s="27"/>
    </row>
    <row r="11557" customFormat="false" ht="15" hidden="false" customHeight="false" outlineLevel="0" collapsed="false">
      <c r="A11557" s="26" t="s">
        <v>28029</v>
      </c>
      <c r="B11557" s="27" t="s">
        <v>28030</v>
      </c>
      <c r="C11557" s="27" t="s">
        <v>1612</v>
      </c>
      <c r="D11557" s="26"/>
      <c r="E11557" s="27"/>
      <c r="F11557" s="27"/>
      <c r="G11557" s="27" t="s">
        <v>11122</v>
      </c>
      <c r="H11557" s="27" t="s">
        <v>35</v>
      </c>
      <c r="I11557" s="27" t="s">
        <v>39</v>
      </c>
      <c r="J11557" s="28" t="s">
        <v>1232</v>
      </c>
      <c r="K11557" s="27" t="s">
        <v>49</v>
      </c>
      <c r="L11557" s="27"/>
    </row>
    <row r="11558" customFormat="false" ht="15" hidden="false" customHeight="false" outlineLevel="0" collapsed="false">
      <c r="A11558" s="26" t="s">
        <v>28031</v>
      </c>
      <c r="B11558" s="27" t="s">
        <v>28032</v>
      </c>
      <c r="C11558" s="27" t="s">
        <v>1612</v>
      </c>
      <c r="D11558" s="26"/>
      <c r="E11558" s="27"/>
      <c r="F11558" s="27"/>
      <c r="G11558" s="27" t="s">
        <v>11122</v>
      </c>
      <c r="H11558" s="27" t="s">
        <v>35</v>
      </c>
      <c r="I11558" s="27" t="s">
        <v>39</v>
      </c>
      <c r="J11558" s="28" t="s">
        <v>1232</v>
      </c>
      <c r="K11558" s="27" t="s">
        <v>49</v>
      </c>
      <c r="L11558" s="27"/>
    </row>
    <row r="11559" customFormat="false" ht="15" hidden="false" customHeight="false" outlineLevel="0" collapsed="false">
      <c r="A11559" s="26" t="s">
        <v>28033</v>
      </c>
      <c r="B11559" s="27" t="s">
        <v>28034</v>
      </c>
      <c r="C11559" s="27" t="s">
        <v>1845</v>
      </c>
      <c r="D11559" s="26"/>
      <c r="E11559" s="27"/>
      <c r="F11559" s="27"/>
      <c r="G11559" s="27" t="s">
        <v>11122</v>
      </c>
      <c r="H11559" s="27" t="s">
        <v>35</v>
      </c>
      <c r="I11559" s="27" t="s">
        <v>45</v>
      </c>
      <c r="J11559" s="28" t="s">
        <v>1232</v>
      </c>
      <c r="K11559" s="27" t="s">
        <v>49</v>
      </c>
      <c r="L11559" s="27"/>
    </row>
    <row r="11560" customFormat="false" ht="15" hidden="false" customHeight="false" outlineLevel="0" collapsed="false">
      <c r="A11560" s="26" t="s">
        <v>28035</v>
      </c>
      <c r="B11560" s="27" t="s">
        <v>28036</v>
      </c>
      <c r="C11560" s="27" t="s">
        <v>137</v>
      </c>
      <c r="D11560" s="26"/>
      <c r="E11560" s="27"/>
      <c r="F11560" s="27"/>
      <c r="G11560" s="27" t="s">
        <v>11122</v>
      </c>
      <c r="H11560" s="27" t="s">
        <v>35</v>
      </c>
      <c r="I11560" s="27" t="s">
        <v>44</v>
      </c>
      <c r="J11560" s="28" t="s">
        <v>1232</v>
      </c>
      <c r="K11560" s="27" t="s">
        <v>49</v>
      </c>
      <c r="L11560" s="27"/>
    </row>
    <row r="11561" customFormat="false" ht="15" hidden="false" customHeight="false" outlineLevel="0" collapsed="false">
      <c r="A11561" s="26" t="s">
        <v>28037</v>
      </c>
      <c r="B11561" s="27" t="s">
        <v>28038</v>
      </c>
      <c r="C11561" s="27" t="s">
        <v>100</v>
      </c>
      <c r="D11561" s="26"/>
      <c r="E11561" s="27"/>
      <c r="F11561" s="27"/>
      <c r="G11561" s="27" t="s">
        <v>11122</v>
      </c>
      <c r="H11561" s="27" t="s">
        <v>35</v>
      </c>
      <c r="I11561" s="27" t="s">
        <v>49</v>
      </c>
      <c r="J11561" s="28" t="s">
        <v>1232</v>
      </c>
      <c r="K11561" s="27" t="s">
        <v>49</v>
      </c>
      <c r="L11561" s="27"/>
    </row>
    <row r="11562" customFormat="false" ht="15" hidden="false" customHeight="false" outlineLevel="0" collapsed="false">
      <c r="A11562" s="26" t="s">
        <v>28039</v>
      </c>
      <c r="B11562" s="27" t="s">
        <v>28040</v>
      </c>
      <c r="C11562" s="27" t="s">
        <v>100</v>
      </c>
      <c r="D11562" s="26"/>
      <c r="E11562" s="27"/>
      <c r="F11562" s="27"/>
      <c r="G11562" s="27" t="s">
        <v>11122</v>
      </c>
      <c r="H11562" s="27" t="s">
        <v>35</v>
      </c>
      <c r="I11562" s="27" t="s">
        <v>49</v>
      </c>
      <c r="J11562" s="28" t="s">
        <v>1232</v>
      </c>
      <c r="K11562" s="27" t="s">
        <v>49</v>
      </c>
      <c r="L11562" s="27"/>
    </row>
    <row r="11563" customFormat="false" ht="15" hidden="false" customHeight="false" outlineLevel="0" collapsed="false">
      <c r="A11563" s="26" t="s">
        <v>28041</v>
      </c>
      <c r="B11563" s="27" t="s">
        <v>28042</v>
      </c>
      <c r="C11563" s="27" t="s">
        <v>131</v>
      </c>
      <c r="D11563" s="26"/>
      <c r="E11563" s="27"/>
      <c r="F11563" s="27"/>
      <c r="G11563" s="27" t="s">
        <v>11122</v>
      </c>
      <c r="H11563" s="27" t="s">
        <v>35</v>
      </c>
      <c r="I11563" s="27" t="s">
        <v>49</v>
      </c>
      <c r="J11563" s="28" t="s">
        <v>1232</v>
      </c>
      <c r="K11563" s="27" t="s">
        <v>49</v>
      </c>
      <c r="L11563" s="27"/>
    </row>
    <row r="11564" customFormat="false" ht="15" hidden="false" customHeight="false" outlineLevel="0" collapsed="false">
      <c r="A11564" s="26" t="s">
        <v>28043</v>
      </c>
      <c r="B11564" s="27" t="s">
        <v>28044</v>
      </c>
      <c r="C11564" s="27" t="s">
        <v>100</v>
      </c>
      <c r="D11564" s="26"/>
      <c r="E11564" s="27"/>
      <c r="F11564" s="27"/>
      <c r="G11564" s="27" t="s">
        <v>11122</v>
      </c>
      <c r="H11564" s="27" t="s">
        <v>35</v>
      </c>
      <c r="I11564" s="27" t="s">
        <v>44</v>
      </c>
      <c r="J11564" s="28" t="s">
        <v>1232</v>
      </c>
      <c r="K11564" s="27" t="s">
        <v>49</v>
      </c>
      <c r="L11564" s="27"/>
    </row>
    <row r="11565" customFormat="false" ht="15" hidden="false" customHeight="false" outlineLevel="0" collapsed="false">
      <c r="A11565" s="26" t="s">
        <v>28045</v>
      </c>
      <c r="B11565" s="27" t="s">
        <v>28046</v>
      </c>
      <c r="C11565" s="27" t="s">
        <v>100</v>
      </c>
      <c r="D11565" s="26"/>
      <c r="E11565" s="27"/>
      <c r="F11565" s="27"/>
      <c r="G11565" s="27" t="s">
        <v>11122</v>
      </c>
      <c r="H11565" s="27" t="s">
        <v>35</v>
      </c>
      <c r="I11565" s="27" t="s">
        <v>49</v>
      </c>
      <c r="J11565" s="28" t="s">
        <v>1232</v>
      </c>
      <c r="K11565" s="27" t="s">
        <v>49</v>
      </c>
      <c r="L11565" s="27"/>
    </row>
    <row r="11566" customFormat="false" ht="15" hidden="false" customHeight="false" outlineLevel="0" collapsed="false">
      <c r="A11566" s="26" t="s">
        <v>28047</v>
      </c>
      <c r="B11566" s="27" t="s">
        <v>28048</v>
      </c>
      <c r="C11566" s="27" t="s">
        <v>100</v>
      </c>
      <c r="D11566" s="26"/>
      <c r="E11566" s="27"/>
      <c r="F11566" s="27"/>
      <c r="G11566" s="27" t="s">
        <v>11122</v>
      </c>
      <c r="H11566" s="27" t="s">
        <v>35</v>
      </c>
      <c r="I11566" s="27" t="s">
        <v>49</v>
      </c>
      <c r="J11566" s="28" t="s">
        <v>1232</v>
      </c>
      <c r="K11566" s="27" t="s">
        <v>49</v>
      </c>
      <c r="L11566" s="27"/>
    </row>
    <row r="11567" customFormat="false" ht="15" hidden="false" customHeight="false" outlineLevel="0" collapsed="false">
      <c r="A11567" s="26" t="s">
        <v>28049</v>
      </c>
      <c r="B11567" s="27" t="s">
        <v>28050</v>
      </c>
      <c r="C11567" s="27" t="s">
        <v>100</v>
      </c>
      <c r="D11567" s="26"/>
      <c r="E11567" s="27"/>
      <c r="F11567" s="27"/>
      <c r="G11567" s="27" t="s">
        <v>11122</v>
      </c>
      <c r="H11567" s="27" t="s">
        <v>35</v>
      </c>
      <c r="I11567" s="27" t="s">
        <v>49</v>
      </c>
      <c r="J11567" s="28" t="s">
        <v>1232</v>
      </c>
      <c r="K11567" s="27" t="s">
        <v>49</v>
      </c>
      <c r="L11567" s="27"/>
    </row>
    <row r="11568" customFormat="false" ht="15" hidden="false" customHeight="false" outlineLevel="0" collapsed="false">
      <c r="A11568" s="26" t="s">
        <v>28051</v>
      </c>
      <c r="B11568" s="27" t="s">
        <v>28052</v>
      </c>
      <c r="C11568" s="27" t="s">
        <v>100</v>
      </c>
      <c r="D11568" s="26"/>
      <c r="E11568" s="27"/>
      <c r="F11568" s="27"/>
      <c r="G11568" s="27" t="s">
        <v>11122</v>
      </c>
      <c r="H11568" s="27" t="s">
        <v>35</v>
      </c>
      <c r="I11568" s="27" t="s">
        <v>49</v>
      </c>
      <c r="J11568" s="28" t="s">
        <v>1232</v>
      </c>
      <c r="K11568" s="27" t="s">
        <v>49</v>
      </c>
      <c r="L11568" s="27"/>
    </row>
    <row r="11569" customFormat="false" ht="15" hidden="false" customHeight="false" outlineLevel="0" collapsed="false">
      <c r="A11569" s="26" t="s">
        <v>28053</v>
      </c>
      <c r="B11569" s="27" t="s">
        <v>28054</v>
      </c>
      <c r="C11569" s="27" t="s">
        <v>3053</v>
      </c>
      <c r="D11569" s="26"/>
      <c r="E11569" s="27"/>
      <c r="F11569" s="27"/>
      <c r="G11569" s="27" t="s">
        <v>11122</v>
      </c>
      <c r="H11569" s="27" t="s">
        <v>35</v>
      </c>
      <c r="I11569" s="27" t="s">
        <v>44</v>
      </c>
      <c r="J11569" s="28" t="s">
        <v>1232</v>
      </c>
      <c r="K11569" s="27" t="s">
        <v>49</v>
      </c>
      <c r="L11569" s="27"/>
    </row>
    <row r="11570" customFormat="false" ht="15" hidden="false" customHeight="false" outlineLevel="0" collapsed="false">
      <c r="A11570" s="26" t="s">
        <v>28055</v>
      </c>
      <c r="B11570" s="27" t="s">
        <v>28056</v>
      </c>
      <c r="C11570" s="27" t="s">
        <v>2041</v>
      </c>
      <c r="D11570" s="26"/>
      <c r="E11570" s="27"/>
      <c r="F11570" s="27"/>
      <c r="G11570" s="27" t="s">
        <v>11122</v>
      </c>
      <c r="H11570" s="27" t="s">
        <v>35</v>
      </c>
      <c r="I11570" s="27" t="s">
        <v>44</v>
      </c>
      <c r="J11570" s="28" t="s">
        <v>1232</v>
      </c>
      <c r="K11570" s="27" t="s">
        <v>49</v>
      </c>
      <c r="L11570" s="27"/>
    </row>
    <row r="11571" customFormat="false" ht="15" hidden="false" customHeight="false" outlineLevel="0" collapsed="false">
      <c r="A11571" s="26" t="s">
        <v>28057</v>
      </c>
      <c r="B11571" s="27" t="s">
        <v>28058</v>
      </c>
      <c r="C11571" s="27" t="s">
        <v>100</v>
      </c>
      <c r="D11571" s="26"/>
      <c r="E11571" s="27"/>
      <c r="F11571" s="27"/>
      <c r="G11571" s="27" t="s">
        <v>11122</v>
      </c>
      <c r="H11571" s="27" t="s">
        <v>35</v>
      </c>
      <c r="I11571" s="27" t="s">
        <v>49</v>
      </c>
      <c r="J11571" s="28" t="s">
        <v>1232</v>
      </c>
      <c r="K11571" s="27" t="s">
        <v>49</v>
      </c>
      <c r="L11571" s="27"/>
    </row>
    <row r="11572" customFormat="false" ht="15" hidden="false" customHeight="false" outlineLevel="0" collapsed="false">
      <c r="A11572" s="26" t="s">
        <v>28059</v>
      </c>
      <c r="B11572" s="27" t="s">
        <v>28060</v>
      </c>
      <c r="C11572" s="27" t="s">
        <v>100</v>
      </c>
      <c r="D11572" s="26"/>
      <c r="E11572" s="27"/>
      <c r="F11572" s="27"/>
      <c r="G11572" s="27" t="s">
        <v>11122</v>
      </c>
      <c r="H11572" s="27" t="s">
        <v>35</v>
      </c>
      <c r="I11572" s="27" t="s">
        <v>49</v>
      </c>
      <c r="J11572" s="28" t="s">
        <v>1232</v>
      </c>
      <c r="K11572" s="27" t="s">
        <v>49</v>
      </c>
      <c r="L11572" s="27"/>
    </row>
    <row r="11573" customFormat="false" ht="15" hidden="false" customHeight="false" outlineLevel="0" collapsed="false">
      <c r="A11573" s="26" t="s">
        <v>28061</v>
      </c>
      <c r="B11573" s="27" t="s">
        <v>28062</v>
      </c>
      <c r="C11573" s="27" t="s">
        <v>100</v>
      </c>
      <c r="D11573" s="26"/>
      <c r="E11573" s="27"/>
      <c r="F11573" s="27"/>
      <c r="G11573" s="27" t="s">
        <v>11122</v>
      </c>
      <c r="H11573" s="27" t="s">
        <v>35</v>
      </c>
      <c r="I11573" s="27" t="s">
        <v>43</v>
      </c>
      <c r="J11573" s="28" t="s">
        <v>1232</v>
      </c>
      <c r="K11573" s="27" t="s">
        <v>49</v>
      </c>
      <c r="L11573" s="27"/>
    </row>
    <row r="11574" customFormat="false" ht="15" hidden="false" customHeight="false" outlineLevel="0" collapsed="false">
      <c r="A11574" s="26" t="s">
        <v>28063</v>
      </c>
      <c r="B11574" s="27" t="s">
        <v>28064</v>
      </c>
      <c r="C11574" s="27" t="s">
        <v>100</v>
      </c>
      <c r="D11574" s="26"/>
      <c r="E11574" s="27"/>
      <c r="F11574" s="27"/>
      <c r="G11574" s="27" t="s">
        <v>11122</v>
      </c>
      <c r="H11574" s="27" t="s">
        <v>35</v>
      </c>
      <c r="I11574" s="27" t="s">
        <v>49</v>
      </c>
      <c r="J11574" s="28" t="s">
        <v>1232</v>
      </c>
      <c r="K11574" s="27" t="s">
        <v>49</v>
      </c>
      <c r="L11574" s="27"/>
    </row>
    <row r="11575" customFormat="false" ht="15" hidden="false" customHeight="false" outlineLevel="0" collapsed="false">
      <c r="A11575" s="26" t="s">
        <v>28065</v>
      </c>
      <c r="B11575" s="27" t="s">
        <v>28066</v>
      </c>
      <c r="C11575" s="27" t="s">
        <v>144</v>
      </c>
      <c r="D11575" s="26"/>
      <c r="E11575" s="27"/>
      <c r="F11575" s="27"/>
      <c r="G11575" s="27" t="s">
        <v>11122</v>
      </c>
      <c r="H11575" s="27" t="s">
        <v>35</v>
      </c>
      <c r="I11575" s="27" t="s">
        <v>41</v>
      </c>
      <c r="J11575" s="28" t="s">
        <v>1232</v>
      </c>
      <c r="K11575" s="27" t="s">
        <v>49</v>
      </c>
      <c r="L11575" s="27"/>
    </row>
    <row r="11576" customFormat="false" ht="15" hidden="false" customHeight="false" outlineLevel="0" collapsed="false">
      <c r="A11576" s="26" t="s">
        <v>28067</v>
      </c>
      <c r="B11576" s="27" t="s">
        <v>28068</v>
      </c>
      <c r="C11576" s="27" t="s">
        <v>100</v>
      </c>
      <c r="D11576" s="26"/>
      <c r="E11576" s="27"/>
      <c r="F11576" s="27"/>
      <c r="G11576" s="27" t="s">
        <v>11122</v>
      </c>
      <c r="H11576" s="27" t="s">
        <v>35</v>
      </c>
      <c r="I11576" s="27" t="s">
        <v>43</v>
      </c>
      <c r="J11576" s="28" t="s">
        <v>1232</v>
      </c>
      <c r="K11576" s="27" t="s">
        <v>49</v>
      </c>
      <c r="L11576" s="27"/>
    </row>
    <row r="11577" customFormat="false" ht="15" hidden="false" customHeight="false" outlineLevel="0" collapsed="false">
      <c r="A11577" s="26" t="s">
        <v>28069</v>
      </c>
      <c r="B11577" s="27" t="s">
        <v>28070</v>
      </c>
      <c r="C11577" s="27" t="s">
        <v>100</v>
      </c>
      <c r="D11577" s="26"/>
      <c r="E11577" s="27"/>
      <c r="F11577" s="27"/>
      <c r="G11577" s="27" t="s">
        <v>11122</v>
      </c>
      <c r="H11577" s="27" t="s">
        <v>35</v>
      </c>
      <c r="I11577" s="27" t="s">
        <v>37</v>
      </c>
      <c r="J11577" s="28" t="s">
        <v>1232</v>
      </c>
      <c r="K11577" s="27" t="s">
        <v>49</v>
      </c>
      <c r="L11577" s="27"/>
    </row>
    <row r="11578" customFormat="false" ht="15" hidden="false" customHeight="false" outlineLevel="0" collapsed="false">
      <c r="A11578" s="26" t="s">
        <v>28071</v>
      </c>
      <c r="B11578" s="27" t="s">
        <v>28072</v>
      </c>
      <c r="C11578" s="27" t="s">
        <v>100</v>
      </c>
      <c r="D11578" s="26"/>
      <c r="E11578" s="27"/>
      <c r="F11578" s="27"/>
      <c r="G11578" s="27" t="s">
        <v>11122</v>
      </c>
      <c r="H11578" s="27" t="s">
        <v>35</v>
      </c>
      <c r="I11578" s="27" t="s">
        <v>49</v>
      </c>
      <c r="J11578" s="28" t="s">
        <v>1232</v>
      </c>
      <c r="K11578" s="27" t="s">
        <v>49</v>
      </c>
      <c r="L11578" s="27"/>
    </row>
    <row r="11579" customFormat="false" ht="15" hidden="false" customHeight="false" outlineLevel="0" collapsed="false">
      <c r="A11579" s="26" t="s">
        <v>28073</v>
      </c>
      <c r="B11579" s="27" t="s">
        <v>28074</v>
      </c>
      <c r="C11579" s="27" t="s">
        <v>144</v>
      </c>
      <c r="D11579" s="26"/>
      <c r="E11579" s="27"/>
      <c r="F11579" s="27"/>
      <c r="G11579" s="27" t="s">
        <v>11122</v>
      </c>
      <c r="H11579" s="27" t="s">
        <v>35</v>
      </c>
      <c r="I11579" s="27" t="s">
        <v>49</v>
      </c>
      <c r="J11579" s="28" t="s">
        <v>1232</v>
      </c>
      <c r="K11579" s="27" t="s">
        <v>49</v>
      </c>
      <c r="L11579" s="27"/>
    </row>
    <row r="11580" customFormat="false" ht="15" hidden="false" customHeight="false" outlineLevel="0" collapsed="false">
      <c r="A11580" s="26" t="s">
        <v>28075</v>
      </c>
      <c r="B11580" s="27" t="s">
        <v>28076</v>
      </c>
      <c r="C11580" s="27" t="s">
        <v>144</v>
      </c>
      <c r="D11580" s="26"/>
      <c r="E11580" s="27"/>
      <c r="F11580" s="27"/>
      <c r="G11580" s="27" t="s">
        <v>11122</v>
      </c>
      <c r="H11580" s="27" t="s">
        <v>35</v>
      </c>
      <c r="I11580" s="27" t="s">
        <v>39</v>
      </c>
      <c r="J11580" s="28" t="s">
        <v>1232</v>
      </c>
      <c r="K11580" s="27" t="s">
        <v>49</v>
      </c>
      <c r="L11580" s="27"/>
    </row>
    <row r="11581" customFormat="false" ht="15" hidden="false" customHeight="false" outlineLevel="0" collapsed="false">
      <c r="A11581" s="26" t="s">
        <v>28077</v>
      </c>
      <c r="B11581" s="27" t="s">
        <v>28078</v>
      </c>
      <c r="C11581" s="27" t="s">
        <v>100</v>
      </c>
      <c r="D11581" s="26"/>
      <c r="E11581" s="27"/>
      <c r="F11581" s="27"/>
      <c r="G11581" s="27" t="s">
        <v>11122</v>
      </c>
      <c r="H11581" s="27" t="s">
        <v>35</v>
      </c>
      <c r="I11581" s="27" t="s">
        <v>49</v>
      </c>
      <c r="J11581" s="28" t="s">
        <v>1232</v>
      </c>
      <c r="K11581" s="27" t="s">
        <v>49</v>
      </c>
      <c r="L11581" s="27"/>
    </row>
    <row r="11582" customFormat="false" ht="15" hidden="false" customHeight="false" outlineLevel="0" collapsed="false">
      <c r="A11582" s="26" t="s">
        <v>28079</v>
      </c>
      <c r="B11582" s="27" t="s">
        <v>28080</v>
      </c>
      <c r="C11582" s="27" t="s">
        <v>100</v>
      </c>
      <c r="D11582" s="26"/>
      <c r="E11582" s="27"/>
      <c r="F11582" s="27"/>
      <c r="G11582" s="27" t="s">
        <v>11122</v>
      </c>
      <c r="H11582" s="27" t="s">
        <v>35</v>
      </c>
      <c r="I11582" s="27" t="s">
        <v>44</v>
      </c>
      <c r="J11582" s="28" t="s">
        <v>1232</v>
      </c>
      <c r="K11582" s="27" t="s">
        <v>49</v>
      </c>
      <c r="L11582" s="27"/>
    </row>
    <row r="11583" customFormat="false" ht="15" hidden="false" customHeight="false" outlineLevel="0" collapsed="false">
      <c r="A11583" s="26" t="s">
        <v>28081</v>
      </c>
      <c r="B11583" s="27" t="s">
        <v>28082</v>
      </c>
      <c r="C11583" s="27" t="s">
        <v>131</v>
      </c>
      <c r="D11583" s="26"/>
      <c r="E11583" s="27"/>
      <c r="F11583" s="27"/>
      <c r="G11583" s="27" t="s">
        <v>11122</v>
      </c>
      <c r="H11583" s="27" t="s">
        <v>35</v>
      </c>
      <c r="I11583" s="27" t="s">
        <v>37</v>
      </c>
      <c r="J11583" s="28" t="s">
        <v>1232</v>
      </c>
      <c r="K11583" s="27" t="s">
        <v>49</v>
      </c>
      <c r="L11583" s="27"/>
    </row>
    <row r="11584" customFormat="false" ht="15" hidden="false" customHeight="false" outlineLevel="0" collapsed="false">
      <c r="A11584" s="26" t="s">
        <v>28083</v>
      </c>
      <c r="B11584" s="27" t="s">
        <v>28084</v>
      </c>
      <c r="C11584" s="27" t="s">
        <v>100</v>
      </c>
      <c r="D11584" s="26"/>
      <c r="E11584" s="27"/>
      <c r="F11584" s="27"/>
      <c r="G11584" s="27" t="s">
        <v>11122</v>
      </c>
      <c r="H11584" s="27" t="s">
        <v>35</v>
      </c>
      <c r="I11584" s="27" t="s">
        <v>49</v>
      </c>
      <c r="J11584" s="28" t="s">
        <v>1232</v>
      </c>
      <c r="K11584" s="27" t="s">
        <v>49</v>
      </c>
      <c r="L11584" s="27"/>
    </row>
    <row r="11585" customFormat="false" ht="15" hidden="false" customHeight="false" outlineLevel="0" collapsed="false">
      <c r="A11585" s="26" t="s">
        <v>28085</v>
      </c>
      <c r="B11585" s="27" t="s">
        <v>28086</v>
      </c>
      <c r="C11585" s="27" t="s">
        <v>100</v>
      </c>
      <c r="D11585" s="26"/>
      <c r="E11585" s="27"/>
      <c r="F11585" s="27"/>
      <c r="G11585" s="27" t="s">
        <v>11122</v>
      </c>
      <c r="H11585" s="27" t="s">
        <v>35</v>
      </c>
      <c r="I11585" s="27" t="s">
        <v>49</v>
      </c>
      <c r="J11585" s="28" t="s">
        <v>1232</v>
      </c>
      <c r="K11585" s="27" t="s">
        <v>49</v>
      </c>
      <c r="L11585" s="27"/>
    </row>
    <row r="11586" customFormat="false" ht="15" hidden="false" customHeight="false" outlineLevel="0" collapsed="false">
      <c r="A11586" s="26" t="s">
        <v>28087</v>
      </c>
      <c r="B11586" s="27" t="s">
        <v>28088</v>
      </c>
      <c r="C11586" s="27" t="s">
        <v>100</v>
      </c>
      <c r="D11586" s="26"/>
      <c r="E11586" s="27"/>
      <c r="F11586" s="27"/>
      <c r="G11586" s="27" t="s">
        <v>11122</v>
      </c>
      <c r="H11586" s="27" t="s">
        <v>35</v>
      </c>
      <c r="I11586" s="27" t="s">
        <v>49</v>
      </c>
      <c r="J11586" s="28" t="s">
        <v>1232</v>
      </c>
      <c r="K11586" s="27" t="s">
        <v>49</v>
      </c>
      <c r="L11586" s="27"/>
    </row>
    <row r="11587" customFormat="false" ht="15" hidden="false" customHeight="false" outlineLevel="0" collapsed="false">
      <c r="A11587" s="26" t="s">
        <v>28089</v>
      </c>
      <c r="B11587" s="27" t="s">
        <v>28090</v>
      </c>
      <c r="C11587" s="27" t="s">
        <v>131</v>
      </c>
      <c r="D11587" s="26"/>
      <c r="E11587" s="27"/>
      <c r="F11587" s="27"/>
      <c r="G11587" s="27" t="s">
        <v>11122</v>
      </c>
      <c r="H11587" s="27" t="s">
        <v>35</v>
      </c>
      <c r="I11587" s="27" t="s">
        <v>49</v>
      </c>
      <c r="J11587" s="28" t="s">
        <v>1232</v>
      </c>
      <c r="K11587" s="27" t="s">
        <v>49</v>
      </c>
      <c r="L11587" s="27"/>
    </row>
    <row r="11588" customFormat="false" ht="15" hidden="false" customHeight="false" outlineLevel="0" collapsed="false">
      <c r="A11588" s="26" t="s">
        <v>28091</v>
      </c>
      <c r="B11588" s="27" t="s">
        <v>28092</v>
      </c>
      <c r="C11588" s="27" t="s">
        <v>100</v>
      </c>
      <c r="D11588" s="26"/>
      <c r="E11588" s="27"/>
      <c r="F11588" s="27"/>
      <c r="G11588" s="27" t="s">
        <v>11122</v>
      </c>
      <c r="H11588" s="27" t="s">
        <v>35</v>
      </c>
      <c r="I11588" s="27" t="s">
        <v>49</v>
      </c>
      <c r="J11588" s="28" t="s">
        <v>1232</v>
      </c>
      <c r="K11588" s="27" t="s">
        <v>49</v>
      </c>
      <c r="L11588" s="27"/>
    </row>
    <row r="11589" customFormat="false" ht="15" hidden="false" customHeight="false" outlineLevel="0" collapsed="false">
      <c r="A11589" s="26" t="s">
        <v>28093</v>
      </c>
      <c r="B11589" s="27" t="s">
        <v>28094</v>
      </c>
      <c r="C11589" s="27" t="s">
        <v>100</v>
      </c>
      <c r="D11589" s="26"/>
      <c r="E11589" s="27"/>
      <c r="F11589" s="27"/>
      <c r="G11589" s="27" t="s">
        <v>11122</v>
      </c>
      <c r="H11589" s="27" t="s">
        <v>35</v>
      </c>
      <c r="I11589" s="27" t="s">
        <v>49</v>
      </c>
      <c r="J11589" s="28" t="s">
        <v>1232</v>
      </c>
      <c r="K11589" s="27" t="s">
        <v>49</v>
      </c>
      <c r="L11589" s="27"/>
    </row>
    <row r="11590" customFormat="false" ht="15" hidden="false" customHeight="false" outlineLevel="0" collapsed="false">
      <c r="A11590" s="26" t="s">
        <v>28095</v>
      </c>
      <c r="B11590" s="27" t="s">
        <v>28096</v>
      </c>
      <c r="C11590" s="27" t="s">
        <v>144</v>
      </c>
      <c r="D11590" s="26"/>
      <c r="E11590" s="27"/>
      <c r="F11590" s="27"/>
      <c r="G11590" s="27" t="s">
        <v>11122</v>
      </c>
      <c r="H11590" s="27" t="s">
        <v>35</v>
      </c>
      <c r="I11590" s="27" t="s">
        <v>39</v>
      </c>
      <c r="J11590" s="28" t="s">
        <v>1232</v>
      </c>
      <c r="K11590" s="27" t="s">
        <v>49</v>
      </c>
      <c r="L11590" s="27"/>
    </row>
    <row r="11591" customFormat="false" ht="15" hidden="false" customHeight="false" outlineLevel="0" collapsed="false">
      <c r="A11591" s="26" t="s">
        <v>28097</v>
      </c>
      <c r="B11591" s="27" t="s">
        <v>28098</v>
      </c>
      <c r="C11591" s="27" t="s">
        <v>144</v>
      </c>
      <c r="D11591" s="26"/>
      <c r="E11591" s="27"/>
      <c r="F11591" s="27"/>
      <c r="G11591" s="27" t="s">
        <v>11122</v>
      </c>
      <c r="H11591" s="27" t="s">
        <v>35</v>
      </c>
      <c r="I11591" s="27" t="s">
        <v>39</v>
      </c>
      <c r="J11591" s="28" t="s">
        <v>1232</v>
      </c>
      <c r="K11591" s="27" t="s">
        <v>49</v>
      </c>
      <c r="L11591" s="27"/>
    </row>
    <row r="11592" customFormat="false" ht="15" hidden="false" customHeight="false" outlineLevel="0" collapsed="false">
      <c r="A11592" s="26" t="s">
        <v>28099</v>
      </c>
      <c r="B11592" s="27" t="s">
        <v>28100</v>
      </c>
      <c r="C11592" s="27" t="s">
        <v>144</v>
      </c>
      <c r="D11592" s="26"/>
      <c r="E11592" s="27"/>
      <c r="F11592" s="27"/>
      <c r="G11592" s="27" t="s">
        <v>11122</v>
      </c>
      <c r="H11592" s="27" t="s">
        <v>35</v>
      </c>
      <c r="I11592" s="27" t="s">
        <v>39</v>
      </c>
      <c r="J11592" s="28" t="s">
        <v>1232</v>
      </c>
      <c r="K11592" s="27" t="s">
        <v>49</v>
      </c>
      <c r="L11592" s="27"/>
    </row>
    <row r="11593" customFormat="false" ht="15" hidden="false" customHeight="false" outlineLevel="0" collapsed="false">
      <c r="A11593" s="26" t="s">
        <v>28101</v>
      </c>
      <c r="B11593" s="27" t="s">
        <v>28102</v>
      </c>
      <c r="C11593" s="27" t="s">
        <v>144</v>
      </c>
      <c r="D11593" s="26"/>
      <c r="E11593" s="27"/>
      <c r="F11593" s="27"/>
      <c r="G11593" s="27" t="s">
        <v>11122</v>
      </c>
      <c r="H11593" s="27" t="s">
        <v>35</v>
      </c>
      <c r="I11593" s="27" t="s">
        <v>39</v>
      </c>
      <c r="J11593" s="28" t="s">
        <v>1232</v>
      </c>
      <c r="K11593" s="27" t="s">
        <v>49</v>
      </c>
      <c r="L11593" s="27"/>
    </row>
    <row r="11594" customFormat="false" ht="15" hidden="false" customHeight="false" outlineLevel="0" collapsed="false">
      <c r="A11594" s="26" t="s">
        <v>28103</v>
      </c>
      <c r="B11594" s="27" t="s">
        <v>28104</v>
      </c>
      <c r="C11594" s="27" t="s">
        <v>137</v>
      </c>
      <c r="D11594" s="26"/>
      <c r="E11594" s="27"/>
      <c r="F11594" s="27"/>
      <c r="G11594" s="27" t="s">
        <v>11122</v>
      </c>
      <c r="H11594" s="27" t="s">
        <v>35</v>
      </c>
      <c r="I11594" s="27" t="s">
        <v>39</v>
      </c>
      <c r="J11594" s="28" t="s">
        <v>1232</v>
      </c>
      <c r="K11594" s="27" t="s">
        <v>49</v>
      </c>
      <c r="L11594" s="27"/>
    </row>
    <row r="11595" customFormat="false" ht="15" hidden="false" customHeight="false" outlineLevel="0" collapsed="false">
      <c r="A11595" s="26" t="s">
        <v>28105</v>
      </c>
      <c r="B11595" s="27" t="s">
        <v>28106</v>
      </c>
      <c r="C11595" s="27" t="s">
        <v>2094</v>
      </c>
      <c r="D11595" s="26"/>
      <c r="E11595" s="27"/>
      <c r="F11595" s="27"/>
      <c r="G11595" s="27" t="s">
        <v>11122</v>
      </c>
      <c r="H11595" s="27" t="s">
        <v>35</v>
      </c>
      <c r="I11595" s="27" t="s">
        <v>39</v>
      </c>
      <c r="J11595" s="28" t="s">
        <v>1232</v>
      </c>
      <c r="K11595" s="27" t="s">
        <v>49</v>
      </c>
      <c r="L11595" s="27"/>
    </row>
    <row r="11596" customFormat="false" ht="15" hidden="false" customHeight="false" outlineLevel="0" collapsed="false">
      <c r="A11596" s="26" t="s">
        <v>28107</v>
      </c>
      <c r="B11596" s="27" t="s">
        <v>28108</v>
      </c>
      <c r="C11596" s="27" t="s">
        <v>144</v>
      </c>
      <c r="D11596" s="26"/>
      <c r="E11596" s="27"/>
      <c r="F11596" s="27"/>
      <c r="G11596" s="27" t="s">
        <v>11122</v>
      </c>
      <c r="H11596" s="27" t="s">
        <v>35</v>
      </c>
      <c r="I11596" s="27" t="s">
        <v>39</v>
      </c>
      <c r="J11596" s="28" t="s">
        <v>1232</v>
      </c>
      <c r="K11596" s="27" t="s">
        <v>49</v>
      </c>
      <c r="L11596" s="27"/>
    </row>
    <row r="11597" customFormat="false" ht="15" hidden="false" customHeight="false" outlineLevel="0" collapsed="false">
      <c r="A11597" s="26" t="s">
        <v>28109</v>
      </c>
      <c r="B11597" s="27" t="s">
        <v>28110</v>
      </c>
      <c r="C11597" s="27" t="s">
        <v>144</v>
      </c>
      <c r="D11597" s="26"/>
      <c r="E11597" s="27"/>
      <c r="F11597" s="27"/>
      <c r="G11597" s="27" t="s">
        <v>11122</v>
      </c>
      <c r="H11597" s="27" t="s">
        <v>35</v>
      </c>
      <c r="I11597" s="27" t="s">
        <v>39</v>
      </c>
      <c r="J11597" s="28" t="s">
        <v>1232</v>
      </c>
      <c r="K11597" s="27" t="s">
        <v>49</v>
      </c>
      <c r="L11597" s="27"/>
    </row>
    <row r="11598" customFormat="false" ht="15" hidden="false" customHeight="false" outlineLevel="0" collapsed="false">
      <c r="A11598" s="26" t="s">
        <v>28111</v>
      </c>
      <c r="B11598" s="27" t="s">
        <v>28112</v>
      </c>
      <c r="C11598" s="27" t="s">
        <v>144</v>
      </c>
      <c r="D11598" s="26"/>
      <c r="E11598" s="27"/>
      <c r="F11598" s="27"/>
      <c r="G11598" s="27" t="s">
        <v>11122</v>
      </c>
      <c r="H11598" s="27" t="s">
        <v>35</v>
      </c>
      <c r="I11598" s="27" t="s">
        <v>37</v>
      </c>
      <c r="J11598" s="28" t="s">
        <v>1232</v>
      </c>
      <c r="K11598" s="27" t="s">
        <v>49</v>
      </c>
      <c r="L11598" s="27"/>
    </row>
    <row r="11599" customFormat="false" ht="15" hidden="false" customHeight="false" outlineLevel="0" collapsed="false">
      <c r="A11599" s="26" t="s">
        <v>28113</v>
      </c>
      <c r="B11599" s="27" t="s">
        <v>28114</v>
      </c>
      <c r="C11599" s="27" t="s">
        <v>144</v>
      </c>
      <c r="D11599" s="26"/>
      <c r="E11599" s="27"/>
      <c r="F11599" s="27"/>
      <c r="G11599" s="27" t="s">
        <v>11122</v>
      </c>
      <c r="H11599" s="27" t="s">
        <v>35</v>
      </c>
      <c r="I11599" s="27" t="s">
        <v>39</v>
      </c>
      <c r="J11599" s="28" t="s">
        <v>1232</v>
      </c>
      <c r="K11599" s="27" t="s">
        <v>49</v>
      </c>
      <c r="L11599" s="27"/>
    </row>
    <row r="11600" customFormat="false" ht="15" hidden="false" customHeight="false" outlineLevel="0" collapsed="false">
      <c r="A11600" s="26" t="s">
        <v>28115</v>
      </c>
      <c r="B11600" s="27" t="s">
        <v>28116</v>
      </c>
      <c r="C11600" s="27" t="s">
        <v>144</v>
      </c>
      <c r="D11600" s="26"/>
      <c r="E11600" s="27"/>
      <c r="F11600" s="27"/>
      <c r="G11600" s="27" t="s">
        <v>11122</v>
      </c>
      <c r="H11600" s="27" t="s">
        <v>35</v>
      </c>
      <c r="I11600" s="27" t="s">
        <v>39</v>
      </c>
      <c r="J11600" s="28" t="s">
        <v>1232</v>
      </c>
      <c r="K11600" s="27" t="s">
        <v>49</v>
      </c>
      <c r="L11600" s="27"/>
    </row>
    <row r="11601" customFormat="false" ht="15" hidden="false" customHeight="false" outlineLevel="0" collapsed="false">
      <c r="A11601" s="26" t="s">
        <v>28117</v>
      </c>
      <c r="B11601" s="27" t="s">
        <v>28118</v>
      </c>
      <c r="C11601" s="27" t="s">
        <v>144</v>
      </c>
      <c r="D11601" s="26"/>
      <c r="E11601" s="27"/>
      <c r="F11601" s="27"/>
      <c r="G11601" s="27" t="s">
        <v>11122</v>
      </c>
      <c r="H11601" s="27" t="s">
        <v>35</v>
      </c>
      <c r="I11601" s="27" t="s">
        <v>39</v>
      </c>
      <c r="J11601" s="28" t="s">
        <v>1232</v>
      </c>
      <c r="K11601" s="27" t="s">
        <v>49</v>
      </c>
      <c r="L11601" s="27"/>
    </row>
    <row r="11602" customFormat="false" ht="15" hidden="false" customHeight="false" outlineLevel="0" collapsed="false">
      <c r="A11602" s="26" t="s">
        <v>28119</v>
      </c>
      <c r="B11602" s="27" t="s">
        <v>28120</v>
      </c>
      <c r="C11602" s="27" t="s">
        <v>144</v>
      </c>
      <c r="D11602" s="26"/>
      <c r="E11602" s="27"/>
      <c r="F11602" s="27"/>
      <c r="G11602" s="27" t="s">
        <v>11122</v>
      </c>
      <c r="H11602" s="27" t="s">
        <v>35</v>
      </c>
      <c r="I11602" s="27" t="s">
        <v>37</v>
      </c>
      <c r="J11602" s="28" t="s">
        <v>1232</v>
      </c>
      <c r="K11602" s="27" t="s">
        <v>49</v>
      </c>
      <c r="L11602" s="27"/>
    </row>
    <row r="11603" customFormat="false" ht="15" hidden="false" customHeight="false" outlineLevel="0" collapsed="false">
      <c r="A11603" s="26" t="s">
        <v>28121</v>
      </c>
      <c r="B11603" s="27" t="s">
        <v>28122</v>
      </c>
      <c r="C11603" s="27" t="s">
        <v>144</v>
      </c>
      <c r="D11603" s="26"/>
      <c r="E11603" s="27"/>
      <c r="F11603" s="27"/>
      <c r="G11603" s="27" t="s">
        <v>11122</v>
      </c>
      <c r="H11603" s="27" t="s">
        <v>35</v>
      </c>
      <c r="I11603" s="27" t="s">
        <v>39</v>
      </c>
      <c r="J11603" s="28" t="s">
        <v>1232</v>
      </c>
      <c r="K11603" s="27" t="s">
        <v>49</v>
      </c>
      <c r="L11603" s="27"/>
    </row>
    <row r="11604" customFormat="false" ht="15" hidden="false" customHeight="false" outlineLevel="0" collapsed="false">
      <c r="A11604" s="26" t="s">
        <v>28123</v>
      </c>
      <c r="B11604" s="27" t="s">
        <v>28124</v>
      </c>
      <c r="C11604" s="27" t="s">
        <v>144</v>
      </c>
      <c r="D11604" s="26"/>
      <c r="E11604" s="27"/>
      <c r="F11604" s="27"/>
      <c r="G11604" s="27" t="s">
        <v>11122</v>
      </c>
      <c r="H11604" s="27" t="s">
        <v>35</v>
      </c>
      <c r="I11604" s="27" t="s">
        <v>39</v>
      </c>
      <c r="J11604" s="28" t="s">
        <v>1232</v>
      </c>
      <c r="K11604" s="27" t="s">
        <v>49</v>
      </c>
      <c r="L11604" s="27"/>
    </row>
    <row r="11605" customFormat="false" ht="15" hidden="false" customHeight="false" outlineLevel="0" collapsed="false">
      <c r="A11605" s="26" t="s">
        <v>28125</v>
      </c>
      <c r="B11605" s="27" t="s">
        <v>28126</v>
      </c>
      <c r="C11605" s="27" t="s">
        <v>1990</v>
      </c>
      <c r="D11605" s="26"/>
      <c r="E11605" s="27"/>
      <c r="F11605" s="27"/>
      <c r="G11605" s="27" t="s">
        <v>11122</v>
      </c>
      <c r="H11605" s="27" t="s">
        <v>35</v>
      </c>
      <c r="I11605" s="27" t="s">
        <v>39</v>
      </c>
      <c r="J11605" s="28" t="s">
        <v>1232</v>
      </c>
      <c r="K11605" s="27" t="s">
        <v>49</v>
      </c>
      <c r="L11605" s="27"/>
    </row>
    <row r="11606" customFormat="false" ht="15" hidden="false" customHeight="false" outlineLevel="0" collapsed="false">
      <c r="A11606" s="26" t="s">
        <v>28127</v>
      </c>
      <c r="B11606" s="27" t="s">
        <v>28128</v>
      </c>
      <c r="C11606" s="27" t="s">
        <v>144</v>
      </c>
      <c r="D11606" s="26"/>
      <c r="E11606" s="27"/>
      <c r="F11606" s="27"/>
      <c r="G11606" s="27" t="s">
        <v>11122</v>
      </c>
      <c r="H11606" s="27" t="s">
        <v>35</v>
      </c>
      <c r="I11606" s="27" t="s">
        <v>37</v>
      </c>
      <c r="J11606" s="28" t="s">
        <v>1232</v>
      </c>
      <c r="K11606" s="27" t="s">
        <v>49</v>
      </c>
      <c r="L11606" s="27"/>
    </row>
    <row r="11607" customFormat="false" ht="15" hidden="false" customHeight="false" outlineLevel="0" collapsed="false">
      <c r="A11607" s="26" t="s">
        <v>28129</v>
      </c>
      <c r="B11607" s="27" t="s">
        <v>28130</v>
      </c>
      <c r="C11607" s="27" t="s">
        <v>144</v>
      </c>
      <c r="D11607" s="26"/>
      <c r="E11607" s="27"/>
      <c r="F11607" s="27"/>
      <c r="G11607" s="27" t="s">
        <v>11122</v>
      </c>
      <c r="H11607" s="27" t="s">
        <v>35</v>
      </c>
      <c r="I11607" s="27" t="s">
        <v>37</v>
      </c>
      <c r="J11607" s="28" t="s">
        <v>1232</v>
      </c>
      <c r="K11607" s="27" t="s">
        <v>49</v>
      </c>
      <c r="L11607" s="27"/>
    </row>
    <row r="11608" customFormat="false" ht="15" hidden="false" customHeight="false" outlineLevel="0" collapsed="false">
      <c r="A11608" s="26" t="s">
        <v>28131</v>
      </c>
      <c r="B11608" s="27" t="s">
        <v>28132</v>
      </c>
      <c r="C11608" s="27" t="s">
        <v>144</v>
      </c>
      <c r="D11608" s="26"/>
      <c r="E11608" s="27"/>
      <c r="F11608" s="27"/>
      <c r="G11608" s="27" t="s">
        <v>11122</v>
      </c>
      <c r="H11608" s="27" t="s">
        <v>35</v>
      </c>
      <c r="I11608" s="27" t="s">
        <v>39</v>
      </c>
      <c r="J11608" s="28" t="s">
        <v>1232</v>
      </c>
      <c r="K11608" s="27" t="s">
        <v>49</v>
      </c>
      <c r="L11608" s="27"/>
    </row>
    <row r="11609" customFormat="false" ht="15" hidden="false" customHeight="false" outlineLevel="0" collapsed="false">
      <c r="A11609" s="26" t="s">
        <v>28133</v>
      </c>
      <c r="B11609" s="27" t="s">
        <v>28134</v>
      </c>
      <c r="C11609" s="27" t="s">
        <v>144</v>
      </c>
      <c r="D11609" s="26"/>
      <c r="E11609" s="27"/>
      <c r="F11609" s="27"/>
      <c r="G11609" s="27" t="s">
        <v>11122</v>
      </c>
      <c r="H11609" s="27" t="s">
        <v>35</v>
      </c>
      <c r="I11609" s="27" t="s">
        <v>39</v>
      </c>
      <c r="J11609" s="28" t="s">
        <v>1232</v>
      </c>
      <c r="K11609" s="27" t="s">
        <v>49</v>
      </c>
      <c r="L11609" s="27"/>
    </row>
    <row r="11610" customFormat="false" ht="15" hidden="false" customHeight="false" outlineLevel="0" collapsed="false">
      <c r="A11610" s="26" t="s">
        <v>28135</v>
      </c>
      <c r="B11610" s="27" t="s">
        <v>28136</v>
      </c>
      <c r="C11610" s="27" t="s">
        <v>144</v>
      </c>
      <c r="D11610" s="26"/>
      <c r="E11610" s="27"/>
      <c r="F11610" s="27"/>
      <c r="G11610" s="27" t="s">
        <v>11122</v>
      </c>
      <c r="H11610" s="27" t="s">
        <v>35</v>
      </c>
      <c r="I11610" s="27" t="s">
        <v>39</v>
      </c>
      <c r="J11610" s="28" t="s">
        <v>1232</v>
      </c>
      <c r="K11610" s="27" t="s">
        <v>49</v>
      </c>
      <c r="L11610" s="27"/>
    </row>
    <row r="11611" customFormat="false" ht="15" hidden="false" customHeight="false" outlineLevel="0" collapsed="false">
      <c r="A11611" s="26" t="s">
        <v>28137</v>
      </c>
      <c r="B11611" s="27" t="s">
        <v>28138</v>
      </c>
      <c r="C11611" s="27" t="s">
        <v>144</v>
      </c>
      <c r="D11611" s="26"/>
      <c r="E11611" s="27"/>
      <c r="F11611" s="27"/>
      <c r="G11611" s="27" t="s">
        <v>11122</v>
      </c>
      <c r="H11611" s="27" t="s">
        <v>35</v>
      </c>
      <c r="I11611" s="27" t="s">
        <v>39</v>
      </c>
      <c r="J11611" s="28" t="s">
        <v>1232</v>
      </c>
      <c r="K11611" s="27" t="s">
        <v>49</v>
      </c>
      <c r="L11611" s="27"/>
    </row>
    <row r="11612" customFormat="false" ht="15" hidden="false" customHeight="false" outlineLevel="0" collapsed="false">
      <c r="A11612" s="26" t="s">
        <v>28139</v>
      </c>
      <c r="B11612" s="27" t="s">
        <v>28140</v>
      </c>
      <c r="C11612" s="27" t="s">
        <v>144</v>
      </c>
      <c r="D11612" s="26"/>
      <c r="E11612" s="27"/>
      <c r="F11612" s="27"/>
      <c r="G11612" s="27" t="s">
        <v>11122</v>
      </c>
      <c r="H11612" s="27" t="s">
        <v>35</v>
      </c>
      <c r="I11612" s="27" t="s">
        <v>43</v>
      </c>
      <c r="J11612" s="28" t="s">
        <v>1232</v>
      </c>
      <c r="K11612" s="27" t="s">
        <v>49</v>
      </c>
      <c r="L11612" s="27"/>
    </row>
    <row r="11613" customFormat="false" ht="15" hidden="false" customHeight="false" outlineLevel="0" collapsed="false">
      <c r="A11613" s="26" t="s">
        <v>28141</v>
      </c>
      <c r="B11613" s="27" t="s">
        <v>28142</v>
      </c>
      <c r="C11613" s="27" t="s">
        <v>144</v>
      </c>
      <c r="D11613" s="26"/>
      <c r="E11613" s="27"/>
      <c r="F11613" s="27"/>
      <c r="G11613" s="27" t="s">
        <v>11122</v>
      </c>
      <c r="H11613" s="27" t="s">
        <v>35</v>
      </c>
      <c r="I11613" s="27" t="s">
        <v>43</v>
      </c>
      <c r="J11613" s="28" t="s">
        <v>1232</v>
      </c>
      <c r="K11613" s="27" t="s">
        <v>49</v>
      </c>
      <c r="L11613" s="27"/>
    </row>
    <row r="11614" customFormat="false" ht="15" hidden="false" customHeight="false" outlineLevel="0" collapsed="false">
      <c r="A11614" s="26" t="s">
        <v>28143</v>
      </c>
      <c r="B11614" s="27" t="s">
        <v>28144</v>
      </c>
      <c r="C11614" s="27" t="s">
        <v>1087</v>
      </c>
      <c r="D11614" s="26"/>
      <c r="E11614" s="27"/>
      <c r="F11614" s="27"/>
      <c r="G11614" s="27" t="s">
        <v>11122</v>
      </c>
      <c r="H11614" s="27" t="s">
        <v>35</v>
      </c>
      <c r="I11614" s="27" t="s">
        <v>38</v>
      </c>
      <c r="J11614" s="28" t="s">
        <v>1232</v>
      </c>
      <c r="K11614" s="27" t="s">
        <v>49</v>
      </c>
      <c r="L11614" s="27"/>
    </row>
    <row r="11615" customFormat="false" ht="15" hidden="false" customHeight="false" outlineLevel="0" collapsed="false">
      <c r="A11615" s="26" t="s">
        <v>28145</v>
      </c>
      <c r="B11615" s="27" t="s">
        <v>28146</v>
      </c>
      <c r="C11615" s="27" t="s">
        <v>1087</v>
      </c>
      <c r="D11615" s="26"/>
      <c r="E11615" s="27"/>
      <c r="F11615" s="27"/>
      <c r="G11615" s="27" t="s">
        <v>11122</v>
      </c>
      <c r="H11615" s="27" t="s">
        <v>35</v>
      </c>
      <c r="I11615" s="27" t="s">
        <v>44</v>
      </c>
      <c r="J11615" s="28" t="s">
        <v>1232</v>
      </c>
      <c r="K11615" s="27" t="s">
        <v>49</v>
      </c>
      <c r="L11615" s="27"/>
    </row>
    <row r="11616" customFormat="false" ht="15" hidden="false" customHeight="false" outlineLevel="0" collapsed="false">
      <c r="A11616" s="26" t="s">
        <v>28147</v>
      </c>
      <c r="B11616" s="27" t="s">
        <v>28148</v>
      </c>
      <c r="C11616" s="27" t="s">
        <v>144</v>
      </c>
      <c r="D11616" s="26"/>
      <c r="E11616" s="27"/>
      <c r="F11616" s="27"/>
      <c r="G11616" s="27" t="s">
        <v>11122</v>
      </c>
      <c r="H11616" s="27" t="s">
        <v>35</v>
      </c>
      <c r="I11616" s="27" t="s">
        <v>39</v>
      </c>
      <c r="J11616" s="28" t="s">
        <v>1232</v>
      </c>
      <c r="K11616" s="27" t="s">
        <v>49</v>
      </c>
      <c r="L11616" s="27"/>
    </row>
    <row r="11617" customFormat="false" ht="15" hidden="false" customHeight="false" outlineLevel="0" collapsed="false">
      <c r="A11617" s="26" t="s">
        <v>28149</v>
      </c>
      <c r="B11617" s="27" t="s">
        <v>28150</v>
      </c>
      <c r="C11617" s="27" t="s">
        <v>144</v>
      </c>
      <c r="D11617" s="26"/>
      <c r="E11617" s="27"/>
      <c r="F11617" s="27"/>
      <c r="G11617" s="27" t="s">
        <v>11122</v>
      </c>
      <c r="H11617" s="27" t="s">
        <v>35</v>
      </c>
      <c r="I11617" s="27" t="s">
        <v>39</v>
      </c>
      <c r="J11617" s="28" t="s">
        <v>1232</v>
      </c>
      <c r="K11617" s="27" t="s">
        <v>49</v>
      </c>
      <c r="L11617" s="27"/>
    </row>
    <row r="11618" customFormat="false" ht="15" hidden="false" customHeight="false" outlineLevel="0" collapsed="false">
      <c r="A11618" s="26" t="s">
        <v>28151</v>
      </c>
      <c r="B11618" s="27" t="s">
        <v>28152</v>
      </c>
      <c r="C11618" s="27" t="s">
        <v>144</v>
      </c>
      <c r="D11618" s="26"/>
      <c r="E11618" s="27"/>
      <c r="F11618" s="27"/>
      <c r="G11618" s="27" t="s">
        <v>11122</v>
      </c>
      <c r="H11618" s="27" t="s">
        <v>35</v>
      </c>
      <c r="I11618" s="27" t="s">
        <v>39</v>
      </c>
      <c r="J11618" s="28" t="s">
        <v>1232</v>
      </c>
      <c r="K11618" s="27" t="s">
        <v>49</v>
      </c>
      <c r="L11618" s="27"/>
    </row>
    <row r="11619" customFormat="false" ht="15" hidden="false" customHeight="false" outlineLevel="0" collapsed="false">
      <c r="A11619" s="26" t="s">
        <v>28153</v>
      </c>
      <c r="B11619" s="27" t="s">
        <v>28154</v>
      </c>
      <c r="C11619" s="27" t="s">
        <v>137</v>
      </c>
      <c r="D11619" s="26"/>
      <c r="E11619" s="27"/>
      <c r="F11619" s="27"/>
      <c r="G11619" s="27" t="s">
        <v>11122</v>
      </c>
      <c r="H11619" s="27" t="s">
        <v>35</v>
      </c>
      <c r="I11619" s="27" t="s">
        <v>38</v>
      </c>
      <c r="J11619" s="28" t="s">
        <v>1232</v>
      </c>
      <c r="K11619" s="27" t="s">
        <v>49</v>
      </c>
      <c r="L11619" s="27"/>
    </row>
    <row r="11620" customFormat="false" ht="15" hidden="false" customHeight="false" outlineLevel="0" collapsed="false">
      <c r="A11620" s="26" t="s">
        <v>28155</v>
      </c>
      <c r="B11620" s="27" t="s">
        <v>28156</v>
      </c>
      <c r="C11620" s="27" t="s">
        <v>144</v>
      </c>
      <c r="D11620" s="26"/>
      <c r="E11620" s="27"/>
      <c r="F11620" s="27"/>
      <c r="G11620" s="27" t="s">
        <v>11122</v>
      </c>
      <c r="H11620" s="27" t="s">
        <v>35</v>
      </c>
      <c r="I11620" s="27" t="s">
        <v>39</v>
      </c>
      <c r="J11620" s="28" t="s">
        <v>1232</v>
      </c>
      <c r="K11620" s="27" t="s">
        <v>49</v>
      </c>
      <c r="L11620" s="27"/>
    </row>
    <row r="11621" customFormat="false" ht="15" hidden="false" customHeight="false" outlineLevel="0" collapsed="false">
      <c r="A11621" s="26" t="s">
        <v>28157</v>
      </c>
      <c r="B11621" s="27" t="s">
        <v>28158</v>
      </c>
      <c r="C11621" s="27" t="s">
        <v>144</v>
      </c>
      <c r="D11621" s="26"/>
      <c r="E11621" s="27"/>
      <c r="F11621" s="27"/>
      <c r="G11621" s="27" t="s">
        <v>11122</v>
      </c>
      <c r="H11621" s="27" t="s">
        <v>35</v>
      </c>
      <c r="I11621" s="27" t="s">
        <v>39</v>
      </c>
      <c r="J11621" s="28" t="s">
        <v>1232</v>
      </c>
      <c r="K11621" s="27" t="s">
        <v>49</v>
      </c>
      <c r="L11621" s="27"/>
    </row>
    <row r="11622" customFormat="false" ht="15" hidden="false" customHeight="false" outlineLevel="0" collapsed="false">
      <c r="A11622" s="26" t="s">
        <v>28159</v>
      </c>
      <c r="B11622" s="27" t="s">
        <v>28160</v>
      </c>
      <c r="C11622" s="27" t="s">
        <v>144</v>
      </c>
      <c r="D11622" s="26"/>
      <c r="E11622" s="27"/>
      <c r="F11622" s="27"/>
      <c r="G11622" s="27" t="s">
        <v>11122</v>
      </c>
      <c r="H11622" s="27" t="s">
        <v>35</v>
      </c>
      <c r="I11622" s="27" t="s">
        <v>42</v>
      </c>
      <c r="J11622" s="28" t="s">
        <v>1232</v>
      </c>
      <c r="K11622" s="27" t="s">
        <v>49</v>
      </c>
      <c r="L11622" s="27"/>
    </row>
    <row r="11623" customFormat="false" ht="15" hidden="false" customHeight="false" outlineLevel="0" collapsed="false">
      <c r="A11623" s="26" t="s">
        <v>28161</v>
      </c>
      <c r="B11623" s="27" t="s">
        <v>28162</v>
      </c>
      <c r="C11623" s="27" t="s">
        <v>144</v>
      </c>
      <c r="D11623" s="26"/>
      <c r="E11623" s="27"/>
      <c r="F11623" s="27"/>
      <c r="G11623" s="27" t="s">
        <v>11122</v>
      </c>
      <c r="H11623" s="27" t="s">
        <v>35</v>
      </c>
      <c r="I11623" s="27" t="s">
        <v>42</v>
      </c>
      <c r="J11623" s="28" t="s">
        <v>1232</v>
      </c>
      <c r="K11623" s="27" t="s">
        <v>49</v>
      </c>
      <c r="L11623" s="27"/>
    </row>
    <row r="11624" customFormat="false" ht="15" hidden="false" customHeight="false" outlineLevel="0" collapsed="false">
      <c r="A11624" s="26" t="s">
        <v>28163</v>
      </c>
      <c r="B11624" s="27" t="s">
        <v>28164</v>
      </c>
      <c r="C11624" s="27" t="s">
        <v>144</v>
      </c>
      <c r="D11624" s="26"/>
      <c r="E11624" s="27"/>
      <c r="F11624" s="27"/>
      <c r="G11624" s="27" t="s">
        <v>11122</v>
      </c>
      <c r="H11624" s="27" t="s">
        <v>35</v>
      </c>
      <c r="I11624" s="27" t="s">
        <v>42</v>
      </c>
      <c r="J11624" s="28" t="s">
        <v>1232</v>
      </c>
      <c r="K11624" s="27" t="s">
        <v>49</v>
      </c>
      <c r="L11624" s="27"/>
    </row>
    <row r="11625" customFormat="false" ht="15" hidden="false" customHeight="false" outlineLevel="0" collapsed="false">
      <c r="A11625" s="26" t="s">
        <v>28165</v>
      </c>
      <c r="B11625" s="27" t="s">
        <v>28166</v>
      </c>
      <c r="C11625" s="27" t="s">
        <v>370</v>
      </c>
      <c r="D11625" s="26"/>
      <c r="E11625" s="27"/>
      <c r="F11625" s="27"/>
      <c r="G11625" s="27" t="s">
        <v>11122</v>
      </c>
      <c r="H11625" s="27" t="s">
        <v>35</v>
      </c>
      <c r="I11625" s="28" t="s">
        <v>46</v>
      </c>
      <c r="J11625" s="28" t="s">
        <v>1232</v>
      </c>
      <c r="K11625" s="27" t="s">
        <v>49</v>
      </c>
      <c r="L11625" s="27"/>
    </row>
    <row r="11626" customFormat="false" ht="15" hidden="false" customHeight="false" outlineLevel="0" collapsed="false">
      <c r="A11626" s="26" t="s">
        <v>28167</v>
      </c>
      <c r="B11626" s="27" t="s">
        <v>28168</v>
      </c>
      <c r="C11626" s="27" t="s">
        <v>144</v>
      </c>
      <c r="D11626" s="26"/>
      <c r="E11626" s="27"/>
      <c r="F11626" s="27"/>
      <c r="G11626" s="27" t="s">
        <v>11122</v>
      </c>
      <c r="H11626" s="27" t="s">
        <v>35</v>
      </c>
      <c r="I11626" s="27" t="s">
        <v>42</v>
      </c>
      <c r="J11626" s="28" t="s">
        <v>1232</v>
      </c>
      <c r="K11626" s="27" t="s">
        <v>49</v>
      </c>
      <c r="L11626" s="27"/>
    </row>
    <row r="11627" customFormat="false" ht="15" hidden="false" customHeight="false" outlineLevel="0" collapsed="false">
      <c r="A11627" s="26" t="s">
        <v>28169</v>
      </c>
      <c r="B11627" s="27" t="s">
        <v>28170</v>
      </c>
      <c r="C11627" s="27" t="s">
        <v>144</v>
      </c>
      <c r="D11627" s="26"/>
      <c r="E11627" s="27"/>
      <c r="F11627" s="27"/>
      <c r="G11627" s="27" t="s">
        <v>11122</v>
      </c>
      <c r="H11627" s="27" t="s">
        <v>35</v>
      </c>
      <c r="I11627" s="28" t="s">
        <v>46</v>
      </c>
      <c r="J11627" s="28" t="s">
        <v>1232</v>
      </c>
      <c r="K11627" s="27" t="s">
        <v>49</v>
      </c>
      <c r="L11627" s="27"/>
    </row>
    <row r="11628" customFormat="false" ht="15" hidden="false" customHeight="false" outlineLevel="0" collapsed="false">
      <c r="A11628" s="26" t="s">
        <v>28171</v>
      </c>
      <c r="B11628" s="27" t="s">
        <v>28172</v>
      </c>
      <c r="C11628" s="27" t="s">
        <v>144</v>
      </c>
      <c r="D11628" s="26"/>
      <c r="E11628" s="27"/>
      <c r="F11628" s="27"/>
      <c r="G11628" s="27" t="s">
        <v>11122</v>
      </c>
      <c r="H11628" s="27" t="s">
        <v>35</v>
      </c>
      <c r="I11628" s="28" t="s">
        <v>46</v>
      </c>
      <c r="J11628" s="28" t="s">
        <v>1232</v>
      </c>
      <c r="K11628" s="27" t="s">
        <v>49</v>
      </c>
      <c r="L11628" s="27"/>
    </row>
    <row r="11629" customFormat="false" ht="15" hidden="false" customHeight="false" outlineLevel="0" collapsed="false">
      <c r="A11629" s="26" t="s">
        <v>28173</v>
      </c>
      <c r="B11629" s="27" t="s">
        <v>28174</v>
      </c>
      <c r="C11629" s="27" t="s">
        <v>144</v>
      </c>
      <c r="D11629" s="26"/>
      <c r="E11629" s="27"/>
      <c r="F11629" s="27"/>
      <c r="G11629" s="27" t="s">
        <v>11122</v>
      </c>
      <c r="H11629" s="27" t="s">
        <v>35</v>
      </c>
      <c r="I11629" s="28" t="s">
        <v>46</v>
      </c>
      <c r="J11629" s="28" t="s">
        <v>1232</v>
      </c>
      <c r="K11629" s="27" t="s">
        <v>49</v>
      </c>
      <c r="L11629" s="27"/>
    </row>
    <row r="11630" customFormat="false" ht="15" hidden="false" customHeight="false" outlineLevel="0" collapsed="false">
      <c r="A11630" s="26" t="s">
        <v>28175</v>
      </c>
      <c r="B11630" s="27" t="s">
        <v>28176</v>
      </c>
      <c r="C11630" s="27" t="s">
        <v>144</v>
      </c>
      <c r="D11630" s="26"/>
      <c r="E11630" s="27"/>
      <c r="F11630" s="27"/>
      <c r="G11630" s="27" t="s">
        <v>11122</v>
      </c>
      <c r="H11630" s="27" t="s">
        <v>35</v>
      </c>
      <c r="I11630" s="28" t="s">
        <v>46</v>
      </c>
      <c r="J11630" s="28" t="s">
        <v>1232</v>
      </c>
      <c r="K11630" s="27" t="s">
        <v>49</v>
      </c>
      <c r="L11630" s="27"/>
    </row>
    <row r="11631" customFormat="false" ht="15" hidden="false" customHeight="false" outlineLevel="0" collapsed="false">
      <c r="A11631" s="26" t="s">
        <v>28177</v>
      </c>
      <c r="B11631" s="27" t="s">
        <v>28178</v>
      </c>
      <c r="C11631" s="27" t="s">
        <v>370</v>
      </c>
      <c r="D11631" s="26"/>
      <c r="E11631" s="27"/>
      <c r="F11631" s="27"/>
      <c r="G11631" s="27" t="s">
        <v>11122</v>
      </c>
      <c r="H11631" s="27" t="s">
        <v>35</v>
      </c>
      <c r="I11631" s="27" t="s">
        <v>39</v>
      </c>
      <c r="J11631" s="28" t="s">
        <v>1232</v>
      </c>
      <c r="K11631" s="27" t="s">
        <v>49</v>
      </c>
      <c r="L11631" s="27"/>
    </row>
    <row r="11632" customFormat="false" ht="15" hidden="false" customHeight="false" outlineLevel="0" collapsed="false">
      <c r="A11632" s="26" t="s">
        <v>28179</v>
      </c>
      <c r="B11632" s="27" t="s">
        <v>28180</v>
      </c>
      <c r="C11632" s="27" t="s">
        <v>144</v>
      </c>
      <c r="D11632" s="26"/>
      <c r="E11632" s="27"/>
      <c r="F11632" s="27"/>
      <c r="G11632" s="27" t="s">
        <v>11122</v>
      </c>
      <c r="H11632" s="27" t="s">
        <v>35</v>
      </c>
      <c r="I11632" s="28" t="s">
        <v>46</v>
      </c>
      <c r="J11632" s="28" t="s">
        <v>1232</v>
      </c>
      <c r="K11632" s="27" t="s">
        <v>49</v>
      </c>
      <c r="L11632" s="27"/>
    </row>
    <row r="11633" customFormat="false" ht="15" hidden="false" customHeight="false" outlineLevel="0" collapsed="false">
      <c r="A11633" s="26" t="s">
        <v>28181</v>
      </c>
      <c r="B11633" s="27" t="s">
        <v>28182</v>
      </c>
      <c r="C11633" s="27" t="s">
        <v>144</v>
      </c>
      <c r="D11633" s="26"/>
      <c r="E11633" s="27"/>
      <c r="F11633" s="27"/>
      <c r="G11633" s="27" t="s">
        <v>11122</v>
      </c>
      <c r="H11633" s="27" t="s">
        <v>35</v>
      </c>
      <c r="I11633" s="28" t="s">
        <v>46</v>
      </c>
      <c r="J11633" s="28" t="s">
        <v>1232</v>
      </c>
      <c r="K11633" s="27" t="s">
        <v>49</v>
      </c>
      <c r="L11633" s="27"/>
    </row>
    <row r="11634" customFormat="false" ht="15" hidden="false" customHeight="false" outlineLevel="0" collapsed="false">
      <c r="A11634" s="26" t="s">
        <v>28183</v>
      </c>
      <c r="B11634" s="27" t="s">
        <v>28184</v>
      </c>
      <c r="C11634" s="27" t="s">
        <v>144</v>
      </c>
      <c r="D11634" s="26"/>
      <c r="E11634" s="27"/>
      <c r="F11634" s="27"/>
      <c r="G11634" s="27" t="s">
        <v>11122</v>
      </c>
      <c r="H11634" s="27" t="s">
        <v>35</v>
      </c>
      <c r="I11634" s="27" t="s">
        <v>42</v>
      </c>
      <c r="J11634" s="28" t="s">
        <v>1232</v>
      </c>
      <c r="K11634" s="27" t="s">
        <v>49</v>
      </c>
      <c r="L11634" s="27"/>
    </row>
    <row r="11635" customFormat="false" ht="15" hidden="false" customHeight="false" outlineLevel="0" collapsed="false">
      <c r="A11635" s="26" t="s">
        <v>28185</v>
      </c>
      <c r="B11635" s="27" t="s">
        <v>28186</v>
      </c>
      <c r="C11635" s="27" t="s">
        <v>144</v>
      </c>
      <c r="D11635" s="26"/>
      <c r="E11635" s="27"/>
      <c r="F11635" s="27"/>
      <c r="G11635" s="27" t="s">
        <v>11122</v>
      </c>
      <c r="H11635" s="27" t="s">
        <v>35</v>
      </c>
      <c r="I11635" s="27" t="s">
        <v>40</v>
      </c>
      <c r="J11635" s="28" t="s">
        <v>1232</v>
      </c>
      <c r="K11635" s="27" t="s">
        <v>49</v>
      </c>
      <c r="L11635" s="27"/>
    </row>
    <row r="11636" customFormat="false" ht="15" hidden="false" customHeight="false" outlineLevel="0" collapsed="false">
      <c r="A11636" s="26" t="s">
        <v>28187</v>
      </c>
      <c r="B11636" s="27" t="s">
        <v>28188</v>
      </c>
      <c r="C11636" s="27" t="s">
        <v>144</v>
      </c>
      <c r="D11636" s="26"/>
      <c r="E11636" s="27"/>
      <c r="F11636" s="27"/>
      <c r="G11636" s="27" t="s">
        <v>11122</v>
      </c>
      <c r="H11636" s="27" t="s">
        <v>35</v>
      </c>
      <c r="I11636" s="27" t="s">
        <v>39</v>
      </c>
      <c r="J11636" s="28" t="s">
        <v>1232</v>
      </c>
      <c r="K11636" s="27" t="s">
        <v>49</v>
      </c>
      <c r="L11636" s="27"/>
    </row>
    <row r="11637" customFormat="false" ht="15" hidden="false" customHeight="false" outlineLevel="0" collapsed="false">
      <c r="A11637" s="26" t="s">
        <v>28189</v>
      </c>
      <c r="B11637" s="27" t="s">
        <v>28190</v>
      </c>
      <c r="C11637" s="27" t="s">
        <v>144</v>
      </c>
      <c r="D11637" s="26"/>
      <c r="E11637" s="27"/>
      <c r="F11637" s="27"/>
      <c r="G11637" s="27" t="s">
        <v>11122</v>
      </c>
      <c r="H11637" s="27" t="s">
        <v>35</v>
      </c>
      <c r="I11637" s="27" t="s">
        <v>42</v>
      </c>
      <c r="J11637" s="28" t="s">
        <v>1232</v>
      </c>
      <c r="K11637" s="27" t="s">
        <v>49</v>
      </c>
      <c r="L11637" s="27"/>
    </row>
    <row r="11638" customFormat="false" ht="15" hidden="false" customHeight="false" outlineLevel="0" collapsed="false">
      <c r="A11638" s="26" t="s">
        <v>28191</v>
      </c>
      <c r="B11638" s="27" t="s">
        <v>28192</v>
      </c>
      <c r="C11638" s="27" t="s">
        <v>144</v>
      </c>
      <c r="D11638" s="26"/>
      <c r="E11638" s="27"/>
      <c r="F11638" s="27"/>
      <c r="G11638" s="27" t="s">
        <v>11122</v>
      </c>
      <c r="H11638" s="27" t="s">
        <v>35</v>
      </c>
      <c r="I11638" s="28" t="s">
        <v>46</v>
      </c>
      <c r="J11638" s="28" t="s">
        <v>1232</v>
      </c>
      <c r="K11638" s="27" t="s">
        <v>49</v>
      </c>
      <c r="L11638" s="27"/>
    </row>
    <row r="11639" customFormat="false" ht="15" hidden="false" customHeight="false" outlineLevel="0" collapsed="false">
      <c r="A11639" s="26" t="s">
        <v>28193</v>
      </c>
      <c r="B11639" s="27" t="s">
        <v>28194</v>
      </c>
      <c r="C11639" s="27" t="s">
        <v>144</v>
      </c>
      <c r="D11639" s="26"/>
      <c r="E11639" s="27"/>
      <c r="F11639" s="27"/>
      <c r="G11639" s="27" t="s">
        <v>11122</v>
      </c>
      <c r="H11639" s="27" t="s">
        <v>35</v>
      </c>
      <c r="I11639" s="27" t="s">
        <v>43</v>
      </c>
      <c r="J11639" s="28" t="s">
        <v>1232</v>
      </c>
      <c r="K11639" s="27" t="s">
        <v>49</v>
      </c>
      <c r="L11639" s="27"/>
    </row>
    <row r="11640" customFormat="false" ht="15" hidden="false" customHeight="false" outlineLevel="0" collapsed="false">
      <c r="A11640" s="26" t="s">
        <v>28195</v>
      </c>
      <c r="B11640" s="27" t="s">
        <v>28196</v>
      </c>
      <c r="C11640" s="27" t="s">
        <v>144</v>
      </c>
      <c r="D11640" s="26"/>
      <c r="E11640" s="27"/>
      <c r="F11640" s="27"/>
      <c r="G11640" s="27" t="s">
        <v>11122</v>
      </c>
      <c r="H11640" s="27" t="s">
        <v>35</v>
      </c>
      <c r="I11640" s="27" t="s">
        <v>887</v>
      </c>
      <c r="J11640" s="28" t="s">
        <v>1232</v>
      </c>
      <c r="K11640" s="27" t="s">
        <v>49</v>
      </c>
      <c r="L11640" s="27"/>
    </row>
    <row r="11641" customFormat="false" ht="15" hidden="false" customHeight="false" outlineLevel="0" collapsed="false">
      <c r="A11641" s="26" t="s">
        <v>28197</v>
      </c>
      <c r="B11641" s="27" t="s">
        <v>28198</v>
      </c>
      <c r="C11641" s="27" t="s">
        <v>370</v>
      </c>
      <c r="D11641" s="26"/>
      <c r="E11641" s="27"/>
      <c r="F11641" s="27"/>
      <c r="G11641" s="27" t="s">
        <v>11122</v>
      </c>
      <c r="H11641" s="27" t="s">
        <v>35</v>
      </c>
      <c r="I11641" s="27" t="s">
        <v>43</v>
      </c>
      <c r="J11641" s="28" t="s">
        <v>1232</v>
      </c>
      <c r="K11641" s="27" t="s">
        <v>49</v>
      </c>
      <c r="L11641" s="27"/>
    </row>
    <row r="11642" customFormat="false" ht="15" hidden="false" customHeight="false" outlineLevel="0" collapsed="false">
      <c r="A11642" s="26" t="s">
        <v>28199</v>
      </c>
      <c r="B11642" s="27" t="s">
        <v>28200</v>
      </c>
      <c r="C11642" s="27" t="s">
        <v>370</v>
      </c>
      <c r="D11642" s="26"/>
      <c r="E11642" s="27"/>
      <c r="F11642" s="27"/>
      <c r="G11642" s="27" t="s">
        <v>11122</v>
      </c>
      <c r="H11642" s="27" t="s">
        <v>35</v>
      </c>
      <c r="I11642" s="27" t="s">
        <v>44</v>
      </c>
      <c r="J11642" s="28" t="s">
        <v>1232</v>
      </c>
      <c r="K11642" s="27" t="s">
        <v>49</v>
      </c>
      <c r="L11642" s="27"/>
    </row>
    <row r="11643" customFormat="false" ht="15" hidden="false" customHeight="false" outlineLevel="0" collapsed="false">
      <c r="A11643" s="26" t="s">
        <v>28201</v>
      </c>
      <c r="B11643" s="27" t="s">
        <v>28202</v>
      </c>
      <c r="C11643" s="27" t="s">
        <v>370</v>
      </c>
      <c r="D11643" s="26"/>
      <c r="E11643" s="27"/>
      <c r="F11643" s="27"/>
      <c r="G11643" s="27" t="s">
        <v>11122</v>
      </c>
      <c r="H11643" s="27" t="s">
        <v>35</v>
      </c>
      <c r="I11643" s="27" t="s">
        <v>43</v>
      </c>
      <c r="J11643" s="28" t="s">
        <v>1232</v>
      </c>
      <c r="K11643" s="27" t="s">
        <v>49</v>
      </c>
      <c r="L11643" s="27"/>
    </row>
    <row r="11644" customFormat="false" ht="15" hidden="false" customHeight="false" outlineLevel="0" collapsed="false">
      <c r="A11644" s="26" t="s">
        <v>28203</v>
      </c>
      <c r="B11644" s="27" t="s">
        <v>28204</v>
      </c>
      <c r="C11644" s="27" t="s">
        <v>144</v>
      </c>
      <c r="D11644" s="26"/>
      <c r="E11644" s="27"/>
      <c r="F11644" s="27"/>
      <c r="G11644" s="27" t="s">
        <v>11122</v>
      </c>
      <c r="H11644" s="27" t="s">
        <v>35</v>
      </c>
      <c r="I11644" s="27" t="s">
        <v>44</v>
      </c>
      <c r="J11644" s="28" t="s">
        <v>1232</v>
      </c>
      <c r="K11644" s="27" t="s">
        <v>49</v>
      </c>
      <c r="L11644" s="27"/>
    </row>
    <row r="11645" customFormat="false" ht="15" hidden="false" customHeight="false" outlineLevel="0" collapsed="false">
      <c r="A11645" s="26" t="s">
        <v>28205</v>
      </c>
      <c r="B11645" s="27" t="s">
        <v>28206</v>
      </c>
      <c r="C11645" s="27" t="s">
        <v>144</v>
      </c>
      <c r="D11645" s="26"/>
      <c r="E11645" s="27"/>
      <c r="F11645" s="27"/>
      <c r="G11645" s="27" t="s">
        <v>11122</v>
      </c>
      <c r="H11645" s="27" t="s">
        <v>35</v>
      </c>
      <c r="I11645" s="27" t="s">
        <v>44</v>
      </c>
      <c r="J11645" s="28" t="s">
        <v>1232</v>
      </c>
      <c r="K11645" s="27" t="s">
        <v>49</v>
      </c>
      <c r="L11645" s="27"/>
    </row>
    <row r="11646" customFormat="false" ht="15" hidden="false" customHeight="false" outlineLevel="0" collapsed="false">
      <c r="A11646" s="26" t="s">
        <v>28207</v>
      </c>
      <c r="B11646" s="27" t="s">
        <v>28208</v>
      </c>
      <c r="C11646" s="27" t="s">
        <v>144</v>
      </c>
      <c r="D11646" s="26"/>
      <c r="E11646" s="27"/>
      <c r="F11646" s="27"/>
      <c r="G11646" s="27" t="s">
        <v>11122</v>
      </c>
      <c r="H11646" s="27" t="s">
        <v>35</v>
      </c>
      <c r="I11646" s="27" t="s">
        <v>44</v>
      </c>
      <c r="J11646" s="28" t="s">
        <v>1232</v>
      </c>
      <c r="K11646" s="27" t="s">
        <v>49</v>
      </c>
      <c r="L11646" s="27"/>
    </row>
    <row r="11647" customFormat="false" ht="15" hidden="false" customHeight="false" outlineLevel="0" collapsed="false">
      <c r="A11647" s="26" t="s">
        <v>28209</v>
      </c>
      <c r="B11647" s="27" t="s">
        <v>28210</v>
      </c>
      <c r="C11647" s="27" t="s">
        <v>1087</v>
      </c>
      <c r="D11647" s="26"/>
      <c r="E11647" s="27"/>
      <c r="F11647" s="27"/>
      <c r="G11647" s="27" t="s">
        <v>11122</v>
      </c>
      <c r="H11647" s="27" t="s">
        <v>35</v>
      </c>
      <c r="I11647" s="27" t="s">
        <v>44</v>
      </c>
      <c r="J11647" s="28" t="s">
        <v>1232</v>
      </c>
      <c r="K11647" s="27" t="s">
        <v>49</v>
      </c>
      <c r="L11647" s="27"/>
    </row>
    <row r="11648" customFormat="false" ht="15" hidden="false" customHeight="false" outlineLevel="0" collapsed="false">
      <c r="A11648" s="26" t="s">
        <v>28211</v>
      </c>
      <c r="B11648" s="27" t="s">
        <v>28212</v>
      </c>
      <c r="C11648" s="27" t="s">
        <v>144</v>
      </c>
      <c r="D11648" s="26"/>
      <c r="E11648" s="27"/>
      <c r="F11648" s="27"/>
      <c r="G11648" s="27" t="s">
        <v>11122</v>
      </c>
      <c r="H11648" s="27" t="s">
        <v>35</v>
      </c>
      <c r="I11648" s="27" t="s">
        <v>37</v>
      </c>
      <c r="J11648" s="28" t="s">
        <v>1232</v>
      </c>
      <c r="K11648" s="27" t="s">
        <v>49</v>
      </c>
      <c r="L11648" s="27"/>
    </row>
    <row r="11649" customFormat="false" ht="15" hidden="false" customHeight="false" outlineLevel="0" collapsed="false">
      <c r="A11649" s="26" t="s">
        <v>28213</v>
      </c>
      <c r="B11649" s="27" t="s">
        <v>28214</v>
      </c>
      <c r="C11649" s="27" t="s">
        <v>144</v>
      </c>
      <c r="D11649" s="26"/>
      <c r="E11649" s="27"/>
      <c r="F11649" s="27"/>
      <c r="G11649" s="27" t="s">
        <v>11122</v>
      </c>
      <c r="H11649" s="27" t="s">
        <v>35</v>
      </c>
      <c r="I11649" s="27" t="s">
        <v>42</v>
      </c>
      <c r="J11649" s="28" t="s">
        <v>1232</v>
      </c>
      <c r="K11649" s="27" t="s">
        <v>49</v>
      </c>
      <c r="L11649" s="27"/>
    </row>
    <row r="11650" customFormat="false" ht="15" hidden="false" customHeight="false" outlineLevel="0" collapsed="false">
      <c r="A11650" s="26" t="s">
        <v>28215</v>
      </c>
      <c r="B11650" s="27" t="s">
        <v>28216</v>
      </c>
      <c r="C11650" s="27" t="s">
        <v>144</v>
      </c>
      <c r="D11650" s="26"/>
      <c r="E11650" s="27"/>
      <c r="F11650" s="27"/>
      <c r="G11650" s="27" t="s">
        <v>11122</v>
      </c>
      <c r="H11650" s="27" t="s">
        <v>35</v>
      </c>
      <c r="I11650" s="27" t="s">
        <v>40</v>
      </c>
      <c r="J11650" s="28" t="s">
        <v>1232</v>
      </c>
      <c r="K11650" s="27" t="s">
        <v>49</v>
      </c>
      <c r="L11650" s="27"/>
    </row>
    <row r="11651" customFormat="false" ht="15" hidden="false" customHeight="false" outlineLevel="0" collapsed="false">
      <c r="A11651" s="26" t="s">
        <v>28217</v>
      </c>
      <c r="B11651" s="27" t="s">
        <v>28218</v>
      </c>
      <c r="C11651" s="27" t="s">
        <v>1527</v>
      </c>
      <c r="D11651" s="26"/>
      <c r="E11651" s="27"/>
      <c r="F11651" s="27"/>
      <c r="G11651" s="27" t="s">
        <v>11122</v>
      </c>
      <c r="H11651" s="27" t="s">
        <v>35</v>
      </c>
      <c r="I11651" s="27" t="s">
        <v>42</v>
      </c>
      <c r="J11651" s="28" t="s">
        <v>1232</v>
      </c>
      <c r="K11651" s="27" t="s">
        <v>49</v>
      </c>
      <c r="L11651" s="27"/>
    </row>
    <row r="11652" customFormat="false" ht="15" hidden="false" customHeight="false" outlineLevel="0" collapsed="false">
      <c r="A11652" s="26" t="s">
        <v>28219</v>
      </c>
      <c r="B11652" s="27" t="s">
        <v>28220</v>
      </c>
      <c r="C11652" s="27" t="s">
        <v>370</v>
      </c>
      <c r="D11652" s="26"/>
      <c r="E11652" s="27"/>
      <c r="F11652" s="27"/>
      <c r="G11652" s="27" t="s">
        <v>11122</v>
      </c>
      <c r="H11652" s="27" t="s">
        <v>35</v>
      </c>
      <c r="I11652" s="27" t="s">
        <v>41</v>
      </c>
      <c r="J11652" s="28" t="s">
        <v>1232</v>
      </c>
      <c r="K11652" s="27" t="s">
        <v>49</v>
      </c>
      <c r="L11652" s="27"/>
    </row>
    <row r="11653" customFormat="false" ht="15" hidden="false" customHeight="false" outlineLevel="0" collapsed="false">
      <c r="A11653" s="26" t="s">
        <v>28221</v>
      </c>
      <c r="B11653" s="27" t="s">
        <v>28222</v>
      </c>
      <c r="C11653" s="27" t="s">
        <v>370</v>
      </c>
      <c r="D11653" s="26"/>
      <c r="E11653" s="27"/>
      <c r="F11653" s="27"/>
      <c r="G11653" s="27" t="s">
        <v>11122</v>
      </c>
      <c r="H11653" s="27" t="s">
        <v>35</v>
      </c>
      <c r="I11653" s="27" t="s">
        <v>41</v>
      </c>
      <c r="J11653" s="28" t="s">
        <v>1232</v>
      </c>
      <c r="K11653" s="27" t="s">
        <v>49</v>
      </c>
      <c r="L11653" s="27"/>
    </row>
    <row r="11654" customFormat="false" ht="15" hidden="false" customHeight="false" outlineLevel="0" collapsed="false">
      <c r="A11654" s="26" t="s">
        <v>28223</v>
      </c>
      <c r="B11654" s="27" t="s">
        <v>28224</v>
      </c>
      <c r="C11654" s="27" t="s">
        <v>1187</v>
      </c>
      <c r="D11654" s="26"/>
      <c r="E11654" s="27"/>
      <c r="F11654" s="27"/>
      <c r="G11654" s="27" t="s">
        <v>11122</v>
      </c>
      <c r="H11654" s="27" t="s">
        <v>35</v>
      </c>
      <c r="I11654" s="27" t="s">
        <v>39</v>
      </c>
      <c r="J11654" s="28" t="s">
        <v>1232</v>
      </c>
      <c r="K11654" s="27" t="s">
        <v>49</v>
      </c>
      <c r="L11654" s="27"/>
    </row>
    <row r="11655" customFormat="false" ht="15" hidden="false" customHeight="false" outlineLevel="0" collapsed="false">
      <c r="A11655" s="26" t="s">
        <v>28225</v>
      </c>
      <c r="B11655" s="27" t="s">
        <v>28226</v>
      </c>
      <c r="C11655" s="27" t="s">
        <v>1187</v>
      </c>
      <c r="D11655" s="26"/>
      <c r="E11655" s="27"/>
      <c r="F11655" s="27"/>
      <c r="G11655" s="27" t="s">
        <v>11122</v>
      </c>
      <c r="H11655" s="27" t="s">
        <v>35</v>
      </c>
      <c r="I11655" s="27" t="s">
        <v>39</v>
      </c>
      <c r="J11655" s="28" t="s">
        <v>1232</v>
      </c>
      <c r="K11655" s="27" t="s">
        <v>49</v>
      </c>
      <c r="L11655" s="27"/>
    </row>
    <row r="11656" customFormat="false" ht="15" hidden="false" customHeight="false" outlineLevel="0" collapsed="false">
      <c r="A11656" s="26" t="s">
        <v>28227</v>
      </c>
      <c r="B11656" s="27" t="s">
        <v>28228</v>
      </c>
      <c r="C11656" s="27" t="s">
        <v>370</v>
      </c>
      <c r="D11656" s="26"/>
      <c r="E11656" s="27"/>
      <c r="F11656" s="27"/>
      <c r="G11656" s="27" t="s">
        <v>11122</v>
      </c>
      <c r="H11656" s="27" t="s">
        <v>35</v>
      </c>
      <c r="I11656" s="27" t="s">
        <v>37</v>
      </c>
      <c r="J11656" s="28" t="s">
        <v>1232</v>
      </c>
      <c r="K11656" s="27" t="s">
        <v>49</v>
      </c>
      <c r="L11656" s="27"/>
    </row>
    <row r="11657" customFormat="false" ht="15" hidden="false" customHeight="false" outlineLevel="0" collapsed="false">
      <c r="A11657" s="26" t="s">
        <v>28229</v>
      </c>
      <c r="B11657" s="27" t="s">
        <v>28230</v>
      </c>
      <c r="C11657" s="27" t="s">
        <v>1087</v>
      </c>
      <c r="D11657" s="26"/>
      <c r="E11657" s="27"/>
      <c r="F11657" s="27"/>
      <c r="G11657" s="27" t="s">
        <v>11122</v>
      </c>
      <c r="H11657" s="27" t="s">
        <v>35</v>
      </c>
      <c r="I11657" s="27" t="s">
        <v>44</v>
      </c>
      <c r="J11657" s="28" t="s">
        <v>1232</v>
      </c>
      <c r="K11657" s="27" t="s">
        <v>49</v>
      </c>
      <c r="L11657" s="27"/>
    </row>
    <row r="11658" customFormat="false" ht="15" hidden="false" customHeight="false" outlineLevel="0" collapsed="false">
      <c r="A11658" s="26" t="s">
        <v>28231</v>
      </c>
      <c r="B11658" s="27" t="s">
        <v>28232</v>
      </c>
      <c r="C11658" s="27" t="s">
        <v>1087</v>
      </c>
      <c r="D11658" s="26"/>
      <c r="E11658" s="27"/>
      <c r="F11658" s="27"/>
      <c r="G11658" s="27" t="s">
        <v>11122</v>
      </c>
      <c r="H11658" s="27" t="s">
        <v>35</v>
      </c>
      <c r="I11658" s="27" t="s">
        <v>43</v>
      </c>
      <c r="J11658" s="28" t="s">
        <v>1232</v>
      </c>
      <c r="K11658" s="27" t="s">
        <v>49</v>
      </c>
      <c r="L11658" s="27"/>
    </row>
    <row r="11659" customFormat="false" ht="15" hidden="false" customHeight="false" outlineLevel="0" collapsed="false">
      <c r="A11659" s="26" t="s">
        <v>28233</v>
      </c>
      <c r="B11659" s="28" t="s">
        <v>28234</v>
      </c>
      <c r="C11659" s="27" t="s">
        <v>370</v>
      </c>
      <c r="D11659" s="26"/>
      <c r="E11659" s="27"/>
      <c r="F11659" s="27"/>
      <c r="G11659" s="27" t="s">
        <v>11122</v>
      </c>
      <c r="H11659" s="27" t="s">
        <v>35</v>
      </c>
      <c r="I11659" s="27" t="s">
        <v>43</v>
      </c>
      <c r="J11659" s="28" t="s">
        <v>1232</v>
      </c>
      <c r="K11659" s="27" t="s">
        <v>49</v>
      </c>
      <c r="L11659" s="27"/>
    </row>
    <row r="11660" customFormat="false" ht="15" hidden="false" customHeight="false" outlineLevel="0" collapsed="false">
      <c r="A11660" s="26" t="s">
        <v>28235</v>
      </c>
      <c r="B11660" s="28" t="s">
        <v>28236</v>
      </c>
      <c r="C11660" s="27" t="s">
        <v>370</v>
      </c>
      <c r="D11660" s="26"/>
      <c r="E11660" s="27"/>
      <c r="F11660" s="27"/>
      <c r="G11660" s="27" t="s">
        <v>11122</v>
      </c>
      <c r="H11660" s="27" t="s">
        <v>35</v>
      </c>
      <c r="I11660" s="27" t="s">
        <v>41</v>
      </c>
      <c r="J11660" s="28" t="s">
        <v>1232</v>
      </c>
      <c r="K11660" s="27" t="s">
        <v>49</v>
      </c>
      <c r="L11660" s="27"/>
    </row>
    <row r="11661" customFormat="false" ht="15" hidden="false" customHeight="false" outlineLevel="0" collapsed="false">
      <c r="A11661" s="26" t="s">
        <v>28237</v>
      </c>
      <c r="B11661" s="27" t="s">
        <v>28238</v>
      </c>
      <c r="C11661" s="27" t="s">
        <v>370</v>
      </c>
      <c r="D11661" s="26"/>
      <c r="E11661" s="27"/>
      <c r="F11661" s="27"/>
      <c r="G11661" s="27" t="s">
        <v>11122</v>
      </c>
      <c r="H11661" s="27" t="s">
        <v>35</v>
      </c>
      <c r="I11661" s="27" t="s">
        <v>37</v>
      </c>
      <c r="J11661" s="28" t="s">
        <v>1232</v>
      </c>
      <c r="K11661" s="27" t="s">
        <v>49</v>
      </c>
      <c r="L11661" s="27"/>
    </row>
    <row r="11662" customFormat="false" ht="15" hidden="false" customHeight="false" outlineLevel="0" collapsed="false">
      <c r="A11662" s="26" t="s">
        <v>28239</v>
      </c>
      <c r="B11662" s="27" t="s">
        <v>28240</v>
      </c>
      <c r="C11662" s="27" t="s">
        <v>144</v>
      </c>
      <c r="D11662" s="26"/>
      <c r="E11662" s="27"/>
      <c r="F11662" s="27"/>
      <c r="G11662" s="27" t="s">
        <v>11122</v>
      </c>
      <c r="H11662" s="27" t="s">
        <v>35</v>
      </c>
      <c r="I11662" s="27" t="s">
        <v>37</v>
      </c>
      <c r="J11662" s="28" t="s">
        <v>1232</v>
      </c>
      <c r="K11662" s="27" t="s">
        <v>49</v>
      </c>
      <c r="L11662" s="27"/>
    </row>
    <row r="11663" customFormat="false" ht="15" hidden="false" customHeight="false" outlineLevel="0" collapsed="false">
      <c r="A11663" s="26" t="s">
        <v>28241</v>
      </c>
      <c r="B11663" s="27" t="s">
        <v>28242</v>
      </c>
      <c r="C11663" s="27" t="s">
        <v>144</v>
      </c>
      <c r="D11663" s="26"/>
      <c r="E11663" s="27"/>
      <c r="F11663" s="27"/>
      <c r="G11663" s="27" t="s">
        <v>11122</v>
      </c>
      <c r="H11663" s="27" t="s">
        <v>35</v>
      </c>
      <c r="I11663" s="27" t="s">
        <v>37</v>
      </c>
      <c r="J11663" s="28" t="s">
        <v>1232</v>
      </c>
      <c r="K11663" s="27" t="s">
        <v>49</v>
      </c>
      <c r="L11663" s="27"/>
    </row>
    <row r="11664" customFormat="false" ht="15" hidden="false" customHeight="false" outlineLevel="0" collapsed="false">
      <c r="A11664" s="26" t="s">
        <v>28243</v>
      </c>
      <c r="B11664" s="27" t="s">
        <v>28244</v>
      </c>
      <c r="C11664" s="27" t="s">
        <v>144</v>
      </c>
      <c r="D11664" s="26"/>
      <c r="E11664" s="27"/>
      <c r="F11664" s="27"/>
      <c r="G11664" s="27" t="s">
        <v>11122</v>
      </c>
      <c r="H11664" s="27" t="s">
        <v>35</v>
      </c>
      <c r="I11664" s="27" t="s">
        <v>37</v>
      </c>
      <c r="J11664" s="28" t="s">
        <v>1232</v>
      </c>
      <c r="K11664" s="27" t="s">
        <v>49</v>
      </c>
      <c r="L11664" s="27"/>
    </row>
    <row r="11665" customFormat="false" ht="15" hidden="false" customHeight="false" outlineLevel="0" collapsed="false">
      <c r="A11665" s="26" t="s">
        <v>28245</v>
      </c>
      <c r="B11665" s="27" t="s">
        <v>28246</v>
      </c>
      <c r="C11665" s="27" t="s">
        <v>144</v>
      </c>
      <c r="D11665" s="26"/>
      <c r="E11665" s="27"/>
      <c r="F11665" s="27"/>
      <c r="G11665" s="27" t="s">
        <v>11122</v>
      </c>
      <c r="H11665" s="27" t="s">
        <v>35</v>
      </c>
      <c r="I11665" s="27" t="s">
        <v>41</v>
      </c>
      <c r="J11665" s="28" t="s">
        <v>1232</v>
      </c>
      <c r="K11665" s="27" t="s">
        <v>49</v>
      </c>
      <c r="L11665" s="27"/>
    </row>
    <row r="11666" customFormat="false" ht="15" hidden="false" customHeight="false" outlineLevel="0" collapsed="false">
      <c r="A11666" s="26" t="s">
        <v>28247</v>
      </c>
      <c r="B11666" s="27" t="s">
        <v>28248</v>
      </c>
      <c r="C11666" s="27" t="s">
        <v>144</v>
      </c>
      <c r="D11666" s="26"/>
      <c r="E11666" s="27"/>
      <c r="F11666" s="27"/>
      <c r="G11666" s="27" t="s">
        <v>11122</v>
      </c>
      <c r="H11666" s="27" t="s">
        <v>35</v>
      </c>
      <c r="I11666" s="27" t="s">
        <v>41</v>
      </c>
      <c r="J11666" s="28" t="s">
        <v>1232</v>
      </c>
      <c r="K11666" s="27" t="s">
        <v>49</v>
      </c>
      <c r="L11666" s="27"/>
    </row>
    <row r="11667" customFormat="false" ht="15" hidden="false" customHeight="false" outlineLevel="0" collapsed="false">
      <c r="A11667" s="26" t="s">
        <v>28249</v>
      </c>
      <c r="B11667" s="27" t="s">
        <v>28250</v>
      </c>
      <c r="C11667" s="27" t="s">
        <v>370</v>
      </c>
      <c r="D11667" s="26"/>
      <c r="E11667" s="27"/>
      <c r="F11667" s="27"/>
      <c r="G11667" s="27" t="s">
        <v>11122</v>
      </c>
      <c r="H11667" s="27" t="s">
        <v>35</v>
      </c>
      <c r="I11667" s="27" t="s">
        <v>38</v>
      </c>
      <c r="J11667" s="28" t="s">
        <v>1232</v>
      </c>
      <c r="K11667" s="27" t="s">
        <v>49</v>
      </c>
      <c r="L11667" s="27"/>
    </row>
    <row r="11668" customFormat="false" ht="15" hidden="false" customHeight="false" outlineLevel="0" collapsed="false">
      <c r="A11668" s="26" t="s">
        <v>28251</v>
      </c>
      <c r="B11668" s="27" t="s">
        <v>28252</v>
      </c>
      <c r="C11668" s="27" t="s">
        <v>370</v>
      </c>
      <c r="D11668" s="26"/>
      <c r="E11668" s="27"/>
      <c r="F11668" s="27"/>
      <c r="G11668" s="27" t="s">
        <v>11122</v>
      </c>
      <c r="H11668" s="27" t="s">
        <v>35</v>
      </c>
      <c r="I11668" s="27" t="s">
        <v>39</v>
      </c>
      <c r="J11668" s="28" t="s">
        <v>1232</v>
      </c>
      <c r="K11668" s="27" t="s">
        <v>49</v>
      </c>
      <c r="L11668" s="27"/>
    </row>
    <row r="11669" customFormat="false" ht="15" hidden="false" customHeight="false" outlineLevel="0" collapsed="false">
      <c r="A11669" s="26" t="s">
        <v>28253</v>
      </c>
      <c r="B11669" s="27" t="s">
        <v>28254</v>
      </c>
      <c r="C11669" s="27" t="s">
        <v>144</v>
      </c>
      <c r="D11669" s="26"/>
      <c r="E11669" s="27"/>
      <c r="F11669" s="27"/>
      <c r="G11669" s="27" t="s">
        <v>11122</v>
      </c>
      <c r="H11669" s="27" t="s">
        <v>35</v>
      </c>
      <c r="I11669" s="28" t="s">
        <v>46</v>
      </c>
      <c r="J11669" s="28" t="s">
        <v>1232</v>
      </c>
      <c r="K11669" s="27" t="s">
        <v>49</v>
      </c>
      <c r="L11669" s="27"/>
    </row>
    <row r="11670" customFormat="false" ht="15" hidden="false" customHeight="false" outlineLevel="0" collapsed="false">
      <c r="A11670" s="26" t="s">
        <v>28255</v>
      </c>
      <c r="B11670" s="27" t="s">
        <v>28256</v>
      </c>
      <c r="C11670" s="27" t="s">
        <v>144</v>
      </c>
      <c r="D11670" s="26"/>
      <c r="E11670" s="27"/>
      <c r="F11670" s="27"/>
      <c r="G11670" s="27" t="s">
        <v>11122</v>
      </c>
      <c r="H11670" s="27" t="s">
        <v>35</v>
      </c>
      <c r="I11670" s="27" t="s">
        <v>39</v>
      </c>
      <c r="J11670" s="28" t="s">
        <v>1232</v>
      </c>
      <c r="K11670" s="27" t="s">
        <v>49</v>
      </c>
      <c r="L11670" s="27"/>
    </row>
    <row r="11671" customFormat="false" ht="15" hidden="false" customHeight="false" outlineLevel="0" collapsed="false">
      <c r="A11671" s="26" t="s">
        <v>28257</v>
      </c>
      <c r="B11671" s="27" t="s">
        <v>28258</v>
      </c>
      <c r="C11671" s="27" t="s">
        <v>370</v>
      </c>
      <c r="D11671" s="26"/>
      <c r="E11671" s="27"/>
      <c r="F11671" s="27"/>
      <c r="G11671" s="27" t="s">
        <v>11122</v>
      </c>
      <c r="H11671" s="27" t="s">
        <v>35</v>
      </c>
      <c r="I11671" s="27" t="s">
        <v>40</v>
      </c>
      <c r="J11671" s="28" t="s">
        <v>1232</v>
      </c>
      <c r="K11671" s="27" t="s">
        <v>49</v>
      </c>
      <c r="L11671" s="27"/>
    </row>
    <row r="11672" customFormat="false" ht="15" hidden="false" customHeight="false" outlineLevel="0" collapsed="false">
      <c r="A11672" s="26" t="s">
        <v>28259</v>
      </c>
      <c r="B11672" s="27" t="s">
        <v>28260</v>
      </c>
      <c r="C11672" s="27" t="s">
        <v>370</v>
      </c>
      <c r="D11672" s="26"/>
      <c r="E11672" s="27"/>
      <c r="F11672" s="27"/>
      <c r="G11672" s="27" t="s">
        <v>11122</v>
      </c>
      <c r="H11672" s="27" t="s">
        <v>35</v>
      </c>
      <c r="I11672" s="27" t="s">
        <v>43</v>
      </c>
      <c r="J11672" s="28" t="s">
        <v>1232</v>
      </c>
      <c r="K11672" s="27" t="s">
        <v>49</v>
      </c>
      <c r="L11672" s="27"/>
    </row>
    <row r="11673" customFormat="false" ht="15" hidden="false" customHeight="false" outlineLevel="0" collapsed="false">
      <c r="A11673" s="26" t="s">
        <v>28261</v>
      </c>
      <c r="B11673" s="27" t="s">
        <v>28262</v>
      </c>
      <c r="C11673" s="27" t="s">
        <v>370</v>
      </c>
      <c r="D11673" s="26"/>
      <c r="E11673" s="27"/>
      <c r="F11673" s="27"/>
      <c r="G11673" s="27" t="s">
        <v>11122</v>
      </c>
      <c r="H11673" s="27" t="s">
        <v>35</v>
      </c>
      <c r="I11673" s="28" t="s">
        <v>46</v>
      </c>
      <c r="J11673" s="28" t="s">
        <v>1232</v>
      </c>
      <c r="K11673" s="27" t="s">
        <v>49</v>
      </c>
      <c r="L11673" s="27"/>
    </row>
    <row r="11674" customFormat="false" ht="15" hidden="false" customHeight="false" outlineLevel="0" collapsed="false">
      <c r="A11674" s="26" t="s">
        <v>28263</v>
      </c>
      <c r="B11674" s="27" t="s">
        <v>28264</v>
      </c>
      <c r="C11674" s="27" t="s">
        <v>370</v>
      </c>
      <c r="D11674" s="26"/>
      <c r="E11674" s="27"/>
      <c r="F11674" s="27"/>
      <c r="G11674" s="27" t="s">
        <v>11122</v>
      </c>
      <c r="H11674" s="27" t="s">
        <v>35</v>
      </c>
      <c r="I11674" s="28" t="s">
        <v>46</v>
      </c>
      <c r="J11674" s="28" t="s">
        <v>1232</v>
      </c>
      <c r="K11674" s="27" t="s">
        <v>49</v>
      </c>
      <c r="L11674" s="27"/>
    </row>
    <row r="11675" customFormat="false" ht="15" hidden="false" customHeight="false" outlineLevel="0" collapsed="false">
      <c r="A11675" s="26" t="s">
        <v>28265</v>
      </c>
      <c r="B11675" s="27" t="s">
        <v>28266</v>
      </c>
      <c r="C11675" s="27" t="s">
        <v>144</v>
      </c>
      <c r="D11675" s="26"/>
      <c r="E11675" s="27"/>
      <c r="F11675" s="27"/>
      <c r="G11675" s="27" t="s">
        <v>11122</v>
      </c>
      <c r="H11675" s="27" t="s">
        <v>35</v>
      </c>
      <c r="I11675" s="27" t="s">
        <v>44</v>
      </c>
      <c r="J11675" s="28" t="s">
        <v>1232</v>
      </c>
      <c r="K11675" s="27" t="s">
        <v>49</v>
      </c>
      <c r="L11675" s="27"/>
    </row>
    <row r="11676" customFormat="false" ht="15" hidden="false" customHeight="false" outlineLevel="0" collapsed="false">
      <c r="A11676" s="26" t="s">
        <v>28267</v>
      </c>
      <c r="B11676" s="27" t="s">
        <v>28268</v>
      </c>
      <c r="C11676" s="27" t="s">
        <v>144</v>
      </c>
      <c r="D11676" s="26"/>
      <c r="E11676" s="27"/>
      <c r="F11676" s="27"/>
      <c r="G11676" s="27" t="s">
        <v>11122</v>
      </c>
      <c r="H11676" s="27" t="s">
        <v>35</v>
      </c>
      <c r="I11676" s="27" t="s">
        <v>47</v>
      </c>
      <c r="J11676" s="28" t="s">
        <v>1932</v>
      </c>
      <c r="K11676" s="27" t="s">
        <v>39</v>
      </c>
      <c r="L11676" s="27"/>
    </row>
    <row r="11677" customFormat="false" ht="15" hidden="false" customHeight="false" outlineLevel="0" collapsed="false">
      <c r="A11677" s="26" t="s">
        <v>28269</v>
      </c>
      <c r="B11677" s="27" t="s">
        <v>28270</v>
      </c>
      <c r="C11677" s="27" t="s">
        <v>144</v>
      </c>
      <c r="D11677" s="26"/>
      <c r="E11677" s="27"/>
      <c r="F11677" s="27"/>
      <c r="G11677" s="27" t="s">
        <v>11122</v>
      </c>
      <c r="H11677" s="27" t="s">
        <v>35</v>
      </c>
      <c r="I11677" s="27" t="s">
        <v>39</v>
      </c>
      <c r="J11677" s="28" t="s">
        <v>1932</v>
      </c>
      <c r="K11677" s="27" t="s">
        <v>39</v>
      </c>
      <c r="L11677" s="27"/>
    </row>
    <row r="11678" customFormat="false" ht="15" hidden="false" customHeight="false" outlineLevel="0" collapsed="false">
      <c r="A11678" s="26" t="s">
        <v>28271</v>
      </c>
      <c r="B11678" s="27" t="s">
        <v>28272</v>
      </c>
      <c r="C11678" s="27" t="s">
        <v>144</v>
      </c>
      <c r="D11678" s="26"/>
      <c r="E11678" s="27"/>
      <c r="F11678" s="27"/>
      <c r="G11678" s="27" t="s">
        <v>11122</v>
      </c>
      <c r="H11678" s="27" t="s">
        <v>35</v>
      </c>
      <c r="I11678" s="27" t="s">
        <v>44</v>
      </c>
      <c r="J11678" s="28" t="s">
        <v>1932</v>
      </c>
      <c r="K11678" s="27" t="s">
        <v>39</v>
      </c>
      <c r="L11678" s="27"/>
    </row>
    <row r="11679" customFormat="false" ht="15" hidden="false" customHeight="false" outlineLevel="0" collapsed="false">
      <c r="A11679" s="26" t="s">
        <v>28273</v>
      </c>
      <c r="B11679" s="27" t="s">
        <v>28274</v>
      </c>
      <c r="C11679" s="27" t="s">
        <v>144</v>
      </c>
      <c r="D11679" s="26"/>
      <c r="E11679" s="27"/>
      <c r="F11679" s="27"/>
      <c r="G11679" s="27" t="s">
        <v>11122</v>
      </c>
      <c r="H11679" s="27" t="s">
        <v>35</v>
      </c>
      <c r="I11679" s="27" t="s">
        <v>41</v>
      </c>
      <c r="J11679" s="28" t="s">
        <v>1932</v>
      </c>
      <c r="K11679" s="27" t="s">
        <v>39</v>
      </c>
      <c r="L11679" s="27"/>
    </row>
    <row r="11680" customFormat="false" ht="15" hidden="false" customHeight="false" outlineLevel="0" collapsed="false">
      <c r="A11680" s="26" t="s">
        <v>28275</v>
      </c>
      <c r="B11680" s="27" t="s">
        <v>28276</v>
      </c>
      <c r="C11680" s="27" t="s">
        <v>144</v>
      </c>
      <c r="D11680" s="26"/>
      <c r="E11680" s="27"/>
      <c r="F11680" s="27"/>
      <c r="G11680" s="27" t="s">
        <v>11122</v>
      </c>
      <c r="H11680" s="27" t="s">
        <v>35</v>
      </c>
      <c r="I11680" s="27" t="s">
        <v>43</v>
      </c>
      <c r="J11680" s="28" t="s">
        <v>1932</v>
      </c>
      <c r="K11680" s="27" t="s">
        <v>39</v>
      </c>
      <c r="L11680" s="27"/>
    </row>
    <row r="11681" customFormat="false" ht="15" hidden="false" customHeight="false" outlineLevel="0" collapsed="false">
      <c r="A11681" s="26" t="s">
        <v>28277</v>
      </c>
      <c r="B11681" s="27" t="s">
        <v>28278</v>
      </c>
      <c r="C11681" s="27" t="s">
        <v>144</v>
      </c>
      <c r="D11681" s="26"/>
      <c r="E11681" s="27"/>
      <c r="F11681" s="27"/>
      <c r="G11681" s="27" t="s">
        <v>11122</v>
      </c>
      <c r="H11681" s="27" t="s">
        <v>35</v>
      </c>
      <c r="I11681" s="28" t="s">
        <v>46</v>
      </c>
      <c r="J11681" s="28" t="s">
        <v>1932</v>
      </c>
      <c r="K11681" s="27" t="s">
        <v>39</v>
      </c>
      <c r="L11681" s="27"/>
    </row>
    <row r="11682" customFormat="false" ht="15" hidden="false" customHeight="false" outlineLevel="0" collapsed="false">
      <c r="A11682" s="26" t="s">
        <v>28279</v>
      </c>
      <c r="B11682" s="27" t="s">
        <v>28280</v>
      </c>
      <c r="C11682" s="27" t="s">
        <v>370</v>
      </c>
      <c r="D11682" s="26"/>
      <c r="E11682" s="27"/>
      <c r="F11682" s="27"/>
      <c r="G11682" s="27" t="s">
        <v>11122</v>
      </c>
      <c r="H11682" s="27" t="s">
        <v>35</v>
      </c>
      <c r="I11682" s="27" t="s">
        <v>47</v>
      </c>
      <c r="J11682" s="28" t="s">
        <v>1932</v>
      </c>
      <c r="K11682" s="27" t="s">
        <v>39</v>
      </c>
      <c r="L11682" s="27"/>
    </row>
    <row r="11683" customFormat="false" ht="15" hidden="false" customHeight="false" outlineLevel="0" collapsed="false">
      <c r="A11683" s="26" t="s">
        <v>28281</v>
      </c>
      <c r="B11683" s="27" t="s">
        <v>28282</v>
      </c>
      <c r="C11683" s="27" t="s">
        <v>370</v>
      </c>
      <c r="D11683" s="26"/>
      <c r="E11683" s="27"/>
      <c r="F11683" s="27"/>
      <c r="G11683" s="27" t="s">
        <v>11122</v>
      </c>
      <c r="H11683" s="27" t="s">
        <v>35</v>
      </c>
      <c r="I11683" s="27" t="s">
        <v>43</v>
      </c>
      <c r="J11683" s="28" t="s">
        <v>1932</v>
      </c>
      <c r="K11683" s="27" t="s">
        <v>39</v>
      </c>
      <c r="L11683" s="27"/>
    </row>
    <row r="11684" customFormat="false" ht="15" hidden="false" customHeight="false" outlineLevel="0" collapsed="false">
      <c r="A11684" s="26" t="s">
        <v>28283</v>
      </c>
      <c r="B11684" s="27" t="s">
        <v>28284</v>
      </c>
      <c r="C11684" s="27" t="s">
        <v>370</v>
      </c>
      <c r="D11684" s="26"/>
      <c r="E11684" s="27"/>
      <c r="F11684" s="27"/>
      <c r="G11684" s="27" t="s">
        <v>11122</v>
      </c>
      <c r="H11684" s="27" t="s">
        <v>35</v>
      </c>
      <c r="I11684" s="27" t="s">
        <v>40</v>
      </c>
      <c r="J11684" s="28" t="s">
        <v>1932</v>
      </c>
      <c r="K11684" s="27" t="s">
        <v>39</v>
      </c>
      <c r="L11684" s="27"/>
    </row>
    <row r="11685" customFormat="false" ht="15" hidden="false" customHeight="false" outlineLevel="0" collapsed="false">
      <c r="A11685" s="26" t="s">
        <v>28285</v>
      </c>
      <c r="B11685" s="28" t="s">
        <v>28286</v>
      </c>
      <c r="C11685" s="27" t="s">
        <v>370</v>
      </c>
      <c r="D11685" s="26"/>
      <c r="E11685" s="27"/>
      <c r="F11685" s="27"/>
      <c r="G11685" s="27" t="s">
        <v>11122</v>
      </c>
      <c r="H11685" s="27" t="s">
        <v>35</v>
      </c>
      <c r="I11685" s="27" t="s">
        <v>41</v>
      </c>
      <c r="J11685" s="28" t="s">
        <v>1932</v>
      </c>
      <c r="K11685" s="27" t="s">
        <v>39</v>
      </c>
      <c r="L11685" s="27"/>
    </row>
    <row r="11686" customFormat="false" ht="15" hidden="false" customHeight="false" outlineLevel="0" collapsed="false">
      <c r="A11686" s="26" t="s">
        <v>28287</v>
      </c>
      <c r="B11686" s="28" t="s">
        <v>28288</v>
      </c>
      <c r="C11686" s="27" t="s">
        <v>370</v>
      </c>
      <c r="D11686" s="26"/>
      <c r="E11686" s="27"/>
      <c r="F11686" s="27"/>
      <c r="G11686" s="27" t="s">
        <v>11122</v>
      </c>
      <c r="H11686" s="27" t="s">
        <v>35</v>
      </c>
      <c r="I11686" s="27" t="s">
        <v>41</v>
      </c>
      <c r="J11686" s="28" t="s">
        <v>1932</v>
      </c>
      <c r="K11686" s="27" t="s">
        <v>39</v>
      </c>
      <c r="L11686" s="27"/>
    </row>
    <row r="11687" customFormat="false" ht="15" hidden="false" customHeight="false" outlineLevel="0" collapsed="false">
      <c r="A11687" s="26" t="s">
        <v>28289</v>
      </c>
      <c r="B11687" s="27" t="s">
        <v>28290</v>
      </c>
      <c r="C11687" s="27" t="s">
        <v>370</v>
      </c>
      <c r="D11687" s="26"/>
      <c r="E11687" s="27"/>
      <c r="F11687" s="27"/>
      <c r="G11687" s="27" t="s">
        <v>11122</v>
      </c>
      <c r="H11687" s="27" t="s">
        <v>35</v>
      </c>
      <c r="I11687" s="27" t="s">
        <v>41</v>
      </c>
      <c r="J11687" s="28" t="s">
        <v>1932</v>
      </c>
      <c r="K11687" s="27" t="s">
        <v>39</v>
      </c>
      <c r="L11687" s="27"/>
    </row>
    <row r="11688" customFormat="false" ht="15" hidden="false" customHeight="false" outlineLevel="0" collapsed="false">
      <c r="A11688" s="26" t="s">
        <v>28291</v>
      </c>
      <c r="B11688" s="27" t="s">
        <v>28292</v>
      </c>
      <c r="C11688" s="27" t="s">
        <v>16906</v>
      </c>
      <c r="D11688" s="26"/>
      <c r="E11688" s="27"/>
      <c r="F11688" s="27"/>
      <c r="G11688" s="27" t="s">
        <v>11122</v>
      </c>
      <c r="H11688" s="27" t="s">
        <v>35</v>
      </c>
      <c r="I11688" s="27" t="s">
        <v>41</v>
      </c>
      <c r="J11688" s="28" t="s">
        <v>1932</v>
      </c>
      <c r="K11688" s="27" t="s">
        <v>39</v>
      </c>
      <c r="L11688" s="27"/>
    </row>
    <row r="11689" customFormat="false" ht="15" hidden="false" customHeight="false" outlineLevel="0" collapsed="false">
      <c r="A11689" s="26" t="s">
        <v>28293</v>
      </c>
      <c r="B11689" s="27" t="s">
        <v>28294</v>
      </c>
      <c r="C11689" s="27" t="s">
        <v>16906</v>
      </c>
      <c r="D11689" s="26"/>
      <c r="E11689" s="27"/>
      <c r="F11689" s="27"/>
      <c r="G11689" s="27" t="s">
        <v>11122</v>
      </c>
      <c r="H11689" s="27" t="s">
        <v>35</v>
      </c>
      <c r="I11689" s="27" t="s">
        <v>41</v>
      </c>
      <c r="J11689" s="28" t="s">
        <v>1932</v>
      </c>
      <c r="K11689" s="27" t="s">
        <v>39</v>
      </c>
      <c r="L11689" s="27"/>
    </row>
    <row r="11690" customFormat="false" ht="15" hidden="false" customHeight="false" outlineLevel="0" collapsed="false">
      <c r="A11690" s="26" t="s">
        <v>28295</v>
      </c>
      <c r="B11690" s="27" t="s">
        <v>28296</v>
      </c>
      <c r="C11690" s="27" t="s">
        <v>370</v>
      </c>
      <c r="D11690" s="26"/>
      <c r="E11690" s="27"/>
      <c r="F11690" s="27"/>
      <c r="G11690" s="27" t="s">
        <v>11122</v>
      </c>
      <c r="H11690" s="27" t="s">
        <v>35</v>
      </c>
      <c r="I11690" s="27" t="s">
        <v>39</v>
      </c>
      <c r="J11690" s="28" t="s">
        <v>1932</v>
      </c>
      <c r="K11690" s="27" t="s">
        <v>39</v>
      </c>
      <c r="L11690" s="27"/>
    </row>
    <row r="11691" customFormat="false" ht="15" hidden="false" customHeight="false" outlineLevel="0" collapsed="false">
      <c r="A11691" s="26" t="s">
        <v>28297</v>
      </c>
      <c r="B11691" s="27" t="s">
        <v>28298</v>
      </c>
      <c r="C11691" s="27" t="s">
        <v>370</v>
      </c>
      <c r="D11691" s="26"/>
      <c r="E11691" s="27"/>
      <c r="F11691" s="27"/>
      <c r="G11691" s="27" t="s">
        <v>11122</v>
      </c>
      <c r="H11691" s="27" t="s">
        <v>35</v>
      </c>
      <c r="I11691" s="27" t="s">
        <v>38</v>
      </c>
      <c r="J11691" s="28" t="s">
        <v>1932</v>
      </c>
      <c r="K11691" s="27" t="s">
        <v>39</v>
      </c>
      <c r="L11691" s="27"/>
    </row>
    <row r="11692" customFormat="false" ht="15" hidden="false" customHeight="false" outlineLevel="0" collapsed="false">
      <c r="A11692" s="26" t="s">
        <v>28299</v>
      </c>
      <c r="B11692" s="27" t="s">
        <v>28300</v>
      </c>
      <c r="C11692" s="27" t="s">
        <v>144</v>
      </c>
      <c r="D11692" s="26"/>
      <c r="E11692" s="27"/>
      <c r="F11692" s="27"/>
      <c r="G11692" s="27" t="s">
        <v>11122</v>
      </c>
      <c r="H11692" s="27" t="s">
        <v>35</v>
      </c>
      <c r="I11692" s="27" t="s">
        <v>39</v>
      </c>
      <c r="J11692" s="28" t="s">
        <v>1932</v>
      </c>
      <c r="K11692" s="27" t="s">
        <v>39</v>
      </c>
      <c r="L11692" s="27"/>
    </row>
    <row r="11693" customFormat="false" ht="15" hidden="false" customHeight="false" outlineLevel="0" collapsed="false">
      <c r="A11693" s="26" t="s">
        <v>28301</v>
      </c>
      <c r="B11693" s="27" t="s">
        <v>28302</v>
      </c>
      <c r="C11693" s="27" t="s">
        <v>137</v>
      </c>
      <c r="D11693" s="26"/>
      <c r="E11693" s="27"/>
      <c r="F11693" s="27"/>
      <c r="G11693" s="27" t="s">
        <v>11122</v>
      </c>
      <c r="H11693" s="27" t="s">
        <v>35</v>
      </c>
      <c r="I11693" s="27" t="s">
        <v>39</v>
      </c>
      <c r="J11693" s="28" t="s">
        <v>1932</v>
      </c>
      <c r="K11693" s="27" t="s">
        <v>39</v>
      </c>
      <c r="L11693" s="27"/>
    </row>
    <row r="11694" customFormat="false" ht="15" hidden="false" customHeight="false" outlineLevel="0" collapsed="false">
      <c r="A11694" s="26" t="s">
        <v>28303</v>
      </c>
      <c r="B11694" s="27" t="s">
        <v>28304</v>
      </c>
      <c r="C11694" s="27" t="s">
        <v>1187</v>
      </c>
      <c r="D11694" s="26"/>
      <c r="E11694" s="27"/>
      <c r="F11694" s="27"/>
      <c r="G11694" s="27" t="s">
        <v>11122</v>
      </c>
      <c r="H11694" s="27" t="s">
        <v>35</v>
      </c>
      <c r="I11694" s="27" t="s">
        <v>44</v>
      </c>
      <c r="J11694" s="28" t="s">
        <v>1932</v>
      </c>
      <c r="K11694" s="27" t="s">
        <v>39</v>
      </c>
      <c r="L11694" s="27"/>
    </row>
    <row r="11695" customFormat="false" ht="15" hidden="false" customHeight="false" outlineLevel="0" collapsed="false">
      <c r="A11695" s="26" t="s">
        <v>28305</v>
      </c>
      <c r="B11695" s="27" t="s">
        <v>28306</v>
      </c>
      <c r="C11695" s="27" t="s">
        <v>370</v>
      </c>
      <c r="D11695" s="26"/>
      <c r="E11695" s="27"/>
      <c r="F11695" s="27"/>
      <c r="G11695" s="27" t="s">
        <v>11122</v>
      </c>
      <c r="H11695" s="27" t="s">
        <v>35</v>
      </c>
      <c r="I11695" s="28" t="s">
        <v>46</v>
      </c>
      <c r="J11695" s="28" t="s">
        <v>1932</v>
      </c>
      <c r="K11695" s="27" t="s">
        <v>39</v>
      </c>
      <c r="L11695" s="27"/>
    </row>
    <row r="11696" customFormat="false" ht="15" hidden="false" customHeight="false" outlineLevel="0" collapsed="false">
      <c r="A11696" s="26" t="s">
        <v>28307</v>
      </c>
      <c r="B11696" s="27" t="s">
        <v>28308</v>
      </c>
      <c r="C11696" s="27" t="s">
        <v>144</v>
      </c>
      <c r="D11696" s="26"/>
      <c r="E11696" s="27"/>
      <c r="F11696" s="27"/>
      <c r="G11696" s="27" t="s">
        <v>11122</v>
      </c>
      <c r="H11696" s="27" t="s">
        <v>35</v>
      </c>
      <c r="I11696" s="28" t="s">
        <v>46</v>
      </c>
      <c r="J11696" s="28" t="s">
        <v>1932</v>
      </c>
      <c r="K11696" s="27" t="s">
        <v>39</v>
      </c>
      <c r="L11696" s="27"/>
    </row>
    <row r="11697" customFormat="false" ht="15" hidden="false" customHeight="false" outlineLevel="0" collapsed="false">
      <c r="A11697" s="26" t="s">
        <v>28309</v>
      </c>
      <c r="B11697" s="27" t="s">
        <v>28310</v>
      </c>
      <c r="C11697" s="27" t="s">
        <v>1087</v>
      </c>
      <c r="D11697" s="26"/>
      <c r="E11697" s="27"/>
      <c r="F11697" s="27"/>
      <c r="G11697" s="27" t="s">
        <v>11122</v>
      </c>
      <c r="H11697" s="27" t="s">
        <v>35</v>
      </c>
      <c r="I11697" s="27" t="s">
        <v>44</v>
      </c>
      <c r="J11697" s="28" t="s">
        <v>1932</v>
      </c>
      <c r="K11697" s="27" t="s">
        <v>39</v>
      </c>
      <c r="L11697" s="27"/>
    </row>
    <row r="11698" customFormat="false" ht="15" hidden="false" customHeight="false" outlineLevel="0" collapsed="false">
      <c r="A11698" s="26" t="s">
        <v>28311</v>
      </c>
      <c r="B11698" s="27" t="s">
        <v>28312</v>
      </c>
      <c r="C11698" s="27" t="s">
        <v>370</v>
      </c>
      <c r="D11698" s="26"/>
      <c r="E11698" s="27"/>
      <c r="F11698" s="27"/>
      <c r="G11698" s="27" t="s">
        <v>11122</v>
      </c>
      <c r="H11698" s="27" t="s">
        <v>35</v>
      </c>
      <c r="I11698" s="27" t="s">
        <v>41</v>
      </c>
      <c r="J11698" s="28" t="s">
        <v>1932</v>
      </c>
      <c r="K11698" s="27" t="s">
        <v>39</v>
      </c>
      <c r="L11698" s="27"/>
    </row>
    <row r="11699" customFormat="false" ht="15" hidden="false" customHeight="false" outlineLevel="0" collapsed="false">
      <c r="A11699" s="26" t="s">
        <v>28313</v>
      </c>
      <c r="B11699" s="27" t="s">
        <v>28314</v>
      </c>
      <c r="C11699" s="27" t="s">
        <v>370</v>
      </c>
      <c r="D11699" s="26"/>
      <c r="E11699" s="27"/>
      <c r="F11699" s="27"/>
      <c r="G11699" s="27" t="s">
        <v>11122</v>
      </c>
      <c r="H11699" s="27" t="s">
        <v>35</v>
      </c>
      <c r="I11699" s="27" t="s">
        <v>37</v>
      </c>
      <c r="J11699" s="28" t="s">
        <v>1932</v>
      </c>
      <c r="K11699" s="27" t="s">
        <v>39</v>
      </c>
      <c r="L11699" s="27"/>
    </row>
    <row r="11700" customFormat="false" ht="15" hidden="false" customHeight="false" outlineLevel="0" collapsed="false">
      <c r="A11700" s="26" t="s">
        <v>28315</v>
      </c>
      <c r="B11700" s="27" t="s">
        <v>28316</v>
      </c>
      <c r="C11700" s="27" t="s">
        <v>370</v>
      </c>
      <c r="D11700" s="26"/>
      <c r="E11700" s="27"/>
      <c r="F11700" s="27"/>
      <c r="G11700" s="27" t="s">
        <v>11122</v>
      </c>
      <c r="H11700" s="27" t="s">
        <v>35</v>
      </c>
      <c r="I11700" s="27" t="s">
        <v>39</v>
      </c>
      <c r="J11700" s="28" t="s">
        <v>1932</v>
      </c>
      <c r="K11700" s="27" t="s">
        <v>39</v>
      </c>
      <c r="L11700" s="27"/>
    </row>
    <row r="11701" customFormat="false" ht="15" hidden="false" customHeight="false" outlineLevel="0" collapsed="false">
      <c r="A11701" s="26" t="s">
        <v>28317</v>
      </c>
      <c r="B11701" s="27" t="s">
        <v>28318</v>
      </c>
      <c r="C11701" s="27" t="s">
        <v>370</v>
      </c>
      <c r="D11701" s="26"/>
      <c r="E11701" s="27"/>
      <c r="F11701" s="27"/>
      <c r="G11701" s="27" t="s">
        <v>11122</v>
      </c>
      <c r="H11701" s="27" t="s">
        <v>35</v>
      </c>
      <c r="I11701" s="27" t="s">
        <v>37</v>
      </c>
      <c r="J11701" s="28" t="s">
        <v>1932</v>
      </c>
      <c r="K11701" s="27" t="s">
        <v>39</v>
      </c>
      <c r="L11701" s="27"/>
    </row>
    <row r="11702" customFormat="false" ht="15" hidden="false" customHeight="false" outlineLevel="0" collapsed="false">
      <c r="A11702" s="26" t="s">
        <v>28319</v>
      </c>
      <c r="B11702" s="27" t="s">
        <v>28320</v>
      </c>
      <c r="C11702" s="27" t="s">
        <v>370</v>
      </c>
      <c r="D11702" s="26"/>
      <c r="E11702" s="27"/>
      <c r="F11702" s="27"/>
      <c r="G11702" s="27" t="s">
        <v>11122</v>
      </c>
      <c r="H11702" s="27" t="s">
        <v>35</v>
      </c>
      <c r="I11702" s="27" t="s">
        <v>39</v>
      </c>
      <c r="J11702" s="28" t="s">
        <v>1932</v>
      </c>
      <c r="K11702" s="27" t="s">
        <v>39</v>
      </c>
      <c r="L11702" s="27"/>
    </row>
    <row r="11703" customFormat="false" ht="15" hidden="false" customHeight="false" outlineLevel="0" collapsed="false">
      <c r="A11703" s="26" t="s">
        <v>28321</v>
      </c>
      <c r="B11703" s="27" t="s">
        <v>28322</v>
      </c>
      <c r="C11703" s="27" t="s">
        <v>144</v>
      </c>
      <c r="D11703" s="26"/>
      <c r="E11703" s="27"/>
      <c r="F11703" s="27"/>
      <c r="G11703" s="27" t="s">
        <v>11122</v>
      </c>
      <c r="H11703" s="27" t="s">
        <v>35</v>
      </c>
      <c r="I11703" s="28" t="s">
        <v>46</v>
      </c>
      <c r="J11703" s="28" t="s">
        <v>1932</v>
      </c>
      <c r="K11703" s="27" t="s">
        <v>39</v>
      </c>
      <c r="L11703" s="27"/>
    </row>
    <row r="11704" customFormat="false" ht="15" hidden="false" customHeight="false" outlineLevel="0" collapsed="false">
      <c r="A11704" s="26" t="s">
        <v>28323</v>
      </c>
      <c r="B11704" s="27" t="s">
        <v>28324</v>
      </c>
      <c r="C11704" s="27" t="s">
        <v>370</v>
      </c>
      <c r="D11704" s="26"/>
      <c r="E11704" s="27"/>
      <c r="F11704" s="27"/>
      <c r="G11704" s="27" t="s">
        <v>11122</v>
      </c>
      <c r="H11704" s="27" t="s">
        <v>35</v>
      </c>
      <c r="I11704" s="28" t="s">
        <v>50</v>
      </c>
      <c r="J11704" s="28" t="s">
        <v>1932</v>
      </c>
      <c r="K11704" s="27" t="s">
        <v>39</v>
      </c>
      <c r="L11704" s="27"/>
    </row>
    <row r="11705" customFormat="false" ht="15" hidden="false" customHeight="false" outlineLevel="0" collapsed="false">
      <c r="A11705" s="26" t="s">
        <v>28325</v>
      </c>
      <c r="B11705" s="27" t="s">
        <v>28326</v>
      </c>
      <c r="C11705" s="27" t="s">
        <v>144</v>
      </c>
      <c r="D11705" s="26"/>
      <c r="E11705" s="27"/>
      <c r="F11705" s="27"/>
      <c r="G11705" s="27" t="s">
        <v>11122</v>
      </c>
      <c r="H11705" s="27" t="s">
        <v>35</v>
      </c>
      <c r="I11705" s="28" t="s">
        <v>46</v>
      </c>
      <c r="J11705" s="28" t="s">
        <v>1932</v>
      </c>
      <c r="K11705" s="27" t="s">
        <v>39</v>
      </c>
      <c r="L11705" s="27"/>
    </row>
    <row r="11706" customFormat="false" ht="15" hidden="false" customHeight="false" outlineLevel="0" collapsed="false">
      <c r="A11706" s="26" t="s">
        <v>28327</v>
      </c>
      <c r="B11706" s="27" t="s">
        <v>28328</v>
      </c>
      <c r="C11706" s="27" t="s">
        <v>370</v>
      </c>
      <c r="D11706" s="26"/>
      <c r="E11706" s="27"/>
      <c r="F11706" s="27"/>
      <c r="G11706" s="27" t="s">
        <v>11122</v>
      </c>
      <c r="H11706" s="27" t="s">
        <v>35</v>
      </c>
      <c r="I11706" s="27" t="s">
        <v>49</v>
      </c>
      <c r="J11706" s="28" t="s">
        <v>1932</v>
      </c>
      <c r="K11706" s="27" t="s">
        <v>39</v>
      </c>
      <c r="L11706" s="27"/>
    </row>
    <row r="11707" customFormat="false" ht="15" hidden="false" customHeight="false" outlineLevel="0" collapsed="false">
      <c r="A11707" s="26" t="s">
        <v>28329</v>
      </c>
      <c r="B11707" s="27" t="s">
        <v>28330</v>
      </c>
      <c r="C11707" s="27" t="s">
        <v>370</v>
      </c>
      <c r="D11707" s="26"/>
      <c r="E11707" s="27"/>
      <c r="F11707" s="27"/>
      <c r="G11707" s="27" t="s">
        <v>11122</v>
      </c>
      <c r="H11707" s="27" t="s">
        <v>35</v>
      </c>
      <c r="I11707" s="27" t="s">
        <v>41</v>
      </c>
      <c r="J11707" s="28" t="s">
        <v>1932</v>
      </c>
      <c r="K11707" s="27" t="s">
        <v>39</v>
      </c>
      <c r="L11707" s="27"/>
    </row>
    <row r="11708" customFormat="false" ht="15" hidden="false" customHeight="false" outlineLevel="0" collapsed="false">
      <c r="A11708" s="26" t="s">
        <v>28331</v>
      </c>
      <c r="B11708" s="27" t="s">
        <v>28332</v>
      </c>
      <c r="C11708" s="27" t="s">
        <v>370</v>
      </c>
      <c r="D11708" s="26"/>
      <c r="E11708" s="27"/>
      <c r="F11708" s="27"/>
      <c r="G11708" s="27" t="s">
        <v>11122</v>
      </c>
      <c r="H11708" s="27" t="s">
        <v>35</v>
      </c>
      <c r="I11708" s="27" t="s">
        <v>41</v>
      </c>
      <c r="J11708" s="28" t="s">
        <v>1932</v>
      </c>
      <c r="K11708" s="27" t="s">
        <v>39</v>
      </c>
      <c r="L11708" s="27"/>
    </row>
    <row r="11709" customFormat="false" ht="15" hidden="false" customHeight="false" outlineLevel="0" collapsed="false">
      <c r="A11709" s="26" t="s">
        <v>28333</v>
      </c>
      <c r="B11709" s="27" t="s">
        <v>28334</v>
      </c>
      <c r="C11709" s="27" t="s">
        <v>370</v>
      </c>
      <c r="D11709" s="26"/>
      <c r="E11709" s="27"/>
      <c r="F11709" s="27"/>
      <c r="G11709" s="27" t="s">
        <v>11122</v>
      </c>
      <c r="H11709" s="27" t="s">
        <v>35</v>
      </c>
      <c r="I11709" s="27" t="s">
        <v>40</v>
      </c>
      <c r="J11709" s="28" t="s">
        <v>1932</v>
      </c>
      <c r="K11709" s="27" t="s">
        <v>39</v>
      </c>
      <c r="L11709" s="27"/>
    </row>
    <row r="11710" customFormat="false" ht="15" hidden="false" customHeight="false" outlineLevel="0" collapsed="false">
      <c r="A11710" s="26" t="s">
        <v>28335</v>
      </c>
      <c r="B11710" s="27" t="s">
        <v>28336</v>
      </c>
      <c r="C11710" s="27" t="s">
        <v>144</v>
      </c>
      <c r="D11710" s="26"/>
      <c r="E11710" s="27"/>
      <c r="F11710" s="27"/>
      <c r="G11710" s="27" t="s">
        <v>11122</v>
      </c>
      <c r="H11710" s="27" t="s">
        <v>35</v>
      </c>
      <c r="I11710" s="27" t="s">
        <v>41</v>
      </c>
      <c r="J11710" s="28" t="s">
        <v>1932</v>
      </c>
      <c r="K11710" s="27" t="s">
        <v>39</v>
      </c>
      <c r="L11710" s="27"/>
    </row>
    <row r="11711" customFormat="false" ht="15" hidden="false" customHeight="false" outlineLevel="0" collapsed="false">
      <c r="A11711" s="26" t="s">
        <v>28337</v>
      </c>
      <c r="B11711" s="27" t="s">
        <v>28338</v>
      </c>
      <c r="C11711" s="27" t="s">
        <v>370</v>
      </c>
      <c r="D11711" s="26"/>
      <c r="E11711" s="27"/>
      <c r="F11711" s="27"/>
      <c r="G11711" s="27" t="s">
        <v>11122</v>
      </c>
      <c r="H11711" s="27" t="s">
        <v>35</v>
      </c>
      <c r="I11711" s="27" t="s">
        <v>39</v>
      </c>
      <c r="J11711" s="28" t="s">
        <v>1932</v>
      </c>
      <c r="K11711" s="27" t="s">
        <v>39</v>
      </c>
      <c r="L11711" s="27"/>
    </row>
    <row r="11712" customFormat="false" ht="15" hidden="false" customHeight="false" outlineLevel="0" collapsed="false">
      <c r="A11712" s="26" t="s">
        <v>28339</v>
      </c>
      <c r="B11712" s="27" t="s">
        <v>28340</v>
      </c>
      <c r="C11712" s="27" t="s">
        <v>370</v>
      </c>
      <c r="D11712" s="26"/>
      <c r="E11712" s="27"/>
      <c r="F11712" s="27"/>
      <c r="G11712" s="27" t="s">
        <v>11122</v>
      </c>
      <c r="H11712" s="27" t="s">
        <v>35</v>
      </c>
      <c r="I11712" s="27" t="s">
        <v>40</v>
      </c>
      <c r="J11712" s="28" t="s">
        <v>1932</v>
      </c>
      <c r="K11712" s="27" t="s">
        <v>39</v>
      </c>
      <c r="L11712" s="27"/>
    </row>
    <row r="11713" customFormat="false" ht="15" hidden="false" customHeight="false" outlineLevel="0" collapsed="false">
      <c r="A11713" s="26" t="s">
        <v>28341</v>
      </c>
      <c r="B11713" s="27" t="s">
        <v>28342</v>
      </c>
      <c r="C11713" s="27" t="s">
        <v>370</v>
      </c>
      <c r="D11713" s="26"/>
      <c r="E11713" s="27"/>
      <c r="F11713" s="27"/>
      <c r="G11713" s="27" t="s">
        <v>11122</v>
      </c>
      <c r="H11713" s="27" t="s">
        <v>35</v>
      </c>
      <c r="I11713" s="28" t="s">
        <v>46</v>
      </c>
      <c r="J11713" s="28" t="s">
        <v>1932</v>
      </c>
      <c r="K11713" s="27" t="s">
        <v>39</v>
      </c>
      <c r="L11713" s="27"/>
    </row>
    <row r="11714" customFormat="false" ht="15" hidden="false" customHeight="false" outlineLevel="0" collapsed="false">
      <c r="A11714" s="26" t="s">
        <v>28343</v>
      </c>
      <c r="B11714" s="27" t="s">
        <v>28344</v>
      </c>
      <c r="C11714" s="27" t="s">
        <v>370</v>
      </c>
      <c r="D11714" s="26"/>
      <c r="E11714" s="27"/>
      <c r="F11714" s="27"/>
      <c r="G11714" s="27" t="s">
        <v>11122</v>
      </c>
      <c r="H11714" s="27" t="s">
        <v>35</v>
      </c>
      <c r="I11714" s="27" t="s">
        <v>41</v>
      </c>
      <c r="J11714" s="28" t="s">
        <v>1932</v>
      </c>
      <c r="K11714" s="27" t="s">
        <v>39</v>
      </c>
      <c r="L11714" s="27"/>
    </row>
    <row r="11715" customFormat="false" ht="15" hidden="false" customHeight="false" outlineLevel="0" collapsed="false">
      <c r="A11715" s="26" t="s">
        <v>28345</v>
      </c>
      <c r="B11715" s="27" t="s">
        <v>28346</v>
      </c>
      <c r="C11715" s="27" t="s">
        <v>144</v>
      </c>
      <c r="D11715" s="26"/>
      <c r="E11715" s="27"/>
      <c r="F11715" s="27"/>
      <c r="G11715" s="27" t="s">
        <v>11122</v>
      </c>
      <c r="H11715" s="27" t="s">
        <v>35</v>
      </c>
      <c r="I11715" s="28" t="s">
        <v>46</v>
      </c>
      <c r="J11715" s="28" t="s">
        <v>1932</v>
      </c>
      <c r="K11715" s="27" t="s">
        <v>39</v>
      </c>
      <c r="L11715" s="27"/>
    </row>
    <row r="11716" customFormat="false" ht="15" hidden="false" customHeight="false" outlineLevel="0" collapsed="false">
      <c r="A11716" s="26" t="s">
        <v>28347</v>
      </c>
      <c r="B11716" s="27" t="s">
        <v>28348</v>
      </c>
      <c r="C11716" s="27" t="s">
        <v>370</v>
      </c>
      <c r="D11716" s="26"/>
      <c r="E11716" s="27"/>
      <c r="F11716" s="27"/>
      <c r="G11716" s="27" t="s">
        <v>11122</v>
      </c>
      <c r="H11716" s="27" t="s">
        <v>35</v>
      </c>
      <c r="I11716" s="28" t="s">
        <v>50</v>
      </c>
      <c r="J11716" s="28" t="s">
        <v>1932</v>
      </c>
      <c r="K11716" s="27" t="s">
        <v>39</v>
      </c>
      <c r="L11716" s="27"/>
    </row>
    <row r="11717" customFormat="false" ht="15" hidden="false" customHeight="false" outlineLevel="0" collapsed="false">
      <c r="A11717" s="26" t="s">
        <v>28349</v>
      </c>
      <c r="B11717" s="27" t="s">
        <v>28350</v>
      </c>
      <c r="C11717" s="27" t="s">
        <v>370</v>
      </c>
      <c r="D11717" s="26"/>
      <c r="E11717" s="27"/>
      <c r="F11717" s="27"/>
      <c r="G11717" s="27" t="s">
        <v>11122</v>
      </c>
      <c r="H11717" s="27" t="s">
        <v>35</v>
      </c>
      <c r="I11717" s="27" t="s">
        <v>42</v>
      </c>
      <c r="J11717" s="28" t="s">
        <v>1932</v>
      </c>
      <c r="K11717" s="27" t="s">
        <v>39</v>
      </c>
      <c r="L11717" s="27"/>
    </row>
    <row r="11718" customFormat="false" ht="15" hidden="false" customHeight="false" outlineLevel="0" collapsed="false">
      <c r="A11718" s="26" t="s">
        <v>28351</v>
      </c>
      <c r="B11718" s="27" t="s">
        <v>28352</v>
      </c>
      <c r="C11718" s="27" t="s">
        <v>370</v>
      </c>
      <c r="D11718" s="26"/>
      <c r="E11718" s="27"/>
      <c r="F11718" s="27"/>
      <c r="G11718" s="27" t="s">
        <v>11122</v>
      </c>
      <c r="H11718" s="27" t="s">
        <v>35</v>
      </c>
      <c r="I11718" s="27" t="s">
        <v>42</v>
      </c>
      <c r="J11718" s="28" t="s">
        <v>1932</v>
      </c>
      <c r="K11718" s="27" t="s">
        <v>39</v>
      </c>
      <c r="L11718" s="27"/>
    </row>
    <row r="11719" customFormat="false" ht="15" hidden="false" customHeight="false" outlineLevel="0" collapsed="false">
      <c r="A11719" s="26" t="s">
        <v>28353</v>
      </c>
      <c r="B11719" s="27" t="s">
        <v>28354</v>
      </c>
      <c r="C11719" s="27" t="s">
        <v>370</v>
      </c>
      <c r="D11719" s="26"/>
      <c r="E11719" s="27"/>
      <c r="F11719" s="27"/>
      <c r="G11719" s="27" t="s">
        <v>11122</v>
      </c>
      <c r="H11719" s="27" t="s">
        <v>35</v>
      </c>
      <c r="I11719" s="27" t="s">
        <v>40</v>
      </c>
      <c r="J11719" s="28" t="s">
        <v>1932</v>
      </c>
      <c r="K11719" s="27" t="s">
        <v>39</v>
      </c>
      <c r="L11719" s="27"/>
    </row>
    <row r="11720" customFormat="false" ht="15" hidden="false" customHeight="false" outlineLevel="0" collapsed="false">
      <c r="A11720" s="26" t="s">
        <v>28355</v>
      </c>
      <c r="B11720" s="27" t="s">
        <v>28356</v>
      </c>
      <c r="C11720" s="27" t="s">
        <v>370</v>
      </c>
      <c r="D11720" s="26"/>
      <c r="E11720" s="27"/>
      <c r="F11720" s="27"/>
      <c r="G11720" s="27" t="s">
        <v>11122</v>
      </c>
      <c r="H11720" s="27" t="s">
        <v>35</v>
      </c>
      <c r="I11720" s="27" t="s">
        <v>40</v>
      </c>
      <c r="J11720" s="28" t="s">
        <v>1932</v>
      </c>
      <c r="K11720" s="27" t="s">
        <v>39</v>
      </c>
      <c r="L11720" s="27"/>
    </row>
    <row r="11721" customFormat="false" ht="15" hidden="false" customHeight="false" outlineLevel="0" collapsed="false">
      <c r="A11721" s="26" t="s">
        <v>28357</v>
      </c>
      <c r="B11721" s="27" t="s">
        <v>28358</v>
      </c>
      <c r="C11721" s="27" t="s">
        <v>370</v>
      </c>
      <c r="D11721" s="26"/>
      <c r="E11721" s="27"/>
      <c r="F11721" s="27"/>
      <c r="G11721" s="27" t="s">
        <v>11122</v>
      </c>
      <c r="H11721" s="27" t="s">
        <v>35</v>
      </c>
      <c r="I11721" s="27" t="s">
        <v>64</v>
      </c>
      <c r="J11721" s="28" t="s">
        <v>1932</v>
      </c>
      <c r="K11721" s="27" t="s">
        <v>39</v>
      </c>
      <c r="L11721" s="27"/>
    </row>
    <row r="11722" customFormat="false" ht="15" hidden="false" customHeight="false" outlineLevel="0" collapsed="false">
      <c r="A11722" s="26" t="s">
        <v>28359</v>
      </c>
      <c r="B11722" s="27" t="s">
        <v>28360</v>
      </c>
      <c r="C11722" s="27" t="s">
        <v>370</v>
      </c>
      <c r="D11722" s="26"/>
      <c r="E11722" s="27"/>
      <c r="F11722" s="27"/>
      <c r="G11722" s="27" t="s">
        <v>11122</v>
      </c>
      <c r="H11722" s="27" t="s">
        <v>35</v>
      </c>
      <c r="I11722" s="27" t="s">
        <v>43</v>
      </c>
      <c r="J11722" s="28" t="s">
        <v>1932</v>
      </c>
      <c r="K11722" s="27" t="s">
        <v>39</v>
      </c>
      <c r="L11722" s="27"/>
    </row>
    <row r="11723" customFormat="false" ht="15" hidden="false" customHeight="false" outlineLevel="0" collapsed="false">
      <c r="A11723" s="26" t="s">
        <v>28361</v>
      </c>
      <c r="B11723" s="27" t="s">
        <v>28362</v>
      </c>
      <c r="C11723" s="27" t="s">
        <v>370</v>
      </c>
      <c r="D11723" s="26"/>
      <c r="E11723" s="27"/>
      <c r="F11723" s="27"/>
      <c r="G11723" s="27" t="s">
        <v>11122</v>
      </c>
      <c r="H11723" s="27" t="s">
        <v>35</v>
      </c>
      <c r="I11723" s="27" t="s">
        <v>43</v>
      </c>
      <c r="J11723" s="28" t="s">
        <v>1932</v>
      </c>
      <c r="K11723" s="27" t="s">
        <v>39</v>
      </c>
      <c r="L11723" s="27"/>
    </row>
    <row r="11724" customFormat="false" ht="15" hidden="false" customHeight="false" outlineLevel="0" collapsed="false">
      <c r="A11724" s="26" t="s">
        <v>28363</v>
      </c>
      <c r="B11724" s="27" t="s">
        <v>28364</v>
      </c>
      <c r="C11724" s="27" t="s">
        <v>370</v>
      </c>
      <c r="D11724" s="26"/>
      <c r="E11724" s="27"/>
      <c r="F11724" s="27"/>
      <c r="G11724" s="27" t="s">
        <v>11122</v>
      </c>
      <c r="H11724" s="27" t="s">
        <v>35</v>
      </c>
      <c r="I11724" s="27" t="s">
        <v>37</v>
      </c>
      <c r="J11724" s="28" t="s">
        <v>1932</v>
      </c>
      <c r="K11724" s="27" t="s">
        <v>39</v>
      </c>
      <c r="L11724" s="27"/>
    </row>
    <row r="11725" customFormat="false" ht="15" hidden="false" customHeight="false" outlineLevel="0" collapsed="false">
      <c r="A11725" s="26" t="s">
        <v>28365</v>
      </c>
      <c r="B11725" s="27" t="s">
        <v>28366</v>
      </c>
      <c r="C11725" s="27" t="s">
        <v>370</v>
      </c>
      <c r="D11725" s="26"/>
      <c r="E11725" s="27"/>
      <c r="F11725" s="27"/>
      <c r="G11725" s="27" t="s">
        <v>11122</v>
      </c>
      <c r="H11725" s="27" t="s">
        <v>35</v>
      </c>
      <c r="I11725" s="27" t="s">
        <v>43</v>
      </c>
      <c r="J11725" s="28" t="s">
        <v>1932</v>
      </c>
      <c r="K11725" s="27" t="s">
        <v>39</v>
      </c>
      <c r="L11725" s="27"/>
    </row>
    <row r="11726" customFormat="false" ht="15" hidden="false" customHeight="false" outlineLevel="0" collapsed="false">
      <c r="A11726" s="26" t="s">
        <v>28367</v>
      </c>
      <c r="B11726" s="27" t="s">
        <v>28368</v>
      </c>
      <c r="C11726" s="27" t="s">
        <v>370</v>
      </c>
      <c r="D11726" s="26"/>
      <c r="E11726" s="27"/>
      <c r="F11726" s="27"/>
      <c r="G11726" s="27" t="s">
        <v>11122</v>
      </c>
      <c r="H11726" s="27" t="s">
        <v>35</v>
      </c>
      <c r="I11726" s="27" t="s">
        <v>39</v>
      </c>
      <c r="J11726" s="28" t="s">
        <v>1932</v>
      </c>
      <c r="K11726" s="27" t="s">
        <v>39</v>
      </c>
      <c r="L11726" s="27"/>
    </row>
    <row r="11727" customFormat="false" ht="15" hidden="false" customHeight="false" outlineLevel="0" collapsed="false">
      <c r="A11727" s="26" t="s">
        <v>28369</v>
      </c>
      <c r="B11727" s="27" t="s">
        <v>28370</v>
      </c>
      <c r="C11727" s="27" t="s">
        <v>370</v>
      </c>
      <c r="D11727" s="26"/>
      <c r="E11727" s="27"/>
      <c r="F11727" s="27"/>
      <c r="G11727" s="27" t="s">
        <v>11122</v>
      </c>
      <c r="H11727" s="27" t="s">
        <v>35</v>
      </c>
      <c r="I11727" s="27" t="s">
        <v>41</v>
      </c>
      <c r="J11727" s="28" t="s">
        <v>1932</v>
      </c>
      <c r="K11727" s="27" t="s">
        <v>39</v>
      </c>
      <c r="L11727" s="27"/>
    </row>
    <row r="11728" customFormat="false" ht="15" hidden="false" customHeight="false" outlineLevel="0" collapsed="false">
      <c r="A11728" s="26" t="s">
        <v>28371</v>
      </c>
      <c r="B11728" s="27" t="s">
        <v>28372</v>
      </c>
      <c r="C11728" s="27" t="s">
        <v>370</v>
      </c>
      <c r="D11728" s="26"/>
      <c r="E11728" s="27"/>
      <c r="F11728" s="27"/>
      <c r="G11728" s="27" t="s">
        <v>11122</v>
      </c>
      <c r="H11728" s="27" t="s">
        <v>35</v>
      </c>
      <c r="I11728" s="27" t="s">
        <v>42</v>
      </c>
      <c r="J11728" s="28" t="s">
        <v>1932</v>
      </c>
      <c r="K11728" s="27" t="s">
        <v>39</v>
      </c>
      <c r="L11728" s="27"/>
    </row>
    <row r="11729" customFormat="false" ht="15" hidden="false" customHeight="false" outlineLevel="0" collapsed="false">
      <c r="A11729" s="26" t="s">
        <v>28373</v>
      </c>
      <c r="B11729" s="27" t="s">
        <v>28374</v>
      </c>
      <c r="C11729" s="27" t="s">
        <v>370</v>
      </c>
      <c r="D11729" s="26"/>
      <c r="E11729" s="27"/>
      <c r="F11729" s="27"/>
      <c r="G11729" s="27" t="s">
        <v>11122</v>
      </c>
      <c r="H11729" s="27" t="s">
        <v>35</v>
      </c>
      <c r="I11729" s="27" t="s">
        <v>39</v>
      </c>
      <c r="J11729" s="28" t="s">
        <v>1932</v>
      </c>
      <c r="K11729" s="27" t="s">
        <v>39</v>
      </c>
      <c r="L11729" s="27"/>
    </row>
    <row r="11730" customFormat="false" ht="15" hidden="false" customHeight="false" outlineLevel="0" collapsed="false">
      <c r="A11730" s="26" t="s">
        <v>28375</v>
      </c>
      <c r="B11730" s="27" t="s">
        <v>28376</v>
      </c>
      <c r="C11730" s="27" t="s">
        <v>370</v>
      </c>
      <c r="D11730" s="26"/>
      <c r="E11730" s="27"/>
      <c r="F11730" s="27"/>
      <c r="G11730" s="27" t="s">
        <v>11122</v>
      </c>
      <c r="H11730" s="27" t="s">
        <v>35</v>
      </c>
      <c r="I11730" s="28" t="s">
        <v>50</v>
      </c>
      <c r="J11730" s="28" t="s">
        <v>1932</v>
      </c>
      <c r="K11730" s="27" t="s">
        <v>39</v>
      </c>
      <c r="L11730" s="27"/>
    </row>
    <row r="11731" customFormat="false" ht="15" hidden="false" customHeight="false" outlineLevel="0" collapsed="false">
      <c r="A11731" s="26" t="s">
        <v>28377</v>
      </c>
      <c r="B11731" s="27" t="s">
        <v>28378</v>
      </c>
      <c r="C11731" s="27" t="s">
        <v>370</v>
      </c>
      <c r="D11731" s="26"/>
      <c r="E11731" s="27"/>
      <c r="F11731" s="27"/>
      <c r="G11731" s="27" t="s">
        <v>11122</v>
      </c>
      <c r="H11731" s="27" t="s">
        <v>35</v>
      </c>
      <c r="I11731" s="27" t="s">
        <v>39</v>
      </c>
      <c r="J11731" s="28" t="s">
        <v>1932</v>
      </c>
      <c r="K11731" s="27" t="s">
        <v>39</v>
      </c>
      <c r="L11731" s="27"/>
    </row>
    <row r="11732" customFormat="false" ht="15" hidden="false" customHeight="false" outlineLevel="0" collapsed="false">
      <c r="A11732" s="26" t="s">
        <v>28379</v>
      </c>
      <c r="B11732" s="27" t="s">
        <v>28380</v>
      </c>
      <c r="C11732" s="27" t="s">
        <v>370</v>
      </c>
      <c r="D11732" s="26"/>
      <c r="E11732" s="27"/>
      <c r="F11732" s="27"/>
      <c r="G11732" s="27" t="s">
        <v>11122</v>
      </c>
      <c r="H11732" s="27" t="s">
        <v>35</v>
      </c>
      <c r="I11732" s="27" t="s">
        <v>43</v>
      </c>
      <c r="J11732" s="28" t="s">
        <v>1932</v>
      </c>
      <c r="K11732" s="27" t="s">
        <v>39</v>
      </c>
      <c r="L11732" s="27"/>
    </row>
    <row r="11733" customFormat="false" ht="15" hidden="false" customHeight="false" outlineLevel="0" collapsed="false">
      <c r="A11733" s="26" t="s">
        <v>28381</v>
      </c>
      <c r="B11733" s="27" t="s">
        <v>28382</v>
      </c>
      <c r="C11733" s="27" t="s">
        <v>370</v>
      </c>
      <c r="D11733" s="26"/>
      <c r="E11733" s="27"/>
      <c r="F11733" s="27"/>
      <c r="G11733" s="27" t="s">
        <v>11122</v>
      </c>
      <c r="H11733" s="27" t="s">
        <v>35</v>
      </c>
      <c r="I11733" s="27" t="s">
        <v>47</v>
      </c>
      <c r="J11733" s="28" t="s">
        <v>1932</v>
      </c>
      <c r="K11733" s="27" t="s">
        <v>39</v>
      </c>
      <c r="L11733" s="27"/>
    </row>
    <row r="11734" customFormat="false" ht="15" hidden="false" customHeight="false" outlineLevel="0" collapsed="false">
      <c r="A11734" s="26" t="s">
        <v>28383</v>
      </c>
      <c r="B11734" s="27" t="s">
        <v>28384</v>
      </c>
      <c r="C11734" s="27" t="s">
        <v>370</v>
      </c>
      <c r="D11734" s="26"/>
      <c r="E11734" s="27"/>
      <c r="F11734" s="27"/>
      <c r="G11734" s="27" t="s">
        <v>11122</v>
      </c>
      <c r="H11734" s="27" t="s">
        <v>35</v>
      </c>
      <c r="I11734" s="27" t="s">
        <v>37</v>
      </c>
      <c r="J11734" s="28" t="s">
        <v>1932</v>
      </c>
      <c r="K11734" s="27" t="s">
        <v>39</v>
      </c>
      <c r="L11734" s="27"/>
    </row>
    <row r="11735" customFormat="false" ht="15" hidden="false" customHeight="false" outlineLevel="0" collapsed="false">
      <c r="A11735" s="26" t="s">
        <v>28385</v>
      </c>
      <c r="B11735" s="27" t="s">
        <v>28386</v>
      </c>
      <c r="C11735" s="27" t="s">
        <v>370</v>
      </c>
      <c r="D11735" s="26"/>
      <c r="E11735" s="27"/>
      <c r="F11735" s="27"/>
      <c r="G11735" s="27" t="s">
        <v>11122</v>
      </c>
      <c r="H11735" s="27" t="s">
        <v>35</v>
      </c>
      <c r="I11735" s="27" t="s">
        <v>41</v>
      </c>
      <c r="J11735" s="28" t="s">
        <v>1932</v>
      </c>
      <c r="K11735" s="27" t="s">
        <v>39</v>
      </c>
      <c r="L11735" s="27"/>
    </row>
    <row r="11736" customFormat="false" ht="15" hidden="false" customHeight="false" outlineLevel="0" collapsed="false">
      <c r="A11736" s="26" t="s">
        <v>28387</v>
      </c>
      <c r="B11736" s="27" t="s">
        <v>28388</v>
      </c>
      <c r="C11736" s="27" t="s">
        <v>370</v>
      </c>
      <c r="D11736" s="26"/>
      <c r="E11736" s="27"/>
      <c r="F11736" s="27"/>
      <c r="G11736" s="27" t="s">
        <v>11122</v>
      </c>
      <c r="H11736" s="27" t="s">
        <v>35</v>
      </c>
      <c r="I11736" s="27" t="s">
        <v>41</v>
      </c>
      <c r="J11736" s="28" t="s">
        <v>1932</v>
      </c>
      <c r="K11736" s="27" t="s">
        <v>39</v>
      </c>
      <c r="L11736" s="27"/>
    </row>
    <row r="11737" customFormat="false" ht="15" hidden="false" customHeight="false" outlineLevel="0" collapsed="false">
      <c r="A11737" s="26" t="s">
        <v>28389</v>
      </c>
      <c r="B11737" s="27" t="s">
        <v>28390</v>
      </c>
      <c r="C11737" s="27" t="s">
        <v>370</v>
      </c>
      <c r="D11737" s="26"/>
      <c r="E11737" s="27"/>
      <c r="F11737" s="27"/>
      <c r="G11737" s="27" t="s">
        <v>11122</v>
      </c>
      <c r="H11737" s="27" t="s">
        <v>35</v>
      </c>
      <c r="I11737" s="28" t="s">
        <v>46</v>
      </c>
      <c r="J11737" s="28" t="s">
        <v>1932</v>
      </c>
      <c r="K11737" s="27" t="s">
        <v>39</v>
      </c>
      <c r="L11737" s="27"/>
    </row>
    <row r="11738" customFormat="false" ht="15" hidden="false" customHeight="false" outlineLevel="0" collapsed="false">
      <c r="A11738" s="26" t="s">
        <v>28391</v>
      </c>
      <c r="B11738" s="27" t="s">
        <v>28392</v>
      </c>
      <c r="C11738" s="27" t="s">
        <v>370</v>
      </c>
      <c r="D11738" s="26"/>
      <c r="E11738" s="27"/>
      <c r="F11738" s="27"/>
      <c r="G11738" s="27" t="s">
        <v>11122</v>
      </c>
      <c r="H11738" s="27" t="s">
        <v>35</v>
      </c>
      <c r="I11738" s="27" t="s">
        <v>39</v>
      </c>
      <c r="J11738" s="28" t="s">
        <v>1932</v>
      </c>
      <c r="K11738" s="27" t="s">
        <v>39</v>
      </c>
      <c r="L11738" s="27"/>
    </row>
    <row r="11739" customFormat="false" ht="15" hidden="false" customHeight="false" outlineLevel="0" collapsed="false">
      <c r="A11739" s="26" t="s">
        <v>28393</v>
      </c>
      <c r="B11739" s="27" t="s">
        <v>28394</v>
      </c>
      <c r="C11739" s="27" t="s">
        <v>144</v>
      </c>
      <c r="D11739" s="26"/>
      <c r="E11739" s="27"/>
      <c r="F11739" s="27"/>
      <c r="G11739" s="27" t="s">
        <v>11122</v>
      </c>
      <c r="H11739" s="27" t="s">
        <v>35</v>
      </c>
      <c r="I11739" s="27" t="s">
        <v>42</v>
      </c>
      <c r="J11739" s="28" t="s">
        <v>1932</v>
      </c>
      <c r="K11739" s="27" t="s">
        <v>39</v>
      </c>
      <c r="L11739" s="27"/>
    </row>
    <row r="11740" customFormat="false" ht="15" hidden="false" customHeight="false" outlineLevel="0" collapsed="false">
      <c r="A11740" s="26" t="s">
        <v>28395</v>
      </c>
      <c r="B11740" s="27" t="s">
        <v>28396</v>
      </c>
      <c r="C11740" s="27" t="s">
        <v>370</v>
      </c>
      <c r="D11740" s="26"/>
      <c r="E11740" s="27"/>
      <c r="F11740" s="27"/>
      <c r="G11740" s="27" t="s">
        <v>11122</v>
      </c>
      <c r="H11740" s="27" t="s">
        <v>35</v>
      </c>
      <c r="I11740" s="27" t="s">
        <v>41</v>
      </c>
      <c r="J11740" s="28" t="s">
        <v>1932</v>
      </c>
      <c r="K11740" s="27" t="s">
        <v>39</v>
      </c>
      <c r="L11740" s="27"/>
    </row>
    <row r="11741" customFormat="false" ht="15" hidden="false" customHeight="false" outlineLevel="0" collapsed="false">
      <c r="A11741" s="26" t="s">
        <v>28397</v>
      </c>
      <c r="B11741" s="27" t="s">
        <v>28398</v>
      </c>
      <c r="C11741" s="27" t="s">
        <v>370</v>
      </c>
      <c r="D11741" s="26"/>
      <c r="E11741" s="27"/>
      <c r="F11741" s="27"/>
      <c r="G11741" s="27" t="s">
        <v>11122</v>
      </c>
      <c r="H11741" s="27" t="s">
        <v>35</v>
      </c>
      <c r="I11741" s="27" t="s">
        <v>1578</v>
      </c>
      <c r="J11741" s="28" t="s">
        <v>1932</v>
      </c>
      <c r="K11741" s="27" t="s">
        <v>39</v>
      </c>
      <c r="L11741" s="27"/>
    </row>
    <row r="11742" customFormat="false" ht="15" hidden="false" customHeight="false" outlineLevel="0" collapsed="false">
      <c r="A11742" s="26" t="s">
        <v>28399</v>
      </c>
      <c r="B11742" s="27" t="s">
        <v>28400</v>
      </c>
      <c r="C11742" s="27" t="s">
        <v>144</v>
      </c>
      <c r="D11742" s="26"/>
      <c r="E11742" s="27"/>
      <c r="F11742" s="27"/>
      <c r="G11742" s="27" t="s">
        <v>11122</v>
      </c>
      <c r="H11742" s="27" t="s">
        <v>35</v>
      </c>
      <c r="I11742" s="27" t="s">
        <v>43</v>
      </c>
      <c r="J11742" s="28" t="s">
        <v>1932</v>
      </c>
      <c r="K11742" s="27" t="s">
        <v>39</v>
      </c>
      <c r="L11742" s="27"/>
    </row>
    <row r="11743" customFormat="false" ht="15" hidden="false" customHeight="false" outlineLevel="0" collapsed="false">
      <c r="A11743" s="26" t="s">
        <v>28401</v>
      </c>
      <c r="B11743" s="27" t="s">
        <v>28402</v>
      </c>
      <c r="C11743" s="27" t="s">
        <v>370</v>
      </c>
      <c r="D11743" s="26"/>
      <c r="E11743" s="27"/>
      <c r="F11743" s="27"/>
      <c r="G11743" s="27" t="s">
        <v>11122</v>
      </c>
      <c r="H11743" s="27" t="s">
        <v>35</v>
      </c>
      <c r="I11743" s="27" t="s">
        <v>40</v>
      </c>
      <c r="J11743" s="28" t="s">
        <v>1932</v>
      </c>
      <c r="K11743" s="27" t="s">
        <v>39</v>
      </c>
      <c r="L11743" s="27"/>
    </row>
    <row r="11744" customFormat="false" ht="15" hidden="false" customHeight="false" outlineLevel="0" collapsed="false">
      <c r="A11744" s="26" t="s">
        <v>28403</v>
      </c>
      <c r="B11744" s="27" t="s">
        <v>28404</v>
      </c>
      <c r="C11744" s="27" t="s">
        <v>370</v>
      </c>
      <c r="D11744" s="26"/>
      <c r="E11744" s="27"/>
      <c r="F11744" s="27"/>
      <c r="G11744" s="27" t="s">
        <v>11122</v>
      </c>
      <c r="H11744" s="27" t="s">
        <v>35</v>
      </c>
      <c r="I11744" s="27" t="s">
        <v>42</v>
      </c>
      <c r="J11744" s="28" t="s">
        <v>1932</v>
      </c>
      <c r="K11744" s="27" t="s">
        <v>39</v>
      </c>
      <c r="L11744" s="27"/>
    </row>
    <row r="11745" customFormat="false" ht="15" hidden="false" customHeight="false" outlineLevel="0" collapsed="false">
      <c r="A11745" s="26" t="s">
        <v>28405</v>
      </c>
      <c r="B11745" s="27" t="s">
        <v>28406</v>
      </c>
      <c r="C11745" s="27" t="s">
        <v>370</v>
      </c>
      <c r="D11745" s="26"/>
      <c r="E11745" s="27"/>
      <c r="F11745" s="27"/>
      <c r="G11745" s="27" t="s">
        <v>11122</v>
      </c>
      <c r="H11745" s="27" t="s">
        <v>35</v>
      </c>
      <c r="I11745" s="27" t="s">
        <v>42</v>
      </c>
      <c r="J11745" s="28" t="s">
        <v>1932</v>
      </c>
      <c r="K11745" s="27" t="s">
        <v>39</v>
      </c>
      <c r="L11745" s="27"/>
    </row>
    <row r="11746" customFormat="false" ht="15" hidden="false" customHeight="false" outlineLevel="0" collapsed="false">
      <c r="A11746" s="26" t="s">
        <v>28407</v>
      </c>
      <c r="B11746" s="27" t="s">
        <v>28408</v>
      </c>
      <c r="C11746" s="27" t="s">
        <v>370</v>
      </c>
      <c r="D11746" s="26"/>
      <c r="E11746" s="27"/>
      <c r="F11746" s="27"/>
      <c r="G11746" s="27" t="s">
        <v>11122</v>
      </c>
      <c r="H11746" s="27" t="s">
        <v>35</v>
      </c>
      <c r="I11746" s="27" t="s">
        <v>41</v>
      </c>
      <c r="J11746" s="28" t="s">
        <v>1932</v>
      </c>
      <c r="K11746" s="27" t="s">
        <v>39</v>
      </c>
      <c r="L11746" s="27"/>
    </row>
    <row r="11747" customFormat="false" ht="15" hidden="false" customHeight="false" outlineLevel="0" collapsed="false">
      <c r="A11747" s="26" t="s">
        <v>28409</v>
      </c>
      <c r="B11747" s="27" t="s">
        <v>28410</v>
      </c>
      <c r="C11747" s="27" t="s">
        <v>370</v>
      </c>
      <c r="D11747" s="26"/>
      <c r="E11747" s="27"/>
      <c r="F11747" s="27"/>
      <c r="G11747" s="27" t="s">
        <v>11122</v>
      </c>
      <c r="H11747" s="27" t="s">
        <v>35</v>
      </c>
      <c r="I11747" s="28" t="s">
        <v>46</v>
      </c>
      <c r="J11747" s="28" t="s">
        <v>1932</v>
      </c>
      <c r="K11747" s="27" t="s">
        <v>39</v>
      </c>
      <c r="L11747" s="27"/>
    </row>
    <row r="11748" customFormat="false" ht="15" hidden="false" customHeight="false" outlineLevel="0" collapsed="false">
      <c r="A11748" s="26" t="s">
        <v>28411</v>
      </c>
      <c r="B11748" s="27" t="s">
        <v>28412</v>
      </c>
      <c r="C11748" s="27" t="s">
        <v>370</v>
      </c>
      <c r="D11748" s="26"/>
      <c r="E11748" s="27"/>
      <c r="F11748" s="27"/>
      <c r="G11748" s="27" t="s">
        <v>11122</v>
      </c>
      <c r="H11748" s="27" t="s">
        <v>35</v>
      </c>
      <c r="I11748" s="27" t="s">
        <v>41</v>
      </c>
      <c r="J11748" s="28" t="s">
        <v>1932</v>
      </c>
      <c r="K11748" s="27" t="s">
        <v>39</v>
      </c>
      <c r="L11748" s="27"/>
    </row>
    <row r="11749" customFormat="false" ht="15" hidden="false" customHeight="false" outlineLevel="0" collapsed="false">
      <c r="A11749" s="26" t="s">
        <v>28413</v>
      </c>
      <c r="B11749" s="27" t="s">
        <v>28414</v>
      </c>
      <c r="C11749" s="27" t="s">
        <v>370</v>
      </c>
      <c r="D11749" s="26"/>
      <c r="E11749" s="27"/>
      <c r="F11749" s="27"/>
      <c r="G11749" s="27" t="s">
        <v>11122</v>
      </c>
      <c r="H11749" s="27" t="s">
        <v>35</v>
      </c>
      <c r="I11749" s="27" t="s">
        <v>40</v>
      </c>
      <c r="J11749" s="28" t="s">
        <v>1932</v>
      </c>
      <c r="K11749" s="27" t="s">
        <v>39</v>
      </c>
      <c r="L11749" s="27"/>
    </row>
    <row r="11750" customFormat="false" ht="15" hidden="false" customHeight="false" outlineLevel="0" collapsed="false">
      <c r="A11750" s="26" t="s">
        <v>28415</v>
      </c>
      <c r="B11750" s="27" t="s">
        <v>28416</v>
      </c>
      <c r="C11750" s="27" t="s">
        <v>370</v>
      </c>
      <c r="D11750" s="26"/>
      <c r="E11750" s="27"/>
      <c r="F11750" s="27"/>
      <c r="G11750" s="27" t="s">
        <v>11122</v>
      </c>
      <c r="H11750" s="27" t="s">
        <v>35</v>
      </c>
      <c r="I11750" s="27" t="s">
        <v>41</v>
      </c>
      <c r="J11750" s="28" t="s">
        <v>1932</v>
      </c>
      <c r="K11750" s="27" t="s">
        <v>39</v>
      </c>
      <c r="L11750" s="27"/>
    </row>
    <row r="11751" customFormat="false" ht="15" hidden="false" customHeight="false" outlineLevel="0" collapsed="false">
      <c r="A11751" s="26" t="s">
        <v>28417</v>
      </c>
      <c r="B11751" s="27" t="s">
        <v>28418</v>
      </c>
      <c r="C11751" s="27" t="s">
        <v>370</v>
      </c>
      <c r="D11751" s="26"/>
      <c r="E11751" s="27"/>
      <c r="F11751" s="27"/>
      <c r="G11751" s="27" t="s">
        <v>11122</v>
      </c>
      <c r="H11751" s="27" t="s">
        <v>35</v>
      </c>
      <c r="I11751" s="27" t="s">
        <v>41</v>
      </c>
      <c r="J11751" s="28" t="s">
        <v>1932</v>
      </c>
      <c r="K11751" s="27" t="s">
        <v>39</v>
      </c>
      <c r="L11751" s="27"/>
    </row>
    <row r="11752" customFormat="false" ht="15" hidden="false" customHeight="false" outlineLevel="0" collapsed="false">
      <c r="A11752" s="26" t="s">
        <v>28419</v>
      </c>
      <c r="B11752" s="27" t="s">
        <v>28420</v>
      </c>
      <c r="C11752" s="27" t="s">
        <v>370</v>
      </c>
      <c r="D11752" s="26"/>
      <c r="E11752" s="27"/>
      <c r="F11752" s="27"/>
      <c r="G11752" s="27" t="s">
        <v>11122</v>
      </c>
      <c r="H11752" s="27" t="s">
        <v>35</v>
      </c>
      <c r="I11752" s="27" t="s">
        <v>41</v>
      </c>
      <c r="J11752" s="28" t="s">
        <v>1932</v>
      </c>
      <c r="K11752" s="27" t="s">
        <v>39</v>
      </c>
      <c r="L11752" s="27"/>
    </row>
    <row r="11753" customFormat="false" ht="15" hidden="false" customHeight="false" outlineLevel="0" collapsed="false">
      <c r="A11753" s="26" t="s">
        <v>28421</v>
      </c>
      <c r="B11753" s="27" t="s">
        <v>28422</v>
      </c>
      <c r="C11753" s="27" t="s">
        <v>370</v>
      </c>
      <c r="D11753" s="26"/>
      <c r="E11753" s="27"/>
      <c r="F11753" s="27"/>
      <c r="G11753" s="27" t="s">
        <v>11122</v>
      </c>
      <c r="H11753" s="27" t="s">
        <v>35</v>
      </c>
      <c r="I11753" s="27" t="s">
        <v>41</v>
      </c>
      <c r="J11753" s="28" t="s">
        <v>1932</v>
      </c>
      <c r="K11753" s="27" t="s">
        <v>39</v>
      </c>
      <c r="L11753" s="27"/>
    </row>
    <row r="11754" customFormat="false" ht="15" hidden="false" customHeight="false" outlineLevel="0" collapsed="false">
      <c r="A11754" s="26" t="s">
        <v>28423</v>
      </c>
      <c r="B11754" s="27" t="s">
        <v>28424</v>
      </c>
      <c r="C11754" s="27" t="s">
        <v>370</v>
      </c>
      <c r="D11754" s="26"/>
      <c r="E11754" s="27"/>
      <c r="F11754" s="27"/>
      <c r="G11754" s="27" t="s">
        <v>11122</v>
      </c>
      <c r="H11754" s="27" t="s">
        <v>35</v>
      </c>
      <c r="I11754" s="27" t="s">
        <v>40</v>
      </c>
      <c r="J11754" s="28" t="s">
        <v>1932</v>
      </c>
      <c r="K11754" s="27" t="s">
        <v>39</v>
      </c>
      <c r="L11754" s="27"/>
    </row>
    <row r="11755" customFormat="false" ht="15" hidden="false" customHeight="false" outlineLevel="0" collapsed="false">
      <c r="A11755" s="26" t="s">
        <v>28425</v>
      </c>
      <c r="B11755" s="27" t="s">
        <v>28426</v>
      </c>
      <c r="C11755" s="27" t="s">
        <v>370</v>
      </c>
      <c r="D11755" s="26"/>
      <c r="E11755" s="27"/>
      <c r="F11755" s="27"/>
      <c r="G11755" s="27" t="s">
        <v>11122</v>
      </c>
      <c r="H11755" s="27" t="s">
        <v>35</v>
      </c>
      <c r="I11755" s="27" t="s">
        <v>40</v>
      </c>
      <c r="J11755" s="28" t="s">
        <v>1932</v>
      </c>
      <c r="K11755" s="27" t="s">
        <v>39</v>
      </c>
      <c r="L11755" s="27"/>
    </row>
    <row r="11756" customFormat="false" ht="15" hidden="false" customHeight="false" outlineLevel="0" collapsed="false">
      <c r="A11756" s="26" t="s">
        <v>28427</v>
      </c>
      <c r="B11756" s="27" t="s">
        <v>28428</v>
      </c>
      <c r="C11756" s="27" t="s">
        <v>370</v>
      </c>
      <c r="D11756" s="26"/>
      <c r="E11756" s="27"/>
      <c r="F11756" s="27"/>
      <c r="G11756" s="27" t="s">
        <v>11122</v>
      </c>
      <c r="H11756" s="27" t="s">
        <v>35</v>
      </c>
      <c r="I11756" s="27" t="s">
        <v>43</v>
      </c>
      <c r="J11756" s="28" t="s">
        <v>1932</v>
      </c>
      <c r="K11756" s="27" t="s">
        <v>39</v>
      </c>
      <c r="L11756" s="27"/>
    </row>
    <row r="11757" customFormat="false" ht="15" hidden="false" customHeight="false" outlineLevel="0" collapsed="false">
      <c r="A11757" s="26" t="s">
        <v>28429</v>
      </c>
      <c r="B11757" s="27" t="s">
        <v>28430</v>
      </c>
      <c r="C11757" s="27" t="s">
        <v>370</v>
      </c>
      <c r="D11757" s="26"/>
      <c r="E11757" s="27"/>
      <c r="F11757" s="27"/>
      <c r="G11757" s="27" t="s">
        <v>11122</v>
      </c>
      <c r="H11757" s="27" t="s">
        <v>35</v>
      </c>
      <c r="I11757" s="27" t="s">
        <v>40</v>
      </c>
      <c r="J11757" s="28" t="s">
        <v>1932</v>
      </c>
      <c r="K11757" s="27" t="s">
        <v>39</v>
      </c>
      <c r="L11757" s="27"/>
    </row>
    <row r="11758" customFormat="false" ht="15" hidden="false" customHeight="false" outlineLevel="0" collapsed="false">
      <c r="A11758" s="26" t="s">
        <v>28431</v>
      </c>
      <c r="B11758" s="27" t="s">
        <v>28432</v>
      </c>
      <c r="C11758" s="27" t="s">
        <v>370</v>
      </c>
      <c r="D11758" s="26"/>
      <c r="E11758" s="27"/>
      <c r="F11758" s="27"/>
      <c r="G11758" s="27" t="s">
        <v>11122</v>
      </c>
      <c r="H11758" s="27" t="s">
        <v>35</v>
      </c>
      <c r="I11758" s="27" t="s">
        <v>39</v>
      </c>
      <c r="J11758" s="28" t="s">
        <v>1932</v>
      </c>
      <c r="K11758" s="27" t="s">
        <v>39</v>
      </c>
      <c r="L11758" s="27"/>
    </row>
    <row r="11759" customFormat="false" ht="15" hidden="false" customHeight="false" outlineLevel="0" collapsed="false">
      <c r="A11759" s="26" t="s">
        <v>28433</v>
      </c>
      <c r="B11759" s="27" t="s">
        <v>28434</v>
      </c>
      <c r="C11759" s="27" t="s">
        <v>370</v>
      </c>
      <c r="D11759" s="26"/>
      <c r="E11759" s="27"/>
      <c r="F11759" s="27"/>
      <c r="G11759" s="27" t="s">
        <v>11122</v>
      </c>
      <c r="H11759" s="27" t="s">
        <v>35</v>
      </c>
      <c r="I11759" s="28" t="s">
        <v>50</v>
      </c>
      <c r="J11759" s="28" t="s">
        <v>1932</v>
      </c>
      <c r="K11759" s="27" t="s">
        <v>39</v>
      </c>
      <c r="L11759" s="27"/>
    </row>
    <row r="11760" customFormat="false" ht="15" hidden="false" customHeight="false" outlineLevel="0" collapsed="false">
      <c r="A11760" s="26" t="s">
        <v>28435</v>
      </c>
      <c r="B11760" s="27" t="s">
        <v>28436</v>
      </c>
      <c r="C11760" s="27" t="s">
        <v>370</v>
      </c>
      <c r="D11760" s="26"/>
      <c r="E11760" s="27"/>
      <c r="F11760" s="27"/>
      <c r="G11760" s="27" t="s">
        <v>11122</v>
      </c>
      <c r="H11760" s="27" t="s">
        <v>35</v>
      </c>
      <c r="I11760" s="27" t="s">
        <v>39</v>
      </c>
      <c r="J11760" s="28" t="s">
        <v>1932</v>
      </c>
      <c r="K11760" s="27" t="s">
        <v>39</v>
      </c>
      <c r="L11760" s="27"/>
    </row>
    <row r="11761" customFormat="false" ht="15" hidden="false" customHeight="false" outlineLevel="0" collapsed="false">
      <c r="A11761" s="26" t="s">
        <v>28437</v>
      </c>
      <c r="B11761" s="27" t="s">
        <v>28438</v>
      </c>
      <c r="C11761" s="27" t="s">
        <v>370</v>
      </c>
      <c r="D11761" s="26"/>
      <c r="E11761" s="27"/>
      <c r="F11761" s="27"/>
      <c r="G11761" s="27" t="s">
        <v>11122</v>
      </c>
      <c r="H11761" s="27" t="s">
        <v>35</v>
      </c>
      <c r="I11761" s="27" t="s">
        <v>44</v>
      </c>
      <c r="J11761" s="28" t="s">
        <v>1932</v>
      </c>
      <c r="K11761" s="27" t="s">
        <v>39</v>
      </c>
      <c r="L11761" s="27"/>
    </row>
    <row r="11762" customFormat="false" ht="15" hidden="false" customHeight="false" outlineLevel="0" collapsed="false">
      <c r="A11762" s="26" t="s">
        <v>28439</v>
      </c>
      <c r="B11762" s="27" t="s">
        <v>28440</v>
      </c>
      <c r="C11762" s="27" t="s">
        <v>370</v>
      </c>
      <c r="D11762" s="26"/>
      <c r="E11762" s="27"/>
      <c r="F11762" s="27"/>
      <c r="G11762" s="27" t="s">
        <v>11122</v>
      </c>
      <c r="H11762" s="27" t="s">
        <v>35</v>
      </c>
      <c r="I11762" s="27" t="s">
        <v>39</v>
      </c>
      <c r="J11762" s="28" t="s">
        <v>1932</v>
      </c>
      <c r="K11762" s="27" t="s">
        <v>39</v>
      </c>
      <c r="L11762" s="27"/>
    </row>
    <row r="11763" customFormat="false" ht="15" hidden="false" customHeight="false" outlineLevel="0" collapsed="false">
      <c r="A11763" s="26" t="s">
        <v>28441</v>
      </c>
      <c r="B11763" s="27" t="s">
        <v>28442</v>
      </c>
      <c r="C11763" s="27" t="s">
        <v>370</v>
      </c>
      <c r="D11763" s="26"/>
      <c r="E11763" s="27"/>
      <c r="F11763" s="27"/>
      <c r="G11763" s="27" t="s">
        <v>11122</v>
      </c>
      <c r="H11763" s="27" t="s">
        <v>35</v>
      </c>
      <c r="I11763" s="27" t="s">
        <v>39</v>
      </c>
      <c r="J11763" s="28" t="s">
        <v>1932</v>
      </c>
      <c r="K11763" s="27" t="s">
        <v>39</v>
      </c>
      <c r="L11763" s="27"/>
    </row>
    <row r="11764" customFormat="false" ht="15" hidden="false" customHeight="false" outlineLevel="0" collapsed="false">
      <c r="A11764" s="26" t="s">
        <v>28443</v>
      </c>
      <c r="B11764" s="27" t="s">
        <v>28444</v>
      </c>
      <c r="C11764" s="27" t="s">
        <v>370</v>
      </c>
      <c r="D11764" s="26"/>
      <c r="E11764" s="27"/>
      <c r="F11764" s="27"/>
      <c r="G11764" s="27" t="s">
        <v>11122</v>
      </c>
      <c r="H11764" s="27" t="s">
        <v>35</v>
      </c>
      <c r="I11764" s="28" t="s">
        <v>46</v>
      </c>
      <c r="J11764" s="28" t="s">
        <v>1932</v>
      </c>
      <c r="K11764" s="27" t="s">
        <v>39</v>
      </c>
      <c r="L11764" s="27"/>
    </row>
    <row r="11765" customFormat="false" ht="15" hidden="false" customHeight="false" outlineLevel="0" collapsed="false">
      <c r="A11765" s="26" t="s">
        <v>28445</v>
      </c>
      <c r="B11765" s="27" t="s">
        <v>28446</v>
      </c>
      <c r="C11765" s="27" t="s">
        <v>370</v>
      </c>
      <c r="D11765" s="26"/>
      <c r="E11765" s="27"/>
      <c r="F11765" s="27"/>
      <c r="G11765" s="27" t="s">
        <v>11122</v>
      </c>
      <c r="H11765" s="27" t="s">
        <v>35</v>
      </c>
      <c r="I11765" s="27" t="s">
        <v>152</v>
      </c>
      <c r="J11765" s="28" t="s">
        <v>1932</v>
      </c>
      <c r="K11765" s="27" t="s">
        <v>39</v>
      </c>
      <c r="L11765" s="27"/>
    </row>
    <row r="11766" customFormat="false" ht="15" hidden="false" customHeight="false" outlineLevel="0" collapsed="false">
      <c r="A11766" s="26" t="s">
        <v>28447</v>
      </c>
      <c r="B11766" s="27" t="s">
        <v>28448</v>
      </c>
      <c r="C11766" s="27" t="s">
        <v>370</v>
      </c>
      <c r="D11766" s="26"/>
      <c r="E11766" s="27"/>
      <c r="F11766" s="27"/>
      <c r="G11766" s="27" t="s">
        <v>11122</v>
      </c>
      <c r="H11766" s="27" t="s">
        <v>35</v>
      </c>
      <c r="I11766" s="27" t="s">
        <v>37</v>
      </c>
      <c r="J11766" s="28" t="s">
        <v>1932</v>
      </c>
      <c r="K11766" s="27" t="s">
        <v>39</v>
      </c>
      <c r="L11766" s="27"/>
    </row>
    <row r="11767" customFormat="false" ht="15" hidden="false" customHeight="false" outlineLevel="0" collapsed="false">
      <c r="A11767" s="26" t="s">
        <v>28449</v>
      </c>
      <c r="B11767" s="27" t="s">
        <v>28450</v>
      </c>
      <c r="C11767" s="27" t="s">
        <v>370</v>
      </c>
      <c r="D11767" s="26"/>
      <c r="E11767" s="27"/>
      <c r="F11767" s="27"/>
      <c r="G11767" s="27" t="s">
        <v>11122</v>
      </c>
      <c r="H11767" s="27" t="s">
        <v>35</v>
      </c>
      <c r="I11767" s="27" t="s">
        <v>47</v>
      </c>
      <c r="J11767" s="28" t="s">
        <v>1932</v>
      </c>
      <c r="K11767" s="27" t="s">
        <v>39</v>
      </c>
      <c r="L11767" s="27"/>
    </row>
    <row r="11768" customFormat="false" ht="15" hidden="false" customHeight="false" outlineLevel="0" collapsed="false">
      <c r="A11768" s="26" t="s">
        <v>28451</v>
      </c>
      <c r="B11768" s="27" t="s">
        <v>28452</v>
      </c>
      <c r="C11768" s="27" t="s">
        <v>370</v>
      </c>
      <c r="D11768" s="26"/>
      <c r="E11768" s="27"/>
      <c r="F11768" s="27"/>
      <c r="G11768" s="27" t="s">
        <v>11122</v>
      </c>
      <c r="H11768" s="27" t="s">
        <v>35</v>
      </c>
      <c r="I11768" s="27" t="s">
        <v>47</v>
      </c>
      <c r="J11768" s="28" t="s">
        <v>1932</v>
      </c>
      <c r="K11768" s="27" t="s">
        <v>39</v>
      </c>
      <c r="L11768" s="27"/>
    </row>
    <row r="11769" customFormat="false" ht="15" hidden="false" customHeight="false" outlineLevel="0" collapsed="false">
      <c r="A11769" s="26" t="s">
        <v>28453</v>
      </c>
      <c r="B11769" s="27" t="s">
        <v>28454</v>
      </c>
      <c r="C11769" s="27" t="s">
        <v>370</v>
      </c>
      <c r="D11769" s="26"/>
      <c r="E11769" s="27"/>
      <c r="F11769" s="27"/>
      <c r="G11769" s="27" t="s">
        <v>11122</v>
      </c>
      <c r="H11769" s="27" t="s">
        <v>35</v>
      </c>
      <c r="I11769" s="27" t="s">
        <v>152</v>
      </c>
      <c r="J11769" s="28" t="s">
        <v>1932</v>
      </c>
      <c r="K11769" s="27" t="s">
        <v>39</v>
      </c>
      <c r="L11769" s="27"/>
    </row>
    <row r="11770" customFormat="false" ht="15" hidden="false" customHeight="false" outlineLevel="0" collapsed="false">
      <c r="A11770" s="26" t="s">
        <v>28455</v>
      </c>
      <c r="B11770" s="27" t="s">
        <v>28456</v>
      </c>
      <c r="C11770" s="27" t="s">
        <v>144</v>
      </c>
      <c r="D11770" s="26"/>
      <c r="E11770" s="27"/>
      <c r="F11770" s="27"/>
      <c r="G11770" s="27" t="s">
        <v>11122</v>
      </c>
      <c r="H11770" s="27" t="s">
        <v>35</v>
      </c>
      <c r="I11770" s="27" t="s">
        <v>41</v>
      </c>
      <c r="J11770" s="28" t="s">
        <v>1932</v>
      </c>
      <c r="K11770" s="27" t="s">
        <v>39</v>
      </c>
      <c r="L11770" s="27"/>
    </row>
    <row r="11771" customFormat="false" ht="15" hidden="false" customHeight="false" outlineLevel="0" collapsed="false">
      <c r="A11771" s="26" t="s">
        <v>28457</v>
      </c>
      <c r="B11771" s="27" t="s">
        <v>28458</v>
      </c>
      <c r="C11771" s="27" t="s">
        <v>370</v>
      </c>
      <c r="D11771" s="26"/>
      <c r="E11771" s="27"/>
      <c r="F11771" s="27"/>
      <c r="G11771" s="27" t="s">
        <v>11122</v>
      </c>
      <c r="H11771" s="27" t="s">
        <v>35</v>
      </c>
      <c r="I11771" s="27" t="s">
        <v>41</v>
      </c>
      <c r="J11771" s="28" t="s">
        <v>1932</v>
      </c>
      <c r="K11771" s="27" t="s">
        <v>39</v>
      </c>
      <c r="L11771" s="27"/>
    </row>
    <row r="11772" customFormat="false" ht="15" hidden="false" customHeight="false" outlineLevel="0" collapsed="false">
      <c r="A11772" s="26" t="s">
        <v>28459</v>
      </c>
      <c r="B11772" s="27" t="s">
        <v>28460</v>
      </c>
      <c r="C11772" s="27" t="s">
        <v>370</v>
      </c>
      <c r="D11772" s="26"/>
      <c r="E11772" s="27"/>
      <c r="F11772" s="27"/>
      <c r="G11772" s="27" t="s">
        <v>11122</v>
      </c>
      <c r="H11772" s="27" t="s">
        <v>35</v>
      </c>
      <c r="I11772" s="27" t="s">
        <v>41</v>
      </c>
      <c r="J11772" s="28" t="s">
        <v>1932</v>
      </c>
      <c r="K11772" s="27" t="s">
        <v>39</v>
      </c>
      <c r="L11772" s="27"/>
    </row>
    <row r="11773" customFormat="false" ht="15" hidden="false" customHeight="false" outlineLevel="0" collapsed="false">
      <c r="A11773" s="26" t="s">
        <v>28461</v>
      </c>
      <c r="B11773" s="27" t="s">
        <v>28462</v>
      </c>
      <c r="C11773" s="27" t="s">
        <v>370</v>
      </c>
      <c r="D11773" s="26"/>
      <c r="E11773" s="27"/>
      <c r="F11773" s="27"/>
      <c r="G11773" s="27" t="s">
        <v>11122</v>
      </c>
      <c r="H11773" s="27" t="s">
        <v>35</v>
      </c>
      <c r="I11773" s="27" t="s">
        <v>47</v>
      </c>
      <c r="J11773" s="28" t="s">
        <v>1932</v>
      </c>
      <c r="K11773" s="27" t="s">
        <v>39</v>
      </c>
      <c r="L11773" s="27"/>
    </row>
    <row r="11774" customFormat="false" ht="15" hidden="false" customHeight="false" outlineLevel="0" collapsed="false">
      <c r="A11774" s="26" t="s">
        <v>28463</v>
      </c>
      <c r="B11774" s="27" t="s">
        <v>28464</v>
      </c>
      <c r="C11774" s="27" t="s">
        <v>370</v>
      </c>
      <c r="D11774" s="26"/>
      <c r="E11774" s="27"/>
      <c r="F11774" s="27"/>
      <c r="G11774" s="27" t="s">
        <v>11122</v>
      </c>
      <c r="H11774" s="27" t="s">
        <v>35</v>
      </c>
      <c r="I11774" s="27" t="s">
        <v>47</v>
      </c>
      <c r="J11774" s="28" t="s">
        <v>1932</v>
      </c>
      <c r="K11774" s="27" t="s">
        <v>39</v>
      </c>
      <c r="L11774" s="27"/>
    </row>
    <row r="11775" customFormat="false" ht="15" hidden="false" customHeight="false" outlineLevel="0" collapsed="false">
      <c r="A11775" s="26" t="s">
        <v>28465</v>
      </c>
      <c r="B11775" s="27" t="s">
        <v>28466</v>
      </c>
      <c r="C11775" s="27" t="s">
        <v>370</v>
      </c>
      <c r="D11775" s="26"/>
      <c r="E11775" s="27"/>
      <c r="F11775" s="27"/>
      <c r="G11775" s="27" t="s">
        <v>11122</v>
      </c>
      <c r="H11775" s="27" t="s">
        <v>35</v>
      </c>
      <c r="I11775" s="27" t="s">
        <v>47</v>
      </c>
      <c r="J11775" s="28" t="s">
        <v>1932</v>
      </c>
      <c r="K11775" s="27" t="s">
        <v>39</v>
      </c>
      <c r="L11775" s="27"/>
    </row>
    <row r="11776" customFormat="false" ht="15" hidden="false" customHeight="false" outlineLevel="0" collapsed="false">
      <c r="A11776" s="26" t="s">
        <v>28467</v>
      </c>
      <c r="B11776" s="27" t="s">
        <v>28468</v>
      </c>
      <c r="C11776" s="27" t="s">
        <v>370</v>
      </c>
      <c r="D11776" s="26"/>
      <c r="E11776" s="27"/>
      <c r="F11776" s="27"/>
      <c r="G11776" s="27" t="s">
        <v>11122</v>
      </c>
      <c r="H11776" s="27" t="s">
        <v>35</v>
      </c>
      <c r="I11776" s="27" t="s">
        <v>47</v>
      </c>
      <c r="J11776" s="28" t="s">
        <v>1932</v>
      </c>
      <c r="K11776" s="27" t="s">
        <v>39</v>
      </c>
      <c r="L11776" s="27"/>
    </row>
    <row r="11777" customFormat="false" ht="15" hidden="false" customHeight="false" outlineLevel="0" collapsed="false">
      <c r="A11777" s="26" t="s">
        <v>28469</v>
      </c>
      <c r="B11777" s="27" t="s">
        <v>28470</v>
      </c>
      <c r="C11777" s="27" t="s">
        <v>370</v>
      </c>
      <c r="D11777" s="26"/>
      <c r="E11777" s="27"/>
      <c r="F11777" s="27"/>
      <c r="G11777" s="27" t="s">
        <v>11122</v>
      </c>
      <c r="H11777" s="27" t="s">
        <v>35</v>
      </c>
      <c r="I11777" s="27" t="s">
        <v>49</v>
      </c>
      <c r="J11777" s="28" t="s">
        <v>1932</v>
      </c>
      <c r="K11777" s="27" t="s">
        <v>39</v>
      </c>
      <c r="L11777" s="27"/>
    </row>
    <row r="11778" customFormat="false" ht="15" hidden="false" customHeight="false" outlineLevel="0" collapsed="false">
      <c r="A11778" s="26" t="s">
        <v>28471</v>
      </c>
      <c r="B11778" s="27" t="s">
        <v>28472</v>
      </c>
      <c r="C11778" s="27" t="s">
        <v>370</v>
      </c>
      <c r="D11778" s="26"/>
      <c r="E11778" s="27"/>
      <c r="F11778" s="27"/>
      <c r="G11778" s="27" t="s">
        <v>11122</v>
      </c>
      <c r="H11778" s="27" t="s">
        <v>35</v>
      </c>
      <c r="I11778" s="27" t="s">
        <v>42</v>
      </c>
      <c r="J11778" s="28" t="s">
        <v>1932</v>
      </c>
      <c r="K11778" s="27" t="s">
        <v>39</v>
      </c>
      <c r="L11778" s="27"/>
    </row>
    <row r="11779" customFormat="false" ht="15" hidden="false" customHeight="false" outlineLevel="0" collapsed="false">
      <c r="A11779" s="26" t="s">
        <v>28473</v>
      </c>
      <c r="B11779" s="27" t="s">
        <v>28474</v>
      </c>
      <c r="C11779" s="27" t="s">
        <v>370</v>
      </c>
      <c r="D11779" s="26"/>
      <c r="E11779" s="27"/>
      <c r="F11779" s="27"/>
      <c r="G11779" s="27" t="s">
        <v>11122</v>
      </c>
      <c r="H11779" s="27" t="s">
        <v>35</v>
      </c>
      <c r="I11779" s="27" t="s">
        <v>43</v>
      </c>
      <c r="J11779" s="28" t="s">
        <v>1932</v>
      </c>
      <c r="K11779" s="27" t="s">
        <v>39</v>
      </c>
      <c r="L11779" s="27"/>
    </row>
    <row r="11780" customFormat="false" ht="15" hidden="false" customHeight="false" outlineLevel="0" collapsed="false">
      <c r="A11780" s="26" t="s">
        <v>28475</v>
      </c>
      <c r="B11780" s="27" t="s">
        <v>28476</v>
      </c>
      <c r="C11780" s="27" t="s">
        <v>370</v>
      </c>
      <c r="D11780" s="26"/>
      <c r="E11780" s="27"/>
      <c r="F11780" s="27"/>
      <c r="G11780" s="27" t="s">
        <v>11122</v>
      </c>
      <c r="H11780" s="27" t="s">
        <v>35</v>
      </c>
      <c r="I11780" s="27" t="s">
        <v>64</v>
      </c>
      <c r="J11780" s="28" t="s">
        <v>1932</v>
      </c>
      <c r="K11780" s="27" t="s">
        <v>39</v>
      </c>
      <c r="L11780" s="27"/>
    </row>
    <row r="11781" customFormat="false" ht="15" hidden="false" customHeight="false" outlineLevel="0" collapsed="false">
      <c r="A11781" s="26" t="s">
        <v>28477</v>
      </c>
      <c r="B11781" s="27" t="s">
        <v>28478</v>
      </c>
      <c r="C11781" s="27" t="s">
        <v>144</v>
      </c>
      <c r="D11781" s="26"/>
      <c r="E11781" s="27"/>
      <c r="F11781" s="27"/>
      <c r="G11781" s="27" t="s">
        <v>11122</v>
      </c>
      <c r="H11781" s="27" t="s">
        <v>35</v>
      </c>
      <c r="I11781" s="27" t="s">
        <v>42</v>
      </c>
      <c r="J11781" s="28" t="s">
        <v>1264</v>
      </c>
      <c r="K11781" s="27" t="s">
        <v>42</v>
      </c>
      <c r="L11781" s="27"/>
    </row>
    <row r="11782" customFormat="false" ht="15" hidden="false" customHeight="false" outlineLevel="0" collapsed="false">
      <c r="A11782" s="26" t="s">
        <v>28479</v>
      </c>
      <c r="B11782" s="27" t="s">
        <v>28480</v>
      </c>
      <c r="C11782" s="27" t="s">
        <v>137</v>
      </c>
      <c r="D11782" s="26"/>
      <c r="E11782" s="27"/>
      <c r="F11782" s="27"/>
      <c r="G11782" s="27" t="s">
        <v>11122</v>
      </c>
      <c r="H11782" s="27" t="s">
        <v>35</v>
      </c>
      <c r="I11782" s="27" t="s">
        <v>64</v>
      </c>
      <c r="J11782" s="28" t="s">
        <v>1264</v>
      </c>
      <c r="K11782" s="27" t="s">
        <v>42</v>
      </c>
      <c r="L11782" s="27"/>
    </row>
    <row r="11783" customFormat="false" ht="15" hidden="false" customHeight="false" outlineLevel="0" collapsed="false">
      <c r="A11783" s="26" t="s">
        <v>28481</v>
      </c>
      <c r="B11783" s="27" t="s">
        <v>28482</v>
      </c>
      <c r="C11783" s="27" t="s">
        <v>144</v>
      </c>
      <c r="D11783" s="26"/>
      <c r="E11783" s="27"/>
      <c r="F11783" s="27"/>
      <c r="G11783" s="27" t="s">
        <v>11122</v>
      </c>
      <c r="H11783" s="27" t="s">
        <v>35</v>
      </c>
      <c r="I11783" s="27" t="s">
        <v>4159</v>
      </c>
      <c r="J11783" s="28" t="s">
        <v>1264</v>
      </c>
      <c r="K11783" s="27" t="s">
        <v>42</v>
      </c>
      <c r="L11783" s="27"/>
    </row>
    <row r="11784" customFormat="false" ht="15" hidden="false" customHeight="false" outlineLevel="0" collapsed="false">
      <c r="A11784" s="26" t="s">
        <v>28483</v>
      </c>
      <c r="B11784" s="27" t="s">
        <v>28484</v>
      </c>
      <c r="C11784" s="27" t="s">
        <v>137</v>
      </c>
      <c r="D11784" s="26"/>
      <c r="E11784" s="27"/>
      <c r="F11784" s="27"/>
      <c r="G11784" s="27" t="s">
        <v>11122</v>
      </c>
      <c r="H11784" s="27" t="s">
        <v>35</v>
      </c>
      <c r="I11784" s="27" t="s">
        <v>44</v>
      </c>
      <c r="J11784" s="28" t="s">
        <v>1264</v>
      </c>
      <c r="K11784" s="27" t="s">
        <v>42</v>
      </c>
      <c r="L11784" s="27"/>
    </row>
    <row r="11785" customFormat="false" ht="15" hidden="false" customHeight="false" outlineLevel="0" collapsed="false">
      <c r="A11785" s="26" t="s">
        <v>28485</v>
      </c>
      <c r="B11785" s="27" t="s">
        <v>28486</v>
      </c>
      <c r="C11785" s="27" t="s">
        <v>144</v>
      </c>
      <c r="D11785" s="26"/>
      <c r="E11785" s="27"/>
      <c r="F11785" s="27"/>
      <c r="G11785" s="27" t="s">
        <v>11122</v>
      </c>
      <c r="H11785" s="27" t="s">
        <v>35</v>
      </c>
      <c r="I11785" s="27" t="s">
        <v>42</v>
      </c>
      <c r="J11785" s="28" t="s">
        <v>1264</v>
      </c>
      <c r="K11785" s="27" t="s">
        <v>42</v>
      </c>
      <c r="L11785" s="27"/>
    </row>
    <row r="11786" customFormat="false" ht="15" hidden="false" customHeight="false" outlineLevel="0" collapsed="false">
      <c r="A11786" s="26" t="s">
        <v>28487</v>
      </c>
      <c r="B11786" s="27" t="s">
        <v>28488</v>
      </c>
      <c r="C11786" s="27" t="s">
        <v>144</v>
      </c>
      <c r="D11786" s="26"/>
      <c r="E11786" s="27"/>
      <c r="F11786" s="27"/>
      <c r="G11786" s="27" t="s">
        <v>11122</v>
      </c>
      <c r="H11786" s="27" t="s">
        <v>35</v>
      </c>
      <c r="I11786" s="27" t="s">
        <v>40</v>
      </c>
      <c r="J11786" s="28" t="s">
        <v>1264</v>
      </c>
      <c r="K11786" s="27" t="s">
        <v>42</v>
      </c>
      <c r="L11786" s="27"/>
    </row>
    <row r="11787" customFormat="false" ht="15" hidden="false" customHeight="false" outlineLevel="0" collapsed="false">
      <c r="A11787" s="26" t="s">
        <v>28489</v>
      </c>
      <c r="B11787" s="27" t="s">
        <v>28490</v>
      </c>
      <c r="C11787" s="27" t="s">
        <v>137</v>
      </c>
      <c r="D11787" s="26"/>
      <c r="E11787" s="27"/>
      <c r="F11787" s="27"/>
      <c r="G11787" s="27" t="s">
        <v>11122</v>
      </c>
      <c r="H11787" s="27" t="s">
        <v>35</v>
      </c>
      <c r="I11787" s="27" t="s">
        <v>44</v>
      </c>
      <c r="J11787" s="28" t="s">
        <v>1264</v>
      </c>
      <c r="K11787" s="27" t="s">
        <v>42</v>
      </c>
      <c r="L11787" s="27"/>
    </row>
    <row r="11788" customFormat="false" ht="15" hidden="false" customHeight="false" outlineLevel="0" collapsed="false">
      <c r="A11788" s="26" t="s">
        <v>28491</v>
      </c>
      <c r="B11788" s="27" t="s">
        <v>28492</v>
      </c>
      <c r="C11788" s="27" t="s">
        <v>144</v>
      </c>
      <c r="D11788" s="26"/>
      <c r="E11788" s="27"/>
      <c r="F11788" s="27"/>
      <c r="G11788" s="27" t="s">
        <v>11122</v>
      </c>
      <c r="H11788" s="27" t="s">
        <v>35</v>
      </c>
      <c r="I11788" s="27" t="s">
        <v>39</v>
      </c>
      <c r="J11788" s="28" t="s">
        <v>1264</v>
      </c>
      <c r="K11788" s="27" t="s">
        <v>42</v>
      </c>
      <c r="L11788" s="27"/>
    </row>
    <row r="11789" customFormat="false" ht="15" hidden="false" customHeight="false" outlineLevel="0" collapsed="false">
      <c r="A11789" s="26" t="s">
        <v>28493</v>
      </c>
      <c r="B11789" s="27" t="s">
        <v>28494</v>
      </c>
      <c r="C11789" s="27" t="s">
        <v>144</v>
      </c>
      <c r="D11789" s="26"/>
      <c r="E11789" s="27"/>
      <c r="F11789" s="27"/>
      <c r="G11789" s="27" t="s">
        <v>11122</v>
      </c>
      <c r="H11789" s="27" t="s">
        <v>35</v>
      </c>
      <c r="I11789" s="27" t="s">
        <v>39</v>
      </c>
      <c r="J11789" s="28" t="s">
        <v>1264</v>
      </c>
      <c r="K11789" s="27" t="s">
        <v>42</v>
      </c>
      <c r="L11789" s="27"/>
    </row>
    <row r="11790" customFormat="false" ht="15" hidden="false" customHeight="false" outlineLevel="0" collapsed="false">
      <c r="A11790" s="26" t="s">
        <v>28495</v>
      </c>
      <c r="B11790" s="27" t="s">
        <v>28496</v>
      </c>
      <c r="C11790" s="27" t="s">
        <v>370</v>
      </c>
      <c r="D11790" s="26"/>
      <c r="E11790" s="27"/>
      <c r="F11790" s="27"/>
      <c r="G11790" s="27" t="s">
        <v>11122</v>
      </c>
      <c r="H11790" s="27" t="s">
        <v>35</v>
      </c>
      <c r="I11790" s="27" t="s">
        <v>42</v>
      </c>
      <c r="J11790" s="28" t="s">
        <v>1264</v>
      </c>
      <c r="K11790" s="27" t="s">
        <v>42</v>
      </c>
      <c r="L11790" s="27"/>
    </row>
    <row r="11791" customFormat="false" ht="15" hidden="false" customHeight="false" outlineLevel="0" collapsed="false">
      <c r="A11791" s="26" t="s">
        <v>28497</v>
      </c>
      <c r="B11791" s="27" t="s">
        <v>28498</v>
      </c>
      <c r="C11791" s="27" t="s">
        <v>370</v>
      </c>
      <c r="D11791" s="26"/>
      <c r="E11791" s="27"/>
      <c r="F11791" s="27"/>
      <c r="G11791" s="27" t="s">
        <v>11122</v>
      </c>
      <c r="H11791" s="27" t="s">
        <v>35</v>
      </c>
      <c r="I11791" s="27" t="s">
        <v>37</v>
      </c>
      <c r="J11791" s="28" t="s">
        <v>1264</v>
      </c>
      <c r="K11791" s="27" t="s">
        <v>42</v>
      </c>
      <c r="L11791" s="27"/>
    </row>
    <row r="11792" customFormat="false" ht="15" hidden="false" customHeight="false" outlineLevel="0" collapsed="false">
      <c r="A11792" s="26" t="s">
        <v>28499</v>
      </c>
      <c r="B11792" s="27" t="s">
        <v>28500</v>
      </c>
      <c r="C11792" s="27" t="s">
        <v>370</v>
      </c>
      <c r="D11792" s="26"/>
      <c r="E11792" s="27"/>
      <c r="F11792" s="27"/>
      <c r="G11792" s="27" t="s">
        <v>11122</v>
      </c>
      <c r="H11792" s="27" t="s">
        <v>35</v>
      </c>
      <c r="I11792" s="27" t="s">
        <v>42</v>
      </c>
      <c r="J11792" s="28" t="s">
        <v>1264</v>
      </c>
      <c r="K11792" s="27" t="s">
        <v>42</v>
      </c>
      <c r="L11792" s="27"/>
    </row>
    <row r="11793" customFormat="false" ht="15" hidden="false" customHeight="false" outlineLevel="0" collapsed="false">
      <c r="A11793" s="26" t="s">
        <v>28501</v>
      </c>
      <c r="B11793" s="27" t="s">
        <v>28502</v>
      </c>
      <c r="C11793" s="27" t="s">
        <v>144</v>
      </c>
      <c r="D11793" s="26"/>
      <c r="E11793" s="27"/>
      <c r="F11793" s="27"/>
      <c r="G11793" s="27" t="s">
        <v>11122</v>
      </c>
      <c r="H11793" s="27" t="s">
        <v>35</v>
      </c>
      <c r="I11793" s="27" t="s">
        <v>39</v>
      </c>
      <c r="J11793" s="28" t="s">
        <v>1264</v>
      </c>
      <c r="K11793" s="27" t="s">
        <v>42</v>
      </c>
      <c r="L11793" s="27"/>
    </row>
    <row r="11794" customFormat="false" ht="15" hidden="false" customHeight="false" outlineLevel="0" collapsed="false">
      <c r="A11794" s="26" t="s">
        <v>28503</v>
      </c>
      <c r="B11794" s="27" t="s">
        <v>28504</v>
      </c>
      <c r="C11794" s="27" t="s">
        <v>144</v>
      </c>
      <c r="D11794" s="26"/>
      <c r="E11794" s="27"/>
      <c r="F11794" s="27"/>
      <c r="G11794" s="27" t="s">
        <v>11122</v>
      </c>
      <c r="H11794" s="27" t="s">
        <v>35</v>
      </c>
      <c r="I11794" s="27" t="s">
        <v>41</v>
      </c>
      <c r="J11794" s="28" t="s">
        <v>1264</v>
      </c>
      <c r="K11794" s="27" t="s">
        <v>42</v>
      </c>
      <c r="L11794" s="27"/>
    </row>
    <row r="11795" customFormat="false" ht="15" hidden="false" customHeight="false" outlineLevel="0" collapsed="false">
      <c r="A11795" s="26" t="s">
        <v>28505</v>
      </c>
      <c r="B11795" s="27" t="s">
        <v>28506</v>
      </c>
      <c r="C11795" s="27" t="s">
        <v>370</v>
      </c>
      <c r="D11795" s="26"/>
      <c r="E11795" s="27"/>
      <c r="F11795" s="27"/>
      <c r="G11795" s="27" t="s">
        <v>11122</v>
      </c>
      <c r="H11795" s="27" t="s">
        <v>35</v>
      </c>
      <c r="I11795" s="27" t="s">
        <v>42</v>
      </c>
      <c r="J11795" s="28" t="s">
        <v>1264</v>
      </c>
      <c r="K11795" s="27" t="s">
        <v>42</v>
      </c>
      <c r="L11795" s="27"/>
    </row>
    <row r="11796" customFormat="false" ht="15" hidden="false" customHeight="false" outlineLevel="0" collapsed="false">
      <c r="A11796" s="26" t="s">
        <v>28507</v>
      </c>
      <c r="B11796" s="27" t="s">
        <v>28508</v>
      </c>
      <c r="C11796" s="27" t="s">
        <v>370</v>
      </c>
      <c r="D11796" s="26"/>
      <c r="E11796" s="27"/>
      <c r="F11796" s="27"/>
      <c r="G11796" s="27" t="s">
        <v>11122</v>
      </c>
      <c r="H11796" s="27" t="s">
        <v>35</v>
      </c>
      <c r="I11796" s="27" t="s">
        <v>42</v>
      </c>
      <c r="J11796" s="28" t="s">
        <v>1264</v>
      </c>
      <c r="K11796" s="27" t="s">
        <v>42</v>
      </c>
      <c r="L11796" s="27"/>
    </row>
    <row r="11797" customFormat="false" ht="15" hidden="false" customHeight="false" outlineLevel="0" collapsed="false">
      <c r="A11797" s="26" t="s">
        <v>28509</v>
      </c>
      <c r="B11797" s="27" t="s">
        <v>28510</v>
      </c>
      <c r="C11797" s="27" t="s">
        <v>370</v>
      </c>
      <c r="D11797" s="26"/>
      <c r="E11797" s="27"/>
      <c r="F11797" s="27"/>
      <c r="G11797" s="27" t="s">
        <v>11122</v>
      </c>
      <c r="H11797" s="27" t="s">
        <v>35</v>
      </c>
      <c r="I11797" s="27" t="s">
        <v>40</v>
      </c>
      <c r="J11797" s="28" t="s">
        <v>1264</v>
      </c>
      <c r="K11797" s="27" t="s">
        <v>42</v>
      </c>
      <c r="L11797" s="27"/>
    </row>
    <row r="11798" customFormat="false" ht="15" hidden="false" customHeight="false" outlineLevel="0" collapsed="false">
      <c r="A11798" s="26" t="s">
        <v>28511</v>
      </c>
      <c r="B11798" s="27" t="s">
        <v>28512</v>
      </c>
      <c r="C11798" s="27" t="s">
        <v>370</v>
      </c>
      <c r="D11798" s="26"/>
      <c r="E11798" s="27"/>
      <c r="F11798" s="27"/>
      <c r="G11798" s="27" t="s">
        <v>11122</v>
      </c>
      <c r="H11798" s="27" t="s">
        <v>35</v>
      </c>
      <c r="I11798" s="27" t="s">
        <v>41</v>
      </c>
      <c r="J11798" s="28" t="s">
        <v>1264</v>
      </c>
      <c r="K11798" s="27" t="s">
        <v>42</v>
      </c>
      <c r="L11798" s="27"/>
    </row>
    <row r="11799" customFormat="false" ht="15" hidden="false" customHeight="false" outlineLevel="0" collapsed="false">
      <c r="A11799" s="26" t="s">
        <v>28513</v>
      </c>
      <c r="B11799" s="27" t="s">
        <v>28514</v>
      </c>
      <c r="C11799" s="27" t="s">
        <v>370</v>
      </c>
      <c r="D11799" s="26"/>
      <c r="E11799" s="27"/>
      <c r="F11799" s="27"/>
      <c r="G11799" s="27" t="s">
        <v>11122</v>
      </c>
      <c r="H11799" s="27" t="s">
        <v>35</v>
      </c>
      <c r="I11799" s="28" t="s">
        <v>46</v>
      </c>
      <c r="J11799" s="28" t="s">
        <v>1264</v>
      </c>
      <c r="K11799" s="27" t="s">
        <v>42</v>
      </c>
      <c r="L11799" s="27"/>
    </row>
    <row r="11800" customFormat="false" ht="15" hidden="false" customHeight="false" outlineLevel="0" collapsed="false">
      <c r="A11800" s="26" t="s">
        <v>28515</v>
      </c>
      <c r="B11800" s="27" t="s">
        <v>28516</v>
      </c>
      <c r="C11800" s="27" t="s">
        <v>370</v>
      </c>
      <c r="D11800" s="26"/>
      <c r="E11800" s="27"/>
      <c r="F11800" s="27"/>
      <c r="G11800" s="27" t="s">
        <v>11122</v>
      </c>
      <c r="H11800" s="27" t="s">
        <v>35</v>
      </c>
      <c r="I11800" s="27" t="s">
        <v>41</v>
      </c>
      <c r="J11800" s="28" t="s">
        <v>1264</v>
      </c>
      <c r="K11800" s="27" t="s">
        <v>42</v>
      </c>
      <c r="L11800" s="27"/>
    </row>
    <row r="11801" customFormat="false" ht="15" hidden="false" customHeight="false" outlineLevel="0" collapsed="false">
      <c r="A11801" s="26" t="s">
        <v>28517</v>
      </c>
      <c r="B11801" s="27" t="s">
        <v>28518</v>
      </c>
      <c r="C11801" s="27" t="s">
        <v>370</v>
      </c>
      <c r="D11801" s="26"/>
      <c r="E11801" s="27"/>
      <c r="F11801" s="27"/>
      <c r="G11801" s="27" t="s">
        <v>11122</v>
      </c>
      <c r="H11801" s="27" t="s">
        <v>35</v>
      </c>
      <c r="I11801" s="27" t="s">
        <v>41</v>
      </c>
      <c r="J11801" s="28" t="s">
        <v>1264</v>
      </c>
      <c r="K11801" s="27" t="s">
        <v>42</v>
      </c>
      <c r="L11801" s="27"/>
    </row>
    <row r="11802" customFormat="false" ht="15" hidden="false" customHeight="false" outlineLevel="0" collapsed="false">
      <c r="A11802" s="26" t="s">
        <v>28519</v>
      </c>
      <c r="B11802" s="27" t="s">
        <v>28520</v>
      </c>
      <c r="C11802" s="27" t="s">
        <v>370</v>
      </c>
      <c r="D11802" s="26"/>
      <c r="E11802" s="27"/>
      <c r="F11802" s="27"/>
      <c r="G11802" s="27" t="s">
        <v>11122</v>
      </c>
      <c r="H11802" s="27" t="s">
        <v>35</v>
      </c>
      <c r="I11802" s="27" t="s">
        <v>38</v>
      </c>
      <c r="J11802" s="28" t="s">
        <v>1264</v>
      </c>
      <c r="K11802" s="27" t="s">
        <v>42</v>
      </c>
      <c r="L11802" s="27"/>
    </row>
    <row r="11803" customFormat="false" ht="15" hidden="false" customHeight="false" outlineLevel="0" collapsed="false">
      <c r="A11803" s="26" t="s">
        <v>28521</v>
      </c>
      <c r="B11803" s="27" t="s">
        <v>28522</v>
      </c>
      <c r="C11803" s="27" t="s">
        <v>370</v>
      </c>
      <c r="D11803" s="26"/>
      <c r="E11803" s="27"/>
      <c r="F11803" s="27"/>
      <c r="G11803" s="27" t="s">
        <v>11122</v>
      </c>
      <c r="H11803" s="27" t="s">
        <v>35</v>
      </c>
      <c r="I11803" s="27" t="s">
        <v>42</v>
      </c>
      <c r="J11803" s="28" t="s">
        <v>1264</v>
      </c>
      <c r="K11803" s="27" t="s">
        <v>42</v>
      </c>
      <c r="L11803" s="27"/>
    </row>
    <row r="11804" customFormat="false" ht="15" hidden="false" customHeight="false" outlineLevel="0" collapsed="false">
      <c r="A11804" s="26" t="s">
        <v>28523</v>
      </c>
      <c r="B11804" s="27" t="s">
        <v>28524</v>
      </c>
      <c r="C11804" s="27" t="s">
        <v>370</v>
      </c>
      <c r="D11804" s="26"/>
      <c r="E11804" s="27"/>
      <c r="F11804" s="27"/>
      <c r="G11804" s="27" t="s">
        <v>11122</v>
      </c>
      <c r="H11804" s="27" t="s">
        <v>35</v>
      </c>
      <c r="I11804" s="27" t="s">
        <v>41</v>
      </c>
      <c r="J11804" s="28" t="s">
        <v>1264</v>
      </c>
      <c r="K11804" s="27" t="s">
        <v>42</v>
      </c>
      <c r="L11804" s="27"/>
    </row>
    <row r="11805" customFormat="false" ht="15" hidden="false" customHeight="false" outlineLevel="0" collapsed="false">
      <c r="A11805" s="26" t="s">
        <v>28525</v>
      </c>
      <c r="B11805" s="27" t="s">
        <v>28526</v>
      </c>
      <c r="C11805" s="27" t="s">
        <v>370</v>
      </c>
      <c r="D11805" s="26"/>
      <c r="E11805" s="27"/>
      <c r="F11805" s="27"/>
      <c r="G11805" s="27" t="s">
        <v>11122</v>
      </c>
      <c r="H11805" s="27" t="s">
        <v>35</v>
      </c>
      <c r="I11805" s="27" t="s">
        <v>41</v>
      </c>
      <c r="J11805" s="28" t="s">
        <v>1264</v>
      </c>
      <c r="K11805" s="27" t="s">
        <v>42</v>
      </c>
      <c r="L11805" s="27"/>
    </row>
    <row r="11806" customFormat="false" ht="15" hidden="false" customHeight="false" outlineLevel="0" collapsed="false">
      <c r="A11806" s="26" t="s">
        <v>28527</v>
      </c>
      <c r="B11806" s="27" t="s">
        <v>28528</v>
      </c>
      <c r="C11806" s="27" t="s">
        <v>370</v>
      </c>
      <c r="D11806" s="26"/>
      <c r="E11806" s="27"/>
      <c r="F11806" s="27"/>
      <c r="G11806" s="27" t="s">
        <v>11122</v>
      </c>
      <c r="H11806" s="27" t="s">
        <v>35</v>
      </c>
      <c r="I11806" s="27" t="s">
        <v>41</v>
      </c>
      <c r="J11806" s="28" t="s">
        <v>1264</v>
      </c>
      <c r="K11806" s="27" t="s">
        <v>42</v>
      </c>
      <c r="L11806" s="27"/>
    </row>
    <row r="11807" customFormat="false" ht="15" hidden="false" customHeight="false" outlineLevel="0" collapsed="false">
      <c r="A11807" s="26" t="s">
        <v>28529</v>
      </c>
      <c r="B11807" s="27" t="s">
        <v>28530</v>
      </c>
      <c r="C11807" s="27" t="s">
        <v>370</v>
      </c>
      <c r="D11807" s="26"/>
      <c r="E11807" s="27"/>
      <c r="F11807" s="27"/>
      <c r="G11807" s="27" t="s">
        <v>11122</v>
      </c>
      <c r="H11807" s="27" t="s">
        <v>35</v>
      </c>
      <c r="I11807" s="27" t="s">
        <v>41</v>
      </c>
      <c r="J11807" s="28" t="s">
        <v>1264</v>
      </c>
      <c r="K11807" s="27" t="s">
        <v>42</v>
      </c>
      <c r="L11807" s="27"/>
    </row>
    <row r="11808" customFormat="false" ht="15" hidden="false" customHeight="false" outlineLevel="0" collapsed="false">
      <c r="A11808" s="26" t="s">
        <v>28531</v>
      </c>
      <c r="B11808" s="27" t="s">
        <v>28532</v>
      </c>
      <c r="C11808" s="27" t="s">
        <v>370</v>
      </c>
      <c r="D11808" s="26"/>
      <c r="E11808" s="27"/>
      <c r="F11808" s="27"/>
      <c r="G11808" s="27" t="s">
        <v>11122</v>
      </c>
      <c r="H11808" s="27" t="s">
        <v>35</v>
      </c>
      <c r="I11808" s="27" t="s">
        <v>42</v>
      </c>
      <c r="J11808" s="28" t="s">
        <v>1264</v>
      </c>
      <c r="K11808" s="27" t="s">
        <v>42</v>
      </c>
      <c r="L11808" s="27"/>
    </row>
    <row r="11809" customFormat="false" ht="15" hidden="false" customHeight="false" outlineLevel="0" collapsed="false">
      <c r="A11809" s="26" t="s">
        <v>28533</v>
      </c>
      <c r="B11809" s="27" t="s">
        <v>28534</v>
      </c>
      <c r="C11809" s="27" t="s">
        <v>370</v>
      </c>
      <c r="D11809" s="26"/>
      <c r="E11809" s="27"/>
      <c r="F11809" s="27"/>
      <c r="G11809" s="27" t="s">
        <v>11122</v>
      </c>
      <c r="H11809" s="27" t="s">
        <v>35</v>
      </c>
      <c r="I11809" s="27" t="s">
        <v>41</v>
      </c>
      <c r="J11809" s="28" t="s">
        <v>1264</v>
      </c>
      <c r="K11809" s="27" t="s">
        <v>42</v>
      </c>
      <c r="L11809" s="27"/>
    </row>
    <row r="11810" customFormat="false" ht="15" hidden="false" customHeight="false" outlineLevel="0" collapsed="false">
      <c r="A11810" s="26" t="s">
        <v>28535</v>
      </c>
      <c r="B11810" s="27" t="s">
        <v>28536</v>
      </c>
      <c r="C11810" s="27" t="s">
        <v>370</v>
      </c>
      <c r="D11810" s="26"/>
      <c r="E11810" s="27"/>
      <c r="F11810" s="27"/>
      <c r="G11810" s="27" t="s">
        <v>11122</v>
      </c>
      <c r="H11810" s="27" t="s">
        <v>35</v>
      </c>
      <c r="I11810" s="27" t="s">
        <v>41</v>
      </c>
      <c r="J11810" s="28" t="s">
        <v>1264</v>
      </c>
      <c r="K11810" s="27" t="s">
        <v>42</v>
      </c>
      <c r="L11810" s="27"/>
    </row>
    <row r="11811" customFormat="false" ht="15" hidden="false" customHeight="false" outlineLevel="0" collapsed="false">
      <c r="A11811" s="26" t="s">
        <v>28537</v>
      </c>
      <c r="B11811" s="27" t="s">
        <v>28538</v>
      </c>
      <c r="C11811" s="27" t="s">
        <v>370</v>
      </c>
      <c r="D11811" s="26"/>
      <c r="E11811" s="27"/>
      <c r="F11811" s="27"/>
      <c r="G11811" s="27" t="s">
        <v>11122</v>
      </c>
      <c r="H11811" s="27" t="s">
        <v>35</v>
      </c>
      <c r="I11811" s="27" t="s">
        <v>42</v>
      </c>
      <c r="J11811" s="28" t="s">
        <v>1264</v>
      </c>
      <c r="K11811" s="27" t="s">
        <v>42</v>
      </c>
      <c r="L11811" s="27"/>
    </row>
    <row r="11812" customFormat="false" ht="15" hidden="false" customHeight="false" outlineLevel="0" collapsed="false">
      <c r="A11812" s="26" t="s">
        <v>28539</v>
      </c>
      <c r="B11812" s="27" t="s">
        <v>28540</v>
      </c>
      <c r="C11812" s="27" t="s">
        <v>144</v>
      </c>
      <c r="D11812" s="26"/>
      <c r="E11812" s="27"/>
      <c r="F11812" s="27"/>
      <c r="G11812" s="27" t="s">
        <v>11122</v>
      </c>
      <c r="H11812" s="27" t="s">
        <v>35</v>
      </c>
      <c r="I11812" s="28" t="s">
        <v>46</v>
      </c>
      <c r="J11812" s="28" t="s">
        <v>1264</v>
      </c>
      <c r="K11812" s="27" t="s">
        <v>42</v>
      </c>
      <c r="L11812" s="27"/>
    </row>
    <row r="11813" customFormat="false" ht="15" hidden="false" customHeight="false" outlineLevel="0" collapsed="false">
      <c r="A11813" s="26" t="s">
        <v>28541</v>
      </c>
      <c r="B11813" s="27" t="s">
        <v>28542</v>
      </c>
      <c r="C11813" s="27" t="s">
        <v>144</v>
      </c>
      <c r="D11813" s="26"/>
      <c r="E11813" s="27"/>
      <c r="F11813" s="27"/>
      <c r="G11813" s="27" t="s">
        <v>11122</v>
      </c>
      <c r="H11813" s="27" t="s">
        <v>35</v>
      </c>
      <c r="I11813" s="28" t="s">
        <v>46</v>
      </c>
      <c r="J11813" s="28" t="s">
        <v>1264</v>
      </c>
      <c r="K11813" s="27" t="s">
        <v>42</v>
      </c>
      <c r="L11813" s="27"/>
    </row>
    <row r="11814" customFormat="false" ht="15" hidden="false" customHeight="false" outlineLevel="0" collapsed="false">
      <c r="A11814" s="26" t="s">
        <v>28543</v>
      </c>
      <c r="B11814" s="27" t="s">
        <v>28544</v>
      </c>
      <c r="C11814" s="27" t="s">
        <v>370</v>
      </c>
      <c r="D11814" s="26"/>
      <c r="E11814" s="27"/>
      <c r="F11814" s="27"/>
      <c r="G11814" s="27" t="s">
        <v>11122</v>
      </c>
      <c r="H11814" s="27" t="s">
        <v>35</v>
      </c>
      <c r="I11814" s="28" t="s">
        <v>46</v>
      </c>
      <c r="J11814" s="28" t="s">
        <v>1264</v>
      </c>
      <c r="K11814" s="27" t="s">
        <v>42</v>
      </c>
      <c r="L11814" s="27"/>
    </row>
    <row r="11815" customFormat="false" ht="15" hidden="false" customHeight="false" outlineLevel="0" collapsed="false">
      <c r="A11815" s="26" t="s">
        <v>28545</v>
      </c>
      <c r="B11815" s="27" t="s">
        <v>28546</v>
      </c>
      <c r="C11815" s="27" t="s">
        <v>144</v>
      </c>
      <c r="D11815" s="26"/>
      <c r="E11815" s="27"/>
      <c r="F11815" s="27"/>
      <c r="G11815" s="27" t="s">
        <v>11122</v>
      </c>
      <c r="H11815" s="27" t="s">
        <v>35</v>
      </c>
      <c r="I11815" s="28" t="s">
        <v>46</v>
      </c>
      <c r="J11815" s="28" t="s">
        <v>1264</v>
      </c>
      <c r="K11815" s="27" t="s">
        <v>42</v>
      </c>
      <c r="L11815" s="27"/>
    </row>
    <row r="11816" customFormat="false" ht="15" hidden="false" customHeight="false" outlineLevel="0" collapsed="false">
      <c r="A11816" s="26" t="s">
        <v>28547</v>
      </c>
      <c r="B11816" s="27" t="s">
        <v>28548</v>
      </c>
      <c r="C11816" s="27" t="s">
        <v>144</v>
      </c>
      <c r="D11816" s="26"/>
      <c r="E11816" s="27"/>
      <c r="F11816" s="27"/>
      <c r="G11816" s="27" t="s">
        <v>11122</v>
      </c>
      <c r="H11816" s="27" t="s">
        <v>35</v>
      </c>
      <c r="I11816" s="27" t="s">
        <v>40</v>
      </c>
      <c r="J11816" s="28" t="s">
        <v>1264</v>
      </c>
      <c r="K11816" s="27" t="s">
        <v>42</v>
      </c>
      <c r="L11816" s="27"/>
    </row>
    <row r="11817" customFormat="false" ht="15" hidden="false" customHeight="false" outlineLevel="0" collapsed="false">
      <c r="A11817" s="26" t="s">
        <v>28549</v>
      </c>
      <c r="B11817" s="27" t="s">
        <v>28550</v>
      </c>
      <c r="C11817" s="27" t="s">
        <v>144</v>
      </c>
      <c r="D11817" s="26"/>
      <c r="E11817" s="27"/>
      <c r="F11817" s="27"/>
      <c r="G11817" s="27" t="s">
        <v>11122</v>
      </c>
      <c r="H11817" s="27" t="s">
        <v>35</v>
      </c>
      <c r="I11817" s="27" t="s">
        <v>40</v>
      </c>
      <c r="J11817" s="28" t="s">
        <v>1264</v>
      </c>
      <c r="K11817" s="27" t="s">
        <v>42</v>
      </c>
      <c r="L11817" s="27"/>
    </row>
    <row r="11818" customFormat="false" ht="15" hidden="false" customHeight="false" outlineLevel="0" collapsed="false">
      <c r="A11818" s="26" t="s">
        <v>28551</v>
      </c>
      <c r="B11818" s="27" t="s">
        <v>28552</v>
      </c>
      <c r="C11818" s="27" t="s">
        <v>144</v>
      </c>
      <c r="D11818" s="26"/>
      <c r="E11818" s="27"/>
      <c r="F11818" s="27"/>
      <c r="G11818" s="27" t="s">
        <v>11122</v>
      </c>
      <c r="H11818" s="27" t="s">
        <v>35</v>
      </c>
      <c r="I11818" s="27" t="s">
        <v>40</v>
      </c>
      <c r="J11818" s="28" t="s">
        <v>1264</v>
      </c>
      <c r="K11818" s="27" t="s">
        <v>42</v>
      </c>
      <c r="L11818" s="27"/>
    </row>
    <row r="11819" customFormat="false" ht="15" hidden="false" customHeight="false" outlineLevel="0" collapsed="false">
      <c r="A11819" s="26" t="s">
        <v>28553</v>
      </c>
      <c r="B11819" s="27" t="s">
        <v>28554</v>
      </c>
      <c r="C11819" s="27" t="s">
        <v>370</v>
      </c>
      <c r="D11819" s="26"/>
      <c r="E11819" s="27"/>
      <c r="F11819" s="27"/>
      <c r="G11819" s="27" t="s">
        <v>11122</v>
      </c>
      <c r="H11819" s="27" t="s">
        <v>35</v>
      </c>
      <c r="I11819" s="27" t="s">
        <v>42</v>
      </c>
      <c r="J11819" s="28" t="s">
        <v>1264</v>
      </c>
      <c r="K11819" s="27" t="s">
        <v>42</v>
      </c>
      <c r="L11819" s="27"/>
    </row>
    <row r="11820" customFormat="false" ht="15" hidden="false" customHeight="false" outlineLevel="0" collapsed="false">
      <c r="A11820" s="26" t="s">
        <v>28555</v>
      </c>
      <c r="B11820" s="27" t="s">
        <v>28556</v>
      </c>
      <c r="C11820" s="27" t="s">
        <v>370</v>
      </c>
      <c r="D11820" s="26"/>
      <c r="E11820" s="27"/>
      <c r="F11820" s="27"/>
      <c r="G11820" s="27" t="s">
        <v>11122</v>
      </c>
      <c r="H11820" s="27" t="s">
        <v>35</v>
      </c>
      <c r="I11820" s="28" t="s">
        <v>46</v>
      </c>
      <c r="J11820" s="28" t="s">
        <v>1264</v>
      </c>
      <c r="K11820" s="27" t="s">
        <v>42</v>
      </c>
      <c r="L11820" s="27"/>
    </row>
    <row r="11821" customFormat="false" ht="15" hidden="false" customHeight="false" outlineLevel="0" collapsed="false">
      <c r="A11821" s="26" t="s">
        <v>28557</v>
      </c>
      <c r="B11821" s="27" t="s">
        <v>28558</v>
      </c>
      <c r="C11821" s="27" t="s">
        <v>144</v>
      </c>
      <c r="D11821" s="26"/>
      <c r="E11821" s="27"/>
      <c r="F11821" s="27"/>
      <c r="G11821" s="27" t="s">
        <v>11122</v>
      </c>
      <c r="H11821" s="27" t="s">
        <v>35</v>
      </c>
      <c r="I11821" s="27" t="s">
        <v>42</v>
      </c>
      <c r="J11821" s="28" t="s">
        <v>1264</v>
      </c>
      <c r="K11821" s="27" t="s">
        <v>42</v>
      </c>
      <c r="L11821" s="27"/>
    </row>
    <row r="11822" customFormat="false" ht="15" hidden="false" customHeight="false" outlineLevel="0" collapsed="false">
      <c r="A11822" s="26" t="s">
        <v>28559</v>
      </c>
      <c r="B11822" s="27" t="s">
        <v>28560</v>
      </c>
      <c r="C11822" s="27" t="s">
        <v>370</v>
      </c>
      <c r="D11822" s="26"/>
      <c r="E11822" s="27"/>
      <c r="F11822" s="27"/>
      <c r="G11822" s="27" t="s">
        <v>11122</v>
      </c>
      <c r="H11822" s="27" t="s">
        <v>35</v>
      </c>
      <c r="I11822" s="27" t="s">
        <v>37</v>
      </c>
      <c r="J11822" s="28" t="s">
        <v>1264</v>
      </c>
      <c r="K11822" s="27" t="s">
        <v>42</v>
      </c>
      <c r="L11822" s="27"/>
    </row>
    <row r="11823" customFormat="false" ht="15" hidden="false" customHeight="false" outlineLevel="0" collapsed="false">
      <c r="A11823" s="26" t="s">
        <v>28561</v>
      </c>
      <c r="B11823" s="27" t="s">
        <v>28562</v>
      </c>
      <c r="C11823" s="27" t="s">
        <v>144</v>
      </c>
      <c r="D11823" s="26"/>
      <c r="E11823" s="27"/>
      <c r="F11823" s="27"/>
      <c r="G11823" s="27" t="s">
        <v>11122</v>
      </c>
      <c r="H11823" s="27" t="s">
        <v>35</v>
      </c>
      <c r="I11823" s="27" t="s">
        <v>38</v>
      </c>
      <c r="J11823" s="28" t="s">
        <v>1264</v>
      </c>
      <c r="K11823" s="27" t="s">
        <v>42</v>
      </c>
      <c r="L11823" s="27"/>
    </row>
    <row r="11824" customFormat="false" ht="15" hidden="false" customHeight="false" outlineLevel="0" collapsed="false">
      <c r="A11824" s="26" t="s">
        <v>28563</v>
      </c>
      <c r="B11824" s="27" t="s">
        <v>28564</v>
      </c>
      <c r="C11824" s="27" t="s">
        <v>144</v>
      </c>
      <c r="D11824" s="26"/>
      <c r="E11824" s="27"/>
      <c r="F11824" s="27"/>
      <c r="G11824" s="27" t="s">
        <v>11122</v>
      </c>
      <c r="H11824" s="27" t="s">
        <v>35</v>
      </c>
      <c r="I11824" s="27" t="s">
        <v>40</v>
      </c>
      <c r="J11824" s="28" t="s">
        <v>1264</v>
      </c>
      <c r="K11824" s="27" t="s">
        <v>42</v>
      </c>
      <c r="L11824" s="27"/>
    </row>
    <row r="11825" customFormat="false" ht="15" hidden="false" customHeight="false" outlineLevel="0" collapsed="false">
      <c r="A11825" s="26" t="s">
        <v>28565</v>
      </c>
      <c r="B11825" s="27" t="s">
        <v>28566</v>
      </c>
      <c r="C11825" s="27" t="s">
        <v>144</v>
      </c>
      <c r="D11825" s="26"/>
      <c r="E11825" s="27"/>
      <c r="F11825" s="27"/>
      <c r="G11825" s="27" t="s">
        <v>11122</v>
      </c>
      <c r="H11825" s="27" t="s">
        <v>35</v>
      </c>
      <c r="I11825" s="27" t="s">
        <v>40</v>
      </c>
      <c r="J11825" s="28" t="s">
        <v>1264</v>
      </c>
      <c r="K11825" s="27" t="s">
        <v>42</v>
      </c>
      <c r="L11825" s="27"/>
    </row>
    <row r="11826" customFormat="false" ht="15" hidden="false" customHeight="false" outlineLevel="0" collapsed="false">
      <c r="A11826" s="26" t="s">
        <v>28567</v>
      </c>
      <c r="B11826" s="27" t="s">
        <v>28568</v>
      </c>
      <c r="C11826" s="27" t="s">
        <v>144</v>
      </c>
      <c r="D11826" s="26"/>
      <c r="E11826" s="27"/>
      <c r="F11826" s="27"/>
      <c r="G11826" s="27" t="s">
        <v>11122</v>
      </c>
      <c r="H11826" s="27" t="s">
        <v>35</v>
      </c>
      <c r="I11826" s="27" t="s">
        <v>40</v>
      </c>
      <c r="J11826" s="28" t="s">
        <v>1264</v>
      </c>
      <c r="K11826" s="27" t="s">
        <v>42</v>
      </c>
      <c r="L11826" s="27"/>
    </row>
    <row r="11827" customFormat="false" ht="15" hidden="false" customHeight="false" outlineLevel="0" collapsed="false">
      <c r="A11827" s="26" t="s">
        <v>28569</v>
      </c>
      <c r="B11827" s="27" t="s">
        <v>28570</v>
      </c>
      <c r="C11827" s="27" t="s">
        <v>144</v>
      </c>
      <c r="D11827" s="26"/>
      <c r="E11827" s="27"/>
      <c r="F11827" s="27"/>
      <c r="G11827" s="27" t="s">
        <v>11122</v>
      </c>
      <c r="H11827" s="27" t="s">
        <v>35</v>
      </c>
      <c r="I11827" s="27" t="s">
        <v>40</v>
      </c>
      <c r="J11827" s="28" t="s">
        <v>1264</v>
      </c>
      <c r="K11827" s="27" t="s">
        <v>42</v>
      </c>
      <c r="L11827" s="27"/>
    </row>
    <row r="11828" customFormat="false" ht="15" hidden="false" customHeight="false" outlineLevel="0" collapsed="false">
      <c r="A11828" s="26" t="s">
        <v>28571</v>
      </c>
      <c r="B11828" s="27" t="s">
        <v>28572</v>
      </c>
      <c r="C11828" s="27" t="s">
        <v>144</v>
      </c>
      <c r="D11828" s="26"/>
      <c r="E11828" s="27"/>
      <c r="F11828" s="27"/>
      <c r="G11828" s="27" t="s">
        <v>11122</v>
      </c>
      <c r="H11828" s="27" t="s">
        <v>35</v>
      </c>
      <c r="I11828" s="27" t="s">
        <v>1296</v>
      </c>
      <c r="J11828" s="28" t="s">
        <v>1264</v>
      </c>
      <c r="K11828" s="27" t="s">
        <v>42</v>
      </c>
      <c r="L11828" s="27"/>
    </row>
    <row r="11829" customFormat="false" ht="15" hidden="false" customHeight="false" outlineLevel="0" collapsed="false">
      <c r="A11829" s="26" t="s">
        <v>28573</v>
      </c>
      <c r="B11829" s="27" t="s">
        <v>28574</v>
      </c>
      <c r="C11829" s="27" t="s">
        <v>144</v>
      </c>
      <c r="D11829" s="26"/>
      <c r="E11829" s="27"/>
      <c r="F11829" s="27"/>
      <c r="G11829" s="27" t="s">
        <v>11122</v>
      </c>
      <c r="H11829" s="27" t="s">
        <v>35</v>
      </c>
      <c r="I11829" s="27" t="s">
        <v>40</v>
      </c>
      <c r="J11829" s="28" t="s">
        <v>1264</v>
      </c>
      <c r="K11829" s="27" t="s">
        <v>42</v>
      </c>
      <c r="L11829" s="27"/>
    </row>
    <row r="11830" customFormat="false" ht="15" hidden="false" customHeight="false" outlineLevel="0" collapsed="false">
      <c r="A11830" s="26" t="s">
        <v>28575</v>
      </c>
      <c r="B11830" s="27" t="s">
        <v>28576</v>
      </c>
      <c r="C11830" s="27" t="s">
        <v>144</v>
      </c>
      <c r="D11830" s="26"/>
      <c r="E11830" s="27"/>
      <c r="F11830" s="27"/>
      <c r="G11830" s="27" t="s">
        <v>11122</v>
      </c>
      <c r="H11830" s="27" t="s">
        <v>35</v>
      </c>
      <c r="I11830" s="27" t="s">
        <v>40</v>
      </c>
      <c r="J11830" s="28" t="s">
        <v>1264</v>
      </c>
      <c r="K11830" s="27" t="s">
        <v>42</v>
      </c>
      <c r="L11830" s="27"/>
    </row>
    <row r="11831" customFormat="false" ht="15" hidden="false" customHeight="false" outlineLevel="0" collapsed="false">
      <c r="A11831" s="26" t="s">
        <v>28577</v>
      </c>
      <c r="B11831" s="27" t="s">
        <v>28578</v>
      </c>
      <c r="C11831" s="27" t="s">
        <v>144</v>
      </c>
      <c r="D11831" s="26"/>
      <c r="E11831" s="27"/>
      <c r="F11831" s="27"/>
      <c r="G11831" s="27" t="s">
        <v>11122</v>
      </c>
      <c r="H11831" s="27" t="s">
        <v>35</v>
      </c>
      <c r="I11831" s="27" t="s">
        <v>40</v>
      </c>
      <c r="J11831" s="28" t="s">
        <v>1264</v>
      </c>
      <c r="K11831" s="27" t="s">
        <v>42</v>
      </c>
      <c r="L11831" s="27"/>
    </row>
    <row r="11832" customFormat="false" ht="15" hidden="false" customHeight="false" outlineLevel="0" collapsed="false">
      <c r="A11832" s="26" t="s">
        <v>28579</v>
      </c>
      <c r="B11832" s="27" t="s">
        <v>28580</v>
      </c>
      <c r="C11832" s="27" t="s">
        <v>144</v>
      </c>
      <c r="D11832" s="26"/>
      <c r="E11832" s="27"/>
      <c r="F11832" s="27"/>
      <c r="G11832" s="27" t="s">
        <v>11122</v>
      </c>
      <c r="H11832" s="27" t="s">
        <v>35</v>
      </c>
      <c r="I11832" s="27" t="s">
        <v>40</v>
      </c>
      <c r="J11832" s="28" t="s">
        <v>1264</v>
      </c>
      <c r="K11832" s="27" t="s">
        <v>42</v>
      </c>
      <c r="L11832" s="27"/>
    </row>
    <row r="11833" customFormat="false" ht="15" hidden="false" customHeight="false" outlineLevel="0" collapsed="false">
      <c r="A11833" s="26" t="s">
        <v>28581</v>
      </c>
      <c r="B11833" s="27" t="s">
        <v>28582</v>
      </c>
      <c r="C11833" s="27" t="s">
        <v>144</v>
      </c>
      <c r="D11833" s="26"/>
      <c r="E11833" s="27"/>
      <c r="F11833" s="27"/>
      <c r="G11833" s="27" t="s">
        <v>11122</v>
      </c>
      <c r="H11833" s="27" t="s">
        <v>35</v>
      </c>
      <c r="I11833" s="27" t="s">
        <v>37</v>
      </c>
      <c r="J11833" s="28" t="s">
        <v>1264</v>
      </c>
      <c r="K11833" s="27" t="s">
        <v>42</v>
      </c>
      <c r="L11833" s="27"/>
    </row>
    <row r="11834" customFormat="false" ht="15" hidden="false" customHeight="false" outlineLevel="0" collapsed="false">
      <c r="A11834" s="26" t="s">
        <v>28583</v>
      </c>
      <c r="B11834" s="28" t="s">
        <v>28584</v>
      </c>
      <c r="C11834" s="27" t="s">
        <v>144</v>
      </c>
      <c r="D11834" s="26"/>
      <c r="E11834" s="27"/>
      <c r="F11834" s="27"/>
      <c r="G11834" s="27" t="s">
        <v>11122</v>
      </c>
      <c r="H11834" s="27" t="s">
        <v>35</v>
      </c>
      <c r="I11834" s="27" t="s">
        <v>48</v>
      </c>
      <c r="J11834" s="28" t="s">
        <v>1264</v>
      </c>
      <c r="K11834" s="27" t="s">
        <v>42</v>
      </c>
      <c r="L11834" s="27"/>
    </row>
    <row r="11835" customFormat="false" ht="15" hidden="false" customHeight="false" outlineLevel="0" collapsed="false">
      <c r="A11835" s="26" t="s">
        <v>28585</v>
      </c>
      <c r="B11835" s="27" t="s">
        <v>28586</v>
      </c>
      <c r="C11835" s="27" t="s">
        <v>144</v>
      </c>
      <c r="D11835" s="26"/>
      <c r="E11835" s="27"/>
      <c r="F11835" s="27"/>
      <c r="G11835" s="27" t="s">
        <v>11122</v>
      </c>
      <c r="H11835" s="27" t="s">
        <v>35</v>
      </c>
      <c r="I11835" s="27" t="s">
        <v>40</v>
      </c>
      <c r="J11835" s="28" t="s">
        <v>1264</v>
      </c>
      <c r="K11835" s="27" t="s">
        <v>42</v>
      </c>
      <c r="L11835" s="27"/>
    </row>
    <row r="11836" customFormat="false" ht="15" hidden="false" customHeight="false" outlineLevel="0" collapsed="false">
      <c r="A11836" s="26" t="s">
        <v>28587</v>
      </c>
      <c r="B11836" s="27" t="s">
        <v>28588</v>
      </c>
      <c r="C11836" s="27" t="s">
        <v>144</v>
      </c>
      <c r="D11836" s="26"/>
      <c r="E11836" s="27"/>
      <c r="F11836" s="27"/>
      <c r="G11836" s="27" t="s">
        <v>11122</v>
      </c>
      <c r="H11836" s="27" t="s">
        <v>35</v>
      </c>
      <c r="I11836" s="27" t="s">
        <v>40</v>
      </c>
      <c r="J11836" s="28" t="s">
        <v>1264</v>
      </c>
      <c r="K11836" s="27" t="s">
        <v>42</v>
      </c>
      <c r="L11836" s="27"/>
    </row>
    <row r="11837" customFormat="false" ht="15" hidden="false" customHeight="false" outlineLevel="0" collapsed="false">
      <c r="A11837" s="26" t="s">
        <v>28589</v>
      </c>
      <c r="B11837" s="27" t="s">
        <v>28590</v>
      </c>
      <c r="C11837" s="27" t="s">
        <v>144</v>
      </c>
      <c r="D11837" s="26"/>
      <c r="E11837" s="27"/>
      <c r="F11837" s="27"/>
      <c r="G11837" s="27" t="s">
        <v>11122</v>
      </c>
      <c r="H11837" s="27" t="s">
        <v>35</v>
      </c>
      <c r="I11837" s="27" t="s">
        <v>40</v>
      </c>
      <c r="J11837" s="28" t="s">
        <v>1264</v>
      </c>
      <c r="K11837" s="27" t="s">
        <v>42</v>
      </c>
      <c r="L11837" s="27"/>
    </row>
    <row r="11838" customFormat="false" ht="15" hidden="false" customHeight="false" outlineLevel="0" collapsed="false">
      <c r="A11838" s="26" t="s">
        <v>28591</v>
      </c>
      <c r="B11838" s="27" t="s">
        <v>28592</v>
      </c>
      <c r="C11838" s="27" t="s">
        <v>144</v>
      </c>
      <c r="D11838" s="26"/>
      <c r="E11838" s="27"/>
      <c r="F11838" s="27"/>
      <c r="G11838" s="27" t="s">
        <v>11122</v>
      </c>
      <c r="H11838" s="27" t="s">
        <v>35</v>
      </c>
      <c r="I11838" s="27" t="s">
        <v>4159</v>
      </c>
      <c r="J11838" s="28" t="s">
        <v>1264</v>
      </c>
      <c r="K11838" s="27" t="s">
        <v>42</v>
      </c>
      <c r="L11838" s="27"/>
    </row>
    <row r="11839" customFormat="false" ht="15" hidden="false" customHeight="false" outlineLevel="0" collapsed="false">
      <c r="A11839" s="26" t="s">
        <v>28593</v>
      </c>
      <c r="B11839" s="27" t="s">
        <v>28594</v>
      </c>
      <c r="C11839" s="27" t="s">
        <v>144</v>
      </c>
      <c r="D11839" s="26"/>
      <c r="E11839" s="27"/>
      <c r="F11839" s="27"/>
      <c r="G11839" s="27" t="s">
        <v>11122</v>
      </c>
      <c r="H11839" s="27" t="s">
        <v>35</v>
      </c>
      <c r="I11839" s="27" t="s">
        <v>4159</v>
      </c>
      <c r="J11839" s="28" t="s">
        <v>1264</v>
      </c>
      <c r="K11839" s="27" t="s">
        <v>42</v>
      </c>
      <c r="L11839" s="27"/>
    </row>
    <row r="11840" customFormat="false" ht="15" hidden="false" customHeight="false" outlineLevel="0" collapsed="false">
      <c r="A11840" s="26" t="s">
        <v>28595</v>
      </c>
      <c r="B11840" s="27" t="s">
        <v>28596</v>
      </c>
      <c r="C11840" s="27" t="s">
        <v>144</v>
      </c>
      <c r="D11840" s="26"/>
      <c r="E11840" s="27"/>
      <c r="F11840" s="27"/>
      <c r="G11840" s="27" t="s">
        <v>11122</v>
      </c>
      <c r="H11840" s="27" t="s">
        <v>35</v>
      </c>
      <c r="I11840" s="27" t="s">
        <v>39</v>
      </c>
      <c r="J11840" s="28" t="s">
        <v>1264</v>
      </c>
      <c r="K11840" s="27" t="s">
        <v>42</v>
      </c>
      <c r="L11840" s="27"/>
    </row>
    <row r="11841" customFormat="false" ht="15" hidden="false" customHeight="false" outlineLevel="0" collapsed="false">
      <c r="A11841" s="26" t="s">
        <v>28597</v>
      </c>
      <c r="B11841" s="27" t="s">
        <v>28598</v>
      </c>
      <c r="C11841" s="27" t="s">
        <v>144</v>
      </c>
      <c r="D11841" s="26"/>
      <c r="E11841" s="27"/>
      <c r="F11841" s="27"/>
      <c r="G11841" s="27" t="s">
        <v>11122</v>
      </c>
      <c r="H11841" s="27" t="s">
        <v>35</v>
      </c>
      <c r="I11841" s="27" t="s">
        <v>40</v>
      </c>
      <c r="J11841" s="28" t="s">
        <v>1264</v>
      </c>
      <c r="K11841" s="27" t="s">
        <v>42</v>
      </c>
      <c r="L11841" s="27"/>
    </row>
    <row r="11842" customFormat="false" ht="15" hidden="false" customHeight="false" outlineLevel="0" collapsed="false">
      <c r="A11842" s="26" t="s">
        <v>28599</v>
      </c>
      <c r="B11842" s="27" t="s">
        <v>28600</v>
      </c>
      <c r="C11842" s="27" t="s">
        <v>144</v>
      </c>
      <c r="D11842" s="26"/>
      <c r="E11842" s="27"/>
      <c r="F11842" s="27"/>
      <c r="G11842" s="27" t="s">
        <v>11122</v>
      </c>
      <c r="H11842" s="27" t="s">
        <v>35</v>
      </c>
      <c r="I11842" s="27" t="s">
        <v>40</v>
      </c>
      <c r="J11842" s="28" t="s">
        <v>1264</v>
      </c>
      <c r="K11842" s="27" t="s">
        <v>42</v>
      </c>
      <c r="L11842" s="27"/>
    </row>
    <row r="11843" customFormat="false" ht="15" hidden="false" customHeight="false" outlineLevel="0" collapsed="false">
      <c r="A11843" s="26" t="s">
        <v>28601</v>
      </c>
      <c r="B11843" s="27" t="s">
        <v>28602</v>
      </c>
      <c r="C11843" s="27" t="s">
        <v>144</v>
      </c>
      <c r="D11843" s="26"/>
      <c r="E11843" s="27"/>
      <c r="F11843" s="27"/>
      <c r="G11843" s="27" t="s">
        <v>11122</v>
      </c>
      <c r="H11843" s="27" t="s">
        <v>35</v>
      </c>
      <c r="I11843" s="27" t="s">
        <v>40</v>
      </c>
      <c r="J11843" s="28" t="s">
        <v>1264</v>
      </c>
      <c r="K11843" s="27" t="s">
        <v>42</v>
      </c>
      <c r="L11843" s="27"/>
    </row>
    <row r="11844" customFormat="false" ht="15" hidden="false" customHeight="false" outlineLevel="0" collapsed="false">
      <c r="A11844" s="26" t="s">
        <v>28603</v>
      </c>
      <c r="B11844" s="27" t="s">
        <v>28604</v>
      </c>
      <c r="C11844" s="27" t="s">
        <v>144</v>
      </c>
      <c r="D11844" s="26"/>
      <c r="E11844" s="27"/>
      <c r="F11844" s="27"/>
      <c r="G11844" s="27" t="s">
        <v>11122</v>
      </c>
      <c r="H11844" s="27" t="s">
        <v>35</v>
      </c>
      <c r="I11844" s="27" t="s">
        <v>40</v>
      </c>
      <c r="J11844" s="28" t="s">
        <v>1264</v>
      </c>
      <c r="K11844" s="27" t="s">
        <v>42</v>
      </c>
      <c r="L11844" s="27"/>
    </row>
    <row r="11845" customFormat="false" ht="15" hidden="false" customHeight="false" outlineLevel="0" collapsed="false">
      <c r="A11845" s="26" t="s">
        <v>28605</v>
      </c>
      <c r="B11845" s="27" t="s">
        <v>28606</v>
      </c>
      <c r="C11845" s="27" t="s">
        <v>144</v>
      </c>
      <c r="D11845" s="26"/>
      <c r="E11845" s="27"/>
      <c r="F11845" s="27"/>
      <c r="G11845" s="27" t="s">
        <v>11122</v>
      </c>
      <c r="H11845" s="27" t="s">
        <v>35</v>
      </c>
      <c r="I11845" s="27" t="s">
        <v>40</v>
      </c>
      <c r="J11845" s="28" t="s">
        <v>1264</v>
      </c>
      <c r="K11845" s="27" t="s">
        <v>42</v>
      </c>
      <c r="L11845" s="27"/>
    </row>
    <row r="11846" customFormat="false" ht="15" hidden="false" customHeight="false" outlineLevel="0" collapsed="false">
      <c r="A11846" s="26" t="s">
        <v>28607</v>
      </c>
      <c r="B11846" s="27" t="s">
        <v>28608</v>
      </c>
      <c r="C11846" s="27" t="s">
        <v>144</v>
      </c>
      <c r="D11846" s="26"/>
      <c r="E11846" s="27"/>
      <c r="F11846" s="27"/>
      <c r="G11846" s="27" t="s">
        <v>11122</v>
      </c>
      <c r="H11846" s="27" t="s">
        <v>35</v>
      </c>
      <c r="I11846" s="27" t="s">
        <v>48</v>
      </c>
      <c r="J11846" s="28" t="s">
        <v>1264</v>
      </c>
      <c r="K11846" s="27" t="s">
        <v>42</v>
      </c>
      <c r="L11846" s="27"/>
    </row>
    <row r="11847" customFormat="false" ht="15" hidden="false" customHeight="false" outlineLevel="0" collapsed="false">
      <c r="A11847" s="26" t="s">
        <v>28609</v>
      </c>
      <c r="B11847" s="27" t="s">
        <v>28610</v>
      </c>
      <c r="C11847" s="27" t="s">
        <v>144</v>
      </c>
      <c r="D11847" s="26"/>
      <c r="E11847" s="27"/>
      <c r="F11847" s="27"/>
      <c r="G11847" s="27" t="s">
        <v>11122</v>
      </c>
      <c r="H11847" s="27" t="s">
        <v>35</v>
      </c>
      <c r="I11847" s="27" t="s">
        <v>48</v>
      </c>
      <c r="J11847" s="28" t="s">
        <v>1264</v>
      </c>
      <c r="K11847" s="27" t="s">
        <v>42</v>
      </c>
      <c r="L11847" s="27"/>
    </row>
    <row r="11848" customFormat="false" ht="15" hidden="false" customHeight="false" outlineLevel="0" collapsed="false">
      <c r="A11848" s="26" t="s">
        <v>28611</v>
      </c>
      <c r="B11848" s="27" t="s">
        <v>28612</v>
      </c>
      <c r="C11848" s="27" t="s">
        <v>144</v>
      </c>
      <c r="D11848" s="26"/>
      <c r="E11848" s="27"/>
      <c r="F11848" s="27"/>
      <c r="G11848" s="27" t="s">
        <v>11122</v>
      </c>
      <c r="H11848" s="27" t="s">
        <v>35</v>
      </c>
      <c r="I11848" s="28" t="s">
        <v>46</v>
      </c>
      <c r="J11848" s="28" t="s">
        <v>1264</v>
      </c>
      <c r="K11848" s="27" t="s">
        <v>42</v>
      </c>
      <c r="L11848" s="27"/>
    </row>
    <row r="11849" customFormat="false" ht="15" hidden="false" customHeight="false" outlineLevel="0" collapsed="false">
      <c r="A11849" s="26" t="s">
        <v>28613</v>
      </c>
      <c r="B11849" s="27" t="s">
        <v>28614</v>
      </c>
      <c r="C11849" s="27" t="s">
        <v>144</v>
      </c>
      <c r="D11849" s="26"/>
      <c r="E11849" s="27"/>
      <c r="F11849" s="27"/>
      <c r="G11849" s="27" t="s">
        <v>11122</v>
      </c>
      <c r="H11849" s="27" t="s">
        <v>35</v>
      </c>
      <c r="I11849" s="27" t="s">
        <v>152</v>
      </c>
      <c r="J11849" s="28" t="s">
        <v>1264</v>
      </c>
      <c r="K11849" s="27" t="s">
        <v>42</v>
      </c>
      <c r="L11849" s="27"/>
    </row>
    <row r="11850" customFormat="false" ht="15" hidden="false" customHeight="false" outlineLevel="0" collapsed="false">
      <c r="A11850" s="26" t="s">
        <v>28615</v>
      </c>
      <c r="B11850" s="27" t="s">
        <v>28616</v>
      </c>
      <c r="C11850" s="27" t="s">
        <v>144</v>
      </c>
      <c r="D11850" s="26"/>
      <c r="E11850" s="27"/>
      <c r="F11850" s="27"/>
      <c r="G11850" s="27" t="s">
        <v>11122</v>
      </c>
      <c r="H11850" s="27" t="s">
        <v>35</v>
      </c>
      <c r="I11850" s="27" t="s">
        <v>152</v>
      </c>
      <c r="J11850" s="28" t="s">
        <v>1264</v>
      </c>
      <c r="K11850" s="27" t="s">
        <v>42</v>
      </c>
      <c r="L11850" s="27"/>
    </row>
    <row r="11851" customFormat="false" ht="15" hidden="false" customHeight="false" outlineLevel="0" collapsed="false">
      <c r="A11851" s="26" t="s">
        <v>28617</v>
      </c>
      <c r="B11851" s="27" t="s">
        <v>28618</v>
      </c>
      <c r="C11851" s="27" t="s">
        <v>144</v>
      </c>
      <c r="D11851" s="26"/>
      <c r="E11851" s="27"/>
      <c r="F11851" s="27"/>
      <c r="G11851" s="27" t="s">
        <v>11122</v>
      </c>
      <c r="H11851" s="27" t="s">
        <v>35</v>
      </c>
      <c r="I11851" s="27" t="s">
        <v>152</v>
      </c>
      <c r="J11851" s="28" t="s">
        <v>1264</v>
      </c>
      <c r="K11851" s="27" t="s">
        <v>42</v>
      </c>
      <c r="L11851" s="27"/>
    </row>
    <row r="11852" customFormat="false" ht="15" hidden="false" customHeight="false" outlineLevel="0" collapsed="false">
      <c r="A11852" s="26" t="s">
        <v>28619</v>
      </c>
      <c r="B11852" s="27" t="s">
        <v>28620</v>
      </c>
      <c r="C11852" s="27" t="s">
        <v>144</v>
      </c>
      <c r="D11852" s="26"/>
      <c r="E11852" s="27"/>
      <c r="F11852" s="27"/>
      <c r="G11852" s="27" t="s">
        <v>11122</v>
      </c>
      <c r="H11852" s="27" t="s">
        <v>35</v>
      </c>
      <c r="I11852" s="27" t="s">
        <v>152</v>
      </c>
      <c r="J11852" s="28" t="s">
        <v>1264</v>
      </c>
      <c r="K11852" s="27" t="s">
        <v>42</v>
      </c>
      <c r="L11852" s="27"/>
    </row>
    <row r="11853" customFormat="false" ht="15" hidden="false" customHeight="false" outlineLevel="0" collapsed="false">
      <c r="A11853" s="26" t="s">
        <v>28621</v>
      </c>
      <c r="B11853" s="27" t="s">
        <v>28622</v>
      </c>
      <c r="C11853" s="27" t="s">
        <v>144</v>
      </c>
      <c r="D11853" s="26"/>
      <c r="E11853" s="27"/>
      <c r="F11853" s="27"/>
      <c r="G11853" s="27" t="s">
        <v>11122</v>
      </c>
      <c r="H11853" s="27" t="s">
        <v>35</v>
      </c>
      <c r="I11853" s="28" t="s">
        <v>50</v>
      </c>
      <c r="J11853" s="28" t="s">
        <v>1264</v>
      </c>
      <c r="K11853" s="27" t="s">
        <v>42</v>
      </c>
      <c r="L11853" s="27"/>
    </row>
    <row r="11854" customFormat="false" ht="15" hidden="false" customHeight="false" outlineLevel="0" collapsed="false">
      <c r="A11854" s="26" t="s">
        <v>28623</v>
      </c>
      <c r="B11854" s="27" t="s">
        <v>28624</v>
      </c>
      <c r="C11854" s="27" t="s">
        <v>137</v>
      </c>
      <c r="D11854" s="26"/>
      <c r="E11854" s="27"/>
      <c r="F11854" s="27"/>
      <c r="G11854" s="27" t="s">
        <v>11122</v>
      </c>
      <c r="H11854" s="27" t="s">
        <v>35</v>
      </c>
      <c r="I11854" s="27" t="s">
        <v>40</v>
      </c>
      <c r="J11854" s="28" t="s">
        <v>1264</v>
      </c>
      <c r="K11854" s="27" t="s">
        <v>42</v>
      </c>
      <c r="L11854" s="27"/>
    </row>
    <row r="11855" customFormat="false" ht="15" hidden="false" customHeight="false" outlineLevel="0" collapsed="false">
      <c r="A11855" s="26" t="s">
        <v>28625</v>
      </c>
      <c r="B11855" s="27" t="s">
        <v>28626</v>
      </c>
      <c r="C11855" s="27" t="s">
        <v>144</v>
      </c>
      <c r="D11855" s="26"/>
      <c r="E11855" s="27"/>
      <c r="F11855" s="27"/>
      <c r="G11855" s="27" t="s">
        <v>11122</v>
      </c>
      <c r="H11855" s="27" t="s">
        <v>35</v>
      </c>
      <c r="I11855" s="27" t="s">
        <v>41</v>
      </c>
      <c r="J11855" s="28" t="s">
        <v>1264</v>
      </c>
      <c r="K11855" s="27" t="s">
        <v>42</v>
      </c>
      <c r="L11855" s="27"/>
    </row>
    <row r="11856" customFormat="false" ht="15" hidden="false" customHeight="false" outlineLevel="0" collapsed="false">
      <c r="A11856" s="26" t="s">
        <v>28627</v>
      </c>
      <c r="B11856" s="27" t="s">
        <v>28628</v>
      </c>
      <c r="C11856" s="27" t="s">
        <v>144</v>
      </c>
      <c r="D11856" s="26"/>
      <c r="E11856" s="27"/>
      <c r="F11856" s="27"/>
      <c r="G11856" s="27" t="s">
        <v>11122</v>
      </c>
      <c r="H11856" s="27" t="s">
        <v>35</v>
      </c>
      <c r="I11856" s="27" t="s">
        <v>48</v>
      </c>
      <c r="J11856" s="28" t="s">
        <v>1264</v>
      </c>
      <c r="K11856" s="27" t="s">
        <v>42</v>
      </c>
      <c r="L11856" s="27"/>
    </row>
    <row r="11857" customFormat="false" ht="15" hidden="false" customHeight="false" outlineLevel="0" collapsed="false">
      <c r="A11857" s="26" t="s">
        <v>28629</v>
      </c>
      <c r="B11857" s="27" t="s">
        <v>28630</v>
      </c>
      <c r="C11857" s="27" t="s">
        <v>144</v>
      </c>
      <c r="D11857" s="26"/>
      <c r="E11857" s="27"/>
      <c r="F11857" s="27"/>
      <c r="G11857" s="27" t="s">
        <v>11122</v>
      </c>
      <c r="H11857" s="27" t="s">
        <v>35</v>
      </c>
      <c r="I11857" s="28" t="s">
        <v>46</v>
      </c>
      <c r="J11857" s="28" t="s">
        <v>1264</v>
      </c>
      <c r="K11857" s="27" t="s">
        <v>42</v>
      </c>
      <c r="L11857" s="27"/>
    </row>
    <row r="11858" customFormat="false" ht="15" hidden="false" customHeight="false" outlineLevel="0" collapsed="false">
      <c r="A11858" s="26" t="s">
        <v>28631</v>
      </c>
      <c r="B11858" s="27" t="s">
        <v>28632</v>
      </c>
      <c r="C11858" s="27" t="s">
        <v>144</v>
      </c>
      <c r="D11858" s="26"/>
      <c r="E11858" s="27"/>
      <c r="F11858" s="27"/>
      <c r="G11858" s="27" t="s">
        <v>11122</v>
      </c>
      <c r="H11858" s="27" t="s">
        <v>35</v>
      </c>
      <c r="I11858" s="28" t="s">
        <v>46</v>
      </c>
      <c r="J11858" s="28" t="s">
        <v>1264</v>
      </c>
      <c r="K11858" s="27" t="s">
        <v>42</v>
      </c>
      <c r="L11858" s="27"/>
    </row>
    <row r="11859" customFormat="false" ht="15" hidden="false" customHeight="false" outlineLevel="0" collapsed="false">
      <c r="A11859" s="26" t="s">
        <v>28633</v>
      </c>
      <c r="B11859" s="27" t="s">
        <v>28634</v>
      </c>
      <c r="C11859" s="27" t="s">
        <v>144</v>
      </c>
      <c r="D11859" s="26"/>
      <c r="E11859" s="27"/>
      <c r="F11859" s="27"/>
      <c r="G11859" s="27" t="s">
        <v>11122</v>
      </c>
      <c r="H11859" s="27" t="s">
        <v>35</v>
      </c>
      <c r="I11859" s="27" t="s">
        <v>10510</v>
      </c>
      <c r="J11859" s="28" t="s">
        <v>1264</v>
      </c>
      <c r="K11859" s="27" t="s">
        <v>42</v>
      </c>
      <c r="L11859" s="27"/>
    </row>
    <row r="11860" customFormat="false" ht="15" hidden="false" customHeight="false" outlineLevel="0" collapsed="false">
      <c r="A11860" s="26" t="s">
        <v>28635</v>
      </c>
      <c r="B11860" s="27" t="s">
        <v>28636</v>
      </c>
      <c r="C11860" s="27" t="s">
        <v>144</v>
      </c>
      <c r="D11860" s="26"/>
      <c r="E11860" s="27"/>
      <c r="F11860" s="27"/>
      <c r="G11860" s="27" t="s">
        <v>11122</v>
      </c>
      <c r="H11860" s="27" t="s">
        <v>35</v>
      </c>
      <c r="I11860" s="27" t="s">
        <v>43</v>
      </c>
      <c r="J11860" s="28" t="s">
        <v>1264</v>
      </c>
      <c r="K11860" s="27" t="s">
        <v>42</v>
      </c>
      <c r="L11860" s="27"/>
    </row>
    <row r="11861" customFormat="false" ht="15" hidden="false" customHeight="false" outlineLevel="0" collapsed="false">
      <c r="A11861" s="26" t="s">
        <v>28637</v>
      </c>
      <c r="B11861" s="27" t="s">
        <v>28638</v>
      </c>
      <c r="C11861" s="27" t="s">
        <v>137</v>
      </c>
      <c r="D11861" s="26"/>
      <c r="E11861" s="27"/>
      <c r="F11861" s="27"/>
      <c r="G11861" s="27" t="s">
        <v>11122</v>
      </c>
      <c r="H11861" s="27" t="s">
        <v>35</v>
      </c>
      <c r="I11861" s="27" t="s">
        <v>37</v>
      </c>
      <c r="J11861" s="28" t="s">
        <v>1264</v>
      </c>
      <c r="K11861" s="27" t="s">
        <v>42</v>
      </c>
      <c r="L11861" s="27"/>
    </row>
    <row r="11862" customFormat="false" ht="15" hidden="false" customHeight="false" outlineLevel="0" collapsed="false">
      <c r="A11862" s="26" t="s">
        <v>28639</v>
      </c>
      <c r="B11862" s="27" t="s">
        <v>28640</v>
      </c>
      <c r="C11862" s="27" t="s">
        <v>137</v>
      </c>
      <c r="D11862" s="26"/>
      <c r="E11862" s="27"/>
      <c r="F11862" s="27"/>
      <c r="G11862" s="27" t="s">
        <v>11122</v>
      </c>
      <c r="H11862" s="27" t="s">
        <v>35</v>
      </c>
      <c r="I11862" s="27" t="s">
        <v>42</v>
      </c>
      <c r="J11862" s="28" t="s">
        <v>1264</v>
      </c>
      <c r="K11862" s="27" t="s">
        <v>42</v>
      </c>
      <c r="L11862" s="27"/>
    </row>
    <row r="11863" customFormat="false" ht="15" hidden="false" customHeight="false" outlineLevel="0" collapsed="false">
      <c r="A11863" s="26" t="s">
        <v>28641</v>
      </c>
      <c r="B11863" s="27" t="s">
        <v>28642</v>
      </c>
      <c r="C11863" s="27" t="s">
        <v>137</v>
      </c>
      <c r="D11863" s="26"/>
      <c r="E11863" s="27"/>
      <c r="F11863" s="27"/>
      <c r="G11863" s="27" t="s">
        <v>11122</v>
      </c>
      <c r="H11863" s="27" t="s">
        <v>35</v>
      </c>
      <c r="I11863" s="27" t="s">
        <v>43</v>
      </c>
      <c r="J11863" s="28" t="s">
        <v>1264</v>
      </c>
      <c r="K11863" s="27" t="s">
        <v>42</v>
      </c>
      <c r="L11863" s="27"/>
    </row>
    <row r="11864" customFormat="false" ht="15" hidden="false" customHeight="false" outlineLevel="0" collapsed="false">
      <c r="A11864" s="26" t="s">
        <v>28643</v>
      </c>
      <c r="B11864" s="27" t="s">
        <v>28644</v>
      </c>
      <c r="C11864" s="27" t="s">
        <v>1845</v>
      </c>
      <c r="D11864" s="26"/>
      <c r="E11864" s="27"/>
      <c r="F11864" s="27"/>
      <c r="G11864" s="27" t="s">
        <v>11122</v>
      </c>
      <c r="H11864" s="27" t="s">
        <v>35</v>
      </c>
      <c r="I11864" s="27" t="s">
        <v>42</v>
      </c>
      <c r="J11864" s="28" t="s">
        <v>1264</v>
      </c>
      <c r="K11864" s="27" t="s">
        <v>42</v>
      </c>
      <c r="L11864" s="27"/>
    </row>
    <row r="11865" customFormat="false" ht="15" hidden="false" customHeight="false" outlineLevel="0" collapsed="false">
      <c r="A11865" s="26" t="s">
        <v>28645</v>
      </c>
      <c r="B11865" s="27" t="s">
        <v>28646</v>
      </c>
      <c r="C11865" s="27" t="s">
        <v>144</v>
      </c>
      <c r="D11865" s="26"/>
      <c r="E11865" s="27"/>
      <c r="F11865" s="27"/>
      <c r="G11865" s="27" t="s">
        <v>11122</v>
      </c>
      <c r="H11865" s="27" t="s">
        <v>35</v>
      </c>
      <c r="I11865" s="27" t="s">
        <v>40</v>
      </c>
      <c r="J11865" s="28" t="s">
        <v>1264</v>
      </c>
      <c r="K11865" s="27" t="s">
        <v>42</v>
      </c>
      <c r="L11865" s="27"/>
    </row>
    <row r="11866" customFormat="false" ht="15" hidden="false" customHeight="false" outlineLevel="0" collapsed="false">
      <c r="A11866" s="26" t="s">
        <v>28647</v>
      </c>
      <c r="B11866" s="27" t="s">
        <v>28648</v>
      </c>
      <c r="C11866" s="27" t="s">
        <v>144</v>
      </c>
      <c r="D11866" s="26"/>
      <c r="E11866" s="27"/>
      <c r="F11866" s="27"/>
      <c r="G11866" s="27" t="s">
        <v>11122</v>
      </c>
      <c r="H11866" s="27" t="s">
        <v>35</v>
      </c>
      <c r="I11866" s="27" t="s">
        <v>40</v>
      </c>
      <c r="J11866" s="28" t="s">
        <v>1264</v>
      </c>
      <c r="K11866" s="27" t="s">
        <v>42</v>
      </c>
      <c r="L11866" s="27"/>
    </row>
    <row r="11867" customFormat="false" ht="15" hidden="false" customHeight="false" outlineLevel="0" collapsed="false">
      <c r="A11867" s="26" t="s">
        <v>28649</v>
      </c>
      <c r="B11867" s="27" t="s">
        <v>28650</v>
      </c>
      <c r="C11867" s="27" t="s">
        <v>144</v>
      </c>
      <c r="D11867" s="26"/>
      <c r="E11867" s="27"/>
      <c r="F11867" s="27"/>
      <c r="G11867" s="27" t="s">
        <v>11122</v>
      </c>
      <c r="H11867" s="27" t="s">
        <v>35</v>
      </c>
      <c r="I11867" s="27" t="s">
        <v>40</v>
      </c>
      <c r="J11867" s="28" t="s">
        <v>1264</v>
      </c>
      <c r="K11867" s="27" t="s">
        <v>42</v>
      </c>
      <c r="L11867" s="27"/>
    </row>
    <row r="11868" customFormat="false" ht="15" hidden="false" customHeight="false" outlineLevel="0" collapsed="false">
      <c r="A11868" s="26" t="s">
        <v>28651</v>
      </c>
      <c r="B11868" s="27" t="s">
        <v>28652</v>
      </c>
      <c r="C11868" s="27" t="s">
        <v>144</v>
      </c>
      <c r="D11868" s="26"/>
      <c r="E11868" s="27"/>
      <c r="F11868" s="27"/>
      <c r="G11868" s="27" t="s">
        <v>11122</v>
      </c>
      <c r="H11868" s="27" t="s">
        <v>35</v>
      </c>
      <c r="I11868" s="27" t="s">
        <v>48</v>
      </c>
      <c r="J11868" s="28" t="s">
        <v>1264</v>
      </c>
      <c r="K11868" s="27" t="s">
        <v>42</v>
      </c>
      <c r="L11868" s="27"/>
    </row>
    <row r="11869" customFormat="false" ht="15" hidden="false" customHeight="false" outlineLevel="0" collapsed="false">
      <c r="A11869" s="26" t="s">
        <v>28653</v>
      </c>
      <c r="B11869" s="27" t="s">
        <v>28654</v>
      </c>
      <c r="C11869" s="27" t="s">
        <v>144</v>
      </c>
      <c r="D11869" s="26"/>
      <c r="E11869" s="27"/>
      <c r="F11869" s="27"/>
      <c r="G11869" s="27" t="s">
        <v>11122</v>
      </c>
      <c r="H11869" s="27" t="s">
        <v>35</v>
      </c>
      <c r="I11869" s="27" t="s">
        <v>43</v>
      </c>
      <c r="J11869" s="28" t="s">
        <v>1264</v>
      </c>
      <c r="K11869" s="27" t="s">
        <v>42</v>
      </c>
      <c r="L11869" s="27"/>
    </row>
    <row r="11870" customFormat="false" ht="15" hidden="false" customHeight="false" outlineLevel="0" collapsed="false">
      <c r="A11870" s="26" t="s">
        <v>28655</v>
      </c>
      <c r="B11870" s="27" t="s">
        <v>28656</v>
      </c>
      <c r="C11870" s="27" t="s">
        <v>144</v>
      </c>
      <c r="D11870" s="26"/>
      <c r="E11870" s="27"/>
      <c r="F11870" s="27"/>
      <c r="G11870" s="27" t="s">
        <v>11122</v>
      </c>
      <c r="H11870" s="27" t="s">
        <v>35</v>
      </c>
      <c r="I11870" s="27" t="s">
        <v>40</v>
      </c>
      <c r="J11870" s="28" t="s">
        <v>1264</v>
      </c>
      <c r="K11870" s="27" t="s">
        <v>42</v>
      </c>
      <c r="L11870" s="27"/>
    </row>
    <row r="11871" customFormat="false" ht="15" hidden="false" customHeight="false" outlineLevel="0" collapsed="false">
      <c r="A11871" s="26" t="s">
        <v>28657</v>
      </c>
      <c r="B11871" s="27" t="s">
        <v>28658</v>
      </c>
      <c r="C11871" s="27" t="s">
        <v>144</v>
      </c>
      <c r="D11871" s="26"/>
      <c r="E11871" s="27"/>
      <c r="F11871" s="27"/>
      <c r="G11871" s="27" t="s">
        <v>11122</v>
      </c>
      <c r="H11871" s="27" t="s">
        <v>35</v>
      </c>
      <c r="I11871" s="27" t="s">
        <v>40</v>
      </c>
      <c r="J11871" s="28" t="s">
        <v>1264</v>
      </c>
      <c r="K11871" s="27" t="s">
        <v>42</v>
      </c>
      <c r="L11871" s="27"/>
    </row>
    <row r="11872" customFormat="false" ht="15" hidden="false" customHeight="false" outlineLevel="0" collapsed="false">
      <c r="A11872" s="26" t="s">
        <v>28659</v>
      </c>
      <c r="B11872" s="27" t="s">
        <v>28660</v>
      </c>
      <c r="C11872" s="27" t="s">
        <v>144</v>
      </c>
      <c r="D11872" s="26"/>
      <c r="E11872" s="27"/>
      <c r="F11872" s="27"/>
      <c r="G11872" s="27" t="s">
        <v>11122</v>
      </c>
      <c r="H11872" s="27" t="s">
        <v>35</v>
      </c>
      <c r="I11872" s="27" t="s">
        <v>49</v>
      </c>
      <c r="J11872" s="28" t="s">
        <v>1264</v>
      </c>
      <c r="K11872" s="27" t="s">
        <v>42</v>
      </c>
      <c r="L11872" s="27"/>
    </row>
    <row r="11873" customFormat="false" ht="15" hidden="false" customHeight="false" outlineLevel="0" collapsed="false">
      <c r="A11873" s="26" t="s">
        <v>28661</v>
      </c>
      <c r="B11873" s="27" t="s">
        <v>28662</v>
      </c>
      <c r="C11873" s="27" t="s">
        <v>144</v>
      </c>
      <c r="D11873" s="26"/>
      <c r="E11873" s="27"/>
      <c r="F11873" s="27"/>
      <c r="G11873" s="27" t="s">
        <v>11122</v>
      </c>
      <c r="H11873" s="27" t="s">
        <v>35</v>
      </c>
      <c r="I11873" s="27" t="s">
        <v>40</v>
      </c>
      <c r="J11873" s="28" t="s">
        <v>1264</v>
      </c>
      <c r="K11873" s="27" t="s">
        <v>42</v>
      </c>
      <c r="L11873" s="27"/>
    </row>
    <row r="11874" customFormat="false" ht="15" hidden="false" customHeight="false" outlineLevel="0" collapsed="false">
      <c r="A11874" s="26" t="s">
        <v>28663</v>
      </c>
      <c r="B11874" s="27" t="s">
        <v>28664</v>
      </c>
      <c r="C11874" s="27" t="s">
        <v>144</v>
      </c>
      <c r="D11874" s="26"/>
      <c r="E11874" s="27"/>
      <c r="F11874" s="27"/>
      <c r="G11874" s="27" t="s">
        <v>11122</v>
      </c>
      <c r="H11874" s="27" t="s">
        <v>35</v>
      </c>
      <c r="I11874" s="27" t="s">
        <v>37</v>
      </c>
      <c r="J11874" s="28" t="s">
        <v>1264</v>
      </c>
      <c r="K11874" s="27" t="s">
        <v>42</v>
      </c>
      <c r="L11874" s="27"/>
    </row>
    <row r="11875" customFormat="false" ht="15" hidden="false" customHeight="false" outlineLevel="0" collapsed="false">
      <c r="A11875" s="26" t="s">
        <v>28665</v>
      </c>
      <c r="B11875" s="27" t="s">
        <v>28666</v>
      </c>
      <c r="C11875" s="27" t="s">
        <v>144</v>
      </c>
      <c r="D11875" s="26"/>
      <c r="E11875" s="27"/>
      <c r="F11875" s="27"/>
      <c r="G11875" s="27" t="s">
        <v>11122</v>
      </c>
      <c r="H11875" s="27" t="s">
        <v>35</v>
      </c>
      <c r="I11875" s="27" t="s">
        <v>40</v>
      </c>
      <c r="J11875" s="28" t="s">
        <v>1264</v>
      </c>
      <c r="K11875" s="27" t="s">
        <v>42</v>
      </c>
      <c r="L11875" s="27"/>
    </row>
    <row r="11876" customFormat="false" ht="15" hidden="false" customHeight="false" outlineLevel="0" collapsed="false">
      <c r="A11876" s="26" t="s">
        <v>28667</v>
      </c>
      <c r="B11876" s="27" t="s">
        <v>28668</v>
      </c>
      <c r="C11876" s="27" t="s">
        <v>144</v>
      </c>
      <c r="D11876" s="26"/>
      <c r="E11876" s="27"/>
      <c r="F11876" s="27"/>
      <c r="G11876" s="27" t="s">
        <v>11122</v>
      </c>
      <c r="H11876" s="27" t="s">
        <v>35</v>
      </c>
      <c r="I11876" s="27" t="s">
        <v>40</v>
      </c>
      <c r="J11876" s="28" t="s">
        <v>1264</v>
      </c>
      <c r="K11876" s="27" t="s">
        <v>42</v>
      </c>
      <c r="L11876" s="27"/>
    </row>
    <row r="11877" customFormat="false" ht="15" hidden="false" customHeight="false" outlineLevel="0" collapsed="false">
      <c r="A11877" s="26" t="s">
        <v>28669</v>
      </c>
      <c r="B11877" s="27" t="s">
        <v>28670</v>
      </c>
      <c r="C11877" s="27" t="s">
        <v>144</v>
      </c>
      <c r="D11877" s="26"/>
      <c r="E11877" s="27"/>
      <c r="F11877" s="27"/>
      <c r="G11877" s="27" t="s">
        <v>11122</v>
      </c>
      <c r="H11877" s="27" t="s">
        <v>35</v>
      </c>
      <c r="I11877" s="27" t="s">
        <v>40</v>
      </c>
      <c r="J11877" s="28" t="s">
        <v>1264</v>
      </c>
      <c r="K11877" s="27" t="s">
        <v>42</v>
      </c>
      <c r="L11877" s="27"/>
    </row>
    <row r="11878" customFormat="false" ht="15" hidden="false" customHeight="false" outlineLevel="0" collapsed="false">
      <c r="A11878" s="26" t="s">
        <v>28671</v>
      </c>
      <c r="B11878" s="27" t="s">
        <v>28672</v>
      </c>
      <c r="C11878" s="27" t="s">
        <v>144</v>
      </c>
      <c r="D11878" s="26"/>
      <c r="E11878" s="27"/>
      <c r="F11878" s="27"/>
      <c r="G11878" s="27" t="s">
        <v>11122</v>
      </c>
      <c r="H11878" s="27" t="s">
        <v>35</v>
      </c>
      <c r="I11878" s="27" t="s">
        <v>40</v>
      </c>
      <c r="J11878" s="28" t="s">
        <v>1264</v>
      </c>
      <c r="K11878" s="27" t="s">
        <v>42</v>
      </c>
      <c r="L11878" s="27"/>
    </row>
    <row r="11879" customFormat="false" ht="15" hidden="false" customHeight="false" outlineLevel="0" collapsed="false">
      <c r="A11879" s="26" t="s">
        <v>28673</v>
      </c>
      <c r="B11879" s="27" t="s">
        <v>28674</v>
      </c>
      <c r="C11879" s="27" t="s">
        <v>144</v>
      </c>
      <c r="D11879" s="26"/>
      <c r="E11879" s="27"/>
      <c r="F11879" s="27"/>
      <c r="G11879" s="27" t="s">
        <v>11122</v>
      </c>
      <c r="H11879" s="27" t="s">
        <v>35</v>
      </c>
      <c r="I11879" s="27" t="s">
        <v>40</v>
      </c>
      <c r="J11879" s="28" t="s">
        <v>1264</v>
      </c>
      <c r="K11879" s="27" t="s">
        <v>42</v>
      </c>
      <c r="L11879" s="27"/>
    </row>
    <row r="11880" customFormat="false" ht="15" hidden="false" customHeight="false" outlineLevel="0" collapsed="false">
      <c r="A11880" s="26" t="s">
        <v>28675</v>
      </c>
      <c r="B11880" s="27" t="s">
        <v>28676</v>
      </c>
      <c r="C11880" s="27" t="s">
        <v>144</v>
      </c>
      <c r="D11880" s="26"/>
      <c r="E11880" s="27"/>
      <c r="F11880" s="27"/>
      <c r="G11880" s="27" t="s">
        <v>11122</v>
      </c>
      <c r="H11880" s="27" t="s">
        <v>35</v>
      </c>
      <c r="I11880" s="27" t="s">
        <v>40</v>
      </c>
      <c r="J11880" s="28" t="s">
        <v>1264</v>
      </c>
      <c r="K11880" s="27" t="s">
        <v>42</v>
      </c>
      <c r="L11880" s="27"/>
    </row>
    <row r="11881" customFormat="false" ht="15" hidden="false" customHeight="false" outlineLevel="0" collapsed="false">
      <c r="A11881" s="26" t="s">
        <v>28677</v>
      </c>
      <c r="B11881" s="27" t="s">
        <v>28678</v>
      </c>
      <c r="C11881" s="27" t="s">
        <v>144</v>
      </c>
      <c r="D11881" s="26"/>
      <c r="E11881" s="27"/>
      <c r="F11881" s="27"/>
      <c r="G11881" s="27" t="s">
        <v>11122</v>
      </c>
      <c r="H11881" s="27" t="s">
        <v>35</v>
      </c>
      <c r="I11881" s="27" t="s">
        <v>40</v>
      </c>
      <c r="J11881" s="28" t="s">
        <v>1264</v>
      </c>
      <c r="K11881" s="27" t="s">
        <v>42</v>
      </c>
      <c r="L11881" s="27"/>
    </row>
    <row r="11882" customFormat="false" ht="15" hidden="false" customHeight="false" outlineLevel="0" collapsed="false">
      <c r="A11882" s="26" t="s">
        <v>28679</v>
      </c>
      <c r="B11882" s="27" t="s">
        <v>28680</v>
      </c>
      <c r="C11882" s="27" t="s">
        <v>144</v>
      </c>
      <c r="D11882" s="26"/>
      <c r="E11882" s="27"/>
      <c r="F11882" s="27"/>
      <c r="G11882" s="27" t="s">
        <v>11122</v>
      </c>
      <c r="H11882" s="27" t="s">
        <v>35</v>
      </c>
      <c r="I11882" s="27" t="s">
        <v>40</v>
      </c>
      <c r="J11882" s="28" t="s">
        <v>1264</v>
      </c>
      <c r="K11882" s="27" t="s">
        <v>42</v>
      </c>
      <c r="L11882" s="27"/>
    </row>
    <row r="11883" customFormat="false" ht="15" hidden="false" customHeight="false" outlineLevel="0" collapsed="false">
      <c r="A11883" s="26" t="s">
        <v>28681</v>
      </c>
      <c r="B11883" s="27" t="s">
        <v>28682</v>
      </c>
      <c r="C11883" s="27" t="s">
        <v>144</v>
      </c>
      <c r="D11883" s="26"/>
      <c r="E11883" s="27"/>
      <c r="F11883" s="27"/>
      <c r="G11883" s="27" t="s">
        <v>11122</v>
      </c>
      <c r="H11883" s="27" t="s">
        <v>35</v>
      </c>
      <c r="I11883" s="27" t="s">
        <v>37</v>
      </c>
      <c r="J11883" s="28" t="s">
        <v>1264</v>
      </c>
      <c r="K11883" s="27" t="s">
        <v>42</v>
      </c>
      <c r="L11883" s="27"/>
    </row>
    <row r="11884" customFormat="false" ht="15" hidden="false" customHeight="false" outlineLevel="0" collapsed="false">
      <c r="A11884" s="26" t="s">
        <v>28683</v>
      </c>
      <c r="B11884" s="27" t="s">
        <v>28684</v>
      </c>
      <c r="C11884" s="27" t="s">
        <v>144</v>
      </c>
      <c r="D11884" s="26"/>
      <c r="E11884" s="27"/>
      <c r="F11884" s="27"/>
      <c r="G11884" s="27" t="s">
        <v>11122</v>
      </c>
      <c r="H11884" s="27" t="s">
        <v>35</v>
      </c>
      <c r="I11884" s="27" t="s">
        <v>41</v>
      </c>
      <c r="J11884" s="28" t="s">
        <v>1264</v>
      </c>
      <c r="K11884" s="27" t="s">
        <v>42</v>
      </c>
      <c r="L11884" s="27"/>
    </row>
    <row r="11885" customFormat="false" ht="15" hidden="false" customHeight="false" outlineLevel="0" collapsed="false">
      <c r="A11885" s="26" t="s">
        <v>28685</v>
      </c>
      <c r="B11885" s="27" t="s">
        <v>28686</v>
      </c>
      <c r="C11885" s="27" t="s">
        <v>144</v>
      </c>
      <c r="D11885" s="26"/>
      <c r="E11885" s="27"/>
      <c r="F11885" s="27"/>
      <c r="G11885" s="27" t="s">
        <v>11122</v>
      </c>
      <c r="H11885" s="27" t="s">
        <v>35</v>
      </c>
      <c r="I11885" s="27" t="s">
        <v>41</v>
      </c>
      <c r="J11885" s="28" t="s">
        <v>1264</v>
      </c>
      <c r="K11885" s="27" t="s">
        <v>42</v>
      </c>
      <c r="L11885" s="27"/>
    </row>
    <row r="11886" customFormat="false" ht="15" hidden="false" customHeight="false" outlineLevel="0" collapsed="false">
      <c r="A11886" s="26" t="s">
        <v>28687</v>
      </c>
      <c r="B11886" s="27" t="s">
        <v>28688</v>
      </c>
      <c r="C11886" s="27" t="s">
        <v>144</v>
      </c>
      <c r="D11886" s="26"/>
      <c r="E11886" s="27"/>
      <c r="F11886" s="27"/>
      <c r="G11886" s="27" t="s">
        <v>11122</v>
      </c>
      <c r="H11886" s="27" t="s">
        <v>35</v>
      </c>
      <c r="I11886" s="27" t="s">
        <v>1067</v>
      </c>
      <c r="J11886" s="28" t="s">
        <v>1264</v>
      </c>
      <c r="K11886" s="27" t="s">
        <v>42</v>
      </c>
      <c r="L11886" s="27"/>
    </row>
    <row r="11887" customFormat="false" ht="15" hidden="false" customHeight="false" outlineLevel="0" collapsed="false">
      <c r="A11887" s="26" t="s">
        <v>28689</v>
      </c>
      <c r="B11887" s="27" t="s">
        <v>28690</v>
      </c>
      <c r="C11887" s="27" t="s">
        <v>144</v>
      </c>
      <c r="D11887" s="26"/>
      <c r="E11887" s="27"/>
      <c r="F11887" s="27"/>
      <c r="G11887" s="27" t="s">
        <v>11122</v>
      </c>
      <c r="H11887" s="27" t="s">
        <v>35</v>
      </c>
      <c r="I11887" s="27" t="s">
        <v>42</v>
      </c>
      <c r="J11887" s="28" t="s">
        <v>1264</v>
      </c>
      <c r="K11887" s="27" t="s">
        <v>42</v>
      </c>
      <c r="L11887" s="27"/>
    </row>
    <row r="11888" customFormat="false" ht="15" hidden="false" customHeight="false" outlineLevel="0" collapsed="false">
      <c r="A11888" s="26" t="s">
        <v>28691</v>
      </c>
      <c r="B11888" s="27" t="s">
        <v>28692</v>
      </c>
      <c r="C11888" s="27" t="s">
        <v>144</v>
      </c>
      <c r="D11888" s="26"/>
      <c r="E11888" s="27"/>
      <c r="F11888" s="27"/>
      <c r="G11888" s="27" t="s">
        <v>11122</v>
      </c>
      <c r="H11888" s="27" t="s">
        <v>35</v>
      </c>
      <c r="I11888" s="27" t="s">
        <v>37</v>
      </c>
      <c r="J11888" s="28" t="s">
        <v>1264</v>
      </c>
      <c r="K11888" s="27" t="s">
        <v>42</v>
      </c>
      <c r="L11888" s="27"/>
    </row>
    <row r="11889" customFormat="false" ht="15" hidden="false" customHeight="false" outlineLevel="0" collapsed="false">
      <c r="A11889" s="26" t="s">
        <v>28693</v>
      </c>
      <c r="B11889" s="27" t="s">
        <v>28694</v>
      </c>
      <c r="C11889" s="27" t="s">
        <v>144</v>
      </c>
      <c r="D11889" s="26"/>
      <c r="E11889" s="27"/>
      <c r="F11889" s="27"/>
      <c r="G11889" s="27" t="s">
        <v>11122</v>
      </c>
      <c r="H11889" s="27" t="s">
        <v>35</v>
      </c>
      <c r="I11889" s="27" t="s">
        <v>41</v>
      </c>
      <c r="J11889" s="28" t="s">
        <v>1264</v>
      </c>
      <c r="K11889" s="27" t="s">
        <v>42</v>
      </c>
      <c r="L11889" s="27"/>
    </row>
    <row r="11890" customFormat="false" ht="15" hidden="false" customHeight="false" outlineLevel="0" collapsed="false">
      <c r="A11890" s="26" t="s">
        <v>28695</v>
      </c>
      <c r="B11890" s="27" t="s">
        <v>28696</v>
      </c>
      <c r="C11890" s="27" t="s">
        <v>144</v>
      </c>
      <c r="D11890" s="26"/>
      <c r="E11890" s="27"/>
      <c r="F11890" s="27"/>
      <c r="G11890" s="27" t="s">
        <v>11122</v>
      </c>
      <c r="H11890" s="27" t="s">
        <v>35</v>
      </c>
      <c r="I11890" s="27" t="s">
        <v>37</v>
      </c>
      <c r="J11890" s="28" t="s">
        <v>1264</v>
      </c>
      <c r="K11890" s="27" t="s">
        <v>42</v>
      </c>
      <c r="L11890" s="27"/>
    </row>
    <row r="11891" customFormat="false" ht="15" hidden="false" customHeight="false" outlineLevel="0" collapsed="false">
      <c r="A11891" s="26" t="s">
        <v>28697</v>
      </c>
      <c r="B11891" s="27" t="s">
        <v>28698</v>
      </c>
      <c r="C11891" s="27" t="s">
        <v>370</v>
      </c>
      <c r="D11891" s="26"/>
      <c r="E11891" s="27"/>
      <c r="F11891" s="27"/>
      <c r="G11891" s="27" t="s">
        <v>11122</v>
      </c>
      <c r="H11891" s="27" t="s">
        <v>35</v>
      </c>
      <c r="I11891" s="27" t="s">
        <v>41</v>
      </c>
      <c r="J11891" s="28" t="s">
        <v>1264</v>
      </c>
      <c r="K11891" s="27" t="s">
        <v>42</v>
      </c>
      <c r="L11891" s="27"/>
    </row>
    <row r="11892" customFormat="false" ht="15" hidden="false" customHeight="false" outlineLevel="0" collapsed="false">
      <c r="A11892" s="26" t="s">
        <v>28699</v>
      </c>
      <c r="B11892" s="27" t="s">
        <v>28700</v>
      </c>
      <c r="C11892" s="27" t="s">
        <v>144</v>
      </c>
      <c r="D11892" s="26"/>
      <c r="E11892" s="27"/>
      <c r="F11892" s="27"/>
      <c r="G11892" s="27" t="s">
        <v>11122</v>
      </c>
      <c r="H11892" s="27" t="s">
        <v>35</v>
      </c>
      <c r="I11892" s="27" t="s">
        <v>41</v>
      </c>
      <c r="J11892" s="28" t="s">
        <v>1264</v>
      </c>
      <c r="K11892" s="27" t="s">
        <v>42</v>
      </c>
      <c r="L11892" s="27"/>
    </row>
    <row r="11893" customFormat="false" ht="15" hidden="false" customHeight="false" outlineLevel="0" collapsed="false">
      <c r="A11893" s="26" t="s">
        <v>28701</v>
      </c>
      <c r="B11893" s="27" t="s">
        <v>28702</v>
      </c>
      <c r="C11893" s="27" t="s">
        <v>370</v>
      </c>
      <c r="D11893" s="26"/>
      <c r="E11893" s="27"/>
      <c r="F11893" s="27"/>
      <c r="G11893" s="27" t="s">
        <v>11122</v>
      </c>
      <c r="H11893" s="27" t="s">
        <v>35</v>
      </c>
      <c r="I11893" s="27" t="s">
        <v>49</v>
      </c>
      <c r="J11893" s="28" t="s">
        <v>1264</v>
      </c>
      <c r="K11893" s="27" t="s">
        <v>42</v>
      </c>
      <c r="L11893" s="27"/>
    </row>
    <row r="11894" customFormat="false" ht="15" hidden="false" customHeight="false" outlineLevel="0" collapsed="false">
      <c r="A11894" s="26" t="s">
        <v>28703</v>
      </c>
      <c r="B11894" s="27" t="s">
        <v>28704</v>
      </c>
      <c r="C11894" s="27" t="s">
        <v>370</v>
      </c>
      <c r="D11894" s="26"/>
      <c r="E11894" s="27"/>
      <c r="F11894" s="27"/>
      <c r="G11894" s="27" t="s">
        <v>11122</v>
      </c>
      <c r="H11894" s="27" t="s">
        <v>35</v>
      </c>
      <c r="I11894" s="27" t="s">
        <v>49</v>
      </c>
      <c r="J11894" s="28" t="s">
        <v>1264</v>
      </c>
      <c r="K11894" s="27" t="s">
        <v>42</v>
      </c>
      <c r="L11894" s="27"/>
    </row>
    <row r="11895" customFormat="false" ht="15" hidden="false" customHeight="false" outlineLevel="0" collapsed="false">
      <c r="A11895" s="26" t="s">
        <v>28705</v>
      </c>
      <c r="B11895" s="27" t="s">
        <v>28706</v>
      </c>
      <c r="C11895" s="27" t="s">
        <v>370</v>
      </c>
      <c r="D11895" s="26"/>
      <c r="E11895" s="27"/>
      <c r="F11895" s="27"/>
      <c r="G11895" s="27" t="s">
        <v>11122</v>
      </c>
      <c r="H11895" s="27" t="s">
        <v>35</v>
      </c>
      <c r="I11895" s="27" t="s">
        <v>44</v>
      </c>
      <c r="J11895" s="28" t="s">
        <v>1264</v>
      </c>
      <c r="K11895" s="27" t="s">
        <v>42</v>
      </c>
      <c r="L11895" s="27"/>
    </row>
    <row r="11896" customFormat="false" ht="15" hidden="false" customHeight="false" outlineLevel="0" collapsed="false">
      <c r="A11896" s="26" t="s">
        <v>28707</v>
      </c>
      <c r="B11896" s="27" t="s">
        <v>28708</v>
      </c>
      <c r="C11896" s="27" t="s">
        <v>370</v>
      </c>
      <c r="D11896" s="26"/>
      <c r="E11896" s="27"/>
      <c r="F11896" s="27"/>
      <c r="G11896" s="27" t="s">
        <v>11122</v>
      </c>
      <c r="H11896" s="27" t="s">
        <v>35</v>
      </c>
      <c r="I11896" s="27" t="s">
        <v>49</v>
      </c>
      <c r="J11896" s="28" t="s">
        <v>1264</v>
      </c>
      <c r="K11896" s="27" t="s">
        <v>42</v>
      </c>
      <c r="L11896" s="27"/>
    </row>
    <row r="11897" customFormat="false" ht="15" hidden="false" customHeight="false" outlineLevel="0" collapsed="false">
      <c r="A11897" s="26" t="s">
        <v>28709</v>
      </c>
      <c r="B11897" s="27" t="s">
        <v>28710</v>
      </c>
      <c r="C11897" s="27" t="s">
        <v>370</v>
      </c>
      <c r="D11897" s="26"/>
      <c r="E11897" s="27"/>
      <c r="F11897" s="27"/>
      <c r="G11897" s="27" t="s">
        <v>11122</v>
      </c>
      <c r="H11897" s="27" t="s">
        <v>35</v>
      </c>
      <c r="I11897" s="27" t="s">
        <v>41</v>
      </c>
      <c r="J11897" s="28" t="s">
        <v>1264</v>
      </c>
      <c r="K11897" s="27" t="s">
        <v>42</v>
      </c>
      <c r="L11897" s="27"/>
    </row>
    <row r="11898" customFormat="false" ht="15" hidden="false" customHeight="false" outlineLevel="0" collapsed="false">
      <c r="A11898" s="26" t="s">
        <v>28711</v>
      </c>
      <c r="B11898" s="27" t="s">
        <v>28712</v>
      </c>
      <c r="C11898" s="27" t="s">
        <v>137</v>
      </c>
      <c r="D11898" s="26"/>
      <c r="E11898" s="27"/>
      <c r="F11898" s="27"/>
      <c r="G11898" s="27" t="s">
        <v>11122</v>
      </c>
      <c r="H11898" s="27" t="s">
        <v>35</v>
      </c>
      <c r="I11898" s="27" t="s">
        <v>44</v>
      </c>
      <c r="J11898" s="28" t="s">
        <v>1264</v>
      </c>
      <c r="K11898" s="27" t="s">
        <v>42</v>
      </c>
      <c r="L11898" s="27"/>
    </row>
    <row r="11899" customFormat="false" ht="15" hidden="false" customHeight="false" outlineLevel="0" collapsed="false">
      <c r="A11899" s="26" t="s">
        <v>28713</v>
      </c>
      <c r="B11899" s="27" t="s">
        <v>28714</v>
      </c>
      <c r="C11899" s="27" t="s">
        <v>137</v>
      </c>
      <c r="D11899" s="26"/>
      <c r="E11899" s="27"/>
      <c r="F11899" s="27"/>
      <c r="G11899" s="27" t="s">
        <v>11122</v>
      </c>
      <c r="H11899" s="27" t="s">
        <v>35</v>
      </c>
      <c r="I11899" s="27" t="s">
        <v>44</v>
      </c>
      <c r="J11899" s="28" t="s">
        <v>1264</v>
      </c>
      <c r="K11899" s="27" t="s">
        <v>42</v>
      </c>
      <c r="L11899" s="27"/>
    </row>
    <row r="11900" customFormat="false" ht="15" hidden="false" customHeight="false" outlineLevel="0" collapsed="false">
      <c r="A11900" s="26" t="s">
        <v>28715</v>
      </c>
      <c r="B11900" s="27" t="s">
        <v>28716</v>
      </c>
      <c r="C11900" s="27" t="s">
        <v>1087</v>
      </c>
      <c r="D11900" s="26"/>
      <c r="E11900" s="27"/>
      <c r="F11900" s="27"/>
      <c r="G11900" s="27" t="s">
        <v>11122</v>
      </c>
      <c r="H11900" s="27" t="s">
        <v>35</v>
      </c>
      <c r="I11900" s="27" t="s">
        <v>41</v>
      </c>
      <c r="J11900" s="28" t="s">
        <v>1264</v>
      </c>
      <c r="K11900" s="27" t="s">
        <v>42</v>
      </c>
      <c r="L11900" s="27"/>
    </row>
    <row r="11901" customFormat="false" ht="15" hidden="false" customHeight="false" outlineLevel="0" collapsed="false">
      <c r="A11901" s="26" t="s">
        <v>28717</v>
      </c>
      <c r="B11901" s="27" t="s">
        <v>28718</v>
      </c>
      <c r="C11901" s="27" t="s">
        <v>137</v>
      </c>
      <c r="D11901" s="26"/>
      <c r="E11901" s="27"/>
      <c r="F11901" s="27"/>
      <c r="G11901" s="27" t="s">
        <v>11122</v>
      </c>
      <c r="H11901" s="27" t="s">
        <v>35</v>
      </c>
      <c r="I11901" s="27" t="s">
        <v>42</v>
      </c>
      <c r="J11901" s="28" t="s">
        <v>1264</v>
      </c>
      <c r="K11901" s="27" t="s">
        <v>42</v>
      </c>
      <c r="L11901" s="27"/>
    </row>
    <row r="11902" customFormat="false" ht="15" hidden="false" customHeight="false" outlineLevel="0" collapsed="false">
      <c r="A11902" s="26" t="s">
        <v>28719</v>
      </c>
      <c r="B11902" s="27" t="s">
        <v>28720</v>
      </c>
      <c r="C11902" s="27" t="s">
        <v>137</v>
      </c>
      <c r="D11902" s="26"/>
      <c r="E11902" s="27"/>
      <c r="F11902" s="27"/>
      <c r="G11902" s="27" t="s">
        <v>11122</v>
      </c>
      <c r="H11902" s="27" t="s">
        <v>35</v>
      </c>
      <c r="I11902" s="27" t="s">
        <v>37</v>
      </c>
      <c r="J11902" s="28" t="s">
        <v>1264</v>
      </c>
      <c r="K11902" s="27" t="s">
        <v>42</v>
      </c>
      <c r="L11902" s="27"/>
    </row>
    <row r="11903" customFormat="false" ht="15" hidden="false" customHeight="false" outlineLevel="0" collapsed="false">
      <c r="A11903" s="26" t="s">
        <v>28721</v>
      </c>
      <c r="B11903" s="27" t="s">
        <v>28722</v>
      </c>
      <c r="C11903" s="27" t="s">
        <v>137</v>
      </c>
      <c r="D11903" s="26"/>
      <c r="E11903" s="27"/>
      <c r="F11903" s="27"/>
      <c r="G11903" s="27" t="s">
        <v>11122</v>
      </c>
      <c r="H11903" s="27" t="s">
        <v>35</v>
      </c>
      <c r="I11903" s="27" t="s">
        <v>42</v>
      </c>
      <c r="J11903" s="28" t="s">
        <v>1264</v>
      </c>
      <c r="K11903" s="27" t="s">
        <v>42</v>
      </c>
      <c r="L11903" s="27"/>
    </row>
    <row r="11904" customFormat="false" ht="15" hidden="false" customHeight="false" outlineLevel="0" collapsed="false">
      <c r="A11904" s="26" t="s">
        <v>28723</v>
      </c>
      <c r="B11904" s="27" t="s">
        <v>28724</v>
      </c>
      <c r="C11904" s="27" t="s">
        <v>144</v>
      </c>
      <c r="D11904" s="26"/>
      <c r="E11904" s="27"/>
      <c r="F11904" s="27"/>
      <c r="G11904" s="27" t="s">
        <v>11122</v>
      </c>
      <c r="H11904" s="27" t="s">
        <v>35</v>
      </c>
      <c r="I11904" s="27" t="s">
        <v>40</v>
      </c>
      <c r="J11904" s="28" t="s">
        <v>1264</v>
      </c>
      <c r="K11904" s="27" t="s">
        <v>42</v>
      </c>
      <c r="L11904" s="27"/>
    </row>
    <row r="11905" customFormat="false" ht="15" hidden="false" customHeight="false" outlineLevel="0" collapsed="false">
      <c r="A11905" s="26" t="s">
        <v>28725</v>
      </c>
      <c r="B11905" s="27" t="s">
        <v>28726</v>
      </c>
      <c r="C11905" s="27" t="s">
        <v>144</v>
      </c>
      <c r="D11905" s="26"/>
      <c r="E11905" s="27"/>
      <c r="F11905" s="27"/>
      <c r="G11905" s="27" t="s">
        <v>11122</v>
      </c>
      <c r="H11905" s="27" t="s">
        <v>35</v>
      </c>
      <c r="I11905" s="27" t="s">
        <v>37</v>
      </c>
      <c r="J11905" s="28" t="s">
        <v>1264</v>
      </c>
      <c r="K11905" s="27" t="s">
        <v>42</v>
      </c>
      <c r="L11905" s="27"/>
    </row>
    <row r="11906" customFormat="false" ht="15" hidden="false" customHeight="false" outlineLevel="0" collapsed="false">
      <c r="A11906" s="26" t="s">
        <v>28727</v>
      </c>
      <c r="B11906" s="27" t="s">
        <v>28728</v>
      </c>
      <c r="C11906" s="27" t="s">
        <v>137</v>
      </c>
      <c r="D11906" s="26"/>
      <c r="E11906" s="27"/>
      <c r="F11906" s="27"/>
      <c r="G11906" s="27" t="s">
        <v>11122</v>
      </c>
      <c r="H11906" s="27" t="s">
        <v>35</v>
      </c>
      <c r="I11906" s="27" t="s">
        <v>49</v>
      </c>
      <c r="J11906" s="28" t="s">
        <v>1264</v>
      </c>
      <c r="K11906" s="27" t="s">
        <v>42</v>
      </c>
      <c r="L11906" s="27"/>
    </row>
    <row r="11907" customFormat="false" ht="15" hidden="false" customHeight="false" outlineLevel="0" collapsed="false">
      <c r="A11907" s="26" t="s">
        <v>28729</v>
      </c>
      <c r="B11907" s="27" t="s">
        <v>28730</v>
      </c>
      <c r="C11907" s="27" t="s">
        <v>144</v>
      </c>
      <c r="D11907" s="26"/>
      <c r="E11907" s="27"/>
      <c r="F11907" s="27"/>
      <c r="G11907" s="27" t="s">
        <v>11122</v>
      </c>
      <c r="H11907" s="27" t="s">
        <v>35</v>
      </c>
      <c r="I11907" s="27" t="s">
        <v>10510</v>
      </c>
      <c r="J11907" s="28" t="s">
        <v>1264</v>
      </c>
      <c r="K11907" s="27" t="s">
        <v>42</v>
      </c>
      <c r="L11907" s="27"/>
    </row>
    <row r="11908" customFormat="false" ht="15" hidden="false" customHeight="false" outlineLevel="0" collapsed="false">
      <c r="A11908" s="26" t="s">
        <v>28731</v>
      </c>
      <c r="B11908" s="27" t="s">
        <v>28732</v>
      </c>
      <c r="C11908" s="27" t="s">
        <v>144</v>
      </c>
      <c r="D11908" s="26"/>
      <c r="E11908" s="27"/>
      <c r="F11908" s="27"/>
      <c r="G11908" s="27" t="s">
        <v>11122</v>
      </c>
      <c r="H11908" s="27" t="s">
        <v>35</v>
      </c>
      <c r="I11908" s="27" t="s">
        <v>40</v>
      </c>
      <c r="J11908" s="28" t="s">
        <v>1264</v>
      </c>
      <c r="K11908" s="27" t="s">
        <v>42</v>
      </c>
      <c r="L11908" s="27"/>
    </row>
    <row r="11909" customFormat="false" ht="15" hidden="false" customHeight="false" outlineLevel="0" collapsed="false">
      <c r="A11909" s="26" t="s">
        <v>28733</v>
      </c>
      <c r="B11909" s="27" t="s">
        <v>28734</v>
      </c>
      <c r="C11909" s="27" t="s">
        <v>144</v>
      </c>
      <c r="D11909" s="26"/>
      <c r="E11909" s="27"/>
      <c r="F11909" s="27"/>
      <c r="G11909" s="27" t="s">
        <v>11122</v>
      </c>
      <c r="H11909" s="27" t="s">
        <v>35</v>
      </c>
      <c r="I11909" s="27" t="s">
        <v>40</v>
      </c>
      <c r="J11909" s="28" t="s">
        <v>1264</v>
      </c>
      <c r="K11909" s="27" t="s">
        <v>42</v>
      </c>
      <c r="L11909" s="27"/>
    </row>
    <row r="11910" customFormat="false" ht="15" hidden="false" customHeight="false" outlineLevel="0" collapsed="false">
      <c r="A11910" s="26" t="s">
        <v>28735</v>
      </c>
      <c r="B11910" s="27" t="s">
        <v>28736</v>
      </c>
      <c r="C11910" s="27" t="s">
        <v>144</v>
      </c>
      <c r="D11910" s="26"/>
      <c r="E11910" s="27"/>
      <c r="F11910" s="27"/>
      <c r="G11910" s="27" t="s">
        <v>11122</v>
      </c>
      <c r="H11910" s="27" t="s">
        <v>35</v>
      </c>
      <c r="I11910" s="27" t="s">
        <v>39</v>
      </c>
      <c r="J11910" s="28" t="s">
        <v>1264</v>
      </c>
      <c r="K11910" s="27" t="s">
        <v>42</v>
      </c>
      <c r="L11910" s="27"/>
    </row>
    <row r="11911" customFormat="false" ht="15" hidden="false" customHeight="false" outlineLevel="0" collapsed="false">
      <c r="A11911" s="26" t="s">
        <v>28737</v>
      </c>
      <c r="B11911" s="27" t="s">
        <v>28738</v>
      </c>
      <c r="C11911" s="27" t="s">
        <v>144</v>
      </c>
      <c r="D11911" s="26"/>
      <c r="E11911" s="27"/>
      <c r="F11911" s="27"/>
      <c r="G11911" s="27" t="s">
        <v>11122</v>
      </c>
      <c r="H11911" s="27" t="s">
        <v>35</v>
      </c>
      <c r="I11911" s="27" t="s">
        <v>48</v>
      </c>
      <c r="J11911" s="28" t="s">
        <v>1264</v>
      </c>
      <c r="K11911" s="27" t="s">
        <v>42</v>
      </c>
      <c r="L11911" s="27"/>
    </row>
    <row r="11912" customFormat="false" ht="15" hidden="false" customHeight="false" outlineLevel="0" collapsed="false">
      <c r="A11912" s="26" t="s">
        <v>28739</v>
      </c>
      <c r="B11912" s="27" t="s">
        <v>28740</v>
      </c>
      <c r="C11912" s="27" t="s">
        <v>144</v>
      </c>
      <c r="D11912" s="26"/>
      <c r="E11912" s="27"/>
      <c r="F11912" s="27"/>
      <c r="G11912" s="27" t="s">
        <v>11122</v>
      </c>
      <c r="H11912" s="27" t="s">
        <v>35</v>
      </c>
      <c r="I11912" s="27" t="s">
        <v>41</v>
      </c>
      <c r="J11912" s="28" t="s">
        <v>1264</v>
      </c>
      <c r="K11912" s="27" t="s">
        <v>42</v>
      </c>
      <c r="L11912" s="27"/>
    </row>
    <row r="11913" customFormat="false" ht="15" hidden="false" customHeight="false" outlineLevel="0" collapsed="false">
      <c r="A11913" s="26" t="s">
        <v>28741</v>
      </c>
      <c r="B11913" s="27" t="s">
        <v>28742</v>
      </c>
      <c r="C11913" s="27" t="s">
        <v>144</v>
      </c>
      <c r="D11913" s="26"/>
      <c r="E11913" s="27"/>
      <c r="F11913" s="27"/>
      <c r="G11913" s="27" t="s">
        <v>11122</v>
      </c>
      <c r="H11913" s="27" t="s">
        <v>35</v>
      </c>
      <c r="I11913" s="28" t="s">
        <v>46</v>
      </c>
      <c r="J11913" s="28" t="s">
        <v>1264</v>
      </c>
      <c r="K11913" s="27" t="s">
        <v>42</v>
      </c>
      <c r="L11913" s="27"/>
    </row>
    <row r="11914" customFormat="false" ht="15" hidden="false" customHeight="false" outlineLevel="0" collapsed="false">
      <c r="A11914" s="26" t="s">
        <v>28743</v>
      </c>
      <c r="B11914" s="27" t="s">
        <v>28744</v>
      </c>
      <c r="C11914" s="27" t="s">
        <v>144</v>
      </c>
      <c r="D11914" s="26"/>
      <c r="E11914" s="27"/>
      <c r="F11914" s="27"/>
      <c r="G11914" s="27" t="s">
        <v>11122</v>
      </c>
      <c r="H11914" s="27" t="s">
        <v>35</v>
      </c>
      <c r="I11914" s="27" t="s">
        <v>48</v>
      </c>
      <c r="J11914" s="28" t="s">
        <v>1264</v>
      </c>
      <c r="K11914" s="27" t="s">
        <v>42</v>
      </c>
      <c r="L11914" s="27"/>
    </row>
    <row r="11915" customFormat="false" ht="15" hidden="false" customHeight="false" outlineLevel="0" collapsed="false">
      <c r="A11915" s="26" t="s">
        <v>28745</v>
      </c>
      <c r="B11915" s="27" t="s">
        <v>28746</v>
      </c>
      <c r="C11915" s="27" t="s">
        <v>144</v>
      </c>
      <c r="D11915" s="26"/>
      <c r="E11915" s="27"/>
      <c r="F11915" s="27"/>
      <c r="G11915" s="27" t="s">
        <v>11122</v>
      </c>
      <c r="H11915" s="27" t="s">
        <v>35</v>
      </c>
      <c r="I11915" s="27" t="s">
        <v>40</v>
      </c>
      <c r="J11915" s="28" t="s">
        <v>1264</v>
      </c>
      <c r="K11915" s="27" t="s">
        <v>42</v>
      </c>
      <c r="L11915" s="27"/>
    </row>
    <row r="11916" customFormat="false" ht="15" hidden="false" customHeight="false" outlineLevel="0" collapsed="false">
      <c r="A11916" s="26" t="s">
        <v>28747</v>
      </c>
      <c r="B11916" s="27" t="s">
        <v>28748</v>
      </c>
      <c r="C11916" s="27" t="s">
        <v>144</v>
      </c>
      <c r="D11916" s="26"/>
      <c r="E11916" s="27"/>
      <c r="F11916" s="27"/>
      <c r="G11916" s="27" t="s">
        <v>11122</v>
      </c>
      <c r="H11916" s="27" t="s">
        <v>35</v>
      </c>
      <c r="I11916" s="27" t="s">
        <v>41</v>
      </c>
      <c r="J11916" s="28" t="s">
        <v>1264</v>
      </c>
      <c r="K11916" s="27" t="s">
        <v>42</v>
      </c>
      <c r="L11916" s="27"/>
    </row>
    <row r="11917" customFormat="false" ht="15" hidden="false" customHeight="false" outlineLevel="0" collapsed="false">
      <c r="A11917" s="26" t="s">
        <v>28749</v>
      </c>
      <c r="B11917" s="27" t="s">
        <v>28750</v>
      </c>
      <c r="C11917" s="27" t="s">
        <v>144</v>
      </c>
      <c r="D11917" s="26"/>
      <c r="E11917" s="27"/>
      <c r="F11917" s="27"/>
      <c r="G11917" s="27" t="s">
        <v>11122</v>
      </c>
      <c r="H11917" s="27" t="s">
        <v>35</v>
      </c>
      <c r="I11917" s="27" t="s">
        <v>41</v>
      </c>
      <c r="J11917" s="28" t="s">
        <v>1264</v>
      </c>
      <c r="K11917" s="27" t="s">
        <v>42</v>
      </c>
      <c r="L11917" s="27"/>
    </row>
    <row r="11918" customFormat="false" ht="15" hidden="false" customHeight="false" outlineLevel="0" collapsed="false">
      <c r="A11918" s="26" t="s">
        <v>28751</v>
      </c>
      <c r="B11918" s="27" t="s">
        <v>28752</v>
      </c>
      <c r="C11918" s="27" t="s">
        <v>144</v>
      </c>
      <c r="D11918" s="26"/>
      <c r="E11918" s="27"/>
      <c r="F11918" s="27"/>
      <c r="G11918" s="27" t="s">
        <v>11122</v>
      </c>
      <c r="H11918" s="27" t="s">
        <v>35</v>
      </c>
      <c r="I11918" s="27" t="s">
        <v>40</v>
      </c>
      <c r="J11918" s="28" t="s">
        <v>1264</v>
      </c>
      <c r="K11918" s="27" t="s">
        <v>42</v>
      </c>
      <c r="L11918" s="27"/>
    </row>
    <row r="11919" customFormat="false" ht="15" hidden="false" customHeight="false" outlineLevel="0" collapsed="false">
      <c r="A11919" s="26" t="s">
        <v>28753</v>
      </c>
      <c r="B11919" s="27" t="s">
        <v>28754</v>
      </c>
      <c r="C11919" s="27" t="s">
        <v>144</v>
      </c>
      <c r="D11919" s="26"/>
      <c r="E11919" s="27"/>
      <c r="F11919" s="27"/>
      <c r="G11919" s="27" t="s">
        <v>11122</v>
      </c>
      <c r="H11919" s="27" t="s">
        <v>35</v>
      </c>
      <c r="I11919" s="27" t="s">
        <v>40</v>
      </c>
      <c r="J11919" s="28" t="s">
        <v>1264</v>
      </c>
      <c r="K11919" s="27" t="s">
        <v>42</v>
      </c>
      <c r="L11919" s="27"/>
    </row>
    <row r="11920" customFormat="false" ht="15" hidden="false" customHeight="false" outlineLevel="0" collapsed="false">
      <c r="A11920" s="26" t="s">
        <v>28755</v>
      </c>
      <c r="B11920" s="27" t="s">
        <v>28756</v>
      </c>
      <c r="C11920" s="27" t="s">
        <v>144</v>
      </c>
      <c r="D11920" s="26"/>
      <c r="E11920" s="27"/>
      <c r="F11920" s="27"/>
      <c r="G11920" s="27" t="s">
        <v>11122</v>
      </c>
      <c r="H11920" s="27" t="s">
        <v>35</v>
      </c>
      <c r="I11920" s="27" t="s">
        <v>48</v>
      </c>
      <c r="J11920" s="28" t="s">
        <v>1264</v>
      </c>
      <c r="K11920" s="27" t="s">
        <v>42</v>
      </c>
      <c r="L11920" s="27"/>
    </row>
    <row r="11921" customFormat="false" ht="15" hidden="false" customHeight="false" outlineLevel="0" collapsed="false">
      <c r="A11921" s="26" t="s">
        <v>28757</v>
      </c>
      <c r="B11921" s="27" t="s">
        <v>28758</v>
      </c>
      <c r="C11921" s="27" t="s">
        <v>144</v>
      </c>
      <c r="D11921" s="26"/>
      <c r="E11921" s="27"/>
      <c r="F11921" s="27"/>
      <c r="G11921" s="27" t="s">
        <v>11122</v>
      </c>
      <c r="H11921" s="27" t="s">
        <v>35</v>
      </c>
      <c r="I11921" s="27" t="s">
        <v>43</v>
      </c>
      <c r="J11921" s="28" t="s">
        <v>1264</v>
      </c>
      <c r="K11921" s="27" t="s">
        <v>42</v>
      </c>
      <c r="L11921" s="27"/>
    </row>
    <row r="11922" customFormat="false" ht="15" hidden="false" customHeight="false" outlineLevel="0" collapsed="false">
      <c r="A11922" s="26" t="s">
        <v>28759</v>
      </c>
      <c r="B11922" s="27" t="s">
        <v>28760</v>
      </c>
      <c r="C11922" s="27" t="s">
        <v>144</v>
      </c>
      <c r="D11922" s="26"/>
      <c r="E11922" s="27"/>
      <c r="F11922" s="27"/>
      <c r="G11922" s="27" t="s">
        <v>11122</v>
      </c>
      <c r="H11922" s="27" t="s">
        <v>35</v>
      </c>
      <c r="I11922" s="27" t="s">
        <v>41</v>
      </c>
      <c r="J11922" s="28" t="s">
        <v>1264</v>
      </c>
      <c r="K11922" s="27" t="s">
        <v>42</v>
      </c>
      <c r="L11922" s="27"/>
    </row>
    <row r="11923" customFormat="false" ht="15" hidden="false" customHeight="false" outlineLevel="0" collapsed="false">
      <c r="A11923" s="26" t="s">
        <v>28761</v>
      </c>
      <c r="B11923" s="27" t="s">
        <v>28762</v>
      </c>
      <c r="C11923" s="27" t="s">
        <v>144</v>
      </c>
      <c r="D11923" s="26"/>
      <c r="E11923" s="27"/>
      <c r="F11923" s="27"/>
      <c r="G11923" s="27" t="s">
        <v>11122</v>
      </c>
      <c r="H11923" s="27" t="s">
        <v>35</v>
      </c>
      <c r="I11923" s="27" t="s">
        <v>41</v>
      </c>
      <c r="J11923" s="28" t="s">
        <v>1264</v>
      </c>
      <c r="K11923" s="27" t="s">
        <v>42</v>
      </c>
      <c r="L11923" s="27"/>
    </row>
    <row r="11924" customFormat="false" ht="15" hidden="false" customHeight="false" outlineLevel="0" collapsed="false">
      <c r="A11924" s="26" t="s">
        <v>28763</v>
      </c>
      <c r="B11924" s="27" t="s">
        <v>28764</v>
      </c>
      <c r="C11924" s="27" t="s">
        <v>144</v>
      </c>
      <c r="D11924" s="26"/>
      <c r="E11924" s="27"/>
      <c r="F11924" s="27"/>
      <c r="G11924" s="27" t="s">
        <v>11122</v>
      </c>
      <c r="H11924" s="27" t="s">
        <v>35</v>
      </c>
      <c r="I11924" s="27" t="s">
        <v>38</v>
      </c>
      <c r="J11924" s="28" t="s">
        <v>1264</v>
      </c>
      <c r="K11924" s="27" t="s">
        <v>42</v>
      </c>
      <c r="L11924" s="27"/>
    </row>
    <row r="11925" customFormat="false" ht="15" hidden="false" customHeight="false" outlineLevel="0" collapsed="false">
      <c r="A11925" s="26" t="s">
        <v>28765</v>
      </c>
      <c r="B11925" s="27" t="s">
        <v>28766</v>
      </c>
      <c r="C11925" s="27" t="s">
        <v>144</v>
      </c>
      <c r="D11925" s="26"/>
      <c r="E11925" s="27"/>
      <c r="F11925" s="27"/>
      <c r="G11925" s="27" t="s">
        <v>11122</v>
      </c>
      <c r="H11925" s="27" t="s">
        <v>35</v>
      </c>
      <c r="I11925" s="27" t="s">
        <v>48</v>
      </c>
      <c r="J11925" s="28" t="s">
        <v>1264</v>
      </c>
      <c r="K11925" s="27" t="s">
        <v>42</v>
      </c>
      <c r="L11925" s="27"/>
    </row>
    <row r="11926" customFormat="false" ht="15" hidden="false" customHeight="false" outlineLevel="0" collapsed="false">
      <c r="A11926" s="26" t="s">
        <v>28767</v>
      </c>
      <c r="B11926" s="27" t="s">
        <v>28768</v>
      </c>
      <c r="C11926" s="27" t="s">
        <v>144</v>
      </c>
      <c r="D11926" s="26"/>
      <c r="E11926" s="27"/>
      <c r="F11926" s="27"/>
      <c r="G11926" s="27" t="s">
        <v>11122</v>
      </c>
      <c r="H11926" s="27" t="s">
        <v>35</v>
      </c>
      <c r="I11926" s="27" t="s">
        <v>42</v>
      </c>
      <c r="J11926" s="28" t="s">
        <v>1268</v>
      </c>
      <c r="K11926" s="27" t="s">
        <v>42</v>
      </c>
      <c r="L11926" s="27"/>
    </row>
    <row r="11927" customFormat="false" ht="15" hidden="false" customHeight="false" outlineLevel="0" collapsed="false">
      <c r="A11927" s="26" t="s">
        <v>28769</v>
      </c>
      <c r="B11927" s="27" t="s">
        <v>28770</v>
      </c>
      <c r="C11927" s="27" t="s">
        <v>144</v>
      </c>
      <c r="D11927" s="26"/>
      <c r="E11927" s="27"/>
      <c r="F11927" s="27"/>
      <c r="G11927" s="27" t="s">
        <v>11122</v>
      </c>
      <c r="H11927" s="27" t="s">
        <v>35</v>
      </c>
      <c r="I11927" s="27" t="s">
        <v>42</v>
      </c>
      <c r="J11927" s="28" t="s">
        <v>1268</v>
      </c>
      <c r="K11927" s="27" t="s">
        <v>42</v>
      </c>
      <c r="L11927" s="27"/>
    </row>
    <row r="11928" customFormat="false" ht="15" hidden="false" customHeight="false" outlineLevel="0" collapsed="false">
      <c r="A11928" s="26" t="s">
        <v>28771</v>
      </c>
      <c r="B11928" s="27" t="s">
        <v>28772</v>
      </c>
      <c r="C11928" s="27" t="s">
        <v>144</v>
      </c>
      <c r="D11928" s="26"/>
      <c r="E11928" s="27"/>
      <c r="F11928" s="27"/>
      <c r="G11928" s="27" t="s">
        <v>11122</v>
      </c>
      <c r="H11928" s="27" t="s">
        <v>35</v>
      </c>
      <c r="I11928" s="27" t="s">
        <v>42</v>
      </c>
      <c r="J11928" s="28" t="s">
        <v>1268</v>
      </c>
      <c r="K11928" s="27" t="s">
        <v>42</v>
      </c>
      <c r="L11928" s="27"/>
    </row>
    <row r="11929" customFormat="false" ht="15" hidden="false" customHeight="false" outlineLevel="0" collapsed="false">
      <c r="A11929" s="26" t="s">
        <v>28773</v>
      </c>
      <c r="B11929" s="27" t="s">
        <v>28774</v>
      </c>
      <c r="C11929" s="27" t="s">
        <v>144</v>
      </c>
      <c r="D11929" s="26"/>
      <c r="E11929" s="27"/>
      <c r="F11929" s="27"/>
      <c r="G11929" s="27" t="s">
        <v>11122</v>
      </c>
      <c r="H11929" s="27" t="s">
        <v>35</v>
      </c>
      <c r="I11929" s="27" t="s">
        <v>44</v>
      </c>
      <c r="J11929" s="28" t="s">
        <v>1268</v>
      </c>
      <c r="K11929" s="27" t="s">
        <v>42</v>
      </c>
      <c r="L11929" s="27"/>
    </row>
    <row r="11930" customFormat="false" ht="15" hidden="false" customHeight="false" outlineLevel="0" collapsed="false">
      <c r="A11930" s="26" t="s">
        <v>28775</v>
      </c>
      <c r="B11930" s="27" t="s">
        <v>28776</v>
      </c>
      <c r="C11930" s="27" t="s">
        <v>144</v>
      </c>
      <c r="D11930" s="26"/>
      <c r="E11930" s="27"/>
      <c r="F11930" s="27"/>
      <c r="G11930" s="27" t="s">
        <v>11122</v>
      </c>
      <c r="H11930" s="27" t="s">
        <v>35</v>
      </c>
      <c r="I11930" s="27" t="s">
        <v>39</v>
      </c>
      <c r="J11930" s="28" t="s">
        <v>1268</v>
      </c>
      <c r="K11930" s="27" t="s">
        <v>42</v>
      </c>
      <c r="L11930" s="27"/>
    </row>
    <row r="11931" customFormat="false" ht="15" hidden="false" customHeight="false" outlineLevel="0" collapsed="false">
      <c r="A11931" s="26" t="s">
        <v>28777</v>
      </c>
      <c r="B11931" s="27" t="s">
        <v>28778</v>
      </c>
      <c r="C11931" s="27" t="s">
        <v>144</v>
      </c>
      <c r="D11931" s="26"/>
      <c r="E11931" s="27"/>
      <c r="F11931" s="27"/>
      <c r="G11931" s="27" t="s">
        <v>11122</v>
      </c>
      <c r="H11931" s="27" t="s">
        <v>35</v>
      </c>
      <c r="I11931" s="28" t="s">
        <v>50</v>
      </c>
      <c r="J11931" s="28" t="s">
        <v>1268</v>
      </c>
      <c r="K11931" s="27" t="s">
        <v>42</v>
      </c>
      <c r="L11931" s="27"/>
    </row>
    <row r="11932" customFormat="false" ht="15" hidden="false" customHeight="false" outlineLevel="0" collapsed="false">
      <c r="A11932" s="26" t="s">
        <v>28779</v>
      </c>
      <c r="B11932" s="27" t="s">
        <v>28780</v>
      </c>
      <c r="C11932" s="27" t="s">
        <v>144</v>
      </c>
      <c r="D11932" s="26"/>
      <c r="E11932" s="27"/>
      <c r="F11932" s="27"/>
      <c r="G11932" s="27" t="s">
        <v>11122</v>
      </c>
      <c r="H11932" s="27" t="s">
        <v>35</v>
      </c>
      <c r="I11932" s="27" t="s">
        <v>41</v>
      </c>
      <c r="J11932" s="28" t="s">
        <v>1268</v>
      </c>
      <c r="K11932" s="27" t="s">
        <v>42</v>
      </c>
      <c r="L11932" s="27"/>
    </row>
    <row r="11933" customFormat="false" ht="15" hidden="false" customHeight="false" outlineLevel="0" collapsed="false">
      <c r="A11933" s="26" t="s">
        <v>28781</v>
      </c>
      <c r="B11933" s="27" t="s">
        <v>28782</v>
      </c>
      <c r="C11933" s="27" t="s">
        <v>144</v>
      </c>
      <c r="D11933" s="26"/>
      <c r="E11933" s="27"/>
      <c r="F11933" s="27"/>
      <c r="G11933" s="27" t="s">
        <v>11122</v>
      </c>
      <c r="H11933" s="27" t="s">
        <v>35</v>
      </c>
      <c r="I11933" s="27" t="s">
        <v>42</v>
      </c>
      <c r="J11933" s="28" t="s">
        <v>1268</v>
      </c>
      <c r="K11933" s="27" t="s">
        <v>42</v>
      </c>
      <c r="L11933" s="27"/>
    </row>
    <row r="11934" customFormat="false" ht="15" hidden="false" customHeight="false" outlineLevel="0" collapsed="false">
      <c r="A11934" s="26" t="s">
        <v>28783</v>
      </c>
      <c r="B11934" s="27" t="s">
        <v>28784</v>
      </c>
      <c r="C11934" s="27" t="s">
        <v>144</v>
      </c>
      <c r="D11934" s="26"/>
      <c r="E11934" s="27"/>
      <c r="F11934" s="27"/>
      <c r="G11934" s="27" t="s">
        <v>11122</v>
      </c>
      <c r="H11934" s="27" t="s">
        <v>35</v>
      </c>
      <c r="I11934" s="27" t="s">
        <v>44</v>
      </c>
      <c r="J11934" s="28" t="s">
        <v>1268</v>
      </c>
      <c r="K11934" s="27" t="s">
        <v>42</v>
      </c>
      <c r="L11934" s="27"/>
    </row>
    <row r="11935" customFormat="false" ht="15" hidden="false" customHeight="false" outlineLevel="0" collapsed="false">
      <c r="A11935" s="26" t="s">
        <v>28785</v>
      </c>
      <c r="B11935" s="27" t="s">
        <v>28786</v>
      </c>
      <c r="C11935" s="27" t="s">
        <v>137</v>
      </c>
      <c r="D11935" s="26"/>
      <c r="E11935" s="27"/>
      <c r="F11935" s="27"/>
      <c r="G11935" s="27" t="s">
        <v>11122</v>
      </c>
      <c r="H11935" s="27" t="s">
        <v>35</v>
      </c>
      <c r="I11935" s="27" t="s">
        <v>3271</v>
      </c>
      <c r="J11935" s="28" t="s">
        <v>1268</v>
      </c>
      <c r="K11935" s="27" t="s">
        <v>42</v>
      </c>
      <c r="L11935" s="27"/>
    </row>
    <row r="11936" customFormat="false" ht="15" hidden="false" customHeight="false" outlineLevel="0" collapsed="false">
      <c r="A11936" s="26" t="s">
        <v>28787</v>
      </c>
      <c r="B11936" s="27" t="s">
        <v>28788</v>
      </c>
      <c r="C11936" s="27" t="s">
        <v>144</v>
      </c>
      <c r="D11936" s="26"/>
      <c r="E11936" s="27"/>
      <c r="F11936" s="27"/>
      <c r="G11936" s="27" t="s">
        <v>11122</v>
      </c>
      <c r="H11936" s="27" t="s">
        <v>35</v>
      </c>
      <c r="I11936" s="27" t="s">
        <v>42</v>
      </c>
      <c r="J11936" s="28" t="s">
        <v>1268</v>
      </c>
      <c r="K11936" s="27" t="s">
        <v>42</v>
      </c>
      <c r="L11936" s="27"/>
    </row>
    <row r="11937" customFormat="false" ht="15" hidden="false" customHeight="false" outlineLevel="0" collapsed="false">
      <c r="A11937" s="26" t="s">
        <v>28789</v>
      </c>
      <c r="B11937" s="27" t="s">
        <v>28790</v>
      </c>
      <c r="C11937" s="27" t="s">
        <v>144</v>
      </c>
      <c r="D11937" s="26"/>
      <c r="E11937" s="27"/>
      <c r="F11937" s="27"/>
      <c r="G11937" s="27" t="s">
        <v>11122</v>
      </c>
      <c r="H11937" s="27" t="s">
        <v>35</v>
      </c>
      <c r="I11937" s="27" t="s">
        <v>44</v>
      </c>
      <c r="J11937" s="28" t="s">
        <v>1268</v>
      </c>
      <c r="K11937" s="27" t="s">
        <v>42</v>
      </c>
      <c r="L11937" s="27"/>
    </row>
    <row r="11938" customFormat="false" ht="15" hidden="false" customHeight="false" outlineLevel="0" collapsed="false">
      <c r="A11938" s="26" t="s">
        <v>28791</v>
      </c>
      <c r="B11938" s="27" t="s">
        <v>28792</v>
      </c>
      <c r="C11938" s="27" t="s">
        <v>144</v>
      </c>
      <c r="D11938" s="26"/>
      <c r="E11938" s="27"/>
      <c r="F11938" s="27"/>
      <c r="G11938" s="27" t="s">
        <v>11122</v>
      </c>
      <c r="H11938" s="27" t="s">
        <v>35</v>
      </c>
      <c r="I11938" s="27" t="s">
        <v>42</v>
      </c>
      <c r="J11938" s="28" t="s">
        <v>1268</v>
      </c>
      <c r="K11938" s="27" t="s">
        <v>42</v>
      </c>
      <c r="L11938" s="27"/>
    </row>
    <row r="11939" customFormat="false" ht="15" hidden="false" customHeight="false" outlineLevel="0" collapsed="false">
      <c r="A11939" s="26" t="s">
        <v>28793</v>
      </c>
      <c r="B11939" s="27" t="s">
        <v>28794</v>
      </c>
      <c r="C11939" s="27" t="s">
        <v>144</v>
      </c>
      <c r="D11939" s="26"/>
      <c r="E11939" s="27"/>
      <c r="F11939" s="27"/>
      <c r="G11939" s="27" t="s">
        <v>11122</v>
      </c>
      <c r="H11939" s="27" t="s">
        <v>35</v>
      </c>
      <c r="I11939" s="27" t="s">
        <v>44</v>
      </c>
      <c r="J11939" s="28" t="s">
        <v>1268</v>
      </c>
      <c r="K11939" s="27" t="s">
        <v>42</v>
      </c>
      <c r="L11939" s="27"/>
    </row>
    <row r="11940" customFormat="false" ht="15" hidden="false" customHeight="false" outlineLevel="0" collapsed="false">
      <c r="A11940" s="26" t="s">
        <v>28795</v>
      </c>
      <c r="B11940" s="27" t="s">
        <v>28796</v>
      </c>
      <c r="C11940" s="27" t="s">
        <v>144</v>
      </c>
      <c r="D11940" s="26"/>
      <c r="E11940" s="27"/>
      <c r="F11940" s="27"/>
      <c r="G11940" s="27" t="s">
        <v>11122</v>
      </c>
      <c r="H11940" s="27" t="s">
        <v>35</v>
      </c>
      <c r="I11940" s="27" t="s">
        <v>37</v>
      </c>
      <c r="J11940" s="28" t="s">
        <v>1268</v>
      </c>
      <c r="K11940" s="27" t="s">
        <v>42</v>
      </c>
      <c r="L11940" s="27"/>
    </row>
    <row r="11941" customFormat="false" ht="15" hidden="false" customHeight="false" outlineLevel="0" collapsed="false">
      <c r="A11941" s="26" t="s">
        <v>28797</v>
      </c>
      <c r="B11941" s="27" t="s">
        <v>28798</v>
      </c>
      <c r="C11941" s="27" t="s">
        <v>144</v>
      </c>
      <c r="D11941" s="26"/>
      <c r="E11941" s="27"/>
      <c r="F11941" s="27"/>
      <c r="G11941" s="27" t="s">
        <v>11122</v>
      </c>
      <c r="H11941" s="27" t="s">
        <v>35</v>
      </c>
      <c r="I11941" s="27" t="s">
        <v>44</v>
      </c>
      <c r="J11941" s="28" t="s">
        <v>1268</v>
      </c>
      <c r="K11941" s="27" t="s">
        <v>42</v>
      </c>
      <c r="L11941" s="27"/>
    </row>
    <row r="11942" customFormat="false" ht="15" hidden="false" customHeight="false" outlineLevel="0" collapsed="false">
      <c r="A11942" s="26" t="s">
        <v>28799</v>
      </c>
      <c r="B11942" s="27" t="s">
        <v>28800</v>
      </c>
      <c r="C11942" s="27" t="s">
        <v>144</v>
      </c>
      <c r="D11942" s="26"/>
      <c r="E11942" s="27"/>
      <c r="F11942" s="27"/>
      <c r="G11942" s="27" t="s">
        <v>11122</v>
      </c>
      <c r="H11942" s="27" t="s">
        <v>35</v>
      </c>
      <c r="I11942" s="27" t="s">
        <v>42</v>
      </c>
      <c r="J11942" s="28" t="s">
        <v>1268</v>
      </c>
      <c r="K11942" s="27" t="s">
        <v>42</v>
      </c>
      <c r="L11942" s="27"/>
    </row>
    <row r="11943" customFormat="false" ht="15" hidden="false" customHeight="false" outlineLevel="0" collapsed="false">
      <c r="A11943" s="26" t="s">
        <v>28801</v>
      </c>
      <c r="B11943" s="27" t="s">
        <v>28802</v>
      </c>
      <c r="C11943" s="27" t="s">
        <v>144</v>
      </c>
      <c r="D11943" s="26"/>
      <c r="E11943" s="27"/>
      <c r="F11943" s="27"/>
      <c r="G11943" s="27" t="s">
        <v>11122</v>
      </c>
      <c r="H11943" s="27" t="s">
        <v>35</v>
      </c>
      <c r="I11943" s="27" t="s">
        <v>42</v>
      </c>
      <c r="J11943" s="28" t="s">
        <v>1268</v>
      </c>
      <c r="K11943" s="27" t="s">
        <v>42</v>
      </c>
      <c r="L11943" s="27"/>
    </row>
    <row r="11944" customFormat="false" ht="15" hidden="false" customHeight="false" outlineLevel="0" collapsed="false">
      <c r="A11944" s="26" t="s">
        <v>28803</v>
      </c>
      <c r="B11944" s="27" t="s">
        <v>28804</v>
      </c>
      <c r="C11944" s="27" t="s">
        <v>144</v>
      </c>
      <c r="D11944" s="26"/>
      <c r="E11944" s="27"/>
      <c r="F11944" s="27"/>
      <c r="G11944" s="27" t="s">
        <v>11122</v>
      </c>
      <c r="H11944" s="27" t="s">
        <v>35</v>
      </c>
      <c r="I11944" s="27" t="s">
        <v>42</v>
      </c>
      <c r="J11944" s="28" t="s">
        <v>1268</v>
      </c>
      <c r="K11944" s="27" t="s">
        <v>42</v>
      </c>
      <c r="L11944" s="27"/>
    </row>
    <row r="11945" customFormat="false" ht="15" hidden="false" customHeight="false" outlineLevel="0" collapsed="false">
      <c r="A11945" s="26" t="s">
        <v>28805</v>
      </c>
      <c r="B11945" s="27" t="s">
        <v>28806</v>
      </c>
      <c r="C11945" s="27" t="s">
        <v>144</v>
      </c>
      <c r="D11945" s="26"/>
      <c r="E11945" s="27"/>
      <c r="F11945" s="27"/>
      <c r="G11945" s="27" t="s">
        <v>11122</v>
      </c>
      <c r="H11945" s="27" t="s">
        <v>35</v>
      </c>
      <c r="I11945" s="27" t="s">
        <v>42</v>
      </c>
      <c r="J11945" s="28" t="s">
        <v>1268</v>
      </c>
      <c r="K11945" s="27" t="s">
        <v>42</v>
      </c>
      <c r="L11945" s="27"/>
    </row>
    <row r="11946" customFormat="false" ht="15" hidden="false" customHeight="false" outlineLevel="0" collapsed="false">
      <c r="A11946" s="26" t="s">
        <v>28807</v>
      </c>
      <c r="B11946" s="27" t="s">
        <v>28808</v>
      </c>
      <c r="C11946" s="27" t="s">
        <v>144</v>
      </c>
      <c r="D11946" s="26"/>
      <c r="E11946" s="27"/>
      <c r="F11946" s="27"/>
      <c r="G11946" s="27" t="s">
        <v>11122</v>
      </c>
      <c r="H11946" s="27" t="s">
        <v>35</v>
      </c>
      <c r="I11946" s="27" t="s">
        <v>39</v>
      </c>
      <c r="J11946" s="28" t="s">
        <v>1268</v>
      </c>
      <c r="K11946" s="27" t="s">
        <v>42</v>
      </c>
      <c r="L11946" s="27"/>
    </row>
    <row r="11947" customFormat="false" ht="15" hidden="false" customHeight="false" outlineLevel="0" collapsed="false">
      <c r="A11947" s="26" t="s">
        <v>28809</v>
      </c>
      <c r="B11947" s="27" t="s">
        <v>28810</v>
      </c>
      <c r="C11947" s="27" t="s">
        <v>144</v>
      </c>
      <c r="D11947" s="26"/>
      <c r="E11947" s="27"/>
      <c r="F11947" s="27"/>
      <c r="G11947" s="27" t="s">
        <v>11122</v>
      </c>
      <c r="H11947" s="27" t="s">
        <v>35</v>
      </c>
      <c r="I11947" s="27" t="s">
        <v>44</v>
      </c>
      <c r="J11947" s="28" t="s">
        <v>1268</v>
      </c>
      <c r="K11947" s="27" t="s">
        <v>42</v>
      </c>
      <c r="L11947" s="27"/>
    </row>
    <row r="11948" customFormat="false" ht="15" hidden="false" customHeight="false" outlineLevel="0" collapsed="false">
      <c r="A11948" s="26" t="s">
        <v>28811</v>
      </c>
      <c r="B11948" s="27" t="s">
        <v>28812</v>
      </c>
      <c r="C11948" s="27" t="s">
        <v>144</v>
      </c>
      <c r="D11948" s="26"/>
      <c r="E11948" s="27"/>
      <c r="F11948" s="27"/>
      <c r="G11948" s="27" t="s">
        <v>11122</v>
      </c>
      <c r="H11948" s="27" t="s">
        <v>35</v>
      </c>
      <c r="I11948" s="27" t="s">
        <v>44</v>
      </c>
      <c r="J11948" s="28" t="s">
        <v>1268</v>
      </c>
      <c r="K11948" s="27" t="s">
        <v>42</v>
      </c>
      <c r="L11948" s="27"/>
    </row>
    <row r="11949" customFormat="false" ht="15" hidden="false" customHeight="false" outlineLevel="0" collapsed="false">
      <c r="A11949" s="26" t="s">
        <v>28813</v>
      </c>
      <c r="B11949" s="27" t="s">
        <v>28814</v>
      </c>
      <c r="C11949" s="27" t="s">
        <v>144</v>
      </c>
      <c r="D11949" s="26"/>
      <c r="E11949" s="27"/>
      <c r="F11949" s="27"/>
      <c r="G11949" s="27" t="s">
        <v>11122</v>
      </c>
      <c r="H11949" s="27" t="s">
        <v>35</v>
      </c>
      <c r="I11949" s="27" t="s">
        <v>42</v>
      </c>
      <c r="J11949" s="28" t="s">
        <v>1268</v>
      </c>
      <c r="K11949" s="27" t="s">
        <v>42</v>
      </c>
      <c r="L11949" s="27"/>
    </row>
    <row r="11950" customFormat="false" ht="15" hidden="false" customHeight="false" outlineLevel="0" collapsed="false">
      <c r="A11950" s="26" t="s">
        <v>28815</v>
      </c>
      <c r="B11950" s="27" t="s">
        <v>28816</v>
      </c>
      <c r="C11950" s="27" t="s">
        <v>144</v>
      </c>
      <c r="D11950" s="26"/>
      <c r="E11950" s="27"/>
      <c r="F11950" s="27"/>
      <c r="G11950" s="27" t="s">
        <v>11122</v>
      </c>
      <c r="H11950" s="27" t="s">
        <v>35</v>
      </c>
      <c r="I11950" s="27" t="s">
        <v>42</v>
      </c>
      <c r="J11950" s="28" t="s">
        <v>1268</v>
      </c>
      <c r="K11950" s="27" t="s">
        <v>42</v>
      </c>
      <c r="L11950" s="27"/>
    </row>
    <row r="11951" customFormat="false" ht="15" hidden="false" customHeight="false" outlineLevel="0" collapsed="false">
      <c r="A11951" s="26" t="s">
        <v>28817</v>
      </c>
      <c r="B11951" s="27" t="s">
        <v>28818</v>
      </c>
      <c r="C11951" s="27" t="s">
        <v>144</v>
      </c>
      <c r="D11951" s="26"/>
      <c r="E11951" s="27"/>
      <c r="F11951" s="27"/>
      <c r="G11951" s="27" t="s">
        <v>11122</v>
      </c>
      <c r="H11951" s="27" t="s">
        <v>35</v>
      </c>
      <c r="I11951" s="27" t="s">
        <v>42</v>
      </c>
      <c r="J11951" s="28" t="s">
        <v>1268</v>
      </c>
      <c r="K11951" s="27" t="s">
        <v>42</v>
      </c>
      <c r="L11951" s="27"/>
    </row>
    <row r="11952" customFormat="false" ht="15" hidden="false" customHeight="false" outlineLevel="0" collapsed="false">
      <c r="A11952" s="26" t="s">
        <v>28819</v>
      </c>
      <c r="B11952" s="27" t="s">
        <v>28820</v>
      </c>
      <c r="C11952" s="27" t="s">
        <v>144</v>
      </c>
      <c r="D11952" s="26"/>
      <c r="E11952" s="27"/>
      <c r="F11952" s="27"/>
      <c r="G11952" s="27" t="s">
        <v>11122</v>
      </c>
      <c r="H11952" s="27" t="s">
        <v>35</v>
      </c>
      <c r="I11952" s="27" t="s">
        <v>1302</v>
      </c>
      <c r="J11952" s="28" t="s">
        <v>1268</v>
      </c>
      <c r="K11952" s="27" t="s">
        <v>42</v>
      </c>
      <c r="L11952" s="27"/>
    </row>
    <row r="11953" customFormat="false" ht="15" hidden="false" customHeight="false" outlineLevel="0" collapsed="false">
      <c r="A11953" s="26" t="s">
        <v>28821</v>
      </c>
      <c r="B11953" s="27" t="s">
        <v>28822</v>
      </c>
      <c r="C11953" s="27" t="s">
        <v>144</v>
      </c>
      <c r="D11953" s="26"/>
      <c r="E11953" s="27"/>
      <c r="F11953" s="27"/>
      <c r="G11953" s="27" t="s">
        <v>11122</v>
      </c>
      <c r="H11953" s="27" t="s">
        <v>35</v>
      </c>
      <c r="I11953" s="27" t="s">
        <v>44</v>
      </c>
      <c r="J11953" s="28" t="s">
        <v>1268</v>
      </c>
      <c r="K11953" s="27" t="s">
        <v>42</v>
      </c>
      <c r="L11953" s="27"/>
    </row>
    <row r="11954" customFormat="false" ht="15" hidden="false" customHeight="false" outlineLevel="0" collapsed="false">
      <c r="A11954" s="26" t="s">
        <v>28823</v>
      </c>
      <c r="B11954" s="27" t="s">
        <v>28824</v>
      </c>
      <c r="C11954" s="27" t="s">
        <v>144</v>
      </c>
      <c r="D11954" s="26"/>
      <c r="E11954" s="27"/>
      <c r="F11954" s="27"/>
      <c r="G11954" s="27" t="s">
        <v>11122</v>
      </c>
      <c r="H11954" s="27" t="s">
        <v>35</v>
      </c>
      <c r="I11954" s="27" t="s">
        <v>42</v>
      </c>
      <c r="J11954" s="28" t="s">
        <v>1268</v>
      </c>
      <c r="K11954" s="27" t="s">
        <v>42</v>
      </c>
      <c r="L11954" s="27"/>
    </row>
    <row r="11955" customFormat="false" ht="15" hidden="false" customHeight="false" outlineLevel="0" collapsed="false">
      <c r="A11955" s="26" t="s">
        <v>28825</v>
      </c>
      <c r="B11955" s="27" t="s">
        <v>28826</v>
      </c>
      <c r="C11955" s="27" t="s">
        <v>1087</v>
      </c>
      <c r="D11955" s="26"/>
      <c r="E11955" s="27"/>
      <c r="F11955" s="27"/>
      <c r="G11955" s="27" t="s">
        <v>11122</v>
      </c>
      <c r="H11955" s="27" t="s">
        <v>35</v>
      </c>
      <c r="I11955" s="27" t="s">
        <v>44</v>
      </c>
      <c r="J11955" s="28" t="s">
        <v>1268</v>
      </c>
      <c r="K11955" s="27" t="s">
        <v>42</v>
      </c>
      <c r="L11955" s="27"/>
    </row>
    <row r="11956" customFormat="false" ht="15" hidden="false" customHeight="false" outlineLevel="0" collapsed="false">
      <c r="A11956" s="26" t="s">
        <v>28827</v>
      </c>
      <c r="B11956" s="27" t="s">
        <v>28828</v>
      </c>
      <c r="C11956" s="27" t="s">
        <v>144</v>
      </c>
      <c r="D11956" s="26"/>
      <c r="E11956" s="27"/>
      <c r="F11956" s="27"/>
      <c r="G11956" s="27" t="s">
        <v>11122</v>
      </c>
      <c r="H11956" s="27" t="s">
        <v>35</v>
      </c>
      <c r="I11956" s="27" t="s">
        <v>44</v>
      </c>
      <c r="J11956" s="28" t="s">
        <v>1268</v>
      </c>
      <c r="K11956" s="27" t="s">
        <v>42</v>
      </c>
      <c r="L11956" s="27"/>
    </row>
    <row r="11957" customFormat="false" ht="15" hidden="false" customHeight="false" outlineLevel="0" collapsed="false">
      <c r="A11957" s="26" t="s">
        <v>28829</v>
      </c>
      <c r="B11957" s="27" t="s">
        <v>28830</v>
      </c>
      <c r="C11957" s="27" t="s">
        <v>1087</v>
      </c>
      <c r="D11957" s="26"/>
      <c r="E11957" s="27"/>
      <c r="F11957" s="27"/>
      <c r="G11957" s="27" t="s">
        <v>11122</v>
      </c>
      <c r="H11957" s="27" t="s">
        <v>35</v>
      </c>
      <c r="I11957" s="27" t="s">
        <v>44</v>
      </c>
      <c r="J11957" s="28" t="s">
        <v>1268</v>
      </c>
      <c r="K11957" s="27" t="s">
        <v>42</v>
      </c>
      <c r="L11957" s="27"/>
    </row>
    <row r="11958" customFormat="false" ht="15" hidden="false" customHeight="false" outlineLevel="0" collapsed="false">
      <c r="A11958" s="26" t="s">
        <v>28831</v>
      </c>
      <c r="B11958" s="27" t="s">
        <v>28832</v>
      </c>
      <c r="C11958" s="27" t="s">
        <v>144</v>
      </c>
      <c r="D11958" s="26"/>
      <c r="E11958" s="27"/>
      <c r="F11958" s="27"/>
      <c r="G11958" s="27" t="s">
        <v>11122</v>
      </c>
      <c r="H11958" s="27" t="s">
        <v>35</v>
      </c>
      <c r="I11958" s="27" t="s">
        <v>42</v>
      </c>
      <c r="J11958" s="28" t="s">
        <v>1268</v>
      </c>
      <c r="K11958" s="27" t="s">
        <v>42</v>
      </c>
      <c r="L11958" s="27"/>
    </row>
    <row r="11959" customFormat="false" ht="15" hidden="false" customHeight="false" outlineLevel="0" collapsed="false">
      <c r="A11959" s="26" t="s">
        <v>28833</v>
      </c>
      <c r="B11959" s="27" t="s">
        <v>28834</v>
      </c>
      <c r="C11959" s="27" t="s">
        <v>144</v>
      </c>
      <c r="D11959" s="26"/>
      <c r="E11959" s="27"/>
      <c r="F11959" s="27"/>
      <c r="G11959" s="27" t="s">
        <v>11122</v>
      </c>
      <c r="H11959" s="27" t="s">
        <v>35</v>
      </c>
      <c r="I11959" s="27" t="s">
        <v>38</v>
      </c>
      <c r="J11959" s="28" t="s">
        <v>1268</v>
      </c>
      <c r="K11959" s="27" t="s">
        <v>42</v>
      </c>
      <c r="L11959" s="27"/>
    </row>
    <row r="11960" customFormat="false" ht="15" hidden="false" customHeight="false" outlineLevel="0" collapsed="false">
      <c r="A11960" s="26" t="s">
        <v>28835</v>
      </c>
      <c r="B11960" s="27" t="s">
        <v>28836</v>
      </c>
      <c r="C11960" s="27" t="s">
        <v>144</v>
      </c>
      <c r="D11960" s="26"/>
      <c r="E11960" s="27"/>
      <c r="F11960" s="27"/>
      <c r="G11960" s="27" t="s">
        <v>11122</v>
      </c>
      <c r="H11960" s="27" t="s">
        <v>35</v>
      </c>
      <c r="I11960" s="27" t="s">
        <v>44</v>
      </c>
      <c r="J11960" s="28" t="s">
        <v>1268</v>
      </c>
      <c r="K11960" s="27" t="s">
        <v>42</v>
      </c>
      <c r="L11960" s="27"/>
    </row>
    <row r="11961" customFormat="false" ht="15" hidden="false" customHeight="false" outlineLevel="0" collapsed="false">
      <c r="A11961" s="26" t="s">
        <v>28837</v>
      </c>
      <c r="B11961" s="27" t="s">
        <v>28838</v>
      </c>
      <c r="C11961" s="27" t="s">
        <v>144</v>
      </c>
      <c r="D11961" s="26"/>
      <c r="E11961" s="27"/>
      <c r="F11961" s="27"/>
      <c r="G11961" s="27" t="s">
        <v>11122</v>
      </c>
      <c r="H11961" s="27" t="s">
        <v>35</v>
      </c>
      <c r="I11961" s="27" t="s">
        <v>44</v>
      </c>
      <c r="J11961" s="28" t="s">
        <v>1268</v>
      </c>
      <c r="K11961" s="27" t="s">
        <v>42</v>
      </c>
      <c r="L11961" s="27"/>
    </row>
    <row r="11962" customFormat="false" ht="15" hidden="false" customHeight="false" outlineLevel="0" collapsed="false">
      <c r="A11962" s="26" t="s">
        <v>28839</v>
      </c>
      <c r="B11962" s="27" t="s">
        <v>28840</v>
      </c>
      <c r="C11962" s="27" t="s">
        <v>144</v>
      </c>
      <c r="D11962" s="26"/>
      <c r="E11962" s="27"/>
      <c r="F11962" s="27"/>
      <c r="G11962" s="27" t="s">
        <v>11122</v>
      </c>
      <c r="H11962" s="27" t="s">
        <v>35</v>
      </c>
      <c r="I11962" s="27" t="s">
        <v>39</v>
      </c>
      <c r="J11962" s="28" t="s">
        <v>1268</v>
      </c>
      <c r="K11962" s="27" t="s">
        <v>42</v>
      </c>
      <c r="L11962" s="27"/>
    </row>
    <row r="11963" customFormat="false" ht="15" hidden="false" customHeight="false" outlineLevel="0" collapsed="false">
      <c r="A11963" s="26" t="s">
        <v>28841</v>
      </c>
      <c r="B11963" s="27" t="s">
        <v>28842</v>
      </c>
      <c r="C11963" s="27" t="s">
        <v>144</v>
      </c>
      <c r="D11963" s="26"/>
      <c r="E11963" s="27"/>
      <c r="F11963" s="27"/>
      <c r="G11963" s="27" t="s">
        <v>11122</v>
      </c>
      <c r="H11963" s="27" t="s">
        <v>35</v>
      </c>
      <c r="I11963" s="27" t="s">
        <v>42</v>
      </c>
      <c r="J11963" s="28" t="s">
        <v>1268</v>
      </c>
      <c r="K11963" s="27" t="s">
        <v>42</v>
      </c>
      <c r="L11963" s="27"/>
    </row>
    <row r="11964" customFormat="false" ht="15" hidden="false" customHeight="false" outlineLevel="0" collapsed="false">
      <c r="A11964" s="26" t="s">
        <v>28843</v>
      </c>
      <c r="B11964" s="27" t="s">
        <v>28844</v>
      </c>
      <c r="C11964" s="27" t="s">
        <v>144</v>
      </c>
      <c r="D11964" s="26"/>
      <c r="E11964" s="27"/>
      <c r="F11964" s="27"/>
      <c r="G11964" s="27" t="s">
        <v>11122</v>
      </c>
      <c r="H11964" s="27" t="s">
        <v>35</v>
      </c>
      <c r="I11964" s="27" t="s">
        <v>40</v>
      </c>
      <c r="J11964" s="28" t="s">
        <v>1268</v>
      </c>
      <c r="K11964" s="27" t="s">
        <v>42</v>
      </c>
      <c r="L11964" s="27"/>
    </row>
    <row r="11965" customFormat="false" ht="15" hidden="false" customHeight="false" outlineLevel="0" collapsed="false">
      <c r="A11965" s="26" t="s">
        <v>28845</v>
      </c>
      <c r="B11965" s="27" t="s">
        <v>28846</v>
      </c>
      <c r="C11965" s="27" t="s">
        <v>144</v>
      </c>
      <c r="D11965" s="26"/>
      <c r="E11965" s="27"/>
      <c r="F11965" s="27"/>
      <c r="G11965" s="27" t="s">
        <v>11122</v>
      </c>
      <c r="H11965" s="27" t="s">
        <v>35</v>
      </c>
      <c r="I11965" s="27" t="s">
        <v>42</v>
      </c>
      <c r="J11965" s="28" t="s">
        <v>1268</v>
      </c>
      <c r="K11965" s="27" t="s">
        <v>42</v>
      </c>
      <c r="L11965" s="27"/>
    </row>
    <row r="11966" customFormat="false" ht="15" hidden="false" customHeight="false" outlineLevel="0" collapsed="false">
      <c r="A11966" s="26" t="s">
        <v>28847</v>
      </c>
      <c r="B11966" s="27" t="s">
        <v>28848</v>
      </c>
      <c r="C11966" s="27" t="s">
        <v>144</v>
      </c>
      <c r="D11966" s="26"/>
      <c r="E11966" s="27"/>
      <c r="F11966" s="27"/>
      <c r="G11966" s="27" t="s">
        <v>11122</v>
      </c>
      <c r="H11966" s="27" t="s">
        <v>35</v>
      </c>
      <c r="I11966" s="27" t="s">
        <v>39</v>
      </c>
      <c r="J11966" s="28" t="s">
        <v>1268</v>
      </c>
      <c r="K11966" s="27" t="s">
        <v>42</v>
      </c>
      <c r="L11966" s="27"/>
    </row>
    <row r="11967" customFormat="false" ht="15" hidden="false" customHeight="false" outlineLevel="0" collapsed="false">
      <c r="A11967" s="26" t="s">
        <v>28849</v>
      </c>
      <c r="B11967" s="27" t="s">
        <v>28850</v>
      </c>
      <c r="C11967" s="27" t="s">
        <v>144</v>
      </c>
      <c r="D11967" s="26"/>
      <c r="E11967" s="27"/>
      <c r="F11967" s="27"/>
      <c r="G11967" s="27" t="s">
        <v>11122</v>
      </c>
      <c r="H11967" s="27" t="s">
        <v>35</v>
      </c>
      <c r="I11967" s="27" t="s">
        <v>3271</v>
      </c>
      <c r="J11967" s="28" t="s">
        <v>1268</v>
      </c>
      <c r="K11967" s="27" t="s">
        <v>42</v>
      </c>
      <c r="L11967" s="27"/>
    </row>
    <row r="11968" customFormat="false" ht="15" hidden="false" customHeight="false" outlineLevel="0" collapsed="false">
      <c r="A11968" s="26" t="s">
        <v>28851</v>
      </c>
      <c r="B11968" s="27" t="s">
        <v>28852</v>
      </c>
      <c r="C11968" s="27" t="s">
        <v>144</v>
      </c>
      <c r="D11968" s="26"/>
      <c r="E11968" s="27"/>
      <c r="F11968" s="27"/>
      <c r="G11968" s="27" t="s">
        <v>11122</v>
      </c>
      <c r="H11968" s="27" t="s">
        <v>35</v>
      </c>
      <c r="I11968" s="27" t="s">
        <v>39</v>
      </c>
      <c r="J11968" s="28" t="s">
        <v>1268</v>
      </c>
      <c r="K11968" s="27" t="s">
        <v>42</v>
      </c>
      <c r="L11968" s="27"/>
    </row>
    <row r="11969" customFormat="false" ht="15" hidden="false" customHeight="false" outlineLevel="0" collapsed="false">
      <c r="A11969" s="26" t="s">
        <v>28853</v>
      </c>
      <c r="B11969" s="27" t="s">
        <v>28854</v>
      </c>
      <c r="C11969" s="27" t="s">
        <v>144</v>
      </c>
      <c r="D11969" s="26"/>
      <c r="E11969" s="27"/>
      <c r="F11969" s="27"/>
      <c r="G11969" s="27" t="s">
        <v>11122</v>
      </c>
      <c r="H11969" s="27" t="s">
        <v>35</v>
      </c>
      <c r="I11969" s="27" t="s">
        <v>39</v>
      </c>
      <c r="J11969" s="28" t="s">
        <v>1268</v>
      </c>
      <c r="K11969" s="27" t="s">
        <v>42</v>
      </c>
      <c r="L11969" s="27"/>
    </row>
    <row r="11970" customFormat="false" ht="15" hidden="false" customHeight="false" outlineLevel="0" collapsed="false">
      <c r="A11970" s="26" t="s">
        <v>28855</v>
      </c>
      <c r="B11970" s="27" t="s">
        <v>28856</v>
      </c>
      <c r="C11970" s="27" t="s">
        <v>144</v>
      </c>
      <c r="D11970" s="26"/>
      <c r="E11970" s="27"/>
      <c r="F11970" s="27"/>
      <c r="G11970" s="27" t="s">
        <v>11122</v>
      </c>
      <c r="H11970" s="27" t="s">
        <v>35</v>
      </c>
      <c r="I11970" s="27" t="s">
        <v>39</v>
      </c>
      <c r="J11970" s="28" t="s">
        <v>1268</v>
      </c>
      <c r="K11970" s="27" t="s">
        <v>42</v>
      </c>
      <c r="L11970" s="27"/>
    </row>
    <row r="11971" customFormat="false" ht="15" hidden="false" customHeight="false" outlineLevel="0" collapsed="false">
      <c r="A11971" s="26" t="s">
        <v>28857</v>
      </c>
      <c r="B11971" s="27" t="s">
        <v>28858</v>
      </c>
      <c r="C11971" s="27" t="s">
        <v>144</v>
      </c>
      <c r="D11971" s="26"/>
      <c r="E11971" s="27"/>
      <c r="F11971" s="27"/>
      <c r="G11971" s="27" t="s">
        <v>11122</v>
      </c>
      <c r="H11971" s="27" t="s">
        <v>35</v>
      </c>
      <c r="I11971" s="27" t="s">
        <v>39</v>
      </c>
      <c r="J11971" s="28" t="s">
        <v>1268</v>
      </c>
      <c r="K11971" s="27" t="s">
        <v>42</v>
      </c>
      <c r="L11971" s="27"/>
    </row>
    <row r="11972" customFormat="false" ht="15" hidden="false" customHeight="false" outlineLevel="0" collapsed="false">
      <c r="A11972" s="26" t="s">
        <v>28859</v>
      </c>
      <c r="B11972" s="27" t="s">
        <v>28860</v>
      </c>
      <c r="C11972" s="27" t="s">
        <v>1087</v>
      </c>
      <c r="D11972" s="26"/>
      <c r="E11972" s="27"/>
      <c r="F11972" s="27"/>
      <c r="G11972" s="27" t="s">
        <v>11122</v>
      </c>
      <c r="H11972" s="27" t="s">
        <v>35</v>
      </c>
      <c r="I11972" s="27" t="s">
        <v>45</v>
      </c>
      <c r="J11972" s="28" t="s">
        <v>1268</v>
      </c>
      <c r="K11972" s="27" t="s">
        <v>42</v>
      </c>
      <c r="L11972" s="27"/>
    </row>
    <row r="11973" customFormat="false" ht="15" hidden="false" customHeight="false" outlineLevel="0" collapsed="false">
      <c r="A11973" s="26" t="s">
        <v>28861</v>
      </c>
      <c r="B11973" s="27" t="s">
        <v>28862</v>
      </c>
      <c r="C11973" s="27" t="s">
        <v>144</v>
      </c>
      <c r="D11973" s="26"/>
      <c r="E11973" s="27"/>
      <c r="F11973" s="27"/>
      <c r="G11973" s="27" t="s">
        <v>11122</v>
      </c>
      <c r="H11973" s="27" t="s">
        <v>35</v>
      </c>
      <c r="I11973" s="27" t="s">
        <v>42</v>
      </c>
      <c r="J11973" s="28" t="s">
        <v>1268</v>
      </c>
      <c r="K11973" s="27" t="s">
        <v>42</v>
      </c>
      <c r="L11973" s="27"/>
    </row>
    <row r="11974" customFormat="false" ht="15" hidden="false" customHeight="false" outlineLevel="0" collapsed="false">
      <c r="A11974" s="26" t="s">
        <v>28863</v>
      </c>
      <c r="B11974" s="27" t="s">
        <v>28864</v>
      </c>
      <c r="C11974" s="27" t="s">
        <v>144</v>
      </c>
      <c r="D11974" s="26"/>
      <c r="E11974" s="27"/>
      <c r="F11974" s="27"/>
      <c r="G11974" s="27" t="s">
        <v>11122</v>
      </c>
      <c r="H11974" s="27" t="s">
        <v>35</v>
      </c>
      <c r="I11974" s="27" t="s">
        <v>37</v>
      </c>
      <c r="J11974" s="28" t="s">
        <v>1268</v>
      </c>
      <c r="K11974" s="27" t="s">
        <v>42</v>
      </c>
      <c r="L11974" s="27"/>
    </row>
    <row r="11975" customFormat="false" ht="15" hidden="false" customHeight="false" outlineLevel="0" collapsed="false">
      <c r="A11975" s="26" t="s">
        <v>28865</v>
      </c>
      <c r="B11975" s="27" t="s">
        <v>28866</v>
      </c>
      <c r="C11975" s="27" t="s">
        <v>144</v>
      </c>
      <c r="D11975" s="26"/>
      <c r="E11975" s="27"/>
      <c r="F11975" s="27"/>
      <c r="G11975" s="27" t="s">
        <v>11122</v>
      </c>
      <c r="H11975" s="27" t="s">
        <v>35</v>
      </c>
      <c r="I11975" s="27" t="s">
        <v>37</v>
      </c>
      <c r="J11975" s="28" t="s">
        <v>1268</v>
      </c>
      <c r="K11975" s="27" t="s">
        <v>42</v>
      </c>
      <c r="L11975" s="27"/>
    </row>
    <row r="11976" customFormat="false" ht="15" hidden="false" customHeight="false" outlineLevel="0" collapsed="false">
      <c r="A11976" s="26" t="s">
        <v>28867</v>
      </c>
      <c r="B11976" s="27" t="s">
        <v>28868</v>
      </c>
      <c r="C11976" s="27" t="s">
        <v>144</v>
      </c>
      <c r="D11976" s="26"/>
      <c r="E11976" s="27"/>
      <c r="F11976" s="27"/>
      <c r="G11976" s="27" t="s">
        <v>11122</v>
      </c>
      <c r="H11976" s="27" t="s">
        <v>35</v>
      </c>
      <c r="I11976" s="27" t="s">
        <v>38</v>
      </c>
      <c r="J11976" s="28" t="s">
        <v>1268</v>
      </c>
      <c r="K11976" s="27" t="s">
        <v>42</v>
      </c>
      <c r="L11976" s="27"/>
    </row>
    <row r="11977" customFormat="false" ht="15" hidden="false" customHeight="false" outlineLevel="0" collapsed="false">
      <c r="A11977" s="26" t="s">
        <v>28869</v>
      </c>
      <c r="B11977" s="27" t="s">
        <v>28870</v>
      </c>
      <c r="C11977" s="27" t="s">
        <v>144</v>
      </c>
      <c r="D11977" s="26"/>
      <c r="E11977" s="27"/>
      <c r="F11977" s="27"/>
      <c r="G11977" s="27" t="s">
        <v>11122</v>
      </c>
      <c r="H11977" s="27" t="s">
        <v>35</v>
      </c>
      <c r="I11977" s="27" t="s">
        <v>37</v>
      </c>
      <c r="J11977" s="28" t="s">
        <v>1268</v>
      </c>
      <c r="K11977" s="27" t="s">
        <v>42</v>
      </c>
      <c r="L11977" s="27"/>
    </row>
    <row r="11978" customFormat="false" ht="15" hidden="false" customHeight="false" outlineLevel="0" collapsed="false">
      <c r="A11978" s="26" t="s">
        <v>28871</v>
      </c>
      <c r="B11978" s="27" t="s">
        <v>28872</v>
      </c>
      <c r="C11978" s="27" t="s">
        <v>144</v>
      </c>
      <c r="D11978" s="26"/>
      <c r="E11978" s="27"/>
      <c r="F11978" s="27"/>
      <c r="G11978" s="27" t="s">
        <v>11122</v>
      </c>
      <c r="H11978" s="27" t="s">
        <v>35</v>
      </c>
      <c r="I11978" s="27" t="s">
        <v>43</v>
      </c>
      <c r="J11978" s="28" t="s">
        <v>1268</v>
      </c>
      <c r="K11978" s="27" t="s">
        <v>42</v>
      </c>
      <c r="L11978" s="27"/>
    </row>
    <row r="11979" customFormat="false" ht="15" hidden="false" customHeight="false" outlineLevel="0" collapsed="false">
      <c r="A11979" s="26" t="s">
        <v>28873</v>
      </c>
      <c r="B11979" s="27" t="s">
        <v>28874</v>
      </c>
      <c r="C11979" s="27" t="s">
        <v>144</v>
      </c>
      <c r="D11979" s="26"/>
      <c r="E11979" s="27"/>
      <c r="F11979" s="27"/>
      <c r="G11979" s="27" t="s">
        <v>11122</v>
      </c>
      <c r="H11979" s="27" t="s">
        <v>35</v>
      </c>
      <c r="I11979" s="27" t="s">
        <v>43</v>
      </c>
      <c r="J11979" s="28" t="s">
        <v>1268</v>
      </c>
      <c r="K11979" s="27" t="s">
        <v>42</v>
      </c>
      <c r="L11979" s="27"/>
    </row>
    <row r="11980" customFormat="false" ht="15" hidden="false" customHeight="false" outlineLevel="0" collapsed="false">
      <c r="A11980" s="26" t="s">
        <v>28875</v>
      </c>
      <c r="B11980" s="27" t="s">
        <v>28876</v>
      </c>
      <c r="C11980" s="27" t="s">
        <v>144</v>
      </c>
      <c r="D11980" s="26"/>
      <c r="E11980" s="27"/>
      <c r="F11980" s="27"/>
      <c r="G11980" s="27" t="s">
        <v>11122</v>
      </c>
      <c r="H11980" s="27" t="s">
        <v>35</v>
      </c>
      <c r="I11980" s="27" t="s">
        <v>43</v>
      </c>
      <c r="J11980" s="28" t="s">
        <v>1268</v>
      </c>
      <c r="K11980" s="27" t="s">
        <v>42</v>
      </c>
      <c r="L11980" s="27"/>
    </row>
    <row r="11981" customFormat="false" ht="15" hidden="false" customHeight="false" outlineLevel="0" collapsed="false">
      <c r="A11981" s="26" t="s">
        <v>28877</v>
      </c>
      <c r="B11981" s="27" t="s">
        <v>28878</v>
      </c>
      <c r="C11981" s="27" t="s">
        <v>144</v>
      </c>
      <c r="D11981" s="26"/>
      <c r="E11981" s="27"/>
      <c r="F11981" s="27"/>
      <c r="G11981" s="27" t="s">
        <v>11122</v>
      </c>
      <c r="H11981" s="27" t="s">
        <v>35</v>
      </c>
      <c r="I11981" s="27" t="s">
        <v>47</v>
      </c>
      <c r="J11981" s="28" t="s">
        <v>1268</v>
      </c>
      <c r="K11981" s="27" t="s">
        <v>42</v>
      </c>
      <c r="L11981" s="27"/>
    </row>
    <row r="11982" customFormat="false" ht="15" hidden="false" customHeight="false" outlineLevel="0" collapsed="false">
      <c r="A11982" s="26" t="s">
        <v>28879</v>
      </c>
      <c r="B11982" s="27" t="s">
        <v>28880</v>
      </c>
      <c r="C11982" s="27" t="s">
        <v>144</v>
      </c>
      <c r="D11982" s="26"/>
      <c r="E11982" s="27"/>
      <c r="F11982" s="27"/>
      <c r="G11982" s="27" t="s">
        <v>11122</v>
      </c>
      <c r="H11982" s="27" t="s">
        <v>35</v>
      </c>
      <c r="I11982" s="27" t="s">
        <v>41</v>
      </c>
      <c r="J11982" s="28" t="s">
        <v>1268</v>
      </c>
      <c r="K11982" s="27" t="s">
        <v>42</v>
      </c>
      <c r="L11982" s="27"/>
    </row>
    <row r="11983" customFormat="false" ht="15" hidden="false" customHeight="false" outlineLevel="0" collapsed="false">
      <c r="A11983" s="26" t="s">
        <v>28881</v>
      </c>
      <c r="B11983" s="27" t="s">
        <v>28882</v>
      </c>
      <c r="C11983" s="27" t="s">
        <v>144</v>
      </c>
      <c r="D11983" s="26"/>
      <c r="E11983" s="27"/>
      <c r="F11983" s="27"/>
      <c r="G11983" s="27" t="s">
        <v>11122</v>
      </c>
      <c r="H11983" s="27" t="s">
        <v>35</v>
      </c>
      <c r="I11983" s="27" t="s">
        <v>41</v>
      </c>
      <c r="J11983" s="28" t="s">
        <v>1268</v>
      </c>
      <c r="K11983" s="27" t="s">
        <v>42</v>
      </c>
      <c r="L11983" s="27"/>
    </row>
    <row r="11984" customFormat="false" ht="15" hidden="false" customHeight="false" outlineLevel="0" collapsed="false">
      <c r="A11984" s="26" t="s">
        <v>28883</v>
      </c>
      <c r="B11984" s="27" t="s">
        <v>28884</v>
      </c>
      <c r="C11984" s="27" t="s">
        <v>144</v>
      </c>
      <c r="D11984" s="26"/>
      <c r="E11984" s="27"/>
      <c r="F11984" s="27"/>
      <c r="G11984" s="27" t="s">
        <v>11122</v>
      </c>
      <c r="H11984" s="27" t="s">
        <v>35</v>
      </c>
      <c r="I11984" s="27" t="s">
        <v>41</v>
      </c>
      <c r="J11984" s="28" t="s">
        <v>1268</v>
      </c>
      <c r="K11984" s="27" t="s">
        <v>42</v>
      </c>
      <c r="L11984" s="27"/>
    </row>
    <row r="11985" customFormat="false" ht="15" hidden="false" customHeight="false" outlineLevel="0" collapsed="false">
      <c r="A11985" s="26" t="s">
        <v>28885</v>
      </c>
      <c r="B11985" s="27" t="s">
        <v>28886</v>
      </c>
      <c r="C11985" s="27" t="s">
        <v>144</v>
      </c>
      <c r="D11985" s="26"/>
      <c r="E11985" s="27"/>
      <c r="F11985" s="27"/>
      <c r="G11985" s="27" t="s">
        <v>11122</v>
      </c>
      <c r="H11985" s="27" t="s">
        <v>35</v>
      </c>
      <c r="I11985" s="27" t="s">
        <v>43</v>
      </c>
      <c r="J11985" s="28" t="s">
        <v>1268</v>
      </c>
      <c r="K11985" s="27" t="s">
        <v>42</v>
      </c>
      <c r="L11985" s="27"/>
    </row>
    <row r="11986" customFormat="false" ht="15" hidden="false" customHeight="false" outlineLevel="0" collapsed="false">
      <c r="A11986" s="26" t="s">
        <v>28887</v>
      </c>
      <c r="B11986" s="27" t="s">
        <v>28888</v>
      </c>
      <c r="C11986" s="27" t="s">
        <v>144</v>
      </c>
      <c r="D11986" s="26"/>
      <c r="E11986" s="27"/>
      <c r="F11986" s="27"/>
      <c r="G11986" s="27" t="s">
        <v>11122</v>
      </c>
      <c r="H11986" s="27" t="s">
        <v>35</v>
      </c>
      <c r="I11986" s="27" t="s">
        <v>41</v>
      </c>
      <c r="J11986" s="28" t="s">
        <v>1268</v>
      </c>
      <c r="K11986" s="27" t="s">
        <v>42</v>
      </c>
      <c r="L11986" s="27"/>
    </row>
    <row r="11987" customFormat="false" ht="15" hidden="false" customHeight="false" outlineLevel="0" collapsed="false">
      <c r="A11987" s="26" t="s">
        <v>28889</v>
      </c>
      <c r="B11987" s="27" t="s">
        <v>28890</v>
      </c>
      <c r="C11987" s="27" t="s">
        <v>144</v>
      </c>
      <c r="D11987" s="26"/>
      <c r="E11987" s="27"/>
      <c r="F11987" s="27"/>
      <c r="G11987" s="27" t="s">
        <v>11122</v>
      </c>
      <c r="H11987" s="27" t="s">
        <v>35</v>
      </c>
      <c r="I11987" s="27" t="s">
        <v>37</v>
      </c>
      <c r="J11987" s="28" t="s">
        <v>1268</v>
      </c>
      <c r="K11987" s="27" t="s">
        <v>42</v>
      </c>
      <c r="L11987" s="27"/>
    </row>
    <row r="11988" customFormat="false" ht="15" hidden="false" customHeight="false" outlineLevel="0" collapsed="false">
      <c r="A11988" s="26" t="s">
        <v>28891</v>
      </c>
      <c r="B11988" s="27" t="s">
        <v>28892</v>
      </c>
      <c r="C11988" s="27" t="s">
        <v>370</v>
      </c>
      <c r="D11988" s="26"/>
      <c r="E11988" s="27"/>
      <c r="F11988" s="27"/>
      <c r="G11988" s="27" t="s">
        <v>11122</v>
      </c>
      <c r="H11988" s="27" t="s">
        <v>35</v>
      </c>
      <c r="I11988" s="27" t="s">
        <v>41</v>
      </c>
      <c r="J11988" s="28" t="s">
        <v>1268</v>
      </c>
      <c r="K11988" s="27" t="s">
        <v>42</v>
      </c>
      <c r="L11988" s="27"/>
    </row>
    <row r="11989" customFormat="false" ht="15" hidden="false" customHeight="false" outlineLevel="0" collapsed="false">
      <c r="A11989" s="26" t="s">
        <v>28893</v>
      </c>
      <c r="B11989" s="27" t="s">
        <v>28894</v>
      </c>
      <c r="C11989" s="27" t="s">
        <v>144</v>
      </c>
      <c r="D11989" s="26"/>
      <c r="E11989" s="27"/>
      <c r="F11989" s="27"/>
      <c r="G11989" s="27" t="s">
        <v>11122</v>
      </c>
      <c r="H11989" s="27" t="s">
        <v>35</v>
      </c>
      <c r="I11989" s="27" t="s">
        <v>47</v>
      </c>
      <c r="J11989" s="28" t="s">
        <v>1268</v>
      </c>
      <c r="K11989" s="27" t="s">
        <v>42</v>
      </c>
      <c r="L11989" s="27"/>
    </row>
    <row r="11990" customFormat="false" ht="15" hidden="false" customHeight="false" outlineLevel="0" collapsed="false">
      <c r="A11990" s="26" t="s">
        <v>28895</v>
      </c>
      <c r="B11990" s="27" t="s">
        <v>28896</v>
      </c>
      <c r="C11990" s="27" t="s">
        <v>144</v>
      </c>
      <c r="D11990" s="26"/>
      <c r="E11990" s="27"/>
      <c r="F11990" s="27"/>
      <c r="G11990" s="27" t="s">
        <v>11122</v>
      </c>
      <c r="H11990" s="27" t="s">
        <v>35</v>
      </c>
      <c r="I11990" s="27" t="s">
        <v>39</v>
      </c>
      <c r="J11990" s="28" t="s">
        <v>1268</v>
      </c>
      <c r="K11990" s="27" t="s">
        <v>42</v>
      </c>
      <c r="L11990" s="27"/>
    </row>
    <row r="11991" customFormat="false" ht="15" hidden="false" customHeight="false" outlineLevel="0" collapsed="false">
      <c r="A11991" s="26" t="s">
        <v>28897</v>
      </c>
      <c r="B11991" s="27" t="s">
        <v>28898</v>
      </c>
      <c r="C11991" s="27" t="s">
        <v>144</v>
      </c>
      <c r="D11991" s="26"/>
      <c r="E11991" s="27"/>
      <c r="F11991" s="27"/>
      <c r="G11991" s="27" t="s">
        <v>11122</v>
      </c>
      <c r="H11991" s="27" t="s">
        <v>35</v>
      </c>
      <c r="I11991" s="27" t="s">
        <v>39</v>
      </c>
      <c r="J11991" s="28" t="s">
        <v>1268</v>
      </c>
      <c r="K11991" s="27" t="s">
        <v>42</v>
      </c>
      <c r="L11991" s="27"/>
    </row>
    <row r="11992" customFormat="false" ht="15" hidden="false" customHeight="false" outlineLevel="0" collapsed="false">
      <c r="A11992" s="26" t="s">
        <v>28899</v>
      </c>
      <c r="B11992" s="27" t="s">
        <v>28900</v>
      </c>
      <c r="C11992" s="27" t="s">
        <v>144</v>
      </c>
      <c r="D11992" s="26"/>
      <c r="E11992" s="27"/>
      <c r="F11992" s="27"/>
      <c r="G11992" s="27" t="s">
        <v>11122</v>
      </c>
      <c r="H11992" s="27" t="s">
        <v>35</v>
      </c>
      <c r="I11992" s="27" t="s">
        <v>43</v>
      </c>
      <c r="J11992" s="28" t="s">
        <v>1268</v>
      </c>
      <c r="K11992" s="27" t="s">
        <v>42</v>
      </c>
      <c r="L11992" s="27"/>
    </row>
    <row r="11993" customFormat="false" ht="15" hidden="false" customHeight="false" outlineLevel="0" collapsed="false">
      <c r="A11993" s="26" t="s">
        <v>28901</v>
      </c>
      <c r="B11993" s="27" t="s">
        <v>28902</v>
      </c>
      <c r="C11993" s="27" t="s">
        <v>144</v>
      </c>
      <c r="D11993" s="26"/>
      <c r="E11993" s="27"/>
      <c r="F11993" s="27"/>
      <c r="G11993" s="27" t="s">
        <v>11122</v>
      </c>
      <c r="H11993" s="27" t="s">
        <v>35</v>
      </c>
      <c r="I11993" s="27" t="s">
        <v>39</v>
      </c>
      <c r="J11993" s="28" t="s">
        <v>1268</v>
      </c>
      <c r="K11993" s="27" t="s">
        <v>42</v>
      </c>
      <c r="L11993" s="27"/>
    </row>
    <row r="11994" customFormat="false" ht="15" hidden="false" customHeight="false" outlineLevel="0" collapsed="false">
      <c r="A11994" s="26" t="s">
        <v>28903</v>
      </c>
      <c r="B11994" s="27" t="s">
        <v>28904</v>
      </c>
      <c r="C11994" s="27" t="s">
        <v>144</v>
      </c>
      <c r="D11994" s="26"/>
      <c r="E11994" s="27"/>
      <c r="F11994" s="27"/>
      <c r="G11994" s="27" t="s">
        <v>11122</v>
      </c>
      <c r="H11994" s="27" t="s">
        <v>35</v>
      </c>
      <c r="I11994" s="27" t="s">
        <v>44</v>
      </c>
      <c r="J11994" s="28" t="s">
        <v>1268</v>
      </c>
      <c r="K11994" s="27" t="s">
        <v>42</v>
      </c>
      <c r="L11994" s="27"/>
    </row>
    <row r="11995" customFormat="false" ht="15" hidden="false" customHeight="false" outlineLevel="0" collapsed="false">
      <c r="A11995" s="26" t="s">
        <v>28905</v>
      </c>
      <c r="B11995" s="27" t="s">
        <v>28906</v>
      </c>
      <c r="C11995" s="27" t="s">
        <v>144</v>
      </c>
      <c r="D11995" s="26"/>
      <c r="E11995" s="27"/>
      <c r="F11995" s="27"/>
      <c r="G11995" s="27" t="s">
        <v>11122</v>
      </c>
      <c r="H11995" s="27" t="s">
        <v>35</v>
      </c>
      <c r="I11995" s="27" t="s">
        <v>42</v>
      </c>
      <c r="J11995" s="28" t="s">
        <v>1268</v>
      </c>
      <c r="K11995" s="27" t="s">
        <v>42</v>
      </c>
      <c r="L11995" s="27"/>
    </row>
    <row r="11996" customFormat="false" ht="15" hidden="false" customHeight="false" outlineLevel="0" collapsed="false">
      <c r="A11996" s="26" t="s">
        <v>28907</v>
      </c>
      <c r="B11996" s="27" t="s">
        <v>28908</v>
      </c>
      <c r="C11996" s="27" t="s">
        <v>144</v>
      </c>
      <c r="D11996" s="26"/>
      <c r="E11996" s="27"/>
      <c r="F11996" s="27"/>
      <c r="G11996" s="27" t="s">
        <v>11122</v>
      </c>
      <c r="H11996" s="27" t="s">
        <v>35</v>
      </c>
      <c r="I11996" s="27" t="s">
        <v>42</v>
      </c>
      <c r="J11996" s="28" t="s">
        <v>1268</v>
      </c>
      <c r="K11996" s="27" t="s">
        <v>42</v>
      </c>
      <c r="L11996" s="27"/>
    </row>
    <row r="11997" customFormat="false" ht="15" hidden="false" customHeight="false" outlineLevel="0" collapsed="false">
      <c r="A11997" s="26" t="s">
        <v>28909</v>
      </c>
      <c r="B11997" s="27" t="s">
        <v>28910</v>
      </c>
      <c r="C11997" s="27" t="s">
        <v>144</v>
      </c>
      <c r="D11997" s="26"/>
      <c r="E11997" s="27"/>
      <c r="F11997" s="27"/>
      <c r="G11997" s="27" t="s">
        <v>11122</v>
      </c>
      <c r="H11997" s="27" t="s">
        <v>35</v>
      </c>
      <c r="I11997" s="27" t="s">
        <v>42</v>
      </c>
      <c r="J11997" s="28" t="s">
        <v>1268</v>
      </c>
      <c r="K11997" s="27" t="s">
        <v>42</v>
      </c>
      <c r="L11997" s="27"/>
    </row>
    <row r="11998" customFormat="false" ht="15" hidden="false" customHeight="false" outlineLevel="0" collapsed="false">
      <c r="A11998" s="26" t="s">
        <v>28911</v>
      </c>
      <c r="B11998" s="27" t="s">
        <v>28912</v>
      </c>
      <c r="C11998" s="27" t="s">
        <v>144</v>
      </c>
      <c r="D11998" s="26"/>
      <c r="E11998" s="27"/>
      <c r="F11998" s="27"/>
      <c r="G11998" s="27" t="s">
        <v>11122</v>
      </c>
      <c r="H11998" s="27" t="s">
        <v>35</v>
      </c>
      <c r="I11998" s="27" t="s">
        <v>44</v>
      </c>
      <c r="J11998" s="28" t="s">
        <v>1268</v>
      </c>
      <c r="K11998" s="27" t="s">
        <v>42</v>
      </c>
      <c r="L11998" s="27"/>
    </row>
    <row r="11999" customFormat="false" ht="15" hidden="false" customHeight="false" outlineLevel="0" collapsed="false">
      <c r="A11999" s="26" t="s">
        <v>28913</v>
      </c>
      <c r="B11999" s="27" t="s">
        <v>28914</v>
      </c>
      <c r="C11999" s="27" t="s">
        <v>144</v>
      </c>
      <c r="D11999" s="26"/>
      <c r="E11999" s="27"/>
      <c r="F11999" s="27"/>
      <c r="G11999" s="27" t="s">
        <v>11122</v>
      </c>
      <c r="H11999" s="27" t="s">
        <v>35</v>
      </c>
      <c r="I11999" s="27" t="s">
        <v>39</v>
      </c>
      <c r="J11999" s="28" t="s">
        <v>3270</v>
      </c>
      <c r="K11999" s="27" t="s">
        <v>3271</v>
      </c>
      <c r="L11999" s="27"/>
    </row>
    <row r="12000" customFormat="false" ht="15" hidden="false" customHeight="false" outlineLevel="0" collapsed="false">
      <c r="A12000" s="26" t="s">
        <v>28915</v>
      </c>
      <c r="B12000" s="27" t="s">
        <v>28916</v>
      </c>
      <c r="C12000" s="27" t="s">
        <v>144</v>
      </c>
      <c r="D12000" s="26"/>
      <c r="E12000" s="27"/>
      <c r="F12000" s="27"/>
      <c r="G12000" s="27" t="s">
        <v>11122</v>
      </c>
      <c r="H12000" s="27" t="s">
        <v>35</v>
      </c>
      <c r="I12000" s="27" t="s">
        <v>38</v>
      </c>
      <c r="J12000" s="28" t="s">
        <v>3270</v>
      </c>
      <c r="K12000" s="27" t="s">
        <v>3271</v>
      </c>
      <c r="L12000" s="27"/>
    </row>
    <row r="12001" customFormat="false" ht="15" hidden="false" customHeight="false" outlineLevel="0" collapsed="false">
      <c r="A12001" s="26" t="s">
        <v>28917</v>
      </c>
      <c r="B12001" s="27" t="s">
        <v>28918</v>
      </c>
      <c r="C12001" s="27" t="s">
        <v>144</v>
      </c>
      <c r="D12001" s="26"/>
      <c r="E12001" s="27"/>
      <c r="F12001" s="27"/>
      <c r="G12001" s="27" t="s">
        <v>11122</v>
      </c>
      <c r="H12001" s="27" t="s">
        <v>35</v>
      </c>
      <c r="I12001" s="27" t="s">
        <v>44</v>
      </c>
      <c r="J12001" s="28" t="s">
        <v>3270</v>
      </c>
      <c r="K12001" s="27" t="s">
        <v>3271</v>
      </c>
      <c r="L12001" s="27"/>
    </row>
    <row r="12002" customFormat="false" ht="15" hidden="false" customHeight="false" outlineLevel="0" collapsed="false">
      <c r="A12002" s="26" t="s">
        <v>28919</v>
      </c>
      <c r="B12002" s="27" t="s">
        <v>28920</v>
      </c>
      <c r="C12002" s="27" t="s">
        <v>100</v>
      </c>
      <c r="D12002" s="26"/>
      <c r="E12002" s="27"/>
      <c r="F12002" s="27"/>
      <c r="G12002" s="27" t="s">
        <v>11122</v>
      </c>
      <c r="H12002" s="27" t="s">
        <v>35</v>
      </c>
      <c r="I12002" s="27" t="s">
        <v>44</v>
      </c>
      <c r="J12002" s="28" t="s">
        <v>3270</v>
      </c>
      <c r="K12002" s="27" t="s">
        <v>3271</v>
      </c>
      <c r="L12002" s="27"/>
    </row>
    <row r="12003" customFormat="false" ht="15" hidden="false" customHeight="false" outlineLevel="0" collapsed="false">
      <c r="A12003" s="26" t="s">
        <v>28921</v>
      </c>
      <c r="B12003" s="27" t="s">
        <v>28922</v>
      </c>
      <c r="C12003" s="27" t="s">
        <v>144</v>
      </c>
      <c r="D12003" s="26"/>
      <c r="E12003" s="27"/>
      <c r="F12003" s="27"/>
      <c r="G12003" s="27" t="s">
        <v>11122</v>
      </c>
      <c r="H12003" s="27" t="s">
        <v>35</v>
      </c>
      <c r="I12003" s="27" t="s">
        <v>43</v>
      </c>
      <c r="J12003" s="28" t="s">
        <v>3270</v>
      </c>
      <c r="K12003" s="27" t="s">
        <v>3271</v>
      </c>
      <c r="L12003" s="27"/>
    </row>
    <row r="12004" customFormat="false" ht="15" hidden="false" customHeight="false" outlineLevel="0" collapsed="false">
      <c r="A12004" s="26" t="s">
        <v>28923</v>
      </c>
      <c r="B12004" s="27" t="s">
        <v>28924</v>
      </c>
      <c r="C12004" s="27" t="s">
        <v>144</v>
      </c>
      <c r="D12004" s="26"/>
      <c r="E12004" s="27"/>
      <c r="F12004" s="27"/>
      <c r="G12004" s="27" t="s">
        <v>11122</v>
      </c>
      <c r="H12004" s="27" t="s">
        <v>35</v>
      </c>
      <c r="I12004" s="27" t="s">
        <v>44</v>
      </c>
      <c r="J12004" s="28" t="s">
        <v>3270</v>
      </c>
      <c r="K12004" s="27" t="s">
        <v>3271</v>
      </c>
      <c r="L12004" s="27"/>
    </row>
    <row r="12005" customFormat="false" ht="15" hidden="false" customHeight="false" outlineLevel="0" collapsed="false">
      <c r="A12005" s="26" t="s">
        <v>28925</v>
      </c>
      <c r="B12005" s="27" t="s">
        <v>28926</v>
      </c>
      <c r="C12005" s="27" t="s">
        <v>144</v>
      </c>
      <c r="D12005" s="26"/>
      <c r="E12005" s="27"/>
      <c r="F12005" s="27"/>
      <c r="G12005" s="27" t="s">
        <v>11122</v>
      </c>
      <c r="H12005" s="27" t="s">
        <v>35</v>
      </c>
      <c r="I12005" s="27" t="s">
        <v>39</v>
      </c>
      <c r="J12005" s="28" t="s">
        <v>3270</v>
      </c>
      <c r="K12005" s="27" t="s">
        <v>3271</v>
      </c>
      <c r="L12005" s="27"/>
    </row>
    <row r="12006" customFormat="false" ht="15" hidden="false" customHeight="false" outlineLevel="0" collapsed="false">
      <c r="A12006" s="26" t="s">
        <v>28927</v>
      </c>
      <c r="B12006" s="27" t="s">
        <v>28928</v>
      </c>
      <c r="C12006" s="27" t="s">
        <v>144</v>
      </c>
      <c r="D12006" s="26"/>
      <c r="E12006" s="27"/>
      <c r="F12006" s="27"/>
      <c r="G12006" s="27" t="s">
        <v>11122</v>
      </c>
      <c r="H12006" s="27" t="s">
        <v>35</v>
      </c>
      <c r="I12006" s="27" t="s">
        <v>39</v>
      </c>
      <c r="J12006" s="28" t="s">
        <v>3270</v>
      </c>
      <c r="K12006" s="27" t="s">
        <v>3271</v>
      </c>
      <c r="L12006" s="27"/>
    </row>
    <row r="12007" customFormat="false" ht="15" hidden="false" customHeight="false" outlineLevel="0" collapsed="false">
      <c r="A12007" s="26" t="s">
        <v>28929</v>
      </c>
      <c r="B12007" s="27" t="s">
        <v>28930</v>
      </c>
      <c r="C12007" s="27" t="s">
        <v>144</v>
      </c>
      <c r="D12007" s="26"/>
      <c r="E12007" s="27"/>
      <c r="F12007" s="27"/>
      <c r="G12007" s="27" t="s">
        <v>11122</v>
      </c>
      <c r="H12007" s="27" t="s">
        <v>35</v>
      </c>
      <c r="I12007" s="27" t="s">
        <v>39</v>
      </c>
      <c r="J12007" s="28" t="s">
        <v>3270</v>
      </c>
      <c r="K12007" s="27" t="s">
        <v>3271</v>
      </c>
      <c r="L12007" s="27"/>
    </row>
    <row r="12008" customFormat="false" ht="15" hidden="false" customHeight="false" outlineLevel="0" collapsed="false">
      <c r="A12008" s="26" t="s">
        <v>28931</v>
      </c>
      <c r="B12008" s="27" t="s">
        <v>28932</v>
      </c>
      <c r="C12008" s="27" t="s">
        <v>144</v>
      </c>
      <c r="D12008" s="26"/>
      <c r="E12008" s="27"/>
      <c r="F12008" s="27"/>
      <c r="G12008" s="27" t="s">
        <v>11122</v>
      </c>
      <c r="H12008" s="27" t="s">
        <v>35</v>
      </c>
      <c r="I12008" s="27" t="s">
        <v>37</v>
      </c>
      <c r="J12008" s="28" t="s">
        <v>3270</v>
      </c>
      <c r="K12008" s="27" t="s">
        <v>3271</v>
      </c>
      <c r="L12008" s="27"/>
    </row>
    <row r="12009" customFormat="false" ht="15" hidden="false" customHeight="false" outlineLevel="0" collapsed="false">
      <c r="A12009" s="26" t="s">
        <v>28933</v>
      </c>
      <c r="B12009" s="27" t="s">
        <v>28934</v>
      </c>
      <c r="C12009" s="27" t="s">
        <v>144</v>
      </c>
      <c r="D12009" s="26"/>
      <c r="E12009" s="27"/>
      <c r="F12009" s="27"/>
      <c r="G12009" s="27" t="s">
        <v>11122</v>
      </c>
      <c r="H12009" s="27" t="s">
        <v>35</v>
      </c>
      <c r="I12009" s="27" t="s">
        <v>43</v>
      </c>
      <c r="J12009" s="28" t="s">
        <v>3270</v>
      </c>
      <c r="K12009" s="27" t="s">
        <v>3271</v>
      </c>
      <c r="L12009" s="27"/>
    </row>
    <row r="12010" customFormat="false" ht="15" hidden="false" customHeight="false" outlineLevel="0" collapsed="false">
      <c r="A12010" s="26" t="s">
        <v>28935</v>
      </c>
      <c r="B12010" s="27" t="s">
        <v>28936</v>
      </c>
      <c r="C12010" s="27" t="s">
        <v>144</v>
      </c>
      <c r="D12010" s="26"/>
      <c r="E12010" s="27"/>
      <c r="F12010" s="27"/>
      <c r="G12010" s="27" t="s">
        <v>11122</v>
      </c>
      <c r="H12010" s="27" t="s">
        <v>35</v>
      </c>
      <c r="I12010" s="27" t="s">
        <v>887</v>
      </c>
      <c r="J12010" s="28" t="s">
        <v>3270</v>
      </c>
      <c r="K12010" s="27" t="s">
        <v>3271</v>
      </c>
      <c r="L12010" s="27"/>
    </row>
    <row r="12011" customFormat="false" ht="15" hidden="false" customHeight="false" outlineLevel="0" collapsed="false">
      <c r="A12011" s="26" t="s">
        <v>28937</v>
      </c>
      <c r="B12011" s="27" t="s">
        <v>28938</v>
      </c>
      <c r="C12011" s="27" t="s">
        <v>144</v>
      </c>
      <c r="D12011" s="26"/>
      <c r="E12011" s="27"/>
      <c r="F12011" s="27"/>
      <c r="G12011" s="27" t="s">
        <v>11122</v>
      </c>
      <c r="H12011" s="27" t="s">
        <v>35</v>
      </c>
      <c r="I12011" s="27" t="s">
        <v>39</v>
      </c>
      <c r="J12011" s="28" t="s">
        <v>3270</v>
      </c>
      <c r="K12011" s="27" t="s">
        <v>3271</v>
      </c>
      <c r="L12011" s="27"/>
    </row>
    <row r="12012" customFormat="false" ht="15" hidden="false" customHeight="false" outlineLevel="0" collapsed="false">
      <c r="A12012" s="26" t="s">
        <v>28939</v>
      </c>
      <c r="B12012" s="27" t="s">
        <v>28940</v>
      </c>
      <c r="C12012" s="27" t="s">
        <v>144</v>
      </c>
      <c r="D12012" s="26"/>
      <c r="E12012" s="27"/>
      <c r="F12012" s="27"/>
      <c r="G12012" s="27" t="s">
        <v>11122</v>
      </c>
      <c r="H12012" s="27" t="s">
        <v>35</v>
      </c>
      <c r="I12012" s="27" t="s">
        <v>43</v>
      </c>
      <c r="J12012" s="28" t="s">
        <v>3270</v>
      </c>
      <c r="K12012" s="27" t="s">
        <v>3271</v>
      </c>
      <c r="L12012" s="27"/>
    </row>
    <row r="12013" customFormat="false" ht="15" hidden="false" customHeight="false" outlineLevel="0" collapsed="false">
      <c r="A12013" s="26" t="s">
        <v>28941</v>
      </c>
      <c r="B12013" s="27" t="s">
        <v>28942</v>
      </c>
      <c r="C12013" s="27" t="s">
        <v>144</v>
      </c>
      <c r="D12013" s="26"/>
      <c r="E12013" s="27"/>
      <c r="F12013" s="27"/>
      <c r="G12013" s="27" t="s">
        <v>11122</v>
      </c>
      <c r="H12013" s="27" t="s">
        <v>35</v>
      </c>
      <c r="I12013" s="27" t="s">
        <v>42</v>
      </c>
      <c r="J12013" s="28" t="s">
        <v>3270</v>
      </c>
      <c r="K12013" s="27" t="s">
        <v>3271</v>
      </c>
      <c r="L12013" s="27"/>
    </row>
    <row r="12014" customFormat="false" ht="15" hidden="false" customHeight="false" outlineLevel="0" collapsed="false">
      <c r="A12014" s="26" t="s">
        <v>28943</v>
      </c>
      <c r="B12014" s="27" t="s">
        <v>28944</v>
      </c>
      <c r="C12014" s="27" t="s">
        <v>144</v>
      </c>
      <c r="D12014" s="26"/>
      <c r="E12014" s="27"/>
      <c r="F12014" s="27"/>
      <c r="G12014" s="27" t="s">
        <v>11122</v>
      </c>
      <c r="H12014" s="27" t="s">
        <v>35</v>
      </c>
      <c r="I12014" s="27" t="s">
        <v>42</v>
      </c>
      <c r="J12014" s="28" t="s">
        <v>3270</v>
      </c>
      <c r="K12014" s="27" t="s">
        <v>3271</v>
      </c>
      <c r="L12014" s="27"/>
    </row>
    <row r="12015" customFormat="false" ht="15" hidden="false" customHeight="false" outlineLevel="0" collapsed="false">
      <c r="A12015" s="26" t="s">
        <v>28945</v>
      </c>
      <c r="B12015" s="27" t="s">
        <v>28946</v>
      </c>
      <c r="C12015" s="27" t="s">
        <v>144</v>
      </c>
      <c r="D12015" s="26"/>
      <c r="E12015" s="27"/>
      <c r="F12015" s="27"/>
      <c r="G12015" s="27" t="s">
        <v>11122</v>
      </c>
      <c r="H12015" s="27" t="s">
        <v>35</v>
      </c>
      <c r="I12015" s="27" t="s">
        <v>39</v>
      </c>
      <c r="J12015" s="28" t="s">
        <v>3270</v>
      </c>
      <c r="K12015" s="27" t="s">
        <v>3271</v>
      </c>
      <c r="L12015" s="27"/>
    </row>
    <row r="12016" customFormat="false" ht="15" hidden="false" customHeight="false" outlineLevel="0" collapsed="false">
      <c r="A12016" s="26" t="s">
        <v>28947</v>
      </c>
      <c r="B12016" s="27" t="s">
        <v>28948</v>
      </c>
      <c r="C12016" s="27" t="s">
        <v>144</v>
      </c>
      <c r="D12016" s="26"/>
      <c r="E12016" s="27"/>
      <c r="F12016" s="27"/>
      <c r="G12016" s="27" t="s">
        <v>11122</v>
      </c>
      <c r="H12016" s="27" t="s">
        <v>35</v>
      </c>
      <c r="I12016" s="27" t="s">
        <v>42</v>
      </c>
      <c r="J12016" s="28" t="s">
        <v>3270</v>
      </c>
      <c r="K12016" s="27" t="s">
        <v>3271</v>
      </c>
      <c r="L12016" s="27"/>
    </row>
    <row r="12017" customFormat="false" ht="15" hidden="false" customHeight="false" outlineLevel="0" collapsed="false">
      <c r="A12017" s="26" t="s">
        <v>28949</v>
      </c>
      <c r="B12017" s="27" t="s">
        <v>28950</v>
      </c>
      <c r="C12017" s="27" t="s">
        <v>144</v>
      </c>
      <c r="D12017" s="26"/>
      <c r="E12017" s="27"/>
      <c r="F12017" s="27"/>
      <c r="G12017" s="27" t="s">
        <v>11122</v>
      </c>
      <c r="H12017" s="27" t="s">
        <v>35</v>
      </c>
      <c r="I12017" s="27" t="s">
        <v>39</v>
      </c>
      <c r="J12017" s="28" t="s">
        <v>3270</v>
      </c>
      <c r="K12017" s="27" t="s">
        <v>3271</v>
      </c>
      <c r="L12017" s="27"/>
    </row>
    <row r="12018" customFormat="false" ht="15" hidden="false" customHeight="false" outlineLevel="0" collapsed="false">
      <c r="A12018" s="26" t="s">
        <v>28951</v>
      </c>
      <c r="B12018" s="27" t="s">
        <v>28952</v>
      </c>
      <c r="C12018" s="27" t="s">
        <v>144</v>
      </c>
      <c r="D12018" s="26"/>
      <c r="E12018" s="27"/>
      <c r="F12018" s="27"/>
      <c r="G12018" s="27" t="s">
        <v>11122</v>
      </c>
      <c r="H12018" s="27" t="s">
        <v>35</v>
      </c>
      <c r="I12018" s="27" t="s">
        <v>3271</v>
      </c>
      <c r="J12018" s="28" t="s">
        <v>3270</v>
      </c>
      <c r="K12018" s="27" t="s">
        <v>3271</v>
      </c>
      <c r="L12018" s="27"/>
    </row>
    <row r="12019" customFormat="false" ht="15" hidden="false" customHeight="false" outlineLevel="0" collapsed="false">
      <c r="A12019" s="26" t="s">
        <v>28953</v>
      </c>
      <c r="B12019" s="27" t="s">
        <v>28954</v>
      </c>
      <c r="C12019" s="27" t="s">
        <v>1087</v>
      </c>
      <c r="D12019" s="26"/>
      <c r="E12019" s="27"/>
      <c r="F12019" s="27"/>
      <c r="G12019" s="27" t="s">
        <v>11122</v>
      </c>
      <c r="H12019" s="27" t="s">
        <v>35</v>
      </c>
      <c r="I12019" s="27" t="s">
        <v>1578</v>
      </c>
      <c r="J12019" s="28" t="s">
        <v>3270</v>
      </c>
      <c r="K12019" s="27" t="s">
        <v>3271</v>
      </c>
      <c r="L12019" s="27"/>
    </row>
    <row r="12020" customFormat="false" ht="15" hidden="false" customHeight="false" outlineLevel="0" collapsed="false">
      <c r="A12020" s="26" t="s">
        <v>28955</v>
      </c>
      <c r="B12020" s="27" t="s">
        <v>28956</v>
      </c>
      <c r="C12020" s="27" t="s">
        <v>144</v>
      </c>
      <c r="D12020" s="26"/>
      <c r="E12020" s="27"/>
      <c r="F12020" s="27"/>
      <c r="G12020" s="27" t="s">
        <v>11122</v>
      </c>
      <c r="H12020" s="27" t="s">
        <v>35</v>
      </c>
      <c r="I12020" s="27" t="s">
        <v>43</v>
      </c>
      <c r="J12020" s="28" t="s">
        <v>3270</v>
      </c>
      <c r="K12020" s="27" t="s">
        <v>3271</v>
      </c>
      <c r="L12020" s="27"/>
    </row>
    <row r="12021" customFormat="false" ht="15" hidden="false" customHeight="false" outlineLevel="0" collapsed="false">
      <c r="A12021" s="26" t="s">
        <v>28957</v>
      </c>
      <c r="B12021" s="27" t="s">
        <v>28958</v>
      </c>
      <c r="C12021" s="27" t="s">
        <v>144</v>
      </c>
      <c r="D12021" s="26"/>
      <c r="E12021" s="27"/>
      <c r="F12021" s="27"/>
      <c r="G12021" s="27" t="s">
        <v>11122</v>
      </c>
      <c r="H12021" s="27" t="s">
        <v>35</v>
      </c>
      <c r="I12021" s="27" t="s">
        <v>43</v>
      </c>
      <c r="J12021" s="28" t="s">
        <v>3270</v>
      </c>
      <c r="K12021" s="27" t="s">
        <v>3271</v>
      </c>
      <c r="L12021" s="27"/>
    </row>
    <row r="12022" customFormat="false" ht="15" hidden="false" customHeight="false" outlineLevel="0" collapsed="false">
      <c r="A12022" s="26" t="s">
        <v>28959</v>
      </c>
      <c r="B12022" s="27" t="s">
        <v>28960</v>
      </c>
      <c r="C12022" s="27" t="s">
        <v>144</v>
      </c>
      <c r="D12022" s="26"/>
      <c r="E12022" s="27"/>
      <c r="F12022" s="27"/>
      <c r="G12022" s="27" t="s">
        <v>11122</v>
      </c>
      <c r="H12022" s="27" t="s">
        <v>35</v>
      </c>
      <c r="I12022" s="27" t="s">
        <v>38</v>
      </c>
      <c r="J12022" s="28" t="s">
        <v>3270</v>
      </c>
      <c r="K12022" s="27" t="s">
        <v>3271</v>
      </c>
      <c r="L12022" s="27"/>
    </row>
    <row r="12023" customFormat="false" ht="15" hidden="false" customHeight="false" outlineLevel="0" collapsed="false">
      <c r="A12023" s="26" t="s">
        <v>28961</v>
      </c>
      <c r="B12023" s="27" t="s">
        <v>28962</v>
      </c>
      <c r="C12023" s="27" t="s">
        <v>144</v>
      </c>
      <c r="D12023" s="26"/>
      <c r="E12023" s="27"/>
      <c r="F12023" s="27"/>
      <c r="G12023" s="27" t="s">
        <v>11122</v>
      </c>
      <c r="H12023" s="27" t="s">
        <v>35</v>
      </c>
      <c r="I12023" s="27" t="s">
        <v>37</v>
      </c>
      <c r="J12023" s="28" t="s">
        <v>3270</v>
      </c>
      <c r="K12023" s="27" t="s">
        <v>3271</v>
      </c>
      <c r="L12023" s="27"/>
    </row>
    <row r="12024" customFormat="false" ht="15" hidden="false" customHeight="false" outlineLevel="0" collapsed="false">
      <c r="A12024" s="26" t="s">
        <v>28963</v>
      </c>
      <c r="B12024" s="27" t="s">
        <v>28964</v>
      </c>
      <c r="C12024" s="27" t="s">
        <v>144</v>
      </c>
      <c r="D12024" s="26"/>
      <c r="E12024" s="27"/>
      <c r="F12024" s="27"/>
      <c r="G12024" s="27" t="s">
        <v>11122</v>
      </c>
      <c r="H12024" s="27" t="s">
        <v>35</v>
      </c>
      <c r="I12024" s="27" t="s">
        <v>37</v>
      </c>
      <c r="J12024" s="28" t="s">
        <v>3270</v>
      </c>
      <c r="K12024" s="27" t="s">
        <v>3271</v>
      </c>
      <c r="L12024" s="27"/>
    </row>
    <row r="12025" customFormat="false" ht="15" hidden="false" customHeight="false" outlineLevel="0" collapsed="false">
      <c r="A12025" s="26" t="s">
        <v>28965</v>
      </c>
      <c r="B12025" s="27" t="s">
        <v>28966</v>
      </c>
      <c r="C12025" s="27" t="s">
        <v>144</v>
      </c>
      <c r="D12025" s="26"/>
      <c r="E12025" s="27"/>
      <c r="F12025" s="27"/>
      <c r="G12025" s="27" t="s">
        <v>11122</v>
      </c>
      <c r="H12025" s="27" t="s">
        <v>35</v>
      </c>
      <c r="I12025" s="27" t="s">
        <v>41</v>
      </c>
      <c r="J12025" s="28" t="s">
        <v>3270</v>
      </c>
      <c r="K12025" s="27" t="s">
        <v>3271</v>
      </c>
      <c r="L12025" s="27"/>
    </row>
    <row r="12026" customFormat="false" ht="15" hidden="false" customHeight="false" outlineLevel="0" collapsed="false">
      <c r="A12026" s="26" t="s">
        <v>28967</v>
      </c>
      <c r="B12026" s="27" t="s">
        <v>28968</v>
      </c>
      <c r="C12026" s="27" t="s">
        <v>144</v>
      </c>
      <c r="D12026" s="26"/>
      <c r="E12026" s="27"/>
      <c r="F12026" s="27"/>
      <c r="G12026" s="27" t="s">
        <v>11122</v>
      </c>
      <c r="H12026" s="27" t="s">
        <v>35</v>
      </c>
      <c r="I12026" s="27" t="s">
        <v>41</v>
      </c>
      <c r="J12026" s="28" t="s">
        <v>3270</v>
      </c>
      <c r="K12026" s="27" t="s">
        <v>3271</v>
      </c>
      <c r="L12026" s="27"/>
    </row>
    <row r="12027" customFormat="false" ht="15" hidden="false" customHeight="false" outlineLevel="0" collapsed="false">
      <c r="A12027" s="26" t="s">
        <v>28969</v>
      </c>
      <c r="B12027" s="27" t="s">
        <v>28970</v>
      </c>
      <c r="C12027" s="27" t="s">
        <v>144</v>
      </c>
      <c r="D12027" s="26"/>
      <c r="E12027" s="27"/>
      <c r="F12027" s="27"/>
      <c r="G12027" s="27" t="s">
        <v>11122</v>
      </c>
      <c r="H12027" s="27" t="s">
        <v>35</v>
      </c>
      <c r="I12027" s="27" t="s">
        <v>41</v>
      </c>
      <c r="J12027" s="28" t="s">
        <v>3270</v>
      </c>
      <c r="K12027" s="27" t="s">
        <v>3271</v>
      </c>
      <c r="L12027" s="27"/>
    </row>
    <row r="12028" customFormat="false" ht="15" hidden="false" customHeight="false" outlineLevel="0" collapsed="false">
      <c r="A12028" s="26" t="s">
        <v>28971</v>
      </c>
      <c r="B12028" s="27" t="s">
        <v>28972</v>
      </c>
      <c r="C12028" s="27" t="s">
        <v>144</v>
      </c>
      <c r="D12028" s="26"/>
      <c r="E12028" s="27"/>
      <c r="F12028" s="27"/>
      <c r="G12028" s="27" t="s">
        <v>11122</v>
      </c>
      <c r="H12028" s="27" t="s">
        <v>35</v>
      </c>
      <c r="I12028" s="27" t="s">
        <v>41</v>
      </c>
      <c r="J12028" s="28" t="s">
        <v>3270</v>
      </c>
      <c r="K12028" s="27" t="s">
        <v>3271</v>
      </c>
      <c r="L12028" s="27"/>
    </row>
    <row r="12029" customFormat="false" ht="15" hidden="false" customHeight="false" outlineLevel="0" collapsed="false">
      <c r="A12029" s="26" t="s">
        <v>28973</v>
      </c>
      <c r="B12029" s="27" t="s">
        <v>28974</v>
      </c>
      <c r="C12029" s="27" t="s">
        <v>144</v>
      </c>
      <c r="D12029" s="26"/>
      <c r="E12029" s="27"/>
      <c r="F12029" s="27"/>
      <c r="G12029" s="27" t="s">
        <v>11122</v>
      </c>
      <c r="H12029" s="27" t="s">
        <v>35</v>
      </c>
      <c r="I12029" s="27" t="s">
        <v>41</v>
      </c>
      <c r="J12029" s="28" t="s">
        <v>3270</v>
      </c>
      <c r="K12029" s="27" t="s">
        <v>3271</v>
      </c>
      <c r="L12029" s="27"/>
    </row>
    <row r="12030" customFormat="false" ht="15" hidden="false" customHeight="false" outlineLevel="0" collapsed="false">
      <c r="A12030" s="26" t="s">
        <v>28975</v>
      </c>
      <c r="B12030" s="27" t="s">
        <v>28976</v>
      </c>
      <c r="C12030" s="27" t="s">
        <v>144</v>
      </c>
      <c r="D12030" s="26"/>
      <c r="E12030" s="27"/>
      <c r="F12030" s="27"/>
      <c r="G12030" s="27" t="s">
        <v>11122</v>
      </c>
      <c r="H12030" s="27" t="s">
        <v>35</v>
      </c>
      <c r="I12030" s="27" t="s">
        <v>41</v>
      </c>
      <c r="J12030" s="28" t="s">
        <v>3270</v>
      </c>
      <c r="K12030" s="27" t="s">
        <v>3271</v>
      </c>
      <c r="L12030" s="27"/>
    </row>
    <row r="12031" customFormat="false" ht="15" hidden="false" customHeight="false" outlineLevel="0" collapsed="false">
      <c r="A12031" s="26" t="s">
        <v>28977</v>
      </c>
      <c r="B12031" s="27" t="s">
        <v>28978</v>
      </c>
      <c r="C12031" s="27" t="s">
        <v>131</v>
      </c>
      <c r="D12031" s="26"/>
      <c r="E12031" s="27"/>
      <c r="F12031" s="27"/>
      <c r="G12031" s="27" t="s">
        <v>11122</v>
      </c>
      <c r="H12031" s="27" t="s">
        <v>35</v>
      </c>
      <c r="I12031" s="27" t="s">
        <v>49</v>
      </c>
      <c r="J12031" s="28" t="s">
        <v>3270</v>
      </c>
      <c r="K12031" s="27" t="s">
        <v>3271</v>
      </c>
      <c r="L12031" s="27"/>
    </row>
    <row r="12032" customFormat="false" ht="15" hidden="false" customHeight="false" outlineLevel="0" collapsed="false">
      <c r="A12032" s="26" t="s">
        <v>28979</v>
      </c>
      <c r="B12032" s="27" t="s">
        <v>28980</v>
      </c>
      <c r="C12032" s="27" t="s">
        <v>131</v>
      </c>
      <c r="D12032" s="26"/>
      <c r="E12032" s="27"/>
      <c r="F12032" s="27"/>
      <c r="G12032" s="27" t="s">
        <v>11122</v>
      </c>
      <c r="H12032" s="27" t="s">
        <v>35</v>
      </c>
      <c r="I12032" s="27" t="s">
        <v>39</v>
      </c>
      <c r="J12032" s="28" t="s">
        <v>3270</v>
      </c>
      <c r="K12032" s="27" t="s">
        <v>3271</v>
      </c>
      <c r="L12032" s="27"/>
    </row>
    <row r="12033" customFormat="false" ht="15" hidden="false" customHeight="false" outlineLevel="0" collapsed="false">
      <c r="A12033" s="26" t="s">
        <v>28981</v>
      </c>
      <c r="B12033" s="27" t="s">
        <v>28982</v>
      </c>
      <c r="C12033" s="27" t="s">
        <v>144</v>
      </c>
      <c r="D12033" s="26"/>
      <c r="E12033" s="27"/>
      <c r="F12033" s="27"/>
      <c r="G12033" s="27" t="s">
        <v>11122</v>
      </c>
      <c r="H12033" s="27" t="s">
        <v>35</v>
      </c>
      <c r="I12033" s="27" t="s">
        <v>41</v>
      </c>
      <c r="J12033" s="28" t="s">
        <v>3277</v>
      </c>
      <c r="K12033" s="27" t="s">
        <v>37</v>
      </c>
      <c r="L12033" s="27"/>
    </row>
    <row r="12034" customFormat="false" ht="15" hidden="false" customHeight="false" outlineLevel="0" collapsed="false">
      <c r="A12034" s="26" t="s">
        <v>28983</v>
      </c>
      <c r="B12034" s="27" t="s">
        <v>28984</v>
      </c>
      <c r="C12034" s="27" t="s">
        <v>144</v>
      </c>
      <c r="D12034" s="26"/>
      <c r="E12034" s="27"/>
      <c r="F12034" s="27"/>
      <c r="G12034" s="27" t="s">
        <v>11122</v>
      </c>
      <c r="H12034" s="27" t="s">
        <v>35</v>
      </c>
      <c r="I12034" s="27" t="s">
        <v>41</v>
      </c>
      <c r="J12034" s="28" t="s">
        <v>3277</v>
      </c>
      <c r="K12034" s="27" t="s">
        <v>37</v>
      </c>
      <c r="L12034" s="27"/>
    </row>
    <row r="12035" customFormat="false" ht="15" hidden="false" customHeight="false" outlineLevel="0" collapsed="false">
      <c r="A12035" s="26" t="s">
        <v>28985</v>
      </c>
      <c r="B12035" s="27" t="s">
        <v>28986</v>
      </c>
      <c r="C12035" s="27" t="s">
        <v>144</v>
      </c>
      <c r="D12035" s="26"/>
      <c r="E12035" s="27"/>
      <c r="F12035" s="27"/>
      <c r="G12035" s="27" t="s">
        <v>11122</v>
      </c>
      <c r="H12035" s="27" t="s">
        <v>35</v>
      </c>
      <c r="I12035" s="27" t="s">
        <v>41</v>
      </c>
      <c r="J12035" s="28" t="s">
        <v>3277</v>
      </c>
      <c r="K12035" s="27" t="s">
        <v>37</v>
      </c>
      <c r="L12035" s="27"/>
    </row>
    <row r="12036" customFormat="false" ht="15" hidden="false" customHeight="false" outlineLevel="0" collapsed="false">
      <c r="A12036" s="26" t="s">
        <v>28987</v>
      </c>
      <c r="B12036" s="27" t="s">
        <v>28988</v>
      </c>
      <c r="C12036" s="27" t="s">
        <v>144</v>
      </c>
      <c r="D12036" s="26"/>
      <c r="E12036" s="27"/>
      <c r="F12036" s="27"/>
      <c r="G12036" s="27" t="s">
        <v>11122</v>
      </c>
      <c r="H12036" s="27" t="s">
        <v>35</v>
      </c>
      <c r="I12036" s="27" t="s">
        <v>43</v>
      </c>
      <c r="J12036" s="28" t="s">
        <v>3277</v>
      </c>
      <c r="K12036" s="27" t="s">
        <v>37</v>
      </c>
      <c r="L12036" s="27"/>
    </row>
    <row r="12037" customFormat="false" ht="15" hidden="false" customHeight="false" outlineLevel="0" collapsed="false">
      <c r="A12037" s="26" t="s">
        <v>28989</v>
      </c>
      <c r="B12037" s="27" t="s">
        <v>28990</v>
      </c>
      <c r="C12037" s="27" t="s">
        <v>144</v>
      </c>
      <c r="D12037" s="26"/>
      <c r="E12037" s="27"/>
      <c r="F12037" s="27"/>
      <c r="G12037" s="27" t="s">
        <v>11122</v>
      </c>
      <c r="H12037" s="27" t="s">
        <v>35</v>
      </c>
      <c r="I12037" s="27" t="s">
        <v>44</v>
      </c>
      <c r="J12037" s="28" t="s">
        <v>3277</v>
      </c>
      <c r="K12037" s="27" t="s">
        <v>37</v>
      </c>
      <c r="L12037" s="27"/>
    </row>
    <row r="12038" customFormat="false" ht="15" hidden="false" customHeight="false" outlineLevel="0" collapsed="false">
      <c r="A12038" s="26" t="s">
        <v>28991</v>
      </c>
      <c r="B12038" s="27" t="s">
        <v>28992</v>
      </c>
      <c r="C12038" s="27" t="s">
        <v>144</v>
      </c>
      <c r="D12038" s="26"/>
      <c r="E12038" s="27"/>
      <c r="F12038" s="27"/>
      <c r="G12038" s="27" t="s">
        <v>11122</v>
      </c>
      <c r="H12038" s="27" t="s">
        <v>35</v>
      </c>
      <c r="I12038" s="27" t="s">
        <v>37</v>
      </c>
      <c r="J12038" s="28" t="s">
        <v>3277</v>
      </c>
      <c r="K12038" s="27" t="s">
        <v>37</v>
      </c>
      <c r="L12038" s="27"/>
    </row>
    <row r="12039" customFormat="false" ht="15" hidden="false" customHeight="false" outlineLevel="0" collapsed="false">
      <c r="A12039" s="26" t="s">
        <v>28993</v>
      </c>
      <c r="B12039" s="27" t="s">
        <v>28994</v>
      </c>
      <c r="C12039" s="27" t="s">
        <v>144</v>
      </c>
      <c r="D12039" s="26"/>
      <c r="E12039" s="27"/>
      <c r="F12039" s="27"/>
      <c r="G12039" s="27" t="s">
        <v>11122</v>
      </c>
      <c r="H12039" s="27" t="s">
        <v>35</v>
      </c>
      <c r="I12039" s="27" t="s">
        <v>37</v>
      </c>
      <c r="J12039" s="28" t="s">
        <v>3277</v>
      </c>
      <c r="K12039" s="27" t="s">
        <v>37</v>
      </c>
      <c r="L12039" s="27"/>
    </row>
    <row r="12040" customFormat="false" ht="15" hidden="false" customHeight="false" outlineLevel="0" collapsed="false">
      <c r="A12040" s="26" t="s">
        <v>28995</v>
      </c>
      <c r="B12040" s="27" t="s">
        <v>28996</v>
      </c>
      <c r="C12040" s="27" t="s">
        <v>144</v>
      </c>
      <c r="D12040" s="26"/>
      <c r="E12040" s="27"/>
      <c r="F12040" s="27"/>
      <c r="G12040" s="27" t="s">
        <v>11122</v>
      </c>
      <c r="H12040" s="27" t="s">
        <v>35</v>
      </c>
      <c r="I12040" s="27" t="s">
        <v>37</v>
      </c>
      <c r="J12040" s="28" t="s">
        <v>3277</v>
      </c>
      <c r="K12040" s="27" t="s">
        <v>37</v>
      </c>
      <c r="L12040" s="27"/>
    </row>
    <row r="12041" customFormat="false" ht="15" hidden="false" customHeight="false" outlineLevel="0" collapsed="false">
      <c r="A12041" s="26" t="s">
        <v>28997</v>
      </c>
      <c r="B12041" s="27" t="s">
        <v>28998</v>
      </c>
      <c r="C12041" s="27" t="s">
        <v>1612</v>
      </c>
      <c r="D12041" s="26"/>
      <c r="E12041" s="27"/>
      <c r="F12041" s="27"/>
      <c r="G12041" s="27" t="s">
        <v>11122</v>
      </c>
      <c r="H12041" s="27" t="s">
        <v>35</v>
      </c>
      <c r="I12041" s="27" t="s">
        <v>37</v>
      </c>
      <c r="J12041" s="28" t="s">
        <v>3277</v>
      </c>
      <c r="K12041" s="27" t="s">
        <v>37</v>
      </c>
      <c r="L12041" s="27"/>
    </row>
    <row r="12042" customFormat="false" ht="15" hidden="false" customHeight="false" outlineLevel="0" collapsed="false">
      <c r="A12042" s="26" t="s">
        <v>28999</v>
      </c>
      <c r="B12042" s="27" t="s">
        <v>29000</v>
      </c>
      <c r="C12042" s="27" t="s">
        <v>144</v>
      </c>
      <c r="D12042" s="26"/>
      <c r="E12042" s="27"/>
      <c r="F12042" s="27"/>
      <c r="G12042" s="27" t="s">
        <v>11122</v>
      </c>
      <c r="H12042" s="27" t="s">
        <v>35</v>
      </c>
      <c r="I12042" s="27" t="s">
        <v>37</v>
      </c>
      <c r="J12042" s="28" t="s">
        <v>3277</v>
      </c>
      <c r="K12042" s="27" t="s">
        <v>37</v>
      </c>
      <c r="L12042" s="27"/>
    </row>
    <row r="12043" customFormat="false" ht="15" hidden="false" customHeight="false" outlineLevel="0" collapsed="false">
      <c r="A12043" s="26" t="s">
        <v>29001</v>
      </c>
      <c r="B12043" s="27" t="s">
        <v>29002</v>
      </c>
      <c r="C12043" s="27" t="s">
        <v>144</v>
      </c>
      <c r="D12043" s="26"/>
      <c r="E12043" s="27"/>
      <c r="F12043" s="27"/>
      <c r="G12043" s="27" t="s">
        <v>11122</v>
      </c>
      <c r="H12043" s="27" t="s">
        <v>35</v>
      </c>
      <c r="I12043" s="27" t="s">
        <v>1578</v>
      </c>
      <c r="J12043" s="28" t="s">
        <v>3277</v>
      </c>
      <c r="K12043" s="27" t="s">
        <v>37</v>
      </c>
      <c r="L12043" s="27"/>
    </row>
    <row r="12044" customFormat="false" ht="15" hidden="false" customHeight="false" outlineLevel="0" collapsed="false">
      <c r="A12044" s="26" t="s">
        <v>29003</v>
      </c>
      <c r="B12044" s="27" t="s">
        <v>29004</v>
      </c>
      <c r="C12044" s="27" t="s">
        <v>1187</v>
      </c>
      <c r="D12044" s="26"/>
      <c r="E12044" s="27"/>
      <c r="F12044" s="27"/>
      <c r="G12044" s="27" t="s">
        <v>11122</v>
      </c>
      <c r="H12044" s="27" t="s">
        <v>35</v>
      </c>
      <c r="I12044" s="27" t="s">
        <v>47</v>
      </c>
      <c r="J12044" s="28" t="s">
        <v>3277</v>
      </c>
      <c r="K12044" s="27" t="s">
        <v>37</v>
      </c>
      <c r="L12044" s="27"/>
    </row>
    <row r="12045" customFormat="false" ht="15" hidden="false" customHeight="false" outlineLevel="0" collapsed="false">
      <c r="A12045" s="26" t="s">
        <v>29005</v>
      </c>
      <c r="B12045" s="27" t="s">
        <v>29006</v>
      </c>
      <c r="C12045" s="27" t="s">
        <v>1187</v>
      </c>
      <c r="D12045" s="26"/>
      <c r="E12045" s="27"/>
      <c r="F12045" s="27"/>
      <c r="G12045" s="27" t="s">
        <v>11122</v>
      </c>
      <c r="H12045" s="27" t="s">
        <v>35</v>
      </c>
      <c r="I12045" s="27" t="s">
        <v>39</v>
      </c>
      <c r="J12045" s="28" t="s">
        <v>3277</v>
      </c>
      <c r="K12045" s="27" t="s">
        <v>37</v>
      </c>
      <c r="L12045" s="27"/>
    </row>
    <row r="12046" customFormat="false" ht="15" hidden="false" customHeight="false" outlineLevel="0" collapsed="false">
      <c r="A12046" s="26" t="s">
        <v>29007</v>
      </c>
      <c r="B12046" s="27" t="s">
        <v>29008</v>
      </c>
      <c r="C12046" s="27" t="s">
        <v>144</v>
      </c>
      <c r="D12046" s="26"/>
      <c r="E12046" s="27"/>
      <c r="F12046" s="27"/>
      <c r="G12046" s="27" t="s">
        <v>11122</v>
      </c>
      <c r="H12046" s="27" t="s">
        <v>35</v>
      </c>
      <c r="I12046" s="27" t="s">
        <v>39</v>
      </c>
      <c r="J12046" s="28" t="s">
        <v>3277</v>
      </c>
      <c r="K12046" s="27" t="s">
        <v>37</v>
      </c>
      <c r="L12046" s="27"/>
    </row>
    <row r="12047" customFormat="false" ht="15" hidden="false" customHeight="false" outlineLevel="0" collapsed="false">
      <c r="A12047" s="26" t="s">
        <v>29009</v>
      </c>
      <c r="B12047" s="27" t="s">
        <v>29010</v>
      </c>
      <c r="C12047" s="27" t="s">
        <v>144</v>
      </c>
      <c r="D12047" s="26"/>
      <c r="E12047" s="27"/>
      <c r="F12047" s="27"/>
      <c r="G12047" s="27" t="s">
        <v>11122</v>
      </c>
      <c r="H12047" s="27" t="s">
        <v>35</v>
      </c>
      <c r="I12047" s="27" t="s">
        <v>4159</v>
      </c>
      <c r="J12047" s="28" t="s">
        <v>3277</v>
      </c>
      <c r="K12047" s="27" t="s">
        <v>37</v>
      </c>
      <c r="L12047" s="27"/>
    </row>
    <row r="12048" customFormat="false" ht="15" hidden="false" customHeight="false" outlineLevel="0" collapsed="false">
      <c r="A12048" s="26" t="s">
        <v>29011</v>
      </c>
      <c r="B12048" s="27" t="s">
        <v>29012</v>
      </c>
      <c r="C12048" s="27" t="s">
        <v>144</v>
      </c>
      <c r="D12048" s="26"/>
      <c r="E12048" s="27"/>
      <c r="F12048" s="27"/>
      <c r="G12048" s="27" t="s">
        <v>11122</v>
      </c>
      <c r="H12048" s="27" t="s">
        <v>35</v>
      </c>
      <c r="I12048" s="27" t="s">
        <v>40</v>
      </c>
      <c r="J12048" s="28" t="s">
        <v>3277</v>
      </c>
      <c r="K12048" s="27" t="s">
        <v>37</v>
      </c>
      <c r="L12048" s="27"/>
    </row>
    <row r="12049" customFormat="false" ht="15" hidden="false" customHeight="false" outlineLevel="0" collapsed="false">
      <c r="A12049" s="26" t="s">
        <v>29013</v>
      </c>
      <c r="B12049" s="27" t="s">
        <v>29014</v>
      </c>
      <c r="C12049" s="27" t="s">
        <v>144</v>
      </c>
      <c r="D12049" s="26"/>
      <c r="E12049" s="27"/>
      <c r="F12049" s="27"/>
      <c r="G12049" s="27" t="s">
        <v>11122</v>
      </c>
      <c r="H12049" s="27" t="s">
        <v>35</v>
      </c>
      <c r="I12049" s="27" t="s">
        <v>39</v>
      </c>
      <c r="J12049" s="28" t="s">
        <v>3277</v>
      </c>
      <c r="K12049" s="27" t="s">
        <v>37</v>
      </c>
      <c r="L12049" s="27"/>
    </row>
    <row r="12050" customFormat="false" ht="15" hidden="false" customHeight="false" outlineLevel="0" collapsed="false">
      <c r="A12050" s="26" t="s">
        <v>29015</v>
      </c>
      <c r="B12050" s="27" t="s">
        <v>29016</v>
      </c>
      <c r="C12050" s="27" t="s">
        <v>144</v>
      </c>
      <c r="D12050" s="26"/>
      <c r="E12050" s="27"/>
      <c r="F12050" s="27"/>
      <c r="G12050" s="27" t="s">
        <v>11122</v>
      </c>
      <c r="H12050" s="27" t="s">
        <v>35</v>
      </c>
      <c r="I12050" s="27" t="s">
        <v>47</v>
      </c>
      <c r="J12050" s="28" t="s">
        <v>3277</v>
      </c>
      <c r="K12050" s="27" t="s">
        <v>37</v>
      </c>
      <c r="L12050" s="27"/>
    </row>
    <row r="12051" customFormat="false" ht="15" hidden="false" customHeight="false" outlineLevel="0" collapsed="false">
      <c r="A12051" s="26" t="s">
        <v>29017</v>
      </c>
      <c r="B12051" s="27" t="s">
        <v>29018</v>
      </c>
      <c r="C12051" s="27" t="s">
        <v>144</v>
      </c>
      <c r="D12051" s="26"/>
      <c r="E12051" s="27"/>
      <c r="F12051" s="27"/>
      <c r="G12051" s="27" t="s">
        <v>11122</v>
      </c>
      <c r="H12051" s="27" t="s">
        <v>35</v>
      </c>
      <c r="I12051" s="27" t="s">
        <v>1578</v>
      </c>
      <c r="J12051" s="28" t="s">
        <v>3277</v>
      </c>
      <c r="K12051" s="27" t="s">
        <v>37</v>
      </c>
      <c r="L12051" s="27"/>
    </row>
    <row r="12052" customFormat="false" ht="15" hidden="false" customHeight="false" outlineLevel="0" collapsed="false">
      <c r="A12052" s="26" t="s">
        <v>29019</v>
      </c>
      <c r="B12052" s="27" t="s">
        <v>29020</v>
      </c>
      <c r="C12052" s="27" t="s">
        <v>144</v>
      </c>
      <c r="D12052" s="26"/>
      <c r="E12052" s="27"/>
      <c r="F12052" s="27"/>
      <c r="G12052" s="27" t="s">
        <v>11122</v>
      </c>
      <c r="H12052" s="27" t="s">
        <v>35</v>
      </c>
      <c r="I12052" s="27" t="s">
        <v>41</v>
      </c>
      <c r="J12052" s="28" t="s">
        <v>1288</v>
      </c>
      <c r="K12052" s="27" t="s">
        <v>40</v>
      </c>
      <c r="L12052" s="27"/>
    </row>
    <row r="12053" customFormat="false" ht="15" hidden="false" customHeight="false" outlineLevel="0" collapsed="false">
      <c r="A12053" s="26" t="s">
        <v>29021</v>
      </c>
      <c r="B12053" s="27" t="s">
        <v>29022</v>
      </c>
      <c r="C12053" s="27" t="s">
        <v>144</v>
      </c>
      <c r="D12053" s="26"/>
      <c r="E12053" s="27"/>
      <c r="F12053" s="27"/>
      <c r="G12053" s="27" t="s">
        <v>11122</v>
      </c>
      <c r="H12053" s="27" t="s">
        <v>35</v>
      </c>
      <c r="I12053" s="27" t="s">
        <v>47</v>
      </c>
      <c r="J12053" s="28" t="s">
        <v>1288</v>
      </c>
      <c r="K12053" s="27" t="s">
        <v>40</v>
      </c>
      <c r="L12053" s="27"/>
    </row>
    <row r="12054" customFormat="false" ht="15" hidden="false" customHeight="false" outlineLevel="0" collapsed="false">
      <c r="A12054" s="26" t="s">
        <v>29023</v>
      </c>
      <c r="B12054" s="27" t="s">
        <v>29024</v>
      </c>
      <c r="C12054" s="27" t="s">
        <v>144</v>
      </c>
      <c r="D12054" s="26"/>
      <c r="E12054" s="27"/>
      <c r="F12054" s="27"/>
      <c r="G12054" s="27" t="s">
        <v>11122</v>
      </c>
      <c r="H12054" s="27" t="s">
        <v>35</v>
      </c>
      <c r="I12054" s="27" t="s">
        <v>42</v>
      </c>
      <c r="J12054" s="28" t="s">
        <v>1288</v>
      </c>
      <c r="K12054" s="27" t="s">
        <v>40</v>
      </c>
      <c r="L12054" s="27"/>
    </row>
    <row r="12055" customFormat="false" ht="15" hidden="false" customHeight="false" outlineLevel="0" collapsed="false">
      <c r="A12055" s="26" t="s">
        <v>29025</v>
      </c>
      <c r="B12055" s="27" t="s">
        <v>29026</v>
      </c>
      <c r="C12055" s="27" t="s">
        <v>144</v>
      </c>
      <c r="D12055" s="26"/>
      <c r="E12055" s="27"/>
      <c r="F12055" s="27"/>
      <c r="G12055" s="27" t="s">
        <v>11122</v>
      </c>
      <c r="H12055" s="27" t="s">
        <v>35</v>
      </c>
      <c r="I12055" s="27" t="s">
        <v>44</v>
      </c>
      <c r="J12055" s="28" t="s">
        <v>1288</v>
      </c>
      <c r="K12055" s="27" t="s">
        <v>40</v>
      </c>
      <c r="L12055" s="27"/>
    </row>
    <row r="12056" customFormat="false" ht="15" hidden="false" customHeight="false" outlineLevel="0" collapsed="false">
      <c r="A12056" s="26" t="s">
        <v>29027</v>
      </c>
      <c r="B12056" s="27" t="s">
        <v>29028</v>
      </c>
      <c r="C12056" s="27" t="s">
        <v>144</v>
      </c>
      <c r="D12056" s="26"/>
      <c r="E12056" s="27"/>
      <c r="F12056" s="27"/>
      <c r="G12056" s="27" t="s">
        <v>11122</v>
      </c>
      <c r="H12056" s="27" t="s">
        <v>35</v>
      </c>
      <c r="I12056" s="27" t="s">
        <v>47</v>
      </c>
      <c r="J12056" s="28" t="s">
        <v>1288</v>
      </c>
      <c r="K12056" s="27" t="s">
        <v>40</v>
      </c>
      <c r="L12056" s="27"/>
    </row>
    <row r="12057" customFormat="false" ht="15" hidden="false" customHeight="false" outlineLevel="0" collapsed="false">
      <c r="A12057" s="26" t="s">
        <v>29029</v>
      </c>
      <c r="B12057" s="27" t="s">
        <v>29030</v>
      </c>
      <c r="C12057" s="27" t="s">
        <v>144</v>
      </c>
      <c r="D12057" s="26"/>
      <c r="E12057" s="27"/>
      <c r="F12057" s="27"/>
      <c r="G12057" s="27" t="s">
        <v>11122</v>
      </c>
      <c r="H12057" s="27" t="s">
        <v>35</v>
      </c>
      <c r="I12057" s="27" t="s">
        <v>39</v>
      </c>
      <c r="J12057" s="28" t="s">
        <v>1288</v>
      </c>
      <c r="K12057" s="27" t="s">
        <v>40</v>
      </c>
      <c r="L12057" s="27"/>
    </row>
    <row r="12058" customFormat="false" ht="15" hidden="false" customHeight="false" outlineLevel="0" collapsed="false">
      <c r="A12058" s="26" t="s">
        <v>29031</v>
      </c>
      <c r="B12058" s="27" t="s">
        <v>29032</v>
      </c>
      <c r="C12058" s="27" t="s">
        <v>144</v>
      </c>
      <c r="D12058" s="26"/>
      <c r="E12058" s="27"/>
      <c r="F12058" s="27"/>
      <c r="G12058" s="27" t="s">
        <v>11122</v>
      </c>
      <c r="H12058" s="27" t="s">
        <v>35</v>
      </c>
      <c r="I12058" s="27" t="s">
        <v>39</v>
      </c>
      <c r="J12058" s="28" t="s">
        <v>1288</v>
      </c>
      <c r="K12058" s="27" t="s">
        <v>40</v>
      </c>
      <c r="L12058" s="27"/>
    </row>
    <row r="12059" customFormat="false" ht="15" hidden="false" customHeight="false" outlineLevel="0" collapsed="false">
      <c r="A12059" s="26" t="s">
        <v>29033</v>
      </c>
      <c r="B12059" s="27" t="s">
        <v>29034</v>
      </c>
      <c r="C12059" s="27" t="s">
        <v>144</v>
      </c>
      <c r="D12059" s="26"/>
      <c r="E12059" s="27"/>
      <c r="F12059" s="27"/>
      <c r="G12059" s="27" t="s">
        <v>11122</v>
      </c>
      <c r="H12059" s="27" t="s">
        <v>35</v>
      </c>
      <c r="I12059" s="27" t="s">
        <v>41</v>
      </c>
      <c r="J12059" s="28" t="s">
        <v>1288</v>
      </c>
      <c r="K12059" s="27" t="s">
        <v>40</v>
      </c>
      <c r="L12059" s="27"/>
    </row>
    <row r="12060" customFormat="false" ht="15" hidden="false" customHeight="false" outlineLevel="0" collapsed="false">
      <c r="A12060" s="26" t="s">
        <v>29035</v>
      </c>
      <c r="B12060" s="27" t="s">
        <v>29036</v>
      </c>
      <c r="C12060" s="27" t="s">
        <v>1527</v>
      </c>
      <c r="D12060" s="26"/>
      <c r="E12060" s="27"/>
      <c r="F12060" s="27"/>
      <c r="G12060" s="27" t="s">
        <v>11122</v>
      </c>
      <c r="H12060" s="27" t="s">
        <v>35</v>
      </c>
      <c r="I12060" s="27" t="s">
        <v>44</v>
      </c>
      <c r="J12060" s="28" t="s">
        <v>1292</v>
      </c>
      <c r="K12060" s="27" t="s">
        <v>39</v>
      </c>
      <c r="L12060" s="27"/>
    </row>
    <row r="12061" customFormat="false" ht="15" hidden="false" customHeight="false" outlineLevel="0" collapsed="false">
      <c r="A12061" s="26" t="s">
        <v>29037</v>
      </c>
      <c r="B12061" s="27" t="s">
        <v>29038</v>
      </c>
      <c r="C12061" s="27" t="s">
        <v>1527</v>
      </c>
      <c r="D12061" s="26"/>
      <c r="E12061" s="27"/>
      <c r="F12061" s="27"/>
      <c r="G12061" s="27" t="s">
        <v>11122</v>
      </c>
      <c r="H12061" s="27" t="s">
        <v>35</v>
      </c>
      <c r="I12061" s="27" t="s">
        <v>887</v>
      </c>
      <c r="J12061" s="28" t="s">
        <v>1292</v>
      </c>
      <c r="K12061" s="27" t="s">
        <v>39</v>
      </c>
      <c r="L12061" s="27"/>
    </row>
    <row r="12062" customFormat="false" ht="15" hidden="false" customHeight="false" outlineLevel="0" collapsed="false">
      <c r="A12062" s="26" t="s">
        <v>29039</v>
      </c>
      <c r="B12062" s="27" t="s">
        <v>29040</v>
      </c>
      <c r="C12062" s="27" t="s">
        <v>144</v>
      </c>
      <c r="D12062" s="26"/>
      <c r="E12062" s="27"/>
      <c r="F12062" s="27"/>
      <c r="G12062" s="27" t="s">
        <v>11122</v>
      </c>
      <c r="H12062" s="27" t="s">
        <v>35</v>
      </c>
      <c r="I12062" s="27" t="s">
        <v>44</v>
      </c>
      <c r="J12062" s="28" t="s">
        <v>1292</v>
      </c>
      <c r="K12062" s="27" t="s">
        <v>39</v>
      </c>
      <c r="L12062" s="27"/>
    </row>
    <row r="12063" customFormat="false" ht="15" hidden="false" customHeight="false" outlineLevel="0" collapsed="false">
      <c r="A12063" s="26" t="s">
        <v>29041</v>
      </c>
      <c r="B12063" s="27" t="s">
        <v>29038</v>
      </c>
      <c r="C12063" s="27" t="s">
        <v>144</v>
      </c>
      <c r="D12063" s="26"/>
      <c r="E12063" s="27"/>
      <c r="F12063" s="27"/>
      <c r="G12063" s="27" t="s">
        <v>11122</v>
      </c>
      <c r="H12063" s="27" t="s">
        <v>35</v>
      </c>
      <c r="I12063" s="27" t="s">
        <v>887</v>
      </c>
      <c r="J12063" s="28" t="s">
        <v>1292</v>
      </c>
      <c r="K12063" s="27" t="s">
        <v>39</v>
      </c>
      <c r="L12063" s="27"/>
    </row>
    <row r="12064" customFormat="false" ht="15" hidden="false" customHeight="false" outlineLevel="0" collapsed="false">
      <c r="A12064" s="26" t="s">
        <v>29042</v>
      </c>
      <c r="B12064" s="27" t="s">
        <v>29043</v>
      </c>
      <c r="C12064" s="27" t="s">
        <v>144</v>
      </c>
      <c r="D12064" s="26"/>
      <c r="E12064" s="27"/>
      <c r="F12064" s="27"/>
      <c r="G12064" s="27" t="s">
        <v>11122</v>
      </c>
      <c r="H12064" s="27" t="s">
        <v>35</v>
      </c>
      <c r="I12064" s="27" t="s">
        <v>39</v>
      </c>
      <c r="J12064" s="28" t="s">
        <v>1292</v>
      </c>
      <c r="K12064" s="27" t="s">
        <v>39</v>
      </c>
      <c r="L12064" s="27"/>
    </row>
    <row r="12065" customFormat="false" ht="15" hidden="false" customHeight="false" outlineLevel="0" collapsed="false">
      <c r="A12065" s="26" t="s">
        <v>29044</v>
      </c>
      <c r="B12065" s="27" t="s">
        <v>29045</v>
      </c>
      <c r="C12065" s="27" t="s">
        <v>144</v>
      </c>
      <c r="D12065" s="26"/>
      <c r="E12065" s="27"/>
      <c r="F12065" s="27"/>
      <c r="G12065" s="27" t="s">
        <v>11122</v>
      </c>
      <c r="H12065" s="27" t="s">
        <v>35</v>
      </c>
      <c r="I12065" s="27" t="s">
        <v>39</v>
      </c>
      <c r="J12065" s="28" t="s">
        <v>1292</v>
      </c>
      <c r="K12065" s="27" t="s">
        <v>39</v>
      </c>
      <c r="L12065" s="27"/>
    </row>
    <row r="12066" customFormat="false" ht="15" hidden="false" customHeight="false" outlineLevel="0" collapsed="false">
      <c r="A12066" s="26" t="s">
        <v>29046</v>
      </c>
      <c r="B12066" s="27" t="s">
        <v>29047</v>
      </c>
      <c r="C12066" s="27" t="s">
        <v>144</v>
      </c>
      <c r="D12066" s="26"/>
      <c r="E12066" s="27"/>
      <c r="F12066" s="27"/>
      <c r="G12066" s="27" t="s">
        <v>11122</v>
      </c>
      <c r="H12066" s="27" t="s">
        <v>35</v>
      </c>
      <c r="I12066" s="27" t="s">
        <v>38</v>
      </c>
      <c r="J12066" s="28" t="s">
        <v>1292</v>
      </c>
      <c r="K12066" s="27" t="s">
        <v>39</v>
      </c>
      <c r="L12066" s="27"/>
    </row>
    <row r="12067" customFormat="false" ht="15" hidden="false" customHeight="false" outlineLevel="0" collapsed="false">
      <c r="A12067" s="26" t="s">
        <v>29048</v>
      </c>
      <c r="B12067" s="27" t="s">
        <v>29049</v>
      </c>
      <c r="C12067" s="27" t="s">
        <v>1187</v>
      </c>
      <c r="D12067" s="26"/>
      <c r="E12067" s="27"/>
      <c r="F12067" s="27"/>
      <c r="G12067" s="27" t="s">
        <v>11122</v>
      </c>
      <c r="H12067" s="27" t="s">
        <v>35</v>
      </c>
      <c r="I12067" s="27" t="s">
        <v>41</v>
      </c>
      <c r="J12067" s="28" t="s">
        <v>1292</v>
      </c>
      <c r="K12067" s="27" t="s">
        <v>39</v>
      </c>
      <c r="L12067" s="27"/>
    </row>
    <row r="12068" customFormat="false" ht="15" hidden="false" customHeight="false" outlineLevel="0" collapsed="false">
      <c r="A12068" s="26" t="s">
        <v>29050</v>
      </c>
      <c r="B12068" s="27" t="s">
        <v>29051</v>
      </c>
      <c r="C12068" s="27" t="s">
        <v>144</v>
      </c>
      <c r="D12068" s="26"/>
      <c r="E12068" s="27"/>
      <c r="F12068" s="27"/>
      <c r="G12068" s="27" t="s">
        <v>11122</v>
      </c>
      <c r="H12068" s="27" t="s">
        <v>35</v>
      </c>
      <c r="I12068" s="27" t="s">
        <v>41</v>
      </c>
      <c r="J12068" s="28" t="s">
        <v>1292</v>
      </c>
      <c r="K12068" s="27" t="s">
        <v>39</v>
      </c>
      <c r="L12068" s="27"/>
    </row>
    <row r="12069" customFormat="false" ht="15" hidden="false" customHeight="false" outlineLevel="0" collapsed="false">
      <c r="A12069" s="26" t="s">
        <v>29052</v>
      </c>
      <c r="B12069" s="27" t="s">
        <v>29053</v>
      </c>
      <c r="C12069" s="27" t="s">
        <v>144</v>
      </c>
      <c r="D12069" s="26"/>
      <c r="E12069" s="27"/>
      <c r="F12069" s="27"/>
      <c r="G12069" s="27" t="s">
        <v>11122</v>
      </c>
      <c r="H12069" s="27" t="s">
        <v>35</v>
      </c>
      <c r="I12069" s="27" t="s">
        <v>38</v>
      </c>
      <c r="J12069" s="28" t="s">
        <v>1292</v>
      </c>
      <c r="K12069" s="27" t="s">
        <v>39</v>
      </c>
      <c r="L12069" s="27"/>
    </row>
    <row r="12070" customFormat="false" ht="15" hidden="false" customHeight="false" outlineLevel="0" collapsed="false">
      <c r="A12070" s="26" t="s">
        <v>29054</v>
      </c>
      <c r="B12070" s="27" t="s">
        <v>29055</v>
      </c>
      <c r="C12070" s="27" t="s">
        <v>144</v>
      </c>
      <c r="D12070" s="26"/>
      <c r="E12070" s="27"/>
      <c r="F12070" s="27"/>
      <c r="G12070" s="27" t="s">
        <v>11122</v>
      </c>
      <c r="H12070" s="27" t="s">
        <v>35</v>
      </c>
      <c r="I12070" s="27" t="s">
        <v>41</v>
      </c>
      <c r="J12070" s="28" t="s">
        <v>1292</v>
      </c>
      <c r="K12070" s="27" t="s">
        <v>39</v>
      </c>
      <c r="L12070" s="27"/>
    </row>
    <row r="12071" customFormat="false" ht="15" hidden="false" customHeight="false" outlineLevel="0" collapsed="false">
      <c r="A12071" s="26" t="s">
        <v>29056</v>
      </c>
      <c r="B12071" s="27" t="s">
        <v>29057</v>
      </c>
      <c r="C12071" s="27" t="s">
        <v>144</v>
      </c>
      <c r="D12071" s="26"/>
      <c r="E12071" s="27"/>
      <c r="F12071" s="27"/>
      <c r="G12071" s="27" t="s">
        <v>11122</v>
      </c>
      <c r="H12071" s="27" t="s">
        <v>35</v>
      </c>
      <c r="I12071" s="27" t="s">
        <v>37</v>
      </c>
      <c r="J12071" s="28" t="s">
        <v>1292</v>
      </c>
      <c r="K12071" s="27" t="s">
        <v>39</v>
      </c>
      <c r="L12071" s="27"/>
    </row>
    <row r="12072" customFormat="false" ht="15" hidden="false" customHeight="false" outlineLevel="0" collapsed="false">
      <c r="A12072" s="26" t="s">
        <v>29058</v>
      </c>
      <c r="B12072" s="27" t="s">
        <v>29059</v>
      </c>
      <c r="C12072" s="27" t="s">
        <v>144</v>
      </c>
      <c r="D12072" s="26"/>
      <c r="E12072" s="27"/>
      <c r="F12072" s="27"/>
      <c r="G12072" s="27" t="s">
        <v>11122</v>
      </c>
      <c r="H12072" s="27" t="s">
        <v>35</v>
      </c>
      <c r="I12072" s="27" t="s">
        <v>37</v>
      </c>
      <c r="J12072" s="28" t="s">
        <v>1292</v>
      </c>
      <c r="K12072" s="27" t="s">
        <v>39</v>
      </c>
      <c r="L12072" s="27"/>
    </row>
    <row r="12073" customFormat="false" ht="15" hidden="false" customHeight="false" outlineLevel="0" collapsed="false">
      <c r="A12073" s="26" t="s">
        <v>29060</v>
      </c>
      <c r="B12073" s="27" t="s">
        <v>29061</v>
      </c>
      <c r="C12073" s="27" t="s">
        <v>144</v>
      </c>
      <c r="D12073" s="26"/>
      <c r="E12073" s="27"/>
      <c r="F12073" s="27"/>
      <c r="G12073" s="27" t="s">
        <v>11122</v>
      </c>
      <c r="H12073" s="27" t="s">
        <v>35</v>
      </c>
      <c r="I12073" s="27" t="s">
        <v>37</v>
      </c>
      <c r="J12073" s="28" t="s">
        <v>1292</v>
      </c>
      <c r="K12073" s="27" t="s">
        <v>39</v>
      </c>
      <c r="L12073" s="27"/>
    </row>
    <row r="12074" customFormat="false" ht="15" hidden="false" customHeight="false" outlineLevel="0" collapsed="false">
      <c r="A12074" s="26" t="s">
        <v>29062</v>
      </c>
      <c r="B12074" s="27" t="s">
        <v>29063</v>
      </c>
      <c r="C12074" s="27" t="s">
        <v>144</v>
      </c>
      <c r="D12074" s="26"/>
      <c r="E12074" s="27"/>
      <c r="F12074" s="27"/>
      <c r="G12074" s="27" t="s">
        <v>11122</v>
      </c>
      <c r="H12074" s="27" t="s">
        <v>35</v>
      </c>
      <c r="I12074" s="27" t="s">
        <v>43</v>
      </c>
      <c r="J12074" s="28" t="s">
        <v>1292</v>
      </c>
      <c r="K12074" s="27" t="s">
        <v>39</v>
      </c>
      <c r="L12074" s="27"/>
    </row>
    <row r="12075" customFormat="false" ht="15" hidden="false" customHeight="false" outlineLevel="0" collapsed="false">
      <c r="A12075" s="26" t="s">
        <v>29064</v>
      </c>
      <c r="B12075" s="27" t="s">
        <v>29065</v>
      </c>
      <c r="C12075" s="27" t="s">
        <v>380</v>
      </c>
      <c r="D12075" s="26"/>
      <c r="E12075" s="27"/>
      <c r="F12075" s="27"/>
      <c r="G12075" s="27" t="s">
        <v>11122</v>
      </c>
      <c r="H12075" s="27" t="s">
        <v>35</v>
      </c>
      <c r="I12075" s="27" t="s">
        <v>40</v>
      </c>
      <c r="J12075" s="28" t="s">
        <v>1292</v>
      </c>
      <c r="K12075" s="27" t="s">
        <v>39</v>
      </c>
      <c r="L12075" s="27"/>
    </row>
    <row r="12076" customFormat="false" ht="15" hidden="false" customHeight="false" outlineLevel="0" collapsed="false">
      <c r="A12076" s="26" t="s">
        <v>29066</v>
      </c>
      <c r="B12076" s="27" t="s">
        <v>29067</v>
      </c>
      <c r="C12076" s="27" t="s">
        <v>144</v>
      </c>
      <c r="D12076" s="26"/>
      <c r="E12076" s="27"/>
      <c r="F12076" s="27"/>
      <c r="G12076" s="27" t="s">
        <v>11122</v>
      </c>
      <c r="H12076" s="27" t="s">
        <v>35</v>
      </c>
      <c r="I12076" s="27" t="s">
        <v>41</v>
      </c>
      <c r="J12076" s="28" t="s">
        <v>1292</v>
      </c>
      <c r="K12076" s="27" t="s">
        <v>39</v>
      </c>
      <c r="L12076" s="27"/>
    </row>
    <row r="12077" customFormat="false" ht="15" hidden="false" customHeight="false" outlineLevel="0" collapsed="false">
      <c r="A12077" s="26" t="s">
        <v>29068</v>
      </c>
      <c r="B12077" s="27" t="s">
        <v>29069</v>
      </c>
      <c r="C12077" s="27" t="s">
        <v>144</v>
      </c>
      <c r="D12077" s="26"/>
      <c r="E12077" s="27"/>
      <c r="F12077" s="27"/>
      <c r="G12077" s="27" t="s">
        <v>11122</v>
      </c>
      <c r="H12077" s="27" t="s">
        <v>35</v>
      </c>
      <c r="I12077" s="27" t="s">
        <v>41</v>
      </c>
      <c r="J12077" s="28" t="s">
        <v>1292</v>
      </c>
      <c r="K12077" s="27" t="s">
        <v>39</v>
      </c>
      <c r="L12077" s="27"/>
    </row>
    <row r="12078" customFormat="false" ht="15" hidden="false" customHeight="false" outlineLevel="0" collapsed="false">
      <c r="A12078" s="26" t="s">
        <v>29070</v>
      </c>
      <c r="B12078" s="27" t="s">
        <v>29071</v>
      </c>
      <c r="C12078" s="27" t="s">
        <v>144</v>
      </c>
      <c r="D12078" s="26"/>
      <c r="E12078" s="27"/>
      <c r="F12078" s="27"/>
      <c r="G12078" s="27" t="s">
        <v>11122</v>
      </c>
      <c r="H12078" s="27" t="s">
        <v>35</v>
      </c>
      <c r="I12078" s="27" t="s">
        <v>39</v>
      </c>
      <c r="J12078" s="28" t="s">
        <v>1292</v>
      </c>
      <c r="K12078" s="27" t="s">
        <v>39</v>
      </c>
      <c r="L12078" s="27"/>
    </row>
    <row r="12079" customFormat="false" ht="15" hidden="false" customHeight="false" outlineLevel="0" collapsed="false">
      <c r="A12079" s="26" t="s">
        <v>29072</v>
      </c>
      <c r="B12079" s="27" t="s">
        <v>29073</v>
      </c>
      <c r="C12079" s="27" t="s">
        <v>144</v>
      </c>
      <c r="D12079" s="26"/>
      <c r="E12079" s="27"/>
      <c r="F12079" s="27"/>
      <c r="G12079" s="27" t="s">
        <v>11122</v>
      </c>
      <c r="H12079" s="27" t="s">
        <v>35</v>
      </c>
      <c r="I12079" s="27" t="s">
        <v>44</v>
      </c>
      <c r="J12079" s="28" t="s">
        <v>1292</v>
      </c>
      <c r="K12079" s="27" t="s">
        <v>39</v>
      </c>
      <c r="L12079" s="27"/>
    </row>
    <row r="12080" customFormat="false" ht="15" hidden="false" customHeight="false" outlineLevel="0" collapsed="false">
      <c r="A12080" s="26" t="s">
        <v>29074</v>
      </c>
      <c r="B12080" s="27" t="s">
        <v>29075</v>
      </c>
      <c r="C12080" s="27" t="s">
        <v>144</v>
      </c>
      <c r="D12080" s="26"/>
      <c r="E12080" s="27"/>
      <c r="F12080" s="27"/>
      <c r="G12080" s="27" t="s">
        <v>11122</v>
      </c>
      <c r="H12080" s="27" t="s">
        <v>35</v>
      </c>
      <c r="I12080" s="27" t="s">
        <v>44</v>
      </c>
      <c r="J12080" s="28" t="s">
        <v>1292</v>
      </c>
      <c r="K12080" s="27" t="s">
        <v>39</v>
      </c>
      <c r="L12080" s="27"/>
    </row>
    <row r="12081" customFormat="false" ht="15" hidden="false" customHeight="false" outlineLevel="0" collapsed="false">
      <c r="A12081" s="26" t="s">
        <v>29076</v>
      </c>
      <c r="B12081" s="27" t="s">
        <v>22636</v>
      </c>
      <c r="C12081" s="27" t="s">
        <v>144</v>
      </c>
      <c r="D12081" s="26"/>
      <c r="E12081" s="27"/>
      <c r="F12081" s="27"/>
      <c r="G12081" s="27" t="s">
        <v>11122</v>
      </c>
      <c r="H12081" s="27" t="s">
        <v>35</v>
      </c>
      <c r="I12081" s="27" t="s">
        <v>44</v>
      </c>
      <c r="J12081" s="28" t="s">
        <v>1292</v>
      </c>
      <c r="K12081" s="27" t="s">
        <v>39</v>
      </c>
      <c r="L12081" s="27"/>
    </row>
    <row r="12082" customFormat="false" ht="15" hidden="false" customHeight="false" outlineLevel="0" collapsed="false">
      <c r="A12082" s="26" t="s">
        <v>29077</v>
      </c>
      <c r="B12082" s="27" t="s">
        <v>29078</v>
      </c>
      <c r="C12082" s="27" t="s">
        <v>144</v>
      </c>
      <c r="D12082" s="26"/>
      <c r="E12082" s="27"/>
      <c r="F12082" s="27"/>
      <c r="G12082" s="27" t="s">
        <v>11122</v>
      </c>
      <c r="H12082" s="27" t="s">
        <v>35</v>
      </c>
      <c r="I12082" s="27" t="s">
        <v>39</v>
      </c>
      <c r="J12082" s="28" t="s">
        <v>1292</v>
      </c>
      <c r="K12082" s="27" t="s">
        <v>39</v>
      </c>
      <c r="L12082" s="27"/>
    </row>
    <row r="12083" customFormat="false" ht="15" hidden="false" customHeight="false" outlineLevel="0" collapsed="false">
      <c r="A12083" s="26" t="s">
        <v>29079</v>
      </c>
      <c r="B12083" s="27" t="s">
        <v>29080</v>
      </c>
      <c r="C12083" s="27" t="s">
        <v>144</v>
      </c>
      <c r="D12083" s="26"/>
      <c r="E12083" s="27"/>
      <c r="F12083" s="27"/>
      <c r="G12083" s="27" t="s">
        <v>11122</v>
      </c>
      <c r="H12083" s="27" t="s">
        <v>35</v>
      </c>
      <c r="I12083" s="27" t="s">
        <v>42</v>
      </c>
      <c r="J12083" s="28" t="s">
        <v>1292</v>
      </c>
      <c r="K12083" s="27" t="s">
        <v>39</v>
      </c>
      <c r="L12083" s="27"/>
    </row>
    <row r="12084" customFormat="false" ht="15" hidden="false" customHeight="false" outlineLevel="0" collapsed="false">
      <c r="A12084" s="26" t="s">
        <v>29081</v>
      </c>
      <c r="B12084" s="27" t="s">
        <v>29082</v>
      </c>
      <c r="C12084" s="27" t="s">
        <v>144</v>
      </c>
      <c r="D12084" s="26"/>
      <c r="E12084" s="27"/>
      <c r="F12084" s="27"/>
      <c r="G12084" s="27" t="s">
        <v>11122</v>
      </c>
      <c r="H12084" s="27" t="s">
        <v>35</v>
      </c>
      <c r="I12084" s="27" t="s">
        <v>39</v>
      </c>
      <c r="J12084" s="28" t="s">
        <v>1292</v>
      </c>
      <c r="K12084" s="27" t="s">
        <v>39</v>
      </c>
      <c r="L12084" s="27"/>
    </row>
    <row r="12085" customFormat="false" ht="15" hidden="false" customHeight="false" outlineLevel="0" collapsed="false">
      <c r="A12085" s="26" t="s">
        <v>29083</v>
      </c>
      <c r="B12085" s="27" t="s">
        <v>29084</v>
      </c>
      <c r="C12085" s="27" t="s">
        <v>144</v>
      </c>
      <c r="D12085" s="26"/>
      <c r="E12085" s="27"/>
      <c r="F12085" s="27"/>
      <c r="G12085" s="27" t="s">
        <v>11122</v>
      </c>
      <c r="H12085" s="27" t="s">
        <v>35</v>
      </c>
      <c r="I12085" s="27" t="s">
        <v>39</v>
      </c>
      <c r="J12085" s="28" t="s">
        <v>1292</v>
      </c>
      <c r="K12085" s="27" t="s">
        <v>39</v>
      </c>
      <c r="L12085" s="27"/>
    </row>
    <row r="12086" customFormat="false" ht="15" hidden="false" customHeight="false" outlineLevel="0" collapsed="false">
      <c r="A12086" s="26" t="s">
        <v>29085</v>
      </c>
      <c r="B12086" s="27" t="s">
        <v>29086</v>
      </c>
      <c r="C12086" s="27" t="s">
        <v>144</v>
      </c>
      <c r="D12086" s="26"/>
      <c r="E12086" s="27"/>
      <c r="F12086" s="27"/>
      <c r="G12086" s="27" t="s">
        <v>11122</v>
      </c>
      <c r="H12086" s="27" t="s">
        <v>35</v>
      </c>
      <c r="I12086" s="27" t="s">
        <v>39</v>
      </c>
      <c r="J12086" s="28" t="s">
        <v>1292</v>
      </c>
      <c r="K12086" s="27" t="s">
        <v>39</v>
      </c>
      <c r="L12086" s="27"/>
    </row>
    <row r="12087" customFormat="false" ht="15" hidden="false" customHeight="false" outlineLevel="0" collapsed="false">
      <c r="A12087" s="26" t="s">
        <v>29087</v>
      </c>
      <c r="B12087" s="27" t="s">
        <v>29088</v>
      </c>
      <c r="C12087" s="27" t="s">
        <v>144</v>
      </c>
      <c r="D12087" s="26"/>
      <c r="E12087" s="27"/>
      <c r="F12087" s="27"/>
      <c r="G12087" s="27" t="s">
        <v>11122</v>
      </c>
      <c r="H12087" s="27" t="s">
        <v>35</v>
      </c>
      <c r="I12087" s="27" t="s">
        <v>39</v>
      </c>
      <c r="J12087" s="28" t="s">
        <v>1292</v>
      </c>
      <c r="K12087" s="27" t="s">
        <v>39</v>
      </c>
      <c r="L12087" s="27"/>
    </row>
    <row r="12088" customFormat="false" ht="15" hidden="false" customHeight="false" outlineLevel="0" collapsed="false">
      <c r="A12088" s="26" t="s">
        <v>29089</v>
      </c>
      <c r="B12088" s="27" t="s">
        <v>29090</v>
      </c>
      <c r="C12088" s="27" t="s">
        <v>144</v>
      </c>
      <c r="D12088" s="26"/>
      <c r="E12088" s="27"/>
      <c r="F12088" s="27"/>
      <c r="G12088" s="27" t="s">
        <v>11122</v>
      </c>
      <c r="H12088" s="27" t="s">
        <v>35</v>
      </c>
      <c r="I12088" s="27" t="s">
        <v>40</v>
      </c>
      <c r="J12088" s="28" t="s">
        <v>1292</v>
      </c>
      <c r="K12088" s="27" t="s">
        <v>39</v>
      </c>
      <c r="L12088" s="27"/>
    </row>
    <row r="12089" customFormat="false" ht="15" hidden="false" customHeight="false" outlineLevel="0" collapsed="false">
      <c r="A12089" s="26" t="s">
        <v>29091</v>
      </c>
      <c r="B12089" s="27" t="s">
        <v>29092</v>
      </c>
      <c r="C12089" s="27" t="s">
        <v>144</v>
      </c>
      <c r="D12089" s="26"/>
      <c r="E12089" s="27"/>
      <c r="F12089" s="27"/>
      <c r="G12089" s="27" t="s">
        <v>11122</v>
      </c>
      <c r="H12089" s="27" t="s">
        <v>35</v>
      </c>
      <c r="I12089" s="27" t="s">
        <v>42</v>
      </c>
      <c r="J12089" s="28" t="s">
        <v>1292</v>
      </c>
      <c r="K12089" s="27" t="s">
        <v>39</v>
      </c>
      <c r="L12089" s="27"/>
    </row>
    <row r="12090" customFormat="false" ht="15" hidden="false" customHeight="false" outlineLevel="0" collapsed="false">
      <c r="A12090" s="26" t="s">
        <v>29093</v>
      </c>
      <c r="B12090" s="27" t="s">
        <v>29094</v>
      </c>
      <c r="C12090" s="27" t="s">
        <v>144</v>
      </c>
      <c r="D12090" s="26"/>
      <c r="E12090" s="27"/>
      <c r="F12090" s="27"/>
      <c r="G12090" s="27" t="s">
        <v>11122</v>
      </c>
      <c r="H12090" s="27" t="s">
        <v>35</v>
      </c>
      <c r="I12090" s="27" t="s">
        <v>44</v>
      </c>
      <c r="J12090" s="28" t="s">
        <v>1292</v>
      </c>
      <c r="K12090" s="27" t="s">
        <v>39</v>
      </c>
      <c r="L12090" s="27"/>
    </row>
    <row r="12091" customFormat="false" ht="15" hidden="false" customHeight="false" outlineLevel="0" collapsed="false">
      <c r="A12091" s="26" t="s">
        <v>29095</v>
      </c>
      <c r="B12091" s="27" t="s">
        <v>29096</v>
      </c>
      <c r="C12091" s="27" t="s">
        <v>144</v>
      </c>
      <c r="D12091" s="26"/>
      <c r="E12091" s="27"/>
      <c r="F12091" s="27"/>
      <c r="G12091" s="27" t="s">
        <v>11122</v>
      </c>
      <c r="H12091" s="27" t="s">
        <v>35</v>
      </c>
      <c r="I12091" s="27" t="s">
        <v>44</v>
      </c>
      <c r="J12091" s="28" t="s">
        <v>1292</v>
      </c>
      <c r="K12091" s="27" t="s">
        <v>39</v>
      </c>
      <c r="L12091" s="27"/>
    </row>
    <row r="12092" customFormat="false" ht="15" hidden="false" customHeight="false" outlineLevel="0" collapsed="false">
      <c r="A12092" s="26" t="s">
        <v>29097</v>
      </c>
      <c r="B12092" s="27" t="s">
        <v>29098</v>
      </c>
      <c r="C12092" s="27" t="s">
        <v>144</v>
      </c>
      <c r="D12092" s="26"/>
      <c r="E12092" s="27"/>
      <c r="F12092" s="27"/>
      <c r="G12092" s="27" t="s">
        <v>11122</v>
      </c>
      <c r="H12092" s="27" t="s">
        <v>35</v>
      </c>
      <c r="I12092" s="27" t="s">
        <v>39</v>
      </c>
      <c r="J12092" s="28" t="s">
        <v>1292</v>
      </c>
      <c r="K12092" s="27" t="s">
        <v>39</v>
      </c>
      <c r="L12092" s="27"/>
    </row>
    <row r="12093" customFormat="false" ht="15" hidden="false" customHeight="false" outlineLevel="0" collapsed="false">
      <c r="A12093" s="26" t="s">
        <v>29099</v>
      </c>
      <c r="B12093" s="27" t="s">
        <v>29100</v>
      </c>
      <c r="C12093" s="27" t="s">
        <v>144</v>
      </c>
      <c r="D12093" s="26"/>
      <c r="E12093" s="27"/>
      <c r="F12093" s="27"/>
      <c r="G12093" s="27" t="s">
        <v>11122</v>
      </c>
      <c r="H12093" s="27" t="s">
        <v>35</v>
      </c>
      <c r="I12093" s="27" t="s">
        <v>41</v>
      </c>
      <c r="J12093" s="28" t="s">
        <v>1292</v>
      </c>
      <c r="K12093" s="27" t="s">
        <v>39</v>
      </c>
      <c r="L12093" s="27"/>
    </row>
    <row r="12094" customFormat="false" ht="15" hidden="false" customHeight="false" outlineLevel="0" collapsed="false">
      <c r="A12094" s="26" t="s">
        <v>29101</v>
      </c>
      <c r="B12094" s="27" t="s">
        <v>29102</v>
      </c>
      <c r="C12094" s="27" t="s">
        <v>144</v>
      </c>
      <c r="D12094" s="26"/>
      <c r="E12094" s="27"/>
      <c r="F12094" s="27"/>
      <c r="G12094" s="27" t="s">
        <v>11122</v>
      </c>
      <c r="H12094" s="27" t="s">
        <v>35</v>
      </c>
      <c r="I12094" s="27" t="s">
        <v>38</v>
      </c>
      <c r="J12094" s="28" t="s">
        <v>10250</v>
      </c>
      <c r="K12094" s="27" t="s">
        <v>41</v>
      </c>
      <c r="L12094" s="27"/>
    </row>
    <row r="12095" customFormat="false" ht="15" hidden="false" customHeight="false" outlineLevel="0" collapsed="false">
      <c r="A12095" s="26" t="s">
        <v>29103</v>
      </c>
      <c r="B12095" s="27" t="s">
        <v>29104</v>
      </c>
      <c r="C12095" s="27" t="s">
        <v>144</v>
      </c>
      <c r="D12095" s="26"/>
      <c r="E12095" s="27"/>
      <c r="F12095" s="27"/>
      <c r="G12095" s="27" t="s">
        <v>11122</v>
      </c>
      <c r="H12095" s="27" t="s">
        <v>35</v>
      </c>
      <c r="I12095" s="27" t="s">
        <v>64</v>
      </c>
      <c r="J12095" s="28" t="s">
        <v>10250</v>
      </c>
      <c r="K12095" s="27" t="s">
        <v>41</v>
      </c>
      <c r="L12095" s="27"/>
    </row>
    <row r="12096" customFormat="false" ht="15" hidden="false" customHeight="false" outlineLevel="0" collapsed="false">
      <c r="A12096" s="26" t="s">
        <v>29105</v>
      </c>
      <c r="B12096" s="27" t="s">
        <v>29106</v>
      </c>
      <c r="C12096" s="27" t="s">
        <v>144</v>
      </c>
      <c r="D12096" s="26"/>
      <c r="E12096" s="27"/>
      <c r="F12096" s="27"/>
      <c r="G12096" s="27" t="s">
        <v>11122</v>
      </c>
      <c r="H12096" s="27" t="s">
        <v>35</v>
      </c>
      <c r="I12096" s="27" t="s">
        <v>40</v>
      </c>
      <c r="J12096" s="28" t="s">
        <v>10250</v>
      </c>
      <c r="K12096" s="27" t="s">
        <v>41</v>
      </c>
      <c r="L12096" s="27"/>
    </row>
    <row r="12097" customFormat="false" ht="15" hidden="false" customHeight="false" outlineLevel="0" collapsed="false">
      <c r="A12097" s="26" t="s">
        <v>29107</v>
      </c>
      <c r="B12097" s="27" t="s">
        <v>29108</v>
      </c>
      <c r="C12097" s="27" t="s">
        <v>144</v>
      </c>
      <c r="D12097" s="26"/>
      <c r="E12097" s="27"/>
      <c r="F12097" s="27"/>
      <c r="G12097" s="27" t="s">
        <v>11122</v>
      </c>
      <c r="H12097" s="27" t="s">
        <v>35</v>
      </c>
      <c r="I12097" s="27" t="s">
        <v>40</v>
      </c>
      <c r="J12097" s="28" t="s">
        <v>10250</v>
      </c>
      <c r="K12097" s="27" t="s">
        <v>41</v>
      </c>
      <c r="L12097" s="27"/>
    </row>
    <row r="12098" customFormat="false" ht="15" hidden="false" customHeight="false" outlineLevel="0" collapsed="false">
      <c r="A12098" s="26" t="s">
        <v>29109</v>
      </c>
      <c r="B12098" s="27" t="s">
        <v>29110</v>
      </c>
      <c r="C12098" s="27" t="s">
        <v>144</v>
      </c>
      <c r="D12098" s="26"/>
      <c r="E12098" s="27"/>
      <c r="F12098" s="27"/>
      <c r="G12098" s="27" t="s">
        <v>11122</v>
      </c>
      <c r="H12098" s="27" t="s">
        <v>35</v>
      </c>
      <c r="I12098" s="27" t="s">
        <v>38</v>
      </c>
      <c r="J12098" s="28" t="s">
        <v>10250</v>
      </c>
      <c r="K12098" s="27" t="s">
        <v>41</v>
      </c>
      <c r="L12098" s="27"/>
    </row>
    <row r="12099" customFormat="false" ht="15" hidden="false" customHeight="false" outlineLevel="0" collapsed="false">
      <c r="A12099" s="26" t="s">
        <v>29111</v>
      </c>
      <c r="B12099" s="27" t="s">
        <v>29112</v>
      </c>
      <c r="C12099" s="27" t="s">
        <v>144</v>
      </c>
      <c r="D12099" s="26"/>
      <c r="E12099" s="27"/>
      <c r="F12099" s="27"/>
      <c r="G12099" s="27" t="s">
        <v>11122</v>
      </c>
      <c r="H12099" s="27" t="s">
        <v>35</v>
      </c>
      <c r="I12099" s="27" t="s">
        <v>41</v>
      </c>
      <c r="J12099" s="28" t="s">
        <v>10250</v>
      </c>
      <c r="K12099" s="27" t="s">
        <v>41</v>
      </c>
      <c r="L12099" s="27"/>
    </row>
    <row r="12100" customFormat="false" ht="15" hidden="false" customHeight="false" outlineLevel="0" collapsed="false">
      <c r="A12100" s="26" t="s">
        <v>29113</v>
      </c>
      <c r="B12100" s="27" t="s">
        <v>29114</v>
      </c>
      <c r="C12100" s="27" t="s">
        <v>144</v>
      </c>
      <c r="D12100" s="26"/>
      <c r="E12100" s="27"/>
      <c r="F12100" s="27"/>
      <c r="G12100" s="27" t="s">
        <v>11122</v>
      </c>
      <c r="H12100" s="27" t="s">
        <v>35</v>
      </c>
      <c r="I12100" s="27" t="s">
        <v>38</v>
      </c>
      <c r="J12100" s="28" t="s">
        <v>10250</v>
      </c>
      <c r="K12100" s="27" t="s">
        <v>41</v>
      </c>
      <c r="L12100" s="27"/>
    </row>
    <row r="12101" customFormat="false" ht="15" hidden="false" customHeight="false" outlineLevel="0" collapsed="false">
      <c r="A12101" s="26" t="s">
        <v>29115</v>
      </c>
      <c r="B12101" s="27" t="s">
        <v>29116</v>
      </c>
      <c r="C12101" s="27" t="s">
        <v>144</v>
      </c>
      <c r="D12101" s="26"/>
      <c r="E12101" s="27"/>
      <c r="F12101" s="27"/>
      <c r="G12101" s="27" t="s">
        <v>11122</v>
      </c>
      <c r="H12101" s="27" t="s">
        <v>35</v>
      </c>
      <c r="I12101" s="27" t="s">
        <v>38</v>
      </c>
      <c r="J12101" s="28" t="s">
        <v>10250</v>
      </c>
      <c r="K12101" s="27" t="s">
        <v>41</v>
      </c>
      <c r="L12101" s="27"/>
    </row>
    <row r="12102" customFormat="false" ht="15" hidden="false" customHeight="false" outlineLevel="0" collapsed="false">
      <c r="A12102" s="26" t="s">
        <v>29117</v>
      </c>
      <c r="B12102" s="27" t="s">
        <v>29118</v>
      </c>
      <c r="C12102" s="27" t="s">
        <v>144</v>
      </c>
      <c r="D12102" s="26"/>
      <c r="E12102" s="27"/>
      <c r="F12102" s="27"/>
      <c r="G12102" s="27" t="s">
        <v>11122</v>
      </c>
      <c r="H12102" s="27" t="s">
        <v>35</v>
      </c>
      <c r="I12102" s="27" t="s">
        <v>38</v>
      </c>
      <c r="J12102" s="28" t="s">
        <v>10250</v>
      </c>
      <c r="K12102" s="27" t="s">
        <v>41</v>
      </c>
      <c r="L12102" s="27"/>
    </row>
    <row r="12103" customFormat="false" ht="15" hidden="false" customHeight="false" outlineLevel="0" collapsed="false">
      <c r="A12103" s="26" t="s">
        <v>29119</v>
      </c>
      <c r="B12103" s="27" t="s">
        <v>29120</v>
      </c>
      <c r="C12103" s="27" t="s">
        <v>144</v>
      </c>
      <c r="D12103" s="26"/>
      <c r="E12103" s="27"/>
      <c r="F12103" s="27"/>
      <c r="G12103" s="27" t="s">
        <v>11122</v>
      </c>
      <c r="H12103" s="27" t="s">
        <v>35</v>
      </c>
      <c r="I12103" s="28" t="s">
        <v>46</v>
      </c>
      <c r="J12103" s="28" t="s">
        <v>10250</v>
      </c>
      <c r="K12103" s="27" t="s">
        <v>41</v>
      </c>
      <c r="L12103" s="27"/>
    </row>
    <row r="12104" customFormat="false" ht="15" hidden="false" customHeight="false" outlineLevel="0" collapsed="false">
      <c r="A12104" s="26" t="s">
        <v>29121</v>
      </c>
      <c r="B12104" s="27" t="s">
        <v>29122</v>
      </c>
      <c r="C12104" s="27" t="s">
        <v>144</v>
      </c>
      <c r="D12104" s="26"/>
      <c r="E12104" s="27"/>
      <c r="F12104" s="27"/>
      <c r="G12104" s="27" t="s">
        <v>11122</v>
      </c>
      <c r="H12104" s="27" t="s">
        <v>35</v>
      </c>
      <c r="I12104" s="27" t="s">
        <v>38</v>
      </c>
      <c r="J12104" s="28" t="s">
        <v>10250</v>
      </c>
      <c r="K12104" s="27" t="s">
        <v>41</v>
      </c>
      <c r="L12104" s="27"/>
    </row>
    <row r="12105" customFormat="false" ht="15" hidden="false" customHeight="false" outlineLevel="0" collapsed="false">
      <c r="A12105" s="26" t="s">
        <v>29123</v>
      </c>
      <c r="B12105" s="27" t="s">
        <v>29124</v>
      </c>
      <c r="C12105" s="27" t="s">
        <v>144</v>
      </c>
      <c r="D12105" s="26"/>
      <c r="E12105" s="27"/>
      <c r="F12105" s="27"/>
      <c r="G12105" s="27" t="s">
        <v>11122</v>
      </c>
      <c r="H12105" s="27" t="s">
        <v>35</v>
      </c>
      <c r="I12105" s="27" t="s">
        <v>38</v>
      </c>
      <c r="J12105" s="28" t="s">
        <v>10250</v>
      </c>
      <c r="K12105" s="27" t="s">
        <v>41</v>
      </c>
      <c r="L12105" s="27"/>
    </row>
    <row r="12106" customFormat="false" ht="15" hidden="false" customHeight="false" outlineLevel="0" collapsed="false">
      <c r="A12106" s="26" t="s">
        <v>29125</v>
      </c>
      <c r="B12106" s="27" t="s">
        <v>29126</v>
      </c>
      <c r="C12106" s="27" t="s">
        <v>144</v>
      </c>
      <c r="D12106" s="26"/>
      <c r="E12106" s="27"/>
      <c r="F12106" s="27"/>
      <c r="G12106" s="27" t="s">
        <v>11122</v>
      </c>
      <c r="H12106" s="27" t="s">
        <v>35</v>
      </c>
      <c r="I12106" s="27" t="s">
        <v>38</v>
      </c>
      <c r="J12106" s="28" t="s">
        <v>10250</v>
      </c>
      <c r="K12106" s="27" t="s">
        <v>41</v>
      </c>
      <c r="L12106" s="27"/>
    </row>
    <row r="12107" customFormat="false" ht="15" hidden="false" customHeight="false" outlineLevel="0" collapsed="false">
      <c r="A12107" s="26" t="s">
        <v>29127</v>
      </c>
      <c r="B12107" s="27" t="s">
        <v>22981</v>
      </c>
      <c r="C12107" s="27" t="s">
        <v>144</v>
      </c>
      <c r="D12107" s="26"/>
      <c r="E12107" s="27"/>
      <c r="F12107" s="27"/>
      <c r="G12107" s="27" t="s">
        <v>11122</v>
      </c>
      <c r="H12107" s="27" t="s">
        <v>35</v>
      </c>
      <c r="I12107" s="27" t="s">
        <v>41</v>
      </c>
      <c r="J12107" s="28" t="s">
        <v>10250</v>
      </c>
      <c r="K12107" s="27" t="s">
        <v>41</v>
      </c>
      <c r="L12107" s="27"/>
    </row>
    <row r="12108" customFormat="false" ht="15" hidden="false" customHeight="false" outlineLevel="0" collapsed="false">
      <c r="A12108" s="26" t="s">
        <v>29128</v>
      </c>
      <c r="B12108" s="27" t="s">
        <v>29129</v>
      </c>
      <c r="C12108" s="27" t="s">
        <v>144</v>
      </c>
      <c r="D12108" s="26"/>
      <c r="E12108" s="27"/>
      <c r="F12108" s="27"/>
      <c r="G12108" s="27" t="s">
        <v>11122</v>
      </c>
      <c r="H12108" s="27" t="s">
        <v>35</v>
      </c>
      <c r="I12108" s="27" t="s">
        <v>38</v>
      </c>
      <c r="J12108" s="28" t="s">
        <v>10250</v>
      </c>
      <c r="K12108" s="27" t="s">
        <v>41</v>
      </c>
      <c r="L12108" s="27"/>
    </row>
    <row r="12109" customFormat="false" ht="15" hidden="false" customHeight="false" outlineLevel="0" collapsed="false">
      <c r="A12109" s="26" t="s">
        <v>29130</v>
      </c>
      <c r="B12109" s="27" t="s">
        <v>29131</v>
      </c>
      <c r="C12109" s="27" t="s">
        <v>144</v>
      </c>
      <c r="D12109" s="26"/>
      <c r="E12109" s="27"/>
      <c r="F12109" s="27"/>
      <c r="G12109" s="27" t="s">
        <v>11122</v>
      </c>
      <c r="H12109" s="27" t="s">
        <v>35</v>
      </c>
      <c r="I12109" s="27" t="s">
        <v>38</v>
      </c>
      <c r="J12109" s="28" t="s">
        <v>10250</v>
      </c>
      <c r="K12109" s="27" t="s">
        <v>41</v>
      </c>
      <c r="L12109" s="27"/>
    </row>
    <row r="12110" customFormat="false" ht="15" hidden="false" customHeight="false" outlineLevel="0" collapsed="false">
      <c r="A12110" s="26" t="s">
        <v>29132</v>
      </c>
      <c r="B12110" s="27" t="s">
        <v>29133</v>
      </c>
      <c r="C12110" s="27" t="s">
        <v>144</v>
      </c>
      <c r="D12110" s="26"/>
      <c r="E12110" s="27"/>
      <c r="F12110" s="27"/>
      <c r="G12110" s="27" t="s">
        <v>11122</v>
      </c>
      <c r="H12110" s="27" t="s">
        <v>35</v>
      </c>
      <c r="I12110" s="27" t="s">
        <v>38</v>
      </c>
      <c r="J12110" s="28" t="s">
        <v>10250</v>
      </c>
      <c r="K12110" s="27" t="s">
        <v>41</v>
      </c>
      <c r="L12110" s="27"/>
    </row>
    <row r="12111" customFormat="false" ht="15" hidden="false" customHeight="false" outlineLevel="0" collapsed="false">
      <c r="A12111" s="26" t="s">
        <v>29134</v>
      </c>
      <c r="B12111" s="27" t="s">
        <v>29135</v>
      </c>
      <c r="C12111" s="27" t="s">
        <v>144</v>
      </c>
      <c r="D12111" s="26"/>
      <c r="E12111" s="27"/>
      <c r="F12111" s="27"/>
      <c r="G12111" s="27" t="s">
        <v>11122</v>
      </c>
      <c r="H12111" s="27" t="s">
        <v>35</v>
      </c>
      <c r="I12111" s="27" t="s">
        <v>38</v>
      </c>
      <c r="J12111" s="28" t="s">
        <v>10250</v>
      </c>
      <c r="K12111" s="27" t="s">
        <v>41</v>
      </c>
      <c r="L12111" s="27"/>
    </row>
    <row r="12112" customFormat="false" ht="15" hidden="false" customHeight="false" outlineLevel="0" collapsed="false">
      <c r="A12112" s="26" t="s">
        <v>29136</v>
      </c>
      <c r="B12112" s="27" t="s">
        <v>29137</v>
      </c>
      <c r="C12112" s="27" t="s">
        <v>144</v>
      </c>
      <c r="D12112" s="26"/>
      <c r="E12112" s="27"/>
      <c r="F12112" s="27"/>
      <c r="G12112" s="27" t="s">
        <v>11122</v>
      </c>
      <c r="H12112" s="27" t="s">
        <v>35</v>
      </c>
      <c r="I12112" s="27" t="s">
        <v>38</v>
      </c>
      <c r="J12112" s="28" t="s">
        <v>10250</v>
      </c>
      <c r="K12112" s="27" t="s">
        <v>41</v>
      </c>
      <c r="L12112" s="27"/>
    </row>
    <row r="12113" customFormat="false" ht="15" hidden="false" customHeight="false" outlineLevel="0" collapsed="false">
      <c r="A12113" s="26" t="s">
        <v>29138</v>
      </c>
      <c r="B12113" s="27" t="s">
        <v>29139</v>
      </c>
      <c r="C12113" s="27" t="s">
        <v>144</v>
      </c>
      <c r="D12113" s="26"/>
      <c r="E12113" s="27"/>
      <c r="F12113" s="27"/>
      <c r="G12113" s="27" t="s">
        <v>11122</v>
      </c>
      <c r="H12113" s="27" t="s">
        <v>35</v>
      </c>
      <c r="I12113" s="27" t="s">
        <v>38</v>
      </c>
      <c r="J12113" s="28" t="s">
        <v>10250</v>
      </c>
      <c r="K12113" s="27" t="s">
        <v>41</v>
      </c>
      <c r="L12113" s="27"/>
    </row>
    <row r="12114" customFormat="false" ht="15" hidden="false" customHeight="false" outlineLevel="0" collapsed="false">
      <c r="A12114" s="26" t="s">
        <v>29140</v>
      </c>
      <c r="B12114" s="27" t="s">
        <v>29141</v>
      </c>
      <c r="C12114" s="27" t="s">
        <v>144</v>
      </c>
      <c r="D12114" s="26"/>
      <c r="E12114" s="27"/>
      <c r="F12114" s="27"/>
      <c r="G12114" s="27" t="s">
        <v>11122</v>
      </c>
      <c r="H12114" s="27" t="s">
        <v>35</v>
      </c>
      <c r="I12114" s="27" t="s">
        <v>45</v>
      </c>
      <c r="J12114" s="28" t="s">
        <v>10250</v>
      </c>
      <c r="K12114" s="27" t="s">
        <v>41</v>
      </c>
      <c r="L12114" s="27"/>
    </row>
    <row r="12115" customFormat="false" ht="15" hidden="false" customHeight="false" outlineLevel="0" collapsed="false">
      <c r="A12115" s="26" t="s">
        <v>29142</v>
      </c>
      <c r="B12115" s="27" t="s">
        <v>29143</v>
      </c>
      <c r="C12115" s="27" t="s">
        <v>144</v>
      </c>
      <c r="D12115" s="26"/>
      <c r="E12115" s="27"/>
      <c r="F12115" s="27"/>
      <c r="G12115" s="27" t="s">
        <v>11122</v>
      </c>
      <c r="H12115" s="27" t="s">
        <v>35</v>
      </c>
      <c r="I12115" s="27" t="s">
        <v>38</v>
      </c>
      <c r="J12115" s="28" t="s">
        <v>10250</v>
      </c>
      <c r="K12115" s="27" t="s">
        <v>41</v>
      </c>
      <c r="L12115" s="27"/>
    </row>
    <row r="12116" customFormat="false" ht="15" hidden="false" customHeight="false" outlineLevel="0" collapsed="false">
      <c r="A12116" s="26" t="s">
        <v>29144</v>
      </c>
      <c r="B12116" s="27" t="s">
        <v>29145</v>
      </c>
      <c r="C12116" s="27" t="s">
        <v>144</v>
      </c>
      <c r="D12116" s="26"/>
      <c r="E12116" s="27"/>
      <c r="F12116" s="27"/>
      <c r="G12116" s="27" t="s">
        <v>11122</v>
      </c>
      <c r="H12116" s="27" t="s">
        <v>35</v>
      </c>
      <c r="I12116" s="27" t="s">
        <v>38</v>
      </c>
      <c r="J12116" s="28" t="s">
        <v>10250</v>
      </c>
      <c r="K12116" s="27" t="s">
        <v>41</v>
      </c>
      <c r="L12116" s="27"/>
    </row>
    <row r="12117" customFormat="false" ht="15" hidden="false" customHeight="false" outlineLevel="0" collapsed="false">
      <c r="A12117" s="26" t="s">
        <v>29146</v>
      </c>
      <c r="B12117" s="27" t="s">
        <v>29147</v>
      </c>
      <c r="C12117" s="27" t="s">
        <v>144</v>
      </c>
      <c r="D12117" s="26"/>
      <c r="E12117" s="27"/>
      <c r="F12117" s="27"/>
      <c r="G12117" s="27" t="s">
        <v>11122</v>
      </c>
      <c r="H12117" s="27" t="s">
        <v>35</v>
      </c>
      <c r="I12117" s="27" t="s">
        <v>39</v>
      </c>
      <c r="J12117" s="28" t="s">
        <v>10250</v>
      </c>
      <c r="K12117" s="27" t="s">
        <v>41</v>
      </c>
      <c r="L12117" s="27"/>
    </row>
    <row r="12118" customFormat="false" ht="15" hidden="false" customHeight="false" outlineLevel="0" collapsed="false">
      <c r="A12118" s="26" t="s">
        <v>29148</v>
      </c>
      <c r="B12118" s="27" t="s">
        <v>29149</v>
      </c>
      <c r="C12118" s="27" t="s">
        <v>144</v>
      </c>
      <c r="D12118" s="26"/>
      <c r="E12118" s="27"/>
      <c r="F12118" s="27"/>
      <c r="G12118" s="27" t="s">
        <v>11122</v>
      </c>
      <c r="H12118" s="27" t="s">
        <v>35</v>
      </c>
      <c r="I12118" s="27" t="s">
        <v>41</v>
      </c>
      <c r="J12118" s="28" t="s">
        <v>10250</v>
      </c>
      <c r="K12118" s="27" t="s">
        <v>41</v>
      </c>
      <c r="L12118" s="27"/>
    </row>
    <row r="12119" customFormat="false" ht="15" hidden="false" customHeight="false" outlineLevel="0" collapsed="false">
      <c r="A12119" s="26" t="s">
        <v>29150</v>
      </c>
      <c r="B12119" s="27" t="s">
        <v>29151</v>
      </c>
      <c r="C12119" s="27" t="s">
        <v>137</v>
      </c>
      <c r="D12119" s="26"/>
      <c r="E12119" s="27"/>
      <c r="F12119" s="27"/>
      <c r="G12119" s="27" t="s">
        <v>11122</v>
      </c>
      <c r="H12119" s="27" t="s">
        <v>35</v>
      </c>
      <c r="I12119" s="27" t="s">
        <v>38</v>
      </c>
      <c r="J12119" s="28" t="s">
        <v>10250</v>
      </c>
      <c r="K12119" s="27" t="s">
        <v>41</v>
      </c>
      <c r="L12119" s="27"/>
    </row>
    <row r="12120" customFormat="false" ht="15" hidden="false" customHeight="false" outlineLevel="0" collapsed="false">
      <c r="A12120" s="26" t="s">
        <v>29152</v>
      </c>
      <c r="B12120" s="27" t="s">
        <v>29153</v>
      </c>
      <c r="C12120" s="27" t="s">
        <v>144</v>
      </c>
      <c r="D12120" s="26"/>
      <c r="E12120" s="27"/>
      <c r="F12120" s="27"/>
      <c r="G12120" s="27" t="s">
        <v>11122</v>
      </c>
      <c r="H12120" s="27" t="s">
        <v>35</v>
      </c>
      <c r="I12120" s="27" t="s">
        <v>37</v>
      </c>
      <c r="J12120" s="28" t="s">
        <v>10250</v>
      </c>
      <c r="K12120" s="27" t="s">
        <v>41</v>
      </c>
      <c r="L12120" s="27"/>
    </row>
    <row r="12121" customFormat="false" ht="15" hidden="false" customHeight="false" outlineLevel="0" collapsed="false">
      <c r="A12121" s="26" t="s">
        <v>29154</v>
      </c>
      <c r="B12121" s="27" t="s">
        <v>29155</v>
      </c>
      <c r="C12121" s="27" t="s">
        <v>144</v>
      </c>
      <c r="D12121" s="26"/>
      <c r="E12121" s="27"/>
      <c r="F12121" s="27"/>
      <c r="G12121" s="27" t="s">
        <v>11122</v>
      </c>
      <c r="H12121" s="27" t="s">
        <v>35</v>
      </c>
      <c r="I12121" s="27" t="s">
        <v>39</v>
      </c>
      <c r="J12121" s="28" t="s">
        <v>10250</v>
      </c>
      <c r="K12121" s="27" t="s">
        <v>41</v>
      </c>
      <c r="L12121" s="27"/>
    </row>
    <row r="12122" customFormat="false" ht="15" hidden="false" customHeight="false" outlineLevel="0" collapsed="false">
      <c r="A12122" s="26" t="s">
        <v>29156</v>
      </c>
      <c r="B12122" s="27" t="s">
        <v>29157</v>
      </c>
      <c r="C12122" s="27" t="s">
        <v>137</v>
      </c>
      <c r="D12122" s="26"/>
      <c r="E12122" s="27"/>
      <c r="F12122" s="27"/>
      <c r="G12122" s="27" t="s">
        <v>11122</v>
      </c>
      <c r="H12122" s="27" t="s">
        <v>35</v>
      </c>
      <c r="I12122" s="27" t="s">
        <v>38</v>
      </c>
      <c r="J12122" s="28" t="s">
        <v>10250</v>
      </c>
      <c r="K12122" s="27" t="s">
        <v>41</v>
      </c>
      <c r="L12122" s="27"/>
    </row>
    <row r="12123" customFormat="false" ht="15" hidden="false" customHeight="false" outlineLevel="0" collapsed="false">
      <c r="A12123" s="26" t="s">
        <v>29158</v>
      </c>
      <c r="B12123" s="27" t="s">
        <v>29159</v>
      </c>
      <c r="C12123" s="27" t="s">
        <v>1845</v>
      </c>
      <c r="D12123" s="26"/>
      <c r="E12123" s="27"/>
      <c r="F12123" s="27"/>
      <c r="G12123" s="27" t="s">
        <v>11122</v>
      </c>
      <c r="H12123" s="27" t="s">
        <v>35</v>
      </c>
      <c r="I12123" s="27" t="s">
        <v>44</v>
      </c>
      <c r="J12123" s="28" t="s">
        <v>10250</v>
      </c>
      <c r="K12123" s="27" t="s">
        <v>41</v>
      </c>
      <c r="L12123" s="27"/>
    </row>
    <row r="12124" customFormat="false" ht="15" hidden="false" customHeight="false" outlineLevel="0" collapsed="false">
      <c r="A12124" s="26" t="s">
        <v>29160</v>
      </c>
      <c r="B12124" s="27" t="s">
        <v>29161</v>
      </c>
      <c r="C12124" s="27" t="s">
        <v>1845</v>
      </c>
      <c r="D12124" s="26"/>
      <c r="E12124" s="27"/>
      <c r="F12124" s="27"/>
      <c r="G12124" s="27" t="s">
        <v>11122</v>
      </c>
      <c r="H12124" s="27" t="s">
        <v>35</v>
      </c>
      <c r="I12124" s="27" t="s">
        <v>44</v>
      </c>
      <c r="J12124" s="28" t="s">
        <v>10250</v>
      </c>
      <c r="K12124" s="27" t="s">
        <v>41</v>
      </c>
      <c r="L12124" s="27"/>
    </row>
    <row r="12125" customFormat="false" ht="15" hidden="false" customHeight="false" outlineLevel="0" collapsed="false">
      <c r="A12125" s="26" t="s">
        <v>29162</v>
      </c>
      <c r="B12125" s="27" t="s">
        <v>29163</v>
      </c>
      <c r="C12125" s="27" t="s">
        <v>1845</v>
      </c>
      <c r="D12125" s="26"/>
      <c r="E12125" s="27"/>
      <c r="F12125" s="27"/>
      <c r="G12125" s="27" t="s">
        <v>11122</v>
      </c>
      <c r="H12125" s="27" t="s">
        <v>35</v>
      </c>
      <c r="I12125" s="27" t="s">
        <v>44</v>
      </c>
      <c r="J12125" s="28" t="s">
        <v>10250</v>
      </c>
      <c r="K12125" s="27" t="s">
        <v>41</v>
      </c>
      <c r="L12125" s="27"/>
    </row>
    <row r="12126" customFormat="false" ht="15" hidden="false" customHeight="false" outlineLevel="0" collapsed="false">
      <c r="A12126" s="26" t="s">
        <v>29164</v>
      </c>
      <c r="B12126" s="27" t="s">
        <v>29165</v>
      </c>
      <c r="C12126" s="27" t="s">
        <v>144</v>
      </c>
      <c r="D12126" s="26"/>
      <c r="E12126" s="27"/>
      <c r="F12126" s="27"/>
      <c r="G12126" s="27" t="s">
        <v>11122</v>
      </c>
      <c r="H12126" s="27" t="s">
        <v>35</v>
      </c>
      <c r="I12126" s="27" t="s">
        <v>38</v>
      </c>
      <c r="J12126" s="28" t="s">
        <v>10250</v>
      </c>
      <c r="K12126" s="27" t="s">
        <v>41</v>
      </c>
      <c r="L12126" s="27"/>
    </row>
    <row r="12127" customFormat="false" ht="15" hidden="false" customHeight="false" outlineLevel="0" collapsed="false">
      <c r="A12127" s="26" t="s">
        <v>29166</v>
      </c>
      <c r="B12127" s="27" t="s">
        <v>29167</v>
      </c>
      <c r="C12127" s="27" t="s">
        <v>144</v>
      </c>
      <c r="D12127" s="26"/>
      <c r="E12127" s="27"/>
      <c r="F12127" s="27"/>
      <c r="G12127" s="27" t="s">
        <v>11122</v>
      </c>
      <c r="H12127" s="27" t="s">
        <v>35</v>
      </c>
      <c r="I12127" s="27" t="s">
        <v>38</v>
      </c>
      <c r="J12127" s="28" t="s">
        <v>10250</v>
      </c>
      <c r="K12127" s="27" t="s">
        <v>41</v>
      </c>
      <c r="L12127" s="27"/>
    </row>
    <row r="12128" customFormat="false" ht="15" hidden="false" customHeight="false" outlineLevel="0" collapsed="false">
      <c r="A12128" s="26" t="s">
        <v>29168</v>
      </c>
      <c r="B12128" s="27" t="s">
        <v>29169</v>
      </c>
      <c r="C12128" s="27" t="s">
        <v>144</v>
      </c>
      <c r="D12128" s="26"/>
      <c r="E12128" s="27"/>
      <c r="F12128" s="27"/>
      <c r="G12128" s="27" t="s">
        <v>11122</v>
      </c>
      <c r="H12128" s="27" t="s">
        <v>35</v>
      </c>
      <c r="I12128" s="27" t="s">
        <v>39</v>
      </c>
      <c r="J12128" s="28" t="s">
        <v>10250</v>
      </c>
      <c r="K12128" s="27" t="s">
        <v>41</v>
      </c>
      <c r="L12128" s="27"/>
    </row>
    <row r="12129" customFormat="false" ht="15" hidden="false" customHeight="false" outlineLevel="0" collapsed="false">
      <c r="A12129" s="26" t="s">
        <v>29170</v>
      </c>
      <c r="B12129" s="27" t="s">
        <v>29171</v>
      </c>
      <c r="C12129" s="27" t="s">
        <v>144</v>
      </c>
      <c r="D12129" s="26"/>
      <c r="E12129" s="27"/>
      <c r="F12129" s="27"/>
      <c r="G12129" s="27" t="s">
        <v>11122</v>
      </c>
      <c r="H12129" s="27" t="s">
        <v>35</v>
      </c>
      <c r="I12129" s="27" t="s">
        <v>38</v>
      </c>
      <c r="J12129" s="28" t="s">
        <v>10250</v>
      </c>
      <c r="K12129" s="27" t="s">
        <v>41</v>
      </c>
      <c r="L12129" s="27"/>
    </row>
    <row r="12130" customFormat="false" ht="15" hidden="false" customHeight="false" outlineLevel="0" collapsed="false">
      <c r="A12130" s="26" t="s">
        <v>29172</v>
      </c>
      <c r="B12130" s="27" t="s">
        <v>29173</v>
      </c>
      <c r="C12130" s="27" t="s">
        <v>144</v>
      </c>
      <c r="D12130" s="26"/>
      <c r="E12130" s="27"/>
      <c r="F12130" s="27"/>
      <c r="G12130" s="27" t="s">
        <v>11122</v>
      </c>
      <c r="H12130" s="27" t="s">
        <v>35</v>
      </c>
      <c r="I12130" s="27" t="s">
        <v>38</v>
      </c>
      <c r="J12130" s="28" t="s">
        <v>10250</v>
      </c>
      <c r="K12130" s="27" t="s">
        <v>41</v>
      </c>
      <c r="L12130" s="27"/>
    </row>
    <row r="12131" customFormat="false" ht="15" hidden="false" customHeight="false" outlineLevel="0" collapsed="false">
      <c r="A12131" s="26" t="s">
        <v>29174</v>
      </c>
      <c r="B12131" s="27" t="s">
        <v>29175</v>
      </c>
      <c r="C12131" s="27" t="s">
        <v>144</v>
      </c>
      <c r="D12131" s="26"/>
      <c r="E12131" s="27"/>
      <c r="F12131" s="27"/>
      <c r="G12131" s="27" t="s">
        <v>11122</v>
      </c>
      <c r="H12131" s="27" t="s">
        <v>35</v>
      </c>
      <c r="I12131" s="27" t="s">
        <v>38</v>
      </c>
      <c r="J12131" s="28" t="s">
        <v>10250</v>
      </c>
      <c r="K12131" s="27" t="s">
        <v>41</v>
      </c>
      <c r="L12131" s="27"/>
    </row>
    <row r="12132" customFormat="false" ht="15" hidden="false" customHeight="false" outlineLevel="0" collapsed="false">
      <c r="A12132" s="26" t="s">
        <v>29176</v>
      </c>
      <c r="B12132" s="27" t="s">
        <v>29177</v>
      </c>
      <c r="C12132" s="27" t="s">
        <v>144</v>
      </c>
      <c r="D12132" s="26"/>
      <c r="E12132" s="27"/>
      <c r="F12132" s="27"/>
      <c r="G12132" s="27" t="s">
        <v>11122</v>
      </c>
      <c r="H12132" s="27" t="s">
        <v>35</v>
      </c>
      <c r="I12132" s="27" t="s">
        <v>38</v>
      </c>
      <c r="J12132" s="28" t="s">
        <v>10250</v>
      </c>
      <c r="K12132" s="27" t="s">
        <v>41</v>
      </c>
      <c r="L12132" s="27"/>
    </row>
    <row r="12133" customFormat="false" ht="15" hidden="false" customHeight="false" outlineLevel="0" collapsed="false">
      <c r="A12133" s="26" t="s">
        <v>29178</v>
      </c>
      <c r="B12133" s="27" t="s">
        <v>29179</v>
      </c>
      <c r="C12133" s="27" t="s">
        <v>144</v>
      </c>
      <c r="D12133" s="26"/>
      <c r="E12133" s="27"/>
      <c r="F12133" s="27"/>
      <c r="G12133" s="27" t="s">
        <v>11122</v>
      </c>
      <c r="H12133" s="27" t="s">
        <v>35</v>
      </c>
      <c r="I12133" s="27" t="s">
        <v>38</v>
      </c>
      <c r="J12133" s="28" t="s">
        <v>10250</v>
      </c>
      <c r="K12133" s="27" t="s">
        <v>41</v>
      </c>
      <c r="L12133" s="27"/>
    </row>
    <row r="12134" customFormat="false" ht="15" hidden="false" customHeight="false" outlineLevel="0" collapsed="false">
      <c r="A12134" s="26" t="s">
        <v>29180</v>
      </c>
      <c r="B12134" s="27" t="s">
        <v>29181</v>
      </c>
      <c r="C12134" s="27" t="s">
        <v>144</v>
      </c>
      <c r="D12134" s="26"/>
      <c r="E12134" s="27"/>
      <c r="F12134" s="27"/>
      <c r="G12134" s="27" t="s">
        <v>11122</v>
      </c>
      <c r="H12134" s="27" t="s">
        <v>35</v>
      </c>
      <c r="I12134" s="27" t="s">
        <v>38</v>
      </c>
      <c r="J12134" s="28" t="s">
        <v>10250</v>
      </c>
      <c r="K12134" s="27" t="s">
        <v>41</v>
      </c>
      <c r="L12134" s="27"/>
    </row>
    <row r="12135" customFormat="false" ht="15" hidden="false" customHeight="false" outlineLevel="0" collapsed="false">
      <c r="A12135" s="26" t="s">
        <v>29182</v>
      </c>
      <c r="B12135" s="27" t="s">
        <v>29183</v>
      </c>
      <c r="C12135" s="27" t="s">
        <v>144</v>
      </c>
      <c r="D12135" s="26"/>
      <c r="E12135" s="27"/>
      <c r="F12135" s="27"/>
      <c r="G12135" s="27" t="s">
        <v>11122</v>
      </c>
      <c r="H12135" s="27" t="s">
        <v>35</v>
      </c>
      <c r="I12135" s="27" t="s">
        <v>38</v>
      </c>
      <c r="J12135" s="28" t="s">
        <v>10250</v>
      </c>
      <c r="K12135" s="27" t="s">
        <v>41</v>
      </c>
      <c r="L12135" s="27"/>
    </row>
    <row r="12136" customFormat="false" ht="15" hidden="false" customHeight="false" outlineLevel="0" collapsed="false">
      <c r="A12136" s="26" t="s">
        <v>29184</v>
      </c>
      <c r="B12136" s="27" t="s">
        <v>29185</v>
      </c>
      <c r="C12136" s="27" t="s">
        <v>144</v>
      </c>
      <c r="D12136" s="26"/>
      <c r="E12136" s="27"/>
      <c r="F12136" s="27"/>
      <c r="G12136" s="27" t="s">
        <v>11122</v>
      </c>
      <c r="H12136" s="27" t="s">
        <v>35</v>
      </c>
      <c r="I12136" s="27" t="s">
        <v>38</v>
      </c>
      <c r="J12136" s="28" t="s">
        <v>10250</v>
      </c>
      <c r="K12136" s="27" t="s">
        <v>41</v>
      </c>
      <c r="L12136" s="27"/>
    </row>
    <row r="12137" customFormat="false" ht="15" hidden="false" customHeight="false" outlineLevel="0" collapsed="false">
      <c r="A12137" s="26" t="s">
        <v>29186</v>
      </c>
      <c r="B12137" s="27" t="s">
        <v>29187</v>
      </c>
      <c r="C12137" s="27" t="s">
        <v>144</v>
      </c>
      <c r="D12137" s="26"/>
      <c r="E12137" s="27"/>
      <c r="F12137" s="27"/>
      <c r="G12137" s="27" t="s">
        <v>11122</v>
      </c>
      <c r="H12137" s="27" t="s">
        <v>35</v>
      </c>
      <c r="I12137" s="27" t="s">
        <v>38</v>
      </c>
      <c r="J12137" s="28" t="s">
        <v>10250</v>
      </c>
      <c r="K12137" s="27" t="s">
        <v>41</v>
      </c>
      <c r="L12137" s="27"/>
    </row>
    <row r="12138" customFormat="false" ht="15" hidden="false" customHeight="false" outlineLevel="0" collapsed="false">
      <c r="A12138" s="26" t="s">
        <v>29188</v>
      </c>
      <c r="B12138" s="27" t="s">
        <v>29189</v>
      </c>
      <c r="C12138" s="27" t="s">
        <v>144</v>
      </c>
      <c r="D12138" s="26"/>
      <c r="E12138" s="27"/>
      <c r="F12138" s="27"/>
      <c r="G12138" s="27" t="s">
        <v>11122</v>
      </c>
      <c r="H12138" s="27" t="s">
        <v>35</v>
      </c>
      <c r="I12138" s="27" t="s">
        <v>38</v>
      </c>
      <c r="J12138" s="28" t="s">
        <v>10250</v>
      </c>
      <c r="K12138" s="27" t="s">
        <v>41</v>
      </c>
      <c r="L12138" s="27"/>
    </row>
    <row r="12139" customFormat="false" ht="15" hidden="false" customHeight="false" outlineLevel="0" collapsed="false">
      <c r="A12139" s="26" t="s">
        <v>29190</v>
      </c>
      <c r="B12139" s="27" t="s">
        <v>29191</v>
      </c>
      <c r="C12139" s="27" t="s">
        <v>137</v>
      </c>
      <c r="D12139" s="26"/>
      <c r="E12139" s="27"/>
      <c r="F12139" s="27"/>
      <c r="G12139" s="27" t="s">
        <v>11122</v>
      </c>
      <c r="H12139" s="27" t="s">
        <v>35</v>
      </c>
      <c r="I12139" s="27" t="s">
        <v>38</v>
      </c>
      <c r="J12139" s="28" t="s">
        <v>10250</v>
      </c>
      <c r="K12139" s="27" t="s">
        <v>41</v>
      </c>
      <c r="L12139" s="27"/>
    </row>
    <row r="12140" customFormat="false" ht="15" hidden="false" customHeight="false" outlineLevel="0" collapsed="false">
      <c r="A12140" s="26" t="s">
        <v>29192</v>
      </c>
      <c r="B12140" s="27" t="s">
        <v>29193</v>
      </c>
      <c r="C12140" s="27" t="s">
        <v>137</v>
      </c>
      <c r="D12140" s="26"/>
      <c r="E12140" s="27"/>
      <c r="F12140" s="27"/>
      <c r="G12140" s="27" t="s">
        <v>11122</v>
      </c>
      <c r="H12140" s="27" t="s">
        <v>35</v>
      </c>
      <c r="I12140" s="27" t="s">
        <v>44</v>
      </c>
      <c r="J12140" s="28" t="s">
        <v>10250</v>
      </c>
      <c r="K12140" s="27" t="s">
        <v>41</v>
      </c>
      <c r="L12140" s="27"/>
    </row>
    <row r="12141" customFormat="false" ht="15" hidden="false" customHeight="false" outlineLevel="0" collapsed="false">
      <c r="A12141" s="26" t="s">
        <v>29194</v>
      </c>
      <c r="B12141" s="27" t="s">
        <v>29195</v>
      </c>
      <c r="C12141" s="27" t="s">
        <v>144</v>
      </c>
      <c r="D12141" s="26"/>
      <c r="E12141" s="27"/>
      <c r="F12141" s="27"/>
      <c r="G12141" s="27" t="s">
        <v>11122</v>
      </c>
      <c r="H12141" s="27" t="s">
        <v>35</v>
      </c>
      <c r="I12141" s="27" t="s">
        <v>38</v>
      </c>
      <c r="J12141" s="28" t="s">
        <v>10250</v>
      </c>
      <c r="K12141" s="27" t="s">
        <v>41</v>
      </c>
      <c r="L12141" s="27"/>
    </row>
    <row r="12142" customFormat="false" ht="15" hidden="false" customHeight="false" outlineLevel="0" collapsed="false">
      <c r="A12142" s="26" t="s">
        <v>29196</v>
      </c>
      <c r="B12142" s="27" t="s">
        <v>29197</v>
      </c>
      <c r="C12142" s="27" t="s">
        <v>144</v>
      </c>
      <c r="D12142" s="26"/>
      <c r="E12142" s="27"/>
      <c r="F12142" s="27"/>
      <c r="G12142" s="27" t="s">
        <v>11122</v>
      </c>
      <c r="H12142" s="27" t="s">
        <v>35</v>
      </c>
      <c r="I12142" s="27" t="s">
        <v>39</v>
      </c>
      <c r="J12142" s="28" t="s">
        <v>10250</v>
      </c>
      <c r="K12142" s="27" t="s">
        <v>41</v>
      </c>
      <c r="L12142" s="27"/>
    </row>
    <row r="12143" customFormat="false" ht="15" hidden="false" customHeight="false" outlineLevel="0" collapsed="false">
      <c r="A12143" s="26" t="s">
        <v>29198</v>
      </c>
      <c r="B12143" s="27" t="s">
        <v>29199</v>
      </c>
      <c r="C12143" s="27" t="s">
        <v>144</v>
      </c>
      <c r="D12143" s="26"/>
      <c r="E12143" s="27"/>
      <c r="F12143" s="27"/>
      <c r="G12143" s="27" t="s">
        <v>11122</v>
      </c>
      <c r="H12143" s="27" t="s">
        <v>35</v>
      </c>
      <c r="I12143" s="27" t="s">
        <v>39</v>
      </c>
      <c r="J12143" s="28" t="s">
        <v>10250</v>
      </c>
      <c r="K12143" s="27" t="s">
        <v>41</v>
      </c>
      <c r="L12143" s="27"/>
    </row>
    <row r="12144" customFormat="false" ht="15" hidden="false" customHeight="false" outlineLevel="0" collapsed="false">
      <c r="A12144" s="26" t="s">
        <v>29200</v>
      </c>
      <c r="B12144" s="27" t="s">
        <v>29201</v>
      </c>
      <c r="C12144" s="27" t="s">
        <v>137</v>
      </c>
      <c r="D12144" s="26"/>
      <c r="E12144" s="27"/>
      <c r="F12144" s="27"/>
      <c r="G12144" s="27" t="s">
        <v>11122</v>
      </c>
      <c r="H12144" s="27" t="s">
        <v>35</v>
      </c>
      <c r="I12144" s="27" t="s">
        <v>44</v>
      </c>
      <c r="J12144" s="28" t="s">
        <v>10250</v>
      </c>
      <c r="K12144" s="27" t="s">
        <v>41</v>
      </c>
      <c r="L12144" s="27"/>
    </row>
    <row r="12145" customFormat="false" ht="15" hidden="false" customHeight="false" outlineLevel="0" collapsed="false">
      <c r="A12145" s="26" t="s">
        <v>29202</v>
      </c>
      <c r="B12145" s="27" t="s">
        <v>29203</v>
      </c>
      <c r="C12145" s="27" t="s">
        <v>144</v>
      </c>
      <c r="D12145" s="26"/>
      <c r="E12145" s="27"/>
      <c r="F12145" s="27"/>
      <c r="G12145" s="27" t="s">
        <v>11122</v>
      </c>
      <c r="H12145" s="27" t="s">
        <v>35</v>
      </c>
      <c r="I12145" s="27" t="s">
        <v>37</v>
      </c>
      <c r="J12145" s="28" t="s">
        <v>10250</v>
      </c>
      <c r="K12145" s="27" t="s">
        <v>41</v>
      </c>
      <c r="L12145" s="27"/>
    </row>
    <row r="12146" customFormat="false" ht="15" hidden="false" customHeight="false" outlineLevel="0" collapsed="false">
      <c r="A12146" s="26" t="s">
        <v>29204</v>
      </c>
      <c r="B12146" s="27" t="s">
        <v>29205</v>
      </c>
      <c r="C12146" s="27" t="s">
        <v>1612</v>
      </c>
      <c r="D12146" s="26"/>
      <c r="E12146" s="27"/>
      <c r="F12146" s="27"/>
      <c r="G12146" s="27" t="s">
        <v>11122</v>
      </c>
      <c r="H12146" s="27" t="s">
        <v>35</v>
      </c>
      <c r="I12146" s="28" t="s">
        <v>46</v>
      </c>
      <c r="J12146" s="28" t="s">
        <v>10250</v>
      </c>
      <c r="K12146" s="27" t="s">
        <v>41</v>
      </c>
      <c r="L12146" s="27"/>
    </row>
    <row r="12147" customFormat="false" ht="15" hidden="false" customHeight="false" outlineLevel="0" collapsed="false">
      <c r="A12147" s="26" t="s">
        <v>29206</v>
      </c>
      <c r="B12147" s="27" t="s">
        <v>29207</v>
      </c>
      <c r="C12147" s="27" t="s">
        <v>144</v>
      </c>
      <c r="D12147" s="26"/>
      <c r="E12147" s="27"/>
      <c r="F12147" s="27"/>
      <c r="G12147" s="27" t="s">
        <v>11122</v>
      </c>
      <c r="H12147" s="27" t="s">
        <v>35</v>
      </c>
      <c r="I12147" s="27" t="s">
        <v>43</v>
      </c>
      <c r="J12147" s="28" t="s">
        <v>10250</v>
      </c>
      <c r="K12147" s="27" t="s">
        <v>41</v>
      </c>
      <c r="L12147" s="27"/>
    </row>
    <row r="12148" customFormat="false" ht="15" hidden="false" customHeight="false" outlineLevel="0" collapsed="false">
      <c r="A12148" s="26" t="s">
        <v>29208</v>
      </c>
      <c r="B12148" s="27" t="s">
        <v>29209</v>
      </c>
      <c r="C12148" s="27" t="s">
        <v>144</v>
      </c>
      <c r="D12148" s="26"/>
      <c r="E12148" s="27"/>
      <c r="F12148" s="27"/>
      <c r="G12148" s="27" t="s">
        <v>11122</v>
      </c>
      <c r="H12148" s="27" t="s">
        <v>35</v>
      </c>
      <c r="I12148" s="27" t="s">
        <v>38</v>
      </c>
      <c r="J12148" s="28" t="s">
        <v>10250</v>
      </c>
      <c r="K12148" s="27" t="s">
        <v>41</v>
      </c>
      <c r="L12148" s="27"/>
    </row>
    <row r="12149" customFormat="false" ht="15" hidden="false" customHeight="false" outlineLevel="0" collapsed="false">
      <c r="A12149" s="26" t="s">
        <v>29210</v>
      </c>
      <c r="B12149" s="27" t="s">
        <v>29211</v>
      </c>
      <c r="C12149" s="27" t="s">
        <v>144</v>
      </c>
      <c r="D12149" s="26"/>
      <c r="E12149" s="27"/>
      <c r="F12149" s="27"/>
      <c r="G12149" s="27" t="s">
        <v>11122</v>
      </c>
      <c r="H12149" s="27" t="s">
        <v>35</v>
      </c>
      <c r="I12149" s="27" t="s">
        <v>47</v>
      </c>
      <c r="J12149" s="28" t="s">
        <v>1297</v>
      </c>
      <c r="K12149" s="27" t="s">
        <v>1296</v>
      </c>
      <c r="L12149" s="27"/>
    </row>
    <row r="12150" customFormat="false" ht="15" hidden="false" customHeight="false" outlineLevel="0" collapsed="false">
      <c r="A12150" s="26" t="s">
        <v>29212</v>
      </c>
      <c r="B12150" s="27" t="s">
        <v>29213</v>
      </c>
      <c r="C12150" s="27" t="s">
        <v>144</v>
      </c>
      <c r="D12150" s="26"/>
      <c r="E12150" s="27"/>
      <c r="F12150" s="27"/>
      <c r="G12150" s="27" t="s">
        <v>11122</v>
      </c>
      <c r="H12150" s="27" t="s">
        <v>35</v>
      </c>
      <c r="I12150" s="27" t="s">
        <v>42</v>
      </c>
      <c r="J12150" s="28" t="s">
        <v>1297</v>
      </c>
      <c r="K12150" s="27" t="s">
        <v>1296</v>
      </c>
      <c r="L12150" s="27"/>
    </row>
    <row r="12151" customFormat="false" ht="15" hidden="false" customHeight="false" outlineLevel="0" collapsed="false">
      <c r="A12151" s="26" t="s">
        <v>29214</v>
      </c>
      <c r="B12151" s="27" t="s">
        <v>29215</v>
      </c>
      <c r="C12151" s="27" t="s">
        <v>144</v>
      </c>
      <c r="D12151" s="26"/>
      <c r="E12151" s="27"/>
      <c r="F12151" s="27"/>
      <c r="G12151" s="27" t="s">
        <v>11122</v>
      </c>
      <c r="H12151" s="27" t="s">
        <v>35</v>
      </c>
      <c r="I12151" s="27" t="s">
        <v>47</v>
      </c>
      <c r="J12151" s="28" t="s">
        <v>1297</v>
      </c>
      <c r="K12151" s="27" t="s">
        <v>1296</v>
      </c>
      <c r="L12151" s="27"/>
    </row>
    <row r="12152" customFormat="false" ht="15" hidden="false" customHeight="false" outlineLevel="0" collapsed="false">
      <c r="A12152" s="26" t="s">
        <v>29216</v>
      </c>
      <c r="B12152" s="27" t="s">
        <v>29217</v>
      </c>
      <c r="C12152" s="27" t="s">
        <v>144</v>
      </c>
      <c r="D12152" s="26"/>
      <c r="E12152" s="27"/>
      <c r="F12152" s="27"/>
      <c r="G12152" s="27" t="s">
        <v>11122</v>
      </c>
      <c r="H12152" s="27" t="s">
        <v>35</v>
      </c>
      <c r="I12152" s="27" t="s">
        <v>47</v>
      </c>
      <c r="J12152" s="28" t="s">
        <v>1297</v>
      </c>
      <c r="K12152" s="27" t="s">
        <v>1296</v>
      </c>
      <c r="L12152" s="27"/>
    </row>
    <row r="12153" customFormat="false" ht="15" hidden="false" customHeight="false" outlineLevel="0" collapsed="false">
      <c r="A12153" s="26" t="s">
        <v>29218</v>
      </c>
      <c r="B12153" s="27" t="s">
        <v>29219</v>
      </c>
      <c r="C12153" s="27" t="s">
        <v>144</v>
      </c>
      <c r="D12153" s="26"/>
      <c r="E12153" s="27"/>
      <c r="F12153" s="27"/>
      <c r="G12153" s="27" t="s">
        <v>11122</v>
      </c>
      <c r="H12153" s="27" t="s">
        <v>35</v>
      </c>
      <c r="I12153" s="27" t="s">
        <v>42</v>
      </c>
      <c r="J12153" s="28" t="s">
        <v>1297</v>
      </c>
      <c r="K12153" s="27" t="s">
        <v>1296</v>
      </c>
      <c r="L12153" s="27"/>
    </row>
    <row r="12154" customFormat="false" ht="15" hidden="false" customHeight="false" outlineLevel="0" collapsed="false">
      <c r="A12154" s="26" t="s">
        <v>29220</v>
      </c>
      <c r="B12154" s="27" t="s">
        <v>29221</v>
      </c>
      <c r="C12154" s="27" t="s">
        <v>144</v>
      </c>
      <c r="D12154" s="26"/>
      <c r="E12154" s="27"/>
      <c r="F12154" s="27"/>
      <c r="G12154" s="27" t="s">
        <v>11122</v>
      </c>
      <c r="H12154" s="27" t="s">
        <v>35</v>
      </c>
      <c r="I12154" s="27" t="s">
        <v>42</v>
      </c>
      <c r="J12154" s="28" t="s">
        <v>1297</v>
      </c>
      <c r="K12154" s="27" t="s">
        <v>1296</v>
      </c>
      <c r="L12154" s="27"/>
    </row>
    <row r="12155" customFormat="false" ht="15" hidden="false" customHeight="false" outlineLevel="0" collapsed="false">
      <c r="A12155" s="26" t="s">
        <v>29222</v>
      </c>
      <c r="B12155" s="27" t="s">
        <v>29223</v>
      </c>
      <c r="C12155" s="27" t="s">
        <v>144</v>
      </c>
      <c r="D12155" s="26"/>
      <c r="E12155" s="27"/>
      <c r="F12155" s="27"/>
      <c r="G12155" s="27" t="s">
        <v>11122</v>
      </c>
      <c r="H12155" s="27" t="s">
        <v>35</v>
      </c>
      <c r="I12155" s="27" t="s">
        <v>47</v>
      </c>
      <c r="J12155" s="28" t="s">
        <v>1297</v>
      </c>
      <c r="K12155" s="27" t="s">
        <v>1296</v>
      </c>
      <c r="L12155" s="27"/>
    </row>
    <row r="12156" customFormat="false" ht="15" hidden="false" customHeight="false" outlineLevel="0" collapsed="false">
      <c r="A12156" s="26" t="s">
        <v>29224</v>
      </c>
      <c r="B12156" s="27" t="s">
        <v>29225</v>
      </c>
      <c r="C12156" s="27" t="s">
        <v>144</v>
      </c>
      <c r="D12156" s="26"/>
      <c r="E12156" s="27"/>
      <c r="F12156" s="27"/>
      <c r="G12156" s="27" t="s">
        <v>11122</v>
      </c>
      <c r="H12156" s="27" t="s">
        <v>35</v>
      </c>
      <c r="I12156" s="27" t="s">
        <v>47</v>
      </c>
      <c r="J12156" s="28" t="s">
        <v>1297</v>
      </c>
      <c r="K12156" s="27" t="s">
        <v>1296</v>
      </c>
      <c r="L12156" s="27"/>
    </row>
    <row r="12157" customFormat="false" ht="15" hidden="false" customHeight="false" outlineLevel="0" collapsed="false">
      <c r="A12157" s="26" t="s">
        <v>29226</v>
      </c>
      <c r="B12157" s="27" t="s">
        <v>29227</v>
      </c>
      <c r="C12157" s="27" t="s">
        <v>144</v>
      </c>
      <c r="D12157" s="26"/>
      <c r="E12157" s="27"/>
      <c r="F12157" s="27"/>
      <c r="G12157" s="27" t="s">
        <v>11122</v>
      </c>
      <c r="H12157" s="27" t="s">
        <v>35</v>
      </c>
      <c r="I12157" s="27" t="s">
        <v>47</v>
      </c>
      <c r="J12157" s="28" t="s">
        <v>1297</v>
      </c>
      <c r="K12157" s="27" t="s">
        <v>1296</v>
      </c>
      <c r="L12157" s="27"/>
    </row>
    <row r="12158" customFormat="false" ht="15" hidden="false" customHeight="false" outlineLevel="0" collapsed="false">
      <c r="A12158" s="26" t="s">
        <v>29228</v>
      </c>
      <c r="B12158" s="27" t="s">
        <v>29229</v>
      </c>
      <c r="C12158" s="27" t="s">
        <v>144</v>
      </c>
      <c r="D12158" s="26"/>
      <c r="E12158" s="27"/>
      <c r="F12158" s="27"/>
      <c r="G12158" s="27" t="s">
        <v>11122</v>
      </c>
      <c r="H12158" s="27" t="s">
        <v>35</v>
      </c>
      <c r="I12158" s="27" t="s">
        <v>1578</v>
      </c>
      <c r="J12158" s="28" t="s">
        <v>1297</v>
      </c>
      <c r="K12158" s="27" t="s">
        <v>1296</v>
      </c>
      <c r="L12158" s="27"/>
    </row>
    <row r="12159" customFormat="false" ht="15" hidden="false" customHeight="false" outlineLevel="0" collapsed="false">
      <c r="A12159" s="26" t="s">
        <v>29230</v>
      </c>
      <c r="B12159" s="27" t="s">
        <v>29231</v>
      </c>
      <c r="C12159" s="27" t="s">
        <v>144</v>
      </c>
      <c r="D12159" s="26"/>
      <c r="E12159" s="27"/>
      <c r="F12159" s="27"/>
      <c r="G12159" s="27" t="s">
        <v>11122</v>
      </c>
      <c r="H12159" s="27" t="s">
        <v>35</v>
      </c>
      <c r="I12159" s="27" t="s">
        <v>40</v>
      </c>
      <c r="J12159" s="28" t="s">
        <v>3286</v>
      </c>
      <c r="K12159" s="28" t="s">
        <v>50</v>
      </c>
      <c r="L12159" s="27"/>
    </row>
    <row r="12160" customFormat="false" ht="15" hidden="false" customHeight="false" outlineLevel="0" collapsed="false">
      <c r="A12160" s="26" t="s">
        <v>29232</v>
      </c>
      <c r="B12160" s="27" t="s">
        <v>29233</v>
      </c>
      <c r="C12160" s="27" t="s">
        <v>137</v>
      </c>
      <c r="D12160" s="26"/>
      <c r="E12160" s="27"/>
      <c r="F12160" s="27"/>
      <c r="G12160" s="27" t="s">
        <v>11122</v>
      </c>
      <c r="H12160" s="27" t="s">
        <v>35</v>
      </c>
      <c r="I12160" s="27" t="s">
        <v>40</v>
      </c>
      <c r="J12160" s="28" t="s">
        <v>3286</v>
      </c>
      <c r="K12160" s="28" t="s">
        <v>50</v>
      </c>
      <c r="L12160" s="27"/>
    </row>
    <row r="12161" customFormat="false" ht="15" hidden="false" customHeight="false" outlineLevel="0" collapsed="false">
      <c r="A12161" s="26" t="s">
        <v>29234</v>
      </c>
      <c r="B12161" s="27" t="s">
        <v>29235</v>
      </c>
      <c r="C12161" s="27" t="s">
        <v>144</v>
      </c>
      <c r="D12161" s="26"/>
      <c r="E12161" s="27"/>
      <c r="F12161" s="27"/>
      <c r="G12161" s="27" t="s">
        <v>11122</v>
      </c>
      <c r="H12161" s="27" t="s">
        <v>35</v>
      </c>
      <c r="I12161" s="27" t="s">
        <v>45</v>
      </c>
      <c r="J12161" s="28" t="s">
        <v>3286</v>
      </c>
      <c r="K12161" s="28" t="s">
        <v>50</v>
      </c>
      <c r="L12161" s="27"/>
    </row>
    <row r="12162" customFormat="false" ht="15" hidden="false" customHeight="false" outlineLevel="0" collapsed="false">
      <c r="A12162" s="26" t="s">
        <v>29236</v>
      </c>
      <c r="B12162" s="27" t="s">
        <v>29237</v>
      </c>
      <c r="C12162" s="27" t="s">
        <v>144</v>
      </c>
      <c r="D12162" s="26"/>
      <c r="E12162" s="27"/>
      <c r="F12162" s="27"/>
      <c r="G12162" s="27" t="s">
        <v>11122</v>
      </c>
      <c r="H12162" s="27" t="s">
        <v>35</v>
      </c>
      <c r="I12162" s="28" t="s">
        <v>50</v>
      </c>
      <c r="J12162" s="28" t="s">
        <v>3286</v>
      </c>
      <c r="K12162" s="28" t="s">
        <v>50</v>
      </c>
      <c r="L12162" s="27"/>
    </row>
    <row r="12163" customFormat="false" ht="15" hidden="false" customHeight="false" outlineLevel="0" collapsed="false">
      <c r="A12163" s="26" t="s">
        <v>29238</v>
      </c>
      <c r="B12163" s="27" t="s">
        <v>29239</v>
      </c>
      <c r="C12163" s="27" t="s">
        <v>29240</v>
      </c>
      <c r="D12163" s="26"/>
      <c r="E12163" s="27"/>
      <c r="F12163" s="27"/>
      <c r="G12163" s="27" t="s">
        <v>11122</v>
      </c>
      <c r="H12163" s="27" t="s">
        <v>35</v>
      </c>
      <c r="I12163" s="27" t="s">
        <v>49</v>
      </c>
      <c r="J12163" s="28" t="s">
        <v>3286</v>
      </c>
      <c r="K12163" s="28" t="s">
        <v>50</v>
      </c>
      <c r="L12163" s="27"/>
    </row>
    <row r="12164" customFormat="false" ht="15" hidden="false" customHeight="false" outlineLevel="0" collapsed="false">
      <c r="A12164" s="26" t="s">
        <v>29241</v>
      </c>
      <c r="B12164" s="27" t="s">
        <v>29242</v>
      </c>
      <c r="C12164" s="27" t="s">
        <v>144</v>
      </c>
      <c r="D12164" s="26"/>
      <c r="E12164" s="27"/>
      <c r="F12164" s="27"/>
      <c r="G12164" s="27" t="s">
        <v>11122</v>
      </c>
      <c r="H12164" s="27" t="s">
        <v>35</v>
      </c>
      <c r="I12164" s="27" t="s">
        <v>45</v>
      </c>
      <c r="J12164" s="28" t="s">
        <v>3286</v>
      </c>
      <c r="K12164" s="28" t="s">
        <v>50</v>
      </c>
      <c r="L12164" s="27"/>
    </row>
    <row r="12165" customFormat="false" ht="15" hidden="false" customHeight="false" outlineLevel="0" collapsed="false">
      <c r="A12165" s="26" t="s">
        <v>29243</v>
      </c>
      <c r="B12165" s="27" t="s">
        <v>29244</v>
      </c>
      <c r="C12165" s="27" t="s">
        <v>144</v>
      </c>
      <c r="D12165" s="26"/>
      <c r="E12165" s="27"/>
      <c r="F12165" s="27"/>
      <c r="G12165" s="27" t="s">
        <v>11122</v>
      </c>
      <c r="H12165" s="27" t="s">
        <v>35</v>
      </c>
      <c r="I12165" s="27" t="s">
        <v>45</v>
      </c>
      <c r="J12165" s="28" t="s">
        <v>3286</v>
      </c>
      <c r="K12165" s="28" t="s">
        <v>50</v>
      </c>
      <c r="L12165" s="27"/>
    </row>
    <row r="12166" customFormat="false" ht="15" hidden="false" customHeight="false" outlineLevel="0" collapsed="false">
      <c r="A12166" s="26" t="s">
        <v>29245</v>
      </c>
      <c r="B12166" s="27" t="s">
        <v>29246</v>
      </c>
      <c r="C12166" s="27" t="s">
        <v>144</v>
      </c>
      <c r="D12166" s="26"/>
      <c r="E12166" s="27"/>
      <c r="F12166" s="27"/>
      <c r="G12166" s="27" t="s">
        <v>11122</v>
      </c>
      <c r="H12166" s="27" t="s">
        <v>35</v>
      </c>
      <c r="I12166" s="27" t="s">
        <v>49</v>
      </c>
      <c r="J12166" s="28" t="s">
        <v>3286</v>
      </c>
      <c r="K12166" s="28" t="s">
        <v>50</v>
      </c>
      <c r="L12166" s="27"/>
    </row>
    <row r="12167" customFormat="false" ht="15" hidden="false" customHeight="false" outlineLevel="0" collapsed="false">
      <c r="A12167" s="26" t="s">
        <v>29247</v>
      </c>
      <c r="B12167" s="27" t="s">
        <v>29248</v>
      </c>
      <c r="C12167" s="27" t="s">
        <v>144</v>
      </c>
      <c r="D12167" s="26"/>
      <c r="E12167" s="27"/>
      <c r="F12167" s="27"/>
      <c r="G12167" s="27" t="s">
        <v>11122</v>
      </c>
      <c r="H12167" s="27" t="s">
        <v>35</v>
      </c>
      <c r="I12167" s="27" t="s">
        <v>39</v>
      </c>
      <c r="J12167" s="28" t="s">
        <v>3286</v>
      </c>
      <c r="K12167" s="28" t="s">
        <v>50</v>
      </c>
      <c r="L12167" s="27"/>
    </row>
    <row r="12168" customFormat="false" ht="15" hidden="false" customHeight="false" outlineLevel="0" collapsed="false">
      <c r="A12168" s="26" t="s">
        <v>29249</v>
      </c>
      <c r="B12168" s="27" t="s">
        <v>29250</v>
      </c>
      <c r="C12168" s="27" t="s">
        <v>144</v>
      </c>
      <c r="D12168" s="26"/>
      <c r="E12168" s="27"/>
      <c r="F12168" s="27"/>
      <c r="G12168" s="27" t="s">
        <v>11122</v>
      </c>
      <c r="H12168" s="27" t="s">
        <v>35</v>
      </c>
      <c r="I12168" s="28" t="s">
        <v>50</v>
      </c>
      <c r="J12168" s="28" t="s">
        <v>3286</v>
      </c>
      <c r="K12168" s="28" t="s">
        <v>50</v>
      </c>
      <c r="L12168" s="27"/>
    </row>
    <row r="12169" customFormat="false" ht="15" hidden="false" customHeight="false" outlineLevel="0" collapsed="false">
      <c r="A12169" s="26" t="s">
        <v>29251</v>
      </c>
      <c r="B12169" s="27" t="s">
        <v>29252</v>
      </c>
      <c r="C12169" s="27" t="s">
        <v>2041</v>
      </c>
      <c r="D12169" s="26"/>
      <c r="E12169" s="27"/>
      <c r="F12169" s="27"/>
      <c r="G12169" s="27" t="s">
        <v>11122</v>
      </c>
      <c r="H12169" s="27" t="s">
        <v>35</v>
      </c>
      <c r="I12169" s="27" t="s">
        <v>37</v>
      </c>
      <c r="J12169" s="28" t="s">
        <v>3286</v>
      </c>
      <c r="K12169" s="28" t="s">
        <v>50</v>
      </c>
      <c r="L12169" s="27"/>
    </row>
    <row r="12170" customFormat="false" ht="15" hidden="false" customHeight="false" outlineLevel="0" collapsed="false">
      <c r="A12170" s="26" t="s">
        <v>29253</v>
      </c>
      <c r="B12170" s="27" t="s">
        <v>29254</v>
      </c>
      <c r="C12170" s="27" t="s">
        <v>2041</v>
      </c>
      <c r="D12170" s="26"/>
      <c r="E12170" s="27"/>
      <c r="F12170" s="27"/>
      <c r="G12170" s="27" t="s">
        <v>11122</v>
      </c>
      <c r="H12170" s="27" t="s">
        <v>35</v>
      </c>
      <c r="I12170" s="27" t="s">
        <v>37</v>
      </c>
      <c r="J12170" s="28" t="s">
        <v>3286</v>
      </c>
      <c r="K12170" s="28" t="s">
        <v>50</v>
      </c>
      <c r="L12170" s="27"/>
    </row>
    <row r="12171" customFormat="false" ht="15" hidden="false" customHeight="false" outlineLevel="0" collapsed="false">
      <c r="A12171" s="26" t="s">
        <v>29255</v>
      </c>
      <c r="B12171" s="27" t="s">
        <v>29256</v>
      </c>
      <c r="C12171" s="27" t="s">
        <v>2041</v>
      </c>
      <c r="D12171" s="26"/>
      <c r="E12171" s="27"/>
      <c r="F12171" s="27"/>
      <c r="G12171" s="27" t="s">
        <v>11122</v>
      </c>
      <c r="H12171" s="27" t="s">
        <v>35</v>
      </c>
      <c r="I12171" s="27" t="s">
        <v>37</v>
      </c>
      <c r="J12171" s="28" t="s">
        <v>3286</v>
      </c>
      <c r="K12171" s="28" t="s">
        <v>50</v>
      </c>
      <c r="L12171" s="27"/>
    </row>
    <row r="12172" customFormat="false" ht="15" hidden="false" customHeight="false" outlineLevel="0" collapsed="false">
      <c r="A12172" s="26" t="s">
        <v>29257</v>
      </c>
      <c r="B12172" s="27" t="s">
        <v>29258</v>
      </c>
      <c r="C12172" s="27" t="s">
        <v>2041</v>
      </c>
      <c r="D12172" s="26"/>
      <c r="E12172" s="27"/>
      <c r="F12172" s="27"/>
      <c r="G12172" s="27" t="s">
        <v>11122</v>
      </c>
      <c r="H12172" s="27" t="s">
        <v>35</v>
      </c>
      <c r="I12172" s="27" t="s">
        <v>39</v>
      </c>
      <c r="J12172" s="28" t="s">
        <v>3286</v>
      </c>
      <c r="K12172" s="28" t="s">
        <v>50</v>
      </c>
      <c r="L12172" s="27"/>
    </row>
    <row r="12173" customFormat="false" ht="15" hidden="false" customHeight="false" outlineLevel="0" collapsed="false">
      <c r="A12173" s="26" t="s">
        <v>29259</v>
      </c>
      <c r="B12173" s="27" t="s">
        <v>29260</v>
      </c>
      <c r="C12173" s="27" t="s">
        <v>144</v>
      </c>
      <c r="D12173" s="26"/>
      <c r="E12173" s="27"/>
      <c r="F12173" s="27"/>
      <c r="G12173" s="27" t="s">
        <v>11122</v>
      </c>
      <c r="H12173" s="27" t="s">
        <v>35</v>
      </c>
      <c r="I12173" s="27" t="s">
        <v>37</v>
      </c>
      <c r="J12173" s="28" t="s">
        <v>3286</v>
      </c>
      <c r="K12173" s="28" t="s">
        <v>50</v>
      </c>
      <c r="L12173" s="27"/>
    </row>
    <row r="12174" customFormat="false" ht="15" hidden="false" customHeight="false" outlineLevel="0" collapsed="false">
      <c r="A12174" s="26" t="s">
        <v>29261</v>
      </c>
      <c r="B12174" s="27" t="s">
        <v>29262</v>
      </c>
      <c r="C12174" s="27" t="s">
        <v>144</v>
      </c>
      <c r="D12174" s="26"/>
      <c r="E12174" s="27"/>
      <c r="F12174" s="27"/>
      <c r="G12174" s="27" t="s">
        <v>11122</v>
      </c>
      <c r="H12174" s="27" t="s">
        <v>35</v>
      </c>
      <c r="I12174" s="27" t="s">
        <v>37</v>
      </c>
      <c r="J12174" s="28" t="s">
        <v>3286</v>
      </c>
      <c r="K12174" s="28" t="s">
        <v>50</v>
      </c>
      <c r="L12174" s="27"/>
    </row>
    <row r="12175" customFormat="false" ht="15" hidden="false" customHeight="false" outlineLevel="0" collapsed="false">
      <c r="A12175" s="26" t="s">
        <v>29263</v>
      </c>
      <c r="B12175" s="27" t="s">
        <v>29264</v>
      </c>
      <c r="C12175" s="27" t="s">
        <v>144</v>
      </c>
      <c r="D12175" s="26"/>
      <c r="E12175" s="27"/>
      <c r="F12175" s="27"/>
      <c r="G12175" s="27" t="s">
        <v>11122</v>
      </c>
      <c r="H12175" s="27" t="s">
        <v>35</v>
      </c>
      <c r="I12175" s="27" t="s">
        <v>37</v>
      </c>
      <c r="J12175" s="28" t="s">
        <v>3286</v>
      </c>
      <c r="K12175" s="28" t="s">
        <v>50</v>
      </c>
      <c r="L12175" s="27"/>
    </row>
    <row r="12176" customFormat="false" ht="15" hidden="false" customHeight="false" outlineLevel="0" collapsed="false">
      <c r="A12176" s="26" t="s">
        <v>29265</v>
      </c>
      <c r="B12176" s="27" t="s">
        <v>29266</v>
      </c>
      <c r="C12176" s="27" t="s">
        <v>144</v>
      </c>
      <c r="D12176" s="26"/>
      <c r="E12176" s="27"/>
      <c r="F12176" s="27"/>
      <c r="G12176" s="27" t="s">
        <v>11122</v>
      </c>
      <c r="H12176" s="27" t="s">
        <v>35</v>
      </c>
      <c r="I12176" s="27" t="s">
        <v>37</v>
      </c>
      <c r="J12176" s="28" t="s">
        <v>3286</v>
      </c>
      <c r="K12176" s="28" t="s">
        <v>50</v>
      </c>
      <c r="L12176" s="27"/>
    </row>
    <row r="12177" customFormat="false" ht="15" hidden="false" customHeight="false" outlineLevel="0" collapsed="false">
      <c r="A12177" s="26" t="s">
        <v>29267</v>
      </c>
      <c r="B12177" s="27" t="s">
        <v>29268</v>
      </c>
      <c r="C12177" s="27" t="s">
        <v>144</v>
      </c>
      <c r="D12177" s="26"/>
      <c r="E12177" s="27"/>
      <c r="F12177" s="27"/>
      <c r="G12177" s="27" t="s">
        <v>11122</v>
      </c>
      <c r="H12177" s="27" t="s">
        <v>35</v>
      </c>
      <c r="I12177" s="27" t="s">
        <v>40</v>
      </c>
      <c r="J12177" s="28" t="s">
        <v>3286</v>
      </c>
      <c r="K12177" s="28" t="s">
        <v>50</v>
      </c>
      <c r="L12177" s="27"/>
    </row>
    <row r="12178" customFormat="false" ht="15" hidden="false" customHeight="false" outlineLevel="0" collapsed="false">
      <c r="A12178" s="26" t="s">
        <v>29269</v>
      </c>
      <c r="B12178" s="27" t="s">
        <v>29270</v>
      </c>
      <c r="C12178" s="27" t="s">
        <v>144</v>
      </c>
      <c r="D12178" s="26"/>
      <c r="E12178" s="27"/>
      <c r="F12178" s="27"/>
      <c r="G12178" s="27" t="s">
        <v>11122</v>
      </c>
      <c r="H12178" s="27" t="s">
        <v>35</v>
      </c>
      <c r="I12178" s="27" t="s">
        <v>40</v>
      </c>
      <c r="J12178" s="28" t="s">
        <v>3286</v>
      </c>
      <c r="K12178" s="28" t="s">
        <v>50</v>
      </c>
      <c r="L12178" s="27"/>
    </row>
    <row r="12179" customFormat="false" ht="15" hidden="false" customHeight="false" outlineLevel="0" collapsed="false">
      <c r="A12179" s="26" t="s">
        <v>29271</v>
      </c>
      <c r="B12179" s="27" t="s">
        <v>29272</v>
      </c>
      <c r="C12179" s="27" t="s">
        <v>144</v>
      </c>
      <c r="D12179" s="26"/>
      <c r="E12179" s="27"/>
      <c r="F12179" s="27"/>
      <c r="G12179" s="27" t="s">
        <v>11122</v>
      </c>
      <c r="H12179" s="27" t="s">
        <v>35</v>
      </c>
      <c r="I12179" s="27" t="s">
        <v>42</v>
      </c>
      <c r="J12179" s="28" t="s">
        <v>3286</v>
      </c>
      <c r="K12179" s="28" t="s">
        <v>50</v>
      </c>
      <c r="L12179" s="27"/>
    </row>
    <row r="12180" customFormat="false" ht="15" hidden="false" customHeight="false" outlineLevel="0" collapsed="false">
      <c r="A12180" s="26" t="s">
        <v>29273</v>
      </c>
      <c r="B12180" s="27" t="s">
        <v>29274</v>
      </c>
      <c r="C12180" s="27" t="s">
        <v>144</v>
      </c>
      <c r="D12180" s="26"/>
      <c r="E12180" s="27"/>
      <c r="F12180" s="27"/>
      <c r="G12180" s="27" t="s">
        <v>11122</v>
      </c>
      <c r="H12180" s="27" t="s">
        <v>35</v>
      </c>
      <c r="I12180" s="27" t="s">
        <v>42</v>
      </c>
      <c r="J12180" s="28" t="s">
        <v>3286</v>
      </c>
      <c r="K12180" s="28" t="s">
        <v>50</v>
      </c>
      <c r="L12180" s="27"/>
    </row>
    <row r="12181" customFormat="false" ht="15" hidden="false" customHeight="false" outlineLevel="0" collapsed="false">
      <c r="A12181" s="26" t="s">
        <v>29275</v>
      </c>
      <c r="B12181" s="27" t="s">
        <v>29276</v>
      </c>
      <c r="C12181" s="27" t="s">
        <v>144</v>
      </c>
      <c r="D12181" s="26"/>
      <c r="E12181" s="27"/>
      <c r="F12181" s="27"/>
      <c r="G12181" s="27" t="s">
        <v>11122</v>
      </c>
      <c r="H12181" s="27" t="s">
        <v>35</v>
      </c>
      <c r="I12181" s="27" t="s">
        <v>40</v>
      </c>
      <c r="J12181" s="28" t="s">
        <v>3286</v>
      </c>
      <c r="K12181" s="28" t="s">
        <v>50</v>
      </c>
      <c r="L12181" s="27"/>
    </row>
    <row r="12182" customFormat="false" ht="15" hidden="false" customHeight="false" outlineLevel="0" collapsed="false">
      <c r="A12182" s="26" t="s">
        <v>29277</v>
      </c>
      <c r="B12182" s="27" t="s">
        <v>29278</v>
      </c>
      <c r="C12182" s="27" t="s">
        <v>144</v>
      </c>
      <c r="D12182" s="26"/>
      <c r="E12182" s="27"/>
      <c r="F12182" s="27"/>
      <c r="G12182" s="27" t="s">
        <v>11122</v>
      </c>
      <c r="H12182" s="27" t="s">
        <v>35</v>
      </c>
      <c r="I12182" s="27" t="s">
        <v>1344</v>
      </c>
      <c r="J12182" s="28" t="s">
        <v>3286</v>
      </c>
      <c r="K12182" s="28" t="s">
        <v>50</v>
      </c>
      <c r="L12182" s="27"/>
    </row>
    <row r="12183" customFormat="false" ht="15" hidden="false" customHeight="false" outlineLevel="0" collapsed="false">
      <c r="A12183" s="26" t="s">
        <v>29279</v>
      </c>
      <c r="B12183" s="27" t="s">
        <v>29280</v>
      </c>
      <c r="C12183" s="27" t="s">
        <v>144</v>
      </c>
      <c r="D12183" s="26"/>
      <c r="E12183" s="27"/>
      <c r="F12183" s="27"/>
      <c r="G12183" s="27" t="s">
        <v>11122</v>
      </c>
      <c r="H12183" s="27" t="s">
        <v>35</v>
      </c>
      <c r="I12183" s="27" t="s">
        <v>39</v>
      </c>
      <c r="J12183" s="28" t="s">
        <v>3286</v>
      </c>
      <c r="K12183" s="28" t="s">
        <v>50</v>
      </c>
      <c r="L12183" s="27"/>
    </row>
    <row r="12184" customFormat="false" ht="15" hidden="false" customHeight="false" outlineLevel="0" collapsed="false">
      <c r="A12184" s="26" t="s">
        <v>29281</v>
      </c>
      <c r="B12184" s="27" t="s">
        <v>29282</v>
      </c>
      <c r="C12184" s="27" t="s">
        <v>144</v>
      </c>
      <c r="D12184" s="26"/>
      <c r="E12184" s="27"/>
      <c r="F12184" s="27"/>
      <c r="G12184" s="27" t="s">
        <v>11122</v>
      </c>
      <c r="H12184" s="27" t="s">
        <v>35</v>
      </c>
      <c r="I12184" s="27" t="s">
        <v>37</v>
      </c>
      <c r="J12184" s="28" t="s">
        <v>3286</v>
      </c>
      <c r="K12184" s="28" t="s">
        <v>50</v>
      </c>
      <c r="L12184" s="27"/>
    </row>
    <row r="12185" customFormat="false" ht="15" hidden="false" customHeight="false" outlineLevel="0" collapsed="false">
      <c r="A12185" s="26" t="s">
        <v>29283</v>
      </c>
      <c r="B12185" s="27" t="s">
        <v>29284</v>
      </c>
      <c r="C12185" s="27" t="s">
        <v>144</v>
      </c>
      <c r="D12185" s="26"/>
      <c r="E12185" s="27"/>
      <c r="F12185" s="27"/>
      <c r="G12185" s="27" t="s">
        <v>11122</v>
      </c>
      <c r="H12185" s="27" t="s">
        <v>35</v>
      </c>
      <c r="I12185" s="27" t="s">
        <v>1309</v>
      </c>
      <c r="J12185" s="28" t="s">
        <v>3286</v>
      </c>
      <c r="K12185" s="28" t="s">
        <v>50</v>
      </c>
      <c r="L12185" s="27"/>
    </row>
    <row r="12186" customFormat="false" ht="15" hidden="false" customHeight="false" outlineLevel="0" collapsed="false">
      <c r="A12186" s="26" t="s">
        <v>29285</v>
      </c>
      <c r="B12186" s="27" t="s">
        <v>29286</v>
      </c>
      <c r="C12186" s="27" t="s">
        <v>144</v>
      </c>
      <c r="D12186" s="26"/>
      <c r="E12186" s="27"/>
      <c r="F12186" s="27"/>
      <c r="G12186" s="27" t="s">
        <v>11122</v>
      </c>
      <c r="H12186" s="27" t="s">
        <v>35</v>
      </c>
      <c r="I12186" s="27" t="s">
        <v>37</v>
      </c>
      <c r="J12186" s="28" t="s">
        <v>3286</v>
      </c>
      <c r="K12186" s="28" t="s">
        <v>50</v>
      </c>
      <c r="L12186" s="27"/>
    </row>
    <row r="12187" customFormat="false" ht="15" hidden="false" customHeight="false" outlineLevel="0" collapsed="false">
      <c r="A12187" s="26" t="s">
        <v>29287</v>
      </c>
      <c r="B12187" s="27" t="s">
        <v>29288</v>
      </c>
      <c r="C12187" s="27" t="s">
        <v>144</v>
      </c>
      <c r="D12187" s="26"/>
      <c r="E12187" s="27"/>
      <c r="F12187" s="27"/>
      <c r="G12187" s="27" t="s">
        <v>11122</v>
      </c>
      <c r="H12187" s="27" t="s">
        <v>35</v>
      </c>
      <c r="I12187" s="27" t="s">
        <v>40</v>
      </c>
      <c r="J12187" s="28" t="s">
        <v>3286</v>
      </c>
      <c r="K12187" s="28" t="s">
        <v>50</v>
      </c>
      <c r="L12187" s="27"/>
    </row>
    <row r="12188" customFormat="false" ht="15" hidden="false" customHeight="false" outlineLevel="0" collapsed="false">
      <c r="A12188" s="26" t="s">
        <v>29289</v>
      </c>
      <c r="B12188" s="27" t="s">
        <v>29290</v>
      </c>
      <c r="C12188" s="27" t="s">
        <v>1187</v>
      </c>
      <c r="D12188" s="26"/>
      <c r="E12188" s="27"/>
      <c r="F12188" s="27"/>
      <c r="G12188" s="27" t="s">
        <v>11122</v>
      </c>
      <c r="H12188" s="27" t="s">
        <v>35</v>
      </c>
      <c r="I12188" s="27" t="s">
        <v>43</v>
      </c>
      <c r="J12188" s="28" t="s">
        <v>3286</v>
      </c>
      <c r="K12188" s="28" t="s">
        <v>50</v>
      </c>
      <c r="L12188" s="27"/>
    </row>
    <row r="12189" customFormat="false" ht="15" hidden="false" customHeight="false" outlineLevel="0" collapsed="false">
      <c r="A12189" s="26" t="s">
        <v>29291</v>
      </c>
      <c r="B12189" s="27" t="s">
        <v>29292</v>
      </c>
      <c r="C12189" s="27" t="s">
        <v>144</v>
      </c>
      <c r="D12189" s="26"/>
      <c r="E12189" s="27"/>
      <c r="F12189" s="27"/>
      <c r="G12189" s="27" t="s">
        <v>11122</v>
      </c>
      <c r="H12189" s="27" t="s">
        <v>35</v>
      </c>
      <c r="I12189" s="27" t="s">
        <v>43</v>
      </c>
      <c r="J12189" s="28" t="s">
        <v>3286</v>
      </c>
      <c r="K12189" s="28" t="s">
        <v>50</v>
      </c>
      <c r="L12189" s="27"/>
    </row>
    <row r="12190" customFormat="false" ht="15" hidden="false" customHeight="false" outlineLevel="0" collapsed="false">
      <c r="A12190" s="26" t="s">
        <v>29293</v>
      </c>
      <c r="B12190" s="27" t="s">
        <v>29294</v>
      </c>
      <c r="C12190" s="27" t="s">
        <v>1087</v>
      </c>
      <c r="D12190" s="26"/>
      <c r="E12190" s="27"/>
      <c r="F12190" s="27"/>
      <c r="G12190" s="27" t="s">
        <v>11122</v>
      </c>
      <c r="H12190" s="27" t="s">
        <v>35</v>
      </c>
      <c r="I12190" s="27" t="s">
        <v>44</v>
      </c>
      <c r="J12190" s="28" t="s">
        <v>3286</v>
      </c>
      <c r="K12190" s="28" t="s">
        <v>50</v>
      </c>
      <c r="L12190" s="27"/>
    </row>
    <row r="12191" customFormat="false" ht="15" hidden="false" customHeight="false" outlineLevel="0" collapsed="false">
      <c r="A12191" s="26" t="s">
        <v>29295</v>
      </c>
      <c r="B12191" s="27" t="s">
        <v>29296</v>
      </c>
      <c r="C12191" s="27" t="s">
        <v>144</v>
      </c>
      <c r="D12191" s="26"/>
      <c r="E12191" s="27"/>
      <c r="F12191" s="27"/>
      <c r="G12191" s="27" t="s">
        <v>11122</v>
      </c>
      <c r="H12191" s="27" t="s">
        <v>35</v>
      </c>
      <c r="I12191" s="27" t="s">
        <v>38</v>
      </c>
      <c r="J12191" s="28" t="s">
        <v>3286</v>
      </c>
      <c r="K12191" s="28" t="s">
        <v>50</v>
      </c>
      <c r="L12191" s="27"/>
    </row>
    <row r="12192" customFormat="false" ht="15" hidden="false" customHeight="false" outlineLevel="0" collapsed="false">
      <c r="A12192" s="26" t="s">
        <v>29297</v>
      </c>
      <c r="B12192" s="27" t="s">
        <v>29298</v>
      </c>
      <c r="C12192" s="27" t="s">
        <v>144</v>
      </c>
      <c r="D12192" s="26"/>
      <c r="E12192" s="27"/>
      <c r="F12192" s="27"/>
      <c r="G12192" s="27" t="s">
        <v>11122</v>
      </c>
      <c r="H12192" s="27" t="s">
        <v>35</v>
      </c>
      <c r="I12192" s="27" t="s">
        <v>42</v>
      </c>
      <c r="J12192" s="28" t="s">
        <v>3286</v>
      </c>
      <c r="K12192" s="28" t="s">
        <v>50</v>
      </c>
      <c r="L12192" s="27"/>
    </row>
    <row r="12193" customFormat="false" ht="15" hidden="false" customHeight="false" outlineLevel="0" collapsed="false">
      <c r="A12193" s="26" t="s">
        <v>29299</v>
      </c>
      <c r="B12193" s="27" t="s">
        <v>29300</v>
      </c>
      <c r="C12193" s="27" t="s">
        <v>144</v>
      </c>
      <c r="D12193" s="26"/>
      <c r="E12193" s="27"/>
      <c r="F12193" s="27"/>
      <c r="G12193" s="27" t="s">
        <v>11122</v>
      </c>
      <c r="H12193" s="27" t="s">
        <v>35</v>
      </c>
      <c r="I12193" s="27" t="s">
        <v>42</v>
      </c>
      <c r="J12193" s="28" t="s">
        <v>3286</v>
      </c>
      <c r="K12193" s="28" t="s">
        <v>50</v>
      </c>
      <c r="L12193" s="27"/>
    </row>
    <row r="12194" customFormat="false" ht="15" hidden="false" customHeight="false" outlineLevel="0" collapsed="false">
      <c r="A12194" s="26" t="s">
        <v>29301</v>
      </c>
      <c r="B12194" s="27" t="s">
        <v>29302</v>
      </c>
      <c r="C12194" s="27" t="s">
        <v>100</v>
      </c>
      <c r="D12194" s="26"/>
      <c r="E12194" s="27"/>
      <c r="F12194" s="27"/>
      <c r="G12194" s="27" t="s">
        <v>11122</v>
      </c>
      <c r="H12194" s="27" t="s">
        <v>35</v>
      </c>
      <c r="I12194" s="27" t="s">
        <v>10337</v>
      </c>
      <c r="J12194" s="28" t="s">
        <v>29303</v>
      </c>
      <c r="K12194" s="27"/>
      <c r="L12194" s="27"/>
    </row>
    <row r="12195" customFormat="false" ht="15" hidden="false" customHeight="false" outlineLevel="0" collapsed="false">
      <c r="A12195" s="26" t="s">
        <v>29304</v>
      </c>
      <c r="B12195" s="27" t="s">
        <v>29305</v>
      </c>
      <c r="C12195" s="27" t="s">
        <v>100</v>
      </c>
      <c r="D12195" s="26"/>
      <c r="E12195" s="27"/>
      <c r="F12195" s="27"/>
      <c r="G12195" s="27" t="s">
        <v>11122</v>
      </c>
      <c r="H12195" s="27" t="s">
        <v>35</v>
      </c>
      <c r="I12195" s="27" t="s">
        <v>1075</v>
      </c>
      <c r="J12195" s="28" t="s">
        <v>1303</v>
      </c>
      <c r="K12195" s="27" t="s">
        <v>1302</v>
      </c>
      <c r="L12195" s="27"/>
    </row>
    <row r="12196" customFormat="false" ht="15" hidden="false" customHeight="false" outlineLevel="0" collapsed="false">
      <c r="A12196" s="26" t="s">
        <v>29306</v>
      </c>
      <c r="B12196" s="27" t="s">
        <v>29307</v>
      </c>
      <c r="C12196" s="27" t="s">
        <v>144</v>
      </c>
      <c r="D12196" s="26"/>
      <c r="E12196" s="27"/>
      <c r="F12196" s="27"/>
      <c r="G12196" s="27" t="s">
        <v>11122</v>
      </c>
      <c r="H12196" s="27" t="s">
        <v>35</v>
      </c>
      <c r="I12196" s="27" t="s">
        <v>47</v>
      </c>
      <c r="J12196" s="28" t="s">
        <v>10281</v>
      </c>
      <c r="K12196" s="27" t="s">
        <v>42</v>
      </c>
      <c r="L12196" s="27"/>
    </row>
    <row r="12197" customFormat="false" ht="15" hidden="false" customHeight="false" outlineLevel="0" collapsed="false">
      <c r="A12197" s="26" t="s">
        <v>29308</v>
      </c>
      <c r="B12197" s="27" t="s">
        <v>29309</v>
      </c>
      <c r="C12197" s="27" t="s">
        <v>144</v>
      </c>
      <c r="D12197" s="26"/>
      <c r="E12197" s="27"/>
      <c r="F12197" s="27"/>
      <c r="G12197" s="27" t="s">
        <v>11122</v>
      </c>
      <c r="H12197" s="27" t="s">
        <v>35</v>
      </c>
      <c r="I12197" s="27" t="s">
        <v>10337</v>
      </c>
      <c r="J12197" s="28" t="s">
        <v>10281</v>
      </c>
      <c r="K12197" s="27" t="s">
        <v>42</v>
      </c>
      <c r="L12197" s="27"/>
    </row>
    <row r="12198" customFormat="false" ht="15" hidden="false" customHeight="false" outlineLevel="0" collapsed="false">
      <c r="A12198" s="26" t="s">
        <v>29310</v>
      </c>
      <c r="B12198" s="27" t="s">
        <v>29311</v>
      </c>
      <c r="C12198" s="27" t="s">
        <v>144</v>
      </c>
      <c r="D12198" s="26"/>
      <c r="E12198" s="27"/>
      <c r="F12198" s="27"/>
      <c r="G12198" s="27" t="s">
        <v>11122</v>
      </c>
      <c r="H12198" s="27" t="s">
        <v>35</v>
      </c>
      <c r="I12198" s="27" t="s">
        <v>10337</v>
      </c>
      <c r="J12198" s="28" t="s">
        <v>10281</v>
      </c>
      <c r="K12198" s="27" t="s">
        <v>42</v>
      </c>
      <c r="L12198" s="27"/>
    </row>
    <row r="12199" customFormat="false" ht="15" hidden="false" customHeight="false" outlineLevel="0" collapsed="false">
      <c r="A12199" s="26" t="s">
        <v>29312</v>
      </c>
      <c r="B12199" s="27" t="s">
        <v>29313</v>
      </c>
      <c r="C12199" s="27" t="s">
        <v>100</v>
      </c>
      <c r="D12199" s="26"/>
      <c r="E12199" s="27"/>
      <c r="F12199" s="27"/>
      <c r="G12199" s="27" t="s">
        <v>11122</v>
      </c>
      <c r="H12199" s="27" t="s">
        <v>35</v>
      </c>
      <c r="I12199" s="27" t="s">
        <v>47</v>
      </c>
      <c r="J12199" s="28" t="s">
        <v>29314</v>
      </c>
      <c r="K12199" s="27"/>
      <c r="L12199" s="27"/>
    </row>
    <row r="12200" customFormat="false" ht="15" hidden="false" customHeight="false" outlineLevel="0" collapsed="false">
      <c r="A12200" s="26" t="s">
        <v>29315</v>
      </c>
      <c r="B12200" s="27" t="s">
        <v>29316</v>
      </c>
      <c r="C12200" s="27" t="s">
        <v>144</v>
      </c>
      <c r="D12200" s="26"/>
      <c r="E12200" s="27"/>
      <c r="F12200" s="27"/>
      <c r="G12200" s="27" t="s">
        <v>11122</v>
      </c>
      <c r="H12200" s="27" t="s">
        <v>35</v>
      </c>
      <c r="I12200" s="27" t="s">
        <v>10362</v>
      </c>
      <c r="J12200" s="28" t="s">
        <v>29314</v>
      </c>
      <c r="K12200" s="27"/>
      <c r="L12200" s="27"/>
    </row>
    <row r="12201" customFormat="false" ht="15" hidden="false" customHeight="false" outlineLevel="0" collapsed="false">
      <c r="A12201" s="26" t="s">
        <v>29317</v>
      </c>
      <c r="B12201" s="27" t="s">
        <v>29318</v>
      </c>
      <c r="C12201" s="27" t="s">
        <v>144</v>
      </c>
      <c r="D12201" s="26"/>
      <c r="E12201" s="27"/>
      <c r="F12201" s="27"/>
      <c r="G12201" s="27" t="s">
        <v>11122</v>
      </c>
      <c r="H12201" s="27" t="s">
        <v>35</v>
      </c>
      <c r="I12201" s="27" t="s">
        <v>152</v>
      </c>
      <c r="J12201" s="28" t="s">
        <v>29314</v>
      </c>
      <c r="K12201" s="27"/>
      <c r="L12201" s="27"/>
    </row>
    <row r="12202" customFormat="false" ht="15" hidden="false" customHeight="false" outlineLevel="0" collapsed="false">
      <c r="A12202" s="26" t="s">
        <v>29319</v>
      </c>
      <c r="B12202" s="27" t="s">
        <v>29320</v>
      </c>
      <c r="C12202" s="27" t="s">
        <v>144</v>
      </c>
      <c r="D12202" s="26"/>
      <c r="E12202" s="27"/>
      <c r="F12202" s="27"/>
      <c r="G12202" s="27" t="s">
        <v>11122</v>
      </c>
      <c r="H12202" s="27" t="s">
        <v>35</v>
      </c>
      <c r="I12202" s="27" t="s">
        <v>47</v>
      </c>
      <c r="J12202" s="28" t="s">
        <v>29314</v>
      </c>
      <c r="K12202" s="27"/>
      <c r="L12202" s="27"/>
    </row>
    <row r="12203" customFormat="false" ht="15" hidden="false" customHeight="false" outlineLevel="0" collapsed="false">
      <c r="A12203" s="26" t="s">
        <v>29321</v>
      </c>
      <c r="B12203" s="27" t="s">
        <v>29322</v>
      </c>
      <c r="C12203" s="27" t="s">
        <v>100</v>
      </c>
      <c r="D12203" s="26"/>
      <c r="E12203" s="27"/>
      <c r="F12203" s="27"/>
      <c r="G12203" s="27" t="s">
        <v>11122</v>
      </c>
      <c r="H12203" s="27" t="s">
        <v>35</v>
      </c>
      <c r="I12203" s="27" t="s">
        <v>10337</v>
      </c>
      <c r="J12203" s="28" t="s">
        <v>1308</v>
      </c>
      <c r="K12203" s="27" t="s">
        <v>1309</v>
      </c>
      <c r="L12203" s="27"/>
    </row>
    <row r="12204" customFormat="false" ht="15" hidden="false" customHeight="false" outlineLevel="0" collapsed="false">
      <c r="A12204" s="26" t="s">
        <v>29323</v>
      </c>
      <c r="B12204" s="27" t="s">
        <v>29324</v>
      </c>
      <c r="C12204" s="27" t="s">
        <v>100</v>
      </c>
      <c r="D12204" s="26"/>
      <c r="E12204" s="27"/>
      <c r="F12204" s="27"/>
      <c r="G12204" s="27" t="s">
        <v>11122</v>
      </c>
      <c r="H12204" s="27" t="s">
        <v>35</v>
      </c>
      <c r="I12204" s="27" t="s">
        <v>10337</v>
      </c>
      <c r="J12204" s="28" t="s">
        <v>1308</v>
      </c>
      <c r="K12204" s="27" t="s">
        <v>1309</v>
      </c>
      <c r="L12204" s="27"/>
    </row>
    <row r="12205" customFormat="false" ht="15" hidden="false" customHeight="false" outlineLevel="0" collapsed="false">
      <c r="A12205" s="26" t="s">
        <v>29325</v>
      </c>
      <c r="B12205" s="27" t="s">
        <v>29326</v>
      </c>
      <c r="C12205" s="27" t="s">
        <v>100</v>
      </c>
      <c r="D12205" s="26"/>
      <c r="E12205" s="27"/>
      <c r="F12205" s="27"/>
      <c r="G12205" s="27" t="s">
        <v>11122</v>
      </c>
      <c r="H12205" s="27" t="s">
        <v>35</v>
      </c>
      <c r="I12205" s="27" t="s">
        <v>10337</v>
      </c>
      <c r="J12205" s="28" t="s">
        <v>1308</v>
      </c>
      <c r="K12205" s="27" t="s">
        <v>1309</v>
      </c>
      <c r="L12205" s="27"/>
    </row>
    <row r="12206" customFormat="false" ht="15" hidden="false" customHeight="false" outlineLevel="0" collapsed="false">
      <c r="A12206" s="26" t="s">
        <v>29327</v>
      </c>
      <c r="B12206" s="27" t="s">
        <v>29328</v>
      </c>
      <c r="C12206" s="27" t="s">
        <v>100</v>
      </c>
      <c r="D12206" s="26"/>
      <c r="E12206" s="27"/>
      <c r="F12206" s="27"/>
      <c r="G12206" s="27" t="s">
        <v>11122</v>
      </c>
      <c r="H12206" s="27" t="s">
        <v>35</v>
      </c>
      <c r="I12206" s="27" t="s">
        <v>10337</v>
      </c>
      <c r="J12206" s="28" t="s">
        <v>1308</v>
      </c>
      <c r="K12206" s="27" t="s">
        <v>1309</v>
      </c>
      <c r="L12206" s="27"/>
    </row>
    <row r="12207" customFormat="false" ht="15" hidden="false" customHeight="false" outlineLevel="0" collapsed="false">
      <c r="A12207" s="26" t="s">
        <v>29329</v>
      </c>
      <c r="B12207" s="27" t="s">
        <v>29330</v>
      </c>
      <c r="C12207" s="27" t="s">
        <v>100</v>
      </c>
      <c r="D12207" s="26"/>
      <c r="E12207" s="27"/>
      <c r="F12207" s="27"/>
      <c r="G12207" s="27" t="s">
        <v>11122</v>
      </c>
      <c r="H12207" s="27" t="s">
        <v>35</v>
      </c>
      <c r="I12207" s="27" t="s">
        <v>1309</v>
      </c>
      <c r="J12207" s="28" t="s">
        <v>1308</v>
      </c>
      <c r="K12207" s="27" t="s">
        <v>1309</v>
      </c>
      <c r="L12207" s="27"/>
    </row>
    <row r="12208" customFormat="false" ht="15" hidden="false" customHeight="false" outlineLevel="0" collapsed="false">
      <c r="A12208" s="26" t="s">
        <v>29331</v>
      </c>
      <c r="B12208" s="27" t="s">
        <v>29332</v>
      </c>
      <c r="C12208" s="27" t="s">
        <v>100</v>
      </c>
      <c r="D12208" s="26"/>
      <c r="E12208" s="27"/>
      <c r="F12208" s="27"/>
      <c r="G12208" s="27" t="s">
        <v>11122</v>
      </c>
      <c r="H12208" s="27" t="s">
        <v>35</v>
      </c>
      <c r="I12208" s="27" t="s">
        <v>10337</v>
      </c>
      <c r="J12208" s="28" t="s">
        <v>1308</v>
      </c>
      <c r="K12208" s="27" t="s">
        <v>1309</v>
      </c>
      <c r="L12208" s="27"/>
    </row>
    <row r="12209" customFormat="false" ht="15" hidden="false" customHeight="false" outlineLevel="0" collapsed="false">
      <c r="A12209" s="26" t="s">
        <v>29333</v>
      </c>
      <c r="B12209" s="27" t="s">
        <v>29334</v>
      </c>
      <c r="C12209" s="27" t="s">
        <v>100</v>
      </c>
      <c r="D12209" s="26"/>
      <c r="E12209" s="27"/>
      <c r="F12209" s="27"/>
      <c r="G12209" s="27" t="s">
        <v>11122</v>
      </c>
      <c r="H12209" s="27" t="s">
        <v>35</v>
      </c>
      <c r="I12209" s="27" t="s">
        <v>1309</v>
      </c>
      <c r="J12209" s="28" t="s">
        <v>1308</v>
      </c>
      <c r="K12209" s="27" t="s">
        <v>1309</v>
      </c>
      <c r="L12209" s="27"/>
    </row>
    <row r="12210" customFormat="false" ht="15" hidden="false" customHeight="false" outlineLevel="0" collapsed="false">
      <c r="A12210" s="26" t="s">
        <v>29335</v>
      </c>
      <c r="B12210" s="27" t="s">
        <v>29336</v>
      </c>
      <c r="C12210" s="27" t="s">
        <v>100</v>
      </c>
      <c r="D12210" s="26"/>
      <c r="E12210" s="27"/>
      <c r="F12210" s="27"/>
      <c r="G12210" s="27" t="s">
        <v>11122</v>
      </c>
      <c r="H12210" s="27" t="s">
        <v>35</v>
      </c>
      <c r="I12210" s="27" t="s">
        <v>10337</v>
      </c>
      <c r="J12210" s="28" t="s">
        <v>1308</v>
      </c>
      <c r="K12210" s="27" t="s">
        <v>1309</v>
      </c>
      <c r="L12210" s="27"/>
    </row>
    <row r="12211" customFormat="false" ht="15" hidden="false" customHeight="false" outlineLevel="0" collapsed="false">
      <c r="A12211" s="26" t="s">
        <v>29337</v>
      </c>
      <c r="B12211" s="27" t="s">
        <v>29338</v>
      </c>
      <c r="C12211" s="27" t="s">
        <v>100</v>
      </c>
      <c r="D12211" s="26"/>
      <c r="E12211" s="27"/>
      <c r="F12211" s="27"/>
      <c r="G12211" s="27" t="s">
        <v>11122</v>
      </c>
      <c r="H12211" s="27" t="s">
        <v>35</v>
      </c>
      <c r="I12211" s="27" t="s">
        <v>10337</v>
      </c>
      <c r="J12211" s="28" t="s">
        <v>1308</v>
      </c>
      <c r="K12211" s="27" t="s">
        <v>1309</v>
      </c>
      <c r="L12211" s="27"/>
    </row>
    <row r="12212" customFormat="false" ht="15" hidden="false" customHeight="false" outlineLevel="0" collapsed="false">
      <c r="A12212" s="26" t="s">
        <v>29339</v>
      </c>
      <c r="B12212" s="27" t="s">
        <v>29340</v>
      </c>
      <c r="C12212" s="27" t="s">
        <v>100</v>
      </c>
      <c r="D12212" s="26"/>
      <c r="E12212" s="27"/>
      <c r="F12212" s="27"/>
      <c r="G12212" s="27" t="s">
        <v>11122</v>
      </c>
      <c r="H12212" s="27" t="s">
        <v>35</v>
      </c>
      <c r="I12212" s="27" t="s">
        <v>10337</v>
      </c>
      <c r="J12212" s="28" t="s">
        <v>1308</v>
      </c>
      <c r="K12212" s="27" t="s">
        <v>1309</v>
      </c>
      <c r="L12212" s="27"/>
    </row>
    <row r="12213" customFormat="false" ht="15" hidden="false" customHeight="false" outlineLevel="0" collapsed="false">
      <c r="A12213" s="26" t="s">
        <v>29341</v>
      </c>
      <c r="B12213" s="27" t="s">
        <v>29342</v>
      </c>
      <c r="C12213" s="27" t="s">
        <v>100</v>
      </c>
      <c r="D12213" s="26"/>
      <c r="E12213" s="27"/>
      <c r="F12213" s="27"/>
      <c r="G12213" s="27" t="s">
        <v>11122</v>
      </c>
      <c r="H12213" s="27" t="s">
        <v>35</v>
      </c>
      <c r="I12213" s="27" t="s">
        <v>1309</v>
      </c>
      <c r="J12213" s="28" t="s">
        <v>1308</v>
      </c>
      <c r="K12213" s="27" t="s">
        <v>1309</v>
      </c>
      <c r="L12213" s="27"/>
    </row>
    <row r="12214" customFormat="false" ht="15" hidden="false" customHeight="false" outlineLevel="0" collapsed="false">
      <c r="A12214" s="26" t="s">
        <v>29343</v>
      </c>
      <c r="B12214" s="27" t="s">
        <v>29344</v>
      </c>
      <c r="C12214" s="27" t="s">
        <v>100</v>
      </c>
      <c r="D12214" s="26"/>
      <c r="E12214" s="27"/>
      <c r="F12214" s="27"/>
      <c r="G12214" s="27" t="s">
        <v>11122</v>
      </c>
      <c r="H12214" s="27" t="s">
        <v>35</v>
      </c>
      <c r="I12214" s="27" t="s">
        <v>47</v>
      </c>
      <c r="J12214" s="28" t="s">
        <v>1308</v>
      </c>
      <c r="K12214" s="27" t="s">
        <v>1309</v>
      </c>
      <c r="L12214" s="27"/>
    </row>
    <row r="12215" customFormat="false" ht="15" hidden="false" customHeight="false" outlineLevel="0" collapsed="false">
      <c r="A12215" s="26" t="s">
        <v>29345</v>
      </c>
      <c r="B12215" s="27" t="s">
        <v>29346</v>
      </c>
      <c r="C12215" s="27" t="s">
        <v>100</v>
      </c>
      <c r="D12215" s="26"/>
      <c r="E12215" s="27"/>
      <c r="F12215" s="27"/>
      <c r="G12215" s="27" t="s">
        <v>11122</v>
      </c>
      <c r="H12215" s="27" t="s">
        <v>35</v>
      </c>
      <c r="I12215" s="27" t="s">
        <v>1309</v>
      </c>
      <c r="J12215" s="28" t="s">
        <v>1308</v>
      </c>
      <c r="K12215" s="27" t="s">
        <v>1309</v>
      </c>
      <c r="L12215" s="27"/>
    </row>
    <row r="12216" customFormat="false" ht="15" hidden="false" customHeight="false" outlineLevel="0" collapsed="false">
      <c r="A12216" s="26" t="s">
        <v>29347</v>
      </c>
      <c r="B12216" s="27" t="s">
        <v>29348</v>
      </c>
      <c r="C12216" s="27" t="s">
        <v>100</v>
      </c>
      <c r="D12216" s="26"/>
      <c r="E12216" s="27"/>
      <c r="F12216" s="27"/>
      <c r="G12216" s="27" t="s">
        <v>11122</v>
      </c>
      <c r="H12216" s="27" t="s">
        <v>35</v>
      </c>
      <c r="I12216" s="27" t="s">
        <v>47</v>
      </c>
      <c r="J12216" s="28" t="s">
        <v>1308</v>
      </c>
      <c r="K12216" s="27" t="s">
        <v>1309</v>
      </c>
      <c r="L12216" s="27"/>
    </row>
    <row r="12217" customFormat="false" ht="15" hidden="false" customHeight="false" outlineLevel="0" collapsed="false">
      <c r="A12217" s="26" t="s">
        <v>29349</v>
      </c>
      <c r="B12217" s="27" t="s">
        <v>29350</v>
      </c>
      <c r="C12217" s="27" t="s">
        <v>100</v>
      </c>
      <c r="D12217" s="26"/>
      <c r="E12217" s="27"/>
      <c r="F12217" s="27"/>
      <c r="G12217" s="27" t="s">
        <v>11122</v>
      </c>
      <c r="H12217" s="27" t="s">
        <v>35</v>
      </c>
      <c r="I12217" s="27" t="s">
        <v>43</v>
      </c>
      <c r="J12217" s="28" t="s">
        <v>1308</v>
      </c>
      <c r="K12217" s="27" t="s">
        <v>1309</v>
      </c>
      <c r="L12217" s="27"/>
    </row>
    <row r="12218" customFormat="false" ht="15" hidden="false" customHeight="false" outlineLevel="0" collapsed="false">
      <c r="A12218" s="26" t="s">
        <v>29351</v>
      </c>
      <c r="B12218" s="27" t="s">
        <v>29352</v>
      </c>
      <c r="C12218" s="27" t="s">
        <v>100</v>
      </c>
      <c r="D12218" s="26"/>
      <c r="E12218" s="27"/>
      <c r="F12218" s="27"/>
      <c r="G12218" s="27" t="s">
        <v>11122</v>
      </c>
      <c r="H12218" s="27" t="s">
        <v>35</v>
      </c>
      <c r="I12218" s="27" t="s">
        <v>1309</v>
      </c>
      <c r="J12218" s="28" t="s">
        <v>1308</v>
      </c>
      <c r="K12218" s="27" t="s">
        <v>1309</v>
      </c>
      <c r="L12218" s="27"/>
    </row>
    <row r="12219" customFormat="false" ht="15" hidden="false" customHeight="false" outlineLevel="0" collapsed="false">
      <c r="A12219" s="26" t="s">
        <v>29353</v>
      </c>
      <c r="B12219" s="27" t="s">
        <v>29354</v>
      </c>
      <c r="C12219" s="27" t="s">
        <v>100</v>
      </c>
      <c r="D12219" s="26"/>
      <c r="E12219" s="27"/>
      <c r="F12219" s="27"/>
      <c r="G12219" s="27" t="s">
        <v>11122</v>
      </c>
      <c r="H12219" s="27" t="s">
        <v>35</v>
      </c>
      <c r="I12219" s="27" t="s">
        <v>1309</v>
      </c>
      <c r="J12219" s="28" t="s">
        <v>1308</v>
      </c>
      <c r="K12219" s="27" t="s">
        <v>1309</v>
      </c>
      <c r="L12219" s="27"/>
    </row>
    <row r="12220" customFormat="false" ht="15" hidden="false" customHeight="false" outlineLevel="0" collapsed="false">
      <c r="A12220" s="26" t="s">
        <v>29355</v>
      </c>
      <c r="B12220" s="27" t="s">
        <v>29356</v>
      </c>
      <c r="C12220" s="27" t="s">
        <v>100</v>
      </c>
      <c r="D12220" s="26"/>
      <c r="E12220" s="27"/>
      <c r="F12220" s="27"/>
      <c r="G12220" s="27" t="s">
        <v>11122</v>
      </c>
      <c r="H12220" s="27" t="s">
        <v>35</v>
      </c>
      <c r="I12220" s="27" t="s">
        <v>29357</v>
      </c>
      <c r="J12220" s="28" t="s">
        <v>1308</v>
      </c>
      <c r="K12220" s="27" t="s">
        <v>1309</v>
      </c>
      <c r="L12220" s="27"/>
    </row>
    <row r="12221" customFormat="false" ht="15" hidden="false" customHeight="false" outlineLevel="0" collapsed="false">
      <c r="A12221" s="26" t="s">
        <v>29358</v>
      </c>
      <c r="B12221" s="27" t="s">
        <v>29359</v>
      </c>
      <c r="C12221" s="27" t="s">
        <v>100</v>
      </c>
      <c r="D12221" s="26"/>
      <c r="E12221" s="27"/>
      <c r="F12221" s="27"/>
      <c r="G12221" s="27" t="s">
        <v>11122</v>
      </c>
      <c r="H12221" s="27" t="s">
        <v>35</v>
      </c>
      <c r="I12221" s="27" t="s">
        <v>43</v>
      </c>
      <c r="J12221" s="28" t="s">
        <v>1308</v>
      </c>
      <c r="K12221" s="27" t="s">
        <v>1309</v>
      </c>
      <c r="L12221" s="27"/>
    </row>
    <row r="12222" customFormat="false" ht="15" hidden="false" customHeight="false" outlineLevel="0" collapsed="false">
      <c r="A12222" s="26" t="s">
        <v>29360</v>
      </c>
      <c r="B12222" s="27" t="s">
        <v>29361</v>
      </c>
      <c r="C12222" s="27" t="s">
        <v>100</v>
      </c>
      <c r="D12222" s="26"/>
      <c r="E12222" s="27"/>
      <c r="F12222" s="27"/>
      <c r="G12222" s="27" t="s">
        <v>11122</v>
      </c>
      <c r="H12222" s="27" t="s">
        <v>35</v>
      </c>
      <c r="I12222" s="27" t="s">
        <v>43</v>
      </c>
      <c r="J12222" s="28" t="s">
        <v>1308</v>
      </c>
      <c r="K12222" s="27" t="s">
        <v>1309</v>
      </c>
      <c r="L12222" s="27"/>
    </row>
    <row r="12223" customFormat="false" ht="15" hidden="false" customHeight="false" outlineLevel="0" collapsed="false">
      <c r="A12223" s="26" t="s">
        <v>29362</v>
      </c>
      <c r="B12223" s="27" t="s">
        <v>29363</v>
      </c>
      <c r="C12223" s="27" t="s">
        <v>100</v>
      </c>
      <c r="D12223" s="26"/>
      <c r="E12223" s="27"/>
      <c r="F12223" s="27"/>
      <c r="G12223" s="27" t="s">
        <v>11122</v>
      </c>
      <c r="H12223" s="27" t="s">
        <v>35</v>
      </c>
      <c r="I12223" s="27" t="s">
        <v>43</v>
      </c>
      <c r="J12223" s="28" t="s">
        <v>1308</v>
      </c>
      <c r="K12223" s="27" t="s">
        <v>1309</v>
      </c>
      <c r="L12223" s="27"/>
    </row>
    <row r="12224" customFormat="false" ht="15" hidden="false" customHeight="false" outlineLevel="0" collapsed="false">
      <c r="A12224" s="26" t="s">
        <v>29364</v>
      </c>
      <c r="B12224" s="27" t="s">
        <v>29365</v>
      </c>
      <c r="C12224" s="27" t="s">
        <v>100</v>
      </c>
      <c r="D12224" s="26"/>
      <c r="E12224" s="27"/>
      <c r="F12224" s="27"/>
      <c r="G12224" s="27" t="s">
        <v>11122</v>
      </c>
      <c r="H12224" s="27" t="s">
        <v>35</v>
      </c>
      <c r="I12224" s="27" t="s">
        <v>29366</v>
      </c>
      <c r="J12224" s="28" t="s">
        <v>1308</v>
      </c>
      <c r="K12224" s="27" t="s">
        <v>1309</v>
      </c>
      <c r="L12224" s="27"/>
    </row>
    <row r="12225" customFormat="false" ht="15" hidden="false" customHeight="false" outlineLevel="0" collapsed="false">
      <c r="A12225" s="26" t="s">
        <v>29367</v>
      </c>
      <c r="B12225" s="27" t="s">
        <v>29368</v>
      </c>
      <c r="C12225" s="27" t="s">
        <v>100</v>
      </c>
      <c r="D12225" s="26"/>
      <c r="E12225" s="27"/>
      <c r="F12225" s="27"/>
      <c r="G12225" s="27" t="s">
        <v>11122</v>
      </c>
      <c r="H12225" s="27" t="s">
        <v>35</v>
      </c>
      <c r="I12225" s="27" t="s">
        <v>43</v>
      </c>
      <c r="J12225" s="28" t="s">
        <v>1308</v>
      </c>
      <c r="K12225" s="27" t="s">
        <v>1309</v>
      </c>
      <c r="L12225" s="27"/>
    </row>
    <row r="12226" customFormat="false" ht="15" hidden="false" customHeight="false" outlineLevel="0" collapsed="false">
      <c r="A12226" s="26" t="s">
        <v>29369</v>
      </c>
      <c r="B12226" s="27" t="s">
        <v>29370</v>
      </c>
      <c r="C12226" s="27" t="s">
        <v>100</v>
      </c>
      <c r="D12226" s="26"/>
      <c r="E12226" s="27"/>
      <c r="F12226" s="27"/>
      <c r="G12226" s="27" t="s">
        <v>11122</v>
      </c>
      <c r="H12226" s="27" t="s">
        <v>35</v>
      </c>
      <c r="I12226" s="27" t="s">
        <v>43</v>
      </c>
      <c r="J12226" s="28" t="s">
        <v>1308</v>
      </c>
      <c r="K12226" s="27" t="s">
        <v>1309</v>
      </c>
      <c r="L12226" s="27"/>
    </row>
    <row r="12227" customFormat="false" ht="15" hidden="false" customHeight="false" outlineLevel="0" collapsed="false">
      <c r="A12227" s="26" t="s">
        <v>29371</v>
      </c>
      <c r="B12227" s="27" t="s">
        <v>29372</v>
      </c>
      <c r="C12227" s="27" t="s">
        <v>100</v>
      </c>
      <c r="D12227" s="26"/>
      <c r="E12227" s="27"/>
      <c r="F12227" s="27"/>
      <c r="G12227" s="27" t="s">
        <v>11122</v>
      </c>
      <c r="H12227" s="27" t="s">
        <v>35</v>
      </c>
      <c r="I12227" s="27" t="s">
        <v>10337</v>
      </c>
      <c r="J12227" s="28" t="s">
        <v>1308</v>
      </c>
      <c r="K12227" s="27" t="s">
        <v>1309</v>
      </c>
      <c r="L12227" s="27"/>
    </row>
    <row r="12228" customFormat="false" ht="15" hidden="false" customHeight="false" outlineLevel="0" collapsed="false">
      <c r="A12228" s="26" t="s">
        <v>29373</v>
      </c>
      <c r="B12228" s="27" t="s">
        <v>29374</v>
      </c>
      <c r="C12228" s="27" t="s">
        <v>100</v>
      </c>
      <c r="D12228" s="26"/>
      <c r="E12228" s="27"/>
      <c r="F12228" s="27"/>
      <c r="G12228" s="27" t="s">
        <v>11122</v>
      </c>
      <c r="H12228" s="27" t="s">
        <v>35</v>
      </c>
      <c r="I12228" s="27" t="s">
        <v>29375</v>
      </c>
      <c r="J12228" s="28" t="s">
        <v>1308</v>
      </c>
      <c r="K12228" s="27" t="s">
        <v>1309</v>
      </c>
      <c r="L12228" s="27"/>
    </row>
    <row r="12229" customFormat="false" ht="15" hidden="false" customHeight="false" outlineLevel="0" collapsed="false">
      <c r="A12229" s="26" t="s">
        <v>29376</v>
      </c>
      <c r="B12229" s="27" t="s">
        <v>29377</v>
      </c>
      <c r="C12229" s="27" t="s">
        <v>100</v>
      </c>
      <c r="D12229" s="26"/>
      <c r="E12229" s="27"/>
      <c r="F12229" s="27"/>
      <c r="G12229" s="27" t="s">
        <v>11122</v>
      </c>
      <c r="H12229" s="27" t="s">
        <v>35</v>
      </c>
      <c r="I12229" s="27" t="s">
        <v>1309</v>
      </c>
      <c r="J12229" s="28" t="s">
        <v>1308</v>
      </c>
      <c r="K12229" s="27" t="s">
        <v>1309</v>
      </c>
      <c r="L12229" s="27"/>
    </row>
    <row r="12230" customFormat="false" ht="15" hidden="false" customHeight="false" outlineLevel="0" collapsed="false">
      <c r="A12230" s="26" t="s">
        <v>29378</v>
      </c>
      <c r="B12230" s="28" t="s">
        <v>29379</v>
      </c>
      <c r="C12230" s="27" t="s">
        <v>100</v>
      </c>
      <c r="D12230" s="26"/>
      <c r="E12230" s="27"/>
      <c r="F12230" s="27"/>
      <c r="G12230" s="27" t="s">
        <v>11122</v>
      </c>
      <c r="H12230" s="27" t="s">
        <v>35</v>
      </c>
      <c r="I12230" s="27" t="s">
        <v>152</v>
      </c>
      <c r="J12230" s="28" t="s">
        <v>1308</v>
      </c>
      <c r="K12230" s="27" t="s">
        <v>1309</v>
      </c>
      <c r="L12230" s="27"/>
    </row>
    <row r="12231" customFormat="false" ht="15" hidden="false" customHeight="false" outlineLevel="0" collapsed="false">
      <c r="A12231" s="26" t="s">
        <v>29380</v>
      </c>
      <c r="B12231" s="28" t="s">
        <v>29381</v>
      </c>
      <c r="C12231" s="27" t="s">
        <v>100</v>
      </c>
      <c r="D12231" s="26"/>
      <c r="E12231" s="27"/>
      <c r="F12231" s="27"/>
      <c r="G12231" s="27" t="s">
        <v>11122</v>
      </c>
      <c r="H12231" s="27" t="s">
        <v>35</v>
      </c>
      <c r="I12231" s="27" t="s">
        <v>47</v>
      </c>
      <c r="J12231" s="28" t="s">
        <v>1308</v>
      </c>
      <c r="K12231" s="27" t="s">
        <v>1309</v>
      </c>
      <c r="L12231" s="27"/>
    </row>
    <row r="12232" customFormat="false" ht="15" hidden="false" customHeight="false" outlineLevel="0" collapsed="false">
      <c r="A12232" s="26" t="s">
        <v>29382</v>
      </c>
      <c r="B12232" s="27" t="s">
        <v>29383</v>
      </c>
      <c r="C12232" s="27" t="s">
        <v>100</v>
      </c>
      <c r="D12232" s="26"/>
      <c r="E12232" s="27"/>
      <c r="F12232" s="27"/>
      <c r="G12232" s="27" t="s">
        <v>11122</v>
      </c>
      <c r="H12232" s="27" t="s">
        <v>35</v>
      </c>
      <c r="I12232" s="27" t="s">
        <v>47</v>
      </c>
      <c r="J12232" s="28" t="s">
        <v>1308</v>
      </c>
      <c r="K12232" s="27" t="s">
        <v>1309</v>
      </c>
      <c r="L12232" s="27"/>
    </row>
    <row r="12233" customFormat="false" ht="15" hidden="false" customHeight="false" outlineLevel="0" collapsed="false">
      <c r="A12233" s="26" t="s">
        <v>29384</v>
      </c>
      <c r="B12233" s="27" t="s">
        <v>29385</v>
      </c>
      <c r="C12233" s="27" t="s">
        <v>100</v>
      </c>
      <c r="D12233" s="26"/>
      <c r="E12233" s="27"/>
      <c r="F12233" s="27"/>
      <c r="G12233" s="27" t="s">
        <v>11122</v>
      </c>
      <c r="H12233" s="27" t="s">
        <v>35</v>
      </c>
      <c r="I12233" s="27" t="s">
        <v>1309</v>
      </c>
      <c r="J12233" s="28" t="s">
        <v>1308</v>
      </c>
      <c r="K12233" s="27" t="s">
        <v>1309</v>
      </c>
      <c r="L12233" s="27"/>
    </row>
    <row r="12234" customFormat="false" ht="15" hidden="false" customHeight="false" outlineLevel="0" collapsed="false">
      <c r="A12234" s="26" t="s">
        <v>29386</v>
      </c>
      <c r="B12234" s="27" t="s">
        <v>29387</v>
      </c>
      <c r="C12234" s="27" t="s">
        <v>100</v>
      </c>
      <c r="D12234" s="26"/>
      <c r="E12234" s="27"/>
      <c r="F12234" s="27"/>
      <c r="G12234" s="27" t="s">
        <v>11122</v>
      </c>
      <c r="H12234" s="27" t="s">
        <v>35</v>
      </c>
      <c r="I12234" s="27" t="s">
        <v>1309</v>
      </c>
      <c r="J12234" s="28" t="s">
        <v>1308</v>
      </c>
      <c r="K12234" s="27" t="s">
        <v>1309</v>
      </c>
      <c r="L12234" s="27"/>
    </row>
    <row r="12235" customFormat="false" ht="15" hidden="false" customHeight="false" outlineLevel="0" collapsed="false">
      <c r="A12235" s="26" t="s">
        <v>29388</v>
      </c>
      <c r="B12235" s="27" t="s">
        <v>29389</v>
      </c>
      <c r="C12235" s="27" t="s">
        <v>100</v>
      </c>
      <c r="D12235" s="26"/>
      <c r="E12235" s="27"/>
      <c r="F12235" s="27"/>
      <c r="G12235" s="27" t="s">
        <v>11122</v>
      </c>
      <c r="H12235" s="27" t="s">
        <v>35</v>
      </c>
      <c r="I12235" s="27" t="s">
        <v>1309</v>
      </c>
      <c r="J12235" s="28" t="s">
        <v>1308</v>
      </c>
      <c r="K12235" s="27" t="s">
        <v>1309</v>
      </c>
      <c r="L12235" s="27"/>
    </row>
    <row r="12236" customFormat="false" ht="15" hidden="false" customHeight="false" outlineLevel="0" collapsed="false">
      <c r="A12236" s="26" t="s">
        <v>29390</v>
      </c>
      <c r="B12236" s="27" t="s">
        <v>29391</v>
      </c>
      <c r="C12236" s="27" t="s">
        <v>100</v>
      </c>
      <c r="D12236" s="26"/>
      <c r="E12236" s="27"/>
      <c r="F12236" s="27"/>
      <c r="G12236" s="27" t="s">
        <v>11122</v>
      </c>
      <c r="H12236" s="27" t="s">
        <v>35</v>
      </c>
      <c r="I12236" s="27" t="s">
        <v>42</v>
      </c>
      <c r="J12236" s="28" t="s">
        <v>1308</v>
      </c>
      <c r="K12236" s="27" t="s">
        <v>1309</v>
      </c>
      <c r="L12236" s="27"/>
    </row>
    <row r="12237" customFormat="false" ht="15" hidden="false" customHeight="false" outlineLevel="0" collapsed="false">
      <c r="A12237" s="26" t="s">
        <v>29392</v>
      </c>
      <c r="B12237" s="27" t="s">
        <v>29393</v>
      </c>
      <c r="C12237" s="27" t="s">
        <v>100</v>
      </c>
      <c r="D12237" s="26"/>
      <c r="E12237" s="27"/>
      <c r="F12237" s="27"/>
      <c r="G12237" s="27" t="s">
        <v>11122</v>
      </c>
      <c r="H12237" s="27" t="s">
        <v>35</v>
      </c>
      <c r="I12237" s="27" t="s">
        <v>1309</v>
      </c>
      <c r="J12237" s="28" t="s">
        <v>1308</v>
      </c>
      <c r="K12237" s="27" t="s">
        <v>1309</v>
      </c>
      <c r="L12237" s="27"/>
    </row>
    <row r="12238" customFormat="false" ht="15" hidden="false" customHeight="false" outlineLevel="0" collapsed="false">
      <c r="A12238" s="26" t="s">
        <v>29394</v>
      </c>
      <c r="B12238" s="27" t="s">
        <v>29395</v>
      </c>
      <c r="C12238" s="27" t="s">
        <v>100</v>
      </c>
      <c r="D12238" s="26"/>
      <c r="E12238" s="27"/>
      <c r="F12238" s="27"/>
      <c r="G12238" s="27" t="s">
        <v>11122</v>
      </c>
      <c r="H12238" s="27" t="s">
        <v>35</v>
      </c>
      <c r="I12238" s="27" t="s">
        <v>1309</v>
      </c>
      <c r="J12238" s="28" t="s">
        <v>1308</v>
      </c>
      <c r="K12238" s="27" t="s">
        <v>1309</v>
      </c>
      <c r="L12238" s="27"/>
    </row>
    <row r="12239" customFormat="false" ht="15" hidden="false" customHeight="false" outlineLevel="0" collapsed="false">
      <c r="A12239" s="26" t="s">
        <v>29396</v>
      </c>
      <c r="B12239" s="27" t="s">
        <v>29397</v>
      </c>
      <c r="C12239" s="27" t="s">
        <v>3482</v>
      </c>
      <c r="D12239" s="26"/>
      <c r="E12239" s="27"/>
      <c r="F12239" s="27"/>
      <c r="G12239" s="27" t="s">
        <v>11122</v>
      </c>
      <c r="H12239" s="27" t="s">
        <v>35</v>
      </c>
      <c r="I12239" s="27" t="s">
        <v>47</v>
      </c>
      <c r="J12239" s="28" t="s">
        <v>1314</v>
      </c>
      <c r="K12239" s="27" t="s">
        <v>47</v>
      </c>
      <c r="L12239" s="27"/>
    </row>
    <row r="12240" customFormat="false" ht="15" hidden="false" customHeight="false" outlineLevel="0" collapsed="false">
      <c r="A12240" s="26" t="s">
        <v>29398</v>
      </c>
      <c r="B12240" s="27" t="s">
        <v>29399</v>
      </c>
      <c r="C12240" s="27" t="s">
        <v>100</v>
      </c>
      <c r="D12240" s="26"/>
      <c r="E12240" s="27"/>
      <c r="F12240" s="27"/>
      <c r="G12240" s="27" t="s">
        <v>11122</v>
      </c>
      <c r="H12240" s="27" t="s">
        <v>35</v>
      </c>
      <c r="I12240" s="27" t="s">
        <v>47</v>
      </c>
      <c r="J12240" s="28" t="s">
        <v>1314</v>
      </c>
      <c r="K12240" s="27" t="s">
        <v>47</v>
      </c>
      <c r="L12240" s="27"/>
    </row>
    <row r="12241" customFormat="false" ht="15" hidden="false" customHeight="false" outlineLevel="0" collapsed="false">
      <c r="A12241" s="26" t="s">
        <v>29400</v>
      </c>
      <c r="B12241" s="27" t="s">
        <v>29401</v>
      </c>
      <c r="C12241" s="27" t="s">
        <v>100</v>
      </c>
      <c r="D12241" s="26"/>
      <c r="E12241" s="27"/>
      <c r="F12241" s="27"/>
      <c r="G12241" s="27" t="s">
        <v>11122</v>
      </c>
      <c r="H12241" s="27" t="s">
        <v>35</v>
      </c>
      <c r="I12241" s="27" t="s">
        <v>1075</v>
      </c>
      <c r="J12241" s="28" t="s">
        <v>1314</v>
      </c>
      <c r="K12241" s="27" t="s">
        <v>47</v>
      </c>
      <c r="L12241" s="27"/>
    </row>
    <row r="12242" customFormat="false" ht="15" hidden="false" customHeight="false" outlineLevel="0" collapsed="false">
      <c r="A12242" s="26" t="s">
        <v>29402</v>
      </c>
      <c r="B12242" s="27" t="s">
        <v>29403</v>
      </c>
      <c r="C12242" s="27" t="s">
        <v>100</v>
      </c>
      <c r="D12242" s="26"/>
      <c r="E12242" s="27"/>
      <c r="F12242" s="27"/>
      <c r="G12242" s="27" t="s">
        <v>11122</v>
      </c>
      <c r="H12242" s="27" t="s">
        <v>35</v>
      </c>
      <c r="I12242" s="27" t="s">
        <v>43</v>
      </c>
      <c r="J12242" s="28" t="s">
        <v>1314</v>
      </c>
      <c r="K12242" s="27" t="s">
        <v>47</v>
      </c>
      <c r="L12242" s="27"/>
    </row>
    <row r="12243" customFormat="false" ht="15" hidden="false" customHeight="false" outlineLevel="0" collapsed="false">
      <c r="A12243" s="26" t="s">
        <v>29404</v>
      </c>
      <c r="B12243" s="27" t="s">
        <v>29405</v>
      </c>
      <c r="C12243" s="27" t="s">
        <v>100</v>
      </c>
      <c r="D12243" s="26"/>
      <c r="E12243" s="27"/>
      <c r="F12243" s="27"/>
      <c r="G12243" s="27" t="s">
        <v>11122</v>
      </c>
      <c r="H12243" s="27" t="s">
        <v>35</v>
      </c>
      <c r="I12243" s="27" t="s">
        <v>152</v>
      </c>
      <c r="J12243" s="28" t="s">
        <v>1314</v>
      </c>
      <c r="K12243" s="27" t="s">
        <v>47</v>
      </c>
      <c r="L12243" s="27"/>
    </row>
    <row r="12244" customFormat="false" ht="15" hidden="false" customHeight="false" outlineLevel="0" collapsed="false">
      <c r="A12244" s="26" t="s">
        <v>29406</v>
      </c>
      <c r="B12244" s="27" t="s">
        <v>29407</v>
      </c>
      <c r="C12244" s="27" t="s">
        <v>131</v>
      </c>
      <c r="D12244" s="26"/>
      <c r="E12244" s="27"/>
      <c r="F12244" s="27"/>
      <c r="G12244" s="27" t="s">
        <v>11122</v>
      </c>
      <c r="H12244" s="27" t="s">
        <v>35</v>
      </c>
      <c r="I12244" s="27" t="s">
        <v>42</v>
      </c>
      <c r="J12244" s="28" t="s">
        <v>1314</v>
      </c>
      <c r="K12244" s="27" t="s">
        <v>47</v>
      </c>
      <c r="L12244" s="27"/>
    </row>
    <row r="12245" customFormat="false" ht="15" hidden="false" customHeight="false" outlineLevel="0" collapsed="false">
      <c r="A12245" s="26" t="s">
        <v>29408</v>
      </c>
      <c r="B12245" s="27" t="s">
        <v>29409</v>
      </c>
      <c r="C12245" s="27" t="s">
        <v>100</v>
      </c>
      <c r="D12245" s="26"/>
      <c r="E12245" s="27"/>
      <c r="F12245" s="27"/>
      <c r="G12245" s="27" t="s">
        <v>11122</v>
      </c>
      <c r="H12245" s="27" t="s">
        <v>35</v>
      </c>
      <c r="I12245" s="27" t="s">
        <v>10362</v>
      </c>
      <c r="J12245" s="28" t="s">
        <v>1314</v>
      </c>
      <c r="K12245" s="27" t="s">
        <v>47</v>
      </c>
      <c r="L12245" s="27"/>
    </row>
    <row r="12246" customFormat="false" ht="15" hidden="false" customHeight="false" outlineLevel="0" collapsed="false">
      <c r="A12246" s="26" t="s">
        <v>29410</v>
      </c>
      <c r="B12246" s="27" t="s">
        <v>29411</v>
      </c>
      <c r="C12246" s="27" t="s">
        <v>100</v>
      </c>
      <c r="D12246" s="26"/>
      <c r="E12246" s="27"/>
      <c r="F12246" s="27"/>
      <c r="G12246" s="27" t="s">
        <v>11122</v>
      </c>
      <c r="H12246" s="27" t="s">
        <v>35</v>
      </c>
      <c r="I12246" s="27" t="s">
        <v>47</v>
      </c>
      <c r="J12246" s="28" t="s">
        <v>1314</v>
      </c>
      <c r="K12246" s="27" t="s">
        <v>47</v>
      </c>
      <c r="L12246" s="27"/>
    </row>
    <row r="12247" customFormat="false" ht="15" hidden="false" customHeight="false" outlineLevel="0" collapsed="false">
      <c r="A12247" s="26" t="s">
        <v>29412</v>
      </c>
      <c r="B12247" s="27" t="s">
        <v>29413</v>
      </c>
      <c r="C12247" s="27" t="s">
        <v>100</v>
      </c>
      <c r="D12247" s="26"/>
      <c r="E12247" s="27"/>
      <c r="F12247" s="27"/>
      <c r="G12247" s="27" t="s">
        <v>11122</v>
      </c>
      <c r="H12247" s="27" t="s">
        <v>35</v>
      </c>
      <c r="I12247" s="27" t="s">
        <v>47</v>
      </c>
      <c r="J12247" s="28" t="s">
        <v>1314</v>
      </c>
      <c r="K12247" s="27" t="s">
        <v>47</v>
      </c>
      <c r="L12247" s="27"/>
    </row>
    <row r="12248" customFormat="false" ht="15" hidden="false" customHeight="false" outlineLevel="0" collapsed="false">
      <c r="A12248" s="26" t="s">
        <v>29414</v>
      </c>
      <c r="B12248" s="27" t="s">
        <v>29415</v>
      </c>
      <c r="C12248" s="27" t="s">
        <v>100</v>
      </c>
      <c r="D12248" s="26"/>
      <c r="E12248" s="27"/>
      <c r="F12248" s="27"/>
      <c r="G12248" s="27" t="s">
        <v>11122</v>
      </c>
      <c r="H12248" s="27" t="s">
        <v>35</v>
      </c>
      <c r="I12248" s="27" t="s">
        <v>47</v>
      </c>
      <c r="J12248" s="28" t="s">
        <v>1314</v>
      </c>
      <c r="K12248" s="27" t="s">
        <v>47</v>
      </c>
      <c r="L12248" s="27"/>
    </row>
    <row r="12249" customFormat="false" ht="15" hidden="false" customHeight="false" outlineLevel="0" collapsed="false">
      <c r="A12249" s="26" t="s">
        <v>29416</v>
      </c>
      <c r="B12249" s="27" t="s">
        <v>29417</v>
      </c>
      <c r="C12249" s="27" t="s">
        <v>100</v>
      </c>
      <c r="D12249" s="26"/>
      <c r="E12249" s="27"/>
      <c r="F12249" s="27"/>
      <c r="G12249" s="27" t="s">
        <v>11122</v>
      </c>
      <c r="H12249" s="27" t="s">
        <v>35</v>
      </c>
      <c r="I12249" s="27" t="s">
        <v>3564</v>
      </c>
      <c r="J12249" s="28" t="s">
        <v>1314</v>
      </c>
      <c r="K12249" s="27" t="s">
        <v>47</v>
      </c>
      <c r="L12249" s="27"/>
    </row>
    <row r="12250" customFormat="false" ht="15" hidden="false" customHeight="false" outlineLevel="0" collapsed="false">
      <c r="A12250" s="26" t="s">
        <v>29418</v>
      </c>
      <c r="B12250" s="27" t="s">
        <v>29419</v>
      </c>
      <c r="C12250" s="27" t="s">
        <v>100</v>
      </c>
      <c r="D12250" s="26"/>
      <c r="E12250" s="27"/>
      <c r="F12250" s="27"/>
      <c r="G12250" s="27" t="s">
        <v>11122</v>
      </c>
      <c r="H12250" s="27" t="s">
        <v>35</v>
      </c>
      <c r="I12250" s="27" t="s">
        <v>47</v>
      </c>
      <c r="J12250" s="28" t="s">
        <v>1314</v>
      </c>
      <c r="K12250" s="27" t="s">
        <v>47</v>
      </c>
      <c r="L12250" s="27"/>
    </row>
    <row r="12251" customFormat="false" ht="15" hidden="false" customHeight="false" outlineLevel="0" collapsed="false">
      <c r="A12251" s="26" t="s">
        <v>29420</v>
      </c>
      <c r="B12251" s="27" t="s">
        <v>29421</v>
      </c>
      <c r="C12251" s="27" t="s">
        <v>100</v>
      </c>
      <c r="D12251" s="26"/>
      <c r="E12251" s="27"/>
      <c r="F12251" s="27"/>
      <c r="G12251" s="27" t="s">
        <v>11122</v>
      </c>
      <c r="H12251" s="27" t="s">
        <v>35</v>
      </c>
      <c r="I12251" s="27" t="s">
        <v>3564</v>
      </c>
      <c r="J12251" s="28" t="s">
        <v>1314</v>
      </c>
      <c r="K12251" s="27" t="s">
        <v>47</v>
      </c>
      <c r="L12251" s="27"/>
    </row>
    <row r="12252" customFormat="false" ht="15" hidden="false" customHeight="false" outlineLevel="0" collapsed="false">
      <c r="A12252" s="26" t="s">
        <v>29422</v>
      </c>
      <c r="B12252" s="27" t="s">
        <v>29423</v>
      </c>
      <c r="C12252" s="27" t="s">
        <v>100</v>
      </c>
      <c r="D12252" s="26"/>
      <c r="E12252" s="27"/>
      <c r="F12252" s="27"/>
      <c r="G12252" s="27" t="s">
        <v>11122</v>
      </c>
      <c r="H12252" s="27" t="s">
        <v>35</v>
      </c>
      <c r="I12252" s="27" t="s">
        <v>10337</v>
      </c>
      <c r="J12252" s="28" t="s">
        <v>1314</v>
      </c>
      <c r="K12252" s="27" t="s">
        <v>47</v>
      </c>
      <c r="L12252" s="27"/>
    </row>
    <row r="12253" customFormat="false" ht="15" hidden="false" customHeight="false" outlineLevel="0" collapsed="false">
      <c r="A12253" s="26" t="s">
        <v>29424</v>
      </c>
      <c r="B12253" s="27" t="s">
        <v>29425</v>
      </c>
      <c r="C12253" s="27" t="s">
        <v>100</v>
      </c>
      <c r="D12253" s="26"/>
      <c r="E12253" s="27"/>
      <c r="F12253" s="27"/>
      <c r="G12253" s="27" t="s">
        <v>11122</v>
      </c>
      <c r="H12253" s="27" t="s">
        <v>35</v>
      </c>
      <c r="I12253" s="27" t="s">
        <v>152</v>
      </c>
      <c r="J12253" s="28" t="s">
        <v>1314</v>
      </c>
      <c r="K12253" s="27" t="s">
        <v>47</v>
      </c>
      <c r="L12253" s="27"/>
    </row>
    <row r="12254" customFormat="false" ht="15" hidden="false" customHeight="false" outlineLevel="0" collapsed="false">
      <c r="A12254" s="26" t="s">
        <v>29426</v>
      </c>
      <c r="B12254" s="27" t="s">
        <v>29427</v>
      </c>
      <c r="C12254" s="27" t="s">
        <v>3482</v>
      </c>
      <c r="D12254" s="26"/>
      <c r="E12254" s="27"/>
      <c r="F12254" s="27"/>
      <c r="G12254" s="27" t="s">
        <v>11122</v>
      </c>
      <c r="H12254" s="27" t="s">
        <v>35</v>
      </c>
      <c r="I12254" s="27" t="s">
        <v>47</v>
      </c>
      <c r="J12254" s="28" t="s">
        <v>1314</v>
      </c>
      <c r="K12254" s="27" t="s">
        <v>47</v>
      </c>
      <c r="L12254" s="27"/>
    </row>
    <row r="12255" customFormat="false" ht="15" hidden="false" customHeight="false" outlineLevel="0" collapsed="false">
      <c r="A12255" s="26" t="s">
        <v>29428</v>
      </c>
      <c r="B12255" s="27" t="s">
        <v>29429</v>
      </c>
      <c r="C12255" s="27" t="s">
        <v>3482</v>
      </c>
      <c r="D12255" s="26"/>
      <c r="E12255" s="27"/>
      <c r="F12255" s="27"/>
      <c r="G12255" s="27" t="s">
        <v>11122</v>
      </c>
      <c r="H12255" s="27" t="s">
        <v>35</v>
      </c>
      <c r="I12255" s="27" t="s">
        <v>64</v>
      </c>
      <c r="J12255" s="28" t="s">
        <v>1314</v>
      </c>
      <c r="K12255" s="27" t="s">
        <v>47</v>
      </c>
      <c r="L12255" s="27"/>
    </row>
    <row r="12256" customFormat="false" ht="15" hidden="false" customHeight="false" outlineLevel="0" collapsed="false">
      <c r="A12256" s="26" t="s">
        <v>29430</v>
      </c>
      <c r="B12256" s="27" t="s">
        <v>29431</v>
      </c>
      <c r="C12256" s="27" t="s">
        <v>100</v>
      </c>
      <c r="D12256" s="26"/>
      <c r="E12256" s="27"/>
      <c r="F12256" s="27"/>
      <c r="G12256" s="27" t="s">
        <v>11122</v>
      </c>
      <c r="H12256" s="27" t="s">
        <v>35</v>
      </c>
      <c r="I12256" s="27" t="s">
        <v>47</v>
      </c>
      <c r="J12256" s="28" t="s">
        <v>1314</v>
      </c>
      <c r="K12256" s="27" t="s">
        <v>47</v>
      </c>
      <c r="L12256" s="27"/>
    </row>
    <row r="12257" customFormat="false" ht="15" hidden="false" customHeight="false" outlineLevel="0" collapsed="false">
      <c r="A12257" s="26" t="s">
        <v>29432</v>
      </c>
      <c r="B12257" s="27" t="s">
        <v>29433</v>
      </c>
      <c r="C12257" s="27" t="s">
        <v>100</v>
      </c>
      <c r="D12257" s="26"/>
      <c r="E12257" s="27"/>
      <c r="F12257" s="27"/>
      <c r="G12257" s="27" t="s">
        <v>11122</v>
      </c>
      <c r="H12257" s="27" t="s">
        <v>35</v>
      </c>
      <c r="I12257" s="27" t="s">
        <v>10337</v>
      </c>
      <c r="J12257" s="28" t="s">
        <v>1314</v>
      </c>
      <c r="K12257" s="27" t="s">
        <v>47</v>
      </c>
      <c r="L12257" s="27"/>
    </row>
    <row r="12258" customFormat="false" ht="15" hidden="false" customHeight="false" outlineLevel="0" collapsed="false">
      <c r="A12258" s="26" t="s">
        <v>29434</v>
      </c>
      <c r="B12258" s="27" t="s">
        <v>29435</v>
      </c>
      <c r="C12258" s="27" t="s">
        <v>100</v>
      </c>
      <c r="D12258" s="26"/>
      <c r="E12258" s="27"/>
      <c r="F12258" s="27"/>
      <c r="G12258" s="27" t="s">
        <v>11122</v>
      </c>
      <c r="H12258" s="27" t="s">
        <v>35</v>
      </c>
      <c r="I12258" s="27" t="s">
        <v>10337</v>
      </c>
      <c r="J12258" s="28" t="s">
        <v>1314</v>
      </c>
      <c r="K12258" s="27" t="s">
        <v>47</v>
      </c>
      <c r="L12258" s="27"/>
    </row>
    <row r="12259" customFormat="false" ht="15" hidden="false" customHeight="false" outlineLevel="0" collapsed="false">
      <c r="A12259" s="26" t="s">
        <v>29436</v>
      </c>
      <c r="B12259" s="27" t="s">
        <v>29437</v>
      </c>
      <c r="C12259" s="27" t="s">
        <v>100</v>
      </c>
      <c r="D12259" s="26"/>
      <c r="E12259" s="27"/>
      <c r="F12259" s="27"/>
      <c r="G12259" s="27" t="s">
        <v>11122</v>
      </c>
      <c r="H12259" s="27" t="s">
        <v>35</v>
      </c>
      <c r="I12259" s="27" t="s">
        <v>49</v>
      </c>
      <c r="J12259" s="28" t="s">
        <v>1314</v>
      </c>
      <c r="K12259" s="27" t="s">
        <v>47</v>
      </c>
      <c r="L12259" s="27"/>
    </row>
    <row r="12260" customFormat="false" ht="15" hidden="false" customHeight="false" outlineLevel="0" collapsed="false">
      <c r="A12260" s="26" t="s">
        <v>29438</v>
      </c>
      <c r="B12260" s="27" t="s">
        <v>29439</v>
      </c>
      <c r="C12260" s="27" t="s">
        <v>100</v>
      </c>
      <c r="D12260" s="26"/>
      <c r="E12260" s="27"/>
      <c r="F12260" s="27"/>
      <c r="G12260" s="27" t="s">
        <v>11122</v>
      </c>
      <c r="H12260" s="27" t="s">
        <v>35</v>
      </c>
      <c r="I12260" s="27" t="s">
        <v>10337</v>
      </c>
      <c r="J12260" s="28" t="s">
        <v>1314</v>
      </c>
      <c r="K12260" s="27" t="s">
        <v>47</v>
      </c>
      <c r="L12260" s="27"/>
    </row>
    <row r="12261" customFormat="false" ht="15" hidden="false" customHeight="false" outlineLevel="0" collapsed="false">
      <c r="A12261" s="26" t="s">
        <v>29440</v>
      </c>
      <c r="B12261" s="27" t="s">
        <v>29441</v>
      </c>
      <c r="C12261" s="27" t="s">
        <v>100</v>
      </c>
      <c r="D12261" s="26"/>
      <c r="E12261" s="27"/>
      <c r="F12261" s="27"/>
      <c r="G12261" s="27" t="s">
        <v>11122</v>
      </c>
      <c r="H12261" s="27" t="s">
        <v>35</v>
      </c>
      <c r="I12261" s="27" t="s">
        <v>29442</v>
      </c>
      <c r="J12261" s="28" t="s">
        <v>1314</v>
      </c>
      <c r="K12261" s="27" t="s">
        <v>47</v>
      </c>
      <c r="L12261" s="27"/>
    </row>
    <row r="12262" customFormat="false" ht="15" hidden="false" customHeight="false" outlineLevel="0" collapsed="false">
      <c r="A12262" s="26" t="s">
        <v>29443</v>
      </c>
      <c r="B12262" s="27" t="s">
        <v>29444</v>
      </c>
      <c r="C12262" s="27" t="s">
        <v>100</v>
      </c>
      <c r="D12262" s="26"/>
      <c r="E12262" s="27"/>
      <c r="F12262" s="27"/>
      <c r="G12262" s="27" t="s">
        <v>11122</v>
      </c>
      <c r="H12262" s="27" t="s">
        <v>35</v>
      </c>
      <c r="I12262" s="27" t="s">
        <v>10337</v>
      </c>
      <c r="J12262" s="28" t="s">
        <v>1314</v>
      </c>
      <c r="K12262" s="27" t="s">
        <v>47</v>
      </c>
      <c r="L12262" s="27"/>
    </row>
    <row r="12263" customFormat="false" ht="15" hidden="false" customHeight="false" outlineLevel="0" collapsed="false">
      <c r="A12263" s="26" t="s">
        <v>29445</v>
      </c>
      <c r="B12263" s="27" t="s">
        <v>29446</v>
      </c>
      <c r="C12263" s="27" t="s">
        <v>100</v>
      </c>
      <c r="D12263" s="26"/>
      <c r="E12263" s="27"/>
      <c r="F12263" s="27"/>
      <c r="G12263" s="27" t="s">
        <v>11122</v>
      </c>
      <c r="H12263" s="27" t="s">
        <v>35</v>
      </c>
      <c r="I12263" s="27" t="s">
        <v>47</v>
      </c>
      <c r="J12263" s="28" t="s">
        <v>1314</v>
      </c>
      <c r="K12263" s="27" t="s">
        <v>47</v>
      </c>
      <c r="L12263" s="27"/>
    </row>
    <row r="12264" customFormat="false" ht="15" hidden="false" customHeight="false" outlineLevel="0" collapsed="false">
      <c r="A12264" s="26" t="s">
        <v>29447</v>
      </c>
      <c r="B12264" s="27" t="s">
        <v>29448</v>
      </c>
      <c r="C12264" s="27" t="s">
        <v>100</v>
      </c>
      <c r="D12264" s="26"/>
      <c r="E12264" s="27"/>
      <c r="F12264" s="27"/>
      <c r="G12264" s="27" t="s">
        <v>11122</v>
      </c>
      <c r="H12264" s="27" t="s">
        <v>35</v>
      </c>
      <c r="I12264" s="27" t="s">
        <v>64</v>
      </c>
      <c r="J12264" s="28" t="s">
        <v>1314</v>
      </c>
      <c r="K12264" s="27" t="s">
        <v>47</v>
      </c>
      <c r="L12264" s="27"/>
    </row>
    <row r="12265" customFormat="false" ht="15" hidden="false" customHeight="false" outlineLevel="0" collapsed="false">
      <c r="A12265" s="26" t="s">
        <v>29449</v>
      </c>
      <c r="B12265" s="27" t="s">
        <v>29450</v>
      </c>
      <c r="C12265" s="27" t="s">
        <v>100</v>
      </c>
      <c r="D12265" s="26"/>
      <c r="E12265" s="27"/>
      <c r="F12265" s="27"/>
      <c r="G12265" s="27" t="s">
        <v>11122</v>
      </c>
      <c r="H12265" s="27" t="s">
        <v>35</v>
      </c>
      <c r="I12265" s="27" t="s">
        <v>29451</v>
      </c>
      <c r="J12265" s="28" t="s">
        <v>1314</v>
      </c>
      <c r="K12265" s="27" t="s">
        <v>47</v>
      </c>
      <c r="L12265" s="27"/>
    </row>
    <row r="12266" customFormat="false" ht="15" hidden="false" customHeight="false" outlineLevel="0" collapsed="false">
      <c r="A12266" s="26" t="s">
        <v>29452</v>
      </c>
      <c r="B12266" s="27" t="s">
        <v>29453</v>
      </c>
      <c r="C12266" s="27" t="s">
        <v>100</v>
      </c>
      <c r="D12266" s="26"/>
      <c r="E12266" s="27"/>
      <c r="F12266" s="27"/>
      <c r="G12266" s="27" t="s">
        <v>11122</v>
      </c>
      <c r="H12266" s="27" t="s">
        <v>35</v>
      </c>
      <c r="I12266" s="27" t="s">
        <v>29442</v>
      </c>
      <c r="J12266" s="28" t="s">
        <v>1314</v>
      </c>
      <c r="K12266" s="27" t="s">
        <v>47</v>
      </c>
      <c r="L12266" s="27"/>
    </row>
    <row r="12267" customFormat="false" ht="15" hidden="false" customHeight="false" outlineLevel="0" collapsed="false">
      <c r="A12267" s="26" t="s">
        <v>29454</v>
      </c>
      <c r="B12267" s="27" t="s">
        <v>29455</v>
      </c>
      <c r="C12267" s="27" t="s">
        <v>100</v>
      </c>
      <c r="D12267" s="26"/>
      <c r="E12267" s="27"/>
      <c r="F12267" s="27"/>
      <c r="G12267" s="27" t="s">
        <v>11122</v>
      </c>
      <c r="H12267" s="27" t="s">
        <v>35</v>
      </c>
      <c r="I12267" s="27" t="s">
        <v>47</v>
      </c>
      <c r="J12267" s="28" t="s">
        <v>1314</v>
      </c>
      <c r="K12267" s="27" t="s">
        <v>47</v>
      </c>
      <c r="L12267" s="27"/>
    </row>
    <row r="12268" customFormat="false" ht="15" hidden="false" customHeight="false" outlineLevel="0" collapsed="false">
      <c r="A12268" s="26" t="s">
        <v>29456</v>
      </c>
      <c r="B12268" s="27" t="s">
        <v>29457</v>
      </c>
      <c r="C12268" s="27" t="s">
        <v>100</v>
      </c>
      <c r="D12268" s="26"/>
      <c r="E12268" s="27"/>
      <c r="F12268" s="27"/>
      <c r="G12268" s="27" t="s">
        <v>11122</v>
      </c>
      <c r="H12268" s="27" t="s">
        <v>35</v>
      </c>
      <c r="I12268" s="27" t="s">
        <v>47</v>
      </c>
      <c r="J12268" s="28" t="s">
        <v>1314</v>
      </c>
      <c r="K12268" s="27" t="s">
        <v>47</v>
      </c>
      <c r="L12268" s="27"/>
    </row>
    <row r="12269" customFormat="false" ht="15" hidden="false" customHeight="false" outlineLevel="0" collapsed="false">
      <c r="A12269" s="26" t="s">
        <v>29458</v>
      </c>
      <c r="B12269" s="27" t="s">
        <v>29459</v>
      </c>
      <c r="C12269" s="27" t="s">
        <v>100</v>
      </c>
      <c r="D12269" s="26"/>
      <c r="E12269" s="27"/>
      <c r="F12269" s="27"/>
      <c r="G12269" s="27" t="s">
        <v>11122</v>
      </c>
      <c r="H12269" s="27" t="s">
        <v>35</v>
      </c>
      <c r="I12269" s="27" t="s">
        <v>152</v>
      </c>
      <c r="J12269" s="28" t="s">
        <v>1325</v>
      </c>
      <c r="K12269" s="27" t="s">
        <v>47</v>
      </c>
      <c r="L12269" s="27"/>
    </row>
    <row r="12270" customFormat="false" ht="15" hidden="false" customHeight="false" outlineLevel="0" collapsed="false">
      <c r="A12270" s="26" t="s">
        <v>29460</v>
      </c>
      <c r="B12270" s="27" t="s">
        <v>29461</v>
      </c>
      <c r="C12270" s="27" t="s">
        <v>100</v>
      </c>
      <c r="D12270" s="26"/>
      <c r="E12270" s="27"/>
      <c r="F12270" s="27"/>
      <c r="G12270" s="27" t="s">
        <v>11122</v>
      </c>
      <c r="H12270" s="27" t="s">
        <v>35</v>
      </c>
      <c r="I12270" s="27" t="s">
        <v>47</v>
      </c>
      <c r="J12270" s="28" t="s">
        <v>1325</v>
      </c>
      <c r="K12270" s="27" t="s">
        <v>47</v>
      </c>
      <c r="L12270" s="27"/>
    </row>
    <row r="12271" customFormat="false" ht="15" hidden="false" customHeight="false" outlineLevel="0" collapsed="false">
      <c r="A12271" s="26" t="s">
        <v>29462</v>
      </c>
      <c r="B12271" s="27" t="s">
        <v>29463</v>
      </c>
      <c r="C12271" s="27" t="s">
        <v>100</v>
      </c>
      <c r="D12271" s="26"/>
      <c r="E12271" s="27"/>
      <c r="F12271" s="27"/>
      <c r="G12271" s="27" t="s">
        <v>11122</v>
      </c>
      <c r="H12271" s="27" t="s">
        <v>35</v>
      </c>
      <c r="I12271" s="27" t="s">
        <v>152</v>
      </c>
      <c r="J12271" s="28" t="s">
        <v>1325</v>
      </c>
      <c r="K12271" s="27" t="s">
        <v>47</v>
      </c>
      <c r="L12271" s="27"/>
    </row>
    <row r="12272" customFormat="false" ht="15" hidden="false" customHeight="false" outlineLevel="0" collapsed="false">
      <c r="A12272" s="26" t="s">
        <v>29464</v>
      </c>
      <c r="B12272" s="27" t="s">
        <v>29465</v>
      </c>
      <c r="C12272" s="27" t="s">
        <v>100</v>
      </c>
      <c r="D12272" s="26"/>
      <c r="E12272" s="27"/>
      <c r="F12272" s="27"/>
      <c r="G12272" s="27" t="s">
        <v>11122</v>
      </c>
      <c r="H12272" s="27" t="s">
        <v>35</v>
      </c>
      <c r="I12272" s="27" t="s">
        <v>3564</v>
      </c>
      <c r="J12272" s="28" t="s">
        <v>1325</v>
      </c>
      <c r="K12272" s="27" t="s">
        <v>47</v>
      </c>
      <c r="L12272" s="27"/>
    </row>
    <row r="12273" customFormat="false" ht="15" hidden="false" customHeight="false" outlineLevel="0" collapsed="false">
      <c r="A12273" s="26" t="s">
        <v>29466</v>
      </c>
      <c r="B12273" s="27" t="s">
        <v>29467</v>
      </c>
      <c r="C12273" s="27" t="s">
        <v>100</v>
      </c>
      <c r="D12273" s="26"/>
      <c r="E12273" s="27"/>
      <c r="F12273" s="27"/>
      <c r="G12273" s="27" t="s">
        <v>11122</v>
      </c>
      <c r="H12273" s="27" t="s">
        <v>35</v>
      </c>
      <c r="I12273" s="27" t="s">
        <v>49</v>
      </c>
      <c r="J12273" s="28" t="s">
        <v>1325</v>
      </c>
      <c r="K12273" s="27" t="s">
        <v>47</v>
      </c>
      <c r="L12273" s="27"/>
    </row>
    <row r="12274" customFormat="false" ht="15" hidden="false" customHeight="false" outlineLevel="0" collapsed="false">
      <c r="A12274" s="26" t="s">
        <v>29468</v>
      </c>
      <c r="B12274" s="27" t="s">
        <v>29469</v>
      </c>
      <c r="C12274" s="27" t="s">
        <v>100</v>
      </c>
      <c r="D12274" s="26"/>
      <c r="E12274" s="27"/>
      <c r="F12274" s="27"/>
      <c r="G12274" s="27" t="s">
        <v>11122</v>
      </c>
      <c r="H12274" s="27" t="s">
        <v>35</v>
      </c>
      <c r="I12274" s="27" t="s">
        <v>47</v>
      </c>
      <c r="J12274" s="28" t="s">
        <v>1325</v>
      </c>
      <c r="K12274" s="27" t="s">
        <v>47</v>
      </c>
      <c r="L12274" s="27"/>
    </row>
    <row r="12275" customFormat="false" ht="15" hidden="false" customHeight="false" outlineLevel="0" collapsed="false">
      <c r="A12275" s="26" t="s">
        <v>29470</v>
      </c>
      <c r="B12275" s="27" t="s">
        <v>29471</v>
      </c>
      <c r="C12275" s="27" t="s">
        <v>100</v>
      </c>
      <c r="D12275" s="26"/>
      <c r="E12275" s="27"/>
      <c r="F12275" s="27"/>
      <c r="G12275" s="27" t="s">
        <v>11122</v>
      </c>
      <c r="H12275" s="27" t="s">
        <v>35</v>
      </c>
      <c r="I12275" s="27" t="s">
        <v>3536</v>
      </c>
      <c r="J12275" s="28" t="s">
        <v>1325</v>
      </c>
      <c r="K12275" s="27" t="s">
        <v>47</v>
      </c>
      <c r="L12275" s="27"/>
    </row>
    <row r="12276" customFormat="false" ht="15" hidden="false" customHeight="false" outlineLevel="0" collapsed="false">
      <c r="A12276" s="26" t="s">
        <v>29472</v>
      </c>
      <c r="B12276" s="27" t="s">
        <v>29473</v>
      </c>
      <c r="C12276" s="27" t="s">
        <v>100</v>
      </c>
      <c r="D12276" s="26"/>
      <c r="E12276" s="27"/>
      <c r="F12276" s="27"/>
      <c r="G12276" s="27" t="s">
        <v>11122</v>
      </c>
      <c r="H12276" s="27" t="s">
        <v>35</v>
      </c>
      <c r="I12276" s="27" t="s">
        <v>3536</v>
      </c>
      <c r="J12276" s="28" t="s">
        <v>1325</v>
      </c>
      <c r="K12276" s="27" t="s">
        <v>47</v>
      </c>
      <c r="L12276" s="27"/>
    </row>
    <row r="12277" customFormat="false" ht="15" hidden="false" customHeight="false" outlineLevel="0" collapsed="false">
      <c r="A12277" s="26" t="s">
        <v>29474</v>
      </c>
      <c r="B12277" s="27" t="s">
        <v>29475</v>
      </c>
      <c r="C12277" s="27" t="s">
        <v>100</v>
      </c>
      <c r="D12277" s="26"/>
      <c r="E12277" s="27"/>
      <c r="F12277" s="27"/>
      <c r="G12277" s="27" t="s">
        <v>11122</v>
      </c>
      <c r="H12277" s="27" t="s">
        <v>35</v>
      </c>
      <c r="I12277" s="27" t="s">
        <v>10362</v>
      </c>
      <c r="J12277" s="28" t="s">
        <v>1325</v>
      </c>
      <c r="K12277" s="27" t="s">
        <v>47</v>
      </c>
      <c r="L12277" s="27"/>
    </row>
    <row r="12278" customFormat="false" ht="15" hidden="false" customHeight="false" outlineLevel="0" collapsed="false">
      <c r="A12278" s="26" t="s">
        <v>29476</v>
      </c>
      <c r="B12278" s="27" t="s">
        <v>29477</v>
      </c>
      <c r="C12278" s="27" t="s">
        <v>100</v>
      </c>
      <c r="D12278" s="26"/>
      <c r="E12278" s="27"/>
      <c r="F12278" s="27"/>
      <c r="G12278" s="27" t="s">
        <v>11122</v>
      </c>
      <c r="H12278" s="27" t="s">
        <v>35</v>
      </c>
      <c r="I12278" s="27" t="s">
        <v>10362</v>
      </c>
      <c r="J12278" s="28" t="s">
        <v>1325</v>
      </c>
      <c r="K12278" s="27" t="s">
        <v>47</v>
      </c>
      <c r="L12278" s="27"/>
    </row>
    <row r="12279" customFormat="false" ht="15" hidden="false" customHeight="false" outlineLevel="0" collapsed="false">
      <c r="A12279" s="26" t="s">
        <v>29478</v>
      </c>
      <c r="B12279" s="27" t="s">
        <v>29479</v>
      </c>
      <c r="C12279" s="27" t="s">
        <v>100</v>
      </c>
      <c r="D12279" s="26"/>
      <c r="E12279" s="27"/>
      <c r="F12279" s="27"/>
      <c r="G12279" s="27" t="s">
        <v>11122</v>
      </c>
      <c r="H12279" s="27" t="s">
        <v>35</v>
      </c>
      <c r="I12279" s="27" t="s">
        <v>108</v>
      </c>
      <c r="J12279" s="28" t="s">
        <v>1325</v>
      </c>
      <c r="K12279" s="27" t="s">
        <v>47</v>
      </c>
      <c r="L12279" s="27"/>
    </row>
    <row r="12280" customFormat="false" ht="15" hidden="false" customHeight="false" outlineLevel="0" collapsed="false">
      <c r="A12280" s="26" t="s">
        <v>29480</v>
      </c>
      <c r="B12280" s="27" t="s">
        <v>29481</v>
      </c>
      <c r="C12280" s="27" t="s">
        <v>100</v>
      </c>
      <c r="D12280" s="26"/>
      <c r="E12280" s="27"/>
      <c r="F12280" s="27"/>
      <c r="G12280" s="27" t="s">
        <v>11122</v>
      </c>
      <c r="H12280" s="27" t="s">
        <v>35</v>
      </c>
      <c r="I12280" s="27" t="s">
        <v>40</v>
      </c>
      <c r="J12280" s="28" t="s">
        <v>1325</v>
      </c>
      <c r="K12280" s="27" t="s">
        <v>47</v>
      </c>
      <c r="L12280" s="27"/>
    </row>
    <row r="12281" customFormat="false" ht="15" hidden="false" customHeight="false" outlineLevel="0" collapsed="false">
      <c r="A12281" s="26" t="s">
        <v>29482</v>
      </c>
      <c r="B12281" s="27" t="s">
        <v>29483</v>
      </c>
      <c r="C12281" s="27" t="s">
        <v>100</v>
      </c>
      <c r="D12281" s="26"/>
      <c r="E12281" s="27"/>
      <c r="F12281" s="27"/>
      <c r="G12281" s="27" t="s">
        <v>11122</v>
      </c>
      <c r="H12281" s="27" t="s">
        <v>35</v>
      </c>
      <c r="I12281" s="27" t="s">
        <v>1302</v>
      </c>
      <c r="J12281" s="28" t="s">
        <v>1325</v>
      </c>
      <c r="K12281" s="27" t="s">
        <v>47</v>
      </c>
      <c r="L12281" s="27"/>
    </row>
    <row r="12282" customFormat="false" ht="15" hidden="false" customHeight="false" outlineLevel="0" collapsed="false">
      <c r="A12282" s="26" t="s">
        <v>29484</v>
      </c>
      <c r="B12282" s="27" t="s">
        <v>29485</v>
      </c>
      <c r="C12282" s="27" t="s">
        <v>100</v>
      </c>
      <c r="D12282" s="26"/>
      <c r="E12282" s="27"/>
      <c r="F12282" s="27"/>
      <c r="G12282" s="27" t="s">
        <v>11122</v>
      </c>
      <c r="H12282" s="27" t="s">
        <v>35</v>
      </c>
      <c r="I12282" s="27" t="s">
        <v>47</v>
      </c>
      <c r="J12282" s="28" t="s">
        <v>1325</v>
      </c>
      <c r="K12282" s="27" t="s">
        <v>47</v>
      </c>
      <c r="L12282" s="27"/>
    </row>
    <row r="12283" customFormat="false" ht="15" hidden="false" customHeight="false" outlineLevel="0" collapsed="false">
      <c r="A12283" s="26" t="s">
        <v>29486</v>
      </c>
      <c r="B12283" s="27" t="s">
        <v>29487</v>
      </c>
      <c r="C12283" s="27" t="s">
        <v>3482</v>
      </c>
      <c r="D12283" s="26"/>
      <c r="E12283" s="27"/>
      <c r="F12283" s="27"/>
      <c r="G12283" s="27" t="s">
        <v>11122</v>
      </c>
      <c r="H12283" s="27" t="s">
        <v>35</v>
      </c>
      <c r="I12283" s="27" t="s">
        <v>1302</v>
      </c>
      <c r="J12283" s="28" t="s">
        <v>1325</v>
      </c>
      <c r="K12283" s="27" t="s">
        <v>47</v>
      </c>
      <c r="L12283" s="27"/>
    </row>
    <row r="12284" customFormat="false" ht="15" hidden="false" customHeight="false" outlineLevel="0" collapsed="false">
      <c r="A12284" s="26" t="s">
        <v>29488</v>
      </c>
      <c r="B12284" s="27" t="s">
        <v>29489</v>
      </c>
      <c r="C12284" s="27" t="s">
        <v>100</v>
      </c>
      <c r="D12284" s="26"/>
      <c r="E12284" s="27"/>
      <c r="F12284" s="27"/>
      <c r="G12284" s="27" t="s">
        <v>11122</v>
      </c>
      <c r="H12284" s="27" t="s">
        <v>35</v>
      </c>
      <c r="I12284" s="27" t="s">
        <v>10362</v>
      </c>
      <c r="J12284" s="28" t="s">
        <v>1325</v>
      </c>
      <c r="K12284" s="27" t="s">
        <v>47</v>
      </c>
      <c r="L12284" s="27"/>
    </row>
    <row r="12285" customFormat="false" ht="15" hidden="false" customHeight="false" outlineLevel="0" collapsed="false">
      <c r="A12285" s="26" t="s">
        <v>29490</v>
      </c>
      <c r="B12285" s="27" t="s">
        <v>29491</v>
      </c>
      <c r="C12285" s="27" t="s">
        <v>100</v>
      </c>
      <c r="D12285" s="26"/>
      <c r="E12285" s="27"/>
      <c r="F12285" s="27"/>
      <c r="G12285" s="27" t="s">
        <v>11122</v>
      </c>
      <c r="H12285" s="27" t="s">
        <v>35</v>
      </c>
      <c r="I12285" s="27" t="s">
        <v>47</v>
      </c>
      <c r="J12285" s="28" t="s">
        <v>1325</v>
      </c>
      <c r="K12285" s="27" t="s">
        <v>47</v>
      </c>
      <c r="L12285" s="27"/>
    </row>
    <row r="12286" customFormat="false" ht="15" hidden="false" customHeight="false" outlineLevel="0" collapsed="false">
      <c r="A12286" s="26" t="s">
        <v>29492</v>
      </c>
      <c r="B12286" s="27" t="s">
        <v>29493</v>
      </c>
      <c r="C12286" s="27" t="s">
        <v>100</v>
      </c>
      <c r="D12286" s="26"/>
      <c r="E12286" s="27"/>
      <c r="F12286" s="27"/>
      <c r="G12286" s="27" t="s">
        <v>11122</v>
      </c>
      <c r="H12286" s="27" t="s">
        <v>35</v>
      </c>
      <c r="I12286" s="27" t="s">
        <v>10317</v>
      </c>
      <c r="J12286" s="28" t="s">
        <v>1325</v>
      </c>
      <c r="K12286" s="27" t="s">
        <v>47</v>
      </c>
      <c r="L12286" s="27"/>
    </row>
    <row r="12287" customFormat="false" ht="15" hidden="false" customHeight="false" outlineLevel="0" collapsed="false">
      <c r="A12287" s="26" t="s">
        <v>29494</v>
      </c>
      <c r="B12287" s="27" t="s">
        <v>29495</v>
      </c>
      <c r="C12287" s="27" t="s">
        <v>100</v>
      </c>
      <c r="D12287" s="26"/>
      <c r="E12287" s="27"/>
      <c r="F12287" s="27"/>
      <c r="G12287" s="27" t="s">
        <v>11122</v>
      </c>
      <c r="H12287" s="27" t="s">
        <v>35</v>
      </c>
      <c r="I12287" s="27" t="s">
        <v>1302</v>
      </c>
      <c r="J12287" s="28" t="s">
        <v>1325</v>
      </c>
      <c r="K12287" s="27" t="s">
        <v>47</v>
      </c>
      <c r="L12287" s="27"/>
    </row>
    <row r="12288" customFormat="false" ht="15" hidden="false" customHeight="false" outlineLevel="0" collapsed="false">
      <c r="A12288" s="26" t="s">
        <v>29496</v>
      </c>
      <c r="B12288" s="27" t="s">
        <v>29497</v>
      </c>
      <c r="C12288" s="27" t="s">
        <v>100</v>
      </c>
      <c r="D12288" s="26"/>
      <c r="E12288" s="27"/>
      <c r="F12288" s="27"/>
      <c r="G12288" s="27" t="s">
        <v>11122</v>
      </c>
      <c r="H12288" s="27" t="s">
        <v>35</v>
      </c>
      <c r="I12288" s="27" t="s">
        <v>1302</v>
      </c>
      <c r="J12288" s="28" t="s">
        <v>1325</v>
      </c>
      <c r="K12288" s="27" t="s">
        <v>47</v>
      </c>
      <c r="L12288" s="27"/>
    </row>
    <row r="12289" customFormat="false" ht="15" hidden="false" customHeight="false" outlineLevel="0" collapsed="false">
      <c r="A12289" s="26" t="s">
        <v>29498</v>
      </c>
      <c r="B12289" s="27" t="s">
        <v>29499</v>
      </c>
      <c r="C12289" s="27" t="s">
        <v>100</v>
      </c>
      <c r="D12289" s="26"/>
      <c r="E12289" s="27"/>
      <c r="F12289" s="27"/>
      <c r="G12289" s="27" t="s">
        <v>11122</v>
      </c>
      <c r="H12289" s="27" t="s">
        <v>35</v>
      </c>
      <c r="I12289" s="28" t="s">
        <v>46</v>
      </c>
      <c r="J12289" s="28" t="s">
        <v>1325</v>
      </c>
      <c r="K12289" s="27" t="s">
        <v>47</v>
      </c>
      <c r="L12289" s="27"/>
    </row>
    <row r="12290" customFormat="false" ht="15" hidden="false" customHeight="false" outlineLevel="0" collapsed="false">
      <c r="A12290" s="26" t="s">
        <v>29500</v>
      </c>
      <c r="B12290" s="27" t="s">
        <v>29501</v>
      </c>
      <c r="C12290" s="27" t="s">
        <v>100</v>
      </c>
      <c r="D12290" s="26"/>
      <c r="E12290" s="27"/>
      <c r="F12290" s="27"/>
      <c r="G12290" s="27" t="s">
        <v>11122</v>
      </c>
      <c r="H12290" s="27" t="s">
        <v>35</v>
      </c>
      <c r="I12290" s="28" t="s">
        <v>46</v>
      </c>
      <c r="J12290" s="28" t="s">
        <v>1325</v>
      </c>
      <c r="K12290" s="27" t="s">
        <v>47</v>
      </c>
      <c r="L12290" s="27"/>
    </row>
    <row r="12291" customFormat="false" ht="15" hidden="false" customHeight="false" outlineLevel="0" collapsed="false">
      <c r="A12291" s="26" t="s">
        <v>29502</v>
      </c>
      <c r="B12291" s="27" t="s">
        <v>29503</v>
      </c>
      <c r="C12291" s="27" t="s">
        <v>100</v>
      </c>
      <c r="D12291" s="26"/>
      <c r="E12291" s="27"/>
      <c r="F12291" s="27"/>
      <c r="G12291" s="27" t="s">
        <v>11122</v>
      </c>
      <c r="H12291" s="27" t="s">
        <v>35</v>
      </c>
      <c r="I12291" s="27" t="s">
        <v>108</v>
      </c>
      <c r="J12291" s="28" t="s">
        <v>1325</v>
      </c>
      <c r="K12291" s="27" t="s">
        <v>47</v>
      </c>
      <c r="L12291" s="27"/>
    </row>
    <row r="12292" customFormat="false" ht="15" hidden="false" customHeight="false" outlineLevel="0" collapsed="false">
      <c r="A12292" s="26" t="s">
        <v>29504</v>
      </c>
      <c r="B12292" s="27" t="s">
        <v>29505</v>
      </c>
      <c r="C12292" s="27" t="s">
        <v>100</v>
      </c>
      <c r="D12292" s="26"/>
      <c r="E12292" s="27"/>
      <c r="F12292" s="27"/>
      <c r="G12292" s="27" t="s">
        <v>11122</v>
      </c>
      <c r="H12292" s="27" t="s">
        <v>35</v>
      </c>
      <c r="I12292" s="27" t="s">
        <v>47</v>
      </c>
      <c r="J12292" s="28" t="s">
        <v>1325</v>
      </c>
      <c r="K12292" s="27" t="s">
        <v>47</v>
      </c>
      <c r="L12292" s="27"/>
    </row>
    <row r="12293" customFormat="false" ht="15" hidden="false" customHeight="false" outlineLevel="0" collapsed="false">
      <c r="A12293" s="26" t="s">
        <v>29506</v>
      </c>
      <c r="B12293" s="27" t="s">
        <v>29507</v>
      </c>
      <c r="C12293" s="27" t="s">
        <v>100</v>
      </c>
      <c r="D12293" s="26"/>
      <c r="E12293" s="27"/>
      <c r="F12293" s="27"/>
      <c r="G12293" s="27" t="s">
        <v>11122</v>
      </c>
      <c r="H12293" s="27" t="s">
        <v>35</v>
      </c>
      <c r="I12293" s="27" t="s">
        <v>47</v>
      </c>
      <c r="J12293" s="28" t="s">
        <v>1325</v>
      </c>
      <c r="K12293" s="27" t="s">
        <v>47</v>
      </c>
      <c r="L12293" s="27"/>
    </row>
    <row r="12294" customFormat="false" ht="15" hidden="false" customHeight="false" outlineLevel="0" collapsed="false">
      <c r="A12294" s="26" t="s">
        <v>29508</v>
      </c>
      <c r="B12294" s="27" t="s">
        <v>29509</v>
      </c>
      <c r="C12294" s="27" t="s">
        <v>100</v>
      </c>
      <c r="D12294" s="26"/>
      <c r="E12294" s="27"/>
      <c r="F12294" s="27"/>
      <c r="G12294" s="27" t="s">
        <v>11122</v>
      </c>
      <c r="H12294" s="27" t="s">
        <v>35</v>
      </c>
      <c r="I12294" s="27" t="s">
        <v>47</v>
      </c>
      <c r="J12294" s="28" t="s">
        <v>1325</v>
      </c>
      <c r="K12294" s="27" t="s">
        <v>47</v>
      </c>
      <c r="L12294" s="27"/>
    </row>
    <row r="12295" customFormat="false" ht="15" hidden="false" customHeight="false" outlineLevel="0" collapsed="false">
      <c r="A12295" s="26" t="s">
        <v>29510</v>
      </c>
      <c r="B12295" s="27" t="s">
        <v>29511</v>
      </c>
      <c r="C12295" s="27" t="s">
        <v>100</v>
      </c>
      <c r="D12295" s="26"/>
      <c r="E12295" s="27"/>
      <c r="F12295" s="27"/>
      <c r="G12295" s="27" t="s">
        <v>11122</v>
      </c>
      <c r="H12295" s="27" t="s">
        <v>35</v>
      </c>
      <c r="I12295" s="27" t="s">
        <v>152</v>
      </c>
      <c r="J12295" s="28" t="s">
        <v>1325</v>
      </c>
      <c r="K12295" s="27" t="s">
        <v>47</v>
      </c>
      <c r="L12295" s="27"/>
    </row>
    <row r="12296" customFormat="false" ht="15" hidden="false" customHeight="false" outlineLevel="0" collapsed="false">
      <c r="A12296" s="26" t="s">
        <v>29512</v>
      </c>
      <c r="B12296" s="27" t="s">
        <v>29513</v>
      </c>
      <c r="C12296" s="27" t="s">
        <v>3482</v>
      </c>
      <c r="D12296" s="26"/>
      <c r="E12296" s="27"/>
      <c r="F12296" s="27"/>
      <c r="G12296" s="27" t="s">
        <v>11122</v>
      </c>
      <c r="H12296" s="27" t="s">
        <v>35</v>
      </c>
      <c r="I12296" s="27" t="s">
        <v>64</v>
      </c>
      <c r="J12296" s="28" t="s">
        <v>1325</v>
      </c>
      <c r="K12296" s="27" t="s">
        <v>47</v>
      </c>
      <c r="L12296" s="27"/>
    </row>
    <row r="12297" customFormat="false" ht="15" hidden="false" customHeight="false" outlineLevel="0" collapsed="false">
      <c r="A12297" s="26" t="s">
        <v>29514</v>
      </c>
      <c r="B12297" s="27" t="s">
        <v>29515</v>
      </c>
      <c r="C12297" s="27" t="s">
        <v>3482</v>
      </c>
      <c r="D12297" s="26"/>
      <c r="E12297" s="27"/>
      <c r="F12297" s="27"/>
      <c r="G12297" s="27" t="s">
        <v>11122</v>
      </c>
      <c r="H12297" s="27" t="s">
        <v>35</v>
      </c>
      <c r="I12297" s="27" t="s">
        <v>64</v>
      </c>
      <c r="J12297" s="28" t="s">
        <v>1325</v>
      </c>
      <c r="K12297" s="27" t="s">
        <v>47</v>
      </c>
      <c r="L12297" s="27"/>
    </row>
    <row r="12298" customFormat="false" ht="15" hidden="false" customHeight="false" outlineLevel="0" collapsed="false">
      <c r="A12298" s="26" t="s">
        <v>29516</v>
      </c>
      <c r="B12298" s="27" t="s">
        <v>29517</v>
      </c>
      <c r="C12298" s="27" t="s">
        <v>3482</v>
      </c>
      <c r="D12298" s="26"/>
      <c r="E12298" s="27"/>
      <c r="F12298" s="27"/>
      <c r="G12298" s="27" t="s">
        <v>11122</v>
      </c>
      <c r="H12298" s="27" t="s">
        <v>35</v>
      </c>
      <c r="I12298" s="27" t="s">
        <v>64</v>
      </c>
      <c r="J12298" s="28" t="s">
        <v>1325</v>
      </c>
      <c r="K12298" s="27" t="s">
        <v>47</v>
      </c>
      <c r="L12298" s="27"/>
    </row>
    <row r="12299" customFormat="false" ht="15" hidden="false" customHeight="false" outlineLevel="0" collapsed="false">
      <c r="A12299" s="26" t="s">
        <v>29518</v>
      </c>
      <c r="B12299" s="27" t="s">
        <v>29519</v>
      </c>
      <c r="C12299" s="27" t="s">
        <v>3482</v>
      </c>
      <c r="D12299" s="26"/>
      <c r="E12299" s="27"/>
      <c r="F12299" s="27"/>
      <c r="G12299" s="27" t="s">
        <v>11122</v>
      </c>
      <c r="H12299" s="27" t="s">
        <v>35</v>
      </c>
      <c r="I12299" s="27" t="s">
        <v>64</v>
      </c>
      <c r="J12299" s="28" t="s">
        <v>1325</v>
      </c>
      <c r="K12299" s="27" t="s">
        <v>47</v>
      </c>
      <c r="L12299" s="27"/>
    </row>
    <row r="12300" customFormat="false" ht="15" hidden="false" customHeight="false" outlineLevel="0" collapsed="false">
      <c r="A12300" s="26" t="s">
        <v>29520</v>
      </c>
      <c r="B12300" s="27" t="s">
        <v>29521</v>
      </c>
      <c r="C12300" s="27" t="s">
        <v>1187</v>
      </c>
      <c r="D12300" s="26"/>
      <c r="E12300" s="27"/>
      <c r="F12300" s="27"/>
      <c r="G12300" s="27" t="s">
        <v>11122</v>
      </c>
      <c r="H12300" s="27" t="s">
        <v>35</v>
      </c>
      <c r="I12300" s="27" t="s">
        <v>42</v>
      </c>
      <c r="J12300" s="28" t="s">
        <v>1329</v>
      </c>
      <c r="K12300" s="27" t="s">
        <v>64</v>
      </c>
      <c r="L12300" s="27"/>
    </row>
    <row r="12301" customFormat="false" ht="15" hidden="false" customHeight="false" outlineLevel="0" collapsed="false">
      <c r="A12301" s="26" t="s">
        <v>29522</v>
      </c>
      <c r="B12301" s="27" t="s">
        <v>29523</v>
      </c>
      <c r="C12301" s="27" t="s">
        <v>144</v>
      </c>
      <c r="D12301" s="26"/>
      <c r="E12301" s="27"/>
      <c r="F12301" s="27"/>
      <c r="G12301" s="27" t="s">
        <v>11122</v>
      </c>
      <c r="H12301" s="27" t="s">
        <v>35</v>
      </c>
      <c r="I12301" s="27" t="s">
        <v>42</v>
      </c>
      <c r="J12301" s="28" t="s">
        <v>1329</v>
      </c>
      <c r="K12301" s="27" t="s">
        <v>64</v>
      </c>
      <c r="L12301" s="27"/>
    </row>
    <row r="12302" customFormat="false" ht="15" hidden="false" customHeight="false" outlineLevel="0" collapsed="false">
      <c r="A12302" s="26" t="s">
        <v>29524</v>
      </c>
      <c r="B12302" s="27" t="s">
        <v>29525</v>
      </c>
      <c r="C12302" s="27" t="s">
        <v>1187</v>
      </c>
      <c r="D12302" s="26"/>
      <c r="E12302" s="27"/>
      <c r="F12302" s="27"/>
      <c r="G12302" s="27" t="s">
        <v>11122</v>
      </c>
      <c r="H12302" s="27" t="s">
        <v>35</v>
      </c>
      <c r="I12302" s="27" t="s">
        <v>42</v>
      </c>
      <c r="J12302" s="28" t="s">
        <v>1329</v>
      </c>
      <c r="K12302" s="27" t="s">
        <v>64</v>
      </c>
      <c r="L12302" s="27"/>
    </row>
    <row r="12303" customFormat="false" ht="15" hidden="false" customHeight="false" outlineLevel="0" collapsed="false">
      <c r="A12303" s="26" t="s">
        <v>29526</v>
      </c>
      <c r="B12303" s="27" t="s">
        <v>29527</v>
      </c>
      <c r="C12303" s="27" t="s">
        <v>1187</v>
      </c>
      <c r="D12303" s="26"/>
      <c r="E12303" s="27"/>
      <c r="F12303" s="27"/>
      <c r="G12303" s="27" t="s">
        <v>11122</v>
      </c>
      <c r="H12303" s="27" t="s">
        <v>35</v>
      </c>
      <c r="I12303" s="27" t="s">
        <v>42</v>
      </c>
      <c r="J12303" s="28" t="s">
        <v>1329</v>
      </c>
      <c r="K12303" s="27" t="s">
        <v>64</v>
      </c>
      <c r="L12303" s="27"/>
    </row>
    <row r="12304" customFormat="false" ht="15" hidden="false" customHeight="false" outlineLevel="0" collapsed="false">
      <c r="A12304" s="26" t="s">
        <v>29528</v>
      </c>
      <c r="B12304" s="27" t="s">
        <v>29529</v>
      </c>
      <c r="C12304" s="27" t="s">
        <v>144</v>
      </c>
      <c r="D12304" s="26"/>
      <c r="E12304" s="27"/>
      <c r="F12304" s="27"/>
      <c r="G12304" s="27" t="s">
        <v>11122</v>
      </c>
      <c r="H12304" s="27" t="s">
        <v>35</v>
      </c>
      <c r="I12304" s="27" t="s">
        <v>42</v>
      </c>
      <c r="J12304" s="28" t="s">
        <v>1329</v>
      </c>
      <c r="K12304" s="27" t="s">
        <v>64</v>
      </c>
      <c r="L12304" s="27"/>
    </row>
    <row r="12305" customFormat="false" ht="15" hidden="false" customHeight="false" outlineLevel="0" collapsed="false">
      <c r="A12305" s="26" t="s">
        <v>29530</v>
      </c>
      <c r="B12305" s="27" t="s">
        <v>29531</v>
      </c>
      <c r="C12305" s="27" t="s">
        <v>144</v>
      </c>
      <c r="D12305" s="26"/>
      <c r="E12305" s="27"/>
      <c r="F12305" s="27"/>
      <c r="G12305" s="27" t="s">
        <v>11122</v>
      </c>
      <c r="H12305" s="27" t="s">
        <v>35</v>
      </c>
      <c r="I12305" s="27" t="s">
        <v>42</v>
      </c>
      <c r="J12305" s="28" t="s">
        <v>1329</v>
      </c>
      <c r="K12305" s="27" t="s">
        <v>64</v>
      </c>
      <c r="L12305" s="27"/>
    </row>
    <row r="12306" customFormat="false" ht="15" hidden="false" customHeight="false" outlineLevel="0" collapsed="false">
      <c r="A12306" s="26" t="s">
        <v>29532</v>
      </c>
      <c r="B12306" s="27" t="s">
        <v>29533</v>
      </c>
      <c r="C12306" s="27" t="s">
        <v>144</v>
      </c>
      <c r="D12306" s="26"/>
      <c r="E12306" s="27"/>
      <c r="F12306" s="27"/>
      <c r="G12306" s="27" t="s">
        <v>11122</v>
      </c>
      <c r="H12306" s="27" t="s">
        <v>35</v>
      </c>
      <c r="I12306" s="27" t="s">
        <v>39</v>
      </c>
      <c r="J12306" s="28" t="s">
        <v>1329</v>
      </c>
      <c r="K12306" s="27" t="s">
        <v>64</v>
      </c>
      <c r="L12306" s="27"/>
    </row>
    <row r="12307" customFormat="false" ht="15" hidden="false" customHeight="false" outlineLevel="0" collapsed="false">
      <c r="A12307" s="26" t="s">
        <v>29534</v>
      </c>
      <c r="B12307" s="27" t="s">
        <v>29535</v>
      </c>
      <c r="C12307" s="27" t="s">
        <v>144</v>
      </c>
      <c r="D12307" s="26"/>
      <c r="E12307" s="27"/>
      <c r="F12307" s="27"/>
      <c r="G12307" s="27" t="s">
        <v>11122</v>
      </c>
      <c r="H12307" s="27" t="s">
        <v>35</v>
      </c>
      <c r="I12307" s="27" t="s">
        <v>42</v>
      </c>
      <c r="J12307" s="28" t="s">
        <v>1329</v>
      </c>
      <c r="K12307" s="27" t="s">
        <v>64</v>
      </c>
      <c r="L12307" s="27"/>
    </row>
    <row r="12308" customFormat="false" ht="15" hidden="false" customHeight="false" outlineLevel="0" collapsed="false">
      <c r="A12308" s="26" t="s">
        <v>29536</v>
      </c>
      <c r="B12308" s="27" t="s">
        <v>29537</v>
      </c>
      <c r="C12308" s="27" t="s">
        <v>144</v>
      </c>
      <c r="D12308" s="26"/>
      <c r="E12308" s="27"/>
      <c r="F12308" s="27"/>
      <c r="G12308" s="27" t="s">
        <v>11122</v>
      </c>
      <c r="H12308" s="27" t="s">
        <v>35</v>
      </c>
      <c r="I12308" s="27" t="s">
        <v>1067</v>
      </c>
      <c r="J12308" s="28" t="s">
        <v>1329</v>
      </c>
      <c r="K12308" s="27" t="s">
        <v>64</v>
      </c>
      <c r="L12308" s="27"/>
    </row>
    <row r="12309" customFormat="false" ht="15" hidden="false" customHeight="false" outlineLevel="0" collapsed="false">
      <c r="A12309" s="26" t="s">
        <v>29538</v>
      </c>
      <c r="B12309" s="27" t="s">
        <v>29539</v>
      </c>
      <c r="C12309" s="27" t="s">
        <v>144</v>
      </c>
      <c r="D12309" s="26"/>
      <c r="E12309" s="27"/>
      <c r="F12309" s="27"/>
      <c r="G12309" s="27" t="s">
        <v>11122</v>
      </c>
      <c r="H12309" s="27" t="s">
        <v>35</v>
      </c>
      <c r="I12309" s="28" t="s">
        <v>50</v>
      </c>
      <c r="J12309" s="28" t="s">
        <v>1329</v>
      </c>
      <c r="K12309" s="27" t="s">
        <v>64</v>
      </c>
      <c r="L12309" s="27"/>
    </row>
    <row r="12310" customFormat="false" ht="15" hidden="false" customHeight="false" outlineLevel="0" collapsed="false">
      <c r="A12310" s="26" t="s">
        <v>29540</v>
      </c>
      <c r="B12310" s="27" t="s">
        <v>29541</v>
      </c>
      <c r="C12310" s="27" t="s">
        <v>144</v>
      </c>
      <c r="D12310" s="26"/>
      <c r="E12310" s="27"/>
      <c r="F12310" s="27"/>
      <c r="G12310" s="27" t="s">
        <v>11122</v>
      </c>
      <c r="H12310" s="27" t="s">
        <v>35</v>
      </c>
      <c r="I12310" s="28" t="s">
        <v>50</v>
      </c>
      <c r="J12310" s="28" t="s">
        <v>1329</v>
      </c>
      <c r="K12310" s="27" t="s">
        <v>64</v>
      </c>
      <c r="L12310" s="27"/>
    </row>
    <row r="12311" customFormat="false" ht="15" hidden="false" customHeight="false" outlineLevel="0" collapsed="false">
      <c r="A12311" s="26" t="s">
        <v>29542</v>
      </c>
      <c r="B12311" s="27" t="s">
        <v>29543</v>
      </c>
      <c r="C12311" s="27" t="s">
        <v>144</v>
      </c>
      <c r="D12311" s="26"/>
      <c r="E12311" s="27"/>
      <c r="F12311" s="27"/>
      <c r="G12311" s="27" t="s">
        <v>11122</v>
      </c>
      <c r="H12311" s="27" t="s">
        <v>35</v>
      </c>
      <c r="I12311" s="27" t="s">
        <v>152</v>
      </c>
      <c r="J12311" s="28" t="s">
        <v>1329</v>
      </c>
      <c r="K12311" s="27" t="s">
        <v>64</v>
      </c>
      <c r="L12311" s="27"/>
    </row>
    <row r="12312" customFormat="false" ht="15" hidden="false" customHeight="false" outlineLevel="0" collapsed="false">
      <c r="A12312" s="26" t="s">
        <v>29544</v>
      </c>
      <c r="B12312" s="27" t="s">
        <v>29545</v>
      </c>
      <c r="C12312" s="27" t="s">
        <v>144</v>
      </c>
      <c r="D12312" s="26"/>
      <c r="E12312" s="27"/>
      <c r="F12312" s="27"/>
      <c r="G12312" s="27" t="s">
        <v>11122</v>
      </c>
      <c r="H12312" s="27" t="s">
        <v>35</v>
      </c>
      <c r="I12312" s="27" t="s">
        <v>41</v>
      </c>
      <c r="J12312" s="28" t="s">
        <v>1329</v>
      </c>
      <c r="K12312" s="27" t="s">
        <v>64</v>
      </c>
      <c r="L12312" s="27"/>
    </row>
    <row r="12313" customFormat="false" ht="15" hidden="false" customHeight="false" outlineLevel="0" collapsed="false">
      <c r="A12313" s="26" t="s">
        <v>29546</v>
      </c>
      <c r="B12313" s="27" t="s">
        <v>29547</v>
      </c>
      <c r="C12313" s="27" t="s">
        <v>144</v>
      </c>
      <c r="D12313" s="26"/>
      <c r="E12313" s="27"/>
      <c r="F12313" s="27"/>
      <c r="G12313" s="27" t="s">
        <v>11122</v>
      </c>
      <c r="H12313" s="27" t="s">
        <v>35</v>
      </c>
      <c r="I12313" s="27" t="s">
        <v>42</v>
      </c>
      <c r="J12313" s="28" t="s">
        <v>1329</v>
      </c>
      <c r="K12313" s="27" t="s">
        <v>64</v>
      </c>
      <c r="L12313" s="27"/>
    </row>
    <row r="12314" customFormat="false" ht="15" hidden="false" customHeight="false" outlineLevel="0" collapsed="false">
      <c r="A12314" s="26" t="s">
        <v>29548</v>
      </c>
      <c r="B12314" s="27" t="s">
        <v>29549</v>
      </c>
      <c r="C12314" s="27" t="s">
        <v>1187</v>
      </c>
      <c r="D12314" s="26"/>
      <c r="E12314" s="27"/>
      <c r="F12314" s="27"/>
      <c r="G12314" s="27" t="s">
        <v>11122</v>
      </c>
      <c r="H12314" s="27" t="s">
        <v>35</v>
      </c>
      <c r="I12314" s="27" t="s">
        <v>1344</v>
      </c>
      <c r="J12314" s="28" t="s">
        <v>1329</v>
      </c>
      <c r="K12314" s="27" t="s">
        <v>64</v>
      </c>
      <c r="L12314" s="27"/>
    </row>
    <row r="12315" customFormat="false" ht="15" hidden="false" customHeight="false" outlineLevel="0" collapsed="false">
      <c r="A12315" s="26" t="s">
        <v>29550</v>
      </c>
      <c r="B12315" s="27" t="s">
        <v>29551</v>
      </c>
      <c r="C12315" s="27" t="s">
        <v>144</v>
      </c>
      <c r="D12315" s="26"/>
      <c r="E12315" s="27"/>
      <c r="F12315" s="27"/>
      <c r="G12315" s="27" t="s">
        <v>11122</v>
      </c>
      <c r="H12315" s="27" t="s">
        <v>35</v>
      </c>
      <c r="I12315" s="27" t="s">
        <v>1067</v>
      </c>
      <c r="J12315" s="28" t="s">
        <v>1329</v>
      </c>
      <c r="K12315" s="27" t="s">
        <v>64</v>
      </c>
      <c r="L12315" s="27"/>
    </row>
    <row r="12316" customFormat="false" ht="15" hidden="false" customHeight="false" outlineLevel="0" collapsed="false">
      <c r="A12316" s="26" t="s">
        <v>29552</v>
      </c>
      <c r="B12316" s="27" t="s">
        <v>29553</v>
      </c>
      <c r="C12316" s="27" t="s">
        <v>144</v>
      </c>
      <c r="D12316" s="26"/>
      <c r="E12316" s="27"/>
      <c r="F12316" s="27"/>
      <c r="G12316" s="27" t="s">
        <v>11122</v>
      </c>
      <c r="H12316" s="27" t="s">
        <v>35</v>
      </c>
      <c r="I12316" s="27" t="s">
        <v>42</v>
      </c>
      <c r="J12316" s="28" t="s">
        <v>1329</v>
      </c>
      <c r="K12316" s="27" t="s">
        <v>64</v>
      </c>
      <c r="L12316" s="27"/>
    </row>
    <row r="12317" customFormat="false" ht="15" hidden="false" customHeight="false" outlineLevel="0" collapsed="false">
      <c r="A12317" s="26" t="s">
        <v>29554</v>
      </c>
      <c r="B12317" s="27" t="s">
        <v>29555</v>
      </c>
      <c r="C12317" s="27" t="s">
        <v>144</v>
      </c>
      <c r="D12317" s="26"/>
      <c r="E12317" s="27"/>
      <c r="F12317" s="27"/>
      <c r="G12317" s="27" t="s">
        <v>11122</v>
      </c>
      <c r="H12317" s="27" t="s">
        <v>35</v>
      </c>
      <c r="I12317" s="27" t="s">
        <v>42</v>
      </c>
      <c r="J12317" s="28" t="s">
        <v>1329</v>
      </c>
      <c r="K12317" s="27" t="s">
        <v>64</v>
      </c>
      <c r="L12317" s="27"/>
    </row>
    <row r="12318" customFormat="false" ht="15" hidden="false" customHeight="false" outlineLevel="0" collapsed="false">
      <c r="A12318" s="26" t="s">
        <v>29556</v>
      </c>
      <c r="B12318" s="27" t="s">
        <v>29557</v>
      </c>
      <c r="C12318" s="27" t="s">
        <v>144</v>
      </c>
      <c r="D12318" s="26"/>
      <c r="E12318" s="27"/>
      <c r="F12318" s="27"/>
      <c r="G12318" s="27" t="s">
        <v>11122</v>
      </c>
      <c r="H12318" s="27" t="s">
        <v>35</v>
      </c>
      <c r="I12318" s="27" t="s">
        <v>44</v>
      </c>
      <c r="J12318" s="28" t="s">
        <v>1329</v>
      </c>
      <c r="K12318" s="27" t="s">
        <v>64</v>
      </c>
      <c r="L12318" s="27"/>
    </row>
    <row r="12319" customFormat="false" ht="15" hidden="false" customHeight="false" outlineLevel="0" collapsed="false">
      <c r="A12319" s="26" t="s">
        <v>29558</v>
      </c>
      <c r="B12319" s="27" t="s">
        <v>29559</v>
      </c>
      <c r="C12319" s="27" t="s">
        <v>144</v>
      </c>
      <c r="D12319" s="26"/>
      <c r="E12319" s="27"/>
      <c r="F12319" s="27"/>
      <c r="G12319" s="27" t="s">
        <v>11122</v>
      </c>
      <c r="H12319" s="27" t="s">
        <v>35</v>
      </c>
      <c r="I12319" s="27" t="s">
        <v>152</v>
      </c>
      <c r="J12319" s="28" t="s">
        <v>1329</v>
      </c>
      <c r="K12319" s="27" t="s">
        <v>64</v>
      </c>
      <c r="L12319" s="27"/>
    </row>
    <row r="12320" customFormat="false" ht="15" hidden="false" customHeight="false" outlineLevel="0" collapsed="false">
      <c r="A12320" s="26" t="s">
        <v>29560</v>
      </c>
      <c r="B12320" s="27" t="s">
        <v>29561</v>
      </c>
      <c r="C12320" s="27" t="s">
        <v>144</v>
      </c>
      <c r="D12320" s="26"/>
      <c r="E12320" s="27"/>
      <c r="F12320" s="27"/>
      <c r="G12320" s="27" t="s">
        <v>11122</v>
      </c>
      <c r="H12320" s="27" t="s">
        <v>35</v>
      </c>
      <c r="I12320" s="27" t="s">
        <v>42</v>
      </c>
      <c r="J12320" s="28" t="s">
        <v>1329</v>
      </c>
      <c r="K12320" s="27" t="s">
        <v>64</v>
      </c>
      <c r="L12320" s="27"/>
    </row>
    <row r="12321" customFormat="false" ht="15" hidden="false" customHeight="false" outlineLevel="0" collapsed="false">
      <c r="A12321" s="26" t="s">
        <v>29562</v>
      </c>
      <c r="B12321" s="27" t="s">
        <v>29563</v>
      </c>
      <c r="C12321" s="27" t="s">
        <v>144</v>
      </c>
      <c r="D12321" s="26"/>
      <c r="E12321" s="27"/>
      <c r="F12321" s="27"/>
      <c r="G12321" s="27" t="s">
        <v>11122</v>
      </c>
      <c r="H12321" s="27" t="s">
        <v>35</v>
      </c>
      <c r="I12321" s="27" t="s">
        <v>42</v>
      </c>
      <c r="J12321" s="28" t="s">
        <v>1329</v>
      </c>
      <c r="K12321" s="27" t="s">
        <v>64</v>
      </c>
      <c r="L12321" s="27"/>
    </row>
    <row r="12322" customFormat="false" ht="15" hidden="false" customHeight="false" outlineLevel="0" collapsed="false">
      <c r="A12322" s="26" t="s">
        <v>29564</v>
      </c>
      <c r="B12322" s="27" t="s">
        <v>29565</v>
      </c>
      <c r="C12322" s="27" t="s">
        <v>144</v>
      </c>
      <c r="D12322" s="26"/>
      <c r="E12322" s="27"/>
      <c r="F12322" s="27"/>
      <c r="G12322" s="27" t="s">
        <v>11122</v>
      </c>
      <c r="H12322" s="27" t="s">
        <v>35</v>
      </c>
      <c r="I12322" s="27" t="s">
        <v>42</v>
      </c>
      <c r="J12322" s="28" t="s">
        <v>1329</v>
      </c>
      <c r="K12322" s="27" t="s">
        <v>64</v>
      </c>
      <c r="L12322" s="27"/>
    </row>
    <row r="12323" customFormat="false" ht="15" hidden="false" customHeight="false" outlineLevel="0" collapsed="false">
      <c r="A12323" s="26" t="s">
        <v>29566</v>
      </c>
      <c r="B12323" s="27" t="s">
        <v>29567</v>
      </c>
      <c r="C12323" s="27" t="s">
        <v>144</v>
      </c>
      <c r="D12323" s="26"/>
      <c r="E12323" s="27"/>
      <c r="F12323" s="27"/>
      <c r="G12323" s="27" t="s">
        <v>11122</v>
      </c>
      <c r="H12323" s="27" t="s">
        <v>35</v>
      </c>
      <c r="I12323" s="27" t="s">
        <v>42</v>
      </c>
      <c r="J12323" s="28" t="s">
        <v>1329</v>
      </c>
      <c r="K12323" s="27" t="s">
        <v>64</v>
      </c>
      <c r="L12323" s="27"/>
    </row>
    <row r="12324" customFormat="false" ht="15" hidden="false" customHeight="false" outlineLevel="0" collapsed="false">
      <c r="A12324" s="26" t="s">
        <v>29568</v>
      </c>
      <c r="B12324" s="27" t="s">
        <v>29569</v>
      </c>
      <c r="C12324" s="27" t="s">
        <v>144</v>
      </c>
      <c r="D12324" s="26"/>
      <c r="E12324" s="27"/>
      <c r="F12324" s="27"/>
      <c r="G12324" s="27" t="s">
        <v>11122</v>
      </c>
      <c r="H12324" s="27" t="s">
        <v>35</v>
      </c>
      <c r="I12324" s="27" t="s">
        <v>42</v>
      </c>
      <c r="J12324" s="28" t="s">
        <v>1329</v>
      </c>
      <c r="K12324" s="27" t="s">
        <v>64</v>
      </c>
      <c r="L12324" s="27"/>
    </row>
    <row r="12325" customFormat="false" ht="15" hidden="false" customHeight="false" outlineLevel="0" collapsed="false">
      <c r="A12325" s="26" t="s">
        <v>29570</v>
      </c>
      <c r="B12325" s="27" t="s">
        <v>29571</v>
      </c>
      <c r="C12325" s="27" t="s">
        <v>144</v>
      </c>
      <c r="D12325" s="26"/>
      <c r="E12325" s="27"/>
      <c r="F12325" s="27"/>
      <c r="G12325" s="27" t="s">
        <v>11122</v>
      </c>
      <c r="H12325" s="27" t="s">
        <v>35</v>
      </c>
      <c r="I12325" s="27" t="s">
        <v>42</v>
      </c>
      <c r="J12325" s="28" t="s">
        <v>1329</v>
      </c>
      <c r="K12325" s="27" t="s">
        <v>64</v>
      </c>
      <c r="L12325" s="27"/>
    </row>
    <row r="12326" customFormat="false" ht="15" hidden="false" customHeight="false" outlineLevel="0" collapsed="false">
      <c r="A12326" s="26" t="s">
        <v>29572</v>
      </c>
      <c r="B12326" s="27" t="s">
        <v>29573</v>
      </c>
      <c r="C12326" s="27" t="s">
        <v>144</v>
      </c>
      <c r="D12326" s="26"/>
      <c r="E12326" s="27"/>
      <c r="F12326" s="27"/>
      <c r="G12326" s="27" t="s">
        <v>11122</v>
      </c>
      <c r="H12326" s="27" t="s">
        <v>35</v>
      </c>
      <c r="I12326" s="27" t="s">
        <v>42</v>
      </c>
      <c r="J12326" s="28" t="s">
        <v>1329</v>
      </c>
      <c r="K12326" s="27" t="s">
        <v>64</v>
      </c>
      <c r="L12326" s="27"/>
    </row>
    <row r="12327" customFormat="false" ht="15" hidden="false" customHeight="false" outlineLevel="0" collapsed="false">
      <c r="A12327" s="26" t="s">
        <v>29574</v>
      </c>
      <c r="B12327" s="27" t="s">
        <v>29575</v>
      </c>
      <c r="C12327" s="27" t="s">
        <v>144</v>
      </c>
      <c r="D12327" s="26"/>
      <c r="E12327" s="27"/>
      <c r="F12327" s="27"/>
      <c r="G12327" s="27" t="s">
        <v>11122</v>
      </c>
      <c r="H12327" s="27" t="s">
        <v>35</v>
      </c>
      <c r="I12327" s="27" t="s">
        <v>42</v>
      </c>
      <c r="J12327" s="28" t="s">
        <v>1329</v>
      </c>
      <c r="K12327" s="27" t="s">
        <v>64</v>
      </c>
      <c r="L12327" s="27"/>
    </row>
    <row r="12328" customFormat="false" ht="15" hidden="false" customHeight="false" outlineLevel="0" collapsed="false">
      <c r="A12328" s="26" t="s">
        <v>29576</v>
      </c>
      <c r="B12328" s="27" t="s">
        <v>29577</v>
      </c>
      <c r="C12328" s="27" t="s">
        <v>144</v>
      </c>
      <c r="D12328" s="26"/>
      <c r="E12328" s="27"/>
      <c r="F12328" s="27"/>
      <c r="G12328" s="27" t="s">
        <v>11122</v>
      </c>
      <c r="H12328" s="27" t="s">
        <v>35</v>
      </c>
      <c r="I12328" s="27" t="s">
        <v>42</v>
      </c>
      <c r="J12328" s="28" t="s">
        <v>1329</v>
      </c>
      <c r="K12328" s="27" t="s">
        <v>64</v>
      </c>
      <c r="L12328" s="27"/>
    </row>
    <row r="12329" customFormat="false" ht="15" hidden="false" customHeight="false" outlineLevel="0" collapsed="false">
      <c r="A12329" s="26" t="s">
        <v>29578</v>
      </c>
      <c r="B12329" s="27" t="s">
        <v>29579</v>
      </c>
      <c r="C12329" s="27" t="s">
        <v>144</v>
      </c>
      <c r="D12329" s="26"/>
      <c r="E12329" s="27"/>
      <c r="F12329" s="27"/>
      <c r="G12329" s="27" t="s">
        <v>11122</v>
      </c>
      <c r="H12329" s="27" t="s">
        <v>35</v>
      </c>
      <c r="I12329" s="27" t="s">
        <v>1296</v>
      </c>
      <c r="J12329" s="28" t="s">
        <v>1329</v>
      </c>
      <c r="K12329" s="27" t="s">
        <v>64</v>
      </c>
      <c r="L12329" s="27"/>
    </row>
    <row r="12330" customFormat="false" ht="15" hidden="false" customHeight="false" outlineLevel="0" collapsed="false">
      <c r="A12330" s="26" t="s">
        <v>29580</v>
      </c>
      <c r="B12330" s="27" t="s">
        <v>29581</v>
      </c>
      <c r="C12330" s="27" t="s">
        <v>144</v>
      </c>
      <c r="D12330" s="26"/>
      <c r="E12330" s="27"/>
      <c r="F12330" s="27"/>
      <c r="G12330" s="27" t="s">
        <v>11122</v>
      </c>
      <c r="H12330" s="27" t="s">
        <v>35</v>
      </c>
      <c r="I12330" s="27" t="s">
        <v>42</v>
      </c>
      <c r="J12330" s="28" t="s">
        <v>1329</v>
      </c>
      <c r="K12330" s="27" t="s">
        <v>64</v>
      </c>
      <c r="L12330" s="27"/>
    </row>
    <row r="12331" customFormat="false" ht="15" hidden="false" customHeight="false" outlineLevel="0" collapsed="false">
      <c r="A12331" s="26" t="s">
        <v>29582</v>
      </c>
      <c r="B12331" s="27" t="s">
        <v>29583</v>
      </c>
      <c r="C12331" s="27" t="s">
        <v>144</v>
      </c>
      <c r="D12331" s="26"/>
      <c r="E12331" s="27"/>
      <c r="F12331" s="27"/>
      <c r="G12331" s="27" t="s">
        <v>11122</v>
      </c>
      <c r="H12331" s="27" t="s">
        <v>35</v>
      </c>
      <c r="I12331" s="27" t="s">
        <v>1067</v>
      </c>
      <c r="J12331" s="28" t="s">
        <v>1329</v>
      </c>
      <c r="K12331" s="27" t="s">
        <v>64</v>
      </c>
      <c r="L12331" s="27"/>
    </row>
    <row r="12332" customFormat="false" ht="15" hidden="false" customHeight="false" outlineLevel="0" collapsed="false">
      <c r="A12332" s="26" t="s">
        <v>29584</v>
      </c>
      <c r="B12332" s="27" t="s">
        <v>29585</v>
      </c>
      <c r="C12332" s="27" t="s">
        <v>144</v>
      </c>
      <c r="D12332" s="26"/>
      <c r="E12332" s="27"/>
      <c r="F12332" s="27"/>
      <c r="G12332" s="27" t="s">
        <v>11122</v>
      </c>
      <c r="H12332" s="27" t="s">
        <v>35</v>
      </c>
      <c r="I12332" s="27" t="s">
        <v>64</v>
      </c>
      <c r="J12332" s="28" t="s">
        <v>1329</v>
      </c>
      <c r="K12332" s="27" t="s">
        <v>64</v>
      </c>
      <c r="L12332" s="27"/>
    </row>
    <row r="12333" customFormat="false" ht="15" hidden="false" customHeight="false" outlineLevel="0" collapsed="false">
      <c r="A12333" s="26" t="s">
        <v>29586</v>
      </c>
      <c r="B12333" s="27" t="s">
        <v>29587</v>
      </c>
      <c r="C12333" s="27" t="s">
        <v>144</v>
      </c>
      <c r="D12333" s="26"/>
      <c r="E12333" s="27"/>
      <c r="F12333" s="27"/>
      <c r="G12333" s="27" t="s">
        <v>11122</v>
      </c>
      <c r="H12333" s="27" t="s">
        <v>35</v>
      </c>
      <c r="I12333" s="27" t="s">
        <v>39</v>
      </c>
      <c r="J12333" s="28" t="s">
        <v>1329</v>
      </c>
      <c r="K12333" s="27" t="s">
        <v>64</v>
      </c>
      <c r="L12333" s="27"/>
    </row>
    <row r="12334" customFormat="false" ht="15" hidden="false" customHeight="false" outlineLevel="0" collapsed="false">
      <c r="A12334" s="26" t="s">
        <v>29588</v>
      </c>
      <c r="B12334" s="27" t="s">
        <v>29589</v>
      </c>
      <c r="C12334" s="27" t="s">
        <v>144</v>
      </c>
      <c r="D12334" s="26"/>
      <c r="E12334" s="27"/>
      <c r="F12334" s="27"/>
      <c r="G12334" s="27" t="s">
        <v>11122</v>
      </c>
      <c r="H12334" s="27" t="s">
        <v>35</v>
      </c>
      <c r="I12334" s="27" t="s">
        <v>39</v>
      </c>
      <c r="J12334" s="28" t="s">
        <v>1329</v>
      </c>
      <c r="K12334" s="27" t="s">
        <v>64</v>
      </c>
      <c r="L12334" s="27"/>
    </row>
    <row r="12335" customFormat="false" ht="15" hidden="false" customHeight="false" outlineLevel="0" collapsed="false">
      <c r="A12335" s="26" t="s">
        <v>29590</v>
      </c>
      <c r="B12335" s="27" t="s">
        <v>29591</v>
      </c>
      <c r="C12335" s="27" t="s">
        <v>144</v>
      </c>
      <c r="D12335" s="26"/>
      <c r="E12335" s="27"/>
      <c r="F12335" s="27"/>
      <c r="G12335" s="27" t="s">
        <v>11122</v>
      </c>
      <c r="H12335" s="27" t="s">
        <v>35</v>
      </c>
      <c r="I12335" s="27" t="s">
        <v>40</v>
      </c>
      <c r="J12335" s="28" t="s">
        <v>1329</v>
      </c>
      <c r="K12335" s="27" t="s">
        <v>64</v>
      </c>
      <c r="L12335" s="27"/>
    </row>
    <row r="12336" customFormat="false" ht="15" hidden="false" customHeight="false" outlineLevel="0" collapsed="false">
      <c r="A12336" s="26" t="s">
        <v>29592</v>
      </c>
      <c r="B12336" s="27" t="s">
        <v>29593</v>
      </c>
      <c r="C12336" s="27" t="s">
        <v>144</v>
      </c>
      <c r="D12336" s="26"/>
      <c r="E12336" s="27"/>
      <c r="F12336" s="27"/>
      <c r="G12336" s="27" t="s">
        <v>11122</v>
      </c>
      <c r="H12336" s="27" t="s">
        <v>35</v>
      </c>
      <c r="I12336" s="27" t="s">
        <v>42</v>
      </c>
      <c r="J12336" s="28" t="s">
        <v>1329</v>
      </c>
      <c r="K12336" s="27" t="s">
        <v>64</v>
      </c>
      <c r="L12336" s="27"/>
    </row>
    <row r="12337" customFormat="false" ht="15" hidden="false" customHeight="false" outlineLevel="0" collapsed="false">
      <c r="A12337" s="26" t="s">
        <v>29594</v>
      </c>
      <c r="B12337" s="27" t="s">
        <v>29595</v>
      </c>
      <c r="C12337" s="27" t="s">
        <v>144</v>
      </c>
      <c r="D12337" s="26"/>
      <c r="E12337" s="27"/>
      <c r="F12337" s="27"/>
      <c r="G12337" s="27" t="s">
        <v>11122</v>
      </c>
      <c r="H12337" s="27" t="s">
        <v>35</v>
      </c>
      <c r="I12337" s="27" t="s">
        <v>42</v>
      </c>
      <c r="J12337" s="28" t="s">
        <v>1329</v>
      </c>
      <c r="K12337" s="27" t="s">
        <v>64</v>
      </c>
      <c r="L12337" s="27"/>
    </row>
    <row r="12338" customFormat="false" ht="15" hidden="false" customHeight="false" outlineLevel="0" collapsed="false">
      <c r="A12338" s="26" t="s">
        <v>29596</v>
      </c>
      <c r="B12338" s="27" t="s">
        <v>29597</v>
      </c>
      <c r="C12338" s="27" t="s">
        <v>144</v>
      </c>
      <c r="D12338" s="26"/>
      <c r="E12338" s="27"/>
      <c r="F12338" s="27"/>
      <c r="G12338" s="27" t="s">
        <v>11122</v>
      </c>
      <c r="H12338" s="27" t="s">
        <v>35</v>
      </c>
      <c r="I12338" s="27" t="s">
        <v>1344</v>
      </c>
      <c r="J12338" s="28" t="s">
        <v>1329</v>
      </c>
      <c r="K12338" s="27" t="s">
        <v>64</v>
      </c>
      <c r="L12338" s="27"/>
    </row>
    <row r="12339" customFormat="false" ht="15" hidden="false" customHeight="false" outlineLevel="0" collapsed="false">
      <c r="A12339" s="26" t="s">
        <v>29598</v>
      </c>
      <c r="B12339" s="27" t="s">
        <v>29599</v>
      </c>
      <c r="C12339" s="27" t="s">
        <v>144</v>
      </c>
      <c r="D12339" s="26"/>
      <c r="E12339" s="27"/>
      <c r="F12339" s="27"/>
      <c r="G12339" s="27" t="s">
        <v>11122</v>
      </c>
      <c r="H12339" s="27" t="s">
        <v>35</v>
      </c>
      <c r="I12339" s="27" t="s">
        <v>1578</v>
      </c>
      <c r="J12339" s="28" t="s">
        <v>1329</v>
      </c>
      <c r="K12339" s="27" t="s">
        <v>64</v>
      </c>
      <c r="L12339" s="27"/>
    </row>
    <row r="12340" customFormat="false" ht="15" hidden="false" customHeight="false" outlineLevel="0" collapsed="false">
      <c r="A12340" s="26" t="s">
        <v>29600</v>
      </c>
      <c r="B12340" s="27" t="s">
        <v>29601</v>
      </c>
      <c r="C12340" s="27" t="s">
        <v>144</v>
      </c>
      <c r="D12340" s="26"/>
      <c r="E12340" s="27"/>
      <c r="F12340" s="27"/>
      <c r="G12340" s="27" t="s">
        <v>11122</v>
      </c>
      <c r="H12340" s="27" t="s">
        <v>35</v>
      </c>
      <c r="I12340" s="27" t="s">
        <v>1067</v>
      </c>
      <c r="J12340" s="28" t="s">
        <v>1329</v>
      </c>
      <c r="K12340" s="27" t="s">
        <v>64</v>
      </c>
      <c r="L12340" s="27"/>
    </row>
    <row r="12341" customFormat="false" ht="15" hidden="false" customHeight="false" outlineLevel="0" collapsed="false">
      <c r="A12341" s="26" t="s">
        <v>29602</v>
      </c>
      <c r="B12341" s="27" t="s">
        <v>29603</v>
      </c>
      <c r="C12341" s="27" t="s">
        <v>144</v>
      </c>
      <c r="D12341" s="26"/>
      <c r="E12341" s="27"/>
      <c r="F12341" s="27"/>
      <c r="G12341" s="27" t="s">
        <v>11122</v>
      </c>
      <c r="H12341" s="27" t="s">
        <v>35</v>
      </c>
      <c r="I12341" s="27" t="s">
        <v>39</v>
      </c>
      <c r="J12341" s="28" t="s">
        <v>1329</v>
      </c>
      <c r="K12341" s="27" t="s">
        <v>64</v>
      </c>
      <c r="L12341" s="27"/>
    </row>
    <row r="12342" customFormat="false" ht="15" hidden="false" customHeight="false" outlineLevel="0" collapsed="false">
      <c r="A12342" s="26" t="s">
        <v>29604</v>
      </c>
      <c r="B12342" s="27" t="s">
        <v>29605</v>
      </c>
      <c r="C12342" s="27" t="s">
        <v>144</v>
      </c>
      <c r="D12342" s="26"/>
      <c r="E12342" s="27"/>
      <c r="F12342" s="27"/>
      <c r="G12342" s="27" t="s">
        <v>11122</v>
      </c>
      <c r="H12342" s="27" t="s">
        <v>35</v>
      </c>
      <c r="I12342" s="28" t="s">
        <v>50</v>
      </c>
      <c r="J12342" s="28" t="s">
        <v>1329</v>
      </c>
      <c r="K12342" s="27" t="s">
        <v>64</v>
      </c>
      <c r="L12342" s="27"/>
    </row>
    <row r="12343" customFormat="false" ht="15" hidden="false" customHeight="false" outlineLevel="0" collapsed="false">
      <c r="A12343" s="26" t="s">
        <v>29606</v>
      </c>
      <c r="B12343" s="27" t="s">
        <v>29607</v>
      </c>
      <c r="C12343" s="27" t="s">
        <v>144</v>
      </c>
      <c r="D12343" s="26"/>
      <c r="E12343" s="27"/>
      <c r="F12343" s="27"/>
      <c r="G12343" s="27" t="s">
        <v>11122</v>
      </c>
      <c r="H12343" s="27" t="s">
        <v>35</v>
      </c>
      <c r="I12343" s="27" t="s">
        <v>42</v>
      </c>
      <c r="J12343" s="28" t="s">
        <v>1329</v>
      </c>
      <c r="K12343" s="27" t="s">
        <v>64</v>
      </c>
      <c r="L12343" s="27"/>
    </row>
    <row r="12344" customFormat="false" ht="15" hidden="false" customHeight="false" outlineLevel="0" collapsed="false">
      <c r="A12344" s="26" t="s">
        <v>29608</v>
      </c>
      <c r="B12344" s="27" t="s">
        <v>29609</v>
      </c>
      <c r="C12344" s="27" t="s">
        <v>144</v>
      </c>
      <c r="D12344" s="26"/>
      <c r="E12344" s="27"/>
      <c r="F12344" s="27"/>
      <c r="G12344" s="27" t="s">
        <v>11122</v>
      </c>
      <c r="H12344" s="27" t="s">
        <v>35</v>
      </c>
      <c r="I12344" s="27" t="s">
        <v>47</v>
      </c>
      <c r="J12344" s="28" t="s">
        <v>1329</v>
      </c>
      <c r="K12344" s="27" t="s">
        <v>64</v>
      </c>
      <c r="L12344" s="27"/>
    </row>
    <row r="12345" customFormat="false" ht="15" hidden="false" customHeight="false" outlineLevel="0" collapsed="false">
      <c r="A12345" s="26" t="s">
        <v>29610</v>
      </c>
      <c r="B12345" s="27" t="s">
        <v>29611</v>
      </c>
      <c r="C12345" s="27" t="s">
        <v>144</v>
      </c>
      <c r="D12345" s="26"/>
      <c r="E12345" s="27"/>
      <c r="F12345" s="27"/>
      <c r="G12345" s="27" t="s">
        <v>11122</v>
      </c>
      <c r="H12345" s="27" t="s">
        <v>35</v>
      </c>
      <c r="I12345" s="27" t="s">
        <v>42</v>
      </c>
      <c r="J12345" s="28" t="s">
        <v>1329</v>
      </c>
      <c r="K12345" s="27" t="s">
        <v>64</v>
      </c>
      <c r="L12345" s="27"/>
    </row>
    <row r="12346" customFormat="false" ht="15" hidden="false" customHeight="false" outlineLevel="0" collapsed="false">
      <c r="A12346" s="26" t="s">
        <v>29612</v>
      </c>
      <c r="B12346" s="27" t="s">
        <v>29613</v>
      </c>
      <c r="C12346" s="27" t="s">
        <v>144</v>
      </c>
      <c r="D12346" s="26"/>
      <c r="E12346" s="27"/>
      <c r="F12346" s="27"/>
      <c r="G12346" s="27" t="s">
        <v>11122</v>
      </c>
      <c r="H12346" s="27" t="s">
        <v>35</v>
      </c>
      <c r="I12346" s="27" t="s">
        <v>1296</v>
      </c>
      <c r="J12346" s="28" t="s">
        <v>1329</v>
      </c>
      <c r="K12346" s="27" t="s">
        <v>64</v>
      </c>
      <c r="L12346" s="27"/>
    </row>
    <row r="12347" customFormat="false" ht="15" hidden="false" customHeight="false" outlineLevel="0" collapsed="false">
      <c r="A12347" s="26" t="s">
        <v>29614</v>
      </c>
      <c r="B12347" s="27" t="s">
        <v>29615</v>
      </c>
      <c r="C12347" s="27" t="s">
        <v>144</v>
      </c>
      <c r="D12347" s="26"/>
      <c r="E12347" s="27"/>
      <c r="F12347" s="27"/>
      <c r="G12347" s="27" t="s">
        <v>11122</v>
      </c>
      <c r="H12347" s="27" t="s">
        <v>35</v>
      </c>
      <c r="I12347" s="27" t="s">
        <v>39</v>
      </c>
      <c r="J12347" s="28" t="s">
        <v>1329</v>
      </c>
      <c r="K12347" s="27" t="s">
        <v>64</v>
      </c>
      <c r="L12347" s="27"/>
    </row>
    <row r="12348" customFormat="false" ht="15" hidden="false" customHeight="false" outlineLevel="0" collapsed="false">
      <c r="A12348" s="26" t="s">
        <v>29616</v>
      </c>
      <c r="B12348" s="27" t="s">
        <v>29617</v>
      </c>
      <c r="C12348" s="27" t="s">
        <v>144</v>
      </c>
      <c r="D12348" s="26"/>
      <c r="E12348" s="27"/>
      <c r="F12348" s="27"/>
      <c r="G12348" s="27" t="s">
        <v>11122</v>
      </c>
      <c r="H12348" s="27" t="s">
        <v>35</v>
      </c>
      <c r="I12348" s="27" t="s">
        <v>42</v>
      </c>
      <c r="J12348" s="28" t="s">
        <v>1329</v>
      </c>
      <c r="K12348" s="27" t="s">
        <v>64</v>
      </c>
      <c r="L12348" s="27"/>
    </row>
    <row r="12349" customFormat="false" ht="15" hidden="false" customHeight="false" outlineLevel="0" collapsed="false">
      <c r="A12349" s="26" t="s">
        <v>29618</v>
      </c>
      <c r="B12349" s="27" t="s">
        <v>29619</v>
      </c>
      <c r="C12349" s="27" t="s">
        <v>144</v>
      </c>
      <c r="D12349" s="26"/>
      <c r="E12349" s="27"/>
      <c r="F12349" s="27"/>
      <c r="G12349" s="27" t="s">
        <v>11122</v>
      </c>
      <c r="H12349" s="27" t="s">
        <v>35</v>
      </c>
      <c r="I12349" s="28" t="s">
        <v>46</v>
      </c>
      <c r="J12349" s="28" t="s">
        <v>1329</v>
      </c>
      <c r="K12349" s="27" t="s">
        <v>64</v>
      </c>
      <c r="L12349" s="27"/>
    </row>
    <row r="12350" customFormat="false" ht="15" hidden="false" customHeight="false" outlineLevel="0" collapsed="false">
      <c r="A12350" s="26" t="s">
        <v>29620</v>
      </c>
      <c r="B12350" s="27" t="s">
        <v>29621</v>
      </c>
      <c r="C12350" s="27" t="s">
        <v>144</v>
      </c>
      <c r="D12350" s="26"/>
      <c r="E12350" s="27"/>
      <c r="F12350" s="27"/>
      <c r="G12350" s="27" t="s">
        <v>11122</v>
      </c>
      <c r="H12350" s="27" t="s">
        <v>35</v>
      </c>
      <c r="I12350" s="27" t="s">
        <v>42</v>
      </c>
      <c r="J12350" s="28" t="s">
        <v>1329</v>
      </c>
      <c r="K12350" s="27" t="s">
        <v>64</v>
      </c>
      <c r="L12350" s="27"/>
    </row>
    <row r="12351" customFormat="false" ht="15" hidden="false" customHeight="false" outlineLevel="0" collapsed="false">
      <c r="A12351" s="26" t="s">
        <v>29622</v>
      </c>
      <c r="B12351" s="27" t="s">
        <v>29623</v>
      </c>
      <c r="C12351" s="27" t="s">
        <v>144</v>
      </c>
      <c r="D12351" s="26"/>
      <c r="E12351" s="27"/>
      <c r="F12351" s="27"/>
      <c r="G12351" s="27" t="s">
        <v>11122</v>
      </c>
      <c r="H12351" s="27" t="s">
        <v>35</v>
      </c>
      <c r="I12351" s="27" t="s">
        <v>42</v>
      </c>
      <c r="J12351" s="28" t="s">
        <v>1329</v>
      </c>
      <c r="K12351" s="27" t="s">
        <v>64</v>
      </c>
      <c r="L12351" s="27"/>
    </row>
    <row r="12352" customFormat="false" ht="15" hidden="false" customHeight="false" outlineLevel="0" collapsed="false">
      <c r="A12352" s="26" t="s">
        <v>29624</v>
      </c>
      <c r="B12352" s="27" t="s">
        <v>29625</v>
      </c>
      <c r="C12352" s="27" t="s">
        <v>1527</v>
      </c>
      <c r="D12352" s="26"/>
      <c r="E12352" s="27"/>
      <c r="F12352" s="27"/>
      <c r="G12352" s="27" t="s">
        <v>11122</v>
      </c>
      <c r="H12352" s="27" t="s">
        <v>35</v>
      </c>
      <c r="I12352" s="27" t="s">
        <v>64</v>
      </c>
      <c r="J12352" s="28" t="s">
        <v>1329</v>
      </c>
      <c r="K12352" s="27" t="s">
        <v>64</v>
      </c>
      <c r="L12352" s="27"/>
    </row>
    <row r="12353" customFormat="false" ht="15" hidden="false" customHeight="false" outlineLevel="0" collapsed="false">
      <c r="A12353" s="26" t="s">
        <v>29626</v>
      </c>
      <c r="B12353" s="27" t="s">
        <v>29627</v>
      </c>
      <c r="C12353" s="27" t="s">
        <v>1527</v>
      </c>
      <c r="D12353" s="26"/>
      <c r="E12353" s="27"/>
      <c r="F12353" s="27"/>
      <c r="G12353" s="27" t="s">
        <v>11122</v>
      </c>
      <c r="H12353" s="27" t="s">
        <v>35</v>
      </c>
      <c r="I12353" s="27" t="s">
        <v>64</v>
      </c>
      <c r="J12353" s="28" t="s">
        <v>1329</v>
      </c>
      <c r="K12353" s="27" t="s">
        <v>64</v>
      </c>
      <c r="L12353" s="27"/>
    </row>
    <row r="12354" customFormat="false" ht="15" hidden="false" customHeight="false" outlineLevel="0" collapsed="false">
      <c r="A12354" s="26" t="s">
        <v>29628</v>
      </c>
      <c r="B12354" s="27" t="s">
        <v>29629</v>
      </c>
      <c r="C12354" s="27" t="s">
        <v>1527</v>
      </c>
      <c r="D12354" s="26"/>
      <c r="E12354" s="27"/>
      <c r="F12354" s="27"/>
      <c r="G12354" s="27" t="s">
        <v>11122</v>
      </c>
      <c r="H12354" s="27" t="s">
        <v>35</v>
      </c>
      <c r="I12354" s="27" t="s">
        <v>39</v>
      </c>
      <c r="J12354" s="28" t="s">
        <v>1329</v>
      </c>
      <c r="K12354" s="27" t="s">
        <v>64</v>
      </c>
      <c r="L12354" s="27"/>
    </row>
    <row r="12355" customFormat="false" ht="15" hidden="false" customHeight="false" outlineLevel="0" collapsed="false">
      <c r="A12355" s="26" t="s">
        <v>29630</v>
      </c>
      <c r="B12355" s="27" t="s">
        <v>29631</v>
      </c>
      <c r="C12355" s="27" t="s">
        <v>1527</v>
      </c>
      <c r="D12355" s="26"/>
      <c r="E12355" s="27"/>
      <c r="F12355" s="27"/>
      <c r="G12355" s="27" t="s">
        <v>11122</v>
      </c>
      <c r="H12355" s="27" t="s">
        <v>35</v>
      </c>
      <c r="I12355" s="27" t="s">
        <v>42</v>
      </c>
      <c r="J12355" s="28" t="s">
        <v>1329</v>
      </c>
      <c r="K12355" s="27" t="s">
        <v>64</v>
      </c>
      <c r="L12355" s="27"/>
    </row>
    <row r="12356" customFormat="false" ht="15" hidden="false" customHeight="false" outlineLevel="0" collapsed="false">
      <c r="A12356" s="26" t="s">
        <v>29632</v>
      </c>
      <c r="B12356" s="27" t="s">
        <v>29633</v>
      </c>
      <c r="C12356" s="27" t="s">
        <v>1527</v>
      </c>
      <c r="D12356" s="26"/>
      <c r="E12356" s="27"/>
      <c r="F12356" s="27"/>
      <c r="G12356" s="27" t="s">
        <v>11122</v>
      </c>
      <c r="H12356" s="27" t="s">
        <v>35</v>
      </c>
      <c r="I12356" s="27" t="s">
        <v>1067</v>
      </c>
      <c r="J12356" s="28" t="s">
        <v>1329</v>
      </c>
      <c r="K12356" s="27" t="s">
        <v>64</v>
      </c>
      <c r="L12356" s="27"/>
    </row>
    <row r="12357" customFormat="false" ht="15" hidden="false" customHeight="false" outlineLevel="0" collapsed="false">
      <c r="A12357" s="26" t="s">
        <v>29634</v>
      </c>
      <c r="B12357" s="27" t="s">
        <v>29635</v>
      </c>
      <c r="C12357" s="27" t="s">
        <v>144</v>
      </c>
      <c r="D12357" s="26"/>
      <c r="E12357" s="27"/>
      <c r="F12357" s="27"/>
      <c r="G12357" s="27" t="s">
        <v>11122</v>
      </c>
      <c r="H12357" s="27" t="s">
        <v>35</v>
      </c>
      <c r="I12357" s="27" t="s">
        <v>42</v>
      </c>
      <c r="J12357" s="28" t="s">
        <v>1329</v>
      </c>
      <c r="K12357" s="27" t="s">
        <v>64</v>
      </c>
      <c r="L12357" s="27"/>
    </row>
    <row r="12358" customFormat="false" ht="15" hidden="false" customHeight="false" outlineLevel="0" collapsed="false">
      <c r="A12358" s="26" t="s">
        <v>29636</v>
      </c>
      <c r="B12358" s="27" t="s">
        <v>29637</v>
      </c>
      <c r="C12358" s="27" t="s">
        <v>144</v>
      </c>
      <c r="D12358" s="26"/>
      <c r="E12358" s="27"/>
      <c r="F12358" s="27"/>
      <c r="G12358" s="27" t="s">
        <v>11122</v>
      </c>
      <c r="H12358" s="27" t="s">
        <v>35</v>
      </c>
      <c r="I12358" s="27" t="s">
        <v>1067</v>
      </c>
      <c r="J12358" s="28" t="s">
        <v>1329</v>
      </c>
      <c r="K12358" s="27" t="s">
        <v>64</v>
      </c>
      <c r="L12358" s="27"/>
    </row>
    <row r="12359" customFormat="false" ht="15" hidden="false" customHeight="false" outlineLevel="0" collapsed="false">
      <c r="A12359" s="26" t="s">
        <v>29638</v>
      </c>
      <c r="B12359" s="27" t="s">
        <v>29639</v>
      </c>
      <c r="C12359" s="27" t="s">
        <v>100</v>
      </c>
      <c r="D12359" s="26"/>
      <c r="E12359" s="27"/>
      <c r="F12359" s="27"/>
      <c r="G12359" s="27" t="s">
        <v>11122</v>
      </c>
      <c r="H12359" s="27" t="s">
        <v>35</v>
      </c>
      <c r="I12359" s="27" t="s">
        <v>27435</v>
      </c>
      <c r="J12359" s="28" t="s">
        <v>1329</v>
      </c>
      <c r="K12359" s="27" t="s">
        <v>64</v>
      </c>
      <c r="L12359" s="27"/>
    </row>
    <row r="12360" customFormat="false" ht="15" hidden="false" customHeight="false" outlineLevel="0" collapsed="false">
      <c r="A12360" s="26" t="s">
        <v>29640</v>
      </c>
      <c r="B12360" s="27" t="s">
        <v>29641</v>
      </c>
      <c r="C12360" s="27" t="s">
        <v>100</v>
      </c>
      <c r="D12360" s="26"/>
      <c r="E12360" s="27"/>
      <c r="F12360" s="27"/>
      <c r="G12360" s="27" t="s">
        <v>11122</v>
      </c>
      <c r="H12360" s="27" t="s">
        <v>35</v>
      </c>
      <c r="I12360" s="27" t="s">
        <v>64</v>
      </c>
      <c r="J12360" s="28" t="s">
        <v>1329</v>
      </c>
      <c r="K12360" s="27" t="s">
        <v>64</v>
      </c>
      <c r="L12360" s="27"/>
    </row>
    <row r="12361" customFormat="false" ht="15" hidden="false" customHeight="false" outlineLevel="0" collapsed="false">
      <c r="A12361" s="26" t="s">
        <v>29642</v>
      </c>
      <c r="B12361" s="27" t="s">
        <v>29643</v>
      </c>
      <c r="C12361" s="27" t="s">
        <v>1493</v>
      </c>
      <c r="D12361" s="26"/>
      <c r="E12361" s="27"/>
      <c r="F12361" s="27"/>
      <c r="G12361" s="27" t="s">
        <v>11122</v>
      </c>
      <c r="H12361" s="27" t="s">
        <v>35</v>
      </c>
      <c r="I12361" s="27" t="s">
        <v>64</v>
      </c>
      <c r="J12361" s="28" t="s">
        <v>1329</v>
      </c>
      <c r="K12361" s="27" t="s">
        <v>64</v>
      </c>
      <c r="L12361" s="27"/>
    </row>
    <row r="12362" customFormat="false" ht="15" hidden="false" customHeight="false" outlineLevel="0" collapsed="false">
      <c r="A12362" s="26" t="s">
        <v>29644</v>
      </c>
      <c r="B12362" s="27" t="s">
        <v>29645</v>
      </c>
      <c r="C12362" s="27" t="s">
        <v>100</v>
      </c>
      <c r="D12362" s="26"/>
      <c r="E12362" s="27"/>
      <c r="F12362" s="27"/>
      <c r="G12362" s="27" t="s">
        <v>11122</v>
      </c>
      <c r="H12362" s="27" t="s">
        <v>35</v>
      </c>
      <c r="I12362" s="27" t="s">
        <v>42</v>
      </c>
      <c r="J12362" s="28" t="s">
        <v>1329</v>
      </c>
      <c r="K12362" s="27" t="s">
        <v>64</v>
      </c>
      <c r="L12362" s="27"/>
    </row>
    <row r="12363" customFormat="false" ht="15" hidden="false" customHeight="false" outlineLevel="0" collapsed="false">
      <c r="A12363" s="26" t="s">
        <v>29646</v>
      </c>
      <c r="B12363" s="27" t="s">
        <v>29647</v>
      </c>
      <c r="C12363" s="27" t="s">
        <v>144</v>
      </c>
      <c r="D12363" s="26"/>
      <c r="E12363" s="27"/>
      <c r="F12363" s="27"/>
      <c r="G12363" s="27" t="s">
        <v>11122</v>
      </c>
      <c r="H12363" s="27" t="s">
        <v>35</v>
      </c>
      <c r="I12363" s="27" t="s">
        <v>64</v>
      </c>
      <c r="J12363" s="28" t="s">
        <v>1329</v>
      </c>
      <c r="K12363" s="27" t="s">
        <v>64</v>
      </c>
      <c r="L12363" s="27"/>
    </row>
    <row r="12364" customFormat="false" ht="15" hidden="false" customHeight="false" outlineLevel="0" collapsed="false">
      <c r="A12364" s="26" t="s">
        <v>29648</v>
      </c>
      <c r="B12364" s="27" t="s">
        <v>29649</v>
      </c>
      <c r="C12364" s="27" t="s">
        <v>144</v>
      </c>
      <c r="D12364" s="26"/>
      <c r="E12364" s="27"/>
      <c r="F12364" s="27"/>
      <c r="G12364" s="27" t="s">
        <v>11122</v>
      </c>
      <c r="H12364" s="27" t="s">
        <v>35</v>
      </c>
      <c r="I12364" s="27" t="s">
        <v>64</v>
      </c>
      <c r="J12364" s="28" t="s">
        <v>1329</v>
      </c>
      <c r="K12364" s="27" t="s">
        <v>64</v>
      </c>
      <c r="L12364" s="27"/>
    </row>
    <row r="12365" customFormat="false" ht="15" hidden="false" customHeight="false" outlineLevel="0" collapsed="false">
      <c r="A12365" s="26" t="s">
        <v>29650</v>
      </c>
      <c r="B12365" s="27" t="s">
        <v>29651</v>
      </c>
      <c r="C12365" s="27" t="s">
        <v>144</v>
      </c>
      <c r="D12365" s="26"/>
      <c r="E12365" s="27"/>
      <c r="F12365" s="27"/>
      <c r="G12365" s="27" t="s">
        <v>11122</v>
      </c>
      <c r="H12365" s="27" t="s">
        <v>35</v>
      </c>
      <c r="I12365" s="27" t="s">
        <v>64</v>
      </c>
      <c r="J12365" s="28" t="s">
        <v>1329</v>
      </c>
      <c r="K12365" s="27" t="s">
        <v>64</v>
      </c>
      <c r="L12365" s="27"/>
    </row>
    <row r="12366" customFormat="false" ht="15" hidden="false" customHeight="false" outlineLevel="0" collapsed="false">
      <c r="A12366" s="26" t="s">
        <v>29652</v>
      </c>
      <c r="B12366" s="27" t="s">
        <v>29653</v>
      </c>
      <c r="C12366" s="27" t="s">
        <v>144</v>
      </c>
      <c r="D12366" s="26"/>
      <c r="E12366" s="27"/>
      <c r="F12366" s="27"/>
      <c r="G12366" s="27" t="s">
        <v>11122</v>
      </c>
      <c r="H12366" s="27" t="s">
        <v>35</v>
      </c>
      <c r="I12366" s="27" t="s">
        <v>64</v>
      </c>
      <c r="J12366" s="28" t="s">
        <v>1329</v>
      </c>
      <c r="K12366" s="27" t="s">
        <v>64</v>
      </c>
      <c r="L12366" s="27"/>
    </row>
    <row r="12367" customFormat="false" ht="15" hidden="false" customHeight="false" outlineLevel="0" collapsed="false">
      <c r="A12367" s="26" t="s">
        <v>29654</v>
      </c>
      <c r="B12367" s="27" t="s">
        <v>29655</v>
      </c>
      <c r="C12367" s="27" t="s">
        <v>144</v>
      </c>
      <c r="D12367" s="26"/>
      <c r="E12367" s="27"/>
      <c r="F12367" s="27"/>
      <c r="G12367" s="27" t="s">
        <v>11122</v>
      </c>
      <c r="H12367" s="27" t="s">
        <v>35</v>
      </c>
      <c r="I12367" s="27" t="s">
        <v>64</v>
      </c>
      <c r="J12367" s="28" t="s">
        <v>1329</v>
      </c>
      <c r="K12367" s="27" t="s">
        <v>64</v>
      </c>
      <c r="L12367" s="27"/>
    </row>
    <row r="12368" customFormat="false" ht="15" hidden="false" customHeight="false" outlineLevel="0" collapsed="false">
      <c r="A12368" s="26" t="s">
        <v>29656</v>
      </c>
      <c r="B12368" s="27" t="s">
        <v>29657</v>
      </c>
      <c r="C12368" s="27" t="s">
        <v>144</v>
      </c>
      <c r="D12368" s="26"/>
      <c r="E12368" s="27"/>
      <c r="F12368" s="27"/>
      <c r="G12368" s="27" t="s">
        <v>11122</v>
      </c>
      <c r="H12368" s="27" t="s">
        <v>35</v>
      </c>
      <c r="I12368" s="27" t="s">
        <v>64</v>
      </c>
      <c r="J12368" s="28" t="s">
        <v>1329</v>
      </c>
      <c r="K12368" s="27" t="s">
        <v>64</v>
      </c>
      <c r="L12368" s="27"/>
    </row>
    <row r="12369" customFormat="false" ht="15" hidden="false" customHeight="false" outlineLevel="0" collapsed="false">
      <c r="A12369" s="26" t="s">
        <v>29658</v>
      </c>
      <c r="B12369" s="27" t="s">
        <v>29659</v>
      </c>
      <c r="C12369" s="27" t="s">
        <v>144</v>
      </c>
      <c r="D12369" s="26"/>
      <c r="E12369" s="27"/>
      <c r="F12369" s="27"/>
      <c r="G12369" s="27" t="s">
        <v>11122</v>
      </c>
      <c r="H12369" s="27" t="s">
        <v>35</v>
      </c>
      <c r="I12369" s="27" t="s">
        <v>42</v>
      </c>
      <c r="J12369" s="28" t="s">
        <v>1329</v>
      </c>
      <c r="K12369" s="27" t="s">
        <v>64</v>
      </c>
      <c r="L12369" s="27"/>
    </row>
    <row r="12370" customFormat="false" ht="15" hidden="false" customHeight="false" outlineLevel="0" collapsed="false">
      <c r="A12370" s="26" t="s">
        <v>29660</v>
      </c>
      <c r="B12370" s="27" t="s">
        <v>29661</v>
      </c>
      <c r="C12370" s="27" t="s">
        <v>100</v>
      </c>
      <c r="D12370" s="26"/>
      <c r="E12370" s="27"/>
      <c r="F12370" s="27"/>
      <c r="G12370" s="27" t="s">
        <v>11122</v>
      </c>
      <c r="H12370" s="27" t="s">
        <v>35</v>
      </c>
      <c r="I12370" s="27" t="s">
        <v>47</v>
      </c>
      <c r="J12370" s="28" t="s">
        <v>1329</v>
      </c>
      <c r="K12370" s="27" t="s">
        <v>64</v>
      </c>
      <c r="L12370" s="27"/>
    </row>
    <row r="12371" customFormat="false" ht="15" hidden="false" customHeight="false" outlineLevel="0" collapsed="false">
      <c r="A12371" s="26" t="s">
        <v>29662</v>
      </c>
      <c r="B12371" s="27" t="s">
        <v>29663</v>
      </c>
      <c r="C12371" s="27" t="s">
        <v>144</v>
      </c>
      <c r="D12371" s="26"/>
      <c r="E12371" s="27"/>
      <c r="F12371" s="27"/>
      <c r="G12371" s="27" t="s">
        <v>11122</v>
      </c>
      <c r="H12371" s="27" t="s">
        <v>35</v>
      </c>
      <c r="I12371" s="27" t="s">
        <v>42</v>
      </c>
      <c r="J12371" s="28" t="s">
        <v>1329</v>
      </c>
      <c r="K12371" s="27" t="s">
        <v>64</v>
      </c>
      <c r="L12371" s="27"/>
    </row>
    <row r="12372" customFormat="false" ht="15" hidden="false" customHeight="false" outlineLevel="0" collapsed="false">
      <c r="A12372" s="26" t="s">
        <v>29664</v>
      </c>
      <c r="B12372" s="27" t="s">
        <v>29665</v>
      </c>
      <c r="C12372" s="27" t="s">
        <v>144</v>
      </c>
      <c r="D12372" s="26"/>
      <c r="E12372" s="27"/>
      <c r="F12372" s="27"/>
      <c r="G12372" s="27" t="s">
        <v>11122</v>
      </c>
      <c r="H12372" s="27" t="s">
        <v>35</v>
      </c>
      <c r="I12372" s="27" t="s">
        <v>64</v>
      </c>
      <c r="J12372" s="28" t="s">
        <v>1329</v>
      </c>
      <c r="K12372" s="27" t="s">
        <v>64</v>
      </c>
      <c r="L12372" s="27"/>
    </row>
    <row r="12373" customFormat="false" ht="15" hidden="false" customHeight="false" outlineLevel="0" collapsed="false">
      <c r="A12373" s="26" t="s">
        <v>29666</v>
      </c>
      <c r="B12373" s="27" t="s">
        <v>29667</v>
      </c>
      <c r="C12373" s="27" t="s">
        <v>144</v>
      </c>
      <c r="D12373" s="26"/>
      <c r="E12373" s="27"/>
      <c r="F12373" s="27"/>
      <c r="G12373" s="27" t="s">
        <v>11122</v>
      </c>
      <c r="H12373" s="27" t="s">
        <v>35</v>
      </c>
      <c r="I12373" s="27" t="s">
        <v>42</v>
      </c>
      <c r="J12373" s="28" t="s">
        <v>1329</v>
      </c>
      <c r="K12373" s="27" t="s">
        <v>64</v>
      </c>
      <c r="L12373" s="27"/>
    </row>
    <row r="12374" customFormat="false" ht="15" hidden="false" customHeight="false" outlineLevel="0" collapsed="false">
      <c r="A12374" s="26" t="s">
        <v>29668</v>
      </c>
      <c r="B12374" s="27" t="s">
        <v>29669</v>
      </c>
      <c r="C12374" s="27" t="s">
        <v>1527</v>
      </c>
      <c r="D12374" s="26"/>
      <c r="E12374" s="27"/>
      <c r="F12374" s="27"/>
      <c r="G12374" s="27" t="s">
        <v>11122</v>
      </c>
      <c r="H12374" s="27" t="s">
        <v>35</v>
      </c>
      <c r="I12374" s="27" t="s">
        <v>42</v>
      </c>
      <c r="J12374" s="28" t="s">
        <v>1329</v>
      </c>
      <c r="K12374" s="27" t="s">
        <v>64</v>
      </c>
      <c r="L12374" s="27"/>
    </row>
    <row r="12375" customFormat="false" ht="15" hidden="false" customHeight="false" outlineLevel="0" collapsed="false">
      <c r="A12375" s="26" t="s">
        <v>29670</v>
      </c>
      <c r="B12375" s="27" t="s">
        <v>29671</v>
      </c>
      <c r="C12375" s="27" t="s">
        <v>144</v>
      </c>
      <c r="D12375" s="26"/>
      <c r="E12375" s="27"/>
      <c r="F12375" s="27"/>
      <c r="G12375" s="27" t="s">
        <v>11122</v>
      </c>
      <c r="H12375" s="27" t="s">
        <v>35</v>
      </c>
      <c r="I12375" s="27" t="s">
        <v>42</v>
      </c>
      <c r="J12375" s="28" t="s">
        <v>1329</v>
      </c>
      <c r="K12375" s="27" t="s">
        <v>64</v>
      </c>
      <c r="L12375" s="27"/>
    </row>
    <row r="12376" customFormat="false" ht="15" hidden="false" customHeight="false" outlineLevel="0" collapsed="false">
      <c r="A12376" s="26" t="s">
        <v>29672</v>
      </c>
      <c r="B12376" s="27" t="s">
        <v>29673</v>
      </c>
      <c r="C12376" s="27" t="s">
        <v>1187</v>
      </c>
      <c r="D12376" s="26"/>
      <c r="E12376" s="27"/>
      <c r="F12376" s="27"/>
      <c r="G12376" s="27" t="s">
        <v>11122</v>
      </c>
      <c r="H12376" s="27" t="s">
        <v>35</v>
      </c>
      <c r="I12376" s="27" t="s">
        <v>42</v>
      </c>
      <c r="J12376" s="28" t="s">
        <v>1329</v>
      </c>
      <c r="K12376" s="27" t="s">
        <v>64</v>
      </c>
      <c r="L12376" s="27"/>
    </row>
    <row r="12377" customFormat="false" ht="15" hidden="false" customHeight="false" outlineLevel="0" collapsed="false">
      <c r="A12377" s="26" t="s">
        <v>29674</v>
      </c>
      <c r="B12377" s="27" t="s">
        <v>29675</v>
      </c>
      <c r="C12377" s="27" t="s">
        <v>144</v>
      </c>
      <c r="D12377" s="26"/>
      <c r="E12377" s="27"/>
      <c r="F12377" s="27"/>
      <c r="G12377" s="27" t="s">
        <v>11122</v>
      </c>
      <c r="H12377" s="27" t="s">
        <v>35</v>
      </c>
      <c r="I12377" s="27" t="s">
        <v>38</v>
      </c>
      <c r="J12377" s="28" t="s">
        <v>1329</v>
      </c>
      <c r="K12377" s="27" t="s">
        <v>64</v>
      </c>
      <c r="L12377" s="27"/>
    </row>
    <row r="12378" customFormat="false" ht="15" hidden="false" customHeight="false" outlineLevel="0" collapsed="false">
      <c r="A12378" s="26" t="s">
        <v>29676</v>
      </c>
      <c r="B12378" s="27" t="s">
        <v>29677</v>
      </c>
      <c r="C12378" s="27" t="s">
        <v>144</v>
      </c>
      <c r="D12378" s="26"/>
      <c r="E12378" s="27"/>
      <c r="F12378" s="27"/>
      <c r="G12378" s="27" t="s">
        <v>11122</v>
      </c>
      <c r="H12378" s="27" t="s">
        <v>35</v>
      </c>
      <c r="I12378" s="27" t="s">
        <v>1344</v>
      </c>
      <c r="J12378" s="28" t="s">
        <v>1329</v>
      </c>
      <c r="K12378" s="27" t="s">
        <v>64</v>
      </c>
      <c r="L12378" s="27"/>
    </row>
    <row r="12379" customFormat="false" ht="15" hidden="false" customHeight="false" outlineLevel="0" collapsed="false">
      <c r="A12379" s="26" t="s">
        <v>29678</v>
      </c>
      <c r="B12379" s="27" t="s">
        <v>29679</v>
      </c>
      <c r="C12379" s="27" t="s">
        <v>144</v>
      </c>
      <c r="D12379" s="26"/>
      <c r="E12379" s="27"/>
      <c r="F12379" s="27"/>
      <c r="G12379" s="27" t="s">
        <v>11122</v>
      </c>
      <c r="H12379" s="27" t="s">
        <v>35</v>
      </c>
      <c r="I12379" s="27" t="s">
        <v>42</v>
      </c>
      <c r="J12379" s="28" t="s">
        <v>1329</v>
      </c>
      <c r="K12379" s="27" t="s">
        <v>64</v>
      </c>
      <c r="L12379" s="27"/>
    </row>
    <row r="12380" customFormat="false" ht="15" hidden="false" customHeight="false" outlineLevel="0" collapsed="false">
      <c r="A12380" s="26" t="s">
        <v>29680</v>
      </c>
      <c r="B12380" s="27" t="s">
        <v>29681</v>
      </c>
      <c r="C12380" s="27" t="s">
        <v>1527</v>
      </c>
      <c r="D12380" s="26"/>
      <c r="E12380" s="27"/>
      <c r="F12380" s="27"/>
      <c r="G12380" s="27" t="s">
        <v>11122</v>
      </c>
      <c r="H12380" s="27" t="s">
        <v>35</v>
      </c>
      <c r="I12380" s="27" t="s">
        <v>42</v>
      </c>
      <c r="J12380" s="28" t="s">
        <v>1329</v>
      </c>
      <c r="K12380" s="27" t="s">
        <v>64</v>
      </c>
      <c r="L12380" s="27"/>
    </row>
    <row r="12381" customFormat="false" ht="15" hidden="false" customHeight="false" outlineLevel="0" collapsed="false">
      <c r="A12381" s="26" t="s">
        <v>29682</v>
      </c>
      <c r="B12381" s="27" t="s">
        <v>29683</v>
      </c>
      <c r="C12381" s="27" t="s">
        <v>144</v>
      </c>
      <c r="D12381" s="26"/>
      <c r="E12381" s="27"/>
      <c r="F12381" s="27"/>
      <c r="G12381" s="27" t="s">
        <v>11122</v>
      </c>
      <c r="H12381" s="27" t="s">
        <v>35</v>
      </c>
      <c r="I12381" s="27" t="s">
        <v>1067</v>
      </c>
      <c r="J12381" s="28" t="s">
        <v>1329</v>
      </c>
      <c r="K12381" s="27" t="s">
        <v>64</v>
      </c>
      <c r="L12381" s="27"/>
    </row>
    <row r="12382" customFormat="false" ht="15" hidden="false" customHeight="false" outlineLevel="0" collapsed="false">
      <c r="A12382" s="26" t="s">
        <v>29684</v>
      </c>
      <c r="B12382" s="27" t="s">
        <v>29685</v>
      </c>
      <c r="C12382" s="27" t="s">
        <v>144</v>
      </c>
      <c r="D12382" s="26"/>
      <c r="E12382" s="27"/>
      <c r="F12382" s="27"/>
      <c r="G12382" s="27" t="s">
        <v>11122</v>
      </c>
      <c r="H12382" s="27" t="s">
        <v>35</v>
      </c>
      <c r="I12382" s="27" t="s">
        <v>64</v>
      </c>
      <c r="J12382" s="28" t="s">
        <v>1329</v>
      </c>
      <c r="K12382" s="27" t="s">
        <v>64</v>
      </c>
      <c r="L12382" s="27"/>
    </row>
    <row r="12383" customFormat="false" ht="15" hidden="false" customHeight="false" outlineLevel="0" collapsed="false">
      <c r="A12383" s="26" t="s">
        <v>29686</v>
      </c>
      <c r="B12383" s="27" t="s">
        <v>29687</v>
      </c>
      <c r="C12383" s="27" t="s">
        <v>144</v>
      </c>
      <c r="D12383" s="26"/>
      <c r="E12383" s="27"/>
      <c r="F12383" s="27"/>
      <c r="G12383" s="27" t="s">
        <v>11122</v>
      </c>
      <c r="H12383" s="27" t="s">
        <v>35</v>
      </c>
      <c r="I12383" s="27" t="s">
        <v>39</v>
      </c>
      <c r="J12383" s="28" t="s">
        <v>1329</v>
      </c>
      <c r="K12383" s="27" t="s">
        <v>64</v>
      </c>
      <c r="L12383" s="27"/>
    </row>
    <row r="12384" customFormat="false" ht="15" hidden="false" customHeight="false" outlineLevel="0" collapsed="false">
      <c r="A12384" s="26" t="s">
        <v>29688</v>
      </c>
      <c r="B12384" s="27" t="s">
        <v>29689</v>
      </c>
      <c r="C12384" s="27" t="s">
        <v>144</v>
      </c>
      <c r="D12384" s="26"/>
      <c r="E12384" s="27"/>
      <c r="F12384" s="27"/>
      <c r="G12384" s="27" t="s">
        <v>11122</v>
      </c>
      <c r="H12384" s="27" t="s">
        <v>35</v>
      </c>
      <c r="I12384" s="27" t="s">
        <v>42</v>
      </c>
      <c r="J12384" s="28" t="s">
        <v>1329</v>
      </c>
      <c r="K12384" s="27" t="s">
        <v>64</v>
      </c>
      <c r="L12384" s="27"/>
    </row>
    <row r="12385" customFormat="false" ht="15" hidden="false" customHeight="false" outlineLevel="0" collapsed="false">
      <c r="A12385" s="26" t="s">
        <v>29690</v>
      </c>
      <c r="B12385" s="27" t="s">
        <v>29691</v>
      </c>
      <c r="C12385" s="27" t="s">
        <v>1990</v>
      </c>
      <c r="D12385" s="26"/>
      <c r="E12385" s="27"/>
      <c r="F12385" s="27"/>
      <c r="G12385" s="27" t="s">
        <v>11122</v>
      </c>
      <c r="H12385" s="27" t="s">
        <v>35</v>
      </c>
      <c r="I12385" s="27" t="s">
        <v>1067</v>
      </c>
      <c r="J12385" s="28" t="s">
        <v>1329</v>
      </c>
      <c r="K12385" s="27" t="s">
        <v>64</v>
      </c>
      <c r="L12385" s="27"/>
    </row>
    <row r="12386" customFormat="false" ht="15" hidden="false" customHeight="false" outlineLevel="0" collapsed="false">
      <c r="A12386" s="26" t="s">
        <v>29692</v>
      </c>
      <c r="B12386" s="27" t="s">
        <v>29693</v>
      </c>
      <c r="C12386" s="27" t="s">
        <v>144</v>
      </c>
      <c r="D12386" s="26"/>
      <c r="E12386" s="27"/>
      <c r="F12386" s="27"/>
      <c r="G12386" s="27" t="s">
        <v>11122</v>
      </c>
      <c r="H12386" s="27" t="s">
        <v>35</v>
      </c>
      <c r="I12386" s="27" t="s">
        <v>42</v>
      </c>
      <c r="J12386" s="28" t="s">
        <v>1329</v>
      </c>
      <c r="K12386" s="27" t="s">
        <v>64</v>
      </c>
      <c r="L12386" s="27"/>
    </row>
    <row r="12387" customFormat="false" ht="15" hidden="false" customHeight="false" outlineLevel="0" collapsed="false">
      <c r="A12387" s="26" t="s">
        <v>29694</v>
      </c>
      <c r="B12387" s="27" t="s">
        <v>29695</v>
      </c>
      <c r="C12387" s="27" t="s">
        <v>144</v>
      </c>
      <c r="D12387" s="26"/>
      <c r="E12387" s="27"/>
      <c r="F12387" s="27"/>
      <c r="G12387" s="27" t="s">
        <v>11122</v>
      </c>
      <c r="H12387" s="27" t="s">
        <v>35</v>
      </c>
      <c r="I12387" s="27" t="s">
        <v>64</v>
      </c>
      <c r="J12387" s="28" t="s">
        <v>1329</v>
      </c>
      <c r="K12387" s="27" t="s">
        <v>64</v>
      </c>
      <c r="L12387" s="27"/>
    </row>
    <row r="12388" customFormat="false" ht="15" hidden="false" customHeight="false" outlineLevel="0" collapsed="false">
      <c r="A12388" s="26" t="s">
        <v>29696</v>
      </c>
      <c r="B12388" s="27" t="s">
        <v>29697</v>
      </c>
      <c r="C12388" s="27" t="s">
        <v>144</v>
      </c>
      <c r="D12388" s="26"/>
      <c r="E12388" s="27"/>
      <c r="F12388" s="27"/>
      <c r="G12388" s="27" t="s">
        <v>11122</v>
      </c>
      <c r="H12388" s="27" t="s">
        <v>35</v>
      </c>
      <c r="I12388" s="27" t="s">
        <v>64</v>
      </c>
      <c r="J12388" s="28" t="s">
        <v>1329</v>
      </c>
      <c r="K12388" s="27" t="s">
        <v>64</v>
      </c>
      <c r="L12388" s="27"/>
    </row>
    <row r="12389" customFormat="false" ht="15" hidden="false" customHeight="false" outlineLevel="0" collapsed="false">
      <c r="A12389" s="26" t="s">
        <v>29698</v>
      </c>
      <c r="B12389" s="27" t="s">
        <v>29699</v>
      </c>
      <c r="C12389" s="27" t="s">
        <v>144</v>
      </c>
      <c r="D12389" s="26"/>
      <c r="E12389" s="27"/>
      <c r="F12389" s="27"/>
      <c r="G12389" s="27" t="s">
        <v>11122</v>
      </c>
      <c r="H12389" s="27" t="s">
        <v>35</v>
      </c>
      <c r="I12389" s="27" t="s">
        <v>64</v>
      </c>
      <c r="J12389" s="28" t="s">
        <v>1329</v>
      </c>
      <c r="K12389" s="27" t="s">
        <v>64</v>
      </c>
      <c r="L12389" s="27"/>
    </row>
    <row r="12390" customFormat="false" ht="15" hidden="false" customHeight="false" outlineLevel="0" collapsed="false">
      <c r="A12390" s="26" t="s">
        <v>29700</v>
      </c>
      <c r="B12390" s="27" t="s">
        <v>29701</v>
      </c>
      <c r="C12390" s="27" t="s">
        <v>144</v>
      </c>
      <c r="D12390" s="26"/>
      <c r="E12390" s="27"/>
      <c r="F12390" s="27"/>
      <c r="G12390" s="27" t="s">
        <v>11122</v>
      </c>
      <c r="H12390" s="27" t="s">
        <v>35</v>
      </c>
      <c r="I12390" s="27" t="s">
        <v>43</v>
      </c>
      <c r="J12390" s="28" t="s">
        <v>1329</v>
      </c>
      <c r="K12390" s="27" t="s">
        <v>64</v>
      </c>
      <c r="L12390" s="27"/>
    </row>
    <row r="12391" customFormat="false" ht="15" hidden="false" customHeight="false" outlineLevel="0" collapsed="false">
      <c r="A12391" s="26" t="s">
        <v>29702</v>
      </c>
      <c r="B12391" s="27" t="s">
        <v>29703</v>
      </c>
      <c r="C12391" s="27" t="s">
        <v>144</v>
      </c>
      <c r="D12391" s="26"/>
      <c r="E12391" s="27"/>
      <c r="F12391" s="27"/>
      <c r="G12391" s="27" t="s">
        <v>11122</v>
      </c>
      <c r="H12391" s="27" t="s">
        <v>35</v>
      </c>
      <c r="I12391" s="27" t="s">
        <v>42</v>
      </c>
      <c r="J12391" s="28" t="s">
        <v>1329</v>
      </c>
      <c r="K12391" s="27" t="s">
        <v>64</v>
      </c>
      <c r="L12391" s="27"/>
    </row>
    <row r="12392" customFormat="false" ht="15" hidden="false" customHeight="false" outlineLevel="0" collapsed="false">
      <c r="A12392" s="26" t="s">
        <v>29704</v>
      </c>
      <c r="B12392" s="27" t="s">
        <v>29705</v>
      </c>
      <c r="C12392" s="27" t="s">
        <v>144</v>
      </c>
      <c r="D12392" s="26"/>
      <c r="E12392" s="27"/>
      <c r="F12392" s="27"/>
      <c r="G12392" s="27" t="s">
        <v>11122</v>
      </c>
      <c r="H12392" s="27" t="s">
        <v>35</v>
      </c>
      <c r="I12392" s="27" t="s">
        <v>42</v>
      </c>
      <c r="J12392" s="28" t="s">
        <v>1329</v>
      </c>
      <c r="K12392" s="27" t="s">
        <v>64</v>
      </c>
      <c r="L12392" s="27"/>
    </row>
    <row r="12393" customFormat="false" ht="15" hidden="false" customHeight="false" outlineLevel="0" collapsed="false">
      <c r="A12393" s="26" t="s">
        <v>29706</v>
      </c>
      <c r="B12393" s="27" t="s">
        <v>29707</v>
      </c>
      <c r="C12393" s="27" t="s">
        <v>144</v>
      </c>
      <c r="D12393" s="26"/>
      <c r="E12393" s="27"/>
      <c r="F12393" s="27"/>
      <c r="G12393" s="27" t="s">
        <v>11122</v>
      </c>
      <c r="H12393" s="27" t="s">
        <v>35</v>
      </c>
      <c r="I12393" s="27" t="s">
        <v>42</v>
      </c>
      <c r="J12393" s="28" t="s">
        <v>1329</v>
      </c>
      <c r="K12393" s="27" t="s">
        <v>64</v>
      </c>
      <c r="L12393" s="27"/>
    </row>
    <row r="12394" customFormat="false" ht="15" hidden="false" customHeight="false" outlineLevel="0" collapsed="false">
      <c r="A12394" s="26" t="s">
        <v>29708</v>
      </c>
      <c r="B12394" s="27" t="s">
        <v>29709</v>
      </c>
      <c r="C12394" s="27" t="s">
        <v>144</v>
      </c>
      <c r="D12394" s="26"/>
      <c r="E12394" s="27"/>
      <c r="F12394" s="27"/>
      <c r="G12394" s="27" t="s">
        <v>11122</v>
      </c>
      <c r="H12394" s="27" t="s">
        <v>35</v>
      </c>
      <c r="I12394" s="27" t="s">
        <v>43</v>
      </c>
      <c r="J12394" s="28" t="s">
        <v>1483</v>
      </c>
      <c r="K12394" s="27" t="s">
        <v>43</v>
      </c>
      <c r="L12394" s="27"/>
    </row>
    <row r="12395" customFormat="false" ht="15" hidden="false" customHeight="false" outlineLevel="0" collapsed="false">
      <c r="A12395" s="26" t="s">
        <v>29710</v>
      </c>
      <c r="B12395" s="27" t="s">
        <v>29711</v>
      </c>
      <c r="C12395" s="27" t="s">
        <v>1527</v>
      </c>
      <c r="D12395" s="26"/>
      <c r="E12395" s="27"/>
      <c r="F12395" s="27"/>
      <c r="G12395" s="27" t="s">
        <v>11122</v>
      </c>
      <c r="H12395" s="27" t="s">
        <v>35</v>
      </c>
      <c r="I12395" s="27" t="s">
        <v>42</v>
      </c>
      <c r="J12395" s="28" t="s">
        <v>1483</v>
      </c>
      <c r="K12395" s="27" t="s">
        <v>43</v>
      </c>
      <c r="L12395" s="27"/>
    </row>
    <row r="12396" customFormat="false" ht="15" hidden="false" customHeight="false" outlineLevel="0" collapsed="false">
      <c r="A12396" s="26" t="s">
        <v>29712</v>
      </c>
      <c r="B12396" s="27" t="s">
        <v>29713</v>
      </c>
      <c r="C12396" s="27" t="s">
        <v>1493</v>
      </c>
      <c r="D12396" s="26"/>
      <c r="E12396" s="27"/>
      <c r="F12396" s="27"/>
      <c r="G12396" s="27" t="s">
        <v>11122</v>
      </c>
      <c r="H12396" s="27" t="s">
        <v>35</v>
      </c>
      <c r="I12396" s="27" t="s">
        <v>43</v>
      </c>
      <c r="J12396" s="28" t="s">
        <v>1483</v>
      </c>
      <c r="K12396" s="27" t="s">
        <v>43</v>
      </c>
      <c r="L12396" s="27"/>
    </row>
    <row r="12397" customFormat="false" ht="15" hidden="false" customHeight="false" outlineLevel="0" collapsed="false">
      <c r="A12397" s="26" t="s">
        <v>29714</v>
      </c>
      <c r="B12397" s="27" t="s">
        <v>29715</v>
      </c>
      <c r="C12397" s="27" t="s">
        <v>1493</v>
      </c>
      <c r="D12397" s="26"/>
      <c r="E12397" s="27"/>
      <c r="F12397" s="27"/>
      <c r="G12397" s="27" t="s">
        <v>11122</v>
      </c>
      <c r="H12397" s="27" t="s">
        <v>35</v>
      </c>
      <c r="I12397" s="27" t="s">
        <v>43</v>
      </c>
      <c r="J12397" s="28" t="s">
        <v>1483</v>
      </c>
      <c r="K12397" s="27" t="s">
        <v>43</v>
      </c>
      <c r="L12397" s="27"/>
    </row>
    <row r="12398" customFormat="false" ht="15" hidden="false" customHeight="false" outlineLevel="0" collapsed="false">
      <c r="A12398" s="26" t="s">
        <v>29716</v>
      </c>
      <c r="B12398" s="27" t="s">
        <v>29717</v>
      </c>
      <c r="C12398" s="27" t="s">
        <v>1493</v>
      </c>
      <c r="D12398" s="26"/>
      <c r="E12398" s="27"/>
      <c r="F12398" s="27"/>
      <c r="G12398" s="27" t="s">
        <v>11122</v>
      </c>
      <c r="H12398" s="27" t="s">
        <v>35</v>
      </c>
      <c r="I12398" s="27" t="s">
        <v>43</v>
      </c>
      <c r="J12398" s="28" t="s">
        <v>1483</v>
      </c>
      <c r="K12398" s="27" t="s">
        <v>43</v>
      </c>
      <c r="L12398" s="27"/>
    </row>
    <row r="12399" customFormat="false" ht="15" hidden="false" customHeight="false" outlineLevel="0" collapsed="false">
      <c r="A12399" s="26" t="s">
        <v>29718</v>
      </c>
      <c r="B12399" s="27" t="s">
        <v>29719</v>
      </c>
      <c r="C12399" s="27" t="s">
        <v>1493</v>
      </c>
      <c r="D12399" s="26"/>
      <c r="E12399" s="27"/>
      <c r="F12399" s="27"/>
      <c r="G12399" s="27" t="s">
        <v>11122</v>
      </c>
      <c r="H12399" s="27" t="s">
        <v>35</v>
      </c>
      <c r="I12399" s="27" t="s">
        <v>43</v>
      </c>
      <c r="J12399" s="28" t="s">
        <v>1483</v>
      </c>
      <c r="K12399" s="27" t="s">
        <v>43</v>
      </c>
      <c r="L12399" s="27"/>
    </row>
    <row r="12400" customFormat="false" ht="15" hidden="false" customHeight="false" outlineLevel="0" collapsed="false">
      <c r="A12400" s="26" t="s">
        <v>29720</v>
      </c>
      <c r="B12400" s="27" t="s">
        <v>29721</v>
      </c>
      <c r="C12400" s="27" t="s">
        <v>144</v>
      </c>
      <c r="D12400" s="26"/>
      <c r="E12400" s="27"/>
      <c r="F12400" s="27"/>
      <c r="G12400" s="27" t="s">
        <v>11122</v>
      </c>
      <c r="H12400" s="27" t="s">
        <v>35</v>
      </c>
      <c r="I12400" s="27" t="s">
        <v>43</v>
      </c>
      <c r="J12400" s="28" t="s">
        <v>1483</v>
      </c>
      <c r="K12400" s="27" t="s">
        <v>43</v>
      </c>
      <c r="L12400" s="27"/>
    </row>
    <row r="12401" customFormat="false" ht="15" hidden="false" customHeight="false" outlineLevel="0" collapsed="false">
      <c r="A12401" s="26" t="s">
        <v>29722</v>
      </c>
      <c r="B12401" s="27" t="s">
        <v>29723</v>
      </c>
      <c r="C12401" s="27" t="s">
        <v>370</v>
      </c>
      <c r="D12401" s="26"/>
      <c r="E12401" s="27"/>
      <c r="F12401" s="27"/>
      <c r="G12401" s="27" t="s">
        <v>11122</v>
      </c>
      <c r="H12401" s="27" t="s">
        <v>35</v>
      </c>
      <c r="I12401" s="27" t="s">
        <v>40</v>
      </c>
      <c r="J12401" s="28" t="s">
        <v>1483</v>
      </c>
      <c r="K12401" s="27" t="s">
        <v>43</v>
      </c>
      <c r="L12401" s="27"/>
    </row>
    <row r="12402" customFormat="false" ht="15" hidden="false" customHeight="false" outlineLevel="0" collapsed="false">
      <c r="A12402" s="26" t="s">
        <v>29724</v>
      </c>
      <c r="B12402" s="27" t="s">
        <v>29725</v>
      </c>
      <c r="C12402" s="27" t="s">
        <v>370</v>
      </c>
      <c r="D12402" s="26"/>
      <c r="E12402" s="27"/>
      <c r="F12402" s="27"/>
      <c r="G12402" s="27" t="s">
        <v>11122</v>
      </c>
      <c r="H12402" s="27" t="s">
        <v>35</v>
      </c>
      <c r="I12402" s="27" t="s">
        <v>43</v>
      </c>
      <c r="J12402" s="28" t="s">
        <v>1483</v>
      </c>
      <c r="K12402" s="27" t="s">
        <v>43</v>
      </c>
      <c r="L12402" s="27"/>
    </row>
    <row r="12403" customFormat="false" ht="15" hidden="false" customHeight="false" outlineLevel="0" collapsed="false">
      <c r="A12403" s="26" t="s">
        <v>29726</v>
      </c>
      <c r="B12403" s="27" t="s">
        <v>29727</v>
      </c>
      <c r="C12403" s="27" t="s">
        <v>100</v>
      </c>
      <c r="D12403" s="26"/>
      <c r="E12403" s="27"/>
      <c r="F12403" s="27"/>
      <c r="G12403" s="27" t="s">
        <v>11122</v>
      </c>
      <c r="H12403" s="27" t="s">
        <v>35</v>
      </c>
      <c r="I12403" s="27" t="s">
        <v>43</v>
      </c>
      <c r="J12403" s="28" t="s">
        <v>1483</v>
      </c>
      <c r="K12403" s="27" t="s">
        <v>43</v>
      </c>
      <c r="L12403" s="27"/>
    </row>
    <row r="12404" customFormat="false" ht="15" hidden="false" customHeight="false" outlineLevel="0" collapsed="false">
      <c r="A12404" s="26" t="s">
        <v>29728</v>
      </c>
      <c r="B12404" s="27" t="s">
        <v>29729</v>
      </c>
      <c r="C12404" s="27" t="s">
        <v>100</v>
      </c>
      <c r="D12404" s="26"/>
      <c r="E12404" s="27"/>
      <c r="F12404" s="27"/>
      <c r="G12404" s="27" t="s">
        <v>11122</v>
      </c>
      <c r="H12404" s="27" t="s">
        <v>35</v>
      </c>
      <c r="I12404" s="27" t="s">
        <v>43</v>
      </c>
      <c r="J12404" s="28" t="s">
        <v>1483</v>
      </c>
      <c r="K12404" s="27" t="s">
        <v>43</v>
      </c>
      <c r="L12404" s="27"/>
    </row>
    <row r="12405" customFormat="false" ht="15" hidden="false" customHeight="false" outlineLevel="0" collapsed="false">
      <c r="A12405" s="26" t="s">
        <v>29730</v>
      </c>
      <c r="B12405" s="27" t="s">
        <v>29731</v>
      </c>
      <c r="C12405" s="27" t="s">
        <v>144</v>
      </c>
      <c r="D12405" s="26"/>
      <c r="E12405" s="27"/>
      <c r="F12405" s="27"/>
      <c r="G12405" s="27" t="s">
        <v>11122</v>
      </c>
      <c r="H12405" s="27" t="s">
        <v>35</v>
      </c>
      <c r="I12405" s="27" t="s">
        <v>43</v>
      </c>
      <c r="J12405" s="28" t="s">
        <v>1483</v>
      </c>
      <c r="K12405" s="27" t="s">
        <v>43</v>
      </c>
      <c r="L12405" s="27"/>
    </row>
    <row r="12406" customFormat="false" ht="15" hidden="false" customHeight="false" outlineLevel="0" collapsed="false">
      <c r="A12406" s="26" t="s">
        <v>29732</v>
      </c>
      <c r="B12406" s="27" t="s">
        <v>29733</v>
      </c>
      <c r="C12406" s="27" t="s">
        <v>144</v>
      </c>
      <c r="D12406" s="26"/>
      <c r="E12406" s="27"/>
      <c r="F12406" s="27"/>
      <c r="G12406" s="27" t="s">
        <v>11122</v>
      </c>
      <c r="H12406" s="27" t="s">
        <v>35</v>
      </c>
      <c r="I12406" s="27" t="s">
        <v>43</v>
      </c>
      <c r="J12406" s="28" t="s">
        <v>1483</v>
      </c>
      <c r="K12406" s="27" t="s">
        <v>43</v>
      </c>
      <c r="L12406" s="27"/>
    </row>
    <row r="12407" customFormat="false" ht="15" hidden="false" customHeight="false" outlineLevel="0" collapsed="false">
      <c r="A12407" s="26" t="s">
        <v>29734</v>
      </c>
      <c r="B12407" s="27" t="s">
        <v>29735</v>
      </c>
      <c r="C12407" s="27" t="s">
        <v>144</v>
      </c>
      <c r="D12407" s="26"/>
      <c r="E12407" s="27"/>
      <c r="F12407" s="27"/>
      <c r="G12407" s="27" t="s">
        <v>11122</v>
      </c>
      <c r="H12407" s="27" t="s">
        <v>35</v>
      </c>
      <c r="I12407" s="27" t="s">
        <v>41</v>
      </c>
      <c r="J12407" s="28" t="s">
        <v>1483</v>
      </c>
      <c r="K12407" s="27" t="s">
        <v>43</v>
      </c>
      <c r="L12407" s="27"/>
    </row>
    <row r="12408" customFormat="false" ht="15" hidden="false" customHeight="false" outlineLevel="0" collapsed="false">
      <c r="A12408" s="26" t="s">
        <v>29736</v>
      </c>
      <c r="B12408" s="27" t="s">
        <v>29737</v>
      </c>
      <c r="C12408" s="27" t="s">
        <v>3373</v>
      </c>
      <c r="D12408" s="26"/>
      <c r="E12408" s="27"/>
      <c r="F12408" s="27"/>
      <c r="G12408" s="27" t="s">
        <v>11122</v>
      </c>
      <c r="H12408" s="27" t="s">
        <v>35</v>
      </c>
      <c r="I12408" s="27" t="s">
        <v>43</v>
      </c>
      <c r="J12408" s="28" t="s">
        <v>1483</v>
      </c>
      <c r="K12408" s="27" t="s">
        <v>43</v>
      </c>
      <c r="L12408" s="27"/>
    </row>
    <row r="12409" customFormat="false" ht="15" hidden="false" customHeight="false" outlineLevel="0" collapsed="false">
      <c r="A12409" s="26" t="s">
        <v>29738</v>
      </c>
      <c r="B12409" s="27" t="s">
        <v>29739</v>
      </c>
      <c r="C12409" s="27" t="s">
        <v>144</v>
      </c>
      <c r="D12409" s="26"/>
      <c r="E12409" s="27"/>
      <c r="F12409" s="27"/>
      <c r="G12409" s="27" t="s">
        <v>11122</v>
      </c>
      <c r="H12409" s="27" t="s">
        <v>35</v>
      </c>
      <c r="I12409" s="27" t="s">
        <v>43</v>
      </c>
      <c r="J12409" s="28" t="s">
        <v>1483</v>
      </c>
      <c r="K12409" s="27" t="s">
        <v>43</v>
      </c>
      <c r="L12409" s="27"/>
    </row>
    <row r="12410" customFormat="false" ht="15" hidden="false" customHeight="false" outlineLevel="0" collapsed="false">
      <c r="A12410" s="26" t="s">
        <v>29740</v>
      </c>
      <c r="B12410" s="27" t="s">
        <v>29741</v>
      </c>
      <c r="C12410" s="27" t="s">
        <v>144</v>
      </c>
      <c r="D12410" s="26"/>
      <c r="E12410" s="27"/>
      <c r="F12410" s="27"/>
      <c r="G12410" s="27" t="s">
        <v>11122</v>
      </c>
      <c r="H12410" s="27" t="s">
        <v>35</v>
      </c>
      <c r="I12410" s="27" t="s">
        <v>43</v>
      </c>
      <c r="J12410" s="28" t="s">
        <v>1483</v>
      </c>
      <c r="K12410" s="27" t="s">
        <v>43</v>
      </c>
      <c r="L12410" s="27"/>
    </row>
    <row r="12411" customFormat="false" ht="15" hidden="false" customHeight="false" outlineLevel="0" collapsed="false">
      <c r="A12411" s="26" t="s">
        <v>29742</v>
      </c>
      <c r="B12411" s="27" t="s">
        <v>29743</v>
      </c>
      <c r="C12411" s="27" t="s">
        <v>144</v>
      </c>
      <c r="D12411" s="26"/>
      <c r="E12411" s="27"/>
      <c r="F12411" s="27"/>
      <c r="G12411" s="27" t="s">
        <v>11122</v>
      </c>
      <c r="H12411" s="27" t="s">
        <v>35</v>
      </c>
      <c r="I12411" s="27" t="s">
        <v>43</v>
      </c>
      <c r="J12411" s="28" t="s">
        <v>1483</v>
      </c>
      <c r="K12411" s="27" t="s">
        <v>43</v>
      </c>
      <c r="L12411" s="27"/>
    </row>
    <row r="12412" customFormat="false" ht="15" hidden="false" customHeight="false" outlineLevel="0" collapsed="false">
      <c r="A12412" s="26" t="s">
        <v>29744</v>
      </c>
      <c r="B12412" s="27" t="s">
        <v>29745</v>
      </c>
      <c r="C12412" s="27" t="s">
        <v>144</v>
      </c>
      <c r="D12412" s="26"/>
      <c r="E12412" s="27"/>
      <c r="F12412" s="27"/>
      <c r="G12412" s="27" t="s">
        <v>11122</v>
      </c>
      <c r="H12412" s="27" t="s">
        <v>35</v>
      </c>
      <c r="I12412" s="27" t="s">
        <v>43</v>
      </c>
      <c r="J12412" s="28" t="s">
        <v>1483</v>
      </c>
      <c r="K12412" s="27" t="s">
        <v>43</v>
      </c>
      <c r="L12412" s="27"/>
    </row>
    <row r="12413" customFormat="false" ht="15" hidden="false" customHeight="false" outlineLevel="0" collapsed="false">
      <c r="A12413" s="26" t="s">
        <v>29746</v>
      </c>
      <c r="B12413" s="27" t="s">
        <v>29747</v>
      </c>
      <c r="C12413" s="27" t="s">
        <v>144</v>
      </c>
      <c r="D12413" s="26"/>
      <c r="E12413" s="27"/>
      <c r="F12413" s="27"/>
      <c r="G12413" s="27" t="s">
        <v>11122</v>
      </c>
      <c r="H12413" s="27" t="s">
        <v>35</v>
      </c>
      <c r="I12413" s="27" t="s">
        <v>43</v>
      </c>
      <c r="J12413" s="28" t="s">
        <v>1483</v>
      </c>
      <c r="K12413" s="27" t="s">
        <v>43</v>
      </c>
      <c r="L12413" s="27"/>
    </row>
    <row r="12414" customFormat="false" ht="15" hidden="false" customHeight="false" outlineLevel="0" collapsed="false">
      <c r="A12414" s="26" t="s">
        <v>29748</v>
      </c>
      <c r="B12414" s="27" t="s">
        <v>29749</v>
      </c>
      <c r="C12414" s="27" t="s">
        <v>144</v>
      </c>
      <c r="D12414" s="26"/>
      <c r="E12414" s="27"/>
      <c r="F12414" s="27"/>
      <c r="G12414" s="27" t="s">
        <v>11122</v>
      </c>
      <c r="H12414" s="27" t="s">
        <v>35</v>
      </c>
      <c r="I12414" s="27" t="s">
        <v>43</v>
      </c>
      <c r="J12414" s="28" t="s">
        <v>1483</v>
      </c>
      <c r="K12414" s="27" t="s">
        <v>43</v>
      </c>
      <c r="L12414" s="27"/>
    </row>
    <row r="12415" customFormat="false" ht="15" hidden="false" customHeight="false" outlineLevel="0" collapsed="false">
      <c r="A12415" s="26" t="s">
        <v>29750</v>
      </c>
      <c r="B12415" s="27" t="s">
        <v>29751</v>
      </c>
      <c r="C12415" s="27" t="s">
        <v>144</v>
      </c>
      <c r="D12415" s="26"/>
      <c r="E12415" s="27"/>
      <c r="F12415" s="27"/>
      <c r="G12415" s="27" t="s">
        <v>11122</v>
      </c>
      <c r="H12415" s="27" t="s">
        <v>35</v>
      </c>
      <c r="I12415" s="27" t="s">
        <v>43</v>
      </c>
      <c r="J12415" s="28" t="s">
        <v>1483</v>
      </c>
      <c r="K12415" s="27" t="s">
        <v>43</v>
      </c>
      <c r="L12415" s="27"/>
    </row>
    <row r="12416" customFormat="false" ht="15" hidden="false" customHeight="false" outlineLevel="0" collapsed="false">
      <c r="A12416" s="26" t="s">
        <v>29752</v>
      </c>
      <c r="B12416" s="27" t="s">
        <v>29753</v>
      </c>
      <c r="C12416" s="27" t="s">
        <v>144</v>
      </c>
      <c r="D12416" s="26"/>
      <c r="E12416" s="27"/>
      <c r="F12416" s="27"/>
      <c r="G12416" s="27" t="s">
        <v>11122</v>
      </c>
      <c r="H12416" s="27" t="s">
        <v>35</v>
      </c>
      <c r="I12416" s="27" t="s">
        <v>43</v>
      </c>
      <c r="J12416" s="28" t="s">
        <v>1483</v>
      </c>
      <c r="K12416" s="27" t="s">
        <v>43</v>
      </c>
      <c r="L12416" s="27"/>
    </row>
    <row r="12417" customFormat="false" ht="15" hidden="false" customHeight="false" outlineLevel="0" collapsed="false">
      <c r="A12417" s="26" t="s">
        <v>29754</v>
      </c>
      <c r="B12417" s="27" t="s">
        <v>29755</v>
      </c>
      <c r="C12417" s="27" t="s">
        <v>144</v>
      </c>
      <c r="D12417" s="26"/>
      <c r="E12417" s="27"/>
      <c r="F12417" s="27"/>
      <c r="G12417" s="27" t="s">
        <v>11122</v>
      </c>
      <c r="H12417" s="27" t="s">
        <v>35</v>
      </c>
      <c r="I12417" s="27" t="s">
        <v>43</v>
      </c>
      <c r="J12417" s="28" t="s">
        <v>1483</v>
      </c>
      <c r="K12417" s="27" t="s">
        <v>43</v>
      </c>
      <c r="L12417" s="27"/>
    </row>
    <row r="12418" customFormat="false" ht="15" hidden="false" customHeight="false" outlineLevel="0" collapsed="false">
      <c r="A12418" s="26" t="s">
        <v>29756</v>
      </c>
      <c r="B12418" s="27" t="s">
        <v>29757</v>
      </c>
      <c r="C12418" s="27" t="s">
        <v>144</v>
      </c>
      <c r="D12418" s="26"/>
      <c r="E12418" s="27"/>
      <c r="F12418" s="27"/>
      <c r="G12418" s="27" t="s">
        <v>11122</v>
      </c>
      <c r="H12418" s="27" t="s">
        <v>35</v>
      </c>
      <c r="I12418" s="27" t="s">
        <v>43</v>
      </c>
      <c r="J12418" s="28" t="s">
        <v>1483</v>
      </c>
      <c r="K12418" s="27" t="s">
        <v>43</v>
      </c>
      <c r="L12418" s="27"/>
    </row>
    <row r="12419" customFormat="false" ht="15" hidden="false" customHeight="false" outlineLevel="0" collapsed="false">
      <c r="A12419" s="26" t="s">
        <v>29758</v>
      </c>
      <c r="B12419" s="27" t="s">
        <v>29759</v>
      </c>
      <c r="C12419" s="27" t="s">
        <v>144</v>
      </c>
      <c r="D12419" s="26"/>
      <c r="E12419" s="27"/>
      <c r="F12419" s="27"/>
      <c r="G12419" s="27" t="s">
        <v>11122</v>
      </c>
      <c r="H12419" s="27" t="s">
        <v>35</v>
      </c>
      <c r="I12419" s="27" t="s">
        <v>43</v>
      </c>
      <c r="J12419" s="28" t="s">
        <v>1483</v>
      </c>
      <c r="K12419" s="27" t="s">
        <v>43</v>
      </c>
      <c r="L12419" s="27"/>
    </row>
    <row r="12420" customFormat="false" ht="15" hidden="false" customHeight="false" outlineLevel="0" collapsed="false">
      <c r="A12420" s="26" t="s">
        <v>29760</v>
      </c>
      <c r="B12420" s="27" t="s">
        <v>29761</v>
      </c>
      <c r="C12420" s="27" t="s">
        <v>144</v>
      </c>
      <c r="D12420" s="26"/>
      <c r="E12420" s="27"/>
      <c r="F12420" s="27"/>
      <c r="G12420" s="27" t="s">
        <v>11122</v>
      </c>
      <c r="H12420" s="27" t="s">
        <v>35</v>
      </c>
      <c r="I12420" s="27" t="s">
        <v>43</v>
      </c>
      <c r="J12420" s="28" t="s">
        <v>1483</v>
      </c>
      <c r="K12420" s="27" t="s">
        <v>43</v>
      </c>
      <c r="L12420" s="27"/>
    </row>
    <row r="12421" customFormat="false" ht="15" hidden="false" customHeight="false" outlineLevel="0" collapsed="false">
      <c r="A12421" s="26" t="s">
        <v>29762</v>
      </c>
      <c r="B12421" s="27" t="s">
        <v>29763</v>
      </c>
      <c r="C12421" s="27" t="s">
        <v>144</v>
      </c>
      <c r="D12421" s="26"/>
      <c r="E12421" s="27"/>
      <c r="F12421" s="27"/>
      <c r="G12421" s="27" t="s">
        <v>11122</v>
      </c>
      <c r="H12421" s="27" t="s">
        <v>35</v>
      </c>
      <c r="I12421" s="27" t="s">
        <v>43</v>
      </c>
      <c r="J12421" s="28" t="s">
        <v>1483</v>
      </c>
      <c r="K12421" s="27" t="s">
        <v>43</v>
      </c>
      <c r="L12421" s="27"/>
    </row>
    <row r="12422" customFormat="false" ht="15" hidden="false" customHeight="false" outlineLevel="0" collapsed="false">
      <c r="A12422" s="26" t="s">
        <v>29764</v>
      </c>
      <c r="B12422" s="28" t="s">
        <v>29765</v>
      </c>
      <c r="C12422" s="27" t="s">
        <v>3373</v>
      </c>
      <c r="D12422" s="26"/>
      <c r="E12422" s="27"/>
      <c r="F12422" s="27"/>
      <c r="G12422" s="27" t="s">
        <v>11122</v>
      </c>
      <c r="H12422" s="27" t="s">
        <v>35</v>
      </c>
      <c r="I12422" s="27" t="s">
        <v>37</v>
      </c>
      <c r="J12422" s="28" t="s">
        <v>1483</v>
      </c>
      <c r="K12422" s="27" t="s">
        <v>43</v>
      </c>
      <c r="L12422" s="27"/>
    </row>
    <row r="12423" customFormat="false" ht="15" hidden="false" customHeight="false" outlineLevel="0" collapsed="false">
      <c r="A12423" s="26" t="s">
        <v>29766</v>
      </c>
      <c r="B12423" s="27" t="s">
        <v>29767</v>
      </c>
      <c r="C12423" s="27" t="s">
        <v>1527</v>
      </c>
      <c r="D12423" s="26"/>
      <c r="E12423" s="27"/>
      <c r="F12423" s="27"/>
      <c r="G12423" s="27" t="s">
        <v>11122</v>
      </c>
      <c r="H12423" s="27" t="s">
        <v>35</v>
      </c>
      <c r="I12423" s="27" t="s">
        <v>43</v>
      </c>
      <c r="J12423" s="28" t="s">
        <v>1483</v>
      </c>
      <c r="K12423" s="27" t="s">
        <v>43</v>
      </c>
      <c r="L12423" s="27"/>
    </row>
    <row r="12424" customFormat="false" ht="15" hidden="false" customHeight="false" outlineLevel="0" collapsed="false">
      <c r="A12424" s="26" t="s">
        <v>29768</v>
      </c>
      <c r="B12424" s="28" t="s">
        <v>29769</v>
      </c>
      <c r="C12424" s="27" t="s">
        <v>3373</v>
      </c>
      <c r="D12424" s="26"/>
      <c r="E12424" s="27"/>
      <c r="F12424" s="27"/>
      <c r="G12424" s="27" t="s">
        <v>11122</v>
      </c>
      <c r="H12424" s="27" t="s">
        <v>35</v>
      </c>
      <c r="I12424" s="27" t="s">
        <v>43</v>
      </c>
      <c r="J12424" s="28" t="s">
        <v>1483</v>
      </c>
      <c r="K12424" s="27" t="s">
        <v>43</v>
      </c>
      <c r="L12424" s="27"/>
    </row>
    <row r="12425" customFormat="false" ht="15" hidden="false" customHeight="false" outlineLevel="0" collapsed="false">
      <c r="A12425" s="26" t="s">
        <v>29770</v>
      </c>
      <c r="B12425" s="27" t="s">
        <v>29771</v>
      </c>
      <c r="C12425" s="27" t="s">
        <v>3373</v>
      </c>
      <c r="D12425" s="26"/>
      <c r="E12425" s="27"/>
      <c r="F12425" s="27"/>
      <c r="G12425" s="27" t="s">
        <v>11122</v>
      </c>
      <c r="H12425" s="27" t="s">
        <v>35</v>
      </c>
      <c r="I12425" s="27" t="s">
        <v>39</v>
      </c>
      <c r="J12425" s="28" t="s">
        <v>1483</v>
      </c>
      <c r="K12425" s="27" t="s">
        <v>43</v>
      </c>
      <c r="L12425" s="27"/>
    </row>
    <row r="12426" customFormat="false" ht="15" hidden="false" customHeight="false" outlineLevel="0" collapsed="false">
      <c r="A12426" s="26" t="s">
        <v>29772</v>
      </c>
      <c r="B12426" s="28" t="s">
        <v>29773</v>
      </c>
      <c r="C12426" s="27" t="s">
        <v>3373</v>
      </c>
      <c r="D12426" s="26"/>
      <c r="E12426" s="27"/>
      <c r="F12426" s="27"/>
      <c r="G12426" s="27" t="s">
        <v>11122</v>
      </c>
      <c r="H12426" s="27" t="s">
        <v>35</v>
      </c>
      <c r="I12426" s="27" t="s">
        <v>37</v>
      </c>
      <c r="J12426" s="28" t="s">
        <v>1483</v>
      </c>
      <c r="K12426" s="27" t="s">
        <v>43</v>
      </c>
      <c r="L12426" s="27"/>
    </row>
    <row r="12427" customFormat="false" ht="15" hidden="false" customHeight="false" outlineLevel="0" collapsed="false">
      <c r="A12427" s="26" t="s">
        <v>29774</v>
      </c>
      <c r="B12427" s="28" t="s">
        <v>29775</v>
      </c>
      <c r="C12427" s="27" t="s">
        <v>3373</v>
      </c>
      <c r="D12427" s="26"/>
      <c r="E12427" s="27"/>
      <c r="F12427" s="27"/>
      <c r="G12427" s="27" t="s">
        <v>11122</v>
      </c>
      <c r="H12427" s="27" t="s">
        <v>35</v>
      </c>
      <c r="I12427" s="27" t="s">
        <v>47</v>
      </c>
      <c r="J12427" s="28" t="s">
        <v>1483</v>
      </c>
      <c r="K12427" s="27" t="s">
        <v>43</v>
      </c>
      <c r="L12427" s="27"/>
    </row>
    <row r="12428" customFormat="false" ht="15" hidden="false" customHeight="false" outlineLevel="0" collapsed="false">
      <c r="A12428" s="26" t="s">
        <v>29776</v>
      </c>
      <c r="B12428" s="27" t="s">
        <v>29777</v>
      </c>
      <c r="C12428" s="27" t="s">
        <v>144</v>
      </c>
      <c r="D12428" s="26"/>
      <c r="E12428" s="27"/>
      <c r="F12428" s="27"/>
      <c r="G12428" s="27" t="s">
        <v>11122</v>
      </c>
      <c r="H12428" s="27" t="s">
        <v>35</v>
      </c>
      <c r="I12428" s="27" t="s">
        <v>41</v>
      </c>
      <c r="J12428" s="28" t="s">
        <v>1483</v>
      </c>
      <c r="K12428" s="27" t="s">
        <v>43</v>
      </c>
      <c r="L12428" s="27"/>
    </row>
    <row r="12429" customFormat="false" ht="15" hidden="false" customHeight="false" outlineLevel="0" collapsed="false">
      <c r="A12429" s="26" t="s">
        <v>29778</v>
      </c>
      <c r="B12429" s="27" t="s">
        <v>29779</v>
      </c>
      <c r="C12429" s="27" t="s">
        <v>144</v>
      </c>
      <c r="D12429" s="26"/>
      <c r="E12429" s="27"/>
      <c r="F12429" s="27"/>
      <c r="G12429" s="27" t="s">
        <v>11122</v>
      </c>
      <c r="H12429" s="27" t="s">
        <v>35</v>
      </c>
      <c r="I12429" s="27" t="s">
        <v>43</v>
      </c>
      <c r="J12429" s="28" t="s">
        <v>1483</v>
      </c>
      <c r="K12429" s="27" t="s">
        <v>43</v>
      </c>
      <c r="L12429" s="27"/>
    </row>
    <row r="12430" customFormat="false" ht="15" hidden="false" customHeight="false" outlineLevel="0" collapsed="false">
      <c r="A12430" s="26" t="s">
        <v>29780</v>
      </c>
      <c r="B12430" s="27" t="s">
        <v>29781</v>
      </c>
      <c r="C12430" s="27" t="s">
        <v>144</v>
      </c>
      <c r="D12430" s="26"/>
      <c r="E12430" s="27"/>
      <c r="F12430" s="27"/>
      <c r="G12430" s="27" t="s">
        <v>11122</v>
      </c>
      <c r="H12430" s="27" t="s">
        <v>35</v>
      </c>
      <c r="I12430" s="27" t="s">
        <v>43</v>
      </c>
      <c r="J12430" s="28" t="s">
        <v>1483</v>
      </c>
      <c r="K12430" s="27" t="s">
        <v>43</v>
      </c>
      <c r="L12430" s="27"/>
    </row>
    <row r="12431" customFormat="false" ht="15" hidden="false" customHeight="false" outlineLevel="0" collapsed="false">
      <c r="A12431" s="26" t="s">
        <v>29782</v>
      </c>
      <c r="B12431" s="27" t="s">
        <v>29783</v>
      </c>
      <c r="C12431" s="27" t="s">
        <v>144</v>
      </c>
      <c r="D12431" s="26"/>
      <c r="E12431" s="27"/>
      <c r="F12431" s="27"/>
      <c r="G12431" s="27" t="s">
        <v>11122</v>
      </c>
      <c r="H12431" s="27" t="s">
        <v>35</v>
      </c>
      <c r="I12431" s="27" t="s">
        <v>43</v>
      </c>
      <c r="J12431" s="28" t="s">
        <v>1483</v>
      </c>
      <c r="K12431" s="27" t="s">
        <v>43</v>
      </c>
      <c r="L12431" s="27"/>
    </row>
    <row r="12432" customFormat="false" ht="15" hidden="false" customHeight="false" outlineLevel="0" collapsed="false">
      <c r="A12432" s="26" t="s">
        <v>29784</v>
      </c>
      <c r="B12432" s="27" t="s">
        <v>29785</v>
      </c>
      <c r="C12432" s="27" t="s">
        <v>380</v>
      </c>
      <c r="D12432" s="26"/>
      <c r="E12432" s="27"/>
      <c r="F12432" s="27"/>
      <c r="G12432" s="27" t="s">
        <v>11122</v>
      </c>
      <c r="H12432" s="27" t="s">
        <v>35</v>
      </c>
      <c r="I12432" s="27" t="s">
        <v>43</v>
      </c>
      <c r="J12432" s="28" t="s">
        <v>1483</v>
      </c>
      <c r="K12432" s="27" t="s">
        <v>43</v>
      </c>
      <c r="L12432" s="27"/>
    </row>
    <row r="12433" customFormat="false" ht="15" hidden="false" customHeight="false" outlineLevel="0" collapsed="false">
      <c r="A12433" s="26" t="s">
        <v>29786</v>
      </c>
      <c r="B12433" s="27" t="s">
        <v>29787</v>
      </c>
      <c r="C12433" s="27" t="s">
        <v>144</v>
      </c>
      <c r="D12433" s="26"/>
      <c r="E12433" s="27"/>
      <c r="F12433" s="27"/>
      <c r="G12433" s="27" t="s">
        <v>11122</v>
      </c>
      <c r="H12433" s="27" t="s">
        <v>35</v>
      </c>
      <c r="I12433" s="27" t="s">
        <v>41</v>
      </c>
      <c r="J12433" s="28" t="s">
        <v>1483</v>
      </c>
      <c r="K12433" s="27" t="s">
        <v>43</v>
      </c>
      <c r="L12433" s="27"/>
    </row>
    <row r="12434" customFormat="false" ht="15" hidden="false" customHeight="false" outlineLevel="0" collapsed="false">
      <c r="A12434" s="26" t="s">
        <v>29788</v>
      </c>
      <c r="B12434" s="27" t="s">
        <v>29789</v>
      </c>
      <c r="C12434" s="27" t="s">
        <v>144</v>
      </c>
      <c r="D12434" s="26"/>
      <c r="E12434" s="27"/>
      <c r="F12434" s="27"/>
      <c r="G12434" s="27" t="s">
        <v>11122</v>
      </c>
      <c r="H12434" s="27" t="s">
        <v>35</v>
      </c>
      <c r="I12434" s="27" t="s">
        <v>43</v>
      </c>
      <c r="J12434" s="28" t="s">
        <v>1483</v>
      </c>
      <c r="K12434" s="27" t="s">
        <v>43</v>
      </c>
      <c r="L12434" s="27"/>
    </row>
    <row r="12435" customFormat="false" ht="15" hidden="false" customHeight="false" outlineLevel="0" collapsed="false">
      <c r="A12435" s="26" t="s">
        <v>29790</v>
      </c>
      <c r="B12435" s="27" t="s">
        <v>29791</v>
      </c>
      <c r="C12435" s="27" t="s">
        <v>144</v>
      </c>
      <c r="D12435" s="26"/>
      <c r="E12435" s="27"/>
      <c r="F12435" s="27"/>
      <c r="G12435" s="27" t="s">
        <v>11122</v>
      </c>
      <c r="H12435" s="27" t="s">
        <v>35</v>
      </c>
      <c r="I12435" s="27" t="s">
        <v>43</v>
      </c>
      <c r="J12435" s="28" t="s">
        <v>1483</v>
      </c>
      <c r="K12435" s="27" t="s">
        <v>43</v>
      </c>
      <c r="L12435" s="27"/>
    </row>
    <row r="12436" customFormat="false" ht="15" hidden="false" customHeight="false" outlineLevel="0" collapsed="false">
      <c r="A12436" s="26" t="s">
        <v>29792</v>
      </c>
      <c r="B12436" s="27" t="s">
        <v>29793</v>
      </c>
      <c r="C12436" s="27" t="s">
        <v>144</v>
      </c>
      <c r="D12436" s="26"/>
      <c r="E12436" s="27"/>
      <c r="F12436" s="27"/>
      <c r="G12436" s="27" t="s">
        <v>11122</v>
      </c>
      <c r="H12436" s="27" t="s">
        <v>35</v>
      </c>
      <c r="I12436" s="27" t="s">
        <v>43</v>
      </c>
      <c r="J12436" s="28" t="s">
        <v>1483</v>
      </c>
      <c r="K12436" s="27" t="s">
        <v>43</v>
      </c>
      <c r="L12436" s="27"/>
    </row>
    <row r="12437" customFormat="false" ht="15" hidden="false" customHeight="false" outlineLevel="0" collapsed="false">
      <c r="A12437" s="26" t="s">
        <v>29794</v>
      </c>
      <c r="B12437" s="27" t="s">
        <v>29795</v>
      </c>
      <c r="C12437" s="27" t="s">
        <v>144</v>
      </c>
      <c r="D12437" s="26"/>
      <c r="E12437" s="27"/>
      <c r="F12437" s="27"/>
      <c r="G12437" s="27" t="s">
        <v>11122</v>
      </c>
      <c r="H12437" s="27" t="s">
        <v>35</v>
      </c>
      <c r="I12437" s="27" t="s">
        <v>43</v>
      </c>
      <c r="J12437" s="28" t="s">
        <v>1483</v>
      </c>
      <c r="K12437" s="27" t="s">
        <v>43</v>
      </c>
      <c r="L12437" s="27"/>
    </row>
    <row r="12438" customFormat="false" ht="15" hidden="false" customHeight="false" outlineLevel="0" collapsed="false">
      <c r="A12438" s="26" t="s">
        <v>29796</v>
      </c>
      <c r="B12438" s="27" t="s">
        <v>29797</v>
      </c>
      <c r="C12438" s="27" t="s">
        <v>144</v>
      </c>
      <c r="D12438" s="26"/>
      <c r="E12438" s="27"/>
      <c r="F12438" s="27"/>
      <c r="G12438" s="27" t="s">
        <v>11122</v>
      </c>
      <c r="H12438" s="27" t="s">
        <v>35</v>
      </c>
      <c r="I12438" s="27" t="s">
        <v>43</v>
      </c>
      <c r="J12438" s="28" t="s">
        <v>1483</v>
      </c>
      <c r="K12438" s="27" t="s">
        <v>43</v>
      </c>
      <c r="L12438" s="27"/>
    </row>
    <row r="12439" customFormat="false" ht="15" hidden="false" customHeight="false" outlineLevel="0" collapsed="false">
      <c r="A12439" s="26" t="s">
        <v>29798</v>
      </c>
      <c r="B12439" s="27" t="s">
        <v>29799</v>
      </c>
      <c r="C12439" s="27" t="s">
        <v>1527</v>
      </c>
      <c r="D12439" s="26"/>
      <c r="E12439" s="27"/>
      <c r="F12439" s="27"/>
      <c r="G12439" s="27" t="s">
        <v>11122</v>
      </c>
      <c r="H12439" s="27" t="s">
        <v>35</v>
      </c>
      <c r="I12439" s="27" t="s">
        <v>43</v>
      </c>
      <c r="J12439" s="28" t="s">
        <v>1483</v>
      </c>
      <c r="K12439" s="27" t="s">
        <v>43</v>
      </c>
      <c r="L12439" s="27"/>
    </row>
    <row r="12440" customFormat="false" ht="15" hidden="false" customHeight="false" outlineLevel="0" collapsed="false">
      <c r="A12440" s="26" t="s">
        <v>29800</v>
      </c>
      <c r="B12440" s="27" t="s">
        <v>29801</v>
      </c>
      <c r="C12440" s="27" t="s">
        <v>144</v>
      </c>
      <c r="D12440" s="26"/>
      <c r="E12440" s="27"/>
      <c r="F12440" s="27"/>
      <c r="G12440" s="27" t="s">
        <v>11122</v>
      </c>
      <c r="H12440" s="27" t="s">
        <v>35</v>
      </c>
      <c r="I12440" s="27" t="s">
        <v>42</v>
      </c>
      <c r="J12440" s="28" t="s">
        <v>1483</v>
      </c>
      <c r="K12440" s="27" t="s">
        <v>43</v>
      </c>
      <c r="L12440" s="27"/>
    </row>
    <row r="12441" customFormat="false" ht="15" hidden="false" customHeight="false" outlineLevel="0" collapsed="false">
      <c r="A12441" s="26" t="s">
        <v>29802</v>
      </c>
      <c r="B12441" s="27" t="s">
        <v>29803</v>
      </c>
      <c r="C12441" s="27" t="s">
        <v>144</v>
      </c>
      <c r="D12441" s="26"/>
      <c r="E12441" s="27"/>
      <c r="F12441" s="27"/>
      <c r="G12441" s="27" t="s">
        <v>11122</v>
      </c>
      <c r="H12441" s="27" t="s">
        <v>35</v>
      </c>
      <c r="I12441" s="27" t="s">
        <v>42</v>
      </c>
      <c r="J12441" s="28" t="s">
        <v>1483</v>
      </c>
      <c r="K12441" s="27" t="s">
        <v>43</v>
      </c>
      <c r="L12441" s="27"/>
    </row>
    <row r="12442" customFormat="false" ht="15" hidden="false" customHeight="false" outlineLevel="0" collapsed="false">
      <c r="A12442" s="26" t="s">
        <v>29804</v>
      </c>
      <c r="B12442" s="27" t="s">
        <v>29805</v>
      </c>
      <c r="C12442" s="27" t="s">
        <v>144</v>
      </c>
      <c r="D12442" s="26"/>
      <c r="E12442" s="27"/>
      <c r="F12442" s="27"/>
      <c r="G12442" s="27" t="s">
        <v>11122</v>
      </c>
      <c r="H12442" s="27" t="s">
        <v>35</v>
      </c>
      <c r="I12442" s="27" t="s">
        <v>152</v>
      </c>
      <c r="J12442" s="28" t="s">
        <v>1483</v>
      </c>
      <c r="K12442" s="27" t="s">
        <v>43</v>
      </c>
      <c r="L12442" s="27"/>
    </row>
    <row r="12443" customFormat="false" ht="15" hidden="false" customHeight="false" outlineLevel="0" collapsed="false">
      <c r="A12443" s="26" t="s">
        <v>29806</v>
      </c>
      <c r="B12443" s="27" t="s">
        <v>29807</v>
      </c>
      <c r="C12443" s="27" t="s">
        <v>144</v>
      </c>
      <c r="D12443" s="26"/>
      <c r="E12443" s="27"/>
      <c r="F12443" s="27"/>
      <c r="G12443" s="27" t="s">
        <v>11122</v>
      </c>
      <c r="H12443" s="27" t="s">
        <v>35</v>
      </c>
      <c r="I12443" s="27" t="s">
        <v>152</v>
      </c>
      <c r="J12443" s="28" t="s">
        <v>1483</v>
      </c>
      <c r="K12443" s="27" t="s">
        <v>43</v>
      </c>
      <c r="L12443" s="27"/>
    </row>
    <row r="12444" customFormat="false" ht="15" hidden="false" customHeight="false" outlineLevel="0" collapsed="false">
      <c r="A12444" s="26" t="s">
        <v>29808</v>
      </c>
      <c r="B12444" s="27" t="s">
        <v>29809</v>
      </c>
      <c r="C12444" s="27" t="s">
        <v>144</v>
      </c>
      <c r="D12444" s="26"/>
      <c r="E12444" s="27"/>
      <c r="F12444" s="27"/>
      <c r="G12444" s="27" t="s">
        <v>11122</v>
      </c>
      <c r="H12444" s="27" t="s">
        <v>35</v>
      </c>
      <c r="I12444" s="27" t="s">
        <v>42</v>
      </c>
      <c r="J12444" s="28" t="s">
        <v>1483</v>
      </c>
      <c r="K12444" s="27" t="s">
        <v>43</v>
      </c>
      <c r="L12444" s="27"/>
    </row>
    <row r="12445" customFormat="false" ht="15" hidden="false" customHeight="false" outlineLevel="0" collapsed="false">
      <c r="A12445" s="26" t="s">
        <v>29810</v>
      </c>
      <c r="B12445" s="27" t="s">
        <v>29811</v>
      </c>
      <c r="C12445" s="27" t="s">
        <v>144</v>
      </c>
      <c r="D12445" s="26"/>
      <c r="E12445" s="27"/>
      <c r="F12445" s="27"/>
      <c r="G12445" s="27" t="s">
        <v>11122</v>
      </c>
      <c r="H12445" s="27" t="s">
        <v>35</v>
      </c>
      <c r="I12445" s="27" t="s">
        <v>43</v>
      </c>
      <c r="J12445" s="28" t="s">
        <v>1483</v>
      </c>
      <c r="K12445" s="27" t="s">
        <v>43</v>
      </c>
      <c r="L12445" s="27"/>
    </row>
    <row r="12446" customFormat="false" ht="15" hidden="false" customHeight="false" outlineLevel="0" collapsed="false">
      <c r="A12446" s="26" t="s">
        <v>29812</v>
      </c>
      <c r="B12446" s="27" t="s">
        <v>29813</v>
      </c>
      <c r="C12446" s="27" t="s">
        <v>144</v>
      </c>
      <c r="D12446" s="26"/>
      <c r="E12446" s="27"/>
      <c r="F12446" s="27"/>
      <c r="G12446" s="27" t="s">
        <v>11122</v>
      </c>
      <c r="H12446" s="27" t="s">
        <v>35</v>
      </c>
      <c r="I12446" s="27" t="s">
        <v>43</v>
      </c>
      <c r="J12446" s="28" t="s">
        <v>1483</v>
      </c>
      <c r="K12446" s="27" t="s">
        <v>43</v>
      </c>
      <c r="L12446" s="27"/>
    </row>
    <row r="12447" customFormat="false" ht="15" hidden="false" customHeight="false" outlineLevel="0" collapsed="false">
      <c r="A12447" s="26" t="s">
        <v>29814</v>
      </c>
      <c r="B12447" s="27" t="s">
        <v>29815</v>
      </c>
      <c r="C12447" s="27" t="s">
        <v>144</v>
      </c>
      <c r="D12447" s="26"/>
      <c r="E12447" s="27"/>
      <c r="F12447" s="27"/>
      <c r="G12447" s="27" t="s">
        <v>11122</v>
      </c>
      <c r="H12447" s="27" t="s">
        <v>35</v>
      </c>
      <c r="I12447" s="27" t="s">
        <v>37</v>
      </c>
      <c r="J12447" s="28" t="s">
        <v>1483</v>
      </c>
      <c r="K12447" s="27" t="s">
        <v>43</v>
      </c>
      <c r="L12447" s="27"/>
    </row>
    <row r="12448" customFormat="false" ht="15" hidden="false" customHeight="false" outlineLevel="0" collapsed="false">
      <c r="A12448" s="26" t="s">
        <v>29816</v>
      </c>
      <c r="B12448" s="27" t="s">
        <v>29817</v>
      </c>
      <c r="C12448" s="27" t="s">
        <v>144</v>
      </c>
      <c r="D12448" s="26"/>
      <c r="E12448" s="27"/>
      <c r="F12448" s="27"/>
      <c r="G12448" s="27" t="s">
        <v>11122</v>
      </c>
      <c r="H12448" s="27" t="s">
        <v>35</v>
      </c>
      <c r="I12448" s="27" t="s">
        <v>43</v>
      </c>
      <c r="J12448" s="28" t="s">
        <v>1483</v>
      </c>
      <c r="K12448" s="27" t="s">
        <v>43</v>
      </c>
      <c r="L12448" s="27"/>
    </row>
    <row r="12449" customFormat="false" ht="15" hidden="false" customHeight="false" outlineLevel="0" collapsed="false">
      <c r="A12449" s="26" t="s">
        <v>29818</v>
      </c>
      <c r="B12449" s="27" t="s">
        <v>29819</v>
      </c>
      <c r="C12449" s="27" t="s">
        <v>144</v>
      </c>
      <c r="D12449" s="26"/>
      <c r="E12449" s="27"/>
      <c r="F12449" s="27"/>
      <c r="G12449" s="27" t="s">
        <v>11122</v>
      </c>
      <c r="H12449" s="27" t="s">
        <v>35</v>
      </c>
      <c r="I12449" s="27" t="s">
        <v>43</v>
      </c>
      <c r="J12449" s="28" t="s">
        <v>1483</v>
      </c>
      <c r="K12449" s="27" t="s">
        <v>43</v>
      </c>
      <c r="L12449" s="27"/>
    </row>
    <row r="12450" customFormat="false" ht="15" hidden="false" customHeight="false" outlineLevel="0" collapsed="false">
      <c r="A12450" s="26" t="s">
        <v>29820</v>
      </c>
      <c r="B12450" s="27" t="s">
        <v>29821</v>
      </c>
      <c r="C12450" s="27" t="s">
        <v>144</v>
      </c>
      <c r="D12450" s="26"/>
      <c r="E12450" s="27"/>
      <c r="F12450" s="27"/>
      <c r="G12450" s="27" t="s">
        <v>11122</v>
      </c>
      <c r="H12450" s="27" t="s">
        <v>35</v>
      </c>
      <c r="I12450" s="27" t="s">
        <v>42</v>
      </c>
      <c r="J12450" s="28" t="s">
        <v>1483</v>
      </c>
      <c r="K12450" s="27" t="s">
        <v>43</v>
      </c>
      <c r="L12450" s="27"/>
    </row>
    <row r="12451" customFormat="false" ht="15" hidden="false" customHeight="false" outlineLevel="0" collapsed="false">
      <c r="A12451" s="26" t="s">
        <v>29822</v>
      </c>
      <c r="B12451" s="28" t="s">
        <v>29823</v>
      </c>
      <c r="C12451" s="27" t="s">
        <v>144</v>
      </c>
      <c r="D12451" s="26"/>
      <c r="E12451" s="27"/>
      <c r="F12451" s="27"/>
      <c r="G12451" s="27" t="s">
        <v>11122</v>
      </c>
      <c r="H12451" s="27" t="s">
        <v>35</v>
      </c>
      <c r="I12451" s="27" t="s">
        <v>44</v>
      </c>
      <c r="J12451" s="28" t="s">
        <v>1483</v>
      </c>
      <c r="K12451" s="27" t="s">
        <v>43</v>
      </c>
      <c r="L12451" s="27"/>
    </row>
    <row r="12452" customFormat="false" ht="15" hidden="false" customHeight="false" outlineLevel="0" collapsed="false">
      <c r="A12452" s="26" t="s">
        <v>29824</v>
      </c>
      <c r="B12452" s="27" t="s">
        <v>29825</v>
      </c>
      <c r="C12452" s="27" t="s">
        <v>144</v>
      </c>
      <c r="D12452" s="26"/>
      <c r="E12452" s="27"/>
      <c r="F12452" s="27"/>
      <c r="G12452" s="27" t="s">
        <v>11122</v>
      </c>
      <c r="H12452" s="27" t="s">
        <v>35</v>
      </c>
      <c r="I12452" s="27" t="s">
        <v>41</v>
      </c>
      <c r="J12452" s="28" t="s">
        <v>1483</v>
      </c>
      <c r="K12452" s="27" t="s">
        <v>43</v>
      </c>
      <c r="L12452" s="27"/>
    </row>
    <row r="12453" customFormat="false" ht="15" hidden="false" customHeight="false" outlineLevel="0" collapsed="false">
      <c r="A12453" s="26" t="s">
        <v>29826</v>
      </c>
      <c r="B12453" s="27" t="s">
        <v>29827</v>
      </c>
      <c r="C12453" s="27" t="s">
        <v>144</v>
      </c>
      <c r="D12453" s="26"/>
      <c r="E12453" s="27"/>
      <c r="F12453" s="27"/>
      <c r="G12453" s="27" t="s">
        <v>11122</v>
      </c>
      <c r="H12453" s="27" t="s">
        <v>35</v>
      </c>
      <c r="I12453" s="27" t="s">
        <v>37</v>
      </c>
      <c r="J12453" s="28" t="s">
        <v>1483</v>
      </c>
      <c r="K12453" s="27" t="s">
        <v>43</v>
      </c>
      <c r="L12453" s="27"/>
    </row>
    <row r="12454" customFormat="false" ht="15" hidden="false" customHeight="false" outlineLevel="0" collapsed="false">
      <c r="A12454" s="26" t="s">
        <v>29828</v>
      </c>
      <c r="B12454" s="27" t="s">
        <v>29829</v>
      </c>
      <c r="C12454" s="27" t="s">
        <v>144</v>
      </c>
      <c r="D12454" s="26"/>
      <c r="E12454" s="27"/>
      <c r="F12454" s="27"/>
      <c r="G12454" s="27" t="s">
        <v>11122</v>
      </c>
      <c r="H12454" s="27" t="s">
        <v>35</v>
      </c>
      <c r="I12454" s="27" t="s">
        <v>887</v>
      </c>
      <c r="J12454" s="28" t="s">
        <v>1483</v>
      </c>
      <c r="K12454" s="27" t="s">
        <v>43</v>
      </c>
      <c r="L12454" s="27"/>
    </row>
    <row r="12455" customFormat="false" ht="15" hidden="false" customHeight="false" outlineLevel="0" collapsed="false">
      <c r="A12455" s="26" t="s">
        <v>29830</v>
      </c>
      <c r="B12455" s="27" t="s">
        <v>29831</v>
      </c>
      <c r="C12455" s="27" t="s">
        <v>144</v>
      </c>
      <c r="D12455" s="26"/>
      <c r="E12455" s="27"/>
      <c r="F12455" s="27"/>
      <c r="G12455" s="27" t="s">
        <v>11122</v>
      </c>
      <c r="H12455" s="27" t="s">
        <v>35</v>
      </c>
      <c r="I12455" s="27" t="s">
        <v>43</v>
      </c>
      <c r="J12455" s="28" t="s">
        <v>1483</v>
      </c>
      <c r="K12455" s="27" t="s">
        <v>43</v>
      </c>
      <c r="L12455" s="27"/>
    </row>
    <row r="12456" customFormat="false" ht="15" hidden="false" customHeight="false" outlineLevel="0" collapsed="false">
      <c r="A12456" s="26" t="s">
        <v>29832</v>
      </c>
      <c r="B12456" s="27" t="s">
        <v>29833</v>
      </c>
      <c r="C12456" s="27" t="s">
        <v>144</v>
      </c>
      <c r="D12456" s="26"/>
      <c r="E12456" s="27"/>
      <c r="F12456" s="27"/>
      <c r="G12456" s="27" t="s">
        <v>11122</v>
      </c>
      <c r="H12456" s="27" t="s">
        <v>35</v>
      </c>
      <c r="I12456" s="27" t="s">
        <v>42</v>
      </c>
      <c r="J12456" s="28" t="s">
        <v>1483</v>
      </c>
      <c r="K12456" s="27" t="s">
        <v>43</v>
      </c>
      <c r="L12456" s="27"/>
    </row>
    <row r="12457" customFormat="false" ht="15" hidden="false" customHeight="false" outlineLevel="0" collapsed="false">
      <c r="A12457" s="26" t="s">
        <v>29834</v>
      </c>
      <c r="B12457" s="27" t="s">
        <v>29835</v>
      </c>
      <c r="C12457" s="27" t="s">
        <v>144</v>
      </c>
      <c r="D12457" s="26"/>
      <c r="E12457" s="27"/>
      <c r="F12457" s="27"/>
      <c r="G12457" s="27" t="s">
        <v>11122</v>
      </c>
      <c r="H12457" s="27" t="s">
        <v>35</v>
      </c>
      <c r="I12457" s="28" t="s">
        <v>46</v>
      </c>
      <c r="J12457" s="28" t="s">
        <v>1483</v>
      </c>
      <c r="K12457" s="27" t="s">
        <v>43</v>
      </c>
      <c r="L12457" s="27"/>
    </row>
    <row r="12458" customFormat="false" ht="15" hidden="false" customHeight="false" outlineLevel="0" collapsed="false">
      <c r="A12458" s="26" t="s">
        <v>29836</v>
      </c>
      <c r="B12458" s="27" t="s">
        <v>29837</v>
      </c>
      <c r="C12458" s="27" t="s">
        <v>144</v>
      </c>
      <c r="D12458" s="26"/>
      <c r="E12458" s="27"/>
      <c r="F12458" s="27"/>
      <c r="G12458" s="27" t="s">
        <v>11122</v>
      </c>
      <c r="H12458" s="27" t="s">
        <v>35</v>
      </c>
      <c r="I12458" s="27" t="s">
        <v>43</v>
      </c>
      <c r="J12458" s="28" t="s">
        <v>1483</v>
      </c>
      <c r="K12458" s="27" t="s">
        <v>43</v>
      </c>
      <c r="L12458" s="27"/>
    </row>
    <row r="12459" customFormat="false" ht="15" hidden="false" customHeight="false" outlineLevel="0" collapsed="false">
      <c r="A12459" s="26" t="s">
        <v>29838</v>
      </c>
      <c r="B12459" s="27" t="s">
        <v>29839</v>
      </c>
      <c r="C12459" s="27" t="s">
        <v>144</v>
      </c>
      <c r="D12459" s="26"/>
      <c r="E12459" s="27"/>
      <c r="F12459" s="27"/>
      <c r="G12459" s="27" t="s">
        <v>11122</v>
      </c>
      <c r="H12459" s="27" t="s">
        <v>35</v>
      </c>
      <c r="I12459" s="27" t="s">
        <v>43</v>
      </c>
      <c r="J12459" s="28" t="s">
        <v>1483</v>
      </c>
      <c r="K12459" s="27" t="s">
        <v>43</v>
      </c>
      <c r="L12459" s="27"/>
    </row>
    <row r="12460" customFormat="false" ht="15" hidden="false" customHeight="false" outlineLevel="0" collapsed="false">
      <c r="A12460" s="26" t="s">
        <v>29840</v>
      </c>
      <c r="B12460" s="27" t="s">
        <v>29841</v>
      </c>
      <c r="C12460" s="27" t="s">
        <v>144</v>
      </c>
      <c r="D12460" s="26"/>
      <c r="E12460" s="27"/>
      <c r="F12460" s="27"/>
      <c r="G12460" s="27" t="s">
        <v>11122</v>
      </c>
      <c r="H12460" s="27" t="s">
        <v>35</v>
      </c>
      <c r="I12460" s="27" t="s">
        <v>43</v>
      </c>
      <c r="J12460" s="28" t="s">
        <v>1483</v>
      </c>
      <c r="K12460" s="27" t="s">
        <v>43</v>
      </c>
      <c r="L12460" s="27"/>
    </row>
    <row r="12461" customFormat="false" ht="15" hidden="false" customHeight="false" outlineLevel="0" collapsed="false">
      <c r="A12461" s="26" t="s">
        <v>29842</v>
      </c>
      <c r="B12461" s="27" t="s">
        <v>29843</v>
      </c>
      <c r="C12461" s="27" t="s">
        <v>144</v>
      </c>
      <c r="D12461" s="26"/>
      <c r="E12461" s="27"/>
      <c r="F12461" s="27"/>
      <c r="G12461" s="27" t="s">
        <v>11122</v>
      </c>
      <c r="H12461" s="27" t="s">
        <v>35</v>
      </c>
      <c r="I12461" s="27" t="s">
        <v>37</v>
      </c>
      <c r="J12461" s="28" t="s">
        <v>1483</v>
      </c>
      <c r="K12461" s="27" t="s">
        <v>43</v>
      </c>
      <c r="L12461" s="27"/>
    </row>
    <row r="12462" customFormat="false" ht="15" hidden="false" customHeight="false" outlineLevel="0" collapsed="false">
      <c r="A12462" s="26" t="s">
        <v>29844</v>
      </c>
      <c r="B12462" s="27" t="s">
        <v>29845</v>
      </c>
      <c r="C12462" s="27" t="s">
        <v>1493</v>
      </c>
      <c r="D12462" s="26"/>
      <c r="E12462" s="27"/>
      <c r="F12462" s="27"/>
      <c r="G12462" s="27" t="s">
        <v>11122</v>
      </c>
      <c r="H12462" s="27" t="s">
        <v>35</v>
      </c>
      <c r="I12462" s="27" t="s">
        <v>47</v>
      </c>
      <c r="J12462" s="28" t="s">
        <v>1483</v>
      </c>
      <c r="K12462" s="27" t="s">
        <v>43</v>
      </c>
      <c r="L12462" s="27"/>
    </row>
    <row r="12463" customFormat="false" ht="15" hidden="false" customHeight="false" outlineLevel="0" collapsed="false">
      <c r="A12463" s="26" t="s">
        <v>29846</v>
      </c>
      <c r="B12463" s="27" t="s">
        <v>29847</v>
      </c>
      <c r="C12463" s="27" t="s">
        <v>144</v>
      </c>
      <c r="D12463" s="26"/>
      <c r="E12463" s="27"/>
      <c r="F12463" s="27"/>
      <c r="G12463" s="27" t="s">
        <v>11122</v>
      </c>
      <c r="H12463" s="27" t="s">
        <v>35</v>
      </c>
      <c r="I12463" s="28" t="s">
        <v>50</v>
      </c>
      <c r="J12463" s="28" t="s">
        <v>1483</v>
      </c>
      <c r="K12463" s="27" t="s">
        <v>43</v>
      </c>
      <c r="L12463" s="27"/>
    </row>
    <row r="12464" customFormat="false" ht="15" hidden="false" customHeight="false" outlineLevel="0" collapsed="false">
      <c r="A12464" s="26" t="s">
        <v>29848</v>
      </c>
      <c r="B12464" s="27" t="s">
        <v>29849</v>
      </c>
      <c r="C12464" s="27" t="s">
        <v>100</v>
      </c>
      <c r="D12464" s="26"/>
      <c r="E12464" s="27"/>
      <c r="F12464" s="27"/>
      <c r="G12464" s="27" t="s">
        <v>11122</v>
      </c>
      <c r="H12464" s="27" t="s">
        <v>35</v>
      </c>
      <c r="I12464" s="27" t="s">
        <v>27435</v>
      </c>
      <c r="J12464" s="28" t="s">
        <v>1483</v>
      </c>
      <c r="K12464" s="27" t="s">
        <v>43</v>
      </c>
      <c r="L12464" s="27"/>
    </row>
    <row r="12465" customFormat="false" ht="15" hidden="false" customHeight="false" outlineLevel="0" collapsed="false">
      <c r="A12465" s="26" t="s">
        <v>29850</v>
      </c>
      <c r="B12465" s="27" t="s">
        <v>29851</v>
      </c>
      <c r="C12465" s="27" t="s">
        <v>1493</v>
      </c>
      <c r="D12465" s="26"/>
      <c r="E12465" s="27"/>
      <c r="F12465" s="27"/>
      <c r="G12465" s="27" t="s">
        <v>11122</v>
      </c>
      <c r="H12465" s="27" t="s">
        <v>35</v>
      </c>
      <c r="I12465" s="27" t="s">
        <v>43</v>
      </c>
      <c r="J12465" s="28" t="s">
        <v>1483</v>
      </c>
      <c r="K12465" s="27" t="s">
        <v>43</v>
      </c>
      <c r="L12465" s="27"/>
    </row>
    <row r="12466" customFormat="false" ht="15" hidden="false" customHeight="false" outlineLevel="0" collapsed="false">
      <c r="A12466" s="26" t="s">
        <v>29852</v>
      </c>
      <c r="B12466" s="27" t="s">
        <v>29853</v>
      </c>
      <c r="C12466" s="27" t="s">
        <v>100</v>
      </c>
      <c r="D12466" s="26"/>
      <c r="E12466" s="27"/>
      <c r="F12466" s="27"/>
      <c r="G12466" s="27" t="s">
        <v>11122</v>
      </c>
      <c r="H12466" s="27" t="s">
        <v>35</v>
      </c>
      <c r="I12466" s="27" t="s">
        <v>43</v>
      </c>
      <c r="J12466" s="28" t="s">
        <v>1483</v>
      </c>
      <c r="K12466" s="27" t="s">
        <v>43</v>
      </c>
      <c r="L12466" s="27"/>
    </row>
    <row r="12467" customFormat="false" ht="15" hidden="false" customHeight="false" outlineLevel="0" collapsed="false">
      <c r="A12467" s="26" t="s">
        <v>29854</v>
      </c>
      <c r="B12467" s="27" t="s">
        <v>29855</v>
      </c>
      <c r="C12467" s="27" t="s">
        <v>144</v>
      </c>
      <c r="D12467" s="26"/>
      <c r="E12467" s="27"/>
      <c r="F12467" s="27"/>
      <c r="G12467" s="27" t="s">
        <v>11122</v>
      </c>
      <c r="H12467" s="27" t="s">
        <v>35</v>
      </c>
      <c r="I12467" s="27" t="s">
        <v>43</v>
      </c>
      <c r="J12467" s="28" t="s">
        <v>1483</v>
      </c>
      <c r="K12467" s="27" t="s">
        <v>43</v>
      </c>
      <c r="L12467" s="27"/>
    </row>
    <row r="12468" customFormat="false" ht="15" hidden="false" customHeight="false" outlineLevel="0" collapsed="false">
      <c r="A12468" s="26" t="s">
        <v>29856</v>
      </c>
      <c r="B12468" s="27" t="s">
        <v>29857</v>
      </c>
      <c r="C12468" s="27" t="s">
        <v>1944</v>
      </c>
      <c r="D12468" s="26"/>
      <c r="E12468" s="27"/>
      <c r="F12468" s="27"/>
      <c r="G12468" s="27" t="s">
        <v>11122</v>
      </c>
      <c r="H12468" s="27" t="s">
        <v>35</v>
      </c>
      <c r="I12468" s="27" t="s">
        <v>43</v>
      </c>
      <c r="J12468" s="28" t="s">
        <v>1483</v>
      </c>
      <c r="K12468" s="27" t="s">
        <v>43</v>
      </c>
      <c r="L12468" s="27"/>
    </row>
    <row r="12469" customFormat="false" ht="15" hidden="false" customHeight="false" outlineLevel="0" collapsed="false">
      <c r="A12469" s="26" t="s">
        <v>29858</v>
      </c>
      <c r="B12469" s="27" t="s">
        <v>29859</v>
      </c>
      <c r="C12469" s="27" t="s">
        <v>100</v>
      </c>
      <c r="D12469" s="26"/>
      <c r="E12469" s="27"/>
      <c r="F12469" s="27"/>
      <c r="G12469" s="27" t="s">
        <v>11122</v>
      </c>
      <c r="H12469" s="27" t="s">
        <v>35</v>
      </c>
      <c r="I12469" s="27" t="s">
        <v>43</v>
      </c>
      <c r="J12469" s="28" t="s">
        <v>1483</v>
      </c>
      <c r="K12469" s="27" t="s">
        <v>43</v>
      </c>
      <c r="L12469" s="27"/>
    </row>
    <row r="12470" customFormat="false" ht="15" hidden="false" customHeight="false" outlineLevel="0" collapsed="false">
      <c r="A12470" s="26" t="s">
        <v>29860</v>
      </c>
      <c r="B12470" s="27" t="s">
        <v>29861</v>
      </c>
      <c r="C12470" s="27" t="s">
        <v>100</v>
      </c>
      <c r="D12470" s="26"/>
      <c r="E12470" s="27"/>
      <c r="F12470" s="27"/>
      <c r="G12470" s="27" t="s">
        <v>11122</v>
      </c>
      <c r="H12470" s="27" t="s">
        <v>35</v>
      </c>
      <c r="I12470" s="27" t="s">
        <v>43</v>
      </c>
      <c r="J12470" s="28" t="s">
        <v>1483</v>
      </c>
      <c r="K12470" s="27" t="s">
        <v>43</v>
      </c>
      <c r="L12470" s="27"/>
    </row>
    <row r="12471" customFormat="false" ht="15" hidden="false" customHeight="false" outlineLevel="0" collapsed="false">
      <c r="A12471" s="26" t="s">
        <v>29862</v>
      </c>
      <c r="B12471" s="27" t="s">
        <v>29863</v>
      </c>
      <c r="C12471" s="27" t="s">
        <v>131</v>
      </c>
      <c r="D12471" s="26"/>
      <c r="E12471" s="27"/>
      <c r="F12471" s="27"/>
      <c r="G12471" s="27" t="s">
        <v>11122</v>
      </c>
      <c r="H12471" s="27" t="s">
        <v>35</v>
      </c>
      <c r="I12471" s="27" t="s">
        <v>108</v>
      </c>
      <c r="J12471" s="28" t="s">
        <v>1483</v>
      </c>
      <c r="K12471" s="27" t="s">
        <v>43</v>
      </c>
      <c r="L12471" s="27"/>
    </row>
    <row r="12472" customFormat="false" ht="15" hidden="false" customHeight="false" outlineLevel="0" collapsed="false">
      <c r="A12472" s="26" t="s">
        <v>29864</v>
      </c>
      <c r="B12472" s="27" t="s">
        <v>29865</v>
      </c>
      <c r="C12472" s="27" t="s">
        <v>131</v>
      </c>
      <c r="D12472" s="26"/>
      <c r="E12472" s="27"/>
      <c r="F12472" s="27"/>
      <c r="G12472" s="27" t="s">
        <v>11122</v>
      </c>
      <c r="H12472" s="27" t="s">
        <v>35</v>
      </c>
      <c r="I12472" s="27" t="s">
        <v>43</v>
      </c>
      <c r="J12472" s="28" t="s">
        <v>1483</v>
      </c>
      <c r="K12472" s="27" t="s">
        <v>43</v>
      </c>
      <c r="L12472" s="27"/>
    </row>
    <row r="12473" customFormat="false" ht="15" hidden="false" customHeight="false" outlineLevel="0" collapsed="false">
      <c r="A12473" s="26" t="s">
        <v>29866</v>
      </c>
      <c r="B12473" s="27" t="s">
        <v>29867</v>
      </c>
      <c r="C12473" s="27" t="s">
        <v>131</v>
      </c>
      <c r="D12473" s="26"/>
      <c r="E12473" s="27"/>
      <c r="F12473" s="27"/>
      <c r="G12473" s="27" t="s">
        <v>11122</v>
      </c>
      <c r="H12473" s="27" t="s">
        <v>35</v>
      </c>
      <c r="I12473" s="27" t="s">
        <v>43</v>
      </c>
      <c r="J12473" s="28" t="s">
        <v>1483</v>
      </c>
      <c r="K12473" s="27" t="s">
        <v>43</v>
      </c>
      <c r="L12473" s="27"/>
    </row>
    <row r="12474" customFormat="false" ht="15" hidden="false" customHeight="false" outlineLevel="0" collapsed="false">
      <c r="A12474" s="26" t="s">
        <v>29868</v>
      </c>
      <c r="B12474" s="27" t="s">
        <v>29869</v>
      </c>
      <c r="C12474" s="27" t="s">
        <v>100</v>
      </c>
      <c r="D12474" s="26"/>
      <c r="E12474" s="27"/>
      <c r="F12474" s="27"/>
      <c r="G12474" s="27" t="s">
        <v>11122</v>
      </c>
      <c r="H12474" s="27" t="s">
        <v>35</v>
      </c>
      <c r="I12474" s="27" t="s">
        <v>43</v>
      </c>
      <c r="J12474" s="28" t="s">
        <v>1483</v>
      </c>
      <c r="K12474" s="27" t="s">
        <v>43</v>
      </c>
      <c r="L12474" s="27"/>
    </row>
    <row r="12475" customFormat="false" ht="15" hidden="false" customHeight="false" outlineLevel="0" collapsed="false">
      <c r="A12475" s="26" t="s">
        <v>29870</v>
      </c>
      <c r="B12475" s="27" t="s">
        <v>29871</v>
      </c>
      <c r="C12475" s="27" t="s">
        <v>100</v>
      </c>
      <c r="D12475" s="26"/>
      <c r="E12475" s="27"/>
      <c r="F12475" s="27"/>
      <c r="G12475" s="27" t="s">
        <v>11122</v>
      </c>
      <c r="H12475" s="27" t="s">
        <v>35</v>
      </c>
      <c r="I12475" s="27" t="s">
        <v>43</v>
      </c>
      <c r="J12475" s="28" t="s">
        <v>1483</v>
      </c>
      <c r="K12475" s="27" t="s">
        <v>43</v>
      </c>
      <c r="L12475" s="27"/>
    </row>
    <row r="12476" customFormat="false" ht="15" hidden="false" customHeight="false" outlineLevel="0" collapsed="false">
      <c r="A12476" s="26" t="s">
        <v>29872</v>
      </c>
      <c r="B12476" s="27" t="s">
        <v>29873</v>
      </c>
      <c r="C12476" s="27" t="s">
        <v>131</v>
      </c>
      <c r="D12476" s="26"/>
      <c r="E12476" s="27"/>
      <c r="F12476" s="27"/>
      <c r="G12476" s="27" t="s">
        <v>11122</v>
      </c>
      <c r="H12476" s="27" t="s">
        <v>35</v>
      </c>
      <c r="I12476" s="27" t="s">
        <v>43</v>
      </c>
      <c r="J12476" s="28" t="s">
        <v>1483</v>
      </c>
      <c r="K12476" s="27" t="s">
        <v>43</v>
      </c>
      <c r="L12476" s="27"/>
    </row>
    <row r="12477" customFormat="false" ht="15" hidden="false" customHeight="false" outlineLevel="0" collapsed="false">
      <c r="A12477" s="26" t="s">
        <v>29874</v>
      </c>
      <c r="B12477" s="27" t="s">
        <v>29875</v>
      </c>
      <c r="C12477" s="27" t="s">
        <v>1527</v>
      </c>
      <c r="D12477" s="26"/>
      <c r="E12477" s="27"/>
      <c r="F12477" s="27"/>
      <c r="G12477" s="27" t="s">
        <v>11122</v>
      </c>
      <c r="H12477" s="27" t="s">
        <v>35</v>
      </c>
      <c r="I12477" s="27" t="s">
        <v>43</v>
      </c>
      <c r="J12477" s="28" t="s">
        <v>1483</v>
      </c>
      <c r="K12477" s="27" t="s">
        <v>43</v>
      </c>
      <c r="L12477" s="27"/>
    </row>
    <row r="12478" customFormat="false" ht="15" hidden="false" customHeight="false" outlineLevel="0" collapsed="false">
      <c r="A12478" s="26" t="s">
        <v>29876</v>
      </c>
      <c r="B12478" s="27" t="s">
        <v>29877</v>
      </c>
      <c r="C12478" s="27" t="s">
        <v>1493</v>
      </c>
      <c r="D12478" s="26"/>
      <c r="E12478" s="27"/>
      <c r="F12478" s="27"/>
      <c r="G12478" s="27" t="s">
        <v>11122</v>
      </c>
      <c r="H12478" s="27" t="s">
        <v>35</v>
      </c>
      <c r="I12478" s="27" t="s">
        <v>43</v>
      </c>
      <c r="J12478" s="28" t="s">
        <v>1483</v>
      </c>
      <c r="K12478" s="27" t="s">
        <v>43</v>
      </c>
      <c r="L12478" s="27"/>
    </row>
    <row r="12479" customFormat="false" ht="15" hidden="false" customHeight="false" outlineLevel="0" collapsed="false">
      <c r="A12479" s="26" t="s">
        <v>29878</v>
      </c>
      <c r="B12479" s="27" t="s">
        <v>29879</v>
      </c>
      <c r="C12479" s="27" t="s">
        <v>131</v>
      </c>
      <c r="D12479" s="26"/>
      <c r="E12479" s="27"/>
      <c r="F12479" s="27"/>
      <c r="G12479" s="27" t="s">
        <v>11122</v>
      </c>
      <c r="H12479" s="27" t="s">
        <v>35</v>
      </c>
      <c r="I12479" s="27" t="s">
        <v>43</v>
      </c>
      <c r="J12479" s="28" t="s">
        <v>1483</v>
      </c>
      <c r="K12479" s="27" t="s">
        <v>43</v>
      </c>
      <c r="L12479" s="27"/>
    </row>
    <row r="12480" customFormat="false" ht="15" hidden="false" customHeight="false" outlineLevel="0" collapsed="false">
      <c r="A12480" s="26" t="s">
        <v>29880</v>
      </c>
      <c r="B12480" s="27" t="s">
        <v>29881</v>
      </c>
      <c r="C12480" s="27" t="s">
        <v>1493</v>
      </c>
      <c r="D12480" s="26"/>
      <c r="E12480" s="27"/>
      <c r="F12480" s="27"/>
      <c r="G12480" s="27" t="s">
        <v>11122</v>
      </c>
      <c r="H12480" s="27" t="s">
        <v>35</v>
      </c>
      <c r="I12480" s="27" t="s">
        <v>47</v>
      </c>
      <c r="J12480" s="28" t="s">
        <v>1483</v>
      </c>
      <c r="K12480" s="27" t="s">
        <v>43</v>
      </c>
      <c r="L12480" s="27"/>
    </row>
    <row r="12481" customFormat="false" ht="15" hidden="false" customHeight="false" outlineLevel="0" collapsed="false">
      <c r="A12481" s="26" t="s">
        <v>29882</v>
      </c>
      <c r="B12481" s="27" t="s">
        <v>29883</v>
      </c>
      <c r="C12481" s="27" t="s">
        <v>1493</v>
      </c>
      <c r="D12481" s="26"/>
      <c r="E12481" s="27"/>
      <c r="F12481" s="27"/>
      <c r="G12481" s="27" t="s">
        <v>11122</v>
      </c>
      <c r="H12481" s="27" t="s">
        <v>35</v>
      </c>
      <c r="I12481" s="27" t="s">
        <v>43</v>
      </c>
      <c r="J12481" s="28" t="s">
        <v>1483</v>
      </c>
      <c r="K12481" s="27" t="s">
        <v>43</v>
      </c>
      <c r="L12481" s="27"/>
    </row>
    <row r="12482" customFormat="false" ht="15" hidden="false" customHeight="false" outlineLevel="0" collapsed="false">
      <c r="A12482" s="26" t="s">
        <v>29884</v>
      </c>
      <c r="B12482" s="27" t="s">
        <v>29885</v>
      </c>
      <c r="C12482" s="27" t="s">
        <v>144</v>
      </c>
      <c r="D12482" s="26"/>
      <c r="E12482" s="27"/>
      <c r="F12482" s="27"/>
      <c r="G12482" s="27" t="s">
        <v>11122</v>
      </c>
      <c r="H12482" s="27" t="s">
        <v>35</v>
      </c>
      <c r="I12482" s="27" t="s">
        <v>43</v>
      </c>
      <c r="J12482" s="28" t="s">
        <v>1483</v>
      </c>
      <c r="K12482" s="27" t="s">
        <v>43</v>
      </c>
      <c r="L12482" s="27"/>
    </row>
    <row r="12483" customFormat="false" ht="15" hidden="false" customHeight="false" outlineLevel="0" collapsed="false">
      <c r="A12483" s="26" t="s">
        <v>29886</v>
      </c>
      <c r="B12483" s="27" t="s">
        <v>29887</v>
      </c>
      <c r="C12483" s="27" t="s">
        <v>144</v>
      </c>
      <c r="D12483" s="26"/>
      <c r="E12483" s="27"/>
      <c r="F12483" s="27"/>
      <c r="G12483" s="27" t="s">
        <v>11122</v>
      </c>
      <c r="H12483" s="27" t="s">
        <v>35</v>
      </c>
      <c r="I12483" s="27" t="s">
        <v>43</v>
      </c>
      <c r="J12483" s="28" t="s">
        <v>1483</v>
      </c>
      <c r="K12483" s="27" t="s">
        <v>43</v>
      </c>
      <c r="L12483" s="27"/>
    </row>
    <row r="12484" customFormat="false" ht="15" hidden="false" customHeight="false" outlineLevel="0" collapsed="false">
      <c r="A12484" s="26" t="s">
        <v>29888</v>
      </c>
      <c r="B12484" s="27" t="s">
        <v>29889</v>
      </c>
      <c r="C12484" s="27" t="s">
        <v>144</v>
      </c>
      <c r="D12484" s="26"/>
      <c r="E12484" s="27"/>
      <c r="F12484" s="27"/>
      <c r="G12484" s="27" t="s">
        <v>11122</v>
      </c>
      <c r="H12484" s="27" t="s">
        <v>35</v>
      </c>
      <c r="I12484" s="27" t="s">
        <v>43</v>
      </c>
      <c r="J12484" s="28" t="s">
        <v>1483</v>
      </c>
      <c r="K12484" s="27" t="s">
        <v>43</v>
      </c>
      <c r="L12484" s="27"/>
    </row>
    <row r="12485" customFormat="false" ht="15" hidden="false" customHeight="false" outlineLevel="0" collapsed="false">
      <c r="A12485" s="26" t="s">
        <v>29890</v>
      </c>
      <c r="B12485" s="27" t="s">
        <v>29891</v>
      </c>
      <c r="C12485" s="27" t="s">
        <v>144</v>
      </c>
      <c r="D12485" s="26"/>
      <c r="E12485" s="27"/>
      <c r="F12485" s="27"/>
      <c r="G12485" s="27" t="s">
        <v>11122</v>
      </c>
      <c r="H12485" s="27" t="s">
        <v>35</v>
      </c>
      <c r="I12485" s="27" t="s">
        <v>43</v>
      </c>
      <c r="J12485" s="28" t="s">
        <v>1483</v>
      </c>
      <c r="K12485" s="27" t="s">
        <v>43</v>
      </c>
      <c r="L12485" s="27"/>
    </row>
    <row r="12486" customFormat="false" ht="15" hidden="false" customHeight="false" outlineLevel="0" collapsed="false">
      <c r="A12486" s="26" t="s">
        <v>29892</v>
      </c>
      <c r="B12486" s="27" t="s">
        <v>29893</v>
      </c>
      <c r="C12486" s="27" t="s">
        <v>144</v>
      </c>
      <c r="D12486" s="26"/>
      <c r="E12486" s="27"/>
      <c r="F12486" s="27"/>
      <c r="G12486" s="27" t="s">
        <v>11122</v>
      </c>
      <c r="H12486" s="27" t="s">
        <v>35</v>
      </c>
      <c r="I12486" s="27" t="s">
        <v>43</v>
      </c>
      <c r="J12486" s="28" t="s">
        <v>1483</v>
      </c>
      <c r="K12486" s="27" t="s">
        <v>43</v>
      </c>
      <c r="L12486" s="27"/>
    </row>
    <row r="12487" customFormat="false" ht="15" hidden="false" customHeight="false" outlineLevel="0" collapsed="false">
      <c r="A12487" s="26" t="s">
        <v>29894</v>
      </c>
      <c r="B12487" s="27" t="s">
        <v>29895</v>
      </c>
      <c r="C12487" s="27" t="s">
        <v>144</v>
      </c>
      <c r="D12487" s="26"/>
      <c r="E12487" s="27"/>
      <c r="F12487" s="27"/>
      <c r="G12487" s="27" t="s">
        <v>11122</v>
      </c>
      <c r="H12487" s="27" t="s">
        <v>35</v>
      </c>
      <c r="I12487" s="27" t="s">
        <v>43</v>
      </c>
      <c r="J12487" s="28" t="s">
        <v>1483</v>
      </c>
      <c r="K12487" s="27" t="s">
        <v>43</v>
      </c>
      <c r="L12487" s="27"/>
    </row>
    <row r="12488" customFormat="false" ht="15" hidden="false" customHeight="false" outlineLevel="0" collapsed="false">
      <c r="A12488" s="26" t="s">
        <v>29896</v>
      </c>
      <c r="B12488" s="27" t="s">
        <v>29897</v>
      </c>
      <c r="C12488" s="27" t="s">
        <v>144</v>
      </c>
      <c r="D12488" s="26"/>
      <c r="E12488" s="27"/>
      <c r="F12488" s="27"/>
      <c r="G12488" s="27" t="s">
        <v>11122</v>
      </c>
      <c r="H12488" s="27" t="s">
        <v>35</v>
      </c>
      <c r="I12488" s="27" t="s">
        <v>43</v>
      </c>
      <c r="J12488" s="28" t="s">
        <v>1483</v>
      </c>
      <c r="K12488" s="27" t="s">
        <v>43</v>
      </c>
      <c r="L12488" s="27"/>
    </row>
    <row r="12489" customFormat="false" ht="15" hidden="false" customHeight="false" outlineLevel="0" collapsed="false">
      <c r="A12489" s="26" t="s">
        <v>29898</v>
      </c>
      <c r="B12489" s="27" t="s">
        <v>29899</v>
      </c>
      <c r="C12489" s="27" t="s">
        <v>144</v>
      </c>
      <c r="D12489" s="26"/>
      <c r="E12489" s="27"/>
      <c r="F12489" s="27"/>
      <c r="G12489" s="27" t="s">
        <v>11122</v>
      </c>
      <c r="H12489" s="27" t="s">
        <v>35</v>
      </c>
      <c r="I12489" s="27" t="s">
        <v>43</v>
      </c>
      <c r="J12489" s="28" t="s">
        <v>1483</v>
      </c>
      <c r="K12489" s="27" t="s">
        <v>43</v>
      </c>
      <c r="L12489" s="27"/>
    </row>
    <row r="12490" customFormat="false" ht="15" hidden="false" customHeight="false" outlineLevel="0" collapsed="false">
      <c r="A12490" s="26" t="s">
        <v>29900</v>
      </c>
      <c r="B12490" s="27" t="s">
        <v>29901</v>
      </c>
      <c r="C12490" s="27" t="s">
        <v>144</v>
      </c>
      <c r="D12490" s="26"/>
      <c r="E12490" s="27"/>
      <c r="F12490" s="27"/>
      <c r="G12490" s="27" t="s">
        <v>11122</v>
      </c>
      <c r="H12490" s="27" t="s">
        <v>35</v>
      </c>
      <c r="I12490" s="27" t="s">
        <v>43</v>
      </c>
      <c r="J12490" s="28" t="s">
        <v>1483</v>
      </c>
      <c r="K12490" s="27" t="s">
        <v>43</v>
      </c>
      <c r="L12490" s="27"/>
    </row>
    <row r="12491" customFormat="false" ht="15" hidden="false" customHeight="false" outlineLevel="0" collapsed="false">
      <c r="A12491" s="26" t="s">
        <v>29902</v>
      </c>
      <c r="B12491" s="27" t="s">
        <v>29903</v>
      </c>
      <c r="C12491" s="27" t="s">
        <v>144</v>
      </c>
      <c r="D12491" s="26"/>
      <c r="E12491" s="27"/>
      <c r="F12491" s="27"/>
      <c r="G12491" s="27" t="s">
        <v>11122</v>
      </c>
      <c r="H12491" s="27" t="s">
        <v>35</v>
      </c>
      <c r="I12491" s="27" t="s">
        <v>44</v>
      </c>
      <c r="J12491" s="28" t="s">
        <v>1483</v>
      </c>
      <c r="K12491" s="27" t="s">
        <v>43</v>
      </c>
      <c r="L12491" s="27"/>
    </row>
    <row r="12492" customFormat="false" ht="15" hidden="false" customHeight="false" outlineLevel="0" collapsed="false">
      <c r="A12492" s="26" t="s">
        <v>29904</v>
      </c>
      <c r="B12492" s="27" t="s">
        <v>29905</v>
      </c>
      <c r="C12492" s="27" t="s">
        <v>144</v>
      </c>
      <c r="D12492" s="26"/>
      <c r="E12492" s="27"/>
      <c r="F12492" s="27"/>
      <c r="G12492" s="27" t="s">
        <v>11122</v>
      </c>
      <c r="H12492" s="27" t="s">
        <v>35</v>
      </c>
      <c r="I12492" s="27" t="s">
        <v>43</v>
      </c>
      <c r="J12492" s="28" t="s">
        <v>1483</v>
      </c>
      <c r="K12492" s="27" t="s">
        <v>43</v>
      </c>
      <c r="L12492" s="27"/>
    </row>
    <row r="12493" customFormat="false" ht="15" hidden="false" customHeight="false" outlineLevel="0" collapsed="false">
      <c r="A12493" s="26" t="s">
        <v>29906</v>
      </c>
      <c r="B12493" s="27" t="s">
        <v>29907</v>
      </c>
      <c r="C12493" s="27" t="s">
        <v>144</v>
      </c>
      <c r="D12493" s="26"/>
      <c r="E12493" s="27"/>
      <c r="F12493" s="27"/>
      <c r="G12493" s="27" t="s">
        <v>11122</v>
      </c>
      <c r="H12493" s="27" t="s">
        <v>35</v>
      </c>
      <c r="I12493" s="27" t="s">
        <v>43</v>
      </c>
      <c r="J12493" s="28" t="s">
        <v>1483</v>
      </c>
      <c r="K12493" s="27" t="s">
        <v>43</v>
      </c>
      <c r="L12493" s="27"/>
    </row>
    <row r="12494" customFormat="false" ht="15" hidden="false" customHeight="false" outlineLevel="0" collapsed="false">
      <c r="A12494" s="26" t="s">
        <v>29908</v>
      </c>
      <c r="B12494" s="27" t="s">
        <v>29909</v>
      </c>
      <c r="C12494" s="27" t="s">
        <v>144</v>
      </c>
      <c r="D12494" s="26"/>
      <c r="E12494" s="27"/>
      <c r="F12494" s="27"/>
      <c r="G12494" s="27" t="s">
        <v>11122</v>
      </c>
      <c r="H12494" s="27" t="s">
        <v>35</v>
      </c>
      <c r="I12494" s="27" t="s">
        <v>43</v>
      </c>
      <c r="J12494" s="28" t="s">
        <v>1483</v>
      </c>
      <c r="K12494" s="27" t="s">
        <v>43</v>
      </c>
      <c r="L12494" s="27"/>
    </row>
    <row r="12495" customFormat="false" ht="15" hidden="false" customHeight="false" outlineLevel="0" collapsed="false">
      <c r="A12495" s="26" t="s">
        <v>29910</v>
      </c>
      <c r="B12495" s="27" t="s">
        <v>29911</v>
      </c>
      <c r="C12495" s="27" t="s">
        <v>144</v>
      </c>
      <c r="D12495" s="26"/>
      <c r="E12495" s="27"/>
      <c r="F12495" s="27"/>
      <c r="G12495" s="27" t="s">
        <v>11122</v>
      </c>
      <c r="H12495" s="27" t="s">
        <v>35</v>
      </c>
      <c r="I12495" s="27" t="s">
        <v>43</v>
      </c>
      <c r="J12495" s="28" t="s">
        <v>1483</v>
      </c>
      <c r="K12495" s="27" t="s">
        <v>43</v>
      </c>
      <c r="L12495" s="27"/>
    </row>
    <row r="12496" customFormat="false" ht="15" hidden="false" customHeight="false" outlineLevel="0" collapsed="false">
      <c r="A12496" s="26" t="s">
        <v>29912</v>
      </c>
      <c r="B12496" s="27" t="s">
        <v>29913</v>
      </c>
      <c r="C12496" s="27" t="s">
        <v>144</v>
      </c>
      <c r="D12496" s="26"/>
      <c r="E12496" s="27"/>
      <c r="F12496" s="27"/>
      <c r="G12496" s="27" t="s">
        <v>11122</v>
      </c>
      <c r="H12496" s="27" t="s">
        <v>35</v>
      </c>
      <c r="I12496" s="27" t="s">
        <v>43</v>
      </c>
      <c r="J12496" s="28" t="s">
        <v>1483</v>
      </c>
      <c r="K12496" s="27" t="s">
        <v>43</v>
      </c>
      <c r="L12496" s="27"/>
    </row>
    <row r="12497" customFormat="false" ht="15" hidden="false" customHeight="false" outlineLevel="0" collapsed="false">
      <c r="A12497" s="26" t="s">
        <v>29914</v>
      </c>
      <c r="B12497" s="27" t="s">
        <v>29915</v>
      </c>
      <c r="C12497" s="27" t="s">
        <v>144</v>
      </c>
      <c r="D12497" s="26"/>
      <c r="E12497" s="27"/>
      <c r="F12497" s="27"/>
      <c r="G12497" s="27" t="s">
        <v>11122</v>
      </c>
      <c r="H12497" s="27" t="s">
        <v>35</v>
      </c>
      <c r="I12497" s="27" t="s">
        <v>43</v>
      </c>
      <c r="J12497" s="28" t="s">
        <v>1483</v>
      </c>
      <c r="K12497" s="27" t="s">
        <v>43</v>
      </c>
      <c r="L12497" s="27"/>
    </row>
    <row r="12498" customFormat="false" ht="15" hidden="false" customHeight="false" outlineLevel="0" collapsed="false">
      <c r="A12498" s="26" t="s">
        <v>29916</v>
      </c>
      <c r="B12498" s="27" t="s">
        <v>29917</v>
      </c>
      <c r="C12498" s="27" t="s">
        <v>144</v>
      </c>
      <c r="D12498" s="26"/>
      <c r="E12498" s="27"/>
      <c r="F12498" s="27"/>
      <c r="G12498" s="27" t="s">
        <v>11122</v>
      </c>
      <c r="H12498" s="27" t="s">
        <v>35</v>
      </c>
      <c r="I12498" s="27" t="s">
        <v>152</v>
      </c>
      <c r="J12498" s="28" t="s">
        <v>1483</v>
      </c>
      <c r="K12498" s="27" t="s">
        <v>43</v>
      </c>
      <c r="L12498" s="27"/>
    </row>
    <row r="12499" customFormat="false" ht="15" hidden="false" customHeight="false" outlineLevel="0" collapsed="false">
      <c r="A12499" s="26" t="s">
        <v>29918</v>
      </c>
      <c r="B12499" s="27" t="s">
        <v>29919</v>
      </c>
      <c r="C12499" s="27" t="s">
        <v>144</v>
      </c>
      <c r="D12499" s="26"/>
      <c r="E12499" s="27"/>
      <c r="F12499" s="27"/>
      <c r="G12499" s="27" t="s">
        <v>11122</v>
      </c>
      <c r="H12499" s="27" t="s">
        <v>35</v>
      </c>
      <c r="I12499" s="27" t="s">
        <v>43</v>
      </c>
      <c r="J12499" s="28" t="s">
        <v>1483</v>
      </c>
      <c r="K12499" s="27" t="s">
        <v>43</v>
      </c>
      <c r="L12499" s="27"/>
    </row>
    <row r="12500" customFormat="false" ht="15" hidden="false" customHeight="false" outlineLevel="0" collapsed="false">
      <c r="A12500" s="26" t="s">
        <v>29920</v>
      </c>
      <c r="B12500" s="27" t="s">
        <v>29921</v>
      </c>
      <c r="C12500" s="27" t="s">
        <v>144</v>
      </c>
      <c r="D12500" s="26"/>
      <c r="E12500" s="27"/>
      <c r="F12500" s="27"/>
      <c r="G12500" s="27" t="s">
        <v>11122</v>
      </c>
      <c r="H12500" s="27" t="s">
        <v>35</v>
      </c>
      <c r="I12500" s="27" t="s">
        <v>43</v>
      </c>
      <c r="J12500" s="28" t="s">
        <v>1483</v>
      </c>
      <c r="K12500" s="27" t="s">
        <v>43</v>
      </c>
      <c r="L12500" s="27"/>
    </row>
    <row r="12501" customFormat="false" ht="15" hidden="false" customHeight="false" outlineLevel="0" collapsed="false">
      <c r="A12501" s="26" t="s">
        <v>29922</v>
      </c>
      <c r="B12501" s="27" t="s">
        <v>29923</v>
      </c>
      <c r="C12501" s="27" t="s">
        <v>144</v>
      </c>
      <c r="D12501" s="26"/>
      <c r="E12501" s="27"/>
      <c r="F12501" s="27"/>
      <c r="G12501" s="27" t="s">
        <v>11122</v>
      </c>
      <c r="H12501" s="27" t="s">
        <v>35</v>
      </c>
      <c r="I12501" s="27" t="s">
        <v>43</v>
      </c>
      <c r="J12501" s="28" t="s">
        <v>1483</v>
      </c>
      <c r="K12501" s="27" t="s">
        <v>43</v>
      </c>
      <c r="L12501" s="27"/>
    </row>
    <row r="12502" customFormat="false" ht="15" hidden="false" customHeight="false" outlineLevel="0" collapsed="false">
      <c r="A12502" s="26" t="s">
        <v>29924</v>
      </c>
      <c r="B12502" s="27" t="s">
        <v>29925</v>
      </c>
      <c r="C12502" s="27" t="s">
        <v>144</v>
      </c>
      <c r="D12502" s="26"/>
      <c r="E12502" s="27"/>
      <c r="F12502" s="27"/>
      <c r="G12502" s="27" t="s">
        <v>11122</v>
      </c>
      <c r="H12502" s="27" t="s">
        <v>35</v>
      </c>
      <c r="I12502" s="27" t="s">
        <v>43</v>
      </c>
      <c r="J12502" s="28" t="s">
        <v>1483</v>
      </c>
      <c r="K12502" s="27" t="s">
        <v>43</v>
      </c>
      <c r="L12502" s="27"/>
    </row>
    <row r="12503" customFormat="false" ht="15" hidden="false" customHeight="false" outlineLevel="0" collapsed="false">
      <c r="A12503" s="26" t="s">
        <v>29926</v>
      </c>
      <c r="B12503" s="27" t="s">
        <v>29927</v>
      </c>
      <c r="C12503" s="27" t="s">
        <v>144</v>
      </c>
      <c r="D12503" s="26"/>
      <c r="E12503" s="27"/>
      <c r="F12503" s="27"/>
      <c r="G12503" s="27" t="s">
        <v>11122</v>
      </c>
      <c r="H12503" s="27" t="s">
        <v>35</v>
      </c>
      <c r="I12503" s="27" t="s">
        <v>152</v>
      </c>
      <c r="J12503" s="28" t="s">
        <v>1483</v>
      </c>
      <c r="K12503" s="27" t="s">
        <v>43</v>
      </c>
      <c r="L12503" s="27"/>
    </row>
    <row r="12504" customFormat="false" ht="15" hidden="false" customHeight="false" outlineLevel="0" collapsed="false">
      <c r="A12504" s="26" t="s">
        <v>29928</v>
      </c>
      <c r="B12504" s="27" t="s">
        <v>29929</v>
      </c>
      <c r="C12504" s="27" t="s">
        <v>144</v>
      </c>
      <c r="D12504" s="26"/>
      <c r="E12504" s="27"/>
      <c r="F12504" s="27"/>
      <c r="G12504" s="27" t="s">
        <v>11122</v>
      </c>
      <c r="H12504" s="27" t="s">
        <v>35</v>
      </c>
      <c r="I12504" s="28" t="s">
        <v>50</v>
      </c>
      <c r="J12504" s="28" t="s">
        <v>1483</v>
      </c>
      <c r="K12504" s="27" t="s">
        <v>43</v>
      </c>
      <c r="L12504" s="27"/>
    </row>
    <row r="12505" customFormat="false" ht="15" hidden="false" customHeight="false" outlineLevel="0" collapsed="false">
      <c r="A12505" s="26" t="s">
        <v>29930</v>
      </c>
      <c r="B12505" s="27" t="s">
        <v>29931</v>
      </c>
      <c r="C12505" s="27" t="s">
        <v>1493</v>
      </c>
      <c r="D12505" s="26"/>
      <c r="E12505" s="27"/>
      <c r="F12505" s="27"/>
      <c r="G12505" s="27" t="s">
        <v>11122</v>
      </c>
      <c r="H12505" s="27" t="s">
        <v>35</v>
      </c>
      <c r="I12505" s="27" t="s">
        <v>108</v>
      </c>
      <c r="J12505" s="28" t="s">
        <v>1483</v>
      </c>
      <c r="K12505" s="27" t="s">
        <v>43</v>
      </c>
      <c r="L12505" s="27"/>
    </row>
    <row r="12506" customFormat="false" ht="15" hidden="false" customHeight="false" outlineLevel="0" collapsed="false">
      <c r="A12506" s="26" t="s">
        <v>29932</v>
      </c>
      <c r="B12506" s="27" t="s">
        <v>29933</v>
      </c>
      <c r="C12506" s="27" t="s">
        <v>144</v>
      </c>
      <c r="D12506" s="26"/>
      <c r="E12506" s="27"/>
      <c r="F12506" s="27"/>
      <c r="G12506" s="27" t="s">
        <v>11122</v>
      </c>
      <c r="H12506" s="27" t="s">
        <v>35</v>
      </c>
      <c r="I12506" s="27" t="s">
        <v>43</v>
      </c>
      <c r="J12506" s="28" t="s">
        <v>1483</v>
      </c>
      <c r="K12506" s="27" t="s">
        <v>43</v>
      </c>
      <c r="L12506" s="27"/>
    </row>
    <row r="12507" customFormat="false" ht="15" hidden="false" customHeight="false" outlineLevel="0" collapsed="false">
      <c r="A12507" s="26" t="s">
        <v>29934</v>
      </c>
      <c r="B12507" s="27" t="s">
        <v>29935</v>
      </c>
      <c r="C12507" s="27" t="s">
        <v>131</v>
      </c>
      <c r="D12507" s="26"/>
      <c r="E12507" s="27"/>
      <c r="F12507" s="27"/>
      <c r="G12507" s="27" t="s">
        <v>11122</v>
      </c>
      <c r="H12507" s="27" t="s">
        <v>35</v>
      </c>
      <c r="I12507" s="27" t="s">
        <v>43</v>
      </c>
      <c r="J12507" s="28" t="s">
        <v>1483</v>
      </c>
      <c r="K12507" s="27" t="s">
        <v>43</v>
      </c>
      <c r="L12507" s="27"/>
    </row>
    <row r="12508" customFormat="false" ht="15" hidden="false" customHeight="false" outlineLevel="0" collapsed="false">
      <c r="A12508" s="26" t="s">
        <v>29936</v>
      </c>
      <c r="B12508" s="27" t="s">
        <v>29937</v>
      </c>
      <c r="C12508" s="27" t="s">
        <v>144</v>
      </c>
      <c r="D12508" s="26"/>
      <c r="E12508" s="27"/>
      <c r="F12508" s="27"/>
      <c r="G12508" s="27" t="s">
        <v>11122</v>
      </c>
      <c r="H12508" s="27" t="s">
        <v>35</v>
      </c>
      <c r="I12508" s="27" t="s">
        <v>43</v>
      </c>
      <c r="J12508" s="28" t="s">
        <v>1483</v>
      </c>
      <c r="K12508" s="27" t="s">
        <v>43</v>
      </c>
      <c r="L12508" s="27"/>
    </row>
    <row r="12509" customFormat="false" ht="15" hidden="false" customHeight="false" outlineLevel="0" collapsed="false">
      <c r="A12509" s="26" t="s">
        <v>29938</v>
      </c>
      <c r="B12509" s="27" t="s">
        <v>29939</v>
      </c>
      <c r="C12509" s="27" t="s">
        <v>1493</v>
      </c>
      <c r="D12509" s="26"/>
      <c r="E12509" s="27"/>
      <c r="F12509" s="27"/>
      <c r="G12509" s="27" t="s">
        <v>11122</v>
      </c>
      <c r="H12509" s="27" t="s">
        <v>35</v>
      </c>
      <c r="I12509" s="27" t="s">
        <v>43</v>
      </c>
      <c r="J12509" s="28" t="s">
        <v>1483</v>
      </c>
      <c r="K12509" s="27" t="s">
        <v>43</v>
      </c>
      <c r="L12509" s="27"/>
    </row>
    <row r="12510" customFormat="false" ht="15" hidden="false" customHeight="false" outlineLevel="0" collapsed="false">
      <c r="A12510" s="26" t="s">
        <v>29940</v>
      </c>
      <c r="B12510" s="27" t="s">
        <v>29941</v>
      </c>
      <c r="C12510" s="27" t="s">
        <v>1527</v>
      </c>
      <c r="D12510" s="26"/>
      <c r="E12510" s="27"/>
      <c r="F12510" s="27"/>
      <c r="G12510" s="27" t="s">
        <v>11122</v>
      </c>
      <c r="H12510" s="27" t="s">
        <v>35</v>
      </c>
      <c r="I12510" s="27" t="s">
        <v>41</v>
      </c>
      <c r="J12510" s="28" t="s">
        <v>1483</v>
      </c>
      <c r="K12510" s="27" t="s">
        <v>43</v>
      </c>
      <c r="L12510" s="27"/>
    </row>
    <row r="12511" customFormat="false" ht="15" hidden="false" customHeight="false" outlineLevel="0" collapsed="false">
      <c r="A12511" s="26" t="s">
        <v>29942</v>
      </c>
      <c r="B12511" s="27" t="s">
        <v>29943</v>
      </c>
      <c r="C12511" s="27" t="s">
        <v>1493</v>
      </c>
      <c r="D12511" s="26"/>
      <c r="E12511" s="27"/>
      <c r="F12511" s="27"/>
      <c r="G12511" s="27" t="s">
        <v>11122</v>
      </c>
      <c r="H12511" s="27" t="s">
        <v>35</v>
      </c>
      <c r="I12511" s="27" t="s">
        <v>43</v>
      </c>
      <c r="J12511" s="28" t="s">
        <v>1483</v>
      </c>
      <c r="K12511" s="27" t="s">
        <v>43</v>
      </c>
      <c r="L12511" s="27"/>
    </row>
    <row r="12512" customFormat="false" ht="15" hidden="false" customHeight="false" outlineLevel="0" collapsed="false">
      <c r="A12512" s="26" t="s">
        <v>29944</v>
      </c>
      <c r="B12512" s="27" t="s">
        <v>29945</v>
      </c>
      <c r="C12512" s="27" t="s">
        <v>144</v>
      </c>
      <c r="D12512" s="26"/>
      <c r="E12512" s="27"/>
      <c r="F12512" s="27"/>
      <c r="G12512" s="27" t="s">
        <v>11122</v>
      </c>
      <c r="H12512" s="27" t="s">
        <v>35</v>
      </c>
      <c r="I12512" s="27" t="s">
        <v>43</v>
      </c>
      <c r="J12512" s="28" t="s">
        <v>1483</v>
      </c>
      <c r="K12512" s="27" t="s">
        <v>43</v>
      </c>
      <c r="L12512" s="27"/>
    </row>
    <row r="12513" customFormat="false" ht="15" hidden="false" customHeight="false" outlineLevel="0" collapsed="false">
      <c r="A12513" s="26" t="s">
        <v>29946</v>
      </c>
      <c r="B12513" s="27" t="s">
        <v>29947</v>
      </c>
      <c r="C12513" s="27" t="s">
        <v>144</v>
      </c>
      <c r="D12513" s="26"/>
      <c r="E12513" s="27"/>
      <c r="F12513" s="27"/>
      <c r="G12513" s="27" t="s">
        <v>11122</v>
      </c>
      <c r="H12513" s="27" t="s">
        <v>35</v>
      </c>
      <c r="I12513" s="27" t="s">
        <v>152</v>
      </c>
      <c r="J12513" s="28" t="s">
        <v>1483</v>
      </c>
      <c r="K12513" s="27" t="s">
        <v>43</v>
      </c>
      <c r="L12513" s="27"/>
    </row>
    <row r="12514" customFormat="false" ht="15" hidden="false" customHeight="false" outlineLevel="0" collapsed="false">
      <c r="A12514" s="26" t="s">
        <v>29948</v>
      </c>
      <c r="B12514" s="27" t="s">
        <v>29949</v>
      </c>
      <c r="C12514" s="27" t="s">
        <v>131</v>
      </c>
      <c r="D12514" s="26"/>
      <c r="E12514" s="27"/>
      <c r="F12514" s="27"/>
      <c r="G12514" s="27" t="s">
        <v>11122</v>
      </c>
      <c r="H12514" s="27" t="s">
        <v>35</v>
      </c>
      <c r="I12514" s="27" t="s">
        <v>43</v>
      </c>
      <c r="J12514" s="28" t="s">
        <v>1483</v>
      </c>
      <c r="K12514" s="27" t="s">
        <v>43</v>
      </c>
      <c r="L12514" s="27"/>
    </row>
    <row r="12515" customFormat="false" ht="15" hidden="false" customHeight="false" outlineLevel="0" collapsed="false">
      <c r="A12515" s="26" t="s">
        <v>29950</v>
      </c>
      <c r="B12515" s="27" t="s">
        <v>29951</v>
      </c>
      <c r="C12515" s="27" t="s">
        <v>131</v>
      </c>
      <c r="D12515" s="26"/>
      <c r="E12515" s="27"/>
      <c r="F12515" s="27"/>
      <c r="G12515" s="27" t="s">
        <v>11122</v>
      </c>
      <c r="H12515" s="27" t="s">
        <v>35</v>
      </c>
      <c r="I12515" s="27" t="s">
        <v>43</v>
      </c>
      <c r="J12515" s="28" t="s">
        <v>1483</v>
      </c>
      <c r="K12515" s="27" t="s">
        <v>43</v>
      </c>
      <c r="L12515" s="27"/>
    </row>
    <row r="12516" customFormat="false" ht="15" hidden="false" customHeight="false" outlineLevel="0" collapsed="false">
      <c r="A12516" s="26" t="s">
        <v>29952</v>
      </c>
      <c r="B12516" s="27" t="s">
        <v>29953</v>
      </c>
      <c r="C12516" s="27" t="s">
        <v>2031</v>
      </c>
      <c r="D12516" s="26"/>
      <c r="E12516" s="27"/>
      <c r="F12516" s="27"/>
      <c r="G12516" s="27" t="s">
        <v>11122</v>
      </c>
      <c r="H12516" s="27" t="s">
        <v>35</v>
      </c>
      <c r="I12516" s="27" t="s">
        <v>43</v>
      </c>
      <c r="J12516" s="28" t="s">
        <v>1483</v>
      </c>
      <c r="K12516" s="27" t="s">
        <v>43</v>
      </c>
      <c r="L12516" s="27"/>
    </row>
    <row r="12517" customFormat="false" ht="15" hidden="false" customHeight="false" outlineLevel="0" collapsed="false">
      <c r="A12517" s="26" t="s">
        <v>29954</v>
      </c>
      <c r="B12517" s="27" t="s">
        <v>29955</v>
      </c>
      <c r="C12517" s="27" t="s">
        <v>2031</v>
      </c>
      <c r="D12517" s="26"/>
      <c r="E12517" s="27"/>
      <c r="F12517" s="27"/>
      <c r="G12517" s="27" t="s">
        <v>11122</v>
      </c>
      <c r="H12517" s="27" t="s">
        <v>35</v>
      </c>
      <c r="I12517" s="27" t="s">
        <v>43</v>
      </c>
      <c r="J12517" s="28" t="s">
        <v>1483</v>
      </c>
      <c r="K12517" s="27" t="s">
        <v>43</v>
      </c>
      <c r="L12517" s="27"/>
    </row>
    <row r="12518" customFormat="false" ht="15" hidden="false" customHeight="false" outlineLevel="0" collapsed="false">
      <c r="A12518" s="26" t="s">
        <v>29956</v>
      </c>
      <c r="B12518" s="27" t="s">
        <v>29957</v>
      </c>
      <c r="C12518" s="27" t="s">
        <v>1493</v>
      </c>
      <c r="D12518" s="26"/>
      <c r="E12518" s="27"/>
      <c r="F12518" s="27"/>
      <c r="G12518" s="27" t="s">
        <v>11122</v>
      </c>
      <c r="H12518" s="27" t="s">
        <v>35</v>
      </c>
      <c r="I12518" s="27" t="s">
        <v>44</v>
      </c>
      <c r="J12518" s="28" t="s">
        <v>1483</v>
      </c>
      <c r="K12518" s="27" t="s">
        <v>43</v>
      </c>
      <c r="L12518" s="27"/>
    </row>
    <row r="12519" customFormat="false" ht="15" hidden="false" customHeight="false" outlineLevel="0" collapsed="false">
      <c r="A12519" s="26" t="s">
        <v>29958</v>
      </c>
      <c r="B12519" s="27" t="s">
        <v>29959</v>
      </c>
      <c r="C12519" s="27" t="s">
        <v>1493</v>
      </c>
      <c r="D12519" s="26"/>
      <c r="E12519" s="27"/>
      <c r="F12519" s="27"/>
      <c r="G12519" s="27" t="s">
        <v>11122</v>
      </c>
      <c r="H12519" s="27" t="s">
        <v>35</v>
      </c>
      <c r="I12519" s="27" t="s">
        <v>43</v>
      </c>
      <c r="J12519" s="28" t="s">
        <v>1483</v>
      </c>
      <c r="K12519" s="27" t="s">
        <v>43</v>
      </c>
      <c r="L12519" s="27"/>
    </row>
    <row r="12520" customFormat="false" ht="15" hidden="false" customHeight="false" outlineLevel="0" collapsed="false">
      <c r="A12520" s="26" t="s">
        <v>29960</v>
      </c>
      <c r="B12520" s="27" t="s">
        <v>29961</v>
      </c>
      <c r="C12520" s="27" t="s">
        <v>131</v>
      </c>
      <c r="D12520" s="26"/>
      <c r="E12520" s="27"/>
      <c r="F12520" s="27"/>
      <c r="G12520" s="27" t="s">
        <v>11122</v>
      </c>
      <c r="H12520" s="27" t="s">
        <v>35</v>
      </c>
      <c r="I12520" s="27" t="s">
        <v>43</v>
      </c>
      <c r="J12520" s="28" t="s">
        <v>1483</v>
      </c>
      <c r="K12520" s="27" t="s">
        <v>43</v>
      </c>
      <c r="L12520" s="27"/>
    </row>
    <row r="12521" customFormat="false" ht="15" hidden="false" customHeight="false" outlineLevel="0" collapsed="false">
      <c r="A12521" s="26" t="s">
        <v>29962</v>
      </c>
      <c r="B12521" s="27" t="s">
        <v>29963</v>
      </c>
      <c r="C12521" s="27" t="s">
        <v>131</v>
      </c>
      <c r="D12521" s="26"/>
      <c r="E12521" s="27"/>
      <c r="F12521" s="27"/>
      <c r="G12521" s="27" t="s">
        <v>11122</v>
      </c>
      <c r="H12521" s="27" t="s">
        <v>35</v>
      </c>
      <c r="I12521" s="27" t="s">
        <v>43</v>
      </c>
      <c r="J12521" s="28" t="s">
        <v>1483</v>
      </c>
      <c r="K12521" s="27" t="s">
        <v>43</v>
      </c>
      <c r="L12521" s="27"/>
    </row>
    <row r="12522" customFormat="false" ht="15" hidden="false" customHeight="false" outlineLevel="0" collapsed="false">
      <c r="A12522" s="26" t="s">
        <v>29964</v>
      </c>
      <c r="B12522" s="27" t="s">
        <v>29965</v>
      </c>
      <c r="C12522" s="27" t="s">
        <v>144</v>
      </c>
      <c r="D12522" s="26"/>
      <c r="E12522" s="27"/>
      <c r="F12522" s="27"/>
      <c r="G12522" s="27" t="s">
        <v>11122</v>
      </c>
      <c r="H12522" s="27" t="s">
        <v>35</v>
      </c>
      <c r="I12522" s="27" t="s">
        <v>37</v>
      </c>
      <c r="J12522" s="28" t="s">
        <v>1483</v>
      </c>
      <c r="K12522" s="27" t="s">
        <v>43</v>
      </c>
      <c r="L12522" s="27"/>
    </row>
    <row r="12523" customFormat="false" ht="15" hidden="false" customHeight="false" outlineLevel="0" collapsed="false">
      <c r="A12523" s="26" t="s">
        <v>29966</v>
      </c>
      <c r="B12523" s="27" t="s">
        <v>29967</v>
      </c>
      <c r="C12523" s="27" t="s">
        <v>131</v>
      </c>
      <c r="D12523" s="26"/>
      <c r="E12523" s="27"/>
      <c r="F12523" s="27"/>
      <c r="G12523" s="27" t="s">
        <v>11122</v>
      </c>
      <c r="H12523" s="27" t="s">
        <v>35</v>
      </c>
      <c r="I12523" s="27" t="s">
        <v>43</v>
      </c>
      <c r="J12523" s="28" t="s">
        <v>1483</v>
      </c>
      <c r="K12523" s="27" t="s">
        <v>43</v>
      </c>
      <c r="L12523" s="27"/>
    </row>
    <row r="12524" customFormat="false" ht="15" hidden="false" customHeight="false" outlineLevel="0" collapsed="false">
      <c r="A12524" s="26" t="s">
        <v>29968</v>
      </c>
      <c r="B12524" s="27" t="s">
        <v>29969</v>
      </c>
      <c r="C12524" s="27" t="s">
        <v>100</v>
      </c>
      <c r="D12524" s="26"/>
      <c r="E12524" s="27"/>
      <c r="F12524" s="27"/>
      <c r="G12524" s="27" t="s">
        <v>11122</v>
      </c>
      <c r="H12524" s="27" t="s">
        <v>35</v>
      </c>
      <c r="I12524" s="27" t="s">
        <v>27435</v>
      </c>
      <c r="J12524" s="28" t="s">
        <v>1483</v>
      </c>
      <c r="K12524" s="27" t="s">
        <v>43</v>
      </c>
      <c r="L12524" s="27"/>
    </row>
    <row r="12525" customFormat="false" ht="15" hidden="false" customHeight="false" outlineLevel="0" collapsed="false">
      <c r="A12525" s="26" t="s">
        <v>29970</v>
      </c>
      <c r="B12525" s="27" t="s">
        <v>29971</v>
      </c>
      <c r="C12525" s="27" t="s">
        <v>100</v>
      </c>
      <c r="D12525" s="26"/>
      <c r="E12525" s="27"/>
      <c r="F12525" s="27"/>
      <c r="G12525" s="27" t="s">
        <v>11122</v>
      </c>
      <c r="H12525" s="27" t="s">
        <v>35</v>
      </c>
      <c r="I12525" s="27" t="s">
        <v>42</v>
      </c>
      <c r="J12525" s="28" t="s">
        <v>1483</v>
      </c>
      <c r="K12525" s="27" t="s">
        <v>43</v>
      </c>
      <c r="L12525" s="27"/>
    </row>
    <row r="12526" customFormat="false" ht="15" hidden="false" customHeight="false" outlineLevel="0" collapsed="false">
      <c r="A12526" s="26" t="s">
        <v>29972</v>
      </c>
      <c r="B12526" s="27" t="s">
        <v>29973</v>
      </c>
      <c r="C12526" s="27" t="s">
        <v>131</v>
      </c>
      <c r="D12526" s="26"/>
      <c r="E12526" s="27"/>
      <c r="F12526" s="27"/>
      <c r="G12526" s="27" t="s">
        <v>11122</v>
      </c>
      <c r="H12526" s="27" t="s">
        <v>35</v>
      </c>
      <c r="I12526" s="27" t="s">
        <v>108</v>
      </c>
      <c r="J12526" s="28" t="s">
        <v>1483</v>
      </c>
      <c r="K12526" s="27" t="s">
        <v>43</v>
      </c>
      <c r="L12526" s="27"/>
    </row>
    <row r="12527" customFormat="false" ht="15" hidden="false" customHeight="false" outlineLevel="0" collapsed="false">
      <c r="A12527" s="26" t="s">
        <v>29974</v>
      </c>
      <c r="B12527" s="28" t="s">
        <v>29975</v>
      </c>
      <c r="C12527" s="27" t="s">
        <v>100</v>
      </c>
      <c r="D12527" s="26"/>
      <c r="E12527" s="27"/>
      <c r="F12527" s="27"/>
      <c r="G12527" s="27" t="s">
        <v>11122</v>
      </c>
      <c r="H12527" s="27" t="s">
        <v>35</v>
      </c>
      <c r="I12527" s="27" t="s">
        <v>47</v>
      </c>
      <c r="J12527" s="28" t="s">
        <v>1483</v>
      </c>
      <c r="K12527" s="27" t="s">
        <v>43</v>
      </c>
      <c r="L12527" s="27"/>
    </row>
    <row r="12528" customFormat="false" ht="15" hidden="false" customHeight="false" outlineLevel="0" collapsed="false">
      <c r="A12528" s="26" t="s">
        <v>29976</v>
      </c>
      <c r="B12528" s="27" t="s">
        <v>29977</v>
      </c>
      <c r="C12528" s="27" t="s">
        <v>131</v>
      </c>
      <c r="D12528" s="26"/>
      <c r="E12528" s="27"/>
      <c r="F12528" s="27"/>
      <c r="G12528" s="27" t="s">
        <v>11122</v>
      </c>
      <c r="H12528" s="27" t="s">
        <v>35</v>
      </c>
      <c r="I12528" s="27" t="s">
        <v>43</v>
      </c>
      <c r="J12528" s="28" t="s">
        <v>1483</v>
      </c>
      <c r="K12528" s="27" t="s">
        <v>43</v>
      </c>
      <c r="L12528" s="27"/>
    </row>
    <row r="12529" customFormat="false" ht="15" hidden="false" customHeight="false" outlineLevel="0" collapsed="false">
      <c r="A12529" s="26" t="s">
        <v>29978</v>
      </c>
      <c r="B12529" s="27" t="s">
        <v>29979</v>
      </c>
      <c r="C12529" s="27" t="s">
        <v>1493</v>
      </c>
      <c r="D12529" s="26"/>
      <c r="E12529" s="27"/>
      <c r="F12529" s="27"/>
      <c r="G12529" s="27" t="s">
        <v>11122</v>
      </c>
      <c r="H12529" s="27" t="s">
        <v>35</v>
      </c>
      <c r="I12529" s="27" t="s">
        <v>43</v>
      </c>
      <c r="J12529" s="28" t="s">
        <v>1483</v>
      </c>
      <c r="K12529" s="27" t="s">
        <v>43</v>
      </c>
      <c r="L12529" s="27"/>
    </row>
    <row r="12530" customFormat="false" ht="15" hidden="false" customHeight="false" outlineLevel="0" collapsed="false">
      <c r="A12530" s="26" t="s">
        <v>29980</v>
      </c>
      <c r="B12530" s="27" t="s">
        <v>29981</v>
      </c>
      <c r="C12530" s="27" t="s">
        <v>2034</v>
      </c>
      <c r="D12530" s="26"/>
      <c r="E12530" s="27"/>
      <c r="F12530" s="27"/>
      <c r="G12530" s="27" t="s">
        <v>11122</v>
      </c>
      <c r="H12530" s="27" t="s">
        <v>35</v>
      </c>
      <c r="I12530" s="27" t="s">
        <v>43</v>
      </c>
      <c r="J12530" s="28" t="s">
        <v>1483</v>
      </c>
      <c r="K12530" s="27" t="s">
        <v>43</v>
      </c>
      <c r="L12530" s="27"/>
    </row>
    <row r="12531" customFormat="false" ht="15" hidden="false" customHeight="false" outlineLevel="0" collapsed="false">
      <c r="A12531" s="26" t="s">
        <v>29982</v>
      </c>
      <c r="B12531" s="28" t="s">
        <v>29983</v>
      </c>
      <c r="C12531" s="27" t="s">
        <v>1493</v>
      </c>
      <c r="D12531" s="26"/>
      <c r="E12531" s="27"/>
      <c r="F12531" s="27"/>
      <c r="G12531" s="27" t="s">
        <v>11122</v>
      </c>
      <c r="H12531" s="27" t="s">
        <v>35</v>
      </c>
      <c r="I12531" s="27" t="s">
        <v>43</v>
      </c>
      <c r="J12531" s="28" t="s">
        <v>1483</v>
      </c>
      <c r="K12531" s="27" t="s">
        <v>43</v>
      </c>
      <c r="L12531" s="27"/>
    </row>
    <row r="12532" customFormat="false" ht="15" hidden="false" customHeight="false" outlineLevel="0" collapsed="false">
      <c r="A12532" s="26" t="s">
        <v>29984</v>
      </c>
      <c r="B12532" s="27" t="s">
        <v>29985</v>
      </c>
      <c r="C12532" s="27" t="s">
        <v>1493</v>
      </c>
      <c r="D12532" s="26"/>
      <c r="E12532" s="27"/>
      <c r="F12532" s="27"/>
      <c r="G12532" s="27" t="s">
        <v>11122</v>
      </c>
      <c r="H12532" s="27" t="s">
        <v>35</v>
      </c>
      <c r="I12532" s="27" t="s">
        <v>43</v>
      </c>
      <c r="J12532" s="28" t="s">
        <v>1483</v>
      </c>
      <c r="K12532" s="27" t="s">
        <v>43</v>
      </c>
      <c r="L12532" s="27"/>
    </row>
    <row r="12533" customFormat="false" ht="15" hidden="false" customHeight="false" outlineLevel="0" collapsed="false">
      <c r="A12533" s="26" t="s">
        <v>29986</v>
      </c>
      <c r="B12533" s="27" t="s">
        <v>29987</v>
      </c>
      <c r="C12533" s="27" t="s">
        <v>100</v>
      </c>
      <c r="D12533" s="26"/>
      <c r="E12533" s="27"/>
      <c r="F12533" s="27"/>
      <c r="G12533" s="27" t="s">
        <v>11122</v>
      </c>
      <c r="H12533" s="27" t="s">
        <v>35</v>
      </c>
      <c r="I12533" s="27" t="s">
        <v>108</v>
      </c>
      <c r="J12533" s="28" t="s">
        <v>1483</v>
      </c>
      <c r="K12533" s="27" t="s">
        <v>43</v>
      </c>
      <c r="L12533" s="27"/>
    </row>
    <row r="12534" customFormat="false" ht="15" hidden="false" customHeight="false" outlineLevel="0" collapsed="false">
      <c r="A12534" s="26" t="s">
        <v>29988</v>
      </c>
      <c r="B12534" s="27" t="s">
        <v>29989</v>
      </c>
      <c r="C12534" s="27" t="s">
        <v>131</v>
      </c>
      <c r="D12534" s="26"/>
      <c r="E12534" s="27"/>
      <c r="F12534" s="27"/>
      <c r="G12534" s="27" t="s">
        <v>11122</v>
      </c>
      <c r="H12534" s="27" t="s">
        <v>35</v>
      </c>
      <c r="I12534" s="27" t="s">
        <v>42</v>
      </c>
      <c r="J12534" s="28" t="s">
        <v>1483</v>
      </c>
      <c r="K12534" s="27" t="s">
        <v>43</v>
      </c>
      <c r="L12534" s="27"/>
    </row>
    <row r="12535" customFormat="false" ht="15" hidden="false" customHeight="false" outlineLevel="0" collapsed="false">
      <c r="A12535" s="26" t="s">
        <v>29990</v>
      </c>
      <c r="B12535" s="27" t="s">
        <v>29991</v>
      </c>
      <c r="C12535" s="27" t="s">
        <v>1493</v>
      </c>
      <c r="D12535" s="26"/>
      <c r="E12535" s="27"/>
      <c r="F12535" s="27"/>
      <c r="G12535" s="27" t="s">
        <v>11122</v>
      </c>
      <c r="H12535" s="27" t="s">
        <v>35</v>
      </c>
      <c r="I12535" s="27" t="s">
        <v>108</v>
      </c>
      <c r="J12535" s="28" t="s">
        <v>1483</v>
      </c>
      <c r="K12535" s="27" t="s">
        <v>43</v>
      </c>
      <c r="L12535" s="27"/>
    </row>
    <row r="12536" customFormat="false" ht="15" hidden="false" customHeight="false" outlineLevel="0" collapsed="false">
      <c r="A12536" s="26" t="s">
        <v>29992</v>
      </c>
      <c r="B12536" s="27" t="s">
        <v>29993</v>
      </c>
      <c r="C12536" s="27" t="s">
        <v>2034</v>
      </c>
      <c r="D12536" s="26"/>
      <c r="E12536" s="27"/>
      <c r="F12536" s="27"/>
      <c r="G12536" s="27" t="s">
        <v>11122</v>
      </c>
      <c r="H12536" s="27" t="s">
        <v>35</v>
      </c>
      <c r="I12536" s="27" t="s">
        <v>49</v>
      </c>
      <c r="J12536" s="28" t="s">
        <v>1483</v>
      </c>
      <c r="K12536" s="27" t="s">
        <v>43</v>
      </c>
      <c r="L12536" s="27"/>
    </row>
    <row r="12537" customFormat="false" ht="15" hidden="false" customHeight="false" outlineLevel="0" collapsed="false">
      <c r="A12537" s="26" t="s">
        <v>29994</v>
      </c>
      <c r="B12537" s="27" t="s">
        <v>29995</v>
      </c>
      <c r="C12537" s="27" t="s">
        <v>144</v>
      </c>
      <c r="D12537" s="26"/>
      <c r="E12537" s="27"/>
      <c r="F12537" s="27"/>
      <c r="G12537" s="27" t="s">
        <v>11122</v>
      </c>
      <c r="H12537" s="27" t="s">
        <v>35</v>
      </c>
      <c r="I12537" s="27" t="s">
        <v>43</v>
      </c>
      <c r="J12537" s="28" t="s">
        <v>1483</v>
      </c>
      <c r="K12537" s="27" t="s">
        <v>43</v>
      </c>
      <c r="L12537" s="27"/>
    </row>
    <row r="12538" customFormat="false" ht="15" hidden="false" customHeight="false" outlineLevel="0" collapsed="false">
      <c r="A12538" s="26" t="s">
        <v>29996</v>
      </c>
      <c r="B12538" s="27" t="s">
        <v>29997</v>
      </c>
      <c r="C12538" s="27" t="s">
        <v>144</v>
      </c>
      <c r="D12538" s="26"/>
      <c r="E12538" s="27"/>
      <c r="F12538" s="27"/>
      <c r="G12538" s="27" t="s">
        <v>11122</v>
      </c>
      <c r="H12538" s="27" t="s">
        <v>35</v>
      </c>
      <c r="I12538" s="27" t="s">
        <v>43</v>
      </c>
      <c r="J12538" s="28" t="s">
        <v>1483</v>
      </c>
      <c r="K12538" s="27" t="s">
        <v>43</v>
      </c>
      <c r="L12538" s="27"/>
    </row>
    <row r="12539" customFormat="false" ht="15" hidden="false" customHeight="false" outlineLevel="0" collapsed="false">
      <c r="A12539" s="26" t="s">
        <v>29998</v>
      </c>
      <c r="B12539" s="27" t="s">
        <v>29999</v>
      </c>
      <c r="C12539" s="27" t="s">
        <v>144</v>
      </c>
      <c r="D12539" s="26"/>
      <c r="E12539" s="27"/>
      <c r="F12539" s="27"/>
      <c r="G12539" s="27" t="s">
        <v>11122</v>
      </c>
      <c r="H12539" s="27" t="s">
        <v>35</v>
      </c>
      <c r="I12539" s="27" t="s">
        <v>43</v>
      </c>
      <c r="J12539" s="28" t="s">
        <v>1483</v>
      </c>
      <c r="K12539" s="27" t="s">
        <v>43</v>
      </c>
      <c r="L12539" s="27"/>
    </row>
    <row r="12540" customFormat="false" ht="15" hidden="false" customHeight="false" outlineLevel="0" collapsed="false">
      <c r="A12540" s="26" t="s">
        <v>30000</v>
      </c>
      <c r="B12540" s="27" t="s">
        <v>30001</v>
      </c>
      <c r="C12540" s="27" t="s">
        <v>144</v>
      </c>
      <c r="D12540" s="26"/>
      <c r="E12540" s="27"/>
      <c r="F12540" s="27"/>
      <c r="G12540" s="27" t="s">
        <v>11122</v>
      </c>
      <c r="H12540" s="27" t="s">
        <v>35</v>
      </c>
      <c r="I12540" s="27" t="s">
        <v>43</v>
      </c>
      <c r="J12540" s="28" t="s">
        <v>1483</v>
      </c>
      <c r="K12540" s="27" t="s">
        <v>43</v>
      </c>
      <c r="L12540" s="27"/>
    </row>
    <row r="12541" customFormat="false" ht="15" hidden="false" customHeight="false" outlineLevel="0" collapsed="false">
      <c r="A12541" s="26" t="s">
        <v>30002</v>
      </c>
      <c r="B12541" s="27" t="s">
        <v>30003</v>
      </c>
      <c r="C12541" s="27" t="s">
        <v>144</v>
      </c>
      <c r="D12541" s="26"/>
      <c r="E12541" s="27"/>
      <c r="F12541" s="27"/>
      <c r="G12541" s="27" t="s">
        <v>11122</v>
      </c>
      <c r="H12541" s="27" t="s">
        <v>35</v>
      </c>
      <c r="I12541" s="27" t="s">
        <v>30004</v>
      </c>
      <c r="J12541" s="28" t="s">
        <v>1483</v>
      </c>
      <c r="K12541" s="27" t="s">
        <v>43</v>
      </c>
      <c r="L12541" s="27"/>
    </row>
    <row r="12542" customFormat="false" ht="15" hidden="false" customHeight="false" outlineLevel="0" collapsed="false">
      <c r="A12542" s="26" t="s">
        <v>30005</v>
      </c>
      <c r="B12542" s="28" t="s">
        <v>30006</v>
      </c>
      <c r="C12542" s="27" t="s">
        <v>1527</v>
      </c>
      <c r="D12542" s="26"/>
      <c r="E12542" s="27"/>
      <c r="F12542" s="27"/>
      <c r="G12542" s="27" t="s">
        <v>11122</v>
      </c>
      <c r="H12542" s="27" t="s">
        <v>35</v>
      </c>
      <c r="I12542" s="27" t="s">
        <v>37</v>
      </c>
      <c r="J12542" s="28" t="s">
        <v>1483</v>
      </c>
      <c r="K12542" s="27" t="s">
        <v>43</v>
      </c>
      <c r="L12542" s="27"/>
    </row>
    <row r="12543" customFormat="false" ht="15" hidden="false" customHeight="false" outlineLevel="0" collapsed="false">
      <c r="A12543" s="26" t="s">
        <v>30007</v>
      </c>
      <c r="B12543" s="27" t="s">
        <v>30008</v>
      </c>
      <c r="C12543" s="27" t="s">
        <v>100</v>
      </c>
      <c r="D12543" s="26"/>
      <c r="E12543" s="27"/>
      <c r="F12543" s="27"/>
      <c r="G12543" s="27" t="s">
        <v>11122</v>
      </c>
      <c r="H12543" s="27" t="s">
        <v>35</v>
      </c>
      <c r="I12543" s="27" t="s">
        <v>41</v>
      </c>
      <c r="J12543" s="28" t="s">
        <v>1483</v>
      </c>
      <c r="K12543" s="27" t="s">
        <v>43</v>
      </c>
      <c r="L12543" s="27"/>
    </row>
    <row r="12544" customFormat="false" ht="15" hidden="false" customHeight="false" outlineLevel="0" collapsed="false">
      <c r="A12544" s="26" t="s">
        <v>30009</v>
      </c>
      <c r="B12544" s="27" t="s">
        <v>30010</v>
      </c>
      <c r="C12544" s="27" t="s">
        <v>1493</v>
      </c>
      <c r="D12544" s="26"/>
      <c r="E12544" s="27"/>
      <c r="F12544" s="27"/>
      <c r="G12544" s="27" t="s">
        <v>11122</v>
      </c>
      <c r="H12544" s="27" t="s">
        <v>35</v>
      </c>
      <c r="I12544" s="27" t="s">
        <v>43</v>
      </c>
      <c r="J12544" s="28" t="s">
        <v>1483</v>
      </c>
      <c r="K12544" s="27" t="s">
        <v>43</v>
      </c>
      <c r="L12544" s="27"/>
    </row>
    <row r="12545" customFormat="false" ht="15" hidden="false" customHeight="false" outlineLevel="0" collapsed="false">
      <c r="A12545" s="26" t="s">
        <v>30011</v>
      </c>
      <c r="B12545" s="27" t="s">
        <v>30012</v>
      </c>
      <c r="C12545" s="27" t="s">
        <v>1493</v>
      </c>
      <c r="D12545" s="26"/>
      <c r="E12545" s="27"/>
      <c r="F12545" s="27"/>
      <c r="G12545" s="27" t="s">
        <v>11122</v>
      </c>
      <c r="H12545" s="27" t="s">
        <v>35</v>
      </c>
      <c r="I12545" s="27" t="s">
        <v>64</v>
      </c>
      <c r="J12545" s="28" t="s">
        <v>1483</v>
      </c>
      <c r="K12545" s="27" t="s">
        <v>43</v>
      </c>
      <c r="L12545" s="27"/>
    </row>
    <row r="12546" customFormat="false" ht="15" hidden="false" customHeight="false" outlineLevel="0" collapsed="false">
      <c r="A12546" s="26" t="s">
        <v>30013</v>
      </c>
      <c r="B12546" s="27" t="s">
        <v>30014</v>
      </c>
      <c r="C12546" s="27" t="s">
        <v>1493</v>
      </c>
      <c r="D12546" s="26"/>
      <c r="E12546" s="27"/>
      <c r="F12546" s="27"/>
      <c r="G12546" s="27" t="s">
        <v>11122</v>
      </c>
      <c r="H12546" s="27" t="s">
        <v>35</v>
      </c>
      <c r="I12546" s="27" t="s">
        <v>47</v>
      </c>
      <c r="J12546" s="28" t="s">
        <v>1483</v>
      </c>
      <c r="K12546" s="27" t="s">
        <v>43</v>
      </c>
      <c r="L12546" s="27"/>
    </row>
    <row r="12547" customFormat="false" ht="15" hidden="false" customHeight="false" outlineLevel="0" collapsed="false">
      <c r="A12547" s="26" t="s">
        <v>30015</v>
      </c>
      <c r="B12547" s="27" t="s">
        <v>30016</v>
      </c>
      <c r="C12547" s="27" t="s">
        <v>1493</v>
      </c>
      <c r="D12547" s="26"/>
      <c r="E12547" s="27"/>
      <c r="F12547" s="27"/>
      <c r="G12547" s="27" t="s">
        <v>11122</v>
      </c>
      <c r="H12547" s="27" t="s">
        <v>35</v>
      </c>
      <c r="I12547" s="27" t="s">
        <v>49</v>
      </c>
      <c r="J12547" s="28" t="s">
        <v>1483</v>
      </c>
      <c r="K12547" s="27" t="s">
        <v>43</v>
      </c>
      <c r="L12547" s="27"/>
    </row>
    <row r="12548" customFormat="false" ht="15" hidden="false" customHeight="false" outlineLevel="0" collapsed="false">
      <c r="A12548" s="26" t="s">
        <v>30017</v>
      </c>
      <c r="B12548" s="27" t="s">
        <v>30018</v>
      </c>
      <c r="C12548" s="27" t="s">
        <v>2034</v>
      </c>
      <c r="D12548" s="26"/>
      <c r="E12548" s="27"/>
      <c r="F12548" s="27"/>
      <c r="G12548" s="27" t="s">
        <v>11122</v>
      </c>
      <c r="H12548" s="27" t="s">
        <v>35</v>
      </c>
      <c r="I12548" s="27" t="s">
        <v>108</v>
      </c>
      <c r="J12548" s="28" t="s">
        <v>1483</v>
      </c>
      <c r="K12548" s="27" t="s">
        <v>43</v>
      </c>
      <c r="L12548" s="27"/>
    </row>
    <row r="12549" customFormat="false" ht="15" hidden="false" customHeight="false" outlineLevel="0" collapsed="false">
      <c r="A12549" s="26" t="s">
        <v>30019</v>
      </c>
      <c r="B12549" s="27" t="s">
        <v>30020</v>
      </c>
      <c r="C12549" s="27" t="s">
        <v>144</v>
      </c>
      <c r="D12549" s="26"/>
      <c r="E12549" s="27"/>
      <c r="F12549" s="27"/>
      <c r="G12549" s="27" t="s">
        <v>11122</v>
      </c>
      <c r="H12549" s="27" t="s">
        <v>35</v>
      </c>
      <c r="I12549" s="27" t="s">
        <v>41</v>
      </c>
      <c r="J12549" s="28" t="s">
        <v>1483</v>
      </c>
      <c r="K12549" s="27" t="s">
        <v>43</v>
      </c>
      <c r="L12549" s="27"/>
    </row>
    <row r="12550" customFormat="false" ht="15" hidden="false" customHeight="false" outlineLevel="0" collapsed="false">
      <c r="A12550" s="26" t="s">
        <v>30021</v>
      </c>
      <c r="B12550" s="27" t="s">
        <v>30022</v>
      </c>
      <c r="C12550" s="27" t="s">
        <v>3373</v>
      </c>
      <c r="D12550" s="26"/>
      <c r="E12550" s="27"/>
      <c r="F12550" s="27"/>
      <c r="G12550" s="27" t="s">
        <v>11122</v>
      </c>
      <c r="H12550" s="27" t="s">
        <v>35</v>
      </c>
      <c r="I12550" s="27" t="s">
        <v>43</v>
      </c>
      <c r="J12550" s="28" t="s">
        <v>1483</v>
      </c>
      <c r="K12550" s="27" t="s">
        <v>43</v>
      </c>
      <c r="L12550" s="27"/>
    </row>
    <row r="12551" customFormat="false" ht="15" hidden="false" customHeight="false" outlineLevel="0" collapsed="false">
      <c r="A12551" s="26" t="s">
        <v>30023</v>
      </c>
      <c r="B12551" s="27" t="s">
        <v>30024</v>
      </c>
      <c r="C12551" s="27" t="s">
        <v>131</v>
      </c>
      <c r="D12551" s="26"/>
      <c r="E12551" s="27"/>
      <c r="F12551" s="27"/>
      <c r="G12551" s="27" t="s">
        <v>11122</v>
      </c>
      <c r="H12551" s="27" t="s">
        <v>35</v>
      </c>
      <c r="I12551" s="27" t="s">
        <v>43</v>
      </c>
      <c r="J12551" s="28" t="s">
        <v>1483</v>
      </c>
      <c r="K12551" s="27" t="s">
        <v>43</v>
      </c>
      <c r="L12551" s="27"/>
    </row>
    <row r="12552" customFormat="false" ht="15" hidden="false" customHeight="false" outlineLevel="0" collapsed="false">
      <c r="A12552" s="26" t="s">
        <v>30025</v>
      </c>
      <c r="B12552" s="27" t="s">
        <v>30026</v>
      </c>
      <c r="C12552" s="27" t="s">
        <v>144</v>
      </c>
      <c r="D12552" s="26"/>
      <c r="E12552" s="27"/>
      <c r="F12552" s="27"/>
      <c r="G12552" s="27" t="s">
        <v>11122</v>
      </c>
      <c r="H12552" s="27" t="s">
        <v>35</v>
      </c>
      <c r="I12552" s="27" t="s">
        <v>43</v>
      </c>
      <c r="J12552" s="28" t="s">
        <v>1483</v>
      </c>
      <c r="K12552" s="27" t="s">
        <v>43</v>
      </c>
      <c r="L12552" s="27"/>
    </row>
    <row r="12553" customFormat="false" ht="15" hidden="false" customHeight="false" outlineLevel="0" collapsed="false">
      <c r="A12553" s="26" t="s">
        <v>30027</v>
      </c>
      <c r="B12553" s="27" t="s">
        <v>30028</v>
      </c>
      <c r="C12553" s="27" t="s">
        <v>144</v>
      </c>
      <c r="D12553" s="26"/>
      <c r="E12553" s="27"/>
      <c r="F12553" s="27"/>
      <c r="G12553" s="27" t="s">
        <v>11122</v>
      </c>
      <c r="H12553" s="27" t="s">
        <v>35</v>
      </c>
      <c r="I12553" s="27" t="s">
        <v>43</v>
      </c>
      <c r="J12553" s="28" t="s">
        <v>1483</v>
      </c>
      <c r="K12553" s="27" t="s">
        <v>43</v>
      </c>
      <c r="L12553" s="27"/>
    </row>
    <row r="12554" customFormat="false" ht="15" hidden="false" customHeight="false" outlineLevel="0" collapsed="false">
      <c r="A12554" s="26" t="s">
        <v>30029</v>
      </c>
      <c r="B12554" s="27" t="s">
        <v>30030</v>
      </c>
      <c r="C12554" s="27" t="s">
        <v>144</v>
      </c>
      <c r="D12554" s="26"/>
      <c r="E12554" s="27"/>
      <c r="F12554" s="27"/>
      <c r="G12554" s="27" t="s">
        <v>11122</v>
      </c>
      <c r="H12554" s="27" t="s">
        <v>35</v>
      </c>
      <c r="I12554" s="27" t="s">
        <v>43</v>
      </c>
      <c r="J12554" s="28" t="s">
        <v>1483</v>
      </c>
      <c r="K12554" s="27" t="s">
        <v>43</v>
      </c>
      <c r="L12554" s="27"/>
    </row>
    <row r="12555" customFormat="false" ht="15" hidden="false" customHeight="false" outlineLevel="0" collapsed="false">
      <c r="A12555" s="26" t="s">
        <v>30031</v>
      </c>
      <c r="B12555" s="27" t="s">
        <v>30032</v>
      </c>
      <c r="C12555" s="27" t="s">
        <v>144</v>
      </c>
      <c r="D12555" s="26"/>
      <c r="E12555" s="27"/>
      <c r="F12555" s="27"/>
      <c r="G12555" s="27" t="s">
        <v>11122</v>
      </c>
      <c r="H12555" s="27" t="s">
        <v>35</v>
      </c>
      <c r="I12555" s="27" t="s">
        <v>1067</v>
      </c>
      <c r="J12555" s="28" t="s">
        <v>1483</v>
      </c>
      <c r="K12555" s="27" t="s">
        <v>43</v>
      </c>
      <c r="L12555" s="27"/>
    </row>
    <row r="12556" customFormat="false" ht="15" hidden="false" customHeight="false" outlineLevel="0" collapsed="false">
      <c r="A12556" s="26" t="s">
        <v>30033</v>
      </c>
      <c r="B12556" s="27" t="s">
        <v>30034</v>
      </c>
      <c r="C12556" s="27" t="s">
        <v>144</v>
      </c>
      <c r="D12556" s="26"/>
      <c r="E12556" s="27"/>
      <c r="F12556" s="27"/>
      <c r="G12556" s="27" t="s">
        <v>11122</v>
      </c>
      <c r="H12556" s="27" t="s">
        <v>35</v>
      </c>
      <c r="I12556" s="27" t="s">
        <v>43</v>
      </c>
      <c r="J12556" s="28" t="s">
        <v>1483</v>
      </c>
      <c r="K12556" s="27" t="s">
        <v>43</v>
      </c>
      <c r="L12556" s="27"/>
    </row>
    <row r="12557" customFormat="false" ht="15" hidden="false" customHeight="false" outlineLevel="0" collapsed="false">
      <c r="A12557" s="26" t="s">
        <v>30035</v>
      </c>
      <c r="B12557" s="27" t="s">
        <v>30036</v>
      </c>
      <c r="C12557" s="27" t="s">
        <v>144</v>
      </c>
      <c r="D12557" s="26"/>
      <c r="E12557" s="27"/>
      <c r="F12557" s="27"/>
      <c r="G12557" s="27" t="s">
        <v>11122</v>
      </c>
      <c r="H12557" s="27" t="s">
        <v>35</v>
      </c>
      <c r="I12557" s="27" t="s">
        <v>43</v>
      </c>
      <c r="J12557" s="28" t="s">
        <v>1483</v>
      </c>
      <c r="K12557" s="27" t="s">
        <v>43</v>
      </c>
      <c r="L12557" s="27"/>
    </row>
    <row r="12558" customFormat="false" ht="15" hidden="false" customHeight="false" outlineLevel="0" collapsed="false">
      <c r="A12558" s="26" t="s">
        <v>30037</v>
      </c>
      <c r="B12558" s="27" t="s">
        <v>30038</v>
      </c>
      <c r="C12558" s="27" t="s">
        <v>144</v>
      </c>
      <c r="D12558" s="26"/>
      <c r="E12558" s="27"/>
      <c r="F12558" s="27"/>
      <c r="G12558" s="27" t="s">
        <v>11122</v>
      </c>
      <c r="H12558" s="27" t="s">
        <v>35</v>
      </c>
      <c r="I12558" s="27" t="s">
        <v>43</v>
      </c>
      <c r="J12558" s="28" t="s">
        <v>1483</v>
      </c>
      <c r="K12558" s="27" t="s">
        <v>43</v>
      </c>
      <c r="L12558" s="27"/>
    </row>
    <row r="12559" customFormat="false" ht="15" hidden="false" customHeight="false" outlineLevel="0" collapsed="false">
      <c r="A12559" s="26" t="s">
        <v>30039</v>
      </c>
      <c r="B12559" s="27" t="s">
        <v>30040</v>
      </c>
      <c r="C12559" s="27" t="s">
        <v>144</v>
      </c>
      <c r="D12559" s="26"/>
      <c r="E12559" s="27"/>
      <c r="F12559" s="27"/>
      <c r="G12559" s="27" t="s">
        <v>11122</v>
      </c>
      <c r="H12559" s="27" t="s">
        <v>35</v>
      </c>
      <c r="I12559" s="27" t="s">
        <v>43</v>
      </c>
      <c r="J12559" s="28" t="s">
        <v>1483</v>
      </c>
      <c r="K12559" s="27" t="s">
        <v>43</v>
      </c>
      <c r="L12559" s="27"/>
    </row>
    <row r="12560" customFormat="false" ht="15" hidden="false" customHeight="false" outlineLevel="0" collapsed="false">
      <c r="A12560" s="26" t="s">
        <v>30041</v>
      </c>
      <c r="B12560" s="27" t="s">
        <v>30042</v>
      </c>
      <c r="C12560" s="27" t="s">
        <v>131</v>
      </c>
      <c r="D12560" s="26"/>
      <c r="E12560" s="27"/>
      <c r="F12560" s="27"/>
      <c r="G12560" s="27" t="s">
        <v>11122</v>
      </c>
      <c r="H12560" s="27" t="s">
        <v>35</v>
      </c>
      <c r="I12560" s="27" t="s">
        <v>43</v>
      </c>
      <c r="J12560" s="28" t="s">
        <v>1483</v>
      </c>
      <c r="K12560" s="27" t="s">
        <v>43</v>
      </c>
      <c r="L12560" s="27"/>
    </row>
    <row r="12561" customFormat="false" ht="15" hidden="false" customHeight="false" outlineLevel="0" collapsed="false">
      <c r="A12561" s="26" t="s">
        <v>30043</v>
      </c>
      <c r="B12561" s="27" t="s">
        <v>30044</v>
      </c>
      <c r="C12561" s="27" t="s">
        <v>144</v>
      </c>
      <c r="D12561" s="26"/>
      <c r="E12561" s="27"/>
      <c r="F12561" s="27"/>
      <c r="G12561" s="27" t="s">
        <v>11122</v>
      </c>
      <c r="H12561" s="27" t="s">
        <v>35</v>
      </c>
      <c r="I12561" s="27" t="s">
        <v>43</v>
      </c>
      <c r="J12561" s="28" t="s">
        <v>1483</v>
      </c>
      <c r="K12561" s="27" t="s">
        <v>43</v>
      </c>
      <c r="L12561" s="27"/>
    </row>
    <row r="12562" customFormat="false" ht="15" hidden="false" customHeight="false" outlineLevel="0" collapsed="false">
      <c r="A12562" s="26" t="s">
        <v>30045</v>
      </c>
      <c r="B12562" s="27" t="s">
        <v>30046</v>
      </c>
      <c r="C12562" s="27" t="s">
        <v>144</v>
      </c>
      <c r="D12562" s="26"/>
      <c r="E12562" s="27"/>
      <c r="F12562" s="27"/>
      <c r="G12562" s="27" t="s">
        <v>11122</v>
      </c>
      <c r="H12562" s="27" t="s">
        <v>35</v>
      </c>
      <c r="I12562" s="27" t="s">
        <v>43</v>
      </c>
      <c r="J12562" s="28" t="s">
        <v>1483</v>
      </c>
      <c r="K12562" s="27" t="s">
        <v>43</v>
      </c>
      <c r="L12562" s="27"/>
    </row>
    <row r="12563" customFormat="false" ht="15" hidden="false" customHeight="false" outlineLevel="0" collapsed="false">
      <c r="A12563" s="26" t="s">
        <v>30047</v>
      </c>
      <c r="B12563" s="27" t="s">
        <v>30048</v>
      </c>
      <c r="C12563" s="27" t="s">
        <v>144</v>
      </c>
      <c r="D12563" s="26"/>
      <c r="E12563" s="27"/>
      <c r="F12563" s="27"/>
      <c r="G12563" s="27" t="s">
        <v>11122</v>
      </c>
      <c r="H12563" s="27" t="s">
        <v>35</v>
      </c>
      <c r="I12563" s="27" t="s">
        <v>43</v>
      </c>
      <c r="J12563" s="28" t="s">
        <v>1483</v>
      </c>
      <c r="K12563" s="27" t="s">
        <v>43</v>
      </c>
      <c r="L12563" s="27"/>
    </row>
    <row r="12564" customFormat="false" ht="15" hidden="false" customHeight="false" outlineLevel="0" collapsed="false">
      <c r="A12564" s="26" t="s">
        <v>30049</v>
      </c>
      <c r="B12564" s="27" t="s">
        <v>30050</v>
      </c>
      <c r="C12564" s="27" t="s">
        <v>144</v>
      </c>
      <c r="D12564" s="26"/>
      <c r="E12564" s="27"/>
      <c r="F12564" s="27"/>
      <c r="G12564" s="27" t="s">
        <v>11122</v>
      </c>
      <c r="H12564" s="27" t="s">
        <v>35</v>
      </c>
      <c r="I12564" s="27" t="s">
        <v>43</v>
      </c>
      <c r="J12564" s="28" t="s">
        <v>1483</v>
      </c>
      <c r="K12564" s="27" t="s">
        <v>43</v>
      </c>
      <c r="L12564" s="27"/>
    </row>
    <row r="12565" customFormat="false" ht="15" hidden="false" customHeight="false" outlineLevel="0" collapsed="false">
      <c r="A12565" s="26" t="s">
        <v>30051</v>
      </c>
      <c r="B12565" s="27" t="s">
        <v>30052</v>
      </c>
      <c r="C12565" s="27" t="s">
        <v>1493</v>
      </c>
      <c r="D12565" s="26"/>
      <c r="E12565" s="27"/>
      <c r="F12565" s="27"/>
      <c r="G12565" s="27" t="s">
        <v>11122</v>
      </c>
      <c r="H12565" s="27" t="s">
        <v>35</v>
      </c>
      <c r="I12565" s="27" t="s">
        <v>47</v>
      </c>
      <c r="J12565" s="28" t="s">
        <v>1483</v>
      </c>
      <c r="K12565" s="27" t="s">
        <v>43</v>
      </c>
      <c r="L12565" s="27"/>
    </row>
    <row r="12566" customFormat="false" ht="15" hidden="false" customHeight="false" outlineLevel="0" collapsed="false">
      <c r="A12566" s="26" t="s">
        <v>30053</v>
      </c>
      <c r="B12566" s="27" t="s">
        <v>30054</v>
      </c>
      <c r="C12566" s="27" t="s">
        <v>1493</v>
      </c>
      <c r="D12566" s="26"/>
      <c r="E12566" s="27"/>
      <c r="F12566" s="27"/>
      <c r="G12566" s="27" t="s">
        <v>11122</v>
      </c>
      <c r="H12566" s="27" t="s">
        <v>35</v>
      </c>
      <c r="I12566" s="27" t="s">
        <v>47</v>
      </c>
      <c r="J12566" s="28" t="s">
        <v>1483</v>
      </c>
      <c r="K12566" s="27" t="s">
        <v>43</v>
      </c>
      <c r="L12566" s="27"/>
    </row>
    <row r="12567" customFormat="false" ht="15" hidden="false" customHeight="false" outlineLevel="0" collapsed="false">
      <c r="A12567" s="26" t="s">
        <v>30055</v>
      </c>
      <c r="B12567" s="27" t="s">
        <v>30056</v>
      </c>
      <c r="C12567" s="27" t="s">
        <v>1493</v>
      </c>
      <c r="D12567" s="26"/>
      <c r="E12567" s="27"/>
      <c r="F12567" s="27"/>
      <c r="G12567" s="27" t="s">
        <v>11122</v>
      </c>
      <c r="H12567" s="27" t="s">
        <v>35</v>
      </c>
      <c r="I12567" s="27" t="s">
        <v>43</v>
      </c>
      <c r="J12567" s="28" t="s">
        <v>1483</v>
      </c>
      <c r="K12567" s="27" t="s">
        <v>43</v>
      </c>
      <c r="L12567" s="27"/>
    </row>
    <row r="12568" customFormat="false" ht="15" hidden="false" customHeight="false" outlineLevel="0" collapsed="false">
      <c r="A12568" s="26" t="s">
        <v>30057</v>
      </c>
      <c r="B12568" s="27" t="s">
        <v>30058</v>
      </c>
      <c r="C12568" s="27" t="s">
        <v>1493</v>
      </c>
      <c r="D12568" s="26"/>
      <c r="E12568" s="27"/>
      <c r="F12568" s="27"/>
      <c r="G12568" s="27" t="s">
        <v>11122</v>
      </c>
      <c r="H12568" s="27" t="s">
        <v>35</v>
      </c>
      <c r="I12568" s="27" t="s">
        <v>43</v>
      </c>
      <c r="J12568" s="28" t="s">
        <v>1483</v>
      </c>
      <c r="K12568" s="27" t="s">
        <v>43</v>
      </c>
      <c r="L12568" s="27"/>
    </row>
    <row r="12569" customFormat="false" ht="15" hidden="false" customHeight="false" outlineLevel="0" collapsed="false">
      <c r="A12569" s="26" t="s">
        <v>30059</v>
      </c>
      <c r="B12569" s="27" t="s">
        <v>30060</v>
      </c>
      <c r="C12569" s="27" t="s">
        <v>144</v>
      </c>
      <c r="D12569" s="26"/>
      <c r="E12569" s="27"/>
      <c r="F12569" s="27"/>
      <c r="G12569" s="27" t="s">
        <v>11122</v>
      </c>
      <c r="H12569" s="27" t="s">
        <v>35</v>
      </c>
      <c r="I12569" s="27" t="s">
        <v>43</v>
      </c>
      <c r="J12569" s="28" t="s">
        <v>1483</v>
      </c>
      <c r="K12569" s="27" t="s">
        <v>43</v>
      </c>
      <c r="L12569" s="27"/>
    </row>
    <row r="12570" customFormat="false" ht="15" hidden="false" customHeight="false" outlineLevel="0" collapsed="false">
      <c r="A12570" s="26" t="s">
        <v>30061</v>
      </c>
      <c r="B12570" s="27" t="s">
        <v>30062</v>
      </c>
      <c r="C12570" s="27" t="s">
        <v>144</v>
      </c>
      <c r="D12570" s="26"/>
      <c r="E12570" s="27"/>
      <c r="F12570" s="27"/>
      <c r="G12570" s="27" t="s">
        <v>11122</v>
      </c>
      <c r="H12570" s="27" t="s">
        <v>35</v>
      </c>
      <c r="I12570" s="27" t="s">
        <v>39</v>
      </c>
      <c r="J12570" s="28" t="s">
        <v>1483</v>
      </c>
      <c r="K12570" s="27" t="s">
        <v>43</v>
      </c>
      <c r="L12570" s="27"/>
    </row>
    <row r="12571" customFormat="false" ht="15" hidden="false" customHeight="false" outlineLevel="0" collapsed="false">
      <c r="A12571" s="26" t="s">
        <v>30063</v>
      </c>
      <c r="B12571" s="27" t="s">
        <v>30064</v>
      </c>
      <c r="C12571" s="27" t="s">
        <v>144</v>
      </c>
      <c r="D12571" s="26"/>
      <c r="E12571" s="27"/>
      <c r="F12571" s="27"/>
      <c r="G12571" s="27" t="s">
        <v>11122</v>
      </c>
      <c r="H12571" s="27" t="s">
        <v>35</v>
      </c>
      <c r="I12571" s="27" t="s">
        <v>42</v>
      </c>
      <c r="J12571" s="28" t="s">
        <v>1483</v>
      </c>
      <c r="K12571" s="27" t="s">
        <v>43</v>
      </c>
      <c r="L12571" s="27"/>
    </row>
    <row r="12572" customFormat="false" ht="15" hidden="false" customHeight="false" outlineLevel="0" collapsed="false">
      <c r="A12572" s="26" t="s">
        <v>30065</v>
      </c>
      <c r="B12572" s="27" t="s">
        <v>30066</v>
      </c>
      <c r="C12572" s="27" t="s">
        <v>144</v>
      </c>
      <c r="D12572" s="26"/>
      <c r="E12572" s="27"/>
      <c r="F12572" s="27"/>
      <c r="G12572" s="27" t="s">
        <v>11122</v>
      </c>
      <c r="H12572" s="27" t="s">
        <v>35</v>
      </c>
      <c r="I12572" s="27" t="s">
        <v>43</v>
      </c>
      <c r="J12572" s="28" t="s">
        <v>1483</v>
      </c>
      <c r="K12572" s="27" t="s">
        <v>43</v>
      </c>
      <c r="L12572" s="27"/>
    </row>
    <row r="12573" customFormat="false" ht="15" hidden="false" customHeight="false" outlineLevel="0" collapsed="false">
      <c r="A12573" s="26" t="s">
        <v>30067</v>
      </c>
      <c r="B12573" s="27" t="s">
        <v>30068</v>
      </c>
      <c r="C12573" s="27" t="s">
        <v>2034</v>
      </c>
      <c r="D12573" s="26"/>
      <c r="E12573" s="27"/>
      <c r="F12573" s="27"/>
      <c r="G12573" s="27" t="s">
        <v>11122</v>
      </c>
      <c r="H12573" s="27" t="s">
        <v>35</v>
      </c>
      <c r="I12573" s="27" t="s">
        <v>43</v>
      </c>
      <c r="J12573" s="28" t="s">
        <v>1483</v>
      </c>
      <c r="K12573" s="27" t="s">
        <v>43</v>
      </c>
      <c r="L12573" s="27"/>
    </row>
    <row r="12574" customFormat="false" ht="15" hidden="false" customHeight="false" outlineLevel="0" collapsed="false">
      <c r="A12574" s="26" t="s">
        <v>30069</v>
      </c>
      <c r="B12574" s="27" t="s">
        <v>30070</v>
      </c>
      <c r="C12574" s="27" t="s">
        <v>144</v>
      </c>
      <c r="D12574" s="26"/>
      <c r="E12574" s="27"/>
      <c r="F12574" s="27"/>
      <c r="G12574" s="27" t="s">
        <v>11122</v>
      </c>
      <c r="H12574" s="27" t="s">
        <v>35</v>
      </c>
      <c r="I12574" s="27" t="s">
        <v>43</v>
      </c>
      <c r="J12574" s="28" t="s">
        <v>1483</v>
      </c>
      <c r="K12574" s="27" t="s">
        <v>43</v>
      </c>
      <c r="L12574" s="27"/>
    </row>
    <row r="12575" customFormat="false" ht="15" hidden="false" customHeight="false" outlineLevel="0" collapsed="false">
      <c r="A12575" s="26" t="s">
        <v>30071</v>
      </c>
      <c r="B12575" s="27" t="s">
        <v>30072</v>
      </c>
      <c r="C12575" s="27" t="s">
        <v>144</v>
      </c>
      <c r="D12575" s="26"/>
      <c r="E12575" s="27"/>
      <c r="F12575" s="27"/>
      <c r="G12575" s="27" t="s">
        <v>11122</v>
      </c>
      <c r="H12575" s="27" t="s">
        <v>35</v>
      </c>
      <c r="I12575" s="27" t="s">
        <v>42</v>
      </c>
      <c r="J12575" s="28" t="s">
        <v>1483</v>
      </c>
      <c r="K12575" s="27" t="s">
        <v>43</v>
      </c>
      <c r="L12575" s="27"/>
    </row>
    <row r="12576" customFormat="false" ht="15" hidden="false" customHeight="false" outlineLevel="0" collapsed="false">
      <c r="A12576" s="26" t="s">
        <v>30073</v>
      </c>
      <c r="B12576" s="27" t="s">
        <v>30074</v>
      </c>
      <c r="C12576" s="27" t="s">
        <v>144</v>
      </c>
      <c r="D12576" s="26"/>
      <c r="E12576" s="27"/>
      <c r="F12576" s="27"/>
      <c r="G12576" s="27" t="s">
        <v>11122</v>
      </c>
      <c r="H12576" s="27" t="s">
        <v>35</v>
      </c>
      <c r="I12576" s="27" t="s">
        <v>37</v>
      </c>
      <c r="J12576" s="28" t="s">
        <v>1483</v>
      </c>
      <c r="K12576" s="27" t="s">
        <v>43</v>
      </c>
      <c r="L12576" s="27"/>
    </row>
    <row r="12577" customFormat="false" ht="15" hidden="false" customHeight="false" outlineLevel="0" collapsed="false">
      <c r="A12577" s="26" t="s">
        <v>30075</v>
      </c>
      <c r="B12577" s="27" t="s">
        <v>30076</v>
      </c>
      <c r="C12577" s="27" t="s">
        <v>144</v>
      </c>
      <c r="D12577" s="26"/>
      <c r="E12577" s="27"/>
      <c r="F12577" s="27"/>
      <c r="G12577" s="27" t="s">
        <v>11122</v>
      </c>
      <c r="H12577" s="27" t="s">
        <v>35</v>
      </c>
      <c r="I12577" s="27" t="s">
        <v>43</v>
      </c>
      <c r="J12577" s="28" t="s">
        <v>1483</v>
      </c>
      <c r="K12577" s="27" t="s">
        <v>43</v>
      </c>
      <c r="L12577" s="27"/>
    </row>
    <row r="12578" customFormat="false" ht="15" hidden="false" customHeight="false" outlineLevel="0" collapsed="false">
      <c r="A12578" s="26" t="s">
        <v>30077</v>
      </c>
      <c r="B12578" s="27" t="s">
        <v>30078</v>
      </c>
      <c r="C12578" s="27" t="s">
        <v>144</v>
      </c>
      <c r="D12578" s="26"/>
      <c r="E12578" s="27"/>
      <c r="F12578" s="27"/>
      <c r="G12578" s="27" t="s">
        <v>11122</v>
      </c>
      <c r="H12578" s="27" t="s">
        <v>35</v>
      </c>
      <c r="I12578" s="27" t="s">
        <v>43</v>
      </c>
      <c r="J12578" s="28" t="s">
        <v>1483</v>
      </c>
      <c r="K12578" s="27" t="s">
        <v>43</v>
      </c>
      <c r="L12578" s="27"/>
    </row>
    <row r="12579" customFormat="false" ht="15" hidden="false" customHeight="false" outlineLevel="0" collapsed="false">
      <c r="A12579" s="26" t="s">
        <v>30079</v>
      </c>
      <c r="B12579" s="27" t="s">
        <v>30080</v>
      </c>
      <c r="C12579" s="27" t="s">
        <v>144</v>
      </c>
      <c r="D12579" s="26"/>
      <c r="E12579" s="27"/>
      <c r="F12579" s="27"/>
      <c r="G12579" s="27" t="s">
        <v>11122</v>
      </c>
      <c r="H12579" s="27" t="s">
        <v>35</v>
      </c>
      <c r="I12579" s="27" t="s">
        <v>43</v>
      </c>
      <c r="J12579" s="28" t="s">
        <v>1483</v>
      </c>
      <c r="K12579" s="27" t="s">
        <v>43</v>
      </c>
      <c r="L12579" s="27"/>
    </row>
    <row r="12580" customFormat="false" ht="15" hidden="false" customHeight="false" outlineLevel="0" collapsed="false">
      <c r="A12580" s="26" t="s">
        <v>30081</v>
      </c>
      <c r="B12580" s="27" t="s">
        <v>30082</v>
      </c>
      <c r="C12580" s="27" t="s">
        <v>100</v>
      </c>
      <c r="D12580" s="26"/>
      <c r="E12580" s="27"/>
      <c r="F12580" s="27"/>
      <c r="G12580" s="27" t="s">
        <v>11122</v>
      </c>
      <c r="H12580" s="27" t="s">
        <v>35</v>
      </c>
      <c r="I12580" s="27" t="s">
        <v>37</v>
      </c>
      <c r="J12580" s="28" t="s">
        <v>1483</v>
      </c>
      <c r="K12580" s="27" t="s">
        <v>43</v>
      </c>
      <c r="L12580" s="27"/>
    </row>
    <row r="12581" customFormat="false" ht="15" hidden="false" customHeight="false" outlineLevel="0" collapsed="false">
      <c r="A12581" s="26" t="s">
        <v>30083</v>
      </c>
      <c r="B12581" s="27" t="s">
        <v>30084</v>
      </c>
      <c r="C12581" s="27" t="s">
        <v>100</v>
      </c>
      <c r="D12581" s="26"/>
      <c r="E12581" s="27"/>
      <c r="F12581" s="27"/>
      <c r="G12581" s="27" t="s">
        <v>11122</v>
      </c>
      <c r="H12581" s="27" t="s">
        <v>35</v>
      </c>
      <c r="I12581" s="27" t="s">
        <v>43</v>
      </c>
      <c r="J12581" s="28" t="s">
        <v>1483</v>
      </c>
      <c r="K12581" s="27" t="s">
        <v>43</v>
      </c>
      <c r="L12581" s="27"/>
    </row>
    <row r="12582" customFormat="false" ht="15" hidden="false" customHeight="false" outlineLevel="0" collapsed="false">
      <c r="A12582" s="26" t="s">
        <v>30085</v>
      </c>
      <c r="B12582" s="27" t="s">
        <v>30086</v>
      </c>
      <c r="C12582" s="27" t="s">
        <v>100</v>
      </c>
      <c r="D12582" s="26"/>
      <c r="E12582" s="27"/>
      <c r="F12582" s="27"/>
      <c r="G12582" s="27" t="s">
        <v>11122</v>
      </c>
      <c r="H12582" s="27" t="s">
        <v>35</v>
      </c>
      <c r="I12582" s="27" t="s">
        <v>43</v>
      </c>
      <c r="J12582" s="28" t="s">
        <v>1483</v>
      </c>
      <c r="K12582" s="27" t="s">
        <v>43</v>
      </c>
      <c r="L12582" s="27"/>
    </row>
    <row r="12583" customFormat="false" ht="15" hidden="false" customHeight="false" outlineLevel="0" collapsed="false">
      <c r="A12583" s="26" t="s">
        <v>30087</v>
      </c>
      <c r="B12583" s="27" t="s">
        <v>30088</v>
      </c>
      <c r="C12583" s="27" t="s">
        <v>1493</v>
      </c>
      <c r="D12583" s="26"/>
      <c r="E12583" s="27"/>
      <c r="F12583" s="27"/>
      <c r="G12583" s="27" t="s">
        <v>11122</v>
      </c>
      <c r="H12583" s="27" t="s">
        <v>35</v>
      </c>
      <c r="I12583" s="27" t="s">
        <v>43</v>
      </c>
      <c r="J12583" s="28" t="s">
        <v>1483</v>
      </c>
      <c r="K12583" s="27" t="s">
        <v>43</v>
      </c>
      <c r="L12583" s="27"/>
    </row>
    <row r="12584" customFormat="false" ht="15" hidden="false" customHeight="false" outlineLevel="0" collapsed="false">
      <c r="A12584" s="26" t="s">
        <v>30089</v>
      </c>
      <c r="B12584" s="27" t="s">
        <v>30090</v>
      </c>
      <c r="C12584" s="27" t="s">
        <v>1493</v>
      </c>
      <c r="D12584" s="26"/>
      <c r="E12584" s="27"/>
      <c r="F12584" s="27"/>
      <c r="G12584" s="27" t="s">
        <v>11122</v>
      </c>
      <c r="H12584" s="27" t="s">
        <v>35</v>
      </c>
      <c r="I12584" s="27" t="s">
        <v>47</v>
      </c>
      <c r="J12584" s="28" t="s">
        <v>1483</v>
      </c>
      <c r="K12584" s="27" t="s">
        <v>43</v>
      </c>
      <c r="L12584" s="27"/>
    </row>
    <row r="12585" customFormat="false" ht="15" hidden="false" customHeight="false" outlineLevel="0" collapsed="false">
      <c r="A12585" s="26" t="s">
        <v>30091</v>
      </c>
      <c r="B12585" s="27" t="s">
        <v>30092</v>
      </c>
      <c r="C12585" s="27" t="s">
        <v>2034</v>
      </c>
      <c r="D12585" s="26"/>
      <c r="E12585" s="27"/>
      <c r="F12585" s="27"/>
      <c r="G12585" s="27" t="s">
        <v>11122</v>
      </c>
      <c r="H12585" s="27" t="s">
        <v>35</v>
      </c>
      <c r="I12585" s="27" t="s">
        <v>64</v>
      </c>
      <c r="J12585" s="28" t="s">
        <v>1483</v>
      </c>
      <c r="K12585" s="27" t="s">
        <v>43</v>
      </c>
      <c r="L12585" s="27"/>
    </row>
    <row r="12586" customFormat="false" ht="15" hidden="false" customHeight="false" outlineLevel="0" collapsed="false">
      <c r="A12586" s="26" t="s">
        <v>30093</v>
      </c>
      <c r="B12586" s="27" t="s">
        <v>30094</v>
      </c>
      <c r="C12586" s="27" t="s">
        <v>144</v>
      </c>
      <c r="D12586" s="26"/>
      <c r="E12586" s="27"/>
      <c r="F12586" s="27"/>
      <c r="G12586" s="27" t="s">
        <v>11122</v>
      </c>
      <c r="H12586" s="27" t="s">
        <v>35</v>
      </c>
      <c r="I12586" s="27" t="s">
        <v>43</v>
      </c>
      <c r="J12586" s="28" t="s">
        <v>1483</v>
      </c>
      <c r="K12586" s="27" t="s">
        <v>43</v>
      </c>
      <c r="L12586" s="27"/>
    </row>
    <row r="12587" customFormat="false" ht="15" hidden="false" customHeight="false" outlineLevel="0" collapsed="false">
      <c r="A12587" s="26" t="s">
        <v>30095</v>
      </c>
      <c r="B12587" s="27" t="s">
        <v>30096</v>
      </c>
      <c r="C12587" s="27" t="s">
        <v>131</v>
      </c>
      <c r="D12587" s="26"/>
      <c r="E12587" s="27"/>
      <c r="F12587" s="27"/>
      <c r="G12587" s="27" t="s">
        <v>11122</v>
      </c>
      <c r="H12587" s="27" t="s">
        <v>35</v>
      </c>
      <c r="I12587" s="27" t="s">
        <v>47</v>
      </c>
      <c r="J12587" s="28" t="s">
        <v>1483</v>
      </c>
      <c r="K12587" s="27" t="s">
        <v>43</v>
      </c>
      <c r="L12587" s="27"/>
    </row>
    <row r="12588" customFormat="false" ht="15" hidden="false" customHeight="false" outlineLevel="0" collapsed="false">
      <c r="A12588" s="26" t="s">
        <v>30097</v>
      </c>
      <c r="B12588" s="27" t="s">
        <v>30098</v>
      </c>
      <c r="C12588" s="27" t="s">
        <v>144</v>
      </c>
      <c r="D12588" s="26"/>
      <c r="E12588" s="27"/>
      <c r="F12588" s="27"/>
      <c r="G12588" s="27" t="s">
        <v>11122</v>
      </c>
      <c r="H12588" s="27" t="s">
        <v>35</v>
      </c>
      <c r="I12588" s="27" t="s">
        <v>43</v>
      </c>
      <c r="J12588" s="28" t="s">
        <v>1483</v>
      </c>
      <c r="K12588" s="27" t="s">
        <v>43</v>
      </c>
      <c r="L12588" s="27"/>
    </row>
    <row r="12589" customFormat="false" ht="15" hidden="false" customHeight="false" outlineLevel="0" collapsed="false">
      <c r="A12589" s="26" t="s">
        <v>30099</v>
      </c>
      <c r="B12589" s="28" t="s">
        <v>30100</v>
      </c>
      <c r="C12589" s="27" t="s">
        <v>1527</v>
      </c>
      <c r="D12589" s="26"/>
      <c r="E12589" s="27"/>
      <c r="F12589" s="27"/>
      <c r="G12589" s="27" t="s">
        <v>11122</v>
      </c>
      <c r="H12589" s="27" t="s">
        <v>35</v>
      </c>
      <c r="I12589" s="27" t="s">
        <v>43</v>
      </c>
      <c r="J12589" s="28" t="s">
        <v>1483</v>
      </c>
      <c r="K12589" s="27" t="s">
        <v>43</v>
      </c>
      <c r="L12589" s="27"/>
    </row>
    <row r="12590" customFormat="false" ht="15" hidden="false" customHeight="false" outlineLevel="0" collapsed="false">
      <c r="A12590" s="26" t="s">
        <v>30101</v>
      </c>
      <c r="B12590" s="27" t="s">
        <v>30102</v>
      </c>
      <c r="C12590" s="27" t="s">
        <v>380</v>
      </c>
      <c r="D12590" s="26"/>
      <c r="E12590" s="27"/>
      <c r="F12590" s="27"/>
      <c r="G12590" s="27" t="s">
        <v>11122</v>
      </c>
      <c r="H12590" s="27" t="s">
        <v>35</v>
      </c>
      <c r="I12590" s="27" t="s">
        <v>47</v>
      </c>
      <c r="J12590" s="28" t="s">
        <v>1579</v>
      </c>
      <c r="K12590" s="27" t="s">
        <v>42</v>
      </c>
      <c r="L12590" s="27"/>
    </row>
    <row r="12591" customFormat="false" ht="15" hidden="false" customHeight="false" outlineLevel="0" collapsed="false">
      <c r="A12591" s="26" t="s">
        <v>30103</v>
      </c>
      <c r="B12591" s="27" t="s">
        <v>30104</v>
      </c>
      <c r="C12591" s="27" t="s">
        <v>144</v>
      </c>
      <c r="D12591" s="26"/>
      <c r="E12591" s="27"/>
      <c r="F12591" s="27"/>
      <c r="G12591" s="27" t="s">
        <v>11122</v>
      </c>
      <c r="H12591" s="27" t="s">
        <v>35</v>
      </c>
      <c r="I12591" s="28" t="s">
        <v>46</v>
      </c>
      <c r="J12591" s="28" t="s">
        <v>1579</v>
      </c>
      <c r="K12591" s="27" t="s">
        <v>42</v>
      </c>
      <c r="L12591" s="27"/>
    </row>
    <row r="12592" customFormat="false" ht="15" hidden="false" customHeight="false" outlineLevel="0" collapsed="false">
      <c r="A12592" s="26" t="s">
        <v>30105</v>
      </c>
      <c r="B12592" s="27" t="s">
        <v>30106</v>
      </c>
      <c r="C12592" s="27" t="s">
        <v>144</v>
      </c>
      <c r="D12592" s="26"/>
      <c r="E12592" s="27"/>
      <c r="F12592" s="27"/>
      <c r="G12592" s="27" t="s">
        <v>11122</v>
      </c>
      <c r="H12592" s="27" t="s">
        <v>35</v>
      </c>
      <c r="I12592" s="28" t="s">
        <v>46</v>
      </c>
      <c r="J12592" s="28" t="s">
        <v>1579</v>
      </c>
      <c r="K12592" s="27" t="s">
        <v>42</v>
      </c>
      <c r="L12592" s="27"/>
    </row>
    <row r="12593" customFormat="false" ht="15" hidden="false" customHeight="false" outlineLevel="0" collapsed="false">
      <c r="A12593" s="26" t="s">
        <v>30107</v>
      </c>
      <c r="B12593" s="27" t="s">
        <v>30108</v>
      </c>
      <c r="C12593" s="27" t="s">
        <v>144</v>
      </c>
      <c r="D12593" s="26"/>
      <c r="E12593" s="27"/>
      <c r="F12593" s="27"/>
      <c r="G12593" s="27" t="s">
        <v>11122</v>
      </c>
      <c r="H12593" s="27" t="s">
        <v>35</v>
      </c>
      <c r="I12593" s="28" t="s">
        <v>46</v>
      </c>
      <c r="J12593" s="28" t="s">
        <v>1579</v>
      </c>
      <c r="K12593" s="27" t="s">
        <v>42</v>
      </c>
      <c r="L12593" s="27"/>
    </row>
    <row r="12594" customFormat="false" ht="15" hidden="false" customHeight="false" outlineLevel="0" collapsed="false">
      <c r="A12594" s="26" t="s">
        <v>30109</v>
      </c>
      <c r="B12594" s="27" t="s">
        <v>30110</v>
      </c>
      <c r="C12594" s="27" t="s">
        <v>144</v>
      </c>
      <c r="D12594" s="26"/>
      <c r="E12594" s="27"/>
      <c r="F12594" s="27"/>
      <c r="G12594" s="27" t="s">
        <v>11122</v>
      </c>
      <c r="H12594" s="27" t="s">
        <v>35</v>
      </c>
      <c r="I12594" s="28" t="s">
        <v>46</v>
      </c>
      <c r="J12594" s="28" t="s">
        <v>1579</v>
      </c>
      <c r="K12594" s="27" t="s">
        <v>42</v>
      </c>
      <c r="L12594" s="27"/>
    </row>
    <row r="12595" customFormat="false" ht="15" hidden="false" customHeight="false" outlineLevel="0" collapsed="false">
      <c r="A12595" s="26" t="s">
        <v>30111</v>
      </c>
      <c r="B12595" s="27" t="s">
        <v>30112</v>
      </c>
      <c r="C12595" s="27" t="s">
        <v>144</v>
      </c>
      <c r="D12595" s="26"/>
      <c r="E12595" s="27"/>
      <c r="F12595" s="27"/>
      <c r="G12595" s="27" t="s">
        <v>11122</v>
      </c>
      <c r="H12595" s="27" t="s">
        <v>35</v>
      </c>
      <c r="I12595" s="28" t="s">
        <v>46</v>
      </c>
      <c r="J12595" s="28" t="s">
        <v>1579</v>
      </c>
      <c r="K12595" s="27" t="s">
        <v>42</v>
      </c>
      <c r="L12595" s="27"/>
    </row>
    <row r="12596" customFormat="false" ht="15" hidden="false" customHeight="false" outlineLevel="0" collapsed="false">
      <c r="A12596" s="26" t="s">
        <v>30113</v>
      </c>
      <c r="B12596" s="27" t="s">
        <v>30114</v>
      </c>
      <c r="C12596" s="27" t="s">
        <v>144</v>
      </c>
      <c r="D12596" s="26"/>
      <c r="E12596" s="27"/>
      <c r="F12596" s="27"/>
      <c r="G12596" s="27" t="s">
        <v>11122</v>
      </c>
      <c r="H12596" s="27" t="s">
        <v>35</v>
      </c>
      <c r="I12596" s="27" t="s">
        <v>42</v>
      </c>
      <c r="J12596" s="28" t="s">
        <v>1579</v>
      </c>
      <c r="K12596" s="27" t="s">
        <v>42</v>
      </c>
      <c r="L12596" s="27"/>
    </row>
    <row r="12597" customFormat="false" ht="15" hidden="false" customHeight="false" outlineLevel="0" collapsed="false">
      <c r="A12597" s="26" t="s">
        <v>30115</v>
      </c>
      <c r="B12597" s="27" t="s">
        <v>30116</v>
      </c>
      <c r="C12597" s="27" t="s">
        <v>144</v>
      </c>
      <c r="D12597" s="26"/>
      <c r="E12597" s="27"/>
      <c r="F12597" s="27"/>
      <c r="G12597" s="27" t="s">
        <v>11122</v>
      </c>
      <c r="H12597" s="27" t="s">
        <v>35</v>
      </c>
      <c r="I12597" s="27" t="s">
        <v>1578</v>
      </c>
      <c r="J12597" s="28" t="s">
        <v>1579</v>
      </c>
      <c r="K12597" s="27" t="s">
        <v>42</v>
      </c>
      <c r="L12597" s="27"/>
    </row>
    <row r="12598" customFormat="false" ht="15" hidden="false" customHeight="false" outlineLevel="0" collapsed="false">
      <c r="A12598" s="26" t="s">
        <v>30117</v>
      </c>
      <c r="B12598" s="27" t="s">
        <v>30118</v>
      </c>
      <c r="C12598" s="27" t="s">
        <v>144</v>
      </c>
      <c r="D12598" s="26"/>
      <c r="E12598" s="27"/>
      <c r="F12598" s="27"/>
      <c r="G12598" s="27" t="s">
        <v>11122</v>
      </c>
      <c r="H12598" s="27" t="s">
        <v>35</v>
      </c>
      <c r="I12598" s="27" t="s">
        <v>1578</v>
      </c>
      <c r="J12598" s="28" t="s">
        <v>1579</v>
      </c>
      <c r="K12598" s="27" t="s">
        <v>42</v>
      </c>
      <c r="L12598" s="27"/>
    </row>
    <row r="12599" customFormat="false" ht="15" hidden="false" customHeight="false" outlineLevel="0" collapsed="false">
      <c r="A12599" s="26" t="s">
        <v>30119</v>
      </c>
      <c r="B12599" s="27" t="s">
        <v>30120</v>
      </c>
      <c r="C12599" s="27" t="s">
        <v>144</v>
      </c>
      <c r="D12599" s="26"/>
      <c r="E12599" s="27"/>
      <c r="F12599" s="27"/>
      <c r="G12599" s="27" t="s">
        <v>11122</v>
      </c>
      <c r="H12599" s="27" t="s">
        <v>35</v>
      </c>
      <c r="I12599" s="28" t="s">
        <v>46</v>
      </c>
      <c r="J12599" s="28" t="s">
        <v>1579</v>
      </c>
      <c r="K12599" s="27" t="s">
        <v>42</v>
      </c>
      <c r="L12599" s="27"/>
    </row>
    <row r="12600" customFormat="false" ht="15" hidden="false" customHeight="false" outlineLevel="0" collapsed="false">
      <c r="A12600" s="26" t="s">
        <v>30121</v>
      </c>
      <c r="B12600" s="27" t="s">
        <v>30122</v>
      </c>
      <c r="C12600" s="27" t="s">
        <v>1527</v>
      </c>
      <c r="D12600" s="26"/>
      <c r="E12600" s="27"/>
      <c r="F12600" s="27"/>
      <c r="G12600" s="27" t="s">
        <v>11122</v>
      </c>
      <c r="H12600" s="27" t="s">
        <v>35</v>
      </c>
      <c r="I12600" s="27" t="s">
        <v>64</v>
      </c>
      <c r="J12600" s="28" t="s">
        <v>1579</v>
      </c>
      <c r="K12600" s="27" t="s">
        <v>42</v>
      </c>
      <c r="L12600" s="27"/>
    </row>
    <row r="12601" customFormat="false" ht="15" hidden="false" customHeight="false" outlineLevel="0" collapsed="false">
      <c r="A12601" s="26" t="s">
        <v>30123</v>
      </c>
      <c r="B12601" s="27" t="s">
        <v>30124</v>
      </c>
      <c r="C12601" s="27" t="s">
        <v>1527</v>
      </c>
      <c r="D12601" s="26"/>
      <c r="E12601" s="27"/>
      <c r="F12601" s="27"/>
      <c r="G12601" s="27" t="s">
        <v>11122</v>
      </c>
      <c r="H12601" s="27" t="s">
        <v>35</v>
      </c>
      <c r="I12601" s="27" t="s">
        <v>40</v>
      </c>
      <c r="J12601" s="28" t="s">
        <v>1579</v>
      </c>
      <c r="K12601" s="27" t="s">
        <v>42</v>
      </c>
      <c r="L12601" s="27"/>
    </row>
    <row r="12602" customFormat="false" ht="15" hidden="false" customHeight="false" outlineLevel="0" collapsed="false">
      <c r="A12602" s="26" t="s">
        <v>30125</v>
      </c>
      <c r="B12602" s="27" t="s">
        <v>30126</v>
      </c>
      <c r="C12602" s="27" t="s">
        <v>1527</v>
      </c>
      <c r="D12602" s="26"/>
      <c r="E12602" s="27"/>
      <c r="F12602" s="27"/>
      <c r="G12602" s="27" t="s">
        <v>11122</v>
      </c>
      <c r="H12602" s="27" t="s">
        <v>35</v>
      </c>
      <c r="I12602" s="27" t="s">
        <v>42</v>
      </c>
      <c r="J12602" s="28" t="s">
        <v>1579</v>
      </c>
      <c r="K12602" s="27" t="s">
        <v>42</v>
      </c>
      <c r="L12602" s="27"/>
    </row>
    <row r="12603" customFormat="false" ht="15" hidden="false" customHeight="false" outlineLevel="0" collapsed="false">
      <c r="A12603" s="26" t="s">
        <v>30127</v>
      </c>
      <c r="B12603" s="27" t="s">
        <v>30128</v>
      </c>
      <c r="C12603" s="27" t="s">
        <v>144</v>
      </c>
      <c r="D12603" s="26"/>
      <c r="E12603" s="27"/>
      <c r="F12603" s="27"/>
      <c r="G12603" s="27" t="s">
        <v>11122</v>
      </c>
      <c r="H12603" s="27" t="s">
        <v>35</v>
      </c>
      <c r="I12603" s="27" t="s">
        <v>1344</v>
      </c>
      <c r="J12603" s="28" t="s">
        <v>1579</v>
      </c>
      <c r="K12603" s="27" t="s">
        <v>42</v>
      </c>
      <c r="L12603" s="27"/>
    </row>
    <row r="12604" customFormat="false" ht="15" hidden="false" customHeight="false" outlineLevel="0" collapsed="false">
      <c r="A12604" s="26" t="s">
        <v>30129</v>
      </c>
      <c r="B12604" s="27" t="s">
        <v>30130</v>
      </c>
      <c r="C12604" s="27" t="s">
        <v>144</v>
      </c>
      <c r="D12604" s="26"/>
      <c r="E12604" s="27"/>
      <c r="F12604" s="27"/>
      <c r="G12604" s="27" t="s">
        <v>11122</v>
      </c>
      <c r="H12604" s="27" t="s">
        <v>35</v>
      </c>
      <c r="I12604" s="27" t="s">
        <v>42</v>
      </c>
      <c r="J12604" s="28" t="s">
        <v>1579</v>
      </c>
      <c r="K12604" s="27" t="s">
        <v>42</v>
      </c>
      <c r="L12604" s="27"/>
    </row>
    <row r="12605" customFormat="false" ht="15" hidden="false" customHeight="false" outlineLevel="0" collapsed="false">
      <c r="A12605" s="26" t="s">
        <v>30131</v>
      </c>
      <c r="B12605" s="27" t="s">
        <v>30132</v>
      </c>
      <c r="C12605" s="27" t="s">
        <v>144</v>
      </c>
      <c r="D12605" s="26"/>
      <c r="E12605" s="27"/>
      <c r="F12605" s="27"/>
      <c r="G12605" s="27" t="s">
        <v>11122</v>
      </c>
      <c r="H12605" s="27" t="s">
        <v>35</v>
      </c>
      <c r="I12605" s="27" t="s">
        <v>42</v>
      </c>
      <c r="J12605" s="28" t="s">
        <v>1579</v>
      </c>
      <c r="K12605" s="27" t="s">
        <v>42</v>
      </c>
      <c r="L12605" s="27"/>
    </row>
    <row r="12606" customFormat="false" ht="15" hidden="false" customHeight="false" outlineLevel="0" collapsed="false">
      <c r="A12606" s="26" t="s">
        <v>30133</v>
      </c>
      <c r="B12606" s="27" t="s">
        <v>30134</v>
      </c>
      <c r="C12606" s="27" t="s">
        <v>144</v>
      </c>
      <c r="D12606" s="26"/>
      <c r="E12606" s="27"/>
      <c r="F12606" s="27"/>
      <c r="G12606" s="27" t="s">
        <v>11122</v>
      </c>
      <c r="H12606" s="27" t="s">
        <v>35</v>
      </c>
      <c r="I12606" s="27" t="s">
        <v>42</v>
      </c>
      <c r="J12606" s="28" t="s">
        <v>1579</v>
      </c>
      <c r="K12606" s="27" t="s">
        <v>42</v>
      </c>
      <c r="L12606" s="27"/>
    </row>
    <row r="12607" customFormat="false" ht="15" hidden="false" customHeight="false" outlineLevel="0" collapsed="false">
      <c r="A12607" s="26" t="s">
        <v>30135</v>
      </c>
      <c r="B12607" s="27" t="s">
        <v>30136</v>
      </c>
      <c r="C12607" s="27" t="s">
        <v>100</v>
      </c>
      <c r="D12607" s="26"/>
      <c r="E12607" s="27"/>
      <c r="F12607" s="27"/>
      <c r="G12607" s="27" t="s">
        <v>11122</v>
      </c>
      <c r="H12607" s="27" t="s">
        <v>35</v>
      </c>
      <c r="I12607" s="27" t="s">
        <v>1067</v>
      </c>
      <c r="J12607" s="28" t="s">
        <v>1579</v>
      </c>
      <c r="K12607" s="27" t="s">
        <v>42</v>
      </c>
      <c r="L12607" s="27"/>
    </row>
    <row r="12608" customFormat="false" ht="15" hidden="false" customHeight="false" outlineLevel="0" collapsed="false">
      <c r="A12608" s="26" t="s">
        <v>30137</v>
      </c>
      <c r="B12608" s="27" t="s">
        <v>30138</v>
      </c>
      <c r="C12608" s="27" t="s">
        <v>1990</v>
      </c>
      <c r="D12608" s="26"/>
      <c r="E12608" s="27"/>
      <c r="F12608" s="27"/>
      <c r="G12608" s="27" t="s">
        <v>11122</v>
      </c>
      <c r="H12608" s="27" t="s">
        <v>35</v>
      </c>
      <c r="I12608" s="27" t="s">
        <v>1067</v>
      </c>
      <c r="J12608" s="28" t="s">
        <v>1579</v>
      </c>
      <c r="K12608" s="27" t="s">
        <v>42</v>
      </c>
      <c r="L12608" s="27"/>
    </row>
    <row r="12609" customFormat="false" ht="15" hidden="false" customHeight="false" outlineLevel="0" collapsed="false">
      <c r="A12609" s="26" t="s">
        <v>30139</v>
      </c>
      <c r="B12609" s="27" t="s">
        <v>30140</v>
      </c>
      <c r="C12609" s="27" t="s">
        <v>100</v>
      </c>
      <c r="D12609" s="26"/>
      <c r="E12609" s="27"/>
      <c r="F12609" s="27"/>
      <c r="G12609" s="27" t="s">
        <v>11122</v>
      </c>
      <c r="H12609" s="27" t="s">
        <v>35</v>
      </c>
      <c r="I12609" s="27" t="s">
        <v>47</v>
      </c>
      <c r="J12609" s="28" t="s">
        <v>1579</v>
      </c>
      <c r="K12609" s="27" t="s">
        <v>42</v>
      </c>
      <c r="L12609" s="27"/>
    </row>
    <row r="12610" customFormat="false" ht="15" hidden="false" customHeight="false" outlineLevel="0" collapsed="false">
      <c r="A12610" s="26" t="s">
        <v>30141</v>
      </c>
      <c r="B12610" s="27" t="s">
        <v>30142</v>
      </c>
      <c r="C12610" s="27" t="s">
        <v>144</v>
      </c>
      <c r="D12610" s="26"/>
      <c r="E12610" s="27"/>
      <c r="F12610" s="27"/>
      <c r="G12610" s="27" t="s">
        <v>11122</v>
      </c>
      <c r="H12610" s="27" t="s">
        <v>35</v>
      </c>
      <c r="I12610" s="27" t="s">
        <v>42</v>
      </c>
      <c r="J12610" s="28" t="s">
        <v>1579</v>
      </c>
      <c r="K12610" s="27" t="s">
        <v>42</v>
      </c>
      <c r="L12610" s="27"/>
    </row>
    <row r="12611" customFormat="false" ht="15" hidden="false" customHeight="false" outlineLevel="0" collapsed="false">
      <c r="A12611" s="26" t="s">
        <v>30143</v>
      </c>
      <c r="B12611" s="27" t="s">
        <v>30144</v>
      </c>
      <c r="C12611" s="27" t="s">
        <v>1187</v>
      </c>
      <c r="D12611" s="26"/>
      <c r="E12611" s="27"/>
      <c r="F12611" s="27"/>
      <c r="G12611" s="27" t="s">
        <v>11122</v>
      </c>
      <c r="H12611" s="27" t="s">
        <v>35</v>
      </c>
      <c r="I12611" s="27" t="s">
        <v>42</v>
      </c>
      <c r="J12611" s="28" t="s">
        <v>1579</v>
      </c>
      <c r="K12611" s="27" t="s">
        <v>42</v>
      </c>
      <c r="L12611" s="27"/>
    </row>
    <row r="12612" customFormat="false" ht="15" hidden="false" customHeight="false" outlineLevel="0" collapsed="false">
      <c r="A12612" s="26" t="s">
        <v>30145</v>
      </c>
      <c r="B12612" s="27" t="s">
        <v>30146</v>
      </c>
      <c r="C12612" s="27" t="s">
        <v>1187</v>
      </c>
      <c r="D12612" s="26"/>
      <c r="E12612" s="27"/>
      <c r="F12612" s="27"/>
      <c r="G12612" s="27" t="s">
        <v>11122</v>
      </c>
      <c r="H12612" s="27" t="s">
        <v>35</v>
      </c>
      <c r="I12612" s="27" t="s">
        <v>1578</v>
      </c>
      <c r="J12612" s="28" t="s">
        <v>1579</v>
      </c>
      <c r="K12612" s="27" t="s">
        <v>42</v>
      </c>
      <c r="L12612" s="27"/>
    </row>
    <row r="12613" customFormat="false" ht="15" hidden="false" customHeight="false" outlineLevel="0" collapsed="false">
      <c r="A12613" s="26" t="s">
        <v>30147</v>
      </c>
      <c r="B12613" s="27" t="s">
        <v>30148</v>
      </c>
      <c r="C12613" s="27" t="s">
        <v>1187</v>
      </c>
      <c r="D12613" s="26"/>
      <c r="E12613" s="27"/>
      <c r="F12613" s="27"/>
      <c r="G12613" s="27" t="s">
        <v>11122</v>
      </c>
      <c r="H12613" s="27" t="s">
        <v>35</v>
      </c>
      <c r="I12613" s="27" t="s">
        <v>1578</v>
      </c>
      <c r="J12613" s="28" t="s">
        <v>1579</v>
      </c>
      <c r="K12613" s="27" t="s">
        <v>42</v>
      </c>
      <c r="L12613" s="27"/>
    </row>
    <row r="12614" customFormat="false" ht="15" hidden="false" customHeight="false" outlineLevel="0" collapsed="false">
      <c r="A12614" s="26" t="s">
        <v>30149</v>
      </c>
      <c r="B12614" s="27" t="s">
        <v>30150</v>
      </c>
      <c r="C12614" s="27" t="s">
        <v>144</v>
      </c>
      <c r="D12614" s="26"/>
      <c r="E12614" s="27"/>
      <c r="F12614" s="27"/>
      <c r="G12614" s="27" t="s">
        <v>11122</v>
      </c>
      <c r="H12614" s="27" t="s">
        <v>35</v>
      </c>
      <c r="I12614" s="27" t="s">
        <v>42</v>
      </c>
      <c r="J12614" s="28" t="s">
        <v>1579</v>
      </c>
      <c r="K12614" s="27" t="s">
        <v>42</v>
      </c>
      <c r="L12614" s="27"/>
    </row>
    <row r="12615" customFormat="false" ht="15" hidden="false" customHeight="false" outlineLevel="0" collapsed="false">
      <c r="A12615" s="26" t="s">
        <v>30151</v>
      </c>
      <c r="B12615" s="27" t="s">
        <v>30152</v>
      </c>
      <c r="C12615" s="27" t="s">
        <v>1187</v>
      </c>
      <c r="D12615" s="26"/>
      <c r="E12615" s="27"/>
      <c r="F12615" s="27"/>
      <c r="G12615" s="27" t="s">
        <v>11122</v>
      </c>
      <c r="H12615" s="27" t="s">
        <v>35</v>
      </c>
      <c r="I12615" s="27" t="s">
        <v>42</v>
      </c>
      <c r="J12615" s="28" t="s">
        <v>1579</v>
      </c>
      <c r="K12615" s="27" t="s">
        <v>42</v>
      </c>
      <c r="L12615" s="27"/>
    </row>
    <row r="12616" customFormat="false" ht="15" hidden="false" customHeight="false" outlineLevel="0" collapsed="false">
      <c r="A12616" s="26" t="s">
        <v>30153</v>
      </c>
      <c r="B12616" s="27" t="s">
        <v>30154</v>
      </c>
      <c r="C12616" s="27" t="s">
        <v>144</v>
      </c>
      <c r="D12616" s="26"/>
      <c r="E12616" s="27"/>
      <c r="F12616" s="27"/>
      <c r="G12616" s="27" t="s">
        <v>11122</v>
      </c>
      <c r="H12616" s="27" t="s">
        <v>35</v>
      </c>
      <c r="I12616" s="27" t="s">
        <v>42</v>
      </c>
      <c r="J12616" s="28" t="s">
        <v>1579</v>
      </c>
      <c r="K12616" s="27" t="s">
        <v>42</v>
      </c>
      <c r="L12616" s="27"/>
    </row>
    <row r="12617" customFormat="false" ht="15" hidden="false" customHeight="false" outlineLevel="0" collapsed="false">
      <c r="A12617" s="26" t="s">
        <v>30155</v>
      </c>
      <c r="B12617" s="27" t="s">
        <v>30156</v>
      </c>
      <c r="C12617" s="27" t="s">
        <v>144</v>
      </c>
      <c r="D12617" s="26"/>
      <c r="E12617" s="27"/>
      <c r="F12617" s="27"/>
      <c r="G12617" s="27" t="s">
        <v>11122</v>
      </c>
      <c r="H12617" s="27" t="s">
        <v>35</v>
      </c>
      <c r="I12617" s="27" t="s">
        <v>42</v>
      </c>
      <c r="J12617" s="28" t="s">
        <v>1579</v>
      </c>
      <c r="K12617" s="27" t="s">
        <v>42</v>
      </c>
      <c r="L12617" s="27"/>
    </row>
    <row r="12618" customFormat="false" ht="15" hidden="false" customHeight="false" outlineLevel="0" collapsed="false">
      <c r="A12618" s="26" t="s">
        <v>30157</v>
      </c>
      <c r="B12618" s="27" t="s">
        <v>30158</v>
      </c>
      <c r="C12618" s="27" t="s">
        <v>30159</v>
      </c>
      <c r="D12618" s="26"/>
      <c r="E12618" s="27"/>
      <c r="F12618" s="27"/>
      <c r="G12618" s="27" t="s">
        <v>11122</v>
      </c>
      <c r="H12618" s="27" t="s">
        <v>35</v>
      </c>
      <c r="I12618" s="27" t="s">
        <v>42</v>
      </c>
      <c r="J12618" s="28" t="s">
        <v>1579</v>
      </c>
      <c r="K12618" s="27" t="s">
        <v>42</v>
      </c>
      <c r="L12618" s="27"/>
    </row>
    <row r="12619" customFormat="false" ht="15" hidden="false" customHeight="false" outlineLevel="0" collapsed="false">
      <c r="A12619" s="26" t="s">
        <v>30160</v>
      </c>
      <c r="B12619" s="27" t="s">
        <v>30161</v>
      </c>
      <c r="C12619" s="27" t="s">
        <v>144</v>
      </c>
      <c r="D12619" s="26"/>
      <c r="E12619" s="27"/>
      <c r="F12619" s="27"/>
      <c r="G12619" s="27" t="s">
        <v>11122</v>
      </c>
      <c r="H12619" s="27" t="s">
        <v>35</v>
      </c>
      <c r="I12619" s="27" t="s">
        <v>1578</v>
      </c>
      <c r="J12619" s="28" t="s">
        <v>1579</v>
      </c>
      <c r="K12619" s="27" t="s">
        <v>42</v>
      </c>
      <c r="L12619" s="27"/>
    </row>
    <row r="12620" customFormat="false" ht="15" hidden="false" customHeight="false" outlineLevel="0" collapsed="false">
      <c r="A12620" s="26" t="s">
        <v>30162</v>
      </c>
      <c r="B12620" s="27" t="s">
        <v>30163</v>
      </c>
      <c r="C12620" s="27" t="s">
        <v>144</v>
      </c>
      <c r="D12620" s="26"/>
      <c r="E12620" s="27"/>
      <c r="F12620" s="27"/>
      <c r="G12620" s="27" t="s">
        <v>11122</v>
      </c>
      <c r="H12620" s="27" t="s">
        <v>35</v>
      </c>
      <c r="I12620" s="27" t="s">
        <v>1578</v>
      </c>
      <c r="J12620" s="28" t="s">
        <v>1579</v>
      </c>
      <c r="K12620" s="27" t="s">
        <v>42</v>
      </c>
      <c r="L12620" s="27"/>
    </row>
    <row r="12621" customFormat="false" ht="15" hidden="false" customHeight="false" outlineLevel="0" collapsed="false">
      <c r="A12621" s="26" t="s">
        <v>30164</v>
      </c>
      <c r="B12621" s="27" t="s">
        <v>30165</v>
      </c>
      <c r="C12621" s="27" t="s">
        <v>144</v>
      </c>
      <c r="D12621" s="26"/>
      <c r="E12621" s="27"/>
      <c r="F12621" s="27"/>
      <c r="G12621" s="27" t="s">
        <v>11122</v>
      </c>
      <c r="H12621" s="27" t="s">
        <v>35</v>
      </c>
      <c r="I12621" s="28" t="s">
        <v>50</v>
      </c>
      <c r="J12621" s="28" t="s">
        <v>1579</v>
      </c>
      <c r="K12621" s="27" t="s">
        <v>42</v>
      </c>
      <c r="L12621" s="27"/>
    </row>
    <row r="12622" customFormat="false" ht="15" hidden="false" customHeight="false" outlineLevel="0" collapsed="false">
      <c r="A12622" s="26" t="s">
        <v>30166</v>
      </c>
      <c r="B12622" s="27" t="s">
        <v>30167</v>
      </c>
      <c r="C12622" s="27" t="s">
        <v>1187</v>
      </c>
      <c r="D12622" s="26"/>
      <c r="E12622" s="27"/>
      <c r="F12622" s="27"/>
      <c r="G12622" s="27" t="s">
        <v>11122</v>
      </c>
      <c r="H12622" s="27" t="s">
        <v>35</v>
      </c>
      <c r="I12622" s="27" t="s">
        <v>42</v>
      </c>
      <c r="J12622" s="28" t="s">
        <v>1579</v>
      </c>
      <c r="K12622" s="27" t="s">
        <v>42</v>
      </c>
      <c r="L12622" s="27"/>
    </row>
    <row r="12623" customFormat="false" ht="15" hidden="false" customHeight="false" outlineLevel="0" collapsed="false">
      <c r="A12623" s="26" t="s">
        <v>30168</v>
      </c>
      <c r="B12623" s="27" t="s">
        <v>30169</v>
      </c>
      <c r="C12623" s="27" t="s">
        <v>1187</v>
      </c>
      <c r="D12623" s="26"/>
      <c r="E12623" s="27"/>
      <c r="F12623" s="27"/>
      <c r="G12623" s="27" t="s">
        <v>11122</v>
      </c>
      <c r="H12623" s="27" t="s">
        <v>35</v>
      </c>
      <c r="I12623" s="27" t="s">
        <v>42</v>
      </c>
      <c r="J12623" s="28" t="s">
        <v>1579</v>
      </c>
      <c r="K12623" s="27" t="s">
        <v>42</v>
      </c>
      <c r="L12623" s="27"/>
    </row>
    <row r="12624" customFormat="false" ht="15" hidden="false" customHeight="false" outlineLevel="0" collapsed="false">
      <c r="A12624" s="26" t="s">
        <v>30170</v>
      </c>
      <c r="B12624" s="27" t="s">
        <v>30171</v>
      </c>
      <c r="C12624" s="27" t="s">
        <v>1187</v>
      </c>
      <c r="D12624" s="26"/>
      <c r="E12624" s="27"/>
      <c r="F12624" s="27"/>
      <c r="G12624" s="27" t="s">
        <v>11122</v>
      </c>
      <c r="H12624" s="27" t="s">
        <v>35</v>
      </c>
      <c r="I12624" s="27" t="s">
        <v>42</v>
      </c>
      <c r="J12624" s="28" t="s">
        <v>1579</v>
      </c>
      <c r="K12624" s="27" t="s">
        <v>42</v>
      </c>
      <c r="L12624" s="27"/>
    </row>
    <row r="12625" customFormat="false" ht="15" hidden="false" customHeight="false" outlineLevel="0" collapsed="false">
      <c r="A12625" s="26" t="s">
        <v>30172</v>
      </c>
      <c r="B12625" s="27" t="s">
        <v>30173</v>
      </c>
      <c r="C12625" s="27" t="s">
        <v>144</v>
      </c>
      <c r="D12625" s="26"/>
      <c r="E12625" s="27"/>
      <c r="F12625" s="27"/>
      <c r="G12625" s="27" t="s">
        <v>11122</v>
      </c>
      <c r="H12625" s="27" t="s">
        <v>35</v>
      </c>
      <c r="I12625" s="27" t="s">
        <v>1578</v>
      </c>
      <c r="J12625" s="28" t="s">
        <v>1579</v>
      </c>
      <c r="K12625" s="27" t="s">
        <v>42</v>
      </c>
      <c r="L12625" s="27"/>
    </row>
    <row r="12626" customFormat="false" ht="15" hidden="false" customHeight="false" outlineLevel="0" collapsed="false">
      <c r="A12626" s="26" t="s">
        <v>30174</v>
      </c>
      <c r="B12626" s="27" t="s">
        <v>30175</v>
      </c>
      <c r="C12626" s="27" t="s">
        <v>370</v>
      </c>
      <c r="D12626" s="26"/>
      <c r="E12626" s="27"/>
      <c r="F12626" s="27"/>
      <c r="G12626" s="27" t="s">
        <v>11122</v>
      </c>
      <c r="H12626" s="27" t="s">
        <v>35</v>
      </c>
      <c r="I12626" s="27" t="s">
        <v>39</v>
      </c>
      <c r="J12626" s="28" t="s">
        <v>1579</v>
      </c>
      <c r="K12626" s="27" t="s">
        <v>42</v>
      </c>
      <c r="L12626" s="27"/>
    </row>
    <row r="12627" customFormat="false" ht="15" hidden="false" customHeight="false" outlineLevel="0" collapsed="false">
      <c r="A12627" s="26" t="s">
        <v>30176</v>
      </c>
      <c r="B12627" s="27" t="s">
        <v>30177</v>
      </c>
      <c r="C12627" s="27" t="s">
        <v>1612</v>
      </c>
      <c r="D12627" s="26"/>
      <c r="E12627" s="27"/>
      <c r="F12627" s="27"/>
      <c r="G12627" s="27" t="s">
        <v>11122</v>
      </c>
      <c r="H12627" s="27" t="s">
        <v>35</v>
      </c>
      <c r="I12627" s="27" t="s">
        <v>1578</v>
      </c>
      <c r="J12627" s="28" t="s">
        <v>1579</v>
      </c>
      <c r="K12627" s="27" t="s">
        <v>42</v>
      </c>
      <c r="L12627" s="27"/>
    </row>
    <row r="12628" customFormat="false" ht="15" hidden="false" customHeight="false" outlineLevel="0" collapsed="false">
      <c r="A12628" s="26" t="s">
        <v>30178</v>
      </c>
      <c r="B12628" s="27" t="s">
        <v>30179</v>
      </c>
      <c r="C12628" s="27" t="s">
        <v>144</v>
      </c>
      <c r="D12628" s="26"/>
      <c r="E12628" s="27"/>
      <c r="F12628" s="27"/>
      <c r="G12628" s="27" t="s">
        <v>11122</v>
      </c>
      <c r="H12628" s="27" t="s">
        <v>35</v>
      </c>
      <c r="I12628" s="27" t="s">
        <v>42</v>
      </c>
      <c r="J12628" s="28" t="s">
        <v>1579</v>
      </c>
      <c r="K12628" s="27" t="s">
        <v>42</v>
      </c>
      <c r="L12628" s="27"/>
    </row>
    <row r="12629" customFormat="false" ht="15" hidden="false" customHeight="false" outlineLevel="0" collapsed="false">
      <c r="A12629" s="26" t="s">
        <v>30180</v>
      </c>
      <c r="B12629" s="27" t="s">
        <v>30181</v>
      </c>
      <c r="C12629" s="27" t="s">
        <v>144</v>
      </c>
      <c r="D12629" s="26"/>
      <c r="E12629" s="27"/>
      <c r="F12629" s="27"/>
      <c r="G12629" s="27" t="s">
        <v>11122</v>
      </c>
      <c r="H12629" s="27" t="s">
        <v>35</v>
      </c>
      <c r="I12629" s="27" t="s">
        <v>42</v>
      </c>
      <c r="J12629" s="28" t="s">
        <v>1579</v>
      </c>
      <c r="K12629" s="27" t="s">
        <v>42</v>
      </c>
      <c r="L12629" s="27"/>
    </row>
    <row r="12630" customFormat="false" ht="15" hidden="false" customHeight="false" outlineLevel="0" collapsed="false">
      <c r="A12630" s="26" t="s">
        <v>30182</v>
      </c>
      <c r="B12630" s="27" t="s">
        <v>30183</v>
      </c>
      <c r="C12630" s="27" t="s">
        <v>144</v>
      </c>
      <c r="D12630" s="26"/>
      <c r="E12630" s="27"/>
      <c r="F12630" s="27"/>
      <c r="G12630" s="27" t="s">
        <v>11122</v>
      </c>
      <c r="H12630" s="27" t="s">
        <v>35</v>
      </c>
      <c r="I12630" s="27" t="s">
        <v>64</v>
      </c>
      <c r="J12630" s="28" t="s">
        <v>1579</v>
      </c>
      <c r="K12630" s="27" t="s">
        <v>42</v>
      </c>
      <c r="L12630" s="27"/>
    </row>
    <row r="12631" customFormat="false" ht="15" hidden="false" customHeight="false" outlineLevel="0" collapsed="false">
      <c r="A12631" s="26" t="s">
        <v>30184</v>
      </c>
      <c r="B12631" s="27" t="s">
        <v>30185</v>
      </c>
      <c r="C12631" s="27" t="s">
        <v>144</v>
      </c>
      <c r="D12631" s="26"/>
      <c r="E12631" s="27"/>
      <c r="F12631" s="27"/>
      <c r="G12631" s="27" t="s">
        <v>11122</v>
      </c>
      <c r="H12631" s="27" t="s">
        <v>35</v>
      </c>
      <c r="I12631" s="27" t="s">
        <v>42</v>
      </c>
      <c r="J12631" s="28" t="s">
        <v>1579</v>
      </c>
      <c r="K12631" s="27" t="s">
        <v>42</v>
      </c>
      <c r="L12631" s="27"/>
    </row>
    <row r="12632" customFormat="false" ht="15" hidden="false" customHeight="false" outlineLevel="0" collapsed="false">
      <c r="A12632" s="26" t="s">
        <v>30186</v>
      </c>
      <c r="B12632" s="27" t="s">
        <v>30187</v>
      </c>
      <c r="C12632" s="27" t="s">
        <v>1612</v>
      </c>
      <c r="D12632" s="26"/>
      <c r="E12632" s="27"/>
      <c r="F12632" s="27"/>
      <c r="G12632" s="27" t="s">
        <v>11122</v>
      </c>
      <c r="H12632" s="27" t="s">
        <v>35</v>
      </c>
      <c r="I12632" s="27" t="s">
        <v>1578</v>
      </c>
      <c r="J12632" s="28" t="s">
        <v>1579</v>
      </c>
      <c r="K12632" s="27" t="s">
        <v>42</v>
      </c>
      <c r="L12632" s="27"/>
    </row>
    <row r="12633" customFormat="false" ht="15" hidden="false" customHeight="false" outlineLevel="0" collapsed="false">
      <c r="A12633" s="26" t="s">
        <v>30188</v>
      </c>
      <c r="B12633" s="27" t="s">
        <v>30189</v>
      </c>
      <c r="C12633" s="27" t="s">
        <v>144</v>
      </c>
      <c r="D12633" s="26"/>
      <c r="E12633" s="27"/>
      <c r="F12633" s="27"/>
      <c r="G12633" s="27" t="s">
        <v>11122</v>
      </c>
      <c r="H12633" s="27" t="s">
        <v>35</v>
      </c>
      <c r="I12633" s="27" t="s">
        <v>1296</v>
      </c>
      <c r="J12633" s="28" t="s">
        <v>1579</v>
      </c>
      <c r="K12633" s="27" t="s">
        <v>42</v>
      </c>
      <c r="L12633" s="27"/>
    </row>
    <row r="12634" customFormat="false" ht="15" hidden="false" customHeight="false" outlineLevel="0" collapsed="false">
      <c r="A12634" s="26" t="s">
        <v>30190</v>
      </c>
      <c r="B12634" s="27" t="s">
        <v>30191</v>
      </c>
      <c r="C12634" s="27" t="s">
        <v>144</v>
      </c>
      <c r="D12634" s="26"/>
      <c r="E12634" s="27"/>
      <c r="F12634" s="27"/>
      <c r="G12634" s="27" t="s">
        <v>11122</v>
      </c>
      <c r="H12634" s="27" t="s">
        <v>35</v>
      </c>
      <c r="I12634" s="27" t="s">
        <v>1296</v>
      </c>
      <c r="J12634" s="28" t="s">
        <v>1579</v>
      </c>
      <c r="K12634" s="27" t="s">
        <v>42</v>
      </c>
      <c r="L12634" s="27"/>
    </row>
    <row r="12635" customFormat="false" ht="15" hidden="false" customHeight="false" outlineLevel="0" collapsed="false">
      <c r="A12635" s="26" t="s">
        <v>30192</v>
      </c>
      <c r="B12635" s="27" t="s">
        <v>30193</v>
      </c>
      <c r="C12635" s="27" t="s">
        <v>1612</v>
      </c>
      <c r="D12635" s="26"/>
      <c r="E12635" s="27"/>
      <c r="F12635" s="27"/>
      <c r="G12635" s="27" t="s">
        <v>11122</v>
      </c>
      <c r="H12635" s="27" t="s">
        <v>35</v>
      </c>
      <c r="I12635" s="27" t="s">
        <v>39</v>
      </c>
      <c r="J12635" s="28" t="s">
        <v>1579</v>
      </c>
      <c r="K12635" s="27" t="s">
        <v>42</v>
      </c>
      <c r="L12635" s="27"/>
    </row>
    <row r="12636" customFormat="false" ht="15" hidden="false" customHeight="false" outlineLevel="0" collapsed="false">
      <c r="A12636" s="26" t="s">
        <v>30194</v>
      </c>
      <c r="B12636" s="27" t="s">
        <v>30195</v>
      </c>
      <c r="C12636" s="27" t="s">
        <v>144</v>
      </c>
      <c r="D12636" s="26"/>
      <c r="E12636" s="27"/>
      <c r="F12636" s="27"/>
      <c r="G12636" s="27" t="s">
        <v>11122</v>
      </c>
      <c r="H12636" s="27" t="s">
        <v>35</v>
      </c>
      <c r="I12636" s="27" t="s">
        <v>37</v>
      </c>
      <c r="J12636" s="28" t="s">
        <v>1579</v>
      </c>
      <c r="K12636" s="27" t="s">
        <v>42</v>
      </c>
      <c r="L12636" s="27"/>
    </row>
    <row r="12637" customFormat="false" ht="15" hidden="false" customHeight="false" outlineLevel="0" collapsed="false">
      <c r="A12637" s="26" t="s">
        <v>30196</v>
      </c>
      <c r="B12637" s="27" t="s">
        <v>30197</v>
      </c>
      <c r="C12637" s="27" t="s">
        <v>380</v>
      </c>
      <c r="D12637" s="26"/>
      <c r="E12637" s="27"/>
      <c r="F12637" s="27"/>
      <c r="G12637" s="27" t="s">
        <v>11122</v>
      </c>
      <c r="H12637" s="27" t="s">
        <v>35</v>
      </c>
      <c r="I12637" s="27" t="s">
        <v>40</v>
      </c>
      <c r="J12637" s="28" t="s">
        <v>1579</v>
      </c>
      <c r="K12637" s="27" t="s">
        <v>42</v>
      </c>
      <c r="L12637" s="27"/>
    </row>
    <row r="12638" customFormat="false" ht="15" hidden="false" customHeight="false" outlineLevel="0" collapsed="false">
      <c r="A12638" s="26" t="s">
        <v>30198</v>
      </c>
      <c r="B12638" s="27" t="s">
        <v>30199</v>
      </c>
      <c r="C12638" s="27" t="s">
        <v>1612</v>
      </c>
      <c r="D12638" s="26"/>
      <c r="E12638" s="27"/>
      <c r="F12638" s="27"/>
      <c r="G12638" s="27" t="s">
        <v>11122</v>
      </c>
      <c r="H12638" s="27" t="s">
        <v>35</v>
      </c>
      <c r="I12638" s="27" t="s">
        <v>39</v>
      </c>
      <c r="J12638" s="28" t="s">
        <v>1579</v>
      </c>
      <c r="K12638" s="27" t="s">
        <v>42</v>
      </c>
      <c r="L12638" s="27"/>
    </row>
    <row r="12639" customFormat="false" ht="15" hidden="false" customHeight="false" outlineLevel="0" collapsed="false">
      <c r="A12639" s="26" t="s">
        <v>30200</v>
      </c>
      <c r="B12639" s="27" t="s">
        <v>30201</v>
      </c>
      <c r="C12639" s="27" t="s">
        <v>10817</v>
      </c>
      <c r="D12639" s="26"/>
      <c r="E12639" s="27"/>
      <c r="F12639" s="27"/>
      <c r="G12639" s="27" t="s">
        <v>11122</v>
      </c>
      <c r="H12639" s="27" t="s">
        <v>35</v>
      </c>
      <c r="I12639" s="27" t="s">
        <v>1075</v>
      </c>
      <c r="J12639" s="28" t="s">
        <v>1579</v>
      </c>
      <c r="K12639" s="27" t="s">
        <v>42</v>
      </c>
      <c r="L12639" s="27"/>
    </row>
    <row r="12640" customFormat="false" ht="15" hidden="false" customHeight="false" outlineLevel="0" collapsed="false">
      <c r="A12640" s="26" t="s">
        <v>30202</v>
      </c>
      <c r="B12640" s="27" t="s">
        <v>30203</v>
      </c>
      <c r="C12640" s="27" t="s">
        <v>10817</v>
      </c>
      <c r="D12640" s="26"/>
      <c r="E12640" s="27"/>
      <c r="F12640" s="27"/>
      <c r="G12640" s="27" t="s">
        <v>11122</v>
      </c>
      <c r="H12640" s="27" t="s">
        <v>35</v>
      </c>
      <c r="I12640" s="27" t="s">
        <v>47</v>
      </c>
      <c r="J12640" s="28" t="s">
        <v>1579</v>
      </c>
      <c r="K12640" s="27" t="s">
        <v>42</v>
      </c>
      <c r="L12640" s="27"/>
    </row>
    <row r="12641" customFormat="false" ht="15" hidden="false" customHeight="false" outlineLevel="0" collapsed="false">
      <c r="A12641" s="26" t="s">
        <v>30204</v>
      </c>
      <c r="B12641" s="27" t="s">
        <v>30205</v>
      </c>
      <c r="C12641" s="27" t="s">
        <v>10817</v>
      </c>
      <c r="D12641" s="26"/>
      <c r="E12641" s="27"/>
      <c r="F12641" s="27"/>
      <c r="G12641" s="27" t="s">
        <v>11122</v>
      </c>
      <c r="H12641" s="27" t="s">
        <v>35</v>
      </c>
      <c r="I12641" s="27" t="s">
        <v>64</v>
      </c>
      <c r="J12641" s="28" t="s">
        <v>1579</v>
      </c>
      <c r="K12641" s="27" t="s">
        <v>42</v>
      </c>
      <c r="L12641" s="27"/>
    </row>
    <row r="12642" customFormat="false" ht="15" hidden="false" customHeight="false" outlineLevel="0" collapsed="false">
      <c r="A12642" s="26" t="s">
        <v>30206</v>
      </c>
      <c r="B12642" s="27" t="s">
        <v>30207</v>
      </c>
      <c r="C12642" s="27" t="s">
        <v>1527</v>
      </c>
      <c r="D12642" s="26"/>
      <c r="E12642" s="27"/>
      <c r="F12642" s="27"/>
      <c r="G12642" s="27" t="s">
        <v>11122</v>
      </c>
      <c r="H12642" s="27" t="s">
        <v>35</v>
      </c>
      <c r="I12642" s="27" t="s">
        <v>152</v>
      </c>
      <c r="J12642" s="28" t="s">
        <v>1579</v>
      </c>
      <c r="K12642" s="27" t="s">
        <v>42</v>
      </c>
      <c r="L12642" s="27"/>
    </row>
    <row r="12643" customFormat="false" ht="15" hidden="false" customHeight="false" outlineLevel="0" collapsed="false">
      <c r="A12643" s="26" t="s">
        <v>30208</v>
      </c>
      <c r="B12643" s="27" t="s">
        <v>30209</v>
      </c>
      <c r="C12643" s="27" t="s">
        <v>1527</v>
      </c>
      <c r="D12643" s="26"/>
      <c r="E12643" s="27"/>
      <c r="F12643" s="27"/>
      <c r="G12643" s="27" t="s">
        <v>11122</v>
      </c>
      <c r="H12643" s="27" t="s">
        <v>35</v>
      </c>
      <c r="I12643" s="27" t="s">
        <v>42</v>
      </c>
      <c r="J12643" s="28" t="s">
        <v>1579</v>
      </c>
      <c r="K12643" s="27" t="s">
        <v>42</v>
      </c>
      <c r="L12643" s="27"/>
    </row>
    <row r="12644" customFormat="false" ht="15" hidden="false" customHeight="false" outlineLevel="0" collapsed="false">
      <c r="A12644" s="26" t="s">
        <v>30210</v>
      </c>
      <c r="B12644" s="27" t="s">
        <v>30211</v>
      </c>
      <c r="C12644" s="27" t="s">
        <v>1527</v>
      </c>
      <c r="D12644" s="26"/>
      <c r="E12644" s="27"/>
      <c r="F12644" s="27"/>
      <c r="G12644" s="27" t="s">
        <v>11122</v>
      </c>
      <c r="H12644" s="27" t="s">
        <v>35</v>
      </c>
      <c r="I12644" s="27" t="s">
        <v>37</v>
      </c>
      <c r="J12644" s="28" t="s">
        <v>1579</v>
      </c>
      <c r="K12644" s="27" t="s">
        <v>42</v>
      </c>
      <c r="L12644" s="27"/>
    </row>
    <row r="12645" customFormat="false" ht="15" hidden="false" customHeight="false" outlineLevel="0" collapsed="false">
      <c r="A12645" s="26" t="s">
        <v>30212</v>
      </c>
      <c r="B12645" s="27" t="s">
        <v>30213</v>
      </c>
      <c r="C12645" s="27" t="s">
        <v>1527</v>
      </c>
      <c r="D12645" s="26"/>
      <c r="E12645" s="27"/>
      <c r="F12645" s="27"/>
      <c r="G12645" s="27" t="s">
        <v>11122</v>
      </c>
      <c r="H12645" s="27" t="s">
        <v>35</v>
      </c>
      <c r="I12645" s="27" t="s">
        <v>3432</v>
      </c>
      <c r="J12645" s="28" t="s">
        <v>1579</v>
      </c>
      <c r="K12645" s="27" t="s">
        <v>42</v>
      </c>
      <c r="L12645" s="27"/>
    </row>
    <row r="12646" customFormat="false" ht="15" hidden="false" customHeight="false" outlineLevel="0" collapsed="false">
      <c r="A12646" s="26" t="s">
        <v>30214</v>
      </c>
      <c r="B12646" s="27" t="s">
        <v>30215</v>
      </c>
      <c r="C12646" s="27" t="s">
        <v>1527</v>
      </c>
      <c r="D12646" s="26"/>
      <c r="E12646" s="27"/>
      <c r="F12646" s="27"/>
      <c r="G12646" s="27" t="s">
        <v>11122</v>
      </c>
      <c r="H12646" s="27" t="s">
        <v>35</v>
      </c>
      <c r="I12646" s="27" t="s">
        <v>10510</v>
      </c>
      <c r="J12646" s="28" t="s">
        <v>1579</v>
      </c>
      <c r="K12646" s="27" t="s">
        <v>42</v>
      </c>
      <c r="L12646" s="27"/>
    </row>
    <row r="12647" customFormat="false" ht="15" hidden="false" customHeight="false" outlineLevel="0" collapsed="false">
      <c r="A12647" s="26" t="s">
        <v>30216</v>
      </c>
      <c r="B12647" s="27" t="s">
        <v>30217</v>
      </c>
      <c r="C12647" s="27" t="s">
        <v>144</v>
      </c>
      <c r="D12647" s="26"/>
      <c r="E12647" s="27"/>
      <c r="F12647" s="27"/>
      <c r="G12647" s="27" t="s">
        <v>11122</v>
      </c>
      <c r="H12647" s="27" t="s">
        <v>35</v>
      </c>
      <c r="I12647" s="27" t="s">
        <v>42</v>
      </c>
      <c r="J12647" s="28" t="s">
        <v>1579</v>
      </c>
      <c r="K12647" s="27" t="s">
        <v>42</v>
      </c>
      <c r="L12647" s="27"/>
    </row>
    <row r="12648" customFormat="false" ht="15" hidden="false" customHeight="false" outlineLevel="0" collapsed="false">
      <c r="A12648" s="26" t="s">
        <v>30218</v>
      </c>
      <c r="B12648" s="27" t="s">
        <v>30219</v>
      </c>
      <c r="C12648" s="27" t="s">
        <v>144</v>
      </c>
      <c r="D12648" s="26"/>
      <c r="E12648" s="27"/>
      <c r="F12648" s="27"/>
      <c r="G12648" s="27" t="s">
        <v>11122</v>
      </c>
      <c r="H12648" s="27" t="s">
        <v>35</v>
      </c>
      <c r="I12648" s="27" t="s">
        <v>42</v>
      </c>
      <c r="J12648" s="28" t="s">
        <v>1579</v>
      </c>
      <c r="K12648" s="27" t="s">
        <v>42</v>
      </c>
      <c r="L12648" s="27"/>
    </row>
    <row r="12649" customFormat="false" ht="15" hidden="false" customHeight="false" outlineLevel="0" collapsed="false">
      <c r="A12649" s="26" t="s">
        <v>30220</v>
      </c>
      <c r="B12649" s="27" t="s">
        <v>30221</v>
      </c>
      <c r="C12649" s="27" t="s">
        <v>144</v>
      </c>
      <c r="D12649" s="26"/>
      <c r="E12649" s="27"/>
      <c r="F12649" s="27"/>
      <c r="G12649" s="27" t="s">
        <v>11122</v>
      </c>
      <c r="H12649" s="27" t="s">
        <v>35</v>
      </c>
      <c r="I12649" s="27" t="s">
        <v>40</v>
      </c>
      <c r="J12649" s="28" t="s">
        <v>1579</v>
      </c>
      <c r="K12649" s="27" t="s">
        <v>42</v>
      </c>
      <c r="L12649" s="27"/>
    </row>
    <row r="12650" customFormat="false" ht="15" hidden="false" customHeight="false" outlineLevel="0" collapsed="false">
      <c r="A12650" s="26" t="s">
        <v>30222</v>
      </c>
      <c r="B12650" s="27" t="s">
        <v>30223</v>
      </c>
      <c r="C12650" s="27" t="s">
        <v>1527</v>
      </c>
      <c r="D12650" s="26"/>
      <c r="E12650" s="27"/>
      <c r="F12650" s="27"/>
      <c r="G12650" s="27" t="s">
        <v>11122</v>
      </c>
      <c r="H12650" s="27" t="s">
        <v>35</v>
      </c>
      <c r="I12650" s="27" t="s">
        <v>42</v>
      </c>
      <c r="J12650" s="28" t="s">
        <v>1579</v>
      </c>
      <c r="K12650" s="27" t="s">
        <v>42</v>
      </c>
      <c r="L12650" s="27"/>
    </row>
    <row r="12651" customFormat="false" ht="15" hidden="false" customHeight="false" outlineLevel="0" collapsed="false">
      <c r="A12651" s="26" t="s">
        <v>30224</v>
      </c>
      <c r="B12651" s="27" t="s">
        <v>30225</v>
      </c>
      <c r="C12651" s="27" t="s">
        <v>1527</v>
      </c>
      <c r="D12651" s="26"/>
      <c r="E12651" s="27"/>
      <c r="F12651" s="27"/>
      <c r="G12651" s="27" t="s">
        <v>11122</v>
      </c>
      <c r="H12651" s="27" t="s">
        <v>35</v>
      </c>
      <c r="I12651" s="27" t="s">
        <v>42</v>
      </c>
      <c r="J12651" s="28" t="s">
        <v>1579</v>
      </c>
      <c r="K12651" s="27" t="s">
        <v>42</v>
      </c>
      <c r="L12651" s="27"/>
    </row>
    <row r="12652" customFormat="false" ht="15" hidden="false" customHeight="false" outlineLevel="0" collapsed="false">
      <c r="A12652" s="26" t="s">
        <v>30226</v>
      </c>
      <c r="B12652" s="27" t="s">
        <v>30227</v>
      </c>
      <c r="C12652" s="27" t="s">
        <v>1527</v>
      </c>
      <c r="D12652" s="26"/>
      <c r="E12652" s="27"/>
      <c r="F12652" s="27"/>
      <c r="G12652" s="27" t="s">
        <v>11122</v>
      </c>
      <c r="H12652" s="27" t="s">
        <v>35</v>
      </c>
      <c r="I12652" s="28" t="s">
        <v>46</v>
      </c>
      <c r="J12652" s="28" t="s">
        <v>1579</v>
      </c>
      <c r="K12652" s="27" t="s">
        <v>42</v>
      </c>
      <c r="L12652" s="27"/>
    </row>
    <row r="12653" customFormat="false" ht="15" hidden="false" customHeight="false" outlineLevel="0" collapsed="false">
      <c r="A12653" s="26" t="s">
        <v>30228</v>
      </c>
      <c r="B12653" s="27" t="s">
        <v>30229</v>
      </c>
      <c r="C12653" s="27" t="s">
        <v>1527</v>
      </c>
      <c r="D12653" s="26"/>
      <c r="E12653" s="27"/>
      <c r="F12653" s="27"/>
      <c r="G12653" s="27" t="s">
        <v>11122</v>
      </c>
      <c r="H12653" s="27" t="s">
        <v>35</v>
      </c>
      <c r="I12653" s="27" t="s">
        <v>12161</v>
      </c>
      <c r="J12653" s="28" t="s">
        <v>1579</v>
      </c>
      <c r="K12653" s="27" t="s">
        <v>42</v>
      </c>
      <c r="L12653" s="27"/>
    </row>
    <row r="12654" customFormat="false" ht="15" hidden="false" customHeight="false" outlineLevel="0" collapsed="false">
      <c r="A12654" s="26" t="s">
        <v>30230</v>
      </c>
      <c r="B12654" s="27" t="s">
        <v>30231</v>
      </c>
      <c r="C12654" s="27" t="s">
        <v>1527</v>
      </c>
      <c r="D12654" s="26"/>
      <c r="E12654" s="27"/>
      <c r="F12654" s="27"/>
      <c r="G12654" s="27" t="s">
        <v>11122</v>
      </c>
      <c r="H12654" s="27" t="s">
        <v>35</v>
      </c>
      <c r="I12654" s="27" t="s">
        <v>47</v>
      </c>
      <c r="J12654" s="28" t="s">
        <v>1579</v>
      </c>
      <c r="K12654" s="27" t="s">
        <v>42</v>
      </c>
      <c r="L12654" s="27"/>
    </row>
    <row r="12655" customFormat="false" ht="15" hidden="false" customHeight="false" outlineLevel="0" collapsed="false">
      <c r="A12655" s="26" t="s">
        <v>30232</v>
      </c>
      <c r="B12655" s="27" t="s">
        <v>30233</v>
      </c>
      <c r="C12655" s="27" t="s">
        <v>1527</v>
      </c>
      <c r="D12655" s="26"/>
      <c r="E12655" s="27"/>
      <c r="F12655" s="27"/>
      <c r="G12655" s="27" t="s">
        <v>11122</v>
      </c>
      <c r="H12655" s="27" t="s">
        <v>35</v>
      </c>
      <c r="I12655" s="27" t="s">
        <v>47</v>
      </c>
      <c r="J12655" s="28" t="s">
        <v>1579</v>
      </c>
      <c r="K12655" s="27" t="s">
        <v>42</v>
      </c>
      <c r="L12655" s="27"/>
    </row>
    <row r="12656" customFormat="false" ht="15" hidden="false" customHeight="false" outlineLevel="0" collapsed="false">
      <c r="A12656" s="26" t="s">
        <v>30234</v>
      </c>
      <c r="B12656" s="27" t="s">
        <v>30235</v>
      </c>
      <c r="C12656" s="27" t="s">
        <v>1527</v>
      </c>
      <c r="D12656" s="26"/>
      <c r="E12656" s="27"/>
      <c r="F12656" s="27"/>
      <c r="G12656" s="27" t="s">
        <v>11122</v>
      </c>
      <c r="H12656" s="27" t="s">
        <v>35</v>
      </c>
      <c r="I12656" s="27" t="s">
        <v>42</v>
      </c>
      <c r="J12656" s="28" t="s">
        <v>1579</v>
      </c>
      <c r="K12656" s="27" t="s">
        <v>42</v>
      </c>
      <c r="L12656" s="27"/>
    </row>
    <row r="12657" customFormat="false" ht="15" hidden="false" customHeight="false" outlineLevel="0" collapsed="false">
      <c r="A12657" s="26" t="s">
        <v>30236</v>
      </c>
      <c r="B12657" s="27" t="s">
        <v>30237</v>
      </c>
      <c r="C12657" s="27" t="s">
        <v>1527</v>
      </c>
      <c r="D12657" s="26"/>
      <c r="E12657" s="27"/>
      <c r="F12657" s="27"/>
      <c r="G12657" s="27" t="s">
        <v>11122</v>
      </c>
      <c r="H12657" s="27" t="s">
        <v>35</v>
      </c>
      <c r="I12657" s="27" t="s">
        <v>38</v>
      </c>
      <c r="J12657" s="28" t="s">
        <v>1579</v>
      </c>
      <c r="K12657" s="27" t="s">
        <v>42</v>
      </c>
      <c r="L12657" s="27"/>
    </row>
    <row r="12658" customFormat="false" ht="15" hidden="false" customHeight="false" outlineLevel="0" collapsed="false">
      <c r="A12658" s="26" t="s">
        <v>30238</v>
      </c>
      <c r="B12658" s="27" t="s">
        <v>30239</v>
      </c>
      <c r="C12658" s="27" t="s">
        <v>10817</v>
      </c>
      <c r="D12658" s="26"/>
      <c r="E12658" s="27"/>
      <c r="F12658" s="27"/>
      <c r="G12658" s="27" t="s">
        <v>11122</v>
      </c>
      <c r="H12658" s="27" t="s">
        <v>35</v>
      </c>
      <c r="I12658" s="27" t="s">
        <v>47</v>
      </c>
      <c r="J12658" s="28" t="s">
        <v>1579</v>
      </c>
      <c r="K12658" s="27" t="s">
        <v>42</v>
      </c>
      <c r="L12658" s="27"/>
    </row>
    <row r="12659" customFormat="false" ht="15" hidden="false" customHeight="false" outlineLevel="0" collapsed="false">
      <c r="A12659" s="26" t="s">
        <v>30240</v>
      </c>
      <c r="B12659" s="27" t="s">
        <v>30241</v>
      </c>
      <c r="C12659" s="27" t="s">
        <v>1527</v>
      </c>
      <c r="D12659" s="26"/>
      <c r="E12659" s="27"/>
      <c r="F12659" s="27"/>
      <c r="G12659" s="27" t="s">
        <v>11122</v>
      </c>
      <c r="H12659" s="27" t="s">
        <v>35</v>
      </c>
      <c r="I12659" s="27" t="s">
        <v>152</v>
      </c>
      <c r="J12659" s="28" t="s">
        <v>1579</v>
      </c>
      <c r="K12659" s="27" t="s">
        <v>42</v>
      </c>
      <c r="L12659" s="27"/>
    </row>
    <row r="12660" customFormat="false" ht="15" hidden="false" customHeight="false" outlineLevel="0" collapsed="false">
      <c r="A12660" s="26" t="s">
        <v>30242</v>
      </c>
      <c r="B12660" s="27" t="s">
        <v>30243</v>
      </c>
      <c r="C12660" s="27" t="s">
        <v>10817</v>
      </c>
      <c r="D12660" s="26"/>
      <c r="E12660" s="27"/>
      <c r="F12660" s="27"/>
      <c r="G12660" s="27" t="s">
        <v>11122</v>
      </c>
      <c r="H12660" s="27" t="s">
        <v>35</v>
      </c>
      <c r="I12660" s="27" t="s">
        <v>42</v>
      </c>
      <c r="J12660" s="28" t="s">
        <v>1579</v>
      </c>
      <c r="K12660" s="27" t="s">
        <v>42</v>
      </c>
      <c r="L12660" s="27"/>
    </row>
    <row r="12661" customFormat="false" ht="15" hidden="false" customHeight="false" outlineLevel="0" collapsed="false">
      <c r="A12661" s="26" t="s">
        <v>30244</v>
      </c>
      <c r="B12661" s="27" t="s">
        <v>30245</v>
      </c>
      <c r="C12661" s="27" t="s">
        <v>10817</v>
      </c>
      <c r="D12661" s="26"/>
      <c r="E12661" s="27"/>
      <c r="F12661" s="27"/>
      <c r="G12661" s="27" t="s">
        <v>11122</v>
      </c>
      <c r="H12661" s="27" t="s">
        <v>35</v>
      </c>
      <c r="I12661" s="27" t="s">
        <v>42</v>
      </c>
      <c r="J12661" s="28" t="s">
        <v>1579</v>
      </c>
      <c r="K12661" s="27" t="s">
        <v>42</v>
      </c>
      <c r="L12661" s="27"/>
    </row>
    <row r="12662" customFormat="false" ht="15" hidden="false" customHeight="false" outlineLevel="0" collapsed="false">
      <c r="A12662" s="26" t="s">
        <v>30246</v>
      </c>
      <c r="B12662" s="27" t="s">
        <v>30247</v>
      </c>
      <c r="C12662" s="27" t="s">
        <v>10817</v>
      </c>
      <c r="D12662" s="26"/>
      <c r="E12662" s="27"/>
      <c r="F12662" s="27"/>
      <c r="G12662" s="27" t="s">
        <v>11122</v>
      </c>
      <c r="H12662" s="27" t="s">
        <v>35</v>
      </c>
      <c r="I12662" s="27" t="s">
        <v>37</v>
      </c>
      <c r="J12662" s="28" t="s">
        <v>1579</v>
      </c>
      <c r="K12662" s="27" t="s">
        <v>42</v>
      </c>
      <c r="L12662" s="27"/>
    </row>
    <row r="12663" customFormat="false" ht="15" hidden="false" customHeight="false" outlineLevel="0" collapsed="false">
      <c r="A12663" s="26" t="s">
        <v>30248</v>
      </c>
      <c r="B12663" s="27" t="s">
        <v>30249</v>
      </c>
      <c r="C12663" s="27" t="s">
        <v>10817</v>
      </c>
      <c r="D12663" s="26"/>
      <c r="E12663" s="27"/>
      <c r="F12663" s="27"/>
      <c r="G12663" s="27" t="s">
        <v>11122</v>
      </c>
      <c r="H12663" s="27" t="s">
        <v>35</v>
      </c>
      <c r="I12663" s="27" t="s">
        <v>1302</v>
      </c>
      <c r="J12663" s="28" t="s">
        <v>1579</v>
      </c>
      <c r="K12663" s="27" t="s">
        <v>42</v>
      </c>
      <c r="L12663" s="27"/>
    </row>
    <row r="12664" customFormat="false" ht="15" hidden="false" customHeight="false" outlineLevel="0" collapsed="false">
      <c r="A12664" s="26" t="s">
        <v>30250</v>
      </c>
      <c r="B12664" s="27" t="s">
        <v>30251</v>
      </c>
      <c r="C12664" s="27" t="s">
        <v>1527</v>
      </c>
      <c r="D12664" s="26"/>
      <c r="E12664" s="27"/>
      <c r="F12664" s="27"/>
      <c r="G12664" s="27" t="s">
        <v>11122</v>
      </c>
      <c r="H12664" s="27" t="s">
        <v>35</v>
      </c>
      <c r="I12664" s="27" t="s">
        <v>40</v>
      </c>
      <c r="J12664" s="28" t="s">
        <v>1579</v>
      </c>
      <c r="K12664" s="27" t="s">
        <v>42</v>
      </c>
      <c r="L12664" s="27"/>
    </row>
    <row r="12665" customFormat="false" ht="15" hidden="false" customHeight="false" outlineLevel="0" collapsed="false">
      <c r="A12665" s="26" t="s">
        <v>30252</v>
      </c>
      <c r="B12665" s="27" t="s">
        <v>30253</v>
      </c>
      <c r="C12665" s="27" t="s">
        <v>10817</v>
      </c>
      <c r="D12665" s="26"/>
      <c r="E12665" s="27"/>
      <c r="F12665" s="27"/>
      <c r="G12665" s="27" t="s">
        <v>11122</v>
      </c>
      <c r="H12665" s="27" t="s">
        <v>35</v>
      </c>
      <c r="I12665" s="27" t="s">
        <v>42</v>
      </c>
      <c r="J12665" s="28" t="s">
        <v>1579</v>
      </c>
      <c r="K12665" s="27" t="s">
        <v>42</v>
      </c>
      <c r="L12665" s="27"/>
    </row>
    <row r="12666" customFormat="false" ht="15" hidden="false" customHeight="false" outlineLevel="0" collapsed="false">
      <c r="A12666" s="26" t="s">
        <v>30254</v>
      </c>
      <c r="B12666" s="27" t="s">
        <v>30255</v>
      </c>
      <c r="C12666" s="27" t="s">
        <v>10817</v>
      </c>
      <c r="D12666" s="26"/>
      <c r="E12666" s="27"/>
      <c r="F12666" s="27"/>
      <c r="G12666" s="27" t="s">
        <v>11122</v>
      </c>
      <c r="H12666" s="27" t="s">
        <v>35</v>
      </c>
      <c r="I12666" s="27" t="s">
        <v>47</v>
      </c>
      <c r="J12666" s="28" t="s">
        <v>1579</v>
      </c>
      <c r="K12666" s="27" t="s">
        <v>42</v>
      </c>
      <c r="L12666" s="27"/>
    </row>
    <row r="12667" customFormat="false" ht="15" hidden="false" customHeight="false" outlineLevel="0" collapsed="false">
      <c r="A12667" s="26" t="s">
        <v>30256</v>
      </c>
      <c r="B12667" s="27" t="s">
        <v>30257</v>
      </c>
      <c r="C12667" s="27" t="s">
        <v>10817</v>
      </c>
      <c r="D12667" s="26"/>
      <c r="E12667" s="27"/>
      <c r="F12667" s="27"/>
      <c r="G12667" s="27" t="s">
        <v>11122</v>
      </c>
      <c r="H12667" s="27" t="s">
        <v>35</v>
      </c>
      <c r="I12667" s="27" t="s">
        <v>3536</v>
      </c>
      <c r="J12667" s="28" t="s">
        <v>1579</v>
      </c>
      <c r="K12667" s="27" t="s">
        <v>42</v>
      </c>
      <c r="L12667" s="27"/>
    </row>
    <row r="12668" customFormat="false" ht="15" hidden="false" customHeight="false" outlineLevel="0" collapsed="false">
      <c r="A12668" s="26" t="s">
        <v>30258</v>
      </c>
      <c r="B12668" s="27" t="s">
        <v>30259</v>
      </c>
      <c r="C12668" s="27" t="s">
        <v>10817</v>
      </c>
      <c r="D12668" s="26"/>
      <c r="E12668" s="27"/>
      <c r="F12668" s="27"/>
      <c r="G12668" s="27" t="s">
        <v>11122</v>
      </c>
      <c r="H12668" s="27" t="s">
        <v>35</v>
      </c>
      <c r="I12668" s="27" t="s">
        <v>42</v>
      </c>
      <c r="J12668" s="28" t="s">
        <v>1579</v>
      </c>
      <c r="K12668" s="27" t="s">
        <v>42</v>
      </c>
      <c r="L12668" s="27"/>
    </row>
    <row r="12669" customFormat="false" ht="15" hidden="false" customHeight="false" outlineLevel="0" collapsed="false">
      <c r="A12669" s="26" t="s">
        <v>30260</v>
      </c>
      <c r="B12669" s="27" t="s">
        <v>30261</v>
      </c>
      <c r="C12669" s="27" t="s">
        <v>10817</v>
      </c>
      <c r="D12669" s="26"/>
      <c r="E12669" s="27"/>
      <c r="F12669" s="27"/>
      <c r="G12669" s="27" t="s">
        <v>11122</v>
      </c>
      <c r="H12669" s="27" t="s">
        <v>35</v>
      </c>
      <c r="I12669" s="27" t="s">
        <v>49</v>
      </c>
      <c r="J12669" s="28" t="s">
        <v>1579</v>
      </c>
      <c r="K12669" s="27" t="s">
        <v>42</v>
      </c>
      <c r="L12669" s="27"/>
    </row>
    <row r="12670" customFormat="false" ht="15" hidden="false" customHeight="false" outlineLevel="0" collapsed="false">
      <c r="A12670" s="26" t="s">
        <v>30262</v>
      </c>
      <c r="B12670" s="27" t="s">
        <v>30263</v>
      </c>
      <c r="C12670" s="27" t="s">
        <v>10817</v>
      </c>
      <c r="D12670" s="26"/>
      <c r="E12670" s="27"/>
      <c r="F12670" s="27"/>
      <c r="G12670" s="27" t="s">
        <v>11122</v>
      </c>
      <c r="H12670" s="27" t="s">
        <v>35</v>
      </c>
      <c r="I12670" s="27" t="s">
        <v>41</v>
      </c>
      <c r="J12670" s="28" t="s">
        <v>1579</v>
      </c>
      <c r="K12670" s="27" t="s">
        <v>42</v>
      </c>
      <c r="L12670" s="27"/>
    </row>
    <row r="12671" customFormat="false" ht="15" hidden="false" customHeight="false" outlineLevel="0" collapsed="false">
      <c r="A12671" s="26" t="s">
        <v>30264</v>
      </c>
      <c r="B12671" s="27" t="s">
        <v>30265</v>
      </c>
      <c r="C12671" s="27" t="s">
        <v>10817</v>
      </c>
      <c r="D12671" s="26"/>
      <c r="E12671" s="27"/>
      <c r="F12671" s="27"/>
      <c r="G12671" s="27" t="s">
        <v>11122</v>
      </c>
      <c r="H12671" s="27" t="s">
        <v>35</v>
      </c>
      <c r="I12671" s="27" t="s">
        <v>42</v>
      </c>
      <c r="J12671" s="28" t="s">
        <v>1579</v>
      </c>
      <c r="K12671" s="27" t="s">
        <v>42</v>
      </c>
      <c r="L12671" s="27"/>
    </row>
    <row r="12672" customFormat="false" ht="15" hidden="false" customHeight="false" outlineLevel="0" collapsed="false">
      <c r="A12672" s="26" t="s">
        <v>30266</v>
      </c>
      <c r="B12672" s="27" t="s">
        <v>30267</v>
      </c>
      <c r="C12672" s="27" t="s">
        <v>10817</v>
      </c>
      <c r="D12672" s="26"/>
      <c r="E12672" s="27"/>
      <c r="F12672" s="27"/>
      <c r="G12672" s="27" t="s">
        <v>11122</v>
      </c>
      <c r="H12672" s="27" t="s">
        <v>35</v>
      </c>
      <c r="I12672" s="27" t="s">
        <v>42</v>
      </c>
      <c r="J12672" s="28" t="s">
        <v>1579</v>
      </c>
      <c r="K12672" s="27" t="s">
        <v>42</v>
      </c>
      <c r="L12672" s="27"/>
    </row>
    <row r="12673" customFormat="false" ht="15" hidden="false" customHeight="false" outlineLevel="0" collapsed="false">
      <c r="A12673" s="26" t="s">
        <v>30268</v>
      </c>
      <c r="B12673" s="27" t="s">
        <v>30269</v>
      </c>
      <c r="C12673" s="27" t="s">
        <v>10817</v>
      </c>
      <c r="D12673" s="26"/>
      <c r="E12673" s="27"/>
      <c r="F12673" s="27"/>
      <c r="G12673" s="27" t="s">
        <v>11122</v>
      </c>
      <c r="H12673" s="27" t="s">
        <v>35</v>
      </c>
      <c r="I12673" s="27" t="s">
        <v>42</v>
      </c>
      <c r="J12673" s="28" t="s">
        <v>1579</v>
      </c>
      <c r="K12673" s="27" t="s">
        <v>42</v>
      </c>
      <c r="L12673" s="27"/>
    </row>
    <row r="12674" customFormat="false" ht="15" hidden="false" customHeight="false" outlineLevel="0" collapsed="false">
      <c r="A12674" s="26" t="s">
        <v>30270</v>
      </c>
      <c r="B12674" s="27" t="s">
        <v>30271</v>
      </c>
      <c r="C12674" s="27" t="s">
        <v>10817</v>
      </c>
      <c r="D12674" s="26"/>
      <c r="E12674" s="27"/>
      <c r="F12674" s="27"/>
      <c r="G12674" s="27" t="s">
        <v>11122</v>
      </c>
      <c r="H12674" s="27" t="s">
        <v>35</v>
      </c>
      <c r="I12674" s="27" t="s">
        <v>108</v>
      </c>
      <c r="J12674" s="28" t="s">
        <v>1579</v>
      </c>
      <c r="K12674" s="27" t="s">
        <v>42</v>
      </c>
      <c r="L12674" s="27"/>
    </row>
    <row r="12675" customFormat="false" ht="15" hidden="false" customHeight="false" outlineLevel="0" collapsed="false">
      <c r="A12675" s="26" t="s">
        <v>30272</v>
      </c>
      <c r="B12675" s="27" t="s">
        <v>30273</v>
      </c>
      <c r="C12675" s="27" t="s">
        <v>10817</v>
      </c>
      <c r="D12675" s="26"/>
      <c r="E12675" s="27"/>
      <c r="F12675" s="27"/>
      <c r="G12675" s="27" t="s">
        <v>11122</v>
      </c>
      <c r="H12675" s="27" t="s">
        <v>35</v>
      </c>
      <c r="I12675" s="28" t="s">
        <v>50</v>
      </c>
      <c r="J12675" s="28" t="s">
        <v>1579</v>
      </c>
      <c r="K12675" s="27" t="s">
        <v>42</v>
      </c>
      <c r="L12675" s="27"/>
    </row>
    <row r="12676" customFormat="false" ht="15" hidden="false" customHeight="false" outlineLevel="0" collapsed="false">
      <c r="A12676" s="26" t="s">
        <v>30274</v>
      </c>
      <c r="B12676" s="27" t="s">
        <v>30275</v>
      </c>
      <c r="C12676" s="27" t="s">
        <v>10817</v>
      </c>
      <c r="D12676" s="26"/>
      <c r="E12676" s="27"/>
      <c r="F12676" s="27"/>
      <c r="G12676" s="27" t="s">
        <v>11122</v>
      </c>
      <c r="H12676" s="27" t="s">
        <v>35</v>
      </c>
      <c r="I12676" s="27" t="s">
        <v>42</v>
      </c>
      <c r="J12676" s="28" t="s">
        <v>1579</v>
      </c>
      <c r="K12676" s="27" t="s">
        <v>42</v>
      </c>
      <c r="L12676" s="27"/>
    </row>
    <row r="12677" customFormat="false" ht="15" hidden="false" customHeight="false" outlineLevel="0" collapsed="false">
      <c r="A12677" s="26" t="s">
        <v>30276</v>
      </c>
      <c r="B12677" s="27" t="s">
        <v>30277</v>
      </c>
      <c r="C12677" s="27" t="s">
        <v>1527</v>
      </c>
      <c r="D12677" s="26"/>
      <c r="E12677" s="27"/>
      <c r="F12677" s="27"/>
      <c r="G12677" s="27" t="s">
        <v>11122</v>
      </c>
      <c r="H12677" s="27" t="s">
        <v>35</v>
      </c>
      <c r="I12677" s="27" t="s">
        <v>42</v>
      </c>
      <c r="J12677" s="28" t="s">
        <v>1579</v>
      </c>
      <c r="K12677" s="27" t="s">
        <v>42</v>
      </c>
      <c r="L12677" s="27"/>
    </row>
    <row r="12678" customFormat="false" ht="15" hidden="false" customHeight="false" outlineLevel="0" collapsed="false">
      <c r="A12678" s="26" t="s">
        <v>30278</v>
      </c>
      <c r="B12678" s="27" t="s">
        <v>30279</v>
      </c>
      <c r="C12678" s="27" t="s">
        <v>1527</v>
      </c>
      <c r="D12678" s="26"/>
      <c r="E12678" s="27"/>
      <c r="F12678" s="27"/>
      <c r="G12678" s="27" t="s">
        <v>11122</v>
      </c>
      <c r="H12678" s="27" t="s">
        <v>35</v>
      </c>
      <c r="I12678" s="27" t="s">
        <v>42</v>
      </c>
      <c r="J12678" s="28" t="s">
        <v>1579</v>
      </c>
      <c r="K12678" s="27" t="s">
        <v>42</v>
      </c>
      <c r="L12678" s="27"/>
    </row>
    <row r="12679" customFormat="false" ht="15" hidden="false" customHeight="false" outlineLevel="0" collapsed="false">
      <c r="A12679" s="26" t="s">
        <v>30280</v>
      </c>
      <c r="B12679" s="27" t="s">
        <v>30281</v>
      </c>
      <c r="C12679" s="27" t="s">
        <v>1527</v>
      </c>
      <c r="D12679" s="26"/>
      <c r="E12679" s="27"/>
      <c r="F12679" s="27"/>
      <c r="G12679" s="27" t="s">
        <v>11122</v>
      </c>
      <c r="H12679" s="27" t="s">
        <v>35</v>
      </c>
      <c r="I12679" s="27" t="s">
        <v>42</v>
      </c>
      <c r="J12679" s="28" t="s">
        <v>1579</v>
      </c>
      <c r="K12679" s="27" t="s">
        <v>42</v>
      </c>
      <c r="L12679" s="27"/>
    </row>
    <row r="12680" customFormat="false" ht="15" hidden="false" customHeight="false" outlineLevel="0" collapsed="false">
      <c r="A12680" s="26" t="s">
        <v>30282</v>
      </c>
      <c r="B12680" s="27" t="s">
        <v>30283</v>
      </c>
      <c r="C12680" s="27" t="s">
        <v>144</v>
      </c>
      <c r="D12680" s="26"/>
      <c r="E12680" s="27"/>
      <c r="F12680" s="27"/>
      <c r="G12680" s="27" t="s">
        <v>11122</v>
      </c>
      <c r="H12680" s="27" t="s">
        <v>35</v>
      </c>
      <c r="I12680" s="27" t="s">
        <v>39</v>
      </c>
      <c r="J12680" s="28" t="s">
        <v>1579</v>
      </c>
      <c r="K12680" s="27" t="s">
        <v>42</v>
      </c>
      <c r="L12680" s="27"/>
    </row>
    <row r="12681" customFormat="false" ht="15" hidden="false" customHeight="false" outlineLevel="0" collapsed="false">
      <c r="A12681" s="26" t="s">
        <v>30284</v>
      </c>
      <c r="B12681" s="27" t="s">
        <v>30285</v>
      </c>
      <c r="C12681" s="27" t="s">
        <v>1527</v>
      </c>
      <c r="D12681" s="26"/>
      <c r="E12681" s="27"/>
      <c r="F12681" s="27"/>
      <c r="G12681" s="27" t="s">
        <v>11122</v>
      </c>
      <c r="H12681" s="27" t="s">
        <v>35</v>
      </c>
      <c r="I12681" s="27" t="s">
        <v>1578</v>
      </c>
      <c r="J12681" s="28" t="s">
        <v>1579</v>
      </c>
      <c r="K12681" s="27" t="s">
        <v>42</v>
      </c>
      <c r="L12681" s="27"/>
    </row>
    <row r="12682" customFormat="false" ht="15" hidden="false" customHeight="false" outlineLevel="0" collapsed="false">
      <c r="A12682" s="26" t="s">
        <v>30286</v>
      </c>
      <c r="B12682" s="27" t="s">
        <v>30287</v>
      </c>
      <c r="C12682" s="27" t="s">
        <v>1527</v>
      </c>
      <c r="D12682" s="26"/>
      <c r="E12682" s="27"/>
      <c r="F12682" s="27"/>
      <c r="G12682" s="27" t="s">
        <v>11122</v>
      </c>
      <c r="H12682" s="27" t="s">
        <v>35</v>
      </c>
      <c r="I12682" s="27" t="s">
        <v>1309</v>
      </c>
      <c r="J12682" s="28" t="s">
        <v>1579</v>
      </c>
      <c r="K12682" s="27" t="s">
        <v>42</v>
      </c>
      <c r="L12682" s="27"/>
    </row>
    <row r="12683" customFormat="false" ht="15" hidden="false" customHeight="false" outlineLevel="0" collapsed="false">
      <c r="A12683" s="26" t="s">
        <v>30288</v>
      </c>
      <c r="B12683" s="27" t="s">
        <v>30289</v>
      </c>
      <c r="C12683" s="27" t="s">
        <v>1527</v>
      </c>
      <c r="D12683" s="26"/>
      <c r="E12683" s="27"/>
      <c r="F12683" s="27"/>
      <c r="G12683" s="27" t="s">
        <v>11122</v>
      </c>
      <c r="H12683" s="27" t="s">
        <v>35</v>
      </c>
      <c r="I12683" s="27" t="s">
        <v>42</v>
      </c>
      <c r="J12683" s="28" t="s">
        <v>1579</v>
      </c>
      <c r="K12683" s="27" t="s">
        <v>42</v>
      </c>
      <c r="L12683" s="27"/>
    </row>
    <row r="12684" customFormat="false" ht="15" hidden="false" customHeight="false" outlineLevel="0" collapsed="false">
      <c r="A12684" s="26" t="s">
        <v>30290</v>
      </c>
      <c r="B12684" s="27" t="s">
        <v>30291</v>
      </c>
      <c r="C12684" s="27" t="s">
        <v>1527</v>
      </c>
      <c r="D12684" s="26"/>
      <c r="E12684" s="27"/>
      <c r="F12684" s="27"/>
      <c r="G12684" s="27" t="s">
        <v>11122</v>
      </c>
      <c r="H12684" s="27" t="s">
        <v>35</v>
      </c>
      <c r="I12684" s="27" t="s">
        <v>41</v>
      </c>
      <c r="J12684" s="28" t="s">
        <v>1579</v>
      </c>
      <c r="K12684" s="27" t="s">
        <v>42</v>
      </c>
      <c r="L12684" s="27"/>
    </row>
    <row r="12685" customFormat="false" ht="15" hidden="false" customHeight="false" outlineLevel="0" collapsed="false">
      <c r="A12685" s="26" t="s">
        <v>30292</v>
      </c>
      <c r="B12685" s="27" t="s">
        <v>30293</v>
      </c>
      <c r="C12685" s="27" t="s">
        <v>1527</v>
      </c>
      <c r="D12685" s="26"/>
      <c r="E12685" s="27"/>
      <c r="F12685" s="27"/>
      <c r="G12685" s="27" t="s">
        <v>11122</v>
      </c>
      <c r="H12685" s="27" t="s">
        <v>35</v>
      </c>
      <c r="I12685" s="27" t="s">
        <v>47</v>
      </c>
      <c r="J12685" s="28" t="s">
        <v>1579</v>
      </c>
      <c r="K12685" s="27" t="s">
        <v>42</v>
      </c>
      <c r="L12685" s="27"/>
    </row>
    <row r="12686" customFormat="false" ht="15" hidden="false" customHeight="false" outlineLevel="0" collapsed="false">
      <c r="A12686" s="26" t="s">
        <v>30294</v>
      </c>
      <c r="B12686" s="27" t="s">
        <v>30295</v>
      </c>
      <c r="C12686" s="27" t="s">
        <v>10817</v>
      </c>
      <c r="D12686" s="26"/>
      <c r="E12686" s="27"/>
      <c r="F12686" s="27"/>
      <c r="G12686" s="27" t="s">
        <v>11122</v>
      </c>
      <c r="H12686" s="27" t="s">
        <v>35</v>
      </c>
      <c r="I12686" s="27" t="s">
        <v>41</v>
      </c>
      <c r="J12686" s="28" t="s">
        <v>1579</v>
      </c>
      <c r="K12686" s="27" t="s">
        <v>42</v>
      </c>
      <c r="L12686" s="27"/>
    </row>
    <row r="12687" customFormat="false" ht="15" hidden="false" customHeight="false" outlineLevel="0" collapsed="false">
      <c r="A12687" s="26" t="s">
        <v>30296</v>
      </c>
      <c r="B12687" s="27" t="s">
        <v>30297</v>
      </c>
      <c r="C12687" s="27" t="s">
        <v>1527</v>
      </c>
      <c r="D12687" s="26"/>
      <c r="E12687" s="27"/>
      <c r="F12687" s="27"/>
      <c r="G12687" s="27" t="s">
        <v>11122</v>
      </c>
      <c r="H12687" s="27" t="s">
        <v>35</v>
      </c>
      <c r="I12687" s="27" t="s">
        <v>42</v>
      </c>
      <c r="J12687" s="28" t="s">
        <v>1579</v>
      </c>
      <c r="K12687" s="27" t="s">
        <v>42</v>
      </c>
      <c r="L12687" s="27"/>
    </row>
    <row r="12688" customFormat="false" ht="15" hidden="false" customHeight="false" outlineLevel="0" collapsed="false">
      <c r="A12688" s="26" t="s">
        <v>30298</v>
      </c>
      <c r="B12688" s="27" t="s">
        <v>30299</v>
      </c>
      <c r="C12688" s="27" t="s">
        <v>1527</v>
      </c>
      <c r="D12688" s="26"/>
      <c r="E12688" s="27"/>
      <c r="F12688" s="27"/>
      <c r="G12688" s="27" t="s">
        <v>11122</v>
      </c>
      <c r="H12688" s="27" t="s">
        <v>35</v>
      </c>
      <c r="I12688" s="27" t="s">
        <v>42</v>
      </c>
      <c r="J12688" s="28" t="s">
        <v>1579</v>
      </c>
      <c r="K12688" s="27" t="s">
        <v>42</v>
      </c>
      <c r="L12688" s="27"/>
    </row>
    <row r="12689" customFormat="false" ht="15" hidden="false" customHeight="false" outlineLevel="0" collapsed="false">
      <c r="A12689" s="26" t="s">
        <v>30300</v>
      </c>
      <c r="B12689" s="27" t="s">
        <v>30301</v>
      </c>
      <c r="C12689" s="27" t="s">
        <v>1527</v>
      </c>
      <c r="D12689" s="26"/>
      <c r="E12689" s="27"/>
      <c r="F12689" s="27"/>
      <c r="G12689" s="27" t="s">
        <v>11122</v>
      </c>
      <c r="H12689" s="27" t="s">
        <v>35</v>
      </c>
      <c r="I12689" s="27" t="s">
        <v>42</v>
      </c>
      <c r="J12689" s="28" t="s">
        <v>1579</v>
      </c>
      <c r="K12689" s="27" t="s">
        <v>42</v>
      </c>
      <c r="L12689" s="27"/>
    </row>
    <row r="12690" customFormat="false" ht="15" hidden="false" customHeight="false" outlineLevel="0" collapsed="false">
      <c r="A12690" s="26" t="s">
        <v>30302</v>
      </c>
      <c r="B12690" s="27" t="s">
        <v>30303</v>
      </c>
      <c r="C12690" s="27" t="s">
        <v>1527</v>
      </c>
      <c r="D12690" s="26"/>
      <c r="E12690" s="27"/>
      <c r="F12690" s="27"/>
      <c r="G12690" s="27" t="s">
        <v>11122</v>
      </c>
      <c r="H12690" s="27" t="s">
        <v>35</v>
      </c>
      <c r="I12690" s="27" t="s">
        <v>42</v>
      </c>
      <c r="J12690" s="28" t="s">
        <v>1579</v>
      </c>
      <c r="K12690" s="27" t="s">
        <v>42</v>
      </c>
      <c r="L12690" s="27"/>
    </row>
    <row r="12691" customFormat="false" ht="15" hidden="false" customHeight="false" outlineLevel="0" collapsed="false">
      <c r="A12691" s="26" t="s">
        <v>30304</v>
      </c>
      <c r="B12691" s="27" t="s">
        <v>30305</v>
      </c>
      <c r="C12691" s="27" t="s">
        <v>1527</v>
      </c>
      <c r="D12691" s="26"/>
      <c r="E12691" s="27"/>
      <c r="F12691" s="27"/>
      <c r="G12691" s="27" t="s">
        <v>11122</v>
      </c>
      <c r="H12691" s="27" t="s">
        <v>35</v>
      </c>
      <c r="I12691" s="27" t="s">
        <v>37</v>
      </c>
      <c r="J12691" s="28" t="s">
        <v>1579</v>
      </c>
      <c r="K12691" s="27" t="s">
        <v>42</v>
      </c>
      <c r="L12691" s="27"/>
    </row>
    <row r="12692" customFormat="false" ht="15" hidden="false" customHeight="false" outlineLevel="0" collapsed="false">
      <c r="A12692" s="26" t="s">
        <v>30306</v>
      </c>
      <c r="B12692" s="27" t="s">
        <v>30307</v>
      </c>
      <c r="C12692" s="27" t="s">
        <v>1527</v>
      </c>
      <c r="D12692" s="26"/>
      <c r="E12692" s="27"/>
      <c r="F12692" s="27"/>
      <c r="G12692" s="27" t="s">
        <v>11122</v>
      </c>
      <c r="H12692" s="27" t="s">
        <v>35</v>
      </c>
      <c r="I12692" s="27" t="s">
        <v>43</v>
      </c>
      <c r="J12692" s="28" t="s">
        <v>1579</v>
      </c>
      <c r="K12692" s="27" t="s">
        <v>42</v>
      </c>
      <c r="L12692" s="27"/>
    </row>
    <row r="12693" customFormat="false" ht="15" hidden="false" customHeight="false" outlineLevel="0" collapsed="false">
      <c r="A12693" s="26" t="s">
        <v>30308</v>
      </c>
      <c r="B12693" s="27" t="s">
        <v>30309</v>
      </c>
      <c r="C12693" s="27" t="s">
        <v>1527</v>
      </c>
      <c r="D12693" s="26"/>
      <c r="E12693" s="27"/>
      <c r="F12693" s="27"/>
      <c r="G12693" s="27" t="s">
        <v>11122</v>
      </c>
      <c r="H12693" s="27" t="s">
        <v>35</v>
      </c>
      <c r="I12693" s="27" t="s">
        <v>42</v>
      </c>
      <c r="J12693" s="28" t="s">
        <v>1579</v>
      </c>
      <c r="K12693" s="27" t="s">
        <v>42</v>
      </c>
      <c r="L12693" s="27"/>
    </row>
    <row r="12694" customFormat="false" ht="15" hidden="false" customHeight="false" outlineLevel="0" collapsed="false">
      <c r="A12694" s="26" t="s">
        <v>30310</v>
      </c>
      <c r="B12694" s="27" t="s">
        <v>30311</v>
      </c>
      <c r="C12694" s="27" t="s">
        <v>1527</v>
      </c>
      <c r="D12694" s="26"/>
      <c r="E12694" s="27"/>
      <c r="F12694" s="27"/>
      <c r="G12694" s="27" t="s">
        <v>11122</v>
      </c>
      <c r="H12694" s="27" t="s">
        <v>35</v>
      </c>
      <c r="I12694" s="27" t="s">
        <v>3432</v>
      </c>
      <c r="J12694" s="28" t="s">
        <v>1579</v>
      </c>
      <c r="K12694" s="27" t="s">
        <v>42</v>
      </c>
      <c r="L12694" s="27"/>
    </row>
    <row r="12695" customFormat="false" ht="15" hidden="false" customHeight="false" outlineLevel="0" collapsed="false">
      <c r="A12695" s="26" t="s">
        <v>30312</v>
      </c>
      <c r="B12695" s="27" t="s">
        <v>30313</v>
      </c>
      <c r="C12695" s="27" t="s">
        <v>1527</v>
      </c>
      <c r="D12695" s="26"/>
      <c r="E12695" s="27"/>
      <c r="F12695" s="27"/>
      <c r="G12695" s="27" t="s">
        <v>11122</v>
      </c>
      <c r="H12695" s="27" t="s">
        <v>35</v>
      </c>
      <c r="I12695" s="27" t="s">
        <v>42</v>
      </c>
      <c r="J12695" s="28" t="s">
        <v>1579</v>
      </c>
      <c r="K12695" s="27" t="s">
        <v>42</v>
      </c>
      <c r="L12695" s="27"/>
    </row>
    <row r="12696" customFormat="false" ht="15" hidden="false" customHeight="false" outlineLevel="0" collapsed="false">
      <c r="A12696" s="26" t="s">
        <v>30314</v>
      </c>
      <c r="B12696" s="27" t="s">
        <v>30315</v>
      </c>
      <c r="C12696" s="27" t="s">
        <v>1527</v>
      </c>
      <c r="D12696" s="26"/>
      <c r="E12696" s="27"/>
      <c r="F12696" s="27"/>
      <c r="G12696" s="27" t="s">
        <v>11122</v>
      </c>
      <c r="H12696" s="27" t="s">
        <v>35</v>
      </c>
      <c r="I12696" s="27" t="s">
        <v>43</v>
      </c>
      <c r="J12696" s="28" t="s">
        <v>1579</v>
      </c>
      <c r="K12696" s="27" t="s">
        <v>42</v>
      </c>
      <c r="L12696" s="27"/>
    </row>
    <row r="12697" customFormat="false" ht="15" hidden="false" customHeight="false" outlineLevel="0" collapsed="false">
      <c r="A12697" s="26" t="s">
        <v>30316</v>
      </c>
      <c r="B12697" s="27" t="s">
        <v>30317</v>
      </c>
      <c r="C12697" s="27" t="s">
        <v>1527</v>
      </c>
      <c r="D12697" s="26"/>
      <c r="E12697" s="27"/>
      <c r="F12697" s="27"/>
      <c r="G12697" s="27" t="s">
        <v>11122</v>
      </c>
      <c r="H12697" s="27" t="s">
        <v>35</v>
      </c>
      <c r="I12697" s="27" t="s">
        <v>152</v>
      </c>
      <c r="J12697" s="28" t="s">
        <v>1579</v>
      </c>
      <c r="K12697" s="27" t="s">
        <v>42</v>
      </c>
      <c r="L12697" s="27"/>
    </row>
    <row r="12698" customFormat="false" ht="15" hidden="false" customHeight="false" outlineLevel="0" collapsed="false">
      <c r="A12698" s="26" t="s">
        <v>30318</v>
      </c>
      <c r="B12698" s="27" t="s">
        <v>30319</v>
      </c>
      <c r="C12698" s="27" t="s">
        <v>1527</v>
      </c>
      <c r="D12698" s="26"/>
      <c r="E12698" s="27"/>
      <c r="F12698" s="27"/>
      <c r="G12698" s="27" t="s">
        <v>11122</v>
      </c>
      <c r="H12698" s="27" t="s">
        <v>35</v>
      </c>
      <c r="I12698" s="27" t="s">
        <v>42</v>
      </c>
      <c r="J12698" s="28" t="s">
        <v>1579</v>
      </c>
      <c r="K12698" s="27" t="s">
        <v>42</v>
      </c>
      <c r="L12698" s="27"/>
    </row>
    <row r="12699" customFormat="false" ht="15" hidden="false" customHeight="false" outlineLevel="0" collapsed="false">
      <c r="A12699" s="26" t="s">
        <v>30320</v>
      </c>
      <c r="B12699" s="27" t="s">
        <v>30321</v>
      </c>
      <c r="C12699" s="27" t="s">
        <v>1527</v>
      </c>
      <c r="D12699" s="26"/>
      <c r="E12699" s="27"/>
      <c r="F12699" s="27"/>
      <c r="G12699" s="27" t="s">
        <v>11122</v>
      </c>
      <c r="H12699" s="27" t="s">
        <v>35</v>
      </c>
      <c r="I12699" s="27" t="s">
        <v>43</v>
      </c>
      <c r="J12699" s="28" t="s">
        <v>1579</v>
      </c>
      <c r="K12699" s="27" t="s">
        <v>42</v>
      </c>
      <c r="L12699" s="27"/>
    </row>
    <row r="12700" customFormat="false" ht="15" hidden="false" customHeight="false" outlineLevel="0" collapsed="false">
      <c r="A12700" s="26" t="s">
        <v>30322</v>
      </c>
      <c r="B12700" s="27" t="s">
        <v>30323</v>
      </c>
      <c r="C12700" s="27" t="s">
        <v>1527</v>
      </c>
      <c r="D12700" s="26"/>
      <c r="E12700" s="27"/>
      <c r="F12700" s="27"/>
      <c r="G12700" s="27" t="s">
        <v>11122</v>
      </c>
      <c r="H12700" s="27" t="s">
        <v>35</v>
      </c>
      <c r="I12700" s="27" t="s">
        <v>3536</v>
      </c>
      <c r="J12700" s="28" t="s">
        <v>1579</v>
      </c>
      <c r="K12700" s="27" t="s">
        <v>42</v>
      </c>
      <c r="L12700" s="27"/>
    </row>
    <row r="12701" customFormat="false" ht="15" hidden="false" customHeight="false" outlineLevel="0" collapsed="false">
      <c r="A12701" s="26" t="s">
        <v>30324</v>
      </c>
      <c r="B12701" s="27" t="s">
        <v>30325</v>
      </c>
      <c r="C12701" s="27" t="s">
        <v>1527</v>
      </c>
      <c r="D12701" s="26"/>
      <c r="E12701" s="27"/>
      <c r="F12701" s="27"/>
      <c r="G12701" s="27" t="s">
        <v>11122</v>
      </c>
      <c r="H12701" s="27" t="s">
        <v>35</v>
      </c>
      <c r="I12701" s="27" t="s">
        <v>37</v>
      </c>
      <c r="J12701" s="28" t="s">
        <v>1579</v>
      </c>
      <c r="K12701" s="27" t="s">
        <v>42</v>
      </c>
      <c r="L12701" s="27"/>
    </row>
    <row r="12702" customFormat="false" ht="15" hidden="false" customHeight="false" outlineLevel="0" collapsed="false">
      <c r="A12702" s="26" t="s">
        <v>30326</v>
      </c>
      <c r="B12702" s="27" t="s">
        <v>30327</v>
      </c>
      <c r="C12702" s="27" t="s">
        <v>1527</v>
      </c>
      <c r="D12702" s="26"/>
      <c r="E12702" s="27"/>
      <c r="F12702" s="27"/>
      <c r="G12702" s="27" t="s">
        <v>11122</v>
      </c>
      <c r="H12702" s="27" t="s">
        <v>35</v>
      </c>
      <c r="I12702" s="27" t="s">
        <v>43</v>
      </c>
      <c r="J12702" s="28" t="s">
        <v>1579</v>
      </c>
      <c r="K12702" s="27" t="s">
        <v>42</v>
      </c>
      <c r="L12702" s="27"/>
    </row>
    <row r="12703" customFormat="false" ht="15" hidden="false" customHeight="false" outlineLevel="0" collapsed="false">
      <c r="A12703" s="26" t="s">
        <v>30328</v>
      </c>
      <c r="B12703" s="27" t="s">
        <v>30329</v>
      </c>
      <c r="C12703" s="27" t="s">
        <v>1527</v>
      </c>
      <c r="D12703" s="26"/>
      <c r="E12703" s="27"/>
      <c r="F12703" s="27"/>
      <c r="G12703" s="27" t="s">
        <v>11122</v>
      </c>
      <c r="H12703" s="27" t="s">
        <v>35</v>
      </c>
      <c r="I12703" s="27" t="s">
        <v>1302</v>
      </c>
      <c r="J12703" s="28" t="s">
        <v>1579</v>
      </c>
      <c r="K12703" s="27" t="s">
        <v>42</v>
      </c>
      <c r="L12703" s="27"/>
    </row>
    <row r="12704" customFormat="false" ht="15" hidden="false" customHeight="false" outlineLevel="0" collapsed="false">
      <c r="A12704" s="26" t="s">
        <v>30330</v>
      </c>
      <c r="B12704" s="27" t="s">
        <v>30331</v>
      </c>
      <c r="C12704" s="27" t="s">
        <v>1527</v>
      </c>
      <c r="D12704" s="26"/>
      <c r="E12704" s="27"/>
      <c r="F12704" s="27"/>
      <c r="G12704" s="27" t="s">
        <v>11122</v>
      </c>
      <c r="H12704" s="27" t="s">
        <v>35</v>
      </c>
      <c r="I12704" s="27" t="s">
        <v>152</v>
      </c>
      <c r="J12704" s="28" t="s">
        <v>1579</v>
      </c>
      <c r="K12704" s="27" t="s">
        <v>42</v>
      </c>
      <c r="L12704" s="27"/>
    </row>
    <row r="12705" customFormat="false" ht="15" hidden="false" customHeight="false" outlineLevel="0" collapsed="false">
      <c r="A12705" s="26" t="s">
        <v>30332</v>
      </c>
      <c r="B12705" s="27" t="s">
        <v>30333</v>
      </c>
      <c r="C12705" s="27" t="s">
        <v>1527</v>
      </c>
      <c r="D12705" s="26"/>
      <c r="E12705" s="27"/>
      <c r="F12705" s="27"/>
      <c r="G12705" s="27" t="s">
        <v>11122</v>
      </c>
      <c r="H12705" s="27" t="s">
        <v>35</v>
      </c>
      <c r="I12705" s="27" t="s">
        <v>42</v>
      </c>
      <c r="J12705" s="28" t="s">
        <v>1579</v>
      </c>
      <c r="K12705" s="27" t="s">
        <v>42</v>
      </c>
      <c r="L12705" s="27"/>
    </row>
    <row r="12706" customFormat="false" ht="15" hidden="false" customHeight="false" outlineLevel="0" collapsed="false">
      <c r="A12706" s="26" t="s">
        <v>30334</v>
      </c>
      <c r="B12706" s="27" t="s">
        <v>30335</v>
      </c>
      <c r="C12706" s="27" t="s">
        <v>1527</v>
      </c>
      <c r="D12706" s="26"/>
      <c r="E12706" s="27"/>
      <c r="F12706" s="27"/>
      <c r="G12706" s="27" t="s">
        <v>11122</v>
      </c>
      <c r="H12706" s="27" t="s">
        <v>35</v>
      </c>
      <c r="I12706" s="27" t="s">
        <v>42</v>
      </c>
      <c r="J12706" s="28" t="s">
        <v>1579</v>
      </c>
      <c r="K12706" s="27" t="s">
        <v>42</v>
      </c>
      <c r="L12706" s="27"/>
    </row>
    <row r="12707" customFormat="false" ht="15" hidden="false" customHeight="false" outlineLevel="0" collapsed="false">
      <c r="A12707" s="26" t="s">
        <v>30336</v>
      </c>
      <c r="B12707" s="27" t="s">
        <v>30337</v>
      </c>
      <c r="C12707" s="27" t="s">
        <v>1527</v>
      </c>
      <c r="D12707" s="26"/>
      <c r="E12707" s="27"/>
      <c r="F12707" s="27"/>
      <c r="G12707" s="27" t="s">
        <v>11122</v>
      </c>
      <c r="H12707" s="27" t="s">
        <v>35</v>
      </c>
      <c r="I12707" s="27" t="s">
        <v>152</v>
      </c>
      <c r="J12707" s="28" t="s">
        <v>1579</v>
      </c>
      <c r="K12707" s="27" t="s">
        <v>42</v>
      </c>
      <c r="L12707" s="27"/>
    </row>
    <row r="12708" customFormat="false" ht="15" hidden="false" customHeight="false" outlineLevel="0" collapsed="false">
      <c r="A12708" s="26" t="s">
        <v>30338</v>
      </c>
      <c r="B12708" s="27" t="s">
        <v>30339</v>
      </c>
      <c r="C12708" s="27" t="s">
        <v>1527</v>
      </c>
      <c r="D12708" s="26"/>
      <c r="E12708" s="27"/>
      <c r="F12708" s="27"/>
      <c r="G12708" s="27" t="s">
        <v>11122</v>
      </c>
      <c r="H12708" s="27" t="s">
        <v>35</v>
      </c>
      <c r="I12708" s="27" t="s">
        <v>3432</v>
      </c>
      <c r="J12708" s="28" t="s">
        <v>1579</v>
      </c>
      <c r="K12708" s="27" t="s">
        <v>42</v>
      </c>
      <c r="L12708" s="27"/>
    </row>
    <row r="12709" customFormat="false" ht="15" hidden="false" customHeight="false" outlineLevel="0" collapsed="false">
      <c r="A12709" s="26" t="s">
        <v>30340</v>
      </c>
      <c r="B12709" s="27" t="s">
        <v>30341</v>
      </c>
      <c r="C12709" s="27" t="s">
        <v>1527</v>
      </c>
      <c r="D12709" s="26"/>
      <c r="E12709" s="27"/>
      <c r="F12709" s="27"/>
      <c r="G12709" s="27" t="s">
        <v>11122</v>
      </c>
      <c r="H12709" s="27" t="s">
        <v>35</v>
      </c>
      <c r="I12709" s="27" t="s">
        <v>3432</v>
      </c>
      <c r="J12709" s="28" t="s">
        <v>1579</v>
      </c>
      <c r="K12709" s="27" t="s">
        <v>42</v>
      </c>
      <c r="L12709" s="27"/>
    </row>
    <row r="12710" customFormat="false" ht="15" hidden="false" customHeight="false" outlineLevel="0" collapsed="false">
      <c r="A12710" s="26" t="s">
        <v>30342</v>
      </c>
      <c r="B12710" s="27" t="s">
        <v>30343</v>
      </c>
      <c r="C12710" s="27" t="s">
        <v>1527</v>
      </c>
      <c r="D12710" s="26"/>
      <c r="E12710" s="27"/>
      <c r="F12710" s="27"/>
      <c r="G12710" s="27" t="s">
        <v>11122</v>
      </c>
      <c r="H12710" s="27" t="s">
        <v>35</v>
      </c>
      <c r="I12710" s="27" t="s">
        <v>3432</v>
      </c>
      <c r="J12710" s="28" t="s">
        <v>1579</v>
      </c>
      <c r="K12710" s="27" t="s">
        <v>42</v>
      </c>
      <c r="L12710" s="27"/>
    </row>
    <row r="12711" customFormat="false" ht="15" hidden="false" customHeight="false" outlineLevel="0" collapsed="false">
      <c r="A12711" s="26" t="s">
        <v>30344</v>
      </c>
      <c r="B12711" s="27" t="s">
        <v>30345</v>
      </c>
      <c r="C12711" s="27" t="s">
        <v>1527</v>
      </c>
      <c r="D12711" s="26"/>
      <c r="E12711" s="27"/>
      <c r="F12711" s="27"/>
      <c r="G12711" s="27" t="s">
        <v>11122</v>
      </c>
      <c r="H12711" s="27" t="s">
        <v>35</v>
      </c>
      <c r="I12711" s="27" t="s">
        <v>42</v>
      </c>
      <c r="J12711" s="28" t="s">
        <v>1579</v>
      </c>
      <c r="K12711" s="27" t="s">
        <v>42</v>
      </c>
      <c r="L12711" s="27"/>
    </row>
    <row r="12712" customFormat="false" ht="15" hidden="false" customHeight="false" outlineLevel="0" collapsed="false">
      <c r="A12712" s="26" t="s">
        <v>30346</v>
      </c>
      <c r="B12712" s="27" t="s">
        <v>30347</v>
      </c>
      <c r="C12712" s="27" t="s">
        <v>1527</v>
      </c>
      <c r="D12712" s="26"/>
      <c r="E12712" s="27"/>
      <c r="F12712" s="27"/>
      <c r="G12712" s="27" t="s">
        <v>11122</v>
      </c>
      <c r="H12712" s="27" t="s">
        <v>35</v>
      </c>
      <c r="I12712" s="27" t="s">
        <v>42</v>
      </c>
      <c r="J12712" s="28" t="s">
        <v>1579</v>
      </c>
      <c r="K12712" s="27" t="s">
        <v>42</v>
      </c>
      <c r="L12712" s="27"/>
    </row>
    <row r="12713" customFormat="false" ht="15" hidden="false" customHeight="false" outlineLevel="0" collapsed="false">
      <c r="A12713" s="26" t="s">
        <v>30348</v>
      </c>
      <c r="B12713" s="27" t="s">
        <v>30349</v>
      </c>
      <c r="C12713" s="27" t="s">
        <v>1527</v>
      </c>
      <c r="D12713" s="26"/>
      <c r="E12713" s="27"/>
      <c r="F12713" s="27"/>
      <c r="G12713" s="27" t="s">
        <v>11122</v>
      </c>
      <c r="H12713" s="27" t="s">
        <v>35</v>
      </c>
      <c r="I12713" s="27" t="s">
        <v>42</v>
      </c>
      <c r="J12713" s="28" t="s">
        <v>1579</v>
      </c>
      <c r="K12713" s="27" t="s">
        <v>42</v>
      </c>
      <c r="L12713" s="27"/>
    </row>
    <row r="12714" customFormat="false" ht="15" hidden="false" customHeight="false" outlineLevel="0" collapsed="false">
      <c r="A12714" s="26" t="s">
        <v>30350</v>
      </c>
      <c r="B12714" s="27" t="s">
        <v>30351</v>
      </c>
      <c r="C12714" s="27" t="s">
        <v>1527</v>
      </c>
      <c r="D12714" s="26"/>
      <c r="E12714" s="27"/>
      <c r="F12714" s="27"/>
      <c r="G12714" s="27" t="s">
        <v>11122</v>
      </c>
      <c r="H12714" s="27" t="s">
        <v>35</v>
      </c>
      <c r="I12714" s="27" t="s">
        <v>42</v>
      </c>
      <c r="J12714" s="28" t="s">
        <v>1579</v>
      </c>
      <c r="K12714" s="27" t="s">
        <v>42</v>
      </c>
      <c r="L12714" s="27"/>
    </row>
    <row r="12715" customFormat="false" ht="15" hidden="false" customHeight="false" outlineLevel="0" collapsed="false">
      <c r="A12715" s="26" t="s">
        <v>30352</v>
      </c>
      <c r="B12715" s="27" t="s">
        <v>30353</v>
      </c>
      <c r="C12715" s="27" t="s">
        <v>1527</v>
      </c>
      <c r="D12715" s="26"/>
      <c r="E12715" s="27"/>
      <c r="F12715" s="27"/>
      <c r="G12715" s="27" t="s">
        <v>11122</v>
      </c>
      <c r="H12715" s="27" t="s">
        <v>35</v>
      </c>
      <c r="I12715" s="27" t="s">
        <v>42</v>
      </c>
      <c r="J12715" s="28" t="s">
        <v>1579</v>
      </c>
      <c r="K12715" s="27" t="s">
        <v>42</v>
      </c>
      <c r="L12715" s="27"/>
    </row>
    <row r="12716" customFormat="false" ht="15" hidden="false" customHeight="false" outlineLevel="0" collapsed="false">
      <c r="A12716" s="26" t="s">
        <v>30354</v>
      </c>
      <c r="B12716" s="27" t="s">
        <v>30355</v>
      </c>
      <c r="C12716" s="27" t="s">
        <v>1527</v>
      </c>
      <c r="D12716" s="26"/>
      <c r="E12716" s="27"/>
      <c r="F12716" s="27"/>
      <c r="G12716" s="27" t="s">
        <v>11122</v>
      </c>
      <c r="H12716" s="27" t="s">
        <v>35</v>
      </c>
      <c r="I12716" s="27" t="s">
        <v>42</v>
      </c>
      <c r="J12716" s="28" t="s">
        <v>1579</v>
      </c>
      <c r="K12716" s="27" t="s">
        <v>42</v>
      </c>
      <c r="L12716" s="27"/>
    </row>
    <row r="12717" customFormat="false" ht="15" hidden="false" customHeight="false" outlineLevel="0" collapsed="false">
      <c r="A12717" s="26" t="s">
        <v>30356</v>
      </c>
      <c r="B12717" s="27" t="s">
        <v>30357</v>
      </c>
      <c r="C12717" s="27" t="s">
        <v>1527</v>
      </c>
      <c r="D12717" s="26"/>
      <c r="E12717" s="27"/>
      <c r="F12717" s="27"/>
      <c r="G12717" s="27" t="s">
        <v>11122</v>
      </c>
      <c r="H12717" s="27" t="s">
        <v>35</v>
      </c>
      <c r="I12717" s="27" t="s">
        <v>64</v>
      </c>
      <c r="J12717" s="28" t="s">
        <v>1579</v>
      </c>
      <c r="K12717" s="27" t="s">
        <v>42</v>
      </c>
      <c r="L12717" s="27"/>
    </row>
    <row r="12718" customFormat="false" ht="15" hidden="false" customHeight="false" outlineLevel="0" collapsed="false">
      <c r="A12718" s="26" t="s">
        <v>30358</v>
      </c>
      <c r="B12718" s="27" t="s">
        <v>30359</v>
      </c>
      <c r="C12718" s="27" t="s">
        <v>1527</v>
      </c>
      <c r="D12718" s="26"/>
      <c r="E12718" s="27"/>
      <c r="F12718" s="27"/>
      <c r="G12718" s="27" t="s">
        <v>11122</v>
      </c>
      <c r="H12718" s="27" t="s">
        <v>35</v>
      </c>
      <c r="I12718" s="27" t="s">
        <v>40</v>
      </c>
      <c r="J12718" s="28" t="s">
        <v>1579</v>
      </c>
      <c r="K12718" s="27" t="s">
        <v>42</v>
      </c>
      <c r="L12718" s="27"/>
    </row>
    <row r="12719" customFormat="false" ht="15" hidden="false" customHeight="false" outlineLevel="0" collapsed="false">
      <c r="A12719" s="26" t="s">
        <v>30360</v>
      </c>
      <c r="B12719" s="27" t="s">
        <v>30361</v>
      </c>
      <c r="C12719" s="27" t="s">
        <v>144</v>
      </c>
      <c r="D12719" s="26"/>
      <c r="E12719" s="27"/>
      <c r="F12719" s="27"/>
      <c r="G12719" s="27" t="s">
        <v>11122</v>
      </c>
      <c r="H12719" s="27" t="s">
        <v>35</v>
      </c>
      <c r="I12719" s="27" t="s">
        <v>42</v>
      </c>
      <c r="J12719" s="28" t="s">
        <v>1579</v>
      </c>
      <c r="K12719" s="27" t="s">
        <v>42</v>
      </c>
      <c r="L12719" s="27"/>
    </row>
    <row r="12720" customFormat="false" ht="15" hidden="false" customHeight="false" outlineLevel="0" collapsed="false">
      <c r="A12720" s="26" t="s">
        <v>30362</v>
      </c>
      <c r="B12720" s="27" t="s">
        <v>30363</v>
      </c>
      <c r="C12720" s="27" t="s">
        <v>1527</v>
      </c>
      <c r="D12720" s="26"/>
      <c r="E12720" s="27"/>
      <c r="F12720" s="27"/>
      <c r="G12720" s="27" t="s">
        <v>11122</v>
      </c>
      <c r="H12720" s="27" t="s">
        <v>35</v>
      </c>
      <c r="I12720" s="27" t="s">
        <v>42</v>
      </c>
      <c r="J12720" s="28" t="s">
        <v>1579</v>
      </c>
      <c r="K12720" s="27" t="s">
        <v>42</v>
      </c>
      <c r="L12720" s="27"/>
    </row>
    <row r="12721" customFormat="false" ht="15" hidden="false" customHeight="false" outlineLevel="0" collapsed="false">
      <c r="A12721" s="26" t="s">
        <v>30364</v>
      </c>
      <c r="B12721" s="27" t="s">
        <v>30365</v>
      </c>
      <c r="C12721" s="27" t="s">
        <v>1527</v>
      </c>
      <c r="D12721" s="26"/>
      <c r="E12721" s="27"/>
      <c r="F12721" s="27"/>
      <c r="G12721" s="27" t="s">
        <v>11122</v>
      </c>
      <c r="H12721" s="27" t="s">
        <v>35</v>
      </c>
      <c r="I12721" s="27" t="s">
        <v>42</v>
      </c>
      <c r="J12721" s="28" t="s">
        <v>1579</v>
      </c>
      <c r="K12721" s="27" t="s">
        <v>42</v>
      </c>
      <c r="L12721" s="27"/>
    </row>
    <row r="12722" customFormat="false" ht="15" hidden="false" customHeight="false" outlineLevel="0" collapsed="false">
      <c r="A12722" s="26" t="s">
        <v>30366</v>
      </c>
      <c r="B12722" s="27" t="s">
        <v>30367</v>
      </c>
      <c r="C12722" s="27" t="s">
        <v>1527</v>
      </c>
      <c r="D12722" s="26"/>
      <c r="E12722" s="27"/>
      <c r="F12722" s="27"/>
      <c r="G12722" s="27" t="s">
        <v>11122</v>
      </c>
      <c r="H12722" s="27" t="s">
        <v>35</v>
      </c>
      <c r="I12722" s="27" t="s">
        <v>42</v>
      </c>
      <c r="J12722" s="28" t="s">
        <v>1579</v>
      </c>
      <c r="K12722" s="27" t="s">
        <v>42</v>
      </c>
      <c r="L12722" s="27"/>
    </row>
    <row r="12723" customFormat="false" ht="15" hidden="false" customHeight="false" outlineLevel="0" collapsed="false">
      <c r="A12723" s="26" t="s">
        <v>30368</v>
      </c>
      <c r="B12723" s="27" t="s">
        <v>30369</v>
      </c>
      <c r="C12723" s="27" t="s">
        <v>1527</v>
      </c>
      <c r="D12723" s="26"/>
      <c r="E12723" s="27"/>
      <c r="F12723" s="27"/>
      <c r="G12723" s="27" t="s">
        <v>11122</v>
      </c>
      <c r="H12723" s="27" t="s">
        <v>35</v>
      </c>
      <c r="I12723" s="27" t="s">
        <v>42</v>
      </c>
      <c r="J12723" s="28" t="s">
        <v>1579</v>
      </c>
      <c r="K12723" s="27" t="s">
        <v>42</v>
      </c>
      <c r="L12723" s="27"/>
    </row>
    <row r="12724" customFormat="false" ht="15" hidden="false" customHeight="false" outlineLevel="0" collapsed="false">
      <c r="A12724" s="26" t="s">
        <v>30370</v>
      </c>
      <c r="B12724" s="27" t="s">
        <v>30371</v>
      </c>
      <c r="C12724" s="27" t="s">
        <v>1527</v>
      </c>
      <c r="D12724" s="26"/>
      <c r="E12724" s="27"/>
      <c r="F12724" s="27"/>
      <c r="G12724" s="27" t="s">
        <v>11122</v>
      </c>
      <c r="H12724" s="27" t="s">
        <v>35</v>
      </c>
      <c r="I12724" s="27" t="s">
        <v>152</v>
      </c>
      <c r="J12724" s="28" t="s">
        <v>1579</v>
      </c>
      <c r="K12724" s="27" t="s">
        <v>42</v>
      </c>
      <c r="L12724" s="27"/>
    </row>
    <row r="12725" customFormat="false" ht="15" hidden="false" customHeight="false" outlineLevel="0" collapsed="false">
      <c r="A12725" s="26" t="s">
        <v>30372</v>
      </c>
      <c r="B12725" s="27" t="s">
        <v>30373</v>
      </c>
      <c r="C12725" s="27" t="s">
        <v>10817</v>
      </c>
      <c r="D12725" s="26"/>
      <c r="E12725" s="27"/>
      <c r="F12725" s="27"/>
      <c r="G12725" s="27" t="s">
        <v>11122</v>
      </c>
      <c r="H12725" s="27" t="s">
        <v>35</v>
      </c>
      <c r="I12725" s="27" t="s">
        <v>64</v>
      </c>
      <c r="J12725" s="28" t="s">
        <v>1579</v>
      </c>
      <c r="K12725" s="27" t="s">
        <v>42</v>
      </c>
      <c r="L12725" s="27"/>
    </row>
    <row r="12726" customFormat="false" ht="15" hidden="false" customHeight="false" outlineLevel="0" collapsed="false">
      <c r="A12726" s="26" t="s">
        <v>30374</v>
      </c>
      <c r="B12726" s="27" t="s">
        <v>30375</v>
      </c>
      <c r="C12726" s="27" t="s">
        <v>10817</v>
      </c>
      <c r="D12726" s="26"/>
      <c r="E12726" s="27"/>
      <c r="F12726" s="27"/>
      <c r="G12726" s="27" t="s">
        <v>11122</v>
      </c>
      <c r="H12726" s="27" t="s">
        <v>35</v>
      </c>
      <c r="I12726" s="27" t="s">
        <v>42</v>
      </c>
      <c r="J12726" s="28" t="s">
        <v>1579</v>
      </c>
      <c r="K12726" s="27" t="s">
        <v>42</v>
      </c>
      <c r="L12726" s="27"/>
    </row>
    <row r="12727" customFormat="false" ht="15" hidden="false" customHeight="false" outlineLevel="0" collapsed="false">
      <c r="A12727" s="26" t="s">
        <v>30376</v>
      </c>
      <c r="B12727" s="27" t="s">
        <v>30377</v>
      </c>
      <c r="C12727" s="27" t="s">
        <v>10817</v>
      </c>
      <c r="D12727" s="26"/>
      <c r="E12727" s="27"/>
      <c r="F12727" s="27"/>
      <c r="G12727" s="27" t="s">
        <v>11122</v>
      </c>
      <c r="H12727" s="27" t="s">
        <v>35</v>
      </c>
      <c r="I12727" s="27" t="s">
        <v>47</v>
      </c>
      <c r="J12727" s="28" t="s">
        <v>1579</v>
      </c>
      <c r="K12727" s="27" t="s">
        <v>42</v>
      </c>
      <c r="L12727" s="27"/>
    </row>
    <row r="12728" customFormat="false" ht="15" hidden="false" customHeight="false" outlineLevel="0" collapsed="false">
      <c r="A12728" s="26" t="s">
        <v>30378</v>
      </c>
      <c r="B12728" s="27" t="s">
        <v>30379</v>
      </c>
      <c r="C12728" s="27" t="s">
        <v>10817</v>
      </c>
      <c r="D12728" s="26"/>
      <c r="E12728" s="27"/>
      <c r="F12728" s="27"/>
      <c r="G12728" s="27" t="s">
        <v>11122</v>
      </c>
      <c r="H12728" s="27" t="s">
        <v>35</v>
      </c>
      <c r="I12728" s="27" t="s">
        <v>42</v>
      </c>
      <c r="J12728" s="28" t="s">
        <v>1579</v>
      </c>
      <c r="K12728" s="27" t="s">
        <v>42</v>
      </c>
      <c r="L12728" s="27"/>
    </row>
    <row r="12729" customFormat="false" ht="15" hidden="false" customHeight="false" outlineLevel="0" collapsed="false">
      <c r="A12729" s="26" t="s">
        <v>30380</v>
      </c>
      <c r="B12729" s="27" t="s">
        <v>30381</v>
      </c>
      <c r="C12729" s="27" t="s">
        <v>10817</v>
      </c>
      <c r="D12729" s="26"/>
      <c r="E12729" s="27"/>
      <c r="F12729" s="27"/>
      <c r="G12729" s="27" t="s">
        <v>11122</v>
      </c>
      <c r="H12729" s="27" t="s">
        <v>35</v>
      </c>
      <c r="I12729" s="27" t="s">
        <v>42</v>
      </c>
      <c r="J12729" s="28" t="s">
        <v>1579</v>
      </c>
      <c r="K12729" s="27" t="s">
        <v>42</v>
      </c>
      <c r="L12729" s="27"/>
    </row>
    <row r="12730" customFormat="false" ht="15" hidden="false" customHeight="false" outlineLevel="0" collapsed="false">
      <c r="A12730" s="26" t="s">
        <v>30382</v>
      </c>
      <c r="B12730" s="27" t="s">
        <v>30383</v>
      </c>
      <c r="C12730" s="27" t="s">
        <v>10817</v>
      </c>
      <c r="D12730" s="26"/>
      <c r="E12730" s="27"/>
      <c r="F12730" s="27"/>
      <c r="G12730" s="27" t="s">
        <v>11122</v>
      </c>
      <c r="H12730" s="27" t="s">
        <v>35</v>
      </c>
      <c r="I12730" s="27" t="s">
        <v>42</v>
      </c>
      <c r="J12730" s="28" t="s">
        <v>1579</v>
      </c>
      <c r="K12730" s="27" t="s">
        <v>42</v>
      </c>
      <c r="L12730" s="27"/>
    </row>
    <row r="12731" customFormat="false" ht="15" hidden="false" customHeight="false" outlineLevel="0" collapsed="false">
      <c r="A12731" s="26" t="s">
        <v>30384</v>
      </c>
      <c r="B12731" s="27" t="s">
        <v>30385</v>
      </c>
      <c r="C12731" s="27" t="s">
        <v>10817</v>
      </c>
      <c r="D12731" s="26"/>
      <c r="E12731" s="27"/>
      <c r="F12731" s="27"/>
      <c r="G12731" s="27" t="s">
        <v>11122</v>
      </c>
      <c r="H12731" s="27" t="s">
        <v>35</v>
      </c>
      <c r="I12731" s="27" t="s">
        <v>42</v>
      </c>
      <c r="J12731" s="28" t="s">
        <v>1579</v>
      </c>
      <c r="K12731" s="27" t="s">
        <v>42</v>
      </c>
      <c r="L12731" s="27"/>
    </row>
    <row r="12732" customFormat="false" ht="15" hidden="false" customHeight="false" outlineLevel="0" collapsed="false">
      <c r="A12732" s="26" t="s">
        <v>30386</v>
      </c>
      <c r="B12732" s="27" t="s">
        <v>30387</v>
      </c>
      <c r="C12732" s="27" t="s">
        <v>10817</v>
      </c>
      <c r="D12732" s="26"/>
      <c r="E12732" s="27"/>
      <c r="F12732" s="27"/>
      <c r="G12732" s="27" t="s">
        <v>11122</v>
      </c>
      <c r="H12732" s="27" t="s">
        <v>35</v>
      </c>
      <c r="I12732" s="27" t="s">
        <v>37</v>
      </c>
      <c r="J12732" s="28" t="s">
        <v>1579</v>
      </c>
      <c r="K12732" s="27" t="s">
        <v>42</v>
      </c>
      <c r="L12732" s="27"/>
    </row>
    <row r="12733" customFormat="false" ht="15" hidden="false" customHeight="false" outlineLevel="0" collapsed="false">
      <c r="A12733" s="26" t="s">
        <v>30388</v>
      </c>
      <c r="B12733" s="27" t="s">
        <v>30389</v>
      </c>
      <c r="C12733" s="27" t="s">
        <v>10817</v>
      </c>
      <c r="D12733" s="26"/>
      <c r="E12733" s="27"/>
      <c r="F12733" s="27"/>
      <c r="G12733" s="27" t="s">
        <v>11122</v>
      </c>
      <c r="H12733" s="27" t="s">
        <v>35</v>
      </c>
      <c r="I12733" s="27" t="s">
        <v>47</v>
      </c>
      <c r="J12733" s="28" t="s">
        <v>1579</v>
      </c>
      <c r="K12733" s="27" t="s">
        <v>42</v>
      </c>
      <c r="L12733" s="27"/>
    </row>
    <row r="12734" customFormat="false" ht="15" hidden="false" customHeight="false" outlineLevel="0" collapsed="false">
      <c r="A12734" s="26" t="s">
        <v>30390</v>
      </c>
      <c r="B12734" s="27" t="s">
        <v>30391</v>
      </c>
      <c r="C12734" s="27" t="s">
        <v>10817</v>
      </c>
      <c r="D12734" s="26"/>
      <c r="E12734" s="27"/>
      <c r="F12734" s="27"/>
      <c r="G12734" s="27" t="s">
        <v>11122</v>
      </c>
      <c r="H12734" s="27" t="s">
        <v>35</v>
      </c>
      <c r="I12734" s="27" t="s">
        <v>42</v>
      </c>
      <c r="J12734" s="28" t="s">
        <v>1579</v>
      </c>
      <c r="K12734" s="27" t="s">
        <v>42</v>
      </c>
      <c r="L12734" s="27"/>
    </row>
    <row r="12735" customFormat="false" ht="15" hidden="false" customHeight="false" outlineLevel="0" collapsed="false">
      <c r="A12735" s="26" t="s">
        <v>30392</v>
      </c>
      <c r="B12735" s="27" t="s">
        <v>30393</v>
      </c>
      <c r="C12735" s="27" t="s">
        <v>1527</v>
      </c>
      <c r="D12735" s="26"/>
      <c r="E12735" s="27"/>
      <c r="F12735" s="27"/>
      <c r="G12735" s="27" t="s">
        <v>11122</v>
      </c>
      <c r="H12735" s="27" t="s">
        <v>35</v>
      </c>
      <c r="I12735" s="27" t="s">
        <v>38</v>
      </c>
      <c r="J12735" s="28" t="s">
        <v>1579</v>
      </c>
      <c r="K12735" s="27" t="s">
        <v>42</v>
      </c>
      <c r="L12735" s="27"/>
    </row>
    <row r="12736" customFormat="false" ht="15" hidden="false" customHeight="false" outlineLevel="0" collapsed="false">
      <c r="A12736" s="26" t="s">
        <v>30394</v>
      </c>
      <c r="B12736" s="27" t="s">
        <v>30395</v>
      </c>
      <c r="C12736" s="27" t="s">
        <v>1527</v>
      </c>
      <c r="D12736" s="26"/>
      <c r="E12736" s="27"/>
      <c r="F12736" s="27"/>
      <c r="G12736" s="27" t="s">
        <v>11122</v>
      </c>
      <c r="H12736" s="27" t="s">
        <v>35</v>
      </c>
      <c r="I12736" s="27" t="s">
        <v>42</v>
      </c>
      <c r="J12736" s="28" t="s">
        <v>1579</v>
      </c>
      <c r="K12736" s="27" t="s">
        <v>42</v>
      </c>
      <c r="L12736" s="27"/>
    </row>
    <row r="12737" customFormat="false" ht="15" hidden="false" customHeight="false" outlineLevel="0" collapsed="false">
      <c r="A12737" s="26" t="s">
        <v>30396</v>
      </c>
      <c r="B12737" s="27" t="s">
        <v>30397</v>
      </c>
      <c r="C12737" s="27" t="s">
        <v>1527</v>
      </c>
      <c r="D12737" s="26"/>
      <c r="E12737" s="27"/>
      <c r="F12737" s="27"/>
      <c r="G12737" s="27" t="s">
        <v>11122</v>
      </c>
      <c r="H12737" s="27" t="s">
        <v>35</v>
      </c>
      <c r="I12737" s="27" t="s">
        <v>37</v>
      </c>
      <c r="J12737" s="28" t="s">
        <v>1579</v>
      </c>
      <c r="K12737" s="27" t="s">
        <v>42</v>
      </c>
      <c r="L12737" s="27"/>
    </row>
    <row r="12738" customFormat="false" ht="15" hidden="false" customHeight="false" outlineLevel="0" collapsed="false">
      <c r="A12738" s="26" t="s">
        <v>30398</v>
      </c>
      <c r="B12738" s="27" t="s">
        <v>30399</v>
      </c>
      <c r="C12738" s="27" t="s">
        <v>1527</v>
      </c>
      <c r="D12738" s="26"/>
      <c r="E12738" s="27"/>
      <c r="F12738" s="27"/>
      <c r="G12738" s="27" t="s">
        <v>11122</v>
      </c>
      <c r="H12738" s="27" t="s">
        <v>35</v>
      </c>
      <c r="I12738" s="27" t="s">
        <v>42</v>
      </c>
      <c r="J12738" s="28" t="s">
        <v>1579</v>
      </c>
      <c r="K12738" s="27" t="s">
        <v>42</v>
      </c>
      <c r="L12738" s="27"/>
    </row>
    <row r="12739" customFormat="false" ht="15" hidden="false" customHeight="false" outlineLevel="0" collapsed="false">
      <c r="A12739" s="26" t="s">
        <v>30400</v>
      </c>
      <c r="B12739" s="27" t="s">
        <v>30401</v>
      </c>
      <c r="C12739" s="27" t="s">
        <v>144</v>
      </c>
      <c r="D12739" s="26"/>
      <c r="E12739" s="27"/>
      <c r="F12739" s="27"/>
      <c r="G12739" s="27" t="s">
        <v>11122</v>
      </c>
      <c r="H12739" s="27" t="s">
        <v>35</v>
      </c>
      <c r="I12739" s="27" t="s">
        <v>42</v>
      </c>
      <c r="J12739" s="28" t="s">
        <v>1579</v>
      </c>
      <c r="K12739" s="27" t="s">
        <v>42</v>
      </c>
      <c r="L12739" s="27"/>
    </row>
    <row r="12740" customFormat="false" ht="15" hidden="false" customHeight="false" outlineLevel="0" collapsed="false">
      <c r="A12740" s="26" t="s">
        <v>30402</v>
      </c>
      <c r="B12740" s="27" t="s">
        <v>30403</v>
      </c>
      <c r="C12740" s="27" t="s">
        <v>144</v>
      </c>
      <c r="D12740" s="26"/>
      <c r="E12740" s="27"/>
      <c r="F12740" s="27"/>
      <c r="G12740" s="27" t="s">
        <v>11122</v>
      </c>
      <c r="H12740" s="27" t="s">
        <v>35</v>
      </c>
      <c r="I12740" s="27" t="s">
        <v>42</v>
      </c>
      <c r="J12740" s="28" t="s">
        <v>1579</v>
      </c>
      <c r="K12740" s="27" t="s">
        <v>42</v>
      </c>
      <c r="L12740" s="27"/>
    </row>
    <row r="12741" customFormat="false" ht="15" hidden="false" customHeight="false" outlineLevel="0" collapsed="false">
      <c r="A12741" s="26" t="s">
        <v>30404</v>
      </c>
      <c r="B12741" s="27" t="s">
        <v>30405</v>
      </c>
      <c r="C12741" s="27" t="s">
        <v>10817</v>
      </c>
      <c r="D12741" s="26"/>
      <c r="E12741" s="27"/>
      <c r="F12741" s="27"/>
      <c r="G12741" s="27" t="s">
        <v>11122</v>
      </c>
      <c r="H12741" s="27" t="s">
        <v>35</v>
      </c>
      <c r="I12741" s="27" t="s">
        <v>152</v>
      </c>
      <c r="J12741" s="28" t="s">
        <v>1579</v>
      </c>
      <c r="K12741" s="27" t="s">
        <v>42</v>
      </c>
      <c r="L12741" s="27"/>
    </row>
    <row r="12742" customFormat="false" ht="15" hidden="false" customHeight="false" outlineLevel="0" collapsed="false">
      <c r="A12742" s="26" t="s">
        <v>30406</v>
      </c>
      <c r="B12742" s="27" t="s">
        <v>30407</v>
      </c>
      <c r="C12742" s="27" t="s">
        <v>144</v>
      </c>
      <c r="D12742" s="26"/>
      <c r="E12742" s="27"/>
      <c r="F12742" s="27"/>
      <c r="G12742" s="27" t="s">
        <v>11122</v>
      </c>
      <c r="H12742" s="27" t="s">
        <v>35</v>
      </c>
      <c r="I12742" s="27" t="s">
        <v>42</v>
      </c>
      <c r="J12742" s="28" t="s">
        <v>1579</v>
      </c>
      <c r="K12742" s="27" t="s">
        <v>42</v>
      </c>
      <c r="L12742" s="27"/>
    </row>
    <row r="12743" customFormat="false" ht="15" hidden="false" customHeight="false" outlineLevel="0" collapsed="false">
      <c r="A12743" s="26" t="s">
        <v>30408</v>
      </c>
      <c r="B12743" s="27" t="s">
        <v>30409</v>
      </c>
      <c r="C12743" s="27" t="s">
        <v>1527</v>
      </c>
      <c r="D12743" s="26"/>
      <c r="E12743" s="27"/>
      <c r="F12743" s="27"/>
      <c r="G12743" s="27" t="s">
        <v>11122</v>
      </c>
      <c r="H12743" s="27" t="s">
        <v>35</v>
      </c>
      <c r="I12743" s="27" t="s">
        <v>42</v>
      </c>
      <c r="J12743" s="28" t="s">
        <v>1579</v>
      </c>
      <c r="K12743" s="27" t="s">
        <v>42</v>
      </c>
      <c r="L12743" s="27"/>
    </row>
    <row r="12744" customFormat="false" ht="15" hidden="false" customHeight="false" outlineLevel="0" collapsed="false">
      <c r="A12744" s="26" t="s">
        <v>30410</v>
      </c>
      <c r="B12744" s="27" t="s">
        <v>30411</v>
      </c>
      <c r="C12744" s="27" t="s">
        <v>144</v>
      </c>
      <c r="D12744" s="26"/>
      <c r="E12744" s="27"/>
      <c r="F12744" s="27"/>
      <c r="G12744" s="27" t="s">
        <v>11122</v>
      </c>
      <c r="H12744" s="27" t="s">
        <v>35</v>
      </c>
      <c r="I12744" s="27" t="s">
        <v>42</v>
      </c>
      <c r="J12744" s="28" t="s">
        <v>1579</v>
      </c>
      <c r="K12744" s="27" t="s">
        <v>42</v>
      </c>
      <c r="L12744" s="27"/>
    </row>
    <row r="12745" customFormat="false" ht="15" hidden="false" customHeight="false" outlineLevel="0" collapsed="false">
      <c r="A12745" s="26" t="s">
        <v>30412</v>
      </c>
      <c r="B12745" s="27" t="s">
        <v>30413</v>
      </c>
      <c r="C12745" s="27" t="s">
        <v>144</v>
      </c>
      <c r="D12745" s="26"/>
      <c r="E12745" s="27"/>
      <c r="F12745" s="27"/>
      <c r="G12745" s="27" t="s">
        <v>11122</v>
      </c>
      <c r="H12745" s="27" t="s">
        <v>35</v>
      </c>
      <c r="I12745" s="27" t="s">
        <v>42</v>
      </c>
      <c r="J12745" s="28" t="s">
        <v>1579</v>
      </c>
      <c r="K12745" s="27" t="s">
        <v>42</v>
      </c>
      <c r="L12745" s="27"/>
    </row>
    <row r="12746" customFormat="false" ht="15" hidden="false" customHeight="false" outlineLevel="0" collapsed="false">
      <c r="A12746" s="26" t="s">
        <v>30414</v>
      </c>
      <c r="B12746" s="27" t="s">
        <v>30415</v>
      </c>
      <c r="C12746" s="27" t="s">
        <v>144</v>
      </c>
      <c r="D12746" s="26"/>
      <c r="E12746" s="27"/>
      <c r="F12746" s="27"/>
      <c r="G12746" s="27" t="s">
        <v>11122</v>
      </c>
      <c r="H12746" s="27" t="s">
        <v>35</v>
      </c>
      <c r="I12746" s="27" t="s">
        <v>40</v>
      </c>
      <c r="J12746" s="28" t="s">
        <v>1579</v>
      </c>
      <c r="K12746" s="27" t="s">
        <v>42</v>
      </c>
      <c r="L12746" s="27"/>
    </row>
    <row r="12747" customFormat="false" ht="15" hidden="false" customHeight="false" outlineLevel="0" collapsed="false">
      <c r="A12747" s="26" t="s">
        <v>30416</v>
      </c>
      <c r="B12747" s="27" t="s">
        <v>30417</v>
      </c>
      <c r="C12747" s="27" t="s">
        <v>10817</v>
      </c>
      <c r="D12747" s="26"/>
      <c r="E12747" s="27"/>
      <c r="F12747" s="27"/>
      <c r="G12747" s="27" t="s">
        <v>11122</v>
      </c>
      <c r="H12747" s="27" t="s">
        <v>35</v>
      </c>
      <c r="I12747" s="27" t="s">
        <v>42</v>
      </c>
      <c r="J12747" s="28" t="s">
        <v>1579</v>
      </c>
      <c r="K12747" s="27" t="s">
        <v>42</v>
      </c>
      <c r="L12747" s="27"/>
    </row>
    <row r="12748" customFormat="false" ht="15" hidden="false" customHeight="false" outlineLevel="0" collapsed="false">
      <c r="A12748" s="26" t="s">
        <v>30418</v>
      </c>
      <c r="B12748" s="27" t="s">
        <v>30419</v>
      </c>
      <c r="C12748" s="27" t="s">
        <v>2041</v>
      </c>
      <c r="D12748" s="26"/>
      <c r="E12748" s="27"/>
      <c r="F12748" s="27"/>
      <c r="G12748" s="27" t="s">
        <v>11122</v>
      </c>
      <c r="H12748" s="27" t="s">
        <v>35</v>
      </c>
      <c r="I12748" s="27" t="s">
        <v>47</v>
      </c>
      <c r="J12748" s="28" t="s">
        <v>1579</v>
      </c>
      <c r="K12748" s="27" t="s">
        <v>42</v>
      </c>
      <c r="L12748" s="27"/>
    </row>
    <row r="12749" customFormat="false" ht="15" hidden="false" customHeight="false" outlineLevel="0" collapsed="false">
      <c r="A12749" s="26" t="s">
        <v>30420</v>
      </c>
      <c r="B12749" s="27" t="s">
        <v>30421</v>
      </c>
      <c r="C12749" s="27" t="s">
        <v>2041</v>
      </c>
      <c r="D12749" s="26"/>
      <c r="E12749" s="27"/>
      <c r="F12749" s="27"/>
      <c r="G12749" s="27" t="s">
        <v>11122</v>
      </c>
      <c r="H12749" s="27" t="s">
        <v>35</v>
      </c>
      <c r="I12749" s="27" t="s">
        <v>42</v>
      </c>
      <c r="J12749" s="28" t="s">
        <v>1579</v>
      </c>
      <c r="K12749" s="27" t="s">
        <v>42</v>
      </c>
      <c r="L12749" s="27"/>
    </row>
    <row r="12750" customFormat="false" ht="15" hidden="false" customHeight="false" outlineLevel="0" collapsed="false">
      <c r="A12750" s="26" t="s">
        <v>30422</v>
      </c>
      <c r="B12750" s="27" t="s">
        <v>30423</v>
      </c>
      <c r="C12750" s="27" t="s">
        <v>380</v>
      </c>
      <c r="D12750" s="26"/>
      <c r="E12750" s="27"/>
      <c r="F12750" s="27"/>
      <c r="G12750" s="27" t="s">
        <v>11122</v>
      </c>
      <c r="H12750" s="27" t="s">
        <v>35</v>
      </c>
      <c r="I12750" s="27" t="s">
        <v>42</v>
      </c>
      <c r="J12750" s="28" t="s">
        <v>1579</v>
      </c>
      <c r="K12750" s="27" t="s">
        <v>42</v>
      </c>
      <c r="L12750" s="27"/>
    </row>
    <row r="12751" customFormat="false" ht="15" hidden="false" customHeight="false" outlineLevel="0" collapsed="false">
      <c r="A12751" s="26" t="s">
        <v>30424</v>
      </c>
      <c r="B12751" s="27" t="s">
        <v>30425</v>
      </c>
      <c r="C12751" s="27" t="s">
        <v>1527</v>
      </c>
      <c r="D12751" s="26"/>
      <c r="E12751" s="27"/>
      <c r="F12751" s="27"/>
      <c r="G12751" s="27" t="s">
        <v>11122</v>
      </c>
      <c r="H12751" s="27" t="s">
        <v>35</v>
      </c>
      <c r="I12751" s="27" t="s">
        <v>49</v>
      </c>
      <c r="J12751" s="28" t="s">
        <v>1579</v>
      </c>
      <c r="K12751" s="27" t="s">
        <v>42</v>
      </c>
      <c r="L12751" s="27"/>
    </row>
    <row r="12752" customFormat="false" ht="15" hidden="false" customHeight="false" outlineLevel="0" collapsed="false">
      <c r="A12752" s="26" t="s">
        <v>30426</v>
      </c>
      <c r="B12752" s="27" t="s">
        <v>30427</v>
      </c>
      <c r="C12752" s="27" t="s">
        <v>1527</v>
      </c>
      <c r="D12752" s="26"/>
      <c r="E12752" s="27"/>
      <c r="F12752" s="27"/>
      <c r="G12752" s="27" t="s">
        <v>11122</v>
      </c>
      <c r="H12752" s="27" t="s">
        <v>35</v>
      </c>
      <c r="I12752" s="27" t="s">
        <v>42</v>
      </c>
      <c r="J12752" s="28" t="s">
        <v>1579</v>
      </c>
      <c r="K12752" s="27" t="s">
        <v>42</v>
      </c>
      <c r="L12752" s="27"/>
    </row>
    <row r="12753" customFormat="false" ht="15" hidden="false" customHeight="false" outlineLevel="0" collapsed="false">
      <c r="A12753" s="26" t="s">
        <v>30428</v>
      </c>
      <c r="B12753" s="27" t="s">
        <v>30429</v>
      </c>
      <c r="C12753" s="27" t="s">
        <v>1527</v>
      </c>
      <c r="D12753" s="26"/>
      <c r="E12753" s="27"/>
      <c r="F12753" s="27"/>
      <c r="G12753" s="27" t="s">
        <v>11122</v>
      </c>
      <c r="H12753" s="27" t="s">
        <v>35</v>
      </c>
      <c r="I12753" s="27" t="s">
        <v>42</v>
      </c>
      <c r="J12753" s="28" t="s">
        <v>1579</v>
      </c>
      <c r="K12753" s="27" t="s">
        <v>42</v>
      </c>
      <c r="L12753" s="27"/>
    </row>
    <row r="12754" customFormat="false" ht="15" hidden="false" customHeight="false" outlineLevel="0" collapsed="false">
      <c r="A12754" s="26" t="s">
        <v>30430</v>
      </c>
      <c r="B12754" s="27" t="s">
        <v>30431</v>
      </c>
      <c r="C12754" s="27" t="s">
        <v>144</v>
      </c>
      <c r="D12754" s="26"/>
      <c r="E12754" s="27"/>
      <c r="F12754" s="27"/>
      <c r="G12754" s="27" t="s">
        <v>11122</v>
      </c>
      <c r="H12754" s="27" t="s">
        <v>35</v>
      </c>
      <c r="I12754" s="27" t="s">
        <v>64</v>
      </c>
      <c r="J12754" s="28" t="s">
        <v>1579</v>
      </c>
      <c r="K12754" s="27" t="s">
        <v>42</v>
      </c>
      <c r="L12754" s="27"/>
    </row>
    <row r="12755" customFormat="false" ht="15" hidden="false" customHeight="false" outlineLevel="0" collapsed="false">
      <c r="A12755" s="26" t="s">
        <v>30432</v>
      </c>
      <c r="B12755" s="27" t="s">
        <v>30433</v>
      </c>
      <c r="C12755" s="27" t="s">
        <v>144</v>
      </c>
      <c r="D12755" s="26"/>
      <c r="E12755" s="27"/>
      <c r="F12755" s="27"/>
      <c r="G12755" s="27" t="s">
        <v>11122</v>
      </c>
      <c r="H12755" s="27" t="s">
        <v>35</v>
      </c>
      <c r="I12755" s="27" t="s">
        <v>64</v>
      </c>
      <c r="J12755" s="28" t="s">
        <v>1579</v>
      </c>
      <c r="K12755" s="27" t="s">
        <v>42</v>
      </c>
      <c r="L12755" s="27"/>
    </row>
    <row r="12756" customFormat="false" ht="15" hidden="false" customHeight="false" outlineLevel="0" collapsed="false">
      <c r="A12756" s="26" t="s">
        <v>30434</v>
      </c>
      <c r="B12756" s="27" t="s">
        <v>30435</v>
      </c>
      <c r="C12756" s="27" t="s">
        <v>1527</v>
      </c>
      <c r="D12756" s="26"/>
      <c r="E12756" s="27"/>
      <c r="F12756" s="27"/>
      <c r="G12756" s="27" t="s">
        <v>11122</v>
      </c>
      <c r="H12756" s="27" t="s">
        <v>35</v>
      </c>
      <c r="I12756" s="28" t="s">
        <v>50</v>
      </c>
      <c r="J12756" s="28" t="s">
        <v>1579</v>
      </c>
      <c r="K12756" s="27" t="s">
        <v>42</v>
      </c>
      <c r="L12756" s="27"/>
    </row>
    <row r="12757" customFormat="false" ht="15" hidden="false" customHeight="false" outlineLevel="0" collapsed="false">
      <c r="A12757" s="26" t="s">
        <v>30436</v>
      </c>
      <c r="B12757" s="27" t="s">
        <v>30437</v>
      </c>
      <c r="C12757" s="27" t="s">
        <v>1527</v>
      </c>
      <c r="D12757" s="26"/>
      <c r="E12757" s="27"/>
      <c r="F12757" s="27"/>
      <c r="G12757" s="27" t="s">
        <v>11122</v>
      </c>
      <c r="H12757" s="27" t="s">
        <v>35</v>
      </c>
      <c r="I12757" s="27" t="s">
        <v>47</v>
      </c>
      <c r="J12757" s="28" t="s">
        <v>1579</v>
      </c>
      <c r="K12757" s="27" t="s">
        <v>42</v>
      </c>
      <c r="L12757" s="27"/>
    </row>
    <row r="12758" customFormat="false" ht="15" hidden="false" customHeight="false" outlineLevel="0" collapsed="false">
      <c r="A12758" s="26" t="s">
        <v>30438</v>
      </c>
      <c r="B12758" s="27" t="s">
        <v>30439</v>
      </c>
      <c r="C12758" s="27" t="s">
        <v>144</v>
      </c>
      <c r="D12758" s="26"/>
      <c r="E12758" s="27"/>
      <c r="F12758" s="27"/>
      <c r="G12758" s="27" t="s">
        <v>11122</v>
      </c>
      <c r="H12758" s="27" t="s">
        <v>35</v>
      </c>
      <c r="I12758" s="27" t="s">
        <v>42</v>
      </c>
      <c r="J12758" s="28" t="s">
        <v>1579</v>
      </c>
      <c r="K12758" s="27" t="s">
        <v>42</v>
      </c>
      <c r="L12758" s="27"/>
    </row>
    <row r="12759" customFormat="false" ht="15" hidden="false" customHeight="false" outlineLevel="0" collapsed="false">
      <c r="A12759" s="26" t="s">
        <v>30440</v>
      </c>
      <c r="B12759" s="27" t="s">
        <v>30441</v>
      </c>
      <c r="C12759" s="27" t="s">
        <v>1990</v>
      </c>
      <c r="D12759" s="26"/>
      <c r="E12759" s="27"/>
      <c r="F12759" s="27"/>
      <c r="G12759" s="27" t="s">
        <v>11122</v>
      </c>
      <c r="H12759" s="27" t="s">
        <v>35</v>
      </c>
      <c r="I12759" s="27" t="s">
        <v>42</v>
      </c>
      <c r="J12759" s="28" t="s">
        <v>1579</v>
      </c>
      <c r="K12759" s="27" t="s">
        <v>42</v>
      </c>
      <c r="L12759" s="27"/>
    </row>
    <row r="12760" customFormat="false" ht="15" hidden="false" customHeight="false" outlineLevel="0" collapsed="false">
      <c r="A12760" s="26" t="s">
        <v>30442</v>
      </c>
      <c r="B12760" s="27" t="s">
        <v>30443</v>
      </c>
      <c r="C12760" s="27" t="s">
        <v>144</v>
      </c>
      <c r="D12760" s="26"/>
      <c r="E12760" s="27"/>
      <c r="F12760" s="27"/>
      <c r="G12760" s="27" t="s">
        <v>11122</v>
      </c>
      <c r="H12760" s="27" t="s">
        <v>35</v>
      </c>
      <c r="I12760" s="27" t="s">
        <v>1296</v>
      </c>
      <c r="J12760" s="28" t="s">
        <v>1579</v>
      </c>
      <c r="K12760" s="27" t="s">
        <v>42</v>
      </c>
      <c r="L12760" s="27"/>
    </row>
    <row r="12761" customFormat="false" ht="15" hidden="false" customHeight="false" outlineLevel="0" collapsed="false">
      <c r="A12761" s="26" t="s">
        <v>30444</v>
      </c>
      <c r="B12761" s="27" t="s">
        <v>30445</v>
      </c>
      <c r="C12761" s="27" t="s">
        <v>1527</v>
      </c>
      <c r="D12761" s="26"/>
      <c r="E12761" s="27"/>
      <c r="F12761" s="27"/>
      <c r="G12761" s="27" t="s">
        <v>11122</v>
      </c>
      <c r="H12761" s="27" t="s">
        <v>35</v>
      </c>
      <c r="I12761" s="27" t="s">
        <v>42</v>
      </c>
      <c r="J12761" s="28" t="s">
        <v>1579</v>
      </c>
      <c r="K12761" s="27" t="s">
        <v>42</v>
      </c>
      <c r="L12761" s="27"/>
    </row>
    <row r="12762" customFormat="false" ht="15" hidden="false" customHeight="false" outlineLevel="0" collapsed="false">
      <c r="A12762" s="26" t="s">
        <v>30446</v>
      </c>
      <c r="B12762" s="27" t="s">
        <v>30447</v>
      </c>
      <c r="C12762" s="27" t="s">
        <v>1527</v>
      </c>
      <c r="D12762" s="26"/>
      <c r="E12762" s="27"/>
      <c r="F12762" s="27"/>
      <c r="G12762" s="27" t="s">
        <v>11122</v>
      </c>
      <c r="H12762" s="27" t="s">
        <v>35</v>
      </c>
      <c r="I12762" s="27" t="s">
        <v>40</v>
      </c>
      <c r="J12762" s="28" t="s">
        <v>1579</v>
      </c>
      <c r="K12762" s="27" t="s">
        <v>42</v>
      </c>
      <c r="L12762" s="27"/>
    </row>
    <row r="12763" customFormat="false" ht="15" hidden="false" customHeight="false" outlineLevel="0" collapsed="false">
      <c r="A12763" s="26" t="s">
        <v>30448</v>
      </c>
      <c r="B12763" s="27" t="s">
        <v>30449</v>
      </c>
      <c r="C12763" s="27" t="s">
        <v>1527</v>
      </c>
      <c r="D12763" s="26"/>
      <c r="E12763" s="27"/>
      <c r="F12763" s="27"/>
      <c r="G12763" s="27" t="s">
        <v>11122</v>
      </c>
      <c r="H12763" s="27" t="s">
        <v>35</v>
      </c>
      <c r="I12763" s="27" t="s">
        <v>1309</v>
      </c>
      <c r="J12763" s="28" t="s">
        <v>1579</v>
      </c>
      <c r="K12763" s="27" t="s">
        <v>42</v>
      </c>
      <c r="L12763" s="27"/>
    </row>
    <row r="12764" customFormat="false" ht="15" hidden="false" customHeight="false" outlineLevel="0" collapsed="false">
      <c r="A12764" s="26" t="s">
        <v>30450</v>
      </c>
      <c r="B12764" s="27" t="s">
        <v>30451</v>
      </c>
      <c r="C12764" s="27" t="s">
        <v>1527</v>
      </c>
      <c r="D12764" s="26"/>
      <c r="E12764" s="27"/>
      <c r="F12764" s="27"/>
      <c r="G12764" s="27" t="s">
        <v>11122</v>
      </c>
      <c r="H12764" s="27" t="s">
        <v>35</v>
      </c>
      <c r="I12764" s="27" t="s">
        <v>41</v>
      </c>
      <c r="J12764" s="28" t="s">
        <v>1579</v>
      </c>
      <c r="K12764" s="27" t="s">
        <v>42</v>
      </c>
      <c r="L12764" s="27"/>
    </row>
    <row r="12765" customFormat="false" ht="15" hidden="false" customHeight="false" outlineLevel="0" collapsed="false">
      <c r="A12765" s="26" t="s">
        <v>30452</v>
      </c>
      <c r="B12765" s="27" t="s">
        <v>30453</v>
      </c>
      <c r="C12765" s="27" t="s">
        <v>1527</v>
      </c>
      <c r="D12765" s="26"/>
      <c r="E12765" s="27"/>
      <c r="F12765" s="27"/>
      <c r="G12765" s="27" t="s">
        <v>11122</v>
      </c>
      <c r="H12765" s="27" t="s">
        <v>35</v>
      </c>
      <c r="I12765" s="27" t="s">
        <v>3432</v>
      </c>
      <c r="J12765" s="28" t="s">
        <v>1579</v>
      </c>
      <c r="K12765" s="27" t="s">
        <v>42</v>
      </c>
      <c r="L12765" s="27"/>
    </row>
    <row r="12766" customFormat="false" ht="15" hidden="false" customHeight="false" outlineLevel="0" collapsed="false">
      <c r="A12766" s="26" t="s">
        <v>30454</v>
      </c>
      <c r="B12766" s="27" t="s">
        <v>30455</v>
      </c>
      <c r="C12766" s="27" t="s">
        <v>10817</v>
      </c>
      <c r="D12766" s="26"/>
      <c r="E12766" s="27"/>
      <c r="F12766" s="27"/>
      <c r="G12766" s="27" t="s">
        <v>11122</v>
      </c>
      <c r="H12766" s="27" t="s">
        <v>35</v>
      </c>
      <c r="I12766" s="27" t="s">
        <v>41</v>
      </c>
      <c r="J12766" s="28" t="s">
        <v>1579</v>
      </c>
      <c r="K12766" s="27" t="s">
        <v>42</v>
      </c>
      <c r="L12766" s="27"/>
    </row>
    <row r="12767" customFormat="false" ht="15" hidden="false" customHeight="false" outlineLevel="0" collapsed="false">
      <c r="A12767" s="26" t="s">
        <v>30456</v>
      </c>
      <c r="B12767" s="27" t="s">
        <v>30457</v>
      </c>
      <c r="C12767" s="27" t="s">
        <v>1527</v>
      </c>
      <c r="D12767" s="26"/>
      <c r="E12767" s="27"/>
      <c r="F12767" s="27"/>
      <c r="G12767" s="27" t="s">
        <v>11122</v>
      </c>
      <c r="H12767" s="27" t="s">
        <v>35</v>
      </c>
      <c r="I12767" s="27" t="s">
        <v>3432</v>
      </c>
      <c r="J12767" s="28" t="s">
        <v>1579</v>
      </c>
      <c r="K12767" s="27" t="s">
        <v>42</v>
      </c>
      <c r="L12767" s="27"/>
    </row>
    <row r="12768" customFormat="false" ht="15" hidden="false" customHeight="false" outlineLevel="0" collapsed="false">
      <c r="A12768" s="26" t="s">
        <v>30458</v>
      </c>
      <c r="B12768" s="27" t="s">
        <v>30459</v>
      </c>
      <c r="C12768" s="27" t="s">
        <v>1527</v>
      </c>
      <c r="D12768" s="26"/>
      <c r="E12768" s="27"/>
      <c r="F12768" s="27"/>
      <c r="G12768" s="27" t="s">
        <v>11122</v>
      </c>
      <c r="H12768" s="27" t="s">
        <v>35</v>
      </c>
      <c r="I12768" s="27" t="s">
        <v>152</v>
      </c>
      <c r="J12768" s="28" t="s">
        <v>1579</v>
      </c>
      <c r="K12768" s="27" t="s">
        <v>42</v>
      </c>
      <c r="L12768" s="27"/>
    </row>
    <row r="12769" customFormat="false" ht="15" hidden="false" customHeight="false" outlineLevel="0" collapsed="false">
      <c r="A12769" s="26" t="s">
        <v>30460</v>
      </c>
      <c r="B12769" s="27" t="s">
        <v>30461</v>
      </c>
      <c r="C12769" s="27" t="s">
        <v>1527</v>
      </c>
      <c r="D12769" s="26"/>
      <c r="E12769" s="27"/>
      <c r="F12769" s="27"/>
      <c r="G12769" s="27" t="s">
        <v>11122</v>
      </c>
      <c r="H12769" s="27" t="s">
        <v>35</v>
      </c>
      <c r="I12769" s="27" t="s">
        <v>3432</v>
      </c>
      <c r="J12769" s="28" t="s">
        <v>1579</v>
      </c>
      <c r="K12769" s="27" t="s">
        <v>42</v>
      </c>
      <c r="L12769" s="27"/>
    </row>
    <row r="12770" customFormat="false" ht="15" hidden="false" customHeight="false" outlineLevel="0" collapsed="false">
      <c r="A12770" s="26" t="s">
        <v>30462</v>
      </c>
      <c r="B12770" s="27" t="s">
        <v>30463</v>
      </c>
      <c r="C12770" s="27" t="s">
        <v>1527</v>
      </c>
      <c r="D12770" s="26"/>
      <c r="E12770" s="27"/>
      <c r="F12770" s="27"/>
      <c r="G12770" s="27" t="s">
        <v>11122</v>
      </c>
      <c r="H12770" s="27" t="s">
        <v>35</v>
      </c>
      <c r="I12770" s="27" t="s">
        <v>42</v>
      </c>
      <c r="J12770" s="28" t="s">
        <v>1579</v>
      </c>
      <c r="K12770" s="27" t="s">
        <v>42</v>
      </c>
      <c r="L12770" s="27"/>
    </row>
    <row r="12771" customFormat="false" ht="15" hidden="false" customHeight="false" outlineLevel="0" collapsed="false">
      <c r="A12771" s="26" t="s">
        <v>30464</v>
      </c>
      <c r="B12771" s="27" t="s">
        <v>30465</v>
      </c>
      <c r="C12771" s="27" t="s">
        <v>10817</v>
      </c>
      <c r="D12771" s="26"/>
      <c r="E12771" s="27"/>
      <c r="F12771" s="27"/>
      <c r="G12771" s="27" t="s">
        <v>11122</v>
      </c>
      <c r="H12771" s="27" t="s">
        <v>35</v>
      </c>
      <c r="I12771" s="27" t="s">
        <v>42</v>
      </c>
      <c r="J12771" s="28" t="s">
        <v>1579</v>
      </c>
      <c r="K12771" s="27" t="s">
        <v>42</v>
      </c>
      <c r="L12771" s="27"/>
    </row>
    <row r="12772" customFormat="false" ht="15" hidden="false" customHeight="false" outlineLevel="0" collapsed="false">
      <c r="A12772" s="26" t="s">
        <v>30466</v>
      </c>
      <c r="B12772" s="27" t="s">
        <v>30467</v>
      </c>
      <c r="C12772" s="27" t="s">
        <v>144</v>
      </c>
      <c r="D12772" s="26"/>
      <c r="E12772" s="27"/>
      <c r="F12772" s="27"/>
      <c r="G12772" s="27" t="s">
        <v>11122</v>
      </c>
      <c r="H12772" s="27" t="s">
        <v>35</v>
      </c>
      <c r="I12772" s="27" t="s">
        <v>42</v>
      </c>
      <c r="J12772" s="28" t="s">
        <v>1579</v>
      </c>
      <c r="K12772" s="27" t="s">
        <v>42</v>
      </c>
      <c r="L12772" s="27"/>
    </row>
    <row r="12773" customFormat="false" ht="15" hidden="false" customHeight="false" outlineLevel="0" collapsed="false">
      <c r="A12773" s="26" t="s">
        <v>30468</v>
      </c>
      <c r="B12773" s="27" t="s">
        <v>30469</v>
      </c>
      <c r="C12773" s="27" t="s">
        <v>1527</v>
      </c>
      <c r="D12773" s="26"/>
      <c r="E12773" s="27"/>
      <c r="F12773" s="27"/>
      <c r="G12773" s="27" t="s">
        <v>11122</v>
      </c>
      <c r="H12773" s="27" t="s">
        <v>35</v>
      </c>
      <c r="I12773" s="27" t="s">
        <v>41</v>
      </c>
      <c r="J12773" s="28" t="s">
        <v>1579</v>
      </c>
      <c r="K12773" s="27" t="s">
        <v>42</v>
      </c>
      <c r="L12773" s="27"/>
    </row>
    <row r="12774" customFormat="false" ht="15" hidden="false" customHeight="false" outlineLevel="0" collapsed="false">
      <c r="A12774" s="26" t="s">
        <v>30470</v>
      </c>
      <c r="B12774" s="27" t="s">
        <v>30471</v>
      </c>
      <c r="C12774" s="27" t="s">
        <v>10817</v>
      </c>
      <c r="D12774" s="26"/>
      <c r="E12774" s="27"/>
      <c r="F12774" s="27"/>
      <c r="G12774" s="27" t="s">
        <v>11122</v>
      </c>
      <c r="H12774" s="27" t="s">
        <v>35</v>
      </c>
      <c r="I12774" s="27" t="s">
        <v>42</v>
      </c>
      <c r="J12774" s="28" t="s">
        <v>1579</v>
      </c>
      <c r="K12774" s="27" t="s">
        <v>42</v>
      </c>
      <c r="L12774" s="27"/>
    </row>
    <row r="12775" customFormat="false" ht="15" hidden="false" customHeight="false" outlineLevel="0" collapsed="false">
      <c r="A12775" s="26" t="s">
        <v>30472</v>
      </c>
      <c r="B12775" s="27" t="s">
        <v>30473</v>
      </c>
      <c r="C12775" s="27" t="s">
        <v>10817</v>
      </c>
      <c r="D12775" s="26"/>
      <c r="E12775" s="27"/>
      <c r="F12775" s="27"/>
      <c r="G12775" s="27" t="s">
        <v>11122</v>
      </c>
      <c r="H12775" s="27" t="s">
        <v>35</v>
      </c>
      <c r="I12775" s="27" t="s">
        <v>1075</v>
      </c>
      <c r="J12775" s="28" t="s">
        <v>1579</v>
      </c>
      <c r="K12775" s="27" t="s">
        <v>42</v>
      </c>
      <c r="L12775" s="27"/>
    </row>
    <row r="12776" customFormat="false" ht="15" hidden="false" customHeight="false" outlineLevel="0" collapsed="false">
      <c r="A12776" s="26" t="s">
        <v>30474</v>
      </c>
      <c r="B12776" s="27" t="s">
        <v>30475</v>
      </c>
      <c r="C12776" s="27" t="s">
        <v>1527</v>
      </c>
      <c r="D12776" s="26"/>
      <c r="E12776" s="27"/>
      <c r="F12776" s="27"/>
      <c r="G12776" s="27" t="s">
        <v>11122</v>
      </c>
      <c r="H12776" s="27" t="s">
        <v>35</v>
      </c>
      <c r="I12776" s="28" t="s">
        <v>50</v>
      </c>
      <c r="J12776" s="28" t="s">
        <v>1579</v>
      </c>
      <c r="K12776" s="27" t="s">
        <v>42</v>
      </c>
      <c r="L12776" s="27"/>
    </row>
    <row r="12777" customFormat="false" ht="15" hidden="false" customHeight="false" outlineLevel="0" collapsed="false">
      <c r="A12777" s="26" t="s">
        <v>30476</v>
      </c>
      <c r="B12777" s="27" t="s">
        <v>30477</v>
      </c>
      <c r="C12777" s="27" t="s">
        <v>1527</v>
      </c>
      <c r="D12777" s="26"/>
      <c r="E12777" s="27"/>
      <c r="F12777" s="27"/>
      <c r="G12777" s="27" t="s">
        <v>11122</v>
      </c>
      <c r="H12777" s="27" t="s">
        <v>35</v>
      </c>
      <c r="I12777" s="28" t="s">
        <v>50</v>
      </c>
      <c r="J12777" s="28" t="s">
        <v>1579</v>
      </c>
      <c r="K12777" s="27" t="s">
        <v>42</v>
      </c>
      <c r="L12777" s="27"/>
    </row>
    <row r="12778" customFormat="false" ht="15" hidden="false" customHeight="false" outlineLevel="0" collapsed="false">
      <c r="A12778" s="26" t="s">
        <v>30478</v>
      </c>
      <c r="B12778" s="27" t="s">
        <v>30479</v>
      </c>
      <c r="C12778" s="27" t="s">
        <v>1527</v>
      </c>
      <c r="D12778" s="26"/>
      <c r="E12778" s="27"/>
      <c r="F12778" s="27"/>
      <c r="G12778" s="27" t="s">
        <v>11122</v>
      </c>
      <c r="H12778" s="27" t="s">
        <v>35</v>
      </c>
      <c r="I12778" s="28" t="s">
        <v>50</v>
      </c>
      <c r="J12778" s="28" t="s">
        <v>1579</v>
      </c>
      <c r="K12778" s="27" t="s">
        <v>42</v>
      </c>
      <c r="L12778" s="27"/>
    </row>
    <row r="12779" customFormat="false" ht="15" hidden="false" customHeight="false" outlineLevel="0" collapsed="false">
      <c r="A12779" s="26" t="s">
        <v>30480</v>
      </c>
      <c r="B12779" s="27" t="s">
        <v>30481</v>
      </c>
      <c r="C12779" s="27" t="s">
        <v>1527</v>
      </c>
      <c r="D12779" s="26"/>
      <c r="E12779" s="27"/>
      <c r="F12779" s="27"/>
      <c r="G12779" s="27" t="s">
        <v>11122</v>
      </c>
      <c r="H12779" s="27" t="s">
        <v>35</v>
      </c>
      <c r="I12779" s="27" t="s">
        <v>42</v>
      </c>
      <c r="J12779" s="28" t="s">
        <v>1579</v>
      </c>
      <c r="K12779" s="27" t="s">
        <v>42</v>
      </c>
      <c r="L12779" s="27"/>
    </row>
    <row r="12780" customFormat="false" ht="15" hidden="false" customHeight="false" outlineLevel="0" collapsed="false">
      <c r="A12780" s="26" t="s">
        <v>30482</v>
      </c>
      <c r="B12780" s="27" t="s">
        <v>30483</v>
      </c>
      <c r="C12780" s="27" t="s">
        <v>1527</v>
      </c>
      <c r="D12780" s="26"/>
      <c r="E12780" s="27"/>
      <c r="F12780" s="27"/>
      <c r="G12780" s="27" t="s">
        <v>11122</v>
      </c>
      <c r="H12780" s="27" t="s">
        <v>35</v>
      </c>
      <c r="I12780" s="27" t="s">
        <v>1578</v>
      </c>
      <c r="J12780" s="28" t="s">
        <v>1579</v>
      </c>
      <c r="K12780" s="27" t="s">
        <v>42</v>
      </c>
      <c r="L12780" s="27"/>
    </row>
    <row r="12781" customFormat="false" ht="15" hidden="false" customHeight="false" outlineLevel="0" collapsed="false">
      <c r="A12781" s="26" t="s">
        <v>30484</v>
      </c>
      <c r="B12781" s="27" t="s">
        <v>30485</v>
      </c>
      <c r="C12781" s="27" t="s">
        <v>1527</v>
      </c>
      <c r="D12781" s="26"/>
      <c r="E12781" s="27"/>
      <c r="F12781" s="27"/>
      <c r="G12781" s="27" t="s">
        <v>11122</v>
      </c>
      <c r="H12781" s="27" t="s">
        <v>35</v>
      </c>
      <c r="I12781" s="27" t="s">
        <v>152</v>
      </c>
      <c r="J12781" s="28" t="s">
        <v>1579</v>
      </c>
      <c r="K12781" s="27" t="s">
        <v>42</v>
      </c>
      <c r="L12781" s="27"/>
    </row>
    <row r="12782" customFormat="false" ht="15" hidden="false" customHeight="false" outlineLevel="0" collapsed="false">
      <c r="A12782" s="26" t="s">
        <v>30486</v>
      </c>
      <c r="B12782" s="27" t="s">
        <v>30487</v>
      </c>
      <c r="C12782" s="27" t="s">
        <v>10817</v>
      </c>
      <c r="D12782" s="26"/>
      <c r="E12782" s="27"/>
      <c r="F12782" s="27"/>
      <c r="G12782" s="27" t="s">
        <v>11122</v>
      </c>
      <c r="H12782" s="27" t="s">
        <v>35</v>
      </c>
      <c r="I12782" s="27" t="s">
        <v>42</v>
      </c>
      <c r="J12782" s="28" t="s">
        <v>1579</v>
      </c>
      <c r="K12782" s="27" t="s">
        <v>42</v>
      </c>
      <c r="L12782" s="27"/>
    </row>
    <row r="12783" customFormat="false" ht="15" hidden="false" customHeight="false" outlineLevel="0" collapsed="false">
      <c r="A12783" s="26" t="s">
        <v>30488</v>
      </c>
      <c r="B12783" s="27" t="s">
        <v>30489</v>
      </c>
      <c r="C12783" s="27" t="s">
        <v>10817</v>
      </c>
      <c r="D12783" s="26"/>
      <c r="E12783" s="27"/>
      <c r="F12783" s="27"/>
      <c r="G12783" s="27" t="s">
        <v>11122</v>
      </c>
      <c r="H12783" s="27" t="s">
        <v>35</v>
      </c>
      <c r="I12783" s="27" t="s">
        <v>47</v>
      </c>
      <c r="J12783" s="28" t="s">
        <v>1579</v>
      </c>
      <c r="K12783" s="27" t="s">
        <v>42</v>
      </c>
      <c r="L12783" s="27"/>
    </row>
    <row r="12784" customFormat="false" ht="15" hidden="false" customHeight="false" outlineLevel="0" collapsed="false">
      <c r="A12784" s="26" t="s">
        <v>30490</v>
      </c>
      <c r="B12784" s="27" t="s">
        <v>30491</v>
      </c>
      <c r="C12784" s="27" t="s">
        <v>1527</v>
      </c>
      <c r="D12784" s="26"/>
      <c r="E12784" s="27"/>
      <c r="F12784" s="27"/>
      <c r="G12784" s="27" t="s">
        <v>11122</v>
      </c>
      <c r="H12784" s="27" t="s">
        <v>35</v>
      </c>
      <c r="I12784" s="27" t="s">
        <v>42</v>
      </c>
      <c r="J12784" s="28" t="s">
        <v>1579</v>
      </c>
      <c r="K12784" s="27" t="s">
        <v>42</v>
      </c>
      <c r="L12784" s="27"/>
    </row>
    <row r="12785" customFormat="false" ht="15" hidden="false" customHeight="false" outlineLevel="0" collapsed="false">
      <c r="A12785" s="26" t="s">
        <v>30492</v>
      </c>
      <c r="B12785" s="27" t="s">
        <v>30493</v>
      </c>
      <c r="C12785" s="27" t="s">
        <v>1527</v>
      </c>
      <c r="D12785" s="26"/>
      <c r="E12785" s="27"/>
      <c r="F12785" s="27"/>
      <c r="G12785" s="27" t="s">
        <v>11122</v>
      </c>
      <c r="H12785" s="27" t="s">
        <v>35</v>
      </c>
      <c r="I12785" s="27" t="s">
        <v>42</v>
      </c>
      <c r="J12785" s="28" t="s">
        <v>1579</v>
      </c>
      <c r="K12785" s="27" t="s">
        <v>42</v>
      </c>
      <c r="L12785" s="27"/>
    </row>
    <row r="12786" customFormat="false" ht="15" hidden="false" customHeight="false" outlineLevel="0" collapsed="false">
      <c r="A12786" s="26" t="s">
        <v>30494</v>
      </c>
      <c r="B12786" s="27" t="s">
        <v>30495</v>
      </c>
      <c r="C12786" s="27" t="s">
        <v>1527</v>
      </c>
      <c r="D12786" s="26"/>
      <c r="E12786" s="27"/>
      <c r="F12786" s="27"/>
      <c r="G12786" s="27" t="s">
        <v>11122</v>
      </c>
      <c r="H12786" s="27" t="s">
        <v>35</v>
      </c>
      <c r="I12786" s="27" t="s">
        <v>47</v>
      </c>
      <c r="J12786" s="28" t="s">
        <v>1579</v>
      </c>
      <c r="K12786" s="27" t="s">
        <v>42</v>
      </c>
      <c r="L12786" s="27"/>
    </row>
    <row r="12787" customFormat="false" ht="15" hidden="false" customHeight="false" outlineLevel="0" collapsed="false">
      <c r="A12787" s="26" t="s">
        <v>30496</v>
      </c>
      <c r="B12787" s="27" t="s">
        <v>30497</v>
      </c>
      <c r="C12787" s="27" t="s">
        <v>1527</v>
      </c>
      <c r="D12787" s="26"/>
      <c r="E12787" s="27"/>
      <c r="F12787" s="27"/>
      <c r="G12787" s="27" t="s">
        <v>11122</v>
      </c>
      <c r="H12787" s="27" t="s">
        <v>35</v>
      </c>
      <c r="I12787" s="27" t="s">
        <v>47</v>
      </c>
      <c r="J12787" s="28" t="s">
        <v>1579</v>
      </c>
      <c r="K12787" s="27" t="s">
        <v>42</v>
      </c>
      <c r="L12787" s="27"/>
    </row>
    <row r="12788" customFormat="false" ht="15" hidden="false" customHeight="false" outlineLevel="0" collapsed="false">
      <c r="A12788" s="26" t="s">
        <v>30498</v>
      </c>
      <c r="B12788" s="27" t="s">
        <v>30499</v>
      </c>
      <c r="C12788" s="27" t="s">
        <v>1527</v>
      </c>
      <c r="D12788" s="26"/>
      <c r="E12788" s="27"/>
      <c r="F12788" s="27"/>
      <c r="G12788" s="27" t="s">
        <v>11122</v>
      </c>
      <c r="H12788" s="27" t="s">
        <v>35</v>
      </c>
      <c r="I12788" s="27" t="s">
        <v>42</v>
      </c>
      <c r="J12788" s="28" t="s">
        <v>1579</v>
      </c>
      <c r="K12788" s="27" t="s">
        <v>42</v>
      </c>
      <c r="L12788" s="27"/>
    </row>
    <row r="12789" customFormat="false" ht="15" hidden="false" customHeight="false" outlineLevel="0" collapsed="false">
      <c r="A12789" s="26" t="s">
        <v>30500</v>
      </c>
      <c r="B12789" s="27" t="s">
        <v>30501</v>
      </c>
      <c r="C12789" s="27" t="s">
        <v>1527</v>
      </c>
      <c r="D12789" s="26"/>
      <c r="E12789" s="27"/>
      <c r="F12789" s="27"/>
      <c r="G12789" s="27" t="s">
        <v>11122</v>
      </c>
      <c r="H12789" s="27" t="s">
        <v>35</v>
      </c>
      <c r="I12789" s="27" t="s">
        <v>42</v>
      </c>
      <c r="J12789" s="28" t="s">
        <v>1579</v>
      </c>
      <c r="K12789" s="27" t="s">
        <v>42</v>
      </c>
      <c r="L12789" s="27"/>
    </row>
    <row r="12790" customFormat="false" ht="15" hidden="false" customHeight="false" outlineLevel="0" collapsed="false">
      <c r="A12790" s="26" t="s">
        <v>30502</v>
      </c>
      <c r="B12790" s="27" t="s">
        <v>30503</v>
      </c>
      <c r="C12790" s="27" t="s">
        <v>10817</v>
      </c>
      <c r="D12790" s="26"/>
      <c r="E12790" s="27"/>
      <c r="F12790" s="27"/>
      <c r="G12790" s="27" t="s">
        <v>11122</v>
      </c>
      <c r="H12790" s="27" t="s">
        <v>35</v>
      </c>
      <c r="I12790" s="27" t="s">
        <v>30504</v>
      </c>
      <c r="J12790" s="28" t="s">
        <v>1579</v>
      </c>
      <c r="K12790" s="27" t="s">
        <v>42</v>
      </c>
      <c r="L12790" s="27"/>
    </row>
    <row r="12791" customFormat="false" ht="15" hidden="false" customHeight="false" outlineLevel="0" collapsed="false">
      <c r="A12791" s="26" t="s">
        <v>30505</v>
      </c>
      <c r="B12791" s="27" t="s">
        <v>30506</v>
      </c>
      <c r="C12791" s="27" t="s">
        <v>144</v>
      </c>
      <c r="D12791" s="26"/>
      <c r="E12791" s="27"/>
      <c r="F12791" s="27"/>
      <c r="G12791" s="27" t="s">
        <v>11122</v>
      </c>
      <c r="H12791" s="27" t="s">
        <v>35</v>
      </c>
      <c r="I12791" s="27" t="s">
        <v>43</v>
      </c>
      <c r="J12791" s="28" t="s">
        <v>1579</v>
      </c>
      <c r="K12791" s="27" t="s">
        <v>42</v>
      </c>
      <c r="L12791" s="27"/>
    </row>
    <row r="12792" customFormat="false" ht="15" hidden="false" customHeight="false" outlineLevel="0" collapsed="false">
      <c r="A12792" s="26" t="s">
        <v>30507</v>
      </c>
      <c r="B12792" s="27" t="s">
        <v>30508</v>
      </c>
      <c r="C12792" s="27" t="s">
        <v>144</v>
      </c>
      <c r="D12792" s="26"/>
      <c r="E12792" s="27"/>
      <c r="F12792" s="27"/>
      <c r="G12792" s="27" t="s">
        <v>11122</v>
      </c>
      <c r="H12792" s="27" t="s">
        <v>35</v>
      </c>
      <c r="I12792" s="27" t="s">
        <v>43</v>
      </c>
      <c r="J12792" s="28" t="s">
        <v>1579</v>
      </c>
      <c r="K12792" s="27" t="s">
        <v>42</v>
      </c>
      <c r="L12792" s="27"/>
    </row>
    <row r="12793" customFormat="false" ht="15" hidden="false" customHeight="false" outlineLevel="0" collapsed="false">
      <c r="A12793" s="26" t="s">
        <v>30509</v>
      </c>
      <c r="B12793" s="27" t="s">
        <v>30510</v>
      </c>
      <c r="C12793" s="27" t="s">
        <v>10817</v>
      </c>
      <c r="D12793" s="26"/>
      <c r="E12793" s="27"/>
      <c r="F12793" s="27"/>
      <c r="G12793" s="27" t="s">
        <v>11122</v>
      </c>
      <c r="H12793" s="27" t="s">
        <v>35</v>
      </c>
      <c r="I12793" s="27" t="s">
        <v>41</v>
      </c>
      <c r="J12793" s="28" t="s">
        <v>1579</v>
      </c>
      <c r="K12793" s="27" t="s">
        <v>42</v>
      </c>
      <c r="L12793" s="27"/>
    </row>
    <row r="12794" customFormat="false" ht="15" hidden="false" customHeight="false" outlineLevel="0" collapsed="false">
      <c r="A12794" s="26" t="s">
        <v>30511</v>
      </c>
      <c r="B12794" s="27" t="s">
        <v>30512</v>
      </c>
      <c r="C12794" s="27" t="s">
        <v>10817</v>
      </c>
      <c r="D12794" s="26"/>
      <c r="E12794" s="27"/>
      <c r="F12794" s="27"/>
      <c r="G12794" s="27" t="s">
        <v>11122</v>
      </c>
      <c r="H12794" s="27" t="s">
        <v>35</v>
      </c>
      <c r="I12794" s="27" t="s">
        <v>41</v>
      </c>
      <c r="J12794" s="28" t="s">
        <v>1579</v>
      </c>
      <c r="K12794" s="27" t="s">
        <v>42</v>
      </c>
      <c r="L12794" s="27"/>
    </row>
    <row r="12795" customFormat="false" ht="15" hidden="false" customHeight="false" outlineLevel="0" collapsed="false">
      <c r="A12795" s="26" t="s">
        <v>30513</v>
      </c>
      <c r="B12795" s="27" t="s">
        <v>30514</v>
      </c>
      <c r="C12795" s="27" t="s">
        <v>10817</v>
      </c>
      <c r="D12795" s="26"/>
      <c r="E12795" s="27"/>
      <c r="F12795" s="27"/>
      <c r="G12795" s="27" t="s">
        <v>11122</v>
      </c>
      <c r="H12795" s="27" t="s">
        <v>35</v>
      </c>
      <c r="I12795" s="27" t="s">
        <v>1067</v>
      </c>
      <c r="J12795" s="28" t="s">
        <v>1579</v>
      </c>
      <c r="K12795" s="27" t="s">
        <v>42</v>
      </c>
      <c r="L12795" s="27"/>
    </row>
    <row r="12796" customFormat="false" ht="15" hidden="false" customHeight="false" outlineLevel="0" collapsed="false">
      <c r="A12796" s="26" t="s">
        <v>30515</v>
      </c>
      <c r="B12796" s="27" t="s">
        <v>30516</v>
      </c>
      <c r="C12796" s="27" t="s">
        <v>10817</v>
      </c>
      <c r="D12796" s="26"/>
      <c r="E12796" s="27"/>
      <c r="F12796" s="27"/>
      <c r="G12796" s="27" t="s">
        <v>11122</v>
      </c>
      <c r="H12796" s="27" t="s">
        <v>35</v>
      </c>
      <c r="I12796" s="27" t="s">
        <v>41</v>
      </c>
      <c r="J12796" s="28" t="s">
        <v>1579</v>
      </c>
      <c r="K12796" s="27" t="s">
        <v>42</v>
      </c>
      <c r="L12796" s="27"/>
    </row>
    <row r="12797" customFormat="false" ht="15" hidden="false" customHeight="false" outlineLevel="0" collapsed="false">
      <c r="A12797" s="26" t="s">
        <v>30517</v>
      </c>
      <c r="B12797" s="27" t="s">
        <v>30518</v>
      </c>
      <c r="C12797" s="27" t="s">
        <v>10817</v>
      </c>
      <c r="D12797" s="26"/>
      <c r="E12797" s="27"/>
      <c r="F12797" s="27"/>
      <c r="G12797" s="27" t="s">
        <v>11122</v>
      </c>
      <c r="H12797" s="27" t="s">
        <v>35</v>
      </c>
      <c r="I12797" s="27" t="s">
        <v>41</v>
      </c>
      <c r="J12797" s="28" t="s">
        <v>1579</v>
      </c>
      <c r="K12797" s="27" t="s">
        <v>42</v>
      </c>
      <c r="L12797" s="27"/>
    </row>
    <row r="12798" customFormat="false" ht="15" hidden="false" customHeight="false" outlineLevel="0" collapsed="false">
      <c r="A12798" s="26" t="s">
        <v>30519</v>
      </c>
      <c r="B12798" s="27" t="s">
        <v>30520</v>
      </c>
      <c r="C12798" s="27" t="s">
        <v>10817</v>
      </c>
      <c r="D12798" s="26"/>
      <c r="E12798" s="27"/>
      <c r="F12798" s="27"/>
      <c r="G12798" s="27" t="s">
        <v>11122</v>
      </c>
      <c r="H12798" s="27" t="s">
        <v>35</v>
      </c>
      <c r="I12798" s="27" t="s">
        <v>37</v>
      </c>
      <c r="J12798" s="28" t="s">
        <v>1579</v>
      </c>
      <c r="K12798" s="27" t="s">
        <v>42</v>
      </c>
      <c r="L12798" s="27"/>
    </row>
    <row r="12799" customFormat="false" ht="15" hidden="false" customHeight="false" outlineLevel="0" collapsed="false">
      <c r="A12799" s="26" t="s">
        <v>30521</v>
      </c>
      <c r="B12799" s="27" t="s">
        <v>30522</v>
      </c>
      <c r="C12799" s="27" t="s">
        <v>10817</v>
      </c>
      <c r="D12799" s="26"/>
      <c r="E12799" s="27"/>
      <c r="F12799" s="27"/>
      <c r="G12799" s="27" t="s">
        <v>11122</v>
      </c>
      <c r="H12799" s="27" t="s">
        <v>35</v>
      </c>
      <c r="I12799" s="27" t="s">
        <v>10362</v>
      </c>
      <c r="J12799" s="28" t="s">
        <v>1579</v>
      </c>
      <c r="K12799" s="27" t="s">
        <v>42</v>
      </c>
      <c r="L12799" s="27"/>
    </row>
    <row r="12800" customFormat="false" ht="15" hidden="false" customHeight="false" outlineLevel="0" collapsed="false">
      <c r="A12800" s="26" t="s">
        <v>30523</v>
      </c>
      <c r="B12800" s="27" t="s">
        <v>30524</v>
      </c>
      <c r="C12800" s="27" t="s">
        <v>10817</v>
      </c>
      <c r="D12800" s="26"/>
      <c r="E12800" s="27"/>
      <c r="F12800" s="27"/>
      <c r="G12800" s="27" t="s">
        <v>11122</v>
      </c>
      <c r="H12800" s="27" t="s">
        <v>35</v>
      </c>
      <c r="I12800" s="27" t="s">
        <v>37</v>
      </c>
      <c r="J12800" s="28" t="s">
        <v>1579</v>
      </c>
      <c r="K12800" s="27" t="s">
        <v>42</v>
      </c>
      <c r="L12800" s="27"/>
    </row>
    <row r="12801" customFormat="false" ht="15" hidden="false" customHeight="false" outlineLevel="0" collapsed="false">
      <c r="A12801" s="26" t="s">
        <v>30525</v>
      </c>
      <c r="B12801" s="27" t="s">
        <v>30526</v>
      </c>
      <c r="C12801" s="27" t="s">
        <v>144</v>
      </c>
      <c r="D12801" s="26"/>
      <c r="E12801" s="27"/>
      <c r="F12801" s="27"/>
      <c r="G12801" s="27" t="s">
        <v>11122</v>
      </c>
      <c r="H12801" s="27" t="s">
        <v>35</v>
      </c>
      <c r="I12801" s="27" t="s">
        <v>1344</v>
      </c>
      <c r="J12801" s="28" t="s">
        <v>1579</v>
      </c>
      <c r="K12801" s="27" t="s">
        <v>42</v>
      </c>
      <c r="L12801" s="27"/>
    </row>
    <row r="12802" customFormat="false" ht="15" hidden="false" customHeight="false" outlineLevel="0" collapsed="false">
      <c r="A12802" s="26" t="s">
        <v>30527</v>
      </c>
      <c r="B12802" s="27" t="s">
        <v>30528</v>
      </c>
      <c r="C12802" s="27" t="s">
        <v>144</v>
      </c>
      <c r="D12802" s="26"/>
      <c r="E12802" s="27"/>
      <c r="F12802" s="27"/>
      <c r="G12802" s="27" t="s">
        <v>11122</v>
      </c>
      <c r="H12802" s="27" t="s">
        <v>35</v>
      </c>
      <c r="I12802" s="27" t="s">
        <v>42</v>
      </c>
      <c r="J12802" s="28" t="s">
        <v>1579</v>
      </c>
      <c r="K12802" s="27" t="s">
        <v>42</v>
      </c>
      <c r="L12802" s="27"/>
    </row>
    <row r="12803" customFormat="false" ht="15" hidden="false" customHeight="false" outlineLevel="0" collapsed="false">
      <c r="A12803" s="26" t="s">
        <v>30529</v>
      </c>
      <c r="B12803" s="27" t="s">
        <v>30530</v>
      </c>
      <c r="C12803" s="27" t="s">
        <v>144</v>
      </c>
      <c r="D12803" s="26"/>
      <c r="E12803" s="27"/>
      <c r="F12803" s="27"/>
      <c r="G12803" s="27" t="s">
        <v>11122</v>
      </c>
      <c r="H12803" s="27" t="s">
        <v>35</v>
      </c>
      <c r="I12803" s="27" t="s">
        <v>38</v>
      </c>
      <c r="J12803" s="28" t="s">
        <v>1579</v>
      </c>
      <c r="K12803" s="27" t="s">
        <v>42</v>
      </c>
      <c r="L12803" s="27"/>
    </row>
    <row r="12804" customFormat="false" ht="15" hidden="false" customHeight="false" outlineLevel="0" collapsed="false">
      <c r="A12804" s="26" t="s">
        <v>30531</v>
      </c>
      <c r="B12804" s="27" t="s">
        <v>30532</v>
      </c>
      <c r="C12804" s="27" t="s">
        <v>144</v>
      </c>
      <c r="D12804" s="26"/>
      <c r="E12804" s="27"/>
      <c r="F12804" s="27"/>
      <c r="G12804" s="27" t="s">
        <v>11122</v>
      </c>
      <c r="H12804" s="27" t="s">
        <v>35</v>
      </c>
      <c r="I12804" s="27" t="s">
        <v>42</v>
      </c>
      <c r="J12804" s="28" t="s">
        <v>1579</v>
      </c>
      <c r="K12804" s="27" t="s">
        <v>42</v>
      </c>
      <c r="L12804" s="27"/>
    </row>
    <row r="12805" customFormat="false" ht="15" hidden="false" customHeight="false" outlineLevel="0" collapsed="false">
      <c r="A12805" s="26" t="s">
        <v>30533</v>
      </c>
      <c r="B12805" s="27" t="s">
        <v>30534</v>
      </c>
      <c r="C12805" s="27" t="s">
        <v>144</v>
      </c>
      <c r="D12805" s="26"/>
      <c r="E12805" s="27"/>
      <c r="F12805" s="27"/>
      <c r="G12805" s="27" t="s">
        <v>11122</v>
      </c>
      <c r="H12805" s="27" t="s">
        <v>35</v>
      </c>
      <c r="I12805" s="27" t="s">
        <v>42</v>
      </c>
      <c r="J12805" s="28" t="s">
        <v>1579</v>
      </c>
      <c r="K12805" s="27" t="s">
        <v>42</v>
      </c>
      <c r="L12805" s="27"/>
    </row>
    <row r="12806" customFormat="false" ht="15" hidden="false" customHeight="false" outlineLevel="0" collapsed="false">
      <c r="A12806" s="26" t="s">
        <v>30535</v>
      </c>
      <c r="B12806" s="27" t="s">
        <v>30536</v>
      </c>
      <c r="C12806" s="27" t="s">
        <v>1527</v>
      </c>
      <c r="D12806" s="26"/>
      <c r="E12806" s="27"/>
      <c r="F12806" s="27"/>
      <c r="G12806" s="27" t="s">
        <v>11122</v>
      </c>
      <c r="H12806" s="27" t="s">
        <v>35</v>
      </c>
      <c r="I12806" s="27" t="s">
        <v>42</v>
      </c>
      <c r="J12806" s="28" t="s">
        <v>1579</v>
      </c>
      <c r="K12806" s="27" t="s">
        <v>42</v>
      </c>
      <c r="L12806" s="27"/>
    </row>
    <row r="12807" customFormat="false" ht="15" hidden="false" customHeight="false" outlineLevel="0" collapsed="false">
      <c r="A12807" s="26" t="s">
        <v>30537</v>
      </c>
      <c r="B12807" s="27" t="s">
        <v>30538</v>
      </c>
      <c r="C12807" s="27" t="s">
        <v>144</v>
      </c>
      <c r="D12807" s="26"/>
      <c r="E12807" s="27"/>
      <c r="F12807" s="27"/>
      <c r="G12807" s="27" t="s">
        <v>11122</v>
      </c>
      <c r="H12807" s="27" t="s">
        <v>35</v>
      </c>
      <c r="I12807" s="27" t="s">
        <v>42</v>
      </c>
      <c r="J12807" s="28" t="s">
        <v>1579</v>
      </c>
      <c r="K12807" s="27" t="s">
        <v>42</v>
      </c>
      <c r="L12807" s="27"/>
    </row>
    <row r="12808" customFormat="false" ht="15" hidden="false" customHeight="false" outlineLevel="0" collapsed="false">
      <c r="A12808" s="26" t="s">
        <v>30539</v>
      </c>
      <c r="B12808" s="27" t="s">
        <v>30540</v>
      </c>
      <c r="C12808" s="27" t="s">
        <v>1527</v>
      </c>
      <c r="D12808" s="26"/>
      <c r="E12808" s="27"/>
      <c r="F12808" s="27"/>
      <c r="G12808" s="27" t="s">
        <v>11122</v>
      </c>
      <c r="H12808" s="27" t="s">
        <v>35</v>
      </c>
      <c r="I12808" s="27" t="s">
        <v>43</v>
      </c>
      <c r="J12808" s="28" t="s">
        <v>1579</v>
      </c>
      <c r="K12808" s="27" t="s">
        <v>42</v>
      </c>
      <c r="L12808" s="27"/>
    </row>
    <row r="12809" customFormat="false" ht="15" hidden="false" customHeight="false" outlineLevel="0" collapsed="false">
      <c r="A12809" s="26" t="s">
        <v>30541</v>
      </c>
      <c r="B12809" s="27" t="s">
        <v>30542</v>
      </c>
      <c r="C12809" s="27" t="s">
        <v>144</v>
      </c>
      <c r="D12809" s="26"/>
      <c r="E12809" s="27"/>
      <c r="F12809" s="27"/>
      <c r="G12809" s="27" t="s">
        <v>11122</v>
      </c>
      <c r="H12809" s="27" t="s">
        <v>35</v>
      </c>
      <c r="I12809" s="27" t="s">
        <v>42</v>
      </c>
      <c r="J12809" s="28" t="s">
        <v>1579</v>
      </c>
      <c r="K12809" s="27" t="s">
        <v>42</v>
      </c>
      <c r="L12809" s="27"/>
    </row>
    <row r="12810" customFormat="false" ht="15" hidden="false" customHeight="false" outlineLevel="0" collapsed="false">
      <c r="A12810" s="26" t="s">
        <v>30543</v>
      </c>
      <c r="B12810" s="27" t="s">
        <v>30544</v>
      </c>
      <c r="C12810" s="27" t="s">
        <v>1187</v>
      </c>
      <c r="D12810" s="26"/>
      <c r="E12810" s="27"/>
      <c r="F12810" s="27"/>
      <c r="G12810" s="27" t="s">
        <v>11122</v>
      </c>
      <c r="H12810" s="27" t="s">
        <v>35</v>
      </c>
      <c r="I12810" s="27" t="s">
        <v>42</v>
      </c>
      <c r="J12810" s="28" t="s">
        <v>1579</v>
      </c>
      <c r="K12810" s="27" t="s">
        <v>42</v>
      </c>
      <c r="L12810" s="27"/>
    </row>
    <row r="12811" customFormat="false" ht="15" hidden="false" customHeight="false" outlineLevel="0" collapsed="false">
      <c r="A12811" s="26" t="s">
        <v>30545</v>
      </c>
      <c r="B12811" s="27" t="s">
        <v>30546</v>
      </c>
      <c r="C12811" s="27" t="s">
        <v>144</v>
      </c>
      <c r="D12811" s="26"/>
      <c r="E12811" s="27"/>
      <c r="F12811" s="27"/>
      <c r="G12811" s="27" t="s">
        <v>11122</v>
      </c>
      <c r="H12811" s="27" t="s">
        <v>35</v>
      </c>
      <c r="I12811" s="27" t="s">
        <v>42</v>
      </c>
      <c r="J12811" s="28" t="s">
        <v>1579</v>
      </c>
      <c r="K12811" s="27" t="s">
        <v>42</v>
      </c>
      <c r="L12811" s="27"/>
    </row>
    <row r="12812" customFormat="false" ht="15" hidden="false" customHeight="false" outlineLevel="0" collapsed="false">
      <c r="A12812" s="26" t="s">
        <v>30547</v>
      </c>
      <c r="B12812" s="27" t="s">
        <v>30548</v>
      </c>
      <c r="C12812" s="27" t="s">
        <v>144</v>
      </c>
      <c r="D12812" s="26"/>
      <c r="E12812" s="27"/>
      <c r="F12812" s="27"/>
      <c r="G12812" s="27" t="s">
        <v>11122</v>
      </c>
      <c r="H12812" s="27" t="s">
        <v>35</v>
      </c>
      <c r="I12812" s="27" t="s">
        <v>42</v>
      </c>
      <c r="J12812" s="28" t="s">
        <v>1579</v>
      </c>
      <c r="K12812" s="27" t="s">
        <v>42</v>
      </c>
      <c r="L12812" s="27"/>
    </row>
    <row r="12813" customFormat="false" ht="15" hidden="false" customHeight="false" outlineLevel="0" collapsed="false">
      <c r="A12813" s="26" t="s">
        <v>30549</v>
      </c>
      <c r="B12813" s="27" t="s">
        <v>30550</v>
      </c>
      <c r="C12813" s="27" t="s">
        <v>144</v>
      </c>
      <c r="D12813" s="26"/>
      <c r="E12813" s="27"/>
      <c r="F12813" s="27"/>
      <c r="G12813" s="27" t="s">
        <v>11122</v>
      </c>
      <c r="H12813" s="27" t="s">
        <v>35</v>
      </c>
      <c r="I12813" s="27" t="s">
        <v>42</v>
      </c>
      <c r="J12813" s="28" t="s">
        <v>1579</v>
      </c>
      <c r="K12813" s="27" t="s">
        <v>42</v>
      </c>
      <c r="L12813" s="27"/>
    </row>
    <row r="12814" customFormat="false" ht="15" hidden="false" customHeight="false" outlineLevel="0" collapsed="false">
      <c r="A12814" s="26" t="s">
        <v>30551</v>
      </c>
      <c r="B12814" s="27" t="s">
        <v>30552</v>
      </c>
      <c r="C12814" s="27" t="s">
        <v>144</v>
      </c>
      <c r="D12814" s="26"/>
      <c r="E12814" s="27"/>
      <c r="F12814" s="27"/>
      <c r="G12814" s="27" t="s">
        <v>11122</v>
      </c>
      <c r="H12814" s="27" t="s">
        <v>35</v>
      </c>
      <c r="I12814" s="27" t="s">
        <v>42</v>
      </c>
      <c r="J12814" s="28" t="s">
        <v>1579</v>
      </c>
      <c r="K12814" s="27" t="s">
        <v>42</v>
      </c>
      <c r="L12814" s="27"/>
    </row>
    <row r="12815" customFormat="false" ht="15" hidden="false" customHeight="false" outlineLevel="0" collapsed="false">
      <c r="A12815" s="26" t="s">
        <v>30553</v>
      </c>
      <c r="B12815" s="27" t="s">
        <v>30554</v>
      </c>
      <c r="C12815" s="27" t="s">
        <v>144</v>
      </c>
      <c r="D12815" s="26"/>
      <c r="E12815" s="27"/>
      <c r="F12815" s="27"/>
      <c r="G12815" s="27" t="s">
        <v>11122</v>
      </c>
      <c r="H12815" s="27" t="s">
        <v>35</v>
      </c>
      <c r="I12815" s="27" t="s">
        <v>42</v>
      </c>
      <c r="J12815" s="28" t="s">
        <v>1579</v>
      </c>
      <c r="K12815" s="27" t="s">
        <v>42</v>
      </c>
      <c r="L12815" s="27"/>
    </row>
    <row r="12816" customFormat="false" ht="15" hidden="false" customHeight="false" outlineLevel="0" collapsed="false">
      <c r="A12816" s="26" t="s">
        <v>30555</v>
      </c>
      <c r="B12816" s="27" t="s">
        <v>30556</v>
      </c>
      <c r="C12816" s="27" t="s">
        <v>144</v>
      </c>
      <c r="D12816" s="26"/>
      <c r="E12816" s="27"/>
      <c r="F12816" s="27"/>
      <c r="G12816" s="27" t="s">
        <v>11122</v>
      </c>
      <c r="H12816" s="27" t="s">
        <v>35</v>
      </c>
      <c r="I12816" s="27" t="s">
        <v>42</v>
      </c>
      <c r="J12816" s="28" t="s">
        <v>1579</v>
      </c>
      <c r="K12816" s="27" t="s">
        <v>42</v>
      </c>
      <c r="L12816" s="27"/>
    </row>
    <row r="12817" customFormat="false" ht="15" hidden="false" customHeight="false" outlineLevel="0" collapsed="false">
      <c r="A12817" s="26" t="s">
        <v>30557</v>
      </c>
      <c r="B12817" s="27" t="s">
        <v>30558</v>
      </c>
      <c r="C12817" s="27" t="s">
        <v>1527</v>
      </c>
      <c r="D12817" s="26"/>
      <c r="E12817" s="27"/>
      <c r="F12817" s="27"/>
      <c r="G12817" s="27" t="s">
        <v>11122</v>
      </c>
      <c r="H12817" s="27" t="s">
        <v>35</v>
      </c>
      <c r="I12817" s="27" t="s">
        <v>42</v>
      </c>
      <c r="J12817" s="28" t="s">
        <v>1579</v>
      </c>
      <c r="K12817" s="27" t="s">
        <v>42</v>
      </c>
      <c r="L12817" s="27"/>
    </row>
    <row r="12818" customFormat="false" ht="15" hidden="false" customHeight="false" outlineLevel="0" collapsed="false">
      <c r="A12818" s="26" t="s">
        <v>30559</v>
      </c>
      <c r="B12818" s="27" t="s">
        <v>30560</v>
      </c>
      <c r="C12818" s="27" t="s">
        <v>144</v>
      </c>
      <c r="D12818" s="26"/>
      <c r="E12818" s="27"/>
      <c r="F12818" s="27"/>
      <c r="G12818" s="27" t="s">
        <v>11122</v>
      </c>
      <c r="H12818" s="27" t="s">
        <v>35</v>
      </c>
      <c r="I12818" s="27" t="s">
        <v>42</v>
      </c>
      <c r="J12818" s="28" t="s">
        <v>1579</v>
      </c>
      <c r="K12818" s="27" t="s">
        <v>42</v>
      </c>
      <c r="L12818" s="27"/>
    </row>
    <row r="12819" customFormat="false" ht="15" hidden="false" customHeight="false" outlineLevel="0" collapsed="false">
      <c r="A12819" s="26" t="s">
        <v>30561</v>
      </c>
      <c r="B12819" s="27" t="s">
        <v>30562</v>
      </c>
      <c r="C12819" s="27" t="s">
        <v>144</v>
      </c>
      <c r="D12819" s="26"/>
      <c r="E12819" s="27"/>
      <c r="F12819" s="27"/>
      <c r="G12819" s="27" t="s">
        <v>11122</v>
      </c>
      <c r="H12819" s="27" t="s">
        <v>35</v>
      </c>
      <c r="I12819" s="27" t="s">
        <v>42</v>
      </c>
      <c r="J12819" s="28" t="s">
        <v>1579</v>
      </c>
      <c r="K12819" s="27" t="s">
        <v>42</v>
      </c>
      <c r="L12819" s="27"/>
    </row>
    <row r="12820" customFormat="false" ht="15" hidden="false" customHeight="false" outlineLevel="0" collapsed="false">
      <c r="A12820" s="26" t="s">
        <v>30563</v>
      </c>
      <c r="B12820" s="27" t="s">
        <v>30564</v>
      </c>
      <c r="C12820" s="27" t="s">
        <v>144</v>
      </c>
      <c r="D12820" s="26"/>
      <c r="E12820" s="27"/>
      <c r="F12820" s="27"/>
      <c r="G12820" s="27" t="s">
        <v>11122</v>
      </c>
      <c r="H12820" s="27" t="s">
        <v>35</v>
      </c>
      <c r="I12820" s="28" t="s">
        <v>46</v>
      </c>
      <c r="J12820" s="28" t="s">
        <v>1579</v>
      </c>
      <c r="K12820" s="27" t="s">
        <v>42</v>
      </c>
      <c r="L12820" s="27"/>
    </row>
    <row r="12821" customFormat="false" ht="15" hidden="false" customHeight="false" outlineLevel="0" collapsed="false">
      <c r="A12821" s="26" t="s">
        <v>30565</v>
      </c>
      <c r="B12821" s="27" t="s">
        <v>30566</v>
      </c>
      <c r="C12821" s="27" t="s">
        <v>144</v>
      </c>
      <c r="D12821" s="26"/>
      <c r="E12821" s="27"/>
      <c r="F12821" s="27"/>
      <c r="G12821" s="27" t="s">
        <v>11122</v>
      </c>
      <c r="H12821" s="27" t="s">
        <v>35</v>
      </c>
      <c r="I12821" s="28" t="s">
        <v>46</v>
      </c>
      <c r="J12821" s="28" t="s">
        <v>1579</v>
      </c>
      <c r="K12821" s="27" t="s">
        <v>42</v>
      </c>
      <c r="L12821" s="27"/>
    </row>
    <row r="12822" customFormat="false" ht="15" hidden="false" customHeight="false" outlineLevel="0" collapsed="false">
      <c r="A12822" s="26" t="s">
        <v>30567</v>
      </c>
      <c r="B12822" s="27" t="s">
        <v>30568</v>
      </c>
      <c r="C12822" s="27" t="s">
        <v>144</v>
      </c>
      <c r="D12822" s="26"/>
      <c r="E12822" s="27"/>
      <c r="F12822" s="27"/>
      <c r="G12822" s="27" t="s">
        <v>11122</v>
      </c>
      <c r="H12822" s="27" t="s">
        <v>35</v>
      </c>
      <c r="I12822" s="27" t="s">
        <v>42</v>
      </c>
      <c r="J12822" s="28" t="s">
        <v>1579</v>
      </c>
      <c r="K12822" s="27" t="s">
        <v>42</v>
      </c>
      <c r="L12822" s="27"/>
    </row>
    <row r="12823" customFormat="false" ht="15" hidden="false" customHeight="false" outlineLevel="0" collapsed="false">
      <c r="A12823" s="26" t="s">
        <v>30569</v>
      </c>
      <c r="B12823" s="27" t="s">
        <v>30570</v>
      </c>
      <c r="C12823" s="27" t="s">
        <v>144</v>
      </c>
      <c r="D12823" s="26"/>
      <c r="E12823" s="27"/>
      <c r="F12823" s="27"/>
      <c r="G12823" s="27" t="s">
        <v>11122</v>
      </c>
      <c r="H12823" s="27" t="s">
        <v>35</v>
      </c>
      <c r="I12823" s="27" t="s">
        <v>42</v>
      </c>
      <c r="J12823" s="28" t="s">
        <v>1579</v>
      </c>
      <c r="K12823" s="27" t="s">
        <v>42</v>
      </c>
      <c r="L12823" s="27"/>
    </row>
    <row r="12824" customFormat="false" ht="15" hidden="false" customHeight="false" outlineLevel="0" collapsed="false">
      <c r="A12824" s="26" t="s">
        <v>30571</v>
      </c>
      <c r="B12824" s="27" t="s">
        <v>30572</v>
      </c>
      <c r="C12824" s="27" t="s">
        <v>144</v>
      </c>
      <c r="D12824" s="26"/>
      <c r="E12824" s="27"/>
      <c r="F12824" s="27"/>
      <c r="G12824" s="27" t="s">
        <v>11122</v>
      </c>
      <c r="H12824" s="27" t="s">
        <v>35</v>
      </c>
      <c r="I12824" s="27" t="s">
        <v>42</v>
      </c>
      <c r="J12824" s="28" t="s">
        <v>1579</v>
      </c>
      <c r="K12824" s="27" t="s">
        <v>42</v>
      </c>
      <c r="L12824" s="27"/>
    </row>
    <row r="12825" customFormat="false" ht="15" hidden="false" customHeight="false" outlineLevel="0" collapsed="false">
      <c r="A12825" s="26" t="s">
        <v>30573</v>
      </c>
      <c r="B12825" s="27" t="s">
        <v>30574</v>
      </c>
      <c r="C12825" s="27" t="s">
        <v>144</v>
      </c>
      <c r="D12825" s="26"/>
      <c r="E12825" s="27"/>
      <c r="F12825" s="27"/>
      <c r="G12825" s="27" t="s">
        <v>11122</v>
      </c>
      <c r="H12825" s="27" t="s">
        <v>35</v>
      </c>
      <c r="I12825" s="27" t="s">
        <v>42</v>
      </c>
      <c r="J12825" s="28" t="s">
        <v>1579</v>
      </c>
      <c r="K12825" s="27" t="s">
        <v>42</v>
      </c>
      <c r="L12825" s="27"/>
    </row>
    <row r="12826" customFormat="false" ht="15" hidden="false" customHeight="false" outlineLevel="0" collapsed="false">
      <c r="A12826" s="26" t="s">
        <v>30575</v>
      </c>
      <c r="B12826" s="27" t="s">
        <v>30576</v>
      </c>
      <c r="C12826" s="27" t="s">
        <v>1527</v>
      </c>
      <c r="D12826" s="26"/>
      <c r="E12826" s="27"/>
      <c r="F12826" s="27"/>
      <c r="G12826" s="27" t="s">
        <v>11122</v>
      </c>
      <c r="H12826" s="27" t="s">
        <v>35</v>
      </c>
      <c r="I12826" s="27" t="s">
        <v>39</v>
      </c>
      <c r="J12826" s="28" t="s">
        <v>1579</v>
      </c>
      <c r="K12826" s="27" t="s">
        <v>42</v>
      </c>
      <c r="L12826" s="27"/>
    </row>
    <row r="12827" customFormat="false" ht="15" hidden="false" customHeight="false" outlineLevel="0" collapsed="false">
      <c r="A12827" s="26" t="s">
        <v>30577</v>
      </c>
      <c r="B12827" s="27" t="s">
        <v>30578</v>
      </c>
      <c r="C12827" s="27" t="s">
        <v>144</v>
      </c>
      <c r="D12827" s="26"/>
      <c r="E12827" s="27"/>
      <c r="F12827" s="27"/>
      <c r="G12827" s="27" t="s">
        <v>11122</v>
      </c>
      <c r="H12827" s="27" t="s">
        <v>35</v>
      </c>
      <c r="I12827" s="27" t="s">
        <v>1067</v>
      </c>
      <c r="J12827" s="28" t="s">
        <v>1579</v>
      </c>
      <c r="K12827" s="27" t="s">
        <v>42</v>
      </c>
      <c r="L12827" s="27"/>
    </row>
    <row r="12828" customFormat="false" ht="15" hidden="false" customHeight="false" outlineLevel="0" collapsed="false">
      <c r="A12828" s="26" t="s">
        <v>30579</v>
      </c>
      <c r="B12828" s="27" t="s">
        <v>30580</v>
      </c>
      <c r="C12828" s="27" t="s">
        <v>144</v>
      </c>
      <c r="D12828" s="26"/>
      <c r="E12828" s="27"/>
      <c r="F12828" s="27"/>
      <c r="G12828" s="27" t="s">
        <v>11122</v>
      </c>
      <c r="H12828" s="27" t="s">
        <v>35</v>
      </c>
      <c r="I12828" s="27" t="s">
        <v>39</v>
      </c>
      <c r="J12828" s="28" t="s">
        <v>1579</v>
      </c>
      <c r="K12828" s="27" t="s">
        <v>42</v>
      </c>
      <c r="L12828" s="27"/>
    </row>
    <row r="12829" customFormat="false" ht="15" hidden="false" customHeight="false" outlineLevel="0" collapsed="false">
      <c r="A12829" s="26" t="s">
        <v>30581</v>
      </c>
      <c r="B12829" s="27" t="s">
        <v>30582</v>
      </c>
      <c r="C12829" s="27" t="s">
        <v>144</v>
      </c>
      <c r="D12829" s="26"/>
      <c r="E12829" s="27"/>
      <c r="F12829" s="27"/>
      <c r="G12829" s="27" t="s">
        <v>11122</v>
      </c>
      <c r="H12829" s="27" t="s">
        <v>35</v>
      </c>
      <c r="I12829" s="27" t="s">
        <v>42</v>
      </c>
      <c r="J12829" s="28" t="s">
        <v>1579</v>
      </c>
      <c r="K12829" s="27" t="s">
        <v>42</v>
      </c>
      <c r="L12829" s="27"/>
    </row>
    <row r="12830" customFormat="false" ht="15" hidden="false" customHeight="false" outlineLevel="0" collapsed="false">
      <c r="A12830" s="26" t="s">
        <v>30583</v>
      </c>
      <c r="B12830" s="27" t="s">
        <v>30584</v>
      </c>
      <c r="C12830" s="27" t="s">
        <v>370</v>
      </c>
      <c r="D12830" s="26"/>
      <c r="E12830" s="27"/>
      <c r="F12830" s="27"/>
      <c r="G12830" s="27" t="s">
        <v>11122</v>
      </c>
      <c r="H12830" s="27" t="s">
        <v>35</v>
      </c>
      <c r="I12830" s="28" t="s">
        <v>46</v>
      </c>
      <c r="J12830" s="28" t="s">
        <v>1579</v>
      </c>
      <c r="K12830" s="27" t="s">
        <v>42</v>
      </c>
      <c r="L12830" s="27"/>
    </row>
    <row r="12831" customFormat="false" ht="15" hidden="false" customHeight="false" outlineLevel="0" collapsed="false">
      <c r="A12831" s="26" t="s">
        <v>30585</v>
      </c>
      <c r="B12831" s="27" t="s">
        <v>30586</v>
      </c>
      <c r="C12831" s="27" t="s">
        <v>144</v>
      </c>
      <c r="D12831" s="26"/>
      <c r="E12831" s="27"/>
      <c r="F12831" s="27"/>
      <c r="G12831" s="27" t="s">
        <v>11122</v>
      </c>
      <c r="H12831" s="27" t="s">
        <v>35</v>
      </c>
      <c r="I12831" s="27" t="s">
        <v>39</v>
      </c>
      <c r="J12831" s="28" t="s">
        <v>1579</v>
      </c>
      <c r="K12831" s="27" t="s">
        <v>42</v>
      </c>
      <c r="L12831" s="27"/>
    </row>
    <row r="12832" customFormat="false" ht="15" hidden="false" customHeight="false" outlineLevel="0" collapsed="false">
      <c r="A12832" s="26" t="s">
        <v>30587</v>
      </c>
      <c r="B12832" s="27" t="s">
        <v>30588</v>
      </c>
      <c r="C12832" s="27" t="s">
        <v>1612</v>
      </c>
      <c r="D12832" s="26"/>
      <c r="E12832" s="27"/>
      <c r="F12832" s="27"/>
      <c r="G12832" s="27" t="s">
        <v>11122</v>
      </c>
      <c r="H12832" s="27" t="s">
        <v>35</v>
      </c>
      <c r="I12832" s="27" t="s">
        <v>1578</v>
      </c>
      <c r="J12832" s="28" t="s">
        <v>1579</v>
      </c>
      <c r="K12832" s="27" t="s">
        <v>42</v>
      </c>
      <c r="L12832" s="27"/>
    </row>
    <row r="12833" customFormat="false" ht="15" hidden="false" customHeight="false" outlineLevel="0" collapsed="false">
      <c r="A12833" s="26" t="s">
        <v>30589</v>
      </c>
      <c r="B12833" s="27" t="s">
        <v>30590</v>
      </c>
      <c r="C12833" s="27" t="s">
        <v>1612</v>
      </c>
      <c r="D12833" s="26"/>
      <c r="E12833" s="27"/>
      <c r="F12833" s="27"/>
      <c r="G12833" s="27" t="s">
        <v>11122</v>
      </c>
      <c r="H12833" s="27" t="s">
        <v>35</v>
      </c>
      <c r="I12833" s="27" t="s">
        <v>42</v>
      </c>
      <c r="J12833" s="28" t="s">
        <v>1579</v>
      </c>
      <c r="K12833" s="27" t="s">
        <v>42</v>
      </c>
      <c r="L12833" s="27"/>
    </row>
    <row r="12834" customFormat="false" ht="15" hidden="false" customHeight="false" outlineLevel="0" collapsed="false">
      <c r="A12834" s="26" t="s">
        <v>30591</v>
      </c>
      <c r="B12834" s="27" t="s">
        <v>30592</v>
      </c>
      <c r="C12834" s="27" t="s">
        <v>1187</v>
      </c>
      <c r="D12834" s="26"/>
      <c r="E12834" s="27"/>
      <c r="F12834" s="27"/>
      <c r="G12834" s="27" t="s">
        <v>11122</v>
      </c>
      <c r="H12834" s="27" t="s">
        <v>35</v>
      </c>
      <c r="I12834" s="27" t="s">
        <v>42</v>
      </c>
      <c r="J12834" s="28" t="s">
        <v>1579</v>
      </c>
      <c r="K12834" s="27" t="s">
        <v>42</v>
      </c>
      <c r="L12834" s="27"/>
    </row>
    <row r="12835" customFormat="false" ht="15" hidden="false" customHeight="false" outlineLevel="0" collapsed="false">
      <c r="A12835" s="26" t="s">
        <v>30593</v>
      </c>
      <c r="B12835" s="27" t="s">
        <v>30594</v>
      </c>
      <c r="C12835" s="27" t="s">
        <v>144</v>
      </c>
      <c r="D12835" s="26"/>
      <c r="E12835" s="27"/>
      <c r="F12835" s="27"/>
      <c r="G12835" s="27" t="s">
        <v>11122</v>
      </c>
      <c r="H12835" s="27" t="s">
        <v>35</v>
      </c>
      <c r="I12835" s="28" t="s">
        <v>50</v>
      </c>
      <c r="J12835" s="28" t="s">
        <v>1579</v>
      </c>
      <c r="K12835" s="27" t="s">
        <v>42</v>
      </c>
      <c r="L12835" s="27"/>
    </row>
    <row r="12836" customFormat="false" ht="15" hidden="false" customHeight="false" outlineLevel="0" collapsed="false">
      <c r="A12836" s="26" t="s">
        <v>30595</v>
      </c>
      <c r="B12836" s="27" t="s">
        <v>30596</v>
      </c>
      <c r="C12836" s="27" t="s">
        <v>144</v>
      </c>
      <c r="D12836" s="26"/>
      <c r="E12836" s="27"/>
      <c r="F12836" s="27"/>
      <c r="G12836" s="27" t="s">
        <v>11122</v>
      </c>
      <c r="H12836" s="27" t="s">
        <v>35</v>
      </c>
      <c r="I12836" s="27" t="s">
        <v>42</v>
      </c>
      <c r="J12836" s="28" t="s">
        <v>1579</v>
      </c>
      <c r="K12836" s="27" t="s">
        <v>42</v>
      </c>
      <c r="L12836" s="27"/>
    </row>
    <row r="12837" customFormat="false" ht="15" hidden="false" customHeight="false" outlineLevel="0" collapsed="false">
      <c r="A12837" s="26" t="s">
        <v>30597</v>
      </c>
      <c r="B12837" s="27" t="s">
        <v>30598</v>
      </c>
      <c r="C12837" s="27" t="s">
        <v>1187</v>
      </c>
      <c r="D12837" s="26"/>
      <c r="E12837" s="27"/>
      <c r="F12837" s="27"/>
      <c r="G12837" s="27" t="s">
        <v>11122</v>
      </c>
      <c r="H12837" s="27" t="s">
        <v>35</v>
      </c>
      <c r="I12837" s="27" t="s">
        <v>1578</v>
      </c>
      <c r="J12837" s="28" t="s">
        <v>1579</v>
      </c>
      <c r="K12837" s="27" t="s">
        <v>42</v>
      </c>
      <c r="L12837" s="27"/>
    </row>
    <row r="12838" customFormat="false" ht="15" hidden="false" customHeight="false" outlineLevel="0" collapsed="false">
      <c r="A12838" s="26" t="s">
        <v>30599</v>
      </c>
      <c r="B12838" s="27" t="s">
        <v>30600</v>
      </c>
      <c r="C12838" s="27" t="s">
        <v>1187</v>
      </c>
      <c r="D12838" s="26"/>
      <c r="E12838" s="27"/>
      <c r="F12838" s="27"/>
      <c r="G12838" s="27" t="s">
        <v>11122</v>
      </c>
      <c r="H12838" s="27" t="s">
        <v>35</v>
      </c>
      <c r="I12838" s="27" t="s">
        <v>42</v>
      </c>
      <c r="J12838" s="28" t="s">
        <v>1579</v>
      </c>
      <c r="K12838" s="27" t="s">
        <v>42</v>
      </c>
      <c r="L12838" s="27"/>
    </row>
    <row r="12839" customFormat="false" ht="15" hidden="false" customHeight="false" outlineLevel="0" collapsed="false">
      <c r="A12839" s="26" t="s">
        <v>30601</v>
      </c>
      <c r="B12839" s="27" t="s">
        <v>30602</v>
      </c>
      <c r="C12839" s="27" t="s">
        <v>1187</v>
      </c>
      <c r="D12839" s="26"/>
      <c r="E12839" s="27"/>
      <c r="F12839" s="27"/>
      <c r="G12839" s="27" t="s">
        <v>11122</v>
      </c>
      <c r="H12839" s="27" t="s">
        <v>35</v>
      </c>
      <c r="I12839" s="27" t="s">
        <v>42</v>
      </c>
      <c r="J12839" s="28" t="s">
        <v>1579</v>
      </c>
      <c r="K12839" s="27" t="s">
        <v>42</v>
      </c>
      <c r="L12839" s="27"/>
    </row>
    <row r="12840" customFormat="false" ht="15" hidden="false" customHeight="false" outlineLevel="0" collapsed="false">
      <c r="A12840" s="26" t="s">
        <v>30603</v>
      </c>
      <c r="B12840" s="27" t="s">
        <v>30604</v>
      </c>
      <c r="C12840" s="27" t="s">
        <v>1612</v>
      </c>
      <c r="D12840" s="26"/>
      <c r="E12840" s="27"/>
      <c r="F12840" s="27"/>
      <c r="G12840" s="27" t="s">
        <v>11122</v>
      </c>
      <c r="H12840" s="27" t="s">
        <v>35</v>
      </c>
      <c r="I12840" s="27" t="s">
        <v>42</v>
      </c>
      <c r="J12840" s="28" t="s">
        <v>1579</v>
      </c>
      <c r="K12840" s="27" t="s">
        <v>42</v>
      </c>
      <c r="L12840" s="27"/>
    </row>
    <row r="12841" customFormat="false" ht="15" hidden="false" customHeight="false" outlineLevel="0" collapsed="false">
      <c r="A12841" s="26" t="s">
        <v>30605</v>
      </c>
      <c r="B12841" s="27" t="s">
        <v>30606</v>
      </c>
      <c r="C12841" s="27" t="s">
        <v>144</v>
      </c>
      <c r="D12841" s="26"/>
      <c r="E12841" s="27"/>
      <c r="F12841" s="27"/>
      <c r="G12841" s="27" t="s">
        <v>11122</v>
      </c>
      <c r="H12841" s="27" t="s">
        <v>35</v>
      </c>
      <c r="I12841" s="27" t="s">
        <v>42</v>
      </c>
      <c r="J12841" s="28" t="s">
        <v>1579</v>
      </c>
      <c r="K12841" s="27" t="s">
        <v>42</v>
      </c>
      <c r="L12841" s="27"/>
    </row>
    <row r="12842" customFormat="false" ht="15" hidden="false" customHeight="false" outlineLevel="0" collapsed="false">
      <c r="A12842" s="26" t="s">
        <v>30607</v>
      </c>
      <c r="B12842" s="27" t="s">
        <v>30608</v>
      </c>
      <c r="C12842" s="27" t="s">
        <v>144</v>
      </c>
      <c r="D12842" s="26"/>
      <c r="E12842" s="27"/>
      <c r="F12842" s="27"/>
      <c r="G12842" s="27" t="s">
        <v>11122</v>
      </c>
      <c r="H12842" s="27" t="s">
        <v>35</v>
      </c>
      <c r="I12842" s="28" t="s">
        <v>50</v>
      </c>
      <c r="J12842" s="28" t="s">
        <v>1579</v>
      </c>
      <c r="K12842" s="27" t="s">
        <v>42</v>
      </c>
      <c r="L12842" s="27"/>
    </row>
    <row r="12843" customFormat="false" ht="15" hidden="false" customHeight="false" outlineLevel="0" collapsed="false">
      <c r="A12843" s="26" t="s">
        <v>30609</v>
      </c>
      <c r="B12843" s="27" t="s">
        <v>30610</v>
      </c>
      <c r="C12843" s="27" t="s">
        <v>10817</v>
      </c>
      <c r="D12843" s="26"/>
      <c r="E12843" s="27"/>
      <c r="F12843" s="27"/>
      <c r="G12843" s="27" t="s">
        <v>11122</v>
      </c>
      <c r="H12843" s="27" t="s">
        <v>35</v>
      </c>
      <c r="I12843" s="27" t="s">
        <v>64</v>
      </c>
      <c r="J12843" s="28" t="s">
        <v>1579</v>
      </c>
      <c r="K12843" s="27" t="s">
        <v>42</v>
      </c>
      <c r="L12843" s="27"/>
    </row>
    <row r="12844" customFormat="false" ht="15" hidden="false" customHeight="false" outlineLevel="0" collapsed="false">
      <c r="A12844" s="26" t="s">
        <v>30611</v>
      </c>
      <c r="B12844" s="27" t="s">
        <v>30612</v>
      </c>
      <c r="C12844" s="27" t="s">
        <v>1527</v>
      </c>
      <c r="D12844" s="26"/>
      <c r="E12844" s="27"/>
      <c r="F12844" s="27"/>
      <c r="G12844" s="27" t="s">
        <v>11122</v>
      </c>
      <c r="H12844" s="27" t="s">
        <v>35</v>
      </c>
      <c r="I12844" s="27" t="s">
        <v>3432</v>
      </c>
      <c r="J12844" s="28" t="s">
        <v>1579</v>
      </c>
      <c r="K12844" s="27" t="s">
        <v>42</v>
      </c>
      <c r="L12844" s="27"/>
    </row>
    <row r="12845" customFormat="false" ht="15" hidden="false" customHeight="false" outlineLevel="0" collapsed="false">
      <c r="A12845" s="26" t="s">
        <v>30613</v>
      </c>
      <c r="B12845" s="27" t="s">
        <v>30614</v>
      </c>
      <c r="C12845" s="27" t="s">
        <v>10817</v>
      </c>
      <c r="D12845" s="26"/>
      <c r="E12845" s="27"/>
      <c r="F12845" s="27"/>
      <c r="G12845" s="27" t="s">
        <v>11122</v>
      </c>
      <c r="H12845" s="27" t="s">
        <v>35</v>
      </c>
      <c r="I12845" s="27" t="s">
        <v>64</v>
      </c>
      <c r="J12845" s="28" t="s">
        <v>1579</v>
      </c>
      <c r="K12845" s="27" t="s">
        <v>42</v>
      </c>
      <c r="L12845" s="27"/>
    </row>
    <row r="12846" customFormat="false" ht="15" hidden="false" customHeight="false" outlineLevel="0" collapsed="false">
      <c r="A12846" s="26" t="s">
        <v>30615</v>
      </c>
      <c r="B12846" s="27" t="s">
        <v>30616</v>
      </c>
      <c r="C12846" s="27" t="s">
        <v>144</v>
      </c>
      <c r="D12846" s="26"/>
      <c r="E12846" s="27"/>
      <c r="F12846" s="27"/>
      <c r="G12846" s="27" t="s">
        <v>11122</v>
      </c>
      <c r="H12846" s="27" t="s">
        <v>35</v>
      </c>
      <c r="I12846" s="28" t="s">
        <v>46</v>
      </c>
      <c r="J12846" s="28" t="s">
        <v>1579</v>
      </c>
      <c r="K12846" s="27" t="s">
        <v>42</v>
      </c>
      <c r="L12846" s="27"/>
    </row>
    <row r="12847" customFormat="false" ht="15" hidden="false" customHeight="false" outlineLevel="0" collapsed="false">
      <c r="A12847" s="26" t="s">
        <v>30617</v>
      </c>
      <c r="B12847" s="27" t="s">
        <v>30618</v>
      </c>
      <c r="C12847" s="27" t="s">
        <v>1612</v>
      </c>
      <c r="D12847" s="26"/>
      <c r="E12847" s="27"/>
      <c r="F12847" s="27"/>
      <c r="G12847" s="27" t="s">
        <v>11122</v>
      </c>
      <c r="H12847" s="27" t="s">
        <v>35</v>
      </c>
      <c r="I12847" s="27" t="s">
        <v>1578</v>
      </c>
      <c r="J12847" s="28" t="s">
        <v>1579</v>
      </c>
      <c r="K12847" s="27" t="s">
        <v>42</v>
      </c>
      <c r="L12847" s="27"/>
    </row>
    <row r="12848" customFormat="false" ht="15" hidden="false" customHeight="false" outlineLevel="0" collapsed="false">
      <c r="A12848" s="26" t="s">
        <v>30619</v>
      </c>
      <c r="B12848" s="27" t="s">
        <v>30620</v>
      </c>
      <c r="C12848" s="27" t="s">
        <v>144</v>
      </c>
      <c r="D12848" s="26"/>
      <c r="E12848" s="27"/>
      <c r="F12848" s="27"/>
      <c r="G12848" s="27" t="s">
        <v>11122</v>
      </c>
      <c r="H12848" s="27" t="s">
        <v>35</v>
      </c>
      <c r="I12848" s="28" t="s">
        <v>50</v>
      </c>
      <c r="J12848" s="28" t="s">
        <v>1579</v>
      </c>
      <c r="K12848" s="27" t="s">
        <v>42</v>
      </c>
      <c r="L12848" s="27"/>
    </row>
    <row r="12849" customFormat="false" ht="15" hidden="false" customHeight="false" outlineLevel="0" collapsed="false">
      <c r="A12849" s="26" t="s">
        <v>30621</v>
      </c>
      <c r="B12849" s="27" t="s">
        <v>30622</v>
      </c>
      <c r="C12849" s="27" t="s">
        <v>1527</v>
      </c>
      <c r="D12849" s="26"/>
      <c r="E12849" s="27"/>
      <c r="F12849" s="27"/>
      <c r="G12849" s="27" t="s">
        <v>11122</v>
      </c>
      <c r="H12849" s="27" t="s">
        <v>35</v>
      </c>
      <c r="I12849" s="27" t="s">
        <v>43</v>
      </c>
      <c r="J12849" s="28" t="s">
        <v>1579</v>
      </c>
      <c r="K12849" s="27" t="s">
        <v>42</v>
      </c>
      <c r="L12849" s="27"/>
    </row>
    <row r="12850" customFormat="false" ht="15" hidden="false" customHeight="false" outlineLevel="0" collapsed="false">
      <c r="A12850" s="26" t="s">
        <v>30623</v>
      </c>
      <c r="B12850" s="27" t="s">
        <v>30624</v>
      </c>
      <c r="C12850" s="27" t="s">
        <v>1527</v>
      </c>
      <c r="D12850" s="26"/>
      <c r="E12850" s="27"/>
      <c r="F12850" s="27"/>
      <c r="G12850" s="27" t="s">
        <v>11122</v>
      </c>
      <c r="H12850" s="27" t="s">
        <v>35</v>
      </c>
      <c r="I12850" s="27" t="s">
        <v>152</v>
      </c>
      <c r="J12850" s="28" t="s">
        <v>1579</v>
      </c>
      <c r="K12850" s="27" t="s">
        <v>42</v>
      </c>
      <c r="L12850" s="27"/>
    </row>
    <row r="12851" customFormat="false" ht="15" hidden="false" customHeight="false" outlineLevel="0" collapsed="false">
      <c r="A12851" s="26" t="s">
        <v>30625</v>
      </c>
      <c r="B12851" s="27" t="s">
        <v>30626</v>
      </c>
      <c r="C12851" s="27" t="s">
        <v>144</v>
      </c>
      <c r="D12851" s="26"/>
      <c r="E12851" s="27"/>
      <c r="F12851" s="27"/>
      <c r="G12851" s="27" t="s">
        <v>11122</v>
      </c>
      <c r="H12851" s="27" t="s">
        <v>35</v>
      </c>
      <c r="I12851" s="28" t="s">
        <v>46</v>
      </c>
      <c r="J12851" s="28" t="s">
        <v>1579</v>
      </c>
      <c r="K12851" s="27" t="s">
        <v>42</v>
      </c>
      <c r="L12851" s="27"/>
    </row>
    <row r="12852" customFormat="false" ht="15" hidden="false" customHeight="false" outlineLevel="0" collapsed="false">
      <c r="A12852" s="26" t="s">
        <v>30627</v>
      </c>
      <c r="B12852" s="27" t="s">
        <v>30628</v>
      </c>
      <c r="C12852" s="27" t="s">
        <v>1527</v>
      </c>
      <c r="D12852" s="26"/>
      <c r="E12852" s="27"/>
      <c r="F12852" s="27"/>
      <c r="G12852" s="27" t="s">
        <v>11122</v>
      </c>
      <c r="H12852" s="27" t="s">
        <v>35</v>
      </c>
      <c r="I12852" s="27" t="s">
        <v>1344</v>
      </c>
      <c r="J12852" s="28" t="s">
        <v>1579</v>
      </c>
      <c r="K12852" s="27" t="s">
        <v>42</v>
      </c>
      <c r="L12852" s="27"/>
    </row>
    <row r="12853" customFormat="false" ht="15" hidden="false" customHeight="false" outlineLevel="0" collapsed="false">
      <c r="A12853" s="26" t="s">
        <v>30629</v>
      </c>
      <c r="B12853" s="27" t="s">
        <v>30630</v>
      </c>
      <c r="C12853" s="27" t="s">
        <v>1527</v>
      </c>
      <c r="D12853" s="26"/>
      <c r="E12853" s="27"/>
      <c r="F12853" s="27"/>
      <c r="G12853" s="27" t="s">
        <v>11122</v>
      </c>
      <c r="H12853" s="27" t="s">
        <v>35</v>
      </c>
      <c r="I12853" s="27" t="s">
        <v>42</v>
      </c>
      <c r="J12853" s="28" t="s">
        <v>1579</v>
      </c>
      <c r="K12853" s="27" t="s">
        <v>42</v>
      </c>
      <c r="L12853" s="27"/>
    </row>
    <row r="12854" customFormat="false" ht="15" hidden="false" customHeight="false" outlineLevel="0" collapsed="false">
      <c r="A12854" s="26" t="s">
        <v>30631</v>
      </c>
      <c r="B12854" s="27" t="s">
        <v>30632</v>
      </c>
      <c r="C12854" s="27" t="s">
        <v>1527</v>
      </c>
      <c r="D12854" s="26"/>
      <c r="E12854" s="27"/>
      <c r="F12854" s="27"/>
      <c r="G12854" s="27" t="s">
        <v>11122</v>
      </c>
      <c r="H12854" s="27" t="s">
        <v>35</v>
      </c>
      <c r="I12854" s="27" t="s">
        <v>42</v>
      </c>
      <c r="J12854" s="28" t="s">
        <v>1579</v>
      </c>
      <c r="K12854" s="27" t="s">
        <v>42</v>
      </c>
      <c r="L12854" s="27"/>
    </row>
    <row r="12855" customFormat="false" ht="15" hidden="false" customHeight="false" outlineLevel="0" collapsed="false">
      <c r="A12855" s="26" t="s">
        <v>30633</v>
      </c>
      <c r="B12855" s="27" t="s">
        <v>30634</v>
      </c>
      <c r="C12855" s="27" t="s">
        <v>1187</v>
      </c>
      <c r="D12855" s="26"/>
      <c r="E12855" s="27"/>
      <c r="F12855" s="27"/>
      <c r="G12855" s="27" t="s">
        <v>11122</v>
      </c>
      <c r="H12855" s="27" t="s">
        <v>35</v>
      </c>
      <c r="I12855" s="27" t="s">
        <v>1578</v>
      </c>
      <c r="J12855" s="28" t="s">
        <v>1579</v>
      </c>
      <c r="K12855" s="27" t="s">
        <v>42</v>
      </c>
      <c r="L12855" s="27"/>
    </row>
    <row r="12856" customFormat="false" ht="15" hidden="false" customHeight="false" outlineLevel="0" collapsed="false">
      <c r="A12856" s="26" t="s">
        <v>30635</v>
      </c>
      <c r="B12856" s="27" t="s">
        <v>30636</v>
      </c>
      <c r="C12856" s="27" t="s">
        <v>1527</v>
      </c>
      <c r="D12856" s="26"/>
      <c r="E12856" s="27"/>
      <c r="F12856" s="27"/>
      <c r="G12856" s="27" t="s">
        <v>11122</v>
      </c>
      <c r="H12856" s="27" t="s">
        <v>35</v>
      </c>
      <c r="I12856" s="28" t="s">
        <v>50</v>
      </c>
      <c r="J12856" s="28" t="s">
        <v>1579</v>
      </c>
      <c r="K12856" s="27" t="s">
        <v>42</v>
      </c>
      <c r="L12856" s="27"/>
    </row>
    <row r="12857" customFormat="false" ht="15" hidden="false" customHeight="false" outlineLevel="0" collapsed="false">
      <c r="A12857" s="26" t="s">
        <v>30637</v>
      </c>
      <c r="B12857" s="27" t="s">
        <v>30638</v>
      </c>
      <c r="C12857" s="27" t="s">
        <v>144</v>
      </c>
      <c r="D12857" s="26"/>
      <c r="E12857" s="27"/>
      <c r="F12857" s="27"/>
      <c r="G12857" s="27" t="s">
        <v>11122</v>
      </c>
      <c r="H12857" s="27" t="s">
        <v>35</v>
      </c>
      <c r="I12857" s="28" t="s">
        <v>50</v>
      </c>
      <c r="J12857" s="28" t="s">
        <v>1579</v>
      </c>
      <c r="K12857" s="27" t="s">
        <v>42</v>
      </c>
      <c r="L12857" s="27"/>
    </row>
    <row r="12858" customFormat="false" ht="15" hidden="false" customHeight="false" outlineLevel="0" collapsed="false">
      <c r="A12858" s="26" t="s">
        <v>30639</v>
      </c>
      <c r="B12858" s="27" t="s">
        <v>30640</v>
      </c>
      <c r="C12858" s="27" t="s">
        <v>144</v>
      </c>
      <c r="D12858" s="26"/>
      <c r="E12858" s="27"/>
      <c r="F12858" s="27"/>
      <c r="G12858" s="27" t="s">
        <v>11122</v>
      </c>
      <c r="H12858" s="27" t="s">
        <v>35</v>
      </c>
      <c r="I12858" s="28" t="s">
        <v>50</v>
      </c>
      <c r="J12858" s="28" t="s">
        <v>1579</v>
      </c>
      <c r="K12858" s="27" t="s">
        <v>42</v>
      </c>
      <c r="L12858" s="27"/>
    </row>
    <row r="12859" customFormat="false" ht="15" hidden="false" customHeight="false" outlineLevel="0" collapsed="false">
      <c r="A12859" s="26" t="s">
        <v>30641</v>
      </c>
      <c r="B12859" s="27" t="s">
        <v>30642</v>
      </c>
      <c r="C12859" s="27" t="s">
        <v>370</v>
      </c>
      <c r="D12859" s="26"/>
      <c r="E12859" s="27"/>
      <c r="F12859" s="27"/>
      <c r="G12859" s="27" t="s">
        <v>11122</v>
      </c>
      <c r="H12859" s="27" t="s">
        <v>35</v>
      </c>
      <c r="I12859" s="27" t="s">
        <v>42</v>
      </c>
      <c r="J12859" s="28" t="s">
        <v>1579</v>
      </c>
      <c r="K12859" s="27" t="s">
        <v>42</v>
      </c>
      <c r="L12859" s="27"/>
    </row>
    <row r="12860" customFormat="false" ht="15" hidden="false" customHeight="false" outlineLevel="0" collapsed="false">
      <c r="A12860" s="26" t="s">
        <v>30643</v>
      </c>
      <c r="B12860" s="27" t="s">
        <v>30644</v>
      </c>
      <c r="C12860" s="27" t="s">
        <v>10817</v>
      </c>
      <c r="D12860" s="26"/>
      <c r="E12860" s="27"/>
      <c r="F12860" s="27"/>
      <c r="G12860" s="27" t="s">
        <v>11122</v>
      </c>
      <c r="H12860" s="27" t="s">
        <v>35</v>
      </c>
      <c r="I12860" s="27" t="s">
        <v>42</v>
      </c>
      <c r="J12860" s="28" t="s">
        <v>1579</v>
      </c>
      <c r="K12860" s="27" t="s">
        <v>42</v>
      </c>
      <c r="L12860" s="27"/>
    </row>
    <row r="12861" customFormat="false" ht="15" hidden="false" customHeight="false" outlineLevel="0" collapsed="false">
      <c r="A12861" s="26" t="s">
        <v>30645</v>
      </c>
      <c r="B12861" s="27" t="s">
        <v>30646</v>
      </c>
      <c r="C12861" s="27" t="s">
        <v>10817</v>
      </c>
      <c r="D12861" s="26"/>
      <c r="E12861" s="27"/>
      <c r="F12861" s="27"/>
      <c r="G12861" s="27" t="s">
        <v>11122</v>
      </c>
      <c r="H12861" s="27" t="s">
        <v>35</v>
      </c>
      <c r="I12861" s="27" t="s">
        <v>42</v>
      </c>
      <c r="J12861" s="28" t="s">
        <v>1579</v>
      </c>
      <c r="K12861" s="27" t="s">
        <v>42</v>
      </c>
      <c r="L12861" s="27"/>
    </row>
    <row r="12862" customFormat="false" ht="15" hidden="false" customHeight="false" outlineLevel="0" collapsed="false">
      <c r="A12862" s="26" t="s">
        <v>30647</v>
      </c>
      <c r="B12862" s="27" t="s">
        <v>30648</v>
      </c>
      <c r="C12862" s="27" t="s">
        <v>144</v>
      </c>
      <c r="D12862" s="26"/>
      <c r="E12862" s="27"/>
      <c r="F12862" s="27"/>
      <c r="G12862" s="27" t="s">
        <v>11122</v>
      </c>
      <c r="H12862" s="27" t="s">
        <v>35</v>
      </c>
      <c r="I12862" s="27" t="s">
        <v>42</v>
      </c>
      <c r="J12862" s="28" t="s">
        <v>1579</v>
      </c>
      <c r="K12862" s="27" t="s">
        <v>42</v>
      </c>
      <c r="L12862" s="27"/>
    </row>
    <row r="12863" customFormat="false" ht="15" hidden="false" customHeight="false" outlineLevel="0" collapsed="false">
      <c r="A12863" s="26" t="s">
        <v>30649</v>
      </c>
      <c r="B12863" s="27" t="s">
        <v>30650</v>
      </c>
      <c r="C12863" s="27" t="s">
        <v>144</v>
      </c>
      <c r="D12863" s="26"/>
      <c r="E12863" s="27"/>
      <c r="F12863" s="27"/>
      <c r="G12863" s="27" t="s">
        <v>11122</v>
      </c>
      <c r="H12863" s="27" t="s">
        <v>35</v>
      </c>
      <c r="I12863" s="27" t="s">
        <v>42</v>
      </c>
      <c r="J12863" s="28" t="s">
        <v>1579</v>
      </c>
      <c r="K12863" s="27" t="s">
        <v>42</v>
      </c>
      <c r="L12863" s="27"/>
    </row>
    <row r="12864" customFormat="false" ht="15" hidden="false" customHeight="false" outlineLevel="0" collapsed="false">
      <c r="A12864" s="26" t="s">
        <v>30651</v>
      </c>
      <c r="B12864" s="27" t="s">
        <v>30652</v>
      </c>
      <c r="C12864" s="27" t="s">
        <v>1527</v>
      </c>
      <c r="D12864" s="26"/>
      <c r="E12864" s="27"/>
      <c r="F12864" s="27"/>
      <c r="G12864" s="27" t="s">
        <v>11122</v>
      </c>
      <c r="H12864" s="27" t="s">
        <v>35</v>
      </c>
      <c r="I12864" s="27" t="s">
        <v>42</v>
      </c>
      <c r="J12864" s="28" t="s">
        <v>1579</v>
      </c>
      <c r="K12864" s="27" t="s">
        <v>42</v>
      </c>
      <c r="L12864" s="27"/>
    </row>
    <row r="12865" customFormat="false" ht="15" hidden="false" customHeight="false" outlineLevel="0" collapsed="false">
      <c r="A12865" s="26" t="s">
        <v>30653</v>
      </c>
      <c r="B12865" s="27" t="s">
        <v>30654</v>
      </c>
      <c r="C12865" s="27" t="s">
        <v>1527</v>
      </c>
      <c r="D12865" s="26"/>
      <c r="E12865" s="27"/>
      <c r="F12865" s="27"/>
      <c r="G12865" s="27" t="s">
        <v>11122</v>
      </c>
      <c r="H12865" s="27" t="s">
        <v>35</v>
      </c>
      <c r="I12865" s="27" t="s">
        <v>42</v>
      </c>
      <c r="J12865" s="28" t="s">
        <v>1579</v>
      </c>
      <c r="K12865" s="27" t="s">
        <v>42</v>
      </c>
      <c r="L12865" s="27"/>
    </row>
    <row r="12866" customFormat="false" ht="15" hidden="false" customHeight="false" outlineLevel="0" collapsed="false">
      <c r="A12866" s="26" t="s">
        <v>30655</v>
      </c>
      <c r="B12866" s="27" t="s">
        <v>30656</v>
      </c>
      <c r="C12866" s="27" t="s">
        <v>144</v>
      </c>
      <c r="D12866" s="26"/>
      <c r="E12866" s="27"/>
      <c r="F12866" s="27"/>
      <c r="G12866" s="27" t="s">
        <v>11122</v>
      </c>
      <c r="H12866" s="27" t="s">
        <v>35</v>
      </c>
      <c r="I12866" s="27" t="s">
        <v>42</v>
      </c>
      <c r="J12866" s="28" t="s">
        <v>1579</v>
      </c>
      <c r="K12866" s="27" t="s">
        <v>42</v>
      </c>
      <c r="L12866" s="27"/>
    </row>
    <row r="12867" customFormat="false" ht="15" hidden="false" customHeight="false" outlineLevel="0" collapsed="false">
      <c r="A12867" s="26" t="s">
        <v>30657</v>
      </c>
      <c r="B12867" s="27" t="s">
        <v>30658</v>
      </c>
      <c r="C12867" s="27" t="s">
        <v>1527</v>
      </c>
      <c r="D12867" s="26"/>
      <c r="E12867" s="27"/>
      <c r="F12867" s="27"/>
      <c r="G12867" s="27" t="s">
        <v>11122</v>
      </c>
      <c r="H12867" s="27" t="s">
        <v>35</v>
      </c>
      <c r="I12867" s="27" t="s">
        <v>43</v>
      </c>
      <c r="J12867" s="28" t="s">
        <v>1579</v>
      </c>
      <c r="K12867" s="27" t="s">
        <v>42</v>
      </c>
      <c r="L12867" s="27"/>
    </row>
    <row r="12868" customFormat="false" ht="15" hidden="false" customHeight="false" outlineLevel="0" collapsed="false">
      <c r="A12868" s="26" t="s">
        <v>30659</v>
      </c>
      <c r="B12868" s="27" t="s">
        <v>30660</v>
      </c>
      <c r="C12868" s="27" t="s">
        <v>1527</v>
      </c>
      <c r="D12868" s="26"/>
      <c r="E12868" s="27"/>
      <c r="F12868" s="27"/>
      <c r="G12868" s="27" t="s">
        <v>11122</v>
      </c>
      <c r="H12868" s="27" t="s">
        <v>35</v>
      </c>
      <c r="I12868" s="27" t="s">
        <v>42</v>
      </c>
      <c r="J12868" s="28" t="s">
        <v>1579</v>
      </c>
      <c r="K12868" s="27" t="s">
        <v>42</v>
      </c>
      <c r="L12868" s="27"/>
    </row>
    <row r="12869" customFormat="false" ht="15" hidden="false" customHeight="false" outlineLevel="0" collapsed="false">
      <c r="A12869" s="26" t="s">
        <v>30661</v>
      </c>
      <c r="B12869" s="27" t="s">
        <v>30662</v>
      </c>
      <c r="C12869" s="27" t="s">
        <v>144</v>
      </c>
      <c r="D12869" s="26"/>
      <c r="E12869" s="27"/>
      <c r="F12869" s="27"/>
      <c r="G12869" s="27" t="s">
        <v>11122</v>
      </c>
      <c r="H12869" s="27" t="s">
        <v>35</v>
      </c>
      <c r="I12869" s="27" t="s">
        <v>42</v>
      </c>
      <c r="J12869" s="28" t="s">
        <v>1579</v>
      </c>
      <c r="K12869" s="27" t="s">
        <v>42</v>
      </c>
      <c r="L12869" s="27"/>
    </row>
    <row r="12870" customFormat="false" ht="15" hidden="false" customHeight="false" outlineLevel="0" collapsed="false">
      <c r="A12870" s="26" t="s">
        <v>30663</v>
      </c>
      <c r="B12870" s="27" t="s">
        <v>30664</v>
      </c>
      <c r="C12870" s="27" t="s">
        <v>144</v>
      </c>
      <c r="D12870" s="26"/>
      <c r="E12870" s="27"/>
      <c r="F12870" s="27"/>
      <c r="G12870" s="27" t="s">
        <v>11122</v>
      </c>
      <c r="H12870" s="27" t="s">
        <v>35</v>
      </c>
      <c r="I12870" s="27" t="s">
        <v>42</v>
      </c>
      <c r="J12870" s="28" t="s">
        <v>1579</v>
      </c>
      <c r="K12870" s="27" t="s">
        <v>42</v>
      </c>
      <c r="L12870" s="27"/>
    </row>
    <row r="12871" customFormat="false" ht="15" hidden="false" customHeight="false" outlineLevel="0" collapsed="false">
      <c r="A12871" s="26" t="s">
        <v>30665</v>
      </c>
      <c r="B12871" s="27" t="s">
        <v>30666</v>
      </c>
      <c r="C12871" s="27" t="s">
        <v>144</v>
      </c>
      <c r="D12871" s="26"/>
      <c r="E12871" s="27"/>
      <c r="F12871" s="27"/>
      <c r="G12871" s="27" t="s">
        <v>11122</v>
      </c>
      <c r="H12871" s="27" t="s">
        <v>35</v>
      </c>
      <c r="I12871" s="27" t="s">
        <v>42</v>
      </c>
      <c r="J12871" s="28" t="s">
        <v>1579</v>
      </c>
      <c r="K12871" s="27" t="s">
        <v>42</v>
      </c>
      <c r="L12871" s="27"/>
    </row>
    <row r="12872" customFormat="false" ht="15" hidden="false" customHeight="false" outlineLevel="0" collapsed="false">
      <c r="A12872" s="26" t="s">
        <v>30667</v>
      </c>
      <c r="B12872" s="27" t="s">
        <v>30668</v>
      </c>
      <c r="C12872" s="27" t="s">
        <v>1527</v>
      </c>
      <c r="D12872" s="26"/>
      <c r="E12872" s="27"/>
      <c r="F12872" s="27"/>
      <c r="G12872" s="27" t="s">
        <v>11122</v>
      </c>
      <c r="H12872" s="27" t="s">
        <v>35</v>
      </c>
      <c r="I12872" s="28" t="s">
        <v>50</v>
      </c>
      <c r="J12872" s="28" t="s">
        <v>1579</v>
      </c>
      <c r="K12872" s="27" t="s">
        <v>42</v>
      </c>
      <c r="L12872" s="27"/>
    </row>
    <row r="12873" customFormat="false" ht="15" hidden="false" customHeight="false" outlineLevel="0" collapsed="false">
      <c r="A12873" s="26" t="s">
        <v>30669</v>
      </c>
      <c r="B12873" s="27" t="s">
        <v>30670</v>
      </c>
      <c r="C12873" s="27" t="s">
        <v>2041</v>
      </c>
      <c r="D12873" s="26"/>
      <c r="E12873" s="27"/>
      <c r="F12873" s="27"/>
      <c r="G12873" s="27" t="s">
        <v>11122</v>
      </c>
      <c r="H12873" s="27" t="s">
        <v>35</v>
      </c>
      <c r="I12873" s="27" t="s">
        <v>42</v>
      </c>
      <c r="J12873" s="28" t="s">
        <v>1579</v>
      </c>
      <c r="K12873" s="27" t="s">
        <v>42</v>
      </c>
      <c r="L12873" s="27"/>
    </row>
    <row r="12874" customFormat="false" ht="15" hidden="false" customHeight="false" outlineLevel="0" collapsed="false">
      <c r="A12874" s="26" t="s">
        <v>30671</v>
      </c>
      <c r="B12874" s="27" t="s">
        <v>30672</v>
      </c>
      <c r="C12874" s="27" t="s">
        <v>144</v>
      </c>
      <c r="D12874" s="26"/>
      <c r="E12874" s="27"/>
      <c r="F12874" s="27"/>
      <c r="G12874" s="27" t="s">
        <v>11122</v>
      </c>
      <c r="H12874" s="27" t="s">
        <v>35</v>
      </c>
      <c r="I12874" s="27" t="s">
        <v>42</v>
      </c>
      <c r="J12874" s="28" t="s">
        <v>1579</v>
      </c>
      <c r="K12874" s="27" t="s">
        <v>42</v>
      </c>
      <c r="L12874" s="27"/>
    </row>
    <row r="12875" customFormat="false" ht="15" hidden="false" customHeight="false" outlineLevel="0" collapsed="false">
      <c r="A12875" s="26" t="s">
        <v>30673</v>
      </c>
      <c r="B12875" s="27" t="s">
        <v>30674</v>
      </c>
      <c r="C12875" s="27" t="s">
        <v>144</v>
      </c>
      <c r="D12875" s="26"/>
      <c r="E12875" s="27"/>
      <c r="F12875" s="27"/>
      <c r="G12875" s="27" t="s">
        <v>11122</v>
      </c>
      <c r="H12875" s="27" t="s">
        <v>35</v>
      </c>
      <c r="I12875" s="28" t="s">
        <v>50</v>
      </c>
      <c r="J12875" s="28" t="s">
        <v>1579</v>
      </c>
      <c r="K12875" s="27" t="s">
        <v>42</v>
      </c>
      <c r="L12875" s="27"/>
    </row>
    <row r="12876" customFormat="false" ht="15" hidden="false" customHeight="false" outlineLevel="0" collapsed="false">
      <c r="A12876" s="26" t="s">
        <v>30675</v>
      </c>
      <c r="B12876" s="27" t="s">
        <v>30676</v>
      </c>
      <c r="C12876" s="27" t="s">
        <v>144</v>
      </c>
      <c r="D12876" s="26"/>
      <c r="E12876" s="27"/>
      <c r="F12876" s="27"/>
      <c r="G12876" s="27" t="s">
        <v>11122</v>
      </c>
      <c r="H12876" s="27" t="s">
        <v>35</v>
      </c>
      <c r="I12876" s="28" t="s">
        <v>50</v>
      </c>
      <c r="J12876" s="28" t="s">
        <v>1579</v>
      </c>
      <c r="K12876" s="27" t="s">
        <v>42</v>
      </c>
      <c r="L12876" s="27"/>
    </row>
    <row r="12877" customFormat="false" ht="15" hidden="false" customHeight="false" outlineLevel="0" collapsed="false">
      <c r="A12877" s="26" t="s">
        <v>30677</v>
      </c>
      <c r="B12877" s="27" t="s">
        <v>30678</v>
      </c>
      <c r="C12877" s="27" t="s">
        <v>1527</v>
      </c>
      <c r="D12877" s="26"/>
      <c r="E12877" s="27"/>
      <c r="F12877" s="27"/>
      <c r="G12877" s="27" t="s">
        <v>11122</v>
      </c>
      <c r="H12877" s="27" t="s">
        <v>35</v>
      </c>
      <c r="I12877" s="28" t="s">
        <v>50</v>
      </c>
      <c r="J12877" s="28" t="s">
        <v>1579</v>
      </c>
      <c r="K12877" s="27" t="s">
        <v>42</v>
      </c>
      <c r="L12877" s="27"/>
    </row>
    <row r="12878" customFormat="false" ht="15" hidden="false" customHeight="false" outlineLevel="0" collapsed="false">
      <c r="A12878" s="26" t="s">
        <v>30679</v>
      </c>
      <c r="B12878" s="27" t="s">
        <v>30680</v>
      </c>
      <c r="C12878" s="27" t="s">
        <v>1527</v>
      </c>
      <c r="D12878" s="26"/>
      <c r="E12878" s="27"/>
      <c r="F12878" s="27"/>
      <c r="G12878" s="27" t="s">
        <v>11122</v>
      </c>
      <c r="H12878" s="27" t="s">
        <v>35</v>
      </c>
      <c r="I12878" s="28" t="s">
        <v>50</v>
      </c>
      <c r="J12878" s="28" t="s">
        <v>1579</v>
      </c>
      <c r="K12878" s="27" t="s">
        <v>42</v>
      </c>
      <c r="L12878" s="27"/>
    </row>
    <row r="12879" customFormat="false" ht="15" hidden="false" customHeight="false" outlineLevel="0" collapsed="false">
      <c r="A12879" s="26" t="s">
        <v>30681</v>
      </c>
      <c r="B12879" s="27" t="s">
        <v>30682</v>
      </c>
      <c r="C12879" s="27" t="s">
        <v>1527</v>
      </c>
      <c r="D12879" s="26"/>
      <c r="E12879" s="27"/>
      <c r="F12879" s="27"/>
      <c r="G12879" s="27" t="s">
        <v>11122</v>
      </c>
      <c r="H12879" s="27" t="s">
        <v>35</v>
      </c>
      <c r="I12879" s="27" t="s">
        <v>64</v>
      </c>
      <c r="J12879" s="28" t="s">
        <v>1579</v>
      </c>
      <c r="K12879" s="27" t="s">
        <v>42</v>
      </c>
      <c r="L12879" s="27"/>
    </row>
    <row r="12880" customFormat="false" ht="15" hidden="false" customHeight="false" outlineLevel="0" collapsed="false">
      <c r="A12880" s="26" t="s">
        <v>30683</v>
      </c>
      <c r="B12880" s="27" t="s">
        <v>30684</v>
      </c>
      <c r="C12880" s="27" t="s">
        <v>144</v>
      </c>
      <c r="D12880" s="26"/>
      <c r="E12880" s="27"/>
      <c r="F12880" s="27"/>
      <c r="G12880" s="27" t="s">
        <v>11122</v>
      </c>
      <c r="H12880" s="27" t="s">
        <v>35</v>
      </c>
      <c r="I12880" s="27" t="s">
        <v>49</v>
      </c>
      <c r="J12880" s="28" t="s">
        <v>1579</v>
      </c>
      <c r="K12880" s="27" t="s">
        <v>42</v>
      </c>
      <c r="L12880" s="27"/>
    </row>
    <row r="12881" customFormat="false" ht="15" hidden="false" customHeight="false" outlineLevel="0" collapsed="false">
      <c r="A12881" s="26" t="s">
        <v>30685</v>
      </c>
      <c r="B12881" s="27" t="s">
        <v>30686</v>
      </c>
      <c r="C12881" s="27" t="s">
        <v>144</v>
      </c>
      <c r="D12881" s="26"/>
      <c r="E12881" s="27"/>
      <c r="F12881" s="27"/>
      <c r="G12881" s="27" t="s">
        <v>11122</v>
      </c>
      <c r="H12881" s="27" t="s">
        <v>35</v>
      </c>
      <c r="I12881" s="28" t="s">
        <v>50</v>
      </c>
      <c r="J12881" s="28" t="s">
        <v>1579</v>
      </c>
      <c r="K12881" s="27" t="s">
        <v>42</v>
      </c>
      <c r="L12881" s="27"/>
    </row>
    <row r="12882" customFormat="false" ht="15" hidden="false" customHeight="false" outlineLevel="0" collapsed="false">
      <c r="A12882" s="26" t="s">
        <v>30687</v>
      </c>
      <c r="B12882" s="27" t="s">
        <v>30688</v>
      </c>
      <c r="C12882" s="27" t="s">
        <v>144</v>
      </c>
      <c r="D12882" s="26"/>
      <c r="E12882" s="27"/>
      <c r="F12882" s="27"/>
      <c r="G12882" s="27" t="s">
        <v>11122</v>
      </c>
      <c r="H12882" s="27" t="s">
        <v>35</v>
      </c>
      <c r="I12882" s="27" t="s">
        <v>1309</v>
      </c>
      <c r="J12882" s="28" t="s">
        <v>1579</v>
      </c>
      <c r="K12882" s="27" t="s">
        <v>42</v>
      </c>
      <c r="L12882" s="27"/>
    </row>
    <row r="12883" customFormat="false" ht="15" hidden="false" customHeight="false" outlineLevel="0" collapsed="false">
      <c r="A12883" s="26" t="s">
        <v>30689</v>
      </c>
      <c r="B12883" s="27" t="s">
        <v>30690</v>
      </c>
      <c r="C12883" s="27" t="s">
        <v>144</v>
      </c>
      <c r="D12883" s="26"/>
      <c r="E12883" s="27"/>
      <c r="F12883" s="27"/>
      <c r="G12883" s="27" t="s">
        <v>11122</v>
      </c>
      <c r="H12883" s="27" t="s">
        <v>35</v>
      </c>
      <c r="I12883" s="27" t="s">
        <v>43</v>
      </c>
      <c r="J12883" s="28" t="s">
        <v>1579</v>
      </c>
      <c r="K12883" s="27" t="s">
        <v>42</v>
      </c>
      <c r="L12883" s="27"/>
    </row>
    <row r="12884" customFormat="false" ht="15" hidden="false" customHeight="false" outlineLevel="0" collapsed="false">
      <c r="A12884" s="26" t="s">
        <v>30691</v>
      </c>
      <c r="B12884" s="28" t="s">
        <v>30692</v>
      </c>
      <c r="C12884" s="27" t="s">
        <v>144</v>
      </c>
      <c r="D12884" s="26"/>
      <c r="E12884" s="27"/>
      <c r="F12884" s="27"/>
      <c r="G12884" s="27" t="s">
        <v>11122</v>
      </c>
      <c r="H12884" s="27" t="s">
        <v>35</v>
      </c>
      <c r="I12884" s="27" t="s">
        <v>30504</v>
      </c>
      <c r="J12884" s="28" t="s">
        <v>1579</v>
      </c>
      <c r="K12884" s="27" t="s">
        <v>42</v>
      </c>
      <c r="L12884" s="27"/>
    </row>
    <row r="12885" customFormat="false" ht="15" hidden="false" customHeight="false" outlineLevel="0" collapsed="false">
      <c r="A12885" s="26" t="s">
        <v>30693</v>
      </c>
      <c r="B12885" s="28" t="s">
        <v>30694</v>
      </c>
      <c r="C12885" s="27" t="s">
        <v>144</v>
      </c>
      <c r="D12885" s="26"/>
      <c r="E12885" s="27"/>
      <c r="F12885" s="27"/>
      <c r="G12885" s="27" t="s">
        <v>11122</v>
      </c>
      <c r="H12885" s="27" t="s">
        <v>35</v>
      </c>
      <c r="I12885" s="27" t="s">
        <v>30504</v>
      </c>
      <c r="J12885" s="28" t="s">
        <v>1579</v>
      </c>
      <c r="K12885" s="27" t="s">
        <v>42</v>
      </c>
      <c r="L12885" s="27"/>
    </row>
    <row r="12886" customFormat="false" ht="15" hidden="false" customHeight="false" outlineLevel="0" collapsed="false">
      <c r="A12886" s="26" t="s">
        <v>30695</v>
      </c>
      <c r="B12886" s="27" t="s">
        <v>30696</v>
      </c>
      <c r="C12886" s="27" t="s">
        <v>144</v>
      </c>
      <c r="D12886" s="26"/>
      <c r="E12886" s="27"/>
      <c r="F12886" s="27"/>
      <c r="G12886" s="27" t="s">
        <v>11122</v>
      </c>
      <c r="H12886" s="27" t="s">
        <v>35</v>
      </c>
      <c r="I12886" s="28" t="s">
        <v>50</v>
      </c>
      <c r="J12886" s="28" t="s">
        <v>1579</v>
      </c>
      <c r="K12886" s="27" t="s">
        <v>42</v>
      </c>
      <c r="L12886" s="27"/>
    </row>
    <row r="12887" customFormat="false" ht="15" hidden="false" customHeight="false" outlineLevel="0" collapsed="false">
      <c r="A12887" s="26" t="s">
        <v>30697</v>
      </c>
      <c r="B12887" s="27" t="s">
        <v>30698</v>
      </c>
      <c r="C12887" s="27" t="s">
        <v>144</v>
      </c>
      <c r="D12887" s="26"/>
      <c r="E12887" s="27"/>
      <c r="F12887" s="27"/>
      <c r="G12887" s="27" t="s">
        <v>11122</v>
      </c>
      <c r="H12887" s="27" t="s">
        <v>35</v>
      </c>
      <c r="I12887" s="27" t="s">
        <v>43</v>
      </c>
      <c r="J12887" s="28" t="s">
        <v>1579</v>
      </c>
      <c r="K12887" s="27" t="s">
        <v>42</v>
      </c>
      <c r="L12887" s="27"/>
    </row>
    <row r="12888" customFormat="false" ht="15" hidden="false" customHeight="false" outlineLevel="0" collapsed="false">
      <c r="A12888" s="26" t="s">
        <v>30699</v>
      </c>
      <c r="B12888" s="27" t="s">
        <v>30700</v>
      </c>
      <c r="C12888" s="27" t="s">
        <v>1527</v>
      </c>
      <c r="D12888" s="26"/>
      <c r="E12888" s="27"/>
      <c r="F12888" s="27"/>
      <c r="G12888" s="27" t="s">
        <v>11122</v>
      </c>
      <c r="H12888" s="27" t="s">
        <v>35</v>
      </c>
      <c r="I12888" s="28" t="s">
        <v>50</v>
      </c>
      <c r="J12888" s="28" t="s">
        <v>1579</v>
      </c>
      <c r="K12888" s="27" t="s">
        <v>42</v>
      </c>
      <c r="L12888" s="27"/>
    </row>
    <row r="12889" customFormat="false" ht="15" hidden="false" customHeight="false" outlineLevel="0" collapsed="false">
      <c r="A12889" s="26" t="s">
        <v>30701</v>
      </c>
      <c r="B12889" s="27" t="s">
        <v>30702</v>
      </c>
      <c r="C12889" s="27" t="s">
        <v>144</v>
      </c>
      <c r="D12889" s="26"/>
      <c r="E12889" s="27"/>
      <c r="F12889" s="27"/>
      <c r="G12889" s="27" t="s">
        <v>11122</v>
      </c>
      <c r="H12889" s="27" t="s">
        <v>35</v>
      </c>
      <c r="I12889" s="28" t="s">
        <v>50</v>
      </c>
      <c r="J12889" s="28" t="s">
        <v>1579</v>
      </c>
      <c r="K12889" s="27" t="s">
        <v>42</v>
      </c>
      <c r="L12889" s="27"/>
    </row>
    <row r="12890" customFormat="false" ht="15" hidden="false" customHeight="false" outlineLevel="0" collapsed="false">
      <c r="A12890" s="26" t="s">
        <v>30703</v>
      </c>
      <c r="B12890" s="27" t="s">
        <v>30704</v>
      </c>
      <c r="C12890" s="27" t="s">
        <v>144</v>
      </c>
      <c r="D12890" s="26"/>
      <c r="E12890" s="27"/>
      <c r="F12890" s="27"/>
      <c r="G12890" s="27" t="s">
        <v>11122</v>
      </c>
      <c r="H12890" s="27" t="s">
        <v>35</v>
      </c>
      <c r="I12890" s="27" t="s">
        <v>42</v>
      </c>
      <c r="J12890" s="28" t="s">
        <v>1579</v>
      </c>
      <c r="K12890" s="27" t="s">
        <v>42</v>
      </c>
      <c r="L12890" s="27"/>
    </row>
    <row r="12891" customFormat="false" ht="15" hidden="false" customHeight="false" outlineLevel="0" collapsed="false">
      <c r="A12891" s="26" t="s">
        <v>30705</v>
      </c>
      <c r="B12891" s="27" t="s">
        <v>30706</v>
      </c>
      <c r="C12891" s="27" t="s">
        <v>144</v>
      </c>
      <c r="D12891" s="26"/>
      <c r="E12891" s="27"/>
      <c r="F12891" s="27"/>
      <c r="G12891" s="27" t="s">
        <v>11122</v>
      </c>
      <c r="H12891" s="27" t="s">
        <v>35</v>
      </c>
      <c r="I12891" s="27" t="s">
        <v>152</v>
      </c>
      <c r="J12891" s="28" t="s">
        <v>1579</v>
      </c>
      <c r="K12891" s="27" t="s">
        <v>42</v>
      </c>
      <c r="L12891" s="27"/>
    </row>
    <row r="12892" customFormat="false" ht="15" hidden="false" customHeight="false" outlineLevel="0" collapsed="false">
      <c r="A12892" s="26" t="s">
        <v>30707</v>
      </c>
      <c r="B12892" s="27" t="s">
        <v>30708</v>
      </c>
      <c r="C12892" s="27" t="s">
        <v>144</v>
      </c>
      <c r="D12892" s="26"/>
      <c r="E12892" s="27"/>
      <c r="F12892" s="27"/>
      <c r="G12892" s="27" t="s">
        <v>11122</v>
      </c>
      <c r="H12892" s="27" t="s">
        <v>35</v>
      </c>
      <c r="I12892" s="27" t="s">
        <v>152</v>
      </c>
      <c r="J12892" s="28" t="s">
        <v>1579</v>
      </c>
      <c r="K12892" s="27" t="s">
        <v>42</v>
      </c>
      <c r="L12892" s="27"/>
    </row>
    <row r="12893" customFormat="false" ht="15" hidden="false" customHeight="false" outlineLevel="0" collapsed="false">
      <c r="A12893" s="26" t="s">
        <v>30709</v>
      </c>
      <c r="B12893" s="27" t="s">
        <v>30710</v>
      </c>
      <c r="C12893" s="27" t="s">
        <v>144</v>
      </c>
      <c r="D12893" s="26"/>
      <c r="E12893" s="27"/>
      <c r="F12893" s="27"/>
      <c r="G12893" s="27" t="s">
        <v>11122</v>
      </c>
      <c r="H12893" s="27" t="s">
        <v>35</v>
      </c>
      <c r="I12893" s="27" t="s">
        <v>152</v>
      </c>
      <c r="J12893" s="28" t="s">
        <v>1579</v>
      </c>
      <c r="K12893" s="27" t="s">
        <v>42</v>
      </c>
      <c r="L12893" s="27"/>
    </row>
    <row r="12894" customFormat="false" ht="15" hidden="false" customHeight="false" outlineLevel="0" collapsed="false">
      <c r="A12894" s="26" t="s">
        <v>30711</v>
      </c>
      <c r="B12894" s="27" t="s">
        <v>30712</v>
      </c>
      <c r="C12894" s="27" t="s">
        <v>1527</v>
      </c>
      <c r="D12894" s="26"/>
      <c r="E12894" s="27"/>
      <c r="F12894" s="27"/>
      <c r="G12894" s="27" t="s">
        <v>11122</v>
      </c>
      <c r="H12894" s="27" t="s">
        <v>35</v>
      </c>
      <c r="I12894" s="27" t="s">
        <v>42</v>
      </c>
      <c r="J12894" s="28" t="s">
        <v>1579</v>
      </c>
      <c r="K12894" s="27" t="s">
        <v>42</v>
      </c>
      <c r="L12894" s="27"/>
    </row>
    <row r="12895" customFormat="false" ht="15" hidden="false" customHeight="false" outlineLevel="0" collapsed="false">
      <c r="A12895" s="26" t="s">
        <v>30713</v>
      </c>
      <c r="B12895" s="27" t="s">
        <v>30714</v>
      </c>
      <c r="C12895" s="27" t="s">
        <v>144</v>
      </c>
      <c r="D12895" s="26"/>
      <c r="E12895" s="27"/>
      <c r="F12895" s="27"/>
      <c r="G12895" s="27" t="s">
        <v>11122</v>
      </c>
      <c r="H12895" s="27" t="s">
        <v>35</v>
      </c>
      <c r="I12895" s="27" t="s">
        <v>41</v>
      </c>
      <c r="J12895" s="28" t="s">
        <v>1579</v>
      </c>
      <c r="K12895" s="27" t="s">
        <v>42</v>
      </c>
      <c r="L12895" s="27"/>
    </row>
    <row r="12896" customFormat="false" ht="15" hidden="false" customHeight="false" outlineLevel="0" collapsed="false">
      <c r="A12896" s="26" t="s">
        <v>30715</v>
      </c>
      <c r="B12896" s="27" t="s">
        <v>30716</v>
      </c>
      <c r="C12896" s="27" t="s">
        <v>144</v>
      </c>
      <c r="D12896" s="26"/>
      <c r="E12896" s="27"/>
      <c r="F12896" s="27"/>
      <c r="G12896" s="27" t="s">
        <v>11122</v>
      </c>
      <c r="H12896" s="27" t="s">
        <v>35</v>
      </c>
      <c r="I12896" s="27" t="s">
        <v>42</v>
      </c>
      <c r="J12896" s="28" t="s">
        <v>1579</v>
      </c>
      <c r="K12896" s="27" t="s">
        <v>42</v>
      </c>
      <c r="L12896" s="27"/>
    </row>
    <row r="12897" customFormat="false" ht="15" hidden="false" customHeight="false" outlineLevel="0" collapsed="false">
      <c r="A12897" s="26" t="s">
        <v>30717</v>
      </c>
      <c r="B12897" s="27" t="s">
        <v>30718</v>
      </c>
      <c r="C12897" s="27" t="s">
        <v>144</v>
      </c>
      <c r="D12897" s="26"/>
      <c r="E12897" s="27"/>
      <c r="F12897" s="27"/>
      <c r="G12897" s="27" t="s">
        <v>11122</v>
      </c>
      <c r="H12897" s="27" t="s">
        <v>35</v>
      </c>
      <c r="I12897" s="27" t="s">
        <v>42</v>
      </c>
      <c r="J12897" s="28" t="s">
        <v>1579</v>
      </c>
      <c r="K12897" s="27" t="s">
        <v>42</v>
      </c>
      <c r="L12897" s="27"/>
    </row>
    <row r="12898" customFormat="false" ht="15" hidden="false" customHeight="false" outlineLevel="0" collapsed="false">
      <c r="A12898" s="26" t="s">
        <v>30719</v>
      </c>
      <c r="B12898" s="27" t="s">
        <v>30720</v>
      </c>
      <c r="C12898" s="27" t="s">
        <v>144</v>
      </c>
      <c r="D12898" s="26"/>
      <c r="E12898" s="27"/>
      <c r="F12898" s="27"/>
      <c r="G12898" s="27" t="s">
        <v>11122</v>
      </c>
      <c r="H12898" s="27" t="s">
        <v>35</v>
      </c>
      <c r="I12898" s="27" t="s">
        <v>40</v>
      </c>
      <c r="J12898" s="28" t="s">
        <v>1579</v>
      </c>
      <c r="K12898" s="27" t="s">
        <v>42</v>
      </c>
      <c r="L12898" s="27"/>
    </row>
    <row r="12899" customFormat="false" ht="15" hidden="false" customHeight="false" outlineLevel="0" collapsed="false">
      <c r="A12899" s="26" t="s">
        <v>30721</v>
      </c>
      <c r="B12899" s="27" t="s">
        <v>30612</v>
      </c>
      <c r="C12899" s="27" t="s">
        <v>10817</v>
      </c>
      <c r="D12899" s="26"/>
      <c r="E12899" s="27"/>
      <c r="F12899" s="27"/>
      <c r="G12899" s="27" t="s">
        <v>11122</v>
      </c>
      <c r="H12899" s="27" t="s">
        <v>35</v>
      </c>
      <c r="I12899" s="27" t="s">
        <v>3432</v>
      </c>
      <c r="J12899" s="28" t="s">
        <v>1579</v>
      </c>
      <c r="K12899" s="27" t="s">
        <v>42</v>
      </c>
      <c r="L12899" s="27"/>
    </row>
    <row r="12900" customFormat="false" ht="15" hidden="false" customHeight="false" outlineLevel="0" collapsed="false">
      <c r="A12900" s="26" t="s">
        <v>30722</v>
      </c>
      <c r="B12900" s="27" t="s">
        <v>30723</v>
      </c>
      <c r="C12900" s="27" t="s">
        <v>380</v>
      </c>
      <c r="D12900" s="26"/>
      <c r="E12900" s="27"/>
      <c r="F12900" s="27"/>
      <c r="G12900" s="27" t="s">
        <v>11122</v>
      </c>
      <c r="H12900" s="27" t="s">
        <v>35</v>
      </c>
      <c r="I12900" s="27" t="s">
        <v>42</v>
      </c>
      <c r="J12900" s="28" t="s">
        <v>1579</v>
      </c>
      <c r="K12900" s="27" t="s">
        <v>42</v>
      </c>
      <c r="L12900" s="27"/>
    </row>
    <row r="12901" customFormat="false" ht="15" hidden="false" customHeight="false" outlineLevel="0" collapsed="false">
      <c r="A12901" s="26" t="s">
        <v>30724</v>
      </c>
      <c r="B12901" s="27" t="s">
        <v>30725</v>
      </c>
      <c r="C12901" s="27" t="s">
        <v>1527</v>
      </c>
      <c r="D12901" s="26"/>
      <c r="E12901" s="27"/>
      <c r="F12901" s="27"/>
      <c r="G12901" s="27" t="s">
        <v>11122</v>
      </c>
      <c r="H12901" s="27" t="s">
        <v>35</v>
      </c>
      <c r="I12901" s="27" t="s">
        <v>43</v>
      </c>
      <c r="J12901" s="28" t="s">
        <v>1579</v>
      </c>
      <c r="K12901" s="27" t="s">
        <v>42</v>
      </c>
      <c r="L12901" s="27"/>
    </row>
    <row r="12902" customFormat="false" ht="15" hidden="false" customHeight="false" outlineLevel="0" collapsed="false">
      <c r="A12902" s="26" t="s">
        <v>30726</v>
      </c>
      <c r="B12902" s="27" t="s">
        <v>30727</v>
      </c>
      <c r="C12902" s="27" t="s">
        <v>144</v>
      </c>
      <c r="D12902" s="26"/>
      <c r="E12902" s="27"/>
      <c r="F12902" s="27"/>
      <c r="G12902" s="27" t="s">
        <v>11122</v>
      </c>
      <c r="H12902" s="27" t="s">
        <v>35</v>
      </c>
      <c r="I12902" s="27" t="s">
        <v>42</v>
      </c>
      <c r="J12902" s="28" t="s">
        <v>1579</v>
      </c>
      <c r="K12902" s="27" t="s">
        <v>42</v>
      </c>
      <c r="L12902" s="27"/>
    </row>
    <row r="12903" customFormat="false" ht="15" hidden="false" customHeight="false" outlineLevel="0" collapsed="false">
      <c r="A12903" s="26" t="s">
        <v>30728</v>
      </c>
      <c r="B12903" s="27" t="s">
        <v>30729</v>
      </c>
      <c r="C12903" s="27" t="s">
        <v>1527</v>
      </c>
      <c r="D12903" s="26"/>
      <c r="E12903" s="27"/>
      <c r="F12903" s="27"/>
      <c r="G12903" s="27" t="s">
        <v>11122</v>
      </c>
      <c r="H12903" s="27" t="s">
        <v>35</v>
      </c>
      <c r="I12903" s="27" t="s">
        <v>42</v>
      </c>
      <c r="J12903" s="28" t="s">
        <v>1579</v>
      </c>
      <c r="K12903" s="27" t="s">
        <v>42</v>
      </c>
      <c r="L12903" s="27"/>
    </row>
    <row r="12904" customFormat="false" ht="15" hidden="false" customHeight="false" outlineLevel="0" collapsed="false">
      <c r="A12904" s="26" t="s">
        <v>30730</v>
      </c>
      <c r="B12904" s="27" t="s">
        <v>30731</v>
      </c>
      <c r="C12904" s="27" t="s">
        <v>144</v>
      </c>
      <c r="D12904" s="26"/>
      <c r="E12904" s="27"/>
      <c r="F12904" s="27"/>
      <c r="G12904" s="27" t="s">
        <v>11122</v>
      </c>
      <c r="H12904" s="27" t="s">
        <v>35</v>
      </c>
      <c r="I12904" s="28" t="s">
        <v>50</v>
      </c>
      <c r="J12904" s="28" t="s">
        <v>1579</v>
      </c>
      <c r="K12904" s="27" t="s">
        <v>42</v>
      </c>
      <c r="L12904" s="27"/>
    </row>
    <row r="12905" customFormat="false" ht="15" hidden="false" customHeight="false" outlineLevel="0" collapsed="false">
      <c r="A12905" s="26" t="s">
        <v>30732</v>
      </c>
      <c r="B12905" s="27" t="s">
        <v>30733</v>
      </c>
      <c r="C12905" s="27" t="s">
        <v>144</v>
      </c>
      <c r="D12905" s="26"/>
      <c r="E12905" s="27"/>
      <c r="F12905" s="27"/>
      <c r="G12905" s="27" t="s">
        <v>11122</v>
      </c>
      <c r="H12905" s="27" t="s">
        <v>35</v>
      </c>
      <c r="I12905" s="28" t="s">
        <v>50</v>
      </c>
      <c r="J12905" s="28" t="s">
        <v>1579</v>
      </c>
      <c r="K12905" s="27" t="s">
        <v>42</v>
      </c>
      <c r="L12905" s="27"/>
    </row>
    <row r="12906" customFormat="false" ht="15" hidden="false" customHeight="false" outlineLevel="0" collapsed="false">
      <c r="A12906" s="26" t="s">
        <v>30734</v>
      </c>
      <c r="B12906" s="27" t="s">
        <v>30735</v>
      </c>
      <c r="C12906" s="27" t="s">
        <v>1527</v>
      </c>
      <c r="D12906" s="26"/>
      <c r="E12906" s="27"/>
      <c r="F12906" s="27"/>
      <c r="G12906" s="27" t="s">
        <v>11122</v>
      </c>
      <c r="H12906" s="27" t="s">
        <v>35</v>
      </c>
      <c r="I12906" s="27" t="s">
        <v>42</v>
      </c>
      <c r="J12906" s="28" t="s">
        <v>1579</v>
      </c>
      <c r="K12906" s="27" t="s">
        <v>42</v>
      </c>
      <c r="L12906" s="27"/>
    </row>
    <row r="12907" customFormat="false" ht="15" hidden="false" customHeight="false" outlineLevel="0" collapsed="false">
      <c r="A12907" s="26" t="s">
        <v>30736</v>
      </c>
      <c r="B12907" s="27" t="s">
        <v>30737</v>
      </c>
      <c r="C12907" s="27" t="s">
        <v>144</v>
      </c>
      <c r="D12907" s="26"/>
      <c r="E12907" s="27"/>
      <c r="F12907" s="27"/>
      <c r="G12907" s="27" t="s">
        <v>11122</v>
      </c>
      <c r="H12907" s="27" t="s">
        <v>35</v>
      </c>
      <c r="I12907" s="27" t="s">
        <v>42</v>
      </c>
      <c r="J12907" s="28" t="s">
        <v>1579</v>
      </c>
      <c r="K12907" s="27" t="s">
        <v>42</v>
      </c>
      <c r="L12907" s="27"/>
    </row>
    <row r="12908" customFormat="false" ht="15" hidden="false" customHeight="false" outlineLevel="0" collapsed="false">
      <c r="A12908" s="26" t="s">
        <v>30738</v>
      </c>
      <c r="B12908" s="27" t="s">
        <v>30739</v>
      </c>
      <c r="C12908" s="27" t="s">
        <v>1527</v>
      </c>
      <c r="D12908" s="26"/>
      <c r="E12908" s="27"/>
      <c r="F12908" s="27"/>
      <c r="G12908" s="27" t="s">
        <v>11122</v>
      </c>
      <c r="H12908" s="27" t="s">
        <v>35</v>
      </c>
      <c r="I12908" s="27" t="s">
        <v>43</v>
      </c>
      <c r="J12908" s="28" t="s">
        <v>1579</v>
      </c>
      <c r="K12908" s="27" t="s">
        <v>42</v>
      </c>
      <c r="L12908" s="27"/>
    </row>
    <row r="12909" customFormat="false" ht="15" hidden="false" customHeight="false" outlineLevel="0" collapsed="false">
      <c r="A12909" s="26" t="s">
        <v>30740</v>
      </c>
      <c r="B12909" s="27" t="s">
        <v>30741</v>
      </c>
      <c r="C12909" s="27" t="s">
        <v>144</v>
      </c>
      <c r="D12909" s="26"/>
      <c r="E12909" s="27"/>
      <c r="F12909" s="27"/>
      <c r="G12909" s="27" t="s">
        <v>11122</v>
      </c>
      <c r="H12909" s="27" t="s">
        <v>35</v>
      </c>
      <c r="I12909" s="27" t="s">
        <v>42</v>
      </c>
      <c r="J12909" s="28" t="s">
        <v>1579</v>
      </c>
      <c r="K12909" s="27" t="s">
        <v>42</v>
      </c>
      <c r="L12909" s="27"/>
    </row>
    <row r="12910" customFormat="false" ht="15" hidden="false" customHeight="false" outlineLevel="0" collapsed="false">
      <c r="A12910" s="26" t="s">
        <v>30742</v>
      </c>
      <c r="B12910" s="27" t="s">
        <v>30743</v>
      </c>
      <c r="C12910" s="27" t="s">
        <v>144</v>
      </c>
      <c r="D12910" s="26"/>
      <c r="E12910" s="27"/>
      <c r="F12910" s="27"/>
      <c r="G12910" s="27" t="s">
        <v>11122</v>
      </c>
      <c r="H12910" s="27" t="s">
        <v>35</v>
      </c>
      <c r="I12910" s="27" t="s">
        <v>42</v>
      </c>
      <c r="J12910" s="28" t="s">
        <v>1579</v>
      </c>
      <c r="K12910" s="27" t="s">
        <v>42</v>
      </c>
      <c r="L12910" s="27"/>
    </row>
    <row r="12911" customFormat="false" ht="15" hidden="false" customHeight="false" outlineLevel="0" collapsed="false">
      <c r="A12911" s="26" t="s">
        <v>30744</v>
      </c>
      <c r="B12911" s="27" t="s">
        <v>30745</v>
      </c>
      <c r="C12911" s="27" t="s">
        <v>144</v>
      </c>
      <c r="D12911" s="26"/>
      <c r="E12911" s="27"/>
      <c r="F12911" s="27"/>
      <c r="G12911" s="27" t="s">
        <v>11122</v>
      </c>
      <c r="H12911" s="27" t="s">
        <v>35</v>
      </c>
      <c r="I12911" s="28" t="s">
        <v>50</v>
      </c>
      <c r="J12911" s="28" t="s">
        <v>1579</v>
      </c>
      <c r="K12911" s="27" t="s">
        <v>42</v>
      </c>
      <c r="L12911" s="27"/>
    </row>
    <row r="12912" customFormat="false" ht="15" hidden="false" customHeight="false" outlineLevel="0" collapsed="false">
      <c r="A12912" s="26" t="s">
        <v>30746</v>
      </c>
      <c r="B12912" s="27" t="s">
        <v>30747</v>
      </c>
      <c r="C12912" s="27" t="s">
        <v>144</v>
      </c>
      <c r="D12912" s="26"/>
      <c r="E12912" s="27"/>
      <c r="F12912" s="27"/>
      <c r="G12912" s="27" t="s">
        <v>11122</v>
      </c>
      <c r="H12912" s="27" t="s">
        <v>35</v>
      </c>
      <c r="I12912" s="28" t="s">
        <v>46</v>
      </c>
      <c r="J12912" s="28" t="s">
        <v>1579</v>
      </c>
      <c r="K12912" s="27" t="s">
        <v>42</v>
      </c>
      <c r="L12912" s="27"/>
    </row>
    <row r="12913" customFormat="false" ht="15" hidden="false" customHeight="false" outlineLevel="0" collapsed="false">
      <c r="A12913" s="26" t="s">
        <v>30748</v>
      </c>
      <c r="B12913" s="27" t="s">
        <v>30749</v>
      </c>
      <c r="C12913" s="27" t="s">
        <v>144</v>
      </c>
      <c r="D12913" s="26"/>
      <c r="E12913" s="27"/>
      <c r="F12913" s="27"/>
      <c r="G12913" s="27" t="s">
        <v>11122</v>
      </c>
      <c r="H12913" s="27" t="s">
        <v>35</v>
      </c>
      <c r="I12913" s="28" t="s">
        <v>46</v>
      </c>
      <c r="J12913" s="28" t="s">
        <v>1579</v>
      </c>
      <c r="K12913" s="27" t="s">
        <v>42</v>
      </c>
      <c r="L12913" s="27"/>
    </row>
    <row r="12914" customFormat="false" ht="15" hidden="false" customHeight="false" outlineLevel="0" collapsed="false">
      <c r="A12914" s="26" t="s">
        <v>30750</v>
      </c>
      <c r="B12914" s="27" t="s">
        <v>30751</v>
      </c>
      <c r="C12914" s="27" t="s">
        <v>144</v>
      </c>
      <c r="D12914" s="26"/>
      <c r="E12914" s="27"/>
      <c r="F12914" s="27"/>
      <c r="G12914" s="27" t="s">
        <v>11122</v>
      </c>
      <c r="H12914" s="27" t="s">
        <v>35</v>
      </c>
      <c r="I12914" s="28" t="s">
        <v>46</v>
      </c>
      <c r="J12914" s="28" t="s">
        <v>1579</v>
      </c>
      <c r="K12914" s="27" t="s">
        <v>42</v>
      </c>
      <c r="L12914" s="27"/>
    </row>
    <row r="12915" customFormat="false" ht="15" hidden="false" customHeight="false" outlineLevel="0" collapsed="false">
      <c r="A12915" s="26" t="s">
        <v>30752</v>
      </c>
      <c r="B12915" s="27" t="s">
        <v>30753</v>
      </c>
      <c r="C12915" s="27" t="s">
        <v>144</v>
      </c>
      <c r="D12915" s="26"/>
      <c r="E12915" s="27"/>
      <c r="F12915" s="27"/>
      <c r="G12915" s="27" t="s">
        <v>11122</v>
      </c>
      <c r="H12915" s="27" t="s">
        <v>35</v>
      </c>
      <c r="I12915" s="27" t="s">
        <v>39</v>
      </c>
      <c r="J12915" s="28" t="s">
        <v>1579</v>
      </c>
      <c r="K12915" s="27" t="s">
        <v>42</v>
      </c>
      <c r="L12915" s="27"/>
    </row>
    <row r="12916" customFormat="false" ht="15" hidden="false" customHeight="false" outlineLevel="0" collapsed="false">
      <c r="A12916" s="26" t="s">
        <v>30754</v>
      </c>
      <c r="B12916" s="27" t="s">
        <v>30755</v>
      </c>
      <c r="C12916" s="27" t="s">
        <v>144</v>
      </c>
      <c r="D12916" s="26"/>
      <c r="E12916" s="27"/>
      <c r="F12916" s="27"/>
      <c r="G12916" s="27" t="s">
        <v>11122</v>
      </c>
      <c r="H12916" s="27" t="s">
        <v>35</v>
      </c>
      <c r="I12916" s="27" t="s">
        <v>42</v>
      </c>
      <c r="J12916" s="28" t="s">
        <v>1579</v>
      </c>
      <c r="K12916" s="27" t="s">
        <v>42</v>
      </c>
      <c r="L12916" s="27"/>
    </row>
    <row r="12917" customFormat="false" ht="15" hidden="false" customHeight="false" outlineLevel="0" collapsed="false">
      <c r="A12917" s="26" t="s">
        <v>30756</v>
      </c>
      <c r="B12917" s="27" t="s">
        <v>30757</v>
      </c>
      <c r="C12917" s="27" t="s">
        <v>144</v>
      </c>
      <c r="D12917" s="26"/>
      <c r="E12917" s="27"/>
      <c r="F12917" s="27"/>
      <c r="G12917" s="27" t="s">
        <v>11122</v>
      </c>
      <c r="H12917" s="27" t="s">
        <v>35</v>
      </c>
      <c r="I12917" s="28" t="s">
        <v>46</v>
      </c>
      <c r="J12917" s="28" t="s">
        <v>1579</v>
      </c>
      <c r="K12917" s="27" t="s">
        <v>42</v>
      </c>
      <c r="L12917" s="27"/>
    </row>
    <row r="12918" customFormat="false" ht="15" hidden="false" customHeight="false" outlineLevel="0" collapsed="false">
      <c r="A12918" s="26" t="s">
        <v>30758</v>
      </c>
      <c r="B12918" s="27" t="s">
        <v>30759</v>
      </c>
      <c r="C12918" s="27" t="s">
        <v>370</v>
      </c>
      <c r="D12918" s="26"/>
      <c r="E12918" s="27"/>
      <c r="F12918" s="27"/>
      <c r="G12918" s="27" t="s">
        <v>11122</v>
      </c>
      <c r="H12918" s="27" t="s">
        <v>35</v>
      </c>
      <c r="I12918" s="27" t="s">
        <v>42</v>
      </c>
      <c r="J12918" s="28" t="s">
        <v>1579</v>
      </c>
      <c r="K12918" s="27" t="s">
        <v>42</v>
      </c>
      <c r="L12918" s="27"/>
    </row>
    <row r="12919" customFormat="false" ht="15" hidden="false" customHeight="false" outlineLevel="0" collapsed="false">
      <c r="A12919" s="26" t="s">
        <v>30760</v>
      </c>
      <c r="B12919" s="27" t="s">
        <v>30761</v>
      </c>
      <c r="C12919" s="27" t="s">
        <v>144</v>
      </c>
      <c r="D12919" s="26"/>
      <c r="E12919" s="27"/>
      <c r="F12919" s="27"/>
      <c r="G12919" s="27" t="s">
        <v>11122</v>
      </c>
      <c r="H12919" s="27" t="s">
        <v>35</v>
      </c>
      <c r="I12919" s="27" t="s">
        <v>42</v>
      </c>
      <c r="J12919" s="28" t="s">
        <v>1579</v>
      </c>
      <c r="K12919" s="27" t="s">
        <v>42</v>
      </c>
      <c r="L12919" s="27"/>
    </row>
    <row r="12920" customFormat="false" ht="15" hidden="false" customHeight="false" outlineLevel="0" collapsed="false">
      <c r="A12920" s="26" t="s">
        <v>30762</v>
      </c>
      <c r="B12920" s="27" t="s">
        <v>30763</v>
      </c>
      <c r="C12920" s="27" t="s">
        <v>144</v>
      </c>
      <c r="D12920" s="26"/>
      <c r="E12920" s="27"/>
      <c r="F12920" s="27"/>
      <c r="G12920" s="27" t="s">
        <v>11122</v>
      </c>
      <c r="H12920" s="27" t="s">
        <v>35</v>
      </c>
      <c r="I12920" s="28" t="s">
        <v>46</v>
      </c>
      <c r="J12920" s="28" t="s">
        <v>1579</v>
      </c>
      <c r="K12920" s="27" t="s">
        <v>42</v>
      </c>
      <c r="L12920" s="27"/>
    </row>
    <row r="12921" customFormat="false" ht="15" hidden="false" customHeight="false" outlineLevel="0" collapsed="false">
      <c r="A12921" s="26" t="s">
        <v>30764</v>
      </c>
      <c r="B12921" s="27" t="s">
        <v>30765</v>
      </c>
      <c r="C12921" s="27" t="s">
        <v>370</v>
      </c>
      <c r="D12921" s="26"/>
      <c r="E12921" s="27"/>
      <c r="F12921" s="27"/>
      <c r="G12921" s="27" t="s">
        <v>11122</v>
      </c>
      <c r="H12921" s="27" t="s">
        <v>35</v>
      </c>
      <c r="I12921" s="27" t="s">
        <v>42</v>
      </c>
      <c r="J12921" s="28" t="s">
        <v>1579</v>
      </c>
      <c r="K12921" s="27" t="s">
        <v>42</v>
      </c>
      <c r="L12921" s="27"/>
    </row>
    <row r="12922" customFormat="false" ht="15" hidden="false" customHeight="false" outlineLevel="0" collapsed="false">
      <c r="A12922" s="26" t="s">
        <v>30766</v>
      </c>
      <c r="B12922" s="27" t="s">
        <v>30767</v>
      </c>
      <c r="C12922" s="27" t="s">
        <v>144</v>
      </c>
      <c r="D12922" s="26"/>
      <c r="E12922" s="27"/>
      <c r="F12922" s="27"/>
      <c r="G12922" s="27" t="s">
        <v>11122</v>
      </c>
      <c r="H12922" s="27" t="s">
        <v>35</v>
      </c>
      <c r="I12922" s="27" t="s">
        <v>42</v>
      </c>
      <c r="J12922" s="28" t="s">
        <v>1579</v>
      </c>
      <c r="K12922" s="27" t="s">
        <v>42</v>
      </c>
      <c r="L12922" s="27"/>
    </row>
    <row r="12923" customFormat="false" ht="15" hidden="false" customHeight="false" outlineLevel="0" collapsed="false">
      <c r="A12923" s="26" t="s">
        <v>30768</v>
      </c>
      <c r="B12923" s="27" t="s">
        <v>30769</v>
      </c>
      <c r="C12923" s="27" t="s">
        <v>144</v>
      </c>
      <c r="D12923" s="26"/>
      <c r="E12923" s="27"/>
      <c r="F12923" s="27"/>
      <c r="G12923" s="27" t="s">
        <v>11122</v>
      </c>
      <c r="H12923" s="27" t="s">
        <v>35</v>
      </c>
      <c r="I12923" s="27" t="s">
        <v>42</v>
      </c>
      <c r="J12923" s="28" t="s">
        <v>1579</v>
      </c>
      <c r="K12923" s="27" t="s">
        <v>42</v>
      </c>
      <c r="L12923" s="27"/>
    </row>
    <row r="12924" customFormat="false" ht="15" hidden="false" customHeight="false" outlineLevel="0" collapsed="false">
      <c r="A12924" s="26" t="s">
        <v>30770</v>
      </c>
      <c r="B12924" s="27" t="s">
        <v>30771</v>
      </c>
      <c r="C12924" s="27" t="s">
        <v>144</v>
      </c>
      <c r="D12924" s="26"/>
      <c r="E12924" s="27"/>
      <c r="F12924" s="27"/>
      <c r="G12924" s="27" t="s">
        <v>11122</v>
      </c>
      <c r="H12924" s="27" t="s">
        <v>35</v>
      </c>
      <c r="I12924" s="27" t="s">
        <v>1067</v>
      </c>
      <c r="J12924" s="28" t="s">
        <v>1579</v>
      </c>
      <c r="K12924" s="27" t="s">
        <v>42</v>
      </c>
      <c r="L12924" s="27"/>
    </row>
    <row r="12925" customFormat="false" ht="15" hidden="false" customHeight="false" outlineLevel="0" collapsed="false">
      <c r="A12925" s="26" t="s">
        <v>30772</v>
      </c>
      <c r="B12925" s="27" t="s">
        <v>30773</v>
      </c>
      <c r="C12925" s="27" t="s">
        <v>1527</v>
      </c>
      <c r="D12925" s="26"/>
      <c r="E12925" s="27"/>
      <c r="F12925" s="27"/>
      <c r="G12925" s="27" t="s">
        <v>11122</v>
      </c>
      <c r="H12925" s="27" t="s">
        <v>35</v>
      </c>
      <c r="I12925" s="28" t="s">
        <v>50</v>
      </c>
      <c r="J12925" s="28" t="s">
        <v>1579</v>
      </c>
      <c r="K12925" s="27" t="s">
        <v>42</v>
      </c>
      <c r="L12925" s="27"/>
    </row>
    <row r="12926" customFormat="false" ht="15" hidden="false" customHeight="false" outlineLevel="0" collapsed="false">
      <c r="A12926" s="26" t="s">
        <v>30774</v>
      </c>
      <c r="B12926" s="27" t="s">
        <v>30775</v>
      </c>
      <c r="C12926" s="27" t="s">
        <v>144</v>
      </c>
      <c r="D12926" s="26"/>
      <c r="E12926" s="27"/>
      <c r="F12926" s="27"/>
      <c r="G12926" s="27" t="s">
        <v>11122</v>
      </c>
      <c r="H12926" s="27" t="s">
        <v>35</v>
      </c>
      <c r="I12926" s="27" t="s">
        <v>42</v>
      </c>
      <c r="J12926" s="28" t="s">
        <v>1579</v>
      </c>
      <c r="K12926" s="27" t="s">
        <v>42</v>
      </c>
      <c r="L12926" s="27"/>
    </row>
    <row r="12927" customFormat="false" ht="15" hidden="false" customHeight="false" outlineLevel="0" collapsed="false">
      <c r="A12927" s="26" t="s">
        <v>30776</v>
      </c>
      <c r="B12927" s="27" t="s">
        <v>30777</v>
      </c>
      <c r="C12927" s="27" t="s">
        <v>144</v>
      </c>
      <c r="D12927" s="26"/>
      <c r="E12927" s="27"/>
      <c r="F12927" s="27"/>
      <c r="G12927" s="27" t="s">
        <v>11122</v>
      </c>
      <c r="H12927" s="27" t="s">
        <v>35</v>
      </c>
      <c r="I12927" s="27" t="s">
        <v>43</v>
      </c>
      <c r="J12927" s="28" t="s">
        <v>1579</v>
      </c>
      <c r="K12927" s="27" t="s">
        <v>42</v>
      </c>
      <c r="L12927" s="27"/>
    </row>
    <row r="12928" customFormat="false" ht="15" hidden="false" customHeight="false" outlineLevel="0" collapsed="false">
      <c r="A12928" s="26" t="s">
        <v>30778</v>
      </c>
      <c r="B12928" s="27" t="s">
        <v>30779</v>
      </c>
      <c r="C12928" s="27" t="s">
        <v>144</v>
      </c>
      <c r="D12928" s="26"/>
      <c r="E12928" s="27"/>
      <c r="F12928" s="27"/>
      <c r="G12928" s="27" t="s">
        <v>11122</v>
      </c>
      <c r="H12928" s="27" t="s">
        <v>35</v>
      </c>
      <c r="I12928" s="27" t="s">
        <v>42</v>
      </c>
      <c r="J12928" s="28" t="s">
        <v>1579</v>
      </c>
      <c r="K12928" s="27" t="s">
        <v>42</v>
      </c>
      <c r="L12928" s="27"/>
    </row>
    <row r="12929" customFormat="false" ht="15" hidden="false" customHeight="false" outlineLevel="0" collapsed="false">
      <c r="A12929" s="26" t="s">
        <v>30780</v>
      </c>
      <c r="B12929" s="27" t="s">
        <v>30781</v>
      </c>
      <c r="C12929" s="27" t="s">
        <v>144</v>
      </c>
      <c r="D12929" s="26"/>
      <c r="E12929" s="27"/>
      <c r="F12929" s="27"/>
      <c r="G12929" s="27" t="s">
        <v>11122</v>
      </c>
      <c r="H12929" s="27" t="s">
        <v>35</v>
      </c>
      <c r="I12929" s="27" t="s">
        <v>42</v>
      </c>
      <c r="J12929" s="28" t="s">
        <v>1579</v>
      </c>
      <c r="K12929" s="27" t="s">
        <v>42</v>
      </c>
      <c r="L12929" s="27"/>
    </row>
    <row r="12930" customFormat="false" ht="15" hidden="false" customHeight="false" outlineLevel="0" collapsed="false">
      <c r="A12930" s="26" t="s">
        <v>30782</v>
      </c>
      <c r="B12930" s="27" t="s">
        <v>30783</v>
      </c>
      <c r="C12930" s="27" t="s">
        <v>144</v>
      </c>
      <c r="D12930" s="26"/>
      <c r="E12930" s="27"/>
      <c r="F12930" s="27"/>
      <c r="G12930" s="27" t="s">
        <v>11122</v>
      </c>
      <c r="H12930" s="27" t="s">
        <v>35</v>
      </c>
      <c r="I12930" s="27" t="s">
        <v>42</v>
      </c>
      <c r="J12930" s="28" t="s">
        <v>1579</v>
      </c>
      <c r="K12930" s="27" t="s">
        <v>42</v>
      </c>
      <c r="L12930" s="27"/>
    </row>
    <row r="12931" customFormat="false" ht="15" hidden="false" customHeight="false" outlineLevel="0" collapsed="false">
      <c r="A12931" s="26" t="s">
        <v>30784</v>
      </c>
      <c r="B12931" s="27" t="s">
        <v>30785</v>
      </c>
      <c r="C12931" s="27" t="s">
        <v>144</v>
      </c>
      <c r="D12931" s="26"/>
      <c r="E12931" s="27"/>
      <c r="F12931" s="27"/>
      <c r="G12931" s="27" t="s">
        <v>11122</v>
      </c>
      <c r="H12931" s="27" t="s">
        <v>35</v>
      </c>
      <c r="I12931" s="27" t="s">
        <v>3432</v>
      </c>
      <c r="J12931" s="28" t="s">
        <v>1579</v>
      </c>
      <c r="K12931" s="27" t="s">
        <v>42</v>
      </c>
      <c r="L12931" s="27"/>
    </row>
    <row r="12932" customFormat="false" ht="15" hidden="false" customHeight="false" outlineLevel="0" collapsed="false">
      <c r="A12932" s="26" t="s">
        <v>30786</v>
      </c>
      <c r="B12932" s="27" t="s">
        <v>30787</v>
      </c>
      <c r="C12932" s="27" t="s">
        <v>144</v>
      </c>
      <c r="D12932" s="26"/>
      <c r="E12932" s="27"/>
      <c r="F12932" s="27"/>
      <c r="G12932" s="27" t="s">
        <v>11122</v>
      </c>
      <c r="H12932" s="27" t="s">
        <v>35</v>
      </c>
      <c r="I12932" s="27" t="s">
        <v>1067</v>
      </c>
      <c r="J12932" s="28" t="s">
        <v>1579</v>
      </c>
      <c r="K12932" s="27" t="s">
        <v>42</v>
      </c>
      <c r="L12932" s="27"/>
    </row>
    <row r="12933" customFormat="false" ht="15" hidden="false" customHeight="false" outlineLevel="0" collapsed="false">
      <c r="A12933" s="26" t="s">
        <v>30788</v>
      </c>
      <c r="B12933" s="27" t="s">
        <v>30789</v>
      </c>
      <c r="C12933" s="27" t="s">
        <v>1087</v>
      </c>
      <c r="D12933" s="26"/>
      <c r="E12933" s="27"/>
      <c r="F12933" s="27"/>
      <c r="G12933" s="27" t="s">
        <v>11122</v>
      </c>
      <c r="H12933" s="27" t="s">
        <v>35</v>
      </c>
      <c r="I12933" s="27" t="s">
        <v>42</v>
      </c>
      <c r="J12933" s="28" t="s">
        <v>1579</v>
      </c>
      <c r="K12933" s="27" t="s">
        <v>42</v>
      </c>
      <c r="L12933" s="27"/>
    </row>
    <row r="12934" customFormat="false" ht="15" hidden="false" customHeight="false" outlineLevel="0" collapsed="false">
      <c r="A12934" s="26" t="s">
        <v>30790</v>
      </c>
      <c r="B12934" s="27" t="s">
        <v>30791</v>
      </c>
      <c r="C12934" s="27" t="s">
        <v>144</v>
      </c>
      <c r="D12934" s="26"/>
      <c r="E12934" s="27"/>
      <c r="F12934" s="27"/>
      <c r="G12934" s="27" t="s">
        <v>11122</v>
      </c>
      <c r="H12934" s="27" t="s">
        <v>35</v>
      </c>
      <c r="I12934" s="28" t="s">
        <v>50</v>
      </c>
      <c r="J12934" s="28" t="s">
        <v>1579</v>
      </c>
      <c r="K12934" s="27" t="s">
        <v>42</v>
      </c>
      <c r="L12934" s="27"/>
    </row>
    <row r="12935" customFormat="false" ht="15" hidden="false" customHeight="false" outlineLevel="0" collapsed="false">
      <c r="A12935" s="26" t="s">
        <v>30792</v>
      </c>
      <c r="B12935" s="27" t="s">
        <v>30793</v>
      </c>
      <c r="C12935" s="27" t="s">
        <v>144</v>
      </c>
      <c r="D12935" s="26"/>
      <c r="E12935" s="27"/>
      <c r="F12935" s="27"/>
      <c r="G12935" s="27" t="s">
        <v>11122</v>
      </c>
      <c r="H12935" s="27" t="s">
        <v>35</v>
      </c>
      <c r="I12935" s="27" t="s">
        <v>1067</v>
      </c>
      <c r="J12935" s="28" t="s">
        <v>1579</v>
      </c>
      <c r="K12935" s="27" t="s">
        <v>42</v>
      </c>
      <c r="L12935" s="27"/>
    </row>
    <row r="12936" customFormat="false" ht="15" hidden="false" customHeight="false" outlineLevel="0" collapsed="false">
      <c r="A12936" s="26" t="s">
        <v>30794</v>
      </c>
      <c r="B12936" s="27" t="s">
        <v>30795</v>
      </c>
      <c r="C12936" s="27" t="s">
        <v>131</v>
      </c>
      <c r="D12936" s="26"/>
      <c r="E12936" s="27"/>
      <c r="F12936" s="27"/>
      <c r="G12936" s="27" t="s">
        <v>11122</v>
      </c>
      <c r="H12936" s="27" t="s">
        <v>35</v>
      </c>
      <c r="I12936" s="27" t="s">
        <v>39</v>
      </c>
      <c r="J12936" s="28" t="s">
        <v>1579</v>
      </c>
      <c r="K12936" s="27" t="s">
        <v>42</v>
      </c>
      <c r="L12936" s="27"/>
    </row>
    <row r="12937" customFormat="false" ht="15" hidden="false" customHeight="false" outlineLevel="0" collapsed="false">
      <c r="A12937" s="26" t="s">
        <v>30796</v>
      </c>
      <c r="B12937" s="27" t="s">
        <v>30797</v>
      </c>
      <c r="C12937" s="27" t="s">
        <v>144</v>
      </c>
      <c r="D12937" s="26"/>
      <c r="E12937" s="27"/>
      <c r="F12937" s="27"/>
      <c r="G12937" s="27" t="s">
        <v>11122</v>
      </c>
      <c r="H12937" s="27" t="s">
        <v>35</v>
      </c>
      <c r="I12937" s="27" t="s">
        <v>1067</v>
      </c>
      <c r="J12937" s="28" t="s">
        <v>1579</v>
      </c>
      <c r="K12937" s="27" t="s">
        <v>42</v>
      </c>
      <c r="L12937" s="27"/>
    </row>
    <row r="12938" customFormat="false" ht="15" hidden="false" customHeight="false" outlineLevel="0" collapsed="false">
      <c r="A12938" s="26" t="s">
        <v>30798</v>
      </c>
      <c r="B12938" s="27" t="s">
        <v>30799</v>
      </c>
      <c r="C12938" s="27" t="s">
        <v>144</v>
      </c>
      <c r="D12938" s="26"/>
      <c r="E12938" s="27"/>
      <c r="F12938" s="27"/>
      <c r="G12938" s="27" t="s">
        <v>11122</v>
      </c>
      <c r="H12938" s="27" t="s">
        <v>35</v>
      </c>
      <c r="I12938" s="27" t="s">
        <v>1067</v>
      </c>
      <c r="J12938" s="28" t="s">
        <v>1579</v>
      </c>
      <c r="K12938" s="27" t="s">
        <v>42</v>
      </c>
      <c r="L12938" s="27"/>
    </row>
    <row r="12939" customFormat="false" ht="15" hidden="false" customHeight="false" outlineLevel="0" collapsed="false">
      <c r="A12939" s="26" t="s">
        <v>30800</v>
      </c>
      <c r="B12939" s="27" t="s">
        <v>30801</v>
      </c>
      <c r="C12939" s="27" t="s">
        <v>1187</v>
      </c>
      <c r="D12939" s="26"/>
      <c r="E12939" s="27"/>
      <c r="F12939" s="27"/>
      <c r="G12939" s="27" t="s">
        <v>11122</v>
      </c>
      <c r="H12939" s="27" t="s">
        <v>35</v>
      </c>
      <c r="I12939" s="27" t="s">
        <v>1578</v>
      </c>
      <c r="J12939" s="28" t="s">
        <v>1579</v>
      </c>
      <c r="K12939" s="27" t="s">
        <v>42</v>
      </c>
      <c r="L12939" s="27"/>
    </row>
    <row r="12940" customFormat="false" ht="15" hidden="false" customHeight="false" outlineLevel="0" collapsed="false">
      <c r="A12940" s="26" t="s">
        <v>30802</v>
      </c>
      <c r="B12940" s="27" t="s">
        <v>30803</v>
      </c>
      <c r="C12940" s="27" t="s">
        <v>1527</v>
      </c>
      <c r="D12940" s="26"/>
      <c r="E12940" s="27"/>
      <c r="F12940" s="27"/>
      <c r="G12940" s="27" t="s">
        <v>11122</v>
      </c>
      <c r="H12940" s="27" t="s">
        <v>35</v>
      </c>
      <c r="I12940" s="27" t="s">
        <v>41</v>
      </c>
      <c r="J12940" s="28" t="s">
        <v>1579</v>
      </c>
      <c r="K12940" s="27" t="s">
        <v>42</v>
      </c>
      <c r="L12940" s="27"/>
    </row>
    <row r="12941" customFormat="false" ht="15" hidden="false" customHeight="false" outlineLevel="0" collapsed="false">
      <c r="A12941" s="26" t="s">
        <v>30804</v>
      </c>
      <c r="B12941" s="27" t="s">
        <v>30805</v>
      </c>
      <c r="C12941" s="27" t="s">
        <v>144</v>
      </c>
      <c r="D12941" s="26"/>
      <c r="E12941" s="27"/>
      <c r="F12941" s="27"/>
      <c r="G12941" s="27" t="s">
        <v>11122</v>
      </c>
      <c r="H12941" s="27" t="s">
        <v>35</v>
      </c>
      <c r="I12941" s="27" t="s">
        <v>37</v>
      </c>
      <c r="J12941" s="28" t="s">
        <v>1579</v>
      </c>
      <c r="K12941" s="27" t="s">
        <v>42</v>
      </c>
      <c r="L12941" s="27"/>
    </row>
    <row r="12942" customFormat="false" ht="15" hidden="false" customHeight="false" outlineLevel="0" collapsed="false">
      <c r="A12942" s="26" t="s">
        <v>30806</v>
      </c>
      <c r="B12942" s="27" t="s">
        <v>30807</v>
      </c>
      <c r="C12942" s="27" t="s">
        <v>10817</v>
      </c>
      <c r="D12942" s="26"/>
      <c r="E12942" s="27"/>
      <c r="F12942" s="27"/>
      <c r="G12942" s="27" t="s">
        <v>11122</v>
      </c>
      <c r="H12942" s="27" t="s">
        <v>35</v>
      </c>
      <c r="I12942" s="28" t="s">
        <v>50</v>
      </c>
      <c r="J12942" s="28" t="s">
        <v>1579</v>
      </c>
      <c r="K12942" s="27" t="s">
        <v>42</v>
      </c>
      <c r="L12942" s="27"/>
    </row>
    <row r="12943" customFormat="false" ht="15" hidden="false" customHeight="false" outlineLevel="0" collapsed="false">
      <c r="A12943" s="26" t="s">
        <v>30808</v>
      </c>
      <c r="B12943" s="27" t="s">
        <v>30809</v>
      </c>
      <c r="C12943" s="27" t="s">
        <v>10817</v>
      </c>
      <c r="D12943" s="26"/>
      <c r="E12943" s="27"/>
      <c r="F12943" s="27"/>
      <c r="G12943" s="27" t="s">
        <v>11122</v>
      </c>
      <c r="H12943" s="27" t="s">
        <v>35</v>
      </c>
      <c r="I12943" s="27" t="s">
        <v>27350</v>
      </c>
      <c r="J12943" s="28" t="s">
        <v>1579</v>
      </c>
      <c r="K12943" s="27" t="s">
        <v>42</v>
      </c>
      <c r="L12943" s="27"/>
    </row>
    <row r="12944" customFormat="false" ht="15" hidden="false" customHeight="false" outlineLevel="0" collapsed="false">
      <c r="A12944" s="26" t="s">
        <v>30810</v>
      </c>
      <c r="B12944" s="27" t="s">
        <v>30811</v>
      </c>
      <c r="C12944" s="27" t="s">
        <v>144</v>
      </c>
      <c r="D12944" s="26"/>
      <c r="E12944" s="27"/>
      <c r="F12944" s="27"/>
      <c r="G12944" s="27" t="s">
        <v>11122</v>
      </c>
      <c r="H12944" s="27" t="s">
        <v>35</v>
      </c>
      <c r="I12944" s="28" t="s">
        <v>46</v>
      </c>
      <c r="J12944" s="28" t="s">
        <v>1579</v>
      </c>
      <c r="K12944" s="27" t="s">
        <v>42</v>
      </c>
      <c r="L12944" s="27"/>
    </row>
    <row r="12945" customFormat="false" ht="15" hidden="false" customHeight="false" outlineLevel="0" collapsed="false">
      <c r="A12945" s="26" t="s">
        <v>30812</v>
      </c>
      <c r="B12945" s="27" t="s">
        <v>30813</v>
      </c>
      <c r="C12945" s="27" t="s">
        <v>10817</v>
      </c>
      <c r="D12945" s="26"/>
      <c r="E12945" s="27"/>
      <c r="F12945" s="27"/>
      <c r="G12945" s="27" t="s">
        <v>11122</v>
      </c>
      <c r="H12945" s="27" t="s">
        <v>35</v>
      </c>
      <c r="I12945" s="27" t="s">
        <v>42</v>
      </c>
      <c r="J12945" s="28" t="s">
        <v>1579</v>
      </c>
      <c r="K12945" s="27" t="s">
        <v>42</v>
      </c>
      <c r="L12945" s="27"/>
    </row>
    <row r="12946" customFormat="false" ht="15" hidden="false" customHeight="false" outlineLevel="0" collapsed="false">
      <c r="A12946" s="26" t="s">
        <v>30814</v>
      </c>
      <c r="B12946" s="27" t="s">
        <v>30815</v>
      </c>
      <c r="C12946" s="27" t="s">
        <v>1527</v>
      </c>
      <c r="D12946" s="26"/>
      <c r="E12946" s="27"/>
      <c r="F12946" s="27"/>
      <c r="G12946" s="27" t="s">
        <v>11122</v>
      </c>
      <c r="H12946" s="27" t="s">
        <v>35</v>
      </c>
      <c r="I12946" s="27" t="s">
        <v>1067</v>
      </c>
      <c r="J12946" s="28" t="s">
        <v>1579</v>
      </c>
      <c r="K12946" s="27" t="s">
        <v>42</v>
      </c>
      <c r="L12946" s="27"/>
    </row>
    <row r="12947" customFormat="false" ht="15" hidden="false" customHeight="false" outlineLevel="0" collapsed="false">
      <c r="A12947" s="26" t="s">
        <v>30816</v>
      </c>
      <c r="B12947" s="27" t="s">
        <v>30817</v>
      </c>
      <c r="C12947" s="27" t="s">
        <v>1527</v>
      </c>
      <c r="D12947" s="26"/>
      <c r="E12947" s="27"/>
      <c r="F12947" s="27"/>
      <c r="G12947" s="27" t="s">
        <v>11122</v>
      </c>
      <c r="H12947" s="27" t="s">
        <v>35</v>
      </c>
      <c r="I12947" s="27" t="s">
        <v>1067</v>
      </c>
      <c r="J12947" s="28" t="s">
        <v>1579</v>
      </c>
      <c r="K12947" s="27" t="s">
        <v>42</v>
      </c>
      <c r="L12947" s="27"/>
    </row>
    <row r="12948" customFormat="false" ht="15" hidden="false" customHeight="false" outlineLevel="0" collapsed="false">
      <c r="A12948" s="26" t="s">
        <v>30818</v>
      </c>
      <c r="B12948" s="27" t="s">
        <v>30819</v>
      </c>
      <c r="C12948" s="27" t="s">
        <v>144</v>
      </c>
      <c r="D12948" s="26"/>
      <c r="E12948" s="27"/>
      <c r="F12948" s="27"/>
      <c r="G12948" s="27" t="s">
        <v>11122</v>
      </c>
      <c r="H12948" s="27" t="s">
        <v>35</v>
      </c>
      <c r="I12948" s="27" t="s">
        <v>42</v>
      </c>
      <c r="J12948" s="28" t="s">
        <v>1579</v>
      </c>
      <c r="K12948" s="27" t="s">
        <v>42</v>
      </c>
      <c r="L12948" s="27"/>
    </row>
    <row r="12949" customFormat="false" ht="15" hidden="false" customHeight="false" outlineLevel="0" collapsed="false">
      <c r="A12949" s="26" t="s">
        <v>30820</v>
      </c>
      <c r="B12949" s="27" t="s">
        <v>30821</v>
      </c>
      <c r="C12949" s="27" t="s">
        <v>144</v>
      </c>
      <c r="D12949" s="26"/>
      <c r="E12949" s="27"/>
      <c r="F12949" s="27"/>
      <c r="G12949" s="27" t="s">
        <v>11122</v>
      </c>
      <c r="H12949" s="27" t="s">
        <v>35</v>
      </c>
      <c r="I12949" s="27" t="s">
        <v>42</v>
      </c>
      <c r="J12949" s="28" t="s">
        <v>1579</v>
      </c>
      <c r="K12949" s="27" t="s">
        <v>42</v>
      </c>
      <c r="L12949" s="27"/>
    </row>
    <row r="12950" customFormat="false" ht="15" hidden="false" customHeight="false" outlineLevel="0" collapsed="false">
      <c r="A12950" s="26" t="s">
        <v>30822</v>
      </c>
      <c r="B12950" s="27" t="s">
        <v>30823</v>
      </c>
      <c r="C12950" s="27" t="s">
        <v>144</v>
      </c>
      <c r="D12950" s="26"/>
      <c r="E12950" s="27"/>
      <c r="F12950" s="27"/>
      <c r="G12950" s="27" t="s">
        <v>11122</v>
      </c>
      <c r="H12950" s="27" t="s">
        <v>35</v>
      </c>
      <c r="I12950" s="27" t="s">
        <v>42</v>
      </c>
      <c r="J12950" s="28" t="s">
        <v>1579</v>
      </c>
      <c r="K12950" s="27" t="s">
        <v>42</v>
      </c>
      <c r="L12950" s="27"/>
    </row>
    <row r="12951" customFormat="false" ht="15" hidden="false" customHeight="false" outlineLevel="0" collapsed="false">
      <c r="A12951" s="26" t="s">
        <v>30824</v>
      </c>
      <c r="B12951" s="27" t="s">
        <v>30825</v>
      </c>
      <c r="C12951" s="27" t="s">
        <v>144</v>
      </c>
      <c r="D12951" s="26"/>
      <c r="E12951" s="27"/>
      <c r="F12951" s="27"/>
      <c r="G12951" s="27" t="s">
        <v>11122</v>
      </c>
      <c r="H12951" s="27" t="s">
        <v>35</v>
      </c>
      <c r="I12951" s="27" t="s">
        <v>42</v>
      </c>
      <c r="J12951" s="28" t="s">
        <v>1579</v>
      </c>
      <c r="K12951" s="27" t="s">
        <v>42</v>
      </c>
      <c r="L12951" s="27"/>
    </row>
    <row r="12952" customFormat="false" ht="15" hidden="false" customHeight="false" outlineLevel="0" collapsed="false">
      <c r="A12952" s="26" t="s">
        <v>30826</v>
      </c>
      <c r="B12952" s="27" t="s">
        <v>30827</v>
      </c>
      <c r="C12952" s="27" t="s">
        <v>144</v>
      </c>
      <c r="D12952" s="26"/>
      <c r="E12952" s="27"/>
      <c r="F12952" s="27"/>
      <c r="G12952" s="27" t="s">
        <v>11122</v>
      </c>
      <c r="H12952" s="27" t="s">
        <v>35</v>
      </c>
      <c r="I12952" s="28" t="s">
        <v>46</v>
      </c>
      <c r="J12952" s="28" t="s">
        <v>1579</v>
      </c>
      <c r="K12952" s="27" t="s">
        <v>42</v>
      </c>
      <c r="L12952" s="27"/>
    </row>
    <row r="12953" customFormat="false" ht="15" hidden="false" customHeight="false" outlineLevel="0" collapsed="false">
      <c r="A12953" s="26" t="s">
        <v>30828</v>
      </c>
      <c r="B12953" s="27" t="s">
        <v>30829</v>
      </c>
      <c r="C12953" s="27" t="s">
        <v>144</v>
      </c>
      <c r="D12953" s="26"/>
      <c r="E12953" s="27"/>
      <c r="F12953" s="27"/>
      <c r="G12953" s="27" t="s">
        <v>11122</v>
      </c>
      <c r="H12953" s="27" t="s">
        <v>35</v>
      </c>
      <c r="I12953" s="27" t="s">
        <v>42</v>
      </c>
      <c r="J12953" s="28" t="s">
        <v>1579</v>
      </c>
      <c r="K12953" s="27" t="s">
        <v>42</v>
      </c>
      <c r="L12953" s="27"/>
    </row>
    <row r="12954" customFormat="false" ht="15" hidden="false" customHeight="false" outlineLevel="0" collapsed="false">
      <c r="A12954" s="26" t="s">
        <v>30830</v>
      </c>
      <c r="B12954" s="27" t="s">
        <v>30831</v>
      </c>
      <c r="C12954" s="27" t="s">
        <v>144</v>
      </c>
      <c r="D12954" s="26"/>
      <c r="E12954" s="27"/>
      <c r="F12954" s="27"/>
      <c r="G12954" s="27" t="s">
        <v>11122</v>
      </c>
      <c r="H12954" s="27" t="s">
        <v>35</v>
      </c>
      <c r="I12954" s="27" t="s">
        <v>1067</v>
      </c>
      <c r="J12954" s="28" t="s">
        <v>1579</v>
      </c>
      <c r="K12954" s="27" t="s">
        <v>42</v>
      </c>
      <c r="L12954" s="27"/>
    </row>
    <row r="12955" customFormat="false" ht="15" hidden="false" customHeight="false" outlineLevel="0" collapsed="false">
      <c r="A12955" s="26" t="s">
        <v>30832</v>
      </c>
      <c r="B12955" s="27" t="s">
        <v>30833</v>
      </c>
      <c r="C12955" s="27" t="s">
        <v>144</v>
      </c>
      <c r="D12955" s="26"/>
      <c r="E12955" s="27"/>
      <c r="F12955" s="27"/>
      <c r="G12955" s="27" t="s">
        <v>11122</v>
      </c>
      <c r="H12955" s="27" t="s">
        <v>35</v>
      </c>
      <c r="I12955" s="27" t="s">
        <v>42</v>
      </c>
      <c r="J12955" s="28" t="s">
        <v>1579</v>
      </c>
      <c r="K12955" s="27" t="s">
        <v>42</v>
      </c>
      <c r="L12955" s="27"/>
    </row>
    <row r="12956" customFormat="false" ht="15" hidden="false" customHeight="false" outlineLevel="0" collapsed="false">
      <c r="A12956" s="26" t="s">
        <v>30834</v>
      </c>
      <c r="B12956" s="27" t="s">
        <v>30835</v>
      </c>
      <c r="C12956" s="27" t="s">
        <v>1527</v>
      </c>
      <c r="D12956" s="26"/>
      <c r="E12956" s="27"/>
      <c r="F12956" s="27"/>
      <c r="G12956" s="27" t="s">
        <v>11122</v>
      </c>
      <c r="H12956" s="27" t="s">
        <v>35</v>
      </c>
      <c r="I12956" s="27" t="s">
        <v>42</v>
      </c>
      <c r="J12956" s="28" t="s">
        <v>1579</v>
      </c>
      <c r="K12956" s="27" t="s">
        <v>42</v>
      </c>
      <c r="L12956" s="27"/>
    </row>
    <row r="12957" customFormat="false" ht="15" hidden="false" customHeight="false" outlineLevel="0" collapsed="false">
      <c r="A12957" s="26" t="s">
        <v>30836</v>
      </c>
      <c r="B12957" s="27" t="s">
        <v>30837</v>
      </c>
      <c r="C12957" s="27" t="s">
        <v>144</v>
      </c>
      <c r="D12957" s="26"/>
      <c r="E12957" s="27"/>
      <c r="F12957" s="27"/>
      <c r="G12957" s="27" t="s">
        <v>11122</v>
      </c>
      <c r="H12957" s="27" t="s">
        <v>35</v>
      </c>
      <c r="I12957" s="27" t="s">
        <v>42</v>
      </c>
      <c r="J12957" s="28" t="s">
        <v>1579</v>
      </c>
      <c r="K12957" s="27" t="s">
        <v>42</v>
      </c>
      <c r="L12957" s="27"/>
    </row>
    <row r="12958" customFormat="false" ht="15" hidden="false" customHeight="false" outlineLevel="0" collapsed="false">
      <c r="A12958" s="26" t="s">
        <v>30838</v>
      </c>
      <c r="B12958" s="27" t="s">
        <v>30839</v>
      </c>
      <c r="C12958" s="27" t="s">
        <v>10817</v>
      </c>
      <c r="D12958" s="26"/>
      <c r="E12958" s="27"/>
      <c r="F12958" s="27"/>
      <c r="G12958" s="27" t="s">
        <v>11122</v>
      </c>
      <c r="H12958" s="27" t="s">
        <v>35</v>
      </c>
      <c r="I12958" s="27" t="s">
        <v>1075</v>
      </c>
      <c r="J12958" s="28" t="s">
        <v>1579</v>
      </c>
      <c r="K12958" s="27" t="s">
        <v>42</v>
      </c>
      <c r="L12958" s="27"/>
    </row>
    <row r="12959" customFormat="false" ht="15" hidden="false" customHeight="false" outlineLevel="0" collapsed="false">
      <c r="A12959" s="26" t="s">
        <v>30840</v>
      </c>
      <c r="B12959" s="27" t="s">
        <v>30841</v>
      </c>
      <c r="C12959" s="27" t="s">
        <v>144</v>
      </c>
      <c r="D12959" s="26"/>
      <c r="E12959" s="27"/>
      <c r="F12959" s="27"/>
      <c r="G12959" s="27" t="s">
        <v>11122</v>
      </c>
      <c r="H12959" s="27" t="s">
        <v>35</v>
      </c>
      <c r="I12959" s="27" t="s">
        <v>1067</v>
      </c>
      <c r="J12959" s="28" t="s">
        <v>1579</v>
      </c>
      <c r="K12959" s="27" t="s">
        <v>42</v>
      </c>
      <c r="L12959" s="27"/>
    </row>
    <row r="12960" customFormat="false" ht="15" hidden="false" customHeight="false" outlineLevel="0" collapsed="false">
      <c r="A12960" s="26" t="s">
        <v>30842</v>
      </c>
      <c r="B12960" s="27" t="s">
        <v>30843</v>
      </c>
      <c r="C12960" s="27" t="s">
        <v>144</v>
      </c>
      <c r="D12960" s="26"/>
      <c r="E12960" s="27"/>
      <c r="F12960" s="27"/>
      <c r="G12960" s="27" t="s">
        <v>11122</v>
      </c>
      <c r="H12960" s="27" t="s">
        <v>35</v>
      </c>
      <c r="I12960" s="28" t="s">
        <v>46</v>
      </c>
      <c r="J12960" s="28" t="s">
        <v>1579</v>
      </c>
      <c r="K12960" s="27" t="s">
        <v>42</v>
      </c>
      <c r="L12960" s="27"/>
    </row>
    <row r="12961" customFormat="false" ht="15" hidden="false" customHeight="false" outlineLevel="0" collapsed="false">
      <c r="A12961" s="26" t="s">
        <v>30844</v>
      </c>
      <c r="B12961" s="27" t="s">
        <v>30845</v>
      </c>
      <c r="C12961" s="27" t="s">
        <v>100</v>
      </c>
      <c r="D12961" s="26"/>
      <c r="E12961" s="27"/>
      <c r="F12961" s="27"/>
      <c r="G12961" s="27" t="s">
        <v>11122</v>
      </c>
      <c r="H12961" s="27" t="s">
        <v>35</v>
      </c>
      <c r="I12961" s="28" t="s">
        <v>50</v>
      </c>
      <c r="J12961" s="28" t="s">
        <v>1579</v>
      </c>
      <c r="K12961" s="27" t="s">
        <v>42</v>
      </c>
      <c r="L12961" s="27"/>
    </row>
    <row r="12962" customFormat="false" ht="15" hidden="false" customHeight="false" outlineLevel="0" collapsed="false">
      <c r="A12962" s="26" t="s">
        <v>30846</v>
      </c>
      <c r="B12962" s="27" t="s">
        <v>30847</v>
      </c>
      <c r="C12962" s="27" t="s">
        <v>144</v>
      </c>
      <c r="D12962" s="26"/>
      <c r="E12962" s="27"/>
      <c r="F12962" s="27"/>
      <c r="G12962" s="27" t="s">
        <v>11122</v>
      </c>
      <c r="H12962" s="27" t="s">
        <v>35</v>
      </c>
      <c r="I12962" s="28" t="s">
        <v>50</v>
      </c>
      <c r="J12962" s="28" t="s">
        <v>1579</v>
      </c>
      <c r="K12962" s="27" t="s">
        <v>42</v>
      </c>
      <c r="L12962" s="27"/>
    </row>
    <row r="12963" customFormat="false" ht="15" hidden="false" customHeight="false" outlineLevel="0" collapsed="false">
      <c r="A12963" s="26" t="s">
        <v>30848</v>
      </c>
      <c r="B12963" s="27" t="s">
        <v>30849</v>
      </c>
      <c r="C12963" s="27" t="s">
        <v>1527</v>
      </c>
      <c r="D12963" s="26"/>
      <c r="E12963" s="27"/>
      <c r="F12963" s="27"/>
      <c r="G12963" s="27" t="s">
        <v>11122</v>
      </c>
      <c r="H12963" s="27" t="s">
        <v>35</v>
      </c>
      <c r="I12963" s="28" t="s">
        <v>50</v>
      </c>
      <c r="J12963" s="28" t="s">
        <v>1579</v>
      </c>
      <c r="K12963" s="27" t="s">
        <v>42</v>
      </c>
      <c r="L12963" s="27"/>
    </row>
    <row r="12964" customFormat="false" ht="15" hidden="false" customHeight="false" outlineLevel="0" collapsed="false">
      <c r="A12964" s="26" t="s">
        <v>30850</v>
      </c>
      <c r="B12964" s="27" t="s">
        <v>30851</v>
      </c>
      <c r="C12964" s="27" t="s">
        <v>144</v>
      </c>
      <c r="D12964" s="26"/>
      <c r="E12964" s="27"/>
      <c r="F12964" s="27"/>
      <c r="G12964" s="27" t="s">
        <v>11122</v>
      </c>
      <c r="H12964" s="27" t="s">
        <v>35</v>
      </c>
      <c r="I12964" s="28" t="s">
        <v>46</v>
      </c>
      <c r="J12964" s="28" t="s">
        <v>1579</v>
      </c>
      <c r="K12964" s="27" t="s">
        <v>42</v>
      </c>
      <c r="L12964" s="27"/>
    </row>
    <row r="12965" customFormat="false" ht="15" hidden="false" customHeight="false" outlineLevel="0" collapsed="false">
      <c r="A12965" s="26" t="s">
        <v>30852</v>
      </c>
      <c r="B12965" s="27" t="s">
        <v>30853</v>
      </c>
      <c r="C12965" s="27" t="s">
        <v>144</v>
      </c>
      <c r="D12965" s="26"/>
      <c r="E12965" s="27"/>
      <c r="F12965" s="27"/>
      <c r="G12965" s="27" t="s">
        <v>11122</v>
      </c>
      <c r="H12965" s="27" t="s">
        <v>35</v>
      </c>
      <c r="I12965" s="28" t="s">
        <v>46</v>
      </c>
      <c r="J12965" s="28" t="s">
        <v>1579</v>
      </c>
      <c r="K12965" s="27" t="s">
        <v>42</v>
      </c>
      <c r="L12965" s="27"/>
    </row>
    <row r="12966" customFormat="false" ht="15" hidden="false" customHeight="false" outlineLevel="0" collapsed="false">
      <c r="A12966" s="26" t="s">
        <v>30854</v>
      </c>
      <c r="B12966" s="27" t="s">
        <v>30855</v>
      </c>
      <c r="C12966" s="27" t="s">
        <v>144</v>
      </c>
      <c r="D12966" s="26"/>
      <c r="E12966" s="27"/>
      <c r="F12966" s="27"/>
      <c r="G12966" s="27" t="s">
        <v>11122</v>
      </c>
      <c r="H12966" s="27" t="s">
        <v>35</v>
      </c>
      <c r="I12966" s="27" t="s">
        <v>42</v>
      </c>
      <c r="J12966" s="28" t="s">
        <v>1579</v>
      </c>
      <c r="K12966" s="27" t="s">
        <v>42</v>
      </c>
      <c r="L12966" s="27"/>
    </row>
    <row r="12967" customFormat="false" ht="15" hidden="false" customHeight="false" outlineLevel="0" collapsed="false">
      <c r="A12967" s="26" t="s">
        <v>30856</v>
      </c>
      <c r="B12967" s="27" t="s">
        <v>30857</v>
      </c>
      <c r="C12967" s="27" t="s">
        <v>144</v>
      </c>
      <c r="D12967" s="26"/>
      <c r="E12967" s="27"/>
      <c r="F12967" s="27"/>
      <c r="G12967" s="27" t="s">
        <v>11122</v>
      </c>
      <c r="H12967" s="27" t="s">
        <v>35</v>
      </c>
      <c r="I12967" s="27" t="s">
        <v>38</v>
      </c>
      <c r="J12967" s="28" t="s">
        <v>1579</v>
      </c>
      <c r="K12967" s="27" t="s">
        <v>42</v>
      </c>
      <c r="L12967" s="27"/>
    </row>
    <row r="12968" customFormat="false" ht="15" hidden="false" customHeight="false" outlineLevel="0" collapsed="false">
      <c r="A12968" s="26" t="s">
        <v>30858</v>
      </c>
      <c r="B12968" s="27" t="s">
        <v>30859</v>
      </c>
      <c r="C12968" s="27" t="s">
        <v>144</v>
      </c>
      <c r="D12968" s="26"/>
      <c r="E12968" s="27"/>
      <c r="F12968" s="27"/>
      <c r="G12968" s="27" t="s">
        <v>11122</v>
      </c>
      <c r="H12968" s="27" t="s">
        <v>35</v>
      </c>
      <c r="I12968" s="28" t="s">
        <v>46</v>
      </c>
      <c r="J12968" s="28" t="s">
        <v>1579</v>
      </c>
      <c r="K12968" s="27" t="s">
        <v>42</v>
      </c>
      <c r="L12968" s="27"/>
    </row>
    <row r="12969" customFormat="false" ht="15" hidden="false" customHeight="false" outlineLevel="0" collapsed="false">
      <c r="A12969" s="26" t="s">
        <v>30860</v>
      </c>
      <c r="B12969" s="27" t="s">
        <v>30861</v>
      </c>
      <c r="C12969" s="27" t="s">
        <v>1527</v>
      </c>
      <c r="D12969" s="26"/>
      <c r="E12969" s="27"/>
      <c r="F12969" s="27"/>
      <c r="G12969" s="27" t="s">
        <v>11122</v>
      </c>
      <c r="H12969" s="27" t="s">
        <v>35</v>
      </c>
      <c r="I12969" s="27" t="s">
        <v>42</v>
      </c>
      <c r="J12969" s="28" t="s">
        <v>1579</v>
      </c>
      <c r="K12969" s="27" t="s">
        <v>42</v>
      </c>
      <c r="L12969" s="27"/>
    </row>
    <row r="12970" customFormat="false" ht="15" hidden="false" customHeight="false" outlineLevel="0" collapsed="false">
      <c r="A12970" s="26" t="s">
        <v>30862</v>
      </c>
      <c r="B12970" s="27" t="s">
        <v>30863</v>
      </c>
      <c r="C12970" s="27" t="s">
        <v>1527</v>
      </c>
      <c r="D12970" s="26"/>
      <c r="E12970" s="27"/>
      <c r="F12970" s="27"/>
      <c r="G12970" s="27" t="s">
        <v>11122</v>
      </c>
      <c r="H12970" s="27" t="s">
        <v>35</v>
      </c>
      <c r="I12970" s="27" t="s">
        <v>42</v>
      </c>
      <c r="J12970" s="28" t="s">
        <v>1579</v>
      </c>
      <c r="K12970" s="27" t="s">
        <v>42</v>
      </c>
      <c r="L12970" s="27"/>
    </row>
    <row r="12971" customFormat="false" ht="15" hidden="false" customHeight="false" outlineLevel="0" collapsed="false">
      <c r="A12971" s="26" t="s">
        <v>30864</v>
      </c>
      <c r="B12971" s="27" t="s">
        <v>30865</v>
      </c>
      <c r="C12971" s="27" t="s">
        <v>380</v>
      </c>
      <c r="D12971" s="26"/>
      <c r="E12971" s="27"/>
      <c r="F12971" s="27"/>
      <c r="G12971" s="27" t="s">
        <v>11122</v>
      </c>
      <c r="H12971" s="27" t="s">
        <v>35</v>
      </c>
      <c r="I12971" s="27" t="s">
        <v>41</v>
      </c>
      <c r="J12971" s="28" t="s">
        <v>1579</v>
      </c>
      <c r="K12971" s="27" t="s">
        <v>42</v>
      </c>
      <c r="L12971" s="27"/>
    </row>
    <row r="12972" customFormat="false" ht="15" hidden="false" customHeight="false" outlineLevel="0" collapsed="false">
      <c r="A12972" s="26" t="s">
        <v>30866</v>
      </c>
      <c r="B12972" s="27" t="s">
        <v>30867</v>
      </c>
      <c r="C12972" s="27" t="s">
        <v>144</v>
      </c>
      <c r="D12972" s="26"/>
      <c r="E12972" s="27"/>
      <c r="F12972" s="27"/>
      <c r="G12972" s="27" t="s">
        <v>11122</v>
      </c>
      <c r="H12972" s="27" t="s">
        <v>35</v>
      </c>
      <c r="I12972" s="27" t="s">
        <v>47</v>
      </c>
      <c r="J12972" s="28" t="s">
        <v>1579</v>
      </c>
      <c r="K12972" s="27" t="s">
        <v>42</v>
      </c>
      <c r="L12972" s="27"/>
    </row>
    <row r="12973" customFormat="false" ht="15" hidden="false" customHeight="false" outlineLevel="0" collapsed="false">
      <c r="A12973" s="26" t="s">
        <v>30868</v>
      </c>
      <c r="B12973" s="27" t="s">
        <v>30869</v>
      </c>
      <c r="C12973" s="27" t="s">
        <v>144</v>
      </c>
      <c r="D12973" s="26"/>
      <c r="E12973" s="27"/>
      <c r="F12973" s="27"/>
      <c r="G12973" s="27" t="s">
        <v>11122</v>
      </c>
      <c r="H12973" s="27" t="s">
        <v>35</v>
      </c>
      <c r="I12973" s="27" t="s">
        <v>39</v>
      </c>
      <c r="J12973" s="28" t="s">
        <v>1579</v>
      </c>
      <c r="K12973" s="27" t="s">
        <v>42</v>
      </c>
      <c r="L12973" s="27"/>
    </row>
    <row r="12974" customFormat="false" ht="15" hidden="false" customHeight="false" outlineLevel="0" collapsed="false">
      <c r="A12974" s="26" t="s">
        <v>30870</v>
      </c>
      <c r="B12974" s="27" t="s">
        <v>30871</v>
      </c>
      <c r="C12974" s="27" t="s">
        <v>144</v>
      </c>
      <c r="D12974" s="26"/>
      <c r="E12974" s="27"/>
      <c r="F12974" s="27"/>
      <c r="G12974" s="27" t="s">
        <v>11122</v>
      </c>
      <c r="H12974" s="27" t="s">
        <v>35</v>
      </c>
      <c r="I12974" s="27" t="s">
        <v>42</v>
      </c>
      <c r="J12974" s="28" t="s">
        <v>1579</v>
      </c>
      <c r="K12974" s="27" t="s">
        <v>42</v>
      </c>
      <c r="L12974" s="27"/>
    </row>
    <row r="12975" customFormat="false" ht="15" hidden="false" customHeight="false" outlineLevel="0" collapsed="false">
      <c r="A12975" s="26" t="s">
        <v>30872</v>
      </c>
      <c r="B12975" s="27" t="s">
        <v>30873</v>
      </c>
      <c r="C12975" s="27" t="s">
        <v>144</v>
      </c>
      <c r="D12975" s="26"/>
      <c r="E12975" s="27"/>
      <c r="F12975" s="27"/>
      <c r="G12975" s="27" t="s">
        <v>11122</v>
      </c>
      <c r="H12975" s="27" t="s">
        <v>35</v>
      </c>
      <c r="I12975" s="28" t="s">
        <v>46</v>
      </c>
      <c r="J12975" s="28" t="s">
        <v>1579</v>
      </c>
      <c r="K12975" s="27" t="s">
        <v>42</v>
      </c>
      <c r="L12975" s="27"/>
    </row>
    <row r="12976" customFormat="false" ht="15" hidden="false" customHeight="false" outlineLevel="0" collapsed="false">
      <c r="A12976" s="26" t="s">
        <v>30874</v>
      </c>
      <c r="B12976" s="27" t="s">
        <v>30875</v>
      </c>
      <c r="C12976" s="27" t="s">
        <v>144</v>
      </c>
      <c r="D12976" s="26"/>
      <c r="E12976" s="27"/>
      <c r="F12976" s="27"/>
      <c r="G12976" s="27" t="s">
        <v>11122</v>
      </c>
      <c r="H12976" s="27" t="s">
        <v>35</v>
      </c>
      <c r="I12976" s="27" t="s">
        <v>41</v>
      </c>
      <c r="J12976" s="28" t="s">
        <v>1579</v>
      </c>
      <c r="K12976" s="27" t="s">
        <v>42</v>
      </c>
      <c r="L12976" s="27"/>
    </row>
    <row r="12977" customFormat="false" ht="15" hidden="false" customHeight="false" outlineLevel="0" collapsed="false">
      <c r="A12977" s="26" t="s">
        <v>30876</v>
      </c>
      <c r="B12977" s="27" t="s">
        <v>30877</v>
      </c>
      <c r="C12977" s="27" t="s">
        <v>144</v>
      </c>
      <c r="D12977" s="26"/>
      <c r="E12977" s="27"/>
      <c r="F12977" s="27"/>
      <c r="G12977" s="27" t="s">
        <v>11122</v>
      </c>
      <c r="H12977" s="27" t="s">
        <v>35</v>
      </c>
      <c r="I12977" s="27" t="s">
        <v>41</v>
      </c>
      <c r="J12977" s="28" t="s">
        <v>1579</v>
      </c>
      <c r="K12977" s="27" t="s">
        <v>42</v>
      </c>
      <c r="L12977" s="27"/>
    </row>
    <row r="12978" customFormat="false" ht="15" hidden="false" customHeight="false" outlineLevel="0" collapsed="false">
      <c r="A12978" s="26" t="s">
        <v>30878</v>
      </c>
      <c r="B12978" s="27" t="s">
        <v>30879</v>
      </c>
      <c r="C12978" s="27" t="s">
        <v>144</v>
      </c>
      <c r="D12978" s="26"/>
      <c r="E12978" s="27"/>
      <c r="F12978" s="27"/>
      <c r="G12978" s="27" t="s">
        <v>11122</v>
      </c>
      <c r="H12978" s="27" t="s">
        <v>35</v>
      </c>
      <c r="I12978" s="28" t="s">
        <v>46</v>
      </c>
      <c r="J12978" s="28" t="s">
        <v>1579</v>
      </c>
      <c r="K12978" s="27" t="s">
        <v>42</v>
      </c>
      <c r="L12978" s="27"/>
    </row>
    <row r="12979" customFormat="false" ht="15" hidden="false" customHeight="false" outlineLevel="0" collapsed="false">
      <c r="A12979" s="26" t="s">
        <v>30880</v>
      </c>
      <c r="B12979" s="27" t="s">
        <v>30881</v>
      </c>
      <c r="C12979" s="27" t="s">
        <v>144</v>
      </c>
      <c r="D12979" s="26"/>
      <c r="E12979" s="27"/>
      <c r="F12979" s="27"/>
      <c r="G12979" s="27" t="s">
        <v>11122</v>
      </c>
      <c r="H12979" s="27" t="s">
        <v>35</v>
      </c>
      <c r="I12979" s="28" t="s">
        <v>46</v>
      </c>
      <c r="J12979" s="28" t="s">
        <v>1579</v>
      </c>
      <c r="K12979" s="27" t="s">
        <v>42</v>
      </c>
      <c r="L12979" s="27"/>
    </row>
    <row r="12980" customFormat="false" ht="15" hidden="false" customHeight="false" outlineLevel="0" collapsed="false">
      <c r="A12980" s="26" t="s">
        <v>30882</v>
      </c>
      <c r="B12980" s="27" t="s">
        <v>30883</v>
      </c>
      <c r="C12980" s="27" t="s">
        <v>144</v>
      </c>
      <c r="D12980" s="26"/>
      <c r="E12980" s="27"/>
      <c r="F12980" s="27"/>
      <c r="G12980" s="27" t="s">
        <v>11122</v>
      </c>
      <c r="H12980" s="27" t="s">
        <v>35</v>
      </c>
      <c r="I12980" s="28" t="s">
        <v>46</v>
      </c>
      <c r="J12980" s="28" t="s">
        <v>1579</v>
      </c>
      <c r="K12980" s="27" t="s">
        <v>42</v>
      </c>
      <c r="L12980" s="27"/>
    </row>
    <row r="12981" customFormat="false" ht="15" hidden="false" customHeight="false" outlineLevel="0" collapsed="false">
      <c r="A12981" s="26" t="s">
        <v>30884</v>
      </c>
      <c r="B12981" s="27" t="s">
        <v>30885</v>
      </c>
      <c r="C12981" s="27" t="s">
        <v>144</v>
      </c>
      <c r="D12981" s="26"/>
      <c r="E12981" s="27"/>
      <c r="F12981" s="27"/>
      <c r="G12981" s="27" t="s">
        <v>11122</v>
      </c>
      <c r="H12981" s="27" t="s">
        <v>35</v>
      </c>
      <c r="I12981" s="28" t="s">
        <v>46</v>
      </c>
      <c r="J12981" s="28" t="s">
        <v>1579</v>
      </c>
      <c r="K12981" s="27" t="s">
        <v>42</v>
      </c>
      <c r="L12981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2026-10-14T18:12:47Z</dcterms:created>
  <dc:creator>openpyxl</dc:creator>
  <dc:description/>
  <dc:language>en-US</dc:language>
  <cp:lastModifiedBy/>
  <dcterms:modified xsi:type="dcterms:W3CDTF">2026-10-14T18:13:03Z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